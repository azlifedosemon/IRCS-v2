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lianzms.sharepoint.com/teams/ID0002-5620391/Shared Documents/Actuary_03/19. IFRS17/IFRS 17 Quarterly Submissions/2025 Q1/17. IRCS/Control 2/"/>
    </mc:Choice>
  </mc:AlternateContent>
  <xr:revisionPtr revIDLastSave="5189" documentId="13_ncr:1_{73B2801D-C21A-4F73-9EB3-87EE4CDF7D08}" xr6:coauthVersionLast="47" xr6:coauthVersionMax="47" xr10:uidLastSave="{378313A7-CFFB-49F6-AF04-CF0AB48E9827}"/>
  <bookViews>
    <workbookView xWindow="-120" yWindow="-120" windowWidth="29040" windowHeight="15720" tabRatio="770" activeTab="1" xr2:uid="{744E7FEE-8ED4-46C0-A726-801171ACF39D}"/>
  </bookViews>
  <sheets>
    <sheet name="MAIN" sheetId="16" r:id="rId1"/>
    <sheet name="CONTROL_2_SUMMARY" sheetId="66" r:id="rId2"/>
    <sheet name="&lt;&lt;&lt;&lt;&lt; Input &gt;&gt;&gt;&gt;&gt;" sheetId="6" r:id="rId3"/>
    <sheet name="Code Library" sheetId="63" r:id="rId4"/>
    <sheet name="IT_AZUL_FULL_Stat" sheetId="58" r:id="rId5"/>
    <sheet name="IT_AZTRAD_FULL_Stat" sheetId="59" r:id="rId6"/>
    <sheet name="Summary" sheetId="65" r:id="rId7"/>
    <sheet name="DV_AZUL_Stat" sheetId="60" r:id="rId8"/>
    <sheet name="DV_AZTRAD_Stat" sheetId="61" r:id="rId9"/>
    <sheet name="&lt;&lt;&lt;&lt;&lt; Working &gt;&gt;&gt;&gt;&gt;" sheetId="7" r:id="rId10"/>
    <sheet name="UDR Split" sheetId="23" state="hidden" r:id="rId11"/>
    <sheet name="Summary_Checking_UL" sheetId="62" r:id="rId12"/>
    <sheet name="Summary_Checking_TRAD" sheetId="64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_123Graph_LBL_A" hidden="1">'[1]7_6'!#REF!</definedName>
    <definedName name="__123Graph_LBL_AGraph1" hidden="1">'[1]7_6'!#REF!</definedName>
    <definedName name="__123Graph_LBL_B" hidden="1">'[1]7_6'!#REF!</definedName>
    <definedName name="__123Graph_LBL_BGraph1" hidden="1">'[1]7_6'!#REF!</definedName>
    <definedName name="_xlnm._FilterDatabase" localSheetId="3" hidden="1">'Code Library'!$A$2:$F$93</definedName>
    <definedName name="_xlnm._FilterDatabase" localSheetId="8" hidden="1">DV_AZTRAD_Stat!$A$1:$P$573</definedName>
    <definedName name="_xlnm._FilterDatabase" localSheetId="5" hidden="1">IT_AZTRAD_FULL_Stat!$A$1:$H$128</definedName>
    <definedName name="_xlnm._FilterDatabase" localSheetId="4" hidden="1">IT_AZUL_FULL_Stat!$A$1:$F$172</definedName>
    <definedName name="_xlnm._FilterDatabase" localSheetId="12" hidden="1">Summary_Checking_TRAD!$A$10:$W$129</definedName>
    <definedName name="_xlnm._FilterDatabase" localSheetId="11" hidden="1">Summary_Checking_UL!$D$9:$D$167</definedName>
    <definedName name="_xleta.OFFSET" hidden="1" xlm="1">#NAME?</definedName>
    <definedName name="ConsGroup">[2]Input!$B$13</definedName>
    <definedName name="CURRENCY">[3]Intro!$B$14</definedName>
    <definedName name="CY">'[4]Input &gt;&gt;'!$F$3</definedName>
    <definedName name="DATA">#REF!</definedName>
    <definedName name="Disc_Down" localSheetId="12">#REF!</definedName>
    <definedName name="Disc_Down">#REF!</definedName>
    <definedName name="Disc_Up" localSheetId="12">#REF!</definedName>
    <definedName name="Disc_Up">#REF!</definedName>
    <definedName name="Discount_Base_BTPN" localSheetId="12">#REF!</definedName>
    <definedName name="Discount_Base_BTPN">#REF!</definedName>
    <definedName name="Discount_Base_IDR" localSheetId="12">#REF!</definedName>
    <definedName name="Discount_Base_IDR">#REF!</definedName>
    <definedName name="Discount_Base_USD" localSheetId="12">#REF!</definedName>
    <definedName name="Discount_Base_USD">#REF!</definedName>
    <definedName name="filename">MAIN!$D$1</definedName>
    <definedName name="Health_ratio">'UDR Split'!$C$12</definedName>
    <definedName name="LC_GC">[2]Input!$B$46</definedName>
    <definedName name="LOB">#REF!</definedName>
    <definedName name="path">MAIN!$C$1</definedName>
    <definedName name="PL_GROUPING">#REF!</definedName>
    <definedName name="PROPH_WS" localSheetId="12">#REF!</definedName>
    <definedName name="PROPH_WS">#REF!</definedName>
    <definedName name="Prot_ratio">'UDR Split'!$C$16</definedName>
    <definedName name="q" localSheetId="12">#REF!</definedName>
    <definedName name="q">#REF!</definedName>
    <definedName name="QTD_factor">[2]Input!$B$40</definedName>
    <definedName name="QTD_label">[2]Input!$B$43</definedName>
    <definedName name="Quarter">[5]Input!$I$4</definedName>
    <definedName name="RAFMOutput" localSheetId="12">#REF!</definedName>
    <definedName name="RAFMOutput">#REF!</definedName>
    <definedName name="range">MAIN!$F$1</definedName>
    <definedName name="s" localSheetId="12">#REF!</definedName>
    <definedName name="s">#REF!</definedName>
    <definedName name="SAPBEXhrIndnt" hidden="1">1</definedName>
    <definedName name="SAPBEXrevision" hidden="1">1</definedName>
    <definedName name="SAPBEXsysID" hidden="1">"RBP"</definedName>
    <definedName name="SAPBEXwbID" hidden="1">"4AG3UHSMPU4357O3BI7U9HYBX"</definedName>
    <definedName name="tab">MAIN!$E$1</definedName>
    <definedName name="targetrange">MAIN!$H$1</definedName>
    <definedName name="targettab">MAIN!$G$1</definedName>
    <definedName name="TBL" localSheetId="12">#REF!</definedName>
    <definedName name="TBL">#REF!</definedName>
    <definedName name="TBL_2" localSheetId="12">#REF!</definedName>
    <definedName name="TBL_2">#REF!</definedName>
    <definedName name="TEST" localSheetId="12">#REF!</definedName>
    <definedName name="TEST">#REF!</definedName>
    <definedName name="TEST_2" localSheetId="12">#REF!</definedName>
    <definedName name="TEST_2">#REF!</definedName>
    <definedName name="TEST_3" localSheetId="12">#REF!</definedName>
    <definedName name="TEST_3">#REF!</definedName>
    <definedName name="TEST2" localSheetId="12">#REF!</definedName>
    <definedName name="TEST2">#REF!</definedName>
    <definedName name="TEST3" localSheetId="12">#REF!</definedName>
    <definedName name="TEST3">#REF!</definedName>
    <definedName name="trad_code_">'Code Library'!$A$3:$B$100</definedName>
    <definedName name="ul_code_">'Code Library'!$D$3:$E$115</definedName>
    <definedName name="ULCODE">'Code Library'!$D$61:$E$1048576</definedName>
    <definedName name="UnitCode">'Code Library'!$D$3:$E$1330</definedName>
    <definedName name="v" hidden="1">"4QBG425X8XU9F6CTAJCB4DYRB"</definedName>
    <definedName name="VERSION">[3]Intro!$B$15</definedName>
    <definedName name="Year">[5]Input!$B$4</definedName>
    <definedName name="YTD_factor">[2]Input!$B$38</definedName>
    <definedName name="YTD_factor_PQ">[2]Input!$B$39</definedName>
    <definedName name="YTD_label">[2]Input!$B$42</definedName>
  </definedNames>
  <calcPr calcId="191028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85" i="62" l="1"/>
  <c r="L185" i="62"/>
  <c r="K185" i="62"/>
  <c r="J185" i="62"/>
  <c r="I185" i="62"/>
  <c r="H185" i="62"/>
  <c r="P185" i="62" s="1"/>
  <c r="T185" i="62" s="1"/>
  <c r="G185" i="62"/>
  <c r="O185" i="62" s="1"/>
  <c r="S185" i="62" s="1"/>
  <c r="F185" i="62"/>
  <c r="N185" i="62" s="1"/>
  <c r="R185" i="62" s="1"/>
  <c r="E185" i="62"/>
  <c r="M185" i="62" s="1"/>
  <c r="Q185" i="62" s="1"/>
  <c r="C185" i="62"/>
  <c r="B185" i="62"/>
  <c r="A185" i="62"/>
  <c r="E3" i="62" l="1"/>
  <c r="W184" i="62"/>
  <c r="F183" i="62"/>
  <c r="G184" i="62" l="1"/>
  <c r="C183" i="62"/>
  <c r="B183" i="62" s="1"/>
  <c r="A183" i="62" s="1"/>
  <c r="I183" i="62"/>
  <c r="H184" i="62"/>
  <c r="F184" i="62"/>
  <c r="I184" i="62"/>
  <c r="K183" i="62"/>
  <c r="J184" i="62"/>
  <c r="G183" i="62"/>
  <c r="H183" i="62"/>
  <c r="J183" i="62"/>
  <c r="N183" i="62" s="1"/>
  <c r="R183" i="62" s="1"/>
  <c r="C184" i="62"/>
  <c r="B184" i="62" s="1"/>
  <c r="A184" i="62" s="1"/>
  <c r="L183" i="62"/>
  <c r="K184" i="62"/>
  <c r="E183" i="62"/>
  <c r="M183" i="62" s="1"/>
  <c r="Q183" i="62" s="1"/>
  <c r="W183" i="62"/>
  <c r="L184" i="62"/>
  <c r="E184" i="62"/>
  <c r="M184" i="62" s="1"/>
  <c r="Q184" i="62" s="1"/>
  <c r="P184" i="62" l="1"/>
  <c r="T184" i="62" s="1"/>
  <c r="N184" i="62"/>
  <c r="R184" i="62" s="1"/>
  <c r="P183" i="62"/>
  <c r="T183" i="62" s="1"/>
  <c r="O183" i="62"/>
  <c r="S183" i="62" s="1"/>
  <c r="O184" i="62"/>
  <c r="S184" i="62" s="1"/>
  <c r="W141" i="64" l="1"/>
  <c r="P141" i="64"/>
  <c r="T141" i="64" s="1"/>
  <c r="G38" i="65"/>
  <c r="H38" i="65" s="1"/>
  <c r="G37" i="65"/>
  <c r="H37" i="65" s="1"/>
  <c r="G36" i="65"/>
  <c r="H36" i="65" s="1"/>
  <c r="G35" i="65"/>
  <c r="H35" i="65" s="1"/>
  <c r="G34" i="65"/>
  <c r="H34" i="65" s="1"/>
  <c r="G33" i="65"/>
  <c r="H33" i="65" s="1"/>
  <c r="G32" i="65"/>
  <c r="H32" i="65" s="1"/>
  <c r="G31" i="65"/>
  <c r="H31" i="65" s="1"/>
  <c r="G30" i="65"/>
  <c r="H30" i="65" s="1"/>
  <c r="G29" i="65"/>
  <c r="H29" i="65" s="1"/>
  <c r="W136" i="64"/>
  <c r="P136" i="64"/>
  <c r="T136" i="64" s="1"/>
  <c r="P5000" i="61" l="1"/>
  <c r="O5000" i="61"/>
  <c r="N5000" i="61"/>
  <c r="M5000" i="61"/>
  <c r="L5000" i="61"/>
  <c r="K5000" i="61"/>
  <c r="P4999" i="61"/>
  <c r="O4999" i="61"/>
  <c r="N4999" i="61"/>
  <c r="M4999" i="61"/>
  <c r="L4999" i="61"/>
  <c r="K4999" i="61"/>
  <c r="P4998" i="61"/>
  <c r="O4998" i="61"/>
  <c r="N4998" i="61"/>
  <c r="M4998" i="61"/>
  <c r="L4998" i="61"/>
  <c r="K4998" i="61"/>
  <c r="P4997" i="61"/>
  <c r="O4997" i="61"/>
  <c r="N4997" i="61"/>
  <c r="M4997" i="61"/>
  <c r="L4997" i="61"/>
  <c r="K4997" i="61"/>
  <c r="P4996" i="61"/>
  <c r="O4996" i="61"/>
  <c r="N4996" i="61"/>
  <c r="M4996" i="61"/>
  <c r="L4996" i="61"/>
  <c r="K4996" i="61"/>
  <c r="P4995" i="61"/>
  <c r="O4995" i="61"/>
  <c r="N4995" i="61"/>
  <c r="M4995" i="61"/>
  <c r="L4995" i="61"/>
  <c r="K4995" i="61"/>
  <c r="P4994" i="61"/>
  <c r="O4994" i="61"/>
  <c r="N4994" i="61"/>
  <c r="M4994" i="61"/>
  <c r="L4994" i="61"/>
  <c r="K4994" i="61"/>
  <c r="P4993" i="61"/>
  <c r="O4993" i="61"/>
  <c r="N4993" i="61"/>
  <c r="M4993" i="61"/>
  <c r="L4993" i="61"/>
  <c r="K4993" i="61"/>
  <c r="P4992" i="61"/>
  <c r="O4992" i="61"/>
  <c r="N4992" i="61"/>
  <c r="M4992" i="61"/>
  <c r="L4992" i="61"/>
  <c r="K4992" i="61"/>
  <c r="P4991" i="61"/>
  <c r="O4991" i="61"/>
  <c r="N4991" i="61"/>
  <c r="M4991" i="61"/>
  <c r="L4991" i="61"/>
  <c r="K4991" i="61"/>
  <c r="P4990" i="61"/>
  <c r="O4990" i="61"/>
  <c r="N4990" i="61"/>
  <c r="M4990" i="61"/>
  <c r="L4990" i="61"/>
  <c r="K4990" i="61"/>
  <c r="P4989" i="61"/>
  <c r="O4989" i="61"/>
  <c r="N4989" i="61"/>
  <c r="M4989" i="61"/>
  <c r="L4989" i="61"/>
  <c r="K4989" i="61"/>
  <c r="P4988" i="61"/>
  <c r="O4988" i="61"/>
  <c r="N4988" i="61"/>
  <c r="M4988" i="61"/>
  <c r="L4988" i="61"/>
  <c r="K4988" i="61"/>
  <c r="P4987" i="61"/>
  <c r="O4987" i="61"/>
  <c r="N4987" i="61"/>
  <c r="M4987" i="61"/>
  <c r="L4987" i="61"/>
  <c r="K4987" i="61"/>
  <c r="P4986" i="61"/>
  <c r="O4986" i="61"/>
  <c r="N4986" i="61"/>
  <c r="M4986" i="61"/>
  <c r="L4986" i="61"/>
  <c r="K4986" i="61"/>
  <c r="P4985" i="61"/>
  <c r="O4985" i="61"/>
  <c r="N4985" i="61"/>
  <c r="M4985" i="61"/>
  <c r="L4985" i="61"/>
  <c r="K4985" i="61"/>
  <c r="P4984" i="61"/>
  <c r="O4984" i="61"/>
  <c r="N4984" i="61"/>
  <c r="M4984" i="61"/>
  <c r="L4984" i="61"/>
  <c r="K4984" i="61"/>
  <c r="P4983" i="61"/>
  <c r="O4983" i="61"/>
  <c r="N4983" i="61"/>
  <c r="M4983" i="61"/>
  <c r="L4983" i="61"/>
  <c r="K4983" i="61"/>
  <c r="P4982" i="61"/>
  <c r="O4982" i="61"/>
  <c r="N4982" i="61"/>
  <c r="M4982" i="61"/>
  <c r="L4982" i="61"/>
  <c r="K4982" i="61"/>
  <c r="P4981" i="61"/>
  <c r="O4981" i="61"/>
  <c r="N4981" i="61"/>
  <c r="M4981" i="61"/>
  <c r="L4981" i="61"/>
  <c r="K4981" i="61"/>
  <c r="P4980" i="61"/>
  <c r="O4980" i="61"/>
  <c r="N4980" i="61"/>
  <c r="M4980" i="61"/>
  <c r="L4980" i="61"/>
  <c r="K4980" i="61"/>
  <c r="P4979" i="61"/>
  <c r="O4979" i="61"/>
  <c r="N4979" i="61"/>
  <c r="M4979" i="61"/>
  <c r="L4979" i="61"/>
  <c r="K4979" i="61"/>
  <c r="P4978" i="61"/>
  <c r="O4978" i="61"/>
  <c r="N4978" i="61"/>
  <c r="M4978" i="61"/>
  <c r="L4978" i="61"/>
  <c r="K4978" i="61"/>
  <c r="P4977" i="61"/>
  <c r="O4977" i="61"/>
  <c r="N4977" i="61"/>
  <c r="M4977" i="61"/>
  <c r="L4977" i="61"/>
  <c r="K4977" i="61"/>
  <c r="P4976" i="61"/>
  <c r="O4976" i="61"/>
  <c r="N4976" i="61"/>
  <c r="M4976" i="61"/>
  <c r="L4976" i="61"/>
  <c r="K4976" i="61"/>
  <c r="P4975" i="61"/>
  <c r="O4975" i="61"/>
  <c r="N4975" i="61"/>
  <c r="M4975" i="61"/>
  <c r="L4975" i="61"/>
  <c r="K4975" i="61"/>
  <c r="P4974" i="61"/>
  <c r="O4974" i="61"/>
  <c r="N4974" i="61"/>
  <c r="M4974" i="61"/>
  <c r="L4974" i="61"/>
  <c r="K4974" i="61"/>
  <c r="P4973" i="61"/>
  <c r="O4973" i="61"/>
  <c r="N4973" i="61"/>
  <c r="M4973" i="61"/>
  <c r="L4973" i="61"/>
  <c r="K4973" i="61"/>
  <c r="P4972" i="61"/>
  <c r="O4972" i="61"/>
  <c r="N4972" i="61"/>
  <c r="M4972" i="61"/>
  <c r="L4972" i="61"/>
  <c r="K4972" i="61"/>
  <c r="P4971" i="61"/>
  <c r="O4971" i="61"/>
  <c r="N4971" i="61"/>
  <c r="M4971" i="61"/>
  <c r="L4971" i="61"/>
  <c r="K4971" i="61"/>
  <c r="P4970" i="61"/>
  <c r="O4970" i="61"/>
  <c r="N4970" i="61"/>
  <c r="M4970" i="61"/>
  <c r="L4970" i="61"/>
  <c r="K4970" i="61"/>
  <c r="P4969" i="61"/>
  <c r="O4969" i="61"/>
  <c r="N4969" i="61"/>
  <c r="M4969" i="61"/>
  <c r="L4969" i="61"/>
  <c r="K4969" i="61"/>
  <c r="P4968" i="61"/>
  <c r="O4968" i="61"/>
  <c r="N4968" i="61"/>
  <c r="M4968" i="61"/>
  <c r="L4968" i="61"/>
  <c r="K4968" i="61"/>
  <c r="P4967" i="61"/>
  <c r="O4967" i="61"/>
  <c r="N4967" i="61"/>
  <c r="M4967" i="61"/>
  <c r="L4967" i="61"/>
  <c r="K4967" i="61"/>
  <c r="P4966" i="61"/>
  <c r="O4966" i="61"/>
  <c r="N4966" i="61"/>
  <c r="M4966" i="61"/>
  <c r="L4966" i="61"/>
  <c r="K4966" i="61"/>
  <c r="P4965" i="61"/>
  <c r="O4965" i="61"/>
  <c r="N4965" i="61"/>
  <c r="M4965" i="61"/>
  <c r="L4965" i="61"/>
  <c r="K4965" i="61"/>
  <c r="P4964" i="61"/>
  <c r="O4964" i="61"/>
  <c r="N4964" i="61"/>
  <c r="M4964" i="61"/>
  <c r="L4964" i="61"/>
  <c r="K4964" i="61"/>
  <c r="P4963" i="61"/>
  <c r="O4963" i="61"/>
  <c r="N4963" i="61"/>
  <c r="M4963" i="61"/>
  <c r="L4963" i="61"/>
  <c r="K4963" i="61"/>
  <c r="P4962" i="61"/>
  <c r="O4962" i="61"/>
  <c r="N4962" i="61"/>
  <c r="M4962" i="61"/>
  <c r="L4962" i="61"/>
  <c r="K4962" i="61"/>
  <c r="P4961" i="61"/>
  <c r="O4961" i="61"/>
  <c r="N4961" i="61"/>
  <c r="M4961" i="61"/>
  <c r="L4961" i="61"/>
  <c r="K4961" i="61"/>
  <c r="P4960" i="61"/>
  <c r="O4960" i="61"/>
  <c r="N4960" i="61"/>
  <c r="M4960" i="61"/>
  <c r="L4960" i="61"/>
  <c r="K4960" i="61"/>
  <c r="P4959" i="61"/>
  <c r="O4959" i="61"/>
  <c r="N4959" i="61"/>
  <c r="M4959" i="61"/>
  <c r="L4959" i="61"/>
  <c r="K4959" i="61"/>
  <c r="P4958" i="61"/>
  <c r="O4958" i="61"/>
  <c r="N4958" i="61"/>
  <c r="M4958" i="61"/>
  <c r="L4958" i="61"/>
  <c r="K4958" i="61"/>
  <c r="P4957" i="61"/>
  <c r="O4957" i="61"/>
  <c r="N4957" i="61"/>
  <c r="M4957" i="61"/>
  <c r="L4957" i="61"/>
  <c r="K4957" i="61"/>
  <c r="P4956" i="61"/>
  <c r="O4956" i="61"/>
  <c r="N4956" i="61"/>
  <c r="M4956" i="61"/>
  <c r="L4956" i="61"/>
  <c r="K4956" i="61"/>
  <c r="P4955" i="61"/>
  <c r="O4955" i="61"/>
  <c r="N4955" i="61"/>
  <c r="M4955" i="61"/>
  <c r="L4955" i="61"/>
  <c r="K4955" i="61"/>
  <c r="P4954" i="61"/>
  <c r="O4954" i="61"/>
  <c r="N4954" i="61"/>
  <c r="M4954" i="61"/>
  <c r="L4954" i="61"/>
  <c r="K4954" i="61"/>
  <c r="P4953" i="61"/>
  <c r="O4953" i="61"/>
  <c r="N4953" i="61"/>
  <c r="M4953" i="61"/>
  <c r="L4953" i="61"/>
  <c r="K4953" i="61"/>
  <c r="P4952" i="61"/>
  <c r="O4952" i="61"/>
  <c r="N4952" i="61"/>
  <c r="M4952" i="61"/>
  <c r="L4952" i="61"/>
  <c r="K4952" i="61"/>
  <c r="P4951" i="61"/>
  <c r="O4951" i="61"/>
  <c r="N4951" i="61"/>
  <c r="M4951" i="61"/>
  <c r="L4951" i="61"/>
  <c r="K4951" i="61"/>
  <c r="P4950" i="61"/>
  <c r="O4950" i="61"/>
  <c r="N4950" i="61"/>
  <c r="M4950" i="61"/>
  <c r="L4950" i="61"/>
  <c r="K4950" i="61"/>
  <c r="P4949" i="61"/>
  <c r="O4949" i="61"/>
  <c r="N4949" i="61"/>
  <c r="M4949" i="61"/>
  <c r="L4949" i="61"/>
  <c r="K4949" i="61"/>
  <c r="P4948" i="61"/>
  <c r="O4948" i="61"/>
  <c r="N4948" i="61"/>
  <c r="M4948" i="61"/>
  <c r="L4948" i="61"/>
  <c r="K4948" i="61"/>
  <c r="P4947" i="61"/>
  <c r="O4947" i="61"/>
  <c r="N4947" i="61"/>
  <c r="M4947" i="61"/>
  <c r="L4947" i="61"/>
  <c r="K4947" i="61"/>
  <c r="P4946" i="61"/>
  <c r="O4946" i="61"/>
  <c r="N4946" i="61"/>
  <c r="M4946" i="61"/>
  <c r="L4946" i="61"/>
  <c r="K4946" i="61"/>
  <c r="P4945" i="61"/>
  <c r="O4945" i="61"/>
  <c r="N4945" i="61"/>
  <c r="M4945" i="61"/>
  <c r="L4945" i="61"/>
  <c r="K4945" i="61"/>
  <c r="P4944" i="61"/>
  <c r="O4944" i="61"/>
  <c r="N4944" i="61"/>
  <c r="M4944" i="61"/>
  <c r="L4944" i="61"/>
  <c r="K4944" i="61"/>
  <c r="P4943" i="61"/>
  <c r="O4943" i="61"/>
  <c r="N4943" i="61"/>
  <c r="M4943" i="61"/>
  <c r="L4943" i="61"/>
  <c r="K4943" i="61"/>
  <c r="P4942" i="61"/>
  <c r="O4942" i="61"/>
  <c r="N4942" i="61"/>
  <c r="M4942" i="61"/>
  <c r="L4942" i="61"/>
  <c r="K4942" i="61"/>
  <c r="P4941" i="61"/>
  <c r="O4941" i="61"/>
  <c r="N4941" i="61"/>
  <c r="M4941" i="61"/>
  <c r="L4941" i="61"/>
  <c r="K4941" i="61"/>
  <c r="P4940" i="61"/>
  <c r="O4940" i="61"/>
  <c r="N4940" i="61"/>
  <c r="M4940" i="61"/>
  <c r="L4940" i="61"/>
  <c r="K4940" i="61"/>
  <c r="P4939" i="61"/>
  <c r="O4939" i="61"/>
  <c r="N4939" i="61"/>
  <c r="M4939" i="61"/>
  <c r="L4939" i="61"/>
  <c r="K4939" i="61"/>
  <c r="P4938" i="61"/>
  <c r="O4938" i="61"/>
  <c r="N4938" i="61"/>
  <c r="M4938" i="61"/>
  <c r="L4938" i="61"/>
  <c r="K4938" i="61"/>
  <c r="P4937" i="61"/>
  <c r="O4937" i="61"/>
  <c r="N4937" i="61"/>
  <c r="M4937" i="61"/>
  <c r="L4937" i="61"/>
  <c r="K4937" i="61"/>
  <c r="P4936" i="61"/>
  <c r="O4936" i="61"/>
  <c r="N4936" i="61"/>
  <c r="M4936" i="61"/>
  <c r="L4936" i="61"/>
  <c r="K4936" i="61"/>
  <c r="P4935" i="61"/>
  <c r="O4935" i="61"/>
  <c r="N4935" i="61"/>
  <c r="M4935" i="61"/>
  <c r="L4935" i="61"/>
  <c r="K4935" i="61"/>
  <c r="P4934" i="61"/>
  <c r="O4934" i="61"/>
  <c r="N4934" i="61"/>
  <c r="M4934" i="61"/>
  <c r="L4934" i="61"/>
  <c r="K4934" i="61"/>
  <c r="P4933" i="61"/>
  <c r="O4933" i="61"/>
  <c r="N4933" i="61"/>
  <c r="M4933" i="61"/>
  <c r="L4933" i="61"/>
  <c r="K4933" i="61"/>
  <c r="P4932" i="61"/>
  <c r="O4932" i="61"/>
  <c r="N4932" i="61"/>
  <c r="M4932" i="61"/>
  <c r="L4932" i="61"/>
  <c r="K4932" i="61"/>
  <c r="P4931" i="61"/>
  <c r="O4931" i="61"/>
  <c r="N4931" i="61"/>
  <c r="M4931" i="61"/>
  <c r="L4931" i="61"/>
  <c r="K4931" i="61"/>
  <c r="P4930" i="61"/>
  <c r="O4930" i="61"/>
  <c r="N4930" i="61"/>
  <c r="M4930" i="61"/>
  <c r="L4930" i="61"/>
  <c r="K4930" i="61"/>
  <c r="P4929" i="61"/>
  <c r="O4929" i="61"/>
  <c r="N4929" i="61"/>
  <c r="M4929" i="61"/>
  <c r="L4929" i="61"/>
  <c r="K4929" i="61"/>
  <c r="P4928" i="61"/>
  <c r="O4928" i="61"/>
  <c r="N4928" i="61"/>
  <c r="M4928" i="61"/>
  <c r="L4928" i="61"/>
  <c r="K4928" i="61"/>
  <c r="P4927" i="61"/>
  <c r="O4927" i="61"/>
  <c r="N4927" i="61"/>
  <c r="M4927" i="61"/>
  <c r="L4927" i="61"/>
  <c r="K4927" i="61"/>
  <c r="P4926" i="61"/>
  <c r="O4926" i="61"/>
  <c r="N4926" i="61"/>
  <c r="M4926" i="61"/>
  <c r="L4926" i="61"/>
  <c r="K4926" i="61"/>
  <c r="P4925" i="61"/>
  <c r="O4925" i="61"/>
  <c r="N4925" i="61"/>
  <c r="M4925" i="61"/>
  <c r="L4925" i="61"/>
  <c r="K4925" i="61"/>
  <c r="P4924" i="61"/>
  <c r="O4924" i="61"/>
  <c r="N4924" i="61"/>
  <c r="M4924" i="61"/>
  <c r="L4924" i="61"/>
  <c r="K4924" i="61"/>
  <c r="P4923" i="61"/>
  <c r="O4923" i="61"/>
  <c r="N4923" i="61"/>
  <c r="M4923" i="61"/>
  <c r="L4923" i="61"/>
  <c r="K4923" i="61"/>
  <c r="P4922" i="61"/>
  <c r="O4922" i="61"/>
  <c r="N4922" i="61"/>
  <c r="M4922" i="61"/>
  <c r="L4922" i="61"/>
  <c r="K4922" i="61"/>
  <c r="P4921" i="61"/>
  <c r="O4921" i="61"/>
  <c r="N4921" i="61"/>
  <c r="M4921" i="61"/>
  <c r="L4921" i="61"/>
  <c r="K4921" i="61"/>
  <c r="P4920" i="61"/>
  <c r="O4920" i="61"/>
  <c r="N4920" i="61"/>
  <c r="M4920" i="61"/>
  <c r="L4920" i="61"/>
  <c r="K4920" i="61"/>
  <c r="P4919" i="61"/>
  <c r="O4919" i="61"/>
  <c r="N4919" i="61"/>
  <c r="M4919" i="61"/>
  <c r="L4919" i="61"/>
  <c r="K4919" i="61"/>
  <c r="P4918" i="61"/>
  <c r="O4918" i="61"/>
  <c r="N4918" i="61"/>
  <c r="M4918" i="61"/>
  <c r="L4918" i="61"/>
  <c r="K4918" i="61"/>
  <c r="P4917" i="61"/>
  <c r="O4917" i="61"/>
  <c r="N4917" i="61"/>
  <c r="M4917" i="61"/>
  <c r="L4917" i="61"/>
  <c r="K4917" i="61"/>
  <c r="P4916" i="61"/>
  <c r="O4916" i="61"/>
  <c r="N4916" i="61"/>
  <c r="M4916" i="61"/>
  <c r="L4916" i="61"/>
  <c r="K4916" i="61"/>
  <c r="P4915" i="61"/>
  <c r="O4915" i="61"/>
  <c r="N4915" i="61"/>
  <c r="M4915" i="61"/>
  <c r="L4915" i="61"/>
  <c r="K4915" i="61"/>
  <c r="P4914" i="61"/>
  <c r="O4914" i="61"/>
  <c r="N4914" i="61"/>
  <c r="M4914" i="61"/>
  <c r="L4914" i="61"/>
  <c r="K4914" i="61"/>
  <c r="P4913" i="61"/>
  <c r="O4913" i="61"/>
  <c r="N4913" i="61"/>
  <c r="M4913" i="61"/>
  <c r="L4913" i="61"/>
  <c r="K4913" i="61"/>
  <c r="P4912" i="61"/>
  <c r="O4912" i="61"/>
  <c r="N4912" i="61"/>
  <c r="M4912" i="61"/>
  <c r="L4912" i="61"/>
  <c r="K4912" i="61"/>
  <c r="P4911" i="61"/>
  <c r="O4911" i="61"/>
  <c r="N4911" i="61"/>
  <c r="M4911" i="61"/>
  <c r="L4911" i="61"/>
  <c r="K4911" i="61"/>
  <c r="P4910" i="61"/>
  <c r="O4910" i="61"/>
  <c r="N4910" i="61"/>
  <c r="M4910" i="61"/>
  <c r="L4910" i="61"/>
  <c r="K4910" i="61"/>
  <c r="P4909" i="61"/>
  <c r="O4909" i="61"/>
  <c r="N4909" i="61"/>
  <c r="M4909" i="61"/>
  <c r="L4909" i="61"/>
  <c r="K4909" i="61"/>
  <c r="P4908" i="61"/>
  <c r="O4908" i="61"/>
  <c r="N4908" i="61"/>
  <c r="M4908" i="61"/>
  <c r="L4908" i="61"/>
  <c r="K4908" i="61"/>
  <c r="P4907" i="61"/>
  <c r="O4907" i="61"/>
  <c r="N4907" i="61"/>
  <c r="M4907" i="61"/>
  <c r="L4907" i="61"/>
  <c r="K4907" i="61"/>
  <c r="P4906" i="61"/>
  <c r="O4906" i="61"/>
  <c r="N4906" i="61"/>
  <c r="M4906" i="61"/>
  <c r="L4906" i="61"/>
  <c r="K4906" i="61"/>
  <c r="P4905" i="61"/>
  <c r="O4905" i="61"/>
  <c r="N4905" i="61"/>
  <c r="M4905" i="61"/>
  <c r="L4905" i="61"/>
  <c r="K4905" i="61"/>
  <c r="P4904" i="61"/>
  <c r="O4904" i="61"/>
  <c r="N4904" i="61"/>
  <c r="M4904" i="61"/>
  <c r="L4904" i="61"/>
  <c r="K4904" i="61"/>
  <c r="P4903" i="61"/>
  <c r="O4903" i="61"/>
  <c r="N4903" i="61"/>
  <c r="M4903" i="61"/>
  <c r="L4903" i="61"/>
  <c r="K4903" i="61"/>
  <c r="P4902" i="61"/>
  <c r="O4902" i="61"/>
  <c r="N4902" i="61"/>
  <c r="M4902" i="61"/>
  <c r="L4902" i="61"/>
  <c r="K4902" i="61"/>
  <c r="P4901" i="61"/>
  <c r="O4901" i="61"/>
  <c r="N4901" i="61"/>
  <c r="M4901" i="61"/>
  <c r="L4901" i="61"/>
  <c r="K4901" i="61"/>
  <c r="P4900" i="61"/>
  <c r="O4900" i="61"/>
  <c r="N4900" i="61"/>
  <c r="M4900" i="61"/>
  <c r="L4900" i="61"/>
  <c r="K4900" i="61"/>
  <c r="P4899" i="61"/>
  <c r="O4899" i="61"/>
  <c r="N4899" i="61"/>
  <c r="M4899" i="61"/>
  <c r="L4899" i="61"/>
  <c r="K4899" i="61"/>
  <c r="P4898" i="61"/>
  <c r="O4898" i="61"/>
  <c r="N4898" i="61"/>
  <c r="M4898" i="61"/>
  <c r="L4898" i="61"/>
  <c r="K4898" i="61"/>
  <c r="P4897" i="61"/>
  <c r="O4897" i="61"/>
  <c r="N4897" i="61"/>
  <c r="M4897" i="61"/>
  <c r="L4897" i="61"/>
  <c r="K4897" i="61"/>
  <c r="P4896" i="61"/>
  <c r="O4896" i="61"/>
  <c r="N4896" i="61"/>
  <c r="M4896" i="61"/>
  <c r="L4896" i="61"/>
  <c r="K4896" i="61"/>
  <c r="P4895" i="61"/>
  <c r="O4895" i="61"/>
  <c r="N4895" i="61"/>
  <c r="M4895" i="61"/>
  <c r="L4895" i="61"/>
  <c r="K4895" i="61"/>
  <c r="P4894" i="61"/>
  <c r="O4894" i="61"/>
  <c r="N4894" i="61"/>
  <c r="M4894" i="61"/>
  <c r="L4894" i="61"/>
  <c r="K4894" i="61"/>
  <c r="P4893" i="61"/>
  <c r="O4893" i="61"/>
  <c r="N4893" i="61"/>
  <c r="M4893" i="61"/>
  <c r="L4893" i="61"/>
  <c r="K4893" i="61"/>
  <c r="P4892" i="61"/>
  <c r="O4892" i="61"/>
  <c r="N4892" i="61"/>
  <c r="M4892" i="61"/>
  <c r="L4892" i="61"/>
  <c r="K4892" i="61"/>
  <c r="P4891" i="61"/>
  <c r="O4891" i="61"/>
  <c r="N4891" i="61"/>
  <c r="M4891" i="61"/>
  <c r="L4891" i="61"/>
  <c r="K4891" i="61"/>
  <c r="P4890" i="61"/>
  <c r="O4890" i="61"/>
  <c r="N4890" i="61"/>
  <c r="M4890" i="61"/>
  <c r="L4890" i="61"/>
  <c r="K4890" i="61"/>
  <c r="P4889" i="61"/>
  <c r="O4889" i="61"/>
  <c r="N4889" i="61"/>
  <c r="M4889" i="61"/>
  <c r="L4889" i="61"/>
  <c r="K4889" i="61"/>
  <c r="P4888" i="61"/>
  <c r="O4888" i="61"/>
  <c r="N4888" i="61"/>
  <c r="M4888" i="61"/>
  <c r="L4888" i="61"/>
  <c r="K4888" i="61"/>
  <c r="P4887" i="61"/>
  <c r="O4887" i="61"/>
  <c r="N4887" i="61"/>
  <c r="M4887" i="61"/>
  <c r="L4887" i="61"/>
  <c r="K4887" i="61"/>
  <c r="P4886" i="61"/>
  <c r="O4886" i="61"/>
  <c r="N4886" i="61"/>
  <c r="M4886" i="61"/>
  <c r="L4886" i="61"/>
  <c r="K4886" i="61"/>
  <c r="P4885" i="61"/>
  <c r="O4885" i="61"/>
  <c r="N4885" i="61"/>
  <c r="M4885" i="61"/>
  <c r="L4885" i="61"/>
  <c r="K4885" i="61"/>
  <c r="P4884" i="61"/>
  <c r="O4884" i="61"/>
  <c r="N4884" i="61"/>
  <c r="M4884" i="61"/>
  <c r="L4884" i="61"/>
  <c r="K4884" i="61"/>
  <c r="P4883" i="61"/>
  <c r="O4883" i="61"/>
  <c r="N4883" i="61"/>
  <c r="M4883" i="61"/>
  <c r="L4883" i="61"/>
  <c r="K4883" i="61"/>
  <c r="P4882" i="61"/>
  <c r="O4882" i="61"/>
  <c r="N4882" i="61"/>
  <c r="M4882" i="61"/>
  <c r="L4882" i="61"/>
  <c r="K4882" i="61"/>
  <c r="P4881" i="61"/>
  <c r="O4881" i="61"/>
  <c r="N4881" i="61"/>
  <c r="M4881" i="61"/>
  <c r="L4881" i="61"/>
  <c r="K4881" i="61"/>
  <c r="P4880" i="61"/>
  <c r="O4880" i="61"/>
  <c r="N4880" i="61"/>
  <c r="M4880" i="61"/>
  <c r="L4880" i="61"/>
  <c r="K4880" i="61"/>
  <c r="P4879" i="61"/>
  <c r="O4879" i="61"/>
  <c r="N4879" i="61"/>
  <c r="M4879" i="61"/>
  <c r="L4879" i="61"/>
  <c r="K4879" i="61"/>
  <c r="P4878" i="61"/>
  <c r="O4878" i="61"/>
  <c r="N4878" i="61"/>
  <c r="M4878" i="61"/>
  <c r="L4878" i="61"/>
  <c r="K4878" i="61"/>
  <c r="P4877" i="61"/>
  <c r="O4877" i="61"/>
  <c r="N4877" i="61"/>
  <c r="M4877" i="61"/>
  <c r="L4877" i="61"/>
  <c r="K4877" i="61"/>
  <c r="P4876" i="61"/>
  <c r="O4876" i="61"/>
  <c r="N4876" i="61"/>
  <c r="M4876" i="61"/>
  <c r="L4876" i="61"/>
  <c r="K4876" i="61"/>
  <c r="P4875" i="61"/>
  <c r="O4875" i="61"/>
  <c r="N4875" i="61"/>
  <c r="M4875" i="61"/>
  <c r="L4875" i="61"/>
  <c r="K4875" i="61"/>
  <c r="P4874" i="61"/>
  <c r="O4874" i="61"/>
  <c r="N4874" i="61"/>
  <c r="M4874" i="61"/>
  <c r="L4874" i="61"/>
  <c r="K4874" i="61"/>
  <c r="P4873" i="61"/>
  <c r="O4873" i="61"/>
  <c r="N4873" i="61"/>
  <c r="M4873" i="61"/>
  <c r="L4873" i="61"/>
  <c r="K4873" i="61"/>
  <c r="P4872" i="61"/>
  <c r="O4872" i="61"/>
  <c r="N4872" i="61"/>
  <c r="M4872" i="61"/>
  <c r="L4872" i="61"/>
  <c r="K4872" i="61"/>
  <c r="P4871" i="61"/>
  <c r="O4871" i="61"/>
  <c r="N4871" i="61"/>
  <c r="M4871" i="61"/>
  <c r="L4871" i="61"/>
  <c r="K4871" i="61"/>
  <c r="P4870" i="61"/>
  <c r="O4870" i="61"/>
  <c r="N4870" i="61"/>
  <c r="M4870" i="61"/>
  <c r="L4870" i="61"/>
  <c r="K4870" i="61"/>
  <c r="P4869" i="61"/>
  <c r="O4869" i="61"/>
  <c r="N4869" i="61"/>
  <c r="M4869" i="61"/>
  <c r="L4869" i="61"/>
  <c r="K4869" i="61"/>
  <c r="P4868" i="61"/>
  <c r="O4868" i="61"/>
  <c r="N4868" i="61"/>
  <c r="M4868" i="61"/>
  <c r="L4868" i="61"/>
  <c r="K4868" i="61"/>
  <c r="P4867" i="61"/>
  <c r="O4867" i="61"/>
  <c r="N4867" i="61"/>
  <c r="M4867" i="61"/>
  <c r="L4867" i="61"/>
  <c r="K4867" i="61"/>
  <c r="P4866" i="61"/>
  <c r="O4866" i="61"/>
  <c r="N4866" i="61"/>
  <c r="M4866" i="61"/>
  <c r="L4866" i="61"/>
  <c r="K4866" i="61"/>
  <c r="P4865" i="61"/>
  <c r="O4865" i="61"/>
  <c r="N4865" i="61"/>
  <c r="M4865" i="61"/>
  <c r="L4865" i="61"/>
  <c r="K4865" i="61"/>
  <c r="P4864" i="61"/>
  <c r="O4864" i="61"/>
  <c r="N4864" i="61"/>
  <c r="M4864" i="61"/>
  <c r="L4864" i="61"/>
  <c r="K4864" i="61"/>
  <c r="P4863" i="61"/>
  <c r="O4863" i="61"/>
  <c r="N4863" i="61"/>
  <c r="M4863" i="61"/>
  <c r="L4863" i="61"/>
  <c r="K4863" i="61"/>
  <c r="P4862" i="61"/>
  <c r="O4862" i="61"/>
  <c r="N4862" i="61"/>
  <c r="M4862" i="61"/>
  <c r="L4862" i="61"/>
  <c r="K4862" i="61"/>
  <c r="P4861" i="61"/>
  <c r="O4861" i="61"/>
  <c r="N4861" i="61"/>
  <c r="M4861" i="61"/>
  <c r="L4861" i="61"/>
  <c r="K4861" i="61"/>
  <c r="P4860" i="61"/>
  <c r="O4860" i="61"/>
  <c r="N4860" i="61"/>
  <c r="M4860" i="61"/>
  <c r="L4860" i="61"/>
  <c r="K4860" i="61"/>
  <c r="P4859" i="61"/>
  <c r="O4859" i="61"/>
  <c r="N4859" i="61"/>
  <c r="M4859" i="61"/>
  <c r="L4859" i="61"/>
  <c r="K4859" i="61"/>
  <c r="P4858" i="61"/>
  <c r="O4858" i="61"/>
  <c r="N4858" i="61"/>
  <c r="M4858" i="61"/>
  <c r="L4858" i="61"/>
  <c r="K4858" i="61"/>
  <c r="P4857" i="61"/>
  <c r="O4857" i="61"/>
  <c r="N4857" i="61"/>
  <c r="M4857" i="61"/>
  <c r="L4857" i="61"/>
  <c r="K4857" i="61"/>
  <c r="P4856" i="61"/>
  <c r="O4856" i="61"/>
  <c r="N4856" i="61"/>
  <c r="M4856" i="61"/>
  <c r="L4856" i="61"/>
  <c r="K4856" i="61"/>
  <c r="P4855" i="61"/>
  <c r="O4855" i="61"/>
  <c r="N4855" i="61"/>
  <c r="M4855" i="61"/>
  <c r="L4855" i="61"/>
  <c r="K4855" i="61"/>
  <c r="P4854" i="61"/>
  <c r="O4854" i="61"/>
  <c r="N4854" i="61"/>
  <c r="M4854" i="61"/>
  <c r="L4854" i="61"/>
  <c r="K4854" i="61"/>
  <c r="P4853" i="61"/>
  <c r="O4853" i="61"/>
  <c r="N4853" i="61"/>
  <c r="M4853" i="61"/>
  <c r="L4853" i="61"/>
  <c r="K4853" i="61"/>
  <c r="P4852" i="61"/>
  <c r="O4852" i="61"/>
  <c r="N4852" i="61"/>
  <c r="M4852" i="61"/>
  <c r="L4852" i="61"/>
  <c r="K4852" i="61"/>
  <c r="P4851" i="61"/>
  <c r="O4851" i="61"/>
  <c r="N4851" i="61"/>
  <c r="M4851" i="61"/>
  <c r="L4851" i="61"/>
  <c r="K4851" i="61"/>
  <c r="P4850" i="61"/>
  <c r="O4850" i="61"/>
  <c r="N4850" i="61"/>
  <c r="M4850" i="61"/>
  <c r="L4850" i="61"/>
  <c r="K4850" i="61"/>
  <c r="P4849" i="61"/>
  <c r="O4849" i="61"/>
  <c r="N4849" i="61"/>
  <c r="M4849" i="61"/>
  <c r="L4849" i="61"/>
  <c r="K4849" i="61"/>
  <c r="P4848" i="61"/>
  <c r="O4848" i="61"/>
  <c r="N4848" i="61"/>
  <c r="M4848" i="61"/>
  <c r="L4848" i="61"/>
  <c r="K4848" i="61"/>
  <c r="P4847" i="61"/>
  <c r="O4847" i="61"/>
  <c r="N4847" i="61"/>
  <c r="M4847" i="61"/>
  <c r="L4847" i="61"/>
  <c r="K4847" i="61"/>
  <c r="P4846" i="61"/>
  <c r="O4846" i="61"/>
  <c r="N4846" i="61"/>
  <c r="M4846" i="61"/>
  <c r="L4846" i="61"/>
  <c r="K4846" i="61"/>
  <c r="P4845" i="61"/>
  <c r="O4845" i="61"/>
  <c r="N4845" i="61"/>
  <c r="M4845" i="61"/>
  <c r="L4845" i="61"/>
  <c r="K4845" i="61"/>
  <c r="P4844" i="61"/>
  <c r="O4844" i="61"/>
  <c r="N4844" i="61"/>
  <c r="M4844" i="61"/>
  <c r="L4844" i="61"/>
  <c r="K4844" i="61"/>
  <c r="P4843" i="61"/>
  <c r="O4843" i="61"/>
  <c r="N4843" i="61"/>
  <c r="M4843" i="61"/>
  <c r="L4843" i="61"/>
  <c r="K4843" i="61"/>
  <c r="P4842" i="61"/>
  <c r="O4842" i="61"/>
  <c r="N4842" i="61"/>
  <c r="M4842" i="61"/>
  <c r="L4842" i="61"/>
  <c r="K4842" i="61"/>
  <c r="P4841" i="61"/>
  <c r="O4841" i="61"/>
  <c r="N4841" i="61"/>
  <c r="M4841" i="61"/>
  <c r="L4841" i="61"/>
  <c r="K4841" i="61"/>
  <c r="P4840" i="61"/>
  <c r="O4840" i="61"/>
  <c r="N4840" i="61"/>
  <c r="M4840" i="61"/>
  <c r="L4840" i="61"/>
  <c r="K4840" i="61"/>
  <c r="P4839" i="61"/>
  <c r="O4839" i="61"/>
  <c r="N4839" i="61"/>
  <c r="M4839" i="61"/>
  <c r="L4839" i="61"/>
  <c r="K4839" i="61"/>
  <c r="P4838" i="61"/>
  <c r="O4838" i="61"/>
  <c r="N4838" i="61"/>
  <c r="M4838" i="61"/>
  <c r="L4838" i="61"/>
  <c r="K4838" i="61"/>
  <c r="P4837" i="61"/>
  <c r="O4837" i="61"/>
  <c r="N4837" i="61"/>
  <c r="M4837" i="61"/>
  <c r="L4837" i="61"/>
  <c r="K4837" i="61"/>
  <c r="P4836" i="61"/>
  <c r="O4836" i="61"/>
  <c r="N4836" i="61"/>
  <c r="M4836" i="61"/>
  <c r="L4836" i="61"/>
  <c r="K4836" i="61"/>
  <c r="P4835" i="61"/>
  <c r="O4835" i="61"/>
  <c r="N4835" i="61"/>
  <c r="M4835" i="61"/>
  <c r="L4835" i="61"/>
  <c r="K4835" i="61"/>
  <c r="P4834" i="61"/>
  <c r="O4834" i="61"/>
  <c r="N4834" i="61"/>
  <c r="M4834" i="61"/>
  <c r="L4834" i="61"/>
  <c r="K4834" i="61"/>
  <c r="P4833" i="61"/>
  <c r="O4833" i="61"/>
  <c r="N4833" i="61"/>
  <c r="M4833" i="61"/>
  <c r="L4833" i="61"/>
  <c r="K4833" i="61"/>
  <c r="P4832" i="61"/>
  <c r="O4832" i="61"/>
  <c r="N4832" i="61"/>
  <c r="M4832" i="61"/>
  <c r="L4832" i="61"/>
  <c r="K4832" i="61"/>
  <c r="P4831" i="61"/>
  <c r="O4831" i="61"/>
  <c r="N4831" i="61"/>
  <c r="M4831" i="61"/>
  <c r="L4831" i="61"/>
  <c r="K4831" i="61"/>
  <c r="P4830" i="61"/>
  <c r="O4830" i="61"/>
  <c r="N4830" i="61"/>
  <c r="M4830" i="61"/>
  <c r="L4830" i="61"/>
  <c r="K4830" i="61"/>
  <c r="P4829" i="61"/>
  <c r="O4829" i="61"/>
  <c r="N4829" i="61"/>
  <c r="M4829" i="61"/>
  <c r="L4829" i="61"/>
  <c r="K4829" i="61"/>
  <c r="P4828" i="61"/>
  <c r="O4828" i="61"/>
  <c r="N4828" i="61"/>
  <c r="M4828" i="61"/>
  <c r="L4828" i="61"/>
  <c r="K4828" i="61"/>
  <c r="P4827" i="61"/>
  <c r="O4827" i="61"/>
  <c r="N4827" i="61"/>
  <c r="M4827" i="61"/>
  <c r="L4827" i="61"/>
  <c r="K4827" i="61"/>
  <c r="P4826" i="61"/>
  <c r="O4826" i="61"/>
  <c r="N4826" i="61"/>
  <c r="M4826" i="61"/>
  <c r="L4826" i="61"/>
  <c r="K4826" i="61"/>
  <c r="P4825" i="61"/>
  <c r="O4825" i="61"/>
  <c r="N4825" i="61"/>
  <c r="M4825" i="61"/>
  <c r="L4825" i="61"/>
  <c r="K4825" i="61"/>
  <c r="P4824" i="61"/>
  <c r="O4824" i="61"/>
  <c r="N4824" i="61"/>
  <c r="M4824" i="61"/>
  <c r="L4824" i="61"/>
  <c r="K4824" i="61"/>
  <c r="P4823" i="61"/>
  <c r="O4823" i="61"/>
  <c r="N4823" i="61"/>
  <c r="M4823" i="61"/>
  <c r="L4823" i="61"/>
  <c r="K4823" i="61"/>
  <c r="P4822" i="61"/>
  <c r="O4822" i="61"/>
  <c r="N4822" i="61"/>
  <c r="M4822" i="61"/>
  <c r="L4822" i="61"/>
  <c r="K4822" i="61"/>
  <c r="P4821" i="61"/>
  <c r="O4821" i="61"/>
  <c r="N4821" i="61"/>
  <c r="M4821" i="61"/>
  <c r="L4821" i="61"/>
  <c r="K4821" i="61"/>
  <c r="P4820" i="61"/>
  <c r="O4820" i="61"/>
  <c r="N4820" i="61"/>
  <c r="M4820" i="61"/>
  <c r="L4820" i="61"/>
  <c r="K4820" i="61"/>
  <c r="P4819" i="61"/>
  <c r="O4819" i="61"/>
  <c r="N4819" i="61"/>
  <c r="M4819" i="61"/>
  <c r="L4819" i="61"/>
  <c r="K4819" i="61"/>
  <c r="P4818" i="61"/>
  <c r="O4818" i="61"/>
  <c r="N4818" i="61"/>
  <c r="M4818" i="61"/>
  <c r="L4818" i="61"/>
  <c r="K4818" i="61"/>
  <c r="P4817" i="61"/>
  <c r="O4817" i="61"/>
  <c r="N4817" i="61"/>
  <c r="M4817" i="61"/>
  <c r="L4817" i="61"/>
  <c r="K4817" i="61"/>
  <c r="P4816" i="61"/>
  <c r="O4816" i="61"/>
  <c r="N4816" i="61"/>
  <c r="M4816" i="61"/>
  <c r="L4816" i="61"/>
  <c r="K4816" i="61"/>
  <c r="P4815" i="61"/>
  <c r="O4815" i="61"/>
  <c r="N4815" i="61"/>
  <c r="M4815" i="61"/>
  <c r="L4815" i="61"/>
  <c r="K4815" i="61"/>
  <c r="P4814" i="61"/>
  <c r="O4814" i="61"/>
  <c r="N4814" i="61"/>
  <c r="M4814" i="61"/>
  <c r="L4814" i="61"/>
  <c r="K4814" i="61"/>
  <c r="P4813" i="61"/>
  <c r="O4813" i="61"/>
  <c r="N4813" i="61"/>
  <c r="M4813" i="61"/>
  <c r="L4813" i="61"/>
  <c r="K4813" i="61"/>
  <c r="P4812" i="61"/>
  <c r="O4812" i="61"/>
  <c r="N4812" i="61"/>
  <c r="M4812" i="61"/>
  <c r="L4812" i="61"/>
  <c r="K4812" i="61"/>
  <c r="P4811" i="61"/>
  <c r="O4811" i="61"/>
  <c r="N4811" i="61"/>
  <c r="M4811" i="61"/>
  <c r="L4811" i="61"/>
  <c r="K4811" i="61"/>
  <c r="P4810" i="61"/>
  <c r="O4810" i="61"/>
  <c r="N4810" i="61"/>
  <c r="M4810" i="61"/>
  <c r="L4810" i="61"/>
  <c r="K4810" i="61"/>
  <c r="P4809" i="61"/>
  <c r="O4809" i="61"/>
  <c r="N4809" i="61"/>
  <c r="M4809" i="61"/>
  <c r="L4809" i="61"/>
  <c r="K4809" i="61"/>
  <c r="P4808" i="61"/>
  <c r="O4808" i="61"/>
  <c r="N4808" i="61"/>
  <c r="M4808" i="61"/>
  <c r="L4808" i="61"/>
  <c r="K4808" i="61"/>
  <c r="P4807" i="61"/>
  <c r="O4807" i="61"/>
  <c r="N4807" i="61"/>
  <c r="M4807" i="61"/>
  <c r="L4807" i="61"/>
  <c r="K4807" i="61"/>
  <c r="P4806" i="61"/>
  <c r="O4806" i="61"/>
  <c r="N4806" i="61"/>
  <c r="M4806" i="61"/>
  <c r="L4806" i="61"/>
  <c r="K4806" i="61"/>
  <c r="P4805" i="61"/>
  <c r="O4805" i="61"/>
  <c r="N4805" i="61"/>
  <c r="M4805" i="61"/>
  <c r="L4805" i="61"/>
  <c r="K4805" i="61"/>
  <c r="P4804" i="61"/>
  <c r="O4804" i="61"/>
  <c r="N4804" i="61"/>
  <c r="M4804" i="61"/>
  <c r="L4804" i="61"/>
  <c r="K4804" i="61"/>
  <c r="P4803" i="61"/>
  <c r="O4803" i="61"/>
  <c r="N4803" i="61"/>
  <c r="M4803" i="61"/>
  <c r="L4803" i="61"/>
  <c r="K4803" i="61"/>
  <c r="P4802" i="61"/>
  <c r="O4802" i="61"/>
  <c r="N4802" i="61"/>
  <c r="M4802" i="61"/>
  <c r="L4802" i="61"/>
  <c r="K4802" i="61"/>
  <c r="P4801" i="61"/>
  <c r="O4801" i="61"/>
  <c r="N4801" i="61"/>
  <c r="M4801" i="61"/>
  <c r="L4801" i="61"/>
  <c r="K4801" i="61"/>
  <c r="P4800" i="61"/>
  <c r="O4800" i="61"/>
  <c r="N4800" i="61"/>
  <c r="M4800" i="61"/>
  <c r="L4800" i="61"/>
  <c r="K4800" i="61"/>
  <c r="P4799" i="61"/>
  <c r="O4799" i="61"/>
  <c r="N4799" i="61"/>
  <c r="M4799" i="61"/>
  <c r="L4799" i="61"/>
  <c r="K4799" i="61"/>
  <c r="P4798" i="61"/>
  <c r="O4798" i="61"/>
  <c r="N4798" i="61"/>
  <c r="M4798" i="61"/>
  <c r="L4798" i="61"/>
  <c r="K4798" i="61"/>
  <c r="P4797" i="61"/>
  <c r="O4797" i="61"/>
  <c r="N4797" i="61"/>
  <c r="M4797" i="61"/>
  <c r="L4797" i="61"/>
  <c r="K4797" i="61"/>
  <c r="P4796" i="61"/>
  <c r="O4796" i="61"/>
  <c r="N4796" i="61"/>
  <c r="M4796" i="61"/>
  <c r="L4796" i="61"/>
  <c r="K4796" i="61"/>
  <c r="P4795" i="61"/>
  <c r="O4795" i="61"/>
  <c r="N4795" i="61"/>
  <c r="M4795" i="61"/>
  <c r="L4795" i="61"/>
  <c r="K4795" i="61"/>
  <c r="P4794" i="61"/>
  <c r="O4794" i="61"/>
  <c r="N4794" i="61"/>
  <c r="M4794" i="61"/>
  <c r="L4794" i="61"/>
  <c r="K4794" i="61"/>
  <c r="P4793" i="61"/>
  <c r="O4793" i="61"/>
  <c r="N4793" i="61"/>
  <c r="M4793" i="61"/>
  <c r="L4793" i="61"/>
  <c r="K4793" i="61"/>
  <c r="P4792" i="61"/>
  <c r="O4792" i="61"/>
  <c r="N4792" i="61"/>
  <c r="M4792" i="61"/>
  <c r="L4792" i="61"/>
  <c r="K4792" i="61"/>
  <c r="P4791" i="61"/>
  <c r="O4791" i="61"/>
  <c r="N4791" i="61"/>
  <c r="M4791" i="61"/>
  <c r="L4791" i="61"/>
  <c r="K4791" i="61"/>
  <c r="P4790" i="61"/>
  <c r="O4790" i="61"/>
  <c r="N4790" i="61"/>
  <c r="M4790" i="61"/>
  <c r="L4790" i="61"/>
  <c r="K4790" i="61"/>
  <c r="P4789" i="61"/>
  <c r="O4789" i="61"/>
  <c r="N4789" i="61"/>
  <c r="M4789" i="61"/>
  <c r="L4789" i="61"/>
  <c r="K4789" i="61"/>
  <c r="P4788" i="61"/>
  <c r="O4788" i="61"/>
  <c r="N4788" i="61"/>
  <c r="M4788" i="61"/>
  <c r="L4788" i="61"/>
  <c r="K4788" i="61"/>
  <c r="P4787" i="61"/>
  <c r="O4787" i="61"/>
  <c r="N4787" i="61"/>
  <c r="M4787" i="61"/>
  <c r="L4787" i="61"/>
  <c r="K4787" i="61"/>
  <c r="P4786" i="61"/>
  <c r="O4786" i="61"/>
  <c r="N4786" i="61"/>
  <c r="M4786" i="61"/>
  <c r="L4786" i="61"/>
  <c r="K4786" i="61"/>
  <c r="P4785" i="61"/>
  <c r="O4785" i="61"/>
  <c r="N4785" i="61"/>
  <c r="M4785" i="61"/>
  <c r="L4785" i="61"/>
  <c r="K4785" i="61"/>
  <c r="P4784" i="61"/>
  <c r="O4784" i="61"/>
  <c r="N4784" i="61"/>
  <c r="M4784" i="61"/>
  <c r="L4784" i="61"/>
  <c r="K4784" i="61"/>
  <c r="P4783" i="61"/>
  <c r="O4783" i="61"/>
  <c r="N4783" i="61"/>
  <c r="M4783" i="61"/>
  <c r="L4783" i="61"/>
  <c r="K4783" i="61"/>
  <c r="P4782" i="61"/>
  <c r="O4782" i="61"/>
  <c r="N4782" i="61"/>
  <c r="M4782" i="61"/>
  <c r="L4782" i="61"/>
  <c r="K4782" i="61"/>
  <c r="P4781" i="61"/>
  <c r="O4781" i="61"/>
  <c r="N4781" i="61"/>
  <c r="M4781" i="61"/>
  <c r="L4781" i="61"/>
  <c r="K4781" i="61"/>
  <c r="P4780" i="61"/>
  <c r="O4780" i="61"/>
  <c r="N4780" i="61"/>
  <c r="M4780" i="61"/>
  <c r="L4780" i="61"/>
  <c r="K4780" i="61"/>
  <c r="P4779" i="61"/>
  <c r="O4779" i="61"/>
  <c r="N4779" i="61"/>
  <c r="M4779" i="61"/>
  <c r="L4779" i="61"/>
  <c r="K4779" i="61"/>
  <c r="P4778" i="61"/>
  <c r="O4778" i="61"/>
  <c r="N4778" i="61"/>
  <c r="M4778" i="61"/>
  <c r="L4778" i="61"/>
  <c r="K4778" i="61"/>
  <c r="P4777" i="61"/>
  <c r="O4777" i="61"/>
  <c r="N4777" i="61"/>
  <c r="M4777" i="61"/>
  <c r="L4777" i="61"/>
  <c r="K4777" i="61"/>
  <c r="P4776" i="61"/>
  <c r="O4776" i="61"/>
  <c r="N4776" i="61"/>
  <c r="M4776" i="61"/>
  <c r="L4776" i="61"/>
  <c r="K4776" i="61"/>
  <c r="P4775" i="61"/>
  <c r="O4775" i="61"/>
  <c r="N4775" i="61"/>
  <c r="M4775" i="61"/>
  <c r="L4775" i="61"/>
  <c r="K4775" i="61"/>
  <c r="P4774" i="61"/>
  <c r="O4774" i="61"/>
  <c r="N4774" i="61"/>
  <c r="M4774" i="61"/>
  <c r="L4774" i="61"/>
  <c r="K4774" i="61"/>
  <c r="P4773" i="61"/>
  <c r="O4773" i="61"/>
  <c r="N4773" i="61"/>
  <c r="M4773" i="61"/>
  <c r="L4773" i="61"/>
  <c r="K4773" i="61"/>
  <c r="P4772" i="61"/>
  <c r="O4772" i="61"/>
  <c r="N4772" i="61"/>
  <c r="M4772" i="61"/>
  <c r="L4772" i="61"/>
  <c r="K4772" i="61"/>
  <c r="P4771" i="61"/>
  <c r="O4771" i="61"/>
  <c r="N4771" i="61"/>
  <c r="M4771" i="61"/>
  <c r="L4771" i="61"/>
  <c r="K4771" i="61"/>
  <c r="P4770" i="61"/>
  <c r="O4770" i="61"/>
  <c r="N4770" i="61"/>
  <c r="M4770" i="61"/>
  <c r="L4770" i="61"/>
  <c r="K4770" i="61"/>
  <c r="P4769" i="61"/>
  <c r="O4769" i="61"/>
  <c r="N4769" i="61"/>
  <c r="M4769" i="61"/>
  <c r="L4769" i="61"/>
  <c r="K4769" i="61"/>
  <c r="P4768" i="61"/>
  <c r="O4768" i="61"/>
  <c r="N4768" i="61"/>
  <c r="M4768" i="61"/>
  <c r="L4768" i="61"/>
  <c r="K4768" i="61"/>
  <c r="P4767" i="61"/>
  <c r="O4767" i="61"/>
  <c r="N4767" i="61"/>
  <c r="M4767" i="61"/>
  <c r="L4767" i="61"/>
  <c r="K4767" i="61"/>
  <c r="P4766" i="61"/>
  <c r="O4766" i="61"/>
  <c r="N4766" i="61"/>
  <c r="M4766" i="61"/>
  <c r="L4766" i="61"/>
  <c r="K4766" i="61"/>
  <c r="P4765" i="61"/>
  <c r="O4765" i="61"/>
  <c r="N4765" i="61"/>
  <c r="M4765" i="61"/>
  <c r="L4765" i="61"/>
  <c r="K4765" i="61"/>
  <c r="P4764" i="61"/>
  <c r="O4764" i="61"/>
  <c r="N4764" i="61"/>
  <c r="M4764" i="61"/>
  <c r="L4764" i="61"/>
  <c r="K4764" i="61"/>
  <c r="P4763" i="61"/>
  <c r="O4763" i="61"/>
  <c r="N4763" i="61"/>
  <c r="M4763" i="61"/>
  <c r="L4763" i="61"/>
  <c r="K4763" i="61"/>
  <c r="P4762" i="61"/>
  <c r="O4762" i="61"/>
  <c r="N4762" i="61"/>
  <c r="M4762" i="61"/>
  <c r="L4762" i="61"/>
  <c r="K4762" i="61"/>
  <c r="P4761" i="61"/>
  <c r="O4761" i="61"/>
  <c r="N4761" i="61"/>
  <c r="M4761" i="61"/>
  <c r="L4761" i="61"/>
  <c r="K4761" i="61"/>
  <c r="P4760" i="61"/>
  <c r="O4760" i="61"/>
  <c r="N4760" i="61"/>
  <c r="M4760" i="61"/>
  <c r="L4760" i="61"/>
  <c r="K4760" i="61"/>
  <c r="P4759" i="61"/>
  <c r="O4759" i="61"/>
  <c r="N4759" i="61"/>
  <c r="M4759" i="61"/>
  <c r="L4759" i="61"/>
  <c r="K4759" i="61"/>
  <c r="P4758" i="61"/>
  <c r="O4758" i="61"/>
  <c r="N4758" i="61"/>
  <c r="M4758" i="61"/>
  <c r="L4758" i="61"/>
  <c r="K4758" i="61"/>
  <c r="P4757" i="61"/>
  <c r="O4757" i="61"/>
  <c r="N4757" i="61"/>
  <c r="M4757" i="61"/>
  <c r="L4757" i="61"/>
  <c r="K4757" i="61"/>
  <c r="P4756" i="61"/>
  <c r="O4756" i="61"/>
  <c r="N4756" i="61"/>
  <c r="M4756" i="61"/>
  <c r="L4756" i="61"/>
  <c r="K4756" i="61"/>
  <c r="P4755" i="61"/>
  <c r="O4755" i="61"/>
  <c r="N4755" i="61"/>
  <c r="M4755" i="61"/>
  <c r="L4755" i="61"/>
  <c r="K4755" i="61"/>
  <c r="P4754" i="61"/>
  <c r="O4754" i="61"/>
  <c r="N4754" i="61"/>
  <c r="M4754" i="61"/>
  <c r="L4754" i="61"/>
  <c r="K4754" i="61"/>
  <c r="P4753" i="61"/>
  <c r="O4753" i="61"/>
  <c r="N4753" i="61"/>
  <c r="M4753" i="61"/>
  <c r="L4753" i="61"/>
  <c r="K4753" i="61"/>
  <c r="P4752" i="61"/>
  <c r="O4752" i="61"/>
  <c r="N4752" i="61"/>
  <c r="M4752" i="61"/>
  <c r="L4752" i="61"/>
  <c r="K4752" i="61"/>
  <c r="P4751" i="61"/>
  <c r="O4751" i="61"/>
  <c r="N4751" i="61"/>
  <c r="M4751" i="61"/>
  <c r="L4751" i="61"/>
  <c r="K4751" i="61"/>
  <c r="P4750" i="61"/>
  <c r="O4750" i="61"/>
  <c r="N4750" i="61"/>
  <c r="M4750" i="61"/>
  <c r="L4750" i="61"/>
  <c r="K4750" i="61"/>
  <c r="P4749" i="61"/>
  <c r="O4749" i="61"/>
  <c r="N4749" i="61"/>
  <c r="M4749" i="61"/>
  <c r="L4749" i="61"/>
  <c r="K4749" i="61"/>
  <c r="P4748" i="61"/>
  <c r="O4748" i="61"/>
  <c r="N4748" i="61"/>
  <c r="M4748" i="61"/>
  <c r="L4748" i="61"/>
  <c r="K4748" i="61"/>
  <c r="P4747" i="61"/>
  <c r="O4747" i="61"/>
  <c r="N4747" i="61"/>
  <c r="M4747" i="61"/>
  <c r="L4747" i="61"/>
  <c r="K4747" i="61"/>
  <c r="P4746" i="61"/>
  <c r="O4746" i="61"/>
  <c r="N4746" i="61"/>
  <c r="M4746" i="61"/>
  <c r="L4746" i="61"/>
  <c r="K4746" i="61"/>
  <c r="P4745" i="61"/>
  <c r="O4745" i="61"/>
  <c r="N4745" i="61"/>
  <c r="M4745" i="61"/>
  <c r="L4745" i="61"/>
  <c r="K4745" i="61"/>
  <c r="P4744" i="61"/>
  <c r="O4744" i="61"/>
  <c r="N4744" i="61"/>
  <c r="M4744" i="61"/>
  <c r="L4744" i="61"/>
  <c r="K4744" i="61"/>
  <c r="P4743" i="61"/>
  <c r="O4743" i="61"/>
  <c r="N4743" i="61"/>
  <c r="M4743" i="61"/>
  <c r="L4743" i="61"/>
  <c r="K4743" i="61"/>
  <c r="P4742" i="61"/>
  <c r="O4742" i="61"/>
  <c r="N4742" i="61"/>
  <c r="M4742" i="61"/>
  <c r="L4742" i="61"/>
  <c r="K4742" i="61"/>
  <c r="P4741" i="61"/>
  <c r="O4741" i="61"/>
  <c r="N4741" i="61"/>
  <c r="M4741" i="61"/>
  <c r="L4741" i="61"/>
  <c r="K4741" i="61"/>
  <c r="P4740" i="61"/>
  <c r="O4740" i="61"/>
  <c r="N4740" i="61"/>
  <c r="M4740" i="61"/>
  <c r="L4740" i="61"/>
  <c r="K4740" i="61"/>
  <c r="P4739" i="61"/>
  <c r="O4739" i="61"/>
  <c r="N4739" i="61"/>
  <c r="M4739" i="61"/>
  <c r="L4739" i="61"/>
  <c r="K4739" i="61"/>
  <c r="P4738" i="61"/>
  <c r="O4738" i="61"/>
  <c r="N4738" i="61"/>
  <c r="M4738" i="61"/>
  <c r="L4738" i="61"/>
  <c r="K4738" i="61"/>
  <c r="P4737" i="61"/>
  <c r="O4737" i="61"/>
  <c r="N4737" i="61"/>
  <c r="M4737" i="61"/>
  <c r="L4737" i="61"/>
  <c r="K4737" i="61"/>
  <c r="P4736" i="61"/>
  <c r="O4736" i="61"/>
  <c r="N4736" i="61"/>
  <c r="M4736" i="61"/>
  <c r="L4736" i="61"/>
  <c r="K4736" i="61"/>
  <c r="P4735" i="61"/>
  <c r="O4735" i="61"/>
  <c r="N4735" i="61"/>
  <c r="M4735" i="61"/>
  <c r="L4735" i="61"/>
  <c r="K4735" i="61"/>
  <c r="P4734" i="61"/>
  <c r="O4734" i="61"/>
  <c r="N4734" i="61"/>
  <c r="M4734" i="61"/>
  <c r="L4734" i="61"/>
  <c r="K4734" i="61"/>
  <c r="P4733" i="61"/>
  <c r="O4733" i="61"/>
  <c r="N4733" i="61"/>
  <c r="M4733" i="61"/>
  <c r="L4733" i="61"/>
  <c r="K4733" i="61"/>
  <c r="P4732" i="61"/>
  <c r="O4732" i="61"/>
  <c r="N4732" i="61"/>
  <c r="M4732" i="61"/>
  <c r="L4732" i="61"/>
  <c r="K4732" i="61"/>
  <c r="P4731" i="61"/>
  <c r="O4731" i="61"/>
  <c r="N4731" i="61"/>
  <c r="M4731" i="61"/>
  <c r="L4731" i="61"/>
  <c r="K4731" i="61"/>
  <c r="P4730" i="61"/>
  <c r="O4730" i="61"/>
  <c r="N4730" i="61"/>
  <c r="M4730" i="61"/>
  <c r="L4730" i="61"/>
  <c r="K4730" i="61"/>
  <c r="P4729" i="61"/>
  <c r="O4729" i="61"/>
  <c r="N4729" i="61"/>
  <c r="M4729" i="61"/>
  <c r="L4729" i="61"/>
  <c r="K4729" i="61"/>
  <c r="P4728" i="61"/>
  <c r="O4728" i="61"/>
  <c r="N4728" i="61"/>
  <c r="M4728" i="61"/>
  <c r="L4728" i="61"/>
  <c r="K4728" i="61"/>
  <c r="P4727" i="61"/>
  <c r="O4727" i="61"/>
  <c r="N4727" i="61"/>
  <c r="M4727" i="61"/>
  <c r="L4727" i="61"/>
  <c r="K4727" i="61"/>
  <c r="P4726" i="61"/>
  <c r="O4726" i="61"/>
  <c r="N4726" i="61"/>
  <c r="M4726" i="61"/>
  <c r="L4726" i="61"/>
  <c r="K4726" i="61"/>
  <c r="P4725" i="61"/>
  <c r="O4725" i="61"/>
  <c r="N4725" i="61"/>
  <c r="M4725" i="61"/>
  <c r="L4725" i="61"/>
  <c r="K4725" i="61"/>
  <c r="P4724" i="61"/>
  <c r="O4724" i="61"/>
  <c r="N4724" i="61"/>
  <c r="M4724" i="61"/>
  <c r="L4724" i="61"/>
  <c r="K4724" i="61"/>
  <c r="P4723" i="61"/>
  <c r="O4723" i="61"/>
  <c r="N4723" i="61"/>
  <c r="M4723" i="61"/>
  <c r="L4723" i="61"/>
  <c r="K4723" i="61"/>
  <c r="P4722" i="61"/>
  <c r="O4722" i="61"/>
  <c r="N4722" i="61"/>
  <c r="M4722" i="61"/>
  <c r="L4722" i="61"/>
  <c r="K4722" i="61"/>
  <c r="P4721" i="61"/>
  <c r="O4721" i="61"/>
  <c r="N4721" i="61"/>
  <c r="M4721" i="61"/>
  <c r="L4721" i="61"/>
  <c r="K4721" i="61"/>
  <c r="P4720" i="61"/>
  <c r="O4720" i="61"/>
  <c r="N4720" i="61"/>
  <c r="M4720" i="61"/>
  <c r="L4720" i="61"/>
  <c r="K4720" i="61"/>
  <c r="P4719" i="61"/>
  <c r="O4719" i="61"/>
  <c r="N4719" i="61"/>
  <c r="M4719" i="61"/>
  <c r="L4719" i="61"/>
  <c r="K4719" i="61"/>
  <c r="P4718" i="61"/>
  <c r="O4718" i="61"/>
  <c r="N4718" i="61"/>
  <c r="M4718" i="61"/>
  <c r="L4718" i="61"/>
  <c r="K4718" i="61"/>
  <c r="P4717" i="61"/>
  <c r="O4717" i="61"/>
  <c r="N4717" i="61"/>
  <c r="M4717" i="61"/>
  <c r="L4717" i="61"/>
  <c r="K4717" i="61"/>
  <c r="P4716" i="61"/>
  <c r="O4716" i="61"/>
  <c r="N4716" i="61"/>
  <c r="M4716" i="61"/>
  <c r="L4716" i="61"/>
  <c r="K4716" i="61"/>
  <c r="P4715" i="61"/>
  <c r="O4715" i="61"/>
  <c r="N4715" i="61"/>
  <c r="M4715" i="61"/>
  <c r="L4715" i="61"/>
  <c r="K4715" i="61"/>
  <c r="P4714" i="61"/>
  <c r="O4714" i="61"/>
  <c r="N4714" i="61"/>
  <c r="M4714" i="61"/>
  <c r="L4714" i="61"/>
  <c r="K4714" i="61"/>
  <c r="P4713" i="61"/>
  <c r="O4713" i="61"/>
  <c r="N4713" i="61"/>
  <c r="M4713" i="61"/>
  <c r="L4713" i="61"/>
  <c r="K4713" i="61"/>
  <c r="P4712" i="61"/>
  <c r="O4712" i="61"/>
  <c r="N4712" i="61"/>
  <c r="M4712" i="61"/>
  <c r="L4712" i="61"/>
  <c r="K4712" i="61"/>
  <c r="P4711" i="61"/>
  <c r="O4711" i="61"/>
  <c r="N4711" i="61"/>
  <c r="M4711" i="61"/>
  <c r="L4711" i="61"/>
  <c r="K4711" i="61"/>
  <c r="P4710" i="61"/>
  <c r="O4710" i="61"/>
  <c r="N4710" i="61"/>
  <c r="M4710" i="61"/>
  <c r="L4710" i="61"/>
  <c r="K4710" i="61"/>
  <c r="P4709" i="61"/>
  <c r="O4709" i="61"/>
  <c r="N4709" i="61"/>
  <c r="M4709" i="61"/>
  <c r="L4709" i="61"/>
  <c r="K4709" i="61"/>
  <c r="P4708" i="61"/>
  <c r="O4708" i="61"/>
  <c r="N4708" i="61"/>
  <c r="M4708" i="61"/>
  <c r="L4708" i="61"/>
  <c r="K4708" i="61"/>
  <c r="P4707" i="61"/>
  <c r="O4707" i="61"/>
  <c r="N4707" i="61"/>
  <c r="M4707" i="61"/>
  <c r="L4707" i="61"/>
  <c r="K4707" i="61"/>
  <c r="P4706" i="61"/>
  <c r="O4706" i="61"/>
  <c r="N4706" i="61"/>
  <c r="M4706" i="61"/>
  <c r="L4706" i="61"/>
  <c r="K4706" i="61"/>
  <c r="P4705" i="61"/>
  <c r="O4705" i="61"/>
  <c r="N4705" i="61"/>
  <c r="M4705" i="61"/>
  <c r="L4705" i="61"/>
  <c r="K4705" i="61"/>
  <c r="P4704" i="61"/>
  <c r="O4704" i="61"/>
  <c r="N4704" i="61"/>
  <c r="M4704" i="61"/>
  <c r="L4704" i="61"/>
  <c r="K4704" i="61"/>
  <c r="P4703" i="61"/>
  <c r="O4703" i="61"/>
  <c r="N4703" i="61"/>
  <c r="M4703" i="61"/>
  <c r="L4703" i="61"/>
  <c r="K4703" i="61"/>
  <c r="P4702" i="61"/>
  <c r="O4702" i="61"/>
  <c r="N4702" i="61"/>
  <c r="M4702" i="61"/>
  <c r="L4702" i="61"/>
  <c r="K4702" i="61"/>
  <c r="P4701" i="61"/>
  <c r="O4701" i="61"/>
  <c r="N4701" i="61"/>
  <c r="M4701" i="61"/>
  <c r="L4701" i="61"/>
  <c r="K4701" i="61"/>
  <c r="P4700" i="61"/>
  <c r="O4700" i="61"/>
  <c r="N4700" i="61"/>
  <c r="M4700" i="61"/>
  <c r="L4700" i="61"/>
  <c r="K4700" i="61"/>
  <c r="P4699" i="61"/>
  <c r="O4699" i="61"/>
  <c r="N4699" i="61"/>
  <c r="M4699" i="61"/>
  <c r="L4699" i="61"/>
  <c r="K4699" i="61"/>
  <c r="P4698" i="61"/>
  <c r="O4698" i="61"/>
  <c r="N4698" i="61"/>
  <c r="M4698" i="61"/>
  <c r="L4698" i="61"/>
  <c r="K4698" i="61"/>
  <c r="P4697" i="61"/>
  <c r="O4697" i="61"/>
  <c r="N4697" i="61"/>
  <c r="M4697" i="61"/>
  <c r="L4697" i="61"/>
  <c r="K4697" i="61"/>
  <c r="P4696" i="61"/>
  <c r="O4696" i="61"/>
  <c r="N4696" i="61"/>
  <c r="M4696" i="61"/>
  <c r="L4696" i="61"/>
  <c r="K4696" i="61"/>
  <c r="P4695" i="61"/>
  <c r="O4695" i="61"/>
  <c r="N4695" i="61"/>
  <c r="M4695" i="61"/>
  <c r="L4695" i="61"/>
  <c r="K4695" i="61"/>
  <c r="P4694" i="61"/>
  <c r="O4694" i="61"/>
  <c r="N4694" i="61"/>
  <c r="M4694" i="61"/>
  <c r="L4694" i="61"/>
  <c r="K4694" i="61"/>
  <c r="P4693" i="61"/>
  <c r="O4693" i="61"/>
  <c r="N4693" i="61"/>
  <c r="M4693" i="61"/>
  <c r="L4693" i="61"/>
  <c r="K4693" i="61"/>
  <c r="P4692" i="61"/>
  <c r="O4692" i="61"/>
  <c r="N4692" i="61"/>
  <c r="M4692" i="61"/>
  <c r="L4692" i="61"/>
  <c r="K4692" i="61"/>
  <c r="P4691" i="61"/>
  <c r="O4691" i="61"/>
  <c r="N4691" i="61"/>
  <c r="M4691" i="61"/>
  <c r="L4691" i="61"/>
  <c r="K4691" i="61"/>
  <c r="P4690" i="61"/>
  <c r="O4690" i="61"/>
  <c r="N4690" i="61"/>
  <c r="M4690" i="61"/>
  <c r="L4690" i="61"/>
  <c r="K4690" i="61"/>
  <c r="P4689" i="61"/>
  <c r="O4689" i="61"/>
  <c r="N4689" i="61"/>
  <c r="M4689" i="61"/>
  <c r="L4689" i="61"/>
  <c r="K4689" i="61"/>
  <c r="P4688" i="61"/>
  <c r="O4688" i="61"/>
  <c r="N4688" i="61"/>
  <c r="M4688" i="61"/>
  <c r="L4688" i="61"/>
  <c r="K4688" i="61"/>
  <c r="P4687" i="61"/>
  <c r="O4687" i="61"/>
  <c r="N4687" i="61"/>
  <c r="M4687" i="61"/>
  <c r="L4687" i="61"/>
  <c r="K4687" i="61"/>
  <c r="P4686" i="61"/>
  <c r="O4686" i="61"/>
  <c r="N4686" i="61"/>
  <c r="M4686" i="61"/>
  <c r="L4686" i="61"/>
  <c r="K4686" i="61"/>
  <c r="P4685" i="61"/>
  <c r="O4685" i="61"/>
  <c r="N4685" i="61"/>
  <c r="M4685" i="61"/>
  <c r="L4685" i="61"/>
  <c r="K4685" i="61"/>
  <c r="P4684" i="61"/>
  <c r="O4684" i="61"/>
  <c r="N4684" i="61"/>
  <c r="M4684" i="61"/>
  <c r="L4684" i="61"/>
  <c r="K4684" i="61"/>
  <c r="P4683" i="61"/>
  <c r="O4683" i="61"/>
  <c r="N4683" i="61"/>
  <c r="M4683" i="61"/>
  <c r="L4683" i="61"/>
  <c r="K4683" i="61"/>
  <c r="P4682" i="61"/>
  <c r="O4682" i="61"/>
  <c r="N4682" i="61"/>
  <c r="M4682" i="61"/>
  <c r="L4682" i="61"/>
  <c r="K4682" i="61"/>
  <c r="P4681" i="61"/>
  <c r="O4681" i="61"/>
  <c r="N4681" i="61"/>
  <c r="M4681" i="61"/>
  <c r="L4681" i="61"/>
  <c r="K4681" i="61"/>
  <c r="P4680" i="61"/>
  <c r="O4680" i="61"/>
  <c r="N4680" i="61"/>
  <c r="M4680" i="61"/>
  <c r="L4680" i="61"/>
  <c r="K4680" i="61"/>
  <c r="P4679" i="61"/>
  <c r="O4679" i="61"/>
  <c r="N4679" i="61"/>
  <c r="M4679" i="61"/>
  <c r="L4679" i="61"/>
  <c r="K4679" i="61"/>
  <c r="P4678" i="61"/>
  <c r="O4678" i="61"/>
  <c r="N4678" i="61"/>
  <c r="M4678" i="61"/>
  <c r="L4678" i="61"/>
  <c r="K4678" i="61"/>
  <c r="P4677" i="61"/>
  <c r="O4677" i="61"/>
  <c r="N4677" i="61"/>
  <c r="M4677" i="61"/>
  <c r="L4677" i="61"/>
  <c r="K4677" i="61"/>
  <c r="P4676" i="61"/>
  <c r="O4676" i="61"/>
  <c r="N4676" i="61"/>
  <c r="M4676" i="61"/>
  <c r="L4676" i="61"/>
  <c r="K4676" i="61"/>
  <c r="P4675" i="61"/>
  <c r="O4675" i="61"/>
  <c r="N4675" i="61"/>
  <c r="M4675" i="61"/>
  <c r="L4675" i="61"/>
  <c r="K4675" i="61"/>
  <c r="P4674" i="61"/>
  <c r="O4674" i="61"/>
  <c r="N4674" i="61"/>
  <c r="M4674" i="61"/>
  <c r="L4674" i="61"/>
  <c r="K4674" i="61"/>
  <c r="P4673" i="61"/>
  <c r="O4673" i="61"/>
  <c r="N4673" i="61"/>
  <c r="M4673" i="61"/>
  <c r="L4673" i="61"/>
  <c r="K4673" i="61"/>
  <c r="P4672" i="61"/>
  <c r="O4672" i="61"/>
  <c r="N4672" i="61"/>
  <c r="M4672" i="61"/>
  <c r="L4672" i="61"/>
  <c r="K4672" i="61"/>
  <c r="P4671" i="61"/>
  <c r="O4671" i="61"/>
  <c r="N4671" i="61"/>
  <c r="M4671" i="61"/>
  <c r="L4671" i="61"/>
  <c r="K4671" i="61"/>
  <c r="P4670" i="61"/>
  <c r="O4670" i="61"/>
  <c r="N4670" i="61"/>
  <c r="M4670" i="61"/>
  <c r="L4670" i="61"/>
  <c r="K4670" i="61"/>
  <c r="P4669" i="61"/>
  <c r="O4669" i="61"/>
  <c r="N4669" i="61"/>
  <c r="M4669" i="61"/>
  <c r="L4669" i="61"/>
  <c r="K4669" i="61"/>
  <c r="P4668" i="61"/>
  <c r="O4668" i="61"/>
  <c r="N4668" i="61"/>
  <c r="M4668" i="61"/>
  <c r="L4668" i="61"/>
  <c r="K4668" i="61"/>
  <c r="P4667" i="61"/>
  <c r="O4667" i="61"/>
  <c r="N4667" i="61"/>
  <c r="M4667" i="61"/>
  <c r="L4667" i="61"/>
  <c r="K4667" i="61"/>
  <c r="P4666" i="61"/>
  <c r="O4666" i="61"/>
  <c r="N4666" i="61"/>
  <c r="M4666" i="61"/>
  <c r="L4666" i="61"/>
  <c r="K4666" i="61"/>
  <c r="P4665" i="61"/>
  <c r="O4665" i="61"/>
  <c r="N4665" i="61"/>
  <c r="M4665" i="61"/>
  <c r="L4665" i="61"/>
  <c r="K4665" i="61"/>
  <c r="P4664" i="61"/>
  <c r="O4664" i="61"/>
  <c r="N4664" i="61"/>
  <c r="M4664" i="61"/>
  <c r="L4664" i="61"/>
  <c r="K4664" i="61"/>
  <c r="P4663" i="61"/>
  <c r="O4663" i="61"/>
  <c r="N4663" i="61"/>
  <c r="M4663" i="61"/>
  <c r="L4663" i="61"/>
  <c r="K4663" i="61"/>
  <c r="P4662" i="61"/>
  <c r="O4662" i="61"/>
  <c r="N4662" i="61"/>
  <c r="M4662" i="61"/>
  <c r="L4662" i="61"/>
  <c r="K4662" i="61"/>
  <c r="P4661" i="61"/>
  <c r="O4661" i="61"/>
  <c r="N4661" i="61"/>
  <c r="M4661" i="61"/>
  <c r="L4661" i="61"/>
  <c r="K4661" i="61"/>
  <c r="P4660" i="61"/>
  <c r="O4660" i="61"/>
  <c r="N4660" i="61"/>
  <c r="M4660" i="61"/>
  <c r="L4660" i="61"/>
  <c r="K4660" i="61"/>
  <c r="P4659" i="61"/>
  <c r="O4659" i="61"/>
  <c r="N4659" i="61"/>
  <c r="M4659" i="61"/>
  <c r="L4659" i="61"/>
  <c r="K4659" i="61"/>
  <c r="P4658" i="61"/>
  <c r="O4658" i="61"/>
  <c r="N4658" i="61"/>
  <c r="M4658" i="61"/>
  <c r="L4658" i="61"/>
  <c r="K4658" i="61"/>
  <c r="P4657" i="61"/>
  <c r="O4657" i="61"/>
  <c r="N4657" i="61"/>
  <c r="M4657" i="61"/>
  <c r="L4657" i="61"/>
  <c r="K4657" i="61"/>
  <c r="P4656" i="61"/>
  <c r="O4656" i="61"/>
  <c r="N4656" i="61"/>
  <c r="M4656" i="61"/>
  <c r="L4656" i="61"/>
  <c r="K4656" i="61"/>
  <c r="P4655" i="61"/>
  <c r="O4655" i="61"/>
  <c r="N4655" i="61"/>
  <c r="M4655" i="61"/>
  <c r="L4655" i="61"/>
  <c r="K4655" i="61"/>
  <c r="P4654" i="61"/>
  <c r="O4654" i="61"/>
  <c r="N4654" i="61"/>
  <c r="M4654" i="61"/>
  <c r="L4654" i="61"/>
  <c r="K4654" i="61"/>
  <c r="P4653" i="61"/>
  <c r="O4653" i="61"/>
  <c r="N4653" i="61"/>
  <c r="M4653" i="61"/>
  <c r="L4653" i="61"/>
  <c r="K4653" i="61"/>
  <c r="P4652" i="61"/>
  <c r="O4652" i="61"/>
  <c r="N4652" i="61"/>
  <c r="M4652" i="61"/>
  <c r="L4652" i="61"/>
  <c r="K4652" i="61"/>
  <c r="P4651" i="61"/>
  <c r="O4651" i="61"/>
  <c r="N4651" i="61"/>
  <c r="M4651" i="61"/>
  <c r="L4651" i="61"/>
  <c r="K4651" i="61"/>
  <c r="P4650" i="61"/>
  <c r="O4650" i="61"/>
  <c r="N4650" i="61"/>
  <c r="M4650" i="61"/>
  <c r="L4650" i="61"/>
  <c r="K4650" i="61"/>
  <c r="P4649" i="61"/>
  <c r="O4649" i="61"/>
  <c r="N4649" i="61"/>
  <c r="M4649" i="61"/>
  <c r="L4649" i="61"/>
  <c r="K4649" i="61"/>
  <c r="P4648" i="61"/>
  <c r="O4648" i="61"/>
  <c r="N4648" i="61"/>
  <c r="M4648" i="61"/>
  <c r="L4648" i="61"/>
  <c r="K4648" i="61"/>
  <c r="P4647" i="61"/>
  <c r="O4647" i="61"/>
  <c r="N4647" i="61"/>
  <c r="M4647" i="61"/>
  <c r="L4647" i="61"/>
  <c r="K4647" i="61"/>
  <c r="P4646" i="61"/>
  <c r="O4646" i="61"/>
  <c r="N4646" i="61"/>
  <c r="M4646" i="61"/>
  <c r="L4646" i="61"/>
  <c r="K4646" i="61"/>
  <c r="P4645" i="61"/>
  <c r="O4645" i="61"/>
  <c r="N4645" i="61"/>
  <c r="M4645" i="61"/>
  <c r="L4645" i="61"/>
  <c r="K4645" i="61"/>
  <c r="P4644" i="61"/>
  <c r="O4644" i="61"/>
  <c r="N4644" i="61"/>
  <c r="M4644" i="61"/>
  <c r="L4644" i="61"/>
  <c r="K4644" i="61"/>
  <c r="P4643" i="61"/>
  <c r="O4643" i="61"/>
  <c r="N4643" i="61"/>
  <c r="M4643" i="61"/>
  <c r="L4643" i="61"/>
  <c r="K4643" i="61"/>
  <c r="P4642" i="61"/>
  <c r="O4642" i="61"/>
  <c r="N4642" i="61"/>
  <c r="M4642" i="61"/>
  <c r="L4642" i="61"/>
  <c r="K4642" i="61"/>
  <c r="P4641" i="61"/>
  <c r="O4641" i="61"/>
  <c r="N4641" i="61"/>
  <c r="M4641" i="61"/>
  <c r="L4641" i="61"/>
  <c r="K4641" i="61"/>
  <c r="P4640" i="61"/>
  <c r="O4640" i="61"/>
  <c r="N4640" i="61"/>
  <c r="M4640" i="61"/>
  <c r="L4640" i="61"/>
  <c r="K4640" i="61"/>
  <c r="P4639" i="61"/>
  <c r="O4639" i="61"/>
  <c r="N4639" i="61"/>
  <c r="M4639" i="61"/>
  <c r="L4639" i="61"/>
  <c r="K4639" i="61"/>
  <c r="P4638" i="61"/>
  <c r="O4638" i="61"/>
  <c r="N4638" i="61"/>
  <c r="M4638" i="61"/>
  <c r="L4638" i="61"/>
  <c r="K4638" i="61"/>
  <c r="P4637" i="61"/>
  <c r="O4637" i="61"/>
  <c r="N4637" i="61"/>
  <c r="M4637" i="61"/>
  <c r="L4637" i="61"/>
  <c r="K4637" i="61"/>
  <c r="P4636" i="61"/>
  <c r="O4636" i="61"/>
  <c r="N4636" i="61"/>
  <c r="M4636" i="61"/>
  <c r="L4636" i="61"/>
  <c r="K4636" i="61"/>
  <c r="P4635" i="61"/>
  <c r="O4635" i="61"/>
  <c r="N4635" i="61"/>
  <c r="M4635" i="61"/>
  <c r="L4635" i="61"/>
  <c r="K4635" i="61"/>
  <c r="P4634" i="61"/>
  <c r="O4634" i="61"/>
  <c r="N4634" i="61"/>
  <c r="M4634" i="61"/>
  <c r="L4634" i="61"/>
  <c r="K4634" i="61"/>
  <c r="P4633" i="61"/>
  <c r="O4633" i="61"/>
  <c r="N4633" i="61"/>
  <c r="M4633" i="61"/>
  <c r="L4633" i="61"/>
  <c r="K4633" i="61"/>
  <c r="P4632" i="61"/>
  <c r="O4632" i="61"/>
  <c r="N4632" i="61"/>
  <c r="M4632" i="61"/>
  <c r="L4632" i="61"/>
  <c r="K4632" i="61"/>
  <c r="P4631" i="61"/>
  <c r="O4631" i="61"/>
  <c r="N4631" i="61"/>
  <c r="M4631" i="61"/>
  <c r="L4631" i="61"/>
  <c r="K4631" i="61"/>
  <c r="P4630" i="61"/>
  <c r="O4630" i="61"/>
  <c r="N4630" i="61"/>
  <c r="M4630" i="61"/>
  <c r="L4630" i="61"/>
  <c r="K4630" i="61"/>
  <c r="P4629" i="61"/>
  <c r="O4629" i="61"/>
  <c r="N4629" i="61"/>
  <c r="M4629" i="61"/>
  <c r="L4629" i="61"/>
  <c r="K4629" i="61"/>
  <c r="P4628" i="61"/>
  <c r="O4628" i="61"/>
  <c r="N4628" i="61"/>
  <c r="M4628" i="61"/>
  <c r="L4628" i="61"/>
  <c r="K4628" i="61"/>
  <c r="P4627" i="61"/>
  <c r="O4627" i="61"/>
  <c r="N4627" i="61"/>
  <c r="M4627" i="61"/>
  <c r="L4627" i="61"/>
  <c r="K4627" i="61"/>
  <c r="P4626" i="61"/>
  <c r="O4626" i="61"/>
  <c r="N4626" i="61"/>
  <c r="M4626" i="61"/>
  <c r="L4626" i="61"/>
  <c r="K4626" i="61"/>
  <c r="P4625" i="61"/>
  <c r="O4625" i="61"/>
  <c r="N4625" i="61"/>
  <c r="M4625" i="61"/>
  <c r="L4625" i="61"/>
  <c r="K4625" i="61"/>
  <c r="P4624" i="61"/>
  <c r="O4624" i="61"/>
  <c r="N4624" i="61"/>
  <c r="M4624" i="61"/>
  <c r="L4624" i="61"/>
  <c r="K4624" i="61"/>
  <c r="P4623" i="61"/>
  <c r="O4623" i="61"/>
  <c r="N4623" i="61"/>
  <c r="M4623" i="61"/>
  <c r="L4623" i="61"/>
  <c r="K4623" i="61"/>
  <c r="P4622" i="61"/>
  <c r="O4622" i="61"/>
  <c r="N4622" i="61"/>
  <c r="M4622" i="61"/>
  <c r="L4622" i="61"/>
  <c r="K4622" i="61"/>
  <c r="P4621" i="61"/>
  <c r="O4621" i="61"/>
  <c r="N4621" i="61"/>
  <c r="M4621" i="61"/>
  <c r="L4621" i="61"/>
  <c r="K4621" i="61"/>
  <c r="P4620" i="61"/>
  <c r="O4620" i="61"/>
  <c r="N4620" i="61"/>
  <c r="M4620" i="61"/>
  <c r="L4620" i="61"/>
  <c r="K4620" i="61"/>
  <c r="P4619" i="61"/>
  <c r="O4619" i="61"/>
  <c r="N4619" i="61"/>
  <c r="M4619" i="61"/>
  <c r="L4619" i="61"/>
  <c r="K4619" i="61"/>
  <c r="P4618" i="61"/>
  <c r="O4618" i="61"/>
  <c r="N4618" i="61"/>
  <c r="M4618" i="61"/>
  <c r="L4618" i="61"/>
  <c r="K4618" i="61"/>
  <c r="P4617" i="61"/>
  <c r="O4617" i="61"/>
  <c r="N4617" i="61"/>
  <c r="M4617" i="61"/>
  <c r="L4617" i="61"/>
  <c r="K4617" i="61"/>
  <c r="P4616" i="61"/>
  <c r="O4616" i="61"/>
  <c r="N4616" i="61"/>
  <c r="M4616" i="61"/>
  <c r="L4616" i="61"/>
  <c r="K4616" i="61"/>
  <c r="P4615" i="61"/>
  <c r="O4615" i="61"/>
  <c r="N4615" i="61"/>
  <c r="M4615" i="61"/>
  <c r="L4615" i="61"/>
  <c r="K4615" i="61"/>
  <c r="P4614" i="61"/>
  <c r="O4614" i="61"/>
  <c r="N4614" i="61"/>
  <c r="M4614" i="61"/>
  <c r="L4614" i="61"/>
  <c r="K4614" i="61"/>
  <c r="P4613" i="61"/>
  <c r="O4613" i="61"/>
  <c r="N4613" i="61"/>
  <c r="M4613" i="61"/>
  <c r="L4613" i="61"/>
  <c r="K4613" i="61"/>
  <c r="P4612" i="61"/>
  <c r="O4612" i="61"/>
  <c r="N4612" i="61"/>
  <c r="M4612" i="61"/>
  <c r="L4612" i="61"/>
  <c r="K4612" i="61"/>
  <c r="P4611" i="61"/>
  <c r="O4611" i="61"/>
  <c r="N4611" i="61"/>
  <c r="M4611" i="61"/>
  <c r="L4611" i="61"/>
  <c r="K4611" i="61"/>
  <c r="P4610" i="61"/>
  <c r="O4610" i="61"/>
  <c r="N4610" i="61"/>
  <c r="M4610" i="61"/>
  <c r="L4610" i="61"/>
  <c r="K4610" i="61"/>
  <c r="P4609" i="61"/>
  <c r="O4609" i="61"/>
  <c r="N4609" i="61"/>
  <c r="M4609" i="61"/>
  <c r="L4609" i="61"/>
  <c r="K4609" i="61"/>
  <c r="P4608" i="61"/>
  <c r="O4608" i="61"/>
  <c r="N4608" i="61"/>
  <c r="M4608" i="61"/>
  <c r="L4608" i="61"/>
  <c r="K4608" i="61"/>
  <c r="P4607" i="61"/>
  <c r="O4607" i="61"/>
  <c r="N4607" i="61"/>
  <c r="M4607" i="61"/>
  <c r="L4607" i="61"/>
  <c r="K4607" i="61"/>
  <c r="P4606" i="61"/>
  <c r="O4606" i="61"/>
  <c r="N4606" i="61"/>
  <c r="M4606" i="61"/>
  <c r="L4606" i="61"/>
  <c r="K4606" i="61"/>
  <c r="P4605" i="61"/>
  <c r="O4605" i="61"/>
  <c r="N4605" i="61"/>
  <c r="M4605" i="61"/>
  <c r="L4605" i="61"/>
  <c r="K4605" i="61"/>
  <c r="P4604" i="61"/>
  <c r="O4604" i="61"/>
  <c r="N4604" i="61"/>
  <c r="M4604" i="61"/>
  <c r="L4604" i="61"/>
  <c r="K4604" i="61"/>
  <c r="P4603" i="61"/>
  <c r="O4603" i="61"/>
  <c r="N4603" i="61"/>
  <c r="M4603" i="61"/>
  <c r="L4603" i="61"/>
  <c r="K4603" i="61"/>
  <c r="P4602" i="61"/>
  <c r="O4602" i="61"/>
  <c r="N4602" i="61"/>
  <c r="M4602" i="61"/>
  <c r="L4602" i="61"/>
  <c r="K4602" i="61"/>
  <c r="P4601" i="61"/>
  <c r="O4601" i="61"/>
  <c r="N4601" i="61"/>
  <c r="M4601" i="61"/>
  <c r="L4601" i="61"/>
  <c r="K4601" i="61"/>
  <c r="P4600" i="61"/>
  <c r="O4600" i="61"/>
  <c r="N4600" i="61"/>
  <c r="M4600" i="61"/>
  <c r="L4600" i="61"/>
  <c r="K4600" i="61"/>
  <c r="P4599" i="61"/>
  <c r="O4599" i="61"/>
  <c r="N4599" i="61"/>
  <c r="M4599" i="61"/>
  <c r="L4599" i="61"/>
  <c r="K4599" i="61"/>
  <c r="P4598" i="61"/>
  <c r="O4598" i="61"/>
  <c r="N4598" i="61"/>
  <c r="M4598" i="61"/>
  <c r="L4598" i="61"/>
  <c r="K4598" i="61"/>
  <c r="P4597" i="61"/>
  <c r="O4597" i="61"/>
  <c r="N4597" i="61"/>
  <c r="M4597" i="61"/>
  <c r="L4597" i="61"/>
  <c r="K4597" i="61"/>
  <c r="P4596" i="61"/>
  <c r="O4596" i="61"/>
  <c r="N4596" i="61"/>
  <c r="M4596" i="61"/>
  <c r="L4596" i="61"/>
  <c r="K4596" i="61"/>
  <c r="P4595" i="61"/>
  <c r="O4595" i="61"/>
  <c r="N4595" i="61"/>
  <c r="M4595" i="61"/>
  <c r="L4595" i="61"/>
  <c r="K4595" i="61"/>
  <c r="P4594" i="61"/>
  <c r="O4594" i="61"/>
  <c r="N4594" i="61"/>
  <c r="M4594" i="61"/>
  <c r="L4594" i="61"/>
  <c r="K4594" i="61"/>
  <c r="P4593" i="61"/>
  <c r="O4593" i="61"/>
  <c r="N4593" i="61"/>
  <c r="M4593" i="61"/>
  <c r="L4593" i="61"/>
  <c r="K4593" i="61"/>
  <c r="P4592" i="61"/>
  <c r="O4592" i="61"/>
  <c r="N4592" i="61"/>
  <c r="M4592" i="61"/>
  <c r="L4592" i="61"/>
  <c r="K4592" i="61"/>
  <c r="P4591" i="61"/>
  <c r="O4591" i="61"/>
  <c r="N4591" i="61"/>
  <c r="M4591" i="61"/>
  <c r="L4591" i="61"/>
  <c r="K4591" i="61"/>
  <c r="P4590" i="61"/>
  <c r="O4590" i="61"/>
  <c r="N4590" i="61"/>
  <c r="M4590" i="61"/>
  <c r="L4590" i="61"/>
  <c r="K4590" i="61"/>
  <c r="P4589" i="61"/>
  <c r="O4589" i="61"/>
  <c r="N4589" i="61"/>
  <c r="M4589" i="61"/>
  <c r="L4589" i="61"/>
  <c r="K4589" i="61"/>
  <c r="P4588" i="61"/>
  <c r="O4588" i="61"/>
  <c r="N4588" i="61"/>
  <c r="M4588" i="61"/>
  <c r="L4588" i="61"/>
  <c r="K4588" i="61"/>
  <c r="P4587" i="61"/>
  <c r="O4587" i="61"/>
  <c r="N4587" i="61"/>
  <c r="M4587" i="61"/>
  <c r="L4587" i="61"/>
  <c r="K4587" i="61"/>
  <c r="P4586" i="61"/>
  <c r="O4586" i="61"/>
  <c r="N4586" i="61"/>
  <c r="M4586" i="61"/>
  <c r="L4586" i="61"/>
  <c r="K4586" i="61"/>
  <c r="P4585" i="61"/>
  <c r="O4585" i="61"/>
  <c r="N4585" i="61"/>
  <c r="M4585" i="61"/>
  <c r="L4585" i="61"/>
  <c r="K4585" i="61"/>
  <c r="P4584" i="61"/>
  <c r="O4584" i="61"/>
  <c r="N4584" i="61"/>
  <c r="M4584" i="61"/>
  <c r="L4584" i="61"/>
  <c r="K4584" i="61"/>
  <c r="P4583" i="61"/>
  <c r="O4583" i="61"/>
  <c r="N4583" i="61"/>
  <c r="M4583" i="61"/>
  <c r="L4583" i="61"/>
  <c r="K4583" i="61"/>
  <c r="P4582" i="61"/>
  <c r="O4582" i="61"/>
  <c r="N4582" i="61"/>
  <c r="M4582" i="61"/>
  <c r="L4582" i="61"/>
  <c r="K4582" i="61"/>
  <c r="P4581" i="61"/>
  <c r="O4581" i="61"/>
  <c r="N4581" i="61"/>
  <c r="M4581" i="61"/>
  <c r="L4581" i="61"/>
  <c r="K4581" i="61"/>
  <c r="P4580" i="61"/>
  <c r="O4580" i="61"/>
  <c r="N4580" i="61"/>
  <c r="M4580" i="61"/>
  <c r="L4580" i="61"/>
  <c r="K4580" i="61"/>
  <c r="P4579" i="61"/>
  <c r="O4579" i="61"/>
  <c r="N4579" i="61"/>
  <c r="M4579" i="61"/>
  <c r="L4579" i="61"/>
  <c r="K4579" i="61"/>
  <c r="P4578" i="61"/>
  <c r="O4578" i="61"/>
  <c r="N4578" i="61"/>
  <c r="M4578" i="61"/>
  <c r="L4578" i="61"/>
  <c r="K4578" i="61"/>
  <c r="P4577" i="61"/>
  <c r="O4577" i="61"/>
  <c r="N4577" i="61"/>
  <c r="M4577" i="61"/>
  <c r="L4577" i="61"/>
  <c r="K4577" i="61"/>
  <c r="P4576" i="61"/>
  <c r="O4576" i="61"/>
  <c r="N4576" i="61"/>
  <c r="M4576" i="61"/>
  <c r="L4576" i="61"/>
  <c r="K4576" i="61"/>
  <c r="P4575" i="61"/>
  <c r="O4575" i="61"/>
  <c r="N4575" i="61"/>
  <c r="M4575" i="61"/>
  <c r="L4575" i="61"/>
  <c r="K4575" i="61"/>
  <c r="P4574" i="61"/>
  <c r="O4574" i="61"/>
  <c r="N4574" i="61"/>
  <c r="M4574" i="61"/>
  <c r="L4574" i="61"/>
  <c r="K4574" i="61"/>
  <c r="P4573" i="61"/>
  <c r="O4573" i="61"/>
  <c r="N4573" i="61"/>
  <c r="M4573" i="61"/>
  <c r="L4573" i="61"/>
  <c r="K4573" i="61"/>
  <c r="P4572" i="61"/>
  <c r="O4572" i="61"/>
  <c r="N4572" i="61"/>
  <c r="M4572" i="61"/>
  <c r="L4572" i="61"/>
  <c r="K4572" i="61"/>
  <c r="P4571" i="61"/>
  <c r="O4571" i="61"/>
  <c r="N4571" i="61"/>
  <c r="M4571" i="61"/>
  <c r="L4571" i="61"/>
  <c r="K4571" i="61"/>
  <c r="P4570" i="61"/>
  <c r="O4570" i="61"/>
  <c r="N4570" i="61"/>
  <c r="M4570" i="61"/>
  <c r="L4570" i="61"/>
  <c r="K4570" i="61"/>
  <c r="P4569" i="61"/>
  <c r="O4569" i="61"/>
  <c r="N4569" i="61"/>
  <c r="M4569" i="61"/>
  <c r="L4569" i="61"/>
  <c r="K4569" i="61"/>
  <c r="P4568" i="61"/>
  <c r="O4568" i="61"/>
  <c r="N4568" i="61"/>
  <c r="M4568" i="61"/>
  <c r="L4568" i="61"/>
  <c r="K4568" i="61"/>
  <c r="P4567" i="61"/>
  <c r="O4567" i="61"/>
  <c r="N4567" i="61"/>
  <c r="M4567" i="61"/>
  <c r="L4567" i="61"/>
  <c r="K4567" i="61"/>
  <c r="P4566" i="61"/>
  <c r="O4566" i="61"/>
  <c r="N4566" i="61"/>
  <c r="M4566" i="61"/>
  <c r="L4566" i="61"/>
  <c r="K4566" i="61"/>
  <c r="P4565" i="61"/>
  <c r="O4565" i="61"/>
  <c r="N4565" i="61"/>
  <c r="M4565" i="61"/>
  <c r="L4565" i="61"/>
  <c r="K4565" i="61"/>
  <c r="P4564" i="61"/>
  <c r="O4564" i="61"/>
  <c r="N4564" i="61"/>
  <c r="M4564" i="61"/>
  <c r="L4564" i="61"/>
  <c r="K4564" i="61"/>
  <c r="P4563" i="61"/>
  <c r="O4563" i="61"/>
  <c r="N4563" i="61"/>
  <c r="M4563" i="61"/>
  <c r="L4563" i="61"/>
  <c r="K4563" i="61"/>
  <c r="P4562" i="61"/>
  <c r="O4562" i="61"/>
  <c r="N4562" i="61"/>
  <c r="M4562" i="61"/>
  <c r="L4562" i="61"/>
  <c r="K4562" i="61"/>
  <c r="P4561" i="61"/>
  <c r="O4561" i="61"/>
  <c r="N4561" i="61"/>
  <c r="M4561" i="61"/>
  <c r="L4561" i="61"/>
  <c r="K4561" i="61"/>
  <c r="P4560" i="61"/>
  <c r="O4560" i="61"/>
  <c r="N4560" i="61"/>
  <c r="M4560" i="61"/>
  <c r="L4560" i="61"/>
  <c r="K4560" i="61"/>
  <c r="P4559" i="61"/>
  <c r="O4559" i="61"/>
  <c r="N4559" i="61"/>
  <c r="M4559" i="61"/>
  <c r="L4559" i="61"/>
  <c r="K4559" i="61"/>
  <c r="P4558" i="61"/>
  <c r="O4558" i="61"/>
  <c r="N4558" i="61"/>
  <c r="M4558" i="61"/>
  <c r="L4558" i="61"/>
  <c r="K4558" i="61"/>
  <c r="P4557" i="61"/>
  <c r="O4557" i="61"/>
  <c r="N4557" i="61"/>
  <c r="M4557" i="61"/>
  <c r="L4557" i="61"/>
  <c r="K4557" i="61"/>
  <c r="P4556" i="61"/>
  <c r="O4556" i="61"/>
  <c r="N4556" i="61"/>
  <c r="M4556" i="61"/>
  <c r="L4556" i="61"/>
  <c r="K4556" i="61"/>
  <c r="P4555" i="61"/>
  <c r="O4555" i="61"/>
  <c r="N4555" i="61"/>
  <c r="M4555" i="61"/>
  <c r="L4555" i="61"/>
  <c r="K4555" i="61"/>
  <c r="P4554" i="61"/>
  <c r="O4554" i="61"/>
  <c r="N4554" i="61"/>
  <c r="M4554" i="61"/>
  <c r="L4554" i="61"/>
  <c r="K4554" i="61"/>
  <c r="P4553" i="61"/>
  <c r="O4553" i="61"/>
  <c r="N4553" i="61"/>
  <c r="M4553" i="61"/>
  <c r="L4553" i="61"/>
  <c r="K4553" i="61"/>
  <c r="P4552" i="61"/>
  <c r="O4552" i="61"/>
  <c r="N4552" i="61"/>
  <c r="M4552" i="61"/>
  <c r="L4552" i="61"/>
  <c r="K4552" i="61"/>
  <c r="P4551" i="61"/>
  <c r="O4551" i="61"/>
  <c r="N4551" i="61"/>
  <c r="M4551" i="61"/>
  <c r="L4551" i="61"/>
  <c r="K4551" i="61"/>
  <c r="P4550" i="61"/>
  <c r="O4550" i="61"/>
  <c r="N4550" i="61"/>
  <c r="M4550" i="61"/>
  <c r="L4550" i="61"/>
  <c r="K4550" i="61"/>
  <c r="P4549" i="61"/>
  <c r="O4549" i="61"/>
  <c r="N4549" i="61"/>
  <c r="M4549" i="61"/>
  <c r="L4549" i="61"/>
  <c r="K4549" i="61"/>
  <c r="P4548" i="61"/>
  <c r="O4548" i="61"/>
  <c r="N4548" i="61"/>
  <c r="M4548" i="61"/>
  <c r="L4548" i="61"/>
  <c r="K4548" i="61"/>
  <c r="P4547" i="61"/>
  <c r="O4547" i="61"/>
  <c r="N4547" i="61"/>
  <c r="M4547" i="61"/>
  <c r="L4547" i="61"/>
  <c r="K4547" i="61"/>
  <c r="P4546" i="61"/>
  <c r="O4546" i="61"/>
  <c r="N4546" i="61"/>
  <c r="M4546" i="61"/>
  <c r="L4546" i="61"/>
  <c r="K4546" i="61"/>
  <c r="P4545" i="61"/>
  <c r="O4545" i="61"/>
  <c r="N4545" i="61"/>
  <c r="M4545" i="61"/>
  <c r="L4545" i="61"/>
  <c r="K4545" i="61"/>
  <c r="P4544" i="61"/>
  <c r="O4544" i="61"/>
  <c r="N4544" i="61"/>
  <c r="M4544" i="61"/>
  <c r="L4544" i="61"/>
  <c r="K4544" i="61"/>
  <c r="P4543" i="61"/>
  <c r="O4543" i="61"/>
  <c r="N4543" i="61"/>
  <c r="M4543" i="61"/>
  <c r="L4543" i="61"/>
  <c r="K4543" i="61"/>
  <c r="P4542" i="61"/>
  <c r="O4542" i="61"/>
  <c r="N4542" i="61"/>
  <c r="M4542" i="61"/>
  <c r="L4542" i="61"/>
  <c r="K4542" i="61"/>
  <c r="P4541" i="61"/>
  <c r="O4541" i="61"/>
  <c r="N4541" i="61"/>
  <c r="M4541" i="61"/>
  <c r="L4541" i="61"/>
  <c r="K4541" i="61"/>
  <c r="P4540" i="61"/>
  <c r="O4540" i="61"/>
  <c r="N4540" i="61"/>
  <c r="M4540" i="61"/>
  <c r="L4540" i="61"/>
  <c r="K4540" i="61"/>
  <c r="P4539" i="61"/>
  <c r="O4539" i="61"/>
  <c r="N4539" i="61"/>
  <c r="M4539" i="61"/>
  <c r="L4539" i="61"/>
  <c r="K4539" i="61"/>
  <c r="P4538" i="61"/>
  <c r="O4538" i="61"/>
  <c r="N4538" i="61"/>
  <c r="M4538" i="61"/>
  <c r="L4538" i="61"/>
  <c r="K4538" i="61"/>
  <c r="P4537" i="61"/>
  <c r="O4537" i="61"/>
  <c r="N4537" i="61"/>
  <c r="M4537" i="61"/>
  <c r="L4537" i="61"/>
  <c r="K4537" i="61"/>
  <c r="P4536" i="61"/>
  <c r="O4536" i="61"/>
  <c r="N4536" i="61"/>
  <c r="M4536" i="61"/>
  <c r="L4536" i="61"/>
  <c r="K4536" i="61"/>
  <c r="P4535" i="61"/>
  <c r="O4535" i="61"/>
  <c r="N4535" i="61"/>
  <c r="M4535" i="61"/>
  <c r="L4535" i="61"/>
  <c r="K4535" i="61"/>
  <c r="P4534" i="61"/>
  <c r="O4534" i="61"/>
  <c r="N4534" i="61"/>
  <c r="M4534" i="61"/>
  <c r="L4534" i="61"/>
  <c r="K4534" i="61"/>
  <c r="P4533" i="61"/>
  <c r="O4533" i="61"/>
  <c r="N4533" i="61"/>
  <c r="M4533" i="61"/>
  <c r="L4533" i="61"/>
  <c r="K4533" i="61"/>
  <c r="P4532" i="61"/>
  <c r="O4532" i="61"/>
  <c r="N4532" i="61"/>
  <c r="M4532" i="61"/>
  <c r="L4532" i="61"/>
  <c r="K4532" i="61"/>
  <c r="P4531" i="61"/>
  <c r="O4531" i="61"/>
  <c r="N4531" i="61"/>
  <c r="M4531" i="61"/>
  <c r="L4531" i="61"/>
  <c r="K4531" i="61"/>
  <c r="P4530" i="61"/>
  <c r="O4530" i="61"/>
  <c r="N4530" i="61"/>
  <c r="M4530" i="61"/>
  <c r="L4530" i="61"/>
  <c r="K4530" i="61"/>
  <c r="P4529" i="61"/>
  <c r="O4529" i="61"/>
  <c r="N4529" i="61"/>
  <c r="M4529" i="61"/>
  <c r="L4529" i="61"/>
  <c r="K4529" i="61"/>
  <c r="P4528" i="61"/>
  <c r="O4528" i="61"/>
  <c r="N4528" i="61"/>
  <c r="M4528" i="61"/>
  <c r="L4528" i="61"/>
  <c r="K4528" i="61"/>
  <c r="P4527" i="61"/>
  <c r="O4527" i="61"/>
  <c r="N4527" i="61"/>
  <c r="M4527" i="61"/>
  <c r="L4527" i="61"/>
  <c r="K4527" i="61"/>
  <c r="P4526" i="61"/>
  <c r="O4526" i="61"/>
  <c r="N4526" i="61"/>
  <c r="M4526" i="61"/>
  <c r="L4526" i="61"/>
  <c r="K4526" i="61"/>
  <c r="P4525" i="61"/>
  <c r="O4525" i="61"/>
  <c r="N4525" i="61"/>
  <c r="M4525" i="61"/>
  <c r="L4525" i="61"/>
  <c r="K4525" i="61"/>
  <c r="P4524" i="61"/>
  <c r="O4524" i="61"/>
  <c r="N4524" i="61"/>
  <c r="M4524" i="61"/>
  <c r="L4524" i="61"/>
  <c r="K4524" i="61"/>
  <c r="P4523" i="61"/>
  <c r="O4523" i="61"/>
  <c r="N4523" i="61"/>
  <c r="M4523" i="61"/>
  <c r="L4523" i="61"/>
  <c r="K4523" i="61"/>
  <c r="P4522" i="61"/>
  <c r="O4522" i="61"/>
  <c r="N4522" i="61"/>
  <c r="M4522" i="61"/>
  <c r="L4522" i="61"/>
  <c r="K4522" i="61"/>
  <c r="P4521" i="61"/>
  <c r="O4521" i="61"/>
  <c r="N4521" i="61"/>
  <c r="M4521" i="61"/>
  <c r="L4521" i="61"/>
  <c r="K4521" i="61"/>
  <c r="P4520" i="61"/>
  <c r="O4520" i="61"/>
  <c r="N4520" i="61"/>
  <c r="M4520" i="61"/>
  <c r="L4520" i="61"/>
  <c r="K4520" i="61"/>
  <c r="P4519" i="61"/>
  <c r="O4519" i="61"/>
  <c r="N4519" i="61"/>
  <c r="M4519" i="61"/>
  <c r="L4519" i="61"/>
  <c r="K4519" i="61"/>
  <c r="P4518" i="61"/>
  <c r="O4518" i="61"/>
  <c r="N4518" i="61"/>
  <c r="M4518" i="61"/>
  <c r="L4518" i="61"/>
  <c r="K4518" i="61"/>
  <c r="P4517" i="61"/>
  <c r="O4517" i="61"/>
  <c r="N4517" i="61"/>
  <c r="M4517" i="61"/>
  <c r="L4517" i="61"/>
  <c r="K4517" i="61"/>
  <c r="P4516" i="61"/>
  <c r="O4516" i="61"/>
  <c r="N4516" i="61"/>
  <c r="M4516" i="61"/>
  <c r="L4516" i="61"/>
  <c r="K4516" i="61"/>
  <c r="P4515" i="61"/>
  <c r="O4515" i="61"/>
  <c r="N4515" i="61"/>
  <c r="M4515" i="61"/>
  <c r="L4515" i="61"/>
  <c r="K4515" i="61"/>
  <c r="P4514" i="61"/>
  <c r="O4514" i="61"/>
  <c r="N4514" i="61"/>
  <c r="M4514" i="61"/>
  <c r="L4514" i="61"/>
  <c r="K4514" i="61"/>
  <c r="P4513" i="61"/>
  <c r="O4513" i="61"/>
  <c r="N4513" i="61"/>
  <c r="M4513" i="61"/>
  <c r="L4513" i="61"/>
  <c r="K4513" i="61"/>
  <c r="P4512" i="61"/>
  <c r="O4512" i="61"/>
  <c r="N4512" i="61"/>
  <c r="M4512" i="61"/>
  <c r="L4512" i="61"/>
  <c r="K4512" i="61"/>
  <c r="P4511" i="61"/>
  <c r="O4511" i="61"/>
  <c r="N4511" i="61"/>
  <c r="M4511" i="61"/>
  <c r="L4511" i="61"/>
  <c r="K4511" i="61"/>
  <c r="P4510" i="61"/>
  <c r="O4510" i="61"/>
  <c r="N4510" i="61"/>
  <c r="M4510" i="61"/>
  <c r="L4510" i="61"/>
  <c r="K4510" i="61"/>
  <c r="P4509" i="61"/>
  <c r="O4509" i="61"/>
  <c r="N4509" i="61"/>
  <c r="M4509" i="61"/>
  <c r="L4509" i="61"/>
  <c r="K4509" i="61"/>
  <c r="P4508" i="61"/>
  <c r="O4508" i="61"/>
  <c r="N4508" i="61"/>
  <c r="M4508" i="61"/>
  <c r="L4508" i="61"/>
  <c r="K4508" i="61"/>
  <c r="P4507" i="61"/>
  <c r="O4507" i="61"/>
  <c r="N4507" i="61"/>
  <c r="M4507" i="61"/>
  <c r="L4507" i="61"/>
  <c r="K4507" i="61"/>
  <c r="P4506" i="61"/>
  <c r="O4506" i="61"/>
  <c r="N4506" i="61"/>
  <c r="M4506" i="61"/>
  <c r="L4506" i="61"/>
  <c r="K4506" i="61"/>
  <c r="P4505" i="61"/>
  <c r="O4505" i="61"/>
  <c r="N4505" i="61"/>
  <c r="M4505" i="61"/>
  <c r="L4505" i="61"/>
  <c r="K4505" i="61"/>
  <c r="P4504" i="61"/>
  <c r="O4504" i="61"/>
  <c r="N4504" i="61"/>
  <c r="M4504" i="61"/>
  <c r="L4504" i="61"/>
  <c r="K4504" i="61"/>
  <c r="P4503" i="61"/>
  <c r="O4503" i="61"/>
  <c r="N4503" i="61"/>
  <c r="M4503" i="61"/>
  <c r="L4503" i="61"/>
  <c r="K4503" i="61"/>
  <c r="P4502" i="61"/>
  <c r="O4502" i="61"/>
  <c r="N4502" i="61"/>
  <c r="M4502" i="61"/>
  <c r="L4502" i="61"/>
  <c r="K4502" i="61"/>
  <c r="P4501" i="61"/>
  <c r="O4501" i="61"/>
  <c r="N4501" i="61"/>
  <c r="M4501" i="61"/>
  <c r="L4501" i="61"/>
  <c r="K4501" i="61"/>
  <c r="P4500" i="61"/>
  <c r="O4500" i="61"/>
  <c r="N4500" i="61"/>
  <c r="M4500" i="61"/>
  <c r="L4500" i="61"/>
  <c r="K4500" i="61"/>
  <c r="P4499" i="61"/>
  <c r="O4499" i="61"/>
  <c r="N4499" i="61"/>
  <c r="M4499" i="61"/>
  <c r="L4499" i="61"/>
  <c r="K4499" i="61"/>
  <c r="P4498" i="61"/>
  <c r="O4498" i="61"/>
  <c r="N4498" i="61"/>
  <c r="M4498" i="61"/>
  <c r="L4498" i="61"/>
  <c r="K4498" i="61"/>
  <c r="P4497" i="61"/>
  <c r="O4497" i="61"/>
  <c r="N4497" i="61"/>
  <c r="M4497" i="61"/>
  <c r="L4497" i="61"/>
  <c r="K4497" i="61"/>
  <c r="P4496" i="61"/>
  <c r="O4496" i="61"/>
  <c r="N4496" i="61"/>
  <c r="M4496" i="61"/>
  <c r="L4496" i="61"/>
  <c r="K4496" i="61"/>
  <c r="P4495" i="61"/>
  <c r="O4495" i="61"/>
  <c r="N4495" i="61"/>
  <c r="M4495" i="61"/>
  <c r="L4495" i="61"/>
  <c r="K4495" i="61"/>
  <c r="P4494" i="61"/>
  <c r="O4494" i="61"/>
  <c r="N4494" i="61"/>
  <c r="M4494" i="61"/>
  <c r="L4494" i="61"/>
  <c r="K4494" i="61"/>
  <c r="P4493" i="61"/>
  <c r="O4493" i="61"/>
  <c r="N4493" i="61"/>
  <c r="M4493" i="61"/>
  <c r="L4493" i="61"/>
  <c r="K4493" i="61"/>
  <c r="P4492" i="61"/>
  <c r="O4492" i="61"/>
  <c r="N4492" i="61"/>
  <c r="M4492" i="61"/>
  <c r="L4492" i="61"/>
  <c r="K4492" i="61"/>
  <c r="P4491" i="61"/>
  <c r="O4491" i="61"/>
  <c r="N4491" i="61"/>
  <c r="M4491" i="61"/>
  <c r="L4491" i="61"/>
  <c r="K4491" i="61"/>
  <c r="P4490" i="61"/>
  <c r="O4490" i="61"/>
  <c r="N4490" i="61"/>
  <c r="M4490" i="61"/>
  <c r="L4490" i="61"/>
  <c r="K4490" i="61"/>
  <c r="P4489" i="61"/>
  <c r="O4489" i="61"/>
  <c r="N4489" i="61"/>
  <c r="M4489" i="61"/>
  <c r="L4489" i="61"/>
  <c r="K4489" i="61"/>
  <c r="P4488" i="61"/>
  <c r="O4488" i="61"/>
  <c r="N4488" i="61"/>
  <c r="M4488" i="61"/>
  <c r="L4488" i="61"/>
  <c r="K4488" i="61"/>
  <c r="P4487" i="61"/>
  <c r="O4487" i="61"/>
  <c r="N4487" i="61"/>
  <c r="M4487" i="61"/>
  <c r="L4487" i="61"/>
  <c r="K4487" i="61"/>
  <c r="P4486" i="61"/>
  <c r="O4486" i="61"/>
  <c r="N4486" i="61"/>
  <c r="M4486" i="61"/>
  <c r="L4486" i="61"/>
  <c r="K4486" i="61"/>
  <c r="P4485" i="61"/>
  <c r="O4485" i="61"/>
  <c r="N4485" i="61"/>
  <c r="M4485" i="61"/>
  <c r="L4485" i="61"/>
  <c r="K4485" i="61"/>
  <c r="P4484" i="61"/>
  <c r="O4484" i="61"/>
  <c r="N4484" i="61"/>
  <c r="M4484" i="61"/>
  <c r="L4484" i="61"/>
  <c r="K4484" i="61"/>
  <c r="P4483" i="61"/>
  <c r="O4483" i="61"/>
  <c r="N4483" i="61"/>
  <c r="M4483" i="61"/>
  <c r="L4483" i="61"/>
  <c r="K4483" i="61"/>
  <c r="P4482" i="61"/>
  <c r="O4482" i="61"/>
  <c r="N4482" i="61"/>
  <c r="M4482" i="61"/>
  <c r="L4482" i="61"/>
  <c r="K4482" i="61"/>
  <c r="P4481" i="61"/>
  <c r="O4481" i="61"/>
  <c r="N4481" i="61"/>
  <c r="M4481" i="61"/>
  <c r="L4481" i="61"/>
  <c r="K4481" i="61"/>
  <c r="P4480" i="61"/>
  <c r="O4480" i="61"/>
  <c r="N4480" i="61"/>
  <c r="M4480" i="61"/>
  <c r="L4480" i="61"/>
  <c r="K4480" i="61"/>
  <c r="P4479" i="61"/>
  <c r="O4479" i="61"/>
  <c r="N4479" i="61"/>
  <c r="M4479" i="61"/>
  <c r="L4479" i="61"/>
  <c r="K4479" i="61"/>
  <c r="P4478" i="61"/>
  <c r="O4478" i="61"/>
  <c r="N4478" i="61"/>
  <c r="M4478" i="61"/>
  <c r="L4478" i="61"/>
  <c r="K4478" i="61"/>
  <c r="P4477" i="61"/>
  <c r="O4477" i="61"/>
  <c r="N4477" i="61"/>
  <c r="M4477" i="61"/>
  <c r="L4477" i="61"/>
  <c r="K4477" i="61"/>
  <c r="P4476" i="61"/>
  <c r="O4476" i="61"/>
  <c r="N4476" i="61"/>
  <c r="M4476" i="61"/>
  <c r="L4476" i="61"/>
  <c r="K4476" i="61"/>
  <c r="P4475" i="61"/>
  <c r="O4475" i="61"/>
  <c r="N4475" i="61"/>
  <c r="M4475" i="61"/>
  <c r="L4475" i="61"/>
  <c r="K4475" i="61"/>
  <c r="P4474" i="61"/>
  <c r="O4474" i="61"/>
  <c r="N4474" i="61"/>
  <c r="M4474" i="61"/>
  <c r="L4474" i="61"/>
  <c r="K4474" i="61"/>
  <c r="P4473" i="61"/>
  <c r="O4473" i="61"/>
  <c r="N4473" i="61"/>
  <c r="M4473" i="61"/>
  <c r="L4473" i="61"/>
  <c r="K4473" i="61"/>
  <c r="P4472" i="61"/>
  <c r="O4472" i="61"/>
  <c r="N4472" i="61"/>
  <c r="M4472" i="61"/>
  <c r="L4472" i="61"/>
  <c r="K4472" i="61"/>
  <c r="P4471" i="61"/>
  <c r="O4471" i="61"/>
  <c r="N4471" i="61"/>
  <c r="M4471" i="61"/>
  <c r="L4471" i="61"/>
  <c r="K4471" i="61"/>
  <c r="P4470" i="61"/>
  <c r="O4470" i="61"/>
  <c r="N4470" i="61"/>
  <c r="M4470" i="61"/>
  <c r="L4470" i="61"/>
  <c r="K4470" i="61"/>
  <c r="P4469" i="61"/>
  <c r="O4469" i="61"/>
  <c r="N4469" i="61"/>
  <c r="M4469" i="61"/>
  <c r="L4469" i="61"/>
  <c r="K4469" i="61"/>
  <c r="P4468" i="61"/>
  <c r="O4468" i="61"/>
  <c r="N4468" i="61"/>
  <c r="M4468" i="61"/>
  <c r="L4468" i="61"/>
  <c r="K4468" i="61"/>
  <c r="P4467" i="61"/>
  <c r="O4467" i="61"/>
  <c r="N4467" i="61"/>
  <c r="M4467" i="61"/>
  <c r="L4467" i="61"/>
  <c r="K4467" i="61"/>
  <c r="P4466" i="61"/>
  <c r="O4466" i="61"/>
  <c r="N4466" i="61"/>
  <c r="M4466" i="61"/>
  <c r="L4466" i="61"/>
  <c r="K4466" i="61"/>
  <c r="P4465" i="61"/>
  <c r="O4465" i="61"/>
  <c r="N4465" i="61"/>
  <c r="M4465" i="61"/>
  <c r="L4465" i="61"/>
  <c r="K4465" i="61"/>
  <c r="P4464" i="61"/>
  <c r="O4464" i="61"/>
  <c r="N4464" i="61"/>
  <c r="M4464" i="61"/>
  <c r="L4464" i="61"/>
  <c r="K4464" i="61"/>
  <c r="P4463" i="61"/>
  <c r="O4463" i="61"/>
  <c r="N4463" i="61"/>
  <c r="M4463" i="61"/>
  <c r="L4463" i="61"/>
  <c r="K4463" i="61"/>
  <c r="P4462" i="61"/>
  <c r="O4462" i="61"/>
  <c r="N4462" i="61"/>
  <c r="M4462" i="61"/>
  <c r="L4462" i="61"/>
  <c r="K4462" i="61"/>
  <c r="P4461" i="61"/>
  <c r="O4461" i="61"/>
  <c r="N4461" i="61"/>
  <c r="M4461" i="61"/>
  <c r="L4461" i="61"/>
  <c r="K4461" i="61"/>
  <c r="P4460" i="61"/>
  <c r="O4460" i="61"/>
  <c r="N4460" i="61"/>
  <c r="M4460" i="61"/>
  <c r="L4460" i="61"/>
  <c r="K4460" i="61"/>
  <c r="P4459" i="61"/>
  <c r="O4459" i="61"/>
  <c r="N4459" i="61"/>
  <c r="M4459" i="61"/>
  <c r="L4459" i="61"/>
  <c r="K4459" i="61"/>
  <c r="P4458" i="61"/>
  <c r="O4458" i="61"/>
  <c r="N4458" i="61"/>
  <c r="M4458" i="61"/>
  <c r="L4458" i="61"/>
  <c r="K4458" i="61"/>
  <c r="P4457" i="61"/>
  <c r="O4457" i="61"/>
  <c r="N4457" i="61"/>
  <c r="M4457" i="61"/>
  <c r="L4457" i="61"/>
  <c r="K4457" i="61"/>
  <c r="P4456" i="61"/>
  <c r="O4456" i="61"/>
  <c r="N4456" i="61"/>
  <c r="M4456" i="61"/>
  <c r="L4456" i="61"/>
  <c r="K4456" i="61"/>
  <c r="P4455" i="61"/>
  <c r="O4455" i="61"/>
  <c r="N4455" i="61"/>
  <c r="M4455" i="61"/>
  <c r="L4455" i="61"/>
  <c r="K4455" i="61"/>
  <c r="P4454" i="61"/>
  <c r="O4454" i="61"/>
  <c r="N4454" i="61"/>
  <c r="M4454" i="61"/>
  <c r="L4454" i="61"/>
  <c r="K4454" i="61"/>
  <c r="P4453" i="61"/>
  <c r="O4453" i="61"/>
  <c r="N4453" i="61"/>
  <c r="M4453" i="61"/>
  <c r="L4453" i="61"/>
  <c r="K4453" i="61"/>
  <c r="P4452" i="61"/>
  <c r="O4452" i="61"/>
  <c r="N4452" i="61"/>
  <c r="M4452" i="61"/>
  <c r="L4452" i="61"/>
  <c r="K4452" i="61"/>
  <c r="P4451" i="61"/>
  <c r="O4451" i="61"/>
  <c r="N4451" i="61"/>
  <c r="M4451" i="61"/>
  <c r="L4451" i="61"/>
  <c r="K4451" i="61"/>
  <c r="P4450" i="61"/>
  <c r="O4450" i="61"/>
  <c r="N4450" i="61"/>
  <c r="M4450" i="61"/>
  <c r="L4450" i="61"/>
  <c r="K4450" i="61"/>
  <c r="P4449" i="61"/>
  <c r="O4449" i="61"/>
  <c r="N4449" i="61"/>
  <c r="M4449" i="61"/>
  <c r="L4449" i="61"/>
  <c r="K4449" i="61"/>
  <c r="P4448" i="61"/>
  <c r="O4448" i="61"/>
  <c r="N4448" i="61"/>
  <c r="M4448" i="61"/>
  <c r="L4448" i="61"/>
  <c r="K4448" i="61"/>
  <c r="P4447" i="61"/>
  <c r="O4447" i="61"/>
  <c r="N4447" i="61"/>
  <c r="M4447" i="61"/>
  <c r="L4447" i="61"/>
  <c r="K4447" i="61"/>
  <c r="P4446" i="61"/>
  <c r="O4446" i="61"/>
  <c r="N4446" i="61"/>
  <c r="M4446" i="61"/>
  <c r="L4446" i="61"/>
  <c r="K4446" i="61"/>
  <c r="P4445" i="61"/>
  <c r="O4445" i="61"/>
  <c r="N4445" i="61"/>
  <c r="M4445" i="61"/>
  <c r="L4445" i="61"/>
  <c r="K4445" i="61"/>
  <c r="P4444" i="61"/>
  <c r="O4444" i="61"/>
  <c r="N4444" i="61"/>
  <c r="M4444" i="61"/>
  <c r="L4444" i="61"/>
  <c r="K4444" i="61"/>
  <c r="P4443" i="61"/>
  <c r="O4443" i="61"/>
  <c r="N4443" i="61"/>
  <c r="M4443" i="61"/>
  <c r="L4443" i="61"/>
  <c r="K4443" i="61"/>
  <c r="P4442" i="61"/>
  <c r="O4442" i="61"/>
  <c r="N4442" i="61"/>
  <c r="M4442" i="61"/>
  <c r="L4442" i="61"/>
  <c r="K4442" i="61"/>
  <c r="P4441" i="61"/>
  <c r="O4441" i="61"/>
  <c r="N4441" i="61"/>
  <c r="M4441" i="61"/>
  <c r="L4441" i="61"/>
  <c r="K4441" i="61"/>
  <c r="P4440" i="61"/>
  <c r="O4440" i="61"/>
  <c r="N4440" i="61"/>
  <c r="M4440" i="61"/>
  <c r="L4440" i="61"/>
  <c r="K4440" i="61"/>
  <c r="P4439" i="61"/>
  <c r="O4439" i="61"/>
  <c r="N4439" i="61"/>
  <c r="M4439" i="61"/>
  <c r="L4439" i="61"/>
  <c r="K4439" i="61"/>
  <c r="P4438" i="61"/>
  <c r="O4438" i="61"/>
  <c r="N4438" i="61"/>
  <c r="M4438" i="61"/>
  <c r="L4438" i="61"/>
  <c r="K4438" i="61"/>
  <c r="P4437" i="61"/>
  <c r="O4437" i="61"/>
  <c r="N4437" i="61"/>
  <c r="M4437" i="61"/>
  <c r="L4437" i="61"/>
  <c r="K4437" i="61"/>
  <c r="P4436" i="61"/>
  <c r="O4436" i="61"/>
  <c r="N4436" i="61"/>
  <c r="M4436" i="61"/>
  <c r="L4436" i="61"/>
  <c r="K4436" i="61"/>
  <c r="P4435" i="61"/>
  <c r="O4435" i="61"/>
  <c r="N4435" i="61"/>
  <c r="M4435" i="61"/>
  <c r="L4435" i="61"/>
  <c r="K4435" i="61"/>
  <c r="P4434" i="61"/>
  <c r="O4434" i="61"/>
  <c r="N4434" i="61"/>
  <c r="M4434" i="61"/>
  <c r="L4434" i="61"/>
  <c r="K4434" i="61"/>
  <c r="P4433" i="61"/>
  <c r="O4433" i="61"/>
  <c r="N4433" i="61"/>
  <c r="M4433" i="61"/>
  <c r="L4433" i="61"/>
  <c r="K4433" i="61"/>
  <c r="P4432" i="61"/>
  <c r="O4432" i="61"/>
  <c r="N4432" i="61"/>
  <c r="M4432" i="61"/>
  <c r="L4432" i="61"/>
  <c r="K4432" i="61"/>
  <c r="P4431" i="61"/>
  <c r="O4431" i="61"/>
  <c r="N4431" i="61"/>
  <c r="M4431" i="61"/>
  <c r="L4431" i="61"/>
  <c r="K4431" i="61"/>
  <c r="P4430" i="61"/>
  <c r="O4430" i="61"/>
  <c r="N4430" i="61"/>
  <c r="M4430" i="61"/>
  <c r="L4430" i="61"/>
  <c r="K4430" i="61"/>
  <c r="P4429" i="61"/>
  <c r="O4429" i="61"/>
  <c r="N4429" i="61"/>
  <c r="M4429" i="61"/>
  <c r="L4429" i="61"/>
  <c r="K4429" i="61"/>
  <c r="P4428" i="61"/>
  <c r="O4428" i="61"/>
  <c r="N4428" i="61"/>
  <c r="M4428" i="61"/>
  <c r="L4428" i="61"/>
  <c r="K4428" i="61"/>
  <c r="P4427" i="61"/>
  <c r="O4427" i="61"/>
  <c r="N4427" i="61"/>
  <c r="M4427" i="61"/>
  <c r="L4427" i="61"/>
  <c r="K4427" i="61"/>
  <c r="P4426" i="61"/>
  <c r="O4426" i="61"/>
  <c r="N4426" i="61"/>
  <c r="M4426" i="61"/>
  <c r="L4426" i="61"/>
  <c r="K4426" i="61"/>
  <c r="P4425" i="61"/>
  <c r="O4425" i="61"/>
  <c r="N4425" i="61"/>
  <c r="M4425" i="61"/>
  <c r="L4425" i="61"/>
  <c r="K4425" i="61"/>
  <c r="P4424" i="61"/>
  <c r="O4424" i="61"/>
  <c r="N4424" i="61"/>
  <c r="M4424" i="61"/>
  <c r="L4424" i="61"/>
  <c r="K4424" i="61"/>
  <c r="P4423" i="61"/>
  <c r="O4423" i="61"/>
  <c r="N4423" i="61"/>
  <c r="M4423" i="61"/>
  <c r="L4423" i="61"/>
  <c r="K4423" i="61"/>
  <c r="P4422" i="61"/>
  <c r="O4422" i="61"/>
  <c r="N4422" i="61"/>
  <c r="M4422" i="61"/>
  <c r="L4422" i="61"/>
  <c r="K4422" i="61"/>
  <c r="P4421" i="61"/>
  <c r="O4421" i="61"/>
  <c r="N4421" i="61"/>
  <c r="M4421" i="61"/>
  <c r="L4421" i="61"/>
  <c r="K4421" i="61"/>
  <c r="P4420" i="61"/>
  <c r="O4420" i="61"/>
  <c r="N4420" i="61"/>
  <c r="M4420" i="61"/>
  <c r="L4420" i="61"/>
  <c r="K4420" i="61"/>
  <c r="P4419" i="61"/>
  <c r="O4419" i="61"/>
  <c r="N4419" i="61"/>
  <c r="M4419" i="61"/>
  <c r="L4419" i="61"/>
  <c r="K4419" i="61"/>
  <c r="P4418" i="61"/>
  <c r="O4418" i="61"/>
  <c r="N4418" i="61"/>
  <c r="M4418" i="61"/>
  <c r="L4418" i="61"/>
  <c r="K4418" i="61"/>
  <c r="P4417" i="61"/>
  <c r="O4417" i="61"/>
  <c r="N4417" i="61"/>
  <c r="M4417" i="61"/>
  <c r="L4417" i="61"/>
  <c r="K4417" i="61"/>
  <c r="P4416" i="61"/>
  <c r="O4416" i="61"/>
  <c r="N4416" i="61"/>
  <c r="M4416" i="61"/>
  <c r="L4416" i="61"/>
  <c r="K4416" i="61"/>
  <c r="P4415" i="61"/>
  <c r="O4415" i="61"/>
  <c r="N4415" i="61"/>
  <c r="M4415" i="61"/>
  <c r="L4415" i="61"/>
  <c r="K4415" i="61"/>
  <c r="P4414" i="61"/>
  <c r="O4414" i="61"/>
  <c r="N4414" i="61"/>
  <c r="M4414" i="61"/>
  <c r="L4414" i="61"/>
  <c r="K4414" i="61"/>
  <c r="P4413" i="61"/>
  <c r="O4413" i="61"/>
  <c r="N4413" i="61"/>
  <c r="M4413" i="61"/>
  <c r="L4413" i="61"/>
  <c r="K4413" i="61"/>
  <c r="P4412" i="61"/>
  <c r="O4412" i="61"/>
  <c r="N4412" i="61"/>
  <c r="M4412" i="61"/>
  <c r="L4412" i="61"/>
  <c r="K4412" i="61"/>
  <c r="P4411" i="61"/>
  <c r="O4411" i="61"/>
  <c r="N4411" i="61"/>
  <c r="M4411" i="61"/>
  <c r="L4411" i="61"/>
  <c r="K4411" i="61"/>
  <c r="P4410" i="61"/>
  <c r="O4410" i="61"/>
  <c r="N4410" i="61"/>
  <c r="M4410" i="61"/>
  <c r="L4410" i="61"/>
  <c r="K4410" i="61"/>
  <c r="P4409" i="61"/>
  <c r="O4409" i="61"/>
  <c r="N4409" i="61"/>
  <c r="M4409" i="61"/>
  <c r="L4409" i="61"/>
  <c r="K4409" i="61"/>
  <c r="P4408" i="61"/>
  <c r="O4408" i="61"/>
  <c r="N4408" i="61"/>
  <c r="M4408" i="61"/>
  <c r="L4408" i="61"/>
  <c r="K4408" i="61"/>
  <c r="P4407" i="61"/>
  <c r="O4407" i="61"/>
  <c r="N4407" i="61"/>
  <c r="M4407" i="61"/>
  <c r="L4407" i="61"/>
  <c r="K4407" i="61"/>
  <c r="P4406" i="61"/>
  <c r="O4406" i="61"/>
  <c r="N4406" i="61"/>
  <c r="M4406" i="61"/>
  <c r="L4406" i="61"/>
  <c r="K4406" i="61"/>
  <c r="P4405" i="61"/>
  <c r="O4405" i="61"/>
  <c r="N4405" i="61"/>
  <c r="M4405" i="61"/>
  <c r="L4405" i="61"/>
  <c r="K4405" i="61"/>
  <c r="P4404" i="61"/>
  <c r="O4404" i="61"/>
  <c r="N4404" i="61"/>
  <c r="M4404" i="61"/>
  <c r="L4404" i="61"/>
  <c r="K4404" i="61"/>
  <c r="P4403" i="61"/>
  <c r="O4403" i="61"/>
  <c r="N4403" i="61"/>
  <c r="M4403" i="61"/>
  <c r="L4403" i="61"/>
  <c r="K4403" i="61"/>
  <c r="P4402" i="61"/>
  <c r="O4402" i="61"/>
  <c r="N4402" i="61"/>
  <c r="M4402" i="61"/>
  <c r="L4402" i="61"/>
  <c r="K4402" i="61"/>
  <c r="P4401" i="61"/>
  <c r="O4401" i="61"/>
  <c r="N4401" i="61"/>
  <c r="M4401" i="61"/>
  <c r="L4401" i="61"/>
  <c r="K4401" i="61"/>
  <c r="P4400" i="61"/>
  <c r="O4400" i="61"/>
  <c r="N4400" i="61"/>
  <c r="M4400" i="61"/>
  <c r="L4400" i="61"/>
  <c r="K4400" i="61"/>
  <c r="P4399" i="61"/>
  <c r="O4399" i="61"/>
  <c r="N4399" i="61"/>
  <c r="M4399" i="61"/>
  <c r="L4399" i="61"/>
  <c r="K4399" i="61"/>
  <c r="P4398" i="61"/>
  <c r="O4398" i="61"/>
  <c r="N4398" i="61"/>
  <c r="M4398" i="61"/>
  <c r="L4398" i="61"/>
  <c r="K4398" i="61"/>
  <c r="P4397" i="61"/>
  <c r="O4397" i="61"/>
  <c r="N4397" i="61"/>
  <c r="M4397" i="61"/>
  <c r="L4397" i="61"/>
  <c r="K4397" i="61"/>
  <c r="P4396" i="61"/>
  <c r="O4396" i="61"/>
  <c r="N4396" i="61"/>
  <c r="M4396" i="61"/>
  <c r="L4396" i="61"/>
  <c r="K4396" i="61"/>
  <c r="P4395" i="61"/>
  <c r="O4395" i="61"/>
  <c r="N4395" i="61"/>
  <c r="M4395" i="61"/>
  <c r="L4395" i="61"/>
  <c r="K4395" i="61"/>
  <c r="P4394" i="61"/>
  <c r="O4394" i="61"/>
  <c r="N4394" i="61"/>
  <c r="M4394" i="61"/>
  <c r="L4394" i="61"/>
  <c r="K4394" i="61"/>
  <c r="P4393" i="61"/>
  <c r="O4393" i="61"/>
  <c r="N4393" i="61"/>
  <c r="M4393" i="61"/>
  <c r="L4393" i="61"/>
  <c r="K4393" i="61"/>
  <c r="P4392" i="61"/>
  <c r="O4392" i="61"/>
  <c r="N4392" i="61"/>
  <c r="M4392" i="61"/>
  <c r="L4392" i="61"/>
  <c r="K4392" i="61"/>
  <c r="P4391" i="61"/>
  <c r="O4391" i="61"/>
  <c r="N4391" i="61"/>
  <c r="M4391" i="61"/>
  <c r="L4391" i="61"/>
  <c r="K4391" i="61"/>
  <c r="P4390" i="61"/>
  <c r="O4390" i="61"/>
  <c r="N4390" i="61"/>
  <c r="M4390" i="61"/>
  <c r="L4390" i="61"/>
  <c r="K4390" i="61"/>
  <c r="P4389" i="61"/>
  <c r="O4389" i="61"/>
  <c r="N4389" i="61"/>
  <c r="M4389" i="61"/>
  <c r="L4389" i="61"/>
  <c r="K4389" i="61"/>
  <c r="P4388" i="61"/>
  <c r="O4388" i="61"/>
  <c r="N4388" i="61"/>
  <c r="M4388" i="61"/>
  <c r="L4388" i="61"/>
  <c r="K4388" i="61"/>
  <c r="P4387" i="61"/>
  <c r="O4387" i="61"/>
  <c r="N4387" i="61"/>
  <c r="M4387" i="61"/>
  <c r="L4387" i="61"/>
  <c r="K4387" i="61"/>
  <c r="P4386" i="61"/>
  <c r="O4386" i="61"/>
  <c r="N4386" i="61"/>
  <c r="M4386" i="61"/>
  <c r="L4386" i="61"/>
  <c r="K4386" i="61"/>
  <c r="P4385" i="61"/>
  <c r="O4385" i="61"/>
  <c r="N4385" i="61"/>
  <c r="M4385" i="61"/>
  <c r="L4385" i="61"/>
  <c r="K4385" i="61"/>
  <c r="P4384" i="61"/>
  <c r="O4384" i="61"/>
  <c r="N4384" i="61"/>
  <c r="M4384" i="61"/>
  <c r="L4384" i="61"/>
  <c r="K4384" i="61"/>
  <c r="P4383" i="61"/>
  <c r="O4383" i="61"/>
  <c r="N4383" i="61"/>
  <c r="M4383" i="61"/>
  <c r="L4383" i="61"/>
  <c r="K4383" i="61"/>
  <c r="P4382" i="61"/>
  <c r="O4382" i="61"/>
  <c r="N4382" i="61"/>
  <c r="M4382" i="61"/>
  <c r="L4382" i="61"/>
  <c r="K4382" i="61"/>
  <c r="P4381" i="61"/>
  <c r="O4381" i="61"/>
  <c r="N4381" i="61"/>
  <c r="M4381" i="61"/>
  <c r="L4381" i="61"/>
  <c r="K4381" i="61"/>
  <c r="P4380" i="61"/>
  <c r="O4380" i="61"/>
  <c r="N4380" i="61"/>
  <c r="M4380" i="61"/>
  <c r="L4380" i="61"/>
  <c r="K4380" i="61"/>
  <c r="P4379" i="61"/>
  <c r="O4379" i="61"/>
  <c r="N4379" i="61"/>
  <c r="M4379" i="61"/>
  <c r="L4379" i="61"/>
  <c r="K4379" i="61"/>
  <c r="P4378" i="61"/>
  <c r="O4378" i="61"/>
  <c r="N4378" i="61"/>
  <c r="M4378" i="61"/>
  <c r="L4378" i="61"/>
  <c r="K4378" i="61"/>
  <c r="P4377" i="61"/>
  <c r="O4377" i="61"/>
  <c r="N4377" i="61"/>
  <c r="M4377" i="61"/>
  <c r="L4377" i="61"/>
  <c r="K4377" i="61"/>
  <c r="P4376" i="61"/>
  <c r="O4376" i="61"/>
  <c r="N4376" i="61"/>
  <c r="M4376" i="61"/>
  <c r="L4376" i="61"/>
  <c r="K4376" i="61"/>
  <c r="P4375" i="61"/>
  <c r="O4375" i="61"/>
  <c r="N4375" i="61"/>
  <c r="M4375" i="61"/>
  <c r="L4375" i="61"/>
  <c r="K4375" i="61"/>
  <c r="P4374" i="61"/>
  <c r="O4374" i="61"/>
  <c r="N4374" i="61"/>
  <c r="M4374" i="61"/>
  <c r="L4374" i="61"/>
  <c r="K4374" i="61"/>
  <c r="P4373" i="61"/>
  <c r="O4373" i="61"/>
  <c r="N4373" i="61"/>
  <c r="M4373" i="61"/>
  <c r="L4373" i="61"/>
  <c r="K4373" i="61"/>
  <c r="P4372" i="61"/>
  <c r="O4372" i="61"/>
  <c r="N4372" i="61"/>
  <c r="M4372" i="61"/>
  <c r="L4372" i="61"/>
  <c r="K4372" i="61"/>
  <c r="P4371" i="61"/>
  <c r="O4371" i="61"/>
  <c r="N4371" i="61"/>
  <c r="M4371" i="61"/>
  <c r="L4371" i="61"/>
  <c r="K4371" i="61"/>
  <c r="P4370" i="61"/>
  <c r="O4370" i="61"/>
  <c r="N4370" i="61"/>
  <c r="M4370" i="61"/>
  <c r="L4370" i="61"/>
  <c r="K4370" i="61"/>
  <c r="P4369" i="61"/>
  <c r="O4369" i="61"/>
  <c r="N4369" i="61"/>
  <c r="M4369" i="61"/>
  <c r="L4369" i="61"/>
  <c r="K4369" i="61"/>
  <c r="P4368" i="61"/>
  <c r="O4368" i="61"/>
  <c r="N4368" i="61"/>
  <c r="M4368" i="61"/>
  <c r="L4368" i="61"/>
  <c r="K4368" i="61"/>
  <c r="P4367" i="61"/>
  <c r="O4367" i="61"/>
  <c r="N4367" i="61"/>
  <c r="M4367" i="61"/>
  <c r="L4367" i="61"/>
  <c r="K4367" i="61"/>
  <c r="P4366" i="61"/>
  <c r="O4366" i="61"/>
  <c r="N4366" i="61"/>
  <c r="M4366" i="61"/>
  <c r="L4366" i="61"/>
  <c r="K4366" i="61"/>
  <c r="P4365" i="61"/>
  <c r="O4365" i="61"/>
  <c r="N4365" i="61"/>
  <c r="M4365" i="61"/>
  <c r="L4365" i="61"/>
  <c r="K4365" i="61"/>
  <c r="P4364" i="61"/>
  <c r="O4364" i="61"/>
  <c r="N4364" i="61"/>
  <c r="M4364" i="61"/>
  <c r="L4364" i="61"/>
  <c r="K4364" i="61"/>
  <c r="P4363" i="61"/>
  <c r="O4363" i="61"/>
  <c r="N4363" i="61"/>
  <c r="M4363" i="61"/>
  <c r="L4363" i="61"/>
  <c r="K4363" i="61"/>
  <c r="P4362" i="61"/>
  <c r="O4362" i="61"/>
  <c r="N4362" i="61"/>
  <c r="M4362" i="61"/>
  <c r="L4362" i="61"/>
  <c r="K4362" i="61"/>
  <c r="P4361" i="61"/>
  <c r="O4361" i="61"/>
  <c r="N4361" i="61"/>
  <c r="M4361" i="61"/>
  <c r="L4361" i="61"/>
  <c r="K4361" i="61"/>
  <c r="P4360" i="61"/>
  <c r="O4360" i="61"/>
  <c r="N4360" i="61"/>
  <c r="M4360" i="61"/>
  <c r="L4360" i="61"/>
  <c r="K4360" i="61"/>
  <c r="P4359" i="61"/>
  <c r="O4359" i="61"/>
  <c r="N4359" i="61"/>
  <c r="M4359" i="61"/>
  <c r="L4359" i="61"/>
  <c r="K4359" i="61"/>
  <c r="P4358" i="61"/>
  <c r="O4358" i="61"/>
  <c r="N4358" i="61"/>
  <c r="M4358" i="61"/>
  <c r="L4358" i="61"/>
  <c r="K4358" i="61"/>
  <c r="P4357" i="61"/>
  <c r="O4357" i="61"/>
  <c r="N4357" i="61"/>
  <c r="M4357" i="61"/>
  <c r="L4357" i="61"/>
  <c r="K4357" i="61"/>
  <c r="P4356" i="61"/>
  <c r="O4356" i="61"/>
  <c r="N4356" i="61"/>
  <c r="M4356" i="61"/>
  <c r="L4356" i="61"/>
  <c r="K4356" i="61"/>
  <c r="P4355" i="61"/>
  <c r="O4355" i="61"/>
  <c r="N4355" i="61"/>
  <c r="M4355" i="61"/>
  <c r="L4355" i="61"/>
  <c r="K4355" i="61"/>
  <c r="P4354" i="61"/>
  <c r="O4354" i="61"/>
  <c r="N4354" i="61"/>
  <c r="M4354" i="61"/>
  <c r="L4354" i="61"/>
  <c r="K4354" i="61"/>
  <c r="P4353" i="61"/>
  <c r="O4353" i="61"/>
  <c r="N4353" i="61"/>
  <c r="M4353" i="61"/>
  <c r="L4353" i="61"/>
  <c r="K4353" i="61"/>
  <c r="P4352" i="61"/>
  <c r="O4352" i="61"/>
  <c r="N4352" i="61"/>
  <c r="M4352" i="61"/>
  <c r="L4352" i="61"/>
  <c r="K4352" i="61"/>
  <c r="P4351" i="61"/>
  <c r="O4351" i="61"/>
  <c r="N4351" i="61"/>
  <c r="M4351" i="61"/>
  <c r="L4351" i="61"/>
  <c r="K4351" i="61"/>
  <c r="P4350" i="61"/>
  <c r="O4350" i="61"/>
  <c r="N4350" i="61"/>
  <c r="M4350" i="61"/>
  <c r="L4350" i="61"/>
  <c r="K4350" i="61"/>
  <c r="P4349" i="61"/>
  <c r="O4349" i="61"/>
  <c r="N4349" i="61"/>
  <c r="M4349" i="61"/>
  <c r="L4349" i="61"/>
  <c r="K4349" i="61"/>
  <c r="P4348" i="61"/>
  <c r="O4348" i="61"/>
  <c r="N4348" i="61"/>
  <c r="M4348" i="61"/>
  <c r="L4348" i="61"/>
  <c r="K4348" i="61"/>
  <c r="P4347" i="61"/>
  <c r="O4347" i="61"/>
  <c r="N4347" i="61"/>
  <c r="M4347" i="61"/>
  <c r="L4347" i="61"/>
  <c r="K4347" i="61"/>
  <c r="P4346" i="61"/>
  <c r="O4346" i="61"/>
  <c r="N4346" i="61"/>
  <c r="M4346" i="61"/>
  <c r="L4346" i="61"/>
  <c r="K4346" i="61"/>
  <c r="P4345" i="61"/>
  <c r="O4345" i="61"/>
  <c r="N4345" i="61"/>
  <c r="M4345" i="61"/>
  <c r="L4345" i="61"/>
  <c r="K4345" i="61"/>
  <c r="P4344" i="61"/>
  <c r="O4344" i="61"/>
  <c r="N4344" i="61"/>
  <c r="M4344" i="61"/>
  <c r="L4344" i="61"/>
  <c r="K4344" i="61"/>
  <c r="P4343" i="61"/>
  <c r="O4343" i="61"/>
  <c r="N4343" i="61"/>
  <c r="M4343" i="61"/>
  <c r="L4343" i="61"/>
  <c r="K4343" i="61"/>
  <c r="P4342" i="61"/>
  <c r="O4342" i="61"/>
  <c r="N4342" i="61"/>
  <c r="M4342" i="61"/>
  <c r="L4342" i="61"/>
  <c r="K4342" i="61"/>
  <c r="P4341" i="61"/>
  <c r="O4341" i="61"/>
  <c r="N4341" i="61"/>
  <c r="M4341" i="61"/>
  <c r="L4341" i="61"/>
  <c r="K4341" i="61"/>
  <c r="P4340" i="61"/>
  <c r="O4340" i="61"/>
  <c r="N4340" i="61"/>
  <c r="M4340" i="61"/>
  <c r="L4340" i="61"/>
  <c r="K4340" i="61"/>
  <c r="P4339" i="61"/>
  <c r="O4339" i="61"/>
  <c r="N4339" i="61"/>
  <c r="M4339" i="61"/>
  <c r="L4339" i="61"/>
  <c r="K4339" i="61"/>
  <c r="P4338" i="61"/>
  <c r="O4338" i="61"/>
  <c r="N4338" i="61"/>
  <c r="M4338" i="61"/>
  <c r="L4338" i="61"/>
  <c r="K4338" i="61"/>
  <c r="P4337" i="61"/>
  <c r="O4337" i="61"/>
  <c r="N4337" i="61"/>
  <c r="M4337" i="61"/>
  <c r="L4337" i="61"/>
  <c r="K4337" i="61"/>
  <c r="P4336" i="61"/>
  <c r="O4336" i="61"/>
  <c r="N4336" i="61"/>
  <c r="M4336" i="61"/>
  <c r="L4336" i="61"/>
  <c r="K4336" i="61"/>
  <c r="P4335" i="61"/>
  <c r="O4335" i="61"/>
  <c r="N4335" i="61"/>
  <c r="M4335" i="61"/>
  <c r="L4335" i="61"/>
  <c r="K4335" i="61"/>
  <c r="P4334" i="61"/>
  <c r="O4334" i="61"/>
  <c r="N4334" i="61"/>
  <c r="M4334" i="61"/>
  <c r="L4334" i="61"/>
  <c r="K4334" i="61"/>
  <c r="P4333" i="61"/>
  <c r="O4333" i="61"/>
  <c r="N4333" i="61"/>
  <c r="M4333" i="61"/>
  <c r="L4333" i="61"/>
  <c r="K4333" i="61"/>
  <c r="P4332" i="61"/>
  <c r="O4332" i="61"/>
  <c r="N4332" i="61"/>
  <c r="M4332" i="61"/>
  <c r="L4332" i="61"/>
  <c r="K4332" i="61"/>
  <c r="P4331" i="61"/>
  <c r="O4331" i="61"/>
  <c r="N4331" i="61"/>
  <c r="M4331" i="61"/>
  <c r="L4331" i="61"/>
  <c r="K4331" i="61"/>
  <c r="P4330" i="61"/>
  <c r="O4330" i="61"/>
  <c r="N4330" i="61"/>
  <c r="M4330" i="61"/>
  <c r="L4330" i="61"/>
  <c r="K4330" i="61"/>
  <c r="P4329" i="61"/>
  <c r="O4329" i="61"/>
  <c r="N4329" i="61"/>
  <c r="M4329" i="61"/>
  <c r="L4329" i="61"/>
  <c r="K4329" i="61"/>
  <c r="P4328" i="61"/>
  <c r="O4328" i="61"/>
  <c r="N4328" i="61"/>
  <c r="M4328" i="61"/>
  <c r="L4328" i="61"/>
  <c r="K4328" i="61"/>
  <c r="P4327" i="61"/>
  <c r="O4327" i="61"/>
  <c r="N4327" i="61"/>
  <c r="M4327" i="61"/>
  <c r="L4327" i="61"/>
  <c r="K4327" i="61"/>
  <c r="P4326" i="61"/>
  <c r="O4326" i="61"/>
  <c r="N4326" i="61"/>
  <c r="M4326" i="61"/>
  <c r="L4326" i="61"/>
  <c r="K4326" i="61"/>
  <c r="P4325" i="61"/>
  <c r="O4325" i="61"/>
  <c r="N4325" i="61"/>
  <c r="M4325" i="61"/>
  <c r="L4325" i="61"/>
  <c r="K4325" i="61"/>
  <c r="P4324" i="61"/>
  <c r="O4324" i="61"/>
  <c r="N4324" i="61"/>
  <c r="M4324" i="61"/>
  <c r="L4324" i="61"/>
  <c r="K4324" i="61"/>
  <c r="P4323" i="61"/>
  <c r="O4323" i="61"/>
  <c r="N4323" i="61"/>
  <c r="M4323" i="61"/>
  <c r="L4323" i="61"/>
  <c r="K4323" i="61"/>
  <c r="P4322" i="61"/>
  <c r="O4322" i="61"/>
  <c r="N4322" i="61"/>
  <c r="M4322" i="61"/>
  <c r="L4322" i="61"/>
  <c r="K4322" i="61"/>
  <c r="P4321" i="61"/>
  <c r="O4321" i="61"/>
  <c r="N4321" i="61"/>
  <c r="M4321" i="61"/>
  <c r="L4321" i="61"/>
  <c r="K4321" i="61"/>
  <c r="P4320" i="61"/>
  <c r="O4320" i="61"/>
  <c r="N4320" i="61"/>
  <c r="M4320" i="61"/>
  <c r="L4320" i="61"/>
  <c r="K4320" i="61"/>
  <c r="P4319" i="61"/>
  <c r="O4319" i="61"/>
  <c r="N4319" i="61"/>
  <c r="M4319" i="61"/>
  <c r="L4319" i="61"/>
  <c r="K4319" i="61"/>
  <c r="P4318" i="61"/>
  <c r="O4318" i="61"/>
  <c r="N4318" i="61"/>
  <c r="M4318" i="61"/>
  <c r="L4318" i="61"/>
  <c r="K4318" i="61"/>
  <c r="P4317" i="61"/>
  <c r="O4317" i="61"/>
  <c r="N4317" i="61"/>
  <c r="M4317" i="61"/>
  <c r="L4317" i="61"/>
  <c r="K4317" i="61"/>
  <c r="P4316" i="61"/>
  <c r="O4316" i="61"/>
  <c r="N4316" i="61"/>
  <c r="M4316" i="61"/>
  <c r="L4316" i="61"/>
  <c r="K4316" i="61"/>
  <c r="P4315" i="61"/>
  <c r="O4315" i="61"/>
  <c r="N4315" i="61"/>
  <c r="M4315" i="61"/>
  <c r="L4315" i="61"/>
  <c r="K4315" i="61"/>
  <c r="P4314" i="61"/>
  <c r="O4314" i="61"/>
  <c r="N4314" i="61"/>
  <c r="M4314" i="61"/>
  <c r="L4314" i="61"/>
  <c r="K4314" i="61"/>
  <c r="P4313" i="61"/>
  <c r="O4313" i="61"/>
  <c r="N4313" i="61"/>
  <c r="M4313" i="61"/>
  <c r="L4313" i="61"/>
  <c r="K4313" i="61"/>
  <c r="P4312" i="61"/>
  <c r="O4312" i="61"/>
  <c r="N4312" i="61"/>
  <c r="M4312" i="61"/>
  <c r="L4312" i="61"/>
  <c r="K4312" i="61"/>
  <c r="P4311" i="61"/>
  <c r="O4311" i="61"/>
  <c r="N4311" i="61"/>
  <c r="M4311" i="61"/>
  <c r="L4311" i="61"/>
  <c r="K4311" i="61"/>
  <c r="P4310" i="61"/>
  <c r="O4310" i="61"/>
  <c r="N4310" i="61"/>
  <c r="M4310" i="61"/>
  <c r="L4310" i="61"/>
  <c r="K4310" i="61"/>
  <c r="P4309" i="61"/>
  <c r="O4309" i="61"/>
  <c r="N4309" i="61"/>
  <c r="M4309" i="61"/>
  <c r="L4309" i="61"/>
  <c r="K4309" i="61"/>
  <c r="P4308" i="61"/>
  <c r="O4308" i="61"/>
  <c r="N4308" i="61"/>
  <c r="M4308" i="61"/>
  <c r="L4308" i="61"/>
  <c r="K4308" i="61"/>
  <c r="P4307" i="61"/>
  <c r="O4307" i="61"/>
  <c r="N4307" i="61"/>
  <c r="M4307" i="61"/>
  <c r="L4307" i="61"/>
  <c r="K4307" i="61"/>
  <c r="P4306" i="61"/>
  <c r="O4306" i="61"/>
  <c r="N4306" i="61"/>
  <c r="M4306" i="61"/>
  <c r="L4306" i="61"/>
  <c r="K4306" i="61"/>
  <c r="P4305" i="61"/>
  <c r="O4305" i="61"/>
  <c r="N4305" i="61"/>
  <c r="M4305" i="61"/>
  <c r="L4305" i="61"/>
  <c r="K4305" i="61"/>
  <c r="P4304" i="61"/>
  <c r="O4304" i="61"/>
  <c r="N4304" i="61"/>
  <c r="M4304" i="61"/>
  <c r="L4304" i="61"/>
  <c r="K4304" i="61"/>
  <c r="P4303" i="61"/>
  <c r="O4303" i="61"/>
  <c r="N4303" i="61"/>
  <c r="M4303" i="61"/>
  <c r="L4303" i="61"/>
  <c r="K4303" i="61"/>
  <c r="P4302" i="61"/>
  <c r="O4302" i="61"/>
  <c r="N4302" i="61"/>
  <c r="M4302" i="61"/>
  <c r="L4302" i="61"/>
  <c r="K4302" i="61"/>
  <c r="P4301" i="61"/>
  <c r="O4301" i="61"/>
  <c r="N4301" i="61"/>
  <c r="M4301" i="61"/>
  <c r="L4301" i="61"/>
  <c r="K4301" i="61"/>
  <c r="P4300" i="61"/>
  <c r="O4300" i="61"/>
  <c r="N4300" i="61"/>
  <c r="M4300" i="61"/>
  <c r="L4300" i="61"/>
  <c r="K4300" i="61"/>
  <c r="P4299" i="61"/>
  <c r="O4299" i="61"/>
  <c r="N4299" i="61"/>
  <c r="M4299" i="61"/>
  <c r="L4299" i="61"/>
  <c r="K4299" i="61"/>
  <c r="P4298" i="61"/>
  <c r="O4298" i="61"/>
  <c r="N4298" i="61"/>
  <c r="M4298" i="61"/>
  <c r="L4298" i="61"/>
  <c r="K4298" i="61"/>
  <c r="P4297" i="61"/>
  <c r="O4297" i="61"/>
  <c r="N4297" i="61"/>
  <c r="M4297" i="61"/>
  <c r="L4297" i="61"/>
  <c r="K4297" i="61"/>
  <c r="P4296" i="61"/>
  <c r="O4296" i="61"/>
  <c r="N4296" i="61"/>
  <c r="M4296" i="61"/>
  <c r="L4296" i="61"/>
  <c r="K4296" i="61"/>
  <c r="P4295" i="61"/>
  <c r="O4295" i="61"/>
  <c r="N4295" i="61"/>
  <c r="M4295" i="61"/>
  <c r="L4295" i="61"/>
  <c r="K4295" i="61"/>
  <c r="P4294" i="61"/>
  <c r="O4294" i="61"/>
  <c r="N4294" i="61"/>
  <c r="M4294" i="61"/>
  <c r="L4294" i="61"/>
  <c r="K4294" i="61"/>
  <c r="P4293" i="61"/>
  <c r="O4293" i="61"/>
  <c r="N4293" i="61"/>
  <c r="M4293" i="61"/>
  <c r="L4293" i="61"/>
  <c r="K4293" i="61"/>
  <c r="P4292" i="61"/>
  <c r="O4292" i="61"/>
  <c r="N4292" i="61"/>
  <c r="M4292" i="61"/>
  <c r="L4292" i="61"/>
  <c r="K4292" i="61"/>
  <c r="P4291" i="61"/>
  <c r="O4291" i="61"/>
  <c r="N4291" i="61"/>
  <c r="M4291" i="61"/>
  <c r="L4291" i="61"/>
  <c r="K4291" i="61"/>
  <c r="P4290" i="61"/>
  <c r="O4290" i="61"/>
  <c r="N4290" i="61"/>
  <c r="M4290" i="61"/>
  <c r="L4290" i="61"/>
  <c r="K4290" i="61"/>
  <c r="P4289" i="61"/>
  <c r="O4289" i="61"/>
  <c r="N4289" i="61"/>
  <c r="M4289" i="61"/>
  <c r="L4289" i="61"/>
  <c r="K4289" i="61"/>
  <c r="P4288" i="61"/>
  <c r="O4288" i="61"/>
  <c r="N4288" i="61"/>
  <c r="M4288" i="61"/>
  <c r="L4288" i="61"/>
  <c r="K4288" i="61"/>
  <c r="P4287" i="61"/>
  <c r="O4287" i="61"/>
  <c r="N4287" i="61"/>
  <c r="M4287" i="61"/>
  <c r="L4287" i="61"/>
  <c r="K4287" i="61"/>
  <c r="P4286" i="61"/>
  <c r="O4286" i="61"/>
  <c r="N4286" i="61"/>
  <c r="M4286" i="61"/>
  <c r="L4286" i="61"/>
  <c r="K4286" i="61"/>
  <c r="P4285" i="61"/>
  <c r="O4285" i="61"/>
  <c r="N4285" i="61"/>
  <c r="M4285" i="61"/>
  <c r="L4285" i="61"/>
  <c r="K4285" i="61"/>
  <c r="P4284" i="61"/>
  <c r="O4284" i="61"/>
  <c r="N4284" i="61"/>
  <c r="M4284" i="61"/>
  <c r="L4284" i="61"/>
  <c r="K4284" i="61"/>
  <c r="P4283" i="61"/>
  <c r="O4283" i="61"/>
  <c r="N4283" i="61"/>
  <c r="M4283" i="61"/>
  <c r="L4283" i="61"/>
  <c r="K4283" i="61"/>
  <c r="P4282" i="61"/>
  <c r="O4282" i="61"/>
  <c r="N4282" i="61"/>
  <c r="M4282" i="61"/>
  <c r="L4282" i="61"/>
  <c r="K4282" i="61"/>
  <c r="P4281" i="61"/>
  <c r="O4281" i="61"/>
  <c r="N4281" i="61"/>
  <c r="M4281" i="61"/>
  <c r="L4281" i="61"/>
  <c r="K4281" i="61"/>
  <c r="P4280" i="61"/>
  <c r="O4280" i="61"/>
  <c r="N4280" i="61"/>
  <c r="M4280" i="61"/>
  <c r="L4280" i="61"/>
  <c r="K4280" i="61"/>
  <c r="P4279" i="61"/>
  <c r="O4279" i="61"/>
  <c r="N4279" i="61"/>
  <c r="M4279" i="61"/>
  <c r="L4279" i="61"/>
  <c r="K4279" i="61"/>
  <c r="P4278" i="61"/>
  <c r="O4278" i="61"/>
  <c r="N4278" i="61"/>
  <c r="M4278" i="61"/>
  <c r="L4278" i="61"/>
  <c r="K4278" i="61"/>
  <c r="P4277" i="61"/>
  <c r="O4277" i="61"/>
  <c r="N4277" i="61"/>
  <c r="M4277" i="61"/>
  <c r="L4277" i="61"/>
  <c r="K4277" i="61"/>
  <c r="P4276" i="61"/>
  <c r="O4276" i="61"/>
  <c r="N4276" i="61"/>
  <c r="M4276" i="61"/>
  <c r="L4276" i="61"/>
  <c r="K4276" i="61"/>
  <c r="P4275" i="61"/>
  <c r="O4275" i="61"/>
  <c r="N4275" i="61"/>
  <c r="M4275" i="61"/>
  <c r="L4275" i="61"/>
  <c r="K4275" i="61"/>
  <c r="P4274" i="61"/>
  <c r="O4274" i="61"/>
  <c r="N4274" i="61"/>
  <c r="M4274" i="61"/>
  <c r="L4274" i="61"/>
  <c r="K4274" i="61"/>
  <c r="P4273" i="61"/>
  <c r="O4273" i="61"/>
  <c r="N4273" i="61"/>
  <c r="M4273" i="61"/>
  <c r="L4273" i="61"/>
  <c r="K4273" i="61"/>
  <c r="P4272" i="61"/>
  <c r="O4272" i="61"/>
  <c r="N4272" i="61"/>
  <c r="M4272" i="61"/>
  <c r="L4272" i="61"/>
  <c r="K4272" i="61"/>
  <c r="P4271" i="61"/>
  <c r="O4271" i="61"/>
  <c r="N4271" i="61"/>
  <c r="M4271" i="61"/>
  <c r="L4271" i="61"/>
  <c r="K4271" i="61"/>
  <c r="P4270" i="61"/>
  <c r="O4270" i="61"/>
  <c r="N4270" i="61"/>
  <c r="M4270" i="61"/>
  <c r="L4270" i="61"/>
  <c r="K4270" i="61"/>
  <c r="P4269" i="61"/>
  <c r="O4269" i="61"/>
  <c r="N4269" i="61"/>
  <c r="M4269" i="61"/>
  <c r="L4269" i="61"/>
  <c r="K4269" i="61"/>
  <c r="P4268" i="61"/>
  <c r="O4268" i="61"/>
  <c r="N4268" i="61"/>
  <c r="M4268" i="61"/>
  <c r="L4268" i="61"/>
  <c r="K4268" i="61"/>
  <c r="P4267" i="61"/>
  <c r="O4267" i="61"/>
  <c r="N4267" i="61"/>
  <c r="M4267" i="61"/>
  <c r="L4267" i="61"/>
  <c r="K4267" i="61"/>
  <c r="P4266" i="61"/>
  <c r="O4266" i="61"/>
  <c r="N4266" i="61"/>
  <c r="M4266" i="61"/>
  <c r="L4266" i="61"/>
  <c r="K4266" i="61"/>
  <c r="P4265" i="61"/>
  <c r="O4265" i="61"/>
  <c r="N4265" i="61"/>
  <c r="M4265" i="61"/>
  <c r="L4265" i="61"/>
  <c r="K4265" i="61"/>
  <c r="P4264" i="61"/>
  <c r="O4264" i="61"/>
  <c r="N4264" i="61"/>
  <c r="M4264" i="61"/>
  <c r="L4264" i="61"/>
  <c r="K4264" i="61"/>
  <c r="P4263" i="61"/>
  <c r="O4263" i="61"/>
  <c r="N4263" i="61"/>
  <c r="M4263" i="61"/>
  <c r="L4263" i="61"/>
  <c r="K4263" i="61"/>
  <c r="P4262" i="61"/>
  <c r="O4262" i="61"/>
  <c r="N4262" i="61"/>
  <c r="M4262" i="61"/>
  <c r="L4262" i="61"/>
  <c r="K4262" i="61"/>
  <c r="P4261" i="61"/>
  <c r="O4261" i="61"/>
  <c r="N4261" i="61"/>
  <c r="M4261" i="61"/>
  <c r="L4261" i="61"/>
  <c r="K4261" i="61"/>
  <c r="P4260" i="61"/>
  <c r="O4260" i="61"/>
  <c r="N4260" i="61"/>
  <c r="M4260" i="61"/>
  <c r="L4260" i="61"/>
  <c r="K4260" i="61"/>
  <c r="P4259" i="61"/>
  <c r="O4259" i="61"/>
  <c r="N4259" i="61"/>
  <c r="M4259" i="61"/>
  <c r="L4259" i="61"/>
  <c r="K4259" i="61"/>
  <c r="P4258" i="61"/>
  <c r="O4258" i="61"/>
  <c r="N4258" i="61"/>
  <c r="M4258" i="61"/>
  <c r="L4258" i="61"/>
  <c r="K4258" i="61"/>
  <c r="P4257" i="61"/>
  <c r="O4257" i="61"/>
  <c r="N4257" i="61"/>
  <c r="M4257" i="61"/>
  <c r="L4257" i="61"/>
  <c r="K4257" i="61"/>
  <c r="P4256" i="61"/>
  <c r="O4256" i="61"/>
  <c r="N4256" i="61"/>
  <c r="M4256" i="61"/>
  <c r="L4256" i="61"/>
  <c r="K4256" i="61"/>
  <c r="P4255" i="61"/>
  <c r="O4255" i="61"/>
  <c r="N4255" i="61"/>
  <c r="M4255" i="61"/>
  <c r="L4255" i="61"/>
  <c r="K4255" i="61"/>
  <c r="P4254" i="61"/>
  <c r="O4254" i="61"/>
  <c r="N4254" i="61"/>
  <c r="M4254" i="61"/>
  <c r="L4254" i="61"/>
  <c r="K4254" i="61"/>
  <c r="P4253" i="61"/>
  <c r="O4253" i="61"/>
  <c r="N4253" i="61"/>
  <c r="M4253" i="61"/>
  <c r="L4253" i="61"/>
  <c r="K4253" i="61"/>
  <c r="P4252" i="61"/>
  <c r="O4252" i="61"/>
  <c r="N4252" i="61"/>
  <c r="M4252" i="61"/>
  <c r="L4252" i="61"/>
  <c r="K4252" i="61"/>
  <c r="P4251" i="61"/>
  <c r="O4251" i="61"/>
  <c r="N4251" i="61"/>
  <c r="M4251" i="61"/>
  <c r="L4251" i="61"/>
  <c r="K4251" i="61"/>
  <c r="P4250" i="61"/>
  <c r="O4250" i="61"/>
  <c r="N4250" i="61"/>
  <c r="M4250" i="61"/>
  <c r="L4250" i="61"/>
  <c r="K4250" i="61"/>
  <c r="P4249" i="61"/>
  <c r="O4249" i="61"/>
  <c r="N4249" i="61"/>
  <c r="M4249" i="61"/>
  <c r="L4249" i="61"/>
  <c r="K4249" i="61"/>
  <c r="P4248" i="61"/>
  <c r="O4248" i="61"/>
  <c r="N4248" i="61"/>
  <c r="M4248" i="61"/>
  <c r="L4248" i="61"/>
  <c r="K4248" i="61"/>
  <c r="P4247" i="61"/>
  <c r="O4247" i="61"/>
  <c r="N4247" i="61"/>
  <c r="M4247" i="61"/>
  <c r="L4247" i="61"/>
  <c r="K4247" i="61"/>
  <c r="P4246" i="61"/>
  <c r="O4246" i="61"/>
  <c r="N4246" i="61"/>
  <c r="M4246" i="61"/>
  <c r="L4246" i="61"/>
  <c r="K4246" i="61"/>
  <c r="P4245" i="61"/>
  <c r="O4245" i="61"/>
  <c r="N4245" i="61"/>
  <c r="M4245" i="61"/>
  <c r="L4245" i="61"/>
  <c r="K4245" i="61"/>
  <c r="P4244" i="61"/>
  <c r="O4244" i="61"/>
  <c r="N4244" i="61"/>
  <c r="M4244" i="61"/>
  <c r="L4244" i="61"/>
  <c r="K4244" i="61"/>
  <c r="P4243" i="61"/>
  <c r="O4243" i="61"/>
  <c r="N4243" i="61"/>
  <c r="M4243" i="61"/>
  <c r="L4243" i="61"/>
  <c r="K4243" i="61"/>
  <c r="P4242" i="61"/>
  <c r="O4242" i="61"/>
  <c r="N4242" i="61"/>
  <c r="M4242" i="61"/>
  <c r="L4242" i="61"/>
  <c r="K4242" i="61"/>
  <c r="P4241" i="61"/>
  <c r="O4241" i="61"/>
  <c r="N4241" i="61"/>
  <c r="M4241" i="61"/>
  <c r="L4241" i="61"/>
  <c r="K4241" i="61"/>
  <c r="P4240" i="61"/>
  <c r="O4240" i="61"/>
  <c r="N4240" i="61"/>
  <c r="M4240" i="61"/>
  <c r="L4240" i="61"/>
  <c r="K4240" i="61"/>
  <c r="P4239" i="61"/>
  <c r="O4239" i="61"/>
  <c r="N4239" i="61"/>
  <c r="M4239" i="61"/>
  <c r="L4239" i="61"/>
  <c r="K4239" i="61"/>
  <c r="P4238" i="61"/>
  <c r="O4238" i="61"/>
  <c r="N4238" i="61"/>
  <c r="M4238" i="61"/>
  <c r="L4238" i="61"/>
  <c r="K4238" i="61"/>
  <c r="P4237" i="61"/>
  <c r="O4237" i="61"/>
  <c r="N4237" i="61"/>
  <c r="M4237" i="61"/>
  <c r="L4237" i="61"/>
  <c r="K4237" i="61"/>
  <c r="P4236" i="61"/>
  <c r="O4236" i="61"/>
  <c r="N4236" i="61"/>
  <c r="M4236" i="61"/>
  <c r="L4236" i="61"/>
  <c r="K4236" i="61"/>
  <c r="P4235" i="61"/>
  <c r="O4235" i="61"/>
  <c r="N4235" i="61"/>
  <c r="M4235" i="61"/>
  <c r="L4235" i="61"/>
  <c r="K4235" i="61"/>
  <c r="P4234" i="61"/>
  <c r="O4234" i="61"/>
  <c r="N4234" i="61"/>
  <c r="M4234" i="61"/>
  <c r="L4234" i="61"/>
  <c r="K4234" i="61"/>
  <c r="P4233" i="61"/>
  <c r="O4233" i="61"/>
  <c r="N4233" i="61"/>
  <c r="M4233" i="61"/>
  <c r="L4233" i="61"/>
  <c r="K4233" i="61"/>
  <c r="P4232" i="61"/>
  <c r="O4232" i="61"/>
  <c r="N4232" i="61"/>
  <c r="M4232" i="61"/>
  <c r="L4232" i="61"/>
  <c r="K4232" i="61"/>
  <c r="P4231" i="61"/>
  <c r="O4231" i="61"/>
  <c r="N4231" i="61"/>
  <c r="M4231" i="61"/>
  <c r="L4231" i="61"/>
  <c r="K4231" i="61"/>
  <c r="P4230" i="61"/>
  <c r="O4230" i="61"/>
  <c r="N4230" i="61"/>
  <c r="M4230" i="61"/>
  <c r="L4230" i="61"/>
  <c r="K4230" i="61"/>
  <c r="P4229" i="61"/>
  <c r="O4229" i="61"/>
  <c r="N4229" i="61"/>
  <c r="M4229" i="61"/>
  <c r="L4229" i="61"/>
  <c r="K4229" i="61"/>
  <c r="P4228" i="61"/>
  <c r="O4228" i="61"/>
  <c r="N4228" i="61"/>
  <c r="M4228" i="61"/>
  <c r="L4228" i="61"/>
  <c r="K4228" i="61"/>
  <c r="P4227" i="61"/>
  <c r="O4227" i="61"/>
  <c r="N4227" i="61"/>
  <c r="M4227" i="61"/>
  <c r="L4227" i="61"/>
  <c r="K4227" i="61"/>
  <c r="P4226" i="61"/>
  <c r="O4226" i="61"/>
  <c r="N4226" i="61"/>
  <c r="M4226" i="61"/>
  <c r="L4226" i="61"/>
  <c r="K4226" i="61"/>
  <c r="P4225" i="61"/>
  <c r="O4225" i="61"/>
  <c r="N4225" i="61"/>
  <c r="M4225" i="61"/>
  <c r="L4225" i="61"/>
  <c r="K4225" i="61"/>
  <c r="P4224" i="61"/>
  <c r="O4224" i="61"/>
  <c r="N4224" i="61"/>
  <c r="M4224" i="61"/>
  <c r="L4224" i="61"/>
  <c r="K4224" i="61"/>
  <c r="P4223" i="61"/>
  <c r="O4223" i="61"/>
  <c r="N4223" i="61"/>
  <c r="M4223" i="61"/>
  <c r="L4223" i="61"/>
  <c r="K4223" i="61"/>
  <c r="P4222" i="61"/>
  <c r="O4222" i="61"/>
  <c r="N4222" i="61"/>
  <c r="M4222" i="61"/>
  <c r="L4222" i="61"/>
  <c r="K4222" i="61"/>
  <c r="P4221" i="61"/>
  <c r="O4221" i="61"/>
  <c r="N4221" i="61"/>
  <c r="M4221" i="61"/>
  <c r="L4221" i="61"/>
  <c r="K4221" i="61"/>
  <c r="P4220" i="61"/>
  <c r="O4220" i="61"/>
  <c r="N4220" i="61"/>
  <c r="M4220" i="61"/>
  <c r="L4220" i="61"/>
  <c r="K4220" i="61"/>
  <c r="P4219" i="61"/>
  <c r="O4219" i="61"/>
  <c r="N4219" i="61"/>
  <c r="M4219" i="61"/>
  <c r="L4219" i="61"/>
  <c r="K4219" i="61"/>
  <c r="P4218" i="61"/>
  <c r="O4218" i="61"/>
  <c r="N4218" i="61"/>
  <c r="M4218" i="61"/>
  <c r="L4218" i="61"/>
  <c r="K4218" i="61"/>
  <c r="P4217" i="61"/>
  <c r="O4217" i="61"/>
  <c r="N4217" i="61"/>
  <c r="M4217" i="61"/>
  <c r="L4217" i="61"/>
  <c r="K4217" i="61"/>
  <c r="P4216" i="61"/>
  <c r="O4216" i="61"/>
  <c r="N4216" i="61"/>
  <c r="M4216" i="61"/>
  <c r="L4216" i="61"/>
  <c r="K4216" i="61"/>
  <c r="P4215" i="61"/>
  <c r="O4215" i="61"/>
  <c r="N4215" i="61"/>
  <c r="M4215" i="61"/>
  <c r="L4215" i="61"/>
  <c r="K4215" i="61"/>
  <c r="P4214" i="61"/>
  <c r="O4214" i="61"/>
  <c r="N4214" i="61"/>
  <c r="M4214" i="61"/>
  <c r="L4214" i="61"/>
  <c r="K4214" i="61"/>
  <c r="P4213" i="61"/>
  <c r="O4213" i="61"/>
  <c r="N4213" i="61"/>
  <c r="M4213" i="61"/>
  <c r="L4213" i="61"/>
  <c r="K4213" i="61"/>
  <c r="P4212" i="61"/>
  <c r="O4212" i="61"/>
  <c r="N4212" i="61"/>
  <c r="M4212" i="61"/>
  <c r="L4212" i="61"/>
  <c r="K4212" i="61"/>
  <c r="P4211" i="61"/>
  <c r="O4211" i="61"/>
  <c r="N4211" i="61"/>
  <c r="M4211" i="61"/>
  <c r="L4211" i="61"/>
  <c r="K4211" i="61"/>
  <c r="P4210" i="61"/>
  <c r="O4210" i="61"/>
  <c r="N4210" i="61"/>
  <c r="M4210" i="61"/>
  <c r="L4210" i="61"/>
  <c r="K4210" i="61"/>
  <c r="P4209" i="61"/>
  <c r="O4209" i="61"/>
  <c r="N4209" i="61"/>
  <c r="M4209" i="61"/>
  <c r="L4209" i="61"/>
  <c r="K4209" i="61"/>
  <c r="P4208" i="61"/>
  <c r="O4208" i="61"/>
  <c r="N4208" i="61"/>
  <c r="M4208" i="61"/>
  <c r="L4208" i="61"/>
  <c r="K4208" i="61"/>
  <c r="P4207" i="61"/>
  <c r="O4207" i="61"/>
  <c r="N4207" i="61"/>
  <c r="M4207" i="61"/>
  <c r="L4207" i="61"/>
  <c r="K4207" i="61"/>
  <c r="P4206" i="61"/>
  <c r="O4206" i="61"/>
  <c r="N4206" i="61"/>
  <c r="M4206" i="61"/>
  <c r="L4206" i="61"/>
  <c r="K4206" i="61"/>
  <c r="P4205" i="61"/>
  <c r="O4205" i="61"/>
  <c r="N4205" i="61"/>
  <c r="M4205" i="61"/>
  <c r="L4205" i="61"/>
  <c r="K4205" i="61"/>
  <c r="P4204" i="61"/>
  <c r="O4204" i="61"/>
  <c r="N4204" i="61"/>
  <c r="M4204" i="61"/>
  <c r="L4204" i="61"/>
  <c r="K4204" i="61"/>
  <c r="P4203" i="61"/>
  <c r="O4203" i="61"/>
  <c r="N4203" i="61"/>
  <c r="M4203" i="61"/>
  <c r="L4203" i="61"/>
  <c r="K4203" i="61"/>
  <c r="P4202" i="61"/>
  <c r="O4202" i="61"/>
  <c r="N4202" i="61"/>
  <c r="M4202" i="61"/>
  <c r="L4202" i="61"/>
  <c r="K4202" i="61"/>
  <c r="P4201" i="61"/>
  <c r="O4201" i="61"/>
  <c r="N4201" i="61"/>
  <c r="M4201" i="61"/>
  <c r="L4201" i="61"/>
  <c r="K4201" i="61"/>
  <c r="P4200" i="61"/>
  <c r="O4200" i="61"/>
  <c r="N4200" i="61"/>
  <c r="M4200" i="61"/>
  <c r="L4200" i="61"/>
  <c r="K4200" i="61"/>
  <c r="P4199" i="61"/>
  <c r="O4199" i="61"/>
  <c r="N4199" i="61"/>
  <c r="M4199" i="61"/>
  <c r="L4199" i="61"/>
  <c r="K4199" i="61"/>
  <c r="P4198" i="61"/>
  <c r="O4198" i="61"/>
  <c r="N4198" i="61"/>
  <c r="M4198" i="61"/>
  <c r="L4198" i="61"/>
  <c r="K4198" i="61"/>
  <c r="P4197" i="61"/>
  <c r="O4197" i="61"/>
  <c r="N4197" i="61"/>
  <c r="M4197" i="61"/>
  <c r="L4197" i="61"/>
  <c r="K4197" i="61"/>
  <c r="P4196" i="61"/>
  <c r="O4196" i="61"/>
  <c r="N4196" i="61"/>
  <c r="M4196" i="61"/>
  <c r="L4196" i="61"/>
  <c r="K4196" i="61"/>
  <c r="P4195" i="61"/>
  <c r="O4195" i="61"/>
  <c r="N4195" i="61"/>
  <c r="M4195" i="61"/>
  <c r="L4195" i="61"/>
  <c r="K4195" i="61"/>
  <c r="P4194" i="61"/>
  <c r="O4194" i="61"/>
  <c r="N4194" i="61"/>
  <c r="M4194" i="61"/>
  <c r="L4194" i="61"/>
  <c r="K4194" i="61"/>
  <c r="P4193" i="61"/>
  <c r="O4193" i="61"/>
  <c r="N4193" i="61"/>
  <c r="M4193" i="61"/>
  <c r="L4193" i="61"/>
  <c r="K4193" i="61"/>
  <c r="P4192" i="61"/>
  <c r="O4192" i="61"/>
  <c r="N4192" i="61"/>
  <c r="M4192" i="61"/>
  <c r="L4192" i="61"/>
  <c r="K4192" i="61"/>
  <c r="P4191" i="61"/>
  <c r="O4191" i="61"/>
  <c r="N4191" i="61"/>
  <c r="M4191" i="61"/>
  <c r="L4191" i="61"/>
  <c r="K4191" i="61"/>
  <c r="P4190" i="61"/>
  <c r="O4190" i="61"/>
  <c r="N4190" i="61"/>
  <c r="M4190" i="61"/>
  <c r="L4190" i="61"/>
  <c r="K4190" i="61"/>
  <c r="P4189" i="61"/>
  <c r="O4189" i="61"/>
  <c r="N4189" i="61"/>
  <c r="M4189" i="61"/>
  <c r="L4189" i="61"/>
  <c r="K4189" i="61"/>
  <c r="P4188" i="61"/>
  <c r="O4188" i="61"/>
  <c r="N4188" i="61"/>
  <c r="M4188" i="61"/>
  <c r="L4188" i="61"/>
  <c r="K4188" i="61"/>
  <c r="P4187" i="61"/>
  <c r="O4187" i="61"/>
  <c r="N4187" i="61"/>
  <c r="M4187" i="61"/>
  <c r="L4187" i="61"/>
  <c r="K4187" i="61"/>
  <c r="P4186" i="61"/>
  <c r="O4186" i="61"/>
  <c r="N4186" i="61"/>
  <c r="M4186" i="61"/>
  <c r="L4186" i="61"/>
  <c r="K4186" i="61"/>
  <c r="P4185" i="61"/>
  <c r="O4185" i="61"/>
  <c r="N4185" i="61"/>
  <c r="M4185" i="61"/>
  <c r="L4185" i="61"/>
  <c r="K4185" i="61"/>
  <c r="P4184" i="61"/>
  <c r="O4184" i="61"/>
  <c r="N4184" i="61"/>
  <c r="M4184" i="61"/>
  <c r="L4184" i="61"/>
  <c r="K4184" i="61"/>
  <c r="P4183" i="61"/>
  <c r="O4183" i="61"/>
  <c r="N4183" i="61"/>
  <c r="M4183" i="61"/>
  <c r="L4183" i="61"/>
  <c r="K4183" i="61"/>
  <c r="P4182" i="61"/>
  <c r="O4182" i="61"/>
  <c r="N4182" i="61"/>
  <c r="M4182" i="61"/>
  <c r="L4182" i="61"/>
  <c r="K4182" i="61"/>
  <c r="P4181" i="61"/>
  <c r="O4181" i="61"/>
  <c r="N4181" i="61"/>
  <c r="M4181" i="61"/>
  <c r="L4181" i="61"/>
  <c r="K4181" i="61"/>
  <c r="P4180" i="61"/>
  <c r="O4180" i="61"/>
  <c r="N4180" i="61"/>
  <c r="M4180" i="61"/>
  <c r="L4180" i="61"/>
  <c r="K4180" i="61"/>
  <c r="P4179" i="61"/>
  <c r="O4179" i="61"/>
  <c r="N4179" i="61"/>
  <c r="M4179" i="61"/>
  <c r="L4179" i="61"/>
  <c r="K4179" i="61"/>
  <c r="P4178" i="61"/>
  <c r="O4178" i="61"/>
  <c r="N4178" i="61"/>
  <c r="M4178" i="61"/>
  <c r="L4178" i="61"/>
  <c r="K4178" i="61"/>
  <c r="P4177" i="61"/>
  <c r="O4177" i="61"/>
  <c r="N4177" i="61"/>
  <c r="M4177" i="61"/>
  <c r="L4177" i="61"/>
  <c r="K4177" i="61"/>
  <c r="P4176" i="61"/>
  <c r="O4176" i="61"/>
  <c r="N4176" i="61"/>
  <c r="M4176" i="61"/>
  <c r="L4176" i="61"/>
  <c r="K4176" i="61"/>
  <c r="P4175" i="61"/>
  <c r="O4175" i="61"/>
  <c r="N4175" i="61"/>
  <c r="M4175" i="61"/>
  <c r="L4175" i="61"/>
  <c r="K4175" i="61"/>
  <c r="P4174" i="61"/>
  <c r="O4174" i="61"/>
  <c r="N4174" i="61"/>
  <c r="M4174" i="61"/>
  <c r="L4174" i="61"/>
  <c r="K4174" i="61"/>
  <c r="P4173" i="61"/>
  <c r="O4173" i="61"/>
  <c r="N4173" i="61"/>
  <c r="M4173" i="61"/>
  <c r="L4173" i="61"/>
  <c r="K4173" i="61"/>
  <c r="P4172" i="61"/>
  <c r="O4172" i="61"/>
  <c r="N4172" i="61"/>
  <c r="M4172" i="61"/>
  <c r="L4172" i="61"/>
  <c r="K4172" i="61"/>
  <c r="P4171" i="61"/>
  <c r="O4171" i="61"/>
  <c r="N4171" i="61"/>
  <c r="M4171" i="61"/>
  <c r="L4171" i="61"/>
  <c r="K4171" i="61"/>
  <c r="P4170" i="61"/>
  <c r="O4170" i="61"/>
  <c r="N4170" i="61"/>
  <c r="M4170" i="61"/>
  <c r="L4170" i="61"/>
  <c r="K4170" i="61"/>
  <c r="P4169" i="61"/>
  <c r="O4169" i="61"/>
  <c r="N4169" i="61"/>
  <c r="M4169" i="61"/>
  <c r="L4169" i="61"/>
  <c r="K4169" i="61"/>
  <c r="P4168" i="61"/>
  <c r="O4168" i="61"/>
  <c r="N4168" i="61"/>
  <c r="M4168" i="61"/>
  <c r="L4168" i="61"/>
  <c r="K4168" i="61"/>
  <c r="P4167" i="61"/>
  <c r="O4167" i="61"/>
  <c r="N4167" i="61"/>
  <c r="M4167" i="61"/>
  <c r="L4167" i="61"/>
  <c r="K4167" i="61"/>
  <c r="P4166" i="61"/>
  <c r="O4166" i="61"/>
  <c r="N4166" i="61"/>
  <c r="M4166" i="61"/>
  <c r="L4166" i="61"/>
  <c r="K4166" i="61"/>
  <c r="P4165" i="61"/>
  <c r="O4165" i="61"/>
  <c r="N4165" i="61"/>
  <c r="M4165" i="61"/>
  <c r="L4165" i="61"/>
  <c r="K4165" i="61"/>
  <c r="P4164" i="61"/>
  <c r="O4164" i="61"/>
  <c r="N4164" i="61"/>
  <c r="M4164" i="61"/>
  <c r="L4164" i="61"/>
  <c r="K4164" i="61"/>
  <c r="P4163" i="61"/>
  <c r="O4163" i="61"/>
  <c r="N4163" i="61"/>
  <c r="M4163" i="61"/>
  <c r="L4163" i="61"/>
  <c r="K4163" i="61"/>
  <c r="P4162" i="61"/>
  <c r="O4162" i="61"/>
  <c r="N4162" i="61"/>
  <c r="M4162" i="61"/>
  <c r="L4162" i="61"/>
  <c r="K4162" i="61"/>
  <c r="P4161" i="61"/>
  <c r="O4161" i="61"/>
  <c r="N4161" i="61"/>
  <c r="M4161" i="61"/>
  <c r="L4161" i="61"/>
  <c r="K4161" i="61"/>
  <c r="P4160" i="61"/>
  <c r="O4160" i="61"/>
  <c r="N4160" i="61"/>
  <c r="M4160" i="61"/>
  <c r="L4160" i="61"/>
  <c r="K4160" i="61"/>
  <c r="P4159" i="61"/>
  <c r="O4159" i="61"/>
  <c r="N4159" i="61"/>
  <c r="M4159" i="61"/>
  <c r="L4159" i="61"/>
  <c r="K4159" i="61"/>
  <c r="P4158" i="61"/>
  <c r="O4158" i="61"/>
  <c r="N4158" i="61"/>
  <c r="M4158" i="61"/>
  <c r="L4158" i="61"/>
  <c r="K4158" i="61"/>
  <c r="P4157" i="61"/>
  <c r="O4157" i="61"/>
  <c r="N4157" i="61"/>
  <c r="M4157" i="61"/>
  <c r="L4157" i="61"/>
  <c r="K4157" i="61"/>
  <c r="P4156" i="61"/>
  <c r="O4156" i="61"/>
  <c r="N4156" i="61"/>
  <c r="M4156" i="61"/>
  <c r="L4156" i="61"/>
  <c r="K4156" i="61"/>
  <c r="P4155" i="61"/>
  <c r="O4155" i="61"/>
  <c r="N4155" i="61"/>
  <c r="M4155" i="61"/>
  <c r="L4155" i="61"/>
  <c r="K4155" i="61"/>
  <c r="P4154" i="61"/>
  <c r="O4154" i="61"/>
  <c r="N4154" i="61"/>
  <c r="M4154" i="61"/>
  <c r="L4154" i="61"/>
  <c r="K4154" i="61"/>
  <c r="P4153" i="61"/>
  <c r="O4153" i="61"/>
  <c r="N4153" i="61"/>
  <c r="M4153" i="61"/>
  <c r="L4153" i="61"/>
  <c r="K4153" i="61"/>
  <c r="P4152" i="61"/>
  <c r="O4152" i="61"/>
  <c r="N4152" i="61"/>
  <c r="M4152" i="61"/>
  <c r="L4152" i="61"/>
  <c r="K4152" i="61"/>
  <c r="P4151" i="61"/>
  <c r="O4151" i="61"/>
  <c r="N4151" i="61"/>
  <c r="M4151" i="61"/>
  <c r="L4151" i="61"/>
  <c r="K4151" i="61"/>
  <c r="P4150" i="61"/>
  <c r="O4150" i="61"/>
  <c r="N4150" i="61"/>
  <c r="M4150" i="61"/>
  <c r="L4150" i="61"/>
  <c r="K4150" i="61"/>
  <c r="P4149" i="61"/>
  <c r="O4149" i="61"/>
  <c r="N4149" i="61"/>
  <c r="M4149" i="61"/>
  <c r="L4149" i="61"/>
  <c r="K4149" i="61"/>
  <c r="P4148" i="61"/>
  <c r="O4148" i="61"/>
  <c r="N4148" i="61"/>
  <c r="M4148" i="61"/>
  <c r="L4148" i="61"/>
  <c r="K4148" i="61"/>
  <c r="P4147" i="61"/>
  <c r="O4147" i="61"/>
  <c r="N4147" i="61"/>
  <c r="M4147" i="61"/>
  <c r="L4147" i="61"/>
  <c r="K4147" i="61"/>
  <c r="P4146" i="61"/>
  <c r="O4146" i="61"/>
  <c r="N4146" i="61"/>
  <c r="M4146" i="61"/>
  <c r="L4146" i="61"/>
  <c r="K4146" i="61"/>
  <c r="P4145" i="61"/>
  <c r="O4145" i="61"/>
  <c r="N4145" i="61"/>
  <c r="M4145" i="61"/>
  <c r="L4145" i="61"/>
  <c r="K4145" i="61"/>
  <c r="P4144" i="61"/>
  <c r="O4144" i="61"/>
  <c r="N4144" i="61"/>
  <c r="M4144" i="61"/>
  <c r="L4144" i="61"/>
  <c r="K4144" i="61"/>
  <c r="P4143" i="61"/>
  <c r="O4143" i="61"/>
  <c r="N4143" i="61"/>
  <c r="M4143" i="61"/>
  <c r="L4143" i="61"/>
  <c r="K4143" i="61"/>
  <c r="P4142" i="61"/>
  <c r="O4142" i="61"/>
  <c r="N4142" i="61"/>
  <c r="M4142" i="61"/>
  <c r="L4142" i="61"/>
  <c r="K4142" i="61"/>
  <c r="P4141" i="61"/>
  <c r="O4141" i="61"/>
  <c r="N4141" i="61"/>
  <c r="M4141" i="61"/>
  <c r="L4141" i="61"/>
  <c r="K4141" i="61"/>
  <c r="P4140" i="61"/>
  <c r="O4140" i="61"/>
  <c r="N4140" i="61"/>
  <c r="M4140" i="61"/>
  <c r="L4140" i="61"/>
  <c r="K4140" i="61"/>
  <c r="P4139" i="61"/>
  <c r="O4139" i="61"/>
  <c r="N4139" i="61"/>
  <c r="M4139" i="61"/>
  <c r="L4139" i="61"/>
  <c r="K4139" i="61"/>
  <c r="P4138" i="61"/>
  <c r="O4138" i="61"/>
  <c r="N4138" i="61"/>
  <c r="M4138" i="61"/>
  <c r="L4138" i="61"/>
  <c r="K4138" i="61"/>
  <c r="P4137" i="61"/>
  <c r="O4137" i="61"/>
  <c r="N4137" i="61"/>
  <c r="M4137" i="61"/>
  <c r="L4137" i="61"/>
  <c r="K4137" i="61"/>
  <c r="P4136" i="61"/>
  <c r="O4136" i="61"/>
  <c r="N4136" i="61"/>
  <c r="M4136" i="61"/>
  <c r="L4136" i="61"/>
  <c r="K4136" i="61"/>
  <c r="P4135" i="61"/>
  <c r="O4135" i="61"/>
  <c r="N4135" i="61"/>
  <c r="M4135" i="61"/>
  <c r="L4135" i="61"/>
  <c r="K4135" i="61"/>
  <c r="P4134" i="61"/>
  <c r="O4134" i="61"/>
  <c r="N4134" i="61"/>
  <c r="M4134" i="61"/>
  <c r="L4134" i="61"/>
  <c r="K4134" i="61"/>
  <c r="P4133" i="61"/>
  <c r="O4133" i="61"/>
  <c r="N4133" i="61"/>
  <c r="M4133" i="61"/>
  <c r="L4133" i="61"/>
  <c r="K4133" i="61"/>
  <c r="P4132" i="61"/>
  <c r="O4132" i="61"/>
  <c r="N4132" i="61"/>
  <c r="M4132" i="61"/>
  <c r="L4132" i="61"/>
  <c r="K4132" i="61"/>
  <c r="P4131" i="61"/>
  <c r="O4131" i="61"/>
  <c r="N4131" i="61"/>
  <c r="M4131" i="61"/>
  <c r="L4131" i="61"/>
  <c r="K4131" i="61"/>
  <c r="P4130" i="61"/>
  <c r="O4130" i="61"/>
  <c r="N4130" i="61"/>
  <c r="M4130" i="61"/>
  <c r="L4130" i="61"/>
  <c r="K4130" i="61"/>
  <c r="P4129" i="61"/>
  <c r="O4129" i="61"/>
  <c r="N4129" i="61"/>
  <c r="M4129" i="61"/>
  <c r="L4129" i="61"/>
  <c r="K4129" i="61"/>
  <c r="P4128" i="61"/>
  <c r="O4128" i="61"/>
  <c r="N4128" i="61"/>
  <c r="M4128" i="61"/>
  <c r="L4128" i="61"/>
  <c r="K4128" i="61"/>
  <c r="P4127" i="61"/>
  <c r="O4127" i="61"/>
  <c r="N4127" i="61"/>
  <c r="M4127" i="61"/>
  <c r="L4127" i="61"/>
  <c r="K4127" i="61"/>
  <c r="P4126" i="61"/>
  <c r="O4126" i="61"/>
  <c r="N4126" i="61"/>
  <c r="M4126" i="61"/>
  <c r="L4126" i="61"/>
  <c r="K4126" i="61"/>
  <c r="P4125" i="61"/>
  <c r="O4125" i="61"/>
  <c r="N4125" i="61"/>
  <c r="M4125" i="61"/>
  <c r="L4125" i="61"/>
  <c r="K4125" i="61"/>
  <c r="P4124" i="61"/>
  <c r="O4124" i="61"/>
  <c r="N4124" i="61"/>
  <c r="M4124" i="61"/>
  <c r="L4124" i="61"/>
  <c r="K4124" i="61"/>
  <c r="P4123" i="61"/>
  <c r="O4123" i="61"/>
  <c r="N4123" i="61"/>
  <c r="M4123" i="61"/>
  <c r="L4123" i="61"/>
  <c r="K4123" i="61"/>
  <c r="P4122" i="61"/>
  <c r="O4122" i="61"/>
  <c r="N4122" i="61"/>
  <c r="M4122" i="61"/>
  <c r="L4122" i="61"/>
  <c r="K4122" i="61"/>
  <c r="P4121" i="61"/>
  <c r="O4121" i="61"/>
  <c r="N4121" i="61"/>
  <c r="M4121" i="61"/>
  <c r="L4121" i="61"/>
  <c r="K4121" i="61"/>
  <c r="P4120" i="61"/>
  <c r="O4120" i="61"/>
  <c r="N4120" i="61"/>
  <c r="M4120" i="61"/>
  <c r="L4120" i="61"/>
  <c r="K4120" i="61"/>
  <c r="P4119" i="61"/>
  <c r="O4119" i="61"/>
  <c r="N4119" i="61"/>
  <c r="M4119" i="61"/>
  <c r="L4119" i="61"/>
  <c r="K4119" i="61"/>
  <c r="P4118" i="61"/>
  <c r="O4118" i="61"/>
  <c r="N4118" i="61"/>
  <c r="M4118" i="61"/>
  <c r="L4118" i="61"/>
  <c r="K4118" i="61"/>
  <c r="P4117" i="61"/>
  <c r="O4117" i="61"/>
  <c r="N4117" i="61"/>
  <c r="M4117" i="61"/>
  <c r="L4117" i="61"/>
  <c r="K4117" i="61"/>
  <c r="P4116" i="61"/>
  <c r="O4116" i="61"/>
  <c r="N4116" i="61"/>
  <c r="M4116" i="61"/>
  <c r="L4116" i="61"/>
  <c r="K4116" i="61"/>
  <c r="P4115" i="61"/>
  <c r="O4115" i="61"/>
  <c r="N4115" i="61"/>
  <c r="M4115" i="61"/>
  <c r="L4115" i="61"/>
  <c r="K4115" i="61"/>
  <c r="P4114" i="61"/>
  <c r="O4114" i="61"/>
  <c r="N4114" i="61"/>
  <c r="M4114" i="61"/>
  <c r="L4114" i="61"/>
  <c r="K4114" i="61"/>
  <c r="P4113" i="61"/>
  <c r="O4113" i="61"/>
  <c r="N4113" i="61"/>
  <c r="M4113" i="61"/>
  <c r="L4113" i="61"/>
  <c r="K4113" i="61"/>
  <c r="P4112" i="61"/>
  <c r="O4112" i="61"/>
  <c r="N4112" i="61"/>
  <c r="M4112" i="61"/>
  <c r="L4112" i="61"/>
  <c r="K4112" i="61"/>
  <c r="P4111" i="61"/>
  <c r="O4111" i="61"/>
  <c r="N4111" i="61"/>
  <c r="M4111" i="61"/>
  <c r="L4111" i="61"/>
  <c r="K4111" i="61"/>
  <c r="P4110" i="61"/>
  <c r="O4110" i="61"/>
  <c r="N4110" i="61"/>
  <c r="M4110" i="61"/>
  <c r="L4110" i="61"/>
  <c r="K4110" i="61"/>
  <c r="P4109" i="61"/>
  <c r="O4109" i="61"/>
  <c r="N4109" i="61"/>
  <c r="M4109" i="61"/>
  <c r="L4109" i="61"/>
  <c r="K4109" i="61"/>
  <c r="P4108" i="61"/>
  <c r="O4108" i="61"/>
  <c r="N4108" i="61"/>
  <c r="M4108" i="61"/>
  <c r="L4108" i="61"/>
  <c r="K4108" i="61"/>
  <c r="P4107" i="61"/>
  <c r="O4107" i="61"/>
  <c r="N4107" i="61"/>
  <c r="M4107" i="61"/>
  <c r="L4107" i="61"/>
  <c r="K4107" i="61"/>
  <c r="P4106" i="61"/>
  <c r="O4106" i="61"/>
  <c r="N4106" i="61"/>
  <c r="M4106" i="61"/>
  <c r="L4106" i="61"/>
  <c r="K4106" i="61"/>
  <c r="P4105" i="61"/>
  <c r="O4105" i="61"/>
  <c r="N4105" i="61"/>
  <c r="M4105" i="61"/>
  <c r="L4105" i="61"/>
  <c r="K4105" i="61"/>
  <c r="P4104" i="61"/>
  <c r="O4104" i="61"/>
  <c r="N4104" i="61"/>
  <c r="M4104" i="61"/>
  <c r="L4104" i="61"/>
  <c r="K4104" i="61"/>
  <c r="P4103" i="61"/>
  <c r="O4103" i="61"/>
  <c r="N4103" i="61"/>
  <c r="M4103" i="61"/>
  <c r="L4103" i="61"/>
  <c r="K4103" i="61"/>
  <c r="P4102" i="61"/>
  <c r="O4102" i="61"/>
  <c r="N4102" i="61"/>
  <c r="M4102" i="61"/>
  <c r="L4102" i="61"/>
  <c r="K4102" i="61"/>
  <c r="P4101" i="61"/>
  <c r="O4101" i="61"/>
  <c r="N4101" i="61"/>
  <c r="M4101" i="61"/>
  <c r="L4101" i="61"/>
  <c r="K4101" i="61"/>
  <c r="P4100" i="61"/>
  <c r="O4100" i="61"/>
  <c r="N4100" i="61"/>
  <c r="M4100" i="61"/>
  <c r="L4100" i="61"/>
  <c r="K4100" i="61"/>
  <c r="P4099" i="61"/>
  <c r="O4099" i="61"/>
  <c r="N4099" i="61"/>
  <c r="M4099" i="61"/>
  <c r="L4099" i="61"/>
  <c r="K4099" i="61"/>
  <c r="P4098" i="61"/>
  <c r="O4098" i="61"/>
  <c r="N4098" i="61"/>
  <c r="M4098" i="61"/>
  <c r="L4098" i="61"/>
  <c r="K4098" i="61"/>
  <c r="P4097" i="61"/>
  <c r="O4097" i="61"/>
  <c r="N4097" i="61"/>
  <c r="M4097" i="61"/>
  <c r="L4097" i="61"/>
  <c r="K4097" i="61"/>
  <c r="P4096" i="61"/>
  <c r="O4096" i="61"/>
  <c r="N4096" i="61"/>
  <c r="M4096" i="61"/>
  <c r="L4096" i="61"/>
  <c r="K4096" i="61"/>
  <c r="P4095" i="61"/>
  <c r="O4095" i="61"/>
  <c r="N4095" i="61"/>
  <c r="M4095" i="61"/>
  <c r="L4095" i="61"/>
  <c r="K4095" i="61"/>
  <c r="P4094" i="61"/>
  <c r="O4094" i="61"/>
  <c r="N4094" i="61"/>
  <c r="M4094" i="61"/>
  <c r="L4094" i="61"/>
  <c r="K4094" i="61"/>
  <c r="P4093" i="61"/>
  <c r="O4093" i="61"/>
  <c r="N4093" i="61"/>
  <c r="M4093" i="61"/>
  <c r="L4093" i="61"/>
  <c r="K4093" i="61"/>
  <c r="P4092" i="61"/>
  <c r="O4092" i="61"/>
  <c r="N4092" i="61"/>
  <c r="M4092" i="61"/>
  <c r="L4092" i="61"/>
  <c r="K4092" i="61"/>
  <c r="P4091" i="61"/>
  <c r="O4091" i="61"/>
  <c r="N4091" i="61"/>
  <c r="M4091" i="61"/>
  <c r="L4091" i="61"/>
  <c r="K4091" i="61"/>
  <c r="P4090" i="61"/>
  <c r="O4090" i="61"/>
  <c r="N4090" i="61"/>
  <c r="M4090" i="61"/>
  <c r="L4090" i="61"/>
  <c r="K4090" i="61"/>
  <c r="P4089" i="61"/>
  <c r="O4089" i="61"/>
  <c r="N4089" i="61"/>
  <c r="M4089" i="61"/>
  <c r="L4089" i="61"/>
  <c r="K4089" i="61"/>
  <c r="P4088" i="61"/>
  <c r="O4088" i="61"/>
  <c r="N4088" i="61"/>
  <c r="M4088" i="61"/>
  <c r="L4088" i="61"/>
  <c r="K4088" i="61"/>
  <c r="P4087" i="61"/>
  <c r="O4087" i="61"/>
  <c r="N4087" i="61"/>
  <c r="M4087" i="61"/>
  <c r="L4087" i="61"/>
  <c r="K4087" i="61"/>
  <c r="P4086" i="61"/>
  <c r="O4086" i="61"/>
  <c r="N4086" i="61"/>
  <c r="M4086" i="61"/>
  <c r="L4086" i="61"/>
  <c r="K4086" i="61"/>
  <c r="P4085" i="61"/>
  <c r="O4085" i="61"/>
  <c r="N4085" i="61"/>
  <c r="M4085" i="61"/>
  <c r="L4085" i="61"/>
  <c r="K4085" i="61"/>
  <c r="P4084" i="61"/>
  <c r="O4084" i="61"/>
  <c r="N4084" i="61"/>
  <c r="M4084" i="61"/>
  <c r="L4084" i="61"/>
  <c r="K4084" i="61"/>
  <c r="P4083" i="61"/>
  <c r="O4083" i="61"/>
  <c r="N4083" i="61"/>
  <c r="M4083" i="61"/>
  <c r="L4083" i="61"/>
  <c r="K4083" i="61"/>
  <c r="P4082" i="61"/>
  <c r="O4082" i="61"/>
  <c r="N4082" i="61"/>
  <c r="M4082" i="61"/>
  <c r="L4082" i="61"/>
  <c r="K4082" i="61"/>
  <c r="P4081" i="61"/>
  <c r="O4081" i="61"/>
  <c r="N4081" i="61"/>
  <c r="M4081" i="61"/>
  <c r="L4081" i="61"/>
  <c r="K4081" i="61"/>
  <c r="P4080" i="61"/>
  <c r="O4080" i="61"/>
  <c r="N4080" i="61"/>
  <c r="M4080" i="61"/>
  <c r="L4080" i="61"/>
  <c r="K4080" i="61"/>
  <c r="P4079" i="61"/>
  <c r="O4079" i="61"/>
  <c r="N4079" i="61"/>
  <c r="M4079" i="61"/>
  <c r="L4079" i="61"/>
  <c r="K4079" i="61"/>
  <c r="P4078" i="61"/>
  <c r="O4078" i="61"/>
  <c r="N4078" i="61"/>
  <c r="M4078" i="61"/>
  <c r="L4078" i="61"/>
  <c r="K4078" i="61"/>
  <c r="P4077" i="61"/>
  <c r="O4077" i="61"/>
  <c r="N4077" i="61"/>
  <c r="M4077" i="61"/>
  <c r="L4077" i="61"/>
  <c r="K4077" i="61"/>
  <c r="P4076" i="61"/>
  <c r="O4076" i="61"/>
  <c r="N4076" i="61"/>
  <c r="M4076" i="61"/>
  <c r="L4076" i="61"/>
  <c r="K4076" i="61"/>
  <c r="P4075" i="61"/>
  <c r="O4075" i="61"/>
  <c r="N4075" i="61"/>
  <c r="M4075" i="61"/>
  <c r="L4075" i="61"/>
  <c r="K4075" i="61"/>
  <c r="P4074" i="61"/>
  <c r="O4074" i="61"/>
  <c r="N4074" i="61"/>
  <c r="M4074" i="61"/>
  <c r="L4074" i="61"/>
  <c r="K4074" i="61"/>
  <c r="P4073" i="61"/>
  <c r="O4073" i="61"/>
  <c r="N4073" i="61"/>
  <c r="M4073" i="61"/>
  <c r="L4073" i="61"/>
  <c r="K4073" i="61"/>
  <c r="P4072" i="61"/>
  <c r="O4072" i="61"/>
  <c r="N4072" i="61"/>
  <c r="M4072" i="61"/>
  <c r="L4072" i="61"/>
  <c r="K4072" i="61"/>
  <c r="P4071" i="61"/>
  <c r="O4071" i="61"/>
  <c r="N4071" i="61"/>
  <c r="M4071" i="61"/>
  <c r="L4071" i="61"/>
  <c r="K4071" i="61"/>
  <c r="P4070" i="61"/>
  <c r="O4070" i="61"/>
  <c r="N4070" i="61"/>
  <c r="M4070" i="61"/>
  <c r="L4070" i="61"/>
  <c r="K4070" i="61"/>
  <c r="P4069" i="61"/>
  <c r="O4069" i="61"/>
  <c r="N4069" i="61"/>
  <c r="M4069" i="61"/>
  <c r="L4069" i="61"/>
  <c r="K4069" i="61"/>
  <c r="P4068" i="61"/>
  <c r="O4068" i="61"/>
  <c r="N4068" i="61"/>
  <c r="M4068" i="61"/>
  <c r="L4068" i="61"/>
  <c r="K4068" i="61"/>
  <c r="P4067" i="61"/>
  <c r="O4067" i="61"/>
  <c r="N4067" i="61"/>
  <c r="M4067" i="61"/>
  <c r="L4067" i="61"/>
  <c r="K4067" i="61"/>
  <c r="P4066" i="61"/>
  <c r="O4066" i="61"/>
  <c r="N4066" i="61"/>
  <c r="M4066" i="61"/>
  <c r="L4066" i="61"/>
  <c r="K4066" i="61"/>
  <c r="P4065" i="61"/>
  <c r="O4065" i="61"/>
  <c r="N4065" i="61"/>
  <c r="M4065" i="61"/>
  <c r="L4065" i="61"/>
  <c r="K4065" i="61"/>
  <c r="P4064" i="61"/>
  <c r="O4064" i="61"/>
  <c r="N4064" i="61"/>
  <c r="M4064" i="61"/>
  <c r="L4064" i="61"/>
  <c r="K4064" i="61"/>
  <c r="P4063" i="61"/>
  <c r="O4063" i="61"/>
  <c r="N4063" i="61"/>
  <c r="M4063" i="61"/>
  <c r="L4063" i="61"/>
  <c r="K4063" i="61"/>
  <c r="P4062" i="61"/>
  <c r="O4062" i="61"/>
  <c r="N4062" i="61"/>
  <c r="M4062" i="61"/>
  <c r="L4062" i="61"/>
  <c r="K4062" i="61"/>
  <c r="P4061" i="61"/>
  <c r="O4061" i="61"/>
  <c r="N4061" i="61"/>
  <c r="M4061" i="61"/>
  <c r="L4061" i="61"/>
  <c r="K4061" i="61"/>
  <c r="P4060" i="61"/>
  <c r="O4060" i="61"/>
  <c r="N4060" i="61"/>
  <c r="M4060" i="61"/>
  <c r="L4060" i="61"/>
  <c r="K4060" i="61"/>
  <c r="P4059" i="61"/>
  <c r="O4059" i="61"/>
  <c r="N4059" i="61"/>
  <c r="M4059" i="61"/>
  <c r="L4059" i="61"/>
  <c r="K4059" i="61"/>
  <c r="P4058" i="61"/>
  <c r="O4058" i="61"/>
  <c r="N4058" i="61"/>
  <c r="M4058" i="61"/>
  <c r="L4058" i="61"/>
  <c r="K4058" i="61"/>
  <c r="P4057" i="61"/>
  <c r="O4057" i="61"/>
  <c r="N4057" i="61"/>
  <c r="M4057" i="61"/>
  <c r="L4057" i="61"/>
  <c r="K4057" i="61"/>
  <c r="P4056" i="61"/>
  <c r="O4056" i="61"/>
  <c r="N4056" i="61"/>
  <c r="M4056" i="61"/>
  <c r="L4056" i="61"/>
  <c r="K4056" i="61"/>
  <c r="P4055" i="61"/>
  <c r="O4055" i="61"/>
  <c r="N4055" i="61"/>
  <c r="M4055" i="61"/>
  <c r="L4055" i="61"/>
  <c r="K4055" i="61"/>
  <c r="P4054" i="61"/>
  <c r="O4054" i="61"/>
  <c r="N4054" i="61"/>
  <c r="M4054" i="61"/>
  <c r="L4054" i="61"/>
  <c r="K4054" i="61"/>
  <c r="P4053" i="61"/>
  <c r="O4053" i="61"/>
  <c r="N4053" i="61"/>
  <c r="M4053" i="61"/>
  <c r="L4053" i="61"/>
  <c r="K4053" i="61"/>
  <c r="P4052" i="61"/>
  <c r="O4052" i="61"/>
  <c r="N4052" i="61"/>
  <c r="M4052" i="61"/>
  <c r="L4052" i="61"/>
  <c r="K4052" i="61"/>
  <c r="P4051" i="61"/>
  <c r="O4051" i="61"/>
  <c r="N4051" i="61"/>
  <c r="M4051" i="61"/>
  <c r="L4051" i="61"/>
  <c r="K4051" i="61"/>
  <c r="P4050" i="61"/>
  <c r="O4050" i="61"/>
  <c r="N4050" i="61"/>
  <c r="M4050" i="61"/>
  <c r="L4050" i="61"/>
  <c r="K4050" i="61"/>
  <c r="P4049" i="61"/>
  <c r="O4049" i="61"/>
  <c r="N4049" i="61"/>
  <c r="M4049" i="61"/>
  <c r="L4049" i="61"/>
  <c r="K4049" i="61"/>
  <c r="P4048" i="61"/>
  <c r="O4048" i="61"/>
  <c r="N4048" i="61"/>
  <c r="M4048" i="61"/>
  <c r="L4048" i="61"/>
  <c r="K4048" i="61"/>
  <c r="P4047" i="61"/>
  <c r="O4047" i="61"/>
  <c r="N4047" i="61"/>
  <c r="M4047" i="61"/>
  <c r="L4047" i="61"/>
  <c r="K4047" i="61"/>
  <c r="P4046" i="61"/>
  <c r="O4046" i="61"/>
  <c r="N4046" i="61"/>
  <c r="M4046" i="61"/>
  <c r="L4046" i="61"/>
  <c r="K4046" i="61"/>
  <c r="P4045" i="61"/>
  <c r="O4045" i="61"/>
  <c r="N4045" i="61"/>
  <c r="M4045" i="61"/>
  <c r="L4045" i="61"/>
  <c r="K4045" i="61"/>
  <c r="P4044" i="61"/>
  <c r="O4044" i="61"/>
  <c r="N4044" i="61"/>
  <c r="M4044" i="61"/>
  <c r="L4044" i="61"/>
  <c r="K4044" i="61"/>
  <c r="P4043" i="61"/>
  <c r="O4043" i="61"/>
  <c r="N4043" i="61"/>
  <c r="M4043" i="61"/>
  <c r="L4043" i="61"/>
  <c r="K4043" i="61"/>
  <c r="P4042" i="61"/>
  <c r="O4042" i="61"/>
  <c r="N4042" i="61"/>
  <c r="M4042" i="61"/>
  <c r="L4042" i="61"/>
  <c r="K4042" i="61"/>
  <c r="P4041" i="61"/>
  <c r="O4041" i="61"/>
  <c r="N4041" i="61"/>
  <c r="M4041" i="61"/>
  <c r="L4041" i="61"/>
  <c r="K4041" i="61"/>
  <c r="P4040" i="61"/>
  <c r="O4040" i="61"/>
  <c r="N4040" i="61"/>
  <c r="M4040" i="61"/>
  <c r="L4040" i="61"/>
  <c r="K4040" i="61"/>
  <c r="P4039" i="61"/>
  <c r="O4039" i="61"/>
  <c r="N4039" i="61"/>
  <c r="M4039" i="61"/>
  <c r="L4039" i="61"/>
  <c r="K4039" i="61"/>
  <c r="P4038" i="61"/>
  <c r="O4038" i="61"/>
  <c r="N4038" i="61"/>
  <c r="M4038" i="61"/>
  <c r="L4038" i="61"/>
  <c r="K4038" i="61"/>
  <c r="P4037" i="61"/>
  <c r="O4037" i="61"/>
  <c r="N4037" i="61"/>
  <c r="M4037" i="61"/>
  <c r="L4037" i="61"/>
  <c r="K4037" i="61"/>
  <c r="P4036" i="61"/>
  <c r="O4036" i="61"/>
  <c r="N4036" i="61"/>
  <c r="M4036" i="61"/>
  <c r="L4036" i="61"/>
  <c r="K4036" i="61"/>
  <c r="P4035" i="61"/>
  <c r="O4035" i="61"/>
  <c r="N4035" i="61"/>
  <c r="M4035" i="61"/>
  <c r="L4035" i="61"/>
  <c r="K4035" i="61"/>
  <c r="P4034" i="61"/>
  <c r="O4034" i="61"/>
  <c r="N4034" i="61"/>
  <c r="M4034" i="61"/>
  <c r="L4034" i="61"/>
  <c r="K4034" i="61"/>
  <c r="P4033" i="61"/>
  <c r="O4033" i="61"/>
  <c r="N4033" i="61"/>
  <c r="M4033" i="61"/>
  <c r="L4033" i="61"/>
  <c r="K4033" i="61"/>
  <c r="P4032" i="61"/>
  <c r="O4032" i="61"/>
  <c r="N4032" i="61"/>
  <c r="M4032" i="61"/>
  <c r="L4032" i="61"/>
  <c r="K4032" i="61"/>
  <c r="P4031" i="61"/>
  <c r="O4031" i="61"/>
  <c r="N4031" i="61"/>
  <c r="M4031" i="61"/>
  <c r="L4031" i="61"/>
  <c r="K4031" i="61"/>
  <c r="P4030" i="61"/>
  <c r="O4030" i="61"/>
  <c r="N4030" i="61"/>
  <c r="M4030" i="61"/>
  <c r="L4030" i="61"/>
  <c r="K4030" i="61"/>
  <c r="P4029" i="61"/>
  <c r="O4029" i="61"/>
  <c r="N4029" i="61"/>
  <c r="M4029" i="61"/>
  <c r="L4029" i="61"/>
  <c r="K4029" i="61"/>
  <c r="P4028" i="61"/>
  <c r="O4028" i="61"/>
  <c r="N4028" i="61"/>
  <c r="M4028" i="61"/>
  <c r="L4028" i="61"/>
  <c r="K4028" i="61"/>
  <c r="P4027" i="61"/>
  <c r="O4027" i="61"/>
  <c r="N4027" i="61"/>
  <c r="M4027" i="61"/>
  <c r="L4027" i="61"/>
  <c r="K4027" i="61"/>
  <c r="P4026" i="61"/>
  <c r="O4026" i="61"/>
  <c r="N4026" i="61"/>
  <c r="M4026" i="61"/>
  <c r="L4026" i="61"/>
  <c r="K4026" i="61"/>
  <c r="P4025" i="61"/>
  <c r="O4025" i="61"/>
  <c r="N4025" i="61"/>
  <c r="M4025" i="61"/>
  <c r="L4025" i="61"/>
  <c r="K4025" i="61"/>
  <c r="P4024" i="61"/>
  <c r="O4024" i="61"/>
  <c r="N4024" i="61"/>
  <c r="M4024" i="61"/>
  <c r="L4024" i="61"/>
  <c r="K4024" i="61"/>
  <c r="P4023" i="61"/>
  <c r="O4023" i="61"/>
  <c r="N4023" i="61"/>
  <c r="M4023" i="61"/>
  <c r="L4023" i="61"/>
  <c r="K4023" i="61"/>
  <c r="P4022" i="61"/>
  <c r="O4022" i="61"/>
  <c r="N4022" i="61"/>
  <c r="M4022" i="61"/>
  <c r="L4022" i="61"/>
  <c r="K4022" i="61"/>
  <c r="P4021" i="61"/>
  <c r="O4021" i="61"/>
  <c r="N4021" i="61"/>
  <c r="M4021" i="61"/>
  <c r="L4021" i="61"/>
  <c r="K4021" i="61"/>
  <c r="P4020" i="61"/>
  <c r="O4020" i="61"/>
  <c r="N4020" i="61"/>
  <c r="M4020" i="61"/>
  <c r="L4020" i="61"/>
  <c r="K4020" i="61"/>
  <c r="P4019" i="61"/>
  <c r="O4019" i="61"/>
  <c r="N4019" i="61"/>
  <c r="M4019" i="61"/>
  <c r="L4019" i="61"/>
  <c r="K4019" i="61"/>
  <c r="P4018" i="61"/>
  <c r="O4018" i="61"/>
  <c r="N4018" i="61"/>
  <c r="M4018" i="61"/>
  <c r="L4018" i="61"/>
  <c r="K4018" i="61"/>
  <c r="P4017" i="61"/>
  <c r="O4017" i="61"/>
  <c r="N4017" i="61"/>
  <c r="M4017" i="61"/>
  <c r="L4017" i="61"/>
  <c r="K4017" i="61"/>
  <c r="P4016" i="61"/>
  <c r="O4016" i="61"/>
  <c r="N4016" i="61"/>
  <c r="M4016" i="61"/>
  <c r="L4016" i="61"/>
  <c r="K4016" i="61"/>
  <c r="P4015" i="61"/>
  <c r="O4015" i="61"/>
  <c r="N4015" i="61"/>
  <c r="M4015" i="61"/>
  <c r="L4015" i="61"/>
  <c r="K4015" i="61"/>
  <c r="P4014" i="61"/>
  <c r="O4014" i="61"/>
  <c r="N4014" i="61"/>
  <c r="M4014" i="61"/>
  <c r="L4014" i="61"/>
  <c r="K4014" i="61"/>
  <c r="P4013" i="61"/>
  <c r="O4013" i="61"/>
  <c r="N4013" i="61"/>
  <c r="M4013" i="61"/>
  <c r="L4013" i="61"/>
  <c r="K4013" i="61"/>
  <c r="P4012" i="61"/>
  <c r="O4012" i="61"/>
  <c r="N4012" i="61"/>
  <c r="M4012" i="61"/>
  <c r="L4012" i="61"/>
  <c r="K4012" i="61"/>
  <c r="P4011" i="61"/>
  <c r="O4011" i="61"/>
  <c r="N4011" i="61"/>
  <c r="M4011" i="61"/>
  <c r="L4011" i="61"/>
  <c r="K4011" i="61"/>
  <c r="P4010" i="61"/>
  <c r="O4010" i="61"/>
  <c r="N4010" i="61"/>
  <c r="M4010" i="61"/>
  <c r="L4010" i="61"/>
  <c r="K4010" i="61"/>
  <c r="P4009" i="61"/>
  <c r="O4009" i="61"/>
  <c r="N4009" i="61"/>
  <c r="M4009" i="61"/>
  <c r="L4009" i="61"/>
  <c r="K4009" i="61"/>
  <c r="P4008" i="61"/>
  <c r="O4008" i="61"/>
  <c r="N4008" i="61"/>
  <c r="M4008" i="61"/>
  <c r="L4008" i="61"/>
  <c r="K4008" i="61"/>
  <c r="P4007" i="61"/>
  <c r="O4007" i="61"/>
  <c r="N4007" i="61"/>
  <c r="M4007" i="61"/>
  <c r="L4007" i="61"/>
  <c r="K4007" i="61"/>
  <c r="P4006" i="61"/>
  <c r="O4006" i="61"/>
  <c r="N4006" i="61"/>
  <c r="M4006" i="61"/>
  <c r="L4006" i="61"/>
  <c r="K4006" i="61"/>
  <c r="P4005" i="61"/>
  <c r="O4005" i="61"/>
  <c r="N4005" i="61"/>
  <c r="M4005" i="61"/>
  <c r="L4005" i="61"/>
  <c r="K4005" i="61"/>
  <c r="P4004" i="61"/>
  <c r="O4004" i="61"/>
  <c r="N4004" i="61"/>
  <c r="M4004" i="61"/>
  <c r="L4004" i="61"/>
  <c r="K4004" i="61"/>
  <c r="P4003" i="61"/>
  <c r="O4003" i="61"/>
  <c r="N4003" i="61"/>
  <c r="M4003" i="61"/>
  <c r="L4003" i="61"/>
  <c r="K4003" i="61"/>
  <c r="P4002" i="61"/>
  <c r="O4002" i="61"/>
  <c r="N4002" i="61"/>
  <c r="M4002" i="61"/>
  <c r="L4002" i="61"/>
  <c r="K4002" i="61"/>
  <c r="P4001" i="61"/>
  <c r="O4001" i="61"/>
  <c r="N4001" i="61"/>
  <c r="M4001" i="61"/>
  <c r="L4001" i="61"/>
  <c r="K4001" i="61"/>
  <c r="P4000" i="61"/>
  <c r="O4000" i="61"/>
  <c r="N4000" i="61"/>
  <c r="M4000" i="61"/>
  <c r="L4000" i="61"/>
  <c r="K4000" i="61"/>
  <c r="P3999" i="61"/>
  <c r="O3999" i="61"/>
  <c r="N3999" i="61"/>
  <c r="M3999" i="61"/>
  <c r="L3999" i="61"/>
  <c r="K3999" i="61"/>
  <c r="P3998" i="61"/>
  <c r="O3998" i="61"/>
  <c r="N3998" i="61"/>
  <c r="M3998" i="61"/>
  <c r="L3998" i="61"/>
  <c r="K3998" i="61"/>
  <c r="P3997" i="61"/>
  <c r="O3997" i="61"/>
  <c r="N3997" i="61"/>
  <c r="M3997" i="61"/>
  <c r="L3997" i="61"/>
  <c r="K3997" i="61"/>
  <c r="P3996" i="61"/>
  <c r="O3996" i="61"/>
  <c r="N3996" i="61"/>
  <c r="M3996" i="61"/>
  <c r="L3996" i="61"/>
  <c r="K3996" i="61"/>
  <c r="P3995" i="61"/>
  <c r="O3995" i="61"/>
  <c r="N3995" i="61"/>
  <c r="M3995" i="61"/>
  <c r="L3995" i="61"/>
  <c r="K3995" i="61"/>
  <c r="P3994" i="61"/>
  <c r="O3994" i="61"/>
  <c r="N3994" i="61"/>
  <c r="M3994" i="61"/>
  <c r="L3994" i="61"/>
  <c r="K3994" i="61"/>
  <c r="P3993" i="61"/>
  <c r="O3993" i="61"/>
  <c r="N3993" i="61"/>
  <c r="M3993" i="61"/>
  <c r="L3993" i="61"/>
  <c r="K3993" i="61"/>
  <c r="P3992" i="61"/>
  <c r="O3992" i="61"/>
  <c r="N3992" i="61"/>
  <c r="M3992" i="61"/>
  <c r="L3992" i="61"/>
  <c r="K3992" i="61"/>
  <c r="P3991" i="61"/>
  <c r="O3991" i="61"/>
  <c r="N3991" i="61"/>
  <c r="M3991" i="61"/>
  <c r="L3991" i="61"/>
  <c r="K3991" i="61"/>
  <c r="P3990" i="61"/>
  <c r="O3990" i="61"/>
  <c r="N3990" i="61"/>
  <c r="M3990" i="61"/>
  <c r="L3990" i="61"/>
  <c r="K3990" i="61"/>
  <c r="P3989" i="61"/>
  <c r="O3989" i="61"/>
  <c r="N3989" i="61"/>
  <c r="M3989" i="61"/>
  <c r="L3989" i="61"/>
  <c r="K3989" i="61"/>
  <c r="P3988" i="61"/>
  <c r="O3988" i="61"/>
  <c r="N3988" i="61"/>
  <c r="M3988" i="61"/>
  <c r="L3988" i="61"/>
  <c r="K3988" i="61"/>
  <c r="P3987" i="61"/>
  <c r="O3987" i="61"/>
  <c r="N3987" i="61"/>
  <c r="M3987" i="61"/>
  <c r="L3987" i="61"/>
  <c r="K3987" i="61"/>
  <c r="P3986" i="61"/>
  <c r="O3986" i="61"/>
  <c r="N3986" i="61"/>
  <c r="M3986" i="61"/>
  <c r="L3986" i="61"/>
  <c r="K3986" i="61"/>
  <c r="P3985" i="61"/>
  <c r="O3985" i="61"/>
  <c r="N3985" i="61"/>
  <c r="M3985" i="61"/>
  <c r="L3985" i="61"/>
  <c r="K3985" i="61"/>
  <c r="P3984" i="61"/>
  <c r="O3984" i="61"/>
  <c r="N3984" i="61"/>
  <c r="M3984" i="61"/>
  <c r="L3984" i="61"/>
  <c r="K3984" i="61"/>
  <c r="P3983" i="61"/>
  <c r="O3983" i="61"/>
  <c r="N3983" i="61"/>
  <c r="M3983" i="61"/>
  <c r="L3983" i="61"/>
  <c r="K3983" i="61"/>
  <c r="P3982" i="61"/>
  <c r="O3982" i="61"/>
  <c r="N3982" i="61"/>
  <c r="M3982" i="61"/>
  <c r="L3982" i="61"/>
  <c r="K3982" i="61"/>
  <c r="P3981" i="61"/>
  <c r="O3981" i="61"/>
  <c r="N3981" i="61"/>
  <c r="M3981" i="61"/>
  <c r="L3981" i="61"/>
  <c r="K3981" i="61"/>
  <c r="P3980" i="61"/>
  <c r="O3980" i="61"/>
  <c r="N3980" i="61"/>
  <c r="M3980" i="61"/>
  <c r="L3980" i="61"/>
  <c r="K3980" i="61"/>
  <c r="P3979" i="61"/>
  <c r="O3979" i="61"/>
  <c r="N3979" i="61"/>
  <c r="M3979" i="61"/>
  <c r="L3979" i="61"/>
  <c r="K3979" i="61"/>
  <c r="P3978" i="61"/>
  <c r="O3978" i="61"/>
  <c r="N3978" i="61"/>
  <c r="M3978" i="61"/>
  <c r="L3978" i="61"/>
  <c r="K3978" i="61"/>
  <c r="P3977" i="61"/>
  <c r="O3977" i="61"/>
  <c r="N3977" i="61"/>
  <c r="M3977" i="61"/>
  <c r="L3977" i="61"/>
  <c r="K3977" i="61"/>
  <c r="P3976" i="61"/>
  <c r="O3976" i="61"/>
  <c r="N3976" i="61"/>
  <c r="M3976" i="61"/>
  <c r="L3976" i="61"/>
  <c r="K3976" i="61"/>
  <c r="P3975" i="61"/>
  <c r="O3975" i="61"/>
  <c r="N3975" i="61"/>
  <c r="M3975" i="61"/>
  <c r="L3975" i="61"/>
  <c r="K3975" i="61"/>
  <c r="P3974" i="61"/>
  <c r="O3974" i="61"/>
  <c r="N3974" i="61"/>
  <c r="M3974" i="61"/>
  <c r="L3974" i="61"/>
  <c r="K3974" i="61"/>
  <c r="P3973" i="61"/>
  <c r="O3973" i="61"/>
  <c r="N3973" i="61"/>
  <c r="M3973" i="61"/>
  <c r="L3973" i="61"/>
  <c r="K3973" i="61"/>
  <c r="P3972" i="61"/>
  <c r="O3972" i="61"/>
  <c r="N3972" i="61"/>
  <c r="M3972" i="61"/>
  <c r="L3972" i="61"/>
  <c r="K3972" i="61"/>
  <c r="P3971" i="61"/>
  <c r="O3971" i="61"/>
  <c r="N3971" i="61"/>
  <c r="M3971" i="61"/>
  <c r="L3971" i="61"/>
  <c r="K3971" i="61"/>
  <c r="P3970" i="61"/>
  <c r="O3970" i="61"/>
  <c r="N3970" i="61"/>
  <c r="M3970" i="61"/>
  <c r="L3970" i="61"/>
  <c r="K3970" i="61"/>
  <c r="P3969" i="61"/>
  <c r="O3969" i="61"/>
  <c r="N3969" i="61"/>
  <c r="M3969" i="61"/>
  <c r="L3969" i="61"/>
  <c r="K3969" i="61"/>
  <c r="P3968" i="61"/>
  <c r="O3968" i="61"/>
  <c r="N3968" i="61"/>
  <c r="M3968" i="61"/>
  <c r="L3968" i="61"/>
  <c r="K3968" i="61"/>
  <c r="P3967" i="61"/>
  <c r="O3967" i="61"/>
  <c r="N3967" i="61"/>
  <c r="M3967" i="61"/>
  <c r="L3967" i="61"/>
  <c r="K3967" i="61"/>
  <c r="P3966" i="61"/>
  <c r="O3966" i="61"/>
  <c r="N3966" i="61"/>
  <c r="M3966" i="61"/>
  <c r="L3966" i="61"/>
  <c r="K3966" i="61"/>
  <c r="P3965" i="61"/>
  <c r="O3965" i="61"/>
  <c r="N3965" i="61"/>
  <c r="M3965" i="61"/>
  <c r="L3965" i="61"/>
  <c r="K3965" i="61"/>
  <c r="P3964" i="61"/>
  <c r="O3964" i="61"/>
  <c r="N3964" i="61"/>
  <c r="M3964" i="61"/>
  <c r="L3964" i="61"/>
  <c r="K3964" i="61"/>
  <c r="P3963" i="61"/>
  <c r="O3963" i="61"/>
  <c r="N3963" i="61"/>
  <c r="M3963" i="61"/>
  <c r="L3963" i="61"/>
  <c r="K3963" i="61"/>
  <c r="P3962" i="61"/>
  <c r="O3962" i="61"/>
  <c r="N3962" i="61"/>
  <c r="M3962" i="61"/>
  <c r="L3962" i="61"/>
  <c r="K3962" i="61"/>
  <c r="P3961" i="61"/>
  <c r="O3961" i="61"/>
  <c r="N3961" i="61"/>
  <c r="M3961" i="61"/>
  <c r="L3961" i="61"/>
  <c r="K3961" i="61"/>
  <c r="P3960" i="61"/>
  <c r="O3960" i="61"/>
  <c r="N3960" i="61"/>
  <c r="M3960" i="61"/>
  <c r="L3960" i="61"/>
  <c r="K3960" i="61"/>
  <c r="P3959" i="61"/>
  <c r="O3959" i="61"/>
  <c r="N3959" i="61"/>
  <c r="M3959" i="61"/>
  <c r="L3959" i="61"/>
  <c r="K3959" i="61"/>
  <c r="P3958" i="61"/>
  <c r="O3958" i="61"/>
  <c r="N3958" i="61"/>
  <c r="M3958" i="61"/>
  <c r="L3958" i="61"/>
  <c r="K3958" i="61"/>
  <c r="P3957" i="61"/>
  <c r="O3957" i="61"/>
  <c r="N3957" i="61"/>
  <c r="M3957" i="61"/>
  <c r="L3957" i="61"/>
  <c r="K3957" i="61"/>
  <c r="P3956" i="61"/>
  <c r="O3956" i="61"/>
  <c r="N3956" i="61"/>
  <c r="M3956" i="61"/>
  <c r="L3956" i="61"/>
  <c r="K3956" i="61"/>
  <c r="P3955" i="61"/>
  <c r="O3955" i="61"/>
  <c r="N3955" i="61"/>
  <c r="M3955" i="61"/>
  <c r="L3955" i="61"/>
  <c r="K3955" i="61"/>
  <c r="P3954" i="61"/>
  <c r="O3954" i="61"/>
  <c r="N3954" i="61"/>
  <c r="M3954" i="61"/>
  <c r="L3954" i="61"/>
  <c r="K3954" i="61"/>
  <c r="P3953" i="61"/>
  <c r="O3953" i="61"/>
  <c r="N3953" i="61"/>
  <c r="M3953" i="61"/>
  <c r="L3953" i="61"/>
  <c r="K3953" i="61"/>
  <c r="P3952" i="61"/>
  <c r="O3952" i="61"/>
  <c r="N3952" i="61"/>
  <c r="M3952" i="61"/>
  <c r="L3952" i="61"/>
  <c r="K3952" i="61"/>
  <c r="P3951" i="61"/>
  <c r="O3951" i="61"/>
  <c r="N3951" i="61"/>
  <c r="M3951" i="61"/>
  <c r="L3951" i="61"/>
  <c r="K3951" i="61"/>
  <c r="P3950" i="61"/>
  <c r="O3950" i="61"/>
  <c r="N3950" i="61"/>
  <c r="M3950" i="61"/>
  <c r="L3950" i="61"/>
  <c r="K3950" i="61"/>
  <c r="P3949" i="61"/>
  <c r="O3949" i="61"/>
  <c r="N3949" i="61"/>
  <c r="M3949" i="61"/>
  <c r="L3949" i="61"/>
  <c r="K3949" i="61"/>
  <c r="P3948" i="61"/>
  <c r="O3948" i="61"/>
  <c r="N3948" i="61"/>
  <c r="M3948" i="61"/>
  <c r="L3948" i="61"/>
  <c r="K3948" i="61"/>
  <c r="P3947" i="61"/>
  <c r="O3947" i="61"/>
  <c r="N3947" i="61"/>
  <c r="M3947" i="61"/>
  <c r="L3947" i="61"/>
  <c r="K3947" i="61"/>
  <c r="P3946" i="61"/>
  <c r="O3946" i="61"/>
  <c r="N3946" i="61"/>
  <c r="M3946" i="61"/>
  <c r="L3946" i="61"/>
  <c r="K3946" i="61"/>
  <c r="P3945" i="61"/>
  <c r="O3945" i="61"/>
  <c r="N3945" i="61"/>
  <c r="M3945" i="61"/>
  <c r="L3945" i="61"/>
  <c r="K3945" i="61"/>
  <c r="P3944" i="61"/>
  <c r="O3944" i="61"/>
  <c r="N3944" i="61"/>
  <c r="M3944" i="61"/>
  <c r="L3944" i="61"/>
  <c r="K3944" i="61"/>
  <c r="P3943" i="61"/>
  <c r="O3943" i="61"/>
  <c r="N3943" i="61"/>
  <c r="M3943" i="61"/>
  <c r="L3943" i="61"/>
  <c r="K3943" i="61"/>
  <c r="P3942" i="61"/>
  <c r="O3942" i="61"/>
  <c r="N3942" i="61"/>
  <c r="M3942" i="61"/>
  <c r="L3942" i="61"/>
  <c r="K3942" i="61"/>
  <c r="P3941" i="61"/>
  <c r="O3941" i="61"/>
  <c r="N3941" i="61"/>
  <c r="M3941" i="61"/>
  <c r="L3941" i="61"/>
  <c r="K3941" i="61"/>
  <c r="P3940" i="61"/>
  <c r="O3940" i="61"/>
  <c r="N3940" i="61"/>
  <c r="M3940" i="61"/>
  <c r="L3940" i="61"/>
  <c r="K3940" i="61"/>
  <c r="P3939" i="61"/>
  <c r="O3939" i="61"/>
  <c r="N3939" i="61"/>
  <c r="M3939" i="61"/>
  <c r="L3939" i="61"/>
  <c r="K3939" i="61"/>
  <c r="P3938" i="61"/>
  <c r="O3938" i="61"/>
  <c r="N3938" i="61"/>
  <c r="M3938" i="61"/>
  <c r="L3938" i="61"/>
  <c r="K3938" i="61"/>
  <c r="P3937" i="61"/>
  <c r="O3937" i="61"/>
  <c r="N3937" i="61"/>
  <c r="M3937" i="61"/>
  <c r="L3937" i="61"/>
  <c r="K3937" i="61"/>
  <c r="P3936" i="61"/>
  <c r="O3936" i="61"/>
  <c r="N3936" i="61"/>
  <c r="M3936" i="61"/>
  <c r="L3936" i="61"/>
  <c r="K3936" i="61"/>
  <c r="P3935" i="61"/>
  <c r="O3935" i="61"/>
  <c r="N3935" i="61"/>
  <c r="M3935" i="61"/>
  <c r="L3935" i="61"/>
  <c r="K3935" i="61"/>
  <c r="P3934" i="61"/>
  <c r="O3934" i="61"/>
  <c r="N3934" i="61"/>
  <c r="M3934" i="61"/>
  <c r="L3934" i="61"/>
  <c r="K3934" i="61"/>
  <c r="P3933" i="61"/>
  <c r="O3933" i="61"/>
  <c r="N3933" i="61"/>
  <c r="M3933" i="61"/>
  <c r="L3933" i="61"/>
  <c r="K3933" i="61"/>
  <c r="P3932" i="61"/>
  <c r="O3932" i="61"/>
  <c r="N3932" i="61"/>
  <c r="M3932" i="61"/>
  <c r="L3932" i="61"/>
  <c r="K3932" i="61"/>
  <c r="P3931" i="61"/>
  <c r="O3931" i="61"/>
  <c r="N3931" i="61"/>
  <c r="M3931" i="61"/>
  <c r="L3931" i="61"/>
  <c r="K3931" i="61"/>
  <c r="P3930" i="61"/>
  <c r="O3930" i="61"/>
  <c r="N3930" i="61"/>
  <c r="M3930" i="61"/>
  <c r="L3930" i="61"/>
  <c r="K3930" i="61"/>
  <c r="P3929" i="61"/>
  <c r="O3929" i="61"/>
  <c r="N3929" i="61"/>
  <c r="M3929" i="61"/>
  <c r="L3929" i="61"/>
  <c r="K3929" i="61"/>
  <c r="P3928" i="61"/>
  <c r="O3928" i="61"/>
  <c r="N3928" i="61"/>
  <c r="M3928" i="61"/>
  <c r="L3928" i="61"/>
  <c r="K3928" i="61"/>
  <c r="P3927" i="61"/>
  <c r="O3927" i="61"/>
  <c r="N3927" i="61"/>
  <c r="M3927" i="61"/>
  <c r="L3927" i="61"/>
  <c r="K3927" i="61"/>
  <c r="P3926" i="61"/>
  <c r="O3926" i="61"/>
  <c r="N3926" i="61"/>
  <c r="M3926" i="61"/>
  <c r="L3926" i="61"/>
  <c r="K3926" i="61"/>
  <c r="P3925" i="61"/>
  <c r="O3925" i="61"/>
  <c r="N3925" i="61"/>
  <c r="M3925" i="61"/>
  <c r="L3925" i="61"/>
  <c r="K3925" i="61"/>
  <c r="P3924" i="61"/>
  <c r="O3924" i="61"/>
  <c r="N3924" i="61"/>
  <c r="M3924" i="61"/>
  <c r="L3924" i="61"/>
  <c r="K3924" i="61"/>
  <c r="P3923" i="61"/>
  <c r="O3923" i="61"/>
  <c r="N3923" i="61"/>
  <c r="M3923" i="61"/>
  <c r="L3923" i="61"/>
  <c r="K3923" i="61"/>
  <c r="P3922" i="61"/>
  <c r="O3922" i="61"/>
  <c r="N3922" i="61"/>
  <c r="M3922" i="61"/>
  <c r="L3922" i="61"/>
  <c r="K3922" i="61"/>
  <c r="P3921" i="61"/>
  <c r="O3921" i="61"/>
  <c r="N3921" i="61"/>
  <c r="M3921" i="61"/>
  <c r="L3921" i="61"/>
  <c r="K3921" i="61"/>
  <c r="P3920" i="61"/>
  <c r="O3920" i="61"/>
  <c r="N3920" i="61"/>
  <c r="M3920" i="61"/>
  <c r="L3920" i="61"/>
  <c r="K3920" i="61"/>
  <c r="P3919" i="61"/>
  <c r="O3919" i="61"/>
  <c r="N3919" i="61"/>
  <c r="M3919" i="61"/>
  <c r="L3919" i="61"/>
  <c r="K3919" i="61"/>
  <c r="P3918" i="61"/>
  <c r="O3918" i="61"/>
  <c r="N3918" i="61"/>
  <c r="M3918" i="61"/>
  <c r="L3918" i="61"/>
  <c r="K3918" i="61"/>
  <c r="P3917" i="61"/>
  <c r="O3917" i="61"/>
  <c r="N3917" i="61"/>
  <c r="M3917" i="61"/>
  <c r="L3917" i="61"/>
  <c r="K3917" i="61"/>
  <c r="P3916" i="61"/>
  <c r="O3916" i="61"/>
  <c r="N3916" i="61"/>
  <c r="M3916" i="61"/>
  <c r="L3916" i="61"/>
  <c r="K3916" i="61"/>
  <c r="P3915" i="61"/>
  <c r="O3915" i="61"/>
  <c r="N3915" i="61"/>
  <c r="M3915" i="61"/>
  <c r="L3915" i="61"/>
  <c r="K3915" i="61"/>
  <c r="P3914" i="61"/>
  <c r="O3914" i="61"/>
  <c r="N3914" i="61"/>
  <c r="M3914" i="61"/>
  <c r="L3914" i="61"/>
  <c r="K3914" i="61"/>
  <c r="P3913" i="61"/>
  <c r="O3913" i="61"/>
  <c r="N3913" i="61"/>
  <c r="M3913" i="61"/>
  <c r="L3913" i="61"/>
  <c r="K3913" i="61"/>
  <c r="P3912" i="61"/>
  <c r="O3912" i="61"/>
  <c r="N3912" i="61"/>
  <c r="M3912" i="61"/>
  <c r="L3912" i="61"/>
  <c r="K3912" i="61"/>
  <c r="P3911" i="61"/>
  <c r="O3911" i="61"/>
  <c r="N3911" i="61"/>
  <c r="M3911" i="61"/>
  <c r="L3911" i="61"/>
  <c r="K3911" i="61"/>
  <c r="P3910" i="61"/>
  <c r="O3910" i="61"/>
  <c r="N3910" i="61"/>
  <c r="M3910" i="61"/>
  <c r="L3910" i="61"/>
  <c r="K3910" i="61"/>
  <c r="P3909" i="61"/>
  <c r="O3909" i="61"/>
  <c r="N3909" i="61"/>
  <c r="M3909" i="61"/>
  <c r="L3909" i="61"/>
  <c r="K3909" i="61"/>
  <c r="P3908" i="61"/>
  <c r="O3908" i="61"/>
  <c r="N3908" i="61"/>
  <c r="M3908" i="61"/>
  <c r="L3908" i="61"/>
  <c r="K3908" i="61"/>
  <c r="P3907" i="61"/>
  <c r="O3907" i="61"/>
  <c r="N3907" i="61"/>
  <c r="M3907" i="61"/>
  <c r="L3907" i="61"/>
  <c r="K3907" i="61"/>
  <c r="P3906" i="61"/>
  <c r="O3906" i="61"/>
  <c r="N3906" i="61"/>
  <c r="M3906" i="61"/>
  <c r="L3906" i="61"/>
  <c r="K3906" i="61"/>
  <c r="P3905" i="61"/>
  <c r="O3905" i="61"/>
  <c r="N3905" i="61"/>
  <c r="M3905" i="61"/>
  <c r="L3905" i="61"/>
  <c r="K3905" i="61"/>
  <c r="P3904" i="61"/>
  <c r="O3904" i="61"/>
  <c r="N3904" i="61"/>
  <c r="M3904" i="61"/>
  <c r="L3904" i="61"/>
  <c r="K3904" i="61"/>
  <c r="P3903" i="61"/>
  <c r="O3903" i="61"/>
  <c r="N3903" i="61"/>
  <c r="M3903" i="61"/>
  <c r="L3903" i="61"/>
  <c r="K3903" i="61"/>
  <c r="P3902" i="61"/>
  <c r="O3902" i="61"/>
  <c r="N3902" i="61"/>
  <c r="M3902" i="61"/>
  <c r="L3902" i="61"/>
  <c r="K3902" i="61"/>
  <c r="P3901" i="61"/>
  <c r="O3901" i="61"/>
  <c r="N3901" i="61"/>
  <c r="M3901" i="61"/>
  <c r="L3901" i="61"/>
  <c r="K3901" i="61"/>
  <c r="P3900" i="61"/>
  <c r="O3900" i="61"/>
  <c r="N3900" i="61"/>
  <c r="M3900" i="61"/>
  <c r="L3900" i="61"/>
  <c r="K3900" i="61"/>
  <c r="P3899" i="61"/>
  <c r="O3899" i="61"/>
  <c r="N3899" i="61"/>
  <c r="M3899" i="61"/>
  <c r="L3899" i="61"/>
  <c r="K3899" i="61"/>
  <c r="P3898" i="61"/>
  <c r="O3898" i="61"/>
  <c r="N3898" i="61"/>
  <c r="M3898" i="61"/>
  <c r="L3898" i="61"/>
  <c r="K3898" i="61"/>
  <c r="P3897" i="61"/>
  <c r="O3897" i="61"/>
  <c r="N3897" i="61"/>
  <c r="M3897" i="61"/>
  <c r="L3897" i="61"/>
  <c r="K3897" i="61"/>
  <c r="P3896" i="61"/>
  <c r="O3896" i="61"/>
  <c r="N3896" i="61"/>
  <c r="M3896" i="61"/>
  <c r="L3896" i="61"/>
  <c r="K3896" i="61"/>
  <c r="P3895" i="61"/>
  <c r="O3895" i="61"/>
  <c r="N3895" i="61"/>
  <c r="M3895" i="61"/>
  <c r="L3895" i="61"/>
  <c r="K3895" i="61"/>
  <c r="P3894" i="61"/>
  <c r="O3894" i="61"/>
  <c r="N3894" i="61"/>
  <c r="M3894" i="61"/>
  <c r="L3894" i="61"/>
  <c r="K3894" i="61"/>
  <c r="P3893" i="61"/>
  <c r="O3893" i="61"/>
  <c r="N3893" i="61"/>
  <c r="M3893" i="61"/>
  <c r="L3893" i="61"/>
  <c r="K3893" i="61"/>
  <c r="P3892" i="61"/>
  <c r="O3892" i="61"/>
  <c r="N3892" i="61"/>
  <c r="M3892" i="61"/>
  <c r="L3892" i="61"/>
  <c r="K3892" i="61"/>
  <c r="P3891" i="61"/>
  <c r="O3891" i="61"/>
  <c r="N3891" i="61"/>
  <c r="M3891" i="61"/>
  <c r="L3891" i="61"/>
  <c r="K3891" i="61"/>
  <c r="P3890" i="61"/>
  <c r="O3890" i="61"/>
  <c r="N3890" i="61"/>
  <c r="M3890" i="61"/>
  <c r="L3890" i="61"/>
  <c r="K3890" i="61"/>
  <c r="P3889" i="61"/>
  <c r="O3889" i="61"/>
  <c r="N3889" i="61"/>
  <c r="M3889" i="61"/>
  <c r="L3889" i="61"/>
  <c r="K3889" i="61"/>
  <c r="P3888" i="61"/>
  <c r="O3888" i="61"/>
  <c r="N3888" i="61"/>
  <c r="M3888" i="61"/>
  <c r="L3888" i="61"/>
  <c r="K3888" i="61"/>
  <c r="P3887" i="61"/>
  <c r="O3887" i="61"/>
  <c r="N3887" i="61"/>
  <c r="M3887" i="61"/>
  <c r="L3887" i="61"/>
  <c r="K3887" i="61"/>
  <c r="P3886" i="61"/>
  <c r="O3886" i="61"/>
  <c r="N3886" i="61"/>
  <c r="M3886" i="61"/>
  <c r="L3886" i="61"/>
  <c r="K3886" i="61"/>
  <c r="P3885" i="61"/>
  <c r="O3885" i="61"/>
  <c r="N3885" i="61"/>
  <c r="M3885" i="61"/>
  <c r="L3885" i="61"/>
  <c r="K3885" i="61"/>
  <c r="P3884" i="61"/>
  <c r="O3884" i="61"/>
  <c r="N3884" i="61"/>
  <c r="M3884" i="61"/>
  <c r="L3884" i="61"/>
  <c r="K3884" i="61"/>
  <c r="P3883" i="61"/>
  <c r="O3883" i="61"/>
  <c r="N3883" i="61"/>
  <c r="M3883" i="61"/>
  <c r="L3883" i="61"/>
  <c r="K3883" i="61"/>
  <c r="P3882" i="61"/>
  <c r="O3882" i="61"/>
  <c r="N3882" i="61"/>
  <c r="M3882" i="61"/>
  <c r="L3882" i="61"/>
  <c r="K3882" i="61"/>
  <c r="P3881" i="61"/>
  <c r="O3881" i="61"/>
  <c r="N3881" i="61"/>
  <c r="M3881" i="61"/>
  <c r="L3881" i="61"/>
  <c r="K3881" i="61"/>
  <c r="P3880" i="61"/>
  <c r="O3880" i="61"/>
  <c r="N3880" i="61"/>
  <c r="M3880" i="61"/>
  <c r="L3880" i="61"/>
  <c r="K3880" i="61"/>
  <c r="P3879" i="61"/>
  <c r="O3879" i="61"/>
  <c r="N3879" i="61"/>
  <c r="M3879" i="61"/>
  <c r="L3879" i="61"/>
  <c r="K3879" i="61"/>
  <c r="P3878" i="61"/>
  <c r="O3878" i="61"/>
  <c r="N3878" i="61"/>
  <c r="M3878" i="61"/>
  <c r="L3878" i="61"/>
  <c r="K3878" i="61"/>
  <c r="P3877" i="61"/>
  <c r="O3877" i="61"/>
  <c r="N3877" i="61"/>
  <c r="M3877" i="61"/>
  <c r="L3877" i="61"/>
  <c r="K3877" i="61"/>
  <c r="P3876" i="61"/>
  <c r="O3876" i="61"/>
  <c r="N3876" i="61"/>
  <c r="M3876" i="61"/>
  <c r="L3876" i="61"/>
  <c r="K3876" i="61"/>
  <c r="P3875" i="61"/>
  <c r="O3875" i="61"/>
  <c r="N3875" i="61"/>
  <c r="M3875" i="61"/>
  <c r="L3875" i="61"/>
  <c r="K3875" i="61"/>
  <c r="P3874" i="61"/>
  <c r="O3874" i="61"/>
  <c r="N3874" i="61"/>
  <c r="M3874" i="61"/>
  <c r="L3874" i="61"/>
  <c r="K3874" i="61"/>
  <c r="P3873" i="61"/>
  <c r="O3873" i="61"/>
  <c r="N3873" i="61"/>
  <c r="M3873" i="61"/>
  <c r="L3873" i="61"/>
  <c r="K3873" i="61"/>
  <c r="P3872" i="61"/>
  <c r="O3872" i="61"/>
  <c r="N3872" i="61"/>
  <c r="M3872" i="61"/>
  <c r="L3872" i="61"/>
  <c r="K3872" i="61"/>
  <c r="P3871" i="61"/>
  <c r="O3871" i="61"/>
  <c r="N3871" i="61"/>
  <c r="M3871" i="61"/>
  <c r="L3871" i="61"/>
  <c r="K3871" i="61"/>
  <c r="P3870" i="61"/>
  <c r="O3870" i="61"/>
  <c r="N3870" i="61"/>
  <c r="M3870" i="61"/>
  <c r="L3870" i="61"/>
  <c r="K3870" i="61"/>
  <c r="P3869" i="61"/>
  <c r="O3869" i="61"/>
  <c r="N3869" i="61"/>
  <c r="M3869" i="61"/>
  <c r="L3869" i="61"/>
  <c r="K3869" i="61"/>
  <c r="P3868" i="61"/>
  <c r="O3868" i="61"/>
  <c r="N3868" i="61"/>
  <c r="M3868" i="61"/>
  <c r="L3868" i="61"/>
  <c r="K3868" i="61"/>
  <c r="P3867" i="61"/>
  <c r="O3867" i="61"/>
  <c r="N3867" i="61"/>
  <c r="M3867" i="61"/>
  <c r="L3867" i="61"/>
  <c r="K3867" i="61"/>
  <c r="P3866" i="61"/>
  <c r="O3866" i="61"/>
  <c r="N3866" i="61"/>
  <c r="M3866" i="61"/>
  <c r="L3866" i="61"/>
  <c r="K3866" i="61"/>
  <c r="P3865" i="61"/>
  <c r="O3865" i="61"/>
  <c r="N3865" i="61"/>
  <c r="M3865" i="61"/>
  <c r="L3865" i="61"/>
  <c r="K3865" i="61"/>
  <c r="P3864" i="61"/>
  <c r="O3864" i="61"/>
  <c r="N3864" i="61"/>
  <c r="M3864" i="61"/>
  <c r="L3864" i="61"/>
  <c r="K3864" i="61"/>
  <c r="P3863" i="61"/>
  <c r="O3863" i="61"/>
  <c r="N3863" i="61"/>
  <c r="M3863" i="61"/>
  <c r="L3863" i="61"/>
  <c r="K3863" i="61"/>
  <c r="P3862" i="61"/>
  <c r="O3862" i="61"/>
  <c r="N3862" i="61"/>
  <c r="M3862" i="61"/>
  <c r="L3862" i="61"/>
  <c r="K3862" i="61"/>
  <c r="P3861" i="61"/>
  <c r="O3861" i="61"/>
  <c r="N3861" i="61"/>
  <c r="M3861" i="61"/>
  <c r="L3861" i="61"/>
  <c r="K3861" i="61"/>
  <c r="P3860" i="61"/>
  <c r="O3860" i="61"/>
  <c r="N3860" i="61"/>
  <c r="M3860" i="61"/>
  <c r="L3860" i="61"/>
  <c r="K3860" i="61"/>
  <c r="P3859" i="61"/>
  <c r="O3859" i="61"/>
  <c r="N3859" i="61"/>
  <c r="M3859" i="61"/>
  <c r="L3859" i="61"/>
  <c r="K3859" i="61"/>
  <c r="P3858" i="61"/>
  <c r="O3858" i="61"/>
  <c r="N3858" i="61"/>
  <c r="M3858" i="61"/>
  <c r="L3858" i="61"/>
  <c r="K3858" i="61"/>
  <c r="P3857" i="61"/>
  <c r="O3857" i="61"/>
  <c r="N3857" i="61"/>
  <c r="M3857" i="61"/>
  <c r="L3857" i="61"/>
  <c r="K3857" i="61"/>
  <c r="P3856" i="61"/>
  <c r="O3856" i="61"/>
  <c r="N3856" i="61"/>
  <c r="M3856" i="61"/>
  <c r="L3856" i="61"/>
  <c r="K3856" i="61"/>
  <c r="P3855" i="61"/>
  <c r="O3855" i="61"/>
  <c r="N3855" i="61"/>
  <c r="M3855" i="61"/>
  <c r="L3855" i="61"/>
  <c r="K3855" i="61"/>
  <c r="P3854" i="61"/>
  <c r="O3854" i="61"/>
  <c r="N3854" i="61"/>
  <c r="M3854" i="61"/>
  <c r="L3854" i="61"/>
  <c r="K3854" i="61"/>
  <c r="P3853" i="61"/>
  <c r="O3853" i="61"/>
  <c r="N3853" i="61"/>
  <c r="M3853" i="61"/>
  <c r="L3853" i="61"/>
  <c r="K3853" i="61"/>
  <c r="P3852" i="61"/>
  <c r="O3852" i="61"/>
  <c r="N3852" i="61"/>
  <c r="M3852" i="61"/>
  <c r="L3852" i="61"/>
  <c r="K3852" i="61"/>
  <c r="P3851" i="61"/>
  <c r="O3851" i="61"/>
  <c r="N3851" i="61"/>
  <c r="M3851" i="61"/>
  <c r="L3851" i="61"/>
  <c r="K3851" i="61"/>
  <c r="P3850" i="61"/>
  <c r="O3850" i="61"/>
  <c r="N3850" i="61"/>
  <c r="M3850" i="61"/>
  <c r="L3850" i="61"/>
  <c r="K3850" i="61"/>
  <c r="P3849" i="61"/>
  <c r="O3849" i="61"/>
  <c r="N3849" i="61"/>
  <c r="M3849" i="61"/>
  <c r="L3849" i="61"/>
  <c r="K3849" i="61"/>
  <c r="P3848" i="61"/>
  <c r="O3848" i="61"/>
  <c r="N3848" i="61"/>
  <c r="M3848" i="61"/>
  <c r="L3848" i="61"/>
  <c r="K3848" i="61"/>
  <c r="P3847" i="61"/>
  <c r="O3847" i="61"/>
  <c r="N3847" i="61"/>
  <c r="M3847" i="61"/>
  <c r="L3847" i="61"/>
  <c r="K3847" i="61"/>
  <c r="P3846" i="61"/>
  <c r="O3846" i="61"/>
  <c r="N3846" i="61"/>
  <c r="M3846" i="61"/>
  <c r="L3846" i="61"/>
  <c r="K3846" i="61"/>
  <c r="P3845" i="61"/>
  <c r="O3845" i="61"/>
  <c r="N3845" i="61"/>
  <c r="M3845" i="61"/>
  <c r="L3845" i="61"/>
  <c r="K3845" i="61"/>
  <c r="P3844" i="61"/>
  <c r="O3844" i="61"/>
  <c r="N3844" i="61"/>
  <c r="M3844" i="61"/>
  <c r="L3844" i="61"/>
  <c r="K3844" i="61"/>
  <c r="P3843" i="61"/>
  <c r="O3843" i="61"/>
  <c r="N3843" i="61"/>
  <c r="M3843" i="61"/>
  <c r="L3843" i="61"/>
  <c r="K3843" i="61"/>
  <c r="P3842" i="61"/>
  <c r="O3842" i="61"/>
  <c r="N3842" i="61"/>
  <c r="M3842" i="61"/>
  <c r="L3842" i="61"/>
  <c r="K3842" i="61"/>
  <c r="P3841" i="61"/>
  <c r="O3841" i="61"/>
  <c r="N3841" i="61"/>
  <c r="M3841" i="61"/>
  <c r="L3841" i="61"/>
  <c r="K3841" i="61"/>
  <c r="P3840" i="61"/>
  <c r="O3840" i="61"/>
  <c r="N3840" i="61"/>
  <c r="M3840" i="61"/>
  <c r="L3840" i="61"/>
  <c r="K3840" i="61"/>
  <c r="P3839" i="61"/>
  <c r="O3839" i="61"/>
  <c r="N3839" i="61"/>
  <c r="M3839" i="61"/>
  <c r="L3839" i="61"/>
  <c r="K3839" i="61"/>
  <c r="P3838" i="61"/>
  <c r="O3838" i="61"/>
  <c r="N3838" i="61"/>
  <c r="M3838" i="61"/>
  <c r="L3838" i="61"/>
  <c r="K3838" i="61"/>
  <c r="P3837" i="61"/>
  <c r="O3837" i="61"/>
  <c r="N3837" i="61"/>
  <c r="M3837" i="61"/>
  <c r="L3837" i="61"/>
  <c r="K3837" i="61"/>
  <c r="P3836" i="61"/>
  <c r="O3836" i="61"/>
  <c r="N3836" i="61"/>
  <c r="M3836" i="61"/>
  <c r="L3836" i="61"/>
  <c r="K3836" i="61"/>
  <c r="P3835" i="61"/>
  <c r="O3835" i="61"/>
  <c r="N3835" i="61"/>
  <c r="M3835" i="61"/>
  <c r="L3835" i="61"/>
  <c r="K3835" i="61"/>
  <c r="P3834" i="61"/>
  <c r="O3834" i="61"/>
  <c r="N3834" i="61"/>
  <c r="M3834" i="61"/>
  <c r="L3834" i="61"/>
  <c r="K3834" i="61"/>
  <c r="P3833" i="61"/>
  <c r="O3833" i="61"/>
  <c r="N3833" i="61"/>
  <c r="M3833" i="61"/>
  <c r="L3833" i="61"/>
  <c r="K3833" i="61"/>
  <c r="P3832" i="61"/>
  <c r="O3832" i="61"/>
  <c r="N3832" i="61"/>
  <c r="M3832" i="61"/>
  <c r="L3832" i="61"/>
  <c r="K3832" i="61"/>
  <c r="P3831" i="61"/>
  <c r="O3831" i="61"/>
  <c r="N3831" i="61"/>
  <c r="M3831" i="61"/>
  <c r="L3831" i="61"/>
  <c r="K3831" i="61"/>
  <c r="P3830" i="61"/>
  <c r="O3830" i="61"/>
  <c r="N3830" i="61"/>
  <c r="M3830" i="61"/>
  <c r="L3830" i="61"/>
  <c r="K3830" i="61"/>
  <c r="P3829" i="61"/>
  <c r="O3829" i="61"/>
  <c r="N3829" i="61"/>
  <c r="M3829" i="61"/>
  <c r="L3829" i="61"/>
  <c r="K3829" i="61"/>
  <c r="P3828" i="61"/>
  <c r="O3828" i="61"/>
  <c r="N3828" i="61"/>
  <c r="M3828" i="61"/>
  <c r="L3828" i="61"/>
  <c r="K3828" i="61"/>
  <c r="P3827" i="61"/>
  <c r="O3827" i="61"/>
  <c r="N3827" i="61"/>
  <c r="M3827" i="61"/>
  <c r="L3827" i="61"/>
  <c r="K3827" i="61"/>
  <c r="P3826" i="61"/>
  <c r="O3826" i="61"/>
  <c r="N3826" i="61"/>
  <c r="M3826" i="61"/>
  <c r="L3826" i="61"/>
  <c r="K3826" i="61"/>
  <c r="P3825" i="61"/>
  <c r="O3825" i="61"/>
  <c r="N3825" i="61"/>
  <c r="M3825" i="61"/>
  <c r="L3825" i="61"/>
  <c r="K3825" i="61"/>
  <c r="P3824" i="61"/>
  <c r="O3824" i="61"/>
  <c r="N3824" i="61"/>
  <c r="M3824" i="61"/>
  <c r="L3824" i="61"/>
  <c r="K3824" i="61"/>
  <c r="P3823" i="61"/>
  <c r="O3823" i="61"/>
  <c r="N3823" i="61"/>
  <c r="M3823" i="61"/>
  <c r="L3823" i="61"/>
  <c r="K3823" i="61"/>
  <c r="P3822" i="61"/>
  <c r="O3822" i="61"/>
  <c r="N3822" i="61"/>
  <c r="M3822" i="61"/>
  <c r="L3822" i="61"/>
  <c r="K3822" i="61"/>
  <c r="P3821" i="61"/>
  <c r="O3821" i="61"/>
  <c r="N3821" i="61"/>
  <c r="M3821" i="61"/>
  <c r="L3821" i="61"/>
  <c r="K3821" i="61"/>
  <c r="P3820" i="61"/>
  <c r="O3820" i="61"/>
  <c r="N3820" i="61"/>
  <c r="M3820" i="61"/>
  <c r="L3820" i="61"/>
  <c r="K3820" i="61"/>
  <c r="P3819" i="61"/>
  <c r="O3819" i="61"/>
  <c r="N3819" i="61"/>
  <c r="M3819" i="61"/>
  <c r="L3819" i="61"/>
  <c r="K3819" i="61"/>
  <c r="P3818" i="61"/>
  <c r="O3818" i="61"/>
  <c r="N3818" i="61"/>
  <c r="M3818" i="61"/>
  <c r="L3818" i="61"/>
  <c r="K3818" i="61"/>
  <c r="P3817" i="61"/>
  <c r="O3817" i="61"/>
  <c r="N3817" i="61"/>
  <c r="M3817" i="61"/>
  <c r="L3817" i="61"/>
  <c r="K3817" i="61"/>
  <c r="P3816" i="61"/>
  <c r="O3816" i="61"/>
  <c r="N3816" i="61"/>
  <c r="M3816" i="61"/>
  <c r="L3816" i="61"/>
  <c r="K3816" i="61"/>
  <c r="P3815" i="61"/>
  <c r="O3815" i="61"/>
  <c r="N3815" i="61"/>
  <c r="M3815" i="61"/>
  <c r="L3815" i="61"/>
  <c r="K3815" i="61"/>
  <c r="P3814" i="61"/>
  <c r="O3814" i="61"/>
  <c r="N3814" i="61"/>
  <c r="M3814" i="61"/>
  <c r="L3814" i="61"/>
  <c r="K3814" i="61"/>
  <c r="P3813" i="61"/>
  <c r="O3813" i="61"/>
  <c r="N3813" i="61"/>
  <c r="M3813" i="61"/>
  <c r="L3813" i="61"/>
  <c r="K3813" i="61"/>
  <c r="P3812" i="61"/>
  <c r="O3812" i="61"/>
  <c r="N3812" i="61"/>
  <c r="M3812" i="61"/>
  <c r="L3812" i="61"/>
  <c r="K3812" i="61"/>
  <c r="P3811" i="61"/>
  <c r="O3811" i="61"/>
  <c r="N3811" i="61"/>
  <c r="M3811" i="61"/>
  <c r="L3811" i="61"/>
  <c r="K3811" i="61"/>
  <c r="P3810" i="61"/>
  <c r="O3810" i="61"/>
  <c r="N3810" i="61"/>
  <c r="M3810" i="61"/>
  <c r="L3810" i="61"/>
  <c r="K3810" i="61"/>
  <c r="P3809" i="61"/>
  <c r="O3809" i="61"/>
  <c r="N3809" i="61"/>
  <c r="M3809" i="61"/>
  <c r="L3809" i="61"/>
  <c r="K3809" i="61"/>
  <c r="P3808" i="61"/>
  <c r="O3808" i="61"/>
  <c r="N3808" i="61"/>
  <c r="M3808" i="61"/>
  <c r="L3808" i="61"/>
  <c r="K3808" i="61"/>
  <c r="P3807" i="61"/>
  <c r="O3807" i="61"/>
  <c r="N3807" i="61"/>
  <c r="M3807" i="61"/>
  <c r="L3807" i="61"/>
  <c r="K3807" i="61"/>
  <c r="P3806" i="61"/>
  <c r="O3806" i="61"/>
  <c r="N3806" i="61"/>
  <c r="M3806" i="61"/>
  <c r="L3806" i="61"/>
  <c r="K3806" i="61"/>
  <c r="P3805" i="61"/>
  <c r="O3805" i="61"/>
  <c r="N3805" i="61"/>
  <c r="M3805" i="61"/>
  <c r="L3805" i="61"/>
  <c r="K3805" i="61"/>
  <c r="P3804" i="61"/>
  <c r="O3804" i="61"/>
  <c r="N3804" i="61"/>
  <c r="M3804" i="61"/>
  <c r="L3804" i="61"/>
  <c r="K3804" i="61"/>
  <c r="P3803" i="61"/>
  <c r="O3803" i="61"/>
  <c r="N3803" i="61"/>
  <c r="M3803" i="61"/>
  <c r="L3803" i="61"/>
  <c r="K3803" i="61"/>
  <c r="P3802" i="61"/>
  <c r="O3802" i="61"/>
  <c r="N3802" i="61"/>
  <c r="M3802" i="61"/>
  <c r="L3802" i="61"/>
  <c r="K3802" i="61"/>
  <c r="P3801" i="61"/>
  <c r="O3801" i="61"/>
  <c r="N3801" i="61"/>
  <c r="M3801" i="61"/>
  <c r="L3801" i="61"/>
  <c r="K3801" i="61"/>
  <c r="P3800" i="61"/>
  <c r="O3800" i="61"/>
  <c r="N3800" i="61"/>
  <c r="M3800" i="61"/>
  <c r="L3800" i="61"/>
  <c r="K3800" i="61"/>
  <c r="P3799" i="61"/>
  <c r="O3799" i="61"/>
  <c r="N3799" i="61"/>
  <c r="M3799" i="61"/>
  <c r="L3799" i="61"/>
  <c r="K3799" i="61"/>
  <c r="P3798" i="61"/>
  <c r="O3798" i="61"/>
  <c r="N3798" i="61"/>
  <c r="M3798" i="61"/>
  <c r="L3798" i="61"/>
  <c r="K3798" i="61"/>
  <c r="P3797" i="61"/>
  <c r="O3797" i="61"/>
  <c r="N3797" i="61"/>
  <c r="M3797" i="61"/>
  <c r="L3797" i="61"/>
  <c r="K3797" i="61"/>
  <c r="P3796" i="61"/>
  <c r="O3796" i="61"/>
  <c r="N3796" i="61"/>
  <c r="M3796" i="61"/>
  <c r="L3796" i="61"/>
  <c r="K3796" i="61"/>
  <c r="P3795" i="61"/>
  <c r="O3795" i="61"/>
  <c r="N3795" i="61"/>
  <c r="M3795" i="61"/>
  <c r="L3795" i="61"/>
  <c r="K3795" i="61"/>
  <c r="P3794" i="61"/>
  <c r="O3794" i="61"/>
  <c r="N3794" i="61"/>
  <c r="M3794" i="61"/>
  <c r="L3794" i="61"/>
  <c r="K3794" i="61"/>
  <c r="P3793" i="61"/>
  <c r="O3793" i="61"/>
  <c r="N3793" i="61"/>
  <c r="M3793" i="61"/>
  <c r="L3793" i="61"/>
  <c r="K3793" i="61"/>
  <c r="P3792" i="61"/>
  <c r="O3792" i="61"/>
  <c r="N3792" i="61"/>
  <c r="M3792" i="61"/>
  <c r="L3792" i="61"/>
  <c r="K3792" i="61"/>
  <c r="P3791" i="61"/>
  <c r="O3791" i="61"/>
  <c r="N3791" i="61"/>
  <c r="M3791" i="61"/>
  <c r="L3791" i="61"/>
  <c r="K3791" i="61"/>
  <c r="P3790" i="61"/>
  <c r="O3790" i="61"/>
  <c r="N3790" i="61"/>
  <c r="M3790" i="61"/>
  <c r="L3790" i="61"/>
  <c r="K3790" i="61"/>
  <c r="P3789" i="61"/>
  <c r="O3789" i="61"/>
  <c r="N3789" i="61"/>
  <c r="M3789" i="61"/>
  <c r="L3789" i="61"/>
  <c r="K3789" i="61"/>
  <c r="P3788" i="61"/>
  <c r="O3788" i="61"/>
  <c r="N3788" i="61"/>
  <c r="M3788" i="61"/>
  <c r="L3788" i="61"/>
  <c r="K3788" i="61"/>
  <c r="P3787" i="61"/>
  <c r="O3787" i="61"/>
  <c r="N3787" i="61"/>
  <c r="M3787" i="61"/>
  <c r="L3787" i="61"/>
  <c r="K3787" i="61"/>
  <c r="P3786" i="61"/>
  <c r="O3786" i="61"/>
  <c r="N3786" i="61"/>
  <c r="M3786" i="61"/>
  <c r="L3786" i="61"/>
  <c r="K3786" i="61"/>
  <c r="P3785" i="61"/>
  <c r="O3785" i="61"/>
  <c r="N3785" i="61"/>
  <c r="M3785" i="61"/>
  <c r="L3785" i="61"/>
  <c r="K3785" i="61"/>
  <c r="P3784" i="61"/>
  <c r="O3784" i="61"/>
  <c r="N3784" i="61"/>
  <c r="M3784" i="61"/>
  <c r="L3784" i="61"/>
  <c r="K3784" i="61"/>
  <c r="P3783" i="61"/>
  <c r="O3783" i="61"/>
  <c r="N3783" i="61"/>
  <c r="M3783" i="61"/>
  <c r="L3783" i="61"/>
  <c r="K3783" i="61"/>
  <c r="P3782" i="61"/>
  <c r="O3782" i="61"/>
  <c r="N3782" i="61"/>
  <c r="M3782" i="61"/>
  <c r="L3782" i="61"/>
  <c r="K3782" i="61"/>
  <c r="P3781" i="61"/>
  <c r="O3781" i="61"/>
  <c r="N3781" i="61"/>
  <c r="M3781" i="61"/>
  <c r="L3781" i="61"/>
  <c r="K3781" i="61"/>
  <c r="P3780" i="61"/>
  <c r="O3780" i="61"/>
  <c r="N3780" i="61"/>
  <c r="M3780" i="61"/>
  <c r="L3780" i="61"/>
  <c r="K3780" i="61"/>
  <c r="P3779" i="61"/>
  <c r="O3779" i="61"/>
  <c r="N3779" i="61"/>
  <c r="M3779" i="61"/>
  <c r="L3779" i="61"/>
  <c r="K3779" i="61"/>
  <c r="P3778" i="61"/>
  <c r="O3778" i="61"/>
  <c r="N3778" i="61"/>
  <c r="M3778" i="61"/>
  <c r="L3778" i="61"/>
  <c r="K3778" i="61"/>
  <c r="P3777" i="61"/>
  <c r="O3777" i="61"/>
  <c r="N3777" i="61"/>
  <c r="M3777" i="61"/>
  <c r="L3777" i="61"/>
  <c r="K3777" i="61"/>
  <c r="P3776" i="61"/>
  <c r="O3776" i="61"/>
  <c r="N3776" i="61"/>
  <c r="M3776" i="61"/>
  <c r="L3776" i="61"/>
  <c r="K3776" i="61"/>
  <c r="P3775" i="61"/>
  <c r="O3775" i="61"/>
  <c r="N3775" i="61"/>
  <c r="M3775" i="61"/>
  <c r="L3775" i="61"/>
  <c r="K3775" i="61"/>
  <c r="P3774" i="61"/>
  <c r="O3774" i="61"/>
  <c r="N3774" i="61"/>
  <c r="M3774" i="61"/>
  <c r="L3774" i="61"/>
  <c r="K3774" i="61"/>
  <c r="P3773" i="61"/>
  <c r="O3773" i="61"/>
  <c r="N3773" i="61"/>
  <c r="M3773" i="61"/>
  <c r="L3773" i="61"/>
  <c r="K3773" i="61"/>
  <c r="P3772" i="61"/>
  <c r="O3772" i="61"/>
  <c r="N3772" i="61"/>
  <c r="M3772" i="61"/>
  <c r="L3772" i="61"/>
  <c r="K3772" i="61"/>
  <c r="P3771" i="61"/>
  <c r="O3771" i="61"/>
  <c r="N3771" i="61"/>
  <c r="M3771" i="61"/>
  <c r="L3771" i="61"/>
  <c r="K3771" i="61"/>
  <c r="P3770" i="61"/>
  <c r="O3770" i="61"/>
  <c r="N3770" i="61"/>
  <c r="M3770" i="61"/>
  <c r="L3770" i="61"/>
  <c r="K3770" i="61"/>
  <c r="P3769" i="61"/>
  <c r="O3769" i="61"/>
  <c r="N3769" i="61"/>
  <c r="M3769" i="61"/>
  <c r="L3769" i="61"/>
  <c r="K3769" i="61"/>
  <c r="P3768" i="61"/>
  <c r="O3768" i="61"/>
  <c r="N3768" i="61"/>
  <c r="M3768" i="61"/>
  <c r="L3768" i="61"/>
  <c r="K3768" i="61"/>
  <c r="P3767" i="61"/>
  <c r="O3767" i="61"/>
  <c r="N3767" i="61"/>
  <c r="M3767" i="61"/>
  <c r="L3767" i="61"/>
  <c r="K3767" i="61"/>
  <c r="P3766" i="61"/>
  <c r="O3766" i="61"/>
  <c r="N3766" i="61"/>
  <c r="M3766" i="61"/>
  <c r="L3766" i="61"/>
  <c r="K3766" i="61"/>
  <c r="P3765" i="61"/>
  <c r="O3765" i="61"/>
  <c r="N3765" i="61"/>
  <c r="M3765" i="61"/>
  <c r="L3765" i="61"/>
  <c r="K3765" i="61"/>
  <c r="P3764" i="61"/>
  <c r="O3764" i="61"/>
  <c r="N3764" i="61"/>
  <c r="M3764" i="61"/>
  <c r="L3764" i="61"/>
  <c r="K3764" i="61"/>
  <c r="P3763" i="61"/>
  <c r="O3763" i="61"/>
  <c r="N3763" i="61"/>
  <c r="M3763" i="61"/>
  <c r="L3763" i="61"/>
  <c r="K3763" i="61"/>
  <c r="P3762" i="61"/>
  <c r="O3762" i="61"/>
  <c r="N3762" i="61"/>
  <c r="M3762" i="61"/>
  <c r="L3762" i="61"/>
  <c r="K3762" i="61"/>
  <c r="P3761" i="61"/>
  <c r="O3761" i="61"/>
  <c r="N3761" i="61"/>
  <c r="M3761" i="61"/>
  <c r="L3761" i="61"/>
  <c r="K3761" i="61"/>
  <c r="P3760" i="61"/>
  <c r="O3760" i="61"/>
  <c r="N3760" i="61"/>
  <c r="M3760" i="61"/>
  <c r="L3760" i="61"/>
  <c r="K3760" i="61"/>
  <c r="P3759" i="61"/>
  <c r="O3759" i="61"/>
  <c r="N3759" i="61"/>
  <c r="M3759" i="61"/>
  <c r="L3759" i="61"/>
  <c r="K3759" i="61"/>
  <c r="P3758" i="61"/>
  <c r="O3758" i="61"/>
  <c r="N3758" i="61"/>
  <c r="M3758" i="61"/>
  <c r="L3758" i="61"/>
  <c r="K3758" i="61"/>
  <c r="P3757" i="61"/>
  <c r="O3757" i="61"/>
  <c r="N3757" i="61"/>
  <c r="M3757" i="61"/>
  <c r="L3757" i="61"/>
  <c r="K3757" i="61"/>
  <c r="P3756" i="61"/>
  <c r="O3756" i="61"/>
  <c r="N3756" i="61"/>
  <c r="M3756" i="61"/>
  <c r="L3756" i="61"/>
  <c r="K3756" i="61"/>
  <c r="P3755" i="61"/>
  <c r="O3755" i="61"/>
  <c r="N3755" i="61"/>
  <c r="M3755" i="61"/>
  <c r="L3755" i="61"/>
  <c r="K3755" i="61"/>
  <c r="P3754" i="61"/>
  <c r="O3754" i="61"/>
  <c r="N3754" i="61"/>
  <c r="M3754" i="61"/>
  <c r="L3754" i="61"/>
  <c r="K3754" i="61"/>
  <c r="P3753" i="61"/>
  <c r="O3753" i="61"/>
  <c r="N3753" i="61"/>
  <c r="M3753" i="61"/>
  <c r="L3753" i="61"/>
  <c r="K3753" i="61"/>
  <c r="P3752" i="61"/>
  <c r="O3752" i="61"/>
  <c r="N3752" i="61"/>
  <c r="M3752" i="61"/>
  <c r="L3752" i="61"/>
  <c r="K3752" i="61"/>
  <c r="P3751" i="61"/>
  <c r="O3751" i="61"/>
  <c r="N3751" i="61"/>
  <c r="M3751" i="61"/>
  <c r="L3751" i="61"/>
  <c r="K3751" i="61"/>
  <c r="P3750" i="61"/>
  <c r="O3750" i="61"/>
  <c r="N3750" i="61"/>
  <c r="M3750" i="61"/>
  <c r="L3750" i="61"/>
  <c r="K3750" i="61"/>
  <c r="P3749" i="61"/>
  <c r="O3749" i="61"/>
  <c r="N3749" i="61"/>
  <c r="M3749" i="61"/>
  <c r="L3749" i="61"/>
  <c r="K3749" i="61"/>
  <c r="P3748" i="61"/>
  <c r="O3748" i="61"/>
  <c r="N3748" i="61"/>
  <c r="M3748" i="61"/>
  <c r="L3748" i="61"/>
  <c r="K3748" i="61"/>
  <c r="P3747" i="61"/>
  <c r="O3747" i="61"/>
  <c r="N3747" i="61"/>
  <c r="M3747" i="61"/>
  <c r="L3747" i="61"/>
  <c r="K3747" i="61"/>
  <c r="P3746" i="61"/>
  <c r="O3746" i="61"/>
  <c r="N3746" i="61"/>
  <c r="M3746" i="61"/>
  <c r="L3746" i="61"/>
  <c r="K3746" i="61"/>
  <c r="P3745" i="61"/>
  <c r="O3745" i="61"/>
  <c r="N3745" i="61"/>
  <c r="M3745" i="61"/>
  <c r="L3745" i="61"/>
  <c r="K3745" i="61"/>
  <c r="P3744" i="61"/>
  <c r="O3744" i="61"/>
  <c r="N3744" i="61"/>
  <c r="M3744" i="61"/>
  <c r="L3744" i="61"/>
  <c r="K3744" i="61"/>
  <c r="P3743" i="61"/>
  <c r="O3743" i="61"/>
  <c r="N3743" i="61"/>
  <c r="M3743" i="61"/>
  <c r="L3743" i="61"/>
  <c r="K3743" i="61"/>
  <c r="P3742" i="61"/>
  <c r="O3742" i="61"/>
  <c r="N3742" i="61"/>
  <c r="M3742" i="61"/>
  <c r="L3742" i="61"/>
  <c r="K3742" i="61"/>
  <c r="P3741" i="61"/>
  <c r="O3741" i="61"/>
  <c r="N3741" i="61"/>
  <c r="M3741" i="61"/>
  <c r="L3741" i="61"/>
  <c r="K3741" i="61"/>
  <c r="P3740" i="61"/>
  <c r="O3740" i="61"/>
  <c r="N3740" i="61"/>
  <c r="M3740" i="61"/>
  <c r="L3740" i="61"/>
  <c r="K3740" i="61"/>
  <c r="P3739" i="61"/>
  <c r="O3739" i="61"/>
  <c r="N3739" i="61"/>
  <c r="M3739" i="61"/>
  <c r="L3739" i="61"/>
  <c r="K3739" i="61"/>
  <c r="P3738" i="61"/>
  <c r="O3738" i="61"/>
  <c r="N3738" i="61"/>
  <c r="M3738" i="61"/>
  <c r="L3738" i="61"/>
  <c r="K3738" i="61"/>
  <c r="P3737" i="61"/>
  <c r="O3737" i="61"/>
  <c r="N3737" i="61"/>
  <c r="M3737" i="61"/>
  <c r="L3737" i="61"/>
  <c r="K3737" i="61"/>
  <c r="P3736" i="61"/>
  <c r="O3736" i="61"/>
  <c r="N3736" i="61"/>
  <c r="M3736" i="61"/>
  <c r="L3736" i="61"/>
  <c r="K3736" i="61"/>
  <c r="P3735" i="61"/>
  <c r="O3735" i="61"/>
  <c r="N3735" i="61"/>
  <c r="M3735" i="61"/>
  <c r="L3735" i="61"/>
  <c r="K3735" i="61"/>
  <c r="P3734" i="61"/>
  <c r="O3734" i="61"/>
  <c r="N3734" i="61"/>
  <c r="M3734" i="61"/>
  <c r="L3734" i="61"/>
  <c r="K3734" i="61"/>
  <c r="P3733" i="61"/>
  <c r="O3733" i="61"/>
  <c r="N3733" i="61"/>
  <c r="M3733" i="61"/>
  <c r="L3733" i="61"/>
  <c r="K3733" i="61"/>
  <c r="P3732" i="61"/>
  <c r="O3732" i="61"/>
  <c r="N3732" i="61"/>
  <c r="M3732" i="61"/>
  <c r="L3732" i="61"/>
  <c r="K3732" i="61"/>
  <c r="P3731" i="61"/>
  <c r="O3731" i="61"/>
  <c r="N3731" i="61"/>
  <c r="M3731" i="61"/>
  <c r="L3731" i="61"/>
  <c r="K3731" i="61"/>
  <c r="P3730" i="61"/>
  <c r="O3730" i="61"/>
  <c r="N3730" i="61"/>
  <c r="M3730" i="61"/>
  <c r="L3730" i="61"/>
  <c r="K3730" i="61"/>
  <c r="P3729" i="61"/>
  <c r="O3729" i="61"/>
  <c r="N3729" i="61"/>
  <c r="M3729" i="61"/>
  <c r="L3729" i="61"/>
  <c r="K3729" i="61"/>
  <c r="P3728" i="61"/>
  <c r="O3728" i="61"/>
  <c r="N3728" i="61"/>
  <c r="M3728" i="61"/>
  <c r="L3728" i="61"/>
  <c r="K3728" i="61"/>
  <c r="P3727" i="61"/>
  <c r="O3727" i="61"/>
  <c r="N3727" i="61"/>
  <c r="M3727" i="61"/>
  <c r="L3727" i="61"/>
  <c r="K3727" i="61"/>
  <c r="P3726" i="61"/>
  <c r="O3726" i="61"/>
  <c r="N3726" i="61"/>
  <c r="M3726" i="61"/>
  <c r="L3726" i="61"/>
  <c r="K3726" i="61"/>
  <c r="P3725" i="61"/>
  <c r="O3725" i="61"/>
  <c r="N3725" i="61"/>
  <c r="M3725" i="61"/>
  <c r="L3725" i="61"/>
  <c r="K3725" i="61"/>
  <c r="P3724" i="61"/>
  <c r="O3724" i="61"/>
  <c r="N3724" i="61"/>
  <c r="M3724" i="61"/>
  <c r="L3724" i="61"/>
  <c r="K3724" i="61"/>
  <c r="P3723" i="61"/>
  <c r="O3723" i="61"/>
  <c r="N3723" i="61"/>
  <c r="M3723" i="61"/>
  <c r="L3723" i="61"/>
  <c r="K3723" i="61"/>
  <c r="P3722" i="61"/>
  <c r="O3722" i="61"/>
  <c r="N3722" i="61"/>
  <c r="M3722" i="61"/>
  <c r="L3722" i="61"/>
  <c r="K3722" i="61"/>
  <c r="P3721" i="61"/>
  <c r="O3721" i="61"/>
  <c r="N3721" i="61"/>
  <c r="M3721" i="61"/>
  <c r="L3721" i="61"/>
  <c r="K3721" i="61"/>
  <c r="P3720" i="61"/>
  <c r="O3720" i="61"/>
  <c r="N3720" i="61"/>
  <c r="M3720" i="61"/>
  <c r="L3720" i="61"/>
  <c r="K3720" i="61"/>
  <c r="P3719" i="61"/>
  <c r="O3719" i="61"/>
  <c r="N3719" i="61"/>
  <c r="M3719" i="61"/>
  <c r="L3719" i="61"/>
  <c r="K3719" i="61"/>
  <c r="P3718" i="61"/>
  <c r="O3718" i="61"/>
  <c r="N3718" i="61"/>
  <c r="M3718" i="61"/>
  <c r="L3718" i="61"/>
  <c r="K3718" i="61"/>
  <c r="P3717" i="61"/>
  <c r="O3717" i="61"/>
  <c r="N3717" i="61"/>
  <c r="M3717" i="61"/>
  <c r="L3717" i="61"/>
  <c r="K3717" i="61"/>
  <c r="P3716" i="61"/>
  <c r="O3716" i="61"/>
  <c r="N3716" i="61"/>
  <c r="M3716" i="61"/>
  <c r="L3716" i="61"/>
  <c r="K3716" i="61"/>
  <c r="P3715" i="61"/>
  <c r="O3715" i="61"/>
  <c r="N3715" i="61"/>
  <c r="M3715" i="61"/>
  <c r="L3715" i="61"/>
  <c r="K3715" i="61"/>
  <c r="P3714" i="61"/>
  <c r="O3714" i="61"/>
  <c r="N3714" i="61"/>
  <c r="M3714" i="61"/>
  <c r="L3714" i="61"/>
  <c r="K3714" i="61"/>
  <c r="P3713" i="61"/>
  <c r="O3713" i="61"/>
  <c r="N3713" i="61"/>
  <c r="M3713" i="61"/>
  <c r="L3713" i="61"/>
  <c r="K3713" i="61"/>
  <c r="P3712" i="61"/>
  <c r="O3712" i="61"/>
  <c r="N3712" i="61"/>
  <c r="M3712" i="61"/>
  <c r="L3712" i="61"/>
  <c r="K3712" i="61"/>
  <c r="P3711" i="61"/>
  <c r="O3711" i="61"/>
  <c r="N3711" i="61"/>
  <c r="M3711" i="61"/>
  <c r="L3711" i="61"/>
  <c r="K3711" i="61"/>
  <c r="P3710" i="61"/>
  <c r="O3710" i="61"/>
  <c r="N3710" i="61"/>
  <c r="M3710" i="61"/>
  <c r="L3710" i="61"/>
  <c r="K3710" i="61"/>
  <c r="P3709" i="61"/>
  <c r="O3709" i="61"/>
  <c r="N3709" i="61"/>
  <c r="M3709" i="61"/>
  <c r="L3709" i="61"/>
  <c r="K3709" i="61"/>
  <c r="P3708" i="61"/>
  <c r="O3708" i="61"/>
  <c r="N3708" i="61"/>
  <c r="M3708" i="61"/>
  <c r="L3708" i="61"/>
  <c r="K3708" i="61"/>
  <c r="P3707" i="61"/>
  <c r="O3707" i="61"/>
  <c r="N3707" i="61"/>
  <c r="M3707" i="61"/>
  <c r="L3707" i="61"/>
  <c r="K3707" i="61"/>
  <c r="P3706" i="61"/>
  <c r="O3706" i="61"/>
  <c r="N3706" i="61"/>
  <c r="M3706" i="61"/>
  <c r="L3706" i="61"/>
  <c r="K3706" i="61"/>
  <c r="P3705" i="61"/>
  <c r="O3705" i="61"/>
  <c r="N3705" i="61"/>
  <c r="M3705" i="61"/>
  <c r="L3705" i="61"/>
  <c r="K3705" i="61"/>
  <c r="P3704" i="61"/>
  <c r="O3704" i="61"/>
  <c r="N3704" i="61"/>
  <c r="M3704" i="61"/>
  <c r="L3704" i="61"/>
  <c r="K3704" i="61"/>
  <c r="P3703" i="61"/>
  <c r="O3703" i="61"/>
  <c r="N3703" i="61"/>
  <c r="M3703" i="61"/>
  <c r="L3703" i="61"/>
  <c r="K3703" i="61"/>
  <c r="P3702" i="61"/>
  <c r="O3702" i="61"/>
  <c r="N3702" i="61"/>
  <c r="M3702" i="61"/>
  <c r="L3702" i="61"/>
  <c r="K3702" i="61"/>
  <c r="P3701" i="61"/>
  <c r="O3701" i="61"/>
  <c r="N3701" i="61"/>
  <c r="M3701" i="61"/>
  <c r="L3701" i="61"/>
  <c r="K3701" i="61"/>
  <c r="P3700" i="61"/>
  <c r="O3700" i="61"/>
  <c r="N3700" i="61"/>
  <c r="M3700" i="61"/>
  <c r="L3700" i="61"/>
  <c r="K3700" i="61"/>
  <c r="P3699" i="61"/>
  <c r="O3699" i="61"/>
  <c r="N3699" i="61"/>
  <c r="M3699" i="61"/>
  <c r="L3699" i="61"/>
  <c r="K3699" i="61"/>
  <c r="P3698" i="61"/>
  <c r="O3698" i="61"/>
  <c r="N3698" i="61"/>
  <c r="M3698" i="61"/>
  <c r="L3698" i="61"/>
  <c r="K3698" i="61"/>
  <c r="P3697" i="61"/>
  <c r="O3697" i="61"/>
  <c r="N3697" i="61"/>
  <c r="M3697" i="61"/>
  <c r="L3697" i="61"/>
  <c r="K3697" i="61"/>
  <c r="P3696" i="61"/>
  <c r="O3696" i="61"/>
  <c r="N3696" i="61"/>
  <c r="M3696" i="61"/>
  <c r="L3696" i="61"/>
  <c r="K3696" i="61"/>
  <c r="P3695" i="61"/>
  <c r="O3695" i="61"/>
  <c r="N3695" i="61"/>
  <c r="M3695" i="61"/>
  <c r="L3695" i="61"/>
  <c r="K3695" i="61"/>
  <c r="P3694" i="61"/>
  <c r="O3694" i="61"/>
  <c r="N3694" i="61"/>
  <c r="M3694" i="61"/>
  <c r="L3694" i="61"/>
  <c r="K3694" i="61"/>
  <c r="P3693" i="61"/>
  <c r="O3693" i="61"/>
  <c r="N3693" i="61"/>
  <c r="M3693" i="61"/>
  <c r="L3693" i="61"/>
  <c r="K3693" i="61"/>
  <c r="P3692" i="61"/>
  <c r="O3692" i="61"/>
  <c r="N3692" i="61"/>
  <c r="M3692" i="61"/>
  <c r="L3692" i="61"/>
  <c r="K3692" i="61"/>
  <c r="P3691" i="61"/>
  <c r="O3691" i="61"/>
  <c r="N3691" i="61"/>
  <c r="M3691" i="61"/>
  <c r="L3691" i="61"/>
  <c r="K3691" i="61"/>
  <c r="P3690" i="61"/>
  <c r="O3690" i="61"/>
  <c r="N3690" i="61"/>
  <c r="M3690" i="61"/>
  <c r="L3690" i="61"/>
  <c r="K3690" i="61"/>
  <c r="P3689" i="61"/>
  <c r="O3689" i="61"/>
  <c r="N3689" i="61"/>
  <c r="M3689" i="61"/>
  <c r="L3689" i="61"/>
  <c r="K3689" i="61"/>
  <c r="P3688" i="61"/>
  <c r="O3688" i="61"/>
  <c r="N3688" i="61"/>
  <c r="M3688" i="61"/>
  <c r="L3688" i="61"/>
  <c r="K3688" i="61"/>
  <c r="P3687" i="61"/>
  <c r="O3687" i="61"/>
  <c r="N3687" i="61"/>
  <c r="M3687" i="61"/>
  <c r="L3687" i="61"/>
  <c r="K3687" i="61"/>
  <c r="P3686" i="61"/>
  <c r="O3686" i="61"/>
  <c r="N3686" i="61"/>
  <c r="M3686" i="61"/>
  <c r="L3686" i="61"/>
  <c r="K3686" i="61"/>
  <c r="P3685" i="61"/>
  <c r="O3685" i="61"/>
  <c r="N3685" i="61"/>
  <c r="M3685" i="61"/>
  <c r="L3685" i="61"/>
  <c r="K3685" i="61"/>
  <c r="P3684" i="61"/>
  <c r="O3684" i="61"/>
  <c r="N3684" i="61"/>
  <c r="M3684" i="61"/>
  <c r="L3684" i="61"/>
  <c r="K3684" i="61"/>
  <c r="P3683" i="61"/>
  <c r="O3683" i="61"/>
  <c r="N3683" i="61"/>
  <c r="M3683" i="61"/>
  <c r="L3683" i="61"/>
  <c r="K3683" i="61"/>
  <c r="P3682" i="61"/>
  <c r="O3682" i="61"/>
  <c r="N3682" i="61"/>
  <c r="M3682" i="61"/>
  <c r="L3682" i="61"/>
  <c r="K3682" i="61"/>
  <c r="P3681" i="61"/>
  <c r="O3681" i="61"/>
  <c r="N3681" i="61"/>
  <c r="M3681" i="61"/>
  <c r="L3681" i="61"/>
  <c r="K3681" i="61"/>
  <c r="P3680" i="61"/>
  <c r="O3680" i="61"/>
  <c r="N3680" i="61"/>
  <c r="M3680" i="61"/>
  <c r="L3680" i="61"/>
  <c r="K3680" i="61"/>
  <c r="P3679" i="61"/>
  <c r="O3679" i="61"/>
  <c r="N3679" i="61"/>
  <c r="M3679" i="61"/>
  <c r="L3679" i="61"/>
  <c r="K3679" i="61"/>
  <c r="P3678" i="61"/>
  <c r="O3678" i="61"/>
  <c r="N3678" i="61"/>
  <c r="M3678" i="61"/>
  <c r="L3678" i="61"/>
  <c r="K3678" i="61"/>
  <c r="P3677" i="61"/>
  <c r="O3677" i="61"/>
  <c r="N3677" i="61"/>
  <c r="M3677" i="61"/>
  <c r="L3677" i="61"/>
  <c r="K3677" i="61"/>
  <c r="P3676" i="61"/>
  <c r="O3676" i="61"/>
  <c r="N3676" i="61"/>
  <c r="M3676" i="61"/>
  <c r="L3676" i="61"/>
  <c r="K3676" i="61"/>
  <c r="P3675" i="61"/>
  <c r="O3675" i="61"/>
  <c r="N3675" i="61"/>
  <c r="M3675" i="61"/>
  <c r="L3675" i="61"/>
  <c r="K3675" i="61"/>
  <c r="P3674" i="61"/>
  <c r="O3674" i="61"/>
  <c r="N3674" i="61"/>
  <c r="M3674" i="61"/>
  <c r="L3674" i="61"/>
  <c r="K3674" i="61"/>
  <c r="P3673" i="61"/>
  <c r="O3673" i="61"/>
  <c r="N3673" i="61"/>
  <c r="M3673" i="61"/>
  <c r="L3673" i="61"/>
  <c r="K3673" i="61"/>
  <c r="P3672" i="61"/>
  <c r="O3672" i="61"/>
  <c r="N3672" i="61"/>
  <c r="M3672" i="61"/>
  <c r="L3672" i="61"/>
  <c r="K3672" i="61"/>
  <c r="P3671" i="61"/>
  <c r="O3671" i="61"/>
  <c r="N3671" i="61"/>
  <c r="M3671" i="61"/>
  <c r="L3671" i="61"/>
  <c r="K3671" i="61"/>
  <c r="P3670" i="61"/>
  <c r="O3670" i="61"/>
  <c r="N3670" i="61"/>
  <c r="M3670" i="61"/>
  <c r="L3670" i="61"/>
  <c r="K3670" i="61"/>
  <c r="P3669" i="61"/>
  <c r="O3669" i="61"/>
  <c r="N3669" i="61"/>
  <c r="M3669" i="61"/>
  <c r="L3669" i="61"/>
  <c r="K3669" i="61"/>
  <c r="P3668" i="61"/>
  <c r="O3668" i="61"/>
  <c r="N3668" i="61"/>
  <c r="M3668" i="61"/>
  <c r="L3668" i="61"/>
  <c r="K3668" i="61"/>
  <c r="P3667" i="61"/>
  <c r="O3667" i="61"/>
  <c r="N3667" i="61"/>
  <c r="M3667" i="61"/>
  <c r="L3667" i="61"/>
  <c r="K3667" i="61"/>
  <c r="P3666" i="61"/>
  <c r="O3666" i="61"/>
  <c r="N3666" i="61"/>
  <c r="M3666" i="61"/>
  <c r="L3666" i="61"/>
  <c r="K3666" i="61"/>
  <c r="P3665" i="61"/>
  <c r="O3665" i="61"/>
  <c r="N3665" i="61"/>
  <c r="M3665" i="61"/>
  <c r="L3665" i="61"/>
  <c r="K3665" i="61"/>
  <c r="P3664" i="61"/>
  <c r="O3664" i="61"/>
  <c r="N3664" i="61"/>
  <c r="M3664" i="61"/>
  <c r="L3664" i="61"/>
  <c r="K3664" i="61"/>
  <c r="P3663" i="61"/>
  <c r="O3663" i="61"/>
  <c r="N3663" i="61"/>
  <c r="M3663" i="61"/>
  <c r="L3663" i="61"/>
  <c r="K3663" i="61"/>
  <c r="P3662" i="61"/>
  <c r="O3662" i="61"/>
  <c r="N3662" i="61"/>
  <c r="M3662" i="61"/>
  <c r="L3662" i="61"/>
  <c r="K3662" i="61"/>
  <c r="P3661" i="61"/>
  <c r="O3661" i="61"/>
  <c r="N3661" i="61"/>
  <c r="M3661" i="61"/>
  <c r="L3661" i="61"/>
  <c r="K3661" i="61"/>
  <c r="P3660" i="61"/>
  <c r="O3660" i="61"/>
  <c r="N3660" i="61"/>
  <c r="M3660" i="61"/>
  <c r="L3660" i="61"/>
  <c r="K3660" i="61"/>
  <c r="P3659" i="61"/>
  <c r="O3659" i="61"/>
  <c r="N3659" i="61"/>
  <c r="M3659" i="61"/>
  <c r="L3659" i="61"/>
  <c r="K3659" i="61"/>
  <c r="P3658" i="61"/>
  <c r="O3658" i="61"/>
  <c r="N3658" i="61"/>
  <c r="M3658" i="61"/>
  <c r="L3658" i="61"/>
  <c r="K3658" i="61"/>
  <c r="P3657" i="61"/>
  <c r="O3657" i="61"/>
  <c r="N3657" i="61"/>
  <c r="M3657" i="61"/>
  <c r="L3657" i="61"/>
  <c r="K3657" i="61"/>
  <c r="P3656" i="61"/>
  <c r="O3656" i="61"/>
  <c r="N3656" i="61"/>
  <c r="M3656" i="61"/>
  <c r="L3656" i="61"/>
  <c r="K3656" i="61"/>
  <c r="P3655" i="61"/>
  <c r="O3655" i="61"/>
  <c r="N3655" i="61"/>
  <c r="M3655" i="61"/>
  <c r="L3655" i="61"/>
  <c r="K3655" i="61"/>
  <c r="P3654" i="61"/>
  <c r="O3654" i="61"/>
  <c r="N3654" i="61"/>
  <c r="M3654" i="61"/>
  <c r="L3654" i="61"/>
  <c r="K3654" i="61"/>
  <c r="P3653" i="61"/>
  <c r="O3653" i="61"/>
  <c r="N3653" i="61"/>
  <c r="M3653" i="61"/>
  <c r="L3653" i="61"/>
  <c r="K3653" i="61"/>
  <c r="P3652" i="61"/>
  <c r="O3652" i="61"/>
  <c r="N3652" i="61"/>
  <c r="M3652" i="61"/>
  <c r="L3652" i="61"/>
  <c r="K3652" i="61"/>
  <c r="P3651" i="61"/>
  <c r="O3651" i="61"/>
  <c r="N3651" i="61"/>
  <c r="M3651" i="61"/>
  <c r="L3651" i="61"/>
  <c r="K3651" i="61"/>
  <c r="P3650" i="61"/>
  <c r="O3650" i="61"/>
  <c r="N3650" i="61"/>
  <c r="M3650" i="61"/>
  <c r="L3650" i="61"/>
  <c r="K3650" i="61"/>
  <c r="P3649" i="61"/>
  <c r="O3649" i="61"/>
  <c r="N3649" i="61"/>
  <c r="M3649" i="61"/>
  <c r="L3649" i="61"/>
  <c r="K3649" i="61"/>
  <c r="P3648" i="61"/>
  <c r="O3648" i="61"/>
  <c r="N3648" i="61"/>
  <c r="M3648" i="61"/>
  <c r="L3648" i="61"/>
  <c r="K3648" i="61"/>
  <c r="P3647" i="61"/>
  <c r="O3647" i="61"/>
  <c r="N3647" i="61"/>
  <c r="M3647" i="61"/>
  <c r="L3647" i="61"/>
  <c r="K3647" i="61"/>
  <c r="P3646" i="61"/>
  <c r="O3646" i="61"/>
  <c r="N3646" i="61"/>
  <c r="M3646" i="61"/>
  <c r="L3646" i="61"/>
  <c r="K3646" i="61"/>
  <c r="P3645" i="61"/>
  <c r="O3645" i="61"/>
  <c r="N3645" i="61"/>
  <c r="M3645" i="61"/>
  <c r="L3645" i="61"/>
  <c r="K3645" i="61"/>
  <c r="P3644" i="61"/>
  <c r="O3644" i="61"/>
  <c r="N3644" i="61"/>
  <c r="M3644" i="61"/>
  <c r="L3644" i="61"/>
  <c r="K3644" i="61"/>
  <c r="P3643" i="61"/>
  <c r="O3643" i="61"/>
  <c r="N3643" i="61"/>
  <c r="M3643" i="61"/>
  <c r="L3643" i="61"/>
  <c r="K3643" i="61"/>
  <c r="P3642" i="61"/>
  <c r="O3642" i="61"/>
  <c r="N3642" i="61"/>
  <c r="M3642" i="61"/>
  <c r="L3642" i="61"/>
  <c r="K3642" i="61"/>
  <c r="P3641" i="61"/>
  <c r="O3641" i="61"/>
  <c r="N3641" i="61"/>
  <c r="M3641" i="61"/>
  <c r="L3641" i="61"/>
  <c r="K3641" i="61"/>
  <c r="P3640" i="61"/>
  <c r="O3640" i="61"/>
  <c r="N3640" i="61"/>
  <c r="M3640" i="61"/>
  <c r="L3640" i="61"/>
  <c r="K3640" i="61"/>
  <c r="P3639" i="61"/>
  <c r="O3639" i="61"/>
  <c r="N3639" i="61"/>
  <c r="M3639" i="61"/>
  <c r="L3639" i="61"/>
  <c r="K3639" i="61"/>
  <c r="P3638" i="61"/>
  <c r="O3638" i="61"/>
  <c r="N3638" i="61"/>
  <c r="M3638" i="61"/>
  <c r="L3638" i="61"/>
  <c r="K3638" i="61"/>
  <c r="P3637" i="61"/>
  <c r="O3637" i="61"/>
  <c r="N3637" i="61"/>
  <c r="M3637" i="61"/>
  <c r="L3637" i="61"/>
  <c r="K3637" i="61"/>
  <c r="P3636" i="61"/>
  <c r="O3636" i="61"/>
  <c r="N3636" i="61"/>
  <c r="M3636" i="61"/>
  <c r="L3636" i="61"/>
  <c r="K3636" i="61"/>
  <c r="P3635" i="61"/>
  <c r="O3635" i="61"/>
  <c r="N3635" i="61"/>
  <c r="M3635" i="61"/>
  <c r="L3635" i="61"/>
  <c r="K3635" i="61"/>
  <c r="P3634" i="61"/>
  <c r="O3634" i="61"/>
  <c r="N3634" i="61"/>
  <c r="M3634" i="61"/>
  <c r="L3634" i="61"/>
  <c r="K3634" i="61"/>
  <c r="P3633" i="61"/>
  <c r="O3633" i="61"/>
  <c r="N3633" i="61"/>
  <c r="M3633" i="61"/>
  <c r="L3633" i="61"/>
  <c r="K3633" i="61"/>
  <c r="P3632" i="61"/>
  <c r="O3632" i="61"/>
  <c r="N3632" i="61"/>
  <c r="M3632" i="61"/>
  <c r="L3632" i="61"/>
  <c r="K3632" i="61"/>
  <c r="P3631" i="61"/>
  <c r="O3631" i="61"/>
  <c r="N3631" i="61"/>
  <c r="M3631" i="61"/>
  <c r="L3631" i="61"/>
  <c r="K3631" i="61"/>
  <c r="P3630" i="61"/>
  <c r="O3630" i="61"/>
  <c r="N3630" i="61"/>
  <c r="M3630" i="61"/>
  <c r="L3630" i="61"/>
  <c r="K3630" i="61"/>
  <c r="P3629" i="61"/>
  <c r="O3629" i="61"/>
  <c r="N3629" i="61"/>
  <c r="M3629" i="61"/>
  <c r="L3629" i="61"/>
  <c r="K3629" i="61"/>
  <c r="P3628" i="61"/>
  <c r="O3628" i="61"/>
  <c r="N3628" i="61"/>
  <c r="M3628" i="61"/>
  <c r="L3628" i="61"/>
  <c r="K3628" i="61"/>
  <c r="P3627" i="61"/>
  <c r="O3627" i="61"/>
  <c r="N3627" i="61"/>
  <c r="M3627" i="61"/>
  <c r="L3627" i="61"/>
  <c r="K3627" i="61"/>
  <c r="P3626" i="61"/>
  <c r="O3626" i="61"/>
  <c r="N3626" i="61"/>
  <c r="M3626" i="61"/>
  <c r="L3626" i="61"/>
  <c r="K3626" i="61"/>
  <c r="P3625" i="61"/>
  <c r="O3625" i="61"/>
  <c r="N3625" i="61"/>
  <c r="M3625" i="61"/>
  <c r="L3625" i="61"/>
  <c r="K3625" i="61"/>
  <c r="P3624" i="61"/>
  <c r="O3624" i="61"/>
  <c r="N3624" i="61"/>
  <c r="M3624" i="61"/>
  <c r="L3624" i="61"/>
  <c r="K3624" i="61"/>
  <c r="P3623" i="61"/>
  <c r="O3623" i="61"/>
  <c r="N3623" i="61"/>
  <c r="M3623" i="61"/>
  <c r="L3623" i="61"/>
  <c r="K3623" i="61"/>
  <c r="P3622" i="61"/>
  <c r="O3622" i="61"/>
  <c r="N3622" i="61"/>
  <c r="M3622" i="61"/>
  <c r="L3622" i="61"/>
  <c r="K3622" i="61"/>
  <c r="P3621" i="61"/>
  <c r="O3621" i="61"/>
  <c r="N3621" i="61"/>
  <c r="M3621" i="61"/>
  <c r="L3621" i="61"/>
  <c r="K3621" i="61"/>
  <c r="P3620" i="61"/>
  <c r="O3620" i="61"/>
  <c r="N3620" i="61"/>
  <c r="M3620" i="61"/>
  <c r="L3620" i="61"/>
  <c r="K3620" i="61"/>
  <c r="P3619" i="61"/>
  <c r="O3619" i="61"/>
  <c r="N3619" i="61"/>
  <c r="M3619" i="61"/>
  <c r="L3619" i="61"/>
  <c r="K3619" i="61"/>
  <c r="P3618" i="61"/>
  <c r="O3618" i="61"/>
  <c r="N3618" i="61"/>
  <c r="M3618" i="61"/>
  <c r="L3618" i="61"/>
  <c r="K3618" i="61"/>
  <c r="P3617" i="61"/>
  <c r="O3617" i="61"/>
  <c r="N3617" i="61"/>
  <c r="M3617" i="61"/>
  <c r="L3617" i="61"/>
  <c r="K3617" i="61"/>
  <c r="P3616" i="61"/>
  <c r="O3616" i="61"/>
  <c r="N3616" i="61"/>
  <c r="M3616" i="61"/>
  <c r="L3616" i="61"/>
  <c r="K3616" i="61"/>
  <c r="P3615" i="61"/>
  <c r="O3615" i="61"/>
  <c r="N3615" i="61"/>
  <c r="M3615" i="61"/>
  <c r="L3615" i="61"/>
  <c r="K3615" i="61"/>
  <c r="P3614" i="61"/>
  <c r="O3614" i="61"/>
  <c r="N3614" i="61"/>
  <c r="M3614" i="61"/>
  <c r="L3614" i="61"/>
  <c r="K3614" i="61"/>
  <c r="P3613" i="61"/>
  <c r="O3613" i="61"/>
  <c r="N3613" i="61"/>
  <c r="M3613" i="61"/>
  <c r="L3613" i="61"/>
  <c r="K3613" i="61"/>
  <c r="P3612" i="61"/>
  <c r="O3612" i="61"/>
  <c r="N3612" i="61"/>
  <c r="M3612" i="61"/>
  <c r="L3612" i="61"/>
  <c r="K3612" i="61"/>
  <c r="P3611" i="61"/>
  <c r="O3611" i="61"/>
  <c r="N3611" i="61"/>
  <c r="M3611" i="61"/>
  <c r="L3611" i="61"/>
  <c r="K3611" i="61"/>
  <c r="P3610" i="61"/>
  <c r="O3610" i="61"/>
  <c r="N3610" i="61"/>
  <c r="M3610" i="61"/>
  <c r="L3610" i="61"/>
  <c r="K3610" i="61"/>
  <c r="P3609" i="61"/>
  <c r="O3609" i="61"/>
  <c r="N3609" i="61"/>
  <c r="M3609" i="61"/>
  <c r="L3609" i="61"/>
  <c r="K3609" i="61"/>
  <c r="P3608" i="61"/>
  <c r="O3608" i="61"/>
  <c r="N3608" i="61"/>
  <c r="M3608" i="61"/>
  <c r="L3608" i="61"/>
  <c r="K3608" i="61"/>
  <c r="P3607" i="61"/>
  <c r="O3607" i="61"/>
  <c r="N3607" i="61"/>
  <c r="M3607" i="61"/>
  <c r="L3607" i="61"/>
  <c r="K3607" i="61"/>
  <c r="P3606" i="61"/>
  <c r="O3606" i="61"/>
  <c r="N3606" i="61"/>
  <c r="M3606" i="61"/>
  <c r="L3606" i="61"/>
  <c r="K3606" i="61"/>
  <c r="P3605" i="61"/>
  <c r="O3605" i="61"/>
  <c r="N3605" i="61"/>
  <c r="M3605" i="61"/>
  <c r="L3605" i="61"/>
  <c r="K3605" i="61"/>
  <c r="P3604" i="61"/>
  <c r="O3604" i="61"/>
  <c r="N3604" i="61"/>
  <c r="M3604" i="61"/>
  <c r="L3604" i="61"/>
  <c r="K3604" i="61"/>
  <c r="P3603" i="61"/>
  <c r="O3603" i="61"/>
  <c r="N3603" i="61"/>
  <c r="M3603" i="61"/>
  <c r="L3603" i="61"/>
  <c r="K3603" i="61"/>
  <c r="P3602" i="61"/>
  <c r="O3602" i="61"/>
  <c r="N3602" i="61"/>
  <c r="M3602" i="61"/>
  <c r="L3602" i="61"/>
  <c r="K3602" i="61"/>
  <c r="P3601" i="61"/>
  <c r="O3601" i="61"/>
  <c r="N3601" i="61"/>
  <c r="M3601" i="61"/>
  <c r="L3601" i="61"/>
  <c r="K3601" i="61"/>
  <c r="P3600" i="61"/>
  <c r="O3600" i="61"/>
  <c r="N3600" i="61"/>
  <c r="M3600" i="61"/>
  <c r="L3600" i="61"/>
  <c r="K3600" i="61"/>
  <c r="P3599" i="61"/>
  <c r="O3599" i="61"/>
  <c r="N3599" i="61"/>
  <c r="M3599" i="61"/>
  <c r="L3599" i="61"/>
  <c r="K3599" i="61"/>
  <c r="P3598" i="61"/>
  <c r="O3598" i="61"/>
  <c r="N3598" i="61"/>
  <c r="M3598" i="61"/>
  <c r="L3598" i="61"/>
  <c r="K3598" i="61"/>
  <c r="P3597" i="61"/>
  <c r="O3597" i="61"/>
  <c r="N3597" i="61"/>
  <c r="M3597" i="61"/>
  <c r="L3597" i="61"/>
  <c r="K3597" i="61"/>
  <c r="P3596" i="61"/>
  <c r="O3596" i="61"/>
  <c r="N3596" i="61"/>
  <c r="M3596" i="61"/>
  <c r="L3596" i="61"/>
  <c r="K3596" i="61"/>
  <c r="P3595" i="61"/>
  <c r="O3595" i="61"/>
  <c r="N3595" i="61"/>
  <c r="M3595" i="61"/>
  <c r="L3595" i="61"/>
  <c r="K3595" i="61"/>
  <c r="P3594" i="61"/>
  <c r="O3594" i="61"/>
  <c r="N3594" i="61"/>
  <c r="M3594" i="61"/>
  <c r="L3594" i="61"/>
  <c r="K3594" i="61"/>
  <c r="P3593" i="61"/>
  <c r="O3593" i="61"/>
  <c r="N3593" i="61"/>
  <c r="M3593" i="61"/>
  <c r="L3593" i="61"/>
  <c r="K3593" i="61"/>
  <c r="P3592" i="61"/>
  <c r="O3592" i="61"/>
  <c r="N3592" i="61"/>
  <c r="M3592" i="61"/>
  <c r="L3592" i="61"/>
  <c r="K3592" i="61"/>
  <c r="P3591" i="61"/>
  <c r="O3591" i="61"/>
  <c r="N3591" i="61"/>
  <c r="M3591" i="61"/>
  <c r="L3591" i="61"/>
  <c r="K3591" i="61"/>
  <c r="P3590" i="61"/>
  <c r="O3590" i="61"/>
  <c r="N3590" i="61"/>
  <c r="M3590" i="61"/>
  <c r="L3590" i="61"/>
  <c r="K3590" i="61"/>
  <c r="P3589" i="61"/>
  <c r="O3589" i="61"/>
  <c r="N3589" i="61"/>
  <c r="M3589" i="61"/>
  <c r="L3589" i="61"/>
  <c r="K3589" i="61"/>
  <c r="P3588" i="61"/>
  <c r="O3588" i="61"/>
  <c r="N3588" i="61"/>
  <c r="M3588" i="61"/>
  <c r="L3588" i="61"/>
  <c r="K3588" i="61"/>
  <c r="P3587" i="61"/>
  <c r="O3587" i="61"/>
  <c r="N3587" i="61"/>
  <c r="M3587" i="61"/>
  <c r="L3587" i="61"/>
  <c r="K3587" i="61"/>
  <c r="P3586" i="61"/>
  <c r="O3586" i="61"/>
  <c r="N3586" i="61"/>
  <c r="M3586" i="61"/>
  <c r="L3586" i="61"/>
  <c r="K3586" i="61"/>
  <c r="P3585" i="61"/>
  <c r="O3585" i="61"/>
  <c r="N3585" i="61"/>
  <c r="M3585" i="61"/>
  <c r="L3585" i="61"/>
  <c r="K3585" i="61"/>
  <c r="P3584" i="61"/>
  <c r="O3584" i="61"/>
  <c r="N3584" i="61"/>
  <c r="M3584" i="61"/>
  <c r="L3584" i="61"/>
  <c r="K3584" i="61"/>
  <c r="P3583" i="61"/>
  <c r="O3583" i="61"/>
  <c r="N3583" i="61"/>
  <c r="M3583" i="61"/>
  <c r="L3583" i="61"/>
  <c r="K3583" i="61"/>
  <c r="P3582" i="61"/>
  <c r="O3582" i="61"/>
  <c r="N3582" i="61"/>
  <c r="M3582" i="61"/>
  <c r="L3582" i="61"/>
  <c r="K3582" i="61"/>
  <c r="P3581" i="61"/>
  <c r="O3581" i="61"/>
  <c r="N3581" i="61"/>
  <c r="M3581" i="61"/>
  <c r="L3581" i="61"/>
  <c r="K3581" i="61"/>
  <c r="P3580" i="61"/>
  <c r="O3580" i="61"/>
  <c r="N3580" i="61"/>
  <c r="M3580" i="61"/>
  <c r="L3580" i="61"/>
  <c r="K3580" i="61"/>
  <c r="P3579" i="61"/>
  <c r="O3579" i="61"/>
  <c r="N3579" i="61"/>
  <c r="M3579" i="61"/>
  <c r="L3579" i="61"/>
  <c r="K3579" i="61"/>
  <c r="P3578" i="61"/>
  <c r="O3578" i="61"/>
  <c r="N3578" i="61"/>
  <c r="M3578" i="61"/>
  <c r="L3578" i="61"/>
  <c r="K3578" i="61"/>
  <c r="P3577" i="61"/>
  <c r="O3577" i="61"/>
  <c r="N3577" i="61"/>
  <c r="M3577" i="61"/>
  <c r="L3577" i="61"/>
  <c r="K3577" i="61"/>
  <c r="P3576" i="61"/>
  <c r="O3576" i="61"/>
  <c r="N3576" i="61"/>
  <c r="M3576" i="61"/>
  <c r="L3576" i="61"/>
  <c r="K3576" i="61"/>
  <c r="P3575" i="61"/>
  <c r="O3575" i="61"/>
  <c r="N3575" i="61"/>
  <c r="M3575" i="61"/>
  <c r="L3575" i="61"/>
  <c r="K3575" i="61"/>
  <c r="P3574" i="61"/>
  <c r="O3574" i="61"/>
  <c r="N3574" i="61"/>
  <c r="M3574" i="61"/>
  <c r="L3574" i="61"/>
  <c r="K3574" i="61"/>
  <c r="P3573" i="61"/>
  <c r="O3573" i="61"/>
  <c r="N3573" i="61"/>
  <c r="M3573" i="61"/>
  <c r="L3573" i="61"/>
  <c r="K3573" i="61"/>
  <c r="P3572" i="61"/>
  <c r="O3572" i="61"/>
  <c r="N3572" i="61"/>
  <c r="M3572" i="61"/>
  <c r="L3572" i="61"/>
  <c r="K3572" i="61"/>
  <c r="P3571" i="61"/>
  <c r="O3571" i="61"/>
  <c r="N3571" i="61"/>
  <c r="M3571" i="61"/>
  <c r="L3571" i="61"/>
  <c r="K3571" i="61"/>
  <c r="P3570" i="61"/>
  <c r="O3570" i="61"/>
  <c r="N3570" i="61"/>
  <c r="M3570" i="61"/>
  <c r="L3570" i="61"/>
  <c r="K3570" i="61"/>
  <c r="P3569" i="61"/>
  <c r="O3569" i="61"/>
  <c r="N3569" i="61"/>
  <c r="M3569" i="61"/>
  <c r="L3569" i="61"/>
  <c r="K3569" i="61"/>
  <c r="P3568" i="61"/>
  <c r="O3568" i="61"/>
  <c r="N3568" i="61"/>
  <c r="M3568" i="61"/>
  <c r="L3568" i="61"/>
  <c r="K3568" i="61"/>
  <c r="P3567" i="61"/>
  <c r="O3567" i="61"/>
  <c r="N3567" i="61"/>
  <c r="M3567" i="61"/>
  <c r="L3567" i="61"/>
  <c r="K3567" i="61"/>
  <c r="P3566" i="61"/>
  <c r="O3566" i="61"/>
  <c r="N3566" i="61"/>
  <c r="M3566" i="61"/>
  <c r="L3566" i="61"/>
  <c r="K3566" i="61"/>
  <c r="P3565" i="61"/>
  <c r="O3565" i="61"/>
  <c r="N3565" i="61"/>
  <c r="M3565" i="61"/>
  <c r="L3565" i="61"/>
  <c r="K3565" i="61"/>
  <c r="P3564" i="61"/>
  <c r="O3564" i="61"/>
  <c r="N3564" i="61"/>
  <c r="M3564" i="61"/>
  <c r="L3564" i="61"/>
  <c r="K3564" i="61"/>
  <c r="P3563" i="61"/>
  <c r="O3563" i="61"/>
  <c r="N3563" i="61"/>
  <c r="M3563" i="61"/>
  <c r="L3563" i="61"/>
  <c r="K3563" i="61"/>
  <c r="P3562" i="61"/>
  <c r="O3562" i="61"/>
  <c r="N3562" i="61"/>
  <c r="M3562" i="61"/>
  <c r="L3562" i="61"/>
  <c r="K3562" i="61"/>
  <c r="P3561" i="61"/>
  <c r="O3561" i="61"/>
  <c r="N3561" i="61"/>
  <c r="M3561" i="61"/>
  <c r="L3561" i="61"/>
  <c r="K3561" i="61"/>
  <c r="P3560" i="61"/>
  <c r="O3560" i="61"/>
  <c r="N3560" i="61"/>
  <c r="M3560" i="61"/>
  <c r="L3560" i="61"/>
  <c r="K3560" i="61"/>
  <c r="P3559" i="61"/>
  <c r="O3559" i="61"/>
  <c r="N3559" i="61"/>
  <c r="M3559" i="61"/>
  <c r="L3559" i="61"/>
  <c r="K3559" i="61"/>
  <c r="P3558" i="61"/>
  <c r="O3558" i="61"/>
  <c r="N3558" i="61"/>
  <c r="M3558" i="61"/>
  <c r="L3558" i="61"/>
  <c r="K3558" i="61"/>
  <c r="P3557" i="61"/>
  <c r="O3557" i="61"/>
  <c r="N3557" i="61"/>
  <c r="M3557" i="61"/>
  <c r="L3557" i="61"/>
  <c r="K3557" i="61"/>
  <c r="P3556" i="61"/>
  <c r="O3556" i="61"/>
  <c r="N3556" i="61"/>
  <c r="M3556" i="61"/>
  <c r="L3556" i="61"/>
  <c r="K3556" i="61"/>
  <c r="P3555" i="61"/>
  <c r="O3555" i="61"/>
  <c r="N3555" i="61"/>
  <c r="M3555" i="61"/>
  <c r="L3555" i="61"/>
  <c r="K3555" i="61"/>
  <c r="P3554" i="61"/>
  <c r="O3554" i="61"/>
  <c r="N3554" i="61"/>
  <c r="M3554" i="61"/>
  <c r="L3554" i="61"/>
  <c r="K3554" i="61"/>
  <c r="P3553" i="61"/>
  <c r="O3553" i="61"/>
  <c r="N3553" i="61"/>
  <c r="M3553" i="61"/>
  <c r="L3553" i="61"/>
  <c r="K3553" i="61"/>
  <c r="P3552" i="61"/>
  <c r="O3552" i="61"/>
  <c r="N3552" i="61"/>
  <c r="M3552" i="61"/>
  <c r="L3552" i="61"/>
  <c r="K3552" i="61"/>
  <c r="P3551" i="61"/>
  <c r="O3551" i="61"/>
  <c r="N3551" i="61"/>
  <c r="M3551" i="61"/>
  <c r="L3551" i="61"/>
  <c r="K3551" i="61"/>
  <c r="P3550" i="61"/>
  <c r="O3550" i="61"/>
  <c r="N3550" i="61"/>
  <c r="M3550" i="61"/>
  <c r="L3550" i="61"/>
  <c r="K3550" i="61"/>
  <c r="P3549" i="61"/>
  <c r="O3549" i="61"/>
  <c r="N3549" i="61"/>
  <c r="M3549" i="61"/>
  <c r="L3549" i="61"/>
  <c r="K3549" i="61"/>
  <c r="P3548" i="61"/>
  <c r="O3548" i="61"/>
  <c r="N3548" i="61"/>
  <c r="M3548" i="61"/>
  <c r="L3548" i="61"/>
  <c r="K3548" i="61"/>
  <c r="P3547" i="61"/>
  <c r="O3547" i="61"/>
  <c r="N3547" i="61"/>
  <c r="M3547" i="61"/>
  <c r="L3547" i="61"/>
  <c r="K3547" i="61"/>
  <c r="P3546" i="61"/>
  <c r="O3546" i="61"/>
  <c r="N3546" i="61"/>
  <c r="M3546" i="61"/>
  <c r="L3546" i="61"/>
  <c r="K3546" i="61"/>
  <c r="P3545" i="61"/>
  <c r="O3545" i="61"/>
  <c r="N3545" i="61"/>
  <c r="M3545" i="61"/>
  <c r="L3545" i="61"/>
  <c r="K3545" i="61"/>
  <c r="P3544" i="61"/>
  <c r="O3544" i="61"/>
  <c r="N3544" i="61"/>
  <c r="M3544" i="61"/>
  <c r="L3544" i="61"/>
  <c r="K3544" i="61"/>
  <c r="P3543" i="61"/>
  <c r="O3543" i="61"/>
  <c r="N3543" i="61"/>
  <c r="M3543" i="61"/>
  <c r="L3543" i="61"/>
  <c r="K3543" i="61"/>
  <c r="P3542" i="61"/>
  <c r="O3542" i="61"/>
  <c r="N3542" i="61"/>
  <c r="M3542" i="61"/>
  <c r="L3542" i="61"/>
  <c r="K3542" i="61"/>
  <c r="P3541" i="61"/>
  <c r="O3541" i="61"/>
  <c r="N3541" i="61"/>
  <c r="M3541" i="61"/>
  <c r="L3541" i="61"/>
  <c r="K3541" i="61"/>
  <c r="P3540" i="61"/>
  <c r="O3540" i="61"/>
  <c r="N3540" i="61"/>
  <c r="M3540" i="61"/>
  <c r="L3540" i="61"/>
  <c r="K3540" i="61"/>
  <c r="P3539" i="61"/>
  <c r="O3539" i="61"/>
  <c r="N3539" i="61"/>
  <c r="M3539" i="61"/>
  <c r="L3539" i="61"/>
  <c r="K3539" i="61"/>
  <c r="P3538" i="61"/>
  <c r="O3538" i="61"/>
  <c r="N3538" i="61"/>
  <c r="M3538" i="61"/>
  <c r="L3538" i="61"/>
  <c r="K3538" i="61"/>
  <c r="P3537" i="61"/>
  <c r="O3537" i="61"/>
  <c r="N3537" i="61"/>
  <c r="M3537" i="61"/>
  <c r="L3537" i="61"/>
  <c r="K3537" i="61"/>
  <c r="P3536" i="61"/>
  <c r="O3536" i="61"/>
  <c r="N3536" i="61"/>
  <c r="M3536" i="61"/>
  <c r="L3536" i="61"/>
  <c r="K3536" i="61"/>
  <c r="P3535" i="61"/>
  <c r="O3535" i="61"/>
  <c r="N3535" i="61"/>
  <c r="M3535" i="61"/>
  <c r="L3535" i="61"/>
  <c r="K3535" i="61"/>
  <c r="P3534" i="61"/>
  <c r="O3534" i="61"/>
  <c r="N3534" i="61"/>
  <c r="M3534" i="61"/>
  <c r="L3534" i="61"/>
  <c r="K3534" i="61"/>
  <c r="P3533" i="61"/>
  <c r="O3533" i="61"/>
  <c r="N3533" i="61"/>
  <c r="M3533" i="61"/>
  <c r="L3533" i="61"/>
  <c r="K3533" i="61"/>
  <c r="P3532" i="61"/>
  <c r="O3532" i="61"/>
  <c r="N3532" i="61"/>
  <c r="M3532" i="61"/>
  <c r="L3532" i="61"/>
  <c r="K3532" i="61"/>
  <c r="P3531" i="61"/>
  <c r="O3531" i="61"/>
  <c r="N3531" i="61"/>
  <c r="M3531" i="61"/>
  <c r="L3531" i="61"/>
  <c r="K3531" i="61"/>
  <c r="P3530" i="61"/>
  <c r="O3530" i="61"/>
  <c r="N3530" i="61"/>
  <c r="M3530" i="61"/>
  <c r="L3530" i="61"/>
  <c r="K3530" i="61"/>
  <c r="P3529" i="61"/>
  <c r="O3529" i="61"/>
  <c r="N3529" i="61"/>
  <c r="M3529" i="61"/>
  <c r="L3529" i="61"/>
  <c r="K3529" i="61"/>
  <c r="P3528" i="61"/>
  <c r="O3528" i="61"/>
  <c r="N3528" i="61"/>
  <c r="M3528" i="61"/>
  <c r="L3528" i="61"/>
  <c r="K3528" i="61"/>
  <c r="P3527" i="61"/>
  <c r="O3527" i="61"/>
  <c r="N3527" i="61"/>
  <c r="M3527" i="61"/>
  <c r="L3527" i="61"/>
  <c r="K3527" i="61"/>
  <c r="P3526" i="61"/>
  <c r="O3526" i="61"/>
  <c r="N3526" i="61"/>
  <c r="M3526" i="61"/>
  <c r="L3526" i="61"/>
  <c r="K3526" i="61"/>
  <c r="P3525" i="61"/>
  <c r="O3525" i="61"/>
  <c r="N3525" i="61"/>
  <c r="M3525" i="61"/>
  <c r="L3525" i="61"/>
  <c r="K3525" i="61"/>
  <c r="P3524" i="61"/>
  <c r="O3524" i="61"/>
  <c r="N3524" i="61"/>
  <c r="M3524" i="61"/>
  <c r="L3524" i="61"/>
  <c r="K3524" i="61"/>
  <c r="P3523" i="61"/>
  <c r="O3523" i="61"/>
  <c r="N3523" i="61"/>
  <c r="M3523" i="61"/>
  <c r="L3523" i="61"/>
  <c r="K3523" i="61"/>
  <c r="P3522" i="61"/>
  <c r="O3522" i="61"/>
  <c r="N3522" i="61"/>
  <c r="M3522" i="61"/>
  <c r="L3522" i="61"/>
  <c r="K3522" i="61"/>
  <c r="P3521" i="61"/>
  <c r="O3521" i="61"/>
  <c r="N3521" i="61"/>
  <c r="M3521" i="61"/>
  <c r="L3521" i="61"/>
  <c r="K3521" i="61"/>
  <c r="P3520" i="61"/>
  <c r="O3520" i="61"/>
  <c r="N3520" i="61"/>
  <c r="M3520" i="61"/>
  <c r="L3520" i="61"/>
  <c r="K3520" i="61"/>
  <c r="P3519" i="61"/>
  <c r="O3519" i="61"/>
  <c r="N3519" i="61"/>
  <c r="M3519" i="61"/>
  <c r="L3519" i="61"/>
  <c r="K3519" i="61"/>
  <c r="P3518" i="61"/>
  <c r="O3518" i="61"/>
  <c r="N3518" i="61"/>
  <c r="M3518" i="61"/>
  <c r="L3518" i="61"/>
  <c r="K3518" i="61"/>
  <c r="P3517" i="61"/>
  <c r="O3517" i="61"/>
  <c r="N3517" i="61"/>
  <c r="M3517" i="61"/>
  <c r="L3517" i="61"/>
  <c r="K3517" i="61"/>
  <c r="P3516" i="61"/>
  <c r="O3516" i="61"/>
  <c r="N3516" i="61"/>
  <c r="M3516" i="61"/>
  <c r="L3516" i="61"/>
  <c r="K3516" i="61"/>
  <c r="P3515" i="61"/>
  <c r="O3515" i="61"/>
  <c r="N3515" i="61"/>
  <c r="M3515" i="61"/>
  <c r="L3515" i="61"/>
  <c r="K3515" i="61"/>
  <c r="P3514" i="61"/>
  <c r="O3514" i="61"/>
  <c r="N3514" i="61"/>
  <c r="M3514" i="61"/>
  <c r="L3514" i="61"/>
  <c r="K3514" i="61"/>
  <c r="P3513" i="61"/>
  <c r="O3513" i="61"/>
  <c r="N3513" i="61"/>
  <c r="M3513" i="61"/>
  <c r="L3513" i="61"/>
  <c r="K3513" i="61"/>
  <c r="P3512" i="61"/>
  <c r="O3512" i="61"/>
  <c r="N3512" i="61"/>
  <c r="M3512" i="61"/>
  <c r="L3512" i="61"/>
  <c r="K3512" i="61"/>
  <c r="P3511" i="61"/>
  <c r="O3511" i="61"/>
  <c r="N3511" i="61"/>
  <c r="M3511" i="61"/>
  <c r="L3511" i="61"/>
  <c r="K3511" i="61"/>
  <c r="P3510" i="61"/>
  <c r="O3510" i="61"/>
  <c r="N3510" i="61"/>
  <c r="M3510" i="61"/>
  <c r="L3510" i="61"/>
  <c r="K3510" i="61"/>
  <c r="P3509" i="61"/>
  <c r="O3509" i="61"/>
  <c r="N3509" i="61"/>
  <c r="M3509" i="61"/>
  <c r="L3509" i="61"/>
  <c r="K3509" i="61"/>
  <c r="P3508" i="61"/>
  <c r="O3508" i="61"/>
  <c r="N3508" i="61"/>
  <c r="M3508" i="61"/>
  <c r="L3508" i="61"/>
  <c r="K3508" i="61"/>
  <c r="P3507" i="61"/>
  <c r="O3507" i="61"/>
  <c r="N3507" i="61"/>
  <c r="M3507" i="61"/>
  <c r="L3507" i="61"/>
  <c r="K3507" i="61"/>
  <c r="P3506" i="61"/>
  <c r="O3506" i="61"/>
  <c r="N3506" i="61"/>
  <c r="M3506" i="61"/>
  <c r="L3506" i="61"/>
  <c r="K3506" i="61"/>
  <c r="P3505" i="61"/>
  <c r="O3505" i="61"/>
  <c r="N3505" i="61"/>
  <c r="M3505" i="61"/>
  <c r="L3505" i="61"/>
  <c r="K3505" i="61"/>
  <c r="P3504" i="61"/>
  <c r="O3504" i="61"/>
  <c r="N3504" i="61"/>
  <c r="M3504" i="61"/>
  <c r="L3504" i="61"/>
  <c r="K3504" i="61"/>
  <c r="P3503" i="61"/>
  <c r="O3503" i="61"/>
  <c r="N3503" i="61"/>
  <c r="M3503" i="61"/>
  <c r="L3503" i="61"/>
  <c r="K3503" i="61"/>
  <c r="P3502" i="61"/>
  <c r="O3502" i="61"/>
  <c r="N3502" i="61"/>
  <c r="M3502" i="61"/>
  <c r="L3502" i="61"/>
  <c r="K3502" i="61"/>
  <c r="P3501" i="61"/>
  <c r="O3501" i="61"/>
  <c r="N3501" i="61"/>
  <c r="M3501" i="61"/>
  <c r="L3501" i="61"/>
  <c r="K3501" i="61"/>
  <c r="P3500" i="61"/>
  <c r="O3500" i="61"/>
  <c r="N3500" i="61"/>
  <c r="M3500" i="61"/>
  <c r="L3500" i="61"/>
  <c r="K3500" i="61"/>
  <c r="P3499" i="61"/>
  <c r="O3499" i="61"/>
  <c r="N3499" i="61"/>
  <c r="M3499" i="61"/>
  <c r="L3499" i="61"/>
  <c r="K3499" i="61"/>
  <c r="P3498" i="61"/>
  <c r="O3498" i="61"/>
  <c r="N3498" i="61"/>
  <c r="M3498" i="61"/>
  <c r="L3498" i="61"/>
  <c r="K3498" i="61"/>
  <c r="P3497" i="61"/>
  <c r="O3497" i="61"/>
  <c r="N3497" i="61"/>
  <c r="M3497" i="61"/>
  <c r="L3497" i="61"/>
  <c r="K3497" i="61"/>
  <c r="P3496" i="61"/>
  <c r="O3496" i="61"/>
  <c r="N3496" i="61"/>
  <c r="M3496" i="61"/>
  <c r="L3496" i="61"/>
  <c r="K3496" i="61"/>
  <c r="P3495" i="61"/>
  <c r="O3495" i="61"/>
  <c r="N3495" i="61"/>
  <c r="M3495" i="61"/>
  <c r="L3495" i="61"/>
  <c r="K3495" i="61"/>
  <c r="P3494" i="61"/>
  <c r="O3494" i="61"/>
  <c r="N3494" i="61"/>
  <c r="M3494" i="61"/>
  <c r="L3494" i="61"/>
  <c r="K3494" i="61"/>
  <c r="P3493" i="61"/>
  <c r="O3493" i="61"/>
  <c r="N3493" i="61"/>
  <c r="M3493" i="61"/>
  <c r="L3493" i="61"/>
  <c r="K3493" i="61"/>
  <c r="P3492" i="61"/>
  <c r="O3492" i="61"/>
  <c r="N3492" i="61"/>
  <c r="M3492" i="61"/>
  <c r="L3492" i="61"/>
  <c r="K3492" i="61"/>
  <c r="P3491" i="61"/>
  <c r="O3491" i="61"/>
  <c r="N3491" i="61"/>
  <c r="M3491" i="61"/>
  <c r="L3491" i="61"/>
  <c r="K3491" i="61"/>
  <c r="P3490" i="61"/>
  <c r="O3490" i="61"/>
  <c r="N3490" i="61"/>
  <c r="M3490" i="61"/>
  <c r="L3490" i="61"/>
  <c r="K3490" i="61"/>
  <c r="P3489" i="61"/>
  <c r="O3489" i="61"/>
  <c r="N3489" i="61"/>
  <c r="M3489" i="61"/>
  <c r="L3489" i="61"/>
  <c r="K3489" i="61"/>
  <c r="P3488" i="61"/>
  <c r="O3488" i="61"/>
  <c r="N3488" i="61"/>
  <c r="M3488" i="61"/>
  <c r="L3488" i="61"/>
  <c r="K3488" i="61"/>
  <c r="P3487" i="61"/>
  <c r="O3487" i="61"/>
  <c r="N3487" i="61"/>
  <c r="M3487" i="61"/>
  <c r="L3487" i="61"/>
  <c r="K3487" i="61"/>
  <c r="P3486" i="61"/>
  <c r="O3486" i="61"/>
  <c r="N3486" i="61"/>
  <c r="M3486" i="61"/>
  <c r="L3486" i="61"/>
  <c r="K3486" i="61"/>
  <c r="P3485" i="61"/>
  <c r="O3485" i="61"/>
  <c r="N3485" i="61"/>
  <c r="M3485" i="61"/>
  <c r="L3485" i="61"/>
  <c r="K3485" i="61"/>
  <c r="P3484" i="61"/>
  <c r="O3484" i="61"/>
  <c r="N3484" i="61"/>
  <c r="M3484" i="61"/>
  <c r="L3484" i="61"/>
  <c r="K3484" i="61"/>
  <c r="P3483" i="61"/>
  <c r="O3483" i="61"/>
  <c r="N3483" i="61"/>
  <c r="M3483" i="61"/>
  <c r="L3483" i="61"/>
  <c r="K3483" i="61"/>
  <c r="P3482" i="61"/>
  <c r="O3482" i="61"/>
  <c r="N3482" i="61"/>
  <c r="M3482" i="61"/>
  <c r="L3482" i="61"/>
  <c r="K3482" i="61"/>
  <c r="P3481" i="61"/>
  <c r="O3481" i="61"/>
  <c r="N3481" i="61"/>
  <c r="M3481" i="61"/>
  <c r="L3481" i="61"/>
  <c r="K3481" i="61"/>
  <c r="P3480" i="61"/>
  <c r="O3480" i="61"/>
  <c r="N3480" i="61"/>
  <c r="M3480" i="61"/>
  <c r="L3480" i="61"/>
  <c r="K3480" i="61"/>
  <c r="P3479" i="61"/>
  <c r="O3479" i="61"/>
  <c r="N3479" i="61"/>
  <c r="M3479" i="61"/>
  <c r="L3479" i="61"/>
  <c r="K3479" i="61"/>
  <c r="P3478" i="61"/>
  <c r="O3478" i="61"/>
  <c r="N3478" i="61"/>
  <c r="M3478" i="61"/>
  <c r="L3478" i="61"/>
  <c r="K3478" i="61"/>
  <c r="P3477" i="61"/>
  <c r="O3477" i="61"/>
  <c r="N3477" i="61"/>
  <c r="M3477" i="61"/>
  <c r="L3477" i="61"/>
  <c r="K3477" i="61"/>
  <c r="P3476" i="61"/>
  <c r="O3476" i="61"/>
  <c r="N3476" i="61"/>
  <c r="M3476" i="61"/>
  <c r="L3476" i="61"/>
  <c r="K3476" i="61"/>
  <c r="P3475" i="61"/>
  <c r="O3475" i="61"/>
  <c r="N3475" i="61"/>
  <c r="M3475" i="61"/>
  <c r="L3475" i="61"/>
  <c r="K3475" i="61"/>
  <c r="P3474" i="61"/>
  <c r="O3474" i="61"/>
  <c r="N3474" i="61"/>
  <c r="M3474" i="61"/>
  <c r="L3474" i="61"/>
  <c r="K3474" i="61"/>
  <c r="P3473" i="61"/>
  <c r="O3473" i="61"/>
  <c r="N3473" i="61"/>
  <c r="M3473" i="61"/>
  <c r="L3473" i="61"/>
  <c r="K3473" i="61"/>
  <c r="P3472" i="61"/>
  <c r="O3472" i="61"/>
  <c r="N3472" i="61"/>
  <c r="M3472" i="61"/>
  <c r="L3472" i="61"/>
  <c r="K3472" i="61"/>
  <c r="P3471" i="61"/>
  <c r="O3471" i="61"/>
  <c r="N3471" i="61"/>
  <c r="M3471" i="61"/>
  <c r="L3471" i="61"/>
  <c r="K3471" i="61"/>
  <c r="P3470" i="61"/>
  <c r="O3470" i="61"/>
  <c r="N3470" i="61"/>
  <c r="M3470" i="61"/>
  <c r="L3470" i="61"/>
  <c r="K3470" i="61"/>
  <c r="P3469" i="61"/>
  <c r="O3469" i="61"/>
  <c r="N3469" i="61"/>
  <c r="M3469" i="61"/>
  <c r="L3469" i="61"/>
  <c r="K3469" i="61"/>
  <c r="P3468" i="61"/>
  <c r="O3468" i="61"/>
  <c r="N3468" i="61"/>
  <c r="M3468" i="61"/>
  <c r="L3468" i="61"/>
  <c r="K3468" i="61"/>
  <c r="P3467" i="61"/>
  <c r="O3467" i="61"/>
  <c r="N3467" i="61"/>
  <c r="M3467" i="61"/>
  <c r="L3467" i="61"/>
  <c r="K3467" i="61"/>
  <c r="P3466" i="61"/>
  <c r="O3466" i="61"/>
  <c r="N3466" i="61"/>
  <c r="M3466" i="61"/>
  <c r="L3466" i="61"/>
  <c r="K3466" i="61"/>
  <c r="P3465" i="61"/>
  <c r="O3465" i="61"/>
  <c r="N3465" i="61"/>
  <c r="M3465" i="61"/>
  <c r="L3465" i="61"/>
  <c r="K3465" i="61"/>
  <c r="P3464" i="61"/>
  <c r="O3464" i="61"/>
  <c r="N3464" i="61"/>
  <c r="M3464" i="61"/>
  <c r="L3464" i="61"/>
  <c r="K3464" i="61"/>
  <c r="P3463" i="61"/>
  <c r="O3463" i="61"/>
  <c r="N3463" i="61"/>
  <c r="M3463" i="61"/>
  <c r="L3463" i="61"/>
  <c r="K3463" i="61"/>
  <c r="P3462" i="61"/>
  <c r="O3462" i="61"/>
  <c r="N3462" i="61"/>
  <c r="M3462" i="61"/>
  <c r="L3462" i="61"/>
  <c r="K3462" i="61"/>
  <c r="P3461" i="61"/>
  <c r="O3461" i="61"/>
  <c r="N3461" i="61"/>
  <c r="M3461" i="61"/>
  <c r="L3461" i="61"/>
  <c r="K3461" i="61"/>
  <c r="P3460" i="61"/>
  <c r="O3460" i="61"/>
  <c r="N3460" i="61"/>
  <c r="M3460" i="61"/>
  <c r="L3460" i="61"/>
  <c r="K3460" i="61"/>
  <c r="P3459" i="61"/>
  <c r="O3459" i="61"/>
  <c r="N3459" i="61"/>
  <c r="M3459" i="61"/>
  <c r="L3459" i="61"/>
  <c r="K3459" i="61"/>
  <c r="P3458" i="61"/>
  <c r="O3458" i="61"/>
  <c r="N3458" i="61"/>
  <c r="M3458" i="61"/>
  <c r="L3458" i="61"/>
  <c r="K3458" i="61"/>
  <c r="P3457" i="61"/>
  <c r="O3457" i="61"/>
  <c r="N3457" i="61"/>
  <c r="M3457" i="61"/>
  <c r="L3457" i="61"/>
  <c r="K3457" i="61"/>
  <c r="P3456" i="61"/>
  <c r="O3456" i="61"/>
  <c r="N3456" i="61"/>
  <c r="M3456" i="61"/>
  <c r="L3456" i="61"/>
  <c r="K3456" i="61"/>
  <c r="P3455" i="61"/>
  <c r="O3455" i="61"/>
  <c r="N3455" i="61"/>
  <c r="M3455" i="61"/>
  <c r="L3455" i="61"/>
  <c r="K3455" i="61"/>
  <c r="P3454" i="61"/>
  <c r="O3454" i="61"/>
  <c r="N3454" i="61"/>
  <c r="M3454" i="61"/>
  <c r="L3454" i="61"/>
  <c r="K3454" i="61"/>
  <c r="P3453" i="61"/>
  <c r="O3453" i="61"/>
  <c r="N3453" i="61"/>
  <c r="M3453" i="61"/>
  <c r="L3453" i="61"/>
  <c r="K3453" i="61"/>
  <c r="P3452" i="61"/>
  <c r="O3452" i="61"/>
  <c r="N3452" i="61"/>
  <c r="M3452" i="61"/>
  <c r="L3452" i="61"/>
  <c r="K3452" i="61"/>
  <c r="P3451" i="61"/>
  <c r="O3451" i="61"/>
  <c r="N3451" i="61"/>
  <c r="M3451" i="61"/>
  <c r="L3451" i="61"/>
  <c r="K3451" i="61"/>
  <c r="P3450" i="61"/>
  <c r="O3450" i="61"/>
  <c r="N3450" i="61"/>
  <c r="M3450" i="61"/>
  <c r="L3450" i="61"/>
  <c r="K3450" i="61"/>
  <c r="P3449" i="61"/>
  <c r="O3449" i="61"/>
  <c r="N3449" i="61"/>
  <c r="M3449" i="61"/>
  <c r="L3449" i="61"/>
  <c r="K3449" i="61"/>
  <c r="P3448" i="61"/>
  <c r="O3448" i="61"/>
  <c r="N3448" i="61"/>
  <c r="M3448" i="61"/>
  <c r="L3448" i="61"/>
  <c r="K3448" i="61"/>
  <c r="P3447" i="61"/>
  <c r="O3447" i="61"/>
  <c r="N3447" i="61"/>
  <c r="M3447" i="61"/>
  <c r="L3447" i="61"/>
  <c r="K3447" i="61"/>
  <c r="P3446" i="61"/>
  <c r="O3446" i="61"/>
  <c r="N3446" i="61"/>
  <c r="M3446" i="61"/>
  <c r="L3446" i="61"/>
  <c r="K3446" i="61"/>
  <c r="P3445" i="61"/>
  <c r="O3445" i="61"/>
  <c r="N3445" i="61"/>
  <c r="M3445" i="61"/>
  <c r="L3445" i="61"/>
  <c r="K3445" i="61"/>
  <c r="P3444" i="61"/>
  <c r="O3444" i="61"/>
  <c r="N3444" i="61"/>
  <c r="M3444" i="61"/>
  <c r="L3444" i="61"/>
  <c r="K3444" i="61"/>
  <c r="P3443" i="61"/>
  <c r="O3443" i="61"/>
  <c r="N3443" i="61"/>
  <c r="M3443" i="61"/>
  <c r="L3443" i="61"/>
  <c r="K3443" i="61"/>
  <c r="P3442" i="61"/>
  <c r="O3442" i="61"/>
  <c r="N3442" i="61"/>
  <c r="M3442" i="61"/>
  <c r="L3442" i="61"/>
  <c r="K3442" i="61"/>
  <c r="P3441" i="61"/>
  <c r="O3441" i="61"/>
  <c r="N3441" i="61"/>
  <c r="M3441" i="61"/>
  <c r="L3441" i="61"/>
  <c r="K3441" i="61"/>
  <c r="P3440" i="61"/>
  <c r="O3440" i="61"/>
  <c r="N3440" i="61"/>
  <c r="M3440" i="61"/>
  <c r="L3440" i="61"/>
  <c r="K3440" i="61"/>
  <c r="P3439" i="61"/>
  <c r="O3439" i="61"/>
  <c r="N3439" i="61"/>
  <c r="M3439" i="61"/>
  <c r="L3439" i="61"/>
  <c r="K3439" i="61"/>
  <c r="P3438" i="61"/>
  <c r="O3438" i="61"/>
  <c r="N3438" i="61"/>
  <c r="M3438" i="61"/>
  <c r="L3438" i="61"/>
  <c r="K3438" i="61"/>
  <c r="P3437" i="61"/>
  <c r="O3437" i="61"/>
  <c r="N3437" i="61"/>
  <c r="M3437" i="61"/>
  <c r="L3437" i="61"/>
  <c r="K3437" i="61"/>
  <c r="P3436" i="61"/>
  <c r="O3436" i="61"/>
  <c r="N3436" i="61"/>
  <c r="M3436" i="61"/>
  <c r="L3436" i="61"/>
  <c r="K3436" i="61"/>
  <c r="P3435" i="61"/>
  <c r="O3435" i="61"/>
  <c r="N3435" i="61"/>
  <c r="M3435" i="61"/>
  <c r="L3435" i="61"/>
  <c r="K3435" i="61"/>
  <c r="P3434" i="61"/>
  <c r="O3434" i="61"/>
  <c r="N3434" i="61"/>
  <c r="M3434" i="61"/>
  <c r="L3434" i="61"/>
  <c r="K3434" i="61"/>
  <c r="P3433" i="61"/>
  <c r="O3433" i="61"/>
  <c r="N3433" i="61"/>
  <c r="M3433" i="61"/>
  <c r="L3433" i="61"/>
  <c r="K3433" i="61"/>
  <c r="P3432" i="61"/>
  <c r="O3432" i="61"/>
  <c r="N3432" i="61"/>
  <c r="M3432" i="61"/>
  <c r="L3432" i="61"/>
  <c r="K3432" i="61"/>
  <c r="P3431" i="61"/>
  <c r="O3431" i="61"/>
  <c r="N3431" i="61"/>
  <c r="M3431" i="61"/>
  <c r="L3431" i="61"/>
  <c r="K3431" i="61"/>
  <c r="P3430" i="61"/>
  <c r="O3430" i="61"/>
  <c r="N3430" i="61"/>
  <c r="M3430" i="61"/>
  <c r="L3430" i="61"/>
  <c r="K3430" i="61"/>
  <c r="P3429" i="61"/>
  <c r="O3429" i="61"/>
  <c r="N3429" i="61"/>
  <c r="M3429" i="61"/>
  <c r="L3429" i="61"/>
  <c r="K3429" i="61"/>
  <c r="P3428" i="61"/>
  <c r="O3428" i="61"/>
  <c r="N3428" i="61"/>
  <c r="M3428" i="61"/>
  <c r="L3428" i="61"/>
  <c r="K3428" i="61"/>
  <c r="P3427" i="61"/>
  <c r="O3427" i="61"/>
  <c r="N3427" i="61"/>
  <c r="M3427" i="61"/>
  <c r="L3427" i="61"/>
  <c r="K3427" i="61"/>
  <c r="P3426" i="61"/>
  <c r="O3426" i="61"/>
  <c r="N3426" i="61"/>
  <c r="M3426" i="61"/>
  <c r="L3426" i="61"/>
  <c r="K3426" i="61"/>
  <c r="P3425" i="61"/>
  <c r="O3425" i="61"/>
  <c r="N3425" i="61"/>
  <c r="M3425" i="61"/>
  <c r="L3425" i="61"/>
  <c r="K3425" i="61"/>
  <c r="P3424" i="61"/>
  <c r="O3424" i="61"/>
  <c r="N3424" i="61"/>
  <c r="M3424" i="61"/>
  <c r="L3424" i="61"/>
  <c r="K3424" i="61"/>
  <c r="P3423" i="61"/>
  <c r="O3423" i="61"/>
  <c r="N3423" i="61"/>
  <c r="M3423" i="61"/>
  <c r="L3423" i="61"/>
  <c r="K3423" i="61"/>
  <c r="P3422" i="61"/>
  <c r="O3422" i="61"/>
  <c r="N3422" i="61"/>
  <c r="M3422" i="61"/>
  <c r="L3422" i="61"/>
  <c r="K3422" i="61"/>
  <c r="P3421" i="61"/>
  <c r="O3421" i="61"/>
  <c r="N3421" i="61"/>
  <c r="M3421" i="61"/>
  <c r="L3421" i="61"/>
  <c r="K3421" i="61"/>
  <c r="P3420" i="61"/>
  <c r="O3420" i="61"/>
  <c r="N3420" i="61"/>
  <c r="M3420" i="61"/>
  <c r="L3420" i="61"/>
  <c r="K3420" i="61"/>
  <c r="P3419" i="61"/>
  <c r="O3419" i="61"/>
  <c r="N3419" i="61"/>
  <c r="M3419" i="61"/>
  <c r="L3419" i="61"/>
  <c r="K3419" i="61"/>
  <c r="P3418" i="61"/>
  <c r="O3418" i="61"/>
  <c r="N3418" i="61"/>
  <c r="M3418" i="61"/>
  <c r="L3418" i="61"/>
  <c r="K3418" i="61"/>
  <c r="P3417" i="61"/>
  <c r="O3417" i="61"/>
  <c r="N3417" i="61"/>
  <c r="M3417" i="61"/>
  <c r="L3417" i="61"/>
  <c r="K3417" i="61"/>
  <c r="P3416" i="61"/>
  <c r="O3416" i="61"/>
  <c r="N3416" i="61"/>
  <c r="M3416" i="61"/>
  <c r="L3416" i="61"/>
  <c r="K3416" i="61"/>
  <c r="P3415" i="61"/>
  <c r="O3415" i="61"/>
  <c r="N3415" i="61"/>
  <c r="M3415" i="61"/>
  <c r="L3415" i="61"/>
  <c r="K3415" i="61"/>
  <c r="P3414" i="61"/>
  <c r="O3414" i="61"/>
  <c r="N3414" i="61"/>
  <c r="M3414" i="61"/>
  <c r="L3414" i="61"/>
  <c r="K3414" i="61"/>
  <c r="P3413" i="61"/>
  <c r="O3413" i="61"/>
  <c r="N3413" i="61"/>
  <c r="M3413" i="61"/>
  <c r="L3413" i="61"/>
  <c r="K3413" i="61"/>
  <c r="P3412" i="61"/>
  <c r="O3412" i="61"/>
  <c r="N3412" i="61"/>
  <c r="M3412" i="61"/>
  <c r="L3412" i="61"/>
  <c r="K3412" i="61"/>
  <c r="P3411" i="61"/>
  <c r="O3411" i="61"/>
  <c r="N3411" i="61"/>
  <c r="M3411" i="61"/>
  <c r="L3411" i="61"/>
  <c r="K3411" i="61"/>
  <c r="P3410" i="61"/>
  <c r="O3410" i="61"/>
  <c r="N3410" i="61"/>
  <c r="M3410" i="61"/>
  <c r="L3410" i="61"/>
  <c r="K3410" i="61"/>
  <c r="P3409" i="61"/>
  <c r="O3409" i="61"/>
  <c r="N3409" i="61"/>
  <c r="M3409" i="61"/>
  <c r="L3409" i="61"/>
  <c r="K3409" i="61"/>
  <c r="P3408" i="61"/>
  <c r="O3408" i="61"/>
  <c r="N3408" i="61"/>
  <c r="M3408" i="61"/>
  <c r="L3408" i="61"/>
  <c r="K3408" i="61"/>
  <c r="P3407" i="61"/>
  <c r="O3407" i="61"/>
  <c r="N3407" i="61"/>
  <c r="M3407" i="61"/>
  <c r="L3407" i="61"/>
  <c r="K3407" i="61"/>
  <c r="P3406" i="61"/>
  <c r="O3406" i="61"/>
  <c r="N3406" i="61"/>
  <c r="M3406" i="61"/>
  <c r="L3406" i="61"/>
  <c r="K3406" i="61"/>
  <c r="P3405" i="61"/>
  <c r="O3405" i="61"/>
  <c r="N3405" i="61"/>
  <c r="M3405" i="61"/>
  <c r="L3405" i="61"/>
  <c r="K3405" i="61"/>
  <c r="P3404" i="61"/>
  <c r="O3404" i="61"/>
  <c r="N3404" i="61"/>
  <c r="M3404" i="61"/>
  <c r="L3404" i="61"/>
  <c r="K3404" i="61"/>
  <c r="P3403" i="61"/>
  <c r="O3403" i="61"/>
  <c r="N3403" i="61"/>
  <c r="M3403" i="61"/>
  <c r="L3403" i="61"/>
  <c r="K3403" i="61"/>
  <c r="P3402" i="61"/>
  <c r="O3402" i="61"/>
  <c r="N3402" i="61"/>
  <c r="M3402" i="61"/>
  <c r="L3402" i="61"/>
  <c r="K3402" i="61"/>
  <c r="P3401" i="61"/>
  <c r="O3401" i="61"/>
  <c r="N3401" i="61"/>
  <c r="M3401" i="61"/>
  <c r="L3401" i="61"/>
  <c r="K3401" i="61"/>
  <c r="P3400" i="61"/>
  <c r="O3400" i="61"/>
  <c r="N3400" i="61"/>
  <c r="M3400" i="61"/>
  <c r="L3400" i="61"/>
  <c r="K3400" i="61"/>
  <c r="P3399" i="61"/>
  <c r="O3399" i="61"/>
  <c r="N3399" i="61"/>
  <c r="M3399" i="61"/>
  <c r="L3399" i="61"/>
  <c r="K3399" i="61"/>
  <c r="P3398" i="61"/>
  <c r="O3398" i="61"/>
  <c r="N3398" i="61"/>
  <c r="M3398" i="61"/>
  <c r="L3398" i="61"/>
  <c r="K3398" i="61"/>
  <c r="P3397" i="61"/>
  <c r="O3397" i="61"/>
  <c r="N3397" i="61"/>
  <c r="M3397" i="61"/>
  <c r="L3397" i="61"/>
  <c r="K3397" i="61"/>
  <c r="P3396" i="61"/>
  <c r="O3396" i="61"/>
  <c r="N3396" i="61"/>
  <c r="M3396" i="61"/>
  <c r="L3396" i="61"/>
  <c r="K3396" i="61"/>
  <c r="P3395" i="61"/>
  <c r="O3395" i="61"/>
  <c r="N3395" i="61"/>
  <c r="M3395" i="61"/>
  <c r="L3395" i="61"/>
  <c r="K3395" i="61"/>
  <c r="P3394" i="61"/>
  <c r="O3394" i="61"/>
  <c r="N3394" i="61"/>
  <c r="M3394" i="61"/>
  <c r="L3394" i="61"/>
  <c r="K3394" i="61"/>
  <c r="P3393" i="61"/>
  <c r="O3393" i="61"/>
  <c r="N3393" i="61"/>
  <c r="M3393" i="61"/>
  <c r="L3393" i="61"/>
  <c r="K3393" i="61"/>
  <c r="P3392" i="61"/>
  <c r="O3392" i="61"/>
  <c r="N3392" i="61"/>
  <c r="M3392" i="61"/>
  <c r="L3392" i="61"/>
  <c r="K3392" i="61"/>
  <c r="P3391" i="61"/>
  <c r="O3391" i="61"/>
  <c r="N3391" i="61"/>
  <c r="M3391" i="61"/>
  <c r="L3391" i="61"/>
  <c r="K3391" i="61"/>
  <c r="P3390" i="61"/>
  <c r="O3390" i="61"/>
  <c r="N3390" i="61"/>
  <c r="M3390" i="61"/>
  <c r="L3390" i="61"/>
  <c r="K3390" i="61"/>
  <c r="P3389" i="61"/>
  <c r="O3389" i="61"/>
  <c r="N3389" i="61"/>
  <c r="M3389" i="61"/>
  <c r="L3389" i="61"/>
  <c r="K3389" i="61"/>
  <c r="P3388" i="61"/>
  <c r="O3388" i="61"/>
  <c r="N3388" i="61"/>
  <c r="M3388" i="61"/>
  <c r="L3388" i="61"/>
  <c r="K3388" i="61"/>
  <c r="P3387" i="61"/>
  <c r="O3387" i="61"/>
  <c r="N3387" i="61"/>
  <c r="M3387" i="61"/>
  <c r="L3387" i="61"/>
  <c r="K3387" i="61"/>
  <c r="P3386" i="61"/>
  <c r="O3386" i="61"/>
  <c r="N3386" i="61"/>
  <c r="M3386" i="61"/>
  <c r="L3386" i="61"/>
  <c r="K3386" i="61"/>
  <c r="P3385" i="61"/>
  <c r="O3385" i="61"/>
  <c r="N3385" i="61"/>
  <c r="M3385" i="61"/>
  <c r="L3385" i="61"/>
  <c r="K3385" i="61"/>
  <c r="P3384" i="61"/>
  <c r="O3384" i="61"/>
  <c r="N3384" i="61"/>
  <c r="M3384" i="61"/>
  <c r="L3384" i="61"/>
  <c r="K3384" i="61"/>
  <c r="P3383" i="61"/>
  <c r="O3383" i="61"/>
  <c r="N3383" i="61"/>
  <c r="M3383" i="61"/>
  <c r="L3383" i="61"/>
  <c r="K3383" i="61"/>
  <c r="P3382" i="61"/>
  <c r="O3382" i="61"/>
  <c r="N3382" i="61"/>
  <c r="M3382" i="61"/>
  <c r="L3382" i="61"/>
  <c r="K3382" i="61"/>
  <c r="P3381" i="61"/>
  <c r="O3381" i="61"/>
  <c r="N3381" i="61"/>
  <c r="M3381" i="61"/>
  <c r="L3381" i="61"/>
  <c r="K3381" i="61"/>
  <c r="P3380" i="61"/>
  <c r="O3380" i="61"/>
  <c r="N3380" i="61"/>
  <c r="M3380" i="61"/>
  <c r="L3380" i="61"/>
  <c r="K3380" i="61"/>
  <c r="P3379" i="61"/>
  <c r="O3379" i="61"/>
  <c r="N3379" i="61"/>
  <c r="M3379" i="61"/>
  <c r="L3379" i="61"/>
  <c r="K3379" i="61"/>
  <c r="P3378" i="61"/>
  <c r="O3378" i="61"/>
  <c r="N3378" i="61"/>
  <c r="M3378" i="61"/>
  <c r="L3378" i="61"/>
  <c r="K3378" i="61"/>
  <c r="P3377" i="61"/>
  <c r="O3377" i="61"/>
  <c r="N3377" i="61"/>
  <c r="M3377" i="61"/>
  <c r="L3377" i="61"/>
  <c r="K3377" i="61"/>
  <c r="P3376" i="61"/>
  <c r="O3376" i="61"/>
  <c r="N3376" i="61"/>
  <c r="M3376" i="61"/>
  <c r="L3376" i="61"/>
  <c r="K3376" i="61"/>
  <c r="P3375" i="61"/>
  <c r="O3375" i="61"/>
  <c r="N3375" i="61"/>
  <c r="M3375" i="61"/>
  <c r="L3375" i="61"/>
  <c r="K3375" i="61"/>
  <c r="P3374" i="61"/>
  <c r="O3374" i="61"/>
  <c r="N3374" i="61"/>
  <c r="M3374" i="61"/>
  <c r="L3374" i="61"/>
  <c r="K3374" i="61"/>
  <c r="P3373" i="61"/>
  <c r="O3373" i="61"/>
  <c r="N3373" i="61"/>
  <c r="M3373" i="61"/>
  <c r="L3373" i="61"/>
  <c r="K3373" i="61"/>
  <c r="P3372" i="61"/>
  <c r="O3372" i="61"/>
  <c r="N3372" i="61"/>
  <c r="M3372" i="61"/>
  <c r="L3372" i="61"/>
  <c r="K3372" i="61"/>
  <c r="P3371" i="61"/>
  <c r="O3371" i="61"/>
  <c r="N3371" i="61"/>
  <c r="M3371" i="61"/>
  <c r="L3371" i="61"/>
  <c r="K3371" i="61"/>
  <c r="P3370" i="61"/>
  <c r="O3370" i="61"/>
  <c r="N3370" i="61"/>
  <c r="M3370" i="61"/>
  <c r="L3370" i="61"/>
  <c r="K3370" i="61"/>
  <c r="P3369" i="61"/>
  <c r="O3369" i="61"/>
  <c r="N3369" i="61"/>
  <c r="M3369" i="61"/>
  <c r="L3369" i="61"/>
  <c r="K3369" i="61"/>
  <c r="P3368" i="61"/>
  <c r="O3368" i="61"/>
  <c r="N3368" i="61"/>
  <c r="M3368" i="61"/>
  <c r="L3368" i="61"/>
  <c r="K3368" i="61"/>
  <c r="P3367" i="61"/>
  <c r="O3367" i="61"/>
  <c r="N3367" i="61"/>
  <c r="M3367" i="61"/>
  <c r="L3367" i="61"/>
  <c r="K3367" i="61"/>
  <c r="P3366" i="61"/>
  <c r="O3366" i="61"/>
  <c r="N3366" i="61"/>
  <c r="M3366" i="61"/>
  <c r="L3366" i="61"/>
  <c r="K3366" i="61"/>
  <c r="P3365" i="61"/>
  <c r="O3365" i="61"/>
  <c r="N3365" i="61"/>
  <c r="M3365" i="61"/>
  <c r="L3365" i="61"/>
  <c r="K3365" i="61"/>
  <c r="P3364" i="61"/>
  <c r="O3364" i="61"/>
  <c r="N3364" i="61"/>
  <c r="M3364" i="61"/>
  <c r="L3364" i="61"/>
  <c r="K3364" i="61"/>
  <c r="P3363" i="61"/>
  <c r="O3363" i="61"/>
  <c r="N3363" i="61"/>
  <c r="M3363" i="61"/>
  <c r="L3363" i="61"/>
  <c r="K3363" i="61"/>
  <c r="P3362" i="61"/>
  <c r="O3362" i="61"/>
  <c r="N3362" i="61"/>
  <c r="M3362" i="61"/>
  <c r="L3362" i="61"/>
  <c r="K3362" i="61"/>
  <c r="P3361" i="61"/>
  <c r="O3361" i="61"/>
  <c r="N3361" i="61"/>
  <c r="M3361" i="61"/>
  <c r="L3361" i="61"/>
  <c r="K3361" i="61"/>
  <c r="P3360" i="61"/>
  <c r="O3360" i="61"/>
  <c r="N3360" i="61"/>
  <c r="M3360" i="61"/>
  <c r="L3360" i="61"/>
  <c r="K3360" i="61"/>
  <c r="P3359" i="61"/>
  <c r="O3359" i="61"/>
  <c r="N3359" i="61"/>
  <c r="M3359" i="61"/>
  <c r="L3359" i="61"/>
  <c r="K3359" i="61"/>
  <c r="P3358" i="61"/>
  <c r="O3358" i="61"/>
  <c r="N3358" i="61"/>
  <c r="M3358" i="61"/>
  <c r="L3358" i="61"/>
  <c r="K3358" i="61"/>
  <c r="P3357" i="61"/>
  <c r="O3357" i="61"/>
  <c r="N3357" i="61"/>
  <c r="M3357" i="61"/>
  <c r="L3357" i="61"/>
  <c r="K3357" i="61"/>
  <c r="P3356" i="61"/>
  <c r="O3356" i="61"/>
  <c r="N3356" i="61"/>
  <c r="M3356" i="61"/>
  <c r="L3356" i="61"/>
  <c r="K3356" i="61"/>
  <c r="P3355" i="61"/>
  <c r="O3355" i="61"/>
  <c r="N3355" i="61"/>
  <c r="M3355" i="61"/>
  <c r="L3355" i="61"/>
  <c r="K3355" i="61"/>
  <c r="P3354" i="61"/>
  <c r="O3354" i="61"/>
  <c r="N3354" i="61"/>
  <c r="M3354" i="61"/>
  <c r="L3354" i="61"/>
  <c r="K3354" i="61"/>
  <c r="P3353" i="61"/>
  <c r="O3353" i="61"/>
  <c r="N3353" i="61"/>
  <c r="M3353" i="61"/>
  <c r="L3353" i="61"/>
  <c r="K3353" i="61"/>
  <c r="P3352" i="61"/>
  <c r="O3352" i="61"/>
  <c r="N3352" i="61"/>
  <c r="M3352" i="61"/>
  <c r="L3352" i="61"/>
  <c r="K3352" i="61"/>
  <c r="P3351" i="61"/>
  <c r="O3351" i="61"/>
  <c r="N3351" i="61"/>
  <c r="M3351" i="61"/>
  <c r="L3351" i="61"/>
  <c r="K3351" i="61"/>
  <c r="P3350" i="61"/>
  <c r="O3350" i="61"/>
  <c r="N3350" i="61"/>
  <c r="M3350" i="61"/>
  <c r="L3350" i="61"/>
  <c r="K3350" i="61"/>
  <c r="P3349" i="61"/>
  <c r="O3349" i="61"/>
  <c r="N3349" i="61"/>
  <c r="M3349" i="61"/>
  <c r="L3349" i="61"/>
  <c r="K3349" i="61"/>
  <c r="P3348" i="61"/>
  <c r="O3348" i="61"/>
  <c r="N3348" i="61"/>
  <c r="M3348" i="61"/>
  <c r="L3348" i="61"/>
  <c r="K3348" i="61"/>
  <c r="P3347" i="61"/>
  <c r="O3347" i="61"/>
  <c r="N3347" i="61"/>
  <c r="M3347" i="61"/>
  <c r="L3347" i="61"/>
  <c r="K3347" i="61"/>
  <c r="P3346" i="61"/>
  <c r="O3346" i="61"/>
  <c r="N3346" i="61"/>
  <c r="M3346" i="61"/>
  <c r="L3346" i="61"/>
  <c r="K3346" i="61"/>
  <c r="P3345" i="61"/>
  <c r="O3345" i="61"/>
  <c r="N3345" i="61"/>
  <c r="M3345" i="61"/>
  <c r="L3345" i="61"/>
  <c r="K3345" i="61"/>
  <c r="P3344" i="61"/>
  <c r="O3344" i="61"/>
  <c r="N3344" i="61"/>
  <c r="M3344" i="61"/>
  <c r="L3344" i="61"/>
  <c r="K3344" i="61"/>
  <c r="P3343" i="61"/>
  <c r="O3343" i="61"/>
  <c r="N3343" i="61"/>
  <c r="M3343" i="61"/>
  <c r="L3343" i="61"/>
  <c r="K3343" i="61"/>
  <c r="P3342" i="61"/>
  <c r="O3342" i="61"/>
  <c r="N3342" i="61"/>
  <c r="M3342" i="61"/>
  <c r="L3342" i="61"/>
  <c r="K3342" i="61"/>
  <c r="P3341" i="61"/>
  <c r="O3341" i="61"/>
  <c r="N3341" i="61"/>
  <c r="M3341" i="61"/>
  <c r="L3341" i="61"/>
  <c r="K3341" i="61"/>
  <c r="P3340" i="61"/>
  <c r="O3340" i="61"/>
  <c r="N3340" i="61"/>
  <c r="M3340" i="61"/>
  <c r="L3340" i="61"/>
  <c r="K3340" i="61"/>
  <c r="P3339" i="61"/>
  <c r="O3339" i="61"/>
  <c r="N3339" i="61"/>
  <c r="M3339" i="61"/>
  <c r="L3339" i="61"/>
  <c r="K3339" i="61"/>
  <c r="P3338" i="61"/>
  <c r="O3338" i="61"/>
  <c r="N3338" i="61"/>
  <c r="M3338" i="61"/>
  <c r="L3338" i="61"/>
  <c r="K3338" i="61"/>
  <c r="P3337" i="61"/>
  <c r="O3337" i="61"/>
  <c r="N3337" i="61"/>
  <c r="M3337" i="61"/>
  <c r="L3337" i="61"/>
  <c r="K3337" i="61"/>
  <c r="P3336" i="61"/>
  <c r="O3336" i="61"/>
  <c r="N3336" i="61"/>
  <c r="M3336" i="61"/>
  <c r="L3336" i="61"/>
  <c r="K3336" i="61"/>
  <c r="P3335" i="61"/>
  <c r="O3335" i="61"/>
  <c r="N3335" i="61"/>
  <c r="M3335" i="61"/>
  <c r="L3335" i="61"/>
  <c r="K3335" i="61"/>
  <c r="P3334" i="61"/>
  <c r="O3334" i="61"/>
  <c r="N3334" i="61"/>
  <c r="M3334" i="61"/>
  <c r="L3334" i="61"/>
  <c r="K3334" i="61"/>
  <c r="P3333" i="61"/>
  <c r="O3333" i="61"/>
  <c r="N3333" i="61"/>
  <c r="M3333" i="61"/>
  <c r="L3333" i="61"/>
  <c r="K3333" i="61"/>
  <c r="P3332" i="61"/>
  <c r="O3332" i="61"/>
  <c r="N3332" i="61"/>
  <c r="M3332" i="61"/>
  <c r="L3332" i="61"/>
  <c r="K3332" i="61"/>
  <c r="P3331" i="61"/>
  <c r="O3331" i="61"/>
  <c r="N3331" i="61"/>
  <c r="M3331" i="61"/>
  <c r="L3331" i="61"/>
  <c r="K3331" i="61"/>
  <c r="P3330" i="61"/>
  <c r="O3330" i="61"/>
  <c r="N3330" i="61"/>
  <c r="M3330" i="61"/>
  <c r="L3330" i="61"/>
  <c r="K3330" i="61"/>
  <c r="P3329" i="61"/>
  <c r="O3329" i="61"/>
  <c r="N3329" i="61"/>
  <c r="M3329" i="61"/>
  <c r="L3329" i="61"/>
  <c r="K3329" i="61"/>
  <c r="P3328" i="61"/>
  <c r="O3328" i="61"/>
  <c r="N3328" i="61"/>
  <c r="M3328" i="61"/>
  <c r="L3328" i="61"/>
  <c r="K3328" i="61"/>
  <c r="P3327" i="61"/>
  <c r="O3327" i="61"/>
  <c r="N3327" i="61"/>
  <c r="M3327" i="61"/>
  <c r="L3327" i="61"/>
  <c r="K3327" i="61"/>
  <c r="P3326" i="61"/>
  <c r="O3326" i="61"/>
  <c r="N3326" i="61"/>
  <c r="M3326" i="61"/>
  <c r="L3326" i="61"/>
  <c r="K3326" i="61"/>
  <c r="P3325" i="61"/>
  <c r="O3325" i="61"/>
  <c r="N3325" i="61"/>
  <c r="M3325" i="61"/>
  <c r="L3325" i="61"/>
  <c r="K3325" i="61"/>
  <c r="P3324" i="61"/>
  <c r="O3324" i="61"/>
  <c r="N3324" i="61"/>
  <c r="M3324" i="61"/>
  <c r="L3324" i="61"/>
  <c r="K3324" i="61"/>
  <c r="P3323" i="61"/>
  <c r="O3323" i="61"/>
  <c r="N3323" i="61"/>
  <c r="M3323" i="61"/>
  <c r="L3323" i="61"/>
  <c r="K3323" i="61"/>
  <c r="P3322" i="61"/>
  <c r="O3322" i="61"/>
  <c r="N3322" i="61"/>
  <c r="M3322" i="61"/>
  <c r="L3322" i="61"/>
  <c r="K3322" i="61"/>
  <c r="P3321" i="61"/>
  <c r="O3321" i="61"/>
  <c r="N3321" i="61"/>
  <c r="M3321" i="61"/>
  <c r="L3321" i="61"/>
  <c r="K3321" i="61"/>
  <c r="P3320" i="61"/>
  <c r="O3320" i="61"/>
  <c r="N3320" i="61"/>
  <c r="M3320" i="61"/>
  <c r="L3320" i="61"/>
  <c r="K3320" i="61"/>
  <c r="P3319" i="61"/>
  <c r="O3319" i="61"/>
  <c r="N3319" i="61"/>
  <c r="M3319" i="61"/>
  <c r="L3319" i="61"/>
  <c r="K3319" i="61"/>
  <c r="P3318" i="61"/>
  <c r="O3318" i="61"/>
  <c r="N3318" i="61"/>
  <c r="M3318" i="61"/>
  <c r="L3318" i="61"/>
  <c r="K3318" i="61"/>
  <c r="P3317" i="61"/>
  <c r="O3317" i="61"/>
  <c r="N3317" i="61"/>
  <c r="M3317" i="61"/>
  <c r="L3317" i="61"/>
  <c r="K3317" i="61"/>
  <c r="P3316" i="61"/>
  <c r="O3316" i="61"/>
  <c r="N3316" i="61"/>
  <c r="M3316" i="61"/>
  <c r="L3316" i="61"/>
  <c r="K3316" i="61"/>
  <c r="P3315" i="61"/>
  <c r="O3315" i="61"/>
  <c r="N3315" i="61"/>
  <c r="M3315" i="61"/>
  <c r="L3315" i="61"/>
  <c r="K3315" i="61"/>
  <c r="P3314" i="61"/>
  <c r="O3314" i="61"/>
  <c r="N3314" i="61"/>
  <c r="M3314" i="61"/>
  <c r="L3314" i="61"/>
  <c r="K3314" i="61"/>
  <c r="P3313" i="61"/>
  <c r="O3313" i="61"/>
  <c r="N3313" i="61"/>
  <c r="M3313" i="61"/>
  <c r="L3313" i="61"/>
  <c r="K3313" i="61"/>
  <c r="P3312" i="61"/>
  <c r="O3312" i="61"/>
  <c r="N3312" i="61"/>
  <c r="M3312" i="61"/>
  <c r="L3312" i="61"/>
  <c r="K3312" i="61"/>
  <c r="P3311" i="61"/>
  <c r="O3311" i="61"/>
  <c r="N3311" i="61"/>
  <c r="M3311" i="61"/>
  <c r="L3311" i="61"/>
  <c r="K3311" i="61"/>
  <c r="P3310" i="61"/>
  <c r="O3310" i="61"/>
  <c r="N3310" i="61"/>
  <c r="M3310" i="61"/>
  <c r="L3310" i="61"/>
  <c r="K3310" i="61"/>
  <c r="P3309" i="61"/>
  <c r="O3309" i="61"/>
  <c r="N3309" i="61"/>
  <c r="M3309" i="61"/>
  <c r="L3309" i="61"/>
  <c r="K3309" i="61"/>
  <c r="P3308" i="61"/>
  <c r="O3308" i="61"/>
  <c r="N3308" i="61"/>
  <c r="M3308" i="61"/>
  <c r="L3308" i="61"/>
  <c r="K3308" i="61"/>
  <c r="P3307" i="61"/>
  <c r="O3307" i="61"/>
  <c r="N3307" i="61"/>
  <c r="M3307" i="61"/>
  <c r="L3307" i="61"/>
  <c r="K3307" i="61"/>
  <c r="P3306" i="61"/>
  <c r="O3306" i="61"/>
  <c r="N3306" i="61"/>
  <c r="M3306" i="61"/>
  <c r="L3306" i="61"/>
  <c r="K3306" i="61"/>
  <c r="P3305" i="61"/>
  <c r="O3305" i="61"/>
  <c r="N3305" i="61"/>
  <c r="M3305" i="61"/>
  <c r="L3305" i="61"/>
  <c r="K3305" i="61"/>
  <c r="P3304" i="61"/>
  <c r="O3304" i="61"/>
  <c r="N3304" i="61"/>
  <c r="M3304" i="61"/>
  <c r="L3304" i="61"/>
  <c r="K3304" i="61"/>
  <c r="P3303" i="61"/>
  <c r="O3303" i="61"/>
  <c r="N3303" i="61"/>
  <c r="M3303" i="61"/>
  <c r="L3303" i="61"/>
  <c r="K3303" i="61"/>
  <c r="P3302" i="61"/>
  <c r="O3302" i="61"/>
  <c r="N3302" i="61"/>
  <c r="M3302" i="61"/>
  <c r="L3302" i="61"/>
  <c r="K3302" i="61"/>
  <c r="P3301" i="61"/>
  <c r="O3301" i="61"/>
  <c r="N3301" i="61"/>
  <c r="M3301" i="61"/>
  <c r="L3301" i="61"/>
  <c r="K3301" i="61"/>
  <c r="P3300" i="61"/>
  <c r="O3300" i="61"/>
  <c r="N3300" i="61"/>
  <c r="M3300" i="61"/>
  <c r="L3300" i="61"/>
  <c r="K3300" i="61"/>
  <c r="P3299" i="61"/>
  <c r="O3299" i="61"/>
  <c r="N3299" i="61"/>
  <c r="M3299" i="61"/>
  <c r="L3299" i="61"/>
  <c r="K3299" i="61"/>
  <c r="P3298" i="61"/>
  <c r="O3298" i="61"/>
  <c r="N3298" i="61"/>
  <c r="M3298" i="61"/>
  <c r="L3298" i="61"/>
  <c r="K3298" i="61"/>
  <c r="P3297" i="61"/>
  <c r="O3297" i="61"/>
  <c r="N3297" i="61"/>
  <c r="M3297" i="61"/>
  <c r="L3297" i="61"/>
  <c r="K3297" i="61"/>
  <c r="P3296" i="61"/>
  <c r="O3296" i="61"/>
  <c r="N3296" i="61"/>
  <c r="M3296" i="61"/>
  <c r="L3296" i="61"/>
  <c r="K3296" i="61"/>
  <c r="P3295" i="61"/>
  <c r="O3295" i="61"/>
  <c r="N3295" i="61"/>
  <c r="M3295" i="61"/>
  <c r="L3295" i="61"/>
  <c r="K3295" i="61"/>
  <c r="P3294" i="61"/>
  <c r="O3294" i="61"/>
  <c r="N3294" i="61"/>
  <c r="M3294" i="61"/>
  <c r="L3294" i="61"/>
  <c r="K3294" i="61"/>
  <c r="P3293" i="61"/>
  <c r="O3293" i="61"/>
  <c r="N3293" i="61"/>
  <c r="M3293" i="61"/>
  <c r="L3293" i="61"/>
  <c r="K3293" i="61"/>
  <c r="P3292" i="61"/>
  <c r="O3292" i="61"/>
  <c r="N3292" i="61"/>
  <c r="M3292" i="61"/>
  <c r="L3292" i="61"/>
  <c r="K3292" i="61"/>
  <c r="P3291" i="61"/>
  <c r="O3291" i="61"/>
  <c r="N3291" i="61"/>
  <c r="M3291" i="61"/>
  <c r="L3291" i="61"/>
  <c r="K3291" i="61"/>
  <c r="P3290" i="61"/>
  <c r="O3290" i="61"/>
  <c r="N3290" i="61"/>
  <c r="M3290" i="61"/>
  <c r="L3290" i="61"/>
  <c r="K3290" i="61"/>
  <c r="P3289" i="61"/>
  <c r="O3289" i="61"/>
  <c r="N3289" i="61"/>
  <c r="M3289" i="61"/>
  <c r="L3289" i="61"/>
  <c r="K3289" i="61"/>
  <c r="P3288" i="61"/>
  <c r="O3288" i="61"/>
  <c r="N3288" i="61"/>
  <c r="M3288" i="61"/>
  <c r="L3288" i="61"/>
  <c r="K3288" i="61"/>
  <c r="P3287" i="61"/>
  <c r="O3287" i="61"/>
  <c r="N3287" i="61"/>
  <c r="M3287" i="61"/>
  <c r="L3287" i="61"/>
  <c r="K3287" i="61"/>
  <c r="P3286" i="61"/>
  <c r="O3286" i="61"/>
  <c r="N3286" i="61"/>
  <c r="M3286" i="61"/>
  <c r="L3286" i="61"/>
  <c r="K3286" i="61"/>
  <c r="P3285" i="61"/>
  <c r="O3285" i="61"/>
  <c r="N3285" i="61"/>
  <c r="M3285" i="61"/>
  <c r="L3285" i="61"/>
  <c r="K3285" i="61"/>
  <c r="P3284" i="61"/>
  <c r="O3284" i="61"/>
  <c r="N3284" i="61"/>
  <c r="M3284" i="61"/>
  <c r="L3284" i="61"/>
  <c r="K3284" i="61"/>
  <c r="P3283" i="61"/>
  <c r="O3283" i="61"/>
  <c r="N3283" i="61"/>
  <c r="M3283" i="61"/>
  <c r="L3283" i="61"/>
  <c r="K3283" i="61"/>
  <c r="P3282" i="61"/>
  <c r="O3282" i="61"/>
  <c r="N3282" i="61"/>
  <c r="M3282" i="61"/>
  <c r="L3282" i="61"/>
  <c r="K3282" i="61"/>
  <c r="P3281" i="61"/>
  <c r="O3281" i="61"/>
  <c r="N3281" i="61"/>
  <c r="M3281" i="61"/>
  <c r="L3281" i="61"/>
  <c r="K3281" i="61"/>
  <c r="P3280" i="61"/>
  <c r="O3280" i="61"/>
  <c r="N3280" i="61"/>
  <c r="M3280" i="61"/>
  <c r="L3280" i="61"/>
  <c r="K3280" i="61"/>
  <c r="P3279" i="61"/>
  <c r="O3279" i="61"/>
  <c r="N3279" i="61"/>
  <c r="M3279" i="61"/>
  <c r="L3279" i="61"/>
  <c r="K3279" i="61"/>
  <c r="P3278" i="61"/>
  <c r="O3278" i="61"/>
  <c r="N3278" i="61"/>
  <c r="M3278" i="61"/>
  <c r="L3278" i="61"/>
  <c r="K3278" i="61"/>
  <c r="P3277" i="61"/>
  <c r="O3277" i="61"/>
  <c r="N3277" i="61"/>
  <c r="M3277" i="61"/>
  <c r="L3277" i="61"/>
  <c r="K3277" i="61"/>
  <c r="P3276" i="61"/>
  <c r="O3276" i="61"/>
  <c r="N3276" i="61"/>
  <c r="M3276" i="61"/>
  <c r="L3276" i="61"/>
  <c r="K3276" i="61"/>
  <c r="P3275" i="61"/>
  <c r="O3275" i="61"/>
  <c r="N3275" i="61"/>
  <c r="M3275" i="61"/>
  <c r="L3275" i="61"/>
  <c r="K3275" i="61"/>
  <c r="P3274" i="61"/>
  <c r="O3274" i="61"/>
  <c r="N3274" i="61"/>
  <c r="M3274" i="61"/>
  <c r="L3274" i="61"/>
  <c r="K3274" i="61"/>
  <c r="P3273" i="61"/>
  <c r="O3273" i="61"/>
  <c r="N3273" i="61"/>
  <c r="M3273" i="61"/>
  <c r="L3273" i="61"/>
  <c r="K3273" i="61"/>
  <c r="P3272" i="61"/>
  <c r="O3272" i="61"/>
  <c r="N3272" i="61"/>
  <c r="M3272" i="61"/>
  <c r="L3272" i="61"/>
  <c r="K3272" i="61"/>
  <c r="P3271" i="61"/>
  <c r="O3271" i="61"/>
  <c r="N3271" i="61"/>
  <c r="M3271" i="61"/>
  <c r="L3271" i="61"/>
  <c r="K3271" i="61"/>
  <c r="P3270" i="61"/>
  <c r="O3270" i="61"/>
  <c r="N3270" i="61"/>
  <c r="M3270" i="61"/>
  <c r="L3270" i="61"/>
  <c r="K3270" i="61"/>
  <c r="P3269" i="61"/>
  <c r="O3269" i="61"/>
  <c r="N3269" i="61"/>
  <c r="M3269" i="61"/>
  <c r="L3269" i="61"/>
  <c r="K3269" i="61"/>
  <c r="P3268" i="61"/>
  <c r="O3268" i="61"/>
  <c r="N3268" i="61"/>
  <c r="M3268" i="61"/>
  <c r="L3268" i="61"/>
  <c r="K3268" i="61"/>
  <c r="P3267" i="61"/>
  <c r="O3267" i="61"/>
  <c r="N3267" i="61"/>
  <c r="M3267" i="61"/>
  <c r="L3267" i="61"/>
  <c r="K3267" i="61"/>
  <c r="P3266" i="61"/>
  <c r="O3266" i="61"/>
  <c r="N3266" i="61"/>
  <c r="M3266" i="61"/>
  <c r="L3266" i="61"/>
  <c r="K3266" i="61"/>
  <c r="P3265" i="61"/>
  <c r="O3265" i="61"/>
  <c r="N3265" i="61"/>
  <c r="M3265" i="61"/>
  <c r="L3265" i="61"/>
  <c r="K3265" i="61"/>
  <c r="P3264" i="61"/>
  <c r="O3264" i="61"/>
  <c r="N3264" i="61"/>
  <c r="M3264" i="61"/>
  <c r="L3264" i="61"/>
  <c r="K3264" i="61"/>
  <c r="P3263" i="61"/>
  <c r="O3263" i="61"/>
  <c r="N3263" i="61"/>
  <c r="M3263" i="61"/>
  <c r="L3263" i="61"/>
  <c r="K3263" i="61"/>
  <c r="P3262" i="61"/>
  <c r="O3262" i="61"/>
  <c r="N3262" i="61"/>
  <c r="M3262" i="61"/>
  <c r="L3262" i="61"/>
  <c r="K3262" i="61"/>
  <c r="P3261" i="61"/>
  <c r="O3261" i="61"/>
  <c r="N3261" i="61"/>
  <c r="M3261" i="61"/>
  <c r="L3261" i="61"/>
  <c r="K3261" i="61"/>
  <c r="P3260" i="61"/>
  <c r="O3260" i="61"/>
  <c r="N3260" i="61"/>
  <c r="M3260" i="61"/>
  <c r="L3260" i="61"/>
  <c r="K3260" i="61"/>
  <c r="P3259" i="61"/>
  <c r="O3259" i="61"/>
  <c r="N3259" i="61"/>
  <c r="M3259" i="61"/>
  <c r="L3259" i="61"/>
  <c r="K3259" i="61"/>
  <c r="P3258" i="61"/>
  <c r="O3258" i="61"/>
  <c r="N3258" i="61"/>
  <c r="M3258" i="61"/>
  <c r="L3258" i="61"/>
  <c r="K3258" i="61"/>
  <c r="P3257" i="61"/>
  <c r="O3257" i="61"/>
  <c r="N3257" i="61"/>
  <c r="M3257" i="61"/>
  <c r="L3257" i="61"/>
  <c r="K3257" i="61"/>
  <c r="P3256" i="61"/>
  <c r="O3256" i="61"/>
  <c r="N3256" i="61"/>
  <c r="M3256" i="61"/>
  <c r="L3256" i="61"/>
  <c r="K3256" i="61"/>
  <c r="P3255" i="61"/>
  <c r="O3255" i="61"/>
  <c r="N3255" i="61"/>
  <c r="M3255" i="61"/>
  <c r="L3255" i="61"/>
  <c r="K3255" i="61"/>
  <c r="P3254" i="61"/>
  <c r="O3254" i="61"/>
  <c r="N3254" i="61"/>
  <c r="M3254" i="61"/>
  <c r="L3254" i="61"/>
  <c r="K3254" i="61"/>
  <c r="P3253" i="61"/>
  <c r="O3253" i="61"/>
  <c r="N3253" i="61"/>
  <c r="M3253" i="61"/>
  <c r="L3253" i="61"/>
  <c r="K3253" i="61"/>
  <c r="P3252" i="61"/>
  <c r="O3252" i="61"/>
  <c r="N3252" i="61"/>
  <c r="M3252" i="61"/>
  <c r="L3252" i="61"/>
  <c r="K3252" i="61"/>
  <c r="P3251" i="61"/>
  <c r="O3251" i="61"/>
  <c r="N3251" i="61"/>
  <c r="M3251" i="61"/>
  <c r="L3251" i="61"/>
  <c r="K3251" i="61"/>
  <c r="P3250" i="61"/>
  <c r="O3250" i="61"/>
  <c r="N3250" i="61"/>
  <c r="M3250" i="61"/>
  <c r="L3250" i="61"/>
  <c r="K3250" i="61"/>
  <c r="P3249" i="61"/>
  <c r="O3249" i="61"/>
  <c r="N3249" i="61"/>
  <c r="M3249" i="61"/>
  <c r="L3249" i="61"/>
  <c r="K3249" i="61"/>
  <c r="P3248" i="61"/>
  <c r="O3248" i="61"/>
  <c r="N3248" i="61"/>
  <c r="M3248" i="61"/>
  <c r="L3248" i="61"/>
  <c r="K3248" i="61"/>
  <c r="P3247" i="61"/>
  <c r="O3247" i="61"/>
  <c r="N3247" i="61"/>
  <c r="M3247" i="61"/>
  <c r="L3247" i="61"/>
  <c r="K3247" i="61"/>
  <c r="P3246" i="61"/>
  <c r="O3246" i="61"/>
  <c r="N3246" i="61"/>
  <c r="M3246" i="61"/>
  <c r="L3246" i="61"/>
  <c r="K3246" i="61"/>
  <c r="P3245" i="61"/>
  <c r="O3245" i="61"/>
  <c r="N3245" i="61"/>
  <c r="M3245" i="61"/>
  <c r="L3245" i="61"/>
  <c r="K3245" i="61"/>
  <c r="P3244" i="61"/>
  <c r="O3244" i="61"/>
  <c r="N3244" i="61"/>
  <c r="M3244" i="61"/>
  <c r="L3244" i="61"/>
  <c r="K3244" i="61"/>
  <c r="P3243" i="61"/>
  <c r="O3243" i="61"/>
  <c r="N3243" i="61"/>
  <c r="M3243" i="61"/>
  <c r="L3243" i="61"/>
  <c r="K3243" i="61"/>
  <c r="P3242" i="61"/>
  <c r="O3242" i="61"/>
  <c r="N3242" i="61"/>
  <c r="M3242" i="61"/>
  <c r="L3242" i="61"/>
  <c r="K3242" i="61"/>
  <c r="P3241" i="61"/>
  <c r="O3241" i="61"/>
  <c r="N3241" i="61"/>
  <c r="M3241" i="61"/>
  <c r="L3241" i="61"/>
  <c r="K3241" i="61"/>
  <c r="P3240" i="61"/>
  <c r="O3240" i="61"/>
  <c r="N3240" i="61"/>
  <c r="M3240" i="61"/>
  <c r="L3240" i="61"/>
  <c r="K3240" i="61"/>
  <c r="P3239" i="61"/>
  <c r="O3239" i="61"/>
  <c r="N3239" i="61"/>
  <c r="M3239" i="61"/>
  <c r="L3239" i="61"/>
  <c r="K3239" i="61"/>
  <c r="P3238" i="61"/>
  <c r="O3238" i="61"/>
  <c r="N3238" i="61"/>
  <c r="M3238" i="61"/>
  <c r="L3238" i="61"/>
  <c r="K3238" i="61"/>
  <c r="P3237" i="61"/>
  <c r="O3237" i="61"/>
  <c r="N3237" i="61"/>
  <c r="M3237" i="61"/>
  <c r="L3237" i="61"/>
  <c r="K3237" i="61"/>
  <c r="P3236" i="61"/>
  <c r="O3236" i="61"/>
  <c r="N3236" i="61"/>
  <c r="M3236" i="61"/>
  <c r="L3236" i="61"/>
  <c r="K3236" i="61"/>
  <c r="P3235" i="61"/>
  <c r="O3235" i="61"/>
  <c r="N3235" i="61"/>
  <c r="M3235" i="61"/>
  <c r="L3235" i="61"/>
  <c r="K3235" i="61"/>
  <c r="P3234" i="61"/>
  <c r="O3234" i="61"/>
  <c r="N3234" i="61"/>
  <c r="M3234" i="61"/>
  <c r="L3234" i="61"/>
  <c r="K3234" i="61"/>
  <c r="P3233" i="61"/>
  <c r="O3233" i="61"/>
  <c r="N3233" i="61"/>
  <c r="M3233" i="61"/>
  <c r="L3233" i="61"/>
  <c r="K3233" i="61"/>
  <c r="P3232" i="61"/>
  <c r="O3232" i="61"/>
  <c r="N3232" i="61"/>
  <c r="M3232" i="61"/>
  <c r="L3232" i="61"/>
  <c r="K3232" i="61"/>
  <c r="P3231" i="61"/>
  <c r="O3231" i="61"/>
  <c r="N3231" i="61"/>
  <c r="M3231" i="61"/>
  <c r="L3231" i="61"/>
  <c r="K3231" i="61"/>
  <c r="P3230" i="61"/>
  <c r="O3230" i="61"/>
  <c r="N3230" i="61"/>
  <c r="M3230" i="61"/>
  <c r="L3230" i="61"/>
  <c r="K3230" i="61"/>
  <c r="P3229" i="61"/>
  <c r="O3229" i="61"/>
  <c r="N3229" i="61"/>
  <c r="M3229" i="61"/>
  <c r="L3229" i="61"/>
  <c r="K3229" i="61"/>
  <c r="P3228" i="61"/>
  <c r="O3228" i="61"/>
  <c r="N3228" i="61"/>
  <c r="M3228" i="61"/>
  <c r="L3228" i="61"/>
  <c r="K3228" i="61"/>
  <c r="P3227" i="61"/>
  <c r="O3227" i="61"/>
  <c r="N3227" i="61"/>
  <c r="M3227" i="61"/>
  <c r="L3227" i="61"/>
  <c r="K3227" i="61"/>
  <c r="P3226" i="61"/>
  <c r="O3226" i="61"/>
  <c r="N3226" i="61"/>
  <c r="M3226" i="61"/>
  <c r="L3226" i="61"/>
  <c r="K3226" i="61"/>
  <c r="P3225" i="61"/>
  <c r="O3225" i="61"/>
  <c r="N3225" i="61"/>
  <c r="M3225" i="61"/>
  <c r="L3225" i="61"/>
  <c r="K3225" i="61"/>
  <c r="P3224" i="61"/>
  <c r="O3224" i="61"/>
  <c r="N3224" i="61"/>
  <c r="M3224" i="61"/>
  <c r="L3224" i="61"/>
  <c r="K3224" i="61"/>
  <c r="P3223" i="61"/>
  <c r="O3223" i="61"/>
  <c r="N3223" i="61"/>
  <c r="M3223" i="61"/>
  <c r="L3223" i="61"/>
  <c r="K3223" i="61"/>
  <c r="P3222" i="61"/>
  <c r="O3222" i="61"/>
  <c r="N3222" i="61"/>
  <c r="M3222" i="61"/>
  <c r="L3222" i="61"/>
  <c r="K3222" i="61"/>
  <c r="P3221" i="61"/>
  <c r="O3221" i="61"/>
  <c r="N3221" i="61"/>
  <c r="M3221" i="61"/>
  <c r="L3221" i="61"/>
  <c r="K3221" i="61"/>
  <c r="P3220" i="61"/>
  <c r="O3220" i="61"/>
  <c r="N3220" i="61"/>
  <c r="M3220" i="61"/>
  <c r="L3220" i="61"/>
  <c r="K3220" i="61"/>
  <c r="P3219" i="61"/>
  <c r="O3219" i="61"/>
  <c r="N3219" i="61"/>
  <c r="M3219" i="61"/>
  <c r="L3219" i="61"/>
  <c r="K3219" i="61"/>
  <c r="P3218" i="61"/>
  <c r="O3218" i="61"/>
  <c r="N3218" i="61"/>
  <c r="M3218" i="61"/>
  <c r="L3218" i="61"/>
  <c r="K3218" i="61"/>
  <c r="P3217" i="61"/>
  <c r="O3217" i="61"/>
  <c r="N3217" i="61"/>
  <c r="M3217" i="61"/>
  <c r="L3217" i="61"/>
  <c r="K3217" i="61"/>
  <c r="P3216" i="61"/>
  <c r="O3216" i="61"/>
  <c r="N3216" i="61"/>
  <c r="M3216" i="61"/>
  <c r="L3216" i="61"/>
  <c r="K3216" i="61"/>
  <c r="P3215" i="61"/>
  <c r="O3215" i="61"/>
  <c r="N3215" i="61"/>
  <c r="M3215" i="61"/>
  <c r="L3215" i="61"/>
  <c r="K3215" i="61"/>
  <c r="P3214" i="61"/>
  <c r="O3214" i="61"/>
  <c r="N3214" i="61"/>
  <c r="M3214" i="61"/>
  <c r="L3214" i="61"/>
  <c r="K3214" i="61"/>
  <c r="P3213" i="61"/>
  <c r="O3213" i="61"/>
  <c r="N3213" i="61"/>
  <c r="M3213" i="61"/>
  <c r="L3213" i="61"/>
  <c r="K3213" i="61"/>
  <c r="P3212" i="61"/>
  <c r="O3212" i="61"/>
  <c r="N3212" i="61"/>
  <c r="M3212" i="61"/>
  <c r="L3212" i="61"/>
  <c r="K3212" i="61"/>
  <c r="P3211" i="61"/>
  <c r="O3211" i="61"/>
  <c r="N3211" i="61"/>
  <c r="M3211" i="61"/>
  <c r="L3211" i="61"/>
  <c r="K3211" i="61"/>
  <c r="P3210" i="61"/>
  <c r="O3210" i="61"/>
  <c r="N3210" i="61"/>
  <c r="M3210" i="61"/>
  <c r="L3210" i="61"/>
  <c r="K3210" i="61"/>
  <c r="P3209" i="61"/>
  <c r="O3209" i="61"/>
  <c r="N3209" i="61"/>
  <c r="M3209" i="61"/>
  <c r="L3209" i="61"/>
  <c r="K3209" i="61"/>
  <c r="P3208" i="61"/>
  <c r="O3208" i="61"/>
  <c r="N3208" i="61"/>
  <c r="M3208" i="61"/>
  <c r="L3208" i="61"/>
  <c r="K3208" i="61"/>
  <c r="P3207" i="61"/>
  <c r="O3207" i="61"/>
  <c r="N3207" i="61"/>
  <c r="M3207" i="61"/>
  <c r="L3207" i="61"/>
  <c r="K3207" i="61"/>
  <c r="P3206" i="61"/>
  <c r="O3206" i="61"/>
  <c r="N3206" i="61"/>
  <c r="M3206" i="61"/>
  <c r="L3206" i="61"/>
  <c r="K3206" i="61"/>
  <c r="P3205" i="61"/>
  <c r="O3205" i="61"/>
  <c r="N3205" i="61"/>
  <c r="M3205" i="61"/>
  <c r="L3205" i="61"/>
  <c r="K3205" i="61"/>
  <c r="P3204" i="61"/>
  <c r="O3204" i="61"/>
  <c r="N3204" i="61"/>
  <c r="M3204" i="61"/>
  <c r="L3204" i="61"/>
  <c r="K3204" i="61"/>
  <c r="P3203" i="61"/>
  <c r="O3203" i="61"/>
  <c r="N3203" i="61"/>
  <c r="M3203" i="61"/>
  <c r="L3203" i="61"/>
  <c r="K3203" i="61"/>
  <c r="P3202" i="61"/>
  <c r="O3202" i="61"/>
  <c r="N3202" i="61"/>
  <c r="M3202" i="61"/>
  <c r="L3202" i="61"/>
  <c r="K3202" i="61"/>
  <c r="P3201" i="61"/>
  <c r="O3201" i="61"/>
  <c r="N3201" i="61"/>
  <c r="M3201" i="61"/>
  <c r="L3201" i="61"/>
  <c r="K3201" i="61"/>
  <c r="P3200" i="61"/>
  <c r="O3200" i="61"/>
  <c r="N3200" i="61"/>
  <c r="M3200" i="61"/>
  <c r="L3200" i="61"/>
  <c r="K3200" i="61"/>
  <c r="P3199" i="61"/>
  <c r="O3199" i="61"/>
  <c r="N3199" i="61"/>
  <c r="M3199" i="61"/>
  <c r="L3199" i="61"/>
  <c r="K3199" i="61"/>
  <c r="P3198" i="61"/>
  <c r="O3198" i="61"/>
  <c r="N3198" i="61"/>
  <c r="M3198" i="61"/>
  <c r="L3198" i="61"/>
  <c r="K3198" i="61"/>
  <c r="P3197" i="61"/>
  <c r="O3197" i="61"/>
  <c r="N3197" i="61"/>
  <c r="M3197" i="61"/>
  <c r="L3197" i="61"/>
  <c r="K3197" i="61"/>
  <c r="P3196" i="61"/>
  <c r="O3196" i="61"/>
  <c r="N3196" i="61"/>
  <c r="M3196" i="61"/>
  <c r="L3196" i="61"/>
  <c r="K3196" i="61"/>
  <c r="P3195" i="61"/>
  <c r="O3195" i="61"/>
  <c r="N3195" i="61"/>
  <c r="M3195" i="61"/>
  <c r="L3195" i="61"/>
  <c r="K3195" i="61"/>
  <c r="P3194" i="61"/>
  <c r="O3194" i="61"/>
  <c r="N3194" i="61"/>
  <c r="M3194" i="61"/>
  <c r="L3194" i="61"/>
  <c r="K3194" i="61"/>
  <c r="P3193" i="61"/>
  <c r="O3193" i="61"/>
  <c r="N3193" i="61"/>
  <c r="M3193" i="61"/>
  <c r="L3193" i="61"/>
  <c r="K3193" i="61"/>
  <c r="P3192" i="61"/>
  <c r="O3192" i="61"/>
  <c r="N3192" i="61"/>
  <c r="M3192" i="61"/>
  <c r="L3192" i="61"/>
  <c r="K3192" i="61"/>
  <c r="P3191" i="61"/>
  <c r="O3191" i="61"/>
  <c r="N3191" i="61"/>
  <c r="M3191" i="61"/>
  <c r="L3191" i="61"/>
  <c r="K3191" i="61"/>
  <c r="P3190" i="61"/>
  <c r="O3190" i="61"/>
  <c r="N3190" i="61"/>
  <c r="M3190" i="61"/>
  <c r="L3190" i="61"/>
  <c r="K3190" i="61"/>
  <c r="P3189" i="61"/>
  <c r="O3189" i="61"/>
  <c r="N3189" i="61"/>
  <c r="M3189" i="61"/>
  <c r="L3189" i="61"/>
  <c r="K3189" i="61"/>
  <c r="P3188" i="61"/>
  <c r="O3188" i="61"/>
  <c r="N3188" i="61"/>
  <c r="M3188" i="61"/>
  <c r="L3188" i="61"/>
  <c r="K3188" i="61"/>
  <c r="P3187" i="61"/>
  <c r="O3187" i="61"/>
  <c r="N3187" i="61"/>
  <c r="M3187" i="61"/>
  <c r="L3187" i="61"/>
  <c r="K3187" i="61"/>
  <c r="P3186" i="61"/>
  <c r="O3186" i="61"/>
  <c r="N3186" i="61"/>
  <c r="M3186" i="61"/>
  <c r="L3186" i="61"/>
  <c r="K3186" i="61"/>
  <c r="P3185" i="61"/>
  <c r="O3185" i="61"/>
  <c r="N3185" i="61"/>
  <c r="M3185" i="61"/>
  <c r="L3185" i="61"/>
  <c r="K3185" i="61"/>
  <c r="P3184" i="61"/>
  <c r="O3184" i="61"/>
  <c r="N3184" i="61"/>
  <c r="M3184" i="61"/>
  <c r="L3184" i="61"/>
  <c r="K3184" i="61"/>
  <c r="P3183" i="61"/>
  <c r="O3183" i="61"/>
  <c r="N3183" i="61"/>
  <c r="M3183" i="61"/>
  <c r="L3183" i="61"/>
  <c r="K3183" i="61"/>
  <c r="P3182" i="61"/>
  <c r="O3182" i="61"/>
  <c r="N3182" i="61"/>
  <c r="M3182" i="61"/>
  <c r="L3182" i="61"/>
  <c r="K3182" i="61"/>
  <c r="P3181" i="61"/>
  <c r="O3181" i="61"/>
  <c r="N3181" i="61"/>
  <c r="M3181" i="61"/>
  <c r="L3181" i="61"/>
  <c r="K3181" i="61"/>
  <c r="P3180" i="61"/>
  <c r="O3180" i="61"/>
  <c r="N3180" i="61"/>
  <c r="M3180" i="61"/>
  <c r="L3180" i="61"/>
  <c r="K3180" i="61"/>
  <c r="P3179" i="61"/>
  <c r="O3179" i="61"/>
  <c r="N3179" i="61"/>
  <c r="M3179" i="61"/>
  <c r="L3179" i="61"/>
  <c r="K3179" i="61"/>
  <c r="P3178" i="61"/>
  <c r="O3178" i="61"/>
  <c r="N3178" i="61"/>
  <c r="M3178" i="61"/>
  <c r="L3178" i="61"/>
  <c r="K3178" i="61"/>
  <c r="P3177" i="61"/>
  <c r="O3177" i="61"/>
  <c r="N3177" i="61"/>
  <c r="M3177" i="61"/>
  <c r="L3177" i="61"/>
  <c r="K3177" i="61"/>
  <c r="P3176" i="61"/>
  <c r="O3176" i="61"/>
  <c r="N3176" i="61"/>
  <c r="M3176" i="61"/>
  <c r="L3176" i="61"/>
  <c r="K3176" i="61"/>
  <c r="P3175" i="61"/>
  <c r="O3175" i="61"/>
  <c r="N3175" i="61"/>
  <c r="M3175" i="61"/>
  <c r="L3175" i="61"/>
  <c r="K3175" i="61"/>
  <c r="P3174" i="61"/>
  <c r="O3174" i="61"/>
  <c r="N3174" i="61"/>
  <c r="M3174" i="61"/>
  <c r="L3174" i="61"/>
  <c r="K3174" i="61"/>
  <c r="P3173" i="61"/>
  <c r="O3173" i="61"/>
  <c r="N3173" i="61"/>
  <c r="M3173" i="61"/>
  <c r="L3173" i="61"/>
  <c r="K3173" i="61"/>
  <c r="P3172" i="61"/>
  <c r="O3172" i="61"/>
  <c r="N3172" i="61"/>
  <c r="M3172" i="61"/>
  <c r="L3172" i="61"/>
  <c r="K3172" i="61"/>
  <c r="P3171" i="61"/>
  <c r="O3171" i="61"/>
  <c r="N3171" i="61"/>
  <c r="M3171" i="61"/>
  <c r="L3171" i="61"/>
  <c r="K3171" i="61"/>
  <c r="P3170" i="61"/>
  <c r="O3170" i="61"/>
  <c r="N3170" i="61"/>
  <c r="M3170" i="61"/>
  <c r="L3170" i="61"/>
  <c r="K3170" i="61"/>
  <c r="P3169" i="61"/>
  <c r="O3169" i="61"/>
  <c r="N3169" i="61"/>
  <c r="M3169" i="61"/>
  <c r="L3169" i="61"/>
  <c r="K3169" i="61"/>
  <c r="P3168" i="61"/>
  <c r="O3168" i="61"/>
  <c r="N3168" i="61"/>
  <c r="M3168" i="61"/>
  <c r="L3168" i="61"/>
  <c r="K3168" i="61"/>
  <c r="P3167" i="61"/>
  <c r="O3167" i="61"/>
  <c r="N3167" i="61"/>
  <c r="M3167" i="61"/>
  <c r="L3167" i="61"/>
  <c r="K3167" i="61"/>
  <c r="P3166" i="61"/>
  <c r="O3166" i="61"/>
  <c r="N3166" i="61"/>
  <c r="M3166" i="61"/>
  <c r="L3166" i="61"/>
  <c r="K3166" i="61"/>
  <c r="P3165" i="61"/>
  <c r="O3165" i="61"/>
  <c r="N3165" i="61"/>
  <c r="M3165" i="61"/>
  <c r="L3165" i="61"/>
  <c r="K3165" i="61"/>
  <c r="P3164" i="61"/>
  <c r="O3164" i="61"/>
  <c r="N3164" i="61"/>
  <c r="M3164" i="61"/>
  <c r="L3164" i="61"/>
  <c r="K3164" i="61"/>
  <c r="P3163" i="61"/>
  <c r="O3163" i="61"/>
  <c r="N3163" i="61"/>
  <c r="M3163" i="61"/>
  <c r="L3163" i="61"/>
  <c r="K3163" i="61"/>
  <c r="P3162" i="61"/>
  <c r="O3162" i="61"/>
  <c r="N3162" i="61"/>
  <c r="M3162" i="61"/>
  <c r="L3162" i="61"/>
  <c r="K3162" i="61"/>
  <c r="P3161" i="61"/>
  <c r="O3161" i="61"/>
  <c r="N3161" i="61"/>
  <c r="M3161" i="61"/>
  <c r="L3161" i="61"/>
  <c r="K3161" i="61"/>
  <c r="P3160" i="61"/>
  <c r="O3160" i="61"/>
  <c r="N3160" i="61"/>
  <c r="M3160" i="61"/>
  <c r="L3160" i="61"/>
  <c r="K3160" i="61"/>
  <c r="P3159" i="61"/>
  <c r="O3159" i="61"/>
  <c r="N3159" i="61"/>
  <c r="M3159" i="61"/>
  <c r="L3159" i="61"/>
  <c r="K3159" i="61"/>
  <c r="P3158" i="61"/>
  <c r="O3158" i="61"/>
  <c r="N3158" i="61"/>
  <c r="M3158" i="61"/>
  <c r="L3158" i="61"/>
  <c r="K3158" i="61"/>
  <c r="P3157" i="61"/>
  <c r="O3157" i="61"/>
  <c r="N3157" i="61"/>
  <c r="M3157" i="61"/>
  <c r="L3157" i="61"/>
  <c r="K3157" i="61"/>
  <c r="P3156" i="61"/>
  <c r="O3156" i="61"/>
  <c r="N3156" i="61"/>
  <c r="M3156" i="61"/>
  <c r="L3156" i="61"/>
  <c r="K3156" i="61"/>
  <c r="P3155" i="61"/>
  <c r="O3155" i="61"/>
  <c r="N3155" i="61"/>
  <c r="M3155" i="61"/>
  <c r="L3155" i="61"/>
  <c r="K3155" i="61"/>
  <c r="P3154" i="61"/>
  <c r="O3154" i="61"/>
  <c r="N3154" i="61"/>
  <c r="M3154" i="61"/>
  <c r="L3154" i="61"/>
  <c r="K3154" i="61"/>
  <c r="P3153" i="61"/>
  <c r="O3153" i="61"/>
  <c r="N3153" i="61"/>
  <c r="M3153" i="61"/>
  <c r="L3153" i="61"/>
  <c r="K3153" i="61"/>
  <c r="P3152" i="61"/>
  <c r="O3152" i="61"/>
  <c r="N3152" i="61"/>
  <c r="M3152" i="61"/>
  <c r="L3152" i="61"/>
  <c r="K3152" i="61"/>
  <c r="P3151" i="61"/>
  <c r="O3151" i="61"/>
  <c r="N3151" i="61"/>
  <c r="M3151" i="61"/>
  <c r="L3151" i="61"/>
  <c r="K3151" i="61"/>
  <c r="P3150" i="61"/>
  <c r="O3150" i="61"/>
  <c r="N3150" i="61"/>
  <c r="M3150" i="61"/>
  <c r="L3150" i="61"/>
  <c r="K3150" i="61"/>
  <c r="P3149" i="61"/>
  <c r="O3149" i="61"/>
  <c r="N3149" i="61"/>
  <c r="M3149" i="61"/>
  <c r="L3149" i="61"/>
  <c r="K3149" i="61"/>
  <c r="P3148" i="61"/>
  <c r="O3148" i="61"/>
  <c r="N3148" i="61"/>
  <c r="M3148" i="61"/>
  <c r="L3148" i="61"/>
  <c r="K3148" i="61"/>
  <c r="P3147" i="61"/>
  <c r="O3147" i="61"/>
  <c r="N3147" i="61"/>
  <c r="M3147" i="61"/>
  <c r="L3147" i="61"/>
  <c r="K3147" i="61"/>
  <c r="P3146" i="61"/>
  <c r="O3146" i="61"/>
  <c r="N3146" i="61"/>
  <c r="M3146" i="61"/>
  <c r="L3146" i="61"/>
  <c r="K3146" i="61"/>
  <c r="P3145" i="61"/>
  <c r="O3145" i="61"/>
  <c r="N3145" i="61"/>
  <c r="M3145" i="61"/>
  <c r="L3145" i="61"/>
  <c r="K3145" i="61"/>
  <c r="P3144" i="61"/>
  <c r="O3144" i="61"/>
  <c r="N3144" i="61"/>
  <c r="M3144" i="61"/>
  <c r="L3144" i="61"/>
  <c r="K3144" i="61"/>
  <c r="P3143" i="61"/>
  <c r="O3143" i="61"/>
  <c r="N3143" i="61"/>
  <c r="M3143" i="61"/>
  <c r="L3143" i="61"/>
  <c r="K3143" i="61"/>
  <c r="P3142" i="61"/>
  <c r="O3142" i="61"/>
  <c r="N3142" i="61"/>
  <c r="M3142" i="61"/>
  <c r="L3142" i="61"/>
  <c r="K3142" i="61"/>
  <c r="P3141" i="61"/>
  <c r="O3141" i="61"/>
  <c r="N3141" i="61"/>
  <c r="M3141" i="61"/>
  <c r="L3141" i="61"/>
  <c r="K3141" i="61"/>
  <c r="P3140" i="61"/>
  <c r="O3140" i="61"/>
  <c r="N3140" i="61"/>
  <c r="M3140" i="61"/>
  <c r="L3140" i="61"/>
  <c r="K3140" i="61"/>
  <c r="P3139" i="61"/>
  <c r="O3139" i="61"/>
  <c r="N3139" i="61"/>
  <c r="M3139" i="61"/>
  <c r="L3139" i="61"/>
  <c r="K3139" i="61"/>
  <c r="P3138" i="61"/>
  <c r="O3138" i="61"/>
  <c r="N3138" i="61"/>
  <c r="M3138" i="61"/>
  <c r="L3138" i="61"/>
  <c r="K3138" i="61"/>
  <c r="P3137" i="61"/>
  <c r="O3137" i="61"/>
  <c r="N3137" i="61"/>
  <c r="M3137" i="61"/>
  <c r="L3137" i="61"/>
  <c r="K3137" i="61"/>
  <c r="P3136" i="61"/>
  <c r="O3136" i="61"/>
  <c r="N3136" i="61"/>
  <c r="M3136" i="61"/>
  <c r="L3136" i="61"/>
  <c r="K3136" i="61"/>
  <c r="P3135" i="61"/>
  <c r="O3135" i="61"/>
  <c r="N3135" i="61"/>
  <c r="M3135" i="61"/>
  <c r="L3135" i="61"/>
  <c r="K3135" i="61"/>
  <c r="P3134" i="61"/>
  <c r="O3134" i="61"/>
  <c r="N3134" i="61"/>
  <c r="M3134" i="61"/>
  <c r="L3134" i="61"/>
  <c r="K3134" i="61"/>
  <c r="P3133" i="61"/>
  <c r="O3133" i="61"/>
  <c r="N3133" i="61"/>
  <c r="M3133" i="61"/>
  <c r="L3133" i="61"/>
  <c r="K3133" i="61"/>
  <c r="P3132" i="61"/>
  <c r="O3132" i="61"/>
  <c r="N3132" i="61"/>
  <c r="M3132" i="61"/>
  <c r="L3132" i="61"/>
  <c r="K3132" i="61"/>
  <c r="P3131" i="61"/>
  <c r="O3131" i="61"/>
  <c r="N3131" i="61"/>
  <c r="M3131" i="61"/>
  <c r="L3131" i="61"/>
  <c r="K3131" i="61"/>
  <c r="P3130" i="61"/>
  <c r="O3130" i="61"/>
  <c r="N3130" i="61"/>
  <c r="M3130" i="61"/>
  <c r="L3130" i="61"/>
  <c r="K3130" i="61"/>
  <c r="P3129" i="61"/>
  <c r="O3129" i="61"/>
  <c r="N3129" i="61"/>
  <c r="M3129" i="61"/>
  <c r="L3129" i="61"/>
  <c r="K3129" i="61"/>
  <c r="P3128" i="61"/>
  <c r="O3128" i="61"/>
  <c r="N3128" i="61"/>
  <c r="M3128" i="61"/>
  <c r="L3128" i="61"/>
  <c r="K3128" i="61"/>
  <c r="P3127" i="61"/>
  <c r="O3127" i="61"/>
  <c r="N3127" i="61"/>
  <c r="M3127" i="61"/>
  <c r="L3127" i="61"/>
  <c r="K3127" i="61"/>
  <c r="P3126" i="61"/>
  <c r="O3126" i="61"/>
  <c r="N3126" i="61"/>
  <c r="M3126" i="61"/>
  <c r="L3126" i="61"/>
  <c r="K3126" i="61"/>
  <c r="P3125" i="61"/>
  <c r="O3125" i="61"/>
  <c r="N3125" i="61"/>
  <c r="M3125" i="61"/>
  <c r="L3125" i="61"/>
  <c r="K3125" i="61"/>
  <c r="P3124" i="61"/>
  <c r="O3124" i="61"/>
  <c r="N3124" i="61"/>
  <c r="M3124" i="61"/>
  <c r="L3124" i="61"/>
  <c r="K3124" i="61"/>
  <c r="P3123" i="61"/>
  <c r="O3123" i="61"/>
  <c r="N3123" i="61"/>
  <c r="M3123" i="61"/>
  <c r="L3123" i="61"/>
  <c r="K3123" i="61"/>
  <c r="P3122" i="61"/>
  <c r="O3122" i="61"/>
  <c r="N3122" i="61"/>
  <c r="M3122" i="61"/>
  <c r="L3122" i="61"/>
  <c r="K3122" i="61"/>
  <c r="P3121" i="61"/>
  <c r="O3121" i="61"/>
  <c r="N3121" i="61"/>
  <c r="M3121" i="61"/>
  <c r="L3121" i="61"/>
  <c r="K3121" i="61"/>
  <c r="P3120" i="61"/>
  <c r="O3120" i="61"/>
  <c r="N3120" i="61"/>
  <c r="M3120" i="61"/>
  <c r="L3120" i="61"/>
  <c r="K3120" i="61"/>
  <c r="P3119" i="61"/>
  <c r="O3119" i="61"/>
  <c r="N3119" i="61"/>
  <c r="M3119" i="61"/>
  <c r="L3119" i="61"/>
  <c r="K3119" i="61"/>
  <c r="P3118" i="61"/>
  <c r="O3118" i="61"/>
  <c r="N3118" i="61"/>
  <c r="M3118" i="61"/>
  <c r="L3118" i="61"/>
  <c r="K3118" i="61"/>
  <c r="P3117" i="61"/>
  <c r="O3117" i="61"/>
  <c r="N3117" i="61"/>
  <c r="M3117" i="61"/>
  <c r="L3117" i="61"/>
  <c r="K3117" i="61"/>
  <c r="P3116" i="61"/>
  <c r="O3116" i="61"/>
  <c r="N3116" i="61"/>
  <c r="M3116" i="61"/>
  <c r="L3116" i="61"/>
  <c r="K3116" i="61"/>
  <c r="P3115" i="61"/>
  <c r="O3115" i="61"/>
  <c r="N3115" i="61"/>
  <c r="M3115" i="61"/>
  <c r="L3115" i="61"/>
  <c r="K3115" i="61"/>
  <c r="P3114" i="61"/>
  <c r="O3114" i="61"/>
  <c r="N3114" i="61"/>
  <c r="M3114" i="61"/>
  <c r="L3114" i="61"/>
  <c r="K3114" i="61"/>
  <c r="P3113" i="61"/>
  <c r="O3113" i="61"/>
  <c r="N3113" i="61"/>
  <c r="M3113" i="61"/>
  <c r="L3113" i="61"/>
  <c r="K3113" i="61"/>
  <c r="P3112" i="61"/>
  <c r="O3112" i="61"/>
  <c r="N3112" i="61"/>
  <c r="M3112" i="61"/>
  <c r="L3112" i="61"/>
  <c r="K3112" i="61"/>
  <c r="P3111" i="61"/>
  <c r="O3111" i="61"/>
  <c r="N3111" i="61"/>
  <c r="M3111" i="61"/>
  <c r="L3111" i="61"/>
  <c r="K3111" i="61"/>
  <c r="P3110" i="61"/>
  <c r="O3110" i="61"/>
  <c r="N3110" i="61"/>
  <c r="M3110" i="61"/>
  <c r="L3110" i="61"/>
  <c r="K3110" i="61"/>
  <c r="P3109" i="61"/>
  <c r="O3109" i="61"/>
  <c r="N3109" i="61"/>
  <c r="M3109" i="61"/>
  <c r="L3109" i="61"/>
  <c r="K3109" i="61"/>
  <c r="P3108" i="61"/>
  <c r="O3108" i="61"/>
  <c r="N3108" i="61"/>
  <c r="M3108" i="61"/>
  <c r="L3108" i="61"/>
  <c r="K3108" i="61"/>
  <c r="P3107" i="61"/>
  <c r="O3107" i="61"/>
  <c r="N3107" i="61"/>
  <c r="M3107" i="61"/>
  <c r="L3107" i="61"/>
  <c r="K3107" i="61"/>
  <c r="P3106" i="61"/>
  <c r="O3106" i="61"/>
  <c r="N3106" i="61"/>
  <c r="M3106" i="61"/>
  <c r="L3106" i="61"/>
  <c r="K3106" i="61"/>
  <c r="P3105" i="61"/>
  <c r="O3105" i="61"/>
  <c r="N3105" i="61"/>
  <c r="M3105" i="61"/>
  <c r="L3105" i="61"/>
  <c r="K3105" i="61"/>
  <c r="P3104" i="61"/>
  <c r="O3104" i="61"/>
  <c r="N3104" i="61"/>
  <c r="M3104" i="61"/>
  <c r="L3104" i="61"/>
  <c r="K3104" i="61"/>
  <c r="P3103" i="61"/>
  <c r="O3103" i="61"/>
  <c r="N3103" i="61"/>
  <c r="M3103" i="61"/>
  <c r="L3103" i="61"/>
  <c r="K3103" i="61"/>
  <c r="P3102" i="61"/>
  <c r="O3102" i="61"/>
  <c r="N3102" i="61"/>
  <c r="M3102" i="61"/>
  <c r="L3102" i="61"/>
  <c r="K3102" i="61"/>
  <c r="P3101" i="61"/>
  <c r="O3101" i="61"/>
  <c r="N3101" i="61"/>
  <c r="M3101" i="61"/>
  <c r="L3101" i="61"/>
  <c r="K3101" i="61"/>
  <c r="P3100" i="61"/>
  <c r="O3100" i="61"/>
  <c r="N3100" i="61"/>
  <c r="M3100" i="61"/>
  <c r="L3100" i="61"/>
  <c r="K3100" i="61"/>
  <c r="P3099" i="61"/>
  <c r="O3099" i="61"/>
  <c r="N3099" i="61"/>
  <c r="M3099" i="61"/>
  <c r="L3099" i="61"/>
  <c r="K3099" i="61"/>
  <c r="P3098" i="61"/>
  <c r="O3098" i="61"/>
  <c r="N3098" i="61"/>
  <c r="M3098" i="61"/>
  <c r="L3098" i="61"/>
  <c r="K3098" i="61"/>
  <c r="P3097" i="61"/>
  <c r="O3097" i="61"/>
  <c r="N3097" i="61"/>
  <c r="M3097" i="61"/>
  <c r="L3097" i="61"/>
  <c r="K3097" i="61"/>
  <c r="P3096" i="61"/>
  <c r="O3096" i="61"/>
  <c r="N3096" i="61"/>
  <c r="M3096" i="61"/>
  <c r="L3096" i="61"/>
  <c r="K3096" i="61"/>
  <c r="P3095" i="61"/>
  <c r="O3095" i="61"/>
  <c r="N3095" i="61"/>
  <c r="M3095" i="61"/>
  <c r="L3095" i="61"/>
  <c r="K3095" i="61"/>
  <c r="P3094" i="61"/>
  <c r="O3094" i="61"/>
  <c r="N3094" i="61"/>
  <c r="M3094" i="61"/>
  <c r="L3094" i="61"/>
  <c r="K3094" i="61"/>
  <c r="P3093" i="61"/>
  <c r="O3093" i="61"/>
  <c r="N3093" i="61"/>
  <c r="M3093" i="61"/>
  <c r="L3093" i="61"/>
  <c r="K3093" i="61"/>
  <c r="P3092" i="61"/>
  <c r="O3092" i="61"/>
  <c r="N3092" i="61"/>
  <c r="M3092" i="61"/>
  <c r="L3092" i="61"/>
  <c r="K3092" i="61"/>
  <c r="P3091" i="61"/>
  <c r="O3091" i="61"/>
  <c r="N3091" i="61"/>
  <c r="M3091" i="61"/>
  <c r="L3091" i="61"/>
  <c r="K3091" i="61"/>
  <c r="P3090" i="61"/>
  <c r="O3090" i="61"/>
  <c r="N3090" i="61"/>
  <c r="M3090" i="61"/>
  <c r="L3090" i="61"/>
  <c r="K3090" i="61"/>
  <c r="P3089" i="61"/>
  <c r="O3089" i="61"/>
  <c r="N3089" i="61"/>
  <c r="M3089" i="61"/>
  <c r="L3089" i="61"/>
  <c r="K3089" i="61"/>
  <c r="P3088" i="61"/>
  <c r="O3088" i="61"/>
  <c r="N3088" i="61"/>
  <c r="M3088" i="61"/>
  <c r="L3088" i="61"/>
  <c r="K3088" i="61"/>
  <c r="P3087" i="61"/>
  <c r="O3087" i="61"/>
  <c r="N3087" i="61"/>
  <c r="M3087" i="61"/>
  <c r="L3087" i="61"/>
  <c r="K3087" i="61"/>
  <c r="P3086" i="61"/>
  <c r="O3086" i="61"/>
  <c r="N3086" i="61"/>
  <c r="M3086" i="61"/>
  <c r="L3086" i="61"/>
  <c r="K3086" i="61"/>
  <c r="P3085" i="61"/>
  <c r="O3085" i="61"/>
  <c r="N3085" i="61"/>
  <c r="M3085" i="61"/>
  <c r="L3085" i="61"/>
  <c r="K3085" i="61"/>
  <c r="P3084" i="61"/>
  <c r="O3084" i="61"/>
  <c r="N3084" i="61"/>
  <c r="M3084" i="61"/>
  <c r="L3084" i="61"/>
  <c r="K3084" i="61"/>
  <c r="P3083" i="61"/>
  <c r="O3083" i="61"/>
  <c r="N3083" i="61"/>
  <c r="M3083" i="61"/>
  <c r="L3083" i="61"/>
  <c r="K3083" i="61"/>
  <c r="P3082" i="61"/>
  <c r="O3082" i="61"/>
  <c r="N3082" i="61"/>
  <c r="M3082" i="61"/>
  <c r="L3082" i="61"/>
  <c r="K3082" i="61"/>
  <c r="P3081" i="61"/>
  <c r="O3081" i="61"/>
  <c r="N3081" i="61"/>
  <c r="M3081" i="61"/>
  <c r="L3081" i="61"/>
  <c r="K3081" i="61"/>
  <c r="P3080" i="61"/>
  <c r="O3080" i="61"/>
  <c r="N3080" i="61"/>
  <c r="M3080" i="61"/>
  <c r="L3080" i="61"/>
  <c r="K3080" i="61"/>
  <c r="P3079" i="61"/>
  <c r="O3079" i="61"/>
  <c r="N3079" i="61"/>
  <c r="M3079" i="61"/>
  <c r="L3079" i="61"/>
  <c r="K3079" i="61"/>
  <c r="P3078" i="61"/>
  <c r="O3078" i="61"/>
  <c r="N3078" i="61"/>
  <c r="M3078" i="61"/>
  <c r="L3078" i="61"/>
  <c r="K3078" i="61"/>
  <c r="P3077" i="61"/>
  <c r="O3077" i="61"/>
  <c r="N3077" i="61"/>
  <c r="M3077" i="61"/>
  <c r="L3077" i="61"/>
  <c r="K3077" i="61"/>
  <c r="P3076" i="61"/>
  <c r="O3076" i="61"/>
  <c r="N3076" i="61"/>
  <c r="M3076" i="61"/>
  <c r="L3076" i="61"/>
  <c r="K3076" i="61"/>
  <c r="P3075" i="61"/>
  <c r="O3075" i="61"/>
  <c r="N3075" i="61"/>
  <c r="M3075" i="61"/>
  <c r="L3075" i="61"/>
  <c r="K3075" i="61"/>
  <c r="P3074" i="61"/>
  <c r="O3074" i="61"/>
  <c r="N3074" i="61"/>
  <c r="M3074" i="61"/>
  <c r="L3074" i="61"/>
  <c r="K3074" i="61"/>
  <c r="P3073" i="61"/>
  <c r="O3073" i="61"/>
  <c r="N3073" i="61"/>
  <c r="M3073" i="61"/>
  <c r="L3073" i="61"/>
  <c r="K3073" i="61"/>
  <c r="P3072" i="61"/>
  <c r="O3072" i="61"/>
  <c r="N3072" i="61"/>
  <c r="M3072" i="61"/>
  <c r="L3072" i="61"/>
  <c r="K3072" i="61"/>
  <c r="P3071" i="61"/>
  <c r="O3071" i="61"/>
  <c r="N3071" i="61"/>
  <c r="M3071" i="61"/>
  <c r="L3071" i="61"/>
  <c r="K3071" i="61"/>
  <c r="P3070" i="61"/>
  <c r="O3070" i="61"/>
  <c r="N3070" i="61"/>
  <c r="M3070" i="61"/>
  <c r="L3070" i="61"/>
  <c r="K3070" i="61"/>
  <c r="P3069" i="61"/>
  <c r="O3069" i="61"/>
  <c r="N3069" i="61"/>
  <c r="M3069" i="61"/>
  <c r="L3069" i="61"/>
  <c r="K3069" i="61"/>
  <c r="P3068" i="61"/>
  <c r="O3068" i="61"/>
  <c r="N3068" i="61"/>
  <c r="M3068" i="61"/>
  <c r="L3068" i="61"/>
  <c r="K3068" i="61"/>
  <c r="P3067" i="61"/>
  <c r="O3067" i="61"/>
  <c r="N3067" i="61"/>
  <c r="M3067" i="61"/>
  <c r="L3067" i="61"/>
  <c r="K3067" i="61"/>
  <c r="P3066" i="61"/>
  <c r="O3066" i="61"/>
  <c r="N3066" i="61"/>
  <c r="M3066" i="61"/>
  <c r="L3066" i="61"/>
  <c r="K3066" i="61"/>
  <c r="P3065" i="61"/>
  <c r="O3065" i="61"/>
  <c r="N3065" i="61"/>
  <c r="M3065" i="61"/>
  <c r="L3065" i="61"/>
  <c r="K3065" i="61"/>
  <c r="P3064" i="61"/>
  <c r="O3064" i="61"/>
  <c r="N3064" i="61"/>
  <c r="M3064" i="61"/>
  <c r="L3064" i="61"/>
  <c r="K3064" i="61"/>
  <c r="P3063" i="61"/>
  <c r="O3063" i="61"/>
  <c r="N3063" i="61"/>
  <c r="M3063" i="61"/>
  <c r="L3063" i="61"/>
  <c r="K3063" i="61"/>
  <c r="P3062" i="61"/>
  <c r="O3062" i="61"/>
  <c r="N3062" i="61"/>
  <c r="M3062" i="61"/>
  <c r="L3062" i="61"/>
  <c r="K3062" i="61"/>
  <c r="P3061" i="61"/>
  <c r="O3061" i="61"/>
  <c r="N3061" i="61"/>
  <c r="M3061" i="61"/>
  <c r="L3061" i="61"/>
  <c r="K3061" i="61"/>
  <c r="P3060" i="61"/>
  <c r="O3060" i="61"/>
  <c r="N3060" i="61"/>
  <c r="M3060" i="61"/>
  <c r="L3060" i="61"/>
  <c r="K3060" i="61"/>
  <c r="P3059" i="61"/>
  <c r="O3059" i="61"/>
  <c r="N3059" i="61"/>
  <c r="M3059" i="61"/>
  <c r="L3059" i="61"/>
  <c r="K3059" i="61"/>
  <c r="P3058" i="61"/>
  <c r="O3058" i="61"/>
  <c r="N3058" i="61"/>
  <c r="M3058" i="61"/>
  <c r="L3058" i="61"/>
  <c r="K3058" i="61"/>
  <c r="P3057" i="61"/>
  <c r="O3057" i="61"/>
  <c r="N3057" i="61"/>
  <c r="M3057" i="61"/>
  <c r="L3057" i="61"/>
  <c r="K3057" i="61"/>
  <c r="P3056" i="61"/>
  <c r="O3056" i="61"/>
  <c r="N3056" i="61"/>
  <c r="M3056" i="61"/>
  <c r="L3056" i="61"/>
  <c r="K3056" i="61"/>
  <c r="P3055" i="61"/>
  <c r="O3055" i="61"/>
  <c r="N3055" i="61"/>
  <c r="M3055" i="61"/>
  <c r="L3055" i="61"/>
  <c r="K3055" i="61"/>
  <c r="P3054" i="61"/>
  <c r="O3054" i="61"/>
  <c r="N3054" i="61"/>
  <c r="M3054" i="61"/>
  <c r="L3054" i="61"/>
  <c r="K3054" i="61"/>
  <c r="P3053" i="61"/>
  <c r="O3053" i="61"/>
  <c r="N3053" i="61"/>
  <c r="M3053" i="61"/>
  <c r="L3053" i="61"/>
  <c r="K3053" i="61"/>
  <c r="P3052" i="61"/>
  <c r="O3052" i="61"/>
  <c r="N3052" i="61"/>
  <c r="M3052" i="61"/>
  <c r="L3052" i="61"/>
  <c r="K3052" i="61"/>
  <c r="P3051" i="61"/>
  <c r="O3051" i="61"/>
  <c r="N3051" i="61"/>
  <c r="M3051" i="61"/>
  <c r="L3051" i="61"/>
  <c r="K3051" i="61"/>
  <c r="P3050" i="61"/>
  <c r="O3050" i="61"/>
  <c r="N3050" i="61"/>
  <c r="M3050" i="61"/>
  <c r="L3050" i="61"/>
  <c r="K3050" i="61"/>
  <c r="P3049" i="61"/>
  <c r="O3049" i="61"/>
  <c r="N3049" i="61"/>
  <c r="M3049" i="61"/>
  <c r="L3049" i="61"/>
  <c r="K3049" i="61"/>
  <c r="P3048" i="61"/>
  <c r="O3048" i="61"/>
  <c r="N3048" i="61"/>
  <c r="M3048" i="61"/>
  <c r="L3048" i="61"/>
  <c r="K3048" i="61"/>
  <c r="P3047" i="61"/>
  <c r="O3047" i="61"/>
  <c r="N3047" i="61"/>
  <c r="M3047" i="61"/>
  <c r="L3047" i="61"/>
  <c r="K3047" i="61"/>
  <c r="P3046" i="61"/>
  <c r="O3046" i="61"/>
  <c r="N3046" i="61"/>
  <c r="M3046" i="61"/>
  <c r="L3046" i="61"/>
  <c r="K3046" i="61"/>
  <c r="P3045" i="61"/>
  <c r="O3045" i="61"/>
  <c r="N3045" i="61"/>
  <c r="M3045" i="61"/>
  <c r="L3045" i="61"/>
  <c r="K3045" i="61"/>
  <c r="P3044" i="61"/>
  <c r="O3044" i="61"/>
  <c r="N3044" i="61"/>
  <c r="M3044" i="61"/>
  <c r="L3044" i="61"/>
  <c r="K3044" i="61"/>
  <c r="P3043" i="61"/>
  <c r="O3043" i="61"/>
  <c r="N3043" i="61"/>
  <c r="M3043" i="61"/>
  <c r="L3043" i="61"/>
  <c r="K3043" i="61"/>
  <c r="P3042" i="61"/>
  <c r="O3042" i="61"/>
  <c r="N3042" i="61"/>
  <c r="M3042" i="61"/>
  <c r="L3042" i="61"/>
  <c r="K3042" i="61"/>
  <c r="P3041" i="61"/>
  <c r="O3041" i="61"/>
  <c r="N3041" i="61"/>
  <c r="M3041" i="61"/>
  <c r="L3041" i="61"/>
  <c r="K3041" i="61"/>
  <c r="P3040" i="61"/>
  <c r="O3040" i="61"/>
  <c r="N3040" i="61"/>
  <c r="M3040" i="61"/>
  <c r="L3040" i="61"/>
  <c r="K3040" i="61"/>
  <c r="P3039" i="61"/>
  <c r="O3039" i="61"/>
  <c r="N3039" i="61"/>
  <c r="M3039" i="61"/>
  <c r="L3039" i="61"/>
  <c r="K3039" i="61"/>
  <c r="P3038" i="61"/>
  <c r="O3038" i="61"/>
  <c r="N3038" i="61"/>
  <c r="M3038" i="61"/>
  <c r="L3038" i="61"/>
  <c r="K3038" i="61"/>
  <c r="P3037" i="61"/>
  <c r="O3037" i="61"/>
  <c r="N3037" i="61"/>
  <c r="M3037" i="61"/>
  <c r="L3037" i="61"/>
  <c r="K3037" i="61"/>
  <c r="P3036" i="61"/>
  <c r="O3036" i="61"/>
  <c r="N3036" i="61"/>
  <c r="M3036" i="61"/>
  <c r="L3036" i="61"/>
  <c r="K3036" i="61"/>
  <c r="P3035" i="61"/>
  <c r="O3035" i="61"/>
  <c r="N3035" i="61"/>
  <c r="M3035" i="61"/>
  <c r="L3035" i="61"/>
  <c r="K3035" i="61"/>
  <c r="P3034" i="61"/>
  <c r="O3034" i="61"/>
  <c r="N3034" i="61"/>
  <c r="M3034" i="61"/>
  <c r="L3034" i="61"/>
  <c r="K3034" i="61"/>
  <c r="P3033" i="61"/>
  <c r="O3033" i="61"/>
  <c r="N3033" i="61"/>
  <c r="M3033" i="61"/>
  <c r="L3033" i="61"/>
  <c r="K3033" i="61"/>
  <c r="P3032" i="61"/>
  <c r="O3032" i="61"/>
  <c r="N3032" i="61"/>
  <c r="M3032" i="61"/>
  <c r="L3032" i="61"/>
  <c r="K3032" i="61"/>
  <c r="P3031" i="61"/>
  <c r="O3031" i="61"/>
  <c r="N3031" i="61"/>
  <c r="M3031" i="61"/>
  <c r="L3031" i="61"/>
  <c r="K3031" i="61"/>
  <c r="P3030" i="61"/>
  <c r="O3030" i="61"/>
  <c r="N3030" i="61"/>
  <c r="M3030" i="61"/>
  <c r="L3030" i="61"/>
  <c r="K3030" i="61"/>
  <c r="P3029" i="61"/>
  <c r="O3029" i="61"/>
  <c r="N3029" i="61"/>
  <c r="M3029" i="61"/>
  <c r="L3029" i="61"/>
  <c r="K3029" i="61"/>
  <c r="P3028" i="61"/>
  <c r="O3028" i="61"/>
  <c r="N3028" i="61"/>
  <c r="M3028" i="61"/>
  <c r="L3028" i="61"/>
  <c r="K3028" i="61"/>
  <c r="P3027" i="61"/>
  <c r="O3027" i="61"/>
  <c r="N3027" i="61"/>
  <c r="M3027" i="61"/>
  <c r="L3027" i="61"/>
  <c r="K3027" i="61"/>
  <c r="P3026" i="61"/>
  <c r="O3026" i="61"/>
  <c r="N3026" i="61"/>
  <c r="M3026" i="61"/>
  <c r="L3026" i="61"/>
  <c r="K3026" i="61"/>
  <c r="P3025" i="61"/>
  <c r="O3025" i="61"/>
  <c r="N3025" i="61"/>
  <c r="M3025" i="61"/>
  <c r="L3025" i="61"/>
  <c r="K3025" i="61"/>
  <c r="P3024" i="61"/>
  <c r="O3024" i="61"/>
  <c r="N3024" i="61"/>
  <c r="M3024" i="61"/>
  <c r="L3024" i="61"/>
  <c r="K3024" i="61"/>
  <c r="P3023" i="61"/>
  <c r="O3023" i="61"/>
  <c r="N3023" i="61"/>
  <c r="M3023" i="61"/>
  <c r="L3023" i="61"/>
  <c r="K3023" i="61"/>
  <c r="P3022" i="61"/>
  <c r="O3022" i="61"/>
  <c r="N3022" i="61"/>
  <c r="M3022" i="61"/>
  <c r="L3022" i="61"/>
  <c r="K3022" i="61"/>
  <c r="P3021" i="61"/>
  <c r="O3021" i="61"/>
  <c r="N3021" i="61"/>
  <c r="M3021" i="61"/>
  <c r="L3021" i="61"/>
  <c r="K3021" i="61"/>
  <c r="P3020" i="61"/>
  <c r="O3020" i="61"/>
  <c r="N3020" i="61"/>
  <c r="M3020" i="61"/>
  <c r="L3020" i="61"/>
  <c r="K3020" i="61"/>
  <c r="P3019" i="61"/>
  <c r="O3019" i="61"/>
  <c r="N3019" i="61"/>
  <c r="M3019" i="61"/>
  <c r="L3019" i="61"/>
  <c r="K3019" i="61"/>
  <c r="P3018" i="61"/>
  <c r="O3018" i="61"/>
  <c r="N3018" i="61"/>
  <c r="M3018" i="61"/>
  <c r="L3018" i="61"/>
  <c r="K3018" i="61"/>
  <c r="P3017" i="61"/>
  <c r="O3017" i="61"/>
  <c r="N3017" i="61"/>
  <c r="M3017" i="61"/>
  <c r="L3017" i="61"/>
  <c r="K3017" i="61"/>
  <c r="P3016" i="61"/>
  <c r="O3016" i="61"/>
  <c r="N3016" i="61"/>
  <c r="M3016" i="61"/>
  <c r="L3016" i="61"/>
  <c r="K3016" i="61"/>
  <c r="P3015" i="61"/>
  <c r="O3015" i="61"/>
  <c r="N3015" i="61"/>
  <c r="M3015" i="61"/>
  <c r="L3015" i="61"/>
  <c r="K3015" i="61"/>
  <c r="P3014" i="61"/>
  <c r="O3014" i="61"/>
  <c r="N3014" i="61"/>
  <c r="M3014" i="61"/>
  <c r="L3014" i="61"/>
  <c r="K3014" i="61"/>
  <c r="P3013" i="61"/>
  <c r="O3013" i="61"/>
  <c r="N3013" i="61"/>
  <c r="M3013" i="61"/>
  <c r="L3013" i="61"/>
  <c r="K3013" i="61"/>
  <c r="P3012" i="61"/>
  <c r="O3012" i="61"/>
  <c r="N3012" i="61"/>
  <c r="M3012" i="61"/>
  <c r="L3012" i="61"/>
  <c r="K3012" i="61"/>
  <c r="P3011" i="61"/>
  <c r="O3011" i="61"/>
  <c r="N3011" i="61"/>
  <c r="M3011" i="61"/>
  <c r="L3011" i="61"/>
  <c r="K3011" i="61"/>
  <c r="P3010" i="61"/>
  <c r="O3010" i="61"/>
  <c r="N3010" i="61"/>
  <c r="M3010" i="61"/>
  <c r="L3010" i="61"/>
  <c r="K3010" i="61"/>
  <c r="P3009" i="61"/>
  <c r="O3009" i="61"/>
  <c r="N3009" i="61"/>
  <c r="M3009" i="61"/>
  <c r="L3009" i="61"/>
  <c r="K3009" i="61"/>
  <c r="P3008" i="61"/>
  <c r="O3008" i="61"/>
  <c r="N3008" i="61"/>
  <c r="M3008" i="61"/>
  <c r="L3008" i="61"/>
  <c r="K3008" i="61"/>
  <c r="P3007" i="61"/>
  <c r="O3007" i="61"/>
  <c r="N3007" i="61"/>
  <c r="M3007" i="61"/>
  <c r="L3007" i="61"/>
  <c r="K3007" i="61"/>
  <c r="P3006" i="61"/>
  <c r="O3006" i="61"/>
  <c r="N3006" i="61"/>
  <c r="M3006" i="61"/>
  <c r="L3006" i="61"/>
  <c r="K3006" i="61"/>
  <c r="P3005" i="61"/>
  <c r="O3005" i="61"/>
  <c r="N3005" i="61"/>
  <c r="M3005" i="61"/>
  <c r="L3005" i="61"/>
  <c r="K3005" i="61"/>
  <c r="P3004" i="61"/>
  <c r="O3004" i="61"/>
  <c r="N3004" i="61"/>
  <c r="M3004" i="61"/>
  <c r="L3004" i="61"/>
  <c r="K3004" i="61"/>
  <c r="P3003" i="61"/>
  <c r="O3003" i="61"/>
  <c r="N3003" i="61"/>
  <c r="M3003" i="61"/>
  <c r="L3003" i="61"/>
  <c r="K3003" i="61"/>
  <c r="P3002" i="61"/>
  <c r="O3002" i="61"/>
  <c r="N3002" i="61"/>
  <c r="M3002" i="61"/>
  <c r="L3002" i="61"/>
  <c r="K3002" i="61"/>
  <c r="P3001" i="61"/>
  <c r="O3001" i="61"/>
  <c r="N3001" i="61"/>
  <c r="M3001" i="61"/>
  <c r="L3001" i="61"/>
  <c r="K3001" i="61"/>
  <c r="P3000" i="61"/>
  <c r="O3000" i="61"/>
  <c r="N3000" i="61"/>
  <c r="M3000" i="61"/>
  <c r="L3000" i="61"/>
  <c r="K3000" i="61"/>
  <c r="P2999" i="61"/>
  <c r="O2999" i="61"/>
  <c r="N2999" i="61"/>
  <c r="M2999" i="61"/>
  <c r="L2999" i="61"/>
  <c r="K2999" i="61"/>
  <c r="P2998" i="61"/>
  <c r="O2998" i="61"/>
  <c r="N2998" i="61"/>
  <c r="M2998" i="61"/>
  <c r="L2998" i="61"/>
  <c r="K2998" i="61"/>
  <c r="P2997" i="61"/>
  <c r="O2997" i="61"/>
  <c r="N2997" i="61"/>
  <c r="M2997" i="61"/>
  <c r="L2997" i="61"/>
  <c r="K2997" i="61"/>
  <c r="P2996" i="61"/>
  <c r="O2996" i="61"/>
  <c r="N2996" i="61"/>
  <c r="M2996" i="61"/>
  <c r="L2996" i="61"/>
  <c r="K2996" i="61"/>
  <c r="P2995" i="61"/>
  <c r="O2995" i="61"/>
  <c r="N2995" i="61"/>
  <c r="M2995" i="61"/>
  <c r="L2995" i="61"/>
  <c r="K2995" i="61"/>
  <c r="P2994" i="61"/>
  <c r="O2994" i="61"/>
  <c r="N2994" i="61"/>
  <c r="M2994" i="61"/>
  <c r="L2994" i="61"/>
  <c r="K2994" i="61"/>
  <c r="P2993" i="61"/>
  <c r="O2993" i="61"/>
  <c r="N2993" i="61"/>
  <c r="M2993" i="61"/>
  <c r="L2993" i="61"/>
  <c r="K2993" i="61"/>
  <c r="P2992" i="61"/>
  <c r="O2992" i="61"/>
  <c r="N2992" i="61"/>
  <c r="M2992" i="61"/>
  <c r="L2992" i="61"/>
  <c r="K2992" i="61"/>
  <c r="P2991" i="61"/>
  <c r="O2991" i="61"/>
  <c r="N2991" i="61"/>
  <c r="M2991" i="61"/>
  <c r="L2991" i="61"/>
  <c r="K2991" i="61"/>
  <c r="P2990" i="61"/>
  <c r="O2990" i="61"/>
  <c r="N2990" i="61"/>
  <c r="M2990" i="61"/>
  <c r="L2990" i="61"/>
  <c r="K2990" i="61"/>
  <c r="P2989" i="61"/>
  <c r="O2989" i="61"/>
  <c r="N2989" i="61"/>
  <c r="M2989" i="61"/>
  <c r="L2989" i="61"/>
  <c r="K2989" i="61"/>
  <c r="P2988" i="61"/>
  <c r="O2988" i="61"/>
  <c r="N2988" i="61"/>
  <c r="M2988" i="61"/>
  <c r="L2988" i="61"/>
  <c r="K2988" i="61"/>
  <c r="P2987" i="61"/>
  <c r="O2987" i="61"/>
  <c r="N2987" i="61"/>
  <c r="M2987" i="61"/>
  <c r="L2987" i="61"/>
  <c r="K2987" i="61"/>
  <c r="P2986" i="61"/>
  <c r="O2986" i="61"/>
  <c r="N2986" i="61"/>
  <c r="M2986" i="61"/>
  <c r="L2986" i="61"/>
  <c r="K2986" i="61"/>
  <c r="P2985" i="61"/>
  <c r="O2985" i="61"/>
  <c r="N2985" i="61"/>
  <c r="M2985" i="61"/>
  <c r="L2985" i="61"/>
  <c r="K2985" i="61"/>
  <c r="P2984" i="61"/>
  <c r="O2984" i="61"/>
  <c r="N2984" i="61"/>
  <c r="M2984" i="61"/>
  <c r="L2984" i="61"/>
  <c r="K2984" i="61"/>
  <c r="P2983" i="61"/>
  <c r="O2983" i="61"/>
  <c r="N2983" i="61"/>
  <c r="M2983" i="61"/>
  <c r="L2983" i="61"/>
  <c r="K2983" i="61"/>
  <c r="P2982" i="61"/>
  <c r="O2982" i="61"/>
  <c r="N2982" i="61"/>
  <c r="M2982" i="61"/>
  <c r="L2982" i="61"/>
  <c r="K2982" i="61"/>
  <c r="P2981" i="61"/>
  <c r="O2981" i="61"/>
  <c r="N2981" i="61"/>
  <c r="M2981" i="61"/>
  <c r="L2981" i="61"/>
  <c r="K2981" i="61"/>
  <c r="P2980" i="61"/>
  <c r="O2980" i="61"/>
  <c r="N2980" i="61"/>
  <c r="M2980" i="61"/>
  <c r="L2980" i="61"/>
  <c r="K2980" i="61"/>
  <c r="P2979" i="61"/>
  <c r="O2979" i="61"/>
  <c r="N2979" i="61"/>
  <c r="M2979" i="61"/>
  <c r="L2979" i="61"/>
  <c r="K2979" i="61"/>
  <c r="P2978" i="61"/>
  <c r="O2978" i="61"/>
  <c r="N2978" i="61"/>
  <c r="M2978" i="61"/>
  <c r="L2978" i="61"/>
  <c r="K2978" i="61"/>
  <c r="P2977" i="61"/>
  <c r="O2977" i="61"/>
  <c r="N2977" i="61"/>
  <c r="M2977" i="61"/>
  <c r="L2977" i="61"/>
  <c r="K2977" i="61"/>
  <c r="P2976" i="61"/>
  <c r="O2976" i="61"/>
  <c r="N2976" i="61"/>
  <c r="M2976" i="61"/>
  <c r="L2976" i="61"/>
  <c r="K2976" i="61"/>
  <c r="P2975" i="61"/>
  <c r="O2975" i="61"/>
  <c r="N2975" i="61"/>
  <c r="M2975" i="61"/>
  <c r="L2975" i="61"/>
  <c r="K2975" i="61"/>
  <c r="P2974" i="61"/>
  <c r="O2974" i="61"/>
  <c r="N2974" i="61"/>
  <c r="M2974" i="61"/>
  <c r="L2974" i="61"/>
  <c r="K2974" i="61"/>
  <c r="P2973" i="61"/>
  <c r="O2973" i="61"/>
  <c r="N2973" i="61"/>
  <c r="M2973" i="61"/>
  <c r="L2973" i="61"/>
  <c r="K2973" i="61"/>
  <c r="P2972" i="61"/>
  <c r="O2972" i="61"/>
  <c r="N2972" i="61"/>
  <c r="M2972" i="61"/>
  <c r="L2972" i="61"/>
  <c r="K2972" i="61"/>
  <c r="P2971" i="61"/>
  <c r="O2971" i="61"/>
  <c r="N2971" i="61"/>
  <c r="M2971" i="61"/>
  <c r="L2971" i="61"/>
  <c r="K2971" i="61"/>
  <c r="P2970" i="61"/>
  <c r="O2970" i="61"/>
  <c r="N2970" i="61"/>
  <c r="M2970" i="61"/>
  <c r="L2970" i="61"/>
  <c r="K2970" i="61"/>
  <c r="P2969" i="61"/>
  <c r="O2969" i="61"/>
  <c r="N2969" i="61"/>
  <c r="M2969" i="61"/>
  <c r="L2969" i="61"/>
  <c r="K2969" i="61"/>
  <c r="P2968" i="61"/>
  <c r="O2968" i="61"/>
  <c r="N2968" i="61"/>
  <c r="M2968" i="61"/>
  <c r="L2968" i="61"/>
  <c r="K2968" i="61"/>
  <c r="P2967" i="61"/>
  <c r="O2967" i="61"/>
  <c r="N2967" i="61"/>
  <c r="M2967" i="61"/>
  <c r="L2967" i="61"/>
  <c r="K2967" i="61"/>
  <c r="P2966" i="61"/>
  <c r="O2966" i="61"/>
  <c r="N2966" i="61"/>
  <c r="M2966" i="61"/>
  <c r="L2966" i="61"/>
  <c r="K2966" i="61"/>
  <c r="P2965" i="61"/>
  <c r="O2965" i="61"/>
  <c r="N2965" i="61"/>
  <c r="M2965" i="61"/>
  <c r="L2965" i="61"/>
  <c r="K2965" i="61"/>
  <c r="P2964" i="61"/>
  <c r="O2964" i="61"/>
  <c r="N2964" i="61"/>
  <c r="M2964" i="61"/>
  <c r="L2964" i="61"/>
  <c r="K2964" i="61"/>
  <c r="P2963" i="61"/>
  <c r="O2963" i="61"/>
  <c r="N2963" i="61"/>
  <c r="M2963" i="61"/>
  <c r="L2963" i="61"/>
  <c r="K2963" i="61"/>
  <c r="P2962" i="61"/>
  <c r="O2962" i="61"/>
  <c r="N2962" i="61"/>
  <c r="M2962" i="61"/>
  <c r="L2962" i="61"/>
  <c r="K2962" i="61"/>
  <c r="P2961" i="61"/>
  <c r="O2961" i="61"/>
  <c r="N2961" i="61"/>
  <c r="M2961" i="61"/>
  <c r="L2961" i="61"/>
  <c r="K2961" i="61"/>
  <c r="P2960" i="61"/>
  <c r="O2960" i="61"/>
  <c r="N2960" i="61"/>
  <c r="M2960" i="61"/>
  <c r="L2960" i="61"/>
  <c r="K2960" i="61"/>
  <c r="P2959" i="61"/>
  <c r="O2959" i="61"/>
  <c r="N2959" i="61"/>
  <c r="M2959" i="61"/>
  <c r="L2959" i="61"/>
  <c r="K2959" i="61"/>
  <c r="P2958" i="61"/>
  <c r="O2958" i="61"/>
  <c r="N2958" i="61"/>
  <c r="M2958" i="61"/>
  <c r="L2958" i="61"/>
  <c r="K2958" i="61"/>
  <c r="P2957" i="61"/>
  <c r="O2957" i="61"/>
  <c r="N2957" i="61"/>
  <c r="M2957" i="61"/>
  <c r="L2957" i="61"/>
  <c r="K2957" i="61"/>
  <c r="P2956" i="61"/>
  <c r="O2956" i="61"/>
  <c r="N2956" i="61"/>
  <c r="M2956" i="61"/>
  <c r="L2956" i="61"/>
  <c r="K2956" i="61"/>
  <c r="P2955" i="61"/>
  <c r="O2955" i="61"/>
  <c r="N2955" i="61"/>
  <c r="M2955" i="61"/>
  <c r="L2955" i="61"/>
  <c r="K2955" i="61"/>
  <c r="P2954" i="61"/>
  <c r="O2954" i="61"/>
  <c r="N2954" i="61"/>
  <c r="M2954" i="61"/>
  <c r="L2954" i="61"/>
  <c r="K2954" i="61"/>
  <c r="P2953" i="61"/>
  <c r="O2953" i="61"/>
  <c r="N2953" i="61"/>
  <c r="M2953" i="61"/>
  <c r="L2953" i="61"/>
  <c r="K2953" i="61"/>
  <c r="P2952" i="61"/>
  <c r="O2952" i="61"/>
  <c r="N2952" i="61"/>
  <c r="M2952" i="61"/>
  <c r="L2952" i="61"/>
  <c r="K2952" i="61"/>
  <c r="P2951" i="61"/>
  <c r="O2951" i="61"/>
  <c r="N2951" i="61"/>
  <c r="M2951" i="61"/>
  <c r="L2951" i="61"/>
  <c r="K2951" i="61"/>
  <c r="P2950" i="61"/>
  <c r="O2950" i="61"/>
  <c r="N2950" i="61"/>
  <c r="M2950" i="61"/>
  <c r="L2950" i="61"/>
  <c r="K2950" i="61"/>
  <c r="P2949" i="61"/>
  <c r="O2949" i="61"/>
  <c r="N2949" i="61"/>
  <c r="M2949" i="61"/>
  <c r="L2949" i="61"/>
  <c r="K2949" i="61"/>
  <c r="P2948" i="61"/>
  <c r="O2948" i="61"/>
  <c r="N2948" i="61"/>
  <c r="M2948" i="61"/>
  <c r="L2948" i="61"/>
  <c r="K2948" i="61"/>
  <c r="P2947" i="61"/>
  <c r="O2947" i="61"/>
  <c r="N2947" i="61"/>
  <c r="M2947" i="61"/>
  <c r="L2947" i="61"/>
  <c r="K2947" i="61"/>
  <c r="P2946" i="61"/>
  <c r="O2946" i="61"/>
  <c r="N2946" i="61"/>
  <c r="M2946" i="61"/>
  <c r="L2946" i="61"/>
  <c r="K2946" i="61"/>
  <c r="P2945" i="61"/>
  <c r="O2945" i="61"/>
  <c r="N2945" i="61"/>
  <c r="M2945" i="61"/>
  <c r="L2945" i="61"/>
  <c r="K2945" i="61"/>
  <c r="P2944" i="61"/>
  <c r="O2944" i="61"/>
  <c r="N2944" i="61"/>
  <c r="M2944" i="61"/>
  <c r="L2944" i="61"/>
  <c r="K2944" i="61"/>
  <c r="P2943" i="61"/>
  <c r="O2943" i="61"/>
  <c r="N2943" i="61"/>
  <c r="M2943" i="61"/>
  <c r="L2943" i="61"/>
  <c r="K2943" i="61"/>
  <c r="P2942" i="61"/>
  <c r="O2942" i="61"/>
  <c r="N2942" i="61"/>
  <c r="M2942" i="61"/>
  <c r="L2942" i="61"/>
  <c r="K2942" i="61"/>
  <c r="P2941" i="61"/>
  <c r="O2941" i="61"/>
  <c r="N2941" i="61"/>
  <c r="M2941" i="61"/>
  <c r="L2941" i="61"/>
  <c r="K2941" i="61"/>
  <c r="P2940" i="61"/>
  <c r="O2940" i="61"/>
  <c r="N2940" i="61"/>
  <c r="M2940" i="61"/>
  <c r="L2940" i="61"/>
  <c r="K2940" i="61"/>
  <c r="P2939" i="61"/>
  <c r="O2939" i="61"/>
  <c r="N2939" i="61"/>
  <c r="M2939" i="61"/>
  <c r="L2939" i="61"/>
  <c r="K2939" i="61"/>
  <c r="P2938" i="61"/>
  <c r="O2938" i="61"/>
  <c r="N2938" i="61"/>
  <c r="M2938" i="61"/>
  <c r="L2938" i="61"/>
  <c r="K2938" i="61"/>
  <c r="P2937" i="61"/>
  <c r="O2937" i="61"/>
  <c r="N2937" i="61"/>
  <c r="M2937" i="61"/>
  <c r="L2937" i="61"/>
  <c r="K2937" i="61"/>
  <c r="P2936" i="61"/>
  <c r="O2936" i="61"/>
  <c r="N2936" i="61"/>
  <c r="M2936" i="61"/>
  <c r="L2936" i="61"/>
  <c r="K2936" i="61"/>
  <c r="P2935" i="61"/>
  <c r="O2935" i="61"/>
  <c r="N2935" i="61"/>
  <c r="M2935" i="61"/>
  <c r="L2935" i="61"/>
  <c r="K2935" i="61"/>
  <c r="P2934" i="61"/>
  <c r="O2934" i="61"/>
  <c r="N2934" i="61"/>
  <c r="M2934" i="61"/>
  <c r="L2934" i="61"/>
  <c r="K2934" i="61"/>
  <c r="P2933" i="61"/>
  <c r="O2933" i="61"/>
  <c r="N2933" i="61"/>
  <c r="M2933" i="61"/>
  <c r="L2933" i="61"/>
  <c r="K2933" i="61"/>
  <c r="P2932" i="61"/>
  <c r="O2932" i="61"/>
  <c r="N2932" i="61"/>
  <c r="M2932" i="61"/>
  <c r="L2932" i="61"/>
  <c r="K2932" i="61"/>
  <c r="P2931" i="61"/>
  <c r="O2931" i="61"/>
  <c r="N2931" i="61"/>
  <c r="M2931" i="61"/>
  <c r="L2931" i="61"/>
  <c r="K2931" i="61"/>
  <c r="P2930" i="61"/>
  <c r="O2930" i="61"/>
  <c r="N2930" i="61"/>
  <c r="M2930" i="61"/>
  <c r="L2930" i="61"/>
  <c r="K2930" i="61"/>
  <c r="P2929" i="61"/>
  <c r="O2929" i="61"/>
  <c r="N2929" i="61"/>
  <c r="M2929" i="61"/>
  <c r="L2929" i="61"/>
  <c r="K2929" i="61"/>
  <c r="P2928" i="61"/>
  <c r="O2928" i="61"/>
  <c r="N2928" i="61"/>
  <c r="M2928" i="61"/>
  <c r="L2928" i="61"/>
  <c r="K2928" i="61"/>
  <c r="P2927" i="61"/>
  <c r="O2927" i="61"/>
  <c r="N2927" i="61"/>
  <c r="M2927" i="61"/>
  <c r="L2927" i="61"/>
  <c r="K2927" i="61"/>
  <c r="P2926" i="61"/>
  <c r="O2926" i="61"/>
  <c r="N2926" i="61"/>
  <c r="M2926" i="61"/>
  <c r="L2926" i="61"/>
  <c r="K2926" i="61"/>
  <c r="P2925" i="61"/>
  <c r="O2925" i="61"/>
  <c r="N2925" i="61"/>
  <c r="M2925" i="61"/>
  <c r="L2925" i="61"/>
  <c r="K2925" i="61"/>
  <c r="P2924" i="61"/>
  <c r="O2924" i="61"/>
  <c r="N2924" i="61"/>
  <c r="M2924" i="61"/>
  <c r="L2924" i="61"/>
  <c r="K2924" i="61"/>
  <c r="P2923" i="61"/>
  <c r="O2923" i="61"/>
  <c r="N2923" i="61"/>
  <c r="M2923" i="61"/>
  <c r="L2923" i="61"/>
  <c r="K2923" i="61"/>
  <c r="P2922" i="61"/>
  <c r="O2922" i="61"/>
  <c r="N2922" i="61"/>
  <c r="M2922" i="61"/>
  <c r="L2922" i="61"/>
  <c r="K2922" i="61"/>
  <c r="P2921" i="61"/>
  <c r="O2921" i="61"/>
  <c r="N2921" i="61"/>
  <c r="M2921" i="61"/>
  <c r="L2921" i="61"/>
  <c r="K2921" i="61"/>
  <c r="P2920" i="61"/>
  <c r="O2920" i="61"/>
  <c r="N2920" i="61"/>
  <c r="M2920" i="61"/>
  <c r="L2920" i="61"/>
  <c r="K2920" i="61"/>
  <c r="P2919" i="61"/>
  <c r="O2919" i="61"/>
  <c r="N2919" i="61"/>
  <c r="M2919" i="61"/>
  <c r="L2919" i="61"/>
  <c r="K2919" i="61"/>
  <c r="P2918" i="61"/>
  <c r="O2918" i="61"/>
  <c r="N2918" i="61"/>
  <c r="M2918" i="61"/>
  <c r="L2918" i="61"/>
  <c r="K2918" i="61"/>
  <c r="P2917" i="61"/>
  <c r="O2917" i="61"/>
  <c r="N2917" i="61"/>
  <c r="M2917" i="61"/>
  <c r="L2917" i="61"/>
  <c r="K2917" i="61"/>
  <c r="P2916" i="61"/>
  <c r="O2916" i="61"/>
  <c r="N2916" i="61"/>
  <c r="M2916" i="61"/>
  <c r="L2916" i="61"/>
  <c r="K2916" i="61"/>
  <c r="P2915" i="61"/>
  <c r="O2915" i="61"/>
  <c r="N2915" i="61"/>
  <c r="M2915" i="61"/>
  <c r="L2915" i="61"/>
  <c r="K2915" i="61"/>
  <c r="P2914" i="61"/>
  <c r="O2914" i="61"/>
  <c r="N2914" i="61"/>
  <c r="M2914" i="61"/>
  <c r="L2914" i="61"/>
  <c r="K2914" i="61"/>
  <c r="P2913" i="61"/>
  <c r="O2913" i="61"/>
  <c r="N2913" i="61"/>
  <c r="M2913" i="61"/>
  <c r="L2913" i="61"/>
  <c r="K2913" i="61"/>
  <c r="P2912" i="61"/>
  <c r="O2912" i="61"/>
  <c r="N2912" i="61"/>
  <c r="M2912" i="61"/>
  <c r="L2912" i="61"/>
  <c r="K2912" i="61"/>
  <c r="P2911" i="61"/>
  <c r="O2911" i="61"/>
  <c r="N2911" i="61"/>
  <c r="M2911" i="61"/>
  <c r="L2911" i="61"/>
  <c r="K2911" i="61"/>
  <c r="P2910" i="61"/>
  <c r="O2910" i="61"/>
  <c r="N2910" i="61"/>
  <c r="M2910" i="61"/>
  <c r="L2910" i="61"/>
  <c r="K2910" i="61"/>
  <c r="P2909" i="61"/>
  <c r="O2909" i="61"/>
  <c r="N2909" i="61"/>
  <c r="M2909" i="61"/>
  <c r="L2909" i="61"/>
  <c r="K2909" i="61"/>
  <c r="P2908" i="61"/>
  <c r="O2908" i="61"/>
  <c r="N2908" i="61"/>
  <c r="M2908" i="61"/>
  <c r="L2908" i="61"/>
  <c r="K2908" i="61"/>
  <c r="P2907" i="61"/>
  <c r="O2907" i="61"/>
  <c r="N2907" i="61"/>
  <c r="M2907" i="61"/>
  <c r="L2907" i="61"/>
  <c r="K2907" i="61"/>
  <c r="P2906" i="61"/>
  <c r="O2906" i="61"/>
  <c r="N2906" i="61"/>
  <c r="M2906" i="61"/>
  <c r="L2906" i="61"/>
  <c r="K2906" i="61"/>
  <c r="P2905" i="61"/>
  <c r="O2905" i="61"/>
  <c r="N2905" i="61"/>
  <c r="M2905" i="61"/>
  <c r="L2905" i="61"/>
  <c r="K2905" i="61"/>
  <c r="P2904" i="61"/>
  <c r="O2904" i="61"/>
  <c r="N2904" i="61"/>
  <c r="M2904" i="61"/>
  <c r="L2904" i="61"/>
  <c r="K2904" i="61"/>
  <c r="P2903" i="61"/>
  <c r="O2903" i="61"/>
  <c r="N2903" i="61"/>
  <c r="M2903" i="61"/>
  <c r="L2903" i="61"/>
  <c r="K2903" i="61"/>
  <c r="P2902" i="61"/>
  <c r="O2902" i="61"/>
  <c r="N2902" i="61"/>
  <c r="M2902" i="61"/>
  <c r="L2902" i="61"/>
  <c r="K2902" i="61"/>
  <c r="P2901" i="61"/>
  <c r="O2901" i="61"/>
  <c r="N2901" i="61"/>
  <c r="M2901" i="61"/>
  <c r="L2901" i="61"/>
  <c r="K2901" i="61"/>
  <c r="P2900" i="61"/>
  <c r="O2900" i="61"/>
  <c r="N2900" i="61"/>
  <c r="M2900" i="61"/>
  <c r="L2900" i="61"/>
  <c r="K2900" i="61"/>
  <c r="P2899" i="61"/>
  <c r="O2899" i="61"/>
  <c r="N2899" i="61"/>
  <c r="M2899" i="61"/>
  <c r="L2899" i="61"/>
  <c r="K2899" i="61"/>
  <c r="P2898" i="61"/>
  <c r="O2898" i="61"/>
  <c r="N2898" i="61"/>
  <c r="M2898" i="61"/>
  <c r="L2898" i="61"/>
  <c r="K2898" i="61"/>
  <c r="P2897" i="61"/>
  <c r="O2897" i="61"/>
  <c r="N2897" i="61"/>
  <c r="M2897" i="61"/>
  <c r="L2897" i="61"/>
  <c r="K2897" i="61"/>
  <c r="P2896" i="61"/>
  <c r="O2896" i="61"/>
  <c r="N2896" i="61"/>
  <c r="M2896" i="61"/>
  <c r="L2896" i="61"/>
  <c r="K2896" i="61"/>
  <c r="P2895" i="61"/>
  <c r="O2895" i="61"/>
  <c r="N2895" i="61"/>
  <c r="M2895" i="61"/>
  <c r="L2895" i="61"/>
  <c r="K2895" i="61"/>
  <c r="P2894" i="61"/>
  <c r="O2894" i="61"/>
  <c r="N2894" i="61"/>
  <c r="M2894" i="61"/>
  <c r="L2894" i="61"/>
  <c r="K2894" i="61"/>
  <c r="P2893" i="61"/>
  <c r="O2893" i="61"/>
  <c r="N2893" i="61"/>
  <c r="M2893" i="61"/>
  <c r="L2893" i="61"/>
  <c r="K2893" i="61"/>
  <c r="P2892" i="61"/>
  <c r="O2892" i="61"/>
  <c r="N2892" i="61"/>
  <c r="M2892" i="61"/>
  <c r="L2892" i="61"/>
  <c r="K2892" i="61"/>
  <c r="P2891" i="61"/>
  <c r="O2891" i="61"/>
  <c r="N2891" i="61"/>
  <c r="M2891" i="61"/>
  <c r="L2891" i="61"/>
  <c r="K2891" i="61"/>
  <c r="P2890" i="61"/>
  <c r="O2890" i="61"/>
  <c r="N2890" i="61"/>
  <c r="M2890" i="61"/>
  <c r="L2890" i="61"/>
  <c r="K2890" i="61"/>
  <c r="P2889" i="61"/>
  <c r="O2889" i="61"/>
  <c r="N2889" i="61"/>
  <c r="M2889" i="61"/>
  <c r="L2889" i="61"/>
  <c r="K2889" i="61"/>
  <c r="P2888" i="61"/>
  <c r="O2888" i="61"/>
  <c r="N2888" i="61"/>
  <c r="M2888" i="61"/>
  <c r="L2888" i="61"/>
  <c r="K2888" i="61"/>
  <c r="P2887" i="61"/>
  <c r="O2887" i="61"/>
  <c r="N2887" i="61"/>
  <c r="M2887" i="61"/>
  <c r="L2887" i="61"/>
  <c r="K2887" i="61"/>
  <c r="P2886" i="61"/>
  <c r="O2886" i="61"/>
  <c r="N2886" i="61"/>
  <c r="M2886" i="61"/>
  <c r="L2886" i="61"/>
  <c r="K2886" i="61"/>
  <c r="P2885" i="61"/>
  <c r="O2885" i="61"/>
  <c r="N2885" i="61"/>
  <c r="M2885" i="61"/>
  <c r="L2885" i="61"/>
  <c r="K2885" i="61"/>
  <c r="P2884" i="61"/>
  <c r="O2884" i="61"/>
  <c r="N2884" i="61"/>
  <c r="M2884" i="61"/>
  <c r="L2884" i="61"/>
  <c r="K2884" i="61"/>
  <c r="P2883" i="61"/>
  <c r="O2883" i="61"/>
  <c r="N2883" i="61"/>
  <c r="M2883" i="61"/>
  <c r="L2883" i="61"/>
  <c r="K2883" i="61"/>
  <c r="P2882" i="61"/>
  <c r="O2882" i="61"/>
  <c r="N2882" i="61"/>
  <c r="M2882" i="61"/>
  <c r="L2882" i="61"/>
  <c r="K2882" i="61"/>
  <c r="P2881" i="61"/>
  <c r="O2881" i="61"/>
  <c r="N2881" i="61"/>
  <c r="M2881" i="61"/>
  <c r="L2881" i="61"/>
  <c r="K2881" i="61"/>
  <c r="P2880" i="61"/>
  <c r="O2880" i="61"/>
  <c r="N2880" i="61"/>
  <c r="M2880" i="61"/>
  <c r="L2880" i="61"/>
  <c r="K2880" i="61"/>
  <c r="P2879" i="61"/>
  <c r="O2879" i="61"/>
  <c r="N2879" i="61"/>
  <c r="M2879" i="61"/>
  <c r="L2879" i="61"/>
  <c r="K2879" i="61"/>
  <c r="P2878" i="61"/>
  <c r="O2878" i="61"/>
  <c r="N2878" i="61"/>
  <c r="M2878" i="61"/>
  <c r="L2878" i="61"/>
  <c r="K2878" i="61"/>
  <c r="P2877" i="61"/>
  <c r="O2877" i="61"/>
  <c r="N2877" i="61"/>
  <c r="M2877" i="61"/>
  <c r="L2877" i="61"/>
  <c r="K2877" i="61"/>
  <c r="P2876" i="61"/>
  <c r="O2876" i="61"/>
  <c r="N2876" i="61"/>
  <c r="M2876" i="61"/>
  <c r="L2876" i="61"/>
  <c r="K2876" i="61"/>
  <c r="P2875" i="61"/>
  <c r="O2875" i="61"/>
  <c r="N2875" i="61"/>
  <c r="M2875" i="61"/>
  <c r="L2875" i="61"/>
  <c r="K2875" i="61"/>
  <c r="P2874" i="61"/>
  <c r="O2874" i="61"/>
  <c r="N2874" i="61"/>
  <c r="M2874" i="61"/>
  <c r="L2874" i="61"/>
  <c r="K2874" i="61"/>
  <c r="P2873" i="61"/>
  <c r="O2873" i="61"/>
  <c r="N2873" i="61"/>
  <c r="M2873" i="61"/>
  <c r="L2873" i="61"/>
  <c r="K2873" i="61"/>
  <c r="P2872" i="61"/>
  <c r="O2872" i="61"/>
  <c r="N2872" i="61"/>
  <c r="M2872" i="61"/>
  <c r="L2872" i="61"/>
  <c r="K2872" i="61"/>
  <c r="P2871" i="61"/>
  <c r="O2871" i="61"/>
  <c r="N2871" i="61"/>
  <c r="M2871" i="61"/>
  <c r="L2871" i="61"/>
  <c r="K2871" i="61"/>
  <c r="P2870" i="61"/>
  <c r="O2870" i="61"/>
  <c r="N2870" i="61"/>
  <c r="M2870" i="61"/>
  <c r="L2870" i="61"/>
  <c r="K2870" i="61"/>
  <c r="P2869" i="61"/>
  <c r="O2869" i="61"/>
  <c r="N2869" i="61"/>
  <c r="M2869" i="61"/>
  <c r="L2869" i="61"/>
  <c r="K2869" i="61"/>
  <c r="P2868" i="61"/>
  <c r="O2868" i="61"/>
  <c r="N2868" i="61"/>
  <c r="M2868" i="61"/>
  <c r="L2868" i="61"/>
  <c r="K2868" i="61"/>
  <c r="P2867" i="61"/>
  <c r="O2867" i="61"/>
  <c r="N2867" i="61"/>
  <c r="M2867" i="61"/>
  <c r="L2867" i="61"/>
  <c r="K2867" i="61"/>
  <c r="P2866" i="61"/>
  <c r="O2866" i="61"/>
  <c r="N2866" i="61"/>
  <c r="M2866" i="61"/>
  <c r="L2866" i="61"/>
  <c r="K2866" i="61"/>
  <c r="P2865" i="61"/>
  <c r="O2865" i="61"/>
  <c r="N2865" i="61"/>
  <c r="M2865" i="61"/>
  <c r="L2865" i="61"/>
  <c r="K2865" i="61"/>
  <c r="P2864" i="61"/>
  <c r="O2864" i="61"/>
  <c r="N2864" i="61"/>
  <c r="M2864" i="61"/>
  <c r="L2864" i="61"/>
  <c r="K2864" i="61"/>
  <c r="P2863" i="61"/>
  <c r="O2863" i="61"/>
  <c r="N2863" i="61"/>
  <c r="M2863" i="61"/>
  <c r="L2863" i="61"/>
  <c r="K2863" i="61"/>
  <c r="P2862" i="61"/>
  <c r="O2862" i="61"/>
  <c r="N2862" i="61"/>
  <c r="M2862" i="61"/>
  <c r="L2862" i="61"/>
  <c r="K2862" i="61"/>
  <c r="P2861" i="61"/>
  <c r="O2861" i="61"/>
  <c r="N2861" i="61"/>
  <c r="M2861" i="61"/>
  <c r="L2861" i="61"/>
  <c r="K2861" i="61"/>
  <c r="P2860" i="61"/>
  <c r="O2860" i="61"/>
  <c r="N2860" i="61"/>
  <c r="M2860" i="61"/>
  <c r="L2860" i="61"/>
  <c r="K2860" i="61"/>
  <c r="P2859" i="61"/>
  <c r="O2859" i="61"/>
  <c r="N2859" i="61"/>
  <c r="M2859" i="61"/>
  <c r="L2859" i="61"/>
  <c r="K2859" i="61"/>
  <c r="P2858" i="61"/>
  <c r="O2858" i="61"/>
  <c r="N2858" i="61"/>
  <c r="M2858" i="61"/>
  <c r="L2858" i="61"/>
  <c r="K2858" i="61"/>
  <c r="P2857" i="61"/>
  <c r="O2857" i="61"/>
  <c r="N2857" i="61"/>
  <c r="M2857" i="61"/>
  <c r="L2857" i="61"/>
  <c r="K2857" i="61"/>
  <c r="P2856" i="61"/>
  <c r="O2856" i="61"/>
  <c r="N2856" i="61"/>
  <c r="M2856" i="61"/>
  <c r="L2856" i="61"/>
  <c r="K2856" i="61"/>
  <c r="P2855" i="61"/>
  <c r="O2855" i="61"/>
  <c r="N2855" i="61"/>
  <c r="M2855" i="61"/>
  <c r="L2855" i="61"/>
  <c r="K2855" i="61"/>
  <c r="P2854" i="61"/>
  <c r="O2854" i="61"/>
  <c r="N2854" i="61"/>
  <c r="M2854" i="61"/>
  <c r="L2854" i="61"/>
  <c r="K2854" i="61"/>
  <c r="P2853" i="61"/>
  <c r="O2853" i="61"/>
  <c r="N2853" i="61"/>
  <c r="M2853" i="61"/>
  <c r="L2853" i="61"/>
  <c r="K2853" i="61"/>
  <c r="P2852" i="61"/>
  <c r="O2852" i="61"/>
  <c r="N2852" i="61"/>
  <c r="M2852" i="61"/>
  <c r="L2852" i="61"/>
  <c r="K2852" i="61"/>
  <c r="P2851" i="61"/>
  <c r="O2851" i="61"/>
  <c r="N2851" i="61"/>
  <c r="M2851" i="61"/>
  <c r="L2851" i="61"/>
  <c r="K2851" i="61"/>
  <c r="P2850" i="61"/>
  <c r="O2850" i="61"/>
  <c r="N2850" i="61"/>
  <c r="M2850" i="61"/>
  <c r="L2850" i="61"/>
  <c r="K2850" i="61"/>
  <c r="P2849" i="61"/>
  <c r="O2849" i="61"/>
  <c r="N2849" i="61"/>
  <c r="M2849" i="61"/>
  <c r="L2849" i="61"/>
  <c r="K2849" i="61"/>
  <c r="P2848" i="61"/>
  <c r="O2848" i="61"/>
  <c r="N2848" i="61"/>
  <c r="M2848" i="61"/>
  <c r="L2848" i="61"/>
  <c r="K2848" i="61"/>
  <c r="P2847" i="61"/>
  <c r="O2847" i="61"/>
  <c r="N2847" i="61"/>
  <c r="M2847" i="61"/>
  <c r="L2847" i="61"/>
  <c r="K2847" i="61"/>
  <c r="P2846" i="61"/>
  <c r="O2846" i="61"/>
  <c r="N2846" i="61"/>
  <c r="M2846" i="61"/>
  <c r="L2846" i="61"/>
  <c r="K2846" i="61"/>
  <c r="P2845" i="61"/>
  <c r="O2845" i="61"/>
  <c r="N2845" i="61"/>
  <c r="M2845" i="61"/>
  <c r="L2845" i="61"/>
  <c r="K2845" i="61"/>
  <c r="P2844" i="61"/>
  <c r="O2844" i="61"/>
  <c r="N2844" i="61"/>
  <c r="M2844" i="61"/>
  <c r="L2844" i="61"/>
  <c r="K2844" i="61"/>
  <c r="P2843" i="61"/>
  <c r="O2843" i="61"/>
  <c r="N2843" i="61"/>
  <c r="M2843" i="61"/>
  <c r="L2843" i="61"/>
  <c r="K2843" i="61"/>
  <c r="P2842" i="61"/>
  <c r="O2842" i="61"/>
  <c r="N2842" i="61"/>
  <c r="M2842" i="61"/>
  <c r="L2842" i="61"/>
  <c r="K2842" i="61"/>
  <c r="P2841" i="61"/>
  <c r="O2841" i="61"/>
  <c r="N2841" i="61"/>
  <c r="M2841" i="61"/>
  <c r="L2841" i="61"/>
  <c r="K2841" i="61"/>
  <c r="P2840" i="61"/>
  <c r="O2840" i="61"/>
  <c r="N2840" i="61"/>
  <c r="M2840" i="61"/>
  <c r="L2840" i="61"/>
  <c r="K2840" i="61"/>
  <c r="P2839" i="61"/>
  <c r="O2839" i="61"/>
  <c r="N2839" i="61"/>
  <c r="M2839" i="61"/>
  <c r="L2839" i="61"/>
  <c r="K2839" i="61"/>
  <c r="P2838" i="61"/>
  <c r="O2838" i="61"/>
  <c r="N2838" i="61"/>
  <c r="M2838" i="61"/>
  <c r="L2838" i="61"/>
  <c r="K2838" i="61"/>
  <c r="P2837" i="61"/>
  <c r="O2837" i="61"/>
  <c r="N2837" i="61"/>
  <c r="M2837" i="61"/>
  <c r="L2837" i="61"/>
  <c r="K2837" i="61"/>
  <c r="P2836" i="61"/>
  <c r="O2836" i="61"/>
  <c r="N2836" i="61"/>
  <c r="M2836" i="61"/>
  <c r="L2836" i="61"/>
  <c r="K2836" i="61"/>
  <c r="P2835" i="61"/>
  <c r="O2835" i="61"/>
  <c r="N2835" i="61"/>
  <c r="M2835" i="61"/>
  <c r="L2835" i="61"/>
  <c r="K2835" i="61"/>
  <c r="P2834" i="61"/>
  <c r="O2834" i="61"/>
  <c r="N2834" i="61"/>
  <c r="M2834" i="61"/>
  <c r="L2834" i="61"/>
  <c r="K2834" i="61"/>
  <c r="P2833" i="61"/>
  <c r="O2833" i="61"/>
  <c r="N2833" i="61"/>
  <c r="M2833" i="61"/>
  <c r="L2833" i="61"/>
  <c r="K2833" i="61"/>
  <c r="P2832" i="61"/>
  <c r="O2832" i="61"/>
  <c r="N2832" i="61"/>
  <c r="M2832" i="61"/>
  <c r="L2832" i="61"/>
  <c r="K2832" i="61"/>
  <c r="P2831" i="61"/>
  <c r="O2831" i="61"/>
  <c r="N2831" i="61"/>
  <c r="M2831" i="61"/>
  <c r="L2831" i="61"/>
  <c r="K2831" i="61"/>
  <c r="P2830" i="61"/>
  <c r="O2830" i="61"/>
  <c r="N2830" i="61"/>
  <c r="M2830" i="61"/>
  <c r="L2830" i="61"/>
  <c r="K2830" i="61"/>
  <c r="P2829" i="61"/>
  <c r="O2829" i="61"/>
  <c r="N2829" i="61"/>
  <c r="M2829" i="61"/>
  <c r="L2829" i="61"/>
  <c r="K2829" i="61"/>
  <c r="P2828" i="61"/>
  <c r="O2828" i="61"/>
  <c r="N2828" i="61"/>
  <c r="M2828" i="61"/>
  <c r="L2828" i="61"/>
  <c r="K2828" i="61"/>
  <c r="P2827" i="61"/>
  <c r="O2827" i="61"/>
  <c r="N2827" i="61"/>
  <c r="M2827" i="61"/>
  <c r="L2827" i="61"/>
  <c r="K2827" i="61"/>
  <c r="P2826" i="61"/>
  <c r="O2826" i="61"/>
  <c r="N2826" i="61"/>
  <c r="M2826" i="61"/>
  <c r="L2826" i="61"/>
  <c r="K2826" i="61"/>
  <c r="P2825" i="61"/>
  <c r="O2825" i="61"/>
  <c r="N2825" i="61"/>
  <c r="M2825" i="61"/>
  <c r="L2825" i="61"/>
  <c r="K2825" i="61"/>
  <c r="P2824" i="61"/>
  <c r="O2824" i="61"/>
  <c r="N2824" i="61"/>
  <c r="M2824" i="61"/>
  <c r="L2824" i="61"/>
  <c r="K2824" i="61"/>
  <c r="P2823" i="61"/>
  <c r="O2823" i="61"/>
  <c r="N2823" i="61"/>
  <c r="M2823" i="61"/>
  <c r="L2823" i="61"/>
  <c r="K2823" i="61"/>
  <c r="P2822" i="61"/>
  <c r="O2822" i="61"/>
  <c r="N2822" i="61"/>
  <c r="M2822" i="61"/>
  <c r="L2822" i="61"/>
  <c r="K2822" i="61"/>
  <c r="P2821" i="61"/>
  <c r="O2821" i="61"/>
  <c r="N2821" i="61"/>
  <c r="M2821" i="61"/>
  <c r="L2821" i="61"/>
  <c r="K2821" i="61"/>
  <c r="P2820" i="61"/>
  <c r="O2820" i="61"/>
  <c r="N2820" i="61"/>
  <c r="M2820" i="61"/>
  <c r="L2820" i="61"/>
  <c r="K2820" i="61"/>
  <c r="P2819" i="61"/>
  <c r="O2819" i="61"/>
  <c r="N2819" i="61"/>
  <c r="M2819" i="61"/>
  <c r="L2819" i="61"/>
  <c r="K2819" i="61"/>
  <c r="P2818" i="61"/>
  <c r="O2818" i="61"/>
  <c r="N2818" i="61"/>
  <c r="M2818" i="61"/>
  <c r="L2818" i="61"/>
  <c r="K2818" i="61"/>
  <c r="P2817" i="61"/>
  <c r="O2817" i="61"/>
  <c r="N2817" i="61"/>
  <c r="M2817" i="61"/>
  <c r="L2817" i="61"/>
  <c r="K2817" i="61"/>
  <c r="P2816" i="61"/>
  <c r="O2816" i="61"/>
  <c r="N2816" i="61"/>
  <c r="M2816" i="61"/>
  <c r="L2816" i="61"/>
  <c r="K2816" i="61"/>
  <c r="P2815" i="61"/>
  <c r="O2815" i="61"/>
  <c r="N2815" i="61"/>
  <c r="M2815" i="61"/>
  <c r="L2815" i="61"/>
  <c r="K2815" i="61"/>
  <c r="P2814" i="61"/>
  <c r="O2814" i="61"/>
  <c r="N2814" i="61"/>
  <c r="M2814" i="61"/>
  <c r="L2814" i="61"/>
  <c r="K2814" i="61"/>
  <c r="P2813" i="61"/>
  <c r="O2813" i="61"/>
  <c r="N2813" i="61"/>
  <c r="M2813" i="61"/>
  <c r="L2813" i="61"/>
  <c r="K2813" i="61"/>
  <c r="P2812" i="61"/>
  <c r="O2812" i="61"/>
  <c r="N2812" i="61"/>
  <c r="M2812" i="61"/>
  <c r="L2812" i="61"/>
  <c r="K2812" i="61"/>
  <c r="P2811" i="61"/>
  <c r="O2811" i="61"/>
  <c r="N2811" i="61"/>
  <c r="M2811" i="61"/>
  <c r="L2811" i="61"/>
  <c r="K2811" i="61"/>
  <c r="P2810" i="61"/>
  <c r="O2810" i="61"/>
  <c r="N2810" i="61"/>
  <c r="M2810" i="61"/>
  <c r="L2810" i="61"/>
  <c r="K2810" i="61"/>
  <c r="P2809" i="61"/>
  <c r="O2809" i="61"/>
  <c r="N2809" i="61"/>
  <c r="M2809" i="61"/>
  <c r="L2809" i="61"/>
  <c r="K2809" i="61"/>
  <c r="P2808" i="61"/>
  <c r="O2808" i="61"/>
  <c r="N2808" i="61"/>
  <c r="M2808" i="61"/>
  <c r="L2808" i="61"/>
  <c r="K2808" i="61"/>
  <c r="P2807" i="61"/>
  <c r="O2807" i="61"/>
  <c r="N2807" i="61"/>
  <c r="M2807" i="61"/>
  <c r="L2807" i="61"/>
  <c r="K2807" i="61"/>
  <c r="P2806" i="61"/>
  <c r="O2806" i="61"/>
  <c r="N2806" i="61"/>
  <c r="M2806" i="61"/>
  <c r="L2806" i="61"/>
  <c r="K2806" i="61"/>
  <c r="P2805" i="61"/>
  <c r="O2805" i="61"/>
  <c r="N2805" i="61"/>
  <c r="M2805" i="61"/>
  <c r="L2805" i="61"/>
  <c r="K2805" i="61"/>
  <c r="P2804" i="61"/>
  <c r="O2804" i="61"/>
  <c r="N2804" i="61"/>
  <c r="M2804" i="61"/>
  <c r="L2804" i="61"/>
  <c r="K2804" i="61"/>
  <c r="P2803" i="61"/>
  <c r="O2803" i="61"/>
  <c r="N2803" i="61"/>
  <c r="M2803" i="61"/>
  <c r="L2803" i="61"/>
  <c r="K2803" i="61"/>
  <c r="P2802" i="61"/>
  <c r="O2802" i="61"/>
  <c r="N2802" i="61"/>
  <c r="M2802" i="61"/>
  <c r="L2802" i="61"/>
  <c r="K2802" i="61"/>
  <c r="P2801" i="61"/>
  <c r="O2801" i="61"/>
  <c r="N2801" i="61"/>
  <c r="M2801" i="61"/>
  <c r="L2801" i="61"/>
  <c r="K2801" i="61"/>
  <c r="P2800" i="61"/>
  <c r="O2800" i="61"/>
  <c r="N2800" i="61"/>
  <c r="M2800" i="61"/>
  <c r="L2800" i="61"/>
  <c r="K2800" i="61"/>
  <c r="P2799" i="61"/>
  <c r="O2799" i="61"/>
  <c r="N2799" i="61"/>
  <c r="M2799" i="61"/>
  <c r="L2799" i="61"/>
  <c r="K2799" i="61"/>
  <c r="P2798" i="61"/>
  <c r="O2798" i="61"/>
  <c r="N2798" i="61"/>
  <c r="M2798" i="61"/>
  <c r="L2798" i="61"/>
  <c r="K2798" i="61"/>
  <c r="P2797" i="61"/>
  <c r="O2797" i="61"/>
  <c r="N2797" i="61"/>
  <c r="M2797" i="61"/>
  <c r="L2797" i="61"/>
  <c r="K2797" i="61"/>
  <c r="P2796" i="61"/>
  <c r="O2796" i="61"/>
  <c r="N2796" i="61"/>
  <c r="M2796" i="61"/>
  <c r="L2796" i="61"/>
  <c r="K2796" i="61"/>
  <c r="P2795" i="61"/>
  <c r="O2795" i="61"/>
  <c r="N2795" i="61"/>
  <c r="M2795" i="61"/>
  <c r="L2795" i="61"/>
  <c r="K2795" i="61"/>
  <c r="P2794" i="61"/>
  <c r="O2794" i="61"/>
  <c r="N2794" i="61"/>
  <c r="M2794" i="61"/>
  <c r="L2794" i="61"/>
  <c r="K2794" i="61"/>
  <c r="P2793" i="61"/>
  <c r="O2793" i="61"/>
  <c r="N2793" i="61"/>
  <c r="M2793" i="61"/>
  <c r="L2793" i="61"/>
  <c r="K2793" i="61"/>
  <c r="P2792" i="61"/>
  <c r="O2792" i="61"/>
  <c r="N2792" i="61"/>
  <c r="M2792" i="61"/>
  <c r="L2792" i="61"/>
  <c r="K2792" i="61"/>
  <c r="P2791" i="61"/>
  <c r="O2791" i="61"/>
  <c r="N2791" i="61"/>
  <c r="M2791" i="61"/>
  <c r="L2791" i="61"/>
  <c r="K2791" i="61"/>
  <c r="P2790" i="61"/>
  <c r="O2790" i="61"/>
  <c r="N2790" i="61"/>
  <c r="M2790" i="61"/>
  <c r="L2790" i="61"/>
  <c r="K2790" i="61"/>
  <c r="P2789" i="61"/>
  <c r="O2789" i="61"/>
  <c r="N2789" i="61"/>
  <c r="M2789" i="61"/>
  <c r="L2789" i="61"/>
  <c r="K2789" i="61"/>
  <c r="P2788" i="61"/>
  <c r="O2788" i="61"/>
  <c r="N2788" i="61"/>
  <c r="M2788" i="61"/>
  <c r="L2788" i="61"/>
  <c r="K2788" i="61"/>
  <c r="P2787" i="61"/>
  <c r="O2787" i="61"/>
  <c r="N2787" i="61"/>
  <c r="M2787" i="61"/>
  <c r="L2787" i="61"/>
  <c r="K2787" i="61"/>
  <c r="P2786" i="61"/>
  <c r="O2786" i="61"/>
  <c r="N2786" i="61"/>
  <c r="M2786" i="61"/>
  <c r="L2786" i="61"/>
  <c r="K2786" i="61"/>
  <c r="P2785" i="61"/>
  <c r="O2785" i="61"/>
  <c r="N2785" i="61"/>
  <c r="M2785" i="61"/>
  <c r="L2785" i="61"/>
  <c r="K2785" i="61"/>
  <c r="P2784" i="61"/>
  <c r="O2784" i="61"/>
  <c r="N2784" i="61"/>
  <c r="M2784" i="61"/>
  <c r="L2784" i="61"/>
  <c r="K2784" i="61"/>
  <c r="P2783" i="61"/>
  <c r="O2783" i="61"/>
  <c r="N2783" i="61"/>
  <c r="M2783" i="61"/>
  <c r="L2783" i="61"/>
  <c r="K2783" i="61"/>
  <c r="P2782" i="61"/>
  <c r="O2782" i="61"/>
  <c r="N2782" i="61"/>
  <c r="M2782" i="61"/>
  <c r="L2782" i="61"/>
  <c r="K2782" i="61"/>
  <c r="P2781" i="61"/>
  <c r="O2781" i="61"/>
  <c r="N2781" i="61"/>
  <c r="M2781" i="61"/>
  <c r="L2781" i="61"/>
  <c r="K2781" i="61"/>
  <c r="P2780" i="61"/>
  <c r="O2780" i="61"/>
  <c r="N2780" i="61"/>
  <c r="M2780" i="61"/>
  <c r="L2780" i="61"/>
  <c r="K2780" i="61"/>
  <c r="P2779" i="61"/>
  <c r="O2779" i="61"/>
  <c r="N2779" i="61"/>
  <c r="M2779" i="61"/>
  <c r="L2779" i="61"/>
  <c r="K2779" i="61"/>
  <c r="P2778" i="61"/>
  <c r="O2778" i="61"/>
  <c r="N2778" i="61"/>
  <c r="M2778" i="61"/>
  <c r="L2778" i="61"/>
  <c r="K2778" i="61"/>
  <c r="P2777" i="61"/>
  <c r="O2777" i="61"/>
  <c r="N2777" i="61"/>
  <c r="M2777" i="61"/>
  <c r="L2777" i="61"/>
  <c r="K2777" i="61"/>
  <c r="P2776" i="61"/>
  <c r="O2776" i="61"/>
  <c r="N2776" i="61"/>
  <c r="M2776" i="61"/>
  <c r="L2776" i="61"/>
  <c r="K2776" i="61"/>
  <c r="P2775" i="61"/>
  <c r="O2775" i="61"/>
  <c r="N2775" i="61"/>
  <c r="M2775" i="61"/>
  <c r="L2775" i="61"/>
  <c r="K2775" i="61"/>
  <c r="P2774" i="61"/>
  <c r="O2774" i="61"/>
  <c r="N2774" i="61"/>
  <c r="M2774" i="61"/>
  <c r="L2774" i="61"/>
  <c r="K2774" i="61"/>
  <c r="P2773" i="61"/>
  <c r="O2773" i="61"/>
  <c r="N2773" i="61"/>
  <c r="M2773" i="61"/>
  <c r="L2773" i="61"/>
  <c r="K2773" i="61"/>
  <c r="P2772" i="61"/>
  <c r="O2772" i="61"/>
  <c r="N2772" i="61"/>
  <c r="M2772" i="61"/>
  <c r="L2772" i="61"/>
  <c r="K2772" i="61"/>
  <c r="P2771" i="61"/>
  <c r="O2771" i="61"/>
  <c r="N2771" i="61"/>
  <c r="M2771" i="61"/>
  <c r="L2771" i="61"/>
  <c r="K2771" i="61"/>
  <c r="P2770" i="61"/>
  <c r="O2770" i="61"/>
  <c r="N2770" i="61"/>
  <c r="M2770" i="61"/>
  <c r="L2770" i="61"/>
  <c r="K2770" i="61"/>
  <c r="P2769" i="61"/>
  <c r="O2769" i="61"/>
  <c r="N2769" i="61"/>
  <c r="M2769" i="61"/>
  <c r="L2769" i="61"/>
  <c r="K2769" i="61"/>
  <c r="P2768" i="61"/>
  <c r="O2768" i="61"/>
  <c r="N2768" i="61"/>
  <c r="M2768" i="61"/>
  <c r="L2768" i="61"/>
  <c r="K2768" i="61"/>
  <c r="P2767" i="61"/>
  <c r="O2767" i="61"/>
  <c r="N2767" i="61"/>
  <c r="M2767" i="61"/>
  <c r="L2767" i="61"/>
  <c r="K2767" i="61"/>
  <c r="P2766" i="61"/>
  <c r="O2766" i="61"/>
  <c r="N2766" i="61"/>
  <c r="M2766" i="61"/>
  <c r="L2766" i="61"/>
  <c r="K2766" i="61"/>
  <c r="P2765" i="61"/>
  <c r="O2765" i="61"/>
  <c r="N2765" i="61"/>
  <c r="M2765" i="61"/>
  <c r="L2765" i="61"/>
  <c r="K2765" i="61"/>
  <c r="P2764" i="61"/>
  <c r="O2764" i="61"/>
  <c r="N2764" i="61"/>
  <c r="M2764" i="61"/>
  <c r="L2764" i="61"/>
  <c r="K2764" i="61"/>
  <c r="P2763" i="61"/>
  <c r="O2763" i="61"/>
  <c r="N2763" i="61"/>
  <c r="M2763" i="61"/>
  <c r="L2763" i="61"/>
  <c r="K2763" i="61"/>
  <c r="P2762" i="61"/>
  <c r="O2762" i="61"/>
  <c r="N2762" i="61"/>
  <c r="M2762" i="61"/>
  <c r="L2762" i="61"/>
  <c r="K2762" i="61"/>
  <c r="P2761" i="61"/>
  <c r="O2761" i="61"/>
  <c r="N2761" i="61"/>
  <c r="M2761" i="61"/>
  <c r="L2761" i="61"/>
  <c r="K2761" i="61"/>
  <c r="P2760" i="61"/>
  <c r="O2760" i="61"/>
  <c r="N2760" i="61"/>
  <c r="M2760" i="61"/>
  <c r="L2760" i="61"/>
  <c r="K2760" i="61"/>
  <c r="P2759" i="61"/>
  <c r="O2759" i="61"/>
  <c r="N2759" i="61"/>
  <c r="M2759" i="61"/>
  <c r="L2759" i="61"/>
  <c r="K2759" i="61"/>
  <c r="P2758" i="61"/>
  <c r="O2758" i="61"/>
  <c r="N2758" i="61"/>
  <c r="M2758" i="61"/>
  <c r="L2758" i="61"/>
  <c r="K2758" i="61"/>
  <c r="P2757" i="61"/>
  <c r="O2757" i="61"/>
  <c r="N2757" i="61"/>
  <c r="M2757" i="61"/>
  <c r="L2757" i="61"/>
  <c r="K2757" i="61"/>
  <c r="P2756" i="61"/>
  <c r="O2756" i="61"/>
  <c r="N2756" i="61"/>
  <c r="M2756" i="61"/>
  <c r="L2756" i="61"/>
  <c r="K2756" i="61"/>
  <c r="P2755" i="61"/>
  <c r="O2755" i="61"/>
  <c r="N2755" i="61"/>
  <c r="M2755" i="61"/>
  <c r="L2755" i="61"/>
  <c r="K2755" i="61"/>
  <c r="P2754" i="61"/>
  <c r="O2754" i="61"/>
  <c r="N2754" i="61"/>
  <c r="M2754" i="61"/>
  <c r="L2754" i="61"/>
  <c r="K2754" i="61"/>
  <c r="P2753" i="61"/>
  <c r="O2753" i="61"/>
  <c r="N2753" i="61"/>
  <c r="M2753" i="61"/>
  <c r="L2753" i="61"/>
  <c r="K2753" i="61"/>
  <c r="P2752" i="61"/>
  <c r="O2752" i="61"/>
  <c r="N2752" i="61"/>
  <c r="M2752" i="61"/>
  <c r="L2752" i="61"/>
  <c r="K2752" i="61"/>
  <c r="P2751" i="61"/>
  <c r="O2751" i="61"/>
  <c r="N2751" i="61"/>
  <c r="M2751" i="61"/>
  <c r="L2751" i="61"/>
  <c r="K2751" i="61"/>
  <c r="P2750" i="61"/>
  <c r="O2750" i="61"/>
  <c r="N2750" i="61"/>
  <c r="M2750" i="61"/>
  <c r="L2750" i="61"/>
  <c r="K2750" i="61"/>
  <c r="P2749" i="61"/>
  <c r="O2749" i="61"/>
  <c r="N2749" i="61"/>
  <c r="M2749" i="61"/>
  <c r="L2749" i="61"/>
  <c r="K2749" i="61"/>
  <c r="P2748" i="61"/>
  <c r="O2748" i="61"/>
  <c r="N2748" i="61"/>
  <c r="M2748" i="61"/>
  <c r="L2748" i="61"/>
  <c r="K2748" i="61"/>
  <c r="P2747" i="61"/>
  <c r="O2747" i="61"/>
  <c r="N2747" i="61"/>
  <c r="M2747" i="61"/>
  <c r="L2747" i="61"/>
  <c r="K2747" i="61"/>
  <c r="P2746" i="61"/>
  <c r="O2746" i="61"/>
  <c r="N2746" i="61"/>
  <c r="M2746" i="61"/>
  <c r="L2746" i="61"/>
  <c r="K2746" i="61"/>
  <c r="P2745" i="61"/>
  <c r="O2745" i="61"/>
  <c r="N2745" i="61"/>
  <c r="M2745" i="61"/>
  <c r="L2745" i="61"/>
  <c r="K2745" i="61"/>
  <c r="P2744" i="61"/>
  <c r="O2744" i="61"/>
  <c r="N2744" i="61"/>
  <c r="M2744" i="61"/>
  <c r="L2744" i="61"/>
  <c r="K2744" i="61"/>
  <c r="P2743" i="61"/>
  <c r="O2743" i="61"/>
  <c r="N2743" i="61"/>
  <c r="M2743" i="61"/>
  <c r="L2743" i="61"/>
  <c r="K2743" i="61"/>
  <c r="P2742" i="61"/>
  <c r="O2742" i="61"/>
  <c r="N2742" i="61"/>
  <c r="M2742" i="61"/>
  <c r="L2742" i="61"/>
  <c r="K2742" i="61"/>
  <c r="P2741" i="61"/>
  <c r="O2741" i="61"/>
  <c r="N2741" i="61"/>
  <c r="M2741" i="61"/>
  <c r="L2741" i="61"/>
  <c r="K2741" i="61"/>
  <c r="P2740" i="61"/>
  <c r="O2740" i="61"/>
  <c r="N2740" i="61"/>
  <c r="M2740" i="61"/>
  <c r="L2740" i="61"/>
  <c r="K2740" i="61"/>
  <c r="P2739" i="61"/>
  <c r="O2739" i="61"/>
  <c r="N2739" i="61"/>
  <c r="M2739" i="61"/>
  <c r="L2739" i="61"/>
  <c r="K2739" i="61"/>
  <c r="P2738" i="61"/>
  <c r="O2738" i="61"/>
  <c r="N2738" i="61"/>
  <c r="M2738" i="61"/>
  <c r="L2738" i="61"/>
  <c r="K2738" i="61"/>
  <c r="P2737" i="61"/>
  <c r="O2737" i="61"/>
  <c r="N2737" i="61"/>
  <c r="M2737" i="61"/>
  <c r="L2737" i="61"/>
  <c r="K2737" i="61"/>
  <c r="P2736" i="61"/>
  <c r="O2736" i="61"/>
  <c r="N2736" i="61"/>
  <c r="M2736" i="61"/>
  <c r="L2736" i="61"/>
  <c r="K2736" i="61"/>
  <c r="P2735" i="61"/>
  <c r="O2735" i="61"/>
  <c r="N2735" i="61"/>
  <c r="M2735" i="61"/>
  <c r="L2735" i="61"/>
  <c r="K2735" i="61"/>
  <c r="P2734" i="61"/>
  <c r="O2734" i="61"/>
  <c r="N2734" i="61"/>
  <c r="M2734" i="61"/>
  <c r="L2734" i="61"/>
  <c r="K2734" i="61"/>
  <c r="P2733" i="61"/>
  <c r="O2733" i="61"/>
  <c r="N2733" i="61"/>
  <c r="M2733" i="61"/>
  <c r="L2733" i="61"/>
  <c r="K2733" i="61"/>
  <c r="P2732" i="61"/>
  <c r="O2732" i="61"/>
  <c r="N2732" i="61"/>
  <c r="M2732" i="61"/>
  <c r="L2732" i="61"/>
  <c r="K2732" i="61"/>
  <c r="P2731" i="61"/>
  <c r="O2731" i="61"/>
  <c r="N2731" i="61"/>
  <c r="M2731" i="61"/>
  <c r="L2731" i="61"/>
  <c r="K2731" i="61"/>
  <c r="P2730" i="61"/>
  <c r="O2730" i="61"/>
  <c r="N2730" i="61"/>
  <c r="M2730" i="61"/>
  <c r="L2730" i="61"/>
  <c r="K2730" i="61"/>
  <c r="P2729" i="61"/>
  <c r="O2729" i="61"/>
  <c r="N2729" i="61"/>
  <c r="M2729" i="61"/>
  <c r="L2729" i="61"/>
  <c r="K2729" i="61"/>
  <c r="P2728" i="61"/>
  <c r="O2728" i="61"/>
  <c r="N2728" i="61"/>
  <c r="M2728" i="61"/>
  <c r="L2728" i="61"/>
  <c r="K2728" i="61"/>
  <c r="P2727" i="61"/>
  <c r="O2727" i="61"/>
  <c r="N2727" i="61"/>
  <c r="M2727" i="61"/>
  <c r="L2727" i="61"/>
  <c r="K2727" i="61"/>
  <c r="P2726" i="61"/>
  <c r="O2726" i="61"/>
  <c r="N2726" i="61"/>
  <c r="M2726" i="61"/>
  <c r="L2726" i="61"/>
  <c r="K2726" i="61"/>
  <c r="P2725" i="61"/>
  <c r="O2725" i="61"/>
  <c r="N2725" i="61"/>
  <c r="M2725" i="61"/>
  <c r="L2725" i="61"/>
  <c r="K2725" i="61"/>
  <c r="P2724" i="61"/>
  <c r="O2724" i="61"/>
  <c r="N2724" i="61"/>
  <c r="M2724" i="61"/>
  <c r="L2724" i="61"/>
  <c r="K2724" i="61"/>
  <c r="P2723" i="61"/>
  <c r="O2723" i="61"/>
  <c r="N2723" i="61"/>
  <c r="M2723" i="61"/>
  <c r="L2723" i="61"/>
  <c r="K2723" i="61"/>
  <c r="P2722" i="61"/>
  <c r="O2722" i="61"/>
  <c r="N2722" i="61"/>
  <c r="M2722" i="61"/>
  <c r="L2722" i="61"/>
  <c r="K2722" i="61"/>
  <c r="P2721" i="61"/>
  <c r="O2721" i="61"/>
  <c r="N2721" i="61"/>
  <c r="M2721" i="61"/>
  <c r="L2721" i="61"/>
  <c r="K2721" i="61"/>
  <c r="P2720" i="61"/>
  <c r="O2720" i="61"/>
  <c r="N2720" i="61"/>
  <c r="M2720" i="61"/>
  <c r="L2720" i="61"/>
  <c r="K2720" i="61"/>
  <c r="P2719" i="61"/>
  <c r="O2719" i="61"/>
  <c r="N2719" i="61"/>
  <c r="M2719" i="61"/>
  <c r="L2719" i="61"/>
  <c r="K2719" i="61"/>
  <c r="P2718" i="61"/>
  <c r="O2718" i="61"/>
  <c r="N2718" i="61"/>
  <c r="M2718" i="61"/>
  <c r="L2718" i="61"/>
  <c r="K2718" i="61"/>
  <c r="P2717" i="61"/>
  <c r="O2717" i="61"/>
  <c r="N2717" i="61"/>
  <c r="M2717" i="61"/>
  <c r="L2717" i="61"/>
  <c r="K2717" i="61"/>
  <c r="P2716" i="61"/>
  <c r="O2716" i="61"/>
  <c r="N2716" i="61"/>
  <c r="M2716" i="61"/>
  <c r="L2716" i="61"/>
  <c r="K2716" i="61"/>
  <c r="P2715" i="61"/>
  <c r="O2715" i="61"/>
  <c r="N2715" i="61"/>
  <c r="M2715" i="61"/>
  <c r="L2715" i="61"/>
  <c r="K2715" i="61"/>
  <c r="P2714" i="61"/>
  <c r="O2714" i="61"/>
  <c r="N2714" i="61"/>
  <c r="M2714" i="61"/>
  <c r="L2714" i="61"/>
  <c r="K2714" i="61"/>
  <c r="P2713" i="61"/>
  <c r="O2713" i="61"/>
  <c r="N2713" i="61"/>
  <c r="M2713" i="61"/>
  <c r="L2713" i="61"/>
  <c r="K2713" i="61"/>
  <c r="P2712" i="61"/>
  <c r="O2712" i="61"/>
  <c r="N2712" i="61"/>
  <c r="M2712" i="61"/>
  <c r="L2712" i="61"/>
  <c r="K2712" i="61"/>
  <c r="P2711" i="61"/>
  <c r="O2711" i="61"/>
  <c r="N2711" i="61"/>
  <c r="M2711" i="61"/>
  <c r="L2711" i="61"/>
  <c r="K2711" i="61"/>
  <c r="P2710" i="61"/>
  <c r="O2710" i="61"/>
  <c r="N2710" i="61"/>
  <c r="M2710" i="61"/>
  <c r="L2710" i="61"/>
  <c r="K2710" i="61"/>
  <c r="P2709" i="61"/>
  <c r="O2709" i="61"/>
  <c r="N2709" i="61"/>
  <c r="M2709" i="61"/>
  <c r="L2709" i="61"/>
  <c r="K2709" i="61"/>
  <c r="P2708" i="61"/>
  <c r="O2708" i="61"/>
  <c r="N2708" i="61"/>
  <c r="M2708" i="61"/>
  <c r="L2708" i="61"/>
  <c r="K2708" i="61"/>
  <c r="P2707" i="61"/>
  <c r="O2707" i="61"/>
  <c r="N2707" i="61"/>
  <c r="M2707" i="61"/>
  <c r="L2707" i="61"/>
  <c r="K2707" i="61"/>
  <c r="P2706" i="61"/>
  <c r="O2706" i="61"/>
  <c r="N2706" i="61"/>
  <c r="M2706" i="61"/>
  <c r="L2706" i="61"/>
  <c r="K2706" i="61"/>
  <c r="P2705" i="61"/>
  <c r="O2705" i="61"/>
  <c r="N2705" i="61"/>
  <c r="M2705" i="61"/>
  <c r="L2705" i="61"/>
  <c r="K2705" i="61"/>
  <c r="P2704" i="61"/>
  <c r="O2704" i="61"/>
  <c r="N2704" i="61"/>
  <c r="M2704" i="61"/>
  <c r="L2704" i="61"/>
  <c r="K2704" i="61"/>
  <c r="P2703" i="61"/>
  <c r="O2703" i="61"/>
  <c r="N2703" i="61"/>
  <c r="M2703" i="61"/>
  <c r="L2703" i="61"/>
  <c r="K2703" i="61"/>
  <c r="P2702" i="61"/>
  <c r="O2702" i="61"/>
  <c r="N2702" i="61"/>
  <c r="M2702" i="61"/>
  <c r="L2702" i="61"/>
  <c r="K2702" i="61"/>
  <c r="P2701" i="61"/>
  <c r="O2701" i="61"/>
  <c r="N2701" i="61"/>
  <c r="M2701" i="61"/>
  <c r="L2701" i="61"/>
  <c r="K2701" i="61"/>
  <c r="P2700" i="61"/>
  <c r="O2700" i="61"/>
  <c r="N2700" i="61"/>
  <c r="M2700" i="61"/>
  <c r="L2700" i="61"/>
  <c r="K2700" i="61"/>
  <c r="P2699" i="61"/>
  <c r="O2699" i="61"/>
  <c r="N2699" i="61"/>
  <c r="M2699" i="61"/>
  <c r="L2699" i="61"/>
  <c r="K2699" i="61"/>
  <c r="P2698" i="61"/>
  <c r="O2698" i="61"/>
  <c r="N2698" i="61"/>
  <c r="M2698" i="61"/>
  <c r="L2698" i="61"/>
  <c r="K2698" i="61"/>
  <c r="P2697" i="61"/>
  <c r="O2697" i="61"/>
  <c r="N2697" i="61"/>
  <c r="M2697" i="61"/>
  <c r="L2697" i="61"/>
  <c r="K2697" i="61"/>
  <c r="P2696" i="61"/>
  <c r="O2696" i="61"/>
  <c r="N2696" i="61"/>
  <c r="M2696" i="61"/>
  <c r="L2696" i="61"/>
  <c r="K2696" i="61"/>
  <c r="P2695" i="61"/>
  <c r="O2695" i="61"/>
  <c r="N2695" i="61"/>
  <c r="M2695" i="61"/>
  <c r="L2695" i="61"/>
  <c r="K2695" i="61"/>
  <c r="P2694" i="61"/>
  <c r="O2694" i="61"/>
  <c r="N2694" i="61"/>
  <c r="M2694" i="61"/>
  <c r="L2694" i="61"/>
  <c r="K2694" i="61"/>
  <c r="P2693" i="61"/>
  <c r="O2693" i="61"/>
  <c r="N2693" i="61"/>
  <c r="M2693" i="61"/>
  <c r="L2693" i="61"/>
  <c r="K2693" i="61"/>
  <c r="P2692" i="61"/>
  <c r="O2692" i="61"/>
  <c r="N2692" i="61"/>
  <c r="M2692" i="61"/>
  <c r="L2692" i="61"/>
  <c r="K2692" i="61"/>
  <c r="P2691" i="61"/>
  <c r="O2691" i="61"/>
  <c r="N2691" i="61"/>
  <c r="M2691" i="61"/>
  <c r="L2691" i="61"/>
  <c r="K2691" i="61"/>
  <c r="P2690" i="61"/>
  <c r="O2690" i="61"/>
  <c r="N2690" i="61"/>
  <c r="M2690" i="61"/>
  <c r="L2690" i="61"/>
  <c r="K2690" i="61"/>
  <c r="P2689" i="61"/>
  <c r="O2689" i="61"/>
  <c r="N2689" i="61"/>
  <c r="M2689" i="61"/>
  <c r="L2689" i="61"/>
  <c r="K2689" i="61"/>
  <c r="P2688" i="61"/>
  <c r="O2688" i="61"/>
  <c r="N2688" i="61"/>
  <c r="M2688" i="61"/>
  <c r="L2688" i="61"/>
  <c r="K2688" i="61"/>
  <c r="P2687" i="61"/>
  <c r="O2687" i="61"/>
  <c r="N2687" i="61"/>
  <c r="M2687" i="61"/>
  <c r="L2687" i="61"/>
  <c r="K2687" i="61"/>
  <c r="P2686" i="61"/>
  <c r="O2686" i="61"/>
  <c r="N2686" i="61"/>
  <c r="M2686" i="61"/>
  <c r="L2686" i="61"/>
  <c r="K2686" i="61"/>
  <c r="P2685" i="61"/>
  <c r="O2685" i="61"/>
  <c r="N2685" i="61"/>
  <c r="M2685" i="61"/>
  <c r="L2685" i="61"/>
  <c r="K2685" i="61"/>
  <c r="P2684" i="61"/>
  <c r="O2684" i="61"/>
  <c r="N2684" i="61"/>
  <c r="M2684" i="61"/>
  <c r="L2684" i="61"/>
  <c r="K2684" i="61"/>
  <c r="P2683" i="61"/>
  <c r="O2683" i="61"/>
  <c r="N2683" i="61"/>
  <c r="M2683" i="61"/>
  <c r="L2683" i="61"/>
  <c r="K2683" i="61"/>
  <c r="P2682" i="61"/>
  <c r="O2682" i="61"/>
  <c r="N2682" i="61"/>
  <c r="M2682" i="61"/>
  <c r="L2682" i="61"/>
  <c r="K2682" i="61"/>
  <c r="P2681" i="61"/>
  <c r="O2681" i="61"/>
  <c r="N2681" i="61"/>
  <c r="M2681" i="61"/>
  <c r="L2681" i="61"/>
  <c r="K2681" i="61"/>
  <c r="P2680" i="61"/>
  <c r="O2680" i="61"/>
  <c r="N2680" i="61"/>
  <c r="M2680" i="61"/>
  <c r="L2680" i="61"/>
  <c r="K2680" i="61"/>
  <c r="P2679" i="61"/>
  <c r="O2679" i="61"/>
  <c r="N2679" i="61"/>
  <c r="M2679" i="61"/>
  <c r="L2679" i="61"/>
  <c r="K2679" i="61"/>
  <c r="P2678" i="61"/>
  <c r="O2678" i="61"/>
  <c r="N2678" i="61"/>
  <c r="M2678" i="61"/>
  <c r="L2678" i="61"/>
  <c r="K2678" i="61"/>
  <c r="P2677" i="61"/>
  <c r="O2677" i="61"/>
  <c r="N2677" i="61"/>
  <c r="M2677" i="61"/>
  <c r="L2677" i="61"/>
  <c r="K2677" i="61"/>
  <c r="P2676" i="61"/>
  <c r="O2676" i="61"/>
  <c r="N2676" i="61"/>
  <c r="M2676" i="61"/>
  <c r="L2676" i="61"/>
  <c r="K2676" i="61"/>
  <c r="P2675" i="61"/>
  <c r="O2675" i="61"/>
  <c r="N2675" i="61"/>
  <c r="M2675" i="61"/>
  <c r="L2675" i="61"/>
  <c r="K2675" i="61"/>
  <c r="P2674" i="61"/>
  <c r="O2674" i="61"/>
  <c r="N2674" i="61"/>
  <c r="M2674" i="61"/>
  <c r="L2674" i="61"/>
  <c r="K2674" i="61"/>
  <c r="P2673" i="61"/>
  <c r="O2673" i="61"/>
  <c r="N2673" i="61"/>
  <c r="M2673" i="61"/>
  <c r="L2673" i="61"/>
  <c r="K2673" i="61"/>
  <c r="P2672" i="61"/>
  <c r="O2672" i="61"/>
  <c r="N2672" i="61"/>
  <c r="M2672" i="61"/>
  <c r="L2672" i="61"/>
  <c r="K2672" i="61"/>
  <c r="P2671" i="61"/>
  <c r="O2671" i="61"/>
  <c r="N2671" i="61"/>
  <c r="M2671" i="61"/>
  <c r="L2671" i="61"/>
  <c r="K2671" i="61"/>
  <c r="P2670" i="61"/>
  <c r="O2670" i="61"/>
  <c r="N2670" i="61"/>
  <c r="M2670" i="61"/>
  <c r="L2670" i="61"/>
  <c r="K2670" i="61"/>
  <c r="P2669" i="61"/>
  <c r="O2669" i="61"/>
  <c r="N2669" i="61"/>
  <c r="M2669" i="61"/>
  <c r="L2669" i="61"/>
  <c r="K2669" i="61"/>
  <c r="P2668" i="61"/>
  <c r="O2668" i="61"/>
  <c r="N2668" i="61"/>
  <c r="M2668" i="61"/>
  <c r="L2668" i="61"/>
  <c r="K2668" i="61"/>
  <c r="P2667" i="61"/>
  <c r="O2667" i="61"/>
  <c r="N2667" i="61"/>
  <c r="M2667" i="61"/>
  <c r="L2667" i="61"/>
  <c r="K2667" i="61"/>
  <c r="P2666" i="61"/>
  <c r="O2666" i="61"/>
  <c r="N2666" i="61"/>
  <c r="M2666" i="61"/>
  <c r="L2666" i="61"/>
  <c r="K2666" i="61"/>
  <c r="P2665" i="61"/>
  <c r="O2665" i="61"/>
  <c r="N2665" i="61"/>
  <c r="M2665" i="61"/>
  <c r="L2665" i="61"/>
  <c r="K2665" i="61"/>
  <c r="P2664" i="61"/>
  <c r="O2664" i="61"/>
  <c r="N2664" i="61"/>
  <c r="M2664" i="61"/>
  <c r="L2664" i="61"/>
  <c r="K2664" i="61"/>
  <c r="P2663" i="61"/>
  <c r="O2663" i="61"/>
  <c r="N2663" i="61"/>
  <c r="M2663" i="61"/>
  <c r="L2663" i="61"/>
  <c r="K2663" i="61"/>
  <c r="P2662" i="61"/>
  <c r="O2662" i="61"/>
  <c r="N2662" i="61"/>
  <c r="M2662" i="61"/>
  <c r="L2662" i="61"/>
  <c r="K2662" i="61"/>
  <c r="P2661" i="61"/>
  <c r="O2661" i="61"/>
  <c r="N2661" i="61"/>
  <c r="M2661" i="61"/>
  <c r="L2661" i="61"/>
  <c r="K2661" i="61"/>
  <c r="P2660" i="61"/>
  <c r="O2660" i="61"/>
  <c r="N2660" i="61"/>
  <c r="M2660" i="61"/>
  <c r="L2660" i="61"/>
  <c r="K2660" i="61"/>
  <c r="P2659" i="61"/>
  <c r="O2659" i="61"/>
  <c r="N2659" i="61"/>
  <c r="M2659" i="61"/>
  <c r="L2659" i="61"/>
  <c r="K2659" i="61"/>
  <c r="P2658" i="61"/>
  <c r="O2658" i="61"/>
  <c r="N2658" i="61"/>
  <c r="M2658" i="61"/>
  <c r="L2658" i="61"/>
  <c r="K2658" i="61"/>
  <c r="P2657" i="61"/>
  <c r="O2657" i="61"/>
  <c r="N2657" i="61"/>
  <c r="M2657" i="61"/>
  <c r="L2657" i="61"/>
  <c r="K2657" i="61"/>
  <c r="P2656" i="61"/>
  <c r="O2656" i="61"/>
  <c r="N2656" i="61"/>
  <c r="M2656" i="61"/>
  <c r="L2656" i="61"/>
  <c r="K2656" i="61"/>
  <c r="P2655" i="61"/>
  <c r="O2655" i="61"/>
  <c r="N2655" i="61"/>
  <c r="M2655" i="61"/>
  <c r="L2655" i="61"/>
  <c r="K2655" i="61"/>
  <c r="P2654" i="61"/>
  <c r="O2654" i="61"/>
  <c r="N2654" i="61"/>
  <c r="M2654" i="61"/>
  <c r="L2654" i="61"/>
  <c r="K2654" i="61"/>
  <c r="P2653" i="61"/>
  <c r="O2653" i="61"/>
  <c r="N2653" i="61"/>
  <c r="M2653" i="61"/>
  <c r="L2653" i="61"/>
  <c r="K2653" i="61"/>
  <c r="P2652" i="61"/>
  <c r="O2652" i="61"/>
  <c r="N2652" i="61"/>
  <c r="M2652" i="61"/>
  <c r="L2652" i="61"/>
  <c r="K2652" i="61"/>
  <c r="P2651" i="61"/>
  <c r="O2651" i="61"/>
  <c r="N2651" i="61"/>
  <c r="M2651" i="61"/>
  <c r="L2651" i="61"/>
  <c r="K2651" i="61"/>
  <c r="P2650" i="61"/>
  <c r="O2650" i="61"/>
  <c r="N2650" i="61"/>
  <c r="M2650" i="61"/>
  <c r="L2650" i="61"/>
  <c r="K2650" i="61"/>
  <c r="P2649" i="61"/>
  <c r="O2649" i="61"/>
  <c r="N2649" i="61"/>
  <c r="M2649" i="61"/>
  <c r="L2649" i="61"/>
  <c r="K2649" i="61"/>
  <c r="P2648" i="61"/>
  <c r="O2648" i="61"/>
  <c r="N2648" i="61"/>
  <c r="M2648" i="61"/>
  <c r="L2648" i="61"/>
  <c r="K2648" i="61"/>
  <c r="P2647" i="61"/>
  <c r="O2647" i="61"/>
  <c r="N2647" i="61"/>
  <c r="M2647" i="61"/>
  <c r="L2647" i="61"/>
  <c r="K2647" i="61"/>
  <c r="P2646" i="61"/>
  <c r="O2646" i="61"/>
  <c r="N2646" i="61"/>
  <c r="M2646" i="61"/>
  <c r="L2646" i="61"/>
  <c r="K2646" i="61"/>
  <c r="P2645" i="61"/>
  <c r="O2645" i="61"/>
  <c r="N2645" i="61"/>
  <c r="M2645" i="61"/>
  <c r="L2645" i="61"/>
  <c r="K2645" i="61"/>
  <c r="P2644" i="61"/>
  <c r="O2644" i="61"/>
  <c r="N2644" i="61"/>
  <c r="M2644" i="61"/>
  <c r="L2644" i="61"/>
  <c r="K2644" i="61"/>
  <c r="P2643" i="61"/>
  <c r="O2643" i="61"/>
  <c r="N2643" i="61"/>
  <c r="M2643" i="61"/>
  <c r="L2643" i="61"/>
  <c r="K2643" i="61"/>
  <c r="P2642" i="61"/>
  <c r="O2642" i="61"/>
  <c r="N2642" i="61"/>
  <c r="M2642" i="61"/>
  <c r="L2642" i="61"/>
  <c r="K2642" i="61"/>
  <c r="P2641" i="61"/>
  <c r="O2641" i="61"/>
  <c r="N2641" i="61"/>
  <c r="M2641" i="61"/>
  <c r="L2641" i="61"/>
  <c r="K2641" i="61"/>
  <c r="P2640" i="61"/>
  <c r="O2640" i="61"/>
  <c r="N2640" i="61"/>
  <c r="M2640" i="61"/>
  <c r="L2640" i="61"/>
  <c r="K2640" i="61"/>
  <c r="P2639" i="61"/>
  <c r="O2639" i="61"/>
  <c r="N2639" i="61"/>
  <c r="M2639" i="61"/>
  <c r="L2639" i="61"/>
  <c r="K2639" i="61"/>
  <c r="P2638" i="61"/>
  <c r="O2638" i="61"/>
  <c r="N2638" i="61"/>
  <c r="M2638" i="61"/>
  <c r="L2638" i="61"/>
  <c r="K2638" i="61"/>
  <c r="P2637" i="61"/>
  <c r="O2637" i="61"/>
  <c r="N2637" i="61"/>
  <c r="M2637" i="61"/>
  <c r="L2637" i="61"/>
  <c r="K2637" i="61"/>
  <c r="P2636" i="61"/>
  <c r="O2636" i="61"/>
  <c r="N2636" i="61"/>
  <c r="M2636" i="61"/>
  <c r="L2636" i="61"/>
  <c r="K2636" i="61"/>
  <c r="P2635" i="61"/>
  <c r="O2635" i="61"/>
  <c r="N2635" i="61"/>
  <c r="M2635" i="61"/>
  <c r="L2635" i="61"/>
  <c r="K2635" i="61"/>
  <c r="P2634" i="61"/>
  <c r="O2634" i="61"/>
  <c r="N2634" i="61"/>
  <c r="M2634" i="61"/>
  <c r="L2634" i="61"/>
  <c r="K2634" i="61"/>
  <c r="P2633" i="61"/>
  <c r="O2633" i="61"/>
  <c r="N2633" i="61"/>
  <c r="M2633" i="61"/>
  <c r="L2633" i="61"/>
  <c r="K2633" i="61"/>
  <c r="P2632" i="61"/>
  <c r="O2632" i="61"/>
  <c r="N2632" i="61"/>
  <c r="M2632" i="61"/>
  <c r="L2632" i="61"/>
  <c r="K2632" i="61"/>
  <c r="P2631" i="61"/>
  <c r="O2631" i="61"/>
  <c r="N2631" i="61"/>
  <c r="M2631" i="61"/>
  <c r="L2631" i="61"/>
  <c r="K2631" i="61"/>
  <c r="P2630" i="61"/>
  <c r="O2630" i="61"/>
  <c r="N2630" i="61"/>
  <c r="M2630" i="61"/>
  <c r="L2630" i="61"/>
  <c r="K2630" i="61"/>
  <c r="P2629" i="61"/>
  <c r="O2629" i="61"/>
  <c r="N2629" i="61"/>
  <c r="M2629" i="61"/>
  <c r="L2629" i="61"/>
  <c r="K2629" i="61"/>
  <c r="P2628" i="61"/>
  <c r="O2628" i="61"/>
  <c r="N2628" i="61"/>
  <c r="M2628" i="61"/>
  <c r="L2628" i="61"/>
  <c r="K2628" i="61"/>
  <c r="P2627" i="61"/>
  <c r="O2627" i="61"/>
  <c r="N2627" i="61"/>
  <c r="M2627" i="61"/>
  <c r="L2627" i="61"/>
  <c r="K2627" i="61"/>
  <c r="P2626" i="61"/>
  <c r="O2626" i="61"/>
  <c r="N2626" i="61"/>
  <c r="M2626" i="61"/>
  <c r="L2626" i="61"/>
  <c r="K2626" i="61"/>
  <c r="P2625" i="61"/>
  <c r="O2625" i="61"/>
  <c r="N2625" i="61"/>
  <c r="M2625" i="61"/>
  <c r="L2625" i="61"/>
  <c r="K2625" i="61"/>
  <c r="P2624" i="61"/>
  <c r="O2624" i="61"/>
  <c r="N2624" i="61"/>
  <c r="M2624" i="61"/>
  <c r="L2624" i="61"/>
  <c r="K2624" i="61"/>
  <c r="P2623" i="61"/>
  <c r="O2623" i="61"/>
  <c r="N2623" i="61"/>
  <c r="M2623" i="61"/>
  <c r="L2623" i="61"/>
  <c r="K2623" i="61"/>
  <c r="P2622" i="61"/>
  <c r="O2622" i="61"/>
  <c r="N2622" i="61"/>
  <c r="M2622" i="61"/>
  <c r="L2622" i="61"/>
  <c r="K2622" i="61"/>
  <c r="P2621" i="61"/>
  <c r="O2621" i="61"/>
  <c r="N2621" i="61"/>
  <c r="M2621" i="61"/>
  <c r="L2621" i="61"/>
  <c r="K2621" i="61"/>
  <c r="P2620" i="61"/>
  <c r="O2620" i="61"/>
  <c r="N2620" i="61"/>
  <c r="M2620" i="61"/>
  <c r="L2620" i="61"/>
  <c r="K2620" i="61"/>
  <c r="P2619" i="61"/>
  <c r="O2619" i="61"/>
  <c r="N2619" i="61"/>
  <c r="M2619" i="61"/>
  <c r="L2619" i="61"/>
  <c r="K2619" i="61"/>
  <c r="P2618" i="61"/>
  <c r="O2618" i="61"/>
  <c r="N2618" i="61"/>
  <c r="M2618" i="61"/>
  <c r="L2618" i="61"/>
  <c r="K2618" i="61"/>
  <c r="P2617" i="61"/>
  <c r="O2617" i="61"/>
  <c r="N2617" i="61"/>
  <c r="M2617" i="61"/>
  <c r="L2617" i="61"/>
  <c r="K2617" i="61"/>
  <c r="P2616" i="61"/>
  <c r="O2616" i="61"/>
  <c r="N2616" i="61"/>
  <c r="M2616" i="61"/>
  <c r="L2616" i="61"/>
  <c r="K2616" i="61"/>
  <c r="P2615" i="61"/>
  <c r="O2615" i="61"/>
  <c r="N2615" i="61"/>
  <c r="M2615" i="61"/>
  <c r="L2615" i="61"/>
  <c r="K2615" i="61"/>
  <c r="P2614" i="61"/>
  <c r="O2614" i="61"/>
  <c r="N2614" i="61"/>
  <c r="M2614" i="61"/>
  <c r="L2614" i="61"/>
  <c r="K2614" i="61"/>
  <c r="P2613" i="61"/>
  <c r="O2613" i="61"/>
  <c r="N2613" i="61"/>
  <c r="M2613" i="61"/>
  <c r="L2613" i="61"/>
  <c r="K2613" i="61"/>
  <c r="P2612" i="61"/>
  <c r="O2612" i="61"/>
  <c r="N2612" i="61"/>
  <c r="M2612" i="61"/>
  <c r="L2612" i="61"/>
  <c r="K2612" i="61"/>
  <c r="P2611" i="61"/>
  <c r="O2611" i="61"/>
  <c r="N2611" i="61"/>
  <c r="M2611" i="61"/>
  <c r="L2611" i="61"/>
  <c r="K2611" i="61"/>
  <c r="P2610" i="61"/>
  <c r="O2610" i="61"/>
  <c r="N2610" i="61"/>
  <c r="M2610" i="61"/>
  <c r="L2610" i="61"/>
  <c r="K2610" i="61"/>
  <c r="P2609" i="61"/>
  <c r="O2609" i="61"/>
  <c r="N2609" i="61"/>
  <c r="M2609" i="61"/>
  <c r="L2609" i="61"/>
  <c r="K2609" i="61"/>
  <c r="P2608" i="61"/>
  <c r="O2608" i="61"/>
  <c r="N2608" i="61"/>
  <c r="M2608" i="61"/>
  <c r="L2608" i="61"/>
  <c r="K2608" i="61"/>
  <c r="P2607" i="61"/>
  <c r="O2607" i="61"/>
  <c r="N2607" i="61"/>
  <c r="M2607" i="61"/>
  <c r="L2607" i="61"/>
  <c r="K2607" i="61"/>
  <c r="P2606" i="61"/>
  <c r="O2606" i="61"/>
  <c r="N2606" i="61"/>
  <c r="M2606" i="61"/>
  <c r="L2606" i="61"/>
  <c r="K2606" i="61"/>
  <c r="P2605" i="61"/>
  <c r="O2605" i="61"/>
  <c r="N2605" i="61"/>
  <c r="M2605" i="61"/>
  <c r="L2605" i="61"/>
  <c r="K2605" i="61"/>
  <c r="P2604" i="61"/>
  <c r="O2604" i="61"/>
  <c r="N2604" i="61"/>
  <c r="M2604" i="61"/>
  <c r="L2604" i="61"/>
  <c r="K2604" i="61"/>
  <c r="P2603" i="61"/>
  <c r="O2603" i="61"/>
  <c r="N2603" i="61"/>
  <c r="M2603" i="61"/>
  <c r="L2603" i="61"/>
  <c r="K2603" i="61"/>
  <c r="P2602" i="61"/>
  <c r="O2602" i="61"/>
  <c r="N2602" i="61"/>
  <c r="M2602" i="61"/>
  <c r="L2602" i="61"/>
  <c r="K2602" i="61"/>
  <c r="P2601" i="61"/>
  <c r="O2601" i="61"/>
  <c r="N2601" i="61"/>
  <c r="M2601" i="61"/>
  <c r="L2601" i="61"/>
  <c r="K2601" i="61"/>
  <c r="P2600" i="61"/>
  <c r="O2600" i="61"/>
  <c r="N2600" i="61"/>
  <c r="M2600" i="61"/>
  <c r="L2600" i="61"/>
  <c r="K2600" i="61"/>
  <c r="P2599" i="61"/>
  <c r="O2599" i="61"/>
  <c r="N2599" i="61"/>
  <c r="M2599" i="61"/>
  <c r="L2599" i="61"/>
  <c r="K2599" i="61"/>
  <c r="P2598" i="61"/>
  <c r="O2598" i="61"/>
  <c r="N2598" i="61"/>
  <c r="M2598" i="61"/>
  <c r="L2598" i="61"/>
  <c r="K2598" i="61"/>
  <c r="P2597" i="61"/>
  <c r="O2597" i="61"/>
  <c r="N2597" i="61"/>
  <c r="M2597" i="61"/>
  <c r="L2597" i="61"/>
  <c r="K2597" i="61"/>
  <c r="P2596" i="61"/>
  <c r="O2596" i="61"/>
  <c r="N2596" i="61"/>
  <c r="M2596" i="61"/>
  <c r="L2596" i="61"/>
  <c r="K2596" i="61"/>
  <c r="P2595" i="61"/>
  <c r="O2595" i="61"/>
  <c r="N2595" i="61"/>
  <c r="M2595" i="61"/>
  <c r="L2595" i="61"/>
  <c r="K2595" i="61"/>
  <c r="P2594" i="61"/>
  <c r="O2594" i="61"/>
  <c r="N2594" i="61"/>
  <c r="M2594" i="61"/>
  <c r="L2594" i="61"/>
  <c r="K2594" i="61"/>
  <c r="P2593" i="61"/>
  <c r="O2593" i="61"/>
  <c r="N2593" i="61"/>
  <c r="M2593" i="61"/>
  <c r="L2593" i="61"/>
  <c r="K2593" i="61"/>
  <c r="P2592" i="61"/>
  <c r="O2592" i="61"/>
  <c r="N2592" i="61"/>
  <c r="M2592" i="61"/>
  <c r="L2592" i="61"/>
  <c r="K2592" i="61"/>
  <c r="P2591" i="61"/>
  <c r="O2591" i="61"/>
  <c r="N2591" i="61"/>
  <c r="M2591" i="61"/>
  <c r="L2591" i="61"/>
  <c r="K2591" i="61"/>
  <c r="P2590" i="61"/>
  <c r="O2590" i="61"/>
  <c r="N2590" i="61"/>
  <c r="M2590" i="61"/>
  <c r="L2590" i="61"/>
  <c r="K2590" i="61"/>
  <c r="P2589" i="61"/>
  <c r="O2589" i="61"/>
  <c r="N2589" i="61"/>
  <c r="M2589" i="61"/>
  <c r="L2589" i="61"/>
  <c r="K2589" i="61"/>
  <c r="P2588" i="61"/>
  <c r="O2588" i="61"/>
  <c r="N2588" i="61"/>
  <c r="M2588" i="61"/>
  <c r="L2588" i="61"/>
  <c r="K2588" i="61"/>
  <c r="P2587" i="61"/>
  <c r="O2587" i="61"/>
  <c r="N2587" i="61"/>
  <c r="M2587" i="61"/>
  <c r="L2587" i="61"/>
  <c r="K2587" i="61"/>
  <c r="P2586" i="61"/>
  <c r="O2586" i="61"/>
  <c r="N2586" i="61"/>
  <c r="M2586" i="61"/>
  <c r="L2586" i="61"/>
  <c r="K2586" i="61"/>
  <c r="P2585" i="61"/>
  <c r="O2585" i="61"/>
  <c r="N2585" i="61"/>
  <c r="M2585" i="61"/>
  <c r="L2585" i="61"/>
  <c r="K2585" i="61"/>
  <c r="P2584" i="61"/>
  <c r="O2584" i="61"/>
  <c r="N2584" i="61"/>
  <c r="M2584" i="61"/>
  <c r="L2584" i="61"/>
  <c r="K2584" i="61"/>
  <c r="P2583" i="61"/>
  <c r="O2583" i="61"/>
  <c r="N2583" i="61"/>
  <c r="M2583" i="61"/>
  <c r="L2583" i="61"/>
  <c r="K2583" i="61"/>
  <c r="P2582" i="61"/>
  <c r="O2582" i="61"/>
  <c r="N2582" i="61"/>
  <c r="M2582" i="61"/>
  <c r="L2582" i="61"/>
  <c r="K2582" i="61"/>
  <c r="P2581" i="61"/>
  <c r="O2581" i="61"/>
  <c r="N2581" i="61"/>
  <c r="M2581" i="61"/>
  <c r="L2581" i="61"/>
  <c r="K2581" i="61"/>
  <c r="P2580" i="61"/>
  <c r="O2580" i="61"/>
  <c r="N2580" i="61"/>
  <c r="M2580" i="61"/>
  <c r="L2580" i="61"/>
  <c r="K2580" i="61"/>
  <c r="P2579" i="61"/>
  <c r="O2579" i="61"/>
  <c r="N2579" i="61"/>
  <c r="M2579" i="61"/>
  <c r="L2579" i="61"/>
  <c r="K2579" i="61"/>
  <c r="P2578" i="61"/>
  <c r="O2578" i="61"/>
  <c r="N2578" i="61"/>
  <c r="M2578" i="61"/>
  <c r="L2578" i="61"/>
  <c r="K2578" i="61"/>
  <c r="P2577" i="61"/>
  <c r="O2577" i="61"/>
  <c r="N2577" i="61"/>
  <c r="M2577" i="61"/>
  <c r="L2577" i="61"/>
  <c r="K2577" i="61"/>
  <c r="P2576" i="61"/>
  <c r="O2576" i="61"/>
  <c r="N2576" i="61"/>
  <c r="M2576" i="61"/>
  <c r="L2576" i="61"/>
  <c r="K2576" i="61"/>
  <c r="P2575" i="61"/>
  <c r="O2575" i="61"/>
  <c r="N2575" i="61"/>
  <c r="M2575" i="61"/>
  <c r="L2575" i="61"/>
  <c r="K2575" i="61"/>
  <c r="P2574" i="61"/>
  <c r="O2574" i="61"/>
  <c r="N2574" i="61"/>
  <c r="M2574" i="61"/>
  <c r="L2574" i="61"/>
  <c r="K2574" i="61"/>
  <c r="P2573" i="61"/>
  <c r="O2573" i="61"/>
  <c r="N2573" i="61"/>
  <c r="M2573" i="61"/>
  <c r="L2573" i="61"/>
  <c r="K2573" i="61"/>
  <c r="P2572" i="61"/>
  <c r="O2572" i="61"/>
  <c r="N2572" i="61"/>
  <c r="M2572" i="61"/>
  <c r="L2572" i="61"/>
  <c r="K2572" i="61"/>
  <c r="P2571" i="61"/>
  <c r="O2571" i="61"/>
  <c r="N2571" i="61"/>
  <c r="M2571" i="61"/>
  <c r="L2571" i="61"/>
  <c r="K2571" i="61"/>
  <c r="P2570" i="61"/>
  <c r="O2570" i="61"/>
  <c r="N2570" i="61"/>
  <c r="M2570" i="61"/>
  <c r="L2570" i="61"/>
  <c r="K2570" i="61"/>
  <c r="P2569" i="61"/>
  <c r="O2569" i="61"/>
  <c r="N2569" i="61"/>
  <c r="M2569" i="61"/>
  <c r="L2569" i="61"/>
  <c r="K2569" i="61"/>
  <c r="P2568" i="61"/>
  <c r="O2568" i="61"/>
  <c r="N2568" i="61"/>
  <c r="M2568" i="61"/>
  <c r="L2568" i="61"/>
  <c r="K2568" i="61"/>
  <c r="P2567" i="61"/>
  <c r="O2567" i="61"/>
  <c r="N2567" i="61"/>
  <c r="M2567" i="61"/>
  <c r="L2567" i="61"/>
  <c r="K2567" i="61"/>
  <c r="P2566" i="61"/>
  <c r="O2566" i="61"/>
  <c r="N2566" i="61"/>
  <c r="M2566" i="61"/>
  <c r="L2566" i="61"/>
  <c r="K2566" i="61"/>
  <c r="P2565" i="61"/>
  <c r="O2565" i="61"/>
  <c r="N2565" i="61"/>
  <c r="M2565" i="61"/>
  <c r="L2565" i="61"/>
  <c r="K2565" i="61"/>
  <c r="P2564" i="61"/>
  <c r="O2564" i="61"/>
  <c r="N2564" i="61"/>
  <c r="M2564" i="61"/>
  <c r="L2564" i="61"/>
  <c r="K2564" i="61"/>
  <c r="P2563" i="61"/>
  <c r="O2563" i="61"/>
  <c r="N2563" i="61"/>
  <c r="M2563" i="61"/>
  <c r="L2563" i="61"/>
  <c r="K2563" i="61"/>
  <c r="P2562" i="61"/>
  <c r="O2562" i="61"/>
  <c r="N2562" i="61"/>
  <c r="M2562" i="61"/>
  <c r="L2562" i="61"/>
  <c r="K2562" i="61"/>
  <c r="P2561" i="61"/>
  <c r="O2561" i="61"/>
  <c r="N2561" i="61"/>
  <c r="M2561" i="61"/>
  <c r="L2561" i="61"/>
  <c r="K2561" i="61"/>
  <c r="P2560" i="61"/>
  <c r="O2560" i="61"/>
  <c r="N2560" i="61"/>
  <c r="M2560" i="61"/>
  <c r="L2560" i="61"/>
  <c r="K2560" i="61"/>
  <c r="P2559" i="61"/>
  <c r="O2559" i="61"/>
  <c r="N2559" i="61"/>
  <c r="M2559" i="61"/>
  <c r="L2559" i="61"/>
  <c r="K2559" i="61"/>
  <c r="P2558" i="61"/>
  <c r="O2558" i="61"/>
  <c r="N2558" i="61"/>
  <c r="M2558" i="61"/>
  <c r="L2558" i="61"/>
  <c r="K2558" i="61"/>
  <c r="P2557" i="61"/>
  <c r="O2557" i="61"/>
  <c r="N2557" i="61"/>
  <c r="M2557" i="61"/>
  <c r="L2557" i="61"/>
  <c r="K2557" i="61"/>
  <c r="P2556" i="61"/>
  <c r="O2556" i="61"/>
  <c r="N2556" i="61"/>
  <c r="M2556" i="61"/>
  <c r="L2556" i="61"/>
  <c r="K2556" i="61"/>
  <c r="P2555" i="61"/>
  <c r="O2555" i="61"/>
  <c r="N2555" i="61"/>
  <c r="M2555" i="61"/>
  <c r="L2555" i="61"/>
  <c r="K2555" i="61"/>
  <c r="P2554" i="61"/>
  <c r="O2554" i="61"/>
  <c r="N2554" i="61"/>
  <c r="M2554" i="61"/>
  <c r="L2554" i="61"/>
  <c r="K2554" i="61"/>
  <c r="P2553" i="61"/>
  <c r="O2553" i="61"/>
  <c r="N2553" i="61"/>
  <c r="M2553" i="61"/>
  <c r="L2553" i="61"/>
  <c r="K2553" i="61"/>
  <c r="P2552" i="61"/>
  <c r="O2552" i="61"/>
  <c r="N2552" i="61"/>
  <c r="M2552" i="61"/>
  <c r="L2552" i="61"/>
  <c r="K2552" i="61"/>
  <c r="P2551" i="61"/>
  <c r="O2551" i="61"/>
  <c r="N2551" i="61"/>
  <c r="M2551" i="61"/>
  <c r="L2551" i="61"/>
  <c r="K2551" i="61"/>
  <c r="P2550" i="61"/>
  <c r="O2550" i="61"/>
  <c r="N2550" i="61"/>
  <c r="M2550" i="61"/>
  <c r="L2550" i="61"/>
  <c r="K2550" i="61"/>
  <c r="P2549" i="61"/>
  <c r="O2549" i="61"/>
  <c r="N2549" i="61"/>
  <c r="M2549" i="61"/>
  <c r="L2549" i="61"/>
  <c r="K2549" i="61"/>
  <c r="P2548" i="61"/>
  <c r="O2548" i="61"/>
  <c r="N2548" i="61"/>
  <c r="M2548" i="61"/>
  <c r="L2548" i="61"/>
  <c r="K2548" i="61"/>
  <c r="P2547" i="61"/>
  <c r="O2547" i="61"/>
  <c r="N2547" i="61"/>
  <c r="M2547" i="61"/>
  <c r="L2547" i="61"/>
  <c r="K2547" i="61"/>
  <c r="P2546" i="61"/>
  <c r="O2546" i="61"/>
  <c r="N2546" i="61"/>
  <c r="M2546" i="61"/>
  <c r="L2546" i="61"/>
  <c r="K2546" i="61"/>
  <c r="P2545" i="61"/>
  <c r="O2545" i="61"/>
  <c r="N2545" i="61"/>
  <c r="M2545" i="61"/>
  <c r="L2545" i="61"/>
  <c r="K2545" i="61"/>
  <c r="P2544" i="61"/>
  <c r="O2544" i="61"/>
  <c r="N2544" i="61"/>
  <c r="M2544" i="61"/>
  <c r="L2544" i="61"/>
  <c r="K2544" i="61"/>
  <c r="P2543" i="61"/>
  <c r="O2543" i="61"/>
  <c r="N2543" i="61"/>
  <c r="M2543" i="61"/>
  <c r="L2543" i="61"/>
  <c r="K2543" i="61"/>
  <c r="P2542" i="61"/>
  <c r="O2542" i="61"/>
  <c r="N2542" i="61"/>
  <c r="M2542" i="61"/>
  <c r="L2542" i="61"/>
  <c r="K2542" i="61"/>
  <c r="P2541" i="61"/>
  <c r="O2541" i="61"/>
  <c r="N2541" i="61"/>
  <c r="M2541" i="61"/>
  <c r="L2541" i="61"/>
  <c r="K2541" i="61"/>
  <c r="P2540" i="61"/>
  <c r="O2540" i="61"/>
  <c r="N2540" i="61"/>
  <c r="M2540" i="61"/>
  <c r="L2540" i="61"/>
  <c r="K2540" i="61"/>
  <c r="P2539" i="61"/>
  <c r="O2539" i="61"/>
  <c r="N2539" i="61"/>
  <c r="M2539" i="61"/>
  <c r="L2539" i="61"/>
  <c r="K2539" i="61"/>
  <c r="P2538" i="61"/>
  <c r="O2538" i="61"/>
  <c r="N2538" i="61"/>
  <c r="M2538" i="61"/>
  <c r="L2538" i="61"/>
  <c r="K2538" i="61"/>
  <c r="P2537" i="61"/>
  <c r="O2537" i="61"/>
  <c r="N2537" i="61"/>
  <c r="M2537" i="61"/>
  <c r="L2537" i="61"/>
  <c r="K2537" i="61"/>
  <c r="P2536" i="61"/>
  <c r="O2536" i="61"/>
  <c r="N2536" i="61"/>
  <c r="M2536" i="61"/>
  <c r="L2536" i="61"/>
  <c r="K2536" i="61"/>
  <c r="P2535" i="61"/>
  <c r="O2535" i="61"/>
  <c r="N2535" i="61"/>
  <c r="M2535" i="61"/>
  <c r="L2535" i="61"/>
  <c r="K2535" i="61"/>
  <c r="P2534" i="61"/>
  <c r="O2534" i="61"/>
  <c r="N2534" i="61"/>
  <c r="M2534" i="61"/>
  <c r="L2534" i="61"/>
  <c r="K2534" i="61"/>
  <c r="P2533" i="61"/>
  <c r="O2533" i="61"/>
  <c r="N2533" i="61"/>
  <c r="M2533" i="61"/>
  <c r="L2533" i="61"/>
  <c r="K2533" i="61"/>
  <c r="P2532" i="61"/>
  <c r="O2532" i="61"/>
  <c r="N2532" i="61"/>
  <c r="M2532" i="61"/>
  <c r="L2532" i="61"/>
  <c r="K2532" i="61"/>
  <c r="P2531" i="61"/>
  <c r="O2531" i="61"/>
  <c r="N2531" i="61"/>
  <c r="M2531" i="61"/>
  <c r="L2531" i="61"/>
  <c r="K2531" i="61"/>
  <c r="P2530" i="61"/>
  <c r="O2530" i="61"/>
  <c r="N2530" i="61"/>
  <c r="M2530" i="61"/>
  <c r="L2530" i="61"/>
  <c r="K2530" i="61"/>
  <c r="P2529" i="61"/>
  <c r="O2529" i="61"/>
  <c r="N2529" i="61"/>
  <c r="M2529" i="61"/>
  <c r="L2529" i="61"/>
  <c r="K2529" i="61"/>
  <c r="P2528" i="61"/>
  <c r="O2528" i="61"/>
  <c r="N2528" i="61"/>
  <c r="M2528" i="61"/>
  <c r="L2528" i="61"/>
  <c r="K2528" i="61"/>
  <c r="P2527" i="61"/>
  <c r="O2527" i="61"/>
  <c r="N2527" i="61"/>
  <c r="M2527" i="61"/>
  <c r="L2527" i="61"/>
  <c r="K2527" i="61"/>
  <c r="P2526" i="61"/>
  <c r="O2526" i="61"/>
  <c r="N2526" i="61"/>
  <c r="M2526" i="61"/>
  <c r="L2526" i="61"/>
  <c r="K2526" i="61"/>
  <c r="P2525" i="61"/>
  <c r="O2525" i="61"/>
  <c r="N2525" i="61"/>
  <c r="M2525" i="61"/>
  <c r="L2525" i="61"/>
  <c r="K2525" i="61"/>
  <c r="P2524" i="61"/>
  <c r="O2524" i="61"/>
  <c r="N2524" i="61"/>
  <c r="M2524" i="61"/>
  <c r="L2524" i="61"/>
  <c r="K2524" i="61"/>
  <c r="P2523" i="61"/>
  <c r="O2523" i="61"/>
  <c r="N2523" i="61"/>
  <c r="M2523" i="61"/>
  <c r="L2523" i="61"/>
  <c r="K2523" i="61"/>
  <c r="P2522" i="61"/>
  <c r="O2522" i="61"/>
  <c r="N2522" i="61"/>
  <c r="M2522" i="61"/>
  <c r="L2522" i="61"/>
  <c r="K2522" i="61"/>
  <c r="P2521" i="61"/>
  <c r="O2521" i="61"/>
  <c r="N2521" i="61"/>
  <c r="M2521" i="61"/>
  <c r="L2521" i="61"/>
  <c r="K2521" i="61"/>
  <c r="P2520" i="61"/>
  <c r="O2520" i="61"/>
  <c r="N2520" i="61"/>
  <c r="M2520" i="61"/>
  <c r="L2520" i="61"/>
  <c r="K2520" i="61"/>
  <c r="P2519" i="61"/>
  <c r="O2519" i="61"/>
  <c r="N2519" i="61"/>
  <c r="M2519" i="61"/>
  <c r="L2519" i="61"/>
  <c r="K2519" i="61"/>
  <c r="P2518" i="61"/>
  <c r="O2518" i="61"/>
  <c r="N2518" i="61"/>
  <c r="M2518" i="61"/>
  <c r="L2518" i="61"/>
  <c r="K2518" i="61"/>
  <c r="P2517" i="61"/>
  <c r="O2517" i="61"/>
  <c r="N2517" i="61"/>
  <c r="M2517" i="61"/>
  <c r="L2517" i="61"/>
  <c r="K2517" i="61"/>
  <c r="P2516" i="61"/>
  <c r="O2516" i="61"/>
  <c r="N2516" i="61"/>
  <c r="M2516" i="61"/>
  <c r="L2516" i="61"/>
  <c r="K2516" i="61"/>
  <c r="P2515" i="61"/>
  <c r="O2515" i="61"/>
  <c r="N2515" i="61"/>
  <c r="M2515" i="61"/>
  <c r="L2515" i="61"/>
  <c r="K2515" i="61"/>
  <c r="P2514" i="61"/>
  <c r="O2514" i="61"/>
  <c r="N2514" i="61"/>
  <c r="M2514" i="61"/>
  <c r="L2514" i="61"/>
  <c r="K2514" i="61"/>
  <c r="P2513" i="61"/>
  <c r="O2513" i="61"/>
  <c r="N2513" i="61"/>
  <c r="M2513" i="61"/>
  <c r="L2513" i="61"/>
  <c r="K2513" i="61"/>
  <c r="P2512" i="61"/>
  <c r="O2512" i="61"/>
  <c r="N2512" i="61"/>
  <c r="M2512" i="61"/>
  <c r="L2512" i="61"/>
  <c r="K2512" i="61"/>
  <c r="P2511" i="61"/>
  <c r="O2511" i="61"/>
  <c r="N2511" i="61"/>
  <c r="M2511" i="61"/>
  <c r="L2511" i="61"/>
  <c r="K2511" i="61"/>
  <c r="P2510" i="61"/>
  <c r="O2510" i="61"/>
  <c r="N2510" i="61"/>
  <c r="M2510" i="61"/>
  <c r="L2510" i="61"/>
  <c r="K2510" i="61"/>
  <c r="P2509" i="61"/>
  <c r="O2509" i="61"/>
  <c r="N2509" i="61"/>
  <c r="M2509" i="61"/>
  <c r="L2509" i="61"/>
  <c r="K2509" i="61"/>
  <c r="P2508" i="61"/>
  <c r="O2508" i="61"/>
  <c r="N2508" i="61"/>
  <c r="M2508" i="61"/>
  <c r="L2508" i="61"/>
  <c r="K2508" i="61"/>
  <c r="P2507" i="61"/>
  <c r="O2507" i="61"/>
  <c r="N2507" i="61"/>
  <c r="M2507" i="61"/>
  <c r="L2507" i="61"/>
  <c r="K2507" i="61"/>
  <c r="P2506" i="61"/>
  <c r="O2506" i="61"/>
  <c r="N2506" i="61"/>
  <c r="M2506" i="61"/>
  <c r="L2506" i="61"/>
  <c r="K2506" i="61"/>
  <c r="P2505" i="61"/>
  <c r="O2505" i="61"/>
  <c r="N2505" i="61"/>
  <c r="M2505" i="61"/>
  <c r="L2505" i="61"/>
  <c r="K2505" i="61"/>
  <c r="P2504" i="61"/>
  <c r="O2504" i="61"/>
  <c r="N2504" i="61"/>
  <c r="M2504" i="61"/>
  <c r="L2504" i="61"/>
  <c r="K2504" i="61"/>
  <c r="P2503" i="61"/>
  <c r="O2503" i="61"/>
  <c r="N2503" i="61"/>
  <c r="M2503" i="61"/>
  <c r="L2503" i="61"/>
  <c r="K2503" i="61"/>
  <c r="P2502" i="61"/>
  <c r="O2502" i="61"/>
  <c r="N2502" i="61"/>
  <c r="M2502" i="61"/>
  <c r="L2502" i="61"/>
  <c r="K2502" i="61"/>
  <c r="P2501" i="61"/>
  <c r="O2501" i="61"/>
  <c r="N2501" i="61"/>
  <c r="M2501" i="61"/>
  <c r="L2501" i="61"/>
  <c r="K2501" i="61"/>
  <c r="P2500" i="61"/>
  <c r="O2500" i="61"/>
  <c r="N2500" i="61"/>
  <c r="M2500" i="61"/>
  <c r="L2500" i="61"/>
  <c r="K2500" i="61"/>
  <c r="P2499" i="61"/>
  <c r="O2499" i="61"/>
  <c r="N2499" i="61"/>
  <c r="M2499" i="61"/>
  <c r="L2499" i="61"/>
  <c r="K2499" i="61"/>
  <c r="P2498" i="61"/>
  <c r="O2498" i="61"/>
  <c r="N2498" i="61"/>
  <c r="M2498" i="61"/>
  <c r="L2498" i="61"/>
  <c r="K2498" i="61"/>
  <c r="P2497" i="61"/>
  <c r="O2497" i="61"/>
  <c r="N2497" i="61"/>
  <c r="M2497" i="61"/>
  <c r="L2497" i="61"/>
  <c r="K2497" i="61"/>
  <c r="P2496" i="61"/>
  <c r="O2496" i="61"/>
  <c r="N2496" i="61"/>
  <c r="M2496" i="61"/>
  <c r="L2496" i="61"/>
  <c r="K2496" i="61"/>
  <c r="P2495" i="61"/>
  <c r="O2495" i="61"/>
  <c r="N2495" i="61"/>
  <c r="M2495" i="61"/>
  <c r="L2495" i="61"/>
  <c r="K2495" i="61"/>
  <c r="P2494" i="61"/>
  <c r="O2494" i="61"/>
  <c r="N2494" i="61"/>
  <c r="M2494" i="61"/>
  <c r="L2494" i="61"/>
  <c r="K2494" i="61"/>
  <c r="P2493" i="61"/>
  <c r="O2493" i="61"/>
  <c r="N2493" i="61"/>
  <c r="M2493" i="61"/>
  <c r="L2493" i="61"/>
  <c r="K2493" i="61"/>
  <c r="P2492" i="61"/>
  <c r="O2492" i="61"/>
  <c r="N2492" i="61"/>
  <c r="M2492" i="61"/>
  <c r="L2492" i="61"/>
  <c r="K2492" i="61"/>
  <c r="P2491" i="61"/>
  <c r="O2491" i="61"/>
  <c r="N2491" i="61"/>
  <c r="M2491" i="61"/>
  <c r="L2491" i="61"/>
  <c r="K2491" i="61"/>
  <c r="P2490" i="61"/>
  <c r="O2490" i="61"/>
  <c r="N2490" i="61"/>
  <c r="M2490" i="61"/>
  <c r="L2490" i="61"/>
  <c r="K2490" i="61"/>
  <c r="P2489" i="61"/>
  <c r="O2489" i="61"/>
  <c r="N2489" i="61"/>
  <c r="M2489" i="61"/>
  <c r="L2489" i="61"/>
  <c r="K2489" i="61"/>
  <c r="P2488" i="61"/>
  <c r="O2488" i="61"/>
  <c r="N2488" i="61"/>
  <c r="M2488" i="61"/>
  <c r="L2488" i="61"/>
  <c r="K2488" i="61"/>
  <c r="P2487" i="61"/>
  <c r="O2487" i="61"/>
  <c r="N2487" i="61"/>
  <c r="M2487" i="61"/>
  <c r="L2487" i="61"/>
  <c r="K2487" i="61"/>
  <c r="P2486" i="61"/>
  <c r="O2486" i="61"/>
  <c r="N2486" i="61"/>
  <c r="M2486" i="61"/>
  <c r="L2486" i="61"/>
  <c r="K2486" i="61"/>
  <c r="P2485" i="61"/>
  <c r="O2485" i="61"/>
  <c r="N2485" i="61"/>
  <c r="M2485" i="61"/>
  <c r="L2485" i="61"/>
  <c r="K2485" i="61"/>
  <c r="P2484" i="61"/>
  <c r="O2484" i="61"/>
  <c r="N2484" i="61"/>
  <c r="M2484" i="61"/>
  <c r="L2484" i="61"/>
  <c r="K2484" i="61"/>
  <c r="P2483" i="61"/>
  <c r="O2483" i="61"/>
  <c r="N2483" i="61"/>
  <c r="M2483" i="61"/>
  <c r="L2483" i="61"/>
  <c r="K2483" i="61"/>
  <c r="P2482" i="61"/>
  <c r="O2482" i="61"/>
  <c r="N2482" i="61"/>
  <c r="M2482" i="61"/>
  <c r="L2482" i="61"/>
  <c r="K2482" i="61"/>
  <c r="P2481" i="61"/>
  <c r="O2481" i="61"/>
  <c r="N2481" i="61"/>
  <c r="M2481" i="61"/>
  <c r="L2481" i="61"/>
  <c r="K2481" i="61"/>
  <c r="P2480" i="61"/>
  <c r="O2480" i="61"/>
  <c r="N2480" i="61"/>
  <c r="M2480" i="61"/>
  <c r="L2480" i="61"/>
  <c r="K2480" i="61"/>
  <c r="P2479" i="61"/>
  <c r="O2479" i="61"/>
  <c r="N2479" i="61"/>
  <c r="M2479" i="61"/>
  <c r="L2479" i="61"/>
  <c r="K2479" i="61"/>
  <c r="P2478" i="61"/>
  <c r="O2478" i="61"/>
  <c r="N2478" i="61"/>
  <c r="M2478" i="61"/>
  <c r="L2478" i="61"/>
  <c r="K2478" i="61"/>
  <c r="P2477" i="61"/>
  <c r="O2477" i="61"/>
  <c r="N2477" i="61"/>
  <c r="M2477" i="61"/>
  <c r="L2477" i="61"/>
  <c r="K2477" i="61"/>
  <c r="P2476" i="61"/>
  <c r="O2476" i="61"/>
  <c r="N2476" i="61"/>
  <c r="M2476" i="61"/>
  <c r="L2476" i="61"/>
  <c r="K2476" i="61"/>
  <c r="P2475" i="61"/>
  <c r="O2475" i="61"/>
  <c r="N2475" i="61"/>
  <c r="M2475" i="61"/>
  <c r="L2475" i="61"/>
  <c r="K2475" i="61"/>
  <c r="P2474" i="61"/>
  <c r="O2474" i="61"/>
  <c r="N2474" i="61"/>
  <c r="M2474" i="61"/>
  <c r="L2474" i="61"/>
  <c r="K2474" i="61"/>
  <c r="P2473" i="61"/>
  <c r="O2473" i="61"/>
  <c r="N2473" i="61"/>
  <c r="M2473" i="61"/>
  <c r="L2473" i="61"/>
  <c r="K2473" i="61"/>
  <c r="P2472" i="61"/>
  <c r="O2472" i="61"/>
  <c r="N2472" i="61"/>
  <c r="M2472" i="61"/>
  <c r="L2472" i="61"/>
  <c r="K2472" i="61"/>
  <c r="P2471" i="61"/>
  <c r="O2471" i="61"/>
  <c r="N2471" i="61"/>
  <c r="M2471" i="61"/>
  <c r="L2471" i="61"/>
  <c r="K2471" i="61"/>
  <c r="P2470" i="61"/>
  <c r="O2470" i="61"/>
  <c r="N2470" i="61"/>
  <c r="M2470" i="61"/>
  <c r="L2470" i="61"/>
  <c r="K2470" i="61"/>
  <c r="P2469" i="61"/>
  <c r="O2469" i="61"/>
  <c r="N2469" i="61"/>
  <c r="M2469" i="61"/>
  <c r="L2469" i="61"/>
  <c r="K2469" i="61"/>
  <c r="P2468" i="61"/>
  <c r="O2468" i="61"/>
  <c r="N2468" i="61"/>
  <c r="M2468" i="61"/>
  <c r="L2468" i="61"/>
  <c r="K2468" i="61"/>
  <c r="P2467" i="61"/>
  <c r="O2467" i="61"/>
  <c r="N2467" i="61"/>
  <c r="M2467" i="61"/>
  <c r="L2467" i="61"/>
  <c r="K2467" i="61"/>
  <c r="P2466" i="61"/>
  <c r="O2466" i="61"/>
  <c r="N2466" i="61"/>
  <c r="M2466" i="61"/>
  <c r="L2466" i="61"/>
  <c r="K2466" i="61"/>
  <c r="P2465" i="61"/>
  <c r="O2465" i="61"/>
  <c r="N2465" i="61"/>
  <c r="M2465" i="61"/>
  <c r="L2465" i="61"/>
  <c r="K2465" i="61"/>
  <c r="P2464" i="61"/>
  <c r="O2464" i="61"/>
  <c r="N2464" i="61"/>
  <c r="M2464" i="61"/>
  <c r="L2464" i="61"/>
  <c r="K2464" i="61"/>
  <c r="P2463" i="61"/>
  <c r="O2463" i="61"/>
  <c r="N2463" i="61"/>
  <c r="M2463" i="61"/>
  <c r="L2463" i="61"/>
  <c r="K2463" i="61"/>
  <c r="P2462" i="61"/>
  <c r="O2462" i="61"/>
  <c r="N2462" i="61"/>
  <c r="M2462" i="61"/>
  <c r="L2462" i="61"/>
  <c r="K2462" i="61"/>
  <c r="P2461" i="61"/>
  <c r="O2461" i="61"/>
  <c r="N2461" i="61"/>
  <c r="M2461" i="61"/>
  <c r="L2461" i="61"/>
  <c r="K2461" i="61"/>
  <c r="P2460" i="61"/>
  <c r="O2460" i="61"/>
  <c r="N2460" i="61"/>
  <c r="M2460" i="61"/>
  <c r="L2460" i="61"/>
  <c r="K2460" i="61"/>
  <c r="P2459" i="61"/>
  <c r="O2459" i="61"/>
  <c r="N2459" i="61"/>
  <c r="M2459" i="61"/>
  <c r="L2459" i="61"/>
  <c r="K2459" i="61"/>
  <c r="P2458" i="61"/>
  <c r="O2458" i="61"/>
  <c r="N2458" i="61"/>
  <c r="M2458" i="61"/>
  <c r="L2458" i="61"/>
  <c r="K2458" i="61"/>
  <c r="P2457" i="61"/>
  <c r="O2457" i="61"/>
  <c r="N2457" i="61"/>
  <c r="M2457" i="61"/>
  <c r="L2457" i="61"/>
  <c r="K2457" i="61"/>
  <c r="P2456" i="61"/>
  <c r="O2456" i="61"/>
  <c r="N2456" i="61"/>
  <c r="M2456" i="61"/>
  <c r="L2456" i="61"/>
  <c r="K2456" i="61"/>
  <c r="P2455" i="61"/>
  <c r="O2455" i="61"/>
  <c r="N2455" i="61"/>
  <c r="M2455" i="61"/>
  <c r="L2455" i="61"/>
  <c r="K2455" i="61"/>
  <c r="P2454" i="61"/>
  <c r="O2454" i="61"/>
  <c r="N2454" i="61"/>
  <c r="M2454" i="61"/>
  <c r="L2454" i="61"/>
  <c r="K2454" i="61"/>
  <c r="P2453" i="61"/>
  <c r="O2453" i="61"/>
  <c r="N2453" i="61"/>
  <c r="M2453" i="61"/>
  <c r="L2453" i="61"/>
  <c r="K2453" i="61"/>
  <c r="P2452" i="61"/>
  <c r="O2452" i="61"/>
  <c r="N2452" i="61"/>
  <c r="M2452" i="61"/>
  <c r="L2452" i="61"/>
  <c r="K2452" i="61"/>
  <c r="P2451" i="61"/>
  <c r="O2451" i="61"/>
  <c r="N2451" i="61"/>
  <c r="M2451" i="61"/>
  <c r="L2451" i="61"/>
  <c r="K2451" i="61"/>
  <c r="P2450" i="61"/>
  <c r="O2450" i="61"/>
  <c r="N2450" i="61"/>
  <c r="M2450" i="61"/>
  <c r="L2450" i="61"/>
  <c r="K2450" i="61"/>
  <c r="P2449" i="61"/>
  <c r="O2449" i="61"/>
  <c r="N2449" i="61"/>
  <c r="M2449" i="61"/>
  <c r="L2449" i="61"/>
  <c r="K2449" i="61"/>
  <c r="P2448" i="61"/>
  <c r="O2448" i="61"/>
  <c r="N2448" i="61"/>
  <c r="M2448" i="61"/>
  <c r="L2448" i="61"/>
  <c r="K2448" i="61"/>
  <c r="P2447" i="61"/>
  <c r="O2447" i="61"/>
  <c r="N2447" i="61"/>
  <c r="M2447" i="61"/>
  <c r="L2447" i="61"/>
  <c r="K2447" i="61"/>
  <c r="P2446" i="61"/>
  <c r="O2446" i="61"/>
  <c r="N2446" i="61"/>
  <c r="M2446" i="61"/>
  <c r="L2446" i="61"/>
  <c r="K2446" i="61"/>
  <c r="P2445" i="61"/>
  <c r="O2445" i="61"/>
  <c r="N2445" i="61"/>
  <c r="M2445" i="61"/>
  <c r="L2445" i="61"/>
  <c r="K2445" i="61"/>
  <c r="P2444" i="61"/>
  <c r="O2444" i="61"/>
  <c r="N2444" i="61"/>
  <c r="M2444" i="61"/>
  <c r="L2444" i="61"/>
  <c r="K2444" i="61"/>
  <c r="P2443" i="61"/>
  <c r="O2443" i="61"/>
  <c r="N2443" i="61"/>
  <c r="M2443" i="61"/>
  <c r="L2443" i="61"/>
  <c r="K2443" i="61"/>
  <c r="P2442" i="61"/>
  <c r="O2442" i="61"/>
  <c r="N2442" i="61"/>
  <c r="M2442" i="61"/>
  <c r="L2442" i="61"/>
  <c r="K2442" i="61"/>
  <c r="P2441" i="61"/>
  <c r="O2441" i="61"/>
  <c r="N2441" i="61"/>
  <c r="M2441" i="61"/>
  <c r="L2441" i="61"/>
  <c r="K2441" i="61"/>
  <c r="P2440" i="61"/>
  <c r="O2440" i="61"/>
  <c r="N2440" i="61"/>
  <c r="M2440" i="61"/>
  <c r="L2440" i="61"/>
  <c r="K2440" i="61"/>
  <c r="P2439" i="61"/>
  <c r="O2439" i="61"/>
  <c r="N2439" i="61"/>
  <c r="M2439" i="61"/>
  <c r="L2439" i="61"/>
  <c r="K2439" i="61"/>
  <c r="P2438" i="61"/>
  <c r="O2438" i="61"/>
  <c r="N2438" i="61"/>
  <c r="M2438" i="61"/>
  <c r="L2438" i="61"/>
  <c r="K2438" i="61"/>
  <c r="P2437" i="61"/>
  <c r="O2437" i="61"/>
  <c r="N2437" i="61"/>
  <c r="M2437" i="61"/>
  <c r="L2437" i="61"/>
  <c r="K2437" i="61"/>
  <c r="P2436" i="61"/>
  <c r="O2436" i="61"/>
  <c r="N2436" i="61"/>
  <c r="M2436" i="61"/>
  <c r="L2436" i="61"/>
  <c r="K2436" i="61"/>
  <c r="P2435" i="61"/>
  <c r="O2435" i="61"/>
  <c r="N2435" i="61"/>
  <c r="M2435" i="61"/>
  <c r="L2435" i="61"/>
  <c r="K2435" i="61"/>
  <c r="P2434" i="61"/>
  <c r="O2434" i="61"/>
  <c r="N2434" i="61"/>
  <c r="M2434" i="61"/>
  <c r="L2434" i="61"/>
  <c r="K2434" i="61"/>
  <c r="P2433" i="61"/>
  <c r="O2433" i="61"/>
  <c r="N2433" i="61"/>
  <c r="M2433" i="61"/>
  <c r="L2433" i="61"/>
  <c r="K2433" i="61"/>
  <c r="P2432" i="61"/>
  <c r="O2432" i="61"/>
  <c r="N2432" i="61"/>
  <c r="M2432" i="61"/>
  <c r="L2432" i="61"/>
  <c r="K2432" i="61"/>
  <c r="P2431" i="61"/>
  <c r="O2431" i="61"/>
  <c r="N2431" i="61"/>
  <c r="M2431" i="61"/>
  <c r="L2431" i="61"/>
  <c r="K2431" i="61"/>
  <c r="P2430" i="61"/>
  <c r="O2430" i="61"/>
  <c r="N2430" i="61"/>
  <c r="M2430" i="61"/>
  <c r="L2430" i="61"/>
  <c r="K2430" i="61"/>
  <c r="P2429" i="61"/>
  <c r="O2429" i="61"/>
  <c r="N2429" i="61"/>
  <c r="M2429" i="61"/>
  <c r="L2429" i="61"/>
  <c r="K2429" i="61"/>
  <c r="P2428" i="61"/>
  <c r="O2428" i="61"/>
  <c r="N2428" i="61"/>
  <c r="M2428" i="61"/>
  <c r="L2428" i="61"/>
  <c r="K2428" i="61"/>
  <c r="P2427" i="61"/>
  <c r="O2427" i="61"/>
  <c r="N2427" i="61"/>
  <c r="M2427" i="61"/>
  <c r="L2427" i="61"/>
  <c r="K2427" i="61"/>
  <c r="P2426" i="61"/>
  <c r="O2426" i="61"/>
  <c r="N2426" i="61"/>
  <c r="M2426" i="61"/>
  <c r="L2426" i="61"/>
  <c r="K2426" i="61"/>
  <c r="P2425" i="61"/>
  <c r="O2425" i="61"/>
  <c r="N2425" i="61"/>
  <c r="M2425" i="61"/>
  <c r="L2425" i="61"/>
  <c r="K2425" i="61"/>
  <c r="P2424" i="61"/>
  <c r="O2424" i="61"/>
  <c r="N2424" i="61"/>
  <c r="M2424" i="61"/>
  <c r="L2424" i="61"/>
  <c r="K2424" i="61"/>
  <c r="P2423" i="61"/>
  <c r="O2423" i="61"/>
  <c r="N2423" i="61"/>
  <c r="M2423" i="61"/>
  <c r="L2423" i="61"/>
  <c r="K2423" i="61"/>
  <c r="P2422" i="61"/>
  <c r="O2422" i="61"/>
  <c r="N2422" i="61"/>
  <c r="M2422" i="61"/>
  <c r="L2422" i="61"/>
  <c r="K2422" i="61"/>
  <c r="P2421" i="61"/>
  <c r="O2421" i="61"/>
  <c r="N2421" i="61"/>
  <c r="M2421" i="61"/>
  <c r="L2421" i="61"/>
  <c r="K2421" i="61"/>
  <c r="P2420" i="61"/>
  <c r="O2420" i="61"/>
  <c r="N2420" i="61"/>
  <c r="M2420" i="61"/>
  <c r="L2420" i="61"/>
  <c r="K2420" i="61"/>
  <c r="P2419" i="61"/>
  <c r="O2419" i="61"/>
  <c r="N2419" i="61"/>
  <c r="M2419" i="61"/>
  <c r="L2419" i="61"/>
  <c r="K2419" i="61"/>
  <c r="P2418" i="61"/>
  <c r="O2418" i="61"/>
  <c r="N2418" i="61"/>
  <c r="M2418" i="61"/>
  <c r="L2418" i="61"/>
  <c r="K2418" i="61"/>
  <c r="P2417" i="61"/>
  <c r="O2417" i="61"/>
  <c r="N2417" i="61"/>
  <c r="M2417" i="61"/>
  <c r="L2417" i="61"/>
  <c r="K2417" i="61"/>
  <c r="P2416" i="61"/>
  <c r="O2416" i="61"/>
  <c r="N2416" i="61"/>
  <c r="M2416" i="61"/>
  <c r="L2416" i="61"/>
  <c r="K2416" i="61"/>
  <c r="P2415" i="61"/>
  <c r="O2415" i="61"/>
  <c r="N2415" i="61"/>
  <c r="M2415" i="61"/>
  <c r="L2415" i="61"/>
  <c r="K2415" i="61"/>
  <c r="P2414" i="61"/>
  <c r="O2414" i="61"/>
  <c r="N2414" i="61"/>
  <c r="M2414" i="61"/>
  <c r="L2414" i="61"/>
  <c r="K2414" i="61"/>
  <c r="P2413" i="61"/>
  <c r="O2413" i="61"/>
  <c r="N2413" i="61"/>
  <c r="M2413" i="61"/>
  <c r="L2413" i="61"/>
  <c r="K2413" i="61"/>
  <c r="P2412" i="61"/>
  <c r="O2412" i="61"/>
  <c r="N2412" i="61"/>
  <c r="M2412" i="61"/>
  <c r="L2412" i="61"/>
  <c r="K2412" i="61"/>
  <c r="P2411" i="61"/>
  <c r="O2411" i="61"/>
  <c r="N2411" i="61"/>
  <c r="M2411" i="61"/>
  <c r="L2411" i="61"/>
  <c r="K2411" i="61"/>
  <c r="P2410" i="61"/>
  <c r="O2410" i="61"/>
  <c r="N2410" i="61"/>
  <c r="M2410" i="61"/>
  <c r="L2410" i="61"/>
  <c r="K2410" i="61"/>
  <c r="P2409" i="61"/>
  <c r="O2409" i="61"/>
  <c r="N2409" i="61"/>
  <c r="M2409" i="61"/>
  <c r="L2409" i="61"/>
  <c r="K2409" i="61"/>
  <c r="P2408" i="61"/>
  <c r="O2408" i="61"/>
  <c r="N2408" i="61"/>
  <c r="M2408" i="61"/>
  <c r="L2408" i="61"/>
  <c r="K2408" i="61"/>
  <c r="P2407" i="61"/>
  <c r="O2407" i="61"/>
  <c r="N2407" i="61"/>
  <c r="M2407" i="61"/>
  <c r="L2407" i="61"/>
  <c r="K2407" i="61"/>
  <c r="P2406" i="61"/>
  <c r="O2406" i="61"/>
  <c r="N2406" i="61"/>
  <c r="M2406" i="61"/>
  <c r="L2406" i="61"/>
  <c r="K2406" i="61"/>
  <c r="P2405" i="61"/>
  <c r="O2405" i="61"/>
  <c r="N2405" i="61"/>
  <c r="M2405" i="61"/>
  <c r="L2405" i="61"/>
  <c r="K2405" i="61"/>
  <c r="P2404" i="61"/>
  <c r="O2404" i="61"/>
  <c r="N2404" i="61"/>
  <c r="M2404" i="61"/>
  <c r="L2404" i="61"/>
  <c r="K2404" i="61"/>
  <c r="P2403" i="61"/>
  <c r="O2403" i="61"/>
  <c r="N2403" i="61"/>
  <c r="M2403" i="61"/>
  <c r="L2403" i="61"/>
  <c r="K2403" i="61"/>
  <c r="P2402" i="61"/>
  <c r="O2402" i="61"/>
  <c r="N2402" i="61"/>
  <c r="M2402" i="61"/>
  <c r="L2402" i="61"/>
  <c r="K2402" i="61"/>
  <c r="P2401" i="61"/>
  <c r="O2401" i="61"/>
  <c r="N2401" i="61"/>
  <c r="M2401" i="61"/>
  <c r="L2401" i="61"/>
  <c r="K2401" i="61"/>
  <c r="P2400" i="61"/>
  <c r="O2400" i="61"/>
  <c r="N2400" i="61"/>
  <c r="M2400" i="61"/>
  <c r="L2400" i="61"/>
  <c r="K2400" i="61"/>
  <c r="P2399" i="61"/>
  <c r="O2399" i="61"/>
  <c r="N2399" i="61"/>
  <c r="M2399" i="61"/>
  <c r="L2399" i="61"/>
  <c r="K2399" i="61"/>
  <c r="P2398" i="61"/>
  <c r="O2398" i="61"/>
  <c r="N2398" i="61"/>
  <c r="M2398" i="61"/>
  <c r="L2398" i="61"/>
  <c r="K2398" i="61"/>
  <c r="P2397" i="61"/>
  <c r="O2397" i="61"/>
  <c r="N2397" i="61"/>
  <c r="M2397" i="61"/>
  <c r="L2397" i="61"/>
  <c r="K2397" i="61"/>
  <c r="P2396" i="61"/>
  <c r="O2396" i="61"/>
  <c r="N2396" i="61"/>
  <c r="M2396" i="61"/>
  <c r="L2396" i="61"/>
  <c r="K2396" i="61"/>
  <c r="P2395" i="61"/>
  <c r="O2395" i="61"/>
  <c r="N2395" i="61"/>
  <c r="M2395" i="61"/>
  <c r="L2395" i="61"/>
  <c r="K2395" i="61"/>
  <c r="P2394" i="61"/>
  <c r="O2394" i="61"/>
  <c r="N2394" i="61"/>
  <c r="M2394" i="61"/>
  <c r="L2394" i="61"/>
  <c r="K2394" i="61"/>
  <c r="P2393" i="61"/>
  <c r="O2393" i="61"/>
  <c r="N2393" i="61"/>
  <c r="M2393" i="61"/>
  <c r="L2393" i="61"/>
  <c r="K2393" i="61"/>
  <c r="P2392" i="61"/>
  <c r="O2392" i="61"/>
  <c r="N2392" i="61"/>
  <c r="M2392" i="61"/>
  <c r="L2392" i="61"/>
  <c r="K2392" i="61"/>
  <c r="P2391" i="61"/>
  <c r="O2391" i="61"/>
  <c r="N2391" i="61"/>
  <c r="M2391" i="61"/>
  <c r="L2391" i="61"/>
  <c r="K2391" i="61"/>
  <c r="P2390" i="61"/>
  <c r="O2390" i="61"/>
  <c r="N2390" i="61"/>
  <c r="M2390" i="61"/>
  <c r="L2390" i="61"/>
  <c r="K2390" i="61"/>
  <c r="P2389" i="61"/>
  <c r="O2389" i="61"/>
  <c r="N2389" i="61"/>
  <c r="M2389" i="61"/>
  <c r="L2389" i="61"/>
  <c r="K2389" i="61"/>
  <c r="P2388" i="61"/>
  <c r="O2388" i="61"/>
  <c r="N2388" i="61"/>
  <c r="M2388" i="61"/>
  <c r="L2388" i="61"/>
  <c r="K2388" i="61"/>
  <c r="P2387" i="61"/>
  <c r="O2387" i="61"/>
  <c r="N2387" i="61"/>
  <c r="M2387" i="61"/>
  <c r="L2387" i="61"/>
  <c r="K2387" i="61"/>
  <c r="P2386" i="61"/>
  <c r="O2386" i="61"/>
  <c r="N2386" i="61"/>
  <c r="M2386" i="61"/>
  <c r="L2386" i="61"/>
  <c r="K2386" i="61"/>
  <c r="P2385" i="61"/>
  <c r="O2385" i="61"/>
  <c r="N2385" i="61"/>
  <c r="M2385" i="61"/>
  <c r="L2385" i="61"/>
  <c r="K2385" i="61"/>
  <c r="P2384" i="61"/>
  <c r="O2384" i="61"/>
  <c r="N2384" i="61"/>
  <c r="M2384" i="61"/>
  <c r="L2384" i="61"/>
  <c r="K2384" i="61"/>
  <c r="P2383" i="61"/>
  <c r="O2383" i="61"/>
  <c r="N2383" i="61"/>
  <c r="M2383" i="61"/>
  <c r="L2383" i="61"/>
  <c r="K2383" i="61"/>
  <c r="P2382" i="61"/>
  <c r="O2382" i="61"/>
  <c r="N2382" i="61"/>
  <c r="M2382" i="61"/>
  <c r="L2382" i="61"/>
  <c r="K2382" i="61"/>
  <c r="P2381" i="61"/>
  <c r="O2381" i="61"/>
  <c r="N2381" i="61"/>
  <c r="M2381" i="61"/>
  <c r="L2381" i="61"/>
  <c r="K2381" i="61"/>
  <c r="P2380" i="61"/>
  <c r="O2380" i="61"/>
  <c r="N2380" i="61"/>
  <c r="M2380" i="61"/>
  <c r="L2380" i="61"/>
  <c r="K2380" i="61"/>
  <c r="P2379" i="61"/>
  <c r="O2379" i="61"/>
  <c r="N2379" i="61"/>
  <c r="M2379" i="61"/>
  <c r="L2379" i="61"/>
  <c r="K2379" i="61"/>
  <c r="P2378" i="61"/>
  <c r="O2378" i="61"/>
  <c r="N2378" i="61"/>
  <c r="M2378" i="61"/>
  <c r="L2378" i="61"/>
  <c r="K2378" i="61"/>
  <c r="P2377" i="61"/>
  <c r="O2377" i="61"/>
  <c r="N2377" i="61"/>
  <c r="M2377" i="61"/>
  <c r="L2377" i="61"/>
  <c r="K2377" i="61"/>
  <c r="P2376" i="61"/>
  <c r="O2376" i="61"/>
  <c r="N2376" i="61"/>
  <c r="M2376" i="61"/>
  <c r="L2376" i="61"/>
  <c r="K2376" i="61"/>
  <c r="P2375" i="61"/>
  <c r="O2375" i="61"/>
  <c r="N2375" i="61"/>
  <c r="M2375" i="61"/>
  <c r="L2375" i="61"/>
  <c r="K2375" i="61"/>
  <c r="P2374" i="61"/>
  <c r="O2374" i="61"/>
  <c r="N2374" i="61"/>
  <c r="M2374" i="61"/>
  <c r="L2374" i="61"/>
  <c r="K2374" i="61"/>
  <c r="P2373" i="61"/>
  <c r="O2373" i="61"/>
  <c r="N2373" i="61"/>
  <c r="M2373" i="61"/>
  <c r="L2373" i="61"/>
  <c r="K2373" i="61"/>
  <c r="P2372" i="61"/>
  <c r="O2372" i="61"/>
  <c r="N2372" i="61"/>
  <c r="M2372" i="61"/>
  <c r="L2372" i="61"/>
  <c r="K2372" i="61"/>
  <c r="P2371" i="61"/>
  <c r="O2371" i="61"/>
  <c r="N2371" i="61"/>
  <c r="M2371" i="61"/>
  <c r="L2371" i="61"/>
  <c r="K2371" i="61"/>
  <c r="P2370" i="61"/>
  <c r="O2370" i="61"/>
  <c r="N2370" i="61"/>
  <c r="M2370" i="61"/>
  <c r="L2370" i="61"/>
  <c r="K2370" i="61"/>
  <c r="P2369" i="61"/>
  <c r="O2369" i="61"/>
  <c r="N2369" i="61"/>
  <c r="M2369" i="61"/>
  <c r="L2369" i="61"/>
  <c r="K2369" i="61"/>
  <c r="P2368" i="61"/>
  <c r="O2368" i="61"/>
  <c r="N2368" i="61"/>
  <c r="M2368" i="61"/>
  <c r="L2368" i="61"/>
  <c r="K2368" i="61"/>
  <c r="P2367" i="61"/>
  <c r="O2367" i="61"/>
  <c r="N2367" i="61"/>
  <c r="M2367" i="61"/>
  <c r="L2367" i="61"/>
  <c r="K2367" i="61"/>
  <c r="P2366" i="61"/>
  <c r="O2366" i="61"/>
  <c r="N2366" i="61"/>
  <c r="M2366" i="61"/>
  <c r="L2366" i="61"/>
  <c r="K2366" i="61"/>
  <c r="P2365" i="61"/>
  <c r="O2365" i="61"/>
  <c r="N2365" i="61"/>
  <c r="M2365" i="61"/>
  <c r="L2365" i="61"/>
  <c r="K2365" i="61"/>
  <c r="P2364" i="61"/>
  <c r="O2364" i="61"/>
  <c r="N2364" i="61"/>
  <c r="M2364" i="61"/>
  <c r="L2364" i="61"/>
  <c r="K2364" i="61"/>
  <c r="P2363" i="61"/>
  <c r="O2363" i="61"/>
  <c r="N2363" i="61"/>
  <c r="M2363" i="61"/>
  <c r="L2363" i="61"/>
  <c r="K2363" i="61"/>
  <c r="P2362" i="61"/>
  <c r="O2362" i="61"/>
  <c r="N2362" i="61"/>
  <c r="M2362" i="61"/>
  <c r="L2362" i="61"/>
  <c r="K2362" i="61"/>
  <c r="P2361" i="61"/>
  <c r="O2361" i="61"/>
  <c r="N2361" i="61"/>
  <c r="M2361" i="61"/>
  <c r="L2361" i="61"/>
  <c r="K2361" i="61"/>
  <c r="P2360" i="61"/>
  <c r="O2360" i="61"/>
  <c r="N2360" i="61"/>
  <c r="M2360" i="61"/>
  <c r="L2360" i="61"/>
  <c r="K2360" i="61"/>
  <c r="P2359" i="61"/>
  <c r="O2359" i="61"/>
  <c r="N2359" i="61"/>
  <c r="M2359" i="61"/>
  <c r="L2359" i="61"/>
  <c r="K2359" i="61"/>
  <c r="P2358" i="61"/>
  <c r="O2358" i="61"/>
  <c r="N2358" i="61"/>
  <c r="M2358" i="61"/>
  <c r="L2358" i="61"/>
  <c r="K2358" i="61"/>
  <c r="P2357" i="61"/>
  <c r="O2357" i="61"/>
  <c r="N2357" i="61"/>
  <c r="M2357" i="61"/>
  <c r="L2357" i="61"/>
  <c r="K2357" i="61"/>
  <c r="P2356" i="61"/>
  <c r="O2356" i="61"/>
  <c r="N2356" i="61"/>
  <c r="M2356" i="61"/>
  <c r="L2356" i="61"/>
  <c r="K2356" i="61"/>
  <c r="P2355" i="61"/>
  <c r="O2355" i="61"/>
  <c r="N2355" i="61"/>
  <c r="M2355" i="61"/>
  <c r="L2355" i="61"/>
  <c r="K2355" i="61"/>
  <c r="P2354" i="61"/>
  <c r="O2354" i="61"/>
  <c r="N2354" i="61"/>
  <c r="M2354" i="61"/>
  <c r="L2354" i="61"/>
  <c r="K2354" i="61"/>
  <c r="P2353" i="61"/>
  <c r="O2353" i="61"/>
  <c r="N2353" i="61"/>
  <c r="M2353" i="61"/>
  <c r="L2353" i="61"/>
  <c r="K2353" i="61"/>
  <c r="P2352" i="61"/>
  <c r="O2352" i="61"/>
  <c r="N2352" i="61"/>
  <c r="M2352" i="61"/>
  <c r="L2352" i="61"/>
  <c r="K2352" i="61"/>
  <c r="P2351" i="61"/>
  <c r="O2351" i="61"/>
  <c r="N2351" i="61"/>
  <c r="M2351" i="61"/>
  <c r="L2351" i="61"/>
  <c r="K2351" i="61"/>
  <c r="P2350" i="61"/>
  <c r="O2350" i="61"/>
  <c r="N2350" i="61"/>
  <c r="M2350" i="61"/>
  <c r="L2350" i="61"/>
  <c r="K2350" i="61"/>
  <c r="P2349" i="61"/>
  <c r="O2349" i="61"/>
  <c r="N2349" i="61"/>
  <c r="M2349" i="61"/>
  <c r="L2349" i="61"/>
  <c r="K2349" i="61"/>
  <c r="P2348" i="61"/>
  <c r="O2348" i="61"/>
  <c r="N2348" i="61"/>
  <c r="M2348" i="61"/>
  <c r="L2348" i="61"/>
  <c r="K2348" i="61"/>
  <c r="P2347" i="61"/>
  <c r="O2347" i="61"/>
  <c r="N2347" i="61"/>
  <c r="M2347" i="61"/>
  <c r="L2347" i="61"/>
  <c r="K2347" i="61"/>
  <c r="P2346" i="61"/>
  <c r="O2346" i="61"/>
  <c r="N2346" i="61"/>
  <c r="M2346" i="61"/>
  <c r="L2346" i="61"/>
  <c r="K2346" i="61"/>
  <c r="P2345" i="61"/>
  <c r="O2345" i="61"/>
  <c r="N2345" i="61"/>
  <c r="M2345" i="61"/>
  <c r="L2345" i="61"/>
  <c r="K2345" i="61"/>
  <c r="P2344" i="61"/>
  <c r="O2344" i="61"/>
  <c r="N2344" i="61"/>
  <c r="M2344" i="61"/>
  <c r="L2344" i="61"/>
  <c r="K2344" i="61"/>
  <c r="P2343" i="61"/>
  <c r="O2343" i="61"/>
  <c r="N2343" i="61"/>
  <c r="M2343" i="61"/>
  <c r="L2343" i="61"/>
  <c r="K2343" i="61"/>
  <c r="P2342" i="61"/>
  <c r="O2342" i="61"/>
  <c r="N2342" i="61"/>
  <c r="M2342" i="61"/>
  <c r="L2342" i="61"/>
  <c r="K2342" i="61"/>
  <c r="P2341" i="61"/>
  <c r="O2341" i="61"/>
  <c r="N2341" i="61"/>
  <c r="M2341" i="61"/>
  <c r="L2341" i="61"/>
  <c r="K2341" i="61"/>
  <c r="P2340" i="61"/>
  <c r="O2340" i="61"/>
  <c r="N2340" i="61"/>
  <c r="M2340" i="61"/>
  <c r="L2340" i="61"/>
  <c r="K2340" i="61"/>
  <c r="P2339" i="61"/>
  <c r="O2339" i="61"/>
  <c r="N2339" i="61"/>
  <c r="M2339" i="61"/>
  <c r="L2339" i="61"/>
  <c r="K2339" i="61"/>
  <c r="P2338" i="61"/>
  <c r="O2338" i="61"/>
  <c r="N2338" i="61"/>
  <c r="M2338" i="61"/>
  <c r="L2338" i="61"/>
  <c r="K2338" i="61"/>
  <c r="P2337" i="61"/>
  <c r="O2337" i="61"/>
  <c r="N2337" i="61"/>
  <c r="M2337" i="61"/>
  <c r="L2337" i="61"/>
  <c r="K2337" i="61"/>
  <c r="P2336" i="61"/>
  <c r="O2336" i="61"/>
  <c r="N2336" i="61"/>
  <c r="M2336" i="61"/>
  <c r="L2336" i="61"/>
  <c r="K2336" i="61"/>
  <c r="P2335" i="61"/>
  <c r="O2335" i="61"/>
  <c r="N2335" i="61"/>
  <c r="M2335" i="61"/>
  <c r="L2335" i="61"/>
  <c r="K2335" i="61"/>
  <c r="P2334" i="61"/>
  <c r="O2334" i="61"/>
  <c r="N2334" i="61"/>
  <c r="M2334" i="61"/>
  <c r="L2334" i="61"/>
  <c r="K2334" i="61"/>
  <c r="P2333" i="61"/>
  <c r="O2333" i="61"/>
  <c r="N2333" i="61"/>
  <c r="M2333" i="61"/>
  <c r="L2333" i="61"/>
  <c r="K2333" i="61"/>
  <c r="P2332" i="61"/>
  <c r="O2332" i="61"/>
  <c r="N2332" i="61"/>
  <c r="M2332" i="61"/>
  <c r="L2332" i="61"/>
  <c r="K2332" i="61"/>
  <c r="P2331" i="61"/>
  <c r="O2331" i="61"/>
  <c r="N2331" i="61"/>
  <c r="M2331" i="61"/>
  <c r="L2331" i="61"/>
  <c r="K2331" i="61"/>
  <c r="P2330" i="61"/>
  <c r="O2330" i="61"/>
  <c r="N2330" i="61"/>
  <c r="M2330" i="61"/>
  <c r="L2330" i="61"/>
  <c r="K2330" i="61"/>
  <c r="P2329" i="61"/>
  <c r="O2329" i="61"/>
  <c r="N2329" i="61"/>
  <c r="M2329" i="61"/>
  <c r="L2329" i="61"/>
  <c r="K2329" i="61"/>
  <c r="P2328" i="61"/>
  <c r="O2328" i="61"/>
  <c r="N2328" i="61"/>
  <c r="M2328" i="61"/>
  <c r="L2328" i="61"/>
  <c r="K2328" i="61"/>
  <c r="P2327" i="61"/>
  <c r="O2327" i="61"/>
  <c r="N2327" i="61"/>
  <c r="M2327" i="61"/>
  <c r="L2327" i="61"/>
  <c r="K2327" i="61"/>
  <c r="P2326" i="61"/>
  <c r="O2326" i="61"/>
  <c r="N2326" i="61"/>
  <c r="M2326" i="61"/>
  <c r="L2326" i="61"/>
  <c r="K2326" i="61"/>
  <c r="P2325" i="61"/>
  <c r="O2325" i="61"/>
  <c r="N2325" i="61"/>
  <c r="M2325" i="61"/>
  <c r="L2325" i="61"/>
  <c r="K2325" i="61"/>
  <c r="P2324" i="61"/>
  <c r="O2324" i="61"/>
  <c r="N2324" i="61"/>
  <c r="M2324" i="61"/>
  <c r="L2324" i="61"/>
  <c r="K2324" i="61"/>
  <c r="P2323" i="61"/>
  <c r="O2323" i="61"/>
  <c r="N2323" i="61"/>
  <c r="M2323" i="61"/>
  <c r="L2323" i="61"/>
  <c r="K2323" i="61"/>
  <c r="P2322" i="61"/>
  <c r="O2322" i="61"/>
  <c r="N2322" i="61"/>
  <c r="M2322" i="61"/>
  <c r="L2322" i="61"/>
  <c r="K2322" i="61"/>
  <c r="P2321" i="61"/>
  <c r="O2321" i="61"/>
  <c r="N2321" i="61"/>
  <c r="M2321" i="61"/>
  <c r="L2321" i="61"/>
  <c r="K2321" i="61"/>
  <c r="P2320" i="61"/>
  <c r="O2320" i="61"/>
  <c r="N2320" i="61"/>
  <c r="M2320" i="61"/>
  <c r="L2320" i="61"/>
  <c r="K2320" i="61"/>
  <c r="P2319" i="61"/>
  <c r="O2319" i="61"/>
  <c r="N2319" i="61"/>
  <c r="M2319" i="61"/>
  <c r="L2319" i="61"/>
  <c r="K2319" i="61"/>
  <c r="P2318" i="61"/>
  <c r="O2318" i="61"/>
  <c r="N2318" i="61"/>
  <c r="M2318" i="61"/>
  <c r="L2318" i="61"/>
  <c r="K2318" i="61"/>
  <c r="P2317" i="61"/>
  <c r="O2317" i="61"/>
  <c r="N2317" i="61"/>
  <c r="M2317" i="61"/>
  <c r="L2317" i="61"/>
  <c r="K2317" i="61"/>
  <c r="P2316" i="61"/>
  <c r="O2316" i="61"/>
  <c r="N2316" i="61"/>
  <c r="M2316" i="61"/>
  <c r="L2316" i="61"/>
  <c r="K2316" i="61"/>
  <c r="P2315" i="61"/>
  <c r="O2315" i="61"/>
  <c r="N2315" i="61"/>
  <c r="M2315" i="61"/>
  <c r="L2315" i="61"/>
  <c r="K2315" i="61"/>
  <c r="P2314" i="61"/>
  <c r="O2314" i="61"/>
  <c r="N2314" i="61"/>
  <c r="M2314" i="61"/>
  <c r="L2314" i="61"/>
  <c r="K2314" i="61"/>
  <c r="P2313" i="61"/>
  <c r="O2313" i="61"/>
  <c r="N2313" i="61"/>
  <c r="M2313" i="61"/>
  <c r="L2313" i="61"/>
  <c r="K2313" i="61"/>
  <c r="P2312" i="61"/>
  <c r="O2312" i="61"/>
  <c r="N2312" i="61"/>
  <c r="M2312" i="61"/>
  <c r="L2312" i="61"/>
  <c r="K2312" i="61"/>
  <c r="P2311" i="61"/>
  <c r="O2311" i="61"/>
  <c r="N2311" i="61"/>
  <c r="M2311" i="61"/>
  <c r="L2311" i="61"/>
  <c r="K2311" i="61"/>
  <c r="P2310" i="61"/>
  <c r="O2310" i="61"/>
  <c r="N2310" i="61"/>
  <c r="M2310" i="61"/>
  <c r="L2310" i="61"/>
  <c r="K2310" i="61"/>
  <c r="P2309" i="61"/>
  <c r="O2309" i="61"/>
  <c r="N2309" i="61"/>
  <c r="M2309" i="61"/>
  <c r="L2309" i="61"/>
  <c r="K2309" i="61"/>
  <c r="P2308" i="61"/>
  <c r="O2308" i="61"/>
  <c r="N2308" i="61"/>
  <c r="M2308" i="61"/>
  <c r="L2308" i="61"/>
  <c r="K2308" i="61"/>
  <c r="P2307" i="61"/>
  <c r="O2307" i="61"/>
  <c r="N2307" i="61"/>
  <c r="M2307" i="61"/>
  <c r="L2307" i="61"/>
  <c r="K2307" i="61"/>
  <c r="P2306" i="61"/>
  <c r="O2306" i="61"/>
  <c r="N2306" i="61"/>
  <c r="M2306" i="61"/>
  <c r="L2306" i="61"/>
  <c r="K2306" i="61"/>
  <c r="P2305" i="61"/>
  <c r="O2305" i="61"/>
  <c r="N2305" i="61"/>
  <c r="M2305" i="61"/>
  <c r="L2305" i="61"/>
  <c r="K2305" i="61"/>
  <c r="P2304" i="61"/>
  <c r="O2304" i="61"/>
  <c r="N2304" i="61"/>
  <c r="M2304" i="61"/>
  <c r="L2304" i="61"/>
  <c r="K2304" i="61"/>
  <c r="P2303" i="61"/>
  <c r="O2303" i="61"/>
  <c r="N2303" i="61"/>
  <c r="M2303" i="61"/>
  <c r="L2303" i="61"/>
  <c r="K2303" i="61"/>
  <c r="P2302" i="61"/>
  <c r="O2302" i="61"/>
  <c r="N2302" i="61"/>
  <c r="M2302" i="61"/>
  <c r="L2302" i="61"/>
  <c r="K2302" i="61"/>
  <c r="P2301" i="61"/>
  <c r="O2301" i="61"/>
  <c r="N2301" i="61"/>
  <c r="M2301" i="61"/>
  <c r="L2301" i="61"/>
  <c r="K2301" i="61"/>
  <c r="P2300" i="61"/>
  <c r="O2300" i="61"/>
  <c r="N2300" i="61"/>
  <c r="M2300" i="61"/>
  <c r="L2300" i="61"/>
  <c r="K2300" i="61"/>
  <c r="P2299" i="61"/>
  <c r="O2299" i="61"/>
  <c r="N2299" i="61"/>
  <c r="M2299" i="61"/>
  <c r="L2299" i="61"/>
  <c r="K2299" i="61"/>
  <c r="P2298" i="61"/>
  <c r="O2298" i="61"/>
  <c r="N2298" i="61"/>
  <c r="M2298" i="61"/>
  <c r="L2298" i="61"/>
  <c r="K2298" i="61"/>
  <c r="P2297" i="61"/>
  <c r="O2297" i="61"/>
  <c r="N2297" i="61"/>
  <c r="M2297" i="61"/>
  <c r="L2297" i="61"/>
  <c r="K2297" i="61"/>
  <c r="P2296" i="61"/>
  <c r="O2296" i="61"/>
  <c r="N2296" i="61"/>
  <c r="M2296" i="61"/>
  <c r="L2296" i="61"/>
  <c r="K2296" i="61"/>
  <c r="P2295" i="61"/>
  <c r="O2295" i="61"/>
  <c r="N2295" i="61"/>
  <c r="M2295" i="61"/>
  <c r="L2295" i="61"/>
  <c r="K2295" i="61"/>
  <c r="P2294" i="61"/>
  <c r="O2294" i="61"/>
  <c r="N2294" i="61"/>
  <c r="M2294" i="61"/>
  <c r="L2294" i="61"/>
  <c r="K2294" i="61"/>
  <c r="P2293" i="61"/>
  <c r="O2293" i="61"/>
  <c r="N2293" i="61"/>
  <c r="M2293" i="61"/>
  <c r="L2293" i="61"/>
  <c r="K2293" i="61"/>
  <c r="P2292" i="61"/>
  <c r="O2292" i="61"/>
  <c r="N2292" i="61"/>
  <c r="M2292" i="61"/>
  <c r="L2292" i="61"/>
  <c r="K2292" i="61"/>
  <c r="P2291" i="61"/>
  <c r="O2291" i="61"/>
  <c r="N2291" i="61"/>
  <c r="M2291" i="61"/>
  <c r="L2291" i="61"/>
  <c r="K2291" i="61"/>
  <c r="P2290" i="61"/>
  <c r="O2290" i="61"/>
  <c r="N2290" i="61"/>
  <c r="M2290" i="61"/>
  <c r="L2290" i="61"/>
  <c r="K2290" i="61"/>
  <c r="P2289" i="61"/>
  <c r="O2289" i="61"/>
  <c r="N2289" i="61"/>
  <c r="M2289" i="61"/>
  <c r="L2289" i="61"/>
  <c r="K2289" i="61"/>
  <c r="P2288" i="61"/>
  <c r="O2288" i="61"/>
  <c r="N2288" i="61"/>
  <c r="M2288" i="61"/>
  <c r="L2288" i="61"/>
  <c r="K2288" i="61"/>
  <c r="P2287" i="61"/>
  <c r="O2287" i="61"/>
  <c r="N2287" i="61"/>
  <c r="M2287" i="61"/>
  <c r="L2287" i="61"/>
  <c r="K2287" i="61"/>
  <c r="P2286" i="61"/>
  <c r="O2286" i="61"/>
  <c r="N2286" i="61"/>
  <c r="M2286" i="61"/>
  <c r="L2286" i="61"/>
  <c r="K2286" i="61"/>
  <c r="P2285" i="61"/>
  <c r="O2285" i="61"/>
  <c r="N2285" i="61"/>
  <c r="M2285" i="61"/>
  <c r="L2285" i="61"/>
  <c r="K2285" i="61"/>
  <c r="P2284" i="61"/>
  <c r="O2284" i="61"/>
  <c r="N2284" i="61"/>
  <c r="M2284" i="61"/>
  <c r="L2284" i="61"/>
  <c r="K2284" i="61"/>
  <c r="P2283" i="61"/>
  <c r="O2283" i="61"/>
  <c r="N2283" i="61"/>
  <c r="M2283" i="61"/>
  <c r="L2283" i="61"/>
  <c r="K2283" i="61"/>
  <c r="P2282" i="61"/>
  <c r="O2282" i="61"/>
  <c r="N2282" i="61"/>
  <c r="M2282" i="61"/>
  <c r="L2282" i="61"/>
  <c r="K2282" i="61"/>
  <c r="P2281" i="61"/>
  <c r="O2281" i="61"/>
  <c r="N2281" i="61"/>
  <c r="M2281" i="61"/>
  <c r="L2281" i="61"/>
  <c r="K2281" i="61"/>
  <c r="P2280" i="61"/>
  <c r="O2280" i="61"/>
  <c r="N2280" i="61"/>
  <c r="M2280" i="61"/>
  <c r="L2280" i="61"/>
  <c r="K2280" i="61"/>
  <c r="P2279" i="61"/>
  <c r="O2279" i="61"/>
  <c r="N2279" i="61"/>
  <c r="M2279" i="61"/>
  <c r="L2279" i="61"/>
  <c r="K2279" i="61"/>
  <c r="P2278" i="61"/>
  <c r="O2278" i="61"/>
  <c r="N2278" i="61"/>
  <c r="M2278" i="61"/>
  <c r="L2278" i="61"/>
  <c r="K2278" i="61"/>
  <c r="P2277" i="61"/>
  <c r="O2277" i="61"/>
  <c r="N2277" i="61"/>
  <c r="M2277" i="61"/>
  <c r="L2277" i="61"/>
  <c r="K2277" i="61"/>
  <c r="P2276" i="61"/>
  <c r="O2276" i="61"/>
  <c r="N2276" i="61"/>
  <c r="M2276" i="61"/>
  <c r="L2276" i="61"/>
  <c r="K2276" i="61"/>
  <c r="P2275" i="61"/>
  <c r="O2275" i="61"/>
  <c r="N2275" i="61"/>
  <c r="M2275" i="61"/>
  <c r="L2275" i="61"/>
  <c r="K2275" i="61"/>
  <c r="P2274" i="61"/>
  <c r="O2274" i="61"/>
  <c r="N2274" i="61"/>
  <c r="M2274" i="61"/>
  <c r="L2274" i="61"/>
  <c r="K2274" i="61"/>
  <c r="P2273" i="61"/>
  <c r="O2273" i="61"/>
  <c r="N2273" i="61"/>
  <c r="M2273" i="61"/>
  <c r="L2273" i="61"/>
  <c r="K2273" i="61"/>
  <c r="P2272" i="61"/>
  <c r="O2272" i="61"/>
  <c r="N2272" i="61"/>
  <c r="M2272" i="61"/>
  <c r="L2272" i="61"/>
  <c r="K2272" i="61"/>
  <c r="P2271" i="61"/>
  <c r="O2271" i="61"/>
  <c r="N2271" i="61"/>
  <c r="M2271" i="61"/>
  <c r="L2271" i="61"/>
  <c r="K2271" i="61"/>
  <c r="P2270" i="61"/>
  <c r="O2270" i="61"/>
  <c r="N2270" i="61"/>
  <c r="M2270" i="61"/>
  <c r="L2270" i="61"/>
  <c r="K2270" i="61"/>
  <c r="P2269" i="61"/>
  <c r="O2269" i="61"/>
  <c r="N2269" i="61"/>
  <c r="M2269" i="61"/>
  <c r="L2269" i="61"/>
  <c r="K2269" i="61"/>
  <c r="P2268" i="61"/>
  <c r="O2268" i="61"/>
  <c r="N2268" i="61"/>
  <c r="M2268" i="61"/>
  <c r="L2268" i="61"/>
  <c r="K2268" i="61"/>
  <c r="P2267" i="61"/>
  <c r="O2267" i="61"/>
  <c r="N2267" i="61"/>
  <c r="M2267" i="61"/>
  <c r="L2267" i="61"/>
  <c r="K2267" i="61"/>
  <c r="P2266" i="61"/>
  <c r="O2266" i="61"/>
  <c r="N2266" i="61"/>
  <c r="M2266" i="61"/>
  <c r="L2266" i="61"/>
  <c r="K2266" i="61"/>
  <c r="P2265" i="61"/>
  <c r="O2265" i="61"/>
  <c r="N2265" i="61"/>
  <c r="M2265" i="61"/>
  <c r="L2265" i="61"/>
  <c r="K2265" i="61"/>
  <c r="P2264" i="61"/>
  <c r="O2264" i="61"/>
  <c r="N2264" i="61"/>
  <c r="M2264" i="61"/>
  <c r="L2264" i="61"/>
  <c r="K2264" i="61"/>
  <c r="P2263" i="61"/>
  <c r="O2263" i="61"/>
  <c r="N2263" i="61"/>
  <c r="M2263" i="61"/>
  <c r="L2263" i="61"/>
  <c r="K2263" i="61"/>
  <c r="P2262" i="61"/>
  <c r="O2262" i="61"/>
  <c r="N2262" i="61"/>
  <c r="M2262" i="61"/>
  <c r="L2262" i="61"/>
  <c r="K2262" i="61"/>
  <c r="P2261" i="61"/>
  <c r="O2261" i="61"/>
  <c r="N2261" i="61"/>
  <c r="M2261" i="61"/>
  <c r="L2261" i="61"/>
  <c r="K2261" i="61"/>
  <c r="P2260" i="61"/>
  <c r="O2260" i="61"/>
  <c r="N2260" i="61"/>
  <c r="M2260" i="61"/>
  <c r="L2260" i="61"/>
  <c r="K2260" i="61"/>
  <c r="P2259" i="61"/>
  <c r="O2259" i="61"/>
  <c r="N2259" i="61"/>
  <c r="M2259" i="61"/>
  <c r="L2259" i="61"/>
  <c r="K2259" i="61"/>
  <c r="P2258" i="61"/>
  <c r="O2258" i="61"/>
  <c r="N2258" i="61"/>
  <c r="M2258" i="61"/>
  <c r="L2258" i="61"/>
  <c r="K2258" i="61"/>
  <c r="P2257" i="61"/>
  <c r="O2257" i="61"/>
  <c r="N2257" i="61"/>
  <c r="M2257" i="61"/>
  <c r="L2257" i="61"/>
  <c r="K2257" i="61"/>
  <c r="P2256" i="61"/>
  <c r="O2256" i="61"/>
  <c r="N2256" i="61"/>
  <c r="M2256" i="61"/>
  <c r="L2256" i="61"/>
  <c r="K2256" i="61"/>
  <c r="P2255" i="61"/>
  <c r="O2255" i="61"/>
  <c r="N2255" i="61"/>
  <c r="M2255" i="61"/>
  <c r="L2255" i="61"/>
  <c r="K2255" i="61"/>
  <c r="P2254" i="61"/>
  <c r="O2254" i="61"/>
  <c r="N2254" i="61"/>
  <c r="M2254" i="61"/>
  <c r="L2254" i="61"/>
  <c r="K2254" i="61"/>
  <c r="P2253" i="61"/>
  <c r="O2253" i="61"/>
  <c r="N2253" i="61"/>
  <c r="M2253" i="61"/>
  <c r="L2253" i="61"/>
  <c r="K2253" i="61"/>
  <c r="P2252" i="61"/>
  <c r="O2252" i="61"/>
  <c r="N2252" i="61"/>
  <c r="M2252" i="61"/>
  <c r="L2252" i="61"/>
  <c r="K2252" i="61"/>
  <c r="P2251" i="61"/>
  <c r="O2251" i="61"/>
  <c r="N2251" i="61"/>
  <c r="M2251" i="61"/>
  <c r="L2251" i="61"/>
  <c r="K2251" i="61"/>
  <c r="P2250" i="61"/>
  <c r="O2250" i="61"/>
  <c r="N2250" i="61"/>
  <c r="M2250" i="61"/>
  <c r="L2250" i="61"/>
  <c r="K2250" i="61"/>
  <c r="P2249" i="61"/>
  <c r="O2249" i="61"/>
  <c r="N2249" i="61"/>
  <c r="M2249" i="61"/>
  <c r="L2249" i="61"/>
  <c r="K2249" i="61"/>
  <c r="P2248" i="61"/>
  <c r="O2248" i="61"/>
  <c r="N2248" i="61"/>
  <c r="M2248" i="61"/>
  <c r="L2248" i="61"/>
  <c r="K2248" i="61"/>
  <c r="P2247" i="61"/>
  <c r="O2247" i="61"/>
  <c r="N2247" i="61"/>
  <c r="M2247" i="61"/>
  <c r="L2247" i="61"/>
  <c r="K2247" i="61"/>
  <c r="P2246" i="61"/>
  <c r="O2246" i="61"/>
  <c r="N2246" i="61"/>
  <c r="M2246" i="61"/>
  <c r="L2246" i="61"/>
  <c r="K2246" i="61"/>
  <c r="P2245" i="61"/>
  <c r="O2245" i="61"/>
  <c r="N2245" i="61"/>
  <c r="M2245" i="61"/>
  <c r="L2245" i="61"/>
  <c r="K2245" i="61"/>
  <c r="P2244" i="61"/>
  <c r="O2244" i="61"/>
  <c r="N2244" i="61"/>
  <c r="M2244" i="61"/>
  <c r="L2244" i="61"/>
  <c r="K2244" i="61"/>
  <c r="P2243" i="61"/>
  <c r="O2243" i="61"/>
  <c r="N2243" i="61"/>
  <c r="M2243" i="61"/>
  <c r="L2243" i="61"/>
  <c r="K2243" i="61"/>
  <c r="P2242" i="61"/>
  <c r="O2242" i="61"/>
  <c r="N2242" i="61"/>
  <c r="M2242" i="61"/>
  <c r="L2242" i="61"/>
  <c r="K2242" i="61"/>
  <c r="P2241" i="61"/>
  <c r="O2241" i="61"/>
  <c r="N2241" i="61"/>
  <c r="M2241" i="61"/>
  <c r="L2241" i="61"/>
  <c r="K2241" i="61"/>
  <c r="P2240" i="61"/>
  <c r="O2240" i="61"/>
  <c r="N2240" i="61"/>
  <c r="M2240" i="61"/>
  <c r="L2240" i="61"/>
  <c r="K2240" i="61"/>
  <c r="P2239" i="61"/>
  <c r="O2239" i="61"/>
  <c r="N2239" i="61"/>
  <c r="M2239" i="61"/>
  <c r="L2239" i="61"/>
  <c r="K2239" i="61"/>
  <c r="P2238" i="61"/>
  <c r="O2238" i="61"/>
  <c r="N2238" i="61"/>
  <c r="M2238" i="61"/>
  <c r="L2238" i="61"/>
  <c r="K2238" i="61"/>
  <c r="P2237" i="61"/>
  <c r="O2237" i="61"/>
  <c r="N2237" i="61"/>
  <c r="M2237" i="61"/>
  <c r="L2237" i="61"/>
  <c r="K2237" i="61"/>
  <c r="P2236" i="61"/>
  <c r="O2236" i="61"/>
  <c r="N2236" i="61"/>
  <c r="M2236" i="61"/>
  <c r="L2236" i="61"/>
  <c r="K2236" i="61"/>
  <c r="P2235" i="61"/>
  <c r="O2235" i="61"/>
  <c r="N2235" i="61"/>
  <c r="M2235" i="61"/>
  <c r="L2235" i="61"/>
  <c r="K2235" i="61"/>
  <c r="P2234" i="61"/>
  <c r="O2234" i="61"/>
  <c r="N2234" i="61"/>
  <c r="M2234" i="61"/>
  <c r="L2234" i="61"/>
  <c r="K2234" i="61"/>
  <c r="P2233" i="61"/>
  <c r="O2233" i="61"/>
  <c r="N2233" i="61"/>
  <c r="M2233" i="61"/>
  <c r="L2233" i="61"/>
  <c r="K2233" i="61"/>
  <c r="P2232" i="61"/>
  <c r="O2232" i="61"/>
  <c r="N2232" i="61"/>
  <c r="M2232" i="61"/>
  <c r="L2232" i="61"/>
  <c r="K2232" i="61"/>
  <c r="P2231" i="61"/>
  <c r="O2231" i="61"/>
  <c r="N2231" i="61"/>
  <c r="M2231" i="61"/>
  <c r="L2231" i="61"/>
  <c r="K2231" i="61"/>
  <c r="P2230" i="61"/>
  <c r="O2230" i="61"/>
  <c r="N2230" i="61"/>
  <c r="M2230" i="61"/>
  <c r="L2230" i="61"/>
  <c r="K2230" i="61"/>
  <c r="P2229" i="61"/>
  <c r="O2229" i="61"/>
  <c r="N2229" i="61"/>
  <c r="M2229" i="61"/>
  <c r="L2229" i="61"/>
  <c r="K2229" i="61"/>
  <c r="P2228" i="61"/>
  <c r="O2228" i="61"/>
  <c r="N2228" i="61"/>
  <c r="M2228" i="61"/>
  <c r="L2228" i="61"/>
  <c r="K2228" i="61"/>
  <c r="P2227" i="61"/>
  <c r="O2227" i="61"/>
  <c r="N2227" i="61"/>
  <c r="M2227" i="61"/>
  <c r="L2227" i="61"/>
  <c r="K2227" i="61"/>
  <c r="P2226" i="61"/>
  <c r="O2226" i="61"/>
  <c r="N2226" i="61"/>
  <c r="M2226" i="61"/>
  <c r="L2226" i="61"/>
  <c r="K2226" i="61"/>
  <c r="P2225" i="61"/>
  <c r="O2225" i="61"/>
  <c r="N2225" i="61"/>
  <c r="M2225" i="61"/>
  <c r="L2225" i="61"/>
  <c r="K2225" i="61"/>
  <c r="P2224" i="61"/>
  <c r="O2224" i="61"/>
  <c r="N2224" i="61"/>
  <c r="M2224" i="61"/>
  <c r="L2224" i="61"/>
  <c r="K2224" i="61"/>
  <c r="P2223" i="61"/>
  <c r="O2223" i="61"/>
  <c r="N2223" i="61"/>
  <c r="M2223" i="61"/>
  <c r="L2223" i="61"/>
  <c r="K2223" i="61"/>
  <c r="P2222" i="61"/>
  <c r="O2222" i="61"/>
  <c r="N2222" i="61"/>
  <c r="M2222" i="61"/>
  <c r="L2222" i="61"/>
  <c r="K2222" i="61"/>
  <c r="P2221" i="61"/>
  <c r="O2221" i="61"/>
  <c r="N2221" i="61"/>
  <c r="M2221" i="61"/>
  <c r="L2221" i="61"/>
  <c r="K2221" i="61"/>
  <c r="P2220" i="61"/>
  <c r="O2220" i="61"/>
  <c r="N2220" i="61"/>
  <c r="M2220" i="61"/>
  <c r="L2220" i="61"/>
  <c r="K2220" i="61"/>
  <c r="P2219" i="61"/>
  <c r="O2219" i="61"/>
  <c r="N2219" i="61"/>
  <c r="M2219" i="61"/>
  <c r="L2219" i="61"/>
  <c r="K2219" i="61"/>
  <c r="P2218" i="61"/>
  <c r="O2218" i="61"/>
  <c r="N2218" i="61"/>
  <c r="M2218" i="61"/>
  <c r="L2218" i="61"/>
  <c r="K2218" i="61"/>
  <c r="P2217" i="61"/>
  <c r="O2217" i="61"/>
  <c r="N2217" i="61"/>
  <c r="M2217" i="61"/>
  <c r="L2217" i="61"/>
  <c r="K2217" i="61"/>
  <c r="P2216" i="61"/>
  <c r="O2216" i="61"/>
  <c r="N2216" i="61"/>
  <c r="M2216" i="61"/>
  <c r="L2216" i="61"/>
  <c r="K2216" i="61"/>
  <c r="P2215" i="61"/>
  <c r="O2215" i="61"/>
  <c r="N2215" i="61"/>
  <c r="M2215" i="61"/>
  <c r="L2215" i="61"/>
  <c r="K2215" i="61"/>
  <c r="P2214" i="61"/>
  <c r="O2214" i="61"/>
  <c r="N2214" i="61"/>
  <c r="M2214" i="61"/>
  <c r="L2214" i="61"/>
  <c r="K2214" i="61"/>
  <c r="P2213" i="61"/>
  <c r="O2213" i="61"/>
  <c r="N2213" i="61"/>
  <c r="M2213" i="61"/>
  <c r="L2213" i="61"/>
  <c r="K2213" i="61"/>
  <c r="P2212" i="61"/>
  <c r="O2212" i="61"/>
  <c r="N2212" i="61"/>
  <c r="M2212" i="61"/>
  <c r="L2212" i="61"/>
  <c r="K2212" i="61"/>
  <c r="P2211" i="61"/>
  <c r="O2211" i="61"/>
  <c r="N2211" i="61"/>
  <c r="M2211" i="61"/>
  <c r="L2211" i="61"/>
  <c r="K2211" i="61"/>
  <c r="P2210" i="61"/>
  <c r="O2210" i="61"/>
  <c r="N2210" i="61"/>
  <c r="M2210" i="61"/>
  <c r="L2210" i="61"/>
  <c r="K2210" i="61"/>
  <c r="P2209" i="61"/>
  <c r="O2209" i="61"/>
  <c r="N2209" i="61"/>
  <c r="M2209" i="61"/>
  <c r="L2209" i="61"/>
  <c r="K2209" i="61"/>
  <c r="P2208" i="61"/>
  <c r="O2208" i="61"/>
  <c r="N2208" i="61"/>
  <c r="M2208" i="61"/>
  <c r="L2208" i="61"/>
  <c r="K2208" i="61"/>
  <c r="P2207" i="61"/>
  <c r="O2207" i="61"/>
  <c r="N2207" i="61"/>
  <c r="M2207" i="61"/>
  <c r="L2207" i="61"/>
  <c r="K2207" i="61"/>
  <c r="P2206" i="61"/>
  <c r="O2206" i="61"/>
  <c r="N2206" i="61"/>
  <c r="M2206" i="61"/>
  <c r="L2206" i="61"/>
  <c r="K2206" i="61"/>
  <c r="P2205" i="61"/>
  <c r="O2205" i="61"/>
  <c r="N2205" i="61"/>
  <c r="M2205" i="61"/>
  <c r="L2205" i="61"/>
  <c r="K2205" i="61"/>
  <c r="P2204" i="61"/>
  <c r="O2204" i="61"/>
  <c r="N2204" i="61"/>
  <c r="M2204" i="61"/>
  <c r="L2204" i="61"/>
  <c r="K2204" i="61"/>
  <c r="P2203" i="61"/>
  <c r="O2203" i="61"/>
  <c r="N2203" i="61"/>
  <c r="M2203" i="61"/>
  <c r="L2203" i="61"/>
  <c r="K2203" i="61"/>
  <c r="P2202" i="61"/>
  <c r="O2202" i="61"/>
  <c r="N2202" i="61"/>
  <c r="M2202" i="61"/>
  <c r="L2202" i="61"/>
  <c r="K2202" i="61"/>
  <c r="P2201" i="61"/>
  <c r="O2201" i="61"/>
  <c r="N2201" i="61"/>
  <c r="M2201" i="61"/>
  <c r="L2201" i="61"/>
  <c r="K2201" i="61"/>
  <c r="P2200" i="61"/>
  <c r="O2200" i="61"/>
  <c r="N2200" i="61"/>
  <c r="M2200" i="61"/>
  <c r="L2200" i="61"/>
  <c r="K2200" i="61"/>
  <c r="P2199" i="61"/>
  <c r="O2199" i="61"/>
  <c r="N2199" i="61"/>
  <c r="M2199" i="61"/>
  <c r="L2199" i="61"/>
  <c r="K2199" i="61"/>
  <c r="P2198" i="61"/>
  <c r="O2198" i="61"/>
  <c r="N2198" i="61"/>
  <c r="M2198" i="61"/>
  <c r="L2198" i="61"/>
  <c r="K2198" i="61"/>
  <c r="P2197" i="61"/>
  <c r="O2197" i="61"/>
  <c r="N2197" i="61"/>
  <c r="M2197" i="61"/>
  <c r="L2197" i="61"/>
  <c r="K2197" i="61"/>
  <c r="P2196" i="61"/>
  <c r="O2196" i="61"/>
  <c r="N2196" i="61"/>
  <c r="M2196" i="61"/>
  <c r="L2196" i="61"/>
  <c r="K2196" i="61"/>
  <c r="P2195" i="61"/>
  <c r="O2195" i="61"/>
  <c r="N2195" i="61"/>
  <c r="M2195" i="61"/>
  <c r="L2195" i="61"/>
  <c r="K2195" i="61"/>
  <c r="P2194" i="61"/>
  <c r="O2194" i="61"/>
  <c r="N2194" i="61"/>
  <c r="M2194" i="61"/>
  <c r="L2194" i="61"/>
  <c r="K2194" i="61"/>
  <c r="P2193" i="61"/>
  <c r="O2193" i="61"/>
  <c r="N2193" i="61"/>
  <c r="M2193" i="61"/>
  <c r="L2193" i="61"/>
  <c r="K2193" i="61"/>
  <c r="P2192" i="61"/>
  <c r="O2192" i="61"/>
  <c r="N2192" i="61"/>
  <c r="M2192" i="61"/>
  <c r="L2192" i="61"/>
  <c r="K2192" i="61"/>
  <c r="P2191" i="61"/>
  <c r="O2191" i="61"/>
  <c r="N2191" i="61"/>
  <c r="M2191" i="61"/>
  <c r="L2191" i="61"/>
  <c r="K2191" i="61"/>
  <c r="P2190" i="61"/>
  <c r="O2190" i="61"/>
  <c r="N2190" i="61"/>
  <c r="M2190" i="61"/>
  <c r="L2190" i="61"/>
  <c r="K2190" i="61"/>
  <c r="P2189" i="61"/>
  <c r="O2189" i="61"/>
  <c r="N2189" i="61"/>
  <c r="M2189" i="61"/>
  <c r="L2189" i="61"/>
  <c r="K2189" i="61"/>
  <c r="P2188" i="61"/>
  <c r="O2188" i="61"/>
  <c r="N2188" i="61"/>
  <c r="M2188" i="61"/>
  <c r="L2188" i="61"/>
  <c r="K2188" i="61"/>
  <c r="P2187" i="61"/>
  <c r="O2187" i="61"/>
  <c r="N2187" i="61"/>
  <c r="M2187" i="61"/>
  <c r="L2187" i="61"/>
  <c r="K2187" i="61"/>
  <c r="P2186" i="61"/>
  <c r="O2186" i="61"/>
  <c r="N2186" i="61"/>
  <c r="M2186" i="61"/>
  <c r="L2186" i="61"/>
  <c r="K2186" i="61"/>
  <c r="P2185" i="61"/>
  <c r="O2185" i="61"/>
  <c r="N2185" i="61"/>
  <c r="M2185" i="61"/>
  <c r="L2185" i="61"/>
  <c r="K2185" i="61"/>
  <c r="P2184" i="61"/>
  <c r="O2184" i="61"/>
  <c r="N2184" i="61"/>
  <c r="M2184" i="61"/>
  <c r="L2184" i="61"/>
  <c r="K2184" i="61"/>
  <c r="P2183" i="61"/>
  <c r="O2183" i="61"/>
  <c r="N2183" i="61"/>
  <c r="M2183" i="61"/>
  <c r="L2183" i="61"/>
  <c r="K2183" i="61"/>
  <c r="P2182" i="61"/>
  <c r="O2182" i="61"/>
  <c r="N2182" i="61"/>
  <c r="M2182" i="61"/>
  <c r="L2182" i="61"/>
  <c r="K2182" i="61"/>
  <c r="P2181" i="61"/>
  <c r="O2181" i="61"/>
  <c r="N2181" i="61"/>
  <c r="M2181" i="61"/>
  <c r="L2181" i="61"/>
  <c r="K2181" i="61"/>
  <c r="P2180" i="61"/>
  <c r="O2180" i="61"/>
  <c r="N2180" i="61"/>
  <c r="M2180" i="61"/>
  <c r="L2180" i="61"/>
  <c r="K2180" i="61"/>
  <c r="P2179" i="61"/>
  <c r="O2179" i="61"/>
  <c r="N2179" i="61"/>
  <c r="M2179" i="61"/>
  <c r="L2179" i="61"/>
  <c r="K2179" i="61"/>
  <c r="P2178" i="61"/>
  <c r="O2178" i="61"/>
  <c r="N2178" i="61"/>
  <c r="M2178" i="61"/>
  <c r="L2178" i="61"/>
  <c r="K2178" i="61"/>
  <c r="P2177" i="61"/>
  <c r="O2177" i="61"/>
  <c r="N2177" i="61"/>
  <c r="M2177" i="61"/>
  <c r="L2177" i="61"/>
  <c r="K2177" i="61"/>
  <c r="P2176" i="61"/>
  <c r="O2176" i="61"/>
  <c r="N2176" i="61"/>
  <c r="M2176" i="61"/>
  <c r="L2176" i="61"/>
  <c r="K2176" i="61"/>
  <c r="P2175" i="61"/>
  <c r="O2175" i="61"/>
  <c r="N2175" i="61"/>
  <c r="M2175" i="61"/>
  <c r="L2175" i="61"/>
  <c r="K2175" i="61"/>
  <c r="P2174" i="61"/>
  <c r="O2174" i="61"/>
  <c r="N2174" i="61"/>
  <c r="M2174" i="61"/>
  <c r="L2174" i="61"/>
  <c r="K2174" i="61"/>
  <c r="P2173" i="61"/>
  <c r="O2173" i="61"/>
  <c r="N2173" i="61"/>
  <c r="M2173" i="61"/>
  <c r="L2173" i="61"/>
  <c r="K2173" i="61"/>
  <c r="P2172" i="61"/>
  <c r="O2172" i="61"/>
  <c r="N2172" i="61"/>
  <c r="M2172" i="61"/>
  <c r="L2172" i="61"/>
  <c r="K2172" i="61"/>
  <c r="P2171" i="61"/>
  <c r="O2171" i="61"/>
  <c r="N2171" i="61"/>
  <c r="M2171" i="61"/>
  <c r="L2171" i="61"/>
  <c r="K2171" i="61"/>
  <c r="P2170" i="61"/>
  <c r="O2170" i="61"/>
  <c r="N2170" i="61"/>
  <c r="M2170" i="61"/>
  <c r="L2170" i="61"/>
  <c r="K2170" i="61"/>
  <c r="P2169" i="61"/>
  <c r="O2169" i="61"/>
  <c r="N2169" i="61"/>
  <c r="M2169" i="61"/>
  <c r="L2169" i="61"/>
  <c r="K2169" i="61"/>
  <c r="P2168" i="61"/>
  <c r="O2168" i="61"/>
  <c r="N2168" i="61"/>
  <c r="M2168" i="61"/>
  <c r="L2168" i="61"/>
  <c r="K2168" i="61"/>
  <c r="P2167" i="61"/>
  <c r="O2167" i="61"/>
  <c r="N2167" i="61"/>
  <c r="M2167" i="61"/>
  <c r="L2167" i="61"/>
  <c r="K2167" i="61"/>
  <c r="P2166" i="61"/>
  <c r="O2166" i="61"/>
  <c r="N2166" i="61"/>
  <c r="M2166" i="61"/>
  <c r="L2166" i="61"/>
  <c r="K2166" i="61"/>
  <c r="P2165" i="61"/>
  <c r="O2165" i="61"/>
  <c r="N2165" i="61"/>
  <c r="M2165" i="61"/>
  <c r="L2165" i="61"/>
  <c r="K2165" i="61"/>
  <c r="P2164" i="61"/>
  <c r="O2164" i="61"/>
  <c r="N2164" i="61"/>
  <c r="M2164" i="61"/>
  <c r="L2164" i="61"/>
  <c r="K2164" i="61"/>
  <c r="P2163" i="61"/>
  <c r="O2163" i="61"/>
  <c r="N2163" i="61"/>
  <c r="M2163" i="61"/>
  <c r="L2163" i="61"/>
  <c r="K2163" i="61"/>
  <c r="P2162" i="61"/>
  <c r="O2162" i="61"/>
  <c r="N2162" i="61"/>
  <c r="M2162" i="61"/>
  <c r="L2162" i="61"/>
  <c r="K2162" i="61"/>
  <c r="P2161" i="61"/>
  <c r="O2161" i="61"/>
  <c r="N2161" i="61"/>
  <c r="M2161" i="61"/>
  <c r="L2161" i="61"/>
  <c r="K2161" i="61"/>
  <c r="P2160" i="61"/>
  <c r="O2160" i="61"/>
  <c r="N2160" i="61"/>
  <c r="M2160" i="61"/>
  <c r="L2160" i="61"/>
  <c r="K2160" i="61"/>
  <c r="P2159" i="61"/>
  <c r="O2159" i="61"/>
  <c r="N2159" i="61"/>
  <c r="M2159" i="61"/>
  <c r="L2159" i="61"/>
  <c r="K2159" i="61"/>
  <c r="P2158" i="61"/>
  <c r="O2158" i="61"/>
  <c r="N2158" i="61"/>
  <c r="M2158" i="61"/>
  <c r="L2158" i="61"/>
  <c r="K2158" i="61"/>
  <c r="P2157" i="61"/>
  <c r="O2157" i="61"/>
  <c r="N2157" i="61"/>
  <c r="M2157" i="61"/>
  <c r="L2157" i="61"/>
  <c r="K2157" i="61"/>
  <c r="P2156" i="61"/>
  <c r="O2156" i="61"/>
  <c r="N2156" i="61"/>
  <c r="M2156" i="61"/>
  <c r="L2156" i="61"/>
  <c r="K2156" i="61"/>
  <c r="P2155" i="61"/>
  <c r="O2155" i="61"/>
  <c r="N2155" i="61"/>
  <c r="M2155" i="61"/>
  <c r="L2155" i="61"/>
  <c r="K2155" i="61"/>
  <c r="P2154" i="61"/>
  <c r="O2154" i="61"/>
  <c r="N2154" i="61"/>
  <c r="M2154" i="61"/>
  <c r="L2154" i="61"/>
  <c r="K2154" i="61"/>
  <c r="P2153" i="61"/>
  <c r="O2153" i="61"/>
  <c r="N2153" i="61"/>
  <c r="M2153" i="61"/>
  <c r="L2153" i="61"/>
  <c r="K2153" i="61"/>
  <c r="P2152" i="61"/>
  <c r="O2152" i="61"/>
  <c r="N2152" i="61"/>
  <c r="M2152" i="61"/>
  <c r="L2152" i="61"/>
  <c r="K2152" i="61"/>
  <c r="P2151" i="61"/>
  <c r="O2151" i="61"/>
  <c r="N2151" i="61"/>
  <c r="M2151" i="61"/>
  <c r="L2151" i="61"/>
  <c r="K2151" i="61"/>
  <c r="P2150" i="61"/>
  <c r="O2150" i="61"/>
  <c r="N2150" i="61"/>
  <c r="M2150" i="61"/>
  <c r="L2150" i="61"/>
  <c r="K2150" i="61"/>
  <c r="P2149" i="61"/>
  <c r="O2149" i="61"/>
  <c r="N2149" i="61"/>
  <c r="M2149" i="61"/>
  <c r="L2149" i="61"/>
  <c r="K2149" i="61"/>
  <c r="P2148" i="61"/>
  <c r="O2148" i="61"/>
  <c r="N2148" i="61"/>
  <c r="M2148" i="61"/>
  <c r="L2148" i="61"/>
  <c r="K2148" i="61"/>
  <c r="P2147" i="61"/>
  <c r="O2147" i="61"/>
  <c r="N2147" i="61"/>
  <c r="M2147" i="61"/>
  <c r="L2147" i="61"/>
  <c r="K2147" i="61"/>
  <c r="P2146" i="61"/>
  <c r="O2146" i="61"/>
  <c r="N2146" i="61"/>
  <c r="M2146" i="61"/>
  <c r="L2146" i="61"/>
  <c r="K2146" i="61"/>
  <c r="P2145" i="61"/>
  <c r="O2145" i="61"/>
  <c r="N2145" i="61"/>
  <c r="M2145" i="61"/>
  <c r="L2145" i="61"/>
  <c r="K2145" i="61"/>
  <c r="P2144" i="61"/>
  <c r="O2144" i="61"/>
  <c r="N2144" i="61"/>
  <c r="M2144" i="61"/>
  <c r="L2144" i="61"/>
  <c r="K2144" i="61"/>
  <c r="P2143" i="61"/>
  <c r="O2143" i="61"/>
  <c r="N2143" i="61"/>
  <c r="M2143" i="61"/>
  <c r="L2143" i="61"/>
  <c r="K2143" i="61"/>
  <c r="P2142" i="61"/>
  <c r="O2142" i="61"/>
  <c r="N2142" i="61"/>
  <c r="M2142" i="61"/>
  <c r="L2142" i="61"/>
  <c r="K2142" i="61"/>
  <c r="P2141" i="61"/>
  <c r="O2141" i="61"/>
  <c r="N2141" i="61"/>
  <c r="M2141" i="61"/>
  <c r="L2141" i="61"/>
  <c r="K2141" i="61"/>
  <c r="P2140" i="61"/>
  <c r="O2140" i="61"/>
  <c r="N2140" i="61"/>
  <c r="M2140" i="61"/>
  <c r="L2140" i="61"/>
  <c r="K2140" i="61"/>
  <c r="P2139" i="61"/>
  <c r="O2139" i="61"/>
  <c r="N2139" i="61"/>
  <c r="M2139" i="61"/>
  <c r="L2139" i="61"/>
  <c r="K2139" i="61"/>
  <c r="P2138" i="61"/>
  <c r="O2138" i="61"/>
  <c r="N2138" i="61"/>
  <c r="M2138" i="61"/>
  <c r="L2138" i="61"/>
  <c r="K2138" i="61"/>
  <c r="P2137" i="61"/>
  <c r="O2137" i="61"/>
  <c r="N2137" i="61"/>
  <c r="M2137" i="61"/>
  <c r="L2137" i="61"/>
  <c r="K2137" i="61"/>
  <c r="P2136" i="61"/>
  <c r="O2136" i="61"/>
  <c r="N2136" i="61"/>
  <c r="M2136" i="61"/>
  <c r="L2136" i="61"/>
  <c r="K2136" i="61"/>
  <c r="P2135" i="61"/>
  <c r="O2135" i="61"/>
  <c r="N2135" i="61"/>
  <c r="M2135" i="61"/>
  <c r="L2135" i="61"/>
  <c r="K2135" i="61"/>
  <c r="P2134" i="61"/>
  <c r="O2134" i="61"/>
  <c r="N2134" i="61"/>
  <c r="M2134" i="61"/>
  <c r="L2134" i="61"/>
  <c r="K2134" i="61"/>
  <c r="P2133" i="61"/>
  <c r="O2133" i="61"/>
  <c r="N2133" i="61"/>
  <c r="M2133" i="61"/>
  <c r="L2133" i="61"/>
  <c r="K2133" i="61"/>
  <c r="P2132" i="61"/>
  <c r="O2132" i="61"/>
  <c r="N2132" i="61"/>
  <c r="M2132" i="61"/>
  <c r="L2132" i="61"/>
  <c r="K2132" i="61"/>
  <c r="P2131" i="61"/>
  <c r="O2131" i="61"/>
  <c r="N2131" i="61"/>
  <c r="M2131" i="61"/>
  <c r="L2131" i="61"/>
  <c r="K2131" i="61"/>
  <c r="P2130" i="61"/>
  <c r="O2130" i="61"/>
  <c r="N2130" i="61"/>
  <c r="M2130" i="61"/>
  <c r="L2130" i="61"/>
  <c r="K2130" i="61"/>
  <c r="P2129" i="61"/>
  <c r="O2129" i="61"/>
  <c r="N2129" i="61"/>
  <c r="M2129" i="61"/>
  <c r="L2129" i="61"/>
  <c r="K2129" i="61"/>
  <c r="P2128" i="61"/>
  <c r="O2128" i="61"/>
  <c r="N2128" i="61"/>
  <c r="M2128" i="61"/>
  <c r="L2128" i="61"/>
  <c r="K2128" i="61"/>
  <c r="P2127" i="61"/>
  <c r="O2127" i="61"/>
  <c r="N2127" i="61"/>
  <c r="M2127" i="61"/>
  <c r="L2127" i="61"/>
  <c r="K2127" i="61"/>
  <c r="P2126" i="61"/>
  <c r="O2126" i="61"/>
  <c r="N2126" i="61"/>
  <c r="M2126" i="61"/>
  <c r="L2126" i="61"/>
  <c r="K2126" i="61"/>
  <c r="P2125" i="61"/>
  <c r="O2125" i="61"/>
  <c r="N2125" i="61"/>
  <c r="M2125" i="61"/>
  <c r="L2125" i="61"/>
  <c r="K2125" i="61"/>
  <c r="P2124" i="61"/>
  <c r="O2124" i="61"/>
  <c r="N2124" i="61"/>
  <c r="M2124" i="61"/>
  <c r="L2124" i="61"/>
  <c r="K2124" i="61"/>
  <c r="P2123" i="61"/>
  <c r="O2123" i="61"/>
  <c r="N2123" i="61"/>
  <c r="M2123" i="61"/>
  <c r="L2123" i="61"/>
  <c r="K2123" i="61"/>
  <c r="P2122" i="61"/>
  <c r="O2122" i="61"/>
  <c r="N2122" i="61"/>
  <c r="M2122" i="61"/>
  <c r="L2122" i="61"/>
  <c r="K2122" i="61"/>
  <c r="P2121" i="61"/>
  <c r="O2121" i="61"/>
  <c r="N2121" i="61"/>
  <c r="M2121" i="61"/>
  <c r="L2121" i="61"/>
  <c r="K2121" i="61"/>
  <c r="P2120" i="61"/>
  <c r="O2120" i="61"/>
  <c r="N2120" i="61"/>
  <c r="M2120" i="61"/>
  <c r="L2120" i="61"/>
  <c r="K2120" i="61"/>
  <c r="P2119" i="61"/>
  <c r="O2119" i="61"/>
  <c r="N2119" i="61"/>
  <c r="M2119" i="61"/>
  <c r="L2119" i="61"/>
  <c r="K2119" i="61"/>
  <c r="P2118" i="61"/>
  <c r="O2118" i="61"/>
  <c r="N2118" i="61"/>
  <c r="M2118" i="61"/>
  <c r="L2118" i="61"/>
  <c r="K2118" i="61"/>
  <c r="P2117" i="61"/>
  <c r="O2117" i="61"/>
  <c r="N2117" i="61"/>
  <c r="M2117" i="61"/>
  <c r="L2117" i="61"/>
  <c r="K2117" i="61"/>
  <c r="P2116" i="61"/>
  <c r="O2116" i="61"/>
  <c r="N2116" i="61"/>
  <c r="M2116" i="61"/>
  <c r="L2116" i="61"/>
  <c r="K2116" i="61"/>
  <c r="P2115" i="61"/>
  <c r="O2115" i="61"/>
  <c r="N2115" i="61"/>
  <c r="M2115" i="61"/>
  <c r="L2115" i="61"/>
  <c r="K2115" i="61"/>
  <c r="P2114" i="61"/>
  <c r="O2114" i="61"/>
  <c r="N2114" i="61"/>
  <c r="M2114" i="61"/>
  <c r="L2114" i="61"/>
  <c r="K2114" i="61"/>
  <c r="P2113" i="61"/>
  <c r="O2113" i="61"/>
  <c r="N2113" i="61"/>
  <c r="M2113" i="61"/>
  <c r="L2113" i="61"/>
  <c r="K2113" i="61"/>
  <c r="P2112" i="61"/>
  <c r="O2112" i="61"/>
  <c r="N2112" i="61"/>
  <c r="M2112" i="61"/>
  <c r="L2112" i="61"/>
  <c r="K2112" i="61"/>
  <c r="P2111" i="61"/>
  <c r="O2111" i="61"/>
  <c r="N2111" i="61"/>
  <c r="M2111" i="61"/>
  <c r="L2111" i="61"/>
  <c r="K2111" i="61"/>
  <c r="P2110" i="61"/>
  <c r="O2110" i="61"/>
  <c r="N2110" i="61"/>
  <c r="M2110" i="61"/>
  <c r="L2110" i="61"/>
  <c r="K2110" i="61"/>
  <c r="P2109" i="61"/>
  <c r="O2109" i="61"/>
  <c r="N2109" i="61"/>
  <c r="M2109" i="61"/>
  <c r="L2109" i="61"/>
  <c r="K2109" i="61"/>
  <c r="P2108" i="61"/>
  <c r="O2108" i="61"/>
  <c r="N2108" i="61"/>
  <c r="M2108" i="61"/>
  <c r="L2108" i="61"/>
  <c r="K2108" i="61"/>
  <c r="P2107" i="61"/>
  <c r="O2107" i="61"/>
  <c r="N2107" i="61"/>
  <c r="M2107" i="61"/>
  <c r="L2107" i="61"/>
  <c r="K2107" i="61"/>
  <c r="P2106" i="61"/>
  <c r="O2106" i="61"/>
  <c r="N2106" i="61"/>
  <c r="M2106" i="61"/>
  <c r="L2106" i="61"/>
  <c r="K2106" i="61"/>
  <c r="P2105" i="61"/>
  <c r="O2105" i="61"/>
  <c r="N2105" i="61"/>
  <c r="M2105" i="61"/>
  <c r="L2105" i="61"/>
  <c r="K2105" i="61"/>
  <c r="P2104" i="61"/>
  <c r="O2104" i="61"/>
  <c r="N2104" i="61"/>
  <c r="M2104" i="61"/>
  <c r="L2104" i="61"/>
  <c r="K2104" i="61"/>
  <c r="P2103" i="61"/>
  <c r="O2103" i="61"/>
  <c r="N2103" i="61"/>
  <c r="M2103" i="61"/>
  <c r="L2103" i="61"/>
  <c r="K2103" i="61"/>
  <c r="P2102" i="61"/>
  <c r="O2102" i="61"/>
  <c r="N2102" i="61"/>
  <c r="M2102" i="61"/>
  <c r="L2102" i="61"/>
  <c r="K2102" i="61"/>
  <c r="P2101" i="61"/>
  <c r="O2101" i="61"/>
  <c r="N2101" i="61"/>
  <c r="M2101" i="61"/>
  <c r="L2101" i="61"/>
  <c r="K2101" i="61"/>
  <c r="P2100" i="61"/>
  <c r="O2100" i="61"/>
  <c r="N2100" i="61"/>
  <c r="M2100" i="61"/>
  <c r="L2100" i="61"/>
  <c r="K2100" i="61"/>
  <c r="P2099" i="61"/>
  <c r="O2099" i="61"/>
  <c r="N2099" i="61"/>
  <c r="M2099" i="61"/>
  <c r="L2099" i="61"/>
  <c r="K2099" i="61"/>
  <c r="P2098" i="61"/>
  <c r="O2098" i="61"/>
  <c r="N2098" i="61"/>
  <c r="M2098" i="61"/>
  <c r="L2098" i="61"/>
  <c r="K2098" i="61"/>
  <c r="P2097" i="61"/>
  <c r="O2097" i="61"/>
  <c r="N2097" i="61"/>
  <c r="M2097" i="61"/>
  <c r="L2097" i="61"/>
  <c r="K2097" i="61"/>
  <c r="P2096" i="61"/>
  <c r="O2096" i="61"/>
  <c r="N2096" i="61"/>
  <c r="M2096" i="61"/>
  <c r="L2096" i="61"/>
  <c r="K2096" i="61"/>
  <c r="P2095" i="61"/>
  <c r="O2095" i="61"/>
  <c r="N2095" i="61"/>
  <c r="M2095" i="61"/>
  <c r="L2095" i="61"/>
  <c r="K2095" i="61"/>
  <c r="P2094" i="61"/>
  <c r="O2094" i="61"/>
  <c r="N2094" i="61"/>
  <c r="M2094" i="61"/>
  <c r="L2094" i="61"/>
  <c r="K2094" i="61"/>
  <c r="P2093" i="61"/>
  <c r="O2093" i="61"/>
  <c r="N2093" i="61"/>
  <c r="M2093" i="61"/>
  <c r="L2093" i="61"/>
  <c r="K2093" i="61"/>
  <c r="P2092" i="61"/>
  <c r="O2092" i="61"/>
  <c r="N2092" i="61"/>
  <c r="M2092" i="61"/>
  <c r="L2092" i="61"/>
  <c r="K2092" i="61"/>
  <c r="P2091" i="61"/>
  <c r="O2091" i="61"/>
  <c r="N2091" i="61"/>
  <c r="M2091" i="61"/>
  <c r="L2091" i="61"/>
  <c r="K2091" i="61"/>
  <c r="P2090" i="61"/>
  <c r="O2090" i="61"/>
  <c r="N2090" i="61"/>
  <c r="M2090" i="61"/>
  <c r="L2090" i="61"/>
  <c r="K2090" i="61"/>
  <c r="P2089" i="61"/>
  <c r="O2089" i="61"/>
  <c r="N2089" i="61"/>
  <c r="M2089" i="61"/>
  <c r="L2089" i="61"/>
  <c r="K2089" i="61"/>
  <c r="P2088" i="61"/>
  <c r="O2088" i="61"/>
  <c r="N2088" i="61"/>
  <c r="M2088" i="61"/>
  <c r="L2088" i="61"/>
  <c r="K2088" i="61"/>
  <c r="P2087" i="61"/>
  <c r="O2087" i="61"/>
  <c r="N2087" i="61"/>
  <c r="M2087" i="61"/>
  <c r="L2087" i="61"/>
  <c r="K2087" i="61"/>
  <c r="P2086" i="61"/>
  <c r="O2086" i="61"/>
  <c r="N2086" i="61"/>
  <c r="M2086" i="61"/>
  <c r="L2086" i="61"/>
  <c r="K2086" i="61"/>
  <c r="P2085" i="61"/>
  <c r="O2085" i="61"/>
  <c r="N2085" i="61"/>
  <c r="M2085" i="61"/>
  <c r="L2085" i="61"/>
  <c r="K2085" i="61"/>
  <c r="P2084" i="61"/>
  <c r="O2084" i="61"/>
  <c r="N2084" i="61"/>
  <c r="M2084" i="61"/>
  <c r="L2084" i="61"/>
  <c r="K2084" i="61"/>
  <c r="P2083" i="61"/>
  <c r="O2083" i="61"/>
  <c r="N2083" i="61"/>
  <c r="M2083" i="61"/>
  <c r="L2083" i="61"/>
  <c r="K2083" i="61"/>
  <c r="P2082" i="61"/>
  <c r="O2082" i="61"/>
  <c r="N2082" i="61"/>
  <c r="M2082" i="61"/>
  <c r="L2082" i="61"/>
  <c r="K2082" i="61"/>
  <c r="P2081" i="61"/>
  <c r="O2081" i="61"/>
  <c r="N2081" i="61"/>
  <c r="M2081" i="61"/>
  <c r="L2081" i="61"/>
  <c r="K2081" i="61"/>
  <c r="P2080" i="61"/>
  <c r="O2080" i="61"/>
  <c r="N2080" i="61"/>
  <c r="M2080" i="61"/>
  <c r="L2080" i="61"/>
  <c r="K2080" i="61"/>
  <c r="P2079" i="61"/>
  <c r="O2079" i="61"/>
  <c r="N2079" i="61"/>
  <c r="M2079" i="61"/>
  <c r="L2079" i="61"/>
  <c r="K2079" i="61"/>
  <c r="P2078" i="61"/>
  <c r="O2078" i="61"/>
  <c r="N2078" i="61"/>
  <c r="M2078" i="61"/>
  <c r="L2078" i="61"/>
  <c r="K2078" i="61"/>
  <c r="P2077" i="61"/>
  <c r="O2077" i="61"/>
  <c r="N2077" i="61"/>
  <c r="M2077" i="61"/>
  <c r="L2077" i="61"/>
  <c r="K2077" i="61"/>
  <c r="P2076" i="61"/>
  <c r="O2076" i="61"/>
  <c r="N2076" i="61"/>
  <c r="M2076" i="61"/>
  <c r="L2076" i="61"/>
  <c r="K2076" i="61"/>
  <c r="P2075" i="61"/>
  <c r="O2075" i="61"/>
  <c r="N2075" i="61"/>
  <c r="M2075" i="61"/>
  <c r="L2075" i="61"/>
  <c r="K2075" i="61"/>
  <c r="P2074" i="61"/>
  <c r="O2074" i="61"/>
  <c r="N2074" i="61"/>
  <c r="M2074" i="61"/>
  <c r="L2074" i="61"/>
  <c r="K2074" i="61"/>
  <c r="P2073" i="61"/>
  <c r="O2073" i="61"/>
  <c r="N2073" i="61"/>
  <c r="M2073" i="61"/>
  <c r="L2073" i="61"/>
  <c r="K2073" i="61"/>
  <c r="P2072" i="61"/>
  <c r="O2072" i="61"/>
  <c r="N2072" i="61"/>
  <c r="M2072" i="61"/>
  <c r="L2072" i="61"/>
  <c r="K2072" i="61"/>
  <c r="P2071" i="61"/>
  <c r="O2071" i="61"/>
  <c r="N2071" i="61"/>
  <c r="M2071" i="61"/>
  <c r="L2071" i="61"/>
  <c r="K2071" i="61"/>
  <c r="P2070" i="61"/>
  <c r="O2070" i="61"/>
  <c r="N2070" i="61"/>
  <c r="M2070" i="61"/>
  <c r="L2070" i="61"/>
  <c r="K2070" i="61"/>
  <c r="P2069" i="61"/>
  <c r="O2069" i="61"/>
  <c r="N2069" i="61"/>
  <c r="M2069" i="61"/>
  <c r="L2069" i="61"/>
  <c r="K2069" i="61"/>
  <c r="P2068" i="61"/>
  <c r="O2068" i="61"/>
  <c r="N2068" i="61"/>
  <c r="M2068" i="61"/>
  <c r="L2068" i="61"/>
  <c r="K2068" i="61"/>
  <c r="P2067" i="61"/>
  <c r="O2067" i="61"/>
  <c r="N2067" i="61"/>
  <c r="M2067" i="61"/>
  <c r="L2067" i="61"/>
  <c r="K2067" i="61"/>
  <c r="P2066" i="61"/>
  <c r="O2066" i="61"/>
  <c r="N2066" i="61"/>
  <c r="M2066" i="61"/>
  <c r="L2066" i="61"/>
  <c r="K2066" i="61"/>
  <c r="P2065" i="61"/>
  <c r="O2065" i="61"/>
  <c r="N2065" i="61"/>
  <c r="M2065" i="61"/>
  <c r="L2065" i="61"/>
  <c r="K2065" i="61"/>
  <c r="P2064" i="61"/>
  <c r="O2064" i="61"/>
  <c r="N2064" i="61"/>
  <c r="M2064" i="61"/>
  <c r="L2064" i="61"/>
  <c r="K2064" i="61"/>
  <c r="P2063" i="61"/>
  <c r="O2063" i="61"/>
  <c r="N2063" i="61"/>
  <c r="M2063" i="61"/>
  <c r="L2063" i="61"/>
  <c r="K2063" i="61"/>
  <c r="P2062" i="61"/>
  <c r="O2062" i="61"/>
  <c r="N2062" i="61"/>
  <c r="M2062" i="61"/>
  <c r="L2062" i="61"/>
  <c r="K2062" i="61"/>
  <c r="P2061" i="61"/>
  <c r="O2061" i="61"/>
  <c r="N2061" i="61"/>
  <c r="M2061" i="61"/>
  <c r="L2061" i="61"/>
  <c r="K2061" i="61"/>
  <c r="P2060" i="61"/>
  <c r="O2060" i="61"/>
  <c r="N2060" i="61"/>
  <c r="M2060" i="61"/>
  <c r="L2060" i="61"/>
  <c r="K2060" i="61"/>
  <c r="P2059" i="61"/>
  <c r="O2059" i="61"/>
  <c r="N2059" i="61"/>
  <c r="M2059" i="61"/>
  <c r="L2059" i="61"/>
  <c r="K2059" i="61"/>
  <c r="P2058" i="61"/>
  <c r="O2058" i="61"/>
  <c r="N2058" i="61"/>
  <c r="M2058" i="61"/>
  <c r="L2058" i="61"/>
  <c r="K2058" i="61"/>
  <c r="P2057" i="61"/>
  <c r="O2057" i="61"/>
  <c r="N2057" i="61"/>
  <c r="M2057" i="61"/>
  <c r="L2057" i="61"/>
  <c r="K2057" i="61"/>
  <c r="P2056" i="61"/>
  <c r="O2056" i="61"/>
  <c r="N2056" i="61"/>
  <c r="M2056" i="61"/>
  <c r="L2056" i="61"/>
  <c r="K2056" i="61"/>
  <c r="P2055" i="61"/>
  <c r="O2055" i="61"/>
  <c r="N2055" i="61"/>
  <c r="M2055" i="61"/>
  <c r="L2055" i="61"/>
  <c r="K2055" i="61"/>
  <c r="P2054" i="61"/>
  <c r="O2054" i="61"/>
  <c r="N2054" i="61"/>
  <c r="M2054" i="61"/>
  <c r="L2054" i="61"/>
  <c r="K2054" i="61"/>
  <c r="P2053" i="61"/>
  <c r="O2053" i="61"/>
  <c r="N2053" i="61"/>
  <c r="M2053" i="61"/>
  <c r="L2053" i="61"/>
  <c r="K2053" i="61"/>
  <c r="P2052" i="61"/>
  <c r="O2052" i="61"/>
  <c r="N2052" i="61"/>
  <c r="M2052" i="61"/>
  <c r="L2052" i="61"/>
  <c r="K2052" i="61"/>
  <c r="P2051" i="61"/>
  <c r="O2051" i="61"/>
  <c r="N2051" i="61"/>
  <c r="M2051" i="61"/>
  <c r="L2051" i="61"/>
  <c r="K2051" i="61"/>
  <c r="P2050" i="61"/>
  <c r="O2050" i="61"/>
  <c r="N2050" i="61"/>
  <c r="M2050" i="61"/>
  <c r="L2050" i="61"/>
  <c r="K2050" i="61"/>
  <c r="P2049" i="61"/>
  <c r="O2049" i="61"/>
  <c r="N2049" i="61"/>
  <c r="M2049" i="61"/>
  <c r="L2049" i="61"/>
  <c r="K2049" i="61"/>
  <c r="P2048" i="61"/>
  <c r="O2048" i="61"/>
  <c r="N2048" i="61"/>
  <c r="M2048" i="61"/>
  <c r="L2048" i="61"/>
  <c r="K2048" i="61"/>
  <c r="P2047" i="61"/>
  <c r="O2047" i="61"/>
  <c r="N2047" i="61"/>
  <c r="M2047" i="61"/>
  <c r="L2047" i="61"/>
  <c r="K2047" i="61"/>
  <c r="P2046" i="61"/>
  <c r="O2046" i="61"/>
  <c r="N2046" i="61"/>
  <c r="M2046" i="61"/>
  <c r="L2046" i="61"/>
  <c r="K2046" i="61"/>
  <c r="P2045" i="61"/>
  <c r="O2045" i="61"/>
  <c r="N2045" i="61"/>
  <c r="M2045" i="61"/>
  <c r="L2045" i="61"/>
  <c r="K2045" i="61"/>
  <c r="P2044" i="61"/>
  <c r="O2044" i="61"/>
  <c r="N2044" i="61"/>
  <c r="M2044" i="61"/>
  <c r="L2044" i="61"/>
  <c r="K2044" i="61"/>
  <c r="P2043" i="61"/>
  <c r="O2043" i="61"/>
  <c r="N2043" i="61"/>
  <c r="M2043" i="61"/>
  <c r="L2043" i="61"/>
  <c r="K2043" i="61"/>
  <c r="P2042" i="61"/>
  <c r="O2042" i="61"/>
  <c r="N2042" i="61"/>
  <c r="M2042" i="61"/>
  <c r="L2042" i="61"/>
  <c r="K2042" i="61"/>
  <c r="P2041" i="61"/>
  <c r="O2041" i="61"/>
  <c r="N2041" i="61"/>
  <c r="M2041" i="61"/>
  <c r="L2041" i="61"/>
  <c r="K2041" i="61"/>
  <c r="P2040" i="61"/>
  <c r="O2040" i="61"/>
  <c r="N2040" i="61"/>
  <c r="M2040" i="61"/>
  <c r="L2040" i="61"/>
  <c r="K2040" i="61"/>
  <c r="P2039" i="61"/>
  <c r="O2039" i="61"/>
  <c r="N2039" i="61"/>
  <c r="M2039" i="61"/>
  <c r="L2039" i="61"/>
  <c r="K2039" i="61"/>
  <c r="P2038" i="61"/>
  <c r="O2038" i="61"/>
  <c r="N2038" i="61"/>
  <c r="M2038" i="61"/>
  <c r="L2038" i="61"/>
  <c r="K2038" i="61"/>
  <c r="P2037" i="61"/>
  <c r="O2037" i="61"/>
  <c r="N2037" i="61"/>
  <c r="M2037" i="61"/>
  <c r="L2037" i="61"/>
  <c r="K2037" i="61"/>
  <c r="P2036" i="61"/>
  <c r="O2036" i="61"/>
  <c r="N2036" i="61"/>
  <c r="M2036" i="61"/>
  <c r="L2036" i="61"/>
  <c r="K2036" i="61"/>
  <c r="P2035" i="61"/>
  <c r="O2035" i="61"/>
  <c r="N2035" i="61"/>
  <c r="M2035" i="61"/>
  <c r="L2035" i="61"/>
  <c r="K2035" i="61"/>
  <c r="P2034" i="61"/>
  <c r="O2034" i="61"/>
  <c r="N2034" i="61"/>
  <c r="M2034" i="61"/>
  <c r="L2034" i="61"/>
  <c r="K2034" i="61"/>
  <c r="P2033" i="61"/>
  <c r="O2033" i="61"/>
  <c r="N2033" i="61"/>
  <c r="M2033" i="61"/>
  <c r="L2033" i="61"/>
  <c r="K2033" i="61"/>
  <c r="P2032" i="61"/>
  <c r="O2032" i="61"/>
  <c r="N2032" i="61"/>
  <c r="M2032" i="61"/>
  <c r="L2032" i="61"/>
  <c r="K2032" i="61"/>
  <c r="P2031" i="61"/>
  <c r="O2031" i="61"/>
  <c r="N2031" i="61"/>
  <c r="M2031" i="61"/>
  <c r="L2031" i="61"/>
  <c r="K2031" i="61"/>
  <c r="P2030" i="61"/>
  <c r="O2030" i="61"/>
  <c r="N2030" i="61"/>
  <c r="M2030" i="61"/>
  <c r="L2030" i="61"/>
  <c r="K2030" i="61"/>
  <c r="P2029" i="61"/>
  <c r="O2029" i="61"/>
  <c r="N2029" i="61"/>
  <c r="M2029" i="61"/>
  <c r="L2029" i="61"/>
  <c r="K2029" i="61"/>
  <c r="P2028" i="61"/>
  <c r="O2028" i="61"/>
  <c r="N2028" i="61"/>
  <c r="M2028" i="61"/>
  <c r="L2028" i="61"/>
  <c r="K2028" i="61"/>
  <c r="P2027" i="61"/>
  <c r="O2027" i="61"/>
  <c r="N2027" i="61"/>
  <c r="M2027" i="61"/>
  <c r="L2027" i="61"/>
  <c r="K2027" i="61"/>
  <c r="P2026" i="61"/>
  <c r="O2026" i="61"/>
  <c r="N2026" i="61"/>
  <c r="M2026" i="61"/>
  <c r="L2026" i="61"/>
  <c r="K2026" i="61"/>
  <c r="P2025" i="61"/>
  <c r="O2025" i="61"/>
  <c r="N2025" i="61"/>
  <c r="M2025" i="61"/>
  <c r="L2025" i="61"/>
  <c r="K2025" i="61"/>
  <c r="P2024" i="61"/>
  <c r="O2024" i="61"/>
  <c r="N2024" i="61"/>
  <c r="M2024" i="61"/>
  <c r="L2024" i="61"/>
  <c r="K2024" i="61"/>
  <c r="P2023" i="61"/>
  <c r="O2023" i="61"/>
  <c r="N2023" i="61"/>
  <c r="M2023" i="61"/>
  <c r="L2023" i="61"/>
  <c r="K2023" i="61"/>
  <c r="P2022" i="61"/>
  <c r="O2022" i="61"/>
  <c r="N2022" i="61"/>
  <c r="M2022" i="61"/>
  <c r="L2022" i="61"/>
  <c r="K2022" i="61"/>
  <c r="P2021" i="61"/>
  <c r="O2021" i="61"/>
  <c r="N2021" i="61"/>
  <c r="M2021" i="61"/>
  <c r="L2021" i="61"/>
  <c r="K2021" i="61"/>
  <c r="P2020" i="61"/>
  <c r="O2020" i="61"/>
  <c r="N2020" i="61"/>
  <c r="M2020" i="61"/>
  <c r="L2020" i="61"/>
  <c r="K2020" i="61"/>
  <c r="P2019" i="61"/>
  <c r="O2019" i="61"/>
  <c r="N2019" i="61"/>
  <c r="M2019" i="61"/>
  <c r="L2019" i="61"/>
  <c r="K2019" i="61"/>
  <c r="P2018" i="61"/>
  <c r="O2018" i="61"/>
  <c r="N2018" i="61"/>
  <c r="M2018" i="61"/>
  <c r="L2018" i="61"/>
  <c r="K2018" i="61"/>
  <c r="P2017" i="61"/>
  <c r="O2017" i="61"/>
  <c r="N2017" i="61"/>
  <c r="M2017" i="61"/>
  <c r="L2017" i="61"/>
  <c r="K2017" i="61"/>
  <c r="P2016" i="61"/>
  <c r="O2016" i="61"/>
  <c r="N2016" i="61"/>
  <c r="M2016" i="61"/>
  <c r="L2016" i="61"/>
  <c r="K2016" i="61"/>
  <c r="P2015" i="61"/>
  <c r="O2015" i="61"/>
  <c r="N2015" i="61"/>
  <c r="M2015" i="61"/>
  <c r="L2015" i="61"/>
  <c r="K2015" i="61"/>
  <c r="P2014" i="61"/>
  <c r="O2014" i="61"/>
  <c r="N2014" i="61"/>
  <c r="M2014" i="61"/>
  <c r="L2014" i="61"/>
  <c r="K2014" i="61"/>
  <c r="P2013" i="61"/>
  <c r="O2013" i="61"/>
  <c r="N2013" i="61"/>
  <c r="M2013" i="61"/>
  <c r="L2013" i="61"/>
  <c r="K2013" i="61"/>
  <c r="P2012" i="61"/>
  <c r="O2012" i="61"/>
  <c r="N2012" i="61"/>
  <c r="M2012" i="61"/>
  <c r="L2012" i="61"/>
  <c r="K2012" i="61"/>
  <c r="P2011" i="61"/>
  <c r="O2011" i="61"/>
  <c r="N2011" i="61"/>
  <c r="M2011" i="61"/>
  <c r="L2011" i="61"/>
  <c r="K2011" i="61"/>
  <c r="P2010" i="61"/>
  <c r="O2010" i="61"/>
  <c r="N2010" i="61"/>
  <c r="M2010" i="61"/>
  <c r="L2010" i="61"/>
  <c r="K2010" i="61"/>
  <c r="P2009" i="61"/>
  <c r="O2009" i="61"/>
  <c r="N2009" i="61"/>
  <c r="M2009" i="61"/>
  <c r="L2009" i="61"/>
  <c r="K2009" i="61"/>
  <c r="P2008" i="61"/>
  <c r="O2008" i="61"/>
  <c r="N2008" i="61"/>
  <c r="M2008" i="61"/>
  <c r="L2008" i="61"/>
  <c r="K2008" i="61"/>
  <c r="P2007" i="61"/>
  <c r="O2007" i="61"/>
  <c r="N2007" i="61"/>
  <c r="M2007" i="61"/>
  <c r="L2007" i="61"/>
  <c r="K2007" i="61"/>
  <c r="P2006" i="61"/>
  <c r="O2006" i="61"/>
  <c r="N2006" i="61"/>
  <c r="M2006" i="61"/>
  <c r="L2006" i="61"/>
  <c r="K2006" i="61"/>
  <c r="P2005" i="61"/>
  <c r="O2005" i="61"/>
  <c r="N2005" i="61"/>
  <c r="M2005" i="61"/>
  <c r="L2005" i="61"/>
  <c r="K2005" i="61"/>
  <c r="P2004" i="61"/>
  <c r="O2004" i="61"/>
  <c r="N2004" i="61"/>
  <c r="M2004" i="61"/>
  <c r="L2004" i="61"/>
  <c r="K2004" i="61"/>
  <c r="P2003" i="61"/>
  <c r="O2003" i="61"/>
  <c r="N2003" i="61"/>
  <c r="M2003" i="61"/>
  <c r="L2003" i="61"/>
  <c r="K2003" i="61"/>
  <c r="P2002" i="61"/>
  <c r="O2002" i="61"/>
  <c r="N2002" i="61"/>
  <c r="M2002" i="61"/>
  <c r="L2002" i="61"/>
  <c r="K2002" i="61"/>
  <c r="P2001" i="61"/>
  <c r="O2001" i="61"/>
  <c r="N2001" i="61"/>
  <c r="M2001" i="61"/>
  <c r="L2001" i="61"/>
  <c r="K2001" i="61"/>
  <c r="P2000" i="61"/>
  <c r="O2000" i="61"/>
  <c r="N2000" i="61"/>
  <c r="M2000" i="61"/>
  <c r="L2000" i="61"/>
  <c r="K2000" i="61"/>
  <c r="P1999" i="61"/>
  <c r="O1999" i="61"/>
  <c r="N1999" i="61"/>
  <c r="M1999" i="61"/>
  <c r="L1999" i="61"/>
  <c r="K1999" i="61"/>
  <c r="P1998" i="61"/>
  <c r="O1998" i="61"/>
  <c r="N1998" i="61"/>
  <c r="M1998" i="61"/>
  <c r="L1998" i="61"/>
  <c r="K1998" i="61"/>
  <c r="P1997" i="61"/>
  <c r="O1997" i="61"/>
  <c r="N1997" i="61"/>
  <c r="M1997" i="61"/>
  <c r="L1997" i="61"/>
  <c r="K1997" i="61"/>
  <c r="P1996" i="61"/>
  <c r="O1996" i="61"/>
  <c r="N1996" i="61"/>
  <c r="M1996" i="61"/>
  <c r="L1996" i="61"/>
  <c r="K1996" i="61"/>
  <c r="P1995" i="61"/>
  <c r="O1995" i="61"/>
  <c r="N1995" i="61"/>
  <c r="M1995" i="61"/>
  <c r="L1995" i="61"/>
  <c r="K1995" i="61"/>
  <c r="P1994" i="61"/>
  <c r="O1994" i="61"/>
  <c r="N1994" i="61"/>
  <c r="M1994" i="61"/>
  <c r="L1994" i="61"/>
  <c r="K1994" i="61"/>
  <c r="P1993" i="61"/>
  <c r="O1993" i="61"/>
  <c r="N1993" i="61"/>
  <c r="M1993" i="61"/>
  <c r="L1993" i="61"/>
  <c r="K1993" i="61"/>
  <c r="P1992" i="61"/>
  <c r="O1992" i="61"/>
  <c r="N1992" i="61"/>
  <c r="M1992" i="61"/>
  <c r="L1992" i="61"/>
  <c r="K1992" i="61"/>
  <c r="P1991" i="61"/>
  <c r="O1991" i="61"/>
  <c r="N1991" i="61"/>
  <c r="M1991" i="61"/>
  <c r="L1991" i="61"/>
  <c r="K1991" i="61"/>
  <c r="P1990" i="61"/>
  <c r="O1990" i="61"/>
  <c r="N1990" i="61"/>
  <c r="M1990" i="61"/>
  <c r="L1990" i="61"/>
  <c r="K1990" i="61"/>
  <c r="P1989" i="61"/>
  <c r="O1989" i="61"/>
  <c r="N1989" i="61"/>
  <c r="M1989" i="61"/>
  <c r="L1989" i="61"/>
  <c r="K1989" i="61"/>
  <c r="P1988" i="61"/>
  <c r="O1988" i="61"/>
  <c r="N1988" i="61"/>
  <c r="M1988" i="61"/>
  <c r="L1988" i="61"/>
  <c r="K1988" i="61"/>
  <c r="P1987" i="61"/>
  <c r="O1987" i="61"/>
  <c r="N1987" i="61"/>
  <c r="M1987" i="61"/>
  <c r="L1987" i="61"/>
  <c r="K1987" i="61"/>
  <c r="P1986" i="61"/>
  <c r="O1986" i="61"/>
  <c r="N1986" i="61"/>
  <c r="M1986" i="61"/>
  <c r="L1986" i="61"/>
  <c r="K1986" i="61"/>
  <c r="P1985" i="61"/>
  <c r="O1985" i="61"/>
  <c r="N1985" i="61"/>
  <c r="M1985" i="61"/>
  <c r="L1985" i="61"/>
  <c r="K1985" i="61"/>
  <c r="P1984" i="61"/>
  <c r="O1984" i="61"/>
  <c r="N1984" i="61"/>
  <c r="M1984" i="61"/>
  <c r="L1984" i="61"/>
  <c r="K1984" i="61"/>
  <c r="P1983" i="61"/>
  <c r="O1983" i="61"/>
  <c r="N1983" i="61"/>
  <c r="M1983" i="61"/>
  <c r="L1983" i="61"/>
  <c r="K1983" i="61"/>
  <c r="P1982" i="61"/>
  <c r="O1982" i="61"/>
  <c r="N1982" i="61"/>
  <c r="M1982" i="61"/>
  <c r="L1982" i="61"/>
  <c r="K1982" i="61"/>
  <c r="P1981" i="61"/>
  <c r="O1981" i="61"/>
  <c r="N1981" i="61"/>
  <c r="M1981" i="61"/>
  <c r="L1981" i="61"/>
  <c r="K1981" i="61"/>
  <c r="P1980" i="61"/>
  <c r="O1980" i="61"/>
  <c r="N1980" i="61"/>
  <c r="M1980" i="61"/>
  <c r="L1980" i="61"/>
  <c r="K1980" i="61"/>
  <c r="P1979" i="61"/>
  <c r="O1979" i="61"/>
  <c r="N1979" i="61"/>
  <c r="M1979" i="61"/>
  <c r="L1979" i="61"/>
  <c r="K1979" i="61"/>
  <c r="P1978" i="61"/>
  <c r="O1978" i="61"/>
  <c r="N1978" i="61"/>
  <c r="M1978" i="61"/>
  <c r="L1978" i="61"/>
  <c r="K1978" i="61"/>
  <c r="P1977" i="61"/>
  <c r="O1977" i="61"/>
  <c r="N1977" i="61"/>
  <c r="M1977" i="61"/>
  <c r="L1977" i="61"/>
  <c r="K1977" i="61"/>
  <c r="P1976" i="61"/>
  <c r="O1976" i="61"/>
  <c r="N1976" i="61"/>
  <c r="M1976" i="61"/>
  <c r="L1976" i="61"/>
  <c r="K1976" i="61"/>
  <c r="P1975" i="61"/>
  <c r="O1975" i="61"/>
  <c r="N1975" i="61"/>
  <c r="M1975" i="61"/>
  <c r="L1975" i="61"/>
  <c r="K1975" i="61"/>
  <c r="P1974" i="61"/>
  <c r="O1974" i="61"/>
  <c r="N1974" i="61"/>
  <c r="M1974" i="61"/>
  <c r="L1974" i="61"/>
  <c r="K1974" i="61"/>
  <c r="P1973" i="61"/>
  <c r="O1973" i="61"/>
  <c r="N1973" i="61"/>
  <c r="M1973" i="61"/>
  <c r="L1973" i="61"/>
  <c r="K1973" i="61"/>
  <c r="P1972" i="61"/>
  <c r="O1972" i="61"/>
  <c r="N1972" i="61"/>
  <c r="M1972" i="61"/>
  <c r="L1972" i="61"/>
  <c r="K1972" i="61"/>
  <c r="P1971" i="61"/>
  <c r="O1971" i="61"/>
  <c r="N1971" i="61"/>
  <c r="M1971" i="61"/>
  <c r="L1971" i="61"/>
  <c r="K1971" i="61"/>
  <c r="P1970" i="61"/>
  <c r="O1970" i="61"/>
  <c r="N1970" i="61"/>
  <c r="M1970" i="61"/>
  <c r="L1970" i="61"/>
  <c r="K1970" i="61"/>
  <c r="P1969" i="61"/>
  <c r="O1969" i="61"/>
  <c r="N1969" i="61"/>
  <c r="M1969" i="61"/>
  <c r="L1969" i="61"/>
  <c r="K1969" i="61"/>
  <c r="P1968" i="61"/>
  <c r="O1968" i="61"/>
  <c r="N1968" i="61"/>
  <c r="M1968" i="61"/>
  <c r="L1968" i="61"/>
  <c r="K1968" i="61"/>
  <c r="P1967" i="61"/>
  <c r="O1967" i="61"/>
  <c r="N1967" i="61"/>
  <c r="M1967" i="61"/>
  <c r="L1967" i="61"/>
  <c r="K1967" i="61"/>
  <c r="P1966" i="61"/>
  <c r="O1966" i="61"/>
  <c r="N1966" i="61"/>
  <c r="M1966" i="61"/>
  <c r="L1966" i="61"/>
  <c r="K1966" i="61"/>
  <c r="P1965" i="61"/>
  <c r="O1965" i="61"/>
  <c r="N1965" i="61"/>
  <c r="M1965" i="61"/>
  <c r="L1965" i="61"/>
  <c r="K1965" i="61"/>
  <c r="P1964" i="61"/>
  <c r="O1964" i="61"/>
  <c r="N1964" i="61"/>
  <c r="M1964" i="61"/>
  <c r="L1964" i="61"/>
  <c r="K1964" i="61"/>
  <c r="P1963" i="61"/>
  <c r="O1963" i="61"/>
  <c r="N1963" i="61"/>
  <c r="M1963" i="61"/>
  <c r="L1963" i="61"/>
  <c r="K1963" i="61"/>
  <c r="P1962" i="61"/>
  <c r="O1962" i="61"/>
  <c r="N1962" i="61"/>
  <c r="M1962" i="61"/>
  <c r="L1962" i="61"/>
  <c r="K1962" i="61"/>
  <c r="P1961" i="61"/>
  <c r="O1961" i="61"/>
  <c r="N1961" i="61"/>
  <c r="M1961" i="61"/>
  <c r="L1961" i="61"/>
  <c r="K1961" i="61"/>
  <c r="P1960" i="61"/>
  <c r="O1960" i="61"/>
  <c r="N1960" i="61"/>
  <c r="M1960" i="61"/>
  <c r="L1960" i="61"/>
  <c r="K1960" i="61"/>
  <c r="P1959" i="61"/>
  <c r="O1959" i="61"/>
  <c r="N1959" i="61"/>
  <c r="M1959" i="61"/>
  <c r="L1959" i="61"/>
  <c r="K1959" i="61"/>
  <c r="P1958" i="61"/>
  <c r="O1958" i="61"/>
  <c r="N1958" i="61"/>
  <c r="M1958" i="61"/>
  <c r="L1958" i="61"/>
  <c r="K1958" i="61"/>
  <c r="P1957" i="61"/>
  <c r="O1957" i="61"/>
  <c r="N1957" i="61"/>
  <c r="M1957" i="61"/>
  <c r="L1957" i="61"/>
  <c r="K1957" i="61"/>
  <c r="P1956" i="61"/>
  <c r="O1956" i="61"/>
  <c r="N1956" i="61"/>
  <c r="M1956" i="61"/>
  <c r="L1956" i="61"/>
  <c r="K1956" i="61"/>
  <c r="P1955" i="61"/>
  <c r="O1955" i="61"/>
  <c r="N1955" i="61"/>
  <c r="M1955" i="61"/>
  <c r="L1955" i="61"/>
  <c r="K1955" i="61"/>
  <c r="P1954" i="61"/>
  <c r="O1954" i="61"/>
  <c r="N1954" i="61"/>
  <c r="M1954" i="61"/>
  <c r="L1954" i="61"/>
  <c r="K1954" i="61"/>
  <c r="P1953" i="61"/>
  <c r="O1953" i="61"/>
  <c r="N1953" i="61"/>
  <c r="M1953" i="61"/>
  <c r="L1953" i="61"/>
  <c r="K1953" i="61"/>
  <c r="P1952" i="61"/>
  <c r="O1952" i="61"/>
  <c r="N1952" i="61"/>
  <c r="M1952" i="61"/>
  <c r="L1952" i="61"/>
  <c r="K1952" i="61"/>
  <c r="P1951" i="61"/>
  <c r="O1951" i="61"/>
  <c r="N1951" i="61"/>
  <c r="M1951" i="61"/>
  <c r="L1951" i="61"/>
  <c r="K1951" i="61"/>
  <c r="P1950" i="61"/>
  <c r="O1950" i="61"/>
  <c r="N1950" i="61"/>
  <c r="M1950" i="61"/>
  <c r="L1950" i="61"/>
  <c r="K1950" i="61"/>
  <c r="P1949" i="61"/>
  <c r="O1949" i="61"/>
  <c r="N1949" i="61"/>
  <c r="M1949" i="61"/>
  <c r="L1949" i="61"/>
  <c r="K1949" i="61"/>
  <c r="P1948" i="61"/>
  <c r="O1948" i="61"/>
  <c r="N1948" i="61"/>
  <c r="M1948" i="61"/>
  <c r="L1948" i="61"/>
  <c r="K1948" i="61"/>
  <c r="P1947" i="61"/>
  <c r="O1947" i="61"/>
  <c r="N1947" i="61"/>
  <c r="M1947" i="61"/>
  <c r="L1947" i="61"/>
  <c r="K1947" i="61"/>
  <c r="P1946" i="61"/>
  <c r="O1946" i="61"/>
  <c r="N1946" i="61"/>
  <c r="M1946" i="61"/>
  <c r="L1946" i="61"/>
  <c r="K1946" i="61"/>
  <c r="P1945" i="61"/>
  <c r="O1945" i="61"/>
  <c r="N1945" i="61"/>
  <c r="M1945" i="61"/>
  <c r="L1945" i="61"/>
  <c r="K1945" i="61"/>
  <c r="P1944" i="61"/>
  <c r="O1944" i="61"/>
  <c r="N1944" i="61"/>
  <c r="M1944" i="61"/>
  <c r="L1944" i="61"/>
  <c r="K1944" i="61"/>
  <c r="P1943" i="61"/>
  <c r="O1943" i="61"/>
  <c r="N1943" i="61"/>
  <c r="M1943" i="61"/>
  <c r="L1943" i="61"/>
  <c r="K1943" i="61"/>
  <c r="P1942" i="61"/>
  <c r="O1942" i="61"/>
  <c r="N1942" i="61"/>
  <c r="M1942" i="61"/>
  <c r="L1942" i="61"/>
  <c r="K1942" i="61"/>
  <c r="P1941" i="61"/>
  <c r="O1941" i="61"/>
  <c r="N1941" i="61"/>
  <c r="M1941" i="61"/>
  <c r="L1941" i="61"/>
  <c r="K1941" i="61"/>
  <c r="P1940" i="61"/>
  <c r="O1940" i="61"/>
  <c r="N1940" i="61"/>
  <c r="M1940" i="61"/>
  <c r="L1940" i="61"/>
  <c r="K1940" i="61"/>
  <c r="P1939" i="61"/>
  <c r="O1939" i="61"/>
  <c r="N1939" i="61"/>
  <c r="M1939" i="61"/>
  <c r="L1939" i="61"/>
  <c r="K1939" i="61"/>
  <c r="P1938" i="61"/>
  <c r="O1938" i="61"/>
  <c r="N1938" i="61"/>
  <c r="M1938" i="61"/>
  <c r="L1938" i="61"/>
  <c r="K1938" i="61"/>
  <c r="P1937" i="61"/>
  <c r="O1937" i="61"/>
  <c r="N1937" i="61"/>
  <c r="M1937" i="61"/>
  <c r="L1937" i="61"/>
  <c r="K1937" i="61"/>
  <c r="P1936" i="61"/>
  <c r="O1936" i="61"/>
  <c r="N1936" i="61"/>
  <c r="M1936" i="61"/>
  <c r="L1936" i="61"/>
  <c r="K1936" i="61"/>
  <c r="P1935" i="61"/>
  <c r="O1935" i="61"/>
  <c r="N1935" i="61"/>
  <c r="M1935" i="61"/>
  <c r="L1935" i="61"/>
  <c r="K1935" i="61"/>
  <c r="P1934" i="61"/>
  <c r="O1934" i="61"/>
  <c r="N1934" i="61"/>
  <c r="M1934" i="61"/>
  <c r="L1934" i="61"/>
  <c r="K1934" i="61"/>
  <c r="P1933" i="61"/>
  <c r="O1933" i="61"/>
  <c r="N1933" i="61"/>
  <c r="M1933" i="61"/>
  <c r="L1933" i="61"/>
  <c r="K1933" i="61"/>
  <c r="P1932" i="61"/>
  <c r="O1932" i="61"/>
  <c r="N1932" i="61"/>
  <c r="M1932" i="61"/>
  <c r="L1932" i="61"/>
  <c r="K1932" i="61"/>
  <c r="P1931" i="61"/>
  <c r="O1931" i="61"/>
  <c r="N1931" i="61"/>
  <c r="M1931" i="61"/>
  <c r="L1931" i="61"/>
  <c r="K1931" i="61"/>
  <c r="P1930" i="61"/>
  <c r="O1930" i="61"/>
  <c r="N1930" i="61"/>
  <c r="M1930" i="61"/>
  <c r="L1930" i="61"/>
  <c r="K1930" i="61"/>
  <c r="P1929" i="61"/>
  <c r="O1929" i="61"/>
  <c r="N1929" i="61"/>
  <c r="M1929" i="61"/>
  <c r="L1929" i="61"/>
  <c r="K1929" i="61"/>
  <c r="P1928" i="61"/>
  <c r="O1928" i="61"/>
  <c r="N1928" i="61"/>
  <c r="M1928" i="61"/>
  <c r="L1928" i="61"/>
  <c r="K1928" i="61"/>
  <c r="P1927" i="61"/>
  <c r="O1927" i="61"/>
  <c r="N1927" i="61"/>
  <c r="M1927" i="61"/>
  <c r="L1927" i="61"/>
  <c r="K1927" i="61"/>
  <c r="P1926" i="61"/>
  <c r="O1926" i="61"/>
  <c r="N1926" i="61"/>
  <c r="M1926" i="61"/>
  <c r="L1926" i="61"/>
  <c r="K1926" i="61"/>
  <c r="P1925" i="61"/>
  <c r="O1925" i="61"/>
  <c r="N1925" i="61"/>
  <c r="M1925" i="61"/>
  <c r="L1925" i="61"/>
  <c r="K1925" i="61"/>
  <c r="P1924" i="61"/>
  <c r="O1924" i="61"/>
  <c r="N1924" i="61"/>
  <c r="M1924" i="61"/>
  <c r="L1924" i="61"/>
  <c r="K1924" i="61"/>
  <c r="P1923" i="61"/>
  <c r="O1923" i="61"/>
  <c r="N1923" i="61"/>
  <c r="M1923" i="61"/>
  <c r="L1923" i="61"/>
  <c r="K1923" i="61"/>
  <c r="P1922" i="61"/>
  <c r="O1922" i="61"/>
  <c r="N1922" i="61"/>
  <c r="M1922" i="61"/>
  <c r="L1922" i="61"/>
  <c r="K1922" i="61"/>
  <c r="P1921" i="61"/>
  <c r="O1921" i="61"/>
  <c r="N1921" i="61"/>
  <c r="M1921" i="61"/>
  <c r="L1921" i="61"/>
  <c r="K1921" i="61"/>
  <c r="P1920" i="61"/>
  <c r="O1920" i="61"/>
  <c r="N1920" i="61"/>
  <c r="M1920" i="61"/>
  <c r="L1920" i="61"/>
  <c r="K1920" i="61"/>
  <c r="P1919" i="61"/>
  <c r="O1919" i="61"/>
  <c r="N1919" i="61"/>
  <c r="M1919" i="61"/>
  <c r="L1919" i="61"/>
  <c r="K1919" i="61"/>
  <c r="P1918" i="61"/>
  <c r="O1918" i="61"/>
  <c r="N1918" i="61"/>
  <c r="M1918" i="61"/>
  <c r="L1918" i="61"/>
  <c r="K1918" i="61"/>
  <c r="P1917" i="61"/>
  <c r="O1917" i="61"/>
  <c r="N1917" i="61"/>
  <c r="M1917" i="61"/>
  <c r="L1917" i="61"/>
  <c r="K1917" i="61"/>
  <c r="P1916" i="61"/>
  <c r="O1916" i="61"/>
  <c r="N1916" i="61"/>
  <c r="M1916" i="61"/>
  <c r="L1916" i="61"/>
  <c r="K1916" i="61"/>
  <c r="P1915" i="61"/>
  <c r="O1915" i="61"/>
  <c r="N1915" i="61"/>
  <c r="M1915" i="61"/>
  <c r="L1915" i="61"/>
  <c r="K1915" i="61"/>
  <c r="P1914" i="61"/>
  <c r="O1914" i="61"/>
  <c r="N1914" i="61"/>
  <c r="M1914" i="61"/>
  <c r="L1914" i="61"/>
  <c r="K1914" i="61"/>
  <c r="P1913" i="61"/>
  <c r="O1913" i="61"/>
  <c r="N1913" i="61"/>
  <c r="M1913" i="61"/>
  <c r="L1913" i="61"/>
  <c r="K1913" i="61"/>
  <c r="P1912" i="61"/>
  <c r="O1912" i="61"/>
  <c r="N1912" i="61"/>
  <c r="M1912" i="61"/>
  <c r="L1912" i="61"/>
  <c r="K1912" i="61"/>
  <c r="P1911" i="61"/>
  <c r="O1911" i="61"/>
  <c r="N1911" i="61"/>
  <c r="M1911" i="61"/>
  <c r="L1911" i="61"/>
  <c r="K1911" i="61"/>
  <c r="P1910" i="61"/>
  <c r="O1910" i="61"/>
  <c r="N1910" i="61"/>
  <c r="M1910" i="61"/>
  <c r="L1910" i="61"/>
  <c r="K1910" i="61"/>
  <c r="P1909" i="61"/>
  <c r="O1909" i="61"/>
  <c r="N1909" i="61"/>
  <c r="M1909" i="61"/>
  <c r="L1909" i="61"/>
  <c r="K1909" i="61"/>
  <c r="P1908" i="61"/>
  <c r="O1908" i="61"/>
  <c r="N1908" i="61"/>
  <c r="M1908" i="61"/>
  <c r="L1908" i="61"/>
  <c r="K1908" i="61"/>
  <c r="P1907" i="61"/>
  <c r="O1907" i="61"/>
  <c r="N1907" i="61"/>
  <c r="M1907" i="61"/>
  <c r="L1907" i="61"/>
  <c r="K1907" i="61"/>
  <c r="P1906" i="61"/>
  <c r="O1906" i="61"/>
  <c r="N1906" i="61"/>
  <c r="M1906" i="61"/>
  <c r="L1906" i="61"/>
  <c r="K1906" i="61"/>
  <c r="P1905" i="61"/>
  <c r="O1905" i="61"/>
  <c r="N1905" i="61"/>
  <c r="M1905" i="61"/>
  <c r="L1905" i="61"/>
  <c r="K1905" i="61"/>
  <c r="P1904" i="61"/>
  <c r="O1904" i="61"/>
  <c r="N1904" i="61"/>
  <c r="M1904" i="61"/>
  <c r="L1904" i="61"/>
  <c r="K1904" i="61"/>
  <c r="P1903" i="61"/>
  <c r="O1903" i="61"/>
  <c r="N1903" i="61"/>
  <c r="M1903" i="61"/>
  <c r="L1903" i="61"/>
  <c r="K1903" i="61"/>
  <c r="P1902" i="61"/>
  <c r="O1902" i="61"/>
  <c r="N1902" i="61"/>
  <c r="M1902" i="61"/>
  <c r="L1902" i="61"/>
  <c r="K1902" i="61"/>
  <c r="P1901" i="61"/>
  <c r="O1901" i="61"/>
  <c r="N1901" i="61"/>
  <c r="M1901" i="61"/>
  <c r="L1901" i="61"/>
  <c r="K1901" i="61"/>
  <c r="P1900" i="61"/>
  <c r="O1900" i="61"/>
  <c r="N1900" i="61"/>
  <c r="M1900" i="61"/>
  <c r="L1900" i="61"/>
  <c r="K1900" i="61"/>
  <c r="P1899" i="61"/>
  <c r="O1899" i="61"/>
  <c r="N1899" i="61"/>
  <c r="M1899" i="61"/>
  <c r="L1899" i="61"/>
  <c r="K1899" i="61"/>
  <c r="P1898" i="61"/>
  <c r="O1898" i="61"/>
  <c r="N1898" i="61"/>
  <c r="M1898" i="61"/>
  <c r="L1898" i="61"/>
  <c r="K1898" i="61"/>
  <c r="P1897" i="61"/>
  <c r="O1897" i="61"/>
  <c r="N1897" i="61"/>
  <c r="M1897" i="61"/>
  <c r="L1897" i="61"/>
  <c r="K1897" i="61"/>
  <c r="P1896" i="61"/>
  <c r="O1896" i="61"/>
  <c r="N1896" i="61"/>
  <c r="M1896" i="61"/>
  <c r="L1896" i="61"/>
  <c r="K1896" i="61"/>
  <c r="P1895" i="61"/>
  <c r="O1895" i="61"/>
  <c r="N1895" i="61"/>
  <c r="M1895" i="61"/>
  <c r="L1895" i="61"/>
  <c r="K1895" i="61"/>
  <c r="P1894" i="61"/>
  <c r="O1894" i="61"/>
  <c r="N1894" i="61"/>
  <c r="M1894" i="61"/>
  <c r="L1894" i="61"/>
  <c r="K1894" i="61"/>
  <c r="P1893" i="61"/>
  <c r="O1893" i="61"/>
  <c r="N1893" i="61"/>
  <c r="M1893" i="61"/>
  <c r="L1893" i="61"/>
  <c r="K1893" i="61"/>
  <c r="P1892" i="61"/>
  <c r="O1892" i="61"/>
  <c r="N1892" i="61"/>
  <c r="M1892" i="61"/>
  <c r="L1892" i="61"/>
  <c r="K1892" i="61"/>
  <c r="P1891" i="61"/>
  <c r="O1891" i="61"/>
  <c r="N1891" i="61"/>
  <c r="M1891" i="61"/>
  <c r="L1891" i="61"/>
  <c r="K1891" i="61"/>
  <c r="P1890" i="61"/>
  <c r="O1890" i="61"/>
  <c r="N1890" i="61"/>
  <c r="M1890" i="61"/>
  <c r="L1890" i="61"/>
  <c r="K1890" i="61"/>
  <c r="P1889" i="61"/>
  <c r="O1889" i="61"/>
  <c r="N1889" i="61"/>
  <c r="M1889" i="61"/>
  <c r="L1889" i="61"/>
  <c r="K1889" i="61"/>
  <c r="P1888" i="61"/>
  <c r="O1888" i="61"/>
  <c r="N1888" i="61"/>
  <c r="M1888" i="61"/>
  <c r="L1888" i="61"/>
  <c r="K1888" i="61"/>
  <c r="P1887" i="61"/>
  <c r="O1887" i="61"/>
  <c r="N1887" i="61"/>
  <c r="M1887" i="61"/>
  <c r="L1887" i="61"/>
  <c r="K1887" i="61"/>
  <c r="P1886" i="61"/>
  <c r="O1886" i="61"/>
  <c r="N1886" i="61"/>
  <c r="M1886" i="61"/>
  <c r="L1886" i="61"/>
  <c r="K1886" i="61"/>
  <c r="P1885" i="61"/>
  <c r="O1885" i="61"/>
  <c r="N1885" i="61"/>
  <c r="M1885" i="61"/>
  <c r="L1885" i="61"/>
  <c r="K1885" i="61"/>
  <c r="P1884" i="61"/>
  <c r="O1884" i="61"/>
  <c r="N1884" i="61"/>
  <c r="M1884" i="61"/>
  <c r="L1884" i="61"/>
  <c r="K1884" i="61"/>
  <c r="P1883" i="61"/>
  <c r="O1883" i="61"/>
  <c r="N1883" i="61"/>
  <c r="M1883" i="61"/>
  <c r="L1883" i="61"/>
  <c r="K1883" i="61"/>
  <c r="P1882" i="61"/>
  <c r="O1882" i="61"/>
  <c r="N1882" i="61"/>
  <c r="M1882" i="61"/>
  <c r="L1882" i="61"/>
  <c r="K1882" i="61"/>
  <c r="P1881" i="61"/>
  <c r="O1881" i="61"/>
  <c r="N1881" i="61"/>
  <c r="M1881" i="61"/>
  <c r="L1881" i="61"/>
  <c r="K1881" i="61"/>
  <c r="P1880" i="61"/>
  <c r="O1880" i="61"/>
  <c r="N1880" i="61"/>
  <c r="M1880" i="61"/>
  <c r="L1880" i="61"/>
  <c r="K1880" i="61"/>
  <c r="P1879" i="61"/>
  <c r="O1879" i="61"/>
  <c r="N1879" i="61"/>
  <c r="M1879" i="61"/>
  <c r="L1879" i="61"/>
  <c r="K1879" i="61"/>
  <c r="P1878" i="61"/>
  <c r="O1878" i="61"/>
  <c r="N1878" i="61"/>
  <c r="M1878" i="61"/>
  <c r="L1878" i="61"/>
  <c r="K1878" i="61"/>
  <c r="P1877" i="61"/>
  <c r="O1877" i="61"/>
  <c r="N1877" i="61"/>
  <c r="M1877" i="61"/>
  <c r="L1877" i="61"/>
  <c r="K1877" i="61"/>
  <c r="P1876" i="61"/>
  <c r="O1876" i="61"/>
  <c r="N1876" i="61"/>
  <c r="M1876" i="61"/>
  <c r="L1876" i="61"/>
  <c r="K1876" i="61"/>
  <c r="P1875" i="61"/>
  <c r="O1875" i="61"/>
  <c r="N1875" i="61"/>
  <c r="M1875" i="61"/>
  <c r="L1875" i="61"/>
  <c r="K1875" i="61"/>
  <c r="P1874" i="61"/>
  <c r="O1874" i="61"/>
  <c r="N1874" i="61"/>
  <c r="M1874" i="61"/>
  <c r="L1874" i="61"/>
  <c r="K1874" i="61"/>
  <c r="P1873" i="61"/>
  <c r="O1873" i="61"/>
  <c r="N1873" i="61"/>
  <c r="M1873" i="61"/>
  <c r="L1873" i="61"/>
  <c r="K1873" i="61"/>
  <c r="P1872" i="61"/>
  <c r="O1872" i="61"/>
  <c r="N1872" i="61"/>
  <c r="M1872" i="61"/>
  <c r="L1872" i="61"/>
  <c r="K1872" i="61"/>
  <c r="P1871" i="61"/>
  <c r="O1871" i="61"/>
  <c r="N1871" i="61"/>
  <c r="M1871" i="61"/>
  <c r="L1871" i="61"/>
  <c r="K1871" i="61"/>
  <c r="P1870" i="61"/>
  <c r="O1870" i="61"/>
  <c r="N1870" i="61"/>
  <c r="M1870" i="61"/>
  <c r="L1870" i="61"/>
  <c r="K1870" i="61"/>
  <c r="P1869" i="61"/>
  <c r="O1869" i="61"/>
  <c r="N1869" i="61"/>
  <c r="M1869" i="61"/>
  <c r="L1869" i="61"/>
  <c r="K1869" i="61"/>
  <c r="P1868" i="61"/>
  <c r="O1868" i="61"/>
  <c r="N1868" i="61"/>
  <c r="M1868" i="61"/>
  <c r="L1868" i="61"/>
  <c r="K1868" i="61"/>
  <c r="P1867" i="61"/>
  <c r="O1867" i="61"/>
  <c r="N1867" i="61"/>
  <c r="M1867" i="61"/>
  <c r="L1867" i="61"/>
  <c r="K1867" i="61"/>
  <c r="P1866" i="61"/>
  <c r="O1866" i="61"/>
  <c r="N1866" i="61"/>
  <c r="M1866" i="61"/>
  <c r="L1866" i="61"/>
  <c r="K1866" i="61"/>
  <c r="P1865" i="61"/>
  <c r="O1865" i="61"/>
  <c r="N1865" i="61"/>
  <c r="M1865" i="61"/>
  <c r="L1865" i="61"/>
  <c r="K1865" i="61"/>
  <c r="P1864" i="61"/>
  <c r="O1864" i="61"/>
  <c r="N1864" i="61"/>
  <c r="M1864" i="61"/>
  <c r="L1864" i="61"/>
  <c r="K1864" i="61"/>
  <c r="P1863" i="61"/>
  <c r="O1863" i="61"/>
  <c r="N1863" i="61"/>
  <c r="M1863" i="61"/>
  <c r="L1863" i="61"/>
  <c r="K1863" i="61"/>
  <c r="P1862" i="61"/>
  <c r="O1862" i="61"/>
  <c r="N1862" i="61"/>
  <c r="M1862" i="61"/>
  <c r="L1862" i="61"/>
  <c r="K1862" i="61"/>
  <c r="P1861" i="61"/>
  <c r="O1861" i="61"/>
  <c r="N1861" i="61"/>
  <c r="M1861" i="61"/>
  <c r="L1861" i="61"/>
  <c r="K1861" i="61"/>
  <c r="P1860" i="61"/>
  <c r="O1860" i="61"/>
  <c r="N1860" i="61"/>
  <c r="M1860" i="61"/>
  <c r="L1860" i="61"/>
  <c r="K1860" i="61"/>
  <c r="P1859" i="61"/>
  <c r="O1859" i="61"/>
  <c r="N1859" i="61"/>
  <c r="M1859" i="61"/>
  <c r="L1859" i="61"/>
  <c r="K1859" i="61"/>
  <c r="P1858" i="61"/>
  <c r="O1858" i="61"/>
  <c r="N1858" i="61"/>
  <c r="M1858" i="61"/>
  <c r="L1858" i="61"/>
  <c r="K1858" i="61"/>
  <c r="P1857" i="61"/>
  <c r="O1857" i="61"/>
  <c r="N1857" i="61"/>
  <c r="M1857" i="61"/>
  <c r="L1857" i="61"/>
  <c r="K1857" i="61"/>
  <c r="P1856" i="61"/>
  <c r="O1856" i="61"/>
  <c r="N1856" i="61"/>
  <c r="M1856" i="61"/>
  <c r="L1856" i="61"/>
  <c r="K1856" i="61"/>
  <c r="P1855" i="61"/>
  <c r="O1855" i="61"/>
  <c r="N1855" i="61"/>
  <c r="M1855" i="61"/>
  <c r="L1855" i="61"/>
  <c r="K1855" i="61"/>
  <c r="P1854" i="61"/>
  <c r="O1854" i="61"/>
  <c r="N1854" i="61"/>
  <c r="M1854" i="61"/>
  <c r="L1854" i="61"/>
  <c r="K1854" i="61"/>
  <c r="P1853" i="61"/>
  <c r="O1853" i="61"/>
  <c r="N1853" i="61"/>
  <c r="M1853" i="61"/>
  <c r="L1853" i="61"/>
  <c r="K1853" i="61"/>
  <c r="P1852" i="61"/>
  <c r="O1852" i="61"/>
  <c r="N1852" i="61"/>
  <c r="M1852" i="61"/>
  <c r="L1852" i="61"/>
  <c r="K1852" i="61"/>
  <c r="P1851" i="61"/>
  <c r="O1851" i="61"/>
  <c r="N1851" i="61"/>
  <c r="M1851" i="61"/>
  <c r="L1851" i="61"/>
  <c r="K1851" i="61"/>
  <c r="P1850" i="61"/>
  <c r="O1850" i="61"/>
  <c r="N1850" i="61"/>
  <c r="M1850" i="61"/>
  <c r="L1850" i="61"/>
  <c r="K1850" i="61"/>
  <c r="P1849" i="61"/>
  <c r="O1849" i="61"/>
  <c r="N1849" i="61"/>
  <c r="M1849" i="61"/>
  <c r="L1849" i="61"/>
  <c r="K1849" i="61"/>
  <c r="P1848" i="61"/>
  <c r="O1848" i="61"/>
  <c r="N1848" i="61"/>
  <c r="M1848" i="61"/>
  <c r="L1848" i="61"/>
  <c r="K1848" i="61"/>
  <c r="P1847" i="61"/>
  <c r="O1847" i="61"/>
  <c r="N1847" i="61"/>
  <c r="M1847" i="61"/>
  <c r="L1847" i="61"/>
  <c r="K1847" i="61"/>
  <c r="P1846" i="61"/>
  <c r="O1846" i="61"/>
  <c r="N1846" i="61"/>
  <c r="M1846" i="61"/>
  <c r="L1846" i="61"/>
  <c r="K1846" i="61"/>
  <c r="P1845" i="61"/>
  <c r="O1845" i="61"/>
  <c r="N1845" i="61"/>
  <c r="M1845" i="61"/>
  <c r="L1845" i="61"/>
  <c r="K1845" i="61"/>
  <c r="P1844" i="61"/>
  <c r="O1844" i="61"/>
  <c r="N1844" i="61"/>
  <c r="M1844" i="61"/>
  <c r="L1844" i="61"/>
  <c r="K1844" i="61"/>
  <c r="P1843" i="61"/>
  <c r="O1843" i="61"/>
  <c r="N1843" i="61"/>
  <c r="M1843" i="61"/>
  <c r="L1843" i="61"/>
  <c r="K1843" i="61"/>
  <c r="P1842" i="61"/>
  <c r="O1842" i="61"/>
  <c r="N1842" i="61"/>
  <c r="M1842" i="61"/>
  <c r="L1842" i="61"/>
  <c r="K1842" i="61"/>
  <c r="P1841" i="61"/>
  <c r="O1841" i="61"/>
  <c r="N1841" i="61"/>
  <c r="M1841" i="61"/>
  <c r="L1841" i="61"/>
  <c r="K1841" i="61"/>
  <c r="P1840" i="61"/>
  <c r="O1840" i="61"/>
  <c r="N1840" i="61"/>
  <c r="M1840" i="61"/>
  <c r="L1840" i="61"/>
  <c r="K1840" i="61"/>
  <c r="P1839" i="61"/>
  <c r="O1839" i="61"/>
  <c r="N1839" i="61"/>
  <c r="M1839" i="61"/>
  <c r="L1839" i="61"/>
  <c r="K1839" i="61"/>
  <c r="P1838" i="61"/>
  <c r="O1838" i="61"/>
  <c r="N1838" i="61"/>
  <c r="M1838" i="61"/>
  <c r="L1838" i="61"/>
  <c r="K1838" i="61"/>
  <c r="P1837" i="61"/>
  <c r="O1837" i="61"/>
  <c r="N1837" i="61"/>
  <c r="M1837" i="61"/>
  <c r="L1837" i="61"/>
  <c r="K1837" i="61"/>
  <c r="P1836" i="61"/>
  <c r="O1836" i="61"/>
  <c r="N1836" i="61"/>
  <c r="M1836" i="61"/>
  <c r="L1836" i="61"/>
  <c r="K1836" i="61"/>
  <c r="P1835" i="61"/>
  <c r="O1835" i="61"/>
  <c r="N1835" i="61"/>
  <c r="M1835" i="61"/>
  <c r="L1835" i="61"/>
  <c r="K1835" i="61"/>
  <c r="P1834" i="61"/>
  <c r="O1834" i="61"/>
  <c r="N1834" i="61"/>
  <c r="M1834" i="61"/>
  <c r="L1834" i="61"/>
  <c r="K1834" i="61"/>
  <c r="P1833" i="61"/>
  <c r="O1833" i="61"/>
  <c r="N1833" i="61"/>
  <c r="M1833" i="61"/>
  <c r="L1833" i="61"/>
  <c r="K1833" i="61"/>
  <c r="P1832" i="61"/>
  <c r="O1832" i="61"/>
  <c r="N1832" i="61"/>
  <c r="M1832" i="61"/>
  <c r="L1832" i="61"/>
  <c r="K1832" i="61"/>
  <c r="P1831" i="61"/>
  <c r="O1831" i="61"/>
  <c r="N1831" i="61"/>
  <c r="M1831" i="61"/>
  <c r="L1831" i="61"/>
  <c r="K1831" i="61"/>
  <c r="P1830" i="61"/>
  <c r="O1830" i="61"/>
  <c r="N1830" i="61"/>
  <c r="M1830" i="61"/>
  <c r="L1830" i="61"/>
  <c r="K1830" i="61"/>
  <c r="P1829" i="61"/>
  <c r="O1829" i="61"/>
  <c r="N1829" i="61"/>
  <c r="M1829" i="61"/>
  <c r="L1829" i="61"/>
  <c r="K1829" i="61"/>
  <c r="P1828" i="61"/>
  <c r="O1828" i="61"/>
  <c r="N1828" i="61"/>
  <c r="M1828" i="61"/>
  <c r="L1828" i="61"/>
  <c r="K1828" i="61"/>
  <c r="P1827" i="61"/>
  <c r="O1827" i="61"/>
  <c r="N1827" i="61"/>
  <c r="M1827" i="61"/>
  <c r="L1827" i="61"/>
  <c r="K1827" i="61"/>
  <c r="P1826" i="61"/>
  <c r="O1826" i="61"/>
  <c r="N1826" i="61"/>
  <c r="M1826" i="61"/>
  <c r="L1826" i="61"/>
  <c r="K1826" i="61"/>
  <c r="P1825" i="61"/>
  <c r="O1825" i="61"/>
  <c r="N1825" i="61"/>
  <c r="M1825" i="61"/>
  <c r="L1825" i="61"/>
  <c r="K1825" i="61"/>
  <c r="P1824" i="61"/>
  <c r="O1824" i="61"/>
  <c r="N1824" i="61"/>
  <c r="M1824" i="61"/>
  <c r="L1824" i="61"/>
  <c r="K1824" i="61"/>
  <c r="P1823" i="61"/>
  <c r="O1823" i="61"/>
  <c r="N1823" i="61"/>
  <c r="M1823" i="61"/>
  <c r="L1823" i="61"/>
  <c r="K1823" i="61"/>
  <c r="P1822" i="61"/>
  <c r="O1822" i="61"/>
  <c r="N1822" i="61"/>
  <c r="M1822" i="61"/>
  <c r="L1822" i="61"/>
  <c r="K1822" i="61"/>
  <c r="P1821" i="61"/>
  <c r="O1821" i="61"/>
  <c r="N1821" i="61"/>
  <c r="M1821" i="61"/>
  <c r="L1821" i="61"/>
  <c r="K1821" i="61"/>
  <c r="P1820" i="61"/>
  <c r="O1820" i="61"/>
  <c r="N1820" i="61"/>
  <c r="M1820" i="61"/>
  <c r="L1820" i="61"/>
  <c r="K1820" i="61"/>
  <c r="P1819" i="61"/>
  <c r="O1819" i="61"/>
  <c r="N1819" i="61"/>
  <c r="M1819" i="61"/>
  <c r="L1819" i="61"/>
  <c r="K1819" i="61"/>
  <c r="P1818" i="61"/>
  <c r="O1818" i="61"/>
  <c r="N1818" i="61"/>
  <c r="M1818" i="61"/>
  <c r="L1818" i="61"/>
  <c r="K1818" i="61"/>
  <c r="P1817" i="61"/>
  <c r="O1817" i="61"/>
  <c r="N1817" i="61"/>
  <c r="M1817" i="61"/>
  <c r="L1817" i="61"/>
  <c r="K1817" i="61"/>
  <c r="P1816" i="61"/>
  <c r="O1816" i="61"/>
  <c r="N1816" i="61"/>
  <c r="M1816" i="61"/>
  <c r="L1816" i="61"/>
  <c r="K1816" i="61"/>
  <c r="P1815" i="61"/>
  <c r="O1815" i="61"/>
  <c r="N1815" i="61"/>
  <c r="M1815" i="61"/>
  <c r="L1815" i="61"/>
  <c r="K1815" i="61"/>
  <c r="P1814" i="61"/>
  <c r="O1814" i="61"/>
  <c r="N1814" i="61"/>
  <c r="M1814" i="61"/>
  <c r="L1814" i="61"/>
  <c r="K1814" i="61"/>
  <c r="P1813" i="61"/>
  <c r="O1813" i="61"/>
  <c r="N1813" i="61"/>
  <c r="M1813" i="61"/>
  <c r="L1813" i="61"/>
  <c r="K1813" i="61"/>
  <c r="P1812" i="61"/>
  <c r="O1812" i="61"/>
  <c r="N1812" i="61"/>
  <c r="M1812" i="61"/>
  <c r="L1812" i="61"/>
  <c r="K1812" i="61"/>
  <c r="P1811" i="61"/>
  <c r="O1811" i="61"/>
  <c r="N1811" i="61"/>
  <c r="M1811" i="61"/>
  <c r="L1811" i="61"/>
  <c r="K1811" i="61"/>
  <c r="P1810" i="61"/>
  <c r="O1810" i="61"/>
  <c r="N1810" i="61"/>
  <c r="M1810" i="61"/>
  <c r="L1810" i="61"/>
  <c r="K1810" i="61"/>
  <c r="P1809" i="61"/>
  <c r="O1809" i="61"/>
  <c r="N1809" i="61"/>
  <c r="M1809" i="61"/>
  <c r="L1809" i="61"/>
  <c r="K1809" i="61"/>
  <c r="P1808" i="61"/>
  <c r="O1808" i="61"/>
  <c r="N1808" i="61"/>
  <c r="M1808" i="61"/>
  <c r="L1808" i="61"/>
  <c r="K1808" i="61"/>
  <c r="P1807" i="61"/>
  <c r="O1807" i="61"/>
  <c r="N1807" i="61"/>
  <c r="M1807" i="61"/>
  <c r="L1807" i="61"/>
  <c r="K1807" i="61"/>
  <c r="P1806" i="61"/>
  <c r="O1806" i="61"/>
  <c r="N1806" i="61"/>
  <c r="M1806" i="61"/>
  <c r="L1806" i="61"/>
  <c r="K1806" i="61"/>
  <c r="P1805" i="61"/>
  <c r="O1805" i="61"/>
  <c r="N1805" i="61"/>
  <c r="M1805" i="61"/>
  <c r="L1805" i="61"/>
  <c r="K1805" i="61"/>
  <c r="P1804" i="61"/>
  <c r="O1804" i="61"/>
  <c r="N1804" i="61"/>
  <c r="M1804" i="61"/>
  <c r="L1804" i="61"/>
  <c r="K1804" i="61"/>
  <c r="P1803" i="61"/>
  <c r="O1803" i="61"/>
  <c r="N1803" i="61"/>
  <c r="M1803" i="61"/>
  <c r="L1803" i="61"/>
  <c r="K1803" i="61"/>
  <c r="P1802" i="61"/>
  <c r="O1802" i="61"/>
  <c r="N1802" i="61"/>
  <c r="M1802" i="61"/>
  <c r="L1802" i="61"/>
  <c r="K1802" i="61"/>
  <c r="P1801" i="61"/>
  <c r="O1801" i="61"/>
  <c r="N1801" i="61"/>
  <c r="M1801" i="61"/>
  <c r="L1801" i="61"/>
  <c r="K1801" i="61"/>
  <c r="P1800" i="61"/>
  <c r="O1800" i="61"/>
  <c r="N1800" i="61"/>
  <c r="M1800" i="61"/>
  <c r="L1800" i="61"/>
  <c r="K1800" i="61"/>
  <c r="P1799" i="61"/>
  <c r="O1799" i="61"/>
  <c r="N1799" i="61"/>
  <c r="M1799" i="61"/>
  <c r="L1799" i="61"/>
  <c r="K1799" i="61"/>
  <c r="P1798" i="61"/>
  <c r="O1798" i="61"/>
  <c r="N1798" i="61"/>
  <c r="M1798" i="61"/>
  <c r="L1798" i="61"/>
  <c r="K1798" i="61"/>
  <c r="P1797" i="61"/>
  <c r="O1797" i="61"/>
  <c r="N1797" i="61"/>
  <c r="M1797" i="61"/>
  <c r="L1797" i="61"/>
  <c r="K1797" i="61"/>
  <c r="P1796" i="61"/>
  <c r="O1796" i="61"/>
  <c r="N1796" i="61"/>
  <c r="M1796" i="61"/>
  <c r="L1796" i="61"/>
  <c r="K1796" i="61"/>
  <c r="P1795" i="61"/>
  <c r="O1795" i="61"/>
  <c r="N1795" i="61"/>
  <c r="M1795" i="61"/>
  <c r="L1795" i="61"/>
  <c r="K1795" i="61"/>
  <c r="P1794" i="61"/>
  <c r="O1794" i="61"/>
  <c r="N1794" i="61"/>
  <c r="M1794" i="61"/>
  <c r="L1794" i="61"/>
  <c r="K1794" i="61"/>
  <c r="P1793" i="61"/>
  <c r="O1793" i="61"/>
  <c r="N1793" i="61"/>
  <c r="M1793" i="61"/>
  <c r="L1793" i="61"/>
  <c r="K1793" i="61"/>
  <c r="P1792" i="61"/>
  <c r="O1792" i="61"/>
  <c r="N1792" i="61"/>
  <c r="M1792" i="61"/>
  <c r="L1792" i="61"/>
  <c r="K1792" i="61"/>
  <c r="P1791" i="61"/>
  <c r="O1791" i="61"/>
  <c r="N1791" i="61"/>
  <c r="M1791" i="61"/>
  <c r="L1791" i="61"/>
  <c r="K1791" i="61"/>
  <c r="P1790" i="61"/>
  <c r="O1790" i="61"/>
  <c r="N1790" i="61"/>
  <c r="M1790" i="61"/>
  <c r="L1790" i="61"/>
  <c r="K1790" i="61"/>
  <c r="P1789" i="61"/>
  <c r="O1789" i="61"/>
  <c r="N1789" i="61"/>
  <c r="M1789" i="61"/>
  <c r="L1789" i="61"/>
  <c r="K1789" i="61"/>
  <c r="P1788" i="61"/>
  <c r="O1788" i="61"/>
  <c r="N1788" i="61"/>
  <c r="M1788" i="61"/>
  <c r="L1788" i="61"/>
  <c r="K1788" i="61"/>
  <c r="P1787" i="61"/>
  <c r="O1787" i="61"/>
  <c r="N1787" i="61"/>
  <c r="M1787" i="61"/>
  <c r="L1787" i="61"/>
  <c r="K1787" i="61"/>
  <c r="P1786" i="61"/>
  <c r="O1786" i="61"/>
  <c r="N1786" i="61"/>
  <c r="M1786" i="61"/>
  <c r="L1786" i="61"/>
  <c r="K1786" i="61"/>
  <c r="P1785" i="61"/>
  <c r="O1785" i="61"/>
  <c r="N1785" i="61"/>
  <c r="M1785" i="61"/>
  <c r="L1785" i="61"/>
  <c r="K1785" i="61"/>
  <c r="P1784" i="61"/>
  <c r="O1784" i="61"/>
  <c r="N1784" i="61"/>
  <c r="M1784" i="61"/>
  <c r="L1784" i="61"/>
  <c r="K1784" i="61"/>
  <c r="P1783" i="61"/>
  <c r="O1783" i="61"/>
  <c r="N1783" i="61"/>
  <c r="M1783" i="61"/>
  <c r="L1783" i="61"/>
  <c r="K1783" i="61"/>
  <c r="P1782" i="61"/>
  <c r="O1782" i="61"/>
  <c r="N1782" i="61"/>
  <c r="M1782" i="61"/>
  <c r="L1782" i="61"/>
  <c r="K1782" i="61"/>
  <c r="P1781" i="61"/>
  <c r="O1781" i="61"/>
  <c r="N1781" i="61"/>
  <c r="M1781" i="61"/>
  <c r="L1781" i="61"/>
  <c r="K1781" i="61"/>
  <c r="P1780" i="61"/>
  <c r="O1780" i="61"/>
  <c r="N1780" i="61"/>
  <c r="M1780" i="61"/>
  <c r="L1780" i="61"/>
  <c r="K1780" i="61"/>
  <c r="P1779" i="61"/>
  <c r="O1779" i="61"/>
  <c r="N1779" i="61"/>
  <c r="M1779" i="61"/>
  <c r="L1779" i="61"/>
  <c r="K1779" i="61"/>
  <c r="P1778" i="61"/>
  <c r="O1778" i="61"/>
  <c r="N1778" i="61"/>
  <c r="M1778" i="61"/>
  <c r="L1778" i="61"/>
  <c r="K1778" i="61"/>
  <c r="P1777" i="61"/>
  <c r="O1777" i="61"/>
  <c r="N1777" i="61"/>
  <c r="M1777" i="61"/>
  <c r="L1777" i="61"/>
  <c r="K1777" i="61"/>
  <c r="P1776" i="61"/>
  <c r="O1776" i="61"/>
  <c r="N1776" i="61"/>
  <c r="M1776" i="61"/>
  <c r="L1776" i="61"/>
  <c r="K1776" i="61"/>
  <c r="P1775" i="61"/>
  <c r="O1775" i="61"/>
  <c r="N1775" i="61"/>
  <c r="M1775" i="61"/>
  <c r="L1775" i="61"/>
  <c r="K1775" i="61"/>
  <c r="P1774" i="61"/>
  <c r="O1774" i="61"/>
  <c r="N1774" i="61"/>
  <c r="M1774" i="61"/>
  <c r="L1774" i="61"/>
  <c r="K1774" i="61"/>
  <c r="P1773" i="61"/>
  <c r="O1773" i="61"/>
  <c r="N1773" i="61"/>
  <c r="M1773" i="61"/>
  <c r="L1773" i="61"/>
  <c r="K1773" i="61"/>
  <c r="P1772" i="61"/>
  <c r="O1772" i="61"/>
  <c r="N1772" i="61"/>
  <c r="M1772" i="61"/>
  <c r="L1772" i="61"/>
  <c r="K1772" i="61"/>
  <c r="P1771" i="61"/>
  <c r="O1771" i="61"/>
  <c r="N1771" i="61"/>
  <c r="M1771" i="61"/>
  <c r="L1771" i="61"/>
  <c r="K1771" i="61"/>
  <c r="P1770" i="61"/>
  <c r="O1770" i="61"/>
  <c r="N1770" i="61"/>
  <c r="M1770" i="61"/>
  <c r="L1770" i="61"/>
  <c r="K1770" i="61"/>
  <c r="P1769" i="61"/>
  <c r="O1769" i="61"/>
  <c r="N1769" i="61"/>
  <c r="M1769" i="61"/>
  <c r="L1769" i="61"/>
  <c r="K1769" i="61"/>
  <c r="P1768" i="61"/>
  <c r="O1768" i="61"/>
  <c r="N1768" i="61"/>
  <c r="M1768" i="61"/>
  <c r="L1768" i="61"/>
  <c r="K1768" i="61"/>
  <c r="P1767" i="61"/>
  <c r="O1767" i="61"/>
  <c r="N1767" i="61"/>
  <c r="M1767" i="61"/>
  <c r="L1767" i="61"/>
  <c r="K1767" i="61"/>
  <c r="P1766" i="61"/>
  <c r="O1766" i="61"/>
  <c r="N1766" i="61"/>
  <c r="M1766" i="61"/>
  <c r="L1766" i="61"/>
  <c r="K1766" i="61"/>
  <c r="P1765" i="61"/>
  <c r="O1765" i="61"/>
  <c r="N1765" i="61"/>
  <c r="M1765" i="61"/>
  <c r="L1765" i="61"/>
  <c r="K1765" i="61"/>
  <c r="P1764" i="61"/>
  <c r="O1764" i="61"/>
  <c r="N1764" i="61"/>
  <c r="M1764" i="61"/>
  <c r="L1764" i="61"/>
  <c r="K1764" i="61"/>
  <c r="P1763" i="61"/>
  <c r="O1763" i="61"/>
  <c r="N1763" i="61"/>
  <c r="M1763" i="61"/>
  <c r="L1763" i="61"/>
  <c r="K1763" i="61"/>
  <c r="P1762" i="61"/>
  <c r="O1762" i="61"/>
  <c r="N1762" i="61"/>
  <c r="M1762" i="61"/>
  <c r="L1762" i="61"/>
  <c r="K1762" i="61"/>
  <c r="P1761" i="61"/>
  <c r="O1761" i="61"/>
  <c r="N1761" i="61"/>
  <c r="M1761" i="61"/>
  <c r="L1761" i="61"/>
  <c r="K1761" i="61"/>
  <c r="P1760" i="61"/>
  <c r="O1760" i="61"/>
  <c r="N1760" i="61"/>
  <c r="M1760" i="61"/>
  <c r="L1760" i="61"/>
  <c r="K1760" i="61"/>
  <c r="P1759" i="61"/>
  <c r="O1759" i="61"/>
  <c r="N1759" i="61"/>
  <c r="M1759" i="61"/>
  <c r="L1759" i="61"/>
  <c r="K1759" i="61"/>
  <c r="P1758" i="61"/>
  <c r="O1758" i="61"/>
  <c r="N1758" i="61"/>
  <c r="M1758" i="61"/>
  <c r="L1758" i="61"/>
  <c r="K1758" i="61"/>
  <c r="P1757" i="61"/>
  <c r="O1757" i="61"/>
  <c r="N1757" i="61"/>
  <c r="M1757" i="61"/>
  <c r="L1757" i="61"/>
  <c r="K1757" i="61"/>
  <c r="P1756" i="61"/>
  <c r="O1756" i="61"/>
  <c r="N1756" i="61"/>
  <c r="M1756" i="61"/>
  <c r="L1756" i="61"/>
  <c r="K1756" i="61"/>
  <c r="P1755" i="61"/>
  <c r="O1755" i="61"/>
  <c r="N1755" i="61"/>
  <c r="M1755" i="61"/>
  <c r="L1755" i="61"/>
  <c r="K1755" i="61"/>
  <c r="P1754" i="61"/>
  <c r="O1754" i="61"/>
  <c r="N1754" i="61"/>
  <c r="M1754" i="61"/>
  <c r="L1754" i="61"/>
  <c r="K1754" i="61"/>
  <c r="P1753" i="61"/>
  <c r="O1753" i="61"/>
  <c r="N1753" i="61"/>
  <c r="M1753" i="61"/>
  <c r="L1753" i="61"/>
  <c r="K1753" i="61"/>
  <c r="P1752" i="61"/>
  <c r="O1752" i="61"/>
  <c r="N1752" i="61"/>
  <c r="M1752" i="61"/>
  <c r="L1752" i="61"/>
  <c r="K1752" i="61"/>
  <c r="P1751" i="61"/>
  <c r="O1751" i="61"/>
  <c r="N1751" i="61"/>
  <c r="M1751" i="61"/>
  <c r="L1751" i="61"/>
  <c r="K1751" i="61"/>
  <c r="P1750" i="61"/>
  <c r="O1750" i="61"/>
  <c r="N1750" i="61"/>
  <c r="M1750" i="61"/>
  <c r="L1750" i="61"/>
  <c r="K1750" i="61"/>
  <c r="P1749" i="61"/>
  <c r="O1749" i="61"/>
  <c r="N1749" i="61"/>
  <c r="M1749" i="61"/>
  <c r="L1749" i="61"/>
  <c r="K1749" i="61"/>
  <c r="P1748" i="61"/>
  <c r="O1748" i="61"/>
  <c r="N1748" i="61"/>
  <c r="M1748" i="61"/>
  <c r="L1748" i="61"/>
  <c r="K1748" i="61"/>
  <c r="P1747" i="61"/>
  <c r="O1747" i="61"/>
  <c r="N1747" i="61"/>
  <c r="M1747" i="61"/>
  <c r="L1747" i="61"/>
  <c r="K1747" i="61"/>
  <c r="P1746" i="61"/>
  <c r="O1746" i="61"/>
  <c r="N1746" i="61"/>
  <c r="M1746" i="61"/>
  <c r="L1746" i="61"/>
  <c r="K1746" i="61"/>
  <c r="P1745" i="61"/>
  <c r="O1745" i="61"/>
  <c r="N1745" i="61"/>
  <c r="M1745" i="61"/>
  <c r="L1745" i="61"/>
  <c r="K1745" i="61"/>
  <c r="P1744" i="61"/>
  <c r="O1744" i="61"/>
  <c r="N1744" i="61"/>
  <c r="M1744" i="61"/>
  <c r="L1744" i="61"/>
  <c r="K1744" i="61"/>
  <c r="P1743" i="61"/>
  <c r="O1743" i="61"/>
  <c r="N1743" i="61"/>
  <c r="M1743" i="61"/>
  <c r="L1743" i="61"/>
  <c r="K1743" i="61"/>
  <c r="P1742" i="61"/>
  <c r="O1742" i="61"/>
  <c r="N1742" i="61"/>
  <c r="M1742" i="61"/>
  <c r="L1742" i="61"/>
  <c r="K1742" i="61"/>
  <c r="P1741" i="61"/>
  <c r="O1741" i="61"/>
  <c r="N1741" i="61"/>
  <c r="M1741" i="61"/>
  <c r="L1741" i="61"/>
  <c r="K1741" i="61"/>
  <c r="P1740" i="61"/>
  <c r="O1740" i="61"/>
  <c r="N1740" i="61"/>
  <c r="M1740" i="61"/>
  <c r="L1740" i="61"/>
  <c r="K1740" i="61"/>
  <c r="P1739" i="61"/>
  <c r="O1739" i="61"/>
  <c r="N1739" i="61"/>
  <c r="M1739" i="61"/>
  <c r="L1739" i="61"/>
  <c r="K1739" i="61"/>
  <c r="P1738" i="61"/>
  <c r="O1738" i="61"/>
  <c r="N1738" i="61"/>
  <c r="M1738" i="61"/>
  <c r="L1738" i="61"/>
  <c r="K1738" i="61"/>
  <c r="P1737" i="61"/>
  <c r="O1737" i="61"/>
  <c r="N1737" i="61"/>
  <c r="M1737" i="61"/>
  <c r="L1737" i="61"/>
  <c r="K1737" i="61"/>
  <c r="P1736" i="61"/>
  <c r="O1736" i="61"/>
  <c r="N1736" i="61"/>
  <c r="M1736" i="61"/>
  <c r="L1736" i="61"/>
  <c r="K1736" i="61"/>
  <c r="P1735" i="61"/>
  <c r="O1735" i="61"/>
  <c r="N1735" i="61"/>
  <c r="M1735" i="61"/>
  <c r="L1735" i="61"/>
  <c r="K1735" i="61"/>
  <c r="P1734" i="61"/>
  <c r="O1734" i="61"/>
  <c r="N1734" i="61"/>
  <c r="M1734" i="61"/>
  <c r="L1734" i="61"/>
  <c r="K1734" i="61"/>
  <c r="P1733" i="61"/>
  <c r="O1733" i="61"/>
  <c r="N1733" i="61"/>
  <c r="M1733" i="61"/>
  <c r="L1733" i="61"/>
  <c r="K1733" i="61"/>
  <c r="P1732" i="61"/>
  <c r="O1732" i="61"/>
  <c r="N1732" i="61"/>
  <c r="M1732" i="61"/>
  <c r="L1732" i="61"/>
  <c r="K1732" i="61"/>
  <c r="P1731" i="61"/>
  <c r="O1731" i="61"/>
  <c r="N1731" i="61"/>
  <c r="M1731" i="61"/>
  <c r="L1731" i="61"/>
  <c r="K1731" i="61"/>
  <c r="P1730" i="61"/>
  <c r="O1730" i="61"/>
  <c r="N1730" i="61"/>
  <c r="M1730" i="61"/>
  <c r="L1730" i="61"/>
  <c r="K1730" i="61"/>
  <c r="P1729" i="61"/>
  <c r="O1729" i="61"/>
  <c r="N1729" i="61"/>
  <c r="M1729" i="61"/>
  <c r="L1729" i="61"/>
  <c r="K1729" i="61"/>
  <c r="P1728" i="61"/>
  <c r="O1728" i="61"/>
  <c r="N1728" i="61"/>
  <c r="M1728" i="61"/>
  <c r="L1728" i="61"/>
  <c r="K1728" i="61"/>
  <c r="P1727" i="61"/>
  <c r="O1727" i="61"/>
  <c r="N1727" i="61"/>
  <c r="M1727" i="61"/>
  <c r="L1727" i="61"/>
  <c r="K1727" i="61"/>
  <c r="P1726" i="61"/>
  <c r="O1726" i="61"/>
  <c r="N1726" i="61"/>
  <c r="M1726" i="61"/>
  <c r="L1726" i="61"/>
  <c r="K1726" i="61"/>
  <c r="P1725" i="61"/>
  <c r="O1725" i="61"/>
  <c r="N1725" i="61"/>
  <c r="M1725" i="61"/>
  <c r="L1725" i="61"/>
  <c r="K1725" i="61"/>
  <c r="P1724" i="61"/>
  <c r="O1724" i="61"/>
  <c r="N1724" i="61"/>
  <c r="M1724" i="61"/>
  <c r="L1724" i="61"/>
  <c r="K1724" i="61"/>
  <c r="P1723" i="61"/>
  <c r="O1723" i="61"/>
  <c r="N1723" i="61"/>
  <c r="M1723" i="61"/>
  <c r="L1723" i="61"/>
  <c r="K1723" i="61"/>
  <c r="P1722" i="61"/>
  <c r="O1722" i="61"/>
  <c r="N1722" i="61"/>
  <c r="M1722" i="61"/>
  <c r="L1722" i="61"/>
  <c r="K1722" i="61"/>
  <c r="P1721" i="61"/>
  <c r="O1721" i="61"/>
  <c r="N1721" i="61"/>
  <c r="M1721" i="61"/>
  <c r="L1721" i="61"/>
  <c r="K1721" i="61"/>
  <c r="P1720" i="61"/>
  <c r="O1720" i="61"/>
  <c r="N1720" i="61"/>
  <c r="M1720" i="61"/>
  <c r="L1720" i="61"/>
  <c r="K1720" i="61"/>
  <c r="P1719" i="61"/>
  <c r="O1719" i="61"/>
  <c r="N1719" i="61"/>
  <c r="M1719" i="61"/>
  <c r="L1719" i="61"/>
  <c r="K1719" i="61"/>
  <c r="P1718" i="61"/>
  <c r="O1718" i="61"/>
  <c r="N1718" i="61"/>
  <c r="M1718" i="61"/>
  <c r="L1718" i="61"/>
  <c r="K1718" i="61"/>
  <c r="P1717" i="61"/>
  <c r="O1717" i="61"/>
  <c r="N1717" i="61"/>
  <c r="M1717" i="61"/>
  <c r="L1717" i="61"/>
  <c r="K1717" i="61"/>
  <c r="P1716" i="61"/>
  <c r="O1716" i="61"/>
  <c r="N1716" i="61"/>
  <c r="M1716" i="61"/>
  <c r="L1716" i="61"/>
  <c r="K1716" i="61"/>
  <c r="P1715" i="61"/>
  <c r="O1715" i="61"/>
  <c r="N1715" i="61"/>
  <c r="M1715" i="61"/>
  <c r="L1715" i="61"/>
  <c r="K1715" i="61"/>
  <c r="P1714" i="61"/>
  <c r="O1714" i="61"/>
  <c r="N1714" i="61"/>
  <c r="M1714" i="61"/>
  <c r="L1714" i="61"/>
  <c r="K1714" i="61"/>
  <c r="P1713" i="61"/>
  <c r="O1713" i="61"/>
  <c r="N1713" i="61"/>
  <c r="M1713" i="61"/>
  <c r="L1713" i="61"/>
  <c r="K1713" i="61"/>
  <c r="P1712" i="61"/>
  <c r="O1712" i="61"/>
  <c r="N1712" i="61"/>
  <c r="M1712" i="61"/>
  <c r="L1712" i="61"/>
  <c r="K1712" i="61"/>
  <c r="P1711" i="61"/>
  <c r="O1711" i="61"/>
  <c r="N1711" i="61"/>
  <c r="M1711" i="61"/>
  <c r="L1711" i="61"/>
  <c r="K1711" i="61"/>
  <c r="P1710" i="61"/>
  <c r="O1710" i="61"/>
  <c r="N1710" i="61"/>
  <c r="M1710" i="61"/>
  <c r="L1710" i="61"/>
  <c r="K1710" i="61"/>
  <c r="P1709" i="61"/>
  <c r="O1709" i="61"/>
  <c r="N1709" i="61"/>
  <c r="M1709" i="61"/>
  <c r="L1709" i="61"/>
  <c r="K1709" i="61"/>
  <c r="P1708" i="61"/>
  <c r="O1708" i="61"/>
  <c r="N1708" i="61"/>
  <c r="M1708" i="61"/>
  <c r="L1708" i="61"/>
  <c r="K1708" i="61"/>
  <c r="P1707" i="61"/>
  <c r="O1707" i="61"/>
  <c r="N1707" i="61"/>
  <c r="M1707" i="61"/>
  <c r="L1707" i="61"/>
  <c r="K1707" i="61"/>
  <c r="P1706" i="61"/>
  <c r="O1706" i="61"/>
  <c r="N1706" i="61"/>
  <c r="M1706" i="61"/>
  <c r="L1706" i="61"/>
  <c r="K1706" i="61"/>
  <c r="P1705" i="61"/>
  <c r="O1705" i="61"/>
  <c r="N1705" i="61"/>
  <c r="M1705" i="61"/>
  <c r="L1705" i="61"/>
  <c r="K1705" i="61"/>
  <c r="P1704" i="61"/>
  <c r="O1704" i="61"/>
  <c r="N1704" i="61"/>
  <c r="M1704" i="61"/>
  <c r="L1704" i="61"/>
  <c r="K1704" i="61"/>
  <c r="P1703" i="61"/>
  <c r="O1703" i="61"/>
  <c r="N1703" i="61"/>
  <c r="M1703" i="61"/>
  <c r="L1703" i="61"/>
  <c r="K1703" i="61"/>
  <c r="P1702" i="61"/>
  <c r="O1702" i="61"/>
  <c r="N1702" i="61"/>
  <c r="M1702" i="61"/>
  <c r="L1702" i="61"/>
  <c r="K1702" i="61"/>
  <c r="P1701" i="61"/>
  <c r="O1701" i="61"/>
  <c r="N1701" i="61"/>
  <c r="M1701" i="61"/>
  <c r="L1701" i="61"/>
  <c r="K1701" i="61"/>
  <c r="P1700" i="61"/>
  <c r="O1700" i="61"/>
  <c r="N1700" i="61"/>
  <c r="M1700" i="61"/>
  <c r="L1700" i="61"/>
  <c r="K1700" i="61"/>
  <c r="P1699" i="61"/>
  <c r="O1699" i="61"/>
  <c r="N1699" i="61"/>
  <c r="M1699" i="61"/>
  <c r="L1699" i="61"/>
  <c r="K1699" i="61"/>
  <c r="P1698" i="61"/>
  <c r="O1698" i="61"/>
  <c r="N1698" i="61"/>
  <c r="M1698" i="61"/>
  <c r="L1698" i="61"/>
  <c r="K1698" i="61"/>
  <c r="P1697" i="61"/>
  <c r="O1697" i="61"/>
  <c r="N1697" i="61"/>
  <c r="M1697" i="61"/>
  <c r="L1697" i="61"/>
  <c r="K1697" i="61"/>
  <c r="P1696" i="61"/>
  <c r="O1696" i="61"/>
  <c r="N1696" i="61"/>
  <c r="M1696" i="61"/>
  <c r="L1696" i="61"/>
  <c r="K1696" i="61"/>
  <c r="P1695" i="61"/>
  <c r="O1695" i="61"/>
  <c r="N1695" i="61"/>
  <c r="M1695" i="61"/>
  <c r="L1695" i="61"/>
  <c r="K1695" i="61"/>
  <c r="P1694" i="61"/>
  <c r="O1694" i="61"/>
  <c r="N1694" i="61"/>
  <c r="M1694" i="61"/>
  <c r="L1694" i="61"/>
  <c r="K1694" i="61"/>
  <c r="P1693" i="61"/>
  <c r="O1693" i="61"/>
  <c r="N1693" i="61"/>
  <c r="M1693" i="61"/>
  <c r="L1693" i="61"/>
  <c r="K1693" i="61"/>
  <c r="P1692" i="61"/>
  <c r="O1692" i="61"/>
  <c r="N1692" i="61"/>
  <c r="M1692" i="61"/>
  <c r="L1692" i="61"/>
  <c r="K1692" i="61"/>
  <c r="P1691" i="61"/>
  <c r="O1691" i="61"/>
  <c r="N1691" i="61"/>
  <c r="M1691" i="61"/>
  <c r="L1691" i="61"/>
  <c r="K1691" i="61"/>
  <c r="P1690" i="61"/>
  <c r="O1690" i="61"/>
  <c r="N1690" i="61"/>
  <c r="M1690" i="61"/>
  <c r="L1690" i="61"/>
  <c r="K1690" i="61"/>
  <c r="P1689" i="61"/>
  <c r="O1689" i="61"/>
  <c r="N1689" i="61"/>
  <c r="M1689" i="61"/>
  <c r="L1689" i="61"/>
  <c r="K1689" i="61"/>
  <c r="P1688" i="61"/>
  <c r="O1688" i="61"/>
  <c r="N1688" i="61"/>
  <c r="M1688" i="61"/>
  <c r="L1688" i="61"/>
  <c r="K1688" i="61"/>
  <c r="P1687" i="61"/>
  <c r="O1687" i="61"/>
  <c r="N1687" i="61"/>
  <c r="M1687" i="61"/>
  <c r="L1687" i="61"/>
  <c r="K1687" i="61"/>
  <c r="P1686" i="61"/>
  <c r="O1686" i="61"/>
  <c r="N1686" i="61"/>
  <c r="M1686" i="61"/>
  <c r="L1686" i="61"/>
  <c r="K1686" i="61"/>
  <c r="P1685" i="61"/>
  <c r="O1685" i="61"/>
  <c r="N1685" i="61"/>
  <c r="M1685" i="61"/>
  <c r="L1685" i="61"/>
  <c r="K1685" i="61"/>
  <c r="P1684" i="61"/>
  <c r="O1684" i="61"/>
  <c r="N1684" i="61"/>
  <c r="M1684" i="61"/>
  <c r="L1684" i="61"/>
  <c r="K1684" i="61"/>
  <c r="P1683" i="61"/>
  <c r="O1683" i="61"/>
  <c r="N1683" i="61"/>
  <c r="M1683" i="61"/>
  <c r="L1683" i="61"/>
  <c r="K1683" i="61"/>
  <c r="P1682" i="61"/>
  <c r="O1682" i="61"/>
  <c r="N1682" i="61"/>
  <c r="M1682" i="61"/>
  <c r="L1682" i="61"/>
  <c r="K1682" i="61"/>
  <c r="P1681" i="61"/>
  <c r="O1681" i="61"/>
  <c r="N1681" i="61"/>
  <c r="M1681" i="61"/>
  <c r="L1681" i="61"/>
  <c r="K1681" i="61"/>
  <c r="P1680" i="61"/>
  <c r="O1680" i="61"/>
  <c r="N1680" i="61"/>
  <c r="M1680" i="61"/>
  <c r="L1680" i="61"/>
  <c r="K1680" i="61"/>
  <c r="P1679" i="61"/>
  <c r="O1679" i="61"/>
  <c r="N1679" i="61"/>
  <c r="M1679" i="61"/>
  <c r="L1679" i="61"/>
  <c r="K1679" i="61"/>
  <c r="P1678" i="61"/>
  <c r="O1678" i="61"/>
  <c r="N1678" i="61"/>
  <c r="M1678" i="61"/>
  <c r="L1678" i="61"/>
  <c r="K1678" i="61"/>
  <c r="P1677" i="61"/>
  <c r="O1677" i="61"/>
  <c r="N1677" i="61"/>
  <c r="M1677" i="61"/>
  <c r="L1677" i="61"/>
  <c r="K1677" i="61"/>
  <c r="P1676" i="61"/>
  <c r="O1676" i="61"/>
  <c r="N1676" i="61"/>
  <c r="M1676" i="61"/>
  <c r="L1676" i="61"/>
  <c r="K1676" i="61"/>
  <c r="P1675" i="61"/>
  <c r="O1675" i="61"/>
  <c r="N1675" i="61"/>
  <c r="M1675" i="61"/>
  <c r="L1675" i="61"/>
  <c r="K1675" i="61"/>
  <c r="P1674" i="61"/>
  <c r="O1674" i="61"/>
  <c r="N1674" i="61"/>
  <c r="M1674" i="61"/>
  <c r="L1674" i="61"/>
  <c r="K1674" i="61"/>
  <c r="P1673" i="61"/>
  <c r="O1673" i="61"/>
  <c r="N1673" i="61"/>
  <c r="M1673" i="61"/>
  <c r="L1673" i="61"/>
  <c r="K1673" i="61"/>
  <c r="P1672" i="61"/>
  <c r="O1672" i="61"/>
  <c r="N1672" i="61"/>
  <c r="M1672" i="61"/>
  <c r="L1672" i="61"/>
  <c r="K1672" i="61"/>
  <c r="P1671" i="61"/>
  <c r="O1671" i="61"/>
  <c r="N1671" i="61"/>
  <c r="M1671" i="61"/>
  <c r="L1671" i="61"/>
  <c r="K1671" i="61"/>
  <c r="P1670" i="61"/>
  <c r="O1670" i="61"/>
  <c r="N1670" i="61"/>
  <c r="M1670" i="61"/>
  <c r="L1670" i="61"/>
  <c r="K1670" i="61"/>
  <c r="P1669" i="61"/>
  <c r="O1669" i="61"/>
  <c r="N1669" i="61"/>
  <c r="M1669" i="61"/>
  <c r="L1669" i="61"/>
  <c r="K1669" i="61"/>
  <c r="P1668" i="61"/>
  <c r="O1668" i="61"/>
  <c r="N1668" i="61"/>
  <c r="M1668" i="61"/>
  <c r="L1668" i="61"/>
  <c r="K1668" i="61"/>
  <c r="P1667" i="61"/>
  <c r="O1667" i="61"/>
  <c r="N1667" i="61"/>
  <c r="M1667" i="61"/>
  <c r="L1667" i="61"/>
  <c r="K1667" i="61"/>
  <c r="P1666" i="61"/>
  <c r="O1666" i="61"/>
  <c r="N1666" i="61"/>
  <c r="M1666" i="61"/>
  <c r="L1666" i="61"/>
  <c r="K1666" i="61"/>
  <c r="P1665" i="61"/>
  <c r="O1665" i="61"/>
  <c r="N1665" i="61"/>
  <c r="M1665" i="61"/>
  <c r="L1665" i="61"/>
  <c r="K1665" i="61"/>
  <c r="P1664" i="61"/>
  <c r="O1664" i="61"/>
  <c r="N1664" i="61"/>
  <c r="M1664" i="61"/>
  <c r="L1664" i="61"/>
  <c r="K1664" i="61"/>
  <c r="P1663" i="61"/>
  <c r="O1663" i="61"/>
  <c r="N1663" i="61"/>
  <c r="M1663" i="61"/>
  <c r="L1663" i="61"/>
  <c r="K1663" i="61"/>
  <c r="P1662" i="61"/>
  <c r="O1662" i="61"/>
  <c r="N1662" i="61"/>
  <c r="M1662" i="61"/>
  <c r="L1662" i="61"/>
  <c r="K1662" i="61"/>
  <c r="P1661" i="61"/>
  <c r="O1661" i="61"/>
  <c r="N1661" i="61"/>
  <c r="M1661" i="61"/>
  <c r="L1661" i="61"/>
  <c r="K1661" i="61"/>
  <c r="P1660" i="61"/>
  <c r="O1660" i="61"/>
  <c r="N1660" i="61"/>
  <c r="M1660" i="61"/>
  <c r="L1660" i="61"/>
  <c r="K1660" i="61"/>
  <c r="P1659" i="61"/>
  <c r="O1659" i="61"/>
  <c r="N1659" i="61"/>
  <c r="M1659" i="61"/>
  <c r="L1659" i="61"/>
  <c r="K1659" i="61"/>
  <c r="P1658" i="61"/>
  <c r="O1658" i="61"/>
  <c r="N1658" i="61"/>
  <c r="M1658" i="61"/>
  <c r="L1658" i="61"/>
  <c r="K1658" i="61"/>
  <c r="P1657" i="61"/>
  <c r="O1657" i="61"/>
  <c r="N1657" i="61"/>
  <c r="M1657" i="61"/>
  <c r="L1657" i="61"/>
  <c r="K1657" i="61"/>
  <c r="P1656" i="61"/>
  <c r="O1656" i="61"/>
  <c r="N1656" i="61"/>
  <c r="M1656" i="61"/>
  <c r="L1656" i="61"/>
  <c r="K1656" i="61"/>
  <c r="P1655" i="61"/>
  <c r="O1655" i="61"/>
  <c r="N1655" i="61"/>
  <c r="M1655" i="61"/>
  <c r="L1655" i="61"/>
  <c r="K1655" i="61"/>
  <c r="P1654" i="61"/>
  <c r="O1654" i="61"/>
  <c r="N1654" i="61"/>
  <c r="M1654" i="61"/>
  <c r="L1654" i="61"/>
  <c r="K1654" i="61"/>
  <c r="P1653" i="61"/>
  <c r="O1653" i="61"/>
  <c r="N1653" i="61"/>
  <c r="M1653" i="61"/>
  <c r="L1653" i="61"/>
  <c r="K1653" i="61"/>
  <c r="P1652" i="61"/>
  <c r="O1652" i="61"/>
  <c r="N1652" i="61"/>
  <c r="M1652" i="61"/>
  <c r="L1652" i="61"/>
  <c r="K1652" i="61"/>
  <c r="P1651" i="61"/>
  <c r="O1651" i="61"/>
  <c r="N1651" i="61"/>
  <c r="M1651" i="61"/>
  <c r="L1651" i="61"/>
  <c r="K1651" i="61"/>
  <c r="P1650" i="61"/>
  <c r="O1650" i="61"/>
  <c r="N1650" i="61"/>
  <c r="M1650" i="61"/>
  <c r="L1650" i="61"/>
  <c r="K1650" i="61"/>
  <c r="P1649" i="61"/>
  <c r="O1649" i="61"/>
  <c r="N1649" i="61"/>
  <c r="M1649" i="61"/>
  <c r="L1649" i="61"/>
  <c r="K1649" i="61"/>
  <c r="P1648" i="61"/>
  <c r="O1648" i="61"/>
  <c r="N1648" i="61"/>
  <c r="M1648" i="61"/>
  <c r="L1648" i="61"/>
  <c r="K1648" i="61"/>
  <c r="P1647" i="61"/>
  <c r="O1647" i="61"/>
  <c r="N1647" i="61"/>
  <c r="M1647" i="61"/>
  <c r="L1647" i="61"/>
  <c r="K1647" i="61"/>
  <c r="P1646" i="61"/>
  <c r="O1646" i="61"/>
  <c r="N1646" i="61"/>
  <c r="M1646" i="61"/>
  <c r="L1646" i="61"/>
  <c r="K1646" i="61"/>
  <c r="P1645" i="61"/>
  <c r="O1645" i="61"/>
  <c r="N1645" i="61"/>
  <c r="M1645" i="61"/>
  <c r="L1645" i="61"/>
  <c r="K1645" i="61"/>
  <c r="P1644" i="61"/>
  <c r="O1644" i="61"/>
  <c r="N1644" i="61"/>
  <c r="M1644" i="61"/>
  <c r="L1644" i="61"/>
  <c r="K1644" i="61"/>
  <c r="P1643" i="61"/>
  <c r="O1643" i="61"/>
  <c r="N1643" i="61"/>
  <c r="M1643" i="61"/>
  <c r="L1643" i="61"/>
  <c r="K1643" i="61"/>
  <c r="P1642" i="61"/>
  <c r="O1642" i="61"/>
  <c r="N1642" i="61"/>
  <c r="M1642" i="61"/>
  <c r="L1642" i="61"/>
  <c r="K1642" i="61"/>
  <c r="P1641" i="61"/>
  <c r="O1641" i="61"/>
  <c r="N1641" i="61"/>
  <c r="M1641" i="61"/>
  <c r="L1641" i="61"/>
  <c r="K1641" i="61"/>
  <c r="P1640" i="61"/>
  <c r="O1640" i="61"/>
  <c r="N1640" i="61"/>
  <c r="M1640" i="61"/>
  <c r="L1640" i="61"/>
  <c r="K1640" i="61"/>
  <c r="P1639" i="61"/>
  <c r="O1639" i="61"/>
  <c r="N1639" i="61"/>
  <c r="M1639" i="61"/>
  <c r="L1639" i="61"/>
  <c r="K1639" i="61"/>
  <c r="P1638" i="61"/>
  <c r="O1638" i="61"/>
  <c r="N1638" i="61"/>
  <c r="M1638" i="61"/>
  <c r="L1638" i="61"/>
  <c r="K1638" i="61"/>
  <c r="P1637" i="61"/>
  <c r="O1637" i="61"/>
  <c r="N1637" i="61"/>
  <c r="M1637" i="61"/>
  <c r="L1637" i="61"/>
  <c r="K1637" i="61"/>
  <c r="P1636" i="61"/>
  <c r="O1636" i="61"/>
  <c r="N1636" i="61"/>
  <c r="M1636" i="61"/>
  <c r="L1636" i="61"/>
  <c r="K1636" i="61"/>
  <c r="P1635" i="61"/>
  <c r="O1635" i="61"/>
  <c r="N1635" i="61"/>
  <c r="M1635" i="61"/>
  <c r="L1635" i="61"/>
  <c r="K1635" i="61"/>
  <c r="P1634" i="61"/>
  <c r="O1634" i="61"/>
  <c r="N1634" i="61"/>
  <c r="M1634" i="61"/>
  <c r="L1634" i="61"/>
  <c r="K1634" i="61"/>
  <c r="P1633" i="61"/>
  <c r="O1633" i="61"/>
  <c r="N1633" i="61"/>
  <c r="M1633" i="61"/>
  <c r="L1633" i="61"/>
  <c r="K1633" i="61"/>
  <c r="P1632" i="61"/>
  <c r="O1632" i="61"/>
  <c r="N1632" i="61"/>
  <c r="M1632" i="61"/>
  <c r="L1632" i="61"/>
  <c r="K1632" i="61"/>
  <c r="P1631" i="61"/>
  <c r="O1631" i="61"/>
  <c r="N1631" i="61"/>
  <c r="M1631" i="61"/>
  <c r="L1631" i="61"/>
  <c r="K1631" i="61"/>
  <c r="P1630" i="61"/>
  <c r="O1630" i="61"/>
  <c r="N1630" i="61"/>
  <c r="M1630" i="61"/>
  <c r="L1630" i="61"/>
  <c r="K1630" i="61"/>
  <c r="P1629" i="61"/>
  <c r="O1629" i="61"/>
  <c r="N1629" i="61"/>
  <c r="M1629" i="61"/>
  <c r="L1629" i="61"/>
  <c r="K1629" i="61"/>
  <c r="P1628" i="61"/>
  <c r="O1628" i="61"/>
  <c r="N1628" i="61"/>
  <c r="M1628" i="61"/>
  <c r="L1628" i="61"/>
  <c r="K1628" i="61"/>
  <c r="P1627" i="61"/>
  <c r="O1627" i="61"/>
  <c r="N1627" i="61"/>
  <c r="M1627" i="61"/>
  <c r="L1627" i="61"/>
  <c r="K1627" i="61"/>
  <c r="P1626" i="61"/>
  <c r="O1626" i="61"/>
  <c r="N1626" i="61"/>
  <c r="M1626" i="61"/>
  <c r="L1626" i="61"/>
  <c r="K1626" i="61"/>
  <c r="P1625" i="61"/>
  <c r="O1625" i="61"/>
  <c r="N1625" i="61"/>
  <c r="M1625" i="61"/>
  <c r="L1625" i="61"/>
  <c r="K1625" i="61"/>
  <c r="P1624" i="61"/>
  <c r="O1624" i="61"/>
  <c r="N1624" i="61"/>
  <c r="M1624" i="61"/>
  <c r="L1624" i="61"/>
  <c r="K1624" i="61"/>
  <c r="P1623" i="61"/>
  <c r="O1623" i="61"/>
  <c r="N1623" i="61"/>
  <c r="M1623" i="61"/>
  <c r="L1623" i="61"/>
  <c r="K1623" i="61"/>
  <c r="P1622" i="61"/>
  <c r="O1622" i="61"/>
  <c r="N1622" i="61"/>
  <c r="M1622" i="61"/>
  <c r="L1622" i="61"/>
  <c r="K1622" i="61"/>
  <c r="P1621" i="61"/>
  <c r="O1621" i="61"/>
  <c r="N1621" i="61"/>
  <c r="M1621" i="61"/>
  <c r="L1621" i="61"/>
  <c r="K1621" i="61"/>
  <c r="P1620" i="61"/>
  <c r="O1620" i="61"/>
  <c r="N1620" i="61"/>
  <c r="M1620" i="61"/>
  <c r="L1620" i="61"/>
  <c r="K1620" i="61"/>
  <c r="P1619" i="61"/>
  <c r="O1619" i="61"/>
  <c r="N1619" i="61"/>
  <c r="M1619" i="61"/>
  <c r="L1619" i="61"/>
  <c r="K1619" i="61"/>
  <c r="P1618" i="61"/>
  <c r="O1618" i="61"/>
  <c r="N1618" i="61"/>
  <c r="M1618" i="61"/>
  <c r="L1618" i="61"/>
  <c r="K1618" i="61"/>
  <c r="P1617" i="61"/>
  <c r="O1617" i="61"/>
  <c r="N1617" i="61"/>
  <c r="M1617" i="61"/>
  <c r="L1617" i="61"/>
  <c r="K1617" i="61"/>
  <c r="P1616" i="61"/>
  <c r="O1616" i="61"/>
  <c r="N1616" i="61"/>
  <c r="M1616" i="61"/>
  <c r="L1616" i="61"/>
  <c r="K1616" i="61"/>
  <c r="P1615" i="61"/>
  <c r="O1615" i="61"/>
  <c r="N1615" i="61"/>
  <c r="M1615" i="61"/>
  <c r="L1615" i="61"/>
  <c r="K1615" i="61"/>
  <c r="P1614" i="61"/>
  <c r="O1614" i="61"/>
  <c r="N1614" i="61"/>
  <c r="M1614" i="61"/>
  <c r="L1614" i="61"/>
  <c r="K1614" i="61"/>
  <c r="P1613" i="61"/>
  <c r="O1613" i="61"/>
  <c r="N1613" i="61"/>
  <c r="M1613" i="61"/>
  <c r="L1613" i="61"/>
  <c r="K1613" i="61"/>
  <c r="P1612" i="61"/>
  <c r="O1612" i="61"/>
  <c r="N1612" i="61"/>
  <c r="M1612" i="61"/>
  <c r="L1612" i="61"/>
  <c r="K1612" i="61"/>
  <c r="P1611" i="61"/>
  <c r="O1611" i="61"/>
  <c r="N1611" i="61"/>
  <c r="M1611" i="61"/>
  <c r="L1611" i="61"/>
  <c r="K1611" i="61"/>
  <c r="P1610" i="61"/>
  <c r="O1610" i="61"/>
  <c r="N1610" i="61"/>
  <c r="M1610" i="61"/>
  <c r="L1610" i="61"/>
  <c r="K1610" i="61"/>
  <c r="P1609" i="61"/>
  <c r="O1609" i="61"/>
  <c r="N1609" i="61"/>
  <c r="M1609" i="61"/>
  <c r="L1609" i="61"/>
  <c r="K1609" i="61"/>
  <c r="P1608" i="61"/>
  <c r="O1608" i="61"/>
  <c r="N1608" i="61"/>
  <c r="M1608" i="61"/>
  <c r="L1608" i="61"/>
  <c r="K1608" i="61"/>
  <c r="P1607" i="61"/>
  <c r="O1607" i="61"/>
  <c r="N1607" i="61"/>
  <c r="M1607" i="61"/>
  <c r="L1607" i="61"/>
  <c r="K1607" i="61"/>
  <c r="P1606" i="61"/>
  <c r="O1606" i="61"/>
  <c r="N1606" i="61"/>
  <c r="M1606" i="61"/>
  <c r="L1606" i="61"/>
  <c r="K1606" i="61"/>
  <c r="P1605" i="61"/>
  <c r="O1605" i="61"/>
  <c r="N1605" i="61"/>
  <c r="M1605" i="61"/>
  <c r="L1605" i="61"/>
  <c r="K1605" i="61"/>
  <c r="P1604" i="61"/>
  <c r="O1604" i="61"/>
  <c r="N1604" i="61"/>
  <c r="M1604" i="61"/>
  <c r="L1604" i="61"/>
  <c r="K1604" i="61"/>
  <c r="P1603" i="61"/>
  <c r="O1603" i="61"/>
  <c r="N1603" i="61"/>
  <c r="M1603" i="61"/>
  <c r="L1603" i="61"/>
  <c r="K1603" i="61"/>
  <c r="P1602" i="61"/>
  <c r="O1602" i="61"/>
  <c r="N1602" i="61"/>
  <c r="M1602" i="61"/>
  <c r="L1602" i="61"/>
  <c r="K1602" i="61"/>
  <c r="P1601" i="61"/>
  <c r="O1601" i="61"/>
  <c r="N1601" i="61"/>
  <c r="M1601" i="61"/>
  <c r="L1601" i="61"/>
  <c r="K1601" i="61"/>
  <c r="P1600" i="61"/>
  <c r="O1600" i="61"/>
  <c r="N1600" i="61"/>
  <c r="M1600" i="61"/>
  <c r="L1600" i="61"/>
  <c r="K1600" i="61"/>
  <c r="P1599" i="61"/>
  <c r="O1599" i="61"/>
  <c r="N1599" i="61"/>
  <c r="M1599" i="61"/>
  <c r="L1599" i="61"/>
  <c r="K1599" i="61"/>
  <c r="P1598" i="61"/>
  <c r="O1598" i="61"/>
  <c r="N1598" i="61"/>
  <c r="M1598" i="61"/>
  <c r="L1598" i="61"/>
  <c r="K1598" i="61"/>
  <c r="P1597" i="61"/>
  <c r="O1597" i="61"/>
  <c r="N1597" i="61"/>
  <c r="M1597" i="61"/>
  <c r="L1597" i="61"/>
  <c r="K1597" i="61"/>
  <c r="P1596" i="61"/>
  <c r="O1596" i="61"/>
  <c r="N1596" i="61"/>
  <c r="M1596" i="61"/>
  <c r="L1596" i="61"/>
  <c r="K1596" i="61"/>
  <c r="P1595" i="61"/>
  <c r="O1595" i="61"/>
  <c r="N1595" i="61"/>
  <c r="M1595" i="61"/>
  <c r="L1595" i="61"/>
  <c r="K1595" i="61"/>
  <c r="P1594" i="61"/>
  <c r="O1594" i="61"/>
  <c r="N1594" i="61"/>
  <c r="M1594" i="61"/>
  <c r="L1594" i="61"/>
  <c r="K1594" i="61"/>
  <c r="P1593" i="61"/>
  <c r="O1593" i="61"/>
  <c r="N1593" i="61"/>
  <c r="M1593" i="61"/>
  <c r="L1593" i="61"/>
  <c r="K1593" i="61"/>
  <c r="P1592" i="61"/>
  <c r="O1592" i="61"/>
  <c r="N1592" i="61"/>
  <c r="M1592" i="61"/>
  <c r="L1592" i="61"/>
  <c r="K1592" i="61"/>
  <c r="P1591" i="61"/>
  <c r="O1591" i="61"/>
  <c r="N1591" i="61"/>
  <c r="M1591" i="61"/>
  <c r="L1591" i="61"/>
  <c r="K1591" i="61"/>
  <c r="P1590" i="61"/>
  <c r="O1590" i="61"/>
  <c r="N1590" i="61"/>
  <c r="M1590" i="61"/>
  <c r="L1590" i="61"/>
  <c r="K1590" i="61"/>
  <c r="P1589" i="61"/>
  <c r="O1589" i="61"/>
  <c r="N1589" i="61"/>
  <c r="M1589" i="61"/>
  <c r="L1589" i="61"/>
  <c r="K1589" i="61"/>
  <c r="P1588" i="61"/>
  <c r="O1588" i="61"/>
  <c r="N1588" i="61"/>
  <c r="M1588" i="61"/>
  <c r="L1588" i="61"/>
  <c r="K1588" i="61"/>
  <c r="P1587" i="61"/>
  <c r="O1587" i="61"/>
  <c r="N1587" i="61"/>
  <c r="M1587" i="61"/>
  <c r="L1587" i="61"/>
  <c r="K1587" i="61"/>
  <c r="P1586" i="61"/>
  <c r="O1586" i="61"/>
  <c r="N1586" i="61"/>
  <c r="M1586" i="61"/>
  <c r="L1586" i="61"/>
  <c r="K1586" i="61"/>
  <c r="P1585" i="61"/>
  <c r="O1585" i="61"/>
  <c r="N1585" i="61"/>
  <c r="M1585" i="61"/>
  <c r="L1585" i="61"/>
  <c r="K1585" i="61"/>
  <c r="P1584" i="61"/>
  <c r="O1584" i="61"/>
  <c r="N1584" i="61"/>
  <c r="M1584" i="61"/>
  <c r="L1584" i="61"/>
  <c r="K1584" i="61"/>
  <c r="P1583" i="61"/>
  <c r="O1583" i="61"/>
  <c r="N1583" i="61"/>
  <c r="M1583" i="61"/>
  <c r="L1583" i="61"/>
  <c r="K1583" i="61"/>
  <c r="P1582" i="61"/>
  <c r="O1582" i="61"/>
  <c r="N1582" i="61"/>
  <c r="M1582" i="61"/>
  <c r="L1582" i="61"/>
  <c r="K1582" i="61"/>
  <c r="P1581" i="61"/>
  <c r="O1581" i="61"/>
  <c r="N1581" i="61"/>
  <c r="M1581" i="61"/>
  <c r="L1581" i="61"/>
  <c r="K1581" i="61"/>
  <c r="P1580" i="61"/>
  <c r="O1580" i="61"/>
  <c r="N1580" i="61"/>
  <c r="M1580" i="61"/>
  <c r="L1580" i="61"/>
  <c r="K1580" i="61"/>
  <c r="P1579" i="61"/>
  <c r="O1579" i="61"/>
  <c r="N1579" i="61"/>
  <c r="M1579" i="61"/>
  <c r="L1579" i="61"/>
  <c r="K1579" i="61"/>
  <c r="P1578" i="61"/>
  <c r="O1578" i="61"/>
  <c r="N1578" i="61"/>
  <c r="M1578" i="61"/>
  <c r="L1578" i="61"/>
  <c r="K1578" i="61"/>
  <c r="P1577" i="61"/>
  <c r="O1577" i="61"/>
  <c r="N1577" i="61"/>
  <c r="M1577" i="61"/>
  <c r="L1577" i="61"/>
  <c r="K1577" i="61"/>
  <c r="P1576" i="61"/>
  <c r="O1576" i="61"/>
  <c r="N1576" i="61"/>
  <c r="M1576" i="61"/>
  <c r="L1576" i="61"/>
  <c r="K1576" i="61"/>
  <c r="P1575" i="61"/>
  <c r="O1575" i="61"/>
  <c r="N1575" i="61"/>
  <c r="M1575" i="61"/>
  <c r="L1575" i="61"/>
  <c r="K1575" i="61"/>
  <c r="P1574" i="61"/>
  <c r="O1574" i="61"/>
  <c r="N1574" i="61"/>
  <c r="M1574" i="61"/>
  <c r="L1574" i="61"/>
  <c r="K1574" i="61"/>
  <c r="P1573" i="61"/>
  <c r="O1573" i="61"/>
  <c r="N1573" i="61"/>
  <c r="M1573" i="61"/>
  <c r="L1573" i="61"/>
  <c r="K1573" i="61"/>
  <c r="P1572" i="61"/>
  <c r="O1572" i="61"/>
  <c r="N1572" i="61"/>
  <c r="M1572" i="61"/>
  <c r="L1572" i="61"/>
  <c r="K1572" i="61"/>
  <c r="P1571" i="61"/>
  <c r="O1571" i="61"/>
  <c r="N1571" i="61"/>
  <c r="M1571" i="61"/>
  <c r="L1571" i="61"/>
  <c r="K1571" i="61"/>
  <c r="P1570" i="61"/>
  <c r="O1570" i="61"/>
  <c r="N1570" i="61"/>
  <c r="M1570" i="61"/>
  <c r="L1570" i="61"/>
  <c r="K1570" i="61"/>
  <c r="P1569" i="61"/>
  <c r="O1569" i="61"/>
  <c r="N1569" i="61"/>
  <c r="M1569" i="61"/>
  <c r="L1569" i="61"/>
  <c r="K1569" i="61"/>
  <c r="P1568" i="61"/>
  <c r="O1568" i="61"/>
  <c r="N1568" i="61"/>
  <c r="M1568" i="61"/>
  <c r="L1568" i="61"/>
  <c r="K1568" i="61"/>
  <c r="P1567" i="61"/>
  <c r="O1567" i="61"/>
  <c r="N1567" i="61"/>
  <c r="M1567" i="61"/>
  <c r="L1567" i="61"/>
  <c r="K1567" i="61"/>
  <c r="P1566" i="61"/>
  <c r="O1566" i="61"/>
  <c r="N1566" i="61"/>
  <c r="M1566" i="61"/>
  <c r="L1566" i="61"/>
  <c r="K1566" i="61"/>
  <c r="P1565" i="61"/>
  <c r="O1565" i="61"/>
  <c r="N1565" i="61"/>
  <c r="M1565" i="61"/>
  <c r="L1565" i="61"/>
  <c r="K1565" i="61"/>
  <c r="P1564" i="61"/>
  <c r="O1564" i="61"/>
  <c r="N1564" i="61"/>
  <c r="M1564" i="61"/>
  <c r="L1564" i="61"/>
  <c r="K1564" i="61"/>
  <c r="P1563" i="61"/>
  <c r="O1563" i="61"/>
  <c r="N1563" i="61"/>
  <c r="M1563" i="61"/>
  <c r="L1563" i="61"/>
  <c r="K1563" i="61"/>
  <c r="P1562" i="61"/>
  <c r="O1562" i="61"/>
  <c r="N1562" i="61"/>
  <c r="M1562" i="61"/>
  <c r="L1562" i="61"/>
  <c r="K1562" i="61"/>
  <c r="P1561" i="61"/>
  <c r="O1561" i="61"/>
  <c r="N1561" i="61"/>
  <c r="M1561" i="61"/>
  <c r="L1561" i="61"/>
  <c r="K1561" i="61"/>
  <c r="P1560" i="61"/>
  <c r="O1560" i="61"/>
  <c r="N1560" i="61"/>
  <c r="M1560" i="61"/>
  <c r="L1560" i="61"/>
  <c r="K1560" i="61"/>
  <c r="P1559" i="61"/>
  <c r="O1559" i="61"/>
  <c r="N1559" i="61"/>
  <c r="M1559" i="61"/>
  <c r="L1559" i="61"/>
  <c r="K1559" i="61"/>
  <c r="P1558" i="61"/>
  <c r="O1558" i="61"/>
  <c r="N1558" i="61"/>
  <c r="M1558" i="61"/>
  <c r="L1558" i="61"/>
  <c r="K1558" i="61"/>
  <c r="P1557" i="61"/>
  <c r="O1557" i="61"/>
  <c r="N1557" i="61"/>
  <c r="M1557" i="61"/>
  <c r="L1557" i="61"/>
  <c r="K1557" i="61"/>
  <c r="P1556" i="61"/>
  <c r="O1556" i="61"/>
  <c r="N1556" i="61"/>
  <c r="M1556" i="61"/>
  <c r="L1556" i="61"/>
  <c r="K1556" i="61"/>
  <c r="P1555" i="61"/>
  <c r="O1555" i="61"/>
  <c r="N1555" i="61"/>
  <c r="M1555" i="61"/>
  <c r="L1555" i="61"/>
  <c r="K1555" i="61"/>
  <c r="P1554" i="61"/>
  <c r="O1554" i="61"/>
  <c r="N1554" i="61"/>
  <c r="M1554" i="61"/>
  <c r="L1554" i="61"/>
  <c r="K1554" i="61"/>
  <c r="P1553" i="61"/>
  <c r="O1553" i="61"/>
  <c r="N1553" i="61"/>
  <c r="M1553" i="61"/>
  <c r="L1553" i="61"/>
  <c r="K1553" i="61"/>
  <c r="P1552" i="61"/>
  <c r="O1552" i="61"/>
  <c r="N1552" i="61"/>
  <c r="M1552" i="61"/>
  <c r="L1552" i="61"/>
  <c r="K1552" i="61"/>
  <c r="P1551" i="61"/>
  <c r="O1551" i="61"/>
  <c r="N1551" i="61"/>
  <c r="M1551" i="61"/>
  <c r="L1551" i="61"/>
  <c r="K1551" i="61"/>
  <c r="P1550" i="61"/>
  <c r="O1550" i="61"/>
  <c r="N1550" i="61"/>
  <c r="M1550" i="61"/>
  <c r="L1550" i="61"/>
  <c r="K1550" i="61"/>
  <c r="P1549" i="61"/>
  <c r="O1549" i="61"/>
  <c r="N1549" i="61"/>
  <c r="M1549" i="61"/>
  <c r="L1549" i="61"/>
  <c r="K1549" i="61"/>
  <c r="P1548" i="61"/>
  <c r="O1548" i="61"/>
  <c r="N1548" i="61"/>
  <c r="M1548" i="61"/>
  <c r="L1548" i="61"/>
  <c r="K1548" i="61"/>
  <c r="P1547" i="61"/>
  <c r="O1547" i="61"/>
  <c r="N1547" i="61"/>
  <c r="M1547" i="61"/>
  <c r="L1547" i="61"/>
  <c r="K1547" i="61"/>
  <c r="P1546" i="61"/>
  <c r="O1546" i="61"/>
  <c r="N1546" i="61"/>
  <c r="M1546" i="61"/>
  <c r="L1546" i="61"/>
  <c r="K1546" i="61"/>
  <c r="P1545" i="61"/>
  <c r="O1545" i="61"/>
  <c r="N1545" i="61"/>
  <c r="M1545" i="61"/>
  <c r="L1545" i="61"/>
  <c r="K1545" i="61"/>
  <c r="P1544" i="61"/>
  <c r="O1544" i="61"/>
  <c r="N1544" i="61"/>
  <c r="M1544" i="61"/>
  <c r="L1544" i="61"/>
  <c r="K1544" i="61"/>
  <c r="P1543" i="61"/>
  <c r="O1543" i="61"/>
  <c r="N1543" i="61"/>
  <c r="M1543" i="61"/>
  <c r="L1543" i="61"/>
  <c r="K1543" i="61"/>
  <c r="P1542" i="61"/>
  <c r="O1542" i="61"/>
  <c r="N1542" i="61"/>
  <c r="M1542" i="61"/>
  <c r="L1542" i="61"/>
  <c r="K1542" i="61"/>
  <c r="P1541" i="61"/>
  <c r="O1541" i="61"/>
  <c r="N1541" i="61"/>
  <c r="M1541" i="61"/>
  <c r="L1541" i="61"/>
  <c r="K1541" i="61"/>
  <c r="P1540" i="61"/>
  <c r="O1540" i="61"/>
  <c r="N1540" i="61"/>
  <c r="M1540" i="61"/>
  <c r="L1540" i="61"/>
  <c r="K1540" i="61"/>
  <c r="P1539" i="61"/>
  <c r="O1539" i="61"/>
  <c r="N1539" i="61"/>
  <c r="M1539" i="61"/>
  <c r="L1539" i="61"/>
  <c r="K1539" i="61"/>
  <c r="P1538" i="61"/>
  <c r="O1538" i="61"/>
  <c r="N1538" i="61"/>
  <c r="M1538" i="61"/>
  <c r="L1538" i="61"/>
  <c r="K1538" i="61"/>
  <c r="P1537" i="61"/>
  <c r="O1537" i="61"/>
  <c r="N1537" i="61"/>
  <c r="M1537" i="61"/>
  <c r="L1537" i="61"/>
  <c r="K1537" i="61"/>
  <c r="P1536" i="61"/>
  <c r="O1536" i="61"/>
  <c r="N1536" i="61"/>
  <c r="M1536" i="61"/>
  <c r="L1536" i="61"/>
  <c r="K1536" i="61"/>
  <c r="P1535" i="61"/>
  <c r="O1535" i="61"/>
  <c r="N1535" i="61"/>
  <c r="M1535" i="61"/>
  <c r="L1535" i="61"/>
  <c r="K1535" i="61"/>
  <c r="P1534" i="61"/>
  <c r="O1534" i="61"/>
  <c r="N1534" i="61"/>
  <c r="M1534" i="61"/>
  <c r="L1534" i="61"/>
  <c r="K1534" i="61"/>
  <c r="P1533" i="61"/>
  <c r="O1533" i="61"/>
  <c r="N1533" i="61"/>
  <c r="M1533" i="61"/>
  <c r="L1533" i="61"/>
  <c r="K1533" i="61"/>
  <c r="P1532" i="61"/>
  <c r="O1532" i="61"/>
  <c r="N1532" i="61"/>
  <c r="M1532" i="61"/>
  <c r="L1532" i="61"/>
  <c r="K1532" i="61"/>
  <c r="P1531" i="61"/>
  <c r="O1531" i="61"/>
  <c r="N1531" i="61"/>
  <c r="M1531" i="61"/>
  <c r="L1531" i="61"/>
  <c r="K1531" i="61"/>
  <c r="P1530" i="61"/>
  <c r="O1530" i="61"/>
  <c r="N1530" i="61"/>
  <c r="M1530" i="61"/>
  <c r="L1530" i="61"/>
  <c r="K1530" i="61"/>
  <c r="P1529" i="61"/>
  <c r="O1529" i="61"/>
  <c r="N1529" i="61"/>
  <c r="M1529" i="61"/>
  <c r="L1529" i="61"/>
  <c r="K1529" i="61"/>
  <c r="P1528" i="61"/>
  <c r="O1528" i="61"/>
  <c r="N1528" i="61"/>
  <c r="M1528" i="61"/>
  <c r="L1528" i="61"/>
  <c r="K1528" i="61"/>
  <c r="P1527" i="61"/>
  <c r="O1527" i="61"/>
  <c r="N1527" i="61"/>
  <c r="M1527" i="61"/>
  <c r="L1527" i="61"/>
  <c r="K1527" i="61"/>
  <c r="P1526" i="61"/>
  <c r="O1526" i="61"/>
  <c r="N1526" i="61"/>
  <c r="M1526" i="61"/>
  <c r="L1526" i="61"/>
  <c r="K1526" i="61"/>
  <c r="P1525" i="61"/>
  <c r="O1525" i="61"/>
  <c r="N1525" i="61"/>
  <c r="M1525" i="61"/>
  <c r="L1525" i="61"/>
  <c r="K1525" i="61"/>
  <c r="P1524" i="61"/>
  <c r="O1524" i="61"/>
  <c r="N1524" i="61"/>
  <c r="M1524" i="61"/>
  <c r="L1524" i="61"/>
  <c r="K1524" i="61"/>
  <c r="P1523" i="61"/>
  <c r="O1523" i="61"/>
  <c r="N1523" i="61"/>
  <c r="M1523" i="61"/>
  <c r="L1523" i="61"/>
  <c r="K1523" i="61"/>
  <c r="P1522" i="61"/>
  <c r="O1522" i="61"/>
  <c r="N1522" i="61"/>
  <c r="M1522" i="61"/>
  <c r="L1522" i="61"/>
  <c r="K1522" i="61"/>
  <c r="P1521" i="61"/>
  <c r="O1521" i="61"/>
  <c r="N1521" i="61"/>
  <c r="M1521" i="61"/>
  <c r="L1521" i="61"/>
  <c r="K1521" i="61"/>
  <c r="P1520" i="61"/>
  <c r="O1520" i="61"/>
  <c r="N1520" i="61"/>
  <c r="M1520" i="61"/>
  <c r="L1520" i="61"/>
  <c r="K1520" i="61"/>
  <c r="P1519" i="61"/>
  <c r="O1519" i="61"/>
  <c r="N1519" i="61"/>
  <c r="M1519" i="61"/>
  <c r="L1519" i="61"/>
  <c r="K1519" i="61"/>
  <c r="P1518" i="61"/>
  <c r="O1518" i="61"/>
  <c r="N1518" i="61"/>
  <c r="M1518" i="61"/>
  <c r="L1518" i="61"/>
  <c r="K1518" i="61"/>
  <c r="P1517" i="61"/>
  <c r="O1517" i="61"/>
  <c r="N1517" i="61"/>
  <c r="M1517" i="61"/>
  <c r="L1517" i="61"/>
  <c r="K1517" i="61"/>
  <c r="P1516" i="61"/>
  <c r="O1516" i="61"/>
  <c r="N1516" i="61"/>
  <c r="M1516" i="61"/>
  <c r="L1516" i="61"/>
  <c r="K1516" i="61"/>
  <c r="P1515" i="61"/>
  <c r="O1515" i="61"/>
  <c r="N1515" i="61"/>
  <c r="M1515" i="61"/>
  <c r="L1515" i="61"/>
  <c r="K1515" i="61"/>
  <c r="P1514" i="61"/>
  <c r="O1514" i="61"/>
  <c r="N1514" i="61"/>
  <c r="M1514" i="61"/>
  <c r="L1514" i="61"/>
  <c r="K1514" i="61"/>
  <c r="P1513" i="61"/>
  <c r="O1513" i="61"/>
  <c r="N1513" i="61"/>
  <c r="M1513" i="61"/>
  <c r="L1513" i="61"/>
  <c r="K1513" i="61"/>
  <c r="P1512" i="61"/>
  <c r="O1512" i="61"/>
  <c r="N1512" i="61"/>
  <c r="M1512" i="61"/>
  <c r="L1512" i="61"/>
  <c r="K1512" i="61"/>
  <c r="P1511" i="61"/>
  <c r="O1511" i="61"/>
  <c r="N1511" i="61"/>
  <c r="M1511" i="61"/>
  <c r="L1511" i="61"/>
  <c r="K1511" i="61"/>
  <c r="P1510" i="61"/>
  <c r="O1510" i="61"/>
  <c r="N1510" i="61"/>
  <c r="M1510" i="61"/>
  <c r="L1510" i="61"/>
  <c r="K1510" i="61"/>
  <c r="P1509" i="61"/>
  <c r="O1509" i="61"/>
  <c r="N1509" i="61"/>
  <c r="M1509" i="61"/>
  <c r="L1509" i="61"/>
  <c r="K1509" i="61"/>
  <c r="P1508" i="61"/>
  <c r="O1508" i="61"/>
  <c r="N1508" i="61"/>
  <c r="M1508" i="61"/>
  <c r="L1508" i="61"/>
  <c r="K1508" i="61"/>
  <c r="P1507" i="61"/>
  <c r="O1507" i="61"/>
  <c r="N1507" i="61"/>
  <c r="M1507" i="61"/>
  <c r="L1507" i="61"/>
  <c r="K1507" i="61"/>
  <c r="P1506" i="61"/>
  <c r="O1506" i="61"/>
  <c r="N1506" i="61"/>
  <c r="M1506" i="61"/>
  <c r="L1506" i="61"/>
  <c r="K1506" i="61"/>
  <c r="P1505" i="61"/>
  <c r="O1505" i="61"/>
  <c r="N1505" i="61"/>
  <c r="M1505" i="61"/>
  <c r="L1505" i="61"/>
  <c r="K1505" i="61"/>
  <c r="P1504" i="61"/>
  <c r="O1504" i="61"/>
  <c r="N1504" i="61"/>
  <c r="M1504" i="61"/>
  <c r="L1504" i="61"/>
  <c r="K1504" i="61"/>
  <c r="P1503" i="61"/>
  <c r="O1503" i="61"/>
  <c r="N1503" i="61"/>
  <c r="M1503" i="61"/>
  <c r="L1503" i="61"/>
  <c r="K1503" i="61"/>
  <c r="P1502" i="61"/>
  <c r="O1502" i="61"/>
  <c r="N1502" i="61"/>
  <c r="M1502" i="61"/>
  <c r="L1502" i="61"/>
  <c r="K1502" i="61"/>
  <c r="P1501" i="61"/>
  <c r="O1501" i="61"/>
  <c r="N1501" i="61"/>
  <c r="M1501" i="61"/>
  <c r="L1501" i="61"/>
  <c r="K1501" i="61"/>
  <c r="P1500" i="61"/>
  <c r="O1500" i="61"/>
  <c r="N1500" i="61"/>
  <c r="M1500" i="61"/>
  <c r="L1500" i="61"/>
  <c r="K1500" i="61"/>
  <c r="P1499" i="61"/>
  <c r="O1499" i="61"/>
  <c r="N1499" i="61"/>
  <c r="M1499" i="61"/>
  <c r="L1499" i="61"/>
  <c r="K1499" i="61"/>
  <c r="P1498" i="61"/>
  <c r="O1498" i="61"/>
  <c r="N1498" i="61"/>
  <c r="M1498" i="61"/>
  <c r="L1498" i="61"/>
  <c r="K1498" i="61"/>
  <c r="P1497" i="61"/>
  <c r="O1497" i="61"/>
  <c r="N1497" i="61"/>
  <c r="M1497" i="61"/>
  <c r="L1497" i="61"/>
  <c r="K1497" i="61"/>
  <c r="P1496" i="61"/>
  <c r="O1496" i="61"/>
  <c r="N1496" i="61"/>
  <c r="M1496" i="61"/>
  <c r="L1496" i="61"/>
  <c r="K1496" i="61"/>
  <c r="P1495" i="61"/>
  <c r="O1495" i="61"/>
  <c r="N1495" i="61"/>
  <c r="M1495" i="61"/>
  <c r="L1495" i="61"/>
  <c r="K1495" i="61"/>
  <c r="P1494" i="61"/>
  <c r="O1494" i="61"/>
  <c r="N1494" i="61"/>
  <c r="M1494" i="61"/>
  <c r="L1494" i="61"/>
  <c r="K1494" i="61"/>
  <c r="P1493" i="61"/>
  <c r="O1493" i="61"/>
  <c r="N1493" i="61"/>
  <c r="M1493" i="61"/>
  <c r="L1493" i="61"/>
  <c r="K1493" i="61"/>
  <c r="P1492" i="61"/>
  <c r="O1492" i="61"/>
  <c r="N1492" i="61"/>
  <c r="M1492" i="61"/>
  <c r="L1492" i="61"/>
  <c r="K1492" i="61"/>
  <c r="P1491" i="61"/>
  <c r="O1491" i="61"/>
  <c r="N1491" i="61"/>
  <c r="M1491" i="61"/>
  <c r="L1491" i="61"/>
  <c r="K1491" i="61"/>
  <c r="P1490" i="61"/>
  <c r="O1490" i="61"/>
  <c r="N1490" i="61"/>
  <c r="M1490" i="61"/>
  <c r="L1490" i="61"/>
  <c r="K1490" i="61"/>
  <c r="P1489" i="61"/>
  <c r="O1489" i="61"/>
  <c r="N1489" i="61"/>
  <c r="M1489" i="61"/>
  <c r="L1489" i="61"/>
  <c r="K1489" i="61"/>
  <c r="P1488" i="61"/>
  <c r="O1488" i="61"/>
  <c r="N1488" i="61"/>
  <c r="M1488" i="61"/>
  <c r="L1488" i="61"/>
  <c r="K1488" i="61"/>
  <c r="P1487" i="61"/>
  <c r="O1487" i="61"/>
  <c r="N1487" i="61"/>
  <c r="M1487" i="61"/>
  <c r="L1487" i="61"/>
  <c r="K1487" i="61"/>
  <c r="P1486" i="61"/>
  <c r="O1486" i="61"/>
  <c r="N1486" i="61"/>
  <c r="M1486" i="61"/>
  <c r="L1486" i="61"/>
  <c r="K1486" i="61"/>
  <c r="P1485" i="61"/>
  <c r="O1485" i="61"/>
  <c r="N1485" i="61"/>
  <c r="M1485" i="61"/>
  <c r="L1485" i="61"/>
  <c r="K1485" i="61"/>
  <c r="P1484" i="61"/>
  <c r="O1484" i="61"/>
  <c r="N1484" i="61"/>
  <c r="M1484" i="61"/>
  <c r="L1484" i="61"/>
  <c r="K1484" i="61"/>
  <c r="P1483" i="61"/>
  <c r="O1483" i="61"/>
  <c r="N1483" i="61"/>
  <c r="M1483" i="61"/>
  <c r="L1483" i="61"/>
  <c r="K1483" i="61"/>
  <c r="P1482" i="61"/>
  <c r="O1482" i="61"/>
  <c r="N1482" i="61"/>
  <c r="M1482" i="61"/>
  <c r="L1482" i="61"/>
  <c r="K1482" i="61"/>
  <c r="P1481" i="61"/>
  <c r="O1481" i="61"/>
  <c r="N1481" i="61"/>
  <c r="M1481" i="61"/>
  <c r="L1481" i="61"/>
  <c r="K1481" i="61"/>
  <c r="P1480" i="61"/>
  <c r="O1480" i="61"/>
  <c r="N1480" i="61"/>
  <c r="M1480" i="61"/>
  <c r="L1480" i="61"/>
  <c r="K1480" i="61"/>
  <c r="P1479" i="61"/>
  <c r="O1479" i="61"/>
  <c r="N1479" i="61"/>
  <c r="M1479" i="61"/>
  <c r="L1479" i="61"/>
  <c r="K1479" i="61"/>
  <c r="P1478" i="61"/>
  <c r="O1478" i="61"/>
  <c r="N1478" i="61"/>
  <c r="M1478" i="61"/>
  <c r="L1478" i="61"/>
  <c r="K1478" i="61"/>
  <c r="P1477" i="61"/>
  <c r="O1477" i="61"/>
  <c r="N1477" i="61"/>
  <c r="M1477" i="61"/>
  <c r="L1477" i="61"/>
  <c r="K1477" i="61"/>
  <c r="P1476" i="61"/>
  <c r="O1476" i="61"/>
  <c r="N1476" i="61"/>
  <c r="M1476" i="61"/>
  <c r="L1476" i="61"/>
  <c r="K1476" i="61"/>
  <c r="P1475" i="61"/>
  <c r="O1475" i="61"/>
  <c r="N1475" i="61"/>
  <c r="M1475" i="61"/>
  <c r="L1475" i="61"/>
  <c r="K1475" i="61"/>
  <c r="P1474" i="61"/>
  <c r="O1474" i="61"/>
  <c r="N1474" i="61"/>
  <c r="M1474" i="61"/>
  <c r="L1474" i="61"/>
  <c r="K1474" i="61"/>
  <c r="P1473" i="61"/>
  <c r="O1473" i="61"/>
  <c r="N1473" i="61"/>
  <c r="M1473" i="61"/>
  <c r="L1473" i="61"/>
  <c r="K1473" i="61"/>
  <c r="P1472" i="61"/>
  <c r="O1472" i="61"/>
  <c r="N1472" i="61"/>
  <c r="M1472" i="61"/>
  <c r="L1472" i="61"/>
  <c r="K1472" i="61"/>
  <c r="P1471" i="61"/>
  <c r="O1471" i="61"/>
  <c r="N1471" i="61"/>
  <c r="M1471" i="61"/>
  <c r="L1471" i="61"/>
  <c r="K1471" i="61"/>
  <c r="P1470" i="61"/>
  <c r="O1470" i="61"/>
  <c r="N1470" i="61"/>
  <c r="M1470" i="61"/>
  <c r="L1470" i="61"/>
  <c r="K1470" i="61"/>
  <c r="P1469" i="61"/>
  <c r="O1469" i="61"/>
  <c r="N1469" i="61"/>
  <c r="M1469" i="61"/>
  <c r="L1469" i="61"/>
  <c r="K1469" i="61"/>
  <c r="P1468" i="61"/>
  <c r="O1468" i="61"/>
  <c r="N1468" i="61"/>
  <c r="M1468" i="61"/>
  <c r="L1468" i="61"/>
  <c r="K1468" i="61"/>
  <c r="P1467" i="61"/>
  <c r="O1467" i="61"/>
  <c r="N1467" i="61"/>
  <c r="M1467" i="61"/>
  <c r="L1467" i="61"/>
  <c r="K1467" i="61"/>
  <c r="P1466" i="61"/>
  <c r="O1466" i="61"/>
  <c r="N1466" i="61"/>
  <c r="M1466" i="61"/>
  <c r="L1466" i="61"/>
  <c r="K1466" i="61"/>
  <c r="P1465" i="61"/>
  <c r="O1465" i="61"/>
  <c r="N1465" i="61"/>
  <c r="M1465" i="61"/>
  <c r="L1465" i="61"/>
  <c r="K1465" i="61"/>
  <c r="P1464" i="61"/>
  <c r="O1464" i="61"/>
  <c r="N1464" i="61"/>
  <c r="M1464" i="61"/>
  <c r="L1464" i="61"/>
  <c r="K1464" i="61"/>
  <c r="P1463" i="61"/>
  <c r="O1463" i="61"/>
  <c r="N1463" i="61"/>
  <c r="M1463" i="61"/>
  <c r="L1463" i="61"/>
  <c r="K1463" i="61"/>
  <c r="P1462" i="61"/>
  <c r="O1462" i="61"/>
  <c r="N1462" i="61"/>
  <c r="M1462" i="61"/>
  <c r="L1462" i="61"/>
  <c r="K1462" i="61"/>
  <c r="P1461" i="61"/>
  <c r="O1461" i="61"/>
  <c r="N1461" i="61"/>
  <c r="M1461" i="61"/>
  <c r="L1461" i="61"/>
  <c r="K1461" i="61"/>
  <c r="P1460" i="61"/>
  <c r="O1460" i="61"/>
  <c r="N1460" i="61"/>
  <c r="M1460" i="61"/>
  <c r="L1460" i="61"/>
  <c r="K1460" i="61"/>
  <c r="P1459" i="61"/>
  <c r="O1459" i="61"/>
  <c r="N1459" i="61"/>
  <c r="M1459" i="61"/>
  <c r="L1459" i="61"/>
  <c r="K1459" i="61"/>
  <c r="P1458" i="61"/>
  <c r="O1458" i="61"/>
  <c r="N1458" i="61"/>
  <c r="M1458" i="61"/>
  <c r="L1458" i="61"/>
  <c r="K1458" i="61"/>
  <c r="P1457" i="61"/>
  <c r="O1457" i="61"/>
  <c r="N1457" i="61"/>
  <c r="M1457" i="61"/>
  <c r="L1457" i="61"/>
  <c r="K1457" i="61"/>
  <c r="P1456" i="61"/>
  <c r="O1456" i="61"/>
  <c r="N1456" i="61"/>
  <c r="M1456" i="61"/>
  <c r="L1456" i="61"/>
  <c r="K1456" i="61"/>
  <c r="P1455" i="61"/>
  <c r="O1455" i="61"/>
  <c r="N1455" i="61"/>
  <c r="M1455" i="61"/>
  <c r="L1455" i="61"/>
  <c r="K1455" i="61"/>
  <c r="P1454" i="61"/>
  <c r="O1454" i="61"/>
  <c r="N1454" i="61"/>
  <c r="M1454" i="61"/>
  <c r="L1454" i="61"/>
  <c r="K1454" i="61"/>
  <c r="P1453" i="61"/>
  <c r="O1453" i="61"/>
  <c r="N1453" i="61"/>
  <c r="M1453" i="61"/>
  <c r="L1453" i="61"/>
  <c r="K1453" i="61"/>
  <c r="P1452" i="61"/>
  <c r="O1452" i="61"/>
  <c r="N1452" i="61"/>
  <c r="M1452" i="61"/>
  <c r="L1452" i="61"/>
  <c r="K1452" i="61"/>
  <c r="P1451" i="61"/>
  <c r="O1451" i="61"/>
  <c r="N1451" i="61"/>
  <c r="M1451" i="61"/>
  <c r="L1451" i="61"/>
  <c r="K1451" i="61"/>
  <c r="P1450" i="61"/>
  <c r="O1450" i="61"/>
  <c r="N1450" i="61"/>
  <c r="M1450" i="61"/>
  <c r="L1450" i="61"/>
  <c r="K1450" i="61"/>
  <c r="P1449" i="61"/>
  <c r="O1449" i="61"/>
  <c r="N1449" i="61"/>
  <c r="M1449" i="61"/>
  <c r="L1449" i="61"/>
  <c r="K1449" i="61"/>
  <c r="P1448" i="61"/>
  <c r="O1448" i="61"/>
  <c r="N1448" i="61"/>
  <c r="M1448" i="61"/>
  <c r="L1448" i="61"/>
  <c r="K1448" i="61"/>
  <c r="P1447" i="61"/>
  <c r="O1447" i="61"/>
  <c r="N1447" i="61"/>
  <c r="M1447" i="61"/>
  <c r="L1447" i="61"/>
  <c r="K1447" i="61"/>
  <c r="P1446" i="61"/>
  <c r="O1446" i="61"/>
  <c r="N1446" i="61"/>
  <c r="M1446" i="61"/>
  <c r="L1446" i="61"/>
  <c r="K1446" i="61"/>
  <c r="P1445" i="61"/>
  <c r="O1445" i="61"/>
  <c r="N1445" i="61"/>
  <c r="M1445" i="61"/>
  <c r="L1445" i="61"/>
  <c r="K1445" i="61"/>
  <c r="P1444" i="61"/>
  <c r="O1444" i="61"/>
  <c r="N1444" i="61"/>
  <c r="M1444" i="61"/>
  <c r="L1444" i="61"/>
  <c r="K1444" i="61"/>
  <c r="P1443" i="61"/>
  <c r="O1443" i="61"/>
  <c r="N1443" i="61"/>
  <c r="M1443" i="61"/>
  <c r="L1443" i="61"/>
  <c r="K1443" i="61"/>
  <c r="P1442" i="61"/>
  <c r="O1442" i="61"/>
  <c r="N1442" i="61"/>
  <c r="M1442" i="61"/>
  <c r="L1442" i="61"/>
  <c r="K1442" i="61"/>
  <c r="P1441" i="61"/>
  <c r="O1441" i="61"/>
  <c r="N1441" i="61"/>
  <c r="M1441" i="61"/>
  <c r="L1441" i="61"/>
  <c r="K1441" i="61"/>
  <c r="P1440" i="61"/>
  <c r="O1440" i="61"/>
  <c r="N1440" i="61"/>
  <c r="M1440" i="61"/>
  <c r="L1440" i="61"/>
  <c r="K1440" i="61"/>
  <c r="P1439" i="61"/>
  <c r="O1439" i="61"/>
  <c r="N1439" i="61"/>
  <c r="M1439" i="61"/>
  <c r="L1439" i="61"/>
  <c r="K1439" i="61"/>
  <c r="P1438" i="61"/>
  <c r="O1438" i="61"/>
  <c r="N1438" i="61"/>
  <c r="M1438" i="61"/>
  <c r="L1438" i="61"/>
  <c r="K1438" i="61"/>
  <c r="P1437" i="61"/>
  <c r="O1437" i="61"/>
  <c r="N1437" i="61"/>
  <c r="M1437" i="61"/>
  <c r="L1437" i="61"/>
  <c r="K1437" i="61"/>
  <c r="P1436" i="61"/>
  <c r="O1436" i="61"/>
  <c r="N1436" i="61"/>
  <c r="M1436" i="61"/>
  <c r="L1436" i="61"/>
  <c r="K1436" i="61"/>
  <c r="P1435" i="61"/>
  <c r="O1435" i="61"/>
  <c r="N1435" i="61"/>
  <c r="M1435" i="61"/>
  <c r="L1435" i="61"/>
  <c r="K1435" i="61"/>
  <c r="P1434" i="61"/>
  <c r="O1434" i="61"/>
  <c r="N1434" i="61"/>
  <c r="M1434" i="61"/>
  <c r="L1434" i="61"/>
  <c r="K1434" i="61"/>
  <c r="P1433" i="61"/>
  <c r="O1433" i="61"/>
  <c r="N1433" i="61"/>
  <c r="M1433" i="61"/>
  <c r="L1433" i="61"/>
  <c r="K1433" i="61"/>
  <c r="P1432" i="61"/>
  <c r="O1432" i="61"/>
  <c r="N1432" i="61"/>
  <c r="M1432" i="61"/>
  <c r="L1432" i="61"/>
  <c r="K1432" i="61"/>
  <c r="P1431" i="61"/>
  <c r="O1431" i="61"/>
  <c r="N1431" i="61"/>
  <c r="M1431" i="61"/>
  <c r="L1431" i="61"/>
  <c r="K1431" i="61"/>
  <c r="P1430" i="61"/>
  <c r="O1430" i="61"/>
  <c r="N1430" i="61"/>
  <c r="M1430" i="61"/>
  <c r="L1430" i="61"/>
  <c r="K1430" i="61"/>
  <c r="P1429" i="61"/>
  <c r="O1429" i="61"/>
  <c r="N1429" i="61"/>
  <c r="M1429" i="61"/>
  <c r="L1429" i="61"/>
  <c r="K1429" i="61"/>
  <c r="P1428" i="61"/>
  <c r="O1428" i="61"/>
  <c r="N1428" i="61"/>
  <c r="M1428" i="61"/>
  <c r="L1428" i="61"/>
  <c r="K1428" i="61"/>
  <c r="P1427" i="61"/>
  <c r="O1427" i="61"/>
  <c r="N1427" i="61"/>
  <c r="M1427" i="61"/>
  <c r="L1427" i="61"/>
  <c r="K1427" i="61"/>
  <c r="P1426" i="61"/>
  <c r="O1426" i="61"/>
  <c r="N1426" i="61"/>
  <c r="M1426" i="61"/>
  <c r="L1426" i="61"/>
  <c r="K1426" i="61"/>
  <c r="P1425" i="61"/>
  <c r="O1425" i="61"/>
  <c r="N1425" i="61"/>
  <c r="M1425" i="61"/>
  <c r="L1425" i="61"/>
  <c r="K1425" i="61"/>
  <c r="P1424" i="61"/>
  <c r="O1424" i="61"/>
  <c r="N1424" i="61"/>
  <c r="M1424" i="61"/>
  <c r="L1424" i="61"/>
  <c r="K1424" i="61"/>
  <c r="P1423" i="61"/>
  <c r="O1423" i="61"/>
  <c r="N1423" i="61"/>
  <c r="M1423" i="61"/>
  <c r="L1423" i="61"/>
  <c r="K1423" i="61"/>
  <c r="P1422" i="61"/>
  <c r="O1422" i="61"/>
  <c r="N1422" i="61"/>
  <c r="M1422" i="61"/>
  <c r="L1422" i="61"/>
  <c r="K1422" i="61"/>
  <c r="P1421" i="61"/>
  <c r="O1421" i="61"/>
  <c r="N1421" i="61"/>
  <c r="M1421" i="61"/>
  <c r="L1421" i="61"/>
  <c r="K1421" i="61"/>
  <c r="P1420" i="61"/>
  <c r="O1420" i="61"/>
  <c r="N1420" i="61"/>
  <c r="M1420" i="61"/>
  <c r="L1420" i="61"/>
  <c r="K1420" i="61"/>
  <c r="P1419" i="61"/>
  <c r="O1419" i="61"/>
  <c r="N1419" i="61"/>
  <c r="M1419" i="61"/>
  <c r="L1419" i="61"/>
  <c r="K1419" i="61"/>
  <c r="P1418" i="61"/>
  <c r="O1418" i="61"/>
  <c r="N1418" i="61"/>
  <c r="M1418" i="61"/>
  <c r="L1418" i="61"/>
  <c r="K1418" i="61"/>
  <c r="P1417" i="61"/>
  <c r="O1417" i="61"/>
  <c r="N1417" i="61"/>
  <c r="M1417" i="61"/>
  <c r="L1417" i="61"/>
  <c r="K1417" i="61"/>
  <c r="P1416" i="61"/>
  <c r="O1416" i="61"/>
  <c r="N1416" i="61"/>
  <c r="M1416" i="61"/>
  <c r="L1416" i="61"/>
  <c r="K1416" i="61"/>
  <c r="P1415" i="61"/>
  <c r="O1415" i="61"/>
  <c r="N1415" i="61"/>
  <c r="M1415" i="61"/>
  <c r="L1415" i="61"/>
  <c r="K1415" i="61"/>
  <c r="P1414" i="61"/>
  <c r="O1414" i="61"/>
  <c r="N1414" i="61"/>
  <c r="M1414" i="61"/>
  <c r="L1414" i="61"/>
  <c r="K1414" i="61"/>
  <c r="P1413" i="61"/>
  <c r="O1413" i="61"/>
  <c r="N1413" i="61"/>
  <c r="M1413" i="61"/>
  <c r="L1413" i="61"/>
  <c r="K1413" i="61"/>
  <c r="P1412" i="61"/>
  <c r="O1412" i="61"/>
  <c r="N1412" i="61"/>
  <c r="M1412" i="61"/>
  <c r="L1412" i="61"/>
  <c r="K1412" i="61"/>
  <c r="P1411" i="61"/>
  <c r="O1411" i="61"/>
  <c r="N1411" i="61"/>
  <c r="M1411" i="61"/>
  <c r="L1411" i="61"/>
  <c r="K1411" i="61"/>
  <c r="P1410" i="61"/>
  <c r="O1410" i="61"/>
  <c r="N1410" i="61"/>
  <c r="M1410" i="61"/>
  <c r="L1410" i="61"/>
  <c r="K1410" i="61"/>
  <c r="P1409" i="61"/>
  <c r="O1409" i="61"/>
  <c r="N1409" i="61"/>
  <c r="M1409" i="61"/>
  <c r="L1409" i="61"/>
  <c r="K1409" i="61"/>
  <c r="P1408" i="61"/>
  <c r="O1408" i="61"/>
  <c r="N1408" i="61"/>
  <c r="M1408" i="61"/>
  <c r="L1408" i="61"/>
  <c r="K1408" i="61"/>
  <c r="P1407" i="61"/>
  <c r="O1407" i="61"/>
  <c r="N1407" i="61"/>
  <c r="M1407" i="61"/>
  <c r="L1407" i="61"/>
  <c r="K1407" i="61"/>
  <c r="P1406" i="61"/>
  <c r="O1406" i="61"/>
  <c r="N1406" i="61"/>
  <c r="M1406" i="61"/>
  <c r="L1406" i="61"/>
  <c r="K1406" i="61"/>
  <c r="P1405" i="61"/>
  <c r="O1405" i="61"/>
  <c r="N1405" i="61"/>
  <c r="M1405" i="61"/>
  <c r="L1405" i="61"/>
  <c r="K1405" i="61"/>
  <c r="P1404" i="61"/>
  <c r="O1404" i="61"/>
  <c r="N1404" i="61"/>
  <c r="M1404" i="61"/>
  <c r="L1404" i="61"/>
  <c r="K1404" i="61"/>
  <c r="P1403" i="61"/>
  <c r="O1403" i="61"/>
  <c r="N1403" i="61"/>
  <c r="M1403" i="61"/>
  <c r="L1403" i="61"/>
  <c r="K1403" i="61"/>
  <c r="P1402" i="61"/>
  <c r="O1402" i="61"/>
  <c r="N1402" i="61"/>
  <c r="M1402" i="61"/>
  <c r="L1402" i="61"/>
  <c r="K1402" i="61"/>
  <c r="P1401" i="61"/>
  <c r="O1401" i="61"/>
  <c r="N1401" i="61"/>
  <c r="M1401" i="61"/>
  <c r="L1401" i="61"/>
  <c r="K1401" i="61"/>
  <c r="P1400" i="61"/>
  <c r="O1400" i="61"/>
  <c r="N1400" i="61"/>
  <c r="M1400" i="61"/>
  <c r="L1400" i="61"/>
  <c r="K1400" i="61"/>
  <c r="P1399" i="61"/>
  <c r="O1399" i="61"/>
  <c r="N1399" i="61"/>
  <c r="M1399" i="61"/>
  <c r="L1399" i="61"/>
  <c r="K1399" i="61"/>
  <c r="P1398" i="61"/>
  <c r="O1398" i="61"/>
  <c r="N1398" i="61"/>
  <c r="M1398" i="61"/>
  <c r="L1398" i="61"/>
  <c r="K1398" i="61"/>
  <c r="P1397" i="61"/>
  <c r="O1397" i="61"/>
  <c r="N1397" i="61"/>
  <c r="M1397" i="61"/>
  <c r="L1397" i="61"/>
  <c r="K1397" i="61"/>
  <c r="P1396" i="61"/>
  <c r="O1396" i="61"/>
  <c r="N1396" i="61"/>
  <c r="M1396" i="61"/>
  <c r="L1396" i="61"/>
  <c r="K1396" i="61"/>
  <c r="P1395" i="61"/>
  <c r="O1395" i="61"/>
  <c r="N1395" i="61"/>
  <c r="M1395" i="61"/>
  <c r="L1395" i="61"/>
  <c r="K1395" i="61"/>
  <c r="P1394" i="61"/>
  <c r="O1394" i="61"/>
  <c r="N1394" i="61"/>
  <c r="M1394" i="61"/>
  <c r="L1394" i="61"/>
  <c r="K1394" i="61"/>
  <c r="P1393" i="61"/>
  <c r="O1393" i="61"/>
  <c r="N1393" i="61"/>
  <c r="M1393" i="61"/>
  <c r="L1393" i="61"/>
  <c r="K1393" i="61"/>
  <c r="P1392" i="61"/>
  <c r="O1392" i="61"/>
  <c r="N1392" i="61"/>
  <c r="M1392" i="61"/>
  <c r="L1392" i="61"/>
  <c r="K1392" i="61"/>
  <c r="P1391" i="61"/>
  <c r="O1391" i="61"/>
  <c r="N1391" i="61"/>
  <c r="M1391" i="61"/>
  <c r="L1391" i="61"/>
  <c r="K1391" i="61"/>
  <c r="P1390" i="61"/>
  <c r="O1390" i="61"/>
  <c r="N1390" i="61"/>
  <c r="M1390" i="61"/>
  <c r="L1390" i="61"/>
  <c r="K1390" i="61"/>
  <c r="P1389" i="61"/>
  <c r="O1389" i="61"/>
  <c r="N1389" i="61"/>
  <c r="M1389" i="61"/>
  <c r="L1389" i="61"/>
  <c r="K1389" i="61"/>
  <c r="P1388" i="61"/>
  <c r="O1388" i="61"/>
  <c r="N1388" i="61"/>
  <c r="M1388" i="61"/>
  <c r="L1388" i="61"/>
  <c r="K1388" i="61"/>
  <c r="P1387" i="61"/>
  <c r="O1387" i="61"/>
  <c r="N1387" i="61"/>
  <c r="M1387" i="61"/>
  <c r="L1387" i="61"/>
  <c r="K1387" i="61"/>
  <c r="P1386" i="61"/>
  <c r="O1386" i="61"/>
  <c r="N1386" i="61"/>
  <c r="M1386" i="61"/>
  <c r="L1386" i="61"/>
  <c r="K1386" i="61"/>
  <c r="P1385" i="61"/>
  <c r="O1385" i="61"/>
  <c r="N1385" i="61"/>
  <c r="M1385" i="61"/>
  <c r="L1385" i="61"/>
  <c r="K1385" i="61"/>
  <c r="P1384" i="61"/>
  <c r="O1384" i="61"/>
  <c r="N1384" i="61"/>
  <c r="M1384" i="61"/>
  <c r="L1384" i="61"/>
  <c r="K1384" i="61"/>
  <c r="P1383" i="61"/>
  <c r="O1383" i="61"/>
  <c r="N1383" i="61"/>
  <c r="M1383" i="61"/>
  <c r="L1383" i="61"/>
  <c r="K1383" i="61"/>
  <c r="P1382" i="61"/>
  <c r="O1382" i="61"/>
  <c r="N1382" i="61"/>
  <c r="M1382" i="61"/>
  <c r="L1382" i="61"/>
  <c r="K1382" i="61"/>
  <c r="P1381" i="61"/>
  <c r="O1381" i="61"/>
  <c r="N1381" i="61"/>
  <c r="M1381" i="61"/>
  <c r="L1381" i="61"/>
  <c r="K1381" i="61"/>
  <c r="P1380" i="61"/>
  <c r="O1380" i="61"/>
  <c r="N1380" i="61"/>
  <c r="M1380" i="61"/>
  <c r="L1380" i="61"/>
  <c r="K1380" i="61"/>
  <c r="P1379" i="61"/>
  <c r="O1379" i="61"/>
  <c r="N1379" i="61"/>
  <c r="M1379" i="61"/>
  <c r="L1379" i="61"/>
  <c r="K1379" i="61"/>
  <c r="P1378" i="61"/>
  <c r="O1378" i="61"/>
  <c r="N1378" i="61"/>
  <c r="M1378" i="61"/>
  <c r="L1378" i="61"/>
  <c r="K1378" i="61"/>
  <c r="P1377" i="61"/>
  <c r="O1377" i="61"/>
  <c r="N1377" i="61"/>
  <c r="M1377" i="61"/>
  <c r="L1377" i="61"/>
  <c r="K1377" i="61"/>
  <c r="P1376" i="61"/>
  <c r="O1376" i="61"/>
  <c r="N1376" i="61"/>
  <c r="M1376" i="61"/>
  <c r="L1376" i="61"/>
  <c r="K1376" i="61"/>
  <c r="P1375" i="61"/>
  <c r="O1375" i="61"/>
  <c r="N1375" i="61"/>
  <c r="M1375" i="61"/>
  <c r="L1375" i="61"/>
  <c r="K1375" i="61"/>
  <c r="P1374" i="61"/>
  <c r="O1374" i="61"/>
  <c r="N1374" i="61"/>
  <c r="M1374" i="61"/>
  <c r="L1374" i="61"/>
  <c r="K1374" i="61"/>
  <c r="P1373" i="61"/>
  <c r="O1373" i="61"/>
  <c r="N1373" i="61"/>
  <c r="M1373" i="61"/>
  <c r="L1373" i="61"/>
  <c r="K1373" i="61"/>
  <c r="P1372" i="61"/>
  <c r="O1372" i="61"/>
  <c r="N1372" i="61"/>
  <c r="M1372" i="61"/>
  <c r="L1372" i="61"/>
  <c r="K1372" i="61"/>
  <c r="P1371" i="61"/>
  <c r="O1371" i="61"/>
  <c r="N1371" i="61"/>
  <c r="M1371" i="61"/>
  <c r="L1371" i="61"/>
  <c r="K1371" i="61"/>
  <c r="P1370" i="61"/>
  <c r="O1370" i="61"/>
  <c r="N1370" i="61"/>
  <c r="M1370" i="61"/>
  <c r="L1370" i="61"/>
  <c r="K1370" i="61"/>
  <c r="P1369" i="61"/>
  <c r="O1369" i="61"/>
  <c r="N1369" i="61"/>
  <c r="M1369" i="61"/>
  <c r="L1369" i="61"/>
  <c r="K1369" i="61"/>
  <c r="P1368" i="61"/>
  <c r="O1368" i="61"/>
  <c r="N1368" i="61"/>
  <c r="M1368" i="61"/>
  <c r="L1368" i="61"/>
  <c r="K1368" i="61"/>
  <c r="P1367" i="61"/>
  <c r="O1367" i="61"/>
  <c r="N1367" i="61"/>
  <c r="M1367" i="61"/>
  <c r="L1367" i="61"/>
  <c r="K1367" i="61"/>
  <c r="P1366" i="61"/>
  <c r="O1366" i="61"/>
  <c r="N1366" i="61"/>
  <c r="M1366" i="61"/>
  <c r="L1366" i="61"/>
  <c r="K1366" i="61"/>
  <c r="P1365" i="61"/>
  <c r="O1365" i="61"/>
  <c r="N1365" i="61"/>
  <c r="M1365" i="61"/>
  <c r="L1365" i="61"/>
  <c r="K1365" i="61"/>
  <c r="P1364" i="61"/>
  <c r="O1364" i="61"/>
  <c r="N1364" i="61"/>
  <c r="M1364" i="61"/>
  <c r="L1364" i="61"/>
  <c r="K1364" i="61"/>
  <c r="P1363" i="61"/>
  <c r="O1363" i="61"/>
  <c r="N1363" i="61"/>
  <c r="M1363" i="61"/>
  <c r="L1363" i="61"/>
  <c r="K1363" i="61"/>
  <c r="P1362" i="61"/>
  <c r="O1362" i="61"/>
  <c r="N1362" i="61"/>
  <c r="M1362" i="61"/>
  <c r="L1362" i="61"/>
  <c r="K1362" i="61"/>
  <c r="P1361" i="61"/>
  <c r="O1361" i="61"/>
  <c r="N1361" i="61"/>
  <c r="M1361" i="61"/>
  <c r="L1361" i="61"/>
  <c r="K1361" i="61"/>
  <c r="P1360" i="61"/>
  <c r="O1360" i="61"/>
  <c r="N1360" i="61"/>
  <c r="M1360" i="61"/>
  <c r="L1360" i="61"/>
  <c r="K1360" i="61"/>
  <c r="P1359" i="61"/>
  <c r="O1359" i="61"/>
  <c r="N1359" i="61"/>
  <c r="M1359" i="61"/>
  <c r="L1359" i="61"/>
  <c r="K1359" i="61"/>
  <c r="P1358" i="61"/>
  <c r="O1358" i="61"/>
  <c r="N1358" i="61"/>
  <c r="M1358" i="61"/>
  <c r="L1358" i="61"/>
  <c r="K1358" i="61"/>
  <c r="P1357" i="61"/>
  <c r="O1357" i="61"/>
  <c r="N1357" i="61"/>
  <c r="M1357" i="61"/>
  <c r="L1357" i="61"/>
  <c r="K1357" i="61"/>
  <c r="P1356" i="61"/>
  <c r="O1356" i="61"/>
  <c r="N1356" i="61"/>
  <c r="M1356" i="61"/>
  <c r="L1356" i="61"/>
  <c r="K1356" i="61"/>
  <c r="P1355" i="61"/>
  <c r="O1355" i="61"/>
  <c r="N1355" i="61"/>
  <c r="M1355" i="61"/>
  <c r="L1355" i="61"/>
  <c r="K1355" i="61"/>
  <c r="P1354" i="61"/>
  <c r="O1354" i="61"/>
  <c r="N1354" i="61"/>
  <c r="M1354" i="61"/>
  <c r="L1354" i="61"/>
  <c r="K1354" i="61"/>
  <c r="P1353" i="61"/>
  <c r="O1353" i="61"/>
  <c r="N1353" i="61"/>
  <c r="M1353" i="61"/>
  <c r="L1353" i="61"/>
  <c r="K1353" i="61"/>
  <c r="P1352" i="61"/>
  <c r="O1352" i="61"/>
  <c r="N1352" i="61"/>
  <c r="M1352" i="61"/>
  <c r="L1352" i="61"/>
  <c r="K1352" i="61"/>
  <c r="P1351" i="61"/>
  <c r="O1351" i="61"/>
  <c r="N1351" i="61"/>
  <c r="M1351" i="61"/>
  <c r="L1351" i="61"/>
  <c r="K1351" i="61"/>
  <c r="P1350" i="61"/>
  <c r="O1350" i="61"/>
  <c r="N1350" i="61"/>
  <c r="M1350" i="61"/>
  <c r="L1350" i="61"/>
  <c r="K1350" i="61"/>
  <c r="P1349" i="61"/>
  <c r="O1349" i="61"/>
  <c r="N1349" i="61"/>
  <c r="M1349" i="61"/>
  <c r="L1349" i="61"/>
  <c r="K1349" i="61"/>
  <c r="P1348" i="61"/>
  <c r="O1348" i="61"/>
  <c r="N1348" i="61"/>
  <c r="M1348" i="61"/>
  <c r="L1348" i="61"/>
  <c r="K1348" i="61"/>
  <c r="P1347" i="61"/>
  <c r="O1347" i="61"/>
  <c r="N1347" i="61"/>
  <c r="M1347" i="61"/>
  <c r="L1347" i="61"/>
  <c r="K1347" i="61"/>
  <c r="P1346" i="61"/>
  <c r="O1346" i="61"/>
  <c r="N1346" i="61"/>
  <c r="M1346" i="61"/>
  <c r="L1346" i="61"/>
  <c r="K1346" i="61"/>
  <c r="P1345" i="61"/>
  <c r="O1345" i="61"/>
  <c r="N1345" i="61"/>
  <c r="M1345" i="61"/>
  <c r="L1345" i="61"/>
  <c r="K1345" i="61"/>
  <c r="P1344" i="61"/>
  <c r="O1344" i="61"/>
  <c r="N1344" i="61"/>
  <c r="M1344" i="61"/>
  <c r="L1344" i="61"/>
  <c r="K1344" i="61"/>
  <c r="P1343" i="61"/>
  <c r="O1343" i="61"/>
  <c r="N1343" i="61"/>
  <c r="M1343" i="61"/>
  <c r="L1343" i="61"/>
  <c r="K1343" i="61"/>
  <c r="P1342" i="61"/>
  <c r="O1342" i="61"/>
  <c r="N1342" i="61"/>
  <c r="M1342" i="61"/>
  <c r="L1342" i="61"/>
  <c r="K1342" i="61"/>
  <c r="P1341" i="61"/>
  <c r="O1341" i="61"/>
  <c r="N1341" i="61"/>
  <c r="M1341" i="61"/>
  <c r="L1341" i="61"/>
  <c r="K1341" i="61"/>
  <c r="P1340" i="61"/>
  <c r="O1340" i="61"/>
  <c r="N1340" i="61"/>
  <c r="M1340" i="61"/>
  <c r="L1340" i="61"/>
  <c r="K1340" i="61"/>
  <c r="P1339" i="61"/>
  <c r="O1339" i="61"/>
  <c r="N1339" i="61"/>
  <c r="M1339" i="61"/>
  <c r="L1339" i="61"/>
  <c r="K1339" i="61"/>
  <c r="P1338" i="61"/>
  <c r="O1338" i="61"/>
  <c r="N1338" i="61"/>
  <c r="M1338" i="61"/>
  <c r="L1338" i="61"/>
  <c r="K1338" i="61"/>
  <c r="P1337" i="61"/>
  <c r="O1337" i="61"/>
  <c r="N1337" i="61"/>
  <c r="M1337" i="61"/>
  <c r="L1337" i="61"/>
  <c r="K1337" i="61"/>
  <c r="P1336" i="61"/>
  <c r="O1336" i="61"/>
  <c r="N1336" i="61"/>
  <c r="M1336" i="61"/>
  <c r="L1336" i="61"/>
  <c r="K1336" i="61"/>
  <c r="P1335" i="61"/>
  <c r="O1335" i="61"/>
  <c r="N1335" i="61"/>
  <c r="M1335" i="61"/>
  <c r="L1335" i="61"/>
  <c r="K1335" i="61"/>
  <c r="P1334" i="61"/>
  <c r="O1334" i="61"/>
  <c r="N1334" i="61"/>
  <c r="M1334" i="61"/>
  <c r="L1334" i="61"/>
  <c r="K1334" i="61"/>
  <c r="P1333" i="61"/>
  <c r="O1333" i="61"/>
  <c r="N1333" i="61"/>
  <c r="M1333" i="61"/>
  <c r="L1333" i="61"/>
  <c r="K1333" i="61"/>
  <c r="P1332" i="61"/>
  <c r="O1332" i="61"/>
  <c r="N1332" i="61"/>
  <c r="M1332" i="61"/>
  <c r="L1332" i="61"/>
  <c r="K1332" i="61"/>
  <c r="P1331" i="61"/>
  <c r="O1331" i="61"/>
  <c r="N1331" i="61"/>
  <c r="M1331" i="61"/>
  <c r="L1331" i="61"/>
  <c r="K1331" i="61"/>
  <c r="P1330" i="61"/>
  <c r="O1330" i="61"/>
  <c r="N1330" i="61"/>
  <c r="M1330" i="61"/>
  <c r="L1330" i="61"/>
  <c r="K1330" i="61"/>
  <c r="P1329" i="61"/>
  <c r="O1329" i="61"/>
  <c r="N1329" i="61"/>
  <c r="M1329" i="61"/>
  <c r="L1329" i="61"/>
  <c r="K1329" i="61"/>
  <c r="P1328" i="61"/>
  <c r="O1328" i="61"/>
  <c r="N1328" i="61"/>
  <c r="M1328" i="61"/>
  <c r="L1328" i="61"/>
  <c r="K1328" i="61"/>
  <c r="P1327" i="61"/>
  <c r="O1327" i="61"/>
  <c r="N1327" i="61"/>
  <c r="M1327" i="61"/>
  <c r="L1327" i="61"/>
  <c r="K1327" i="61"/>
  <c r="P1326" i="61"/>
  <c r="O1326" i="61"/>
  <c r="N1326" i="61"/>
  <c r="M1326" i="61"/>
  <c r="L1326" i="61"/>
  <c r="K1326" i="61"/>
  <c r="P1325" i="61"/>
  <c r="O1325" i="61"/>
  <c r="N1325" i="61"/>
  <c r="M1325" i="61"/>
  <c r="L1325" i="61"/>
  <c r="K1325" i="61"/>
  <c r="P1324" i="61"/>
  <c r="O1324" i="61"/>
  <c r="N1324" i="61"/>
  <c r="M1324" i="61"/>
  <c r="L1324" i="61"/>
  <c r="K1324" i="61"/>
  <c r="P1323" i="61"/>
  <c r="O1323" i="61"/>
  <c r="N1323" i="61"/>
  <c r="M1323" i="61"/>
  <c r="L1323" i="61"/>
  <c r="K1323" i="61"/>
  <c r="P1322" i="61"/>
  <c r="O1322" i="61"/>
  <c r="N1322" i="61"/>
  <c r="M1322" i="61"/>
  <c r="L1322" i="61"/>
  <c r="K1322" i="61"/>
  <c r="P1321" i="61"/>
  <c r="O1321" i="61"/>
  <c r="N1321" i="61"/>
  <c r="M1321" i="61"/>
  <c r="L1321" i="61"/>
  <c r="K1321" i="61"/>
  <c r="P1320" i="61"/>
  <c r="O1320" i="61"/>
  <c r="N1320" i="61"/>
  <c r="M1320" i="61"/>
  <c r="L1320" i="61"/>
  <c r="K1320" i="61"/>
  <c r="P1319" i="61"/>
  <c r="O1319" i="61"/>
  <c r="N1319" i="61"/>
  <c r="M1319" i="61"/>
  <c r="L1319" i="61"/>
  <c r="K1319" i="61"/>
  <c r="P1318" i="61"/>
  <c r="O1318" i="61"/>
  <c r="N1318" i="61"/>
  <c r="M1318" i="61"/>
  <c r="L1318" i="61"/>
  <c r="K1318" i="61"/>
  <c r="P1317" i="61"/>
  <c r="O1317" i="61"/>
  <c r="N1317" i="61"/>
  <c r="M1317" i="61"/>
  <c r="L1317" i="61"/>
  <c r="K1317" i="61"/>
  <c r="P1316" i="61"/>
  <c r="O1316" i="61"/>
  <c r="N1316" i="61"/>
  <c r="M1316" i="61"/>
  <c r="L1316" i="61"/>
  <c r="K1316" i="61"/>
  <c r="P1315" i="61"/>
  <c r="O1315" i="61"/>
  <c r="N1315" i="61"/>
  <c r="M1315" i="61"/>
  <c r="L1315" i="61"/>
  <c r="K1315" i="61"/>
  <c r="P1314" i="61"/>
  <c r="O1314" i="61"/>
  <c r="N1314" i="61"/>
  <c r="M1314" i="61"/>
  <c r="L1314" i="61"/>
  <c r="K1314" i="61"/>
  <c r="P1313" i="61"/>
  <c r="O1313" i="61"/>
  <c r="N1313" i="61"/>
  <c r="M1313" i="61"/>
  <c r="L1313" i="61"/>
  <c r="K1313" i="61"/>
  <c r="P1312" i="61"/>
  <c r="O1312" i="61"/>
  <c r="N1312" i="61"/>
  <c r="M1312" i="61"/>
  <c r="L1312" i="61"/>
  <c r="K1312" i="61"/>
  <c r="P1311" i="61"/>
  <c r="O1311" i="61"/>
  <c r="N1311" i="61"/>
  <c r="M1311" i="61"/>
  <c r="L1311" i="61"/>
  <c r="K1311" i="61"/>
  <c r="P1310" i="61"/>
  <c r="O1310" i="61"/>
  <c r="N1310" i="61"/>
  <c r="M1310" i="61"/>
  <c r="L1310" i="61"/>
  <c r="K1310" i="61"/>
  <c r="P1309" i="61"/>
  <c r="O1309" i="61"/>
  <c r="N1309" i="61"/>
  <c r="M1309" i="61"/>
  <c r="L1309" i="61"/>
  <c r="K1309" i="61"/>
  <c r="P1308" i="61"/>
  <c r="O1308" i="61"/>
  <c r="N1308" i="61"/>
  <c r="M1308" i="61"/>
  <c r="L1308" i="61"/>
  <c r="K1308" i="61"/>
  <c r="P1307" i="61"/>
  <c r="O1307" i="61"/>
  <c r="N1307" i="61"/>
  <c r="M1307" i="61"/>
  <c r="L1307" i="61"/>
  <c r="K1307" i="61"/>
  <c r="P1306" i="61"/>
  <c r="O1306" i="61"/>
  <c r="N1306" i="61"/>
  <c r="M1306" i="61"/>
  <c r="L1306" i="61"/>
  <c r="K1306" i="61"/>
  <c r="P1305" i="61"/>
  <c r="O1305" i="61"/>
  <c r="N1305" i="61"/>
  <c r="M1305" i="61"/>
  <c r="L1305" i="61"/>
  <c r="K1305" i="61"/>
  <c r="P1304" i="61"/>
  <c r="O1304" i="61"/>
  <c r="N1304" i="61"/>
  <c r="M1304" i="61"/>
  <c r="L1304" i="61"/>
  <c r="K1304" i="61"/>
  <c r="P1303" i="61"/>
  <c r="O1303" i="61"/>
  <c r="N1303" i="61"/>
  <c r="M1303" i="61"/>
  <c r="L1303" i="61"/>
  <c r="K1303" i="61"/>
  <c r="P1302" i="61"/>
  <c r="O1302" i="61"/>
  <c r="N1302" i="61"/>
  <c r="M1302" i="61"/>
  <c r="L1302" i="61"/>
  <c r="K1302" i="61"/>
  <c r="P1301" i="61"/>
  <c r="O1301" i="61"/>
  <c r="N1301" i="61"/>
  <c r="M1301" i="61"/>
  <c r="L1301" i="61"/>
  <c r="K1301" i="61"/>
  <c r="P1300" i="61"/>
  <c r="O1300" i="61"/>
  <c r="N1300" i="61"/>
  <c r="M1300" i="61"/>
  <c r="L1300" i="61"/>
  <c r="K1300" i="61"/>
  <c r="P1299" i="61"/>
  <c r="O1299" i="61"/>
  <c r="N1299" i="61"/>
  <c r="M1299" i="61"/>
  <c r="L1299" i="61"/>
  <c r="K1299" i="61"/>
  <c r="P1298" i="61"/>
  <c r="O1298" i="61"/>
  <c r="N1298" i="61"/>
  <c r="M1298" i="61"/>
  <c r="L1298" i="61"/>
  <c r="K1298" i="61"/>
  <c r="P1297" i="61"/>
  <c r="O1297" i="61"/>
  <c r="N1297" i="61"/>
  <c r="M1297" i="61"/>
  <c r="L1297" i="61"/>
  <c r="K1297" i="61"/>
  <c r="P1296" i="61"/>
  <c r="O1296" i="61"/>
  <c r="N1296" i="61"/>
  <c r="M1296" i="61"/>
  <c r="L1296" i="61"/>
  <c r="K1296" i="61"/>
  <c r="P1295" i="61"/>
  <c r="O1295" i="61"/>
  <c r="N1295" i="61"/>
  <c r="M1295" i="61"/>
  <c r="L1295" i="61"/>
  <c r="K1295" i="61"/>
  <c r="P1294" i="61"/>
  <c r="O1294" i="61"/>
  <c r="N1294" i="61"/>
  <c r="M1294" i="61"/>
  <c r="L1294" i="61"/>
  <c r="K1294" i="61"/>
  <c r="P1293" i="61"/>
  <c r="O1293" i="61"/>
  <c r="N1293" i="61"/>
  <c r="M1293" i="61"/>
  <c r="L1293" i="61"/>
  <c r="K1293" i="61"/>
  <c r="P1292" i="61"/>
  <c r="O1292" i="61"/>
  <c r="N1292" i="61"/>
  <c r="M1292" i="61"/>
  <c r="L1292" i="61"/>
  <c r="K1292" i="61"/>
  <c r="P1291" i="61"/>
  <c r="O1291" i="61"/>
  <c r="N1291" i="61"/>
  <c r="M1291" i="61"/>
  <c r="L1291" i="61"/>
  <c r="K1291" i="61"/>
  <c r="P1290" i="61"/>
  <c r="O1290" i="61"/>
  <c r="N1290" i="61"/>
  <c r="M1290" i="61"/>
  <c r="L1290" i="61"/>
  <c r="K1290" i="61"/>
  <c r="P1289" i="61"/>
  <c r="O1289" i="61"/>
  <c r="N1289" i="61"/>
  <c r="M1289" i="61"/>
  <c r="L1289" i="61"/>
  <c r="K1289" i="61"/>
  <c r="P1288" i="61"/>
  <c r="O1288" i="61"/>
  <c r="N1288" i="61"/>
  <c r="M1288" i="61"/>
  <c r="L1288" i="61"/>
  <c r="K1288" i="61"/>
  <c r="P1287" i="61"/>
  <c r="O1287" i="61"/>
  <c r="N1287" i="61"/>
  <c r="M1287" i="61"/>
  <c r="L1287" i="61"/>
  <c r="K1287" i="61"/>
  <c r="P1286" i="61"/>
  <c r="O1286" i="61"/>
  <c r="N1286" i="61"/>
  <c r="M1286" i="61"/>
  <c r="L1286" i="61"/>
  <c r="K1286" i="61"/>
  <c r="P1285" i="61"/>
  <c r="O1285" i="61"/>
  <c r="N1285" i="61"/>
  <c r="M1285" i="61"/>
  <c r="L1285" i="61"/>
  <c r="K1285" i="61"/>
  <c r="P1284" i="61"/>
  <c r="O1284" i="61"/>
  <c r="N1284" i="61"/>
  <c r="M1284" i="61"/>
  <c r="L1284" i="61"/>
  <c r="K1284" i="61"/>
  <c r="P1283" i="61"/>
  <c r="O1283" i="61"/>
  <c r="N1283" i="61"/>
  <c r="M1283" i="61"/>
  <c r="L1283" i="61"/>
  <c r="K1283" i="61"/>
  <c r="P1282" i="61"/>
  <c r="O1282" i="61"/>
  <c r="N1282" i="61"/>
  <c r="M1282" i="61"/>
  <c r="L1282" i="61"/>
  <c r="K1282" i="61"/>
  <c r="P1281" i="61"/>
  <c r="O1281" i="61"/>
  <c r="N1281" i="61"/>
  <c r="M1281" i="61"/>
  <c r="L1281" i="61"/>
  <c r="K1281" i="61"/>
  <c r="P1280" i="61"/>
  <c r="O1280" i="61"/>
  <c r="N1280" i="61"/>
  <c r="M1280" i="61"/>
  <c r="L1280" i="61"/>
  <c r="K1280" i="61"/>
  <c r="P1279" i="61"/>
  <c r="O1279" i="61"/>
  <c r="N1279" i="61"/>
  <c r="M1279" i="61"/>
  <c r="L1279" i="61"/>
  <c r="K1279" i="61"/>
  <c r="P1278" i="61"/>
  <c r="O1278" i="61"/>
  <c r="N1278" i="61"/>
  <c r="M1278" i="61"/>
  <c r="L1278" i="61"/>
  <c r="K1278" i="61"/>
  <c r="P1277" i="61"/>
  <c r="O1277" i="61"/>
  <c r="N1277" i="61"/>
  <c r="M1277" i="61"/>
  <c r="L1277" i="61"/>
  <c r="K1277" i="61"/>
  <c r="P1276" i="61"/>
  <c r="O1276" i="61"/>
  <c r="N1276" i="61"/>
  <c r="M1276" i="61"/>
  <c r="L1276" i="61"/>
  <c r="K1276" i="61"/>
  <c r="P1275" i="61"/>
  <c r="O1275" i="61"/>
  <c r="N1275" i="61"/>
  <c r="M1275" i="61"/>
  <c r="L1275" i="61"/>
  <c r="K1275" i="61"/>
  <c r="P1274" i="61"/>
  <c r="O1274" i="61"/>
  <c r="N1274" i="61"/>
  <c r="M1274" i="61"/>
  <c r="L1274" i="61"/>
  <c r="K1274" i="61"/>
  <c r="P1273" i="61"/>
  <c r="O1273" i="61"/>
  <c r="N1273" i="61"/>
  <c r="M1273" i="61"/>
  <c r="L1273" i="61"/>
  <c r="K1273" i="61"/>
  <c r="P1272" i="61"/>
  <c r="O1272" i="61"/>
  <c r="N1272" i="61"/>
  <c r="M1272" i="61"/>
  <c r="L1272" i="61"/>
  <c r="K1272" i="61"/>
  <c r="P1271" i="61"/>
  <c r="O1271" i="61"/>
  <c r="N1271" i="61"/>
  <c r="M1271" i="61"/>
  <c r="L1271" i="61"/>
  <c r="K1271" i="61"/>
  <c r="P1270" i="61"/>
  <c r="O1270" i="61"/>
  <c r="N1270" i="61"/>
  <c r="M1270" i="61"/>
  <c r="L1270" i="61"/>
  <c r="K1270" i="61"/>
  <c r="P1269" i="61"/>
  <c r="O1269" i="61"/>
  <c r="N1269" i="61"/>
  <c r="M1269" i="61"/>
  <c r="L1269" i="61"/>
  <c r="K1269" i="61"/>
  <c r="P1268" i="61"/>
  <c r="O1268" i="61"/>
  <c r="N1268" i="61"/>
  <c r="M1268" i="61"/>
  <c r="L1268" i="61"/>
  <c r="K1268" i="61"/>
  <c r="P1267" i="61"/>
  <c r="O1267" i="61"/>
  <c r="N1267" i="61"/>
  <c r="M1267" i="61"/>
  <c r="L1267" i="61"/>
  <c r="K1267" i="61"/>
  <c r="P1266" i="61"/>
  <c r="O1266" i="61"/>
  <c r="N1266" i="61"/>
  <c r="M1266" i="61"/>
  <c r="L1266" i="61"/>
  <c r="K1266" i="61"/>
  <c r="P1265" i="61"/>
  <c r="O1265" i="61"/>
  <c r="N1265" i="61"/>
  <c r="M1265" i="61"/>
  <c r="L1265" i="61"/>
  <c r="K1265" i="61"/>
  <c r="P1264" i="61"/>
  <c r="O1264" i="61"/>
  <c r="N1264" i="61"/>
  <c r="M1264" i="61"/>
  <c r="L1264" i="61"/>
  <c r="K1264" i="61"/>
  <c r="P1263" i="61"/>
  <c r="O1263" i="61"/>
  <c r="N1263" i="61"/>
  <c r="M1263" i="61"/>
  <c r="L1263" i="61"/>
  <c r="K1263" i="61"/>
  <c r="P1262" i="61"/>
  <c r="O1262" i="61"/>
  <c r="N1262" i="61"/>
  <c r="M1262" i="61"/>
  <c r="L1262" i="61"/>
  <c r="K1262" i="61"/>
  <c r="P1261" i="61"/>
  <c r="O1261" i="61"/>
  <c r="N1261" i="61"/>
  <c r="M1261" i="61"/>
  <c r="L1261" i="61"/>
  <c r="K1261" i="61"/>
  <c r="P1260" i="61"/>
  <c r="O1260" i="61"/>
  <c r="N1260" i="61"/>
  <c r="M1260" i="61"/>
  <c r="L1260" i="61"/>
  <c r="K1260" i="61"/>
  <c r="P1259" i="61"/>
  <c r="O1259" i="61"/>
  <c r="N1259" i="61"/>
  <c r="M1259" i="61"/>
  <c r="L1259" i="61"/>
  <c r="K1259" i="61"/>
  <c r="P1258" i="61"/>
  <c r="O1258" i="61"/>
  <c r="N1258" i="61"/>
  <c r="M1258" i="61"/>
  <c r="L1258" i="61"/>
  <c r="K1258" i="61"/>
  <c r="P1257" i="61"/>
  <c r="O1257" i="61"/>
  <c r="N1257" i="61"/>
  <c r="M1257" i="61"/>
  <c r="L1257" i="61"/>
  <c r="K1257" i="61"/>
  <c r="P1256" i="61"/>
  <c r="O1256" i="61"/>
  <c r="N1256" i="61"/>
  <c r="M1256" i="61"/>
  <c r="L1256" i="61"/>
  <c r="K1256" i="61"/>
  <c r="P1255" i="61"/>
  <c r="O1255" i="61"/>
  <c r="N1255" i="61"/>
  <c r="M1255" i="61"/>
  <c r="L1255" i="61"/>
  <c r="K1255" i="61"/>
  <c r="P1254" i="61"/>
  <c r="O1254" i="61"/>
  <c r="N1254" i="61"/>
  <c r="M1254" i="61"/>
  <c r="L1254" i="61"/>
  <c r="K1254" i="61"/>
  <c r="P1253" i="61"/>
  <c r="O1253" i="61"/>
  <c r="N1253" i="61"/>
  <c r="M1253" i="61"/>
  <c r="L1253" i="61"/>
  <c r="K1253" i="61"/>
  <c r="P1252" i="61"/>
  <c r="O1252" i="61"/>
  <c r="N1252" i="61"/>
  <c r="M1252" i="61"/>
  <c r="L1252" i="61"/>
  <c r="K1252" i="61"/>
  <c r="P1251" i="61"/>
  <c r="O1251" i="61"/>
  <c r="N1251" i="61"/>
  <c r="M1251" i="61"/>
  <c r="L1251" i="61"/>
  <c r="K1251" i="61"/>
  <c r="P1250" i="61"/>
  <c r="O1250" i="61"/>
  <c r="N1250" i="61"/>
  <c r="M1250" i="61"/>
  <c r="L1250" i="61"/>
  <c r="K1250" i="61"/>
  <c r="P1249" i="61"/>
  <c r="O1249" i="61"/>
  <c r="N1249" i="61"/>
  <c r="M1249" i="61"/>
  <c r="L1249" i="61"/>
  <c r="K1249" i="61"/>
  <c r="P1248" i="61"/>
  <c r="O1248" i="61"/>
  <c r="N1248" i="61"/>
  <c r="M1248" i="61"/>
  <c r="L1248" i="61"/>
  <c r="K1248" i="61"/>
  <c r="P1247" i="61"/>
  <c r="O1247" i="61"/>
  <c r="N1247" i="61"/>
  <c r="M1247" i="61"/>
  <c r="L1247" i="61"/>
  <c r="K1247" i="61"/>
  <c r="P1246" i="61"/>
  <c r="O1246" i="61"/>
  <c r="N1246" i="61"/>
  <c r="M1246" i="61"/>
  <c r="L1246" i="61"/>
  <c r="K1246" i="61"/>
  <c r="P1245" i="61"/>
  <c r="O1245" i="61"/>
  <c r="N1245" i="61"/>
  <c r="M1245" i="61"/>
  <c r="L1245" i="61"/>
  <c r="K1245" i="61"/>
  <c r="P1244" i="61"/>
  <c r="O1244" i="61"/>
  <c r="N1244" i="61"/>
  <c r="M1244" i="61"/>
  <c r="L1244" i="61"/>
  <c r="K1244" i="61"/>
  <c r="P1243" i="61"/>
  <c r="O1243" i="61"/>
  <c r="N1243" i="61"/>
  <c r="M1243" i="61"/>
  <c r="L1243" i="61"/>
  <c r="K1243" i="61"/>
  <c r="P1242" i="61"/>
  <c r="O1242" i="61"/>
  <c r="N1242" i="61"/>
  <c r="M1242" i="61"/>
  <c r="L1242" i="61"/>
  <c r="K1242" i="61"/>
  <c r="P1241" i="61"/>
  <c r="O1241" i="61"/>
  <c r="N1241" i="61"/>
  <c r="M1241" i="61"/>
  <c r="L1241" i="61"/>
  <c r="K1241" i="61"/>
  <c r="P1240" i="61"/>
  <c r="O1240" i="61"/>
  <c r="N1240" i="61"/>
  <c r="M1240" i="61"/>
  <c r="L1240" i="61"/>
  <c r="K1240" i="61"/>
  <c r="P1239" i="61"/>
  <c r="O1239" i="61"/>
  <c r="N1239" i="61"/>
  <c r="M1239" i="61"/>
  <c r="L1239" i="61"/>
  <c r="K1239" i="61"/>
  <c r="P1238" i="61"/>
  <c r="O1238" i="61"/>
  <c r="N1238" i="61"/>
  <c r="M1238" i="61"/>
  <c r="L1238" i="61"/>
  <c r="K1238" i="61"/>
  <c r="P1237" i="61"/>
  <c r="O1237" i="61"/>
  <c r="N1237" i="61"/>
  <c r="M1237" i="61"/>
  <c r="L1237" i="61"/>
  <c r="K1237" i="61"/>
  <c r="P1236" i="61"/>
  <c r="O1236" i="61"/>
  <c r="N1236" i="61"/>
  <c r="M1236" i="61"/>
  <c r="L1236" i="61"/>
  <c r="K1236" i="61"/>
  <c r="P1235" i="61"/>
  <c r="O1235" i="61"/>
  <c r="N1235" i="61"/>
  <c r="M1235" i="61"/>
  <c r="L1235" i="61"/>
  <c r="K1235" i="61"/>
  <c r="P1234" i="61"/>
  <c r="O1234" i="61"/>
  <c r="N1234" i="61"/>
  <c r="M1234" i="61"/>
  <c r="L1234" i="61"/>
  <c r="K1234" i="61"/>
  <c r="P1233" i="61"/>
  <c r="O1233" i="61"/>
  <c r="N1233" i="61"/>
  <c r="M1233" i="61"/>
  <c r="L1233" i="61"/>
  <c r="K1233" i="61"/>
  <c r="P1232" i="61"/>
  <c r="O1232" i="61"/>
  <c r="N1232" i="61"/>
  <c r="M1232" i="61"/>
  <c r="L1232" i="61"/>
  <c r="K1232" i="61"/>
  <c r="P1231" i="61"/>
  <c r="O1231" i="61"/>
  <c r="N1231" i="61"/>
  <c r="M1231" i="61"/>
  <c r="L1231" i="61"/>
  <c r="K1231" i="61"/>
  <c r="P1230" i="61"/>
  <c r="O1230" i="61"/>
  <c r="N1230" i="61"/>
  <c r="M1230" i="61"/>
  <c r="L1230" i="61"/>
  <c r="K1230" i="61"/>
  <c r="P1229" i="61"/>
  <c r="O1229" i="61"/>
  <c r="N1229" i="61"/>
  <c r="M1229" i="61"/>
  <c r="L1229" i="61"/>
  <c r="K1229" i="61"/>
  <c r="P1228" i="61"/>
  <c r="O1228" i="61"/>
  <c r="N1228" i="61"/>
  <c r="M1228" i="61"/>
  <c r="L1228" i="61"/>
  <c r="K1228" i="61"/>
  <c r="P1227" i="61"/>
  <c r="O1227" i="61"/>
  <c r="N1227" i="61"/>
  <c r="M1227" i="61"/>
  <c r="L1227" i="61"/>
  <c r="K1227" i="61"/>
  <c r="P1226" i="61"/>
  <c r="O1226" i="61"/>
  <c r="N1226" i="61"/>
  <c r="M1226" i="61"/>
  <c r="L1226" i="61"/>
  <c r="K1226" i="61"/>
  <c r="P1225" i="61"/>
  <c r="O1225" i="61"/>
  <c r="N1225" i="61"/>
  <c r="M1225" i="61"/>
  <c r="L1225" i="61"/>
  <c r="K1225" i="61"/>
  <c r="P1224" i="61"/>
  <c r="O1224" i="61"/>
  <c r="N1224" i="61"/>
  <c r="M1224" i="61"/>
  <c r="L1224" i="61"/>
  <c r="K1224" i="61"/>
  <c r="P1223" i="61"/>
  <c r="O1223" i="61"/>
  <c r="N1223" i="61"/>
  <c r="M1223" i="61"/>
  <c r="L1223" i="61"/>
  <c r="K1223" i="61"/>
  <c r="P1222" i="61"/>
  <c r="O1222" i="61"/>
  <c r="N1222" i="61"/>
  <c r="M1222" i="61"/>
  <c r="L1222" i="61"/>
  <c r="K1222" i="61"/>
  <c r="P1221" i="61"/>
  <c r="O1221" i="61"/>
  <c r="N1221" i="61"/>
  <c r="M1221" i="61"/>
  <c r="L1221" i="61"/>
  <c r="K1221" i="61"/>
  <c r="P1220" i="61"/>
  <c r="O1220" i="61"/>
  <c r="N1220" i="61"/>
  <c r="M1220" i="61"/>
  <c r="L1220" i="61"/>
  <c r="K1220" i="61"/>
  <c r="P1219" i="61"/>
  <c r="O1219" i="61"/>
  <c r="N1219" i="61"/>
  <c r="M1219" i="61"/>
  <c r="L1219" i="61"/>
  <c r="K1219" i="61"/>
  <c r="P1218" i="61"/>
  <c r="O1218" i="61"/>
  <c r="N1218" i="61"/>
  <c r="M1218" i="61"/>
  <c r="L1218" i="61"/>
  <c r="K1218" i="61"/>
  <c r="P1217" i="61"/>
  <c r="O1217" i="61"/>
  <c r="N1217" i="61"/>
  <c r="M1217" i="61"/>
  <c r="L1217" i="61"/>
  <c r="K1217" i="61"/>
  <c r="P1216" i="61"/>
  <c r="O1216" i="61"/>
  <c r="N1216" i="61"/>
  <c r="M1216" i="61"/>
  <c r="L1216" i="61"/>
  <c r="K1216" i="61"/>
  <c r="P1215" i="61"/>
  <c r="O1215" i="61"/>
  <c r="N1215" i="61"/>
  <c r="M1215" i="61"/>
  <c r="L1215" i="61"/>
  <c r="K1215" i="61"/>
  <c r="P1214" i="61"/>
  <c r="O1214" i="61"/>
  <c r="N1214" i="61"/>
  <c r="M1214" i="61"/>
  <c r="L1214" i="61"/>
  <c r="K1214" i="61"/>
  <c r="P1213" i="61"/>
  <c r="O1213" i="61"/>
  <c r="N1213" i="61"/>
  <c r="M1213" i="61"/>
  <c r="L1213" i="61"/>
  <c r="K1213" i="61"/>
  <c r="P1212" i="61"/>
  <c r="O1212" i="61"/>
  <c r="N1212" i="61"/>
  <c r="M1212" i="61"/>
  <c r="L1212" i="61"/>
  <c r="K1212" i="61"/>
  <c r="P1211" i="61"/>
  <c r="O1211" i="61"/>
  <c r="N1211" i="61"/>
  <c r="M1211" i="61"/>
  <c r="L1211" i="61"/>
  <c r="K1211" i="61"/>
  <c r="P1210" i="61"/>
  <c r="O1210" i="61"/>
  <c r="N1210" i="61"/>
  <c r="M1210" i="61"/>
  <c r="L1210" i="61"/>
  <c r="K1210" i="61"/>
  <c r="P1209" i="61"/>
  <c r="O1209" i="61"/>
  <c r="N1209" i="61"/>
  <c r="M1209" i="61"/>
  <c r="L1209" i="61"/>
  <c r="K1209" i="61"/>
  <c r="P1208" i="61"/>
  <c r="O1208" i="61"/>
  <c r="N1208" i="61"/>
  <c r="M1208" i="61"/>
  <c r="L1208" i="61"/>
  <c r="K1208" i="61"/>
  <c r="P1207" i="61"/>
  <c r="O1207" i="61"/>
  <c r="N1207" i="61"/>
  <c r="M1207" i="61"/>
  <c r="L1207" i="61"/>
  <c r="K1207" i="61"/>
  <c r="P1206" i="61"/>
  <c r="O1206" i="61"/>
  <c r="N1206" i="61"/>
  <c r="M1206" i="61"/>
  <c r="L1206" i="61"/>
  <c r="K1206" i="61"/>
  <c r="P1205" i="61"/>
  <c r="O1205" i="61"/>
  <c r="N1205" i="61"/>
  <c r="M1205" i="61"/>
  <c r="L1205" i="61"/>
  <c r="K1205" i="61"/>
  <c r="P1204" i="61"/>
  <c r="O1204" i="61"/>
  <c r="N1204" i="61"/>
  <c r="M1204" i="61"/>
  <c r="L1204" i="61"/>
  <c r="K1204" i="61"/>
  <c r="P1203" i="61"/>
  <c r="O1203" i="61"/>
  <c r="N1203" i="61"/>
  <c r="M1203" i="61"/>
  <c r="L1203" i="61"/>
  <c r="K1203" i="61"/>
  <c r="P1202" i="61"/>
  <c r="O1202" i="61"/>
  <c r="N1202" i="61"/>
  <c r="M1202" i="61"/>
  <c r="L1202" i="61"/>
  <c r="K1202" i="61"/>
  <c r="P1201" i="61"/>
  <c r="O1201" i="61"/>
  <c r="N1201" i="61"/>
  <c r="M1201" i="61"/>
  <c r="L1201" i="61"/>
  <c r="K1201" i="61"/>
  <c r="P1200" i="61"/>
  <c r="O1200" i="61"/>
  <c r="N1200" i="61"/>
  <c r="M1200" i="61"/>
  <c r="L1200" i="61"/>
  <c r="K1200" i="61"/>
  <c r="P1199" i="61"/>
  <c r="O1199" i="61"/>
  <c r="N1199" i="61"/>
  <c r="M1199" i="61"/>
  <c r="L1199" i="61"/>
  <c r="K1199" i="61"/>
  <c r="P1198" i="61"/>
  <c r="O1198" i="61"/>
  <c r="N1198" i="61"/>
  <c r="M1198" i="61"/>
  <c r="L1198" i="61"/>
  <c r="K1198" i="61"/>
  <c r="P1197" i="61"/>
  <c r="O1197" i="61"/>
  <c r="N1197" i="61"/>
  <c r="M1197" i="61"/>
  <c r="L1197" i="61"/>
  <c r="K1197" i="61"/>
  <c r="P1196" i="61"/>
  <c r="O1196" i="61"/>
  <c r="N1196" i="61"/>
  <c r="M1196" i="61"/>
  <c r="L1196" i="61"/>
  <c r="K1196" i="61"/>
  <c r="P1195" i="61"/>
  <c r="O1195" i="61"/>
  <c r="N1195" i="61"/>
  <c r="M1195" i="61"/>
  <c r="L1195" i="61"/>
  <c r="K1195" i="61"/>
  <c r="P1194" i="61"/>
  <c r="O1194" i="61"/>
  <c r="N1194" i="61"/>
  <c r="M1194" i="61"/>
  <c r="L1194" i="61"/>
  <c r="K1194" i="61"/>
  <c r="P1193" i="61"/>
  <c r="O1193" i="61"/>
  <c r="N1193" i="61"/>
  <c r="M1193" i="61"/>
  <c r="L1193" i="61"/>
  <c r="K1193" i="61"/>
  <c r="P1192" i="61"/>
  <c r="O1192" i="61"/>
  <c r="N1192" i="61"/>
  <c r="M1192" i="61"/>
  <c r="L1192" i="61"/>
  <c r="K1192" i="61"/>
  <c r="P1191" i="61"/>
  <c r="O1191" i="61"/>
  <c r="N1191" i="61"/>
  <c r="M1191" i="61"/>
  <c r="L1191" i="61"/>
  <c r="K1191" i="61"/>
  <c r="P1190" i="61"/>
  <c r="O1190" i="61"/>
  <c r="N1190" i="61"/>
  <c r="M1190" i="61"/>
  <c r="L1190" i="61"/>
  <c r="K1190" i="61"/>
  <c r="P1189" i="61"/>
  <c r="O1189" i="61"/>
  <c r="N1189" i="61"/>
  <c r="M1189" i="61"/>
  <c r="L1189" i="61"/>
  <c r="K1189" i="61"/>
  <c r="P1188" i="61"/>
  <c r="O1188" i="61"/>
  <c r="N1188" i="61"/>
  <c r="M1188" i="61"/>
  <c r="L1188" i="61"/>
  <c r="K1188" i="61"/>
  <c r="P1187" i="61"/>
  <c r="O1187" i="61"/>
  <c r="N1187" i="61"/>
  <c r="M1187" i="61"/>
  <c r="L1187" i="61"/>
  <c r="K1187" i="61"/>
  <c r="P1186" i="61"/>
  <c r="O1186" i="61"/>
  <c r="N1186" i="61"/>
  <c r="M1186" i="61"/>
  <c r="L1186" i="61"/>
  <c r="K1186" i="61"/>
  <c r="P1185" i="61"/>
  <c r="O1185" i="61"/>
  <c r="N1185" i="61"/>
  <c r="M1185" i="61"/>
  <c r="L1185" i="61"/>
  <c r="K1185" i="61"/>
  <c r="P1184" i="61"/>
  <c r="O1184" i="61"/>
  <c r="N1184" i="61"/>
  <c r="M1184" i="61"/>
  <c r="L1184" i="61"/>
  <c r="K1184" i="61"/>
  <c r="P1183" i="61"/>
  <c r="O1183" i="61"/>
  <c r="N1183" i="61"/>
  <c r="M1183" i="61"/>
  <c r="L1183" i="61"/>
  <c r="K1183" i="61"/>
  <c r="P1182" i="61"/>
  <c r="O1182" i="61"/>
  <c r="N1182" i="61"/>
  <c r="M1182" i="61"/>
  <c r="L1182" i="61"/>
  <c r="K1182" i="61"/>
  <c r="P1181" i="61"/>
  <c r="O1181" i="61"/>
  <c r="N1181" i="61"/>
  <c r="M1181" i="61"/>
  <c r="L1181" i="61"/>
  <c r="K1181" i="61"/>
  <c r="P1180" i="61"/>
  <c r="O1180" i="61"/>
  <c r="N1180" i="61"/>
  <c r="M1180" i="61"/>
  <c r="L1180" i="61"/>
  <c r="K1180" i="61"/>
  <c r="P1179" i="61"/>
  <c r="O1179" i="61"/>
  <c r="N1179" i="61"/>
  <c r="M1179" i="61"/>
  <c r="L1179" i="61"/>
  <c r="K1179" i="61"/>
  <c r="P1178" i="61"/>
  <c r="O1178" i="61"/>
  <c r="N1178" i="61"/>
  <c r="M1178" i="61"/>
  <c r="L1178" i="61"/>
  <c r="K1178" i="61"/>
  <c r="P1177" i="61"/>
  <c r="O1177" i="61"/>
  <c r="N1177" i="61"/>
  <c r="M1177" i="61"/>
  <c r="L1177" i="61"/>
  <c r="K1177" i="61"/>
  <c r="P1176" i="61"/>
  <c r="O1176" i="61"/>
  <c r="N1176" i="61"/>
  <c r="M1176" i="61"/>
  <c r="L1176" i="61"/>
  <c r="K1176" i="61"/>
  <c r="P1175" i="61"/>
  <c r="O1175" i="61"/>
  <c r="N1175" i="61"/>
  <c r="M1175" i="61"/>
  <c r="L1175" i="61"/>
  <c r="K1175" i="61"/>
  <c r="P1174" i="61"/>
  <c r="O1174" i="61"/>
  <c r="N1174" i="61"/>
  <c r="M1174" i="61"/>
  <c r="L1174" i="61"/>
  <c r="K1174" i="61"/>
  <c r="P1173" i="61"/>
  <c r="O1173" i="61"/>
  <c r="N1173" i="61"/>
  <c r="M1173" i="61"/>
  <c r="L1173" i="61"/>
  <c r="K1173" i="61"/>
  <c r="P1172" i="61"/>
  <c r="O1172" i="61"/>
  <c r="N1172" i="61"/>
  <c r="M1172" i="61"/>
  <c r="L1172" i="61"/>
  <c r="K1172" i="61"/>
  <c r="P1171" i="61"/>
  <c r="O1171" i="61"/>
  <c r="N1171" i="61"/>
  <c r="M1171" i="61"/>
  <c r="L1171" i="61"/>
  <c r="K1171" i="61"/>
  <c r="P1170" i="61"/>
  <c r="O1170" i="61"/>
  <c r="N1170" i="61"/>
  <c r="M1170" i="61"/>
  <c r="L1170" i="61"/>
  <c r="K1170" i="61"/>
  <c r="P1169" i="61"/>
  <c r="O1169" i="61"/>
  <c r="N1169" i="61"/>
  <c r="M1169" i="61"/>
  <c r="L1169" i="61"/>
  <c r="K1169" i="61"/>
  <c r="P1168" i="61"/>
  <c r="O1168" i="61"/>
  <c r="N1168" i="61"/>
  <c r="M1168" i="61"/>
  <c r="L1168" i="61"/>
  <c r="K1168" i="61"/>
  <c r="P1167" i="61"/>
  <c r="O1167" i="61"/>
  <c r="N1167" i="61"/>
  <c r="M1167" i="61"/>
  <c r="L1167" i="61"/>
  <c r="K1167" i="61"/>
  <c r="P1166" i="61"/>
  <c r="O1166" i="61"/>
  <c r="N1166" i="61"/>
  <c r="M1166" i="61"/>
  <c r="L1166" i="61"/>
  <c r="K1166" i="61"/>
  <c r="P1165" i="61"/>
  <c r="O1165" i="61"/>
  <c r="N1165" i="61"/>
  <c r="M1165" i="61"/>
  <c r="L1165" i="61"/>
  <c r="K1165" i="61"/>
  <c r="P1164" i="61"/>
  <c r="O1164" i="61"/>
  <c r="N1164" i="61"/>
  <c r="M1164" i="61"/>
  <c r="L1164" i="61"/>
  <c r="K1164" i="61"/>
  <c r="P1163" i="61"/>
  <c r="O1163" i="61"/>
  <c r="N1163" i="61"/>
  <c r="M1163" i="61"/>
  <c r="L1163" i="61"/>
  <c r="K1163" i="61"/>
  <c r="P1162" i="61"/>
  <c r="O1162" i="61"/>
  <c r="N1162" i="61"/>
  <c r="M1162" i="61"/>
  <c r="L1162" i="61"/>
  <c r="K1162" i="61"/>
  <c r="P1161" i="61"/>
  <c r="O1161" i="61"/>
  <c r="N1161" i="61"/>
  <c r="M1161" i="61"/>
  <c r="L1161" i="61"/>
  <c r="K1161" i="61"/>
  <c r="P1160" i="61"/>
  <c r="O1160" i="61"/>
  <c r="N1160" i="61"/>
  <c r="M1160" i="61"/>
  <c r="L1160" i="61"/>
  <c r="K1160" i="61"/>
  <c r="P1159" i="61"/>
  <c r="O1159" i="61"/>
  <c r="N1159" i="61"/>
  <c r="M1159" i="61"/>
  <c r="L1159" i="61"/>
  <c r="K1159" i="61"/>
  <c r="P1158" i="61"/>
  <c r="O1158" i="61"/>
  <c r="N1158" i="61"/>
  <c r="M1158" i="61"/>
  <c r="L1158" i="61"/>
  <c r="K1158" i="61"/>
  <c r="P1157" i="61"/>
  <c r="O1157" i="61"/>
  <c r="N1157" i="61"/>
  <c r="M1157" i="61"/>
  <c r="L1157" i="61"/>
  <c r="K1157" i="61"/>
  <c r="P1156" i="61"/>
  <c r="O1156" i="61"/>
  <c r="N1156" i="61"/>
  <c r="M1156" i="61"/>
  <c r="L1156" i="61"/>
  <c r="K1156" i="61"/>
  <c r="P1155" i="61"/>
  <c r="O1155" i="61"/>
  <c r="N1155" i="61"/>
  <c r="M1155" i="61"/>
  <c r="L1155" i="61"/>
  <c r="K1155" i="61"/>
  <c r="P1154" i="61"/>
  <c r="O1154" i="61"/>
  <c r="N1154" i="61"/>
  <c r="M1154" i="61"/>
  <c r="L1154" i="61"/>
  <c r="K1154" i="61"/>
  <c r="P1153" i="61"/>
  <c r="O1153" i="61"/>
  <c r="N1153" i="61"/>
  <c r="M1153" i="61"/>
  <c r="L1153" i="61"/>
  <c r="K1153" i="61"/>
  <c r="P1152" i="61"/>
  <c r="O1152" i="61"/>
  <c r="N1152" i="61"/>
  <c r="M1152" i="61"/>
  <c r="L1152" i="61"/>
  <c r="K1152" i="61"/>
  <c r="P1151" i="61"/>
  <c r="O1151" i="61"/>
  <c r="N1151" i="61"/>
  <c r="M1151" i="61"/>
  <c r="L1151" i="61"/>
  <c r="K1151" i="61"/>
  <c r="P1150" i="61"/>
  <c r="O1150" i="61"/>
  <c r="N1150" i="61"/>
  <c r="M1150" i="61"/>
  <c r="L1150" i="61"/>
  <c r="K1150" i="61"/>
  <c r="P1149" i="61"/>
  <c r="O1149" i="61"/>
  <c r="N1149" i="61"/>
  <c r="M1149" i="61"/>
  <c r="L1149" i="61"/>
  <c r="K1149" i="61"/>
  <c r="P1148" i="61"/>
  <c r="O1148" i="61"/>
  <c r="N1148" i="61"/>
  <c r="M1148" i="61"/>
  <c r="L1148" i="61"/>
  <c r="K1148" i="61"/>
  <c r="P1147" i="61"/>
  <c r="O1147" i="61"/>
  <c r="N1147" i="61"/>
  <c r="M1147" i="61"/>
  <c r="L1147" i="61"/>
  <c r="K1147" i="61"/>
  <c r="P1146" i="61"/>
  <c r="O1146" i="61"/>
  <c r="N1146" i="61"/>
  <c r="M1146" i="61"/>
  <c r="L1146" i="61"/>
  <c r="K1146" i="61"/>
  <c r="P1145" i="61"/>
  <c r="O1145" i="61"/>
  <c r="N1145" i="61"/>
  <c r="M1145" i="61"/>
  <c r="L1145" i="61"/>
  <c r="K1145" i="61"/>
  <c r="P1144" i="61"/>
  <c r="O1144" i="61"/>
  <c r="N1144" i="61"/>
  <c r="M1144" i="61"/>
  <c r="L1144" i="61"/>
  <c r="K1144" i="61"/>
  <c r="P1143" i="61"/>
  <c r="O1143" i="61"/>
  <c r="N1143" i="61"/>
  <c r="M1143" i="61"/>
  <c r="L1143" i="61"/>
  <c r="K1143" i="61"/>
  <c r="P1142" i="61"/>
  <c r="O1142" i="61"/>
  <c r="N1142" i="61"/>
  <c r="M1142" i="61"/>
  <c r="L1142" i="61"/>
  <c r="K1142" i="61"/>
  <c r="P1141" i="61"/>
  <c r="O1141" i="61"/>
  <c r="N1141" i="61"/>
  <c r="M1141" i="61"/>
  <c r="L1141" i="61"/>
  <c r="K1141" i="61"/>
  <c r="P1140" i="61"/>
  <c r="O1140" i="61"/>
  <c r="N1140" i="61"/>
  <c r="M1140" i="61"/>
  <c r="L1140" i="61"/>
  <c r="K1140" i="61"/>
  <c r="P1139" i="61"/>
  <c r="O1139" i="61"/>
  <c r="N1139" i="61"/>
  <c r="M1139" i="61"/>
  <c r="L1139" i="61"/>
  <c r="K1139" i="61"/>
  <c r="P1138" i="61"/>
  <c r="O1138" i="61"/>
  <c r="N1138" i="61"/>
  <c r="M1138" i="61"/>
  <c r="L1138" i="61"/>
  <c r="K1138" i="61"/>
  <c r="P1137" i="61"/>
  <c r="O1137" i="61"/>
  <c r="N1137" i="61"/>
  <c r="M1137" i="61"/>
  <c r="L1137" i="61"/>
  <c r="K1137" i="61"/>
  <c r="P1136" i="61"/>
  <c r="O1136" i="61"/>
  <c r="N1136" i="61"/>
  <c r="M1136" i="61"/>
  <c r="L1136" i="61"/>
  <c r="K1136" i="61"/>
  <c r="P1135" i="61"/>
  <c r="O1135" i="61"/>
  <c r="N1135" i="61"/>
  <c r="M1135" i="61"/>
  <c r="L1135" i="61"/>
  <c r="K1135" i="61"/>
  <c r="P1134" i="61"/>
  <c r="O1134" i="61"/>
  <c r="N1134" i="61"/>
  <c r="M1134" i="61"/>
  <c r="L1134" i="61"/>
  <c r="K1134" i="61"/>
  <c r="P1133" i="61"/>
  <c r="O1133" i="61"/>
  <c r="N1133" i="61"/>
  <c r="M1133" i="61"/>
  <c r="L1133" i="61"/>
  <c r="K1133" i="61"/>
  <c r="P1132" i="61"/>
  <c r="O1132" i="61"/>
  <c r="N1132" i="61"/>
  <c r="M1132" i="61"/>
  <c r="L1132" i="61"/>
  <c r="K1132" i="61"/>
  <c r="P1131" i="61"/>
  <c r="O1131" i="61"/>
  <c r="N1131" i="61"/>
  <c r="M1131" i="61"/>
  <c r="L1131" i="61"/>
  <c r="K1131" i="61"/>
  <c r="P1130" i="61"/>
  <c r="O1130" i="61"/>
  <c r="N1130" i="61"/>
  <c r="M1130" i="61"/>
  <c r="L1130" i="61"/>
  <c r="K1130" i="61"/>
  <c r="P1129" i="61"/>
  <c r="O1129" i="61"/>
  <c r="N1129" i="61"/>
  <c r="M1129" i="61"/>
  <c r="L1129" i="61"/>
  <c r="K1129" i="61"/>
  <c r="P1128" i="61"/>
  <c r="O1128" i="61"/>
  <c r="N1128" i="61"/>
  <c r="M1128" i="61"/>
  <c r="L1128" i="61"/>
  <c r="K1128" i="61"/>
  <c r="P1127" i="61"/>
  <c r="O1127" i="61"/>
  <c r="N1127" i="61"/>
  <c r="M1127" i="61"/>
  <c r="L1127" i="61"/>
  <c r="K1127" i="61"/>
  <c r="P1126" i="61"/>
  <c r="O1126" i="61"/>
  <c r="N1126" i="61"/>
  <c r="M1126" i="61"/>
  <c r="L1126" i="61"/>
  <c r="K1126" i="61"/>
  <c r="P1125" i="61"/>
  <c r="O1125" i="61"/>
  <c r="N1125" i="61"/>
  <c r="M1125" i="61"/>
  <c r="L1125" i="61"/>
  <c r="K1125" i="61"/>
  <c r="P1124" i="61"/>
  <c r="O1124" i="61"/>
  <c r="N1124" i="61"/>
  <c r="M1124" i="61"/>
  <c r="L1124" i="61"/>
  <c r="K1124" i="61"/>
  <c r="P1123" i="61"/>
  <c r="O1123" i="61"/>
  <c r="N1123" i="61"/>
  <c r="M1123" i="61"/>
  <c r="L1123" i="61"/>
  <c r="K1123" i="61"/>
  <c r="P1122" i="61"/>
  <c r="O1122" i="61"/>
  <c r="N1122" i="61"/>
  <c r="M1122" i="61"/>
  <c r="L1122" i="61"/>
  <c r="K1122" i="61"/>
  <c r="P1121" i="61"/>
  <c r="O1121" i="61"/>
  <c r="N1121" i="61"/>
  <c r="M1121" i="61"/>
  <c r="L1121" i="61"/>
  <c r="K1121" i="61"/>
  <c r="P1120" i="61"/>
  <c r="O1120" i="61"/>
  <c r="N1120" i="61"/>
  <c r="M1120" i="61"/>
  <c r="L1120" i="61"/>
  <c r="K1120" i="61"/>
  <c r="P1119" i="61"/>
  <c r="O1119" i="61"/>
  <c r="N1119" i="61"/>
  <c r="M1119" i="61"/>
  <c r="L1119" i="61"/>
  <c r="K1119" i="61"/>
  <c r="P1118" i="61"/>
  <c r="O1118" i="61"/>
  <c r="N1118" i="61"/>
  <c r="M1118" i="61"/>
  <c r="L1118" i="61"/>
  <c r="K1118" i="61"/>
  <c r="P1117" i="61"/>
  <c r="O1117" i="61"/>
  <c r="N1117" i="61"/>
  <c r="M1117" i="61"/>
  <c r="L1117" i="61"/>
  <c r="K1117" i="61"/>
  <c r="P1116" i="61"/>
  <c r="O1116" i="61"/>
  <c r="N1116" i="61"/>
  <c r="M1116" i="61"/>
  <c r="L1116" i="61"/>
  <c r="K1116" i="61"/>
  <c r="P1115" i="61"/>
  <c r="O1115" i="61"/>
  <c r="N1115" i="61"/>
  <c r="M1115" i="61"/>
  <c r="L1115" i="61"/>
  <c r="K1115" i="61"/>
  <c r="P1114" i="61"/>
  <c r="O1114" i="61"/>
  <c r="N1114" i="61"/>
  <c r="M1114" i="61"/>
  <c r="L1114" i="61"/>
  <c r="K1114" i="61"/>
  <c r="P1113" i="61"/>
  <c r="O1113" i="61"/>
  <c r="N1113" i="61"/>
  <c r="M1113" i="61"/>
  <c r="L1113" i="61"/>
  <c r="K1113" i="61"/>
  <c r="P1112" i="61"/>
  <c r="O1112" i="61"/>
  <c r="N1112" i="61"/>
  <c r="M1112" i="61"/>
  <c r="L1112" i="61"/>
  <c r="K1112" i="61"/>
  <c r="P1111" i="61"/>
  <c r="O1111" i="61"/>
  <c r="N1111" i="61"/>
  <c r="M1111" i="61"/>
  <c r="L1111" i="61"/>
  <c r="K1111" i="61"/>
  <c r="P1110" i="61"/>
  <c r="O1110" i="61"/>
  <c r="N1110" i="61"/>
  <c r="M1110" i="61"/>
  <c r="L1110" i="61"/>
  <c r="K1110" i="61"/>
  <c r="P1109" i="61"/>
  <c r="O1109" i="61"/>
  <c r="N1109" i="61"/>
  <c r="M1109" i="61"/>
  <c r="L1109" i="61"/>
  <c r="K1109" i="61"/>
  <c r="P1108" i="61"/>
  <c r="O1108" i="61"/>
  <c r="N1108" i="61"/>
  <c r="M1108" i="61"/>
  <c r="L1108" i="61"/>
  <c r="K1108" i="61"/>
  <c r="P1107" i="61"/>
  <c r="O1107" i="61"/>
  <c r="N1107" i="61"/>
  <c r="M1107" i="61"/>
  <c r="L1107" i="61"/>
  <c r="K1107" i="61"/>
  <c r="P1106" i="61"/>
  <c r="O1106" i="61"/>
  <c r="N1106" i="61"/>
  <c r="M1106" i="61"/>
  <c r="L1106" i="61"/>
  <c r="K1106" i="61"/>
  <c r="P1105" i="61"/>
  <c r="O1105" i="61"/>
  <c r="N1105" i="61"/>
  <c r="M1105" i="61"/>
  <c r="L1105" i="61"/>
  <c r="K1105" i="61"/>
  <c r="P1104" i="61"/>
  <c r="O1104" i="61"/>
  <c r="N1104" i="61"/>
  <c r="M1104" i="61"/>
  <c r="L1104" i="61"/>
  <c r="K1104" i="61"/>
  <c r="P1103" i="61"/>
  <c r="O1103" i="61"/>
  <c r="N1103" i="61"/>
  <c r="M1103" i="61"/>
  <c r="L1103" i="61"/>
  <c r="K1103" i="61"/>
  <c r="P1102" i="61"/>
  <c r="O1102" i="61"/>
  <c r="N1102" i="61"/>
  <c r="M1102" i="61"/>
  <c r="L1102" i="61"/>
  <c r="K1102" i="61"/>
  <c r="P1101" i="61"/>
  <c r="O1101" i="61"/>
  <c r="N1101" i="61"/>
  <c r="M1101" i="61"/>
  <c r="L1101" i="61"/>
  <c r="K1101" i="61"/>
  <c r="P1100" i="61"/>
  <c r="O1100" i="61"/>
  <c r="N1100" i="61"/>
  <c r="M1100" i="61"/>
  <c r="L1100" i="61"/>
  <c r="K1100" i="61"/>
  <c r="P1099" i="61"/>
  <c r="O1099" i="61"/>
  <c r="N1099" i="61"/>
  <c r="M1099" i="61"/>
  <c r="L1099" i="61"/>
  <c r="K1099" i="61"/>
  <c r="P1098" i="61"/>
  <c r="O1098" i="61"/>
  <c r="N1098" i="61"/>
  <c r="M1098" i="61"/>
  <c r="L1098" i="61"/>
  <c r="K1098" i="61"/>
  <c r="P1097" i="61"/>
  <c r="O1097" i="61"/>
  <c r="N1097" i="61"/>
  <c r="M1097" i="61"/>
  <c r="L1097" i="61"/>
  <c r="K1097" i="61"/>
  <c r="P1096" i="61"/>
  <c r="O1096" i="61"/>
  <c r="N1096" i="61"/>
  <c r="M1096" i="61"/>
  <c r="L1096" i="61"/>
  <c r="K1096" i="61"/>
  <c r="P1095" i="61"/>
  <c r="O1095" i="61"/>
  <c r="N1095" i="61"/>
  <c r="M1095" i="61"/>
  <c r="L1095" i="61"/>
  <c r="K1095" i="61"/>
  <c r="P1094" i="61"/>
  <c r="O1094" i="61"/>
  <c r="N1094" i="61"/>
  <c r="M1094" i="61"/>
  <c r="L1094" i="61"/>
  <c r="K1094" i="61"/>
  <c r="P1093" i="61"/>
  <c r="O1093" i="61"/>
  <c r="N1093" i="61"/>
  <c r="M1093" i="61"/>
  <c r="L1093" i="61"/>
  <c r="K1093" i="61"/>
  <c r="P1092" i="61"/>
  <c r="O1092" i="61"/>
  <c r="N1092" i="61"/>
  <c r="M1092" i="61"/>
  <c r="L1092" i="61"/>
  <c r="K1092" i="61"/>
  <c r="P1091" i="61"/>
  <c r="O1091" i="61"/>
  <c r="N1091" i="61"/>
  <c r="M1091" i="61"/>
  <c r="L1091" i="61"/>
  <c r="K1091" i="61"/>
  <c r="P1090" i="61"/>
  <c r="O1090" i="61"/>
  <c r="N1090" i="61"/>
  <c r="M1090" i="61"/>
  <c r="L1090" i="61"/>
  <c r="K1090" i="61"/>
  <c r="P1089" i="61"/>
  <c r="O1089" i="61"/>
  <c r="N1089" i="61"/>
  <c r="M1089" i="61"/>
  <c r="L1089" i="61"/>
  <c r="K1089" i="61"/>
  <c r="P1088" i="61"/>
  <c r="O1088" i="61"/>
  <c r="N1088" i="61"/>
  <c r="M1088" i="61"/>
  <c r="L1088" i="61"/>
  <c r="K1088" i="61"/>
  <c r="P1087" i="61"/>
  <c r="O1087" i="61"/>
  <c r="N1087" i="61"/>
  <c r="M1087" i="61"/>
  <c r="L1087" i="61"/>
  <c r="K1087" i="61"/>
  <c r="P1086" i="61"/>
  <c r="O1086" i="61"/>
  <c r="N1086" i="61"/>
  <c r="M1086" i="61"/>
  <c r="L1086" i="61"/>
  <c r="K1086" i="61"/>
  <c r="P1085" i="61"/>
  <c r="O1085" i="61"/>
  <c r="N1085" i="61"/>
  <c r="M1085" i="61"/>
  <c r="L1085" i="61"/>
  <c r="K1085" i="61"/>
  <c r="P1084" i="61"/>
  <c r="O1084" i="61"/>
  <c r="N1084" i="61"/>
  <c r="M1084" i="61"/>
  <c r="L1084" i="61"/>
  <c r="K1084" i="61"/>
  <c r="P1083" i="61"/>
  <c r="O1083" i="61"/>
  <c r="N1083" i="61"/>
  <c r="M1083" i="61"/>
  <c r="L1083" i="61"/>
  <c r="K1083" i="61"/>
  <c r="P1082" i="61"/>
  <c r="O1082" i="61"/>
  <c r="N1082" i="61"/>
  <c r="M1082" i="61"/>
  <c r="L1082" i="61"/>
  <c r="K1082" i="61"/>
  <c r="P1081" i="61"/>
  <c r="O1081" i="61"/>
  <c r="N1081" i="61"/>
  <c r="M1081" i="61"/>
  <c r="L1081" i="61"/>
  <c r="K1081" i="61"/>
  <c r="P1080" i="61"/>
  <c r="O1080" i="61"/>
  <c r="N1080" i="61"/>
  <c r="M1080" i="61"/>
  <c r="L1080" i="61"/>
  <c r="K1080" i="61"/>
  <c r="P1079" i="61"/>
  <c r="O1079" i="61"/>
  <c r="N1079" i="61"/>
  <c r="M1079" i="61"/>
  <c r="L1079" i="61"/>
  <c r="K1079" i="61"/>
  <c r="P1078" i="61"/>
  <c r="O1078" i="61"/>
  <c r="N1078" i="61"/>
  <c r="M1078" i="61"/>
  <c r="L1078" i="61"/>
  <c r="K1078" i="61"/>
  <c r="P1077" i="61"/>
  <c r="O1077" i="61"/>
  <c r="N1077" i="61"/>
  <c r="M1077" i="61"/>
  <c r="L1077" i="61"/>
  <c r="K1077" i="61"/>
  <c r="P1076" i="61"/>
  <c r="O1076" i="61"/>
  <c r="N1076" i="61"/>
  <c r="M1076" i="61"/>
  <c r="L1076" i="61"/>
  <c r="K1076" i="61"/>
  <c r="P1075" i="61"/>
  <c r="O1075" i="61"/>
  <c r="N1075" i="61"/>
  <c r="M1075" i="61"/>
  <c r="L1075" i="61"/>
  <c r="K1075" i="61"/>
  <c r="P1074" i="61"/>
  <c r="O1074" i="61"/>
  <c r="N1074" i="61"/>
  <c r="M1074" i="61"/>
  <c r="L1074" i="61"/>
  <c r="K1074" i="61"/>
  <c r="P1073" i="61"/>
  <c r="O1073" i="61"/>
  <c r="N1073" i="61"/>
  <c r="M1073" i="61"/>
  <c r="L1073" i="61"/>
  <c r="K1073" i="61"/>
  <c r="P1072" i="61"/>
  <c r="O1072" i="61"/>
  <c r="N1072" i="61"/>
  <c r="M1072" i="61"/>
  <c r="L1072" i="61"/>
  <c r="K1072" i="61"/>
  <c r="P1071" i="61"/>
  <c r="O1071" i="61"/>
  <c r="N1071" i="61"/>
  <c r="M1071" i="61"/>
  <c r="L1071" i="61"/>
  <c r="K1071" i="61"/>
  <c r="P1070" i="61"/>
  <c r="O1070" i="61"/>
  <c r="N1070" i="61"/>
  <c r="M1070" i="61"/>
  <c r="L1070" i="61"/>
  <c r="K1070" i="61"/>
  <c r="P1069" i="61"/>
  <c r="O1069" i="61"/>
  <c r="N1069" i="61"/>
  <c r="M1069" i="61"/>
  <c r="L1069" i="61"/>
  <c r="K1069" i="61"/>
  <c r="P1068" i="61"/>
  <c r="O1068" i="61"/>
  <c r="N1068" i="61"/>
  <c r="M1068" i="61"/>
  <c r="L1068" i="61"/>
  <c r="K1068" i="61"/>
  <c r="P1067" i="61"/>
  <c r="O1067" i="61"/>
  <c r="N1067" i="61"/>
  <c r="M1067" i="61"/>
  <c r="L1067" i="61"/>
  <c r="K1067" i="61"/>
  <c r="P1066" i="61"/>
  <c r="O1066" i="61"/>
  <c r="N1066" i="61"/>
  <c r="M1066" i="61"/>
  <c r="L1066" i="61"/>
  <c r="K1066" i="61"/>
  <c r="P1065" i="61"/>
  <c r="O1065" i="61"/>
  <c r="N1065" i="61"/>
  <c r="M1065" i="61"/>
  <c r="L1065" i="61"/>
  <c r="K1065" i="61"/>
  <c r="P1064" i="61"/>
  <c r="O1064" i="61"/>
  <c r="N1064" i="61"/>
  <c r="M1064" i="61"/>
  <c r="L1064" i="61"/>
  <c r="K1064" i="61"/>
  <c r="P1063" i="61"/>
  <c r="O1063" i="61"/>
  <c r="N1063" i="61"/>
  <c r="M1063" i="61"/>
  <c r="L1063" i="61"/>
  <c r="K1063" i="61"/>
  <c r="P1062" i="61"/>
  <c r="O1062" i="61"/>
  <c r="N1062" i="61"/>
  <c r="M1062" i="61"/>
  <c r="L1062" i="61"/>
  <c r="K1062" i="61"/>
  <c r="P1061" i="61"/>
  <c r="O1061" i="61"/>
  <c r="N1061" i="61"/>
  <c r="M1061" i="61"/>
  <c r="L1061" i="61"/>
  <c r="K1061" i="61"/>
  <c r="P1060" i="61"/>
  <c r="O1060" i="61"/>
  <c r="N1060" i="61"/>
  <c r="M1060" i="61"/>
  <c r="L1060" i="61"/>
  <c r="K1060" i="61"/>
  <c r="P1059" i="61"/>
  <c r="O1059" i="61"/>
  <c r="N1059" i="61"/>
  <c r="M1059" i="61"/>
  <c r="L1059" i="61"/>
  <c r="K1059" i="61"/>
  <c r="P1058" i="61"/>
  <c r="O1058" i="61"/>
  <c r="N1058" i="61"/>
  <c r="M1058" i="61"/>
  <c r="L1058" i="61"/>
  <c r="K1058" i="61"/>
  <c r="P1057" i="61"/>
  <c r="O1057" i="61"/>
  <c r="N1057" i="61"/>
  <c r="M1057" i="61"/>
  <c r="L1057" i="61"/>
  <c r="K1057" i="61"/>
  <c r="P1056" i="61"/>
  <c r="O1056" i="61"/>
  <c r="N1056" i="61"/>
  <c r="M1056" i="61"/>
  <c r="L1056" i="61"/>
  <c r="K1056" i="61"/>
  <c r="P1055" i="61"/>
  <c r="O1055" i="61"/>
  <c r="N1055" i="61"/>
  <c r="M1055" i="61"/>
  <c r="L1055" i="61"/>
  <c r="K1055" i="61"/>
  <c r="P1054" i="61"/>
  <c r="O1054" i="61"/>
  <c r="N1054" i="61"/>
  <c r="M1054" i="61"/>
  <c r="L1054" i="61"/>
  <c r="K1054" i="61"/>
  <c r="P1053" i="61"/>
  <c r="O1053" i="61"/>
  <c r="N1053" i="61"/>
  <c r="M1053" i="61"/>
  <c r="L1053" i="61"/>
  <c r="K1053" i="61"/>
  <c r="P1052" i="61"/>
  <c r="O1052" i="61"/>
  <c r="N1052" i="61"/>
  <c r="M1052" i="61"/>
  <c r="L1052" i="61"/>
  <c r="K1052" i="61"/>
  <c r="P1051" i="61"/>
  <c r="O1051" i="61"/>
  <c r="N1051" i="61"/>
  <c r="M1051" i="61"/>
  <c r="L1051" i="61"/>
  <c r="K1051" i="61"/>
  <c r="P1050" i="61"/>
  <c r="O1050" i="61"/>
  <c r="N1050" i="61"/>
  <c r="M1050" i="61"/>
  <c r="L1050" i="61"/>
  <c r="K1050" i="61"/>
  <c r="P1049" i="61"/>
  <c r="O1049" i="61"/>
  <c r="N1049" i="61"/>
  <c r="M1049" i="61"/>
  <c r="L1049" i="61"/>
  <c r="K1049" i="61"/>
  <c r="P1048" i="61"/>
  <c r="O1048" i="61"/>
  <c r="N1048" i="61"/>
  <c r="M1048" i="61"/>
  <c r="L1048" i="61"/>
  <c r="K1048" i="61"/>
  <c r="P1047" i="61"/>
  <c r="O1047" i="61"/>
  <c r="N1047" i="61"/>
  <c r="M1047" i="61"/>
  <c r="L1047" i="61"/>
  <c r="K1047" i="61"/>
  <c r="P1046" i="61"/>
  <c r="O1046" i="61"/>
  <c r="N1046" i="61"/>
  <c r="M1046" i="61"/>
  <c r="L1046" i="61"/>
  <c r="K1046" i="61"/>
  <c r="P1045" i="61"/>
  <c r="O1045" i="61"/>
  <c r="N1045" i="61"/>
  <c r="M1045" i="61"/>
  <c r="L1045" i="61"/>
  <c r="K1045" i="61"/>
  <c r="P1044" i="61"/>
  <c r="O1044" i="61"/>
  <c r="N1044" i="61"/>
  <c r="M1044" i="61"/>
  <c r="L1044" i="61"/>
  <c r="K1044" i="61"/>
  <c r="P1043" i="61"/>
  <c r="O1043" i="61"/>
  <c r="N1043" i="61"/>
  <c r="M1043" i="61"/>
  <c r="L1043" i="61"/>
  <c r="K1043" i="61"/>
  <c r="P1042" i="61"/>
  <c r="O1042" i="61"/>
  <c r="N1042" i="61"/>
  <c r="M1042" i="61"/>
  <c r="L1042" i="61"/>
  <c r="K1042" i="61"/>
  <c r="P1041" i="61"/>
  <c r="O1041" i="61"/>
  <c r="N1041" i="61"/>
  <c r="M1041" i="61"/>
  <c r="L1041" i="61"/>
  <c r="K1041" i="61"/>
  <c r="P1040" i="61"/>
  <c r="O1040" i="61"/>
  <c r="N1040" i="61"/>
  <c r="M1040" i="61"/>
  <c r="L1040" i="61"/>
  <c r="K1040" i="61"/>
  <c r="P1039" i="61"/>
  <c r="O1039" i="61"/>
  <c r="N1039" i="61"/>
  <c r="M1039" i="61"/>
  <c r="L1039" i="61"/>
  <c r="K1039" i="61"/>
  <c r="P1038" i="61"/>
  <c r="O1038" i="61"/>
  <c r="N1038" i="61"/>
  <c r="M1038" i="61"/>
  <c r="L1038" i="61"/>
  <c r="K1038" i="61"/>
  <c r="P1037" i="61"/>
  <c r="O1037" i="61"/>
  <c r="N1037" i="61"/>
  <c r="M1037" i="61"/>
  <c r="L1037" i="61"/>
  <c r="K1037" i="61"/>
  <c r="P1036" i="61"/>
  <c r="O1036" i="61"/>
  <c r="N1036" i="61"/>
  <c r="M1036" i="61"/>
  <c r="L1036" i="61"/>
  <c r="K1036" i="61"/>
  <c r="P1035" i="61"/>
  <c r="O1035" i="61"/>
  <c r="N1035" i="61"/>
  <c r="M1035" i="61"/>
  <c r="L1035" i="61"/>
  <c r="K1035" i="61"/>
  <c r="P1034" i="61"/>
  <c r="O1034" i="61"/>
  <c r="N1034" i="61"/>
  <c r="M1034" i="61"/>
  <c r="L1034" i="61"/>
  <c r="K1034" i="61"/>
  <c r="P1033" i="61"/>
  <c r="O1033" i="61"/>
  <c r="N1033" i="61"/>
  <c r="M1033" i="61"/>
  <c r="L1033" i="61"/>
  <c r="K1033" i="61"/>
  <c r="P1032" i="61"/>
  <c r="O1032" i="61"/>
  <c r="N1032" i="61"/>
  <c r="M1032" i="61"/>
  <c r="L1032" i="61"/>
  <c r="K1032" i="61"/>
  <c r="P1031" i="61"/>
  <c r="O1031" i="61"/>
  <c r="N1031" i="61"/>
  <c r="M1031" i="61"/>
  <c r="L1031" i="61"/>
  <c r="K1031" i="61"/>
  <c r="P1030" i="61"/>
  <c r="O1030" i="61"/>
  <c r="N1030" i="61"/>
  <c r="M1030" i="61"/>
  <c r="L1030" i="61"/>
  <c r="K1030" i="61"/>
  <c r="P1029" i="61"/>
  <c r="O1029" i="61"/>
  <c r="N1029" i="61"/>
  <c r="M1029" i="61"/>
  <c r="L1029" i="61"/>
  <c r="K1029" i="61"/>
  <c r="P1028" i="61"/>
  <c r="O1028" i="61"/>
  <c r="N1028" i="61"/>
  <c r="M1028" i="61"/>
  <c r="L1028" i="61"/>
  <c r="K1028" i="61"/>
  <c r="P1027" i="61"/>
  <c r="O1027" i="61"/>
  <c r="N1027" i="61"/>
  <c r="M1027" i="61"/>
  <c r="L1027" i="61"/>
  <c r="K1027" i="61"/>
  <c r="P1026" i="61"/>
  <c r="O1026" i="61"/>
  <c r="N1026" i="61"/>
  <c r="M1026" i="61"/>
  <c r="L1026" i="61"/>
  <c r="K1026" i="61"/>
  <c r="P1025" i="61"/>
  <c r="O1025" i="61"/>
  <c r="N1025" i="61"/>
  <c r="M1025" i="61"/>
  <c r="L1025" i="61"/>
  <c r="K1025" i="61"/>
  <c r="P1024" i="61"/>
  <c r="O1024" i="61"/>
  <c r="N1024" i="61"/>
  <c r="M1024" i="61"/>
  <c r="L1024" i="61"/>
  <c r="K1024" i="61"/>
  <c r="P1023" i="61"/>
  <c r="O1023" i="61"/>
  <c r="N1023" i="61"/>
  <c r="M1023" i="61"/>
  <c r="L1023" i="61"/>
  <c r="K1023" i="61"/>
  <c r="P1022" i="61"/>
  <c r="O1022" i="61"/>
  <c r="N1022" i="61"/>
  <c r="M1022" i="61"/>
  <c r="L1022" i="61"/>
  <c r="K1022" i="61"/>
  <c r="P1021" i="61"/>
  <c r="O1021" i="61"/>
  <c r="N1021" i="61"/>
  <c r="M1021" i="61"/>
  <c r="L1021" i="61"/>
  <c r="K1021" i="61"/>
  <c r="P1020" i="61"/>
  <c r="O1020" i="61"/>
  <c r="N1020" i="61"/>
  <c r="M1020" i="61"/>
  <c r="L1020" i="61"/>
  <c r="K1020" i="61"/>
  <c r="P1019" i="61"/>
  <c r="O1019" i="61"/>
  <c r="N1019" i="61"/>
  <c r="M1019" i="61"/>
  <c r="L1019" i="61"/>
  <c r="K1019" i="61"/>
  <c r="P1018" i="61"/>
  <c r="O1018" i="61"/>
  <c r="N1018" i="61"/>
  <c r="M1018" i="61"/>
  <c r="L1018" i="61"/>
  <c r="K1018" i="61"/>
  <c r="P1017" i="61"/>
  <c r="O1017" i="61"/>
  <c r="N1017" i="61"/>
  <c r="M1017" i="61"/>
  <c r="L1017" i="61"/>
  <c r="K1017" i="61"/>
  <c r="P1016" i="61"/>
  <c r="O1016" i="61"/>
  <c r="N1016" i="61"/>
  <c r="M1016" i="61"/>
  <c r="L1016" i="61"/>
  <c r="K1016" i="61"/>
  <c r="P1015" i="61"/>
  <c r="O1015" i="61"/>
  <c r="N1015" i="61"/>
  <c r="M1015" i="61"/>
  <c r="L1015" i="61"/>
  <c r="K1015" i="61"/>
  <c r="P1014" i="61"/>
  <c r="O1014" i="61"/>
  <c r="N1014" i="61"/>
  <c r="M1014" i="61"/>
  <c r="L1014" i="61"/>
  <c r="K1014" i="61"/>
  <c r="P1013" i="61"/>
  <c r="O1013" i="61"/>
  <c r="N1013" i="61"/>
  <c r="M1013" i="61"/>
  <c r="L1013" i="61"/>
  <c r="K1013" i="61"/>
  <c r="P1012" i="61"/>
  <c r="O1012" i="61"/>
  <c r="N1012" i="61"/>
  <c r="M1012" i="61"/>
  <c r="L1012" i="61"/>
  <c r="K1012" i="61"/>
  <c r="P1011" i="61"/>
  <c r="O1011" i="61"/>
  <c r="N1011" i="61"/>
  <c r="M1011" i="61"/>
  <c r="L1011" i="61"/>
  <c r="K1011" i="61"/>
  <c r="P1010" i="61"/>
  <c r="O1010" i="61"/>
  <c r="N1010" i="61"/>
  <c r="M1010" i="61"/>
  <c r="L1010" i="61"/>
  <c r="K1010" i="61"/>
  <c r="P1009" i="61"/>
  <c r="O1009" i="61"/>
  <c r="N1009" i="61"/>
  <c r="M1009" i="61"/>
  <c r="L1009" i="61"/>
  <c r="K1009" i="61"/>
  <c r="P1008" i="61"/>
  <c r="O1008" i="61"/>
  <c r="N1008" i="61"/>
  <c r="M1008" i="61"/>
  <c r="L1008" i="61"/>
  <c r="K1008" i="61"/>
  <c r="P1007" i="61"/>
  <c r="O1007" i="61"/>
  <c r="N1007" i="61"/>
  <c r="M1007" i="61"/>
  <c r="L1007" i="61"/>
  <c r="K1007" i="61"/>
  <c r="P1006" i="61"/>
  <c r="O1006" i="61"/>
  <c r="N1006" i="61"/>
  <c r="M1006" i="61"/>
  <c r="L1006" i="61"/>
  <c r="K1006" i="61"/>
  <c r="P1005" i="61"/>
  <c r="O1005" i="61"/>
  <c r="N1005" i="61"/>
  <c r="M1005" i="61"/>
  <c r="L1005" i="61"/>
  <c r="K1005" i="61"/>
  <c r="P1004" i="61"/>
  <c r="O1004" i="61"/>
  <c r="N1004" i="61"/>
  <c r="M1004" i="61"/>
  <c r="L1004" i="61"/>
  <c r="K1004" i="61"/>
  <c r="P1003" i="61"/>
  <c r="O1003" i="61"/>
  <c r="N1003" i="61"/>
  <c r="M1003" i="61"/>
  <c r="L1003" i="61"/>
  <c r="K1003" i="61"/>
  <c r="P1002" i="61"/>
  <c r="O1002" i="61"/>
  <c r="N1002" i="61"/>
  <c r="M1002" i="61"/>
  <c r="L1002" i="61"/>
  <c r="K1002" i="61"/>
  <c r="P1001" i="61"/>
  <c r="O1001" i="61"/>
  <c r="N1001" i="61"/>
  <c r="M1001" i="61"/>
  <c r="L1001" i="61"/>
  <c r="K1001" i="61"/>
  <c r="P1000" i="61"/>
  <c r="O1000" i="61"/>
  <c r="N1000" i="61"/>
  <c r="M1000" i="61"/>
  <c r="L1000" i="61"/>
  <c r="K1000" i="61"/>
  <c r="P999" i="61"/>
  <c r="O999" i="61"/>
  <c r="N999" i="61"/>
  <c r="M999" i="61"/>
  <c r="L999" i="61"/>
  <c r="K999" i="61"/>
  <c r="P998" i="61"/>
  <c r="O998" i="61"/>
  <c r="N998" i="61"/>
  <c r="M998" i="61"/>
  <c r="L998" i="61"/>
  <c r="K998" i="61"/>
  <c r="P997" i="61"/>
  <c r="O997" i="61"/>
  <c r="N997" i="61"/>
  <c r="M997" i="61"/>
  <c r="L997" i="61"/>
  <c r="K997" i="61"/>
  <c r="P996" i="61"/>
  <c r="O996" i="61"/>
  <c r="N996" i="61"/>
  <c r="M996" i="61"/>
  <c r="L996" i="61"/>
  <c r="K996" i="61"/>
  <c r="P995" i="61"/>
  <c r="O995" i="61"/>
  <c r="N995" i="61"/>
  <c r="M995" i="61"/>
  <c r="L995" i="61"/>
  <c r="K995" i="61"/>
  <c r="P994" i="61"/>
  <c r="O994" i="61"/>
  <c r="N994" i="61"/>
  <c r="M994" i="61"/>
  <c r="L994" i="61"/>
  <c r="K994" i="61"/>
  <c r="P993" i="61"/>
  <c r="O993" i="61"/>
  <c r="N993" i="61"/>
  <c r="M993" i="61"/>
  <c r="L993" i="61"/>
  <c r="K993" i="61"/>
  <c r="P992" i="61"/>
  <c r="O992" i="61"/>
  <c r="N992" i="61"/>
  <c r="M992" i="61"/>
  <c r="L992" i="61"/>
  <c r="K992" i="61"/>
  <c r="P991" i="61"/>
  <c r="O991" i="61"/>
  <c r="N991" i="61"/>
  <c r="M991" i="61"/>
  <c r="L991" i="61"/>
  <c r="K991" i="61"/>
  <c r="P990" i="61"/>
  <c r="O990" i="61"/>
  <c r="N990" i="61"/>
  <c r="M990" i="61"/>
  <c r="L990" i="61"/>
  <c r="K990" i="61"/>
  <c r="P989" i="61"/>
  <c r="O989" i="61"/>
  <c r="N989" i="61"/>
  <c r="M989" i="61"/>
  <c r="L989" i="61"/>
  <c r="K989" i="61"/>
  <c r="P988" i="61"/>
  <c r="O988" i="61"/>
  <c r="N988" i="61"/>
  <c r="M988" i="61"/>
  <c r="L988" i="61"/>
  <c r="K988" i="61"/>
  <c r="P987" i="61"/>
  <c r="O987" i="61"/>
  <c r="N987" i="61"/>
  <c r="M987" i="61"/>
  <c r="L987" i="61"/>
  <c r="K987" i="61"/>
  <c r="P986" i="61"/>
  <c r="O986" i="61"/>
  <c r="N986" i="61"/>
  <c r="M986" i="61"/>
  <c r="L986" i="61"/>
  <c r="K986" i="61"/>
  <c r="P985" i="61"/>
  <c r="O985" i="61"/>
  <c r="N985" i="61"/>
  <c r="M985" i="61"/>
  <c r="L985" i="61"/>
  <c r="K985" i="61"/>
  <c r="P984" i="61"/>
  <c r="O984" i="61"/>
  <c r="N984" i="61"/>
  <c r="M984" i="61"/>
  <c r="L984" i="61"/>
  <c r="K984" i="61"/>
  <c r="P983" i="61"/>
  <c r="O983" i="61"/>
  <c r="N983" i="61"/>
  <c r="M983" i="61"/>
  <c r="L983" i="61"/>
  <c r="K983" i="61"/>
  <c r="P982" i="61"/>
  <c r="O982" i="61"/>
  <c r="N982" i="61"/>
  <c r="M982" i="61"/>
  <c r="L982" i="61"/>
  <c r="K982" i="61"/>
  <c r="P981" i="61"/>
  <c r="O981" i="61"/>
  <c r="N981" i="61"/>
  <c r="M981" i="61"/>
  <c r="L981" i="61"/>
  <c r="K981" i="61"/>
  <c r="P980" i="61"/>
  <c r="O980" i="61"/>
  <c r="N980" i="61"/>
  <c r="M980" i="61"/>
  <c r="L980" i="61"/>
  <c r="K980" i="61"/>
  <c r="P979" i="61"/>
  <c r="O979" i="61"/>
  <c r="N979" i="61"/>
  <c r="M979" i="61"/>
  <c r="L979" i="61"/>
  <c r="K979" i="61"/>
  <c r="P978" i="61"/>
  <c r="O978" i="61"/>
  <c r="N978" i="61"/>
  <c r="M978" i="61"/>
  <c r="L978" i="61"/>
  <c r="K978" i="61"/>
  <c r="P977" i="61"/>
  <c r="O977" i="61"/>
  <c r="N977" i="61"/>
  <c r="M977" i="61"/>
  <c r="L977" i="61"/>
  <c r="K977" i="61"/>
  <c r="P976" i="61"/>
  <c r="O976" i="61"/>
  <c r="N976" i="61"/>
  <c r="M976" i="61"/>
  <c r="L976" i="61"/>
  <c r="K976" i="61"/>
  <c r="P975" i="61"/>
  <c r="O975" i="61"/>
  <c r="N975" i="61"/>
  <c r="M975" i="61"/>
  <c r="L975" i="61"/>
  <c r="K975" i="61"/>
  <c r="P974" i="61"/>
  <c r="O974" i="61"/>
  <c r="N974" i="61"/>
  <c r="M974" i="61"/>
  <c r="L974" i="61"/>
  <c r="K974" i="61"/>
  <c r="P973" i="61"/>
  <c r="O973" i="61"/>
  <c r="N973" i="61"/>
  <c r="M973" i="61"/>
  <c r="L973" i="61"/>
  <c r="K973" i="61"/>
  <c r="P972" i="61"/>
  <c r="O972" i="61"/>
  <c r="N972" i="61"/>
  <c r="M972" i="61"/>
  <c r="L972" i="61"/>
  <c r="K972" i="61"/>
  <c r="P971" i="61"/>
  <c r="O971" i="61"/>
  <c r="N971" i="61"/>
  <c r="M971" i="61"/>
  <c r="L971" i="61"/>
  <c r="K971" i="61"/>
  <c r="P970" i="61"/>
  <c r="O970" i="61"/>
  <c r="N970" i="61"/>
  <c r="M970" i="61"/>
  <c r="L970" i="61"/>
  <c r="K970" i="61"/>
  <c r="P969" i="61"/>
  <c r="O969" i="61"/>
  <c r="N969" i="61"/>
  <c r="M969" i="61"/>
  <c r="L969" i="61"/>
  <c r="K969" i="61"/>
  <c r="P968" i="61"/>
  <c r="O968" i="61"/>
  <c r="N968" i="61"/>
  <c r="M968" i="61"/>
  <c r="L968" i="61"/>
  <c r="K968" i="61"/>
  <c r="P967" i="61"/>
  <c r="O967" i="61"/>
  <c r="N967" i="61"/>
  <c r="M967" i="61"/>
  <c r="L967" i="61"/>
  <c r="K967" i="61"/>
  <c r="P966" i="61"/>
  <c r="O966" i="61"/>
  <c r="N966" i="61"/>
  <c r="M966" i="61"/>
  <c r="L966" i="61"/>
  <c r="K966" i="61"/>
  <c r="P965" i="61"/>
  <c r="O965" i="61"/>
  <c r="N965" i="61"/>
  <c r="M965" i="61"/>
  <c r="L965" i="61"/>
  <c r="K965" i="61"/>
  <c r="P964" i="61"/>
  <c r="O964" i="61"/>
  <c r="N964" i="61"/>
  <c r="M964" i="61"/>
  <c r="L964" i="61"/>
  <c r="K964" i="61"/>
  <c r="P963" i="61"/>
  <c r="O963" i="61"/>
  <c r="N963" i="61"/>
  <c r="M963" i="61"/>
  <c r="L963" i="61"/>
  <c r="K963" i="61"/>
  <c r="P962" i="61"/>
  <c r="O962" i="61"/>
  <c r="N962" i="61"/>
  <c r="M962" i="61"/>
  <c r="L962" i="61"/>
  <c r="K962" i="61"/>
  <c r="P961" i="61"/>
  <c r="O961" i="61"/>
  <c r="N961" i="61"/>
  <c r="M961" i="61"/>
  <c r="L961" i="61"/>
  <c r="K961" i="61"/>
  <c r="P960" i="61"/>
  <c r="O960" i="61"/>
  <c r="N960" i="61"/>
  <c r="M960" i="61"/>
  <c r="L960" i="61"/>
  <c r="K960" i="61"/>
  <c r="P959" i="61"/>
  <c r="O959" i="61"/>
  <c r="N959" i="61"/>
  <c r="M959" i="61"/>
  <c r="L959" i="61"/>
  <c r="K959" i="61"/>
  <c r="P958" i="61"/>
  <c r="O958" i="61"/>
  <c r="N958" i="61"/>
  <c r="M958" i="61"/>
  <c r="L958" i="61"/>
  <c r="K958" i="61"/>
  <c r="P957" i="61"/>
  <c r="O957" i="61"/>
  <c r="N957" i="61"/>
  <c r="M957" i="61"/>
  <c r="L957" i="61"/>
  <c r="K957" i="61"/>
  <c r="P956" i="61"/>
  <c r="O956" i="61"/>
  <c r="N956" i="61"/>
  <c r="M956" i="61"/>
  <c r="L956" i="61"/>
  <c r="K956" i="61"/>
  <c r="P955" i="61"/>
  <c r="O955" i="61"/>
  <c r="N955" i="61"/>
  <c r="M955" i="61"/>
  <c r="L955" i="61"/>
  <c r="K955" i="61"/>
  <c r="P954" i="61"/>
  <c r="O954" i="61"/>
  <c r="N954" i="61"/>
  <c r="M954" i="61"/>
  <c r="L954" i="61"/>
  <c r="K954" i="61"/>
  <c r="P953" i="61"/>
  <c r="O953" i="61"/>
  <c r="N953" i="61"/>
  <c r="M953" i="61"/>
  <c r="L953" i="61"/>
  <c r="K953" i="61"/>
  <c r="P952" i="61"/>
  <c r="O952" i="61"/>
  <c r="N952" i="61"/>
  <c r="M952" i="61"/>
  <c r="L952" i="61"/>
  <c r="K952" i="61"/>
  <c r="P951" i="61"/>
  <c r="O951" i="61"/>
  <c r="N951" i="61"/>
  <c r="M951" i="61"/>
  <c r="L951" i="61"/>
  <c r="K951" i="61"/>
  <c r="P950" i="61"/>
  <c r="O950" i="61"/>
  <c r="N950" i="61"/>
  <c r="M950" i="61"/>
  <c r="L950" i="61"/>
  <c r="K950" i="61"/>
  <c r="P949" i="61"/>
  <c r="O949" i="61"/>
  <c r="N949" i="61"/>
  <c r="M949" i="61"/>
  <c r="L949" i="61"/>
  <c r="K949" i="61"/>
  <c r="P948" i="61"/>
  <c r="O948" i="61"/>
  <c r="N948" i="61"/>
  <c r="M948" i="61"/>
  <c r="L948" i="61"/>
  <c r="K948" i="61"/>
  <c r="P947" i="61"/>
  <c r="O947" i="61"/>
  <c r="N947" i="61"/>
  <c r="M947" i="61"/>
  <c r="L947" i="61"/>
  <c r="K947" i="61"/>
  <c r="P946" i="61"/>
  <c r="O946" i="61"/>
  <c r="N946" i="61"/>
  <c r="M946" i="61"/>
  <c r="L946" i="61"/>
  <c r="K946" i="61"/>
  <c r="P945" i="61"/>
  <c r="O945" i="61"/>
  <c r="N945" i="61"/>
  <c r="M945" i="61"/>
  <c r="L945" i="61"/>
  <c r="K945" i="61"/>
  <c r="P944" i="61"/>
  <c r="O944" i="61"/>
  <c r="N944" i="61"/>
  <c r="M944" i="61"/>
  <c r="L944" i="61"/>
  <c r="K944" i="61"/>
  <c r="P943" i="61"/>
  <c r="O943" i="61"/>
  <c r="N943" i="61"/>
  <c r="M943" i="61"/>
  <c r="L943" i="61"/>
  <c r="K943" i="61"/>
  <c r="P942" i="61"/>
  <c r="O942" i="61"/>
  <c r="N942" i="61"/>
  <c r="M942" i="61"/>
  <c r="L942" i="61"/>
  <c r="K942" i="61"/>
  <c r="P941" i="61"/>
  <c r="O941" i="61"/>
  <c r="N941" i="61"/>
  <c r="M941" i="61"/>
  <c r="L941" i="61"/>
  <c r="K941" i="61"/>
  <c r="P940" i="61"/>
  <c r="O940" i="61"/>
  <c r="N940" i="61"/>
  <c r="M940" i="61"/>
  <c r="L940" i="61"/>
  <c r="K940" i="61"/>
  <c r="P939" i="61"/>
  <c r="O939" i="61"/>
  <c r="N939" i="61"/>
  <c r="M939" i="61"/>
  <c r="L939" i="61"/>
  <c r="K939" i="61"/>
  <c r="P938" i="61"/>
  <c r="O938" i="61"/>
  <c r="N938" i="61"/>
  <c r="M938" i="61"/>
  <c r="L938" i="61"/>
  <c r="K938" i="61"/>
  <c r="P937" i="61"/>
  <c r="O937" i="61"/>
  <c r="N937" i="61"/>
  <c r="M937" i="61"/>
  <c r="L937" i="61"/>
  <c r="K937" i="61"/>
  <c r="P936" i="61"/>
  <c r="O936" i="61"/>
  <c r="N936" i="61"/>
  <c r="M936" i="61"/>
  <c r="L936" i="61"/>
  <c r="K936" i="61"/>
  <c r="P935" i="61"/>
  <c r="O935" i="61"/>
  <c r="N935" i="61"/>
  <c r="M935" i="61"/>
  <c r="L935" i="61"/>
  <c r="K935" i="61"/>
  <c r="P934" i="61"/>
  <c r="O934" i="61"/>
  <c r="N934" i="61"/>
  <c r="M934" i="61"/>
  <c r="L934" i="61"/>
  <c r="K934" i="61"/>
  <c r="P933" i="61"/>
  <c r="O933" i="61"/>
  <c r="N933" i="61"/>
  <c r="M933" i="61"/>
  <c r="L933" i="61"/>
  <c r="K933" i="61"/>
  <c r="P932" i="61"/>
  <c r="O932" i="61"/>
  <c r="N932" i="61"/>
  <c r="M932" i="61"/>
  <c r="L932" i="61"/>
  <c r="K932" i="61"/>
  <c r="P931" i="61"/>
  <c r="O931" i="61"/>
  <c r="N931" i="61"/>
  <c r="M931" i="61"/>
  <c r="L931" i="61"/>
  <c r="K931" i="61"/>
  <c r="P930" i="61"/>
  <c r="O930" i="61"/>
  <c r="N930" i="61"/>
  <c r="M930" i="61"/>
  <c r="L930" i="61"/>
  <c r="K930" i="61"/>
  <c r="P929" i="61"/>
  <c r="O929" i="61"/>
  <c r="N929" i="61"/>
  <c r="M929" i="61"/>
  <c r="L929" i="61"/>
  <c r="K929" i="61"/>
  <c r="P928" i="61"/>
  <c r="O928" i="61"/>
  <c r="N928" i="61"/>
  <c r="M928" i="61"/>
  <c r="L928" i="61"/>
  <c r="K928" i="61"/>
  <c r="P927" i="61"/>
  <c r="O927" i="61"/>
  <c r="N927" i="61"/>
  <c r="M927" i="61"/>
  <c r="L927" i="61"/>
  <c r="K927" i="61"/>
  <c r="P926" i="61"/>
  <c r="O926" i="61"/>
  <c r="N926" i="61"/>
  <c r="M926" i="61"/>
  <c r="L926" i="61"/>
  <c r="K926" i="61"/>
  <c r="P925" i="61"/>
  <c r="O925" i="61"/>
  <c r="N925" i="61"/>
  <c r="M925" i="61"/>
  <c r="L925" i="61"/>
  <c r="K925" i="61"/>
  <c r="P924" i="61"/>
  <c r="O924" i="61"/>
  <c r="N924" i="61"/>
  <c r="M924" i="61"/>
  <c r="L924" i="61"/>
  <c r="K924" i="61"/>
  <c r="P923" i="61"/>
  <c r="O923" i="61"/>
  <c r="N923" i="61"/>
  <c r="M923" i="61"/>
  <c r="L923" i="61"/>
  <c r="K923" i="61"/>
  <c r="P922" i="61"/>
  <c r="O922" i="61"/>
  <c r="N922" i="61"/>
  <c r="M922" i="61"/>
  <c r="L922" i="61"/>
  <c r="K922" i="61"/>
  <c r="P921" i="61"/>
  <c r="O921" i="61"/>
  <c r="N921" i="61"/>
  <c r="M921" i="61"/>
  <c r="L921" i="61"/>
  <c r="K921" i="61"/>
  <c r="P920" i="61"/>
  <c r="O920" i="61"/>
  <c r="N920" i="61"/>
  <c r="M920" i="61"/>
  <c r="L920" i="61"/>
  <c r="K920" i="61"/>
  <c r="P919" i="61"/>
  <c r="O919" i="61"/>
  <c r="N919" i="61"/>
  <c r="M919" i="61"/>
  <c r="L919" i="61"/>
  <c r="K919" i="61"/>
  <c r="P918" i="61"/>
  <c r="O918" i="61"/>
  <c r="N918" i="61"/>
  <c r="M918" i="61"/>
  <c r="L918" i="61"/>
  <c r="K918" i="61"/>
  <c r="P917" i="61"/>
  <c r="O917" i="61"/>
  <c r="N917" i="61"/>
  <c r="M917" i="61"/>
  <c r="L917" i="61"/>
  <c r="K917" i="61"/>
  <c r="P916" i="61"/>
  <c r="O916" i="61"/>
  <c r="N916" i="61"/>
  <c r="M916" i="61"/>
  <c r="L916" i="61"/>
  <c r="K916" i="61"/>
  <c r="P915" i="61"/>
  <c r="O915" i="61"/>
  <c r="N915" i="61"/>
  <c r="M915" i="61"/>
  <c r="L915" i="61"/>
  <c r="K915" i="61"/>
  <c r="P914" i="61"/>
  <c r="O914" i="61"/>
  <c r="N914" i="61"/>
  <c r="M914" i="61"/>
  <c r="L914" i="61"/>
  <c r="K914" i="61"/>
  <c r="P913" i="61"/>
  <c r="O913" i="61"/>
  <c r="N913" i="61"/>
  <c r="M913" i="61"/>
  <c r="L913" i="61"/>
  <c r="K913" i="61"/>
  <c r="P912" i="61"/>
  <c r="O912" i="61"/>
  <c r="N912" i="61"/>
  <c r="M912" i="61"/>
  <c r="L912" i="61"/>
  <c r="K912" i="61"/>
  <c r="P911" i="61"/>
  <c r="O911" i="61"/>
  <c r="N911" i="61"/>
  <c r="M911" i="61"/>
  <c r="L911" i="61"/>
  <c r="K911" i="61"/>
  <c r="P910" i="61"/>
  <c r="O910" i="61"/>
  <c r="N910" i="61"/>
  <c r="M910" i="61"/>
  <c r="L910" i="61"/>
  <c r="K910" i="61"/>
  <c r="P909" i="61"/>
  <c r="O909" i="61"/>
  <c r="N909" i="61"/>
  <c r="M909" i="61"/>
  <c r="L909" i="61"/>
  <c r="K909" i="61"/>
  <c r="P908" i="61"/>
  <c r="O908" i="61"/>
  <c r="N908" i="61"/>
  <c r="M908" i="61"/>
  <c r="L908" i="61"/>
  <c r="K908" i="61"/>
  <c r="P907" i="61"/>
  <c r="O907" i="61"/>
  <c r="N907" i="61"/>
  <c r="M907" i="61"/>
  <c r="L907" i="61"/>
  <c r="K907" i="61"/>
  <c r="P906" i="61"/>
  <c r="O906" i="61"/>
  <c r="N906" i="61"/>
  <c r="M906" i="61"/>
  <c r="L906" i="61"/>
  <c r="K906" i="61"/>
  <c r="P905" i="61"/>
  <c r="O905" i="61"/>
  <c r="N905" i="61"/>
  <c r="M905" i="61"/>
  <c r="L905" i="61"/>
  <c r="K905" i="61"/>
  <c r="P904" i="61"/>
  <c r="O904" i="61"/>
  <c r="N904" i="61"/>
  <c r="M904" i="61"/>
  <c r="L904" i="61"/>
  <c r="K904" i="61"/>
  <c r="P903" i="61"/>
  <c r="O903" i="61"/>
  <c r="N903" i="61"/>
  <c r="M903" i="61"/>
  <c r="L903" i="61"/>
  <c r="K903" i="61"/>
  <c r="P902" i="61"/>
  <c r="O902" i="61"/>
  <c r="N902" i="61"/>
  <c r="M902" i="61"/>
  <c r="L902" i="61"/>
  <c r="K902" i="61"/>
  <c r="P901" i="61"/>
  <c r="O901" i="61"/>
  <c r="N901" i="61"/>
  <c r="M901" i="61"/>
  <c r="L901" i="61"/>
  <c r="K901" i="61"/>
  <c r="P900" i="61"/>
  <c r="O900" i="61"/>
  <c r="N900" i="61"/>
  <c r="M900" i="61"/>
  <c r="L900" i="61"/>
  <c r="K900" i="61"/>
  <c r="P899" i="61"/>
  <c r="O899" i="61"/>
  <c r="N899" i="61"/>
  <c r="M899" i="61"/>
  <c r="L899" i="61"/>
  <c r="K899" i="61"/>
  <c r="P898" i="61"/>
  <c r="O898" i="61"/>
  <c r="N898" i="61"/>
  <c r="M898" i="61"/>
  <c r="L898" i="61"/>
  <c r="K898" i="61"/>
  <c r="P897" i="61"/>
  <c r="O897" i="61"/>
  <c r="N897" i="61"/>
  <c r="M897" i="61"/>
  <c r="L897" i="61"/>
  <c r="K897" i="61"/>
  <c r="P896" i="61"/>
  <c r="O896" i="61"/>
  <c r="N896" i="61"/>
  <c r="M896" i="61"/>
  <c r="L896" i="61"/>
  <c r="K896" i="61"/>
  <c r="P895" i="61"/>
  <c r="O895" i="61"/>
  <c r="N895" i="61"/>
  <c r="M895" i="61"/>
  <c r="L895" i="61"/>
  <c r="K895" i="61"/>
  <c r="P894" i="61"/>
  <c r="O894" i="61"/>
  <c r="N894" i="61"/>
  <c r="M894" i="61"/>
  <c r="L894" i="61"/>
  <c r="K894" i="61"/>
  <c r="P893" i="61"/>
  <c r="O893" i="61"/>
  <c r="N893" i="61"/>
  <c r="M893" i="61"/>
  <c r="L893" i="61"/>
  <c r="K893" i="61"/>
  <c r="P892" i="61"/>
  <c r="O892" i="61"/>
  <c r="N892" i="61"/>
  <c r="M892" i="61"/>
  <c r="L892" i="61"/>
  <c r="K892" i="61"/>
  <c r="P891" i="61"/>
  <c r="O891" i="61"/>
  <c r="N891" i="61"/>
  <c r="M891" i="61"/>
  <c r="L891" i="61"/>
  <c r="K891" i="61"/>
  <c r="P890" i="61"/>
  <c r="O890" i="61"/>
  <c r="N890" i="61"/>
  <c r="M890" i="61"/>
  <c r="L890" i="61"/>
  <c r="K890" i="61"/>
  <c r="P889" i="61"/>
  <c r="O889" i="61"/>
  <c r="N889" i="61"/>
  <c r="M889" i="61"/>
  <c r="L889" i="61"/>
  <c r="K889" i="61"/>
  <c r="P888" i="61"/>
  <c r="O888" i="61"/>
  <c r="N888" i="61"/>
  <c r="M888" i="61"/>
  <c r="L888" i="61"/>
  <c r="K888" i="61"/>
  <c r="P887" i="61"/>
  <c r="O887" i="61"/>
  <c r="N887" i="61"/>
  <c r="M887" i="61"/>
  <c r="L887" i="61"/>
  <c r="K887" i="61"/>
  <c r="P886" i="61"/>
  <c r="O886" i="61"/>
  <c r="N886" i="61"/>
  <c r="M886" i="61"/>
  <c r="L886" i="61"/>
  <c r="K886" i="61"/>
  <c r="P885" i="61"/>
  <c r="O885" i="61"/>
  <c r="N885" i="61"/>
  <c r="M885" i="61"/>
  <c r="L885" i="61"/>
  <c r="K885" i="61"/>
  <c r="P884" i="61"/>
  <c r="O884" i="61"/>
  <c r="N884" i="61"/>
  <c r="M884" i="61"/>
  <c r="L884" i="61"/>
  <c r="K884" i="61"/>
  <c r="P883" i="61"/>
  <c r="O883" i="61"/>
  <c r="N883" i="61"/>
  <c r="M883" i="61"/>
  <c r="L883" i="61"/>
  <c r="K883" i="61"/>
  <c r="P882" i="61"/>
  <c r="O882" i="61"/>
  <c r="N882" i="61"/>
  <c r="M882" i="61"/>
  <c r="L882" i="61"/>
  <c r="K882" i="61"/>
  <c r="P881" i="61"/>
  <c r="O881" i="61"/>
  <c r="N881" i="61"/>
  <c r="M881" i="61"/>
  <c r="L881" i="61"/>
  <c r="K881" i="61"/>
  <c r="P880" i="61"/>
  <c r="O880" i="61"/>
  <c r="N880" i="61"/>
  <c r="M880" i="61"/>
  <c r="L880" i="61"/>
  <c r="K880" i="61"/>
  <c r="P879" i="61"/>
  <c r="O879" i="61"/>
  <c r="N879" i="61"/>
  <c r="M879" i="61"/>
  <c r="L879" i="61"/>
  <c r="K879" i="61"/>
  <c r="P878" i="61"/>
  <c r="O878" i="61"/>
  <c r="N878" i="61"/>
  <c r="M878" i="61"/>
  <c r="L878" i="61"/>
  <c r="K878" i="61"/>
  <c r="P877" i="61"/>
  <c r="O877" i="61"/>
  <c r="N877" i="61"/>
  <c r="M877" i="61"/>
  <c r="L877" i="61"/>
  <c r="K877" i="61"/>
  <c r="P876" i="61"/>
  <c r="O876" i="61"/>
  <c r="N876" i="61"/>
  <c r="M876" i="61"/>
  <c r="L876" i="61"/>
  <c r="K876" i="61"/>
  <c r="P875" i="61"/>
  <c r="O875" i="61"/>
  <c r="N875" i="61"/>
  <c r="M875" i="61"/>
  <c r="L875" i="61"/>
  <c r="K875" i="61"/>
  <c r="P874" i="61"/>
  <c r="O874" i="61"/>
  <c r="N874" i="61"/>
  <c r="M874" i="61"/>
  <c r="L874" i="61"/>
  <c r="K874" i="61"/>
  <c r="P873" i="61"/>
  <c r="O873" i="61"/>
  <c r="N873" i="61"/>
  <c r="M873" i="61"/>
  <c r="L873" i="61"/>
  <c r="K873" i="61"/>
  <c r="P872" i="61"/>
  <c r="O872" i="61"/>
  <c r="N872" i="61"/>
  <c r="M872" i="61"/>
  <c r="L872" i="61"/>
  <c r="K872" i="61"/>
  <c r="P871" i="61"/>
  <c r="O871" i="61"/>
  <c r="N871" i="61"/>
  <c r="M871" i="61"/>
  <c r="L871" i="61"/>
  <c r="K871" i="61"/>
  <c r="P870" i="61"/>
  <c r="O870" i="61"/>
  <c r="N870" i="61"/>
  <c r="M870" i="61"/>
  <c r="L870" i="61"/>
  <c r="K870" i="61"/>
  <c r="P869" i="61"/>
  <c r="O869" i="61"/>
  <c r="N869" i="61"/>
  <c r="M869" i="61"/>
  <c r="L869" i="61"/>
  <c r="K869" i="61"/>
  <c r="P868" i="61"/>
  <c r="O868" i="61"/>
  <c r="N868" i="61"/>
  <c r="M868" i="61"/>
  <c r="L868" i="61"/>
  <c r="K868" i="61"/>
  <c r="P867" i="61"/>
  <c r="O867" i="61"/>
  <c r="N867" i="61"/>
  <c r="M867" i="61"/>
  <c r="L867" i="61"/>
  <c r="K867" i="61"/>
  <c r="P866" i="61"/>
  <c r="O866" i="61"/>
  <c r="N866" i="61"/>
  <c r="M866" i="61"/>
  <c r="L866" i="61"/>
  <c r="K866" i="61"/>
  <c r="P865" i="61"/>
  <c r="O865" i="61"/>
  <c r="N865" i="61"/>
  <c r="M865" i="61"/>
  <c r="L865" i="61"/>
  <c r="K865" i="61"/>
  <c r="P864" i="61"/>
  <c r="O864" i="61"/>
  <c r="N864" i="61"/>
  <c r="M864" i="61"/>
  <c r="L864" i="61"/>
  <c r="K864" i="61"/>
  <c r="P863" i="61"/>
  <c r="O863" i="61"/>
  <c r="N863" i="61"/>
  <c r="M863" i="61"/>
  <c r="L863" i="61"/>
  <c r="K863" i="61"/>
  <c r="P862" i="61"/>
  <c r="O862" i="61"/>
  <c r="N862" i="61"/>
  <c r="M862" i="61"/>
  <c r="L862" i="61"/>
  <c r="K862" i="61"/>
  <c r="P861" i="61"/>
  <c r="O861" i="61"/>
  <c r="N861" i="61"/>
  <c r="M861" i="61"/>
  <c r="L861" i="61"/>
  <c r="K861" i="61"/>
  <c r="P860" i="61"/>
  <c r="O860" i="61"/>
  <c r="N860" i="61"/>
  <c r="M860" i="61"/>
  <c r="L860" i="61"/>
  <c r="K860" i="61"/>
  <c r="P859" i="61"/>
  <c r="O859" i="61"/>
  <c r="N859" i="61"/>
  <c r="M859" i="61"/>
  <c r="L859" i="61"/>
  <c r="K859" i="61"/>
  <c r="P858" i="61"/>
  <c r="O858" i="61"/>
  <c r="N858" i="61"/>
  <c r="M858" i="61"/>
  <c r="L858" i="61"/>
  <c r="K858" i="61"/>
  <c r="P857" i="61"/>
  <c r="O857" i="61"/>
  <c r="N857" i="61"/>
  <c r="M857" i="61"/>
  <c r="L857" i="61"/>
  <c r="K857" i="61"/>
  <c r="P856" i="61"/>
  <c r="O856" i="61"/>
  <c r="N856" i="61"/>
  <c r="M856" i="61"/>
  <c r="L856" i="61"/>
  <c r="K856" i="61"/>
  <c r="P855" i="61"/>
  <c r="O855" i="61"/>
  <c r="N855" i="61"/>
  <c r="M855" i="61"/>
  <c r="L855" i="61"/>
  <c r="K855" i="61"/>
  <c r="P854" i="61"/>
  <c r="O854" i="61"/>
  <c r="N854" i="61"/>
  <c r="M854" i="61"/>
  <c r="L854" i="61"/>
  <c r="K854" i="61"/>
  <c r="P853" i="61"/>
  <c r="O853" i="61"/>
  <c r="N853" i="61"/>
  <c r="M853" i="61"/>
  <c r="L853" i="61"/>
  <c r="K853" i="61"/>
  <c r="P852" i="61"/>
  <c r="O852" i="61"/>
  <c r="N852" i="61"/>
  <c r="M852" i="61"/>
  <c r="L852" i="61"/>
  <c r="K852" i="61"/>
  <c r="P851" i="61"/>
  <c r="O851" i="61"/>
  <c r="N851" i="61"/>
  <c r="M851" i="61"/>
  <c r="L851" i="61"/>
  <c r="K851" i="61"/>
  <c r="P850" i="61"/>
  <c r="O850" i="61"/>
  <c r="N850" i="61"/>
  <c r="M850" i="61"/>
  <c r="L850" i="61"/>
  <c r="K850" i="61"/>
  <c r="P849" i="61"/>
  <c r="O849" i="61"/>
  <c r="N849" i="61"/>
  <c r="M849" i="61"/>
  <c r="L849" i="61"/>
  <c r="K849" i="61"/>
  <c r="P848" i="61"/>
  <c r="O848" i="61"/>
  <c r="N848" i="61"/>
  <c r="M848" i="61"/>
  <c r="L848" i="61"/>
  <c r="K848" i="61"/>
  <c r="P847" i="61"/>
  <c r="O847" i="61"/>
  <c r="N847" i="61"/>
  <c r="M847" i="61"/>
  <c r="L847" i="61"/>
  <c r="K847" i="61"/>
  <c r="P846" i="61"/>
  <c r="O846" i="61"/>
  <c r="N846" i="61"/>
  <c r="M846" i="61"/>
  <c r="L846" i="61"/>
  <c r="K846" i="61"/>
  <c r="P845" i="61"/>
  <c r="O845" i="61"/>
  <c r="N845" i="61"/>
  <c r="M845" i="61"/>
  <c r="L845" i="61"/>
  <c r="K845" i="61"/>
  <c r="P844" i="61"/>
  <c r="O844" i="61"/>
  <c r="N844" i="61"/>
  <c r="M844" i="61"/>
  <c r="L844" i="61"/>
  <c r="K844" i="61"/>
  <c r="P843" i="61"/>
  <c r="O843" i="61"/>
  <c r="N843" i="61"/>
  <c r="M843" i="61"/>
  <c r="L843" i="61"/>
  <c r="K843" i="61"/>
  <c r="P842" i="61"/>
  <c r="O842" i="61"/>
  <c r="N842" i="61"/>
  <c r="M842" i="61"/>
  <c r="L842" i="61"/>
  <c r="K842" i="61"/>
  <c r="P841" i="61"/>
  <c r="O841" i="61"/>
  <c r="N841" i="61"/>
  <c r="M841" i="61"/>
  <c r="L841" i="61"/>
  <c r="K841" i="61"/>
  <c r="P840" i="61"/>
  <c r="O840" i="61"/>
  <c r="N840" i="61"/>
  <c r="M840" i="61"/>
  <c r="L840" i="61"/>
  <c r="K840" i="61"/>
  <c r="P839" i="61"/>
  <c r="O839" i="61"/>
  <c r="N839" i="61"/>
  <c r="M839" i="61"/>
  <c r="L839" i="61"/>
  <c r="K839" i="61"/>
  <c r="P838" i="61"/>
  <c r="O838" i="61"/>
  <c r="N838" i="61"/>
  <c r="M838" i="61"/>
  <c r="L838" i="61"/>
  <c r="K838" i="61"/>
  <c r="P837" i="61"/>
  <c r="O837" i="61"/>
  <c r="N837" i="61"/>
  <c r="M837" i="61"/>
  <c r="L837" i="61"/>
  <c r="K837" i="61"/>
  <c r="P836" i="61"/>
  <c r="O836" i="61"/>
  <c r="N836" i="61"/>
  <c r="M836" i="61"/>
  <c r="L836" i="61"/>
  <c r="K836" i="61"/>
  <c r="P835" i="61"/>
  <c r="O835" i="61"/>
  <c r="N835" i="61"/>
  <c r="M835" i="61"/>
  <c r="L835" i="61"/>
  <c r="K835" i="61"/>
  <c r="P834" i="61"/>
  <c r="O834" i="61"/>
  <c r="N834" i="61"/>
  <c r="M834" i="61"/>
  <c r="L834" i="61"/>
  <c r="K834" i="61"/>
  <c r="P833" i="61"/>
  <c r="O833" i="61"/>
  <c r="N833" i="61"/>
  <c r="M833" i="61"/>
  <c r="L833" i="61"/>
  <c r="K833" i="61"/>
  <c r="P832" i="61"/>
  <c r="O832" i="61"/>
  <c r="N832" i="61"/>
  <c r="M832" i="61"/>
  <c r="L832" i="61"/>
  <c r="K832" i="61"/>
  <c r="P831" i="61"/>
  <c r="O831" i="61"/>
  <c r="N831" i="61"/>
  <c r="M831" i="61"/>
  <c r="L831" i="61"/>
  <c r="K831" i="61"/>
  <c r="P830" i="61"/>
  <c r="O830" i="61"/>
  <c r="N830" i="61"/>
  <c r="M830" i="61"/>
  <c r="L830" i="61"/>
  <c r="K830" i="61"/>
  <c r="P829" i="61"/>
  <c r="O829" i="61"/>
  <c r="N829" i="61"/>
  <c r="M829" i="61"/>
  <c r="L829" i="61"/>
  <c r="K829" i="61"/>
  <c r="P828" i="61"/>
  <c r="O828" i="61"/>
  <c r="N828" i="61"/>
  <c r="M828" i="61"/>
  <c r="L828" i="61"/>
  <c r="K828" i="61"/>
  <c r="P827" i="61"/>
  <c r="O827" i="61"/>
  <c r="N827" i="61"/>
  <c r="M827" i="61"/>
  <c r="L827" i="61"/>
  <c r="K827" i="61"/>
  <c r="P826" i="61"/>
  <c r="O826" i="61"/>
  <c r="N826" i="61"/>
  <c r="M826" i="61"/>
  <c r="L826" i="61"/>
  <c r="K826" i="61"/>
  <c r="P825" i="61"/>
  <c r="O825" i="61"/>
  <c r="N825" i="61"/>
  <c r="M825" i="61"/>
  <c r="L825" i="61"/>
  <c r="K825" i="61"/>
  <c r="P824" i="61"/>
  <c r="O824" i="61"/>
  <c r="N824" i="61"/>
  <c r="M824" i="61"/>
  <c r="L824" i="61"/>
  <c r="K824" i="61"/>
  <c r="P823" i="61"/>
  <c r="O823" i="61"/>
  <c r="N823" i="61"/>
  <c r="M823" i="61"/>
  <c r="L823" i="61"/>
  <c r="K823" i="61"/>
  <c r="P822" i="61"/>
  <c r="O822" i="61"/>
  <c r="N822" i="61"/>
  <c r="M822" i="61"/>
  <c r="L822" i="61"/>
  <c r="K822" i="61"/>
  <c r="P821" i="61"/>
  <c r="O821" i="61"/>
  <c r="N821" i="61"/>
  <c r="M821" i="61"/>
  <c r="L821" i="61"/>
  <c r="K821" i="61"/>
  <c r="P820" i="61"/>
  <c r="O820" i="61"/>
  <c r="N820" i="61"/>
  <c r="M820" i="61"/>
  <c r="L820" i="61"/>
  <c r="K820" i="61"/>
  <c r="P819" i="61"/>
  <c r="O819" i="61"/>
  <c r="N819" i="61"/>
  <c r="M819" i="61"/>
  <c r="L819" i="61"/>
  <c r="K819" i="61"/>
  <c r="P818" i="61"/>
  <c r="O818" i="61"/>
  <c r="N818" i="61"/>
  <c r="M818" i="61"/>
  <c r="L818" i="61"/>
  <c r="K818" i="61"/>
  <c r="P817" i="61"/>
  <c r="O817" i="61"/>
  <c r="N817" i="61"/>
  <c r="M817" i="61"/>
  <c r="L817" i="61"/>
  <c r="K817" i="61"/>
  <c r="P816" i="61"/>
  <c r="O816" i="61"/>
  <c r="N816" i="61"/>
  <c r="M816" i="61"/>
  <c r="L816" i="61"/>
  <c r="K816" i="61"/>
  <c r="P815" i="61"/>
  <c r="O815" i="61"/>
  <c r="N815" i="61"/>
  <c r="M815" i="61"/>
  <c r="L815" i="61"/>
  <c r="K815" i="61"/>
  <c r="P814" i="61"/>
  <c r="O814" i="61"/>
  <c r="N814" i="61"/>
  <c r="M814" i="61"/>
  <c r="L814" i="61"/>
  <c r="K814" i="61"/>
  <c r="P813" i="61"/>
  <c r="O813" i="61"/>
  <c r="N813" i="61"/>
  <c r="M813" i="61"/>
  <c r="L813" i="61"/>
  <c r="K813" i="61"/>
  <c r="P812" i="61"/>
  <c r="O812" i="61"/>
  <c r="N812" i="61"/>
  <c r="M812" i="61"/>
  <c r="L812" i="61"/>
  <c r="K812" i="61"/>
  <c r="P811" i="61"/>
  <c r="O811" i="61"/>
  <c r="N811" i="61"/>
  <c r="M811" i="61"/>
  <c r="L811" i="61"/>
  <c r="K811" i="61"/>
  <c r="P810" i="61"/>
  <c r="O810" i="61"/>
  <c r="N810" i="61"/>
  <c r="M810" i="61"/>
  <c r="L810" i="61"/>
  <c r="K810" i="61"/>
  <c r="P809" i="61"/>
  <c r="O809" i="61"/>
  <c r="N809" i="61"/>
  <c r="M809" i="61"/>
  <c r="L809" i="61"/>
  <c r="K809" i="61"/>
  <c r="P808" i="61"/>
  <c r="O808" i="61"/>
  <c r="N808" i="61"/>
  <c r="M808" i="61"/>
  <c r="L808" i="61"/>
  <c r="K808" i="61"/>
  <c r="P807" i="61"/>
  <c r="O807" i="61"/>
  <c r="N807" i="61"/>
  <c r="M807" i="61"/>
  <c r="L807" i="61"/>
  <c r="K807" i="61"/>
  <c r="P806" i="61"/>
  <c r="O806" i="61"/>
  <c r="N806" i="61"/>
  <c r="M806" i="61"/>
  <c r="L806" i="61"/>
  <c r="K806" i="61"/>
  <c r="P805" i="61"/>
  <c r="O805" i="61"/>
  <c r="N805" i="61"/>
  <c r="M805" i="61"/>
  <c r="L805" i="61"/>
  <c r="K805" i="61"/>
  <c r="P804" i="61"/>
  <c r="O804" i="61"/>
  <c r="N804" i="61"/>
  <c r="M804" i="61"/>
  <c r="L804" i="61"/>
  <c r="K804" i="61"/>
  <c r="P803" i="61"/>
  <c r="O803" i="61"/>
  <c r="N803" i="61"/>
  <c r="M803" i="61"/>
  <c r="L803" i="61"/>
  <c r="K803" i="61"/>
  <c r="P802" i="61"/>
  <c r="O802" i="61"/>
  <c r="N802" i="61"/>
  <c r="M802" i="61"/>
  <c r="L802" i="61"/>
  <c r="K802" i="61"/>
  <c r="P801" i="61"/>
  <c r="O801" i="61"/>
  <c r="N801" i="61"/>
  <c r="M801" i="61"/>
  <c r="L801" i="61"/>
  <c r="K801" i="61"/>
  <c r="P800" i="61"/>
  <c r="O800" i="61"/>
  <c r="N800" i="61"/>
  <c r="M800" i="61"/>
  <c r="L800" i="61"/>
  <c r="K800" i="61"/>
  <c r="P799" i="61"/>
  <c r="O799" i="61"/>
  <c r="N799" i="61"/>
  <c r="M799" i="61"/>
  <c r="L799" i="61"/>
  <c r="K799" i="61"/>
  <c r="P798" i="61"/>
  <c r="O798" i="61"/>
  <c r="N798" i="61"/>
  <c r="M798" i="61"/>
  <c r="L798" i="61"/>
  <c r="K798" i="61"/>
  <c r="P797" i="61"/>
  <c r="O797" i="61"/>
  <c r="N797" i="61"/>
  <c r="M797" i="61"/>
  <c r="L797" i="61"/>
  <c r="K797" i="61"/>
  <c r="P796" i="61"/>
  <c r="O796" i="61"/>
  <c r="N796" i="61"/>
  <c r="M796" i="61"/>
  <c r="L796" i="61"/>
  <c r="K796" i="61"/>
  <c r="P795" i="61"/>
  <c r="O795" i="61"/>
  <c r="N795" i="61"/>
  <c r="M795" i="61"/>
  <c r="L795" i="61"/>
  <c r="K795" i="61"/>
  <c r="P794" i="61"/>
  <c r="O794" i="61"/>
  <c r="N794" i="61"/>
  <c r="M794" i="61"/>
  <c r="L794" i="61"/>
  <c r="K794" i="61"/>
  <c r="P793" i="61"/>
  <c r="O793" i="61"/>
  <c r="N793" i="61"/>
  <c r="M793" i="61"/>
  <c r="L793" i="61"/>
  <c r="K793" i="61"/>
  <c r="P792" i="61"/>
  <c r="O792" i="61"/>
  <c r="N792" i="61"/>
  <c r="M792" i="61"/>
  <c r="L792" i="61"/>
  <c r="K792" i="61"/>
  <c r="P791" i="61"/>
  <c r="O791" i="61"/>
  <c r="N791" i="61"/>
  <c r="M791" i="61"/>
  <c r="L791" i="61"/>
  <c r="K791" i="61"/>
  <c r="P790" i="61"/>
  <c r="O790" i="61"/>
  <c r="N790" i="61"/>
  <c r="M790" i="61"/>
  <c r="L790" i="61"/>
  <c r="K790" i="61"/>
  <c r="P789" i="61"/>
  <c r="O789" i="61"/>
  <c r="N789" i="61"/>
  <c r="M789" i="61"/>
  <c r="L789" i="61"/>
  <c r="K789" i="61"/>
  <c r="P788" i="61"/>
  <c r="O788" i="61"/>
  <c r="N788" i="61"/>
  <c r="M788" i="61"/>
  <c r="L788" i="61"/>
  <c r="K788" i="61"/>
  <c r="P787" i="61"/>
  <c r="O787" i="61"/>
  <c r="N787" i="61"/>
  <c r="M787" i="61"/>
  <c r="L787" i="61"/>
  <c r="K787" i="61"/>
  <c r="P786" i="61"/>
  <c r="O786" i="61"/>
  <c r="N786" i="61"/>
  <c r="M786" i="61"/>
  <c r="L786" i="61"/>
  <c r="K786" i="61"/>
  <c r="P785" i="61"/>
  <c r="O785" i="61"/>
  <c r="N785" i="61"/>
  <c r="M785" i="61"/>
  <c r="L785" i="61"/>
  <c r="K785" i="61"/>
  <c r="P784" i="61"/>
  <c r="O784" i="61"/>
  <c r="N784" i="61"/>
  <c r="M784" i="61"/>
  <c r="L784" i="61"/>
  <c r="K784" i="61"/>
  <c r="P783" i="61"/>
  <c r="O783" i="61"/>
  <c r="N783" i="61"/>
  <c r="M783" i="61"/>
  <c r="L783" i="61"/>
  <c r="K783" i="61"/>
  <c r="P782" i="61"/>
  <c r="O782" i="61"/>
  <c r="N782" i="61"/>
  <c r="M782" i="61"/>
  <c r="L782" i="61"/>
  <c r="K782" i="61"/>
  <c r="P781" i="61"/>
  <c r="O781" i="61"/>
  <c r="N781" i="61"/>
  <c r="M781" i="61"/>
  <c r="L781" i="61"/>
  <c r="K781" i="61"/>
  <c r="P780" i="61"/>
  <c r="O780" i="61"/>
  <c r="N780" i="61"/>
  <c r="M780" i="61"/>
  <c r="L780" i="61"/>
  <c r="K780" i="61"/>
  <c r="P779" i="61"/>
  <c r="O779" i="61"/>
  <c r="N779" i="61"/>
  <c r="M779" i="61"/>
  <c r="L779" i="61"/>
  <c r="K779" i="61"/>
  <c r="P778" i="61"/>
  <c r="O778" i="61"/>
  <c r="N778" i="61"/>
  <c r="M778" i="61"/>
  <c r="L778" i="61"/>
  <c r="K778" i="61"/>
  <c r="P777" i="61"/>
  <c r="O777" i="61"/>
  <c r="N777" i="61"/>
  <c r="M777" i="61"/>
  <c r="L777" i="61"/>
  <c r="K777" i="61"/>
  <c r="P776" i="61"/>
  <c r="O776" i="61"/>
  <c r="N776" i="61"/>
  <c r="M776" i="61"/>
  <c r="L776" i="61"/>
  <c r="K776" i="61"/>
  <c r="P775" i="61"/>
  <c r="O775" i="61"/>
  <c r="N775" i="61"/>
  <c r="M775" i="61"/>
  <c r="L775" i="61"/>
  <c r="K775" i="61"/>
  <c r="P774" i="61"/>
  <c r="O774" i="61"/>
  <c r="N774" i="61"/>
  <c r="M774" i="61"/>
  <c r="L774" i="61"/>
  <c r="K774" i="61"/>
  <c r="P773" i="61"/>
  <c r="O773" i="61"/>
  <c r="N773" i="61"/>
  <c r="M773" i="61"/>
  <c r="L773" i="61"/>
  <c r="K773" i="61"/>
  <c r="P772" i="61"/>
  <c r="O772" i="61"/>
  <c r="N772" i="61"/>
  <c r="M772" i="61"/>
  <c r="L772" i="61"/>
  <c r="K772" i="61"/>
  <c r="P771" i="61"/>
  <c r="O771" i="61"/>
  <c r="N771" i="61"/>
  <c r="M771" i="61"/>
  <c r="L771" i="61"/>
  <c r="K771" i="61"/>
  <c r="P770" i="61"/>
  <c r="O770" i="61"/>
  <c r="N770" i="61"/>
  <c r="M770" i="61"/>
  <c r="L770" i="61"/>
  <c r="K770" i="61"/>
  <c r="P769" i="61"/>
  <c r="O769" i="61"/>
  <c r="N769" i="61"/>
  <c r="M769" i="61"/>
  <c r="L769" i="61"/>
  <c r="K769" i="61"/>
  <c r="P768" i="61"/>
  <c r="O768" i="61"/>
  <c r="N768" i="61"/>
  <c r="M768" i="61"/>
  <c r="L768" i="61"/>
  <c r="K768" i="61"/>
  <c r="P767" i="61"/>
  <c r="O767" i="61"/>
  <c r="N767" i="61"/>
  <c r="M767" i="61"/>
  <c r="L767" i="61"/>
  <c r="K767" i="61"/>
  <c r="P766" i="61"/>
  <c r="O766" i="61"/>
  <c r="N766" i="61"/>
  <c r="M766" i="61"/>
  <c r="L766" i="61"/>
  <c r="K766" i="61"/>
  <c r="P765" i="61"/>
  <c r="O765" i="61"/>
  <c r="N765" i="61"/>
  <c r="M765" i="61"/>
  <c r="L765" i="61"/>
  <c r="K765" i="61"/>
  <c r="P764" i="61"/>
  <c r="O764" i="61"/>
  <c r="N764" i="61"/>
  <c r="M764" i="61"/>
  <c r="L764" i="61"/>
  <c r="K764" i="61"/>
  <c r="P763" i="61"/>
  <c r="O763" i="61"/>
  <c r="N763" i="61"/>
  <c r="M763" i="61"/>
  <c r="L763" i="61"/>
  <c r="K763" i="61"/>
  <c r="P762" i="61"/>
  <c r="O762" i="61"/>
  <c r="N762" i="61"/>
  <c r="M762" i="61"/>
  <c r="L762" i="61"/>
  <c r="K762" i="61"/>
  <c r="P761" i="61"/>
  <c r="O761" i="61"/>
  <c r="N761" i="61"/>
  <c r="M761" i="61"/>
  <c r="L761" i="61"/>
  <c r="K761" i="61"/>
  <c r="P760" i="61"/>
  <c r="O760" i="61"/>
  <c r="N760" i="61"/>
  <c r="M760" i="61"/>
  <c r="L760" i="61"/>
  <c r="K760" i="61"/>
  <c r="P759" i="61"/>
  <c r="O759" i="61"/>
  <c r="N759" i="61"/>
  <c r="M759" i="61"/>
  <c r="L759" i="61"/>
  <c r="K759" i="61"/>
  <c r="P758" i="61"/>
  <c r="O758" i="61"/>
  <c r="N758" i="61"/>
  <c r="M758" i="61"/>
  <c r="L758" i="61"/>
  <c r="K758" i="61"/>
  <c r="P757" i="61"/>
  <c r="O757" i="61"/>
  <c r="N757" i="61"/>
  <c r="M757" i="61"/>
  <c r="L757" i="61"/>
  <c r="K757" i="61"/>
  <c r="P756" i="61"/>
  <c r="O756" i="61"/>
  <c r="N756" i="61"/>
  <c r="M756" i="61"/>
  <c r="L756" i="61"/>
  <c r="K756" i="61"/>
  <c r="P755" i="61"/>
  <c r="O755" i="61"/>
  <c r="N755" i="61"/>
  <c r="M755" i="61"/>
  <c r="L755" i="61"/>
  <c r="K755" i="61"/>
  <c r="P754" i="61"/>
  <c r="O754" i="61"/>
  <c r="N754" i="61"/>
  <c r="M754" i="61"/>
  <c r="L754" i="61"/>
  <c r="K754" i="61"/>
  <c r="P753" i="61"/>
  <c r="O753" i="61"/>
  <c r="N753" i="61"/>
  <c r="M753" i="61"/>
  <c r="L753" i="61"/>
  <c r="K753" i="61"/>
  <c r="P752" i="61"/>
  <c r="O752" i="61"/>
  <c r="N752" i="61"/>
  <c r="M752" i="61"/>
  <c r="L752" i="61"/>
  <c r="K752" i="61"/>
  <c r="P751" i="61"/>
  <c r="O751" i="61"/>
  <c r="N751" i="61"/>
  <c r="M751" i="61"/>
  <c r="L751" i="61"/>
  <c r="K751" i="61"/>
  <c r="P750" i="61"/>
  <c r="O750" i="61"/>
  <c r="N750" i="61"/>
  <c r="M750" i="61"/>
  <c r="L750" i="61"/>
  <c r="K750" i="61"/>
  <c r="P749" i="61"/>
  <c r="O749" i="61"/>
  <c r="N749" i="61"/>
  <c r="M749" i="61"/>
  <c r="L749" i="61"/>
  <c r="K749" i="61"/>
  <c r="P748" i="61"/>
  <c r="O748" i="61"/>
  <c r="N748" i="61"/>
  <c r="M748" i="61"/>
  <c r="L748" i="61"/>
  <c r="K748" i="61"/>
  <c r="P747" i="61"/>
  <c r="O747" i="61"/>
  <c r="N747" i="61"/>
  <c r="M747" i="61"/>
  <c r="L747" i="61"/>
  <c r="K747" i="61"/>
  <c r="P746" i="61"/>
  <c r="O746" i="61"/>
  <c r="N746" i="61"/>
  <c r="M746" i="61"/>
  <c r="L746" i="61"/>
  <c r="K746" i="61"/>
  <c r="P745" i="61"/>
  <c r="O745" i="61"/>
  <c r="N745" i="61"/>
  <c r="M745" i="61"/>
  <c r="L745" i="61"/>
  <c r="K745" i="61"/>
  <c r="P744" i="61"/>
  <c r="O744" i="61"/>
  <c r="N744" i="61"/>
  <c r="M744" i="61"/>
  <c r="L744" i="61"/>
  <c r="K744" i="61"/>
  <c r="P743" i="61"/>
  <c r="O743" i="61"/>
  <c r="N743" i="61"/>
  <c r="M743" i="61"/>
  <c r="L743" i="61"/>
  <c r="K743" i="61"/>
  <c r="P742" i="61"/>
  <c r="O742" i="61"/>
  <c r="N742" i="61"/>
  <c r="M742" i="61"/>
  <c r="L742" i="61"/>
  <c r="K742" i="61"/>
  <c r="P741" i="61"/>
  <c r="O741" i="61"/>
  <c r="N741" i="61"/>
  <c r="M741" i="61"/>
  <c r="L741" i="61"/>
  <c r="K741" i="61"/>
  <c r="P740" i="61"/>
  <c r="O740" i="61"/>
  <c r="N740" i="61"/>
  <c r="M740" i="61"/>
  <c r="L740" i="61"/>
  <c r="K740" i="61"/>
  <c r="P739" i="61"/>
  <c r="O739" i="61"/>
  <c r="N739" i="61"/>
  <c r="M739" i="61"/>
  <c r="L739" i="61"/>
  <c r="K739" i="61"/>
  <c r="P738" i="61"/>
  <c r="O738" i="61"/>
  <c r="N738" i="61"/>
  <c r="M738" i="61"/>
  <c r="L738" i="61"/>
  <c r="K738" i="61"/>
  <c r="P737" i="61"/>
  <c r="O737" i="61"/>
  <c r="N737" i="61"/>
  <c r="M737" i="61"/>
  <c r="L737" i="61"/>
  <c r="K737" i="61"/>
  <c r="P736" i="61"/>
  <c r="O736" i="61"/>
  <c r="N736" i="61"/>
  <c r="M736" i="61"/>
  <c r="L736" i="61"/>
  <c r="K736" i="61"/>
  <c r="P735" i="61"/>
  <c r="O735" i="61"/>
  <c r="N735" i="61"/>
  <c r="M735" i="61"/>
  <c r="L735" i="61"/>
  <c r="K735" i="61"/>
  <c r="P734" i="61"/>
  <c r="O734" i="61"/>
  <c r="N734" i="61"/>
  <c r="M734" i="61"/>
  <c r="L734" i="61"/>
  <c r="K734" i="61"/>
  <c r="P733" i="61"/>
  <c r="O733" i="61"/>
  <c r="N733" i="61"/>
  <c r="M733" i="61"/>
  <c r="L733" i="61"/>
  <c r="K733" i="61"/>
  <c r="P732" i="61"/>
  <c r="O732" i="61"/>
  <c r="N732" i="61"/>
  <c r="M732" i="61"/>
  <c r="L732" i="61"/>
  <c r="K732" i="61"/>
  <c r="P731" i="61"/>
  <c r="O731" i="61"/>
  <c r="N731" i="61"/>
  <c r="M731" i="61"/>
  <c r="L731" i="61"/>
  <c r="K731" i="61"/>
  <c r="P730" i="61"/>
  <c r="O730" i="61"/>
  <c r="N730" i="61"/>
  <c r="M730" i="61"/>
  <c r="L730" i="61"/>
  <c r="K730" i="61"/>
  <c r="P729" i="61"/>
  <c r="O729" i="61"/>
  <c r="N729" i="61"/>
  <c r="M729" i="61"/>
  <c r="L729" i="61"/>
  <c r="K729" i="61"/>
  <c r="P728" i="61"/>
  <c r="O728" i="61"/>
  <c r="N728" i="61"/>
  <c r="M728" i="61"/>
  <c r="L728" i="61"/>
  <c r="K728" i="61"/>
  <c r="P727" i="61"/>
  <c r="O727" i="61"/>
  <c r="N727" i="61"/>
  <c r="M727" i="61"/>
  <c r="L727" i="61"/>
  <c r="K727" i="61"/>
  <c r="P726" i="61"/>
  <c r="O726" i="61"/>
  <c r="N726" i="61"/>
  <c r="M726" i="61"/>
  <c r="L726" i="61"/>
  <c r="K726" i="61"/>
  <c r="P725" i="61"/>
  <c r="O725" i="61"/>
  <c r="N725" i="61"/>
  <c r="M725" i="61"/>
  <c r="L725" i="61"/>
  <c r="K725" i="61"/>
  <c r="P724" i="61"/>
  <c r="O724" i="61"/>
  <c r="N724" i="61"/>
  <c r="M724" i="61"/>
  <c r="L724" i="61"/>
  <c r="K724" i="61"/>
  <c r="P723" i="61"/>
  <c r="O723" i="61"/>
  <c r="N723" i="61"/>
  <c r="M723" i="61"/>
  <c r="L723" i="61"/>
  <c r="K723" i="61"/>
  <c r="P722" i="61"/>
  <c r="O722" i="61"/>
  <c r="N722" i="61"/>
  <c r="M722" i="61"/>
  <c r="L722" i="61"/>
  <c r="K722" i="61"/>
  <c r="P721" i="61"/>
  <c r="O721" i="61"/>
  <c r="N721" i="61"/>
  <c r="M721" i="61"/>
  <c r="L721" i="61"/>
  <c r="K721" i="61"/>
  <c r="P720" i="61"/>
  <c r="O720" i="61"/>
  <c r="N720" i="61"/>
  <c r="M720" i="61"/>
  <c r="L720" i="61"/>
  <c r="K720" i="61"/>
  <c r="P719" i="61"/>
  <c r="O719" i="61"/>
  <c r="N719" i="61"/>
  <c r="M719" i="61"/>
  <c r="L719" i="61"/>
  <c r="K719" i="61"/>
  <c r="P718" i="61"/>
  <c r="O718" i="61"/>
  <c r="N718" i="61"/>
  <c r="M718" i="61"/>
  <c r="L718" i="61"/>
  <c r="K718" i="61"/>
  <c r="P717" i="61"/>
  <c r="O717" i="61"/>
  <c r="N717" i="61"/>
  <c r="M717" i="61"/>
  <c r="L717" i="61"/>
  <c r="K717" i="61"/>
  <c r="P716" i="61"/>
  <c r="O716" i="61"/>
  <c r="N716" i="61"/>
  <c r="M716" i="61"/>
  <c r="L716" i="61"/>
  <c r="K716" i="61"/>
  <c r="P715" i="61"/>
  <c r="O715" i="61"/>
  <c r="N715" i="61"/>
  <c r="M715" i="61"/>
  <c r="L715" i="61"/>
  <c r="K715" i="61"/>
  <c r="P714" i="61"/>
  <c r="O714" i="61"/>
  <c r="N714" i="61"/>
  <c r="M714" i="61"/>
  <c r="L714" i="61"/>
  <c r="K714" i="61"/>
  <c r="P713" i="61"/>
  <c r="O713" i="61"/>
  <c r="N713" i="61"/>
  <c r="M713" i="61"/>
  <c r="L713" i="61"/>
  <c r="K713" i="61"/>
  <c r="P712" i="61"/>
  <c r="O712" i="61"/>
  <c r="N712" i="61"/>
  <c r="M712" i="61"/>
  <c r="L712" i="61"/>
  <c r="K712" i="61"/>
  <c r="P711" i="61"/>
  <c r="O711" i="61"/>
  <c r="N711" i="61"/>
  <c r="M711" i="61"/>
  <c r="L711" i="61"/>
  <c r="K711" i="61"/>
  <c r="P710" i="61"/>
  <c r="O710" i="61"/>
  <c r="N710" i="61"/>
  <c r="M710" i="61"/>
  <c r="L710" i="61"/>
  <c r="K710" i="61"/>
  <c r="P709" i="61"/>
  <c r="O709" i="61"/>
  <c r="N709" i="61"/>
  <c r="M709" i="61"/>
  <c r="L709" i="61"/>
  <c r="K709" i="61"/>
  <c r="P708" i="61"/>
  <c r="O708" i="61"/>
  <c r="N708" i="61"/>
  <c r="M708" i="61"/>
  <c r="L708" i="61"/>
  <c r="K708" i="61"/>
  <c r="P707" i="61"/>
  <c r="O707" i="61"/>
  <c r="N707" i="61"/>
  <c r="M707" i="61"/>
  <c r="L707" i="61"/>
  <c r="K707" i="61"/>
  <c r="P706" i="61"/>
  <c r="O706" i="61"/>
  <c r="N706" i="61"/>
  <c r="M706" i="61"/>
  <c r="L706" i="61"/>
  <c r="K706" i="61"/>
  <c r="P705" i="61"/>
  <c r="O705" i="61"/>
  <c r="N705" i="61"/>
  <c r="M705" i="61"/>
  <c r="L705" i="61"/>
  <c r="K705" i="61"/>
  <c r="P704" i="61"/>
  <c r="O704" i="61"/>
  <c r="N704" i="61"/>
  <c r="M704" i="61"/>
  <c r="L704" i="61"/>
  <c r="K704" i="61"/>
  <c r="P703" i="61"/>
  <c r="O703" i="61"/>
  <c r="N703" i="61"/>
  <c r="M703" i="61"/>
  <c r="L703" i="61"/>
  <c r="K703" i="61"/>
  <c r="P702" i="61"/>
  <c r="O702" i="61"/>
  <c r="N702" i="61"/>
  <c r="M702" i="61"/>
  <c r="L702" i="61"/>
  <c r="K702" i="61"/>
  <c r="P701" i="61"/>
  <c r="O701" i="61"/>
  <c r="N701" i="61"/>
  <c r="M701" i="61"/>
  <c r="L701" i="61"/>
  <c r="K701" i="61"/>
  <c r="P700" i="61"/>
  <c r="O700" i="61"/>
  <c r="N700" i="61"/>
  <c r="M700" i="61"/>
  <c r="L700" i="61"/>
  <c r="K700" i="61"/>
  <c r="P699" i="61"/>
  <c r="O699" i="61"/>
  <c r="N699" i="61"/>
  <c r="M699" i="61"/>
  <c r="L699" i="61"/>
  <c r="K699" i="61"/>
  <c r="P698" i="61"/>
  <c r="O698" i="61"/>
  <c r="N698" i="61"/>
  <c r="M698" i="61"/>
  <c r="L698" i="61"/>
  <c r="K698" i="61"/>
  <c r="P697" i="61"/>
  <c r="O697" i="61"/>
  <c r="N697" i="61"/>
  <c r="M697" i="61"/>
  <c r="L697" i="61"/>
  <c r="K697" i="61"/>
  <c r="P696" i="61"/>
  <c r="O696" i="61"/>
  <c r="N696" i="61"/>
  <c r="M696" i="61"/>
  <c r="L696" i="61"/>
  <c r="K696" i="61"/>
  <c r="P695" i="61"/>
  <c r="O695" i="61"/>
  <c r="N695" i="61"/>
  <c r="M695" i="61"/>
  <c r="L695" i="61"/>
  <c r="K695" i="61"/>
  <c r="P694" i="61"/>
  <c r="O694" i="61"/>
  <c r="N694" i="61"/>
  <c r="M694" i="61"/>
  <c r="L694" i="61"/>
  <c r="K694" i="61"/>
  <c r="P693" i="61"/>
  <c r="O693" i="61"/>
  <c r="N693" i="61"/>
  <c r="M693" i="61"/>
  <c r="L693" i="61"/>
  <c r="K693" i="61"/>
  <c r="P692" i="61"/>
  <c r="O692" i="61"/>
  <c r="N692" i="61"/>
  <c r="M692" i="61"/>
  <c r="L692" i="61"/>
  <c r="K692" i="61"/>
  <c r="P691" i="61"/>
  <c r="O691" i="61"/>
  <c r="N691" i="61"/>
  <c r="M691" i="61"/>
  <c r="L691" i="61"/>
  <c r="K691" i="61"/>
  <c r="P690" i="61"/>
  <c r="O690" i="61"/>
  <c r="N690" i="61"/>
  <c r="M690" i="61"/>
  <c r="L690" i="61"/>
  <c r="K690" i="61"/>
  <c r="P689" i="61"/>
  <c r="O689" i="61"/>
  <c r="N689" i="61"/>
  <c r="M689" i="61"/>
  <c r="L689" i="61"/>
  <c r="K689" i="61"/>
  <c r="P688" i="61"/>
  <c r="O688" i="61"/>
  <c r="N688" i="61"/>
  <c r="M688" i="61"/>
  <c r="L688" i="61"/>
  <c r="K688" i="61"/>
  <c r="P687" i="61"/>
  <c r="O687" i="61"/>
  <c r="N687" i="61"/>
  <c r="M687" i="61"/>
  <c r="L687" i="61"/>
  <c r="K687" i="61"/>
  <c r="P686" i="61"/>
  <c r="O686" i="61"/>
  <c r="N686" i="61"/>
  <c r="M686" i="61"/>
  <c r="L686" i="61"/>
  <c r="K686" i="61"/>
  <c r="P685" i="61"/>
  <c r="O685" i="61"/>
  <c r="N685" i="61"/>
  <c r="M685" i="61"/>
  <c r="L685" i="61"/>
  <c r="K685" i="61"/>
  <c r="P684" i="61"/>
  <c r="O684" i="61"/>
  <c r="N684" i="61"/>
  <c r="M684" i="61"/>
  <c r="L684" i="61"/>
  <c r="K684" i="61"/>
  <c r="P683" i="61"/>
  <c r="O683" i="61"/>
  <c r="N683" i="61"/>
  <c r="M683" i="61"/>
  <c r="L683" i="61"/>
  <c r="K683" i="61"/>
  <c r="P682" i="61"/>
  <c r="O682" i="61"/>
  <c r="N682" i="61"/>
  <c r="M682" i="61"/>
  <c r="L682" i="61"/>
  <c r="K682" i="61"/>
  <c r="P681" i="61"/>
  <c r="O681" i="61"/>
  <c r="N681" i="61"/>
  <c r="M681" i="61"/>
  <c r="L681" i="61"/>
  <c r="K681" i="61"/>
  <c r="P680" i="61"/>
  <c r="O680" i="61"/>
  <c r="N680" i="61"/>
  <c r="M680" i="61"/>
  <c r="L680" i="61"/>
  <c r="K680" i="61"/>
  <c r="P679" i="61"/>
  <c r="O679" i="61"/>
  <c r="N679" i="61"/>
  <c r="M679" i="61"/>
  <c r="L679" i="61"/>
  <c r="K679" i="61"/>
  <c r="P678" i="61"/>
  <c r="O678" i="61"/>
  <c r="N678" i="61"/>
  <c r="M678" i="61"/>
  <c r="L678" i="61"/>
  <c r="K678" i="61"/>
  <c r="P677" i="61"/>
  <c r="O677" i="61"/>
  <c r="N677" i="61"/>
  <c r="M677" i="61"/>
  <c r="L677" i="61"/>
  <c r="K677" i="61"/>
  <c r="P676" i="61"/>
  <c r="O676" i="61"/>
  <c r="N676" i="61"/>
  <c r="M676" i="61"/>
  <c r="L676" i="61"/>
  <c r="K676" i="61"/>
  <c r="P675" i="61"/>
  <c r="O675" i="61"/>
  <c r="N675" i="61"/>
  <c r="M675" i="61"/>
  <c r="L675" i="61"/>
  <c r="K675" i="61"/>
  <c r="P674" i="61"/>
  <c r="O674" i="61"/>
  <c r="N674" i="61"/>
  <c r="M674" i="61"/>
  <c r="L674" i="61"/>
  <c r="K674" i="61"/>
  <c r="P673" i="61"/>
  <c r="O673" i="61"/>
  <c r="N673" i="61"/>
  <c r="M673" i="61"/>
  <c r="L673" i="61"/>
  <c r="K673" i="61"/>
  <c r="P672" i="61"/>
  <c r="O672" i="61"/>
  <c r="N672" i="61"/>
  <c r="M672" i="61"/>
  <c r="L672" i="61"/>
  <c r="K672" i="61"/>
  <c r="P671" i="61"/>
  <c r="O671" i="61"/>
  <c r="N671" i="61"/>
  <c r="M671" i="61"/>
  <c r="L671" i="61"/>
  <c r="K671" i="61"/>
  <c r="P670" i="61"/>
  <c r="O670" i="61"/>
  <c r="N670" i="61"/>
  <c r="M670" i="61"/>
  <c r="L670" i="61"/>
  <c r="K670" i="61"/>
  <c r="P669" i="61"/>
  <c r="O669" i="61"/>
  <c r="N669" i="61"/>
  <c r="M669" i="61"/>
  <c r="L669" i="61"/>
  <c r="K669" i="61"/>
  <c r="P668" i="61"/>
  <c r="O668" i="61"/>
  <c r="N668" i="61"/>
  <c r="M668" i="61"/>
  <c r="L668" i="61"/>
  <c r="K668" i="61"/>
  <c r="P667" i="61"/>
  <c r="O667" i="61"/>
  <c r="N667" i="61"/>
  <c r="M667" i="61"/>
  <c r="L667" i="61"/>
  <c r="K667" i="61"/>
  <c r="P666" i="61"/>
  <c r="O666" i="61"/>
  <c r="N666" i="61"/>
  <c r="M666" i="61"/>
  <c r="L666" i="61"/>
  <c r="K666" i="61"/>
  <c r="P665" i="61"/>
  <c r="O665" i="61"/>
  <c r="N665" i="61"/>
  <c r="M665" i="61"/>
  <c r="L665" i="61"/>
  <c r="K665" i="61"/>
  <c r="P664" i="61"/>
  <c r="O664" i="61"/>
  <c r="N664" i="61"/>
  <c r="M664" i="61"/>
  <c r="L664" i="61"/>
  <c r="K664" i="61"/>
  <c r="P663" i="61"/>
  <c r="O663" i="61"/>
  <c r="N663" i="61"/>
  <c r="M663" i="61"/>
  <c r="L663" i="61"/>
  <c r="K663" i="61"/>
  <c r="P662" i="61"/>
  <c r="O662" i="61"/>
  <c r="N662" i="61"/>
  <c r="M662" i="61"/>
  <c r="L662" i="61"/>
  <c r="K662" i="61"/>
  <c r="P661" i="61"/>
  <c r="O661" i="61"/>
  <c r="N661" i="61"/>
  <c r="M661" i="61"/>
  <c r="L661" i="61"/>
  <c r="K661" i="61"/>
  <c r="P660" i="61"/>
  <c r="O660" i="61"/>
  <c r="N660" i="61"/>
  <c r="M660" i="61"/>
  <c r="L660" i="61"/>
  <c r="K660" i="61"/>
  <c r="P659" i="61"/>
  <c r="O659" i="61"/>
  <c r="N659" i="61"/>
  <c r="M659" i="61"/>
  <c r="L659" i="61"/>
  <c r="K659" i="61"/>
  <c r="P658" i="61"/>
  <c r="O658" i="61"/>
  <c r="N658" i="61"/>
  <c r="M658" i="61"/>
  <c r="L658" i="61"/>
  <c r="K658" i="61"/>
  <c r="P657" i="61"/>
  <c r="O657" i="61"/>
  <c r="N657" i="61"/>
  <c r="M657" i="61"/>
  <c r="L657" i="61"/>
  <c r="K657" i="61"/>
  <c r="P656" i="61"/>
  <c r="O656" i="61"/>
  <c r="N656" i="61"/>
  <c r="M656" i="61"/>
  <c r="L656" i="61"/>
  <c r="K656" i="61"/>
  <c r="P655" i="61"/>
  <c r="O655" i="61"/>
  <c r="N655" i="61"/>
  <c r="M655" i="61"/>
  <c r="L655" i="61"/>
  <c r="K655" i="61"/>
  <c r="P654" i="61"/>
  <c r="O654" i="61"/>
  <c r="N654" i="61"/>
  <c r="M654" i="61"/>
  <c r="L654" i="61"/>
  <c r="K654" i="61"/>
  <c r="P653" i="61"/>
  <c r="O653" i="61"/>
  <c r="N653" i="61"/>
  <c r="M653" i="61"/>
  <c r="L653" i="61"/>
  <c r="K653" i="61"/>
  <c r="P652" i="61"/>
  <c r="O652" i="61"/>
  <c r="N652" i="61"/>
  <c r="M652" i="61"/>
  <c r="L652" i="61"/>
  <c r="K652" i="61"/>
  <c r="P651" i="61"/>
  <c r="O651" i="61"/>
  <c r="N651" i="61"/>
  <c r="M651" i="61"/>
  <c r="L651" i="61"/>
  <c r="K651" i="61"/>
  <c r="P650" i="61"/>
  <c r="O650" i="61"/>
  <c r="N650" i="61"/>
  <c r="M650" i="61"/>
  <c r="L650" i="61"/>
  <c r="K650" i="61"/>
  <c r="P649" i="61"/>
  <c r="O649" i="61"/>
  <c r="N649" i="61"/>
  <c r="M649" i="61"/>
  <c r="L649" i="61"/>
  <c r="K649" i="61"/>
  <c r="P648" i="61"/>
  <c r="O648" i="61"/>
  <c r="N648" i="61"/>
  <c r="M648" i="61"/>
  <c r="L648" i="61"/>
  <c r="K648" i="61"/>
  <c r="P647" i="61"/>
  <c r="O647" i="61"/>
  <c r="N647" i="61"/>
  <c r="M647" i="61"/>
  <c r="L647" i="61"/>
  <c r="K647" i="61"/>
  <c r="P646" i="61"/>
  <c r="O646" i="61"/>
  <c r="N646" i="61"/>
  <c r="M646" i="61"/>
  <c r="L646" i="61"/>
  <c r="K646" i="61"/>
  <c r="P645" i="61"/>
  <c r="O645" i="61"/>
  <c r="N645" i="61"/>
  <c r="M645" i="61"/>
  <c r="L645" i="61"/>
  <c r="K645" i="61"/>
  <c r="P644" i="61"/>
  <c r="O644" i="61"/>
  <c r="N644" i="61"/>
  <c r="M644" i="61"/>
  <c r="L644" i="61"/>
  <c r="K644" i="61"/>
  <c r="P643" i="61"/>
  <c r="O643" i="61"/>
  <c r="N643" i="61"/>
  <c r="M643" i="61"/>
  <c r="L643" i="61"/>
  <c r="K643" i="61"/>
  <c r="P642" i="61"/>
  <c r="O642" i="61"/>
  <c r="N642" i="61"/>
  <c r="M642" i="61"/>
  <c r="L642" i="61"/>
  <c r="K642" i="61"/>
  <c r="P641" i="61"/>
  <c r="O641" i="61"/>
  <c r="N641" i="61"/>
  <c r="M641" i="61"/>
  <c r="L641" i="61"/>
  <c r="K641" i="61"/>
  <c r="P640" i="61"/>
  <c r="O640" i="61"/>
  <c r="N640" i="61"/>
  <c r="M640" i="61"/>
  <c r="L640" i="61"/>
  <c r="K640" i="61"/>
  <c r="P639" i="61"/>
  <c r="O639" i="61"/>
  <c r="N639" i="61"/>
  <c r="M639" i="61"/>
  <c r="L639" i="61"/>
  <c r="K639" i="61"/>
  <c r="P638" i="61"/>
  <c r="O638" i="61"/>
  <c r="N638" i="61"/>
  <c r="M638" i="61"/>
  <c r="L638" i="61"/>
  <c r="K638" i="61"/>
  <c r="P637" i="61"/>
  <c r="O637" i="61"/>
  <c r="N637" i="61"/>
  <c r="M637" i="61"/>
  <c r="L637" i="61"/>
  <c r="K637" i="61"/>
  <c r="P636" i="61"/>
  <c r="O636" i="61"/>
  <c r="N636" i="61"/>
  <c r="M636" i="61"/>
  <c r="L636" i="61"/>
  <c r="K636" i="61"/>
  <c r="P635" i="61"/>
  <c r="O635" i="61"/>
  <c r="N635" i="61"/>
  <c r="M635" i="61"/>
  <c r="L635" i="61"/>
  <c r="K635" i="61"/>
  <c r="P634" i="61"/>
  <c r="O634" i="61"/>
  <c r="N634" i="61"/>
  <c r="M634" i="61"/>
  <c r="L634" i="61"/>
  <c r="K634" i="61"/>
  <c r="P633" i="61"/>
  <c r="O633" i="61"/>
  <c r="N633" i="61"/>
  <c r="M633" i="61"/>
  <c r="L633" i="61"/>
  <c r="K633" i="61"/>
  <c r="P632" i="61"/>
  <c r="O632" i="61"/>
  <c r="N632" i="61"/>
  <c r="M632" i="61"/>
  <c r="L632" i="61"/>
  <c r="K632" i="61"/>
  <c r="P631" i="61"/>
  <c r="O631" i="61"/>
  <c r="N631" i="61"/>
  <c r="M631" i="61"/>
  <c r="L631" i="61"/>
  <c r="K631" i="61"/>
  <c r="P630" i="61"/>
  <c r="O630" i="61"/>
  <c r="N630" i="61"/>
  <c r="M630" i="61"/>
  <c r="L630" i="61"/>
  <c r="K630" i="61"/>
  <c r="P629" i="61"/>
  <c r="O629" i="61"/>
  <c r="N629" i="61"/>
  <c r="M629" i="61"/>
  <c r="L629" i="61"/>
  <c r="K629" i="61"/>
  <c r="P628" i="61"/>
  <c r="O628" i="61"/>
  <c r="N628" i="61"/>
  <c r="M628" i="61"/>
  <c r="L628" i="61"/>
  <c r="K628" i="61"/>
  <c r="P627" i="61"/>
  <c r="O627" i="61"/>
  <c r="N627" i="61"/>
  <c r="M627" i="61"/>
  <c r="L627" i="61"/>
  <c r="K627" i="61"/>
  <c r="P626" i="61"/>
  <c r="O626" i="61"/>
  <c r="N626" i="61"/>
  <c r="M626" i="61"/>
  <c r="L626" i="61"/>
  <c r="K626" i="61"/>
  <c r="P625" i="61"/>
  <c r="O625" i="61"/>
  <c r="N625" i="61"/>
  <c r="M625" i="61"/>
  <c r="L625" i="61"/>
  <c r="K625" i="61"/>
  <c r="P624" i="61"/>
  <c r="O624" i="61"/>
  <c r="N624" i="61"/>
  <c r="M624" i="61"/>
  <c r="L624" i="61"/>
  <c r="K624" i="61"/>
  <c r="P623" i="61"/>
  <c r="O623" i="61"/>
  <c r="N623" i="61"/>
  <c r="M623" i="61"/>
  <c r="L623" i="61"/>
  <c r="K623" i="61"/>
  <c r="P622" i="61"/>
  <c r="O622" i="61"/>
  <c r="N622" i="61"/>
  <c r="M622" i="61"/>
  <c r="L622" i="61"/>
  <c r="K622" i="61"/>
  <c r="P621" i="61"/>
  <c r="O621" i="61"/>
  <c r="N621" i="61"/>
  <c r="M621" i="61"/>
  <c r="L621" i="61"/>
  <c r="K621" i="61"/>
  <c r="P620" i="61"/>
  <c r="O620" i="61"/>
  <c r="N620" i="61"/>
  <c r="M620" i="61"/>
  <c r="L620" i="61"/>
  <c r="K620" i="61"/>
  <c r="P619" i="61"/>
  <c r="O619" i="61"/>
  <c r="N619" i="61"/>
  <c r="M619" i="61"/>
  <c r="L619" i="61"/>
  <c r="K619" i="61"/>
  <c r="P618" i="61"/>
  <c r="O618" i="61"/>
  <c r="N618" i="61"/>
  <c r="M618" i="61"/>
  <c r="L618" i="61"/>
  <c r="K618" i="61"/>
  <c r="P617" i="61"/>
  <c r="O617" i="61"/>
  <c r="N617" i="61"/>
  <c r="M617" i="61"/>
  <c r="L617" i="61"/>
  <c r="K617" i="61"/>
  <c r="P616" i="61"/>
  <c r="O616" i="61"/>
  <c r="N616" i="61"/>
  <c r="M616" i="61"/>
  <c r="L616" i="61"/>
  <c r="K616" i="61"/>
  <c r="P615" i="61"/>
  <c r="O615" i="61"/>
  <c r="N615" i="61"/>
  <c r="M615" i="61"/>
  <c r="L615" i="61"/>
  <c r="K615" i="61"/>
  <c r="P614" i="61"/>
  <c r="O614" i="61"/>
  <c r="N614" i="61"/>
  <c r="M614" i="61"/>
  <c r="L614" i="61"/>
  <c r="K614" i="61"/>
  <c r="P613" i="61"/>
  <c r="O613" i="61"/>
  <c r="N613" i="61"/>
  <c r="M613" i="61"/>
  <c r="L613" i="61"/>
  <c r="K613" i="61"/>
  <c r="P612" i="61"/>
  <c r="O612" i="61"/>
  <c r="N612" i="61"/>
  <c r="M612" i="61"/>
  <c r="L612" i="61"/>
  <c r="K612" i="61"/>
  <c r="P611" i="61"/>
  <c r="O611" i="61"/>
  <c r="N611" i="61"/>
  <c r="M611" i="61"/>
  <c r="L611" i="61"/>
  <c r="K611" i="61"/>
  <c r="P610" i="61"/>
  <c r="O610" i="61"/>
  <c r="N610" i="61"/>
  <c r="M610" i="61"/>
  <c r="L610" i="61"/>
  <c r="K610" i="61"/>
  <c r="P609" i="61"/>
  <c r="O609" i="61"/>
  <c r="N609" i="61"/>
  <c r="M609" i="61"/>
  <c r="L609" i="61"/>
  <c r="K609" i="61"/>
  <c r="P608" i="61"/>
  <c r="O608" i="61"/>
  <c r="N608" i="61"/>
  <c r="M608" i="61"/>
  <c r="L608" i="61"/>
  <c r="K608" i="61"/>
  <c r="P607" i="61"/>
  <c r="O607" i="61"/>
  <c r="N607" i="61"/>
  <c r="M607" i="61"/>
  <c r="L607" i="61"/>
  <c r="K607" i="61"/>
  <c r="P606" i="61"/>
  <c r="O606" i="61"/>
  <c r="N606" i="61"/>
  <c r="M606" i="61"/>
  <c r="L606" i="61"/>
  <c r="K606" i="61"/>
  <c r="P605" i="61"/>
  <c r="O605" i="61"/>
  <c r="N605" i="61"/>
  <c r="M605" i="61"/>
  <c r="L605" i="61"/>
  <c r="K605" i="61"/>
  <c r="P604" i="61"/>
  <c r="O604" i="61"/>
  <c r="N604" i="61"/>
  <c r="M604" i="61"/>
  <c r="L604" i="61"/>
  <c r="K604" i="61"/>
  <c r="P603" i="61"/>
  <c r="O603" i="61"/>
  <c r="N603" i="61"/>
  <c r="M603" i="61"/>
  <c r="L603" i="61"/>
  <c r="K603" i="61"/>
  <c r="P602" i="61"/>
  <c r="O602" i="61"/>
  <c r="N602" i="61"/>
  <c r="M602" i="61"/>
  <c r="L602" i="61"/>
  <c r="K602" i="61"/>
  <c r="P601" i="61"/>
  <c r="O601" i="61"/>
  <c r="N601" i="61"/>
  <c r="M601" i="61"/>
  <c r="L601" i="61"/>
  <c r="K601" i="61"/>
  <c r="P600" i="61"/>
  <c r="O600" i="61"/>
  <c r="N600" i="61"/>
  <c r="M600" i="61"/>
  <c r="L600" i="61"/>
  <c r="K600" i="61"/>
  <c r="P599" i="61"/>
  <c r="O599" i="61"/>
  <c r="N599" i="61"/>
  <c r="M599" i="61"/>
  <c r="L599" i="61"/>
  <c r="K599" i="61"/>
  <c r="P598" i="61"/>
  <c r="O598" i="61"/>
  <c r="N598" i="61"/>
  <c r="M598" i="61"/>
  <c r="L598" i="61"/>
  <c r="K598" i="61"/>
  <c r="P597" i="61"/>
  <c r="O597" i="61"/>
  <c r="N597" i="61"/>
  <c r="M597" i="61"/>
  <c r="L597" i="61"/>
  <c r="K597" i="61"/>
  <c r="P596" i="61"/>
  <c r="O596" i="61"/>
  <c r="N596" i="61"/>
  <c r="M596" i="61"/>
  <c r="L596" i="61"/>
  <c r="K596" i="61"/>
  <c r="P595" i="61"/>
  <c r="O595" i="61"/>
  <c r="N595" i="61"/>
  <c r="M595" i="61"/>
  <c r="L595" i="61"/>
  <c r="K595" i="61"/>
  <c r="P594" i="61"/>
  <c r="O594" i="61"/>
  <c r="N594" i="61"/>
  <c r="M594" i="61"/>
  <c r="L594" i="61"/>
  <c r="K594" i="61"/>
  <c r="P593" i="61"/>
  <c r="O593" i="61"/>
  <c r="N593" i="61"/>
  <c r="M593" i="61"/>
  <c r="L593" i="61"/>
  <c r="K593" i="61"/>
  <c r="P592" i="61"/>
  <c r="O592" i="61"/>
  <c r="N592" i="61"/>
  <c r="M592" i="61"/>
  <c r="L592" i="61"/>
  <c r="K592" i="61"/>
  <c r="P591" i="61"/>
  <c r="O591" i="61"/>
  <c r="N591" i="61"/>
  <c r="M591" i="61"/>
  <c r="L591" i="61"/>
  <c r="K591" i="61"/>
  <c r="P590" i="61"/>
  <c r="O590" i="61"/>
  <c r="N590" i="61"/>
  <c r="M590" i="61"/>
  <c r="L590" i="61"/>
  <c r="K590" i="61"/>
  <c r="P589" i="61"/>
  <c r="O589" i="61"/>
  <c r="N589" i="61"/>
  <c r="M589" i="61"/>
  <c r="L589" i="61"/>
  <c r="K589" i="61"/>
  <c r="P588" i="61"/>
  <c r="O588" i="61"/>
  <c r="N588" i="61"/>
  <c r="M588" i="61"/>
  <c r="L588" i="61"/>
  <c r="K588" i="61"/>
  <c r="P587" i="61"/>
  <c r="O587" i="61"/>
  <c r="N587" i="61"/>
  <c r="M587" i="61"/>
  <c r="L587" i="61"/>
  <c r="K587" i="61"/>
  <c r="P586" i="61"/>
  <c r="O586" i="61"/>
  <c r="N586" i="61"/>
  <c r="M586" i="61"/>
  <c r="L586" i="61"/>
  <c r="K586" i="61"/>
  <c r="P585" i="61"/>
  <c r="O585" i="61"/>
  <c r="N585" i="61"/>
  <c r="M585" i="61"/>
  <c r="L585" i="61"/>
  <c r="K585" i="61"/>
  <c r="P584" i="61"/>
  <c r="O584" i="61"/>
  <c r="N584" i="61"/>
  <c r="M584" i="61"/>
  <c r="L584" i="61"/>
  <c r="K584" i="61"/>
  <c r="P583" i="61"/>
  <c r="O583" i="61"/>
  <c r="N583" i="61"/>
  <c r="M583" i="61"/>
  <c r="L583" i="61"/>
  <c r="K583" i="61"/>
  <c r="P582" i="61"/>
  <c r="O582" i="61"/>
  <c r="N582" i="61"/>
  <c r="M582" i="61"/>
  <c r="L582" i="61"/>
  <c r="K582" i="61"/>
  <c r="P581" i="61"/>
  <c r="O581" i="61"/>
  <c r="N581" i="61"/>
  <c r="M581" i="61"/>
  <c r="L581" i="61"/>
  <c r="K581" i="61"/>
  <c r="P580" i="61"/>
  <c r="O580" i="61"/>
  <c r="N580" i="61"/>
  <c r="M580" i="61"/>
  <c r="L580" i="61"/>
  <c r="K580" i="61"/>
  <c r="P579" i="61"/>
  <c r="O579" i="61"/>
  <c r="N579" i="61"/>
  <c r="M579" i="61"/>
  <c r="L579" i="61"/>
  <c r="K579" i="61"/>
  <c r="P578" i="61"/>
  <c r="O578" i="61"/>
  <c r="N578" i="61"/>
  <c r="M578" i="61"/>
  <c r="L578" i="61"/>
  <c r="K578" i="61"/>
  <c r="P577" i="61"/>
  <c r="O577" i="61"/>
  <c r="N577" i="61"/>
  <c r="M577" i="61"/>
  <c r="L577" i="61"/>
  <c r="K577" i="61"/>
  <c r="P576" i="61"/>
  <c r="O576" i="61"/>
  <c r="N576" i="61"/>
  <c r="M576" i="61"/>
  <c r="L576" i="61"/>
  <c r="K576" i="61"/>
  <c r="P575" i="61"/>
  <c r="O575" i="61"/>
  <c r="N575" i="61"/>
  <c r="M575" i="61"/>
  <c r="L575" i="61"/>
  <c r="K575" i="61"/>
  <c r="P574" i="61"/>
  <c r="O574" i="61"/>
  <c r="N574" i="61"/>
  <c r="M574" i="61"/>
  <c r="L574" i="61"/>
  <c r="K574" i="61"/>
  <c r="P573" i="61"/>
  <c r="O573" i="61"/>
  <c r="N573" i="61"/>
  <c r="M573" i="61"/>
  <c r="L573" i="61"/>
  <c r="K573" i="61"/>
  <c r="P572" i="61"/>
  <c r="O572" i="61"/>
  <c r="N572" i="61"/>
  <c r="M572" i="61"/>
  <c r="L572" i="61"/>
  <c r="K572" i="61"/>
  <c r="P571" i="61"/>
  <c r="O571" i="61"/>
  <c r="N571" i="61"/>
  <c r="M571" i="61"/>
  <c r="L571" i="61"/>
  <c r="K571" i="61"/>
  <c r="P570" i="61"/>
  <c r="O570" i="61"/>
  <c r="N570" i="61"/>
  <c r="M570" i="61"/>
  <c r="L570" i="61"/>
  <c r="K570" i="61"/>
  <c r="P569" i="61"/>
  <c r="O569" i="61"/>
  <c r="N569" i="61"/>
  <c r="M569" i="61"/>
  <c r="L569" i="61"/>
  <c r="K569" i="61"/>
  <c r="P568" i="61"/>
  <c r="O568" i="61"/>
  <c r="N568" i="61"/>
  <c r="M568" i="61"/>
  <c r="L568" i="61"/>
  <c r="K568" i="61"/>
  <c r="P567" i="61"/>
  <c r="O567" i="61"/>
  <c r="N567" i="61"/>
  <c r="M567" i="61"/>
  <c r="L567" i="61"/>
  <c r="K567" i="61"/>
  <c r="P566" i="61"/>
  <c r="O566" i="61"/>
  <c r="N566" i="61"/>
  <c r="M566" i="61"/>
  <c r="L566" i="61"/>
  <c r="K566" i="61"/>
  <c r="P565" i="61"/>
  <c r="O565" i="61"/>
  <c r="N565" i="61"/>
  <c r="M565" i="61"/>
  <c r="L565" i="61"/>
  <c r="K565" i="61"/>
  <c r="P564" i="61"/>
  <c r="O564" i="61"/>
  <c r="N564" i="61"/>
  <c r="M564" i="61"/>
  <c r="L564" i="61"/>
  <c r="K564" i="61"/>
  <c r="P563" i="61"/>
  <c r="O563" i="61"/>
  <c r="N563" i="61"/>
  <c r="M563" i="61"/>
  <c r="L563" i="61"/>
  <c r="K563" i="61"/>
  <c r="P562" i="61"/>
  <c r="O562" i="61"/>
  <c r="N562" i="61"/>
  <c r="M562" i="61"/>
  <c r="L562" i="61"/>
  <c r="K562" i="61"/>
  <c r="P561" i="61"/>
  <c r="O561" i="61"/>
  <c r="N561" i="61"/>
  <c r="M561" i="61"/>
  <c r="L561" i="61"/>
  <c r="K561" i="61"/>
  <c r="P560" i="61"/>
  <c r="O560" i="61"/>
  <c r="N560" i="61"/>
  <c r="M560" i="61"/>
  <c r="L560" i="61"/>
  <c r="K560" i="61"/>
  <c r="P559" i="61"/>
  <c r="O559" i="61"/>
  <c r="N559" i="61"/>
  <c r="M559" i="61"/>
  <c r="L559" i="61"/>
  <c r="K559" i="61"/>
  <c r="P558" i="61"/>
  <c r="O558" i="61"/>
  <c r="N558" i="61"/>
  <c r="M558" i="61"/>
  <c r="L558" i="61"/>
  <c r="K558" i="61"/>
  <c r="P557" i="61"/>
  <c r="O557" i="61"/>
  <c r="N557" i="61"/>
  <c r="M557" i="61"/>
  <c r="L557" i="61"/>
  <c r="K557" i="61"/>
  <c r="P556" i="61"/>
  <c r="O556" i="61"/>
  <c r="N556" i="61"/>
  <c r="M556" i="61"/>
  <c r="L556" i="61"/>
  <c r="K556" i="61"/>
  <c r="P555" i="61"/>
  <c r="O555" i="61"/>
  <c r="N555" i="61"/>
  <c r="M555" i="61"/>
  <c r="L555" i="61"/>
  <c r="K555" i="61"/>
  <c r="P554" i="61"/>
  <c r="O554" i="61"/>
  <c r="N554" i="61"/>
  <c r="M554" i="61"/>
  <c r="L554" i="61"/>
  <c r="K554" i="61"/>
  <c r="P553" i="61"/>
  <c r="O553" i="61"/>
  <c r="N553" i="61"/>
  <c r="M553" i="61"/>
  <c r="L553" i="61"/>
  <c r="K553" i="61"/>
  <c r="P552" i="61"/>
  <c r="O552" i="61"/>
  <c r="N552" i="61"/>
  <c r="M552" i="61"/>
  <c r="L552" i="61"/>
  <c r="K552" i="61"/>
  <c r="P551" i="61"/>
  <c r="O551" i="61"/>
  <c r="N551" i="61"/>
  <c r="M551" i="61"/>
  <c r="L551" i="61"/>
  <c r="K551" i="61"/>
  <c r="P550" i="61"/>
  <c r="O550" i="61"/>
  <c r="N550" i="61"/>
  <c r="M550" i="61"/>
  <c r="L550" i="61"/>
  <c r="K550" i="61"/>
  <c r="P549" i="61"/>
  <c r="O549" i="61"/>
  <c r="N549" i="61"/>
  <c r="M549" i="61"/>
  <c r="L549" i="61"/>
  <c r="K549" i="61"/>
  <c r="P548" i="61"/>
  <c r="O548" i="61"/>
  <c r="N548" i="61"/>
  <c r="M548" i="61"/>
  <c r="L548" i="61"/>
  <c r="K548" i="61"/>
  <c r="P547" i="61"/>
  <c r="O547" i="61"/>
  <c r="N547" i="61"/>
  <c r="M547" i="61"/>
  <c r="L547" i="61"/>
  <c r="K547" i="61"/>
  <c r="P546" i="61"/>
  <c r="O546" i="61"/>
  <c r="N546" i="61"/>
  <c r="M546" i="61"/>
  <c r="L546" i="61"/>
  <c r="K546" i="61"/>
  <c r="P545" i="61"/>
  <c r="O545" i="61"/>
  <c r="N545" i="61"/>
  <c r="M545" i="61"/>
  <c r="L545" i="61"/>
  <c r="K545" i="61"/>
  <c r="P544" i="61"/>
  <c r="O544" i="61"/>
  <c r="N544" i="61"/>
  <c r="M544" i="61"/>
  <c r="L544" i="61"/>
  <c r="K544" i="61"/>
  <c r="P543" i="61"/>
  <c r="O543" i="61"/>
  <c r="N543" i="61"/>
  <c r="M543" i="61"/>
  <c r="L543" i="61"/>
  <c r="K543" i="61"/>
  <c r="P542" i="61"/>
  <c r="O542" i="61"/>
  <c r="N542" i="61"/>
  <c r="M542" i="61"/>
  <c r="L542" i="61"/>
  <c r="K542" i="61"/>
  <c r="P541" i="61"/>
  <c r="O541" i="61"/>
  <c r="N541" i="61"/>
  <c r="M541" i="61"/>
  <c r="L541" i="61"/>
  <c r="K541" i="61"/>
  <c r="P540" i="61"/>
  <c r="O540" i="61"/>
  <c r="N540" i="61"/>
  <c r="M540" i="61"/>
  <c r="L540" i="61"/>
  <c r="K540" i="61"/>
  <c r="P539" i="61"/>
  <c r="O539" i="61"/>
  <c r="N539" i="61"/>
  <c r="M539" i="61"/>
  <c r="L539" i="61"/>
  <c r="K539" i="61"/>
  <c r="P538" i="61"/>
  <c r="O538" i="61"/>
  <c r="N538" i="61"/>
  <c r="M538" i="61"/>
  <c r="L538" i="61"/>
  <c r="K538" i="61"/>
  <c r="P537" i="61"/>
  <c r="O537" i="61"/>
  <c r="N537" i="61"/>
  <c r="M537" i="61"/>
  <c r="L537" i="61"/>
  <c r="K537" i="61"/>
  <c r="P536" i="61"/>
  <c r="O536" i="61"/>
  <c r="N536" i="61"/>
  <c r="M536" i="61"/>
  <c r="L536" i="61"/>
  <c r="K536" i="61"/>
  <c r="P535" i="61"/>
  <c r="O535" i="61"/>
  <c r="N535" i="61"/>
  <c r="M535" i="61"/>
  <c r="L535" i="61"/>
  <c r="K535" i="61"/>
  <c r="P534" i="61"/>
  <c r="O534" i="61"/>
  <c r="N534" i="61"/>
  <c r="M534" i="61"/>
  <c r="L534" i="61"/>
  <c r="K534" i="61"/>
  <c r="P533" i="61"/>
  <c r="O533" i="61"/>
  <c r="N533" i="61"/>
  <c r="M533" i="61"/>
  <c r="L533" i="61"/>
  <c r="K533" i="61"/>
  <c r="P532" i="61"/>
  <c r="O532" i="61"/>
  <c r="N532" i="61"/>
  <c r="M532" i="61"/>
  <c r="L532" i="61"/>
  <c r="K532" i="61"/>
  <c r="P531" i="61"/>
  <c r="O531" i="61"/>
  <c r="N531" i="61"/>
  <c r="M531" i="61"/>
  <c r="L531" i="61"/>
  <c r="K531" i="61"/>
  <c r="P530" i="61"/>
  <c r="O530" i="61"/>
  <c r="N530" i="61"/>
  <c r="M530" i="61"/>
  <c r="L530" i="61"/>
  <c r="K530" i="61"/>
  <c r="P529" i="61"/>
  <c r="O529" i="61"/>
  <c r="N529" i="61"/>
  <c r="M529" i="61"/>
  <c r="L529" i="61"/>
  <c r="K529" i="61"/>
  <c r="P528" i="61"/>
  <c r="O528" i="61"/>
  <c r="N528" i="61"/>
  <c r="M528" i="61"/>
  <c r="L528" i="61"/>
  <c r="K528" i="61"/>
  <c r="P527" i="61"/>
  <c r="O527" i="61"/>
  <c r="N527" i="61"/>
  <c r="M527" i="61"/>
  <c r="L527" i="61"/>
  <c r="K527" i="61"/>
  <c r="P526" i="61"/>
  <c r="O526" i="61"/>
  <c r="N526" i="61"/>
  <c r="M526" i="61"/>
  <c r="L526" i="61"/>
  <c r="K526" i="61"/>
  <c r="P525" i="61"/>
  <c r="O525" i="61"/>
  <c r="N525" i="61"/>
  <c r="M525" i="61"/>
  <c r="L525" i="61"/>
  <c r="K525" i="61"/>
  <c r="P524" i="61"/>
  <c r="O524" i="61"/>
  <c r="N524" i="61"/>
  <c r="M524" i="61"/>
  <c r="L524" i="61"/>
  <c r="K524" i="61"/>
  <c r="P523" i="61"/>
  <c r="O523" i="61"/>
  <c r="N523" i="61"/>
  <c r="M523" i="61"/>
  <c r="L523" i="61"/>
  <c r="K523" i="61"/>
  <c r="P522" i="61"/>
  <c r="O522" i="61"/>
  <c r="N522" i="61"/>
  <c r="M522" i="61"/>
  <c r="L522" i="61"/>
  <c r="K522" i="61"/>
  <c r="P521" i="61"/>
  <c r="O521" i="61"/>
  <c r="N521" i="61"/>
  <c r="M521" i="61"/>
  <c r="L521" i="61"/>
  <c r="K521" i="61"/>
  <c r="P520" i="61"/>
  <c r="O520" i="61"/>
  <c r="N520" i="61"/>
  <c r="M520" i="61"/>
  <c r="L520" i="61"/>
  <c r="K520" i="61"/>
  <c r="P519" i="61"/>
  <c r="O519" i="61"/>
  <c r="N519" i="61"/>
  <c r="M519" i="61"/>
  <c r="L519" i="61"/>
  <c r="K519" i="61"/>
  <c r="P518" i="61"/>
  <c r="O518" i="61"/>
  <c r="N518" i="61"/>
  <c r="M518" i="61"/>
  <c r="L518" i="61"/>
  <c r="K518" i="61"/>
  <c r="P517" i="61"/>
  <c r="O517" i="61"/>
  <c r="N517" i="61"/>
  <c r="M517" i="61"/>
  <c r="L517" i="61"/>
  <c r="K517" i="61"/>
  <c r="P516" i="61"/>
  <c r="O516" i="61"/>
  <c r="N516" i="61"/>
  <c r="M516" i="61"/>
  <c r="L516" i="61"/>
  <c r="K516" i="61"/>
  <c r="P515" i="61"/>
  <c r="O515" i="61"/>
  <c r="N515" i="61"/>
  <c r="M515" i="61"/>
  <c r="L515" i="61"/>
  <c r="K515" i="61"/>
  <c r="P514" i="61"/>
  <c r="O514" i="61"/>
  <c r="N514" i="61"/>
  <c r="M514" i="61"/>
  <c r="L514" i="61"/>
  <c r="K514" i="61"/>
  <c r="P513" i="61"/>
  <c r="O513" i="61"/>
  <c r="N513" i="61"/>
  <c r="M513" i="61"/>
  <c r="L513" i="61"/>
  <c r="K513" i="61"/>
  <c r="P512" i="61"/>
  <c r="O512" i="61"/>
  <c r="N512" i="61"/>
  <c r="M512" i="61"/>
  <c r="L512" i="61"/>
  <c r="K512" i="61"/>
  <c r="P511" i="61"/>
  <c r="O511" i="61"/>
  <c r="N511" i="61"/>
  <c r="M511" i="61"/>
  <c r="L511" i="61"/>
  <c r="K511" i="61"/>
  <c r="P510" i="61"/>
  <c r="O510" i="61"/>
  <c r="N510" i="61"/>
  <c r="M510" i="61"/>
  <c r="L510" i="61"/>
  <c r="K510" i="61"/>
  <c r="P509" i="61"/>
  <c r="O509" i="61"/>
  <c r="N509" i="61"/>
  <c r="M509" i="61"/>
  <c r="L509" i="61"/>
  <c r="K509" i="61"/>
  <c r="P508" i="61"/>
  <c r="O508" i="61"/>
  <c r="N508" i="61"/>
  <c r="M508" i="61"/>
  <c r="L508" i="61"/>
  <c r="K508" i="61"/>
  <c r="P507" i="61"/>
  <c r="O507" i="61"/>
  <c r="N507" i="61"/>
  <c r="M507" i="61"/>
  <c r="L507" i="61"/>
  <c r="K507" i="61"/>
  <c r="P506" i="61"/>
  <c r="O506" i="61"/>
  <c r="N506" i="61"/>
  <c r="M506" i="61"/>
  <c r="L506" i="61"/>
  <c r="K506" i="61"/>
  <c r="P505" i="61"/>
  <c r="O505" i="61"/>
  <c r="N505" i="61"/>
  <c r="M505" i="61"/>
  <c r="L505" i="61"/>
  <c r="K505" i="61"/>
  <c r="P504" i="61"/>
  <c r="O504" i="61"/>
  <c r="N504" i="61"/>
  <c r="M504" i="61"/>
  <c r="L504" i="61"/>
  <c r="K504" i="61"/>
  <c r="P503" i="61"/>
  <c r="O503" i="61"/>
  <c r="N503" i="61"/>
  <c r="M503" i="61"/>
  <c r="L503" i="61"/>
  <c r="K503" i="61"/>
  <c r="P502" i="61"/>
  <c r="O502" i="61"/>
  <c r="N502" i="61"/>
  <c r="M502" i="61"/>
  <c r="L502" i="61"/>
  <c r="K502" i="61"/>
  <c r="P501" i="61"/>
  <c r="O501" i="61"/>
  <c r="N501" i="61"/>
  <c r="M501" i="61"/>
  <c r="L501" i="61"/>
  <c r="K501" i="61"/>
  <c r="P500" i="61"/>
  <c r="O500" i="61"/>
  <c r="N500" i="61"/>
  <c r="M500" i="61"/>
  <c r="L500" i="61"/>
  <c r="K500" i="61"/>
  <c r="P499" i="61"/>
  <c r="O499" i="61"/>
  <c r="N499" i="61"/>
  <c r="M499" i="61"/>
  <c r="L499" i="61"/>
  <c r="K499" i="61"/>
  <c r="P498" i="61"/>
  <c r="O498" i="61"/>
  <c r="N498" i="61"/>
  <c r="M498" i="61"/>
  <c r="L498" i="61"/>
  <c r="K498" i="61"/>
  <c r="P497" i="61"/>
  <c r="O497" i="61"/>
  <c r="N497" i="61"/>
  <c r="M497" i="61"/>
  <c r="L497" i="61"/>
  <c r="K497" i="61"/>
  <c r="P496" i="61"/>
  <c r="O496" i="61"/>
  <c r="N496" i="61"/>
  <c r="M496" i="61"/>
  <c r="L496" i="61"/>
  <c r="K496" i="61"/>
  <c r="P495" i="61"/>
  <c r="O495" i="61"/>
  <c r="N495" i="61"/>
  <c r="M495" i="61"/>
  <c r="L495" i="61"/>
  <c r="K495" i="61"/>
  <c r="P494" i="61"/>
  <c r="O494" i="61"/>
  <c r="N494" i="61"/>
  <c r="M494" i="61"/>
  <c r="L494" i="61"/>
  <c r="K494" i="61"/>
  <c r="P493" i="61"/>
  <c r="O493" i="61"/>
  <c r="N493" i="61"/>
  <c r="M493" i="61"/>
  <c r="L493" i="61"/>
  <c r="K493" i="61"/>
  <c r="P492" i="61"/>
  <c r="O492" i="61"/>
  <c r="N492" i="61"/>
  <c r="M492" i="61"/>
  <c r="L492" i="61"/>
  <c r="K492" i="61"/>
  <c r="P491" i="61"/>
  <c r="O491" i="61"/>
  <c r="N491" i="61"/>
  <c r="M491" i="61"/>
  <c r="L491" i="61"/>
  <c r="K491" i="61"/>
  <c r="P490" i="61"/>
  <c r="O490" i="61"/>
  <c r="N490" i="61"/>
  <c r="M490" i="61"/>
  <c r="L490" i="61"/>
  <c r="K490" i="61"/>
  <c r="P489" i="61"/>
  <c r="O489" i="61"/>
  <c r="N489" i="61"/>
  <c r="M489" i="61"/>
  <c r="L489" i="61"/>
  <c r="K489" i="61"/>
  <c r="P488" i="61"/>
  <c r="O488" i="61"/>
  <c r="N488" i="61"/>
  <c r="M488" i="61"/>
  <c r="L488" i="61"/>
  <c r="K488" i="61"/>
  <c r="P487" i="61"/>
  <c r="O487" i="61"/>
  <c r="N487" i="61"/>
  <c r="M487" i="61"/>
  <c r="L487" i="61"/>
  <c r="K487" i="61"/>
  <c r="P486" i="61"/>
  <c r="O486" i="61"/>
  <c r="N486" i="61"/>
  <c r="M486" i="61"/>
  <c r="L486" i="61"/>
  <c r="K486" i="61"/>
  <c r="P485" i="61"/>
  <c r="O485" i="61"/>
  <c r="N485" i="61"/>
  <c r="M485" i="61"/>
  <c r="L485" i="61"/>
  <c r="K485" i="61"/>
  <c r="P484" i="61"/>
  <c r="O484" i="61"/>
  <c r="N484" i="61"/>
  <c r="M484" i="61"/>
  <c r="L484" i="61"/>
  <c r="K484" i="61"/>
  <c r="P483" i="61"/>
  <c r="O483" i="61"/>
  <c r="N483" i="61"/>
  <c r="M483" i="61"/>
  <c r="L483" i="61"/>
  <c r="K483" i="61"/>
  <c r="P482" i="61"/>
  <c r="O482" i="61"/>
  <c r="N482" i="61"/>
  <c r="M482" i="61"/>
  <c r="L482" i="61"/>
  <c r="K482" i="61"/>
  <c r="P481" i="61"/>
  <c r="O481" i="61"/>
  <c r="N481" i="61"/>
  <c r="M481" i="61"/>
  <c r="L481" i="61"/>
  <c r="K481" i="61"/>
  <c r="P480" i="61"/>
  <c r="O480" i="61"/>
  <c r="N480" i="61"/>
  <c r="M480" i="61"/>
  <c r="L480" i="61"/>
  <c r="K480" i="61"/>
  <c r="P479" i="61"/>
  <c r="O479" i="61"/>
  <c r="N479" i="61"/>
  <c r="M479" i="61"/>
  <c r="L479" i="61"/>
  <c r="K479" i="61"/>
  <c r="P478" i="61"/>
  <c r="O478" i="61"/>
  <c r="N478" i="61"/>
  <c r="M478" i="61"/>
  <c r="L478" i="61"/>
  <c r="K478" i="61"/>
  <c r="P477" i="61"/>
  <c r="O477" i="61"/>
  <c r="N477" i="61"/>
  <c r="M477" i="61"/>
  <c r="L477" i="61"/>
  <c r="K477" i="61"/>
  <c r="P476" i="61"/>
  <c r="O476" i="61"/>
  <c r="N476" i="61"/>
  <c r="M476" i="61"/>
  <c r="L476" i="61"/>
  <c r="K476" i="61"/>
  <c r="P475" i="61"/>
  <c r="O475" i="61"/>
  <c r="N475" i="61"/>
  <c r="M475" i="61"/>
  <c r="L475" i="61"/>
  <c r="K475" i="61"/>
  <c r="P474" i="61"/>
  <c r="O474" i="61"/>
  <c r="N474" i="61"/>
  <c r="M474" i="61"/>
  <c r="L474" i="61"/>
  <c r="K474" i="61"/>
  <c r="P473" i="61"/>
  <c r="O473" i="61"/>
  <c r="N473" i="61"/>
  <c r="M473" i="61"/>
  <c r="L473" i="61"/>
  <c r="K473" i="61"/>
  <c r="P472" i="61"/>
  <c r="O472" i="61"/>
  <c r="N472" i="61"/>
  <c r="M472" i="61"/>
  <c r="L472" i="61"/>
  <c r="K472" i="61"/>
  <c r="P471" i="61"/>
  <c r="O471" i="61"/>
  <c r="N471" i="61"/>
  <c r="M471" i="61"/>
  <c r="L471" i="61"/>
  <c r="K471" i="61"/>
  <c r="P470" i="61"/>
  <c r="O470" i="61"/>
  <c r="N470" i="61"/>
  <c r="M470" i="61"/>
  <c r="L470" i="61"/>
  <c r="K470" i="61"/>
  <c r="P469" i="61"/>
  <c r="O469" i="61"/>
  <c r="N469" i="61"/>
  <c r="M469" i="61"/>
  <c r="L469" i="61"/>
  <c r="K469" i="61"/>
  <c r="P468" i="61"/>
  <c r="O468" i="61"/>
  <c r="N468" i="61"/>
  <c r="M468" i="61"/>
  <c r="L468" i="61"/>
  <c r="K468" i="61"/>
  <c r="P467" i="61"/>
  <c r="O467" i="61"/>
  <c r="N467" i="61"/>
  <c r="M467" i="61"/>
  <c r="L467" i="61"/>
  <c r="K467" i="61"/>
  <c r="P466" i="61"/>
  <c r="O466" i="61"/>
  <c r="N466" i="61"/>
  <c r="M466" i="61"/>
  <c r="L466" i="61"/>
  <c r="K466" i="61"/>
  <c r="P465" i="61"/>
  <c r="O465" i="61"/>
  <c r="N465" i="61"/>
  <c r="M465" i="61"/>
  <c r="L465" i="61"/>
  <c r="K465" i="61"/>
  <c r="P464" i="61"/>
  <c r="O464" i="61"/>
  <c r="N464" i="61"/>
  <c r="M464" i="61"/>
  <c r="L464" i="61"/>
  <c r="K464" i="61"/>
  <c r="P463" i="61"/>
  <c r="O463" i="61"/>
  <c r="N463" i="61"/>
  <c r="M463" i="61"/>
  <c r="L463" i="61"/>
  <c r="K463" i="61"/>
  <c r="P462" i="61"/>
  <c r="O462" i="61"/>
  <c r="N462" i="61"/>
  <c r="M462" i="61"/>
  <c r="L462" i="61"/>
  <c r="K462" i="61"/>
  <c r="P461" i="61"/>
  <c r="O461" i="61"/>
  <c r="N461" i="61"/>
  <c r="M461" i="61"/>
  <c r="L461" i="61"/>
  <c r="K461" i="61"/>
  <c r="P460" i="61"/>
  <c r="O460" i="61"/>
  <c r="N460" i="61"/>
  <c r="M460" i="61"/>
  <c r="L460" i="61"/>
  <c r="K460" i="61"/>
  <c r="P459" i="61"/>
  <c r="O459" i="61"/>
  <c r="N459" i="61"/>
  <c r="M459" i="61"/>
  <c r="L459" i="61"/>
  <c r="K459" i="61"/>
  <c r="P458" i="61"/>
  <c r="O458" i="61"/>
  <c r="N458" i="61"/>
  <c r="M458" i="61"/>
  <c r="L458" i="61"/>
  <c r="K458" i="61"/>
  <c r="P457" i="61"/>
  <c r="O457" i="61"/>
  <c r="N457" i="61"/>
  <c r="M457" i="61"/>
  <c r="L457" i="61"/>
  <c r="K457" i="61"/>
  <c r="P456" i="61"/>
  <c r="O456" i="61"/>
  <c r="N456" i="61"/>
  <c r="M456" i="61"/>
  <c r="L456" i="61"/>
  <c r="K456" i="61"/>
  <c r="P455" i="61"/>
  <c r="O455" i="61"/>
  <c r="N455" i="61"/>
  <c r="M455" i="61"/>
  <c r="L455" i="61"/>
  <c r="K455" i="61"/>
  <c r="P454" i="61"/>
  <c r="O454" i="61"/>
  <c r="N454" i="61"/>
  <c r="M454" i="61"/>
  <c r="L454" i="61"/>
  <c r="K454" i="61"/>
  <c r="P453" i="61"/>
  <c r="O453" i="61"/>
  <c r="N453" i="61"/>
  <c r="M453" i="61"/>
  <c r="L453" i="61"/>
  <c r="K453" i="61"/>
  <c r="P452" i="61"/>
  <c r="O452" i="61"/>
  <c r="N452" i="61"/>
  <c r="M452" i="61"/>
  <c r="L452" i="61"/>
  <c r="K452" i="61"/>
  <c r="P451" i="61"/>
  <c r="O451" i="61"/>
  <c r="N451" i="61"/>
  <c r="M451" i="61"/>
  <c r="L451" i="61"/>
  <c r="K451" i="61"/>
  <c r="P450" i="61"/>
  <c r="O450" i="61"/>
  <c r="N450" i="61"/>
  <c r="M450" i="61"/>
  <c r="L450" i="61"/>
  <c r="K450" i="61"/>
  <c r="P449" i="61"/>
  <c r="O449" i="61"/>
  <c r="N449" i="61"/>
  <c r="M449" i="61"/>
  <c r="L449" i="61"/>
  <c r="K449" i="61"/>
  <c r="P448" i="61"/>
  <c r="O448" i="61"/>
  <c r="N448" i="61"/>
  <c r="M448" i="61"/>
  <c r="L448" i="61"/>
  <c r="K448" i="61"/>
  <c r="P447" i="61"/>
  <c r="O447" i="61"/>
  <c r="N447" i="61"/>
  <c r="M447" i="61"/>
  <c r="L447" i="61"/>
  <c r="K447" i="61"/>
  <c r="P446" i="61"/>
  <c r="O446" i="61"/>
  <c r="N446" i="61"/>
  <c r="M446" i="61"/>
  <c r="L446" i="61"/>
  <c r="K446" i="61"/>
  <c r="P445" i="61"/>
  <c r="O445" i="61"/>
  <c r="N445" i="61"/>
  <c r="M445" i="61"/>
  <c r="L445" i="61"/>
  <c r="K445" i="61"/>
  <c r="P444" i="61"/>
  <c r="O444" i="61"/>
  <c r="N444" i="61"/>
  <c r="M444" i="61"/>
  <c r="L444" i="61"/>
  <c r="K444" i="61"/>
  <c r="P443" i="61"/>
  <c r="O443" i="61"/>
  <c r="N443" i="61"/>
  <c r="M443" i="61"/>
  <c r="L443" i="61"/>
  <c r="K443" i="61"/>
  <c r="P442" i="61"/>
  <c r="O442" i="61"/>
  <c r="N442" i="61"/>
  <c r="M442" i="61"/>
  <c r="L442" i="61"/>
  <c r="K442" i="61"/>
  <c r="P441" i="61"/>
  <c r="O441" i="61"/>
  <c r="N441" i="61"/>
  <c r="M441" i="61"/>
  <c r="L441" i="61"/>
  <c r="K441" i="61"/>
  <c r="P440" i="61"/>
  <c r="O440" i="61"/>
  <c r="N440" i="61"/>
  <c r="M440" i="61"/>
  <c r="L440" i="61"/>
  <c r="K440" i="61"/>
  <c r="P439" i="61"/>
  <c r="O439" i="61"/>
  <c r="N439" i="61"/>
  <c r="M439" i="61"/>
  <c r="L439" i="61"/>
  <c r="K439" i="61"/>
  <c r="P438" i="61"/>
  <c r="O438" i="61"/>
  <c r="N438" i="61"/>
  <c r="M438" i="61"/>
  <c r="L438" i="61"/>
  <c r="K438" i="61"/>
  <c r="P437" i="61"/>
  <c r="O437" i="61"/>
  <c r="N437" i="61"/>
  <c r="M437" i="61"/>
  <c r="L437" i="61"/>
  <c r="K437" i="61"/>
  <c r="P436" i="61"/>
  <c r="O436" i="61"/>
  <c r="N436" i="61"/>
  <c r="M436" i="61"/>
  <c r="L436" i="61"/>
  <c r="K436" i="61"/>
  <c r="P435" i="61"/>
  <c r="O435" i="61"/>
  <c r="N435" i="61"/>
  <c r="M435" i="61"/>
  <c r="L435" i="61"/>
  <c r="K435" i="61"/>
  <c r="P434" i="61"/>
  <c r="O434" i="61"/>
  <c r="N434" i="61"/>
  <c r="M434" i="61"/>
  <c r="L434" i="61"/>
  <c r="K434" i="61"/>
  <c r="P433" i="61"/>
  <c r="O433" i="61"/>
  <c r="N433" i="61"/>
  <c r="M433" i="61"/>
  <c r="L433" i="61"/>
  <c r="K433" i="61"/>
  <c r="P432" i="61"/>
  <c r="O432" i="61"/>
  <c r="N432" i="61"/>
  <c r="M432" i="61"/>
  <c r="L432" i="61"/>
  <c r="K432" i="61"/>
  <c r="P431" i="61"/>
  <c r="O431" i="61"/>
  <c r="N431" i="61"/>
  <c r="M431" i="61"/>
  <c r="L431" i="61"/>
  <c r="K431" i="61"/>
  <c r="P430" i="61"/>
  <c r="O430" i="61"/>
  <c r="N430" i="61"/>
  <c r="M430" i="61"/>
  <c r="L430" i="61"/>
  <c r="K430" i="61"/>
  <c r="P429" i="61"/>
  <c r="O429" i="61"/>
  <c r="N429" i="61"/>
  <c r="M429" i="61"/>
  <c r="L429" i="61"/>
  <c r="K429" i="61"/>
  <c r="P428" i="61"/>
  <c r="O428" i="61"/>
  <c r="N428" i="61"/>
  <c r="M428" i="61"/>
  <c r="L428" i="61"/>
  <c r="K428" i="61"/>
  <c r="P427" i="61"/>
  <c r="O427" i="61"/>
  <c r="N427" i="61"/>
  <c r="M427" i="61"/>
  <c r="L427" i="61"/>
  <c r="K427" i="61"/>
  <c r="P426" i="61"/>
  <c r="O426" i="61"/>
  <c r="N426" i="61"/>
  <c r="M426" i="61"/>
  <c r="L426" i="61"/>
  <c r="K426" i="61"/>
  <c r="P425" i="61"/>
  <c r="O425" i="61"/>
  <c r="N425" i="61"/>
  <c r="M425" i="61"/>
  <c r="L425" i="61"/>
  <c r="K425" i="61"/>
  <c r="P424" i="61"/>
  <c r="O424" i="61"/>
  <c r="N424" i="61"/>
  <c r="M424" i="61"/>
  <c r="L424" i="61"/>
  <c r="K424" i="61"/>
  <c r="P423" i="61"/>
  <c r="O423" i="61"/>
  <c r="N423" i="61"/>
  <c r="M423" i="61"/>
  <c r="L423" i="61"/>
  <c r="K423" i="61"/>
  <c r="P422" i="61"/>
  <c r="O422" i="61"/>
  <c r="N422" i="61"/>
  <c r="M422" i="61"/>
  <c r="L422" i="61"/>
  <c r="K422" i="61"/>
  <c r="P421" i="61"/>
  <c r="O421" i="61"/>
  <c r="N421" i="61"/>
  <c r="M421" i="61"/>
  <c r="L421" i="61"/>
  <c r="K421" i="61"/>
  <c r="P420" i="61"/>
  <c r="O420" i="61"/>
  <c r="N420" i="61"/>
  <c r="M420" i="61"/>
  <c r="L420" i="61"/>
  <c r="K420" i="61"/>
  <c r="P419" i="61"/>
  <c r="O419" i="61"/>
  <c r="N419" i="61"/>
  <c r="M419" i="61"/>
  <c r="L419" i="61"/>
  <c r="K419" i="61"/>
  <c r="P418" i="61"/>
  <c r="O418" i="61"/>
  <c r="N418" i="61"/>
  <c r="M418" i="61"/>
  <c r="L418" i="61"/>
  <c r="K418" i="61"/>
  <c r="P417" i="61"/>
  <c r="O417" i="61"/>
  <c r="N417" i="61"/>
  <c r="M417" i="61"/>
  <c r="L417" i="61"/>
  <c r="K417" i="61"/>
  <c r="P416" i="61"/>
  <c r="O416" i="61"/>
  <c r="N416" i="61"/>
  <c r="M416" i="61"/>
  <c r="L416" i="61"/>
  <c r="K416" i="61"/>
  <c r="P415" i="61"/>
  <c r="O415" i="61"/>
  <c r="N415" i="61"/>
  <c r="M415" i="61"/>
  <c r="L415" i="61"/>
  <c r="K415" i="61"/>
  <c r="P414" i="61"/>
  <c r="O414" i="61"/>
  <c r="N414" i="61"/>
  <c r="M414" i="61"/>
  <c r="L414" i="61"/>
  <c r="K414" i="61"/>
  <c r="P413" i="61"/>
  <c r="O413" i="61"/>
  <c r="N413" i="61"/>
  <c r="M413" i="61"/>
  <c r="L413" i="61"/>
  <c r="K413" i="61"/>
  <c r="P412" i="61"/>
  <c r="O412" i="61"/>
  <c r="N412" i="61"/>
  <c r="M412" i="61"/>
  <c r="L412" i="61"/>
  <c r="K412" i="61"/>
  <c r="P411" i="61"/>
  <c r="O411" i="61"/>
  <c r="N411" i="61"/>
  <c r="M411" i="61"/>
  <c r="L411" i="61"/>
  <c r="K411" i="61"/>
  <c r="P410" i="61"/>
  <c r="O410" i="61"/>
  <c r="N410" i="61"/>
  <c r="M410" i="61"/>
  <c r="L410" i="61"/>
  <c r="K410" i="61"/>
  <c r="P409" i="61"/>
  <c r="O409" i="61"/>
  <c r="N409" i="61"/>
  <c r="M409" i="61"/>
  <c r="L409" i="61"/>
  <c r="K409" i="61"/>
  <c r="P408" i="61"/>
  <c r="O408" i="61"/>
  <c r="N408" i="61"/>
  <c r="M408" i="61"/>
  <c r="L408" i="61"/>
  <c r="K408" i="61"/>
  <c r="P407" i="61"/>
  <c r="O407" i="61"/>
  <c r="N407" i="61"/>
  <c r="M407" i="61"/>
  <c r="L407" i="61"/>
  <c r="K407" i="61"/>
  <c r="P406" i="61"/>
  <c r="O406" i="61"/>
  <c r="N406" i="61"/>
  <c r="M406" i="61"/>
  <c r="L406" i="61"/>
  <c r="K406" i="61"/>
  <c r="P405" i="61"/>
  <c r="O405" i="61"/>
  <c r="N405" i="61"/>
  <c r="M405" i="61"/>
  <c r="L405" i="61"/>
  <c r="K405" i="61"/>
  <c r="P404" i="61"/>
  <c r="O404" i="61"/>
  <c r="N404" i="61"/>
  <c r="M404" i="61"/>
  <c r="L404" i="61"/>
  <c r="K404" i="61"/>
  <c r="P403" i="61"/>
  <c r="O403" i="61"/>
  <c r="N403" i="61"/>
  <c r="M403" i="61"/>
  <c r="L403" i="61"/>
  <c r="K403" i="61"/>
  <c r="P402" i="61"/>
  <c r="O402" i="61"/>
  <c r="N402" i="61"/>
  <c r="M402" i="61"/>
  <c r="L402" i="61"/>
  <c r="K402" i="61"/>
  <c r="P401" i="61"/>
  <c r="O401" i="61"/>
  <c r="N401" i="61"/>
  <c r="M401" i="61"/>
  <c r="L401" i="61"/>
  <c r="K401" i="61"/>
  <c r="P400" i="61"/>
  <c r="O400" i="61"/>
  <c r="N400" i="61"/>
  <c r="M400" i="61"/>
  <c r="L400" i="61"/>
  <c r="K400" i="61"/>
  <c r="P399" i="61"/>
  <c r="O399" i="61"/>
  <c r="N399" i="61"/>
  <c r="M399" i="61"/>
  <c r="L399" i="61"/>
  <c r="K399" i="61"/>
  <c r="P398" i="61"/>
  <c r="O398" i="61"/>
  <c r="N398" i="61"/>
  <c r="M398" i="61"/>
  <c r="L398" i="61"/>
  <c r="K398" i="61"/>
  <c r="P397" i="61"/>
  <c r="O397" i="61"/>
  <c r="N397" i="61"/>
  <c r="M397" i="61"/>
  <c r="L397" i="61"/>
  <c r="K397" i="61"/>
  <c r="P396" i="61"/>
  <c r="O396" i="61"/>
  <c r="N396" i="61"/>
  <c r="M396" i="61"/>
  <c r="L396" i="61"/>
  <c r="K396" i="61"/>
  <c r="P395" i="61"/>
  <c r="O395" i="61"/>
  <c r="N395" i="61"/>
  <c r="M395" i="61"/>
  <c r="L395" i="61"/>
  <c r="K395" i="61"/>
  <c r="P394" i="61"/>
  <c r="O394" i="61"/>
  <c r="N394" i="61"/>
  <c r="M394" i="61"/>
  <c r="L394" i="61"/>
  <c r="K394" i="61"/>
  <c r="P393" i="61"/>
  <c r="O393" i="61"/>
  <c r="N393" i="61"/>
  <c r="M393" i="61"/>
  <c r="L393" i="61"/>
  <c r="K393" i="61"/>
  <c r="P392" i="61"/>
  <c r="O392" i="61"/>
  <c r="N392" i="61"/>
  <c r="M392" i="61"/>
  <c r="L392" i="61"/>
  <c r="K392" i="61"/>
  <c r="P391" i="61"/>
  <c r="O391" i="61"/>
  <c r="N391" i="61"/>
  <c r="M391" i="61"/>
  <c r="L391" i="61"/>
  <c r="K391" i="61"/>
  <c r="P390" i="61"/>
  <c r="O390" i="61"/>
  <c r="N390" i="61"/>
  <c r="M390" i="61"/>
  <c r="L390" i="61"/>
  <c r="K390" i="61"/>
  <c r="P389" i="61"/>
  <c r="O389" i="61"/>
  <c r="N389" i="61"/>
  <c r="M389" i="61"/>
  <c r="L389" i="61"/>
  <c r="K389" i="61"/>
  <c r="P388" i="61"/>
  <c r="O388" i="61"/>
  <c r="N388" i="61"/>
  <c r="M388" i="61"/>
  <c r="L388" i="61"/>
  <c r="K388" i="61"/>
  <c r="P387" i="61"/>
  <c r="O387" i="61"/>
  <c r="N387" i="61"/>
  <c r="M387" i="61"/>
  <c r="L387" i="61"/>
  <c r="K387" i="61"/>
  <c r="P386" i="61"/>
  <c r="O386" i="61"/>
  <c r="N386" i="61"/>
  <c r="M386" i="61"/>
  <c r="L386" i="61"/>
  <c r="K386" i="61"/>
  <c r="P385" i="61"/>
  <c r="O385" i="61"/>
  <c r="N385" i="61"/>
  <c r="M385" i="61"/>
  <c r="L385" i="61"/>
  <c r="K385" i="61"/>
  <c r="P384" i="61"/>
  <c r="O384" i="61"/>
  <c r="N384" i="61"/>
  <c r="M384" i="61"/>
  <c r="L384" i="61"/>
  <c r="K384" i="61"/>
  <c r="P383" i="61"/>
  <c r="O383" i="61"/>
  <c r="N383" i="61"/>
  <c r="M383" i="61"/>
  <c r="L383" i="61"/>
  <c r="K383" i="61"/>
  <c r="P382" i="61"/>
  <c r="O382" i="61"/>
  <c r="N382" i="61"/>
  <c r="M382" i="61"/>
  <c r="L382" i="61"/>
  <c r="K382" i="61"/>
  <c r="P381" i="61"/>
  <c r="O381" i="61"/>
  <c r="N381" i="61"/>
  <c r="M381" i="61"/>
  <c r="L381" i="61"/>
  <c r="K381" i="61"/>
  <c r="P380" i="61"/>
  <c r="O380" i="61"/>
  <c r="N380" i="61"/>
  <c r="M380" i="61"/>
  <c r="L380" i="61"/>
  <c r="K380" i="61"/>
  <c r="P379" i="61"/>
  <c r="O379" i="61"/>
  <c r="N379" i="61"/>
  <c r="M379" i="61"/>
  <c r="L379" i="61"/>
  <c r="K379" i="61"/>
  <c r="P378" i="61"/>
  <c r="O378" i="61"/>
  <c r="N378" i="61"/>
  <c r="M378" i="61"/>
  <c r="L378" i="61"/>
  <c r="K378" i="61"/>
  <c r="P377" i="61"/>
  <c r="O377" i="61"/>
  <c r="N377" i="61"/>
  <c r="M377" i="61"/>
  <c r="L377" i="61"/>
  <c r="K377" i="61"/>
  <c r="P376" i="61"/>
  <c r="O376" i="61"/>
  <c r="N376" i="61"/>
  <c r="M376" i="61"/>
  <c r="L376" i="61"/>
  <c r="K376" i="61"/>
  <c r="P375" i="61"/>
  <c r="O375" i="61"/>
  <c r="N375" i="61"/>
  <c r="M375" i="61"/>
  <c r="L375" i="61"/>
  <c r="K375" i="61"/>
  <c r="P374" i="61"/>
  <c r="O374" i="61"/>
  <c r="N374" i="61"/>
  <c r="M374" i="61"/>
  <c r="L374" i="61"/>
  <c r="K374" i="61"/>
  <c r="P373" i="61"/>
  <c r="O373" i="61"/>
  <c r="N373" i="61"/>
  <c r="M373" i="61"/>
  <c r="L373" i="61"/>
  <c r="K373" i="61"/>
  <c r="P372" i="61"/>
  <c r="O372" i="61"/>
  <c r="N372" i="61"/>
  <c r="M372" i="61"/>
  <c r="L372" i="61"/>
  <c r="K372" i="61"/>
  <c r="P371" i="61"/>
  <c r="O371" i="61"/>
  <c r="N371" i="61"/>
  <c r="M371" i="61"/>
  <c r="L371" i="61"/>
  <c r="K371" i="61"/>
  <c r="P370" i="61"/>
  <c r="O370" i="61"/>
  <c r="N370" i="61"/>
  <c r="M370" i="61"/>
  <c r="L370" i="61"/>
  <c r="K370" i="61"/>
  <c r="P369" i="61"/>
  <c r="O369" i="61"/>
  <c r="N369" i="61"/>
  <c r="M369" i="61"/>
  <c r="L369" i="61"/>
  <c r="K369" i="61"/>
  <c r="P368" i="61"/>
  <c r="O368" i="61"/>
  <c r="N368" i="61"/>
  <c r="M368" i="61"/>
  <c r="L368" i="61"/>
  <c r="K368" i="61"/>
  <c r="P367" i="61"/>
  <c r="O367" i="61"/>
  <c r="N367" i="61"/>
  <c r="M367" i="61"/>
  <c r="L367" i="61"/>
  <c r="K367" i="61"/>
  <c r="P366" i="61"/>
  <c r="O366" i="61"/>
  <c r="N366" i="61"/>
  <c r="M366" i="61"/>
  <c r="L366" i="61"/>
  <c r="K366" i="61"/>
  <c r="P365" i="61"/>
  <c r="O365" i="61"/>
  <c r="N365" i="61"/>
  <c r="M365" i="61"/>
  <c r="L365" i="61"/>
  <c r="K365" i="61"/>
  <c r="P364" i="61"/>
  <c r="O364" i="61"/>
  <c r="N364" i="61"/>
  <c r="M364" i="61"/>
  <c r="L364" i="61"/>
  <c r="K364" i="61"/>
  <c r="P363" i="61"/>
  <c r="O363" i="61"/>
  <c r="N363" i="61"/>
  <c r="M363" i="61"/>
  <c r="L363" i="61"/>
  <c r="K363" i="61"/>
  <c r="P362" i="61"/>
  <c r="O362" i="61"/>
  <c r="N362" i="61"/>
  <c r="M362" i="61"/>
  <c r="L362" i="61"/>
  <c r="K362" i="61"/>
  <c r="P361" i="61"/>
  <c r="O361" i="61"/>
  <c r="N361" i="61"/>
  <c r="M361" i="61"/>
  <c r="L361" i="61"/>
  <c r="K361" i="61"/>
  <c r="P360" i="61"/>
  <c r="O360" i="61"/>
  <c r="N360" i="61"/>
  <c r="M360" i="61"/>
  <c r="L360" i="61"/>
  <c r="K360" i="61"/>
  <c r="P359" i="61"/>
  <c r="O359" i="61"/>
  <c r="N359" i="61"/>
  <c r="M359" i="61"/>
  <c r="L359" i="61"/>
  <c r="K359" i="61"/>
  <c r="P358" i="61"/>
  <c r="O358" i="61"/>
  <c r="N358" i="61"/>
  <c r="M358" i="61"/>
  <c r="L358" i="61"/>
  <c r="K358" i="61"/>
  <c r="P357" i="61"/>
  <c r="O357" i="61"/>
  <c r="N357" i="61"/>
  <c r="M357" i="61"/>
  <c r="L357" i="61"/>
  <c r="K357" i="61"/>
  <c r="P356" i="61"/>
  <c r="O356" i="61"/>
  <c r="N356" i="61"/>
  <c r="M356" i="61"/>
  <c r="L356" i="61"/>
  <c r="K356" i="61"/>
  <c r="P355" i="61"/>
  <c r="O355" i="61"/>
  <c r="N355" i="61"/>
  <c r="M355" i="61"/>
  <c r="L355" i="61"/>
  <c r="K355" i="61"/>
  <c r="P354" i="61"/>
  <c r="O354" i="61"/>
  <c r="N354" i="61"/>
  <c r="M354" i="61"/>
  <c r="L354" i="61"/>
  <c r="K354" i="61"/>
  <c r="P353" i="61"/>
  <c r="O353" i="61"/>
  <c r="N353" i="61"/>
  <c r="M353" i="61"/>
  <c r="L353" i="61"/>
  <c r="K353" i="61"/>
  <c r="P352" i="61"/>
  <c r="O352" i="61"/>
  <c r="N352" i="61"/>
  <c r="M352" i="61"/>
  <c r="L352" i="61"/>
  <c r="K352" i="61"/>
  <c r="P351" i="61"/>
  <c r="O351" i="61"/>
  <c r="N351" i="61"/>
  <c r="M351" i="61"/>
  <c r="L351" i="61"/>
  <c r="K351" i="61"/>
  <c r="P350" i="61"/>
  <c r="O350" i="61"/>
  <c r="N350" i="61"/>
  <c r="M350" i="61"/>
  <c r="L350" i="61"/>
  <c r="K350" i="61"/>
  <c r="P349" i="61"/>
  <c r="O349" i="61"/>
  <c r="N349" i="61"/>
  <c r="M349" i="61"/>
  <c r="L349" i="61"/>
  <c r="K349" i="61"/>
  <c r="P348" i="61"/>
  <c r="O348" i="61"/>
  <c r="N348" i="61"/>
  <c r="M348" i="61"/>
  <c r="L348" i="61"/>
  <c r="K348" i="61"/>
  <c r="P347" i="61"/>
  <c r="O347" i="61"/>
  <c r="N347" i="61"/>
  <c r="M347" i="61"/>
  <c r="L347" i="61"/>
  <c r="K347" i="61"/>
  <c r="P346" i="61"/>
  <c r="O346" i="61"/>
  <c r="N346" i="61"/>
  <c r="M346" i="61"/>
  <c r="L346" i="61"/>
  <c r="K346" i="61"/>
  <c r="P345" i="61"/>
  <c r="O345" i="61"/>
  <c r="N345" i="61"/>
  <c r="M345" i="61"/>
  <c r="L345" i="61"/>
  <c r="K345" i="61"/>
  <c r="P344" i="61"/>
  <c r="O344" i="61"/>
  <c r="N344" i="61"/>
  <c r="M344" i="61"/>
  <c r="L344" i="61"/>
  <c r="K344" i="61"/>
  <c r="P343" i="61"/>
  <c r="O343" i="61"/>
  <c r="N343" i="61"/>
  <c r="M343" i="61"/>
  <c r="L343" i="61"/>
  <c r="K343" i="61"/>
  <c r="P342" i="61"/>
  <c r="O342" i="61"/>
  <c r="N342" i="61"/>
  <c r="M342" i="61"/>
  <c r="L342" i="61"/>
  <c r="K342" i="61"/>
  <c r="P341" i="61"/>
  <c r="O341" i="61"/>
  <c r="N341" i="61"/>
  <c r="M341" i="61"/>
  <c r="L341" i="61"/>
  <c r="K341" i="61"/>
  <c r="P340" i="61"/>
  <c r="O340" i="61"/>
  <c r="N340" i="61"/>
  <c r="M340" i="61"/>
  <c r="L340" i="61"/>
  <c r="K340" i="61"/>
  <c r="P339" i="61"/>
  <c r="O339" i="61"/>
  <c r="N339" i="61"/>
  <c r="M339" i="61"/>
  <c r="L339" i="61"/>
  <c r="K339" i="61"/>
  <c r="P338" i="61"/>
  <c r="O338" i="61"/>
  <c r="N338" i="61"/>
  <c r="M338" i="61"/>
  <c r="L338" i="61"/>
  <c r="K338" i="61"/>
  <c r="P337" i="61"/>
  <c r="O337" i="61"/>
  <c r="N337" i="61"/>
  <c r="M337" i="61"/>
  <c r="L337" i="61"/>
  <c r="K337" i="61"/>
  <c r="P336" i="61"/>
  <c r="O336" i="61"/>
  <c r="N336" i="61"/>
  <c r="M336" i="61"/>
  <c r="L336" i="61"/>
  <c r="K336" i="61"/>
  <c r="P335" i="61"/>
  <c r="O335" i="61"/>
  <c r="N335" i="61"/>
  <c r="M335" i="61"/>
  <c r="L335" i="61"/>
  <c r="K335" i="61"/>
  <c r="P334" i="61"/>
  <c r="O334" i="61"/>
  <c r="N334" i="61"/>
  <c r="M334" i="61"/>
  <c r="L334" i="61"/>
  <c r="K334" i="61"/>
  <c r="P333" i="61"/>
  <c r="O333" i="61"/>
  <c r="N333" i="61"/>
  <c r="M333" i="61"/>
  <c r="L333" i="61"/>
  <c r="K333" i="61"/>
  <c r="P332" i="61"/>
  <c r="O332" i="61"/>
  <c r="N332" i="61"/>
  <c r="M332" i="61"/>
  <c r="L332" i="61"/>
  <c r="K332" i="61"/>
  <c r="P331" i="61"/>
  <c r="O331" i="61"/>
  <c r="N331" i="61"/>
  <c r="M331" i="61"/>
  <c r="L331" i="61"/>
  <c r="K331" i="61"/>
  <c r="P330" i="61"/>
  <c r="O330" i="61"/>
  <c r="N330" i="61"/>
  <c r="M330" i="61"/>
  <c r="L330" i="61"/>
  <c r="K330" i="61"/>
  <c r="P329" i="61"/>
  <c r="O329" i="61"/>
  <c r="N329" i="61"/>
  <c r="M329" i="61"/>
  <c r="L329" i="61"/>
  <c r="K329" i="61"/>
  <c r="P328" i="61"/>
  <c r="O328" i="61"/>
  <c r="N328" i="61"/>
  <c r="M328" i="61"/>
  <c r="L328" i="61"/>
  <c r="K328" i="61"/>
  <c r="P327" i="61"/>
  <c r="O327" i="61"/>
  <c r="N327" i="61"/>
  <c r="M327" i="61"/>
  <c r="L327" i="61"/>
  <c r="K327" i="61"/>
  <c r="P326" i="61"/>
  <c r="O326" i="61"/>
  <c r="N326" i="61"/>
  <c r="M326" i="61"/>
  <c r="L326" i="61"/>
  <c r="K326" i="61"/>
  <c r="P325" i="61"/>
  <c r="O325" i="61"/>
  <c r="N325" i="61"/>
  <c r="M325" i="61"/>
  <c r="L325" i="61"/>
  <c r="K325" i="61"/>
  <c r="P324" i="61"/>
  <c r="O324" i="61"/>
  <c r="N324" i="61"/>
  <c r="M324" i="61"/>
  <c r="L324" i="61"/>
  <c r="K324" i="61"/>
  <c r="P323" i="61"/>
  <c r="O323" i="61"/>
  <c r="N323" i="61"/>
  <c r="M323" i="61"/>
  <c r="L323" i="61"/>
  <c r="K323" i="61"/>
  <c r="P322" i="61"/>
  <c r="O322" i="61"/>
  <c r="N322" i="61"/>
  <c r="M322" i="61"/>
  <c r="L322" i="61"/>
  <c r="K322" i="61"/>
  <c r="P321" i="61"/>
  <c r="O321" i="61"/>
  <c r="N321" i="61"/>
  <c r="M321" i="61"/>
  <c r="L321" i="61"/>
  <c r="K321" i="61"/>
  <c r="P320" i="61"/>
  <c r="O320" i="61"/>
  <c r="N320" i="61"/>
  <c r="M320" i="61"/>
  <c r="L320" i="61"/>
  <c r="K320" i="61"/>
  <c r="P319" i="61"/>
  <c r="O319" i="61"/>
  <c r="N319" i="61"/>
  <c r="M319" i="61"/>
  <c r="L319" i="61"/>
  <c r="K319" i="61"/>
  <c r="P318" i="61"/>
  <c r="O318" i="61"/>
  <c r="N318" i="61"/>
  <c r="M318" i="61"/>
  <c r="L318" i="61"/>
  <c r="K318" i="61"/>
  <c r="P317" i="61"/>
  <c r="O317" i="61"/>
  <c r="N317" i="61"/>
  <c r="M317" i="61"/>
  <c r="L317" i="61"/>
  <c r="K317" i="61"/>
  <c r="P316" i="61"/>
  <c r="O316" i="61"/>
  <c r="N316" i="61"/>
  <c r="M316" i="61"/>
  <c r="L316" i="61"/>
  <c r="K316" i="61"/>
  <c r="P315" i="61"/>
  <c r="O315" i="61"/>
  <c r="N315" i="61"/>
  <c r="M315" i="61"/>
  <c r="L315" i="61"/>
  <c r="K315" i="61"/>
  <c r="P314" i="61"/>
  <c r="O314" i="61"/>
  <c r="N314" i="61"/>
  <c r="M314" i="61"/>
  <c r="L314" i="61"/>
  <c r="K314" i="61"/>
  <c r="P313" i="61"/>
  <c r="O313" i="61"/>
  <c r="N313" i="61"/>
  <c r="M313" i="61"/>
  <c r="L313" i="61"/>
  <c r="K313" i="61"/>
  <c r="P312" i="61"/>
  <c r="O312" i="61"/>
  <c r="N312" i="61"/>
  <c r="M312" i="61"/>
  <c r="L312" i="61"/>
  <c r="K312" i="61"/>
  <c r="P311" i="61"/>
  <c r="O311" i="61"/>
  <c r="N311" i="61"/>
  <c r="M311" i="61"/>
  <c r="L311" i="61"/>
  <c r="K311" i="61"/>
  <c r="P310" i="61"/>
  <c r="O310" i="61"/>
  <c r="N310" i="61"/>
  <c r="M310" i="61"/>
  <c r="L310" i="61"/>
  <c r="K310" i="61"/>
  <c r="P309" i="61"/>
  <c r="O309" i="61"/>
  <c r="N309" i="61"/>
  <c r="M309" i="61"/>
  <c r="L309" i="61"/>
  <c r="K309" i="61"/>
  <c r="P308" i="61"/>
  <c r="O308" i="61"/>
  <c r="N308" i="61"/>
  <c r="M308" i="61"/>
  <c r="L308" i="61"/>
  <c r="K308" i="61"/>
  <c r="P307" i="61"/>
  <c r="O307" i="61"/>
  <c r="N307" i="61"/>
  <c r="M307" i="61"/>
  <c r="L307" i="61"/>
  <c r="K307" i="61"/>
  <c r="P306" i="61"/>
  <c r="O306" i="61"/>
  <c r="N306" i="61"/>
  <c r="M306" i="61"/>
  <c r="L306" i="61"/>
  <c r="K306" i="61"/>
  <c r="P305" i="61"/>
  <c r="O305" i="61"/>
  <c r="N305" i="61"/>
  <c r="M305" i="61"/>
  <c r="L305" i="61"/>
  <c r="K305" i="61"/>
  <c r="P304" i="61"/>
  <c r="O304" i="61"/>
  <c r="N304" i="61"/>
  <c r="M304" i="61"/>
  <c r="L304" i="61"/>
  <c r="K304" i="61"/>
  <c r="P303" i="61"/>
  <c r="O303" i="61"/>
  <c r="N303" i="61"/>
  <c r="M303" i="61"/>
  <c r="L303" i="61"/>
  <c r="K303" i="61"/>
  <c r="P302" i="61"/>
  <c r="O302" i="61"/>
  <c r="N302" i="61"/>
  <c r="M302" i="61"/>
  <c r="L302" i="61"/>
  <c r="K302" i="61"/>
  <c r="P301" i="61"/>
  <c r="O301" i="61"/>
  <c r="N301" i="61"/>
  <c r="M301" i="61"/>
  <c r="L301" i="61"/>
  <c r="K301" i="61"/>
  <c r="P300" i="61"/>
  <c r="O300" i="61"/>
  <c r="N300" i="61"/>
  <c r="M300" i="61"/>
  <c r="L300" i="61"/>
  <c r="K300" i="61"/>
  <c r="P299" i="61"/>
  <c r="O299" i="61"/>
  <c r="N299" i="61"/>
  <c r="M299" i="61"/>
  <c r="L299" i="61"/>
  <c r="K299" i="61"/>
  <c r="P298" i="61"/>
  <c r="O298" i="61"/>
  <c r="N298" i="61"/>
  <c r="M298" i="61"/>
  <c r="L298" i="61"/>
  <c r="K298" i="61"/>
  <c r="P297" i="61"/>
  <c r="O297" i="61"/>
  <c r="N297" i="61"/>
  <c r="M297" i="61"/>
  <c r="L297" i="61"/>
  <c r="K297" i="61"/>
  <c r="P296" i="61"/>
  <c r="O296" i="61"/>
  <c r="N296" i="61"/>
  <c r="M296" i="61"/>
  <c r="L296" i="61"/>
  <c r="K296" i="61"/>
  <c r="P295" i="61"/>
  <c r="O295" i="61"/>
  <c r="N295" i="61"/>
  <c r="M295" i="61"/>
  <c r="L295" i="61"/>
  <c r="K295" i="61"/>
  <c r="P294" i="61"/>
  <c r="O294" i="61"/>
  <c r="N294" i="61"/>
  <c r="M294" i="61"/>
  <c r="L294" i="61"/>
  <c r="K294" i="61"/>
  <c r="P293" i="61"/>
  <c r="O293" i="61"/>
  <c r="N293" i="61"/>
  <c r="M293" i="61"/>
  <c r="L293" i="61"/>
  <c r="K293" i="61"/>
  <c r="P292" i="61"/>
  <c r="O292" i="61"/>
  <c r="N292" i="61"/>
  <c r="M292" i="61"/>
  <c r="L292" i="61"/>
  <c r="K292" i="61"/>
  <c r="P291" i="61"/>
  <c r="O291" i="61"/>
  <c r="N291" i="61"/>
  <c r="M291" i="61"/>
  <c r="L291" i="61"/>
  <c r="K291" i="61"/>
  <c r="P290" i="61"/>
  <c r="O290" i="61"/>
  <c r="N290" i="61"/>
  <c r="M290" i="61"/>
  <c r="L290" i="61"/>
  <c r="K290" i="61"/>
  <c r="P289" i="61"/>
  <c r="O289" i="61"/>
  <c r="N289" i="61"/>
  <c r="M289" i="61"/>
  <c r="L289" i="61"/>
  <c r="K289" i="61"/>
  <c r="P288" i="61"/>
  <c r="O288" i="61"/>
  <c r="N288" i="61"/>
  <c r="M288" i="61"/>
  <c r="L288" i="61"/>
  <c r="K288" i="61"/>
  <c r="P287" i="61"/>
  <c r="O287" i="61"/>
  <c r="N287" i="61"/>
  <c r="M287" i="61"/>
  <c r="L287" i="61"/>
  <c r="K287" i="61"/>
  <c r="P286" i="61"/>
  <c r="O286" i="61"/>
  <c r="N286" i="61"/>
  <c r="M286" i="61"/>
  <c r="L286" i="61"/>
  <c r="K286" i="61"/>
  <c r="P285" i="61"/>
  <c r="O285" i="61"/>
  <c r="N285" i="61"/>
  <c r="M285" i="61"/>
  <c r="L285" i="61"/>
  <c r="K285" i="61"/>
  <c r="P284" i="61"/>
  <c r="O284" i="61"/>
  <c r="N284" i="61"/>
  <c r="M284" i="61"/>
  <c r="L284" i="61"/>
  <c r="K284" i="61"/>
  <c r="P283" i="61"/>
  <c r="O283" i="61"/>
  <c r="N283" i="61"/>
  <c r="M283" i="61"/>
  <c r="L283" i="61"/>
  <c r="K283" i="61"/>
  <c r="P282" i="61"/>
  <c r="O282" i="61"/>
  <c r="N282" i="61"/>
  <c r="M282" i="61"/>
  <c r="L282" i="61"/>
  <c r="K282" i="61"/>
  <c r="P281" i="61"/>
  <c r="O281" i="61"/>
  <c r="N281" i="61"/>
  <c r="M281" i="61"/>
  <c r="L281" i="61"/>
  <c r="K281" i="61"/>
  <c r="P280" i="61"/>
  <c r="O280" i="61"/>
  <c r="N280" i="61"/>
  <c r="M280" i="61"/>
  <c r="L280" i="61"/>
  <c r="K280" i="61"/>
  <c r="P279" i="61"/>
  <c r="O279" i="61"/>
  <c r="N279" i="61"/>
  <c r="M279" i="61"/>
  <c r="L279" i="61"/>
  <c r="K279" i="61"/>
  <c r="P278" i="61"/>
  <c r="O278" i="61"/>
  <c r="N278" i="61"/>
  <c r="M278" i="61"/>
  <c r="L278" i="61"/>
  <c r="K278" i="61"/>
  <c r="P277" i="61"/>
  <c r="O277" i="61"/>
  <c r="N277" i="61"/>
  <c r="M277" i="61"/>
  <c r="L277" i="61"/>
  <c r="K277" i="61"/>
  <c r="P276" i="61"/>
  <c r="O276" i="61"/>
  <c r="N276" i="61"/>
  <c r="M276" i="61"/>
  <c r="L276" i="61"/>
  <c r="K276" i="61"/>
  <c r="P275" i="61"/>
  <c r="O275" i="61"/>
  <c r="N275" i="61"/>
  <c r="M275" i="61"/>
  <c r="L275" i="61"/>
  <c r="K275" i="61"/>
  <c r="P274" i="61"/>
  <c r="O274" i="61"/>
  <c r="N274" i="61"/>
  <c r="M274" i="61"/>
  <c r="L274" i="61"/>
  <c r="K274" i="61"/>
  <c r="P273" i="61"/>
  <c r="O273" i="61"/>
  <c r="N273" i="61"/>
  <c r="M273" i="61"/>
  <c r="L273" i="61"/>
  <c r="K273" i="61"/>
  <c r="P272" i="61"/>
  <c r="O272" i="61"/>
  <c r="N272" i="61"/>
  <c r="M272" i="61"/>
  <c r="L272" i="61"/>
  <c r="K272" i="61"/>
  <c r="P271" i="61"/>
  <c r="O271" i="61"/>
  <c r="N271" i="61"/>
  <c r="M271" i="61"/>
  <c r="L271" i="61"/>
  <c r="K271" i="61"/>
  <c r="P270" i="61"/>
  <c r="O270" i="61"/>
  <c r="N270" i="61"/>
  <c r="M270" i="61"/>
  <c r="L270" i="61"/>
  <c r="K270" i="61"/>
  <c r="P269" i="61"/>
  <c r="O269" i="61"/>
  <c r="N269" i="61"/>
  <c r="M269" i="61"/>
  <c r="L269" i="61"/>
  <c r="K269" i="61"/>
  <c r="P268" i="61"/>
  <c r="O268" i="61"/>
  <c r="N268" i="61"/>
  <c r="M268" i="61"/>
  <c r="L268" i="61"/>
  <c r="K268" i="61"/>
  <c r="P267" i="61"/>
  <c r="O267" i="61"/>
  <c r="N267" i="61"/>
  <c r="M267" i="61"/>
  <c r="L267" i="61"/>
  <c r="K267" i="61"/>
  <c r="P266" i="61"/>
  <c r="O266" i="61"/>
  <c r="N266" i="61"/>
  <c r="M266" i="61"/>
  <c r="L266" i="61"/>
  <c r="K266" i="61"/>
  <c r="P265" i="61"/>
  <c r="O265" i="61"/>
  <c r="N265" i="61"/>
  <c r="M265" i="61"/>
  <c r="L265" i="61"/>
  <c r="K265" i="61"/>
  <c r="P264" i="61"/>
  <c r="O264" i="61"/>
  <c r="N264" i="61"/>
  <c r="M264" i="61"/>
  <c r="L264" i="61"/>
  <c r="K264" i="61"/>
  <c r="P263" i="61"/>
  <c r="O263" i="61"/>
  <c r="N263" i="61"/>
  <c r="M263" i="61"/>
  <c r="L263" i="61"/>
  <c r="K263" i="61"/>
  <c r="P262" i="61"/>
  <c r="O262" i="61"/>
  <c r="N262" i="61"/>
  <c r="M262" i="61"/>
  <c r="L262" i="61"/>
  <c r="K262" i="61"/>
  <c r="P261" i="61"/>
  <c r="O261" i="61"/>
  <c r="N261" i="61"/>
  <c r="M261" i="61"/>
  <c r="L261" i="61"/>
  <c r="K261" i="61"/>
  <c r="P260" i="61"/>
  <c r="O260" i="61"/>
  <c r="N260" i="61"/>
  <c r="M260" i="61"/>
  <c r="L260" i="61"/>
  <c r="K260" i="61"/>
  <c r="P259" i="61"/>
  <c r="O259" i="61"/>
  <c r="N259" i="61"/>
  <c r="M259" i="61"/>
  <c r="L259" i="61"/>
  <c r="K259" i="61"/>
  <c r="P258" i="61"/>
  <c r="O258" i="61"/>
  <c r="N258" i="61"/>
  <c r="M258" i="61"/>
  <c r="L258" i="61"/>
  <c r="K258" i="61"/>
  <c r="P257" i="61"/>
  <c r="O257" i="61"/>
  <c r="N257" i="61"/>
  <c r="M257" i="61"/>
  <c r="L257" i="61"/>
  <c r="K257" i="61"/>
  <c r="P256" i="61"/>
  <c r="O256" i="61"/>
  <c r="N256" i="61"/>
  <c r="M256" i="61"/>
  <c r="L256" i="61"/>
  <c r="K256" i="61"/>
  <c r="P255" i="61"/>
  <c r="O255" i="61"/>
  <c r="N255" i="61"/>
  <c r="M255" i="61"/>
  <c r="L255" i="61"/>
  <c r="K255" i="61"/>
  <c r="P254" i="61"/>
  <c r="O254" i="61"/>
  <c r="N254" i="61"/>
  <c r="M254" i="61"/>
  <c r="L254" i="61"/>
  <c r="K254" i="61"/>
  <c r="P253" i="61"/>
  <c r="O253" i="61"/>
  <c r="N253" i="61"/>
  <c r="M253" i="61"/>
  <c r="L253" i="61"/>
  <c r="K253" i="61"/>
  <c r="P252" i="61"/>
  <c r="O252" i="61"/>
  <c r="N252" i="61"/>
  <c r="M252" i="61"/>
  <c r="L252" i="61"/>
  <c r="K252" i="61"/>
  <c r="P251" i="61"/>
  <c r="O251" i="61"/>
  <c r="N251" i="61"/>
  <c r="M251" i="61"/>
  <c r="L251" i="61"/>
  <c r="K251" i="61"/>
  <c r="P250" i="61"/>
  <c r="O250" i="61"/>
  <c r="N250" i="61"/>
  <c r="M250" i="61"/>
  <c r="L250" i="61"/>
  <c r="K250" i="61"/>
  <c r="P249" i="61"/>
  <c r="O249" i="61"/>
  <c r="N249" i="61"/>
  <c r="M249" i="61"/>
  <c r="L249" i="61"/>
  <c r="K249" i="61"/>
  <c r="P248" i="61"/>
  <c r="O248" i="61"/>
  <c r="N248" i="61"/>
  <c r="M248" i="61"/>
  <c r="L248" i="61"/>
  <c r="K248" i="61"/>
  <c r="P247" i="61"/>
  <c r="O247" i="61"/>
  <c r="N247" i="61"/>
  <c r="M247" i="61"/>
  <c r="L247" i="61"/>
  <c r="K247" i="61"/>
  <c r="P246" i="61"/>
  <c r="O246" i="61"/>
  <c r="N246" i="61"/>
  <c r="M246" i="61"/>
  <c r="L246" i="61"/>
  <c r="K246" i="61"/>
  <c r="P245" i="61"/>
  <c r="O245" i="61"/>
  <c r="N245" i="61"/>
  <c r="M245" i="61"/>
  <c r="L245" i="61"/>
  <c r="K245" i="61"/>
  <c r="P244" i="61"/>
  <c r="O244" i="61"/>
  <c r="N244" i="61"/>
  <c r="M244" i="61"/>
  <c r="L244" i="61"/>
  <c r="K244" i="61"/>
  <c r="P243" i="61"/>
  <c r="O243" i="61"/>
  <c r="N243" i="61"/>
  <c r="M243" i="61"/>
  <c r="L243" i="61"/>
  <c r="K243" i="61"/>
  <c r="P242" i="61"/>
  <c r="O242" i="61"/>
  <c r="N242" i="61"/>
  <c r="M242" i="61"/>
  <c r="L242" i="61"/>
  <c r="K242" i="61"/>
  <c r="P241" i="61"/>
  <c r="O241" i="61"/>
  <c r="N241" i="61"/>
  <c r="M241" i="61"/>
  <c r="L241" i="61"/>
  <c r="K241" i="61"/>
  <c r="P240" i="61"/>
  <c r="O240" i="61"/>
  <c r="N240" i="61"/>
  <c r="M240" i="61"/>
  <c r="L240" i="61"/>
  <c r="K240" i="61"/>
  <c r="P239" i="61"/>
  <c r="O239" i="61"/>
  <c r="N239" i="61"/>
  <c r="M239" i="61"/>
  <c r="L239" i="61"/>
  <c r="K239" i="61"/>
  <c r="P238" i="61"/>
  <c r="O238" i="61"/>
  <c r="N238" i="61"/>
  <c r="M238" i="61"/>
  <c r="L238" i="61"/>
  <c r="K238" i="61"/>
  <c r="P237" i="61"/>
  <c r="O237" i="61"/>
  <c r="N237" i="61"/>
  <c r="M237" i="61"/>
  <c r="L237" i="61"/>
  <c r="K237" i="61"/>
  <c r="P236" i="61"/>
  <c r="O236" i="61"/>
  <c r="N236" i="61"/>
  <c r="M236" i="61"/>
  <c r="L236" i="61"/>
  <c r="K236" i="61"/>
  <c r="P235" i="61"/>
  <c r="O235" i="61"/>
  <c r="N235" i="61"/>
  <c r="M235" i="61"/>
  <c r="L235" i="61"/>
  <c r="K235" i="61"/>
  <c r="P234" i="61"/>
  <c r="O234" i="61"/>
  <c r="N234" i="61"/>
  <c r="M234" i="61"/>
  <c r="L234" i="61"/>
  <c r="K234" i="61"/>
  <c r="P233" i="61"/>
  <c r="O233" i="61"/>
  <c r="N233" i="61"/>
  <c r="M233" i="61"/>
  <c r="L233" i="61"/>
  <c r="K233" i="61"/>
  <c r="P232" i="61"/>
  <c r="O232" i="61"/>
  <c r="N232" i="61"/>
  <c r="M232" i="61"/>
  <c r="L232" i="61"/>
  <c r="K232" i="61"/>
  <c r="P231" i="61"/>
  <c r="O231" i="61"/>
  <c r="N231" i="61"/>
  <c r="M231" i="61"/>
  <c r="L231" i="61"/>
  <c r="K231" i="61"/>
  <c r="P230" i="61"/>
  <c r="O230" i="61"/>
  <c r="N230" i="61"/>
  <c r="M230" i="61"/>
  <c r="L230" i="61"/>
  <c r="K230" i="61"/>
  <c r="P229" i="61"/>
  <c r="O229" i="61"/>
  <c r="N229" i="61"/>
  <c r="M229" i="61"/>
  <c r="L229" i="61"/>
  <c r="K229" i="61"/>
  <c r="P228" i="61"/>
  <c r="O228" i="61"/>
  <c r="N228" i="61"/>
  <c r="M228" i="61"/>
  <c r="L228" i="61"/>
  <c r="K228" i="61"/>
  <c r="P227" i="61"/>
  <c r="O227" i="61"/>
  <c r="N227" i="61"/>
  <c r="M227" i="61"/>
  <c r="L227" i="61"/>
  <c r="K227" i="61"/>
  <c r="P226" i="61"/>
  <c r="O226" i="61"/>
  <c r="N226" i="61"/>
  <c r="M226" i="61"/>
  <c r="L226" i="61"/>
  <c r="K226" i="61"/>
  <c r="P225" i="61"/>
  <c r="O225" i="61"/>
  <c r="N225" i="61"/>
  <c r="M225" i="61"/>
  <c r="L225" i="61"/>
  <c r="K225" i="61"/>
  <c r="P224" i="61"/>
  <c r="O224" i="61"/>
  <c r="N224" i="61"/>
  <c r="M224" i="61"/>
  <c r="L224" i="61"/>
  <c r="K224" i="61"/>
  <c r="P223" i="61"/>
  <c r="O223" i="61"/>
  <c r="N223" i="61"/>
  <c r="M223" i="61"/>
  <c r="L223" i="61"/>
  <c r="K223" i="61"/>
  <c r="P222" i="61"/>
  <c r="O222" i="61"/>
  <c r="N222" i="61"/>
  <c r="M222" i="61"/>
  <c r="L222" i="61"/>
  <c r="K222" i="61"/>
  <c r="P221" i="61"/>
  <c r="O221" i="61"/>
  <c r="N221" i="61"/>
  <c r="M221" i="61"/>
  <c r="L221" i="61"/>
  <c r="K221" i="61"/>
  <c r="P220" i="61"/>
  <c r="O220" i="61"/>
  <c r="N220" i="61"/>
  <c r="M220" i="61"/>
  <c r="L220" i="61"/>
  <c r="K220" i="61"/>
  <c r="P219" i="61"/>
  <c r="O219" i="61"/>
  <c r="N219" i="61"/>
  <c r="M219" i="61"/>
  <c r="L219" i="61"/>
  <c r="K219" i="61"/>
  <c r="P218" i="61"/>
  <c r="O218" i="61"/>
  <c r="N218" i="61"/>
  <c r="M218" i="61"/>
  <c r="L218" i="61"/>
  <c r="K218" i="61"/>
  <c r="P217" i="61"/>
  <c r="O217" i="61"/>
  <c r="N217" i="61"/>
  <c r="M217" i="61"/>
  <c r="L217" i="61"/>
  <c r="K217" i="61"/>
  <c r="P216" i="61"/>
  <c r="O216" i="61"/>
  <c r="N216" i="61"/>
  <c r="M216" i="61"/>
  <c r="L216" i="61"/>
  <c r="K216" i="61"/>
  <c r="P215" i="61"/>
  <c r="O215" i="61"/>
  <c r="N215" i="61"/>
  <c r="M215" i="61"/>
  <c r="L215" i="61"/>
  <c r="K215" i="61"/>
  <c r="P214" i="61"/>
  <c r="O214" i="61"/>
  <c r="N214" i="61"/>
  <c r="M214" i="61"/>
  <c r="L214" i="61"/>
  <c r="K214" i="61"/>
  <c r="P213" i="61"/>
  <c r="O213" i="61"/>
  <c r="N213" i="61"/>
  <c r="M213" i="61"/>
  <c r="L213" i="61"/>
  <c r="K213" i="61"/>
  <c r="P212" i="61"/>
  <c r="O212" i="61"/>
  <c r="N212" i="61"/>
  <c r="M212" i="61"/>
  <c r="L212" i="61"/>
  <c r="K212" i="61"/>
  <c r="P211" i="61"/>
  <c r="O211" i="61"/>
  <c r="N211" i="61"/>
  <c r="M211" i="61"/>
  <c r="L211" i="61"/>
  <c r="K211" i="61"/>
  <c r="P210" i="61"/>
  <c r="O210" i="61"/>
  <c r="N210" i="61"/>
  <c r="M210" i="61"/>
  <c r="L210" i="61"/>
  <c r="K210" i="61"/>
  <c r="P209" i="61"/>
  <c r="O209" i="61"/>
  <c r="N209" i="61"/>
  <c r="M209" i="61"/>
  <c r="L209" i="61"/>
  <c r="K209" i="61"/>
  <c r="P208" i="61"/>
  <c r="O208" i="61"/>
  <c r="N208" i="61"/>
  <c r="M208" i="61"/>
  <c r="L208" i="61"/>
  <c r="K208" i="61"/>
  <c r="P207" i="61"/>
  <c r="O207" i="61"/>
  <c r="N207" i="61"/>
  <c r="M207" i="61"/>
  <c r="L207" i="61"/>
  <c r="K207" i="61"/>
  <c r="P206" i="61"/>
  <c r="O206" i="61"/>
  <c r="N206" i="61"/>
  <c r="M206" i="61"/>
  <c r="L206" i="61"/>
  <c r="K206" i="61"/>
  <c r="P205" i="61"/>
  <c r="O205" i="61"/>
  <c r="N205" i="61"/>
  <c r="M205" i="61"/>
  <c r="L205" i="61"/>
  <c r="K205" i="61"/>
  <c r="P204" i="61"/>
  <c r="O204" i="61"/>
  <c r="N204" i="61"/>
  <c r="M204" i="61"/>
  <c r="L204" i="61"/>
  <c r="K204" i="61"/>
  <c r="P203" i="61"/>
  <c r="O203" i="61"/>
  <c r="N203" i="61"/>
  <c r="M203" i="61"/>
  <c r="L203" i="61"/>
  <c r="K203" i="61"/>
  <c r="P202" i="61"/>
  <c r="O202" i="61"/>
  <c r="N202" i="61"/>
  <c r="M202" i="61"/>
  <c r="L202" i="61"/>
  <c r="K202" i="61"/>
  <c r="P201" i="61"/>
  <c r="O201" i="61"/>
  <c r="N201" i="61"/>
  <c r="M201" i="61"/>
  <c r="L201" i="61"/>
  <c r="K201" i="61"/>
  <c r="P200" i="61"/>
  <c r="O200" i="61"/>
  <c r="N200" i="61"/>
  <c r="M200" i="61"/>
  <c r="L200" i="61"/>
  <c r="K200" i="61"/>
  <c r="P199" i="61"/>
  <c r="O199" i="61"/>
  <c r="N199" i="61"/>
  <c r="M199" i="61"/>
  <c r="L199" i="61"/>
  <c r="K199" i="61"/>
  <c r="P198" i="61"/>
  <c r="O198" i="61"/>
  <c r="N198" i="61"/>
  <c r="M198" i="61"/>
  <c r="L198" i="61"/>
  <c r="K198" i="61"/>
  <c r="P197" i="61"/>
  <c r="O197" i="61"/>
  <c r="N197" i="61"/>
  <c r="M197" i="61"/>
  <c r="L197" i="61"/>
  <c r="K197" i="61"/>
  <c r="P196" i="61"/>
  <c r="O196" i="61"/>
  <c r="N196" i="61"/>
  <c r="M196" i="61"/>
  <c r="L196" i="61"/>
  <c r="K196" i="61"/>
  <c r="P195" i="61"/>
  <c r="O195" i="61"/>
  <c r="N195" i="61"/>
  <c r="M195" i="61"/>
  <c r="L195" i="61"/>
  <c r="K195" i="61"/>
  <c r="P194" i="61"/>
  <c r="O194" i="61"/>
  <c r="N194" i="61"/>
  <c r="M194" i="61"/>
  <c r="L194" i="61"/>
  <c r="K194" i="61"/>
  <c r="P193" i="61"/>
  <c r="O193" i="61"/>
  <c r="N193" i="61"/>
  <c r="M193" i="61"/>
  <c r="L193" i="61"/>
  <c r="K193" i="61"/>
  <c r="P192" i="61"/>
  <c r="O192" i="61"/>
  <c r="N192" i="61"/>
  <c r="M192" i="61"/>
  <c r="L192" i="61"/>
  <c r="K192" i="61"/>
  <c r="P191" i="61"/>
  <c r="O191" i="61"/>
  <c r="N191" i="61"/>
  <c r="M191" i="61"/>
  <c r="L191" i="61"/>
  <c r="K191" i="61"/>
  <c r="P190" i="61"/>
  <c r="O190" i="61"/>
  <c r="N190" i="61"/>
  <c r="M190" i="61"/>
  <c r="L190" i="61"/>
  <c r="K190" i="61"/>
  <c r="P189" i="61"/>
  <c r="O189" i="61"/>
  <c r="N189" i="61"/>
  <c r="M189" i="61"/>
  <c r="L189" i="61"/>
  <c r="K189" i="61"/>
  <c r="P188" i="61"/>
  <c r="O188" i="61"/>
  <c r="N188" i="61"/>
  <c r="M188" i="61"/>
  <c r="L188" i="61"/>
  <c r="K188" i="61"/>
  <c r="P187" i="61"/>
  <c r="O187" i="61"/>
  <c r="N187" i="61"/>
  <c r="M187" i="61"/>
  <c r="L187" i="61"/>
  <c r="K187" i="61"/>
  <c r="P186" i="61"/>
  <c r="O186" i="61"/>
  <c r="N186" i="61"/>
  <c r="M186" i="61"/>
  <c r="L186" i="61"/>
  <c r="K186" i="61"/>
  <c r="P185" i="61"/>
  <c r="O185" i="61"/>
  <c r="N185" i="61"/>
  <c r="M185" i="61"/>
  <c r="L185" i="61"/>
  <c r="K185" i="61"/>
  <c r="P184" i="61"/>
  <c r="O184" i="61"/>
  <c r="N184" i="61"/>
  <c r="M184" i="61"/>
  <c r="L184" i="61"/>
  <c r="K184" i="61"/>
  <c r="P183" i="61"/>
  <c r="O183" i="61"/>
  <c r="N183" i="61"/>
  <c r="M183" i="61"/>
  <c r="L183" i="61"/>
  <c r="K183" i="61"/>
  <c r="P182" i="61"/>
  <c r="O182" i="61"/>
  <c r="N182" i="61"/>
  <c r="M182" i="61"/>
  <c r="L182" i="61"/>
  <c r="K182" i="61"/>
  <c r="P181" i="61"/>
  <c r="O181" i="61"/>
  <c r="N181" i="61"/>
  <c r="M181" i="61"/>
  <c r="L181" i="61"/>
  <c r="K181" i="61"/>
  <c r="P180" i="61"/>
  <c r="O180" i="61"/>
  <c r="N180" i="61"/>
  <c r="M180" i="61"/>
  <c r="L180" i="61"/>
  <c r="K180" i="61"/>
  <c r="P179" i="61"/>
  <c r="O179" i="61"/>
  <c r="N179" i="61"/>
  <c r="M179" i="61"/>
  <c r="L179" i="61"/>
  <c r="K179" i="61"/>
  <c r="P178" i="61"/>
  <c r="O178" i="61"/>
  <c r="N178" i="61"/>
  <c r="M178" i="61"/>
  <c r="L178" i="61"/>
  <c r="K178" i="61"/>
  <c r="P177" i="61"/>
  <c r="O177" i="61"/>
  <c r="N177" i="61"/>
  <c r="M177" i="61"/>
  <c r="L177" i="61"/>
  <c r="K177" i="61"/>
  <c r="P176" i="61"/>
  <c r="O176" i="61"/>
  <c r="N176" i="61"/>
  <c r="M176" i="61"/>
  <c r="L176" i="61"/>
  <c r="K176" i="61"/>
  <c r="P175" i="61"/>
  <c r="O175" i="61"/>
  <c r="N175" i="61"/>
  <c r="M175" i="61"/>
  <c r="L175" i="61"/>
  <c r="K175" i="61"/>
  <c r="P174" i="61"/>
  <c r="O174" i="61"/>
  <c r="N174" i="61"/>
  <c r="M174" i="61"/>
  <c r="L174" i="61"/>
  <c r="K174" i="61"/>
  <c r="P173" i="61"/>
  <c r="O173" i="61"/>
  <c r="N173" i="61"/>
  <c r="M173" i="61"/>
  <c r="L173" i="61"/>
  <c r="K173" i="61"/>
  <c r="P172" i="61"/>
  <c r="O172" i="61"/>
  <c r="N172" i="61"/>
  <c r="M172" i="61"/>
  <c r="L172" i="61"/>
  <c r="K172" i="61"/>
  <c r="P171" i="61"/>
  <c r="O171" i="61"/>
  <c r="N171" i="61"/>
  <c r="M171" i="61"/>
  <c r="L171" i="61"/>
  <c r="K171" i="61"/>
  <c r="P170" i="61"/>
  <c r="O170" i="61"/>
  <c r="N170" i="61"/>
  <c r="M170" i="61"/>
  <c r="L170" i="61"/>
  <c r="K170" i="61"/>
  <c r="P169" i="61"/>
  <c r="O169" i="61"/>
  <c r="N169" i="61"/>
  <c r="M169" i="61"/>
  <c r="L169" i="61"/>
  <c r="K169" i="61"/>
  <c r="P168" i="61"/>
  <c r="O168" i="61"/>
  <c r="N168" i="61"/>
  <c r="M168" i="61"/>
  <c r="L168" i="61"/>
  <c r="K168" i="61"/>
  <c r="P167" i="61"/>
  <c r="O167" i="61"/>
  <c r="N167" i="61"/>
  <c r="M167" i="61"/>
  <c r="L167" i="61"/>
  <c r="K167" i="61"/>
  <c r="P166" i="61"/>
  <c r="O166" i="61"/>
  <c r="N166" i="61"/>
  <c r="M166" i="61"/>
  <c r="L166" i="61"/>
  <c r="K166" i="61"/>
  <c r="P165" i="61"/>
  <c r="O165" i="61"/>
  <c r="N165" i="61"/>
  <c r="M165" i="61"/>
  <c r="L165" i="61"/>
  <c r="K165" i="61"/>
  <c r="P164" i="61"/>
  <c r="O164" i="61"/>
  <c r="N164" i="61"/>
  <c r="M164" i="61"/>
  <c r="L164" i="61"/>
  <c r="K164" i="61"/>
  <c r="P163" i="61"/>
  <c r="O163" i="61"/>
  <c r="N163" i="61"/>
  <c r="M163" i="61"/>
  <c r="L163" i="61"/>
  <c r="K163" i="61"/>
  <c r="P162" i="61"/>
  <c r="O162" i="61"/>
  <c r="N162" i="61"/>
  <c r="M162" i="61"/>
  <c r="L162" i="61"/>
  <c r="K162" i="61"/>
  <c r="P161" i="61"/>
  <c r="O161" i="61"/>
  <c r="N161" i="61"/>
  <c r="M161" i="61"/>
  <c r="L161" i="61"/>
  <c r="K161" i="61"/>
  <c r="P160" i="61"/>
  <c r="O160" i="61"/>
  <c r="N160" i="61"/>
  <c r="M160" i="61"/>
  <c r="L160" i="61"/>
  <c r="K160" i="61"/>
  <c r="P159" i="61"/>
  <c r="O159" i="61"/>
  <c r="N159" i="61"/>
  <c r="M159" i="61"/>
  <c r="L159" i="61"/>
  <c r="K159" i="61"/>
  <c r="P158" i="61"/>
  <c r="O158" i="61"/>
  <c r="N158" i="61"/>
  <c r="M158" i="61"/>
  <c r="L158" i="61"/>
  <c r="K158" i="61"/>
  <c r="P157" i="61"/>
  <c r="O157" i="61"/>
  <c r="N157" i="61"/>
  <c r="M157" i="61"/>
  <c r="L157" i="61"/>
  <c r="K157" i="61"/>
  <c r="P156" i="61"/>
  <c r="O156" i="61"/>
  <c r="N156" i="61"/>
  <c r="M156" i="61"/>
  <c r="L156" i="61"/>
  <c r="K156" i="61"/>
  <c r="P155" i="61"/>
  <c r="O155" i="61"/>
  <c r="N155" i="61"/>
  <c r="M155" i="61"/>
  <c r="L155" i="61"/>
  <c r="K155" i="61"/>
  <c r="P154" i="61"/>
  <c r="O154" i="61"/>
  <c r="N154" i="61"/>
  <c r="M154" i="61"/>
  <c r="L154" i="61"/>
  <c r="K154" i="61"/>
  <c r="P153" i="61"/>
  <c r="O153" i="61"/>
  <c r="N153" i="61"/>
  <c r="M153" i="61"/>
  <c r="L153" i="61"/>
  <c r="K153" i="61"/>
  <c r="P152" i="61"/>
  <c r="O152" i="61"/>
  <c r="N152" i="61"/>
  <c r="M152" i="61"/>
  <c r="L152" i="61"/>
  <c r="K152" i="61"/>
  <c r="P151" i="61"/>
  <c r="O151" i="61"/>
  <c r="N151" i="61"/>
  <c r="M151" i="61"/>
  <c r="L151" i="61"/>
  <c r="K151" i="61"/>
  <c r="P150" i="61"/>
  <c r="O150" i="61"/>
  <c r="N150" i="61"/>
  <c r="M150" i="61"/>
  <c r="L150" i="61"/>
  <c r="K150" i="61"/>
  <c r="P149" i="61"/>
  <c r="O149" i="61"/>
  <c r="N149" i="61"/>
  <c r="M149" i="61"/>
  <c r="L149" i="61"/>
  <c r="K149" i="61"/>
  <c r="P148" i="61"/>
  <c r="O148" i="61"/>
  <c r="N148" i="61"/>
  <c r="M148" i="61"/>
  <c r="L148" i="61"/>
  <c r="K148" i="61"/>
  <c r="P147" i="61"/>
  <c r="O147" i="61"/>
  <c r="N147" i="61"/>
  <c r="M147" i="61"/>
  <c r="L147" i="61"/>
  <c r="K147" i="61"/>
  <c r="P146" i="61"/>
  <c r="O146" i="61"/>
  <c r="N146" i="61"/>
  <c r="M146" i="61"/>
  <c r="L146" i="61"/>
  <c r="K146" i="61"/>
  <c r="P145" i="61"/>
  <c r="O145" i="61"/>
  <c r="N145" i="61"/>
  <c r="M145" i="61"/>
  <c r="L145" i="61"/>
  <c r="K145" i="61"/>
  <c r="P144" i="61"/>
  <c r="O144" i="61"/>
  <c r="N144" i="61"/>
  <c r="M144" i="61"/>
  <c r="L144" i="61"/>
  <c r="K144" i="61"/>
  <c r="P143" i="61"/>
  <c r="O143" i="61"/>
  <c r="N143" i="61"/>
  <c r="M143" i="61"/>
  <c r="L143" i="61"/>
  <c r="K143" i="61"/>
  <c r="P142" i="61"/>
  <c r="O142" i="61"/>
  <c r="N142" i="61"/>
  <c r="M142" i="61"/>
  <c r="L142" i="61"/>
  <c r="K142" i="61"/>
  <c r="P141" i="61"/>
  <c r="O141" i="61"/>
  <c r="N141" i="61"/>
  <c r="M141" i="61"/>
  <c r="L141" i="61"/>
  <c r="K141" i="61"/>
  <c r="P140" i="61"/>
  <c r="O140" i="61"/>
  <c r="N140" i="61"/>
  <c r="M140" i="61"/>
  <c r="L140" i="61"/>
  <c r="K140" i="61"/>
  <c r="P139" i="61"/>
  <c r="O139" i="61"/>
  <c r="N139" i="61"/>
  <c r="M139" i="61"/>
  <c r="L139" i="61"/>
  <c r="K139" i="61"/>
  <c r="P138" i="61"/>
  <c r="O138" i="61"/>
  <c r="N138" i="61"/>
  <c r="M138" i="61"/>
  <c r="L138" i="61"/>
  <c r="K138" i="61"/>
  <c r="P137" i="61"/>
  <c r="O137" i="61"/>
  <c r="N137" i="61"/>
  <c r="M137" i="61"/>
  <c r="L137" i="61"/>
  <c r="K137" i="61"/>
  <c r="P136" i="61"/>
  <c r="O136" i="61"/>
  <c r="N136" i="61"/>
  <c r="M136" i="61"/>
  <c r="L136" i="61"/>
  <c r="K136" i="61"/>
  <c r="P135" i="61"/>
  <c r="O135" i="61"/>
  <c r="N135" i="61"/>
  <c r="M135" i="61"/>
  <c r="L135" i="61"/>
  <c r="K135" i="61"/>
  <c r="P134" i="61"/>
  <c r="O134" i="61"/>
  <c r="N134" i="61"/>
  <c r="M134" i="61"/>
  <c r="L134" i="61"/>
  <c r="K134" i="61"/>
  <c r="P133" i="61"/>
  <c r="O133" i="61"/>
  <c r="N133" i="61"/>
  <c r="M133" i="61"/>
  <c r="L133" i="61"/>
  <c r="K133" i="61"/>
  <c r="P132" i="61"/>
  <c r="O132" i="61"/>
  <c r="N132" i="61"/>
  <c r="M132" i="61"/>
  <c r="L132" i="61"/>
  <c r="K132" i="61"/>
  <c r="P131" i="61"/>
  <c r="O131" i="61"/>
  <c r="N131" i="61"/>
  <c r="M131" i="61"/>
  <c r="L131" i="61"/>
  <c r="K131" i="61"/>
  <c r="P130" i="61"/>
  <c r="O130" i="61"/>
  <c r="N130" i="61"/>
  <c r="M130" i="61"/>
  <c r="L130" i="61"/>
  <c r="K130" i="61"/>
  <c r="P129" i="61"/>
  <c r="O129" i="61"/>
  <c r="N129" i="61"/>
  <c r="M129" i="61"/>
  <c r="L129" i="61"/>
  <c r="K129" i="61"/>
  <c r="P128" i="61"/>
  <c r="O128" i="61"/>
  <c r="N128" i="61"/>
  <c r="M128" i="61"/>
  <c r="L128" i="61"/>
  <c r="K128" i="61"/>
  <c r="P127" i="61"/>
  <c r="O127" i="61"/>
  <c r="N127" i="61"/>
  <c r="M127" i="61"/>
  <c r="L127" i="61"/>
  <c r="K127" i="61"/>
  <c r="P126" i="61"/>
  <c r="O126" i="61"/>
  <c r="N126" i="61"/>
  <c r="M126" i="61"/>
  <c r="L126" i="61"/>
  <c r="K126" i="61"/>
  <c r="P125" i="61"/>
  <c r="O125" i="61"/>
  <c r="N125" i="61"/>
  <c r="M125" i="61"/>
  <c r="L125" i="61"/>
  <c r="K125" i="61"/>
  <c r="P124" i="61"/>
  <c r="O124" i="61"/>
  <c r="N124" i="61"/>
  <c r="M124" i="61"/>
  <c r="L124" i="61"/>
  <c r="K124" i="61"/>
  <c r="P123" i="61"/>
  <c r="O123" i="61"/>
  <c r="N123" i="61"/>
  <c r="M123" i="61"/>
  <c r="L123" i="61"/>
  <c r="K123" i="61"/>
  <c r="P122" i="61"/>
  <c r="O122" i="61"/>
  <c r="N122" i="61"/>
  <c r="M122" i="61"/>
  <c r="L122" i="61"/>
  <c r="K122" i="61"/>
  <c r="P121" i="61"/>
  <c r="O121" i="61"/>
  <c r="N121" i="61"/>
  <c r="M121" i="61"/>
  <c r="L121" i="61"/>
  <c r="K121" i="61"/>
  <c r="P120" i="61"/>
  <c r="O120" i="61"/>
  <c r="N120" i="61"/>
  <c r="M120" i="61"/>
  <c r="L120" i="61"/>
  <c r="K120" i="61"/>
  <c r="P119" i="61"/>
  <c r="O119" i="61"/>
  <c r="N119" i="61"/>
  <c r="M119" i="61"/>
  <c r="L119" i="61"/>
  <c r="K119" i="61"/>
  <c r="P118" i="61"/>
  <c r="O118" i="61"/>
  <c r="N118" i="61"/>
  <c r="M118" i="61"/>
  <c r="L118" i="61"/>
  <c r="K118" i="61"/>
  <c r="P117" i="61"/>
  <c r="O117" i="61"/>
  <c r="N117" i="61"/>
  <c r="M117" i="61"/>
  <c r="L117" i="61"/>
  <c r="K117" i="61"/>
  <c r="P116" i="61"/>
  <c r="O116" i="61"/>
  <c r="N116" i="61"/>
  <c r="M116" i="61"/>
  <c r="L116" i="61"/>
  <c r="K116" i="61"/>
  <c r="P115" i="61"/>
  <c r="O115" i="61"/>
  <c r="N115" i="61"/>
  <c r="M115" i="61"/>
  <c r="L115" i="61"/>
  <c r="K115" i="61"/>
  <c r="P114" i="61"/>
  <c r="O114" i="61"/>
  <c r="N114" i="61"/>
  <c r="M114" i="61"/>
  <c r="L114" i="61"/>
  <c r="K114" i="61"/>
  <c r="P113" i="61"/>
  <c r="O113" i="61"/>
  <c r="N113" i="61"/>
  <c r="M113" i="61"/>
  <c r="L113" i="61"/>
  <c r="K113" i="61"/>
  <c r="P112" i="61"/>
  <c r="O112" i="61"/>
  <c r="N112" i="61"/>
  <c r="M112" i="61"/>
  <c r="L112" i="61"/>
  <c r="K112" i="61"/>
  <c r="P111" i="61"/>
  <c r="O111" i="61"/>
  <c r="N111" i="61"/>
  <c r="M111" i="61"/>
  <c r="L111" i="61"/>
  <c r="K111" i="61"/>
  <c r="P110" i="61"/>
  <c r="O110" i="61"/>
  <c r="N110" i="61"/>
  <c r="M110" i="61"/>
  <c r="L110" i="61"/>
  <c r="K110" i="61"/>
  <c r="P109" i="61"/>
  <c r="O109" i="61"/>
  <c r="N109" i="61"/>
  <c r="M109" i="61"/>
  <c r="L109" i="61"/>
  <c r="K109" i="61"/>
  <c r="P108" i="61"/>
  <c r="O108" i="61"/>
  <c r="N108" i="61"/>
  <c r="M108" i="61"/>
  <c r="L108" i="61"/>
  <c r="K108" i="61"/>
  <c r="P107" i="61"/>
  <c r="O107" i="61"/>
  <c r="N107" i="61"/>
  <c r="M107" i="61"/>
  <c r="L107" i="61"/>
  <c r="K107" i="61"/>
  <c r="P106" i="61"/>
  <c r="O106" i="61"/>
  <c r="N106" i="61"/>
  <c r="M106" i="61"/>
  <c r="L106" i="61"/>
  <c r="K106" i="61"/>
  <c r="P105" i="61"/>
  <c r="O105" i="61"/>
  <c r="N105" i="61"/>
  <c r="M105" i="61"/>
  <c r="L105" i="61"/>
  <c r="K105" i="61"/>
  <c r="P104" i="61"/>
  <c r="O104" i="61"/>
  <c r="N104" i="61"/>
  <c r="M104" i="61"/>
  <c r="L104" i="61"/>
  <c r="K104" i="61"/>
  <c r="P103" i="61"/>
  <c r="O103" i="61"/>
  <c r="N103" i="61"/>
  <c r="M103" i="61"/>
  <c r="L103" i="61"/>
  <c r="K103" i="61"/>
  <c r="P102" i="61"/>
  <c r="O102" i="61"/>
  <c r="N102" i="61"/>
  <c r="M102" i="61"/>
  <c r="L102" i="61"/>
  <c r="K102" i="61"/>
  <c r="P101" i="61"/>
  <c r="O101" i="61"/>
  <c r="N101" i="61"/>
  <c r="M101" i="61"/>
  <c r="L101" i="61"/>
  <c r="K101" i="61"/>
  <c r="P100" i="61"/>
  <c r="O100" i="61"/>
  <c r="N100" i="61"/>
  <c r="M100" i="61"/>
  <c r="L100" i="61"/>
  <c r="K100" i="61"/>
  <c r="P99" i="61"/>
  <c r="O99" i="61"/>
  <c r="N99" i="61"/>
  <c r="M99" i="61"/>
  <c r="L99" i="61"/>
  <c r="K99" i="61"/>
  <c r="P98" i="61"/>
  <c r="O98" i="61"/>
  <c r="N98" i="61"/>
  <c r="M98" i="61"/>
  <c r="L98" i="61"/>
  <c r="K98" i="61"/>
  <c r="P97" i="61"/>
  <c r="O97" i="61"/>
  <c r="N97" i="61"/>
  <c r="M97" i="61"/>
  <c r="L97" i="61"/>
  <c r="K97" i="61"/>
  <c r="P96" i="61"/>
  <c r="O96" i="61"/>
  <c r="N96" i="61"/>
  <c r="M96" i="61"/>
  <c r="L96" i="61"/>
  <c r="K96" i="61"/>
  <c r="P95" i="61"/>
  <c r="O95" i="61"/>
  <c r="N95" i="61"/>
  <c r="M95" i="61"/>
  <c r="L95" i="61"/>
  <c r="K95" i="61"/>
  <c r="P94" i="61"/>
  <c r="O94" i="61"/>
  <c r="N94" i="61"/>
  <c r="M94" i="61"/>
  <c r="L94" i="61"/>
  <c r="K94" i="61"/>
  <c r="P93" i="61"/>
  <c r="O93" i="61"/>
  <c r="N93" i="61"/>
  <c r="M93" i="61"/>
  <c r="L93" i="61"/>
  <c r="K93" i="61"/>
  <c r="P92" i="61"/>
  <c r="O92" i="61"/>
  <c r="N92" i="61"/>
  <c r="M92" i="61"/>
  <c r="L92" i="61"/>
  <c r="K92" i="61"/>
  <c r="P91" i="61"/>
  <c r="O91" i="61"/>
  <c r="N91" i="61"/>
  <c r="M91" i="61"/>
  <c r="L91" i="61"/>
  <c r="K91" i="61"/>
  <c r="P90" i="61"/>
  <c r="O90" i="61"/>
  <c r="N90" i="61"/>
  <c r="M90" i="61"/>
  <c r="L90" i="61"/>
  <c r="K90" i="61"/>
  <c r="P89" i="61"/>
  <c r="O89" i="61"/>
  <c r="N89" i="61"/>
  <c r="M89" i="61"/>
  <c r="L89" i="61"/>
  <c r="K89" i="61"/>
  <c r="P88" i="61"/>
  <c r="O88" i="61"/>
  <c r="N88" i="61"/>
  <c r="M88" i="61"/>
  <c r="L88" i="61"/>
  <c r="K88" i="61"/>
  <c r="P87" i="61"/>
  <c r="O87" i="61"/>
  <c r="N87" i="61"/>
  <c r="M87" i="61"/>
  <c r="L87" i="61"/>
  <c r="K87" i="61"/>
  <c r="P86" i="61"/>
  <c r="O86" i="61"/>
  <c r="N86" i="61"/>
  <c r="M86" i="61"/>
  <c r="L86" i="61"/>
  <c r="K86" i="61"/>
  <c r="P85" i="61"/>
  <c r="O85" i="61"/>
  <c r="N85" i="61"/>
  <c r="M85" i="61"/>
  <c r="L85" i="61"/>
  <c r="K85" i="61"/>
  <c r="P84" i="61"/>
  <c r="O84" i="61"/>
  <c r="N84" i="61"/>
  <c r="M84" i="61"/>
  <c r="L84" i="61"/>
  <c r="K84" i="61"/>
  <c r="P83" i="61"/>
  <c r="O83" i="61"/>
  <c r="N83" i="61"/>
  <c r="M83" i="61"/>
  <c r="L83" i="61"/>
  <c r="K83" i="61"/>
  <c r="P82" i="61"/>
  <c r="O82" i="61"/>
  <c r="N82" i="61"/>
  <c r="M82" i="61"/>
  <c r="L82" i="61"/>
  <c r="K82" i="61"/>
  <c r="P81" i="61"/>
  <c r="O81" i="61"/>
  <c r="N81" i="61"/>
  <c r="M81" i="61"/>
  <c r="L81" i="61"/>
  <c r="K81" i="61"/>
  <c r="P80" i="61"/>
  <c r="O80" i="61"/>
  <c r="N80" i="61"/>
  <c r="M80" i="61"/>
  <c r="L80" i="61"/>
  <c r="K80" i="61"/>
  <c r="P79" i="61"/>
  <c r="O79" i="61"/>
  <c r="N79" i="61"/>
  <c r="M79" i="61"/>
  <c r="L79" i="61"/>
  <c r="K79" i="61"/>
  <c r="P78" i="61"/>
  <c r="O78" i="61"/>
  <c r="N78" i="61"/>
  <c r="M78" i="61"/>
  <c r="L78" i="61"/>
  <c r="K78" i="61"/>
  <c r="P77" i="61"/>
  <c r="O77" i="61"/>
  <c r="N77" i="61"/>
  <c r="M77" i="61"/>
  <c r="L77" i="61"/>
  <c r="K77" i="61"/>
  <c r="P76" i="61"/>
  <c r="O76" i="61"/>
  <c r="N76" i="61"/>
  <c r="M76" i="61"/>
  <c r="L76" i="61"/>
  <c r="K76" i="61"/>
  <c r="P75" i="61"/>
  <c r="O75" i="61"/>
  <c r="N75" i="61"/>
  <c r="M75" i="61"/>
  <c r="L75" i="61"/>
  <c r="K75" i="61"/>
  <c r="P74" i="61"/>
  <c r="O74" i="61"/>
  <c r="N74" i="61"/>
  <c r="M74" i="61"/>
  <c r="L74" i="61"/>
  <c r="K74" i="61"/>
  <c r="P73" i="61"/>
  <c r="O73" i="61"/>
  <c r="N73" i="61"/>
  <c r="M73" i="61"/>
  <c r="L73" i="61"/>
  <c r="K73" i="61"/>
  <c r="P72" i="61"/>
  <c r="O72" i="61"/>
  <c r="N72" i="61"/>
  <c r="M72" i="61"/>
  <c r="L72" i="61"/>
  <c r="K72" i="61"/>
  <c r="P71" i="61"/>
  <c r="O71" i="61"/>
  <c r="N71" i="61"/>
  <c r="M71" i="61"/>
  <c r="L71" i="61"/>
  <c r="K71" i="61"/>
  <c r="P70" i="61"/>
  <c r="O70" i="61"/>
  <c r="N70" i="61"/>
  <c r="M70" i="61"/>
  <c r="L70" i="61"/>
  <c r="K70" i="61"/>
  <c r="P69" i="61"/>
  <c r="O69" i="61"/>
  <c r="N69" i="61"/>
  <c r="M69" i="61"/>
  <c r="L69" i="61"/>
  <c r="K69" i="61"/>
  <c r="P68" i="61"/>
  <c r="O68" i="61"/>
  <c r="N68" i="61"/>
  <c r="M68" i="61"/>
  <c r="L68" i="61"/>
  <c r="K68" i="61"/>
  <c r="P67" i="61"/>
  <c r="O67" i="61"/>
  <c r="N67" i="61"/>
  <c r="M67" i="61"/>
  <c r="L67" i="61"/>
  <c r="K67" i="61"/>
  <c r="P66" i="61"/>
  <c r="O66" i="61"/>
  <c r="N66" i="61"/>
  <c r="M66" i="61"/>
  <c r="L66" i="61"/>
  <c r="K66" i="61"/>
  <c r="P65" i="61"/>
  <c r="O65" i="61"/>
  <c r="N65" i="61"/>
  <c r="M65" i="61"/>
  <c r="L65" i="61"/>
  <c r="K65" i="61"/>
  <c r="P64" i="61"/>
  <c r="O64" i="61"/>
  <c r="N64" i="61"/>
  <c r="M64" i="61"/>
  <c r="L64" i="61"/>
  <c r="K64" i="61"/>
  <c r="P63" i="61"/>
  <c r="O63" i="61"/>
  <c r="N63" i="61"/>
  <c r="M63" i="61"/>
  <c r="L63" i="61"/>
  <c r="K63" i="61"/>
  <c r="P62" i="61"/>
  <c r="O62" i="61"/>
  <c r="N62" i="61"/>
  <c r="M62" i="61"/>
  <c r="L62" i="61"/>
  <c r="K62" i="61"/>
  <c r="P61" i="61"/>
  <c r="O61" i="61"/>
  <c r="N61" i="61"/>
  <c r="M61" i="61"/>
  <c r="L61" i="61"/>
  <c r="K61" i="61"/>
  <c r="P60" i="61"/>
  <c r="O60" i="61"/>
  <c r="N60" i="61"/>
  <c r="M60" i="61"/>
  <c r="L60" i="61"/>
  <c r="K60" i="61"/>
  <c r="P59" i="61"/>
  <c r="O59" i="61"/>
  <c r="N59" i="61"/>
  <c r="M59" i="61"/>
  <c r="L59" i="61"/>
  <c r="K59" i="61"/>
  <c r="P58" i="61"/>
  <c r="O58" i="61"/>
  <c r="N58" i="61"/>
  <c r="M58" i="61"/>
  <c r="L58" i="61"/>
  <c r="K58" i="61"/>
  <c r="P57" i="61"/>
  <c r="O57" i="61"/>
  <c r="N57" i="61"/>
  <c r="M57" i="61"/>
  <c r="L57" i="61"/>
  <c r="K57" i="61"/>
  <c r="P56" i="61"/>
  <c r="O56" i="61"/>
  <c r="N56" i="61"/>
  <c r="M56" i="61"/>
  <c r="L56" i="61"/>
  <c r="K56" i="61"/>
  <c r="P55" i="61"/>
  <c r="O55" i="61"/>
  <c r="N55" i="61"/>
  <c r="M55" i="61"/>
  <c r="L55" i="61"/>
  <c r="K55" i="61"/>
  <c r="P54" i="61"/>
  <c r="O54" i="61"/>
  <c r="N54" i="61"/>
  <c r="M54" i="61"/>
  <c r="L54" i="61"/>
  <c r="K54" i="61"/>
  <c r="P53" i="61"/>
  <c r="O53" i="61"/>
  <c r="N53" i="61"/>
  <c r="M53" i="61"/>
  <c r="L53" i="61"/>
  <c r="K53" i="61"/>
  <c r="P52" i="61"/>
  <c r="O52" i="61"/>
  <c r="N52" i="61"/>
  <c r="M52" i="61"/>
  <c r="L52" i="61"/>
  <c r="K52" i="61"/>
  <c r="P51" i="61"/>
  <c r="O51" i="61"/>
  <c r="N51" i="61"/>
  <c r="M51" i="61"/>
  <c r="L51" i="61"/>
  <c r="K51" i="61"/>
  <c r="P50" i="61"/>
  <c r="O50" i="61"/>
  <c r="N50" i="61"/>
  <c r="M50" i="61"/>
  <c r="L50" i="61"/>
  <c r="K50" i="61"/>
  <c r="P49" i="61"/>
  <c r="O49" i="61"/>
  <c r="N49" i="61"/>
  <c r="M49" i="61"/>
  <c r="L49" i="61"/>
  <c r="K49" i="61"/>
  <c r="P48" i="61"/>
  <c r="O48" i="61"/>
  <c r="N48" i="61"/>
  <c r="M48" i="61"/>
  <c r="L48" i="61"/>
  <c r="K48" i="61"/>
  <c r="P47" i="61"/>
  <c r="O47" i="61"/>
  <c r="N47" i="61"/>
  <c r="M47" i="61"/>
  <c r="L47" i="61"/>
  <c r="K47" i="61"/>
  <c r="P46" i="61"/>
  <c r="O46" i="61"/>
  <c r="N46" i="61"/>
  <c r="M46" i="61"/>
  <c r="L46" i="61"/>
  <c r="K46" i="61"/>
  <c r="P45" i="61"/>
  <c r="O45" i="61"/>
  <c r="N45" i="61"/>
  <c r="M45" i="61"/>
  <c r="L45" i="61"/>
  <c r="K45" i="61"/>
  <c r="P44" i="61"/>
  <c r="O44" i="61"/>
  <c r="N44" i="61"/>
  <c r="M44" i="61"/>
  <c r="L44" i="61"/>
  <c r="K44" i="61"/>
  <c r="P43" i="61"/>
  <c r="O43" i="61"/>
  <c r="N43" i="61"/>
  <c r="M43" i="61"/>
  <c r="L43" i="61"/>
  <c r="K43" i="61"/>
  <c r="P42" i="61"/>
  <c r="O42" i="61"/>
  <c r="N42" i="61"/>
  <c r="M42" i="61"/>
  <c r="L42" i="61"/>
  <c r="K42" i="61"/>
  <c r="P41" i="61"/>
  <c r="O41" i="61"/>
  <c r="N41" i="61"/>
  <c r="M41" i="61"/>
  <c r="L41" i="61"/>
  <c r="K41" i="61"/>
  <c r="P40" i="61"/>
  <c r="O40" i="61"/>
  <c r="N40" i="61"/>
  <c r="M40" i="61"/>
  <c r="L40" i="61"/>
  <c r="K40" i="61"/>
  <c r="P39" i="61"/>
  <c r="O39" i="61"/>
  <c r="N39" i="61"/>
  <c r="M39" i="61"/>
  <c r="L39" i="61"/>
  <c r="K39" i="61"/>
  <c r="P38" i="61"/>
  <c r="O38" i="61"/>
  <c r="N38" i="61"/>
  <c r="M38" i="61"/>
  <c r="L38" i="61"/>
  <c r="K38" i="61"/>
  <c r="P37" i="61"/>
  <c r="O37" i="61"/>
  <c r="N37" i="61"/>
  <c r="M37" i="61"/>
  <c r="L37" i="61"/>
  <c r="K37" i="61"/>
  <c r="P36" i="61"/>
  <c r="O36" i="61"/>
  <c r="N36" i="61"/>
  <c r="M36" i="61"/>
  <c r="L36" i="61"/>
  <c r="K36" i="61"/>
  <c r="P35" i="61"/>
  <c r="O35" i="61"/>
  <c r="N35" i="61"/>
  <c r="M35" i="61"/>
  <c r="L35" i="61"/>
  <c r="K35" i="61"/>
  <c r="P34" i="61"/>
  <c r="O34" i="61"/>
  <c r="N34" i="61"/>
  <c r="M34" i="61"/>
  <c r="L34" i="61"/>
  <c r="K34" i="61"/>
  <c r="P33" i="61"/>
  <c r="O33" i="61"/>
  <c r="N33" i="61"/>
  <c r="M33" i="61"/>
  <c r="L33" i="61"/>
  <c r="K33" i="61"/>
  <c r="P32" i="61"/>
  <c r="O32" i="61"/>
  <c r="N32" i="61"/>
  <c r="M32" i="61"/>
  <c r="L32" i="61"/>
  <c r="K32" i="61"/>
  <c r="P31" i="61"/>
  <c r="O31" i="61"/>
  <c r="N31" i="61"/>
  <c r="M31" i="61"/>
  <c r="L31" i="61"/>
  <c r="K31" i="61"/>
  <c r="P30" i="61"/>
  <c r="O30" i="61"/>
  <c r="N30" i="61"/>
  <c r="M30" i="61"/>
  <c r="L30" i="61"/>
  <c r="K30" i="61"/>
  <c r="P29" i="61"/>
  <c r="O29" i="61"/>
  <c r="N29" i="61"/>
  <c r="M29" i="61"/>
  <c r="L29" i="61"/>
  <c r="K29" i="61"/>
  <c r="P28" i="61"/>
  <c r="O28" i="61"/>
  <c r="N28" i="61"/>
  <c r="M28" i="61"/>
  <c r="L28" i="61"/>
  <c r="K28" i="61"/>
  <c r="P27" i="61"/>
  <c r="O27" i="61"/>
  <c r="N27" i="61"/>
  <c r="M27" i="61"/>
  <c r="L27" i="61"/>
  <c r="K27" i="61"/>
  <c r="P26" i="61"/>
  <c r="O26" i="61"/>
  <c r="N26" i="61"/>
  <c r="M26" i="61"/>
  <c r="L26" i="61"/>
  <c r="K26" i="61"/>
  <c r="P25" i="61"/>
  <c r="O25" i="61"/>
  <c r="N25" i="61"/>
  <c r="M25" i="61"/>
  <c r="L25" i="61"/>
  <c r="K25" i="61"/>
  <c r="P24" i="61"/>
  <c r="O24" i="61"/>
  <c r="N24" i="61"/>
  <c r="M24" i="61"/>
  <c r="L24" i="61"/>
  <c r="K24" i="61"/>
  <c r="P23" i="61"/>
  <c r="O23" i="61"/>
  <c r="N23" i="61"/>
  <c r="M23" i="61"/>
  <c r="L23" i="61"/>
  <c r="K23" i="61"/>
  <c r="P22" i="61"/>
  <c r="O22" i="61"/>
  <c r="N22" i="61"/>
  <c r="M22" i="61"/>
  <c r="L22" i="61"/>
  <c r="K22" i="61"/>
  <c r="P21" i="61"/>
  <c r="O21" i="61"/>
  <c r="N21" i="61"/>
  <c r="M21" i="61"/>
  <c r="L21" i="61"/>
  <c r="K21" i="61"/>
  <c r="P20" i="61"/>
  <c r="O20" i="61"/>
  <c r="N20" i="61"/>
  <c r="M20" i="61"/>
  <c r="L20" i="61"/>
  <c r="K20" i="61"/>
  <c r="P19" i="61"/>
  <c r="O19" i="61"/>
  <c r="N19" i="61"/>
  <c r="M19" i="61"/>
  <c r="L19" i="61"/>
  <c r="K19" i="61"/>
  <c r="P18" i="61"/>
  <c r="O18" i="61"/>
  <c r="N18" i="61"/>
  <c r="M18" i="61"/>
  <c r="L18" i="61"/>
  <c r="K18" i="61"/>
  <c r="P17" i="61"/>
  <c r="O17" i="61"/>
  <c r="N17" i="61"/>
  <c r="M17" i="61"/>
  <c r="L17" i="61"/>
  <c r="K17" i="61"/>
  <c r="P16" i="61"/>
  <c r="O16" i="61"/>
  <c r="N16" i="61"/>
  <c r="M16" i="61"/>
  <c r="L16" i="61"/>
  <c r="K16" i="61"/>
  <c r="P15" i="61"/>
  <c r="O15" i="61"/>
  <c r="N15" i="61"/>
  <c r="M15" i="61"/>
  <c r="L15" i="61"/>
  <c r="K15" i="61"/>
  <c r="P14" i="61"/>
  <c r="O14" i="61"/>
  <c r="N14" i="61"/>
  <c r="M14" i="61"/>
  <c r="L14" i="61"/>
  <c r="K14" i="61"/>
  <c r="P13" i="61"/>
  <c r="O13" i="61"/>
  <c r="N13" i="61"/>
  <c r="M13" i="61"/>
  <c r="L13" i="61"/>
  <c r="K13" i="61"/>
  <c r="P12" i="61"/>
  <c r="O12" i="61"/>
  <c r="N12" i="61"/>
  <c r="M12" i="61"/>
  <c r="L12" i="61"/>
  <c r="K12" i="61"/>
  <c r="P11" i="61"/>
  <c r="O11" i="61"/>
  <c r="N11" i="61"/>
  <c r="M11" i="61"/>
  <c r="L11" i="61"/>
  <c r="K11" i="61"/>
  <c r="P10" i="61"/>
  <c r="O10" i="61"/>
  <c r="N10" i="61"/>
  <c r="M10" i="61"/>
  <c r="L10" i="61"/>
  <c r="K10" i="61"/>
  <c r="P9" i="61"/>
  <c r="O9" i="61"/>
  <c r="N9" i="61"/>
  <c r="M9" i="61"/>
  <c r="L9" i="61"/>
  <c r="K9" i="61"/>
  <c r="P8" i="61"/>
  <c r="O8" i="61"/>
  <c r="N8" i="61"/>
  <c r="M8" i="61"/>
  <c r="L8" i="61"/>
  <c r="K8" i="61"/>
  <c r="P7" i="61"/>
  <c r="O7" i="61"/>
  <c r="N7" i="61"/>
  <c r="M7" i="61"/>
  <c r="L7" i="61"/>
  <c r="K7" i="61"/>
  <c r="P6" i="61"/>
  <c r="O6" i="61"/>
  <c r="N6" i="61"/>
  <c r="M6" i="61"/>
  <c r="L6" i="61"/>
  <c r="K6" i="61"/>
  <c r="P5" i="61"/>
  <c r="O5" i="61"/>
  <c r="N5" i="61"/>
  <c r="M5" i="61"/>
  <c r="L5" i="61"/>
  <c r="K5" i="61"/>
  <c r="P4" i="61"/>
  <c r="O4" i="61"/>
  <c r="N4" i="61"/>
  <c r="M4" i="61"/>
  <c r="L4" i="61"/>
  <c r="K4" i="61"/>
  <c r="P3" i="61"/>
  <c r="O3" i="61"/>
  <c r="N3" i="61"/>
  <c r="M3" i="61"/>
  <c r="L3" i="61"/>
  <c r="K3" i="61"/>
  <c r="P2" i="61"/>
  <c r="O2" i="61"/>
  <c r="N2" i="61"/>
  <c r="M2" i="61"/>
  <c r="L2" i="61"/>
  <c r="K2" i="61"/>
  <c r="C9" i="16"/>
  <c r="C8" i="16"/>
  <c r="W181" i="62"/>
  <c r="W180" i="62"/>
  <c r="W182" i="62" l="1"/>
  <c r="W140" i="64" l="1"/>
  <c r="P140" i="64"/>
  <c r="T140" i="64" s="1"/>
  <c r="W139" i="64"/>
  <c r="P139" i="64"/>
  <c r="T139" i="64" s="1"/>
  <c r="W138" i="64"/>
  <c r="P138" i="64"/>
  <c r="T138" i="64" s="1"/>
  <c r="W137" i="64"/>
  <c r="P137" i="64"/>
  <c r="T137" i="64" s="1"/>
  <c r="W135" i="64"/>
  <c r="P135" i="64"/>
  <c r="T135" i="64" s="1"/>
  <c r="W134" i="64"/>
  <c r="P134" i="64"/>
  <c r="T134" i="64" s="1"/>
  <c r="H445" i="61"/>
  <c r="G28" i="65" l="1"/>
  <c r="H28" i="65" s="1"/>
  <c r="W133" i="64"/>
  <c r="P133" i="64"/>
  <c r="T133" i="64" s="1"/>
  <c r="W132" i="64"/>
  <c r="P132" i="64"/>
  <c r="T132" i="64" s="1"/>
  <c r="K3" i="64"/>
  <c r="J3" i="64"/>
  <c r="I3" i="64"/>
  <c r="E3" i="64"/>
  <c r="G27" i="65"/>
  <c r="H27" i="65" s="1"/>
  <c r="G26" i="65"/>
  <c r="H26" i="65" s="1"/>
  <c r="G25" i="65"/>
  <c r="H25" i="65" s="1"/>
  <c r="G24" i="65"/>
  <c r="H24" i="65" s="1"/>
  <c r="G23" i="65"/>
  <c r="H23" i="65" s="1"/>
  <c r="G3" i="64"/>
  <c r="F3" i="64"/>
  <c r="W59" i="64" l="1"/>
  <c r="P59" i="64"/>
  <c r="T59" i="64" s="1"/>
  <c r="B59" i="64"/>
  <c r="A59" i="64" s="1"/>
  <c r="H3" i="62"/>
  <c r="G3" i="62"/>
  <c r="W179" i="62"/>
  <c r="P11" i="64" l="1"/>
  <c r="W131" i="64"/>
  <c r="P131" i="64"/>
  <c r="T131" i="64" s="1"/>
  <c r="W130" i="64"/>
  <c r="P130" i="64"/>
  <c r="T130" i="64" s="1"/>
  <c r="G22" i="65"/>
  <c r="H22" i="65" s="1"/>
  <c r="G21" i="65"/>
  <c r="H21" i="65" s="1"/>
  <c r="G20" i="65"/>
  <c r="H20" i="65" s="1"/>
  <c r="G19" i="65"/>
  <c r="H19" i="65" s="1"/>
  <c r="G18" i="65"/>
  <c r="H18" i="65" s="1"/>
  <c r="G17" i="65"/>
  <c r="H17" i="65" s="1"/>
  <c r="G16" i="65"/>
  <c r="G15" i="65"/>
  <c r="G14" i="65"/>
  <c r="G13" i="65"/>
  <c r="G12" i="65"/>
  <c r="G11" i="65"/>
  <c r="G10" i="65"/>
  <c r="G9" i="65"/>
  <c r="G8" i="65"/>
  <c r="G7" i="65"/>
  <c r="G6" i="65"/>
  <c r="G5" i="65"/>
  <c r="G4" i="65"/>
  <c r="G3" i="65"/>
  <c r="G2" i="65"/>
  <c r="G5000" i="59"/>
  <c r="G4999" i="59"/>
  <c r="G4998" i="59"/>
  <c r="G4997" i="59"/>
  <c r="G4996" i="59"/>
  <c r="G4995" i="59"/>
  <c r="G4994" i="59"/>
  <c r="G4993" i="59"/>
  <c r="G4992" i="59"/>
  <c r="G4991" i="59"/>
  <c r="G4990" i="59"/>
  <c r="G4989" i="59"/>
  <c r="G4988" i="59"/>
  <c r="G4987" i="59"/>
  <c r="G4986" i="59"/>
  <c r="G4985" i="59"/>
  <c r="G4984" i="59"/>
  <c r="G4983" i="59"/>
  <c r="G4982" i="59"/>
  <c r="G4981" i="59"/>
  <c r="G4980" i="59"/>
  <c r="G4979" i="59"/>
  <c r="G4978" i="59"/>
  <c r="G4977" i="59"/>
  <c r="G4976" i="59"/>
  <c r="G4975" i="59"/>
  <c r="G4974" i="59"/>
  <c r="G4973" i="59"/>
  <c r="G4972" i="59"/>
  <c r="G4971" i="59"/>
  <c r="G4970" i="59"/>
  <c r="G4969" i="59"/>
  <c r="G4968" i="59"/>
  <c r="G4967" i="59"/>
  <c r="G4966" i="59"/>
  <c r="G4965" i="59"/>
  <c r="G4964" i="59"/>
  <c r="G4963" i="59"/>
  <c r="G4962" i="59"/>
  <c r="G4961" i="59"/>
  <c r="G4960" i="59"/>
  <c r="G4959" i="59"/>
  <c r="G4958" i="59"/>
  <c r="G4957" i="59"/>
  <c r="G4956" i="59"/>
  <c r="G4955" i="59"/>
  <c r="G4954" i="59"/>
  <c r="G4953" i="59"/>
  <c r="G4952" i="59"/>
  <c r="G4951" i="59"/>
  <c r="G4950" i="59"/>
  <c r="G4949" i="59"/>
  <c r="G4948" i="59"/>
  <c r="G4947" i="59"/>
  <c r="G4946" i="59"/>
  <c r="G4945" i="59"/>
  <c r="G4944" i="59"/>
  <c r="G4943" i="59"/>
  <c r="G4942" i="59"/>
  <c r="G4941" i="59"/>
  <c r="G4940" i="59"/>
  <c r="G4939" i="59"/>
  <c r="G4938" i="59"/>
  <c r="G4937" i="59"/>
  <c r="G4936" i="59"/>
  <c r="G4935" i="59"/>
  <c r="G4934" i="59"/>
  <c r="G4933" i="59"/>
  <c r="G4932" i="59"/>
  <c r="G4931" i="59"/>
  <c r="G4930" i="59"/>
  <c r="G4929" i="59"/>
  <c r="G4928" i="59"/>
  <c r="G4927" i="59"/>
  <c r="G4926" i="59"/>
  <c r="G4925" i="59"/>
  <c r="G4924" i="59"/>
  <c r="G4923" i="59"/>
  <c r="G4922" i="59"/>
  <c r="G4921" i="59"/>
  <c r="G4920" i="59"/>
  <c r="G4919" i="59"/>
  <c r="G4918" i="59"/>
  <c r="G4917" i="59"/>
  <c r="G4916" i="59"/>
  <c r="G4915" i="59"/>
  <c r="G4914" i="59"/>
  <c r="G4913" i="59"/>
  <c r="G4912" i="59"/>
  <c r="G4911" i="59"/>
  <c r="G4910" i="59"/>
  <c r="G4909" i="59"/>
  <c r="G4908" i="59"/>
  <c r="G4907" i="59"/>
  <c r="G4906" i="59"/>
  <c r="G4905" i="59"/>
  <c r="G4904" i="59"/>
  <c r="G4903" i="59"/>
  <c r="G4902" i="59"/>
  <c r="G4901" i="59"/>
  <c r="G4900" i="59"/>
  <c r="G4899" i="59"/>
  <c r="G4898" i="59"/>
  <c r="G4897" i="59"/>
  <c r="G4896" i="59"/>
  <c r="G4895" i="59"/>
  <c r="G4894" i="59"/>
  <c r="G4893" i="59"/>
  <c r="G4892" i="59"/>
  <c r="G4891" i="59"/>
  <c r="G4890" i="59"/>
  <c r="G4889" i="59"/>
  <c r="G4888" i="59"/>
  <c r="G4887" i="59"/>
  <c r="G4886" i="59"/>
  <c r="G4885" i="59"/>
  <c r="G4884" i="59"/>
  <c r="G4883" i="59"/>
  <c r="G4882" i="59"/>
  <c r="G4881" i="59"/>
  <c r="G4880" i="59"/>
  <c r="G4879" i="59"/>
  <c r="G4878" i="59"/>
  <c r="G4877" i="59"/>
  <c r="G4876" i="59"/>
  <c r="G4875" i="59"/>
  <c r="G4874" i="59"/>
  <c r="G4873" i="59"/>
  <c r="G4872" i="59"/>
  <c r="G4871" i="59"/>
  <c r="G4870" i="59"/>
  <c r="G4869" i="59"/>
  <c r="G4868" i="59"/>
  <c r="G4867" i="59"/>
  <c r="G4866" i="59"/>
  <c r="G4865" i="59"/>
  <c r="G4864" i="59"/>
  <c r="G4863" i="59"/>
  <c r="G4862" i="59"/>
  <c r="G4861" i="59"/>
  <c r="G4860" i="59"/>
  <c r="G4859" i="59"/>
  <c r="G4858" i="59"/>
  <c r="G4857" i="59"/>
  <c r="G4856" i="59"/>
  <c r="G4855" i="59"/>
  <c r="G4854" i="59"/>
  <c r="G4853" i="59"/>
  <c r="G4852" i="59"/>
  <c r="G4851" i="59"/>
  <c r="G4850" i="59"/>
  <c r="G4849" i="59"/>
  <c r="G4848" i="59"/>
  <c r="G4847" i="59"/>
  <c r="G4846" i="59"/>
  <c r="G4845" i="59"/>
  <c r="G4844" i="59"/>
  <c r="G4843" i="59"/>
  <c r="G4842" i="59"/>
  <c r="G4841" i="59"/>
  <c r="G4840" i="59"/>
  <c r="G4839" i="59"/>
  <c r="G4838" i="59"/>
  <c r="G4837" i="59"/>
  <c r="G4836" i="59"/>
  <c r="G4835" i="59"/>
  <c r="G4834" i="59"/>
  <c r="G4833" i="59"/>
  <c r="G4832" i="59"/>
  <c r="G4831" i="59"/>
  <c r="G4830" i="59"/>
  <c r="G4829" i="59"/>
  <c r="G4828" i="59"/>
  <c r="G4827" i="59"/>
  <c r="G4826" i="59"/>
  <c r="G4825" i="59"/>
  <c r="G4824" i="59"/>
  <c r="G4823" i="59"/>
  <c r="G4822" i="59"/>
  <c r="G4821" i="59"/>
  <c r="G4820" i="59"/>
  <c r="G4819" i="59"/>
  <c r="G4818" i="59"/>
  <c r="G4817" i="59"/>
  <c r="G4816" i="59"/>
  <c r="G4815" i="59"/>
  <c r="G4814" i="59"/>
  <c r="G4813" i="59"/>
  <c r="G4812" i="59"/>
  <c r="G4811" i="59"/>
  <c r="G4810" i="59"/>
  <c r="G4809" i="59"/>
  <c r="G4808" i="59"/>
  <c r="G4807" i="59"/>
  <c r="G4806" i="59"/>
  <c r="G4805" i="59"/>
  <c r="G4804" i="59"/>
  <c r="G4803" i="59"/>
  <c r="G4802" i="59"/>
  <c r="G4801" i="59"/>
  <c r="G4800" i="59"/>
  <c r="G4799" i="59"/>
  <c r="G4798" i="59"/>
  <c r="G4797" i="59"/>
  <c r="G4796" i="59"/>
  <c r="G4795" i="59"/>
  <c r="G4794" i="59"/>
  <c r="G4793" i="59"/>
  <c r="G4792" i="59"/>
  <c r="G4791" i="59"/>
  <c r="G4790" i="59"/>
  <c r="G4789" i="59"/>
  <c r="G4788" i="59"/>
  <c r="G4787" i="59"/>
  <c r="G4786" i="59"/>
  <c r="G4785" i="59"/>
  <c r="G4784" i="59"/>
  <c r="G4783" i="59"/>
  <c r="G4782" i="59"/>
  <c r="G4781" i="59"/>
  <c r="G4780" i="59"/>
  <c r="G4779" i="59"/>
  <c r="G4778" i="59"/>
  <c r="G4777" i="59"/>
  <c r="G4776" i="59"/>
  <c r="G4775" i="59"/>
  <c r="G4774" i="59"/>
  <c r="G4773" i="59"/>
  <c r="G4772" i="59"/>
  <c r="G4771" i="59"/>
  <c r="G4770" i="59"/>
  <c r="G4769" i="59"/>
  <c r="G4768" i="59"/>
  <c r="G4767" i="59"/>
  <c r="G4766" i="59"/>
  <c r="G4765" i="59"/>
  <c r="G4764" i="59"/>
  <c r="G4763" i="59"/>
  <c r="G4762" i="59"/>
  <c r="G4761" i="59"/>
  <c r="G4760" i="59"/>
  <c r="G4759" i="59"/>
  <c r="G4758" i="59"/>
  <c r="G4757" i="59"/>
  <c r="G4756" i="59"/>
  <c r="G4755" i="59"/>
  <c r="G4754" i="59"/>
  <c r="G4753" i="59"/>
  <c r="G4752" i="59"/>
  <c r="G4751" i="59"/>
  <c r="G4750" i="59"/>
  <c r="G4749" i="59"/>
  <c r="G4748" i="59"/>
  <c r="G4747" i="59"/>
  <c r="G4746" i="59"/>
  <c r="G4745" i="59"/>
  <c r="G4744" i="59"/>
  <c r="G4743" i="59"/>
  <c r="G4742" i="59"/>
  <c r="G4741" i="59"/>
  <c r="G4740" i="59"/>
  <c r="G4739" i="59"/>
  <c r="G4738" i="59"/>
  <c r="G4737" i="59"/>
  <c r="G4736" i="59"/>
  <c r="G4735" i="59"/>
  <c r="G4734" i="59"/>
  <c r="G4733" i="59"/>
  <c r="G4732" i="59"/>
  <c r="G4731" i="59"/>
  <c r="G4730" i="59"/>
  <c r="G4729" i="59"/>
  <c r="G4728" i="59"/>
  <c r="G4727" i="59"/>
  <c r="G4726" i="59"/>
  <c r="G4725" i="59"/>
  <c r="G4724" i="59"/>
  <c r="G4723" i="59"/>
  <c r="G4722" i="59"/>
  <c r="G4721" i="59"/>
  <c r="G4720" i="59"/>
  <c r="G4719" i="59"/>
  <c r="G4718" i="59"/>
  <c r="G4717" i="59"/>
  <c r="G4716" i="59"/>
  <c r="G4715" i="59"/>
  <c r="G4714" i="59"/>
  <c r="G4713" i="59"/>
  <c r="G4712" i="59"/>
  <c r="G4711" i="59"/>
  <c r="G4710" i="59"/>
  <c r="G4709" i="59"/>
  <c r="G4708" i="59"/>
  <c r="G4707" i="59"/>
  <c r="G4706" i="59"/>
  <c r="G4705" i="59"/>
  <c r="G4704" i="59"/>
  <c r="G4703" i="59"/>
  <c r="G4702" i="59"/>
  <c r="G4701" i="59"/>
  <c r="G4700" i="59"/>
  <c r="G4699" i="59"/>
  <c r="G4698" i="59"/>
  <c r="G4697" i="59"/>
  <c r="G4696" i="59"/>
  <c r="G4695" i="59"/>
  <c r="G4694" i="59"/>
  <c r="G4693" i="59"/>
  <c r="G4692" i="59"/>
  <c r="G4691" i="59"/>
  <c r="G4690" i="59"/>
  <c r="G4689" i="59"/>
  <c r="G4688" i="59"/>
  <c r="G4687" i="59"/>
  <c r="G4686" i="59"/>
  <c r="G4685" i="59"/>
  <c r="G4684" i="59"/>
  <c r="G4683" i="59"/>
  <c r="G4682" i="59"/>
  <c r="G4681" i="59"/>
  <c r="G4680" i="59"/>
  <c r="G4679" i="59"/>
  <c r="G4678" i="59"/>
  <c r="G4677" i="59"/>
  <c r="G4676" i="59"/>
  <c r="G4675" i="59"/>
  <c r="G4674" i="59"/>
  <c r="G4673" i="59"/>
  <c r="G4672" i="59"/>
  <c r="G4671" i="59"/>
  <c r="G4670" i="59"/>
  <c r="G4669" i="59"/>
  <c r="G4668" i="59"/>
  <c r="G4667" i="59"/>
  <c r="G4666" i="59"/>
  <c r="G4665" i="59"/>
  <c r="G4664" i="59"/>
  <c r="G4663" i="59"/>
  <c r="G4662" i="59"/>
  <c r="G4661" i="59"/>
  <c r="G4660" i="59"/>
  <c r="G4659" i="59"/>
  <c r="G4658" i="59"/>
  <c r="G4657" i="59"/>
  <c r="G4656" i="59"/>
  <c r="G4655" i="59"/>
  <c r="G4654" i="59"/>
  <c r="G4653" i="59"/>
  <c r="G4652" i="59"/>
  <c r="G4651" i="59"/>
  <c r="G4650" i="59"/>
  <c r="G4649" i="59"/>
  <c r="G4648" i="59"/>
  <c r="G4647" i="59"/>
  <c r="G4646" i="59"/>
  <c r="G4645" i="59"/>
  <c r="G4644" i="59"/>
  <c r="G4643" i="59"/>
  <c r="G4642" i="59"/>
  <c r="G4641" i="59"/>
  <c r="G4640" i="59"/>
  <c r="G4639" i="59"/>
  <c r="G4638" i="59"/>
  <c r="G4637" i="59"/>
  <c r="G4636" i="59"/>
  <c r="G4635" i="59"/>
  <c r="G4634" i="59"/>
  <c r="G4633" i="59"/>
  <c r="G4632" i="59"/>
  <c r="G4631" i="59"/>
  <c r="G4630" i="59"/>
  <c r="G4629" i="59"/>
  <c r="G4628" i="59"/>
  <c r="G4627" i="59"/>
  <c r="G4626" i="59"/>
  <c r="G4625" i="59"/>
  <c r="G4624" i="59"/>
  <c r="G4623" i="59"/>
  <c r="G4622" i="59"/>
  <c r="G4621" i="59"/>
  <c r="G4620" i="59"/>
  <c r="G4619" i="59"/>
  <c r="G4618" i="59"/>
  <c r="G4617" i="59"/>
  <c r="G4616" i="59"/>
  <c r="G4615" i="59"/>
  <c r="G4614" i="59"/>
  <c r="G4613" i="59"/>
  <c r="G4612" i="59"/>
  <c r="G4611" i="59"/>
  <c r="G4610" i="59"/>
  <c r="G4609" i="59"/>
  <c r="G4608" i="59"/>
  <c r="G4607" i="59"/>
  <c r="G4606" i="59"/>
  <c r="G4605" i="59"/>
  <c r="G4604" i="59"/>
  <c r="G4603" i="59"/>
  <c r="G4602" i="59"/>
  <c r="G4601" i="59"/>
  <c r="G4600" i="59"/>
  <c r="G4599" i="59"/>
  <c r="G4598" i="59"/>
  <c r="G4597" i="59"/>
  <c r="G4596" i="59"/>
  <c r="G4595" i="59"/>
  <c r="G4594" i="59"/>
  <c r="G4593" i="59"/>
  <c r="G4592" i="59"/>
  <c r="G4591" i="59"/>
  <c r="G4590" i="59"/>
  <c r="G4589" i="59"/>
  <c r="G4588" i="59"/>
  <c r="G4587" i="59"/>
  <c r="G4586" i="59"/>
  <c r="G4585" i="59"/>
  <c r="G4584" i="59"/>
  <c r="G4583" i="59"/>
  <c r="G4582" i="59"/>
  <c r="G4581" i="59"/>
  <c r="G4580" i="59"/>
  <c r="G4579" i="59"/>
  <c r="G4578" i="59"/>
  <c r="G4577" i="59"/>
  <c r="G4576" i="59"/>
  <c r="G4575" i="59"/>
  <c r="G4574" i="59"/>
  <c r="G4573" i="59"/>
  <c r="G4572" i="59"/>
  <c r="G4571" i="59"/>
  <c r="G4570" i="59"/>
  <c r="G4569" i="59"/>
  <c r="G4568" i="59"/>
  <c r="G4567" i="59"/>
  <c r="G4566" i="59"/>
  <c r="G4565" i="59"/>
  <c r="G4564" i="59"/>
  <c r="G4563" i="59"/>
  <c r="G4562" i="59"/>
  <c r="G4561" i="59"/>
  <c r="G4560" i="59"/>
  <c r="G4559" i="59"/>
  <c r="G4558" i="59"/>
  <c r="G4557" i="59"/>
  <c r="G4556" i="59"/>
  <c r="G4555" i="59"/>
  <c r="G4554" i="59"/>
  <c r="G4553" i="59"/>
  <c r="G4552" i="59"/>
  <c r="G4551" i="59"/>
  <c r="G4550" i="59"/>
  <c r="G4549" i="59"/>
  <c r="G4548" i="59"/>
  <c r="G4547" i="59"/>
  <c r="G4546" i="59"/>
  <c r="G4545" i="59"/>
  <c r="G4544" i="59"/>
  <c r="G4543" i="59"/>
  <c r="G4542" i="59"/>
  <c r="G4541" i="59"/>
  <c r="G4540" i="59"/>
  <c r="G4539" i="59"/>
  <c r="G4538" i="59"/>
  <c r="G4537" i="59"/>
  <c r="G4536" i="59"/>
  <c r="G4535" i="59"/>
  <c r="G4534" i="59"/>
  <c r="G4533" i="59"/>
  <c r="G4532" i="59"/>
  <c r="G4531" i="59"/>
  <c r="G4530" i="59"/>
  <c r="G4529" i="59"/>
  <c r="G4528" i="59"/>
  <c r="G4527" i="59"/>
  <c r="G4526" i="59"/>
  <c r="G4525" i="59"/>
  <c r="G4524" i="59"/>
  <c r="G4523" i="59"/>
  <c r="G4522" i="59"/>
  <c r="G4521" i="59"/>
  <c r="G4520" i="59"/>
  <c r="G4519" i="59"/>
  <c r="G4518" i="59"/>
  <c r="G4517" i="59"/>
  <c r="G4516" i="59"/>
  <c r="G4515" i="59"/>
  <c r="G4514" i="59"/>
  <c r="G4513" i="59"/>
  <c r="G4512" i="59"/>
  <c r="G4511" i="59"/>
  <c r="G4510" i="59"/>
  <c r="G4509" i="59"/>
  <c r="G4508" i="59"/>
  <c r="G4507" i="59"/>
  <c r="G4506" i="59"/>
  <c r="G4505" i="59"/>
  <c r="G4504" i="59"/>
  <c r="G4503" i="59"/>
  <c r="G4502" i="59"/>
  <c r="G4501" i="59"/>
  <c r="G4500" i="59"/>
  <c r="G4499" i="59"/>
  <c r="G4498" i="59"/>
  <c r="G4497" i="59"/>
  <c r="G4496" i="59"/>
  <c r="G4495" i="59"/>
  <c r="G4494" i="59"/>
  <c r="G4493" i="59"/>
  <c r="G4492" i="59"/>
  <c r="G4491" i="59"/>
  <c r="G4490" i="59"/>
  <c r="G4489" i="59"/>
  <c r="G4488" i="59"/>
  <c r="G4487" i="59"/>
  <c r="G4486" i="59"/>
  <c r="G4485" i="59"/>
  <c r="G4484" i="59"/>
  <c r="G4483" i="59"/>
  <c r="G4482" i="59"/>
  <c r="G4481" i="59"/>
  <c r="G4480" i="59"/>
  <c r="G4479" i="59"/>
  <c r="G4478" i="59"/>
  <c r="G4477" i="59"/>
  <c r="G4476" i="59"/>
  <c r="G4475" i="59"/>
  <c r="G4474" i="59"/>
  <c r="G4473" i="59"/>
  <c r="G4472" i="59"/>
  <c r="G4471" i="59"/>
  <c r="G4470" i="59"/>
  <c r="G4469" i="59"/>
  <c r="G4468" i="59"/>
  <c r="G4467" i="59"/>
  <c r="G4466" i="59"/>
  <c r="G4465" i="59"/>
  <c r="G4464" i="59"/>
  <c r="G4463" i="59"/>
  <c r="G4462" i="59"/>
  <c r="G4461" i="59"/>
  <c r="G4460" i="59"/>
  <c r="G4459" i="59"/>
  <c r="G4458" i="59"/>
  <c r="G4457" i="59"/>
  <c r="G4456" i="59"/>
  <c r="G4455" i="59"/>
  <c r="G4454" i="59"/>
  <c r="G4453" i="59"/>
  <c r="G4452" i="59"/>
  <c r="G4451" i="59"/>
  <c r="G4450" i="59"/>
  <c r="G4449" i="59"/>
  <c r="G4448" i="59"/>
  <c r="G4447" i="59"/>
  <c r="G4446" i="59"/>
  <c r="G4445" i="59"/>
  <c r="G4444" i="59"/>
  <c r="G4443" i="59"/>
  <c r="G4442" i="59"/>
  <c r="G4441" i="59"/>
  <c r="G4440" i="59"/>
  <c r="G4439" i="59"/>
  <c r="G4438" i="59"/>
  <c r="G4437" i="59"/>
  <c r="G4436" i="59"/>
  <c r="G4435" i="59"/>
  <c r="G4434" i="59"/>
  <c r="G4433" i="59"/>
  <c r="G4432" i="59"/>
  <c r="G4431" i="59"/>
  <c r="G4430" i="59"/>
  <c r="G4429" i="59"/>
  <c r="G4428" i="59"/>
  <c r="G4427" i="59"/>
  <c r="G4426" i="59"/>
  <c r="G4425" i="59"/>
  <c r="G4424" i="59"/>
  <c r="G4423" i="59"/>
  <c r="G4422" i="59"/>
  <c r="G4421" i="59"/>
  <c r="G4420" i="59"/>
  <c r="G4419" i="59"/>
  <c r="G4418" i="59"/>
  <c r="G4417" i="59"/>
  <c r="G4416" i="59"/>
  <c r="G4415" i="59"/>
  <c r="G4414" i="59"/>
  <c r="G4413" i="59"/>
  <c r="G4412" i="59"/>
  <c r="G4411" i="59"/>
  <c r="G4410" i="59"/>
  <c r="G4409" i="59"/>
  <c r="G4408" i="59"/>
  <c r="G4407" i="59"/>
  <c r="G4406" i="59"/>
  <c r="G4405" i="59"/>
  <c r="G4404" i="59"/>
  <c r="G4403" i="59"/>
  <c r="G4402" i="59"/>
  <c r="G4401" i="59"/>
  <c r="G4400" i="59"/>
  <c r="G4399" i="59"/>
  <c r="G4398" i="59"/>
  <c r="G4397" i="59"/>
  <c r="G4396" i="59"/>
  <c r="G4395" i="59"/>
  <c r="G4394" i="59"/>
  <c r="G4393" i="59"/>
  <c r="G4392" i="59"/>
  <c r="G4391" i="59"/>
  <c r="G4390" i="59"/>
  <c r="G4389" i="59"/>
  <c r="G4388" i="59"/>
  <c r="G4387" i="59"/>
  <c r="G4386" i="59"/>
  <c r="G4385" i="59"/>
  <c r="G4384" i="59"/>
  <c r="G4383" i="59"/>
  <c r="G4382" i="59"/>
  <c r="G4381" i="59"/>
  <c r="G4380" i="59"/>
  <c r="G4379" i="59"/>
  <c r="G4378" i="59"/>
  <c r="G4377" i="59"/>
  <c r="G4376" i="59"/>
  <c r="G4375" i="59"/>
  <c r="G4374" i="59"/>
  <c r="G4373" i="59"/>
  <c r="G4372" i="59"/>
  <c r="G4371" i="59"/>
  <c r="G4370" i="59"/>
  <c r="G4369" i="59"/>
  <c r="G4368" i="59"/>
  <c r="G4367" i="59"/>
  <c r="G4366" i="59"/>
  <c r="G4365" i="59"/>
  <c r="G4364" i="59"/>
  <c r="G4363" i="59"/>
  <c r="G4362" i="59"/>
  <c r="G4361" i="59"/>
  <c r="G4360" i="59"/>
  <c r="G4359" i="59"/>
  <c r="G4358" i="59"/>
  <c r="G4357" i="59"/>
  <c r="G4356" i="59"/>
  <c r="G4355" i="59"/>
  <c r="G4354" i="59"/>
  <c r="G4353" i="59"/>
  <c r="G4352" i="59"/>
  <c r="G4351" i="59"/>
  <c r="G4350" i="59"/>
  <c r="G4349" i="59"/>
  <c r="G4348" i="59"/>
  <c r="G4347" i="59"/>
  <c r="G4346" i="59"/>
  <c r="G4345" i="59"/>
  <c r="G4344" i="59"/>
  <c r="G4343" i="59"/>
  <c r="G4342" i="59"/>
  <c r="G4341" i="59"/>
  <c r="G4340" i="59"/>
  <c r="G4339" i="59"/>
  <c r="G4338" i="59"/>
  <c r="G4337" i="59"/>
  <c r="G4336" i="59"/>
  <c r="G4335" i="59"/>
  <c r="G4334" i="59"/>
  <c r="G4333" i="59"/>
  <c r="G4332" i="59"/>
  <c r="G4331" i="59"/>
  <c r="G4330" i="59"/>
  <c r="G4329" i="59"/>
  <c r="G4328" i="59"/>
  <c r="G4327" i="59"/>
  <c r="G4326" i="59"/>
  <c r="G4325" i="59"/>
  <c r="G4324" i="59"/>
  <c r="G4323" i="59"/>
  <c r="G4322" i="59"/>
  <c r="G4321" i="59"/>
  <c r="G4320" i="59"/>
  <c r="G4319" i="59"/>
  <c r="G4318" i="59"/>
  <c r="G4317" i="59"/>
  <c r="G4316" i="59"/>
  <c r="G4315" i="59"/>
  <c r="G4314" i="59"/>
  <c r="G4313" i="59"/>
  <c r="G4312" i="59"/>
  <c r="G4311" i="59"/>
  <c r="G4310" i="59"/>
  <c r="G4309" i="59"/>
  <c r="G4308" i="59"/>
  <c r="G4307" i="59"/>
  <c r="G4306" i="59"/>
  <c r="G4305" i="59"/>
  <c r="G4304" i="59"/>
  <c r="G4303" i="59"/>
  <c r="G4302" i="59"/>
  <c r="G4301" i="59"/>
  <c r="G4300" i="59"/>
  <c r="G4299" i="59"/>
  <c r="G4298" i="59"/>
  <c r="G4297" i="59"/>
  <c r="G4296" i="59"/>
  <c r="G4295" i="59"/>
  <c r="G4294" i="59"/>
  <c r="G4293" i="59"/>
  <c r="G4292" i="59"/>
  <c r="G4291" i="59"/>
  <c r="G4290" i="59"/>
  <c r="G4289" i="59"/>
  <c r="G4288" i="59"/>
  <c r="G4287" i="59"/>
  <c r="G4286" i="59"/>
  <c r="G4285" i="59"/>
  <c r="G4284" i="59"/>
  <c r="G4283" i="59"/>
  <c r="G4282" i="59"/>
  <c r="G4281" i="59"/>
  <c r="G4280" i="59"/>
  <c r="G4279" i="59"/>
  <c r="G4278" i="59"/>
  <c r="G4277" i="59"/>
  <c r="G4276" i="59"/>
  <c r="G4275" i="59"/>
  <c r="G4274" i="59"/>
  <c r="G4273" i="59"/>
  <c r="G4272" i="59"/>
  <c r="G4271" i="59"/>
  <c r="G4270" i="59"/>
  <c r="G4269" i="59"/>
  <c r="G4268" i="59"/>
  <c r="G4267" i="59"/>
  <c r="G4266" i="59"/>
  <c r="G4265" i="59"/>
  <c r="G4264" i="59"/>
  <c r="G4263" i="59"/>
  <c r="G4262" i="59"/>
  <c r="G4261" i="59"/>
  <c r="G4260" i="59"/>
  <c r="G4259" i="59"/>
  <c r="G4258" i="59"/>
  <c r="G4257" i="59"/>
  <c r="G4256" i="59"/>
  <c r="G4255" i="59"/>
  <c r="G4254" i="59"/>
  <c r="G4253" i="59"/>
  <c r="G4252" i="59"/>
  <c r="G4251" i="59"/>
  <c r="G4250" i="59"/>
  <c r="G4249" i="59"/>
  <c r="G4248" i="59"/>
  <c r="G4247" i="59"/>
  <c r="G4246" i="59"/>
  <c r="G4245" i="59"/>
  <c r="G4244" i="59"/>
  <c r="G4243" i="59"/>
  <c r="G4242" i="59"/>
  <c r="G4241" i="59"/>
  <c r="G4240" i="59"/>
  <c r="G4239" i="59"/>
  <c r="G4238" i="59"/>
  <c r="G4237" i="59"/>
  <c r="G4236" i="59"/>
  <c r="G4235" i="59"/>
  <c r="G4234" i="59"/>
  <c r="G4233" i="59"/>
  <c r="G4232" i="59"/>
  <c r="G4231" i="59"/>
  <c r="G4230" i="59"/>
  <c r="G4229" i="59"/>
  <c r="G4228" i="59"/>
  <c r="G4227" i="59"/>
  <c r="G4226" i="59"/>
  <c r="G4225" i="59"/>
  <c r="G4224" i="59"/>
  <c r="G4223" i="59"/>
  <c r="G4222" i="59"/>
  <c r="G4221" i="59"/>
  <c r="G4220" i="59"/>
  <c r="G4219" i="59"/>
  <c r="G4218" i="59"/>
  <c r="G4217" i="59"/>
  <c r="G4216" i="59"/>
  <c r="G4215" i="59"/>
  <c r="G4214" i="59"/>
  <c r="G4213" i="59"/>
  <c r="G4212" i="59"/>
  <c r="G4211" i="59"/>
  <c r="G4210" i="59"/>
  <c r="G4209" i="59"/>
  <c r="G4208" i="59"/>
  <c r="G4207" i="59"/>
  <c r="G4206" i="59"/>
  <c r="G4205" i="59"/>
  <c r="G4204" i="59"/>
  <c r="G4203" i="59"/>
  <c r="G4202" i="59"/>
  <c r="G4201" i="59"/>
  <c r="G4200" i="59"/>
  <c r="G4199" i="59"/>
  <c r="G4198" i="59"/>
  <c r="G4197" i="59"/>
  <c r="G4196" i="59"/>
  <c r="G4195" i="59"/>
  <c r="G4194" i="59"/>
  <c r="G4193" i="59"/>
  <c r="G4192" i="59"/>
  <c r="G4191" i="59"/>
  <c r="G4190" i="59"/>
  <c r="G4189" i="59"/>
  <c r="G4188" i="59"/>
  <c r="G4187" i="59"/>
  <c r="G4186" i="59"/>
  <c r="G4185" i="59"/>
  <c r="G4184" i="59"/>
  <c r="G4183" i="59"/>
  <c r="G4182" i="59"/>
  <c r="G4181" i="59"/>
  <c r="G4180" i="59"/>
  <c r="G4179" i="59"/>
  <c r="G4178" i="59"/>
  <c r="G4177" i="59"/>
  <c r="G4176" i="59"/>
  <c r="G4175" i="59"/>
  <c r="G4174" i="59"/>
  <c r="G4173" i="59"/>
  <c r="G4172" i="59"/>
  <c r="G4171" i="59"/>
  <c r="G4170" i="59"/>
  <c r="G4169" i="59"/>
  <c r="G4168" i="59"/>
  <c r="G4167" i="59"/>
  <c r="G4166" i="59"/>
  <c r="G4165" i="59"/>
  <c r="G4164" i="59"/>
  <c r="G4163" i="59"/>
  <c r="G4162" i="59"/>
  <c r="G4161" i="59"/>
  <c r="G4160" i="59"/>
  <c r="G4159" i="59"/>
  <c r="G4158" i="59"/>
  <c r="G4157" i="59"/>
  <c r="G4156" i="59"/>
  <c r="G4155" i="59"/>
  <c r="G4154" i="59"/>
  <c r="G4153" i="59"/>
  <c r="G4152" i="59"/>
  <c r="G4151" i="59"/>
  <c r="G4150" i="59"/>
  <c r="G4149" i="59"/>
  <c r="G4148" i="59"/>
  <c r="G4147" i="59"/>
  <c r="G4146" i="59"/>
  <c r="G4145" i="59"/>
  <c r="G4144" i="59"/>
  <c r="G4143" i="59"/>
  <c r="G4142" i="59"/>
  <c r="G4141" i="59"/>
  <c r="G4140" i="59"/>
  <c r="G4139" i="59"/>
  <c r="G4138" i="59"/>
  <c r="G4137" i="59"/>
  <c r="G4136" i="59"/>
  <c r="G4135" i="59"/>
  <c r="G4134" i="59"/>
  <c r="G4133" i="59"/>
  <c r="G4132" i="59"/>
  <c r="G4131" i="59"/>
  <c r="G4130" i="59"/>
  <c r="G4129" i="59"/>
  <c r="G4128" i="59"/>
  <c r="G4127" i="59"/>
  <c r="G4126" i="59"/>
  <c r="G4125" i="59"/>
  <c r="G4124" i="59"/>
  <c r="G4123" i="59"/>
  <c r="G4122" i="59"/>
  <c r="G4121" i="59"/>
  <c r="G4120" i="59"/>
  <c r="G4119" i="59"/>
  <c r="G4118" i="59"/>
  <c r="G4117" i="59"/>
  <c r="G4116" i="59"/>
  <c r="G4115" i="59"/>
  <c r="G4114" i="59"/>
  <c r="G4113" i="59"/>
  <c r="G4112" i="59"/>
  <c r="G4111" i="59"/>
  <c r="G4110" i="59"/>
  <c r="G4109" i="59"/>
  <c r="G4108" i="59"/>
  <c r="G4107" i="59"/>
  <c r="G4106" i="59"/>
  <c r="G4105" i="59"/>
  <c r="G4104" i="59"/>
  <c r="G4103" i="59"/>
  <c r="G4102" i="59"/>
  <c r="G4101" i="59"/>
  <c r="G4100" i="59"/>
  <c r="G4099" i="59"/>
  <c r="G4098" i="59"/>
  <c r="G4097" i="59"/>
  <c r="G4096" i="59"/>
  <c r="G4095" i="59"/>
  <c r="G4094" i="59"/>
  <c r="G4093" i="59"/>
  <c r="G4092" i="59"/>
  <c r="G4091" i="59"/>
  <c r="G4090" i="59"/>
  <c r="G4089" i="59"/>
  <c r="G4088" i="59"/>
  <c r="G4087" i="59"/>
  <c r="G4086" i="59"/>
  <c r="G4085" i="59"/>
  <c r="G4084" i="59"/>
  <c r="G4083" i="59"/>
  <c r="G4082" i="59"/>
  <c r="G4081" i="59"/>
  <c r="G4080" i="59"/>
  <c r="G4079" i="59"/>
  <c r="G4078" i="59"/>
  <c r="G4077" i="59"/>
  <c r="G4076" i="59"/>
  <c r="G4075" i="59"/>
  <c r="G4074" i="59"/>
  <c r="G4073" i="59"/>
  <c r="G4072" i="59"/>
  <c r="G4071" i="59"/>
  <c r="G4070" i="59"/>
  <c r="G4069" i="59"/>
  <c r="G4068" i="59"/>
  <c r="G4067" i="59"/>
  <c r="G4066" i="59"/>
  <c r="G4065" i="59"/>
  <c r="G4064" i="59"/>
  <c r="G4063" i="59"/>
  <c r="G4062" i="59"/>
  <c r="G4061" i="59"/>
  <c r="G4060" i="59"/>
  <c r="G4059" i="59"/>
  <c r="G4058" i="59"/>
  <c r="G4057" i="59"/>
  <c r="G4056" i="59"/>
  <c r="G4055" i="59"/>
  <c r="G4054" i="59"/>
  <c r="G4053" i="59"/>
  <c r="G4052" i="59"/>
  <c r="G4051" i="59"/>
  <c r="G4050" i="59"/>
  <c r="G4049" i="59"/>
  <c r="G4048" i="59"/>
  <c r="G4047" i="59"/>
  <c r="G4046" i="59"/>
  <c r="G4045" i="59"/>
  <c r="G4044" i="59"/>
  <c r="G4043" i="59"/>
  <c r="G4042" i="59"/>
  <c r="G4041" i="59"/>
  <c r="G4040" i="59"/>
  <c r="G4039" i="59"/>
  <c r="G4038" i="59"/>
  <c r="G4037" i="59"/>
  <c r="G4036" i="59"/>
  <c r="G4035" i="59"/>
  <c r="G4034" i="59"/>
  <c r="G4033" i="59"/>
  <c r="G4032" i="59"/>
  <c r="G4031" i="59"/>
  <c r="G4030" i="59"/>
  <c r="G4029" i="59"/>
  <c r="G4028" i="59"/>
  <c r="G4027" i="59"/>
  <c r="G4026" i="59"/>
  <c r="G4025" i="59"/>
  <c r="G4024" i="59"/>
  <c r="G4023" i="59"/>
  <c r="G4022" i="59"/>
  <c r="G4021" i="59"/>
  <c r="G4020" i="59"/>
  <c r="G4019" i="59"/>
  <c r="G4018" i="59"/>
  <c r="G4017" i="59"/>
  <c r="G4016" i="59"/>
  <c r="G4015" i="59"/>
  <c r="G4014" i="59"/>
  <c r="G4013" i="59"/>
  <c r="G4012" i="59"/>
  <c r="G4011" i="59"/>
  <c r="G4010" i="59"/>
  <c r="G4009" i="59"/>
  <c r="G4008" i="59"/>
  <c r="G4007" i="59"/>
  <c r="G4006" i="59"/>
  <c r="G4005" i="59"/>
  <c r="G4004" i="59"/>
  <c r="G4003" i="59"/>
  <c r="G4002" i="59"/>
  <c r="G4001" i="59"/>
  <c r="G4000" i="59"/>
  <c r="G3999" i="59"/>
  <c r="G3998" i="59"/>
  <c r="G3997" i="59"/>
  <c r="G3996" i="59"/>
  <c r="G3995" i="59"/>
  <c r="G3994" i="59"/>
  <c r="G3993" i="59"/>
  <c r="G3992" i="59"/>
  <c r="G3991" i="59"/>
  <c r="G3990" i="59"/>
  <c r="G3989" i="59"/>
  <c r="G3988" i="59"/>
  <c r="G3987" i="59"/>
  <c r="G3986" i="59"/>
  <c r="G3985" i="59"/>
  <c r="G3984" i="59"/>
  <c r="G3983" i="59"/>
  <c r="G3982" i="59"/>
  <c r="G3981" i="59"/>
  <c r="G3980" i="59"/>
  <c r="G3979" i="59"/>
  <c r="G3978" i="59"/>
  <c r="G3977" i="59"/>
  <c r="G3976" i="59"/>
  <c r="G3975" i="59"/>
  <c r="G3974" i="59"/>
  <c r="G3973" i="59"/>
  <c r="G3972" i="59"/>
  <c r="G3971" i="59"/>
  <c r="G3970" i="59"/>
  <c r="G3969" i="59"/>
  <c r="G3968" i="59"/>
  <c r="G3967" i="59"/>
  <c r="G3966" i="59"/>
  <c r="G3965" i="59"/>
  <c r="G3964" i="59"/>
  <c r="G3963" i="59"/>
  <c r="G3962" i="59"/>
  <c r="G3961" i="59"/>
  <c r="G3960" i="59"/>
  <c r="G3959" i="59"/>
  <c r="G3958" i="59"/>
  <c r="G3957" i="59"/>
  <c r="G3956" i="59"/>
  <c r="G3955" i="59"/>
  <c r="G3954" i="59"/>
  <c r="G3953" i="59"/>
  <c r="G3952" i="59"/>
  <c r="G3951" i="59"/>
  <c r="G3950" i="59"/>
  <c r="G3949" i="59"/>
  <c r="G3948" i="59"/>
  <c r="G3947" i="59"/>
  <c r="G3946" i="59"/>
  <c r="G3945" i="59"/>
  <c r="G3944" i="59"/>
  <c r="G3943" i="59"/>
  <c r="G3942" i="59"/>
  <c r="G3941" i="59"/>
  <c r="G3940" i="59"/>
  <c r="G3939" i="59"/>
  <c r="G3938" i="59"/>
  <c r="G3937" i="59"/>
  <c r="G3936" i="59"/>
  <c r="G3935" i="59"/>
  <c r="G3934" i="59"/>
  <c r="G3933" i="59"/>
  <c r="G3932" i="59"/>
  <c r="G3931" i="59"/>
  <c r="G3930" i="59"/>
  <c r="G3929" i="59"/>
  <c r="G3928" i="59"/>
  <c r="G3927" i="59"/>
  <c r="G3926" i="59"/>
  <c r="G3925" i="59"/>
  <c r="G3924" i="59"/>
  <c r="G3923" i="59"/>
  <c r="G3922" i="59"/>
  <c r="G3921" i="59"/>
  <c r="G3920" i="59"/>
  <c r="G3919" i="59"/>
  <c r="G3918" i="59"/>
  <c r="G3917" i="59"/>
  <c r="G3916" i="59"/>
  <c r="G3915" i="59"/>
  <c r="G3914" i="59"/>
  <c r="G3913" i="59"/>
  <c r="G3912" i="59"/>
  <c r="G3911" i="59"/>
  <c r="G3910" i="59"/>
  <c r="G3909" i="59"/>
  <c r="G3908" i="59"/>
  <c r="G3907" i="59"/>
  <c r="G3906" i="59"/>
  <c r="G3905" i="59"/>
  <c r="G3904" i="59"/>
  <c r="G3903" i="59"/>
  <c r="G3902" i="59"/>
  <c r="G3901" i="59"/>
  <c r="G3900" i="59"/>
  <c r="G3899" i="59"/>
  <c r="G3898" i="59"/>
  <c r="G3897" i="59"/>
  <c r="G3896" i="59"/>
  <c r="G3895" i="59"/>
  <c r="G3894" i="59"/>
  <c r="G3893" i="59"/>
  <c r="G3892" i="59"/>
  <c r="G3891" i="59"/>
  <c r="G3890" i="59"/>
  <c r="G3889" i="59"/>
  <c r="G3888" i="59"/>
  <c r="G3887" i="59"/>
  <c r="G3886" i="59"/>
  <c r="G3885" i="59"/>
  <c r="G3884" i="59"/>
  <c r="G3883" i="59"/>
  <c r="G3882" i="59"/>
  <c r="G3881" i="59"/>
  <c r="G3880" i="59"/>
  <c r="G3879" i="59"/>
  <c r="G3878" i="59"/>
  <c r="G3877" i="59"/>
  <c r="G3876" i="59"/>
  <c r="G3875" i="59"/>
  <c r="G3874" i="59"/>
  <c r="G3873" i="59"/>
  <c r="G3872" i="59"/>
  <c r="G3871" i="59"/>
  <c r="G3870" i="59"/>
  <c r="G3869" i="59"/>
  <c r="G3868" i="59"/>
  <c r="G3867" i="59"/>
  <c r="G3866" i="59"/>
  <c r="G3865" i="59"/>
  <c r="G3864" i="59"/>
  <c r="G3863" i="59"/>
  <c r="G3862" i="59"/>
  <c r="G3861" i="59"/>
  <c r="G3860" i="59"/>
  <c r="G3859" i="59"/>
  <c r="G3858" i="59"/>
  <c r="G3857" i="59"/>
  <c r="G3856" i="59"/>
  <c r="G3855" i="59"/>
  <c r="G3854" i="59"/>
  <c r="G3853" i="59"/>
  <c r="G3852" i="59"/>
  <c r="G3851" i="59"/>
  <c r="G3850" i="59"/>
  <c r="G3849" i="59"/>
  <c r="G3848" i="59"/>
  <c r="G3847" i="59"/>
  <c r="G3846" i="59"/>
  <c r="G3845" i="59"/>
  <c r="G3844" i="59"/>
  <c r="G3843" i="59"/>
  <c r="G3842" i="59"/>
  <c r="G3841" i="59"/>
  <c r="G3840" i="59"/>
  <c r="G3839" i="59"/>
  <c r="G3838" i="59"/>
  <c r="G3837" i="59"/>
  <c r="G3836" i="59"/>
  <c r="G3835" i="59"/>
  <c r="G3834" i="59"/>
  <c r="G3833" i="59"/>
  <c r="G3832" i="59"/>
  <c r="G3831" i="59"/>
  <c r="G3830" i="59"/>
  <c r="G3829" i="59"/>
  <c r="G3828" i="59"/>
  <c r="G3827" i="59"/>
  <c r="G3826" i="59"/>
  <c r="G3825" i="59"/>
  <c r="G3824" i="59"/>
  <c r="G3823" i="59"/>
  <c r="G3822" i="59"/>
  <c r="G3821" i="59"/>
  <c r="G3820" i="59"/>
  <c r="G3819" i="59"/>
  <c r="G3818" i="59"/>
  <c r="G3817" i="59"/>
  <c r="G3816" i="59"/>
  <c r="G3815" i="59"/>
  <c r="G3814" i="59"/>
  <c r="G3813" i="59"/>
  <c r="G3812" i="59"/>
  <c r="G3811" i="59"/>
  <c r="G3810" i="59"/>
  <c r="G3809" i="59"/>
  <c r="G3808" i="59"/>
  <c r="G3807" i="59"/>
  <c r="G3806" i="59"/>
  <c r="G3805" i="59"/>
  <c r="G3804" i="59"/>
  <c r="G3803" i="59"/>
  <c r="G3802" i="59"/>
  <c r="G3801" i="59"/>
  <c r="G3800" i="59"/>
  <c r="G3799" i="59"/>
  <c r="G3798" i="59"/>
  <c r="G3797" i="59"/>
  <c r="G3796" i="59"/>
  <c r="G3795" i="59"/>
  <c r="G3794" i="59"/>
  <c r="G3793" i="59"/>
  <c r="G3792" i="59"/>
  <c r="G3791" i="59"/>
  <c r="G3790" i="59"/>
  <c r="G3789" i="59"/>
  <c r="G3788" i="59"/>
  <c r="G3787" i="59"/>
  <c r="G3786" i="59"/>
  <c r="G3785" i="59"/>
  <c r="G3784" i="59"/>
  <c r="G3783" i="59"/>
  <c r="G3782" i="59"/>
  <c r="G3781" i="59"/>
  <c r="G3780" i="59"/>
  <c r="G3779" i="59"/>
  <c r="G3778" i="59"/>
  <c r="G3777" i="59"/>
  <c r="G3776" i="59"/>
  <c r="G3775" i="59"/>
  <c r="G3774" i="59"/>
  <c r="G3773" i="59"/>
  <c r="G3772" i="59"/>
  <c r="G3771" i="59"/>
  <c r="G3770" i="59"/>
  <c r="G3769" i="59"/>
  <c r="G3768" i="59"/>
  <c r="G3767" i="59"/>
  <c r="G3766" i="59"/>
  <c r="G3765" i="59"/>
  <c r="G3764" i="59"/>
  <c r="G3763" i="59"/>
  <c r="G3762" i="59"/>
  <c r="G3761" i="59"/>
  <c r="G3760" i="59"/>
  <c r="G3759" i="59"/>
  <c r="G3758" i="59"/>
  <c r="G3757" i="59"/>
  <c r="G3756" i="59"/>
  <c r="G3755" i="59"/>
  <c r="G3754" i="59"/>
  <c r="G3753" i="59"/>
  <c r="G3752" i="59"/>
  <c r="G3751" i="59"/>
  <c r="G3750" i="59"/>
  <c r="G3749" i="59"/>
  <c r="G3748" i="59"/>
  <c r="G3747" i="59"/>
  <c r="G3746" i="59"/>
  <c r="G3745" i="59"/>
  <c r="G3744" i="59"/>
  <c r="G3743" i="59"/>
  <c r="G3742" i="59"/>
  <c r="G3741" i="59"/>
  <c r="G3740" i="59"/>
  <c r="G3739" i="59"/>
  <c r="G3738" i="59"/>
  <c r="G3737" i="59"/>
  <c r="G3736" i="59"/>
  <c r="G3735" i="59"/>
  <c r="G3734" i="59"/>
  <c r="G3733" i="59"/>
  <c r="G3732" i="59"/>
  <c r="G3731" i="59"/>
  <c r="G3730" i="59"/>
  <c r="G3729" i="59"/>
  <c r="G3728" i="59"/>
  <c r="G3727" i="59"/>
  <c r="G3726" i="59"/>
  <c r="G3725" i="59"/>
  <c r="G3724" i="59"/>
  <c r="G3723" i="59"/>
  <c r="G3722" i="59"/>
  <c r="G3721" i="59"/>
  <c r="G3720" i="59"/>
  <c r="G3719" i="59"/>
  <c r="G3718" i="59"/>
  <c r="G3717" i="59"/>
  <c r="G3716" i="59"/>
  <c r="G3715" i="59"/>
  <c r="G3714" i="59"/>
  <c r="G3713" i="59"/>
  <c r="G3712" i="59"/>
  <c r="G3711" i="59"/>
  <c r="G3710" i="59"/>
  <c r="G3709" i="59"/>
  <c r="G3708" i="59"/>
  <c r="G3707" i="59"/>
  <c r="G3706" i="59"/>
  <c r="G3705" i="59"/>
  <c r="G3704" i="59"/>
  <c r="G3703" i="59"/>
  <c r="G3702" i="59"/>
  <c r="G3701" i="59"/>
  <c r="G3700" i="59"/>
  <c r="G3699" i="59"/>
  <c r="G3698" i="59"/>
  <c r="G3697" i="59"/>
  <c r="G3696" i="59"/>
  <c r="G3695" i="59"/>
  <c r="G3694" i="59"/>
  <c r="G3693" i="59"/>
  <c r="G3692" i="59"/>
  <c r="G3691" i="59"/>
  <c r="G3690" i="59"/>
  <c r="G3689" i="59"/>
  <c r="G3688" i="59"/>
  <c r="G3687" i="59"/>
  <c r="G3686" i="59"/>
  <c r="G3685" i="59"/>
  <c r="G3684" i="59"/>
  <c r="G3683" i="59"/>
  <c r="G3682" i="59"/>
  <c r="G3681" i="59"/>
  <c r="G3680" i="59"/>
  <c r="G3679" i="59"/>
  <c r="G3678" i="59"/>
  <c r="G3677" i="59"/>
  <c r="G3676" i="59"/>
  <c r="G3675" i="59"/>
  <c r="G3674" i="59"/>
  <c r="G3673" i="59"/>
  <c r="G3672" i="59"/>
  <c r="G3671" i="59"/>
  <c r="G3670" i="59"/>
  <c r="G3669" i="59"/>
  <c r="G3668" i="59"/>
  <c r="G3667" i="59"/>
  <c r="G3666" i="59"/>
  <c r="G3665" i="59"/>
  <c r="G3664" i="59"/>
  <c r="G3663" i="59"/>
  <c r="G3662" i="59"/>
  <c r="G3661" i="59"/>
  <c r="G3660" i="59"/>
  <c r="G3659" i="59"/>
  <c r="G3658" i="59"/>
  <c r="G3657" i="59"/>
  <c r="G3656" i="59"/>
  <c r="G3655" i="59"/>
  <c r="G3654" i="59"/>
  <c r="G3653" i="59"/>
  <c r="G3652" i="59"/>
  <c r="G3651" i="59"/>
  <c r="G3650" i="59"/>
  <c r="G3649" i="59"/>
  <c r="G3648" i="59"/>
  <c r="G3647" i="59"/>
  <c r="G3646" i="59"/>
  <c r="G3645" i="59"/>
  <c r="G3644" i="59"/>
  <c r="G3643" i="59"/>
  <c r="G3642" i="59"/>
  <c r="G3641" i="59"/>
  <c r="G3640" i="59"/>
  <c r="G3639" i="59"/>
  <c r="G3638" i="59"/>
  <c r="G3637" i="59"/>
  <c r="G3636" i="59"/>
  <c r="G3635" i="59"/>
  <c r="G3634" i="59"/>
  <c r="G3633" i="59"/>
  <c r="G3632" i="59"/>
  <c r="G3631" i="59"/>
  <c r="G3630" i="59"/>
  <c r="G3629" i="59"/>
  <c r="G3628" i="59"/>
  <c r="G3627" i="59"/>
  <c r="G3626" i="59"/>
  <c r="G3625" i="59"/>
  <c r="G3624" i="59"/>
  <c r="G3623" i="59"/>
  <c r="G3622" i="59"/>
  <c r="G3621" i="59"/>
  <c r="G3620" i="59"/>
  <c r="G3619" i="59"/>
  <c r="G3618" i="59"/>
  <c r="G3617" i="59"/>
  <c r="G3616" i="59"/>
  <c r="G3615" i="59"/>
  <c r="G3614" i="59"/>
  <c r="G3613" i="59"/>
  <c r="G3612" i="59"/>
  <c r="G3611" i="59"/>
  <c r="G3610" i="59"/>
  <c r="G3609" i="59"/>
  <c r="G3608" i="59"/>
  <c r="G3607" i="59"/>
  <c r="G3606" i="59"/>
  <c r="G3605" i="59"/>
  <c r="G3604" i="59"/>
  <c r="G3603" i="59"/>
  <c r="G3602" i="59"/>
  <c r="G3601" i="59"/>
  <c r="G3600" i="59"/>
  <c r="G3599" i="59"/>
  <c r="G3598" i="59"/>
  <c r="G3597" i="59"/>
  <c r="G3596" i="59"/>
  <c r="G3595" i="59"/>
  <c r="G3594" i="59"/>
  <c r="G3593" i="59"/>
  <c r="G3592" i="59"/>
  <c r="G3591" i="59"/>
  <c r="G3590" i="59"/>
  <c r="G3589" i="59"/>
  <c r="G3588" i="59"/>
  <c r="G3587" i="59"/>
  <c r="G3586" i="59"/>
  <c r="G3585" i="59"/>
  <c r="G3584" i="59"/>
  <c r="G3583" i="59"/>
  <c r="G3582" i="59"/>
  <c r="G3581" i="59"/>
  <c r="G3580" i="59"/>
  <c r="G3579" i="59"/>
  <c r="G3578" i="59"/>
  <c r="G3577" i="59"/>
  <c r="G3576" i="59"/>
  <c r="G3575" i="59"/>
  <c r="G3574" i="59"/>
  <c r="G3573" i="59"/>
  <c r="G3572" i="59"/>
  <c r="G3571" i="59"/>
  <c r="G3570" i="59"/>
  <c r="G3569" i="59"/>
  <c r="G3568" i="59"/>
  <c r="G3567" i="59"/>
  <c r="G3566" i="59"/>
  <c r="G3565" i="59"/>
  <c r="G3564" i="59"/>
  <c r="G3563" i="59"/>
  <c r="G3562" i="59"/>
  <c r="G3561" i="59"/>
  <c r="G3560" i="59"/>
  <c r="G3559" i="59"/>
  <c r="G3558" i="59"/>
  <c r="G3557" i="59"/>
  <c r="G3556" i="59"/>
  <c r="G3555" i="59"/>
  <c r="G3554" i="59"/>
  <c r="G3553" i="59"/>
  <c r="G3552" i="59"/>
  <c r="G3551" i="59"/>
  <c r="G3550" i="59"/>
  <c r="G3549" i="59"/>
  <c r="G3548" i="59"/>
  <c r="G3547" i="59"/>
  <c r="G3546" i="59"/>
  <c r="G3545" i="59"/>
  <c r="G3544" i="59"/>
  <c r="G3543" i="59"/>
  <c r="G3542" i="59"/>
  <c r="G3541" i="59"/>
  <c r="G3540" i="59"/>
  <c r="G3539" i="59"/>
  <c r="G3538" i="59"/>
  <c r="G3537" i="59"/>
  <c r="G3536" i="59"/>
  <c r="G3535" i="59"/>
  <c r="G3534" i="59"/>
  <c r="G3533" i="59"/>
  <c r="G3532" i="59"/>
  <c r="G3531" i="59"/>
  <c r="G3530" i="59"/>
  <c r="G3529" i="59"/>
  <c r="G3528" i="59"/>
  <c r="G3527" i="59"/>
  <c r="G3526" i="59"/>
  <c r="G3525" i="59"/>
  <c r="G3524" i="59"/>
  <c r="G3523" i="59"/>
  <c r="G3522" i="59"/>
  <c r="G3521" i="59"/>
  <c r="G3520" i="59"/>
  <c r="G3519" i="59"/>
  <c r="G3518" i="59"/>
  <c r="G3517" i="59"/>
  <c r="G3516" i="59"/>
  <c r="G3515" i="59"/>
  <c r="G3514" i="59"/>
  <c r="G3513" i="59"/>
  <c r="G3512" i="59"/>
  <c r="G3511" i="59"/>
  <c r="G3510" i="59"/>
  <c r="G3509" i="59"/>
  <c r="G3508" i="59"/>
  <c r="G3507" i="59"/>
  <c r="G3506" i="59"/>
  <c r="G3505" i="59"/>
  <c r="G3504" i="59"/>
  <c r="G3503" i="59"/>
  <c r="G3502" i="59"/>
  <c r="G3501" i="59"/>
  <c r="G3500" i="59"/>
  <c r="G3499" i="59"/>
  <c r="G3498" i="59"/>
  <c r="G3497" i="59"/>
  <c r="G3496" i="59"/>
  <c r="G3495" i="59"/>
  <c r="G3494" i="59"/>
  <c r="G3493" i="59"/>
  <c r="G3492" i="59"/>
  <c r="G3491" i="59"/>
  <c r="G3490" i="59"/>
  <c r="G3489" i="59"/>
  <c r="G3488" i="59"/>
  <c r="G3487" i="59"/>
  <c r="G3486" i="59"/>
  <c r="G3485" i="59"/>
  <c r="G3484" i="59"/>
  <c r="G3483" i="59"/>
  <c r="G3482" i="59"/>
  <c r="G3481" i="59"/>
  <c r="G3480" i="59"/>
  <c r="G3479" i="59"/>
  <c r="G3478" i="59"/>
  <c r="G3477" i="59"/>
  <c r="G3476" i="59"/>
  <c r="G3475" i="59"/>
  <c r="G3474" i="59"/>
  <c r="G3473" i="59"/>
  <c r="G3472" i="59"/>
  <c r="G3471" i="59"/>
  <c r="G3470" i="59"/>
  <c r="G3469" i="59"/>
  <c r="G3468" i="59"/>
  <c r="G3467" i="59"/>
  <c r="G3466" i="59"/>
  <c r="G3465" i="59"/>
  <c r="G3464" i="59"/>
  <c r="G3463" i="59"/>
  <c r="G3462" i="59"/>
  <c r="G3461" i="59"/>
  <c r="G3460" i="59"/>
  <c r="G3459" i="59"/>
  <c r="G3458" i="59"/>
  <c r="G3457" i="59"/>
  <c r="G3456" i="59"/>
  <c r="G3455" i="59"/>
  <c r="G3454" i="59"/>
  <c r="G3453" i="59"/>
  <c r="G3452" i="59"/>
  <c r="G3451" i="59"/>
  <c r="G3450" i="59"/>
  <c r="G3449" i="59"/>
  <c r="G3448" i="59"/>
  <c r="G3447" i="59"/>
  <c r="G3446" i="59"/>
  <c r="G3445" i="59"/>
  <c r="G3444" i="59"/>
  <c r="G3443" i="59"/>
  <c r="G3442" i="59"/>
  <c r="G3441" i="59"/>
  <c r="G3440" i="59"/>
  <c r="G3439" i="59"/>
  <c r="G3438" i="59"/>
  <c r="G3437" i="59"/>
  <c r="G3436" i="59"/>
  <c r="G3435" i="59"/>
  <c r="G3434" i="59"/>
  <c r="G3433" i="59"/>
  <c r="G3432" i="59"/>
  <c r="G3431" i="59"/>
  <c r="G3430" i="59"/>
  <c r="G3429" i="59"/>
  <c r="G3428" i="59"/>
  <c r="G3427" i="59"/>
  <c r="G3426" i="59"/>
  <c r="G3425" i="59"/>
  <c r="G3424" i="59"/>
  <c r="G3423" i="59"/>
  <c r="G3422" i="59"/>
  <c r="G3421" i="59"/>
  <c r="G3420" i="59"/>
  <c r="G3419" i="59"/>
  <c r="G3418" i="59"/>
  <c r="G3417" i="59"/>
  <c r="G3416" i="59"/>
  <c r="G3415" i="59"/>
  <c r="G3414" i="59"/>
  <c r="G3413" i="59"/>
  <c r="G3412" i="59"/>
  <c r="G3411" i="59"/>
  <c r="G3410" i="59"/>
  <c r="G3409" i="59"/>
  <c r="G3408" i="59"/>
  <c r="G3407" i="59"/>
  <c r="G3406" i="59"/>
  <c r="G3405" i="59"/>
  <c r="G3404" i="59"/>
  <c r="G3403" i="59"/>
  <c r="G3402" i="59"/>
  <c r="G3401" i="59"/>
  <c r="G3400" i="59"/>
  <c r="G3399" i="59"/>
  <c r="G3398" i="59"/>
  <c r="G3397" i="59"/>
  <c r="G3396" i="59"/>
  <c r="G3395" i="59"/>
  <c r="G3394" i="59"/>
  <c r="G3393" i="59"/>
  <c r="G3392" i="59"/>
  <c r="G3391" i="59"/>
  <c r="G3390" i="59"/>
  <c r="G3389" i="59"/>
  <c r="G3388" i="59"/>
  <c r="G3387" i="59"/>
  <c r="G3386" i="59"/>
  <c r="G3385" i="59"/>
  <c r="G3384" i="59"/>
  <c r="G3383" i="59"/>
  <c r="G3382" i="59"/>
  <c r="G3381" i="59"/>
  <c r="G3380" i="59"/>
  <c r="G3379" i="59"/>
  <c r="G3378" i="59"/>
  <c r="G3377" i="59"/>
  <c r="G3376" i="59"/>
  <c r="G3375" i="59"/>
  <c r="G3374" i="59"/>
  <c r="G3373" i="59"/>
  <c r="G3372" i="59"/>
  <c r="G3371" i="59"/>
  <c r="G3370" i="59"/>
  <c r="G3369" i="59"/>
  <c r="G3368" i="59"/>
  <c r="G3367" i="59"/>
  <c r="G3366" i="59"/>
  <c r="G3365" i="59"/>
  <c r="G3364" i="59"/>
  <c r="G3363" i="59"/>
  <c r="G3362" i="59"/>
  <c r="G3361" i="59"/>
  <c r="G3360" i="59"/>
  <c r="G3359" i="59"/>
  <c r="G3358" i="59"/>
  <c r="G3357" i="59"/>
  <c r="G3356" i="59"/>
  <c r="G3355" i="59"/>
  <c r="G3354" i="59"/>
  <c r="G3353" i="59"/>
  <c r="G3352" i="59"/>
  <c r="G3351" i="59"/>
  <c r="G3350" i="59"/>
  <c r="G3349" i="59"/>
  <c r="G3348" i="59"/>
  <c r="G3347" i="59"/>
  <c r="G3346" i="59"/>
  <c r="G3345" i="59"/>
  <c r="G3344" i="59"/>
  <c r="G3343" i="59"/>
  <c r="G3342" i="59"/>
  <c r="G3341" i="59"/>
  <c r="G3340" i="59"/>
  <c r="G3339" i="59"/>
  <c r="G3338" i="59"/>
  <c r="G3337" i="59"/>
  <c r="G3336" i="59"/>
  <c r="G3335" i="59"/>
  <c r="G3334" i="59"/>
  <c r="G3333" i="59"/>
  <c r="G3332" i="59"/>
  <c r="G3331" i="59"/>
  <c r="G3330" i="59"/>
  <c r="G3329" i="59"/>
  <c r="G3328" i="59"/>
  <c r="G3327" i="59"/>
  <c r="G3326" i="59"/>
  <c r="G3325" i="59"/>
  <c r="G3324" i="59"/>
  <c r="G3323" i="59"/>
  <c r="G3322" i="59"/>
  <c r="G3321" i="59"/>
  <c r="G3320" i="59"/>
  <c r="G3319" i="59"/>
  <c r="G3318" i="59"/>
  <c r="G3317" i="59"/>
  <c r="G3316" i="59"/>
  <c r="G3315" i="59"/>
  <c r="G3314" i="59"/>
  <c r="G3313" i="59"/>
  <c r="G3312" i="59"/>
  <c r="G3311" i="59"/>
  <c r="G3310" i="59"/>
  <c r="G3309" i="59"/>
  <c r="G3308" i="59"/>
  <c r="G3307" i="59"/>
  <c r="G3306" i="59"/>
  <c r="G3305" i="59"/>
  <c r="G3304" i="59"/>
  <c r="G3303" i="59"/>
  <c r="G3302" i="59"/>
  <c r="G3301" i="59"/>
  <c r="G3300" i="59"/>
  <c r="G3299" i="59"/>
  <c r="G3298" i="59"/>
  <c r="G3297" i="59"/>
  <c r="G3296" i="59"/>
  <c r="G3295" i="59"/>
  <c r="G3294" i="59"/>
  <c r="G3293" i="59"/>
  <c r="G3292" i="59"/>
  <c r="G3291" i="59"/>
  <c r="G3290" i="59"/>
  <c r="G3289" i="59"/>
  <c r="G3288" i="59"/>
  <c r="G3287" i="59"/>
  <c r="G3286" i="59"/>
  <c r="G3285" i="59"/>
  <c r="G3284" i="59"/>
  <c r="G3283" i="59"/>
  <c r="G3282" i="59"/>
  <c r="G3281" i="59"/>
  <c r="G3280" i="59"/>
  <c r="G3279" i="59"/>
  <c r="G3278" i="59"/>
  <c r="G3277" i="59"/>
  <c r="G3276" i="59"/>
  <c r="G3275" i="59"/>
  <c r="G3274" i="59"/>
  <c r="G3273" i="59"/>
  <c r="G3272" i="59"/>
  <c r="G3271" i="59"/>
  <c r="G3270" i="59"/>
  <c r="G3269" i="59"/>
  <c r="G3268" i="59"/>
  <c r="G3267" i="59"/>
  <c r="G3266" i="59"/>
  <c r="G3265" i="59"/>
  <c r="G3264" i="59"/>
  <c r="G3263" i="59"/>
  <c r="G3262" i="59"/>
  <c r="G3261" i="59"/>
  <c r="G3260" i="59"/>
  <c r="G3259" i="59"/>
  <c r="G3258" i="59"/>
  <c r="G3257" i="59"/>
  <c r="G3256" i="59"/>
  <c r="G3255" i="59"/>
  <c r="G3254" i="59"/>
  <c r="G3253" i="59"/>
  <c r="G3252" i="59"/>
  <c r="G3251" i="59"/>
  <c r="G3250" i="59"/>
  <c r="G3249" i="59"/>
  <c r="G3248" i="59"/>
  <c r="G3247" i="59"/>
  <c r="G3246" i="59"/>
  <c r="G3245" i="59"/>
  <c r="G3244" i="59"/>
  <c r="G3243" i="59"/>
  <c r="G3242" i="59"/>
  <c r="G3241" i="59"/>
  <c r="G3240" i="59"/>
  <c r="G3239" i="59"/>
  <c r="G3238" i="59"/>
  <c r="G3237" i="59"/>
  <c r="G3236" i="59"/>
  <c r="G3235" i="59"/>
  <c r="G3234" i="59"/>
  <c r="G3233" i="59"/>
  <c r="G3232" i="59"/>
  <c r="G3231" i="59"/>
  <c r="G3230" i="59"/>
  <c r="G3229" i="59"/>
  <c r="G3228" i="59"/>
  <c r="G3227" i="59"/>
  <c r="G3226" i="59"/>
  <c r="G3225" i="59"/>
  <c r="G3224" i="59"/>
  <c r="G3223" i="59"/>
  <c r="G3222" i="59"/>
  <c r="G3221" i="59"/>
  <c r="G3220" i="59"/>
  <c r="G3219" i="59"/>
  <c r="G3218" i="59"/>
  <c r="G3217" i="59"/>
  <c r="G3216" i="59"/>
  <c r="G3215" i="59"/>
  <c r="G3214" i="59"/>
  <c r="G3213" i="59"/>
  <c r="G3212" i="59"/>
  <c r="G3211" i="59"/>
  <c r="G3210" i="59"/>
  <c r="G3209" i="59"/>
  <c r="G3208" i="59"/>
  <c r="G3207" i="59"/>
  <c r="G3206" i="59"/>
  <c r="G3205" i="59"/>
  <c r="G3204" i="59"/>
  <c r="G3203" i="59"/>
  <c r="G3202" i="59"/>
  <c r="G3201" i="59"/>
  <c r="G3200" i="59"/>
  <c r="G3199" i="59"/>
  <c r="G3198" i="59"/>
  <c r="G3197" i="59"/>
  <c r="G3196" i="59"/>
  <c r="G3195" i="59"/>
  <c r="G3194" i="59"/>
  <c r="G3193" i="59"/>
  <c r="G3192" i="59"/>
  <c r="G3191" i="59"/>
  <c r="G3190" i="59"/>
  <c r="G3189" i="59"/>
  <c r="G3188" i="59"/>
  <c r="G3187" i="59"/>
  <c r="G3186" i="59"/>
  <c r="G3185" i="59"/>
  <c r="G3184" i="59"/>
  <c r="G3183" i="59"/>
  <c r="G3182" i="59"/>
  <c r="G3181" i="59"/>
  <c r="G3180" i="59"/>
  <c r="G3179" i="59"/>
  <c r="G3178" i="59"/>
  <c r="G3177" i="59"/>
  <c r="G3176" i="59"/>
  <c r="G3175" i="59"/>
  <c r="G3174" i="59"/>
  <c r="G3173" i="59"/>
  <c r="G3172" i="59"/>
  <c r="G3171" i="59"/>
  <c r="G3170" i="59"/>
  <c r="G3169" i="59"/>
  <c r="G3168" i="59"/>
  <c r="G3167" i="59"/>
  <c r="G3166" i="59"/>
  <c r="G3165" i="59"/>
  <c r="G3164" i="59"/>
  <c r="G3163" i="59"/>
  <c r="G3162" i="59"/>
  <c r="G3161" i="59"/>
  <c r="G3160" i="59"/>
  <c r="G3159" i="59"/>
  <c r="G3158" i="59"/>
  <c r="G3157" i="59"/>
  <c r="G3156" i="59"/>
  <c r="G3155" i="59"/>
  <c r="G3154" i="59"/>
  <c r="G3153" i="59"/>
  <c r="G3152" i="59"/>
  <c r="G3151" i="59"/>
  <c r="G3150" i="59"/>
  <c r="G3149" i="59"/>
  <c r="G3148" i="59"/>
  <c r="G3147" i="59"/>
  <c r="G3146" i="59"/>
  <c r="G3145" i="59"/>
  <c r="G3144" i="59"/>
  <c r="G3143" i="59"/>
  <c r="G3142" i="59"/>
  <c r="G3141" i="59"/>
  <c r="G3140" i="59"/>
  <c r="G3139" i="59"/>
  <c r="G3138" i="59"/>
  <c r="G3137" i="59"/>
  <c r="G3136" i="59"/>
  <c r="G3135" i="59"/>
  <c r="G3134" i="59"/>
  <c r="G3133" i="59"/>
  <c r="G3132" i="59"/>
  <c r="G3131" i="59"/>
  <c r="G3130" i="59"/>
  <c r="G3129" i="59"/>
  <c r="G3128" i="59"/>
  <c r="G3127" i="59"/>
  <c r="G3126" i="59"/>
  <c r="G3125" i="59"/>
  <c r="G3124" i="59"/>
  <c r="G3123" i="59"/>
  <c r="G3122" i="59"/>
  <c r="G3121" i="59"/>
  <c r="G3120" i="59"/>
  <c r="G3119" i="59"/>
  <c r="G3118" i="59"/>
  <c r="G3117" i="59"/>
  <c r="G3116" i="59"/>
  <c r="G3115" i="59"/>
  <c r="G3114" i="59"/>
  <c r="G3113" i="59"/>
  <c r="G3112" i="59"/>
  <c r="G3111" i="59"/>
  <c r="G3110" i="59"/>
  <c r="G3109" i="59"/>
  <c r="G3108" i="59"/>
  <c r="G3107" i="59"/>
  <c r="G3106" i="59"/>
  <c r="G3105" i="59"/>
  <c r="G3104" i="59"/>
  <c r="G3103" i="59"/>
  <c r="G3102" i="59"/>
  <c r="G3101" i="59"/>
  <c r="G3100" i="59"/>
  <c r="G3099" i="59"/>
  <c r="G3098" i="59"/>
  <c r="G3097" i="59"/>
  <c r="G3096" i="59"/>
  <c r="G3095" i="59"/>
  <c r="G3094" i="59"/>
  <c r="G3093" i="59"/>
  <c r="G3092" i="59"/>
  <c r="G3091" i="59"/>
  <c r="G3090" i="59"/>
  <c r="G3089" i="59"/>
  <c r="G3088" i="59"/>
  <c r="G3087" i="59"/>
  <c r="G3086" i="59"/>
  <c r="G3085" i="59"/>
  <c r="G3084" i="59"/>
  <c r="G3083" i="59"/>
  <c r="G3082" i="59"/>
  <c r="G3081" i="59"/>
  <c r="G3080" i="59"/>
  <c r="G3079" i="59"/>
  <c r="G3078" i="59"/>
  <c r="G3077" i="59"/>
  <c r="G3076" i="59"/>
  <c r="G3075" i="59"/>
  <c r="G3074" i="59"/>
  <c r="G3073" i="59"/>
  <c r="G3072" i="59"/>
  <c r="G3071" i="59"/>
  <c r="G3070" i="59"/>
  <c r="G3069" i="59"/>
  <c r="G3068" i="59"/>
  <c r="G3067" i="59"/>
  <c r="G3066" i="59"/>
  <c r="G3065" i="59"/>
  <c r="G3064" i="59"/>
  <c r="G3063" i="59"/>
  <c r="G3062" i="59"/>
  <c r="G3061" i="59"/>
  <c r="G3060" i="59"/>
  <c r="G3059" i="59"/>
  <c r="G3058" i="59"/>
  <c r="G3057" i="59"/>
  <c r="G3056" i="59"/>
  <c r="G3055" i="59"/>
  <c r="G3054" i="59"/>
  <c r="G3053" i="59"/>
  <c r="G3052" i="59"/>
  <c r="G3051" i="59"/>
  <c r="G3050" i="59"/>
  <c r="G3049" i="59"/>
  <c r="G3048" i="59"/>
  <c r="G3047" i="59"/>
  <c r="G3046" i="59"/>
  <c r="G3045" i="59"/>
  <c r="G3044" i="59"/>
  <c r="G3043" i="59"/>
  <c r="G3042" i="59"/>
  <c r="G3041" i="59"/>
  <c r="G3040" i="59"/>
  <c r="G3039" i="59"/>
  <c r="G3038" i="59"/>
  <c r="G3037" i="59"/>
  <c r="G3036" i="59"/>
  <c r="G3035" i="59"/>
  <c r="G3034" i="59"/>
  <c r="G3033" i="59"/>
  <c r="G3032" i="59"/>
  <c r="G3031" i="59"/>
  <c r="G3030" i="59"/>
  <c r="G3029" i="59"/>
  <c r="G3028" i="59"/>
  <c r="G3027" i="59"/>
  <c r="G3026" i="59"/>
  <c r="G3025" i="59"/>
  <c r="G3024" i="59"/>
  <c r="G3023" i="59"/>
  <c r="G3022" i="59"/>
  <c r="G3021" i="59"/>
  <c r="G3020" i="59"/>
  <c r="G3019" i="59"/>
  <c r="G3018" i="59"/>
  <c r="G3017" i="59"/>
  <c r="G3016" i="59"/>
  <c r="G3015" i="59"/>
  <c r="G3014" i="59"/>
  <c r="G3013" i="59"/>
  <c r="G3012" i="59"/>
  <c r="G3011" i="59"/>
  <c r="G3010" i="59"/>
  <c r="G3009" i="59"/>
  <c r="G3008" i="59"/>
  <c r="G3007" i="59"/>
  <c r="G3006" i="59"/>
  <c r="G3005" i="59"/>
  <c r="G3004" i="59"/>
  <c r="G3003" i="59"/>
  <c r="G3002" i="59"/>
  <c r="G3001" i="59"/>
  <c r="G3000" i="59"/>
  <c r="G2999" i="59"/>
  <c r="G2998" i="59"/>
  <c r="G2997" i="59"/>
  <c r="G2996" i="59"/>
  <c r="G2995" i="59"/>
  <c r="G2994" i="59"/>
  <c r="G2993" i="59"/>
  <c r="G2992" i="59"/>
  <c r="G2991" i="59"/>
  <c r="G2990" i="59"/>
  <c r="G2989" i="59"/>
  <c r="G2988" i="59"/>
  <c r="G2987" i="59"/>
  <c r="G2986" i="59"/>
  <c r="G2985" i="59"/>
  <c r="G2984" i="59"/>
  <c r="G2983" i="59"/>
  <c r="G2982" i="59"/>
  <c r="G2981" i="59"/>
  <c r="G2980" i="59"/>
  <c r="G2979" i="59"/>
  <c r="G2978" i="59"/>
  <c r="G2977" i="59"/>
  <c r="G2976" i="59"/>
  <c r="G2975" i="59"/>
  <c r="G2974" i="59"/>
  <c r="G2973" i="59"/>
  <c r="G2972" i="59"/>
  <c r="G2971" i="59"/>
  <c r="G2970" i="59"/>
  <c r="G2969" i="59"/>
  <c r="G2968" i="59"/>
  <c r="G2967" i="59"/>
  <c r="G2966" i="59"/>
  <c r="G2965" i="59"/>
  <c r="G2964" i="59"/>
  <c r="G2963" i="59"/>
  <c r="G2962" i="59"/>
  <c r="G2961" i="59"/>
  <c r="G2960" i="59"/>
  <c r="G2959" i="59"/>
  <c r="G2958" i="59"/>
  <c r="G2957" i="59"/>
  <c r="G2956" i="59"/>
  <c r="G2955" i="59"/>
  <c r="G2954" i="59"/>
  <c r="G2953" i="59"/>
  <c r="G2952" i="59"/>
  <c r="G2951" i="59"/>
  <c r="G2950" i="59"/>
  <c r="G2949" i="59"/>
  <c r="G2948" i="59"/>
  <c r="G2947" i="59"/>
  <c r="G2946" i="59"/>
  <c r="G2945" i="59"/>
  <c r="G2944" i="59"/>
  <c r="G2943" i="59"/>
  <c r="G2942" i="59"/>
  <c r="G2941" i="59"/>
  <c r="G2940" i="59"/>
  <c r="G2939" i="59"/>
  <c r="G2938" i="59"/>
  <c r="G2937" i="59"/>
  <c r="G2936" i="59"/>
  <c r="G2935" i="59"/>
  <c r="G2934" i="59"/>
  <c r="G2933" i="59"/>
  <c r="G2932" i="59"/>
  <c r="G2931" i="59"/>
  <c r="G2930" i="59"/>
  <c r="G2929" i="59"/>
  <c r="G2928" i="59"/>
  <c r="G2927" i="59"/>
  <c r="G2926" i="59"/>
  <c r="G2925" i="59"/>
  <c r="G2924" i="59"/>
  <c r="G2923" i="59"/>
  <c r="G2922" i="59"/>
  <c r="G2921" i="59"/>
  <c r="G2920" i="59"/>
  <c r="G2919" i="59"/>
  <c r="G2918" i="59"/>
  <c r="G2917" i="59"/>
  <c r="G2916" i="59"/>
  <c r="G2915" i="59"/>
  <c r="G2914" i="59"/>
  <c r="G2913" i="59"/>
  <c r="G2912" i="59"/>
  <c r="G2911" i="59"/>
  <c r="G2910" i="59"/>
  <c r="G2909" i="59"/>
  <c r="G2908" i="59"/>
  <c r="G2907" i="59"/>
  <c r="G2906" i="59"/>
  <c r="G2905" i="59"/>
  <c r="G2904" i="59"/>
  <c r="G2903" i="59"/>
  <c r="G2902" i="59"/>
  <c r="G2901" i="59"/>
  <c r="G2900" i="59"/>
  <c r="G2899" i="59"/>
  <c r="G2898" i="59"/>
  <c r="G2897" i="59"/>
  <c r="G2896" i="59"/>
  <c r="G2895" i="59"/>
  <c r="G2894" i="59"/>
  <c r="G2893" i="59"/>
  <c r="G2892" i="59"/>
  <c r="G2891" i="59"/>
  <c r="G2890" i="59"/>
  <c r="G2889" i="59"/>
  <c r="G2888" i="59"/>
  <c r="G2887" i="59"/>
  <c r="G2886" i="59"/>
  <c r="G2885" i="59"/>
  <c r="G2884" i="59"/>
  <c r="G2883" i="59"/>
  <c r="G2882" i="59"/>
  <c r="G2881" i="59"/>
  <c r="G2880" i="59"/>
  <c r="G2879" i="59"/>
  <c r="G2878" i="59"/>
  <c r="G2877" i="59"/>
  <c r="G2876" i="59"/>
  <c r="G2875" i="59"/>
  <c r="G2874" i="59"/>
  <c r="G2873" i="59"/>
  <c r="G2872" i="59"/>
  <c r="G2871" i="59"/>
  <c r="G2870" i="59"/>
  <c r="G2869" i="59"/>
  <c r="G2868" i="59"/>
  <c r="G2867" i="59"/>
  <c r="G2866" i="59"/>
  <c r="G2865" i="59"/>
  <c r="G2864" i="59"/>
  <c r="G2863" i="59"/>
  <c r="G2862" i="59"/>
  <c r="G2861" i="59"/>
  <c r="G2860" i="59"/>
  <c r="G2859" i="59"/>
  <c r="G2858" i="59"/>
  <c r="G2857" i="59"/>
  <c r="G2856" i="59"/>
  <c r="G2855" i="59"/>
  <c r="G2854" i="59"/>
  <c r="G2853" i="59"/>
  <c r="G2852" i="59"/>
  <c r="G2851" i="59"/>
  <c r="G2850" i="59"/>
  <c r="G2849" i="59"/>
  <c r="G2848" i="59"/>
  <c r="G2847" i="59"/>
  <c r="G2846" i="59"/>
  <c r="G2845" i="59"/>
  <c r="G2844" i="59"/>
  <c r="G2843" i="59"/>
  <c r="G2842" i="59"/>
  <c r="G2841" i="59"/>
  <c r="G2840" i="59"/>
  <c r="G2839" i="59"/>
  <c r="G2838" i="59"/>
  <c r="G2837" i="59"/>
  <c r="G2836" i="59"/>
  <c r="G2835" i="59"/>
  <c r="G2834" i="59"/>
  <c r="G2833" i="59"/>
  <c r="G2832" i="59"/>
  <c r="G2831" i="59"/>
  <c r="G2830" i="59"/>
  <c r="G2829" i="59"/>
  <c r="G2828" i="59"/>
  <c r="G2827" i="59"/>
  <c r="G2826" i="59"/>
  <c r="G2825" i="59"/>
  <c r="G2824" i="59"/>
  <c r="G2823" i="59"/>
  <c r="G2822" i="59"/>
  <c r="G2821" i="59"/>
  <c r="G2820" i="59"/>
  <c r="G2819" i="59"/>
  <c r="G2818" i="59"/>
  <c r="G2817" i="59"/>
  <c r="G2816" i="59"/>
  <c r="G2815" i="59"/>
  <c r="G2814" i="59"/>
  <c r="G2813" i="59"/>
  <c r="G2812" i="59"/>
  <c r="G2811" i="59"/>
  <c r="G2810" i="59"/>
  <c r="G2809" i="59"/>
  <c r="G2808" i="59"/>
  <c r="G2807" i="59"/>
  <c r="G2806" i="59"/>
  <c r="G2805" i="59"/>
  <c r="G2804" i="59"/>
  <c r="G2803" i="59"/>
  <c r="G2802" i="59"/>
  <c r="G2801" i="59"/>
  <c r="G2800" i="59"/>
  <c r="G2799" i="59"/>
  <c r="G2798" i="59"/>
  <c r="G2797" i="59"/>
  <c r="G2796" i="59"/>
  <c r="G2795" i="59"/>
  <c r="G2794" i="59"/>
  <c r="G2793" i="59"/>
  <c r="G2792" i="59"/>
  <c r="G2791" i="59"/>
  <c r="G2790" i="59"/>
  <c r="G2789" i="59"/>
  <c r="G2788" i="59"/>
  <c r="G2787" i="59"/>
  <c r="G2786" i="59"/>
  <c r="G2785" i="59"/>
  <c r="G2784" i="59"/>
  <c r="G2783" i="59"/>
  <c r="G2782" i="59"/>
  <c r="G2781" i="59"/>
  <c r="G2780" i="59"/>
  <c r="G2779" i="59"/>
  <c r="G2778" i="59"/>
  <c r="G2777" i="59"/>
  <c r="G2776" i="59"/>
  <c r="G2775" i="59"/>
  <c r="G2774" i="59"/>
  <c r="G2773" i="59"/>
  <c r="G2772" i="59"/>
  <c r="G2771" i="59"/>
  <c r="G2770" i="59"/>
  <c r="G2769" i="59"/>
  <c r="G2768" i="59"/>
  <c r="G2767" i="59"/>
  <c r="G2766" i="59"/>
  <c r="G2765" i="59"/>
  <c r="G2764" i="59"/>
  <c r="G2763" i="59"/>
  <c r="G2762" i="59"/>
  <c r="G2761" i="59"/>
  <c r="G2760" i="59"/>
  <c r="G2759" i="59"/>
  <c r="G2758" i="59"/>
  <c r="G2757" i="59"/>
  <c r="G2756" i="59"/>
  <c r="G2755" i="59"/>
  <c r="G2754" i="59"/>
  <c r="G2753" i="59"/>
  <c r="G2752" i="59"/>
  <c r="G2751" i="59"/>
  <c r="G2750" i="59"/>
  <c r="G2749" i="59"/>
  <c r="G2748" i="59"/>
  <c r="G2747" i="59"/>
  <c r="G2746" i="59"/>
  <c r="G2745" i="59"/>
  <c r="G2744" i="59"/>
  <c r="G2743" i="59"/>
  <c r="G2742" i="59"/>
  <c r="G2741" i="59"/>
  <c r="G2740" i="59"/>
  <c r="G2739" i="59"/>
  <c r="G2738" i="59"/>
  <c r="G2737" i="59"/>
  <c r="G2736" i="59"/>
  <c r="G2735" i="59"/>
  <c r="G2734" i="59"/>
  <c r="G2733" i="59"/>
  <c r="G2732" i="59"/>
  <c r="G2731" i="59"/>
  <c r="G2730" i="59"/>
  <c r="G2729" i="59"/>
  <c r="G2728" i="59"/>
  <c r="G2727" i="59"/>
  <c r="G2726" i="59"/>
  <c r="G2725" i="59"/>
  <c r="G2724" i="59"/>
  <c r="G2723" i="59"/>
  <c r="G2722" i="59"/>
  <c r="G2721" i="59"/>
  <c r="G2720" i="59"/>
  <c r="G2719" i="59"/>
  <c r="G2718" i="59"/>
  <c r="G2717" i="59"/>
  <c r="G2716" i="59"/>
  <c r="G2715" i="59"/>
  <c r="G2714" i="59"/>
  <c r="G2713" i="59"/>
  <c r="G2712" i="59"/>
  <c r="G2711" i="59"/>
  <c r="G2710" i="59"/>
  <c r="G2709" i="59"/>
  <c r="G2708" i="59"/>
  <c r="G2707" i="59"/>
  <c r="G2706" i="59"/>
  <c r="G2705" i="59"/>
  <c r="G2704" i="59"/>
  <c r="G2703" i="59"/>
  <c r="G2702" i="59"/>
  <c r="G2701" i="59"/>
  <c r="G2700" i="59"/>
  <c r="G2699" i="59"/>
  <c r="G2698" i="59"/>
  <c r="G2697" i="59"/>
  <c r="G2696" i="59"/>
  <c r="G2695" i="59"/>
  <c r="G2694" i="59"/>
  <c r="G2693" i="59"/>
  <c r="G2692" i="59"/>
  <c r="G2691" i="59"/>
  <c r="G2690" i="59"/>
  <c r="G2689" i="59"/>
  <c r="G2688" i="59"/>
  <c r="G2687" i="59"/>
  <c r="G2686" i="59"/>
  <c r="G2685" i="59"/>
  <c r="G2684" i="59"/>
  <c r="G2683" i="59"/>
  <c r="G2682" i="59"/>
  <c r="G2681" i="59"/>
  <c r="G2680" i="59"/>
  <c r="G2679" i="59"/>
  <c r="G2678" i="59"/>
  <c r="G2677" i="59"/>
  <c r="G2676" i="59"/>
  <c r="G2675" i="59"/>
  <c r="G2674" i="59"/>
  <c r="G2673" i="59"/>
  <c r="G2672" i="59"/>
  <c r="G2671" i="59"/>
  <c r="G2670" i="59"/>
  <c r="G2669" i="59"/>
  <c r="G2668" i="59"/>
  <c r="G2667" i="59"/>
  <c r="G2666" i="59"/>
  <c r="G2665" i="59"/>
  <c r="G2664" i="59"/>
  <c r="G2663" i="59"/>
  <c r="G2662" i="59"/>
  <c r="G2661" i="59"/>
  <c r="G2660" i="59"/>
  <c r="G2659" i="59"/>
  <c r="G2658" i="59"/>
  <c r="G2657" i="59"/>
  <c r="G2656" i="59"/>
  <c r="G2655" i="59"/>
  <c r="G2654" i="59"/>
  <c r="G2653" i="59"/>
  <c r="G2652" i="59"/>
  <c r="G2651" i="59"/>
  <c r="G2650" i="59"/>
  <c r="G2649" i="59"/>
  <c r="G2648" i="59"/>
  <c r="G2647" i="59"/>
  <c r="G2646" i="59"/>
  <c r="G2645" i="59"/>
  <c r="G2644" i="59"/>
  <c r="G2643" i="59"/>
  <c r="G2642" i="59"/>
  <c r="G2641" i="59"/>
  <c r="G2640" i="59"/>
  <c r="G2639" i="59"/>
  <c r="G2638" i="59"/>
  <c r="G2637" i="59"/>
  <c r="G2636" i="59"/>
  <c r="G2635" i="59"/>
  <c r="G2634" i="59"/>
  <c r="G2633" i="59"/>
  <c r="G2632" i="59"/>
  <c r="G2631" i="59"/>
  <c r="G2630" i="59"/>
  <c r="G2629" i="59"/>
  <c r="G2628" i="59"/>
  <c r="G2627" i="59"/>
  <c r="G2626" i="59"/>
  <c r="G2625" i="59"/>
  <c r="G2624" i="59"/>
  <c r="G2623" i="59"/>
  <c r="G2622" i="59"/>
  <c r="G2621" i="59"/>
  <c r="G2620" i="59"/>
  <c r="G2619" i="59"/>
  <c r="G2618" i="59"/>
  <c r="G2617" i="59"/>
  <c r="G2616" i="59"/>
  <c r="G2615" i="59"/>
  <c r="G2614" i="59"/>
  <c r="G2613" i="59"/>
  <c r="G2612" i="59"/>
  <c r="G2611" i="59"/>
  <c r="G2610" i="59"/>
  <c r="G2609" i="59"/>
  <c r="G2608" i="59"/>
  <c r="G2607" i="59"/>
  <c r="G2606" i="59"/>
  <c r="G2605" i="59"/>
  <c r="G2604" i="59"/>
  <c r="G2603" i="59"/>
  <c r="G2602" i="59"/>
  <c r="G2601" i="59"/>
  <c r="G2600" i="59"/>
  <c r="G2599" i="59"/>
  <c r="G2598" i="59"/>
  <c r="G2597" i="59"/>
  <c r="G2596" i="59"/>
  <c r="G2595" i="59"/>
  <c r="G2594" i="59"/>
  <c r="G2593" i="59"/>
  <c r="G2592" i="59"/>
  <c r="G2591" i="59"/>
  <c r="G2590" i="59"/>
  <c r="G2589" i="59"/>
  <c r="G2588" i="59"/>
  <c r="G2587" i="59"/>
  <c r="G2586" i="59"/>
  <c r="G2585" i="59"/>
  <c r="G2584" i="59"/>
  <c r="G2583" i="59"/>
  <c r="G2582" i="59"/>
  <c r="G2581" i="59"/>
  <c r="G2580" i="59"/>
  <c r="G2579" i="59"/>
  <c r="G2578" i="59"/>
  <c r="G2577" i="59"/>
  <c r="G2576" i="59"/>
  <c r="G2575" i="59"/>
  <c r="G2574" i="59"/>
  <c r="G2573" i="59"/>
  <c r="G2572" i="59"/>
  <c r="G2571" i="59"/>
  <c r="G2570" i="59"/>
  <c r="G2569" i="59"/>
  <c r="G2568" i="59"/>
  <c r="G2567" i="59"/>
  <c r="G2566" i="59"/>
  <c r="G2565" i="59"/>
  <c r="G2564" i="59"/>
  <c r="G2563" i="59"/>
  <c r="G2562" i="59"/>
  <c r="G2561" i="59"/>
  <c r="G2560" i="59"/>
  <c r="G2559" i="59"/>
  <c r="G2558" i="59"/>
  <c r="G2557" i="59"/>
  <c r="G2556" i="59"/>
  <c r="G2555" i="59"/>
  <c r="G2554" i="59"/>
  <c r="G2553" i="59"/>
  <c r="G2552" i="59"/>
  <c r="G2551" i="59"/>
  <c r="G2550" i="59"/>
  <c r="G2549" i="59"/>
  <c r="G2548" i="59"/>
  <c r="G2547" i="59"/>
  <c r="G2546" i="59"/>
  <c r="G2545" i="59"/>
  <c r="G2544" i="59"/>
  <c r="G2543" i="59"/>
  <c r="G2542" i="59"/>
  <c r="G2541" i="59"/>
  <c r="G2540" i="59"/>
  <c r="G2539" i="59"/>
  <c r="G2538" i="59"/>
  <c r="G2537" i="59"/>
  <c r="G2536" i="59"/>
  <c r="G2535" i="59"/>
  <c r="G2534" i="59"/>
  <c r="G2533" i="59"/>
  <c r="G2532" i="59"/>
  <c r="G2531" i="59"/>
  <c r="G2530" i="59"/>
  <c r="G2529" i="59"/>
  <c r="G2528" i="59"/>
  <c r="G2527" i="59"/>
  <c r="G2526" i="59"/>
  <c r="G2525" i="59"/>
  <c r="G2524" i="59"/>
  <c r="G2523" i="59"/>
  <c r="G2522" i="59"/>
  <c r="G2521" i="59"/>
  <c r="G2520" i="59"/>
  <c r="G2519" i="59"/>
  <c r="G2518" i="59"/>
  <c r="G2517" i="59"/>
  <c r="G2516" i="59"/>
  <c r="G2515" i="59"/>
  <c r="G2514" i="59"/>
  <c r="G2513" i="59"/>
  <c r="G2512" i="59"/>
  <c r="G2511" i="59"/>
  <c r="G2510" i="59"/>
  <c r="G2509" i="59"/>
  <c r="G2508" i="59"/>
  <c r="G2507" i="59"/>
  <c r="G2506" i="59"/>
  <c r="G2505" i="59"/>
  <c r="G2504" i="59"/>
  <c r="G2503" i="59"/>
  <c r="G2502" i="59"/>
  <c r="G2501" i="59"/>
  <c r="G2500" i="59"/>
  <c r="G2499" i="59"/>
  <c r="G2498" i="59"/>
  <c r="G2497" i="59"/>
  <c r="G2496" i="59"/>
  <c r="G2495" i="59"/>
  <c r="G2494" i="59"/>
  <c r="G2493" i="59"/>
  <c r="G2492" i="59"/>
  <c r="G2491" i="59"/>
  <c r="G2490" i="59"/>
  <c r="G2489" i="59"/>
  <c r="G2488" i="59"/>
  <c r="G2487" i="59"/>
  <c r="G2486" i="59"/>
  <c r="G2485" i="59"/>
  <c r="G2484" i="59"/>
  <c r="G2483" i="59"/>
  <c r="G2482" i="59"/>
  <c r="G2481" i="59"/>
  <c r="G2480" i="59"/>
  <c r="G2479" i="59"/>
  <c r="G2478" i="59"/>
  <c r="G2477" i="59"/>
  <c r="G2476" i="59"/>
  <c r="G2475" i="59"/>
  <c r="G2474" i="59"/>
  <c r="G2473" i="59"/>
  <c r="G2472" i="59"/>
  <c r="G2471" i="59"/>
  <c r="G2470" i="59"/>
  <c r="G2469" i="59"/>
  <c r="G2468" i="59"/>
  <c r="G2467" i="59"/>
  <c r="G2466" i="59"/>
  <c r="G2465" i="59"/>
  <c r="G2464" i="59"/>
  <c r="G2463" i="59"/>
  <c r="G2462" i="59"/>
  <c r="G2461" i="59"/>
  <c r="G2460" i="59"/>
  <c r="G2459" i="59"/>
  <c r="G2458" i="59"/>
  <c r="G2457" i="59"/>
  <c r="G2456" i="59"/>
  <c r="G2455" i="59"/>
  <c r="G2454" i="59"/>
  <c r="G2453" i="59"/>
  <c r="G2452" i="59"/>
  <c r="G2451" i="59"/>
  <c r="G2450" i="59"/>
  <c r="G2449" i="59"/>
  <c r="G2448" i="59"/>
  <c r="G2447" i="59"/>
  <c r="G2446" i="59"/>
  <c r="G2445" i="59"/>
  <c r="G2444" i="59"/>
  <c r="G2443" i="59"/>
  <c r="G2442" i="59"/>
  <c r="G2441" i="59"/>
  <c r="G2440" i="59"/>
  <c r="G2439" i="59"/>
  <c r="G2438" i="59"/>
  <c r="G2437" i="59"/>
  <c r="G2436" i="59"/>
  <c r="G2435" i="59"/>
  <c r="G2434" i="59"/>
  <c r="G2433" i="59"/>
  <c r="G2432" i="59"/>
  <c r="G2431" i="59"/>
  <c r="G2430" i="59"/>
  <c r="G2429" i="59"/>
  <c r="G2428" i="59"/>
  <c r="G2427" i="59"/>
  <c r="G2426" i="59"/>
  <c r="G2425" i="59"/>
  <c r="G2424" i="59"/>
  <c r="G2423" i="59"/>
  <c r="G2422" i="59"/>
  <c r="G2421" i="59"/>
  <c r="G2420" i="59"/>
  <c r="G2419" i="59"/>
  <c r="G2418" i="59"/>
  <c r="G2417" i="59"/>
  <c r="G2416" i="59"/>
  <c r="G2415" i="59"/>
  <c r="G2414" i="59"/>
  <c r="G2413" i="59"/>
  <c r="G2412" i="59"/>
  <c r="G2411" i="59"/>
  <c r="G2410" i="59"/>
  <c r="G2409" i="59"/>
  <c r="G2408" i="59"/>
  <c r="G2407" i="59"/>
  <c r="G2406" i="59"/>
  <c r="G2405" i="59"/>
  <c r="G2404" i="59"/>
  <c r="G2403" i="59"/>
  <c r="G2402" i="59"/>
  <c r="G2401" i="59"/>
  <c r="G2400" i="59"/>
  <c r="G2399" i="59"/>
  <c r="G2398" i="59"/>
  <c r="G2397" i="59"/>
  <c r="G2396" i="59"/>
  <c r="G2395" i="59"/>
  <c r="G2394" i="59"/>
  <c r="G2393" i="59"/>
  <c r="G2392" i="59"/>
  <c r="G2391" i="59"/>
  <c r="G2390" i="59"/>
  <c r="G2389" i="59"/>
  <c r="G2388" i="59"/>
  <c r="G2387" i="59"/>
  <c r="G2386" i="59"/>
  <c r="G2385" i="59"/>
  <c r="G2384" i="59"/>
  <c r="G2383" i="59"/>
  <c r="G2382" i="59"/>
  <c r="G2381" i="59"/>
  <c r="G2380" i="59"/>
  <c r="G2379" i="59"/>
  <c r="G2378" i="59"/>
  <c r="G2377" i="59"/>
  <c r="G2376" i="59"/>
  <c r="G2375" i="59"/>
  <c r="G2374" i="59"/>
  <c r="G2373" i="59"/>
  <c r="G2372" i="59"/>
  <c r="G2371" i="59"/>
  <c r="G2370" i="59"/>
  <c r="G2369" i="59"/>
  <c r="G2368" i="59"/>
  <c r="G2367" i="59"/>
  <c r="G2366" i="59"/>
  <c r="G2365" i="59"/>
  <c r="G2364" i="59"/>
  <c r="G2363" i="59"/>
  <c r="G2362" i="59"/>
  <c r="G2361" i="59"/>
  <c r="G2360" i="59"/>
  <c r="G2359" i="59"/>
  <c r="G2358" i="59"/>
  <c r="G2357" i="59"/>
  <c r="G2356" i="59"/>
  <c r="G2355" i="59"/>
  <c r="G2354" i="59"/>
  <c r="G2353" i="59"/>
  <c r="G2352" i="59"/>
  <c r="G2351" i="59"/>
  <c r="G2350" i="59"/>
  <c r="G2349" i="59"/>
  <c r="G2348" i="59"/>
  <c r="G2347" i="59"/>
  <c r="G2346" i="59"/>
  <c r="G2345" i="59"/>
  <c r="G2344" i="59"/>
  <c r="G2343" i="59"/>
  <c r="G2342" i="59"/>
  <c r="G2341" i="59"/>
  <c r="G2340" i="59"/>
  <c r="G2339" i="59"/>
  <c r="G2338" i="59"/>
  <c r="G2337" i="59"/>
  <c r="G2336" i="59"/>
  <c r="G2335" i="59"/>
  <c r="G2334" i="59"/>
  <c r="G2333" i="59"/>
  <c r="G2332" i="59"/>
  <c r="G2331" i="59"/>
  <c r="G2330" i="59"/>
  <c r="G2329" i="59"/>
  <c r="G2328" i="59"/>
  <c r="G2327" i="59"/>
  <c r="G2326" i="59"/>
  <c r="G2325" i="59"/>
  <c r="G2324" i="59"/>
  <c r="G2323" i="59"/>
  <c r="G2322" i="59"/>
  <c r="G2321" i="59"/>
  <c r="G2320" i="59"/>
  <c r="G2319" i="59"/>
  <c r="G2318" i="59"/>
  <c r="G2317" i="59"/>
  <c r="G2316" i="59"/>
  <c r="G2315" i="59"/>
  <c r="G2314" i="59"/>
  <c r="G2313" i="59"/>
  <c r="G2312" i="59"/>
  <c r="G2311" i="59"/>
  <c r="G2310" i="59"/>
  <c r="G2309" i="59"/>
  <c r="G2308" i="59"/>
  <c r="G2307" i="59"/>
  <c r="G2306" i="59"/>
  <c r="G2305" i="59"/>
  <c r="G2304" i="59"/>
  <c r="G2303" i="59"/>
  <c r="G2302" i="59"/>
  <c r="G2301" i="59"/>
  <c r="G2300" i="59"/>
  <c r="G2299" i="59"/>
  <c r="G2298" i="59"/>
  <c r="G2297" i="59"/>
  <c r="G2296" i="59"/>
  <c r="G2295" i="59"/>
  <c r="G2294" i="59"/>
  <c r="G2293" i="59"/>
  <c r="G2292" i="59"/>
  <c r="G2291" i="59"/>
  <c r="G2290" i="59"/>
  <c r="G2289" i="59"/>
  <c r="G2288" i="59"/>
  <c r="G2287" i="59"/>
  <c r="G2286" i="59"/>
  <c r="G2285" i="59"/>
  <c r="G2284" i="59"/>
  <c r="G2283" i="59"/>
  <c r="G2282" i="59"/>
  <c r="G2281" i="59"/>
  <c r="G2280" i="59"/>
  <c r="G2279" i="59"/>
  <c r="G2278" i="59"/>
  <c r="G2277" i="59"/>
  <c r="G2276" i="59"/>
  <c r="G2275" i="59"/>
  <c r="G2274" i="59"/>
  <c r="G2273" i="59"/>
  <c r="G2272" i="59"/>
  <c r="G2271" i="59"/>
  <c r="G2270" i="59"/>
  <c r="G2269" i="59"/>
  <c r="G2268" i="59"/>
  <c r="G2267" i="59"/>
  <c r="G2266" i="59"/>
  <c r="G2265" i="59"/>
  <c r="G2264" i="59"/>
  <c r="G2263" i="59"/>
  <c r="G2262" i="59"/>
  <c r="G2261" i="59"/>
  <c r="G2260" i="59"/>
  <c r="G2259" i="59"/>
  <c r="G2258" i="59"/>
  <c r="G2257" i="59"/>
  <c r="G2256" i="59"/>
  <c r="G2255" i="59"/>
  <c r="G2254" i="59"/>
  <c r="G2253" i="59"/>
  <c r="G2252" i="59"/>
  <c r="G2251" i="59"/>
  <c r="G2250" i="59"/>
  <c r="G2249" i="59"/>
  <c r="G2248" i="59"/>
  <c r="G2247" i="59"/>
  <c r="G2246" i="59"/>
  <c r="G2245" i="59"/>
  <c r="G2244" i="59"/>
  <c r="G2243" i="59"/>
  <c r="G2242" i="59"/>
  <c r="G2241" i="59"/>
  <c r="G2240" i="59"/>
  <c r="G2239" i="59"/>
  <c r="G2238" i="59"/>
  <c r="G2237" i="59"/>
  <c r="G2236" i="59"/>
  <c r="G2235" i="59"/>
  <c r="G2234" i="59"/>
  <c r="G2233" i="59"/>
  <c r="G2232" i="59"/>
  <c r="G2231" i="59"/>
  <c r="G2230" i="59"/>
  <c r="G2229" i="59"/>
  <c r="G2228" i="59"/>
  <c r="G2227" i="59"/>
  <c r="G2226" i="59"/>
  <c r="G2225" i="59"/>
  <c r="G2224" i="59"/>
  <c r="G2223" i="59"/>
  <c r="G2222" i="59"/>
  <c r="G2221" i="59"/>
  <c r="G2220" i="59"/>
  <c r="G2219" i="59"/>
  <c r="G2218" i="59"/>
  <c r="G2217" i="59"/>
  <c r="G2216" i="59"/>
  <c r="G2215" i="59"/>
  <c r="G2214" i="59"/>
  <c r="G2213" i="59"/>
  <c r="G2212" i="59"/>
  <c r="G2211" i="59"/>
  <c r="G2210" i="59"/>
  <c r="G2209" i="59"/>
  <c r="G2208" i="59"/>
  <c r="G2207" i="59"/>
  <c r="G2206" i="59"/>
  <c r="G2205" i="59"/>
  <c r="G2204" i="59"/>
  <c r="G2203" i="59"/>
  <c r="G2202" i="59"/>
  <c r="G2201" i="59"/>
  <c r="G2200" i="59"/>
  <c r="G2199" i="59"/>
  <c r="G2198" i="59"/>
  <c r="G2197" i="59"/>
  <c r="G2196" i="59"/>
  <c r="G2195" i="59"/>
  <c r="G2194" i="59"/>
  <c r="G2193" i="59"/>
  <c r="G2192" i="59"/>
  <c r="G2191" i="59"/>
  <c r="G2190" i="59"/>
  <c r="G2189" i="59"/>
  <c r="G2188" i="59"/>
  <c r="G2187" i="59"/>
  <c r="G2186" i="59"/>
  <c r="G2185" i="59"/>
  <c r="G2184" i="59"/>
  <c r="G2183" i="59"/>
  <c r="G2182" i="59"/>
  <c r="G2181" i="59"/>
  <c r="G2180" i="59"/>
  <c r="G2179" i="59"/>
  <c r="G2178" i="59"/>
  <c r="G2177" i="59"/>
  <c r="G2176" i="59"/>
  <c r="G2175" i="59"/>
  <c r="G2174" i="59"/>
  <c r="G2173" i="59"/>
  <c r="G2172" i="59"/>
  <c r="G2171" i="59"/>
  <c r="G2170" i="59"/>
  <c r="G2169" i="59"/>
  <c r="G2168" i="59"/>
  <c r="G2167" i="59"/>
  <c r="G2166" i="59"/>
  <c r="G2165" i="59"/>
  <c r="G2164" i="59"/>
  <c r="G2163" i="59"/>
  <c r="G2162" i="59"/>
  <c r="G2161" i="59"/>
  <c r="G2160" i="59"/>
  <c r="G2159" i="59"/>
  <c r="G2158" i="59"/>
  <c r="G2157" i="59"/>
  <c r="G2156" i="59"/>
  <c r="G2155" i="59"/>
  <c r="G2154" i="59"/>
  <c r="G2153" i="59"/>
  <c r="G2152" i="59"/>
  <c r="G2151" i="59"/>
  <c r="G2150" i="59"/>
  <c r="G2149" i="59"/>
  <c r="G2148" i="59"/>
  <c r="G2147" i="59"/>
  <c r="G2146" i="59"/>
  <c r="G2145" i="59"/>
  <c r="G2144" i="59"/>
  <c r="G2143" i="59"/>
  <c r="G2142" i="59"/>
  <c r="G2141" i="59"/>
  <c r="G2140" i="59"/>
  <c r="G2139" i="59"/>
  <c r="G2138" i="59"/>
  <c r="G2137" i="59"/>
  <c r="G2136" i="59"/>
  <c r="G2135" i="59"/>
  <c r="G2134" i="59"/>
  <c r="G2133" i="59"/>
  <c r="G2132" i="59"/>
  <c r="G2131" i="59"/>
  <c r="G2130" i="59"/>
  <c r="G2129" i="59"/>
  <c r="G2128" i="59"/>
  <c r="G2127" i="59"/>
  <c r="G2126" i="59"/>
  <c r="G2125" i="59"/>
  <c r="G2124" i="59"/>
  <c r="G2123" i="59"/>
  <c r="G2122" i="59"/>
  <c r="G2121" i="59"/>
  <c r="G2120" i="59"/>
  <c r="G2119" i="59"/>
  <c r="G2118" i="59"/>
  <c r="G2117" i="59"/>
  <c r="G2116" i="59"/>
  <c r="G2115" i="59"/>
  <c r="G2114" i="59"/>
  <c r="G2113" i="59"/>
  <c r="G2112" i="59"/>
  <c r="G2111" i="59"/>
  <c r="G2110" i="59"/>
  <c r="G2109" i="59"/>
  <c r="G2108" i="59"/>
  <c r="G2107" i="59"/>
  <c r="G2106" i="59"/>
  <c r="G2105" i="59"/>
  <c r="G2104" i="59"/>
  <c r="G2103" i="59"/>
  <c r="G2102" i="59"/>
  <c r="G2101" i="59"/>
  <c r="G2100" i="59"/>
  <c r="G2099" i="59"/>
  <c r="G2098" i="59"/>
  <c r="G2097" i="59"/>
  <c r="G2096" i="59"/>
  <c r="G2095" i="59"/>
  <c r="G2094" i="59"/>
  <c r="G2093" i="59"/>
  <c r="G2092" i="59"/>
  <c r="G2091" i="59"/>
  <c r="G2090" i="59"/>
  <c r="G2089" i="59"/>
  <c r="G2088" i="59"/>
  <c r="G2087" i="59"/>
  <c r="G2086" i="59"/>
  <c r="G2085" i="59"/>
  <c r="G2084" i="59"/>
  <c r="G2083" i="59"/>
  <c r="G2082" i="59"/>
  <c r="G2081" i="59"/>
  <c r="G2080" i="59"/>
  <c r="G2079" i="59"/>
  <c r="G2078" i="59"/>
  <c r="G2077" i="59"/>
  <c r="G2076" i="59"/>
  <c r="G2075" i="59"/>
  <c r="G2074" i="59"/>
  <c r="G2073" i="59"/>
  <c r="G2072" i="59"/>
  <c r="G2071" i="59"/>
  <c r="G2070" i="59"/>
  <c r="G2069" i="59"/>
  <c r="G2068" i="59"/>
  <c r="G2067" i="59"/>
  <c r="G2066" i="59"/>
  <c r="G2065" i="59"/>
  <c r="G2064" i="59"/>
  <c r="G2063" i="59"/>
  <c r="G2062" i="59"/>
  <c r="G2061" i="59"/>
  <c r="G2060" i="59"/>
  <c r="G2059" i="59"/>
  <c r="G2058" i="59"/>
  <c r="G2057" i="59"/>
  <c r="G2056" i="59"/>
  <c r="G2055" i="59"/>
  <c r="G2054" i="59"/>
  <c r="G2053" i="59"/>
  <c r="G2052" i="59"/>
  <c r="G2051" i="59"/>
  <c r="G2050" i="59"/>
  <c r="G2049" i="59"/>
  <c r="G2048" i="59"/>
  <c r="G2047" i="59"/>
  <c r="G2046" i="59"/>
  <c r="G2045" i="59"/>
  <c r="G2044" i="59"/>
  <c r="G2043" i="59"/>
  <c r="G2042" i="59"/>
  <c r="G2041" i="59"/>
  <c r="G2040" i="59"/>
  <c r="G2039" i="59"/>
  <c r="G2038" i="59"/>
  <c r="G2037" i="59"/>
  <c r="G2036" i="59"/>
  <c r="G2035" i="59"/>
  <c r="G2034" i="59"/>
  <c r="G2033" i="59"/>
  <c r="G2032" i="59"/>
  <c r="G2031" i="59"/>
  <c r="G2030" i="59"/>
  <c r="G2029" i="59"/>
  <c r="G2028" i="59"/>
  <c r="G2027" i="59"/>
  <c r="G2026" i="59"/>
  <c r="G2025" i="59"/>
  <c r="G2024" i="59"/>
  <c r="G2023" i="59"/>
  <c r="G2022" i="59"/>
  <c r="G2021" i="59"/>
  <c r="G2020" i="59"/>
  <c r="G2019" i="59"/>
  <c r="G2018" i="59"/>
  <c r="G2017" i="59"/>
  <c r="G2016" i="59"/>
  <c r="G2015" i="59"/>
  <c r="G2014" i="59"/>
  <c r="G2013" i="59"/>
  <c r="G2012" i="59"/>
  <c r="G2011" i="59"/>
  <c r="G2010" i="59"/>
  <c r="G2009" i="59"/>
  <c r="G2008" i="59"/>
  <c r="G2007" i="59"/>
  <c r="G2006" i="59"/>
  <c r="G2005" i="59"/>
  <c r="G2004" i="59"/>
  <c r="G2003" i="59"/>
  <c r="G2002" i="59"/>
  <c r="G2001" i="59"/>
  <c r="G2000" i="59"/>
  <c r="G1999" i="59"/>
  <c r="G1998" i="59"/>
  <c r="G1997" i="59"/>
  <c r="G1996" i="59"/>
  <c r="G1995" i="59"/>
  <c r="G1994" i="59"/>
  <c r="G1993" i="59"/>
  <c r="G1992" i="59"/>
  <c r="G1991" i="59"/>
  <c r="G1990" i="59"/>
  <c r="G1989" i="59"/>
  <c r="G1988" i="59"/>
  <c r="G1987" i="59"/>
  <c r="G1986" i="59"/>
  <c r="G1985" i="59"/>
  <c r="G1984" i="59"/>
  <c r="G1983" i="59"/>
  <c r="G1982" i="59"/>
  <c r="G1981" i="59"/>
  <c r="G1980" i="59"/>
  <c r="G1979" i="59"/>
  <c r="G1978" i="59"/>
  <c r="G1977" i="59"/>
  <c r="G1976" i="59"/>
  <c r="G1975" i="59"/>
  <c r="G1974" i="59"/>
  <c r="G1973" i="59"/>
  <c r="G1972" i="59"/>
  <c r="G1971" i="59"/>
  <c r="G1970" i="59"/>
  <c r="G1969" i="59"/>
  <c r="G1968" i="59"/>
  <c r="G1967" i="59"/>
  <c r="G1966" i="59"/>
  <c r="G1965" i="59"/>
  <c r="G1964" i="59"/>
  <c r="G1963" i="59"/>
  <c r="G1962" i="59"/>
  <c r="G1961" i="59"/>
  <c r="G1960" i="59"/>
  <c r="G1959" i="59"/>
  <c r="G1958" i="59"/>
  <c r="G1957" i="59"/>
  <c r="G1956" i="59"/>
  <c r="G1955" i="59"/>
  <c r="G1954" i="59"/>
  <c r="G1953" i="59"/>
  <c r="G1952" i="59"/>
  <c r="G1951" i="59"/>
  <c r="G1950" i="59"/>
  <c r="G1949" i="59"/>
  <c r="G1948" i="59"/>
  <c r="G1947" i="59"/>
  <c r="G1946" i="59"/>
  <c r="G1945" i="59"/>
  <c r="G1944" i="59"/>
  <c r="G1943" i="59"/>
  <c r="G1942" i="59"/>
  <c r="G1941" i="59"/>
  <c r="G1940" i="59"/>
  <c r="G1939" i="59"/>
  <c r="G1938" i="59"/>
  <c r="G1937" i="59"/>
  <c r="G1936" i="59"/>
  <c r="G1935" i="59"/>
  <c r="G1934" i="59"/>
  <c r="G1933" i="59"/>
  <c r="G1932" i="59"/>
  <c r="G1931" i="59"/>
  <c r="G1930" i="59"/>
  <c r="G1929" i="59"/>
  <c r="G1928" i="59"/>
  <c r="G1927" i="59"/>
  <c r="G1926" i="59"/>
  <c r="G1925" i="59"/>
  <c r="G1924" i="59"/>
  <c r="G1923" i="59"/>
  <c r="G1922" i="59"/>
  <c r="G1921" i="59"/>
  <c r="G1920" i="59"/>
  <c r="G1919" i="59"/>
  <c r="G1918" i="59"/>
  <c r="G1917" i="59"/>
  <c r="G1916" i="59"/>
  <c r="G1915" i="59"/>
  <c r="G1914" i="59"/>
  <c r="G1913" i="59"/>
  <c r="G1912" i="59"/>
  <c r="G1911" i="59"/>
  <c r="G1910" i="59"/>
  <c r="G1909" i="59"/>
  <c r="G1908" i="59"/>
  <c r="G1907" i="59"/>
  <c r="G1906" i="59"/>
  <c r="G1905" i="59"/>
  <c r="G1904" i="59"/>
  <c r="G1903" i="59"/>
  <c r="G1902" i="59"/>
  <c r="G1901" i="59"/>
  <c r="G1900" i="59"/>
  <c r="G1899" i="59"/>
  <c r="G1898" i="59"/>
  <c r="G1897" i="59"/>
  <c r="G1896" i="59"/>
  <c r="G1895" i="59"/>
  <c r="G1894" i="59"/>
  <c r="G1893" i="59"/>
  <c r="G1892" i="59"/>
  <c r="G1891" i="59"/>
  <c r="G1890" i="59"/>
  <c r="G1889" i="59"/>
  <c r="G1888" i="59"/>
  <c r="G1887" i="59"/>
  <c r="G1886" i="59"/>
  <c r="G1885" i="59"/>
  <c r="G1884" i="59"/>
  <c r="G1883" i="59"/>
  <c r="G1882" i="59"/>
  <c r="G1881" i="59"/>
  <c r="G1880" i="59"/>
  <c r="G1879" i="59"/>
  <c r="G1878" i="59"/>
  <c r="G1877" i="59"/>
  <c r="G1876" i="59"/>
  <c r="G1875" i="59"/>
  <c r="G1874" i="59"/>
  <c r="G1873" i="59"/>
  <c r="G1872" i="59"/>
  <c r="G1871" i="59"/>
  <c r="G1870" i="59"/>
  <c r="G1869" i="59"/>
  <c r="G1868" i="59"/>
  <c r="G1867" i="59"/>
  <c r="G1866" i="59"/>
  <c r="G1865" i="59"/>
  <c r="G1864" i="59"/>
  <c r="G1863" i="59"/>
  <c r="G1862" i="59"/>
  <c r="G1861" i="59"/>
  <c r="G1860" i="59"/>
  <c r="G1859" i="59"/>
  <c r="G1858" i="59"/>
  <c r="G1857" i="59"/>
  <c r="G1856" i="59"/>
  <c r="G1855" i="59"/>
  <c r="G1854" i="59"/>
  <c r="G1853" i="59"/>
  <c r="G1852" i="59"/>
  <c r="G1851" i="59"/>
  <c r="G1850" i="59"/>
  <c r="G1849" i="59"/>
  <c r="G1848" i="59"/>
  <c r="G1847" i="59"/>
  <c r="G1846" i="59"/>
  <c r="G1845" i="59"/>
  <c r="G1844" i="59"/>
  <c r="G1843" i="59"/>
  <c r="G1842" i="59"/>
  <c r="G1841" i="59"/>
  <c r="G1840" i="59"/>
  <c r="G1839" i="59"/>
  <c r="G1838" i="59"/>
  <c r="G1837" i="59"/>
  <c r="G1836" i="59"/>
  <c r="G1835" i="59"/>
  <c r="G1834" i="59"/>
  <c r="G1833" i="59"/>
  <c r="G1832" i="59"/>
  <c r="G1831" i="59"/>
  <c r="G1830" i="59"/>
  <c r="G1829" i="59"/>
  <c r="G1828" i="59"/>
  <c r="G1827" i="59"/>
  <c r="G1826" i="59"/>
  <c r="G1825" i="59"/>
  <c r="G1824" i="59"/>
  <c r="G1823" i="59"/>
  <c r="G1822" i="59"/>
  <c r="G1821" i="59"/>
  <c r="G1820" i="59"/>
  <c r="G1819" i="59"/>
  <c r="G1818" i="59"/>
  <c r="G1817" i="59"/>
  <c r="G1816" i="59"/>
  <c r="G1815" i="59"/>
  <c r="G1814" i="59"/>
  <c r="G1813" i="59"/>
  <c r="G1812" i="59"/>
  <c r="G1811" i="59"/>
  <c r="G1810" i="59"/>
  <c r="G1809" i="59"/>
  <c r="G1808" i="59"/>
  <c r="G1807" i="59"/>
  <c r="G1806" i="59"/>
  <c r="G1805" i="59"/>
  <c r="G1804" i="59"/>
  <c r="G1803" i="59"/>
  <c r="G1802" i="59"/>
  <c r="G1801" i="59"/>
  <c r="G1800" i="59"/>
  <c r="G1799" i="59"/>
  <c r="G1798" i="59"/>
  <c r="G1797" i="59"/>
  <c r="G1796" i="59"/>
  <c r="G1795" i="59"/>
  <c r="G1794" i="59"/>
  <c r="G1793" i="59"/>
  <c r="G1792" i="59"/>
  <c r="G1791" i="59"/>
  <c r="G1790" i="59"/>
  <c r="G1789" i="59"/>
  <c r="G1788" i="59"/>
  <c r="G1787" i="59"/>
  <c r="G1786" i="59"/>
  <c r="G1785" i="59"/>
  <c r="G1784" i="59"/>
  <c r="G1783" i="59"/>
  <c r="G1782" i="59"/>
  <c r="G1781" i="59"/>
  <c r="G1780" i="59"/>
  <c r="G1779" i="59"/>
  <c r="G1778" i="59"/>
  <c r="G1777" i="59"/>
  <c r="G1776" i="59"/>
  <c r="G1775" i="59"/>
  <c r="G1774" i="59"/>
  <c r="G1773" i="59"/>
  <c r="G1772" i="59"/>
  <c r="G1771" i="59"/>
  <c r="G1770" i="59"/>
  <c r="G1769" i="59"/>
  <c r="G1768" i="59"/>
  <c r="G1767" i="59"/>
  <c r="G1766" i="59"/>
  <c r="G1765" i="59"/>
  <c r="G1764" i="59"/>
  <c r="G1763" i="59"/>
  <c r="G1762" i="59"/>
  <c r="G1761" i="59"/>
  <c r="G1760" i="59"/>
  <c r="G1759" i="59"/>
  <c r="G1758" i="59"/>
  <c r="G1757" i="59"/>
  <c r="G1756" i="59"/>
  <c r="G1755" i="59"/>
  <c r="G1754" i="59"/>
  <c r="G1753" i="59"/>
  <c r="G1752" i="59"/>
  <c r="G1751" i="59"/>
  <c r="G1750" i="59"/>
  <c r="G1749" i="59"/>
  <c r="G1748" i="59"/>
  <c r="G1747" i="59"/>
  <c r="G1746" i="59"/>
  <c r="G1745" i="59"/>
  <c r="G1744" i="59"/>
  <c r="G1743" i="59"/>
  <c r="G1742" i="59"/>
  <c r="G1741" i="59"/>
  <c r="G1740" i="59"/>
  <c r="G1739" i="59"/>
  <c r="G1738" i="59"/>
  <c r="G1737" i="59"/>
  <c r="G1736" i="59"/>
  <c r="G1735" i="59"/>
  <c r="G1734" i="59"/>
  <c r="G1733" i="59"/>
  <c r="G1732" i="59"/>
  <c r="G1731" i="59"/>
  <c r="G1730" i="59"/>
  <c r="G1729" i="59"/>
  <c r="G1728" i="59"/>
  <c r="G1727" i="59"/>
  <c r="G1726" i="59"/>
  <c r="G1725" i="59"/>
  <c r="G1724" i="59"/>
  <c r="G1723" i="59"/>
  <c r="G1722" i="59"/>
  <c r="G1721" i="59"/>
  <c r="G1720" i="59"/>
  <c r="G1719" i="59"/>
  <c r="G1718" i="59"/>
  <c r="G1717" i="59"/>
  <c r="G1716" i="59"/>
  <c r="G1715" i="59"/>
  <c r="G1714" i="59"/>
  <c r="G1713" i="59"/>
  <c r="G1712" i="59"/>
  <c r="G1711" i="59"/>
  <c r="G1710" i="59"/>
  <c r="G1709" i="59"/>
  <c r="G1708" i="59"/>
  <c r="G1707" i="59"/>
  <c r="G1706" i="59"/>
  <c r="G1705" i="59"/>
  <c r="G1704" i="59"/>
  <c r="G1703" i="59"/>
  <c r="G1702" i="59"/>
  <c r="G1701" i="59"/>
  <c r="G1700" i="59"/>
  <c r="G1699" i="59"/>
  <c r="G1698" i="59"/>
  <c r="G1697" i="59"/>
  <c r="G1696" i="59"/>
  <c r="G1695" i="59"/>
  <c r="G1694" i="59"/>
  <c r="G1693" i="59"/>
  <c r="G1692" i="59"/>
  <c r="G1691" i="59"/>
  <c r="G1690" i="59"/>
  <c r="G1689" i="59"/>
  <c r="G1688" i="59"/>
  <c r="G1687" i="59"/>
  <c r="G1686" i="59"/>
  <c r="G1685" i="59"/>
  <c r="G1684" i="59"/>
  <c r="G1683" i="59"/>
  <c r="G1682" i="59"/>
  <c r="G1681" i="59"/>
  <c r="G1680" i="59"/>
  <c r="G1679" i="59"/>
  <c r="G1678" i="59"/>
  <c r="G1677" i="59"/>
  <c r="G1676" i="59"/>
  <c r="G1675" i="59"/>
  <c r="G1674" i="59"/>
  <c r="G1673" i="59"/>
  <c r="G1672" i="59"/>
  <c r="G1671" i="59"/>
  <c r="G1670" i="59"/>
  <c r="G1669" i="59"/>
  <c r="G1668" i="59"/>
  <c r="G1667" i="59"/>
  <c r="G1666" i="59"/>
  <c r="G1665" i="59"/>
  <c r="G1664" i="59"/>
  <c r="G1663" i="59"/>
  <c r="G1662" i="59"/>
  <c r="G1661" i="59"/>
  <c r="G1660" i="59"/>
  <c r="G1659" i="59"/>
  <c r="G1658" i="59"/>
  <c r="G1657" i="59"/>
  <c r="G1656" i="59"/>
  <c r="G1655" i="59"/>
  <c r="G1654" i="59"/>
  <c r="G1653" i="59"/>
  <c r="G1652" i="59"/>
  <c r="G1651" i="59"/>
  <c r="G1650" i="59"/>
  <c r="G1649" i="59"/>
  <c r="G1648" i="59"/>
  <c r="G1647" i="59"/>
  <c r="G1646" i="59"/>
  <c r="G1645" i="59"/>
  <c r="G1644" i="59"/>
  <c r="G1643" i="59"/>
  <c r="G1642" i="59"/>
  <c r="G1641" i="59"/>
  <c r="G1640" i="59"/>
  <c r="G1639" i="59"/>
  <c r="G1638" i="59"/>
  <c r="G1637" i="59"/>
  <c r="G1636" i="59"/>
  <c r="G1635" i="59"/>
  <c r="G1634" i="59"/>
  <c r="G1633" i="59"/>
  <c r="G1632" i="59"/>
  <c r="G1631" i="59"/>
  <c r="G1630" i="59"/>
  <c r="G1629" i="59"/>
  <c r="G1628" i="59"/>
  <c r="G1627" i="59"/>
  <c r="G1626" i="59"/>
  <c r="G1625" i="59"/>
  <c r="G1624" i="59"/>
  <c r="G1623" i="59"/>
  <c r="G1622" i="59"/>
  <c r="G1621" i="59"/>
  <c r="G1620" i="59"/>
  <c r="G1619" i="59"/>
  <c r="G1618" i="59"/>
  <c r="G1617" i="59"/>
  <c r="G1616" i="59"/>
  <c r="G1615" i="59"/>
  <c r="G1614" i="59"/>
  <c r="G1613" i="59"/>
  <c r="G1612" i="59"/>
  <c r="G1611" i="59"/>
  <c r="G1610" i="59"/>
  <c r="G1609" i="59"/>
  <c r="G1608" i="59"/>
  <c r="G1607" i="59"/>
  <c r="G1606" i="59"/>
  <c r="G1605" i="59"/>
  <c r="G1604" i="59"/>
  <c r="G1603" i="59"/>
  <c r="G1602" i="59"/>
  <c r="G1601" i="59"/>
  <c r="G1600" i="59"/>
  <c r="G1599" i="59"/>
  <c r="G1598" i="59"/>
  <c r="G1597" i="59"/>
  <c r="G1596" i="59"/>
  <c r="G1595" i="59"/>
  <c r="G1594" i="59"/>
  <c r="G1593" i="59"/>
  <c r="G1592" i="59"/>
  <c r="G1591" i="59"/>
  <c r="G1590" i="59"/>
  <c r="G1589" i="59"/>
  <c r="G1588" i="59"/>
  <c r="G1587" i="59"/>
  <c r="G1586" i="59"/>
  <c r="G1585" i="59"/>
  <c r="G1584" i="59"/>
  <c r="G1583" i="59"/>
  <c r="G1582" i="59"/>
  <c r="G1581" i="59"/>
  <c r="G1580" i="59"/>
  <c r="G1579" i="59"/>
  <c r="G1578" i="59"/>
  <c r="G1577" i="59"/>
  <c r="G1576" i="59"/>
  <c r="G1575" i="59"/>
  <c r="G1574" i="59"/>
  <c r="G1573" i="59"/>
  <c r="G1572" i="59"/>
  <c r="G1571" i="59"/>
  <c r="G1570" i="59"/>
  <c r="G1569" i="59"/>
  <c r="G1568" i="59"/>
  <c r="G1567" i="59"/>
  <c r="G1566" i="59"/>
  <c r="G1565" i="59"/>
  <c r="G1564" i="59"/>
  <c r="G1563" i="59"/>
  <c r="G1562" i="59"/>
  <c r="G1561" i="59"/>
  <c r="G1560" i="59"/>
  <c r="G1559" i="59"/>
  <c r="G1558" i="59"/>
  <c r="G1557" i="59"/>
  <c r="G1556" i="59"/>
  <c r="G1555" i="59"/>
  <c r="G1554" i="59"/>
  <c r="G1553" i="59"/>
  <c r="G1552" i="59"/>
  <c r="G1551" i="59"/>
  <c r="G1550" i="59"/>
  <c r="G1549" i="59"/>
  <c r="G1548" i="59"/>
  <c r="G1547" i="59"/>
  <c r="G1546" i="59"/>
  <c r="G1545" i="59"/>
  <c r="G1544" i="59"/>
  <c r="G1543" i="59"/>
  <c r="G1542" i="59"/>
  <c r="G1541" i="59"/>
  <c r="G1540" i="59"/>
  <c r="G1539" i="59"/>
  <c r="G1538" i="59"/>
  <c r="G1537" i="59"/>
  <c r="G1536" i="59"/>
  <c r="G1535" i="59"/>
  <c r="G1534" i="59"/>
  <c r="G1533" i="59"/>
  <c r="G1532" i="59"/>
  <c r="G1531" i="59"/>
  <c r="G1530" i="59"/>
  <c r="G1529" i="59"/>
  <c r="G1528" i="59"/>
  <c r="G1527" i="59"/>
  <c r="G1526" i="59"/>
  <c r="G1525" i="59"/>
  <c r="G1524" i="59"/>
  <c r="G1523" i="59"/>
  <c r="G1522" i="59"/>
  <c r="G1521" i="59"/>
  <c r="G1520" i="59"/>
  <c r="G1519" i="59"/>
  <c r="G1518" i="59"/>
  <c r="G1517" i="59"/>
  <c r="G1516" i="59"/>
  <c r="G1515" i="59"/>
  <c r="G1514" i="59"/>
  <c r="G1513" i="59"/>
  <c r="G1512" i="59"/>
  <c r="G1511" i="59"/>
  <c r="G1510" i="59"/>
  <c r="G1509" i="59"/>
  <c r="G1508" i="59"/>
  <c r="G1507" i="59"/>
  <c r="G1506" i="59"/>
  <c r="G1505" i="59"/>
  <c r="G1504" i="59"/>
  <c r="G1503" i="59"/>
  <c r="G1502" i="59"/>
  <c r="G1501" i="59"/>
  <c r="G1500" i="59"/>
  <c r="G1499" i="59"/>
  <c r="G1498" i="59"/>
  <c r="G1497" i="59"/>
  <c r="G1496" i="59"/>
  <c r="G1495" i="59"/>
  <c r="G1494" i="59"/>
  <c r="G1493" i="59"/>
  <c r="G1492" i="59"/>
  <c r="G1491" i="59"/>
  <c r="G1490" i="59"/>
  <c r="G1489" i="59"/>
  <c r="G1488" i="59"/>
  <c r="G1487" i="59"/>
  <c r="G1486" i="59"/>
  <c r="G1485" i="59"/>
  <c r="G1484" i="59"/>
  <c r="G1483" i="59"/>
  <c r="G1482" i="59"/>
  <c r="G1481" i="59"/>
  <c r="G1480" i="59"/>
  <c r="G1479" i="59"/>
  <c r="G1478" i="59"/>
  <c r="G1477" i="59"/>
  <c r="G1476" i="59"/>
  <c r="G1475" i="59"/>
  <c r="G1474" i="59"/>
  <c r="G1473" i="59"/>
  <c r="G1472" i="59"/>
  <c r="G1471" i="59"/>
  <c r="G1470" i="59"/>
  <c r="G1469" i="59"/>
  <c r="G1468" i="59"/>
  <c r="G1467" i="59"/>
  <c r="G1466" i="59"/>
  <c r="G1465" i="59"/>
  <c r="G1464" i="59"/>
  <c r="G1463" i="59"/>
  <c r="G1462" i="59"/>
  <c r="G1461" i="59"/>
  <c r="G1460" i="59"/>
  <c r="G1459" i="59"/>
  <c r="G1458" i="59"/>
  <c r="G1457" i="59"/>
  <c r="G1456" i="59"/>
  <c r="G1455" i="59"/>
  <c r="G1454" i="59"/>
  <c r="G1453" i="59"/>
  <c r="G1452" i="59"/>
  <c r="G1451" i="59"/>
  <c r="G1450" i="59"/>
  <c r="G1449" i="59"/>
  <c r="G1448" i="59"/>
  <c r="G1447" i="59"/>
  <c r="G1446" i="59"/>
  <c r="G1445" i="59"/>
  <c r="G1444" i="59"/>
  <c r="G1443" i="59"/>
  <c r="G1442" i="59"/>
  <c r="G1441" i="59"/>
  <c r="G1440" i="59"/>
  <c r="G1439" i="59"/>
  <c r="G1438" i="59"/>
  <c r="G1437" i="59"/>
  <c r="G1436" i="59"/>
  <c r="G1435" i="59"/>
  <c r="G1434" i="59"/>
  <c r="G1433" i="59"/>
  <c r="G1432" i="59"/>
  <c r="G1431" i="59"/>
  <c r="G1430" i="59"/>
  <c r="G1429" i="59"/>
  <c r="G1428" i="59"/>
  <c r="G1427" i="59"/>
  <c r="G1426" i="59"/>
  <c r="G1425" i="59"/>
  <c r="G1424" i="59"/>
  <c r="G1423" i="59"/>
  <c r="G1422" i="59"/>
  <c r="G1421" i="59"/>
  <c r="G1420" i="59"/>
  <c r="G1419" i="59"/>
  <c r="G1418" i="59"/>
  <c r="G1417" i="59"/>
  <c r="G1416" i="59"/>
  <c r="G1415" i="59"/>
  <c r="G1414" i="59"/>
  <c r="G1413" i="59"/>
  <c r="G1412" i="59"/>
  <c r="G1411" i="59"/>
  <c r="G1410" i="59"/>
  <c r="G1409" i="59"/>
  <c r="G1408" i="59"/>
  <c r="G1407" i="59"/>
  <c r="G1406" i="59"/>
  <c r="G1405" i="59"/>
  <c r="G1404" i="59"/>
  <c r="G1403" i="59"/>
  <c r="G1402" i="59"/>
  <c r="G1401" i="59"/>
  <c r="G1400" i="59"/>
  <c r="G1399" i="59"/>
  <c r="G1398" i="59"/>
  <c r="G1397" i="59"/>
  <c r="G1396" i="59"/>
  <c r="G1395" i="59"/>
  <c r="G1394" i="59"/>
  <c r="G1393" i="59"/>
  <c r="G1392" i="59"/>
  <c r="G1391" i="59"/>
  <c r="G1390" i="59"/>
  <c r="G1389" i="59"/>
  <c r="G1388" i="59"/>
  <c r="G1387" i="59"/>
  <c r="G1386" i="59"/>
  <c r="G1385" i="59"/>
  <c r="G1384" i="59"/>
  <c r="G1383" i="59"/>
  <c r="G1382" i="59"/>
  <c r="G1381" i="59"/>
  <c r="G1380" i="59"/>
  <c r="G1379" i="59"/>
  <c r="G1378" i="59"/>
  <c r="G1377" i="59"/>
  <c r="G1376" i="59"/>
  <c r="G1375" i="59"/>
  <c r="G1374" i="59"/>
  <c r="G1373" i="59"/>
  <c r="G1372" i="59"/>
  <c r="G1371" i="59"/>
  <c r="G1370" i="59"/>
  <c r="G1369" i="59"/>
  <c r="G1368" i="59"/>
  <c r="G1367" i="59"/>
  <c r="G1366" i="59"/>
  <c r="G1365" i="59"/>
  <c r="G1364" i="59"/>
  <c r="G1363" i="59"/>
  <c r="G1362" i="59"/>
  <c r="G1361" i="59"/>
  <c r="G1360" i="59"/>
  <c r="G1359" i="59"/>
  <c r="G1358" i="59"/>
  <c r="G1357" i="59"/>
  <c r="G1356" i="59"/>
  <c r="G1355" i="59"/>
  <c r="G1354" i="59"/>
  <c r="G1353" i="59"/>
  <c r="G1352" i="59"/>
  <c r="G1351" i="59"/>
  <c r="G1350" i="59"/>
  <c r="G1349" i="59"/>
  <c r="G1348" i="59"/>
  <c r="G1347" i="59"/>
  <c r="G1346" i="59"/>
  <c r="G1345" i="59"/>
  <c r="G1344" i="59"/>
  <c r="G1343" i="59"/>
  <c r="G1342" i="59"/>
  <c r="G1341" i="59"/>
  <c r="G1340" i="59"/>
  <c r="G1339" i="59"/>
  <c r="G1338" i="59"/>
  <c r="G1337" i="59"/>
  <c r="G1336" i="59"/>
  <c r="G1335" i="59"/>
  <c r="G1334" i="59"/>
  <c r="G1333" i="59"/>
  <c r="G1332" i="59"/>
  <c r="G1331" i="59"/>
  <c r="G1330" i="59"/>
  <c r="G1329" i="59"/>
  <c r="G1328" i="59"/>
  <c r="G1327" i="59"/>
  <c r="G1326" i="59"/>
  <c r="G1325" i="59"/>
  <c r="G1324" i="59"/>
  <c r="G1323" i="59"/>
  <c r="G1322" i="59"/>
  <c r="G1321" i="59"/>
  <c r="G1320" i="59"/>
  <c r="G1319" i="59"/>
  <c r="G1318" i="59"/>
  <c r="G1317" i="59"/>
  <c r="G1316" i="59"/>
  <c r="G1315" i="59"/>
  <c r="G1314" i="59"/>
  <c r="G1313" i="59"/>
  <c r="G1312" i="59"/>
  <c r="G1311" i="59"/>
  <c r="G1310" i="59"/>
  <c r="G1309" i="59"/>
  <c r="G1308" i="59"/>
  <c r="G1307" i="59"/>
  <c r="G1306" i="59"/>
  <c r="G1305" i="59"/>
  <c r="G1304" i="59"/>
  <c r="G1303" i="59"/>
  <c r="G1302" i="59"/>
  <c r="G1301" i="59"/>
  <c r="G1300" i="59"/>
  <c r="G1299" i="59"/>
  <c r="G1298" i="59"/>
  <c r="G1297" i="59"/>
  <c r="G1296" i="59"/>
  <c r="G1295" i="59"/>
  <c r="G1294" i="59"/>
  <c r="G1293" i="59"/>
  <c r="G1292" i="59"/>
  <c r="G1291" i="59"/>
  <c r="G1290" i="59"/>
  <c r="G1289" i="59"/>
  <c r="G1288" i="59"/>
  <c r="G1287" i="59"/>
  <c r="G1286" i="59"/>
  <c r="G1285" i="59"/>
  <c r="G1284" i="59"/>
  <c r="G1283" i="59"/>
  <c r="G1282" i="59"/>
  <c r="G1281" i="59"/>
  <c r="G1280" i="59"/>
  <c r="G1279" i="59"/>
  <c r="G1278" i="59"/>
  <c r="G1277" i="59"/>
  <c r="G1276" i="59"/>
  <c r="G1275" i="59"/>
  <c r="G1274" i="59"/>
  <c r="G1273" i="59"/>
  <c r="G1272" i="59"/>
  <c r="G1271" i="59"/>
  <c r="G1270" i="59"/>
  <c r="G1269" i="59"/>
  <c r="G1268" i="59"/>
  <c r="G1267" i="59"/>
  <c r="G1266" i="59"/>
  <c r="G1265" i="59"/>
  <c r="G1264" i="59"/>
  <c r="G1263" i="59"/>
  <c r="G1262" i="59"/>
  <c r="G1261" i="59"/>
  <c r="G1260" i="59"/>
  <c r="G1259" i="59"/>
  <c r="G1258" i="59"/>
  <c r="G1257" i="59"/>
  <c r="G1256" i="59"/>
  <c r="G1255" i="59"/>
  <c r="G1254" i="59"/>
  <c r="G1253" i="59"/>
  <c r="G1252" i="59"/>
  <c r="G1251" i="59"/>
  <c r="G1250" i="59"/>
  <c r="G1249" i="59"/>
  <c r="G1248" i="59"/>
  <c r="G1247" i="59"/>
  <c r="G1246" i="59"/>
  <c r="G1245" i="59"/>
  <c r="G1244" i="59"/>
  <c r="G1243" i="59"/>
  <c r="G1242" i="59"/>
  <c r="G1241" i="59"/>
  <c r="G1240" i="59"/>
  <c r="G1239" i="59"/>
  <c r="G1238" i="59"/>
  <c r="G1237" i="59"/>
  <c r="G1236" i="59"/>
  <c r="G1235" i="59"/>
  <c r="G1234" i="59"/>
  <c r="G1233" i="59"/>
  <c r="G1232" i="59"/>
  <c r="G1231" i="59"/>
  <c r="G1230" i="59"/>
  <c r="G1229" i="59"/>
  <c r="G1228" i="59"/>
  <c r="G1227" i="59"/>
  <c r="G1226" i="59"/>
  <c r="G1225" i="59"/>
  <c r="G1224" i="59"/>
  <c r="G1223" i="59"/>
  <c r="G1222" i="59"/>
  <c r="G1221" i="59"/>
  <c r="G1220" i="59"/>
  <c r="G1219" i="59"/>
  <c r="G1218" i="59"/>
  <c r="G1217" i="59"/>
  <c r="G1216" i="59"/>
  <c r="G1215" i="59"/>
  <c r="G1214" i="59"/>
  <c r="G1213" i="59"/>
  <c r="G1212" i="59"/>
  <c r="G1211" i="59"/>
  <c r="G1210" i="59"/>
  <c r="G1209" i="59"/>
  <c r="G1208" i="59"/>
  <c r="G1207" i="59"/>
  <c r="G1206" i="59"/>
  <c r="G1205" i="59"/>
  <c r="G1204" i="59"/>
  <c r="G1203" i="59"/>
  <c r="G1202" i="59"/>
  <c r="G1201" i="59"/>
  <c r="G1200" i="59"/>
  <c r="G1199" i="59"/>
  <c r="G1198" i="59"/>
  <c r="G1197" i="59"/>
  <c r="G1196" i="59"/>
  <c r="G1195" i="59"/>
  <c r="G1194" i="59"/>
  <c r="G1193" i="59"/>
  <c r="G1192" i="59"/>
  <c r="G1191" i="59"/>
  <c r="G1190" i="59"/>
  <c r="G1189" i="59"/>
  <c r="G1188" i="59"/>
  <c r="G1187" i="59"/>
  <c r="G1186" i="59"/>
  <c r="G1185" i="59"/>
  <c r="G1184" i="59"/>
  <c r="G1183" i="59"/>
  <c r="G1182" i="59"/>
  <c r="G1181" i="59"/>
  <c r="G1180" i="59"/>
  <c r="G1179" i="59"/>
  <c r="G1178" i="59"/>
  <c r="G1177" i="59"/>
  <c r="G1176" i="59"/>
  <c r="G1175" i="59"/>
  <c r="G1174" i="59"/>
  <c r="G1173" i="59"/>
  <c r="G1172" i="59"/>
  <c r="G1171" i="59"/>
  <c r="G1170" i="59"/>
  <c r="G1169" i="59"/>
  <c r="G1168" i="59"/>
  <c r="G1167" i="59"/>
  <c r="G1166" i="59"/>
  <c r="G1165" i="59"/>
  <c r="G1164" i="59"/>
  <c r="G1163" i="59"/>
  <c r="G1162" i="59"/>
  <c r="G1161" i="59"/>
  <c r="G1160" i="59"/>
  <c r="G1159" i="59"/>
  <c r="G1158" i="59"/>
  <c r="G1157" i="59"/>
  <c r="G1156" i="59"/>
  <c r="G1155" i="59"/>
  <c r="G1154" i="59"/>
  <c r="G1153" i="59"/>
  <c r="G1152" i="59"/>
  <c r="G1151" i="59"/>
  <c r="G1150" i="59"/>
  <c r="G1149" i="59"/>
  <c r="G1148" i="59"/>
  <c r="G1147" i="59"/>
  <c r="G1146" i="59"/>
  <c r="G1145" i="59"/>
  <c r="G1144" i="59"/>
  <c r="G1143" i="59"/>
  <c r="G1142" i="59"/>
  <c r="G1141" i="59"/>
  <c r="G1140" i="59"/>
  <c r="G1139" i="59"/>
  <c r="G1138" i="59"/>
  <c r="G1137" i="59"/>
  <c r="G1136" i="59"/>
  <c r="G1135" i="59"/>
  <c r="G1134" i="59"/>
  <c r="G1133" i="59"/>
  <c r="G1132" i="59"/>
  <c r="G1131" i="59"/>
  <c r="G1130" i="59"/>
  <c r="G1129" i="59"/>
  <c r="G1128" i="59"/>
  <c r="G1127" i="59"/>
  <c r="G1126" i="59"/>
  <c r="G1125" i="59"/>
  <c r="G1124" i="59"/>
  <c r="G1123" i="59"/>
  <c r="G1122" i="59"/>
  <c r="G1121" i="59"/>
  <c r="G1120" i="59"/>
  <c r="G1119" i="59"/>
  <c r="G1118" i="59"/>
  <c r="G1117" i="59"/>
  <c r="G1116" i="59"/>
  <c r="G1115" i="59"/>
  <c r="G1114" i="59"/>
  <c r="G1113" i="59"/>
  <c r="G1112" i="59"/>
  <c r="G1111" i="59"/>
  <c r="G1110" i="59"/>
  <c r="G1109" i="59"/>
  <c r="G1108" i="59"/>
  <c r="G1107" i="59"/>
  <c r="G1106" i="59"/>
  <c r="G1105" i="59"/>
  <c r="G1104" i="59"/>
  <c r="G1103" i="59"/>
  <c r="G1102" i="59"/>
  <c r="G1101" i="59"/>
  <c r="G1100" i="59"/>
  <c r="G1099" i="59"/>
  <c r="G1098" i="59"/>
  <c r="G1097" i="59"/>
  <c r="G1096" i="59"/>
  <c r="G1095" i="59"/>
  <c r="G1094" i="59"/>
  <c r="G1093" i="59"/>
  <c r="G1092" i="59"/>
  <c r="G1091" i="59"/>
  <c r="G1090" i="59"/>
  <c r="G1089" i="59"/>
  <c r="G1088" i="59"/>
  <c r="G1087" i="59"/>
  <c r="G1086" i="59"/>
  <c r="G1085" i="59"/>
  <c r="G1084" i="59"/>
  <c r="G1083" i="59"/>
  <c r="G1082" i="59"/>
  <c r="G1081" i="59"/>
  <c r="G1080" i="59"/>
  <c r="G1079" i="59"/>
  <c r="G1078" i="59"/>
  <c r="G1077" i="59"/>
  <c r="G1076" i="59"/>
  <c r="G1075" i="59"/>
  <c r="G1074" i="59"/>
  <c r="G1073" i="59"/>
  <c r="G1072" i="59"/>
  <c r="G1071" i="59"/>
  <c r="G1070" i="59"/>
  <c r="G1069" i="59"/>
  <c r="G1068" i="59"/>
  <c r="G1067" i="59"/>
  <c r="G1066" i="59"/>
  <c r="G1065" i="59"/>
  <c r="G1064" i="59"/>
  <c r="G1063" i="59"/>
  <c r="G1062" i="59"/>
  <c r="G1061" i="59"/>
  <c r="G1060" i="59"/>
  <c r="G1059" i="59"/>
  <c r="G1058" i="59"/>
  <c r="G1057" i="59"/>
  <c r="G1056" i="59"/>
  <c r="G1055" i="59"/>
  <c r="G1054" i="59"/>
  <c r="G1053" i="59"/>
  <c r="G1052" i="59"/>
  <c r="G1051" i="59"/>
  <c r="G1050" i="59"/>
  <c r="G1049" i="59"/>
  <c r="G1048" i="59"/>
  <c r="G1047" i="59"/>
  <c r="G1046" i="59"/>
  <c r="G1045" i="59"/>
  <c r="G1044" i="59"/>
  <c r="G1043" i="59"/>
  <c r="G1042" i="59"/>
  <c r="G1041" i="59"/>
  <c r="G1040" i="59"/>
  <c r="G1039" i="59"/>
  <c r="G1038" i="59"/>
  <c r="G1037" i="59"/>
  <c r="G1036" i="59"/>
  <c r="G1035" i="59"/>
  <c r="G1034" i="59"/>
  <c r="G1033" i="59"/>
  <c r="G1032" i="59"/>
  <c r="G1031" i="59"/>
  <c r="G1030" i="59"/>
  <c r="G1029" i="59"/>
  <c r="G1028" i="59"/>
  <c r="G1027" i="59"/>
  <c r="G1026" i="59"/>
  <c r="G1025" i="59"/>
  <c r="G1024" i="59"/>
  <c r="G1023" i="59"/>
  <c r="G1022" i="59"/>
  <c r="G1021" i="59"/>
  <c r="G1020" i="59"/>
  <c r="G1019" i="59"/>
  <c r="G1018" i="59"/>
  <c r="G1017" i="59"/>
  <c r="G1016" i="59"/>
  <c r="G1015" i="59"/>
  <c r="G1014" i="59"/>
  <c r="G1013" i="59"/>
  <c r="G1012" i="59"/>
  <c r="G1011" i="59"/>
  <c r="G1010" i="59"/>
  <c r="G1009" i="59"/>
  <c r="G1008" i="59"/>
  <c r="G1007" i="59"/>
  <c r="G1006" i="59"/>
  <c r="G1005" i="59"/>
  <c r="G1004" i="59"/>
  <c r="G1003" i="59"/>
  <c r="G1002" i="59"/>
  <c r="G1001" i="59"/>
  <c r="G1000" i="59"/>
  <c r="G999" i="59"/>
  <c r="G998" i="59"/>
  <c r="G997" i="59"/>
  <c r="G996" i="59"/>
  <c r="G995" i="59"/>
  <c r="G994" i="59"/>
  <c r="G993" i="59"/>
  <c r="G992" i="59"/>
  <c r="G991" i="59"/>
  <c r="G990" i="59"/>
  <c r="G989" i="59"/>
  <c r="G988" i="59"/>
  <c r="G987" i="59"/>
  <c r="G986" i="59"/>
  <c r="G985" i="59"/>
  <c r="G984" i="59"/>
  <c r="G983" i="59"/>
  <c r="G982" i="59"/>
  <c r="G981" i="59"/>
  <c r="G980" i="59"/>
  <c r="G979" i="59"/>
  <c r="G978" i="59"/>
  <c r="G977" i="59"/>
  <c r="G976" i="59"/>
  <c r="G975" i="59"/>
  <c r="G974" i="59"/>
  <c r="G973" i="59"/>
  <c r="G972" i="59"/>
  <c r="G971" i="59"/>
  <c r="G970" i="59"/>
  <c r="G969" i="59"/>
  <c r="G968" i="59"/>
  <c r="G967" i="59"/>
  <c r="G966" i="59"/>
  <c r="G965" i="59"/>
  <c r="G964" i="59"/>
  <c r="G963" i="59"/>
  <c r="G962" i="59"/>
  <c r="G961" i="59"/>
  <c r="G960" i="59"/>
  <c r="G959" i="59"/>
  <c r="G958" i="59"/>
  <c r="G957" i="59"/>
  <c r="G956" i="59"/>
  <c r="G955" i="59"/>
  <c r="G954" i="59"/>
  <c r="G953" i="59"/>
  <c r="G952" i="59"/>
  <c r="G951" i="59"/>
  <c r="G950" i="59"/>
  <c r="G949" i="59"/>
  <c r="G948" i="59"/>
  <c r="G947" i="59"/>
  <c r="G946" i="59"/>
  <c r="G945" i="59"/>
  <c r="G944" i="59"/>
  <c r="G943" i="59"/>
  <c r="G942" i="59"/>
  <c r="G941" i="59"/>
  <c r="G940" i="59"/>
  <c r="G939" i="59"/>
  <c r="G938" i="59"/>
  <c r="G937" i="59"/>
  <c r="G936" i="59"/>
  <c r="G935" i="59"/>
  <c r="G934" i="59"/>
  <c r="G933" i="59"/>
  <c r="G932" i="59"/>
  <c r="G931" i="59"/>
  <c r="G930" i="59"/>
  <c r="G929" i="59"/>
  <c r="G928" i="59"/>
  <c r="G927" i="59"/>
  <c r="G926" i="59"/>
  <c r="G925" i="59"/>
  <c r="G924" i="59"/>
  <c r="G923" i="59"/>
  <c r="G922" i="59"/>
  <c r="G921" i="59"/>
  <c r="G920" i="59"/>
  <c r="G919" i="59"/>
  <c r="G918" i="59"/>
  <c r="G917" i="59"/>
  <c r="G916" i="59"/>
  <c r="G915" i="59"/>
  <c r="G914" i="59"/>
  <c r="G913" i="59"/>
  <c r="G912" i="59"/>
  <c r="G911" i="59"/>
  <c r="G910" i="59"/>
  <c r="G909" i="59"/>
  <c r="G908" i="59"/>
  <c r="G907" i="59"/>
  <c r="G906" i="59"/>
  <c r="G905" i="59"/>
  <c r="G904" i="59"/>
  <c r="G903" i="59"/>
  <c r="G902" i="59"/>
  <c r="G901" i="59"/>
  <c r="G900" i="59"/>
  <c r="G899" i="59"/>
  <c r="G898" i="59"/>
  <c r="G897" i="59"/>
  <c r="G896" i="59"/>
  <c r="G895" i="59"/>
  <c r="G894" i="59"/>
  <c r="G893" i="59"/>
  <c r="G892" i="59"/>
  <c r="G891" i="59"/>
  <c r="G890" i="59"/>
  <c r="G889" i="59"/>
  <c r="G888" i="59"/>
  <c r="G887" i="59"/>
  <c r="G886" i="59"/>
  <c r="G885" i="59"/>
  <c r="G884" i="59"/>
  <c r="G883" i="59"/>
  <c r="G882" i="59"/>
  <c r="G881" i="59"/>
  <c r="G880" i="59"/>
  <c r="G879" i="59"/>
  <c r="G878" i="59"/>
  <c r="G877" i="59"/>
  <c r="G876" i="59"/>
  <c r="G875" i="59"/>
  <c r="G874" i="59"/>
  <c r="G873" i="59"/>
  <c r="G872" i="59"/>
  <c r="G871" i="59"/>
  <c r="G870" i="59"/>
  <c r="G869" i="59"/>
  <c r="G868" i="59"/>
  <c r="G867" i="59"/>
  <c r="G866" i="59"/>
  <c r="G865" i="59"/>
  <c r="G864" i="59"/>
  <c r="G863" i="59"/>
  <c r="G862" i="59"/>
  <c r="G861" i="59"/>
  <c r="G860" i="59"/>
  <c r="G859" i="59"/>
  <c r="G858" i="59"/>
  <c r="G857" i="59"/>
  <c r="G856" i="59"/>
  <c r="G855" i="59"/>
  <c r="G854" i="59"/>
  <c r="G853" i="59"/>
  <c r="G852" i="59"/>
  <c r="G851" i="59"/>
  <c r="G850" i="59"/>
  <c r="G849" i="59"/>
  <c r="G848" i="59"/>
  <c r="G847" i="59"/>
  <c r="G846" i="59"/>
  <c r="G845" i="59"/>
  <c r="G844" i="59"/>
  <c r="G843" i="59"/>
  <c r="G842" i="59"/>
  <c r="G841" i="59"/>
  <c r="G840" i="59"/>
  <c r="G839" i="59"/>
  <c r="G838" i="59"/>
  <c r="G837" i="59"/>
  <c r="G836" i="59"/>
  <c r="G835" i="59"/>
  <c r="G834" i="59"/>
  <c r="G833" i="59"/>
  <c r="G832" i="59"/>
  <c r="G831" i="59"/>
  <c r="G830" i="59"/>
  <c r="G829" i="59"/>
  <c r="G828" i="59"/>
  <c r="G827" i="59"/>
  <c r="G826" i="59"/>
  <c r="G825" i="59"/>
  <c r="G824" i="59"/>
  <c r="G823" i="59"/>
  <c r="G822" i="59"/>
  <c r="G821" i="59"/>
  <c r="G820" i="59"/>
  <c r="G819" i="59"/>
  <c r="G818" i="59"/>
  <c r="G817" i="59"/>
  <c r="G816" i="59"/>
  <c r="G815" i="59"/>
  <c r="G814" i="59"/>
  <c r="G813" i="59"/>
  <c r="G812" i="59"/>
  <c r="G811" i="59"/>
  <c r="G810" i="59"/>
  <c r="G809" i="59"/>
  <c r="G808" i="59"/>
  <c r="G807" i="59"/>
  <c r="G806" i="59"/>
  <c r="G805" i="59"/>
  <c r="G804" i="59"/>
  <c r="G803" i="59"/>
  <c r="G802" i="59"/>
  <c r="G801" i="59"/>
  <c r="G800" i="59"/>
  <c r="G799" i="59"/>
  <c r="G798" i="59"/>
  <c r="G797" i="59"/>
  <c r="G796" i="59"/>
  <c r="G795" i="59"/>
  <c r="G794" i="59"/>
  <c r="G793" i="59"/>
  <c r="G792" i="59"/>
  <c r="G791" i="59"/>
  <c r="G790" i="59"/>
  <c r="G789" i="59"/>
  <c r="G788" i="59"/>
  <c r="G787" i="59"/>
  <c r="G786" i="59"/>
  <c r="G785" i="59"/>
  <c r="G784" i="59"/>
  <c r="G783" i="59"/>
  <c r="G782" i="59"/>
  <c r="G781" i="59"/>
  <c r="G780" i="59"/>
  <c r="G779" i="59"/>
  <c r="G778" i="59"/>
  <c r="G777" i="59"/>
  <c r="G776" i="59"/>
  <c r="G775" i="59"/>
  <c r="G774" i="59"/>
  <c r="G773" i="59"/>
  <c r="G772" i="59"/>
  <c r="G771" i="59"/>
  <c r="G770" i="59"/>
  <c r="G769" i="59"/>
  <c r="G768" i="59"/>
  <c r="G767" i="59"/>
  <c r="G766" i="59"/>
  <c r="G765" i="59"/>
  <c r="G764" i="59"/>
  <c r="G763" i="59"/>
  <c r="G762" i="59"/>
  <c r="G761" i="59"/>
  <c r="G760" i="59"/>
  <c r="G759" i="59"/>
  <c r="G758" i="59"/>
  <c r="G757" i="59"/>
  <c r="G756" i="59"/>
  <c r="G755" i="59"/>
  <c r="G754" i="59"/>
  <c r="G753" i="59"/>
  <c r="G752" i="59"/>
  <c r="G751" i="59"/>
  <c r="G750" i="59"/>
  <c r="G749" i="59"/>
  <c r="G748" i="59"/>
  <c r="G747" i="59"/>
  <c r="G746" i="59"/>
  <c r="G745" i="59"/>
  <c r="G744" i="59"/>
  <c r="G743" i="59"/>
  <c r="G742" i="59"/>
  <c r="G741" i="59"/>
  <c r="G740" i="59"/>
  <c r="G739" i="59"/>
  <c r="G738" i="59"/>
  <c r="G737" i="59"/>
  <c r="G736" i="59"/>
  <c r="G735" i="59"/>
  <c r="G734" i="59"/>
  <c r="G733" i="59"/>
  <c r="G732" i="59"/>
  <c r="G731" i="59"/>
  <c r="G730" i="59"/>
  <c r="G729" i="59"/>
  <c r="G728" i="59"/>
  <c r="G727" i="59"/>
  <c r="G726" i="59"/>
  <c r="G725" i="59"/>
  <c r="G724" i="59"/>
  <c r="G723" i="59"/>
  <c r="G722" i="59"/>
  <c r="G721" i="59"/>
  <c r="G720" i="59"/>
  <c r="G719" i="59"/>
  <c r="G718" i="59"/>
  <c r="G717" i="59"/>
  <c r="G716" i="59"/>
  <c r="G715" i="59"/>
  <c r="G714" i="59"/>
  <c r="G713" i="59"/>
  <c r="G712" i="59"/>
  <c r="G711" i="59"/>
  <c r="G710" i="59"/>
  <c r="G709" i="59"/>
  <c r="G708" i="59"/>
  <c r="G707" i="59"/>
  <c r="G706" i="59"/>
  <c r="G705" i="59"/>
  <c r="G704" i="59"/>
  <c r="G703" i="59"/>
  <c r="G702" i="59"/>
  <c r="G701" i="59"/>
  <c r="G700" i="59"/>
  <c r="G699" i="59"/>
  <c r="G698" i="59"/>
  <c r="G697" i="59"/>
  <c r="G696" i="59"/>
  <c r="G695" i="59"/>
  <c r="G694" i="59"/>
  <c r="G693" i="59"/>
  <c r="G692" i="59"/>
  <c r="G691" i="59"/>
  <c r="G690" i="59"/>
  <c r="G689" i="59"/>
  <c r="G688" i="59"/>
  <c r="G687" i="59"/>
  <c r="G686" i="59"/>
  <c r="G685" i="59"/>
  <c r="G684" i="59"/>
  <c r="G683" i="59"/>
  <c r="G682" i="59"/>
  <c r="G681" i="59"/>
  <c r="G680" i="59"/>
  <c r="G679" i="59"/>
  <c r="G678" i="59"/>
  <c r="G677" i="59"/>
  <c r="G676" i="59"/>
  <c r="G675" i="59"/>
  <c r="G674" i="59"/>
  <c r="G673" i="59"/>
  <c r="G672" i="59"/>
  <c r="G671" i="59"/>
  <c r="G670" i="59"/>
  <c r="G669" i="59"/>
  <c r="G668" i="59"/>
  <c r="G667" i="59"/>
  <c r="G666" i="59"/>
  <c r="G665" i="59"/>
  <c r="G664" i="59"/>
  <c r="G663" i="59"/>
  <c r="G662" i="59"/>
  <c r="G661" i="59"/>
  <c r="G660" i="59"/>
  <c r="G659" i="59"/>
  <c r="G658" i="59"/>
  <c r="G657" i="59"/>
  <c r="G656" i="59"/>
  <c r="G655" i="59"/>
  <c r="G654" i="59"/>
  <c r="G653" i="59"/>
  <c r="G652" i="59"/>
  <c r="G651" i="59"/>
  <c r="G650" i="59"/>
  <c r="G649" i="59"/>
  <c r="G648" i="59"/>
  <c r="G647" i="59"/>
  <c r="G646" i="59"/>
  <c r="G645" i="59"/>
  <c r="G644" i="59"/>
  <c r="G643" i="59"/>
  <c r="G642" i="59"/>
  <c r="G641" i="59"/>
  <c r="G640" i="59"/>
  <c r="G639" i="59"/>
  <c r="G638" i="59"/>
  <c r="G637" i="59"/>
  <c r="G636" i="59"/>
  <c r="G635" i="59"/>
  <c r="G634" i="59"/>
  <c r="G633" i="59"/>
  <c r="G632" i="59"/>
  <c r="G631" i="59"/>
  <c r="G630" i="59"/>
  <c r="G629" i="59"/>
  <c r="G628" i="59"/>
  <c r="G627" i="59"/>
  <c r="G626" i="59"/>
  <c r="G625" i="59"/>
  <c r="G624" i="59"/>
  <c r="G623" i="59"/>
  <c r="G622" i="59"/>
  <c r="G621" i="59"/>
  <c r="G620" i="59"/>
  <c r="G619" i="59"/>
  <c r="G618" i="59"/>
  <c r="G617" i="59"/>
  <c r="G616" i="59"/>
  <c r="G615" i="59"/>
  <c r="G614" i="59"/>
  <c r="G613" i="59"/>
  <c r="G612" i="59"/>
  <c r="G611" i="59"/>
  <c r="G610" i="59"/>
  <c r="G609" i="59"/>
  <c r="G608" i="59"/>
  <c r="G607" i="59"/>
  <c r="G606" i="59"/>
  <c r="G605" i="59"/>
  <c r="G604" i="59"/>
  <c r="G603" i="59"/>
  <c r="G602" i="59"/>
  <c r="G601" i="59"/>
  <c r="G600" i="59"/>
  <c r="G599" i="59"/>
  <c r="G598" i="59"/>
  <c r="G597" i="59"/>
  <c r="G596" i="59"/>
  <c r="G595" i="59"/>
  <c r="G594" i="59"/>
  <c r="G593" i="59"/>
  <c r="G592" i="59"/>
  <c r="G591" i="59"/>
  <c r="G590" i="59"/>
  <c r="G589" i="59"/>
  <c r="G588" i="59"/>
  <c r="G587" i="59"/>
  <c r="G586" i="59"/>
  <c r="G585" i="59"/>
  <c r="G584" i="59"/>
  <c r="G583" i="59"/>
  <c r="G582" i="59"/>
  <c r="G581" i="59"/>
  <c r="G580" i="59"/>
  <c r="G579" i="59"/>
  <c r="G578" i="59"/>
  <c r="G577" i="59"/>
  <c r="G576" i="59"/>
  <c r="G575" i="59"/>
  <c r="G574" i="59"/>
  <c r="G573" i="59"/>
  <c r="G572" i="59"/>
  <c r="G571" i="59"/>
  <c r="G570" i="59"/>
  <c r="G569" i="59"/>
  <c r="G568" i="59"/>
  <c r="G567" i="59"/>
  <c r="G566" i="59"/>
  <c r="G565" i="59"/>
  <c r="G564" i="59"/>
  <c r="G563" i="59"/>
  <c r="G562" i="59"/>
  <c r="G561" i="59"/>
  <c r="G560" i="59"/>
  <c r="G559" i="59"/>
  <c r="G558" i="59"/>
  <c r="G557" i="59"/>
  <c r="G556" i="59"/>
  <c r="G555" i="59"/>
  <c r="G554" i="59"/>
  <c r="G553" i="59"/>
  <c r="G552" i="59"/>
  <c r="G551" i="59"/>
  <c r="G550" i="59"/>
  <c r="G549" i="59"/>
  <c r="G548" i="59"/>
  <c r="G547" i="59"/>
  <c r="G546" i="59"/>
  <c r="G545" i="59"/>
  <c r="G544" i="59"/>
  <c r="G543" i="59"/>
  <c r="G542" i="59"/>
  <c r="G541" i="59"/>
  <c r="G540" i="59"/>
  <c r="G539" i="59"/>
  <c r="G538" i="59"/>
  <c r="G537" i="59"/>
  <c r="G536" i="59"/>
  <c r="G535" i="59"/>
  <c r="G534" i="59"/>
  <c r="G533" i="59"/>
  <c r="G532" i="59"/>
  <c r="G531" i="59"/>
  <c r="G530" i="59"/>
  <c r="G529" i="59"/>
  <c r="G528" i="59"/>
  <c r="G527" i="59"/>
  <c r="G526" i="59"/>
  <c r="G525" i="59"/>
  <c r="G524" i="59"/>
  <c r="G523" i="59"/>
  <c r="G522" i="59"/>
  <c r="G521" i="59"/>
  <c r="G520" i="59"/>
  <c r="G519" i="59"/>
  <c r="G518" i="59"/>
  <c r="G517" i="59"/>
  <c r="G516" i="59"/>
  <c r="G515" i="59"/>
  <c r="G514" i="59"/>
  <c r="G513" i="59"/>
  <c r="G512" i="59"/>
  <c r="G511" i="59"/>
  <c r="G510" i="59"/>
  <c r="G509" i="59"/>
  <c r="G508" i="59"/>
  <c r="G507" i="59"/>
  <c r="G506" i="59"/>
  <c r="G505" i="59"/>
  <c r="G504" i="59"/>
  <c r="G503" i="59"/>
  <c r="G502" i="59"/>
  <c r="G501" i="59"/>
  <c r="G500" i="59"/>
  <c r="G499" i="59"/>
  <c r="G498" i="59"/>
  <c r="G497" i="59"/>
  <c r="G496" i="59"/>
  <c r="G495" i="59"/>
  <c r="G494" i="59"/>
  <c r="G493" i="59"/>
  <c r="G492" i="59"/>
  <c r="G491" i="59"/>
  <c r="G490" i="59"/>
  <c r="G489" i="59"/>
  <c r="G488" i="59"/>
  <c r="G487" i="59"/>
  <c r="G486" i="59"/>
  <c r="G485" i="59"/>
  <c r="G484" i="59"/>
  <c r="G483" i="59"/>
  <c r="G482" i="59"/>
  <c r="G481" i="59"/>
  <c r="G480" i="59"/>
  <c r="G479" i="59"/>
  <c r="G478" i="59"/>
  <c r="G477" i="59"/>
  <c r="G476" i="59"/>
  <c r="G475" i="59"/>
  <c r="G474" i="59"/>
  <c r="G473" i="59"/>
  <c r="G472" i="59"/>
  <c r="G471" i="59"/>
  <c r="G470" i="59"/>
  <c r="G469" i="59"/>
  <c r="G468" i="59"/>
  <c r="G467" i="59"/>
  <c r="G466" i="59"/>
  <c r="G465" i="59"/>
  <c r="G464" i="59"/>
  <c r="G463" i="59"/>
  <c r="G462" i="59"/>
  <c r="G461" i="59"/>
  <c r="G460" i="59"/>
  <c r="G459" i="59"/>
  <c r="G458" i="59"/>
  <c r="G457" i="59"/>
  <c r="G456" i="59"/>
  <c r="G455" i="59"/>
  <c r="G454" i="59"/>
  <c r="G453" i="59"/>
  <c r="G452" i="59"/>
  <c r="G451" i="59"/>
  <c r="G450" i="59"/>
  <c r="G449" i="59"/>
  <c r="G448" i="59"/>
  <c r="G447" i="59"/>
  <c r="G446" i="59"/>
  <c r="G445" i="59"/>
  <c r="G444" i="59"/>
  <c r="G443" i="59"/>
  <c r="G442" i="59"/>
  <c r="G441" i="59"/>
  <c r="G440" i="59"/>
  <c r="G439" i="59"/>
  <c r="G438" i="59"/>
  <c r="G437" i="59"/>
  <c r="G436" i="59"/>
  <c r="G435" i="59"/>
  <c r="G434" i="59"/>
  <c r="G433" i="59"/>
  <c r="G432" i="59"/>
  <c r="G431" i="59"/>
  <c r="G430" i="59"/>
  <c r="G429" i="59"/>
  <c r="G428" i="59"/>
  <c r="G427" i="59"/>
  <c r="G426" i="59"/>
  <c r="G425" i="59"/>
  <c r="G424" i="59"/>
  <c r="G423" i="59"/>
  <c r="G422" i="59"/>
  <c r="G421" i="59"/>
  <c r="G420" i="59"/>
  <c r="G419" i="59"/>
  <c r="G418" i="59"/>
  <c r="G417" i="59"/>
  <c r="G416" i="59"/>
  <c r="G415" i="59"/>
  <c r="G414" i="59"/>
  <c r="G413" i="59"/>
  <c r="G412" i="59"/>
  <c r="G411" i="59"/>
  <c r="G410" i="59"/>
  <c r="G409" i="59"/>
  <c r="G408" i="59"/>
  <c r="G407" i="59"/>
  <c r="G406" i="59"/>
  <c r="G405" i="59"/>
  <c r="G404" i="59"/>
  <c r="G403" i="59"/>
  <c r="G402" i="59"/>
  <c r="G401" i="59"/>
  <c r="G400" i="59"/>
  <c r="G399" i="59"/>
  <c r="G398" i="59"/>
  <c r="G397" i="59"/>
  <c r="G396" i="59"/>
  <c r="G395" i="59"/>
  <c r="G394" i="59"/>
  <c r="G393" i="59"/>
  <c r="G392" i="59"/>
  <c r="G391" i="59"/>
  <c r="G390" i="59"/>
  <c r="G389" i="59"/>
  <c r="G388" i="59"/>
  <c r="G387" i="59"/>
  <c r="G386" i="59"/>
  <c r="G385" i="59"/>
  <c r="G384" i="59"/>
  <c r="G383" i="59"/>
  <c r="G382" i="59"/>
  <c r="G381" i="59"/>
  <c r="G380" i="59"/>
  <c r="G379" i="59"/>
  <c r="G378" i="59"/>
  <c r="G377" i="59"/>
  <c r="G376" i="59"/>
  <c r="G375" i="59"/>
  <c r="G374" i="59"/>
  <c r="G373" i="59"/>
  <c r="G372" i="59"/>
  <c r="G371" i="59"/>
  <c r="G370" i="59"/>
  <c r="G369" i="59"/>
  <c r="G368" i="59"/>
  <c r="G367" i="59"/>
  <c r="G366" i="59"/>
  <c r="G365" i="59"/>
  <c r="G364" i="59"/>
  <c r="G363" i="59"/>
  <c r="G362" i="59"/>
  <c r="G361" i="59"/>
  <c r="G360" i="59"/>
  <c r="G359" i="59"/>
  <c r="G358" i="59"/>
  <c r="G357" i="59"/>
  <c r="G356" i="59"/>
  <c r="G355" i="59"/>
  <c r="G354" i="59"/>
  <c r="G353" i="59"/>
  <c r="G352" i="59"/>
  <c r="G351" i="59"/>
  <c r="G350" i="59"/>
  <c r="G349" i="59"/>
  <c r="G348" i="59"/>
  <c r="G347" i="59"/>
  <c r="G346" i="59"/>
  <c r="G345" i="59"/>
  <c r="G344" i="59"/>
  <c r="G343" i="59"/>
  <c r="G342" i="59"/>
  <c r="G341" i="59"/>
  <c r="G340" i="59"/>
  <c r="G339" i="59"/>
  <c r="G338" i="59"/>
  <c r="G337" i="59"/>
  <c r="G336" i="59"/>
  <c r="G335" i="59"/>
  <c r="G334" i="59"/>
  <c r="G333" i="59"/>
  <c r="G332" i="59"/>
  <c r="G331" i="59"/>
  <c r="G330" i="59"/>
  <c r="G329" i="59"/>
  <c r="G328" i="59"/>
  <c r="G327" i="59"/>
  <c r="G326" i="59"/>
  <c r="G325" i="59"/>
  <c r="G324" i="59"/>
  <c r="G323" i="59"/>
  <c r="G322" i="59"/>
  <c r="G321" i="59"/>
  <c r="G320" i="59"/>
  <c r="G319" i="59"/>
  <c r="G318" i="59"/>
  <c r="G317" i="59"/>
  <c r="G316" i="59"/>
  <c r="G315" i="59"/>
  <c r="G314" i="59"/>
  <c r="G313" i="59"/>
  <c r="G312" i="59"/>
  <c r="G311" i="59"/>
  <c r="G310" i="59"/>
  <c r="G309" i="59"/>
  <c r="G308" i="59"/>
  <c r="G307" i="59"/>
  <c r="G306" i="59"/>
  <c r="G305" i="59"/>
  <c r="G304" i="59"/>
  <c r="G303" i="59"/>
  <c r="G302" i="59"/>
  <c r="G301" i="59"/>
  <c r="G300" i="59"/>
  <c r="G299" i="59"/>
  <c r="G298" i="59"/>
  <c r="G297" i="59"/>
  <c r="G296" i="59"/>
  <c r="G295" i="59"/>
  <c r="G294" i="59"/>
  <c r="G293" i="59"/>
  <c r="G292" i="59"/>
  <c r="G291" i="59"/>
  <c r="G290" i="59"/>
  <c r="G289" i="59"/>
  <c r="G288" i="59"/>
  <c r="G287" i="59"/>
  <c r="G286" i="59"/>
  <c r="G285" i="59"/>
  <c r="G284" i="59"/>
  <c r="G283" i="59"/>
  <c r="G282" i="59"/>
  <c r="G281" i="59"/>
  <c r="G280" i="59"/>
  <c r="G279" i="59"/>
  <c r="G278" i="59"/>
  <c r="G277" i="59"/>
  <c r="G276" i="59"/>
  <c r="G275" i="59"/>
  <c r="G274" i="59"/>
  <c r="G273" i="59"/>
  <c r="G272" i="59"/>
  <c r="G271" i="59"/>
  <c r="G270" i="59"/>
  <c r="G269" i="59"/>
  <c r="G268" i="59"/>
  <c r="G267" i="59"/>
  <c r="G266" i="59"/>
  <c r="G265" i="59"/>
  <c r="G264" i="59"/>
  <c r="G263" i="59"/>
  <c r="G262" i="59"/>
  <c r="G261" i="59"/>
  <c r="G260" i="59"/>
  <c r="G259" i="59"/>
  <c r="G258" i="59"/>
  <c r="G257" i="59"/>
  <c r="G256" i="59"/>
  <c r="G255" i="59"/>
  <c r="G254" i="59"/>
  <c r="G253" i="59"/>
  <c r="G252" i="59"/>
  <c r="G251" i="59"/>
  <c r="G250" i="59"/>
  <c r="G249" i="59"/>
  <c r="G248" i="59"/>
  <c r="G247" i="59"/>
  <c r="G246" i="59"/>
  <c r="G245" i="59"/>
  <c r="G244" i="59"/>
  <c r="G243" i="59"/>
  <c r="G242" i="59"/>
  <c r="G241" i="59"/>
  <c r="G240" i="59"/>
  <c r="G239" i="59"/>
  <c r="G238" i="59"/>
  <c r="G237" i="59"/>
  <c r="G236" i="59"/>
  <c r="G235" i="59"/>
  <c r="G234" i="59"/>
  <c r="G233" i="59"/>
  <c r="G232" i="59"/>
  <c r="G231" i="59"/>
  <c r="G230" i="59"/>
  <c r="G229" i="59"/>
  <c r="G228" i="59"/>
  <c r="G227" i="59"/>
  <c r="G226" i="59"/>
  <c r="G225" i="59"/>
  <c r="G224" i="59"/>
  <c r="G223" i="59"/>
  <c r="G222" i="59"/>
  <c r="G221" i="59"/>
  <c r="G220" i="59"/>
  <c r="G219" i="59"/>
  <c r="G218" i="59"/>
  <c r="G217" i="59"/>
  <c r="G216" i="59"/>
  <c r="G215" i="59"/>
  <c r="G214" i="59"/>
  <c r="G213" i="59"/>
  <c r="G212" i="59"/>
  <c r="G211" i="59"/>
  <c r="G210" i="59"/>
  <c r="G209" i="59"/>
  <c r="G208" i="59"/>
  <c r="G207" i="59"/>
  <c r="G206" i="59"/>
  <c r="G205" i="59"/>
  <c r="G204" i="59"/>
  <c r="G203" i="59"/>
  <c r="G202" i="59"/>
  <c r="G201" i="59"/>
  <c r="G200" i="59"/>
  <c r="G199" i="59"/>
  <c r="G198" i="59"/>
  <c r="G197" i="59"/>
  <c r="G196" i="59"/>
  <c r="G195" i="59"/>
  <c r="G194" i="59"/>
  <c r="G193" i="59"/>
  <c r="G192" i="59"/>
  <c r="G191" i="59"/>
  <c r="G190" i="59"/>
  <c r="G189" i="59"/>
  <c r="G188" i="59"/>
  <c r="G187" i="59"/>
  <c r="G186" i="59"/>
  <c r="G185" i="59"/>
  <c r="G184" i="59"/>
  <c r="G183" i="59"/>
  <c r="G182" i="59"/>
  <c r="G181" i="59"/>
  <c r="G180" i="59"/>
  <c r="G179" i="59"/>
  <c r="G178" i="59"/>
  <c r="G177" i="59"/>
  <c r="G176" i="59"/>
  <c r="G175" i="59"/>
  <c r="G174" i="59"/>
  <c r="G173" i="59"/>
  <c r="G172" i="59"/>
  <c r="G171" i="59"/>
  <c r="G170" i="59"/>
  <c r="G169" i="59"/>
  <c r="G168" i="59"/>
  <c r="G167" i="59"/>
  <c r="G166" i="59"/>
  <c r="G165" i="59"/>
  <c r="G164" i="59"/>
  <c r="G163" i="59"/>
  <c r="G162" i="59"/>
  <c r="G161" i="59"/>
  <c r="G160" i="59"/>
  <c r="G159" i="59"/>
  <c r="G158" i="59"/>
  <c r="G157" i="59"/>
  <c r="G156" i="59"/>
  <c r="G155" i="59"/>
  <c r="G154" i="59"/>
  <c r="G153" i="59"/>
  <c r="G152" i="59"/>
  <c r="G151" i="59"/>
  <c r="G150" i="59"/>
  <c r="G149" i="59"/>
  <c r="G148" i="59"/>
  <c r="G147" i="59"/>
  <c r="G146" i="59"/>
  <c r="G145" i="59"/>
  <c r="G144" i="59"/>
  <c r="G143" i="59"/>
  <c r="G142" i="59"/>
  <c r="G141" i="59"/>
  <c r="G140" i="59"/>
  <c r="G139" i="59"/>
  <c r="G138" i="59"/>
  <c r="G137" i="59"/>
  <c r="G136" i="59"/>
  <c r="G135" i="59"/>
  <c r="G134" i="59"/>
  <c r="G133" i="59"/>
  <c r="G132" i="59"/>
  <c r="G131" i="59"/>
  <c r="G130" i="59"/>
  <c r="G129" i="59"/>
  <c r="G128" i="59"/>
  <c r="G127" i="59"/>
  <c r="G126" i="59"/>
  <c r="G125" i="59"/>
  <c r="G124" i="59"/>
  <c r="G123" i="59"/>
  <c r="G122" i="59"/>
  <c r="G121" i="59"/>
  <c r="G120" i="59"/>
  <c r="G119" i="59"/>
  <c r="G118" i="59"/>
  <c r="G117" i="59"/>
  <c r="G116" i="59"/>
  <c r="G115" i="59"/>
  <c r="G114" i="59"/>
  <c r="G113" i="59"/>
  <c r="G112" i="59"/>
  <c r="G111" i="59"/>
  <c r="G110" i="59"/>
  <c r="G109" i="59"/>
  <c r="G108" i="59"/>
  <c r="G107" i="59"/>
  <c r="G106" i="59"/>
  <c r="G105" i="59"/>
  <c r="G104" i="59"/>
  <c r="G103" i="59"/>
  <c r="G102" i="59"/>
  <c r="G101" i="59"/>
  <c r="G100" i="59"/>
  <c r="G99" i="59"/>
  <c r="G98" i="59"/>
  <c r="G97" i="59"/>
  <c r="G96" i="59"/>
  <c r="G95" i="59"/>
  <c r="G94" i="59"/>
  <c r="G93" i="59"/>
  <c r="G92" i="59"/>
  <c r="G91" i="59"/>
  <c r="G90" i="59"/>
  <c r="G89" i="59"/>
  <c r="G88" i="59"/>
  <c r="G87" i="59"/>
  <c r="G86" i="59"/>
  <c r="G85" i="59"/>
  <c r="G84" i="59"/>
  <c r="G83" i="59"/>
  <c r="G82" i="59"/>
  <c r="G81" i="59"/>
  <c r="G80" i="59"/>
  <c r="G79" i="59"/>
  <c r="G78" i="59"/>
  <c r="G77" i="59"/>
  <c r="G76" i="59"/>
  <c r="G75" i="59"/>
  <c r="G74" i="59"/>
  <c r="G73" i="59"/>
  <c r="G72" i="59"/>
  <c r="G71" i="59"/>
  <c r="G70" i="59"/>
  <c r="G69" i="59"/>
  <c r="G68" i="59"/>
  <c r="G67" i="59"/>
  <c r="G66" i="59"/>
  <c r="G65" i="59"/>
  <c r="G64" i="59"/>
  <c r="G63" i="59"/>
  <c r="G62" i="59"/>
  <c r="G61" i="59"/>
  <c r="G60" i="59"/>
  <c r="G59" i="59"/>
  <c r="G58" i="59"/>
  <c r="G57" i="59"/>
  <c r="G56" i="59"/>
  <c r="G55" i="59"/>
  <c r="G54" i="59"/>
  <c r="G53" i="59"/>
  <c r="G52" i="59"/>
  <c r="G51" i="59"/>
  <c r="G50" i="59"/>
  <c r="G49" i="59"/>
  <c r="G48" i="59"/>
  <c r="G47" i="59"/>
  <c r="G46" i="59"/>
  <c r="G45" i="59"/>
  <c r="G44" i="59"/>
  <c r="G43" i="59"/>
  <c r="G42" i="59"/>
  <c r="G41" i="59"/>
  <c r="G40" i="59"/>
  <c r="G39" i="59"/>
  <c r="G38" i="59"/>
  <c r="G37" i="59"/>
  <c r="G36" i="59"/>
  <c r="G35" i="59"/>
  <c r="G34" i="59"/>
  <c r="G33" i="59"/>
  <c r="G32" i="59"/>
  <c r="G31" i="59"/>
  <c r="G30" i="59"/>
  <c r="G29" i="59"/>
  <c r="G28" i="59"/>
  <c r="G27" i="59"/>
  <c r="G26" i="59"/>
  <c r="G25" i="59"/>
  <c r="G24" i="59"/>
  <c r="G23" i="59"/>
  <c r="G22" i="59"/>
  <c r="G21" i="59"/>
  <c r="G20" i="59"/>
  <c r="G19" i="59"/>
  <c r="G18" i="59"/>
  <c r="G17" i="59"/>
  <c r="G16" i="59"/>
  <c r="G15" i="59"/>
  <c r="G14" i="59"/>
  <c r="G13" i="59"/>
  <c r="G12" i="59"/>
  <c r="G11" i="59"/>
  <c r="G10" i="59"/>
  <c r="G9" i="59"/>
  <c r="G8" i="59"/>
  <c r="G7" i="59"/>
  <c r="G6" i="59"/>
  <c r="G5" i="59"/>
  <c r="G4" i="59"/>
  <c r="G3" i="59"/>
  <c r="G2" i="59"/>
  <c r="W129" i="64" l="1"/>
  <c r="W128" i="64"/>
  <c r="W127" i="64"/>
  <c r="W126" i="64"/>
  <c r="W125" i="64"/>
  <c r="W124" i="64"/>
  <c r="W123" i="64"/>
  <c r="W122" i="64"/>
  <c r="W121" i="64"/>
  <c r="W120" i="64"/>
  <c r="W119" i="64"/>
  <c r="W118" i="64"/>
  <c r="W117" i="64"/>
  <c r="W116" i="64"/>
  <c r="W115" i="64"/>
  <c r="W114" i="64"/>
  <c r="W113" i="64"/>
  <c r="W112" i="64"/>
  <c r="W111" i="64"/>
  <c r="W110" i="64"/>
  <c r="W109" i="64"/>
  <c r="W108" i="64"/>
  <c r="W107" i="64"/>
  <c r="W106" i="64"/>
  <c r="W105" i="64"/>
  <c r="W104" i="64"/>
  <c r="W103" i="64"/>
  <c r="W102" i="64"/>
  <c r="W101" i="64"/>
  <c r="W100" i="64"/>
  <c r="W99" i="64"/>
  <c r="W98" i="64"/>
  <c r="W97" i="64"/>
  <c r="W96" i="64"/>
  <c r="W95" i="64"/>
  <c r="W94" i="64"/>
  <c r="W93" i="64"/>
  <c r="W92" i="64"/>
  <c r="W91" i="64"/>
  <c r="W90" i="64"/>
  <c r="W89" i="64"/>
  <c r="W88" i="64"/>
  <c r="W87" i="64"/>
  <c r="W86" i="64"/>
  <c r="W85" i="64"/>
  <c r="W84" i="64"/>
  <c r="W83" i="64"/>
  <c r="W82" i="64"/>
  <c r="W81" i="64"/>
  <c r="W80" i="64"/>
  <c r="W79" i="64"/>
  <c r="W78" i="64"/>
  <c r="W77" i="64"/>
  <c r="W76" i="64"/>
  <c r="W75" i="64"/>
  <c r="W74" i="64"/>
  <c r="W73" i="64"/>
  <c r="W72" i="64"/>
  <c r="W71" i="64"/>
  <c r="W70" i="64"/>
  <c r="W69" i="64"/>
  <c r="W68" i="64"/>
  <c r="W67" i="64"/>
  <c r="W66" i="64"/>
  <c r="W65" i="64"/>
  <c r="W64" i="64"/>
  <c r="W63" i="64"/>
  <c r="W62" i="64"/>
  <c r="W61" i="64"/>
  <c r="W60" i="64"/>
  <c r="W58" i="64"/>
  <c r="W57" i="64"/>
  <c r="W56" i="64"/>
  <c r="W55" i="64"/>
  <c r="W54" i="64"/>
  <c r="W53" i="64"/>
  <c r="W52" i="64"/>
  <c r="W51" i="64"/>
  <c r="W50" i="64"/>
  <c r="W49" i="64"/>
  <c r="W48" i="64"/>
  <c r="W47" i="64"/>
  <c r="W46" i="64"/>
  <c r="W45" i="64"/>
  <c r="W44" i="64"/>
  <c r="W43" i="64"/>
  <c r="W42" i="64"/>
  <c r="W41" i="64"/>
  <c r="W40" i="64"/>
  <c r="W39" i="64"/>
  <c r="W38" i="64"/>
  <c r="W37" i="64"/>
  <c r="W36" i="64"/>
  <c r="W35" i="64"/>
  <c r="W34" i="64"/>
  <c r="W33" i="64"/>
  <c r="W32" i="64"/>
  <c r="W31" i="64"/>
  <c r="W30" i="64"/>
  <c r="W29" i="64"/>
  <c r="W28" i="64"/>
  <c r="W27" i="64"/>
  <c r="W26" i="64"/>
  <c r="W25" i="64"/>
  <c r="W24" i="64"/>
  <c r="W23" i="64"/>
  <c r="W22" i="64"/>
  <c r="W21" i="64"/>
  <c r="W20" i="64"/>
  <c r="W19" i="64"/>
  <c r="W18" i="64"/>
  <c r="W17" i="64"/>
  <c r="W16" i="64"/>
  <c r="W15" i="64"/>
  <c r="W14" i="64"/>
  <c r="W13" i="64"/>
  <c r="W12" i="64"/>
  <c r="W11" i="64"/>
  <c r="W178" i="62"/>
  <c r="W177" i="62"/>
  <c r="W176" i="62"/>
  <c r="W175" i="62"/>
  <c r="W174" i="62"/>
  <c r="W173" i="62"/>
  <c r="W172" i="62"/>
  <c r="W171" i="62"/>
  <c r="W170" i="62"/>
  <c r="W169" i="62"/>
  <c r="W168" i="62"/>
  <c r="W167" i="62"/>
  <c r="W166" i="62"/>
  <c r="W165" i="62"/>
  <c r="W164" i="62"/>
  <c r="W163" i="62"/>
  <c r="W162" i="62"/>
  <c r="W161" i="62"/>
  <c r="W160" i="62"/>
  <c r="W159" i="62"/>
  <c r="W158" i="62"/>
  <c r="W157" i="62"/>
  <c r="W156" i="62"/>
  <c r="W155" i="62"/>
  <c r="W154" i="62"/>
  <c r="W153" i="62"/>
  <c r="W152" i="62"/>
  <c r="W151" i="62"/>
  <c r="W150" i="62"/>
  <c r="W149" i="62"/>
  <c r="W148" i="62"/>
  <c r="W147" i="62"/>
  <c r="W146" i="62"/>
  <c r="W145" i="62"/>
  <c r="W144" i="62"/>
  <c r="W143" i="62"/>
  <c r="W142" i="62"/>
  <c r="W141" i="62"/>
  <c r="W140" i="62"/>
  <c r="W139" i="62"/>
  <c r="W138" i="62"/>
  <c r="W137" i="62"/>
  <c r="W136" i="62"/>
  <c r="W135" i="62"/>
  <c r="W134" i="62"/>
  <c r="W133" i="62"/>
  <c r="W132" i="62"/>
  <c r="W131" i="62"/>
  <c r="W130" i="62"/>
  <c r="W129" i="62"/>
  <c r="W128" i="62"/>
  <c r="W127" i="62"/>
  <c r="W126" i="62"/>
  <c r="W125" i="62"/>
  <c r="W124" i="62"/>
  <c r="W123" i="62"/>
  <c r="W122" i="62"/>
  <c r="W121" i="62"/>
  <c r="W120" i="62"/>
  <c r="W119" i="62"/>
  <c r="W118" i="62"/>
  <c r="W117" i="62"/>
  <c r="W116" i="62"/>
  <c r="W115" i="62"/>
  <c r="W114" i="62"/>
  <c r="W113" i="62"/>
  <c r="W112" i="62"/>
  <c r="W111" i="62"/>
  <c r="W110" i="62"/>
  <c r="W109" i="62"/>
  <c r="W108" i="62"/>
  <c r="W107" i="62"/>
  <c r="W106" i="62"/>
  <c r="W105" i="62"/>
  <c r="W104" i="62"/>
  <c r="W103" i="62"/>
  <c r="W102" i="62"/>
  <c r="W101" i="62"/>
  <c r="W100" i="62"/>
  <c r="W99" i="62"/>
  <c r="W98" i="62"/>
  <c r="W97" i="62"/>
  <c r="W96" i="62"/>
  <c r="W95" i="62"/>
  <c r="W94" i="62"/>
  <c r="W93" i="62"/>
  <c r="W92" i="62"/>
  <c r="W91" i="62"/>
  <c r="W90" i="62"/>
  <c r="W89" i="62"/>
  <c r="W88" i="62"/>
  <c r="W87" i="62"/>
  <c r="W86" i="62"/>
  <c r="W85" i="62"/>
  <c r="W84" i="62"/>
  <c r="W83" i="62"/>
  <c r="W82" i="62"/>
  <c r="W81" i="62"/>
  <c r="W80" i="62"/>
  <c r="W79" i="62"/>
  <c r="W78" i="62"/>
  <c r="W77" i="62"/>
  <c r="W76" i="62"/>
  <c r="W75" i="62"/>
  <c r="W74" i="62"/>
  <c r="W73" i="62"/>
  <c r="W72" i="62"/>
  <c r="W71" i="62"/>
  <c r="W70" i="62"/>
  <c r="W69" i="62"/>
  <c r="W68" i="62"/>
  <c r="W67" i="62"/>
  <c r="W66" i="62"/>
  <c r="W65" i="62"/>
  <c r="W64" i="62"/>
  <c r="W63" i="62"/>
  <c r="W62" i="62"/>
  <c r="W61" i="62"/>
  <c r="W60" i="62"/>
  <c r="W59" i="62"/>
  <c r="W58" i="62"/>
  <c r="W57" i="62"/>
  <c r="W56" i="62"/>
  <c r="W55" i="62"/>
  <c r="W54" i="62"/>
  <c r="W53" i="62"/>
  <c r="W52" i="62"/>
  <c r="W51" i="62"/>
  <c r="W50" i="62"/>
  <c r="W49" i="62"/>
  <c r="W48" i="62"/>
  <c r="W47" i="62"/>
  <c r="W46" i="62"/>
  <c r="W45" i="62"/>
  <c r="W44" i="62"/>
  <c r="W43" i="62"/>
  <c r="W42" i="62"/>
  <c r="W41" i="62"/>
  <c r="W40" i="62"/>
  <c r="W39" i="62"/>
  <c r="W38" i="62"/>
  <c r="W37" i="62"/>
  <c r="W36" i="62"/>
  <c r="W35" i="62"/>
  <c r="W34" i="62"/>
  <c r="W33" i="62"/>
  <c r="W32" i="62"/>
  <c r="W31" i="62"/>
  <c r="W30" i="62"/>
  <c r="W29" i="62"/>
  <c r="W28" i="62"/>
  <c r="W27" i="62"/>
  <c r="W26" i="62"/>
  <c r="W25" i="62"/>
  <c r="W24" i="62"/>
  <c r="W23" i="62"/>
  <c r="W22" i="62"/>
  <c r="W21" i="62"/>
  <c r="W20" i="62"/>
  <c r="W19" i="62"/>
  <c r="W18" i="62"/>
  <c r="W17" i="62"/>
  <c r="W16" i="62"/>
  <c r="W15" i="62"/>
  <c r="W14" i="62"/>
  <c r="W13" i="62"/>
  <c r="W12" i="62"/>
  <c r="W11" i="62"/>
  <c r="Q3" i="66"/>
  <c r="M3" i="66"/>
  <c r="I3" i="66"/>
  <c r="H3" i="66"/>
  <c r="L3" i="66" s="1"/>
  <c r="P3" i="66" s="1"/>
  <c r="J10" i="62"/>
  <c r="N10" i="62" s="1"/>
  <c r="R10" i="62" s="1"/>
  <c r="K10" i="62"/>
  <c r="O10" i="62" s="1"/>
  <c r="S10" i="62" s="1"/>
  <c r="H5000" i="60"/>
  <c r="H4999" i="60"/>
  <c r="H4998" i="60"/>
  <c r="H4997" i="60"/>
  <c r="H4996" i="60"/>
  <c r="H4995" i="60"/>
  <c r="H4994" i="60"/>
  <c r="H4993" i="60"/>
  <c r="H4992" i="60"/>
  <c r="H4991" i="60"/>
  <c r="H4990" i="60"/>
  <c r="H4989" i="60"/>
  <c r="H4988" i="60"/>
  <c r="H4987" i="60"/>
  <c r="H4986" i="60"/>
  <c r="H4985" i="60"/>
  <c r="H4984" i="60"/>
  <c r="H4983" i="60"/>
  <c r="H4982" i="60"/>
  <c r="H4981" i="60"/>
  <c r="H4980" i="60"/>
  <c r="H4979" i="60"/>
  <c r="H4978" i="60"/>
  <c r="H4977" i="60"/>
  <c r="H4976" i="60"/>
  <c r="H4975" i="60"/>
  <c r="H4974" i="60"/>
  <c r="H4973" i="60"/>
  <c r="H4972" i="60"/>
  <c r="H4971" i="60"/>
  <c r="H4970" i="60"/>
  <c r="H4969" i="60"/>
  <c r="H4968" i="60"/>
  <c r="H4967" i="60"/>
  <c r="H4966" i="60"/>
  <c r="H4965" i="60"/>
  <c r="H4964" i="60"/>
  <c r="H4963" i="60"/>
  <c r="H4962" i="60"/>
  <c r="H4961" i="60"/>
  <c r="H4960" i="60"/>
  <c r="H4959" i="60"/>
  <c r="H4958" i="60"/>
  <c r="H4957" i="60"/>
  <c r="H4956" i="60"/>
  <c r="H4955" i="60"/>
  <c r="H4954" i="60"/>
  <c r="H4953" i="60"/>
  <c r="H4952" i="60"/>
  <c r="H4951" i="60"/>
  <c r="H4950" i="60"/>
  <c r="H4949" i="60"/>
  <c r="H4948" i="60"/>
  <c r="H4947" i="60"/>
  <c r="H4946" i="60"/>
  <c r="H4945" i="60"/>
  <c r="H4944" i="60"/>
  <c r="H4943" i="60"/>
  <c r="H4942" i="60"/>
  <c r="H4941" i="60"/>
  <c r="H4940" i="60"/>
  <c r="H4939" i="60"/>
  <c r="H4938" i="60"/>
  <c r="H4937" i="60"/>
  <c r="H4936" i="60"/>
  <c r="H4935" i="60"/>
  <c r="H4934" i="60"/>
  <c r="H4933" i="60"/>
  <c r="H4932" i="60"/>
  <c r="H4931" i="60"/>
  <c r="H4930" i="60"/>
  <c r="H4929" i="60"/>
  <c r="H4928" i="60"/>
  <c r="H4927" i="60"/>
  <c r="H4926" i="60"/>
  <c r="H4925" i="60"/>
  <c r="H4924" i="60"/>
  <c r="H4923" i="60"/>
  <c r="H4922" i="60"/>
  <c r="H4921" i="60"/>
  <c r="H4920" i="60"/>
  <c r="H4919" i="60"/>
  <c r="H4918" i="60"/>
  <c r="H4917" i="60"/>
  <c r="H4916" i="60"/>
  <c r="H4915" i="60"/>
  <c r="H4914" i="60"/>
  <c r="H4913" i="60"/>
  <c r="H4912" i="60"/>
  <c r="H4911" i="60"/>
  <c r="H4910" i="60"/>
  <c r="H4909" i="60"/>
  <c r="H4908" i="60"/>
  <c r="H4907" i="60"/>
  <c r="H4906" i="60"/>
  <c r="H4905" i="60"/>
  <c r="H4904" i="60"/>
  <c r="H4903" i="60"/>
  <c r="H4902" i="60"/>
  <c r="H4901" i="60"/>
  <c r="H4900" i="60"/>
  <c r="H4899" i="60"/>
  <c r="H4898" i="60"/>
  <c r="H4897" i="60"/>
  <c r="H4896" i="60"/>
  <c r="H4895" i="60"/>
  <c r="H4894" i="60"/>
  <c r="H4893" i="60"/>
  <c r="H4892" i="60"/>
  <c r="H4891" i="60"/>
  <c r="H4890" i="60"/>
  <c r="H4889" i="60"/>
  <c r="H4888" i="60"/>
  <c r="H4887" i="60"/>
  <c r="H4886" i="60"/>
  <c r="H4885" i="60"/>
  <c r="H4884" i="60"/>
  <c r="H4883" i="60"/>
  <c r="H4882" i="60"/>
  <c r="H4881" i="60"/>
  <c r="H4880" i="60"/>
  <c r="H4879" i="60"/>
  <c r="H4878" i="60"/>
  <c r="H4877" i="60"/>
  <c r="H4876" i="60"/>
  <c r="H4875" i="60"/>
  <c r="H4874" i="60"/>
  <c r="H4873" i="60"/>
  <c r="H4872" i="60"/>
  <c r="H4871" i="60"/>
  <c r="H4870" i="60"/>
  <c r="H4869" i="60"/>
  <c r="H4868" i="60"/>
  <c r="H4867" i="60"/>
  <c r="H4866" i="60"/>
  <c r="H4865" i="60"/>
  <c r="H4864" i="60"/>
  <c r="H4863" i="60"/>
  <c r="H4862" i="60"/>
  <c r="H4861" i="60"/>
  <c r="H4860" i="60"/>
  <c r="H4859" i="60"/>
  <c r="H4858" i="60"/>
  <c r="H4857" i="60"/>
  <c r="H4856" i="60"/>
  <c r="H4855" i="60"/>
  <c r="H4854" i="60"/>
  <c r="H4853" i="60"/>
  <c r="H4852" i="60"/>
  <c r="H4851" i="60"/>
  <c r="H4850" i="60"/>
  <c r="H4849" i="60"/>
  <c r="H4848" i="60"/>
  <c r="H4847" i="60"/>
  <c r="H4846" i="60"/>
  <c r="H4845" i="60"/>
  <c r="H4844" i="60"/>
  <c r="H4843" i="60"/>
  <c r="H4842" i="60"/>
  <c r="H4841" i="60"/>
  <c r="H4840" i="60"/>
  <c r="H4839" i="60"/>
  <c r="H4838" i="60"/>
  <c r="H4837" i="60"/>
  <c r="H4836" i="60"/>
  <c r="H4835" i="60"/>
  <c r="H4834" i="60"/>
  <c r="H4833" i="60"/>
  <c r="H4832" i="60"/>
  <c r="H4831" i="60"/>
  <c r="H4830" i="60"/>
  <c r="H4829" i="60"/>
  <c r="H4828" i="60"/>
  <c r="H4827" i="60"/>
  <c r="H4826" i="60"/>
  <c r="H4825" i="60"/>
  <c r="H4824" i="60"/>
  <c r="H4823" i="60"/>
  <c r="H4822" i="60"/>
  <c r="H4821" i="60"/>
  <c r="H4820" i="60"/>
  <c r="H4819" i="60"/>
  <c r="H4818" i="60"/>
  <c r="H4817" i="60"/>
  <c r="H4816" i="60"/>
  <c r="H4815" i="60"/>
  <c r="H4814" i="60"/>
  <c r="H4813" i="60"/>
  <c r="H4812" i="60"/>
  <c r="H4811" i="60"/>
  <c r="H4810" i="60"/>
  <c r="H4809" i="60"/>
  <c r="H4808" i="60"/>
  <c r="H4807" i="60"/>
  <c r="H4806" i="60"/>
  <c r="H4805" i="60"/>
  <c r="H4804" i="60"/>
  <c r="H4803" i="60"/>
  <c r="H4802" i="60"/>
  <c r="H4801" i="60"/>
  <c r="H4800" i="60"/>
  <c r="H4799" i="60"/>
  <c r="H4798" i="60"/>
  <c r="H4797" i="60"/>
  <c r="H4796" i="60"/>
  <c r="H4795" i="60"/>
  <c r="H4794" i="60"/>
  <c r="H4793" i="60"/>
  <c r="H4792" i="60"/>
  <c r="H4791" i="60"/>
  <c r="H4790" i="60"/>
  <c r="H4789" i="60"/>
  <c r="H4788" i="60"/>
  <c r="H4787" i="60"/>
  <c r="H4786" i="60"/>
  <c r="H4785" i="60"/>
  <c r="H4784" i="60"/>
  <c r="H4783" i="60"/>
  <c r="H4782" i="60"/>
  <c r="H4781" i="60"/>
  <c r="H4780" i="60"/>
  <c r="H4779" i="60"/>
  <c r="H4778" i="60"/>
  <c r="H4777" i="60"/>
  <c r="H4776" i="60"/>
  <c r="H4775" i="60"/>
  <c r="H4774" i="60"/>
  <c r="H4773" i="60"/>
  <c r="H4772" i="60"/>
  <c r="H4771" i="60"/>
  <c r="H4770" i="60"/>
  <c r="H4769" i="60"/>
  <c r="H4768" i="60"/>
  <c r="H4767" i="60"/>
  <c r="H4766" i="60"/>
  <c r="H4765" i="60"/>
  <c r="H4764" i="60"/>
  <c r="H4763" i="60"/>
  <c r="H4762" i="60"/>
  <c r="H4761" i="60"/>
  <c r="H4760" i="60"/>
  <c r="H4759" i="60"/>
  <c r="H4758" i="60"/>
  <c r="H4757" i="60"/>
  <c r="H4756" i="60"/>
  <c r="H4755" i="60"/>
  <c r="H4754" i="60"/>
  <c r="H4753" i="60"/>
  <c r="H4752" i="60"/>
  <c r="H4751" i="60"/>
  <c r="H4750" i="60"/>
  <c r="H4749" i="60"/>
  <c r="H4748" i="60"/>
  <c r="H4747" i="60"/>
  <c r="H4746" i="60"/>
  <c r="H4745" i="60"/>
  <c r="H4744" i="60"/>
  <c r="H4743" i="60"/>
  <c r="H4742" i="60"/>
  <c r="H4741" i="60"/>
  <c r="H4740" i="60"/>
  <c r="H4739" i="60"/>
  <c r="H4738" i="60"/>
  <c r="H4737" i="60"/>
  <c r="H4736" i="60"/>
  <c r="H4735" i="60"/>
  <c r="H4734" i="60"/>
  <c r="H4733" i="60"/>
  <c r="H4732" i="60"/>
  <c r="H4731" i="60"/>
  <c r="H4730" i="60"/>
  <c r="H4729" i="60"/>
  <c r="H4728" i="60"/>
  <c r="H4727" i="60"/>
  <c r="H4726" i="60"/>
  <c r="H4725" i="60"/>
  <c r="H4724" i="60"/>
  <c r="H4723" i="60"/>
  <c r="H4722" i="60"/>
  <c r="H4721" i="60"/>
  <c r="H4720" i="60"/>
  <c r="H4719" i="60"/>
  <c r="H4718" i="60"/>
  <c r="H4717" i="60"/>
  <c r="H4716" i="60"/>
  <c r="H4715" i="60"/>
  <c r="H4714" i="60"/>
  <c r="H4713" i="60"/>
  <c r="H4712" i="60"/>
  <c r="H4711" i="60"/>
  <c r="H4710" i="60"/>
  <c r="H4709" i="60"/>
  <c r="H4708" i="60"/>
  <c r="H4707" i="60"/>
  <c r="H4706" i="60"/>
  <c r="H4705" i="60"/>
  <c r="H4704" i="60"/>
  <c r="H4703" i="60"/>
  <c r="H4702" i="60"/>
  <c r="H4701" i="60"/>
  <c r="H4700" i="60"/>
  <c r="H4699" i="60"/>
  <c r="H4698" i="60"/>
  <c r="H4697" i="60"/>
  <c r="H4696" i="60"/>
  <c r="H4695" i="60"/>
  <c r="H4694" i="60"/>
  <c r="H4693" i="60"/>
  <c r="H4692" i="60"/>
  <c r="H4691" i="60"/>
  <c r="H4690" i="60"/>
  <c r="H4689" i="60"/>
  <c r="H4688" i="60"/>
  <c r="H4687" i="60"/>
  <c r="H4686" i="60"/>
  <c r="H4685" i="60"/>
  <c r="H4684" i="60"/>
  <c r="H4683" i="60"/>
  <c r="H4682" i="60"/>
  <c r="H4681" i="60"/>
  <c r="H4680" i="60"/>
  <c r="H4679" i="60"/>
  <c r="H4678" i="60"/>
  <c r="H4677" i="60"/>
  <c r="H4676" i="60"/>
  <c r="H4675" i="60"/>
  <c r="H4674" i="60"/>
  <c r="H4673" i="60"/>
  <c r="H4672" i="60"/>
  <c r="H4671" i="60"/>
  <c r="H4670" i="60"/>
  <c r="H4669" i="60"/>
  <c r="H4668" i="60"/>
  <c r="H4667" i="60"/>
  <c r="H4666" i="60"/>
  <c r="H4665" i="60"/>
  <c r="H4664" i="60"/>
  <c r="H4663" i="60"/>
  <c r="H4662" i="60"/>
  <c r="H4661" i="60"/>
  <c r="H4660" i="60"/>
  <c r="H4659" i="60"/>
  <c r="H4658" i="60"/>
  <c r="H4657" i="60"/>
  <c r="H4656" i="60"/>
  <c r="H4655" i="60"/>
  <c r="H4654" i="60"/>
  <c r="H4653" i="60"/>
  <c r="H4652" i="60"/>
  <c r="H4651" i="60"/>
  <c r="H4650" i="60"/>
  <c r="H4649" i="60"/>
  <c r="H4648" i="60"/>
  <c r="H4647" i="60"/>
  <c r="H4646" i="60"/>
  <c r="H4645" i="60"/>
  <c r="H4644" i="60"/>
  <c r="H4643" i="60"/>
  <c r="H4642" i="60"/>
  <c r="H4641" i="60"/>
  <c r="H4640" i="60"/>
  <c r="H4639" i="60"/>
  <c r="H4638" i="60"/>
  <c r="H4637" i="60"/>
  <c r="H4636" i="60"/>
  <c r="H4635" i="60"/>
  <c r="H4634" i="60"/>
  <c r="H4633" i="60"/>
  <c r="H4632" i="60"/>
  <c r="H4631" i="60"/>
  <c r="H4630" i="60"/>
  <c r="H4629" i="60"/>
  <c r="H4628" i="60"/>
  <c r="H4627" i="60"/>
  <c r="H4626" i="60"/>
  <c r="H4625" i="60"/>
  <c r="H4624" i="60"/>
  <c r="H4623" i="60"/>
  <c r="H4622" i="60"/>
  <c r="H4621" i="60"/>
  <c r="H4620" i="60"/>
  <c r="H4619" i="60"/>
  <c r="H4618" i="60"/>
  <c r="H4617" i="60"/>
  <c r="H4616" i="60"/>
  <c r="H4615" i="60"/>
  <c r="H4614" i="60"/>
  <c r="H4613" i="60"/>
  <c r="H4612" i="60"/>
  <c r="H4611" i="60"/>
  <c r="H4610" i="60"/>
  <c r="H4609" i="60"/>
  <c r="H4608" i="60"/>
  <c r="H4607" i="60"/>
  <c r="H4606" i="60"/>
  <c r="H4605" i="60"/>
  <c r="H4604" i="60"/>
  <c r="H4603" i="60"/>
  <c r="H4602" i="60"/>
  <c r="H4601" i="60"/>
  <c r="H4600" i="60"/>
  <c r="H4599" i="60"/>
  <c r="H4598" i="60"/>
  <c r="H4597" i="60"/>
  <c r="H4596" i="60"/>
  <c r="H4595" i="60"/>
  <c r="H4594" i="60"/>
  <c r="H4593" i="60"/>
  <c r="H4592" i="60"/>
  <c r="H4591" i="60"/>
  <c r="H4590" i="60"/>
  <c r="H4589" i="60"/>
  <c r="H4588" i="60"/>
  <c r="H4587" i="60"/>
  <c r="H4586" i="60"/>
  <c r="H4585" i="60"/>
  <c r="H4584" i="60"/>
  <c r="H4583" i="60"/>
  <c r="H4582" i="60"/>
  <c r="H4581" i="60"/>
  <c r="H4580" i="60"/>
  <c r="H4579" i="60"/>
  <c r="H4578" i="60"/>
  <c r="H4577" i="60"/>
  <c r="H4576" i="60"/>
  <c r="H4575" i="60"/>
  <c r="H4574" i="60"/>
  <c r="H4573" i="60"/>
  <c r="H4572" i="60"/>
  <c r="H4571" i="60"/>
  <c r="H4570" i="60"/>
  <c r="H4569" i="60"/>
  <c r="H4568" i="60"/>
  <c r="H4567" i="60"/>
  <c r="H4566" i="60"/>
  <c r="H4565" i="60"/>
  <c r="H4564" i="60"/>
  <c r="H4563" i="60"/>
  <c r="H4562" i="60"/>
  <c r="H4561" i="60"/>
  <c r="H4560" i="60"/>
  <c r="H4559" i="60"/>
  <c r="H4558" i="60"/>
  <c r="H4557" i="60"/>
  <c r="H4556" i="60"/>
  <c r="H4555" i="60"/>
  <c r="H4554" i="60"/>
  <c r="H4553" i="60"/>
  <c r="H4552" i="60"/>
  <c r="H4551" i="60"/>
  <c r="H4550" i="60"/>
  <c r="H4549" i="60"/>
  <c r="H4548" i="60"/>
  <c r="H4547" i="60"/>
  <c r="H4546" i="60"/>
  <c r="H4545" i="60"/>
  <c r="H4544" i="60"/>
  <c r="H4543" i="60"/>
  <c r="H4542" i="60"/>
  <c r="H4541" i="60"/>
  <c r="H4540" i="60"/>
  <c r="H4539" i="60"/>
  <c r="H4538" i="60"/>
  <c r="H4537" i="60"/>
  <c r="H4536" i="60"/>
  <c r="H4535" i="60"/>
  <c r="H4534" i="60"/>
  <c r="H4533" i="60"/>
  <c r="H4532" i="60"/>
  <c r="H4531" i="60"/>
  <c r="H4530" i="60"/>
  <c r="H4529" i="60"/>
  <c r="H4528" i="60"/>
  <c r="H4527" i="60"/>
  <c r="H4526" i="60"/>
  <c r="H4525" i="60"/>
  <c r="H4524" i="60"/>
  <c r="H4523" i="60"/>
  <c r="H4522" i="60"/>
  <c r="H4521" i="60"/>
  <c r="H4520" i="60"/>
  <c r="H4519" i="60"/>
  <c r="H4518" i="60"/>
  <c r="H4517" i="60"/>
  <c r="H4516" i="60"/>
  <c r="H4515" i="60"/>
  <c r="H4514" i="60"/>
  <c r="H4513" i="60"/>
  <c r="H4512" i="60"/>
  <c r="H4511" i="60"/>
  <c r="H4510" i="60"/>
  <c r="H4509" i="60"/>
  <c r="H4508" i="60"/>
  <c r="H4507" i="60"/>
  <c r="H4506" i="60"/>
  <c r="H4505" i="60"/>
  <c r="H4504" i="60"/>
  <c r="H4503" i="60"/>
  <c r="H4502" i="60"/>
  <c r="H4501" i="60"/>
  <c r="H4500" i="60"/>
  <c r="H4499" i="60"/>
  <c r="H4498" i="60"/>
  <c r="H4497" i="60"/>
  <c r="H4496" i="60"/>
  <c r="H4495" i="60"/>
  <c r="H4494" i="60"/>
  <c r="H4493" i="60"/>
  <c r="H4492" i="60"/>
  <c r="H4491" i="60"/>
  <c r="H4490" i="60"/>
  <c r="H4489" i="60"/>
  <c r="H4488" i="60"/>
  <c r="H4487" i="60"/>
  <c r="H4486" i="60"/>
  <c r="H4485" i="60"/>
  <c r="H4484" i="60"/>
  <c r="H4483" i="60"/>
  <c r="H4482" i="60"/>
  <c r="H4481" i="60"/>
  <c r="H4480" i="60"/>
  <c r="H4479" i="60"/>
  <c r="H4478" i="60"/>
  <c r="H4477" i="60"/>
  <c r="H4476" i="60"/>
  <c r="H4475" i="60"/>
  <c r="H4474" i="60"/>
  <c r="H4473" i="60"/>
  <c r="H4472" i="60"/>
  <c r="H4471" i="60"/>
  <c r="H4470" i="60"/>
  <c r="H4469" i="60"/>
  <c r="H4468" i="60"/>
  <c r="H4467" i="60"/>
  <c r="H4466" i="60"/>
  <c r="H4465" i="60"/>
  <c r="H4464" i="60"/>
  <c r="H4463" i="60"/>
  <c r="H4462" i="60"/>
  <c r="H4461" i="60"/>
  <c r="H4460" i="60"/>
  <c r="H4459" i="60"/>
  <c r="H4458" i="60"/>
  <c r="H4457" i="60"/>
  <c r="H4456" i="60"/>
  <c r="H4455" i="60"/>
  <c r="H4454" i="60"/>
  <c r="H4453" i="60"/>
  <c r="H4452" i="60"/>
  <c r="H4451" i="60"/>
  <c r="H4450" i="60"/>
  <c r="H4449" i="60"/>
  <c r="H4448" i="60"/>
  <c r="H4447" i="60"/>
  <c r="H4446" i="60"/>
  <c r="H4445" i="60"/>
  <c r="H4444" i="60"/>
  <c r="H4443" i="60"/>
  <c r="H4442" i="60"/>
  <c r="H4441" i="60"/>
  <c r="H4440" i="60"/>
  <c r="H4439" i="60"/>
  <c r="H4438" i="60"/>
  <c r="H4437" i="60"/>
  <c r="H4436" i="60"/>
  <c r="H4435" i="60"/>
  <c r="H4434" i="60"/>
  <c r="H4433" i="60"/>
  <c r="H4432" i="60"/>
  <c r="H4431" i="60"/>
  <c r="H4430" i="60"/>
  <c r="H4429" i="60"/>
  <c r="H4428" i="60"/>
  <c r="H4427" i="60"/>
  <c r="H4426" i="60"/>
  <c r="H4425" i="60"/>
  <c r="H4424" i="60"/>
  <c r="H4423" i="60"/>
  <c r="H4422" i="60"/>
  <c r="H4421" i="60"/>
  <c r="H4420" i="60"/>
  <c r="H4419" i="60"/>
  <c r="H4418" i="60"/>
  <c r="H4417" i="60"/>
  <c r="H4416" i="60"/>
  <c r="H4415" i="60"/>
  <c r="H4414" i="60"/>
  <c r="H4413" i="60"/>
  <c r="H4412" i="60"/>
  <c r="H4411" i="60"/>
  <c r="H4410" i="60"/>
  <c r="H4409" i="60"/>
  <c r="H4408" i="60"/>
  <c r="H4407" i="60"/>
  <c r="H4406" i="60"/>
  <c r="H4405" i="60"/>
  <c r="H4404" i="60"/>
  <c r="H4403" i="60"/>
  <c r="H4402" i="60"/>
  <c r="H4401" i="60"/>
  <c r="H4400" i="60"/>
  <c r="H4399" i="60"/>
  <c r="H4398" i="60"/>
  <c r="H4397" i="60"/>
  <c r="H4396" i="60"/>
  <c r="H4395" i="60"/>
  <c r="H4394" i="60"/>
  <c r="H4393" i="60"/>
  <c r="H4392" i="60"/>
  <c r="H4391" i="60"/>
  <c r="H4390" i="60"/>
  <c r="H4389" i="60"/>
  <c r="H4388" i="60"/>
  <c r="H4387" i="60"/>
  <c r="H4386" i="60"/>
  <c r="H4385" i="60"/>
  <c r="H4384" i="60"/>
  <c r="H4383" i="60"/>
  <c r="H4382" i="60"/>
  <c r="H4381" i="60"/>
  <c r="H4380" i="60"/>
  <c r="H4379" i="60"/>
  <c r="H4378" i="60"/>
  <c r="H4377" i="60"/>
  <c r="H4376" i="60"/>
  <c r="H4375" i="60"/>
  <c r="H4374" i="60"/>
  <c r="H4373" i="60"/>
  <c r="H4372" i="60"/>
  <c r="H4371" i="60"/>
  <c r="H4370" i="60"/>
  <c r="H4369" i="60"/>
  <c r="H4368" i="60"/>
  <c r="H4367" i="60"/>
  <c r="H4366" i="60"/>
  <c r="H4365" i="60"/>
  <c r="H4364" i="60"/>
  <c r="H4363" i="60"/>
  <c r="H4362" i="60"/>
  <c r="H4361" i="60"/>
  <c r="H4360" i="60"/>
  <c r="H4359" i="60"/>
  <c r="H4358" i="60"/>
  <c r="H4357" i="60"/>
  <c r="H4356" i="60"/>
  <c r="H4355" i="60"/>
  <c r="H4354" i="60"/>
  <c r="H4353" i="60"/>
  <c r="H4352" i="60"/>
  <c r="H4351" i="60"/>
  <c r="H4350" i="60"/>
  <c r="H4349" i="60"/>
  <c r="H4348" i="60"/>
  <c r="H4347" i="60"/>
  <c r="H4346" i="60"/>
  <c r="H4345" i="60"/>
  <c r="H4344" i="60"/>
  <c r="H4343" i="60"/>
  <c r="H4342" i="60"/>
  <c r="H4341" i="60"/>
  <c r="H4340" i="60"/>
  <c r="H4339" i="60"/>
  <c r="H4338" i="60"/>
  <c r="H4337" i="60"/>
  <c r="H4336" i="60"/>
  <c r="H4335" i="60"/>
  <c r="H4334" i="60"/>
  <c r="H4333" i="60"/>
  <c r="H4332" i="60"/>
  <c r="H4331" i="60"/>
  <c r="H4330" i="60"/>
  <c r="H4329" i="60"/>
  <c r="H4328" i="60"/>
  <c r="H4327" i="60"/>
  <c r="H4326" i="60"/>
  <c r="H4325" i="60"/>
  <c r="H4324" i="60"/>
  <c r="H4323" i="60"/>
  <c r="H4322" i="60"/>
  <c r="H4321" i="60"/>
  <c r="H4320" i="60"/>
  <c r="H4319" i="60"/>
  <c r="H4318" i="60"/>
  <c r="H4317" i="60"/>
  <c r="H4316" i="60"/>
  <c r="H4315" i="60"/>
  <c r="H4314" i="60"/>
  <c r="H4313" i="60"/>
  <c r="H4312" i="60"/>
  <c r="H4311" i="60"/>
  <c r="H4310" i="60"/>
  <c r="H4309" i="60"/>
  <c r="H4308" i="60"/>
  <c r="H4307" i="60"/>
  <c r="H4306" i="60"/>
  <c r="H4305" i="60"/>
  <c r="H4304" i="60"/>
  <c r="H4303" i="60"/>
  <c r="H4302" i="60"/>
  <c r="H4301" i="60"/>
  <c r="H4300" i="60"/>
  <c r="H4299" i="60"/>
  <c r="H4298" i="60"/>
  <c r="H4297" i="60"/>
  <c r="H4296" i="60"/>
  <c r="H4295" i="60"/>
  <c r="H4294" i="60"/>
  <c r="H4293" i="60"/>
  <c r="H4292" i="60"/>
  <c r="H4291" i="60"/>
  <c r="H4290" i="60"/>
  <c r="H4289" i="60"/>
  <c r="H4288" i="60"/>
  <c r="H4287" i="60"/>
  <c r="H4286" i="60"/>
  <c r="H4285" i="60"/>
  <c r="H4284" i="60"/>
  <c r="H4283" i="60"/>
  <c r="H4282" i="60"/>
  <c r="H4281" i="60"/>
  <c r="H4280" i="60"/>
  <c r="H4279" i="60"/>
  <c r="H4278" i="60"/>
  <c r="H4277" i="60"/>
  <c r="H4276" i="60"/>
  <c r="H4275" i="60"/>
  <c r="H4274" i="60"/>
  <c r="H4273" i="60"/>
  <c r="H4272" i="60"/>
  <c r="H4271" i="60"/>
  <c r="H4270" i="60"/>
  <c r="H4269" i="60"/>
  <c r="H4268" i="60"/>
  <c r="H4267" i="60"/>
  <c r="H4266" i="60"/>
  <c r="H4265" i="60"/>
  <c r="H4264" i="60"/>
  <c r="H4263" i="60"/>
  <c r="H4262" i="60"/>
  <c r="H4261" i="60"/>
  <c r="H4260" i="60"/>
  <c r="H4259" i="60"/>
  <c r="H4258" i="60"/>
  <c r="H4257" i="60"/>
  <c r="H4256" i="60"/>
  <c r="H4255" i="60"/>
  <c r="H4254" i="60"/>
  <c r="H4253" i="60"/>
  <c r="H4252" i="60"/>
  <c r="H4251" i="60"/>
  <c r="H4250" i="60"/>
  <c r="H4249" i="60"/>
  <c r="H4248" i="60"/>
  <c r="H4247" i="60"/>
  <c r="H4246" i="60"/>
  <c r="H4245" i="60"/>
  <c r="H4244" i="60"/>
  <c r="H4243" i="60"/>
  <c r="H4242" i="60"/>
  <c r="H4241" i="60"/>
  <c r="H4240" i="60"/>
  <c r="H4239" i="60"/>
  <c r="H4238" i="60"/>
  <c r="H4237" i="60"/>
  <c r="H4236" i="60"/>
  <c r="H4235" i="60"/>
  <c r="H4234" i="60"/>
  <c r="H4233" i="60"/>
  <c r="H4232" i="60"/>
  <c r="H4231" i="60"/>
  <c r="H4230" i="60"/>
  <c r="H4229" i="60"/>
  <c r="H4228" i="60"/>
  <c r="H4227" i="60"/>
  <c r="H4226" i="60"/>
  <c r="H4225" i="60"/>
  <c r="H4224" i="60"/>
  <c r="H4223" i="60"/>
  <c r="H4222" i="60"/>
  <c r="H4221" i="60"/>
  <c r="H4220" i="60"/>
  <c r="H4219" i="60"/>
  <c r="H4218" i="60"/>
  <c r="H4217" i="60"/>
  <c r="H4216" i="60"/>
  <c r="H4215" i="60"/>
  <c r="H4214" i="60"/>
  <c r="H4213" i="60"/>
  <c r="H4212" i="60"/>
  <c r="H4211" i="60"/>
  <c r="H4210" i="60"/>
  <c r="H4209" i="60"/>
  <c r="H4208" i="60"/>
  <c r="H4207" i="60"/>
  <c r="H4206" i="60"/>
  <c r="H4205" i="60"/>
  <c r="H4204" i="60"/>
  <c r="H4203" i="60"/>
  <c r="H4202" i="60"/>
  <c r="H4201" i="60"/>
  <c r="H4200" i="60"/>
  <c r="H4199" i="60"/>
  <c r="H4198" i="60"/>
  <c r="H4197" i="60"/>
  <c r="H4196" i="60"/>
  <c r="H4195" i="60"/>
  <c r="H4194" i="60"/>
  <c r="H4193" i="60"/>
  <c r="H4192" i="60"/>
  <c r="H4191" i="60"/>
  <c r="H4190" i="60"/>
  <c r="H4189" i="60"/>
  <c r="H4188" i="60"/>
  <c r="H4187" i="60"/>
  <c r="H4186" i="60"/>
  <c r="H4185" i="60"/>
  <c r="H4184" i="60"/>
  <c r="H4183" i="60"/>
  <c r="H4182" i="60"/>
  <c r="H4181" i="60"/>
  <c r="H4180" i="60"/>
  <c r="H4179" i="60"/>
  <c r="H4178" i="60"/>
  <c r="H4177" i="60"/>
  <c r="H4176" i="60"/>
  <c r="H4175" i="60"/>
  <c r="H4174" i="60"/>
  <c r="H4173" i="60"/>
  <c r="H4172" i="60"/>
  <c r="H4171" i="60"/>
  <c r="H4170" i="60"/>
  <c r="H4169" i="60"/>
  <c r="H4168" i="60"/>
  <c r="H4167" i="60"/>
  <c r="H4166" i="60"/>
  <c r="H4165" i="60"/>
  <c r="H4164" i="60"/>
  <c r="H4163" i="60"/>
  <c r="H4162" i="60"/>
  <c r="H4161" i="60"/>
  <c r="H4160" i="60"/>
  <c r="H4159" i="60"/>
  <c r="H4158" i="60"/>
  <c r="H4157" i="60"/>
  <c r="H4156" i="60"/>
  <c r="H4155" i="60"/>
  <c r="H4154" i="60"/>
  <c r="H4153" i="60"/>
  <c r="H4152" i="60"/>
  <c r="H4151" i="60"/>
  <c r="H4150" i="60"/>
  <c r="H4149" i="60"/>
  <c r="H4148" i="60"/>
  <c r="H4147" i="60"/>
  <c r="H4146" i="60"/>
  <c r="H4145" i="60"/>
  <c r="H4144" i="60"/>
  <c r="H4143" i="60"/>
  <c r="H4142" i="60"/>
  <c r="H4141" i="60"/>
  <c r="H4140" i="60"/>
  <c r="H4139" i="60"/>
  <c r="H4138" i="60"/>
  <c r="H4137" i="60"/>
  <c r="H4136" i="60"/>
  <c r="H4135" i="60"/>
  <c r="H4134" i="60"/>
  <c r="H4133" i="60"/>
  <c r="H4132" i="60"/>
  <c r="H4131" i="60"/>
  <c r="H4130" i="60"/>
  <c r="H4129" i="60"/>
  <c r="H4128" i="60"/>
  <c r="H4127" i="60"/>
  <c r="H4126" i="60"/>
  <c r="H4125" i="60"/>
  <c r="H4124" i="60"/>
  <c r="H4123" i="60"/>
  <c r="H4122" i="60"/>
  <c r="H4121" i="60"/>
  <c r="H4120" i="60"/>
  <c r="H4119" i="60"/>
  <c r="H4118" i="60"/>
  <c r="H4117" i="60"/>
  <c r="H4116" i="60"/>
  <c r="H4115" i="60"/>
  <c r="H4114" i="60"/>
  <c r="H4113" i="60"/>
  <c r="H4112" i="60"/>
  <c r="H4111" i="60"/>
  <c r="H4110" i="60"/>
  <c r="H4109" i="60"/>
  <c r="H4108" i="60"/>
  <c r="H4107" i="60"/>
  <c r="H4106" i="60"/>
  <c r="H4105" i="60"/>
  <c r="H4104" i="60"/>
  <c r="H4103" i="60"/>
  <c r="H4102" i="60"/>
  <c r="H4101" i="60"/>
  <c r="H4100" i="60"/>
  <c r="H4099" i="60"/>
  <c r="H4098" i="60"/>
  <c r="H4097" i="60"/>
  <c r="H4096" i="60"/>
  <c r="H4095" i="60"/>
  <c r="H4094" i="60"/>
  <c r="H4093" i="60"/>
  <c r="H4092" i="60"/>
  <c r="H4091" i="60"/>
  <c r="H4090" i="60"/>
  <c r="H4089" i="60"/>
  <c r="H4088" i="60"/>
  <c r="H4087" i="60"/>
  <c r="H4086" i="60"/>
  <c r="H4085" i="60"/>
  <c r="H4084" i="60"/>
  <c r="H4083" i="60"/>
  <c r="H4082" i="60"/>
  <c r="H4081" i="60"/>
  <c r="H4080" i="60"/>
  <c r="H4079" i="60"/>
  <c r="H4078" i="60"/>
  <c r="H4077" i="60"/>
  <c r="H4076" i="60"/>
  <c r="H4075" i="60"/>
  <c r="H4074" i="60"/>
  <c r="H4073" i="60"/>
  <c r="H4072" i="60"/>
  <c r="H4071" i="60"/>
  <c r="H4070" i="60"/>
  <c r="H4069" i="60"/>
  <c r="H4068" i="60"/>
  <c r="H4067" i="60"/>
  <c r="H4066" i="60"/>
  <c r="H4065" i="60"/>
  <c r="H4064" i="60"/>
  <c r="H4063" i="60"/>
  <c r="H4062" i="60"/>
  <c r="H4061" i="60"/>
  <c r="H4060" i="60"/>
  <c r="H4059" i="60"/>
  <c r="H4058" i="60"/>
  <c r="H4057" i="60"/>
  <c r="H4056" i="60"/>
  <c r="H4055" i="60"/>
  <c r="H4054" i="60"/>
  <c r="H4053" i="60"/>
  <c r="H4052" i="60"/>
  <c r="H4051" i="60"/>
  <c r="H4050" i="60"/>
  <c r="H4049" i="60"/>
  <c r="H4048" i="60"/>
  <c r="H4047" i="60"/>
  <c r="H4046" i="60"/>
  <c r="H4045" i="60"/>
  <c r="H4044" i="60"/>
  <c r="H4043" i="60"/>
  <c r="H4042" i="60"/>
  <c r="H4041" i="60"/>
  <c r="H4040" i="60"/>
  <c r="H4039" i="60"/>
  <c r="H4038" i="60"/>
  <c r="H4037" i="60"/>
  <c r="H4036" i="60"/>
  <c r="H4035" i="60"/>
  <c r="H4034" i="60"/>
  <c r="H4033" i="60"/>
  <c r="H4032" i="60"/>
  <c r="H4031" i="60"/>
  <c r="H4030" i="60"/>
  <c r="H4029" i="60"/>
  <c r="H4028" i="60"/>
  <c r="H4027" i="60"/>
  <c r="H4026" i="60"/>
  <c r="H4025" i="60"/>
  <c r="H4024" i="60"/>
  <c r="H4023" i="60"/>
  <c r="H4022" i="60"/>
  <c r="H4021" i="60"/>
  <c r="H4020" i="60"/>
  <c r="H4019" i="60"/>
  <c r="H4018" i="60"/>
  <c r="H4017" i="60"/>
  <c r="H4016" i="60"/>
  <c r="H4015" i="60"/>
  <c r="H4014" i="60"/>
  <c r="H4013" i="60"/>
  <c r="H4012" i="60"/>
  <c r="H4011" i="60"/>
  <c r="H4010" i="60"/>
  <c r="H4009" i="60"/>
  <c r="H4008" i="60"/>
  <c r="H4007" i="60"/>
  <c r="H4006" i="60"/>
  <c r="H4005" i="60"/>
  <c r="H4004" i="60"/>
  <c r="H4003" i="60"/>
  <c r="H4002" i="60"/>
  <c r="H4001" i="60"/>
  <c r="H4000" i="60"/>
  <c r="H3999" i="60"/>
  <c r="H3998" i="60"/>
  <c r="H3997" i="60"/>
  <c r="H3996" i="60"/>
  <c r="H3995" i="60"/>
  <c r="H3994" i="60"/>
  <c r="H3993" i="60"/>
  <c r="H3992" i="60"/>
  <c r="H3991" i="60"/>
  <c r="H3990" i="60"/>
  <c r="H3989" i="60"/>
  <c r="H3988" i="60"/>
  <c r="H3987" i="60"/>
  <c r="H3986" i="60"/>
  <c r="H3985" i="60"/>
  <c r="H3984" i="60"/>
  <c r="H3983" i="60"/>
  <c r="H3982" i="60"/>
  <c r="H3981" i="60"/>
  <c r="H3980" i="60"/>
  <c r="H3979" i="60"/>
  <c r="H3978" i="60"/>
  <c r="H3977" i="60"/>
  <c r="H3976" i="60"/>
  <c r="H3975" i="60"/>
  <c r="H3974" i="60"/>
  <c r="H3973" i="60"/>
  <c r="H3972" i="60"/>
  <c r="H3971" i="60"/>
  <c r="H3970" i="60"/>
  <c r="H3969" i="60"/>
  <c r="H3968" i="60"/>
  <c r="H3967" i="60"/>
  <c r="H3966" i="60"/>
  <c r="H3965" i="60"/>
  <c r="H3964" i="60"/>
  <c r="H3963" i="60"/>
  <c r="H3962" i="60"/>
  <c r="H3961" i="60"/>
  <c r="H3960" i="60"/>
  <c r="H3959" i="60"/>
  <c r="H3958" i="60"/>
  <c r="H3957" i="60"/>
  <c r="H3956" i="60"/>
  <c r="H3955" i="60"/>
  <c r="H3954" i="60"/>
  <c r="H3953" i="60"/>
  <c r="H3952" i="60"/>
  <c r="H3951" i="60"/>
  <c r="H3950" i="60"/>
  <c r="H3949" i="60"/>
  <c r="H3948" i="60"/>
  <c r="H3947" i="60"/>
  <c r="H3946" i="60"/>
  <c r="H3945" i="60"/>
  <c r="H3944" i="60"/>
  <c r="H3943" i="60"/>
  <c r="H3942" i="60"/>
  <c r="H3941" i="60"/>
  <c r="H3940" i="60"/>
  <c r="H3939" i="60"/>
  <c r="H3938" i="60"/>
  <c r="H3937" i="60"/>
  <c r="H3936" i="60"/>
  <c r="H3935" i="60"/>
  <c r="H3934" i="60"/>
  <c r="H3933" i="60"/>
  <c r="H3932" i="60"/>
  <c r="H3931" i="60"/>
  <c r="H3930" i="60"/>
  <c r="H3929" i="60"/>
  <c r="H3928" i="60"/>
  <c r="H3927" i="60"/>
  <c r="H3926" i="60"/>
  <c r="H3925" i="60"/>
  <c r="H3924" i="60"/>
  <c r="H3923" i="60"/>
  <c r="H3922" i="60"/>
  <c r="H3921" i="60"/>
  <c r="H3920" i="60"/>
  <c r="H3919" i="60"/>
  <c r="H3918" i="60"/>
  <c r="H3917" i="60"/>
  <c r="H3916" i="60"/>
  <c r="H3915" i="60"/>
  <c r="H3914" i="60"/>
  <c r="H3913" i="60"/>
  <c r="H3912" i="60"/>
  <c r="H3911" i="60"/>
  <c r="H3910" i="60"/>
  <c r="H3909" i="60"/>
  <c r="H3908" i="60"/>
  <c r="H3907" i="60"/>
  <c r="H3906" i="60"/>
  <c r="H3905" i="60"/>
  <c r="H3904" i="60"/>
  <c r="H3903" i="60"/>
  <c r="H3902" i="60"/>
  <c r="H3901" i="60"/>
  <c r="H3900" i="60"/>
  <c r="H3899" i="60"/>
  <c r="H3898" i="60"/>
  <c r="H3897" i="60"/>
  <c r="H3896" i="60"/>
  <c r="H3895" i="60"/>
  <c r="H3894" i="60"/>
  <c r="H3893" i="60"/>
  <c r="H3892" i="60"/>
  <c r="H3891" i="60"/>
  <c r="H3890" i="60"/>
  <c r="H3889" i="60"/>
  <c r="H3888" i="60"/>
  <c r="H3887" i="60"/>
  <c r="H3886" i="60"/>
  <c r="H3885" i="60"/>
  <c r="H3884" i="60"/>
  <c r="H3883" i="60"/>
  <c r="H3882" i="60"/>
  <c r="H3881" i="60"/>
  <c r="H3880" i="60"/>
  <c r="H3879" i="60"/>
  <c r="H3878" i="60"/>
  <c r="H3877" i="60"/>
  <c r="H3876" i="60"/>
  <c r="H3875" i="60"/>
  <c r="H3874" i="60"/>
  <c r="H3873" i="60"/>
  <c r="H3872" i="60"/>
  <c r="H3871" i="60"/>
  <c r="H3870" i="60"/>
  <c r="H3869" i="60"/>
  <c r="H3868" i="60"/>
  <c r="H3867" i="60"/>
  <c r="H3866" i="60"/>
  <c r="H3865" i="60"/>
  <c r="H3864" i="60"/>
  <c r="H3863" i="60"/>
  <c r="H3862" i="60"/>
  <c r="H3861" i="60"/>
  <c r="H3860" i="60"/>
  <c r="H3859" i="60"/>
  <c r="H3858" i="60"/>
  <c r="H3857" i="60"/>
  <c r="H3856" i="60"/>
  <c r="H3855" i="60"/>
  <c r="H3854" i="60"/>
  <c r="H3853" i="60"/>
  <c r="H3852" i="60"/>
  <c r="H3851" i="60"/>
  <c r="H3850" i="60"/>
  <c r="H3849" i="60"/>
  <c r="H3848" i="60"/>
  <c r="H3847" i="60"/>
  <c r="H3846" i="60"/>
  <c r="H3845" i="60"/>
  <c r="H3844" i="60"/>
  <c r="H3843" i="60"/>
  <c r="H3842" i="60"/>
  <c r="H3841" i="60"/>
  <c r="H3840" i="60"/>
  <c r="H3839" i="60"/>
  <c r="H3838" i="60"/>
  <c r="H3837" i="60"/>
  <c r="H3836" i="60"/>
  <c r="H3835" i="60"/>
  <c r="H3834" i="60"/>
  <c r="H3833" i="60"/>
  <c r="H3832" i="60"/>
  <c r="H3831" i="60"/>
  <c r="H3830" i="60"/>
  <c r="H3829" i="60"/>
  <c r="H3828" i="60"/>
  <c r="H3827" i="60"/>
  <c r="H3826" i="60"/>
  <c r="H3825" i="60"/>
  <c r="H3824" i="60"/>
  <c r="H3823" i="60"/>
  <c r="H3822" i="60"/>
  <c r="H3821" i="60"/>
  <c r="H3820" i="60"/>
  <c r="H3819" i="60"/>
  <c r="H3818" i="60"/>
  <c r="H3817" i="60"/>
  <c r="H3816" i="60"/>
  <c r="H3815" i="60"/>
  <c r="H3814" i="60"/>
  <c r="H3813" i="60"/>
  <c r="H3812" i="60"/>
  <c r="H3811" i="60"/>
  <c r="H3810" i="60"/>
  <c r="H3809" i="60"/>
  <c r="H3808" i="60"/>
  <c r="H3807" i="60"/>
  <c r="H3806" i="60"/>
  <c r="H3805" i="60"/>
  <c r="H3804" i="60"/>
  <c r="H3803" i="60"/>
  <c r="H3802" i="60"/>
  <c r="H3801" i="60"/>
  <c r="H3800" i="60"/>
  <c r="H3799" i="60"/>
  <c r="H3798" i="60"/>
  <c r="H3797" i="60"/>
  <c r="H3796" i="60"/>
  <c r="H3795" i="60"/>
  <c r="H3794" i="60"/>
  <c r="H3793" i="60"/>
  <c r="H3792" i="60"/>
  <c r="H3791" i="60"/>
  <c r="H3790" i="60"/>
  <c r="H3789" i="60"/>
  <c r="H3788" i="60"/>
  <c r="H3787" i="60"/>
  <c r="H3786" i="60"/>
  <c r="H3785" i="60"/>
  <c r="H3784" i="60"/>
  <c r="H3783" i="60"/>
  <c r="H3782" i="60"/>
  <c r="H3781" i="60"/>
  <c r="H3780" i="60"/>
  <c r="H3779" i="60"/>
  <c r="H3778" i="60"/>
  <c r="H3777" i="60"/>
  <c r="H3776" i="60"/>
  <c r="H3775" i="60"/>
  <c r="H3774" i="60"/>
  <c r="H3773" i="60"/>
  <c r="H3772" i="60"/>
  <c r="H3771" i="60"/>
  <c r="H3770" i="60"/>
  <c r="H3769" i="60"/>
  <c r="H3768" i="60"/>
  <c r="H3767" i="60"/>
  <c r="H3766" i="60"/>
  <c r="H3765" i="60"/>
  <c r="H3764" i="60"/>
  <c r="H3763" i="60"/>
  <c r="H3762" i="60"/>
  <c r="H3761" i="60"/>
  <c r="H3760" i="60"/>
  <c r="H3759" i="60"/>
  <c r="H3758" i="60"/>
  <c r="H3757" i="60"/>
  <c r="H3756" i="60"/>
  <c r="H3755" i="60"/>
  <c r="H3754" i="60"/>
  <c r="H3753" i="60"/>
  <c r="H3752" i="60"/>
  <c r="H3751" i="60"/>
  <c r="H3750" i="60"/>
  <c r="H3749" i="60"/>
  <c r="H3748" i="60"/>
  <c r="H3747" i="60"/>
  <c r="H3746" i="60"/>
  <c r="H3745" i="60"/>
  <c r="H3744" i="60"/>
  <c r="H3743" i="60"/>
  <c r="H3742" i="60"/>
  <c r="H3741" i="60"/>
  <c r="H3740" i="60"/>
  <c r="H3739" i="60"/>
  <c r="H3738" i="60"/>
  <c r="H3737" i="60"/>
  <c r="H3736" i="60"/>
  <c r="H3735" i="60"/>
  <c r="H3734" i="60"/>
  <c r="H3733" i="60"/>
  <c r="H3732" i="60"/>
  <c r="H3731" i="60"/>
  <c r="H3730" i="60"/>
  <c r="H3729" i="60"/>
  <c r="H3728" i="60"/>
  <c r="H3727" i="60"/>
  <c r="H3726" i="60"/>
  <c r="H3725" i="60"/>
  <c r="H3724" i="60"/>
  <c r="H3723" i="60"/>
  <c r="H3722" i="60"/>
  <c r="H3721" i="60"/>
  <c r="H3720" i="60"/>
  <c r="H3719" i="60"/>
  <c r="H3718" i="60"/>
  <c r="H3717" i="60"/>
  <c r="H3716" i="60"/>
  <c r="H3715" i="60"/>
  <c r="H3714" i="60"/>
  <c r="H3713" i="60"/>
  <c r="H3712" i="60"/>
  <c r="H3711" i="60"/>
  <c r="H3710" i="60"/>
  <c r="H3709" i="60"/>
  <c r="H3708" i="60"/>
  <c r="H3707" i="60"/>
  <c r="H3706" i="60"/>
  <c r="H3705" i="60"/>
  <c r="H3704" i="60"/>
  <c r="H3703" i="60"/>
  <c r="H3702" i="60"/>
  <c r="H3701" i="60"/>
  <c r="H3700" i="60"/>
  <c r="H3699" i="60"/>
  <c r="H3698" i="60"/>
  <c r="H3697" i="60"/>
  <c r="H3696" i="60"/>
  <c r="H3695" i="60"/>
  <c r="H3694" i="60"/>
  <c r="H3693" i="60"/>
  <c r="H3692" i="60"/>
  <c r="H3691" i="60"/>
  <c r="H3690" i="60"/>
  <c r="H3689" i="60"/>
  <c r="H3688" i="60"/>
  <c r="H3687" i="60"/>
  <c r="H3686" i="60"/>
  <c r="H3685" i="60"/>
  <c r="H3684" i="60"/>
  <c r="H3683" i="60"/>
  <c r="H3682" i="60"/>
  <c r="H3681" i="60"/>
  <c r="H3680" i="60"/>
  <c r="H3679" i="60"/>
  <c r="H3678" i="60"/>
  <c r="H3677" i="60"/>
  <c r="H3676" i="60"/>
  <c r="H3675" i="60"/>
  <c r="H3674" i="60"/>
  <c r="H3673" i="60"/>
  <c r="H3672" i="60"/>
  <c r="H3671" i="60"/>
  <c r="H3670" i="60"/>
  <c r="H3669" i="60"/>
  <c r="H3668" i="60"/>
  <c r="H3667" i="60"/>
  <c r="H3666" i="60"/>
  <c r="H3665" i="60"/>
  <c r="H3664" i="60"/>
  <c r="H3663" i="60"/>
  <c r="H3662" i="60"/>
  <c r="H3661" i="60"/>
  <c r="H3660" i="60"/>
  <c r="H3659" i="60"/>
  <c r="H3658" i="60"/>
  <c r="H3657" i="60"/>
  <c r="H3656" i="60"/>
  <c r="H3655" i="60"/>
  <c r="H3654" i="60"/>
  <c r="H3653" i="60"/>
  <c r="H3652" i="60"/>
  <c r="H3651" i="60"/>
  <c r="H3650" i="60"/>
  <c r="H3649" i="60"/>
  <c r="H3648" i="60"/>
  <c r="H3647" i="60"/>
  <c r="H3646" i="60"/>
  <c r="H3645" i="60"/>
  <c r="H3644" i="60"/>
  <c r="H3643" i="60"/>
  <c r="H3642" i="60"/>
  <c r="H3641" i="60"/>
  <c r="H3640" i="60"/>
  <c r="H3639" i="60"/>
  <c r="H3638" i="60"/>
  <c r="H3637" i="60"/>
  <c r="H3636" i="60"/>
  <c r="H3635" i="60"/>
  <c r="H3634" i="60"/>
  <c r="H3633" i="60"/>
  <c r="H3632" i="60"/>
  <c r="H3631" i="60"/>
  <c r="H3630" i="60"/>
  <c r="H3629" i="60"/>
  <c r="H3628" i="60"/>
  <c r="H3627" i="60"/>
  <c r="H3626" i="60"/>
  <c r="H3625" i="60"/>
  <c r="H3624" i="60"/>
  <c r="H3623" i="60"/>
  <c r="H3622" i="60"/>
  <c r="H3621" i="60"/>
  <c r="H3620" i="60"/>
  <c r="H3619" i="60"/>
  <c r="H3618" i="60"/>
  <c r="H3617" i="60"/>
  <c r="H3616" i="60"/>
  <c r="H3615" i="60"/>
  <c r="H3614" i="60"/>
  <c r="H3613" i="60"/>
  <c r="H3612" i="60"/>
  <c r="H3611" i="60"/>
  <c r="H3610" i="60"/>
  <c r="H3609" i="60"/>
  <c r="H3608" i="60"/>
  <c r="H3607" i="60"/>
  <c r="H3606" i="60"/>
  <c r="H3605" i="60"/>
  <c r="H3604" i="60"/>
  <c r="H3603" i="60"/>
  <c r="H3602" i="60"/>
  <c r="H3601" i="60"/>
  <c r="H3600" i="60"/>
  <c r="H3599" i="60"/>
  <c r="H3598" i="60"/>
  <c r="H3597" i="60"/>
  <c r="H3596" i="60"/>
  <c r="H3595" i="60"/>
  <c r="H3594" i="60"/>
  <c r="H3593" i="60"/>
  <c r="H3592" i="60"/>
  <c r="H3591" i="60"/>
  <c r="H3590" i="60"/>
  <c r="H3589" i="60"/>
  <c r="H3588" i="60"/>
  <c r="H3587" i="60"/>
  <c r="H3586" i="60"/>
  <c r="H3585" i="60"/>
  <c r="H3584" i="60"/>
  <c r="H3583" i="60"/>
  <c r="H3582" i="60"/>
  <c r="H3581" i="60"/>
  <c r="H3580" i="60"/>
  <c r="H3579" i="60"/>
  <c r="H3578" i="60"/>
  <c r="H3577" i="60"/>
  <c r="H3576" i="60"/>
  <c r="H3575" i="60"/>
  <c r="H3574" i="60"/>
  <c r="H3573" i="60"/>
  <c r="H3572" i="60"/>
  <c r="H3571" i="60"/>
  <c r="H3570" i="60"/>
  <c r="H3569" i="60"/>
  <c r="H3568" i="60"/>
  <c r="H3567" i="60"/>
  <c r="H3566" i="60"/>
  <c r="H3565" i="60"/>
  <c r="H3564" i="60"/>
  <c r="H3563" i="60"/>
  <c r="H3562" i="60"/>
  <c r="H3561" i="60"/>
  <c r="H3560" i="60"/>
  <c r="H3559" i="60"/>
  <c r="H3558" i="60"/>
  <c r="H3557" i="60"/>
  <c r="H3556" i="60"/>
  <c r="H3555" i="60"/>
  <c r="H3554" i="60"/>
  <c r="H3553" i="60"/>
  <c r="H3552" i="60"/>
  <c r="H3551" i="60"/>
  <c r="H3550" i="60"/>
  <c r="H3549" i="60"/>
  <c r="H3548" i="60"/>
  <c r="H3547" i="60"/>
  <c r="H3546" i="60"/>
  <c r="H3545" i="60"/>
  <c r="H3544" i="60"/>
  <c r="H3543" i="60"/>
  <c r="H3542" i="60"/>
  <c r="H3541" i="60"/>
  <c r="H3540" i="60"/>
  <c r="H3539" i="60"/>
  <c r="H3538" i="60"/>
  <c r="H3537" i="60"/>
  <c r="H3536" i="60"/>
  <c r="H3535" i="60"/>
  <c r="H3534" i="60"/>
  <c r="H3533" i="60"/>
  <c r="H3532" i="60"/>
  <c r="H3531" i="60"/>
  <c r="H3530" i="60"/>
  <c r="H3529" i="60"/>
  <c r="H3528" i="60"/>
  <c r="H3527" i="60"/>
  <c r="H3526" i="60"/>
  <c r="H3525" i="60"/>
  <c r="H3524" i="60"/>
  <c r="H3523" i="60"/>
  <c r="H3522" i="60"/>
  <c r="H3521" i="60"/>
  <c r="H3520" i="60"/>
  <c r="H3519" i="60"/>
  <c r="H3518" i="60"/>
  <c r="H3517" i="60"/>
  <c r="H3516" i="60"/>
  <c r="H3515" i="60"/>
  <c r="H3514" i="60"/>
  <c r="H3513" i="60"/>
  <c r="H3512" i="60"/>
  <c r="H3511" i="60"/>
  <c r="H3510" i="60"/>
  <c r="H3509" i="60"/>
  <c r="H3508" i="60"/>
  <c r="H3507" i="60"/>
  <c r="H3506" i="60"/>
  <c r="H3505" i="60"/>
  <c r="H3504" i="60"/>
  <c r="H3503" i="60"/>
  <c r="H3502" i="60"/>
  <c r="H3501" i="60"/>
  <c r="H3500" i="60"/>
  <c r="H3499" i="60"/>
  <c r="H3498" i="60"/>
  <c r="H3497" i="60"/>
  <c r="H3496" i="60"/>
  <c r="H3495" i="60"/>
  <c r="H3494" i="60"/>
  <c r="H3493" i="60"/>
  <c r="H3492" i="60"/>
  <c r="H3491" i="60"/>
  <c r="H3490" i="60"/>
  <c r="H3489" i="60"/>
  <c r="H3488" i="60"/>
  <c r="H3487" i="60"/>
  <c r="H3486" i="60"/>
  <c r="H3485" i="60"/>
  <c r="H3484" i="60"/>
  <c r="H3483" i="60"/>
  <c r="H3482" i="60"/>
  <c r="H3481" i="60"/>
  <c r="H3480" i="60"/>
  <c r="H3479" i="60"/>
  <c r="H3478" i="60"/>
  <c r="H3477" i="60"/>
  <c r="H3476" i="60"/>
  <c r="H3475" i="60"/>
  <c r="H3474" i="60"/>
  <c r="H3473" i="60"/>
  <c r="H3472" i="60"/>
  <c r="H3471" i="60"/>
  <c r="H3470" i="60"/>
  <c r="H3469" i="60"/>
  <c r="H3468" i="60"/>
  <c r="H3467" i="60"/>
  <c r="H3466" i="60"/>
  <c r="H3465" i="60"/>
  <c r="H3464" i="60"/>
  <c r="H3463" i="60"/>
  <c r="H3462" i="60"/>
  <c r="H3461" i="60"/>
  <c r="H3460" i="60"/>
  <c r="H3459" i="60"/>
  <c r="H3458" i="60"/>
  <c r="H3457" i="60"/>
  <c r="H3456" i="60"/>
  <c r="H3455" i="60"/>
  <c r="H3454" i="60"/>
  <c r="H3453" i="60"/>
  <c r="H3452" i="60"/>
  <c r="H3451" i="60"/>
  <c r="H3450" i="60"/>
  <c r="H3449" i="60"/>
  <c r="H3448" i="60"/>
  <c r="H3447" i="60"/>
  <c r="H3446" i="60"/>
  <c r="H3445" i="60"/>
  <c r="H3444" i="60"/>
  <c r="H3443" i="60"/>
  <c r="H3442" i="60"/>
  <c r="H3441" i="60"/>
  <c r="H3440" i="60"/>
  <c r="H3439" i="60"/>
  <c r="H3438" i="60"/>
  <c r="H3437" i="60"/>
  <c r="H3436" i="60"/>
  <c r="H3435" i="60"/>
  <c r="H3434" i="60"/>
  <c r="H3433" i="60"/>
  <c r="H3432" i="60"/>
  <c r="H3431" i="60"/>
  <c r="H3430" i="60"/>
  <c r="H3429" i="60"/>
  <c r="H3428" i="60"/>
  <c r="H3427" i="60"/>
  <c r="H3426" i="60"/>
  <c r="H3425" i="60"/>
  <c r="H3424" i="60"/>
  <c r="H3423" i="60"/>
  <c r="H3422" i="60"/>
  <c r="H3421" i="60"/>
  <c r="H3420" i="60"/>
  <c r="H3419" i="60"/>
  <c r="H3418" i="60"/>
  <c r="H3417" i="60"/>
  <c r="H3416" i="60"/>
  <c r="H3415" i="60"/>
  <c r="H3414" i="60"/>
  <c r="H3413" i="60"/>
  <c r="H3412" i="60"/>
  <c r="H3411" i="60"/>
  <c r="H3410" i="60"/>
  <c r="H3409" i="60"/>
  <c r="H3408" i="60"/>
  <c r="H3407" i="60"/>
  <c r="H3406" i="60"/>
  <c r="H3405" i="60"/>
  <c r="H3404" i="60"/>
  <c r="H3403" i="60"/>
  <c r="H3402" i="60"/>
  <c r="H3401" i="60"/>
  <c r="H3400" i="60"/>
  <c r="H3399" i="60"/>
  <c r="H3398" i="60"/>
  <c r="H3397" i="60"/>
  <c r="H3396" i="60"/>
  <c r="H3395" i="60"/>
  <c r="H3394" i="60"/>
  <c r="H3393" i="60"/>
  <c r="H3392" i="60"/>
  <c r="H3391" i="60"/>
  <c r="H3390" i="60"/>
  <c r="H3389" i="60"/>
  <c r="H3388" i="60"/>
  <c r="H3387" i="60"/>
  <c r="H3386" i="60"/>
  <c r="H3385" i="60"/>
  <c r="H3384" i="60"/>
  <c r="H3383" i="60"/>
  <c r="H3382" i="60"/>
  <c r="H3381" i="60"/>
  <c r="H3380" i="60"/>
  <c r="H3379" i="60"/>
  <c r="H3378" i="60"/>
  <c r="H3377" i="60"/>
  <c r="H3376" i="60"/>
  <c r="H3375" i="60"/>
  <c r="H3374" i="60"/>
  <c r="H3373" i="60"/>
  <c r="H3372" i="60"/>
  <c r="H3371" i="60"/>
  <c r="H3370" i="60"/>
  <c r="H3369" i="60"/>
  <c r="H3368" i="60"/>
  <c r="H3367" i="60"/>
  <c r="H3366" i="60"/>
  <c r="H3365" i="60"/>
  <c r="H3364" i="60"/>
  <c r="H3363" i="60"/>
  <c r="H3362" i="60"/>
  <c r="H3361" i="60"/>
  <c r="H3360" i="60"/>
  <c r="H3359" i="60"/>
  <c r="H3358" i="60"/>
  <c r="H3357" i="60"/>
  <c r="H3356" i="60"/>
  <c r="H3355" i="60"/>
  <c r="H3354" i="60"/>
  <c r="H3353" i="60"/>
  <c r="H3352" i="60"/>
  <c r="H3351" i="60"/>
  <c r="H3350" i="60"/>
  <c r="H3349" i="60"/>
  <c r="H3348" i="60"/>
  <c r="H3347" i="60"/>
  <c r="H3346" i="60"/>
  <c r="H3345" i="60"/>
  <c r="H3344" i="60"/>
  <c r="H3343" i="60"/>
  <c r="H3342" i="60"/>
  <c r="H3341" i="60"/>
  <c r="H3340" i="60"/>
  <c r="H3339" i="60"/>
  <c r="H3338" i="60"/>
  <c r="H3337" i="60"/>
  <c r="H3336" i="60"/>
  <c r="H3335" i="60"/>
  <c r="H3334" i="60"/>
  <c r="H3333" i="60"/>
  <c r="H3332" i="60"/>
  <c r="H3331" i="60"/>
  <c r="H3330" i="60"/>
  <c r="H3329" i="60"/>
  <c r="H3328" i="60"/>
  <c r="H3327" i="60"/>
  <c r="H3326" i="60"/>
  <c r="H3325" i="60"/>
  <c r="H3324" i="60"/>
  <c r="H3323" i="60"/>
  <c r="H3322" i="60"/>
  <c r="H3321" i="60"/>
  <c r="H3320" i="60"/>
  <c r="H3319" i="60"/>
  <c r="H3318" i="60"/>
  <c r="H3317" i="60"/>
  <c r="H3316" i="60"/>
  <c r="H3315" i="60"/>
  <c r="H3314" i="60"/>
  <c r="H3313" i="60"/>
  <c r="H3312" i="60"/>
  <c r="H3311" i="60"/>
  <c r="H3310" i="60"/>
  <c r="H3309" i="60"/>
  <c r="H3308" i="60"/>
  <c r="H3307" i="60"/>
  <c r="H3306" i="60"/>
  <c r="H3305" i="60"/>
  <c r="H3304" i="60"/>
  <c r="H3303" i="60"/>
  <c r="H3302" i="60"/>
  <c r="H3301" i="60"/>
  <c r="H3300" i="60"/>
  <c r="H3299" i="60"/>
  <c r="H3298" i="60"/>
  <c r="H3297" i="60"/>
  <c r="H3296" i="60"/>
  <c r="H3295" i="60"/>
  <c r="H3294" i="60"/>
  <c r="H3293" i="60"/>
  <c r="H3292" i="60"/>
  <c r="H3291" i="60"/>
  <c r="H3290" i="60"/>
  <c r="H3289" i="60"/>
  <c r="H3288" i="60"/>
  <c r="H3287" i="60"/>
  <c r="H3286" i="60"/>
  <c r="H3285" i="60"/>
  <c r="H3284" i="60"/>
  <c r="H3283" i="60"/>
  <c r="H3282" i="60"/>
  <c r="H3281" i="60"/>
  <c r="H3280" i="60"/>
  <c r="H3279" i="60"/>
  <c r="H3278" i="60"/>
  <c r="H3277" i="60"/>
  <c r="H3276" i="60"/>
  <c r="H3275" i="60"/>
  <c r="H3274" i="60"/>
  <c r="H3273" i="60"/>
  <c r="H3272" i="60"/>
  <c r="H3271" i="60"/>
  <c r="H3270" i="60"/>
  <c r="H3269" i="60"/>
  <c r="H3268" i="60"/>
  <c r="H3267" i="60"/>
  <c r="H3266" i="60"/>
  <c r="H3265" i="60"/>
  <c r="H3264" i="60"/>
  <c r="H3263" i="60"/>
  <c r="H3262" i="60"/>
  <c r="H3261" i="60"/>
  <c r="H3260" i="60"/>
  <c r="H3259" i="60"/>
  <c r="H3258" i="60"/>
  <c r="H3257" i="60"/>
  <c r="H3256" i="60"/>
  <c r="H3255" i="60"/>
  <c r="H3254" i="60"/>
  <c r="H3253" i="60"/>
  <c r="H3252" i="60"/>
  <c r="H3251" i="60"/>
  <c r="H3250" i="60"/>
  <c r="H3249" i="60"/>
  <c r="H3248" i="60"/>
  <c r="H3247" i="60"/>
  <c r="H3246" i="60"/>
  <c r="H3245" i="60"/>
  <c r="H3244" i="60"/>
  <c r="H3243" i="60"/>
  <c r="H3242" i="60"/>
  <c r="H3241" i="60"/>
  <c r="H3240" i="60"/>
  <c r="H3239" i="60"/>
  <c r="H3238" i="60"/>
  <c r="H3237" i="60"/>
  <c r="H3236" i="60"/>
  <c r="H3235" i="60"/>
  <c r="H3234" i="60"/>
  <c r="H3233" i="60"/>
  <c r="H3232" i="60"/>
  <c r="H3231" i="60"/>
  <c r="H3230" i="60"/>
  <c r="H3229" i="60"/>
  <c r="H3228" i="60"/>
  <c r="H3227" i="60"/>
  <c r="H3226" i="60"/>
  <c r="H3225" i="60"/>
  <c r="H3224" i="60"/>
  <c r="H3223" i="60"/>
  <c r="H3222" i="60"/>
  <c r="H3221" i="60"/>
  <c r="H3220" i="60"/>
  <c r="H3219" i="60"/>
  <c r="H3218" i="60"/>
  <c r="H3217" i="60"/>
  <c r="H3216" i="60"/>
  <c r="H3215" i="60"/>
  <c r="H3214" i="60"/>
  <c r="H3213" i="60"/>
  <c r="H3212" i="60"/>
  <c r="H3211" i="60"/>
  <c r="H3210" i="60"/>
  <c r="H3209" i="60"/>
  <c r="H3208" i="60"/>
  <c r="H3207" i="60"/>
  <c r="H3206" i="60"/>
  <c r="H3205" i="60"/>
  <c r="H3204" i="60"/>
  <c r="H3203" i="60"/>
  <c r="H3202" i="60"/>
  <c r="H3201" i="60"/>
  <c r="H3200" i="60"/>
  <c r="H3199" i="60"/>
  <c r="H3198" i="60"/>
  <c r="H3197" i="60"/>
  <c r="H3196" i="60"/>
  <c r="H3195" i="60"/>
  <c r="H3194" i="60"/>
  <c r="H3193" i="60"/>
  <c r="H3192" i="60"/>
  <c r="H3191" i="60"/>
  <c r="H3190" i="60"/>
  <c r="H3189" i="60"/>
  <c r="H3188" i="60"/>
  <c r="H3187" i="60"/>
  <c r="H3186" i="60"/>
  <c r="H3185" i="60"/>
  <c r="H3184" i="60"/>
  <c r="H3183" i="60"/>
  <c r="H3182" i="60"/>
  <c r="H3181" i="60"/>
  <c r="H3180" i="60"/>
  <c r="H3179" i="60"/>
  <c r="H3178" i="60"/>
  <c r="H3177" i="60"/>
  <c r="H3176" i="60"/>
  <c r="H3175" i="60"/>
  <c r="H3174" i="60"/>
  <c r="H3173" i="60"/>
  <c r="H3172" i="60"/>
  <c r="H3171" i="60"/>
  <c r="H3170" i="60"/>
  <c r="H3169" i="60"/>
  <c r="H3168" i="60"/>
  <c r="H3167" i="60"/>
  <c r="H3166" i="60"/>
  <c r="H3165" i="60"/>
  <c r="H3164" i="60"/>
  <c r="H3163" i="60"/>
  <c r="H3162" i="60"/>
  <c r="H3161" i="60"/>
  <c r="H3160" i="60"/>
  <c r="H3159" i="60"/>
  <c r="H3158" i="60"/>
  <c r="H3157" i="60"/>
  <c r="H3156" i="60"/>
  <c r="H3155" i="60"/>
  <c r="H3154" i="60"/>
  <c r="H3153" i="60"/>
  <c r="H3152" i="60"/>
  <c r="H3151" i="60"/>
  <c r="H3150" i="60"/>
  <c r="H3149" i="60"/>
  <c r="H3148" i="60"/>
  <c r="H3147" i="60"/>
  <c r="H3146" i="60"/>
  <c r="H3145" i="60"/>
  <c r="H3144" i="60"/>
  <c r="H3143" i="60"/>
  <c r="H3142" i="60"/>
  <c r="H3141" i="60"/>
  <c r="H3140" i="60"/>
  <c r="H3139" i="60"/>
  <c r="H3138" i="60"/>
  <c r="H3137" i="60"/>
  <c r="H3136" i="60"/>
  <c r="H3135" i="60"/>
  <c r="H3134" i="60"/>
  <c r="H3133" i="60"/>
  <c r="H3132" i="60"/>
  <c r="H3131" i="60"/>
  <c r="H3130" i="60"/>
  <c r="H3129" i="60"/>
  <c r="H3128" i="60"/>
  <c r="H3127" i="60"/>
  <c r="H3126" i="60"/>
  <c r="H3125" i="60"/>
  <c r="H3124" i="60"/>
  <c r="H3123" i="60"/>
  <c r="H3122" i="60"/>
  <c r="H3121" i="60"/>
  <c r="H3120" i="60"/>
  <c r="H3119" i="60"/>
  <c r="H3118" i="60"/>
  <c r="H3117" i="60"/>
  <c r="H3116" i="60"/>
  <c r="H3115" i="60"/>
  <c r="H3114" i="60"/>
  <c r="H3113" i="60"/>
  <c r="H3112" i="60"/>
  <c r="H3111" i="60"/>
  <c r="H3110" i="60"/>
  <c r="H3109" i="60"/>
  <c r="H3108" i="60"/>
  <c r="H3107" i="60"/>
  <c r="H3106" i="60"/>
  <c r="H3105" i="60"/>
  <c r="H3104" i="60"/>
  <c r="H3103" i="60"/>
  <c r="H3102" i="60"/>
  <c r="H3101" i="60"/>
  <c r="H3100" i="60"/>
  <c r="H3099" i="60"/>
  <c r="H3098" i="60"/>
  <c r="H3097" i="60"/>
  <c r="H3096" i="60"/>
  <c r="H3095" i="60"/>
  <c r="H3094" i="60"/>
  <c r="H3093" i="60"/>
  <c r="H3092" i="60"/>
  <c r="H3091" i="60"/>
  <c r="H3090" i="60"/>
  <c r="H3089" i="60"/>
  <c r="H3088" i="60"/>
  <c r="H3087" i="60"/>
  <c r="H3086" i="60"/>
  <c r="H3085" i="60"/>
  <c r="H3084" i="60"/>
  <c r="H3083" i="60"/>
  <c r="H3082" i="60"/>
  <c r="H3081" i="60"/>
  <c r="H3080" i="60"/>
  <c r="H3079" i="60"/>
  <c r="H3078" i="60"/>
  <c r="H3077" i="60"/>
  <c r="H3076" i="60"/>
  <c r="H3075" i="60"/>
  <c r="H3074" i="60"/>
  <c r="H3073" i="60"/>
  <c r="H3072" i="60"/>
  <c r="H3071" i="60"/>
  <c r="H3070" i="60"/>
  <c r="H3069" i="60"/>
  <c r="H3068" i="60"/>
  <c r="H3067" i="60"/>
  <c r="H3066" i="60"/>
  <c r="H3065" i="60"/>
  <c r="H3064" i="60"/>
  <c r="H3063" i="60"/>
  <c r="H3062" i="60"/>
  <c r="H3061" i="60"/>
  <c r="H3060" i="60"/>
  <c r="H3059" i="60"/>
  <c r="H3058" i="60"/>
  <c r="H3057" i="60"/>
  <c r="H3056" i="60"/>
  <c r="H3055" i="60"/>
  <c r="H3054" i="60"/>
  <c r="H3053" i="60"/>
  <c r="H3052" i="60"/>
  <c r="H3051" i="60"/>
  <c r="H3050" i="60"/>
  <c r="H3049" i="60"/>
  <c r="H3048" i="60"/>
  <c r="H3047" i="60"/>
  <c r="H3046" i="60"/>
  <c r="H3045" i="60"/>
  <c r="H3044" i="60"/>
  <c r="H3043" i="60"/>
  <c r="H3042" i="60"/>
  <c r="H3041" i="60"/>
  <c r="H3040" i="60"/>
  <c r="H3039" i="60"/>
  <c r="H3038" i="60"/>
  <c r="H3037" i="60"/>
  <c r="H3036" i="60"/>
  <c r="H3035" i="60"/>
  <c r="H3034" i="60"/>
  <c r="H3033" i="60"/>
  <c r="H3032" i="60"/>
  <c r="H3031" i="60"/>
  <c r="H3030" i="60"/>
  <c r="H3029" i="60"/>
  <c r="H3028" i="60"/>
  <c r="H3027" i="60"/>
  <c r="H3026" i="60"/>
  <c r="H3025" i="60"/>
  <c r="H3024" i="60"/>
  <c r="H3023" i="60"/>
  <c r="H3022" i="60"/>
  <c r="H3021" i="60"/>
  <c r="H3020" i="60"/>
  <c r="H3019" i="60"/>
  <c r="H3018" i="60"/>
  <c r="H3017" i="60"/>
  <c r="H3016" i="60"/>
  <c r="H3015" i="60"/>
  <c r="H3014" i="60"/>
  <c r="H3013" i="60"/>
  <c r="H3012" i="60"/>
  <c r="H3011" i="60"/>
  <c r="H3010" i="60"/>
  <c r="H3009" i="60"/>
  <c r="H3008" i="60"/>
  <c r="H3007" i="60"/>
  <c r="H3006" i="60"/>
  <c r="H3005" i="60"/>
  <c r="H3004" i="60"/>
  <c r="H3003" i="60"/>
  <c r="H3002" i="60"/>
  <c r="H3001" i="60"/>
  <c r="H3000" i="60"/>
  <c r="H2999" i="60"/>
  <c r="H2998" i="60"/>
  <c r="H2997" i="60"/>
  <c r="H2996" i="60"/>
  <c r="H2995" i="60"/>
  <c r="H2994" i="60"/>
  <c r="H2993" i="60"/>
  <c r="H2992" i="60"/>
  <c r="H2991" i="60"/>
  <c r="H2990" i="60"/>
  <c r="H2989" i="60"/>
  <c r="H2988" i="60"/>
  <c r="H2987" i="60"/>
  <c r="H2986" i="60"/>
  <c r="H2985" i="60"/>
  <c r="H2984" i="60"/>
  <c r="H2983" i="60"/>
  <c r="H2982" i="60"/>
  <c r="H2981" i="60"/>
  <c r="H2980" i="60"/>
  <c r="H2979" i="60"/>
  <c r="H2978" i="60"/>
  <c r="H2977" i="60"/>
  <c r="H2976" i="60"/>
  <c r="H2975" i="60"/>
  <c r="H2974" i="60"/>
  <c r="H2973" i="60"/>
  <c r="H2972" i="60"/>
  <c r="H2971" i="60"/>
  <c r="H2970" i="60"/>
  <c r="H2969" i="60"/>
  <c r="H2968" i="60"/>
  <c r="H2967" i="60"/>
  <c r="H2966" i="60"/>
  <c r="H2965" i="60"/>
  <c r="H2964" i="60"/>
  <c r="H2963" i="60"/>
  <c r="H2962" i="60"/>
  <c r="H2961" i="60"/>
  <c r="H2960" i="60"/>
  <c r="H2959" i="60"/>
  <c r="H2958" i="60"/>
  <c r="H2957" i="60"/>
  <c r="H2956" i="60"/>
  <c r="H2955" i="60"/>
  <c r="H2954" i="60"/>
  <c r="H2953" i="60"/>
  <c r="H2952" i="60"/>
  <c r="H2951" i="60"/>
  <c r="H2950" i="60"/>
  <c r="H2949" i="60"/>
  <c r="H2948" i="60"/>
  <c r="H2947" i="60"/>
  <c r="H2946" i="60"/>
  <c r="H2945" i="60"/>
  <c r="H2944" i="60"/>
  <c r="H2943" i="60"/>
  <c r="H2942" i="60"/>
  <c r="H2941" i="60"/>
  <c r="H2940" i="60"/>
  <c r="H2939" i="60"/>
  <c r="H2938" i="60"/>
  <c r="H2937" i="60"/>
  <c r="H2936" i="60"/>
  <c r="H2935" i="60"/>
  <c r="H2934" i="60"/>
  <c r="H2933" i="60"/>
  <c r="H2932" i="60"/>
  <c r="H2931" i="60"/>
  <c r="H2930" i="60"/>
  <c r="H2929" i="60"/>
  <c r="H2928" i="60"/>
  <c r="H2927" i="60"/>
  <c r="H2926" i="60"/>
  <c r="H2925" i="60"/>
  <c r="H2924" i="60"/>
  <c r="H2923" i="60"/>
  <c r="H2922" i="60"/>
  <c r="H2921" i="60"/>
  <c r="H2920" i="60"/>
  <c r="H2919" i="60"/>
  <c r="H2918" i="60"/>
  <c r="H2917" i="60"/>
  <c r="H2916" i="60"/>
  <c r="H2915" i="60"/>
  <c r="H2914" i="60"/>
  <c r="H2913" i="60"/>
  <c r="H2912" i="60"/>
  <c r="H2911" i="60"/>
  <c r="H2910" i="60"/>
  <c r="H2909" i="60"/>
  <c r="H2908" i="60"/>
  <c r="H2907" i="60"/>
  <c r="H2906" i="60"/>
  <c r="H2905" i="60"/>
  <c r="H2904" i="60"/>
  <c r="H2903" i="60"/>
  <c r="H2902" i="60"/>
  <c r="H2901" i="60"/>
  <c r="H2900" i="60"/>
  <c r="H2899" i="60"/>
  <c r="H2898" i="60"/>
  <c r="H2897" i="60"/>
  <c r="H2896" i="60"/>
  <c r="H2895" i="60"/>
  <c r="H2894" i="60"/>
  <c r="H2893" i="60"/>
  <c r="H2892" i="60"/>
  <c r="H2891" i="60"/>
  <c r="H2890" i="60"/>
  <c r="H2889" i="60"/>
  <c r="H2888" i="60"/>
  <c r="H2887" i="60"/>
  <c r="H2886" i="60"/>
  <c r="H2885" i="60"/>
  <c r="H2884" i="60"/>
  <c r="H2883" i="60"/>
  <c r="H2882" i="60"/>
  <c r="H2881" i="60"/>
  <c r="H2880" i="60"/>
  <c r="H2879" i="60"/>
  <c r="H2878" i="60"/>
  <c r="H2877" i="60"/>
  <c r="H2876" i="60"/>
  <c r="H2875" i="60"/>
  <c r="H2874" i="60"/>
  <c r="H2873" i="60"/>
  <c r="H2872" i="60"/>
  <c r="H2871" i="60"/>
  <c r="H2870" i="60"/>
  <c r="H2869" i="60"/>
  <c r="H2868" i="60"/>
  <c r="H2867" i="60"/>
  <c r="H2866" i="60"/>
  <c r="H2865" i="60"/>
  <c r="H2864" i="60"/>
  <c r="H2863" i="60"/>
  <c r="H2862" i="60"/>
  <c r="H2861" i="60"/>
  <c r="H2860" i="60"/>
  <c r="H2859" i="60"/>
  <c r="H2858" i="60"/>
  <c r="H2857" i="60"/>
  <c r="H2856" i="60"/>
  <c r="H2855" i="60"/>
  <c r="H2854" i="60"/>
  <c r="H2853" i="60"/>
  <c r="H2852" i="60"/>
  <c r="H2851" i="60"/>
  <c r="H2850" i="60"/>
  <c r="H2849" i="60"/>
  <c r="H2848" i="60"/>
  <c r="H2847" i="60"/>
  <c r="H2846" i="60"/>
  <c r="H2845" i="60"/>
  <c r="H2844" i="60"/>
  <c r="H2843" i="60"/>
  <c r="H2842" i="60"/>
  <c r="H2841" i="60"/>
  <c r="H2840" i="60"/>
  <c r="H2839" i="60"/>
  <c r="H2838" i="60"/>
  <c r="H2837" i="60"/>
  <c r="H2836" i="60"/>
  <c r="H2835" i="60"/>
  <c r="H2834" i="60"/>
  <c r="H2833" i="60"/>
  <c r="H2832" i="60"/>
  <c r="H2831" i="60"/>
  <c r="H2830" i="60"/>
  <c r="H2829" i="60"/>
  <c r="H2828" i="60"/>
  <c r="H2827" i="60"/>
  <c r="H2826" i="60"/>
  <c r="H2825" i="60"/>
  <c r="H2824" i="60"/>
  <c r="H2823" i="60"/>
  <c r="H2822" i="60"/>
  <c r="H2821" i="60"/>
  <c r="H2820" i="60"/>
  <c r="H2819" i="60"/>
  <c r="H2818" i="60"/>
  <c r="H2817" i="60"/>
  <c r="H2816" i="60"/>
  <c r="H2815" i="60"/>
  <c r="H2814" i="60"/>
  <c r="H2813" i="60"/>
  <c r="H2812" i="60"/>
  <c r="H2811" i="60"/>
  <c r="H2810" i="60"/>
  <c r="H2809" i="60"/>
  <c r="H2808" i="60"/>
  <c r="H2807" i="60"/>
  <c r="H2806" i="60"/>
  <c r="H2805" i="60"/>
  <c r="H2804" i="60"/>
  <c r="H2803" i="60"/>
  <c r="H2802" i="60"/>
  <c r="H2801" i="60"/>
  <c r="H2800" i="60"/>
  <c r="H2799" i="60"/>
  <c r="H2798" i="60"/>
  <c r="H2797" i="60"/>
  <c r="H2796" i="60"/>
  <c r="H2795" i="60"/>
  <c r="H2794" i="60"/>
  <c r="H2793" i="60"/>
  <c r="H2792" i="60"/>
  <c r="H2791" i="60"/>
  <c r="H2790" i="60"/>
  <c r="H2789" i="60"/>
  <c r="H2788" i="60"/>
  <c r="H2787" i="60"/>
  <c r="H2786" i="60"/>
  <c r="H2785" i="60"/>
  <c r="H2784" i="60"/>
  <c r="H2783" i="60"/>
  <c r="H2782" i="60"/>
  <c r="H2781" i="60"/>
  <c r="H2780" i="60"/>
  <c r="H2779" i="60"/>
  <c r="H2778" i="60"/>
  <c r="H2777" i="60"/>
  <c r="H2776" i="60"/>
  <c r="H2775" i="60"/>
  <c r="H2774" i="60"/>
  <c r="H2773" i="60"/>
  <c r="H2772" i="60"/>
  <c r="H2771" i="60"/>
  <c r="H2770" i="60"/>
  <c r="H2769" i="60"/>
  <c r="H2768" i="60"/>
  <c r="H2767" i="60"/>
  <c r="H2766" i="60"/>
  <c r="H2765" i="60"/>
  <c r="H2764" i="60"/>
  <c r="H2763" i="60"/>
  <c r="H2762" i="60"/>
  <c r="H2761" i="60"/>
  <c r="H2760" i="60"/>
  <c r="H2759" i="60"/>
  <c r="H2758" i="60"/>
  <c r="H2757" i="60"/>
  <c r="H2756" i="60"/>
  <c r="H2755" i="60"/>
  <c r="H2754" i="60"/>
  <c r="H2753" i="60"/>
  <c r="H2752" i="60"/>
  <c r="H2751" i="60"/>
  <c r="H2750" i="60"/>
  <c r="H2749" i="60"/>
  <c r="H2748" i="60"/>
  <c r="H2747" i="60"/>
  <c r="H2746" i="60"/>
  <c r="H2745" i="60"/>
  <c r="H2744" i="60"/>
  <c r="H2743" i="60"/>
  <c r="H2742" i="60"/>
  <c r="H2741" i="60"/>
  <c r="H2740" i="60"/>
  <c r="H2739" i="60"/>
  <c r="H2738" i="60"/>
  <c r="H2737" i="60"/>
  <c r="H2736" i="60"/>
  <c r="H2735" i="60"/>
  <c r="H2734" i="60"/>
  <c r="H2733" i="60"/>
  <c r="H2732" i="60"/>
  <c r="H2731" i="60"/>
  <c r="H2730" i="60"/>
  <c r="H2729" i="60"/>
  <c r="H2728" i="60"/>
  <c r="H2727" i="60"/>
  <c r="H2726" i="60"/>
  <c r="H2725" i="60"/>
  <c r="H2724" i="60"/>
  <c r="H2723" i="60"/>
  <c r="H2722" i="60"/>
  <c r="H2721" i="60"/>
  <c r="H2720" i="60"/>
  <c r="H2719" i="60"/>
  <c r="H2718" i="60"/>
  <c r="H2717" i="60"/>
  <c r="H2716" i="60"/>
  <c r="H2715" i="60"/>
  <c r="H2714" i="60"/>
  <c r="H2713" i="60"/>
  <c r="H2712" i="60"/>
  <c r="H2711" i="60"/>
  <c r="H2710" i="60"/>
  <c r="H2709" i="60"/>
  <c r="H2708" i="60"/>
  <c r="H2707" i="60"/>
  <c r="H2706" i="60"/>
  <c r="H2705" i="60"/>
  <c r="H2704" i="60"/>
  <c r="H2703" i="60"/>
  <c r="H2702" i="60"/>
  <c r="H2701" i="60"/>
  <c r="H2700" i="60"/>
  <c r="H2699" i="60"/>
  <c r="H2698" i="60"/>
  <c r="H2697" i="60"/>
  <c r="H2696" i="60"/>
  <c r="H2695" i="60"/>
  <c r="H2694" i="60"/>
  <c r="H2693" i="60"/>
  <c r="H2692" i="60"/>
  <c r="H2691" i="60"/>
  <c r="H2690" i="60"/>
  <c r="H2689" i="60"/>
  <c r="H2688" i="60"/>
  <c r="H2687" i="60"/>
  <c r="H2686" i="60"/>
  <c r="H2685" i="60"/>
  <c r="H2684" i="60"/>
  <c r="H2683" i="60"/>
  <c r="H2682" i="60"/>
  <c r="H2681" i="60"/>
  <c r="H2680" i="60"/>
  <c r="H2679" i="60"/>
  <c r="H2678" i="60"/>
  <c r="H2677" i="60"/>
  <c r="H2676" i="60"/>
  <c r="H2675" i="60"/>
  <c r="H2674" i="60"/>
  <c r="H2673" i="60"/>
  <c r="H2672" i="60"/>
  <c r="H2671" i="60"/>
  <c r="H2670" i="60"/>
  <c r="H2669" i="60"/>
  <c r="H2668" i="60"/>
  <c r="H2667" i="60"/>
  <c r="H2666" i="60"/>
  <c r="H2665" i="60"/>
  <c r="H2664" i="60"/>
  <c r="H2663" i="60"/>
  <c r="H2662" i="60"/>
  <c r="H2661" i="60"/>
  <c r="H2660" i="60"/>
  <c r="H2659" i="60"/>
  <c r="H2658" i="60"/>
  <c r="H2657" i="60"/>
  <c r="H2656" i="60"/>
  <c r="H2655" i="60"/>
  <c r="H2654" i="60"/>
  <c r="H2653" i="60"/>
  <c r="H2652" i="60"/>
  <c r="H2651" i="60"/>
  <c r="H2650" i="60"/>
  <c r="H2649" i="60"/>
  <c r="H2648" i="60"/>
  <c r="H2647" i="60"/>
  <c r="H2646" i="60"/>
  <c r="H2645" i="60"/>
  <c r="H2644" i="60"/>
  <c r="H2643" i="60"/>
  <c r="H2642" i="60"/>
  <c r="H2641" i="60"/>
  <c r="H2640" i="60"/>
  <c r="H2639" i="60"/>
  <c r="H2638" i="60"/>
  <c r="H2637" i="60"/>
  <c r="H2636" i="60"/>
  <c r="H2635" i="60"/>
  <c r="H2634" i="60"/>
  <c r="H2633" i="60"/>
  <c r="H2632" i="60"/>
  <c r="H2631" i="60"/>
  <c r="H2630" i="60"/>
  <c r="H2629" i="60"/>
  <c r="H2628" i="60"/>
  <c r="H2627" i="60"/>
  <c r="H2626" i="60"/>
  <c r="H2625" i="60"/>
  <c r="H2624" i="60"/>
  <c r="H2623" i="60"/>
  <c r="H2622" i="60"/>
  <c r="H2621" i="60"/>
  <c r="H2620" i="60"/>
  <c r="H2619" i="60"/>
  <c r="H2618" i="60"/>
  <c r="H2617" i="60"/>
  <c r="H2616" i="60"/>
  <c r="H2615" i="60"/>
  <c r="H2614" i="60"/>
  <c r="H2613" i="60"/>
  <c r="H2612" i="60"/>
  <c r="H2611" i="60"/>
  <c r="H2610" i="60"/>
  <c r="H2609" i="60"/>
  <c r="H2608" i="60"/>
  <c r="H2607" i="60"/>
  <c r="H2606" i="60"/>
  <c r="H2605" i="60"/>
  <c r="H2604" i="60"/>
  <c r="H2603" i="60"/>
  <c r="H2602" i="60"/>
  <c r="H2601" i="60"/>
  <c r="H2600" i="60"/>
  <c r="H2599" i="60"/>
  <c r="H2598" i="60"/>
  <c r="H2597" i="60"/>
  <c r="H2596" i="60"/>
  <c r="H2595" i="60"/>
  <c r="H2594" i="60"/>
  <c r="H2593" i="60"/>
  <c r="H2592" i="60"/>
  <c r="H2591" i="60"/>
  <c r="H2590" i="60"/>
  <c r="H2589" i="60"/>
  <c r="H2588" i="60"/>
  <c r="H2587" i="60"/>
  <c r="H2586" i="60"/>
  <c r="H2585" i="60"/>
  <c r="H2584" i="60"/>
  <c r="H2583" i="60"/>
  <c r="H2582" i="60"/>
  <c r="H2581" i="60"/>
  <c r="H2580" i="60"/>
  <c r="H2579" i="60"/>
  <c r="H2578" i="60"/>
  <c r="H2577" i="60"/>
  <c r="H2576" i="60"/>
  <c r="H2575" i="60"/>
  <c r="H2574" i="60"/>
  <c r="H2573" i="60"/>
  <c r="H2572" i="60"/>
  <c r="H2571" i="60"/>
  <c r="H2570" i="60"/>
  <c r="H2569" i="60"/>
  <c r="H2568" i="60"/>
  <c r="H2567" i="60"/>
  <c r="H2566" i="60"/>
  <c r="H2565" i="60"/>
  <c r="H2564" i="60"/>
  <c r="H2563" i="60"/>
  <c r="H2562" i="60"/>
  <c r="H2561" i="60"/>
  <c r="H2560" i="60"/>
  <c r="H2559" i="60"/>
  <c r="H2558" i="60"/>
  <c r="H2557" i="60"/>
  <c r="H2556" i="60"/>
  <c r="H2555" i="60"/>
  <c r="H2554" i="60"/>
  <c r="H2553" i="60"/>
  <c r="H2552" i="60"/>
  <c r="H2551" i="60"/>
  <c r="H2550" i="60"/>
  <c r="H2549" i="60"/>
  <c r="H2548" i="60"/>
  <c r="H2547" i="60"/>
  <c r="H2546" i="60"/>
  <c r="H2545" i="60"/>
  <c r="H2544" i="60"/>
  <c r="H2543" i="60"/>
  <c r="H2542" i="60"/>
  <c r="H2541" i="60"/>
  <c r="H2540" i="60"/>
  <c r="H2539" i="60"/>
  <c r="H2538" i="60"/>
  <c r="H2537" i="60"/>
  <c r="H2536" i="60"/>
  <c r="H2535" i="60"/>
  <c r="H2534" i="60"/>
  <c r="H2533" i="60"/>
  <c r="H2532" i="60"/>
  <c r="H2531" i="60"/>
  <c r="H2530" i="60"/>
  <c r="H2529" i="60"/>
  <c r="H2528" i="60"/>
  <c r="H2527" i="60"/>
  <c r="H2526" i="60"/>
  <c r="H2525" i="60"/>
  <c r="H2524" i="60"/>
  <c r="H2523" i="60"/>
  <c r="H2522" i="60"/>
  <c r="H2521" i="60"/>
  <c r="H2520" i="60"/>
  <c r="H2519" i="60"/>
  <c r="H2518" i="60"/>
  <c r="H2517" i="60"/>
  <c r="H2516" i="60"/>
  <c r="H2515" i="60"/>
  <c r="H2514" i="60"/>
  <c r="H2513" i="60"/>
  <c r="H2512" i="60"/>
  <c r="H2511" i="60"/>
  <c r="H2510" i="60"/>
  <c r="H2509" i="60"/>
  <c r="H2508" i="60"/>
  <c r="H2507" i="60"/>
  <c r="H2506" i="60"/>
  <c r="H2505" i="60"/>
  <c r="H2504" i="60"/>
  <c r="H2503" i="60"/>
  <c r="H2502" i="60"/>
  <c r="H2501" i="60"/>
  <c r="H2500" i="60"/>
  <c r="H2499" i="60"/>
  <c r="H2498" i="60"/>
  <c r="H2497" i="60"/>
  <c r="H2496" i="60"/>
  <c r="H2495" i="60"/>
  <c r="H2494" i="60"/>
  <c r="H2493" i="60"/>
  <c r="H2492" i="60"/>
  <c r="H2491" i="60"/>
  <c r="H2490" i="60"/>
  <c r="H2489" i="60"/>
  <c r="H2488" i="60"/>
  <c r="H2487" i="60"/>
  <c r="H2486" i="60"/>
  <c r="H2485" i="60"/>
  <c r="H2484" i="60"/>
  <c r="H2483" i="60"/>
  <c r="H2482" i="60"/>
  <c r="H2481" i="60"/>
  <c r="H2480" i="60"/>
  <c r="H2479" i="60"/>
  <c r="H2478" i="60"/>
  <c r="H2477" i="60"/>
  <c r="H2476" i="60"/>
  <c r="H2475" i="60"/>
  <c r="H2474" i="60"/>
  <c r="H2473" i="60"/>
  <c r="H2472" i="60"/>
  <c r="H2471" i="60"/>
  <c r="H2470" i="60"/>
  <c r="H2469" i="60"/>
  <c r="H2468" i="60"/>
  <c r="H2467" i="60"/>
  <c r="H2466" i="60"/>
  <c r="H2465" i="60"/>
  <c r="H2464" i="60"/>
  <c r="H2463" i="60"/>
  <c r="H2462" i="60"/>
  <c r="H2461" i="60"/>
  <c r="H2460" i="60"/>
  <c r="H2459" i="60"/>
  <c r="H2458" i="60"/>
  <c r="H2457" i="60"/>
  <c r="H2456" i="60"/>
  <c r="H2455" i="60"/>
  <c r="H2454" i="60"/>
  <c r="H2453" i="60"/>
  <c r="H2452" i="60"/>
  <c r="H2451" i="60"/>
  <c r="H2450" i="60"/>
  <c r="H2449" i="60"/>
  <c r="H2448" i="60"/>
  <c r="H2447" i="60"/>
  <c r="H2446" i="60"/>
  <c r="H2445" i="60"/>
  <c r="H2444" i="60"/>
  <c r="H2443" i="60"/>
  <c r="H2442" i="60"/>
  <c r="H2441" i="60"/>
  <c r="H2440" i="60"/>
  <c r="H2439" i="60"/>
  <c r="H2438" i="60"/>
  <c r="H2437" i="60"/>
  <c r="H2436" i="60"/>
  <c r="H2435" i="60"/>
  <c r="H2434" i="60"/>
  <c r="H2433" i="60"/>
  <c r="H2432" i="60"/>
  <c r="H2431" i="60"/>
  <c r="H2430" i="60"/>
  <c r="H2429" i="60"/>
  <c r="H2428" i="60"/>
  <c r="H2427" i="60"/>
  <c r="H2426" i="60"/>
  <c r="H2425" i="60"/>
  <c r="H2424" i="60"/>
  <c r="H2423" i="60"/>
  <c r="H2422" i="60"/>
  <c r="H2421" i="60"/>
  <c r="H2420" i="60"/>
  <c r="H2419" i="60"/>
  <c r="H2418" i="60"/>
  <c r="H2417" i="60"/>
  <c r="H2416" i="60"/>
  <c r="H2415" i="60"/>
  <c r="H2414" i="60"/>
  <c r="H2413" i="60"/>
  <c r="H2412" i="60"/>
  <c r="H2411" i="60"/>
  <c r="H2410" i="60"/>
  <c r="H2409" i="60"/>
  <c r="H2408" i="60"/>
  <c r="H2407" i="60"/>
  <c r="H2406" i="60"/>
  <c r="H2405" i="60"/>
  <c r="H2404" i="60"/>
  <c r="H2403" i="60"/>
  <c r="H2402" i="60"/>
  <c r="H2401" i="60"/>
  <c r="H2400" i="60"/>
  <c r="H2399" i="60"/>
  <c r="H2398" i="60"/>
  <c r="H2397" i="60"/>
  <c r="H2396" i="60"/>
  <c r="H2395" i="60"/>
  <c r="H2394" i="60"/>
  <c r="H2393" i="60"/>
  <c r="H2392" i="60"/>
  <c r="H2391" i="60"/>
  <c r="H2390" i="60"/>
  <c r="H2389" i="60"/>
  <c r="H2388" i="60"/>
  <c r="H2387" i="60"/>
  <c r="H2386" i="60"/>
  <c r="H2385" i="60"/>
  <c r="H2384" i="60"/>
  <c r="H2383" i="60"/>
  <c r="H2382" i="60"/>
  <c r="H2381" i="60"/>
  <c r="H2380" i="60"/>
  <c r="H2379" i="60"/>
  <c r="H2378" i="60"/>
  <c r="H2377" i="60"/>
  <c r="H2376" i="60"/>
  <c r="H2375" i="60"/>
  <c r="H2374" i="60"/>
  <c r="H2373" i="60"/>
  <c r="H2372" i="60"/>
  <c r="H2371" i="60"/>
  <c r="H2370" i="60"/>
  <c r="H2369" i="60"/>
  <c r="H2368" i="60"/>
  <c r="H2367" i="60"/>
  <c r="H2366" i="60"/>
  <c r="H2365" i="60"/>
  <c r="H2364" i="60"/>
  <c r="H2363" i="60"/>
  <c r="H2362" i="60"/>
  <c r="H2361" i="60"/>
  <c r="H2360" i="60"/>
  <c r="H2359" i="60"/>
  <c r="H2358" i="60"/>
  <c r="H2357" i="60"/>
  <c r="H2356" i="60"/>
  <c r="H2355" i="60"/>
  <c r="H2354" i="60"/>
  <c r="H2353" i="60"/>
  <c r="H2352" i="60"/>
  <c r="H2351" i="60"/>
  <c r="H2350" i="60"/>
  <c r="H2349" i="60"/>
  <c r="H2348" i="60"/>
  <c r="H2347" i="60"/>
  <c r="H2346" i="60"/>
  <c r="H2345" i="60"/>
  <c r="H2344" i="60"/>
  <c r="H2343" i="60"/>
  <c r="H2342" i="60"/>
  <c r="H2341" i="60"/>
  <c r="H2340" i="60"/>
  <c r="H2339" i="60"/>
  <c r="H2338" i="60"/>
  <c r="H2337" i="60"/>
  <c r="H2336" i="60"/>
  <c r="H2335" i="60"/>
  <c r="H2334" i="60"/>
  <c r="H2333" i="60"/>
  <c r="H2332" i="60"/>
  <c r="H2331" i="60"/>
  <c r="H2330" i="60"/>
  <c r="H2329" i="60"/>
  <c r="H2328" i="60"/>
  <c r="H2327" i="60"/>
  <c r="H2326" i="60"/>
  <c r="H2325" i="60"/>
  <c r="H2324" i="60"/>
  <c r="H2323" i="60"/>
  <c r="H2322" i="60"/>
  <c r="H2321" i="60"/>
  <c r="H2320" i="60"/>
  <c r="H2319" i="60"/>
  <c r="H2318" i="60"/>
  <c r="H2317" i="60"/>
  <c r="H2316" i="60"/>
  <c r="H2315" i="60"/>
  <c r="H2314" i="60"/>
  <c r="H2313" i="60"/>
  <c r="H2312" i="60"/>
  <c r="H2311" i="60"/>
  <c r="H2310" i="60"/>
  <c r="H2309" i="60"/>
  <c r="H2308" i="60"/>
  <c r="H2307" i="60"/>
  <c r="H2306" i="60"/>
  <c r="H2305" i="60"/>
  <c r="H2304" i="60"/>
  <c r="H2303" i="60"/>
  <c r="H2302" i="60"/>
  <c r="H2301" i="60"/>
  <c r="H2300" i="60"/>
  <c r="H2299" i="60"/>
  <c r="H2298" i="60"/>
  <c r="H2297" i="60"/>
  <c r="H2296" i="60"/>
  <c r="H2295" i="60"/>
  <c r="H2294" i="60"/>
  <c r="H2293" i="60"/>
  <c r="H2292" i="60"/>
  <c r="H2291" i="60"/>
  <c r="H2290" i="60"/>
  <c r="H2289" i="60"/>
  <c r="H2288" i="60"/>
  <c r="H2287" i="60"/>
  <c r="H2286" i="60"/>
  <c r="H2285" i="60"/>
  <c r="H2284" i="60"/>
  <c r="H2283" i="60"/>
  <c r="H2282" i="60"/>
  <c r="H2281" i="60"/>
  <c r="H2280" i="60"/>
  <c r="H2279" i="60"/>
  <c r="H2278" i="60"/>
  <c r="H2277" i="60"/>
  <c r="H2276" i="60"/>
  <c r="H2275" i="60"/>
  <c r="H2274" i="60"/>
  <c r="H2273" i="60"/>
  <c r="H2272" i="60"/>
  <c r="H2271" i="60"/>
  <c r="H2270" i="60"/>
  <c r="H2269" i="60"/>
  <c r="H2268" i="60"/>
  <c r="H2267" i="60"/>
  <c r="H2266" i="60"/>
  <c r="H2265" i="60"/>
  <c r="H2264" i="60"/>
  <c r="H2263" i="60"/>
  <c r="H2262" i="60"/>
  <c r="H2261" i="60"/>
  <c r="H2260" i="60"/>
  <c r="H2259" i="60"/>
  <c r="H2258" i="60"/>
  <c r="H2257" i="60"/>
  <c r="H2256" i="60"/>
  <c r="H2255" i="60"/>
  <c r="H2254" i="60"/>
  <c r="H2253" i="60"/>
  <c r="H2252" i="60"/>
  <c r="H2251" i="60"/>
  <c r="H2250" i="60"/>
  <c r="H2249" i="60"/>
  <c r="H2248" i="60"/>
  <c r="H2247" i="60"/>
  <c r="H2246" i="60"/>
  <c r="H2245" i="60"/>
  <c r="H2244" i="60"/>
  <c r="H2243" i="60"/>
  <c r="H2242" i="60"/>
  <c r="H2241" i="60"/>
  <c r="H2240" i="60"/>
  <c r="H2239" i="60"/>
  <c r="H2238" i="60"/>
  <c r="H2237" i="60"/>
  <c r="H2236" i="60"/>
  <c r="H2235" i="60"/>
  <c r="H2234" i="60"/>
  <c r="H2233" i="60"/>
  <c r="H2232" i="60"/>
  <c r="H2231" i="60"/>
  <c r="H2230" i="60"/>
  <c r="H2229" i="60"/>
  <c r="H2228" i="60"/>
  <c r="H2227" i="60"/>
  <c r="H2226" i="60"/>
  <c r="H2225" i="60"/>
  <c r="H2224" i="60"/>
  <c r="H2223" i="60"/>
  <c r="H2222" i="60"/>
  <c r="H2221" i="60"/>
  <c r="H2220" i="60"/>
  <c r="H2219" i="60"/>
  <c r="H2218" i="60"/>
  <c r="H2217" i="60"/>
  <c r="H2216" i="60"/>
  <c r="H2215" i="60"/>
  <c r="H2214" i="60"/>
  <c r="H2213" i="60"/>
  <c r="H2212" i="60"/>
  <c r="H2211" i="60"/>
  <c r="H2210" i="60"/>
  <c r="H2209" i="60"/>
  <c r="H2208" i="60"/>
  <c r="H2207" i="60"/>
  <c r="H2206" i="60"/>
  <c r="H2205" i="60"/>
  <c r="H2204" i="60"/>
  <c r="H2203" i="60"/>
  <c r="H2202" i="60"/>
  <c r="H2201" i="60"/>
  <c r="H2200" i="60"/>
  <c r="H2199" i="60"/>
  <c r="H2198" i="60"/>
  <c r="H2197" i="60"/>
  <c r="H2196" i="60"/>
  <c r="H2195" i="60"/>
  <c r="H2194" i="60"/>
  <c r="H2193" i="60"/>
  <c r="H2192" i="60"/>
  <c r="H2191" i="60"/>
  <c r="H2190" i="60"/>
  <c r="H2189" i="60"/>
  <c r="H2188" i="60"/>
  <c r="H2187" i="60"/>
  <c r="H2186" i="60"/>
  <c r="H2185" i="60"/>
  <c r="H2184" i="60"/>
  <c r="H2183" i="60"/>
  <c r="H2182" i="60"/>
  <c r="H2181" i="60"/>
  <c r="H2180" i="60"/>
  <c r="H2179" i="60"/>
  <c r="H2178" i="60"/>
  <c r="H2177" i="60"/>
  <c r="H2176" i="60"/>
  <c r="H2175" i="60"/>
  <c r="H2174" i="60"/>
  <c r="H2173" i="60"/>
  <c r="H2172" i="60"/>
  <c r="H2171" i="60"/>
  <c r="H2170" i="60"/>
  <c r="H2169" i="60"/>
  <c r="H2168" i="60"/>
  <c r="H2167" i="60"/>
  <c r="H2166" i="60"/>
  <c r="H2165" i="60"/>
  <c r="H2164" i="60"/>
  <c r="H2163" i="60"/>
  <c r="H2162" i="60"/>
  <c r="H2161" i="60"/>
  <c r="H2160" i="60"/>
  <c r="H2159" i="60"/>
  <c r="H2158" i="60"/>
  <c r="H2157" i="60"/>
  <c r="H2156" i="60"/>
  <c r="H2155" i="60"/>
  <c r="H2154" i="60"/>
  <c r="H2153" i="60"/>
  <c r="H2152" i="60"/>
  <c r="H2151" i="60"/>
  <c r="H2150" i="60"/>
  <c r="H2149" i="60"/>
  <c r="H2148" i="60"/>
  <c r="H2147" i="60"/>
  <c r="H2146" i="60"/>
  <c r="H2145" i="60"/>
  <c r="H2144" i="60"/>
  <c r="H2143" i="60"/>
  <c r="H2142" i="60"/>
  <c r="H2141" i="60"/>
  <c r="H2140" i="60"/>
  <c r="H2139" i="60"/>
  <c r="H2138" i="60"/>
  <c r="H2137" i="60"/>
  <c r="H2136" i="60"/>
  <c r="H2135" i="60"/>
  <c r="H2134" i="60"/>
  <c r="H2133" i="60"/>
  <c r="H2132" i="60"/>
  <c r="H2131" i="60"/>
  <c r="H2130" i="60"/>
  <c r="H2129" i="60"/>
  <c r="H2128" i="60"/>
  <c r="H2127" i="60"/>
  <c r="H2126" i="60"/>
  <c r="H2125" i="60"/>
  <c r="H2124" i="60"/>
  <c r="H2123" i="60"/>
  <c r="H2122" i="60"/>
  <c r="H2121" i="60"/>
  <c r="H2120" i="60"/>
  <c r="H2119" i="60"/>
  <c r="H2118" i="60"/>
  <c r="H2117" i="60"/>
  <c r="H2116" i="60"/>
  <c r="H2115" i="60"/>
  <c r="H2114" i="60"/>
  <c r="H2113" i="60"/>
  <c r="H2112" i="60"/>
  <c r="H2111" i="60"/>
  <c r="H2110" i="60"/>
  <c r="H2109" i="60"/>
  <c r="H2108" i="60"/>
  <c r="H2107" i="60"/>
  <c r="H2106" i="60"/>
  <c r="H2105" i="60"/>
  <c r="H2104" i="60"/>
  <c r="H2103" i="60"/>
  <c r="H2102" i="60"/>
  <c r="H2101" i="60"/>
  <c r="H2100" i="60"/>
  <c r="H2099" i="60"/>
  <c r="H2098" i="60"/>
  <c r="H2097" i="60"/>
  <c r="H2096" i="60"/>
  <c r="H2095" i="60"/>
  <c r="H2094" i="60"/>
  <c r="H2093" i="60"/>
  <c r="H2092" i="60"/>
  <c r="H2091" i="60"/>
  <c r="H2090" i="60"/>
  <c r="H2089" i="60"/>
  <c r="H2088" i="60"/>
  <c r="H2087" i="60"/>
  <c r="H2086" i="60"/>
  <c r="H2085" i="60"/>
  <c r="H2084" i="60"/>
  <c r="H2083" i="60"/>
  <c r="H2082" i="60"/>
  <c r="H2081" i="60"/>
  <c r="H2080" i="60"/>
  <c r="H2079" i="60"/>
  <c r="H2078" i="60"/>
  <c r="H2077" i="60"/>
  <c r="H2076" i="60"/>
  <c r="H2075" i="60"/>
  <c r="H2074" i="60"/>
  <c r="H2073" i="60"/>
  <c r="H2072" i="60"/>
  <c r="H2071" i="60"/>
  <c r="H2070" i="60"/>
  <c r="H2069" i="60"/>
  <c r="H2068" i="60"/>
  <c r="H2067" i="60"/>
  <c r="H2066" i="60"/>
  <c r="H2065" i="60"/>
  <c r="H2064" i="60"/>
  <c r="H2063" i="60"/>
  <c r="H2062" i="60"/>
  <c r="H2061" i="60"/>
  <c r="H2060" i="60"/>
  <c r="H2059" i="60"/>
  <c r="H2058" i="60"/>
  <c r="H2057" i="60"/>
  <c r="H2056" i="60"/>
  <c r="H2055" i="60"/>
  <c r="H2054" i="60"/>
  <c r="H2053" i="60"/>
  <c r="H2052" i="60"/>
  <c r="H2051" i="60"/>
  <c r="H2050" i="60"/>
  <c r="H2049" i="60"/>
  <c r="H2048" i="60"/>
  <c r="H2047" i="60"/>
  <c r="H2046" i="60"/>
  <c r="H2045" i="60"/>
  <c r="H2044" i="60"/>
  <c r="H2043" i="60"/>
  <c r="H2042" i="60"/>
  <c r="H2041" i="60"/>
  <c r="H2040" i="60"/>
  <c r="H2039" i="60"/>
  <c r="H2038" i="60"/>
  <c r="H2037" i="60"/>
  <c r="H2036" i="60"/>
  <c r="H2035" i="60"/>
  <c r="H2034" i="60"/>
  <c r="H2033" i="60"/>
  <c r="H2032" i="60"/>
  <c r="H2031" i="60"/>
  <c r="H2030" i="60"/>
  <c r="H2029" i="60"/>
  <c r="H2028" i="60"/>
  <c r="H2027" i="60"/>
  <c r="H2026" i="60"/>
  <c r="H2025" i="60"/>
  <c r="H2024" i="60"/>
  <c r="H2023" i="60"/>
  <c r="H2022" i="60"/>
  <c r="H2021" i="60"/>
  <c r="H2020" i="60"/>
  <c r="H2019" i="60"/>
  <c r="H2018" i="60"/>
  <c r="H2017" i="60"/>
  <c r="H2016" i="60"/>
  <c r="H2015" i="60"/>
  <c r="H2014" i="60"/>
  <c r="H2013" i="60"/>
  <c r="H2012" i="60"/>
  <c r="H2011" i="60"/>
  <c r="H2010" i="60"/>
  <c r="H2009" i="60"/>
  <c r="H2008" i="60"/>
  <c r="H2007" i="60"/>
  <c r="H2006" i="60"/>
  <c r="H2005" i="60"/>
  <c r="H2004" i="60"/>
  <c r="H2003" i="60"/>
  <c r="H2002" i="60"/>
  <c r="H2001" i="60"/>
  <c r="H2000" i="60"/>
  <c r="H1999" i="60"/>
  <c r="H1998" i="60"/>
  <c r="H1997" i="60"/>
  <c r="H1996" i="60"/>
  <c r="H1995" i="60"/>
  <c r="H1994" i="60"/>
  <c r="H1993" i="60"/>
  <c r="H1992" i="60"/>
  <c r="H1991" i="60"/>
  <c r="H1990" i="60"/>
  <c r="H1989" i="60"/>
  <c r="H1988" i="60"/>
  <c r="H1987" i="60"/>
  <c r="H1986" i="60"/>
  <c r="H1985" i="60"/>
  <c r="H1984" i="60"/>
  <c r="H1983" i="60"/>
  <c r="H1982" i="60"/>
  <c r="H1981" i="60"/>
  <c r="H1980" i="60"/>
  <c r="H1979" i="60"/>
  <c r="H1978" i="60"/>
  <c r="H1977" i="60"/>
  <c r="H1976" i="60"/>
  <c r="H1975" i="60"/>
  <c r="H1974" i="60"/>
  <c r="H1973" i="60"/>
  <c r="H1972" i="60"/>
  <c r="H1971" i="60"/>
  <c r="H1970" i="60"/>
  <c r="H1969" i="60"/>
  <c r="H1968" i="60"/>
  <c r="H1967" i="60"/>
  <c r="H1966" i="60"/>
  <c r="H1965" i="60"/>
  <c r="H1964" i="60"/>
  <c r="H1963" i="60"/>
  <c r="H1962" i="60"/>
  <c r="H1961" i="60"/>
  <c r="H1960" i="60"/>
  <c r="H1959" i="60"/>
  <c r="H1958" i="60"/>
  <c r="H1957" i="60"/>
  <c r="H1956" i="60"/>
  <c r="H1955" i="60"/>
  <c r="H1954" i="60"/>
  <c r="H1953" i="60"/>
  <c r="H1952" i="60"/>
  <c r="H1951" i="60"/>
  <c r="H1950" i="60"/>
  <c r="H1949" i="60"/>
  <c r="H1948" i="60"/>
  <c r="H1947" i="60"/>
  <c r="H1946" i="60"/>
  <c r="H1945" i="60"/>
  <c r="H1944" i="60"/>
  <c r="H1943" i="60"/>
  <c r="H1942" i="60"/>
  <c r="H1941" i="60"/>
  <c r="H1940" i="60"/>
  <c r="H1939" i="60"/>
  <c r="H1938" i="60"/>
  <c r="H1937" i="60"/>
  <c r="H1936" i="60"/>
  <c r="H1935" i="60"/>
  <c r="H1934" i="60"/>
  <c r="H1933" i="60"/>
  <c r="H1932" i="60"/>
  <c r="H1931" i="60"/>
  <c r="H1930" i="60"/>
  <c r="H1929" i="60"/>
  <c r="H1928" i="60"/>
  <c r="H1927" i="60"/>
  <c r="H1926" i="60"/>
  <c r="H1925" i="60"/>
  <c r="H1924" i="60"/>
  <c r="H1923" i="60"/>
  <c r="H1922" i="60"/>
  <c r="H1921" i="60"/>
  <c r="H1920" i="60"/>
  <c r="H1919" i="60"/>
  <c r="H1918" i="60"/>
  <c r="H1917" i="60"/>
  <c r="H1916" i="60"/>
  <c r="H1915" i="60"/>
  <c r="H1914" i="60"/>
  <c r="H1913" i="60"/>
  <c r="H1912" i="60"/>
  <c r="H1911" i="60"/>
  <c r="H1910" i="60"/>
  <c r="H1909" i="60"/>
  <c r="H1908" i="60"/>
  <c r="H1907" i="60"/>
  <c r="H1906" i="60"/>
  <c r="H1905" i="60"/>
  <c r="H1904" i="60"/>
  <c r="H1903" i="60"/>
  <c r="H1902" i="60"/>
  <c r="H1901" i="60"/>
  <c r="H1900" i="60"/>
  <c r="H1899" i="60"/>
  <c r="H1898" i="60"/>
  <c r="H1897" i="60"/>
  <c r="H1896" i="60"/>
  <c r="H1895" i="60"/>
  <c r="H1894" i="60"/>
  <c r="H1893" i="60"/>
  <c r="H1892" i="60"/>
  <c r="H1891" i="60"/>
  <c r="H1890" i="60"/>
  <c r="H1889" i="60"/>
  <c r="H1888" i="60"/>
  <c r="H1887" i="60"/>
  <c r="H1886" i="60"/>
  <c r="H1885" i="60"/>
  <c r="H1884" i="60"/>
  <c r="H1883" i="60"/>
  <c r="H1882" i="60"/>
  <c r="H1881" i="60"/>
  <c r="H1880" i="60"/>
  <c r="H1879" i="60"/>
  <c r="H1878" i="60"/>
  <c r="H1877" i="60"/>
  <c r="H1876" i="60"/>
  <c r="H1875" i="60"/>
  <c r="H1874" i="60"/>
  <c r="H1873" i="60"/>
  <c r="H1872" i="60"/>
  <c r="H1871" i="60"/>
  <c r="H1870" i="60"/>
  <c r="H1869" i="60"/>
  <c r="H1868" i="60"/>
  <c r="H1867" i="60"/>
  <c r="H1866" i="60"/>
  <c r="H1865" i="60"/>
  <c r="H1864" i="60"/>
  <c r="H1863" i="60"/>
  <c r="H1862" i="60"/>
  <c r="H1861" i="60"/>
  <c r="H1860" i="60"/>
  <c r="H1859" i="60"/>
  <c r="H1858" i="60"/>
  <c r="H1857" i="60"/>
  <c r="H1856" i="60"/>
  <c r="H1855" i="60"/>
  <c r="H1854" i="60"/>
  <c r="H1853" i="60"/>
  <c r="H1852" i="60"/>
  <c r="H1851" i="60"/>
  <c r="H1850" i="60"/>
  <c r="H1849" i="60"/>
  <c r="H1848" i="60"/>
  <c r="H1847" i="60"/>
  <c r="H1846" i="60"/>
  <c r="H1845" i="60"/>
  <c r="H1844" i="60"/>
  <c r="H1843" i="60"/>
  <c r="H1842" i="60"/>
  <c r="H1841" i="60"/>
  <c r="H1840" i="60"/>
  <c r="H1839" i="60"/>
  <c r="H1838" i="60"/>
  <c r="H1837" i="60"/>
  <c r="H1836" i="60"/>
  <c r="H1835" i="60"/>
  <c r="H1834" i="60"/>
  <c r="H1833" i="60"/>
  <c r="H1832" i="60"/>
  <c r="H1831" i="60"/>
  <c r="H1830" i="60"/>
  <c r="H1829" i="60"/>
  <c r="H1828" i="60"/>
  <c r="H1827" i="60"/>
  <c r="H1826" i="60"/>
  <c r="H1825" i="60"/>
  <c r="H1824" i="60"/>
  <c r="H1823" i="60"/>
  <c r="H1822" i="60"/>
  <c r="H1821" i="60"/>
  <c r="H1820" i="60"/>
  <c r="H1819" i="60"/>
  <c r="H1818" i="60"/>
  <c r="H1817" i="60"/>
  <c r="H1816" i="60"/>
  <c r="H1815" i="60"/>
  <c r="H1814" i="60"/>
  <c r="H1813" i="60"/>
  <c r="H1812" i="60"/>
  <c r="H1811" i="60"/>
  <c r="H1810" i="60"/>
  <c r="H1809" i="60"/>
  <c r="H1808" i="60"/>
  <c r="H1807" i="60"/>
  <c r="H1806" i="60"/>
  <c r="H1805" i="60"/>
  <c r="H1804" i="60"/>
  <c r="H1803" i="60"/>
  <c r="H1802" i="60"/>
  <c r="H1801" i="60"/>
  <c r="H1800" i="60"/>
  <c r="H1799" i="60"/>
  <c r="H1798" i="60"/>
  <c r="H1797" i="60"/>
  <c r="H1796" i="60"/>
  <c r="H1795" i="60"/>
  <c r="H1794" i="60"/>
  <c r="H1793" i="60"/>
  <c r="H1792" i="60"/>
  <c r="H1791" i="60"/>
  <c r="H1790" i="60"/>
  <c r="H1789" i="60"/>
  <c r="H1788" i="60"/>
  <c r="H1787" i="60"/>
  <c r="H1786" i="60"/>
  <c r="H1785" i="60"/>
  <c r="H1784" i="60"/>
  <c r="H1783" i="60"/>
  <c r="H1782" i="60"/>
  <c r="H1781" i="60"/>
  <c r="H1780" i="60"/>
  <c r="H1779" i="60"/>
  <c r="H1778" i="60"/>
  <c r="H1777" i="60"/>
  <c r="H1776" i="60"/>
  <c r="H1775" i="60"/>
  <c r="H1774" i="60"/>
  <c r="H1773" i="60"/>
  <c r="H1772" i="60"/>
  <c r="H1771" i="60"/>
  <c r="H1770" i="60"/>
  <c r="H1769" i="60"/>
  <c r="H1768" i="60"/>
  <c r="H1767" i="60"/>
  <c r="H1766" i="60"/>
  <c r="H1765" i="60"/>
  <c r="H1764" i="60"/>
  <c r="H1763" i="60"/>
  <c r="H1762" i="60"/>
  <c r="H1761" i="60"/>
  <c r="H1760" i="60"/>
  <c r="H1759" i="60"/>
  <c r="H1758" i="60"/>
  <c r="H1757" i="60"/>
  <c r="H1756" i="60"/>
  <c r="H1755" i="60"/>
  <c r="H1754" i="60"/>
  <c r="H1753" i="60"/>
  <c r="H1752" i="60"/>
  <c r="H1751" i="60"/>
  <c r="H1750" i="60"/>
  <c r="H1749" i="60"/>
  <c r="H1748" i="60"/>
  <c r="H1747" i="60"/>
  <c r="H1746" i="60"/>
  <c r="H1745" i="60"/>
  <c r="H1744" i="60"/>
  <c r="H1743" i="60"/>
  <c r="H1742" i="60"/>
  <c r="H1741" i="60"/>
  <c r="H1740" i="60"/>
  <c r="H1739" i="60"/>
  <c r="H1738" i="60"/>
  <c r="H1737" i="60"/>
  <c r="H1736" i="60"/>
  <c r="H1735" i="60"/>
  <c r="H1734" i="60"/>
  <c r="H1733" i="60"/>
  <c r="H1732" i="60"/>
  <c r="H1731" i="60"/>
  <c r="H1730" i="60"/>
  <c r="H1729" i="60"/>
  <c r="H1728" i="60"/>
  <c r="H1727" i="60"/>
  <c r="H1726" i="60"/>
  <c r="H1725" i="60"/>
  <c r="H1724" i="60"/>
  <c r="H1723" i="60"/>
  <c r="H1722" i="60"/>
  <c r="H1721" i="60"/>
  <c r="H1720" i="60"/>
  <c r="H1719" i="60"/>
  <c r="H1718" i="60"/>
  <c r="H1717" i="60"/>
  <c r="H1716" i="60"/>
  <c r="H1715" i="60"/>
  <c r="H1714" i="60"/>
  <c r="H1713" i="60"/>
  <c r="H1712" i="60"/>
  <c r="H1711" i="60"/>
  <c r="H1710" i="60"/>
  <c r="H1709" i="60"/>
  <c r="H1708" i="60"/>
  <c r="H1707" i="60"/>
  <c r="H1706" i="60"/>
  <c r="H1705" i="60"/>
  <c r="H1704" i="60"/>
  <c r="H1703" i="60"/>
  <c r="H1702" i="60"/>
  <c r="H1701" i="60"/>
  <c r="H1700" i="60"/>
  <c r="H1699" i="60"/>
  <c r="H1698" i="60"/>
  <c r="H1697" i="60"/>
  <c r="H1696" i="60"/>
  <c r="H1695" i="60"/>
  <c r="H1694" i="60"/>
  <c r="H1693" i="60"/>
  <c r="H1692" i="60"/>
  <c r="H1691" i="60"/>
  <c r="H1690" i="60"/>
  <c r="H1689" i="60"/>
  <c r="H1688" i="60"/>
  <c r="H1687" i="60"/>
  <c r="H1686" i="60"/>
  <c r="H1685" i="60"/>
  <c r="H1684" i="60"/>
  <c r="H1683" i="60"/>
  <c r="H1682" i="60"/>
  <c r="H1681" i="60"/>
  <c r="H1680" i="60"/>
  <c r="H1679" i="60"/>
  <c r="H1678" i="60"/>
  <c r="H1677" i="60"/>
  <c r="H1676" i="60"/>
  <c r="H1675" i="60"/>
  <c r="H1674" i="60"/>
  <c r="H1673" i="60"/>
  <c r="H1672" i="60"/>
  <c r="H1671" i="60"/>
  <c r="H1670" i="60"/>
  <c r="H1669" i="60"/>
  <c r="H1668" i="60"/>
  <c r="H1667" i="60"/>
  <c r="H1666" i="60"/>
  <c r="H1665" i="60"/>
  <c r="H1664" i="60"/>
  <c r="H1663" i="60"/>
  <c r="H1662" i="60"/>
  <c r="H1661" i="60"/>
  <c r="H1660" i="60"/>
  <c r="H1659" i="60"/>
  <c r="H1658" i="60"/>
  <c r="H1657" i="60"/>
  <c r="H1656" i="60"/>
  <c r="H1655" i="60"/>
  <c r="H1654" i="60"/>
  <c r="H1653" i="60"/>
  <c r="H1652" i="60"/>
  <c r="H1651" i="60"/>
  <c r="H1650" i="60"/>
  <c r="H1649" i="60"/>
  <c r="H1648" i="60"/>
  <c r="H1647" i="60"/>
  <c r="H1646" i="60"/>
  <c r="H1645" i="60"/>
  <c r="H1644" i="60"/>
  <c r="H1643" i="60"/>
  <c r="H1642" i="60"/>
  <c r="H1641" i="60"/>
  <c r="H1640" i="60"/>
  <c r="H1639" i="60"/>
  <c r="H1638" i="60"/>
  <c r="H1637" i="60"/>
  <c r="H1636" i="60"/>
  <c r="H1635" i="60"/>
  <c r="H1634" i="60"/>
  <c r="H1633" i="60"/>
  <c r="H1632" i="60"/>
  <c r="H1631" i="60"/>
  <c r="H1630" i="60"/>
  <c r="H1629" i="60"/>
  <c r="H1628" i="60"/>
  <c r="H1627" i="60"/>
  <c r="H1626" i="60"/>
  <c r="H1625" i="60"/>
  <c r="H1624" i="60"/>
  <c r="H1623" i="60"/>
  <c r="H1622" i="60"/>
  <c r="H1621" i="60"/>
  <c r="H1620" i="60"/>
  <c r="H1619" i="60"/>
  <c r="H1618" i="60"/>
  <c r="H1617" i="60"/>
  <c r="H1616" i="60"/>
  <c r="H1615" i="60"/>
  <c r="H1614" i="60"/>
  <c r="H1613" i="60"/>
  <c r="H1612" i="60"/>
  <c r="H1611" i="60"/>
  <c r="H1610" i="60"/>
  <c r="H1609" i="60"/>
  <c r="H1608" i="60"/>
  <c r="H1607" i="60"/>
  <c r="H1606" i="60"/>
  <c r="H1605" i="60"/>
  <c r="H1604" i="60"/>
  <c r="H1603" i="60"/>
  <c r="H1602" i="60"/>
  <c r="H1601" i="60"/>
  <c r="H1600" i="60"/>
  <c r="H1599" i="60"/>
  <c r="H1598" i="60"/>
  <c r="H1597" i="60"/>
  <c r="H1596" i="60"/>
  <c r="H1595" i="60"/>
  <c r="H1594" i="60"/>
  <c r="H1593" i="60"/>
  <c r="H1592" i="60"/>
  <c r="H1591" i="60"/>
  <c r="H1590" i="60"/>
  <c r="H1589" i="60"/>
  <c r="H1588" i="60"/>
  <c r="H1587" i="60"/>
  <c r="H1586" i="60"/>
  <c r="H1585" i="60"/>
  <c r="H1584" i="60"/>
  <c r="H1583" i="60"/>
  <c r="H1582" i="60"/>
  <c r="H1581" i="60"/>
  <c r="H1580" i="60"/>
  <c r="H1579" i="60"/>
  <c r="H1578" i="60"/>
  <c r="H1577" i="60"/>
  <c r="H1576" i="60"/>
  <c r="H1575" i="60"/>
  <c r="H1574" i="60"/>
  <c r="H1573" i="60"/>
  <c r="H1572" i="60"/>
  <c r="H1571" i="60"/>
  <c r="H1570" i="60"/>
  <c r="H1569" i="60"/>
  <c r="H1568" i="60"/>
  <c r="H1567" i="60"/>
  <c r="H1566" i="60"/>
  <c r="H1565" i="60"/>
  <c r="H1564" i="60"/>
  <c r="H1563" i="60"/>
  <c r="H1562" i="60"/>
  <c r="H1561" i="60"/>
  <c r="H1560" i="60"/>
  <c r="H1559" i="60"/>
  <c r="H1558" i="60"/>
  <c r="H1557" i="60"/>
  <c r="H1556" i="60"/>
  <c r="H1555" i="60"/>
  <c r="H1554" i="60"/>
  <c r="H1553" i="60"/>
  <c r="H1552" i="60"/>
  <c r="H1551" i="60"/>
  <c r="H1550" i="60"/>
  <c r="H1549" i="60"/>
  <c r="H1548" i="60"/>
  <c r="H1547" i="60"/>
  <c r="H1546" i="60"/>
  <c r="H1545" i="60"/>
  <c r="H1544" i="60"/>
  <c r="H1543" i="60"/>
  <c r="H1542" i="60"/>
  <c r="H1541" i="60"/>
  <c r="H1540" i="60"/>
  <c r="H1539" i="60"/>
  <c r="H1538" i="60"/>
  <c r="H1537" i="60"/>
  <c r="H1536" i="60"/>
  <c r="H1535" i="60"/>
  <c r="H1534" i="60"/>
  <c r="H1533" i="60"/>
  <c r="H1532" i="60"/>
  <c r="H1531" i="60"/>
  <c r="H1530" i="60"/>
  <c r="H1529" i="60"/>
  <c r="H1528" i="60"/>
  <c r="H1527" i="60"/>
  <c r="H1526" i="60"/>
  <c r="H1525" i="60"/>
  <c r="H1524" i="60"/>
  <c r="H1523" i="60"/>
  <c r="H1522" i="60"/>
  <c r="H1521" i="60"/>
  <c r="H1520" i="60"/>
  <c r="H1519" i="60"/>
  <c r="H1518" i="60"/>
  <c r="H1517" i="60"/>
  <c r="H1516" i="60"/>
  <c r="H1515" i="60"/>
  <c r="H1514" i="60"/>
  <c r="H1513" i="60"/>
  <c r="H1512" i="60"/>
  <c r="H1511" i="60"/>
  <c r="H1510" i="60"/>
  <c r="H1509" i="60"/>
  <c r="H1508" i="60"/>
  <c r="H1507" i="60"/>
  <c r="H1506" i="60"/>
  <c r="H1505" i="60"/>
  <c r="H1504" i="60"/>
  <c r="H1503" i="60"/>
  <c r="H1502" i="60"/>
  <c r="H1501" i="60"/>
  <c r="H1500" i="60"/>
  <c r="H1499" i="60"/>
  <c r="H1498" i="60"/>
  <c r="H1497" i="60"/>
  <c r="H1496" i="60"/>
  <c r="H1495" i="60"/>
  <c r="H1494" i="60"/>
  <c r="H1493" i="60"/>
  <c r="H1492" i="60"/>
  <c r="H1491" i="60"/>
  <c r="H1490" i="60"/>
  <c r="H1489" i="60"/>
  <c r="H1488" i="60"/>
  <c r="H1487" i="60"/>
  <c r="H1486" i="60"/>
  <c r="H1485" i="60"/>
  <c r="H1484" i="60"/>
  <c r="H1483" i="60"/>
  <c r="H1482" i="60"/>
  <c r="H1481" i="60"/>
  <c r="H1480" i="60"/>
  <c r="H1479" i="60"/>
  <c r="H1478" i="60"/>
  <c r="H1477" i="60"/>
  <c r="H1476" i="60"/>
  <c r="H1475" i="60"/>
  <c r="H1474" i="60"/>
  <c r="H1473" i="60"/>
  <c r="H1472" i="60"/>
  <c r="H1471" i="60"/>
  <c r="H1470" i="60"/>
  <c r="H1469" i="60"/>
  <c r="H1468" i="60"/>
  <c r="H1467" i="60"/>
  <c r="H1466" i="60"/>
  <c r="H1465" i="60"/>
  <c r="H1464" i="60"/>
  <c r="H1463" i="60"/>
  <c r="H1462" i="60"/>
  <c r="H1461" i="60"/>
  <c r="H1460" i="60"/>
  <c r="H1459" i="60"/>
  <c r="H1458" i="60"/>
  <c r="H1457" i="60"/>
  <c r="H1456" i="60"/>
  <c r="H1455" i="60"/>
  <c r="H1454" i="60"/>
  <c r="H1453" i="60"/>
  <c r="H1452" i="60"/>
  <c r="H1451" i="60"/>
  <c r="H1450" i="60"/>
  <c r="H1449" i="60"/>
  <c r="H1448" i="60"/>
  <c r="H1447" i="60"/>
  <c r="H1446" i="60"/>
  <c r="H1445" i="60"/>
  <c r="H1444" i="60"/>
  <c r="H1443" i="60"/>
  <c r="H1442" i="60"/>
  <c r="H1441" i="60"/>
  <c r="H1440" i="60"/>
  <c r="H1439" i="60"/>
  <c r="H1438" i="60"/>
  <c r="H1437" i="60"/>
  <c r="H1436" i="60"/>
  <c r="H1435" i="60"/>
  <c r="H1434" i="60"/>
  <c r="H1433" i="60"/>
  <c r="H1432" i="60"/>
  <c r="H1431" i="60"/>
  <c r="H1430" i="60"/>
  <c r="H1429" i="60"/>
  <c r="H1428" i="60"/>
  <c r="H1427" i="60"/>
  <c r="H1426" i="60"/>
  <c r="H1425" i="60"/>
  <c r="H1424" i="60"/>
  <c r="H1423" i="60"/>
  <c r="H1422" i="60"/>
  <c r="H1421" i="60"/>
  <c r="H1420" i="60"/>
  <c r="H1419" i="60"/>
  <c r="H1418" i="60"/>
  <c r="H1417" i="60"/>
  <c r="H1416" i="60"/>
  <c r="H1415" i="60"/>
  <c r="H1414" i="60"/>
  <c r="H1413" i="60"/>
  <c r="H1412" i="60"/>
  <c r="H1411" i="60"/>
  <c r="H1410" i="60"/>
  <c r="H1409" i="60"/>
  <c r="H1408" i="60"/>
  <c r="H1407" i="60"/>
  <c r="H1406" i="60"/>
  <c r="H1405" i="60"/>
  <c r="H1404" i="60"/>
  <c r="H1403" i="60"/>
  <c r="H1402" i="60"/>
  <c r="H1401" i="60"/>
  <c r="H1400" i="60"/>
  <c r="H1399" i="60"/>
  <c r="H1398" i="60"/>
  <c r="H1397" i="60"/>
  <c r="H1396" i="60"/>
  <c r="H1395" i="60"/>
  <c r="H1394" i="60"/>
  <c r="H1393" i="60"/>
  <c r="H1392" i="60"/>
  <c r="H1391" i="60"/>
  <c r="H1390" i="60"/>
  <c r="H1389" i="60"/>
  <c r="H1388" i="60"/>
  <c r="H1387" i="60"/>
  <c r="H1386" i="60"/>
  <c r="H1385" i="60"/>
  <c r="H1384" i="60"/>
  <c r="H1383" i="60"/>
  <c r="H1382" i="60"/>
  <c r="H1381" i="60"/>
  <c r="H1380" i="60"/>
  <c r="H1379" i="60"/>
  <c r="H1378" i="60"/>
  <c r="H1377" i="60"/>
  <c r="H1376" i="60"/>
  <c r="H1375" i="60"/>
  <c r="H1374" i="60"/>
  <c r="H1373" i="60"/>
  <c r="H1372" i="60"/>
  <c r="H1371" i="60"/>
  <c r="H1370" i="60"/>
  <c r="H1369" i="60"/>
  <c r="H1368" i="60"/>
  <c r="H1367" i="60"/>
  <c r="H1366" i="60"/>
  <c r="H1365" i="60"/>
  <c r="H1364" i="60"/>
  <c r="H1363" i="60"/>
  <c r="H1362" i="60"/>
  <c r="H1361" i="60"/>
  <c r="H1360" i="60"/>
  <c r="H1359" i="60"/>
  <c r="H1358" i="60"/>
  <c r="H1357" i="60"/>
  <c r="H1356" i="60"/>
  <c r="H1355" i="60"/>
  <c r="H1354" i="60"/>
  <c r="H1353" i="60"/>
  <c r="H1352" i="60"/>
  <c r="H1351" i="60"/>
  <c r="H1350" i="60"/>
  <c r="H1349" i="60"/>
  <c r="H1348" i="60"/>
  <c r="H1347" i="60"/>
  <c r="H1346" i="60"/>
  <c r="H1345" i="60"/>
  <c r="H1344" i="60"/>
  <c r="H1343" i="60"/>
  <c r="H1342" i="60"/>
  <c r="H1341" i="60"/>
  <c r="H1340" i="60"/>
  <c r="H1339" i="60"/>
  <c r="H1338" i="60"/>
  <c r="H1337" i="60"/>
  <c r="H1336" i="60"/>
  <c r="H1335" i="60"/>
  <c r="H1334" i="60"/>
  <c r="H1333" i="60"/>
  <c r="H1332" i="60"/>
  <c r="H1331" i="60"/>
  <c r="H1330" i="60"/>
  <c r="H1329" i="60"/>
  <c r="H1328" i="60"/>
  <c r="H1327" i="60"/>
  <c r="H1326" i="60"/>
  <c r="H1325" i="60"/>
  <c r="H1324" i="60"/>
  <c r="H1323" i="60"/>
  <c r="H1322" i="60"/>
  <c r="H1321" i="60"/>
  <c r="H1320" i="60"/>
  <c r="H1319" i="60"/>
  <c r="H1318" i="60"/>
  <c r="H1317" i="60"/>
  <c r="H1316" i="60"/>
  <c r="H1315" i="60"/>
  <c r="H1314" i="60"/>
  <c r="H1313" i="60"/>
  <c r="H1312" i="60"/>
  <c r="H1311" i="60"/>
  <c r="H1310" i="60"/>
  <c r="H1309" i="60"/>
  <c r="H1308" i="60"/>
  <c r="H1307" i="60"/>
  <c r="H1306" i="60"/>
  <c r="H1305" i="60"/>
  <c r="H1304" i="60"/>
  <c r="H1303" i="60"/>
  <c r="H1302" i="60"/>
  <c r="H1301" i="60"/>
  <c r="H1300" i="60"/>
  <c r="H1299" i="60"/>
  <c r="H1298" i="60"/>
  <c r="H1297" i="60"/>
  <c r="H1296" i="60"/>
  <c r="H1295" i="60"/>
  <c r="H1294" i="60"/>
  <c r="H1293" i="60"/>
  <c r="H1292" i="60"/>
  <c r="H1291" i="60"/>
  <c r="H1290" i="60"/>
  <c r="H1289" i="60"/>
  <c r="H1288" i="60"/>
  <c r="H1287" i="60"/>
  <c r="H1286" i="60"/>
  <c r="H1285" i="60"/>
  <c r="H1284" i="60"/>
  <c r="H1283" i="60"/>
  <c r="H1282" i="60"/>
  <c r="H1281" i="60"/>
  <c r="H1280" i="60"/>
  <c r="H1279" i="60"/>
  <c r="H1278" i="60"/>
  <c r="H1277" i="60"/>
  <c r="H1276" i="60"/>
  <c r="H1275" i="60"/>
  <c r="H1274" i="60"/>
  <c r="H1273" i="60"/>
  <c r="H1272" i="60"/>
  <c r="H1271" i="60"/>
  <c r="H1270" i="60"/>
  <c r="H1269" i="60"/>
  <c r="H1268" i="60"/>
  <c r="H1267" i="60"/>
  <c r="H1266" i="60"/>
  <c r="H1265" i="60"/>
  <c r="H1264" i="60"/>
  <c r="H1263" i="60"/>
  <c r="H1262" i="60"/>
  <c r="H1261" i="60"/>
  <c r="H1260" i="60"/>
  <c r="H1259" i="60"/>
  <c r="H1258" i="60"/>
  <c r="H1257" i="60"/>
  <c r="H1256" i="60"/>
  <c r="H1255" i="60"/>
  <c r="H1254" i="60"/>
  <c r="H1253" i="60"/>
  <c r="H1252" i="60"/>
  <c r="H1251" i="60"/>
  <c r="H1250" i="60"/>
  <c r="H1249" i="60"/>
  <c r="H1248" i="60"/>
  <c r="H1247" i="60"/>
  <c r="H1246" i="60"/>
  <c r="H1245" i="60"/>
  <c r="H1244" i="60"/>
  <c r="H1243" i="60"/>
  <c r="H1242" i="60"/>
  <c r="H1241" i="60"/>
  <c r="H1240" i="60"/>
  <c r="H1239" i="60"/>
  <c r="H1238" i="60"/>
  <c r="H1237" i="60"/>
  <c r="H1236" i="60"/>
  <c r="H1235" i="60"/>
  <c r="H1234" i="60"/>
  <c r="H1233" i="60"/>
  <c r="H1232" i="60"/>
  <c r="H1231" i="60"/>
  <c r="H1230" i="60"/>
  <c r="H1229" i="60"/>
  <c r="H1228" i="60"/>
  <c r="H1227" i="60"/>
  <c r="H1226" i="60"/>
  <c r="H1225" i="60"/>
  <c r="H1224" i="60"/>
  <c r="H1223" i="60"/>
  <c r="H1222" i="60"/>
  <c r="H1221" i="60"/>
  <c r="H1220" i="60"/>
  <c r="H1219" i="60"/>
  <c r="H1218" i="60"/>
  <c r="H1217" i="60"/>
  <c r="H1216" i="60"/>
  <c r="H1215" i="60"/>
  <c r="H1214" i="60"/>
  <c r="H1213" i="60"/>
  <c r="H1212" i="60"/>
  <c r="H1211" i="60"/>
  <c r="H1210" i="60"/>
  <c r="H1209" i="60"/>
  <c r="H1208" i="60"/>
  <c r="H1207" i="60"/>
  <c r="H1206" i="60"/>
  <c r="H1205" i="60"/>
  <c r="H1204" i="60"/>
  <c r="H1203" i="60"/>
  <c r="H1202" i="60"/>
  <c r="H1201" i="60"/>
  <c r="H1200" i="60"/>
  <c r="H1199" i="60"/>
  <c r="H1198" i="60"/>
  <c r="H1197" i="60"/>
  <c r="H1196" i="60"/>
  <c r="H1195" i="60"/>
  <c r="H1194" i="60"/>
  <c r="H1193" i="60"/>
  <c r="H1192" i="60"/>
  <c r="H1191" i="60"/>
  <c r="H1190" i="60"/>
  <c r="H1189" i="60"/>
  <c r="H1188" i="60"/>
  <c r="H1187" i="60"/>
  <c r="H1186" i="60"/>
  <c r="H1185" i="60"/>
  <c r="H1184" i="60"/>
  <c r="H1183" i="60"/>
  <c r="H1182" i="60"/>
  <c r="H1181" i="60"/>
  <c r="H1180" i="60"/>
  <c r="H1179" i="60"/>
  <c r="H1178" i="60"/>
  <c r="H1177" i="60"/>
  <c r="H1176" i="60"/>
  <c r="H1175" i="60"/>
  <c r="H1174" i="60"/>
  <c r="H1173" i="60"/>
  <c r="H1172" i="60"/>
  <c r="H1171" i="60"/>
  <c r="H1170" i="60"/>
  <c r="H1169" i="60"/>
  <c r="H1168" i="60"/>
  <c r="H1167" i="60"/>
  <c r="H1166" i="60"/>
  <c r="H1165" i="60"/>
  <c r="H1164" i="60"/>
  <c r="H1163" i="60"/>
  <c r="H1162" i="60"/>
  <c r="H1161" i="60"/>
  <c r="H1160" i="60"/>
  <c r="H1159" i="60"/>
  <c r="H1158" i="60"/>
  <c r="H1157" i="60"/>
  <c r="H1156" i="60"/>
  <c r="H1155" i="60"/>
  <c r="H1154" i="60"/>
  <c r="H1153" i="60"/>
  <c r="H1152" i="60"/>
  <c r="H1151" i="60"/>
  <c r="H1150" i="60"/>
  <c r="H1149" i="60"/>
  <c r="H1148" i="60"/>
  <c r="H1147" i="60"/>
  <c r="H1146" i="60"/>
  <c r="H1145" i="60"/>
  <c r="H1144" i="60"/>
  <c r="H1143" i="60"/>
  <c r="H1142" i="60"/>
  <c r="H1141" i="60"/>
  <c r="H1140" i="60"/>
  <c r="H1139" i="60"/>
  <c r="H1138" i="60"/>
  <c r="H1137" i="60"/>
  <c r="H1136" i="60"/>
  <c r="H1135" i="60"/>
  <c r="H1134" i="60"/>
  <c r="H1133" i="60"/>
  <c r="H1132" i="60"/>
  <c r="H1131" i="60"/>
  <c r="H1130" i="60"/>
  <c r="H1129" i="60"/>
  <c r="H1128" i="60"/>
  <c r="H1127" i="60"/>
  <c r="H1126" i="60"/>
  <c r="H1125" i="60"/>
  <c r="H1124" i="60"/>
  <c r="H1123" i="60"/>
  <c r="H1122" i="60"/>
  <c r="H1121" i="60"/>
  <c r="H1120" i="60"/>
  <c r="H1119" i="60"/>
  <c r="H1118" i="60"/>
  <c r="H1117" i="60"/>
  <c r="H1116" i="60"/>
  <c r="H1115" i="60"/>
  <c r="H1114" i="60"/>
  <c r="H1113" i="60"/>
  <c r="H1112" i="60"/>
  <c r="H1111" i="60"/>
  <c r="H1110" i="60"/>
  <c r="H1109" i="60"/>
  <c r="H1108" i="60"/>
  <c r="H1107" i="60"/>
  <c r="H1106" i="60"/>
  <c r="H1105" i="60"/>
  <c r="H1104" i="60"/>
  <c r="H1103" i="60"/>
  <c r="H1102" i="60"/>
  <c r="H1101" i="60"/>
  <c r="H1100" i="60"/>
  <c r="H1099" i="60"/>
  <c r="H1098" i="60"/>
  <c r="H1097" i="60"/>
  <c r="H1096" i="60"/>
  <c r="H1095" i="60"/>
  <c r="H1094" i="60"/>
  <c r="H1093" i="60"/>
  <c r="H1092" i="60"/>
  <c r="H1091" i="60"/>
  <c r="H1090" i="60"/>
  <c r="H1089" i="60"/>
  <c r="H1088" i="60"/>
  <c r="H1087" i="60"/>
  <c r="H1086" i="60"/>
  <c r="H1085" i="60"/>
  <c r="H1084" i="60"/>
  <c r="H1083" i="60"/>
  <c r="H1082" i="60"/>
  <c r="H1081" i="60"/>
  <c r="H1080" i="60"/>
  <c r="H1079" i="60"/>
  <c r="H1078" i="60"/>
  <c r="H1077" i="60"/>
  <c r="H1076" i="60"/>
  <c r="H1075" i="60"/>
  <c r="H1074" i="60"/>
  <c r="H1073" i="60"/>
  <c r="H1072" i="60"/>
  <c r="H1071" i="60"/>
  <c r="H1070" i="60"/>
  <c r="H1069" i="60"/>
  <c r="H1068" i="60"/>
  <c r="H1067" i="60"/>
  <c r="H1066" i="60"/>
  <c r="H1065" i="60"/>
  <c r="H1064" i="60"/>
  <c r="H1063" i="60"/>
  <c r="H1062" i="60"/>
  <c r="H1061" i="60"/>
  <c r="H1060" i="60"/>
  <c r="H1059" i="60"/>
  <c r="H1058" i="60"/>
  <c r="H1057" i="60"/>
  <c r="H1056" i="60"/>
  <c r="H1055" i="60"/>
  <c r="H1054" i="60"/>
  <c r="H1053" i="60"/>
  <c r="H1052" i="60"/>
  <c r="H1051" i="60"/>
  <c r="H1050" i="60"/>
  <c r="H1049" i="60"/>
  <c r="H1048" i="60"/>
  <c r="H1047" i="60"/>
  <c r="H1046" i="60"/>
  <c r="H1045" i="60"/>
  <c r="H1044" i="60"/>
  <c r="H1043" i="60"/>
  <c r="H1042" i="60"/>
  <c r="H1041" i="60"/>
  <c r="H1040" i="60"/>
  <c r="H1039" i="60"/>
  <c r="H1038" i="60"/>
  <c r="H1037" i="60"/>
  <c r="H1036" i="60"/>
  <c r="H1035" i="60"/>
  <c r="H1034" i="60"/>
  <c r="H1033" i="60"/>
  <c r="H1032" i="60"/>
  <c r="H1031" i="60"/>
  <c r="H1030" i="60"/>
  <c r="H1029" i="60"/>
  <c r="H1028" i="60"/>
  <c r="H1027" i="60"/>
  <c r="H1026" i="60"/>
  <c r="H1025" i="60"/>
  <c r="H1024" i="60"/>
  <c r="H1023" i="60"/>
  <c r="H1022" i="60"/>
  <c r="H1021" i="60"/>
  <c r="H1020" i="60"/>
  <c r="H1019" i="60"/>
  <c r="H1018" i="60"/>
  <c r="H1017" i="60"/>
  <c r="H1016" i="60"/>
  <c r="H1015" i="60"/>
  <c r="H1014" i="60"/>
  <c r="H1013" i="60"/>
  <c r="H1012" i="60"/>
  <c r="H1011" i="60"/>
  <c r="H1010" i="60"/>
  <c r="H1009" i="60"/>
  <c r="H1008" i="60"/>
  <c r="H1007" i="60"/>
  <c r="H1006" i="60"/>
  <c r="H1005" i="60"/>
  <c r="H1004" i="60"/>
  <c r="H1003" i="60"/>
  <c r="H1002" i="60"/>
  <c r="H1001" i="60"/>
  <c r="H1000" i="60"/>
  <c r="H999" i="60"/>
  <c r="H998" i="60"/>
  <c r="H997" i="60"/>
  <c r="H996" i="60"/>
  <c r="H995" i="60"/>
  <c r="H994" i="60"/>
  <c r="H993" i="60"/>
  <c r="H992" i="60"/>
  <c r="H991" i="60"/>
  <c r="H990" i="60"/>
  <c r="H989" i="60"/>
  <c r="H988" i="60"/>
  <c r="H987" i="60"/>
  <c r="H986" i="60"/>
  <c r="H985" i="60"/>
  <c r="H984" i="60"/>
  <c r="H983" i="60"/>
  <c r="H982" i="60"/>
  <c r="H981" i="60"/>
  <c r="H980" i="60"/>
  <c r="H979" i="60"/>
  <c r="H978" i="60"/>
  <c r="H977" i="60"/>
  <c r="H976" i="60"/>
  <c r="H975" i="60"/>
  <c r="H974" i="60"/>
  <c r="H973" i="60"/>
  <c r="H972" i="60"/>
  <c r="H971" i="60"/>
  <c r="H970" i="60"/>
  <c r="H969" i="60"/>
  <c r="H968" i="60"/>
  <c r="H967" i="60"/>
  <c r="H966" i="60"/>
  <c r="H965" i="60"/>
  <c r="H964" i="60"/>
  <c r="H963" i="60"/>
  <c r="H962" i="60"/>
  <c r="H961" i="60"/>
  <c r="H960" i="60"/>
  <c r="H959" i="60"/>
  <c r="H958" i="60"/>
  <c r="H957" i="60"/>
  <c r="H956" i="60"/>
  <c r="H955" i="60"/>
  <c r="H954" i="60"/>
  <c r="H953" i="60"/>
  <c r="H952" i="60"/>
  <c r="H951" i="60"/>
  <c r="H950" i="60"/>
  <c r="H949" i="60"/>
  <c r="H948" i="60"/>
  <c r="H947" i="60"/>
  <c r="H946" i="60"/>
  <c r="H945" i="60"/>
  <c r="H944" i="60"/>
  <c r="H943" i="60"/>
  <c r="H942" i="60"/>
  <c r="H941" i="60"/>
  <c r="H940" i="60"/>
  <c r="H939" i="60"/>
  <c r="H938" i="60"/>
  <c r="H937" i="60"/>
  <c r="H936" i="60"/>
  <c r="H935" i="60"/>
  <c r="H934" i="60"/>
  <c r="H933" i="60"/>
  <c r="H932" i="60"/>
  <c r="H931" i="60"/>
  <c r="H930" i="60"/>
  <c r="H929" i="60"/>
  <c r="H928" i="60"/>
  <c r="H927" i="60"/>
  <c r="H926" i="60"/>
  <c r="H925" i="60"/>
  <c r="H924" i="60"/>
  <c r="H923" i="60"/>
  <c r="H922" i="60"/>
  <c r="H921" i="60"/>
  <c r="H920" i="60"/>
  <c r="H919" i="60"/>
  <c r="H918" i="60"/>
  <c r="H917" i="60"/>
  <c r="H916" i="60"/>
  <c r="H915" i="60"/>
  <c r="H914" i="60"/>
  <c r="H913" i="60"/>
  <c r="H912" i="60"/>
  <c r="H911" i="60"/>
  <c r="H910" i="60"/>
  <c r="H909" i="60"/>
  <c r="H908" i="60"/>
  <c r="H907" i="60"/>
  <c r="H906" i="60"/>
  <c r="H905" i="60"/>
  <c r="H904" i="60"/>
  <c r="H903" i="60"/>
  <c r="H902" i="60"/>
  <c r="H901" i="60"/>
  <c r="H900" i="60"/>
  <c r="H899" i="60"/>
  <c r="H898" i="60"/>
  <c r="H897" i="60"/>
  <c r="H896" i="60"/>
  <c r="H895" i="60"/>
  <c r="H894" i="60"/>
  <c r="H893" i="60"/>
  <c r="H892" i="60"/>
  <c r="H891" i="60"/>
  <c r="H890" i="60"/>
  <c r="H889" i="60"/>
  <c r="H888" i="60"/>
  <c r="H887" i="60"/>
  <c r="H886" i="60"/>
  <c r="H885" i="60"/>
  <c r="H884" i="60"/>
  <c r="H883" i="60"/>
  <c r="H882" i="60"/>
  <c r="H881" i="60"/>
  <c r="H880" i="60"/>
  <c r="H879" i="60"/>
  <c r="H878" i="60"/>
  <c r="H877" i="60"/>
  <c r="H876" i="60"/>
  <c r="H875" i="60"/>
  <c r="H874" i="60"/>
  <c r="H873" i="60"/>
  <c r="H872" i="60"/>
  <c r="H871" i="60"/>
  <c r="H870" i="60"/>
  <c r="H869" i="60"/>
  <c r="H868" i="60"/>
  <c r="H867" i="60"/>
  <c r="H866" i="60"/>
  <c r="H865" i="60"/>
  <c r="H863" i="60"/>
  <c r="H862" i="60"/>
  <c r="H861" i="60"/>
  <c r="H860" i="60"/>
  <c r="H859" i="60"/>
  <c r="H858" i="60"/>
  <c r="H857" i="60"/>
  <c r="H856" i="60"/>
  <c r="H855" i="60"/>
  <c r="H854" i="60"/>
  <c r="H853" i="60"/>
  <c r="H852" i="60"/>
  <c r="H851" i="60"/>
  <c r="H850" i="60"/>
  <c r="H849" i="60"/>
  <c r="H848" i="60"/>
  <c r="H847" i="60"/>
  <c r="H846" i="60"/>
  <c r="H845" i="60"/>
  <c r="H844" i="60"/>
  <c r="H843" i="60"/>
  <c r="H842" i="60"/>
  <c r="H841" i="60"/>
  <c r="H840" i="60"/>
  <c r="H839" i="60"/>
  <c r="H838" i="60"/>
  <c r="H837" i="60"/>
  <c r="H836" i="60"/>
  <c r="H835" i="60"/>
  <c r="H834" i="60"/>
  <c r="H833" i="60"/>
  <c r="H832" i="60"/>
  <c r="H831" i="60"/>
  <c r="H830" i="60"/>
  <c r="H829" i="60"/>
  <c r="H828" i="60"/>
  <c r="H827" i="60"/>
  <c r="H826" i="60"/>
  <c r="H825" i="60"/>
  <c r="H824" i="60"/>
  <c r="H823" i="60"/>
  <c r="H822" i="60"/>
  <c r="H821" i="60"/>
  <c r="H820" i="60"/>
  <c r="H819" i="60"/>
  <c r="H818" i="60"/>
  <c r="H817" i="60"/>
  <c r="H816" i="60"/>
  <c r="H815" i="60"/>
  <c r="H814" i="60"/>
  <c r="H813" i="60"/>
  <c r="H812" i="60"/>
  <c r="H811" i="60"/>
  <c r="H810" i="60"/>
  <c r="H809" i="60"/>
  <c r="H808" i="60"/>
  <c r="H807" i="60"/>
  <c r="H806" i="60"/>
  <c r="H805" i="60"/>
  <c r="H804" i="60"/>
  <c r="H803" i="60"/>
  <c r="H802" i="60"/>
  <c r="H801" i="60"/>
  <c r="H800" i="60"/>
  <c r="H799" i="60"/>
  <c r="H798" i="60"/>
  <c r="H797" i="60"/>
  <c r="H796" i="60"/>
  <c r="H795" i="60"/>
  <c r="H794" i="60"/>
  <c r="H793" i="60"/>
  <c r="H792" i="60"/>
  <c r="H791" i="60"/>
  <c r="H790" i="60"/>
  <c r="H789" i="60"/>
  <c r="H788" i="60"/>
  <c r="H787" i="60"/>
  <c r="H786" i="60"/>
  <c r="H785" i="60"/>
  <c r="H784" i="60"/>
  <c r="H783" i="60"/>
  <c r="H782" i="60"/>
  <c r="H781" i="60"/>
  <c r="H780" i="60"/>
  <c r="H779" i="60"/>
  <c r="H778" i="60"/>
  <c r="H777" i="60"/>
  <c r="H776" i="60"/>
  <c r="H775" i="60"/>
  <c r="H774" i="60"/>
  <c r="H773" i="60"/>
  <c r="H772" i="60"/>
  <c r="H771" i="60"/>
  <c r="H770" i="60"/>
  <c r="H769" i="60"/>
  <c r="H768" i="60"/>
  <c r="H767" i="60"/>
  <c r="H766" i="60"/>
  <c r="H765" i="60"/>
  <c r="H764" i="60"/>
  <c r="H763" i="60"/>
  <c r="H762" i="60"/>
  <c r="H761" i="60"/>
  <c r="H760" i="60"/>
  <c r="H759" i="60"/>
  <c r="H758" i="60"/>
  <c r="H757" i="60"/>
  <c r="H756" i="60"/>
  <c r="H755" i="60"/>
  <c r="H754" i="60"/>
  <c r="H753" i="60"/>
  <c r="H752" i="60"/>
  <c r="H751" i="60"/>
  <c r="H750" i="60"/>
  <c r="H749" i="60"/>
  <c r="H748" i="60"/>
  <c r="H747" i="60"/>
  <c r="H746" i="60"/>
  <c r="H745" i="60"/>
  <c r="H744" i="60"/>
  <c r="H743" i="60"/>
  <c r="H742" i="60"/>
  <c r="H741" i="60"/>
  <c r="H740" i="60"/>
  <c r="H739" i="60"/>
  <c r="H738" i="60"/>
  <c r="H737" i="60"/>
  <c r="H736" i="60"/>
  <c r="H735" i="60"/>
  <c r="H734" i="60"/>
  <c r="H733" i="60"/>
  <c r="H732" i="60"/>
  <c r="H731" i="60"/>
  <c r="H730" i="60"/>
  <c r="H729" i="60"/>
  <c r="H728" i="60"/>
  <c r="H727" i="60"/>
  <c r="H726" i="60"/>
  <c r="H725" i="60"/>
  <c r="H724" i="60"/>
  <c r="H723" i="60"/>
  <c r="H722" i="60"/>
  <c r="H721" i="60"/>
  <c r="H720" i="60"/>
  <c r="H719" i="60"/>
  <c r="H718" i="60"/>
  <c r="H717" i="60"/>
  <c r="H716" i="60"/>
  <c r="H715" i="60"/>
  <c r="H714" i="60"/>
  <c r="H713" i="60"/>
  <c r="H712" i="60"/>
  <c r="H711" i="60"/>
  <c r="H710" i="60"/>
  <c r="H709" i="60"/>
  <c r="H708" i="60"/>
  <c r="H707" i="60"/>
  <c r="H706" i="60"/>
  <c r="H705" i="60"/>
  <c r="H704" i="60"/>
  <c r="H703" i="60"/>
  <c r="H702" i="60"/>
  <c r="H701" i="60"/>
  <c r="H700" i="60"/>
  <c r="H699" i="60"/>
  <c r="H698" i="60"/>
  <c r="H697" i="60"/>
  <c r="H696" i="60"/>
  <c r="H695" i="60"/>
  <c r="H694" i="60"/>
  <c r="H693" i="60"/>
  <c r="H692" i="60"/>
  <c r="H691" i="60"/>
  <c r="H690" i="60"/>
  <c r="H689" i="60"/>
  <c r="H688" i="60"/>
  <c r="H687" i="60"/>
  <c r="H686" i="60"/>
  <c r="H685" i="60"/>
  <c r="H684" i="60"/>
  <c r="H683" i="60"/>
  <c r="H682" i="60"/>
  <c r="H681" i="60"/>
  <c r="H680" i="60"/>
  <c r="H679" i="60"/>
  <c r="H678" i="60"/>
  <c r="H677" i="60"/>
  <c r="H676" i="60"/>
  <c r="H675" i="60"/>
  <c r="H674" i="60"/>
  <c r="H673" i="60"/>
  <c r="H672" i="60"/>
  <c r="H671" i="60"/>
  <c r="H670" i="60"/>
  <c r="H669" i="60"/>
  <c r="H668" i="60"/>
  <c r="H667" i="60"/>
  <c r="H666" i="60"/>
  <c r="H665" i="60"/>
  <c r="H664" i="60"/>
  <c r="H663" i="60"/>
  <c r="H662" i="60"/>
  <c r="H661" i="60"/>
  <c r="H660" i="60"/>
  <c r="H659" i="60"/>
  <c r="H658" i="60"/>
  <c r="H657" i="60"/>
  <c r="H656" i="60"/>
  <c r="H655" i="60"/>
  <c r="H654" i="60"/>
  <c r="H653" i="60"/>
  <c r="H652" i="60"/>
  <c r="H651" i="60"/>
  <c r="H650" i="60"/>
  <c r="H649" i="60"/>
  <c r="H648" i="60"/>
  <c r="H647" i="60"/>
  <c r="H646" i="60"/>
  <c r="H645" i="60"/>
  <c r="H644" i="60"/>
  <c r="H643" i="60"/>
  <c r="H642" i="60"/>
  <c r="H641" i="60"/>
  <c r="H640" i="60"/>
  <c r="H639" i="60"/>
  <c r="H638" i="60"/>
  <c r="H637" i="60"/>
  <c r="H636" i="60"/>
  <c r="H635" i="60"/>
  <c r="H634" i="60"/>
  <c r="H633" i="60"/>
  <c r="H632" i="60"/>
  <c r="H631" i="60"/>
  <c r="H630" i="60"/>
  <c r="H629" i="60"/>
  <c r="H628" i="60"/>
  <c r="H627" i="60"/>
  <c r="H626" i="60"/>
  <c r="H625" i="60"/>
  <c r="H624" i="60"/>
  <c r="H623" i="60"/>
  <c r="H622" i="60"/>
  <c r="H621" i="60"/>
  <c r="H620" i="60"/>
  <c r="H619" i="60"/>
  <c r="H618" i="60"/>
  <c r="H617" i="60"/>
  <c r="H616" i="60"/>
  <c r="H615" i="60"/>
  <c r="H614" i="60"/>
  <c r="H613" i="60"/>
  <c r="H612" i="60"/>
  <c r="H611" i="60"/>
  <c r="H610" i="60"/>
  <c r="H609" i="60"/>
  <c r="H608" i="60"/>
  <c r="H607" i="60"/>
  <c r="H606" i="60"/>
  <c r="H605" i="60"/>
  <c r="H604" i="60"/>
  <c r="H603" i="60"/>
  <c r="H602" i="60"/>
  <c r="H601" i="60"/>
  <c r="H600" i="60"/>
  <c r="H599" i="60"/>
  <c r="H598" i="60"/>
  <c r="H597" i="60"/>
  <c r="H596" i="60"/>
  <c r="H595" i="60"/>
  <c r="H594" i="60"/>
  <c r="H593" i="60"/>
  <c r="H592" i="60"/>
  <c r="H591" i="60"/>
  <c r="H590" i="60"/>
  <c r="H589" i="60"/>
  <c r="H588" i="60"/>
  <c r="H587" i="60"/>
  <c r="H586" i="60"/>
  <c r="H585" i="60"/>
  <c r="H584" i="60"/>
  <c r="H583" i="60"/>
  <c r="H582" i="60"/>
  <c r="H581" i="60"/>
  <c r="H580" i="60"/>
  <c r="H579" i="60"/>
  <c r="H578" i="60"/>
  <c r="H577" i="60"/>
  <c r="H576" i="60"/>
  <c r="H575" i="60"/>
  <c r="H574" i="60"/>
  <c r="H573" i="60"/>
  <c r="H572" i="60"/>
  <c r="H571" i="60"/>
  <c r="H570" i="60"/>
  <c r="H569" i="60"/>
  <c r="H568" i="60"/>
  <c r="H567" i="60"/>
  <c r="H566" i="60"/>
  <c r="H565" i="60"/>
  <c r="H564" i="60"/>
  <c r="H563" i="60"/>
  <c r="H562" i="60"/>
  <c r="H561" i="60"/>
  <c r="H560" i="60"/>
  <c r="H559" i="60"/>
  <c r="H558" i="60"/>
  <c r="H557" i="60"/>
  <c r="H556" i="60"/>
  <c r="H555" i="60"/>
  <c r="H554" i="60"/>
  <c r="H553" i="60"/>
  <c r="H552" i="60"/>
  <c r="H551" i="60"/>
  <c r="H550" i="60"/>
  <c r="H549" i="60"/>
  <c r="H548" i="60"/>
  <c r="H547" i="60"/>
  <c r="H546" i="60"/>
  <c r="H545" i="60"/>
  <c r="H544" i="60"/>
  <c r="H543" i="60"/>
  <c r="H542" i="60"/>
  <c r="H541" i="60"/>
  <c r="H540" i="60"/>
  <c r="H539" i="60"/>
  <c r="H538" i="60"/>
  <c r="H537" i="60"/>
  <c r="H536" i="60"/>
  <c r="H535" i="60"/>
  <c r="H534" i="60"/>
  <c r="H533" i="60"/>
  <c r="H532" i="60"/>
  <c r="H531" i="60"/>
  <c r="H530" i="60"/>
  <c r="H529" i="60"/>
  <c r="H528" i="60"/>
  <c r="H527" i="60"/>
  <c r="H526" i="60"/>
  <c r="H525" i="60"/>
  <c r="H524" i="60"/>
  <c r="H523" i="60"/>
  <c r="H522" i="60"/>
  <c r="H521" i="60"/>
  <c r="H520" i="60"/>
  <c r="H519" i="60"/>
  <c r="H518" i="60"/>
  <c r="H517" i="60"/>
  <c r="H516" i="60"/>
  <c r="H515" i="60"/>
  <c r="H514" i="60"/>
  <c r="H513" i="60"/>
  <c r="H512" i="60"/>
  <c r="H511" i="60"/>
  <c r="H510" i="60"/>
  <c r="H509" i="60"/>
  <c r="H508" i="60"/>
  <c r="H507" i="60"/>
  <c r="H506" i="60"/>
  <c r="H505" i="60"/>
  <c r="H504" i="60"/>
  <c r="H503" i="60"/>
  <c r="H502" i="60"/>
  <c r="H501" i="60"/>
  <c r="H500" i="60"/>
  <c r="H499" i="60"/>
  <c r="H498" i="60"/>
  <c r="H497" i="60"/>
  <c r="H496" i="60"/>
  <c r="H495" i="60"/>
  <c r="H494" i="60"/>
  <c r="H493" i="60"/>
  <c r="H492" i="60"/>
  <c r="H491" i="60"/>
  <c r="H490" i="60"/>
  <c r="H489" i="60"/>
  <c r="H488" i="60"/>
  <c r="H487" i="60"/>
  <c r="H486" i="60"/>
  <c r="H485" i="60"/>
  <c r="H484" i="60"/>
  <c r="H483" i="60"/>
  <c r="H482" i="60"/>
  <c r="H481" i="60"/>
  <c r="H480" i="60"/>
  <c r="H479" i="60"/>
  <c r="H478" i="60"/>
  <c r="H477" i="60"/>
  <c r="H476" i="60"/>
  <c r="H475" i="60"/>
  <c r="H474" i="60"/>
  <c r="H473" i="60"/>
  <c r="H472" i="60"/>
  <c r="H471" i="60"/>
  <c r="H470" i="60"/>
  <c r="H469" i="60"/>
  <c r="H468" i="60"/>
  <c r="H467" i="60"/>
  <c r="H466" i="60"/>
  <c r="H465" i="60"/>
  <c r="H464" i="60"/>
  <c r="H463" i="60"/>
  <c r="H462" i="60"/>
  <c r="H461" i="60"/>
  <c r="H460" i="60"/>
  <c r="H459" i="60"/>
  <c r="H458" i="60"/>
  <c r="H457" i="60"/>
  <c r="H456" i="60"/>
  <c r="H455" i="60"/>
  <c r="H454" i="60"/>
  <c r="H453" i="60"/>
  <c r="H452" i="60"/>
  <c r="H451" i="60"/>
  <c r="H450" i="60"/>
  <c r="H449" i="60"/>
  <c r="H448" i="60"/>
  <c r="H447" i="60"/>
  <c r="H446" i="60"/>
  <c r="H445" i="60"/>
  <c r="H444" i="60"/>
  <c r="H443" i="60"/>
  <c r="H442" i="60"/>
  <c r="H441" i="60"/>
  <c r="H440" i="60"/>
  <c r="H439" i="60"/>
  <c r="H438" i="60"/>
  <c r="H437" i="60"/>
  <c r="H436" i="60"/>
  <c r="H435" i="60"/>
  <c r="H434" i="60"/>
  <c r="H433" i="60"/>
  <c r="H432" i="60"/>
  <c r="H431" i="60"/>
  <c r="H430" i="60"/>
  <c r="H429" i="60"/>
  <c r="H428" i="60"/>
  <c r="H427" i="60"/>
  <c r="H426" i="60"/>
  <c r="H425" i="60"/>
  <c r="H424" i="60"/>
  <c r="H423" i="60"/>
  <c r="H422" i="60"/>
  <c r="H421" i="60"/>
  <c r="H420" i="60"/>
  <c r="H419" i="60"/>
  <c r="H418" i="60"/>
  <c r="H417" i="60"/>
  <c r="H416" i="60"/>
  <c r="H415" i="60"/>
  <c r="H414" i="60"/>
  <c r="H413" i="60"/>
  <c r="H412" i="60"/>
  <c r="H411" i="60"/>
  <c r="H410" i="60"/>
  <c r="H409" i="60"/>
  <c r="H408" i="60"/>
  <c r="H407" i="60"/>
  <c r="H406" i="60"/>
  <c r="H405" i="60"/>
  <c r="H404" i="60"/>
  <c r="H403" i="60"/>
  <c r="H402" i="60"/>
  <c r="H401" i="60"/>
  <c r="H400" i="60"/>
  <c r="H399" i="60"/>
  <c r="H398" i="60"/>
  <c r="H397" i="60"/>
  <c r="H396" i="60"/>
  <c r="H395" i="60"/>
  <c r="H394" i="60"/>
  <c r="H393" i="60"/>
  <c r="H392" i="60"/>
  <c r="H391" i="60"/>
  <c r="H390" i="60"/>
  <c r="H389" i="60"/>
  <c r="H388" i="60"/>
  <c r="H387" i="60"/>
  <c r="H386" i="60"/>
  <c r="H385" i="60"/>
  <c r="H384" i="60"/>
  <c r="H383" i="60"/>
  <c r="H382" i="60"/>
  <c r="H381" i="60"/>
  <c r="H380" i="60"/>
  <c r="H379" i="60"/>
  <c r="H378" i="60"/>
  <c r="H377" i="60"/>
  <c r="H376" i="60"/>
  <c r="H375" i="60"/>
  <c r="H374" i="60"/>
  <c r="H373" i="60"/>
  <c r="H372" i="60"/>
  <c r="H371" i="60"/>
  <c r="H370" i="60"/>
  <c r="H369" i="60"/>
  <c r="H368" i="60"/>
  <c r="H367" i="60"/>
  <c r="H366" i="60"/>
  <c r="H365" i="60"/>
  <c r="H364" i="60"/>
  <c r="H363" i="60"/>
  <c r="H362" i="60"/>
  <c r="H361" i="60"/>
  <c r="H360" i="60"/>
  <c r="H359" i="60"/>
  <c r="H358" i="60"/>
  <c r="H357" i="60"/>
  <c r="H356" i="60"/>
  <c r="H355" i="60"/>
  <c r="H354" i="60"/>
  <c r="H353" i="60"/>
  <c r="H352" i="60"/>
  <c r="H351" i="60"/>
  <c r="H350" i="60"/>
  <c r="H349" i="60"/>
  <c r="H348" i="60"/>
  <c r="H347" i="60"/>
  <c r="H346" i="60"/>
  <c r="H345" i="60"/>
  <c r="H344" i="60"/>
  <c r="H343" i="60"/>
  <c r="H342" i="60"/>
  <c r="H341" i="60"/>
  <c r="H340" i="60"/>
  <c r="H339" i="60"/>
  <c r="H338" i="60"/>
  <c r="H337" i="60"/>
  <c r="H336" i="60"/>
  <c r="H335" i="60"/>
  <c r="H334" i="60"/>
  <c r="H333" i="60"/>
  <c r="H332" i="60"/>
  <c r="H331" i="60"/>
  <c r="H330" i="60"/>
  <c r="H329" i="60"/>
  <c r="H328" i="60"/>
  <c r="H327" i="60"/>
  <c r="H326" i="60"/>
  <c r="H325" i="60"/>
  <c r="H324" i="60"/>
  <c r="H323" i="60"/>
  <c r="H322" i="60"/>
  <c r="H321" i="60"/>
  <c r="H320" i="60"/>
  <c r="H319" i="60"/>
  <c r="H318" i="60"/>
  <c r="H317" i="60"/>
  <c r="H316" i="60"/>
  <c r="H315" i="60"/>
  <c r="H314" i="60"/>
  <c r="H313" i="60"/>
  <c r="H312" i="60"/>
  <c r="H311" i="60"/>
  <c r="H310" i="60"/>
  <c r="H309" i="60"/>
  <c r="H308" i="60"/>
  <c r="H307" i="60"/>
  <c r="H306" i="60"/>
  <c r="H305" i="60"/>
  <c r="H304" i="60"/>
  <c r="H303" i="60"/>
  <c r="H302" i="60"/>
  <c r="H301" i="60"/>
  <c r="H300" i="60"/>
  <c r="H299" i="60"/>
  <c r="H298" i="60"/>
  <c r="H297" i="60"/>
  <c r="H296" i="60"/>
  <c r="H295" i="60"/>
  <c r="H294" i="60"/>
  <c r="H293" i="60"/>
  <c r="H292" i="60"/>
  <c r="H291" i="60"/>
  <c r="H290" i="60"/>
  <c r="H289" i="60"/>
  <c r="H288" i="60"/>
  <c r="H287" i="60"/>
  <c r="H286" i="60"/>
  <c r="H285" i="60"/>
  <c r="H284" i="60"/>
  <c r="H283" i="60"/>
  <c r="H282" i="60"/>
  <c r="H281" i="60"/>
  <c r="H280" i="60"/>
  <c r="H279" i="60"/>
  <c r="H278" i="60"/>
  <c r="H277" i="60"/>
  <c r="H276" i="60"/>
  <c r="H275" i="60"/>
  <c r="H274" i="60"/>
  <c r="H273" i="60"/>
  <c r="H272" i="60"/>
  <c r="H271" i="60"/>
  <c r="H270" i="60"/>
  <c r="H269" i="60"/>
  <c r="H268" i="60"/>
  <c r="H267" i="60"/>
  <c r="H266" i="60"/>
  <c r="H265" i="60"/>
  <c r="H264" i="60"/>
  <c r="H263" i="60"/>
  <c r="H262" i="60"/>
  <c r="H261" i="60"/>
  <c r="H260" i="60"/>
  <c r="H259" i="60"/>
  <c r="H258" i="60"/>
  <c r="H257" i="60"/>
  <c r="H256" i="60"/>
  <c r="H255" i="60"/>
  <c r="H254" i="60"/>
  <c r="H253" i="60"/>
  <c r="H252" i="60"/>
  <c r="H251" i="60"/>
  <c r="H250" i="60"/>
  <c r="H249" i="60"/>
  <c r="H248" i="60"/>
  <c r="H247" i="60"/>
  <c r="H246" i="60"/>
  <c r="H245" i="60"/>
  <c r="H244" i="60"/>
  <c r="H243" i="60"/>
  <c r="H242" i="60"/>
  <c r="H241" i="60"/>
  <c r="H240" i="60"/>
  <c r="H239" i="60"/>
  <c r="H238" i="60"/>
  <c r="H237" i="60"/>
  <c r="H236" i="60"/>
  <c r="H235" i="60"/>
  <c r="H234" i="60"/>
  <c r="H233" i="60"/>
  <c r="H232" i="60"/>
  <c r="H231" i="60"/>
  <c r="H230" i="60"/>
  <c r="H229" i="60"/>
  <c r="H228" i="60"/>
  <c r="H227" i="60"/>
  <c r="H226" i="60"/>
  <c r="H225" i="60"/>
  <c r="H224" i="60"/>
  <c r="H223" i="60"/>
  <c r="H222" i="60"/>
  <c r="H221" i="60"/>
  <c r="H220" i="60"/>
  <c r="H219" i="60"/>
  <c r="H218" i="60"/>
  <c r="H217" i="60"/>
  <c r="H216" i="60"/>
  <c r="H215" i="60"/>
  <c r="H214" i="60"/>
  <c r="H213" i="60"/>
  <c r="H212" i="60"/>
  <c r="H211" i="60"/>
  <c r="H210" i="60"/>
  <c r="H209" i="60"/>
  <c r="H208" i="60"/>
  <c r="H207" i="60"/>
  <c r="H206" i="60"/>
  <c r="H205" i="60"/>
  <c r="H204" i="60"/>
  <c r="H203" i="60"/>
  <c r="H202" i="60"/>
  <c r="H201" i="60"/>
  <c r="H200" i="60"/>
  <c r="H199" i="60"/>
  <c r="H198" i="60"/>
  <c r="H197" i="60"/>
  <c r="H196" i="60"/>
  <c r="H195" i="60"/>
  <c r="H194" i="60"/>
  <c r="H193" i="60"/>
  <c r="H192" i="60"/>
  <c r="H191" i="60"/>
  <c r="H190" i="60"/>
  <c r="H189" i="60"/>
  <c r="H188" i="60"/>
  <c r="H187" i="60"/>
  <c r="H186" i="60"/>
  <c r="H185" i="60"/>
  <c r="H184" i="60"/>
  <c r="H183" i="60"/>
  <c r="H182" i="60"/>
  <c r="H181" i="60"/>
  <c r="H180" i="60"/>
  <c r="H179" i="60"/>
  <c r="H178" i="60"/>
  <c r="H177" i="60"/>
  <c r="H176" i="60"/>
  <c r="H175" i="60"/>
  <c r="H174" i="60"/>
  <c r="H173" i="60"/>
  <c r="H172" i="60"/>
  <c r="H171" i="60"/>
  <c r="H170" i="60"/>
  <c r="H169" i="60"/>
  <c r="H168" i="60"/>
  <c r="H167" i="60"/>
  <c r="H166" i="60"/>
  <c r="H165" i="60"/>
  <c r="H164" i="60"/>
  <c r="H163" i="60"/>
  <c r="H162" i="60"/>
  <c r="H161" i="60"/>
  <c r="H160" i="60"/>
  <c r="H159" i="60"/>
  <c r="H158" i="60"/>
  <c r="H157" i="60"/>
  <c r="H156" i="60"/>
  <c r="H155" i="60"/>
  <c r="H154" i="60"/>
  <c r="H153" i="60"/>
  <c r="H152" i="60"/>
  <c r="H151" i="60"/>
  <c r="H150" i="60"/>
  <c r="H149" i="60"/>
  <c r="H148" i="60"/>
  <c r="H147" i="60"/>
  <c r="H146" i="60"/>
  <c r="H145" i="60"/>
  <c r="H144" i="60"/>
  <c r="H143" i="60"/>
  <c r="H142" i="60"/>
  <c r="H141" i="60"/>
  <c r="H140" i="60"/>
  <c r="H139" i="60"/>
  <c r="H138" i="60"/>
  <c r="H137" i="60"/>
  <c r="H136" i="60"/>
  <c r="H135" i="60"/>
  <c r="H134" i="60"/>
  <c r="H133" i="60"/>
  <c r="H132" i="60"/>
  <c r="H131" i="60"/>
  <c r="H130" i="60"/>
  <c r="H129" i="60"/>
  <c r="H128" i="60"/>
  <c r="H127" i="60"/>
  <c r="H126" i="60"/>
  <c r="H125" i="60"/>
  <c r="H124" i="60"/>
  <c r="H123" i="60"/>
  <c r="H122" i="60"/>
  <c r="H121" i="60"/>
  <c r="H120" i="60"/>
  <c r="H119" i="60"/>
  <c r="H118" i="60"/>
  <c r="H117" i="60"/>
  <c r="H116" i="60"/>
  <c r="H115" i="60"/>
  <c r="H114" i="60"/>
  <c r="H113" i="60"/>
  <c r="H112" i="60"/>
  <c r="H111" i="60"/>
  <c r="H110" i="60"/>
  <c r="H109" i="60"/>
  <c r="H108" i="60"/>
  <c r="H107" i="60"/>
  <c r="H106" i="60"/>
  <c r="H105" i="60"/>
  <c r="H104" i="60"/>
  <c r="H103" i="60"/>
  <c r="H102" i="60"/>
  <c r="H101" i="60"/>
  <c r="H100" i="60"/>
  <c r="H99" i="60"/>
  <c r="H98" i="60"/>
  <c r="H97" i="60"/>
  <c r="H96" i="60"/>
  <c r="H95" i="60"/>
  <c r="H94" i="60"/>
  <c r="H93" i="60"/>
  <c r="H92" i="60"/>
  <c r="H91" i="60"/>
  <c r="H90" i="60"/>
  <c r="H89" i="60"/>
  <c r="H88" i="60"/>
  <c r="H87" i="60"/>
  <c r="H86" i="60"/>
  <c r="H85" i="60"/>
  <c r="H84" i="60"/>
  <c r="H83" i="60"/>
  <c r="H82" i="60"/>
  <c r="H81" i="60"/>
  <c r="H80" i="60"/>
  <c r="H79" i="60"/>
  <c r="H78" i="60"/>
  <c r="H77" i="60"/>
  <c r="H76" i="60"/>
  <c r="H75" i="60"/>
  <c r="H74" i="60"/>
  <c r="H73" i="60"/>
  <c r="H72" i="60"/>
  <c r="H71" i="60"/>
  <c r="H70" i="60"/>
  <c r="H69" i="60"/>
  <c r="H68" i="60"/>
  <c r="H67" i="60"/>
  <c r="H66" i="60"/>
  <c r="H65" i="60"/>
  <c r="H64" i="60"/>
  <c r="H63" i="60"/>
  <c r="H62" i="60"/>
  <c r="H61" i="60"/>
  <c r="H60" i="60"/>
  <c r="H59" i="60"/>
  <c r="H58" i="60"/>
  <c r="H57" i="60"/>
  <c r="H56" i="60"/>
  <c r="H55" i="60"/>
  <c r="H54" i="60"/>
  <c r="H53" i="60"/>
  <c r="H52" i="60"/>
  <c r="H51" i="60"/>
  <c r="H50" i="60"/>
  <c r="H49" i="60"/>
  <c r="H48" i="60"/>
  <c r="H47" i="60"/>
  <c r="H46" i="60"/>
  <c r="H45" i="60"/>
  <c r="H44" i="60"/>
  <c r="H43" i="60"/>
  <c r="H42" i="60"/>
  <c r="H41" i="60"/>
  <c r="H40" i="60"/>
  <c r="H39" i="60"/>
  <c r="H38" i="60"/>
  <c r="H37" i="60"/>
  <c r="H36" i="60"/>
  <c r="H35" i="60"/>
  <c r="H34" i="60"/>
  <c r="H33" i="60"/>
  <c r="H32" i="60"/>
  <c r="H31" i="60"/>
  <c r="H30" i="60"/>
  <c r="H29" i="60"/>
  <c r="H28" i="60"/>
  <c r="H27" i="60"/>
  <c r="H26" i="60"/>
  <c r="H25" i="60"/>
  <c r="H24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H8" i="60"/>
  <c r="H7" i="60"/>
  <c r="H6" i="60"/>
  <c r="H5" i="60"/>
  <c r="H4" i="60"/>
  <c r="H3" i="60"/>
  <c r="H2" i="60"/>
  <c r="H864" i="60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H3" i="65"/>
  <c r="H2" i="65"/>
  <c r="H3" i="59"/>
  <c r="H4" i="59"/>
  <c r="H5" i="59"/>
  <c r="H6" i="59"/>
  <c r="H7" i="59"/>
  <c r="H8" i="59"/>
  <c r="H9" i="59"/>
  <c r="H10" i="59"/>
  <c r="H11" i="59"/>
  <c r="H12" i="59"/>
  <c r="H13" i="59"/>
  <c r="H14" i="59"/>
  <c r="H15" i="59"/>
  <c r="H16" i="59"/>
  <c r="H17" i="59"/>
  <c r="H18" i="59"/>
  <c r="H19" i="59"/>
  <c r="H20" i="59"/>
  <c r="H21" i="59"/>
  <c r="H22" i="59"/>
  <c r="H23" i="59"/>
  <c r="H24" i="59"/>
  <c r="H25" i="59"/>
  <c r="H26" i="59"/>
  <c r="H27" i="59"/>
  <c r="H28" i="59"/>
  <c r="H29" i="59"/>
  <c r="H30" i="59"/>
  <c r="H31" i="59"/>
  <c r="H32" i="59"/>
  <c r="H33" i="59"/>
  <c r="H34" i="59"/>
  <c r="H35" i="59"/>
  <c r="H36" i="59"/>
  <c r="H37" i="59"/>
  <c r="H38" i="59"/>
  <c r="H39" i="59"/>
  <c r="H40" i="59"/>
  <c r="H41" i="59"/>
  <c r="H42" i="59"/>
  <c r="H43" i="59"/>
  <c r="H44" i="59"/>
  <c r="H45" i="59"/>
  <c r="H46" i="59"/>
  <c r="H47" i="59"/>
  <c r="H48" i="59"/>
  <c r="H49" i="59"/>
  <c r="H50" i="59"/>
  <c r="H51" i="59"/>
  <c r="H52" i="59"/>
  <c r="H53" i="59"/>
  <c r="H54" i="59"/>
  <c r="H55" i="59"/>
  <c r="H56" i="59"/>
  <c r="H57" i="59"/>
  <c r="H58" i="59"/>
  <c r="H59" i="59"/>
  <c r="H60" i="59"/>
  <c r="H61" i="59"/>
  <c r="H62" i="59"/>
  <c r="H63" i="59"/>
  <c r="H64" i="59"/>
  <c r="H65" i="59"/>
  <c r="H66" i="59"/>
  <c r="H67" i="59"/>
  <c r="H68" i="59"/>
  <c r="H69" i="59"/>
  <c r="H70" i="59"/>
  <c r="H71" i="59"/>
  <c r="H72" i="59"/>
  <c r="H73" i="59"/>
  <c r="H74" i="59"/>
  <c r="H75" i="59"/>
  <c r="H76" i="59"/>
  <c r="H77" i="59"/>
  <c r="H78" i="59"/>
  <c r="H79" i="59"/>
  <c r="H80" i="59"/>
  <c r="H81" i="59"/>
  <c r="H82" i="59"/>
  <c r="H83" i="59"/>
  <c r="H84" i="59"/>
  <c r="H85" i="59"/>
  <c r="H86" i="59"/>
  <c r="H87" i="59"/>
  <c r="H88" i="59"/>
  <c r="H89" i="59"/>
  <c r="H90" i="59"/>
  <c r="H91" i="59"/>
  <c r="H92" i="59"/>
  <c r="H93" i="59"/>
  <c r="H94" i="59"/>
  <c r="H95" i="59"/>
  <c r="H96" i="59"/>
  <c r="H97" i="59"/>
  <c r="H98" i="59"/>
  <c r="H99" i="59"/>
  <c r="H100" i="59"/>
  <c r="H101" i="59"/>
  <c r="H102" i="59"/>
  <c r="H103" i="59"/>
  <c r="H104" i="59"/>
  <c r="H105" i="59"/>
  <c r="H106" i="59"/>
  <c r="H107" i="59"/>
  <c r="H108" i="59"/>
  <c r="H109" i="59"/>
  <c r="H110" i="59"/>
  <c r="H111" i="59"/>
  <c r="H112" i="59"/>
  <c r="H113" i="59"/>
  <c r="H114" i="59"/>
  <c r="H115" i="59"/>
  <c r="H116" i="59"/>
  <c r="H117" i="59"/>
  <c r="H118" i="59"/>
  <c r="H119" i="59"/>
  <c r="H120" i="59"/>
  <c r="H121" i="59"/>
  <c r="H122" i="59"/>
  <c r="H123" i="59"/>
  <c r="H124" i="59"/>
  <c r="H125" i="59"/>
  <c r="H126" i="59"/>
  <c r="H127" i="59"/>
  <c r="H128" i="59"/>
  <c r="H129" i="59"/>
  <c r="H130" i="59"/>
  <c r="H131" i="59"/>
  <c r="H132" i="59"/>
  <c r="H133" i="59"/>
  <c r="H134" i="59"/>
  <c r="H135" i="59"/>
  <c r="H136" i="59"/>
  <c r="H137" i="59"/>
  <c r="H138" i="59"/>
  <c r="H139" i="59"/>
  <c r="H140" i="59"/>
  <c r="H141" i="59"/>
  <c r="H142" i="59"/>
  <c r="H143" i="59"/>
  <c r="H144" i="59"/>
  <c r="H145" i="59"/>
  <c r="H146" i="59"/>
  <c r="H147" i="59"/>
  <c r="H148" i="59"/>
  <c r="H149" i="59"/>
  <c r="H150" i="59"/>
  <c r="H151" i="59"/>
  <c r="H152" i="59"/>
  <c r="H153" i="59"/>
  <c r="H154" i="59"/>
  <c r="H155" i="59"/>
  <c r="H156" i="59"/>
  <c r="H157" i="59"/>
  <c r="H158" i="59"/>
  <c r="H159" i="59"/>
  <c r="H160" i="59"/>
  <c r="H161" i="59"/>
  <c r="H162" i="59"/>
  <c r="H163" i="59"/>
  <c r="H164" i="59"/>
  <c r="H165" i="59"/>
  <c r="H166" i="59"/>
  <c r="H167" i="59"/>
  <c r="H168" i="59"/>
  <c r="H169" i="59"/>
  <c r="H170" i="59"/>
  <c r="H171" i="59"/>
  <c r="H172" i="59"/>
  <c r="H173" i="59"/>
  <c r="H174" i="59"/>
  <c r="H175" i="59"/>
  <c r="H176" i="59"/>
  <c r="H177" i="59"/>
  <c r="H178" i="59"/>
  <c r="H179" i="59"/>
  <c r="H180" i="59"/>
  <c r="H181" i="59"/>
  <c r="H182" i="59"/>
  <c r="H183" i="59"/>
  <c r="H184" i="59"/>
  <c r="H185" i="59"/>
  <c r="H186" i="59"/>
  <c r="H187" i="59"/>
  <c r="H188" i="59"/>
  <c r="H189" i="59"/>
  <c r="H190" i="59"/>
  <c r="H191" i="59"/>
  <c r="H192" i="59"/>
  <c r="H193" i="59"/>
  <c r="H194" i="59"/>
  <c r="H195" i="59"/>
  <c r="H196" i="59"/>
  <c r="H197" i="59"/>
  <c r="H198" i="59"/>
  <c r="H199" i="59"/>
  <c r="H200" i="59"/>
  <c r="H201" i="59"/>
  <c r="H202" i="59"/>
  <c r="H203" i="59"/>
  <c r="H204" i="59"/>
  <c r="H205" i="59"/>
  <c r="H206" i="59"/>
  <c r="H207" i="59"/>
  <c r="H208" i="59"/>
  <c r="H209" i="59"/>
  <c r="H210" i="59"/>
  <c r="H211" i="59"/>
  <c r="H212" i="59"/>
  <c r="H213" i="59"/>
  <c r="H214" i="59"/>
  <c r="H215" i="59"/>
  <c r="H216" i="59"/>
  <c r="H217" i="59"/>
  <c r="H218" i="59"/>
  <c r="H219" i="59"/>
  <c r="H220" i="59"/>
  <c r="H221" i="59"/>
  <c r="H222" i="59"/>
  <c r="H223" i="59"/>
  <c r="H224" i="59"/>
  <c r="H225" i="59"/>
  <c r="H226" i="59"/>
  <c r="H227" i="59"/>
  <c r="H228" i="59"/>
  <c r="H229" i="59"/>
  <c r="H230" i="59"/>
  <c r="H231" i="59"/>
  <c r="H232" i="59"/>
  <c r="H233" i="59"/>
  <c r="H234" i="59"/>
  <c r="H235" i="59"/>
  <c r="H236" i="59"/>
  <c r="H237" i="59"/>
  <c r="H238" i="59"/>
  <c r="H239" i="59"/>
  <c r="H240" i="59"/>
  <c r="H241" i="59"/>
  <c r="H242" i="59"/>
  <c r="H243" i="59"/>
  <c r="H244" i="59"/>
  <c r="H245" i="59"/>
  <c r="H246" i="59"/>
  <c r="H247" i="59"/>
  <c r="H248" i="59"/>
  <c r="H249" i="59"/>
  <c r="H250" i="59"/>
  <c r="H251" i="59"/>
  <c r="H252" i="59"/>
  <c r="H253" i="59"/>
  <c r="H254" i="59"/>
  <c r="H255" i="59"/>
  <c r="H256" i="59"/>
  <c r="H257" i="59"/>
  <c r="H258" i="59"/>
  <c r="H259" i="59"/>
  <c r="H260" i="59"/>
  <c r="H261" i="59"/>
  <c r="H262" i="59"/>
  <c r="H263" i="59"/>
  <c r="H264" i="59"/>
  <c r="H265" i="59"/>
  <c r="H266" i="59"/>
  <c r="H267" i="59"/>
  <c r="H268" i="59"/>
  <c r="H269" i="59"/>
  <c r="H270" i="59"/>
  <c r="H271" i="59"/>
  <c r="H272" i="59"/>
  <c r="H273" i="59"/>
  <c r="H274" i="59"/>
  <c r="H275" i="59"/>
  <c r="H276" i="59"/>
  <c r="H277" i="59"/>
  <c r="H278" i="59"/>
  <c r="H279" i="59"/>
  <c r="H280" i="59"/>
  <c r="H281" i="59"/>
  <c r="H282" i="59"/>
  <c r="H283" i="59"/>
  <c r="H284" i="59"/>
  <c r="H285" i="59"/>
  <c r="H286" i="59"/>
  <c r="H287" i="59"/>
  <c r="H288" i="59"/>
  <c r="H289" i="59"/>
  <c r="H290" i="59"/>
  <c r="H291" i="59"/>
  <c r="H292" i="59"/>
  <c r="H293" i="59"/>
  <c r="H294" i="59"/>
  <c r="H295" i="59"/>
  <c r="H296" i="59"/>
  <c r="H297" i="59"/>
  <c r="H298" i="59"/>
  <c r="H299" i="59"/>
  <c r="H300" i="59"/>
  <c r="H301" i="59"/>
  <c r="H302" i="59"/>
  <c r="H303" i="59"/>
  <c r="H304" i="59"/>
  <c r="H305" i="59"/>
  <c r="H306" i="59"/>
  <c r="H307" i="59"/>
  <c r="H308" i="59"/>
  <c r="H309" i="59"/>
  <c r="H310" i="59"/>
  <c r="H311" i="59"/>
  <c r="H312" i="59"/>
  <c r="H313" i="59"/>
  <c r="H314" i="59"/>
  <c r="H315" i="59"/>
  <c r="H316" i="59"/>
  <c r="H317" i="59"/>
  <c r="H318" i="59"/>
  <c r="H319" i="59"/>
  <c r="H320" i="59"/>
  <c r="H321" i="59"/>
  <c r="H322" i="59"/>
  <c r="H323" i="59"/>
  <c r="H324" i="59"/>
  <c r="H325" i="59"/>
  <c r="H326" i="59"/>
  <c r="H327" i="59"/>
  <c r="H328" i="59"/>
  <c r="H329" i="59"/>
  <c r="H330" i="59"/>
  <c r="H331" i="59"/>
  <c r="H332" i="59"/>
  <c r="H333" i="59"/>
  <c r="H334" i="59"/>
  <c r="H335" i="59"/>
  <c r="H336" i="59"/>
  <c r="H337" i="59"/>
  <c r="H338" i="59"/>
  <c r="H339" i="59"/>
  <c r="H340" i="59"/>
  <c r="H341" i="59"/>
  <c r="H342" i="59"/>
  <c r="H343" i="59"/>
  <c r="H344" i="59"/>
  <c r="H345" i="59"/>
  <c r="H346" i="59"/>
  <c r="H347" i="59"/>
  <c r="H348" i="59"/>
  <c r="H349" i="59"/>
  <c r="H350" i="59"/>
  <c r="H351" i="59"/>
  <c r="H352" i="59"/>
  <c r="H353" i="59"/>
  <c r="H354" i="59"/>
  <c r="H355" i="59"/>
  <c r="H356" i="59"/>
  <c r="H357" i="59"/>
  <c r="H358" i="59"/>
  <c r="H359" i="59"/>
  <c r="H360" i="59"/>
  <c r="H361" i="59"/>
  <c r="H362" i="59"/>
  <c r="H363" i="59"/>
  <c r="H364" i="59"/>
  <c r="H365" i="59"/>
  <c r="H366" i="59"/>
  <c r="H367" i="59"/>
  <c r="H368" i="59"/>
  <c r="H369" i="59"/>
  <c r="H370" i="59"/>
  <c r="H371" i="59"/>
  <c r="H372" i="59"/>
  <c r="H373" i="59"/>
  <c r="H374" i="59"/>
  <c r="H375" i="59"/>
  <c r="H376" i="59"/>
  <c r="H377" i="59"/>
  <c r="H378" i="59"/>
  <c r="H379" i="59"/>
  <c r="H380" i="59"/>
  <c r="H381" i="59"/>
  <c r="H382" i="59"/>
  <c r="H383" i="59"/>
  <c r="H384" i="59"/>
  <c r="H385" i="59"/>
  <c r="H386" i="59"/>
  <c r="H387" i="59"/>
  <c r="H388" i="59"/>
  <c r="H389" i="59"/>
  <c r="H390" i="59"/>
  <c r="H391" i="59"/>
  <c r="H392" i="59"/>
  <c r="H393" i="59"/>
  <c r="H394" i="59"/>
  <c r="H395" i="59"/>
  <c r="H396" i="59"/>
  <c r="H397" i="59"/>
  <c r="H398" i="59"/>
  <c r="H399" i="59"/>
  <c r="H400" i="59"/>
  <c r="H401" i="59"/>
  <c r="H402" i="59"/>
  <c r="H403" i="59"/>
  <c r="H404" i="59"/>
  <c r="H405" i="59"/>
  <c r="H406" i="59"/>
  <c r="H407" i="59"/>
  <c r="H408" i="59"/>
  <c r="H409" i="59"/>
  <c r="H410" i="59"/>
  <c r="H411" i="59"/>
  <c r="H412" i="59"/>
  <c r="H413" i="59"/>
  <c r="H414" i="59"/>
  <c r="H415" i="59"/>
  <c r="H416" i="59"/>
  <c r="H417" i="59"/>
  <c r="H418" i="59"/>
  <c r="H419" i="59"/>
  <c r="H420" i="59"/>
  <c r="H421" i="59"/>
  <c r="H422" i="59"/>
  <c r="H423" i="59"/>
  <c r="H424" i="59"/>
  <c r="H425" i="59"/>
  <c r="H426" i="59"/>
  <c r="H427" i="59"/>
  <c r="H428" i="59"/>
  <c r="H429" i="59"/>
  <c r="H430" i="59"/>
  <c r="H431" i="59"/>
  <c r="H432" i="59"/>
  <c r="H433" i="59"/>
  <c r="H434" i="59"/>
  <c r="H435" i="59"/>
  <c r="H436" i="59"/>
  <c r="H437" i="59"/>
  <c r="H438" i="59"/>
  <c r="H439" i="59"/>
  <c r="H440" i="59"/>
  <c r="H441" i="59"/>
  <c r="H442" i="59"/>
  <c r="H443" i="59"/>
  <c r="H444" i="59"/>
  <c r="H445" i="59"/>
  <c r="H446" i="59"/>
  <c r="H447" i="59"/>
  <c r="H448" i="59"/>
  <c r="H449" i="59"/>
  <c r="H450" i="59"/>
  <c r="H451" i="59"/>
  <c r="H452" i="59"/>
  <c r="H453" i="59"/>
  <c r="H454" i="59"/>
  <c r="H455" i="59"/>
  <c r="H456" i="59"/>
  <c r="H457" i="59"/>
  <c r="H458" i="59"/>
  <c r="H459" i="59"/>
  <c r="H460" i="59"/>
  <c r="H461" i="59"/>
  <c r="H462" i="59"/>
  <c r="H463" i="59"/>
  <c r="H464" i="59"/>
  <c r="H465" i="59"/>
  <c r="H466" i="59"/>
  <c r="H467" i="59"/>
  <c r="H468" i="59"/>
  <c r="H469" i="59"/>
  <c r="H470" i="59"/>
  <c r="H471" i="59"/>
  <c r="H472" i="59"/>
  <c r="H473" i="59"/>
  <c r="H474" i="59"/>
  <c r="H475" i="59"/>
  <c r="H476" i="59"/>
  <c r="H477" i="59"/>
  <c r="H478" i="59"/>
  <c r="H479" i="59"/>
  <c r="H480" i="59"/>
  <c r="H481" i="59"/>
  <c r="H482" i="59"/>
  <c r="H483" i="59"/>
  <c r="H484" i="59"/>
  <c r="H485" i="59"/>
  <c r="H486" i="59"/>
  <c r="H487" i="59"/>
  <c r="H488" i="59"/>
  <c r="H489" i="59"/>
  <c r="H490" i="59"/>
  <c r="H491" i="59"/>
  <c r="H492" i="59"/>
  <c r="H493" i="59"/>
  <c r="H494" i="59"/>
  <c r="H495" i="59"/>
  <c r="H496" i="59"/>
  <c r="H497" i="59"/>
  <c r="H498" i="59"/>
  <c r="H499" i="59"/>
  <c r="H500" i="59"/>
  <c r="H501" i="59"/>
  <c r="H502" i="59"/>
  <c r="H503" i="59"/>
  <c r="H504" i="59"/>
  <c r="H505" i="59"/>
  <c r="H506" i="59"/>
  <c r="H507" i="59"/>
  <c r="H508" i="59"/>
  <c r="H509" i="59"/>
  <c r="H510" i="59"/>
  <c r="H511" i="59"/>
  <c r="H512" i="59"/>
  <c r="H513" i="59"/>
  <c r="H514" i="59"/>
  <c r="H515" i="59"/>
  <c r="H516" i="59"/>
  <c r="H517" i="59"/>
  <c r="H518" i="59"/>
  <c r="H519" i="59"/>
  <c r="H520" i="59"/>
  <c r="H521" i="59"/>
  <c r="H522" i="59"/>
  <c r="H523" i="59"/>
  <c r="H524" i="59"/>
  <c r="H525" i="59"/>
  <c r="H526" i="59"/>
  <c r="H527" i="59"/>
  <c r="H528" i="59"/>
  <c r="H529" i="59"/>
  <c r="H530" i="59"/>
  <c r="H531" i="59"/>
  <c r="H532" i="59"/>
  <c r="H533" i="59"/>
  <c r="H534" i="59"/>
  <c r="H535" i="59"/>
  <c r="H536" i="59"/>
  <c r="H537" i="59"/>
  <c r="H538" i="59"/>
  <c r="H539" i="59"/>
  <c r="H540" i="59"/>
  <c r="H541" i="59"/>
  <c r="H542" i="59"/>
  <c r="H543" i="59"/>
  <c r="H544" i="59"/>
  <c r="H545" i="59"/>
  <c r="H546" i="59"/>
  <c r="H547" i="59"/>
  <c r="H548" i="59"/>
  <c r="H549" i="59"/>
  <c r="H550" i="59"/>
  <c r="H551" i="59"/>
  <c r="H552" i="59"/>
  <c r="H553" i="59"/>
  <c r="H554" i="59"/>
  <c r="H555" i="59"/>
  <c r="H556" i="59"/>
  <c r="H557" i="59"/>
  <c r="H558" i="59"/>
  <c r="H559" i="59"/>
  <c r="H560" i="59"/>
  <c r="H561" i="59"/>
  <c r="H562" i="59"/>
  <c r="H563" i="59"/>
  <c r="H564" i="59"/>
  <c r="H565" i="59"/>
  <c r="H566" i="59"/>
  <c r="H567" i="59"/>
  <c r="H568" i="59"/>
  <c r="H569" i="59"/>
  <c r="H570" i="59"/>
  <c r="H571" i="59"/>
  <c r="H572" i="59"/>
  <c r="H573" i="59"/>
  <c r="H574" i="59"/>
  <c r="H575" i="59"/>
  <c r="H576" i="59"/>
  <c r="H577" i="59"/>
  <c r="H578" i="59"/>
  <c r="H579" i="59"/>
  <c r="H580" i="59"/>
  <c r="H581" i="59"/>
  <c r="H582" i="59"/>
  <c r="H583" i="59"/>
  <c r="H584" i="59"/>
  <c r="H585" i="59"/>
  <c r="H586" i="59"/>
  <c r="H587" i="59"/>
  <c r="H588" i="59"/>
  <c r="H589" i="59"/>
  <c r="H590" i="59"/>
  <c r="H591" i="59"/>
  <c r="H592" i="59"/>
  <c r="H593" i="59"/>
  <c r="H594" i="59"/>
  <c r="H595" i="59"/>
  <c r="H596" i="59"/>
  <c r="H597" i="59"/>
  <c r="H598" i="59"/>
  <c r="H599" i="59"/>
  <c r="H600" i="59"/>
  <c r="H601" i="59"/>
  <c r="H602" i="59"/>
  <c r="H603" i="59"/>
  <c r="H604" i="59"/>
  <c r="H605" i="59"/>
  <c r="H606" i="59"/>
  <c r="H607" i="59"/>
  <c r="H608" i="59"/>
  <c r="H609" i="59"/>
  <c r="H610" i="59"/>
  <c r="H611" i="59"/>
  <c r="H612" i="59"/>
  <c r="H613" i="59"/>
  <c r="H614" i="59"/>
  <c r="H615" i="59"/>
  <c r="H616" i="59"/>
  <c r="H617" i="59"/>
  <c r="H618" i="59"/>
  <c r="H619" i="59"/>
  <c r="H620" i="59"/>
  <c r="H621" i="59"/>
  <c r="H622" i="59"/>
  <c r="H623" i="59"/>
  <c r="H624" i="59"/>
  <c r="H625" i="59"/>
  <c r="H626" i="59"/>
  <c r="H627" i="59"/>
  <c r="H628" i="59"/>
  <c r="H629" i="59"/>
  <c r="H630" i="59"/>
  <c r="H631" i="59"/>
  <c r="H632" i="59"/>
  <c r="H633" i="59"/>
  <c r="H634" i="59"/>
  <c r="H635" i="59"/>
  <c r="H636" i="59"/>
  <c r="H637" i="59"/>
  <c r="H638" i="59"/>
  <c r="H639" i="59"/>
  <c r="H640" i="59"/>
  <c r="H641" i="59"/>
  <c r="H642" i="59"/>
  <c r="H643" i="59"/>
  <c r="H644" i="59"/>
  <c r="H645" i="59"/>
  <c r="H646" i="59"/>
  <c r="H647" i="59"/>
  <c r="H648" i="59"/>
  <c r="H649" i="59"/>
  <c r="H650" i="59"/>
  <c r="H651" i="59"/>
  <c r="H652" i="59"/>
  <c r="H653" i="59"/>
  <c r="H654" i="59"/>
  <c r="H655" i="59"/>
  <c r="H656" i="59"/>
  <c r="H657" i="59"/>
  <c r="H658" i="59"/>
  <c r="H659" i="59"/>
  <c r="H660" i="59"/>
  <c r="H661" i="59"/>
  <c r="H662" i="59"/>
  <c r="H663" i="59"/>
  <c r="H664" i="59"/>
  <c r="H665" i="59"/>
  <c r="H666" i="59"/>
  <c r="H667" i="59"/>
  <c r="H668" i="59"/>
  <c r="H669" i="59"/>
  <c r="H670" i="59"/>
  <c r="H671" i="59"/>
  <c r="H672" i="59"/>
  <c r="H673" i="59"/>
  <c r="H674" i="59"/>
  <c r="H675" i="59"/>
  <c r="H676" i="59"/>
  <c r="H677" i="59"/>
  <c r="H678" i="59"/>
  <c r="H679" i="59"/>
  <c r="H680" i="59"/>
  <c r="H681" i="59"/>
  <c r="H682" i="59"/>
  <c r="H683" i="59"/>
  <c r="H684" i="59"/>
  <c r="H685" i="59"/>
  <c r="H686" i="59"/>
  <c r="H687" i="59"/>
  <c r="H688" i="59"/>
  <c r="H689" i="59"/>
  <c r="H690" i="59"/>
  <c r="H691" i="59"/>
  <c r="H692" i="59"/>
  <c r="H693" i="59"/>
  <c r="H694" i="59"/>
  <c r="H695" i="59"/>
  <c r="H696" i="59"/>
  <c r="H697" i="59"/>
  <c r="H698" i="59"/>
  <c r="H699" i="59"/>
  <c r="H700" i="59"/>
  <c r="H701" i="59"/>
  <c r="H702" i="59"/>
  <c r="H703" i="59"/>
  <c r="H704" i="59"/>
  <c r="H705" i="59"/>
  <c r="H706" i="59"/>
  <c r="H707" i="59"/>
  <c r="H708" i="59"/>
  <c r="H709" i="59"/>
  <c r="H710" i="59"/>
  <c r="H711" i="59"/>
  <c r="H712" i="59"/>
  <c r="H713" i="59"/>
  <c r="H714" i="59"/>
  <c r="H715" i="59"/>
  <c r="H716" i="59"/>
  <c r="H717" i="59"/>
  <c r="H718" i="59"/>
  <c r="H719" i="59"/>
  <c r="H720" i="59"/>
  <c r="H721" i="59"/>
  <c r="H722" i="59"/>
  <c r="H723" i="59"/>
  <c r="H724" i="59"/>
  <c r="H725" i="59"/>
  <c r="H726" i="59"/>
  <c r="H727" i="59"/>
  <c r="H728" i="59"/>
  <c r="H729" i="59"/>
  <c r="H730" i="59"/>
  <c r="H731" i="59"/>
  <c r="H732" i="59"/>
  <c r="H733" i="59"/>
  <c r="H734" i="59"/>
  <c r="H735" i="59"/>
  <c r="H736" i="59"/>
  <c r="H737" i="59"/>
  <c r="H738" i="59"/>
  <c r="H739" i="59"/>
  <c r="H740" i="59"/>
  <c r="H741" i="59"/>
  <c r="H742" i="59"/>
  <c r="H743" i="59"/>
  <c r="H744" i="59"/>
  <c r="H745" i="59"/>
  <c r="H746" i="59"/>
  <c r="H747" i="59"/>
  <c r="H748" i="59"/>
  <c r="H749" i="59"/>
  <c r="H750" i="59"/>
  <c r="H751" i="59"/>
  <c r="H752" i="59"/>
  <c r="H753" i="59"/>
  <c r="H754" i="59"/>
  <c r="H755" i="59"/>
  <c r="H756" i="59"/>
  <c r="H757" i="59"/>
  <c r="H758" i="59"/>
  <c r="H759" i="59"/>
  <c r="H760" i="59"/>
  <c r="H761" i="59"/>
  <c r="H762" i="59"/>
  <c r="H763" i="59"/>
  <c r="H764" i="59"/>
  <c r="H765" i="59"/>
  <c r="H766" i="59"/>
  <c r="H767" i="59"/>
  <c r="H768" i="59"/>
  <c r="H769" i="59"/>
  <c r="H770" i="59"/>
  <c r="H771" i="59"/>
  <c r="H772" i="59"/>
  <c r="H773" i="59"/>
  <c r="H774" i="59"/>
  <c r="H775" i="59"/>
  <c r="H776" i="59"/>
  <c r="H777" i="59"/>
  <c r="H778" i="59"/>
  <c r="H779" i="59"/>
  <c r="H780" i="59"/>
  <c r="H781" i="59"/>
  <c r="H782" i="59"/>
  <c r="H783" i="59"/>
  <c r="H784" i="59"/>
  <c r="H785" i="59"/>
  <c r="H786" i="59"/>
  <c r="H787" i="59"/>
  <c r="H788" i="59"/>
  <c r="H789" i="59"/>
  <c r="H790" i="59"/>
  <c r="H791" i="59"/>
  <c r="H792" i="59"/>
  <c r="H793" i="59"/>
  <c r="H794" i="59"/>
  <c r="H795" i="59"/>
  <c r="H796" i="59"/>
  <c r="H797" i="59"/>
  <c r="H798" i="59"/>
  <c r="H799" i="59"/>
  <c r="H800" i="59"/>
  <c r="H801" i="59"/>
  <c r="H802" i="59"/>
  <c r="H803" i="59"/>
  <c r="H804" i="59"/>
  <c r="H805" i="59"/>
  <c r="H806" i="59"/>
  <c r="H807" i="59"/>
  <c r="H808" i="59"/>
  <c r="H809" i="59"/>
  <c r="H810" i="59"/>
  <c r="H811" i="59"/>
  <c r="H812" i="59"/>
  <c r="H813" i="59"/>
  <c r="H814" i="59"/>
  <c r="H815" i="59"/>
  <c r="H816" i="59"/>
  <c r="H817" i="59"/>
  <c r="H818" i="59"/>
  <c r="H819" i="59"/>
  <c r="H820" i="59"/>
  <c r="H821" i="59"/>
  <c r="H822" i="59"/>
  <c r="H823" i="59"/>
  <c r="H824" i="59"/>
  <c r="H825" i="59"/>
  <c r="H826" i="59"/>
  <c r="H827" i="59"/>
  <c r="H828" i="59"/>
  <c r="H829" i="59"/>
  <c r="H830" i="59"/>
  <c r="H831" i="59"/>
  <c r="H832" i="59"/>
  <c r="H833" i="59"/>
  <c r="H834" i="59"/>
  <c r="H835" i="59"/>
  <c r="H836" i="59"/>
  <c r="H837" i="59"/>
  <c r="H838" i="59"/>
  <c r="H839" i="59"/>
  <c r="H840" i="59"/>
  <c r="H841" i="59"/>
  <c r="H842" i="59"/>
  <c r="H843" i="59"/>
  <c r="H844" i="59"/>
  <c r="H845" i="59"/>
  <c r="H846" i="59"/>
  <c r="H847" i="59"/>
  <c r="H848" i="59"/>
  <c r="H849" i="59"/>
  <c r="H850" i="59"/>
  <c r="H851" i="59"/>
  <c r="H852" i="59"/>
  <c r="H853" i="59"/>
  <c r="H854" i="59"/>
  <c r="H855" i="59"/>
  <c r="H856" i="59"/>
  <c r="H857" i="59"/>
  <c r="H858" i="59"/>
  <c r="H859" i="59"/>
  <c r="H860" i="59"/>
  <c r="H861" i="59"/>
  <c r="H862" i="59"/>
  <c r="H863" i="59"/>
  <c r="H864" i="59"/>
  <c r="H865" i="59"/>
  <c r="H866" i="59"/>
  <c r="H867" i="59"/>
  <c r="H868" i="59"/>
  <c r="H869" i="59"/>
  <c r="H870" i="59"/>
  <c r="H871" i="59"/>
  <c r="H872" i="59"/>
  <c r="H873" i="59"/>
  <c r="H874" i="59"/>
  <c r="H875" i="59"/>
  <c r="H876" i="59"/>
  <c r="H877" i="59"/>
  <c r="H878" i="59"/>
  <c r="H879" i="59"/>
  <c r="H880" i="59"/>
  <c r="H881" i="59"/>
  <c r="H882" i="59"/>
  <c r="H883" i="59"/>
  <c r="H884" i="59"/>
  <c r="H885" i="59"/>
  <c r="H886" i="59"/>
  <c r="H887" i="59"/>
  <c r="H888" i="59"/>
  <c r="H889" i="59"/>
  <c r="H890" i="59"/>
  <c r="H891" i="59"/>
  <c r="H892" i="59"/>
  <c r="H893" i="59"/>
  <c r="H894" i="59"/>
  <c r="H895" i="59"/>
  <c r="H896" i="59"/>
  <c r="H897" i="59"/>
  <c r="H898" i="59"/>
  <c r="H899" i="59"/>
  <c r="H900" i="59"/>
  <c r="H901" i="59"/>
  <c r="H902" i="59"/>
  <c r="H903" i="59"/>
  <c r="H904" i="59"/>
  <c r="H905" i="59"/>
  <c r="H906" i="59"/>
  <c r="H907" i="59"/>
  <c r="H908" i="59"/>
  <c r="H909" i="59"/>
  <c r="H910" i="59"/>
  <c r="H911" i="59"/>
  <c r="H912" i="59"/>
  <c r="H913" i="59"/>
  <c r="H914" i="59"/>
  <c r="H915" i="59"/>
  <c r="H916" i="59"/>
  <c r="H917" i="59"/>
  <c r="H918" i="59"/>
  <c r="H919" i="59"/>
  <c r="H920" i="59"/>
  <c r="H921" i="59"/>
  <c r="H922" i="59"/>
  <c r="H923" i="59"/>
  <c r="H924" i="59"/>
  <c r="H925" i="59"/>
  <c r="H926" i="59"/>
  <c r="H927" i="59"/>
  <c r="H928" i="59"/>
  <c r="H929" i="59"/>
  <c r="H930" i="59"/>
  <c r="H931" i="59"/>
  <c r="H932" i="59"/>
  <c r="H933" i="59"/>
  <c r="H934" i="59"/>
  <c r="H935" i="59"/>
  <c r="H936" i="59"/>
  <c r="H937" i="59"/>
  <c r="H938" i="59"/>
  <c r="H939" i="59"/>
  <c r="H940" i="59"/>
  <c r="H941" i="59"/>
  <c r="H942" i="59"/>
  <c r="H943" i="59"/>
  <c r="H944" i="59"/>
  <c r="H945" i="59"/>
  <c r="H946" i="59"/>
  <c r="H947" i="59"/>
  <c r="H948" i="59"/>
  <c r="H949" i="59"/>
  <c r="H950" i="59"/>
  <c r="H951" i="59"/>
  <c r="H952" i="59"/>
  <c r="H953" i="59"/>
  <c r="H954" i="59"/>
  <c r="H955" i="59"/>
  <c r="H956" i="59"/>
  <c r="H957" i="59"/>
  <c r="H958" i="59"/>
  <c r="H959" i="59"/>
  <c r="H960" i="59"/>
  <c r="H961" i="59"/>
  <c r="H962" i="59"/>
  <c r="H963" i="59"/>
  <c r="H964" i="59"/>
  <c r="H965" i="59"/>
  <c r="H966" i="59"/>
  <c r="H967" i="59"/>
  <c r="H968" i="59"/>
  <c r="H969" i="59"/>
  <c r="H970" i="59"/>
  <c r="H971" i="59"/>
  <c r="H972" i="59"/>
  <c r="H973" i="59"/>
  <c r="H974" i="59"/>
  <c r="H975" i="59"/>
  <c r="H976" i="59"/>
  <c r="H977" i="59"/>
  <c r="H978" i="59"/>
  <c r="H979" i="59"/>
  <c r="H980" i="59"/>
  <c r="H981" i="59"/>
  <c r="H982" i="59"/>
  <c r="H983" i="59"/>
  <c r="H984" i="59"/>
  <c r="H985" i="59"/>
  <c r="H986" i="59"/>
  <c r="H987" i="59"/>
  <c r="H988" i="59"/>
  <c r="H989" i="59"/>
  <c r="H990" i="59"/>
  <c r="H991" i="59"/>
  <c r="H992" i="59"/>
  <c r="H993" i="59"/>
  <c r="H994" i="59"/>
  <c r="H995" i="59"/>
  <c r="H996" i="59"/>
  <c r="H997" i="59"/>
  <c r="H998" i="59"/>
  <c r="H999" i="59"/>
  <c r="H1000" i="59"/>
  <c r="H1001" i="59"/>
  <c r="H1002" i="59"/>
  <c r="H1003" i="59"/>
  <c r="H1004" i="59"/>
  <c r="H1005" i="59"/>
  <c r="H1006" i="59"/>
  <c r="H1007" i="59"/>
  <c r="H1008" i="59"/>
  <c r="H1009" i="59"/>
  <c r="H1010" i="59"/>
  <c r="H1011" i="59"/>
  <c r="H1012" i="59"/>
  <c r="H1013" i="59"/>
  <c r="H1014" i="59"/>
  <c r="H1015" i="59"/>
  <c r="H1016" i="59"/>
  <c r="H1017" i="59"/>
  <c r="H1018" i="59"/>
  <c r="H1019" i="59"/>
  <c r="H1020" i="59"/>
  <c r="H1021" i="59"/>
  <c r="H1022" i="59"/>
  <c r="H1023" i="59"/>
  <c r="H1024" i="59"/>
  <c r="H1025" i="59"/>
  <c r="H1026" i="59"/>
  <c r="H1027" i="59"/>
  <c r="H1028" i="59"/>
  <c r="H1029" i="59"/>
  <c r="H1030" i="59"/>
  <c r="H1031" i="59"/>
  <c r="H1032" i="59"/>
  <c r="H1033" i="59"/>
  <c r="H1034" i="59"/>
  <c r="H1035" i="59"/>
  <c r="H1036" i="59"/>
  <c r="H1037" i="59"/>
  <c r="H1038" i="59"/>
  <c r="H1039" i="59"/>
  <c r="H1040" i="59"/>
  <c r="H1041" i="59"/>
  <c r="H1042" i="59"/>
  <c r="H1043" i="59"/>
  <c r="H1044" i="59"/>
  <c r="H1045" i="59"/>
  <c r="H1046" i="59"/>
  <c r="H1047" i="59"/>
  <c r="H1048" i="59"/>
  <c r="H1049" i="59"/>
  <c r="H1050" i="59"/>
  <c r="H1051" i="59"/>
  <c r="H1052" i="59"/>
  <c r="H1053" i="59"/>
  <c r="H1054" i="59"/>
  <c r="H1055" i="59"/>
  <c r="H1056" i="59"/>
  <c r="H1057" i="59"/>
  <c r="H1058" i="59"/>
  <c r="H1059" i="59"/>
  <c r="H1060" i="59"/>
  <c r="H1061" i="59"/>
  <c r="H1062" i="59"/>
  <c r="H1063" i="59"/>
  <c r="H1064" i="59"/>
  <c r="H1065" i="59"/>
  <c r="H1066" i="59"/>
  <c r="H1067" i="59"/>
  <c r="H1068" i="59"/>
  <c r="H1069" i="59"/>
  <c r="H1070" i="59"/>
  <c r="H1071" i="59"/>
  <c r="H1072" i="59"/>
  <c r="H1073" i="59"/>
  <c r="H1074" i="59"/>
  <c r="H1075" i="59"/>
  <c r="H1076" i="59"/>
  <c r="H1077" i="59"/>
  <c r="H1078" i="59"/>
  <c r="H1079" i="59"/>
  <c r="H1080" i="59"/>
  <c r="H1081" i="59"/>
  <c r="H1082" i="59"/>
  <c r="H1083" i="59"/>
  <c r="H1084" i="59"/>
  <c r="H1085" i="59"/>
  <c r="H1086" i="59"/>
  <c r="H1087" i="59"/>
  <c r="H1088" i="59"/>
  <c r="H1089" i="59"/>
  <c r="H1090" i="59"/>
  <c r="H1091" i="59"/>
  <c r="H1092" i="59"/>
  <c r="H1093" i="59"/>
  <c r="H1094" i="59"/>
  <c r="H1095" i="59"/>
  <c r="H1096" i="59"/>
  <c r="H1097" i="59"/>
  <c r="H1098" i="59"/>
  <c r="H1099" i="59"/>
  <c r="H1100" i="59"/>
  <c r="H1101" i="59"/>
  <c r="H1102" i="59"/>
  <c r="H1103" i="59"/>
  <c r="H1104" i="59"/>
  <c r="H1105" i="59"/>
  <c r="H1106" i="59"/>
  <c r="H1107" i="59"/>
  <c r="H1108" i="59"/>
  <c r="H1109" i="59"/>
  <c r="H1110" i="59"/>
  <c r="H1111" i="59"/>
  <c r="H1112" i="59"/>
  <c r="H1113" i="59"/>
  <c r="H1114" i="59"/>
  <c r="H1115" i="59"/>
  <c r="H1116" i="59"/>
  <c r="H1117" i="59"/>
  <c r="H1118" i="59"/>
  <c r="H1119" i="59"/>
  <c r="H1120" i="59"/>
  <c r="H1121" i="59"/>
  <c r="H1122" i="59"/>
  <c r="H1123" i="59"/>
  <c r="H1124" i="59"/>
  <c r="H1125" i="59"/>
  <c r="H1126" i="59"/>
  <c r="H1127" i="59"/>
  <c r="H1128" i="59"/>
  <c r="H1129" i="59"/>
  <c r="H1130" i="59"/>
  <c r="H1131" i="59"/>
  <c r="H1132" i="59"/>
  <c r="H1133" i="59"/>
  <c r="H1134" i="59"/>
  <c r="H1135" i="59"/>
  <c r="H1136" i="59"/>
  <c r="H1137" i="59"/>
  <c r="H1138" i="59"/>
  <c r="H1139" i="59"/>
  <c r="H1140" i="59"/>
  <c r="H1141" i="59"/>
  <c r="H1142" i="59"/>
  <c r="H1143" i="59"/>
  <c r="H1144" i="59"/>
  <c r="H1145" i="59"/>
  <c r="H1146" i="59"/>
  <c r="H1147" i="59"/>
  <c r="H1148" i="59"/>
  <c r="H1149" i="59"/>
  <c r="H1150" i="59"/>
  <c r="H1151" i="59"/>
  <c r="H1152" i="59"/>
  <c r="H1153" i="59"/>
  <c r="H1154" i="59"/>
  <c r="H1155" i="59"/>
  <c r="H1156" i="59"/>
  <c r="H1157" i="59"/>
  <c r="H1158" i="59"/>
  <c r="H1159" i="59"/>
  <c r="H1160" i="59"/>
  <c r="H1161" i="59"/>
  <c r="H1162" i="59"/>
  <c r="H1163" i="59"/>
  <c r="H1164" i="59"/>
  <c r="H1165" i="59"/>
  <c r="H1166" i="59"/>
  <c r="H1167" i="59"/>
  <c r="H1168" i="59"/>
  <c r="H1169" i="59"/>
  <c r="H1170" i="59"/>
  <c r="H1171" i="59"/>
  <c r="H1172" i="59"/>
  <c r="H1173" i="59"/>
  <c r="H1174" i="59"/>
  <c r="H1175" i="59"/>
  <c r="H1176" i="59"/>
  <c r="H1177" i="59"/>
  <c r="H1178" i="59"/>
  <c r="H1179" i="59"/>
  <c r="H1180" i="59"/>
  <c r="H1181" i="59"/>
  <c r="H1182" i="59"/>
  <c r="H1183" i="59"/>
  <c r="H1184" i="59"/>
  <c r="H1185" i="59"/>
  <c r="H1186" i="59"/>
  <c r="H1187" i="59"/>
  <c r="H1188" i="59"/>
  <c r="H1189" i="59"/>
  <c r="H1190" i="59"/>
  <c r="H1191" i="59"/>
  <c r="H1192" i="59"/>
  <c r="H1193" i="59"/>
  <c r="H1194" i="59"/>
  <c r="H1195" i="59"/>
  <c r="H1196" i="59"/>
  <c r="H1197" i="59"/>
  <c r="H1198" i="59"/>
  <c r="H1199" i="59"/>
  <c r="H1200" i="59"/>
  <c r="H1201" i="59"/>
  <c r="H1202" i="59"/>
  <c r="H1203" i="59"/>
  <c r="H1204" i="59"/>
  <c r="H1205" i="59"/>
  <c r="H1206" i="59"/>
  <c r="H1207" i="59"/>
  <c r="H1208" i="59"/>
  <c r="H1209" i="59"/>
  <c r="H1210" i="59"/>
  <c r="H1211" i="59"/>
  <c r="H1212" i="59"/>
  <c r="H1213" i="59"/>
  <c r="H1214" i="59"/>
  <c r="H1215" i="59"/>
  <c r="H1216" i="59"/>
  <c r="H1217" i="59"/>
  <c r="H1218" i="59"/>
  <c r="H1219" i="59"/>
  <c r="H1220" i="59"/>
  <c r="H1221" i="59"/>
  <c r="H1222" i="59"/>
  <c r="H1223" i="59"/>
  <c r="H1224" i="59"/>
  <c r="H1225" i="59"/>
  <c r="H1226" i="59"/>
  <c r="H1227" i="59"/>
  <c r="H1228" i="59"/>
  <c r="H1229" i="59"/>
  <c r="H1230" i="59"/>
  <c r="H1231" i="59"/>
  <c r="H1232" i="59"/>
  <c r="H1233" i="59"/>
  <c r="H1234" i="59"/>
  <c r="H1235" i="59"/>
  <c r="H1236" i="59"/>
  <c r="H1237" i="59"/>
  <c r="H1238" i="59"/>
  <c r="H1239" i="59"/>
  <c r="H1240" i="59"/>
  <c r="H1241" i="59"/>
  <c r="H1242" i="59"/>
  <c r="H1243" i="59"/>
  <c r="H1244" i="59"/>
  <c r="H1245" i="59"/>
  <c r="H1246" i="59"/>
  <c r="H1247" i="59"/>
  <c r="H1248" i="59"/>
  <c r="H1249" i="59"/>
  <c r="H1250" i="59"/>
  <c r="H1251" i="59"/>
  <c r="H1252" i="59"/>
  <c r="H1253" i="59"/>
  <c r="H1254" i="59"/>
  <c r="H1255" i="59"/>
  <c r="H1256" i="59"/>
  <c r="H1257" i="59"/>
  <c r="H1258" i="59"/>
  <c r="H1259" i="59"/>
  <c r="H1260" i="59"/>
  <c r="H1261" i="59"/>
  <c r="H1262" i="59"/>
  <c r="H1263" i="59"/>
  <c r="H1264" i="59"/>
  <c r="H1265" i="59"/>
  <c r="H1266" i="59"/>
  <c r="H1267" i="59"/>
  <c r="H1268" i="59"/>
  <c r="H1269" i="59"/>
  <c r="H1270" i="59"/>
  <c r="H1271" i="59"/>
  <c r="H1272" i="59"/>
  <c r="H1273" i="59"/>
  <c r="H1274" i="59"/>
  <c r="H1275" i="59"/>
  <c r="H1276" i="59"/>
  <c r="H1277" i="59"/>
  <c r="H1278" i="59"/>
  <c r="H1279" i="59"/>
  <c r="H1280" i="59"/>
  <c r="H1281" i="59"/>
  <c r="H1282" i="59"/>
  <c r="H1283" i="59"/>
  <c r="H1284" i="59"/>
  <c r="H1285" i="59"/>
  <c r="H1286" i="59"/>
  <c r="H1287" i="59"/>
  <c r="H1288" i="59"/>
  <c r="H1289" i="59"/>
  <c r="H1290" i="59"/>
  <c r="H1291" i="59"/>
  <c r="H1292" i="59"/>
  <c r="H1293" i="59"/>
  <c r="H1294" i="59"/>
  <c r="H1295" i="59"/>
  <c r="H1296" i="59"/>
  <c r="H1297" i="59"/>
  <c r="H1298" i="59"/>
  <c r="H1299" i="59"/>
  <c r="H1300" i="59"/>
  <c r="H1301" i="59"/>
  <c r="H1302" i="59"/>
  <c r="H1303" i="59"/>
  <c r="H1304" i="59"/>
  <c r="H1305" i="59"/>
  <c r="H1306" i="59"/>
  <c r="H1307" i="59"/>
  <c r="H1308" i="59"/>
  <c r="H1309" i="59"/>
  <c r="H1310" i="59"/>
  <c r="H1311" i="59"/>
  <c r="H1312" i="59"/>
  <c r="H1313" i="59"/>
  <c r="H1314" i="59"/>
  <c r="H1315" i="59"/>
  <c r="H1316" i="59"/>
  <c r="H1317" i="59"/>
  <c r="H1318" i="59"/>
  <c r="H1319" i="59"/>
  <c r="H1320" i="59"/>
  <c r="H1321" i="59"/>
  <c r="H1322" i="59"/>
  <c r="H1323" i="59"/>
  <c r="H1324" i="59"/>
  <c r="H1325" i="59"/>
  <c r="H1326" i="59"/>
  <c r="H1327" i="59"/>
  <c r="H1328" i="59"/>
  <c r="H1329" i="59"/>
  <c r="H1330" i="59"/>
  <c r="H1331" i="59"/>
  <c r="H1332" i="59"/>
  <c r="H1333" i="59"/>
  <c r="H1334" i="59"/>
  <c r="H1335" i="59"/>
  <c r="H1336" i="59"/>
  <c r="H1337" i="59"/>
  <c r="H1338" i="59"/>
  <c r="H1339" i="59"/>
  <c r="H1340" i="59"/>
  <c r="H1341" i="59"/>
  <c r="H1342" i="59"/>
  <c r="H1343" i="59"/>
  <c r="H1344" i="59"/>
  <c r="H1345" i="59"/>
  <c r="H1346" i="59"/>
  <c r="H1347" i="59"/>
  <c r="H1348" i="59"/>
  <c r="H1349" i="59"/>
  <c r="H1350" i="59"/>
  <c r="H1351" i="59"/>
  <c r="H1352" i="59"/>
  <c r="H1353" i="59"/>
  <c r="H1354" i="59"/>
  <c r="H1355" i="59"/>
  <c r="H1356" i="59"/>
  <c r="H1357" i="59"/>
  <c r="H1358" i="59"/>
  <c r="H1359" i="59"/>
  <c r="H1360" i="59"/>
  <c r="H1361" i="59"/>
  <c r="H1362" i="59"/>
  <c r="H1363" i="59"/>
  <c r="H1364" i="59"/>
  <c r="H1365" i="59"/>
  <c r="H1366" i="59"/>
  <c r="H1367" i="59"/>
  <c r="H1368" i="59"/>
  <c r="H1369" i="59"/>
  <c r="H1370" i="59"/>
  <c r="H1371" i="59"/>
  <c r="H1372" i="59"/>
  <c r="H1373" i="59"/>
  <c r="H1374" i="59"/>
  <c r="H1375" i="59"/>
  <c r="H1376" i="59"/>
  <c r="H1377" i="59"/>
  <c r="H1378" i="59"/>
  <c r="H1379" i="59"/>
  <c r="H1380" i="59"/>
  <c r="H1381" i="59"/>
  <c r="H1382" i="59"/>
  <c r="H1383" i="59"/>
  <c r="H1384" i="59"/>
  <c r="H1385" i="59"/>
  <c r="H1386" i="59"/>
  <c r="H1387" i="59"/>
  <c r="H1388" i="59"/>
  <c r="H1389" i="59"/>
  <c r="H1390" i="59"/>
  <c r="H1391" i="59"/>
  <c r="H1392" i="59"/>
  <c r="H1393" i="59"/>
  <c r="H1394" i="59"/>
  <c r="H1395" i="59"/>
  <c r="H1396" i="59"/>
  <c r="H1397" i="59"/>
  <c r="H1398" i="59"/>
  <c r="H1399" i="59"/>
  <c r="H1400" i="59"/>
  <c r="H1401" i="59"/>
  <c r="H1402" i="59"/>
  <c r="H1403" i="59"/>
  <c r="H1404" i="59"/>
  <c r="H1405" i="59"/>
  <c r="H1406" i="59"/>
  <c r="H1407" i="59"/>
  <c r="H1408" i="59"/>
  <c r="H1409" i="59"/>
  <c r="H1410" i="59"/>
  <c r="H1411" i="59"/>
  <c r="H1412" i="59"/>
  <c r="H1413" i="59"/>
  <c r="H1414" i="59"/>
  <c r="H1415" i="59"/>
  <c r="H1416" i="59"/>
  <c r="H1417" i="59"/>
  <c r="H1418" i="59"/>
  <c r="H1419" i="59"/>
  <c r="H1420" i="59"/>
  <c r="H1421" i="59"/>
  <c r="H1422" i="59"/>
  <c r="H1423" i="59"/>
  <c r="H1424" i="59"/>
  <c r="H1425" i="59"/>
  <c r="H1426" i="59"/>
  <c r="H1427" i="59"/>
  <c r="H1428" i="59"/>
  <c r="H1429" i="59"/>
  <c r="H1430" i="59"/>
  <c r="H1431" i="59"/>
  <c r="H1432" i="59"/>
  <c r="H1433" i="59"/>
  <c r="H1434" i="59"/>
  <c r="H1435" i="59"/>
  <c r="H1436" i="59"/>
  <c r="H1437" i="59"/>
  <c r="H1438" i="59"/>
  <c r="H1439" i="59"/>
  <c r="H1440" i="59"/>
  <c r="H1441" i="59"/>
  <c r="H1442" i="59"/>
  <c r="H1443" i="59"/>
  <c r="H1444" i="59"/>
  <c r="H1445" i="59"/>
  <c r="H1446" i="59"/>
  <c r="H1447" i="59"/>
  <c r="H1448" i="59"/>
  <c r="H1449" i="59"/>
  <c r="H1450" i="59"/>
  <c r="H1451" i="59"/>
  <c r="H1452" i="59"/>
  <c r="H1453" i="59"/>
  <c r="H1454" i="59"/>
  <c r="H1455" i="59"/>
  <c r="H1456" i="59"/>
  <c r="H1457" i="59"/>
  <c r="H1458" i="59"/>
  <c r="H1459" i="59"/>
  <c r="H1460" i="59"/>
  <c r="H1461" i="59"/>
  <c r="H1462" i="59"/>
  <c r="H1463" i="59"/>
  <c r="H1464" i="59"/>
  <c r="H1465" i="59"/>
  <c r="H1466" i="59"/>
  <c r="H1467" i="59"/>
  <c r="H1468" i="59"/>
  <c r="H1469" i="59"/>
  <c r="H1470" i="59"/>
  <c r="H1471" i="59"/>
  <c r="H1472" i="59"/>
  <c r="H1473" i="59"/>
  <c r="H1474" i="59"/>
  <c r="H1475" i="59"/>
  <c r="H1476" i="59"/>
  <c r="H1477" i="59"/>
  <c r="H1478" i="59"/>
  <c r="H1479" i="59"/>
  <c r="H1480" i="59"/>
  <c r="H1481" i="59"/>
  <c r="H1482" i="59"/>
  <c r="H1483" i="59"/>
  <c r="H1484" i="59"/>
  <c r="H1485" i="59"/>
  <c r="H1486" i="59"/>
  <c r="H1487" i="59"/>
  <c r="H1488" i="59"/>
  <c r="H1489" i="59"/>
  <c r="H1490" i="59"/>
  <c r="H1491" i="59"/>
  <c r="H1492" i="59"/>
  <c r="H1493" i="59"/>
  <c r="H1494" i="59"/>
  <c r="H1495" i="59"/>
  <c r="H1496" i="59"/>
  <c r="H1497" i="59"/>
  <c r="H1498" i="59"/>
  <c r="H1499" i="59"/>
  <c r="H1500" i="59"/>
  <c r="H1501" i="59"/>
  <c r="H1502" i="59"/>
  <c r="H1503" i="59"/>
  <c r="H1504" i="59"/>
  <c r="H1505" i="59"/>
  <c r="H1506" i="59"/>
  <c r="H1507" i="59"/>
  <c r="H1508" i="59"/>
  <c r="H1509" i="59"/>
  <c r="H1510" i="59"/>
  <c r="H1511" i="59"/>
  <c r="H1512" i="59"/>
  <c r="H1513" i="59"/>
  <c r="H1514" i="59"/>
  <c r="H1515" i="59"/>
  <c r="H1516" i="59"/>
  <c r="H1517" i="59"/>
  <c r="H1518" i="59"/>
  <c r="H1519" i="59"/>
  <c r="H1520" i="59"/>
  <c r="H1521" i="59"/>
  <c r="H1522" i="59"/>
  <c r="H1523" i="59"/>
  <c r="H1524" i="59"/>
  <c r="H1525" i="59"/>
  <c r="H1526" i="59"/>
  <c r="H1527" i="59"/>
  <c r="H1528" i="59"/>
  <c r="H1529" i="59"/>
  <c r="H1530" i="59"/>
  <c r="H1531" i="59"/>
  <c r="H1532" i="59"/>
  <c r="H1533" i="59"/>
  <c r="H1534" i="59"/>
  <c r="H1535" i="59"/>
  <c r="H1536" i="59"/>
  <c r="H1537" i="59"/>
  <c r="H1538" i="59"/>
  <c r="H1539" i="59"/>
  <c r="H1540" i="59"/>
  <c r="H1541" i="59"/>
  <c r="H1542" i="59"/>
  <c r="H1543" i="59"/>
  <c r="H1544" i="59"/>
  <c r="H1545" i="59"/>
  <c r="H1546" i="59"/>
  <c r="H1547" i="59"/>
  <c r="H1548" i="59"/>
  <c r="H1549" i="59"/>
  <c r="H1550" i="59"/>
  <c r="H1551" i="59"/>
  <c r="H1552" i="59"/>
  <c r="H1553" i="59"/>
  <c r="H1554" i="59"/>
  <c r="H1555" i="59"/>
  <c r="H1556" i="59"/>
  <c r="H1557" i="59"/>
  <c r="H1558" i="59"/>
  <c r="H1559" i="59"/>
  <c r="H1560" i="59"/>
  <c r="H1561" i="59"/>
  <c r="H1562" i="59"/>
  <c r="H1563" i="59"/>
  <c r="H1564" i="59"/>
  <c r="H1565" i="59"/>
  <c r="H1566" i="59"/>
  <c r="H1567" i="59"/>
  <c r="H1568" i="59"/>
  <c r="H1569" i="59"/>
  <c r="H1570" i="59"/>
  <c r="H1571" i="59"/>
  <c r="H1572" i="59"/>
  <c r="H1573" i="59"/>
  <c r="H1574" i="59"/>
  <c r="H1575" i="59"/>
  <c r="H1576" i="59"/>
  <c r="H1577" i="59"/>
  <c r="H1578" i="59"/>
  <c r="H1579" i="59"/>
  <c r="H1580" i="59"/>
  <c r="H1581" i="59"/>
  <c r="H1582" i="59"/>
  <c r="H1583" i="59"/>
  <c r="H1584" i="59"/>
  <c r="H1585" i="59"/>
  <c r="H1586" i="59"/>
  <c r="H1587" i="59"/>
  <c r="H1588" i="59"/>
  <c r="H1589" i="59"/>
  <c r="H1590" i="59"/>
  <c r="H1591" i="59"/>
  <c r="H1592" i="59"/>
  <c r="H1593" i="59"/>
  <c r="H1594" i="59"/>
  <c r="H1595" i="59"/>
  <c r="H1596" i="59"/>
  <c r="H1597" i="59"/>
  <c r="H1598" i="59"/>
  <c r="H1599" i="59"/>
  <c r="H1600" i="59"/>
  <c r="H1601" i="59"/>
  <c r="H1602" i="59"/>
  <c r="H1603" i="59"/>
  <c r="H1604" i="59"/>
  <c r="H1605" i="59"/>
  <c r="H1606" i="59"/>
  <c r="H1607" i="59"/>
  <c r="H1608" i="59"/>
  <c r="H1609" i="59"/>
  <c r="H1610" i="59"/>
  <c r="H1611" i="59"/>
  <c r="H1612" i="59"/>
  <c r="H1613" i="59"/>
  <c r="H1614" i="59"/>
  <c r="H1615" i="59"/>
  <c r="H1616" i="59"/>
  <c r="H1617" i="59"/>
  <c r="H1618" i="59"/>
  <c r="H1619" i="59"/>
  <c r="H1620" i="59"/>
  <c r="H1621" i="59"/>
  <c r="H1622" i="59"/>
  <c r="H1623" i="59"/>
  <c r="H1624" i="59"/>
  <c r="H1625" i="59"/>
  <c r="H1626" i="59"/>
  <c r="H1627" i="59"/>
  <c r="H1628" i="59"/>
  <c r="H1629" i="59"/>
  <c r="H1630" i="59"/>
  <c r="H1631" i="59"/>
  <c r="H1632" i="59"/>
  <c r="H1633" i="59"/>
  <c r="H1634" i="59"/>
  <c r="H1635" i="59"/>
  <c r="H1636" i="59"/>
  <c r="H1637" i="59"/>
  <c r="H1638" i="59"/>
  <c r="H1639" i="59"/>
  <c r="H1640" i="59"/>
  <c r="H1641" i="59"/>
  <c r="H1642" i="59"/>
  <c r="H1643" i="59"/>
  <c r="H1644" i="59"/>
  <c r="H1645" i="59"/>
  <c r="H1646" i="59"/>
  <c r="H1647" i="59"/>
  <c r="H1648" i="59"/>
  <c r="H1649" i="59"/>
  <c r="H1650" i="59"/>
  <c r="H1651" i="59"/>
  <c r="H1652" i="59"/>
  <c r="H1653" i="59"/>
  <c r="H1654" i="59"/>
  <c r="H1655" i="59"/>
  <c r="H1656" i="59"/>
  <c r="H1657" i="59"/>
  <c r="H1658" i="59"/>
  <c r="H1659" i="59"/>
  <c r="H1660" i="59"/>
  <c r="H1661" i="59"/>
  <c r="H1662" i="59"/>
  <c r="H1663" i="59"/>
  <c r="H1664" i="59"/>
  <c r="H1665" i="59"/>
  <c r="H1666" i="59"/>
  <c r="H1667" i="59"/>
  <c r="H1668" i="59"/>
  <c r="H1669" i="59"/>
  <c r="H1670" i="59"/>
  <c r="H1671" i="59"/>
  <c r="H1672" i="59"/>
  <c r="H1673" i="59"/>
  <c r="H1674" i="59"/>
  <c r="H1675" i="59"/>
  <c r="H1676" i="59"/>
  <c r="H1677" i="59"/>
  <c r="H1678" i="59"/>
  <c r="H1679" i="59"/>
  <c r="H1680" i="59"/>
  <c r="H1681" i="59"/>
  <c r="H1682" i="59"/>
  <c r="H1683" i="59"/>
  <c r="H1684" i="59"/>
  <c r="H1685" i="59"/>
  <c r="H1686" i="59"/>
  <c r="H1687" i="59"/>
  <c r="H1688" i="59"/>
  <c r="H1689" i="59"/>
  <c r="H1690" i="59"/>
  <c r="H1691" i="59"/>
  <c r="H1692" i="59"/>
  <c r="H1693" i="59"/>
  <c r="H1694" i="59"/>
  <c r="H1695" i="59"/>
  <c r="H1696" i="59"/>
  <c r="H1697" i="59"/>
  <c r="H1698" i="59"/>
  <c r="H1699" i="59"/>
  <c r="H1700" i="59"/>
  <c r="H1701" i="59"/>
  <c r="H1702" i="59"/>
  <c r="H1703" i="59"/>
  <c r="H1704" i="59"/>
  <c r="H1705" i="59"/>
  <c r="H1706" i="59"/>
  <c r="H1707" i="59"/>
  <c r="H1708" i="59"/>
  <c r="H1709" i="59"/>
  <c r="H1710" i="59"/>
  <c r="H1711" i="59"/>
  <c r="H1712" i="59"/>
  <c r="H1713" i="59"/>
  <c r="H1714" i="59"/>
  <c r="H1715" i="59"/>
  <c r="H1716" i="59"/>
  <c r="H1717" i="59"/>
  <c r="H1718" i="59"/>
  <c r="H1719" i="59"/>
  <c r="H1720" i="59"/>
  <c r="H1721" i="59"/>
  <c r="H1722" i="59"/>
  <c r="H1723" i="59"/>
  <c r="H1724" i="59"/>
  <c r="H1725" i="59"/>
  <c r="H1726" i="59"/>
  <c r="H1727" i="59"/>
  <c r="H1728" i="59"/>
  <c r="H1729" i="59"/>
  <c r="H1730" i="59"/>
  <c r="H1731" i="59"/>
  <c r="H1732" i="59"/>
  <c r="H1733" i="59"/>
  <c r="H1734" i="59"/>
  <c r="H1735" i="59"/>
  <c r="H1736" i="59"/>
  <c r="H1737" i="59"/>
  <c r="H1738" i="59"/>
  <c r="H1739" i="59"/>
  <c r="H1740" i="59"/>
  <c r="H1741" i="59"/>
  <c r="H1742" i="59"/>
  <c r="H1743" i="59"/>
  <c r="H1744" i="59"/>
  <c r="H1745" i="59"/>
  <c r="H1746" i="59"/>
  <c r="H1747" i="59"/>
  <c r="H1748" i="59"/>
  <c r="H1749" i="59"/>
  <c r="H1750" i="59"/>
  <c r="H1751" i="59"/>
  <c r="H1752" i="59"/>
  <c r="H1753" i="59"/>
  <c r="H1754" i="59"/>
  <c r="H1755" i="59"/>
  <c r="H1756" i="59"/>
  <c r="H1757" i="59"/>
  <c r="H1758" i="59"/>
  <c r="H1759" i="59"/>
  <c r="H1760" i="59"/>
  <c r="H1761" i="59"/>
  <c r="H1762" i="59"/>
  <c r="H1763" i="59"/>
  <c r="H1764" i="59"/>
  <c r="H1765" i="59"/>
  <c r="H1766" i="59"/>
  <c r="H1767" i="59"/>
  <c r="H1768" i="59"/>
  <c r="H1769" i="59"/>
  <c r="H1770" i="59"/>
  <c r="H1771" i="59"/>
  <c r="H1772" i="59"/>
  <c r="H1773" i="59"/>
  <c r="H1774" i="59"/>
  <c r="H1775" i="59"/>
  <c r="H1776" i="59"/>
  <c r="H1777" i="59"/>
  <c r="H1778" i="59"/>
  <c r="H1779" i="59"/>
  <c r="H1780" i="59"/>
  <c r="H1781" i="59"/>
  <c r="H1782" i="59"/>
  <c r="H1783" i="59"/>
  <c r="H1784" i="59"/>
  <c r="H1785" i="59"/>
  <c r="H1786" i="59"/>
  <c r="H1787" i="59"/>
  <c r="H1788" i="59"/>
  <c r="H1789" i="59"/>
  <c r="H1790" i="59"/>
  <c r="H1791" i="59"/>
  <c r="H1792" i="59"/>
  <c r="H1793" i="59"/>
  <c r="H1794" i="59"/>
  <c r="H1795" i="59"/>
  <c r="H1796" i="59"/>
  <c r="H1797" i="59"/>
  <c r="H1798" i="59"/>
  <c r="H1799" i="59"/>
  <c r="H1800" i="59"/>
  <c r="H1801" i="59"/>
  <c r="H1802" i="59"/>
  <c r="H1803" i="59"/>
  <c r="H1804" i="59"/>
  <c r="H1805" i="59"/>
  <c r="H1806" i="59"/>
  <c r="H1807" i="59"/>
  <c r="H1808" i="59"/>
  <c r="H1809" i="59"/>
  <c r="H1810" i="59"/>
  <c r="H1811" i="59"/>
  <c r="H1812" i="59"/>
  <c r="H1813" i="59"/>
  <c r="H1814" i="59"/>
  <c r="H1815" i="59"/>
  <c r="H1816" i="59"/>
  <c r="H1817" i="59"/>
  <c r="H1818" i="59"/>
  <c r="H1819" i="59"/>
  <c r="H1820" i="59"/>
  <c r="H1821" i="59"/>
  <c r="H1822" i="59"/>
  <c r="H1823" i="59"/>
  <c r="H1824" i="59"/>
  <c r="H1825" i="59"/>
  <c r="H1826" i="59"/>
  <c r="H1827" i="59"/>
  <c r="H1828" i="59"/>
  <c r="H1829" i="59"/>
  <c r="H1830" i="59"/>
  <c r="H1831" i="59"/>
  <c r="H1832" i="59"/>
  <c r="H1833" i="59"/>
  <c r="H1834" i="59"/>
  <c r="H1835" i="59"/>
  <c r="H1836" i="59"/>
  <c r="H1837" i="59"/>
  <c r="H1838" i="59"/>
  <c r="H1839" i="59"/>
  <c r="H1840" i="59"/>
  <c r="H1841" i="59"/>
  <c r="H1842" i="59"/>
  <c r="H1843" i="59"/>
  <c r="H1844" i="59"/>
  <c r="H1845" i="59"/>
  <c r="H1846" i="59"/>
  <c r="H1847" i="59"/>
  <c r="H1848" i="59"/>
  <c r="H1849" i="59"/>
  <c r="H1850" i="59"/>
  <c r="H1851" i="59"/>
  <c r="H1852" i="59"/>
  <c r="H1853" i="59"/>
  <c r="H1854" i="59"/>
  <c r="H1855" i="59"/>
  <c r="H1856" i="59"/>
  <c r="H1857" i="59"/>
  <c r="H1858" i="59"/>
  <c r="H1859" i="59"/>
  <c r="H1860" i="59"/>
  <c r="H1861" i="59"/>
  <c r="H1862" i="59"/>
  <c r="H1863" i="59"/>
  <c r="H1864" i="59"/>
  <c r="H1865" i="59"/>
  <c r="H1866" i="59"/>
  <c r="H1867" i="59"/>
  <c r="H1868" i="59"/>
  <c r="H1869" i="59"/>
  <c r="H1870" i="59"/>
  <c r="H1871" i="59"/>
  <c r="H1872" i="59"/>
  <c r="H1873" i="59"/>
  <c r="H1874" i="59"/>
  <c r="H1875" i="59"/>
  <c r="H1876" i="59"/>
  <c r="H1877" i="59"/>
  <c r="H1878" i="59"/>
  <c r="H1879" i="59"/>
  <c r="H1880" i="59"/>
  <c r="H1881" i="59"/>
  <c r="H1882" i="59"/>
  <c r="H1883" i="59"/>
  <c r="H1884" i="59"/>
  <c r="H1885" i="59"/>
  <c r="H1886" i="59"/>
  <c r="H1887" i="59"/>
  <c r="H1888" i="59"/>
  <c r="H1889" i="59"/>
  <c r="H1890" i="59"/>
  <c r="H1891" i="59"/>
  <c r="H1892" i="59"/>
  <c r="H1893" i="59"/>
  <c r="H1894" i="59"/>
  <c r="H1895" i="59"/>
  <c r="H1896" i="59"/>
  <c r="H1897" i="59"/>
  <c r="H1898" i="59"/>
  <c r="H1899" i="59"/>
  <c r="H1900" i="59"/>
  <c r="H1901" i="59"/>
  <c r="H1902" i="59"/>
  <c r="H1903" i="59"/>
  <c r="H1904" i="59"/>
  <c r="H1905" i="59"/>
  <c r="H1906" i="59"/>
  <c r="H1907" i="59"/>
  <c r="H1908" i="59"/>
  <c r="H1909" i="59"/>
  <c r="H1910" i="59"/>
  <c r="H1911" i="59"/>
  <c r="H1912" i="59"/>
  <c r="H1913" i="59"/>
  <c r="H1914" i="59"/>
  <c r="H1915" i="59"/>
  <c r="H1916" i="59"/>
  <c r="H1917" i="59"/>
  <c r="H1918" i="59"/>
  <c r="H1919" i="59"/>
  <c r="H1920" i="59"/>
  <c r="H1921" i="59"/>
  <c r="H1922" i="59"/>
  <c r="H1923" i="59"/>
  <c r="H1924" i="59"/>
  <c r="H1925" i="59"/>
  <c r="H1926" i="59"/>
  <c r="H1927" i="59"/>
  <c r="H1928" i="59"/>
  <c r="H1929" i="59"/>
  <c r="H1930" i="59"/>
  <c r="H1931" i="59"/>
  <c r="H1932" i="59"/>
  <c r="H1933" i="59"/>
  <c r="H1934" i="59"/>
  <c r="H1935" i="59"/>
  <c r="H1936" i="59"/>
  <c r="H1937" i="59"/>
  <c r="H1938" i="59"/>
  <c r="H1939" i="59"/>
  <c r="H1940" i="59"/>
  <c r="H1941" i="59"/>
  <c r="H1942" i="59"/>
  <c r="H1943" i="59"/>
  <c r="H1944" i="59"/>
  <c r="H1945" i="59"/>
  <c r="H1946" i="59"/>
  <c r="H1947" i="59"/>
  <c r="H1948" i="59"/>
  <c r="H1949" i="59"/>
  <c r="H1950" i="59"/>
  <c r="H1951" i="59"/>
  <c r="H1952" i="59"/>
  <c r="H1953" i="59"/>
  <c r="H1954" i="59"/>
  <c r="H1955" i="59"/>
  <c r="H1956" i="59"/>
  <c r="H1957" i="59"/>
  <c r="H1958" i="59"/>
  <c r="H1959" i="59"/>
  <c r="H1960" i="59"/>
  <c r="H1961" i="59"/>
  <c r="H1962" i="59"/>
  <c r="H1963" i="59"/>
  <c r="H1964" i="59"/>
  <c r="H1965" i="59"/>
  <c r="H1966" i="59"/>
  <c r="H1967" i="59"/>
  <c r="H1968" i="59"/>
  <c r="H1969" i="59"/>
  <c r="H1970" i="59"/>
  <c r="H1971" i="59"/>
  <c r="H1972" i="59"/>
  <c r="H1973" i="59"/>
  <c r="H1974" i="59"/>
  <c r="H1975" i="59"/>
  <c r="H1976" i="59"/>
  <c r="H1977" i="59"/>
  <c r="H1978" i="59"/>
  <c r="H1979" i="59"/>
  <c r="H1980" i="59"/>
  <c r="H1981" i="59"/>
  <c r="H1982" i="59"/>
  <c r="H1983" i="59"/>
  <c r="H1984" i="59"/>
  <c r="H1985" i="59"/>
  <c r="H1986" i="59"/>
  <c r="H1987" i="59"/>
  <c r="H1988" i="59"/>
  <c r="H1989" i="59"/>
  <c r="H1990" i="59"/>
  <c r="H1991" i="59"/>
  <c r="H1992" i="59"/>
  <c r="H1993" i="59"/>
  <c r="H1994" i="59"/>
  <c r="H1995" i="59"/>
  <c r="H1996" i="59"/>
  <c r="H1997" i="59"/>
  <c r="H1998" i="59"/>
  <c r="H1999" i="59"/>
  <c r="H2000" i="59"/>
  <c r="H2001" i="59"/>
  <c r="H2002" i="59"/>
  <c r="H2003" i="59"/>
  <c r="H2004" i="59"/>
  <c r="H2005" i="59"/>
  <c r="H2006" i="59"/>
  <c r="H2007" i="59"/>
  <c r="H2008" i="59"/>
  <c r="H2009" i="59"/>
  <c r="H2010" i="59"/>
  <c r="H2011" i="59"/>
  <c r="H2012" i="59"/>
  <c r="H2013" i="59"/>
  <c r="H2014" i="59"/>
  <c r="H2015" i="59"/>
  <c r="H2016" i="59"/>
  <c r="H2017" i="59"/>
  <c r="H2018" i="59"/>
  <c r="H2019" i="59"/>
  <c r="H2020" i="59"/>
  <c r="H2021" i="59"/>
  <c r="H2022" i="59"/>
  <c r="H2023" i="59"/>
  <c r="H2024" i="59"/>
  <c r="H2025" i="59"/>
  <c r="H2026" i="59"/>
  <c r="H2027" i="59"/>
  <c r="H2028" i="59"/>
  <c r="H2029" i="59"/>
  <c r="H2030" i="59"/>
  <c r="H2031" i="59"/>
  <c r="H2032" i="59"/>
  <c r="H2033" i="59"/>
  <c r="H2034" i="59"/>
  <c r="H2035" i="59"/>
  <c r="H2036" i="59"/>
  <c r="H2037" i="59"/>
  <c r="H2038" i="59"/>
  <c r="H2039" i="59"/>
  <c r="H2040" i="59"/>
  <c r="H2041" i="59"/>
  <c r="H2042" i="59"/>
  <c r="H2043" i="59"/>
  <c r="H2044" i="59"/>
  <c r="H2045" i="59"/>
  <c r="H2046" i="59"/>
  <c r="H2047" i="59"/>
  <c r="H2048" i="59"/>
  <c r="H2049" i="59"/>
  <c r="H2050" i="59"/>
  <c r="H2051" i="59"/>
  <c r="H2052" i="59"/>
  <c r="H2053" i="59"/>
  <c r="H2054" i="59"/>
  <c r="H2055" i="59"/>
  <c r="H2056" i="59"/>
  <c r="H2057" i="59"/>
  <c r="H2058" i="59"/>
  <c r="H2059" i="59"/>
  <c r="H2060" i="59"/>
  <c r="H2061" i="59"/>
  <c r="H2062" i="59"/>
  <c r="H2063" i="59"/>
  <c r="H2064" i="59"/>
  <c r="H2065" i="59"/>
  <c r="H2066" i="59"/>
  <c r="H2067" i="59"/>
  <c r="H2068" i="59"/>
  <c r="H2069" i="59"/>
  <c r="H2070" i="59"/>
  <c r="H2071" i="59"/>
  <c r="H2072" i="59"/>
  <c r="H2073" i="59"/>
  <c r="H2074" i="59"/>
  <c r="H2075" i="59"/>
  <c r="H2076" i="59"/>
  <c r="H2077" i="59"/>
  <c r="H2078" i="59"/>
  <c r="H2079" i="59"/>
  <c r="H2080" i="59"/>
  <c r="H2081" i="59"/>
  <c r="H2082" i="59"/>
  <c r="H2083" i="59"/>
  <c r="H2084" i="59"/>
  <c r="H2085" i="59"/>
  <c r="H2086" i="59"/>
  <c r="H2087" i="59"/>
  <c r="H2088" i="59"/>
  <c r="H2089" i="59"/>
  <c r="H2090" i="59"/>
  <c r="H2091" i="59"/>
  <c r="H2092" i="59"/>
  <c r="H2093" i="59"/>
  <c r="H2094" i="59"/>
  <c r="H2095" i="59"/>
  <c r="H2096" i="59"/>
  <c r="H2097" i="59"/>
  <c r="H2098" i="59"/>
  <c r="H2099" i="59"/>
  <c r="H2100" i="59"/>
  <c r="H2101" i="59"/>
  <c r="H2102" i="59"/>
  <c r="H2103" i="59"/>
  <c r="H2104" i="59"/>
  <c r="H2105" i="59"/>
  <c r="H2106" i="59"/>
  <c r="H2107" i="59"/>
  <c r="H2108" i="59"/>
  <c r="H2109" i="59"/>
  <c r="H2110" i="59"/>
  <c r="H2111" i="59"/>
  <c r="H2112" i="59"/>
  <c r="H2113" i="59"/>
  <c r="H2114" i="59"/>
  <c r="H2115" i="59"/>
  <c r="H2116" i="59"/>
  <c r="H2117" i="59"/>
  <c r="H2118" i="59"/>
  <c r="H2119" i="59"/>
  <c r="H2120" i="59"/>
  <c r="H2121" i="59"/>
  <c r="H2122" i="59"/>
  <c r="H2123" i="59"/>
  <c r="H2124" i="59"/>
  <c r="H2125" i="59"/>
  <c r="H2126" i="59"/>
  <c r="H2127" i="59"/>
  <c r="H2128" i="59"/>
  <c r="H2129" i="59"/>
  <c r="H2130" i="59"/>
  <c r="H2131" i="59"/>
  <c r="H2132" i="59"/>
  <c r="H2133" i="59"/>
  <c r="H2134" i="59"/>
  <c r="H2135" i="59"/>
  <c r="H2136" i="59"/>
  <c r="H2137" i="59"/>
  <c r="H2138" i="59"/>
  <c r="H2139" i="59"/>
  <c r="H2140" i="59"/>
  <c r="H2141" i="59"/>
  <c r="H2142" i="59"/>
  <c r="H2143" i="59"/>
  <c r="H2144" i="59"/>
  <c r="H2145" i="59"/>
  <c r="H2146" i="59"/>
  <c r="H2147" i="59"/>
  <c r="H2148" i="59"/>
  <c r="H2149" i="59"/>
  <c r="H2150" i="59"/>
  <c r="H2151" i="59"/>
  <c r="H2152" i="59"/>
  <c r="H2153" i="59"/>
  <c r="H2154" i="59"/>
  <c r="H2155" i="59"/>
  <c r="H2156" i="59"/>
  <c r="H2157" i="59"/>
  <c r="H2158" i="59"/>
  <c r="H2159" i="59"/>
  <c r="H2160" i="59"/>
  <c r="H2161" i="59"/>
  <c r="H2162" i="59"/>
  <c r="H2163" i="59"/>
  <c r="H2164" i="59"/>
  <c r="H2165" i="59"/>
  <c r="H2166" i="59"/>
  <c r="H2167" i="59"/>
  <c r="H2168" i="59"/>
  <c r="H2169" i="59"/>
  <c r="H2170" i="59"/>
  <c r="H2171" i="59"/>
  <c r="H2172" i="59"/>
  <c r="H2173" i="59"/>
  <c r="H2174" i="59"/>
  <c r="H2175" i="59"/>
  <c r="H2176" i="59"/>
  <c r="H2177" i="59"/>
  <c r="H2178" i="59"/>
  <c r="H2179" i="59"/>
  <c r="H2180" i="59"/>
  <c r="H2181" i="59"/>
  <c r="H2182" i="59"/>
  <c r="H2183" i="59"/>
  <c r="H2184" i="59"/>
  <c r="H2185" i="59"/>
  <c r="H2186" i="59"/>
  <c r="H2187" i="59"/>
  <c r="H2188" i="59"/>
  <c r="H2189" i="59"/>
  <c r="H2190" i="59"/>
  <c r="H2191" i="59"/>
  <c r="H2192" i="59"/>
  <c r="H2193" i="59"/>
  <c r="H2194" i="59"/>
  <c r="H2195" i="59"/>
  <c r="H2196" i="59"/>
  <c r="H2197" i="59"/>
  <c r="H2198" i="59"/>
  <c r="H2199" i="59"/>
  <c r="H2200" i="59"/>
  <c r="H2201" i="59"/>
  <c r="H2202" i="59"/>
  <c r="H2203" i="59"/>
  <c r="H2204" i="59"/>
  <c r="H2205" i="59"/>
  <c r="H2206" i="59"/>
  <c r="H2207" i="59"/>
  <c r="H2208" i="59"/>
  <c r="H2209" i="59"/>
  <c r="H2210" i="59"/>
  <c r="H2211" i="59"/>
  <c r="H2212" i="59"/>
  <c r="H2213" i="59"/>
  <c r="H2214" i="59"/>
  <c r="H2215" i="59"/>
  <c r="H2216" i="59"/>
  <c r="H2217" i="59"/>
  <c r="H2218" i="59"/>
  <c r="H2219" i="59"/>
  <c r="H2220" i="59"/>
  <c r="H2221" i="59"/>
  <c r="H2222" i="59"/>
  <c r="H2223" i="59"/>
  <c r="H2224" i="59"/>
  <c r="H2225" i="59"/>
  <c r="H2226" i="59"/>
  <c r="H2227" i="59"/>
  <c r="H2228" i="59"/>
  <c r="H2229" i="59"/>
  <c r="H2230" i="59"/>
  <c r="H2231" i="59"/>
  <c r="H2232" i="59"/>
  <c r="H2233" i="59"/>
  <c r="H2234" i="59"/>
  <c r="H2235" i="59"/>
  <c r="H2236" i="59"/>
  <c r="H2237" i="59"/>
  <c r="H2238" i="59"/>
  <c r="H2239" i="59"/>
  <c r="H2240" i="59"/>
  <c r="H2241" i="59"/>
  <c r="H2242" i="59"/>
  <c r="H2243" i="59"/>
  <c r="H2244" i="59"/>
  <c r="H2245" i="59"/>
  <c r="H2246" i="59"/>
  <c r="H2247" i="59"/>
  <c r="H2248" i="59"/>
  <c r="H2249" i="59"/>
  <c r="H2250" i="59"/>
  <c r="H2251" i="59"/>
  <c r="H2252" i="59"/>
  <c r="H2253" i="59"/>
  <c r="H2254" i="59"/>
  <c r="H2255" i="59"/>
  <c r="H2256" i="59"/>
  <c r="H2257" i="59"/>
  <c r="H2258" i="59"/>
  <c r="H2259" i="59"/>
  <c r="H2260" i="59"/>
  <c r="H2261" i="59"/>
  <c r="H2262" i="59"/>
  <c r="H2263" i="59"/>
  <c r="H2264" i="59"/>
  <c r="H2265" i="59"/>
  <c r="H2266" i="59"/>
  <c r="H2267" i="59"/>
  <c r="H2268" i="59"/>
  <c r="H2269" i="59"/>
  <c r="H2270" i="59"/>
  <c r="H2271" i="59"/>
  <c r="H2272" i="59"/>
  <c r="H2273" i="59"/>
  <c r="H2274" i="59"/>
  <c r="H2275" i="59"/>
  <c r="H2276" i="59"/>
  <c r="H2277" i="59"/>
  <c r="H2278" i="59"/>
  <c r="H2279" i="59"/>
  <c r="H2280" i="59"/>
  <c r="H2281" i="59"/>
  <c r="H2282" i="59"/>
  <c r="H2283" i="59"/>
  <c r="H2284" i="59"/>
  <c r="H2285" i="59"/>
  <c r="H2286" i="59"/>
  <c r="H2287" i="59"/>
  <c r="H2288" i="59"/>
  <c r="H2289" i="59"/>
  <c r="H2290" i="59"/>
  <c r="H2291" i="59"/>
  <c r="H2292" i="59"/>
  <c r="H2293" i="59"/>
  <c r="H2294" i="59"/>
  <c r="H2295" i="59"/>
  <c r="H2296" i="59"/>
  <c r="H2297" i="59"/>
  <c r="H2298" i="59"/>
  <c r="H2299" i="59"/>
  <c r="H2300" i="59"/>
  <c r="H2301" i="59"/>
  <c r="H2302" i="59"/>
  <c r="H2303" i="59"/>
  <c r="H2304" i="59"/>
  <c r="H2305" i="59"/>
  <c r="H2306" i="59"/>
  <c r="H2307" i="59"/>
  <c r="H2308" i="59"/>
  <c r="H2309" i="59"/>
  <c r="H2310" i="59"/>
  <c r="H2311" i="59"/>
  <c r="H2312" i="59"/>
  <c r="H2313" i="59"/>
  <c r="H2314" i="59"/>
  <c r="H2315" i="59"/>
  <c r="H2316" i="59"/>
  <c r="H2317" i="59"/>
  <c r="H2318" i="59"/>
  <c r="H2319" i="59"/>
  <c r="H2320" i="59"/>
  <c r="H2321" i="59"/>
  <c r="H2322" i="59"/>
  <c r="H2323" i="59"/>
  <c r="H2324" i="59"/>
  <c r="H2325" i="59"/>
  <c r="H2326" i="59"/>
  <c r="H2327" i="59"/>
  <c r="H2328" i="59"/>
  <c r="H2329" i="59"/>
  <c r="H2330" i="59"/>
  <c r="H2331" i="59"/>
  <c r="H2332" i="59"/>
  <c r="H2333" i="59"/>
  <c r="H2334" i="59"/>
  <c r="H2335" i="59"/>
  <c r="H2336" i="59"/>
  <c r="H2337" i="59"/>
  <c r="H2338" i="59"/>
  <c r="H2339" i="59"/>
  <c r="H2340" i="59"/>
  <c r="H2341" i="59"/>
  <c r="H2342" i="59"/>
  <c r="H2343" i="59"/>
  <c r="H2344" i="59"/>
  <c r="H2345" i="59"/>
  <c r="H2346" i="59"/>
  <c r="H2347" i="59"/>
  <c r="H2348" i="59"/>
  <c r="H2349" i="59"/>
  <c r="H2350" i="59"/>
  <c r="H2351" i="59"/>
  <c r="H2352" i="59"/>
  <c r="H2353" i="59"/>
  <c r="H2354" i="59"/>
  <c r="H2355" i="59"/>
  <c r="H2356" i="59"/>
  <c r="H2357" i="59"/>
  <c r="H2358" i="59"/>
  <c r="H2359" i="59"/>
  <c r="H2360" i="59"/>
  <c r="H2361" i="59"/>
  <c r="H2362" i="59"/>
  <c r="H2363" i="59"/>
  <c r="H2364" i="59"/>
  <c r="H2365" i="59"/>
  <c r="H2366" i="59"/>
  <c r="H2367" i="59"/>
  <c r="H2368" i="59"/>
  <c r="H2369" i="59"/>
  <c r="H2370" i="59"/>
  <c r="H2371" i="59"/>
  <c r="H2372" i="59"/>
  <c r="H2373" i="59"/>
  <c r="H2374" i="59"/>
  <c r="H2375" i="59"/>
  <c r="H2376" i="59"/>
  <c r="H2377" i="59"/>
  <c r="H2378" i="59"/>
  <c r="H2379" i="59"/>
  <c r="H2380" i="59"/>
  <c r="H2381" i="59"/>
  <c r="H2382" i="59"/>
  <c r="H2383" i="59"/>
  <c r="H2384" i="59"/>
  <c r="H2385" i="59"/>
  <c r="H2386" i="59"/>
  <c r="H2387" i="59"/>
  <c r="H2388" i="59"/>
  <c r="H2389" i="59"/>
  <c r="H2390" i="59"/>
  <c r="H2391" i="59"/>
  <c r="H2392" i="59"/>
  <c r="H2393" i="59"/>
  <c r="H2394" i="59"/>
  <c r="H2395" i="59"/>
  <c r="H2396" i="59"/>
  <c r="H2397" i="59"/>
  <c r="H2398" i="59"/>
  <c r="H2399" i="59"/>
  <c r="H2400" i="59"/>
  <c r="H2401" i="59"/>
  <c r="H2402" i="59"/>
  <c r="H2403" i="59"/>
  <c r="H2404" i="59"/>
  <c r="H2405" i="59"/>
  <c r="H2406" i="59"/>
  <c r="H2407" i="59"/>
  <c r="H2408" i="59"/>
  <c r="H2409" i="59"/>
  <c r="H2410" i="59"/>
  <c r="H2411" i="59"/>
  <c r="H2412" i="59"/>
  <c r="H2413" i="59"/>
  <c r="H2414" i="59"/>
  <c r="H2415" i="59"/>
  <c r="H2416" i="59"/>
  <c r="H2417" i="59"/>
  <c r="H2418" i="59"/>
  <c r="H2419" i="59"/>
  <c r="H2420" i="59"/>
  <c r="H2421" i="59"/>
  <c r="H2422" i="59"/>
  <c r="H2423" i="59"/>
  <c r="H2424" i="59"/>
  <c r="H2425" i="59"/>
  <c r="H2426" i="59"/>
  <c r="H2427" i="59"/>
  <c r="H2428" i="59"/>
  <c r="H2429" i="59"/>
  <c r="H2430" i="59"/>
  <c r="H2431" i="59"/>
  <c r="H2432" i="59"/>
  <c r="H2433" i="59"/>
  <c r="H2434" i="59"/>
  <c r="H2435" i="59"/>
  <c r="H2436" i="59"/>
  <c r="H2437" i="59"/>
  <c r="H2438" i="59"/>
  <c r="H2439" i="59"/>
  <c r="H2440" i="59"/>
  <c r="H2441" i="59"/>
  <c r="H2442" i="59"/>
  <c r="H2443" i="59"/>
  <c r="H2444" i="59"/>
  <c r="H2445" i="59"/>
  <c r="H2446" i="59"/>
  <c r="H2447" i="59"/>
  <c r="H2448" i="59"/>
  <c r="H2449" i="59"/>
  <c r="H2450" i="59"/>
  <c r="H2451" i="59"/>
  <c r="H2452" i="59"/>
  <c r="H2453" i="59"/>
  <c r="H2454" i="59"/>
  <c r="H2455" i="59"/>
  <c r="H2456" i="59"/>
  <c r="H2457" i="59"/>
  <c r="H2458" i="59"/>
  <c r="H2459" i="59"/>
  <c r="H2460" i="59"/>
  <c r="H2461" i="59"/>
  <c r="H2462" i="59"/>
  <c r="H2463" i="59"/>
  <c r="H2464" i="59"/>
  <c r="H2465" i="59"/>
  <c r="H2466" i="59"/>
  <c r="H2467" i="59"/>
  <c r="H2468" i="59"/>
  <c r="H2469" i="59"/>
  <c r="H2470" i="59"/>
  <c r="H2471" i="59"/>
  <c r="H2472" i="59"/>
  <c r="H2473" i="59"/>
  <c r="H2474" i="59"/>
  <c r="H2475" i="59"/>
  <c r="H2476" i="59"/>
  <c r="H2477" i="59"/>
  <c r="H2478" i="59"/>
  <c r="H2479" i="59"/>
  <c r="H2480" i="59"/>
  <c r="H2481" i="59"/>
  <c r="H2482" i="59"/>
  <c r="H2483" i="59"/>
  <c r="H2484" i="59"/>
  <c r="H2485" i="59"/>
  <c r="H2486" i="59"/>
  <c r="H2487" i="59"/>
  <c r="H2488" i="59"/>
  <c r="H2489" i="59"/>
  <c r="H2490" i="59"/>
  <c r="H2491" i="59"/>
  <c r="H2492" i="59"/>
  <c r="H2493" i="59"/>
  <c r="H2494" i="59"/>
  <c r="H2495" i="59"/>
  <c r="H2496" i="59"/>
  <c r="H2497" i="59"/>
  <c r="H2498" i="59"/>
  <c r="H2499" i="59"/>
  <c r="H2500" i="59"/>
  <c r="H2501" i="59"/>
  <c r="H2502" i="59"/>
  <c r="H2503" i="59"/>
  <c r="H2504" i="59"/>
  <c r="H2505" i="59"/>
  <c r="H2506" i="59"/>
  <c r="H2507" i="59"/>
  <c r="H2508" i="59"/>
  <c r="H2509" i="59"/>
  <c r="H2510" i="59"/>
  <c r="H2511" i="59"/>
  <c r="H2512" i="59"/>
  <c r="H2513" i="59"/>
  <c r="H2514" i="59"/>
  <c r="H2515" i="59"/>
  <c r="H2516" i="59"/>
  <c r="H2517" i="59"/>
  <c r="H2518" i="59"/>
  <c r="H2519" i="59"/>
  <c r="H2520" i="59"/>
  <c r="H2521" i="59"/>
  <c r="H2522" i="59"/>
  <c r="H2523" i="59"/>
  <c r="H2524" i="59"/>
  <c r="H2525" i="59"/>
  <c r="H2526" i="59"/>
  <c r="H2527" i="59"/>
  <c r="H2528" i="59"/>
  <c r="H2529" i="59"/>
  <c r="H2530" i="59"/>
  <c r="H2531" i="59"/>
  <c r="H2532" i="59"/>
  <c r="H2533" i="59"/>
  <c r="H2534" i="59"/>
  <c r="H2535" i="59"/>
  <c r="H2536" i="59"/>
  <c r="H2537" i="59"/>
  <c r="H2538" i="59"/>
  <c r="H2539" i="59"/>
  <c r="H2540" i="59"/>
  <c r="H2541" i="59"/>
  <c r="H2542" i="59"/>
  <c r="H2543" i="59"/>
  <c r="H2544" i="59"/>
  <c r="H2545" i="59"/>
  <c r="H2546" i="59"/>
  <c r="H2547" i="59"/>
  <c r="H2548" i="59"/>
  <c r="H2549" i="59"/>
  <c r="H2550" i="59"/>
  <c r="H2551" i="59"/>
  <c r="H2552" i="59"/>
  <c r="H2553" i="59"/>
  <c r="H2554" i="59"/>
  <c r="H2555" i="59"/>
  <c r="H2556" i="59"/>
  <c r="H2557" i="59"/>
  <c r="H2558" i="59"/>
  <c r="H2559" i="59"/>
  <c r="H2560" i="59"/>
  <c r="H2561" i="59"/>
  <c r="H2562" i="59"/>
  <c r="H2563" i="59"/>
  <c r="H2564" i="59"/>
  <c r="H2565" i="59"/>
  <c r="H2566" i="59"/>
  <c r="H2567" i="59"/>
  <c r="H2568" i="59"/>
  <c r="H2569" i="59"/>
  <c r="H2570" i="59"/>
  <c r="H2571" i="59"/>
  <c r="H2572" i="59"/>
  <c r="H2573" i="59"/>
  <c r="H2574" i="59"/>
  <c r="H2575" i="59"/>
  <c r="H2576" i="59"/>
  <c r="H2577" i="59"/>
  <c r="H2578" i="59"/>
  <c r="H2579" i="59"/>
  <c r="H2580" i="59"/>
  <c r="H2581" i="59"/>
  <c r="H2582" i="59"/>
  <c r="H2583" i="59"/>
  <c r="H2584" i="59"/>
  <c r="H2585" i="59"/>
  <c r="H2586" i="59"/>
  <c r="H2587" i="59"/>
  <c r="H2588" i="59"/>
  <c r="H2589" i="59"/>
  <c r="H2590" i="59"/>
  <c r="H2591" i="59"/>
  <c r="H2592" i="59"/>
  <c r="H2593" i="59"/>
  <c r="H2594" i="59"/>
  <c r="H2595" i="59"/>
  <c r="H2596" i="59"/>
  <c r="H2597" i="59"/>
  <c r="H2598" i="59"/>
  <c r="H2599" i="59"/>
  <c r="H2600" i="59"/>
  <c r="H2601" i="59"/>
  <c r="H2602" i="59"/>
  <c r="H2603" i="59"/>
  <c r="H2604" i="59"/>
  <c r="H2605" i="59"/>
  <c r="H2606" i="59"/>
  <c r="H2607" i="59"/>
  <c r="H2608" i="59"/>
  <c r="H2609" i="59"/>
  <c r="H2610" i="59"/>
  <c r="H2611" i="59"/>
  <c r="H2612" i="59"/>
  <c r="H2613" i="59"/>
  <c r="H2614" i="59"/>
  <c r="H2615" i="59"/>
  <c r="H2616" i="59"/>
  <c r="H2617" i="59"/>
  <c r="H2618" i="59"/>
  <c r="H2619" i="59"/>
  <c r="H2620" i="59"/>
  <c r="H2621" i="59"/>
  <c r="H2622" i="59"/>
  <c r="H2623" i="59"/>
  <c r="H2624" i="59"/>
  <c r="H2625" i="59"/>
  <c r="H2626" i="59"/>
  <c r="H2627" i="59"/>
  <c r="H2628" i="59"/>
  <c r="H2629" i="59"/>
  <c r="H2630" i="59"/>
  <c r="H2631" i="59"/>
  <c r="H2632" i="59"/>
  <c r="H2633" i="59"/>
  <c r="H2634" i="59"/>
  <c r="H2635" i="59"/>
  <c r="H2636" i="59"/>
  <c r="H2637" i="59"/>
  <c r="H2638" i="59"/>
  <c r="H2639" i="59"/>
  <c r="H2640" i="59"/>
  <c r="H2641" i="59"/>
  <c r="H2642" i="59"/>
  <c r="H2643" i="59"/>
  <c r="H2644" i="59"/>
  <c r="H2645" i="59"/>
  <c r="H2646" i="59"/>
  <c r="H2647" i="59"/>
  <c r="H2648" i="59"/>
  <c r="H2649" i="59"/>
  <c r="H2650" i="59"/>
  <c r="H2651" i="59"/>
  <c r="H2652" i="59"/>
  <c r="H2653" i="59"/>
  <c r="H2654" i="59"/>
  <c r="H2655" i="59"/>
  <c r="H2656" i="59"/>
  <c r="H2657" i="59"/>
  <c r="H2658" i="59"/>
  <c r="H2659" i="59"/>
  <c r="H2660" i="59"/>
  <c r="H2661" i="59"/>
  <c r="H2662" i="59"/>
  <c r="H2663" i="59"/>
  <c r="H2664" i="59"/>
  <c r="H2665" i="59"/>
  <c r="H2666" i="59"/>
  <c r="H2667" i="59"/>
  <c r="H2668" i="59"/>
  <c r="H2669" i="59"/>
  <c r="H2670" i="59"/>
  <c r="H2671" i="59"/>
  <c r="H2672" i="59"/>
  <c r="H2673" i="59"/>
  <c r="H2674" i="59"/>
  <c r="H2675" i="59"/>
  <c r="H2676" i="59"/>
  <c r="H2677" i="59"/>
  <c r="H2678" i="59"/>
  <c r="H2679" i="59"/>
  <c r="H2680" i="59"/>
  <c r="H2681" i="59"/>
  <c r="H2682" i="59"/>
  <c r="H2683" i="59"/>
  <c r="H2684" i="59"/>
  <c r="H2685" i="59"/>
  <c r="H2686" i="59"/>
  <c r="H2687" i="59"/>
  <c r="H2688" i="59"/>
  <c r="H2689" i="59"/>
  <c r="H2690" i="59"/>
  <c r="H2691" i="59"/>
  <c r="H2692" i="59"/>
  <c r="H2693" i="59"/>
  <c r="H2694" i="59"/>
  <c r="H2695" i="59"/>
  <c r="H2696" i="59"/>
  <c r="H2697" i="59"/>
  <c r="H2698" i="59"/>
  <c r="H2699" i="59"/>
  <c r="H2700" i="59"/>
  <c r="H2701" i="59"/>
  <c r="H2702" i="59"/>
  <c r="H2703" i="59"/>
  <c r="H2704" i="59"/>
  <c r="H2705" i="59"/>
  <c r="H2706" i="59"/>
  <c r="H2707" i="59"/>
  <c r="H2708" i="59"/>
  <c r="H2709" i="59"/>
  <c r="H2710" i="59"/>
  <c r="H2711" i="59"/>
  <c r="H2712" i="59"/>
  <c r="H2713" i="59"/>
  <c r="H2714" i="59"/>
  <c r="H2715" i="59"/>
  <c r="H2716" i="59"/>
  <c r="H2717" i="59"/>
  <c r="H2718" i="59"/>
  <c r="H2719" i="59"/>
  <c r="H2720" i="59"/>
  <c r="H2721" i="59"/>
  <c r="H2722" i="59"/>
  <c r="H2723" i="59"/>
  <c r="H2724" i="59"/>
  <c r="H2725" i="59"/>
  <c r="H2726" i="59"/>
  <c r="H2727" i="59"/>
  <c r="H2728" i="59"/>
  <c r="H2729" i="59"/>
  <c r="H2730" i="59"/>
  <c r="H2731" i="59"/>
  <c r="H2732" i="59"/>
  <c r="H2733" i="59"/>
  <c r="H2734" i="59"/>
  <c r="H2735" i="59"/>
  <c r="H2736" i="59"/>
  <c r="H2737" i="59"/>
  <c r="H2738" i="59"/>
  <c r="H2739" i="59"/>
  <c r="H2740" i="59"/>
  <c r="H2741" i="59"/>
  <c r="H2742" i="59"/>
  <c r="H2743" i="59"/>
  <c r="H2744" i="59"/>
  <c r="H2745" i="59"/>
  <c r="H2746" i="59"/>
  <c r="H2747" i="59"/>
  <c r="H2748" i="59"/>
  <c r="H2749" i="59"/>
  <c r="H2750" i="59"/>
  <c r="H2751" i="59"/>
  <c r="H2752" i="59"/>
  <c r="H2753" i="59"/>
  <c r="H2754" i="59"/>
  <c r="H2755" i="59"/>
  <c r="H2756" i="59"/>
  <c r="H2757" i="59"/>
  <c r="H2758" i="59"/>
  <c r="H2759" i="59"/>
  <c r="H2760" i="59"/>
  <c r="H2761" i="59"/>
  <c r="H2762" i="59"/>
  <c r="H2763" i="59"/>
  <c r="H2764" i="59"/>
  <c r="H2765" i="59"/>
  <c r="H2766" i="59"/>
  <c r="H2767" i="59"/>
  <c r="H2768" i="59"/>
  <c r="H2769" i="59"/>
  <c r="H2770" i="59"/>
  <c r="H2771" i="59"/>
  <c r="H2772" i="59"/>
  <c r="H2773" i="59"/>
  <c r="H2774" i="59"/>
  <c r="H2775" i="59"/>
  <c r="H2776" i="59"/>
  <c r="H2777" i="59"/>
  <c r="H2778" i="59"/>
  <c r="H2779" i="59"/>
  <c r="H2780" i="59"/>
  <c r="H2781" i="59"/>
  <c r="H2782" i="59"/>
  <c r="H2783" i="59"/>
  <c r="H2784" i="59"/>
  <c r="H2785" i="59"/>
  <c r="H2786" i="59"/>
  <c r="H2787" i="59"/>
  <c r="H2788" i="59"/>
  <c r="H2789" i="59"/>
  <c r="H2790" i="59"/>
  <c r="H2791" i="59"/>
  <c r="H2792" i="59"/>
  <c r="H2793" i="59"/>
  <c r="H2794" i="59"/>
  <c r="H2795" i="59"/>
  <c r="H2796" i="59"/>
  <c r="H2797" i="59"/>
  <c r="H2798" i="59"/>
  <c r="H2799" i="59"/>
  <c r="H2800" i="59"/>
  <c r="H2801" i="59"/>
  <c r="H2802" i="59"/>
  <c r="H2803" i="59"/>
  <c r="H2804" i="59"/>
  <c r="H2805" i="59"/>
  <c r="H2806" i="59"/>
  <c r="H2807" i="59"/>
  <c r="H2808" i="59"/>
  <c r="H2809" i="59"/>
  <c r="H2810" i="59"/>
  <c r="H2811" i="59"/>
  <c r="H2812" i="59"/>
  <c r="H2813" i="59"/>
  <c r="H2814" i="59"/>
  <c r="H2815" i="59"/>
  <c r="H2816" i="59"/>
  <c r="H2817" i="59"/>
  <c r="H2818" i="59"/>
  <c r="H2819" i="59"/>
  <c r="H2820" i="59"/>
  <c r="H2821" i="59"/>
  <c r="H2822" i="59"/>
  <c r="H2823" i="59"/>
  <c r="H2824" i="59"/>
  <c r="H2825" i="59"/>
  <c r="H2826" i="59"/>
  <c r="H2827" i="59"/>
  <c r="H2828" i="59"/>
  <c r="H2829" i="59"/>
  <c r="H2830" i="59"/>
  <c r="H2831" i="59"/>
  <c r="H2832" i="59"/>
  <c r="H2833" i="59"/>
  <c r="H2834" i="59"/>
  <c r="H2835" i="59"/>
  <c r="H2836" i="59"/>
  <c r="H2837" i="59"/>
  <c r="H2838" i="59"/>
  <c r="H2839" i="59"/>
  <c r="H2840" i="59"/>
  <c r="H2841" i="59"/>
  <c r="H2842" i="59"/>
  <c r="H2843" i="59"/>
  <c r="H2844" i="59"/>
  <c r="H2845" i="59"/>
  <c r="H2846" i="59"/>
  <c r="H2847" i="59"/>
  <c r="H2848" i="59"/>
  <c r="H2849" i="59"/>
  <c r="H2850" i="59"/>
  <c r="H2851" i="59"/>
  <c r="H2852" i="59"/>
  <c r="H2853" i="59"/>
  <c r="H2854" i="59"/>
  <c r="H2855" i="59"/>
  <c r="H2856" i="59"/>
  <c r="H2857" i="59"/>
  <c r="H2858" i="59"/>
  <c r="H2859" i="59"/>
  <c r="H2860" i="59"/>
  <c r="H2861" i="59"/>
  <c r="H2862" i="59"/>
  <c r="H2863" i="59"/>
  <c r="H2864" i="59"/>
  <c r="H2865" i="59"/>
  <c r="H2866" i="59"/>
  <c r="H2867" i="59"/>
  <c r="H2868" i="59"/>
  <c r="H2869" i="59"/>
  <c r="H2870" i="59"/>
  <c r="H2871" i="59"/>
  <c r="H2872" i="59"/>
  <c r="H2873" i="59"/>
  <c r="H2874" i="59"/>
  <c r="H2875" i="59"/>
  <c r="H2876" i="59"/>
  <c r="H2877" i="59"/>
  <c r="H2878" i="59"/>
  <c r="H2879" i="59"/>
  <c r="H2880" i="59"/>
  <c r="H2881" i="59"/>
  <c r="H2882" i="59"/>
  <c r="H2883" i="59"/>
  <c r="H2884" i="59"/>
  <c r="H2885" i="59"/>
  <c r="H2886" i="59"/>
  <c r="H2887" i="59"/>
  <c r="H2888" i="59"/>
  <c r="H2889" i="59"/>
  <c r="H2890" i="59"/>
  <c r="H2891" i="59"/>
  <c r="H2892" i="59"/>
  <c r="H2893" i="59"/>
  <c r="H2894" i="59"/>
  <c r="H2895" i="59"/>
  <c r="H2896" i="59"/>
  <c r="H2897" i="59"/>
  <c r="H2898" i="59"/>
  <c r="H2899" i="59"/>
  <c r="H2900" i="59"/>
  <c r="H2901" i="59"/>
  <c r="H2902" i="59"/>
  <c r="H2903" i="59"/>
  <c r="H2904" i="59"/>
  <c r="H2905" i="59"/>
  <c r="H2906" i="59"/>
  <c r="H2907" i="59"/>
  <c r="H2908" i="59"/>
  <c r="H2909" i="59"/>
  <c r="H2910" i="59"/>
  <c r="H2911" i="59"/>
  <c r="H2912" i="59"/>
  <c r="H2913" i="59"/>
  <c r="H2914" i="59"/>
  <c r="H2915" i="59"/>
  <c r="H2916" i="59"/>
  <c r="H2917" i="59"/>
  <c r="H2918" i="59"/>
  <c r="H2919" i="59"/>
  <c r="H2920" i="59"/>
  <c r="H2921" i="59"/>
  <c r="H2922" i="59"/>
  <c r="H2923" i="59"/>
  <c r="H2924" i="59"/>
  <c r="H2925" i="59"/>
  <c r="H2926" i="59"/>
  <c r="H2927" i="59"/>
  <c r="H2928" i="59"/>
  <c r="H2929" i="59"/>
  <c r="H2930" i="59"/>
  <c r="H2931" i="59"/>
  <c r="H2932" i="59"/>
  <c r="H2933" i="59"/>
  <c r="H2934" i="59"/>
  <c r="H2935" i="59"/>
  <c r="H2936" i="59"/>
  <c r="H2937" i="59"/>
  <c r="H2938" i="59"/>
  <c r="H2939" i="59"/>
  <c r="H2940" i="59"/>
  <c r="H2941" i="59"/>
  <c r="H2942" i="59"/>
  <c r="H2943" i="59"/>
  <c r="H2944" i="59"/>
  <c r="H2945" i="59"/>
  <c r="H2946" i="59"/>
  <c r="H2947" i="59"/>
  <c r="H2948" i="59"/>
  <c r="H2949" i="59"/>
  <c r="H2950" i="59"/>
  <c r="H2951" i="59"/>
  <c r="H2952" i="59"/>
  <c r="H2953" i="59"/>
  <c r="H2954" i="59"/>
  <c r="H2955" i="59"/>
  <c r="H2956" i="59"/>
  <c r="H2957" i="59"/>
  <c r="H2958" i="59"/>
  <c r="H2959" i="59"/>
  <c r="H2960" i="59"/>
  <c r="H2961" i="59"/>
  <c r="H2962" i="59"/>
  <c r="H2963" i="59"/>
  <c r="H2964" i="59"/>
  <c r="H2965" i="59"/>
  <c r="H2966" i="59"/>
  <c r="H2967" i="59"/>
  <c r="H2968" i="59"/>
  <c r="H2969" i="59"/>
  <c r="H2970" i="59"/>
  <c r="H2971" i="59"/>
  <c r="H2972" i="59"/>
  <c r="H2973" i="59"/>
  <c r="H2974" i="59"/>
  <c r="H2975" i="59"/>
  <c r="H2976" i="59"/>
  <c r="H2977" i="59"/>
  <c r="H2978" i="59"/>
  <c r="H2979" i="59"/>
  <c r="H2980" i="59"/>
  <c r="H2981" i="59"/>
  <c r="H2982" i="59"/>
  <c r="H2983" i="59"/>
  <c r="H2984" i="59"/>
  <c r="H2985" i="59"/>
  <c r="H2986" i="59"/>
  <c r="H2987" i="59"/>
  <c r="H2988" i="59"/>
  <c r="H2989" i="59"/>
  <c r="H2990" i="59"/>
  <c r="H2991" i="59"/>
  <c r="H2992" i="59"/>
  <c r="H2993" i="59"/>
  <c r="H2994" i="59"/>
  <c r="H2995" i="59"/>
  <c r="H2996" i="59"/>
  <c r="H2997" i="59"/>
  <c r="H2998" i="59"/>
  <c r="H2999" i="59"/>
  <c r="H3000" i="59"/>
  <c r="H3001" i="59"/>
  <c r="H3002" i="59"/>
  <c r="H3003" i="59"/>
  <c r="H3004" i="59"/>
  <c r="H3005" i="59"/>
  <c r="H3006" i="59"/>
  <c r="H3007" i="59"/>
  <c r="H3008" i="59"/>
  <c r="H3009" i="59"/>
  <c r="H3010" i="59"/>
  <c r="H3011" i="59"/>
  <c r="H3012" i="59"/>
  <c r="H3013" i="59"/>
  <c r="H3014" i="59"/>
  <c r="H3015" i="59"/>
  <c r="H3016" i="59"/>
  <c r="H3017" i="59"/>
  <c r="H3018" i="59"/>
  <c r="H3019" i="59"/>
  <c r="H3020" i="59"/>
  <c r="H3021" i="59"/>
  <c r="H3022" i="59"/>
  <c r="H3023" i="59"/>
  <c r="H3024" i="59"/>
  <c r="H3025" i="59"/>
  <c r="H3026" i="59"/>
  <c r="H3027" i="59"/>
  <c r="H3028" i="59"/>
  <c r="H3029" i="59"/>
  <c r="H3030" i="59"/>
  <c r="H3031" i="59"/>
  <c r="H3032" i="59"/>
  <c r="H3033" i="59"/>
  <c r="H3034" i="59"/>
  <c r="H3035" i="59"/>
  <c r="H3036" i="59"/>
  <c r="H3037" i="59"/>
  <c r="H3038" i="59"/>
  <c r="H3039" i="59"/>
  <c r="H3040" i="59"/>
  <c r="H3041" i="59"/>
  <c r="H3042" i="59"/>
  <c r="H3043" i="59"/>
  <c r="H3044" i="59"/>
  <c r="H3045" i="59"/>
  <c r="H3046" i="59"/>
  <c r="H3047" i="59"/>
  <c r="H3048" i="59"/>
  <c r="H3049" i="59"/>
  <c r="H3050" i="59"/>
  <c r="H3051" i="59"/>
  <c r="H3052" i="59"/>
  <c r="H3053" i="59"/>
  <c r="H3054" i="59"/>
  <c r="H3055" i="59"/>
  <c r="H3056" i="59"/>
  <c r="H3057" i="59"/>
  <c r="H3058" i="59"/>
  <c r="H3059" i="59"/>
  <c r="H3060" i="59"/>
  <c r="H3061" i="59"/>
  <c r="H3062" i="59"/>
  <c r="H3063" i="59"/>
  <c r="H3064" i="59"/>
  <c r="H3065" i="59"/>
  <c r="H3066" i="59"/>
  <c r="H3067" i="59"/>
  <c r="H3068" i="59"/>
  <c r="H3069" i="59"/>
  <c r="H3070" i="59"/>
  <c r="H3071" i="59"/>
  <c r="H3072" i="59"/>
  <c r="H3073" i="59"/>
  <c r="H3074" i="59"/>
  <c r="H3075" i="59"/>
  <c r="H3076" i="59"/>
  <c r="H3077" i="59"/>
  <c r="H3078" i="59"/>
  <c r="H3079" i="59"/>
  <c r="H3080" i="59"/>
  <c r="H3081" i="59"/>
  <c r="H3082" i="59"/>
  <c r="H3083" i="59"/>
  <c r="H3084" i="59"/>
  <c r="H3085" i="59"/>
  <c r="H3086" i="59"/>
  <c r="H3087" i="59"/>
  <c r="H3088" i="59"/>
  <c r="H3089" i="59"/>
  <c r="H3090" i="59"/>
  <c r="H3091" i="59"/>
  <c r="H3092" i="59"/>
  <c r="H3093" i="59"/>
  <c r="H3094" i="59"/>
  <c r="H3095" i="59"/>
  <c r="H3096" i="59"/>
  <c r="H3097" i="59"/>
  <c r="H3098" i="59"/>
  <c r="H3099" i="59"/>
  <c r="H3100" i="59"/>
  <c r="H3101" i="59"/>
  <c r="H3102" i="59"/>
  <c r="H3103" i="59"/>
  <c r="H3104" i="59"/>
  <c r="H3105" i="59"/>
  <c r="H3106" i="59"/>
  <c r="H3107" i="59"/>
  <c r="H3108" i="59"/>
  <c r="H3109" i="59"/>
  <c r="H3110" i="59"/>
  <c r="H3111" i="59"/>
  <c r="H3112" i="59"/>
  <c r="H3113" i="59"/>
  <c r="H3114" i="59"/>
  <c r="H3115" i="59"/>
  <c r="H3116" i="59"/>
  <c r="H3117" i="59"/>
  <c r="H3118" i="59"/>
  <c r="H3119" i="59"/>
  <c r="H3120" i="59"/>
  <c r="H3121" i="59"/>
  <c r="H3122" i="59"/>
  <c r="H3123" i="59"/>
  <c r="H3124" i="59"/>
  <c r="H3125" i="59"/>
  <c r="H3126" i="59"/>
  <c r="H3127" i="59"/>
  <c r="H3128" i="59"/>
  <c r="H3129" i="59"/>
  <c r="H3130" i="59"/>
  <c r="H3131" i="59"/>
  <c r="H3132" i="59"/>
  <c r="H3133" i="59"/>
  <c r="H3134" i="59"/>
  <c r="H3135" i="59"/>
  <c r="H3136" i="59"/>
  <c r="H3137" i="59"/>
  <c r="H3138" i="59"/>
  <c r="H3139" i="59"/>
  <c r="H3140" i="59"/>
  <c r="H3141" i="59"/>
  <c r="H3142" i="59"/>
  <c r="H3143" i="59"/>
  <c r="H3144" i="59"/>
  <c r="H3145" i="59"/>
  <c r="H3146" i="59"/>
  <c r="H3147" i="59"/>
  <c r="H3148" i="59"/>
  <c r="H3149" i="59"/>
  <c r="H3150" i="59"/>
  <c r="H3151" i="59"/>
  <c r="H3152" i="59"/>
  <c r="H3153" i="59"/>
  <c r="H3154" i="59"/>
  <c r="H3155" i="59"/>
  <c r="H3156" i="59"/>
  <c r="H3157" i="59"/>
  <c r="H3158" i="59"/>
  <c r="H3159" i="59"/>
  <c r="H3160" i="59"/>
  <c r="H3161" i="59"/>
  <c r="H3162" i="59"/>
  <c r="H3163" i="59"/>
  <c r="H3164" i="59"/>
  <c r="H3165" i="59"/>
  <c r="H3166" i="59"/>
  <c r="H3167" i="59"/>
  <c r="H3168" i="59"/>
  <c r="H3169" i="59"/>
  <c r="H3170" i="59"/>
  <c r="H3171" i="59"/>
  <c r="H3172" i="59"/>
  <c r="H3173" i="59"/>
  <c r="H3174" i="59"/>
  <c r="H3175" i="59"/>
  <c r="H3176" i="59"/>
  <c r="H3177" i="59"/>
  <c r="H3178" i="59"/>
  <c r="H3179" i="59"/>
  <c r="H3180" i="59"/>
  <c r="H3181" i="59"/>
  <c r="H3182" i="59"/>
  <c r="H3183" i="59"/>
  <c r="H3184" i="59"/>
  <c r="H3185" i="59"/>
  <c r="H3186" i="59"/>
  <c r="H3187" i="59"/>
  <c r="H3188" i="59"/>
  <c r="H3189" i="59"/>
  <c r="H3190" i="59"/>
  <c r="H3191" i="59"/>
  <c r="H3192" i="59"/>
  <c r="H3193" i="59"/>
  <c r="H3194" i="59"/>
  <c r="H3195" i="59"/>
  <c r="H3196" i="59"/>
  <c r="H3197" i="59"/>
  <c r="H3198" i="59"/>
  <c r="H3199" i="59"/>
  <c r="H3200" i="59"/>
  <c r="H3201" i="59"/>
  <c r="H3202" i="59"/>
  <c r="H3203" i="59"/>
  <c r="H3204" i="59"/>
  <c r="H3205" i="59"/>
  <c r="H3206" i="59"/>
  <c r="H3207" i="59"/>
  <c r="H3208" i="59"/>
  <c r="H3209" i="59"/>
  <c r="H3210" i="59"/>
  <c r="H3211" i="59"/>
  <c r="H3212" i="59"/>
  <c r="H3213" i="59"/>
  <c r="H3214" i="59"/>
  <c r="H3215" i="59"/>
  <c r="H3216" i="59"/>
  <c r="H3217" i="59"/>
  <c r="H3218" i="59"/>
  <c r="H3219" i="59"/>
  <c r="H3220" i="59"/>
  <c r="H3221" i="59"/>
  <c r="H3222" i="59"/>
  <c r="H3223" i="59"/>
  <c r="H3224" i="59"/>
  <c r="H3225" i="59"/>
  <c r="H3226" i="59"/>
  <c r="H3227" i="59"/>
  <c r="H3228" i="59"/>
  <c r="H3229" i="59"/>
  <c r="H3230" i="59"/>
  <c r="H3231" i="59"/>
  <c r="H3232" i="59"/>
  <c r="H3233" i="59"/>
  <c r="H3234" i="59"/>
  <c r="H3235" i="59"/>
  <c r="H3236" i="59"/>
  <c r="H3237" i="59"/>
  <c r="H3238" i="59"/>
  <c r="H3239" i="59"/>
  <c r="H3240" i="59"/>
  <c r="H3241" i="59"/>
  <c r="H3242" i="59"/>
  <c r="H3243" i="59"/>
  <c r="H3244" i="59"/>
  <c r="H3245" i="59"/>
  <c r="H3246" i="59"/>
  <c r="H3247" i="59"/>
  <c r="H3248" i="59"/>
  <c r="H3249" i="59"/>
  <c r="H3250" i="59"/>
  <c r="H3251" i="59"/>
  <c r="H3252" i="59"/>
  <c r="H3253" i="59"/>
  <c r="H3254" i="59"/>
  <c r="H3255" i="59"/>
  <c r="H3256" i="59"/>
  <c r="H3257" i="59"/>
  <c r="H3258" i="59"/>
  <c r="H3259" i="59"/>
  <c r="H3260" i="59"/>
  <c r="H3261" i="59"/>
  <c r="H3262" i="59"/>
  <c r="H3263" i="59"/>
  <c r="H3264" i="59"/>
  <c r="H3265" i="59"/>
  <c r="H3266" i="59"/>
  <c r="H3267" i="59"/>
  <c r="H3268" i="59"/>
  <c r="H3269" i="59"/>
  <c r="H3270" i="59"/>
  <c r="H3271" i="59"/>
  <c r="H3272" i="59"/>
  <c r="H3273" i="59"/>
  <c r="H3274" i="59"/>
  <c r="H3275" i="59"/>
  <c r="H3276" i="59"/>
  <c r="H3277" i="59"/>
  <c r="H3278" i="59"/>
  <c r="H3279" i="59"/>
  <c r="H3280" i="59"/>
  <c r="H3281" i="59"/>
  <c r="H3282" i="59"/>
  <c r="H3283" i="59"/>
  <c r="H3284" i="59"/>
  <c r="H3285" i="59"/>
  <c r="H3286" i="59"/>
  <c r="H3287" i="59"/>
  <c r="H3288" i="59"/>
  <c r="H3289" i="59"/>
  <c r="H3290" i="59"/>
  <c r="H3291" i="59"/>
  <c r="H3292" i="59"/>
  <c r="H3293" i="59"/>
  <c r="H3294" i="59"/>
  <c r="H3295" i="59"/>
  <c r="H3296" i="59"/>
  <c r="H3297" i="59"/>
  <c r="H3298" i="59"/>
  <c r="H3299" i="59"/>
  <c r="H3300" i="59"/>
  <c r="H3301" i="59"/>
  <c r="H3302" i="59"/>
  <c r="H3303" i="59"/>
  <c r="H3304" i="59"/>
  <c r="H3305" i="59"/>
  <c r="H3306" i="59"/>
  <c r="H3307" i="59"/>
  <c r="H3308" i="59"/>
  <c r="H3309" i="59"/>
  <c r="H3310" i="59"/>
  <c r="H3311" i="59"/>
  <c r="H3312" i="59"/>
  <c r="H3313" i="59"/>
  <c r="H3314" i="59"/>
  <c r="H3315" i="59"/>
  <c r="H3316" i="59"/>
  <c r="H3317" i="59"/>
  <c r="H3318" i="59"/>
  <c r="H3319" i="59"/>
  <c r="H3320" i="59"/>
  <c r="H3321" i="59"/>
  <c r="H3322" i="59"/>
  <c r="H3323" i="59"/>
  <c r="H3324" i="59"/>
  <c r="H3325" i="59"/>
  <c r="H3326" i="59"/>
  <c r="H3327" i="59"/>
  <c r="H3328" i="59"/>
  <c r="H3329" i="59"/>
  <c r="H3330" i="59"/>
  <c r="H3331" i="59"/>
  <c r="H3332" i="59"/>
  <c r="H3333" i="59"/>
  <c r="H3334" i="59"/>
  <c r="H3335" i="59"/>
  <c r="H3336" i="59"/>
  <c r="H3337" i="59"/>
  <c r="H3338" i="59"/>
  <c r="H3339" i="59"/>
  <c r="H3340" i="59"/>
  <c r="H3341" i="59"/>
  <c r="H3342" i="59"/>
  <c r="H3343" i="59"/>
  <c r="H3344" i="59"/>
  <c r="H3345" i="59"/>
  <c r="H3346" i="59"/>
  <c r="H3347" i="59"/>
  <c r="H3348" i="59"/>
  <c r="H3349" i="59"/>
  <c r="H3350" i="59"/>
  <c r="H3351" i="59"/>
  <c r="H3352" i="59"/>
  <c r="H3353" i="59"/>
  <c r="H3354" i="59"/>
  <c r="H3355" i="59"/>
  <c r="H3356" i="59"/>
  <c r="H3357" i="59"/>
  <c r="H3358" i="59"/>
  <c r="H3359" i="59"/>
  <c r="H3360" i="59"/>
  <c r="H3361" i="59"/>
  <c r="H3362" i="59"/>
  <c r="H3363" i="59"/>
  <c r="H3364" i="59"/>
  <c r="H3365" i="59"/>
  <c r="H3366" i="59"/>
  <c r="H3367" i="59"/>
  <c r="H3368" i="59"/>
  <c r="H3369" i="59"/>
  <c r="H3370" i="59"/>
  <c r="H3371" i="59"/>
  <c r="H3372" i="59"/>
  <c r="H3373" i="59"/>
  <c r="H3374" i="59"/>
  <c r="H3375" i="59"/>
  <c r="H3376" i="59"/>
  <c r="H3377" i="59"/>
  <c r="H3378" i="59"/>
  <c r="H3379" i="59"/>
  <c r="H3380" i="59"/>
  <c r="H3381" i="59"/>
  <c r="H3382" i="59"/>
  <c r="H3383" i="59"/>
  <c r="H3384" i="59"/>
  <c r="H3385" i="59"/>
  <c r="H3386" i="59"/>
  <c r="H3387" i="59"/>
  <c r="H3388" i="59"/>
  <c r="H3389" i="59"/>
  <c r="H3390" i="59"/>
  <c r="H3391" i="59"/>
  <c r="H3392" i="59"/>
  <c r="H3393" i="59"/>
  <c r="H3394" i="59"/>
  <c r="H3395" i="59"/>
  <c r="H3396" i="59"/>
  <c r="H3397" i="59"/>
  <c r="H3398" i="59"/>
  <c r="H3399" i="59"/>
  <c r="H3400" i="59"/>
  <c r="H3401" i="59"/>
  <c r="H3402" i="59"/>
  <c r="H3403" i="59"/>
  <c r="H3404" i="59"/>
  <c r="H3405" i="59"/>
  <c r="H3406" i="59"/>
  <c r="H3407" i="59"/>
  <c r="H3408" i="59"/>
  <c r="H3409" i="59"/>
  <c r="H3410" i="59"/>
  <c r="H3411" i="59"/>
  <c r="H3412" i="59"/>
  <c r="H3413" i="59"/>
  <c r="H3414" i="59"/>
  <c r="H3415" i="59"/>
  <c r="H3416" i="59"/>
  <c r="H3417" i="59"/>
  <c r="H3418" i="59"/>
  <c r="H3419" i="59"/>
  <c r="H3420" i="59"/>
  <c r="H3421" i="59"/>
  <c r="H3422" i="59"/>
  <c r="H3423" i="59"/>
  <c r="H3424" i="59"/>
  <c r="H3425" i="59"/>
  <c r="H3426" i="59"/>
  <c r="H3427" i="59"/>
  <c r="H3428" i="59"/>
  <c r="H3429" i="59"/>
  <c r="H3430" i="59"/>
  <c r="H3431" i="59"/>
  <c r="H3432" i="59"/>
  <c r="H3433" i="59"/>
  <c r="H3434" i="59"/>
  <c r="H3435" i="59"/>
  <c r="H3436" i="59"/>
  <c r="H3437" i="59"/>
  <c r="H3438" i="59"/>
  <c r="H3439" i="59"/>
  <c r="H3440" i="59"/>
  <c r="H3441" i="59"/>
  <c r="H3442" i="59"/>
  <c r="H3443" i="59"/>
  <c r="H3444" i="59"/>
  <c r="H3445" i="59"/>
  <c r="H3446" i="59"/>
  <c r="H3447" i="59"/>
  <c r="H3448" i="59"/>
  <c r="H3449" i="59"/>
  <c r="H3450" i="59"/>
  <c r="H3451" i="59"/>
  <c r="H3452" i="59"/>
  <c r="H3453" i="59"/>
  <c r="H3454" i="59"/>
  <c r="H3455" i="59"/>
  <c r="H3456" i="59"/>
  <c r="H3457" i="59"/>
  <c r="H3458" i="59"/>
  <c r="H3459" i="59"/>
  <c r="H3460" i="59"/>
  <c r="H3461" i="59"/>
  <c r="H3462" i="59"/>
  <c r="H3463" i="59"/>
  <c r="H3464" i="59"/>
  <c r="H3465" i="59"/>
  <c r="H3466" i="59"/>
  <c r="H3467" i="59"/>
  <c r="H3468" i="59"/>
  <c r="H3469" i="59"/>
  <c r="H3470" i="59"/>
  <c r="H3471" i="59"/>
  <c r="H3472" i="59"/>
  <c r="H3473" i="59"/>
  <c r="H3474" i="59"/>
  <c r="H3475" i="59"/>
  <c r="H3476" i="59"/>
  <c r="H3477" i="59"/>
  <c r="H3478" i="59"/>
  <c r="H3479" i="59"/>
  <c r="H3480" i="59"/>
  <c r="H3481" i="59"/>
  <c r="H3482" i="59"/>
  <c r="H3483" i="59"/>
  <c r="H3484" i="59"/>
  <c r="H3485" i="59"/>
  <c r="H3486" i="59"/>
  <c r="H3487" i="59"/>
  <c r="H3488" i="59"/>
  <c r="H3489" i="59"/>
  <c r="H3490" i="59"/>
  <c r="H3491" i="59"/>
  <c r="H3492" i="59"/>
  <c r="H3493" i="59"/>
  <c r="H3494" i="59"/>
  <c r="H3495" i="59"/>
  <c r="H3496" i="59"/>
  <c r="H3497" i="59"/>
  <c r="H3498" i="59"/>
  <c r="H3499" i="59"/>
  <c r="H3500" i="59"/>
  <c r="H3501" i="59"/>
  <c r="H3502" i="59"/>
  <c r="H3503" i="59"/>
  <c r="H3504" i="59"/>
  <c r="H3505" i="59"/>
  <c r="H3506" i="59"/>
  <c r="H3507" i="59"/>
  <c r="H3508" i="59"/>
  <c r="H3509" i="59"/>
  <c r="H3510" i="59"/>
  <c r="H3511" i="59"/>
  <c r="H3512" i="59"/>
  <c r="H3513" i="59"/>
  <c r="H3514" i="59"/>
  <c r="H3515" i="59"/>
  <c r="H3516" i="59"/>
  <c r="H3517" i="59"/>
  <c r="H3518" i="59"/>
  <c r="H3519" i="59"/>
  <c r="H3520" i="59"/>
  <c r="H3521" i="59"/>
  <c r="H3522" i="59"/>
  <c r="H3523" i="59"/>
  <c r="H3524" i="59"/>
  <c r="H3525" i="59"/>
  <c r="H3526" i="59"/>
  <c r="H3527" i="59"/>
  <c r="H3528" i="59"/>
  <c r="H3529" i="59"/>
  <c r="H3530" i="59"/>
  <c r="H3531" i="59"/>
  <c r="H3532" i="59"/>
  <c r="H3533" i="59"/>
  <c r="H3534" i="59"/>
  <c r="H3535" i="59"/>
  <c r="H3536" i="59"/>
  <c r="H3537" i="59"/>
  <c r="H3538" i="59"/>
  <c r="H3539" i="59"/>
  <c r="H3540" i="59"/>
  <c r="H3541" i="59"/>
  <c r="H3542" i="59"/>
  <c r="H3543" i="59"/>
  <c r="H3544" i="59"/>
  <c r="H3545" i="59"/>
  <c r="H3546" i="59"/>
  <c r="H3547" i="59"/>
  <c r="H3548" i="59"/>
  <c r="H3549" i="59"/>
  <c r="H3550" i="59"/>
  <c r="H3551" i="59"/>
  <c r="H3552" i="59"/>
  <c r="H3553" i="59"/>
  <c r="H3554" i="59"/>
  <c r="H3555" i="59"/>
  <c r="H3556" i="59"/>
  <c r="H3557" i="59"/>
  <c r="H3558" i="59"/>
  <c r="H3559" i="59"/>
  <c r="H3560" i="59"/>
  <c r="H3561" i="59"/>
  <c r="H3562" i="59"/>
  <c r="H3563" i="59"/>
  <c r="H3564" i="59"/>
  <c r="H3565" i="59"/>
  <c r="H3566" i="59"/>
  <c r="H3567" i="59"/>
  <c r="H3568" i="59"/>
  <c r="H3569" i="59"/>
  <c r="H3570" i="59"/>
  <c r="H3571" i="59"/>
  <c r="H3572" i="59"/>
  <c r="H3573" i="59"/>
  <c r="H3574" i="59"/>
  <c r="H3575" i="59"/>
  <c r="H3576" i="59"/>
  <c r="H3577" i="59"/>
  <c r="H3578" i="59"/>
  <c r="H3579" i="59"/>
  <c r="H3580" i="59"/>
  <c r="H3581" i="59"/>
  <c r="H3582" i="59"/>
  <c r="H3583" i="59"/>
  <c r="H3584" i="59"/>
  <c r="H3585" i="59"/>
  <c r="H3586" i="59"/>
  <c r="H3587" i="59"/>
  <c r="H3588" i="59"/>
  <c r="H3589" i="59"/>
  <c r="H3590" i="59"/>
  <c r="H3591" i="59"/>
  <c r="H3592" i="59"/>
  <c r="H3593" i="59"/>
  <c r="H3594" i="59"/>
  <c r="H3595" i="59"/>
  <c r="H3596" i="59"/>
  <c r="H3597" i="59"/>
  <c r="H3598" i="59"/>
  <c r="H3599" i="59"/>
  <c r="H3600" i="59"/>
  <c r="H3601" i="59"/>
  <c r="H3602" i="59"/>
  <c r="H3603" i="59"/>
  <c r="H3604" i="59"/>
  <c r="H3605" i="59"/>
  <c r="H3606" i="59"/>
  <c r="H3607" i="59"/>
  <c r="H3608" i="59"/>
  <c r="H3609" i="59"/>
  <c r="H3610" i="59"/>
  <c r="H3611" i="59"/>
  <c r="H3612" i="59"/>
  <c r="H3613" i="59"/>
  <c r="H3614" i="59"/>
  <c r="H3615" i="59"/>
  <c r="H3616" i="59"/>
  <c r="H3617" i="59"/>
  <c r="H3618" i="59"/>
  <c r="H3619" i="59"/>
  <c r="H3620" i="59"/>
  <c r="H3621" i="59"/>
  <c r="H3622" i="59"/>
  <c r="H3623" i="59"/>
  <c r="H3624" i="59"/>
  <c r="H3625" i="59"/>
  <c r="H3626" i="59"/>
  <c r="H3627" i="59"/>
  <c r="H3628" i="59"/>
  <c r="H3629" i="59"/>
  <c r="H3630" i="59"/>
  <c r="H3631" i="59"/>
  <c r="H3632" i="59"/>
  <c r="H3633" i="59"/>
  <c r="H3634" i="59"/>
  <c r="H3635" i="59"/>
  <c r="H3636" i="59"/>
  <c r="H3637" i="59"/>
  <c r="H3638" i="59"/>
  <c r="H3639" i="59"/>
  <c r="H3640" i="59"/>
  <c r="H3641" i="59"/>
  <c r="H3642" i="59"/>
  <c r="H3643" i="59"/>
  <c r="H3644" i="59"/>
  <c r="H3645" i="59"/>
  <c r="H3646" i="59"/>
  <c r="H3647" i="59"/>
  <c r="H3648" i="59"/>
  <c r="H3649" i="59"/>
  <c r="H3650" i="59"/>
  <c r="H3651" i="59"/>
  <c r="H3652" i="59"/>
  <c r="H3653" i="59"/>
  <c r="H3654" i="59"/>
  <c r="H3655" i="59"/>
  <c r="H3656" i="59"/>
  <c r="H3657" i="59"/>
  <c r="H3658" i="59"/>
  <c r="H3659" i="59"/>
  <c r="H3660" i="59"/>
  <c r="H3661" i="59"/>
  <c r="H3662" i="59"/>
  <c r="H3663" i="59"/>
  <c r="H3664" i="59"/>
  <c r="H3665" i="59"/>
  <c r="H3666" i="59"/>
  <c r="H3667" i="59"/>
  <c r="H3668" i="59"/>
  <c r="H3669" i="59"/>
  <c r="H3670" i="59"/>
  <c r="H3671" i="59"/>
  <c r="H3672" i="59"/>
  <c r="H3673" i="59"/>
  <c r="H3674" i="59"/>
  <c r="H3675" i="59"/>
  <c r="H3676" i="59"/>
  <c r="H3677" i="59"/>
  <c r="H3678" i="59"/>
  <c r="H3679" i="59"/>
  <c r="H3680" i="59"/>
  <c r="H3681" i="59"/>
  <c r="H3682" i="59"/>
  <c r="H3683" i="59"/>
  <c r="H3684" i="59"/>
  <c r="H3685" i="59"/>
  <c r="H3686" i="59"/>
  <c r="H3687" i="59"/>
  <c r="H3688" i="59"/>
  <c r="H3689" i="59"/>
  <c r="H3690" i="59"/>
  <c r="H3691" i="59"/>
  <c r="H3692" i="59"/>
  <c r="H3693" i="59"/>
  <c r="H3694" i="59"/>
  <c r="H3695" i="59"/>
  <c r="H3696" i="59"/>
  <c r="H3697" i="59"/>
  <c r="H3698" i="59"/>
  <c r="H3699" i="59"/>
  <c r="H3700" i="59"/>
  <c r="H3701" i="59"/>
  <c r="H3702" i="59"/>
  <c r="H3703" i="59"/>
  <c r="H3704" i="59"/>
  <c r="H3705" i="59"/>
  <c r="H3706" i="59"/>
  <c r="H3707" i="59"/>
  <c r="H3708" i="59"/>
  <c r="H3709" i="59"/>
  <c r="H3710" i="59"/>
  <c r="H3711" i="59"/>
  <c r="H3712" i="59"/>
  <c r="H3713" i="59"/>
  <c r="H3714" i="59"/>
  <c r="H3715" i="59"/>
  <c r="H3716" i="59"/>
  <c r="H3717" i="59"/>
  <c r="H3718" i="59"/>
  <c r="H3719" i="59"/>
  <c r="H3720" i="59"/>
  <c r="H3721" i="59"/>
  <c r="H3722" i="59"/>
  <c r="H3723" i="59"/>
  <c r="H3724" i="59"/>
  <c r="H3725" i="59"/>
  <c r="H3726" i="59"/>
  <c r="H3727" i="59"/>
  <c r="H3728" i="59"/>
  <c r="H3729" i="59"/>
  <c r="H3730" i="59"/>
  <c r="H3731" i="59"/>
  <c r="H3732" i="59"/>
  <c r="H3733" i="59"/>
  <c r="H3734" i="59"/>
  <c r="H3735" i="59"/>
  <c r="H3736" i="59"/>
  <c r="H3737" i="59"/>
  <c r="H3738" i="59"/>
  <c r="H3739" i="59"/>
  <c r="H3740" i="59"/>
  <c r="H3741" i="59"/>
  <c r="H3742" i="59"/>
  <c r="H3743" i="59"/>
  <c r="H3744" i="59"/>
  <c r="H3745" i="59"/>
  <c r="H3746" i="59"/>
  <c r="H3747" i="59"/>
  <c r="H3748" i="59"/>
  <c r="H3749" i="59"/>
  <c r="H3750" i="59"/>
  <c r="H3751" i="59"/>
  <c r="H3752" i="59"/>
  <c r="H3753" i="59"/>
  <c r="H3754" i="59"/>
  <c r="H3755" i="59"/>
  <c r="H3756" i="59"/>
  <c r="H3757" i="59"/>
  <c r="H3758" i="59"/>
  <c r="H3759" i="59"/>
  <c r="H3760" i="59"/>
  <c r="H3761" i="59"/>
  <c r="H3762" i="59"/>
  <c r="H3763" i="59"/>
  <c r="H3764" i="59"/>
  <c r="H3765" i="59"/>
  <c r="H3766" i="59"/>
  <c r="H3767" i="59"/>
  <c r="H3768" i="59"/>
  <c r="H3769" i="59"/>
  <c r="H3770" i="59"/>
  <c r="H3771" i="59"/>
  <c r="H3772" i="59"/>
  <c r="H3773" i="59"/>
  <c r="H3774" i="59"/>
  <c r="H3775" i="59"/>
  <c r="H3776" i="59"/>
  <c r="H3777" i="59"/>
  <c r="H3778" i="59"/>
  <c r="H3779" i="59"/>
  <c r="H3780" i="59"/>
  <c r="H3781" i="59"/>
  <c r="H3782" i="59"/>
  <c r="H3783" i="59"/>
  <c r="H3784" i="59"/>
  <c r="H3785" i="59"/>
  <c r="H3786" i="59"/>
  <c r="H3787" i="59"/>
  <c r="H3788" i="59"/>
  <c r="H3789" i="59"/>
  <c r="H3790" i="59"/>
  <c r="H3791" i="59"/>
  <c r="H3792" i="59"/>
  <c r="H3793" i="59"/>
  <c r="H3794" i="59"/>
  <c r="H3795" i="59"/>
  <c r="H3796" i="59"/>
  <c r="H3797" i="59"/>
  <c r="H3798" i="59"/>
  <c r="H3799" i="59"/>
  <c r="H3800" i="59"/>
  <c r="H3801" i="59"/>
  <c r="H3802" i="59"/>
  <c r="H3803" i="59"/>
  <c r="H3804" i="59"/>
  <c r="H3805" i="59"/>
  <c r="H3806" i="59"/>
  <c r="H3807" i="59"/>
  <c r="H3808" i="59"/>
  <c r="H3809" i="59"/>
  <c r="H3810" i="59"/>
  <c r="H3811" i="59"/>
  <c r="H3812" i="59"/>
  <c r="H3813" i="59"/>
  <c r="H3814" i="59"/>
  <c r="H3815" i="59"/>
  <c r="H3816" i="59"/>
  <c r="H3817" i="59"/>
  <c r="H3818" i="59"/>
  <c r="H3819" i="59"/>
  <c r="H3820" i="59"/>
  <c r="H3821" i="59"/>
  <c r="H3822" i="59"/>
  <c r="H3823" i="59"/>
  <c r="H3824" i="59"/>
  <c r="H3825" i="59"/>
  <c r="H3826" i="59"/>
  <c r="H3827" i="59"/>
  <c r="H3828" i="59"/>
  <c r="H3829" i="59"/>
  <c r="H3830" i="59"/>
  <c r="H3831" i="59"/>
  <c r="H3832" i="59"/>
  <c r="H3833" i="59"/>
  <c r="H3834" i="59"/>
  <c r="H3835" i="59"/>
  <c r="H3836" i="59"/>
  <c r="H3837" i="59"/>
  <c r="H3838" i="59"/>
  <c r="H3839" i="59"/>
  <c r="H3840" i="59"/>
  <c r="H3841" i="59"/>
  <c r="H3842" i="59"/>
  <c r="H3843" i="59"/>
  <c r="H3844" i="59"/>
  <c r="H3845" i="59"/>
  <c r="H3846" i="59"/>
  <c r="H3847" i="59"/>
  <c r="H3848" i="59"/>
  <c r="H3849" i="59"/>
  <c r="H3850" i="59"/>
  <c r="H3851" i="59"/>
  <c r="H3852" i="59"/>
  <c r="H3853" i="59"/>
  <c r="H3854" i="59"/>
  <c r="H3855" i="59"/>
  <c r="H3856" i="59"/>
  <c r="H3857" i="59"/>
  <c r="H3858" i="59"/>
  <c r="H3859" i="59"/>
  <c r="H3860" i="59"/>
  <c r="H3861" i="59"/>
  <c r="H3862" i="59"/>
  <c r="H3863" i="59"/>
  <c r="H3864" i="59"/>
  <c r="H3865" i="59"/>
  <c r="H3866" i="59"/>
  <c r="H3867" i="59"/>
  <c r="H3868" i="59"/>
  <c r="H3869" i="59"/>
  <c r="H3870" i="59"/>
  <c r="H3871" i="59"/>
  <c r="H3872" i="59"/>
  <c r="H3873" i="59"/>
  <c r="H3874" i="59"/>
  <c r="H3875" i="59"/>
  <c r="H3876" i="59"/>
  <c r="H3877" i="59"/>
  <c r="H3878" i="59"/>
  <c r="H3879" i="59"/>
  <c r="H3880" i="59"/>
  <c r="H3881" i="59"/>
  <c r="H3882" i="59"/>
  <c r="H3883" i="59"/>
  <c r="H3884" i="59"/>
  <c r="H3885" i="59"/>
  <c r="H3886" i="59"/>
  <c r="H3887" i="59"/>
  <c r="H3888" i="59"/>
  <c r="H3889" i="59"/>
  <c r="H3890" i="59"/>
  <c r="H3891" i="59"/>
  <c r="H3892" i="59"/>
  <c r="H3893" i="59"/>
  <c r="H3894" i="59"/>
  <c r="H3895" i="59"/>
  <c r="H3896" i="59"/>
  <c r="H3897" i="59"/>
  <c r="H3898" i="59"/>
  <c r="H3899" i="59"/>
  <c r="H3900" i="59"/>
  <c r="H3901" i="59"/>
  <c r="H3902" i="59"/>
  <c r="H3903" i="59"/>
  <c r="H3904" i="59"/>
  <c r="H3905" i="59"/>
  <c r="H3906" i="59"/>
  <c r="H3907" i="59"/>
  <c r="H3908" i="59"/>
  <c r="H3909" i="59"/>
  <c r="H3910" i="59"/>
  <c r="H3911" i="59"/>
  <c r="H3912" i="59"/>
  <c r="H3913" i="59"/>
  <c r="H3914" i="59"/>
  <c r="H3915" i="59"/>
  <c r="H3916" i="59"/>
  <c r="H3917" i="59"/>
  <c r="H3918" i="59"/>
  <c r="H3919" i="59"/>
  <c r="H3920" i="59"/>
  <c r="H3921" i="59"/>
  <c r="H3922" i="59"/>
  <c r="H3923" i="59"/>
  <c r="H3924" i="59"/>
  <c r="H3925" i="59"/>
  <c r="H3926" i="59"/>
  <c r="H3927" i="59"/>
  <c r="H3928" i="59"/>
  <c r="H3929" i="59"/>
  <c r="H3930" i="59"/>
  <c r="H3931" i="59"/>
  <c r="H3932" i="59"/>
  <c r="H3933" i="59"/>
  <c r="H3934" i="59"/>
  <c r="H3935" i="59"/>
  <c r="H3936" i="59"/>
  <c r="H3937" i="59"/>
  <c r="H3938" i="59"/>
  <c r="H3939" i="59"/>
  <c r="H3940" i="59"/>
  <c r="H3941" i="59"/>
  <c r="H3942" i="59"/>
  <c r="H3943" i="59"/>
  <c r="H3944" i="59"/>
  <c r="H3945" i="59"/>
  <c r="H3946" i="59"/>
  <c r="H3947" i="59"/>
  <c r="H3948" i="59"/>
  <c r="H3949" i="59"/>
  <c r="H3950" i="59"/>
  <c r="H3951" i="59"/>
  <c r="H3952" i="59"/>
  <c r="H3953" i="59"/>
  <c r="H3954" i="59"/>
  <c r="H3955" i="59"/>
  <c r="H3956" i="59"/>
  <c r="H3957" i="59"/>
  <c r="H3958" i="59"/>
  <c r="H3959" i="59"/>
  <c r="H3960" i="59"/>
  <c r="H3961" i="59"/>
  <c r="H3962" i="59"/>
  <c r="H3963" i="59"/>
  <c r="H3964" i="59"/>
  <c r="H3965" i="59"/>
  <c r="H3966" i="59"/>
  <c r="H3967" i="59"/>
  <c r="H3968" i="59"/>
  <c r="H3969" i="59"/>
  <c r="H3970" i="59"/>
  <c r="H3971" i="59"/>
  <c r="H3972" i="59"/>
  <c r="H3973" i="59"/>
  <c r="H3974" i="59"/>
  <c r="H3975" i="59"/>
  <c r="H3976" i="59"/>
  <c r="H3977" i="59"/>
  <c r="H3978" i="59"/>
  <c r="H3979" i="59"/>
  <c r="H3980" i="59"/>
  <c r="H3981" i="59"/>
  <c r="H3982" i="59"/>
  <c r="H3983" i="59"/>
  <c r="H3984" i="59"/>
  <c r="H3985" i="59"/>
  <c r="H3986" i="59"/>
  <c r="H3987" i="59"/>
  <c r="H3988" i="59"/>
  <c r="H3989" i="59"/>
  <c r="H3990" i="59"/>
  <c r="H3991" i="59"/>
  <c r="H3992" i="59"/>
  <c r="H3993" i="59"/>
  <c r="H3994" i="59"/>
  <c r="H3995" i="59"/>
  <c r="H3996" i="59"/>
  <c r="H3997" i="59"/>
  <c r="H3998" i="59"/>
  <c r="H3999" i="59"/>
  <c r="H4000" i="59"/>
  <c r="H4001" i="59"/>
  <c r="H4002" i="59"/>
  <c r="H4003" i="59"/>
  <c r="H4004" i="59"/>
  <c r="H4005" i="59"/>
  <c r="H4006" i="59"/>
  <c r="H4007" i="59"/>
  <c r="H4008" i="59"/>
  <c r="H4009" i="59"/>
  <c r="H4010" i="59"/>
  <c r="H4011" i="59"/>
  <c r="H4012" i="59"/>
  <c r="H4013" i="59"/>
  <c r="H4014" i="59"/>
  <c r="H4015" i="59"/>
  <c r="H4016" i="59"/>
  <c r="H4017" i="59"/>
  <c r="H4018" i="59"/>
  <c r="H4019" i="59"/>
  <c r="H4020" i="59"/>
  <c r="H4021" i="59"/>
  <c r="H4022" i="59"/>
  <c r="H4023" i="59"/>
  <c r="H4024" i="59"/>
  <c r="H4025" i="59"/>
  <c r="H4026" i="59"/>
  <c r="H4027" i="59"/>
  <c r="H4028" i="59"/>
  <c r="H4029" i="59"/>
  <c r="H4030" i="59"/>
  <c r="H4031" i="59"/>
  <c r="H4032" i="59"/>
  <c r="H4033" i="59"/>
  <c r="H4034" i="59"/>
  <c r="H4035" i="59"/>
  <c r="H4036" i="59"/>
  <c r="H4037" i="59"/>
  <c r="H4038" i="59"/>
  <c r="H4039" i="59"/>
  <c r="H4040" i="59"/>
  <c r="H4041" i="59"/>
  <c r="H4042" i="59"/>
  <c r="H4043" i="59"/>
  <c r="H4044" i="59"/>
  <c r="H4045" i="59"/>
  <c r="H4046" i="59"/>
  <c r="H4047" i="59"/>
  <c r="H4048" i="59"/>
  <c r="H4049" i="59"/>
  <c r="H4050" i="59"/>
  <c r="H4051" i="59"/>
  <c r="H4052" i="59"/>
  <c r="H4053" i="59"/>
  <c r="H4054" i="59"/>
  <c r="H4055" i="59"/>
  <c r="H4056" i="59"/>
  <c r="H4057" i="59"/>
  <c r="H4058" i="59"/>
  <c r="H4059" i="59"/>
  <c r="H4060" i="59"/>
  <c r="H4061" i="59"/>
  <c r="H4062" i="59"/>
  <c r="H4063" i="59"/>
  <c r="H4064" i="59"/>
  <c r="H4065" i="59"/>
  <c r="H4066" i="59"/>
  <c r="H4067" i="59"/>
  <c r="H4068" i="59"/>
  <c r="H4069" i="59"/>
  <c r="H4070" i="59"/>
  <c r="H4071" i="59"/>
  <c r="H4072" i="59"/>
  <c r="H4073" i="59"/>
  <c r="H4074" i="59"/>
  <c r="H4075" i="59"/>
  <c r="H4076" i="59"/>
  <c r="H4077" i="59"/>
  <c r="H4078" i="59"/>
  <c r="H4079" i="59"/>
  <c r="H4080" i="59"/>
  <c r="H4081" i="59"/>
  <c r="H4082" i="59"/>
  <c r="H4083" i="59"/>
  <c r="H4084" i="59"/>
  <c r="H4085" i="59"/>
  <c r="H4086" i="59"/>
  <c r="H4087" i="59"/>
  <c r="H4088" i="59"/>
  <c r="H4089" i="59"/>
  <c r="H4090" i="59"/>
  <c r="H4091" i="59"/>
  <c r="H4092" i="59"/>
  <c r="H4093" i="59"/>
  <c r="H4094" i="59"/>
  <c r="H4095" i="59"/>
  <c r="H4096" i="59"/>
  <c r="H4097" i="59"/>
  <c r="H4098" i="59"/>
  <c r="H4099" i="59"/>
  <c r="H4100" i="59"/>
  <c r="H4101" i="59"/>
  <c r="H4102" i="59"/>
  <c r="H4103" i="59"/>
  <c r="H4104" i="59"/>
  <c r="H4105" i="59"/>
  <c r="H4106" i="59"/>
  <c r="H4107" i="59"/>
  <c r="H4108" i="59"/>
  <c r="H4109" i="59"/>
  <c r="H4110" i="59"/>
  <c r="H4111" i="59"/>
  <c r="H4112" i="59"/>
  <c r="H4113" i="59"/>
  <c r="H4114" i="59"/>
  <c r="H4115" i="59"/>
  <c r="H4116" i="59"/>
  <c r="H4117" i="59"/>
  <c r="H4118" i="59"/>
  <c r="H4119" i="59"/>
  <c r="H4120" i="59"/>
  <c r="H4121" i="59"/>
  <c r="H4122" i="59"/>
  <c r="H4123" i="59"/>
  <c r="H4124" i="59"/>
  <c r="H4125" i="59"/>
  <c r="H4126" i="59"/>
  <c r="H4127" i="59"/>
  <c r="H4128" i="59"/>
  <c r="H4129" i="59"/>
  <c r="H4130" i="59"/>
  <c r="H4131" i="59"/>
  <c r="H4132" i="59"/>
  <c r="H4133" i="59"/>
  <c r="H4134" i="59"/>
  <c r="H4135" i="59"/>
  <c r="H4136" i="59"/>
  <c r="H4137" i="59"/>
  <c r="H4138" i="59"/>
  <c r="H4139" i="59"/>
  <c r="H4140" i="59"/>
  <c r="H4141" i="59"/>
  <c r="H4142" i="59"/>
  <c r="H4143" i="59"/>
  <c r="H4144" i="59"/>
  <c r="H4145" i="59"/>
  <c r="H4146" i="59"/>
  <c r="H4147" i="59"/>
  <c r="H4148" i="59"/>
  <c r="H4149" i="59"/>
  <c r="H4150" i="59"/>
  <c r="H4151" i="59"/>
  <c r="H4152" i="59"/>
  <c r="H4153" i="59"/>
  <c r="H4154" i="59"/>
  <c r="H4155" i="59"/>
  <c r="H4156" i="59"/>
  <c r="H4157" i="59"/>
  <c r="H4158" i="59"/>
  <c r="H4159" i="59"/>
  <c r="H4160" i="59"/>
  <c r="H4161" i="59"/>
  <c r="H4162" i="59"/>
  <c r="H4163" i="59"/>
  <c r="H4164" i="59"/>
  <c r="H4165" i="59"/>
  <c r="H4166" i="59"/>
  <c r="H4167" i="59"/>
  <c r="H4168" i="59"/>
  <c r="H4169" i="59"/>
  <c r="H4170" i="59"/>
  <c r="H4171" i="59"/>
  <c r="H4172" i="59"/>
  <c r="H4173" i="59"/>
  <c r="H4174" i="59"/>
  <c r="H4175" i="59"/>
  <c r="H4176" i="59"/>
  <c r="H4177" i="59"/>
  <c r="H4178" i="59"/>
  <c r="H4179" i="59"/>
  <c r="H4180" i="59"/>
  <c r="H4181" i="59"/>
  <c r="H4182" i="59"/>
  <c r="H4183" i="59"/>
  <c r="H4184" i="59"/>
  <c r="H4185" i="59"/>
  <c r="H4186" i="59"/>
  <c r="H4187" i="59"/>
  <c r="H4188" i="59"/>
  <c r="H4189" i="59"/>
  <c r="H4190" i="59"/>
  <c r="H4191" i="59"/>
  <c r="H4192" i="59"/>
  <c r="H4193" i="59"/>
  <c r="H4194" i="59"/>
  <c r="H4195" i="59"/>
  <c r="H4196" i="59"/>
  <c r="H4197" i="59"/>
  <c r="H4198" i="59"/>
  <c r="H4199" i="59"/>
  <c r="H4200" i="59"/>
  <c r="H4201" i="59"/>
  <c r="H4202" i="59"/>
  <c r="H4203" i="59"/>
  <c r="H4204" i="59"/>
  <c r="H4205" i="59"/>
  <c r="H4206" i="59"/>
  <c r="H4207" i="59"/>
  <c r="H4208" i="59"/>
  <c r="H4209" i="59"/>
  <c r="H4210" i="59"/>
  <c r="H4211" i="59"/>
  <c r="H4212" i="59"/>
  <c r="H4213" i="59"/>
  <c r="H4214" i="59"/>
  <c r="H4215" i="59"/>
  <c r="H4216" i="59"/>
  <c r="H4217" i="59"/>
  <c r="H4218" i="59"/>
  <c r="H4219" i="59"/>
  <c r="H4220" i="59"/>
  <c r="H4221" i="59"/>
  <c r="H4222" i="59"/>
  <c r="H4223" i="59"/>
  <c r="H4224" i="59"/>
  <c r="H4225" i="59"/>
  <c r="H4226" i="59"/>
  <c r="H4227" i="59"/>
  <c r="H4228" i="59"/>
  <c r="H4229" i="59"/>
  <c r="H4230" i="59"/>
  <c r="H4231" i="59"/>
  <c r="H4232" i="59"/>
  <c r="H4233" i="59"/>
  <c r="H4234" i="59"/>
  <c r="H4235" i="59"/>
  <c r="H4236" i="59"/>
  <c r="H4237" i="59"/>
  <c r="H4238" i="59"/>
  <c r="H4239" i="59"/>
  <c r="H4240" i="59"/>
  <c r="H4241" i="59"/>
  <c r="H4242" i="59"/>
  <c r="H4243" i="59"/>
  <c r="H4244" i="59"/>
  <c r="H4245" i="59"/>
  <c r="H4246" i="59"/>
  <c r="H4247" i="59"/>
  <c r="H4248" i="59"/>
  <c r="H4249" i="59"/>
  <c r="H4250" i="59"/>
  <c r="H4251" i="59"/>
  <c r="H4252" i="59"/>
  <c r="H4253" i="59"/>
  <c r="H4254" i="59"/>
  <c r="H4255" i="59"/>
  <c r="H4256" i="59"/>
  <c r="H4257" i="59"/>
  <c r="H4258" i="59"/>
  <c r="H4259" i="59"/>
  <c r="H4260" i="59"/>
  <c r="H4261" i="59"/>
  <c r="H4262" i="59"/>
  <c r="H4263" i="59"/>
  <c r="H4264" i="59"/>
  <c r="H4265" i="59"/>
  <c r="H4266" i="59"/>
  <c r="H4267" i="59"/>
  <c r="H4268" i="59"/>
  <c r="H4269" i="59"/>
  <c r="H4270" i="59"/>
  <c r="H4271" i="59"/>
  <c r="H4272" i="59"/>
  <c r="H4273" i="59"/>
  <c r="H4274" i="59"/>
  <c r="H4275" i="59"/>
  <c r="H4276" i="59"/>
  <c r="H4277" i="59"/>
  <c r="H4278" i="59"/>
  <c r="H4279" i="59"/>
  <c r="H4280" i="59"/>
  <c r="H4281" i="59"/>
  <c r="H4282" i="59"/>
  <c r="H4283" i="59"/>
  <c r="H4284" i="59"/>
  <c r="H4285" i="59"/>
  <c r="H4286" i="59"/>
  <c r="H4287" i="59"/>
  <c r="H4288" i="59"/>
  <c r="H4289" i="59"/>
  <c r="H4290" i="59"/>
  <c r="H4291" i="59"/>
  <c r="H4292" i="59"/>
  <c r="H4293" i="59"/>
  <c r="H4294" i="59"/>
  <c r="H4295" i="59"/>
  <c r="H4296" i="59"/>
  <c r="H4297" i="59"/>
  <c r="H4298" i="59"/>
  <c r="H4299" i="59"/>
  <c r="H4300" i="59"/>
  <c r="H4301" i="59"/>
  <c r="H4302" i="59"/>
  <c r="H4303" i="59"/>
  <c r="H4304" i="59"/>
  <c r="H4305" i="59"/>
  <c r="H4306" i="59"/>
  <c r="H4307" i="59"/>
  <c r="H4308" i="59"/>
  <c r="H4309" i="59"/>
  <c r="H4310" i="59"/>
  <c r="H4311" i="59"/>
  <c r="H4312" i="59"/>
  <c r="H4313" i="59"/>
  <c r="H4314" i="59"/>
  <c r="H4315" i="59"/>
  <c r="H4316" i="59"/>
  <c r="H4317" i="59"/>
  <c r="H4318" i="59"/>
  <c r="H4319" i="59"/>
  <c r="H4320" i="59"/>
  <c r="H4321" i="59"/>
  <c r="H4322" i="59"/>
  <c r="H4323" i="59"/>
  <c r="H4324" i="59"/>
  <c r="H4325" i="59"/>
  <c r="H4326" i="59"/>
  <c r="H4327" i="59"/>
  <c r="H4328" i="59"/>
  <c r="H4329" i="59"/>
  <c r="H4330" i="59"/>
  <c r="H4331" i="59"/>
  <c r="H4332" i="59"/>
  <c r="H4333" i="59"/>
  <c r="H4334" i="59"/>
  <c r="H4335" i="59"/>
  <c r="H4336" i="59"/>
  <c r="H4337" i="59"/>
  <c r="H4338" i="59"/>
  <c r="H4339" i="59"/>
  <c r="H4340" i="59"/>
  <c r="H4341" i="59"/>
  <c r="H4342" i="59"/>
  <c r="H4343" i="59"/>
  <c r="H4344" i="59"/>
  <c r="H4345" i="59"/>
  <c r="H4346" i="59"/>
  <c r="H4347" i="59"/>
  <c r="H4348" i="59"/>
  <c r="H4349" i="59"/>
  <c r="H4350" i="59"/>
  <c r="H4351" i="59"/>
  <c r="H4352" i="59"/>
  <c r="H4353" i="59"/>
  <c r="H4354" i="59"/>
  <c r="H4355" i="59"/>
  <c r="H4356" i="59"/>
  <c r="H4357" i="59"/>
  <c r="H4358" i="59"/>
  <c r="H4359" i="59"/>
  <c r="H4360" i="59"/>
  <c r="H4361" i="59"/>
  <c r="H4362" i="59"/>
  <c r="H4363" i="59"/>
  <c r="H4364" i="59"/>
  <c r="H4365" i="59"/>
  <c r="H4366" i="59"/>
  <c r="H4367" i="59"/>
  <c r="H4368" i="59"/>
  <c r="H4369" i="59"/>
  <c r="H4370" i="59"/>
  <c r="H4371" i="59"/>
  <c r="H4372" i="59"/>
  <c r="H4373" i="59"/>
  <c r="H4374" i="59"/>
  <c r="H4375" i="59"/>
  <c r="H4376" i="59"/>
  <c r="H4377" i="59"/>
  <c r="H4378" i="59"/>
  <c r="H4379" i="59"/>
  <c r="H4380" i="59"/>
  <c r="H4381" i="59"/>
  <c r="H4382" i="59"/>
  <c r="H4383" i="59"/>
  <c r="H4384" i="59"/>
  <c r="H4385" i="59"/>
  <c r="H4386" i="59"/>
  <c r="H4387" i="59"/>
  <c r="H4388" i="59"/>
  <c r="H4389" i="59"/>
  <c r="H4390" i="59"/>
  <c r="H4391" i="59"/>
  <c r="H4392" i="59"/>
  <c r="H4393" i="59"/>
  <c r="H4394" i="59"/>
  <c r="H4395" i="59"/>
  <c r="H4396" i="59"/>
  <c r="H4397" i="59"/>
  <c r="H4398" i="59"/>
  <c r="H4399" i="59"/>
  <c r="H4400" i="59"/>
  <c r="H4401" i="59"/>
  <c r="H4402" i="59"/>
  <c r="H4403" i="59"/>
  <c r="H4404" i="59"/>
  <c r="H4405" i="59"/>
  <c r="H4406" i="59"/>
  <c r="H4407" i="59"/>
  <c r="H4408" i="59"/>
  <c r="H4409" i="59"/>
  <c r="H4410" i="59"/>
  <c r="H4411" i="59"/>
  <c r="H4412" i="59"/>
  <c r="H4413" i="59"/>
  <c r="H4414" i="59"/>
  <c r="H4415" i="59"/>
  <c r="H4416" i="59"/>
  <c r="H4417" i="59"/>
  <c r="H4418" i="59"/>
  <c r="H4419" i="59"/>
  <c r="H4420" i="59"/>
  <c r="H4421" i="59"/>
  <c r="H4422" i="59"/>
  <c r="H4423" i="59"/>
  <c r="H4424" i="59"/>
  <c r="H4425" i="59"/>
  <c r="H4426" i="59"/>
  <c r="H4427" i="59"/>
  <c r="H4428" i="59"/>
  <c r="H4429" i="59"/>
  <c r="H4430" i="59"/>
  <c r="H4431" i="59"/>
  <c r="H4432" i="59"/>
  <c r="H4433" i="59"/>
  <c r="H4434" i="59"/>
  <c r="H4435" i="59"/>
  <c r="H4436" i="59"/>
  <c r="H4437" i="59"/>
  <c r="H4438" i="59"/>
  <c r="H4439" i="59"/>
  <c r="H4440" i="59"/>
  <c r="H4441" i="59"/>
  <c r="H4442" i="59"/>
  <c r="H4443" i="59"/>
  <c r="H4444" i="59"/>
  <c r="H4445" i="59"/>
  <c r="H4446" i="59"/>
  <c r="H4447" i="59"/>
  <c r="H4448" i="59"/>
  <c r="H4449" i="59"/>
  <c r="H4450" i="59"/>
  <c r="H4451" i="59"/>
  <c r="H4452" i="59"/>
  <c r="H4453" i="59"/>
  <c r="H4454" i="59"/>
  <c r="H4455" i="59"/>
  <c r="H4456" i="59"/>
  <c r="H4457" i="59"/>
  <c r="H4458" i="59"/>
  <c r="H4459" i="59"/>
  <c r="H4460" i="59"/>
  <c r="H4461" i="59"/>
  <c r="H4462" i="59"/>
  <c r="H4463" i="59"/>
  <c r="H4464" i="59"/>
  <c r="H4465" i="59"/>
  <c r="H4466" i="59"/>
  <c r="H4467" i="59"/>
  <c r="H4468" i="59"/>
  <c r="H4469" i="59"/>
  <c r="H4470" i="59"/>
  <c r="H4471" i="59"/>
  <c r="H4472" i="59"/>
  <c r="H4473" i="59"/>
  <c r="H4474" i="59"/>
  <c r="H4475" i="59"/>
  <c r="H4476" i="59"/>
  <c r="H4477" i="59"/>
  <c r="H4478" i="59"/>
  <c r="H4479" i="59"/>
  <c r="H4480" i="59"/>
  <c r="H4481" i="59"/>
  <c r="H4482" i="59"/>
  <c r="H4483" i="59"/>
  <c r="H4484" i="59"/>
  <c r="H4485" i="59"/>
  <c r="H4486" i="59"/>
  <c r="H4487" i="59"/>
  <c r="H4488" i="59"/>
  <c r="H4489" i="59"/>
  <c r="H4490" i="59"/>
  <c r="H4491" i="59"/>
  <c r="H4492" i="59"/>
  <c r="H4493" i="59"/>
  <c r="H4494" i="59"/>
  <c r="H4495" i="59"/>
  <c r="H4496" i="59"/>
  <c r="H4497" i="59"/>
  <c r="H4498" i="59"/>
  <c r="H4499" i="59"/>
  <c r="H4500" i="59"/>
  <c r="H4501" i="59"/>
  <c r="H4502" i="59"/>
  <c r="H4503" i="59"/>
  <c r="H4504" i="59"/>
  <c r="H4505" i="59"/>
  <c r="H4506" i="59"/>
  <c r="H4507" i="59"/>
  <c r="H4508" i="59"/>
  <c r="H4509" i="59"/>
  <c r="H4510" i="59"/>
  <c r="H4511" i="59"/>
  <c r="H4512" i="59"/>
  <c r="H4513" i="59"/>
  <c r="H4514" i="59"/>
  <c r="H4515" i="59"/>
  <c r="H4516" i="59"/>
  <c r="H4517" i="59"/>
  <c r="H4518" i="59"/>
  <c r="H4519" i="59"/>
  <c r="H4520" i="59"/>
  <c r="H4521" i="59"/>
  <c r="H4522" i="59"/>
  <c r="H4523" i="59"/>
  <c r="H4524" i="59"/>
  <c r="H4525" i="59"/>
  <c r="H4526" i="59"/>
  <c r="H4527" i="59"/>
  <c r="H4528" i="59"/>
  <c r="H4529" i="59"/>
  <c r="H4530" i="59"/>
  <c r="H4531" i="59"/>
  <c r="H4532" i="59"/>
  <c r="H4533" i="59"/>
  <c r="H4534" i="59"/>
  <c r="H4535" i="59"/>
  <c r="H4536" i="59"/>
  <c r="H4537" i="59"/>
  <c r="H4538" i="59"/>
  <c r="H4539" i="59"/>
  <c r="H4540" i="59"/>
  <c r="H4541" i="59"/>
  <c r="H4542" i="59"/>
  <c r="H4543" i="59"/>
  <c r="H4544" i="59"/>
  <c r="H4545" i="59"/>
  <c r="H4546" i="59"/>
  <c r="H4547" i="59"/>
  <c r="H4548" i="59"/>
  <c r="H4549" i="59"/>
  <c r="H4550" i="59"/>
  <c r="H4551" i="59"/>
  <c r="H4552" i="59"/>
  <c r="H4553" i="59"/>
  <c r="H4554" i="59"/>
  <c r="H4555" i="59"/>
  <c r="H4556" i="59"/>
  <c r="H4557" i="59"/>
  <c r="H4558" i="59"/>
  <c r="H4559" i="59"/>
  <c r="H4560" i="59"/>
  <c r="H4561" i="59"/>
  <c r="H4562" i="59"/>
  <c r="H4563" i="59"/>
  <c r="H4564" i="59"/>
  <c r="H4565" i="59"/>
  <c r="H4566" i="59"/>
  <c r="H4567" i="59"/>
  <c r="H4568" i="59"/>
  <c r="H4569" i="59"/>
  <c r="H4570" i="59"/>
  <c r="H4571" i="59"/>
  <c r="H4572" i="59"/>
  <c r="H4573" i="59"/>
  <c r="H4574" i="59"/>
  <c r="H4575" i="59"/>
  <c r="H4576" i="59"/>
  <c r="H4577" i="59"/>
  <c r="H4578" i="59"/>
  <c r="H4579" i="59"/>
  <c r="H4580" i="59"/>
  <c r="H4581" i="59"/>
  <c r="H4582" i="59"/>
  <c r="H4583" i="59"/>
  <c r="H4584" i="59"/>
  <c r="H4585" i="59"/>
  <c r="H4586" i="59"/>
  <c r="H4587" i="59"/>
  <c r="H4588" i="59"/>
  <c r="H4589" i="59"/>
  <c r="H4590" i="59"/>
  <c r="H4591" i="59"/>
  <c r="H4592" i="59"/>
  <c r="H4593" i="59"/>
  <c r="H4594" i="59"/>
  <c r="H4595" i="59"/>
  <c r="H4596" i="59"/>
  <c r="H4597" i="59"/>
  <c r="H4598" i="59"/>
  <c r="H4599" i="59"/>
  <c r="H4600" i="59"/>
  <c r="H4601" i="59"/>
  <c r="H4602" i="59"/>
  <c r="H4603" i="59"/>
  <c r="H4604" i="59"/>
  <c r="H4605" i="59"/>
  <c r="H4606" i="59"/>
  <c r="H4607" i="59"/>
  <c r="H4608" i="59"/>
  <c r="H4609" i="59"/>
  <c r="H4610" i="59"/>
  <c r="H4611" i="59"/>
  <c r="H4612" i="59"/>
  <c r="H4613" i="59"/>
  <c r="H4614" i="59"/>
  <c r="H4615" i="59"/>
  <c r="H4616" i="59"/>
  <c r="H4617" i="59"/>
  <c r="H4618" i="59"/>
  <c r="H4619" i="59"/>
  <c r="H4620" i="59"/>
  <c r="H4621" i="59"/>
  <c r="H4622" i="59"/>
  <c r="H4623" i="59"/>
  <c r="H4624" i="59"/>
  <c r="H4625" i="59"/>
  <c r="H4626" i="59"/>
  <c r="H4627" i="59"/>
  <c r="H4628" i="59"/>
  <c r="H4629" i="59"/>
  <c r="H4630" i="59"/>
  <c r="H4631" i="59"/>
  <c r="H4632" i="59"/>
  <c r="H4633" i="59"/>
  <c r="H4634" i="59"/>
  <c r="H4635" i="59"/>
  <c r="H4636" i="59"/>
  <c r="H4637" i="59"/>
  <c r="H4638" i="59"/>
  <c r="H4639" i="59"/>
  <c r="H4640" i="59"/>
  <c r="H4641" i="59"/>
  <c r="H4642" i="59"/>
  <c r="H4643" i="59"/>
  <c r="H4644" i="59"/>
  <c r="H4645" i="59"/>
  <c r="H4646" i="59"/>
  <c r="H4647" i="59"/>
  <c r="H4648" i="59"/>
  <c r="H4649" i="59"/>
  <c r="H4650" i="59"/>
  <c r="H4651" i="59"/>
  <c r="H4652" i="59"/>
  <c r="H4653" i="59"/>
  <c r="H4654" i="59"/>
  <c r="H4655" i="59"/>
  <c r="H4656" i="59"/>
  <c r="H4657" i="59"/>
  <c r="H4658" i="59"/>
  <c r="H4659" i="59"/>
  <c r="H4660" i="59"/>
  <c r="H4661" i="59"/>
  <c r="H4662" i="59"/>
  <c r="H4663" i="59"/>
  <c r="H4664" i="59"/>
  <c r="H4665" i="59"/>
  <c r="H4666" i="59"/>
  <c r="H4667" i="59"/>
  <c r="H4668" i="59"/>
  <c r="H4669" i="59"/>
  <c r="H4670" i="59"/>
  <c r="H4671" i="59"/>
  <c r="H4672" i="59"/>
  <c r="H4673" i="59"/>
  <c r="H4674" i="59"/>
  <c r="H4675" i="59"/>
  <c r="H4676" i="59"/>
  <c r="H4677" i="59"/>
  <c r="H4678" i="59"/>
  <c r="H4679" i="59"/>
  <c r="H4680" i="59"/>
  <c r="H4681" i="59"/>
  <c r="H4682" i="59"/>
  <c r="H4683" i="59"/>
  <c r="H4684" i="59"/>
  <c r="H4685" i="59"/>
  <c r="H4686" i="59"/>
  <c r="H4687" i="59"/>
  <c r="H4688" i="59"/>
  <c r="H4689" i="59"/>
  <c r="H4690" i="59"/>
  <c r="H4691" i="59"/>
  <c r="H4692" i="59"/>
  <c r="H4693" i="59"/>
  <c r="H4694" i="59"/>
  <c r="H4695" i="59"/>
  <c r="H4696" i="59"/>
  <c r="H4697" i="59"/>
  <c r="H4698" i="59"/>
  <c r="H4699" i="59"/>
  <c r="H4700" i="59"/>
  <c r="H4701" i="59"/>
  <c r="H4702" i="59"/>
  <c r="H4703" i="59"/>
  <c r="H4704" i="59"/>
  <c r="H4705" i="59"/>
  <c r="H4706" i="59"/>
  <c r="H4707" i="59"/>
  <c r="H4708" i="59"/>
  <c r="H4709" i="59"/>
  <c r="H4710" i="59"/>
  <c r="H4711" i="59"/>
  <c r="H4712" i="59"/>
  <c r="H4713" i="59"/>
  <c r="H4714" i="59"/>
  <c r="H4715" i="59"/>
  <c r="H4716" i="59"/>
  <c r="H4717" i="59"/>
  <c r="H4718" i="59"/>
  <c r="H4719" i="59"/>
  <c r="H4720" i="59"/>
  <c r="H4721" i="59"/>
  <c r="H4722" i="59"/>
  <c r="H4723" i="59"/>
  <c r="H4724" i="59"/>
  <c r="H4725" i="59"/>
  <c r="H4726" i="59"/>
  <c r="H4727" i="59"/>
  <c r="H4728" i="59"/>
  <c r="H4729" i="59"/>
  <c r="H4730" i="59"/>
  <c r="H4731" i="59"/>
  <c r="H4732" i="59"/>
  <c r="H4733" i="59"/>
  <c r="H4734" i="59"/>
  <c r="H4735" i="59"/>
  <c r="H4736" i="59"/>
  <c r="H4737" i="59"/>
  <c r="H4738" i="59"/>
  <c r="H4739" i="59"/>
  <c r="H4740" i="59"/>
  <c r="H4741" i="59"/>
  <c r="H4742" i="59"/>
  <c r="H4743" i="59"/>
  <c r="H4744" i="59"/>
  <c r="H4745" i="59"/>
  <c r="H4746" i="59"/>
  <c r="H4747" i="59"/>
  <c r="H4748" i="59"/>
  <c r="H4749" i="59"/>
  <c r="H4750" i="59"/>
  <c r="H4751" i="59"/>
  <c r="H4752" i="59"/>
  <c r="H4753" i="59"/>
  <c r="H4754" i="59"/>
  <c r="H4755" i="59"/>
  <c r="H4756" i="59"/>
  <c r="H4757" i="59"/>
  <c r="H4758" i="59"/>
  <c r="H4759" i="59"/>
  <c r="H4760" i="59"/>
  <c r="H4761" i="59"/>
  <c r="H4762" i="59"/>
  <c r="H4763" i="59"/>
  <c r="H4764" i="59"/>
  <c r="H4765" i="59"/>
  <c r="H4766" i="59"/>
  <c r="H4767" i="59"/>
  <c r="H4768" i="59"/>
  <c r="H4769" i="59"/>
  <c r="H4770" i="59"/>
  <c r="H4771" i="59"/>
  <c r="H4772" i="59"/>
  <c r="H4773" i="59"/>
  <c r="H4774" i="59"/>
  <c r="H4775" i="59"/>
  <c r="H4776" i="59"/>
  <c r="H4777" i="59"/>
  <c r="H4778" i="59"/>
  <c r="H4779" i="59"/>
  <c r="H4780" i="59"/>
  <c r="H4781" i="59"/>
  <c r="H4782" i="59"/>
  <c r="H4783" i="59"/>
  <c r="H4784" i="59"/>
  <c r="H4785" i="59"/>
  <c r="H4786" i="59"/>
  <c r="H4787" i="59"/>
  <c r="H4788" i="59"/>
  <c r="H4789" i="59"/>
  <c r="H4790" i="59"/>
  <c r="H4791" i="59"/>
  <c r="H4792" i="59"/>
  <c r="H4793" i="59"/>
  <c r="H4794" i="59"/>
  <c r="H4795" i="59"/>
  <c r="H4796" i="59"/>
  <c r="H4797" i="59"/>
  <c r="H4798" i="59"/>
  <c r="H4799" i="59"/>
  <c r="H4800" i="59"/>
  <c r="H4801" i="59"/>
  <c r="H4802" i="59"/>
  <c r="H4803" i="59"/>
  <c r="H4804" i="59"/>
  <c r="H4805" i="59"/>
  <c r="H4806" i="59"/>
  <c r="H4807" i="59"/>
  <c r="H4808" i="59"/>
  <c r="H4809" i="59"/>
  <c r="H4810" i="59"/>
  <c r="H4811" i="59"/>
  <c r="H4812" i="59"/>
  <c r="H4813" i="59"/>
  <c r="H4814" i="59"/>
  <c r="H4815" i="59"/>
  <c r="H4816" i="59"/>
  <c r="H4817" i="59"/>
  <c r="H4818" i="59"/>
  <c r="H4819" i="59"/>
  <c r="H4820" i="59"/>
  <c r="H4821" i="59"/>
  <c r="H4822" i="59"/>
  <c r="H4823" i="59"/>
  <c r="H4824" i="59"/>
  <c r="H4825" i="59"/>
  <c r="H4826" i="59"/>
  <c r="H4827" i="59"/>
  <c r="H4828" i="59"/>
  <c r="H4829" i="59"/>
  <c r="H4830" i="59"/>
  <c r="H4831" i="59"/>
  <c r="H4832" i="59"/>
  <c r="H4833" i="59"/>
  <c r="H4834" i="59"/>
  <c r="H4835" i="59"/>
  <c r="H4836" i="59"/>
  <c r="H4837" i="59"/>
  <c r="H4838" i="59"/>
  <c r="H4839" i="59"/>
  <c r="H4840" i="59"/>
  <c r="H4841" i="59"/>
  <c r="H4842" i="59"/>
  <c r="H4843" i="59"/>
  <c r="H4844" i="59"/>
  <c r="H4845" i="59"/>
  <c r="H4846" i="59"/>
  <c r="H4847" i="59"/>
  <c r="H4848" i="59"/>
  <c r="H4849" i="59"/>
  <c r="H4850" i="59"/>
  <c r="H4851" i="59"/>
  <c r="H4852" i="59"/>
  <c r="H4853" i="59"/>
  <c r="H4854" i="59"/>
  <c r="H4855" i="59"/>
  <c r="H4856" i="59"/>
  <c r="H4857" i="59"/>
  <c r="H4858" i="59"/>
  <c r="H4859" i="59"/>
  <c r="H4860" i="59"/>
  <c r="H4861" i="59"/>
  <c r="H4862" i="59"/>
  <c r="H4863" i="59"/>
  <c r="H4864" i="59"/>
  <c r="H4865" i="59"/>
  <c r="H4866" i="59"/>
  <c r="H4867" i="59"/>
  <c r="H4868" i="59"/>
  <c r="H4869" i="59"/>
  <c r="H4870" i="59"/>
  <c r="H4871" i="59"/>
  <c r="H4872" i="59"/>
  <c r="H4873" i="59"/>
  <c r="H4874" i="59"/>
  <c r="H4875" i="59"/>
  <c r="H4876" i="59"/>
  <c r="H4877" i="59"/>
  <c r="H4878" i="59"/>
  <c r="H4879" i="59"/>
  <c r="H4880" i="59"/>
  <c r="H4881" i="59"/>
  <c r="H4882" i="59"/>
  <c r="H4883" i="59"/>
  <c r="H4884" i="59"/>
  <c r="H4885" i="59"/>
  <c r="H4886" i="59"/>
  <c r="H4887" i="59"/>
  <c r="H4888" i="59"/>
  <c r="H4889" i="59"/>
  <c r="H4890" i="59"/>
  <c r="H4891" i="59"/>
  <c r="H4892" i="59"/>
  <c r="H4893" i="59"/>
  <c r="H4894" i="59"/>
  <c r="H4895" i="59"/>
  <c r="H4896" i="59"/>
  <c r="H4897" i="59"/>
  <c r="H4898" i="59"/>
  <c r="H4899" i="59"/>
  <c r="H4900" i="59"/>
  <c r="H4901" i="59"/>
  <c r="H4902" i="59"/>
  <c r="H4903" i="59"/>
  <c r="H4904" i="59"/>
  <c r="H4905" i="59"/>
  <c r="H4906" i="59"/>
  <c r="H4907" i="59"/>
  <c r="H4908" i="59"/>
  <c r="H4909" i="59"/>
  <c r="H4910" i="59"/>
  <c r="H4911" i="59"/>
  <c r="H4912" i="59"/>
  <c r="H4913" i="59"/>
  <c r="H4914" i="59"/>
  <c r="H4915" i="59"/>
  <c r="H4916" i="59"/>
  <c r="H4917" i="59"/>
  <c r="H4918" i="59"/>
  <c r="H4919" i="59"/>
  <c r="H4920" i="59"/>
  <c r="H4921" i="59"/>
  <c r="H4922" i="59"/>
  <c r="H4923" i="59"/>
  <c r="H4924" i="59"/>
  <c r="H4925" i="59"/>
  <c r="H4926" i="59"/>
  <c r="H4927" i="59"/>
  <c r="H4928" i="59"/>
  <c r="H4929" i="59"/>
  <c r="H4930" i="59"/>
  <c r="H4931" i="59"/>
  <c r="H4932" i="59"/>
  <c r="H4933" i="59"/>
  <c r="H4934" i="59"/>
  <c r="H4935" i="59"/>
  <c r="H4936" i="59"/>
  <c r="H4937" i="59"/>
  <c r="H4938" i="59"/>
  <c r="H4939" i="59"/>
  <c r="H4940" i="59"/>
  <c r="H4941" i="59"/>
  <c r="H4942" i="59"/>
  <c r="H4943" i="59"/>
  <c r="H4944" i="59"/>
  <c r="H4945" i="59"/>
  <c r="H4946" i="59"/>
  <c r="H4947" i="59"/>
  <c r="H4948" i="59"/>
  <c r="H4949" i="59"/>
  <c r="H4950" i="59"/>
  <c r="H4951" i="59"/>
  <c r="H4952" i="59"/>
  <c r="H4953" i="59"/>
  <c r="H4954" i="59"/>
  <c r="H4955" i="59"/>
  <c r="H4956" i="59"/>
  <c r="H4957" i="59"/>
  <c r="H4958" i="59"/>
  <c r="H4959" i="59"/>
  <c r="H4960" i="59"/>
  <c r="H4961" i="59"/>
  <c r="H4962" i="59"/>
  <c r="H4963" i="59"/>
  <c r="H4964" i="59"/>
  <c r="H4965" i="59"/>
  <c r="H4966" i="59"/>
  <c r="H4967" i="59"/>
  <c r="H4968" i="59"/>
  <c r="H4969" i="59"/>
  <c r="H4970" i="59"/>
  <c r="H4971" i="59"/>
  <c r="H4972" i="59"/>
  <c r="H4973" i="59"/>
  <c r="H4974" i="59"/>
  <c r="H4975" i="59"/>
  <c r="H4976" i="59"/>
  <c r="H4977" i="59"/>
  <c r="H4978" i="59"/>
  <c r="H4979" i="59"/>
  <c r="H4980" i="59"/>
  <c r="H4981" i="59"/>
  <c r="H4982" i="59"/>
  <c r="H4983" i="59"/>
  <c r="H4984" i="59"/>
  <c r="H4985" i="59"/>
  <c r="H4986" i="59"/>
  <c r="H4987" i="59"/>
  <c r="H4988" i="59"/>
  <c r="H4989" i="59"/>
  <c r="H4990" i="59"/>
  <c r="H4991" i="59"/>
  <c r="H4992" i="59"/>
  <c r="H4993" i="59"/>
  <c r="H4994" i="59"/>
  <c r="H4995" i="59"/>
  <c r="H4996" i="59"/>
  <c r="H4997" i="59"/>
  <c r="H4998" i="59"/>
  <c r="H4999" i="59"/>
  <c r="H5000" i="59"/>
  <c r="H2" i="59"/>
  <c r="H3" i="61"/>
  <c r="H4" i="61"/>
  <c r="H5" i="61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36" i="61"/>
  <c r="H37" i="61"/>
  <c r="H38" i="61"/>
  <c r="H39" i="61"/>
  <c r="H40" i="61"/>
  <c r="H41" i="61"/>
  <c r="H42" i="61"/>
  <c r="H43" i="61"/>
  <c r="H44" i="61"/>
  <c r="H45" i="61"/>
  <c r="H46" i="61"/>
  <c r="H47" i="61"/>
  <c r="H48" i="61"/>
  <c r="H49" i="61"/>
  <c r="H50" i="61"/>
  <c r="H51" i="61"/>
  <c r="H52" i="61"/>
  <c r="H53" i="61"/>
  <c r="H54" i="61"/>
  <c r="H55" i="61"/>
  <c r="H56" i="61"/>
  <c r="H57" i="61"/>
  <c r="H58" i="61"/>
  <c r="H59" i="61"/>
  <c r="H60" i="61"/>
  <c r="H61" i="61"/>
  <c r="H62" i="61"/>
  <c r="H63" i="61"/>
  <c r="H64" i="61"/>
  <c r="H65" i="61"/>
  <c r="H66" i="61"/>
  <c r="H67" i="61"/>
  <c r="H68" i="61"/>
  <c r="H69" i="61"/>
  <c r="H70" i="61"/>
  <c r="H71" i="61"/>
  <c r="H72" i="61"/>
  <c r="H73" i="61"/>
  <c r="H74" i="61"/>
  <c r="H75" i="61"/>
  <c r="H76" i="61"/>
  <c r="H77" i="61"/>
  <c r="H78" i="61"/>
  <c r="H79" i="61"/>
  <c r="H80" i="61"/>
  <c r="H81" i="61"/>
  <c r="H82" i="61"/>
  <c r="H83" i="61"/>
  <c r="H84" i="61"/>
  <c r="H85" i="61"/>
  <c r="H86" i="61"/>
  <c r="H87" i="61"/>
  <c r="H88" i="61"/>
  <c r="H89" i="61"/>
  <c r="H90" i="61"/>
  <c r="H91" i="61"/>
  <c r="H92" i="61"/>
  <c r="H93" i="61"/>
  <c r="H94" i="61"/>
  <c r="H95" i="61"/>
  <c r="H96" i="61"/>
  <c r="H97" i="61"/>
  <c r="H98" i="61"/>
  <c r="H99" i="61"/>
  <c r="H100" i="61"/>
  <c r="H101" i="61"/>
  <c r="H102" i="61"/>
  <c r="H103" i="61"/>
  <c r="H104" i="61"/>
  <c r="H105" i="61"/>
  <c r="H106" i="61"/>
  <c r="H107" i="61"/>
  <c r="H108" i="61"/>
  <c r="H109" i="61"/>
  <c r="H110" i="61"/>
  <c r="H111" i="61"/>
  <c r="H112" i="61"/>
  <c r="H113" i="61"/>
  <c r="H114" i="61"/>
  <c r="H115" i="61"/>
  <c r="H116" i="61"/>
  <c r="H117" i="61"/>
  <c r="H118" i="61"/>
  <c r="H119" i="61"/>
  <c r="H120" i="61"/>
  <c r="H121" i="61"/>
  <c r="H122" i="61"/>
  <c r="H123" i="61"/>
  <c r="H124" i="61"/>
  <c r="H125" i="61"/>
  <c r="H126" i="61"/>
  <c r="H127" i="61"/>
  <c r="H128" i="61"/>
  <c r="H129" i="61"/>
  <c r="H130" i="61"/>
  <c r="H131" i="61"/>
  <c r="H132" i="61"/>
  <c r="H133" i="61"/>
  <c r="H134" i="61"/>
  <c r="H135" i="61"/>
  <c r="H136" i="61"/>
  <c r="H137" i="61"/>
  <c r="H138" i="61"/>
  <c r="H139" i="61"/>
  <c r="H140" i="61"/>
  <c r="H141" i="61"/>
  <c r="H142" i="61"/>
  <c r="H143" i="61"/>
  <c r="H144" i="61"/>
  <c r="H145" i="61"/>
  <c r="H146" i="61"/>
  <c r="H147" i="61"/>
  <c r="H148" i="61"/>
  <c r="H149" i="61"/>
  <c r="H150" i="61"/>
  <c r="H151" i="61"/>
  <c r="H152" i="61"/>
  <c r="H153" i="61"/>
  <c r="H154" i="61"/>
  <c r="H155" i="61"/>
  <c r="H156" i="61"/>
  <c r="H157" i="61"/>
  <c r="H158" i="61"/>
  <c r="H159" i="61"/>
  <c r="H160" i="61"/>
  <c r="H161" i="61"/>
  <c r="H162" i="61"/>
  <c r="H163" i="61"/>
  <c r="H164" i="61"/>
  <c r="H165" i="61"/>
  <c r="H166" i="61"/>
  <c r="H167" i="61"/>
  <c r="H168" i="61"/>
  <c r="H169" i="61"/>
  <c r="H170" i="61"/>
  <c r="H171" i="61"/>
  <c r="H172" i="61"/>
  <c r="H173" i="61"/>
  <c r="H174" i="61"/>
  <c r="H175" i="61"/>
  <c r="H176" i="61"/>
  <c r="H177" i="61"/>
  <c r="H178" i="61"/>
  <c r="H179" i="61"/>
  <c r="H180" i="61"/>
  <c r="H181" i="61"/>
  <c r="H182" i="61"/>
  <c r="H183" i="61"/>
  <c r="H184" i="61"/>
  <c r="H185" i="61"/>
  <c r="H186" i="61"/>
  <c r="H187" i="61"/>
  <c r="H188" i="61"/>
  <c r="H189" i="61"/>
  <c r="H190" i="61"/>
  <c r="H191" i="61"/>
  <c r="H192" i="61"/>
  <c r="H193" i="61"/>
  <c r="H194" i="61"/>
  <c r="H195" i="61"/>
  <c r="H196" i="61"/>
  <c r="H197" i="61"/>
  <c r="H198" i="61"/>
  <c r="H199" i="61"/>
  <c r="H200" i="61"/>
  <c r="H201" i="61"/>
  <c r="H202" i="61"/>
  <c r="H203" i="61"/>
  <c r="H204" i="61"/>
  <c r="H205" i="61"/>
  <c r="H206" i="61"/>
  <c r="H207" i="61"/>
  <c r="H208" i="61"/>
  <c r="H209" i="61"/>
  <c r="H210" i="61"/>
  <c r="H211" i="61"/>
  <c r="H212" i="61"/>
  <c r="H213" i="61"/>
  <c r="H214" i="61"/>
  <c r="H215" i="61"/>
  <c r="H216" i="61"/>
  <c r="H217" i="61"/>
  <c r="H218" i="61"/>
  <c r="H219" i="61"/>
  <c r="H220" i="61"/>
  <c r="H221" i="61"/>
  <c r="H222" i="61"/>
  <c r="H223" i="61"/>
  <c r="H224" i="61"/>
  <c r="H225" i="61"/>
  <c r="H226" i="61"/>
  <c r="H227" i="61"/>
  <c r="H228" i="61"/>
  <c r="H229" i="61"/>
  <c r="H230" i="61"/>
  <c r="H231" i="61"/>
  <c r="H232" i="61"/>
  <c r="H233" i="61"/>
  <c r="H234" i="61"/>
  <c r="H235" i="61"/>
  <c r="H236" i="61"/>
  <c r="H237" i="61"/>
  <c r="H238" i="61"/>
  <c r="H239" i="61"/>
  <c r="H240" i="61"/>
  <c r="H241" i="61"/>
  <c r="H242" i="61"/>
  <c r="H243" i="61"/>
  <c r="H244" i="61"/>
  <c r="H245" i="61"/>
  <c r="H246" i="61"/>
  <c r="H247" i="61"/>
  <c r="H248" i="61"/>
  <c r="H249" i="61"/>
  <c r="H250" i="61"/>
  <c r="H251" i="61"/>
  <c r="H252" i="61"/>
  <c r="H253" i="61"/>
  <c r="H254" i="61"/>
  <c r="H255" i="61"/>
  <c r="H256" i="61"/>
  <c r="H257" i="61"/>
  <c r="H258" i="61"/>
  <c r="H259" i="61"/>
  <c r="H260" i="61"/>
  <c r="H261" i="61"/>
  <c r="H262" i="61"/>
  <c r="H263" i="61"/>
  <c r="H264" i="61"/>
  <c r="H265" i="61"/>
  <c r="H266" i="61"/>
  <c r="H267" i="61"/>
  <c r="H268" i="61"/>
  <c r="H269" i="61"/>
  <c r="H270" i="61"/>
  <c r="H271" i="61"/>
  <c r="H272" i="61"/>
  <c r="H273" i="61"/>
  <c r="H274" i="61"/>
  <c r="H275" i="61"/>
  <c r="H276" i="61"/>
  <c r="H277" i="61"/>
  <c r="H278" i="61"/>
  <c r="H279" i="61"/>
  <c r="H280" i="61"/>
  <c r="H281" i="61"/>
  <c r="H282" i="61"/>
  <c r="H283" i="61"/>
  <c r="H284" i="61"/>
  <c r="H285" i="61"/>
  <c r="H286" i="61"/>
  <c r="H287" i="61"/>
  <c r="H288" i="61"/>
  <c r="H289" i="61"/>
  <c r="H290" i="61"/>
  <c r="H291" i="61"/>
  <c r="H292" i="61"/>
  <c r="H293" i="61"/>
  <c r="H294" i="61"/>
  <c r="H295" i="61"/>
  <c r="H296" i="61"/>
  <c r="H297" i="61"/>
  <c r="H298" i="61"/>
  <c r="H299" i="61"/>
  <c r="H300" i="61"/>
  <c r="H301" i="61"/>
  <c r="H302" i="61"/>
  <c r="H303" i="61"/>
  <c r="H304" i="61"/>
  <c r="H305" i="61"/>
  <c r="H306" i="61"/>
  <c r="H307" i="61"/>
  <c r="H308" i="61"/>
  <c r="H309" i="61"/>
  <c r="H310" i="61"/>
  <c r="H311" i="61"/>
  <c r="H312" i="61"/>
  <c r="H313" i="61"/>
  <c r="H314" i="61"/>
  <c r="H315" i="61"/>
  <c r="H316" i="61"/>
  <c r="H317" i="61"/>
  <c r="H318" i="61"/>
  <c r="H319" i="61"/>
  <c r="H320" i="61"/>
  <c r="H321" i="61"/>
  <c r="H322" i="61"/>
  <c r="H323" i="61"/>
  <c r="H324" i="61"/>
  <c r="H325" i="61"/>
  <c r="H326" i="61"/>
  <c r="H327" i="61"/>
  <c r="H328" i="61"/>
  <c r="H329" i="61"/>
  <c r="H330" i="61"/>
  <c r="H331" i="61"/>
  <c r="H332" i="61"/>
  <c r="H333" i="61"/>
  <c r="H334" i="61"/>
  <c r="H335" i="61"/>
  <c r="H336" i="61"/>
  <c r="H337" i="61"/>
  <c r="H338" i="61"/>
  <c r="H339" i="61"/>
  <c r="H340" i="61"/>
  <c r="H341" i="61"/>
  <c r="H342" i="61"/>
  <c r="H343" i="61"/>
  <c r="H344" i="61"/>
  <c r="H345" i="61"/>
  <c r="H346" i="61"/>
  <c r="H347" i="61"/>
  <c r="H348" i="61"/>
  <c r="H349" i="61"/>
  <c r="H350" i="61"/>
  <c r="H351" i="61"/>
  <c r="H352" i="61"/>
  <c r="H353" i="61"/>
  <c r="H354" i="61"/>
  <c r="H355" i="61"/>
  <c r="H356" i="61"/>
  <c r="H357" i="61"/>
  <c r="H358" i="61"/>
  <c r="H359" i="61"/>
  <c r="H360" i="61"/>
  <c r="H361" i="61"/>
  <c r="H362" i="61"/>
  <c r="H363" i="61"/>
  <c r="H364" i="61"/>
  <c r="H365" i="61"/>
  <c r="H366" i="61"/>
  <c r="H367" i="61"/>
  <c r="H368" i="61"/>
  <c r="H369" i="61"/>
  <c r="H370" i="61"/>
  <c r="H371" i="61"/>
  <c r="H372" i="61"/>
  <c r="H373" i="61"/>
  <c r="H374" i="61"/>
  <c r="H375" i="61"/>
  <c r="H376" i="61"/>
  <c r="H377" i="61"/>
  <c r="H378" i="61"/>
  <c r="H379" i="61"/>
  <c r="H380" i="61"/>
  <c r="H381" i="61"/>
  <c r="H382" i="61"/>
  <c r="H383" i="61"/>
  <c r="H384" i="61"/>
  <c r="H385" i="61"/>
  <c r="H386" i="61"/>
  <c r="H387" i="61"/>
  <c r="H388" i="61"/>
  <c r="H389" i="61"/>
  <c r="H390" i="61"/>
  <c r="H391" i="61"/>
  <c r="H392" i="61"/>
  <c r="H393" i="61"/>
  <c r="H394" i="61"/>
  <c r="H395" i="61"/>
  <c r="H396" i="61"/>
  <c r="H397" i="61"/>
  <c r="H398" i="61"/>
  <c r="H399" i="61"/>
  <c r="H400" i="61"/>
  <c r="H401" i="61"/>
  <c r="H402" i="61"/>
  <c r="H403" i="61"/>
  <c r="H404" i="61"/>
  <c r="H405" i="61"/>
  <c r="H406" i="61"/>
  <c r="H407" i="61"/>
  <c r="H408" i="61"/>
  <c r="H409" i="61"/>
  <c r="H410" i="61"/>
  <c r="H411" i="61"/>
  <c r="H412" i="61"/>
  <c r="H413" i="61"/>
  <c r="H414" i="61"/>
  <c r="H415" i="61"/>
  <c r="H416" i="61"/>
  <c r="H417" i="61"/>
  <c r="H418" i="61"/>
  <c r="H419" i="61"/>
  <c r="H420" i="61"/>
  <c r="H421" i="61"/>
  <c r="H422" i="61"/>
  <c r="H423" i="61"/>
  <c r="H424" i="61"/>
  <c r="H425" i="61"/>
  <c r="H426" i="61"/>
  <c r="H427" i="61"/>
  <c r="H428" i="61"/>
  <c r="H429" i="61"/>
  <c r="H430" i="61"/>
  <c r="H431" i="61"/>
  <c r="H432" i="61"/>
  <c r="H433" i="61"/>
  <c r="H434" i="61"/>
  <c r="H435" i="61"/>
  <c r="H436" i="61"/>
  <c r="H437" i="61"/>
  <c r="H438" i="61"/>
  <c r="H439" i="61"/>
  <c r="H440" i="61"/>
  <c r="H441" i="61"/>
  <c r="H442" i="61"/>
  <c r="H443" i="61"/>
  <c r="H444" i="61"/>
  <c r="H446" i="61"/>
  <c r="H447" i="61"/>
  <c r="H448" i="61"/>
  <c r="H449" i="61"/>
  <c r="H450" i="61"/>
  <c r="H451" i="61"/>
  <c r="H452" i="61"/>
  <c r="H453" i="61"/>
  <c r="H454" i="61"/>
  <c r="H455" i="61"/>
  <c r="H456" i="61"/>
  <c r="H457" i="61"/>
  <c r="H458" i="61"/>
  <c r="H459" i="61"/>
  <c r="H460" i="61"/>
  <c r="H461" i="61"/>
  <c r="H462" i="61"/>
  <c r="H463" i="61"/>
  <c r="H464" i="61"/>
  <c r="H465" i="61"/>
  <c r="H466" i="61"/>
  <c r="H467" i="61"/>
  <c r="H468" i="61"/>
  <c r="H469" i="61"/>
  <c r="H470" i="61"/>
  <c r="H471" i="61"/>
  <c r="H472" i="61"/>
  <c r="H473" i="61"/>
  <c r="H474" i="61"/>
  <c r="H475" i="61"/>
  <c r="H476" i="61"/>
  <c r="H477" i="61"/>
  <c r="H478" i="61"/>
  <c r="H479" i="61"/>
  <c r="H480" i="61"/>
  <c r="H481" i="61"/>
  <c r="H482" i="61"/>
  <c r="H483" i="61"/>
  <c r="H484" i="61"/>
  <c r="H485" i="61"/>
  <c r="H486" i="61"/>
  <c r="H487" i="61"/>
  <c r="H488" i="61"/>
  <c r="H489" i="61"/>
  <c r="H490" i="61"/>
  <c r="H491" i="61"/>
  <c r="H492" i="61"/>
  <c r="H493" i="61"/>
  <c r="H494" i="61"/>
  <c r="H495" i="61"/>
  <c r="H496" i="61"/>
  <c r="H497" i="61"/>
  <c r="H498" i="61"/>
  <c r="H499" i="61"/>
  <c r="H500" i="61"/>
  <c r="H501" i="61"/>
  <c r="H502" i="61"/>
  <c r="H503" i="61"/>
  <c r="H504" i="61"/>
  <c r="H505" i="61"/>
  <c r="H506" i="61"/>
  <c r="H507" i="61"/>
  <c r="H508" i="61"/>
  <c r="H509" i="61"/>
  <c r="H510" i="61"/>
  <c r="H511" i="61"/>
  <c r="H512" i="61"/>
  <c r="H513" i="61"/>
  <c r="H514" i="61"/>
  <c r="H515" i="61"/>
  <c r="H516" i="61"/>
  <c r="H517" i="61"/>
  <c r="H518" i="61"/>
  <c r="H519" i="61"/>
  <c r="H520" i="61"/>
  <c r="H521" i="61"/>
  <c r="H522" i="61"/>
  <c r="H523" i="61"/>
  <c r="H524" i="61"/>
  <c r="H525" i="61"/>
  <c r="H526" i="61"/>
  <c r="H527" i="61"/>
  <c r="H528" i="61"/>
  <c r="H529" i="61"/>
  <c r="H530" i="61"/>
  <c r="H531" i="61"/>
  <c r="H532" i="61"/>
  <c r="H533" i="61"/>
  <c r="H534" i="61"/>
  <c r="H535" i="61"/>
  <c r="H536" i="61"/>
  <c r="H537" i="61"/>
  <c r="H538" i="61"/>
  <c r="H539" i="61"/>
  <c r="H540" i="61"/>
  <c r="H541" i="61"/>
  <c r="H542" i="61"/>
  <c r="H543" i="61"/>
  <c r="H544" i="61"/>
  <c r="H545" i="61"/>
  <c r="H546" i="61"/>
  <c r="H547" i="61"/>
  <c r="H548" i="61"/>
  <c r="H549" i="61"/>
  <c r="H550" i="61"/>
  <c r="H551" i="61"/>
  <c r="H552" i="61"/>
  <c r="H553" i="61"/>
  <c r="H554" i="61"/>
  <c r="H555" i="61"/>
  <c r="H556" i="61"/>
  <c r="H557" i="61"/>
  <c r="H558" i="61"/>
  <c r="H559" i="61"/>
  <c r="H560" i="61"/>
  <c r="H561" i="61"/>
  <c r="H562" i="61"/>
  <c r="H563" i="61"/>
  <c r="H564" i="61"/>
  <c r="H565" i="61"/>
  <c r="H566" i="61"/>
  <c r="H567" i="61"/>
  <c r="H568" i="61"/>
  <c r="H569" i="61"/>
  <c r="H570" i="61"/>
  <c r="H571" i="61"/>
  <c r="H572" i="61"/>
  <c r="H573" i="61"/>
  <c r="H574" i="61"/>
  <c r="H575" i="61"/>
  <c r="H576" i="61"/>
  <c r="H577" i="61"/>
  <c r="H578" i="61"/>
  <c r="H579" i="61"/>
  <c r="H580" i="61"/>
  <c r="H581" i="61"/>
  <c r="H582" i="61"/>
  <c r="H583" i="61"/>
  <c r="H584" i="61"/>
  <c r="H585" i="61"/>
  <c r="H586" i="61"/>
  <c r="H587" i="61"/>
  <c r="H588" i="61"/>
  <c r="H589" i="61"/>
  <c r="H590" i="61"/>
  <c r="H591" i="61"/>
  <c r="H592" i="61"/>
  <c r="H593" i="61"/>
  <c r="H594" i="61"/>
  <c r="H595" i="61"/>
  <c r="H596" i="61"/>
  <c r="H597" i="61"/>
  <c r="H598" i="61"/>
  <c r="H599" i="61"/>
  <c r="H600" i="61"/>
  <c r="H601" i="61"/>
  <c r="H602" i="61"/>
  <c r="H603" i="61"/>
  <c r="H604" i="61"/>
  <c r="H605" i="61"/>
  <c r="H606" i="61"/>
  <c r="H607" i="61"/>
  <c r="H608" i="61"/>
  <c r="H609" i="61"/>
  <c r="H610" i="61"/>
  <c r="H611" i="61"/>
  <c r="H612" i="61"/>
  <c r="H613" i="61"/>
  <c r="H614" i="61"/>
  <c r="H615" i="61"/>
  <c r="H616" i="61"/>
  <c r="H617" i="61"/>
  <c r="H618" i="61"/>
  <c r="H619" i="61"/>
  <c r="H620" i="61"/>
  <c r="H621" i="61"/>
  <c r="H622" i="61"/>
  <c r="H623" i="61"/>
  <c r="H624" i="61"/>
  <c r="H625" i="61"/>
  <c r="H626" i="61"/>
  <c r="H627" i="61"/>
  <c r="H628" i="61"/>
  <c r="H629" i="61"/>
  <c r="H630" i="61"/>
  <c r="H631" i="61"/>
  <c r="H632" i="61"/>
  <c r="H633" i="61"/>
  <c r="H634" i="61"/>
  <c r="H635" i="61"/>
  <c r="H636" i="61"/>
  <c r="H637" i="61"/>
  <c r="H638" i="61"/>
  <c r="H639" i="61"/>
  <c r="H640" i="61"/>
  <c r="H641" i="61"/>
  <c r="H642" i="61"/>
  <c r="H643" i="61"/>
  <c r="H644" i="61"/>
  <c r="H645" i="61"/>
  <c r="H646" i="61"/>
  <c r="H647" i="61"/>
  <c r="H648" i="61"/>
  <c r="H649" i="61"/>
  <c r="H650" i="61"/>
  <c r="H651" i="61"/>
  <c r="H652" i="61"/>
  <c r="H653" i="61"/>
  <c r="H654" i="61"/>
  <c r="H655" i="61"/>
  <c r="H656" i="61"/>
  <c r="H657" i="61"/>
  <c r="H658" i="61"/>
  <c r="H659" i="61"/>
  <c r="H660" i="61"/>
  <c r="H661" i="61"/>
  <c r="H662" i="61"/>
  <c r="H663" i="61"/>
  <c r="H664" i="61"/>
  <c r="H665" i="61"/>
  <c r="H666" i="61"/>
  <c r="H667" i="61"/>
  <c r="H668" i="61"/>
  <c r="H669" i="61"/>
  <c r="H670" i="61"/>
  <c r="H671" i="61"/>
  <c r="H672" i="61"/>
  <c r="H673" i="61"/>
  <c r="H674" i="61"/>
  <c r="H675" i="61"/>
  <c r="H676" i="61"/>
  <c r="H677" i="61"/>
  <c r="H678" i="61"/>
  <c r="H679" i="61"/>
  <c r="H680" i="61"/>
  <c r="H681" i="61"/>
  <c r="H682" i="61"/>
  <c r="H683" i="61"/>
  <c r="H684" i="61"/>
  <c r="H685" i="61"/>
  <c r="H686" i="61"/>
  <c r="H687" i="61"/>
  <c r="H688" i="61"/>
  <c r="H689" i="61"/>
  <c r="H690" i="61"/>
  <c r="H691" i="61"/>
  <c r="H692" i="61"/>
  <c r="H693" i="61"/>
  <c r="H694" i="61"/>
  <c r="H695" i="61"/>
  <c r="H696" i="61"/>
  <c r="H697" i="61"/>
  <c r="H698" i="61"/>
  <c r="H699" i="61"/>
  <c r="H700" i="61"/>
  <c r="H701" i="61"/>
  <c r="H702" i="61"/>
  <c r="H703" i="61"/>
  <c r="H704" i="61"/>
  <c r="H705" i="61"/>
  <c r="H706" i="61"/>
  <c r="H707" i="61"/>
  <c r="H708" i="61"/>
  <c r="H709" i="61"/>
  <c r="H710" i="61"/>
  <c r="H711" i="61"/>
  <c r="H712" i="61"/>
  <c r="H713" i="61"/>
  <c r="H714" i="61"/>
  <c r="H715" i="61"/>
  <c r="H716" i="61"/>
  <c r="H717" i="61"/>
  <c r="H718" i="61"/>
  <c r="H719" i="61"/>
  <c r="H720" i="61"/>
  <c r="H721" i="61"/>
  <c r="H722" i="61"/>
  <c r="H723" i="61"/>
  <c r="H724" i="61"/>
  <c r="H725" i="61"/>
  <c r="H726" i="61"/>
  <c r="H727" i="61"/>
  <c r="H728" i="61"/>
  <c r="H729" i="61"/>
  <c r="H730" i="61"/>
  <c r="H731" i="61"/>
  <c r="H732" i="61"/>
  <c r="H733" i="61"/>
  <c r="H734" i="61"/>
  <c r="H735" i="61"/>
  <c r="H736" i="61"/>
  <c r="H737" i="61"/>
  <c r="H738" i="61"/>
  <c r="H739" i="61"/>
  <c r="H740" i="61"/>
  <c r="H741" i="61"/>
  <c r="H742" i="61"/>
  <c r="H743" i="61"/>
  <c r="H744" i="61"/>
  <c r="H745" i="61"/>
  <c r="H746" i="61"/>
  <c r="H747" i="61"/>
  <c r="H748" i="61"/>
  <c r="H749" i="61"/>
  <c r="H750" i="61"/>
  <c r="H751" i="61"/>
  <c r="H752" i="61"/>
  <c r="H753" i="61"/>
  <c r="H754" i="61"/>
  <c r="H755" i="61"/>
  <c r="H756" i="61"/>
  <c r="H757" i="61"/>
  <c r="H758" i="61"/>
  <c r="H759" i="61"/>
  <c r="H760" i="61"/>
  <c r="H761" i="61"/>
  <c r="H762" i="61"/>
  <c r="H763" i="61"/>
  <c r="H764" i="61"/>
  <c r="H765" i="61"/>
  <c r="H766" i="61"/>
  <c r="H767" i="61"/>
  <c r="H768" i="61"/>
  <c r="H769" i="61"/>
  <c r="H770" i="61"/>
  <c r="H771" i="61"/>
  <c r="H772" i="61"/>
  <c r="H773" i="61"/>
  <c r="H774" i="61"/>
  <c r="H775" i="61"/>
  <c r="H776" i="61"/>
  <c r="H777" i="61"/>
  <c r="H778" i="61"/>
  <c r="H779" i="61"/>
  <c r="H780" i="61"/>
  <c r="H781" i="61"/>
  <c r="H782" i="61"/>
  <c r="H783" i="61"/>
  <c r="H784" i="61"/>
  <c r="H785" i="61"/>
  <c r="H786" i="61"/>
  <c r="H787" i="61"/>
  <c r="H788" i="61"/>
  <c r="H789" i="61"/>
  <c r="H790" i="61"/>
  <c r="H791" i="61"/>
  <c r="H792" i="61"/>
  <c r="H793" i="61"/>
  <c r="H794" i="61"/>
  <c r="H795" i="61"/>
  <c r="H796" i="61"/>
  <c r="H797" i="61"/>
  <c r="H798" i="61"/>
  <c r="H799" i="61"/>
  <c r="H800" i="61"/>
  <c r="H801" i="61"/>
  <c r="H802" i="61"/>
  <c r="H803" i="61"/>
  <c r="H804" i="61"/>
  <c r="H805" i="61"/>
  <c r="H806" i="61"/>
  <c r="H807" i="61"/>
  <c r="H808" i="61"/>
  <c r="H809" i="61"/>
  <c r="H810" i="61"/>
  <c r="H811" i="61"/>
  <c r="H812" i="61"/>
  <c r="H813" i="61"/>
  <c r="H814" i="61"/>
  <c r="H815" i="61"/>
  <c r="H816" i="61"/>
  <c r="H817" i="61"/>
  <c r="H818" i="61"/>
  <c r="H819" i="61"/>
  <c r="H820" i="61"/>
  <c r="H821" i="61"/>
  <c r="H822" i="61"/>
  <c r="H823" i="61"/>
  <c r="H824" i="61"/>
  <c r="H825" i="61"/>
  <c r="H826" i="61"/>
  <c r="H827" i="61"/>
  <c r="H828" i="61"/>
  <c r="H829" i="61"/>
  <c r="H830" i="61"/>
  <c r="H831" i="61"/>
  <c r="H832" i="61"/>
  <c r="H833" i="61"/>
  <c r="H834" i="61"/>
  <c r="H835" i="61"/>
  <c r="H836" i="61"/>
  <c r="H837" i="61"/>
  <c r="H838" i="61"/>
  <c r="H839" i="61"/>
  <c r="H840" i="61"/>
  <c r="H841" i="61"/>
  <c r="H842" i="61"/>
  <c r="H843" i="61"/>
  <c r="H844" i="61"/>
  <c r="H845" i="61"/>
  <c r="H846" i="61"/>
  <c r="H847" i="61"/>
  <c r="H848" i="61"/>
  <c r="H849" i="61"/>
  <c r="H850" i="61"/>
  <c r="H851" i="61"/>
  <c r="H852" i="61"/>
  <c r="H853" i="61"/>
  <c r="H854" i="61"/>
  <c r="H855" i="61"/>
  <c r="H856" i="61"/>
  <c r="H857" i="61"/>
  <c r="H858" i="61"/>
  <c r="H859" i="61"/>
  <c r="H860" i="61"/>
  <c r="H861" i="61"/>
  <c r="H862" i="61"/>
  <c r="H863" i="61"/>
  <c r="H864" i="61"/>
  <c r="H865" i="61"/>
  <c r="H866" i="61"/>
  <c r="H867" i="61"/>
  <c r="H868" i="61"/>
  <c r="H869" i="61"/>
  <c r="H870" i="61"/>
  <c r="H871" i="61"/>
  <c r="H872" i="61"/>
  <c r="H873" i="61"/>
  <c r="H874" i="61"/>
  <c r="H875" i="61"/>
  <c r="H876" i="61"/>
  <c r="H877" i="61"/>
  <c r="H878" i="61"/>
  <c r="H879" i="61"/>
  <c r="H880" i="61"/>
  <c r="H881" i="61"/>
  <c r="H882" i="61"/>
  <c r="H883" i="61"/>
  <c r="H884" i="61"/>
  <c r="H885" i="61"/>
  <c r="H886" i="61"/>
  <c r="H887" i="61"/>
  <c r="H888" i="61"/>
  <c r="H889" i="61"/>
  <c r="H890" i="61"/>
  <c r="H891" i="61"/>
  <c r="H892" i="61"/>
  <c r="H893" i="61"/>
  <c r="H894" i="61"/>
  <c r="H895" i="61"/>
  <c r="H896" i="61"/>
  <c r="H897" i="61"/>
  <c r="H898" i="61"/>
  <c r="H899" i="61"/>
  <c r="H900" i="61"/>
  <c r="H901" i="61"/>
  <c r="H902" i="61"/>
  <c r="H903" i="61"/>
  <c r="H904" i="61"/>
  <c r="H905" i="61"/>
  <c r="H906" i="61"/>
  <c r="H907" i="61"/>
  <c r="H908" i="61"/>
  <c r="H909" i="61"/>
  <c r="H910" i="61"/>
  <c r="H911" i="61"/>
  <c r="H912" i="61"/>
  <c r="H913" i="61"/>
  <c r="H914" i="61"/>
  <c r="H915" i="61"/>
  <c r="H916" i="61"/>
  <c r="H917" i="61"/>
  <c r="H918" i="61"/>
  <c r="H919" i="61"/>
  <c r="H920" i="61"/>
  <c r="H921" i="61"/>
  <c r="H922" i="61"/>
  <c r="H923" i="61"/>
  <c r="H924" i="61"/>
  <c r="H925" i="61"/>
  <c r="H926" i="61"/>
  <c r="H927" i="61"/>
  <c r="H928" i="61"/>
  <c r="H929" i="61"/>
  <c r="H930" i="61"/>
  <c r="H931" i="61"/>
  <c r="H932" i="61"/>
  <c r="H933" i="61"/>
  <c r="H934" i="61"/>
  <c r="H935" i="61"/>
  <c r="H936" i="61"/>
  <c r="H937" i="61"/>
  <c r="H938" i="61"/>
  <c r="H939" i="61"/>
  <c r="H940" i="61"/>
  <c r="H941" i="61"/>
  <c r="H942" i="61"/>
  <c r="H943" i="61"/>
  <c r="H944" i="61"/>
  <c r="H945" i="61"/>
  <c r="H946" i="61"/>
  <c r="H947" i="61"/>
  <c r="H948" i="61"/>
  <c r="H949" i="61"/>
  <c r="H950" i="61"/>
  <c r="H951" i="61"/>
  <c r="H952" i="61"/>
  <c r="H953" i="61"/>
  <c r="H954" i="61"/>
  <c r="H955" i="61"/>
  <c r="H956" i="61"/>
  <c r="H957" i="61"/>
  <c r="H958" i="61"/>
  <c r="H959" i="61"/>
  <c r="H960" i="61"/>
  <c r="H961" i="61"/>
  <c r="H962" i="61"/>
  <c r="H963" i="61"/>
  <c r="H964" i="61"/>
  <c r="H965" i="61"/>
  <c r="H966" i="61"/>
  <c r="H967" i="61"/>
  <c r="H968" i="61"/>
  <c r="H969" i="61"/>
  <c r="H970" i="61"/>
  <c r="H971" i="61"/>
  <c r="H972" i="61"/>
  <c r="H973" i="61"/>
  <c r="H974" i="61"/>
  <c r="H975" i="61"/>
  <c r="H976" i="61"/>
  <c r="H977" i="61"/>
  <c r="H978" i="61"/>
  <c r="H979" i="61"/>
  <c r="H980" i="61"/>
  <c r="H981" i="61"/>
  <c r="H982" i="61"/>
  <c r="H983" i="61"/>
  <c r="H984" i="61"/>
  <c r="H985" i="61"/>
  <c r="H986" i="61"/>
  <c r="H987" i="61"/>
  <c r="H988" i="61"/>
  <c r="H989" i="61"/>
  <c r="H990" i="61"/>
  <c r="H991" i="61"/>
  <c r="H992" i="61"/>
  <c r="H993" i="61"/>
  <c r="H994" i="61"/>
  <c r="H995" i="61"/>
  <c r="H996" i="61"/>
  <c r="H997" i="61"/>
  <c r="H998" i="61"/>
  <c r="H999" i="61"/>
  <c r="H1000" i="61"/>
  <c r="H1001" i="61"/>
  <c r="H1002" i="61"/>
  <c r="H1003" i="61"/>
  <c r="H1004" i="61"/>
  <c r="H1005" i="61"/>
  <c r="H1006" i="61"/>
  <c r="H1007" i="61"/>
  <c r="H1008" i="61"/>
  <c r="H1009" i="61"/>
  <c r="H1010" i="61"/>
  <c r="H1011" i="61"/>
  <c r="H1012" i="61"/>
  <c r="H1013" i="61"/>
  <c r="H1014" i="61"/>
  <c r="H1015" i="61"/>
  <c r="H1016" i="61"/>
  <c r="H1017" i="61"/>
  <c r="H1018" i="61"/>
  <c r="H1019" i="61"/>
  <c r="H1020" i="61"/>
  <c r="H1021" i="61"/>
  <c r="H1022" i="61"/>
  <c r="H1023" i="61"/>
  <c r="H1024" i="61"/>
  <c r="H1025" i="61"/>
  <c r="H1026" i="61"/>
  <c r="H1027" i="61"/>
  <c r="H1028" i="61"/>
  <c r="H1029" i="61"/>
  <c r="H1030" i="61"/>
  <c r="H1031" i="61"/>
  <c r="H1032" i="61"/>
  <c r="H1033" i="61"/>
  <c r="H1034" i="61"/>
  <c r="H1035" i="61"/>
  <c r="H1036" i="61"/>
  <c r="H1037" i="61"/>
  <c r="H1038" i="61"/>
  <c r="H1039" i="61"/>
  <c r="H1040" i="61"/>
  <c r="H1041" i="61"/>
  <c r="H1042" i="61"/>
  <c r="H1043" i="61"/>
  <c r="H1044" i="61"/>
  <c r="H1045" i="61"/>
  <c r="H1046" i="61"/>
  <c r="H1047" i="61"/>
  <c r="H1048" i="61"/>
  <c r="H1049" i="61"/>
  <c r="H1050" i="61"/>
  <c r="H1051" i="61"/>
  <c r="H1052" i="61"/>
  <c r="H1053" i="61"/>
  <c r="H1054" i="61"/>
  <c r="H1055" i="61"/>
  <c r="H1056" i="61"/>
  <c r="H1057" i="61"/>
  <c r="H1058" i="61"/>
  <c r="H1059" i="61"/>
  <c r="H1060" i="61"/>
  <c r="H1061" i="61"/>
  <c r="H1062" i="61"/>
  <c r="H1063" i="61"/>
  <c r="H1064" i="61"/>
  <c r="H1065" i="61"/>
  <c r="H1066" i="61"/>
  <c r="H1067" i="61"/>
  <c r="H1068" i="61"/>
  <c r="H1069" i="61"/>
  <c r="H1070" i="61"/>
  <c r="H1071" i="61"/>
  <c r="H1072" i="61"/>
  <c r="H1073" i="61"/>
  <c r="H1074" i="61"/>
  <c r="H1075" i="61"/>
  <c r="H1076" i="61"/>
  <c r="H1077" i="61"/>
  <c r="H1078" i="61"/>
  <c r="H1079" i="61"/>
  <c r="H1080" i="61"/>
  <c r="H1081" i="61"/>
  <c r="H1082" i="61"/>
  <c r="H1083" i="61"/>
  <c r="H1084" i="61"/>
  <c r="H1085" i="61"/>
  <c r="H1086" i="61"/>
  <c r="H1087" i="61"/>
  <c r="H1088" i="61"/>
  <c r="H1089" i="61"/>
  <c r="H1090" i="61"/>
  <c r="H1091" i="61"/>
  <c r="H1092" i="61"/>
  <c r="H1093" i="61"/>
  <c r="H1094" i="61"/>
  <c r="H1095" i="61"/>
  <c r="H1096" i="61"/>
  <c r="H1097" i="61"/>
  <c r="H1098" i="61"/>
  <c r="H1099" i="61"/>
  <c r="H1100" i="61"/>
  <c r="H1101" i="61"/>
  <c r="H1102" i="61"/>
  <c r="H1103" i="61"/>
  <c r="H1104" i="61"/>
  <c r="H1105" i="61"/>
  <c r="H1106" i="61"/>
  <c r="H1107" i="61"/>
  <c r="H1108" i="61"/>
  <c r="H1109" i="61"/>
  <c r="H1110" i="61"/>
  <c r="H1111" i="61"/>
  <c r="H1112" i="61"/>
  <c r="H1113" i="61"/>
  <c r="H1114" i="61"/>
  <c r="H1115" i="61"/>
  <c r="H1116" i="61"/>
  <c r="H1117" i="61"/>
  <c r="H1118" i="61"/>
  <c r="H1119" i="61"/>
  <c r="H1120" i="61"/>
  <c r="H1121" i="61"/>
  <c r="H1122" i="61"/>
  <c r="H1123" i="61"/>
  <c r="H1124" i="61"/>
  <c r="H1125" i="61"/>
  <c r="H1126" i="61"/>
  <c r="H1127" i="61"/>
  <c r="H1128" i="61"/>
  <c r="H1129" i="61"/>
  <c r="H1130" i="61"/>
  <c r="H1131" i="61"/>
  <c r="H1132" i="61"/>
  <c r="H1133" i="61"/>
  <c r="H1134" i="61"/>
  <c r="H1135" i="61"/>
  <c r="H1136" i="61"/>
  <c r="H1137" i="61"/>
  <c r="H1138" i="61"/>
  <c r="H1139" i="61"/>
  <c r="H1140" i="61"/>
  <c r="H1141" i="61"/>
  <c r="H1142" i="61"/>
  <c r="H1143" i="61"/>
  <c r="H1144" i="61"/>
  <c r="H1145" i="61"/>
  <c r="H1146" i="61"/>
  <c r="H1147" i="61"/>
  <c r="H1148" i="61"/>
  <c r="H1149" i="61"/>
  <c r="H1150" i="61"/>
  <c r="H1151" i="61"/>
  <c r="H1152" i="61"/>
  <c r="H1153" i="61"/>
  <c r="H1154" i="61"/>
  <c r="H1155" i="61"/>
  <c r="H1156" i="61"/>
  <c r="H1157" i="61"/>
  <c r="H1158" i="61"/>
  <c r="H1159" i="61"/>
  <c r="H1160" i="61"/>
  <c r="H1161" i="61"/>
  <c r="H1162" i="61"/>
  <c r="H1163" i="61"/>
  <c r="H1164" i="61"/>
  <c r="H1165" i="61"/>
  <c r="H1166" i="61"/>
  <c r="H1167" i="61"/>
  <c r="H1168" i="61"/>
  <c r="H1169" i="61"/>
  <c r="H1170" i="61"/>
  <c r="H1171" i="61"/>
  <c r="H1172" i="61"/>
  <c r="H1173" i="61"/>
  <c r="H1174" i="61"/>
  <c r="H1175" i="61"/>
  <c r="H1176" i="61"/>
  <c r="H1177" i="61"/>
  <c r="H1178" i="61"/>
  <c r="H1179" i="61"/>
  <c r="H1180" i="61"/>
  <c r="H1181" i="61"/>
  <c r="H1182" i="61"/>
  <c r="H1183" i="61"/>
  <c r="H1184" i="61"/>
  <c r="H1185" i="61"/>
  <c r="H1186" i="61"/>
  <c r="H1187" i="61"/>
  <c r="H1188" i="61"/>
  <c r="H1189" i="61"/>
  <c r="H1190" i="61"/>
  <c r="H1191" i="61"/>
  <c r="H1192" i="61"/>
  <c r="H1193" i="61"/>
  <c r="H1194" i="61"/>
  <c r="H1195" i="61"/>
  <c r="H1196" i="61"/>
  <c r="H1197" i="61"/>
  <c r="H1198" i="61"/>
  <c r="H1199" i="61"/>
  <c r="H1200" i="61"/>
  <c r="H1201" i="61"/>
  <c r="H1202" i="61"/>
  <c r="H1203" i="61"/>
  <c r="H1204" i="61"/>
  <c r="H1205" i="61"/>
  <c r="H1206" i="61"/>
  <c r="H1207" i="61"/>
  <c r="H1208" i="61"/>
  <c r="H1209" i="61"/>
  <c r="H1210" i="61"/>
  <c r="H1211" i="61"/>
  <c r="H1212" i="61"/>
  <c r="H1213" i="61"/>
  <c r="H1214" i="61"/>
  <c r="H1215" i="61"/>
  <c r="H1216" i="61"/>
  <c r="H1217" i="61"/>
  <c r="H1218" i="61"/>
  <c r="H1219" i="61"/>
  <c r="H1220" i="61"/>
  <c r="H1221" i="61"/>
  <c r="H1222" i="61"/>
  <c r="H1223" i="61"/>
  <c r="H1224" i="61"/>
  <c r="H1225" i="61"/>
  <c r="H1226" i="61"/>
  <c r="H1227" i="61"/>
  <c r="H1228" i="61"/>
  <c r="H1229" i="61"/>
  <c r="H1230" i="61"/>
  <c r="H1231" i="61"/>
  <c r="H1232" i="61"/>
  <c r="H1233" i="61"/>
  <c r="H1234" i="61"/>
  <c r="H1235" i="61"/>
  <c r="H1236" i="61"/>
  <c r="H1237" i="61"/>
  <c r="H1238" i="61"/>
  <c r="H1239" i="61"/>
  <c r="H1240" i="61"/>
  <c r="H1241" i="61"/>
  <c r="H1242" i="61"/>
  <c r="H1243" i="61"/>
  <c r="H1244" i="61"/>
  <c r="H1245" i="61"/>
  <c r="H1246" i="61"/>
  <c r="H1247" i="61"/>
  <c r="H1248" i="61"/>
  <c r="H1249" i="61"/>
  <c r="H1250" i="61"/>
  <c r="H1251" i="61"/>
  <c r="H1252" i="61"/>
  <c r="H1253" i="61"/>
  <c r="H1254" i="61"/>
  <c r="H1255" i="61"/>
  <c r="H1256" i="61"/>
  <c r="H1257" i="61"/>
  <c r="H1258" i="61"/>
  <c r="H1259" i="61"/>
  <c r="H1260" i="61"/>
  <c r="H1261" i="61"/>
  <c r="H1262" i="61"/>
  <c r="H1263" i="61"/>
  <c r="H1264" i="61"/>
  <c r="H1265" i="61"/>
  <c r="H1266" i="61"/>
  <c r="H1267" i="61"/>
  <c r="H1268" i="61"/>
  <c r="H1269" i="61"/>
  <c r="H1270" i="61"/>
  <c r="H1271" i="61"/>
  <c r="H1272" i="61"/>
  <c r="H1273" i="61"/>
  <c r="H1274" i="61"/>
  <c r="H1275" i="61"/>
  <c r="H1276" i="61"/>
  <c r="H1277" i="61"/>
  <c r="H1278" i="61"/>
  <c r="H1279" i="61"/>
  <c r="H1280" i="61"/>
  <c r="H1281" i="61"/>
  <c r="H1282" i="61"/>
  <c r="H1283" i="61"/>
  <c r="H1284" i="61"/>
  <c r="H1285" i="61"/>
  <c r="H1286" i="61"/>
  <c r="H1287" i="61"/>
  <c r="H1288" i="61"/>
  <c r="H1289" i="61"/>
  <c r="H1290" i="61"/>
  <c r="H1291" i="61"/>
  <c r="H1292" i="61"/>
  <c r="H1293" i="61"/>
  <c r="H1294" i="61"/>
  <c r="H1295" i="61"/>
  <c r="H1296" i="61"/>
  <c r="H1297" i="61"/>
  <c r="H1298" i="61"/>
  <c r="H1299" i="61"/>
  <c r="H1300" i="61"/>
  <c r="H1301" i="61"/>
  <c r="H1302" i="61"/>
  <c r="H1303" i="61"/>
  <c r="H1304" i="61"/>
  <c r="H1305" i="61"/>
  <c r="H1306" i="61"/>
  <c r="H1307" i="61"/>
  <c r="H1308" i="61"/>
  <c r="H1309" i="61"/>
  <c r="H1310" i="61"/>
  <c r="H1311" i="61"/>
  <c r="H1312" i="61"/>
  <c r="H1313" i="61"/>
  <c r="H1314" i="61"/>
  <c r="H1315" i="61"/>
  <c r="H1316" i="61"/>
  <c r="H1317" i="61"/>
  <c r="H1318" i="61"/>
  <c r="H1319" i="61"/>
  <c r="H1320" i="61"/>
  <c r="H1321" i="61"/>
  <c r="H1322" i="61"/>
  <c r="H1323" i="61"/>
  <c r="H1324" i="61"/>
  <c r="H1325" i="61"/>
  <c r="H1326" i="61"/>
  <c r="H1327" i="61"/>
  <c r="H1328" i="61"/>
  <c r="H1329" i="61"/>
  <c r="H1330" i="61"/>
  <c r="H1331" i="61"/>
  <c r="H1332" i="61"/>
  <c r="H1333" i="61"/>
  <c r="H1334" i="61"/>
  <c r="H1335" i="61"/>
  <c r="H1336" i="61"/>
  <c r="H1337" i="61"/>
  <c r="H1338" i="61"/>
  <c r="H1339" i="61"/>
  <c r="H1340" i="61"/>
  <c r="H1341" i="61"/>
  <c r="H1342" i="61"/>
  <c r="H1343" i="61"/>
  <c r="H1344" i="61"/>
  <c r="H1345" i="61"/>
  <c r="H1346" i="61"/>
  <c r="H1347" i="61"/>
  <c r="H1348" i="61"/>
  <c r="H1349" i="61"/>
  <c r="H1350" i="61"/>
  <c r="H1351" i="61"/>
  <c r="H1352" i="61"/>
  <c r="H1353" i="61"/>
  <c r="H1354" i="61"/>
  <c r="H1355" i="61"/>
  <c r="H1356" i="61"/>
  <c r="H1357" i="61"/>
  <c r="H1358" i="61"/>
  <c r="H1359" i="61"/>
  <c r="H1360" i="61"/>
  <c r="H1361" i="61"/>
  <c r="H1362" i="61"/>
  <c r="H1363" i="61"/>
  <c r="H1364" i="61"/>
  <c r="H1365" i="61"/>
  <c r="H1366" i="61"/>
  <c r="H1367" i="61"/>
  <c r="H1368" i="61"/>
  <c r="H1369" i="61"/>
  <c r="H1370" i="61"/>
  <c r="H1371" i="61"/>
  <c r="H1372" i="61"/>
  <c r="H1373" i="61"/>
  <c r="H1374" i="61"/>
  <c r="H1375" i="61"/>
  <c r="H1376" i="61"/>
  <c r="H1377" i="61"/>
  <c r="H1378" i="61"/>
  <c r="H1379" i="61"/>
  <c r="H1380" i="61"/>
  <c r="H1381" i="61"/>
  <c r="H1382" i="61"/>
  <c r="H1383" i="61"/>
  <c r="H1384" i="61"/>
  <c r="H1385" i="61"/>
  <c r="H1386" i="61"/>
  <c r="H1387" i="61"/>
  <c r="H1388" i="61"/>
  <c r="H1389" i="61"/>
  <c r="H1390" i="61"/>
  <c r="H1391" i="61"/>
  <c r="H1392" i="61"/>
  <c r="H1393" i="61"/>
  <c r="H1394" i="61"/>
  <c r="H1395" i="61"/>
  <c r="H1396" i="61"/>
  <c r="H1397" i="61"/>
  <c r="H1398" i="61"/>
  <c r="H1399" i="61"/>
  <c r="H1400" i="61"/>
  <c r="H1401" i="61"/>
  <c r="H1402" i="61"/>
  <c r="H1403" i="61"/>
  <c r="H1404" i="61"/>
  <c r="H1405" i="61"/>
  <c r="H1406" i="61"/>
  <c r="H1407" i="61"/>
  <c r="H1408" i="61"/>
  <c r="H1409" i="61"/>
  <c r="H1410" i="61"/>
  <c r="H1411" i="61"/>
  <c r="H1412" i="61"/>
  <c r="H1413" i="61"/>
  <c r="H1414" i="61"/>
  <c r="H1415" i="61"/>
  <c r="H1416" i="61"/>
  <c r="H1417" i="61"/>
  <c r="H1418" i="61"/>
  <c r="H1419" i="61"/>
  <c r="H1420" i="61"/>
  <c r="H1421" i="61"/>
  <c r="H1422" i="61"/>
  <c r="H1423" i="61"/>
  <c r="H1424" i="61"/>
  <c r="H1425" i="61"/>
  <c r="H1426" i="61"/>
  <c r="H1427" i="61"/>
  <c r="H1428" i="61"/>
  <c r="H1429" i="61"/>
  <c r="H1430" i="61"/>
  <c r="H1431" i="61"/>
  <c r="H1432" i="61"/>
  <c r="H1433" i="61"/>
  <c r="H1434" i="61"/>
  <c r="H1435" i="61"/>
  <c r="H1436" i="61"/>
  <c r="H1437" i="61"/>
  <c r="H1438" i="61"/>
  <c r="H1439" i="61"/>
  <c r="H1440" i="61"/>
  <c r="H1441" i="61"/>
  <c r="H1442" i="61"/>
  <c r="H1443" i="61"/>
  <c r="H1444" i="61"/>
  <c r="H1445" i="61"/>
  <c r="H1446" i="61"/>
  <c r="H1447" i="61"/>
  <c r="H1448" i="61"/>
  <c r="H1449" i="61"/>
  <c r="H1450" i="61"/>
  <c r="H1451" i="61"/>
  <c r="H1452" i="61"/>
  <c r="H1453" i="61"/>
  <c r="H1454" i="61"/>
  <c r="H1455" i="61"/>
  <c r="H1456" i="61"/>
  <c r="H1457" i="61"/>
  <c r="H1458" i="61"/>
  <c r="H1459" i="61"/>
  <c r="H1460" i="61"/>
  <c r="H1461" i="61"/>
  <c r="H1462" i="61"/>
  <c r="H1463" i="61"/>
  <c r="H1464" i="61"/>
  <c r="H1465" i="61"/>
  <c r="H1466" i="61"/>
  <c r="H1467" i="61"/>
  <c r="H1468" i="61"/>
  <c r="H1469" i="61"/>
  <c r="H1470" i="61"/>
  <c r="H1471" i="61"/>
  <c r="H1472" i="61"/>
  <c r="H1473" i="61"/>
  <c r="H1474" i="61"/>
  <c r="H1475" i="61"/>
  <c r="H1476" i="61"/>
  <c r="H1477" i="61"/>
  <c r="H1478" i="61"/>
  <c r="H1479" i="61"/>
  <c r="H1480" i="61"/>
  <c r="H1481" i="61"/>
  <c r="H1482" i="61"/>
  <c r="H1483" i="61"/>
  <c r="H1484" i="61"/>
  <c r="H1485" i="61"/>
  <c r="H1486" i="61"/>
  <c r="H1487" i="61"/>
  <c r="H1488" i="61"/>
  <c r="H1489" i="61"/>
  <c r="H1490" i="61"/>
  <c r="H1491" i="61"/>
  <c r="H1492" i="61"/>
  <c r="H1493" i="61"/>
  <c r="H1494" i="61"/>
  <c r="H1495" i="61"/>
  <c r="H1496" i="61"/>
  <c r="H1497" i="61"/>
  <c r="H1498" i="61"/>
  <c r="H1499" i="61"/>
  <c r="H1500" i="61"/>
  <c r="H1501" i="61"/>
  <c r="H1502" i="61"/>
  <c r="H1503" i="61"/>
  <c r="H1504" i="61"/>
  <c r="H1505" i="61"/>
  <c r="H1506" i="61"/>
  <c r="H1507" i="61"/>
  <c r="H1508" i="61"/>
  <c r="H1509" i="61"/>
  <c r="H1510" i="61"/>
  <c r="H1511" i="61"/>
  <c r="H1512" i="61"/>
  <c r="H1513" i="61"/>
  <c r="H1514" i="61"/>
  <c r="H1515" i="61"/>
  <c r="H1516" i="61"/>
  <c r="H1517" i="61"/>
  <c r="H1518" i="61"/>
  <c r="H1519" i="61"/>
  <c r="H1520" i="61"/>
  <c r="H1521" i="61"/>
  <c r="H1522" i="61"/>
  <c r="H1523" i="61"/>
  <c r="H1524" i="61"/>
  <c r="H1525" i="61"/>
  <c r="H1526" i="61"/>
  <c r="H1527" i="61"/>
  <c r="H1528" i="61"/>
  <c r="H1529" i="61"/>
  <c r="H1530" i="61"/>
  <c r="H1531" i="61"/>
  <c r="H1532" i="61"/>
  <c r="H1533" i="61"/>
  <c r="H1534" i="61"/>
  <c r="H1535" i="61"/>
  <c r="H1536" i="61"/>
  <c r="H1537" i="61"/>
  <c r="H1538" i="61"/>
  <c r="H1539" i="61"/>
  <c r="H1540" i="61"/>
  <c r="H1541" i="61"/>
  <c r="H1542" i="61"/>
  <c r="H1543" i="61"/>
  <c r="H1544" i="61"/>
  <c r="H1545" i="61"/>
  <c r="H1546" i="61"/>
  <c r="H1547" i="61"/>
  <c r="H1548" i="61"/>
  <c r="H1549" i="61"/>
  <c r="H1550" i="61"/>
  <c r="H1551" i="61"/>
  <c r="H1552" i="61"/>
  <c r="H1553" i="61"/>
  <c r="H1554" i="61"/>
  <c r="H1555" i="61"/>
  <c r="H1556" i="61"/>
  <c r="H1557" i="61"/>
  <c r="H1558" i="61"/>
  <c r="H1559" i="61"/>
  <c r="H1560" i="61"/>
  <c r="H1561" i="61"/>
  <c r="H1562" i="61"/>
  <c r="H1563" i="61"/>
  <c r="H1564" i="61"/>
  <c r="H1565" i="61"/>
  <c r="H1566" i="61"/>
  <c r="H1567" i="61"/>
  <c r="H1568" i="61"/>
  <c r="H1569" i="61"/>
  <c r="H1570" i="61"/>
  <c r="H1571" i="61"/>
  <c r="H1572" i="61"/>
  <c r="H1573" i="61"/>
  <c r="H1574" i="61"/>
  <c r="H1575" i="61"/>
  <c r="H1576" i="61"/>
  <c r="H1577" i="61"/>
  <c r="H1578" i="61"/>
  <c r="H1579" i="61"/>
  <c r="H1580" i="61"/>
  <c r="H1581" i="61"/>
  <c r="H1582" i="61"/>
  <c r="H1583" i="61"/>
  <c r="H1584" i="61"/>
  <c r="H1585" i="61"/>
  <c r="H1586" i="61"/>
  <c r="H1587" i="61"/>
  <c r="H1588" i="61"/>
  <c r="H1589" i="61"/>
  <c r="H1590" i="61"/>
  <c r="H1591" i="61"/>
  <c r="H1592" i="61"/>
  <c r="H1593" i="61"/>
  <c r="H1594" i="61"/>
  <c r="H1595" i="61"/>
  <c r="H1596" i="61"/>
  <c r="H1597" i="61"/>
  <c r="H1598" i="61"/>
  <c r="H1599" i="61"/>
  <c r="H1600" i="61"/>
  <c r="H1601" i="61"/>
  <c r="H1602" i="61"/>
  <c r="H1603" i="61"/>
  <c r="H1604" i="61"/>
  <c r="H1605" i="61"/>
  <c r="H1606" i="61"/>
  <c r="H1607" i="61"/>
  <c r="H1608" i="61"/>
  <c r="H1609" i="61"/>
  <c r="H1610" i="61"/>
  <c r="H1611" i="61"/>
  <c r="H1612" i="61"/>
  <c r="H1613" i="61"/>
  <c r="H1614" i="61"/>
  <c r="H1615" i="61"/>
  <c r="H1616" i="61"/>
  <c r="H1617" i="61"/>
  <c r="H1618" i="61"/>
  <c r="H1619" i="61"/>
  <c r="H1620" i="61"/>
  <c r="H1621" i="61"/>
  <c r="H1622" i="61"/>
  <c r="H1623" i="61"/>
  <c r="H1624" i="61"/>
  <c r="H1625" i="61"/>
  <c r="H1626" i="61"/>
  <c r="H1627" i="61"/>
  <c r="H1628" i="61"/>
  <c r="H1629" i="61"/>
  <c r="H1630" i="61"/>
  <c r="H1631" i="61"/>
  <c r="H1632" i="61"/>
  <c r="H1633" i="61"/>
  <c r="H1634" i="61"/>
  <c r="H1635" i="61"/>
  <c r="H1636" i="61"/>
  <c r="H1637" i="61"/>
  <c r="H1638" i="61"/>
  <c r="H1639" i="61"/>
  <c r="H1640" i="61"/>
  <c r="H1641" i="61"/>
  <c r="H1642" i="61"/>
  <c r="H1643" i="61"/>
  <c r="H1644" i="61"/>
  <c r="H1645" i="61"/>
  <c r="H1646" i="61"/>
  <c r="H1647" i="61"/>
  <c r="H1648" i="61"/>
  <c r="H1649" i="61"/>
  <c r="H1650" i="61"/>
  <c r="H1651" i="61"/>
  <c r="H1652" i="61"/>
  <c r="H1653" i="61"/>
  <c r="H1654" i="61"/>
  <c r="H1655" i="61"/>
  <c r="H1656" i="61"/>
  <c r="H1657" i="61"/>
  <c r="H1658" i="61"/>
  <c r="H1659" i="61"/>
  <c r="H1660" i="61"/>
  <c r="H1661" i="61"/>
  <c r="H1662" i="61"/>
  <c r="H1663" i="61"/>
  <c r="H1664" i="61"/>
  <c r="H1665" i="61"/>
  <c r="H1666" i="61"/>
  <c r="H1667" i="61"/>
  <c r="H1668" i="61"/>
  <c r="H1669" i="61"/>
  <c r="H1670" i="61"/>
  <c r="H1671" i="61"/>
  <c r="H1672" i="61"/>
  <c r="H1673" i="61"/>
  <c r="H1674" i="61"/>
  <c r="H1675" i="61"/>
  <c r="H1676" i="61"/>
  <c r="H1677" i="61"/>
  <c r="H1678" i="61"/>
  <c r="H1679" i="61"/>
  <c r="H1680" i="61"/>
  <c r="H1681" i="61"/>
  <c r="H1682" i="61"/>
  <c r="H1683" i="61"/>
  <c r="H1684" i="61"/>
  <c r="H1685" i="61"/>
  <c r="H1686" i="61"/>
  <c r="H1687" i="61"/>
  <c r="H1688" i="61"/>
  <c r="H1689" i="61"/>
  <c r="H1690" i="61"/>
  <c r="H1691" i="61"/>
  <c r="H1692" i="61"/>
  <c r="H1693" i="61"/>
  <c r="H1694" i="61"/>
  <c r="H1695" i="61"/>
  <c r="H1696" i="61"/>
  <c r="H1697" i="61"/>
  <c r="H1698" i="61"/>
  <c r="H1699" i="61"/>
  <c r="H1700" i="61"/>
  <c r="H1701" i="61"/>
  <c r="H1702" i="61"/>
  <c r="H1703" i="61"/>
  <c r="H1704" i="61"/>
  <c r="H1705" i="61"/>
  <c r="H1706" i="61"/>
  <c r="H1707" i="61"/>
  <c r="H1708" i="61"/>
  <c r="H1709" i="61"/>
  <c r="H1710" i="61"/>
  <c r="H1711" i="61"/>
  <c r="H1712" i="61"/>
  <c r="H1713" i="61"/>
  <c r="H1714" i="61"/>
  <c r="H1715" i="61"/>
  <c r="H1716" i="61"/>
  <c r="H1717" i="61"/>
  <c r="H1718" i="61"/>
  <c r="H1719" i="61"/>
  <c r="H1720" i="61"/>
  <c r="H1721" i="61"/>
  <c r="H1722" i="61"/>
  <c r="H1723" i="61"/>
  <c r="H1724" i="61"/>
  <c r="H1725" i="61"/>
  <c r="H1726" i="61"/>
  <c r="H1727" i="61"/>
  <c r="H1728" i="61"/>
  <c r="H1729" i="61"/>
  <c r="H1730" i="61"/>
  <c r="H1731" i="61"/>
  <c r="H1732" i="61"/>
  <c r="H1733" i="61"/>
  <c r="H1734" i="61"/>
  <c r="H1735" i="61"/>
  <c r="H1736" i="61"/>
  <c r="H1737" i="61"/>
  <c r="H1738" i="61"/>
  <c r="H1739" i="61"/>
  <c r="H1740" i="61"/>
  <c r="H1741" i="61"/>
  <c r="H1742" i="61"/>
  <c r="H1743" i="61"/>
  <c r="H1744" i="61"/>
  <c r="H1745" i="61"/>
  <c r="H1746" i="61"/>
  <c r="H1747" i="61"/>
  <c r="H1748" i="61"/>
  <c r="H1749" i="61"/>
  <c r="H1750" i="61"/>
  <c r="H1751" i="61"/>
  <c r="H1752" i="61"/>
  <c r="H1753" i="61"/>
  <c r="H1754" i="61"/>
  <c r="H1755" i="61"/>
  <c r="H1756" i="61"/>
  <c r="H1757" i="61"/>
  <c r="H1758" i="61"/>
  <c r="H1759" i="61"/>
  <c r="H1760" i="61"/>
  <c r="H1761" i="61"/>
  <c r="H1762" i="61"/>
  <c r="H1763" i="61"/>
  <c r="H1764" i="61"/>
  <c r="H1765" i="61"/>
  <c r="H1766" i="61"/>
  <c r="H1767" i="61"/>
  <c r="H1768" i="61"/>
  <c r="H1769" i="61"/>
  <c r="H1770" i="61"/>
  <c r="H1771" i="61"/>
  <c r="H1772" i="61"/>
  <c r="H1773" i="61"/>
  <c r="H1774" i="61"/>
  <c r="H1775" i="61"/>
  <c r="H1776" i="61"/>
  <c r="H1777" i="61"/>
  <c r="H1778" i="61"/>
  <c r="H1779" i="61"/>
  <c r="H1780" i="61"/>
  <c r="H1781" i="61"/>
  <c r="H1782" i="61"/>
  <c r="H1783" i="61"/>
  <c r="H1784" i="61"/>
  <c r="H1785" i="61"/>
  <c r="H1786" i="61"/>
  <c r="H1787" i="61"/>
  <c r="H1788" i="61"/>
  <c r="H1789" i="61"/>
  <c r="H1790" i="61"/>
  <c r="H1791" i="61"/>
  <c r="H1792" i="61"/>
  <c r="H1793" i="61"/>
  <c r="H1794" i="61"/>
  <c r="H1795" i="61"/>
  <c r="H1796" i="61"/>
  <c r="H1797" i="61"/>
  <c r="H1798" i="61"/>
  <c r="H1799" i="61"/>
  <c r="H1800" i="61"/>
  <c r="H1801" i="61"/>
  <c r="H1802" i="61"/>
  <c r="H1803" i="61"/>
  <c r="H1804" i="61"/>
  <c r="H1805" i="61"/>
  <c r="H1806" i="61"/>
  <c r="H1807" i="61"/>
  <c r="H1808" i="61"/>
  <c r="H1809" i="61"/>
  <c r="H1810" i="61"/>
  <c r="H1811" i="61"/>
  <c r="H1812" i="61"/>
  <c r="H1813" i="61"/>
  <c r="H1814" i="61"/>
  <c r="H1815" i="61"/>
  <c r="H1816" i="61"/>
  <c r="H1817" i="61"/>
  <c r="H1818" i="61"/>
  <c r="H1819" i="61"/>
  <c r="H1820" i="61"/>
  <c r="H1821" i="61"/>
  <c r="H1822" i="61"/>
  <c r="H1823" i="61"/>
  <c r="H1824" i="61"/>
  <c r="H1825" i="61"/>
  <c r="H1826" i="61"/>
  <c r="H1827" i="61"/>
  <c r="H1828" i="61"/>
  <c r="H1829" i="61"/>
  <c r="H1830" i="61"/>
  <c r="H1831" i="61"/>
  <c r="H1832" i="61"/>
  <c r="H1833" i="61"/>
  <c r="H1834" i="61"/>
  <c r="H1835" i="61"/>
  <c r="H1836" i="61"/>
  <c r="H1837" i="61"/>
  <c r="H1838" i="61"/>
  <c r="H1839" i="61"/>
  <c r="H1840" i="61"/>
  <c r="H1841" i="61"/>
  <c r="H1842" i="61"/>
  <c r="H1843" i="61"/>
  <c r="H1844" i="61"/>
  <c r="H1845" i="61"/>
  <c r="H1846" i="61"/>
  <c r="H1847" i="61"/>
  <c r="H1848" i="61"/>
  <c r="H1849" i="61"/>
  <c r="H1850" i="61"/>
  <c r="H1851" i="61"/>
  <c r="H1852" i="61"/>
  <c r="H1853" i="61"/>
  <c r="H1854" i="61"/>
  <c r="H1855" i="61"/>
  <c r="H1856" i="61"/>
  <c r="H1857" i="61"/>
  <c r="H1858" i="61"/>
  <c r="H1859" i="61"/>
  <c r="H1860" i="61"/>
  <c r="H1861" i="61"/>
  <c r="H1862" i="61"/>
  <c r="H1863" i="61"/>
  <c r="H1864" i="61"/>
  <c r="H1865" i="61"/>
  <c r="H1866" i="61"/>
  <c r="H1867" i="61"/>
  <c r="H1868" i="61"/>
  <c r="H1869" i="61"/>
  <c r="H1870" i="61"/>
  <c r="H1871" i="61"/>
  <c r="H1872" i="61"/>
  <c r="H1873" i="61"/>
  <c r="H1874" i="61"/>
  <c r="H1875" i="61"/>
  <c r="H1876" i="61"/>
  <c r="H1877" i="61"/>
  <c r="H1878" i="61"/>
  <c r="H1879" i="61"/>
  <c r="H1880" i="61"/>
  <c r="H1881" i="61"/>
  <c r="H1882" i="61"/>
  <c r="H1883" i="61"/>
  <c r="H1884" i="61"/>
  <c r="H1885" i="61"/>
  <c r="H1886" i="61"/>
  <c r="H1887" i="61"/>
  <c r="H1888" i="61"/>
  <c r="H1889" i="61"/>
  <c r="H1890" i="61"/>
  <c r="H1891" i="61"/>
  <c r="H1892" i="61"/>
  <c r="H1893" i="61"/>
  <c r="H1894" i="61"/>
  <c r="H1895" i="61"/>
  <c r="H1896" i="61"/>
  <c r="H1897" i="61"/>
  <c r="H1898" i="61"/>
  <c r="H1899" i="61"/>
  <c r="H1900" i="61"/>
  <c r="H1901" i="61"/>
  <c r="H1902" i="61"/>
  <c r="H1903" i="61"/>
  <c r="H1904" i="61"/>
  <c r="H1905" i="61"/>
  <c r="H1906" i="61"/>
  <c r="H1907" i="61"/>
  <c r="H1908" i="61"/>
  <c r="H1909" i="61"/>
  <c r="H1910" i="61"/>
  <c r="H1911" i="61"/>
  <c r="H1912" i="61"/>
  <c r="H1913" i="61"/>
  <c r="H1914" i="61"/>
  <c r="H1915" i="61"/>
  <c r="H1916" i="61"/>
  <c r="H1917" i="61"/>
  <c r="H1918" i="61"/>
  <c r="H1919" i="61"/>
  <c r="H1920" i="61"/>
  <c r="H1921" i="61"/>
  <c r="H1922" i="61"/>
  <c r="H1923" i="61"/>
  <c r="H1924" i="61"/>
  <c r="H1925" i="61"/>
  <c r="H1926" i="61"/>
  <c r="H1927" i="61"/>
  <c r="H1928" i="61"/>
  <c r="H1929" i="61"/>
  <c r="H1930" i="61"/>
  <c r="H1931" i="61"/>
  <c r="H1932" i="61"/>
  <c r="H1933" i="61"/>
  <c r="H1934" i="61"/>
  <c r="H1935" i="61"/>
  <c r="H1936" i="61"/>
  <c r="H1937" i="61"/>
  <c r="H1938" i="61"/>
  <c r="H1939" i="61"/>
  <c r="H1940" i="61"/>
  <c r="H1941" i="61"/>
  <c r="H1942" i="61"/>
  <c r="H1943" i="61"/>
  <c r="H1944" i="61"/>
  <c r="H1945" i="61"/>
  <c r="H1946" i="61"/>
  <c r="H1947" i="61"/>
  <c r="H1948" i="61"/>
  <c r="H1949" i="61"/>
  <c r="H1950" i="61"/>
  <c r="H1951" i="61"/>
  <c r="H1952" i="61"/>
  <c r="H1953" i="61"/>
  <c r="H1954" i="61"/>
  <c r="H1955" i="61"/>
  <c r="H1956" i="61"/>
  <c r="H1957" i="61"/>
  <c r="H1958" i="61"/>
  <c r="H1959" i="61"/>
  <c r="H1960" i="61"/>
  <c r="H1961" i="61"/>
  <c r="H1962" i="61"/>
  <c r="H1963" i="61"/>
  <c r="H1964" i="61"/>
  <c r="H1965" i="61"/>
  <c r="H1966" i="61"/>
  <c r="H1967" i="61"/>
  <c r="H1968" i="61"/>
  <c r="H1969" i="61"/>
  <c r="H1970" i="61"/>
  <c r="H1971" i="61"/>
  <c r="H1972" i="61"/>
  <c r="H1973" i="61"/>
  <c r="H1974" i="61"/>
  <c r="H1975" i="61"/>
  <c r="H1976" i="61"/>
  <c r="H1977" i="61"/>
  <c r="H1978" i="61"/>
  <c r="H1979" i="61"/>
  <c r="H1980" i="61"/>
  <c r="H1981" i="61"/>
  <c r="H1982" i="61"/>
  <c r="H1983" i="61"/>
  <c r="H1984" i="61"/>
  <c r="H1985" i="61"/>
  <c r="H1986" i="61"/>
  <c r="H1987" i="61"/>
  <c r="H1988" i="61"/>
  <c r="H1989" i="61"/>
  <c r="H1990" i="61"/>
  <c r="H1991" i="61"/>
  <c r="H1992" i="61"/>
  <c r="H1993" i="61"/>
  <c r="H1994" i="61"/>
  <c r="H1995" i="61"/>
  <c r="H1996" i="61"/>
  <c r="H1997" i="61"/>
  <c r="H1998" i="61"/>
  <c r="H1999" i="61"/>
  <c r="H2000" i="61"/>
  <c r="H2001" i="61"/>
  <c r="H2002" i="61"/>
  <c r="H2003" i="61"/>
  <c r="H2004" i="61"/>
  <c r="H2005" i="61"/>
  <c r="H2006" i="61"/>
  <c r="H2007" i="61"/>
  <c r="H2008" i="61"/>
  <c r="H2009" i="61"/>
  <c r="H2010" i="61"/>
  <c r="H2011" i="61"/>
  <c r="H2012" i="61"/>
  <c r="H2013" i="61"/>
  <c r="H2014" i="61"/>
  <c r="H2015" i="61"/>
  <c r="H2016" i="61"/>
  <c r="H2017" i="61"/>
  <c r="H2018" i="61"/>
  <c r="H2019" i="61"/>
  <c r="H2020" i="61"/>
  <c r="H2021" i="61"/>
  <c r="H2022" i="61"/>
  <c r="H2023" i="61"/>
  <c r="H2024" i="61"/>
  <c r="H2025" i="61"/>
  <c r="H2026" i="61"/>
  <c r="H2027" i="61"/>
  <c r="H2028" i="61"/>
  <c r="H2029" i="61"/>
  <c r="H2030" i="61"/>
  <c r="H2031" i="61"/>
  <c r="H2032" i="61"/>
  <c r="H2033" i="61"/>
  <c r="H2034" i="61"/>
  <c r="H2035" i="61"/>
  <c r="H2036" i="61"/>
  <c r="H2037" i="61"/>
  <c r="H2038" i="61"/>
  <c r="H2039" i="61"/>
  <c r="H2040" i="61"/>
  <c r="H2041" i="61"/>
  <c r="H2042" i="61"/>
  <c r="H2043" i="61"/>
  <c r="H2044" i="61"/>
  <c r="H2045" i="61"/>
  <c r="H2046" i="61"/>
  <c r="H2047" i="61"/>
  <c r="H2048" i="61"/>
  <c r="H2049" i="61"/>
  <c r="H2050" i="61"/>
  <c r="H2051" i="61"/>
  <c r="H2052" i="61"/>
  <c r="H2053" i="61"/>
  <c r="H2054" i="61"/>
  <c r="H2055" i="61"/>
  <c r="H2056" i="61"/>
  <c r="H2057" i="61"/>
  <c r="H2058" i="61"/>
  <c r="H2059" i="61"/>
  <c r="H2060" i="61"/>
  <c r="H2061" i="61"/>
  <c r="H2062" i="61"/>
  <c r="H2063" i="61"/>
  <c r="H2064" i="61"/>
  <c r="H2065" i="61"/>
  <c r="H2066" i="61"/>
  <c r="H2067" i="61"/>
  <c r="H2068" i="61"/>
  <c r="H2069" i="61"/>
  <c r="H2070" i="61"/>
  <c r="H2071" i="61"/>
  <c r="H2072" i="61"/>
  <c r="H2073" i="61"/>
  <c r="H2074" i="61"/>
  <c r="H2075" i="61"/>
  <c r="H2076" i="61"/>
  <c r="H2077" i="61"/>
  <c r="H2078" i="61"/>
  <c r="H2079" i="61"/>
  <c r="H2080" i="61"/>
  <c r="H2081" i="61"/>
  <c r="H2082" i="61"/>
  <c r="H2083" i="61"/>
  <c r="H2084" i="61"/>
  <c r="H2085" i="61"/>
  <c r="H2086" i="61"/>
  <c r="H2087" i="61"/>
  <c r="H2088" i="61"/>
  <c r="H2089" i="61"/>
  <c r="H2090" i="61"/>
  <c r="H2091" i="61"/>
  <c r="H2092" i="61"/>
  <c r="H2093" i="61"/>
  <c r="H2094" i="61"/>
  <c r="H2095" i="61"/>
  <c r="H2096" i="61"/>
  <c r="H2097" i="61"/>
  <c r="H2098" i="61"/>
  <c r="H2099" i="61"/>
  <c r="H2100" i="61"/>
  <c r="H2101" i="61"/>
  <c r="H2102" i="61"/>
  <c r="H2103" i="61"/>
  <c r="H2104" i="61"/>
  <c r="H2105" i="61"/>
  <c r="H2106" i="61"/>
  <c r="H2107" i="61"/>
  <c r="H2108" i="61"/>
  <c r="H2109" i="61"/>
  <c r="H2110" i="61"/>
  <c r="H2111" i="61"/>
  <c r="H2112" i="61"/>
  <c r="H2113" i="61"/>
  <c r="H2114" i="61"/>
  <c r="H2115" i="61"/>
  <c r="H2116" i="61"/>
  <c r="H2117" i="61"/>
  <c r="H2118" i="61"/>
  <c r="H2119" i="61"/>
  <c r="H2120" i="61"/>
  <c r="H2121" i="61"/>
  <c r="H2122" i="61"/>
  <c r="H2123" i="61"/>
  <c r="H2124" i="61"/>
  <c r="H2125" i="61"/>
  <c r="H2126" i="61"/>
  <c r="H2127" i="61"/>
  <c r="H2128" i="61"/>
  <c r="H2129" i="61"/>
  <c r="H2130" i="61"/>
  <c r="H2131" i="61"/>
  <c r="H2132" i="61"/>
  <c r="H2133" i="61"/>
  <c r="H2134" i="61"/>
  <c r="H2135" i="61"/>
  <c r="H2136" i="61"/>
  <c r="H2137" i="61"/>
  <c r="H2138" i="61"/>
  <c r="H2139" i="61"/>
  <c r="H2140" i="61"/>
  <c r="H2141" i="61"/>
  <c r="H2142" i="61"/>
  <c r="H2143" i="61"/>
  <c r="H2144" i="61"/>
  <c r="H2145" i="61"/>
  <c r="H2146" i="61"/>
  <c r="H2147" i="61"/>
  <c r="H2148" i="61"/>
  <c r="H2149" i="61"/>
  <c r="H2150" i="61"/>
  <c r="H2151" i="61"/>
  <c r="H2152" i="61"/>
  <c r="H2153" i="61"/>
  <c r="H2154" i="61"/>
  <c r="H2155" i="61"/>
  <c r="H2156" i="61"/>
  <c r="H2157" i="61"/>
  <c r="H2158" i="61"/>
  <c r="H2159" i="61"/>
  <c r="H2160" i="61"/>
  <c r="H2161" i="61"/>
  <c r="H2162" i="61"/>
  <c r="H2163" i="61"/>
  <c r="H2164" i="61"/>
  <c r="H2165" i="61"/>
  <c r="H2166" i="61"/>
  <c r="H2167" i="61"/>
  <c r="H2168" i="61"/>
  <c r="H2169" i="61"/>
  <c r="H2170" i="61"/>
  <c r="H2171" i="61"/>
  <c r="H2172" i="61"/>
  <c r="H2173" i="61"/>
  <c r="H2174" i="61"/>
  <c r="H2175" i="61"/>
  <c r="H2176" i="61"/>
  <c r="H2177" i="61"/>
  <c r="H2178" i="61"/>
  <c r="H2179" i="61"/>
  <c r="H2180" i="61"/>
  <c r="H2181" i="61"/>
  <c r="H2182" i="61"/>
  <c r="H2183" i="61"/>
  <c r="H2184" i="61"/>
  <c r="H2185" i="61"/>
  <c r="H2186" i="61"/>
  <c r="H2187" i="61"/>
  <c r="H2188" i="61"/>
  <c r="H2189" i="61"/>
  <c r="H2190" i="61"/>
  <c r="H2191" i="61"/>
  <c r="H2192" i="61"/>
  <c r="H2193" i="61"/>
  <c r="H2194" i="61"/>
  <c r="H2195" i="61"/>
  <c r="H2196" i="61"/>
  <c r="H2197" i="61"/>
  <c r="H2198" i="61"/>
  <c r="H2199" i="61"/>
  <c r="H2200" i="61"/>
  <c r="H2201" i="61"/>
  <c r="H2202" i="61"/>
  <c r="H2203" i="61"/>
  <c r="H2204" i="61"/>
  <c r="H2205" i="61"/>
  <c r="H2206" i="61"/>
  <c r="H2207" i="61"/>
  <c r="H2208" i="61"/>
  <c r="H2209" i="61"/>
  <c r="H2210" i="61"/>
  <c r="H2211" i="61"/>
  <c r="H2212" i="61"/>
  <c r="H2213" i="61"/>
  <c r="H2214" i="61"/>
  <c r="H2215" i="61"/>
  <c r="H2216" i="61"/>
  <c r="H2217" i="61"/>
  <c r="H2218" i="61"/>
  <c r="H2219" i="61"/>
  <c r="H2220" i="61"/>
  <c r="H2221" i="61"/>
  <c r="H2222" i="61"/>
  <c r="H2223" i="61"/>
  <c r="H2224" i="61"/>
  <c r="H2225" i="61"/>
  <c r="H2226" i="61"/>
  <c r="H2227" i="61"/>
  <c r="H2228" i="61"/>
  <c r="H2229" i="61"/>
  <c r="H2230" i="61"/>
  <c r="H2231" i="61"/>
  <c r="H2232" i="61"/>
  <c r="H2233" i="61"/>
  <c r="H2234" i="61"/>
  <c r="H2235" i="61"/>
  <c r="H2236" i="61"/>
  <c r="H2237" i="61"/>
  <c r="H2238" i="61"/>
  <c r="H2239" i="61"/>
  <c r="H2240" i="61"/>
  <c r="H2241" i="61"/>
  <c r="H2242" i="61"/>
  <c r="H2243" i="61"/>
  <c r="H2244" i="61"/>
  <c r="H2245" i="61"/>
  <c r="H2246" i="61"/>
  <c r="H2247" i="61"/>
  <c r="H2248" i="61"/>
  <c r="H2249" i="61"/>
  <c r="H2250" i="61"/>
  <c r="H2251" i="61"/>
  <c r="H2252" i="61"/>
  <c r="H2253" i="61"/>
  <c r="H2254" i="61"/>
  <c r="H2255" i="61"/>
  <c r="H2256" i="61"/>
  <c r="H2257" i="61"/>
  <c r="H2258" i="61"/>
  <c r="H2259" i="61"/>
  <c r="H2260" i="61"/>
  <c r="H2261" i="61"/>
  <c r="H2262" i="61"/>
  <c r="H2263" i="61"/>
  <c r="H2264" i="61"/>
  <c r="H2265" i="61"/>
  <c r="H2266" i="61"/>
  <c r="H2267" i="61"/>
  <c r="H2268" i="61"/>
  <c r="H2269" i="61"/>
  <c r="H2270" i="61"/>
  <c r="H2271" i="61"/>
  <c r="H2272" i="61"/>
  <c r="H2273" i="61"/>
  <c r="H2274" i="61"/>
  <c r="H2275" i="61"/>
  <c r="H2276" i="61"/>
  <c r="H2277" i="61"/>
  <c r="H2278" i="61"/>
  <c r="H2279" i="61"/>
  <c r="H2280" i="61"/>
  <c r="H2281" i="61"/>
  <c r="H2282" i="61"/>
  <c r="H2283" i="61"/>
  <c r="H2284" i="61"/>
  <c r="H2285" i="61"/>
  <c r="H2286" i="61"/>
  <c r="H2287" i="61"/>
  <c r="H2288" i="61"/>
  <c r="H2289" i="61"/>
  <c r="H2290" i="61"/>
  <c r="H2291" i="61"/>
  <c r="H2292" i="61"/>
  <c r="H2293" i="61"/>
  <c r="H2294" i="61"/>
  <c r="H2295" i="61"/>
  <c r="H2296" i="61"/>
  <c r="H2297" i="61"/>
  <c r="H2298" i="61"/>
  <c r="H2299" i="61"/>
  <c r="H2300" i="61"/>
  <c r="H2301" i="61"/>
  <c r="H2302" i="61"/>
  <c r="H2303" i="61"/>
  <c r="H2304" i="61"/>
  <c r="H2305" i="61"/>
  <c r="H2306" i="61"/>
  <c r="H2307" i="61"/>
  <c r="H2308" i="61"/>
  <c r="H2309" i="61"/>
  <c r="H2310" i="61"/>
  <c r="H2311" i="61"/>
  <c r="H2312" i="61"/>
  <c r="H2313" i="61"/>
  <c r="H2314" i="61"/>
  <c r="H2315" i="61"/>
  <c r="H2316" i="61"/>
  <c r="H2317" i="61"/>
  <c r="H2318" i="61"/>
  <c r="H2319" i="61"/>
  <c r="H2320" i="61"/>
  <c r="H2321" i="61"/>
  <c r="H2322" i="61"/>
  <c r="H2323" i="61"/>
  <c r="H2324" i="61"/>
  <c r="H2325" i="61"/>
  <c r="H2326" i="61"/>
  <c r="H2327" i="61"/>
  <c r="H2328" i="61"/>
  <c r="H2329" i="61"/>
  <c r="H2330" i="61"/>
  <c r="H2331" i="61"/>
  <c r="H2332" i="61"/>
  <c r="H2333" i="61"/>
  <c r="H2334" i="61"/>
  <c r="H2335" i="61"/>
  <c r="H2336" i="61"/>
  <c r="H2337" i="61"/>
  <c r="H2338" i="61"/>
  <c r="H2339" i="61"/>
  <c r="H2340" i="61"/>
  <c r="H2341" i="61"/>
  <c r="H2342" i="61"/>
  <c r="H2343" i="61"/>
  <c r="H2344" i="61"/>
  <c r="H2345" i="61"/>
  <c r="H2346" i="61"/>
  <c r="H2347" i="61"/>
  <c r="H2348" i="61"/>
  <c r="H2349" i="61"/>
  <c r="H2350" i="61"/>
  <c r="H2351" i="61"/>
  <c r="H2352" i="61"/>
  <c r="H2353" i="61"/>
  <c r="H2354" i="61"/>
  <c r="H2355" i="61"/>
  <c r="H2356" i="61"/>
  <c r="H2357" i="61"/>
  <c r="H2358" i="61"/>
  <c r="H2359" i="61"/>
  <c r="H2360" i="61"/>
  <c r="H2361" i="61"/>
  <c r="H2362" i="61"/>
  <c r="H2363" i="61"/>
  <c r="H2364" i="61"/>
  <c r="H2365" i="61"/>
  <c r="H2366" i="61"/>
  <c r="H2367" i="61"/>
  <c r="H2368" i="61"/>
  <c r="H2369" i="61"/>
  <c r="H2370" i="61"/>
  <c r="H2371" i="61"/>
  <c r="H2372" i="61"/>
  <c r="H2373" i="61"/>
  <c r="H2374" i="61"/>
  <c r="H2375" i="61"/>
  <c r="H2376" i="61"/>
  <c r="H2377" i="61"/>
  <c r="H2378" i="61"/>
  <c r="H2379" i="61"/>
  <c r="H2380" i="61"/>
  <c r="H2381" i="61"/>
  <c r="H2382" i="61"/>
  <c r="H2383" i="61"/>
  <c r="H2384" i="61"/>
  <c r="H2385" i="61"/>
  <c r="H2386" i="61"/>
  <c r="H2387" i="61"/>
  <c r="H2388" i="61"/>
  <c r="H2389" i="61"/>
  <c r="H2390" i="61"/>
  <c r="H2391" i="61"/>
  <c r="H2392" i="61"/>
  <c r="H2393" i="61"/>
  <c r="H2394" i="61"/>
  <c r="H2395" i="61"/>
  <c r="H2396" i="61"/>
  <c r="H2397" i="61"/>
  <c r="H2398" i="61"/>
  <c r="H2399" i="61"/>
  <c r="H2400" i="61"/>
  <c r="H2401" i="61"/>
  <c r="H2402" i="61"/>
  <c r="H2403" i="61"/>
  <c r="H2404" i="61"/>
  <c r="H2405" i="61"/>
  <c r="H2406" i="61"/>
  <c r="H2407" i="61"/>
  <c r="H2408" i="61"/>
  <c r="H2409" i="61"/>
  <c r="H2410" i="61"/>
  <c r="H2411" i="61"/>
  <c r="H2412" i="61"/>
  <c r="H2413" i="61"/>
  <c r="H2414" i="61"/>
  <c r="H2415" i="61"/>
  <c r="H2416" i="61"/>
  <c r="H2417" i="61"/>
  <c r="H2418" i="61"/>
  <c r="H2419" i="61"/>
  <c r="H2420" i="61"/>
  <c r="H2421" i="61"/>
  <c r="H2422" i="61"/>
  <c r="H2423" i="61"/>
  <c r="H2424" i="61"/>
  <c r="H2425" i="61"/>
  <c r="H2426" i="61"/>
  <c r="H2427" i="61"/>
  <c r="H2428" i="61"/>
  <c r="H2429" i="61"/>
  <c r="H2430" i="61"/>
  <c r="H2431" i="61"/>
  <c r="H2432" i="61"/>
  <c r="H2433" i="61"/>
  <c r="H2434" i="61"/>
  <c r="H2435" i="61"/>
  <c r="H2436" i="61"/>
  <c r="H2437" i="61"/>
  <c r="H2438" i="61"/>
  <c r="H2439" i="61"/>
  <c r="H2440" i="61"/>
  <c r="H2441" i="61"/>
  <c r="H2442" i="61"/>
  <c r="H2443" i="61"/>
  <c r="H2444" i="61"/>
  <c r="H2445" i="61"/>
  <c r="H2446" i="61"/>
  <c r="H2447" i="61"/>
  <c r="H2448" i="61"/>
  <c r="H2449" i="61"/>
  <c r="H2450" i="61"/>
  <c r="H2451" i="61"/>
  <c r="H2452" i="61"/>
  <c r="H2453" i="61"/>
  <c r="H2454" i="61"/>
  <c r="H2455" i="61"/>
  <c r="H2456" i="61"/>
  <c r="H2457" i="61"/>
  <c r="H2458" i="61"/>
  <c r="H2459" i="61"/>
  <c r="H2460" i="61"/>
  <c r="H2461" i="61"/>
  <c r="H2462" i="61"/>
  <c r="H2463" i="61"/>
  <c r="H2464" i="61"/>
  <c r="H2465" i="61"/>
  <c r="H2466" i="61"/>
  <c r="H2467" i="61"/>
  <c r="H2468" i="61"/>
  <c r="H2469" i="61"/>
  <c r="H2470" i="61"/>
  <c r="H2471" i="61"/>
  <c r="H2472" i="61"/>
  <c r="H2473" i="61"/>
  <c r="H2474" i="61"/>
  <c r="H2475" i="61"/>
  <c r="H2476" i="61"/>
  <c r="H2477" i="61"/>
  <c r="H2478" i="61"/>
  <c r="H2479" i="61"/>
  <c r="H2480" i="61"/>
  <c r="H2481" i="61"/>
  <c r="H2482" i="61"/>
  <c r="H2483" i="61"/>
  <c r="H2484" i="61"/>
  <c r="H2485" i="61"/>
  <c r="H2486" i="61"/>
  <c r="H2487" i="61"/>
  <c r="H2488" i="61"/>
  <c r="H2489" i="61"/>
  <c r="H2490" i="61"/>
  <c r="H2491" i="61"/>
  <c r="H2492" i="61"/>
  <c r="H2493" i="61"/>
  <c r="H2494" i="61"/>
  <c r="H2495" i="61"/>
  <c r="H2496" i="61"/>
  <c r="H2497" i="61"/>
  <c r="H2498" i="61"/>
  <c r="H2499" i="61"/>
  <c r="H2500" i="61"/>
  <c r="H2501" i="61"/>
  <c r="H2502" i="61"/>
  <c r="H2503" i="61"/>
  <c r="H2504" i="61"/>
  <c r="H2505" i="61"/>
  <c r="H2506" i="61"/>
  <c r="H2507" i="61"/>
  <c r="H2508" i="61"/>
  <c r="H2509" i="61"/>
  <c r="H2510" i="61"/>
  <c r="H2511" i="61"/>
  <c r="H2512" i="61"/>
  <c r="H2513" i="61"/>
  <c r="H2514" i="61"/>
  <c r="H2515" i="61"/>
  <c r="H2516" i="61"/>
  <c r="H2517" i="61"/>
  <c r="H2518" i="61"/>
  <c r="H2519" i="61"/>
  <c r="H2520" i="61"/>
  <c r="H2521" i="61"/>
  <c r="H2522" i="61"/>
  <c r="H2523" i="61"/>
  <c r="H2524" i="61"/>
  <c r="H2525" i="61"/>
  <c r="H2526" i="61"/>
  <c r="H2527" i="61"/>
  <c r="H2528" i="61"/>
  <c r="H2529" i="61"/>
  <c r="H2530" i="61"/>
  <c r="H2531" i="61"/>
  <c r="H2532" i="61"/>
  <c r="H2533" i="61"/>
  <c r="H2534" i="61"/>
  <c r="H2535" i="61"/>
  <c r="H2536" i="61"/>
  <c r="H2537" i="61"/>
  <c r="H2538" i="61"/>
  <c r="H2539" i="61"/>
  <c r="H2540" i="61"/>
  <c r="H2541" i="61"/>
  <c r="H2542" i="61"/>
  <c r="H2543" i="61"/>
  <c r="H2544" i="61"/>
  <c r="H2545" i="61"/>
  <c r="H2546" i="61"/>
  <c r="H2547" i="61"/>
  <c r="H2548" i="61"/>
  <c r="H2549" i="61"/>
  <c r="H2550" i="61"/>
  <c r="H2551" i="61"/>
  <c r="H2552" i="61"/>
  <c r="H2553" i="61"/>
  <c r="H2554" i="61"/>
  <c r="H2555" i="61"/>
  <c r="H2556" i="61"/>
  <c r="H2557" i="61"/>
  <c r="H2558" i="61"/>
  <c r="H2559" i="61"/>
  <c r="H2560" i="61"/>
  <c r="H2561" i="61"/>
  <c r="H2562" i="61"/>
  <c r="H2563" i="61"/>
  <c r="H2564" i="61"/>
  <c r="H2565" i="61"/>
  <c r="H2566" i="61"/>
  <c r="H2567" i="61"/>
  <c r="H2568" i="61"/>
  <c r="H2569" i="61"/>
  <c r="H2570" i="61"/>
  <c r="H2571" i="61"/>
  <c r="H2572" i="61"/>
  <c r="H2573" i="61"/>
  <c r="H2574" i="61"/>
  <c r="H2575" i="61"/>
  <c r="H2576" i="61"/>
  <c r="H2577" i="61"/>
  <c r="H2578" i="61"/>
  <c r="H2579" i="61"/>
  <c r="H2580" i="61"/>
  <c r="H2581" i="61"/>
  <c r="H2582" i="61"/>
  <c r="H2583" i="61"/>
  <c r="H2584" i="61"/>
  <c r="H2585" i="61"/>
  <c r="H2586" i="61"/>
  <c r="H2587" i="61"/>
  <c r="H2588" i="61"/>
  <c r="H2589" i="61"/>
  <c r="H2590" i="61"/>
  <c r="H2591" i="61"/>
  <c r="H2592" i="61"/>
  <c r="H2593" i="61"/>
  <c r="H2594" i="61"/>
  <c r="H2595" i="61"/>
  <c r="H2596" i="61"/>
  <c r="H2597" i="61"/>
  <c r="H2598" i="61"/>
  <c r="H2599" i="61"/>
  <c r="H2600" i="61"/>
  <c r="H2601" i="61"/>
  <c r="H2602" i="61"/>
  <c r="H2603" i="61"/>
  <c r="H2604" i="61"/>
  <c r="H2605" i="61"/>
  <c r="H2606" i="61"/>
  <c r="H2607" i="61"/>
  <c r="H2608" i="61"/>
  <c r="H2609" i="61"/>
  <c r="H2610" i="61"/>
  <c r="H2611" i="61"/>
  <c r="H2612" i="61"/>
  <c r="H2613" i="61"/>
  <c r="H2614" i="61"/>
  <c r="H2615" i="61"/>
  <c r="H2616" i="61"/>
  <c r="H2617" i="61"/>
  <c r="H2618" i="61"/>
  <c r="H2619" i="61"/>
  <c r="H2620" i="61"/>
  <c r="H2621" i="61"/>
  <c r="H2622" i="61"/>
  <c r="H2623" i="61"/>
  <c r="H2624" i="61"/>
  <c r="H2625" i="61"/>
  <c r="H2626" i="61"/>
  <c r="H2627" i="61"/>
  <c r="H2628" i="61"/>
  <c r="H2629" i="61"/>
  <c r="H2630" i="61"/>
  <c r="H2631" i="61"/>
  <c r="H2632" i="61"/>
  <c r="H2633" i="61"/>
  <c r="H2634" i="61"/>
  <c r="H2635" i="61"/>
  <c r="H2636" i="61"/>
  <c r="H2637" i="61"/>
  <c r="H2638" i="61"/>
  <c r="H2639" i="61"/>
  <c r="H2640" i="61"/>
  <c r="H2641" i="61"/>
  <c r="H2642" i="61"/>
  <c r="H2643" i="61"/>
  <c r="H2644" i="61"/>
  <c r="H2645" i="61"/>
  <c r="H2646" i="61"/>
  <c r="H2647" i="61"/>
  <c r="H2648" i="61"/>
  <c r="H2649" i="61"/>
  <c r="H2650" i="61"/>
  <c r="H2651" i="61"/>
  <c r="H2652" i="61"/>
  <c r="H2653" i="61"/>
  <c r="H2654" i="61"/>
  <c r="H2655" i="61"/>
  <c r="H2656" i="61"/>
  <c r="H2657" i="61"/>
  <c r="H2658" i="61"/>
  <c r="H2659" i="61"/>
  <c r="H2660" i="61"/>
  <c r="H2661" i="61"/>
  <c r="H2662" i="61"/>
  <c r="H2663" i="61"/>
  <c r="H2664" i="61"/>
  <c r="H2665" i="61"/>
  <c r="H2666" i="61"/>
  <c r="H2667" i="61"/>
  <c r="H2668" i="61"/>
  <c r="H2669" i="61"/>
  <c r="H2670" i="61"/>
  <c r="H2671" i="61"/>
  <c r="H2672" i="61"/>
  <c r="H2673" i="61"/>
  <c r="H2674" i="61"/>
  <c r="H2675" i="61"/>
  <c r="H2676" i="61"/>
  <c r="H2677" i="61"/>
  <c r="H2678" i="61"/>
  <c r="H2679" i="61"/>
  <c r="H2680" i="61"/>
  <c r="H2681" i="61"/>
  <c r="H2682" i="61"/>
  <c r="H2683" i="61"/>
  <c r="H2684" i="61"/>
  <c r="H2685" i="61"/>
  <c r="H2686" i="61"/>
  <c r="H2687" i="61"/>
  <c r="H2688" i="61"/>
  <c r="H2689" i="61"/>
  <c r="H2690" i="61"/>
  <c r="H2691" i="61"/>
  <c r="H2692" i="61"/>
  <c r="H2693" i="61"/>
  <c r="H2694" i="61"/>
  <c r="H2695" i="61"/>
  <c r="H2696" i="61"/>
  <c r="H2697" i="61"/>
  <c r="H2698" i="61"/>
  <c r="H2699" i="61"/>
  <c r="H2700" i="61"/>
  <c r="H2701" i="61"/>
  <c r="H2702" i="61"/>
  <c r="H2703" i="61"/>
  <c r="H2704" i="61"/>
  <c r="H2705" i="61"/>
  <c r="H2706" i="61"/>
  <c r="H2707" i="61"/>
  <c r="H2708" i="61"/>
  <c r="H2709" i="61"/>
  <c r="H2710" i="61"/>
  <c r="H2711" i="61"/>
  <c r="H2712" i="61"/>
  <c r="H2713" i="61"/>
  <c r="H2714" i="61"/>
  <c r="H2715" i="61"/>
  <c r="H2716" i="61"/>
  <c r="H2717" i="61"/>
  <c r="H2718" i="61"/>
  <c r="H2719" i="61"/>
  <c r="H2720" i="61"/>
  <c r="H2721" i="61"/>
  <c r="H2722" i="61"/>
  <c r="H2723" i="61"/>
  <c r="H2724" i="61"/>
  <c r="H2725" i="61"/>
  <c r="H2726" i="61"/>
  <c r="H2727" i="61"/>
  <c r="H2728" i="61"/>
  <c r="H2729" i="61"/>
  <c r="H2730" i="61"/>
  <c r="H2731" i="61"/>
  <c r="H2732" i="61"/>
  <c r="H2733" i="61"/>
  <c r="H2734" i="61"/>
  <c r="H2735" i="61"/>
  <c r="H2736" i="61"/>
  <c r="H2737" i="61"/>
  <c r="H2738" i="61"/>
  <c r="H2739" i="61"/>
  <c r="H2740" i="61"/>
  <c r="H2741" i="61"/>
  <c r="H2742" i="61"/>
  <c r="H2743" i="61"/>
  <c r="H2744" i="61"/>
  <c r="H2745" i="61"/>
  <c r="H2746" i="61"/>
  <c r="H2747" i="61"/>
  <c r="H2748" i="61"/>
  <c r="H2749" i="61"/>
  <c r="H2750" i="61"/>
  <c r="H2751" i="61"/>
  <c r="H2752" i="61"/>
  <c r="H2753" i="61"/>
  <c r="H2754" i="61"/>
  <c r="H2755" i="61"/>
  <c r="H2756" i="61"/>
  <c r="H2757" i="61"/>
  <c r="H2758" i="61"/>
  <c r="H2759" i="61"/>
  <c r="H2760" i="61"/>
  <c r="H2761" i="61"/>
  <c r="H2762" i="61"/>
  <c r="H2763" i="61"/>
  <c r="H2764" i="61"/>
  <c r="H2765" i="61"/>
  <c r="H2766" i="61"/>
  <c r="H2767" i="61"/>
  <c r="H2768" i="61"/>
  <c r="H2769" i="61"/>
  <c r="H2770" i="61"/>
  <c r="H2771" i="61"/>
  <c r="H2772" i="61"/>
  <c r="H2773" i="61"/>
  <c r="H2774" i="61"/>
  <c r="H2775" i="61"/>
  <c r="H2776" i="61"/>
  <c r="H2777" i="61"/>
  <c r="H2778" i="61"/>
  <c r="H2779" i="61"/>
  <c r="H2780" i="61"/>
  <c r="H2781" i="61"/>
  <c r="H2782" i="61"/>
  <c r="H2783" i="61"/>
  <c r="H2784" i="61"/>
  <c r="H2785" i="61"/>
  <c r="H2786" i="61"/>
  <c r="H2787" i="61"/>
  <c r="H2788" i="61"/>
  <c r="H2789" i="61"/>
  <c r="H2790" i="61"/>
  <c r="H2791" i="61"/>
  <c r="H2792" i="61"/>
  <c r="H2793" i="61"/>
  <c r="H2794" i="61"/>
  <c r="H2795" i="61"/>
  <c r="H2796" i="61"/>
  <c r="H2797" i="61"/>
  <c r="H2798" i="61"/>
  <c r="H2799" i="61"/>
  <c r="H2800" i="61"/>
  <c r="H2801" i="61"/>
  <c r="H2802" i="61"/>
  <c r="H2803" i="61"/>
  <c r="H2804" i="61"/>
  <c r="H2805" i="61"/>
  <c r="H2806" i="61"/>
  <c r="H2807" i="61"/>
  <c r="H2808" i="61"/>
  <c r="H2809" i="61"/>
  <c r="H2810" i="61"/>
  <c r="H2811" i="61"/>
  <c r="H2812" i="61"/>
  <c r="H2813" i="61"/>
  <c r="H2814" i="61"/>
  <c r="H2815" i="61"/>
  <c r="H2816" i="61"/>
  <c r="H2817" i="61"/>
  <c r="H2818" i="61"/>
  <c r="H2819" i="61"/>
  <c r="H2820" i="61"/>
  <c r="H2821" i="61"/>
  <c r="H2822" i="61"/>
  <c r="H2823" i="61"/>
  <c r="H2824" i="61"/>
  <c r="H2825" i="61"/>
  <c r="H2826" i="61"/>
  <c r="H2827" i="61"/>
  <c r="H2828" i="61"/>
  <c r="H2829" i="61"/>
  <c r="H2830" i="61"/>
  <c r="H2831" i="61"/>
  <c r="H2832" i="61"/>
  <c r="H2833" i="61"/>
  <c r="H2834" i="61"/>
  <c r="H2835" i="61"/>
  <c r="H2836" i="61"/>
  <c r="H2837" i="61"/>
  <c r="H2838" i="61"/>
  <c r="H2839" i="61"/>
  <c r="H2840" i="61"/>
  <c r="H2841" i="61"/>
  <c r="H2842" i="61"/>
  <c r="H2843" i="61"/>
  <c r="H2844" i="61"/>
  <c r="H2845" i="61"/>
  <c r="H2846" i="61"/>
  <c r="H2847" i="61"/>
  <c r="H2848" i="61"/>
  <c r="H2849" i="61"/>
  <c r="H2850" i="61"/>
  <c r="H2851" i="61"/>
  <c r="H2852" i="61"/>
  <c r="H2853" i="61"/>
  <c r="H2854" i="61"/>
  <c r="H2855" i="61"/>
  <c r="H2856" i="61"/>
  <c r="H2857" i="61"/>
  <c r="H2858" i="61"/>
  <c r="H2859" i="61"/>
  <c r="H2860" i="61"/>
  <c r="H2861" i="61"/>
  <c r="H2862" i="61"/>
  <c r="H2863" i="61"/>
  <c r="H2864" i="61"/>
  <c r="H2865" i="61"/>
  <c r="H2866" i="61"/>
  <c r="H2867" i="61"/>
  <c r="H2868" i="61"/>
  <c r="H2869" i="61"/>
  <c r="H2870" i="61"/>
  <c r="H2871" i="61"/>
  <c r="H2872" i="61"/>
  <c r="H2873" i="61"/>
  <c r="H2874" i="61"/>
  <c r="H2875" i="61"/>
  <c r="H2876" i="61"/>
  <c r="H2877" i="61"/>
  <c r="H2878" i="61"/>
  <c r="H2879" i="61"/>
  <c r="H2880" i="61"/>
  <c r="H2881" i="61"/>
  <c r="H2882" i="61"/>
  <c r="H2883" i="61"/>
  <c r="H2884" i="61"/>
  <c r="H2885" i="61"/>
  <c r="H2886" i="61"/>
  <c r="H2887" i="61"/>
  <c r="H2888" i="61"/>
  <c r="H2889" i="61"/>
  <c r="H2890" i="61"/>
  <c r="H2891" i="61"/>
  <c r="H2892" i="61"/>
  <c r="H2893" i="61"/>
  <c r="H2894" i="61"/>
  <c r="H2895" i="61"/>
  <c r="H2896" i="61"/>
  <c r="H2897" i="61"/>
  <c r="H2898" i="61"/>
  <c r="H2899" i="61"/>
  <c r="H2900" i="61"/>
  <c r="H2901" i="61"/>
  <c r="H2902" i="61"/>
  <c r="H2903" i="61"/>
  <c r="H2904" i="61"/>
  <c r="H2905" i="61"/>
  <c r="H2906" i="61"/>
  <c r="H2907" i="61"/>
  <c r="H2908" i="61"/>
  <c r="H2909" i="61"/>
  <c r="H2910" i="61"/>
  <c r="H2911" i="61"/>
  <c r="H2912" i="61"/>
  <c r="H2913" i="61"/>
  <c r="H2914" i="61"/>
  <c r="H2915" i="61"/>
  <c r="H2916" i="61"/>
  <c r="H2917" i="61"/>
  <c r="H2918" i="61"/>
  <c r="H2919" i="61"/>
  <c r="H2920" i="61"/>
  <c r="H2921" i="61"/>
  <c r="H2922" i="61"/>
  <c r="H2923" i="61"/>
  <c r="H2924" i="61"/>
  <c r="H2925" i="61"/>
  <c r="H2926" i="61"/>
  <c r="H2927" i="61"/>
  <c r="H2928" i="61"/>
  <c r="H2929" i="61"/>
  <c r="H2930" i="61"/>
  <c r="H2931" i="61"/>
  <c r="H2932" i="61"/>
  <c r="H2933" i="61"/>
  <c r="H2934" i="61"/>
  <c r="H2935" i="61"/>
  <c r="H2936" i="61"/>
  <c r="H2937" i="61"/>
  <c r="H2938" i="61"/>
  <c r="H2939" i="61"/>
  <c r="H2940" i="61"/>
  <c r="H2941" i="61"/>
  <c r="H2942" i="61"/>
  <c r="H2943" i="61"/>
  <c r="H2944" i="61"/>
  <c r="H2945" i="61"/>
  <c r="H2946" i="61"/>
  <c r="H2947" i="61"/>
  <c r="H2948" i="61"/>
  <c r="H2949" i="61"/>
  <c r="H2950" i="61"/>
  <c r="H2951" i="61"/>
  <c r="H2952" i="61"/>
  <c r="H2953" i="61"/>
  <c r="H2954" i="61"/>
  <c r="H2955" i="61"/>
  <c r="H2956" i="61"/>
  <c r="H2957" i="61"/>
  <c r="H2958" i="61"/>
  <c r="H2959" i="61"/>
  <c r="H2960" i="61"/>
  <c r="H2961" i="61"/>
  <c r="H2962" i="61"/>
  <c r="H2963" i="61"/>
  <c r="H2964" i="61"/>
  <c r="H2965" i="61"/>
  <c r="H2966" i="61"/>
  <c r="H2967" i="61"/>
  <c r="H2968" i="61"/>
  <c r="H2969" i="61"/>
  <c r="H2970" i="61"/>
  <c r="H2971" i="61"/>
  <c r="H2972" i="61"/>
  <c r="H2973" i="61"/>
  <c r="H2974" i="61"/>
  <c r="H2975" i="61"/>
  <c r="H2976" i="61"/>
  <c r="H2977" i="61"/>
  <c r="H2978" i="61"/>
  <c r="H2979" i="61"/>
  <c r="H2980" i="61"/>
  <c r="H2981" i="61"/>
  <c r="H2982" i="61"/>
  <c r="H2983" i="61"/>
  <c r="H2984" i="61"/>
  <c r="H2985" i="61"/>
  <c r="H2986" i="61"/>
  <c r="H2987" i="61"/>
  <c r="H2988" i="61"/>
  <c r="H2989" i="61"/>
  <c r="H2990" i="61"/>
  <c r="H2991" i="61"/>
  <c r="H2992" i="61"/>
  <c r="H2993" i="61"/>
  <c r="H2994" i="61"/>
  <c r="H2995" i="61"/>
  <c r="H2996" i="61"/>
  <c r="H2997" i="61"/>
  <c r="H2998" i="61"/>
  <c r="H2999" i="61"/>
  <c r="H3000" i="61"/>
  <c r="H3001" i="61"/>
  <c r="H3002" i="61"/>
  <c r="H3003" i="61"/>
  <c r="H3004" i="61"/>
  <c r="H3005" i="61"/>
  <c r="H3006" i="61"/>
  <c r="H3007" i="61"/>
  <c r="H3008" i="61"/>
  <c r="H3009" i="61"/>
  <c r="H3010" i="61"/>
  <c r="H3011" i="61"/>
  <c r="H3012" i="61"/>
  <c r="H3013" i="61"/>
  <c r="H3014" i="61"/>
  <c r="H3015" i="61"/>
  <c r="H3016" i="61"/>
  <c r="H3017" i="61"/>
  <c r="H3018" i="61"/>
  <c r="H3019" i="61"/>
  <c r="H3020" i="61"/>
  <c r="H3021" i="61"/>
  <c r="H3022" i="61"/>
  <c r="H3023" i="61"/>
  <c r="H3024" i="61"/>
  <c r="H3025" i="61"/>
  <c r="H3026" i="61"/>
  <c r="H3027" i="61"/>
  <c r="H3028" i="61"/>
  <c r="H3029" i="61"/>
  <c r="H3030" i="61"/>
  <c r="H3031" i="61"/>
  <c r="H3032" i="61"/>
  <c r="H3033" i="61"/>
  <c r="H3034" i="61"/>
  <c r="H3035" i="61"/>
  <c r="H3036" i="61"/>
  <c r="H3037" i="61"/>
  <c r="H3038" i="61"/>
  <c r="H3039" i="61"/>
  <c r="H3040" i="61"/>
  <c r="H3041" i="61"/>
  <c r="H3042" i="61"/>
  <c r="H3043" i="61"/>
  <c r="H3044" i="61"/>
  <c r="H3045" i="61"/>
  <c r="H3046" i="61"/>
  <c r="H3047" i="61"/>
  <c r="H3048" i="61"/>
  <c r="H3049" i="61"/>
  <c r="H3050" i="61"/>
  <c r="H3051" i="61"/>
  <c r="H3052" i="61"/>
  <c r="H3053" i="61"/>
  <c r="H3054" i="61"/>
  <c r="H3055" i="61"/>
  <c r="H3056" i="61"/>
  <c r="H3057" i="61"/>
  <c r="H3058" i="61"/>
  <c r="H3059" i="61"/>
  <c r="H3060" i="61"/>
  <c r="H3061" i="61"/>
  <c r="H3062" i="61"/>
  <c r="H3063" i="61"/>
  <c r="H3064" i="61"/>
  <c r="H3065" i="61"/>
  <c r="H3066" i="61"/>
  <c r="H3067" i="61"/>
  <c r="H3068" i="61"/>
  <c r="H3069" i="61"/>
  <c r="H3070" i="61"/>
  <c r="H3071" i="61"/>
  <c r="H3072" i="61"/>
  <c r="H3073" i="61"/>
  <c r="H3074" i="61"/>
  <c r="H3075" i="61"/>
  <c r="H3076" i="61"/>
  <c r="H3077" i="61"/>
  <c r="H3078" i="61"/>
  <c r="H3079" i="61"/>
  <c r="H3080" i="61"/>
  <c r="H3081" i="61"/>
  <c r="H3082" i="61"/>
  <c r="H3083" i="61"/>
  <c r="H3084" i="61"/>
  <c r="H3085" i="61"/>
  <c r="H3086" i="61"/>
  <c r="H3087" i="61"/>
  <c r="H3088" i="61"/>
  <c r="H3089" i="61"/>
  <c r="H3090" i="61"/>
  <c r="H3091" i="61"/>
  <c r="H3092" i="61"/>
  <c r="H3093" i="61"/>
  <c r="H3094" i="61"/>
  <c r="H3095" i="61"/>
  <c r="H3096" i="61"/>
  <c r="H3097" i="61"/>
  <c r="H3098" i="61"/>
  <c r="H3099" i="61"/>
  <c r="H3100" i="61"/>
  <c r="H3101" i="61"/>
  <c r="H3102" i="61"/>
  <c r="H3103" i="61"/>
  <c r="H3104" i="61"/>
  <c r="H3105" i="61"/>
  <c r="H3106" i="61"/>
  <c r="H3107" i="61"/>
  <c r="H3108" i="61"/>
  <c r="H3109" i="61"/>
  <c r="H3110" i="61"/>
  <c r="H3111" i="61"/>
  <c r="H3112" i="61"/>
  <c r="H3113" i="61"/>
  <c r="H3114" i="61"/>
  <c r="H3115" i="61"/>
  <c r="H3116" i="61"/>
  <c r="H3117" i="61"/>
  <c r="H3118" i="61"/>
  <c r="H3119" i="61"/>
  <c r="H3120" i="61"/>
  <c r="H3121" i="61"/>
  <c r="H3122" i="61"/>
  <c r="H3123" i="61"/>
  <c r="H3124" i="61"/>
  <c r="H3125" i="61"/>
  <c r="H3126" i="61"/>
  <c r="H3127" i="61"/>
  <c r="H3128" i="61"/>
  <c r="H3129" i="61"/>
  <c r="H3130" i="61"/>
  <c r="H3131" i="61"/>
  <c r="H3132" i="61"/>
  <c r="H3133" i="61"/>
  <c r="H3134" i="61"/>
  <c r="H3135" i="61"/>
  <c r="H3136" i="61"/>
  <c r="H3137" i="61"/>
  <c r="H3138" i="61"/>
  <c r="H3139" i="61"/>
  <c r="H3140" i="61"/>
  <c r="H3141" i="61"/>
  <c r="H3142" i="61"/>
  <c r="H3143" i="61"/>
  <c r="H3144" i="61"/>
  <c r="H3145" i="61"/>
  <c r="H3146" i="61"/>
  <c r="H3147" i="61"/>
  <c r="H3148" i="61"/>
  <c r="H3149" i="61"/>
  <c r="H3150" i="61"/>
  <c r="H3151" i="61"/>
  <c r="H3152" i="61"/>
  <c r="H3153" i="61"/>
  <c r="H3154" i="61"/>
  <c r="H3155" i="61"/>
  <c r="H3156" i="61"/>
  <c r="H3157" i="61"/>
  <c r="H3158" i="61"/>
  <c r="H3159" i="61"/>
  <c r="H3160" i="61"/>
  <c r="H3161" i="61"/>
  <c r="H3162" i="61"/>
  <c r="H3163" i="61"/>
  <c r="H3164" i="61"/>
  <c r="H3165" i="61"/>
  <c r="H3166" i="61"/>
  <c r="H3167" i="61"/>
  <c r="H3168" i="61"/>
  <c r="H3169" i="61"/>
  <c r="H3170" i="61"/>
  <c r="H3171" i="61"/>
  <c r="H3172" i="61"/>
  <c r="H3173" i="61"/>
  <c r="H3174" i="61"/>
  <c r="H3175" i="61"/>
  <c r="H3176" i="61"/>
  <c r="H3177" i="61"/>
  <c r="H3178" i="61"/>
  <c r="H3179" i="61"/>
  <c r="H3180" i="61"/>
  <c r="H3181" i="61"/>
  <c r="H3182" i="61"/>
  <c r="H3183" i="61"/>
  <c r="H3184" i="61"/>
  <c r="H3185" i="61"/>
  <c r="H3186" i="61"/>
  <c r="H3187" i="61"/>
  <c r="H3188" i="61"/>
  <c r="H3189" i="61"/>
  <c r="H3190" i="61"/>
  <c r="H3191" i="61"/>
  <c r="H3192" i="61"/>
  <c r="H3193" i="61"/>
  <c r="H3194" i="61"/>
  <c r="H3195" i="61"/>
  <c r="H3196" i="61"/>
  <c r="H3197" i="61"/>
  <c r="H3198" i="61"/>
  <c r="H3199" i="61"/>
  <c r="H3200" i="61"/>
  <c r="H3201" i="61"/>
  <c r="H3202" i="61"/>
  <c r="H3203" i="61"/>
  <c r="H3204" i="61"/>
  <c r="H3205" i="61"/>
  <c r="H3206" i="61"/>
  <c r="H3207" i="61"/>
  <c r="H3208" i="61"/>
  <c r="H3209" i="61"/>
  <c r="H3210" i="61"/>
  <c r="H3211" i="61"/>
  <c r="H3212" i="61"/>
  <c r="H3213" i="61"/>
  <c r="H3214" i="61"/>
  <c r="H3215" i="61"/>
  <c r="H3216" i="61"/>
  <c r="H3217" i="61"/>
  <c r="H3218" i="61"/>
  <c r="H3219" i="61"/>
  <c r="H3220" i="61"/>
  <c r="H3221" i="61"/>
  <c r="H3222" i="61"/>
  <c r="H3223" i="61"/>
  <c r="H3224" i="61"/>
  <c r="H3225" i="61"/>
  <c r="H3226" i="61"/>
  <c r="H3227" i="61"/>
  <c r="H3228" i="61"/>
  <c r="H3229" i="61"/>
  <c r="H3230" i="61"/>
  <c r="H3231" i="61"/>
  <c r="H3232" i="61"/>
  <c r="H3233" i="61"/>
  <c r="H3234" i="61"/>
  <c r="H3235" i="61"/>
  <c r="H3236" i="61"/>
  <c r="H3237" i="61"/>
  <c r="H3238" i="61"/>
  <c r="H3239" i="61"/>
  <c r="H3240" i="61"/>
  <c r="H3241" i="61"/>
  <c r="H3242" i="61"/>
  <c r="H3243" i="61"/>
  <c r="H3244" i="61"/>
  <c r="H3245" i="61"/>
  <c r="H3246" i="61"/>
  <c r="H3247" i="61"/>
  <c r="H3248" i="61"/>
  <c r="H3249" i="61"/>
  <c r="H3250" i="61"/>
  <c r="H3251" i="61"/>
  <c r="H3252" i="61"/>
  <c r="H3253" i="61"/>
  <c r="H3254" i="61"/>
  <c r="H3255" i="61"/>
  <c r="H3256" i="61"/>
  <c r="H3257" i="61"/>
  <c r="H3258" i="61"/>
  <c r="H3259" i="61"/>
  <c r="H3260" i="61"/>
  <c r="H3261" i="61"/>
  <c r="H3262" i="61"/>
  <c r="H3263" i="61"/>
  <c r="H3264" i="61"/>
  <c r="H3265" i="61"/>
  <c r="H3266" i="61"/>
  <c r="H3267" i="61"/>
  <c r="H3268" i="61"/>
  <c r="H3269" i="61"/>
  <c r="H3270" i="61"/>
  <c r="H3271" i="61"/>
  <c r="H3272" i="61"/>
  <c r="H3273" i="61"/>
  <c r="H3274" i="61"/>
  <c r="H3275" i="61"/>
  <c r="H3276" i="61"/>
  <c r="H3277" i="61"/>
  <c r="H3278" i="61"/>
  <c r="H3279" i="61"/>
  <c r="H3280" i="61"/>
  <c r="H3281" i="61"/>
  <c r="H3282" i="61"/>
  <c r="H3283" i="61"/>
  <c r="H3284" i="61"/>
  <c r="H3285" i="61"/>
  <c r="H3286" i="61"/>
  <c r="H3287" i="61"/>
  <c r="H3288" i="61"/>
  <c r="H3289" i="61"/>
  <c r="H3290" i="61"/>
  <c r="H3291" i="61"/>
  <c r="H3292" i="61"/>
  <c r="H3293" i="61"/>
  <c r="H3294" i="61"/>
  <c r="H3295" i="61"/>
  <c r="H3296" i="61"/>
  <c r="H3297" i="61"/>
  <c r="H3298" i="61"/>
  <c r="H3299" i="61"/>
  <c r="H3300" i="61"/>
  <c r="H3301" i="61"/>
  <c r="H3302" i="61"/>
  <c r="H3303" i="61"/>
  <c r="H3304" i="61"/>
  <c r="H3305" i="61"/>
  <c r="H3306" i="61"/>
  <c r="H3307" i="61"/>
  <c r="H3308" i="61"/>
  <c r="H3309" i="61"/>
  <c r="H3310" i="61"/>
  <c r="H3311" i="61"/>
  <c r="H3312" i="61"/>
  <c r="H3313" i="61"/>
  <c r="H3314" i="61"/>
  <c r="H3315" i="61"/>
  <c r="H3316" i="61"/>
  <c r="H3317" i="61"/>
  <c r="H3318" i="61"/>
  <c r="H3319" i="61"/>
  <c r="H3320" i="61"/>
  <c r="H3321" i="61"/>
  <c r="H3322" i="61"/>
  <c r="H3323" i="61"/>
  <c r="H3324" i="61"/>
  <c r="H3325" i="61"/>
  <c r="H3326" i="61"/>
  <c r="H3327" i="61"/>
  <c r="H3328" i="61"/>
  <c r="H3329" i="61"/>
  <c r="H3330" i="61"/>
  <c r="H3331" i="61"/>
  <c r="H3332" i="61"/>
  <c r="H3333" i="61"/>
  <c r="H3334" i="61"/>
  <c r="H3335" i="61"/>
  <c r="H3336" i="61"/>
  <c r="H3337" i="61"/>
  <c r="H3338" i="61"/>
  <c r="H3339" i="61"/>
  <c r="H3340" i="61"/>
  <c r="H3341" i="61"/>
  <c r="H3342" i="61"/>
  <c r="H3343" i="61"/>
  <c r="H3344" i="61"/>
  <c r="H3345" i="61"/>
  <c r="H3346" i="61"/>
  <c r="H3347" i="61"/>
  <c r="H3348" i="61"/>
  <c r="H3349" i="61"/>
  <c r="H3350" i="61"/>
  <c r="H3351" i="61"/>
  <c r="H3352" i="61"/>
  <c r="H3353" i="61"/>
  <c r="H3354" i="61"/>
  <c r="H3355" i="61"/>
  <c r="H3356" i="61"/>
  <c r="H3357" i="61"/>
  <c r="H3358" i="61"/>
  <c r="H3359" i="61"/>
  <c r="H3360" i="61"/>
  <c r="H3361" i="61"/>
  <c r="H3362" i="61"/>
  <c r="H3363" i="61"/>
  <c r="H3364" i="61"/>
  <c r="H3365" i="61"/>
  <c r="H3366" i="61"/>
  <c r="H3367" i="61"/>
  <c r="H3368" i="61"/>
  <c r="H3369" i="61"/>
  <c r="H3370" i="61"/>
  <c r="H3371" i="61"/>
  <c r="H3372" i="61"/>
  <c r="H3373" i="61"/>
  <c r="H3374" i="61"/>
  <c r="H3375" i="61"/>
  <c r="H3376" i="61"/>
  <c r="H3377" i="61"/>
  <c r="H3378" i="61"/>
  <c r="H3379" i="61"/>
  <c r="H3380" i="61"/>
  <c r="H3381" i="61"/>
  <c r="H3382" i="61"/>
  <c r="H3383" i="61"/>
  <c r="H3384" i="61"/>
  <c r="H3385" i="61"/>
  <c r="H3386" i="61"/>
  <c r="H3387" i="61"/>
  <c r="H3388" i="61"/>
  <c r="H3389" i="61"/>
  <c r="H3390" i="61"/>
  <c r="H3391" i="61"/>
  <c r="H3392" i="61"/>
  <c r="H3393" i="61"/>
  <c r="H3394" i="61"/>
  <c r="H3395" i="61"/>
  <c r="H3396" i="61"/>
  <c r="H3397" i="61"/>
  <c r="H3398" i="61"/>
  <c r="H3399" i="61"/>
  <c r="H3400" i="61"/>
  <c r="H3401" i="61"/>
  <c r="H3402" i="61"/>
  <c r="H3403" i="61"/>
  <c r="H3404" i="61"/>
  <c r="H3405" i="61"/>
  <c r="H3406" i="61"/>
  <c r="H3407" i="61"/>
  <c r="H3408" i="61"/>
  <c r="H3409" i="61"/>
  <c r="H3410" i="61"/>
  <c r="H3411" i="61"/>
  <c r="H3412" i="61"/>
  <c r="H3413" i="61"/>
  <c r="H3414" i="61"/>
  <c r="H3415" i="61"/>
  <c r="H3416" i="61"/>
  <c r="H3417" i="61"/>
  <c r="H3418" i="61"/>
  <c r="H3419" i="61"/>
  <c r="H3420" i="61"/>
  <c r="H3421" i="61"/>
  <c r="H3422" i="61"/>
  <c r="H3423" i="61"/>
  <c r="H3424" i="61"/>
  <c r="H3425" i="61"/>
  <c r="H3426" i="61"/>
  <c r="H3427" i="61"/>
  <c r="H3428" i="61"/>
  <c r="H3429" i="61"/>
  <c r="H3430" i="61"/>
  <c r="H3431" i="61"/>
  <c r="H3432" i="61"/>
  <c r="H3433" i="61"/>
  <c r="H3434" i="61"/>
  <c r="H3435" i="61"/>
  <c r="H3436" i="61"/>
  <c r="H3437" i="61"/>
  <c r="H3438" i="61"/>
  <c r="H3439" i="61"/>
  <c r="H3440" i="61"/>
  <c r="H3441" i="61"/>
  <c r="H3442" i="61"/>
  <c r="H3443" i="61"/>
  <c r="H3444" i="61"/>
  <c r="H3445" i="61"/>
  <c r="H3446" i="61"/>
  <c r="H3447" i="61"/>
  <c r="H3448" i="61"/>
  <c r="H3449" i="61"/>
  <c r="H3450" i="61"/>
  <c r="H3451" i="61"/>
  <c r="H3452" i="61"/>
  <c r="H3453" i="61"/>
  <c r="H3454" i="61"/>
  <c r="H3455" i="61"/>
  <c r="H3456" i="61"/>
  <c r="H3457" i="61"/>
  <c r="H3458" i="61"/>
  <c r="H3459" i="61"/>
  <c r="H3460" i="61"/>
  <c r="H3461" i="61"/>
  <c r="H3462" i="61"/>
  <c r="H3463" i="61"/>
  <c r="H3464" i="61"/>
  <c r="H3465" i="61"/>
  <c r="H3466" i="61"/>
  <c r="H3467" i="61"/>
  <c r="H3468" i="61"/>
  <c r="H3469" i="61"/>
  <c r="H3470" i="61"/>
  <c r="H3471" i="61"/>
  <c r="H3472" i="61"/>
  <c r="H3473" i="61"/>
  <c r="H3474" i="61"/>
  <c r="H3475" i="61"/>
  <c r="H3476" i="61"/>
  <c r="H3477" i="61"/>
  <c r="H3478" i="61"/>
  <c r="H3479" i="61"/>
  <c r="H3480" i="61"/>
  <c r="H3481" i="61"/>
  <c r="H3482" i="61"/>
  <c r="H3483" i="61"/>
  <c r="H3484" i="61"/>
  <c r="H3485" i="61"/>
  <c r="H3486" i="61"/>
  <c r="H3487" i="61"/>
  <c r="H3488" i="61"/>
  <c r="H3489" i="61"/>
  <c r="H3490" i="61"/>
  <c r="H3491" i="61"/>
  <c r="H3492" i="61"/>
  <c r="H3493" i="61"/>
  <c r="H3494" i="61"/>
  <c r="H3495" i="61"/>
  <c r="H3496" i="61"/>
  <c r="H3497" i="61"/>
  <c r="H3498" i="61"/>
  <c r="H3499" i="61"/>
  <c r="H3500" i="61"/>
  <c r="H3501" i="61"/>
  <c r="H3502" i="61"/>
  <c r="H3503" i="61"/>
  <c r="H3504" i="61"/>
  <c r="H3505" i="61"/>
  <c r="H3506" i="61"/>
  <c r="H3507" i="61"/>
  <c r="H3508" i="61"/>
  <c r="H3509" i="61"/>
  <c r="H3510" i="61"/>
  <c r="H3511" i="61"/>
  <c r="H3512" i="61"/>
  <c r="H3513" i="61"/>
  <c r="H3514" i="61"/>
  <c r="H3515" i="61"/>
  <c r="H3516" i="61"/>
  <c r="H3517" i="61"/>
  <c r="H3518" i="61"/>
  <c r="H3519" i="61"/>
  <c r="H3520" i="61"/>
  <c r="H3521" i="61"/>
  <c r="H3522" i="61"/>
  <c r="H3523" i="61"/>
  <c r="H3524" i="61"/>
  <c r="H3525" i="61"/>
  <c r="H3526" i="61"/>
  <c r="H3527" i="61"/>
  <c r="H3528" i="61"/>
  <c r="H3529" i="61"/>
  <c r="H3530" i="61"/>
  <c r="H3531" i="61"/>
  <c r="H3532" i="61"/>
  <c r="H3533" i="61"/>
  <c r="H3534" i="61"/>
  <c r="H3535" i="61"/>
  <c r="H3536" i="61"/>
  <c r="H3537" i="61"/>
  <c r="H3538" i="61"/>
  <c r="H3539" i="61"/>
  <c r="H3540" i="61"/>
  <c r="H3541" i="61"/>
  <c r="H3542" i="61"/>
  <c r="H3543" i="61"/>
  <c r="H3544" i="61"/>
  <c r="H3545" i="61"/>
  <c r="H3546" i="61"/>
  <c r="H3547" i="61"/>
  <c r="H3548" i="61"/>
  <c r="H3549" i="61"/>
  <c r="H3550" i="61"/>
  <c r="H3551" i="61"/>
  <c r="H3552" i="61"/>
  <c r="H3553" i="61"/>
  <c r="H3554" i="61"/>
  <c r="H3555" i="61"/>
  <c r="H3556" i="61"/>
  <c r="H3557" i="61"/>
  <c r="H3558" i="61"/>
  <c r="H3559" i="61"/>
  <c r="H3560" i="61"/>
  <c r="H3561" i="61"/>
  <c r="H3562" i="61"/>
  <c r="H3563" i="61"/>
  <c r="H3564" i="61"/>
  <c r="H3565" i="61"/>
  <c r="H3566" i="61"/>
  <c r="H3567" i="61"/>
  <c r="H3568" i="61"/>
  <c r="H3569" i="61"/>
  <c r="H3570" i="61"/>
  <c r="H3571" i="61"/>
  <c r="H3572" i="61"/>
  <c r="H3573" i="61"/>
  <c r="H3574" i="61"/>
  <c r="H3575" i="61"/>
  <c r="H3576" i="61"/>
  <c r="H3577" i="61"/>
  <c r="H3578" i="61"/>
  <c r="H3579" i="61"/>
  <c r="H3580" i="61"/>
  <c r="H3581" i="61"/>
  <c r="H3582" i="61"/>
  <c r="H3583" i="61"/>
  <c r="H3584" i="61"/>
  <c r="H3585" i="61"/>
  <c r="H3586" i="61"/>
  <c r="H3587" i="61"/>
  <c r="H3588" i="61"/>
  <c r="H3589" i="61"/>
  <c r="H3590" i="61"/>
  <c r="H3591" i="61"/>
  <c r="H3592" i="61"/>
  <c r="H3593" i="61"/>
  <c r="H3594" i="61"/>
  <c r="H3595" i="61"/>
  <c r="H3596" i="61"/>
  <c r="H3597" i="61"/>
  <c r="H3598" i="61"/>
  <c r="H3599" i="61"/>
  <c r="H3600" i="61"/>
  <c r="H3601" i="61"/>
  <c r="H3602" i="61"/>
  <c r="H3603" i="61"/>
  <c r="H3604" i="61"/>
  <c r="H3605" i="61"/>
  <c r="H3606" i="61"/>
  <c r="H3607" i="61"/>
  <c r="H3608" i="61"/>
  <c r="H3609" i="61"/>
  <c r="H3610" i="61"/>
  <c r="H3611" i="61"/>
  <c r="H3612" i="61"/>
  <c r="H3613" i="61"/>
  <c r="H3614" i="61"/>
  <c r="H3615" i="61"/>
  <c r="H3616" i="61"/>
  <c r="H3617" i="61"/>
  <c r="H3618" i="61"/>
  <c r="H3619" i="61"/>
  <c r="H3620" i="61"/>
  <c r="H3621" i="61"/>
  <c r="H3622" i="61"/>
  <c r="H3623" i="61"/>
  <c r="H3624" i="61"/>
  <c r="H3625" i="61"/>
  <c r="H3626" i="61"/>
  <c r="H3627" i="61"/>
  <c r="H3628" i="61"/>
  <c r="H3629" i="61"/>
  <c r="H3630" i="61"/>
  <c r="H3631" i="61"/>
  <c r="H3632" i="61"/>
  <c r="H3633" i="61"/>
  <c r="H3634" i="61"/>
  <c r="H3635" i="61"/>
  <c r="H3636" i="61"/>
  <c r="H3637" i="61"/>
  <c r="H3638" i="61"/>
  <c r="H3639" i="61"/>
  <c r="H3640" i="61"/>
  <c r="H3641" i="61"/>
  <c r="H3642" i="61"/>
  <c r="H3643" i="61"/>
  <c r="H3644" i="61"/>
  <c r="H3645" i="61"/>
  <c r="H3646" i="61"/>
  <c r="H3647" i="61"/>
  <c r="H3648" i="61"/>
  <c r="H3649" i="61"/>
  <c r="H3650" i="61"/>
  <c r="H3651" i="61"/>
  <c r="H3652" i="61"/>
  <c r="H3653" i="61"/>
  <c r="H3654" i="61"/>
  <c r="H3655" i="61"/>
  <c r="H3656" i="61"/>
  <c r="H3657" i="61"/>
  <c r="H3658" i="61"/>
  <c r="H3659" i="61"/>
  <c r="H3660" i="61"/>
  <c r="H3661" i="61"/>
  <c r="H3662" i="61"/>
  <c r="H3663" i="61"/>
  <c r="H3664" i="61"/>
  <c r="H3665" i="61"/>
  <c r="H3666" i="61"/>
  <c r="H3667" i="61"/>
  <c r="H3668" i="61"/>
  <c r="H3669" i="61"/>
  <c r="H3670" i="61"/>
  <c r="H3671" i="61"/>
  <c r="H3672" i="61"/>
  <c r="H3673" i="61"/>
  <c r="H3674" i="61"/>
  <c r="H3675" i="61"/>
  <c r="H3676" i="61"/>
  <c r="H3677" i="61"/>
  <c r="H3678" i="61"/>
  <c r="H3679" i="61"/>
  <c r="H3680" i="61"/>
  <c r="H3681" i="61"/>
  <c r="H3682" i="61"/>
  <c r="H3683" i="61"/>
  <c r="H3684" i="61"/>
  <c r="H3685" i="61"/>
  <c r="H3686" i="61"/>
  <c r="H3687" i="61"/>
  <c r="H3688" i="61"/>
  <c r="H3689" i="61"/>
  <c r="H3690" i="61"/>
  <c r="H3691" i="61"/>
  <c r="H3692" i="61"/>
  <c r="H3693" i="61"/>
  <c r="H3694" i="61"/>
  <c r="H3695" i="61"/>
  <c r="H3696" i="61"/>
  <c r="H3697" i="61"/>
  <c r="H3698" i="61"/>
  <c r="H3699" i="61"/>
  <c r="H3700" i="61"/>
  <c r="H3701" i="61"/>
  <c r="H3702" i="61"/>
  <c r="H3703" i="61"/>
  <c r="H3704" i="61"/>
  <c r="H3705" i="61"/>
  <c r="H3706" i="61"/>
  <c r="H3707" i="61"/>
  <c r="H3708" i="61"/>
  <c r="H3709" i="61"/>
  <c r="H3710" i="61"/>
  <c r="H3711" i="61"/>
  <c r="H3712" i="61"/>
  <c r="H3713" i="61"/>
  <c r="H3714" i="61"/>
  <c r="H3715" i="61"/>
  <c r="H3716" i="61"/>
  <c r="H3717" i="61"/>
  <c r="H3718" i="61"/>
  <c r="H3719" i="61"/>
  <c r="H3720" i="61"/>
  <c r="H3721" i="61"/>
  <c r="H3722" i="61"/>
  <c r="H3723" i="61"/>
  <c r="H3724" i="61"/>
  <c r="H3725" i="61"/>
  <c r="H3726" i="61"/>
  <c r="H3727" i="61"/>
  <c r="H3728" i="61"/>
  <c r="H3729" i="61"/>
  <c r="H3730" i="61"/>
  <c r="H3731" i="61"/>
  <c r="H3732" i="61"/>
  <c r="H3733" i="61"/>
  <c r="H3734" i="61"/>
  <c r="H3735" i="61"/>
  <c r="H3736" i="61"/>
  <c r="H3737" i="61"/>
  <c r="H3738" i="61"/>
  <c r="H3739" i="61"/>
  <c r="H3740" i="61"/>
  <c r="H3741" i="61"/>
  <c r="H3742" i="61"/>
  <c r="H3743" i="61"/>
  <c r="H3744" i="61"/>
  <c r="H3745" i="61"/>
  <c r="H3746" i="61"/>
  <c r="H3747" i="61"/>
  <c r="H3748" i="61"/>
  <c r="H3749" i="61"/>
  <c r="H3750" i="61"/>
  <c r="H3751" i="61"/>
  <c r="H3752" i="61"/>
  <c r="H3753" i="61"/>
  <c r="H3754" i="61"/>
  <c r="H3755" i="61"/>
  <c r="H3756" i="61"/>
  <c r="H3757" i="61"/>
  <c r="H3758" i="61"/>
  <c r="H3759" i="61"/>
  <c r="H3760" i="61"/>
  <c r="H3761" i="61"/>
  <c r="H3762" i="61"/>
  <c r="H3763" i="61"/>
  <c r="H3764" i="61"/>
  <c r="H3765" i="61"/>
  <c r="H3766" i="61"/>
  <c r="H3767" i="61"/>
  <c r="H3768" i="61"/>
  <c r="H3769" i="61"/>
  <c r="H3770" i="61"/>
  <c r="H3771" i="61"/>
  <c r="H3772" i="61"/>
  <c r="H3773" i="61"/>
  <c r="H3774" i="61"/>
  <c r="H3775" i="61"/>
  <c r="H3776" i="61"/>
  <c r="H3777" i="61"/>
  <c r="H3778" i="61"/>
  <c r="H3779" i="61"/>
  <c r="H3780" i="61"/>
  <c r="H3781" i="61"/>
  <c r="H3782" i="61"/>
  <c r="H3783" i="61"/>
  <c r="H3784" i="61"/>
  <c r="H3785" i="61"/>
  <c r="H3786" i="61"/>
  <c r="H3787" i="61"/>
  <c r="H3788" i="61"/>
  <c r="H3789" i="61"/>
  <c r="H3790" i="61"/>
  <c r="H3791" i="61"/>
  <c r="H3792" i="61"/>
  <c r="H3793" i="61"/>
  <c r="H3794" i="61"/>
  <c r="H3795" i="61"/>
  <c r="H3796" i="61"/>
  <c r="H3797" i="61"/>
  <c r="H3798" i="61"/>
  <c r="H3799" i="61"/>
  <c r="H3800" i="61"/>
  <c r="H3801" i="61"/>
  <c r="H3802" i="61"/>
  <c r="H3803" i="61"/>
  <c r="H3804" i="61"/>
  <c r="H3805" i="61"/>
  <c r="H3806" i="61"/>
  <c r="H3807" i="61"/>
  <c r="H3808" i="61"/>
  <c r="H3809" i="61"/>
  <c r="H3810" i="61"/>
  <c r="H3811" i="61"/>
  <c r="H3812" i="61"/>
  <c r="H3813" i="61"/>
  <c r="H3814" i="61"/>
  <c r="H3815" i="61"/>
  <c r="H3816" i="61"/>
  <c r="H3817" i="61"/>
  <c r="H3818" i="61"/>
  <c r="H3819" i="61"/>
  <c r="H3820" i="61"/>
  <c r="H3821" i="61"/>
  <c r="H3822" i="61"/>
  <c r="H3823" i="61"/>
  <c r="H3824" i="61"/>
  <c r="H3825" i="61"/>
  <c r="H3826" i="61"/>
  <c r="H3827" i="61"/>
  <c r="H3828" i="61"/>
  <c r="H3829" i="61"/>
  <c r="H3830" i="61"/>
  <c r="H3831" i="61"/>
  <c r="H3832" i="61"/>
  <c r="H3833" i="61"/>
  <c r="H3834" i="61"/>
  <c r="H3835" i="61"/>
  <c r="H3836" i="61"/>
  <c r="H3837" i="61"/>
  <c r="H3838" i="61"/>
  <c r="H3839" i="61"/>
  <c r="H3840" i="61"/>
  <c r="H3841" i="61"/>
  <c r="H3842" i="61"/>
  <c r="H3843" i="61"/>
  <c r="H3844" i="61"/>
  <c r="H3845" i="61"/>
  <c r="H3846" i="61"/>
  <c r="H3847" i="61"/>
  <c r="H3848" i="61"/>
  <c r="H3849" i="61"/>
  <c r="H3850" i="61"/>
  <c r="H3851" i="61"/>
  <c r="H3852" i="61"/>
  <c r="H3853" i="61"/>
  <c r="H3854" i="61"/>
  <c r="H3855" i="61"/>
  <c r="H3856" i="61"/>
  <c r="H3857" i="61"/>
  <c r="H3858" i="61"/>
  <c r="H3859" i="61"/>
  <c r="H3860" i="61"/>
  <c r="H3861" i="61"/>
  <c r="H3862" i="61"/>
  <c r="H3863" i="61"/>
  <c r="H3864" i="61"/>
  <c r="H3865" i="61"/>
  <c r="H3866" i="61"/>
  <c r="H3867" i="61"/>
  <c r="H3868" i="61"/>
  <c r="H3869" i="61"/>
  <c r="H3870" i="61"/>
  <c r="H3871" i="61"/>
  <c r="H3872" i="61"/>
  <c r="H3873" i="61"/>
  <c r="H3874" i="61"/>
  <c r="H3875" i="61"/>
  <c r="H3876" i="61"/>
  <c r="H3877" i="61"/>
  <c r="H3878" i="61"/>
  <c r="H3879" i="61"/>
  <c r="H3880" i="61"/>
  <c r="H3881" i="61"/>
  <c r="H3882" i="61"/>
  <c r="H3883" i="61"/>
  <c r="H3884" i="61"/>
  <c r="H3885" i="61"/>
  <c r="H3886" i="61"/>
  <c r="H3887" i="61"/>
  <c r="H3888" i="61"/>
  <c r="H3889" i="61"/>
  <c r="H3890" i="61"/>
  <c r="H3891" i="61"/>
  <c r="H3892" i="61"/>
  <c r="H3893" i="61"/>
  <c r="H3894" i="61"/>
  <c r="H3895" i="61"/>
  <c r="H3896" i="61"/>
  <c r="H3897" i="61"/>
  <c r="H3898" i="61"/>
  <c r="H3899" i="61"/>
  <c r="H3900" i="61"/>
  <c r="H3901" i="61"/>
  <c r="H3902" i="61"/>
  <c r="H3903" i="61"/>
  <c r="H3904" i="61"/>
  <c r="H3905" i="61"/>
  <c r="H3906" i="61"/>
  <c r="H3907" i="61"/>
  <c r="H3908" i="61"/>
  <c r="H3909" i="61"/>
  <c r="H3910" i="61"/>
  <c r="H3911" i="61"/>
  <c r="H3912" i="61"/>
  <c r="H3913" i="61"/>
  <c r="H3914" i="61"/>
  <c r="H3915" i="61"/>
  <c r="H3916" i="61"/>
  <c r="H3917" i="61"/>
  <c r="H3918" i="61"/>
  <c r="H3919" i="61"/>
  <c r="H3920" i="61"/>
  <c r="H3921" i="61"/>
  <c r="H3922" i="61"/>
  <c r="H3923" i="61"/>
  <c r="H3924" i="61"/>
  <c r="H3925" i="61"/>
  <c r="H3926" i="61"/>
  <c r="H3927" i="61"/>
  <c r="H3928" i="61"/>
  <c r="H3929" i="61"/>
  <c r="H3930" i="61"/>
  <c r="H3931" i="61"/>
  <c r="H3932" i="61"/>
  <c r="H3933" i="61"/>
  <c r="H3934" i="61"/>
  <c r="H3935" i="61"/>
  <c r="H3936" i="61"/>
  <c r="H3937" i="61"/>
  <c r="H3938" i="61"/>
  <c r="H3939" i="61"/>
  <c r="H3940" i="61"/>
  <c r="H3941" i="61"/>
  <c r="H3942" i="61"/>
  <c r="H3943" i="61"/>
  <c r="H3944" i="61"/>
  <c r="H3945" i="61"/>
  <c r="H3946" i="61"/>
  <c r="H3947" i="61"/>
  <c r="H3948" i="61"/>
  <c r="H3949" i="61"/>
  <c r="H3950" i="61"/>
  <c r="H3951" i="61"/>
  <c r="H3952" i="61"/>
  <c r="H3953" i="61"/>
  <c r="H3954" i="61"/>
  <c r="H3955" i="61"/>
  <c r="H3956" i="61"/>
  <c r="H3957" i="61"/>
  <c r="H3958" i="61"/>
  <c r="H3959" i="61"/>
  <c r="H3960" i="61"/>
  <c r="H3961" i="61"/>
  <c r="H3962" i="61"/>
  <c r="H3963" i="61"/>
  <c r="H3964" i="61"/>
  <c r="H3965" i="61"/>
  <c r="H3966" i="61"/>
  <c r="H3967" i="61"/>
  <c r="H3968" i="61"/>
  <c r="H3969" i="61"/>
  <c r="H3970" i="61"/>
  <c r="H3971" i="61"/>
  <c r="H3972" i="61"/>
  <c r="H3973" i="61"/>
  <c r="H3974" i="61"/>
  <c r="H3975" i="61"/>
  <c r="H3976" i="61"/>
  <c r="H3977" i="61"/>
  <c r="H3978" i="61"/>
  <c r="H3979" i="61"/>
  <c r="H3980" i="61"/>
  <c r="H3981" i="61"/>
  <c r="H3982" i="61"/>
  <c r="H3983" i="61"/>
  <c r="H3984" i="61"/>
  <c r="H3985" i="61"/>
  <c r="H3986" i="61"/>
  <c r="H3987" i="61"/>
  <c r="H3988" i="61"/>
  <c r="H3989" i="61"/>
  <c r="H3990" i="61"/>
  <c r="H3991" i="61"/>
  <c r="H3992" i="61"/>
  <c r="H3993" i="61"/>
  <c r="H3994" i="61"/>
  <c r="H3995" i="61"/>
  <c r="H3996" i="61"/>
  <c r="H3997" i="61"/>
  <c r="H3998" i="61"/>
  <c r="H3999" i="61"/>
  <c r="H4000" i="61"/>
  <c r="H4001" i="61"/>
  <c r="H4002" i="61"/>
  <c r="H4003" i="61"/>
  <c r="H4004" i="61"/>
  <c r="H4005" i="61"/>
  <c r="H4006" i="61"/>
  <c r="H4007" i="61"/>
  <c r="H4008" i="61"/>
  <c r="H4009" i="61"/>
  <c r="H4010" i="61"/>
  <c r="H4011" i="61"/>
  <c r="H4012" i="61"/>
  <c r="H4013" i="61"/>
  <c r="H4014" i="61"/>
  <c r="H4015" i="61"/>
  <c r="H4016" i="61"/>
  <c r="H4017" i="61"/>
  <c r="H4018" i="61"/>
  <c r="H4019" i="61"/>
  <c r="H4020" i="61"/>
  <c r="H4021" i="61"/>
  <c r="H4022" i="61"/>
  <c r="H4023" i="61"/>
  <c r="H4024" i="61"/>
  <c r="H4025" i="61"/>
  <c r="H4026" i="61"/>
  <c r="H4027" i="61"/>
  <c r="H4028" i="61"/>
  <c r="H4029" i="61"/>
  <c r="H4030" i="61"/>
  <c r="H4031" i="61"/>
  <c r="H4032" i="61"/>
  <c r="H4033" i="61"/>
  <c r="H4034" i="61"/>
  <c r="H4035" i="61"/>
  <c r="H4036" i="61"/>
  <c r="H4037" i="61"/>
  <c r="H4038" i="61"/>
  <c r="H4039" i="61"/>
  <c r="H4040" i="61"/>
  <c r="H4041" i="61"/>
  <c r="H4042" i="61"/>
  <c r="H4043" i="61"/>
  <c r="H4044" i="61"/>
  <c r="H4045" i="61"/>
  <c r="H4046" i="61"/>
  <c r="H4047" i="61"/>
  <c r="H4048" i="61"/>
  <c r="H4049" i="61"/>
  <c r="H4050" i="61"/>
  <c r="H4051" i="61"/>
  <c r="H4052" i="61"/>
  <c r="H4053" i="61"/>
  <c r="H4054" i="61"/>
  <c r="H4055" i="61"/>
  <c r="H4056" i="61"/>
  <c r="H4057" i="61"/>
  <c r="H4058" i="61"/>
  <c r="H4059" i="61"/>
  <c r="H4060" i="61"/>
  <c r="H4061" i="61"/>
  <c r="H4062" i="61"/>
  <c r="H4063" i="61"/>
  <c r="H4064" i="61"/>
  <c r="H4065" i="61"/>
  <c r="H4066" i="61"/>
  <c r="H4067" i="61"/>
  <c r="H4068" i="61"/>
  <c r="H4069" i="61"/>
  <c r="H4070" i="61"/>
  <c r="H4071" i="61"/>
  <c r="H4072" i="61"/>
  <c r="H4073" i="61"/>
  <c r="H4074" i="61"/>
  <c r="H4075" i="61"/>
  <c r="H4076" i="61"/>
  <c r="H4077" i="61"/>
  <c r="H4078" i="61"/>
  <c r="H4079" i="61"/>
  <c r="H4080" i="61"/>
  <c r="H4081" i="61"/>
  <c r="H4082" i="61"/>
  <c r="H4083" i="61"/>
  <c r="H4084" i="61"/>
  <c r="H4085" i="61"/>
  <c r="H4086" i="61"/>
  <c r="H4087" i="61"/>
  <c r="H4088" i="61"/>
  <c r="H4089" i="61"/>
  <c r="H4090" i="61"/>
  <c r="H4091" i="61"/>
  <c r="H4092" i="61"/>
  <c r="H4093" i="61"/>
  <c r="H4094" i="61"/>
  <c r="H4095" i="61"/>
  <c r="H4096" i="61"/>
  <c r="H4097" i="61"/>
  <c r="H4098" i="61"/>
  <c r="H4099" i="61"/>
  <c r="H4100" i="61"/>
  <c r="H4101" i="61"/>
  <c r="H4102" i="61"/>
  <c r="H4103" i="61"/>
  <c r="H4104" i="61"/>
  <c r="H4105" i="61"/>
  <c r="H4106" i="61"/>
  <c r="H4107" i="61"/>
  <c r="H4108" i="61"/>
  <c r="H4109" i="61"/>
  <c r="H4110" i="61"/>
  <c r="H4111" i="61"/>
  <c r="H4112" i="61"/>
  <c r="H4113" i="61"/>
  <c r="H4114" i="61"/>
  <c r="H4115" i="61"/>
  <c r="H4116" i="61"/>
  <c r="H4117" i="61"/>
  <c r="H4118" i="61"/>
  <c r="H4119" i="61"/>
  <c r="H4120" i="61"/>
  <c r="H4121" i="61"/>
  <c r="H4122" i="61"/>
  <c r="H4123" i="61"/>
  <c r="H4124" i="61"/>
  <c r="H4125" i="61"/>
  <c r="H4126" i="61"/>
  <c r="H4127" i="61"/>
  <c r="H4128" i="61"/>
  <c r="H4129" i="61"/>
  <c r="H4130" i="61"/>
  <c r="H4131" i="61"/>
  <c r="H4132" i="61"/>
  <c r="H4133" i="61"/>
  <c r="H4134" i="61"/>
  <c r="H4135" i="61"/>
  <c r="H4136" i="61"/>
  <c r="H4137" i="61"/>
  <c r="H4138" i="61"/>
  <c r="H4139" i="61"/>
  <c r="H4140" i="61"/>
  <c r="H4141" i="61"/>
  <c r="H4142" i="61"/>
  <c r="H4143" i="61"/>
  <c r="H4144" i="61"/>
  <c r="H4145" i="61"/>
  <c r="H4146" i="61"/>
  <c r="H4147" i="61"/>
  <c r="H4148" i="61"/>
  <c r="H4149" i="61"/>
  <c r="H4150" i="61"/>
  <c r="H4151" i="61"/>
  <c r="H4152" i="61"/>
  <c r="H4153" i="61"/>
  <c r="H4154" i="61"/>
  <c r="H4155" i="61"/>
  <c r="H4156" i="61"/>
  <c r="H4157" i="61"/>
  <c r="H4158" i="61"/>
  <c r="H4159" i="61"/>
  <c r="H4160" i="61"/>
  <c r="H4161" i="61"/>
  <c r="H4162" i="61"/>
  <c r="H4163" i="61"/>
  <c r="H4164" i="61"/>
  <c r="H4165" i="61"/>
  <c r="H4166" i="61"/>
  <c r="H4167" i="61"/>
  <c r="H4168" i="61"/>
  <c r="H4169" i="61"/>
  <c r="H4170" i="61"/>
  <c r="H4171" i="61"/>
  <c r="H4172" i="61"/>
  <c r="H4173" i="61"/>
  <c r="H4174" i="61"/>
  <c r="H4175" i="61"/>
  <c r="H4176" i="61"/>
  <c r="H4177" i="61"/>
  <c r="H4178" i="61"/>
  <c r="H4179" i="61"/>
  <c r="H4180" i="61"/>
  <c r="H4181" i="61"/>
  <c r="H4182" i="61"/>
  <c r="H4183" i="61"/>
  <c r="H4184" i="61"/>
  <c r="H4185" i="61"/>
  <c r="H4186" i="61"/>
  <c r="H4187" i="61"/>
  <c r="H4188" i="61"/>
  <c r="H4189" i="61"/>
  <c r="H4190" i="61"/>
  <c r="H4191" i="61"/>
  <c r="H4192" i="61"/>
  <c r="H4193" i="61"/>
  <c r="H4194" i="61"/>
  <c r="H4195" i="61"/>
  <c r="H4196" i="61"/>
  <c r="H4197" i="61"/>
  <c r="H4198" i="61"/>
  <c r="H4199" i="61"/>
  <c r="H4200" i="61"/>
  <c r="H4201" i="61"/>
  <c r="H4202" i="61"/>
  <c r="H4203" i="61"/>
  <c r="H4204" i="61"/>
  <c r="H4205" i="61"/>
  <c r="H4206" i="61"/>
  <c r="H4207" i="61"/>
  <c r="H4208" i="61"/>
  <c r="H4209" i="61"/>
  <c r="H4210" i="61"/>
  <c r="H4211" i="61"/>
  <c r="H4212" i="61"/>
  <c r="H4213" i="61"/>
  <c r="H4214" i="61"/>
  <c r="H4215" i="61"/>
  <c r="H4216" i="61"/>
  <c r="H4217" i="61"/>
  <c r="H4218" i="61"/>
  <c r="H4219" i="61"/>
  <c r="H4220" i="61"/>
  <c r="H4221" i="61"/>
  <c r="H4222" i="61"/>
  <c r="H4223" i="61"/>
  <c r="H4224" i="61"/>
  <c r="H4225" i="61"/>
  <c r="H4226" i="61"/>
  <c r="H4227" i="61"/>
  <c r="H4228" i="61"/>
  <c r="H4229" i="61"/>
  <c r="H4230" i="61"/>
  <c r="H4231" i="61"/>
  <c r="H4232" i="61"/>
  <c r="H4233" i="61"/>
  <c r="H4234" i="61"/>
  <c r="H4235" i="61"/>
  <c r="H4236" i="61"/>
  <c r="H4237" i="61"/>
  <c r="H4238" i="61"/>
  <c r="H4239" i="61"/>
  <c r="H4240" i="61"/>
  <c r="H4241" i="61"/>
  <c r="H4242" i="61"/>
  <c r="H4243" i="61"/>
  <c r="H4244" i="61"/>
  <c r="H4245" i="61"/>
  <c r="H4246" i="61"/>
  <c r="H4247" i="61"/>
  <c r="H4248" i="61"/>
  <c r="H4249" i="61"/>
  <c r="H4250" i="61"/>
  <c r="H4251" i="61"/>
  <c r="H4252" i="61"/>
  <c r="H4253" i="61"/>
  <c r="H4254" i="61"/>
  <c r="H4255" i="61"/>
  <c r="H4256" i="61"/>
  <c r="H4257" i="61"/>
  <c r="H4258" i="61"/>
  <c r="H4259" i="61"/>
  <c r="H4260" i="61"/>
  <c r="H4261" i="61"/>
  <c r="H4262" i="61"/>
  <c r="H4263" i="61"/>
  <c r="H4264" i="61"/>
  <c r="H4265" i="61"/>
  <c r="H4266" i="61"/>
  <c r="H4267" i="61"/>
  <c r="H4268" i="61"/>
  <c r="H4269" i="61"/>
  <c r="H4270" i="61"/>
  <c r="H4271" i="61"/>
  <c r="H4272" i="61"/>
  <c r="H4273" i="61"/>
  <c r="H4274" i="61"/>
  <c r="H4275" i="61"/>
  <c r="H4276" i="61"/>
  <c r="H4277" i="61"/>
  <c r="H4278" i="61"/>
  <c r="H4279" i="61"/>
  <c r="H4280" i="61"/>
  <c r="H4281" i="61"/>
  <c r="H4282" i="61"/>
  <c r="H4283" i="61"/>
  <c r="H4284" i="61"/>
  <c r="H4285" i="61"/>
  <c r="H4286" i="61"/>
  <c r="H4287" i="61"/>
  <c r="H4288" i="61"/>
  <c r="H4289" i="61"/>
  <c r="H4290" i="61"/>
  <c r="H4291" i="61"/>
  <c r="H4292" i="61"/>
  <c r="H4293" i="61"/>
  <c r="H4294" i="61"/>
  <c r="H4295" i="61"/>
  <c r="H4296" i="61"/>
  <c r="H4297" i="61"/>
  <c r="H4298" i="61"/>
  <c r="H4299" i="61"/>
  <c r="H4300" i="61"/>
  <c r="H4301" i="61"/>
  <c r="H4302" i="61"/>
  <c r="H4303" i="61"/>
  <c r="H4304" i="61"/>
  <c r="H4305" i="61"/>
  <c r="H4306" i="61"/>
  <c r="H4307" i="61"/>
  <c r="H4308" i="61"/>
  <c r="H4309" i="61"/>
  <c r="H4310" i="61"/>
  <c r="H4311" i="61"/>
  <c r="H4312" i="61"/>
  <c r="H4313" i="61"/>
  <c r="H4314" i="61"/>
  <c r="H4315" i="61"/>
  <c r="H4316" i="61"/>
  <c r="H4317" i="61"/>
  <c r="H4318" i="61"/>
  <c r="H4319" i="61"/>
  <c r="H4320" i="61"/>
  <c r="H4321" i="61"/>
  <c r="H4322" i="61"/>
  <c r="H4323" i="61"/>
  <c r="H4324" i="61"/>
  <c r="H4325" i="61"/>
  <c r="H4326" i="61"/>
  <c r="H4327" i="61"/>
  <c r="H4328" i="61"/>
  <c r="H4329" i="61"/>
  <c r="H4330" i="61"/>
  <c r="H4331" i="61"/>
  <c r="H4332" i="61"/>
  <c r="H4333" i="61"/>
  <c r="H4334" i="61"/>
  <c r="H4335" i="61"/>
  <c r="H4336" i="61"/>
  <c r="H4337" i="61"/>
  <c r="H4338" i="61"/>
  <c r="H4339" i="61"/>
  <c r="H4340" i="61"/>
  <c r="H4341" i="61"/>
  <c r="H4342" i="61"/>
  <c r="H4343" i="61"/>
  <c r="H4344" i="61"/>
  <c r="H4345" i="61"/>
  <c r="H4346" i="61"/>
  <c r="H4347" i="61"/>
  <c r="H4348" i="61"/>
  <c r="H4349" i="61"/>
  <c r="H4350" i="61"/>
  <c r="H4351" i="61"/>
  <c r="H4352" i="61"/>
  <c r="H4353" i="61"/>
  <c r="H4354" i="61"/>
  <c r="H4355" i="61"/>
  <c r="H4356" i="61"/>
  <c r="H4357" i="61"/>
  <c r="H4358" i="61"/>
  <c r="H4359" i="61"/>
  <c r="H4360" i="61"/>
  <c r="H4361" i="61"/>
  <c r="H4362" i="61"/>
  <c r="H4363" i="61"/>
  <c r="H4364" i="61"/>
  <c r="H4365" i="61"/>
  <c r="H4366" i="61"/>
  <c r="H4367" i="61"/>
  <c r="H4368" i="61"/>
  <c r="H4369" i="61"/>
  <c r="H4370" i="61"/>
  <c r="H4371" i="61"/>
  <c r="H4372" i="61"/>
  <c r="H4373" i="61"/>
  <c r="H4374" i="61"/>
  <c r="H4375" i="61"/>
  <c r="H4376" i="61"/>
  <c r="H4377" i="61"/>
  <c r="H4378" i="61"/>
  <c r="H4379" i="61"/>
  <c r="H4380" i="61"/>
  <c r="H4381" i="61"/>
  <c r="H4382" i="61"/>
  <c r="H4383" i="61"/>
  <c r="H4384" i="61"/>
  <c r="H4385" i="61"/>
  <c r="H4386" i="61"/>
  <c r="H4387" i="61"/>
  <c r="H4388" i="61"/>
  <c r="H4389" i="61"/>
  <c r="H4390" i="61"/>
  <c r="H4391" i="61"/>
  <c r="H4392" i="61"/>
  <c r="H4393" i="61"/>
  <c r="H4394" i="61"/>
  <c r="H4395" i="61"/>
  <c r="H4396" i="61"/>
  <c r="H4397" i="61"/>
  <c r="H4398" i="61"/>
  <c r="H4399" i="61"/>
  <c r="H4400" i="61"/>
  <c r="H4401" i="61"/>
  <c r="H4402" i="61"/>
  <c r="H4403" i="61"/>
  <c r="H4404" i="61"/>
  <c r="H4405" i="61"/>
  <c r="H4406" i="61"/>
  <c r="H4407" i="61"/>
  <c r="H4408" i="61"/>
  <c r="H4409" i="61"/>
  <c r="H4410" i="61"/>
  <c r="H4411" i="61"/>
  <c r="H4412" i="61"/>
  <c r="H4413" i="61"/>
  <c r="H4414" i="61"/>
  <c r="H4415" i="61"/>
  <c r="H4416" i="61"/>
  <c r="H4417" i="61"/>
  <c r="H4418" i="61"/>
  <c r="H4419" i="61"/>
  <c r="H4420" i="61"/>
  <c r="H4421" i="61"/>
  <c r="H4422" i="61"/>
  <c r="H4423" i="61"/>
  <c r="H4424" i="61"/>
  <c r="H4425" i="61"/>
  <c r="H4426" i="61"/>
  <c r="H4427" i="61"/>
  <c r="H4428" i="61"/>
  <c r="H4429" i="61"/>
  <c r="H4430" i="61"/>
  <c r="H4431" i="61"/>
  <c r="H4432" i="61"/>
  <c r="H4433" i="61"/>
  <c r="H4434" i="61"/>
  <c r="H4435" i="61"/>
  <c r="H4436" i="61"/>
  <c r="H4437" i="61"/>
  <c r="H4438" i="61"/>
  <c r="H4439" i="61"/>
  <c r="H4440" i="61"/>
  <c r="H4441" i="61"/>
  <c r="H4442" i="61"/>
  <c r="H4443" i="61"/>
  <c r="H4444" i="61"/>
  <c r="H4445" i="61"/>
  <c r="H4446" i="61"/>
  <c r="H4447" i="61"/>
  <c r="H4448" i="61"/>
  <c r="H4449" i="61"/>
  <c r="H4450" i="61"/>
  <c r="H4451" i="61"/>
  <c r="H4452" i="61"/>
  <c r="H4453" i="61"/>
  <c r="H4454" i="61"/>
  <c r="H4455" i="61"/>
  <c r="H4456" i="61"/>
  <c r="H4457" i="61"/>
  <c r="H4458" i="61"/>
  <c r="H4459" i="61"/>
  <c r="H4460" i="61"/>
  <c r="H4461" i="61"/>
  <c r="H4462" i="61"/>
  <c r="H4463" i="61"/>
  <c r="H4464" i="61"/>
  <c r="H4465" i="61"/>
  <c r="H4466" i="61"/>
  <c r="H4467" i="61"/>
  <c r="H4468" i="61"/>
  <c r="H4469" i="61"/>
  <c r="H4470" i="61"/>
  <c r="H4471" i="61"/>
  <c r="H4472" i="61"/>
  <c r="H4473" i="61"/>
  <c r="H4474" i="61"/>
  <c r="H4475" i="61"/>
  <c r="H4476" i="61"/>
  <c r="H4477" i="61"/>
  <c r="H4478" i="61"/>
  <c r="H4479" i="61"/>
  <c r="H4480" i="61"/>
  <c r="H4481" i="61"/>
  <c r="H4482" i="61"/>
  <c r="H4483" i="61"/>
  <c r="H4484" i="61"/>
  <c r="H4485" i="61"/>
  <c r="H4486" i="61"/>
  <c r="H4487" i="61"/>
  <c r="H4488" i="61"/>
  <c r="H4489" i="61"/>
  <c r="H4490" i="61"/>
  <c r="H4491" i="61"/>
  <c r="H4492" i="61"/>
  <c r="H4493" i="61"/>
  <c r="H4494" i="61"/>
  <c r="H4495" i="61"/>
  <c r="H4496" i="61"/>
  <c r="H4497" i="61"/>
  <c r="H4498" i="61"/>
  <c r="H4499" i="61"/>
  <c r="H4500" i="61"/>
  <c r="H4501" i="61"/>
  <c r="H4502" i="61"/>
  <c r="H4503" i="61"/>
  <c r="H4504" i="61"/>
  <c r="H4505" i="61"/>
  <c r="H4506" i="61"/>
  <c r="H4507" i="61"/>
  <c r="H4508" i="61"/>
  <c r="H4509" i="61"/>
  <c r="H4510" i="61"/>
  <c r="H4511" i="61"/>
  <c r="H4512" i="61"/>
  <c r="H4513" i="61"/>
  <c r="H4514" i="61"/>
  <c r="H4515" i="61"/>
  <c r="H4516" i="61"/>
  <c r="H4517" i="61"/>
  <c r="H4518" i="61"/>
  <c r="H4519" i="61"/>
  <c r="H4520" i="61"/>
  <c r="H4521" i="61"/>
  <c r="H4522" i="61"/>
  <c r="H4523" i="61"/>
  <c r="H4524" i="61"/>
  <c r="H4525" i="61"/>
  <c r="H4526" i="61"/>
  <c r="H4527" i="61"/>
  <c r="H4528" i="61"/>
  <c r="H4529" i="61"/>
  <c r="H4530" i="61"/>
  <c r="H4531" i="61"/>
  <c r="H4532" i="61"/>
  <c r="H4533" i="61"/>
  <c r="H4534" i="61"/>
  <c r="H4535" i="61"/>
  <c r="H4536" i="61"/>
  <c r="H4537" i="61"/>
  <c r="H4538" i="61"/>
  <c r="H4539" i="61"/>
  <c r="H4540" i="61"/>
  <c r="H4541" i="61"/>
  <c r="H4542" i="61"/>
  <c r="H4543" i="61"/>
  <c r="H4544" i="61"/>
  <c r="H4545" i="61"/>
  <c r="H4546" i="61"/>
  <c r="H4547" i="61"/>
  <c r="H4548" i="61"/>
  <c r="H4549" i="61"/>
  <c r="H4550" i="61"/>
  <c r="H4551" i="61"/>
  <c r="H4552" i="61"/>
  <c r="H4553" i="61"/>
  <c r="H4554" i="61"/>
  <c r="H4555" i="61"/>
  <c r="H4556" i="61"/>
  <c r="H4557" i="61"/>
  <c r="H4558" i="61"/>
  <c r="H4559" i="61"/>
  <c r="H4560" i="61"/>
  <c r="H4561" i="61"/>
  <c r="H4562" i="61"/>
  <c r="H4563" i="61"/>
  <c r="H4564" i="61"/>
  <c r="H4565" i="61"/>
  <c r="H4566" i="61"/>
  <c r="H4567" i="61"/>
  <c r="H4568" i="61"/>
  <c r="H4569" i="61"/>
  <c r="H4570" i="61"/>
  <c r="H4571" i="61"/>
  <c r="H4572" i="61"/>
  <c r="H4573" i="61"/>
  <c r="H4574" i="61"/>
  <c r="H4575" i="61"/>
  <c r="H4576" i="61"/>
  <c r="H4577" i="61"/>
  <c r="H4578" i="61"/>
  <c r="H4579" i="61"/>
  <c r="H4580" i="61"/>
  <c r="H4581" i="61"/>
  <c r="H4582" i="61"/>
  <c r="H4583" i="61"/>
  <c r="H4584" i="61"/>
  <c r="H4585" i="61"/>
  <c r="H4586" i="61"/>
  <c r="H4587" i="61"/>
  <c r="H4588" i="61"/>
  <c r="H4589" i="61"/>
  <c r="H4590" i="61"/>
  <c r="H4591" i="61"/>
  <c r="H4592" i="61"/>
  <c r="H4593" i="61"/>
  <c r="H4594" i="61"/>
  <c r="H4595" i="61"/>
  <c r="H4596" i="61"/>
  <c r="H4597" i="61"/>
  <c r="H4598" i="61"/>
  <c r="H4599" i="61"/>
  <c r="H4600" i="61"/>
  <c r="H4601" i="61"/>
  <c r="H4602" i="61"/>
  <c r="H4603" i="61"/>
  <c r="H4604" i="61"/>
  <c r="H4605" i="61"/>
  <c r="H4606" i="61"/>
  <c r="H4607" i="61"/>
  <c r="H4608" i="61"/>
  <c r="H4609" i="61"/>
  <c r="H4610" i="61"/>
  <c r="H4611" i="61"/>
  <c r="H4612" i="61"/>
  <c r="H4613" i="61"/>
  <c r="H4614" i="61"/>
  <c r="H4615" i="61"/>
  <c r="H4616" i="61"/>
  <c r="H4617" i="61"/>
  <c r="H4618" i="61"/>
  <c r="H4619" i="61"/>
  <c r="H4620" i="61"/>
  <c r="H4621" i="61"/>
  <c r="H4622" i="61"/>
  <c r="H4623" i="61"/>
  <c r="H4624" i="61"/>
  <c r="H4625" i="61"/>
  <c r="H4626" i="61"/>
  <c r="H4627" i="61"/>
  <c r="H4628" i="61"/>
  <c r="H4629" i="61"/>
  <c r="H4630" i="61"/>
  <c r="H4631" i="61"/>
  <c r="H4632" i="61"/>
  <c r="H4633" i="61"/>
  <c r="H4634" i="61"/>
  <c r="H4635" i="61"/>
  <c r="H4636" i="61"/>
  <c r="H4637" i="61"/>
  <c r="H4638" i="61"/>
  <c r="H4639" i="61"/>
  <c r="H4640" i="61"/>
  <c r="H4641" i="61"/>
  <c r="H4642" i="61"/>
  <c r="H4643" i="61"/>
  <c r="H4644" i="61"/>
  <c r="H4645" i="61"/>
  <c r="H4646" i="61"/>
  <c r="H4647" i="61"/>
  <c r="H4648" i="61"/>
  <c r="H4649" i="61"/>
  <c r="H4650" i="61"/>
  <c r="H4651" i="61"/>
  <c r="H4652" i="61"/>
  <c r="H4653" i="61"/>
  <c r="H4654" i="61"/>
  <c r="H4655" i="61"/>
  <c r="H4656" i="61"/>
  <c r="H4657" i="61"/>
  <c r="H4658" i="61"/>
  <c r="H4659" i="61"/>
  <c r="H4660" i="61"/>
  <c r="H4661" i="61"/>
  <c r="H4662" i="61"/>
  <c r="H4663" i="61"/>
  <c r="H4664" i="61"/>
  <c r="H4665" i="61"/>
  <c r="H4666" i="61"/>
  <c r="H4667" i="61"/>
  <c r="H4668" i="61"/>
  <c r="H4669" i="61"/>
  <c r="H4670" i="61"/>
  <c r="H4671" i="61"/>
  <c r="H4672" i="61"/>
  <c r="H4673" i="61"/>
  <c r="H4674" i="61"/>
  <c r="H4675" i="61"/>
  <c r="H4676" i="61"/>
  <c r="H4677" i="61"/>
  <c r="H4678" i="61"/>
  <c r="H4679" i="61"/>
  <c r="H4680" i="61"/>
  <c r="H4681" i="61"/>
  <c r="H4682" i="61"/>
  <c r="H4683" i="61"/>
  <c r="H4684" i="61"/>
  <c r="H4685" i="61"/>
  <c r="H4686" i="61"/>
  <c r="H4687" i="61"/>
  <c r="H4688" i="61"/>
  <c r="H4689" i="61"/>
  <c r="H4690" i="61"/>
  <c r="H4691" i="61"/>
  <c r="H4692" i="61"/>
  <c r="H4693" i="61"/>
  <c r="H4694" i="61"/>
  <c r="H4695" i="61"/>
  <c r="H4696" i="61"/>
  <c r="H4697" i="61"/>
  <c r="H4698" i="61"/>
  <c r="H4699" i="61"/>
  <c r="H4700" i="61"/>
  <c r="H4701" i="61"/>
  <c r="H4702" i="61"/>
  <c r="H4703" i="61"/>
  <c r="H4704" i="61"/>
  <c r="H4705" i="61"/>
  <c r="H4706" i="61"/>
  <c r="H4707" i="61"/>
  <c r="H4708" i="61"/>
  <c r="H4709" i="61"/>
  <c r="H4710" i="61"/>
  <c r="H4711" i="61"/>
  <c r="H4712" i="61"/>
  <c r="H4713" i="61"/>
  <c r="H4714" i="61"/>
  <c r="H4715" i="61"/>
  <c r="H4716" i="61"/>
  <c r="H4717" i="61"/>
  <c r="H4718" i="61"/>
  <c r="H4719" i="61"/>
  <c r="H4720" i="61"/>
  <c r="H4721" i="61"/>
  <c r="H4722" i="61"/>
  <c r="H4723" i="61"/>
  <c r="H4724" i="61"/>
  <c r="H4725" i="61"/>
  <c r="H4726" i="61"/>
  <c r="H4727" i="61"/>
  <c r="H4728" i="61"/>
  <c r="H4729" i="61"/>
  <c r="H4730" i="61"/>
  <c r="H4731" i="61"/>
  <c r="H4732" i="61"/>
  <c r="H4733" i="61"/>
  <c r="H4734" i="61"/>
  <c r="H4735" i="61"/>
  <c r="H4736" i="61"/>
  <c r="H4737" i="61"/>
  <c r="H4738" i="61"/>
  <c r="H4739" i="61"/>
  <c r="H4740" i="61"/>
  <c r="H4741" i="61"/>
  <c r="H4742" i="61"/>
  <c r="H4743" i="61"/>
  <c r="H4744" i="61"/>
  <c r="H4745" i="61"/>
  <c r="H4746" i="61"/>
  <c r="H4747" i="61"/>
  <c r="H4748" i="61"/>
  <c r="H4749" i="61"/>
  <c r="H4750" i="61"/>
  <c r="H4751" i="61"/>
  <c r="H4752" i="61"/>
  <c r="H4753" i="61"/>
  <c r="H4754" i="61"/>
  <c r="H4755" i="61"/>
  <c r="H4756" i="61"/>
  <c r="H4757" i="61"/>
  <c r="H4758" i="61"/>
  <c r="H4759" i="61"/>
  <c r="H4760" i="61"/>
  <c r="H4761" i="61"/>
  <c r="H4762" i="61"/>
  <c r="H4763" i="61"/>
  <c r="H4764" i="61"/>
  <c r="H4765" i="61"/>
  <c r="H4766" i="61"/>
  <c r="H4767" i="61"/>
  <c r="H4768" i="61"/>
  <c r="H4769" i="61"/>
  <c r="H4770" i="61"/>
  <c r="H4771" i="61"/>
  <c r="H4772" i="61"/>
  <c r="H4773" i="61"/>
  <c r="H4774" i="61"/>
  <c r="H4775" i="61"/>
  <c r="H4776" i="61"/>
  <c r="H4777" i="61"/>
  <c r="H4778" i="61"/>
  <c r="H4779" i="61"/>
  <c r="H4780" i="61"/>
  <c r="H4781" i="61"/>
  <c r="H4782" i="61"/>
  <c r="H4783" i="61"/>
  <c r="H4784" i="61"/>
  <c r="H4785" i="61"/>
  <c r="H4786" i="61"/>
  <c r="H4787" i="61"/>
  <c r="H4788" i="61"/>
  <c r="H4789" i="61"/>
  <c r="H4790" i="61"/>
  <c r="H4791" i="61"/>
  <c r="H4792" i="61"/>
  <c r="H4793" i="61"/>
  <c r="H4794" i="61"/>
  <c r="H4795" i="61"/>
  <c r="H4796" i="61"/>
  <c r="H4797" i="61"/>
  <c r="H4798" i="61"/>
  <c r="H4799" i="61"/>
  <c r="H4800" i="61"/>
  <c r="H4801" i="61"/>
  <c r="H4802" i="61"/>
  <c r="H4803" i="61"/>
  <c r="H4804" i="61"/>
  <c r="H4805" i="61"/>
  <c r="H4806" i="61"/>
  <c r="H4807" i="61"/>
  <c r="H4808" i="61"/>
  <c r="H4809" i="61"/>
  <c r="H4810" i="61"/>
  <c r="H4811" i="61"/>
  <c r="H4812" i="61"/>
  <c r="H4813" i="61"/>
  <c r="H4814" i="61"/>
  <c r="H4815" i="61"/>
  <c r="H4816" i="61"/>
  <c r="H4817" i="61"/>
  <c r="H4818" i="61"/>
  <c r="H4819" i="61"/>
  <c r="H4820" i="61"/>
  <c r="H4821" i="61"/>
  <c r="H4822" i="61"/>
  <c r="H4823" i="61"/>
  <c r="H4824" i="61"/>
  <c r="H4825" i="61"/>
  <c r="H4826" i="61"/>
  <c r="H4827" i="61"/>
  <c r="H4828" i="61"/>
  <c r="H4829" i="61"/>
  <c r="H4830" i="61"/>
  <c r="H4831" i="61"/>
  <c r="H4832" i="61"/>
  <c r="H4833" i="61"/>
  <c r="H4834" i="61"/>
  <c r="H4835" i="61"/>
  <c r="H4836" i="61"/>
  <c r="H4837" i="61"/>
  <c r="H4838" i="61"/>
  <c r="H4839" i="61"/>
  <c r="H4840" i="61"/>
  <c r="H4841" i="61"/>
  <c r="H4842" i="61"/>
  <c r="H4843" i="61"/>
  <c r="H4844" i="61"/>
  <c r="H4845" i="61"/>
  <c r="H4846" i="61"/>
  <c r="H4847" i="61"/>
  <c r="H4848" i="61"/>
  <c r="H4849" i="61"/>
  <c r="H4850" i="61"/>
  <c r="H4851" i="61"/>
  <c r="H4852" i="61"/>
  <c r="H4853" i="61"/>
  <c r="H4854" i="61"/>
  <c r="H4855" i="61"/>
  <c r="H4856" i="61"/>
  <c r="H4857" i="61"/>
  <c r="H4858" i="61"/>
  <c r="H4859" i="61"/>
  <c r="H4860" i="61"/>
  <c r="H4861" i="61"/>
  <c r="H4862" i="61"/>
  <c r="H4863" i="61"/>
  <c r="H4864" i="61"/>
  <c r="H4865" i="61"/>
  <c r="H4866" i="61"/>
  <c r="H4867" i="61"/>
  <c r="H4868" i="61"/>
  <c r="H4869" i="61"/>
  <c r="H4870" i="61"/>
  <c r="H4871" i="61"/>
  <c r="H4872" i="61"/>
  <c r="H4873" i="61"/>
  <c r="H4874" i="61"/>
  <c r="H4875" i="61"/>
  <c r="H4876" i="61"/>
  <c r="H4877" i="61"/>
  <c r="H4878" i="61"/>
  <c r="H4879" i="61"/>
  <c r="H4880" i="61"/>
  <c r="H4881" i="61"/>
  <c r="H4882" i="61"/>
  <c r="H4883" i="61"/>
  <c r="H4884" i="61"/>
  <c r="H4885" i="61"/>
  <c r="H4886" i="61"/>
  <c r="H4887" i="61"/>
  <c r="H4888" i="61"/>
  <c r="H4889" i="61"/>
  <c r="H4890" i="61"/>
  <c r="H4891" i="61"/>
  <c r="H4892" i="61"/>
  <c r="H4893" i="61"/>
  <c r="H4894" i="61"/>
  <c r="H4895" i="61"/>
  <c r="H4896" i="61"/>
  <c r="H4897" i="61"/>
  <c r="H4898" i="61"/>
  <c r="H4899" i="61"/>
  <c r="H4900" i="61"/>
  <c r="H4901" i="61"/>
  <c r="H4902" i="61"/>
  <c r="H4903" i="61"/>
  <c r="H4904" i="61"/>
  <c r="H4905" i="61"/>
  <c r="H4906" i="61"/>
  <c r="H4907" i="61"/>
  <c r="H4908" i="61"/>
  <c r="H4909" i="61"/>
  <c r="H4910" i="61"/>
  <c r="H4911" i="61"/>
  <c r="H4912" i="61"/>
  <c r="H4913" i="61"/>
  <c r="H4914" i="61"/>
  <c r="H4915" i="61"/>
  <c r="H4916" i="61"/>
  <c r="H4917" i="61"/>
  <c r="H4918" i="61"/>
  <c r="H4919" i="61"/>
  <c r="H4920" i="61"/>
  <c r="H4921" i="61"/>
  <c r="H4922" i="61"/>
  <c r="H4923" i="61"/>
  <c r="H4924" i="61"/>
  <c r="H4925" i="61"/>
  <c r="H4926" i="61"/>
  <c r="H4927" i="61"/>
  <c r="H4928" i="61"/>
  <c r="H4929" i="61"/>
  <c r="H4930" i="61"/>
  <c r="H4931" i="61"/>
  <c r="H4932" i="61"/>
  <c r="H4933" i="61"/>
  <c r="H4934" i="61"/>
  <c r="H4935" i="61"/>
  <c r="H4936" i="61"/>
  <c r="H4937" i="61"/>
  <c r="H4938" i="61"/>
  <c r="H4939" i="61"/>
  <c r="H4940" i="61"/>
  <c r="H4941" i="61"/>
  <c r="H4942" i="61"/>
  <c r="H4943" i="61"/>
  <c r="H4944" i="61"/>
  <c r="H4945" i="61"/>
  <c r="H4946" i="61"/>
  <c r="H4947" i="61"/>
  <c r="H4948" i="61"/>
  <c r="H4949" i="61"/>
  <c r="H4950" i="61"/>
  <c r="H4951" i="61"/>
  <c r="H4952" i="61"/>
  <c r="H4953" i="61"/>
  <c r="H4954" i="61"/>
  <c r="H4955" i="61"/>
  <c r="H4956" i="61"/>
  <c r="H4957" i="61"/>
  <c r="H4958" i="61"/>
  <c r="H4959" i="61"/>
  <c r="H4960" i="61"/>
  <c r="H4961" i="61"/>
  <c r="H4962" i="61"/>
  <c r="H4963" i="61"/>
  <c r="H4964" i="61"/>
  <c r="H4965" i="61"/>
  <c r="H4966" i="61"/>
  <c r="H4967" i="61"/>
  <c r="H4968" i="61"/>
  <c r="H4969" i="61"/>
  <c r="H4970" i="61"/>
  <c r="H4971" i="61"/>
  <c r="H4972" i="61"/>
  <c r="H4973" i="61"/>
  <c r="H4974" i="61"/>
  <c r="H4975" i="61"/>
  <c r="H4976" i="61"/>
  <c r="H4977" i="61"/>
  <c r="H4978" i="61"/>
  <c r="H4979" i="61"/>
  <c r="H4980" i="61"/>
  <c r="H4981" i="61"/>
  <c r="H4982" i="61"/>
  <c r="H4983" i="61"/>
  <c r="H4984" i="61"/>
  <c r="H4985" i="61"/>
  <c r="H4986" i="61"/>
  <c r="H4987" i="61"/>
  <c r="H4988" i="61"/>
  <c r="H4989" i="61"/>
  <c r="H4990" i="61"/>
  <c r="H4991" i="61"/>
  <c r="H4992" i="61"/>
  <c r="H4993" i="61"/>
  <c r="H4994" i="61"/>
  <c r="H4995" i="61"/>
  <c r="H4996" i="61"/>
  <c r="H4997" i="61"/>
  <c r="H4998" i="61"/>
  <c r="H4999" i="61"/>
  <c r="H5000" i="61"/>
  <c r="H2" i="61"/>
  <c r="I5000" i="61"/>
  <c r="I4999" i="61"/>
  <c r="I4998" i="61"/>
  <c r="I4997" i="61"/>
  <c r="I4996" i="61"/>
  <c r="I4995" i="61"/>
  <c r="I4994" i="61"/>
  <c r="I4993" i="61"/>
  <c r="I4992" i="61"/>
  <c r="I4991" i="61"/>
  <c r="I4990" i="61"/>
  <c r="I4989" i="61"/>
  <c r="I4988" i="61"/>
  <c r="I4987" i="61"/>
  <c r="I4986" i="61"/>
  <c r="I4985" i="61"/>
  <c r="I4984" i="61"/>
  <c r="I4983" i="61"/>
  <c r="I4982" i="61"/>
  <c r="I4981" i="61"/>
  <c r="I4980" i="61"/>
  <c r="I4979" i="61"/>
  <c r="I4978" i="61"/>
  <c r="I4977" i="61"/>
  <c r="I4976" i="61"/>
  <c r="I4975" i="61"/>
  <c r="I4974" i="61"/>
  <c r="I4973" i="61"/>
  <c r="I4972" i="61"/>
  <c r="I4971" i="61"/>
  <c r="I4970" i="61"/>
  <c r="I4969" i="61"/>
  <c r="I4968" i="61"/>
  <c r="I4967" i="61"/>
  <c r="I4966" i="61"/>
  <c r="I4965" i="61"/>
  <c r="I4964" i="61"/>
  <c r="I4963" i="61"/>
  <c r="I4962" i="61"/>
  <c r="I4961" i="61"/>
  <c r="I4960" i="61"/>
  <c r="I4959" i="61"/>
  <c r="I4958" i="61"/>
  <c r="I4957" i="61"/>
  <c r="I4956" i="61"/>
  <c r="I4955" i="61"/>
  <c r="I4954" i="61"/>
  <c r="I4953" i="61"/>
  <c r="I4952" i="61"/>
  <c r="I4951" i="61"/>
  <c r="I4950" i="61"/>
  <c r="I4949" i="61"/>
  <c r="I4948" i="61"/>
  <c r="I4947" i="61"/>
  <c r="I4946" i="61"/>
  <c r="I4945" i="61"/>
  <c r="I4944" i="61"/>
  <c r="I4943" i="61"/>
  <c r="I4942" i="61"/>
  <c r="I4941" i="61"/>
  <c r="I4940" i="61"/>
  <c r="I4939" i="61"/>
  <c r="I4938" i="61"/>
  <c r="I4937" i="61"/>
  <c r="I4936" i="61"/>
  <c r="I4935" i="61"/>
  <c r="I4934" i="61"/>
  <c r="I4933" i="61"/>
  <c r="I4932" i="61"/>
  <c r="I4931" i="61"/>
  <c r="I4930" i="61"/>
  <c r="I4929" i="61"/>
  <c r="I4928" i="61"/>
  <c r="I4927" i="61"/>
  <c r="I4926" i="61"/>
  <c r="I4925" i="61"/>
  <c r="I4924" i="61"/>
  <c r="I4923" i="61"/>
  <c r="I4922" i="61"/>
  <c r="I4921" i="61"/>
  <c r="I4920" i="61"/>
  <c r="I4919" i="61"/>
  <c r="I4918" i="61"/>
  <c r="I4917" i="61"/>
  <c r="I4916" i="61"/>
  <c r="I4915" i="61"/>
  <c r="I4914" i="61"/>
  <c r="I4913" i="61"/>
  <c r="I4912" i="61"/>
  <c r="I4911" i="61"/>
  <c r="I4910" i="61"/>
  <c r="I4909" i="61"/>
  <c r="I4908" i="61"/>
  <c r="I4907" i="61"/>
  <c r="I4906" i="61"/>
  <c r="I4905" i="61"/>
  <c r="I4904" i="61"/>
  <c r="I4903" i="61"/>
  <c r="I4902" i="61"/>
  <c r="I4901" i="61"/>
  <c r="I4900" i="61"/>
  <c r="I4899" i="61"/>
  <c r="I4898" i="61"/>
  <c r="I4897" i="61"/>
  <c r="I4896" i="61"/>
  <c r="I4895" i="61"/>
  <c r="I4894" i="61"/>
  <c r="I4893" i="61"/>
  <c r="I4892" i="61"/>
  <c r="I4891" i="61"/>
  <c r="I4890" i="61"/>
  <c r="I4889" i="61"/>
  <c r="I4888" i="61"/>
  <c r="I4887" i="61"/>
  <c r="I4886" i="61"/>
  <c r="I4885" i="61"/>
  <c r="I4884" i="61"/>
  <c r="I4883" i="61"/>
  <c r="I4882" i="61"/>
  <c r="I4881" i="61"/>
  <c r="I4880" i="61"/>
  <c r="I4879" i="61"/>
  <c r="I4878" i="61"/>
  <c r="I4877" i="61"/>
  <c r="I4876" i="61"/>
  <c r="I4875" i="61"/>
  <c r="I4874" i="61"/>
  <c r="I4873" i="61"/>
  <c r="I4872" i="61"/>
  <c r="I4871" i="61"/>
  <c r="I4870" i="61"/>
  <c r="I4869" i="61"/>
  <c r="I4868" i="61"/>
  <c r="I4867" i="61"/>
  <c r="I4866" i="61"/>
  <c r="I4865" i="61"/>
  <c r="I4864" i="61"/>
  <c r="I4863" i="61"/>
  <c r="I4862" i="61"/>
  <c r="I4861" i="61"/>
  <c r="I4860" i="61"/>
  <c r="I4859" i="61"/>
  <c r="I4858" i="61"/>
  <c r="I4857" i="61"/>
  <c r="I4856" i="61"/>
  <c r="I4855" i="61"/>
  <c r="I4854" i="61"/>
  <c r="I4853" i="61"/>
  <c r="I4852" i="61"/>
  <c r="I4851" i="61"/>
  <c r="I4850" i="61"/>
  <c r="I4849" i="61"/>
  <c r="I4848" i="61"/>
  <c r="I4847" i="61"/>
  <c r="I4846" i="61"/>
  <c r="I4845" i="61"/>
  <c r="I4844" i="61"/>
  <c r="I4843" i="61"/>
  <c r="I4842" i="61"/>
  <c r="I4841" i="61"/>
  <c r="I4840" i="61"/>
  <c r="I4839" i="61"/>
  <c r="I4838" i="61"/>
  <c r="I4837" i="61"/>
  <c r="I4836" i="61"/>
  <c r="I4835" i="61"/>
  <c r="I4834" i="61"/>
  <c r="I4833" i="61"/>
  <c r="I4832" i="61"/>
  <c r="I4831" i="61"/>
  <c r="I4830" i="61"/>
  <c r="I4829" i="61"/>
  <c r="I4828" i="61"/>
  <c r="I4827" i="61"/>
  <c r="I4826" i="61"/>
  <c r="I4825" i="61"/>
  <c r="I4824" i="61"/>
  <c r="I4823" i="61"/>
  <c r="I4822" i="61"/>
  <c r="I4821" i="61"/>
  <c r="I4820" i="61"/>
  <c r="I4819" i="61"/>
  <c r="I4818" i="61"/>
  <c r="I4817" i="61"/>
  <c r="I4816" i="61"/>
  <c r="I4815" i="61"/>
  <c r="I4814" i="61"/>
  <c r="I4813" i="61"/>
  <c r="I4812" i="61"/>
  <c r="I4811" i="61"/>
  <c r="I4810" i="61"/>
  <c r="I4809" i="61"/>
  <c r="I4808" i="61"/>
  <c r="I4807" i="61"/>
  <c r="I4806" i="61"/>
  <c r="I4805" i="61"/>
  <c r="I4804" i="61"/>
  <c r="I4803" i="61"/>
  <c r="I4802" i="61"/>
  <c r="I4801" i="61"/>
  <c r="I4800" i="61"/>
  <c r="I4799" i="61"/>
  <c r="I4798" i="61"/>
  <c r="I4797" i="61"/>
  <c r="I4796" i="61"/>
  <c r="I4795" i="61"/>
  <c r="I4794" i="61"/>
  <c r="I4793" i="61"/>
  <c r="I4792" i="61"/>
  <c r="I4791" i="61"/>
  <c r="I4790" i="61"/>
  <c r="I4789" i="61"/>
  <c r="I4788" i="61"/>
  <c r="I4787" i="61"/>
  <c r="I4786" i="61"/>
  <c r="I4785" i="61"/>
  <c r="I4784" i="61"/>
  <c r="I4783" i="61"/>
  <c r="I4782" i="61"/>
  <c r="I4781" i="61"/>
  <c r="I4780" i="61"/>
  <c r="I4779" i="61"/>
  <c r="I4778" i="61"/>
  <c r="I4777" i="61"/>
  <c r="I4776" i="61"/>
  <c r="I4775" i="61"/>
  <c r="I4774" i="61"/>
  <c r="I4773" i="61"/>
  <c r="I4772" i="61"/>
  <c r="I4771" i="61"/>
  <c r="I4770" i="61"/>
  <c r="I4769" i="61"/>
  <c r="I4768" i="61"/>
  <c r="I4767" i="61"/>
  <c r="I4766" i="61"/>
  <c r="I4765" i="61"/>
  <c r="I4764" i="61"/>
  <c r="I4763" i="61"/>
  <c r="I4762" i="61"/>
  <c r="I4761" i="61"/>
  <c r="I4760" i="61"/>
  <c r="I4759" i="61"/>
  <c r="I4758" i="61"/>
  <c r="I4757" i="61"/>
  <c r="I4756" i="61"/>
  <c r="I4755" i="61"/>
  <c r="I4754" i="61"/>
  <c r="I4753" i="61"/>
  <c r="I4752" i="61"/>
  <c r="I4751" i="61"/>
  <c r="I4750" i="61"/>
  <c r="I4749" i="61"/>
  <c r="I4748" i="61"/>
  <c r="I4747" i="61"/>
  <c r="I4746" i="61"/>
  <c r="I4745" i="61"/>
  <c r="I4744" i="61"/>
  <c r="I4743" i="61"/>
  <c r="I4742" i="61"/>
  <c r="I4741" i="61"/>
  <c r="I4740" i="61"/>
  <c r="I4739" i="61"/>
  <c r="I4738" i="61"/>
  <c r="I4737" i="61"/>
  <c r="I4736" i="61"/>
  <c r="I4735" i="61"/>
  <c r="I4734" i="61"/>
  <c r="I4733" i="61"/>
  <c r="I4732" i="61"/>
  <c r="I4731" i="61"/>
  <c r="I4730" i="61"/>
  <c r="I4729" i="61"/>
  <c r="I4728" i="61"/>
  <c r="I4727" i="61"/>
  <c r="I4726" i="61"/>
  <c r="I4725" i="61"/>
  <c r="I4724" i="61"/>
  <c r="I4723" i="61"/>
  <c r="I4722" i="61"/>
  <c r="I4721" i="61"/>
  <c r="I4720" i="61"/>
  <c r="I4719" i="61"/>
  <c r="I4718" i="61"/>
  <c r="I4717" i="61"/>
  <c r="I4716" i="61"/>
  <c r="I4715" i="61"/>
  <c r="I4714" i="61"/>
  <c r="I4713" i="61"/>
  <c r="I4712" i="61"/>
  <c r="I4711" i="61"/>
  <c r="I4710" i="61"/>
  <c r="I4709" i="61"/>
  <c r="I4708" i="61"/>
  <c r="I4707" i="61"/>
  <c r="I4706" i="61"/>
  <c r="I4705" i="61"/>
  <c r="I4704" i="61"/>
  <c r="I4703" i="61"/>
  <c r="I4702" i="61"/>
  <c r="I4701" i="61"/>
  <c r="I4700" i="61"/>
  <c r="I4699" i="61"/>
  <c r="I4698" i="61"/>
  <c r="I4697" i="61"/>
  <c r="I4696" i="61"/>
  <c r="I4695" i="61"/>
  <c r="I4694" i="61"/>
  <c r="I4693" i="61"/>
  <c r="I4692" i="61"/>
  <c r="I4691" i="61"/>
  <c r="I4690" i="61"/>
  <c r="I4689" i="61"/>
  <c r="I4688" i="61"/>
  <c r="I4687" i="61"/>
  <c r="I4686" i="61"/>
  <c r="I4685" i="61"/>
  <c r="I4684" i="61"/>
  <c r="I4683" i="61"/>
  <c r="I4682" i="61"/>
  <c r="I4681" i="61"/>
  <c r="I4680" i="61"/>
  <c r="I4679" i="61"/>
  <c r="I4678" i="61"/>
  <c r="I4677" i="61"/>
  <c r="I4676" i="61"/>
  <c r="I4675" i="61"/>
  <c r="I4674" i="61"/>
  <c r="I4673" i="61"/>
  <c r="I4672" i="61"/>
  <c r="I4671" i="61"/>
  <c r="I4670" i="61"/>
  <c r="I4669" i="61"/>
  <c r="I4668" i="61"/>
  <c r="I4667" i="61"/>
  <c r="I4666" i="61"/>
  <c r="I4665" i="61"/>
  <c r="I4664" i="61"/>
  <c r="I4663" i="61"/>
  <c r="I4662" i="61"/>
  <c r="I4661" i="61"/>
  <c r="I4660" i="61"/>
  <c r="I4659" i="61"/>
  <c r="I4658" i="61"/>
  <c r="I4657" i="61"/>
  <c r="I4656" i="61"/>
  <c r="I4655" i="61"/>
  <c r="I4654" i="61"/>
  <c r="I4653" i="61"/>
  <c r="I4652" i="61"/>
  <c r="I4651" i="61"/>
  <c r="I4650" i="61"/>
  <c r="I4649" i="61"/>
  <c r="I4648" i="61"/>
  <c r="I4647" i="61"/>
  <c r="I4646" i="61"/>
  <c r="I4645" i="61"/>
  <c r="I4644" i="61"/>
  <c r="I4643" i="61"/>
  <c r="I4642" i="61"/>
  <c r="I4641" i="61"/>
  <c r="I4640" i="61"/>
  <c r="I4639" i="61"/>
  <c r="I4638" i="61"/>
  <c r="I4637" i="61"/>
  <c r="I4636" i="61"/>
  <c r="I4635" i="61"/>
  <c r="I4634" i="61"/>
  <c r="I4633" i="61"/>
  <c r="I4632" i="61"/>
  <c r="I4631" i="61"/>
  <c r="I4630" i="61"/>
  <c r="I4629" i="61"/>
  <c r="I4628" i="61"/>
  <c r="I4627" i="61"/>
  <c r="I4626" i="61"/>
  <c r="I4625" i="61"/>
  <c r="I4624" i="61"/>
  <c r="I4623" i="61"/>
  <c r="I4622" i="61"/>
  <c r="I4621" i="61"/>
  <c r="I4620" i="61"/>
  <c r="I4619" i="61"/>
  <c r="I4618" i="61"/>
  <c r="I4617" i="61"/>
  <c r="I4616" i="61"/>
  <c r="I4615" i="61"/>
  <c r="I4614" i="61"/>
  <c r="I4613" i="61"/>
  <c r="I4612" i="61"/>
  <c r="I4611" i="61"/>
  <c r="I4610" i="61"/>
  <c r="I4609" i="61"/>
  <c r="I4608" i="61"/>
  <c r="I4607" i="61"/>
  <c r="I4606" i="61"/>
  <c r="I4605" i="61"/>
  <c r="I4604" i="61"/>
  <c r="I4603" i="61"/>
  <c r="I4602" i="61"/>
  <c r="I4601" i="61"/>
  <c r="I4600" i="61"/>
  <c r="I4599" i="61"/>
  <c r="I4598" i="61"/>
  <c r="I4597" i="61"/>
  <c r="I4596" i="61"/>
  <c r="I4595" i="61"/>
  <c r="I4594" i="61"/>
  <c r="I4593" i="61"/>
  <c r="I4592" i="61"/>
  <c r="I4591" i="61"/>
  <c r="I4590" i="61"/>
  <c r="I4589" i="61"/>
  <c r="I4588" i="61"/>
  <c r="I4587" i="61"/>
  <c r="I4586" i="61"/>
  <c r="I4585" i="61"/>
  <c r="I4584" i="61"/>
  <c r="I4583" i="61"/>
  <c r="I4582" i="61"/>
  <c r="I4581" i="61"/>
  <c r="I4580" i="61"/>
  <c r="I4579" i="61"/>
  <c r="I4578" i="61"/>
  <c r="I4577" i="61"/>
  <c r="I4576" i="61"/>
  <c r="I4575" i="61"/>
  <c r="I4574" i="61"/>
  <c r="I4573" i="61"/>
  <c r="I4572" i="61"/>
  <c r="I4571" i="61"/>
  <c r="I4570" i="61"/>
  <c r="I4569" i="61"/>
  <c r="I4568" i="61"/>
  <c r="I4567" i="61"/>
  <c r="I4566" i="61"/>
  <c r="I4565" i="61"/>
  <c r="I4564" i="61"/>
  <c r="I4563" i="61"/>
  <c r="I4562" i="61"/>
  <c r="I4561" i="61"/>
  <c r="I4560" i="61"/>
  <c r="I4559" i="61"/>
  <c r="I4558" i="61"/>
  <c r="I4557" i="61"/>
  <c r="I4556" i="61"/>
  <c r="I4555" i="61"/>
  <c r="I4554" i="61"/>
  <c r="I4553" i="61"/>
  <c r="I4552" i="61"/>
  <c r="I4551" i="61"/>
  <c r="I4550" i="61"/>
  <c r="I4549" i="61"/>
  <c r="I4548" i="61"/>
  <c r="I4547" i="61"/>
  <c r="I4546" i="61"/>
  <c r="I4545" i="61"/>
  <c r="I4544" i="61"/>
  <c r="I4543" i="61"/>
  <c r="I4542" i="61"/>
  <c r="I4541" i="61"/>
  <c r="I4540" i="61"/>
  <c r="I4539" i="61"/>
  <c r="I4538" i="61"/>
  <c r="I4537" i="61"/>
  <c r="I4536" i="61"/>
  <c r="I4535" i="61"/>
  <c r="I4534" i="61"/>
  <c r="I4533" i="61"/>
  <c r="I4532" i="61"/>
  <c r="I4531" i="61"/>
  <c r="I4530" i="61"/>
  <c r="I4529" i="61"/>
  <c r="I4528" i="61"/>
  <c r="I4527" i="61"/>
  <c r="I4526" i="61"/>
  <c r="I4525" i="61"/>
  <c r="I4524" i="61"/>
  <c r="I4523" i="61"/>
  <c r="I4522" i="61"/>
  <c r="I4521" i="61"/>
  <c r="I4520" i="61"/>
  <c r="I4519" i="61"/>
  <c r="I4518" i="61"/>
  <c r="I4517" i="61"/>
  <c r="I4516" i="61"/>
  <c r="I4515" i="61"/>
  <c r="I4514" i="61"/>
  <c r="I4513" i="61"/>
  <c r="I4512" i="61"/>
  <c r="I4511" i="61"/>
  <c r="I4510" i="61"/>
  <c r="I4509" i="61"/>
  <c r="I4508" i="61"/>
  <c r="I4507" i="61"/>
  <c r="I4506" i="61"/>
  <c r="I4505" i="61"/>
  <c r="I4504" i="61"/>
  <c r="I4503" i="61"/>
  <c r="I4502" i="61"/>
  <c r="I4501" i="61"/>
  <c r="I4500" i="61"/>
  <c r="I4499" i="61"/>
  <c r="I4498" i="61"/>
  <c r="I4497" i="61"/>
  <c r="I4496" i="61"/>
  <c r="I4495" i="61"/>
  <c r="I4494" i="61"/>
  <c r="I4493" i="61"/>
  <c r="I4492" i="61"/>
  <c r="I4491" i="61"/>
  <c r="I4490" i="61"/>
  <c r="I4489" i="61"/>
  <c r="I4488" i="61"/>
  <c r="I4487" i="61"/>
  <c r="I4486" i="61"/>
  <c r="I4485" i="61"/>
  <c r="I4484" i="61"/>
  <c r="I4483" i="61"/>
  <c r="I4482" i="61"/>
  <c r="I4481" i="61"/>
  <c r="I4480" i="61"/>
  <c r="I4479" i="61"/>
  <c r="I4478" i="61"/>
  <c r="I4477" i="61"/>
  <c r="I4476" i="61"/>
  <c r="I4475" i="61"/>
  <c r="I4474" i="61"/>
  <c r="I4473" i="61"/>
  <c r="I4472" i="61"/>
  <c r="I4471" i="61"/>
  <c r="I4470" i="61"/>
  <c r="I4469" i="61"/>
  <c r="I4468" i="61"/>
  <c r="I4467" i="61"/>
  <c r="I4466" i="61"/>
  <c r="I4465" i="61"/>
  <c r="I4464" i="61"/>
  <c r="I4463" i="61"/>
  <c r="I4462" i="61"/>
  <c r="I4461" i="61"/>
  <c r="I4460" i="61"/>
  <c r="I4459" i="61"/>
  <c r="I4458" i="61"/>
  <c r="I4457" i="61"/>
  <c r="I4456" i="61"/>
  <c r="I4455" i="61"/>
  <c r="I4454" i="61"/>
  <c r="I4453" i="61"/>
  <c r="I4452" i="61"/>
  <c r="I4451" i="61"/>
  <c r="I4450" i="61"/>
  <c r="I4449" i="61"/>
  <c r="I4448" i="61"/>
  <c r="I4447" i="61"/>
  <c r="I4446" i="61"/>
  <c r="I4445" i="61"/>
  <c r="I4444" i="61"/>
  <c r="I4443" i="61"/>
  <c r="I4442" i="61"/>
  <c r="I4441" i="61"/>
  <c r="I4440" i="61"/>
  <c r="I4439" i="61"/>
  <c r="I4438" i="61"/>
  <c r="I4437" i="61"/>
  <c r="I4436" i="61"/>
  <c r="I4435" i="61"/>
  <c r="I4434" i="61"/>
  <c r="I4433" i="61"/>
  <c r="I4432" i="61"/>
  <c r="I4431" i="61"/>
  <c r="I4430" i="61"/>
  <c r="I4429" i="61"/>
  <c r="I4428" i="61"/>
  <c r="I4427" i="61"/>
  <c r="I4426" i="61"/>
  <c r="I4425" i="61"/>
  <c r="I4424" i="61"/>
  <c r="I4423" i="61"/>
  <c r="I4422" i="61"/>
  <c r="I4421" i="61"/>
  <c r="I4420" i="61"/>
  <c r="I4419" i="61"/>
  <c r="I4418" i="61"/>
  <c r="I4417" i="61"/>
  <c r="I4416" i="61"/>
  <c r="I4415" i="61"/>
  <c r="I4414" i="61"/>
  <c r="I4413" i="61"/>
  <c r="I4412" i="61"/>
  <c r="I4411" i="61"/>
  <c r="I4410" i="61"/>
  <c r="I4409" i="61"/>
  <c r="I4408" i="61"/>
  <c r="I4407" i="61"/>
  <c r="I4406" i="61"/>
  <c r="I4405" i="61"/>
  <c r="I4404" i="61"/>
  <c r="I4403" i="61"/>
  <c r="I4402" i="61"/>
  <c r="I4401" i="61"/>
  <c r="I4400" i="61"/>
  <c r="I4399" i="61"/>
  <c r="I4398" i="61"/>
  <c r="I4397" i="61"/>
  <c r="I4396" i="61"/>
  <c r="I4395" i="61"/>
  <c r="I4394" i="61"/>
  <c r="I4393" i="61"/>
  <c r="I4392" i="61"/>
  <c r="I4391" i="61"/>
  <c r="I4390" i="61"/>
  <c r="I4389" i="61"/>
  <c r="I4388" i="61"/>
  <c r="I4387" i="61"/>
  <c r="I4386" i="61"/>
  <c r="I4385" i="61"/>
  <c r="I4384" i="61"/>
  <c r="I4383" i="61"/>
  <c r="I4382" i="61"/>
  <c r="I4381" i="61"/>
  <c r="I4380" i="61"/>
  <c r="I4379" i="61"/>
  <c r="I4378" i="61"/>
  <c r="I4377" i="61"/>
  <c r="I4376" i="61"/>
  <c r="I4375" i="61"/>
  <c r="I4374" i="61"/>
  <c r="I4373" i="61"/>
  <c r="I4372" i="61"/>
  <c r="I4371" i="61"/>
  <c r="I4370" i="61"/>
  <c r="I4369" i="61"/>
  <c r="I4368" i="61"/>
  <c r="I4367" i="61"/>
  <c r="I4366" i="61"/>
  <c r="I4365" i="61"/>
  <c r="I4364" i="61"/>
  <c r="I4363" i="61"/>
  <c r="I4362" i="61"/>
  <c r="I4361" i="61"/>
  <c r="I4360" i="61"/>
  <c r="I4359" i="61"/>
  <c r="I4358" i="61"/>
  <c r="I4357" i="61"/>
  <c r="I4356" i="61"/>
  <c r="I4355" i="61"/>
  <c r="I4354" i="61"/>
  <c r="I4353" i="61"/>
  <c r="I4352" i="61"/>
  <c r="I4351" i="61"/>
  <c r="I4350" i="61"/>
  <c r="I4349" i="61"/>
  <c r="I4348" i="61"/>
  <c r="I4347" i="61"/>
  <c r="I4346" i="61"/>
  <c r="I4345" i="61"/>
  <c r="I4344" i="61"/>
  <c r="I4343" i="61"/>
  <c r="I4342" i="61"/>
  <c r="I4341" i="61"/>
  <c r="I4340" i="61"/>
  <c r="I4339" i="61"/>
  <c r="I4338" i="61"/>
  <c r="I4337" i="61"/>
  <c r="I4336" i="61"/>
  <c r="I4335" i="61"/>
  <c r="I4334" i="61"/>
  <c r="I4333" i="61"/>
  <c r="I4332" i="61"/>
  <c r="I4331" i="61"/>
  <c r="I4330" i="61"/>
  <c r="I4329" i="61"/>
  <c r="I4328" i="61"/>
  <c r="I4327" i="61"/>
  <c r="I4326" i="61"/>
  <c r="I4325" i="61"/>
  <c r="I4324" i="61"/>
  <c r="I4323" i="61"/>
  <c r="I4322" i="61"/>
  <c r="I4321" i="61"/>
  <c r="I4320" i="61"/>
  <c r="I4319" i="61"/>
  <c r="I4318" i="61"/>
  <c r="I4317" i="61"/>
  <c r="I4316" i="61"/>
  <c r="I4315" i="61"/>
  <c r="I4314" i="61"/>
  <c r="I4313" i="61"/>
  <c r="I4312" i="61"/>
  <c r="I4311" i="61"/>
  <c r="I4310" i="61"/>
  <c r="I4309" i="61"/>
  <c r="I4308" i="61"/>
  <c r="I4307" i="61"/>
  <c r="I4306" i="61"/>
  <c r="I4305" i="61"/>
  <c r="I4304" i="61"/>
  <c r="I4303" i="61"/>
  <c r="I4302" i="61"/>
  <c r="I4301" i="61"/>
  <c r="I4300" i="61"/>
  <c r="I4299" i="61"/>
  <c r="I4298" i="61"/>
  <c r="I4297" i="61"/>
  <c r="I4296" i="61"/>
  <c r="I4295" i="61"/>
  <c r="I4294" i="61"/>
  <c r="I4293" i="61"/>
  <c r="I4292" i="61"/>
  <c r="I4291" i="61"/>
  <c r="I4290" i="61"/>
  <c r="I4289" i="61"/>
  <c r="I4288" i="61"/>
  <c r="I4287" i="61"/>
  <c r="I4286" i="61"/>
  <c r="I4285" i="61"/>
  <c r="I4284" i="61"/>
  <c r="I4283" i="61"/>
  <c r="I4282" i="61"/>
  <c r="I4281" i="61"/>
  <c r="I4280" i="61"/>
  <c r="I4279" i="61"/>
  <c r="I4278" i="61"/>
  <c r="I4277" i="61"/>
  <c r="I4276" i="61"/>
  <c r="I4275" i="61"/>
  <c r="I4274" i="61"/>
  <c r="I4273" i="61"/>
  <c r="I4272" i="61"/>
  <c r="I4271" i="61"/>
  <c r="I4270" i="61"/>
  <c r="I4269" i="61"/>
  <c r="I4268" i="61"/>
  <c r="I4267" i="61"/>
  <c r="I4266" i="61"/>
  <c r="I4265" i="61"/>
  <c r="I4264" i="61"/>
  <c r="I4263" i="61"/>
  <c r="I4262" i="61"/>
  <c r="I4261" i="61"/>
  <c r="I4260" i="61"/>
  <c r="I4259" i="61"/>
  <c r="I4258" i="61"/>
  <c r="I4257" i="61"/>
  <c r="I4256" i="61"/>
  <c r="I4255" i="61"/>
  <c r="I4254" i="61"/>
  <c r="I4253" i="61"/>
  <c r="I4252" i="61"/>
  <c r="I4251" i="61"/>
  <c r="I4250" i="61"/>
  <c r="I4249" i="61"/>
  <c r="I4248" i="61"/>
  <c r="I4247" i="61"/>
  <c r="I4246" i="61"/>
  <c r="I4245" i="61"/>
  <c r="I4244" i="61"/>
  <c r="I4243" i="61"/>
  <c r="I4242" i="61"/>
  <c r="I4241" i="61"/>
  <c r="I4240" i="61"/>
  <c r="I4239" i="61"/>
  <c r="I4238" i="61"/>
  <c r="I4237" i="61"/>
  <c r="I4236" i="61"/>
  <c r="I4235" i="61"/>
  <c r="I4234" i="61"/>
  <c r="I4233" i="61"/>
  <c r="I4232" i="61"/>
  <c r="I4231" i="61"/>
  <c r="I4230" i="61"/>
  <c r="I4229" i="61"/>
  <c r="I4228" i="61"/>
  <c r="I4227" i="61"/>
  <c r="I4226" i="61"/>
  <c r="I4225" i="61"/>
  <c r="I4224" i="61"/>
  <c r="I4223" i="61"/>
  <c r="I4222" i="61"/>
  <c r="I4221" i="61"/>
  <c r="I4220" i="61"/>
  <c r="I4219" i="61"/>
  <c r="I4218" i="61"/>
  <c r="I4217" i="61"/>
  <c r="I4216" i="61"/>
  <c r="I4215" i="61"/>
  <c r="I4214" i="61"/>
  <c r="I4213" i="61"/>
  <c r="I4212" i="61"/>
  <c r="I4211" i="61"/>
  <c r="I4210" i="61"/>
  <c r="I4209" i="61"/>
  <c r="I4208" i="61"/>
  <c r="I4207" i="61"/>
  <c r="I4206" i="61"/>
  <c r="I4205" i="61"/>
  <c r="I4204" i="61"/>
  <c r="I4203" i="61"/>
  <c r="I4202" i="61"/>
  <c r="I4201" i="61"/>
  <c r="I4200" i="61"/>
  <c r="I4199" i="61"/>
  <c r="I4198" i="61"/>
  <c r="I4197" i="61"/>
  <c r="I4196" i="61"/>
  <c r="I4195" i="61"/>
  <c r="I4194" i="61"/>
  <c r="I4193" i="61"/>
  <c r="I4192" i="61"/>
  <c r="I4191" i="61"/>
  <c r="I4190" i="61"/>
  <c r="I4189" i="61"/>
  <c r="I4188" i="61"/>
  <c r="I4187" i="61"/>
  <c r="I4186" i="61"/>
  <c r="I4185" i="61"/>
  <c r="I4184" i="61"/>
  <c r="I4183" i="61"/>
  <c r="I4182" i="61"/>
  <c r="I4181" i="61"/>
  <c r="I4180" i="61"/>
  <c r="I4179" i="61"/>
  <c r="I4178" i="61"/>
  <c r="I4177" i="61"/>
  <c r="I4176" i="61"/>
  <c r="I4175" i="61"/>
  <c r="I4174" i="61"/>
  <c r="I4173" i="61"/>
  <c r="I4172" i="61"/>
  <c r="I4171" i="61"/>
  <c r="I4170" i="61"/>
  <c r="I4169" i="61"/>
  <c r="I4168" i="61"/>
  <c r="I4167" i="61"/>
  <c r="I4166" i="61"/>
  <c r="I4165" i="61"/>
  <c r="I4164" i="61"/>
  <c r="I4163" i="61"/>
  <c r="I4162" i="61"/>
  <c r="I4161" i="61"/>
  <c r="I4160" i="61"/>
  <c r="I4159" i="61"/>
  <c r="I4158" i="61"/>
  <c r="I4157" i="61"/>
  <c r="I4156" i="61"/>
  <c r="I4155" i="61"/>
  <c r="I4154" i="61"/>
  <c r="I4153" i="61"/>
  <c r="I4152" i="61"/>
  <c r="I4151" i="61"/>
  <c r="I4150" i="61"/>
  <c r="I4149" i="61"/>
  <c r="I4148" i="61"/>
  <c r="I4147" i="61"/>
  <c r="I4146" i="61"/>
  <c r="I4145" i="61"/>
  <c r="I4144" i="61"/>
  <c r="I4143" i="61"/>
  <c r="I4142" i="61"/>
  <c r="I4141" i="61"/>
  <c r="I4140" i="61"/>
  <c r="I4139" i="61"/>
  <c r="I4138" i="61"/>
  <c r="I4137" i="61"/>
  <c r="I4136" i="61"/>
  <c r="I4135" i="61"/>
  <c r="I4134" i="61"/>
  <c r="I4133" i="61"/>
  <c r="I4132" i="61"/>
  <c r="I4131" i="61"/>
  <c r="I4130" i="61"/>
  <c r="I4129" i="61"/>
  <c r="I4128" i="61"/>
  <c r="I4127" i="61"/>
  <c r="I4126" i="61"/>
  <c r="I4125" i="61"/>
  <c r="I4124" i="61"/>
  <c r="I4123" i="61"/>
  <c r="I4122" i="61"/>
  <c r="I4121" i="61"/>
  <c r="I4120" i="61"/>
  <c r="I4119" i="61"/>
  <c r="I4118" i="61"/>
  <c r="I4117" i="61"/>
  <c r="I4116" i="61"/>
  <c r="I4115" i="61"/>
  <c r="I4114" i="61"/>
  <c r="I4113" i="61"/>
  <c r="I4112" i="61"/>
  <c r="I4111" i="61"/>
  <c r="I4110" i="61"/>
  <c r="I4109" i="61"/>
  <c r="I4108" i="61"/>
  <c r="I4107" i="61"/>
  <c r="I4106" i="61"/>
  <c r="I4105" i="61"/>
  <c r="I4104" i="61"/>
  <c r="I4103" i="61"/>
  <c r="I4102" i="61"/>
  <c r="I4101" i="61"/>
  <c r="I4100" i="61"/>
  <c r="I4099" i="61"/>
  <c r="I4098" i="61"/>
  <c r="I4097" i="61"/>
  <c r="I4096" i="61"/>
  <c r="I4095" i="61"/>
  <c r="I4094" i="61"/>
  <c r="I4093" i="61"/>
  <c r="I4092" i="61"/>
  <c r="I4091" i="61"/>
  <c r="I4090" i="61"/>
  <c r="I4089" i="61"/>
  <c r="I4088" i="61"/>
  <c r="I4087" i="61"/>
  <c r="I4086" i="61"/>
  <c r="I4085" i="61"/>
  <c r="I4084" i="61"/>
  <c r="I4083" i="61"/>
  <c r="I4082" i="61"/>
  <c r="I4081" i="61"/>
  <c r="I4080" i="61"/>
  <c r="I4079" i="61"/>
  <c r="I4078" i="61"/>
  <c r="I4077" i="61"/>
  <c r="I4076" i="61"/>
  <c r="I4075" i="61"/>
  <c r="I4074" i="61"/>
  <c r="I4073" i="61"/>
  <c r="I4072" i="61"/>
  <c r="I4071" i="61"/>
  <c r="I4070" i="61"/>
  <c r="I4069" i="61"/>
  <c r="I4068" i="61"/>
  <c r="I4067" i="61"/>
  <c r="I4066" i="61"/>
  <c r="I4065" i="61"/>
  <c r="I4064" i="61"/>
  <c r="I4063" i="61"/>
  <c r="I4062" i="61"/>
  <c r="I4061" i="61"/>
  <c r="I4060" i="61"/>
  <c r="I4059" i="61"/>
  <c r="I4058" i="61"/>
  <c r="I4057" i="61"/>
  <c r="I4056" i="61"/>
  <c r="I4055" i="61"/>
  <c r="I4054" i="61"/>
  <c r="I4053" i="61"/>
  <c r="I4052" i="61"/>
  <c r="I4051" i="61"/>
  <c r="I4050" i="61"/>
  <c r="I4049" i="61"/>
  <c r="I4048" i="61"/>
  <c r="I4047" i="61"/>
  <c r="I4046" i="61"/>
  <c r="I4045" i="61"/>
  <c r="I4044" i="61"/>
  <c r="I4043" i="61"/>
  <c r="I4042" i="61"/>
  <c r="I4041" i="61"/>
  <c r="I4040" i="61"/>
  <c r="I4039" i="61"/>
  <c r="I4038" i="61"/>
  <c r="I4037" i="61"/>
  <c r="I4036" i="61"/>
  <c r="I4035" i="61"/>
  <c r="I4034" i="61"/>
  <c r="I4033" i="61"/>
  <c r="I4032" i="61"/>
  <c r="I4031" i="61"/>
  <c r="I4030" i="61"/>
  <c r="I4029" i="61"/>
  <c r="I4028" i="61"/>
  <c r="I4027" i="61"/>
  <c r="I4026" i="61"/>
  <c r="I4025" i="61"/>
  <c r="I4024" i="61"/>
  <c r="I4023" i="61"/>
  <c r="I4022" i="61"/>
  <c r="I4021" i="61"/>
  <c r="I4020" i="61"/>
  <c r="I4019" i="61"/>
  <c r="I4018" i="61"/>
  <c r="I4017" i="61"/>
  <c r="I4016" i="61"/>
  <c r="I4015" i="61"/>
  <c r="I4014" i="61"/>
  <c r="I4013" i="61"/>
  <c r="I4012" i="61"/>
  <c r="I4011" i="61"/>
  <c r="I4010" i="61"/>
  <c r="I4009" i="61"/>
  <c r="I4008" i="61"/>
  <c r="I4007" i="61"/>
  <c r="I4006" i="61"/>
  <c r="I4005" i="61"/>
  <c r="I4004" i="61"/>
  <c r="I4003" i="61"/>
  <c r="I4002" i="61"/>
  <c r="I4001" i="61"/>
  <c r="I4000" i="61"/>
  <c r="I3999" i="61"/>
  <c r="I3998" i="61"/>
  <c r="I3997" i="61"/>
  <c r="I3996" i="61"/>
  <c r="I3995" i="61"/>
  <c r="I3994" i="61"/>
  <c r="I3993" i="61"/>
  <c r="I3992" i="61"/>
  <c r="I3991" i="61"/>
  <c r="I3990" i="61"/>
  <c r="I3989" i="61"/>
  <c r="I3988" i="61"/>
  <c r="I3987" i="61"/>
  <c r="I3986" i="61"/>
  <c r="I3985" i="61"/>
  <c r="I3984" i="61"/>
  <c r="I3983" i="61"/>
  <c r="I3982" i="61"/>
  <c r="I3981" i="61"/>
  <c r="I3980" i="61"/>
  <c r="I3979" i="61"/>
  <c r="I3978" i="61"/>
  <c r="I3977" i="61"/>
  <c r="I3976" i="61"/>
  <c r="I3975" i="61"/>
  <c r="I3974" i="61"/>
  <c r="I3973" i="61"/>
  <c r="I3972" i="61"/>
  <c r="I3971" i="61"/>
  <c r="I3970" i="61"/>
  <c r="I3969" i="61"/>
  <c r="I3968" i="61"/>
  <c r="I3967" i="61"/>
  <c r="I3966" i="61"/>
  <c r="I3965" i="61"/>
  <c r="I3964" i="61"/>
  <c r="I3963" i="61"/>
  <c r="I3962" i="61"/>
  <c r="I3961" i="61"/>
  <c r="I3960" i="61"/>
  <c r="I3959" i="61"/>
  <c r="I3958" i="61"/>
  <c r="I3957" i="61"/>
  <c r="I3956" i="61"/>
  <c r="I3955" i="61"/>
  <c r="I3954" i="61"/>
  <c r="I3953" i="61"/>
  <c r="I3952" i="61"/>
  <c r="I3951" i="61"/>
  <c r="I3950" i="61"/>
  <c r="I3949" i="61"/>
  <c r="I3948" i="61"/>
  <c r="I3947" i="61"/>
  <c r="I3946" i="61"/>
  <c r="I3945" i="61"/>
  <c r="I3944" i="61"/>
  <c r="I3943" i="61"/>
  <c r="I3942" i="61"/>
  <c r="I3941" i="61"/>
  <c r="I3940" i="61"/>
  <c r="I3939" i="61"/>
  <c r="I3938" i="61"/>
  <c r="I3937" i="61"/>
  <c r="I3936" i="61"/>
  <c r="I3935" i="61"/>
  <c r="I3934" i="61"/>
  <c r="I3933" i="61"/>
  <c r="I3932" i="61"/>
  <c r="I3931" i="61"/>
  <c r="I3930" i="61"/>
  <c r="I3929" i="61"/>
  <c r="I3928" i="61"/>
  <c r="I3927" i="61"/>
  <c r="I3926" i="61"/>
  <c r="I3925" i="61"/>
  <c r="I3924" i="61"/>
  <c r="I3923" i="61"/>
  <c r="I3922" i="61"/>
  <c r="I3921" i="61"/>
  <c r="I3920" i="61"/>
  <c r="I3919" i="61"/>
  <c r="I3918" i="61"/>
  <c r="I3917" i="61"/>
  <c r="I3916" i="61"/>
  <c r="I3915" i="61"/>
  <c r="I3914" i="61"/>
  <c r="I3913" i="61"/>
  <c r="I3912" i="61"/>
  <c r="I3911" i="61"/>
  <c r="I3910" i="61"/>
  <c r="I3909" i="61"/>
  <c r="I3908" i="61"/>
  <c r="I3907" i="61"/>
  <c r="I3906" i="61"/>
  <c r="I3905" i="61"/>
  <c r="I3904" i="61"/>
  <c r="I3903" i="61"/>
  <c r="I3902" i="61"/>
  <c r="I3901" i="61"/>
  <c r="I3900" i="61"/>
  <c r="I3899" i="61"/>
  <c r="I3898" i="61"/>
  <c r="I3897" i="61"/>
  <c r="I3896" i="61"/>
  <c r="I3895" i="61"/>
  <c r="I3894" i="61"/>
  <c r="I3893" i="61"/>
  <c r="I3892" i="61"/>
  <c r="I3891" i="61"/>
  <c r="I3890" i="61"/>
  <c r="I3889" i="61"/>
  <c r="I3888" i="61"/>
  <c r="I3887" i="61"/>
  <c r="I3886" i="61"/>
  <c r="I3885" i="61"/>
  <c r="I3884" i="61"/>
  <c r="I3883" i="61"/>
  <c r="I3882" i="61"/>
  <c r="I3881" i="61"/>
  <c r="I3880" i="61"/>
  <c r="I3879" i="61"/>
  <c r="I3878" i="61"/>
  <c r="I3877" i="61"/>
  <c r="I3876" i="61"/>
  <c r="I3875" i="61"/>
  <c r="I3874" i="61"/>
  <c r="I3873" i="61"/>
  <c r="I3872" i="61"/>
  <c r="I3871" i="61"/>
  <c r="I3870" i="61"/>
  <c r="I3869" i="61"/>
  <c r="I3868" i="61"/>
  <c r="I3867" i="61"/>
  <c r="I3866" i="61"/>
  <c r="I3865" i="61"/>
  <c r="I3864" i="61"/>
  <c r="I3863" i="61"/>
  <c r="I3862" i="61"/>
  <c r="I3861" i="61"/>
  <c r="I3860" i="61"/>
  <c r="I3859" i="61"/>
  <c r="I3858" i="61"/>
  <c r="I3857" i="61"/>
  <c r="I3856" i="61"/>
  <c r="I3855" i="61"/>
  <c r="I3854" i="61"/>
  <c r="I3853" i="61"/>
  <c r="I3852" i="61"/>
  <c r="I3851" i="61"/>
  <c r="I3850" i="61"/>
  <c r="I3849" i="61"/>
  <c r="I3848" i="61"/>
  <c r="I3847" i="61"/>
  <c r="I3846" i="61"/>
  <c r="I3845" i="61"/>
  <c r="I3844" i="61"/>
  <c r="I3843" i="61"/>
  <c r="I3842" i="61"/>
  <c r="I3841" i="61"/>
  <c r="I3840" i="61"/>
  <c r="I3839" i="61"/>
  <c r="I3838" i="61"/>
  <c r="I3837" i="61"/>
  <c r="I3836" i="61"/>
  <c r="I3835" i="61"/>
  <c r="I3834" i="61"/>
  <c r="I3833" i="61"/>
  <c r="I3832" i="61"/>
  <c r="I3831" i="61"/>
  <c r="I3830" i="61"/>
  <c r="I3829" i="61"/>
  <c r="I3828" i="61"/>
  <c r="I3827" i="61"/>
  <c r="I3826" i="61"/>
  <c r="I3825" i="61"/>
  <c r="I3824" i="61"/>
  <c r="I3823" i="61"/>
  <c r="I3822" i="61"/>
  <c r="I3821" i="61"/>
  <c r="I3820" i="61"/>
  <c r="I3819" i="61"/>
  <c r="I3818" i="61"/>
  <c r="I3817" i="61"/>
  <c r="I3816" i="61"/>
  <c r="I3815" i="61"/>
  <c r="I3814" i="61"/>
  <c r="I3813" i="61"/>
  <c r="I3812" i="61"/>
  <c r="I3811" i="61"/>
  <c r="I3810" i="61"/>
  <c r="I3809" i="61"/>
  <c r="I3808" i="61"/>
  <c r="I3807" i="61"/>
  <c r="I3806" i="61"/>
  <c r="I3805" i="61"/>
  <c r="I3804" i="61"/>
  <c r="I3803" i="61"/>
  <c r="I3802" i="61"/>
  <c r="I3801" i="61"/>
  <c r="I3800" i="61"/>
  <c r="I3799" i="61"/>
  <c r="I3798" i="61"/>
  <c r="I3797" i="61"/>
  <c r="I3796" i="61"/>
  <c r="I3795" i="61"/>
  <c r="I3794" i="61"/>
  <c r="I3793" i="61"/>
  <c r="I3792" i="61"/>
  <c r="I3791" i="61"/>
  <c r="I3790" i="61"/>
  <c r="I3789" i="61"/>
  <c r="I3788" i="61"/>
  <c r="I3787" i="61"/>
  <c r="I3786" i="61"/>
  <c r="I3785" i="61"/>
  <c r="I3784" i="61"/>
  <c r="I3783" i="61"/>
  <c r="I3782" i="61"/>
  <c r="I3781" i="61"/>
  <c r="I3780" i="61"/>
  <c r="I3779" i="61"/>
  <c r="I3778" i="61"/>
  <c r="I3777" i="61"/>
  <c r="I3776" i="61"/>
  <c r="I3775" i="61"/>
  <c r="I3774" i="61"/>
  <c r="I3773" i="61"/>
  <c r="I3772" i="61"/>
  <c r="I3771" i="61"/>
  <c r="I3770" i="61"/>
  <c r="I3769" i="61"/>
  <c r="I3768" i="61"/>
  <c r="I3767" i="61"/>
  <c r="I3766" i="61"/>
  <c r="I3765" i="61"/>
  <c r="I3764" i="61"/>
  <c r="I3763" i="61"/>
  <c r="I3762" i="61"/>
  <c r="I3761" i="61"/>
  <c r="I3760" i="61"/>
  <c r="I3759" i="61"/>
  <c r="I3758" i="61"/>
  <c r="I3757" i="61"/>
  <c r="I3756" i="61"/>
  <c r="I3755" i="61"/>
  <c r="I3754" i="61"/>
  <c r="I3753" i="61"/>
  <c r="I3752" i="61"/>
  <c r="I3751" i="61"/>
  <c r="I3750" i="61"/>
  <c r="I3749" i="61"/>
  <c r="I3748" i="61"/>
  <c r="I3747" i="61"/>
  <c r="I3746" i="61"/>
  <c r="I3745" i="61"/>
  <c r="I3744" i="61"/>
  <c r="I3743" i="61"/>
  <c r="I3742" i="61"/>
  <c r="I3741" i="61"/>
  <c r="I3740" i="61"/>
  <c r="I3739" i="61"/>
  <c r="I3738" i="61"/>
  <c r="I3737" i="61"/>
  <c r="I3736" i="61"/>
  <c r="I3735" i="61"/>
  <c r="I3734" i="61"/>
  <c r="I3733" i="61"/>
  <c r="I3732" i="61"/>
  <c r="I3731" i="61"/>
  <c r="I3730" i="61"/>
  <c r="I3729" i="61"/>
  <c r="I3728" i="61"/>
  <c r="I3727" i="61"/>
  <c r="I3726" i="61"/>
  <c r="I3725" i="61"/>
  <c r="I3724" i="61"/>
  <c r="I3723" i="61"/>
  <c r="I3722" i="61"/>
  <c r="I3721" i="61"/>
  <c r="I3720" i="61"/>
  <c r="I3719" i="61"/>
  <c r="I3718" i="61"/>
  <c r="I3717" i="61"/>
  <c r="I3716" i="61"/>
  <c r="I3715" i="61"/>
  <c r="I3714" i="61"/>
  <c r="I3713" i="61"/>
  <c r="I3712" i="61"/>
  <c r="I3711" i="61"/>
  <c r="I3710" i="61"/>
  <c r="I3709" i="61"/>
  <c r="I3708" i="61"/>
  <c r="I3707" i="61"/>
  <c r="I3706" i="61"/>
  <c r="I3705" i="61"/>
  <c r="I3704" i="61"/>
  <c r="I3703" i="61"/>
  <c r="I3702" i="61"/>
  <c r="I3701" i="61"/>
  <c r="I3700" i="61"/>
  <c r="I3699" i="61"/>
  <c r="I3698" i="61"/>
  <c r="I3697" i="61"/>
  <c r="I3696" i="61"/>
  <c r="I3695" i="61"/>
  <c r="I3694" i="61"/>
  <c r="I3693" i="61"/>
  <c r="I3692" i="61"/>
  <c r="I3691" i="61"/>
  <c r="I3690" i="61"/>
  <c r="I3689" i="61"/>
  <c r="I3688" i="61"/>
  <c r="I3687" i="61"/>
  <c r="I3686" i="61"/>
  <c r="I3685" i="61"/>
  <c r="I3684" i="61"/>
  <c r="I3683" i="61"/>
  <c r="I3682" i="61"/>
  <c r="I3681" i="61"/>
  <c r="I3680" i="61"/>
  <c r="I3679" i="61"/>
  <c r="I3678" i="61"/>
  <c r="I3677" i="61"/>
  <c r="I3676" i="61"/>
  <c r="I3675" i="61"/>
  <c r="I3674" i="61"/>
  <c r="I3673" i="61"/>
  <c r="I3672" i="61"/>
  <c r="I3671" i="61"/>
  <c r="I3670" i="61"/>
  <c r="I3669" i="61"/>
  <c r="I3668" i="61"/>
  <c r="I3667" i="61"/>
  <c r="I3666" i="61"/>
  <c r="I3665" i="61"/>
  <c r="I3664" i="61"/>
  <c r="I3663" i="61"/>
  <c r="I3662" i="61"/>
  <c r="I3661" i="61"/>
  <c r="I3660" i="61"/>
  <c r="I3659" i="61"/>
  <c r="I3658" i="61"/>
  <c r="I3657" i="61"/>
  <c r="I3656" i="61"/>
  <c r="I3655" i="61"/>
  <c r="I3654" i="61"/>
  <c r="I3653" i="61"/>
  <c r="I3652" i="61"/>
  <c r="I3651" i="61"/>
  <c r="I3650" i="61"/>
  <c r="I3649" i="61"/>
  <c r="I3648" i="61"/>
  <c r="I3647" i="61"/>
  <c r="I3646" i="61"/>
  <c r="I3645" i="61"/>
  <c r="I3644" i="61"/>
  <c r="I3643" i="61"/>
  <c r="I3642" i="61"/>
  <c r="I3641" i="61"/>
  <c r="I3640" i="61"/>
  <c r="I3639" i="61"/>
  <c r="I3638" i="61"/>
  <c r="I3637" i="61"/>
  <c r="I3636" i="61"/>
  <c r="I3635" i="61"/>
  <c r="I3634" i="61"/>
  <c r="I3633" i="61"/>
  <c r="I3632" i="61"/>
  <c r="I3631" i="61"/>
  <c r="I3630" i="61"/>
  <c r="I3629" i="61"/>
  <c r="I3628" i="61"/>
  <c r="I3627" i="61"/>
  <c r="I3626" i="61"/>
  <c r="I3625" i="61"/>
  <c r="I3624" i="61"/>
  <c r="I3623" i="61"/>
  <c r="I3622" i="61"/>
  <c r="I3621" i="61"/>
  <c r="I3620" i="61"/>
  <c r="I3619" i="61"/>
  <c r="I3618" i="61"/>
  <c r="I3617" i="61"/>
  <c r="I3616" i="61"/>
  <c r="I3615" i="61"/>
  <c r="I3614" i="61"/>
  <c r="I3613" i="61"/>
  <c r="I3612" i="61"/>
  <c r="I3611" i="61"/>
  <c r="I3610" i="61"/>
  <c r="I3609" i="61"/>
  <c r="I3608" i="61"/>
  <c r="I3607" i="61"/>
  <c r="I3606" i="61"/>
  <c r="I3605" i="61"/>
  <c r="I3604" i="61"/>
  <c r="I3603" i="61"/>
  <c r="I3602" i="61"/>
  <c r="I3601" i="61"/>
  <c r="I3600" i="61"/>
  <c r="I3599" i="61"/>
  <c r="I3598" i="61"/>
  <c r="I3597" i="61"/>
  <c r="I3596" i="61"/>
  <c r="I3595" i="61"/>
  <c r="I3594" i="61"/>
  <c r="I3593" i="61"/>
  <c r="I3592" i="61"/>
  <c r="I3591" i="61"/>
  <c r="I3590" i="61"/>
  <c r="I3589" i="61"/>
  <c r="I3588" i="61"/>
  <c r="I3587" i="61"/>
  <c r="I3586" i="61"/>
  <c r="I3585" i="61"/>
  <c r="I3584" i="61"/>
  <c r="I3583" i="61"/>
  <c r="I3582" i="61"/>
  <c r="I3581" i="61"/>
  <c r="I3580" i="61"/>
  <c r="I3579" i="61"/>
  <c r="I3578" i="61"/>
  <c r="I3577" i="61"/>
  <c r="I3576" i="61"/>
  <c r="I3575" i="61"/>
  <c r="I3574" i="61"/>
  <c r="I3573" i="61"/>
  <c r="I3572" i="61"/>
  <c r="I3571" i="61"/>
  <c r="I3570" i="61"/>
  <c r="I3569" i="61"/>
  <c r="I3568" i="61"/>
  <c r="I3567" i="61"/>
  <c r="I3566" i="61"/>
  <c r="I3565" i="61"/>
  <c r="I3564" i="61"/>
  <c r="I3563" i="61"/>
  <c r="I3562" i="61"/>
  <c r="I3561" i="61"/>
  <c r="I3560" i="61"/>
  <c r="I3559" i="61"/>
  <c r="I3558" i="61"/>
  <c r="I3557" i="61"/>
  <c r="I3556" i="61"/>
  <c r="I3555" i="61"/>
  <c r="I3554" i="61"/>
  <c r="I3553" i="61"/>
  <c r="I3552" i="61"/>
  <c r="I3551" i="61"/>
  <c r="I3550" i="61"/>
  <c r="I3549" i="61"/>
  <c r="I3548" i="61"/>
  <c r="I3547" i="61"/>
  <c r="I3546" i="61"/>
  <c r="I3545" i="61"/>
  <c r="I3544" i="61"/>
  <c r="I3543" i="61"/>
  <c r="I3542" i="61"/>
  <c r="I3541" i="61"/>
  <c r="I3540" i="61"/>
  <c r="I3539" i="61"/>
  <c r="I3538" i="61"/>
  <c r="I3537" i="61"/>
  <c r="I3536" i="61"/>
  <c r="I3535" i="61"/>
  <c r="I3534" i="61"/>
  <c r="I3533" i="61"/>
  <c r="I3532" i="61"/>
  <c r="I3531" i="61"/>
  <c r="I3530" i="61"/>
  <c r="I3529" i="61"/>
  <c r="I3528" i="61"/>
  <c r="I3527" i="61"/>
  <c r="I3526" i="61"/>
  <c r="I3525" i="61"/>
  <c r="I3524" i="61"/>
  <c r="I3523" i="61"/>
  <c r="I3522" i="61"/>
  <c r="I3521" i="61"/>
  <c r="I3520" i="61"/>
  <c r="I3519" i="61"/>
  <c r="I3518" i="61"/>
  <c r="I3517" i="61"/>
  <c r="I3516" i="61"/>
  <c r="I3515" i="61"/>
  <c r="I3514" i="61"/>
  <c r="I3513" i="61"/>
  <c r="I3512" i="61"/>
  <c r="I3511" i="61"/>
  <c r="I3510" i="61"/>
  <c r="I3509" i="61"/>
  <c r="I3508" i="61"/>
  <c r="I3507" i="61"/>
  <c r="I3506" i="61"/>
  <c r="I3505" i="61"/>
  <c r="I3504" i="61"/>
  <c r="I3503" i="61"/>
  <c r="I3502" i="61"/>
  <c r="I3501" i="61"/>
  <c r="I3500" i="61"/>
  <c r="I3499" i="61"/>
  <c r="I3498" i="61"/>
  <c r="I3497" i="61"/>
  <c r="I3496" i="61"/>
  <c r="I3495" i="61"/>
  <c r="I3494" i="61"/>
  <c r="I3493" i="61"/>
  <c r="I3492" i="61"/>
  <c r="I3491" i="61"/>
  <c r="I3490" i="61"/>
  <c r="I3489" i="61"/>
  <c r="I3488" i="61"/>
  <c r="I3487" i="61"/>
  <c r="I3486" i="61"/>
  <c r="I3485" i="61"/>
  <c r="I3484" i="61"/>
  <c r="I3483" i="61"/>
  <c r="I3482" i="61"/>
  <c r="I3481" i="61"/>
  <c r="I3480" i="61"/>
  <c r="I3479" i="61"/>
  <c r="I3478" i="61"/>
  <c r="I3477" i="61"/>
  <c r="I3476" i="61"/>
  <c r="I3475" i="61"/>
  <c r="I3474" i="61"/>
  <c r="I3473" i="61"/>
  <c r="I3472" i="61"/>
  <c r="I3471" i="61"/>
  <c r="I3470" i="61"/>
  <c r="I3469" i="61"/>
  <c r="I3468" i="61"/>
  <c r="I3467" i="61"/>
  <c r="I3466" i="61"/>
  <c r="I3465" i="61"/>
  <c r="I3464" i="61"/>
  <c r="I3463" i="61"/>
  <c r="I3462" i="61"/>
  <c r="I3461" i="61"/>
  <c r="I3460" i="61"/>
  <c r="I3459" i="61"/>
  <c r="I3458" i="61"/>
  <c r="I3457" i="61"/>
  <c r="I3456" i="61"/>
  <c r="I3455" i="61"/>
  <c r="I3454" i="61"/>
  <c r="I3453" i="61"/>
  <c r="I3452" i="61"/>
  <c r="I3451" i="61"/>
  <c r="I3450" i="61"/>
  <c r="I3449" i="61"/>
  <c r="I3448" i="61"/>
  <c r="I3447" i="61"/>
  <c r="I3446" i="61"/>
  <c r="I3445" i="61"/>
  <c r="I3444" i="61"/>
  <c r="I3443" i="61"/>
  <c r="I3442" i="61"/>
  <c r="I3441" i="61"/>
  <c r="I3440" i="61"/>
  <c r="I3439" i="61"/>
  <c r="I3438" i="61"/>
  <c r="I3437" i="61"/>
  <c r="I3436" i="61"/>
  <c r="I3435" i="61"/>
  <c r="I3434" i="61"/>
  <c r="I3433" i="61"/>
  <c r="I3432" i="61"/>
  <c r="I3431" i="61"/>
  <c r="I3430" i="61"/>
  <c r="I3429" i="61"/>
  <c r="I3428" i="61"/>
  <c r="I3427" i="61"/>
  <c r="I3426" i="61"/>
  <c r="I3425" i="61"/>
  <c r="I3424" i="61"/>
  <c r="I3423" i="61"/>
  <c r="I3422" i="61"/>
  <c r="I3421" i="61"/>
  <c r="I3420" i="61"/>
  <c r="I3419" i="61"/>
  <c r="I3418" i="61"/>
  <c r="I3417" i="61"/>
  <c r="I3416" i="61"/>
  <c r="I3415" i="61"/>
  <c r="I3414" i="61"/>
  <c r="I3413" i="61"/>
  <c r="I3412" i="61"/>
  <c r="I3411" i="61"/>
  <c r="I3410" i="61"/>
  <c r="I3409" i="61"/>
  <c r="I3408" i="61"/>
  <c r="I3407" i="61"/>
  <c r="I3406" i="61"/>
  <c r="I3405" i="61"/>
  <c r="I3404" i="61"/>
  <c r="I3403" i="61"/>
  <c r="I3402" i="61"/>
  <c r="I3401" i="61"/>
  <c r="I3400" i="61"/>
  <c r="I3399" i="61"/>
  <c r="I3398" i="61"/>
  <c r="I3397" i="61"/>
  <c r="I3396" i="61"/>
  <c r="I3395" i="61"/>
  <c r="I3394" i="61"/>
  <c r="I3393" i="61"/>
  <c r="I3392" i="61"/>
  <c r="I3391" i="61"/>
  <c r="I3390" i="61"/>
  <c r="I3389" i="61"/>
  <c r="I3388" i="61"/>
  <c r="I3387" i="61"/>
  <c r="I3386" i="61"/>
  <c r="I3385" i="61"/>
  <c r="I3384" i="61"/>
  <c r="I3383" i="61"/>
  <c r="I3382" i="61"/>
  <c r="I3381" i="61"/>
  <c r="I3380" i="61"/>
  <c r="I3379" i="61"/>
  <c r="I3378" i="61"/>
  <c r="I3377" i="61"/>
  <c r="I3376" i="61"/>
  <c r="I3375" i="61"/>
  <c r="I3374" i="61"/>
  <c r="I3373" i="61"/>
  <c r="I3372" i="61"/>
  <c r="I3371" i="61"/>
  <c r="I3370" i="61"/>
  <c r="I3369" i="61"/>
  <c r="I3368" i="61"/>
  <c r="I3367" i="61"/>
  <c r="I3366" i="61"/>
  <c r="I3365" i="61"/>
  <c r="I3364" i="61"/>
  <c r="I3363" i="61"/>
  <c r="I3362" i="61"/>
  <c r="I3361" i="61"/>
  <c r="I3360" i="61"/>
  <c r="I3359" i="61"/>
  <c r="I3358" i="61"/>
  <c r="I3357" i="61"/>
  <c r="I3356" i="61"/>
  <c r="I3355" i="61"/>
  <c r="I3354" i="61"/>
  <c r="I3353" i="61"/>
  <c r="I3352" i="61"/>
  <c r="I3351" i="61"/>
  <c r="I3350" i="61"/>
  <c r="I3349" i="61"/>
  <c r="I3348" i="61"/>
  <c r="I3347" i="61"/>
  <c r="I3346" i="61"/>
  <c r="I3345" i="61"/>
  <c r="I3344" i="61"/>
  <c r="I3343" i="61"/>
  <c r="I3342" i="61"/>
  <c r="I3341" i="61"/>
  <c r="I3340" i="61"/>
  <c r="I3339" i="61"/>
  <c r="I3338" i="61"/>
  <c r="I3337" i="61"/>
  <c r="I3336" i="61"/>
  <c r="I3335" i="61"/>
  <c r="I3334" i="61"/>
  <c r="I3333" i="61"/>
  <c r="I3332" i="61"/>
  <c r="I3331" i="61"/>
  <c r="I3330" i="61"/>
  <c r="I3329" i="61"/>
  <c r="I3328" i="61"/>
  <c r="I3327" i="61"/>
  <c r="I3326" i="61"/>
  <c r="I3325" i="61"/>
  <c r="I3324" i="61"/>
  <c r="I3323" i="61"/>
  <c r="I3322" i="61"/>
  <c r="I3321" i="61"/>
  <c r="I3320" i="61"/>
  <c r="I3319" i="61"/>
  <c r="I3318" i="61"/>
  <c r="I3317" i="61"/>
  <c r="I3316" i="61"/>
  <c r="I3315" i="61"/>
  <c r="I3314" i="61"/>
  <c r="I3313" i="61"/>
  <c r="I3312" i="61"/>
  <c r="I3311" i="61"/>
  <c r="I3310" i="61"/>
  <c r="I3309" i="61"/>
  <c r="I3308" i="61"/>
  <c r="I3307" i="61"/>
  <c r="I3306" i="61"/>
  <c r="I3305" i="61"/>
  <c r="I3304" i="61"/>
  <c r="I3303" i="61"/>
  <c r="I3302" i="61"/>
  <c r="I3301" i="61"/>
  <c r="I3300" i="61"/>
  <c r="I3299" i="61"/>
  <c r="I3298" i="61"/>
  <c r="I3297" i="61"/>
  <c r="I3296" i="61"/>
  <c r="I3295" i="61"/>
  <c r="I3294" i="61"/>
  <c r="I3293" i="61"/>
  <c r="I3292" i="61"/>
  <c r="I3291" i="61"/>
  <c r="I3290" i="61"/>
  <c r="I3289" i="61"/>
  <c r="I3288" i="61"/>
  <c r="I3287" i="61"/>
  <c r="I3286" i="61"/>
  <c r="I3285" i="61"/>
  <c r="I3284" i="61"/>
  <c r="I3283" i="61"/>
  <c r="I3282" i="61"/>
  <c r="I3281" i="61"/>
  <c r="I3280" i="61"/>
  <c r="I3279" i="61"/>
  <c r="I3278" i="61"/>
  <c r="I3277" i="61"/>
  <c r="I3276" i="61"/>
  <c r="I3275" i="61"/>
  <c r="I3274" i="61"/>
  <c r="I3273" i="61"/>
  <c r="I3272" i="61"/>
  <c r="I3271" i="61"/>
  <c r="I3270" i="61"/>
  <c r="I3269" i="61"/>
  <c r="I3268" i="61"/>
  <c r="I3267" i="61"/>
  <c r="I3266" i="61"/>
  <c r="I3265" i="61"/>
  <c r="I3264" i="61"/>
  <c r="I3263" i="61"/>
  <c r="I3262" i="61"/>
  <c r="I3261" i="61"/>
  <c r="I3260" i="61"/>
  <c r="I3259" i="61"/>
  <c r="I3258" i="61"/>
  <c r="I3257" i="61"/>
  <c r="I3256" i="61"/>
  <c r="I3255" i="61"/>
  <c r="I3254" i="61"/>
  <c r="I3253" i="61"/>
  <c r="I3252" i="61"/>
  <c r="I3251" i="61"/>
  <c r="I3250" i="61"/>
  <c r="I3249" i="61"/>
  <c r="I3248" i="61"/>
  <c r="I3247" i="61"/>
  <c r="I3246" i="61"/>
  <c r="I3245" i="61"/>
  <c r="I3244" i="61"/>
  <c r="I3243" i="61"/>
  <c r="I3242" i="61"/>
  <c r="I3241" i="61"/>
  <c r="I3240" i="61"/>
  <c r="I3239" i="61"/>
  <c r="I3238" i="61"/>
  <c r="I3237" i="61"/>
  <c r="I3236" i="61"/>
  <c r="I3235" i="61"/>
  <c r="I3234" i="61"/>
  <c r="I3233" i="61"/>
  <c r="I3232" i="61"/>
  <c r="I3231" i="61"/>
  <c r="I3230" i="61"/>
  <c r="I3229" i="61"/>
  <c r="I3228" i="61"/>
  <c r="I3227" i="61"/>
  <c r="I3226" i="61"/>
  <c r="I3225" i="61"/>
  <c r="I3224" i="61"/>
  <c r="I3223" i="61"/>
  <c r="I3222" i="61"/>
  <c r="I3221" i="61"/>
  <c r="I3220" i="61"/>
  <c r="I3219" i="61"/>
  <c r="I3218" i="61"/>
  <c r="I3217" i="61"/>
  <c r="I3216" i="61"/>
  <c r="I3215" i="61"/>
  <c r="I3214" i="61"/>
  <c r="I3213" i="61"/>
  <c r="I3212" i="61"/>
  <c r="I3211" i="61"/>
  <c r="I3210" i="61"/>
  <c r="I3209" i="61"/>
  <c r="I3208" i="61"/>
  <c r="I3207" i="61"/>
  <c r="I3206" i="61"/>
  <c r="I3205" i="61"/>
  <c r="I3204" i="61"/>
  <c r="I3203" i="61"/>
  <c r="I3202" i="61"/>
  <c r="I3201" i="61"/>
  <c r="I3200" i="61"/>
  <c r="I3199" i="61"/>
  <c r="I3198" i="61"/>
  <c r="I3197" i="61"/>
  <c r="I3196" i="61"/>
  <c r="I3195" i="61"/>
  <c r="I3194" i="61"/>
  <c r="I3193" i="61"/>
  <c r="I3192" i="61"/>
  <c r="I3191" i="61"/>
  <c r="I3190" i="61"/>
  <c r="I3189" i="61"/>
  <c r="I3188" i="61"/>
  <c r="I3187" i="61"/>
  <c r="I3186" i="61"/>
  <c r="I3185" i="61"/>
  <c r="I3184" i="61"/>
  <c r="I3183" i="61"/>
  <c r="I3182" i="61"/>
  <c r="I3181" i="61"/>
  <c r="I3180" i="61"/>
  <c r="I3179" i="61"/>
  <c r="I3178" i="61"/>
  <c r="I3177" i="61"/>
  <c r="I3176" i="61"/>
  <c r="I3175" i="61"/>
  <c r="I3174" i="61"/>
  <c r="I3173" i="61"/>
  <c r="I3172" i="61"/>
  <c r="I3171" i="61"/>
  <c r="I3170" i="61"/>
  <c r="I3169" i="61"/>
  <c r="I3168" i="61"/>
  <c r="I3167" i="61"/>
  <c r="I3166" i="61"/>
  <c r="I3165" i="61"/>
  <c r="I3164" i="61"/>
  <c r="I3163" i="61"/>
  <c r="I3162" i="61"/>
  <c r="I3161" i="61"/>
  <c r="I3160" i="61"/>
  <c r="I3159" i="61"/>
  <c r="I3158" i="61"/>
  <c r="I3157" i="61"/>
  <c r="I3156" i="61"/>
  <c r="I3155" i="61"/>
  <c r="I3154" i="61"/>
  <c r="I3153" i="61"/>
  <c r="I3152" i="61"/>
  <c r="I3151" i="61"/>
  <c r="I3150" i="61"/>
  <c r="I3149" i="61"/>
  <c r="I3148" i="61"/>
  <c r="I3147" i="61"/>
  <c r="I3146" i="61"/>
  <c r="I3145" i="61"/>
  <c r="I3144" i="61"/>
  <c r="I3143" i="61"/>
  <c r="I3142" i="61"/>
  <c r="I3141" i="61"/>
  <c r="I3140" i="61"/>
  <c r="I3139" i="61"/>
  <c r="I3138" i="61"/>
  <c r="I3137" i="61"/>
  <c r="I3136" i="61"/>
  <c r="I3135" i="61"/>
  <c r="I3134" i="61"/>
  <c r="I3133" i="61"/>
  <c r="I3132" i="61"/>
  <c r="I3131" i="61"/>
  <c r="I3130" i="61"/>
  <c r="I3129" i="61"/>
  <c r="I3128" i="61"/>
  <c r="I3127" i="61"/>
  <c r="I3126" i="61"/>
  <c r="I3125" i="61"/>
  <c r="I3124" i="61"/>
  <c r="I3123" i="61"/>
  <c r="I3122" i="61"/>
  <c r="I3121" i="61"/>
  <c r="I3120" i="61"/>
  <c r="I3119" i="61"/>
  <c r="I3118" i="61"/>
  <c r="I3117" i="61"/>
  <c r="I3116" i="61"/>
  <c r="I3115" i="61"/>
  <c r="I3114" i="61"/>
  <c r="I3113" i="61"/>
  <c r="I3112" i="61"/>
  <c r="I3111" i="61"/>
  <c r="I3110" i="61"/>
  <c r="I3109" i="61"/>
  <c r="I3108" i="61"/>
  <c r="I3107" i="61"/>
  <c r="I3106" i="61"/>
  <c r="I3105" i="61"/>
  <c r="I3104" i="61"/>
  <c r="I3103" i="61"/>
  <c r="I3102" i="61"/>
  <c r="I3101" i="61"/>
  <c r="I3100" i="61"/>
  <c r="I3099" i="61"/>
  <c r="I3098" i="61"/>
  <c r="I3097" i="61"/>
  <c r="I3096" i="61"/>
  <c r="I3095" i="61"/>
  <c r="I3094" i="61"/>
  <c r="I3093" i="61"/>
  <c r="I3092" i="61"/>
  <c r="I3091" i="61"/>
  <c r="I3090" i="61"/>
  <c r="I3089" i="61"/>
  <c r="I3088" i="61"/>
  <c r="I3087" i="61"/>
  <c r="I3086" i="61"/>
  <c r="I3085" i="61"/>
  <c r="I3084" i="61"/>
  <c r="I3083" i="61"/>
  <c r="I3082" i="61"/>
  <c r="I3081" i="61"/>
  <c r="I3080" i="61"/>
  <c r="I3079" i="61"/>
  <c r="I3078" i="61"/>
  <c r="I3077" i="61"/>
  <c r="I3076" i="61"/>
  <c r="I3075" i="61"/>
  <c r="I3074" i="61"/>
  <c r="I3073" i="61"/>
  <c r="I3072" i="61"/>
  <c r="I3071" i="61"/>
  <c r="I3070" i="61"/>
  <c r="I3069" i="61"/>
  <c r="I3068" i="61"/>
  <c r="I3067" i="61"/>
  <c r="I3066" i="61"/>
  <c r="I3065" i="61"/>
  <c r="I3064" i="61"/>
  <c r="I3063" i="61"/>
  <c r="I3062" i="61"/>
  <c r="I3061" i="61"/>
  <c r="I3060" i="61"/>
  <c r="I3059" i="61"/>
  <c r="I3058" i="61"/>
  <c r="I3057" i="61"/>
  <c r="I3056" i="61"/>
  <c r="I3055" i="61"/>
  <c r="I3054" i="61"/>
  <c r="I3053" i="61"/>
  <c r="I3052" i="61"/>
  <c r="I3051" i="61"/>
  <c r="I3050" i="61"/>
  <c r="I3049" i="61"/>
  <c r="I3048" i="61"/>
  <c r="I3047" i="61"/>
  <c r="I3046" i="61"/>
  <c r="I3045" i="61"/>
  <c r="I3044" i="61"/>
  <c r="I3043" i="61"/>
  <c r="I3042" i="61"/>
  <c r="I3041" i="61"/>
  <c r="I3040" i="61"/>
  <c r="I3039" i="61"/>
  <c r="I3038" i="61"/>
  <c r="I3037" i="61"/>
  <c r="I3036" i="61"/>
  <c r="I3035" i="61"/>
  <c r="I3034" i="61"/>
  <c r="I3033" i="61"/>
  <c r="I3032" i="61"/>
  <c r="I3031" i="61"/>
  <c r="I3030" i="61"/>
  <c r="I3029" i="61"/>
  <c r="I3028" i="61"/>
  <c r="I3027" i="61"/>
  <c r="I3026" i="61"/>
  <c r="I3025" i="61"/>
  <c r="I3024" i="61"/>
  <c r="I3023" i="61"/>
  <c r="I3022" i="61"/>
  <c r="I3021" i="61"/>
  <c r="I3020" i="61"/>
  <c r="I3019" i="61"/>
  <c r="I3018" i="61"/>
  <c r="I3017" i="61"/>
  <c r="I3016" i="61"/>
  <c r="I3015" i="61"/>
  <c r="I3014" i="61"/>
  <c r="I3013" i="61"/>
  <c r="I3012" i="61"/>
  <c r="I3011" i="61"/>
  <c r="I3010" i="61"/>
  <c r="I3009" i="61"/>
  <c r="I3008" i="61"/>
  <c r="I3007" i="61"/>
  <c r="I3006" i="61"/>
  <c r="I3005" i="61"/>
  <c r="I3004" i="61"/>
  <c r="I3003" i="61"/>
  <c r="I3002" i="61"/>
  <c r="I3001" i="61"/>
  <c r="I3000" i="61"/>
  <c r="I2999" i="61"/>
  <c r="I2998" i="61"/>
  <c r="I2997" i="61"/>
  <c r="I2996" i="61"/>
  <c r="I2995" i="61"/>
  <c r="I2994" i="61"/>
  <c r="I2993" i="61"/>
  <c r="I2992" i="61"/>
  <c r="I2991" i="61"/>
  <c r="I2990" i="61"/>
  <c r="I2989" i="61"/>
  <c r="I2988" i="61"/>
  <c r="I2987" i="61"/>
  <c r="I2986" i="61"/>
  <c r="I2985" i="61"/>
  <c r="I2984" i="61"/>
  <c r="I2983" i="61"/>
  <c r="I2982" i="61"/>
  <c r="I2981" i="61"/>
  <c r="I2980" i="61"/>
  <c r="I2979" i="61"/>
  <c r="I2978" i="61"/>
  <c r="I2977" i="61"/>
  <c r="I2976" i="61"/>
  <c r="I2975" i="61"/>
  <c r="I2974" i="61"/>
  <c r="I2973" i="61"/>
  <c r="I2972" i="61"/>
  <c r="I2971" i="61"/>
  <c r="I2970" i="61"/>
  <c r="I2969" i="61"/>
  <c r="I2968" i="61"/>
  <c r="I2967" i="61"/>
  <c r="I2966" i="61"/>
  <c r="I2965" i="61"/>
  <c r="I2964" i="61"/>
  <c r="I2963" i="61"/>
  <c r="I2962" i="61"/>
  <c r="I2961" i="61"/>
  <c r="I2960" i="61"/>
  <c r="I2959" i="61"/>
  <c r="I2958" i="61"/>
  <c r="I2957" i="61"/>
  <c r="I2956" i="61"/>
  <c r="I2955" i="61"/>
  <c r="I2954" i="61"/>
  <c r="I2953" i="61"/>
  <c r="I2952" i="61"/>
  <c r="I2951" i="61"/>
  <c r="I2950" i="61"/>
  <c r="I2949" i="61"/>
  <c r="I2948" i="61"/>
  <c r="I2947" i="61"/>
  <c r="I2946" i="61"/>
  <c r="I2945" i="61"/>
  <c r="I2944" i="61"/>
  <c r="I2943" i="61"/>
  <c r="I2942" i="61"/>
  <c r="I2941" i="61"/>
  <c r="I2940" i="61"/>
  <c r="I2939" i="61"/>
  <c r="I2938" i="61"/>
  <c r="I2937" i="61"/>
  <c r="I2936" i="61"/>
  <c r="I2935" i="61"/>
  <c r="I2934" i="61"/>
  <c r="I2933" i="61"/>
  <c r="I2932" i="61"/>
  <c r="I2931" i="61"/>
  <c r="I2930" i="61"/>
  <c r="I2929" i="61"/>
  <c r="I2928" i="61"/>
  <c r="I2927" i="61"/>
  <c r="I2926" i="61"/>
  <c r="I2925" i="61"/>
  <c r="I2924" i="61"/>
  <c r="I2923" i="61"/>
  <c r="I2922" i="61"/>
  <c r="I2921" i="61"/>
  <c r="I2920" i="61"/>
  <c r="I2919" i="61"/>
  <c r="I2918" i="61"/>
  <c r="I2917" i="61"/>
  <c r="I2916" i="61"/>
  <c r="I2915" i="61"/>
  <c r="I2914" i="61"/>
  <c r="I2913" i="61"/>
  <c r="I2912" i="61"/>
  <c r="I2911" i="61"/>
  <c r="I2910" i="61"/>
  <c r="I2909" i="61"/>
  <c r="I2908" i="61"/>
  <c r="I2907" i="61"/>
  <c r="I2906" i="61"/>
  <c r="I2905" i="61"/>
  <c r="I2904" i="61"/>
  <c r="I2903" i="61"/>
  <c r="I2902" i="61"/>
  <c r="I2901" i="61"/>
  <c r="I2900" i="61"/>
  <c r="I2899" i="61"/>
  <c r="I2898" i="61"/>
  <c r="I2897" i="61"/>
  <c r="I2896" i="61"/>
  <c r="I2895" i="61"/>
  <c r="I2894" i="61"/>
  <c r="I2893" i="61"/>
  <c r="I2892" i="61"/>
  <c r="I2891" i="61"/>
  <c r="I2890" i="61"/>
  <c r="I2889" i="61"/>
  <c r="I2888" i="61"/>
  <c r="I2887" i="61"/>
  <c r="I2886" i="61"/>
  <c r="I2885" i="61"/>
  <c r="I2884" i="61"/>
  <c r="I2883" i="61"/>
  <c r="I2882" i="61"/>
  <c r="I2881" i="61"/>
  <c r="I2880" i="61"/>
  <c r="I2879" i="61"/>
  <c r="I2878" i="61"/>
  <c r="I2877" i="61"/>
  <c r="I2876" i="61"/>
  <c r="I2875" i="61"/>
  <c r="I2874" i="61"/>
  <c r="I2873" i="61"/>
  <c r="I2872" i="61"/>
  <c r="I2871" i="61"/>
  <c r="I2870" i="61"/>
  <c r="I2869" i="61"/>
  <c r="I2868" i="61"/>
  <c r="I2867" i="61"/>
  <c r="I2866" i="61"/>
  <c r="I2865" i="61"/>
  <c r="I2864" i="61"/>
  <c r="I2863" i="61"/>
  <c r="I2862" i="61"/>
  <c r="I2861" i="61"/>
  <c r="I2860" i="61"/>
  <c r="I2859" i="61"/>
  <c r="I2858" i="61"/>
  <c r="I2857" i="61"/>
  <c r="I2856" i="61"/>
  <c r="I2855" i="61"/>
  <c r="I2854" i="61"/>
  <c r="I2853" i="61"/>
  <c r="I2852" i="61"/>
  <c r="I2851" i="61"/>
  <c r="I2850" i="61"/>
  <c r="I2849" i="61"/>
  <c r="I2848" i="61"/>
  <c r="I2847" i="61"/>
  <c r="I2846" i="61"/>
  <c r="I2845" i="61"/>
  <c r="I2844" i="61"/>
  <c r="I2843" i="61"/>
  <c r="I2842" i="61"/>
  <c r="I2841" i="61"/>
  <c r="I2840" i="61"/>
  <c r="I2839" i="61"/>
  <c r="I2838" i="61"/>
  <c r="I2837" i="61"/>
  <c r="I2836" i="61"/>
  <c r="I2835" i="61"/>
  <c r="I2834" i="61"/>
  <c r="I2833" i="61"/>
  <c r="I2832" i="61"/>
  <c r="I2831" i="61"/>
  <c r="I2830" i="61"/>
  <c r="I2829" i="61"/>
  <c r="I2828" i="61"/>
  <c r="I2827" i="61"/>
  <c r="I2826" i="61"/>
  <c r="I2825" i="61"/>
  <c r="I2824" i="61"/>
  <c r="I2823" i="61"/>
  <c r="I2822" i="61"/>
  <c r="I2821" i="61"/>
  <c r="I2820" i="61"/>
  <c r="I2819" i="61"/>
  <c r="I2818" i="61"/>
  <c r="I2817" i="61"/>
  <c r="I2816" i="61"/>
  <c r="I2815" i="61"/>
  <c r="I2814" i="61"/>
  <c r="I2813" i="61"/>
  <c r="I2812" i="61"/>
  <c r="I2811" i="61"/>
  <c r="I2810" i="61"/>
  <c r="I2809" i="61"/>
  <c r="I2808" i="61"/>
  <c r="I2807" i="61"/>
  <c r="I2806" i="61"/>
  <c r="I2805" i="61"/>
  <c r="I2804" i="61"/>
  <c r="I2803" i="61"/>
  <c r="I2802" i="61"/>
  <c r="I2801" i="61"/>
  <c r="I2800" i="61"/>
  <c r="I2799" i="61"/>
  <c r="I2798" i="61"/>
  <c r="I2797" i="61"/>
  <c r="I2796" i="61"/>
  <c r="I2795" i="61"/>
  <c r="I2794" i="61"/>
  <c r="I2793" i="61"/>
  <c r="I2792" i="61"/>
  <c r="I2791" i="61"/>
  <c r="I2790" i="61"/>
  <c r="I2789" i="61"/>
  <c r="I2788" i="61"/>
  <c r="I2787" i="61"/>
  <c r="I2786" i="61"/>
  <c r="I2785" i="61"/>
  <c r="I2784" i="61"/>
  <c r="I2783" i="61"/>
  <c r="I2782" i="61"/>
  <c r="I2781" i="61"/>
  <c r="I2780" i="61"/>
  <c r="I2779" i="61"/>
  <c r="I2778" i="61"/>
  <c r="I2777" i="61"/>
  <c r="I2776" i="61"/>
  <c r="I2775" i="61"/>
  <c r="I2774" i="61"/>
  <c r="I2773" i="61"/>
  <c r="I2772" i="61"/>
  <c r="I2771" i="61"/>
  <c r="I2770" i="61"/>
  <c r="I2769" i="61"/>
  <c r="I2768" i="61"/>
  <c r="I2767" i="61"/>
  <c r="I2766" i="61"/>
  <c r="I2765" i="61"/>
  <c r="I2764" i="61"/>
  <c r="I2763" i="61"/>
  <c r="I2762" i="61"/>
  <c r="I2761" i="61"/>
  <c r="I2760" i="61"/>
  <c r="I2759" i="61"/>
  <c r="I2758" i="61"/>
  <c r="I2757" i="61"/>
  <c r="I2756" i="61"/>
  <c r="I2755" i="61"/>
  <c r="I2754" i="61"/>
  <c r="I2753" i="61"/>
  <c r="I2752" i="61"/>
  <c r="I2751" i="61"/>
  <c r="I2750" i="61"/>
  <c r="I2749" i="61"/>
  <c r="I2748" i="61"/>
  <c r="I2747" i="61"/>
  <c r="I2746" i="61"/>
  <c r="I2745" i="61"/>
  <c r="I2744" i="61"/>
  <c r="I2743" i="61"/>
  <c r="I2742" i="61"/>
  <c r="I2741" i="61"/>
  <c r="I2740" i="61"/>
  <c r="I2739" i="61"/>
  <c r="I2738" i="61"/>
  <c r="I2737" i="61"/>
  <c r="I2736" i="61"/>
  <c r="I2735" i="61"/>
  <c r="I2734" i="61"/>
  <c r="I2733" i="61"/>
  <c r="I2732" i="61"/>
  <c r="I2731" i="61"/>
  <c r="I2730" i="61"/>
  <c r="I2729" i="61"/>
  <c r="I2728" i="61"/>
  <c r="I2727" i="61"/>
  <c r="I2726" i="61"/>
  <c r="I2725" i="61"/>
  <c r="I2724" i="61"/>
  <c r="I2723" i="61"/>
  <c r="I2722" i="61"/>
  <c r="I2721" i="61"/>
  <c r="I2720" i="61"/>
  <c r="I2719" i="61"/>
  <c r="I2718" i="61"/>
  <c r="I2717" i="61"/>
  <c r="I2716" i="61"/>
  <c r="I2715" i="61"/>
  <c r="I2714" i="61"/>
  <c r="I2713" i="61"/>
  <c r="I2712" i="61"/>
  <c r="I2711" i="61"/>
  <c r="I2710" i="61"/>
  <c r="I2709" i="61"/>
  <c r="I2708" i="61"/>
  <c r="I2707" i="61"/>
  <c r="I2706" i="61"/>
  <c r="I2705" i="61"/>
  <c r="I2704" i="61"/>
  <c r="I2703" i="61"/>
  <c r="I2702" i="61"/>
  <c r="I2701" i="61"/>
  <c r="I2700" i="61"/>
  <c r="I2699" i="61"/>
  <c r="I2698" i="61"/>
  <c r="I2697" i="61"/>
  <c r="I2696" i="61"/>
  <c r="I2695" i="61"/>
  <c r="I2694" i="61"/>
  <c r="I2693" i="61"/>
  <c r="I2692" i="61"/>
  <c r="I2691" i="61"/>
  <c r="I2690" i="61"/>
  <c r="I2689" i="61"/>
  <c r="I2688" i="61"/>
  <c r="I2687" i="61"/>
  <c r="I2686" i="61"/>
  <c r="I2685" i="61"/>
  <c r="I2684" i="61"/>
  <c r="I2683" i="61"/>
  <c r="I2682" i="61"/>
  <c r="I2681" i="61"/>
  <c r="I2680" i="61"/>
  <c r="I2679" i="61"/>
  <c r="I2678" i="61"/>
  <c r="I2677" i="61"/>
  <c r="I2676" i="61"/>
  <c r="I2675" i="61"/>
  <c r="I2674" i="61"/>
  <c r="I2673" i="61"/>
  <c r="I2672" i="61"/>
  <c r="I2671" i="61"/>
  <c r="I2670" i="61"/>
  <c r="I2669" i="61"/>
  <c r="I2668" i="61"/>
  <c r="I2667" i="61"/>
  <c r="I2666" i="61"/>
  <c r="I2665" i="61"/>
  <c r="I2664" i="61"/>
  <c r="I2663" i="61"/>
  <c r="I2662" i="61"/>
  <c r="I2661" i="61"/>
  <c r="I2660" i="61"/>
  <c r="I2659" i="61"/>
  <c r="I2658" i="61"/>
  <c r="I2657" i="61"/>
  <c r="I2656" i="61"/>
  <c r="I2655" i="61"/>
  <c r="I2654" i="61"/>
  <c r="I2653" i="61"/>
  <c r="I2652" i="61"/>
  <c r="I2651" i="61"/>
  <c r="I2650" i="61"/>
  <c r="I2649" i="61"/>
  <c r="I2648" i="61"/>
  <c r="I2647" i="61"/>
  <c r="I2646" i="61"/>
  <c r="I2645" i="61"/>
  <c r="I2644" i="61"/>
  <c r="I2643" i="61"/>
  <c r="I2642" i="61"/>
  <c r="I2641" i="61"/>
  <c r="I2640" i="61"/>
  <c r="I2639" i="61"/>
  <c r="I2638" i="61"/>
  <c r="I2637" i="61"/>
  <c r="I2636" i="61"/>
  <c r="I2635" i="61"/>
  <c r="I2634" i="61"/>
  <c r="I2633" i="61"/>
  <c r="I2632" i="61"/>
  <c r="I2631" i="61"/>
  <c r="I2630" i="61"/>
  <c r="I2629" i="61"/>
  <c r="I2628" i="61"/>
  <c r="I2627" i="61"/>
  <c r="I2626" i="61"/>
  <c r="I2625" i="61"/>
  <c r="I2624" i="61"/>
  <c r="I2623" i="61"/>
  <c r="I2622" i="61"/>
  <c r="I2621" i="61"/>
  <c r="I2620" i="61"/>
  <c r="I2619" i="61"/>
  <c r="I2618" i="61"/>
  <c r="I2617" i="61"/>
  <c r="I2616" i="61"/>
  <c r="I2615" i="61"/>
  <c r="I2614" i="61"/>
  <c r="I2613" i="61"/>
  <c r="I2612" i="61"/>
  <c r="I2611" i="61"/>
  <c r="I2610" i="61"/>
  <c r="I2609" i="61"/>
  <c r="I2608" i="61"/>
  <c r="I2607" i="61"/>
  <c r="I2606" i="61"/>
  <c r="I2605" i="61"/>
  <c r="I2604" i="61"/>
  <c r="I2603" i="61"/>
  <c r="I2602" i="61"/>
  <c r="I2601" i="61"/>
  <c r="I2600" i="61"/>
  <c r="I2599" i="61"/>
  <c r="I2598" i="61"/>
  <c r="I2597" i="61"/>
  <c r="I2596" i="61"/>
  <c r="I2595" i="61"/>
  <c r="I2594" i="61"/>
  <c r="I2593" i="61"/>
  <c r="I2592" i="61"/>
  <c r="I2591" i="61"/>
  <c r="I2590" i="61"/>
  <c r="I2589" i="61"/>
  <c r="I2588" i="61"/>
  <c r="I2587" i="61"/>
  <c r="I2586" i="61"/>
  <c r="I2585" i="61"/>
  <c r="I2584" i="61"/>
  <c r="I2583" i="61"/>
  <c r="I2582" i="61"/>
  <c r="I2581" i="61"/>
  <c r="I2580" i="61"/>
  <c r="I2579" i="61"/>
  <c r="I2578" i="61"/>
  <c r="I2577" i="61"/>
  <c r="I2576" i="61"/>
  <c r="I2575" i="61"/>
  <c r="I2574" i="61"/>
  <c r="I2573" i="61"/>
  <c r="I2572" i="61"/>
  <c r="I2571" i="61"/>
  <c r="I2570" i="61"/>
  <c r="I2569" i="61"/>
  <c r="I2568" i="61"/>
  <c r="I2567" i="61"/>
  <c r="I2566" i="61"/>
  <c r="I2565" i="61"/>
  <c r="I2564" i="61"/>
  <c r="I2563" i="61"/>
  <c r="I2562" i="61"/>
  <c r="I2561" i="61"/>
  <c r="I2560" i="61"/>
  <c r="I2559" i="61"/>
  <c r="I2558" i="61"/>
  <c r="I2557" i="61"/>
  <c r="I2556" i="61"/>
  <c r="I2555" i="61"/>
  <c r="I2554" i="61"/>
  <c r="I2553" i="61"/>
  <c r="I2552" i="61"/>
  <c r="I2551" i="61"/>
  <c r="I2550" i="61"/>
  <c r="I2549" i="61"/>
  <c r="I2548" i="61"/>
  <c r="I2547" i="61"/>
  <c r="I2546" i="61"/>
  <c r="I2545" i="61"/>
  <c r="I2544" i="61"/>
  <c r="I2543" i="61"/>
  <c r="I2542" i="61"/>
  <c r="I2541" i="61"/>
  <c r="I2540" i="61"/>
  <c r="I2539" i="61"/>
  <c r="I2538" i="61"/>
  <c r="I2537" i="61"/>
  <c r="I2536" i="61"/>
  <c r="I2535" i="61"/>
  <c r="I2534" i="61"/>
  <c r="I2533" i="61"/>
  <c r="I2532" i="61"/>
  <c r="I2531" i="61"/>
  <c r="I2530" i="61"/>
  <c r="I2529" i="61"/>
  <c r="I2528" i="61"/>
  <c r="I2527" i="61"/>
  <c r="I2526" i="61"/>
  <c r="I2525" i="61"/>
  <c r="I2524" i="61"/>
  <c r="I2523" i="61"/>
  <c r="I2522" i="61"/>
  <c r="I2521" i="61"/>
  <c r="I2520" i="61"/>
  <c r="I2519" i="61"/>
  <c r="I2518" i="61"/>
  <c r="I2517" i="61"/>
  <c r="I2516" i="61"/>
  <c r="I2515" i="61"/>
  <c r="I2514" i="61"/>
  <c r="I2513" i="61"/>
  <c r="I2512" i="61"/>
  <c r="I2511" i="61"/>
  <c r="I2510" i="61"/>
  <c r="I2509" i="61"/>
  <c r="I2508" i="61"/>
  <c r="I2507" i="61"/>
  <c r="I2506" i="61"/>
  <c r="I2505" i="61"/>
  <c r="I2504" i="61"/>
  <c r="I2503" i="61"/>
  <c r="I2502" i="61"/>
  <c r="I2501" i="61"/>
  <c r="I2500" i="61"/>
  <c r="I2499" i="61"/>
  <c r="I2498" i="61"/>
  <c r="I2497" i="61"/>
  <c r="I2496" i="61"/>
  <c r="I2495" i="61"/>
  <c r="I2494" i="61"/>
  <c r="I2493" i="61"/>
  <c r="I2492" i="61"/>
  <c r="I2491" i="61"/>
  <c r="I2490" i="61"/>
  <c r="I2489" i="61"/>
  <c r="I2488" i="61"/>
  <c r="I2487" i="61"/>
  <c r="I2486" i="61"/>
  <c r="I2485" i="61"/>
  <c r="I2484" i="61"/>
  <c r="I2483" i="61"/>
  <c r="I2482" i="61"/>
  <c r="I2481" i="61"/>
  <c r="I2480" i="61"/>
  <c r="I2479" i="61"/>
  <c r="I2478" i="61"/>
  <c r="I2477" i="61"/>
  <c r="I2476" i="61"/>
  <c r="I2475" i="61"/>
  <c r="I2474" i="61"/>
  <c r="I2473" i="61"/>
  <c r="I2472" i="61"/>
  <c r="I2471" i="61"/>
  <c r="I2470" i="61"/>
  <c r="I2469" i="61"/>
  <c r="I2468" i="61"/>
  <c r="I2467" i="61"/>
  <c r="I2466" i="61"/>
  <c r="I2465" i="61"/>
  <c r="I2464" i="61"/>
  <c r="I2463" i="61"/>
  <c r="I2462" i="61"/>
  <c r="I2461" i="61"/>
  <c r="I2460" i="61"/>
  <c r="I2459" i="61"/>
  <c r="I2458" i="61"/>
  <c r="I2457" i="61"/>
  <c r="I2456" i="61"/>
  <c r="I2455" i="61"/>
  <c r="I2454" i="61"/>
  <c r="I2453" i="61"/>
  <c r="I2452" i="61"/>
  <c r="I2451" i="61"/>
  <c r="I2450" i="61"/>
  <c r="I2449" i="61"/>
  <c r="I2448" i="61"/>
  <c r="I2447" i="61"/>
  <c r="I2446" i="61"/>
  <c r="I2445" i="61"/>
  <c r="I2444" i="61"/>
  <c r="I2443" i="61"/>
  <c r="I2442" i="61"/>
  <c r="I2441" i="61"/>
  <c r="I2440" i="61"/>
  <c r="I2439" i="61"/>
  <c r="I2438" i="61"/>
  <c r="I2437" i="61"/>
  <c r="I2436" i="61"/>
  <c r="I2435" i="61"/>
  <c r="I2434" i="61"/>
  <c r="I2433" i="61"/>
  <c r="I2432" i="61"/>
  <c r="I2431" i="61"/>
  <c r="I2430" i="61"/>
  <c r="I2429" i="61"/>
  <c r="I2428" i="61"/>
  <c r="I2427" i="61"/>
  <c r="I2426" i="61"/>
  <c r="I2425" i="61"/>
  <c r="I2424" i="61"/>
  <c r="I2423" i="61"/>
  <c r="I2422" i="61"/>
  <c r="I2421" i="61"/>
  <c r="I2420" i="61"/>
  <c r="I2419" i="61"/>
  <c r="I2418" i="61"/>
  <c r="I2417" i="61"/>
  <c r="I2416" i="61"/>
  <c r="I2415" i="61"/>
  <c r="I2414" i="61"/>
  <c r="I2413" i="61"/>
  <c r="I2412" i="61"/>
  <c r="I2411" i="61"/>
  <c r="I2410" i="61"/>
  <c r="I2409" i="61"/>
  <c r="I2408" i="61"/>
  <c r="I2407" i="61"/>
  <c r="I2406" i="61"/>
  <c r="I2405" i="61"/>
  <c r="I2404" i="61"/>
  <c r="I2403" i="61"/>
  <c r="I2402" i="61"/>
  <c r="I2401" i="61"/>
  <c r="I2400" i="61"/>
  <c r="I2399" i="61"/>
  <c r="I2398" i="61"/>
  <c r="I2397" i="61"/>
  <c r="I2396" i="61"/>
  <c r="I2395" i="61"/>
  <c r="I2394" i="61"/>
  <c r="I2393" i="61"/>
  <c r="I2392" i="61"/>
  <c r="I2391" i="61"/>
  <c r="I2390" i="61"/>
  <c r="I2389" i="61"/>
  <c r="I2388" i="61"/>
  <c r="I2387" i="61"/>
  <c r="I2386" i="61"/>
  <c r="I2385" i="61"/>
  <c r="I2384" i="61"/>
  <c r="I2383" i="61"/>
  <c r="I2382" i="61"/>
  <c r="I2381" i="61"/>
  <c r="I2380" i="61"/>
  <c r="I2379" i="61"/>
  <c r="I2378" i="61"/>
  <c r="I2377" i="61"/>
  <c r="I2376" i="61"/>
  <c r="I2375" i="61"/>
  <c r="I2374" i="61"/>
  <c r="I2373" i="61"/>
  <c r="I2372" i="61"/>
  <c r="I2371" i="61"/>
  <c r="I2370" i="61"/>
  <c r="I2369" i="61"/>
  <c r="I2368" i="61"/>
  <c r="I2367" i="61"/>
  <c r="I2366" i="61"/>
  <c r="I2365" i="61"/>
  <c r="I2364" i="61"/>
  <c r="I2363" i="61"/>
  <c r="I2362" i="61"/>
  <c r="I2361" i="61"/>
  <c r="I2360" i="61"/>
  <c r="I2359" i="61"/>
  <c r="I2358" i="61"/>
  <c r="I2357" i="61"/>
  <c r="I2356" i="61"/>
  <c r="I2355" i="61"/>
  <c r="I2354" i="61"/>
  <c r="I2353" i="61"/>
  <c r="I2352" i="61"/>
  <c r="I2351" i="61"/>
  <c r="I2350" i="61"/>
  <c r="I2349" i="61"/>
  <c r="I2348" i="61"/>
  <c r="I2347" i="61"/>
  <c r="I2346" i="61"/>
  <c r="I2345" i="61"/>
  <c r="I2344" i="61"/>
  <c r="I2343" i="61"/>
  <c r="I2342" i="61"/>
  <c r="I2341" i="61"/>
  <c r="I2340" i="61"/>
  <c r="I2339" i="61"/>
  <c r="I2338" i="61"/>
  <c r="I2337" i="61"/>
  <c r="I2336" i="61"/>
  <c r="I2335" i="61"/>
  <c r="I2334" i="61"/>
  <c r="I2333" i="61"/>
  <c r="I2332" i="61"/>
  <c r="I2331" i="61"/>
  <c r="I2330" i="61"/>
  <c r="I2329" i="61"/>
  <c r="I2328" i="61"/>
  <c r="I2327" i="61"/>
  <c r="I2326" i="61"/>
  <c r="I2325" i="61"/>
  <c r="I2324" i="61"/>
  <c r="I2323" i="61"/>
  <c r="I2322" i="61"/>
  <c r="I2321" i="61"/>
  <c r="I2320" i="61"/>
  <c r="I2319" i="61"/>
  <c r="I2318" i="61"/>
  <c r="I2317" i="61"/>
  <c r="I2316" i="61"/>
  <c r="I2315" i="61"/>
  <c r="I2314" i="61"/>
  <c r="I2313" i="61"/>
  <c r="I2312" i="61"/>
  <c r="I2311" i="61"/>
  <c r="I2310" i="61"/>
  <c r="I2309" i="61"/>
  <c r="I2308" i="61"/>
  <c r="I2307" i="61"/>
  <c r="I2306" i="61"/>
  <c r="I2305" i="61"/>
  <c r="I2304" i="61"/>
  <c r="I2303" i="61"/>
  <c r="I2302" i="61"/>
  <c r="I2301" i="61"/>
  <c r="I2300" i="61"/>
  <c r="I2299" i="61"/>
  <c r="I2298" i="61"/>
  <c r="I2297" i="61"/>
  <c r="I2296" i="61"/>
  <c r="I2295" i="61"/>
  <c r="I2294" i="61"/>
  <c r="I2293" i="61"/>
  <c r="I2292" i="61"/>
  <c r="I2291" i="61"/>
  <c r="I2290" i="61"/>
  <c r="I2289" i="61"/>
  <c r="I2288" i="61"/>
  <c r="I2287" i="61"/>
  <c r="I2286" i="61"/>
  <c r="I2285" i="61"/>
  <c r="I2284" i="61"/>
  <c r="I2283" i="61"/>
  <c r="I2282" i="61"/>
  <c r="I2281" i="61"/>
  <c r="I2280" i="61"/>
  <c r="I2279" i="61"/>
  <c r="I2278" i="61"/>
  <c r="I2277" i="61"/>
  <c r="I2276" i="61"/>
  <c r="I2275" i="61"/>
  <c r="I2274" i="61"/>
  <c r="I2273" i="61"/>
  <c r="I2272" i="61"/>
  <c r="I2271" i="61"/>
  <c r="I2270" i="61"/>
  <c r="I2269" i="61"/>
  <c r="I2268" i="61"/>
  <c r="I2267" i="61"/>
  <c r="I2266" i="61"/>
  <c r="I2265" i="61"/>
  <c r="I2264" i="61"/>
  <c r="I2263" i="61"/>
  <c r="I2262" i="61"/>
  <c r="I2261" i="61"/>
  <c r="I2260" i="61"/>
  <c r="I2259" i="61"/>
  <c r="I2258" i="61"/>
  <c r="I2257" i="61"/>
  <c r="I2256" i="61"/>
  <c r="I2255" i="61"/>
  <c r="I2254" i="61"/>
  <c r="I2253" i="61"/>
  <c r="I2252" i="61"/>
  <c r="I2251" i="61"/>
  <c r="I2250" i="61"/>
  <c r="I2249" i="61"/>
  <c r="I2248" i="61"/>
  <c r="I2247" i="61"/>
  <c r="I2246" i="61"/>
  <c r="I2245" i="61"/>
  <c r="I2244" i="61"/>
  <c r="I2243" i="61"/>
  <c r="I2242" i="61"/>
  <c r="I2241" i="61"/>
  <c r="I2240" i="61"/>
  <c r="I2239" i="61"/>
  <c r="I2238" i="61"/>
  <c r="I2237" i="61"/>
  <c r="I2236" i="61"/>
  <c r="I2235" i="61"/>
  <c r="I2234" i="61"/>
  <c r="I2233" i="61"/>
  <c r="I2232" i="61"/>
  <c r="I2231" i="61"/>
  <c r="I2230" i="61"/>
  <c r="I2229" i="61"/>
  <c r="I2228" i="61"/>
  <c r="I2227" i="61"/>
  <c r="I2226" i="61"/>
  <c r="I2225" i="61"/>
  <c r="I2224" i="61"/>
  <c r="I2223" i="61"/>
  <c r="I2222" i="61"/>
  <c r="I2221" i="61"/>
  <c r="I2220" i="61"/>
  <c r="I2219" i="61"/>
  <c r="I2218" i="61"/>
  <c r="I2217" i="61"/>
  <c r="I2216" i="61"/>
  <c r="I2215" i="61"/>
  <c r="I2214" i="61"/>
  <c r="I2213" i="61"/>
  <c r="I2212" i="61"/>
  <c r="I2211" i="61"/>
  <c r="I2210" i="61"/>
  <c r="I2209" i="61"/>
  <c r="I2208" i="61"/>
  <c r="I2207" i="61"/>
  <c r="I2206" i="61"/>
  <c r="I2205" i="61"/>
  <c r="I2204" i="61"/>
  <c r="I2203" i="61"/>
  <c r="I2202" i="61"/>
  <c r="I2201" i="61"/>
  <c r="I2200" i="61"/>
  <c r="I2199" i="61"/>
  <c r="I2198" i="61"/>
  <c r="I2197" i="61"/>
  <c r="I2196" i="61"/>
  <c r="I2195" i="61"/>
  <c r="I2194" i="61"/>
  <c r="I2193" i="61"/>
  <c r="I2192" i="61"/>
  <c r="I2191" i="61"/>
  <c r="I2190" i="61"/>
  <c r="I2189" i="61"/>
  <c r="I2188" i="61"/>
  <c r="I2187" i="61"/>
  <c r="I2186" i="61"/>
  <c r="I2185" i="61"/>
  <c r="I2184" i="61"/>
  <c r="I2183" i="61"/>
  <c r="I2182" i="61"/>
  <c r="I2181" i="61"/>
  <c r="I2180" i="61"/>
  <c r="I2179" i="61"/>
  <c r="I2178" i="61"/>
  <c r="I2177" i="61"/>
  <c r="I2176" i="61"/>
  <c r="I2175" i="61"/>
  <c r="I2174" i="61"/>
  <c r="I2173" i="61"/>
  <c r="I2172" i="61"/>
  <c r="I2171" i="61"/>
  <c r="I2170" i="61"/>
  <c r="I2169" i="61"/>
  <c r="I2168" i="61"/>
  <c r="I2167" i="61"/>
  <c r="I2166" i="61"/>
  <c r="I2165" i="61"/>
  <c r="I2164" i="61"/>
  <c r="I2163" i="61"/>
  <c r="I2162" i="61"/>
  <c r="I2161" i="61"/>
  <c r="I2160" i="61"/>
  <c r="I2159" i="61"/>
  <c r="I2158" i="61"/>
  <c r="I2157" i="61"/>
  <c r="I2156" i="61"/>
  <c r="I2155" i="61"/>
  <c r="I2154" i="61"/>
  <c r="I2153" i="61"/>
  <c r="I2152" i="61"/>
  <c r="I2151" i="61"/>
  <c r="I2150" i="61"/>
  <c r="I2149" i="61"/>
  <c r="I2148" i="61"/>
  <c r="I2147" i="61"/>
  <c r="I2146" i="61"/>
  <c r="I2145" i="61"/>
  <c r="I2144" i="61"/>
  <c r="I2143" i="61"/>
  <c r="I2142" i="61"/>
  <c r="I2141" i="61"/>
  <c r="I2140" i="61"/>
  <c r="I2139" i="61"/>
  <c r="I2138" i="61"/>
  <c r="I2137" i="61"/>
  <c r="I2136" i="61"/>
  <c r="I2135" i="61"/>
  <c r="I2134" i="61"/>
  <c r="I2133" i="61"/>
  <c r="I2132" i="61"/>
  <c r="I2131" i="61"/>
  <c r="I2130" i="61"/>
  <c r="I2129" i="61"/>
  <c r="I2128" i="61"/>
  <c r="I2127" i="61"/>
  <c r="I2126" i="61"/>
  <c r="I2125" i="61"/>
  <c r="I2124" i="61"/>
  <c r="I2123" i="61"/>
  <c r="I2122" i="61"/>
  <c r="I2121" i="61"/>
  <c r="I2120" i="61"/>
  <c r="I2119" i="61"/>
  <c r="I2118" i="61"/>
  <c r="I2117" i="61"/>
  <c r="I2116" i="61"/>
  <c r="I2115" i="61"/>
  <c r="I2114" i="61"/>
  <c r="I2113" i="61"/>
  <c r="I2112" i="61"/>
  <c r="I2111" i="61"/>
  <c r="I2110" i="61"/>
  <c r="I2109" i="61"/>
  <c r="I2108" i="61"/>
  <c r="I2107" i="61"/>
  <c r="I2106" i="61"/>
  <c r="I2105" i="61"/>
  <c r="I2104" i="61"/>
  <c r="I2103" i="61"/>
  <c r="I2102" i="61"/>
  <c r="I2101" i="61"/>
  <c r="I2100" i="61"/>
  <c r="I2099" i="61"/>
  <c r="I2098" i="61"/>
  <c r="I2097" i="61"/>
  <c r="I2096" i="61"/>
  <c r="I2095" i="61"/>
  <c r="I2094" i="61"/>
  <c r="I2093" i="61"/>
  <c r="I2092" i="61"/>
  <c r="I2091" i="61"/>
  <c r="I2090" i="61"/>
  <c r="I2089" i="61"/>
  <c r="I2088" i="61"/>
  <c r="I2087" i="61"/>
  <c r="I2086" i="61"/>
  <c r="I2085" i="61"/>
  <c r="I2084" i="61"/>
  <c r="I2083" i="61"/>
  <c r="I2082" i="61"/>
  <c r="I2081" i="61"/>
  <c r="I2080" i="61"/>
  <c r="I2079" i="61"/>
  <c r="I2078" i="61"/>
  <c r="I2077" i="61"/>
  <c r="I2076" i="61"/>
  <c r="I2075" i="61"/>
  <c r="I2074" i="61"/>
  <c r="I2073" i="61"/>
  <c r="I2072" i="61"/>
  <c r="I2071" i="61"/>
  <c r="I2070" i="61"/>
  <c r="I2069" i="61"/>
  <c r="I2068" i="61"/>
  <c r="I2067" i="61"/>
  <c r="I2066" i="61"/>
  <c r="I2065" i="61"/>
  <c r="I2064" i="61"/>
  <c r="I2063" i="61"/>
  <c r="I2062" i="61"/>
  <c r="I2061" i="61"/>
  <c r="I2060" i="61"/>
  <c r="I2059" i="61"/>
  <c r="I2058" i="61"/>
  <c r="I2057" i="61"/>
  <c r="I2056" i="61"/>
  <c r="I2055" i="61"/>
  <c r="I2054" i="61"/>
  <c r="I2053" i="61"/>
  <c r="I2052" i="61"/>
  <c r="I2051" i="61"/>
  <c r="I2050" i="61"/>
  <c r="I2049" i="61"/>
  <c r="I2048" i="61"/>
  <c r="I2047" i="61"/>
  <c r="I2046" i="61"/>
  <c r="I2045" i="61"/>
  <c r="I2044" i="61"/>
  <c r="I2043" i="61"/>
  <c r="I2042" i="61"/>
  <c r="I2041" i="61"/>
  <c r="I2040" i="61"/>
  <c r="I2039" i="61"/>
  <c r="I2038" i="61"/>
  <c r="I2037" i="61"/>
  <c r="I2036" i="61"/>
  <c r="I2035" i="61"/>
  <c r="I2034" i="61"/>
  <c r="I2033" i="61"/>
  <c r="I2032" i="61"/>
  <c r="I2031" i="61"/>
  <c r="I2030" i="61"/>
  <c r="I2029" i="61"/>
  <c r="I2028" i="61"/>
  <c r="I2027" i="61"/>
  <c r="I2026" i="61"/>
  <c r="I2025" i="61"/>
  <c r="I2024" i="61"/>
  <c r="I2023" i="61"/>
  <c r="I2022" i="61"/>
  <c r="I2021" i="61"/>
  <c r="I2020" i="61"/>
  <c r="I2019" i="61"/>
  <c r="I2018" i="61"/>
  <c r="I2017" i="61"/>
  <c r="I2016" i="61"/>
  <c r="I2015" i="61"/>
  <c r="I2014" i="61"/>
  <c r="I2013" i="61"/>
  <c r="I2012" i="61"/>
  <c r="I2011" i="61"/>
  <c r="I2010" i="61"/>
  <c r="I2009" i="61"/>
  <c r="I2008" i="61"/>
  <c r="I2007" i="61"/>
  <c r="I2006" i="61"/>
  <c r="I2005" i="61"/>
  <c r="I2004" i="61"/>
  <c r="I2003" i="61"/>
  <c r="I2002" i="61"/>
  <c r="I2001" i="61"/>
  <c r="I2000" i="61"/>
  <c r="I1999" i="61"/>
  <c r="I1998" i="61"/>
  <c r="I1997" i="61"/>
  <c r="I1996" i="61"/>
  <c r="I1995" i="61"/>
  <c r="I1994" i="61"/>
  <c r="I1993" i="61"/>
  <c r="I1992" i="61"/>
  <c r="I1991" i="61"/>
  <c r="I1990" i="61"/>
  <c r="I1989" i="61"/>
  <c r="I1988" i="61"/>
  <c r="I1987" i="61"/>
  <c r="I1986" i="61"/>
  <c r="I1985" i="61"/>
  <c r="I1984" i="61"/>
  <c r="I1983" i="61"/>
  <c r="I1982" i="61"/>
  <c r="I1981" i="61"/>
  <c r="I1980" i="61"/>
  <c r="I1979" i="61"/>
  <c r="I1978" i="61"/>
  <c r="I1977" i="61"/>
  <c r="I1976" i="61"/>
  <c r="I1975" i="61"/>
  <c r="I1974" i="61"/>
  <c r="I1973" i="61"/>
  <c r="I1972" i="61"/>
  <c r="I1971" i="61"/>
  <c r="I1970" i="61"/>
  <c r="I1969" i="61"/>
  <c r="I1968" i="61"/>
  <c r="I1967" i="61"/>
  <c r="I1966" i="61"/>
  <c r="I1965" i="61"/>
  <c r="I1964" i="61"/>
  <c r="I1963" i="61"/>
  <c r="I1962" i="61"/>
  <c r="I1961" i="61"/>
  <c r="I1960" i="61"/>
  <c r="I1959" i="61"/>
  <c r="I1958" i="61"/>
  <c r="I1957" i="61"/>
  <c r="I1956" i="61"/>
  <c r="I1955" i="61"/>
  <c r="I1954" i="61"/>
  <c r="I1953" i="61"/>
  <c r="I1952" i="61"/>
  <c r="I1951" i="61"/>
  <c r="I1950" i="61"/>
  <c r="I1949" i="61"/>
  <c r="I1948" i="61"/>
  <c r="I1947" i="61"/>
  <c r="I1946" i="61"/>
  <c r="I1945" i="61"/>
  <c r="I1944" i="61"/>
  <c r="I1943" i="61"/>
  <c r="I1942" i="61"/>
  <c r="I1941" i="61"/>
  <c r="I1940" i="61"/>
  <c r="I1939" i="61"/>
  <c r="I1938" i="61"/>
  <c r="I1937" i="61"/>
  <c r="I1936" i="61"/>
  <c r="I1935" i="61"/>
  <c r="I1934" i="61"/>
  <c r="I1933" i="61"/>
  <c r="I1932" i="61"/>
  <c r="I1931" i="61"/>
  <c r="I1930" i="61"/>
  <c r="I1929" i="61"/>
  <c r="I1928" i="61"/>
  <c r="I1927" i="61"/>
  <c r="I1926" i="61"/>
  <c r="I1925" i="61"/>
  <c r="I1924" i="61"/>
  <c r="I1923" i="61"/>
  <c r="I1922" i="61"/>
  <c r="I1921" i="61"/>
  <c r="I1920" i="61"/>
  <c r="I1919" i="61"/>
  <c r="I1918" i="61"/>
  <c r="I1917" i="61"/>
  <c r="I1916" i="61"/>
  <c r="I1915" i="61"/>
  <c r="I1914" i="61"/>
  <c r="I1913" i="61"/>
  <c r="I1912" i="61"/>
  <c r="I1911" i="61"/>
  <c r="I1910" i="61"/>
  <c r="I1909" i="61"/>
  <c r="I1908" i="61"/>
  <c r="I1907" i="61"/>
  <c r="I1906" i="61"/>
  <c r="I1905" i="61"/>
  <c r="I1904" i="61"/>
  <c r="I1903" i="61"/>
  <c r="I1902" i="61"/>
  <c r="I1901" i="61"/>
  <c r="I1900" i="61"/>
  <c r="I1899" i="61"/>
  <c r="I1898" i="61"/>
  <c r="I1897" i="61"/>
  <c r="I1896" i="61"/>
  <c r="I1895" i="61"/>
  <c r="I1894" i="61"/>
  <c r="I1893" i="61"/>
  <c r="I1892" i="61"/>
  <c r="I1891" i="61"/>
  <c r="I1890" i="61"/>
  <c r="I1889" i="61"/>
  <c r="I1888" i="61"/>
  <c r="I1887" i="61"/>
  <c r="I1886" i="61"/>
  <c r="I1885" i="61"/>
  <c r="I1884" i="61"/>
  <c r="I1883" i="61"/>
  <c r="I1882" i="61"/>
  <c r="I1881" i="61"/>
  <c r="I1880" i="61"/>
  <c r="I1879" i="61"/>
  <c r="I1878" i="61"/>
  <c r="I1877" i="61"/>
  <c r="I1876" i="61"/>
  <c r="I1875" i="61"/>
  <c r="I1874" i="61"/>
  <c r="I1873" i="61"/>
  <c r="I1872" i="61"/>
  <c r="I1871" i="61"/>
  <c r="I1870" i="61"/>
  <c r="I1869" i="61"/>
  <c r="I1868" i="61"/>
  <c r="I1867" i="61"/>
  <c r="I1866" i="61"/>
  <c r="I1865" i="61"/>
  <c r="I1864" i="61"/>
  <c r="I1863" i="61"/>
  <c r="I1862" i="61"/>
  <c r="I1861" i="61"/>
  <c r="I1860" i="61"/>
  <c r="I1859" i="61"/>
  <c r="I1858" i="61"/>
  <c r="I1857" i="61"/>
  <c r="I1856" i="61"/>
  <c r="I1855" i="61"/>
  <c r="I1854" i="61"/>
  <c r="I1853" i="61"/>
  <c r="I1852" i="61"/>
  <c r="I1851" i="61"/>
  <c r="I1850" i="61"/>
  <c r="I1849" i="61"/>
  <c r="I1848" i="61"/>
  <c r="I1847" i="61"/>
  <c r="I1846" i="61"/>
  <c r="I1845" i="61"/>
  <c r="I1844" i="61"/>
  <c r="I1843" i="61"/>
  <c r="I1842" i="61"/>
  <c r="I1841" i="61"/>
  <c r="I1840" i="61"/>
  <c r="I1839" i="61"/>
  <c r="I1838" i="61"/>
  <c r="I1837" i="61"/>
  <c r="I1836" i="61"/>
  <c r="I1835" i="61"/>
  <c r="I1834" i="61"/>
  <c r="I1833" i="61"/>
  <c r="I1832" i="61"/>
  <c r="I1831" i="61"/>
  <c r="I1830" i="61"/>
  <c r="I1829" i="61"/>
  <c r="I1828" i="61"/>
  <c r="I1827" i="61"/>
  <c r="I1826" i="61"/>
  <c r="I1825" i="61"/>
  <c r="I1824" i="61"/>
  <c r="I1823" i="61"/>
  <c r="I1822" i="61"/>
  <c r="I1821" i="61"/>
  <c r="I1820" i="61"/>
  <c r="I1819" i="61"/>
  <c r="I1818" i="61"/>
  <c r="I1817" i="61"/>
  <c r="I1816" i="61"/>
  <c r="I1815" i="61"/>
  <c r="I1814" i="61"/>
  <c r="I1813" i="61"/>
  <c r="I1812" i="61"/>
  <c r="I1811" i="61"/>
  <c r="I1810" i="61"/>
  <c r="I1809" i="61"/>
  <c r="I1808" i="61"/>
  <c r="I1807" i="61"/>
  <c r="I1806" i="61"/>
  <c r="I1805" i="61"/>
  <c r="I1804" i="61"/>
  <c r="I1803" i="61"/>
  <c r="I1802" i="61"/>
  <c r="I1801" i="61"/>
  <c r="I1800" i="61"/>
  <c r="I1799" i="61"/>
  <c r="I1798" i="61"/>
  <c r="I1797" i="61"/>
  <c r="I1796" i="61"/>
  <c r="I1795" i="61"/>
  <c r="I1794" i="61"/>
  <c r="I1793" i="61"/>
  <c r="I1792" i="61"/>
  <c r="I1791" i="61"/>
  <c r="I1790" i="61"/>
  <c r="I1789" i="61"/>
  <c r="I1788" i="61"/>
  <c r="I1787" i="61"/>
  <c r="I1786" i="61"/>
  <c r="I1785" i="61"/>
  <c r="I1784" i="61"/>
  <c r="I1783" i="61"/>
  <c r="I1782" i="61"/>
  <c r="I1781" i="61"/>
  <c r="I1780" i="61"/>
  <c r="I1779" i="61"/>
  <c r="I1778" i="61"/>
  <c r="I1777" i="61"/>
  <c r="I1776" i="61"/>
  <c r="I1775" i="61"/>
  <c r="I1774" i="61"/>
  <c r="I1773" i="61"/>
  <c r="I1772" i="61"/>
  <c r="I1771" i="61"/>
  <c r="I1770" i="61"/>
  <c r="I1769" i="61"/>
  <c r="I1768" i="61"/>
  <c r="I1767" i="61"/>
  <c r="I1766" i="61"/>
  <c r="I1765" i="61"/>
  <c r="I1764" i="61"/>
  <c r="I1763" i="61"/>
  <c r="I1762" i="61"/>
  <c r="I1761" i="61"/>
  <c r="I1760" i="61"/>
  <c r="I1759" i="61"/>
  <c r="I1758" i="61"/>
  <c r="I1757" i="61"/>
  <c r="I1756" i="61"/>
  <c r="I1755" i="61"/>
  <c r="I1754" i="61"/>
  <c r="I1753" i="61"/>
  <c r="I1752" i="61"/>
  <c r="I1751" i="61"/>
  <c r="I1750" i="61"/>
  <c r="I1749" i="61"/>
  <c r="I1748" i="61"/>
  <c r="I1747" i="61"/>
  <c r="I1746" i="61"/>
  <c r="I1745" i="61"/>
  <c r="I1744" i="61"/>
  <c r="I1743" i="61"/>
  <c r="I1742" i="61"/>
  <c r="I1741" i="61"/>
  <c r="I1740" i="61"/>
  <c r="I1739" i="61"/>
  <c r="I1738" i="61"/>
  <c r="I1737" i="61"/>
  <c r="I1736" i="61"/>
  <c r="I1735" i="61"/>
  <c r="I1734" i="61"/>
  <c r="I1733" i="61"/>
  <c r="I1732" i="61"/>
  <c r="I1731" i="61"/>
  <c r="I1730" i="61"/>
  <c r="I1729" i="61"/>
  <c r="I1728" i="61"/>
  <c r="I1727" i="61"/>
  <c r="I1726" i="61"/>
  <c r="I1725" i="61"/>
  <c r="I1724" i="61"/>
  <c r="I1723" i="61"/>
  <c r="I1722" i="61"/>
  <c r="I1721" i="61"/>
  <c r="I1720" i="61"/>
  <c r="I1719" i="61"/>
  <c r="I1718" i="61"/>
  <c r="I1717" i="61"/>
  <c r="I1716" i="61"/>
  <c r="I1715" i="61"/>
  <c r="I1714" i="61"/>
  <c r="I1713" i="61"/>
  <c r="I1712" i="61"/>
  <c r="I1711" i="61"/>
  <c r="I1710" i="61"/>
  <c r="I1709" i="61"/>
  <c r="I1708" i="61"/>
  <c r="I1707" i="61"/>
  <c r="I1706" i="61"/>
  <c r="I1705" i="61"/>
  <c r="I1704" i="61"/>
  <c r="I1703" i="61"/>
  <c r="I1702" i="61"/>
  <c r="I1701" i="61"/>
  <c r="I1700" i="61"/>
  <c r="I1699" i="61"/>
  <c r="I1698" i="61"/>
  <c r="I1697" i="61"/>
  <c r="I1696" i="61"/>
  <c r="I1695" i="61"/>
  <c r="I1694" i="61"/>
  <c r="I1693" i="61"/>
  <c r="I1692" i="61"/>
  <c r="I1691" i="61"/>
  <c r="I1690" i="61"/>
  <c r="I1689" i="61"/>
  <c r="I1688" i="61"/>
  <c r="I1687" i="61"/>
  <c r="I1686" i="61"/>
  <c r="I1685" i="61"/>
  <c r="I1684" i="61"/>
  <c r="I1683" i="61"/>
  <c r="I1682" i="61"/>
  <c r="I1681" i="61"/>
  <c r="I1680" i="61"/>
  <c r="I1679" i="61"/>
  <c r="I1678" i="61"/>
  <c r="I1677" i="61"/>
  <c r="I1676" i="61"/>
  <c r="I1675" i="61"/>
  <c r="I1674" i="61"/>
  <c r="I1673" i="61"/>
  <c r="I1672" i="61"/>
  <c r="I1671" i="61"/>
  <c r="I1670" i="61"/>
  <c r="I1669" i="61"/>
  <c r="I1668" i="61"/>
  <c r="I1667" i="61"/>
  <c r="I1666" i="61"/>
  <c r="I1665" i="61"/>
  <c r="I1664" i="61"/>
  <c r="I1663" i="61"/>
  <c r="I1662" i="61"/>
  <c r="I1661" i="61"/>
  <c r="I1660" i="61"/>
  <c r="I1659" i="61"/>
  <c r="I1658" i="61"/>
  <c r="I1657" i="61"/>
  <c r="I1656" i="61"/>
  <c r="I1655" i="61"/>
  <c r="I1654" i="61"/>
  <c r="I1653" i="61"/>
  <c r="I1652" i="61"/>
  <c r="I1651" i="61"/>
  <c r="I1650" i="61"/>
  <c r="I1649" i="61"/>
  <c r="I1648" i="61"/>
  <c r="I1647" i="61"/>
  <c r="I1646" i="61"/>
  <c r="I1645" i="61"/>
  <c r="I1644" i="61"/>
  <c r="I1643" i="61"/>
  <c r="I1642" i="61"/>
  <c r="I1641" i="61"/>
  <c r="I1640" i="61"/>
  <c r="I1639" i="61"/>
  <c r="I1638" i="61"/>
  <c r="I1637" i="61"/>
  <c r="I1636" i="61"/>
  <c r="I1635" i="61"/>
  <c r="I1634" i="61"/>
  <c r="I1633" i="61"/>
  <c r="I1632" i="61"/>
  <c r="I1631" i="61"/>
  <c r="I1630" i="61"/>
  <c r="I1629" i="61"/>
  <c r="I1628" i="61"/>
  <c r="I1627" i="61"/>
  <c r="I1626" i="61"/>
  <c r="I1625" i="61"/>
  <c r="I1624" i="61"/>
  <c r="I1623" i="61"/>
  <c r="I1622" i="61"/>
  <c r="I1621" i="61"/>
  <c r="I1620" i="61"/>
  <c r="I1619" i="61"/>
  <c r="I1618" i="61"/>
  <c r="I1617" i="61"/>
  <c r="I1616" i="61"/>
  <c r="I1615" i="61"/>
  <c r="I1614" i="61"/>
  <c r="I1613" i="61"/>
  <c r="I1612" i="61"/>
  <c r="I1611" i="61"/>
  <c r="I1610" i="61"/>
  <c r="I1609" i="61"/>
  <c r="I1608" i="61"/>
  <c r="I1607" i="61"/>
  <c r="I1606" i="61"/>
  <c r="I1605" i="61"/>
  <c r="I1604" i="61"/>
  <c r="I1603" i="61"/>
  <c r="I1602" i="61"/>
  <c r="I1601" i="61"/>
  <c r="I1600" i="61"/>
  <c r="I1599" i="61"/>
  <c r="I1598" i="61"/>
  <c r="I1597" i="61"/>
  <c r="I1596" i="61"/>
  <c r="I1595" i="61"/>
  <c r="I1594" i="61"/>
  <c r="I1593" i="61"/>
  <c r="I1592" i="61"/>
  <c r="I1591" i="61"/>
  <c r="I1590" i="61"/>
  <c r="I1589" i="61"/>
  <c r="I1588" i="61"/>
  <c r="I1587" i="61"/>
  <c r="I1586" i="61"/>
  <c r="I1585" i="61"/>
  <c r="I1584" i="61"/>
  <c r="I1583" i="61"/>
  <c r="I1582" i="61"/>
  <c r="I1581" i="61"/>
  <c r="I1580" i="61"/>
  <c r="I1579" i="61"/>
  <c r="I1578" i="61"/>
  <c r="I1577" i="61"/>
  <c r="I1576" i="61"/>
  <c r="I1575" i="61"/>
  <c r="I1574" i="61"/>
  <c r="I1573" i="61"/>
  <c r="I1572" i="61"/>
  <c r="I1571" i="61"/>
  <c r="I1570" i="61"/>
  <c r="I1569" i="61"/>
  <c r="I1568" i="61"/>
  <c r="I1567" i="61"/>
  <c r="I1566" i="61"/>
  <c r="I1565" i="61"/>
  <c r="I1564" i="61"/>
  <c r="I1563" i="61"/>
  <c r="I1562" i="61"/>
  <c r="I1561" i="61"/>
  <c r="I1560" i="61"/>
  <c r="I1559" i="61"/>
  <c r="I1558" i="61"/>
  <c r="I1557" i="61"/>
  <c r="I1556" i="61"/>
  <c r="I1555" i="61"/>
  <c r="I1554" i="61"/>
  <c r="I1553" i="61"/>
  <c r="I1552" i="61"/>
  <c r="I1551" i="61"/>
  <c r="I1550" i="61"/>
  <c r="I1549" i="61"/>
  <c r="I1548" i="61"/>
  <c r="I1547" i="61"/>
  <c r="I1546" i="61"/>
  <c r="I1545" i="61"/>
  <c r="I1544" i="61"/>
  <c r="I1543" i="61"/>
  <c r="I1542" i="61"/>
  <c r="I1541" i="61"/>
  <c r="I1540" i="61"/>
  <c r="I1539" i="61"/>
  <c r="I1538" i="61"/>
  <c r="I1537" i="61"/>
  <c r="I1536" i="61"/>
  <c r="I1535" i="61"/>
  <c r="I1534" i="61"/>
  <c r="I1533" i="61"/>
  <c r="I1532" i="61"/>
  <c r="I1531" i="61"/>
  <c r="I1530" i="61"/>
  <c r="I1529" i="61"/>
  <c r="I1528" i="61"/>
  <c r="I1527" i="61"/>
  <c r="I1526" i="61"/>
  <c r="I1525" i="61"/>
  <c r="I1524" i="61"/>
  <c r="I1523" i="61"/>
  <c r="I1522" i="61"/>
  <c r="I1521" i="61"/>
  <c r="I1520" i="61"/>
  <c r="I1519" i="61"/>
  <c r="I1518" i="61"/>
  <c r="I1517" i="61"/>
  <c r="I1516" i="61"/>
  <c r="I1515" i="61"/>
  <c r="I1514" i="61"/>
  <c r="I1513" i="61"/>
  <c r="I1512" i="61"/>
  <c r="I1511" i="61"/>
  <c r="I1510" i="61"/>
  <c r="I1509" i="61"/>
  <c r="I1508" i="61"/>
  <c r="I1507" i="61"/>
  <c r="I1506" i="61"/>
  <c r="I1505" i="61"/>
  <c r="I1504" i="61"/>
  <c r="I1503" i="61"/>
  <c r="I1502" i="61"/>
  <c r="I1501" i="61"/>
  <c r="I1500" i="61"/>
  <c r="I1499" i="61"/>
  <c r="I1498" i="61"/>
  <c r="I1497" i="61"/>
  <c r="I1496" i="61"/>
  <c r="I1495" i="61"/>
  <c r="I1494" i="61"/>
  <c r="I1493" i="61"/>
  <c r="I1492" i="61"/>
  <c r="I1491" i="61"/>
  <c r="I1490" i="61"/>
  <c r="I1489" i="61"/>
  <c r="I1488" i="61"/>
  <c r="I1487" i="61"/>
  <c r="I1486" i="61"/>
  <c r="I1485" i="61"/>
  <c r="I1484" i="61"/>
  <c r="I1483" i="61"/>
  <c r="I1482" i="61"/>
  <c r="I1481" i="61"/>
  <c r="I1480" i="61"/>
  <c r="I1479" i="61"/>
  <c r="I1478" i="61"/>
  <c r="I1477" i="61"/>
  <c r="I1476" i="61"/>
  <c r="I1475" i="61"/>
  <c r="I1474" i="61"/>
  <c r="I1473" i="61"/>
  <c r="I1472" i="61"/>
  <c r="I1471" i="61"/>
  <c r="I1470" i="61"/>
  <c r="I1469" i="61"/>
  <c r="I1468" i="61"/>
  <c r="I1467" i="61"/>
  <c r="I1466" i="61"/>
  <c r="I1465" i="61"/>
  <c r="I1464" i="61"/>
  <c r="I1463" i="61"/>
  <c r="I1462" i="61"/>
  <c r="I1461" i="61"/>
  <c r="I1460" i="61"/>
  <c r="I1459" i="61"/>
  <c r="I1458" i="61"/>
  <c r="I1457" i="61"/>
  <c r="I1456" i="61"/>
  <c r="I1455" i="61"/>
  <c r="I1454" i="61"/>
  <c r="I1453" i="61"/>
  <c r="I1452" i="61"/>
  <c r="I1451" i="61"/>
  <c r="I1450" i="61"/>
  <c r="I1449" i="61"/>
  <c r="I1448" i="61"/>
  <c r="I1447" i="61"/>
  <c r="I1446" i="61"/>
  <c r="I1445" i="61"/>
  <c r="I1444" i="61"/>
  <c r="I1443" i="61"/>
  <c r="I1442" i="61"/>
  <c r="I1441" i="61"/>
  <c r="I1440" i="61"/>
  <c r="I1439" i="61"/>
  <c r="I1438" i="61"/>
  <c r="I1437" i="61"/>
  <c r="I1436" i="61"/>
  <c r="I1435" i="61"/>
  <c r="I1434" i="61"/>
  <c r="I1433" i="61"/>
  <c r="I1432" i="61"/>
  <c r="I1431" i="61"/>
  <c r="I1430" i="61"/>
  <c r="I1429" i="61"/>
  <c r="I1428" i="61"/>
  <c r="I1427" i="61"/>
  <c r="I1426" i="61"/>
  <c r="I1425" i="61"/>
  <c r="I1424" i="61"/>
  <c r="I1423" i="61"/>
  <c r="I1422" i="61"/>
  <c r="I1421" i="61"/>
  <c r="I1420" i="61"/>
  <c r="I1419" i="61"/>
  <c r="I1418" i="61"/>
  <c r="I1417" i="61"/>
  <c r="I1416" i="61"/>
  <c r="I1415" i="61"/>
  <c r="I1414" i="61"/>
  <c r="I1413" i="61"/>
  <c r="I1412" i="61"/>
  <c r="I1411" i="61"/>
  <c r="I1410" i="61"/>
  <c r="I1409" i="61"/>
  <c r="I1408" i="61"/>
  <c r="I1407" i="61"/>
  <c r="I1406" i="61"/>
  <c r="I1405" i="61"/>
  <c r="I1404" i="61"/>
  <c r="I1403" i="61"/>
  <c r="I1402" i="61"/>
  <c r="I1401" i="61"/>
  <c r="I1400" i="61"/>
  <c r="I1399" i="61"/>
  <c r="I1398" i="61"/>
  <c r="I1397" i="61"/>
  <c r="I1396" i="61"/>
  <c r="I1395" i="61"/>
  <c r="I1394" i="61"/>
  <c r="I1393" i="61"/>
  <c r="I1392" i="61"/>
  <c r="I1391" i="61"/>
  <c r="I1390" i="61"/>
  <c r="I1389" i="61"/>
  <c r="I1388" i="61"/>
  <c r="I1387" i="61"/>
  <c r="I1386" i="61"/>
  <c r="I1385" i="61"/>
  <c r="I1384" i="61"/>
  <c r="I1383" i="61"/>
  <c r="I1382" i="61"/>
  <c r="I1381" i="61"/>
  <c r="I1380" i="61"/>
  <c r="I1379" i="61"/>
  <c r="I1378" i="61"/>
  <c r="I1377" i="61"/>
  <c r="I1376" i="61"/>
  <c r="I1375" i="61"/>
  <c r="I1374" i="61"/>
  <c r="I1373" i="61"/>
  <c r="I1372" i="61"/>
  <c r="I1371" i="61"/>
  <c r="I1370" i="61"/>
  <c r="I1369" i="61"/>
  <c r="I1368" i="61"/>
  <c r="I1367" i="61"/>
  <c r="I1366" i="61"/>
  <c r="I1365" i="61"/>
  <c r="I1364" i="61"/>
  <c r="I1363" i="61"/>
  <c r="I1362" i="61"/>
  <c r="I1361" i="61"/>
  <c r="I1360" i="61"/>
  <c r="I1359" i="61"/>
  <c r="I1358" i="61"/>
  <c r="I1357" i="61"/>
  <c r="I1356" i="61"/>
  <c r="I1355" i="61"/>
  <c r="I1354" i="61"/>
  <c r="I1353" i="61"/>
  <c r="I1352" i="61"/>
  <c r="I1351" i="61"/>
  <c r="I1350" i="61"/>
  <c r="I1349" i="61"/>
  <c r="I1348" i="61"/>
  <c r="I1347" i="61"/>
  <c r="I1346" i="61"/>
  <c r="I1345" i="61"/>
  <c r="I1344" i="61"/>
  <c r="I1343" i="61"/>
  <c r="I1342" i="61"/>
  <c r="I1341" i="61"/>
  <c r="I1340" i="61"/>
  <c r="I1339" i="61"/>
  <c r="I1338" i="61"/>
  <c r="I1337" i="61"/>
  <c r="I1336" i="61"/>
  <c r="I1335" i="61"/>
  <c r="I1334" i="61"/>
  <c r="I1333" i="61"/>
  <c r="I1332" i="61"/>
  <c r="I1331" i="61"/>
  <c r="I1330" i="61"/>
  <c r="I1329" i="61"/>
  <c r="I1328" i="61"/>
  <c r="I1327" i="61"/>
  <c r="I1326" i="61"/>
  <c r="I1325" i="61"/>
  <c r="I1324" i="61"/>
  <c r="I1323" i="61"/>
  <c r="I1322" i="61"/>
  <c r="I1321" i="61"/>
  <c r="I1320" i="61"/>
  <c r="I1319" i="61"/>
  <c r="I1318" i="61"/>
  <c r="I1317" i="61"/>
  <c r="I1316" i="61"/>
  <c r="I1315" i="61"/>
  <c r="I1314" i="61"/>
  <c r="I1313" i="61"/>
  <c r="I1312" i="61"/>
  <c r="I1311" i="61"/>
  <c r="I1310" i="61"/>
  <c r="I1309" i="61"/>
  <c r="I1308" i="61"/>
  <c r="I1307" i="61"/>
  <c r="I1306" i="61"/>
  <c r="I1305" i="61"/>
  <c r="I1304" i="61"/>
  <c r="I1303" i="61"/>
  <c r="I1302" i="61"/>
  <c r="I1301" i="61"/>
  <c r="I1300" i="61"/>
  <c r="I1299" i="61"/>
  <c r="I1298" i="61"/>
  <c r="I1297" i="61"/>
  <c r="I1296" i="61"/>
  <c r="I1295" i="61"/>
  <c r="I1294" i="61"/>
  <c r="I1293" i="61"/>
  <c r="I1292" i="61"/>
  <c r="I1291" i="61"/>
  <c r="I1290" i="61"/>
  <c r="I1289" i="61"/>
  <c r="I1288" i="61"/>
  <c r="I1287" i="61"/>
  <c r="I1286" i="61"/>
  <c r="I1285" i="61"/>
  <c r="I1284" i="61"/>
  <c r="I1283" i="61"/>
  <c r="I1282" i="61"/>
  <c r="I1281" i="61"/>
  <c r="I1280" i="61"/>
  <c r="I1279" i="61"/>
  <c r="I1278" i="61"/>
  <c r="I1277" i="61"/>
  <c r="I1276" i="61"/>
  <c r="I1275" i="61"/>
  <c r="I1274" i="61"/>
  <c r="I1273" i="61"/>
  <c r="I1272" i="61"/>
  <c r="I1271" i="61"/>
  <c r="I1270" i="61"/>
  <c r="I1269" i="61"/>
  <c r="I1268" i="61"/>
  <c r="I1267" i="61"/>
  <c r="I1266" i="61"/>
  <c r="I1265" i="61"/>
  <c r="I1264" i="61"/>
  <c r="I1263" i="61"/>
  <c r="I1262" i="61"/>
  <c r="I1261" i="61"/>
  <c r="I1260" i="61"/>
  <c r="I1259" i="61"/>
  <c r="I1258" i="61"/>
  <c r="I1257" i="61"/>
  <c r="I1256" i="61"/>
  <c r="I1255" i="61"/>
  <c r="I1254" i="61"/>
  <c r="I1253" i="61"/>
  <c r="I1252" i="61"/>
  <c r="I1251" i="61"/>
  <c r="I1250" i="61"/>
  <c r="I1249" i="61"/>
  <c r="I1248" i="61"/>
  <c r="I1247" i="61"/>
  <c r="I1246" i="61"/>
  <c r="I1245" i="61"/>
  <c r="I1244" i="61"/>
  <c r="I1243" i="61"/>
  <c r="I1242" i="61"/>
  <c r="I1241" i="61"/>
  <c r="I1240" i="61"/>
  <c r="I1239" i="61"/>
  <c r="I1238" i="61"/>
  <c r="I1237" i="61"/>
  <c r="I1236" i="61"/>
  <c r="I1235" i="61"/>
  <c r="I1234" i="61"/>
  <c r="I1233" i="61"/>
  <c r="I1232" i="61"/>
  <c r="I1231" i="61"/>
  <c r="I1230" i="61"/>
  <c r="I1229" i="61"/>
  <c r="I1228" i="61"/>
  <c r="I1227" i="61"/>
  <c r="I1226" i="61"/>
  <c r="I1225" i="61"/>
  <c r="I1224" i="61"/>
  <c r="I1223" i="61"/>
  <c r="I1222" i="61"/>
  <c r="I1221" i="61"/>
  <c r="I1220" i="61"/>
  <c r="I1219" i="61"/>
  <c r="I1218" i="61"/>
  <c r="I1217" i="61"/>
  <c r="I1216" i="61"/>
  <c r="I1215" i="61"/>
  <c r="I1214" i="61"/>
  <c r="I1213" i="61"/>
  <c r="I1212" i="61"/>
  <c r="I1211" i="61"/>
  <c r="I1210" i="61"/>
  <c r="I1209" i="61"/>
  <c r="I1208" i="61"/>
  <c r="I1207" i="61"/>
  <c r="I1206" i="61"/>
  <c r="I1205" i="61"/>
  <c r="I1204" i="61"/>
  <c r="I1203" i="61"/>
  <c r="I1202" i="61"/>
  <c r="I1201" i="61"/>
  <c r="I1200" i="61"/>
  <c r="I1199" i="61"/>
  <c r="I1198" i="61"/>
  <c r="I1197" i="61"/>
  <c r="I1196" i="61"/>
  <c r="I1195" i="61"/>
  <c r="I1194" i="61"/>
  <c r="I1193" i="61"/>
  <c r="I1192" i="61"/>
  <c r="I1191" i="61"/>
  <c r="I1190" i="61"/>
  <c r="I1189" i="61"/>
  <c r="I1188" i="61"/>
  <c r="I1187" i="61"/>
  <c r="I1186" i="61"/>
  <c r="I1185" i="61"/>
  <c r="I1184" i="61"/>
  <c r="I1183" i="61"/>
  <c r="I1182" i="61"/>
  <c r="I1181" i="61"/>
  <c r="I1180" i="61"/>
  <c r="I1179" i="61"/>
  <c r="I1178" i="61"/>
  <c r="I1177" i="61"/>
  <c r="I1176" i="61"/>
  <c r="I1175" i="61"/>
  <c r="I1174" i="61"/>
  <c r="I1173" i="61"/>
  <c r="I1172" i="61"/>
  <c r="I1171" i="61"/>
  <c r="I1170" i="61"/>
  <c r="I1169" i="61"/>
  <c r="I1168" i="61"/>
  <c r="I1167" i="61"/>
  <c r="I1166" i="61"/>
  <c r="I1165" i="61"/>
  <c r="I1164" i="61"/>
  <c r="I1163" i="61"/>
  <c r="I1162" i="61"/>
  <c r="I1161" i="61"/>
  <c r="I1160" i="61"/>
  <c r="I1159" i="61"/>
  <c r="I1158" i="61"/>
  <c r="I1157" i="61"/>
  <c r="I1156" i="61"/>
  <c r="I1155" i="61"/>
  <c r="I1154" i="61"/>
  <c r="I1153" i="61"/>
  <c r="I1152" i="61"/>
  <c r="I1151" i="61"/>
  <c r="I1150" i="61"/>
  <c r="I1149" i="61"/>
  <c r="I1148" i="61"/>
  <c r="I1147" i="61"/>
  <c r="I1146" i="61"/>
  <c r="I1145" i="61"/>
  <c r="I1144" i="61"/>
  <c r="I1143" i="61"/>
  <c r="I1142" i="61"/>
  <c r="I1141" i="61"/>
  <c r="I1140" i="61"/>
  <c r="I1139" i="61"/>
  <c r="I1138" i="61"/>
  <c r="I1137" i="61"/>
  <c r="I1136" i="61"/>
  <c r="I1135" i="61"/>
  <c r="I1134" i="61"/>
  <c r="I1133" i="61"/>
  <c r="I1132" i="61"/>
  <c r="I1131" i="61"/>
  <c r="I1130" i="61"/>
  <c r="I1129" i="61"/>
  <c r="I1128" i="61"/>
  <c r="I1127" i="61"/>
  <c r="I1126" i="61"/>
  <c r="I1125" i="61"/>
  <c r="I1124" i="61"/>
  <c r="I1123" i="61"/>
  <c r="I1122" i="61"/>
  <c r="I1121" i="61"/>
  <c r="I1120" i="61"/>
  <c r="I1119" i="61"/>
  <c r="I1118" i="61"/>
  <c r="I1117" i="61"/>
  <c r="I1116" i="61"/>
  <c r="I1115" i="61"/>
  <c r="I1114" i="61"/>
  <c r="I1113" i="61"/>
  <c r="I1112" i="61"/>
  <c r="I1111" i="61"/>
  <c r="I1110" i="61"/>
  <c r="I1109" i="61"/>
  <c r="I1108" i="61"/>
  <c r="I1107" i="61"/>
  <c r="I1106" i="61"/>
  <c r="I1105" i="61"/>
  <c r="I1104" i="61"/>
  <c r="I1103" i="61"/>
  <c r="I1102" i="61"/>
  <c r="I1101" i="61"/>
  <c r="I1100" i="61"/>
  <c r="I1099" i="61"/>
  <c r="I1098" i="61"/>
  <c r="I1097" i="61"/>
  <c r="I1096" i="61"/>
  <c r="I1095" i="61"/>
  <c r="I1094" i="61"/>
  <c r="I1093" i="61"/>
  <c r="I1092" i="61"/>
  <c r="I1091" i="61"/>
  <c r="I1090" i="61"/>
  <c r="I1089" i="61"/>
  <c r="I1088" i="61"/>
  <c r="I1087" i="61"/>
  <c r="I1086" i="61"/>
  <c r="I1085" i="61"/>
  <c r="I1084" i="61"/>
  <c r="I1083" i="61"/>
  <c r="I1082" i="61"/>
  <c r="I1081" i="61"/>
  <c r="I1080" i="61"/>
  <c r="I1079" i="61"/>
  <c r="I1078" i="61"/>
  <c r="I1077" i="61"/>
  <c r="I1076" i="61"/>
  <c r="I1075" i="61"/>
  <c r="I1074" i="61"/>
  <c r="I1073" i="61"/>
  <c r="I1072" i="61"/>
  <c r="I1071" i="61"/>
  <c r="I1070" i="61"/>
  <c r="I1069" i="61"/>
  <c r="I1068" i="61"/>
  <c r="I1067" i="61"/>
  <c r="I1066" i="61"/>
  <c r="I1065" i="61"/>
  <c r="I1064" i="61"/>
  <c r="I1063" i="61"/>
  <c r="I1062" i="61"/>
  <c r="I1061" i="61"/>
  <c r="I1060" i="61"/>
  <c r="I1059" i="61"/>
  <c r="I1058" i="61"/>
  <c r="I1057" i="61"/>
  <c r="I1056" i="61"/>
  <c r="I1055" i="61"/>
  <c r="I1054" i="61"/>
  <c r="I1053" i="61"/>
  <c r="I1052" i="61"/>
  <c r="I1051" i="61"/>
  <c r="I1050" i="61"/>
  <c r="I1049" i="61"/>
  <c r="I1048" i="61"/>
  <c r="I1047" i="61"/>
  <c r="I1046" i="61"/>
  <c r="I1045" i="61"/>
  <c r="I1044" i="61"/>
  <c r="I1043" i="61"/>
  <c r="I1042" i="61"/>
  <c r="I1041" i="61"/>
  <c r="I1040" i="61"/>
  <c r="I1039" i="61"/>
  <c r="I1038" i="61"/>
  <c r="I1037" i="61"/>
  <c r="I1036" i="61"/>
  <c r="I1035" i="61"/>
  <c r="I1034" i="61"/>
  <c r="I1033" i="61"/>
  <c r="I1032" i="61"/>
  <c r="I1031" i="61"/>
  <c r="I1030" i="61"/>
  <c r="I1029" i="61"/>
  <c r="I1028" i="61"/>
  <c r="I1027" i="61"/>
  <c r="I1026" i="61"/>
  <c r="I1025" i="61"/>
  <c r="I1024" i="61"/>
  <c r="I1023" i="61"/>
  <c r="I1022" i="61"/>
  <c r="I1021" i="61"/>
  <c r="I1020" i="61"/>
  <c r="I1019" i="61"/>
  <c r="I1018" i="61"/>
  <c r="I1017" i="61"/>
  <c r="I1016" i="61"/>
  <c r="I1015" i="61"/>
  <c r="I1014" i="61"/>
  <c r="I1013" i="61"/>
  <c r="I1012" i="61"/>
  <c r="I1011" i="61"/>
  <c r="I1010" i="61"/>
  <c r="I1009" i="61"/>
  <c r="I1008" i="61"/>
  <c r="I1007" i="61"/>
  <c r="I1006" i="61"/>
  <c r="I1005" i="61"/>
  <c r="I1004" i="61"/>
  <c r="I1003" i="61"/>
  <c r="I1002" i="61"/>
  <c r="I1001" i="61"/>
  <c r="I1000" i="61"/>
  <c r="I999" i="61"/>
  <c r="I998" i="61"/>
  <c r="I997" i="61"/>
  <c r="I996" i="61"/>
  <c r="I995" i="61"/>
  <c r="I994" i="61"/>
  <c r="I993" i="61"/>
  <c r="I992" i="61"/>
  <c r="I991" i="61"/>
  <c r="I990" i="61"/>
  <c r="I989" i="61"/>
  <c r="I988" i="61"/>
  <c r="I987" i="61"/>
  <c r="I986" i="61"/>
  <c r="I985" i="61"/>
  <c r="I984" i="61"/>
  <c r="I983" i="61"/>
  <c r="I982" i="61"/>
  <c r="I981" i="61"/>
  <c r="I980" i="61"/>
  <c r="I979" i="61"/>
  <c r="I978" i="61"/>
  <c r="I977" i="61"/>
  <c r="I976" i="61"/>
  <c r="I975" i="61"/>
  <c r="I974" i="61"/>
  <c r="I973" i="61"/>
  <c r="I972" i="61"/>
  <c r="I971" i="61"/>
  <c r="I970" i="61"/>
  <c r="I969" i="61"/>
  <c r="I968" i="61"/>
  <c r="I967" i="61"/>
  <c r="I966" i="61"/>
  <c r="I965" i="61"/>
  <c r="I964" i="61"/>
  <c r="I963" i="61"/>
  <c r="I962" i="61"/>
  <c r="I961" i="61"/>
  <c r="I960" i="61"/>
  <c r="I959" i="61"/>
  <c r="I958" i="61"/>
  <c r="I957" i="61"/>
  <c r="I956" i="61"/>
  <c r="I955" i="61"/>
  <c r="I954" i="61"/>
  <c r="I953" i="61"/>
  <c r="I952" i="61"/>
  <c r="I951" i="61"/>
  <c r="I950" i="61"/>
  <c r="I949" i="61"/>
  <c r="I948" i="61"/>
  <c r="I947" i="61"/>
  <c r="I946" i="61"/>
  <c r="I945" i="61"/>
  <c r="I944" i="61"/>
  <c r="I943" i="61"/>
  <c r="I942" i="61"/>
  <c r="I941" i="61"/>
  <c r="I940" i="61"/>
  <c r="I939" i="61"/>
  <c r="I938" i="61"/>
  <c r="I937" i="61"/>
  <c r="I936" i="61"/>
  <c r="I935" i="61"/>
  <c r="I934" i="61"/>
  <c r="I933" i="61"/>
  <c r="I932" i="61"/>
  <c r="I931" i="61"/>
  <c r="I930" i="61"/>
  <c r="I929" i="61"/>
  <c r="I928" i="61"/>
  <c r="I927" i="61"/>
  <c r="I926" i="61"/>
  <c r="I925" i="61"/>
  <c r="I924" i="61"/>
  <c r="I923" i="61"/>
  <c r="I922" i="61"/>
  <c r="I921" i="61"/>
  <c r="I920" i="61"/>
  <c r="I919" i="61"/>
  <c r="I918" i="61"/>
  <c r="I917" i="61"/>
  <c r="I916" i="61"/>
  <c r="I915" i="61"/>
  <c r="I914" i="61"/>
  <c r="I913" i="61"/>
  <c r="I912" i="61"/>
  <c r="I911" i="61"/>
  <c r="I910" i="61"/>
  <c r="I909" i="61"/>
  <c r="I908" i="61"/>
  <c r="I907" i="61"/>
  <c r="I906" i="61"/>
  <c r="I905" i="61"/>
  <c r="I904" i="61"/>
  <c r="I903" i="61"/>
  <c r="I902" i="61"/>
  <c r="I901" i="61"/>
  <c r="I900" i="61"/>
  <c r="I899" i="61"/>
  <c r="I898" i="61"/>
  <c r="I897" i="61"/>
  <c r="I896" i="61"/>
  <c r="I895" i="61"/>
  <c r="I894" i="61"/>
  <c r="I893" i="61"/>
  <c r="I892" i="61"/>
  <c r="I891" i="61"/>
  <c r="I890" i="61"/>
  <c r="I889" i="61"/>
  <c r="I888" i="61"/>
  <c r="I887" i="61"/>
  <c r="I886" i="61"/>
  <c r="I885" i="61"/>
  <c r="I884" i="61"/>
  <c r="I883" i="61"/>
  <c r="I882" i="61"/>
  <c r="I881" i="61"/>
  <c r="I880" i="61"/>
  <c r="I879" i="61"/>
  <c r="I878" i="61"/>
  <c r="I877" i="61"/>
  <c r="I876" i="61"/>
  <c r="I875" i="61"/>
  <c r="I874" i="61"/>
  <c r="I873" i="61"/>
  <c r="I872" i="61"/>
  <c r="I871" i="61"/>
  <c r="I870" i="61"/>
  <c r="I869" i="61"/>
  <c r="I868" i="61"/>
  <c r="I867" i="61"/>
  <c r="I866" i="61"/>
  <c r="I865" i="61"/>
  <c r="I864" i="61"/>
  <c r="I863" i="61"/>
  <c r="I862" i="61"/>
  <c r="I861" i="61"/>
  <c r="I860" i="61"/>
  <c r="I859" i="61"/>
  <c r="I858" i="61"/>
  <c r="I857" i="61"/>
  <c r="I856" i="61"/>
  <c r="I855" i="61"/>
  <c r="I854" i="61"/>
  <c r="I853" i="61"/>
  <c r="I852" i="61"/>
  <c r="I851" i="61"/>
  <c r="I850" i="61"/>
  <c r="I849" i="61"/>
  <c r="I848" i="61"/>
  <c r="I847" i="61"/>
  <c r="I846" i="61"/>
  <c r="I845" i="61"/>
  <c r="I844" i="61"/>
  <c r="I843" i="61"/>
  <c r="I842" i="61"/>
  <c r="I841" i="61"/>
  <c r="I840" i="61"/>
  <c r="I839" i="61"/>
  <c r="I838" i="61"/>
  <c r="I837" i="61"/>
  <c r="I836" i="61"/>
  <c r="I835" i="61"/>
  <c r="I834" i="61"/>
  <c r="I833" i="61"/>
  <c r="I832" i="61"/>
  <c r="I831" i="61"/>
  <c r="I830" i="61"/>
  <c r="I829" i="61"/>
  <c r="I828" i="61"/>
  <c r="I827" i="61"/>
  <c r="I826" i="61"/>
  <c r="I825" i="61"/>
  <c r="I824" i="61"/>
  <c r="I823" i="61"/>
  <c r="I822" i="61"/>
  <c r="I821" i="61"/>
  <c r="I820" i="61"/>
  <c r="I819" i="61"/>
  <c r="I818" i="61"/>
  <c r="I817" i="61"/>
  <c r="I816" i="61"/>
  <c r="I815" i="61"/>
  <c r="I814" i="61"/>
  <c r="I813" i="61"/>
  <c r="I812" i="61"/>
  <c r="I811" i="61"/>
  <c r="I810" i="61"/>
  <c r="I809" i="61"/>
  <c r="I808" i="61"/>
  <c r="I807" i="61"/>
  <c r="I806" i="61"/>
  <c r="I805" i="61"/>
  <c r="I804" i="61"/>
  <c r="I803" i="61"/>
  <c r="I802" i="61"/>
  <c r="I801" i="61"/>
  <c r="I800" i="61"/>
  <c r="I799" i="61"/>
  <c r="I798" i="61"/>
  <c r="I797" i="61"/>
  <c r="I796" i="61"/>
  <c r="I795" i="61"/>
  <c r="I794" i="61"/>
  <c r="I793" i="61"/>
  <c r="I792" i="61"/>
  <c r="I791" i="61"/>
  <c r="I790" i="61"/>
  <c r="I789" i="61"/>
  <c r="I788" i="61"/>
  <c r="I787" i="61"/>
  <c r="I786" i="61"/>
  <c r="I785" i="61"/>
  <c r="I784" i="61"/>
  <c r="I783" i="61"/>
  <c r="I782" i="61"/>
  <c r="I781" i="61"/>
  <c r="I780" i="61"/>
  <c r="I779" i="61"/>
  <c r="I778" i="61"/>
  <c r="I777" i="61"/>
  <c r="I776" i="61"/>
  <c r="I775" i="61"/>
  <c r="I774" i="61"/>
  <c r="I773" i="61"/>
  <c r="I772" i="61"/>
  <c r="I771" i="61"/>
  <c r="I770" i="61"/>
  <c r="I769" i="61"/>
  <c r="I768" i="61"/>
  <c r="I767" i="61"/>
  <c r="I766" i="61"/>
  <c r="I765" i="61"/>
  <c r="I764" i="61"/>
  <c r="I763" i="61"/>
  <c r="I762" i="61"/>
  <c r="I761" i="61"/>
  <c r="I760" i="61"/>
  <c r="I759" i="61"/>
  <c r="I758" i="61"/>
  <c r="I757" i="61"/>
  <c r="I756" i="61"/>
  <c r="I755" i="61"/>
  <c r="I754" i="61"/>
  <c r="I753" i="61"/>
  <c r="I752" i="61"/>
  <c r="I751" i="61"/>
  <c r="I750" i="61"/>
  <c r="I749" i="61"/>
  <c r="I748" i="61"/>
  <c r="I747" i="61"/>
  <c r="I746" i="61"/>
  <c r="I745" i="61"/>
  <c r="I744" i="61"/>
  <c r="I743" i="61"/>
  <c r="I742" i="61"/>
  <c r="I741" i="61"/>
  <c r="I740" i="61"/>
  <c r="I739" i="61"/>
  <c r="I738" i="61"/>
  <c r="I737" i="61"/>
  <c r="I736" i="61"/>
  <c r="I735" i="61"/>
  <c r="I734" i="61"/>
  <c r="I733" i="61"/>
  <c r="I732" i="61"/>
  <c r="I731" i="61"/>
  <c r="I730" i="61"/>
  <c r="I729" i="61"/>
  <c r="I728" i="61"/>
  <c r="I727" i="61"/>
  <c r="I726" i="61"/>
  <c r="I725" i="61"/>
  <c r="I724" i="61"/>
  <c r="I723" i="61"/>
  <c r="I722" i="61"/>
  <c r="I721" i="61"/>
  <c r="I720" i="61"/>
  <c r="I719" i="61"/>
  <c r="I718" i="61"/>
  <c r="I717" i="61"/>
  <c r="I716" i="61"/>
  <c r="I715" i="61"/>
  <c r="I714" i="61"/>
  <c r="I713" i="61"/>
  <c r="I712" i="61"/>
  <c r="I711" i="61"/>
  <c r="I710" i="61"/>
  <c r="I709" i="61"/>
  <c r="I708" i="61"/>
  <c r="I707" i="61"/>
  <c r="I706" i="61"/>
  <c r="I705" i="61"/>
  <c r="I704" i="61"/>
  <c r="I703" i="61"/>
  <c r="I702" i="61"/>
  <c r="I701" i="61"/>
  <c r="I700" i="61"/>
  <c r="I699" i="61"/>
  <c r="I698" i="61"/>
  <c r="I697" i="61"/>
  <c r="I696" i="61"/>
  <c r="I695" i="61"/>
  <c r="I694" i="61"/>
  <c r="I693" i="61"/>
  <c r="I692" i="61"/>
  <c r="I691" i="61"/>
  <c r="I690" i="61"/>
  <c r="I689" i="61"/>
  <c r="I688" i="61"/>
  <c r="I687" i="61"/>
  <c r="I686" i="61"/>
  <c r="I685" i="61"/>
  <c r="I684" i="61"/>
  <c r="I683" i="61"/>
  <c r="I682" i="61"/>
  <c r="I681" i="61"/>
  <c r="I680" i="61"/>
  <c r="I679" i="61"/>
  <c r="I678" i="61"/>
  <c r="I677" i="61"/>
  <c r="I676" i="61"/>
  <c r="I675" i="61"/>
  <c r="I674" i="61"/>
  <c r="I673" i="61"/>
  <c r="I672" i="61"/>
  <c r="I671" i="61"/>
  <c r="I670" i="61"/>
  <c r="I669" i="61"/>
  <c r="I668" i="61"/>
  <c r="I667" i="61"/>
  <c r="I666" i="61"/>
  <c r="I665" i="61"/>
  <c r="I664" i="61"/>
  <c r="I663" i="61"/>
  <c r="I662" i="61"/>
  <c r="I661" i="61"/>
  <c r="I660" i="61"/>
  <c r="I659" i="61"/>
  <c r="I658" i="61"/>
  <c r="I657" i="61"/>
  <c r="I656" i="61"/>
  <c r="I655" i="61"/>
  <c r="I654" i="61"/>
  <c r="I653" i="61"/>
  <c r="I652" i="61"/>
  <c r="I651" i="61"/>
  <c r="I650" i="61"/>
  <c r="I649" i="61"/>
  <c r="I648" i="61"/>
  <c r="I647" i="61"/>
  <c r="I646" i="61"/>
  <c r="I645" i="61"/>
  <c r="I644" i="61"/>
  <c r="I643" i="61"/>
  <c r="I642" i="61"/>
  <c r="I641" i="61"/>
  <c r="I640" i="61"/>
  <c r="I639" i="61"/>
  <c r="I638" i="61"/>
  <c r="I637" i="61"/>
  <c r="I636" i="61"/>
  <c r="I635" i="61"/>
  <c r="I634" i="61"/>
  <c r="I633" i="61"/>
  <c r="I632" i="61"/>
  <c r="I631" i="61"/>
  <c r="I630" i="61"/>
  <c r="I629" i="61"/>
  <c r="I628" i="61"/>
  <c r="I627" i="61"/>
  <c r="I626" i="61"/>
  <c r="I625" i="61"/>
  <c r="I624" i="61"/>
  <c r="I623" i="61"/>
  <c r="I622" i="61"/>
  <c r="I621" i="61"/>
  <c r="I620" i="61"/>
  <c r="I619" i="61"/>
  <c r="I618" i="61"/>
  <c r="I617" i="61"/>
  <c r="I616" i="61"/>
  <c r="I615" i="61"/>
  <c r="I614" i="61"/>
  <c r="I613" i="61"/>
  <c r="I612" i="61"/>
  <c r="I611" i="61"/>
  <c r="I610" i="61"/>
  <c r="I609" i="61"/>
  <c r="I608" i="61"/>
  <c r="I607" i="61"/>
  <c r="I606" i="61"/>
  <c r="I605" i="61"/>
  <c r="I604" i="61"/>
  <c r="I603" i="61"/>
  <c r="I602" i="61"/>
  <c r="I601" i="61"/>
  <c r="I600" i="61"/>
  <c r="I599" i="61"/>
  <c r="I598" i="61"/>
  <c r="I597" i="61"/>
  <c r="I596" i="61"/>
  <c r="I595" i="61"/>
  <c r="I594" i="61"/>
  <c r="I593" i="61"/>
  <c r="I592" i="61"/>
  <c r="I591" i="61"/>
  <c r="I590" i="61"/>
  <c r="I589" i="61"/>
  <c r="I588" i="61"/>
  <c r="I587" i="61"/>
  <c r="I586" i="61"/>
  <c r="I585" i="61"/>
  <c r="I584" i="61"/>
  <c r="I583" i="61"/>
  <c r="I582" i="61"/>
  <c r="I581" i="61"/>
  <c r="I580" i="61"/>
  <c r="I579" i="61"/>
  <c r="I578" i="61"/>
  <c r="I577" i="61"/>
  <c r="I576" i="61"/>
  <c r="I575" i="61"/>
  <c r="I574" i="61"/>
  <c r="I573" i="61"/>
  <c r="I572" i="61"/>
  <c r="I571" i="61"/>
  <c r="I570" i="61"/>
  <c r="I569" i="61"/>
  <c r="I568" i="61"/>
  <c r="I567" i="61"/>
  <c r="I566" i="61"/>
  <c r="I565" i="61"/>
  <c r="I564" i="61"/>
  <c r="I563" i="61"/>
  <c r="I562" i="61"/>
  <c r="I561" i="61"/>
  <c r="I560" i="61"/>
  <c r="I559" i="61"/>
  <c r="I558" i="61"/>
  <c r="I557" i="61"/>
  <c r="I556" i="61"/>
  <c r="I555" i="61"/>
  <c r="I554" i="61"/>
  <c r="I553" i="61"/>
  <c r="I552" i="61"/>
  <c r="I551" i="61"/>
  <c r="I550" i="61"/>
  <c r="I549" i="61"/>
  <c r="I548" i="61"/>
  <c r="I547" i="61"/>
  <c r="I546" i="61"/>
  <c r="I545" i="61"/>
  <c r="I544" i="61"/>
  <c r="I543" i="61"/>
  <c r="I542" i="61"/>
  <c r="I541" i="61"/>
  <c r="I540" i="61"/>
  <c r="I539" i="61"/>
  <c r="I538" i="61"/>
  <c r="I537" i="61"/>
  <c r="I536" i="61"/>
  <c r="I535" i="61"/>
  <c r="I534" i="61"/>
  <c r="I533" i="61"/>
  <c r="I532" i="61"/>
  <c r="I531" i="61"/>
  <c r="I530" i="61"/>
  <c r="I529" i="61"/>
  <c r="I528" i="61"/>
  <c r="I527" i="61"/>
  <c r="I526" i="61"/>
  <c r="I525" i="61"/>
  <c r="I524" i="61"/>
  <c r="I523" i="61"/>
  <c r="I522" i="61"/>
  <c r="I521" i="61"/>
  <c r="I520" i="61"/>
  <c r="I519" i="61"/>
  <c r="I518" i="61"/>
  <c r="I517" i="61"/>
  <c r="I516" i="61"/>
  <c r="I515" i="61"/>
  <c r="I514" i="61"/>
  <c r="I513" i="61"/>
  <c r="I512" i="61"/>
  <c r="I511" i="61"/>
  <c r="I510" i="61"/>
  <c r="I509" i="61"/>
  <c r="I508" i="61"/>
  <c r="I507" i="61"/>
  <c r="I506" i="61"/>
  <c r="I505" i="61"/>
  <c r="I504" i="61"/>
  <c r="I503" i="61"/>
  <c r="I502" i="61"/>
  <c r="I501" i="61"/>
  <c r="I500" i="61"/>
  <c r="I499" i="61"/>
  <c r="I498" i="61"/>
  <c r="I497" i="61"/>
  <c r="I496" i="61"/>
  <c r="I495" i="61"/>
  <c r="I494" i="61"/>
  <c r="I493" i="61"/>
  <c r="I492" i="61"/>
  <c r="I491" i="61"/>
  <c r="I490" i="61"/>
  <c r="I489" i="61"/>
  <c r="I488" i="61"/>
  <c r="I487" i="61"/>
  <c r="I486" i="61"/>
  <c r="I485" i="61"/>
  <c r="I484" i="61"/>
  <c r="I483" i="61"/>
  <c r="I482" i="61"/>
  <c r="I481" i="61"/>
  <c r="I480" i="61"/>
  <c r="I479" i="61"/>
  <c r="I478" i="61"/>
  <c r="I477" i="61"/>
  <c r="I476" i="61"/>
  <c r="I475" i="61"/>
  <c r="I474" i="61"/>
  <c r="I473" i="61"/>
  <c r="I472" i="61"/>
  <c r="I471" i="61"/>
  <c r="I470" i="61"/>
  <c r="I469" i="61"/>
  <c r="I468" i="61"/>
  <c r="I467" i="61"/>
  <c r="I466" i="61"/>
  <c r="I465" i="61"/>
  <c r="I464" i="61"/>
  <c r="I463" i="61"/>
  <c r="I462" i="61"/>
  <c r="I461" i="61"/>
  <c r="I460" i="61"/>
  <c r="I459" i="61"/>
  <c r="I458" i="61"/>
  <c r="I457" i="61"/>
  <c r="I456" i="61"/>
  <c r="I455" i="61"/>
  <c r="I454" i="61"/>
  <c r="I453" i="61"/>
  <c r="I452" i="61"/>
  <c r="I451" i="61"/>
  <c r="I450" i="61"/>
  <c r="I449" i="61"/>
  <c r="I448" i="61"/>
  <c r="I447" i="61"/>
  <c r="I446" i="61"/>
  <c r="I445" i="61"/>
  <c r="I444" i="61"/>
  <c r="I443" i="61"/>
  <c r="I442" i="61"/>
  <c r="I441" i="61"/>
  <c r="I440" i="61"/>
  <c r="I439" i="61"/>
  <c r="I438" i="61"/>
  <c r="I437" i="61"/>
  <c r="I436" i="61"/>
  <c r="I435" i="61"/>
  <c r="I434" i="61"/>
  <c r="I433" i="61"/>
  <c r="I432" i="61"/>
  <c r="I431" i="61"/>
  <c r="I430" i="61"/>
  <c r="I429" i="61"/>
  <c r="I428" i="61"/>
  <c r="I427" i="61"/>
  <c r="I426" i="61"/>
  <c r="I425" i="61"/>
  <c r="I424" i="61"/>
  <c r="I423" i="61"/>
  <c r="I422" i="61"/>
  <c r="I421" i="61"/>
  <c r="I420" i="61"/>
  <c r="I419" i="61"/>
  <c r="I418" i="61"/>
  <c r="I417" i="61"/>
  <c r="I416" i="61"/>
  <c r="I415" i="61"/>
  <c r="I414" i="61"/>
  <c r="I413" i="61"/>
  <c r="I412" i="61"/>
  <c r="I411" i="61"/>
  <c r="I410" i="61"/>
  <c r="I409" i="61"/>
  <c r="I408" i="61"/>
  <c r="I407" i="61"/>
  <c r="I406" i="61"/>
  <c r="I405" i="61"/>
  <c r="I404" i="61"/>
  <c r="I403" i="61"/>
  <c r="I402" i="61"/>
  <c r="I401" i="61"/>
  <c r="I400" i="61"/>
  <c r="I399" i="61"/>
  <c r="I398" i="61"/>
  <c r="I397" i="61"/>
  <c r="I396" i="61"/>
  <c r="I395" i="61"/>
  <c r="I394" i="61"/>
  <c r="I393" i="61"/>
  <c r="I392" i="61"/>
  <c r="I391" i="61"/>
  <c r="I390" i="61"/>
  <c r="I389" i="61"/>
  <c r="I388" i="61"/>
  <c r="I387" i="61"/>
  <c r="I386" i="61"/>
  <c r="I385" i="61"/>
  <c r="I384" i="61"/>
  <c r="I383" i="61"/>
  <c r="I382" i="61"/>
  <c r="I381" i="61"/>
  <c r="I380" i="61"/>
  <c r="I379" i="61"/>
  <c r="I378" i="61"/>
  <c r="I377" i="61"/>
  <c r="I376" i="61"/>
  <c r="I375" i="61"/>
  <c r="I374" i="61"/>
  <c r="I373" i="61"/>
  <c r="I372" i="61"/>
  <c r="I371" i="61"/>
  <c r="I370" i="61"/>
  <c r="I369" i="61"/>
  <c r="I368" i="61"/>
  <c r="I367" i="61"/>
  <c r="I366" i="61"/>
  <c r="I365" i="61"/>
  <c r="I364" i="61"/>
  <c r="I363" i="61"/>
  <c r="I362" i="61"/>
  <c r="I361" i="61"/>
  <c r="I360" i="61"/>
  <c r="I359" i="61"/>
  <c r="I358" i="61"/>
  <c r="I357" i="61"/>
  <c r="I356" i="61"/>
  <c r="I355" i="61"/>
  <c r="I354" i="61"/>
  <c r="I353" i="61"/>
  <c r="I352" i="61"/>
  <c r="I351" i="61"/>
  <c r="I350" i="61"/>
  <c r="I349" i="61"/>
  <c r="I348" i="61"/>
  <c r="I347" i="61"/>
  <c r="I346" i="61"/>
  <c r="I345" i="61"/>
  <c r="I344" i="61"/>
  <c r="I343" i="61"/>
  <c r="I342" i="61"/>
  <c r="I341" i="61"/>
  <c r="I340" i="61"/>
  <c r="I339" i="61"/>
  <c r="I338" i="61"/>
  <c r="I337" i="61"/>
  <c r="I336" i="61"/>
  <c r="I335" i="61"/>
  <c r="I334" i="61"/>
  <c r="I333" i="61"/>
  <c r="I332" i="61"/>
  <c r="I331" i="61"/>
  <c r="I330" i="61"/>
  <c r="I329" i="61"/>
  <c r="I328" i="61"/>
  <c r="I327" i="61"/>
  <c r="I326" i="61"/>
  <c r="I325" i="61"/>
  <c r="I324" i="61"/>
  <c r="I323" i="61"/>
  <c r="I322" i="61"/>
  <c r="I321" i="61"/>
  <c r="I320" i="61"/>
  <c r="I319" i="61"/>
  <c r="I318" i="61"/>
  <c r="I317" i="61"/>
  <c r="I316" i="61"/>
  <c r="I315" i="61"/>
  <c r="I314" i="61"/>
  <c r="I313" i="61"/>
  <c r="I312" i="61"/>
  <c r="I311" i="61"/>
  <c r="I310" i="61"/>
  <c r="I309" i="61"/>
  <c r="I308" i="61"/>
  <c r="I307" i="61"/>
  <c r="I306" i="61"/>
  <c r="I305" i="61"/>
  <c r="I304" i="61"/>
  <c r="I303" i="61"/>
  <c r="I302" i="61"/>
  <c r="I301" i="61"/>
  <c r="I300" i="61"/>
  <c r="I299" i="61"/>
  <c r="I298" i="61"/>
  <c r="I297" i="61"/>
  <c r="I296" i="61"/>
  <c r="I295" i="61"/>
  <c r="I294" i="61"/>
  <c r="I293" i="61"/>
  <c r="I292" i="61"/>
  <c r="I291" i="61"/>
  <c r="I290" i="61"/>
  <c r="I289" i="61"/>
  <c r="I288" i="61"/>
  <c r="I287" i="61"/>
  <c r="I286" i="61"/>
  <c r="I285" i="61"/>
  <c r="I284" i="61"/>
  <c r="I283" i="61"/>
  <c r="I282" i="61"/>
  <c r="I281" i="61"/>
  <c r="I280" i="61"/>
  <c r="I279" i="61"/>
  <c r="I278" i="61"/>
  <c r="I277" i="61"/>
  <c r="I276" i="61"/>
  <c r="I275" i="61"/>
  <c r="I274" i="61"/>
  <c r="I273" i="61"/>
  <c r="I272" i="61"/>
  <c r="I271" i="61"/>
  <c r="I270" i="61"/>
  <c r="I269" i="61"/>
  <c r="I268" i="61"/>
  <c r="I267" i="61"/>
  <c r="I266" i="61"/>
  <c r="I265" i="61"/>
  <c r="I264" i="61"/>
  <c r="I263" i="61"/>
  <c r="I262" i="61"/>
  <c r="I261" i="61"/>
  <c r="I260" i="61"/>
  <c r="I259" i="61"/>
  <c r="I258" i="61"/>
  <c r="I257" i="61"/>
  <c r="I256" i="61"/>
  <c r="I255" i="61"/>
  <c r="I254" i="61"/>
  <c r="I253" i="61"/>
  <c r="I252" i="61"/>
  <c r="I251" i="61"/>
  <c r="I250" i="61"/>
  <c r="I249" i="61"/>
  <c r="I248" i="61"/>
  <c r="I247" i="61"/>
  <c r="I246" i="61"/>
  <c r="I245" i="61"/>
  <c r="I244" i="61"/>
  <c r="I243" i="61"/>
  <c r="I242" i="61"/>
  <c r="I241" i="61"/>
  <c r="I240" i="61"/>
  <c r="I239" i="61"/>
  <c r="I238" i="61"/>
  <c r="I237" i="61"/>
  <c r="I236" i="61"/>
  <c r="I235" i="61"/>
  <c r="I234" i="61"/>
  <c r="I233" i="61"/>
  <c r="I232" i="61"/>
  <c r="I231" i="61"/>
  <c r="I230" i="61"/>
  <c r="I229" i="61"/>
  <c r="I228" i="61"/>
  <c r="I227" i="61"/>
  <c r="I226" i="61"/>
  <c r="I225" i="61"/>
  <c r="I224" i="61"/>
  <c r="I223" i="61"/>
  <c r="I222" i="61"/>
  <c r="I221" i="61"/>
  <c r="I220" i="61"/>
  <c r="I219" i="61"/>
  <c r="I218" i="61"/>
  <c r="I217" i="61"/>
  <c r="I216" i="61"/>
  <c r="I215" i="61"/>
  <c r="I214" i="61"/>
  <c r="I213" i="61"/>
  <c r="I212" i="61"/>
  <c r="I211" i="61"/>
  <c r="I210" i="61"/>
  <c r="I209" i="61"/>
  <c r="I208" i="61"/>
  <c r="I207" i="61"/>
  <c r="I206" i="61"/>
  <c r="I205" i="61"/>
  <c r="I204" i="61"/>
  <c r="I203" i="61"/>
  <c r="I202" i="61"/>
  <c r="I201" i="61"/>
  <c r="I200" i="61"/>
  <c r="I199" i="61"/>
  <c r="I198" i="61"/>
  <c r="I197" i="61"/>
  <c r="I196" i="61"/>
  <c r="I195" i="61"/>
  <c r="I194" i="61"/>
  <c r="I193" i="61"/>
  <c r="I192" i="61"/>
  <c r="I191" i="61"/>
  <c r="I190" i="61"/>
  <c r="I189" i="61"/>
  <c r="I188" i="61"/>
  <c r="I187" i="61"/>
  <c r="I186" i="61"/>
  <c r="I185" i="61"/>
  <c r="I184" i="61"/>
  <c r="I183" i="61"/>
  <c r="I182" i="61"/>
  <c r="I181" i="61"/>
  <c r="I180" i="61"/>
  <c r="I179" i="61"/>
  <c r="I178" i="61"/>
  <c r="I177" i="61"/>
  <c r="I176" i="61"/>
  <c r="I175" i="61"/>
  <c r="I174" i="61"/>
  <c r="I173" i="61"/>
  <c r="I172" i="61"/>
  <c r="I171" i="61"/>
  <c r="I170" i="61"/>
  <c r="I169" i="61"/>
  <c r="I168" i="61"/>
  <c r="I167" i="61"/>
  <c r="I166" i="61"/>
  <c r="I165" i="61"/>
  <c r="I164" i="61"/>
  <c r="I163" i="61"/>
  <c r="I162" i="61"/>
  <c r="I161" i="61"/>
  <c r="I160" i="61"/>
  <c r="I159" i="61"/>
  <c r="I158" i="61"/>
  <c r="I157" i="61"/>
  <c r="I156" i="61"/>
  <c r="I155" i="61"/>
  <c r="I154" i="61"/>
  <c r="I153" i="61"/>
  <c r="I152" i="61"/>
  <c r="I151" i="61"/>
  <c r="I150" i="61"/>
  <c r="I149" i="61"/>
  <c r="I148" i="61"/>
  <c r="I147" i="61"/>
  <c r="I146" i="61"/>
  <c r="I145" i="61"/>
  <c r="I144" i="61"/>
  <c r="I143" i="61"/>
  <c r="I142" i="61"/>
  <c r="I141" i="61"/>
  <c r="I140" i="61"/>
  <c r="I139" i="61"/>
  <c r="I138" i="61"/>
  <c r="I137" i="61"/>
  <c r="I136" i="61"/>
  <c r="I135" i="61"/>
  <c r="I134" i="61"/>
  <c r="I133" i="61"/>
  <c r="I132" i="61"/>
  <c r="I131" i="61"/>
  <c r="I130" i="61"/>
  <c r="I129" i="61"/>
  <c r="I128" i="61"/>
  <c r="I127" i="61"/>
  <c r="I126" i="61"/>
  <c r="I125" i="61"/>
  <c r="I124" i="61"/>
  <c r="I123" i="61"/>
  <c r="I122" i="61"/>
  <c r="I121" i="61"/>
  <c r="I120" i="61"/>
  <c r="I119" i="61"/>
  <c r="I118" i="61"/>
  <c r="I117" i="61"/>
  <c r="I116" i="61"/>
  <c r="I115" i="61"/>
  <c r="I114" i="61"/>
  <c r="I113" i="61"/>
  <c r="I112" i="61"/>
  <c r="I111" i="61"/>
  <c r="I110" i="61"/>
  <c r="I109" i="61"/>
  <c r="I108" i="61"/>
  <c r="I107" i="61"/>
  <c r="I106" i="61"/>
  <c r="I105" i="61"/>
  <c r="I104" i="61"/>
  <c r="I103" i="61"/>
  <c r="I102" i="61"/>
  <c r="I101" i="61"/>
  <c r="I100" i="61"/>
  <c r="I99" i="61"/>
  <c r="I98" i="61"/>
  <c r="I97" i="61"/>
  <c r="I96" i="61"/>
  <c r="I95" i="61"/>
  <c r="I94" i="61"/>
  <c r="I93" i="61"/>
  <c r="I92" i="61"/>
  <c r="I91" i="61"/>
  <c r="I90" i="61"/>
  <c r="I89" i="61"/>
  <c r="I88" i="61"/>
  <c r="I87" i="61"/>
  <c r="I86" i="61"/>
  <c r="I85" i="61"/>
  <c r="I84" i="61"/>
  <c r="I83" i="61"/>
  <c r="I82" i="61"/>
  <c r="I81" i="61"/>
  <c r="I80" i="61"/>
  <c r="I79" i="61"/>
  <c r="I78" i="61"/>
  <c r="I77" i="61"/>
  <c r="I76" i="61"/>
  <c r="I75" i="61"/>
  <c r="I74" i="61"/>
  <c r="I73" i="61"/>
  <c r="I72" i="61"/>
  <c r="I71" i="61"/>
  <c r="I70" i="61"/>
  <c r="I69" i="61"/>
  <c r="I68" i="61"/>
  <c r="I67" i="61"/>
  <c r="I66" i="61"/>
  <c r="I65" i="61"/>
  <c r="I64" i="61"/>
  <c r="I63" i="61"/>
  <c r="I62" i="61"/>
  <c r="I61" i="61"/>
  <c r="I60" i="61"/>
  <c r="I59" i="61"/>
  <c r="I58" i="61"/>
  <c r="I57" i="61"/>
  <c r="I56" i="61"/>
  <c r="I55" i="61"/>
  <c r="I54" i="61"/>
  <c r="I53" i="61"/>
  <c r="I52" i="61"/>
  <c r="I51" i="61"/>
  <c r="I50" i="61"/>
  <c r="I49" i="61"/>
  <c r="I48" i="61"/>
  <c r="I47" i="61"/>
  <c r="I46" i="61"/>
  <c r="I45" i="61"/>
  <c r="I44" i="61"/>
  <c r="I43" i="61"/>
  <c r="I42" i="61"/>
  <c r="I41" i="61"/>
  <c r="I40" i="61"/>
  <c r="I39" i="61"/>
  <c r="I38" i="61"/>
  <c r="I37" i="61"/>
  <c r="I36" i="61"/>
  <c r="I35" i="61"/>
  <c r="I34" i="61"/>
  <c r="I33" i="61"/>
  <c r="I32" i="61"/>
  <c r="I31" i="61"/>
  <c r="I30" i="61"/>
  <c r="I29" i="61"/>
  <c r="I28" i="61"/>
  <c r="I27" i="61"/>
  <c r="I26" i="61"/>
  <c r="I25" i="61"/>
  <c r="I24" i="61"/>
  <c r="I23" i="61"/>
  <c r="I22" i="61"/>
  <c r="I21" i="61"/>
  <c r="I20" i="61"/>
  <c r="I19" i="61"/>
  <c r="I18" i="61"/>
  <c r="I17" i="61"/>
  <c r="I16" i="61"/>
  <c r="I15" i="61"/>
  <c r="I14" i="61"/>
  <c r="I13" i="61"/>
  <c r="I12" i="61"/>
  <c r="I11" i="61"/>
  <c r="I10" i="61"/>
  <c r="I9" i="61"/>
  <c r="I8" i="61"/>
  <c r="I7" i="61"/>
  <c r="I6" i="61"/>
  <c r="I5" i="61"/>
  <c r="I4" i="61"/>
  <c r="I3" i="61"/>
  <c r="I2" i="61"/>
  <c r="B63" i="64"/>
  <c r="A63" i="64" s="1"/>
  <c r="B62" i="64"/>
  <c r="A62" i="64" s="1"/>
  <c r="B61" i="64"/>
  <c r="A61" i="64" s="1"/>
  <c r="B60" i="64"/>
  <c r="A60" i="64" s="1"/>
  <c r="B58" i="64"/>
  <c r="A58" i="64" s="1"/>
  <c r="K10" i="64"/>
  <c r="O10" i="64" s="1"/>
  <c r="S10" i="64" s="1"/>
  <c r="J10" i="64"/>
  <c r="N10" i="64" s="1"/>
  <c r="R10" i="64" s="1"/>
  <c r="P3" i="64"/>
  <c r="M3" i="64"/>
  <c r="K2" i="64"/>
  <c r="O2" i="64" s="1"/>
  <c r="S2" i="64" s="1"/>
  <c r="J2" i="64"/>
  <c r="N2" i="64" s="1"/>
  <c r="R2" i="64" s="1"/>
  <c r="K141" i="64" l="1"/>
  <c r="J141" i="64"/>
  <c r="I141" i="64"/>
  <c r="G141" i="64"/>
  <c r="F141" i="64"/>
  <c r="E141" i="64"/>
  <c r="C141" i="64"/>
  <c r="B141" i="64" s="1"/>
  <c r="A141" i="64" s="1"/>
  <c r="C136" i="64"/>
  <c r="B136" i="64" s="1"/>
  <c r="A136" i="64" s="1"/>
  <c r="G136" i="64"/>
  <c r="F136" i="64"/>
  <c r="E136" i="64"/>
  <c r="K136" i="64"/>
  <c r="J136" i="64"/>
  <c r="I136" i="64"/>
  <c r="G137" i="64"/>
  <c r="J140" i="64"/>
  <c r="J131" i="64"/>
  <c r="J123" i="64"/>
  <c r="J115" i="64"/>
  <c r="J107" i="64"/>
  <c r="J99" i="64"/>
  <c r="J90" i="64"/>
  <c r="J80" i="64"/>
  <c r="J72" i="64"/>
  <c r="J64" i="64"/>
  <c r="J56" i="64"/>
  <c r="J48" i="64"/>
  <c r="J40" i="64"/>
  <c r="J32" i="64"/>
  <c r="J24" i="64"/>
  <c r="J16" i="64"/>
  <c r="J12" i="64"/>
  <c r="J118" i="64"/>
  <c r="J83" i="64"/>
  <c r="J35" i="64"/>
  <c r="J65" i="64"/>
  <c r="J139" i="64"/>
  <c r="J130" i="64"/>
  <c r="J122" i="64"/>
  <c r="J114" i="64"/>
  <c r="J106" i="64"/>
  <c r="J98" i="64"/>
  <c r="J89" i="64"/>
  <c r="J79" i="64"/>
  <c r="J71" i="64"/>
  <c r="J63" i="64"/>
  <c r="J55" i="64"/>
  <c r="J47" i="64"/>
  <c r="J39" i="64"/>
  <c r="J31" i="64"/>
  <c r="J23" i="64"/>
  <c r="J15" i="64"/>
  <c r="J20" i="64"/>
  <c r="J110" i="64"/>
  <c r="J67" i="64"/>
  <c r="J43" i="64"/>
  <c r="J41" i="64"/>
  <c r="J138" i="64"/>
  <c r="J129" i="64"/>
  <c r="J121" i="64"/>
  <c r="J113" i="64"/>
  <c r="J105" i="64"/>
  <c r="J97" i="64"/>
  <c r="J88" i="64"/>
  <c r="J78" i="64"/>
  <c r="J70" i="64"/>
  <c r="J62" i="64"/>
  <c r="J54" i="64"/>
  <c r="J46" i="64"/>
  <c r="J38" i="64"/>
  <c r="J30" i="64"/>
  <c r="J22" i="64"/>
  <c r="J14" i="64"/>
  <c r="J36" i="64"/>
  <c r="J102" i="64"/>
  <c r="J59" i="64"/>
  <c r="J19" i="64"/>
  <c r="J49" i="64"/>
  <c r="J137" i="64"/>
  <c r="J128" i="64"/>
  <c r="J120" i="64"/>
  <c r="J112" i="64"/>
  <c r="J104" i="64"/>
  <c r="J96" i="64"/>
  <c r="J86" i="64"/>
  <c r="J77" i="64"/>
  <c r="J69" i="64"/>
  <c r="J61" i="64"/>
  <c r="J53" i="64"/>
  <c r="J45" i="64"/>
  <c r="J37" i="64"/>
  <c r="J29" i="64"/>
  <c r="J21" i="64"/>
  <c r="J13" i="64"/>
  <c r="J28" i="64"/>
  <c r="J126" i="64"/>
  <c r="J75" i="64"/>
  <c r="J27" i="64"/>
  <c r="J57" i="64"/>
  <c r="J135" i="64"/>
  <c r="J127" i="64"/>
  <c r="J119" i="64"/>
  <c r="J111" i="64"/>
  <c r="J103" i="64"/>
  <c r="J95" i="64"/>
  <c r="J85" i="64"/>
  <c r="J76" i="64"/>
  <c r="J68" i="64"/>
  <c r="J60" i="64"/>
  <c r="J52" i="64"/>
  <c r="J44" i="64"/>
  <c r="J134" i="64"/>
  <c r="J94" i="64"/>
  <c r="J51" i="64"/>
  <c r="J11" i="64"/>
  <c r="J25" i="64"/>
  <c r="J133" i="64"/>
  <c r="J125" i="64"/>
  <c r="J117" i="64"/>
  <c r="J109" i="64"/>
  <c r="J101" i="64"/>
  <c r="J93" i="64"/>
  <c r="J82" i="64"/>
  <c r="J74" i="64"/>
  <c r="J66" i="64"/>
  <c r="J58" i="64"/>
  <c r="J50" i="64"/>
  <c r="J42" i="64"/>
  <c r="J34" i="64"/>
  <c r="J26" i="64"/>
  <c r="J18" i="64"/>
  <c r="J132" i="64"/>
  <c r="J124" i="64"/>
  <c r="J116" i="64"/>
  <c r="J108" i="64"/>
  <c r="J100" i="64"/>
  <c r="J91" i="64"/>
  <c r="J81" i="64"/>
  <c r="J73" i="64"/>
  <c r="J33" i="64"/>
  <c r="J17" i="64"/>
  <c r="G180" i="62"/>
  <c r="H181" i="62"/>
  <c r="G181" i="62"/>
  <c r="C180" i="62"/>
  <c r="B180" i="62" s="1"/>
  <c r="A180" i="62" s="1"/>
  <c r="F181" i="62"/>
  <c r="E181" i="62"/>
  <c r="C181" i="62"/>
  <c r="B181" i="62" s="1"/>
  <c r="A181" i="62" s="1"/>
  <c r="F180" i="62"/>
  <c r="E180" i="62"/>
  <c r="H180" i="62"/>
  <c r="E182" i="62"/>
  <c r="H182" i="62"/>
  <c r="G182" i="62"/>
  <c r="F182" i="62"/>
  <c r="K140" i="64"/>
  <c r="I140" i="64"/>
  <c r="K139" i="64"/>
  <c r="I139" i="64"/>
  <c r="G139" i="64"/>
  <c r="E139" i="64"/>
  <c r="C139" i="64"/>
  <c r="B139" i="64" s="1"/>
  <c r="A139" i="64" s="1"/>
  <c r="F140" i="64"/>
  <c r="F139" i="64"/>
  <c r="G140" i="64"/>
  <c r="C140" i="64"/>
  <c r="B140" i="64" s="1"/>
  <c r="A140" i="64" s="1"/>
  <c r="E140" i="64"/>
  <c r="I134" i="64"/>
  <c r="I137" i="64"/>
  <c r="I138" i="64"/>
  <c r="K138" i="64"/>
  <c r="K134" i="64"/>
  <c r="K135" i="64"/>
  <c r="K137" i="64"/>
  <c r="I135" i="64"/>
  <c r="F138" i="64"/>
  <c r="G134" i="64"/>
  <c r="E134" i="64"/>
  <c r="E138" i="64"/>
  <c r="F137" i="64"/>
  <c r="E135" i="64"/>
  <c r="E137" i="64"/>
  <c r="F135" i="64"/>
  <c r="F134" i="64"/>
  <c r="C137" i="64"/>
  <c r="B137" i="64" s="1"/>
  <c r="A137" i="64" s="1"/>
  <c r="C135" i="64"/>
  <c r="B135" i="64" s="1"/>
  <c r="A135" i="64" s="1"/>
  <c r="G135" i="64"/>
  <c r="C134" i="64"/>
  <c r="B134" i="64" s="1"/>
  <c r="A134" i="64" s="1"/>
  <c r="C138" i="64"/>
  <c r="B138" i="64" s="1"/>
  <c r="A138" i="64" s="1"/>
  <c r="G138" i="64"/>
  <c r="G132" i="64"/>
  <c r="F132" i="64"/>
  <c r="G133" i="64"/>
  <c r="E132" i="64"/>
  <c r="F133" i="64"/>
  <c r="C132" i="64"/>
  <c r="B132" i="64" s="1"/>
  <c r="A132" i="64" s="1"/>
  <c r="E133" i="64"/>
  <c r="C133" i="64"/>
  <c r="B133" i="64" s="1"/>
  <c r="A133" i="64" s="1"/>
  <c r="K133" i="64"/>
  <c r="K132" i="64"/>
  <c r="I133" i="64"/>
  <c r="I132" i="64"/>
  <c r="J92" i="64"/>
  <c r="I92" i="64"/>
  <c r="K92" i="64"/>
  <c r="G59" i="64"/>
  <c r="F59" i="64"/>
  <c r="E59" i="64"/>
  <c r="K59" i="64"/>
  <c r="I59" i="64"/>
  <c r="H179" i="62"/>
  <c r="E179" i="62"/>
  <c r="G179" i="62"/>
  <c r="F179" i="62"/>
  <c r="K84" i="64"/>
  <c r="I84" i="64"/>
  <c r="J84" i="64"/>
  <c r="K130" i="64"/>
  <c r="I130" i="64"/>
  <c r="K131" i="64"/>
  <c r="I131" i="64"/>
  <c r="G131" i="64"/>
  <c r="G130" i="64"/>
  <c r="F131" i="64"/>
  <c r="F130" i="64"/>
  <c r="E131" i="64"/>
  <c r="E130" i="64"/>
  <c r="C131" i="64"/>
  <c r="B131" i="64" s="1"/>
  <c r="A131" i="64" s="1"/>
  <c r="C130" i="64"/>
  <c r="B130" i="64" s="1"/>
  <c r="A130" i="64" s="1"/>
  <c r="J7" i="66"/>
  <c r="F6" i="66"/>
  <c r="F7" i="66"/>
  <c r="J6" i="66"/>
  <c r="C47" i="64"/>
  <c r="B47" i="64" s="1"/>
  <c r="A47" i="64" s="1"/>
  <c r="C12" i="64"/>
  <c r="B12" i="64" s="1"/>
  <c r="A12" i="64" s="1"/>
  <c r="C125" i="64"/>
  <c r="B125" i="64" s="1"/>
  <c r="A125" i="64" s="1"/>
  <c r="C113" i="64"/>
  <c r="B113" i="64" s="1"/>
  <c r="A113" i="64" s="1"/>
  <c r="C101" i="64"/>
  <c r="B101" i="64" s="1"/>
  <c r="A101" i="64" s="1"/>
  <c r="C89" i="64"/>
  <c r="B89" i="64" s="1"/>
  <c r="A89" i="64" s="1"/>
  <c r="C77" i="64"/>
  <c r="B77" i="64" s="1"/>
  <c r="A77" i="64" s="1"/>
  <c r="C23" i="64"/>
  <c r="B23" i="64" s="1"/>
  <c r="A23" i="64" s="1"/>
  <c r="C124" i="64"/>
  <c r="B124" i="64" s="1"/>
  <c r="A124" i="64" s="1"/>
  <c r="C112" i="64"/>
  <c r="B112" i="64" s="1"/>
  <c r="A112" i="64" s="1"/>
  <c r="C100" i="64"/>
  <c r="B100" i="64" s="1"/>
  <c r="A100" i="64" s="1"/>
  <c r="C88" i="64"/>
  <c r="B88" i="64" s="1"/>
  <c r="A88" i="64" s="1"/>
  <c r="C76" i="64"/>
  <c r="B76" i="64" s="1"/>
  <c r="A76" i="64" s="1"/>
  <c r="C64" i="64"/>
  <c r="B64" i="64" s="1"/>
  <c r="A64" i="64" s="1"/>
  <c r="C46" i="64"/>
  <c r="B46" i="64" s="1"/>
  <c r="A46" i="64" s="1"/>
  <c r="C34" i="64"/>
  <c r="B34" i="64" s="1"/>
  <c r="A34" i="64" s="1"/>
  <c r="C22" i="64"/>
  <c r="B22" i="64" s="1"/>
  <c r="A22" i="64" s="1"/>
  <c r="C35" i="64"/>
  <c r="B35" i="64" s="1"/>
  <c r="A35" i="64" s="1"/>
  <c r="C123" i="64"/>
  <c r="B123" i="64" s="1"/>
  <c r="A123" i="64" s="1"/>
  <c r="C111" i="64"/>
  <c r="B111" i="64" s="1"/>
  <c r="A111" i="64" s="1"/>
  <c r="C99" i="64"/>
  <c r="B99" i="64" s="1"/>
  <c r="A99" i="64" s="1"/>
  <c r="C87" i="64"/>
  <c r="B87" i="64" s="1"/>
  <c r="A87" i="64" s="1"/>
  <c r="C75" i="64"/>
  <c r="B75" i="64" s="1"/>
  <c r="A75" i="64" s="1"/>
  <c r="C57" i="64"/>
  <c r="B57" i="64" s="1"/>
  <c r="A57" i="64" s="1"/>
  <c r="C45" i="64"/>
  <c r="B45" i="64" s="1"/>
  <c r="A45" i="64" s="1"/>
  <c r="C33" i="64"/>
  <c r="B33" i="64" s="1"/>
  <c r="A33" i="64" s="1"/>
  <c r="C21" i="64"/>
  <c r="B21" i="64" s="1"/>
  <c r="A21" i="64" s="1"/>
  <c r="C65" i="64"/>
  <c r="B65" i="64" s="1"/>
  <c r="A65" i="64" s="1"/>
  <c r="C122" i="64"/>
  <c r="B122" i="64" s="1"/>
  <c r="A122" i="64" s="1"/>
  <c r="C110" i="64"/>
  <c r="B110" i="64" s="1"/>
  <c r="A110" i="64" s="1"/>
  <c r="C98" i="64"/>
  <c r="B98" i="64" s="1"/>
  <c r="A98" i="64" s="1"/>
  <c r="C86" i="64"/>
  <c r="B86" i="64" s="1"/>
  <c r="A86" i="64" s="1"/>
  <c r="C74" i="64"/>
  <c r="B74" i="64" s="1"/>
  <c r="A74" i="64" s="1"/>
  <c r="C56" i="64"/>
  <c r="B56" i="64" s="1"/>
  <c r="A56" i="64" s="1"/>
  <c r="C44" i="64"/>
  <c r="B44" i="64" s="1"/>
  <c r="A44" i="64" s="1"/>
  <c r="C32" i="64"/>
  <c r="B32" i="64" s="1"/>
  <c r="A32" i="64" s="1"/>
  <c r="C20" i="64"/>
  <c r="B20" i="64" s="1"/>
  <c r="A20" i="64" s="1"/>
  <c r="C121" i="64"/>
  <c r="B121" i="64" s="1"/>
  <c r="A121" i="64" s="1"/>
  <c r="C109" i="64"/>
  <c r="B109" i="64" s="1"/>
  <c r="A109" i="64" s="1"/>
  <c r="C97" i="64"/>
  <c r="B97" i="64" s="1"/>
  <c r="A97" i="64" s="1"/>
  <c r="C85" i="64"/>
  <c r="B85" i="64" s="1"/>
  <c r="A85" i="64" s="1"/>
  <c r="C73" i="64"/>
  <c r="B73" i="64" s="1"/>
  <c r="A73" i="64" s="1"/>
  <c r="C55" i="64"/>
  <c r="B55" i="64" s="1"/>
  <c r="A55" i="64" s="1"/>
  <c r="C43" i="64"/>
  <c r="B43" i="64" s="1"/>
  <c r="A43" i="64" s="1"/>
  <c r="C31" i="64"/>
  <c r="B31" i="64" s="1"/>
  <c r="A31" i="64" s="1"/>
  <c r="C19" i="64"/>
  <c r="B19" i="64" s="1"/>
  <c r="A19" i="64" s="1"/>
  <c r="C120" i="64"/>
  <c r="B120" i="64" s="1"/>
  <c r="A120" i="64" s="1"/>
  <c r="C108" i="64"/>
  <c r="B108" i="64" s="1"/>
  <c r="A108" i="64" s="1"/>
  <c r="C96" i="64"/>
  <c r="B96" i="64" s="1"/>
  <c r="A96" i="64" s="1"/>
  <c r="C84" i="64"/>
  <c r="B84" i="64" s="1"/>
  <c r="A84" i="64" s="1"/>
  <c r="C72" i="64"/>
  <c r="B72" i="64" s="1"/>
  <c r="A72" i="64" s="1"/>
  <c r="C54" i="64"/>
  <c r="B54" i="64" s="1"/>
  <c r="A54" i="64" s="1"/>
  <c r="C42" i="64"/>
  <c r="B42" i="64" s="1"/>
  <c r="A42" i="64" s="1"/>
  <c r="C30" i="64"/>
  <c r="B30" i="64" s="1"/>
  <c r="A30" i="64" s="1"/>
  <c r="C18" i="64"/>
  <c r="B18" i="64" s="1"/>
  <c r="A18" i="64" s="1"/>
  <c r="C119" i="64"/>
  <c r="B119" i="64" s="1"/>
  <c r="A119" i="64" s="1"/>
  <c r="C107" i="64"/>
  <c r="B107" i="64" s="1"/>
  <c r="A107" i="64" s="1"/>
  <c r="C95" i="64"/>
  <c r="B95" i="64" s="1"/>
  <c r="A95" i="64" s="1"/>
  <c r="C83" i="64"/>
  <c r="B83" i="64" s="1"/>
  <c r="A83" i="64" s="1"/>
  <c r="C71" i="64"/>
  <c r="B71" i="64" s="1"/>
  <c r="A71" i="64" s="1"/>
  <c r="C53" i="64"/>
  <c r="B53" i="64" s="1"/>
  <c r="A53" i="64" s="1"/>
  <c r="C41" i="64"/>
  <c r="B41" i="64" s="1"/>
  <c r="A41" i="64" s="1"/>
  <c r="C29" i="64"/>
  <c r="B29" i="64" s="1"/>
  <c r="A29" i="64" s="1"/>
  <c r="C17" i="64"/>
  <c r="B17" i="64" s="1"/>
  <c r="A17" i="64" s="1"/>
  <c r="C11" i="64"/>
  <c r="B11" i="64" s="1"/>
  <c r="A11" i="64" s="1"/>
  <c r="C118" i="64"/>
  <c r="B118" i="64" s="1"/>
  <c r="A118" i="64" s="1"/>
  <c r="C106" i="64"/>
  <c r="B106" i="64" s="1"/>
  <c r="A106" i="64" s="1"/>
  <c r="C94" i="64"/>
  <c r="B94" i="64" s="1"/>
  <c r="A94" i="64" s="1"/>
  <c r="C82" i="64"/>
  <c r="B82" i="64" s="1"/>
  <c r="A82" i="64" s="1"/>
  <c r="C70" i="64"/>
  <c r="B70" i="64" s="1"/>
  <c r="A70" i="64" s="1"/>
  <c r="C52" i="64"/>
  <c r="B52" i="64" s="1"/>
  <c r="A52" i="64" s="1"/>
  <c r="C40" i="64"/>
  <c r="B40" i="64" s="1"/>
  <c r="A40" i="64" s="1"/>
  <c r="C28" i="64"/>
  <c r="B28" i="64" s="1"/>
  <c r="A28" i="64" s="1"/>
  <c r="C16" i="64"/>
  <c r="B16" i="64" s="1"/>
  <c r="A16" i="64" s="1"/>
  <c r="C129" i="64"/>
  <c r="B129" i="64" s="1"/>
  <c r="A129" i="64" s="1"/>
  <c r="C117" i="64"/>
  <c r="B117" i="64" s="1"/>
  <c r="A117" i="64" s="1"/>
  <c r="C105" i="64"/>
  <c r="B105" i="64" s="1"/>
  <c r="A105" i="64" s="1"/>
  <c r="C93" i="64"/>
  <c r="B93" i="64" s="1"/>
  <c r="A93" i="64" s="1"/>
  <c r="C81" i="64"/>
  <c r="B81" i="64" s="1"/>
  <c r="A81" i="64" s="1"/>
  <c r="C69" i="64"/>
  <c r="B69" i="64" s="1"/>
  <c r="A69" i="64" s="1"/>
  <c r="C51" i="64"/>
  <c r="B51" i="64" s="1"/>
  <c r="A51" i="64" s="1"/>
  <c r="C39" i="64"/>
  <c r="B39" i="64" s="1"/>
  <c r="A39" i="64" s="1"/>
  <c r="C27" i="64"/>
  <c r="B27" i="64" s="1"/>
  <c r="A27" i="64" s="1"/>
  <c r="C15" i="64"/>
  <c r="B15" i="64" s="1"/>
  <c r="A15" i="64" s="1"/>
  <c r="C128" i="64"/>
  <c r="B128" i="64" s="1"/>
  <c r="A128" i="64" s="1"/>
  <c r="C116" i="64"/>
  <c r="B116" i="64" s="1"/>
  <c r="A116" i="64" s="1"/>
  <c r="C104" i="64"/>
  <c r="B104" i="64" s="1"/>
  <c r="A104" i="64" s="1"/>
  <c r="C92" i="64"/>
  <c r="B92" i="64" s="1"/>
  <c r="A92" i="64" s="1"/>
  <c r="C80" i="64"/>
  <c r="B80" i="64" s="1"/>
  <c r="A80" i="64" s="1"/>
  <c r="C68" i="64"/>
  <c r="B68" i="64" s="1"/>
  <c r="A68" i="64" s="1"/>
  <c r="C50" i="64"/>
  <c r="B50" i="64" s="1"/>
  <c r="A50" i="64" s="1"/>
  <c r="C38" i="64"/>
  <c r="B38" i="64" s="1"/>
  <c r="A38" i="64" s="1"/>
  <c r="C26" i="64"/>
  <c r="B26" i="64" s="1"/>
  <c r="A26" i="64" s="1"/>
  <c r="C14" i="64"/>
  <c r="B14" i="64" s="1"/>
  <c r="A14" i="64" s="1"/>
  <c r="C127" i="64"/>
  <c r="B127" i="64" s="1"/>
  <c r="A127" i="64" s="1"/>
  <c r="C115" i="64"/>
  <c r="B115" i="64" s="1"/>
  <c r="A115" i="64" s="1"/>
  <c r="C103" i="64"/>
  <c r="B103" i="64" s="1"/>
  <c r="A103" i="64" s="1"/>
  <c r="C91" i="64"/>
  <c r="B91" i="64" s="1"/>
  <c r="A91" i="64" s="1"/>
  <c r="C79" i="64"/>
  <c r="B79" i="64" s="1"/>
  <c r="A79" i="64" s="1"/>
  <c r="C67" i="64"/>
  <c r="B67" i="64" s="1"/>
  <c r="A67" i="64" s="1"/>
  <c r="C49" i="64"/>
  <c r="B49" i="64" s="1"/>
  <c r="A49" i="64" s="1"/>
  <c r="C37" i="64"/>
  <c r="B37" i="64" s="1"/>
  <c r="A37" i="64" s="1"/>
  <c r="C25" i="64"/>
  <c r="B25" i="64" s="1"/>
  <c r="A25" i="64" s="1"/>
  <c r="C13" i="64"/>
  <c r="B13" i="64" s="1"/>
  <c r="A13" i="64" s="1"/>
  <c r="C126" i="64"/>
  <c r="B126" i="64" s="1"/>
  <c r="A126" i="64" s="1"/>
  <c r="C114" i="64"/>
  <c r="B114" i="64" s="1"/>
  <c r="A114" i="64" s="1"/>
  <c r="C102" i="64"/>
  <c r="B102" i="64" s="1"/>
  <c r="A102" i="64" s="1"/>
  <c r="C90" i="64"/>
  <c r="B90" i="64" s="1"/>
  <c r="A90" i="64" s="1"/>
  <c r="C78" i="64"/>
  <c r="B78" i="64" s="1"/>
  <c r="A78" i="64" s="1"/>
  <c r="C66" i="64"/>
  <c r="B66" i="64" s="1"/>
  <c r="A66" i="64" s="1"/>
  <c r="C48" i="64"/>
  <c r="B48" i="64" s="1"/>
  <c r="A48" i="64" s="1"/>
  <c r="C36" i="64"/>
  <c r="B36" i="64" s="1"/>
  <c r="A36" i="64" s="1"/>
  <c r="C24" i="64"/>
  <c r="B24" i="64" s="1"/>
  <c r="A24" i="64" s="1"/>
  <c r="K14" i="64"/>
  <c r="K18" i="64"/>
  <c r="K22" i="64"/>
  <c r="K26" i="64"/>
  <c r="K30" i="64"/>
  <c r="K34" i="64"/>
  <c r="K38" i="64"/>
  <c r="K42" i="64"/>
  <c r="K46" i="64"/>
  <c r="K50" i="64"/>
  <c r="K54" i="64"/>
  <c r="K58" i="64"/>
  <c r="K63" i="64"/>
  <c r="K67" i="64"/>
  <c r="K71" i="64"/>
  <c r="K75" i="64"/>
  <c r="K79" i="64"/>
  <c r="K83" i="64"/>
  <c r="K88" i="64"/>
  <c r="K96" i="64"/>
  <c r="K100" i="64"/>
  <c r="K104" i="64"/>
  <c r="K108" i="64"/>
  <c r="K112" i="64"/>
  <c r="K116" i="64"/>
  <c r="K120" i="64"/>
  <c r="K124" i="64"/>
  <c r="K128" i="64"/>
  <c r="I11" i="64"/>
  <c r="I15" i="64"/>
  <c r="I19" i="64"/>
  <c r="I23" i="64"/>
  <c r="I27" i="64"/>
  <c r="I31" i="64"/>
  <c r="I35" i="64"/>
  <c r="I39" i="64"/>
  <c r="I43" i="64"/>
  <c r="I47" i="64"/>
  <c r="I51" i="64"/>
  <c r="I55" i="64"/>
  <c r="I60" i="64"/>
  <c r="I64" i="64"/>
  <c r="I68" i="64"/>
  <c r="I72" i="64"/>
  <c r="I76" i="64"/>
  <c r="I80" i="64"/>
  <c r="I89" i="64"/>
  <c r="I93" i="64"/>
  <c r="I97" i="64"/>
  <c r="I101" i="64"/>
  <c r="I105" i="64"/>
  <c r="I109" i="64"/>
  <c r="I113" i="64"/>
  <c r="I117" i="64"/>
  <c r="I121" i="64"/>
  <c r="I125" i="64"/>
  <c r="I129" i="64"/>
  <c r="K11" i="64"/>
  <c r="K15" i="64"/>
  <c r="K19" i="64"/>
  <c r="K23" i="64"/>
  <c r="K27" i="64"/>
  <c r="K31" i="64"/>
  <c r="K35" i="64"/>
  <c r="K39" i="64"/>
  <c r="K43" i="64"/>
  <c r="K47" i="64"/>
  <c r="K51" i="64"/>
  <c r="K55" i="64"/>
  <c r="K60" i="64"/>
  <c r="K64" i="64"/>
  <c r="K68" i="64"/>
  <c r="K72" i="64"/>
  <c r="K76" i="64"/>
  <c r="K80" i="64"/>
  <c r="K89" i="64"/>
  <c r="K93" i="64"/>
  <c r="K97" i="64"/>
  <c r="K101" i="64"/>
  <c r="K105" i="64"/>
  <c r="K109" i="64"/>
  <c r="K113" i="64"/>
  <c r="K117" i="64"/>
  <c r="K121" i="64"/>
  <c r="K125" i="64"/>
  <c r="K129" i="64"/>
  <c r="I12" i="64"/>
  <c r="I16" i="64"/>
  <c r="I20" i="64"/>
  <c r="I24" i="64"/>
  <c r="I28" i="64"/>
  <c r="I32" i="64"/>
  <c r="I36" i="64"/>
  <c r="I40" i="64"/>
  <c r="I44" i="64"/>
  <c r="I48" i="64"/>
  <c r="I52" i="64"/>
  <c r="I56" i="64"/>
  <c r="I61" i="64"/>
  <c r="I65" i="64"/>
  <c r="I69" i="64"/>
  <c r="I73" i="64"/>
  <c r="I77" i="64"/>
  <c r="I81" i="64"/>
  <c r="I85" i="64"/>
  <c r="I90" i="64"/>
  <c r="I94" i="64"/>
  <c r="I98" i="64"/>
  <c r="I102" i="64"/>
  <c r="I106" i="64"/>
  <c r="I110" i="64"/>
  <c r="I114" i="64"/>
  <c r="I118" i="64"/>
  <c r="I122" i="64"/>
  <c r="I126" i="64"/>
  <c r="K12" i="64"/>
  <c r="K16" i="64"/>
  <c r="K20" i="64"/>
  <c r="K24" i="64"/>
  <c r="K28" i="64"/>
  <c r="K32" i="64"/>
  <c r="K36" i="64"/>
  <c r="K40" i="64"/>
  <c r="K44" i="64"/>
  <c r="K48" i="64"/>
  <c r="K52" i="64"/>
  <c r="K56" i="64"/>
  <c r="K61" i="64"/>
  <c r="K65" i="64"/>
  <c r="K69" i="64"/>
  <c r="K73" i="64"/>
  <c r="K77" i="64"/>
  <c r="K81" i="64"/>
  <c r="K85" i="64"/>
  <c r="K90" i="64"/>
  <c r="K94" i="64"/>
  <c r="K98" i="64"/>
  <c r="K102" i="64"/>
  <c r="K106" i="64"/>
  <c r="K110" i="64"/>
  <c r="K114" i="64"/>
  <c r="K118" i="64"/>
  <c r="K122" i="64"/>
  <c r="K126" i="64"/>
  <c r="I13" i="64"/>
  <c r="I17" i="64"/>
  <c r="I21" i="64"/>
  <c r="I25" i="64"/>
  <c r="I29" i="64"/>
  <c r="I33" i="64"/>
  <c r="I37" i="64"/>
  <c r="I41" i="64"/>
  <c r="I45" i="64"/>
  <c r="I49" i="64"/>
  <c r="I53" i="64"/>
  <c r="I57" i="64"/>
  <c r="I62" i="64"/>
  <c r="I66" i="64"/>
  <c r="I70" i="64"/>
  <c r="I74" i="64"/>
  <c r="I78" i="64"/>
  <c r="I82" i="64"/>
  <c r="I86" i="64"/>
  <c r="I91" i="64"/>
  <c r="I95" i="64"/>
  <c r="I99" i="64"/>
  <c r="I103" i="64"/>
  <c r="I107" i="64"/>
  <c r="I111" i="64"/>
  <c r="I115" i="64"/>
  <c r="I119" i="64"/>
  <c r="I123" i="64"/>
  <c r="I127" i="64"/>
  <c r="K13" i="64"/>
  <c r="K17" i="64"/>
  <c r="K21" i="64"/>
  <c r="K25" i="64"/>
  <c r="K29" i="64"/>
  <c r="K33" i="64"/>
  <c r="K37" i="64"/>
  <c r="K41" i="64"/>
  <c r="K45" i="64"/>
  <c r="K49" i="64"/>
  <c r="K53" i="64"/>
  <c r="K57" i="64"/>
  <c r="K62" i="64"/>
  <c r="K66" i="64"/>
  <c r="K70" i="64"/>
  <c r="K74" i="64"/>
  <c r="K78" i="64"/>
  <c r="K82" i="64"/>
  <c r="K86" i="64"/>
  <c r="K91" i="64"/>
  <c r="K95" i="64"/>
  <c r="K99" i="64"/>
  <c r="K103" i="64"/>
  <c r="K107" i="64"/>
  <c r="K111" i="64"/>
  <c r="K115" i="64"/>
  <c r="K119" i="64"/>
  <c r="K123" i="64"/>
  <c r="K127" i="64"/>
  <c r="I14" i="64"/>
  <c r="I18" i="64"/>
  <c r="I22" i="64"/>
  <c r="I26" i="64"/>
  <c r="I30" i="64"/>
  <c r="I34" i="64"/>
  <c r="I38" i="64"/>
  <c r="I42" i="64"/>
  <c r="I46" i="64"/>
  <c r="I50" i="64"/>
  <c r="I54" i="64"/>
  <c r="I58" i="64"/>
  <c r="I63" i="64"/>
  <c r="I67" i="64"/>
  <c r="I71" i="64"/>
  <c r="I75" i="64"/>
  <c r="I79" i="64"/>
  <c r="I83" i="64"/>
  <c r="I88" i="64"/>
  <c r="I96" i="64"/>
  <c r="I100" i="64"/>
  <c r="I104" i="64"/>
  <c r="I108" i="64"/>
  <c r="I112" i="64"/>
  <c r="I116" i="64"/>
  <c r="I120" i="64"/>
  <c r="I124" i="64"/>
  <c r="I128" i="64"/>
  <c r="F54" i="64"/>
  <c r="F127" i="64"/>
  <c r="F91" i="64"/>
  <c r="F73" i="64"/>
  <c r="F24" i="64"/>
  <c r="F36" i="64"/>
  <c r="E127" i="64"/>
  <c r="E18" i="64"/>
  <c r="F124" i="64"/>
  <c r="F106" i="64"/>
  <c r="F88" i="64"/>
  <c r="F70" i="64"/>
  <c r="F51" i="64"/>
  <c r="F33" i="64"/>
  <c r="F15" i="64"/>
  <c r="E36" i="64"/>
  <c r="P118" i="64"/>
  <c r="T118" i="64" s="1"/>
  <c r="E124" i="64"/>
  <c r="E106" i="64"/>
  <c r="E88" i="64"/>
  <c r="E70" i="64"/>
  <c r="E51" i="64"/>
  <c r="E33" i="64"/>
  <c r="E15" i="64"/>
  <c r="F18" i="64"/>
  <c r="E91" i="64"/>
  <c r="P88" i="64"/>
  <c r="T88" i="64" s="1"/>
  <c r="F121" i="64"/>
  <c r="F103" i="64"/>
  <c r="F85" i="64"/>
  <c r="F67" i="64"/>
  <c r="F48" i="64"/>
  <c r="F30" i="64"/>
  <c r="F12" i="64"/>
  <c r="F109" i="64"/>
  <c r="E54" i="64"/>
  <c r="E121" i="64"/>
  <c r="E103" i="64"/>
  <c r="E85" i="64"/>
  <c r="E67" i="64"/>
  <c r="E48" i="64"/>
  <c r="E30" i="64"/>
  <c r="E12" i="64"/>
  <c r="F118" i="64"/>
  <c r="F100" i="64"/>
  <c r="F82" i="64"/>
  <c r="F64" i="64"/>
  <c r="F45" i="64"/>
  <c r="F27" i="64"/>
  <c r="E109" i="64"/>
  <c r="E118" i="64"/>
  <c r="E100" i="64"/>
  <c r="E82" i="64"/>
  <c r="E64" i="64"/>
  <c r="E45" i="64"/>
  <c r="E27" i="64"/>
  <c r="E73" i="64"/>
  <c r="F115" i="64"/>
  <c r="F97" i="64"/>
  <c r="F79" i="64"/>
  <c r="F61" i="64"/>
  <c r="F42" i="64"/>
  <c r="G12" i="64"/>
  <c r="G15" i="64"/>
  <c r="G18" i="64"/>
  <c r="G21" i="64"/>
  <c r="G24" i="64"/>
  <c r="G27" i="64"/>
  <c r="G30" i="64"/>
  <c r="G33" i="64"/>
  <c r="G36" i="64"/>
  <c r="G39" i="64"/>
  <c r="G42" i="64"/>
  <c r="G45" i="64"/>
  <c r="G48" i="64"/>
  <c r="G51" i="64"/>
  <c r="G54" i="64"/>
  <c r="G57" i="64"/>
  <c r="G61" i="64"/>
  <c r="G64" i="64"/>
  <c r="G67" i="64"/>
  <c r="G70" i="64"/>
  <c r="G73" i="64"/>
  <c r="G76" i="64"/>
  <c r="G79" i="64"/>
  <c r="G82" i="64"/>
  <c r="G85" i="64"/>
  <c r="G88" i="64"/>
  <c r="G91" i="64"/>
  <c r="G94" i="64"/>
  <c r="G97" i="64"/>
  <c r="G100" i="64"/>
  <c r="G103" i="64"/>
  <c r="G106" i="64"/>
  <c r="G109" i="64"/>
  <c r="G112" i="64"/>
  <c r="G115" i="64"/>
  <c r="G118" i="64"/>
  <c r="G121" i="64"/>
  <c r="G124" i="64"/>
  <c r="G127" i="64"/>
  <c r="P15" i="64"/>
  <c r="T15" i="64" s="1"/>
  <c r="P18" i="64"/>
  <c r="T18" i="64" s="1"/>
  <c r="P21" i="64"/>
  <c r="T21" i="64" s="1"/>
  <c r="P27" i="64"/>
  <c r="T27" i="64" s="1"/>
  <c r="P30" i="64"/>
  <c r="T30" i="64" s="1"/>
  <c r="P33" i="64"/>
  <c r="T33" i="64" s="1"/>
  <c r="P36" i="64"/>
  <c r="T36" i="64" s="1"/>
  <c r="P39" i="64"/>
  <c r="T39" i="64" s="1"/>
  <c r="P42" i="64"/>
  <c r="T42" i="64" s="1"/>
  <c r="P45" i="64"/>
  <c r="T45" i="64" s="1"/>
  <c r="P48" i="64"/>
  <c r="T48" i="64" s="1"/>
  <c r="P51" i="64"/>
  <c r="T51" i="64" s="1"/>
  <c r="P54" i="64"/>
  <c r="T54" i="64" s="1"/>
  <c r="P57" i="64"/>
  <c r="T57" i="64" s="1"/>
  <c r="P61" i="64"/>
  <c r="T61" i="64" s="1"/>
  <c r="P67" i="64"/>
  <c r="T67" i="64" s="1"/>
  <c r="P70" i="64"/>
  <c r="T70" i="64" s="1"/>
  <c r="P73" i="64"/>
  <c r="T73" i="64" s="1"/>
  <c r="P79" i="64"/>
  <c r="T79" i="64" s="1"/>
  <c r="P82" i="64"/>
  <c r="T82" i="64" s="1"/>
  <c r="P85" i="64"/>
  <c r="T85" i="64" s="1"/>
  <c r="P94" i="64"/>
  <c r="T94" i="64" s="1"/>
  <c r="P97" i="64"/>
  <c r="T97" i="64" s="1"/>
  <c r="P100" i="64"/>
  <c r="T100" i="64" s="1"/>
  <c r="P103" i="64"/>
  <c r="T103" i="64" s="1"/>
  <c r="P106" i="64"/>
  <c r="T106" i="64" s="1"/>
  <c r="P109" i="64"/>
  <c r="T109" i="64" s="1"/>
  <c r="P112" i="64"/>
  <c r="T112" i="64" s="1"/>
  <c r="P115" i="64"/>
  <c r="T115" i="64" s="1"/>
  <c r="P121" i="64"/>
  <c r="T121" i="64" s="1"/>
  <c r="P124" i="64"/>
  <c r="T124" i="64" s="1"/>
  <c r="P127" i="64"/>
  <c r="T127" i="64" s="1"/>
  <c r="G11" i="64"/>
  <c r="E13" i="64"/>
  <c r="E16" i="64"/>
  <c r="E19" i="64"/>
  <c r="E22" i="64"/>
  <c r="E25" i="64"/>
  <c r="E28" i="64"/>
  <c r="E31" i="64"/>
  <c r="E34" i="64"/>
  <c r="E37" i="64"/>
  <c r="E40" i="64"/>
  <c r="E43" i="64"/>
  <c r="E46" i="64"/>
  <c r="E49" i="64"/>
  <c r="E52" i="64"/>
  <c r="E55" i="64"/>
  <c r="E58" i="64"/>
  <c r="E62" i="64"/>
  <c r="E65" i="64"/>
  <c r="E68" i="64"/>
  <c r="E71" i="64"/>
  <c r="E74" i="64"/>
  <c r="E77" i="64"/>
  <c r="E80" i="64"/>
  <c r="E83" i="64"/>
  <c r="E86" i="64"/>
  <c r="E89" i="64"/>
  <c r="E92" i="64"/>
  <c r="E95" i="64"/>
  <c r="E98" i="64"/>
  <c r="E101" i="64"/>
  <c r="E104" i="64"/>
  <c r="E107" i="64"/>
  <c r="E110" i="64"/>
  <c r="E113" i="64"/>
  <c r="E116" i="64"/>
  <c r="E119" i="64"/>
  <c r="E122" i="64"/>
  <c r="E125" i="64"/>
  <c r="E128" i="64"/>
  <c r="F11" i="64"/>
  <c r="F13" i="64"/>
  <c r="F16" i="64"/>
  <c r="F19" i="64"/>
  <c r="F22" i="64"/>
  <c r="F25" i="64"/>
  <c r="F28" i="64"/>
  <c r="F31" i="64"/>
  <c r="F34" i="64"/>
  <c r="F37" i="64"/>
  <c r="F40" i="64"/>
  <c r="F43" i="64"/>
  <c r="F46" i="64"/>
  <c r="F49" i="64"/>
  <c r="F52" i="64"/>
  <c r="F55" i="64"/>
  <c r="F58" i="64"/>
  <c r="F62" i="64"/>
  <c r="F65" i="64"/>
  <c r="F68" i="64"/>
  <c r="F71" i="64"/>
  <c r="F74" i="64"/>
  <c r="F77" i="64"/>
  <c r="F80" i="64"/>
  <c r="F83" i="64"/>
  <c r="F86" i="64"/>
  <c r="F89" i="64"/>
  <c r="F92" i="64"/>
  <c r="F95" i="64"/>
  <c r="F98" i="64"/>
  <c r="F101" i="64"/>
  <c r="F104" i="64"/>
  <c r="F107" i="64"/>
  <c r="F110" i="64"/>
  <c r="F113" i="64"/>
  <c r="F116" i="64"/>
  <c r="F119" i="64"/>
  <c r="F122" i="64"/>
  <c r="F125" i="64"/>
  <c r="F128" i="64"/>
  <c r="E11" i="64"/>
  <c r="G13" i="64"/>
  <c r="G16" i="64"/>
  <c r="G19" i="64"/>
  <c r="G22" i="64"/>
  <c r="G25" i="64"/>
  <c r="G28" i="64"/>
  <c r="G31" i="64"/>
  <c r="G34" i="64"/>
  <c r="G37" i="64"/>
  <c r="G40" i="64"/>
  <c r="G43" i="64"/>
  <c r="G46" i="64"/>
  <c r="G49" i="64"/>
  <c r="G52" i="64"/>
  <c r="G55" i="64"/>
  <c r="G58" i="64"/>
  <c r="G62" i="64"/>
  <c r="G65" i="64"/>
  <c r="G68" i="64"/>
  <c r="G71" i="64"/>
  <c r="G74" i="64"/>
  <c r="G77" i="64"/>
  <c r="G80" i="64"/>
  <c r="G83" i="64"/>
  <c r="G86" i="64"/>
  <c r="G89" i="64"/>
  <c r="G92" i="64"/>
  <c r="G95" i="64"/>
  <c r="G98" i="64"/>
  <c r="G101" i="64"/>
  <c r="G104" i="64"/>
  <c r="G107" i="64"/>
  <c r="G110" i="64"/>
  <c r="G113" i="64"/>
  <c r="G116" i="64"/>
  <c r="G119" i="64"/>
  <c r="G122" i="64"/>
  <c r="G125" i="64"/>
  <c r="G128" i="64"/>
  <c r="P13" i="64"/>
  <c r="T13" i="64" s="1"/>
  <c r="P16" i="64"/>
  <c r="T16" i="64" s="1"/>
  <c r="P19" i="64"/>
  <c r="T19" i="64" s="1"/>
  <c r="P22" i="64"/>
  <c r="T22" i="64" s="1"/>
  <c r="P25" i="64"/>
  <c r="T25" i="64" s="1"/>
  <c r="P28" i="64"/>
  <c r="T28" i="64" s="1"/>
  <c r="P31" i="64"/>
  <c r="T31" i="64" s="1"/>
  <c r="P34" i="64"/>
  <c r="T34" i="64" s="1"/>
  <c r="P37" i="64"/>
  <c r="T37" i="64" s="1"/>
  <c r="P40" i="64"/>
  <c r="T40" i="64" s="1"/>
  <c r="P43" i="64"/>
  <c r="T43" i="64" s="1"/>
  <c r="P46" i="64"/>
  <c r="T46" i="64" s="1"/>
  <c r="P49" i="64"/>
  <c r="T49" i="64" s="1"/>
  <c r="P52" i="64"/>
  <c r="T52" i="64" s="1"/>
  <c r="P55" i="64"/>
  <c r="T55" i="64" s="1"/>
  <c r="P58" i="64"/>
  <c r="T58" i="64" s="1"/>
  <c r="P62" i="64"/>
  <c r="T62" i="64" s="1"/>
  <c r="P71" i="64"/>
  <c r="T71" i="64" s="1"/>
  <c r="P74" i="64"/>
  <c r="T74" i="64" s="1"/>
  <c r="P77" i="64"/>
  <c r="T77" i="64" s="1"/>
  <c r="P80" i="64"/>
  <c r="T80" i="64" s="1"/>
  <c r="P83" i="64"/>
  <c r="T83" i="64" s="1"/>
  <c r="P86" i="64"/>
  <c r="T86" i="64" s="1"/>
  <c r="P89" i="64"/>
  <c r="T89" i="64" s="1"/>
  <c r="P95" i="64"/>
  <c r="T95" i="64" s="1"/>
  <c r="P98" i="64"/>
  <c r="T98" i="64" s="1"/>
  <c r="P101" i="64"/>
  <c r="T101" i="64" s="1"/>
  <c r="P104" i="64"/>
  <c r="T104" i="64" s="1"/>
  <c r="P107" i="64"/>
  <c r="T107" i="64" s="1"/>
  <c r="P110" i="64"/>
  <c r="T110" i="64" s="1"/>
  <c r="P113" i="64"/>
  <c r="T113" i="64" s="1"/>
  <c r="P116" i="64"/>
  <c r="T116" i="64" s="1"/>
  <c r="P119" i="64"/>
  <c r="T119" i="64" s="1"/>
  <c r="P122" i="64"/>
  <c r="T122" i="64" s="1"/>
  <c r="P125" i="64"/>
  <c r="T125" i="64" s="1"/>
  <c r="P128" i="64"/>
  <c r="T128" i="64" s="1"/>
  <c r="E14" i="64"/>
  <c r="E17" i="64"/>
  <c r="E20" i="64"/>
  <c r="E23" i="64"/>
  <c r="E26" i="64"/>
  <c r="E29" i="64"/>
  <c r="E32" i="64"/>
  <c r="E35" i="64"/>
  <c r="E38" i="64"/>
  <c r="E41" i="64"/>
  <c r="E44" i="64"/>
  <c r="E47" i="64"/>
  <c r="E50" i="64"/>
  <c r="E53" i="64"/>
  <c r="E56" i="64"/>
  <c r="E60" i="64"/>
  <c r="E63" i="64"/>
  <c r="E66" i="64"/>
  <c r="E69" i="64"/>
  <c r="E72" i="64"/>
  <c r="E75" i="64"/>
  <c r="E78" i="64"/>
  <c r="E81" i="64"/>
  <c r="E84" i="64"/>
  <c r="E87" i="64"/>
  <c r="E90" i="64"/>
  <c r="E93" i="64"/>
  <c r="E96" i="64"/>
  <c r="E99" i="64"/>
  <c r="E102" i="64"/>
  <c r="E105" i="64"/>
  <c r="E108" i="64"/>
  <c r="E111" i="64"/>
  <c r="E114" i="64"/>
  <c r="E117" i="64"/>
  <c r="E120" i="64"/>
  <c r="E123" i="64"/>
  <c r="E126" i="64"/>
  <c r="E129" i="64"/>
  <c r="F14" i="64"/>
  <c r="F17" i="64"/>
  <c r="F20" i="64"/>
  <c r="F23" i="64"/>
  <c r="F26" i="64"/>
  <c r="F29" i="64"/>
  <c r="F32" i="64"/>
  <c r="F35" i="64"/>
  <c r="F38" i="64"/>
  <c r="F41" i="64"/>
  <c r="F44" i="64"/>
  <c r="F47" i="64"/>
  <c r="F50" i="64"/>
  <c r="F53" i="64"/>
  <c r="F56" i="64"/>
  <c r="F60" i="64"/>
  <c r="F63" i="64"/>
  <c r="F66" i="64"/>
  <c r="F69" i="64"/>
  <c r="F72" i="64"/>
  <c r="F75" i="64"/>
  <c r="F78" i="64"/>
  <c r="F81" i="64"/>
  <c r="F84" i="64"/>
  <c r="F87" i="64"/>
  <c r="F90" i="64"/>
  <c r="F93" i="64"/>
  <c r="F96" i="64"/>
  <c r="F99" i="64"/>
  <c r="F102" i="64"/>
  <c r="F105" i="64"/>
  <c r="F108" i="64"/>
  <c r="F111" i="64"/>
  <c r="F114" i="64"/>
  <c r="F117" i="64"/>
  <c r="F120" i="64"/>
  <c r="F123" i="64"/>
  <c r="F126" i="64"/>
  <c r="F129" i="64"/>
  <c r="G14" i="64"/>
  <c r="G17" i="64"/>
  <c r="G20" i="64"/>
  <c r="G23" i="64"/>
  <c r="G26" i="64"/>
  <c r="G29" i="64"/>
  <c r="G32" i="64"/>
  <c r="G35" i="64"/>
  <c r="G38" i="64"/>
  <c r="G41" i="64"/>
  <c r="G44" i="64"/>
  <c r="G47" i="64"/>
  <c r="G50" i="64"/>
  <c r="G53" i="64"/>
  <c r="G56" i="64"/>
  <c r="G60" i="64"/>
  <c r="G63" i="64"/>
  <c r="G66" i="64"/>
  <c r="G69" i="64"/>
  <c r="G72" i="64"/>
  <c r="G75" i="64"/>
  <c r="G78" i="64"/>
  <c r="G81" i="64"/>
  <c r="G84" i="64"/>
  <c r="G87" i="64"/>
  <c r="G90" i="64"/>
  <c r="G93" i="64"/>
  <c r="G96" i="64"/>
  <c r="G99" i="64"/>
  <c r="G102" i="64"/>
  <c r="G105" i="64"/>
  <c r="G108" i="64"/>
  <c r="G111" i="64"/>
  <c r="G114" i="64"/>
  <c r="G117" i="64"/>
  <c r="G120" i="64"/>
  <c r="G123" i="64"/>
  <c r="G126" i="64"/>
  <c r="G129" i="64"/>
  <c r="P14" i="64"/>
  <c r="T14" i="64" s="1"/>
  <c r="P17" i="64"/>
  <c r="T17" i="64" s="1"/>
  <c r="P20" i="64"/>
  <c r="T20" i="64" s="1"/>
  <c r="P23" i="64"/>
  <c r="T23" i="64" s="1"/>
  <c r="P26" i="64"/>
  <c r="T26" i="64" s="1"/>
  <c r="P29" i="64"/>
  <c r="T29" i="64" s="1"/>
  <c r="P32" i="64"/>
  <c r="T32" i="64" s="1"/>
  <c r="P35" i="64"/>
  <c r="T35" i="64" s="1"/>
  <c r="P38" i="64"/>
  <c r="T38" i="64" s="1"/>
  <c r="P44" i="64"/>
  <c r="T44" i="64" s="1"/>
  <c r="P47" i="64"/>
  <c r="T47" i="64" s="1"/>
  <c r="P50" i="64"/>
  <c r="T50" i="64" s="1"/>
  <c r="P53" i="64"/>
  <c r="T53" i="64" s="1"/>
  <c r="P56" i="64"/>
  <c r="T56" i="64" s="1"/>
  <c r="P60" i="64"/>
  <c r="T60" i="64" s="1"/>
  <c r="P63" i="64"/>
  <c r="T63" i="64" s="1"/>
  <c r="P66" i="64"/>
  <c r="T66" i="64" s="1"/>
  <c r="P69" i="64"/>
  <c r="T69" i="64" s="1"/>
  <c r="P72" i="64"/>
  <c r="T72" i="64" s="1"/>
  <c r="P75" i="64"/>
  <c r="T75" i="64" s="1"/>
  <c r="P78" i="64"/>
  <c r="T78" i="64" s="1"/>
  <c r="P81" i="64"/>
  <c r="T81" i="64" s="1"/>
  <c r="P84" i="64"/>
  <c r="T84" i="64" s="1"/>
  <c r="P87" i="64"/>
  <c r="T87" i="64" s="1"/>
  <c r="P90" i="64"/>
  <c r="T90" i="64" s="1"/>
  <c r="P93" i="64"/>
  <c r="T93" i="64" s="1"/>
  <c r="P96" i="64"/>
  <c r="T96" i="64" s="1"/>
  <c r="P99" i="64"/>
  <c r="T99" i="64" s="1"/>
  <c r="P102" i="64"/>
  <c r="T102" i="64" s="1"/>
  <c r="P105" i="64"/>
  <c r="T105" i="64" s="1"/>
  <c r="P108" i="64"/>
  <c r="T108" i="64" s="1"/>
  <c r="P111" i="64"/>
  <c r="T111" i="64" s="1"/>
  <c r="P114" i="64"/>
  <c r="T114" i="64" s="1"/>
  <c r="P117" i="64"/>
  <c r="T117" i="64" s="1"/>
  <c r="P120" i="64"/>
  <c r="T120" i="64" s="1"/>
  <c r="P123" i="64"/>
  <c r="T123" i="64" s="1"/>
  <c r="P126" i="64"/>
  <c r="T126" i="64" s="1"/>
  <c r="P129" i="64"/>
  <c r="T129" i="64" s="1"/>
  <c r="P64" i="64"/>
  <c r="T64" i="64" s="1"/>
  <c r="E115" i="64"/>
  <c r="E97" i="64"/>
  <c r="E79" i="64"/>
  <c r="E61" i="64"/>
  <c r="E42" i="64"/>
  <c r="E24" i="64"/>
  <c r="F112" i="64"/>
  <c r="F94" i="64"/>
  <c r="F76" i="64"/>
  <c r="F57" i="64"/>
  <c r="F39" i="64"/>
  <c r="F21" i="64"/>
  <c r="P76" i="64"/>
  <c r="T76" i="64" s="1"/>
  <c r="E112" i="64"/>
  <c r="E94" i="64"/>
  <c r="E76" i="64"/>
  <c r="E57" i="64"/>
  <c r="E39" i="64"/>
  <c r="E21" i="64"/>
  <c r="L4" i="64"/>
  <c r="L5" i="64" s="1"/>
  <c r="P24" i="64"/>
  <c r="T24" i="64" s="1"/>
  <c r="P12" i="64"/>
  <c r="T11" i="64"/>
  <c r="P92" i="64"/>
  <c r="T92" i="64" s="1"/>
  <c r="P65" i="64"/>
  <c r="T65" i="64" s="1"/>
  <c r="P41" i="64"/>
  <c r="T41" i="64" s="1"/>
  <c r="P68" i="64"/>
  <c r="T68" i="64" s="1"/>
  <c r="P91" i="64"/>
  <c r="T91" i="64" s="1"/>
  <c r="N141" i="64" l="1"/>
  <c r="R141" i="64" s="1"/>
  <c r="O137" i="64"/>
  <c r="S137" i="64" s="1"/>
  <c r="O138" i="64"/>
  <c r="S138" i="64" s="1"/>
  <c r="M141" i="64"/>
  <c r="Q141" i="64" s="1"/>
  <c r="O141" i="64"/>
  <c r="S141" i="64" s="1"/>
  <c r="N136" i="64"/>
  <c r="R136" i="64" s="1"/>
  <c r="O136" i="64"/>
  <c r="S136" i="64" s="1"/>
  <c r="M136" i="64"/>
  <c r="Q136" i="64" s="1"/>
  <c r="N140" i="64"/>
  <c r="R140" i="64" s="1"/>
  <c r="M140" i="64"/>
  <c r="Q140" i="64" s="1"/>
  <c r="O140" i="64"/>
  <c r="S140" i="64" s="1"/>
  <c r="N139" i="64"/>
  <c r="R139" i="64" s="1"/>
  <c r="O139" i="64"/>
  <c r="S139" i="64" s="1"/>
  <c r="M134" i="64"/>
  <c r="Q134" i="64" s="1"/>
  <c r="M139" i="64"/>
  <c r="Q139" i="64" s="1"/>
  <c r="E4" i="64"/>
  <c r="E5" i="64" s="1"/>
  <c r="M137" i="64"/>
  <c r="Q137" i="64" s="1"/>
  <c r="N132" i="64"/>
  <c r="R132" i="64" s="1"/>
  <c r="M138" i="64"/>
  <c r="Q138" i="64" s="1"/>
  <c r="O134" i="64"/>
  <c r="S134" i="64" s="1"/>
  <c r="O135" i="64"/>
  <c r="S135" i="64" s="1"/>
  <c r="N134" i="64"/>
  <c r="R134" i="64" s="1"/>
  <c r="N135" i="64"/>
  <c r="R135" i="64" s="1"/>
  <c r="N138" i="64"/>
  <c r="R138" i="64" s="1"/>
  <c r="M135" i="64"/>
  <c r="Q135" i="64" s="1"/>
  <c r="N137" i="64"/>
  <c r="R137" i="64" s="1"/>
  <c r="O132" i="64"/>
  <c r="S132" i="64" s="1"/>
  <c r="M132" i="64"/>
  <c r="Q132" i="64" s="1"/>
  <c r="M133" i="64"/>
  <c r="Q133" i="64" s="1"/>
  <c r="O133" i="64"/>
  <c r="S133" i="64" s="1"/>
  <c r="O44" i="64"/>
  <c r="S44" i="64" s="1"/>
  <c r="O66" i="64"/>
  <c r="S66" i="64" s="1"/>
  <c r="N133" i="64"/>
  <c r="R133" i="64" s="1"/>
  <c r="O131" i="64"/>
  <c r="S131" i="64" s="1"/>
  <c r="O70" i="64"/>
  <c r="S70" i="64" s="1"/>
  <c r="O47" i="64"/>
  <c r="S47" i="64" s="1"/>
  <c r="N130" i="64"/>
  <c r="R130" i="64" s="1"/>
  <c r="M59" i="64"/>
  <c r="Q59" i="64" s="1"/>
  <c r="O59" i="64"/>
  <c r="S59" i="64" s="1"/>
  <c r="N59" i="64"/>
  <c r="R59" i="64" s="1"/>
  <c r="O46" i="64"/>
  <c r="S46" i="64" s="1"/>
  <c r="N21" i="64"/>
  <c r="R21" i="64" s="1"/>
  <c r="O92" i="64"/>
  <c r="S92" i="64" s="1"/>
  <c r="O68" i="64"/>
  <c r="S68" i="64" s="1"/>
  <c r="O18" i="64"/>
  <c r="S18" i="64" s="1"/>
  <c r="N41" i="64"/>
  <c r="R41" i="64" s="1"/>
  <c r="O109" i="64"/>
  <c r="S109" i="64" s="1"/>
  <c r="N43" i="64"/>
  <c r="R43" i="64" s="1"/>
  <c r="O130" i="64"/>
  <c r="S130" i="64" s="1"/>
  <c r="O108" i="64"/>
  <c r="S108" i="64" s="1"/>
  <c r="O38" i="64"/>
  <c r="S38" i="64" s="1"/>
  <c r="O64" i="64"/>
  <c r="S64" i="64" s="1"/>
  <c r="O104" i="64"/>
  <c r="S104" i="64" s="1"/>
  <c r="N128" i="64"/>
  <c r="R128" i="64" s="1"/>
  <c r="O77" i="64"/>
  <c r="S77" i="64" s="1"/>
  <c r="M130" i="64"/>
  <c r="Q130" i="64" s="1"/>
  <c r="N63" i="64"/>
  <c r="R63" i="64" s="1"/>
  <c r="N56" i="64"/>
  <c r="R56" i="64" s="1"/>
  <c r="O55" i="64"/>
  <c r="S55" i="64" s="1"/>
  <c r="M131" i="64"/>
  <c r="Q131" i="64" s="1"/>
  <c r="M38" i="64"/>
  <c r="Q38" i="64" s="1"/>
  <c r="N131" i="64"/>
  <c r="R131" i="64" s="1"/>
  <c r="O36" i="64"/>
  <c r="S36" i="64" s="1"/>
  <c r="N103" i="64"/>
  <c r="R103" i="64" s="1"/>
  <c r="O125" i="64"/>
  <c r="S125" i="64" s="1"/>
  <c r="O28" i="64"/>
  <c r="S28" i="64" s="1"/>
  <c r="O120" i="64"/>
  <c r="S120" i="64" s="1"/>
  <c r="N60" i="64"/>
  <c r="R60" i="64" s="1"/>
  <c r="N65" i="64"/>
  <c r="R65" i="64" s="1"/>
  <c r="O110" i="64"/>
  <c r="S110" i="64" s="1"/>
  <c r="O62" i="64"/>
  <c r="S62" i="64" s="1"/>
  <c r="O107" i="64"/>
  <c r="S107" i="64" s="1"/>
  <c r="O106" i="64"/>
  <c r="S106" i="64" s="1"/>
  <c r="N7" i="66"/>
  <c r="R7" i="66" s="1"/>
  <c r="O93" i="64"/>
  <c r="S93" i="64" s="1"/>
  <c r="N66" i="64"/>
  <c r="R66" i="64" s="1"/>
  <c r="O71" i="64"/>
  <c r="S71" i="64" s="1"/>
  <c r="N119" i="64"/>
  <c r="R119" i="64" s="1"/>
  <c r="O121" i="64"/>
  <c r="S121" i="64" s="1"/>
  <c r="O23" i="64"/>
  <c r="S23" i="64" s="1"/>
  <c r="N20" i="64"/>
  <c r="R20" i="64" s="1"/>
  <c r="O22" i="64"/>
  <c r="S22" i="64" s="1"/>
  <c r="N95" i="64"/>
  <c r="R95" i="64" s="1"/>
  <c r="O97" i="64"/>
  <c r="S97" i="64" s="1"/>
  <c r="O73" i="64"/>
  <c r="S73" i="64" s="1"/>
  <c r="O48" i="64"/>
  <c r="S48" i="64" s="1"/>
  <c r="N97" i="64"/>
  <c r="R97" i="64" s="1"/>
  <c r="O14" i="64"/>
  <c r="S14" i="64" s="1"/>
  <c r="O89" i="64"/>
  <c r="S89" i="64" s="1"/>
  <c r="O40" i="64"/>
  <c r="S40" i="64" s="1"/>
  <c r="O33" i="64"/>
  <c r="S33" i="64" s="1"/>
  <c r="N70" i="64"/>
  <c r="R70" i="64" s="1"/>
  <c r="O32" i="64"/>
  <c r="S32" i="64" s="1"/>
  <c r="N11" i="64"/>
  <c r="R11" i="64" s="1"/>
  <c r="N123" i="64"/>
  <c r="R123" i="64" s="1"/>
  <c r="M11" i="64"/>
  <c r="O21" i="64"/>
  <c r="S21" i="64" s="1"/>
  <c r="M62" i="64"/>
  <c r="Q62" i="64" s="1"/>
  <c r="N57" i="64"/>
  <c r="R57" i="64" s="1"/>
  <c r="O63" i="64"/>
  <c r="S63" i="64" s="1"/>
  <c r="O113" i="64"/>
  <c r="S113" i="64" s="1"/>
  <c r="M16" i="64"/>
  <c r="Q16" i="64" s="1"/>
  <c r="O15" i="64"/>
  <c r="S15" i="64" s="1"/>
  <c r="N12" i="64"/>
  <c r="R12" i="64" s="1"/>
  <c r="N15" i="64"/>
  <c r="R15" i="64" s="1"/>
  <c r="O24" i="64"/>
  <c r="S24" i="64" s="1"/>
  <c r="M53" i="64"/>
  <c r="Q53" i="64" s="1"/>
  <c r="O13" i="64"/>
  <c r="S13" i="64" s="1"/>
  <c r="N13" i="64"/>
  <c r="R13" i="64" s="1"/>
  <c r="N45" i="64"/>
  <c r="R45" i="64" s="1"/>
  <c r="O56" i="64"/>
  <c r="S56" i="64" s="1"/>
  <c r="N118" i="64"/>
  <c r="R118" i="64" s="1"/>
  <c r="N39" i="64"/>
  <c r="R39" i="64" s="1"/>
  <c r="O65" i="64"/>
  <c r="S65" i="64" s="1"/>
  <c r="N18" i="64"/>
  <c r="R18" i="64" s="1"/>
  <c r="N53" i="64"/>
  <c r="R53" i="64" s="1"/>
  <c r="M50" i="64"/>
  <c r="Q50" i="64" s="1"/>
  <c r="I7" i="66"/>
  <c r="H7" i="66"/>
  <c r="N114" i="64"/>
  <c r="R114" i="64" s="1"/>
  <c r="N17" i="64"/>
  <c r="R17" i="64" s="1"/>
  <c r="O49" i="64"/>
  <c r="S49" i="64" s="1"/>
  <c r="N49" i="64"/>
  <c r="R49" i="64" s="1"/>
  <c r="O100" i="64"/>
  <c r="S100" i="64" s="1"/>
  <c r="O51" i="64"/>
  <c r="S51" i="64" s="1"/>
  <c r="G7" i="66"/>
  <c r="O17" i="64"/>
  <c r="S17" i="64" s="1"/>
  <c r="N14" i="64"/>
  <c r="R14" i="64" s="1"/>
  <c r="O19" i="64"/>
  <c r="S19" i="64" s="1"/>
  <c r="N68" i="64"/>
  <c r="R68" i="64" s="1"/>
  <c r="M79" i="64"/>
  <c r="Q79" i="64" s="1"/>
  <c r="O111" i="64"/>
  <c r="S111" i="64" s="1"/>
  <c r="N16" i="64"/>
  <c r="R16" i="64" s="1"/>
  <c r="O67" i="64"/>
  <c r="S67" i="64" s="1"/>
  <c r="O84" i="64"/>
  <c r="S84" i="64" s="1"/>
  <c r="N48" i="64"/>
  <c r="R48" i="64" s="1"/>
  <c r="O34" i="64"/>
  <c r="S34" i="64" s="1"/>
  <c r="N31" i="64"/>
  <c r="R31" i="64" s="1"/>
  <c r="C7" i="66"/>
  <c r="C6" i="66"/>
  <c r="E6" i="66"/>
  <c r="N6" i="66"/>
  <c r="R6" i="66" s="1"/>
  <c r="E7" i="66"/>
  <c r="N76" i="64"/>
  <c r="R76" i="64" s="1"/>
  <c r="O35" i="64"/>
  <c r="S35" i="64" s="1"/>
  <c r="N32" i="64"/>
  <c r="R32" i="64" s="1"/>
  <c r="O37" i="64"/>
  <c r="S37" i="64" s="1"/>
  <c r="O39" i="64"/>
  <c r="S39" i="64" s="1"/>
  <c r="O105" i="64"/>
  <c r="S105" i="64" s="1"/>
  <c r="N126" i="64"/>
  <c r="R126" i="64" s="1"/>
  <c r="N64" i="64"/>
  <c r="R64" i="64" s="1"/>
  <c r="O16" i="64"/>
  <c r="S16" i="64" s="1"/>
  <c r="N113" i="64"/>
  <c r="R113" i="64" s="1"/>
  <c r="N27" i="64"/>
  <c r="R27" i="64" s="1"/>
  <c r="O29" i="64"/>
  <c r="S29" i="64" s="1"/>
  <c r="N99" i="64"/>
  <c r="R99" i="64" s="1"/>
  <c r="O31" i="64"/>
  <c r="S31" i="64" s="1"/>
  <c r="N55" i="64"/>
  <c r="R55" i="64" s="1"/>
  <c r="M55" i="64"/>
  <c r="Q55" i="64" s="1"/>
  <c r="N33" i="64"/>
  <c r="R33" i="64" s="1"/>
  <c r="D7" i="66"/>
  <c r="O75" i="64"/>
  <c r="S75" i="64" s="1"/>
  <c r="O50" i="64"/>
  <c r="S50" i="64" s="1"/>
  <c r="N72" i="64"/>
  <c r="R72" i="64" s="1"/>
  <c r="N47" i="64"/>
  <c r="R47" i="64" s="1"/>
  <c r="N23" i="64"/>
  <c r="R23" i="64" s="1"/>
  <c r="N125" i="64"/>
  <c r="R125" i="64" s="1"/>
  <c r="N77" i="64"/>
  <c r="R77" i="64" s="1"/>
  <c r="N52" i="64"/>
  <c r="R52" i="64" s="1"/>
  <c r="N28" i="64"/>
  <c r="R28" i="64" s="1"/>
  <c r="O54" i="64"/>
  <c r="S54" i="64" s="1"/>
  <c r="O30" i="64"/>
  <c r="S30" i="64" s="1"/>
  <c r="N61" i="64"/>
  <c r="R61" i="64" s="1"/>
  <c r="D6" i="66"/>
  <c r="O72" i="64"/>
  <c r="S72" i="64" s="1"/>
  <c r="N69" i="64"/>
  <c r="R69" i="64" s="1"/>
  <c r="O74" i="64"/>
  <c r="S74" i="64" s="1"/>
  <c r="O25" i="64"/>
  <c r="S25" i="64" s="1"/>
  <c r="N98" i="64"/>
  <c r="R98" i="64" s="1"/>
  <c r="M74" i="64"/>
  <c r="Q74" i="64" s="1"/>
  <c r="O124" i="64"/>
  <c r="S124" i="64" s="1"/>
  <c r="O76" i="64"/>
  <c r="S76" i="64" s="1"/>
  <c r="O27" i="64"/>
  <c r="S27" i="64" s="1"/>
  <c r="N40" i="64"/>
  <c r="R40" i="64" s="1"/>
  <c r="N50" i="64"/>
  <c r="R50" i="64" s="1"/>
  <c r="O118" i="64"/>
  <c r="S118" i="64" s="1"/>
  <c r="O60" i="64"/>
  <c r="S60" i="64" s="1"/>
  <c r="M33" i="64"/>
  <c r="Q33" i="64" s="1"/>
  <c r="N74" i="64"/>
  <c r="R74" i="64" s="1"/>
  <c r="N73" i="64"/>
  <c r="R73" i="64" s="1"/>
  <c r="N24" i="64"/>
  <c r="R24" i="64" s="1"/>
  <c r="N22" i="64"/>
  <c r="R22" i="64" s="1"/>
  <c r="N38" i="64"/>
  <c r="R38" i="64" s="1"/>
  <c r="N42" i="64"/>
  <c r="R42" i="64" s="1"/>
  <c r="N35" i="64"/>
  <c r="R35" i="64" s="1"/>
  <c r="O52" i="64"/>
  <c r="S52" i="64" s="1"/>
  <c r="O115" i="64"/>
  <c r="S115" i="64" s="1"/>
  <c r="O42" i="64"/>
  <c r="S42" i="64" s="1"/>
  <c r="N71" i="64"/>
  <c r="R71" i="64" s="1"/>
  <c r="N25" i="64"/>
  <c r="R25" i="64" s="1"/>
  <c r="N79" i="64"/>
  <c r="R79" i="64" s="1"/>
  <c r="O43" i="64"/>
  <c r="S43" i="64" s="1"/>
  <c r="N89" i="64"/>
  <c r="R89" i="64" s="1"/>
  <c r="N93" i="64"/>
  <c r="R93" i="64" s="1"/>
  <c r="N122" i="64"/>
  <c r="R122" i="64" s="1"/>
  <c r="O41" i="64"/>
  <c r="S41" i="64" s="1"/>
  <c r="O57" i="64"/>
  <c r="S57" i="64" s="1"/>
  <c r="N30" i="64"/>
  <c r="R30" i="64" s="1"/>
  <c r="L6" i="64"/>
  <c r="O117" i="64"/>
  <c r="S117" i="64" s="1"/>
  <c r="N44" i="64"/>
  <c r="R44" i="64" s="1"/>
  <c r="N37" i="64"/>
  <c r="R37" i="64" s="1"/>
  <c r="O69" i="64"/>
  <c r="S69" i="64" s="1"/>
  <c r="N34" i="64"/>
  <c r="R34" i="64" s="1"/>
  <c r="N94" i="64"/>
  <c r="R94" i="64" s="1"/>
  <c r="N51" i="64"/>
  <c r="R51" i="64" s="1"/>
  <c r="N54" i="64"/>
  <c r="R54" i="64" s="1"/>
  <c r="N62" i="64"/>
  <c r="R62" i="64" s="1"/>
  <c r="O20" i="64"/>
  <c r="S20" i="64" s="1"/>
  <c r="N58" i="64"/>
  <c r="R58" i="64" s="1"/>
  <c r="O53" i="64"/>
  <c r="S53" i="64" s="1"/>
  <c r="N19" i="64"/>
  <c r="R19" i="64" s="1"/>
  <c r="N29" i="64"/>
  <c r="R29" i="64" s="1"/>
  <c r="N26" i="64"/>
  <c r="R26" i="64" s="1"/>
  <c r="N92" i="64"/>
  <c r="R92" i="64" s="1"/>
  <c r="N124" i="64"/>
  <c r="R124" i="64" s="1"/>
  <c r="N83" i="64"/>
  <c r="R83" i="64" s="1"/>
  <c r="N46" i="64"/>
  <c r="R46" i="64" s="1"/>
  <c r="O61" i="64"/>
  <c r="S61" i="64" s="1"/>
  <c r="N67" i="64"/>
  <c r="R67" i="64" s="1"/>
  <c r="N85" i="64"/>
  <c r="R85" i="64" s="1"/>
  <c r="N36" i="64"/>
  <c r="R36" i="64" s="1"/>
  <c r="N117" i="64"/>
  <c r="R117" i="64" s="1"/>
  <c r="N78" i="64"/>
  <c r="R78" i="64" s="1"/>
  <c r="O58" i="64"/>
  <c r="S58" i="64" s="1"/>
  <c r="O11" i="64"/>
  <c r="O12" i="64"/>
  <c r="S12" i="64" s="1"/>
  <c r="N75" i="64"/>
  <c r="R75" i="64" s="1"/>
  <c r="O45" i="64"/>
  <c r="S45" i="64" s="1"/>
  <c r="M77" i="64"/>
  <c r="Q77" i="64" s="1"/>
  <c r="O99" i="64"/>
  <c r="S99" i="64" s="1"/>
  <c r="O112" i="64"/>
  <c r="S112" i="64" s="1"/>
  <c r="N102" i="64"/>
  <c r="R102" i="64" s="1"/>
  <c r="N129" i="64"/>
  <c r="R129" i="64" s="1"/>
  <c r="N86" i="64"/>
  <c r="R86" i="64" s="1"/>
  <c r="N80" i="64"/>
  <c r="R80" i="64" s="1"/>
  <c r="O101" i="64"/>
  <c r="S101" i="64" s="1"/>
  <c r="M109" i="64"/>
  <c r="Q109" i="64" s="1"/>
  <c r="O88" i="64"/>
  <c r="S88" i="64" s="1"/>
  <c r="O95" i="64"/>
  <c r="S95" i="64" s="1"/>
  <c r="O122" i="64"/>
  <c r="S122" i="64" s="1"/>
  <c r="O83" i="64"/>
  <c r="S83" i="64" s="1"/>
  <c r="N88" i="64"/>
  <c r="R88" i="64" s="1"/>
  <c r="O123" i="64"/>
  <c r="S123" i="64" s="1"/>
  <c r="O81" i="64"/>
  <c r="S81" i="64" s="1"/>
  <c r="N116" i="64"/>
  <c r="R116" i="64" s="1"/>
  <c r="N91" i="64"/>
  <c r="R91" i="64" s="1"/>
  <c r="N120" i="64"/>
  <c r="R120" i="64" s="1"/>
  <c r="E6" i="64"/>
  <c r="N127" i="64"/>
  <c r="R127" i="64" s="1"/>
  <c r="O128" i="64"/>
  <c r="S128" i="64" s="1"/>
  <c r="N96" i="64"/>
  <c r="R96" i="64" s="1"/>
  <c r="G6" i="64"/>
  <c r="O94" i="64"/>
  <c r="S94" i="64" s="1"/>
  <c r="N84" i="64"/>
  <c r="R84" i="64" s="1"/>
  <c r="O127" i="64"/>
  <c r="S127" i="64" s="1"/>
  <c r="M89" i="64"/>
  <c r="Q89" i="64" s="1"/>
  <c r="N81" i="64"/>
  <c r="R81" i="64" s="1"/>
  <c r="N112" i="64"/>
  <c r="R112" i="64" s="1"/>
  <c r="O82" i="64"/>
  <c r="S82" i="64" s="1"/>
  <c r="O96" i="64"/>
  <c r="S96" i="64" s="1"/>
  <c r="O129" i="64"/>
  <c r="S129" i="64" s="1"/>
  <c r="O119" i="64"/>
  <c r="S119" i="64" s="1"/>
  <c r="N101" i="64"/>
  <c r="R101" i="64" s="1"/>
  <c r="O126" i="64"/>
  <c r="S126" i="64" s="1"/>
  <c r="O90" i="64"/>
  <c r="S90" i="64" s="1"/>
  <c r="O116" i="64"/>
  <c r="S116" i="64" s="1"/>
  <c r="O80" i="64"/>
  <c r="S80" i="64" s="1"/>
  <c r="N115" i="64"/>
  <c r="R115" i="64" s="1"/>
  <c r="O103" i="64"/>
  <c r="S103" i="64" s="1"/>
  <c r="N100" i="64"/>
  <c r="R100" i="64" s="1"/>
  <c r="O98" i="64"/>
  <c r="S98" i="64" s="1"/>
  <c r="O114" i="64"/>
  <c r="S114" i="64" s="1"/>
  <c r="O85" i="64"/>
  <c r="S85" i="64" s="1"/>
  <c r="O102" i="64"/>
  <c r="S102" i="64" s="1"/>
  <c r="N121" i="64"/>
  <c r="R121" i="64" s="1"/>
  <c r="O79" i="64"/>
  <c r="S79" i="64" s="1"/>
  <c r="N82" i="64"/>
  <c r="R82" i="64" s="1"/>
  <c r="M127" i="64"/>
  <c r="Q127" i="64" s="1"/>
  <c r="O86" i="64"/>
  <c r="S86" i="64" s="1"/>
  <c r="O78" i="64"/>
  <c r="S78" i="64" s="1"/>
  <c r="O91" i="64"/>
  <c r="S91" i="64" s="1"/>
  <c r="M117" i="64"/>
  <c r="Q117" i="64" s="1"/>
  <c r="M122" i="64"/>
  <c r="Q122" i="64" s="1"/>
  <c r="M86" i="64"/>
  <c r="Q86" i="64" s="1"/>
  <c r="M49" i="64"/>
  <c r="Q49" i="64" s="1"/>
  <c r="M13" i="64"/>
  <c r="Q13" i="64" s="1"/>
  <c r="M27" i="64"/>
  <c r="Q27" i="64" s="1"/>
  <c r="M44" i="64"/>
  <c r="Q44" i="64" s="1"/>
  <c r="M114" i="64"/>
  <c r="Q114" i="64" s="1"/>
  <c r="M78" i="64"/>
  <c r="Q78" i="64" s="1"/>
  <c r="M41" i="64"/>
  <c r="Q41" i="64" s="1"/>
  <c r="M119" i="64"/>
  <c r="Q119" i="64" s="1"/>
  <c r="M83" i="64"/>
  <c r="Q83" i="64" s="1"/>
  <c r="M46" i="64"/>
  <c r="Q46" i="64" s="1"/>
  <c r="M45" i="64"/>
  <c r="Q45" i="64" s="1"/>
  <c r="M54" i="64"/>
  <c r="Q54" i="64" s="1"/>
  <c r="M115" i="64"/>
  <c r="Q115" i="64" s="1"/>
  <c r="M57" i="64"/>
  <c r="Q57" i="64" s="1"/>
  <c r="M81" i="64"/>
  <c r="Q81" i="64" s="1"/>
  <c r="M42" i="64"/>
  <c r="Q42" i="64" s="1"/>
  <c r="M111" i="64"/>
  <c r="Q111" i="64" s="1"/>
  <c r="M75" i="64"/>
  <c r="Q75" i="64" s="1"/>
  <c r="M116" i="64"/>
  <c r="Q116" i="64" s="1"/>
  <c r="M80" i="64"/>
  <c r="Q80" i="64" s="1"/>
  <c r="M64" i="64"/>
  <c r="Q64" i="64" s="1"/>
  <c r="M12" i="64"/>
  <c r="Q12" i="64" s="1"/>
  <c r="M103" i="64"/>
  <c r="Q103" i="64" s="1"/>
  <c r="M94" i="64"/>
  <c r="Q94" i="64" s="1"/>
  <c r="M97" i="64"/>
  <c r="Q97" i="64" s="1"/>
  <c r="M61" i="64"/>
  <c r="Q61" i="64" s="1"/>
  <c r="M108" i="64"/>
  <c r="Q108" i="64" s="1"/>
  <c r="M72" i="64"/>
  <c r="Q72" i="64" s="1"/>
  <c r="M35" i="64"/>
  <c r="Q35" i="64" s="1"/>
  <c r="M113" i="64"/>
  <c r="Q113" i="64" s="1"/>
  <c r="M40" i="64"/>
  <c r="Q40" i="64" s="1"/>
  <c r="M82" i="64"/>
  <c r="Q82" i="64" s="1"/>
  <c r="M30" i="64"/>
  <c r="Q30" i="64" s="1"/>
  <c r="M67" i="64"/>
  <c r="Q67" i="64" s="1"/>
  <c r="M73" i="64"/>
  <c r="Q73" i="64" s="1"/>
  <c r="M112" i="64"/>
  <c r="Q112" i="64" s="1"/>
  <c r="M105" i="64"/>
  <c r="Q105" i="64" s="1"/>
  <c r="M69" i="64"/>
  <c r="Q69" i="64" s="1"/>
  <c r="M32" i="64"/>
  <c r="Q32" i="64" s="1"/>
  <c r="M110" i="64"/>
  <c r="Q110" i="64" s="1"/>
  <c r="M37" i="64"/>
  <c r="Q37" i="64" s="1"/>
  <c r="M100" i="64"/>
  <c r="Q100" i="64" s="1"/>
  <c r="M48" i="64"/>
  <c r="Q48" i="64" s="1"/>
  <c r="M36" i="64"/>
  <c r="Q36" i="64" s="1"/>
  <c r="M24" i="64"/>
  <c r="Q24" i="64" s="1"/>
  <c r="M102" i="64"/>
  <c r="Q102" i="64" s="1"/>
  <c r="M66" i="64"/>
  <c r="Q66" i="64" s="1"/>
  <c r="M29" i="64"/>
  <c r="Q29" i="64" s="1"/>
  <c r="M107" i="64"/>
  <c r="Q107" i="64" s="1"/>
  <c r="M71" i="64"/>
  <c r="Q71" i="64" s="1"/>
  <c r="M34" i="64"/>
  <c r="Q34" i="64" s="1"/>
  <c r="M118" i="64"/>
  <c r="Q118" i="64" s="1"/>
  <c r="M15" i="64"/>
  <c r="Q15" i="64" s="1"/>
  <c r="O26" i="64"/>
  <c r="S26" i="64" s="1"/>
  <c r="G4" i="64"/>
  <c r="M99" i="64"/>
  <c r="Q99" i="64" s="1"/>
  <c r="M63" i="64"/>
  <c r="Q63" i="64" s="1"/>
  <c r="M26" i="64"/>
  <c r="Q26" i="64" s="1"/>
  <c r="M104" i="64"/>
  <c r="Q104" i="64" s="1"/>
  <c r="M68" i="64"/>
  <c r="Q68" i="64" s="1"/>
  <c r="M85" i="64"/>
  <c r="Q85" i="64" s="1"/>
  <c r="M43" i="64"/>
  <c r="Q43" i="64" s="1"/>
  <c r="M76" i="64"/>
  <c r="Q76" i="64" s="1"/>
  <c r="H4" i="64"/>
  <c r="H5" i="64" s="1"/>
  <c r="M96" i="64"/>
  <c r="Q96" i="64" s="1"/>
  <c r="M60" i="64"/>
  <c r="Q60" i="64" s="1"/>
  <c r="M23" i="64"/>
  <c r="Q23" i="64" s="1"/>
  <c r="M101" i="64"/>
  <c r="Q101" i="64" s="1"/>
  <c r="M65" i="64"/>
  <c r="Q65" i="64" s="1"/>
  <c r="M28" i="64"/>
  <c r="Q28" i="64" s="1"/>
  <c r="M31" i="64"/>
  <c r="Q31" i="64" s="1"/>
  <c r="M51" i="64"/>
  <c r="Q51" i="64" s="1"/>
  <c r="M129" i="64"/>
  <c r="Q129" i="64" s="1"/>
  <c r="M93" i="64"/>
  <c r="Q93" i="64" s="1"/>
  <c r="M56" i="64"/>
  <c r="Q56" i="64" s="1"/>
  <c r="M20" i="64"/>
  <c r="Q20" i="64" s="1"/>
  <c r="M98" i="64"/>
  <c r="Q98" i="64" s="1"/>
  <c r="M25" i="64"/>
  <c r="Q25" i="64" s="1"/>
  <c r="M121" i="64"/>
  <c r="Q121" i="64" s="1"/>
  <c r="M70" i="64"/>
  <c r="Q70" i="64" s="1"/>
  <c r="M18" i="64"/>
  <c r="Q18" i="64" s="1"/>
  <c r="H6" i="64"/>
  <c r="M126" i="64"/>
  <c r="Q126" i="64" s="1"/>
  <c r="M90" i="64"/>
  <c r="Q90" i="64" s="1"/>
  <c r="M17" i="64"/>
  <c r="Q17" i="64" s="1"/>
  <c r="M95" i="64"/>
  <c r="Q95" i="64" s="1"/>
  <c r="M58" i="64"/>
  <c r="Q58" i="64" s="1"/>
  <c r="M22" i="64"/>
  <c r="Q22" i="64" s="1"/>
  <c r="M88" i="64"/>
  <c r="Q88" i="64" s="1"/>
  <c r="F4" i="64"/>
  <c r="F6" i="64"/>
  <c r="M21" i="64"/>
  <c r="Q21" i="64" s="1"/>
  <c r="M123" i="64"/>
  <c r="Q123" i="64" s="1"/>
  <c r="M14" i="64"/>
  <c r="Q14" i="64" s="1"/>
  <c r="M128" i="64"/>
  <c r="Q128" i="64" s="1"/>
  <c r="M92" i="64"/>
  <c r="Q92" i="64" s="1"/>
  <c r="M19" i="64"/>
  <c r="Q19" i="64" s="1"/>
  <c r="M106" i="64"/>
  <c r="Q106" i="64" s="1"/>
  <c r="M39" i="64"/>
  <c r="Q39" i="64" s="1"/>
  <c r="M120" i="64"/>
  <c r="Q120" i="64" s="1"/>
  <c r="M84" i="64"/>
  <c r="Q84" i="64" s="1"/>
  <c r="M47" i="64"/>
  <c r="Q47" i="64" s="1"/>
  <c r="M125" i="64"/>
  <c r="Q125" i="64" s="1"/>
  <c r="M52" i="64"/>
  <c r="Q52" i="64" s="1"/>
  <c r="M124" i="64"/>
  <c r="Q124" i="64" s="1"/>
  <c r="P4" i="64"/>
  <c r="P5" i="64" s="1"/>
  <c r="T12" i="64"/>
  <c r="T6" i="64"/>
  <c r="P6" i="64"/>
  <c r="L7" i="66" l="1"/>
  <c r="P7" i="66" s="1"/>
  <c r="S11" i="64"/>
  <c r="Q11" i="64"/>
  <c r="K7" i="66"/>
  <c r="O7" i="66" s="1"/>
  <c r="M7" i="66"/>
  <c r="Q7" i="66" s="1"/>
  <c r="M91" i="64"/>
  <c r="Q91" i="64" s="1"/>
  <c r="N3" i="64" l="1"/>
  <c r="F5" i="64"/>
  <c r="O3" i="64" l="1"/>
  <c r="G5" i="64"/>
  <c r="I3" i="60" l="1"/>
  <c r="I4" i="60"/>
  <c r="I5" i="60"/>
  <c r="I6" i="60"/>
  <c r="I7" i="60"/>
  <c r="I8" i="60"/>
  <c r="I9" i="60"/>
  <c r="I10" i="60"/>
  <c r="I11" i="60"/>
  <c r="I12" i="60"/>
  <c r="I13" i="60"/>
  <c r="I14" i="60"/>
  <c r="I15" i="60"/>
  <c r="I16" i="60"/>
  <c r="I17" i="60"/>
  <c r="I18" i="60"/>
  <c r="I19" i="60"/>
  <c r="I20" i="60"/>
  <c r="I21" i="60"/>
  <c r="I22" i="60"/>
  <c r="I23" i="60"/>
  <c r="I24" i="60"/>
  <c r="I25" i="60"/>
  <c r="I26" i="60"/>
  <c r="I27" i="60"/>
  <c r="I28" i="60"/>
  <c r="I29" i="60"/>
  <c r="I30" i="60"/>
  <c r="I31" i="60"/>
  <c r="I32" i="60"/>
  <c r="I33" i="60"/>
  <c r="I34" i="60"/>
  <c r="I35" i="60"/>
  <c r="I36" i="60"/>
  <c r="I37" i="60"/>
  <c r="I38" i="60"/>
  <c r="I39" i="60"/>
  <c r="I40" i="60"/>
  <c r="I41" i="60"/>
  <c r="I42" i="60"/>
  <c r="I43" i="60"/>
  <c r="I44" i="60"/>
  <c r="I45" i="60"/>
  <c r="I46" i="60"/>
  <c r="I47" i="60"/>
  <c r="I48" i="60"/>
  <c r="I49" i="60"/>
  <c r="I50" i="60"/>
  <c r="I51" i="60"/>
  <c r="I52" i="60"/>
  <c r="I53" i="60"/>
  <c r="I54" i="60"/>
  <c r="I55" i="60"/>
  <c r="I56" i="60"/>
  <c r="I57" i="60"/>
  <c r="I58" i="60"/>
  <c r="I59" i="60"/>
  <c r="I60" i="60"/>
  <c r="I61" i="60"/>
  <c r="I62" i="60"/>
  <c r="I63" i="60"/>
  <c r="I64" i="60"/>
  <c r="I65" i="60"/>
  <c r="I66" i="60"/>
  <c r="I67" i="60"/>
  <c r="I68" i="60"/>
  <c r="I69" i="60"/>
  <c r="I70" i="60"/>
  <c r="I71" i="60"/>
  <c r="I72" i="60"/>
  <c r="I73" i="60"/>
  <c r="I74" i="60"/>
  <c r="I75" i="60"/>
  <c r="I76" i="60"/>
  <c r="I77" i="60"/>
  <c r="I78" i="60"/>
  <c r="I79" i="60"/>
  <c r="I80" i="60"/>
  <c r="I81" i="60"/>
  <c r="I82" i="60"/>
  <c r="I83" i="60"/>
  <c r="I84" i="60"/>
  <c r="I85" i="60"/>
  <c r="I86" i="60"/>
  <c r="I87" i="60"/>
  <c r="I88" i="60"/>
  <c r="I89" i="60"/>
  <c r="I90" i="60"/>
  <c r="I91" i="60"/>
  <c r="I92" i="60"/>
  <c r="I93" i="60"/>
  <c r="I94" i="60"/>
  <c r="I95" i="60"/>
  <c r="I96" i="60"/>
  <c r="I97" i="60"/>
  <c r="I98" i="60"/>
  <c r="I99" i="60"/>
  <c r="I100" i="60"/>
  <c r="I101" i="60"/>
  <c r="I102" i="60"/>
  <c r="I103" i="60"/>
  <c r="I104" i="60"/>
  <c r="I105" i="60"/>
  <c r="I106" i="60"/>
  <c r="I107" i="60"/>
  <c r="I108" i="60"/>
  <c r="I109" i="60"/>
  <c r="I110" i="60"/>
  <c r="I111" i="60"/>
  <c r="I112" i="60"/>
  <c r="I113" i="60"/>
  <c r="I114" i="60"/>
  <c r="I115" i="60"/>
  <c r="I116" i="60"/>
  <c r="I117" i="60"/>
  <c r="I118" i="60"/>
  <c r="I119" i="60"/>
  <c r="I120" i="60"/>
  <c r="I121" i="60"/>
  <c r="I122" i="60"/>
  <c r="I123" i="60"/>
  <c r="I124" i="60"/>
  <c r="I125" i="60"/>
  <c r="I126" i="60"/>
  <c r="I127" i="60"/>
  <c r="I128" i="60"/>
  <c r="I129" i="60"/>
  <c r="I130" i="60"/>
  <c r="I131" i="60"/>
  <c r="I132" i="60"/>
  <c r="I133" i="60"/>
  <c r="I134" i="60"/>
  <c r="I135" i="60"/>
  <c r="I136" i="60"/>
  <c r="I137" i="60"/>
  <c r="I138" i="60"/>
  <c r="I139" i="60"/>
  <c r="I140" i="60"/>
  <c r="I141" i="60"/>
  <c r="I142" i="60"/>
  <c r="I143" i="60"/>
  <c r="I144" i="60"/>
  <c r="I145" i="60"/>
  <c r="I146" i="60"/>
  <c r="I147" i="60"/>
  <c r="I148" i="60"/>
  <c r="I149" i="60"/>
  <c r="I150" i="60"/>
  <c r="I151" i="60"/>
  <c r="I152" i="60"/>
  <c r="I153" i="60"/>
  <c r="I154" i="60"/>
  <c r="I155" i="60"/>
  <c r="I156" i="60"/>
  <c r="I157" i="60"/>
  <c r="I158" i="60"/>
  <c r="I159" i="60"/>
  <c r="I160" i="60"/>
  <c r="I161" i="60"/>
  <c r="I162" i="60"/>
  <c r="I163" i="60"/>
  <c r="I164" i="60"/>
  <c r="I165" i="60"/>
  <c r="I166" i="60"/>
  <c r="I167" i="60"/>
  <c r="I168" i="60"/>
  <c r="I169" i="60"/>
  <c r="I170" i="60"/>
  <c r="I171" i="60"/>
  <c r="I172" i="60"/>
  <c r="I173" i="60"/>
  <c r="I174" i="60"/>
  <c r="I175" i="60"/>
  <c r="I176" i="60"/>
  <c r="I177" i="60"/>
  <c r="I178" i="60"/>
  <c r="I179" i="60"/>
  <c r="I180" i="60"/>
  <c r="I181" i="60"/>
  <c r="I182" i="60"/>
  <c r="I183" i="60"/>
  <c r="I184" i="60"/>
  <c r="I185" i="60"/>
  <c r="I186" i="60"/>
  <c r="I187" i="60"/>
  <c r="I188" i="60"/>
  <c r="I189" i="60"/>
  <c r="I190" i="60"/>
  <c r="I191" i="60"/>
  <c r="I192" i="60"/>
  <c r="I193" i="60"/>
  <c r="I194" i="60"/>
  <c r="I195" i="60"/>
  <c r="I196" i="60"/>
  <c r="I197" i="60"/>
  <c r="I198" i="60"/>
  <c r="I199" i="60"/>
  <c r="I200" i="60"/>
  <c r="I201" i="60"/>
  <c r="I202" i="60"/>
  <c r="I203" i="60"/>
  <c r="I204" i="60"/>
  <c r="I205" i="60"/>
  <c r="I206" i="60"/>
  <c r="I207" i="60"/>
  <c r="I208" i="60"/>
  <c r="I209" i="60"/>
  <c r="I210" i="60"/>
  <c r="I211" i="60"/>
  <c r="I212" i="60"/>
  <c r="I213" i="60"/>
  <c r="I214" i="60"/>
  <c r="I215" i="60"/>
  <c r="I216" i="60"/>
  <c r="I217" i="60"/>
  <c r="I218" i="60"/>
  <c r="I219" i="60"/>
  <c r="I220" i="60"/>
  <c r="I221" i="60"/>
  <c r="I222" i="60"/>
  <c r="I223" i="60"/>
  <c r="I224" i="60"/>
  <c r="I225" i="60"/>
  <c r="I226" i="60"/>
  <c r="I227" i="60"/>
  <c r="I228" i="60"/>
  <c r="I229" i="60"/>
  <c r="I230" i="60"/>
  <c r="I231" i="60"/>
  <c r="I232" i="60"/>
  <c r="I233" i="60"/>
  <c r="I234" i="60"/>
  <c r="I235" i="60"/>
  <c r="I236" i="60"/>
  <c r="I237" i="60"/>
  <c r="I238" i="60"/>
  <c r="I239" i="60"/>
  <c r="I240" i="60"/>
  <c r="I241" i="60"/>
  <c r="I242" i="60"/>
  <c r="I243" i="60"/>
  <c r="I244" i="60"/>
  <c r="I245" i="60"/>
  <c r="I246" i="60"/>
  <c r="I247" i="60"/>
  <c r="I248" i="60"/>
  <c r="I249" i="60"/>
  <c r="I250" i="60"/>
  <c r="I251" i="60"/>
  <c r="I252" i="60"/>
  <c r="I253" i="60"/>
  <c r="I254" i="60"/>
  <c r="I255" i="60"/>
  <c r="I256" i="60"/>
  <c r="I257" i="60"/>
  <c r="I258" i="60"/>
  <c r="I259" i="60"/>
  <c r="I260" i="60"/>
  <c r="I261" i="60"/>
  <c r="I262" i="60"/>
  <c r="I263" i="60"/>
  <c r="I264" i="60"/>
  <c r="I265" i="60"/>
  <c r="I266" i="60"/>
  <c r="I267" i="60"/>
  <c r="I268" i="60"/>
  <c r="I269" i="60"/>
  <c r="I270" i="60"/>
  <c r="I271" i="60"/>
  <c r="I272" i="60"/>
  <c r="I273" i="60"/>
  <c r="I274" i="60"/>
  <c r="I275" i="60"/>
  <c r="I276" i="60"/>
  <c r="I277" i="60"/>
  <c r="I278" i="60"/>
  <c r="I279" i="60"/>
  <c r="I280" i="60"/>
  <c r="I281" i="60"/>
  <c r="I282" i="60"/>
  <c r="I283" i="60"/>
  <c r="I284" i="60"/>
  <c r="I285" i="60"/>
  <c r="I286" i="60"/>
  <c r="I287" i="60"/>
  <c r="I288" i="60"/>
  <c r="I289" i="60"/>
  <c r="I290" i="60"/>
  <c r="I291" i="60"/>
  <c r="I292" i="60"/>
  <c r="I293" i="60"/>
  <c r="I294" i="60"/>
  <c r="I295" i="60"/>
  <c r="I296" i="60"/>
  <c r="I297" i="60"/>
  <c r="I298" i="60"/>
  <c r="I299" i="60"/>
  <c r="I300" i="60"/>
  <c r="I301" i="60"/>
  <c r="I302" i="60"/>
  <c r="I303" i="60"/>
  <c r="I304" i="60"/>
  <c r="I305" i="60"/>
  <c r="I306" i="60"/>
  <c r="I307" i="60"/>
  <c r="I308" i="60"/>
  <c r="I309" i="60"/>
  <c r="I310" i="60"/>
  <c r="I311" i="60"/>
  <c r="I312" i="60"/>
  <c r="I313" i="60"/>
  <c r="I314" i="60"/>
  <c r="I315" i="60"/>
  <c r="I316" i="60"/>
  <c r="I317" i="60"/>
  <c r="I318" i="60"/>
  <c r="I319" i="60"/>
  <c r="I320" i="60"/>
  <c r="I321" i="60"/>
  <c r="I322" i="60"/>
  <c r="I323" i="60"/>
  <c r="I324" i="60"/>
  <c r="I325" i="60"/>
  <c r="I326" i="60"/>
  <c r="I327" i="60"/>
  <c r="I328" i="60"/>
  <c r="I329" i="60"/>
  <c r="I330" i="60"/>
  <c r="I331" i="60"/>
  <c r="I332" i="60"/>
  <c r="I333" i="60"/>
  <c r="I334" i="60"/>
  <c r="I335" i="60"/>
  <c r="I336" i="60"/>
  <c r="I337" i="60"/>
  <c r="I338" i="60"/>
  <c r="I339" i="60"/>
  <c r="I340" i="60"/>
  <c r="I341" i="60"/>
  <c r="I342" i="60"/>
  <c r="I343" i="60"/>
  <c r="I344" i="60"/>
  <c r="I345" i="60"/>
  <c r="I346" i="60"/>
  <c r="I347" i="60"/>
  <c r="I348" i="60"/>
  <c r="I349" i="60"/>
  <c r="I350" i="60"/>
  <c r="I351" i="60"/>
  <c r="I352" i="60"/>
  <c r="I353" i="60"/>
  <c r="I354" i="60"/>
  <c r="I355" i="60"/>
  <c r="I356" i="60"/>
  <c r="I357" i="60"/>
  <c r="I358" i="60"/>
  <c r="I359" i="60"/>
  <c r="I360" i="60"/>
  <c r="I361" i="60"/>
  <c r="I362" i="60"/>
  <c r="I363" i="60"/>
  <c r="I364" i="60"/>
  <c r="I365" i="60"/>
  <c r="I366" i="60"/>
  <c r="I367" i="60"/>
  <c r="I368" i="60"/>
  <c r="I369" i="60"/>
  <c r="I370" i="60"/>
  <c r="I371" i="60"/>
  <c r="I372" i="60"/>
  <c r="I373" i="60"/>
  <c r="I374" i="60"/>
  <c r="I375" i="60"/>
  <c r="I376" i="60"/>
  <c r="I377" i="60"/>
  <c r="I378" i="60"/>
  <c r="I379" i="60"/>
  <c r="I380" i="60"/>
  <c r="I381" i="60"/>
  <c r="I382" i="60"/>
  <c r="I383" i="60"/>
  <c r="I384" i="60"/>
  <c r="I385" i="60"/>
  <c r="I386" i="60"/>
  <c r="I387" i="60"/>
  <c r="I388" i="60"/>
  <c r="I389" i="60"/>
  <c r="I390" i="60"/>
  <c r="I391" i="60"/>
  <c r="I392" i="60"/>
  <c r="I393" i="60"/>
  <c r="I394" i="60"/>
  <c r="I395" i="60"/>
  <c r="I396" i="60"/>
  <c r="I397" i="60"/>
  <c r="I398" i="60"/>
  <c r="I399" i="60"/>
  <c r="I400" i="60"/>
  <c r="I401" i="60"/>
  <c r="I402" i="60"/>
  <c r="I403" i="60"/>
  <c r="I404" i="60"/>
  <c r="I405" i="60"/>
  <c r="I406" i="60"/>
  <c r="I407" i="60"/>
  <c r="I408" i="60"/>
  <c r="I409" i="60"/>
  <c r="I410" i="60"/>
  <c r="I411" i="60"/>
  <c r="I412" i="60"/>
  <c r="I413" i="60"/>
  <c r="I414" i="60"/>
  <c r="I415" i="60"/>
  <c r="I416" i="60"/>
  <c r="I417" i="60"/>
  <c r="I418" i="60"/>
  <c r="I419" i="60"/>
  <c r="I420" i="60"/>
  <c r="I421" i="60"/>
  <c r="I422" i="60"/>
  <c r="I423" i="60"/>
  <c r="I424" i="60"/>
  <c r="I425" i="60"/>
  <c r="I426" i="60"/>
  <c r="I427" i="60"/>
  <c r="I428" i="60"/>
  <c r="I429" i="60"/>
  <c r="I430" i="60"/>
  <c r="I431" i="60"/>
  <c r="I432" i="60"/>
  <c r="I433" i="60"/>
  <c r="I434" i="60"/>
  <c r="I435" i="60"/>
  <c r="I436" i="60"/>
  <c r="I437" i="60"/>
  <c r="I438" i="60"/>
  <c r="I439" i="60"/>
  <c r="I440" i="60"/>
  <c r="I441" i="60"/>
  <c r="I442" i="60"/>
  <c r="I443" i="60"/>
  <c r="I444" i="60"/>
  <c r="I445" i="60"/>
  <c r="I446" i="60"/>
  <c r="I447" i="60"/>
  <c r="I448" i="60"/>
  <c r="I449" i="60"/>
  <c r="I450" i="60"/>
  <c r="I451" i="60"/>
  <c r="I452" i="60"/>
  <c r="I453" i="60"/>
  <c r="I454" i="60"/>
  <c r="I455" i="60"/>
  <c r="I456" i="60"/>
  <c r="I457" i="60"/>
  <c r="I458" i="60"/>
  <c r="I459" i="60"/>
  <c r="I460" i="60"/>
  <c r="I461" i="60"/>
  <c r="I462" i="60"/>
  <c r="I463" i="60"/>
  <c r="I464" i="60"/>
  <c r="I465" i="60"/>
  <c r="I466" i="60"/>
  <c r="I467" i="60"/>
  <c r="I468" i="60"/>
  <c r="I469" i="60"/>
  <c r="I470" i="60"/>
  <c r="I471" i="60"/>
  <c r="I472" i="60"/>
  <c r="I473" i="60"/>
  <c r="I474" i="60"/>
  <c r="I475" i="60"/>
  <c r="I476" i="60"/>
  <c r="I477" i="60"/>
  <c r="I478" i="60"/>
  <c r="I479" i="60"/>
  <c r="I480" i="60"/>
  <c r="I481" i="60"/>
  <c r="I482" i="60"/>
  <c r="I483" i="60"/>
  <c r="I484" i="60"/>
  <c r="I485" i="60"/>
  <c r="I486" i="60"/>
  <c r="I487" i="60"/>
  <c r="I488" i="60"/>
  <c r="I489" i="60"/>
  <c r="I490" i="60"/>
  <c r="I491" i="60"/>
  <c r="I492" i="60"/>
  <c r="I493" i="60"/>
  <c r="I494" i="60"/>
  <c r="I495" i="60"/>
  <c r="I496" i="60"/>
  <c r="I497" i="60"/>
  <c r="I498" i="60"/>
  <c r="I499" i="60"/>
  <c r="I500" i="60"/>
  <c r="I501" i="60"/>
  <c r="I502" i="60"/>
  <c r="I503" i="60"/>
  <c r="I504" i="60"/>
  <c r="I505" i="60"/>
  <c r="I506" i="60"/>
  <c r="I507" i="60"/>
  <c r="I508" i="60"/>
  <c r="I509" i="60"/>
  <c r="I510" i="60"/>
  <c r="I511" i="60"/>
  <c r="I512" i="60"/>
  <c r="I513" i="60"/>
  <c r="I514" i="60"/>
  <c r="I515" i="60"/>
  <c r="I516" i="60"/>
  <c r="I517" i="60"/>
  <c r="I518" i="60"/>
  <c r="I519" i="60"/>
  <c r="I520" i="60"/>
  <c r="I521" i="60"/>
  <c r="I522" i="60"/>
  <c r="I523" i="60"/>
  <c r="I524" i="60"/>
  <c r="I525" i="60"/>
  <c r="I526" i="60"/>
  <c r="I527" i="60"/>
  <c r="I528" i="60"/>
  <c r="I529" i="60"/>
  <c r="I530" i="60"/>
  <c r="I531" i="60"/>
  <c r="I532" i="60"/>
  <c r="I533" i="60"/>
  <c r="I534" i="60"/>
  <c r="I535" i="60"/>
  <c r="I536" i="60"/>
  <c r="I537" i="60"/>
  <c r="I538" i="60"/>
  <c r="I539" i="60"/>
  <c r="I540" i="60"/>
  <c r="I541" i="60"/>
  <c r="I542" i="60"/>
  <c r="I543" i="60"/>
  <c r="I544" i="60"/>
  <c r="I545" i="60"/>
  <c r="I546" i="60"/>
  <c r="I547" i="60"/>
  <c r="I548" i="60"/>
  <c r="I549" i="60"/>
  <c r="I550" i="60"/>
  <c r="I551" i="60"/>
  <c r="I552" i="60"/>
  <c r="I553" i="60"/>
  <c r="I554" i="60"/>
  <c r="I555" i="60"/>
  <c r="I556" i="60"/>
  <c r="I557" i="60"/>
  <c r="I558" i="60"/>
  <c r="I559" i="60"/>
  <c r="I560" i="60"/>
  <c r="I561" i="60"/>
  <c r="I562" i="60"/>
  <c r="I563" i="60"/>
  <c r="I564" i="60"/>
  <c r="I565" i="60"/>
  <c r="I566" i="60"/>
  <c r="I567" i="60"/>
  <c r="I568" i="60"/>
  <c r="I569" i="60"/>
  <c r="I570" i="60"/>
  <c r="I571" i="60"/>
  <c r="I572" i="60"/>
  <c r="I573" i="60"/>
  <c r="I574" i="60"/>
  <c r="I575" i="60"/>
  <c r="I576" i="60"/>
  <c r="I577" i="60"/>
  <c r="I578" i="60"/>
  <c r="I579" i="60"/>
  <c r="I580" i="60"/>
  <c r="I581" i="60"/>
  <c r="I582" i="60"/>
  <c r="I583" i="60"/>
  <c r="I584" i="60"/>
  <c r="I585" i="60"/>
  <c r="I586" i="60"/>
  <c r="I587" i="60"/>
  <c r="I588" i="60"/>
  <c r="I589" i="60"/>
  <c r="I590" i="60"/>
  <c r="I591" i="60"/>
  <c r="I592" i="60"/>
  <c r="I593" i="60"/>
  <c r="I594" i="60"/>
  <c r="I595" i="60"/>
  <c r="I596" i="60"/>
  <c r="I597" i="60"/>
  <c r="I598" i="60"/>
  <c r="I599" i="60"/>
  <c r="I600" i="60"/>
  <c r="I601" i="60"/>
  <c r="I602" i="60"/>
  <c r="I603" i="60"/>
  <c r="I604" i="60"/>
  <c r="I605" i="60"/>
  <c r="I606" i="60"/>
  <c r="I607" i="60"/>
  <c r="I608" i="60"/>
  <c r="I609" i="60"/>
  <c r="I610" i="60"/>
  <c r="I611" i="60"/>
  <c r="I612" i="60"/>
  <c r="I613" i="60"/>
  <c r="I614" i="60"/>
  <c r="I615" i="60"/>
  <c r="I616" i="60"/>
  <c r="I617" i="60"/>
  <c r="I618" i="60"/>
  <c r="I619" i="60"/>
  <c r="I620" i="60"/>
  <c r="I621" i="60"/>
  <c r="I622" i="60"/>
  <c r="I623" i="60"/>
  <c r="I624" i="60"/>
  <c r="I625" i="60"/>
  <c r="I626" i="60"/>
  <c r="I627" i="60"/>
  <c r="I628" i="60"/>
  <c r="I629" i="60"/>
  <c r="I630" i="60"/>
  <c r="I631" i="60"/>
  <c r="I632" i="60"/>
  <c r="I633" i="60"/>
  <c r="I634" i="60"/>
  <c r="I635" i="60"/>
  <c r="I636" i="60"/>
  <c r="I637" i="60"/>
  <c r="I638" i="60"/>
  <c r="I639" i="60"/>
  <c r="I640" i="60"/>
  <c r="I641" i="60"/>
  <c r="I642" i="60"/>
  <c r="I643" i="60"/>
  <c r="I644" i="60"/>
  <c r="I645" i="60"/>
  <c r="I646" i="60"/>
  <c r="I647" i="60"/>
  <c r="I648" i="60"/>
  <c r="I649" i="60"/>
  <c r="I650" i="60"/>
  <c r="I651" i="60"/>
  <c r="I652" i="60"/>
  <c r="I653" i="60"/>
  <c r="I654" i="60"/>
  <c r="I655" i="60"/>
  <c r="I656" i="60"/>
  <c r="I657" i="60"/>
  <c r="I658" i="60"/>
  <c r="I659" i="60"/>
  <c r="I660" i="60"/>
  <c r="I661" i="60"/>
  <c r="I662" i="60"/>
  <c r="I663" i="60"/>
  <c r="I664" i="60"/>
  <c r="I665" i="60"/>
  <c r="I666" i="60"/>
  <c r="I667" i="60"/>
  <c r="I668" i="60"/>
  <c r="I669" i="60"/>
  <c r="I670" i="60"/>
  <c r="I671" i="60"/>
  <c r="I672" i="60"/>
  <c r="I673" i="60"/>
  <c r="I674" i="60"/>
  <c r="I675" i="60"/>
  <c r="I676" i="60"/>
  <c r="I677" i="60"/>
  <c r="I678" i="60"/>
  <c r="I679" i="60"/>
  <c r="I680" i="60"/>
  <c r="I681" i="60"/>
  <c r="I682" i="60"/>
  <c r="I683" i="60"/>
  <c r="I684" i="60"/>
  <c r="I685" i="60"/>
  <c r="I686" i="60"/>
  <c r="I687" i="60"/>
  <c r="I688" i="60"/>
  <c r="I689" i="60"/>
  <c r="I690" i="60"/>
  <c r="I691" i="60"/>
  <c r="I692" i="60"/>
  <c r="I693" i="60"/>
  <c r="I694" i="60"/>
  <c r="I695" i="60"/>
  <c r="I696" i="60"/>
  <c r="I697" i="60"/>
  <c r="I698" i="60"/>
  <c r="I699" i="60"/>
  <c r="I700" i="60"/>
  <c r="I701" i="60"/>
  <c r="I702" i="60"/>
  <c r="I703" i="60"/>
  <c r="I704" i="60"/>
  <c r="I705" i="60"/>
  <c r="I706" i="60"/>
  <c r="I707" i="60"/>
  <c r="I708" i="60"/>
  <c r="I709" i="60"/>
  <c r="I710" i="60"/>
  <c r="I711" i="60"/>
  <c r="I712" i="60"/>
  <c r="I713" i="60"/>
  <c r="I714" i="60"/>
  <c r="I715" i="60"/>
  <c r="I716" i="60"/>
  <c r="I717" i="60"/>
  <c r="I718" i="60"/>
  <c r="I719" i="60"/>
  <c r="I720" i="60"/>
  <c r="I721" i="60"/>
  <c r="I722" i="60"/>
  <c r="I723" i="60"/>
  <c r="I724" i="60"/>
  <c r="I725" i="60"/>
  <c r="I726" i="60"/>
  <c r="I727" i="60"/>
  <c r="I728" i="60"/>
  <c r="I729" i="60"/>
  <c r="I730" i="60"/>
  <c r="I731" i="60"/>
  <c r="I732" i="60"/>
  <c r="I733" i="60"/>
  <c r="I734" i="60"/>
  <c r="I735" i="60"/>
  <c r="I736" i="60"/>
  <c r="I737" i="60"/>
  <c r="I738" i="60"/>
  <c r="I739" i="60"/>
  <c r="I740" i="60"/>
  <c r="I741" i="60"/>
  <c r="I742" i="60"/>
  <c r="I743" i="60"/>
  <c r="I744" i="60"/>
  <c r="I745" i="60"/>
  <c r="I746" i="60"/>
  <c r="I747" i="60"/>
  <c r="I748" i="60"/>
  <c r="I749" i="60"/>
  <c r="I750" i="60"/>
  <c r="I751" i="60"/>
  <c r="I752" i="60"/>
  <c r="I753" i="60"/>
  <c r="I754" i="60"/>
  <c r="I755" i="60"/>
  <c r="I756" i="60"/>
  <c r="I757" i="60"/>
  <c r="I758" i="60"/>
  <c r="I759" i="60"/>
  <c r="I760" i="60"/>
  <c r="I761" i="60"/>
  <c r="I762" i="60"/>
  <c r="I763" i="60"/>
  <c r="I764" i="60"/>
  <c r="I765" i="60"/>
  <c r="I766" i="60"/>
  <c r="I767" i="60"/>
  <c r="I768" i="60"/>
  <c r="I769" i="60"/>
  <c r="I770" i="60"/>
  <c r="I771" i="60"/>
  <c r="I772" i="60"/>
  <c r="I773" i="60"/>
  <c r="I774" i="60"/>
  <c r="I775" i="60"/>
  <c r="I776" i="60"/>
  <c r="I777" i="60"/>
  <c r="I778" i="60"/>
  <c r="I779" i="60"/>
  <c r="I780" i="60"/>
  <c r="I781" i="60"/>
  <c r="I782" i="60"/>
  <c r="I783" i="60"/>
  <c r="I784" i="60"/>
  <c r="I785" i="60"/>
  <c r="I786" i="60"/>
  <c r="I787" i="60"/>
  <c r="I788" i="60"/>
  <c r="I789" i="60"/>
  <c r="I790" i="60"/>
  <c r="I791" i="60"/>
  <c r="I792" i="60"/>
  <c r="I793" i="60"/>
  <c r="I794" i="60"/>
  <c r="I795" i="60"/>
  <c r="I796" i="60"/>
  <c r="I797" i="60"/>
  <c r="I798" i="60"/>
  <c r="I799" i="60"/>
  <c r="I800" i="60"/>
  <c r="I801" i="60"/>
  <c r="I802" i="60"/>
  <c r="I803" i="60"/>
  <c r="I804" i="60"/>
  <c r="I805" i="60"/>
  <c r="I806" i="60"/>
  <c r="I807" i="60"/>
  <c r="I808" i="60"/>
  <c r="I809" i="60"/>
  <c r="I810" i="60"/>
  <c r="I811" i="60"/>
  <c r="I812" i="60"/>
  <c r="I813" i="60"/>
  <c r="I814" i="60"/>
  <c r="I815" i="60"/>
  <c r="I816" i="60"/>
  <c r="I817" i="60"/>
  <c r="I818" i="60"/>
  <c r="I819" i="60"/>
  <c r="I820" i="60"/>
  <c r="I821" i="60"/>
  <c r="I822" i="60"/>
  <c r="I823" i="60"/>
  <c r="I824" i="60"/>
  <c r="I825" i="60"/>
  <c r="I826" i="60"/>
  <c r="I827" i="60"/>
  <c r="I828" i="60"/>
  <c r="I829" i="60"/>
  <c r="I830" i="60"/>
  <c r="I831" i="60"/>
  <c r="I832" i="60"/>
  <c r="I833" i="60"/>
  <c r="I834" i="60"/>
  <c r="I835" i="60"/>
  <c r="I836" i="60"/>
  <c r="I837" i="60"/>
  <c r="I838" i="60"/>
  <c r="I839" i="60"/>
  <c r="I840" i="60"/>
  <c r="I841" i="60"/>
  <c r="I842" i="60"/>
  <c r="I843" i="60"/>
  <c r="I844" i="60"/>
  <c r="I845" i="60"/>
  <c r="I846" i="60"/>
  <c r="I847" i="60"/>
  <c r="I848" i="60"/>
  <c r="I849" i="60"/>
  <c r="I850" i="60"/>
  <c r="I851" i="60"/>
  <c r="I852" i="60"/>
  <c r="I853" i="60"/>
  <c r="I854" i="60"/>
  <c r="I855" i="60"/>
  <c r="I856" i="60"/>
  <c r="I857" i="60"/>
  <c r="I858" i="60"/>
  <c r="I859" i="60"/>
  <c r="I860" i="60"/>
  <c r="I861" i="60"/>
  <c r="I862" i="60"/>
  <c r="I863" i="60"/>
  <c r="I864" i="60"/>
  <c r="I865" i="60"/>
  <c r="I866" i="60"/>
  <c r="I867" i="60"/>
  <c r="I868" i="60"/>
  <c r="I869" i="60"/>
  <c r="I870" i="60"/>
  <c r="I871" i="60"/>
  <c r="I872" i="60"/>
  <c r="I873" i="60"/>
  <c r="I874" i="60"/>
  <c r="I875" i="60"/>
  <c r="I876" i="60"/>
  <c r="C182" i="62" s="1"/>
  <c r="B182" i="62" s="1"/>
  <c r="A182" i="62" s="1"/>
  <c r="I877" i="60"/>
  <c r="I878" i="60"/>
  <c r="I879" i="60"/>
  <c r="I880" i="60"/>
  <c r="I881" i="60"/>
  <c r="I882" i="60"/>
  <c r="I883" i="60"/>
  <c r="I884" i="60"/>
  <c r="I885" i="60"/>
  <c r="I886" i="60"/>
  <c r="I887" i="60"/>
  <c r="I888" i="60"/>
  <c r="I889" i="60"/>
  <c r="I890" i="60"/>
  <c r="I891" i="60"/>
  <c r="I892" i="60"/>
  <c r="I893" i="60"/>
  <c r="I894" i="60"/>
  <c r="I895" i="60"/>
  <c r="I896" i="60"/>
  <c r="I897" i="60"/>
  <c r="I898" i="60"/>
  <c r="I899" i="60"/>
  <c r="I900" i="60"/>
  <c r="I901" i="60"/>
  <c r="I902" i="60"/>
  <c r="I903" i="60"/>
  <c r="I904" i="60"/>
  <c r="I905" i="60"/>
  <c r="I906" i="60"/>
  <c r="I907" i="60"/>
  <c r="I908" i="60"/>
  <c r="I909" i="60"/>
  <c r="I910" i="60"/>
  <c r="I911" i="60"/>
  <c r="I912" i="60"/>
  <c r="I913" i="60"/>
  <c r="I914" i="60"/>
  <c r="I915" i="60"/>
  <c r="I916" i="60"/>
  <c r="I917" i="60"/>
  <c r="I918" i="60"/>
  <c r="I919" i="60"/>
  <c r="I920" i="60"/>
  <c r="I921" i="60"/>
  <c r="I922" i="60"/>
  <c r="I923" i="60"/>
  <c r="I924" i="60"/>
  <c r="I925" i="60"/>
  <c r="I926" i="60"/>
  <c r="I927" i="60"/>
  <c r="I928" i="60"/>
  <c r="I929" i="60"/>
  <c r="I930" i="60"/>
  <c r="I931" i="60"/>
  <c r="I932" i="60"/>
  <c r="I933" i="60"/>
  <c r="I934" i="60"/>
  <c r="I935" i="60"/>
  <c r="I936" i="60"/>
  <c r="I937" i="60"/>
  <c r="I938" i="60"/>
  <c r="I939" i="60"/>
  <c r="I940" i="60"/>
  <c r="I941" i="60"/>
  <c r="I942" i="60"/>
  <c r="I943" i="60"/>
  <c r="I944" i="60"/>
  <c r="I945" i="60"/>
  <c r="I946" i="60"/>
  <c r="I947" i="60"/>
  <c r="I948" i="60"/>
  <c r="I949" i="60"/>
  <c r="I950" i="60"/>
  <c r="I951" i="60"/>
  <c r="I952" i="60"/>
  <c r="I953" i="60"/>
  <c r="I954" i="60"/>
  <c r="I955" i="60"/>
  <c r="I956" i="60"/>
  <c r="I957" i="60"/>
  <c r="I958" i="60"/>
  <c r="I959" i="60"/>
  <c r="I960" i="60"/>
  <c r="I961" i="60"/>
  <c r="I962" i="60"/>
  <c r="I963" i="60"/>
  <c r="I964" i="60"/>
  <c r="I965" i="60"/>
  <c r="I966" i="60"/>
  <c r="I967" i="60"/>
  <c r="I968" i="60"/>
  <c r="I969" i="60"/>
  <c r="I970" i="60"/>
  <c r="I971" i="60"/>
  <c r="I972" i="60"/>
  <c r="I973" i="60"/>
  <c r="I974" i="60"/>
  <c r="I975" i="60"/>
  <c r="I976" i="60"/>
  <c r="I977" i="60"/>
  <c r="I978" i="60"/>
  <c r="I979" i="60"/>
  <c r="I980" i="60"/>
  <c r="I981" i="60"/>
  <c r="I982" i="60"/>
  <c r="I983" i="60"/>
  <c r="I984" i="60"/>
  <c r="I985" i="60"/>
  <c r="I986" i="60"/>
  <c r="I987" i="60"/>
  <c r="I988" i="60"/>
  <c r="I989" i="60"/>
  <c r="I990" i="60"/>
  <c r="I991" i="60"/>
  <c r="I992" i="60"/>
  <c r="I993" i="60"/>
  <c r="I994" i="60"/>
  <c r="I995" i="60"/>
  <c r="I996" i="60"/>
  <c r="I997" i="60"/>
  <c r="I998" i="60"/>
  <c r="I999" i="60"/>
  <c r="I1000" i="60"/>
  <c r="I1001" i="60"/>
  <c r="I1002" i="60"/>
  <c r="I1003" i="60"/>
  <c r="I1004" i="60"/>
  <c r="I1005" i="60"/>
  <c r="I1006" i="60"/>
  <c r="I1007" i="60"/>
  <c r="I1008" i="60"/>
  <c r="I1009" i="60"/>
  <c r="I1010" i="60"/>
  <c r="I1011" i="60"/>
  <c r="I1012" i="60"/>
  <c r="I1013" i="60"/>
  <c r="I1014" i="60"/>
  <c r="I1015" i="60"/>
  <c r="I1016" i="60"/>
  <c r="I1017" i="60"/>
  <c r="I1018" i="60"/>
  <c r="I1019" i="60"/>
  <c r="I1020" i="60"/>
  <c r="I1021" i="60"/>
  <c r="I1022" i="60"/>
  <c r="I1023" i="60"/>
  <c r="I1024" i="60"/>
  <c r="I1025" i="60"/>
  <c r="I1026" i="60"/>
  <c r="I1027" i="60"/>
  <c r="I1028" i="60"/>
  <c r="I1029" i="60"/>
  <c r="I1030" i="60"/>
  <c r="I1031" i="60"/>
  <c r="I1032" i="60"/>
  <c r="I1033" i="60"/>
  <c r="I1034" i="60"/>
  <c r="I1035" i="60"/>
  <c r="I1036" i="60"/>
  <c r="I1037" i="60"/>
  <c r="I1038" i="60"/>
  <c r="I1039" i="60"/>
  <c r="I1040" i="60"/>
  <c r="I1041" i="60"/>
  <c r="I1042" i="60"/>
  <c r="I1043" i="60"/>
  <c r="I1044" i="60"/>
  <c r="I1045" i="60"/>
  <c r="I1046" i="60"/>
  <c r="I1047" i="60"/>
  <c r="I1048" i="60"/>
  <c r="I1049" i="60"/>
  <c r="I1050" i="60"/>
  <c r="I1051" i="60"/>
  <c r="I1052" i="60"/>
  <c r="I1053" i="60"/>
  <c r="I1054" i="60"/>
  <c r="I1055" i="60"/>
  <c r="I1056" i="60"/>
  <c r="I1057" i="60"/>
  <c r="I1058" i="60"/>
  <c r="I1059" i="60"/>
  <c r="I1060" i="60"/>
  <c r="I1061" i="60"/>
  <c r="I1062" i="60"/>
  <c r="I1063" i="60"/>
  <c r="I1064" i="60"/>
  <c r="I1065" i="60"/>
  <c r="I1066" i="60"/>
  <c r="I1067" i="60"/>
  <c r="I1068" i="60"/>
  <c r="I1069" i="60"/>
  <c r="I1070" i="60"/>
  <c r="I1071" i="60"/>
  <c r="I1072" i="60"/>
  <c r="I1073" i="60"/>
  <c r="I1074" i="60"/>
  <c r="I1075" i="60"/>
  <c r="I1076" i="60"/>
  <c r="I1077" i="60"/>
  <c r="I1078" i="60"/>
  <c r="I1079" i="60"/>
  <c r="I1080" i="60"/>
  <c r="I1081" i="60"/>
  <c r="I1082" i="60"/>
  <c r="I1083" i="60"/>
  <c r="I1084" i="60"/>
  <c r="I1085" i="60"/>
  <c r="I1086" i="60"/>
  <c r="I1087" i="60"/>
  <c r="I1088" i="60"/>
  <c r="I1089" i="60"/>
  <c r="I1090" i="60"/>
  <c r="I1091" i="60"/>
  <c r="I1092" i="60"/>
  <c r="I1093" i="60"/>
  <c r="I1094" i="60"/>
  <c r="I1095" i="60"/>
  <c r="I1096" i="60"/>
  <c r="I1097" i="60"/>
  <c r="I1098" i="60"/>
  <c r="I1099" i="60"/>
  <c r="I1100" i="60"/>
  <c r="I1101" i="60"/>
  <c r="I1102" i="60"/>
  <c r="I1103" i="60"/>
  <c r="I1104" i="60"/>
  <c r="I1105" i="60"/>
  <c r="I1106" i="60"/>
  <c r="I1107" i="60"/>
  <c r="I1108" i="60"/>
  <c r="I1109" i="60"/>
  <c r="I1110" i="60"/>
  <c r="I1111" i="60"/>
  <c r="I1112" i="60"/>
  <c r="I1113" i="60"/>
  <c r="I1114" i="60"/>
  <c r="I1115" i="60"/>
  <c r="I1116" i="60"/>
  <c r="I1117" i="60"/>
  <c r="I1118" i="60"/>
  <c r="I1119" i="60"/>
  <c r="I1120" i="60"/>
  <c r="I1121" i="60"/>
  <c r="I1122" i="60"/>
  <c r="I1123" i="60"/>
  <c r="I1124" i="60"/>
  <c r="I1125" i="60"/>
  <c r="I1126" i="60"/>
  <c r="I1127" i="60"/>
  <c r="I1128" i="60"/>
  <c r="I1129" i="60"/>
  <c r="I1130" i="60"/>
  <c r="I1131" i="60"/>
  <c r="I1132" i="60"/>
  <c r="I1133" i="60"/>
  <c r="I1134" i="60"/>
  <c r="I1135" i="60"/>
  <c r="I1136" i="60"/>
  <c r="I1137" i="60"/>
  <c r="I1138" i="60"/>
  <c r="I1139" i="60"/>
  <c r="I1140" i="60"/>
  <c r="I1141" i="60"/>
  <c r="I1142" i="60"/>
  <c r="I1143" i="60"/>
  <c r="I1144" i="60"/>
  <c r="I1145" i="60"/>
  <c r="I1146" i="60"/>
  <c r="I1147" i="60"/>
  <c r="I1148" i="60"/>
  <c r="I1149" i="60"/>
  <c r="I1150" i="60"/>
  <c r="I1151" i="60"/>
  <c r="I1152" i="60"/>
  <c r="I1153" i="60"/>
  <c r="I1154" i="60"/>
  <c r="I1155" i="60"/>
  <c r="I1156" i="60"/>
  <c r="I1157" i="60"/>
  <c r="I1158" i="60"/>
  <c r="I1159" i="60"/>
  <c r="I1160" i="60"/>
  <c r="I1161" i="60"/>
  <c r="I1162" i="60"/>
  <c r="I1163" i="60"/>
  <c r="I1164" i="60"/>
  <c r="I1165" i="60"/>
  <c r="I1166" i="60"/>
  <c r="I1167" i="60"/>
  <c r="I1168" i="60"/>
  <c r="I1169" i="60"/>
  <c r="I1170" i="60"/>
  <c r="I1171" i="60"/>
  <c r="I1172" i="60"/>
  <c r="I1173" i="60"/>
  <c r="I1174" i="60"/>
  <c r="I1175" i="60"/>
  <c r="I1176" i="60"/>
  <c r="I1177" i="60"/>
  <c r="I1178" i="60"/>
  <c r="I1179" i="60"/>
  <c r="I1180" i="60"/>
  <c r="I1181" i="60"/>
  <c r="I1182" i="60"/>
  <c r="I1183" i="60"/>
  <c r="I1184" i="60"/>
  <c r="I1185" i="60"/>
  <c r="I1186" i="60"/>
  <c r="I1187" i="60"/>
  <c r="I1188" i="60"/>
  <c r="I1189" i="60"/>
  <c r="I1190" i="60"/>
  <c r="I1191" i="60"/>
  <c r="I1192" i="60"/>
  <c r="I1193" i="60"/>
  <c r="I1194" i="60"/>
  <c r="I1195" i="60"/>
  <c r="I1196" i="60"/>
  <c r="I1197" i="60"/>
  <c r="I1198" i="60"/>
  <c r="I1199" i="60"/>
  <c r="I1200" i="60"/>
  <c r="I1201" i="60"/>
  <c r="I1202" i="60"/>
  <c r="I1203" i="60"/>
  <c r="I1204" i="60"/>
  <c r="I1205" i="60"/>
  <c r="I1206" i="60"/>
  <c r="I1207" i="60"/>
  <c r="I1208" i="60"/>
  <c r="I1209" i="60"/>
  <c r="I1210" i="60"/>
  <c r="I1211" i="60"/>
  <c r="I1212" i="60"/>
  <c r="I1213" i="60"/>
  <c r="I1214" i="60"/>
  <c r="I1215" i="60"/>
  <c r="I1216" i="60"/>
  <c r="I1217" i="60"/>
  <c r="I1218" i="60"/>
  <c r="I1219" i="60"/>
  <c r="I1220" i="60"/>
  <c r="I1221" i="60"/>
  <c r="I1222" i="60"/>
  <c r="I1223" i="60"/>
  <c r="I1224" i="60"/>
  <c r="I1225" i="60"/>
  <c r="I1226" i="60"/>
  <c r="I1227" i="60"/>
  <c r="I1228" i="60"/>
  <c r="I1229" i="60"/>
  <c r="I1230" i="60"/>
  <c r="I1231" i="60"/>
  <c r="I1232" i="60"/>
  <c r="I1233" i="60"/>
  <c r="I1234" i="60"/>
  <c r="I1235" i="60"/>
  <c r="I1236" i="60"/>
  <c r="I1237" i="60"/>
  <c r="I1238" i="60"/>
  <c r="I1239" i="60"/>
  <c r="I1240" i="60"/>
  <c r="I1241" i="60"/>
  <c r="I1242" i="60"/>
  <c r="I1243" i="60"/>
  <c r="I1244" i="60"/>
  <c r="I1245" i="60"/>
  <c r="I1246" i="60"/>
  <c r="I1247" i="60"/>
  <c r="I1248" i="60"/>
  <c r="I1249" i="60"/>
  <c r="I1250" i="60"/>
  <c r="I1251" i="60"/>
  <c r="I1252" i="60"/>
  <c r="I1253" i="60"/>
  <c r="I1254" i="60"/>
  <c r="I1255" i="60"/>
  <c r="I1256" i="60"/>
  <c r="I1257" i="60"/>
  <c r="I1258" i="60"/>
  <c r="I1259" i="60"/>
  <c r="I1260" i="60"/>
  <c r="I1261" i="60"/>
  <c r="I1262" i="60"/>
  <c r="I1263" i="60"/>
  <c r="I1264" i="60"/>
  <c r="I1265" i="60"/>
  <c r="I1266" i="60"/>
  <c r="I1267" i="60"/>
  <c r="I1268" i="60"/>
  <c r="I1269" i="60"/>
  <c r="I1270" i="60"/>
  <c r="I1271" i="60"/>
  <c r="I1272" i="60"/>
  <c r="I1273" i="60"/>
  <c r="I1274" i="60"/>
  <c r="I1275" i="60"/>
  <c r="I1276" i="60"/>
  <c r="I1277" i="60"/>
  <c r="I1278" i="60"/>
  <c r="I1279" i="60"/>
  <c r="I1280" i="60"/>
  <c r="I1281" i="60"/>
  <c r="I1282" i="60"/>
  <c r="I1283" i="60"/>
  <c r="I1284" i="60"/>
  <c r="I1285" i="60"/>
  <c r="I1286" i="60"/>
  <c r="I1287" i="60"/>
  <c r="I1288" i="60"/>
  <c r="I1289" i="60"/>
  <c r="I1290" i="60"/>
  <c r="I1291" i="60"/>
  <c r="I1292" i="60"/>
  <c r="I1293" i="60"/>
  <c r="I1294" i="60"/>
  <c r="I1295" i="60"/>
  <c r="I1296" i="60"/>
  <c r="I1297" i="60"/>
  <c r="I1298" i="60"/>
  <c r="I1299" i="60"/>
  <c r="I1300" i="60"/>
  <c r="I1301" i="60"/>
  <c r="I1302" i="60"/>
  <c r="I1303" i="60"/>
  <c r="I1304" i="60"/>
  <c r="I1305" i="60"/>
  <c r="I1306" i="60"/>
  <c r="I1307" i="60"/>
  <c r="I1308" i="60"/>
  <c r="I1309" i="60"/>
  <c r="I1310" i="60"/>
  <c r="I1311" i="60"/>
  <c r="I1312" i="60"/>
  <c r="I1313" i="60"/>
  <c r="I1314" i="60"/>
  <c r="I1315" i="60"/>
  <c r="I1316" i="60"/>
  <c r="I1317" i="60"/>
  <c r="I1318" i="60"/>
  <c r="I1319" i="60"/>
  <c r="I1320" i="60"/>
  <c r="I1321" i="60"/>
  <c r="I1322" i="60"/>
  <c r="I1323" i="60"/>
  <c r="I1324" i="60"/>
  <c r="I1325" i="60"/>
  <c r="I1326" i="60"/>
  <c r="I1327" i="60"/>
  <c r="I1328" i="60"/>
  <c r="I1329" i="60"/>
  <c r="I1330" i="60"/>
  <c r="I1331" i="60"/>
  <c r="I1332" i="60"/>
  <c r="I1333" i="60"/>
  <c r="I1334" i="60"/>
  <c r="I1335" i="60"/>
  <c r="I1336" i="60"/>
  <c r="I1337" i="60"/>
  <c r="I1338" i="60"/>
  <c r="I1339" i="60"/>
  <c r="I1340" i="60"/>
  <c r="I1341" i="60"/>
  <c r="I1342" i="60"/>
  <c r="I1343" i="60"/>
  <c r="I1344" i="60"/>
  <c r="I1345" i="60"/>
  <c r="I1346" i="60"/>
  <c r="I1347" i="60"/>
  <c r="I1348" i="60"/>
  <c r="I1349" i="60"/>
  <c r="I1350" i="60"/>
  <c r="I1351" i="60"/>
  <c r="I1352" i="60"/>
  <c r="I1353" i="60"/>
  <c r="I1354" i="60"/>
  <c r="I1355" i="60"/>
  <c r="I1356" i="60"/>
  <c r="I1357" i="60"/>
  <c r="I1358" i="60"/>
  <c r="I1359" i="60"/>
  <c r="I1360" i="60"/>
  <c r="I1361" i="60"/>
  <c r="I1362" i="60"/>
  <c r="I1363" i="60"/>
  <c r="I1364" i="60"/>
  <c r="I1365" i="60"/>
  <c r="I1366" i="60"/>
  <c r="I1367" i="60"/>
  <c r="I1368" i="60"/>
  <c r="I1369" i="60"/>
  <c r="I1370" i="60"/>
  <c r="I1371" i="60"/>
  <c r="I1372" i="60"/>
  <c r="I1373" i="60"/>
  <c r="I1374" i="60"/>
  <c r="I1375" i="60"/>
  <c r="I1376" i="60"/>
  <c r="I1377" i="60"/>
  <c r="I1378" i="60"/>
  <c r="I1379" i="60"/>
  <c r="I1380" i="60"/>
  <c r="I1381" i="60"/>
  <c r="I1382" i="60"/>
  <c r="I1383" i="60"/>
  <c r="I1384" i="60"/>
  <c r="I1385" i="60"/>
  <c r="I1386" i="60"/>
  <c r="I1387" i="60"/>
  <c r="I1388" i="60"/>
  <c r="I1389" i="60"/>
  <c r="I1390" i="60"/>
  <c r="I1391" i="60"/>
  <c r="I1392" i="60"/>
  <c r="I1393" i="60"/>
  <c r="I1394" i="60"/>
  <c r="I1395" i="60"/>
  <c r="I1396" i="60"/>
  <c r="I1397" i="60"/>
  <c r="I1398" i="60"/>
  <c r="I1399" i="60"/>
  <c r="I1400" i="60"/>
  <c r="I1401" i="60"/>
  <c r="I1402" i="60"/>
  <c r="I1403" i="60"/>
  <c r="I1404" i="60"/>
  <c r="I1405" i="60"/>
  <c r="I1406" i="60"/>
  <c r="I1407" i="60"/>
  <c r="I1408" i="60"/>
  <c r="I1409" i="60"/>
  <c r="I1410" i="60"/>
  <c r="I1411" i="60"/>
  <c r="I1412" i="60"/>
  <c r="I1413" i="60"/>
  <c r="I1414" i="60"/>
  <c r="I1415" i="60"/>
  <c r="I1416" i="60"/>
  <c r="I1417" i="60"/>
  <c r="I1418" i="60"/>
  <c r="I1419" i="60"/>
  <c r="I1420" i="60"/>
  <c r="I1421" i="60"/>
  <c r="I1422" i="60"/>
  <c r="I1423" i="60"/>
  <c r="I1424" i="60"/>
  <c r="I1425" i="60"/>
  <c r="I1426" i="60"/>
  <c r="I1427" i="60"/>
  <c r="I1428" i="60"/>
  <c r="I1429" i="60"/>
  <c r="I1430" i="60"/>
  <c r="I1431" i="60"/>
  <c r="I1432" i="60"/>
  <c r="I1433" i="60"/>
  <c r="I1434" i="60"/>
  <c r="I1435" i="60"/>
  <c r="I1436" i="60"/>
  <c r="I1437" i="60"/>
  <c r="I1438" i="60"/>
  <c r="I1439" i="60"/>
  <c r="I1440" i="60"/>
  <c r="I1441" i="60"/>
  <c r="I1442" i="60"/>
  <c r="I1443" i="60"/>
  <c r="I1444" i="60"/>
  <c r="I1445" i="60"/>
  <c r="I1446" i="60"/>
  <c r="I1447" i="60"/>
  <c r="I1448" i="60"/>
  <c r="I1449" i="60"/>
  <c r="I1450" i="60"/>
  <c r="I1451" i="60"/>
  <c r="I1452" i="60"/>
  <c r="I1453" i="60"/>
  <c r="I1454" i="60"/>
  <c r="I1455" i="60"/>
  <c r="I1456" i="60"/>
  <c r="I1457" i="60"/>
  <c r="I1458" i="60"/>
  <c r="I1459" i="60"/>
  <c r="I1460" i="60"/>
  <c r="I1461" i="60"/>
  <c r="I1462" i="60"/>
  <c r="I1463" i="60"/>
  <c r="I1464" i="60"/>
  <c r="I1465" i="60"/>
  <c r="I1466" i="60"/>
  <c r="I1467" i="60"/>
  <c r="I1468" i="60"/>
  <c r="I1469" i="60"/>
  <c r="I1470" i="60"/>
  <c r="I1471" i="60"/>
  <c r="I1472" i="60"/>
  <c r="I1473" i="60"/>
  <c r="I1474" i="60"/>
  <c r="I1475" i="60"/>
  <c r="I1476" i="60"/>
  <c r="I1477" i="60"/>
  <c r="I1478" i="60"/>
  <c r="I1479" i="60"/>
  <c r="I1480" i="60"/>
  <c r="I1481" i="60"/>
  <c r="I1482" i="60"/>
  <c r="I1483" i="60"/>
  <c r="I1484" i="60"/>
  <c r="I1485" i="60"/>
  <c r="I1486" i="60"/>
  <c r="I1487" i="60"/>
  <c r="I1488" i="60"/>
  <c r="I1489" i="60"/>
  <c r="I1490" i="60"/>
  <c r="I1491" i="60"/>
  <c r="I1492" i="60"/>
  <c r="I1493" i="60"/>
  <c r="I1494" i="60"/>
  <c r="I1495" i="60"/>
  <c r="I1496" i="60"/>
  <c r="I1497" i="60"/>
  <c r="I1498" i="60"/>
  <c r="I1499" i="60"/>
  <c r="I1500" i="60"/>
  <c r="I1501" i="60"/>
  <c r="I1502" i="60"/>
  <c r="I1503" i="60"/>
  <c r="I1504" i="60"/>
  <c r="I1505" i="60"/>
  <c r="I1506" i="60"/>
  <c r="I1507" i="60"/>
  <c r="I1508" i="60"/>
  <c r="I1509" i="60"/>
  <c r="I1510" i="60"/>
  <c r="I1511" i="60"/>
  <c r="I1512" i="60"/>
  <c r="I1513" i="60"/>
  <c r="I1514" i="60"/>
  <c r="I1515" i="60"/>
  <c r="I1516" i="60"/>
  <c r="I1517" i="60"/>
  <c r="I1518" i="60"/>
  <c r="I1519" i="60"/>
  <c r="I1520" i="60"/>
  <c r="I1521" i="60"/>
  <c r="I1522" i="60"/>
  <c r="I1523" i="60"/>
  <c r="I1524" i="60"/>
  <c r="I1525" i="60"/>
  <c r="I1526" i="60"/>
  <c r="I1527" i="60"/>
  <c r="I1528" i="60"/>
  <c r="I1529" i="60"/>
  <c r="I1530" i="60"/>
  <c r="I1531" i="60"/>
  <c r="I1532" i="60"/>
  <c r="I1533" i="60"/>
  <c r="I1534" i="60"/>
  <c r="I1535" i="60"/>
  <c r="I1536" i="60"/>
  <c r="I1537" i="60"/>
  <c r="I1538" i="60"/>
  <c r="I1539" i="60"/>
  <c r="I1540" i="60"/>
  <c r="I1541" i="60"/>
  <c r="I1542" i="60"/>
  <c r="I1543" i="60"/>
  <c r="I1544" i="60"/>
  <c r="I1545" i="60"/>
  <c r="I1546" i="60"/>
  <c r="I1547" i="60"/>
  <c r="I1548" i="60"/>
  <c r="I1549" i="60"/>
  <c r="I1550" i="60"/>
  <c r="I1551" i="60"/>
  <c r="I1552" i="60"/>
  <c r="I1553" i="60"/>
  <c r="I1554" i="60"/>
  <c r="I1555" i="60"/>
  <c r="I1556" i="60"/>
  <c r="I1557" i="60"/>
  <c r="I1558" i="60"/>
  <c r="I1559" i="60"/>
  <c r="I1560" i="60"/>
  <c r="I1561" i="60"/>
  <c r="I1562" i="60"/>
  <c r="I1563" i="60"/>
  <c r="I1564" i="60"/>
  <c r="I1565" i="60"/>
  <c r="I1566" i="60"/>
  <c r="I1567" i="60"/>
  <c r="I1568" i="60"/>
  <c r="I1569" i="60"/>
  <c r="I1570" i="60"/>
  <c r="I1571" i="60"/>
  <c r="I1572" i="60"/>
  <c r="I1573" i="60"/>
  <c r="I1574" i="60"/>
  <c r="I1575" i="60"/>
  <c r="I1576" i="60"/>
  <c r="I1577" i="60"/>
  <c r="I1578" i="60"/>
  <c r="I1579" i="60"/>
  <c r="I1580" i="60"/>
  <c r="I1581" i="60"/>
  <c r="I1582" i="60"/>
  <c r="I1583" i="60"/>
  <c r="I1584" i="60"/>
  <c r="I1585" i="60"/>
  <c r="I1586" i="60"/>
  <c r="I1587" i="60"/>
  <c r="I1588" i="60"/>
  <c r="I1589" i="60"/>
  <c r="I1590" i="60"/>
  <c r="I1591" i="60"/>
  <c r="I1592" i="60"/>
  <c r="I1593" i="60"/>
  <c r="I1594" i="60"/>
  <c r="I1595" i="60"/>
  <c r="I1596" i="60"/>
  <c r="I1597" i="60"/>
  <c r="I1598" i="60"/>
  <c r="I1599" i="60"/>
  <c r="I1600" i="60"/>
  <c r="I1601" i="60"/>
  <c r="I1602" i="60"/>
  <c r="I1603" i="60"/>
  <c r="I1604" i="60"/>
  <c r="I1605" i="60"/>
  <c r="I1606" i="60"/>
  <c r="I1607" i="60"/>
  <c r="I1608" i="60"/>
  <c r="I1609" i="60"/>
  <c r="I1610" i="60"/>
  <c r="I1611" i="60"/>
  <c r="I1612" i="60"/>
  <c r="I1613" i="60"/>
  <c r="I1614" i="60"/>
  <c r="I1615" i="60"/>
  <c r="I1616" i="60"/>
  <c r="I1617" i="60"/>
  <c r="I1618" i="60"/>
  <c r="I1619" i="60"/>
  <c r="I1620" i="60"/>
  <c r="I1621" i="60"/>
  <c r="I1622" i="60"/>
  <c r="I1623" i="60"/>
  <c r="I1624" i="60"/>
  <c r="I1625" i="60"/>
  <c r="I1626" i="60"/>
  <c r="I1627" i="60"/>
  <c r="I1628" i="60"/>
  <c r="I1629" i="60"/>
  <c r="I1630" i="60"/>
  <c r="I1631" i="60"/>
  <c r="I1632" i="60"/>
  <c r="I1633" i="60"/>
  <c r="I1634" i="60"/>
  <c r="I1635" i="60"/>
  <c r="I1636" i="60"/>
  <c r="I1637" i="60"/>
  <c r="I1638" i="60"/>
  <c r="I1639" i="60"/>
  <c r="I1640" i="60"/>
  <c r="I1641" i="60"/>
  <c r="I1642" i="60"/>
  <c r="I1643" i="60"/>
  <c r="I1644" i="60"/>
  <c r="I1645" i="60"/>
  <c r="I1646" i="60"/>
  <c r="I1647" i="60"/>
  <c r="I1648" i="60"/>
  <c r="I1649" i="60"/>
  <c r="I1650" i="60"/>
  <c r="I1651" i="60"/>
  <c r="I1652" i="60"/>
  <c r="I1653" i="60"/>
  <c r="I1654" i="60"/>
  <c r="I1655" i="60"/>
  <c r="I1656" i="60"/>
  <c r="I1657" i="60"/>
  <c r="I1658" i="60"/>
  <c r="I1659" i="60"/>
  <c r="I1660" i="60"/>
  <c r="I1661" i="60"/>
  <c r="I1662" i="60"/>
  <c r="I1663" i="60"/>
  <c r="I1664" i="60"/>
  <c r="I1665" i="60"/>
  <c r="I1666" i="60"/>
  <c r="I1667" i="60"/>
  <c r="I1668" i="60"/>
  <c r="I1669" i="60"/>
  <c r="I1670" i="60"/>
  <c r="I1671" i="60"/>
  <c r="I1672" i="60"/>
  <c r="I1673" i="60"/>
  <c r="I1674" i="60"/>
  <c r="I1675" i="60"/>
  <c r="I1676" i="60"/>
  <c r="I1677" i="60"/>
  <c r="I1678" i="60"/>
  <c r="I1679" i="60"/>
  <c r="I1680" i="60"/>
  <c r="I1681" i="60"/>
  <c r="I1682" i="60"/>
  <c r="I1683" i="60"/>
  <c r="I1684" i="60"/>
  <c r="I1685" i="60"/>
  <c r="I1686" i="60"/>
  <c r="I1687" i="60"/>
  <c r="I1688" i="60"/>
  <c r="I1689" i="60"/>
  <c r="I1690" i="60"/>
  <c r="I1691" i="60"/>
  <c r="I1692" i="60"/>
  <c r="I1693" i="60"/>
  <c r="I1694" i="60"/>
  <c r="I1695" i="60"/>
  <c r="I1696" i="60"/>
  <c r="I1697" i="60"/>
  <c r="I1698" i="60"/>
  <c r="I1699" i="60"/>
  <c r="I1700" i="60"/>
  <c r="I1701" i="60"/>
  <c r="I1702" i="60"/>
  <c r="I1703" i="60"/>
  <c r="I1704" i="60"/>
  <c r="I1705" i="60"/>
  <c r="I1706" i="60"/>
  <c r="I1707" i="60"/>
  <c r="I1708" i="60"/>
  <c r="I1709" i="60"/>
  <c r="I1710" i="60"/>
  <c r="I1711" i="60"/>
  <c r="I1712" i="60"/>
  <c r="I1713" i="60"/>
  <c r="I1714" i="60"/>
  <c r="I1715" i="60"/>
  <c r="I1716" i="60"/>
  <c r="I1717" i="60"/>
  <c r="I1718" i="60"/>
  <c r="I1719" i="60"/>
  <c r="I1720" i="60"/>
  <c r="I1721" i="60"/>
  <c r="I1722" i="60"/>
  <c r="I1723" i="60"/>
  <c r="I1724" i="60"/>
  <c r="I1725" i="60"/>
  <c r="I1726" i="60"/>
  <c r="I1727" i="60"/>
  <c r="I1728" i="60"/>
  <c r="I1729" i="60"/>
  <c r="I1730" i="60"/>
  <c r="I1731" i="60"/>
  <c r="I1732" i="60"/>
  <c r="I1733" i="60"/>
  <c r="I1734" i="60"/>
  <c r="I1735" i="60"/>
  <c r="I1736" i="60"/>
  <c r="I1737" i="60"/>
  <c r="I1738" i="60"/>
  <c r="I1739" i="60"/>
  <c r="I1740" i="60"/>
  <c r="I1741" i="60"/>
  <c r="I1742" i="60"/>
  <c r="I1743" i="60"/>
  <c r="I1744" i="60"/>
  <c r="I1745" i="60"/>
  <c r="I1746" i="60"/>
  <c r="I1747" i="60"/>
  <c r="I1748" i="60"/>
  <c r="I1749" i="60"/>
  <c r="I1750" i="60"/>
  <c r="I1751" i="60"/>
  <c r="I1752" i="60"/>
  <c r="I1753" i="60"/>
  <c r="I1754" i="60"/>
  <c r="I1755" i="60"/>
  <c r="I1756" i="60"/>
  <c r="I1757" i="60"/>
  <c r="I1758" i="60"/>
  <c r="I1759" i="60"/>
  <c r="I1760" i="60"/>
  <c r="I1761" i="60"/>
  <c r="I1762" i="60"/>
  <c r="I1763" i="60"/>
  <c r="I1764" i="60"/>
  <c r="I1765" i="60"/>
  <c r="I1766" i="60"/>
  <c r="I1767" i="60"/>
  <c r="I1768" i="60"/>
  <c r="I1769" i="60"/>
  <c r="I1770" i="60"/>
  <c r="I1771" i="60"/>
  <c r="I1772" i="60"/>
  <c r="I1773" i="60"/>
  <c r="I1774" i="60"/>
  <c r="I1775" i="60"/>
  <c r="I1776" i="60"/>
  <c r="I1777" i="60"/>
  <c r="I1778" i="60"/>
  <c r="I1779" i="60"/>
  <c r="I1780" i="60"/>
  <c r="I1781" i="60"/>
  <c r="I1782" i="60"/>
  <c r="I1783" i="60"/>
  <c r="I1784" i="60"/>
  <c r="I1785" i="60"/>
  <c r="I1786" i="60"/>
  <c r="I1787" i="60"/>
  <c r="I1788" i="60"/>
  <c r="I1789" i="60"/>
  <c r="I1790" i="60"/>
  <c r="I1791" i="60"/>
  <c r="I1792" i="60"/>
  <c r="I1793" i="60"/>
  <c r="I1794" i="60"/>
  <c r="I1795" i="60"/>
  <c r="I1796" i="60"/>
  <c r="I1797" i="60"/>
  <c r="I1798" i="60"/>
  <c r="I1799" i="60"/>
  <c r="I1800" i="60"/>
  <c r="I1801" i="60"/>
  <c r="I1802" i="60"/>
  <c r="I1803" i="60"/>
  <c r="I1804" i="60"/>
  <c r="I1805" i="60"/>
  <c r="I1806" i="60"/>
  <c r="I1807" i="60"/>
  <c r="I1808" i="60"/>
  <c r="I1809" i="60"/>
  <c r="I1810" i="60"/>
  <c r="I1811" i="60"/>
  <c r="I1812" i="60"/>
  <c r="I1813" i="60"/>
  <c r="I1814" i="60"/>
  <c r="I1815" i="60"/>
  <c r="I1816" i="60"/>
  <c r="I1817" i="60"/>
  <c r="I1818" i="60"/>
  <c r="I1819" i="60"/>
  <c r="I1820" i="60"/>
  <c r="I1821" i="60"/>
  <c r="I1822" i="60"/>
  <c r="I1823" i="60"/>
  <c r="I1824" i="60"/>
  <c r="I1825" i="60"/>
  <c r="I1826" i="60"/>
  <c r="I1827" i="60"/>
  <c r="I1828" i="60"/>
  <c r="I1829" i="60"/>
  <c r="I1830" i="60"/>
  <c r="I1831" i="60"/>
  <c r="I1832" i="60"/>
  <c r="I1833" i="60"/>
  <c r="I1834" i="60"/>
  <c r="I1835" i="60"/>
  <c r="I1836" i="60"/>
  <c r="I1837" i="60"/>
  <c r="I1838" i="60"/>
  <c r="I1839" i="60"/>
  <c r="I1840" i="60"/>
  <c r="I1841" i="60"/>
  <c r="I1842" i="60"/>
  <c r="I1843" i="60"/>
  <c r="I1844" i="60"/>
  <c r="I1845" i="60"/>
  <c r="I1846" i="60"/>
  <c r="I1847" i="60"/>
  <c r="I1848" i="60"/>
  <c r="I1849" i="60"/>
  <c r="I1850" i="60"/>
  <c r="I1851" i="60"/>
  <c r="I1852" i="60"/>
  <c r="I1853" i="60"/>
  <c r="I1854" i="60"/>
  <c r="I1855" i="60"/>
  <c r="I1856" i="60"/>
  <c r="I1857" i="60"/>
  <c r="I1858" i="60"/>
  <c r="I1859" i="60"/>
  <c r="I1860" i="60"/>
  <c r="I1861" i="60"/>
  <c r="I1862" i="60"/>
  <c r="I1863" i="60"/>
  <c r="I1864" i="60"/>
  <c r="I1865" i="60"/>
  <c r="I1866" i="60"/>
  <c r="I1867" i="60"/>
  <c r="I1868" i="60"/>
  <c r="I1869" i="60"/>
  <c r="I1870" i="60"/>
  <c r="I1871" i="60"/>
  <c r="I1872" i="60"/>
  <c r="I1873" i="60"/>
  <c r="I1874" i="60"/>
  <c r="I1875" i="60"/>
  <c r="I1876" i="60"/>
  <c r="I1877" i="60"/>
  <c r="I1878" i="60"/>
  <c r="I1879" i="60"/>
  <c r="I1880" i="60"/>
  <c r="I1881" i="60"/>
  <c r="I1882" i="60"/>
  <c r="I1883" i="60"/>
  <c r="I1884" i="60"/>
  <c r="I1885" i="60"/>
  <c r="I1886" i="60"/>
  <c r="I1887" i="60"/>
  <c r="I1888" i="60"/>
  <c r="I1889" i="60"/>
  <c r="I1890" i="60"/>
  <c r="I1891" i="60"/>
  <c r="I1892" i="60"/>
  <c r="I1893" i="60"/>
  <c r="I1894" i="60"/>
  <c r="I1895" i="60"/>
  <c r="I1896" i="60"/>
  <c r="I1897" i="60"/>
  <c r="I1898" i="60"/>
  <c r="I1899" i="60"/>
  <c r="I1900" i="60"/>
  <c r="I1901" i="60"/>
  <c r="I1902" i="60"/>
  <c r="I1903" i="60"/>
  <c r="I1904" i="60"/>
  <c r="I1905" i="60"/>
  <c r="I1906" i="60"/>
  <c r="I1907" i="60"/>
  <c r="I1908" i="60"/>
  <c r="I1909" i="60"/>
  <c r="I1910" i="60"/>
  <c r="I1911" i="60"/>
  <c r="I1912" i="60"/>
  <c r="I1913" i="60"/>
  <c r="I1914" i="60"/>
  <c r="I1915" i="60"/>
  <c r="I1916" i="60"/>
  <c r="I1917" i="60"/>
  <c r="I1918" i="60"/>
  <c r="I1919" i="60"/>
  <c r="I1920" i="60"/>
  <c r="I1921" i="60"/>
  <c r="I1922" i="60"/>
  <c r="I1923" i="60"/>
  <c r="I1924" i="60"/>
  <c r="I1925" i="60"/>
  <c r="I1926" i="60"/>
  <c r="I1927" i="60"/>
  <c r="I1928" i="60"/>
  <c r="I1929" i="60"/>
  <c r="I1930" i="60"/>
  <c r="I1931" i="60"/>
  <c r="I1932" i="60"/>
  <c r="I1933" i="60"/>
  <c r="I1934" i="60"/>
  <c r="I1935" i="60"/>
  <c r="I1936" i="60"/>
  <c r="I1937" i="60"/>
  <c r="I1938" i="60"/>
  <c r="I1939" i="60"/>
  <c r="I1940" i="60"/>
  <c r="I1941" i="60"/>
  <c r="I1942" i="60"/>
  <c r="I1943" i="60"/>
  <c r="I1944" i="60"/>
  <c r="I1945" i="60"/>
  <c r="I1946" i="60"/>
  <c r="I1947" i="60"/>
  <c r="I1948" i="60"/>
  <c r="I1949" i="60"/>
  <c r="I1950" i="60"/>
  <c r="I1951" i="60"/>
  <c r="I1952" i="60"/>
  <c r="I1953" i="60"/>
  <c r="I1954" i="60"/>
  <c r="I1955" i="60"/>
  <c r="I1956" i="60"/>
  <c r="I1957" i="60"/>
  <c r="I1958" i="60"/>
  <c r="I1959" i="60"/>
  <c r="I1960" i="60"/>
  <c r="I1961" i="60"/>
  <c r="I1962" i="60"/>
  <c r="I1963" i="60"/>
  <c r="I1964" i="60"/>
  <c r="I1965" i="60"/>
  <c r="I1966" i="60"/>
  <c r="I1967" i="60"/>
  <c r="I1968" i="60"/>
  <c r="I1969" i="60"/>
  <c r="I1970" i="60"/>
  <c r="I1971" i="60"/>
  <c r="I1972" i="60"/>
  <c r="I1973" i="60"/>
  <c r="I1974" i="60"/>
  <c r="I1975" i="60"/>
  <c r="I1976" i="60"/>
  <c r="I1977" i="60"/>
  <c r="I1978" i="60"/>
  <c r="I1979" i="60"/>
  <c r="I1980" i="60"/>
  <c r="I1981" i="60"/>
  <c r="I1982" i="60"/>
  <c r="I1983" i="60"/>
  <c r="I1984" i="60"/>
  <c r="I1985" i="60"/>
  <c r="I1986" i="60"/>
  <c r="I1987" i="60"/>
  <c r="I1988" i="60"/>
  <c r="I1989" i="60"/>
  <c r="I1990" i="60"/>
  <c r="I1991" i="60"/>
  <c r="I1992" i="60"/>
  <c r="I1993" i="60"/>
  <c r="I1994" i="60"/>
  <c r="I1995" i="60"/>
  <c r="I1996" i="60"/>
  <c r="I1997" i="60"/>
  <c r="I1998" i="60"/>
  <c r="I1999" i="60"/>
  <c r="I2000" i="60"/>
  <c r="I2001" i="60"/>
  <c r="I2002" i="60"/>
  <c r="I2003" i="60"/>
  <c r="I2004" i="60"/>
  <c r="I2005" i="60"/>
  <c r="I2006" i="60"/>
  <c r="I2007" i="60"/>
  <c r="I2008" i="60"/>
  <c r="I2009" i="60"/>
  <c r="I2010" i="60"/>
  <c r="I2011" i="60"/>
  <c r="I2012" i="60"/>
  <c r="I2013" i="60"/>
  <c r="I2014" i="60"/>
  <c r="I2015" i="60"/>
  <c r="I2016" i="60"/>
  <c r="I2017" i="60"/>
  <c r="I2018" i="60"/>
  <c r="I2019" i="60"/>
  <c r="I2020" i="60"/>
  <c r="I2021" i="60"/>
  <c r="I2022" i="60"/>
  <c r="I2023" i="60"/>
  <c r="I2024" i="60"/>
  <c r="I2025" i="60"/>
  <c r="I2026" i="60"/>
  <c r="I2027" i="60"/>
  <c r="I2028" i="60"/>
  <c r="I2029" i="60"/>
  <c r="I2030" i="60"/>
  <c r="I2031" i="60"/>
  <c r="I2032" i="60"/>
  <c r="I2033" i="60"/>
  <c r="I2034" i="60"/>
  <c r="I2035" i="60"/>
  <c r="I2036" i="60"/>
  <c r="I2037" i="60"/>
  <c r="I2038" i="60"/>
  <c r="I2039" i="60"/>
  <c r="I2040" i="60"/>
  <c r="I2041" i="60"/>
  <c r="I2042" i="60"/>
  <c r="I2043" i="60"/>
  <c r="I2044" i="60"/>
  <c r="I2045" i="60"/>
  <c r="I2046" i="60"/>
  <c r="I2047" i="60"/>
  <c r="I2048" i="60"/>
  <c r="I2049" i="60"/>
  <c r="I2050" i="60"/>
  <c r="I2051" i="60"/>
  <c r="I2052" i="60"/>
  <c r="I2053" i="60"/>
  <c r="I2054" i="60"/>
  <c r="I2055" i="60"/>
  <c r="I2056" i="60"/>
  <c r="I2057" i="60"/>
  <c r="I2058" i="60"/>
  <c r="I2059" i="60"/>
  <c r="I2060" i="60"/>
  <c r="I2061" i="60"/>
  <c r="I2062" i="60"/>
  <c r="I2063" i="60"/>
  <c r="I2064" i="60"/>
  <c r="I2065" i="60"/>
  <c r="I2066" i="60"/>
  <c r="I2067" i="60"/>
  <c r="I2068" i="60"/>
  <c r="I2069" i="60"/>
  <c r="I2070" i="60"/>
  <c r="I2071" i="60"/>
  <c r="I2072" i="60"/>
  <c r="I2073" i="60"/>
  <c r="I2074" i="60"/>
  <c r="I2075" i="60"/>
  <c r="I2076" i="60"/>
  <c r="I2077" i="60"/>
  <c r="I2078" i="60"/>
  <c r="I2079" i="60"/>
  <c r="I2080" i="60"/>
  <c r="I2081" i="60"/>
  <c r="I2082" i="60"/>
  <c r="I2083" i="60"/>
  <c r="I2084" i="60"/>
  <c r="I2085" i="60"/>
  <c r="I2086" i="60"/>
  <c r="I2087" i="60"/>
  <c r="I2088" i="60"/>
  <c r="I2089" i="60"/>
  <c r="I2090" i="60"/>
  <c r="I2091" i="60"/>
  <c r="I2092" i="60"/>
  <c r="I2093" i="60"/>
  <c r="I2094" i="60"/>
  <c r="I2095" i="60"/>
  <c r="I2096" i="60"/>
  <c r="I2097" i="60"/>
  <c r="I2098" i="60"/>
  <c r="I2099" i="60"/>
  <c r="I2100" i="60"/>
  <c r="I2101" i="60"/>
  <c r="I2102" i="60"/>
  <c r="I2103" i="60"/>
  <c r="I2104" i="60"/>
  <c r="I2105" i="60"/>
  <c r="I2106" i="60"/>
  <c r="I2107" i="60"/>
  <c r="I2108" i="60"/>
  <c r="I2109" i="60"/>
  <c r="I2110" i="60"/>
  <c r="I2111" i="60"/>
  <c r="I2112" i="60"/>
  <c r="I2113" i="60"/>
  <c r="I2114" i="60"/>
  <c r="I2115" i="60"/>
  <c r="I2116" i="60"/>
  <c r="I2117" i="60"/>
  <c r="I2118" i="60"/>
  <c r="I2119" i="60"/>
  <c r="I2120" i="60"/>
  <c r="I2121" i="60"/>
  <c r="I2122" i="60"/>
  <c r="I2123" i="60"/>
  <c r="I2124" i="60"/>
  <c r="I2125" i="60"/>
  <c r="I2126" i="60"/>
  <c r="I2127" i="60"/>
  <c r="I2128" i="60"/>
  <c r="I2129" i="60"/>
  <c r="I2130" i="60"/>
  <c r="I2131" i="60"/>
  <c r="I2132" i="60"/>
  <c r="I2133" i="60"/>
  <c r="I2134" i="60"/>
  <c r="I2135" i="60"/>
  <c r="I2136" i="60"/>
  <c r="I2137" i="60"/>
  <c r="I2138" i="60"/>
  <c r="I2139" i="60"/>
  <c r="I2140" i="60"/>
  <c r="I2141" i="60"/>
  <c r="I2142" i="60"/>
  <c r="I2143" i="60"/>
  <c r="I2144" i="60"/>
  <c r="I2145" i="60"/>
  <c r="I2146" i="60"/>
  <c r="I2147" i="60"/>
  <c r="I2148" i="60"/>
  <c r="I2149" i="60"/>
  <c r="I2150" i="60"/>
  <c r="I2151" i="60"/>
  <c r="I2152" i="60"/>
  <c r="I2153" i="60"/>
  <c r="I2154" i="60"/>
  <c r="I2155" i="60"/>
  <c r="I2156" i="60"/>
  <c r="I2157" i="60"/>
  <c r="I2158" i="60"/>
  <c r="I2159" i="60"/>
  <c r="I2160" i="60"/>
  <c r="I2161" i="60"/>
  <c r="I2162" i="60"/>
  <c r="I2163" i="60"/>
  <c r="I2164" i="60"/>
  <c r="I2165" i="60"/>
  <c r="I2166" i="60"/>
  <c r="I2167" i="60"/>
  <c r="I2168" i="60"/>
  <c r="I2169" i="60"/>
  <c r="I2170" i="60"/>
  <c r="I2171" i="60"/>
  <c r="I2172" i="60"/>
  <c r="I2173" i="60"/>
  <c r="I2174" i="60"/>
  <c r="I2175" i="60"/>
  <c r="I2176" i="60"/>
  <c r="I2177" i="60"/>
  <c r="I2178" i="60"/>
  <c r="I2179" i="60"/>
  <c r="I2180" i="60"/>
  <c r="I2181" i="60"/>
  <c r="I2182" i="60"/>
  <c r="I2183" i="60"/>
  <c r="I2184" i="60"/>
  <c r="I2185" i="60"/>
  <c r="I2186" i="60"/>
  <c r="I2187" i="60"/>
  <c r="I2188" i="60"/>
  <c r="I2189" i="60"/>
  <c r="I2190" i="60"/>
  <c r="I2191" i="60"/>
  <c r="I2192" i="60"/>
  <c r="I2193" i="60"/>
  <c r="I2194" i="60"/>
  <c r="I2195" i="60"/>
  <c r="I2196" i="60"/>
  <c r="I2197" i="60"/>
  <c r="I2198" i="60"/>
  <c r="I2199" i="60"/>
  <c r="I2200" i="60"/>
  <c r="I2201" i="60"/>
  <c r="I2202" i="60"/>
  <c r="I2203" i="60"/>
  <c r="I2204" i="60"/>
  <c r="I2205" i="60"/>
  <c r="I2206" i="60"/>
  <c r="I2207" i="60"/>
  <c r="I2208" i="60"/>
  <c r="I2209" i="60"/>
  <c r="I2210" i="60"/>
  <c r="I2211" i="60"/>
  <c r="I2212" i="60"/>
  <c r="I2213" i="60"/>
  <c r="I2214" i="60"/>
  <c r="I2215" i="60"/>
  <c r="I2216" i="60"/>
  <c r="I2217" i="60"/>
  <c r="I2218" i="60"/>
  <c r="I2219" i="60"/>
  <c r="I2220" i="60"/>
  <c r="I2221" i="60"/>
  <c r="I2222" i="60"/>
  <c r="I2223" i="60"/>
  <c r="I2224" i="60"/>
  <c r="I2225" i="60"/>
  <c r="I2226" i="60"/>
  <c r="I2227" i="60"/>
  <c r="I2228" i="60"/>
  <c r="I2229" i="60"/>
  <c r="I2230" i="60"/>
  <c r="I2231" i="60"/>
  <c r="I2232" i="60"/>
  <c r="I2233" i="60"/>
  <c r="I2234" i="60"/>
  <c r="I2235" i="60"/>
  <c r="I2236" i="60"/>
  <c r="I2237" i="60"/>
  <c r="I2238" i="60"/>
  <c r="I2239" i="60"/>
  <c r="I2240" i="60"/>
  <c r="I2241" i="60"/>
  <c r="I2242" i="60"/>
  <c r="I2243" i="60"/>
  <c r="I2244" i="60"/>
  <c r="I2245" i="60"/>
  <c r="I2246" i="60"/>
  <c r="I2247" i="60"/>
  <c r="I2248" i="60"/>
  <c r="I2249" i="60"/>
  <c r="I2250" i="60"/>
  <c r="I2251" i="60"/>
  <c r="I2252" i="60"/>
  <c r="I2253" i="60"/>
  <c r="I2254" i="60"/>
  <c r="I2255" i="60"/>
  <c r="I2256" i="60"/>
  <c r="I2257" i="60"/>
  <c r="I2258" i="60"/>
  <c r="I2259" i="60"/>
  <c r="I2260" i="60"/>
  <c r="I2261" i="60"/>
  <c r="I2262" i="60"/>
  <c r="I2263" i="60"/>
  <c r="I2264" i="60"/>
  <c r="I2265" i="60"/>
  <c r="I2266" i="60"/>
  <c r="I2267" i="60"/>
  <c r="I2268" i="60"/>
  <c r="I2269" i="60"/>
  <c r="I2270" i="60"/>
  <c r="I2271" i="60"/>
  <c r="I2272" i="60"/>
  <c r="I2273" i="60"/>
  <c r="I2274" i="60"/>
  <c r="I2275" i="60"/>
  <c r="I2276" i="60"/>
  <c r="I2277" i="60"/>
  <c r="I2278" i="60"/>
  <c r="I2279" i="60"/>
  <c r="I2280" i="60"/>
  <c r="I2281" i="60"/>
  <c r="I2282" i="60"/>
  <c r="I2283" i="60"/>
  <c r="I2284" i="60"/>
  <c r="I2285" i="60"/>
  <c r="I2286" i="60"/>
  <c r="I2287" i="60"/>
  <c r="I2288" i="60"/>
  <c r="I2289" i="60"/>
  <c r="I2290" i="60"/>
  <c r="I2291" i="60"/>
  <c r="I2292" i="60"/>
  <c r="I2293" i="60"/>
  <c r="I2294" i="60"/>
  <c r="I2295" i="60"/>
  <c r="I2296" i="60"/>
  <c r="I2297" i="60"/>
  <c r="I2298" i="60"/>
  <c r="I2299" i="60"/>
  <c r="I2300" i="60"/>
  <c r="I2301" i="60"/>
  <c r="I2302" i="60"/>
  <c r="I2303" i="60"/>
  <c r="I2304" i="60"/>
  <c r="I2305" i="60"/>
  <c r="I2306" i="60"/>
  <c r="I2307" i="60"/>
  <c r="I2308" i="60"/>
  <c r="I2309" i="60"/>
  <c r="I2310" i="60"/>
  <c r="I2311" i="60"/>
  <c r="I2312" i="60"/>
  <c r="I2313" i="60"/>
  <c r="I2314" i="60"/>
  <c r="I2315" i="60"/>
  <c r="I2316" i="60"/>
  <c r="I2317" i="60"/>
  <c r="I2318" i="60"/>
  <c r="I2319" i="60"/>
  <c r="I2320" i="60"/>
  <c r="I2321" i="60"/>
  <c r="I2322" i="60"/>
  <c r="I2323" i="60"/>
  <c r="I2324" i="60"/>
  <c r="I2325" i="60"/>
  <c r="I2326" i="60"/>
  <c r="I2327" i="60"/>
  <c r="I2328" i="60"/>
  <c r="I2329" i="60"/>
  <c r="I2330" i="60"/>
  <c r="I2331" i="60"/>
  <c r="I2332" i="60"/>
  <c r="I2333" i="60"/>
  <c r="I2334" i="60"/>
  <c r="I2335" i="60"/>
  <c r="I2336" i="60"/>
  <c r="I2337" i="60"/>
  <c r="I2338" i="60"/>
  <c r="I2339" i="60"/>
  <c r="I2340" i="60"/>
  <c r="I2341" i="60"/>
  <c r="I2342" i="60"/>
  <c r="I2343" i="60"/>
  <c r="I2344" i="60"/>
  <c r="I2345" i="60"/>
  <c r="I2346" i="60"/>
  <c r="I2347" i="60"/>
  <c r="I2348" i="60"/>
  <c r="I2349" i="60"/>
  <c r="I2350" i="60"/>
  <c r="I2351" i="60"/>
  <c r="I2352" i="60"/>
  <c r="I2353" i="60"/>
  <c r="I2354" i="60"/>
  <c r="I2355" i="60"/>
  <c r="I2356" i="60"/>
  <c r="I2357" i="60"/>
  <c r="I2358" i="60"/>
  <c r="I2359" i="60"/>
  <c r="I2360" i="60"/>
  <c r="I2361" i="60"/>
  <c r="I2362" i="60"/>
  <c r="I2363" i="60"/>
  <c r="I2364" i="60"/>
  <c r="I2365" i="60"/>
  <c r="I2366" i="60"/>
  <c r="I2367" i="60"/>
  <c r="I2368" i="60"/>
  <c r="I2369" i="60"/>
  <c r="I2370" i="60"/>
  <c r="I2371" i="60"/>
  <c r="I2372" i="60"/>
  <c r="I2373" i="60"/>
  <c r="I2374" i="60"/>
  <c r="I2375" i="60"/>
  <c r="I2376" i="60"/>
  <c r="I2377" i="60"/>
  <c r="I2378" i="60"/>
  <c r="I2379" i="60"/>
  <c r="I2380" i="60"/>
  <c r="I2381" i="60"/>
  <c r="I2382" i="60"/>
  <c r="I2383" i="60"/>
  <c r="I2384" i="60"/>
  <c r="I2385" i="60"/>
  <c r="I2386" i="60"/>
  <c r="I2387" i="60"/>
  <c r="I2388" i="60"/>
  <c r="I2389" i="60"/>
  <c r="I2390" i="60"/>
  <c r="I2391" i="60"/>
  <c r="I2392" i="60"/>
  <c r="I2393" i="60"/>
  <c r="I2394" i="60"/>
  <c r="I2395" i="60"/>
  <c r="I2396" i="60"/>
  <c r="I2397" i="60"/>
  <c r="I2398" i="60"/>
  <c r="I2399" i="60"/>
  <c r="I2400" i="60"/>
  <c r="I2401" i="60"/>
  <c r="I2402" i="60"/>
  <c r="I2403" i="60"/>
  <c r="I2404" i="60"/>
  <c r="I2405" i="60"/>
  <c r="I2406" i="60"/>
  <c r="I2407" i="60"/>
  <c r="I2408" i="60"/>
  <c r="I2409" i="60"/>
  <c r="I2410" i="60"/>
  <c r="I2411" i="60"/>
  <c r="I2412" i="60"/>
  <c r="I2413" i="60"/>
  <c r="I2414" i="60"/>
  <c r="I2415" i="60"/>
  <c r="I2416" i="60"/>
  <c r="I2417" i="60"/>
  <c r="I2418" i="60"/>
  <c r="I2419" i="60"/>
  <c r="I2420" i="60"/>
  <c r="I2421" i="60"/>
  <c r="I2422" i="60"/>
  <c r="I2423" i="60"/>
  <c r="I2424" i="60"/>
  <c r="I2425" i="60"/>
  <c r="I2426" i="60"/>
  <c r="I2427" i="60"/>
  <c r="I2428" i="60"/>
  <c r="I2429" i="60"/>
  <c r="I2430" i="60"/>
  <c r="I2431" i="60"/>
  <c r="I2432" i="60"/>
  <c r="I2433" i="60"/>
  <c r="I2434" i="60"/>
  <c r="I2435" i="60"/>
  <c r="I2436" i="60"/>
  <c r="I2437" i="60"/>
  <c r="I2438" i="60"/>
  <c r="I2439" i="60"/>
  <c r="I2440" i="60"/>
  <c r="I2441" i="60"/>
  <c r="I2442" i="60"/>
  <c r="I2443" i="60"/>
  <c r="I2444" i="60"/>
  <c r="I2445" i="60"/>
  <c r="I2446" i="60"/>
  <c r="I2447" i="60"/>
  <c r="I2448" i="60"/>
  <c r="I2449" i="60"/>
  <c r="I2450" i="60"/>
  <c r="I2451" i="60"/>
  <c r="I2452" i="60"/>
  <c r="I2453" i="60"/>
  <c r="I2454" i="60"/>
  <c r="I2455" i="60"/>
  <c r="I2456" i="60"/>
  <c r="I2457" i="60"/>
  <c r="I2458" i="60"/>
  <c r="I2459" i="60"/>
  <c r="I2460" i="60"/>
  <c r="I2461" i="60"/>
  <c r="I2462" i="60"/>
  <c r="I2463" i="60"/>
  <c r="I2464" i="60"/>
  <c r="I2465" i="60"/>
  <c r="I2466" i="60"/>
  <c r="I2467" i="60"/>
  <c r="I2468" i="60"/>
  <c r="I2469" i="60"/>
  <c r="I2470" i="60"/>
  <c r="I2471" i="60"/>
  <c r="I2472" i="60"/>
  <c r="I2473" i="60"/>
  <c r="I2474" i="60"/>
  <c r="I2475" i="60"/>
  <c r="I2476" i="60"/>
  <c r="I2477" i="60"/>
  <c r="I2478" i="60"/>
  <c r="I2479" i="60"/>
  <c r="I2480" i="60"/>
  <c r="I2481" i="60"/>
  <c r="I2482" i="60"/>
  <c r="I2483" i="60"/>
  <c r="I2484" i="60"/>
  <c r="I2485" i="60"/>
  <c r="I2486" i="60"/>
  <c r="I2487" i="60"/>
  <c r="I2488" i="60"/>
  <c r="I2489" i="60"/>
  <c r="I2490" i="60"/>
  <c r="I2491" i="60"/>
  <c r="I2492" i="60"/>
  <c r="I2493" i="60"/>
  <c r="I2494" i="60"/>
  <c r="I2495" i="60"/>
  <c r="I2496" i="60"/>
  <c r="I2497" i="60"/>
  <c r="I2498" i="60"/>
  <c r="I2499" i="60"/>
  <c r="I2500" i="60"/>
  <c r="I2501" i="60"/>
  <c r="I2502" i="60"/>
  <c r="I2503" i="60"/>
  <c r="I2504" i="60"/>
  <c r="I2505" i="60"/>
  <c r="I2506" i="60"/>
  <c r="I2507" i="60"/>
  <c r="I2508" i="60"/>
  <c r="I2509" i="60"/>
  <c r="I2510" i="60"/>
  <c r="I2511" i="60"/>
  <c r="I2512" i="60"/>
  <c r="I2513" i="60"/>
  <c r="I2514" i="60"/>
  <c r="I2515" i="60"/>
  <c r="I2516" i="60"/>
  <c r="I2517" i="60"/>
  <c r="I2518" i="60"/>
  <c r="I2519" i="60"/>
  <c r="I2520" i="60"/>
  <c r="I2521" i="60"/>
  <c r="I2522" i="60"/>
  <c r="I2523" i="60"/>
  <c r="I2524" i="60"/>
  <c r="I2525" i="60"/>
  <c r="I2526" i="60"/>
  <c r="I2527" i="60"/>
  <c r="I2528" i="60"/>
  <c r="I2529" i="60"/>
  <c r="I2530" i="60"/>
  <c r="I2531" i="60"/>
  <c r="I2532" i="60"/>
  <c r="I2533" i="60"/>
  <c r="I2534" i="60"/>
  <c r="I2535" i="60"/>
  <c r="I2536" i="60"/>
  <c r="I2537" i="60"/>
  <c r="I2538" i="60"/>
  <c r="I2539" i="60"/>
  <c r="I2540" i="60"/>
  <c r="I2541" i="60"/>
  <c r="I2542" i="60"/>
  <c r="I2543" i="60"/>
  <c r="I2544" i="60"/>
  <c r="I2545" i="60"/>
  <c r="I2546" i="60"/>
  <c r="I2547" i="60"/>
  <c r="I2548" i="60"/>
  <c r="I2549" i="60"/>
  <c r="I2550" i="60"/>
  <c r="I2551" i="60"/>
  <c r="I2552" i="60"/>
  <c r="I2553" i="60"/>
  <c r="I2554" i="60"/>
  <c r="I2555" i="60"/>
  <c r="I2556" i="60"/>
  <c r="I2557" i="60"/>
  <c r="I2558" i="60"/>
  <c r="I2559" i="60"/>
  <c r="I2560" i="60"/>
  <c r="I2561" i="60"/>
  <c r="I2562" i="60"/>
  <c r="I2563" i="60"/>
  <c r="I2564" i="60"/>
  <c r="I2565" i="60"/>
  <c r="I2566" i="60"/>
  <c r="I2567" i="60"/>
  <c r="I2568" i="60"/>
  <c r="I2569" i="60"/>
  <c r="I2570" i="60"/>
  <c r="I2571" i="60"/>
  <c r="I2572" i="60"/>
  <c r="I2573" i="60"/>
  <c r="I2574" i="60"/>
  <c r="I2575" i="60"/>
  <c r="I2576" i="60"/>
  <c r="I2577" i="60"/>
  <c r="I2578" i="60"/>
  <c r="I2579" i="60"/>
  <c r="I2580" i="60"/>
  <c r="I2581" i="60"/>
  <c r="I2582" i="60"/>
  <c r="I2583" i="60"/>
  <c r="I2584" i="60"/>
  <c r="I2585" i="60"/>
  <c r="I2586" i="60"/>
  <c r="I2587" i="60"/>
  <c r="I2588" i="60"/>
  <c r="I2589" i="60"/>
  <c r="I2590" i="60"/>
  <c r="I2591" i="60"/>
  <c r="I2592" i="60"/>
  <c r="I2593" i="60"/>
  <c r="I2594" i="60"/>
  <c r="I2595" i="60"/>
  <c r="I2596" i="60"/>
  <c r="I2597" i="60"/>
  <c r="I2598" i="60"/>
  <c r="I2599" i="60"/>
  <c r="I2600" i="60"/>
  <c r="I2601" i="60"/>
  <c r="I2602" i="60"/>
  <c r="I2603" i="60"/>
  <c r="I2604" i="60"/>
  <c r="I2605" i="60"/>
  <c r="I2606" i="60"/>
  <c r="I2607" i="60"/>
  <c r="I2608" i="60"/>
  <c r="I2609" i="60"/>
  <c r="I2610" i="60"/>
  <c r="I2611" i="60"/>
  <c r="I2612" i="60"/>
  <c r="I2613" i="60"/>
  <c r="I2614" i="60"/>
  <c r="I2615" i="60"/>
  <c r="I2616" i="60"/>
  <c r="I2617" i="60"/>
  <c r="I2618" i="60"/>
  <c r="I2619" i="60"/>
  <c r="I2620" i="60"/>
  <c r="I2621" i="60"/>
  <c r="I2622" i="60"/>
  <c r="I2623" i="60"/>
  <c r="I2624" i="60"/>
  <c r="I2625" i="60"/>
  <c r="I2626" i="60"/>
  <c r="I2627" i="60"/>
  <c r="I2628" i="60"/>
  <c r="I2629" i="60"/>
  <c r="I2630" i="60"/>
  <c r="I2631" i="60"/>
  <c r="I2632" i="60"/>
  <c r="I2633" i="60"/>
  <c r="I2634" i="60"/>
  <c r="I2635" i="60"/>
  <c r="I2636" i="60"/>
  <c r="I2637" i="60"/>
  <c r="I2638" i="60"/>
  <c r="I2639" i="60"/>
  <c r="I2640" i="60"/>
  <c r="I2641" i="60"/>
  <c r="I2642" i="60"/>
  <c r="I2643" i="60"/>
  <c r="I2644" i="60"/>
  <c r="I2645" i="60"/>
  <c r="I2646" i="60"/>
  <c r="I2647" i="60"/>
  <c r="I2648" i="60"/>
  <c r="I2649" i="60"/>
  <c r="I2650" i="60"/>
  <c r="I2651" i="60"/>
  <c r="I2652" i="60"/>
  <c r="I2653" i="60"/>
  <c r="I2654" i="60"/>
  <c r="I2655" i="60"/>
  <c r="I2656" i="60"/>
  <c r="I2657" i="60"/>
  <c r="I2658" i="60"/>
  <c r="I2659" i="60"/>
  <c r="I2660" i="60"/>
  <c r="I2661" i="60"/>
  <c r="I2662" i="60"/>
  <c r="I2663" i="60"/>
  <c r="I2664" i="60"/>
  <c r="I2665" i="60"/>
  <c r="I2666" i="60"/>
  <c r="I2667" i="60"/>
  <c r="I2668" i="60"/>
  <c r="I2669" i="60"/>
  <c r="I2670" i="60"/>
  <c r="I2671" i="60"/>
  <c r="I2672" i="60"/>
  <c r="I2673" i="60"/>
  <c r="I2674" i="60"/>
  <c r="I2675" i="60"/>
  <c r="I2676" i="60"/>
  <c r="I2677" i="60"/>
  <c r="I2678" i="60"/>
  <c r="I2679" i="60"/>
  <c r="I2680" i="60"/>
  <c r="I2681" i="60"/>
  <c r="I2682" i="60"/>
  <c r="I2683" i="60"/>
  <c r="I2684" i="60"/>
  <c r="I2685" i="60"/>
  <c r="I2686" i="60"/>
  <c r="I2687" i="60"/>
  <c r="I2688" i="60"/>
  <c r="I2689" i="60"/>
  <c r="I2690" i="60"/>
  <c r="I2691" i="60"/>
  <c r="I2692" i="60"/>
  <c r="I2693" i="60"/>
  <c r="I2694" i="60"/>
  <c r="I2695" i="60"/>
  <c r="I2696" i="60"/>
  <c r="I2697" i="60"/>
  <c r="I2698" i="60"/>
  <c r="I2699" i="60"/>
  <c r="I2700" i="60"/>
  <c r="I2701" i="60"/>
  <c r="I2702" i="60"/>
  <c r="I2703" i="60"/>
  <c r="I2704" i="60"/>
  <c r="I2705" i="60"/>
  <c r="I2706" i="60"/>
  <c r="I2707" i="60"/>
  <c r="I2708" i="60"/>
  <c r="I2709" i="60"/>
  <c r="I2710" i="60"/>
  <c r="I2711" i="60"/>
  <c r="I2712" i="60"/>
  <c r="I2713" i="60"/>
  <c r="I2714" i="60"/>
  <c r="I2715" i="60"/>
  <c r="I2716" i="60"/>
  <c r="I2717" i="60"/>
  <c r="I2718" i="60"/>
  <c r="I2719" i="60"/>
  <c r="I2720" i="60"/>
  <c r="I2721" i="60"/>
  <c r="I2722" i="60"/>
  <c r="I2723" i="60"/>
  <c r="I2724" i="60"/>
  <c r="I2725" i="60"/>
  <c r="I2726" i="60"/>
  <c r="I2727" i="60"/>
  <c r="I2728" i="60"/>
  <c r="I2729" i="60"/>
  <c r="I2730" i="60"/>
  <c r="I2731" i="60"/>
  <c r="I2732" i="60"/>
  <c r="I2733" i="60"/>
  <c r="I2734" i="60"/>
  <c r="I2735" i="60"/>
  <c r="I2736" i="60"/>
  <c r="I2737" i="60"/>
  <c r="I2738" i="60"/>
  <c r="I2739" i="60"/>
  <c r="I2740" i="60"/>
  <c r="I2741" i="60"/>
  <c r="I2742" i="60"/>
  <c r="I2743" i="60"/>
  <c r="I2744" i="60"/>
  <c r="I2745" i="60"/>
  <c r="I2746" i="60"/>
  <c r="I2747" i="60"/>
  <c r="I2748" i="60"/>
  <c r="I2749" i="60"/>
  <c r="I2750" i="60"/>
  <c r="I2751" i="60"/>
  <c r="I2752" i="60"/>
  <c r="I2753" i="60"/>
  <c r="I2754" i="60"/>
  <c r="I2755" i="60"/>
  <c r="I2756" i="60"/>
  <c r="I2757" i="60"/>
  <c r="I2758" i="60"/>
  <c r="I2759" i="60"/>
  <c r="I2760" i="60"/>
  <c r="I2761" i="60"/>
  <c r="I2762" i="60"/>
  <c r="I2763" i="60"/>
  <c r="I2764" i="60"/>
  <c r="I2765" i="60"/>
  <c r="I2766" i="60"/>
  <c r="I2767" i="60"/>
  <c r="I2768" i="60"/>
  <c r="I2769" i="60"/>
  <c r="I2770" i="60"/>
  <c r="I2771" i="60"/>
  <c r="I2772" i="60"/>
  <c r="I2773" i="60"/>
  <c r="I2774" i="60"/>
  <c r="I2775" i="60"/>
  <c r="I2776" i="60"/>
  <c r="I2777" i="60"/>
  <c r="I2778" i="60"/>
  <c r="I2779" i="60"/>
  <c r="I2780" i="60"/>
  <c r="I2781" i="60"/>
  <c r="I2782" i="60"/>
  <c r="I2783" i="60"/>
  <c r="I2784" i="60"/>
  <c r="I2785" i="60"/>
  <c r="I2786" i="60"/>
  <c r="I2787" i="60"/>
  <c r="I2788" i="60"/>
  <c r="I2789" i="60"/>
  <c r="I2790" i="60"/>
  <c r="I2791" i="60"/>
  <c r="I2792" i="60"/>
  <c r="I2793" i="60"/>
  <c r="I2794" i="60"/>
  <c r="I2795" i="60"/>
  <c r="I2796" i="60"/>
  <c r="I2797" i="60"/>
  <c r="I2798" i="60"/>
  <c r="I2799" i="60"/>
  <c r="I2800" i="60"/>
  <c r="I2801" i="60"/>
  <c r="I2802" i="60"/>
  <c r="I2803" i="60"/>
  <c r="I2804" i="60"/>
  <c r="I2805" i="60"/>
  <c r="I2806" i="60"/>
  <c r="I2807" i="60"/>
  <c r="I2808" i="60"/>
  <c r="I2809" i="60"/>
  <c r="I2810" i="60"/>
  <c r="I2811" i="60"/>
  <c r="I2812" i="60"/>
  <c r="I2813" i="60"/>
  <c r="I2814" i="60"/>
  <c r="I2815" i="60"/>
  <c r="I2816" i="60"/>
  <c r="I2817" i="60"/>
  <c r="I2818" i="60"/>
  <c r="I2819" i="60"/>
  <c r="I2820" i="60"/>
  <c r="I2821" i="60"/>
  <c r="I2822" i="60"/>
  <c r="I2823" i="60"/>
  <c r="I2824" i="60"/>
  <c r="I2825" i="60"/>
  <c r="I2826" i="60"/>
  <c r="I2827" i="60"/>
  <c r="I2828" i="60"/>
  <c r="I2829" i="60"/>
  <c r="I2830" i="60"/>
  <c r="I2831" i="60"/>
  <c r="I2832" i="60"/>
  <c r="I2833" i="60"/>
  <c r="I2834" i="60"/>
  <c r="I2835" i="60"/>
  <c r="I2836" i="60"/>
  <c r="I2837" i="60"/>
  <c r="I2838" i="60"/>
  <c r="I2839" i="60"/>
  <c r="I2840" i="60"/>
  <c r="I2841" i="60"/>
  <c r="I2842" i="60"/>
  <c r="I2843" i="60"/>
  <c r="I2844" i="60"/>
  <c r="I2845" i="60"/>
  <c r="I2846" i="60"/>
  <c r="I2847" i="60"/>
  <c r="I2848" i="60"/>
  <c r="I2849" i="60"/>
  <c r="I2850" i="60"/>
  <c r="I2851" i="60"/>
  <c r="I2852" i="60"/>
  <c r="I2853" i="60"/>
  <c r="I2854" i="60"/>
  <c r="I2855" i="60"/>
  <c r="I2856" i="60"/>
  <c r="I2857" i="60"/>
  <c r="I2858" i="60"/>
  <c r="I2859" i="60"/>
  <c r="I2860" i="60"/>
  <c r="I2861" i="60"/>
  <c r="I2862" i="60"/>
  <c r="I2863" i="60"/>
  <c r="I2864" i="60"/>
  <c r="I2865" i="60"/>
  <c r="I2866" i="60"/>
  <c r="I2867" i="60"/>
  <c r="I2868" i="60"/>
  <c r="I2869" i="60"/>
  <c r="I2870" i="60"/>
  <c r="I2871" i="60"/>
  <c r="I2872" i="60"/>
  <c r="I2873" i="60"/>
  <c r="I2874" i="60"/>
  <c r="I2875" i="60"/>
  <c r="I2876" i="60"/>
  <c r="I2877" i="60"/>
  <c r="I2878" i="60"/>
  <c r="I2879" i="60"/>
  <c r="I2880" i="60"/>
  <c r="I2881" i="60"/>
  <c r="I2882" i="60"/>
  <c r="I2883" i="60"/>
  <c r="I2884" i="60"/>
  <c r="I2885" i="60"/>
  <c r="I2886" i="60"/>
  <c r="I2887" i="60"/>
  <c r="I2888" i="60"/>
  <c r="I2889" i="60"/>
  <c r="I2890" i="60"/>
  <c r="I2891" i="60"/>
  <c r="I2892" i="60"/>
  <c r="I2893" i="60"/>
  <c r="I2894" i="60"/>
  <c r="I2895" i="60"/>
  <c r="I2896" i="60"/>
  <c r="I2897" i="60"/>
  <c r="I2898" i="60"/>
  <c r="I2899" i="60"/>
  <c r="I2900" i="60"/>
  <c r="I2901" i="60"/>
  <c r="I2902" i="60"/>
  <c r="I2903" i="60"/>
  <c r="I2904" i="60"/>
  <c r="I2905" i="60"/>
  <c r="I2906" i="60"/>
  <c r="I2907" i="60"/>
  <c r="I2908" i="60"/>
  <c r="I2909" i="60"/>
  <c r="I2910" i="60"/>
  <c r="I2911" i="60"/>
  <c r="I2912" i="60"/>
  <c r="I2913" i="60"/>
  <c r="I2914" i="60"/>
  <c r="I2915" i="60"/>
  <c r="I2916" i="60"/>
  <c r="I2917" i="60"/>
  <c r="I2918" i="60"/>
  <c r="I2919" i="60"/>
  <c r="I2920" i="60"/>
  <c r="I2921" i="60"/>
  <c r="I2922" i="60"/>
  <c r="I2923" i="60"/>
  <c r="I2924" i="60"/>
  <c r="I2925" i="60"/>
  <c r="I2926" i="60"/>
  <c r="I2927" i="60"/>
  <c r="I2928" i="60"/>
  <c r="I2929" i="60"/>
  <c r="I2930" i="60"/>
  <c r="I2931" i="60"/>
  <c r="I2932" i="60"/>
  <c r="I2933" i="60"/>
  <c r="I2934" i="60"/>
  <c r="I2935" i="60"/>
  <c r="I2936" i="60"/>
  <c r="I2937" i="60"/>
  <c r="I2938" i="60"/>
  <c r="I2939" i="60"/>
  <c r="I2940" i="60"/>
  <c r="I2941" i="60"/>
  <c r="I2942" i="60"/>
  <c r="I2943" i="60"/>
  <c r="I2944" i="60"/>
  <c r="I2945" i="60"/>
  <c r="I2946" i="60"/>
  <c r="I2947" i="60"/>
  <c r="I2948" i="60"/>
  <c r="I2949" i="60"/>
  <c r="I2950" i="60"/>
  <c r="I2951" i="60"/>
  <c r="I2952" i="60"/>
  <c r="I2953" i="60"/>
  <c r="I2954" i="60"/>
  <c r="I2955" i="60"/>
  <c r="I2956" i="60"/>
  <c r="I2957" i="60"/>
  <c r="I2958" i="60"/>
  <c r="I2959" i="60"/>
  <c r="I2960" i="60"/>
  <c r="I2961" i="60"/>
  <c r="I2962" i="60"/>
  <c r="I2963" i="60"/>
  <c r="I2964" i="60"/>
  <c r="I2965" i="60"/>
  <c r="I2966" i="60"/>
  <c r="I2967" i="60"/>
  <c r="I2968" i="60"/>
  <c r="I2969" i="60"/>
  <c r="I2970" i="60"/>
  <c r="I2971" i="60"/>
  <c r="I2972" i="60"/>
  <c r="I2973" i="60"/>
  <c r="I2974" i="60"/>
  <c r="I2975" i="60"/>
  <c r="I2976" i="60"/>
  <c r="I2977" i="60"/>
  <c r="I2978" i="60"/>
  <c r="I2979" i="60"/>
  <c r="I2980" i="60"/>
  <c r="I2981" i="60"/>
  <c r="I2982" i="60"/>
  <c r="I2983" i="60"/>
  <c r="I2984" i="60"/>
  <c r="I2985" i="60"/>
  <c r="I2986" i="60"/>
  <c r="I2987" i="60"/>
  <c r="I2988" i="60"/>
  <c r="I2989" i="60"/>
  <c r="I2990" i="60"/>
  <c r="I2991" i="60"/>
  <c r="I2992" i="60"/>
  <c r="I2993" i="60"/>
  <c r="I2994" i="60"/>
  <c r="I2995" i="60"/>
  <c r="I2996" i="60"/>
  <c r="I2997" i="60"/>
  <c r="I2998" i="60"/>
  <c r="I2999" i="60"/>
  <c r="I3000" i="60"/>
  <c r="I3001" i="60"/>
  <c r="I3002" i="60"/>
  <c r="I3003" i="60"/>
  <c r="I3004" i="60"/>
  <c r="I3005" i="60"/>
  <c r="I3006" i="60"/>
  <c r="I3007" i="60"/>
  <c r="I3008" i="60"/>
  <c r="I3009" i="60"/>
  <c r="I3010" i="60"/>
  <c r="I3011" i="60"/>
  <c r="I3012" i="60"/>
  <c r="I3013" i="60"/>
  <c r="I3014" i="60"/>
  <c r="I3015" i="60"/>
  <c r="I3016" i="60"/>
  <c r="I3017" i="60"/>
  <c r="I3018" i="60"/>
  <c r="I3019" i="60"/>
  <c r="I3020" i="60"/>
  <c r="I3021" i="60"/>
  <c r="I3022" i="60"/>
  <c r="I3023" i="60"/>
  <c r="I3024" i="60"/>
  <c r="I3025" i="60"/>
  <c r="I3026" i="60"/>
  <c r="I3027" i="60"/>
  <c r="I3028" i="60"/>
  <c r="I3029" i="60"/>
  <c r="I3030" i="60"/>
  <c r="I3031" i="60"/>
  <c r="I3032" i="60"/>
  <c r="I3033" i="60"/>
  <c r="I3034" i="60"/>
  <c r="I3035" i="60"/>
  <c r="I3036" i="60"/>
  <c r="I3037" i="60"/>
  <c r="I3038" i="60"/>
  <c r="I3039" i="60"/>
  <c r="I3040" i="60"/>
  <c r="I3041" i="60"/>
  <c r="I3042" i="60"/>
  <c r="I3043" i="60"/>
  <c r="I3044" i="60"/>
  <c r="I3045" i="60"/>
  <c r="I3046" i="60"/>
  <c r="I3047" i="60"/>
  <c r="I3048" i="60"/>
  <c r="I3049" i="60"/>
  <c r="I3050" i="60"/>
  <c r="I3051" i="60"/>
  <c r="I3052" i="60"/>
  <c r="I3053" i="60"/>
  <c r="I3054" i="60"/>
  <c r="I3055" i="60"/>
  <c r="I3056" i="60"/>
  <c r="I3057" i="60"/>
  <c r="I3058" i="60"/>
  <c r="I3059" i="60"/>
  <c r="I3060" i="60"/>
  <c r="I3061" i="60"/>
  <c r="I3062" i="60"/>
  <c r="I3063" i="60"/>
  <c r="I3064" i="60"/>
  <c r="I3065" i="60"/>
  <c r="I3066" i="60"/>
  <c r="I3067" i="60"/>
  <c r="I3068" i="60"/>
  <c r="I3069" i="60"/>
  <c r="I3070" i="60"/>
  <c r="I3071" i="60"/>
  <c r="I3072" i="60"/>
  <c r="I3073" i="60"/>
  <c r="I3074" i="60"/>
  <c r="I3075" i="60"/>
  <c r="I3076" i="60"/>
  <c r="I3077" i="60"/>
  <c r="I3078" i="60"/>
  <c r="I3079" i="60"/>
  <c r="I3080" i="60"/>
  <c r="I3081" i="60"/>
  <c r="I3082" i="60"/>
  <c r="I3083" i="60"/>
  <c r="I3084" i="60"/>
  <c r="I3085" i="60"/>
  <c r="I3086" i="60"/>
  <c r="I3087" i="60"/>
  <c r="I3088" i="60"/>
  <c r="I3089" i="60"/>
  <c r="I3090" i="60"/>
  <c r="I3091" i="60"/>
  <c r="I3092" i="60"/>
  <c r="I3093" i="60"/>
  <c r="I3094" i="60"/>
  <c r="I3095" i="60"/>
  <c r="I3096" i="60"/>
  <c r="I3097" i="60"/>
  <c r="I3098" i="60"/>
  <c r="I3099" i="60"/>
  <c r="I3100" i="60"/>
  <c r="I3101" i="60"/>
  <c r="I3102" i="60"/>
  <c r="I3103" i="60"/>
  <c r="I3104" i="60"/>
  <c r="I3105" i="60"/>
  <c r="I3106" i="60"/>
  <c r="I3107" i="60"/>
  <c r="I3108" i="60"/>
  <c r="I3109" i="60"/>
  <c r="I3110" i="60"/>
  <c r="I3111" i="60"/>
  <c r="I3112" i="60"/>
  <c r="I3113" i="60"/>
  <c r="I3114" i="60"/>
  <c r="I3115" i="60"/>
  <c r="I3116" i="60"/>
  <c r="I3117" i="60"/>
  <c r="I3118" i="60"/>
  <c r="I3119" i="60"/>
  <c r="I3120" i="60"/>
  <c r="I3121" i="60"/>
  <c r="I3122" i="60"/>
  <c r="I3123" i="60"/>
  <c r="I3124" i="60"/>
  <c r="I3125" i="60"/>
  <c r="I3126" i="60"/>
  <c r="I3127" i="60"/>
  <c r="I3128" i="60"/>
  <c r="I3129" i="60"/>
  <c r="I3130" i="60"/>
  <c r="I3131" i="60"/>
  <c r="I3132" i="60"/>
  <c r="I3133" i="60"/>
  <c r="I3134" i="60"/>
  <c r="I3135" i="60"/>
  <c r="I3136" i="60"/>
  <c r="I3137" i="60"/>
  <c r="I3138" i="60"/>
  <c r="I3139" i="60"/>
  <c r="I3140" i="60"/>
  <c r="I3141" i="60"/>
  <c r="I3142" i="60"/>
  <c r="I3143" i="60"/>
  <c r="I3144" i="60"/>
  <c r="I3145" i="60"/>
  <c r="I3146" i="60"/>
  <c r="I3147" i="60"/>
  <c r="I3148" i="60"/>
  <c r="I3149" i="60"/>
  <c r="I3150" i="60"/>
  <c r="I3151" i="60"/>
  <c r="I3152" i="60"/>
  <c r="I3153" i="60"/>
  <c r="I3154" i="60"/>
  <c r="I3155" i="60"/>
  <c r="I3156" i="60"/>
  <c r="I3157" i="60"/>
  <c r="I3158" i="60"/>
  <c r="I3159" i="60"/>
  <c r="I3160" i="60"/>
  <c r="I3161" i="60"/>
  <c r="I3162" i="60"/>
  <c r="I3163" i="60"/>
  <c r="I3164" i="60"/>
  <c r="I3165" i="60"/>
  <c r="I3166" i="60"/>
  <c r="I3167" i="60"/>
  <c r="I3168" i="60"/>
  <c r="I3169" i="60"/>
  <c r="I3170" i="60"/>
  <c r="I3171" i="60"/>
  <c r="I3172" i="60"/>
  <c r="I3173" i="60"/>
  <c r="I3174" i="60"/>
  <c r="I3175" i="60"/>
  <c r="I3176" i="60"/>
  <c r="I3177" i="60"/>
  <c r="I3178" i="60"/>
  <c r="I3179" i="60"/>
  <c r="I3180" i="60"/>
  <c r="I3181" i="60"/>
  <c r="I3182" i="60"/>
  <c r="I3183" i="60"/>
  <c r="I3184" i="60"/>
  <c r="I3185" i="60"/>
  <c r="I3186" i="60"/>
  <c r="I3187" i="60"/>
  <c r="I3188" i="60"/>
  <c r="I3189" i="60"/>
  <c r="I3190" i="60"/>
  <c r="I3191" i="60"/>
  <c r="I3192" i="60"/>
  <c r="I3193" i="60"/>
  <c r="I3194" i="60"/>
  <c r="I3195" i="60"/>
  <c r="I3196" i="60"/>
  <c r="I3197" i="60"/>
  <c r="I3198" i="60"/>
  <c r="I3199" i="60"/>
  <c r="I3200" i="60"/>
  <c r="I3201" i="60"/>
  <c r="I3202" i="60"/>
  <c r="I3203" i="60"/>
  <c r="I3204" i="60"/>
  <c r="I3205" i="60"/>
  <c r="I3206" i="60"/>
  <c r="I3207" i="60"/>
  <c r="I3208" i="60"/>
  <c r="I3209" i="60"/>
  <c r="I3210" i="60"/>
  <c r="I3211" i="60"/>
  <c r="I3212" i="60"/>
  <c r="I3213" i="60"/>
  <c r="I3214" i="60"/>
  <c r="I3215" i="60"/>
  <c r="I3216" i="60"/>
  <c r="I3217" i="60"/>
  <c r="I3218" i="60"/>
  <c r="I3219" i="60"/>
  <c r="I3220" i="60"/>
  <c r="I3221" i="60"/>
  <c r="I3222" i="60"/>
  <c r="I3223" i="60"/>
  <c r="I3224" i="60"/>
  <c r="I3225" i="60"/>
  <c r="I3226" i="60"/>
  <c r="I3227" i="60"/>
  <c r="I3228" i="60"/>
  <c r="I3229" i="60"/>
  <c r="I3230" i="60"/>
  <c r="I3231" i="60"/>
  <c r="I3232" i="60"/>
  <c r="I3233" i="60"/>
  <c r="I3234" i="60"/>
  <c r="I3235" i="60"/>
  <c r="I3236" i="60"/>
  <c r="I3237" i="60"/>
  <c r="I3238" i="60"/>
  <c r="I3239" i="60"/>
  <c r="I3240" i="60"/>
  <c r="I3241" i="60"/>
  <c r="I3242" i="60"/>
  <c r="I3243" i="60"/>
  <c r="I3244" i="60"/>
  <c r="I3245" i="60"/>
  <c r="I3246" i="60"/>
  <c r="I3247" i="60"/>
  <c r="I3248" i="60"/>
  <c r="I3249" i="60"/>
  <c r="I3250" i="60"/>
  <c r="I3251" i="60"/>
  <c r="I3252" i="60"/>
  <c r="I3253" i="60"/>
  <c r="I3254" i="60"/>
  <c r="I3255" i="60"/>
  <c r="I3256" i="60"/>
  <c r="I3257" i="60"/>
  <c r="I3258" i="60"/>
  <c r="I3259" i="60"/>
  <c r="I3260" i="60"/>
  <c r="I3261" i="60"/>
  <c r="I3262" i="60"/>
  <c r="I3263" i="60"/>
  <c r="I3264" i="60"/>
  <c r="I3265" i="60"/>
  <c r="I3266" i="60"/>
  <c r="I3267" i="60"/>
  <c r="I3268" i="60"/>
  <c r="I3269" i="60"/>
  <c r="I3270" i="60"/>
  <c r="I3271" i="60"/>
  <c r="I3272" i="60"/>
  <c r="I3273" i="60"/>
  <c r="I3274" i="60"/>
  <c r="I3275" i="60"/>
  <c r="I3276" i="60"/>
  <c r="I3277" i="60"/>
  <c r="I3278" i="60"/>
  <c r="I3279" i="60"/>
  <c r="I3280" i="60"/>
  <c r="I3281" i="60"/>
  <c r="I3282" i="60"/>
  <c r="I3283" i="60"/>
  <c r="I3284" i="60"/>
  <c r="I3285" i="60"/>
  <c r="I3286" i="60"/>
  <c r="I3287" i="60"/>
  <c r="I3288" i="60"/>
  <c r="I3289" i="60"/>
  <c r="I3290" i="60"/>
  <c r="I3291" i="60"/>
  <c r="I3292" i="60"/>
  <c r="I3293" i="60"/>
  <c r="I3294" i="60"/>
  <c r="I3295" i="60"/>
  <c r="I3296" i="60"/>
  <c r="I3297" i="60"/>
  <c r="I3298" i="60"/>
  <c r="I3299" i="60"/>
  <c r="I3300" i="60"/>
  <c r="I3301" i="60"/>
  <c r="I3302" i="60"/>
  <c r="I3303" i="60"/>
  <c r="I3304" i="60"/>
  <c r="I3305" i="60"/>
  <c r="I3306" i="60"/>
  <c r="I3307" i="60"/>
  <c r="I3308" i="60"/>
  <c r="I3309" i="60"/>
  <c r="I3310" i="60"/>
  <c r="I3311" i="60"/>
  <c r="I3312" i="60"/>
  <c r="I3313" i="60"/>
  <c r="I3314" i="60"/>
  <c r="I3315" i="60"/>
  <c r="I3316" i="60"/>
  <c r="I3317" i="60"/>
  <c r="I3318" i="60"/>
  <c r="I3319" i="60"/>
  <c r="I3320" i="60"/>
  <c r="I3321" i="60"/>
  <c r="I3322" i="60"/>
  <c r="I3323" i="60"/>
  <c r="I3324" i="60"/>
  <c r="I3325" i="60"/>
  <c r="I3326" i="60"/>
  <c r="I3327" i="60"/>
  <c r="I3328" i="60"/>
  <c r="I3329" i="60"/>
  <c r="I3330" i="60"/>
  <c r="I3331" i="60"/>
  <c r="I3332" i="60"/>
  <c r="I3333" i="60"/>
  <c r="I3334" i="60"/>
  <c r="I3335" i="60"/>
  <c r="I3336" i="60"/>
  <c r="I3337" i="60"/>
  <c r="I3338" i="60"/>
  <c r="I3339" i="60"/>
  <c r="I3340" i="60"/>
  <c r="I3341" i="60"/>
  <c r="I3342" i="60"/>
  <c r="I3343" i="60"/>
  <c r="I3344" i="60"/>
  <c r="I3345" i="60"/>
  <c r="I3346" i="60"/>
  <c r="I3347" i="60"/>
  <c r="I3348" i="60"/>
  <c r="I3349" i="60"/>
  <c r="I3350" i="60"/>
  <c r="I3351" i="60"/>
  <c r="I3352" i="60"/>
  <c r="I3353" i="60"/>
  <c r="I3354" i="60"/>
  <c r="I3355" i="60"/>
  <c r="I3356" i="60"/>
  <c r="I3357" i="60"/>
  <c r="I3358" i="60"/>
  <c r="I3359" i="60"/>
  <c r="I3360" i="60"/>
  <c r="I3361" i="60"/>
  <c r="I3362" i="60"/>
  <c r="I3363" i="60"/>
  <c r="I3364" i="60"/>
  <c r="I3365" i="60"/>
  <c r="I3366" i="60"/>
  <c r="I3367" i="60"/>
  <c r="I3368" i="60"/>
  <c r="I3369" i="60"/>
  <c r="I3370" i="60"/>
  <c r="I3371" i="60"/>
  <c r="I3372" i="60"/>
  <c r="I3373" i="60"/>
  <c r="I3374" i="60"/>
  <c r="I3375" i="60"/>
  <c r="I3376" i="60"/>
  <c r="I3377" i="60"/>
  <c r="I3378" i="60"/>
  <c r="I3379" i="60"/>
  <c r="I3380" i="60"/>
  <c r="I3381" i="60"/>
  <c r="I3382" i="60"/>
  <c r="I3383" i="60"/>
  <c r="I3384" i="60"/>
  <c r="I3385" i="60"/>
  <c r="I3386" i="60"/>
  <c r="I3387" i="60"/>
  <c r="I3388" i="60"/>
  <c r="I3389" i="60"/>
  <c r="I3390" i="60"/>
  <c r="I3391" i="60"/>
  <c r="I3392" i="60"/>
  <c r="I3393" i="60"/>
  <c r="I3394" i="60"/>
  <c r="I3395" i="60"/>
  <c r="I3396" i="60"/>
  <c r="I3397" i="60"/>
  <c r="I3398" i="60"/>
  <c r="I3399" i="60"/>
  <c r="I3400" i="60"/>
  <c r="I3401" i="60"/>
  <c r="I3402" i="60"/>
  <c r="I3403" i="60"/>
  <c r="I3404" i="60"/>
  <c r="I3405" i="60"/>
  <c r="I3406" i="60"/>
  <c r="I3407" i="60"/>
  <c r="I3408" i="60"/>
  <c r="I3409" i="60"/>
  <c r="I3410" i="60"/>
  <c r="I3411" i="60"/>
  <c r="I3412" i="60"/>
  <c r="I3413" i="60"/>
  <c r="I3414" i="60"/>
  <c r="I3415" i="60"/>
  <c r="I3416" i="60"/>
  <c r="I3417" i="60"/>
  <c r="I3418" i="60"/>
  <c r="I3419" i="60"/>
  <c r="I3420" i="60"/>
  <c r="I3421" i="60"/>
  <c r="I3422" i="60"/>
  <c r="I3423" i="60"/>
  <c r="I3424" i="60"/>
  <c r="I3425" i="60"/>
  <c r="I3426" i="60"/>
  <c r="I3427" i="60"/>
  <c r="I3428" i="60"/>
  <c r="I3429" i="60"/>
  <c r="I3430" i="60"/>
  <c r="I3431" i="60"/>
  <c r="I3432" i="60"/>
  <c r="I3433" i="60"/>
  <c r="I3434" i="60"/>
  <c r="I3435" i="60"/>
  <c r="I3436" i="60"/>
  <c r="I3437" i="60"/>
  <c r="I3438" i="60"/>
  <c r="I3439" i="60"/>
  <c r="I3440" i="60"/>
  <c r="I3441" i="60"/>
  <c r="I3442" i="60"/>
  <c r="I3443" i="60"/>
  <c r="I3444" i="60"/>
  <c r="I3445" i="60"/>
  <c r="I3446" i="60"/>
  <c r="I3447" i="60"/>
  <c r="I3448" i="60"/>
  <c r="I3449" i="60"/>
  <c r="I3450" i="60"/>
  <c r="I3451" i="60"/>
  <c r="I3452" i="60"/>
  <c r="I3453" i="60"/>
  <c r="I3454" i="60"/>
  <c r="I3455" i="60"/>
  <c r="I3456" i="60"/>
  <c r="I3457" i="60"/>
  <c r="I3458" i="60"/>
  <c r="I3459" i="60"/>
  <c r="I3460" i="60"/>
  <c r="I3461" i="60"/>
  <c r="I3462" i="60"/>
  <c r="I3463" i="60"/>
  <c r="I3464" i="60"/>
  <c r="I3465" i="60"/>
  <c r="I3466" i="60"/>
  <c r="I3467" i="60"/>
  <c r="I3468" i="60"/>
  <c r="I3469" i="60"/>
  <c r="I3470" i="60"/>
  <c r="I3471" i="60"/>
  <c r="I3472" i="60"/>
  <c r="I3473" i="60"/>
  <c r="I3474" i="60"/>
  <c r="I3475" i="60"/>
  <c r="I3476" i="60"/>
  <c r="I3477" i="60"/>
  <c r="I3478" i="60"/>
  <c r="I3479" i="60"/>
  <c r="I3480" i="60"/>
  <c r="I3481" i="60"/>
  <c r="I3482" i="60"/>
  <c r="I3483" i="60"/>
  <c r="I3484" i="60"/>
  <c r="I3485" i="60"/>
  <c r="I3486" i="60"/>
  <c r="I3487" i="60"/>
  <c r="I3488" i="60"/>
  <c r="I3489" i="60"/>
  <c r="I3490" i="60"/>
  <c r="I3491" i="60"/>
  <c r="I3492" i="60"/>
  <c r="I3493" i="60"/>
  <c r="I3494" i="60"/>
  <c r="I3495" i="60"/>
  <c r="I3496" i="60"/>
  <c r="I3497" i="60"/>
  <c r="I3498" i="60"/>
  <c r="I3499" i="60"/>
  <c r="I3500" i="60"/>
  <c r="I3501" i="60"/>
  <c r="I3502" i="60"/>
  <c r="I3503" i="60"/>
  <c r="I3504" i="60"/>
  <c r="I3505" i="60"/>
  <c r="I3506" i="60"/>
  <c r="I3507" i="60"/>
  <c r="I3508" i="60"/>
  <c r="I3509" i="60"/>
  <c r="I3510" i="60"/>
  <c r="I3511" i="60"/>
  <c r="I3512" i="60"/>
  <c r="I3513" i="60"/>
  <c r="I3514" i="60"/>
  <c r="I3515" i="60"/>
  <c r="I3516" i="60"/>
  <c r="I3517" i="60"/>
  <c r="I3518" i="60"/>
  <c r="I3519" i="60"/>
  <c r="I3520" i="60"/>
  <c r="I3521" i="60"/>
  <c r="I3522" i="60"/>
  <c r="I3523" i="60"/>
  <c r="I3524" i="60"/>
  <c r="I3525" i="60"/>
  <c r="I3526" i="60"/>
  <c r="I3527" i="60"/>
  <c r="I3528" i="60"/>
  <c r="I3529" i="60"/>
  <c r="I3530" i="60"/>
  <c r="I3531" i="60"/>
  <c r="I3532" i="60"/>
  <c r="I3533" i="60"/>
  <c r="I3534" i="60"/>
  <c r="I3535" i="60"/>
  <c r="I3536" i="60"/>
  <c r="I3537" i="60"/>
  <c r="I3538" i="60"/>
  <c r="I3539" i="60"/>
  <c r="I3540" i="60"/>
  <c r="I3541" i="60"/>
  <c r="I3542" i="60"/>
  <c r="I3543" i="60"/>
  <c r="I3544" i="60"/>
  <c r="I3545" i="60"/>
  <c r="I3546" i="60"/>
  <c r="I3547" i="60"/>
  <c r="I3548" i="60"/>
  <c r="I3549" i="60"/>
  <c r="I3550" i="60"/>
  <c r="I3551" i="60"/>
  <c r="I3552" i="60"/>
  <c r="I3553" i="60"/>
  <c r="I3554" i="60"/>
  <c r="I3555" i="60"/>
  <c r="I3556" i="60"/>
  <c r="I3557" i="60"/>
  <c r="I3558" i="60"/>
  <c r="I3559" i="60"/>
  <c r="I3560" i="60"/>
  <c r="I3561" i="60"/>
  <c r="I3562" i="60"/>
  <c r="I3563" i="60"/>
  <c r="I3564" i="60"/>
  <c r="I3565" i="60"/>
  <c r="I3566" i="60"/>
  <c r="I3567" i="60"/>
  <c r="I3568" i="60"/>
  <c r="I3569" i="60"/>
  <c r="I3570" i="60"/>
  <c r="I3571" i="60"/>
  <c r="I3572" i="60"/>
  <c r="I3573" i="60"/>
  <c r="I3574" i="60"/>
  <c r="I3575" i="60"/>
  <c r="I3576" i="60"/>
  <c r="I3577" i="60"/>
  <c r="I3578" i="60"/>
  <c r="I3579" i="60"/>
  <c r="I3580" i="60"/>
  <c r="I3581" i="60"/>
  <c r="I3582" i="60"/>
  <c r="I3583" i="60"/>
  <c r="I3584" i="60"/>
  <c r="I3585" i="60"/>
  <c r="I3586" i="60"/>
  <c r="I3587" i="60"/>
  <c r="I3588" i="60"/>
  <c r="I3589" i="60"/>
  <c r="I3590" i="60"/>
  <c r="I3591" i="60"/>
  <c r="I3592" i="60"/>
  <c r="I3593" i="60"/>
  <c r="I3594" i="60"/>
  <c r="I3595" i="60"/>
  <c r="I3596" i="60"/>
  <c r="I3597" i="60"/>
  <c r="I3598" i="60"/>
  <c r="I3599" i="60"/>
  <c r="I3600" i="60"/>
  <c r="I3601" i="60"/>
  <c r="I3602" i="60"/>
  <c r="I3603" i="60"/>
  <c r="I3604" i="60"/>
  <c r="I3605" i="60"/>
  <c r="I3606" i="60"/>
  <c r="I3607" i="60"/>
  <c r="I3608" i="60"/>
  <c r="I3609" i="60"/>
  <c r="I3610" i="60"/>
  <c r="I3611" i="60"/>
  <c r="I3612" i="60"/>
  <c r="I3613" i="60"/>
  <c r="I3614" i="60"/>
  <c r="I3615" i="60"/>
  <c r="I3616" i="60"/>
  <c r="I3617" i="60"/>
  <c r="I3618" i="60"/>
  <c r="I3619" i="60"/>
  <c r="I3620" i="60"/>
  <c r="I3621" i="60"/>
  <c r="I3622" i="60"/>
  <c r="I3623" i="60"/>
  <c r="I3624" i="60"/>
  <c r="I3625" i="60"/>
  <c r="I3626" i="60"/>
  <c r="I3627" i="60"/>
  <c r="I3628" i="60"/>
  <c r="I3629" i="60"/>
  <c r="I3630" i="60"/>
  <c r="I3631" i="60"/>
  <c r="I3632" i="60"/>
  <c r="I3633" i="60"/>
  <c r="I3634" i="60"/>
  <c r="I3635" i="60"/>
  <c r="I3636" i="60"/>
  <c r="I3637" i="60"/>
  <c r="I3638" i="60"/>
  <c r="I3639" i="60"/>
  <c r="I3640" i="60"/>
  <c r="I3641" i="60"/>
  <c r="I3642" i="60"/>
  <c r="I3643" i="60"/>
  <c r="I3644" i="60"/>
  <c r="I3645" i="60"/>
  <c r="I3646" i="60"/>
  <c r="I3647" i="60"/>
  <c r="I3648" i="60"/>
  <c r="I3649" i="60"/>
  <c r="I3650" i="60"/>
  <c r="I3651" i="60"/>
  <c r="I3652" i="60"/>
  <c r="I3653" i="60"/>
  <c r="I3654" i="60"/>
  <c r="I3655" i="60"/>
  <c r="I3656" i="60"/>
  <c r="I3657" i="60"/>
  <c r="I3658" i="60"/>
  <c r="I3659" i="60"/>
  <c r="I3660" i="60"/>
  <c r="I3661" i="60"/>
  <c r="I3662" i="60"/>
  <c r="I3663" i="60"/>
  <c r="I3664" i="60"/>
  <c r="I3665" i="60"/>
  <c r="I3666" i="60"/>
  <c r="I3667" i="60"/>
  <c r="I3668" i="60"/>
  <c r="I3669" i="60"/>
  <c r="I3670" i="60"/>
  <c r="I3671" i="60"/>
  <c r="I3672" i="60"/>
  <c r="I3673" i="60"/>
  <c r="I3674" i="60"/>
  <c r="I3675" i="60"/>
  <c r="I3676" i="60"/>
  <c r="I3677" i="60"/>
  <c r="I3678" i="60"/>
  <c r="I3679" i="60"/>
  <c r="I3680" i="60"/>
  <c r="I3681" i="60"/>
  <c r="I3682" i="60"/>
  <c r="I3683" i="60"/>
  <c r="I3684" i="60"/>
  <c r="I3685" i="60"/>
  <c r="I3686" i="60"/>
  <c r="I3687" i="60"/>
  <c r="I3688" i="60"/>
  <c r="I3689" i="60"/>
  <c r="I3690" i="60"/>
  <c r="I3691" i="60"/>
  <c r="I3692" i="60"/>
  <c r="I3693" i="60"/>
  <c r="I3694" i="60"/>
  <c r="I3695" i="60"/>
  <c r="I3696" i="60"/>
  <c r="I3697" i="60"/>
  <c r="I3698" i="60"/>
  <c r="I3699" i="60"/>
  <c r="I3700" i="60"/>
  <c r="I3701" i="60"/>
  <c r="I3702" i="60"/>
  <c r="I3703" i="60"/>
  <c r="I3704" i="60"/>
  <c r="I3705" i="60"/>
  <c r="I3706" i="60"/>
  <c r="I3707" i="60"/>
  <c r="I3708" i="60"/>
  <c r="I3709" i="60"/>
  <c r="I3710" i="60"/>
  <c r="I3711" i="60"/>
  <c r="I3712" i="60"/>
  <c r="I3713" i="60"/>
  <c r="I3714" i="60"/>
  <c r="I3715" i="60"/>
  <c r="I3716" i="60"/>
  <c r="I3717" i="60"/>
  <c r="I3718" i="60"/>
  <c r="I3719" i="60"/>
  <c r="I3720" i="60"/>
  <c r="I3721" i="60"/>
  <c r="I3722" i="60"/>
  <c r="I3723" i="60"/>
  <c r="I3724" i="60"/>
  <c r="I3725" i="60"/>
  <c r="I3726" i="60"/>
  <c r="I3727" i="60"/>
  <c r="I3728" i="60"/>
  <c r="I3729" i="60"/>
  <c r="I3730" i="60"/>
  <c r="I3731" i="60"/>
  <c r="I3732" i="60"/>
  <c r="I3733" i="60"/>
  <c r="I3734" i="60"/>
  <c r="I3735" i="60"/>
  <c r="I3736" i="60"/>
  <c r="I3737" i="60"/>
  <c r="I3738" i="60"/>
  <c r="I3739" i="60"/>
  <c r="I3740" i="60"/>
  <c r="I3741" i="60"/>
  <c r="I3742" i="60"/>
  <c r="I3743" i="60"/>
  <c r="I3744" i="60"/>
  <c r="I3745" i="60"/>
  <c r="I3746" i="60"/>
  <c r="I3747" i="60"/>
  <c r="I3748" i="60"/>
  <c r="I3749" i="60"/>
  <c r="I3750" i="60"/>
  <c r="I3751" i="60"/>
  <c r="I3752" i="60"/>
  <c r="I3753" i="60"/>
  <c r="I3754" i="60"/>
  <c r="I3755" i="60"/>
  <c r="I3756" i="60"/>
  <c r="I3757" i="60"/>
  <c r="I3758" i="60"/>
  <c r="I3759" i="60"/>
  <c r="I3760" i="60"/>
  <c r="I3761" i="60"/>
  <c r="I3762" i="60"/>
  <c r="I3763" i="60"/>
  <c r="I3764" i="60"/>
  <c r="I3765" i="60"/>
  <c r="I3766" i="60"/>
  <c r="I3767" i="60"/>
  <c r="I3768" i="60"/>
  <c r="I3769" i="60"/>
  <c r="I3770" i="60"/>
  <c r="I3771" i="60"/>
  <c r="I3772" i="60"/>
  <c r="I3773" i="60"/>
  <c r="I3774" i="60"/>
  <c r="I3775" i="60"/>
  <c r="I3776" i="60"/>
  <c r="I3777" i="60"/>
  <c r="I3778" i="60"/>
  <c r="I3779" i="60"/>
  <c r="I3780" i="60"/>
  <c r="I3781" i="60"/>
  <c r="I3782" i="60"/>
  <c r="I3783" i="60"/>
  <c r="I3784" i="60"/>
  <c r="I3785" i="60"/>
  <c r="I3786" i="60"/>
  <c r="I3787" i="60"/>
  <c r="I3788" i="60"/>
  <c r="I3789" i="60"/>
  <c r="I3790" i="60"/>
  <c r="I3791" i="60"/>
  <c r="I3792" i="60"/>
  <c r="I3793" i="60"/>
  <c r="I3794" i="60"/>
  <c r="I3795" i="60"/>
  <c r="I3796" i="60"/>
  <c r="I3797" i="60"/>
  <c r="I3798" i="60"/>
  <c r="I3799" i="60"/>
  <c r="I3800" i="60"/>
  <c r="I3801" i="60"/>
  <c r="I3802" i="60"/>
  <c r="I3803" i="60"/>
  <c r="I3804" i="60"/>
  <c r="I3805" i="60"/>
  <c r="I3806" i="60"/>
  <c r="I3807" i="60"/>
  <c r="I3808" i="60"/>
  <c r="I3809" i="60"/>
  <c r="I3810" i="60"/>
  <c r="I3811" i="60"/>
  <c r="I3812" i="60"/>
  <c r="I3813" i="60"/>
  <c r="I3814" i="60"/>
  <c r="I3815" i="60"/>
  <c r="I3816" i="60"/>
  <c r="I3817" i="60"/>
  <c r="I3818" i="60"/>
  <c r="I3819" i="60"/>
  <c r="I3820" i="60"/>
  <c r="I3821" i="60"/>
  <c r="I3822" i="60"/>
  <c r="I3823" i="60"/>
  <c r="I3824" i="60"/>
  <c r="I3825" i="60"/>
  <c r="I3826" i="60"/>
  <c r="I3827" i="60"/>
  <c r="I3828" i="60"/>
  <c r="I3829" i="60"/>
  <c r="I3830" i="60"/>
  <c r="I3831" i="60"/>
  <c r="I3832" i="60"/>
  <c r="I3833" i="60"/>
  <c r="I3834" i="60"/>
  <c r="I3835" i="60"/>
  <c r="I3836" i="60"/>
  <c r="I3837" i="60"/>
  <c r="I3838" i="60"/>
  <c r="I3839" i="60"/>
  <c r="I3840" i="60"/>
  <c r="I3841" i="60"/>
  <c r="I3842" i="60"/>
  <c r="I3843" i="60"/>
  <c r="I3844" i="60"/>
  <c r="I3845" i="60"/>
  <c r="I3846" i="60"/>
  <c r="I3847" i="60"/>
  <c r="I3848" i="60"/>
  <c r="I3849" i="60"/>
  <c r="I3850" i="60"/>
  <c r="I3851" i="60"/>
  <c r="I3852" i="60"/>
  <c r="I3853" i="60"/>
  <c r="I3854" i="60"/>
  <c r="I3855" i="60"/>
  <c r="I3856" i="60"/>
  <c r="I3857" i="60"/>
  <c r="I3858" i="60"/>
  <c r="I3859" i="60"/>
  <c r="I3860" i="60"/>
  <c r="I3861" i="60"/>
  <c r="I3862" i="60"/>
  <c r="I3863" i="60"/>
  <c r="I3864" i="60"/>
  <c r="I3865" i="60"/>
  <c r="I3866" i="60"/>
  <c r="I3867" i="60"/>
  <c r="I3868" i="60"/>
  <c r="I3869" i="60"/>
  <c r="I3870" i="60"/>
  <c r="I3871" i="60"/>
  <c r="I3872" i="60"/>
  <c r="I3873" i="60"/>
  <c r="I3874" i="60"/>
  <c r="I3875" i="60"/>
  <c r="I3876" i="60"/>
  <c r="I3877" i="60"/>
  <c r="I3878" i="60"/>
  <c r="I3879" i="60"/>
  <c r="I3880" i="60"/>
  <c r="I3881" i="60"/>
  <c r="I3882" i="60"/>
  <c r="I3883" i="60"/>
  <c r="I3884" i="60"/>
  <c r="I3885" i="60"/>
  <c r="I3886" i="60"/>
  <c r="I3887" i="60"/>
  <c r="I3888" i="60"/>
  <c r="I3889" i="60"/>
  <c r="I3890" i="60"/>
  <c r="I3891" i="60"/>
  <c r="I3892" i="60"/>
  <c r="I3893" i="60"/>
  <c r="I3894" i="60"/>
  <c r="I3895" i="60"/>
  <c r="I3896" i="60"/>
  <c r="I3897" i="60"/>
  <c r="I3898" i="60"/>
  <c r="I3899" i="60"/>
  <c r="I3900" i="60"/>
  <c r="I3901" i="60"/>
  <c r="I3902" i="60"/>
  <c r="I3903" i="60"/>
  <c r="I3904" i="60"/>
  <c r="I3905" i="60"/>
  <c r="I3906" i="60"/>
  <c r="I3907" i="60"/>
  <c r="I3908" i="60"/>
  <c r="I3909" i="60"/>
  <c r="I3910" i="60"/>
  <c r="I3911" i="60"/>
  <c r="I3912" i="60"/>
  <c r="I3913" i="60"/>
  <c r="I3914" i="60"/>
  <c r="I3915" i="60"/>
  <c r="I3916" i="60"/>
  <c r="I3917" i="60"/>
  <c r="I3918" i="60"/>
  <c r="I3919" i="60"/>
  <c r="I3920" i="60"/>
  <c r="I3921" i="60"/>
  <c r="I3922" i="60"/>
  <c r="I3923" i="60"/>
  <c r="I3924" i="60"/>
  <c r="I3925" i="60"/>
  <c r="I3926" i="60"/>
  <c r="I3927" i="60"/>
  <c r="I3928" i="60"/>
  <c r="I3929" i="60"/>
  <c r="I3930" i="60"/>
  <c r="I3931" i="60"/>
  <c r="I3932" i="60"/>
  <c r="I3933" i="60"/>
  <c r="I3934" i="60"/>
  <c r="I3935" i="60"/>
  <c r="I3936" i="60"/>
  <c r="I3937" i="60"/>
  <c r="I3938" i="60"/>
  <c r="I3939" i="60"/>
  <c r="I3940" i="60"/>
  <c r="I3941" i="60"/>
  <c r="I3942" i="60"/>
  <c r="I3943" i="60"/>
  <c r="I3944" i="60"/>
  <c r="I3945" i="60"/>
  <c r="I3946" i="60"/>
  <c r="I3947" i="60"/>
  <c r="I3948" i="60"/>
  <c r="I3949" i="60"/>
  <c r="I3950" i="60"/>
  <c r="I3951" i="60"/>
  <c r="I3952" i="60"/>
  <c r="I3953" i="60"/>
  <c r="I3954" i="60"/>
  <c r="I3955" i="60"/>
  <c r="I3956" i="60"/>
  <c r="I3957" i="60"/>
  <c r="I3958" i="60"/>
  <c r="I3959" i="60"/>
  <c r="I3960" i="60"/>
  <c r="I3961" i="60"/>
  <c r="I3962" i="60"/>
  <c r="I3963" i="60"/>
  <c r="I3964" i="60"/>
  <c r="I3965" i="60"/>
  <c r="I3966" i="60"/>
  <c r="I3967" i="60"/>
  <c r="I3968" i="60"/>
  <c r="I3969" i="60"/>
  <c r="I3970" i="60"/>
  <c r="I3971" i="60"/>
  <c r="I3972" i="60"/>
  <c r="I3973" i="60"/>
  <c r="I3974" i="60"/>
  <c r="I3975" i="60"/>
  <c r="I3976" i="60"/>
  <c r="I3977" i="60"/>
  <c r="I3978" i="60"/>
  <c r="I3979" i="60"/>
  <c r="I3980" i="60"/>
  <c r="I3981" i="60"/>
  <c r="I3982" i="60"/>
  <c r="I3983" i="60"/>
  <c r="I3984" i="60"/>
  <c r="I3985" i="60"/>
  <c r="I3986" i="60"/>
  <c r="I3987" i="60"/>
  <c r="I3988" i="60"/>
  <c r="I3989" i="60"/>
  <c r="I3990" i="60"/>
  <c r="I3991" i="60"/>
  <c r="I3992" i="60"/>
  <c r="I3993" i="60"/>
  <c r="I3994" i="60"/>
  <c r="I3995" i="60"/>
  <c r="I3996" i="60"/>
  <c r="I3997" i="60"/>
  <c r="I3998" i="60"/>
  <c r="I3999" i="60"/>
  <c r="I4000" i="60"/>
  <c r="I4001" i="60"/>
  <c r="I4002" i="60"/>
  <c r="I4003" i="60"/>
  <c r="I4004" i="60"/>
  <c r="I4005" i="60"/>
  <c r="I4006" i="60"/>
  <c r="I4007" i="60"/>
  <c r="I4008" i="60"/>
  <c r="I4009" i="60"/>
  <c r="I4010" i="60"/>
  <c r="I4011" i="60"/>
  <c r="I4012" i="60"/>
  <c r="I4013" i="60"/>
  <c r="I4014" i="60"/>
  <c r="I4015" i="60"/>
  <c r="I4016" i="60"/>
  <c r="I4017" i="60"/>
  <c r="I4018" i="60"/>
  <c r="I4019" i="60"/>
  <c r="I4020" i="60"/>
  <c r="I4021" i="60"/>
  <c r="I4022" i="60"/>
  <c r="I4023" i="60"/>
  <c r="I4024" i="60"/>
  <c r="I4025" i="60"/>
  <c r="I4026" i="60"/>
  <c r="I4027" i="60"/>
  <c r="I4028" i="60"/>
  <c r="I4029" i="60"/>
  <c r="I4030" i="60"/>
  <c r="I4031" i="60"/>
  <c r="I4032" i="60"/>
  <c r="I4033" i="60"/>
  <c r="I4034" i="60"/>
  <c r="I4035" i="60"/>
  <c r="I4036" i="60"/>
  <c r="I4037" i="60"/>
  <c r="I4038" i="60"/>
  <c r="I4039" i="60"/>
  <c r="I4040" i="60"/>
  <c r="I4041" i="60"/>
  <c r="I4042" i="60"/>
  <c r="I4043" i="60"/>
  <c r="I4044" i="60"/>
  <c r="I4045" i="60"/>
  <c r="I4046" i="60"/>
  <c r="I4047" i="60"/>
  <c r="I4048" i="60"/>
  <c r="I4049" i="60"/>
  <c r="I4050" i="60"/>
  <c r="I4051" i="60"/>
  <c r="I4052" i="60"/>
  <c r="I4053" i="60"/>
  <c r="I4054" i="60"/>
  <c r="I4055" i="60"/>
  <c r="I4056" i="60"/>
  <c r="I4057" i="60"/>
  <c r="I4058" i="60"/>
  <c r="I4059" i="60"/>
  <c r="I4060" i="60"/>
  <c r="I4061" i="60"/>
  <c r="I4062" i="60"/>
  <c r="I4063" i="60"/>
  <c r="I4064" i="60"/>
  <c r="I4065" i="60"/>
  <c r="I4066" i="60"/>
  <c r="I4067" i="60"/>
  <c r="I4068" i="60"/>
  <c r="I4069" i="60"/>
  <c r="I4070" i="60"/>
  <c r="I4071" i="60"/>
  <c r="I4072" i="60"/>
  <c r="I4073" i="60"/>
  <c r="I4074" i="60"/>
  <c r="I4075" i="60"/>
  <c r="I4076" i="60"/>
  <c r="I4077" i="60"/>
  <c r="I4078" i="60"/>
  <c r="I4079" i="60"/>
  <c r="I4080" i="60"/>
  <c r="I4081" i="60"/>
  <c r="I4082" i="60"/>
  <c r="I4083" i="60"/>
  <c r="I4084" i="60"/>
  <c r="I4085" i="60"/>
  <c r="I4086" i="60"/>
  <c r="I4087" i="60"/>
  <c r="I4088" i="60"/>
  <c r="I4089" i="60"/>
  <c r="I4090" i="60"/>
  <c r="I4091" i="60"/>
  <c r="I4092" i="60"/>
  <c r="I4093" i="60"/>
  <c r="I4094" i="60"/>
  <c r="I4095" i="60"/>
  <c r="I4096" i="60"/>
  <c r="I4097" i="60"/>
  <c r="I4098" i="60"/>
  <c r="I4099" i="60"/>
  <c r="I4100" i="60"/>
  <c r="I4101" i="60"/>
  <c r="I4102" i="60"/>
  <c r="I4103" i="60"/>
  <c r="I4104" i="60"/>
  <c r="I4105" i="60"/>
  <c r="I4106" i="60"/>
  <c r="I4107" i="60"/>
  <c r="I4108" i="60"/>
  <c r="I4109" i="60"/>
  <c r="I4110" i="60"/>
  <c r="I4111" i="60"/>
  <c r="I4112" i="60"/>
  <c r="I4113" i="60"/>
  <c r="I4114" i="60"/>
  <c r="I4115" i="60"/>
  <c r="I4116" i="60"/>
  <c r="I4117" i="60"/>
  <c r="I4118" i="60"/>
  <c r="I4119" i="60"/>
  <c r="I4120" i="60"/>
  <c r="I4121" i="60"/>
  <c r="I4122" i="60"/>
  <c r="I4123" i="60"/>
  <c r="I4124" i="60"/>
  <c r="I4125" i="60"/>
  <c r="I4126" i="60"/>
  <c r="I4127" i="60"/>
  <c r="I4128" i="60"/>
  <c r="I4129" i="60"/>
  <c r="I4130" i="60"/>
  <c r="I4131" i="60"/>
  <c r="I4132" i="60"/>
  <c r="I4133" i="60"/>
  <c r="I4134" i="60"/>
  <c r="I4135" i="60"/>
  <c r="I4136" i="60"/>
  <c r="I4137" i="60"/>
  <c r="I4138" i="60"/>
  <c r="I4139" i="60"/>
  <c r="I4140" i="60"/>
  <c r="I4141" i="60"/>
  <c r="I4142" i="60"/>
  <c r="I4143" i="60"/>
  <c r="I4144" i="60"/>
  <c r="I4145" i="60"/>
  <c r="I4146" i="60"/>
  <c r="I4147" i="60"/>
  <c r="I4148" i="60"/>
  <c r="I4149" i="60"/>
  <c r="I4150" i="60"/>
  <c r="I4151" i="60"/>
  <c r="I4152" i="60"/>
  <c r="I4153" i="60"/>
  <c r="I4154" i="60"/>
  <c r="I4155" i="60"/>
  <c r="I4156" i="60"/>
  <c r="I4157" i="60"/>
  <c r="I4158" i="60"/>
  <c r="I4159" i="60"/>
  <c r="I4160" i="60"/>
  <c r="I4161" i="60"/>
  <c r="I4162" i="60"/>
  <c r="I4163" i="60"/>
  <c r="I4164" i="60"/>
  <c r="I4165" i="60"/>
  <c r="I4166" i="60"/>
  <c r="I4167" i="60"/>
  <c r="I4168" i="60"/>
  <c r="I4169" i="60"/>
  <c r="I4170" i="60"/>
  <c r="I4171" i="60"/>
  <c r="I4172" i="60"/>
  <c r="I4173" i="60"/>
  <c r="I4174" i="60"/>
  <c r="I4175" i="60"/>
  <c r="I4176" i="60"/>
  <c r="I4177" i="60"/>
  <c r="I4178" i="60"/>
  <c r="I4179" i="60"/>
  <c r="I4180" i="60"/>
  <c r="I4181" i="60"/>
  <c r="I4182" i="60"/>
  <c r="I4183" i="60"/>
  <c r="I4184" i="60"/>
  <c r="I4185" i="60"/>
  <c r="I4186" i="60"/>
  <c r="I4187" i="60"/>
  <c r="I4188" i="60"/>
  <c r="I4189" i="60"/>
  <c r="I4190" i="60"/>
  <c r="I4191" i="60"/>
  <c r="I4192" i="60"/>
  <c r="I4193" i="60"/>
  <c r="I4194" i="60"/>
  <c r="I4195" i="60"/>
  <c r="I4196" i="60"/>
  <c r="I4197" i="60"/>
  <c r="I4198" i="60"/>
  <c r="I4199" i="60"/>
  <c r="I4200" i="60"/>
  <c r="I4201" i="60"/>
  <c r="I4202" i="60"/>
  <c r="I4203" i="60"/>
  <c r="I4204" i="60"/>
  <c r="I4205" i="60"/>
  <c r="I4206" i="60"/>
  <c r="I4207" i="60"/>
  <c r="I4208" i="60"/>
  <c r="I4209" i="60"/>
  <c r="I4210" i="60"/>
  <c r="I4211" i="60"/>
  <c r="I4212" i="60"/>
  <c r="I4213" i="60"/>
  <c r="I4214" i="60"/>
  <c r="I4215" i="60"/>
  <c r="I4216" i="60"/>
  <c r="I4217" i="60"/>
  <c r="I4218" i="60"/>
  <c r="I4219" i="60"/>
  <c r="I4220" i="60"/>
  <c r="I4221" i="60"/>
  <c r="I4222" i="60"/>
  <c r="I4223" i="60"/>
  <c r="I4224" i="60"/>
  <c r="I4225" i="60"/>
  <c r="I4226" i="60"/>
  <c r="I4227" i="60"/>
  <c r="I4228" i="60"/>
  <c r="I4229" i="60"/>
  <c r="I4230" i="60"/>
  <c r="I4231" i="60"/>
  <c r="I4232" i="60"/>
  <c r="I4233" i="60"/>
  <c r="I4234" i="60"/>
  <c r="I4235" i="60"/>
  <c r="I4236" i="60"/>
  <c r="I4237" i="60"/>
  <c r="I4238" i="60"/>
  <c r="I4239" i="60"/>
  <c r="I4240" i="60"/>
  <c r="I4241" i="60"/>
  <c r="I4242" i="60"/>
  <c r="I4243" i="60"/>
  <c r="I4244" i="60"/>
  <c r="I4245" i="60"/>
  <c r="I4246" i="60"/>
  <c r="I4247" i="60"/>
  <c r="I4248" i="60"/>
  <c r="I4249" i="60"/>
  <c r="I4250" i="60"/>
  <c r="I4251" i="60"/>
  <c r="I4252" i="60"/>
  <c r="I4253" i="60"/>
  <c r="I4254" i="60"/>
  <c r="I4255" i="60"/>
  <c r="I4256" i="60"/>
  <c r="I4257" i="60"/>
  <c r="I4258" i="60"/>
  <c r="I4259" i="60"/>
  <c r="I4260" i="60"/>
  <c r="I4261" i="60"/>
  <c r="I4262" i="60"/>
  <c r="I4263" i="60"/>
  <c r="I4264" i="60"/>
  <c r="I4265" i="60"/>
  <c r="I4266" i="60"/>
  <c r="I4267" i="60"/>
  <c r="I4268" i="60"/>
  <c r="I4269" i="60"/>
  <c r="I4270" i="60"/>
  <c r="I4271" i="60"/>
  <c r="I4272" i="60"/>
  <c r="I4273" i="60"/>
  <c r="I4274" i="60"/>
  <c r="I4275" i="60"/>
  <c r="I4276" i="60"/>
  <c r="I4277" i="60"/>
  <c r="I4278" i="60"/>
  <c r="I4279" i="60"/>
  <c r="I4280" i="60"/>
  <c r="I4281" i="60"/>
  <c r="I4282" i="60"/>
  <c r="I4283" i="60"/>
  <c r="I4284" i="60"/>
  <c r="I4285" i="60"/>
  <c r="I4286" i="60"/>
  <c r="I4287" i="60"/>
  <c r="I4288" i="60"/>
  <c r="I4289" i="60"/>
  <c r="I4290" i="60"/>
  <c r="I4291" i="60"/>
  <c r="I4292" i="60"/>
  <c r="I4293" i="60"/>
  <c r="I4294" i="60"/>
  <c r="I4295" i="60"/>
  <c r="I4296" i="60"/>
  <c r="I4297" i="60"/>
  <c r="I4298" i="60"/>
  <c r="I4299" i="60"/>
  <c r="I4300" i="60"/>
  <c r="I4301" i="60"/>
  <c r="I4302" i="60"/>
  <c r="I4303" i="60"/>
  <c r="I4304" i="60"/>
  <c r="I4305" i="60"/>
  <c r="I4306" i="60"/>
  <c r="I4307" i="60"/>
  <c r="I4308" i="60"/>
  <c r="I4309" i="60"/>
  <c r="I4310" i="60"/>
  <c r="I4311" i="60"/>
  <c r="I4312" i="60"/>
  <c r="I4313" i="60"/>
  <c r="I4314" i="60"/>
  <c r="I4315" i="60"/>
  <c r="I4316" i="60"/>
  <c r="I4317" i="60"/>
  <c r="I4318" i="60"/>
  <c r="I4319" i="60"/>
  <c r="I4320" i="60"/>
  <c r="I4321" i="60"/>
  <c r="I4322" i="60"/>
  <c r="I4323" i="60"/>
  <c r="I4324" i="60"/>
  <c r="I4325" i="60"/>
  <c r="I4326" i="60"/>
  <c r="I4327" i="60"/>
  <c r="I4328" i="60"/>
  <c r="I4329" i="60"/>
  <c r="I4330" i="60"/>
  <c r="I4331" i="60"/>
  <c r="I4332" i="60"/>
  <c r="I4333" i="60"/>
  <c r="I4334" i="60"/>
  <c r="I4335" i="60"/>
  <c r="I4336" i="60"/>
  <c r="I4337" i="60"/>
  <c r="I4338" i="60"/>
  <c r="I4339" i="60"/>
  <c r="I4340" i="60"/>
  <c r="I4341" i="60"/>
  <c r="I4342" i="60"/>
  <c r="I4343" i="60"/>
  <c r="I4344" i="60"/>
  <c r="I4345" i="60"/>
  <c r="I4346" i="60"/>
  <c r="I4347" i="60"/>
  <c r="I4348" i="60"/>
  <c r="I4349" i="60"/>
  <c r="I4350" i="60"/>
  <c r="I4351" i="60"/>
  <c r="I4352" i="60"/>
  <c r="I4353" i="60"/>
  <c r="I4354" i="60"/>
  <c r="I4355" i="60"/>
  <c r="I4356" i="60"/>
  <c r="I4357" i="60"/>
  <c r="I4358" i="60"/>
  <c r="I4359" i="60"/>
  <c r="I4360" i="60"/>
  <c r="I4361" i="60"/>
  <c r="I4362" i="60"/>
  <c r="I4363" i="60"/>
  <c r="I4364" i="60"/>
  <c r="I4365" i="60"/>
  <c r="I4366" i="60"/>
  <c r="I4367" i="60"/>
  <c r="I4368" i="60"/>
  <c r="I4369" i="60"/>
  <c r="I4370" i="60"/>
  <c r="I4371" i="60"/>
  <c r="I4372" i="60"/>
  <c r="I4373" i="60"/>
  <c r="I4374" i="60"/>
  <c r="I4375" i="60"/>
  <c r="I4376" i="60"/>
  <c r="I4377" i="60"/>
  <c r="I4378" i="60"/>
  <c r="I4379" i="60"/>
  <c r="I4380" i="60"/>
  <c r="I4381" i="60"/>
  <c r="I4382" i="60"/>
  <c r="I4383" i="60"/>
  <c r="I4384" i="60"/>
  <c r="I4385" i="60"/>
  <c r="I4386" i="60"/>
  <c r="I4387" i="60"/>
  <c r="I4388" i="60"/>
  <c r="I4389" i="60"/>
  <c r="I4390" i="60"/>
  <c r="I4391" i="60"/>
  <c r="I4392" i="60"/>
  <c r="I4393" i="60"/>
  <c r="I4394" i="60"/>
  <c r="I4395" i="60"/>
  <c r="I4396" i="60"/>
  <c r="I4397" i="60"/>
  <c r="I4398" i="60"/>
  <c r="I4399" i="60"/>
  <c r="I4400" i="60"/>
  <c r="I4401" i="60"/>
  <c r="I4402" i="60"/>
  <c r="I4403" i="60"/>
  <c r="I4404" i="60"/>
  <c r="I4405" i="60"/>
  <c r="I4406" i="60"/>
  <c r="I4407" i="60"/>
  <c r="I4408" i="60"/>
  <c r="I4409" i="60"/>
  <c r="I4410" i="60"/>
  <c r="I4411" i="60"/>
  <c r="I4412" i="60"/>
  <c r="I4413" i="60"/>
  <c r="I4414" i="60"/>
  <c r="I4415" i="60"/>
  <c r="I4416" i="60"/>
  <c r="I4417" i="60"/>
  <c r="I4418" i="60"/>
  <c r="I4419" i="60"/>
  <c r="I4420" i="60"/>
  <c r="I4421" i="60"/>
  <c r="I4422" i="60"/>
  <c r="I4423" i="60"/>
  <c r="I4424" i="60"/>
  <c r="I4425" i="60"/>
  <c r="I4426" i="60"/>
  <c r="I4427" i="60"/>
  <c r="I4428" i="60"/>
  <c r="I4429" i="60"/>
  <c r="I4430" i="60"/>
  <c r="I4431" i="60"/>
  <c r="I4432" i="60"/>
  <c r="I4433" i="60"/>
  <c r="I4434" i="60"/>
  <c r="I4435" i="60"/>
  <c r="I4436" i="60"/>
  <c r="I4437" i="60"/>
  <c r="I4438" i="60"/>
  <c r="I4439" i="60"/>
  <c r="I4440" i="60"/>
  <c r="I4441" i="60"/>
  <c r="I4442" i="60"/>
  <c r="I4443" i="60"/>
  <c r="I4444" i="60"/>
  <c r="I4445" i="60"/>
  <c r="I4446" i="60"/>
  <c r="I4447" i="60"/>
  <c r="I4448" i="60"/>
  <c r="I4449" i="60"/>
  <c r="I4450" i="60"/>
  <c r="I4451" i="60"/>
  <c r="I4452" i="60"/>
  <c r="I4453" i="60"/>
  <c r="I4454" i="60"/>
  <c r="I4455" i="60"/>
  <c r="I4456" i="60"/>
  <c r="I4457" i="60"/>
  <c r="I4458" i="60"/>
  <c r="I4459" i="60"/>
  <c r="I4460" i="60"/>
  <c r="I4461" i="60"/>
  <c r="I4462" i="60"/>
  <c r="I4463" i="60"/>
  <c r="I4464" i="60"/>
  <c r="I4465" i="60"/>
  <c r="I4466" i="60"/>
  <c r="I4467" i="60"/>
  <c r="I4468" i="60"/>
  <c r="I4469" i="60"/>
  <c r="I4470" i="60"/>
  <c r="I4471" i="60"/>
  <c r="I4472" i="60"/>
  <c r="I4473" i="60"/>
  <c r="I4474" i="60"/>
  <c r="I4475" i="60"/>
  <c r="I4476" i="60"/>
  <c r="I4477" i="60"/>
  <c r="I4478" i="60"/>
  <c r="I4479" i="60"/>
  <c r="I4480" i="60"/>
  <c r="I4481" i="60"/>
  <c r="I4482" i="60"/>
  <c r="I4483" i="60"/>
  <c r="I4484" i="60"/>
  <c r="I4485" i="60"/>
  <c r="I4486" i="60"/>
  <c r="I4487" i="60"/>
  <c r="I4488" i="60"/>
  <c r="I4489" i="60"/>
  <c r="I4490" i="60"/>
  <c r="I4491" i="60"/>
  <c r="I4492" i="60"/>
  <c r="I4493" i="60"/>
  <c r="I4494" i="60"/>
  <c r="I4495" i="60"/>
  <c r="I4496" i="60"/>
  <c r="I4497" i="60"/>
  <c r="I4498" i="60"/>
  <c r="I4499" i="60"/>
  <c r="I4500" i="60"/>
  <c r="I4501" i="60"/>
  <c r="I4502" i="60"/>
  <c r="I4503" i="60"/>
  <c r="I4504" i="60"/>
  <c r="I4505" i="60"/>
  <c r="I4506" i="60"/>
  <c r="I4507" i="60"/>
  <c r="I4508" i="60"/>
  <c r="I4509" i="60"/>
  <c r="I4510" i="60"/>
  <c r="I4511" i="60"/>
  <c r="I4512" i="60"/>
  <c r="I4513" i="60"/>
  <c r="I4514" i="60"/>
  <c r="I4515" i="60"/>
  <c r="I4516" i="60"/>
  <c r="I4517" i="60"/>
  <c r="I4518" i="60"/>
  <c r="I4519" i="60"/>
  <c r="I4520" i="60"/>
  <c r="I4521" i="60"/>
  <c r="I4522" i="60"/>
  <c r="I4523" i="60"/>
  <c r="I4524" i="60"/>
  <c r="I4525" i="60"/>
  <c r="I4526" i="60"/>
  <c r="I4527" i="60"/>
  <c r="I4528" i="60"/>
  <c r="I4529" i="60"/>
  <c r="I4530" i="60"/>
  <c r="I4531" i="60"/>
  <c r="I4532" i="60"/>
  <c r="I4533" i="60"/>
  <c r="I4534" i="60"/>
  <c r="I4535" i="60"/>
  <c r="I4536" i="60"/>
  <c r="I4537" i="60"/>
  <c r="I4538" i="60"/>
  <c r="I4539" i="60"/>
  <c r="I4540" i="60"/>
  <c r="I4541" i="60"/>
  <c r="I4542" i="60"/>
  <c r="I4543" i="60"/>
  <c r="I4544" i="60"/>
  <c r="I4545" i="60"/>
  <c r="I4546" i="60"/>
  <c r="I4547" i="60"/>
  <c r="I4548" i="60"/>
  <c r="I4549" i="60"/>
  <c r="I4550" i="60"/>
  <c r="I4551" i="60"/>
  <c r="I4552" i="60"/>
  <c r="I4553" i="60"/>
  <c r="I4554" i="60"/>
  <c r="I4555" i="60"/>
  <c r="I4556" i="60"/>
  <c r="I4557" i="60"/>
  <c r="I4558" i="60"/>
  <c r="I4559" i="60"/>
  <c r="I4560" i="60"/>
  <c r="I4561" i="60"/>
  <c r="I4562" i="60"/>
  <c r="I4563" i="60"/>
  <c r="I4564" i="60"/>
  <c r="I4565" i="60"/>
  <c r="I4566" i="60"/>
  <c r="I4567" i="60"/>
  <c r="I4568" i="60"/>
  <c r="I4569" i="60"/>
  <c r="I4570" i="60"/>
  <c r="I4571" i="60"/>
  <c r="I4572" i="60"/>
  <c r="I4573" i="60"/>
  <c r="I4574" i="60"/>
  <c r="I4575" i="60"/>
  <c r="I4576" i="60"/>
  <c r="I4577" i="60"/>
  <c r="I4578" i="60"/>
  <c r="I4579" i="60"/>
  <c r="I4580" i="60"/>
  <c r="I4581" i="60"/>
  <c r="I4582" i="60"/>
  <c r="I4583" i="60"/>
  <c r="I4584" i="60"/>
  <c r="I4585" i="60"/>
  <c r="I4586" i="60"/>
  <c r="I4587" i="60"/>
  <c r="I4588" i="60"/>
  <c r="I4589" i="60"/>
  <c r="I4590" i="60"/>
  <c r="I4591" i="60"/>
  <c r="I4592" i="60"/>
  <c r="I4593" i="60"/>
  <c r="I4594" i="60"/>
  <c r="I4595" i="60"/>
  <c r="I4596" i="60"/>
  <c r="I4597" i="60"/>
  <c r="I4598" i="60"/>
  <c r="I4599" i="60"/>
  <c r="I4600" i="60"/>
  <c r="I4601" i="60"/>
  <c r="I4602" i="60"/>
  <c r="I4603" i="60"/>
  <c r="I4604" i="60"/>
  <c r="I4605" i="60"/>
  <c r="I4606" i="60"/>
  <c r="I4607" i="60"/>
  <c r="I4608" i="60"/>
  <c r="I4609" i="60"/>
  <c r="I4610" i="60"/>
  <c r="I4611" i="60"/>
  <c r="I4612" i="60"/>
  <c r="I4613" i="60"/>
  <c r="I4614" i="60"/>
  <c r="I4615" i="60"/>
  <c r="I4616" i="60"/>
  <c r="I4617" i="60"/>
  <c r="I4618" i="60"/>
  <c r="I4619" i="60"/>
  <c r="I4620" i="60"/>
  <c r="I4621" i="60"/>
  <c r="I4622" i="60"/>
  <c r="I4623" i="60"/>
  <c r="I4624" i="60"/>
  <c r="I4625" i="60"/>
  <c r="I4626" i="60"/>
  <c r="I4627" i="60"/>
  <c r="I4628" i="60"/>
  <c r="I4629" i="60"/>
  <c r="I4630" i="60"/>
  <c r="I4631" i="60"/>
  <c r="I4632" i="60"/>
  <c r="I4633" i="60"/>
  <c r="I4634" i="60"/>
  <c r="I4635" i="60"/>
  <c r="I4636" i="60"/>
  <c r="I4637" i="60"/>
  <c r="I4638" i="60"/>
  <c r="I4639" i="60"/>
  <c r="I4640" i="60"/>
  <c r="I4641" i="60"/>
  <c r="I4642" i="60"/>
  <c r="I4643" i="60"/>
  <c r="I4644" i="60"/>
  <c r="I4645" i="60"/>
  <c r="I4646" i="60"/>
  <c r="I4647" i="60"/>
  <c r="I4648" i="60"/>
  <c r="I4649" i="60"/>
  <c r="I4650" i="60"/>
  <c r="I4651" i="60"/>
  <c r="I4652" i="60"/>
  <c r="I4653" i="60"/>
  <c r="I4654" i="60"/>
  <c r="I4655" i="60"/>
  <c r="I4656" i="60"/>
  <c r="I4657" i="60"/>
  <c r="I4658" i="60"/>
  <c r="I4659" i="60"/>
  <c r="I4660" i="60"/>
  <c r="I4661" i="60"/>
  <c r="I4662" i="60"/>
  <c r="I4663" i="60"/>
  <c r="I4664" i="60"/>
  <c r="I4665" i="60"/>
  <c r="I4666" i="60"/>
  <c r="I4667" i="60"/>
  <c r="I4668" i="60"/>
  <c r="I4669" i="60"/>
  <c r="I4670" i="60"/>
  <c r="I4671" i="60"/>
  <c r="I4672" i="60"/>
  <c r="I4673" i="60"/>
  <c r="I4674" i="60"/>
  <c r="I4675" i="60"/>
  <c r="I4676" i="60"/>
  <c r="I4677" i="60"/>
  <c r="I4678" i="60"/>
  <c r="I4679" i="60"/>
  <c r="I4680" i="60"/>
  <c r="I4681" i="60"/>
  <c r="I4682" i="60"/>
  <c r="I4683" i="60"/>
  <c r="I4684" i="60"/>
  <c r="I4685" i="60"/>
  <c r="I4686" i="60"/>
  <c r="I4687" i="60"/>
  <c r="I4688" i="60"/>
  <c r="I4689" i="60"/>
  <c r="I4690" i="60"/>
  <c r="I4691" i="60"/>
  <c r="I4692" i="60"/>
  <c r="I4693" i="60"/>
  <c r="I4694" i="60"/>
  <c r="I4695" i="60"/>
  <c r="I4696" i="60"/>
  <c r="I4697" i="60"/>
  <c r="I4698" i="60"/>
  <c r="I4699" i="60"/>
  <c r="I4700" i="60"/>
  <c r="I4701" i="60"/>
  <c r="I4702" i="60"/>
  <c r="I4703" i="60"/>
  <c r="I4704" i="60"/>
  <c r="I4705" i="60"/>
  <c r="I4706" i="60"/>
  <c r="I4707" i="60"/>
  <c r="I4708" i="60"/>
  <c r="I4709" i="60"/>
  <c r="I4710" i="60"/>
  <c r="I4711" i="60"/>
  <c r="I4712" i="60"/>
  <c r="I4713" i="60"/>
  <c r="I4714" i="60"/>
  <c r="I4715" i="60"/>
  <c r="I4716" i="60"/>
  <c r="I4717" i="60"/>
  <c r="I4718" i="60"/>
  <c r="I4719" i="60"/>
  <c r="I4720" i="60"/>
  <c r="I4721" i="60"/>
  <c r="I4722" i="60"/>
  <c r="I4723" i="60"/>
  <c r="I4724" i="60"/>
  <c r="I4725" i="60"/>
  <c r="I4726" i="60"/>
  <c r="I4727" i="60"/>
  <c r="I4728" i="60"/>
  <c r="I4729" i="60"/>
  <c r="I4730" i="60"/>
  <c r="I4731" i="60"/>
  <c r="I4732" i="60"/>
  <c r="I4733" i="60"/>
  <c r="I4734" i="60"/>
  <c r="I4735" i="60"/>
  <c r="I4736" i="60"/>
  <c r="I4737" i="60"/>
  <c r="I4738" i="60"/>
  <c r="I4739" i="60"/>
  <c r="I4740" i="60"/>
  <c r="I4741" i="60"/>
  <c r="I4742" i="60"/>
  <c r="I4743" i="60"/>
  <c r="I4744" i="60"/>
  <c r="I4745" i="60"/>
  <c r="I4746" i="60"/>
  <c r="I4747" i="60"/>
  <c r="I4748" i="60"/>
  <c r="I4749" i="60"/>
  <c r="I4750" i="60"/>
  <c r="I4751" i="60"/>
  <c r="I4752" i="60"/>
  <c r="I4753" i="60"/>
  <c r="I4754" i="60"/>
  <c r="I4755" i="60"/>
  <c r="I4756" i="60"/>
  <c r="I4757" i="60"/>
  <c r="I4758" i="60"/>
  <c r="I4759" i="60"/>
  <c r="I4760" i="60"/>
  <c r="I4761" i="60"/>
  <c r="I4762" i="60"/>
  <c r="I4763" i="60"/>
  <c r="I4764" i="60"/>
  <c r="I4765" i="60"/>
  <c r="I4766" i="60"/>
  <c r="I4767" i="60"/>
  <c r="I4768" i="60"/>
  <c r="I4769" i="60"/>
  <c r="I4770" i="60"/>
  <c r="I4771" i="60"/>
  <c r="I4772" i="60"/>
  <c r="I4773" i="60"/>
  <c r="I4774" i="60"/>
  <c r="I4775" i="60"/>
  <c r="I4776" i="60"/>
  <c r="I4777" i="60"/>
  <c r="I4778" i="60"/>
  <c r="I4779" i="60"/>
  <c r="I4780" i="60"/>
  <c r="I4781" i="60"/>
  <c r="I4782" i="60"/>
  <c r="I4783" i="60"/>
  <c r="I4784" i="60"/>
  <c r="I4785" i="60"/>
  <c r="I4786" i="60"/>
  <c r="I4787" i="60"/>
  <c r="I4788" i="60"/>
  <c r="I4789" i="60"/>
  <c r="I4790" i="60"/>
  <c r="I4791" i="60"/>
  <c r="I4792" i="60"/>
  <c r="I4793" i="60"/>
  <c r="I4794" i="60"/>
  <c r="I4795" i="60"/>
  <c r="I4796" i="60"/>
  <c r="I4797" i="60"/>
  <c r="I4798" i="60"/>
  <c r="I4799" i="60"/>
  <c r="I4800" i="60"/>
  <c r="I4801" i="60"/>
  <c r="I4802" i="60"/>
  <c r="I4803" i="60"/>
  <c r="I4804" i="60"/>
  <c r="I4805" i="60"/>
  <c r="I4806" i="60"/>
  <c r="I4807" i="60"/>
  <c r="I4808" i="60"/>
  <c r="I4809" i="60"/>
  <c r="I4810" i="60"/>
  <c r="I4811" i="60"/>
  <c r="I4812" i="60"/>
  <c r="I4813" i="60"/>
  <c r="I4814" i="60"/>
  <c r="I4815" i="60"/>
  <c r="I4816" i="60"/>
  <c r="I4817" i="60"/>
  <c r="I4818" i="60"/>
  <c r="I4819" i="60"/>
  <c r="I4820" i="60"/>
  <c r="I4821" i="60"/>
  <c r="I4822" i="60"/>
  <c r="I4823" i="60"/>
  <c r="I4824" i="60"/>
  <c r="I4825" i="60"/>
  <c r="I4826" i="60"/>
  <c r="I4827" i="60"/>
  <c r="I4828" i="60"/>
  <c r="I4829" i="60"/>
  <c r="I4830" i="60"/>
  <c r="I4831" i="60"/>
  <c r="I4832" i="60"/>
  <c r="I4833" i="60"/>
  <c r="I4834" i="60"/>
  <c r="I4835" i="60"/>
  <c r="I4836" i="60"/>
  <c r="I4837" i="60"/>
  <c r="I4838" i="60"/>
  <c r="I4839" i="60"/>
  <c r="I4840" i="60"/>
  <c r="I4841" i="60"/>
  <c r="I4842" i="60"/>
  <c r="I4843" i="60"/>
  <c r="I4844" i="60"/>
  <c r="I4845" i="60"/>
  <c r="I4846" i="60"/>
  <c r="I4847" i="60"/>
  <c r="I4848" i="60"/>
  <c r="I4849" i="60"/>
  <c r="I4850" i="60"/>
  <c r="I4851" i="60"/>
  <c r="I4852" i="60"/>
  <c r="I4853" i="60"/>
  <c r="I4854" i="60"/>
  <c r="I4855" i="60"/>
  <c r="I4856" i="60"/>
  <c r="I4857" i="60"/>
  <c r="I4858" i="60"/>
  <c r="I4859" i="60"/>
  <c r="I4860" i="60"/>
  <c r="I4861" i="60"/>
  <c r="I4862" i="60"/>
  <c r="I4863" i="60"/>
  <c r="I4864" i="60"/>
  <c r="I4865" i="60"/>
  <c r="I4866" i="60"/>
  <c r="I4867" i="60"/>
  <c r="I4868" i="60"/>
  <c r="I4869" i="60"/>
  <c r="I4870" i="60"/>
  <c r="I4871" i="60"/>
  <c r="I4872" i="60"/>
  <c r="I4873" i="60"/>
  <c r="I4874" i="60"/>
  <c r="I4875" i="60"/>
  <c r="I4876" i="60"/>
  <c r="I4877" i="60"/>
  <c r="I4878" i="60"/>
  <c r="I4879" i="60"/>
  <c r="I4880" i="60"/>
  <c r="I4881" i="60"/>
  <c r="I4882" i="60"/>
  <c r="I4883" i="60"/>
  <c r="I4884" i="60"/>
  <c r="I4885" i="60"/>
  <c r="I4886" i="60"/>
  <c r="I4887" i="60"/>
  <c r="I4888" i="60"/>
  <c r="I4889" i="60"/>
  <c r="I4890" i="60"/>
  <c r="I4891" i="60"/>
  <c r="I4892" i="60"/>
  <c r="I4893" i="60"/>
  <c r="I4894" i="60"/>
  <c r="I4895" i="60"/>
  <c r="I4896" i="60"/>
  <c r="I4897" i="60"/>
  <c r="I4898" i="60"/>
  <c r="I4899" i="60"/>
  <c r="I4900" i="60"/>
  <c r="I4901" i="60"/>
  <c r="I4902" i="60"/>
  <c r="I4903" i="60"/>
  <c r="I4904" i="60"/>
  <c r="I4905" i="60"/>
  <c r="I4906" i="60"/>
  <c r="I4907" i="60"/>
  <c r="I4908" i="60"/>
  <c r="I4909" i="60"/>
  <c r="I4910" i="60"/>
  <c r="I4911" i="60"/>
  <c r="I4912" i="60"/>
  <c r="I4913" i="60"/>
  <c r="I4914" i="60"/>
  <c r="I4915" i="60"/>
  <c r="I4916" i="60"/>
  <c r="I4917" i="60"/>
  <c r="I4918" i="60"/>
  <c r="I4919" i="60"/>
  <c r="I4920" i="60"/>
  <c r="I4921" i="60"/>
  <c r="I4922" i="60"/>
  <c r="I4923" i="60"/>
  <c r="I4924" i="60"/>
  <c r="I4925" i="60"/>
  <c r="I4926" i="60"/>
  <c r="I4927" i="60"/>
  <c r="I4928" i="60"/>
  <c r="I4929" i="60"/>
  <c r="I4930" i="60"/>
  <c r="I4931" i="60"/>
  <c r="I4932" i="60"/>
  <c r="I4933" i="60"/>
  <c r="I4934" i="60"/>
  <c r="I4935" i="60"/>
  <c r="I4936" i="60"/>
  <c r="I4937" i="60"/>
  <c r="I4938" i="60"/>
  <c r="I4939" i="60"/>
  <c r="I4940" i="60"/>
  <c r="I4941" i="60"/>
  <c r="I4942" i="60"/>
  <c r="I4943" i="60"/>
  <c r="I4944" i="60"/>
  <c r="I4945" i="60"/>
  <c r="I4946" i="60"/>
  <c r="I4947" i="60"/>
  <c r="I4948" i="60"/>
  <c r="I4949" i="60"/>
  <c r="I4950" i="60"/>
  <c r="I4951" i="60"/>
  <c r="I4952" i="60"/>
  <c r="I4953" i="60"/>
  <c r="I4954" i="60"/>
  <c r="I4955" i="60"/>
  <c r="I4956" i="60"/>
  <c r="I4957" i="60"/>
  <c r="I4958" i="60"/>
  <c r="I4959" i="60"/>
  <c r="I4960" i="60"/>
  <c r="I4961" i="60"/>
  <c r="I4962" i="60"/>
  <c r="I4963" i="60"/>
  <c r="I4964" i="60"/>
  <c r="I4965" i="60"/>
  <c r="I4966" i="60"/>
  <c r="I4967" i="60"/>
  <c r="I4968" i="60"/>
  <c r="I4969" i="60"/>
  <c r="I4970" i="60"/>
  <c r="I4971" i="60"/>
  <c r="I4972" i="60"/>
  <c r="I4973" i="60"/>
  <c r="I4974" i="60"/>
  <c r="I4975" i="60"/>
  <c r="I4976" i="60"/>
  <c r="I4977" i="60"/>
  <c r="I4978" i="60"/>
  <c r="I4979" i="60"/>
  <c r="I4980" i="60"/>
  <c r="I4981" i="60"/>
  <c r="I4982" i="60"/>
  <c r="I4983" i="60"/>
  <c r="I4984" i="60"/>
  <c r="I4985" i="60"/>
  <c r="I4986" i="60"/>
  <c r="I4987" i="60"/>
  <c r="I4988" i="60"/>
  <c r="I4989" i="60"/>
  <c r="I4990" i="60"/>
  <c r="I4991" i="60"/>
  <c r="I4992" i="60"/>
  <c r="I4993" i="60"/>
  <c r="I4994" i="60"/>
  <c r="I4995" i="60"/>
  <c r="I4996" i="60"/>
  <c r="I4997" i="60"/>
  <c r="I4998" i="60"/>
  <c r="I4999" i="60"/>
  <c r="I5000" i="60"/>
  <c r="I2" i="60"/>
  <c r="C179" i="62" l="1"/>
  <c r="B179" i="62" s="1"/>
  <c r="A179" i="62" s="1"/>
  <c r="H3" i="58"/>
  <c r="H4" i="58"/>
  <c r="H5" i="58"/>
  <c r="H6" i="58"/>
  <c r="H7" i="58"/>
  <c r="H8" i="58"/>
  <c r="H9" i="58"/>
  <c r="H10" i="58"/>
  <c r="H11" i="58"/>
  <c r="H12" i="58"/>
  <c r="H13" i="58"/>
  <c r="H14" i="58"/>
  <c r="H15" i="58"/>
  <c r="H16" i="58"/>
  <c r="H17" i="58"/>
  <c r="H18" i="58"/>
  <c r="H19" i="58"/>
  <c r="H20" i="58"/>
  <c r="H21" i="58"/>
  <c r="H22" i="58"/>
  <c r="H23" i="58"/>
  <c r="H24" i="58"/>
  <c r="H25" i="58"/>
  <c r="H26" i="58"/>
  <c r="H27" i="58"/>
  <c r="H28" i="58"/>
  <c r="H29" i="58"/>
  <c r="H30" i="58"/>
  <c r="H31" i="58"/>
  <c r="H32" i="58"/>
  <c r="H33" i="58"/>
  <c r="H34" i="58"/>
  <c r="H35" i="58"/>
  <c r="H36" i="58"/>
  <c r="H37" i="58"/>
  <c r="H38" i="58"/>
  <c r="H39" i="58"/>
  <c r="H40" i="58"/>
  <c r="H41" i="58"/>
  <c r="H42" i="58"/>
  <c r="H43" i="58"/>
  <c r="H44" i="58"/>
  <c r="H45" i="58"/>
  <c r="H46" i="58"/>
  <c r="H47" i="58"/>
  <c r="H48" i="58"/>
  <c r="H49" i="58"/>
  <c r="H50" i="58"/>
  <c r="H51" i="58"/>
  <c r="H52" i="58"/>
  <c r="H53" i="58"/>
  <c r="H54" i="58"/>
  <c r="H55" i="58"/>
  <c r="H56" i="58"/>
  <c r="H57" i="58"/>
  <c r="H58" i="58"/>
  <c r="H59" i="58"/>
  <c r="H60" i="58"/>
  <c r="H61" i="58"/>
  <c r="H62" i="58"/>
  <c r="H63" i="58"/>
  <c r="H64" i="58"/>
  <c r="H65" i="58"/>
  <c r="H66" i="58"/>
  <c r="H67" i="58"/>
  <c r="H68" i="58"/>
  <c r="H69" i="58"/>
  <c r="H70" i="58"/>
  <c r="H71" i="58"/>
  <c r="H72" i="58"/>
  <c r="H73" i="58"/>
  <c r="H74" i="58"/>
  <c r="H75" i="58"/>
  <c r="H76" i="58"/>
  <c r="H77" i="58"/>
  <c r="H78" i="58"/>
  <c r="H79" i="58"/>
  <c r="H80" i="58"/>
  <c r="H81" i="58"/>
  <c r="H82" i="58"/>
  <c r="H83" i="58"/>
  <c r="H84" i="58"/>
  <c r="H85" i="58"/>
  <c r="H86" i="58"/>
  <c r="H87" i="58"/>
  <c r="H88" i="58"/>
  <c r="H89" i="58"/>
  <c r="H90" i="58"/>
  <c r="H91" i="58"/>
  <c r="H92" i="58"/>
  <c r="H93" i="58"/>
  <c r="H94" i="58"/>
  <c r="H95" i="58"/>
  <c r="H96" i="58"/>
  <c r="H97" i="58"/>
  <c r="H98" i="58"/>
  <c r="H99" i="58"/>
  <c r="H100" i="58"/>
  <c r="H101" i="58"/>
  <c r="H102" i="58"/>
  <c r="H103" i="58"/>
  <c r="H104" i="58"/>
  <c r="H105" i="58"/>
  <c r="H106" i="58"/>
  <c r="H107" i="58"/>
  <c r="H108" i="58"/>
  <c r="H109" i="58"/>
  <c r="H110" i="58"/>
  <c r="H111" i="58"/>
  <c r="H112" i="58"/>
  <c r="H113" i="58"/>
  <c r="H114" i="58"/>
  <c r="H115" i="58"/>
  <c r="H116" i="58"/>
  <c r="H117" i="58"/>
  <c r="H118" i="58"/>
  <c r="H119" i="58"/>
  <c r="H120" i="58"/>
  <c r="H121" i="58"/>
  <c r="H122" i="58"/>
  <c r="H123" i="58"/>
  <c r="H124" i="58"/>
  <c r="H125" i="58"/>
  <c r="H126" i="58"/>
  <c r="H127" i="58"/>
  <c r="H128" i="58"/>
  <c r="H129" i="58"/>
  <c r="H130" i="58"/>
  <c r="H131" i="58"/>
  <c r="H132" i="58"/>
  <c r="H133" i="58"/>
  <c r="H134" i="58"/>
  <c r="H135" i="58"/>
  <c r="H136" i="58"/>
  <c r="H137" i="58"/>
  <c r="H138" i="58"/>
  <c r="H139" i="58"/>
  <c r="H140" i="58"/>
  <c r="H141" i="58"/>
  <c r="H142" i="58"/>
  <c r="H143" i="58"/>
  <c r="H144" i="58"/>
  <c r="H145" i="58"/>
  <c r="H146" i="58"/>
  <c r="H147" i="58"/>
  <c r="H148" i="58"/>
  <c r="H149" i="58"/>
  <c r="H150" i="58"/>
  <c r="H151" i="58"/>
  <c r="H152" i="58"/>
  <c r="H153" i="58"/>
  <c r="H154" i="58"/>
  <c r="H155" i="58"/>
  <c r="H156" i="58"/>
  <c r="H157" i="58"/>
  <c r="H158" i="58"/>
  <c r="H159" i="58"/>
  <c r="H160" i="58"/>
  <c r="H161" i="58"/>
  <c r="H162" i="58"/>
  <c r="H163" i="58"/>
  <c r="H164" i="58"/>
  <c r="H165" i="58"/>
  <c r="H166" i="58"/>
  <c r="H167" i="58"/>
  <c r="H168" i="58"/>
  <c r="H169" i="58"/>
  <c r="H170" i="58"/>
  <c r="H171" i="58"/>
  <c r="H172" i="58"/>
  <c r="H173" i="58"/>
  <c r="H174" i="58"/>
  <c r="H175" i="58"/>
  <c r="H176" i="58"/>
  <c r="H177" i="58"/>
  <c r="H178" i="58"/>
  <c r="H179" i="58"/>
  <c r="H180" i="58"/>
  <c r="H181" i="58"/>
  <c r="H182" i="58"/>
  <c r="H183" i="58"/>
  <c r="H184" i="58"/>
  <c r="H185" i="58"/>
  <c r="H186" i="58"/>
  <c r="H187" i="58"/>
  <c r="H188" i="58"/>
  <c r="H189" i="58"/>
  <c r="H190" i="58"/>
  <c r="H191" i="58"/>
  <c r="H192" i="58"/>
  <c r="H193" i="58"/>
  <c r="H194" i="58"/>
  <c r="H195" i="58"/>
  <c r="H196" i="58"/>
  <c r="H197" i="58"/>
  <c r="H198" i="58"/>
  <c r="H199" i="58"/>
  <c r="H200" i="58"/>
  <c r="H201" i="58"/>
  <c r="H202" i="58"/>
  <c r="H203" i="58"/>
  <c r="H204" i="58"/>
  <c r="H205" i="58"/>
  <c r="H206" i="58"/>
  <c r="H207" i="58"/>
  <c r="H208" i="58"/>
  <c r="H209" i="58"/>
  <c r="H210" i="58"/>
  <c r="H211" i="58"/>
  <c r="H212" i="58"/>
  <c r="H213" i="58"/>
  <c r="H214" i="58"/>
  <c r="H215" i="58"/>
  <c r="H216" i="58"/>
  <c r="H217" i="58"/>
  <c r="H218" i="58"/>
  <c r="H219" i="58"/>
  <c r="H220" i="58"/>
  <c r="H221" i="58"/>
  <c r="H222" i="58"/>
  <c r="H223" i="58"/>
  <c r="H224" i="58"/>
  <c r="H225" i="58"/>
  <c r="H226" i="58"/>
  <c r="H227" i="58"/>
  <c r="H228" i="58"/>
  <c r="H229" i="58"/>
  <c r="H230" i="58"/>
  <c r="H231" i="58"/>
  <c r="H232" i="58"/>
  <c r="H233" i="58"/>
  <c r="H234" i="58"/>
  <c r="H235" i="58"/>
  <c r="H236" i="58"/>
  <c r="H237" i="58"/>
  <c r="H238" i="58"/>
  <c r="H239" i="58"/>
  <c r="H240" i="58"/>
  <c r="H241" i="58"/>
  <c r="H242" i="58"/>
  <c r="H243" i="58"/>
  <c r="H244" i="58"/>
  <c r="H245" i="58"/>
  <c r="H246" i="58"/>
  <c r="H247" i="58"/>
  <c r="H248" i="58"/>
  <c r="H249" i="58"/>
  <c r="H250" i="58"/>
  <c r="H251" i="58"/>
  <c r="H252" i="58"/>
  <c r="H253" i="58"/>
  <c r="H254" i="58"/>
  <c r="H255" i="58"/>
  <c r="H256" i="58"/>
  <c r="H257" i="58"/>
  <c r="H258" i="58"/>
  <c r="H259" i="58"/>
  <c r="H260" i="58"/>
  <c r="H261" i="58"/>
  <c r="H262" i="58"/>
  <c r="H263" i="58"/>
  <c r="H264" i="58"/>
  <c r="H265" i="58"/>
  <c r="H266" i="58"/>
  <c r="H267" i="58"/>
  <c r="H268" i="58"/>
  <c r="H269" i="58"/>
  <c r="H270" i="58"/>
  <c r="H271" i="58"/>
  <c r="H272" i="58"/>
  <c r="H273" i="58"/>
  <c r="H274" i="58"/>
  <c r="H275" i="58"/>
  <c r="H276" i="58"/>
  <c r="H277" i="58"/>
  <c r="H278" i="58"/>
  <c r="H279" i="58"/>
  <c r="H280" i="58"/>
  <c r="H281" i="58"/>
  <c r="H282" i="58"/>
  <c r="H283" i="58"/>
  <c r="H284" i="58"/>
  <c r="H285" i="58"/>
  <c r="H286" i="58"/>
  <c r="H287" i="58"/>
  <c r="H288" i="58"/>
  <c r="H289" i="58"/>
  <c r="H290" i="58"/>
  <c r="H291" i="58"/>
  <c r="H292" i="58"/>
  <c r="H293" i="58"/>
  <c r="H294" i="58"/>
  <c r="H295" i="58"/>
  <c r="H296" i="58"/>
  <c r="H297" i="58"/>
  <c r="H298" i="58"/>
  <c r="H299" i="58"/>
  <c r="H300" i="58"/>
  <c r="H301" i="58"/>
  <c r="H302" i="58"/>
  <c r="H303" i="58"/>
  <c r="H304" i="58"/>
  <c r="H305" i="58"/>
  <c r="H306" i="58"/>
  <c r="H307" i="58"/>
  <c r="H308" i="58"/>
  <c r="H309" i="58"/>
  <c r="H310" i="58"/>
  <c r="H311" i="58"/>
  <c r="H312" i="58"/>
  <c r="H313" i="58"/>
  <c r="H314" i="58"/>
  <c r="H315" i="58"/>
  <c r="H316" i="58"/>
  <c r="H317" i="58"/>
  <c r="H318" i="58"/>
  <c r="H319" i="58"/>
  <c r="H320" i="58"/>
  <c r="H321" i="58"/>
  <c r="H322" i="58"/>
  <c r="H323" i="58"/>
  <c r="H324" i="58"/>
  <c r="H325" i="58"/>
  <c r="H326" i="58"/>
  <c r="H327" i="58"/>
  <c r="H328" i="58"/>
  <c r="H329" i="58"/>
  <c r="H330" i="58"/>
  <c r="H331" i="58"/>
  <c r="H332" i="58"/>
  <c r="H333" i="58"/>
  <c r="H334" i="58"/>
  <c r="H335" i="58"/>
  <c r="H336" i="58"/>
  <c r="H337" i="58"/>
  <c r="H338" i="58"/>
  <c r="H339" i="58"/>
  <c r="H340" i="58"/>
  <c r="H341" i="58"/>
  <c r="H342" i="58"/>
  <c r="H343" i="58"/>
  <c r="H344" i="58"/>
  <c r="H345" i="58"/>
  <c r="H346" i="58"/>
  <c r="H347" i="58"/>
  <c r="H348" i="58"/>
  <c r="H349" i="58"/>
  <c r="H350" i="58"/>
  <c r="H351" i="58"/>
  <c r="H352" i="58"/>
  <c r="H353" i="58"/>
  <c r="H354" i="58"/>
  <c r="H355" i="58"/>
  <c r="H356" i="58"/>
  <c r="H357" i="58"/>
  <c r="H358" i="58"/>
  <c r="H359" i="58"/>
  <c r="H360" i="58"/>
  <c r="H361" i="58"/>
  <c r="H362" i="58"/>
  <c r="H363" i="58"/>
  <c r="H364" i="58"/>
  <c r="H365" i="58"/>
  <c r="H366" i="58"/>
  <c r="H367" i="58"/>
  <c r="H368" i="58"/>
  <c r="H369" i="58"/>
  <c r="H370" i="58"/>
  <c r="H371" i="58"/>
  <c r="H372" i="58"/>
  <c r="H373" i="58"/>
  <c r="H374" i="58"/>
  <c r="H375" i="58"/>
  <c r="H376" i="58"/>
  <c r="H377" i="58"/>
  <c r="H378" i="58"/>
  <c r="H379" i="58"/>
  <c r="H380" i="58"/>
  <c r="H381" i="58"/>
  <c r="H382" i="58"/>
  <c r="H383" i="58"/>
  <c r="H384" i="58"/>
  <c r="H385" i="58"/>
  <c r="H386" i="58"/>
  <c r="H387" i="58"/>
  <c r="H388" i="58"/>
  <c r="H389" i="58"/>
  <c r="H390" i="58"/>
  <c r="H391" i="58"/>
  <c r="H392" i="58"/>
  <c r="H393" i="58"/>
  <c r="H394" i="58"/>
  <c r="H395" i="58"/>
  <c r="H396" i="58"/>
  <c r="H397" i="58"/>
  <c r="H398" i="58"/>
  <c r="H399" i="58"/>
  <c r="H400" i="58"/>
  <c r="H401" i="58"/>
  <c r="H402" i="58"/>
  <c r="H403" i="58"/>
  <c r="H404" i="58"/>
  <c r="H405" i="58"/>
  <c r="H406" i="58"/>
  <c r="H407" i="58"/>
  <c r="H408" i="58"/>
  <c r="H409" i="58"/>
  <c r="H410" i="58"/>
  <c r="H411" i="58"/>
  <c r="H412" i="58"/>
  <c r="H413" i="58"/>
  <c r="H414" i="58"/>
  <c r="H415" i="58"/>
  <c r="H416" i="58"/>
  <c r="H417" i="58"/>
  <c r="H418" i="58"/>
  <c r="H419" i="58"/>
  <c r="H420" i="58"/>
  <c r="H421" i="58"/>
  <c r="H422" i="58"/>
  <c r="H423" i="58"/>
  <c r="H424" i="58"/>
  <c r="H425" i="58"/>
  <c r="H426" i="58"/>
  <c r="H427" i="58"/>
  <c r="H428" i="58"/>
  <c r="H429" i="58"/>
  <c r="H430" i="58"/>
  <c r="H431" i="58"/>
  <c r="H432" i="58"/>
  <c r="H433" i="58"/>
  <c r="H434" i="58"/>
  <c r="H435" i="58"/>
  <c r="H436" i="58"/>
  <c r="H437" i="58"/>
  <c r="H438" i="58"/>
  <c r="H439" i="58"/>
  <c r="H440" i="58"/>
  <c r="H441" i="58"/>
  <c r="H442" i="58"/>
  <c r="H443" i="58"/>
  <c r="H444" i="58"/>
  <c r="H445" i="58"/>
  <c r="H446" i="58"/>
  <c r="H447" i="58"/>
  <c r="H448" i="58"/>
  <c r="H449" i="58"/>
  <c r="H450" i="58"/>
  <c r="H451" i="58"/>
  <c r="H452" i="58"/>
  <c r="H453" i="58"/>
  <c r="H454" i="58"/>
  <c r="H455" i="58"/>
  <c r="H456" i="58"/>
  <c r="H457" i="58"/>
  <c r="H458" i="58"/>
  <c r="H459" i="58"/>
  <c r="H460" i="58"/>
  <c r="H461" i="58"/>
  <c r="H462" i="58"/>
  <c r="H463" i="58"/>
  <c r="H464" i="58"/>
  <c r="H465" i="58"/>
  <c r="H466" i="58"/>
  <c r="H467" i="58"/>
  <c r="H468" i="58"/>
  <c r="H469" i="58"/>
  <c r="H470" i="58"/>
  <c r="H471" i="58"/>
  <c r="H472" i="58"/>
  <c r="H473" i="58"/>
  <c r="H474" i="58"/>
  <c r="H475" i="58"/>
  <c r="H476" i="58"/>
  <c r="H477" i="58"/>
  <c r="H478" i="58"/>
  <c r="H479" i="58"/>
  <c r="H480" i="58"/>
  <c r="H481" i="58"/>
  <c r="H482" i="58"/>
  <c r="H483" i="58"/>
  <c r="H484" i="58"/>
  <c r="H485" i="58"/>
  <c r="H486" i="58"/>
  <c r="H487" i="58"/>
  <c r="H488" i="58"/>
  <c r="H489" i="58"/>
  <c r="H490" i="58"/>
  <c r="H491" i="58"/>
  <c r="H492" i="58"/>
  <c r="H493" i="58"/>
  <c r="H494" i="58"/>
  <c r="H495" i="58"/>
  <c r="H496" i="58"/>
  <c r="H497" i="58"/>
  <c r="H498" i="58"/>
  <c r="H499" i="58"/>
  <c r="H500" i="58"/>
  <c r="H501" i="58"/>
  <c r="H502" i="58"/>
  <c r="H503" i="58"/>
  <c r="H504" i="58"/>
  <c r="H505" i="58"/>
  <c r="H506" i="58"/>
  <c r="H507" i="58"/>
  <c r="H508" i="58"/>
  <c r="H509" i="58"/>
  <c r="H510" i="58"/>
  <c r="H511" i="58"/>
  <c r="H512" i="58"/>
  <c r="H513" i="58"/>
  <c r="H514" i="58"/>
  <c r="H515" i="58"/>
  <c r="H516" i="58"/>
  <c r="H517" i="58"/>
  <c r="H518" i="58"/>
  <c r="H519" i="58"/>
  <c r="H520" i="58"/>
  <c r="H521" i="58"/>
  <c r="H522" i="58"/>
  <c r="H523" i="58"/>
  <c r="H524" i="58"/>
  <c r="H525" i="58"/>
  <c r="H526" i="58"/>
  <c r="H527" i="58"/>
  <c r="H528" i="58"/>
  <c r="H529" i="58"/>
  <c r="H530" i="58"/>
  <c r="H531" i="58"/>
  <c r="H532" i="58"/>
  <c r="H533" i="58"/>
  <c r="H534" i="58"/>
  <c r="H535" i="58"/>
  <c r="H536" i="58"/>
  <c r="H537" i="58"/>
  <c r="H538" i="58"/>
  <c r="H539" i="58"/>
  <c r="H540" i="58"/>
  <c r="H541" i="58"/>
  <c r="H542" i="58"/>
  <c r="H543" i="58"/>
  <c r="H544" i="58"/>
  <c r="H545" i="58"/>
  <c r="H546" i="58"/>
  <c r="H547" i="58"/>
  <c r="H548" i="58"/>
  <c r="H549" i="58"/>
  <c r="H550" i="58"/>
  <c r="H551" i="58"/>
  <c r="H552" i="58"/>
  <c r="H553" i="58"/>
  <c r="H554" i="58"/>
  <c r="H555" i="58"/>
  <c r="H556" i="58"/>
  <c r="H557" i="58"/>
  <c r="H558" i="58"/>
  <c r="H559" i="58"/>
  <c r="H560" i="58"/>
  <c r="H561" i="58"/>
  <c r="H562" i="58"/>
  <c r="H563" i="58"/>
  <c r="H564" i="58"/>
  <c r="H565" i="58"/>
  <c r="H566" i="58"/>
  <c r="H567" i="58"/>
  <c r="H568" i="58"/>
  <c r="H569" i="58"/>
  <c r="H570" i="58"/>
  <c r="H571" i="58"/>
  <c r="H572" i="58"/>
  <c r="H573" i="58"/>
  <c r="H574" i="58"/>
  <c r="H575" i="58"/>
  <c r="H576" i="58"/>
  <c r="H577" i="58"/>
  <c r="H578" i="58"/>
  <c r="H579" i="58"/>
  <c r="H580" i="58"/>
  <c r="H581" i="58"/>
  <c r="H582" i="58"/>
  <c r="H583" i="58"/>
  <c r="H584" i="58"/>
  <c r="H585" i="58"/>
  <c r="H586" i="58"/>
  <c r="H587" i="58"/>
  <c r="H588" i="58"/>
  <c r="H589" i="58"/>
  <c r="H590" i="58"/>
  <c r="H591" i="58"/>
  <c r="H592" i="58"/>
  <c r="H593" i="58"/>
  <c r="H594" i="58"/>
  <c r="H595" i="58"/>
  <c r="H596" i="58"/>
  <c r="H597" i="58"/>
  <c r="H598" i="58"/>
  <c r="H599" i="58"/>
  <c r="H600" i="58"/>
  <c r="H601" i="58"/>
  <c r="H602" i="58"/>
  <c r="H603" i="58"/>
  <c r="H604" i="58"/>
  <c r="H605" i="58"/>
  <c r="H606" i="58"/>
  <c r="H607" i="58"/>
  <c r="H608" i="58"/>
  <c r="H609" i="58"/>
  <c r="H610" i="58"/>
  <c r="H611" i="58"/>
  <c r="H612" i="58"/>
  <c r="H613" i="58"/>
  <c r="H614" i="58"/>
  <c r="H615" i="58"/>
  <c r="H616" i="58"/>
  <c r="H617" i="58"/>
  <c r="H618" i="58"/>
  <c r="H619" i="58"/>
  <c r="H620" i="58"/>
  <c r="H621" i="58"/>
  <c r="H622" i="58"/>
  <c r="H623" i="58"/>
  <c r="H624" i="58"/>
  <c r="H625" i="58"/>
  <c r="H626" i="58"/>
  <c r="H627" i="58"/>
  <c r="H628" i="58"/>
  <c r="H629" i="58"/>
  <c r="H630" i="58"/>
  <c r="H631" i="58"/>
  <c r="H632" i="58"/>
  <c r="H633" i="58"/>
  <c r="H634" i="58"/>
  <c r="H635" i="58"/>
  <c r="H636" i="58"/>
  <c r="H637" i="58"/>
  <c r="H638" i="58"/>
  <c r="H639" i="58"/>
  <c r="H640" i="58"/>
  <c r="H641" i="58"/>
  <c r="H642" i="58"/>
  <c r="H643" i="58"/>
  <c r="H644" i="58"/>
  <c r="H645" i="58"/>
  <c r="H646" i="58"/>
  <c r="H647" i="58"/>
  <c r="H648" i="58"/>
  <c r="H649" i="58"/>
  <c r="H650" i="58"/>
  <c r="H651" i="58"/>
  <c r="H652" i="58"/>
  <c r="H653" i="58"/>
  <c r="H654" i="58"/>
  <c r="H655" i="58"/>
  <c r="H656" i="58"/>
  <c r="H657" i="58"/>
  <c r="H658" i="58"/>
  <c r="H659" i="58"/>
  <c r="H660" i="58"/>
  <c r="H661" i="58"/>
  <c r="H662" i="58"/>
  <c r="H663" i="58"/>
  <c r="H664" i="58"/>
  <c r="H665" i="58"/>
  <c r="H666" i="58"/>
  <c r="H667" i="58"/>
  <c r="H668" i="58"/>
  <c r="H669" i="58"/>
  <c r="H670" i="58"/>
  <c r="H671" i="58"/>
  <c r="H672" i="58"/>
  <c r="H673" i="58"/>
  <c r="H674" i="58"/>
  <c r="H675" i="58"/>
  <c r="H676" i="58"/>
  <c r="H677" i="58"/>
  <c r="H678" i="58"/>
  <c r="H679" i="58"/>
  <c r="H680" i="58"/>
  <c r="H681" i="58"/>
  <c r="H682" i="58"/>
  <c r="H683" i="58"/>
  <c r="H684" i="58"/>
  <c r="H685" i="58"/>
  <c r="H686" i="58"/>
  <c r="H687" i="58"/>
  <c r="H688" i="58"/>
  <c r="H689" i="58"/>
  <c r="H690" i="58"/>
  <c r="H691" i="58"/>
  <c r="H692" i="58"/>
  <c r="H693" i="58"/>
  <c r="H694" i="58"/>
  <c r="H695" i="58"/>
  <c r="H696" i="58"/>
  <c r="H697" i="58"/>
  <c r="H698" i="58"/>
  <c r="H699" i="58"/>
  <c r="H700" i="58"/>
  <c r="H701" i="58"/>
  <c r="H702" i="58"/>
  <c r="H703" i="58"/>
  <c r="H704" i="58"/>
  <c r="H705" i="58"/>
  <c r="H706" i="58"/>
  <c r="H707" i="58"/>
  <c r="H708" i="58"/>
  <c r="H709" i="58"/>
  <c r="H710" i="58"/>
  <c r="H711" i="58"/>
  <c r="H712" i="58"/>
  <c r="H713" i="58"/>
  <c r="H714" i="58"/>
  <c r="H715" i="58"/>
  <c r="H716" i="58"/>
  <c r="H717" i="58"/>
  <c r="H718" i="58"/>
  <c r="H719" i="58"/>
  <c r="H720" i="58"/>
  <c r="H721" i="58"/>
  <c r="H722" i="58"/>
  <c r="H723" i="58"/>
  <c r="H724" i="58"/>
  <c r="H725" i="58"/>
  <c r="H726" i="58"/>
  <c r="H727" i="58"/>
  <c r="H728" i="58"/>
  <c r="H729" i="58"/>
  <c r="H730" i="58"/>
  <c r="H731" i="58"/>
  <c r="H732" i="58"/>
  <c r="H733" i="58"/>
  <c r="H734" i="58"/>
  <c r="H735" i="58"/>
  <c r="H736" i="58"/>
  <c r="H737" i="58"/>
  <c r="H738" i="58"/>
  <c r="H739" i="58"/>
  <c r="H740" i="58"/>
  <c r="H741" i="58"/>
  <c r="H742" i="58"/>
  <c r="H743" i="58"/>
  <c r="H744" i="58"/>
  <c r="H745" i="58"/>
  <c r="H746" i="58"/>
  <c r="H747" i="58"/>
  <c r="H748" i="58"/>
  <c r="H749" i="58"/>
  <c r="H750" i="58"/>
  <c r="H751" i="58"/>
  <c r="H752" i="58"/>
  <c r="H753" i="58"/>
  <c r="H754" i="58"/>
  <c r="H755" i="58"/>
  <c r="H756" i="58"/>
  <c r="H757" i="58"/>
  <c r="H758" i="58"/>
  <c r="H759" i="58"/>
  <c r="H760" i="58"/>
  <c r="H761" i="58"/>
  <c r="H762" i="58"/>
  <c r="H763" i="58"/>
  <c r="H764" i="58"/>
  <c r="H765" i="58"/>
  <c r="H766" i="58"/>
  <c r="H767" i="58"/>
  <c r="H768" i="58"/>
  <c r="H769" i="58"/>
  <c r="H770" i="58"/>
  <c r="H771" i="58"/>
  <c r="H772" i="58"/>
  <c r="H773" i="58"/>
  <c r="H774" i="58"/>
  <c r="H775" i="58"/>
  <c r="H776" i="58"/>
  <c r="H777" i="58"/>
  <c r="H778" i="58"/>
  <c r="H779" i="58"/>
  <c r="H780" i="58"/>
  <c r="H781" i="58"/>
  <c r="H782" i="58"/>
  <c r="H783" i="58"/>
  <c r="H784" i="58"/>
  <c r="H785" i="58"/>
  <c r="H786" i="58"/>
  <c r="H787" i="58"/>
  <c r="H788" i="58"/>
  <c r="H789" i="58"/>
  <c r="H790" i="58"/>
  <c r="H791" i="58"/>
  <c r="H792" i="58"/>
  <c r="H793" i="58"/>
  <c r="H794" i="58"/>
  <c r="H795" i="58"/>
  <c r="H796" i="58"/>
  <c r="H797" i="58"/>
  <c r="H798" i="58"/>
  <c r="H799" i="58"/>
  <c r="H800" i="58"/>
  <c r="H801" i="58"/>
  <c r="H802" i="58"/>
  <c r="H803" i="58"/>
  <c r="H804" i="58"/>
  <c r="H805" i="58"/>
  <c r="H806" i="58"/>
  <c r="H807" i="58"/>
  <c r="H808" i="58"/>
  <c r="H809" i="58"/>
  <c r="H810" i="58"/>
  <c r="H811" i="58"/>
  <c r="H812" i="58"/>
  <c r="H813" i="58"/>
  <c r="H814" i="58"/>
  <c r="H815" i="58"/>
  <c r="H816" i="58"/>
  <c r="H817" i="58"/>
  <c r="H818" i="58"/>
  <c r="H819" i="58"/>
  <c r="H820" i="58"/>
  <c r="H821" i="58"/>
  <c r="H822" i="58"/>
  <c r="H823" i="58"/>
  <c r="H824" i="58"/>
  <c r="H825" i="58"/>
  <c r="H826" i="58"/>
  <c r="H827" i="58"/>
  <c r="H828" i="58"/>
  <c r="H829" i="58"/>
  <c r="H830" i="58"/>
  <c r="H831" i="58"/>
  <c r="H832" i="58"/>
  <c r="H833" i="58"/>
  <c r="H834" i="58"/>
  <c r="H835" i="58"/>
  <c r="H836" i="58"/>
  <c r="H837" i="58"/>
  <c r="H838" i="58"/>
  <c r="H839" i="58"/>
  <c r="H840" i="58"/>
  <c r="H841" i="58"/>
  <c r="H842" i="58"/>
  <c r="H843" i="58"/>
  <c r="H844" i="58"/>
  <c r="H845" i="58"/>
  <c r="H846" i="58"/>
  <c r="H847" i="58"/>
  <c r="H848" i="58"/>
  <c r="H849" i="58"/>
  <c r="H850" i="58"/>
  <c r="H851" i="58"/>
  <c r="H852" i="58"/>
  <c r="H853" i="58"/>
  <c r="H854" i="58"/>
  <c r="H855" i="58"/>
  <c r="H856" i="58"/>
  <c r="H857" i="58"/>
  <c r="H858" i="58"/>
  <c r="H859" i="58"/>
  <c r="H860" i="58"/>
  <c r="H861" i="58"/>
  <c r="H862" i="58"/>
  <c r="H863" i="58"/>
  <c r="H864" i="58"/>
  <c r="H865" i="58"/>
  <c r="H866" i="58"/>
  <c r="H867" i="58"/>
  <c r="H868" i="58"/>
  <c r="H869" i="58"/>
  <c r="H870" i="58"/>
  <c r="H871" i="58"/>
  <c r="H872" i="58"/>
  <c r="H873" i="58"/>
  <c r="H874" i="58"/>
  <c r="H875" i="58"/>
  <c r="H876" i="58"/>
  <c r="H877" i="58"/>
  <c r="H878" i="58"/>
  <c r="H879" i="58"/>
  <c r="H880" i="58"/>
  <c r="H881" i="58"/>
  <c r="H882" i="58"/>
  <c r="H883" i="58"/>
  <c r="H884" i="58"/>
  <c r="H885" i="58"/>
  <c r="H886" i="58"/>
  <c r="H887" i="58"/>
  <c r="H888" i="58"/>
  <c r="H889" i="58"/>
  <c r="H890" i="58"/>
  <c r="H891" i="58"/>
  <c r="H892" i="58"/>
  <c r="H893" i="58"/>
  <c r="H894" i="58"/>
  <c r="H895" i="58"/>
  <c r="H896" i="58"/>
  <c r="H897" i="58"/>
  <c r="H898" i="58"/>
  <c r="H899" i="58"/>
  <c r="H900" i="58"/>
  <c r="H901" i="58"/>
  <c r="H902" i="58"/>
  <c r="H903" i="58"/>
  <c r="H904" i="58"/>
  <c r="H905" i="58"/>
  <c r="H906" i="58"/>
  <c r="H907" i="58"/>
  <c r="H908" i="58"/>
  <c r="H909" i="58"/>
  <c r="H910" i="58"/>
  <c r="H911" i="58"/>
  <c r="H912" i="58"/>
  <c r="H913" i="58"/>
  <c r="H914" i="58"/>
  <c r="H915" i="58"/>
  <c r="H916" i="58"/>
  <c r="H917" i="58"/>
  <c r="H918" i="58"/>
  <c r="H919" i="58"/>
  <c r="H920" i="58"/>
  <c r="H921" i="58"/>
  <c r="H922" i="58"/>
  <c r="H923" i="58"/>
  <c r="H924" i="58"/>
  <c r="H925" i="58"/>
  <c r="H926" i="58"/>
  <c r="H927" i="58"/>
  <c r="H928" i="58"/>
  <c r="H929" i="58"/>
  <c r="H930" i="58"/>
  <c r="H931" i="58"/>
  <c r="H932" i="58"/>
  <c r="H933" i="58"/>
  <c r="H934" i="58"/>
  <c r="H935" i="58"/>
  <c r="H936" i="58"/>
  <c r="H937" i="58"/>
  <c r="H938" i="58"/>
  <c r="H939" i="58"/>
  <c r="H940" i="58"/>
  <c r="H941" i="58"/>
  <c r="H942" i="58"/>
  <c r="H943" i="58"/>
  <c r="H944" i="58"/>
  <c r="H945" i="58"/>
  <c r="H946" i="58"/>
  <c r="H947" i="58"/>
  <c r="H948" i="58"/>
  <c r="H949" i="58"/>
  <c r="H950" i="58"/>
  <c r="H951" i="58"/>
  <c r="H952" i="58"/>
  <c r="H953" i="58"/>
  <c r="H954" i="58"/>
  <c r="H955" i="58"/>
  <c r="H956" i="58"/>
  <c r="H957" i="58"/>
  <c r="H958" i="58"/>
  <c r="H959" i="58"/>
  <c r="H960" i="58"/>
  <c r="H961" i="58"/>
  <c r="H962" i="58"/>
  <c r="H963" i="58"/>
  <c r="H964" i="58"/>
  <c r="H965" i="58"/>
  <c r="H966" i="58"/>
  <c r="H967" i="58"/>
  <c r="H968" i="58"/>
  <c r="H969" i="58"/>
  <c r="H970" i="58"/>
  <c r="H971" i="58"/>
  <c r="H972" i="58"/>
  <c r="H973" i="58"/>
  <c r="H974" i="58"/>
  <c r="H975" i="58"/>
  <c r="H976" i="58"/>
  <c r="H977" i="58"/>
  <c r="H978" i="58"/>
  <c r="H979" i="58"/>
  <c r="H980" i="58"/>
  <c r="H981" i="58"/>
  <c r="H982" i="58"/>
  <c r="H983" i="58"/>
  <c r="H984" i="58"/>
  <c r="H985" i="58"/>
  <c r="H986" i="58"/>
  <c r="H987" i="58"/>
  <c r="H988" i="58"/>
  <c r="H989" i="58"/>
  <c r="H990" i="58"/>
  <c r="H991" i="58"/>
  <c r="H992" i="58"/>
  <c r="H993" i="58"/>
  <c r="H994" i="58"/>
  <c r="H995" i="58"/>
  <c r="H996" i="58"/>
  <c r="H997" i="58"/>
  <c r="H998" i="58"/>
  <c r="H999" i="58"/>
  <c r="H1000" i="58"/>
  <c r="H1001" i="58"/>
  <c r="H1002" i="58"/>
  <c r="H1003" i="58"/>
  <c r="H1004" i="58"/>
  <c r="H1005" i="58"/>
  <c r="H1006" i="58"/>
  <c r="H1007" i="58"/>
  <c r="H1008" i="58"/>
  <c r="H1009" i="58"/>
  <c r="H1010" i="58"/>
  <c r="H1011" i="58"/>
  <c r="H1012" i="58"/>
  <c r="H1013" i="58"/>
  <c r="H1014" i="58"/>
  <c r="H1015" i="58"/>
  <c r="H1016" i="58"/>
  <c r="H1017" i="58"/>
  <c r="H1018" i="58"/>
  <c r="H1019" i="58"/>
  <c r="H1020" i="58"/>
  <c r="H1021" i="58"/>
  <c r="H1022" i="58"/>
  <c r="H1023" i="58"/>
  <c r="H1024" i="58"/>
  <c r="H1025" i="58"/>
  <c r="H1026" i="58"/>
  <c r="H1027" i="58"/>
  <c r="H1028" i="58"/>
  <c r="H1029" i="58"/>
  <c r="H1030" i="58"/>
  <c r="H1031" i="58"/>
  <c r="H1032" i="58"/>
  <c r="H1033" i="58"/>
  <c r="H1034" i="58"/>
  <c r="H1035" i="58"/>
  <c r="H1036" i="58"/>
  <c r="H1037" i="58"/>
  <c r="H1038" i="58"/>
  <c r="H1039" i="58"/>
  <c r="H1040" i="58"/>
  <c r="H1041" i="58"/>
  <c r="H1042" i="58"/>
  <c r="H1043" i="58"/>
  <c r="H1044" i="58"/>
  <c r="H1045" i="58"/>
  <c r="H1046" i="58"/>
  <c r="H1047" i="58"/>
  <c r="H1048" i="58"/>
  <c r="H1049" i="58"/>
  <c r="H1050" i="58"/>
  <c r="H1051" i="58"/>
  <c r="H1052" i="58"/>
  <c r="H1053" i="58"/>
  <c r="H1054" i="58"/>
  <c r="H1055" i="58"/>
  <c r="H1056" i="58"/>
  <c r="H1057" i="58"/>
  <c r="H1058" i="58"/>
  <c r="H1059" i="58"/>
  <c r="H1060" i="58"/>
  <c r="H1061" i="58"/>
  <c r="H1062" i="58"/>
  <c r="H1063" i="58"/>
  <c r="H1064" i="58"/>
  <c r="H1065" i="58"/>
  <c r="H1066" i="58"/>
  <c r="H1067" i="58"/>
  <c r="H1068" i="58"/>
  <c r="H1069" i="58"/>
  <c r="H1070" i="58"/>
  <c r="H1071" i="58"/>
  <c r="H1072" i="58"/>
  <c r="H1073" i="58"/>
  <c r="H1074" i="58"/>
  <c r="H1075" i="58"/>
  <c r="H1076" i="58"/>
  <c r="H1077" i="58"/>
  <c r="H1078" i="58"/>
  <c r="H1079" i="58"/>
  <c r="H1080" i="58"/>
  <c r="H1081" i="58"/>
  <c r="H1082" i="58"/>
  <c r="H1083" i="58"/>
  <c r="H1084" i="58"/>
  <c r="H1085" i="58"/>
  <c r="H1086" i="58"/>
  <c r="H1087" i="58"/>
  <c r="H1088" i="58"/>
  <c r="H1089" i="58"/>
  <c r="H1090" i="58"/>
  <c r="H1091" i="58"/>
  <c r="H1092" i="58"/>
  <c r="H1093" i="58"/>
  <c r="H1094" i="58"/>
  <c r="H1095" i="58"/>
  <c r="H1096" i="58"/>
  <c r="H1097" i="58"/>
  <c r="H1098" i="58"/>
  <c r="H1099" i="58"/>
  <c r="H1100" i="58"/>
  <c r="H1101" i="58"/>
  <c r="H1102" i="58"/>
  <c r="H1103" i="58"/>
  <c r="H1104" i="58"/>
  <c r="H1105" i="58"/>
  <c r="H1106" i="58"/>
  <c r="H1107" i="58"/>
  <c r="H1108" i="58"/>
  <c r="H1109" i="58"/>
  <c r="H1110" i="58"/>
  <c r="H1111" i="58"/>
  <c r="H1112" i="58"/>
  <c r="H1113" i="58"/>
  <c r="H1114" i="58"/>
  <c r="H1115" i="58"/>
  <c r="H1116" i="58"/>
  <c r="H1117" i="58"/>
  <c r="H1118" i="58"/>
  <c r="H1119" i="58"/>
  <c r="H1120" i="58"/>
  <c r="H1121" i="58"/>
  <c r="H1122" i="58"/>
  <c r="H1123" i="58"/>
  <c r="H1124" i="58"/>
  <c r="H1125" i="58"/>
  <c r="H1126" i="58"/>
  <c r="H1127" i="58"/>
  <c r="H1128" i="58"/>
  <c r="H1129" i="58"/>
  <c r="H1130" i="58"/>
  <c r="H1131" i="58"/>
  <c r="H1132" i="58"/>
  <c r="H1133" i="58"/>
  <c r="H1134" i="58"/>
  <c r="H1135" i="58"/>
  <c r="H1136" i="58"/>
  <c r="H1137" i="58"/>
  <c r="H1138" i="58"/>
  <c r="H1139" i="58"/>
  <c r="H1140" i="58"/>
  <c r="H1141" i="58"/>
  <c r="H1142" i="58"/>
  <c r="H1143" i="58"/>
  <c r="H1144" i="58"/>
  <c r="H1145" i="58"/>
  <c r="H1146" i="58"/>
  <c r="H1147" i="58"/>
  <c r="H1148" i="58"/>
  <c r="H1149" i="58"/>
  <c r="H1150" i="58"/>
  <c r="H1151" i="58"/>
  <c r="H1152" i="58"/>
  <c r="H1153" i="58"/>
  <c r="H1154" i="58"/>
  <c r="H1155" i="58"/>
  <c r="H1156" i="58"/>
  <c r="H1157" i="58"/>
  <c r="H1158" i="58"/>
  <c r="H1159" i="58"/>
  <c r="H1160" i="58"/>
  <c r="H1161" i="58"/>
  <c r="H1162" i="58"/>
  <c r="H1163" i="58"/>
  <c r="H1164" i="58"/>
  <c r="H1165" i="58"/>
  <c r="H1166" i="58"/>
  <c r="H1167" i="58"/>
  <c r="H1168" i="58"/>
  <c r="H1169" i="58"/>
  <c r="H1170" i="58"/>
  <c r="H1171" i="58"/>
  <c r="H1172" i="58"/>
  <c r="H1173" i="58"/>
  <c r="H1174" i="58"/>
  <c r="H1175" i="58"/>
  <c r="H1176" i="58"/>
  <c r="H1177" i="58"/>
  <c r="H1178" i="58"/>
  <c r="H1179" i="58"/>
  <c r="H1180" i="58"/>
  <c r="H1181" i="58"/>
  <c r="H1182" i="58"/>
  <c r="H1183" i="58"/>
  <c r="H1184" i="58"/>
  <c r="H1185" i="58"/>
  <c r="H1186" i="58"/>
  <c r="H1187" i="58"/>
  <c r="H1188" i="58"/>
  <c r="H1189" i="58"/>
  <c r="H1190" i="58"/>
  <c r="H1191" i="58"/>
  <c r="H1192" i="58"/>
  <c r="H1193" i="58"/>
  <c r="H1194" i="58"/>
  <c r="H1195" i="58"/>
  <c r="H1196" i="58"/>
  <c r="H1197" i="58"/>
  <c r="H1198" i="58"/>
  <c r="H1199" i="58"/>
  <c r="H1200" i="58"/>
  <c r="H1201" i="58"/>
  <c r="H1202" i="58"/>
  <c r="H1203" i="58"/>
  <c r="H1204" i="58"/>
  <c r="H1205" i="58"/>
  <c r="H1206" i="58"/>
  <c r="H1207" i="58"/>
  <c r="H1208" i="58"/>
  <c r="H1209" i="58"/>
  <c r="H1210" i="58"/>
  <c r="H1211" i="58"/>
  <c r="H1212" i="58"/>
  <c r="H1213" i="58"/>
  <c r="H1214" i="58"/>
  <c r="H1215" i="58"/>
  <c r="H1216" i="58"/>
  <c r="H1217" i="58"/>
  <c r="H1218" i="58"/>
  <c r="H1219" i="58"/>
  <c r="H1220" i="58"/>
  <c r="H1221" i="58"/>
  <c r="H1222" i="58"/>
  <c r="H1223" i="58"/>
  <c r="H1224" i="58"/>
  <c r="H1225" i="58"/>
  <c r="H1226" i="58"/>
  <c r="H1227" i="58"/>
  <c r="H1228" i="58"/>
  <c r="H1229" i="58"/>
  <c r="H1230" i="58"/>
  <c r="H1231" i="58"/>
  <c r="H1232" i="58"/>
  <c r="H1233" i="58"/>
  <c r="H1234" i="58"/>
  <c r="H1235" i="58"/>
  <c r="H1236" i="58"/>
  <c r="H1237" i="58"/>
  <c r="H1238" i="58"/>
  <c r="H1239" i="58"/>
  <c r="H1240" i="58"/>
  <c r="H1241" i="58"/>
  <c r="H1242" i="58"/>
  <c r="H1243" i="58"/>
  <c r="H1244" i="58"/>
  <c r="H1245" i="58"/>
  <c r="H1246" i="58"/>
  <c r="H1247" i="58"/>
  <c r="H1248" i="58"/>
  <c r="H1249" i="58"/>
  <c r="H1250" i="58"/>
  <c r="H1251" i="58"/>
  <c r="H1252" i="58"/>
  <c r="H1253" i="58"/>
  <c r="H1254" i="58"/>
  <c r="H1255" i="58"/>
  <c r="H1256" i="58"/>
  <c r="H1257" i="58"/>
  <c r="H1258" i="58"/>
  <c r="H1259" i="58"/>
  <c r="H1260" i="58"/>
  <c r="H1261" i="58"/>
  <c r="H1262" i="58"/>
  <c r="H1263" i="58"/>
  <c r="H1264" i="58"/>
  <c r="H1265" i="58"/>
  <c r="H1266" i="58"/>
  <c r="H1267" i="58"/>
  <c r="H1268" i="58"/>
  <c r="H1269" i="58"/>
  <c r="H1270" i="58"/>
  <c r="H1271" i="58"/>
  <c r="H1272" i="58"/>
  <c r="H1273" i="58"/>
  <c r="H1274" i="58"/>
  <c r="H1275" i="58"/>
  <c r="H1276" i="58"/>
  <c r="H1277" i="58"/>
  <c r="H1278" i="58"/>
  <c r="H1279" i="58"/>
  <c r="H1280" i="58"/>
  <c r="H1281" i="58"/>
  <c r="H1282" i="58"/>
  <c r="H1283" i="58"/>
  <c r="H1284" i="58"/>
  <c r="H1285" i="58"/>
  <c r="H1286" i="58"/>
  <c r="H1287" i="58"/>
  <c r="H1288" i="58"/>
  <c r="H1289" i="58"/>
  <c r="H1290" i="58"/>
  <c r="H1291" i="58"/>
  <c r="H1292" i="58"/>
  <c r="H1293" i="58"/>
  <c r="H1294" i="58"/>
  <c r="H1295" i="58"/>
  <c r="H1296" i="58"/>
  <c r="H1297" i="58"/>
  <c r="H1298" i="58"/>
  <c r="H1299" i="58"/>
  <c r="H1300" i="58"/>
  <c r="H1301" i="58"/>
  <c r="H1302" i="58"/>
  <c r="H1303" i="58"/>
  <c r="H1304" i="58"/>
  <c r="H1305" i="58"/>
  <c r="H1306" i="58"/>
  <c r="H1307" i="58"/>
  <c r="H1308" i="58"/>
  <c r="H1309" i="58"/>
  <c r="H1310" i="58"/>
  <c r="H1311" i="58"/>
  <c r="H1312" i="58"/>
  <c r="H1313" i="58"/>
  <c r="H1314" i="58"/>
  <c r="H1315" i="58"/>
  <c r="H1316" i="58"/>
  <c r="H1317" i="58"/>
  <c r="H1318" i="58"/>
  <c r="H1319" i="58"/>
  <c r="H1320" i="58"/>
  <c r="H1321" i="58"/>
  <c r="H1322" i="58"/>
  <c r="H1323" i="58"/>
  <c r="H1324" i="58"/>
  <c r="H1325" i="58"/>
  <c r="H1326" i="58"/>
  <c r="H1327" i="58"/>
  <c r="H1328" i="58"/>
  <c r="H1329" i="58"/>
  <c r="H1330" i="58"/>
  <c r="H1331" i="58"/>
  <c r="H1332" i="58"/>
  <c r="H1333" i="58"/>
  <c r="H1334" i="58"/>
  <c r="H1335" i="58"/>
  <c r="H1336" i="58"/>
  <c r="H1337" i="58"/>
  <c r="H1338" i="58"/>
  <c r="H1339" i="58"/>
  <c r="H1340" i="58"/>
  <c r="H1341" i="58"/>
  <c r="H1342" i="58"/>
  <c r="H1343" i="58"/>
  <c r="H1344" i="58"/>
  <c r="H1345" i="58"/>
  <c r="H1346" i="58"/>
  <c r="H1347" i="58"/>
  <c r="H1348" i="58"/>
  <c r="H1349" i="58"/>
  <c r="H1350" i="58"/>
  <c r="H1351" i="58"/>
  <c r="H1352" i="58"/>
  <c r="H1353" i="58"/>
  <c r="H1354" i="58"/>
  <c r="H1355" i="58"/>
  <c r="H1356" i="58"/>
  <c r="H1357" i="58"/>
  <c r="H1358" i="58"/>
  <c r="H1359" i="58"/>
  <c r="H1360" i="58"/>
  <c r="H1361" i="58"/>
  <c r="H1362" i="58"/>
  <c r="H1363" i="58"/>
  <c r="H1364" i="58"/>
  <c r="H1365" i="58"/>
  <c r="H1366" i="58"/>
  <c r="H1367" i="58"/>
  <c r="H1368" i="58"/>
  <c r="H1369" i="58"/>
  <c r="H1370" i="58"/>
  <c r="H1371" i="58"/>
  <c r="H1372" i="58"/>
  <c r="H1373" i="58"/>
  <c r="H1374" i="58"/>
  <c r="H1375" i="58"/>
  <c r="H1376" i="58"/>
  <c r="H1377" i="58"/>
  <c r="H1378" i="58"/>
  <c r="H1379" i="58"/>
  <c r="H1380" i="58"/>
  <c r="H1381" i="58"/>
  <c r="H1382" i="58"/>
  <c r="H1383" i="58"/>
  <c r="H1384" i="58"/>
  <c r="H1385" i="58"/>
  <c r="H1386" i="58"/>
  <c r="H1387" i="58"/>
  <c r="H1388" i="58"/>
  <c r="H1389" i="58"/>
  <c r="H1390" i="58"/>
  <c r="H1391" i="58"/>
  <c r="H1392" i="58"/>
  <c r="H1393" i="58"/>
  <c r="H1394" i="58"/>
  <c r="H1395" i="58"/>
  <c r="H1396" i="58"/>
  <c r="H1397" i="58"/>
  <c r="H1398" i="58"/>
  <c r="H1399" i="58"/>
  <c r="H1400" i="58"/>
  <c r="H1401" i="58"/>
  <c r="H1402" i="58"/>
  <c r="H1403" i="58"/>
  <c r="H1404" i="58"/>
  <c r="H1405" i="58"/>
  <c r="H1406" i="58"/>
  <c r="H1407" i="58"/>
  <c r="H1408" i="58"/>
  <c r="H1409" i="58"/>
  <c r="H1410" i="58"/>
  <c r="H1411" i="58"/>
  <c r="H1412" i="58"/>
  <c r="H1413" i="58"/>
  <c r="H1414" i="58"/>
  <c r="H1415" i="58"/>
  <c r="H1416" i="58"/>
  <c r="H1417" i="58"/>
  <c r="H1418" i="58"/>
  <c r="H1419" i="58"/>
  <c r="H1420" i="58"/>
  <c r="H1421" i="58"/>
  <c r="H1422" i="58"/>
  <c r="H1423" i="58"/>
  <c r="H1424" i="58"/>
  <c r="H1425" i="58"/>
  <c r="H1426" i="58"/>
  <c r="H1427" i="58"/>
  <c r="H1428" i="58"/>
  <c r="H1429" i="58"/>
  <c r="H1430" i="58"/>
  <c r="H1431" i="58"/>
  <c r="H1432" i="58"/>
  <c r="H1433" i="58"/>
  <c r="H1434" i="58"/>
  <c r="H1435" i="58"/>
  <c r="H1436" i="58"/>
  <c r="H1437" i="58"/>
  <c r="H1438" i="58"/>
  <c r="H1439" i="58"/>
  <c r="H1440" i="58"/>
  <c r="H1441" i="58"/>
  <c r="H1442" i="58"/>
  <c r="H1443" i="58"/>
  <c r="H1444" i="58"/>
  <c r="H1445" i="58"/>
  <c r="H1446" i="58"/>
  <c r="H1447" i="58"/>
  <c r="H1448" i="58"/>
  <c r="H1449" i="58"/>
  <c r="H1450" i="58"/>
  <c r="H1451" i="58"/>
  <c r="H1452" i="58"/>
  <c r="H1453" i="58"/>
  <c r="H1454" i="58"/>
  <c r="H1455" i="58"/>
  <c r="H1456" i="58"/>
  <c r="H1457" i="58"/>
  <c r="H1458" i="58"/>
  <c r="H1459" i="58"/>
  <c r="H1460" i="58"/>
  <c r="H1461" i="58"/>
  <c r="H1462" i="58"/>
  <c r="H1463" i="58"/>
  <c r="H1464" i="58"/>
  <c r="H1465" i="58"/>
  <c r="H1466" i="58"/>
  <c r="H1467" i="58"/>
  <c r="H1468" i="58"/>
  <c r="H1469" i="58"/>
  <c r="H1470" i="58"/>
  <c r="H1471" i="58"/>
  <c r="H1472" i="58"/>
  <c r="H1473" i="58"/>
  <c r="H1474" i="58"/>
  <c r="H1475" i="58"/>
  <c r="H1476" i="58"/>
  <c r="H1477" i="58"/>
  <c r="H1478" i="58"/>
  <c r="H1479" i="58"/>
  <c r="H1480" i="58"/>
  <c r="H1481" i="58"/>
  <c r="H1482" i="58"/>
  <c r="H1483" i="58"/>
  <c r="H1484" i="58"/>
  <c r="H1485" i="58"/>
  <c r="H1486" i="58"/>
  <c r="H1487" i="58"/>
  <c r="H1488" i="58"/>
  <c r="H1489" i="58"/>
  <c r="H1490" i="58"/>
  <c r="H1491" i="58"/>
  <c r="H1492" i="58"/>
  <c r="H1493" i="58"/>
  <c r="H1494" i="58"/>
  <c r="H1495" i="58"/>
  <c r="H1496" i="58"/>
  <c r="H1497" i="58"/>
  <c r="H1498" i="58"/>
  <c r="H1499" i="58"/>
  <c r="H1500" i="58"/>
  <c r="H1501" i="58"/>
  <c r="H1502" i="58"/>
  <c r="H1503" i="58"/>
  <c r="H1504" i="58"/>
  <c r="H1505" i="58"/>
  <c r="H1506" i="58"/>
  <c r="H1507" i="58"/>
  <c r="H1508" i="58"/>
  <c r="H1509" i="58"/>
  <c r="H1510" i="58"/>
  <c r="H1511" i="58"/>
  <c r="H1512" i="58"/>
  <c r="H1513" i="58"/>
  <c r="H1514" i="58"/>
  <c r="H1515" i="58"/>
  <c r="H1516" i="58"/>
  <c r="H1517" i="58"/>
  <c r="H1518" i="58"/>
  <c r="H1519" i="58"/>
  <c r="H1520" i="58"/>
  <c r="H1521" i="58"/>
  <c r="H1522" i="58"/>
  <c r="H1523" i="58"/>
  <c r="H1524" i="58"/>
  <c r="H1525" i="58"/>
  <c r="H1526" i="58"/>
  <c r="H1527" i="58"/>
  <c r="H1528" i="58"/>
  <c r="H1529" i="58"/>
  <c r="H1530" i="58"/>
  <c r="H1531" i="58"/>
  <c r="H1532" i="58"/>
  <c r="H1533" i="58"/>
  <c r="H1534" i="58"/>
  <c r="H1535" i="58"/>
  <c r="H1536" i="58"/>
  <c r="H1537" i="58"/>
  <c r="H1538" i="58"/>
  <c r="H1539" i="58"/>
  <c r="H1540" i="58"/>
  <c r="H1541" i="58"/>
  <c r="H1542" i="58"/>
  <c r="H1543" i="58"/>
  <c r="H1544" i="58"/>
  <c r="H1545" i="58"/>
  <c r="H1546" i="58"/>
  <c r="H1547" i="58"/>
  <c r="H1548" i="58"/>
  <c r="H1549" i="58"/>
  <c r="H1550" i="58"/>
  <c r="H1551" i="58"/>
  <c r="H1552" i="58"/>
  <c r="H1553" i="58"/>
  <c r="H1554" i="58"/>
  <c r="H1555" i="58"/>
  <c r="H1556" i="58"/>
  <c r="H1557" i="58"/>
  <c r="H1558" i="58"/>
  <c r="H1559" i="58"/>
  <c r="H1560" i="58"/>
  <c r="H1561" i="58"/>
  <c r="H1562" i="58"/>
  <c r="H1563" i="58"/>
  <c r="H1564" i="58"/>
  <c r="H1565" i="58"/>
  <c r="H1566" i="58"/>
  <c r="H1567" i="58"/>
  <c r="H1568" i="58"/>
  <c r="H1569" i="58"/>
  <c r="H1570" i="58"/>
  <c r="H1571" i="58"/>
  <c r="H1572" i="58"/>
  <c r="H1573" i="58"/>
  <c r="H1574" i="58"/>
  <c r="H1575" i="58"/>
  <c r="H1576" i="58"/>
  <c r="H1577" i="58"/>
  <c r="H1578" i="58"/>
  <c r="H1579" i="58"/>
  <c r="H1580" i="58"/>
  <c r="H1581" i="58"/>
  <c r="H1582" i="58"/>
  <c r="H1583" i="58"/>
  <c r="H1584" i="58"/>
  <c r="H1585" i="58"/>
  <c r="H1586" i="58"/>
  <c r="H1587" i="58"/>
  <c r="H1588" i="58"/>
  <c r="H1589" i="58"/>
  <c r="H1590" i="58"/>
  <c r="H1591" i="58"/>
  <c r="H1592" i="58"/>
  <c r="H1593" i="58"/>
  <c r="H1594" i="58"/>
  <c r="H1595" i="58"/>
  <c r="H1596" i="58"/>
  <c r="H1597" i="58"/>
  <c r="H1598" i="58"/>
  <c r="H1599" i="58"/>
  <c r="H1600" i="58"/>
  <c r="H1601" i="58"/>
  <c r="H1602" i="58"/>
  <c r="H1603" i="58"/>
  <c r="H1604" i="58"/>
  <c r="H1605" i="58"/>
  <c r="H1606" i="58"/>
  <c r="H1607" i="58"/>
  <c r="H1608" i="58"/>
  <c r="H1609" i="58"/>
  <c r="H1610" i="58"/>
  <c r="H1611" i="58"/>
  <c r="H1612" i="58"/>
  <c r="H1613" i="58"/>
  <c r="H1614" i="58"/>
  <c r="H1615" i="58"/>
  <c r="H1616" i="58"/>
  <c r="H1617" i="58"/>
  <c r="H1618" i="58"/>
  <c r="H1619" i="58"/>
  <c r="H1620" i="58"/>
  <c r="H1621" i="58"/>
  <c r="H1622" i="58"/>
  <c r="H1623" i="58"/>
  <c r="H1624" i="58"/>
  <c r="H1625" i="58"/>
  <c r="H1626" i="58"/>
  <c r="H1627" i="58"/>
  <c r="H1628" i="58"/>
  <c r="H1629" i="58"/>
  <c r="H1630" i="58"/>
  <c r="H1631" i="58"/>
  <c r="H1632" i="58"/>
  <c r="H1633" i="58"/>
  <c r="H1634" i="58"/>
  <c r="H1635" i="58"/>
  <c r="H1636" i="58"/>
  <c r="H1637" i="58"/>
  <c r="H1638" i="58"/>
  <c r="H1639" i="58"/>
  <c r="H1640" i="58"/>
  <c r="H1641" i="58"/>
  <c r="H1642" i="58"/>
  <c r="H1643" i="58"/>
  <c r="H1644" i="58"/>
  <c r="H1645" i="58"/>
  <c r="H1646" i="58"/>
  <c r="H1647" i="58"/>
  <c r="H1648" i="58"/>
  <c r="H1649" i="58"/>
  <c r="H1650" i="58"/>
  <c r="H1651" i="58"/>
  <c r="H1652" i="58"/>
  <c r="H1653" i="58"/>
  <c r="H1654" i="58"/>
  <c r="H1655" i="58"/>
  <c r="H1656" i="58"/>
  <c r="H1657" i="58"/>
  <c r="H1658" i="58"/>
  <c r="H1659" i="58"/>
  <c r="H1660" i="58"/>
  <c r="H1661" i="58"/>
  <c r="H1662" i="58"/>
  <c r="H1663" i="58"/>
  <c r="H1664" i="58"/>
  <c r="H1665" i="58"/>
  <c r="H1666" i="58"/>
  <c r="H1667" i="58"/>
  <c r="H1668" i="58"/>
  <c r="H1669" i="58"/>
  <c r="H1670" i="58"/>
  <c r="H1671" i="58"/>
  <c r="H1672" i="58"/>
  <c r="H1673" i="58"/>
  <c r="H1674" i="58"/>
  <c r="H1675" i="58"/>
  <c r="H1676" i="58"/>
  <c r="H1677" i="58"/>
  <c r="H1678" i="58"/>
  <c r="H1679" i="58"/>
  <c r="H1680" i="58"/>
  <c r="H1681" i="58"/>
  <c r="H1682" i="58"/>
  <c r="H1683" i="58"/>
  <c r="H1684" i="58"/>
  <c r="H1685" i="58"/>
  <c r="H1686" i="58"/>
  <c r="H1687" i="58"/>
  <c r="H1688" i="58"/>
  <c r="H1689" i="58"/>
  <c r="H1690" i="58"/>
  <c r="H1691" i="58"/>
  <c r="H1692" i="58"/>
  <c r="H1693" i="58"/>
  <c r="H1694" i="58"/>
  <c r="H1695" i="58"/>
  <c r="H1696" i="58"/>
  <c r="H1697" i="58"/>
  <c r="H1698" i="58"/>
  <c r="H1699" i="58"/>
  <c r="H1700" i="58"/>
  <c r="H1701" i="58"/>
  <c r="H1702" i="58"/>
  <c r="H1703" i="58"/>
  <c r="H1704" i="58"/>
  <c r="H1705" i="58"/>
  <c r="H1706" i="58"/>
  <c r="H1707" i="58"/>
  <c r="H1708" i="58"/>
  <c r="H1709" i="58"/>
  <c r="H1710" i="58"/>
  <c r="H1711" i="58"/>
  <c r="H1712" i="58"/>
  <c r="H1713" i="58"/>
  <c r="H1714" i="58"/>
  <c r="H1715" i="58"/>
  <c r="H1716" i="58"/>
  <c r="H1717" i="58"/>
  <c r="H1718" i="58"/>
  <c r="H1719" i="58"/>
  <c r="H1720" i="58"/>
  <c r="H1721" i="58"/>
  <c r="H1722" i="58"/>
  <c r="H1723" i="58"/>
  <c r="H1724" i="58"/>
  <c r="H1725" i="58"/>
  <c r="H1726" i="58"/>
  <c r="H1727" i="58"/>
  <c r="H1728" i="58"/>
  <c r="H1729" i="58"/>
  <c r="H1730" i="58"/>
  <c r="H1731" i="58"/>
  <c r="H1732" i="58"/>
  <c r="H1733" i="58"/>
  <c r="H1734" i="58"/>
  <c r="H1735" i="58"/>
  <c r="H1736" i="58"/>
  <c r="H1737" i="58"/>
  <c r="H1738" i="58"/>
  <c r="H1739" i="58"/>
  <c r="H1740" i="58"/>
  <c r="H1741" i="58"/>
  <c r="H1742" i="58"/>
  <c r="H1743" i="58"/>
  <c r="H1744" i="58"/>
  <c r="H1745" i="58"/>
  <c r="H1746" i="58"/>
  <c r="H1747" i="58"/>
  <c r="H1748" i="58"/>
  <c r="H1749" i="58"/>
  <c r="H1750" i="58"/>
  <c r="H1751" i="58"/>
  <c r="H1752" i="58"/>
  <c r="H1753" i="58"/>
  <c r="H1754" i="58"/>
  <c r="H1755" i="58"/>
  <c r="H1756" i="58"/>
  <c r="H1757" i="58"/>
  <c r="H1758" i="58"/>
  <c r="H1759" i="58"/>
  <c r="H1760" i="58"/>
  <c r="H1761" i="58"/>
  <c r="H1762" i="58"/>
  <c r="H1763" i="58"/>
  <c r="H1764" i="58"/>
  <c r="H1765" i="58"/>
  <c r="H1766" i="58"/>
  <c r="H1767" i="58"/>
  <c r="H1768" i="58"/>
  <c r="H1769" i="58"/>
  <c r="H1770" i="58"/>
  <c r="H1771" i="58"/>
  <c r="H1772" i="58"/>
  <c r="H1773" i="58"/>
  <c r="H1774" i="58"/>
  <c r="H1775" i="58"/>
  <c r="H1776" i="58"/>
  <c r="H1777" i="58"/>
  <c r="H1778" i="58"/>
  <c r="H1779" i="58"/>
  <c r="H1780" i="58"/>
  <c r="H1781" i="58"/>
  <c r="H1782" i="58"/>
  <c r="H1783" i="58"/>
  <c r="H1784" i="58"/>
  <c r="H1785" i="58"/>
  <c r="H1786" i="58"/>
  <c r="H1787" i="58"/>
  <c r="H1788" i="58"/>
  <c r="H1789" i="58"/>
  <c r="H1790" i="58"/>
  <c r="H1791" i="58"/>
  <c r="H1792" i="58"/>
  <c r="H1793" i="58"/>
  <c r="H1794" i="58"/>
  <c r="H1795" i="58"/>
  <c r="H1796" i="58"/>
  <c r="H1797" i="58"/>
  <c r="H1798" i="58"/>
  <c r="H1799" i="58"/>
  <c r="H1800" i="58"/>
  <c r="H1801" i="58"/>
  <c r="H1802" i="58"/>
  <c r="H1803" i="58"/>
  <c r="H1804" i="58"/>
  <c r="H1805" i="58"/>
  <c r="H1806" i="58"/>
  <c r="H1807" i="58"/>
  <c r="H1808" i="58"/>
  <c r="H1809" i="58"/>
  <c r="H1810" i="58"/>
  <c r="H1811" i="58"/>
  <c r="H1812" i="58"/>
  <c r="H1813" i="58"/>
  <c r="H1814" i="58"/>
  <c r="H1815" i="58"/>
  <c r="H1816" i="58"/>
  <c r="H1817" i="58"/>
  <c r="H1818" i="58"/>
  <c r="H1819" i="58"/>
  <c r="H1820" i="58"/>
  <c r="H1821" i="58"/>
  <c r="H1822" i="58"/>
  <c r="H1823" i="58"/>
  <c r="H1824" i="58"/>
  <c r="H1825" i="58"/>
  <c r="H1826" i="58"/>
  <c r="H1827" i="58"/>
  <c r="H1828" i="58"/>
  <c r="H1829" i="58"/>
  <c r="H1830" i="58"/>
  <c r="H1831" i="58"/>
  <c r="H1832" i="58"/>
  <c r="H1833" i="58"/>
  <c r="H1834" i="58"/>
  <c r="H1835" i="58"/>
  <c r="H1836" i="58"/>
  <c r="H1837" i="58"/>
  <c r="H1838" i="58"/>
  <c r="H1839" i="58"/>
  <c r="H1840" i="58"/>
  <c r="H1841" i="58"/>
  <c r="H1842" i="58"/>
  <c r="H1843" i="58"/>
  <c r="H1844" i="58"/>
  <c r="H1845" i="58"/>
  <c r="H1846" i="58"/>
  <c r="H1847" i="58"/>
  <c r="H1848" i="58"/>
  <c r="H1849" i="58"/>
  <c r="H1850" i="58"/>
  <c r="H1851" i="58"/>
  <c r="H1852" i="58"/>
  <c r="H1853" i="58"/>
  <c r="H1854" i="58"/>
  <c r="H1855" i="58"/>
  <c r="H1856" i="58"/>
  <c r="H1857" i="58"/>
  <c r="H1858" i="58"/>
  <c r="H1859" i="58"/>
  <c r="H1860" i="58"/>
  <c r="H1861" i="58"/>
  <c r="H1862" i="58"/>
  <c r="H1863" i="58"/>
  <c r="H1864" i="58"/>
  <c r="H1865" i="58"/>
  <c r="H1866" i="58"/>
  <c r="H1867" i="58"/>
  <c r="H1868" i="58"/>
  <c r="H1869" i="58"/>
  <c r="H1870" i="58"/>
  <c r="H1871" i="58"/>
  <c r="H1872" i="58"/>
  <c r="H1873" i="58"/>
  <c r="H1874" i="58"/>
  <c r="H1875" i="58"/>
  <c r="H1876" i="58"/>
  <c r="H1877" i="58"/>
  <c r="H1878" i="58"/>
  <c r="H1879" i="58"/>
  <c r="H1880" i="58"/>
  <c r="H1881" i="58"/>
  <c r="H1882" i="58"/>
  <c r="H1883" i="58"/>
  <c r="H1884" i="58"/>
  <c r="H1885" i="58"/>
  <c r="H1886" i="58"/>
  <c r="H1887" i="58"/>
  <c r="H1888" i="58"/>
  <c r="H1889" i="58"/>
  <c r="H1890" i="58"/>
  <c r="H1891" i="58"/>
  <c r="H1892" i="58"/>
  <c r="H1893" i="58"/>
  <c r="H1894" i="58"/>
  <c r="H1895" i="58"/>
  <c r="H1896" i="58"/>
  <c r="H1897" i="58"/>
  <c r="H1898" i="58"/>
  <c r="H1899" i="58"/>
  <c r="H1900" i="58"/>
  <c r="H1901" i="58"/>
  <c r="H1902" i="58"/>
  <c r="H1903" i="58"/>
  <c r="H1904" i="58"/>
  <c r="H1905" i="58"/>
  <c r="H1906" i="58"/>
  <c r="H1907" i="58"/>
  <c r="H1908" i="58"/>
  <c r="H1909" i="58"/>
  <c r="H1910" i="58"/>
  <c r="H1911" i="58"/>
  <c r="H1912" i="58"/>
  <c r="H1913" i="58"/>
  <c r="H1914" i="58"/>
  <c r="H1915" i="58"/>
  <c r="H1916" i="58"/>
  <c r="H1917" i="58"/>
  <c r="H1918" i="58"/>
  <c r="H1919" i="58"/>
  <c r="H1920" i="58"/>
  <c r="H1921" i="58"/>
  <c r="H1922" i="58"/>
  <c r="H1923" i="58"/>
  <c r="H1924" i="58"/>
  <c r="H1925" i="58"/>
  <c r="H1926" i="58"/>
  <c r="H1927" i="58"/>
  <c r="H1928" i="58"/>
  <c r="H1929" i="58"/>
  <c r="H1930" i="58"/>
  <c r="H1931" i="58"/>
  <c r="H1932" i="58"/>
  <c r="H1933" i="58"/>
  <c r="H1934" i="58"/>
  <c r="H1935" i="58"/>
  <c r="H1936" i="58"/>
  <c r="H1937" i="58"/>
  <c r="H1938" i="58"/>
  <c r="H1939" i="58"/>
  <c r="H1940" i="58"/>
  <c r="H1941" i="58"/>
  <c r="H1942" i="58"/>
  <c r="H1943" i="58"/>
  <c r="H1944" i="58"/>
  <c r="H1945" i="58"/>
  <c r="H1946" i="58"/>
  <c r="H1947" i="58"/>
  <c r="H1948" i="58"/>
  <c r="H1949" i="58"/>
  <c r="H1950" i="58"/>
  <c r="H1951" i="58"/>
  <c r="H1952" i="58"/>
  <c r="H1953" i="58"/>
  <c r="H1954" i="58"/>
  <c r="H1955" i="58"/>
  <c r="H1956" i="58"/>
  <c r="H1957" i="58"/>
  <c r="H1958" i="58"/>
  <c r="H1959" i="58"/>
  <c r="H1960" i="58"/>
  <c r="H1961" i="58"/>
  <c r="H1962" i="58"/>
  <c r="H1963" i="58"/>
  <c r="H1964" i="58"/>
  <c r="H1965" i="58"/>
  <c r="H1966" i="58"/>
  <c r="H1967" i="58"/>
  <c r="H1968" i="58"/>
  <c r="H1969" i="58"/>
  <c r="H1970" i="58"/>
  <c r="H1971" i="58"/>
  <c r="H1972" i="58"/>
  <c r="H1973" i="58"/>
  <c r="H1974" i="58"/>
  <c r="H1975" i="58"/>
  <c r="H1976" i="58"/>
  <c r="H1977" i="58"/>
  <c r="H1978" i="58"/>
  <c r="H1979" i="58"/>
  <c r="H1980" i="58"/>
  <c r="H1981" i="58"/>
  <c r="H1982" i="58"/>
  <c r="H1983" i="58"/>
  <c r="H1984" i="58"/>
  <c r="H1985" i="58"/>
  <c r="H1986" i="58"/>
  <c r="H1987" i="58"/>
  <c r="H1988" i="58"/>
  <c r="H1989" i="58"/>
  <c r="H1990" i="58"/>
  <c r="H1991" i="58"/>
  <c r="H1992" i="58"/>
  <c r="H1993" i="58"/>
  <c r="H1994" i="58"/>
  <c r="H1995" i="58"/>
  <c r="H1996" i="58"/>
  <c r="H1997" i="58"/>
  <c r="H1998" i="58"/>
  <c r="H1999" i="58"/>
  <c r="H2000" i="58"/>
  <c r="H2001" i="58"/>
  <c r="H2002" i="58"/>
  <c r="H2003" i="58"/>
  <c r="H2004" i="58"/>
  <c r="H2005" i="58"/>
  <c r="H2006" i="58"/>
  <c r="H2007" i="58"/>
  <c r="H2008" i="58"/>
  <c r="H2009" i="58"/>
  <c r="H2010" i="58"/>
  <c r="H2011" i="58"/>
  <c r="H2012" i="58"/>
  <c r="H2013" i="58"/>
  <c r="H2014" i="58"/>
  <c r="H2015" i="58"/>
  <c r="H2016" i="58"/>
  <c r="H2017" i="58"/>
  <c r="H2018" i="58"/>
  <c r="H2019" i="58"/>
  <c r="H2020" i="58"/>
  <c r="H2021" i="58"/>
  <c r="H2022" i="58"/>
  <c r="H2023" i="58"/>
  <c r="H2024" i="58"/>
  <c r="H2025" i="58"/>
  <c r="H2026" i="58"/>
  <c r="H2027" i="58"/>
  <c r="H2028" i="58"/>
  <c r="H2029" i="58"/>
  <c r="H2030" i="58"/>
  <c r="H2031" i="58"/>
  <c r="H2032" i="58"/>
  <c r="H2033" i="58"/>
  <c r="H2034" i="58"/>
  <c r="H2035" i="58"/>
  <c r="H2036" i="58"/>
  <c r="H2037" i="58"/>
  <c r="H2038" i="58"/>
  <c r="H2039" i="58"/>
  <c r="H2040" i="58"/>
  <c r="H2041" i="58"/>
  <c r="H2042" i="58"/>
  <c r="H2043" i="58"/>
  <c r="H2044" i="58"/>
  <c r="H2045" i="58"/>
  <c r="H2046" i="58"/>
  <c r="H2047" i="58"/>
  <c r="H2048" i="58"/>
  <c r="H2049" i="58"/>
  <c r="H2050" i="58"/>
  <c r="H2051" i="58"/>
  <c r="H2052" i="58"/>
  <c r="H2053" i="58"/>
  <c r="H2054" i="58"/>
  <c r="H2055" i="58"/>
  <c r="H2056" i="58"/>
  <c r="H2057" i="58"/>
  <c r="H2058" i="58"/>
  <c r="H2059" i="58"/>
  <c r="H2060" i="58"/>
  <c r="H2061" i="58"/>
  <c r="H2062" i="58"/>
  <c r="H2063" i="58"/>
  <c r="H2064" i="58"/>
  <c r="H2065" i="58"/>
  <c r="H2066" i="58"/>
  <c r="H2067" i="58"/>
  <c r="H2068" i="58"/>
  <c r="H2069" i="58"/>
  <c r="H2070" i="58"/>
  <c r="H2071" i="58"/>
  <c r="H2072" i="58"/>
  <c r="H2073" i="58"/>
  <c r="H2074" i="58"/>
  <c r="H2075" i="58"/>
  <c r="H2076" i="58"/>
  <c r="H2077" i="58"/>
  <c r="H2078" i="58"/>
  <c r="H2079" i="58"/>
  <c r="H2080" i="58"/>
  <c r="H2081" i="58"/>
  <c r="H2082" i="58"/>
  <c r="H2083" i="58"/>
  <c r="H2084" i="58"/>
  <c r="H2085" i="58"/>
  <c r="H2086" i="58"/>
  <c r="H2087" i="58"/>
  <c r="H2088" i="58"/>
  <c r="H2089" i="58"/>
  <c r="H2090" i="58"/>
  <c r="H2091" i="58"/>
  <c r="H2092" i="58"/>
  <c r="H2093" i="58"/>
  <c r="H2094" i="58"/>
  <c r="H2095" i="58"/>
  <c r="H2096" i="58"/>
  <c r="H2097" i="58"/>
  <c r="H2098" i="58"/>
  <c r="H2099" i="58"/>
  <c r="H2100" i="58"/>
  <c r="H2101" i="58"/>
  <c r="H2102" i="58"/>
  <c r="H2103" i="58"/>
  <c r="H2104" i="58"/>
  <c r="H2105" i="58"/>
  <c r="H2106" i="58"/>
  <c r="H2107" i="58"/>
  <c r="H2108" i="58"/>
  <c r="H2109" i="58"/>
  <c r="H2110" i="58"/>
  <c r="H2111" i="58"/>
  <c r="H2112" i="58"/>
  <c r="H2113" i="58"/>
  <c r="H2114" i="58"/>
  <c r="H2115" i="58"/>
  <c r="H2116" i="58"/>
  <c r="H2117" i="58"/>
  <c r="H2118" i="58"/>
  <c r="H2119" i="58"/>
  <c r="H2120" i="58"/>
  <c r="H2121" i="58"/>
  <c r="H2122" i="58"/>
  <c r="H2123" i="58"/>
  <c r="H2124" i="58"/>
  <c r="H2125" i="58"/>
  <c r="H2126" i="58"/>
  <c r="H2127" i="58"/>
  <c r="H2128" i="58"/>
  <c r="H2129" i="58"/>
  <c r="H2130" i="58"/>
  <c r="H2131" i="58"/>
  <c r="H2132" i="58"/>
  <c r="H2133" i="58"/>
  <c r="H2134" i="58"/>
  <c r="H2135" i="58"/>
  <c r="H2136" i="58"/>
  <c r="H2137" i="58"/>
  <c r="H2138" i="58"/>
  <c r="H2139" i="58"/>
  <c r="H2140" i="58"/>
  <c r="H2141" i="58"/>
  <c r="H2142" i="58"/>
  <c r="H2143" i="58"/>
  <c r="H2144" i="58"/>
  <c r="H2145" i="58"/>
  <c r="H2146" i="58"/>
  <c r="H2147" i="58"/>
  <c r="H2148" i="58"/>
  <c r="H2149" i="58"/>
  <c r="H2150" i="58"/>
  <c r="H2151" i="58"/>
  <c r="H2152" i="58"/>
  <c r="H2153" i="58"/>
  <c r="H2154" i="58"/>
  <c r="H2155" i="58"/>
  <c r="H2156" i="58"/>
  <c r="H2157" i="58"/>
  <c r="H2158" i="58"/>
  <c r="H2159" i="58"/>
  <c r="H2160" i="58"/>
  <c r="H2161" i="58"/>
  <c r="H2162" i="58"/>
  <c r="H2163" i="58"/>
  <c r="H2164" i="58"/>
  <c r="H2165" i="58"/>
  <c r="H2166" i="58"/>
  <c r="H2167" i="58"/>
  <c r="H2168" i="58"/>
  <c r="H2169" i="58"/>
  <c r="H2170" i="58"/>
  <c r="H2171" i="58"/>
  <c r="H2172" i="58"/>
  <c r="H2173" i="58"/>
  <c r="H2174" i="58"/>
  <c r="H2175" i="58"/>
  <c r="H2176" i="58"/>
  <c r="H2177" i="58"/>
  <c r="H2178" i="58"/>
  <c r="H2179" i="58"/>
  <c r="H2180" i="58"/>
  <c r="H2181" i="58"/>
  <c r="H2182" i="58"/>
  <c r="H2183" i="58"/>
  <c r="H2184" i="58"/>
  <c r="H2185" i="58"/>
  <c r="H2186" i="58"/>
  <c r="H2187" i="58"/>
  <c r="H2188" i="58"/>
  <c r="H2189" i="58"/>
  <c r="H2190" i="58"/>
  <c r="H2191" i="58"/>
  <c r="H2192" i="58"/>
  <c r="H2193" i="58"/>
  <c r="H2194" i="58"/>
  <c r="H2195" i="58"/>
  <c r="H2196" i="58"/>
  <c r="H2197" i="58"/>
  <c r="H2198" i="58"/>
  <c r="H2199" i="58"/>
  <c r="H2200" i="58"/>
  <c r="H2201" i="58"/>
  <c r="H2202" i="58"/>
  <c r="H2203" i="58"/>
  <c r="H2204" i="58"/>
  <c r="H2205" i="58"/>
  <c r="H2206" i="58"/>
  <c r="H2207" i="58"/>
  <c r="H2208" i="58"/>
  <c r="H2209" i="58"/>
  <c r="H2210" i="58"/>
  <c r="H2211" i="58"/>
  <c r="H2212" i="58"/>
  <c r="H2213" i="58"/>
  <c r="H2214" i="58"/>
  <c r="H2215" i="58"/>
  <c r="H2216" i="58"/>
  <c r="H2217" i="58"/>
  <c r="H2218" i="58"/>
  <c r="H2219" i="58"/>
  <c r="H2220" i="58"/>
  <c r="H2221" i="58"/>
  <c r="H2222" i="58"/>
  <c r="H2223" i="58"/>
  <c r="H2224" i="58"/>
  <c r="H2225" i="58"/>
  <c r="H2226" i="58"/>
  <c r="H2227" i="58"/>
  <c r="H2228" i="58"/>
  <c r="H2229" i="58"/>
  <c r="H2230" i="58"/>
  <c r="H2231" i="58"/>
  <c r="H2232" i="58"/>
  <c r="H2233" i="58"/>
  <c r="H2234" i="58"/>
  <c r="H2235" i="58"/>
  <c r="H2236" i="58"/>
  <c r="H2237" i="58"/>
  <c r="H2238" i="58"/>
  <c r="H2239" i="58"/>
  <c r="H2240" i="58"/>
  <c r="H2241" i="58"/>
  <c r="H2242" i="58"/>
  <c r="H2243" i="58"/>
  <c r="H2244" i="58"/>
  <c r="H2245" i="58"/>
  <c r="H2246" i="58"/>
  <c r="H2247" i="58"/>
  <c r="H2248" i="58"/>
  <c r="H2249" i="58"/>
  <c r="H2250" i="58"/>
  <c r="H2251" i="58"/>
  <c r="H2252" i="58"/>
  <c r="H2253" i="58"/>
  <c r="H2254" i="58"/>
  <c r="H2255" i="58"/>
  <c r="H2256" i="58"/>
  <c r="H2257" i="58"/>
  <c r="H2258" i="58"/>
  <c r="H2259" i="58"/>
  <c r="H2260" i="58"/>
  <c r="H2261" i="58"/>
  <c r="H2262" i="58"/>
  <c r="H2263" i="58"/>
  <c r="H2264" i="58"/>
  <c r="H2265" i="58"/>
  <c r="H2266" i="58"/>
  <c r="H2267" i="58"/>
  <c r="H2268" i="58"/>
  <c r="H2269" i="58"/>
  <c r="H2270" i="58"/>
  <c r="H2271" i="58"/>
  <c r="H2272" i="58"/>
  <c r="H2273" i="58"/>
  <c r="H2274" i="58"/>
  <c r="H2275" i="58"/>
  <c r="H2276" i="58"/>
  <c r="H2277" i="58"/>
  <c r="H2278" i="58"/>
  <c r="H2279" i="58"/>
  <c r="H2280" i="58"/>
  <c r="H2281" i="58"/>
  <c r="H2282" i="58"/>
  <c r="H2283" i="58"/>
  <c r="H2284" i="58"/>
  <c r="H2285" i="58"/>
  <c r="H2286" i="58"/>
  <c r="H2287" i="58"/>
  <c r="H2288" i="58"/>
  <c r="H2289" i="58"/>
  <c r="H2290" i="58"/>
  <c r="H2291" i="58"/>
  <c r="H2292" i="58"/>
  <c r="H2293" i="58"/>
  <c r="H2294" i="58"/>
  <c r="H2295" i="58"/>
  <c r="H2296" i="58"/>
  <c r="H2297" i="58"/>
  <c r="H2298" i="58"/>
  <c r="H2299" i="58"/>
  <c r="H2300" i="58"/>
  <c r="H2301" i="58"/>
  <c r="H2302" i="58"/>
  <c r="H2303" i="58"/>
  <c r="H2304" i="58"/>
  <c r="H2305" i="58"/>
  <c r="H2306" i="58"/>
  <c r="H2307" i="58"/>
  <c r="H2308" i="58"/>
  <c r="H2309" i="58"/>
  <c r="H2310" i="58"/>
  <c r="H2311" i="58"/>
  <c r="H2312" i="58"/>
  <c r="H2313" i="58"/>
  <c r="H2314" i="58"/>
  <c r="H2315" i="58"/>
  <c r="H2316" i="58"/>
  <c r="H2317" i="58"/>
  <c r="H2318" i="58"/>
  <c r="H2319" i="58"/>
  <c r="H2320" i="58"/>
  <c r="H2321" i="58"/>
  <c r="H2322" i="58"/>
  <c r="H2323" i="58"/>
  <c r="H2324" i="58"/>
  <c r="H2325" i="58"/>
  <c r="H2326" i="58"/>
  <c r="H2327" i="58"/>
  <c r="H2328" i="58"/>
  <c r="H2329" i="58"/>
  <c r="H2330" i="58"/>
  <c r="H2331" i="58"/>
  <c r="H2332" i="58"/>
  <c r="H2333" i="58"/>
  <c r="H2334" i="58"/>
  <c r="H2335" i="58"/>
  <c r="H2336" i="58"/>
  <c r="H2337" i="58"/>
  <c r="H2338" i="58"/>
  <c r="H2339" i="58"/>
  <c r="H2340" i="58"/>
  <c r="H2341" i="58"/>
  <c r="H2342" i="58"/>
  <c r="H2343" i="58"/>
  <c r="H2344" i="58"/>
  <c r="H2345" i="58"/>
  <c r="H2346" i="58"/>
  <c r="H2347" i="58"/>
  <c r="H2348" i="58"/>
  <c r="H2349" i="58"/>
  <c r="H2350" i="58"/>
  <c r="H2351" i="58"/>
  <c r="H2352" i="58"/>
  <c r="H2353" i="58"/>
  <c r="H2354" i="58"/>
  <c r="H2355" i="58"/>
  <c r="H2356" i="58"/>
  <c r="H2357" i="58"/>
  <c r="H2358" i="58"/>
  <c r="H2359" i="58"/>
  <c r="H2360" i="58"/>
  <c r="H2361" i="58"/>
  <c r="H2362" i="58"/>
  <c r="H2363" i="58"/>
  <c r="H2364" i="58"/>
  <c r="H2365" i="58"/>
  <c r="H2366" i="58"/>
  <c r="H2367" i="58"/>
  <c r="H2368" i="58"/>
  <c r="H2369" i="58"/>
  <c r="H2370" i="58"/>
  <c r="H2371" i="58"/>
  <c r="H2372" i="58"/>
  <c r="H2373" i="58"/>
  <c r="H2374" i="58"/>
  <c r="H2375" i="58"/>
  <c r="H2376" i="58"/>
  <c r="H2377" i="58"/>
  <c r="H2378" i="58"/>
  <c r="H2379" i="58"/>
  <c r="H2380" i="58"/>
  <c r="H2381" i="58"/>
  <c r="H2382" i="58"/>
  <c r="H2383" i="58"/>
  <c r="H2384" i="58"/>
  <c r="H2385" i="58"/>
  <c r="H2386" i="58"/>
  <c r="H2387" i="58"/>
  <c r="H2388" i="58"/>
  <c r="H2389" i="58"/>
  <c r="H2390" i="58"/>
  <c r="H2391" i="58"/>
  <c r="H2392" i="58"/>
  <c r="H2393" i="58"/>
  <c r="H2394" i="58"/>
  <c r="H2395" i="58"/>
  <c r="H2396" i="58"/>
  <c r="H2397" i="58"/>
  <c r="H2398" i="58"/>
  <c r="H2399" i="58"/>
  <c r="H2400" i="58"/>
  <c r="H2401" i="58"/>
  <c r="H2402" i="58"/>
  <c r="H2403" i="58"/>
  <c r="H2404" i="58"/>
  <c r="H2405" i="58"/>
  <c r="H2406" i="58"/>
  <c r="H2407" i="58"/>
  <c r="H2408" i="58"/>
  <c r="H2409" i="58"/>
  <c r="H2410" i="58"/>
  <c r="H2411" i="58"/>
  <c r="H2412" i="58"/>
  <c r="H2413" i="58"/>
  <c r="H2414" i="58"/>
  <c r="H2415" i="58"/>
  <c r="H2416" i="58"/>
  <c r="H2417" i="58"/>
  <c r="H2418" i="58"/>
  <c r="H2419" i="58"/>
  <c r="H2420" i="58"/>
  <c r="H2421" i="58"/>
  <c r="H2422" i="58"/>
  <c r="H2423" i="58"/>
  <c r="H2424" i="58"/>
  <c r="H2425" i="58"/>
  <c r="H2426" i="58"/>
  <c r="H2427" i="58"/>
  <c r="H2428" i="58"/>
  <c r="H2429" i="58"/>
  <c r="H2430" i="58"/>
  <c r="H2431" i="58"/>
  <c r="H2432" i="58"/>
  <c r="H2433" i="58"/>
  <c r="H2434" i="58"/>
  <c r="H2435" i="58"/>
  <c r="H2436" i="58"/>
  <c r="H2437" i="58"/>
  <c r="H2438" i="58"/>
  <c r="H2439" i="58"/>
  <c r="H2440" i="58"/>
  <c r="H2441" i="58"/>
  <c r="H2442" i="58"/>
  <c r="H2443" i="58"/>
  <c r="H2444" i="58"/>
  <c r="H2445" i="58"/>
  <c r="H2446" i="58"/>
  <c r="H2447" i="58"/>
  <c r="H2448" i="58"/>
  <c r="H2449" i="58"/>
  <c r="H2450" i="58"/>
  <c r="H2451" i="58"/>
  <c r="H2452" i="58"/>
  <c r="H2453" i="58"/>
  <c r="H2454" i="58"/>
  <c r="H2455" i="58"/>
  <c r="H2456" i="58"/>
  <c r="H2457" i="58"/>
  <c r="H2458" i="58"/>
  <c r="H2459" i="58"/>
  <c r="H2460" i="58"/>
  <c r="H2461" i="58"/>
  <c r="H2462" i="58"/>
  <c r="H2463" i="58"/>
  <c r="H2464" i="58"/>
  <c r="H2465" i="58"/>
  <c r="H2466" i="58"/>
  <c r="H2467" i="58"/>
  <c r="H2468" i="58"/>
  <c r="H2469" i="58"/>
  <c r="H2470" i="58"/>
  <c r="H2471" i="58"/>
  <c r="H2472" i="58"/>
  <c r="H2473" i="58"/>
  <c r="H2474" i="58"/>
  <c r="H2475" i="58"/>
  <c r="H2476" i="58"/>
  <c r="H2477" i="58"/>
  <c r="H2478" i="58"/>
  <c r="H2479" i="58"/>
  <c r="H2480" i="58"/>
  <c r="H2481" i="58"/>
  <c r="H2482" i="58"/>
  <c r="H2483" i="58"/>
  <c r="H2484" i="58"/>
  <c r="H2485" i="58"/>
  <c r="H2486" i="58"/>
  <c r="H2487" i="58"/>
  <c r="H2488" i="58"/>
  <c r="H2489" i="58"/>
  <c r="H2490" i="58"/>
  <c r="H2491" i="58"/>
  <c r="H2492" i="58"/>
  <c r="H2493" i="58"/>
  <c r="H2494" i="58"/>
  <c r="H2495" i="58"/>
  <c r="H2496" i="58"/>
  <c r="H2497" i="58"/>
  <c r="H2498" i="58"/>
  <c r="H2499" i="58"/>
  <c r="H2500" i="58"/>
  <c r="H2501" i="58"/>
  <c r="H2502" i="58"/>
  <c r="H2503" i="58"/>
  <c r="H2504" i="58"/>
  <c r="H2505" i="58"/>
  <c r="H2506" i="58"/>
  <c r="H2507" i="58"/>
  <c r="H2508" i="58"/>
  <c r="H2509" i="58"/>
  <c r="H2510" i="58"/>
  <c r="H2511" i="58"/>
  <c r="H2512" i="58"/>
  <c r="H2513" i="58"/>
  <c r="H2514" i="58"/>
  <c r="H2515" i="58"/>
  <c r="H2516" i="58"/>
  <c r="H2517" i="58"/>
  <c r="H2518" i="58"/>
  <c r="H2519" i="58"/>
  <c r="H2520" i="58"/>
  <c r="H2521" i="58"/>
  <c r="H2522" i="58"/>
  <c r="H2523" i="58"/>
  <c r="H2524" i="58"/>
  <c r="H2525" i="58"/>
  <c r="H2526" i="58"/>
  <c r="H2527" i="58"/>
  <c r="H2528" i="58"/>
  <c r="H2529" i="58"/>
  <c r="H2530" i="58"/>
  <c r="H2531" i="58"/>
  <c r="H2532" i="58"/>
  <c r="H2533" i="58"/>
  <c r="H2534" i="58"/>
  <c r="H2535" i="58"/>
  <c r="H2536" i="58"/>
  <c r="H2537" i="58"/>
  <c r="H2538" i="58"/>
  <c r="H2539" i="58"/>
  <c r="H2540" i="58"/>
  <c r="H2541" i="58"/>
  <c r="H2542" i="58"/>
  <c r="H2543" i="58"/>
  <c r="H2544" i="58"/>
  <c r="H2545" i="58"/>
  <c r="H2546" i="58"/>
  <c r="H2547" i="58"/>
  <c r="H2548" i="58"/>
  <c r="H2549" i="58"/>
  <c r="H2550" i="58"/>
  <c r="H2551" i="58"/>
  <c r="H2552" i="58"/>
  <c r="H2553" i="58"/>
  <c r="H2554" i="58"/>
  <c r="H2555" i="58"/>
  <c r="H2556" i="58"/>
  <c r="H2557" i="58"/>
  <c r="H2558" i="58"/>
  <c r="H2559" i="58"/>
  <c r="H2560" i="58"/>
  <c r="H2561" i="58"/>
  <c r="H2562" i="58"/>
  <c r="H2563" i="58"/>
  <c r="H2564" i="58"/>
  <c r="H2565" i="58"/>
  <c r="H2566" i="58"/>
  <c r="H2567" i="58"/>
  <c r="H2568" i="58"/>
  <c r="H2569" i="58"/>
  <c r="H2570" i="58"/>
  <c r="H2571" i="58"/>
  <c r="H2572" i="58"/>
  <c r="H2573" i="58"/>
  <c r="H2574" i="58"/>
  <c r="H2575" i="58"/>
  <c r="H2576" i="58"/>
  <c r="H2577" i="58"/>
  <c r="H2578" i="58"/>
  <c r="H2579" i="58"/>
  <c r="H2580" i="58"/>
  <c r="H2581" i="58"/>
  <c r="H2582" i="58"/>
  <c r="H2583" i="58"/>
  <c r="H2584" i="58"/>
  <c r="H2585" i="58"/>
  <c r="H2586" i="58"/>
  <c r="H2587" i="58"/>
  <c r="H2588" i="58"/>
  <c r="H2589" i="58"/>
  <c r="H2590" i="58"/>
  <c r="H2591" i="58"/>
  <c r="H2592" i="58"/>
  <c r="H2593" i="58"/>
  <c r="H2594" i="58"/>
  <c r="H2595" i="58"/>
  <c r="H2596" i="58"/>
  <c r="H2597" i="58"/>
  <c r="H2598" i="58"/>
  <c r="H2599" i="58"/>
  <c r="H2600" i="58"/>
  <c r="H2601" i="58"/>
  <c r="H2602" i="58"/>
  <c r="H2603" i="58"/>
  <c r="H2604" i="58"/>
  <c r="H2605" i="58"/>
  <c r="H2606" i="58"/>
  <c r="H2607" i="58"/>
  <c r="H2608" i="58"/>
  <c r="H2609" i="58"/>
  <c r="H2610" i="58"/>
  <c r="H2611" i="58"/>
  <c r="H2612" i="58"/>
  <c r="H2613" i="58"/>
  <c r="H2614" i="58"/>
  <c r="H2615" i="58"/>
  <c r="H2616" i="58"/>
  <c r="H2617" i="58"/>
  <c r="H2618" i="58"/>
  <c r="H2619" i="58"/>
  <c r="H2620" i="58"/>
  <c r="H2621" i="58"/>
  <c r="H2622" i="58"/>
  <c r="H2623" i="58"/>
  <c r="H2624" i="58"/>
  <c r="H2625" i="58"/>
  <c r="H2626" i="58"/>
  <c r="H2627" i="58"/>
  <c r="H2628" i="58"/>
  <c r="H2629" i="58"/>
  <c r="H2630" i="58"/>
  <c r="H2631" i="58"/>
  <c r="H2632" i="58"/>
  <c r="H2633" i="58"/>
  <c r="H2634" i="58"/>
  <c r="H2635" i="58"/>
  <c r="H2636" i="58"/>
  <c r="H2637" i="58"/>
  <c r="H2638" i="58"/>
  <c r="H2639" i="58"/>
  <c r="H2640" i="58"/>
  <c r="H2641" i="58"/>
  <c r="H2642" i="58"/>
  <c r="H2643" i="58"/>
  <c r="H2644" i="58"/>
  <c r="H2645" i="58"/>
  <c r="H2646" i="58"/>
  <c r="H2647" i="58"/>
  <c r="H2648" i="58"/>
  <c r="H2649" i="58"/>
  <c r="H2650" i="58"/>
  <c r="H2651" i="58"/>
  <c r="H2652" i="58"/>
  <c r="H2653" i="58"/>
  <c r="H2654" i="58"/>
  <c r="H2655" i="58"/>
  <c r="H2656" i="58"/>
  <c r="H2657" i="58"/>
  <c r="H2658" i="58"/>
  <c r="H2659" i="58"/>
  <c r="H2660" i="58"/>
  <c r="H2661" i="58"/>
  <c r="H2662" i="58"/>
  <c r="H2663" i="58"/>
  <c r="H2664" i="58"/>
  <c r="H2665" i="58"/>
  <c r="H2666" i="58"/>
  <c r="H2667" i="58"/>
  <c r="H2668" i="58"/>
  <c r="H2669" i="58"/>
  <c r="H2670" i="58"/>
  <c r="H2671" i="58"/>
  <c r="H2672" i="58"/>
  <c r="H2673" i="58"/>
  <c r="H2674" i="58"/>
  <c r="H2675" i="58"/>
  <c r="H2676" i="58"/>
  <c r="H2677" i="58"/>
  <c r="H2678" i="58"/>
  <c r="H2679" i="58"/>
  <c r="H2680" i="58"/>
  <c r="H2681" i="58"/>
  <c r="H2682" i="58"/>
  <c r="H2683" i="58"/>
  <c r="H2684" i="58"/>
  <c r="H2685" i="58"/>
  <c r="H2686" i="58"/>
  <c r="H2687" i="58"/>
  <c r="H2688" i="58"/>
  <c r="H2689" i="58"/>
  <c r="H2690" i="58"/>
  <c r="H2691" i="58"/>
  <c r="H2692" i="58"/>
  <c r="H2693" i="58"/>
  <c r="H2694" i="58"/>
  <c r="H2695" i="58"/>
  <c r="H2696" i="58"/>
  <c r="H2697" i="58"/>
  <c r="H2698" i="58"/>
  <c r="H2699" i="58"/>
  <c r="H2700" i="58"/>
  <c r="H2701" i="58"/>
  <c r="H2702" i="58"/>
  <c r="H2703" i="58"/>
  <c r="H2704" i="58"/>
  <c r="H2705" i="58"/>
  <c r="H2706" i="58"/>
  <c r="H2707" i="58"/>
  <c r="H2708" i="58"/>
  <c r="H2709" i="58"/>
  <c r="H2710" i="58"/>
  <c r="H2711" i="58"/>
  <c r="H2712" i="58"/>
  <c r="H2713" i="58"/>
  <c r="H2714" i="58"/>
  <c r="H2715" i="58"/>
  <c r="H2716" i="58"/>
  <c r="H2717" i="58"/>
  <c r="H2718" i="58"/>
  <c r="H2719" i="58"/>
  <c r="H2720" i="58"/>
  <c r="H2721" i="58"/>
  <c r="H2722" i="58"/>
  <c r="H2723" i="58"/>
  <c r="H2724" i="58"/>
  <c r="H2725" i="58"/>
  <c r="H2726" i="58"/>
  <c r="H2727" i="58"/>
  <c r="H2728" i="58"/>
  <c r="H2729" i="58"/>
  <c r="H2730" i="58"/>
  <c r="H2731" i="58"/>
  <c r="H2732" i="58"/>
  <c r="H2733" i="58"/>
  <c r="H2734" i="58"/>
  <c r="H2735" i="58"/>
  <c r="H2736" i="58"/>
  <c r="H2737" i="58"/>
  <c r="H2738" i="58"/>
  <c r="H2739" i="58"/>
  <c r="H2740" i="58"/>
  <c r="H2741" i="58"/>
  <c r="H2742" i="58"/>
  <c r="H2743" i="58"/>
  <c r="H2744" i="58"/>
  <c r="H2745" i="58"/>
  <c r="H2746" i="58"/>
  <c r="H2747" i="58"/>
  <c r="H2748" i="58"/>
  <c r="H2749" i="58"/>
  <c r="H2750" i="58"/>
  <c r="H2751" i="58"/>
  <c r="H2752" i="58"/>
  <c r="H2753" i="58"/>
  <c r="H2754" i="58"/>
  <c r="H2755" i="58"/>
  <c r="H2756" i="58"/>
  <c r="H2757" i="58"/>
  <c r="H2758" i="58"/>
  <c r="H2759" i="58"/>
  <c r="H2760" i="58"/>
  <c r="H2761" i="58"/>
  <c r="H2762" i="58"/>
  <c r="H2763" i="58"/>
  <c r="H2764" i="58"/>
  <c r="H2765" i="58"/>
  <c r="H2766" i="58"/>
  <c r="H2767" i="58"/>
  <c r="H2768" i="58"/>
  <c r="H2769" i="58"/>
  <c r="H2770" i="58"/>
  <c r="H2771" i="58"/>
  <c r="H2772" i="58"/>
  <c r="H2773" i="58"/>
  <c r="H2774" i="58"/>
  <c r="H2775" i="58"/>
  <c r="H2776" i="58"/>
  <c r="H2777" i="58"/>
  <c r="H2778" i="58"/>
  <c r="H2779" i="58"/>
  <c r="H2780" i="58"/>
  <c r="H2781" i="58"/>
  <c r="H2782" i="58"/>
  <c r="H2783" i="58"/>
  <c r="H2784" i="58"/>
  <c r="H2785" i="58"/>
  <c r="H2786" i="58"/>
  <c r="H2787" i="58"/>
  <c r="H2788" i="58"/>
  <c r="H2789" i="58"/>
  <c r="H2790" i="58"/>
  <c r="H2791" i="58"/>
  <c r="H2792" i="58"/>
  <c r="H2793" i="58"/>
  <c r="H2794" i="58"/>
  <c r="H2795" i="58"/>
  <c r="H2796" i="58"/>
  <c r="H2797" i="58"/>
  <c r="H2798" i="58"/>
  <c r="H2799" i="58"/>
  <c r="H2800" i="58"/>
  <c r="H2801" i="58"/>
  <c r="H2802" i="58"/>
  <c r="H2803" i="58"/>
  <c r="H2804" i="58"/>
  <c r="H2805" i="58"/>
  <c r="H2806" i="58"/>
  <c r="H2807" i="58"/>
  <c r="H2808" i="58"/>
  <c r="H2809" i="58"/>
  <c r="H2810" i="58"/>
  <c r="H2811" i="58"/>
  <c r="H2812" i="58"/>
  <c r="H2813" i="58"/>
  <c r="H2814" i="58"/>
  <c r="H2815" i="58"/>
  <c r="H2816" i="58"/>
  <c r="H2817" i="58"/>
  <c r="H2818" i="58"/>
  <c r="H2819" i="58"/>
  <c r="H2820" i="58"/>
  <c r="H2821" i="58"/>
  <c r="H2822" i="58"/>
  <c r="H2823" i="58"/>
  <c r="H2824" i="58"/>
  <c r="H2825" i="58"/>
  <c r="H2826" i="58"/>
  <c r="H2827" i="58"/>
  <c r="H2828" i="58"/>
  <c r="H2829" i="58"/>
  <c r="H2830" i="58"/>
  <c r="H2831" i="58"/>
  <c r="H2832" i="58"/>
  <c r="H2833" i="58"/>
  <c r="H2834" i="58"/>
  <c r="H2835" i="58"/>
  <c r="H2836" i="58"/>
  <c r="H2837" i="58"/>
  <c r="H2838" i="58"/>
  <c r="H2839" i="58"/>
  <c r="H2840" i="58"/>
  <c r="H2841" i="58"/>
  <c r="H2842" i="58"/>
  <c r="H2843" i="58"/>
  <c r="H2844" i="58"/>
  <c r="H2845" i="58"/>
  <c r="H2846" i="58"/>
  <c r="H2847" i="58"/>
  <c r="H2848" i="58"/>
  <c r="H2849" i="58"/>
  <c r="H2850" i="58"/>
  <c r="H2851" i="58"/>
  <c r="H2852" i="58"/>
  <c r="H2853" i="58"/>
  <c r="H2854" i="58"/>
  <c r="H2855" i="58"/>
  <c r="H2856" i="58"/>
  <c r="H2857" i="58"/>
  <c r="H2858" i="58"/>
  <c r="H2859" i="58"/>
  <c r="H2860" i="58"/>
  <c r="H2861" i="58"/>
  <c r="H2862" i="58"/>
  <c r="H2863" i="58"/>
  <c r="H2864" i="58"/>
  <c r="H2865" i="58"/>
  <c r="H2866" i="58"/>
  <c r="H2867" i="58"/>
  <c r="H2868" i="58"/>
  <c r="H2869" i="58"/>
  <c r="H2870" i="58"/>
  <c r="H2871" i="58"/>
  <c r="H2872" i="58"/>
  <c r="H2873" i="58"/>
  <c r="H2874" i="58"/>
  <c r="H2875" i="58"/>
  <c r="H2876" i="58"/>
  <c r="H2877" i="58"/>
  <c r="H2878" i="58"/>
  <c r="H2879" i="58"/>
  <c r="H2880" i="58"/>
  <c r="H2881" i="58"/>
  <c r="H2882" i="58"/>
  <c r="H2883" i="58"/>
  <c r="H2884" i="58"/>
  <c r="H2885" i="58"/>
  <c r="H2886" i="58"/>
  <c r="H2887" i="58"/>
  <c r="H2888" i="58"/>
  <c r="H2889" i="58"/>
  <c r="H2890" i="58"/>
  <c r="H2891" i="58"/>
  <c r="H2892" i="58"/>
  <c r="H2893" i="58"/>
  <c r="H2894" i="58"/>
  <c r="H2895" i="58"/>
  <c r="H2896" i="58"/>
  <c r="H2897" i="58"/>
  <c r="H2898" i="58"/>
  <c r="H2899" i="58"/>
  <c r="H2900" i="58"/>
  <c r="H2901" i="58"/>
  <c r="H2902" i="58"/>
  <c r="H2903" i="58"/>
  <c r="H2904" i="58"/>
  <c r="H2905" i="58"/>
  <c r="H2906" i="58"/>
  <c r="H2907" i="58"/>
  <c r="H2908" i="58"/>
  <c r="H2909" i="58"/>
  <c r="H2910" i="58"/>
  <c r="H2911" i="58"/>
  <c r="H2912" i="58"/>
  <c r="H2913" i="58"/>
  <c r="H2914" i="58"/>
  <c r="H2915" i="58"/>
  <c r="H2916" i="58"/>
  <c r="H2917" i="58"/>
  <c r="H2918" i="58"/>
  <c r="H2919" i="58"/>
  <c r="H2920" i="58"/>
  <c r="H2921" i="58"/>
  <c r="H2922" i="58"/>
  <c r="H2923" i="58"/>
  <c r="H2924" i="58"/>
  <c r="H2925" i="58"/>
  <c r="H2926" i="58"/>
  <c r="H2927" i="58"/>
  <c r="H2928" i="58"/>
  <c r="H2929" i="58"/>
  <c r="H2930" i="58"/>
  <c r="H2931" i="58"/>
  <c r="H2932" i="58"/>
  <c r="H2933" i="58"/>
  <c r="H2934" i="58"/>
  <c r="H2935" i="58"/>
  <c r="H2936" i="58"/>
  <c r="H2937" i="58"/>
  <c r="H2938" i="58"/>
  <c r="H2939" i="58"/>
  <c r="H2940" i="58"/>
  <c r="H2941" i="58"/>
  <c r="H2942" i="58"/>
  <c r="H2943" i="58"/>
  <c r="H2944" i="58"/>
  <c r="H2945" i="58"/>
  <c r="H2946" i="58"/>
  <c r="H2947" i="58"/>
  <c r="H2948" i="58"/>
  <c r="H2949" i="58"/>
  <c r="H2950" i="58"/>
  <c r="H2951" i="58"/>
  <c r="H2952" i="58"/>
  <c r="H2953" i="58"/>
  <c r="H2954" i="58"/>
  <c r="H2955" i="58"/>
  <c r="H2956" i="58"/>
  <c r="H2957" i="58"/>
  <c r="H2958" i="58"/>
  <c r="H2959" i="58"/>
  <c r="H2960" i="58"/>
  <c r="H2961" i="58"/>
  <c r="H2962" i="58"/>
  <c r="H2963" i="58"/>
  <c r="H2964" i="58"/>
  <c r="H2965" i="58"/>
  <c r="H2966" i="58"/>
  <c r="H2967" i="58"/>
  <c r="H2968" i="58"/>
  <c r="H2969" i="58"/>
  <c r="H2970" i="58"/>
  <c r="H2971" i="58"/>
  <c r="H2972" i="58"/>
  <c r="H2973" i="58"/>
  <c r="H2974" i="58"/>
  <c r="H2975" i="58"/>
  <c r="H2976" i="58"/>
  <c r="H2977" i="58"/>
  <c r="H2978" i="58"/>
  <c r="H2979" i="58"/>
  <c r="H2980" i="58"/>
  <c r="H2981" i="58"/>
  <c r="H2982" i="58"/>
  <c r="H2983" i="58"/>
  <c r="H2984" i="58"/>
  <c r="H2985" i="58"/>
  <c r="H2986" i="58"/>
  <c r="H2987" i="58"/>
  <c r="H2988" i="58"/>
  <c r="H2989" i="58"/>
  <c r="H2990" i="58"/>
  <c r="H2991" i="58"/>
  <c r="H2992" i="58"/>
  <c r="H2993" i="58"/>
  <c r="H2994" i="58"/>
  <c r="H2995" i="58"/>
  <c r="H2996" i="58"/>
  <c r="H2997" i="58"/>
  <c r="H2998" i="58"/>
  <c r="H2999" i="58"/>
  <c r="H3000" i="58"/>
  <c r="H3001" i="58"/>
  <c r="H3002" i="58"/>
  <c r="H3003" i="58"/>
  <c r="H3004" i="58"/>
  <c r="H3005" i="58"/>
  <c r="H3006" i="58"/>
  <c r="H3007" i="58"/>
  <c r="H3008" i="58"/>
  <c r="H3009" i="58"/>
  <c r="H3010" i="58"/>
  <c r="H3011" i="58"/>
  <c r="H3012" i="58"/>
  <c r="H3013" i="58"/>
  <c r="H3014" i="58"/>
  <c r="H3015" i="58"/>
  <c r="H3016" i="58"/>
  <c r="H3017" i="58"/>
  <c r="H3018" i="58"/>
  <c r="H3019" i="58"/>
  <c r="H3020" i="58"/>
  <c r="H3021" i="58"/>
  <c r="H3022" i="58"/>
  <c r="H3023" i="58"/>
  <c r="H3024" i="58"/>
  <c r="H3025" i="58"/>
  <c r="H3026" i="58"/>
  <c r="H3027" i="58"/>
  <c r="H3028" i="58"/>
  <c r="H3029" i="58"/>
  <c r="H3030" i="58"/>
  <c r="H3031" i="58"/>
  <c r="H3032" i="58"/>
  <c r="H3033" i="58"/>
  <c r="H3034" i="58"/>
  <c r="H3035" i="58"/>
  <c r="H3036" i="58"/>
  <c r="H3037" i="58"/>
  <c r="H3038" i="58"/>
  <c r="H3039" i="58"/>
  <c r="H3040" i="58"/>
  <c r="H3041" i="58"/>
  <c r="H3042" i="58"/>
  <c r="H3043" i="58"/>
  <c r="H3044" i="58"/>
  <c r="H3045" i="58"/>
  <c r="H3046" i="58"/>
  <c r="H3047" i="58"/>
  <c r="H3048" i="58"/>
  <c r="H3049" i="58"/>
  <c r="H3050" i="58"/>
  <c r="H3051" i="58"/>
  <c r="H3052" i="58"/>
  <c r="H3053" i="58"/>
  <c r="H3054" i="58"/>
  <c r="H3055" i="58"/>
  <c r="H3056" i="58"/>
  <c r="H3057" i="58"/>
  <c r="H3058" i="58"/>
  <c r="H3059" i="58"/>
  <c r="H3060" i="58"/>
  <c r="H3061" i="58"/>
  <c r="H3062" i="58"/>
  <c r="H3063" i="58"/>
  <c r="H3064" i="58"/>
  <c r="H3065" i="58"/>
  <c r="H3066" i="58"/>
  <c r="H3067" i="58"/>
  <c r="H3068" i="58"/>
  <c r="H3069" i="58"/>
  <c r="H3070" i="58"/>
  <c r="H3071" i="58"/>
  <c r="H3072" i="58"/>
  <c r="H3073" i="58"/>
  <c r="H3074" i="58"/>
  <c r="H3075" i="58"/>
  <c r="H3076" i="58"/>
  <c r="H3077" i="58"/>
  <c r="H3078" i="58"/>
  <c r="H3079" i="58"/>
  <c r="H3080" i="58"/>
  <c r="H3081" i="58"/>
  <c r="H3082" i="58"/>
  <c r="H3083" i="58"/>
  <c r="H3084" i="58"/>
  <c r="H3085" i="58"/>
  <c r="H3086" i="58"/>
  <c r="H3087" i="58"/>
  <c r="H3088" i="58"/>
  <c r="H3089" i="58"/>
  <c r="H3090" i="58"/>
  <c r="H3091" i="58"/>
  <c r="H3092" i="58"/>
  <c r="H3093" i="58"/>
  <c r="H3094" i="58"/>
  <c r="H3095" i="58"/>
  <c r="H3096" i="58"/>
  <c r="H3097" i="58"/>
  <c r="H3098" i="58"/>
  <c r="H3099" i="58"/>
  <c r="H3100" i="58"/>
  <c r="H3101" i="58"/>
  <c r="H3102" i="58"/>
  <c r="H3103" i="58"/>
  <c r="H3104" i="58"/>
  <c r="H3105" i="58"/>
  <c r="H3106" i="58"/>
  <c r="H3107" i="58"/>
  <c r="H3108" i="58"/>
  <c r="H3109" i="58"/>
  <c r="H3110" i="58"/>
  <c r="H3111" i="58"/>
  <c r="H3112" i="58"/>
  <c r="H3113" i="58"/>
  <c r="H3114" i="58"/>
  <c r="H3115" i="58"/>
  <c r="H3116" i="58"/>
  <c r="H3117" i="58"/>
  <c r="H3118" i="58"/>
  <c r="H3119" i="58"/>
  <c r="H3120" i="58"/>
  <c r="H3121" i="58"/>
  <c r="H3122" i="58"/>
  <c r="H3123" i="58"/>
  <c r="H3124" i="58"/>
  <c r="H3125" i="58"/>
  <c r="H3126" i="58"/>
  <c r="H3127" i="58"/>
  <c r="H3128" i="58"/>
  <c r="H3129" i="58"/>
  <c r="H3130" i="58"/>
  <c r="H3131" i="58"/>
  <c r="H3132" i="58"/>
  <c r="H3133" i="58"/>
  <c r="H3134" i="58"/>
  <c r="H3135" i="58"/>
  <c r="H3136" i="58"/>
  <c r="H3137" i="58"/>
  <c r="H3138" i="58"/>
  <c r="H3139" i="58"/>
  <c r="H3140" i="58"/>
  <c r="H3141" i="58"/>
  <c r="H3142" i="58"/>
  <c r="H3143" i="58"/>
  <c r="H3144" i="58"/>
  <c r="H3145" i="58"/>
  <c r="H3146" i="58"/>
  <c r="H3147" i="58"/>
  <c r="H3148" i="58"/>
  <c r="H3149" i="58"/>
  <c r="H3150" i="58"/>
  <c r="H3151" i="58"/>
  <c r="H3152" i="58"/>
  <c r="H3153" i="58"/>
  <c r="H3154" i="58"/>
  <c r="H3155" i="58"/>
  <c r="H3156" i="58"/>
  <c r="H3157" i="58"/>
  <c r="H3158" i="58"/>
  <c r="H3159" i="58"/>
  <c r="H3160" i="58"/>
  <c r="H3161" i="58"/>
  <c r="H3162" i="58"/>
  <c r="H3163" i="58"/>
  <c r="H3164" i="58"/>
  <c r="H3165" i="58"/>
  <c r="H3166" i="58"/>
  <c r="H3167" i="58"/>
  <c r="H3168" i="58"/>
  <c r="H3169" i="58"/>
  <c r="H3170" i="58"/>
  <c r="H3171" i="58"/>
  <c r="H3172" i="58"/>
  <c r="H3173" i="58"/>
  <c r="H3174" i="58"/>
  <c r="H3175" i="58"/>
  <c r="H3176" i="58"/>
  <c r="H3177" i="58"/>
  <c r="H3178" i="58"/>
  <c r="H3179" i="58"/>
  <c r="H3180" i="58"/>
  <c r="H3181" i="58"/>
  <c r="H3182" i="58"/>
  <c r="H3183" i="58"/>
  <c r="H3184" i="58"/>
  <c r="H3185" i="58"/>
  <c r="H3186" i="58"/>
  <c r="H3187" i="58"/>
  <c r="H3188" i="58"/>
  <c r="H3189" i="58"/>
  <c r="H3190" i="58"/>
  <c r="H3191" i="58"/>
  <c r="H3192" i="58"/>
  <c r="H3193" i="58"/>
  <c r="H3194" i="58"/>
  <c r="H3195" i="58"/>
  <c r="H3196" i="58"/>
  <c r="H3197" i="58"/>
  <c r="H3198" i="58"/>
  <c r="H3199" i="58"/>
  <c r="H3200" i="58"/>
  <c r="H3201" i="58"/>
  <c r="H3202" i="58"/>
  <c r="H3203" i="58"/>
  <c r="H3204" i="58"/>
  <c r="H3205" i="58"/>
  <c r="H3206" i="58"/>
  <c r="H3207" i="58"/>
  <c r="H3208" i="58"/>
  <c r="H3209" i="58"/>
  <c r="H3210" i="58"/>
  <c r="H3211" i="58"/>
  <c r="H3212" i="58"/>
  <c r="H3213" i="58"/>
  <c r="H3214" i="58"/>
  <c r="H3215" i="58"/>
  <c r="H3216" i="58"/>
  <c r="H3217" i="58"/>
  <c r="H3218" i="58"/>
  <c r="H3219" i="58"/>
  <c r="H3220" i="58"/>
  <c r="H3221" i="58"/>
  <c r="H3222" i="58"/>
  <c r="H3223" i="58"/>
  <c r="H3224" i="58"/>
  <c r="H3225" i="58"/>
  <c r="H3226" i="58"/>
  <c r="H3227" i="58"/>
  <c r="H3228" i="58"/>
  <c r="H3229" i="58"/>
  <c r="H3230" i="58"/>
  <c r="H3231" i="58"/>
  <c r="H3232" i="58"/>
  <c r="H3233" i="58"/>
  <c r="H3234" i="58"/>
  <c r="H3235" i="58"/>
  <c r="H3236" i="58"/>
  <c r="H3237" i="58"/>
  <c r="H3238" i="58"/>
  <c r="H3239" i="58"/>
  <c r="H3240" i="58"/>
  <c r="H3241" i="58"/>
  <c r="H3242" i="58"/>
  <c r="H3243" i="58"/>
  <c r="H3244" i="58"/>
  <c r="H3245" i="58"/>
  <c r="H3246" i="58"/>
  <c r="H3247" i="58"/>
  <c r="H3248" i="58"/>
  <c r="H3249" i="58"/>
  <c r="H3250" i="58"/>
  <c r="H3251" i="58"/>
  <c r="H3252" i="58"/>
  <c r="H3253" i="58"/>
  <c r="H3254" i="58"/>
  <c r="H3255" i="58"/>
  <c r="H3256" i="58"/>
  <c r="H3257" i="58"/>
  <c r="H3258" i="58"/>
  <c r="H3259" i="58"/>
  <c r="H3260" i="58"/>
  <c r="H3261" i="58"/>
  <c r="H3262" i="58"/>
  <c r="H3263" i="58"/>
  <c r="H3264" i="58"/>
  <c r="H3265" i="58"/>
  <c r="H3266" i="58"/>
  <c r="H3267" i="58"/>
  <c r="H3268" i="58"/>
  <c r="H3269" i="58"/>
  <c r="H3270" i="58"/>
  <c r="H3271" i="58"/>
  <c r="H3272" i="58"/>
  <c r="H3273" i="58"/>
  <c r="H3274" i="58"/>
  <c r="H3275" i="58"/>
  <c r="H3276" i="58"/>
  <c r="H3277" i="58"/>
  <c r="H3278" i="58"/>
  <c r="H3279" i="58"/>
  <c r="H3280" i="58"/>
  <c r="H3281" i="58"/>
  <c r="H3282" i="58"/>
  <c r="H3283" i="58"/>
  <c r="H3284" i="58"/>
  <c r="H3285" i="58"/>
  <c r="H3286" i="58"/>
  <c r="H3287" i="58"/>
  <c r="H3288" i="58"/>
  <c r="H3289" i="58"/>
  <c r="H3290" i="58"/>
  <c r="H3291" i="58"/>
  <c r="H3292" i="58"/>
  <c r="H3293" i="58"/>
  <c r="H3294" i="58"/>
  <c r="H3295" i="58"/>
  <c r="H3296" i="58"/>
  <c r="H3297" i="58"/>
  <c r="H3298" i="58"/>
  <c r="H3299" i="58"/>
  <c r="H3300" i="58"/>
  <c r="H3301" i="58"/>
  <c r="H3302" i="58"/>
  <c r="H3303" i="58"/>
  <c r="H3304" i="58"/>
  <c r="H3305" i="58"/>
  <c r="H3306" i="58"/>
  <c r="H3307" i="58"/>
  <c r="H3308" i="58"/>
  <c r="H3309" i="58"/>
  <c r="H3310" i="58"/>
  <c r="H3311" i="58"/>
  <c r="H3312" i="58"/>
  <c r="H3313" i="58"/>
  <c r="H3314" i="58"/>
  <c r="H3315" i="58"/>
  <c r="H3316" i="58"/>
  <c r="H3317" i="58"/>
  <c r="H3318" i="58"/>
  <c r="H3319" i="58"/>
  <c r="H3320" i="58"/>
  <c r="H3321" i="58"/>
  <c r="H3322" i="58"/>
  <c r="H3323" i="58"/>
  <c r="H3324" i="58"/>
  <c r="H3325" i="58"/>
  <c r="H3326" i="58"/>
  <c r="H3327" i="58"/>
  <c r="H3328" i="58"/>
  <c r="H3329" i="58"/>
  <c r="H3330" i="58"/>
  <c r="H3331" i="58"/>
  <c r="H3332" i="58"/>
  <c r="H3333" i="58"/>
  <c r="H3334" i="58"/>
  <c r="H3335" i="58"/>
  <c r="H3336" i="58"/>
  <c r="H3337" i="58"/>
  <c r="H3338" i="58"/>
  <c r="H3339" i="58"/>
  <c r="H3340" i="58"/>
  <c r="H3341" i="58"/>
  <c r="H3342" i="58"/>
  <c r="H3343" i="58"/>
  <c r="H3344" i="58"/>
  <c r="H3345" i="58"/>
  <c r="H3346" i="58"/>
  <c r="H3347" i="58"/>
  <c r="H3348" i="58"/>
  <c r="H3349" i="58"/>
  <c r="H3350" i="58"/>
  <c r="H3351" i="58"/>
  <c r="H3352" i="58"/>
  <c r="H3353" i="58"/>
  <c r="H3354" i="58"/>
  <c r="H3355" i="58"/>
  <c r="H3356" i="58"/>
  <c r="H3357" i="58"/>
  <c r="H3358" i="58"/>
  <c r="H3359" i="58"/>
  <c r="H3360" i="58"/>
  <c r="H3361" i="58"/>
  <c r="H3362" i="58"/>
  <c r="H3363" i="58"/>
  <c r="H3364" i="58"/>
  <c r="H3365" i="58"/>
  <c r="H3366" i="58"/>
  <c r="H3367" i="58"/>
  <c r="H3368" i="58"/>
  <c r="H3369" i="58"/>
  <c r="H3370" i="58"/>
  <c r="H3371" i="58"/>
  <c r="H3372" i="58"/>
  <c r="H3373" i="58"/>
  <c r="H3374" i="58"/>
  <c r="H3375" i="58"/>
  <c r="H3376" i="58"/>
  <c r="H3377" i="58"/>
  <c r="H3378" i="58"/>
  <c r="H3379" i="58"/>
  <c r="H3380" i="58"/>
  <c r="H3381" i="58"/>
  <c r="H3382" i="58"/>
  <c r="H3383" i="58"/>
  <c r="H3384" i="58"/>
  <c r="H3385" i="58"/>
  <c r="H3386" i="58"/>
  <c r="H3387" i="58"/>
  <c r="H3388" i="58"/>
  <c r="H3389" i="58"/>
  <c r="H3390" i="58"/>
  <c r="H3391" i="58"/>
  <c r="H3392" i="58"/>
  <c r="H3393" i="58"/>
  <c r="H3394" i="58"/>
  <c r="H3395" i="58"/>
  <c r="H3396" i="58"/>
  <c r="H3397" i="58"/>
  <c r="H3398" i="58"/>
  <c r="H3399" i="58"/>
  <c r="H3400" i="58"/>
  <c r="H3401" i="58"/>
  <c r="H3402" i="58"/>
  <c r="H3403" i="58"/>
  <c r="H3404" i="58"/>
  <c r="H3405" i="58"/>
  <c r="H3406" i="58"/>
  <c r="H3407" i="58"/>
  <c r="H3408" i="58"/>
  <c r="H3409" i="58"/>
  <c r="H3410" i="58"/>
  <c r="H3411" i="58"/>
  <c r="H3412" i="58"/>
  <c r="H3413" i="58"/>
  <c r="H3414" i="58"/>
  <c r="H3415" i="58"/>
  <c r="H3416" i="58"/>
  <c r="H3417" i="58"/>
  <c r="H3418" i="58"/>
  <c r="H3419" i="58"/>
  <c r="H3420" i="58"/>
  <c r="H3421" i="58"/>
  <c r="H3422" i="58"/>
  <c r="H3423" i="58"/>
  <c r="H3424" i="58"/>
  <c r="H3425" i="58"/>
  <c r="H3426" i="58"/>
  <c r="H3427" i="58"/>
  <c r="H3428" i="58"/>
  <c r="H3429" i="58"/>
  <c r="H3430" i="58"/>
  <c r="H3431" i="58"/>
  <c r="H3432" i="58"/>
  <c r="H3433" i="58"/>
  <c r="H3434" i="58"/>
  <c r="H3435" i="58"/>
  <c r="H3436" i="58"/>
  <c r="H3437" i="58"/>
  <c r="H3438" i="58"/>
  <c r="H3439" i="58"/>
  <c r="H3440" i="58"/>
  <c r="H3441" i="58"/>
  <c r="H3442" i="58"/>
  <c r="H3443" i="58"/>
  <c r="H3444" i="58"/>
  <c r="H3445" i="58"/>
  <c r="H3446" i="58"/>
  <c r="H3447" i="58"/>
  <c r="H3448" i="58"/>
  <c r="H3449" i="58"/>
  <c r="H3450" i="58"/>
  <c r="H3451" i="58"/>
  <c r="H3452" i="58"/>
  <c r="H3453" i="58"/>
  <c r="H3454" i="58"/>
  <c r="H3455" i="58"/>
  <c r="H3456" i="58"/>
  <c r="H3457" i="58"/>
  <c r="H3458" i="58"/>
  <c r="H3459" i="58"/>
  <c r="H3460" i="58"/>
  <c r="H3461" i="58"/>
  <c r="H3462" i="58"/>
  <c r="H3463" i="58"/>
  <c r="H3464" i="58"/>
  <c r="H3465" i="58"/>
  <c r="H3466" i="58"/>
  <c r="H3467" i="58"/>
  <c r="H3468" i="58"/>
  <c r="H3469" i="58"/>
  <c r="H3470" i="58"/>
  <c r="H3471" i="58"/>
  <c r="H3472" i="58"/>
  <c r="H3473" i="58"/>
  <c r="H3474" i="58"/>
  <c r="H3475" i="58"/>
  <c r="H3476" i="58"/>
  <c r="H3477" i="58"/>
  <c r="H3478" i="58"/>
  <c r="H3479" i="58"/>
  <c r="H3480" i="58"/>
  <c r="H3481" i="58"/>
  <c r="H3482" i="58"/>
  <c r="H3483" i="58"/>
  <c r="H3484" i="58"/>
  <c r="H3485" i="58"/>
  <c r="H3486" i="58"/>
  <c r="H3487" i="58"/>
  <c r="H3488" i="58"/>
  <c r="H3489" i="58"/>
  <c r="H3490" i="58"/>
  <c r="H3491" i="58"/>
  <c r="H3492" i="58"/>
  <c r="H3493" i="58"/>
  <c r="H3494" i="58"/>
  <c r="H3495" i="58"/>
  <c r="H3496" i="58"/>
  <c r="H3497" i="58"/>
  <c r="H3498" i="58"/>
  <c r="H3499" i="58"/>
  <c r="H3500" i="58"/>
  <c r="H3501" i="58"/>
  <c r="H3502" i="58"/>
  <c r="H3503" i="58"/>
  <c r="H3504" i="58"/>
  <c r="H3505" i="58"/>
  <c r="H3506" i="58"/>
  <c r="H3507" i="58"/>
  <c r="H3508" i="58"/>
  <c r="H3509" i="58"/>
  <c r="H3510" i="58"/>
  <c r="H3511" i="58"/>
  <c r="H3512" i="58"/>
  <c r="H3513" i="58"/>
  <c r="H3514" i="58"/>
  <c r="H3515" i="58"/>
  <c r="H3516" i="58"/>
  <c r="H3517" i="58"/>
  <c r="H3518" i="58"/>
  <c r="H3519" i="58"/>
  <c r="H3520" i="58"/>
  <c r="H3521" i="58"/>
  <c r="H3522" i="58"/>
  <c r="H3523" i="58"/>
  <c r="H3524" i="58"/>
  <c r="H3525" i="58"/>
  <c r="H3526" i="58"/>
  <c r="H3527" i="58"/>
  <c r="H3528" i="58"/>
  <c r="H3529" i="58"/>
  <c r="H3530" i="58"/>
  <c r="H3531" i="58"/>
  <c r="H3532" i="58"/>
  <c r="H3533" i="58"/>
  <c r="H3534" i="58"/>
  <c r="H3535" i="58"/>
  <c r="H3536" i="58"/>
  <c r="H3537" i="58"/>
  <c r="H3538" i="58"/>
  <c r="H3539" i="58"/>
  <c r="H3540" i="58"/>
  <c r="H3541" i="58"/>
  <c r="H3542" i="58"/>
  <c r="H3543" i="58"/>
  <c r="H3544" i="58"/>
  <c r="H3545" i="58"/>
  <c r="H3546" i="58"/>
  <c r="H3547" i="58"/>
  <c r="H3548" i="58"/>
  <c r="H3549" i="58"/>
  <c r="H3550" i="58"/>
  <c r="H3551" i="58"/>
  <c r="H3552" i="58"/>
  <c r="H3553" i="58"/>
  <c r="H3554" i="58"/>
  <c r="H3555" i="58"/>
  <c r="H3556" i="58"/>
  <c r="H3557" i="58"/>
  <c r="H3558" i="58"/>
  <c r="H3559" i="58"/>
  <c r="H3560" i="58"/>
  <c r="H3561" i="58"/>
  <c r="H3562" i="58"/>
  <c r="H3563" i="58"/>
  <c r="H3564" i="58"/>
  <c r="H3565" i="58"/>
  <c r="H3566" i="58"/>
  <c r="H3567" i="58"/>
  <c r="H3568" i="58"/>
  <c r="H3569" i="58"/>
  <c r="H3570" i="58"/>
  <c r="H3571" i="58"/>
  <c r="H3572" i="58"/>
  <c r="H3573" i="58"/>
  <c r="H3574" i="58"/>
  <c r="H3575" i="58"/>
  <c r="H3576" i="58"/>
  <c r="H3577" i="58"/>
  <c r="H3578" i="58"/>
  <c r="H3579" i="58"/>
  <c r="H3580" i="58"/>
  <c r="H3581" i="58"/>
  <c r="H3582" i="58"/>
  <c r="H3583" i="58"/>
  <c r="H3584" i="58"/>
  <c r="H3585" i="58"/>
  <c r="H3586" i="58"/>
  <c r="H3587" i="58"/>
  <c r="H3588" i="58"/>
  <c r="H3589" i="58"/>
  <c r="H3590" i="58"/>
  <c r="H3591" i="58"/>
  <c r="H3592" i="58"/>
  <c r="H3593" i="58"/>
  <c r="H3594" i="58"/>
  <c r="H3595" i="58"/>
  <c r="H3596" i="58"/>
  <c r="H3597" i="58"/>
  <c r="H3598" i="58"/>
  <c r="H3599" i="58"/>
  <c r="H3600" i="58"/>
  <c r="H3601" i="58"/>
  <c r="H3602" i="58"/>
  <c r="H3603" i="58"/>
  <c r="H3604" i="58"/>
  <c r="H3605" i="58"/>
  <c r="H3606" i="58"/>
  <c r="H3607" i="58"/>
  <c r="H3608" i="58"/>
  <c r="H3609" i="58"/>
  <c r="H3610" i="58"/>
  <c r="H3611" i="58"/>
  <c r="H3612" i="58"/>
  <c r="H3613" i="58"/>
  <c r="H3614" i="58"/>
  <c r="H3615" i="58"/>
  <c r="H3616" i="58"/>
  <c r="H3617" i="58"/>
  <c r="H3618" i="58"/>
  <c r="H3619" i="58"/>
  <c r="H3620" i="58"/>
  <c r="H3621" i="58"/>
  <c r="H3622" i="58"/>
  <c r="H3623" i="58"/>
  <c r="H3624" i="58"/>
  <c r="H3625" i="58"/>
  <c r="H3626" i="58"/>
  <c r="H3627" i="58"/>
  <c r="H3628" i="58"/>
  <c r="H3629" i="58"/>
  <c r="H3630" i="58"/>
  <c r="H3631" i="58"/>
  <c r="H3632" i="58"/>
  <c r="H3633" i="58"/>
  <c r="H3634" i="58"/>
  <c r="H3635" i="58"/>
  <c r="H3636" i="58"/>
  <c r="H3637" i="58"/>
  <c r="H3638" i="58"/>
  <c r="H3639" i="58"/>
  <c r="H3640" i="58"/>
  <c r="H3641" i="58"/>
  <c r="H3642" i="58"/>
  <c r="H3643" i="58"/>
  <c r="H3644" i="58"/>
  <c r="H3645" i="58"/>
  <c r="H3646" i="58"/>
  <c r="H3647" i="58"/>
  <c r="H3648" i="58"/>
  <c r="H3649" i="58"/>
  <c r="H3650" i="58"/>
  <c r="H3651" i="58"/>
  <c r="H3652" i="58"/>
  <c r="H3653" i="58"/>
  <c r="H3654" i="58"/>
  <c r="H3655" i="58"/>
  <c r="H3656" i="58"/>
  <c r="H3657" i="58"/>
  <c r="H3658" i="58"/>
  <c r="H3659" i="58"/>
  <c r="H3660" i="58"/>
  <c r="H3661" i="58"/>
  <c r="H3662" i="58"/>
  <c r="H3663" i="58"/>
  <c r="H3664" i="58"/>
  <c r="H3665" i="58"/>
  <c r="H3666" i="58"/>
  <c r="H3667" i="58"/>
  <c r="H3668" i="58"/>
  <c r="H3669" i="58"/>
  <c r="H3670" i="58"/>
  <c r="H3671" i="58"/>
  <c r="H3672" i="58"/>
  <c r="H3673" i="58"/>
  <c r="H3674" i="58"/>
  <c r="H3675" i="58"/>
  <c r="H3676" i="58"/>
  <c r="H3677" i="58"/>
  <c r="H3678" i="58"/>
  <c r="H3679" i="58"/>
  <c r="H3680" i="58"/>
  <c r="H3681" i="58"/>
  <c r="H3682" i="58"/>
  <c r="H3683" i="58"/>
  <c r="H3684" i="58"/>
  <c r="H3685" i="58"/>
  <c r="H3686" i="58"/>
  <c r="H3687" i="58"/>
  <c r="H3688" i="58"/>
  <c r="H3689" i="58"/>
  <c r="H3690" i="58"/>
  <c r="H3691" i="58"/>
  <c r="H3692" i="58"/>
  <c r="H3693" i="58"/>
  <c r="H3694" i="58"/>
  <c r="H3695" i="58"/>
  <c r="H3696" i="58"/>
  <c r="H3697" i="58"/>
  <c r="H3698" i="58"/>
  <c r="H3699" i="58"/>
  <c r="H3700" i="58"/>
  <c r="H3701" i="58"/>
  <c r="H3702" i="58"/>
  <c r="H3703" i="58"/>
  <c r="H3704" i="58"/>
  <c r="H3705" i="58"/>
  <c r="H3706" i="58"/>
  <c r="H3707" i="58"/>
  <c r="H3708" i="58"/>
  <c r="H3709" i="58"/>
  <c r="H3710" i="58"/>
  <c r="H3711" i="58"/>
  <c r="H3712" i="58"/>
  <c r="H3713" i="58"/>
  <c r="H3714" i="58"/>
  <c r="H3715" i="58"/>
  <c r="H3716" i="58"/>
  <c r="H3717" i="58"/>
  <c r="H3718" i="58"/>
  <c r="H3719" i="58"/>
  <c r="H3720" i="58"/>
  <c r="H3721" i="58"/>
  <c r="H3722" i="58"/>
  <c r="H3723" i="58"/>
  <c r="H3724" i="58"/>
  <c r="H3725" i="58"/>
  <c r="H3726" i="58"/>
  <c r="H3727" i="58"/>
  <c r="H3728" i="58"/>
  <c r="H3729" i="58"/>
  <c r="H3730" i="58"/>
  <c r="H3731" i="58"/>
  <c r="H3732" i="58"/>
  <c r="H3733" i="58"/>
  <c r="H3734" i="58"/>
  <c r="H3735" i="58"/>
  <c r="H3736" i="58"/>
  <c r="H3737" i="58"/>
  <c r="H3738" i="58"/>
  <c r="H3739" i="58"/>
  <c r="H3740" i="58"/>
  <c r="H3741" i="58"/>
  <c r="H3742" i="58"/>
  <c r="H3743" i="58"/>
  <c r="H3744" i="58"/>
  <c r="H3745" i="58"/>
  <c r="H3746" i="58"/>
  <c r="H3747" i="58"/>
  <c r="H3748" i="58"/>
  <c r="H3749" i="58"/>
  <c r="H3750" i="58"/>
  <c r="H3751" i="58"/>
  <c r="H3752" i="58"/>
  <c r="H3753" i="58"/>
  <c r="H3754" i="58"/>
  <c r="H3755" i="58"/>
  <c r="H3756" i="58"/>
  <c r="H3757" i="58"/>
  <c r="H3758" i="58"/>
  <c r="H3759" i="58"/>
  <c r="H3760" i="58"/>
  <c r="H3761" i="58"/>
  <c r="H3762" i="58"/>
  <c r="H3763" i="58"/>
  <c r="H3764" i="58"/>
  <c r="H3765" i="58"/>
  <c r="H3766" i="58"/>
  <c r="H3767" i="58"/>
  <c r="H3768" i="58"/>
  <c r="H3769" i="58"/>
  <c r="H3770" i="58"/>
  <c r="H3771" i="58"/>
  <c r="H3772" i="58"/>
  <c r="H3773" i="58"/>
  <c r="H3774" i="58"/>
  <c r="H3775" i="58"/>
  <c r="H3776" i="58"/>
  <c r="H3777" i="58"/>
  <c r="H3778" i="58"/>
  <c r="H3779" i="58"/>
  <c r="H3780" i="58"/>
  <c r="H3781" i="58"/>
  <c r="H3782" i="58"/>
  <c r="H3783" i="58"/>
  <c r="H3784" i="58"/>
  <c r="H3785" i="58"/>
  <c r="H3786" i="58"/>
  <c r="H3787" i="58"/>
  <c r="H3788" i="58"/>
  <c r="H3789" i="58"/>
  <c r="H3790" i="58"/>
  <c r="H3791" i="58"/>
  <c r="H3792" i="58"/>
  <c r="H3793" i="58"/>
  <c r="H3794" i="58"/>
  <c r="H3795" i="58"/>
  <c r="H3796" i="58"/>
  <c r="H3797" i="58"/>
  <c r="H3798" i="58"/>
  <c r="H3799" i="58"/>
  <c r="H3800" i="58"/>
  <c r="H3801" i="58"/>
  <c r="H3802" i="58"/>
  <c r="H3803" i="58"/>
  <c r="H3804" i="58"/>
  <c r="H3805" i="58"/>
  <c r="H3806" i="58"/>
  <c r="H3807" i="58"/>
  <c r="H3808" i="58"/>
  <c r="H3809" i="58"/>
  <c r="H3810" i="58"/>
  <c r="H3811" i="58"/>
  <c r="H3812" i="58"/>
  <c r="H3813" i="58"/>
  <c r="H3814" i="58"/>
  <c r="H3815" i="58"/>
  <c r="H3816" i="58"/>
  <c r="H3817" i="58"/>
  <c r="H3818" i="58"/>
  <c r="H3819" i="58"/>
  <c r="H3820" i="58"/>
  <c r="H3821" i="58"/>
  <c r="H3822" i="58"/>
  <c r="H3823" i="58"/>
  <c r="H3824" i="58"/>
  <c r="H3825" i="58"/>
  <c r="H3826" i="58"/>
  <c r="H3827" i="58"/>
  <c r="H3828" i="58"/>
  <c r="H3829" i="58"/>
  <c r="H3830" i="58"/>
  <c r="H3831" i="58"/>
  <c r="H3832" i="58"/>
  <c r="H3833" i="58"/>
  <c r="H3834" i="58"/>
  <c r="H3835" i="58"/>
  <c r="H3836" i="58"/>
  <c r="H3837" i="58"/>
  <c r="H3838" i="58"/>
  <c r="H3839" i="58"/>
  <c r="H3840" i="58"/>
  <c r="H3841" i="58"/>
  <c r="H3842" i="58"/>
  <c r="H3843" i="58"/>
  <c r="H3844" i="58"/>
  <c r="H3845" i="58"/>
  <c r="H3846" i="58"/>
  <c r="H3847" i="58"/>
  <c r="H3848" i="58"/>
  <c r="H3849" i="58"/>
  <c r="H3850" i="58"/>
  <c r="H3851" i="58"/>
  <c r="H3852" i="58"/>
  <c r="H3853" i="58"/>
  <c r="H3854" i="58"/>
  <c r="H3855" i="58"/>
  <c r="H3856" i="58"/>
  <c r="H3857" i="58"/>
  <c r="H3858" i="58"/>
  <c r="H3859" i="58"/>
  <c r="H3860" i="58"/>
  <c r="H3861" i="58"/>
  <c r="H3862" i="58"/>
  <c r="H3863" i="58"/>
  <c r="H3864" i="58"/>
  <c r="H3865" i="58"/>
  <c r="H3866" i="58"/>
  <c r="H3867" i="58"/>
  <c r="H3868" i="58"/>
  <c r="H3869" i="58"/>
  <c r="H3870" i="58"/>
  <c r="H3871" i="58"/>
  <c r="H3872" i="58"/>
  <c r="H3873" i="58"/>
  <c r="H3874" i="58"/>
  <c r="H3875" i="58"/>
  <c r="H3876" i="58"/>
  <c r="H3877" i="58"/>
  <c r="H3878" i="58"/>
  <c r="H3879" i="58"/>
  <c r="H3880" i="58"/>
  <c r="H3881" i="58"/>
  <c r="H3882" i="58"/>
  <c r="H3883" i="58"/>
  <c r="H3884" i="58"/>
  <c r="H3885" i="58"/>
  <c r="H3886" i="58"/>
  <c r="H3887" i="58"/>
  <c r="H3888" i="58"/>
  <c r="H3889" i="58"/>
  <c r="H3890" i="58"/>
  <c r="H3891" i="58"/>
  <c r="H3892" i="58"/>
  <c r="H3893" i="58"/>
  <c r="H3894" i="58"/>
  <c r="H3895" i="58"/>
  <c r="H3896" i="58"/>
  <c r="H3897" i="58"/>
  <c r="H3898" i="58"/>
  <c r="H3899" i="58"/>
  <c r="H3900" i="58"/>
  <c r="H3901" i="58"/>
  <c r="H3902" i="58"/>
  <c r="H3903" i="58"/>
  <c r="H3904" i="58"/>
  <c r="H3905" i="58"/>
  <c r="H3906" i="58"/>
  <c r="H3907" i="58"/>
  <c r="H3908" i="58"/>
  <c r="H3909" i="58"/>
  <c r="H3910" i="58"/>
  <c r="H3911" i="58"/>
  <c r="H3912" i="58"/>
  <c r="H3913" i="58"/>
  <c r="H3914" i="58"/>
  <c r="H3915" i="58"/>
  <c r="H3916" i="58"/>
  <c r="H3917" i="58"/>
  <c r="H3918" i="58"/>
  <c r="H3919" i="58"/>
  <c r="H3920" i="58"/>
  <c r="H3921" i="58"/>
  <c r="H3922" i="58"/>
  <c r="H3923" i="58"/>
  <c r="H3924" i="58"/>
  <c r="H3925" i="58"/>
  <c r="H3926" i="58"/>
  <c r="H3927" i="58"/>
  <c r="H3928" i="58"/>
  <c r="H3929" i="58"/>
  <c r="H3930" i="58"/>
  <c r="H3931" i="58"/>
  <c r="H3932" i="58"/>
  <c r="H3933" i="58"/>
  <c r="H3934" i="58"/>
  <c r="H3935" i="58"/>
  <c r="H3936" i="58"/>
  <c r="H3937" i="58"/>
  <c r="H3938" i="58"/>
  <c r="H3939" i="58"/>
  <c r="H3940" i="58"/>
  <c r="H3941" i="58"/>
  <c r="H3942" i="58"/>
  <c r="H3943" i="58"/>
  <c r="H3944" i="58"/>
  <c r="H3945" i="58"/>
  <c r="H3946" i="58"/>
  <c r="H3947" i="58"/>
  <c r="H3948" i="58"/>
  <c r="H3949" i="58"/>
  <c r="H3950" i="58"/>
  <c r="H3951" i="58"/>
  <c r="H3952" i="58"/>
  <c r="H3953" i="58"/>
  <c r="H3954" i="58"/>
  <c r="H3955" i="58"/>
  <c r="H3956" i="58"/>
  <c r="H3957" i="58"/>
  <c r="H3958" i="58"/>
  <c r="H3959" i="58"/>
  <c r="H3960" i="58"/>
  <c r="H3961" i="58"/>
  <c r="H3962" i="58"/>
  <c r="H3963" i="58"/>
  <c r="H3964" i="58"/>
  <c r="H3965" i="58"/>
  <c r="H3966" i="58"/>
  <c r="H3967" i="58"/>
  <c r="H3968" i="58"/>
  <c r="H3969" i="58"/>
  <c r="H3970" i="58"/>
  <c r="H3971" i="58"/>
  <c r="H3972" i="58"/>
  <c r="H3973" i="58"/>
  <c r="H3974" i="58"/>
  <c r="H3975" i="58"/>
  <c r="H3976" i="58"/>
  <c r="H3977" i="58"/>
  <c r="H3978" i="58"/>
  <c r="H3979" i="58"/>
  <c r="H3980" i="58"/>
  <c r="H3981" i="58"/>
  <c r="H3982" i="58"/>
  <c r="H3983" i="58"/>
  <c r="H3984" i="58"/>
  <c r="H3985" i="58"/>
  <c r="H3986" i="58"/>
  <c r="H3987" i="58"/>
  <c r="H3988" i="58"/>
  <c r="H3989" i="58"/>
  <c r="H3990" i="58"/>
  <c r="H3991" i="58"/>
  <c r="H3992" i="58"/>
  <c r="H3993" i="58"/>
  <c r="H3994" i="58"/>
  <c r="H3995" i="58"/>
  <c r="H3996" i="58"/>
  <c r="H3997" i="58"/>
  <c r="H3998" i="58"/>
  <c r="H3999" i="58"/>
  <c r="H4000" i="58"/>
  <c r="H4001" i="58"/>
  <c r="H4002" i="58"/>
  <c r="H4003" i="58"/>
  <c r="H4004" i="58"/>
  <c r="H4005" i="58"/>
  <c r="H4006" i="58"/>
  <c r="H4007" i="58"/>
  <c r="H4008" i="58"/>
  <c r="H4009" i="58"/>
  <c r="H4010" i="58"/>
  <c r="H4011" i="58"/>
  <c r="H4012" i="58"/>
  <c r="H4013" i="58"/>
  <c r="H4014" i="58"/>
  <c r="H4015" i="58"/>
  <c r="H4016" i="58"/>
  <c r="H4017" i="58"/>
  <c r="H4018" i="58"/>
  <c r="H4019" i="58"/>
  <c r="H4020" i="58"/>
  <c r="H4021" i="58"/>
  <c r="H4022" i="58"/>
  <c r="H4023" i="58"/>
  <c r="H4024" i="58"/>
  <c r="H4025" i="58"/>
  <c r="H4026" i="58"/>
  <c r="H4027" i="58"/>
  <c r="H4028" i="58"/>
  <c r="H4029" i="58"/>
  <c r="H4030" i="58"/>
  <c r="H4031" i="58"/>
  <c r="H4032" i="58"/>
  <c r="H4033" i="58"/>
  <c r="H4034" i="58"/>
  <c r="H4035" i="58"/>
  <c r="H4036" i="58"/>
  <c r="H4037" i="58"/>
  <c r="H4038" i="58"/>
  <c r="H4039" i="58"/>
  <c r="H4040" i="58"/>
  <c r="H4041" i="58"/>
  <c r="H4042" i="58"/>
  <c r="H4043" i="58"/>
  <c r="H4044" i="58"/>
  <c r="H4045" i="58"/>
  <c r="H4046" i="58"/>
  <c r="H4047" i="58"/>
  <c r="H4048" i="58"/>
  <c r="H4049" i="58"/>
  <c r="H4050" i="58"/>
  <c r="H4051" i="58"/>
  <c r="H4052" i="58"/>
  <c r="H4053" i="58"/>
  <c r="H4054" i="58"/>
  <c r="H4055" i="58"/>
  <c r="H4056" i="58"/>
  <c r="H4057" i="58"/>
  <c r="H4058" i="58"/>
  <c r="H4059" i="58"/>
  <c r="H4060" i="58"/>
  <c r="H4061" i="58"/>
  <c r="H4062" i="58"/>
  <c r="H4063" i="58"/>
  <c r="H4064" i="58"/>
  <c r="H4065" i="58"/>
  <c r="H4066" i="58"/>
  <c r="H4067" i="58"/>
  <c r="H4068" i="58"/>
  <c r="H4069" i="58"/>
  <c r="H4070" i="58"/>
  <c r="H4071" i="58"/>
  <c r="H4072" i="58"/>
  <c r="H4073" i="58"/>
  <c r="H4074" i="58"/>
  <c r="H4075" i="58"/>
  <c r="H4076" i="58"/>
  <c r="H4077" i="58"/>
  <c r="H4078" i="58"/>
  <c r="H4079" i="58"/>
  <c r="H4080" i="58"/>
  <c r="H4081" i="58"/>
  <c r="H4082" i="58"/>
  <c r="H4083" i="58"/>
  <c r="H4084" i="58"/>
  <c r="H4085" i="58"/>
  <c r="H4086" i="58"/>
  <c r="H4087" i="58"/>
  <c r="H4088" i="58"/>
  <c r="H4089" i="58"/>
  <c r="H4090" i="58"/>
  <c r="H4091" i="58"/>
  <c r="H4092" i="58"/>
  <c r="H4093" i="58"/>
  <c r="H4094" i="58"/>
  <c r="H4095" i="58"/>
  <c r="H4096" i="58"/>
  <c r="H4097" i="58"/>
  <c r="H4098" i="58"/>
  <c r="H4099" i="58"/>
  <c r="H4100" i="58"/>
  <c r="H4101" i="58"/>
  <c r="H4102" i="58"/>
  <c r="H4103" i="58"/>
  <c r="H4104" i="58"/>
  <c r="H4105" i="58"/>
  <c r="H4106" i="58"/>
  <c r="H4107" i="58"/>
  <c r="H4108" i="58"/>
  <c r="H4109" i="58"/>
  <c r="H4110" i="58"/>
  <c r="H4111" i="58"/>
  <c r="H4112" i="58"/>
  <c r="H4113" i="58"/>
  <c r="H4114" i="58"/>
  <c r="H4115" i="58"/>
  <c r="H4116" i="58"/>
  <c r="H4117" i="58"/>
  <c r="H4118" i="58"/>
  <c r="H4119" i="58"/>
  <c r="H4120" i="58"/>
  <c r="H4121" i="58"/>
  <c r="H4122" i="58"/>
  <c r="H4123" i="58"/>
  <c r="H4124" i="58"/>
  <c r="H4125" i="58"/>
  <c r="H4126" i="58"/>
  <c r="H4127" i="58"/>
  <c r="H4128" i="58"/>
  <c r="H4129" i="58"/>
  <c r="H4130" i="58"/>
  <c r="H4131" i="58"/>
  <c r="H4132" i="58"/>
  <c r="H4133" i="58"/>
  <c r="H4134" i="58"/>
  <c r="H4135" i="58"/>
  <c r="H4136" i="58"/>
  <c r="H4137" i="58"/>
  <c r="H4138" i="58"/>
  <c r="H4139" i="58"/>
  <c r="H4140" i="58"/>
  <c r="H4141" i="58"/>
  <c r="H4142" i="58"/>
  <c r="H4143" i="58"/>
  <c r="H4144" i="58"/>
  <c r="H4145" i="58"/>
  <c r="H4146" i="58"/>
  <c r="H4147" i="58"/>
  <c r="H4148" i="58"/>
  <c r="H4149" i="58"/>
  <c r="H4150" i="58"/>
  <c r="H4151" i="58"/>
  <c r="H4152" i="58"/>
  <c r="H4153" i="58"/>
  <c r="H4154" i="58"/>
  <c r="H4155" i="58"/>
  <c r="H4156" i="58"/>
  <c r="H4157" i="58"/>
  <c r="H4158" i="58"/>
  <c r="H4159" i="58"/>
  <c r="H4160" i="58"/>
  <c r="H4161" i="58"/>
  <c r="H4162" i="58"/>
  <c r="H4163" i="58"/>
  <c r="H4164" i="58"/>
  <c r="H4165" i="58"/>
  <c r="H4166" i="58"/>
  <c r="H4167" i="58"/>
  <c r="H4168" i="58"/>
  <c r="H4169" i="58"/>
  <c r="H4170" i="58"/>
  <c r="H4171" i="58"/>
  <c r="H4172" i="58"/>
  <c r="H4173" i="58"/>
  <c r="H4174" i="58"/>
  <c r="H4175" i="58"/>
  <c r="H4176" i="58"/>
  <c r="H4177" i="58"/>
  <c r="H4178" i="58"/>
  <c r="H4179" i="58"/>
  <c r="H4180" i="58"/>
  <c r="H4181" i="58"/>
  <c r="H4182" i="58"/>
  <c r="H4183" i="58"/>
  <c r="H4184" i="58"/>
  <c r="H4185" i="58"/>
  <c r="H4186" i="58"/>
  <c r="H4187" i="58"/>
  <c r="H4188" i="58"/>
  <c r="H4189" i="58"/>
  <c r="H4190" i="58"/>
  <c r="H4191" i="58"/>
  <c r="H4192" i="58"/>
  <c r="H4193" i="58"/>
  <c r="H4194" i="58"/>
  <c r="H4195" i="58"/>
  <c r="H4196" i="58"/>
  <c r="H4197" i="58"/>
  <c r="H4198" i="58"/>
  <c r="H4199" i="58"/>
  <c r="H4200" i="58"/>
  <c r="H4201" i="58"/>
  <c r="H4202" i="58"/>
  <c r="H4203" i="58"/>
  <c r="H4204" i="58"/>
  <c r="H4205" i="58"/>
  <c r="H4206" i="58"/>
  <c r="H4207" i="58"/>
  <c r="H4208" i="58"/>
  <c r="H4209" i="58"/>
  <c r="H4210" i="58"/>
  <c r="H4211" i="58"/>
  <c r="H4212" i="58"/>
  <c r="H4213" i="58"/>
  <c r="H4214" i="58"/>
  <c r="H4215" i="58"/>
  <c r="H4216" i="58"/>
  <c r="H4217" i="58"/>
  <c r="H4218" i="58"/>
  <c r="H4219" i="58"/>
  <c r="H4220" i="58"/>
  <c r="H4221" i="58"/>
  <c r="H4222" i="58"/>
  <c r="H4223" i="58"/>
  <c r="H4224" i="58"/>
  <c r="H4225" i="58"/>
  <c r="H4226" i="58"/>
  <c r="H4227" i="58"/>
  <c r="H4228" i="58"/>
  <c r="H4229" i="58"/>
  <c r="H4230" i="58"/>
  <c r="H4231" i="58"/>
  <c r="H4232" i="58"/>
  <c r="H4233" i="58"/>
  <c r="H4234" i="58"/>
  <c r="H4235" i="58"/>
  <c r="H4236" i="58"/>
  <c r="H4237" i="58"/>
  <c r="H4238" i="58"/>
  <c r="H4239" i="58"/>
  <c r="H4240" i="58"/>
  <c r="H4241" i="58"/>
  <c r="H4242" i="58"/>
  <c r="H4243" i="58"/>
  <c r="H4244" i="58"/>
  <c r="H4245" i="58"/>
  <c r="H4246" i="58"/>
  <c r="H4247" i="58"/>
  <c r="H4248" i="58"/>
  <c r="H4249" i="58"/>
  <c r="H4250" i="58"/>
  <c r="H4251" i="58"/>
  <c r="H4252" i="58"/>
  <c r="H4253" i="58"/>
  <c r="H4254" i="58"/>
  <c r="H4255" i="58"/>
  <c r="H4256" i="58"/>
  <c r="H4257" i="58"/>
  <c r="H4258" i="58"/>
  <c r="H4259" i="58"/>
  <c r="H4260" i="58"/>
  <c r="H4261" i="58"/>
  <c r="H4262" i="58"/>
  <c r="H4263" i="58"/>
  <c r="H4264" i="58"/>
  <c r="H4265" i="58"/>
  <c r="H4266" i="58"/>
  <c r="H4267" i="58"/>
  <c r="H4268" i="58"/>
  <c r="H4269" i="58"/>
  <c r="H4270" i="58"/>
  <c r="H4271" i="58"/>
  <c r="H4272" i="58"/>
  <c r="H4273" i="58"/>
  <c r="H4274" i="58"/>
  <c r="H4275" i="58"/>
  <c r="H4276" i="58"/>
  <c r="H4277" i="58"/>
  <c r="H4278" i="58"/>
  <c r="H4279" i="58"/>
  <c r="H4280" i="58"/>
  <c r="H4281" i="58"/>
  <c r="H4282" i="58"/>
  <c r="H4283" i="58"/>
  <c r="H4284" i="58"/>
  <c r="H4285" i="58"/>
  <c r="H4286" i="58"/>
  <c r="H4287" i="58"/>
  <c r="H4288" i="58"/>
  <c r="H4289" i="58"/>
  <c r="H4290" i="58"/>
  <c r="H4291" i="58"/>
  <c r="H4292" i="58"/>
  <c r="H4293" i="58"/>
  <c r="H4294" i="58"/>
  <c r="H4295" i="58"/>
  <c r="H4296" i="58"/>
  <c r="H4297" i="58"/>
  <c r="H4298" i="58"/>
  <c r="H4299" i="58"/>
  <c r="H4300" i="58"/>
  <c r="H4301" i="58"/>
  <c r="H4302" i="58"/>
  <c r="H4303" i="58"/>
  <c r="H4304" i="58"/>
  <c r="H4305" i="58"/>
  <c r="H4306" i="58"/>
  <c r="H4307" i="58"/>
  <c r="H4308" i="58"/>
  <c r="H4309" i="58"/>
  <c r="H4310" i="58"/>
  <c r="H4311" i="58"/>
  <c r="H4312" i="58"/>
  <c r="H4313" i="58"/>
  <c r="H4314" i="58"/>
  <c r="H4315" i="58"/>
  <c r="H4316" i="58"/>
  <c r="H4317" i="58"/>
  <c r="H4318" i="58"/>
  <c r="H4319" i="58"/>
  <c r="H4320" i="58"/>
  <c r="H4321" i="58"/>
  <c r="H4322" i="58"/>
  <c r="H4323" i="58"/>
  <c r="H4324" i="58"/>
  <c r="H4325" i="58"/>
  <c r="H4326" i="58"/>
  <c r="H4327" i="58"/>
  <c r="H4328" i="58"/>
  <c r="H4329" i="58"/>
  <c r="H4330" i="58"/>
  <c r="H4331" i="58"/>
  <c r="H4332" i="58"/>
  <c r="H4333" i="58"/>
  <c r="H4334" i="58"/>
  <c r="H4335" i="58"/>
  <c r="H4336" i="58"/>
  <c r="H4337" i="58"/>
  <c r="H4338" i="58"/>
  <c r="H4339" i="58"/>
  <c r="H4340" i="58"/>
  <c r="H4341" i="58"/>
  <c r="H4342" i="58"/>
  <c r="H4343" i="58"/>
  <c r="H4344" i="58"/>
  <c r="H4345" i="58"/>
  <c r="H4346" i="58"/>
  <c r="H4347" i="58"/>
  <c r="H4348" i="58"/>
  <c r="H4349" i="58"/>
  <c r="H4350" i="58"/>
  <c r="H4351" i="58"/>
  <c r="H4352" i="58"/>
  <c r="H4353" i="58"/>
  <c r="H4354" i="58"/>
  <c r="H4355" i="58"/>
  <c r="H4356" i="58"/>
  <c r="H4357" i="58"/>
  <c r="H4358" i="58"/>
  <c r="H4359" i="58"/>
  <c r="H4360" i="58"/>
  <c r="H4361" i="58"/>
  <c r="H4362" i="58"/>
  <c r="H4363" i="58"/>
  <c r="H4364" i="58"/>
  <c r="H4365" i="58"/>
  <c r="H4366" i="58"/>
  <c r="H4367" i="58"/>
  <c r="H4368" i="58"/>
  <c r="H4369" i="58"/>
  <c r="H4370" i="58"/>
  <c r="H4371" i="58"/>
  <c r="H4372" i="58"/>
  <c r="H4373" i="58"/>
  <c r="H4374" i="58"/>
  <c r="H4375" i="58"/>
  <c r="H4376" i="58"/>
  <c r="H4377" i="58"/>
  <c r="H4378" i="58"/>
  <c r="H4379" i="58"/>
  <c r="H4380" i="58"/>
  <c r="H4381" i="58"/>
  <c r="H4382" i="58"/>
  <c r="H4383" i="58"/>
  <c r="H4384" i="58"/>
  <c r="H4385" i="58"/>
  <c r="H4386" i="58"/>
  <c r="H4387" i="58"/>
  <c r="H4388" i="58"/>
  <c r="H4389" i="58"/>
  <c r="H4390" i="58"/>
  <c r="H4391" i="58"/>
  <c r="H4392" i="58"/>
  <c r="H4393" i="58"/>
  <c r="H4394" i="58"/>
  <c r="H4395" i="58"/>
  <c r="H4396" i="58"/>
  <c r="H4397" i="58"/>
  <c r="H4398" i="58"/>
  <c r="H4399" i="58"/>
  <c r="H4400" i="58"/>
  <c r="H4401" i="58"/>
  <c r="H4402" i="58"/>
  <c r="H4403" i="58"/>
  <c r="H4404" i="58"/>
  <c r="H4405" i="58"/>
  <c r="H4406" i="58"/>
  <c r="H4407" i="58"/>
  <c r="H4408" i="58"/>
  <c r="H4409" i="58"/>
  <c r="H4410" i="58"/>
  <c r="H4411" i="58"/>
  <c r="H4412" i="58"/>
  <c r="H4413" i="58"/>
  <c r="H4414" i="58"/>
  <c r="H4415" i="58"/>
  <c r="H4416" i="58"/>
  <c r="H4417" i="58"/>
  <c r="H4418" i="58"/>
  <c r="H4419" i="58"/>
  <c r="H4420" i="58"/>
  <c r="H4421" i="58"/>
  <c r="H4422" i="58"/>
  <c r="H4423" i="58"/>
  <c r="H4424" i="58"/>
  <c r="H4425" i="58"/>
  <c r="H4426" i="58"/>
  <c r="H4427" i="58"/>
  <c r="H4428" i="58"/>
  <c r="H4429" i="58"/>
  <c r="H4430" i="58"/>
  <c r="H4431" i="58"/>
  <c r="H4432" i="58"/>
  <c r="H4433" i="58"/>
  <c r="H4434" i="58"/>
  <c r="H4435" i="58"/>
  <c r="H4436" i="58"/>
  <c r="H4437" i="58"/>
  <c r="H4438" i="58"/>
  <c r="H4439" i="58"/>
  <c r="H4440" i="58"/>
  <c r="H4441" i="58"/>
  <c r="H4442" i="58"/>
  <c r="H4443" i="58"/>
  <c r="H4444" i="58"/>
  <c r="H4445" i="58"/>
  <c r="H4446" i="58"/>
  <c r="H4447" i="58"/>
  <c r="H4448" i="58"/>
  <c r="H4449" i="58"/>
  <c r="H4450" i="58"/>
  <c r="H4451" i="58"/>
  <c r="H4452" i="58"/>
  <c r="H4453" i="58"/>
  <c r="H4454" i="58"/>
  <c r="H4455" i="58"/>
  <c r="H4456" i="58"/>
  <c r="H4457" i="58"/>
  <c r="H4458" i="58"/>
  <c r="H4459" i="58"/>
  <c r="H4460" i="58"/>
  <c r="H4461" i="58"/>
  <c r="H4462" i="58"/>
  <c r="H4463" i="58"/>
  <c r="H4464" i="58"/>
  <c r="H4465" i="58"/>
  <c r="H4466" i="58"/>
  <c r="H4467" i="58"/>
  <c r="H4468" i="58"/>
  <c r="H4469" i="58"/>
  <c r="H4470" i="58"/>
  <c r="H4471" i="58"/>
  <c r="H4472" i="58"/>
  <c r="H4473" i="58"/>
  <c r="H4474" i="58"/>
  <c r="H4475" i="58"/>
  <c r="H4476" i="58"/>
  <c r="H4477" i="58"/>
  <c r="H4478" i="58"/>
  <c r="H4479" i="58"/>
  <c r="H4480" i="58"/>
  <c r="H4481" i="58"/>
  <c r="H4482" i="58"/>
  <c r="H4483" i="58"/>
  <c r="H4484" i="58"/>
  <c r="H4485" i="58"/>
  <c r="H4486" i="58"/>
  <c r="H4487" i="58"/>
  <c r="H4488" i="58"/>
  <c r="H4489" i="58"/>
  <c r="H4490" i="58"/>
  <c r="H4491" i="58"/>
  <c r="H4492" i="58"/>
  <c r="H4493" i="58"/>
  <c r="H4494" i="58"/>
  <c r="H4495" i="58"/>
  <c r="H4496" i="58"/>
  <c r="H4497" i="58"/>
  <c r="H4498" i="58"/>
  <c r="H4499" i="58"/>
  <c r="H4500" i="58"/>
  <c r="H4501" i="58"/>
  <c r="H4502" i="58"/>
  <c r="H4503" i="58"/>
  <c r="H4504" i="58"/>
  <c r="H4505" i="58"/>
  <c r="H4506" i="58"/>
  <c r="H4507" i="58"/>
  <c r="H4508" i="58"/>
  <c r="H4509" i="58"/>
  <c r="H4510" i="58"/>
  <c r="H4511" i="58"/>
  <c r="H4512" i="58"/>
  <c r="H4513" i="58"/>
  <c r="H4514" i="58"/>
  <c r="H4515" i="58"/>
  <c r="H4516" i="58"/>
  <c r="H4517" i="58"/>
  <c r="H4518" i="58"/>
  <c r="H4519" i="58"/>
  <c r="H4520" i="58"/>
  <c r="H4521" i="58"/>
  <c r="H4522" i="58"/>
  <c r="H4523" i="58"/>
  <c r="H4524" i="58"/>
  <c r="H4525" i="58"/>
  <c r="H4526" i="58"/>
  <c r="H4527" i="58"/>
  <c r="H4528" i="58"/>
  <c r="H4529" i="58"/>
  <c r="H4530" i="58"/>
  <c r="H4531" i="58"/>
  <c r="H4532" i="58"/>
  <c r="H4533" i="58"/>
  <c r="H4534" i="58"/>
  <c r="H4535" i="58"/>
  <c r="H4536" i="58"/>
  <c r="H4537" i="58"/>
  <c r="H4538" i="58"/>
  <c r="H4539" i="58"/>
  <c r="H4540" i="58"/>
  <c r="H4541" i="58"/>
  <c r="H4542" i="58"/>
  <c r="H4543" i="58"/>
  <c r="H4544" i="58"/>
  <c r="H4545" i="58"/>
  <c r="H4546" i="58"/>
  <c r="H4547" i="58"/>
  <c r="H4548" i="58"/>
  <c r="H4549" i="58"/>
  <c r="H4550" i="58"/>
  <c r="H4551" i="58"/>
  <c r="H4552" i="58"/>
  <c r="H4553" i="58"/>
  <c r="H4554" i="58"/>
  <c r="H4555" i="58"/>
  <c r="H4556" i="58"/>
  <c r="H4557" i="58"/>
  <c r="H4558" i="58"/>
  <c r="H4559" i="58"/>
  <c r="H4560" i="58"/>
  <c r="H4561" i="58"/>
  <c r="H4562" i="58"/>
  <c r="H4563" i="58"/>
  <c r="H4564" i="58"/>
  <c r="H4565" i="58"/>
  <c r="H4566" i="58"/>
  <c r="H4567" i="58"/>
  <c r="H4568" i="58"/>
  <c r="H4569" i="58"/>
  <c r="H4570" i="58"/>
  <c r="H4571" i="58"/>
  <c r="H4572" i="58"/>
  <c r="H4573" i="58"/>
  <c r="H4574" i="58"/>
  <c r="H4575" i="58"/>
  <c r="H4576" i="58"/>
  <c r="H4577" i="58"/>
  <c r="H4578" i="58"/>
  <c r="H4579" i="58"/>
  <c r="H4580" i="58"/>
  <c r="H4581" i="58"/>
  <c r="H4582" i="58"/>
  <c r="H4583" i="58"/>
  <c r="H4584" i="58"/>
  <c r="H4585" i="58"/>
  <c r="H4586" i="58"/>
  <c r="H4587" i="58"/>
  <c r="H4588" i="58"/>
  <c r="H4589" i="58"/>
  <c r="H4590" i="58"/>
  <c r="H4591" i="58"/>
  <c r="H4592" i="58"/>
  <c r="H4593" i="58"/>
  <c r="H4594" i="58"/>
  <c r="H4595" i="58"/>
  <c r="H4596" i="58"/>
  <c r="H4597" i="58"/>
  <c r="H4598" i="58"/>
  <c r="H4599" i="58"/>
  <c r="H4600" i="58"/>
  <c r="H4601" i="58"/>
  <c r="H4602" i="58"/>
  <c r="H4603" i="58"/>
  <c r="H4604" i="58"/>
  <c r="H4605" i="58"/>
  <c r="H4606" i="58"/>
  <c r="H4607" i="58"/>
  <c r="H4608" i="58"/>
  <c r="H4609" i="58"/>
  <c r="H4610" i="58"/>
  <c r="H4611" i="58"/>
  <c r="H4612" i="58"/>
  <c r="H4613" i="58"/>
  <c r="H4614" i="58"/>
  <c r="H4615" i="58"/>
  <c r="H4616" i="58"/>
  <c r="H4617" i="58"/>
  <c r="H4618" i="58"/>
  <c r="H4619" i="58"/>
  <c r="H4620" i="58"/>
  <c r="H4621" i="58"/>
  <c r="H4622" i="58"/>
  <c r="H4623" i="58"/>
  <c r="H4624" i="58"/>
  <c r="H4625" i="58"/>
  <c r="H4626" i="58"/>
  <c r="H4627" i="58"/>
  <c r="H4628" i="58"/>
  <c r="H4629" i="58"/>
  <c r="H4630" i="58"/>
  <c r="H4631" i="58"/>
  <c r="H4632" i="58"/>
  <c r="H4633" i="58"/>
  <c r="H4634" i="58"/>
  <c r="H4635" i="58"/>
  <c r="H4636" i="58"/>
  <c r="H4637" i="58"/>
  <c r="H4638" i="58"/>
  <c r="H4639" i="58"/>
  <c r="H4640" i="58"/>
  <c r="H4641" i="58"/>
  <c r="H4642" i="58"/>
  <c r="H4643" i="58"/>
  <c r="H4644" i="58"/>
  <c r="H4645" i="58"/>
  <c r="H4646" i="58"/>
  <c r="H4647" i="58"/>
  <c r="H4648" i="58"/>
  <c r="H4649" i="58"/>
  <c r="H4650" i="58"/>
  <c r="H4651" i="58"/>
  <c r="H4652" i="58"/>
  <c r="H4653" i="58"/>
  <c r="H4654" i="58"/>
  <c r="H4655" i="58"/>
  <c r="H4656" i="58"/>
  <c r="H4657" i="58"/>
  <c r="H4658" i="58"/>
  <c r="H4659" i="58"/>
  <c r="H4660" i="58"/>
  <c r="H4661" i="58"/>
  <c r="H4662" i="58"/>
  <c r="H4663" i="58"/>
  <c r="H4664" i="58"/>
  <c r="H4665" i="58"/>
  <c r="H4666" i="58"/>
  <c r="H4667" i="58"/>
  <c r="H4668" i="58"/>
  <c r="H4669" i="58"/>
  <c r="H4670" i="58"/>
  <c r="H4671" i="58"/>
  <c r="H4672" i="58"/>
  <c r="H4673" i="58"/>
  <c r="H4674" i="58"/>
  <c r="H4675" i="58"/>
  <c r="H4676" i="58"/>
  <c r="H4677" i="58"/>
  <c r="H4678" i="58"/>
  <c r="H4679" i="58"/>
  <c r="H4680" i="58"/>
  <c r="H4681" i="58"/>
  <c r="H4682" i="58"/>
  <c r="H4683" i="58"/>
  <c r="H4684" i="58"/>
  <c r="H4685" i="58"/>
  <c r="H4686" i="58"/>
  <c r="H4687" i="58"/>
  <c r="H4688" i="58"/>
  <c r="H4689" i="58"/>
  <c r="H4690" i="58"/>
  <c r="H4691" i="58"/>
  <c r="H4692" i="58"/>
  <c r="H4693" i="58"/>
  <c r="H4694" i="58"/>
  <c r="H4695" i="58"/>
  <c r="H4696" i="58"/>
  <c r="H4697" i="58"/>
  <c r="H4698" i="58"/>
  <c r="H4699" i="58"/>
  <c r="H4700" i="58"/>
  <c r="H4701" i="58"/>
  <c r="H4702" i="58"/>
  <c r="H4703" i="58"/>
  <c r="H4704" i="58"/>
  <c r="H4705" i="58"/>
  <c r="H4706" i="58"/>
  <c r="H4707" i="58"/>
  <c r="H4708" i="58"/>
  <c r="H4709" i="58"/>
  <c r="H4710" i="58"/>
  <c r="H4711" i="58"/>
  <c r="H4712" i="58"/>
  <c r="H4713" i="58"/>
  <c r="H4714" i="58"/>
  <c r="H4715" i="58"/>
  <c r="H4716" i="58"/>
  <c r="H4717" i="58"/>
  <c r="H4718" i="58"/>
  <c r="H4719" i="58"/>
  <c r="H4720" i="58"/>
  <c r="H4721" i="58"/>
  <c r="H4722" i="58"/>
  <c r="H4723" i="58"/>
  <c r="H4724" i="58"/>
  <c r="H4725" i="58"/>
  <c r="H4726" i="58"/>
  <c r="H4727" i="58"/>
  <c r="H4728" i="58"/>
  <c r="H4729" i="58"/>
  <c r="H4730" i="58"/>
  <c r="H4731" i="58"/>
  <c r="H4732" i="58"/>
  <c r="H4733" i="58"/>
  <c r="H4734" i="58"/>
  <c r="H4735" i="58"/>
  <c r="H4736" i="58"/>
  <c r="H4737" i="58"/>
  <c r="H4738" i="58"/>
  <c r="H4739" i="58"/>
  <c r="H4740" i="58"/>
  <c r="H4741" i="58"/>
  <c r="H4742" i="58"/>
  <c r="H4743" i="58"/>
  <c r="H4744" i="58"/>
  <c r="H4745" i="58"/>
  <c r="H4746" i="58"/>
  <c r="H4747" i="58"/>
  <c r="H4748" i="58"/>
  <c r="H4749" i="58"/>
  <c r="H4750" i="58"/>
  <c r="H4751" i="58"/>
  <c r="H4752" i="58"/>
  <c r="H4753" i="58"/>
  <c r="H4754" i="58"/>
  <c r="H4755" i="58"/>
  <c r="H4756" i="58"/>
  <c r="H4757" i="58"/>
  <c r="H4758" i="58"/>
  <c r="H4759" i="58"/>
  <c r="H4760" i="58"/>
  <c r="H4761" i="58"/>
  <c r="H4762" i="58"/>
  <c r="H4763" i="58"/>
  <c r="H4764" i="58"/>
  <c r="H4765" i="58"/>
  <c r="H4766" i="58"/>
  <c r="H4767" i="58"/>
  <c r="H4768" i="58"/>
  <c r="H4769" i="58"/>
  <c r="H4770" i="58"/>
  <c r="H4771" i="58"/>
  <c r="H4772" i="58"/>
  <c r="H4773" i="58"/>
  <c r="H4774" i="58"/>
  <c r="H4775" i="58"/>
  <c r="H4776" i="58"/>
  <c r="H4777" i="58"/>
  <c r="H4778" i="58"/>
  <c r="H4779" i="58"/>
  <c r="H4780" i="58"/>
  <c r="H4781" i="58"/>
  <c r="H4782" i="58"/>
  <c r="H4783" i="58"/>
  <c r="H4784" i="58"/>
  <c r="H4785" i="58"/>
  <c r="H4786" i="58"/>
  <c r="H4787" i="58"/>
  <c r="H4788" i="58"/>
  <c r="H4789" i="58"/>
  <c r="H4790" i="58"/>
  <c r="H4791" i="58"/>
  <c r="H4792" i="58"/>
  <c r="H4793" i="58"/>
  <c r="H4794" i="58"/>
  <c r="H4795" i="58"/>
  <c r="H4796" i="58"/>
  <c r="H4797" i="58"/>
  <c r="H4798" i="58"/>
  <c r="H4799" i="58"/>
  <c r="H4800" i="58"/>
  <c r="H4801" i="58"/>
  <c r="H4802" i="58"/>
  <c r="H4803" i="58"/>
  <c r="H4804" i="58"/>
  <c r="H4805" i="58"/>
  <c r="H4806" i="58"/>
  <c r="H4807" i="58"/>
  <c r="H4808" i="58"/>
  <c r="H4809" i="58"/>
  <c r="H4810" i="58"/>
  <c r="H4811" i="58"/>
  <c r="H4812" i="58"/>
  <c r="H4813" i="58"/>
  <c r="H4814" i="58"/>
  <c r="H4815" i="58"/>
  <c r="H4816" i="58"/>
  <c r="H4817" i="58"/>
  <c r="H4818" i="58"/>
  <c r="H4819" i="58"/>
  <c r="H4820" i="58"/>
  <c r="H4821" i="58"/>
  <c r="H4822" i="58"/>
  <c r="H4823" i="58"/>
  <c r="H4824" i="58"/>
  <c r="H4825" i="58"/>
  <c r="H4826" i="58"/>
  <c r="H4827" i="58"/>
  <c r="H4828" i="58"/>
  <c r="H4829" i="58"/>
  <c r="H4830" i="58"/>
  <c r="H4831" i="58"/>
  <c r="H4832" i="58"/>
  <c r="H4833" i="58"/>
  <c r="H4834" i="58"/>
  <c r="H4835" i="58"/>
  <c r="H4836" i="58"/>
  <c r="H4837" i="58"/>
  <c r="H4838" i="58"/>
  <c r="H4839" i="58"/>
  <c r="H4840" i="58"/>
  <c r="H4841" i="58"/>
  <c r="H4842" i="58"/>
  <c r="H4843" i="58"/>
  <c r="H4844" i="58"/>
  <c r="H4845" i="58"/>
  <c r="H4846" i="58"/>
  <c r="H4847" i="58"/>
  <c r="H4848" i="58"/>
  <c r="H4849" i="58"/>
  <c r="H4850" i="58"/>
  <c r="H4851" i="58"/>
  <c r="H4852" i="58"/>
  <c r="H4853" i="58"/>
  <c r="H4854" i="58"/>
  <c r="H4855" i="58"/>
  <c r="H4856" i="58"/>
  <c r="H4857" i="58"/>
  <c r="H4858" i="58"/>
  <c r="H4859" i="58"/>
  <c r="H4860" i="58"/>
  <c r="H4861" i="58"/>
  <c r="H4862" i="58"/>
  <c r="H4863" i="58"/>
  <c r="H4864" i="58"/>
  <c r="H4865" i="58"/>
  <c r="H4866" i="58"/>
  <c r="H4867" i="58"/>
  <c r="H4868" i="58"/>
  <c r="H4869" i="58"/>
  <c r="H4870" i="58"/>
  <c r="H4871" i="58"/>
  <c r="H4872" i="58"/>
  <c r="H4873" i="58"/>
  <c r="H4874" i="58"/>
  <c r="H4875" i="58"/>
  <c r="H4876" i="58"/>
  <c r="H4877" i="58"/>
  <c r="H4878" i="58"/>
  <c r="H4879" i="58"/>
  <c r="H4880" i="58"/>
  <c r="H4881" i="58"/>
  <c r="H4882" i="58"/>
  <c r="H4883" i="58"/>
  <c r="H4884" i="58"/>
  <c r="H4885" i="58"/>
  <c r="H4886" i="58"/>
  <c r="H4887" i="58"/>
  <c r="H4888" i="58"/>
  <c r="H4889" i="58"/>
  <c r="H4890" i="58"/>
  <c r="H4891" i="58"/>
  <c r="H4892" i="58"/>
  <c r="H4893" i="58"/>
  <c r="H4894" i="58"/>
  <c r="H4895" i="58"/>
  <c r="H4896" i="58"/>
  <c r="H4897" i="58"/>
  <c r="H4898" i="58"/>
  <c r="H4899" i="58"/>
  <c r="H4900" i="58"/>
  <c r="H4901" i="58"/>
  <c r="H4902" i="58"/>
  <c r="H4903" i="58"/>
  <c r="H4904" i="58"/>
  <c r="H4905" i="58"/>
  <c r="H4906" i="58"/>
  <c r="H4907" i="58"/>
  <c r="H4908" i="58"/>
  <c r="H4909" i="58"/>
  <c r="H4910" i="58"/>
  <c r="H4911" i="58"/>
  <c r="H4912" i="58"/>
  <c r="H4913" i="58"/>
  <c r="H4914" i="58"/>
  <c r="H4915" i="58"/>
  <c r="H4916" i="58"/>
  <c r="H4917" i="58"/>
  <c r="H4918" i="58"/>
  <c r="H4919" i="58"/>
  <c r="H4920" i="58"/>
  <c r="H4921" i="58"/>
  <c r="H4922" i="58"/>
  <c r="H4923" i="58"/>
  <c r="H4924" i="58"/>
  <c r="H4925" i="58"/>
  <c r="H4926" i="58"/>
  <c r="H4927" i="58"/>
  <c r="H4928" i="58"/>
  <c r="H4929" i="58"/>
  <c r="H4930" i="58"/>
  <c r="H4931" i="58"/>
  <c r="H4932" i="58"/>
  <c r="H4933" i="58"/>
  <c r="H4934" i="58"/>
  <c r="H4935" i="58"/>
  <c r="H4936" i="58"/>
  <c r="H4937" i="58"/>
  <c r="H4938" i="58"/>
  <c r="H4939" i="58"/>
  <c r="H4940" i="58"/>
  <c r="H4941" i="58"/>
  <c r="H4942" i="58"/>
  <c r="H4943" i="58"/>
  <c r="H4944" i="58"/>
  <c r="H4945" i="58"/>
  <c r="H4946" i="58"/>
  <c r="H4947" i="58"/>
  <c r="H4948" i="58"/>
  <c r="H4949" i="58"/>
  <c r="H4950" i="58"/>
  <c r="H4951" i="58"/>
  <c r="H4952" i="58"/>
  <c r="H4953" i="58"/>
  <c r="H4954" i="58"/>
  <c r="H4955" i="58"/>
  <c r="H4956" i="58"/>
  <c r="H4957" i="58"/>
  <c r="H4958" i="58"/>
  <c r="H4959" i="58"/>
  <c r="H4960" i="58"/>
  <c r="H4961" i="58"/>
  <c r="H4962" i="58"/>
  <c r="H4963" i="58"/>
  <c r="H4964" i="58"/>
  <c r="H4965" i="58"/>
  <c r="H4966" i="58"/>
  <c r="H4967" i="58"/>
  <c r="H4968" i="58"/>
  <c r="H4969" i="58"/>
  <c r="H4970" i="58"/>
  <c r="H4971" i="58"/>
  <c r="H4972" i="58"/>
  <c r="H4973" i="58"/>
  <c r="H4974" i="58"/>
  <c r="H4975" i="58"/>
  <c r="H4976" i="58"/>
  <c r="H4977" i="58"/>
  <c r="H4978" i="58"/>
  <c r="H4979" i="58"/>
  <c r="H4980" i="58"/>
  <c r="H4981" i="58"/>
  <c r="H4982" i="58"/>
  <c r="H4983" i="58"/>
  <c r="H4984" i="58"/>
  <c r="H4985" i="58"/>
  <c r="H4986" i="58"/>
  <c r="H4987" i="58"/>
  <c r="H4988" i="58"/>
  <c r="H4989" i="58"/>
  <c r="H4990" i="58"/>
  <c r="H4991" i="58"/>
  <c r="H4992" i="58"/>
  <c r="H4993" i="58"/>
  <c r="H4994" i="58"/>
  <c r="H4995" i="58"/>
  <c r="H4996" i="58"/>
  <c r="H4997" i="58"/>
  <c r="H4998" i="58"/>
  <c r="H4999" i="58"/>
  <c r="H5000" i="58"/>
  <c r="H2" i="58"/>
  <c r="L3" i="62"/>
  <c r="P3" i="62" s="1"/>
  <c r="K3" i="62"/>
  <c r="J3" i="62"/>
  <c r="I3" i="62"/>
  <c r="F3" i="62"/>
  <c r="K2" i="62"/>
  <c r="O2" i="62" s="1"/>
  <c r="S2" i="62" s="1"/>
  <c r="J2" i="62"/>
  <c r="N2" i="62" s="1"/>
  <c r="R2" i="62" s="1"/>
  <c r="L30" i="62" l="1"/>
  <c r="K30" i="62"/>
  <c r="J30" i="62"/>
  <c r="I180" i="62"/>
  <c r="M180" i="62" s="1"/>
  <c r="Q180" i="62" s="1"/>
  <c r="I30" i="62"/>
  <c r="L181" i="62"/>
  <c r="P181" i="62" s="1"/>
  <c r="T181" i="62" s="1"/>
  <c r="J180" i="62"/>
  <c r="N180" i="62" s="1"/>
  <c r="R180" i="62" s="1"/>
  <c r="L180" i="62"/>
  <c r="P180" i="62" s="1"/>
  <c r="T180" i="62" s="1"/>
  <c r="I181" i="62"/>
  <c r="M181" i="62" s="1"/>
  <c r="Q181" i="62" s="1"/>
  <c r="K181" i="62"/>
  <c r="O181" i="62" s="1"/>
  <c r="S181" i="62" s="1"/>
  <c r="J181" i="62"/>
  <c r="N181" i="62" s="1"/>
  <c r="R181" i="62" s="1"/>
  <c r="K180" i="62"/>
  <c r="O180" i="62" s="1"/>
  <c r="S180" i="62" s="1"/>
  <c r="L182" i="62"/>
  <c r="P182" i="62" s="1"/>
  <c r="T182" i="62" s="1"/>
  <c r="K182" i="62"/>
  <c r="O182" i="62" s="1"/>
  <c r="S182" i="62" s="1"/>
  <c r="J182" i="62"/>
  <c r="N182" i="62" s="1"/>
  <c r="R182" i="62" s="1"/>
  <c r="I182" i="62"/>
  <c r="M182" i="62" s="1"/>
  <c r="Q182" i="62" s="1"/>
  <c r="I179" i="62"/>
  <c r="M179" i="62" s="1"/>
  <c r="Q179" i="62" s="1"/>
  <c r="K179" i="62"/>
  <c r="O179" i="62" s="1"/>
  <c r="S179" i="62" s="1"/>
  <c r="L179" i="62"/>
  <c r="P179" i="62" s="1"/>
  <c r="T179" i="62" s="1"/>
  <c r="J179" i="62"/>
  <c r="N179" i="62" s="1"/>
  <c r="R179" i="62" s="1"/>
  <c r="N3" i="62"/>
  <c r="H169" i="62"/>
  <c r="F46" i="62"/>
  <c r="F130" i="62"/>
  <c r="F34" i="62"/>
  <c r="F22" i="62"/>
  <c r="G178" i="62"/>
  <c r="G166" i="62"/>
  <c r="G154" i="62"/>
  <c r="G142" i="62"/>
  <c r="G130" i="62"/>
  <c r="G118" i="62"/>
  <c r="G106" i="62"/>
  <c r="G94" i="62"/>
  <c r="G82" i="62"/>
  <c r="G70" i="62"/>
  <c r="G58" i="62"/>
  <c r="G46" i="62"/>
  <c r="G34" i="62"/>
  <c r="G22" i="62"/>
  <c r="H12" i="62"/>
  <c r="H24" i="62"/>
  <c r="H36" i="62"/>
  <c r="H48" i="62"/>
  <c r="H60" i="62"/>
  <c r="H72" i="62"/>
  <c r="H84" i="62"/>
  <c r="H96" i="62"/>
  <c r="H108" i="62"/>
  <c r="H120" i="62"/>
  <c r="H132" i="62"/>
  <c r="H144" i="62"/>
  <c r="H156" i="62"/>
  <c r="H168" i="62"/>
  <c r="E26" i="62"/>
  <c r="E50" i="62"/>
  <c r="E74" i="62"/>
  <c r="E98" i="62"/>
  <c r="E122" i="62"/>
  <c r="E146" i="62"/>
  <c r="E158" i="62"/>
  <c r="F166" i="62"/>
  <c r="F154" i="62"/>
  <c r="F118" i="62"/>
  <c r="F94" i="62"/>
  <c r="F70" i="62"/>
  <c r="F58" i="62"/>
  <c r="E15" i="62"/>
  <c r="E27" i="62"/>
  <c r="E39" i="62"/>
  <c r="E51" i="62"/>
  <c r="E63" i="62"/>
  <c r="E75" i="62"/>
  <c r="E87" i="62"/>
  <c r="E99" i="62"/>
  <c r="E111" i="62"/>
  <c r="E123" i="62"/>
  <c r="E135" i="62"/>
  <c r="E147" i="62"/>
  <c r="E159" i="62"/>
  <c r="E171" i="62"/>
  <c r="F177" i="62"/>
  <c r="F165" i="62"/>
  <c r="F153" i="62"/>
  <c r="F141" i="62"/>
  <c r="F129" i="62"/>
  <c r="F117" i="62"/>
  <c r="F105" i="62"/>
  <c r="F93" i="62"/>
  <c r="F81" i="62"/>
  <c r="F69" i="62"/>
  <c r="F57" i="62"/>
  <c r="F45" i="62"/>
  <c r="F33" i="62"/>
  <c r="F21" i="62"/>
  <c r="G177" i="62"/>
  <c r="G165" i="62"/>
  <c r="G153" i="62"/>
  <c r="G141" i="62"/>
  <c r="G129" i="62"/>
  <c r="G117" i="62"/>
  <c r="G105" i="62"/>
  <c r="G93" i="62"/>
  <c r="G81" i="62"/>
  <c r="G69" i="62"/>
  <c r="G57" i="62"/>
  <c r="G45" i="62"/>
  <c r="G33" i="62"/>
  <c r="G21" i="62"/>
  <c r="H13" i="62"/>
  <c r="H25" i="62"/>
  <c r="H37" i="62"/>
  <c r="H49" i="62"/>
  <c r="H61" i="62"/>
  <c r="H73" i="62"/>
  <c r="H85" i="62"/>
  <c r="H97" i="62"/>
  <c r="H109" i="62"/>
  <c r="H121" i="62"/>
  <c r="H133" i="62"/>
  <c r="H145" i="62"/>
  <c r="H157" i="62"/>
  <c r="E14" i="62"/>
  <c r="E38" i="62"/>
  <c r="E62" i="62"/>
  <c r="E86" i="62"/>
  <c r="E110" i="62"/>
  <c r="E134" i="62"/>
  <c r="E170" i="62"/>
  <c r="F178" i="62"/>
  <c r="F142" i="62"/>
  <c r="F106" i="62"/>
  <c r="F82" i="62"/>
  <c r="C22" i="62"/>
  <c r="C34" i="62"/>
  <c r="B34" i="62" s="1"/>
  <c r="A34" i="62" s="1"/>
  <c r="C46" i="62"/>
  <c r="B46" i="62" s="1"/>
  <c r="A46" i="62" s="1"/>
  <c r="C58" i="62"/>
  <c r="B58" i="62" s="1"/>
  <c r="A58" i="62" s="1"/>
  <c r="C70" i="62"/>
  <c r="B70" i="62" s="1"/>
  <c r="A70" i="62" s="1"/>
  <c r="C82" i="62"/>
  <c r="C94" i="62"/>
  <c r="B94" i="62" s="1"/>
  <c r="A94" i="62" s="1"/>
  <c r="C106" i="62"/>
  <c r="B106" i="62" s="1"/>
  <c r="A106" i="62" s="1"/>
  <c r="C118" i="62"/>
  <c r="C130" i="62"/>
  <c r="C142" i="62"/>
  <c r="B142" i="62" s="1"/>
  <c r="C154" i="62"/>
  <c r="C166" i="62"/>
  <c r="B166" i="62" s="1"/>
  <c r="A166" i="62" s="1"/>
  <c r="C178" i="62"/>
  <c r="C129" i="62"/>
  <c r="B129" i="62" s="1"/>
  <c r="A129" i="62" s="1"/>
  <c r="C23" i="62"/>
  <c r="C35" i="62"/>
  <c r="C47" i="62"/>
  <c r="B47" i="62" s="1"/>
  <c r="A47" i="62" s="1"/>
  <c r="C59" i="62"/>
  <c r="B59" i="62" s="1"/>
  <c r="A59" i="62" s="1"/>
  <c r="C71" i="62"/>
  <c r="B71" i="62" s="1"/>
  <c r="A71" i="62" s="1"/>
  <c r="C83" i="62"/>
  <c r="B83" i="62" s="1"/>
  <c r="A83" i="62" s="1"/>
  <c r="C95" i="62"/>
  <c r="C107" i="62"/>
  <c r="B107" i="62" s="1"/>
  <c r="A107" i="62" s="1"/>
  <c r="C119" i="62"/>
  <c r="B119" i="62" s="1"/>
  <c r="A119" i="62" s="1"/>
  <c r="C131" i="62"/>
  <c r="C143" i="62"/>
  <c r="C155" i="62"/>
  <c r="C167" i="62"/>
  <c r="B167" i="62" s="1"/>
  <c r="A167" i="62" s="1"/>
  <c r="C11" i="62"/>
  <c r="B11" i="62" s="1"/>
  <c r="C117" i="62"/>
  <c r="B117" i="62" s="1"/>
  <c r="A117" i="62" s="1"/>
  <c r="C165" i="62"/>
  <c r="B165" i="62" s="1"/>
  <c r="A165" i="62" s="1"/>
  <c r="C12" i="62"/>
  <c r="B12" i="62" s="1"/>
  <c r="A12" i="62" s="1"/>
  <c r="C24" i="62"/>
  <c r="B24" i="62" s="1"/>
  <c r="A24" i="62" s="1"/>
  <c r="C36" i="62"/>
  <c r="C48" i="62"/>
  <c r="B48" i="62" s="1"/>
  <c r="A48" i="62" s="1"/>
  <c r="C60" i="62"/>
  <c r="B60" i="62" s="1"/>
  <c r="A60" i="62" s="1"/>
  <c r="C72" i="62"/>
  <c r="B72" i="62" s="1"/>
  <c r="A72" i="62" s="1"/>
  <c r="C84" i="62"/>
  <c r="C96" i="62"/>
  <c r="B96" i="62" s="1"/>
  <c r="A96" i="62" s="1"/>
  <c r="C108" i="62"/>
  <c r="B108" i="62" s="1"/>
  <c r="A108" i="62" s="1"/>
  <c r="C120" i="62"/>
  <c r="C132" i="62"/>
  <c r="B132" i="62" s="1"/>
  <c r="A132" i="62" s="1"/>
  <c r="C144" i="62"/>
  <c r="B144" i="62" s="1"/>
  <c r="A144" i="62" s="1"/>
  <c r="C156" i="62"/>
  <c r="B156" i="62" s="1"/>
  <c r="A156" i="62" s="1"/>
  <c r="C168" i="62"/>
  <c r="B168" i="62" s="1"/>
  <c r="A168" i="62" s="1"/>
  <c r="C57" i="62"/>
  <c r="C13" i="62"/>
  <c r="B13" i="62" s="1"/>
  <c r="A13" i="62" s="1"/>
  <c r="C25" i="62"/>
  <c r="C37" i="62"/>
  <c r="B37" i="62" s="1"/>
  <c r="A37" i="62" s="1"/>
  <c r="C49" i="62"/>
  <c r="B49" i="62" s="1"/>
  <c r="A49" i="62" s="1"/>
  <c r="C61" i="62"/>
  <c r="B61" i="62" s="1"/>
  <c r="A61" i="62" s="1"/>
  <c r="C73" i="62"/>
  <c r="C85" i="62"/>
  <c r="B85" i="62" s="1"/>
  <c r="A85" i="62" s="1"/>
  <c r="C97" i="62"/>
  <c r="B97" i="62" s="1"/>
  <c r="A97" i="62" s="1"/>
  <c r="C109" i="62"/>
  <c r="B109" i="62" s="1"/>
  <c r="A109" i="62" s="1"/>
  <c r="C121" i="62"/>
  <c r="B121" i="62" s="1"/>
  <c r="A121" i="62" s="1"/>
  <c r="C133" i="62"/>
  <c r="B133" i="62" s="1"/>
  <c r="A133" i="62" s="1"/>
  <c r="C145" i="62"/>
  <c r="C157" i="62"/>
  <c r="B157" i="62" s="1"/>
  <c r="A157" i="62" s="1"/>
  <c r="C169" i="62"/>
  <c r="B169" i="62" s="1"/>
  <c r="A169" i="62" s="1"/>
  <c r="C33" i="62"/>
  <c r="B33" i="62" s="1"/>
  <c r="A33" i="62" s="1"/>
  <c r="C14" i="62"/>
  <c r="B14" i="62" s="1"/>
  <c r="A14" i="62" s="1"/>
  <c r="C26" i="62"/>
  <c r="B26" i="62" s="1"/>
  <c r="A26" i="62" s="1"/>
  <c r="C38" i="62"/>
  <c r="B38" i="62" s="1"/>
  <c r="A38" i="62" s="1"/>
  <c r="C50" i="62"/>
  <c r="C62" i="62"/>
  <c r="B62" i="62" s="1"/>
  <c r="A62" i="62" s="1"/>
  <c r="C74" i="62"/>
  <c r="B74" i="62" s="1"/>
  <c r="A74" i="62" s="1"/>
  <c r="C86" i="62"/>
  <c r="B86" i="62" s="1"/>
  <c r="A86" i="62" s="1"/>
  <c r="C98" i="62"/>
  <c r="B98" i="62" s="1"/>
  <c r="A98" i="62" s="1"/>
  <c r="C110" i="62"/>
  <c r="B110" i="62" s="1"/>
  <c r="A110" i="62" s="1"/>
  <c r="C122" i="62"/>
  <c r="B122" i="62" s="1"/>
  <c r="A122" i="62" s="1"/>
  <c r="C134" i="62"/>
  <c r="B134" i="62" s="1"/>
  <c r="A134" i="62" s="1"/>
  <c r="C146" i="62"/>
  <c r="B146" i="62" s="1"/>
  <c r="A146" i="62" s="1"/>
  <c r="C158" i="62"/>
  <c r="B158" i="62" s="1"/>
  <c r="A158" i="62" s="1"/>
  <c r="C170" i="62"/>
  <c r="B170" i="62" s="1"/>
  <c r="A170" i="62" s="1"/>
  <c r="C69" i="62"/>
  <c r="B69" i="62" s="1"/>
  <c r="A69" i="62" s="1"/>
  <c r="C177" i="62"/>
  <c r="B177" i="62" s="1"/>
  <c r="A177" i="62" s="1"/>
  <c r="C15" i="62"/>
  <c r="B15" i="62" s="1"/>
  <c r="A15" i="62" s="1"/>
  <c r="C27" i="62"/>
  <c r="B27" i="62" s="1"/>
  <c r="A27" i="62" s="1"/>
  <c r="C39" i="62"/>
  <c r="B39" i="62" s="1"/>
  <c r="A39" i="62" s="1"/>
  <c r="C51" i="62"/>
  <c r="B51" i="62" s="1"/>
  <c r="A51" i="62" s="1"/>
  <c r="C63" i="62"/>
  <c r="C75" i="62"/>
  <c r="B75" i="62" s="1"/>
  <c r="A75" i="62" s="1"/>
  <c r="C87" i="62"/>
  <c r="B87" i="62" s="1"/>
  <c r="A87" i="62" s="1"/>
  <c r="C99" i="62"/>
  <c r="B99" i="62" s="1"/>
  <c r="A99" i="62" s="1"/>
  <c r="C111" i="62"/>
  <c r="B111" i="62" s="1"/>
  <c r="A111" i="62" s="1"/>
  <c r="C123" i="62"/>
  <c r="B123" i="62" s="1"/>
  <c r="A123" i="62" s="1"/>
  <c r="C135" i="62"/>
  <c r="B135" i="62" s="1"/>
  <c r="A135" i="62" s="1"/>
  <c r="C147" i="62"/>
  <c r="B147" i="62" s="1"/>
  <c r="A147" i="62" s="1"/>
  <c r="C159" i="62"/>
  <c r="B159" i="62" s="1"/>
  <c r="A159" i="62" s="1"/>
  <c r="C171" i="62"/>
  <c r="B171" i="62" s="1"/>
  <c r="A171" i="62" s="1"/>
  <c r="C45" i="62"/>
  <c r="B45" i="62" s="1"/>
  <c r="A45" i="62" s="1"/>
  <c r="C16" i="62"/>
  <c r="B16" i="62" s="1"/>
  <c r="A16" i="62" s="1"/>
  <c r="C28" i="62"/>
  <c r="B28" i="62" s="1"/>
  <c r="A28" i="62" s="1"/>
  <c r="C40" i="62"/>
  <c r="B40" i="62" s="1"/>
  <c r="A40" i="62" s="1"/>
  <c r="C52" i="62"/>
  <c r="B52" i="62" s="1"/>
  <c r="A52" i="62" s="1"/>
  <c r="C64" i="62"/>
  <c r="C76" i="62"/>
  <c r="B76" i="62" s="1"/>
  <c r="A76" i="62" s="1"/>
  <c r="C88" i="62"/>
  <c r="B88" i="62" s="1"/>
  <c r="A88" i="62" s="1"/>
  <c r="C100" i="62"/>
  <c r="B100" i="62" s="1"/>
  <c r="A100" i="62" s="1"/>
  <c r="C112" i="62"/>
  <c r="B112" i="62" s="1"/>
  <c r="A112" i="62" s="1"/>
  <c r="C124" i="62"/>
  <c r="B124" i="62" s="1"/>
  <c r="A124" i="62" s="1"/>
  <c r="C136" i="62"/>
  <c r="B136" i="62" s="1"/>
  <c r="A136" i="62" s="1"/>
  <c r="C148" i="62"/>
  <c r="B148" i="62" s="1"/>
  <c r="A148" i="62" s="1"/>
  <c r="C160" i="62"/>
  <c r="B160" i="62" s="1"/>
  <c r="A160" i="62" s="1"/>
  <c r="C172" i="62"/>
  <c r="C93" i="62"/>
  <c r="B93" i="62" s="1"/>
  <c r="A93" i="62" s="1"/>
  <c r="C17" i="62"/>
  <c r="B17" i="62" s="1"/>
  <c r="A17" i="62" s="1"/>
  <c r="C29" i="62"/>
  <c r="B29" i="62" s="1"/>
  <c r="A29" i="62" s="1"/>
  <c r="C41" i="62"/>
  <c r="B41" i="62" s="1"/>
  <c r="A41" i="62" s="1"/>
  <c r="C53" i="62"/>
  <c r="B53" i="62" s="1"/>
  <c r="A53" i="62" s="1"/>
  <c r="C65" i="62"/>
  <c r="B65" i="62" s="1"/>
  <c r="A65" i="62" s="1"/>
  <c r="C77" i="62"/>
  <c r="B77" i="62" s="1"/>
  <c r="A77" i="62" s="1"/>
  <c r="C89" i="62"/>
  <c r="B89" i="62" s="1"/>
  <c r="A89" i="62" s="1"/>
  <c r="C101" i="62"/>
  <c r="B101" i="62" s="1"/>
  <c r="A101" i="62" s="1"/>
  <c r="C113" i="62"/>
  <c r="B113" i="62" s="1"/>
  <c r="A113" i="62" s="1"/>
  <c r="C125" i="62"/>
  <c r="B125" i="62" s="1"/>
  <c r="A125" i="62" s="1"/>
  <c r="C137" i="62"/>
  <c r="B137" i="62" s="1"/>
  <c r="A137" i="62" s="1"/>
  <c r="C149" i="62"/>
  <c r="B149" i="62" s="1"/>
  <c r="A149" i="62" s="1"/>
  <c r="C161" i="62"/>
  <c r="B161" i="62" s="1"/>
  <c r="A161" i="62" s="1"/>
  <c r="C173" i="62"/>
  <c r="B173" i="62" s="1"/>
  <c r="A173" i="62" s="1"/>
  <c r="C81" i="62"/>
  <c r="B81" i="62" s="1"/>
  <c r="A81" i="62" s="1"/>
  <c r="C18" i="62"/>
  <c r="B18" i="62" s="1"/>
  <c r="A18" i="62" s="1"/>
  <c r="C30" i="62"/>
  <c r="B30" i="62" s="1"/>
  <c r="A30" i="62" s="1"/>
  <c r="C42" i="62"/>
  <c r="B42" i="62" s="1"/>
  <c r="A42" i="62" s="1"/>
  <c r="C54" i="62"/>
  <c r="B54" i="62" s="1"/>
  <c r="A54" i="62" s="1"/>
  <c r="C66" i="62"/>
  <c r="B66" i="62" s="1"/>
  <c r="A66" i="62" s="1"/>
  <c r="C78" i="62"/>
  <c r="B78" i="62" s="1"/>
  <c r="A78" i="62" s="1"/>
  <c r="C90" i="62"/>
  <c r="B90" i="62" s="1"/>
  <c r="A90" i="62" s="1"/>
  <c r="C102" i="62"/>
  <c r="B102" i="62" s="1"/>
  <c r="A102" i="62" s="1"/>
  <c r="C114" i="62"/>
  <c r="B114" i="62" s="1"/>
  <c r="A114" i="62" s="1"/>
  <c r="C126" i="62"/>
  <c r="B126" i="62" s="1"/>
  <c r="A126" i="62" s="1"/>
  <c r="C138" i="62"/>
  <c r="B138" i="62" s="1"/>
  <c r="A138" i="62" s="1"/>
  <c r="C150" i="62"/>
  <c r="B150" i="62" s="1"/>
  <c r="A150" i="62" s="1"/>
  <c r="C162" i="62"/>
  <c r="B162" i="62" s="1"/>
  <c r="A162" i="62" s="1"/>
  <c r="C174" i="62"/>
  <c r="B174" i="62" s="1"/>
  <c r="A174" i="62" s="1"/>
  <c r="C105" i="62"/>
  <c r="B105" i="62" s="1"/>
  <c r="A105" i="62" s="1"/>
  <c r="C153" i="62"/>
  <c r="B153" i="62" s="1"/>
  <c r="A153" i="62" s="1"/>
  <c r="C19" i="62"/>
  <c r="B19" i="62" s="1"/>
  <c r="A19" i="62" s="1"/>
  <c r="C31" i="62"/>
  <c r="B31" i="62" s="1"/>
  <c r="A31" i="62" s="1"/>
  <c r="C43" i="62"/>
  <c r="B43" i="62" s="1"/>
  <c r="A43" i="62" s="1"/>
  <c r="C55" i="62"/>
  <c r="B55" i="62" s="1"/>
  <c r="A55" i="62" s="1"/>
  <c r="C67" i="62"/>
  <c r="B67" i="62" s="1"/>
  <c r="A67" i="62" s="1"/>
  <c r="C79" i="62"/>
  <c r="B79" i="62" s="1"/>
  <c r="A79" i="62" s="1"/>
  <c r="C91" i="62"/>
  <c r="B91" i="62" s="1"/>
  <c r="A91" i="62" s="1"/>
  <c r="C103" i="62"/>
  <c r="B103" i="62" s="1"/>
  <c r="A103" i="62" s="1"/>
  <c r="C115" i="62"/>
  <c r="B115" i="62" s="1"/>
  <c r="A115" i="62" s="1"/>
  <c r="C127" i="62"/>
  <c r="B127" i="62" s="1"/>
  <c r="A127" i="62" s="1"/>
  <c r="C139" i="62"/>
  <c r="B139" i="62" s="1"/>
  <c r="A139" i="62" s="1"/>
  <c r="C151" i="62"/>
  <c r="B151" i="62" s="1"/>
  <c r="A151" i="62" s="1"/>
  <c r="C163" i="62"/>
  <c r="B163" i="62" s="1"/>
  <c r="A163" i="62" s="1"/>
  <c r="C175" i="62"/>
  <c r="B175" i="62" s="1"/>
  <c r="A175" i="62" s="1"/>
  <c r="C141" i="62"/>
  <c r="B141" i="62" s="1"/>
  <c r="C20" i="62"/>
  <c r="B20" i="62" s="1"/>
  <c r="A20" i="62" s="1"/>
  <c r="C32" i="62"/>
  <c r="B32" i="62" s="1"/>
  <c r="A32" i="62" s="1"/>
  <c r="C44" i="62"/>
  <c r="B44" i="62" s="1"/>
  <c r="A44" i="62" s="1"/>
  <c r="C56" i="62"/>
  <c r="B56" i="62" s="1"/>
  <c r="A56" i="62" s="1"/>
  <c r="C68" i="62"/>
  <c r="B68" i="62" s="1"/>
  <c r="A68" i="62" s="1"/>
  <c r="C80" i="62"/>
  <c r="B80" i="62" s="1"/>
  <c r="A80" i="62" s="1"/>
  <c r="C92" i="62"/>
  <c r="B92" i="62" s="1"/>
  <c r="A92" i="62" s="1"/>
  <c r="C104" i="62"/>
  <c r="B104" i="62" s="1"/>
  <c r="A104" i="62" s="1"/>
  <c r="C116" i="62"/>
  <c r="B116" i="62" s="1"/>
  <c r="A116" i="62" s="1"/>
  <c r="C128" i="62"/>
  <c r="B128" i="62" s="1"/>
  <c r="A128" i="62" s="1"/>
  <c r="C140" i="62"/>
  <c r="B140" i="62" s="1"/>
  <c r="A140" i="62" s="1"/>
  <c r="C152" i="62"/>
  <c r="B152" i="62" s="1"/>
  <c r="A152" i="62" s="1"/>
  <c r="C164" i="62"/>
  <c r="B164" i="62" s="1"/>
  <c r="A164" i="62" s="1"/>
  <c r="C176" i="62"/>
  <c r="B176" i="62" s="1"/>
  <c r="A176" i="62" s="1"/>
  <c r="C21" i="62"/>
  <c r="B21" i="62" s="1"/>
  <c r="A21" i="62" s="1"/>
  <c r="E16" i="62"/>
  <c r="E28" i="62"/>
  <c r="E40" i="62"/>
  <c r="E52" i="62"/>
  <c r="E64" i="62"/>
  <c r="E76" i="62"/>
  <c r="E88" i="62"/>
  <c r="E100" i="62"/>
  <c r="E112" i="62"/>
  <c r="E124" i="62"/>
  <c r="E136" i="62"/>
  <c r="E148" i="62"/>
  <c r="E160" i="62"/>
  <c r="E172" i="62"/>
  <c r="F176" i="62"/>
  <c r="F164" i="62"/>
  <c r="F152" i="62"/>
  <c r="F140" i="62"/>
  <c r="F128" i="62"/>
  <c r="F116" i="62"/>
  <c r="F104" i="62"/>
  <c r="F92" i="62"/>
  <c r="F80" i="62"/>
  <c r="F68" i="62"/>
  <c r="F56" i="62"/>
  <c r="F44" i="62"/>
  <c r="F32" i="62"/>
  <c r="F20" i="62"/>
  <c r="G176" i="62"/>
  <c r="G164" i="62"/>
  <c r="G152" i="62"/>
  <c r="G140" i="62"/>
  <c r="G128" i="62"/>
  <c r="G116" i="62"/>
  <c r="G104" i="62"/>
  <c r="G92" i="62"/>
  <c r="G80" i="62"/>
  <c r="G68" i="62"/>
  <c r="G56" i="62"/>
  <c r="G44" i="62"/>
  <c r="G32" i="62"/>
  <c r="G20" i="62"/>
  <c r="H14" i="62"/>
  <c r="H26" i="62"/>
  <c r="H38" i="62"/>
  <c r="H50" i="62"/>
  <c r="H62" i="62"/>
  <c r="H74" i="62"/>
  <c r="H86" i="62"/>
  <c r="H98" i="62"/>
  <c r="H110" i="62"/>
  <c r="H122" i="62"/>
  <c r="H134" i="62"/>
  <c r="H146" i="62"/>
  <c r="H158" i="62"/>
  <c r="H170" i="62"/>
  <c r="E17" i="62"/>
  <c r="E29" i="62"/>
  <c r="E41" i="62"/>
  <c r="E53" i="62"/>
  <c r="E65" i="62"/>
  <c r="E77" i="62"/>
  <c r="E89" i="62"/>
  <c r="E101" i="62"/>
  <c r="E113" i="62"/>
  <c r="E125" i="62"/>
  <c r="E137" i="62"/>
  <c r="E149" i="62"/>
  <c r="E161" i="62"/>
  <c r="E173" i="62"/>
  <c r="F175" i="62"/>
  <c r="F163" i="62"/>
  <c r="F151" i="62"/>
  <c r="F139" i="62"/>
  <c r="F127" i="62"/>
  <c r="F115" i="62"/>
  <c r="F103" i="62"/>
  <c r="F91" i="62"/>
  <c r="F79" i="62"/>
  <c r="F67" i="62"/>
  <c r="F55" i="62"/>
  <c r="F43" i="62"/>
  <c r="F31" i="62"/>
  <c r="F19" i="62"/>
  <c r="G175" i="62"/>
  <c r="G163" i="62"/>
  <c r="G151" i="62"/>
  <c r="G139" i="62"/>
  <c r="G127" i="62"/>
  <c r="G115" i="62"/>
  <c r="G103" i="62"/>
  <c r="G91" i="62"/>
  <c r="G79" i="62"/>
  <c r="G67" i="62"/>
  <c r="G55" i="62"/>
  <c r="G43" i="62"/>
  <c r="G31" i="62"/>
  <c r="G19" i="62"/>
  <c r="H15" i="62"/>
  <c r="H27" i="62"/>
  <c r="H39" i="62"/>
  <c r="H51" i="62"/>
  <c r="H63" i="62"/>
  <c r="H75" i="62"/>
  <c r="H87" i="62"/>
  <c r="H99" i="62"/>
  <c r="H111" i="62"/>
  <c r="H123" i="62"/>
  <c r="H135" i="62"/>
  <c r="H147" i="62"/>
  <c r="H159" i="62"/>
  <c r="H171" i="62"/>
  <c r="E18" i="62"/>
  <c r="E30" i="62"/>
  <c r="E42" i="62"/>
  <c r="E54" i="62"/>
  <c r="E66" i="62"/>
  <c r="E78" i="62"/>
  <c r="E90" i="62"/>
  <c r="E102" i="62"/>
  <c r="E114" i="62"/>
  <c r="E126" i="62"/>
  <c r="E138" i="62"/>
  <c r="E150" i="62"/>
  <c r="E162" i="62"/>
  <c r="E174" i="62"/>
  <c r="F174" i="62"/>
  <c r="F162" i="62"/>
  <c r="F150" i="62"/>
  <c r="F138" i="62"/>
  <c r="F126" i="62"/>
  <c r="F114" i="62"/>
  <c r="F102" i="62"/>
  <c r="F90" i="62"/>
  <c r="F78" i="62"/>
  <c r="F66" i="62"/>
  <c r="F54" i="62"/>
  <c r="F42" i="62"/>
  <c r="F30" i="62"/>
  <c r="F18" i="62"/>
  <c r="G174" i="62"/>
  <c r="G162" i="62"/>
  <c r="G150" i="62"/>
  <c r="G138" i="62"/>
  <c r="G126" i="62"/>
  <c r="G114" i="62"/>
  <c r="G102" i="62"/>
  <c r="G90" i="62"/>
  <c r="G78" i="62"/>
  <c r="G66" i="62"/>
  <c r="G54" i="62"/>
  <c r="G42" i="62"/>
  <c r="G30" i="62"/>
  <c r="G18" i="62"/>
  <c r="H16" i="62"/>
  <c r="H28" i="62"/>
  <c r="H40" i="62"/>
  <c r="H52" i="62"/>
  <c r="H64" i="62"/>
  <c r="H76" i="62"/>
  <c r="H88" i="62"/>
  <c r="H100" i="62"/>
  <c r="H112" i="62"/>
  <c r="H124" i="62"/>
  <c r="H136" i="62"/>
  <c r="H148" i="62"/>
  <c r="H160" i="62"/>
  <c r="H172" i="62"/>
  <c r="E19" i="62"/>
  <c r="E31" i="62"/>
  <c r="E43" i="62"/>
  <c r="E55" i="62"/>
  <c r="E67" i="62"/>
  <c r="E79" i="62"/>
  <c r="E91" i="62"/>
  <c r="E103" i="62"/>
  <c r="E115" i="62"/>
  <c r="E127" i="62"/>
  <c r="E139" i="62"/>
  <c r="E151" i="62"/>
  <c r="E163" i="62"/>
  <c r="E175" i="62"/>
  <c r="F173" i="62"/>
  <c r="F161" i="62"/>
  <c r="F149" i="62"/>
  <c r="F137" i="62"/>
  <c r="F125" i="62"/>
  <c r="F113" i="62"/>
  <c r="F101" i="62"/>
  <c r="F89" i="62"/>
  <c r="F77" i="62"/>
  <c r="F65" i="62"/>
  <c r="F53" i="62"/>
  <c r="F41" i="62"/>
  <c r="F29" i="62"/>
  <c r="F17" i="62"/>
  <c r="G173" i="62"/>
  <c r="G161" i="62"/>
  <c r="G149" i="62"/>
  <c r="G137" i="62"/>
  <c r="G125" i="62"/>
  <c r="G113" i="62"/>
  <c r="G101" i="62"/>
  <c r="G89" i="62"/>
  <c r="G77" i="62"/>
  <c r="G65" i="62"/>
  <c r="G53" i="62"/>
  <c r="G41" i="62"/>
  <c r="G29" i="62"/>
  <c r="G17" i="62"/>
  <c r="H17" i="62"/>
  <c r="H29" i="62"/>
  <c r="H41" i="62"/>
  <c r="H53" i="62"/>
  <c r="H65" i="62"/>
  <c r="H77" i="62"/>
  <c r="H89" i="62"/>
  <c r="H101" i="62"/>
  <c r="H113" i="62"/>
  <c r="H125" i="62"/>
  <c r="H137" i="62"/>
  <c r="H149" i="62"/>
  <c r="H161" i="62"/>
  <c r="H173" i="62"/>
  <c r="E20" i="62"/>
  <c r="E32" i="62"/>
  <c r="E44" i="62"/>
  <c r="E56" i="62"/>
  <c r="E68" i="62"/>
  <c r="E80" i="62"/>
  <c r="E92" i="62"/>
  <c r="E104" i="62"/>
  <c r="E116" i="62"/>
  <c r="E128" i="62"/>
  <c r="E140" i="62"/>
  <c r="E152" i="62"/>
  <c r="E164" i="62"/>
  <c r="E176" i="62"/>
  <c r="F172" i="62"/>
  <c r="F160" i="62"/>
  <c r="F148" i="62"/>
  <c r="F136" i="62"/>
  <c r="F124" i="62"/>
  <c r="F112" i="62"/>
  <c r="F100" i="62"/>
  <c r="F88" i="62"/>
  <c r="F76" i="62"/>
  <c r="F64" i="62"/>
  <c r="F52" i="62"/>
  <c r="F40" i="62"/>
  <c r="F28" i="62"/>
  <c r="F16" i="62"/>
  <c r="G172" i="62"/>
  <c r="G160" i="62"/>
  <c r="G148" i="62"/>
  <c r="G136" i="62"/>
  <c r="G124" i="62"/>
  <c r="G112" i="62"/>
  <c r="G100" i="62"/>
  <c r="G88" i="62"/>
  <c r="G76" i="62"/>
  <c r="G64" i="62"/>
  <c r="G52" i="62"/>
  <c r="G40" i="62"/>
  <c r="G28" i="62"/>
  <c r="G16" i="62"/>
  <c r="H18" i="62"/>
  <c r="H30" i="62"/>
  <c r="H42" i="62"/>
  <c r="H54" i="62"/>
  <c r="H66" i="62"/>
  <c r="H78" i="62"/>
  <c r="H90" i="62"/>
  <c r="H102" i="62"/>
  <c r="H114" i="62"/>
  <c r="H126" i="62"/>
  <c r="H138" i="62"/>
  <c r="H150" i="62"/>
  <c r="H162" i="62"/>
  <c r="H174" i="62"/>
  <c r="E21" i="62"/>
  <c r="E33" i="62"/>
  <c r="E45" i="62"/>
  <c r="E57" i="62"/>
  <c r="E69" i="62"/>
  <c r="E81" i="62"/>
  <c r="E93" i="62"/>
  <c r="E105" i="62"/>
  <c r="E117" i="62"/>
  <c r="E129" i="62"/>
  <c r="E141" i="62"/>
  <c r="E153" i="62"/>
  <c r="E165" i="62"/>
  <c r="E177" i="62"/>
  <c r="F171" i="62"/>
  <c r="F159" i="62"/>
  <c r="F147" i="62"/>
  <c r="F135" i="62"/>
  <c r="F123" i="62"/>
  <c r="F111" i="62"/>
  <c r="F99" i="62"/>
  <c r="F87" i="62"/>
  <c r="F75" i="62"/>
  <c r="F63" i="62"/>
  <c r="F51" i="62"/>
  <c r="F39" i="62"/>
  <c r="F27" i="62"/>
  <c r="F15" i="62"/>
  <c r="G171" i="62"/>
  <c r="G159" i="62"/>
  <c r="G147" i="62"/>
  <c r="G135" i="62"/>
  <c r="G123" i="62"/>
  <c r="G111" i="62"/>
  <c r="G99" i="62"/>
  <c r="G87" i="62"/>
  <c r="G75" i="62"/>
  <c r="G63" i="62"/>
  <c r="G51" i="62"/>
  <c r="G39" i="62"/>
  <c r="G27" i="62"/>
  <c r="G15" i="62"/>
  <c r="H19" i="62"/>
  <c r="H31" i="62"/>
  <c r="H43" i="62"/>
  <c r="H55" i="62"/>
  <c r="H67" i="62"/>
  <c r="H79" i="62"/>
  <c r="H91" i="62"/>
  <c r="H103" i="62"/>
  <c r="H115" i="62"/>
  <c r="H127" i="62"/>
  <c r="H139" i="62"/>
  <c r="H151" i="62"/>
  <c r="H163" i="62"/>
  <c r="H175" i="62"/>
  <c r="E22" i="62"/>
  <c r="E34" i="62"/>
  <c r="E46" i="62"/>
  <c r="E58" i="62"/>
  <c r="E70" i="62"/>
  <c r="E82" i="62"/>
  <c r="E94" i="62"/>
  <c r="E106" i="62"/>
  <c r="E118" i="62"/>
  <c r="E130" i="62"/>
  <c r="E142" i="62"/>
  <c r="E154" i="62"/>
  <c r="E166" i="62"/>
  <c r="E178" i="62"/>
  <c r="F170" i="62"/>
  <c r="F158" i="62"/>
  <c r="F146" i="62"/>
  <c r="F134" i="62"/>
  <c r="F122" i="62"/>
  <c r="F110" i="62"/>
  <c r="F98" i="62"/>
  <c r="F86" i="62"/>
  <c r="F74" i="62"/>
  <c r="F62" i="62"/>
  <c r="F50" i="62"/>
  <c r="F38" i="62"/>
  <c r="F26" i="62"/>
  <c r="F14" i="62"/>
  <c r="G170" i="62"/>
  <c r="G158" i="62"/>
  <c r="G146" i="62"/>
  <c r="G134" i="62"/>
  <c r="G122" i="62"/>
  <c r="G110" i="62"/>
  <c r="G98" i="62"/>
  <c r="G86" i="62"/>
  <c r="G74" i="62"/>
  <c r="G62" i="62"/>
  <c r="G50" i="62"/>
  <c r="G38" i="62"/>
  <c r="G26" i="62"/>
  <c r="G14" i="62"/>
  <c r="H20" i="62"/>
  <c r="H32" i="62"/>
  <c r="H44" i="62"/>
  <c r="H56" i="62"/>
  <c r="H68" i="62"/>
  <c r="H80" i="62"/>
  <c r="H92" i="62"/>
  <c r="H104" i="62"/>
  <c r="H116" i="62"/>
  <c r="H128" i="62"/>
  <c r="H140" i="62"/>
  <c r="H152" i="62"/>
  <c r="H164" i="62"/>
  <c r="H176" i="62"/>
  <c r="E11" i="62"/>
  <c r="E23" i="62"/>
  <c r="E35" i="62"/>
  <c r="E47" i="62"/>
  <c r="E59" i="62"/>
  <c r="E71" i="62"/>
  <c r="E83" i="62"/>
  <c r="E95" i="62"/>
  <c r="E107" i="62"/>
  <c r="E119" i="62"/>
  <c r="E131" i="62"/>
  <c r="E143" i="62"/>
  <c r="E155" i="62"/>
  <c r="E167" i="62"/>
  <c r="F169" i="62"/>
  <c r="F157" i="62"/>
  <c r="F145" i="62"/>
  <c r="F133" i="62"/>
  <c r="F121" i="62"/>
  <c r="F109" i="62"/>
  <c r="F97" i="62"/>
  <c r="F85" i="62"/>
  <c r="F73" i="62"/>
  <c r="F61" i="62"/>
  <c r="F49" i="62"/>
  <c r="F37" i="62"/>
  <c r="F25" i="62"/>
  <c r="F13" i="62"/>
  <c r="G169" i="62"/>
  <c r="G157" i="62"/>
  <c r="G145" i="62"/>
  <c r="G133" i="62"/>
  <c r="G121" i="62"/>
  <c r="G109" i="62"/>
  <c r="G97" i="62"/>
  <c r="G85" i="62"/>
  <c r="G73" i="62"/>
  <c r="G61" i="62"/>
  <c r="G49" i="62"/>
  <c r="G37" i="62"/>
  <c r="G25" i="62"/>
  <c r="G13" i="62"/>
  <c r="H21" i="62"/>
  <c r="H33" i="62"/>
  <c r="H45" i="62"/>
  <c r="H57" i="62"/>
  <c r="H69" i="62"/>
  <c r="H81" i="62"/>
  <c r="H93" i="62"/>
  <c r="H105" i="62"/>
  <c r="H117" i="62"/>
  <c r="H129" i="62"/>
  <c r="H141" i="62"/>
  <c r="H153" i="62"/>
  <c r="H165" i="62"/>
  <c r="H177" i="62"/>
  <c r="E12" i="62"/>
  <c r="E24" i="62"/>
  <c r="E36" i="62"/>
  <c r="E48" i="62"/>
  <c r="E60" i="62"/>
  <c r="E72" i="62"/>
  <c r="E84" i="62"/>
  <c r="E96" i="62"/>
  <c r="E108" i="62"/>
  <c r="E120" i="62"/>
  <c r="E132" i="62"/>
  <c r="E144" i="62"/>
  <c r="E156" i="62"/>
  <c r="E168" i="62"/>
  <c r="F168" i="62"/>
  <c r="F156" i="62"/>
  <c r="F144" i="62"/>
  <c r="F132" i="62"/>
  <c r="F120" i="62"/>
  <c r="F108" i="62"/>
  <c r="F96" i="62"/>
  <c r="F84" i="62"/>
  <c r="F72" i="62"/>
  <c r="F60" i="62"/>
  <c r="F48" i="62"/>
  <c r="F36" i="62"/>
  <c r="F24" i="62"/>
  <c r="F12" i="62"/>
  <c r="G168" i="62"/>
  <c r="G156" i="62"/>
  <c r="G144" i="62"/>
  <c r="G132" i="62"/>
  <c r="G120" i="62"/>
  <c r="G108" i="62"/>
  <c r="G96" i="62"/>
  <c r="G84" i="62"/>
  <c r="G72" i="62"/>
  <c r="G60" i="62"/>
  <c r="G48" i="62"/>
  <c r="G36" i="62"/>
  <c r="G24" i="62"/>
  <c r="G12" i="62"/>
  <c r="H22" i="62"/>
  <c r="H34" i="62"/>
  <c r="H46" i="62"/>
  <c r="H58" i="62"/>
  <c r="H70" i="62"/>
  <c r="H82" i="62"/>
  <c r="H94" i="62"/>
  <c r="H106" i="62"/>
  <c r="H118" i="62"/>
  <c r="H130" i="62"/>
  <c r="H142" i="62"/>
  <c r="H154" i="62"/>
  <c r="H166" i="62"/>
  <c r="H178" i="62"/>
  <c r="E13" i="62"/>
  <c r="E25" i="62"/>
  <c r="E37" i="62"/>
  <c r="E49" i="62"/>
  <c r="E61" i="62"/>
  <c r="E73" i="62"/>
  <c r="E85" i="62"/>
  <c r="E97" i="62"/>
  <c r="E109" i="62"/>
  <c r="E121" i="62"/>
  <c r="E133" i="62"/>
  <c r="E145" i="62"/>
  <c r="E157" i="62"/>
  <c r="E169" i="62"/>
  <c r="F11" i="62"/>
  <c r="F167" i="62"/>
  <c r="F155" i="62"/>
  <c r="F143" i="62"/>
  <c r="F131" i="62"/>
  <c r="F119" i="62"/>
  <c r="F107" i="62"/>
  <c r="F95" i="62"/>
  <c r="F83" i="62"/>
  <c r="F71" i="62"/>
  <c r="F59" i="62"/>
  <c r="F47" i="62"/>
  <c r="F35" i="62"/>
  <c r="F23" i="62"/>
  <c r="G11" i="62"/>
  <c r="G167" i="62"/>
  <c r="G155" i="62"/>
  <c r="G143" i="62"/>
  <c r="G131" i="62"/>
  <c r="G119" i="62"/>
  <c r="G107" i="62"/>
  <c r="G95" i="62"/>
  <c r="G83" i="62"/>
  <c r="G71" i="62"/>
  <c r="G59" i="62"/>
  <c r="G47" i="62"/>
  <c r="G35" i="62"/>
  <c r="G23" i="62"/>
  <c r="H11" i="62"/>
  <c r="H23" i="62"/>
  <c r="H35" i="62"/>
  <c r="H47" i="62"/>
  <c r="H59" i="62"/>
  <c r="H71" i="62"/>
  <c r="H83" i="62"/>
  <c r="H95" i="62"/>
  <c r="H107" i="62"/>
  <c r="H119" i="62"/>
  <c r="H131" i="62"/>
  <c r="H143" i="62"/>
  <c r="H155" i="62"/>
  <c r="H167" i="62"/>
  <c r="I155" i="62"/>
  <c r="L178" i="62"/>
  <c r="J39" i="62"/>
  <c r="I158" i="62"/>
  <c r="M158" i="62" s="1"/>
  <c r="Q158" i="62" s="1"/>
  <c r="J26" i="62"/>
  <c r="J65" i="62"/>
  <c r="I56" i="62"/>
  <c r="I26" i="62"/>
  <c r="I53" i="62"/>
  <c r="I146" i="62"/>
  <c r="J11" i="62"/>
  <c r="J14" i="62"/>
  <c r="N14" i="62" s="1"/>
  <c r="R14" i="62" s="1"/>
  <c r="J17" i="62"/>
  <c r="J20" i="62"/>
  <c r="J23" i="62"/>
  <c r="J29" i="62"/>
  <c r="J32" i="62"/>
  <c r="J35" i="62"/>
  <c r="J38" i="62"/>
  <c r="J41" i="62"/>
  <c r="J44" i="62"/>
  <c r="J47" i="62"/>
  <c r="J50" i="62"/>
  <c r="J53" i="62"/>
  <c r="J56" i="62"/>
  <c r="N56" i="62" s="1"/>
  <c r="R56" i="62" s="1"/>
  <c r="J59" i="62"/>
  <c r="J62" i="62"/>
  <c r="J68" i="62"/>
  <c r="J71" i="62"/>
  <c r="J74" i="62"/>
  <c r="J77" i="62"/>
  <c r="J80" i="62"/>
  <c r="J83" i="62"/>
  <c r="J86" i="62"/>
  <c r="J89" i="62"/>
  <c r="J92" i="62"/>
  <c r="J95" i="62"/>
  <c r="J98" i="62"/>
  <c r="J101" i="62"/>
  <c r="J104" i="62"/>
  <c r="J107" i="62"/>
  <c r="J110" i="62"/>
  <c r="J113" i="62"/>
  <c r="J116" i="62"/>
  <c r="J119" i="62"/>
  <c r="J122" i="62"/>
  <c r="J125" i="62"/>
  <c r="J128" i="62"/>
  <c r="J131" i="62"/>
  <c r="J134" i="62"/>
  <c r="J137" i="62"/>
  <c r="J140" i="62"/>
  <c r="J143" i="62"/>
  <c r="J146" i="62"/>
  <c r="J149" i="62"/>
  <c r="J152" i="62"/>
  <c r="J155" i="62"/>
  <c r="J158" i="62"/>
  <c r="J161" i="62"/>
  <c r="J164" i="62"/>
  <c r="J167" i="62"/>
  <c r="J170" i="62"/>
  <c r="J173" i="62"/>
  <c r="J176" i="62"/>
  <c r="I83" i="62"/>
  <c r="I101" i="62"/>
  <c r="I125" i="62"/>
  <c r="I167" i="62"/>
  <c r="K11" i="62"/>
  <c r="K14" i="62"/>
  <c r="K17" i="62"/>
  <c r="K20" i="62"/>
  <c r="K23" i="62"/>
  <c r="K26" i="62"/>
  <c r="K29" i="62"/>
  <c r="K32" i="62"/>
  <c r="K35" i="62"/>
  <c r="K38" i="62"/>
  <c r="K41" i="62"/>
  <c r="K44" i="62"/>
  <c r="O44" i="62" s="1"/>
  <c r="S44" i="62" s="1"/>
  <c r="K47" i="62"/>
  <c r="K50" i="62"/>
  <c r="K53" i="62"/>
  <c r="K56" i="62"/>
  <c r="K59" i="62"/>
  <c r="K62" i="62"/>
  <c r="K65" i="62"/>
  <c r="K68" i="62"/>
  <c r="K71" i="62"/>
  <c r="K74" i="62"/>
  <c r="K77" i="62"/>
  <c r="K80" i="62"/>
  <c r="K83" i="62"/>
  <c r="K86" i="62"/>
  <c r="K89" i="62"/>
  <c r="K92" i="62"/>
  <c r="K95" i="62"/>
  <c r="K98" i="62"/>
  <c r="K101" i="62"/>
  <c r="K104" i="62"/>
  <c r="K107" i="62"/>
  <c r="K110" i="62"/>
  <c r="K113" i="62"/>
  <c r="K116" i="62"/>
  <c r="K119" i="62"/>
  <c r="K122" i="62"/>
  <c r="K125" i="62"/>
  <c r="K128" i="62"/>
  <c r="K131" i="62"/>
  <c r="K134" i="62"/>
  <c r="K137" i="62"/>
  <c r="K140" i="62"/>
  <c r="K143" i="62"/>
  <c r="K146" i="62"/>
  <c r="K149" i="62"/>
  <c r="K152" i="62"/>
  <c r="K155" i="62"/>
  <c r="K158" i="62"/>
  <c r="K161" i="62"/>
  <c r="K164" i="62"/>
  <c r="K167" i="62"/>
  <c r="K170" i="62"/>
  <c r="K173" i="62"/>
  <c r="K176" i="62"/>
  <c r="I35" i="62"/>
  <c r="I74" i="62"/>
  <c r="I95" i="62"/>
  <c r="I122" i="62"/>
  <c r="I164" i="62"/>
  <c r="L11" i="62"/>
  <c r="L14" i="62"/>
  <c r="P14" i="62" s="1"/>
  <c r="T14" i="62" s="1"/>
  <c r="L17" i="62"/>
  <c r="L20" i="62"/>
  <c r="L23" i="62"/>
  <c r="L26" i="62"/>
  <c r="L29" i="62"/>
  <c r="L32" i="62"/>
  <c r="L35" i="62"/>
  <c r="L38" i="62"/>
  <c r="L41" i="62"/>
  <c r="L44" i="62"/>
  <c r="L47" i="62"/>
  <c r="L50" i="62"/>
  <c r="L53" i="62"/>
  <c r="L56" i="62"/>
  <c r="L59" i="62"/>
  <c r="L62" i="62"/>
  <c r="L65" i="62"/>
  <c r="L68" i="62"/>
  <c r="L71" i="62"/>
  <c r="L74" i="62"/>
  <c r="L77" i="62"/>
  <c r="L80" i="62"/>
  <c r="L83" i="62"/>
  <c r="L86" i="62"/>
  <c r="L89" i="62"/>
  <c r="L92" i="62"/>
  <c r="L95" i="62"/>
  <c r="L98" i="62"/>
  <c r="L101" i="62"/>
  <c r="L104" i="62"/>
  <c r="L107" i="62"/>
  <c r="L110" i="62"/>
  <c r="P110" i="62" s="1"/>
  <c r="T110" i="62" s="1"/>
  <c r="L113" i="62"/>
  <c r="L116" i="62"/>
  <c r="L119" i="62"/>
  <c r="L122" i="62"/>
  <c r="L125" i="62"/>
  <c r="L128" i="62"/>
  <c r="L131" i="62"/>
  <c r="L134" i="62"/>
  <c r="L137" i="62"/>
  <c r="L140" i="62"/>
  <c r="L143" i="62"/>
  <c r="L146" i="62"/>
  <c r="L149" i="62"/>
  <c r="L152" i="62"/>
  <c r="L155" i="62"/>
  <c r="L158" i="62"/>
  <c r="L161" i="62"/>
  <c r="L164" i="62"/>
  <c r="L167" i="62"/>
  <c r="L170" i="62"/>
  <c r="L173" i="62"/>
  <c r="L176" i="62"/>
  <c r="I14" i="62"/>
  <c r="I41" i="62"/>
  <c r="I68" i="62"/>
  <c r="I104" i="62"/>
  <c r="I128" i="62"/>
  <c r="I152" i="62"/>
  <c r="I12" i="62"/>
  <c r="I15" i="62"/>
  <c r="I18" i="62"/>
  <c r="I21" i="62"/>
  <c r="I24" i="62"/>
  <c r="I27" i="62"/>
  <c r="M27" i="62" s="1"/>
  <c r="Q27" i="62" s="1"/>
  <c r="I33" i="62"/>
  <c r="I36" i="62"/>
  <c r="I39" i="62"/>
  <c r="I42" i="62"/>
  <c r="I45" i="62"/>
  <c r="I48" i="62"/>
  <c r="I51" i="62"/>
  <c r="M51" i="62" s="1"/>
  <c r="Q51" i="62" s="1"/>
  <c r="I54" i="62"/>
  <c r="I57" i="62"/>
  <c r="I60" i="62"/>
  <c r="I63" i="62"/>
  <c r="I66" i="62"/>
  <c r="I69" i="62"/>
  <c r="I72" i="62"/>
  <c r="I75" i="62"/>
  <c r="M75" i="62" s="1"/>
  <c r="Q75" i="62" s="1"/>
  <c r="I78" i="62"/>
  <c r="I81" i="62"/>
  <c r="I84" i="62"/>
  <c r="M84" i="62" s="1"/>
  <c r="Q84" i="62" s="1"/>
  <c r="I87" i="62"/>
  <c r="I90" i="62"/>
  <c r="I93" i="62"/>
  <c r="I96" i="62"/>
  <c r="I99" i="62"/>
  <c r="I102" i="62"/>
  <c r="I105" i="62"/>
  <c r="I108" i="62"/>
  <c r="I111" i="62"/>
  <c r="I114" i="62"/>
  <c r="I117" i="62"/>
  <c r="I120" i="62"/>
  <c r="I123" i="62"/>
  <c r="M123" i="62" s="1"/>
  <c r="Q123" i="62" s="1"/>
  <c r="I126" i="62"/>
  <c r="I129" i="62"/>
  <c r="I132" i="62"/>
  <c r="I135" i="62"/>
  <c r="M135" i="62" s="1"/>
  <c r="Q135" i="62" s="1"/>
  <c r="I138" i="62"/>
  <c r="I141" i="62"/>
  <c r="I144" i="62"/>
  <c r="I147" i="62"/>
  <c r="I150" i="62"/>
  <c r="I153" i="62"/>
  <c r="I156" i="62"/>
  <c r="I159" i="62"/>
  <c r="I162" i="62"/>
  <c r="I165" i="62"/>
  <c r="I168" i="62"/>
  <c r="I171" i="62"/>
  <c r="I174" i="62"/>
  <c r="I177" i="62"/>
  <c r="I32" i="62"/>
  <c r="I59" i="62"/>
  <c r="I86" i="62"/>
  <c r="M86" i="62" s="1"/>
  <c r="Q86" i="62" s="1"/>
  <c r="I110" i="62"/>
  <c r="I137" i="62"/>
  <c r="M137" i="62" s="1"/>
  <c r="Q137" i="62" s="1"/>
  <c r="I161" i="62"/>
  <c r="J12" i="62"/>
  <c r="J15" i="62"/>
  <c r="J18" i="62"/>
  <c r="J21" i="62"/>
  <c r="J24" i="62"/>
  <c r="J27" i="62"/>
  <c r="J33" i="62"/>
  <c r="J36" i="62"/>
  <c r="J42" i="62"/>
  <c r="J45" i="62"/>
  <c r="J48" i="62"/>
  <c r="J51" i="62"/>
  <c r="J54" i="62"/>
  <c r="J57" i="62"/>
  <c r="J60" i="62"/>
  <c r="J63" i="62"/>
  <c r="J66" i="62"/>
  <c r="J69" i="62"/>
  <c r="N69" i="62" s="1"/>
  <c r="R69" i="62" s="1"/>
  <c r="J72" i="62"/>
  <c r="J75" i="62"/>
  <c r="J78" i="62"/>
  <c r="J81" i="62"/>
  <c r="J84" i="62"/>
  <c r="J87" i="62"/>
  <c r="J90" i="62"/>
  <c r="J93" i="62"/>
  <c r="N93" i="62" s="1"/>
  <c r="R93" i="62" s="1"/>
  <c r="J96" i="62"/>
  <c r="J99" i="62"/>
  <c r="J102" i="62"/>
  <c r="J105" i="62"/>
  <c r="J108" i="62"/>
  <c r="J111" i="62"/>
  <c r="J114" i="62"/>
  <c r="J117" i="62"/>
  <c r="J120" i="62"/>
  <c r="J123" i="62"/>
  <c r="J126" i="62"/>
  <c r="J129" i="62"/>
  <c r="N129" i="62" s="1"/>
  <c r="R129" i="62" s="1"/>
  <c r="J132" i="62"/>
  <c r="J135" i="62"/>
  <c r="J138" i="62"/>
  <c r="J141" i="62"/>
  <c r="N141" i="62" s="1"/>
  <c r="R141" i="62" s="1"/>
  <c r="J144" i="62"/>
  <c r="J147" i="62"/>
  <c r="J150" i="62"/>
  <c r="J153" i="62"/>
  <c r="J156" i="62"/>
  <c r="J159" i="62"/>
  <c r="J162" i="62"/>
  <c r="J165" i="62"/>
  <c r="N165" i="62" s="1"/>
  <c r="R165" i="62" s="1"/>
  <c r="J168" i="62"/>
  <c r="J171" i="62"/>
  <c r="J174" i="62"/>
  <c r="J177" i="62"/>
  <c r="I23" i="62"/>
  <c r="I47" i="62"/>
  <c r="I77" i="62"/>
  <c r="I113" i="62"/>
  <c r="I176" i="62"/>
  <c r="K12" i="62"/>
  <c r="K15" i="62"/>
  <c r="K18" i="62"/>
  <c r="K21" i="62"/>
  <c r="O21" i="62" s="1"/>
  <c r="S21" i="62" s="1"/>
  <c r="K24" i="62"/>
  <c r="K27" i="62"/>
  <c r="K33" i="62"/>
  <c r="K36" i="62"/>
  <c r="K39" i="62"/>
  <c r="K42" i="62"/>
  <c r="K45" i="62"/>
  <c r="O45" i="62" s="1"/>
  <c r="S45" i="62" s="1"/>
  <c r="K48" i="62"/>
  <c r="K51" i="62"/>
  <c r="K54" i="62"/>
  <c r="K57" i="62"/>
  <c r="K60" i="62"/>
  <c r="K63" i="62"/>
  <c r="K66" i="62"/>
  <c r="K69" i="62"/>
  <c r="K72" i="62"/>
  <c r="K75" i="62"/>
  <c r="K78" i="62"/>
  <c r="K81" i="62"/>
  <c r="K84" i="62"/>
  <c r="K87" i="62"/>
  <c r="K90" i="62"/>
  <c r="K93" i="62"/>
  <c r="K96" i="62"/>
  <c r="K99" i="62"/>
  <c r="K102" i="62"/>
  <c r="K105" i="62"/>
  <c r="O105" i="62" s="1"/>
  <c r="S105" i="62" s="1"/>
  <c r="K108" i="62"/>
  <c r="K111" i="62"/>
  <c r="K114" i="62"/>
  <c r="K117" i="62"/>
  <c r="O117" i="62" s="1"/>
  <c r="S117" i="62" s="1"/>
  <c r="K120" i="62"/>
  <c r="K123" i="62"/>
  <c r="K126" i="62"/>
  <c r="K129" i="62"/>
  <c r="K132" i="62"/>
  <c r="K135" i="62"/>
  <c r="O135" i="62" s="1"/>
  <c r="S135" i="62" s="1"/>
  <c r="K138" i="62"/>
  <c r="K141" i="62"/>
  <c r="K144" i="62"/>
  <c r="K147" i="62"/>
  <c r="K150" i="62"/>
  <c r="K153" i="62"/>
  <c r="K156" i="62"/>
  <c r="K159" i="62"/>
  <c r="K162" i="62"/>
  <c r="K165" i="62"/>
  <c r="K168" i="62"/>
  <c r="K171" i="62"/>
  <c r="K174" i="62"/>
  <c r="K177" i="62"/>
  <c r="I17" i="62"/>
  <c r="I44" i="62"/>
  <c r="I71" i="62"/>
  <c r="I89" i="62"/>
  <c r="I116" i="62"/>
  <c r="I143" i="62"/>
  <c r="M143" i="62" s="1"/>
  <c r="Q143" i="62" s="1"/>
  <c r="I170" i="62"/>
  <c r="L12" i="62"/>
  <c r="P12" i="62" s="1"/>
  <c r="T12" i="62" s="1"/>
  <c r="L15" i="62"/>
  <c r="L18" i="62"/>
  <c r="L21" i="62"/>
  <c r="L24" i="62"/>
  <c r="L27" i="62"/>
  <c r="L33" i="62"/>
  <c r="L36" i="62"/>
  <c r="L39" i="62"/>
  <c r="L42" i="62"/>
  <c r="L45" i="62"/>
  <c r="L48" i="62"/>
  <c r="L51" i="62"/>
  <c r="L54" i="62"/>
  <c r="L57" i="62"/>
  <c r="L60" i="62"/>
  <c r="L63" i="62"/>
  <c r="L66" i="62"/>
  <c r="L69" i="62"/>
  <c r="L72" i="62"/>
  <c r="P72" i="62" s="1"/>
  <c r="T72" i="62" s="1"/>
  <c r="L75" i="62"/>
  <c r="L78" i="62"/>
  <c r="L81" i="62"/>
  <c r="L84" i="62"/>
  <c r="P84" i="62" s="1"/>
  <c r="T84" i="62" s="1"/>
  <c r="L87" i="62"/>
  <c r="L90" i="62"/>
  <c r="L93" i="62"/>
  <c r="L96" i="62"/>
  <c r="L99" i="62"/>
  <c r="L102" i="62"/>
  <c r="L105" i="62"/>
  <c r="L108" i="62"/>
  <c r="P108" i="62" s="1"/>
  <c r="T108" i="62" s="1"/>
  <c r="L111" i="62"/>
  <c r="L114" i="62"/>
  <c r="L117" i="62"/>
  <c r="L120" i="62"/>
  <c r="L123" i="62"/>
  <c r="L126" i="62"/>
  <c r="L129" i="62"/>
  <c r="L132" i="62"/>
  <c r="P132" i="62" s="1"/>
  <c r="T132" i="62" s="1"/>
  <c r="L135" i="62"/>
  <c r="L138" i="62"/>
  <c r="L141" i="62"/>
  <c r="L144" i="62"/>
  <c r="L147" i="62"/>
  <c r="L150" i="62"/>
  <c r="L153" i="62"/>
  <c r="L156" i="62"/>
  <c r="P156" i="62" s="1"/>
  <c r="T156" i="62" s="1"/>
  <c r="L159" i="62"/>
  <c r="L162" i="62"/>
  <c r="P162" i="62" s="1"/>
  <c r="T162" i="62" s="1"/>
  <c r="L165" i="62"/>
  <c r="L168" i="62"/>
  <c r="P168" i="62" s="1"/>
  <c r="T168" i="62" s="1"/>
  <c r="L171" i="62"/>
  <c r="L174" i="62"/>
  <c r="L177" i="62"/>
  <c r="I13" i="62"/>
  <c r="I16" i="62"/>
  <c r="I19" i="62"/>
  <c r="I22" i="62"/>
  <c r="I25" i="62"/>
  <c r="I28" i="62"/>
  <c r="I31" i="62"/>
  <c r="I34" i="62"/>
  <c r="I37" i="62"/>
  <c r="I40" i="62"/>
  <c r="I43" i="62"/>
  <c r="I46" i="62"/>
  <c r="I49" i="62"/>
  <c r="I52" i="62"/>
  <c r="I55" i="62"/>
  <c r="I58" i="62"/>
  <c r="M58" i="62" s="1"/>
  <c r="Q58" i="62" s="1"/>
  <c r="I61" i="62"/>
  <c r="I64" i="62"/>
  <c r="I67" i="62"/>
  <c r="I70" i="62"/>
  <c r="I73" i="62"/>
  <c r="I76" i="62"/>
  <c r="I79" i="62"/>
  <c r="I82" i="62"/>
  <c r="I85" i="62"/>
  <c r="I88" i="62"/>
  <c r="I91" i="62"/>
  <c r="M91" i="62" s="1"/>
  <c r="Q91" i="62" s="1"/>
  <c r="I94" i="62"/>
  <c r="I97" i="62"/>
  <c r="I100" i="62"/>
  <c r="I103" i="62"/>
  <c r="I106" i="62"/>
  <c r="I109" i="62"/>
  <c r="I112" i="62"/>
  <c r="I115" i="62"/>
  <c r="I118" i="62"/>
  <c r="I121" i="62"/>
  <c r="I124" i="62"/>
  <c r="I127" i="62"/>
  <c r="M127" i="62" s="1"/>
  <c r="Q127" i="62" s="1"/>
  <c r="I130" i="62"/>
  <c r="I133" i="62"/>
  <c r="I136" i="62"/>
  <c r="I139" i="62"/>
  <c r="I142" i="62"/>
  <c r="I145" i="62"/>
  <c r="I148" i="62"/>
  <c r="I151" i="62"/>
  <c r="I154" i="62"/>
  <c r="I157" i="62"/>
  <c r="I160" i="62"/>
  <c r="I163" i="62"/>
  <c r="I166" i="62"/>
  <c r="I169" i="62"/>
  <c r="I172" i="62"/>
  <c r="I175" i="62"/>
  <c r="I178" i="62"/>
  <c r="I29" i="62"/>
  <c r="I62" i="62"/>
  <c r="M62" i="62" s="1"/>
  <c r="Q62" i="62" s="1"/>
  <c r="I92" i="62"/>
  <c r="I119" i="62"/>
  <c r="I140" i="62"/>
  <c r="I173" i="62"/>
  <c r="J13" i="62"/>
  <c r="J16" i="62"/>
  <c r="J19" i="62"/>
  <c r="J22" i="62"/>
  <c r="J25" i="62"/>
  <c r="J28" i="62"/>
  <c r="J31" i="62"/>
  <c r="J34" i="62"/>
  <c r="J37" i="62"/>
  <c r="J40" i="62"/>
  <c r="J43" i="62"/>
  <c r="J46" i="62"/>
  <c r="N46" i="62" s="1"/>
  <c r="R46" i="62" s="1"/>
  <c r="J49" i="62"/>
  <c r="J52" i="62"/>
  <c r="J55" i="62"/>
  <c r="N55" i="62" s="1"/>
  <c r="R55" i="62" s="1"/>
  <c r="J58" i="62"/>
  <c r="J61" i="62"/>
  <c r="J64" i="62"/>
  <c r="J67" i="62"/>
  <c r="J70" i="62"/>
  <c r="J73" i="62"/>
  <c r="J76" i="62"/>
  <c r="J79" i="62"/>
  <c r="J82" i="62"/>
  <c r="N82" i="62" s="1"/>
  <c r="R82" i="62" s="1"/>
  <c r="J85" i="62"/>
  <c r="J88" i="62"/>
  <c r="J91" i="62"/>
  <c r="J94" i="62"/>
  <c r="J97" i="62"/>
  <c r="J100" i="62"/>
  <c r="J103" i="62"/>
  <c r="J106" i="62"/>
  <c r="J109" i="62"/>
  <c r="J112" i="62"/>
  <c r="J115" i="62"/>
  <c r="J118" i="62"/>
  <c r="J121" i="62"/>
  <c r="J124" i="62"/>
  <c r="J127" i="62"/>
  <c r="J130" i="62"/>
  <c r="J133" i="62"/>
  <c r="J136" i="62"/>
  <c r="J139" i="62"/>
  <c r="J142" i="62"/>
  <c r="N142" i="62" s="1"/>
  <c r="R142" i="62" s="1"/>
  <c r="J145" i="62"/>
  <c r="J148" i="62"/>
  <c r="J151" i="62"/>
  <c r="J154" i="62"/>
  <c r="N154" i="62" s="1"/>
  <c r="R154" i="62" s="1"/>
  <c r="J157" i="62"/>
  <c r="J160" i="62"/>
  <c r="J163" i="62"/>
  <c r="J166" i="62"/>
  <c r="N166" i="62" s="1"/>
  <c r="R166" i="62" s="1"/>
  <c r="J169" i="62"/>
  <c r="N169" i="62" s="1"/>
  <c r="R169" i="62" s="1"/>
  <c r="J172" i="62"/>
  <c r="J175" i="62"/>
  <c r="J178" i="62"/>
  <c r="I20" i="62"/>
  <c r="I50" i="62"/>
  <c r="I80" i="62"/>
  <c r="I107" i="62"/>
  <c r="I131" i="62"/>
  <c r="I149" i="62"/>
  <c r="K13" i="62"/>
  <c r="K16" i="62"/>
  <c r="K19" i="62"/>
  <c r="K22" i="62"/>
  <c r="O22" i="62" s="1"/>
  <c r="S22" i="62" s="1"/>
  <c r="K25" i="62"/>
  <c r="K28" i="62"/>
  <c r="K31" i="62"/>
  <c r="K34" i="62"/>
  <c r="K37" i="62"/>
  <c r="K40" i="62"/>
  <c r="K43" i="62"/>
  <c r="K46" i="62"/>
  <c r="O46" i="62" s="1"/>
  <c r="S46" i="62" s="1"/>
  <c r="K49" i="62"/>
  <c r="K52" i="62"/>
  <c r="K55" i="62"/>
  <c r="O55" i="62" s="1"/>
  <c r="S55" i="62" s="1"/>
  <c r="K58" i="62"/>
  <c r="O58" i="62" s="1"/>
  <c r="S58" i="62" s="1"/>
  <c r="K61" i="62"/>
  <c r="K64" i="62"/>
  <c r="K67" i="62"/>
  <c r="K70" i="62"/>
  <c r="K73" i="62"/>
  <c r="K76" i="62"/>
  <c r="K79" i="62"/>
  <c r="K82" i="62"/>
  <c r="K85" i="62"/>
  <c r="K88" i="62"/>
  <c r="K91" i="62"/>
  <c r="K94" i="62"/>
  <c r="K97" i="62"/>
  <c r="K100" i="62"/>
  <c r="K103" i="62"/>
  <c r="K106" i="62"/>
  <c r="K109" i="62"/>
  <c r="K112" i="62"/>
  <c r="O112" i="62" s="1"/>
  <c r="S112" i="62" s="1"/>
  <c r="K115" i="62"/>
  <c r="O115" i="62" s="1"/>
  <c r="S115" i="62" s="1"/>
  <c r="K118" i="62"/>
  <c r="K121" i="62"/>
  <c r="K124" i="62"/>
  <c r="K127" i="62"/>
  <c r="K130" i="62"/>
  <c r="K133" i="62"/>
  <c r="K136" i="62"/>
  <c r="K139" i="62"/>
  <c r="K142" i="62"/>
  <c r="O142" i="62" s="1"/>
  <c r="S142" i="62" s="1"/>
  <c r="K145" i="62"/>
  <c r="K148" i="62"/>
  <c r="K151" i="62"/>
  <c r="O151" i="62" s="1"/>
  <c r="S151" i="62" s="1"/>
  <c r="K154" i="62"/>
  <c r="O154" i="62" s="1"/>
  <c r="S154" i="62" s="1"/>
  <c r="K157" i="62"/>
  <c r="K160" i="62"/>
  <c r="K163" i="62"/>
  <c r="K166" i="62"/>
  <c r="K169" i="62"/>
  <c r="O169" i="62" s="1"/>
  <c r="S169" i="62" s="1"/>
  <c r="K172" i="62"/>
  <c r="K175" i="62"/>
  <c r="K178" i="62"/>
  <c r="I11" i="62"/>
  <c r="I38" i="62"/>
  <c r="I65" i="62"/>
  <c r="I98" i="62"/>
  <c r="I134" i="62"/>
  <c r="L13" i="62"/>
  <c r="L16" i="62"/>
  <c r="L19" i="62"/>
  <c r="L22" i="62"/>
  <c r="L25" i="62"/>
  <c r="P25" i="62" s="1"/>
  <c r="T25" i="62" s="1"/>
  <c r="L28" i="62"/>
  <c r="L31" i="62"/>
  <c r="L34" i="62"/>
  <c r="L37" i="62"/>
  <c r="L40" i="62"/>
  <c r="L43" i="62"/>
  <c r="L46" i="62"/>
  <c r="L49" i="62"/>
  <c r="L52" i="62"/>
  <c r="L55" i="62"/>
  <c r="L58" i="62"/>
  <c r="L61" i="62"/>
  <c r="L64" i="62"/>
  <c r="P64" i="62" s="1"/>
  <c r="T64" i="62" s="1"/>
  <c r="L67" i="62"/>
  <c r="L70" i="62"/>
  <c r="L73" i="62"/>
  <c r="P73" i="62" s="1"/>
  <c r="T73" i="62" s="1"/>
  <c r="L76" i="62"/>
  <c r="L79" i="62"/>
  <c r="L82" i="62"/>
  <c r="L85" i="62"/>
  <c r="L88" i="62"/>
  <c r="L91" i="62"/>
  <c r="L94" i="62"/>
  <c r="P94" i="62" s="1"/>
  <c r="T94" i="62" s="1"/>
  <c r="L97" i="62"/>
  <c r="L100" i="62"/>
  <c r="L103" i="62"/>
  <c r="L106" i="62"/>
  <c r="L109" i="62"/>
  <c r="L112" i="62"/>
  <c r="L115" i="62"/>
  <c r="L118" i="62"/>
  <c r="L121" i="62"/>
  <c r="P121" i="62" s="1"/>
  <c r="T121" i="62" s="1"/>
  <c r="L124" i="62"/>
  <c r="L127" i="62"/>
  <c r="L130" i="62"/>
  <c r="L133" i="62"/>
  <c r="L136" i="62"/>
  <c r="L139" i="62"/>
  <c r="L142" i="62"/>
  <c r="L145" i="62"/>
  <c r="L148" i="62"/>
  <c r="L151" i="62"/>
  <c r="L154" i="62"/>
  <c r="L157" i="62"/>
  <c r="L160" i="62"/>
  <c r="P160" i="62" s="1"/>
  <c r="T160" i="62" s="1"/>
  <c r="L163" i="62"/>
  <c r="L166" i="62"/>
  <c r="L169" i="62"/>
  <c r="P169" i="62" s="1"/>
  <c r="T169" i="62" s="1"/>
  <c r="L172" i="62"/>
  <c r="L175" i="62"/>
  <c r="B73" i="62"/>
  <c r="A73" i="62" s="1"/>
  <c r="B25" i="62"/>
  <c r="A25" i="62" s="1"/>
  <c r="B131" i="62"/>
  <c r="A131" i="62" s="1"/>
  <c r="B130" i="62"/>
  <c r="A130" i="62" s="1"/>
  <c r="B145" i="62"/>
  <c r="A145" i="62" s="1"/>
  <c r="B155" i="62"/>
  <c r="A155" i="62" s="1"/>
  <c r="B120" i="62"/>
  <c r="A120" i="62" s="1"/>
  <c r="B154" i="62"/>
  <c r="A154" i="62" s="1"/>
  <c r="B84" i="62"/>
  <c r="A84" i="62" s="1"/>
  <c r="B82" i="62"/>
  <c r="A82" i="62" s="1"/>
  <c r="B63" i="62"/>
  <c r="A63" i="62" s="1"/>
  <c r="B57" i="62"/>
  <c r="A57" i="62" s="1"/>
  <c r="B172" i="62"/>
  <c r="A172" i="62" s="1"/>
  <c r="B64" i="62"/>
  <c r="A64" i="62" s="1"/>
  <c r="B35" i="62"/>
  <c r="A35" i="62" s="1"/>
  <c r="B178" i="62"/>
  <c r="A178" i="62" s="1"/>
  <c r="B143" i="62"/>
  <c r="A143" i="62" s="1"/>
  <c r="B36" i="62"/>
  <c r="A36" i="62" s="1"/>
  <c r="B95" i="62"/>
  <c r="A95" i="62" s="1"/>
  <c r="B118" i="62"/>
  <c r="A118" i="62" s="1"/>
  <c r="B23" i="62"/>
  <c r="A23" i="62" s="1"/>
  <c r="B22" i="62"/>
  <c r="A22" i="62" s="1"/>
  <c r="B50" i="62"/>
  <c r="A50" i="62" s="1"/>
  <c r="M26" i="62"/>
  <c r="Q26" i="62" s="1"/>
  <c r="M3" i="62"/>
  <c r="O3" i="62"/>
  <c r="P133" i="62" l="1"/>
  <c r="T133" i="62" s="1"/>
  <c r="P37" i="62"/>
  <c r="T37" i="62" s="1"/>
  <c r="N118" i="62"/>
  <c r="R118" i="62" s="1"/>
  <c r="O177" i="62"/>
  <c r="S177" i="62" s="1"/>
  <c r="N130" i="62"/>
  <c r="R130" i="62" s="1"/>
  <c r="N105" i="62"/>
  <c r="R105" i="62" s="1"/>
  <c r="P96" i="62"/>
  <c r="T96" i="62" s="1"/>
  <c r="M63" i="62"/>
  <c r="Q63" i="62" s="1"/>
  <c r="M30" i="62"/>
  <c r="Q30" i="62" s="1"/>
  <c r="O130" i="62"/>
  <c r="S130" i="62" s="1"/>
  <c r="O34" i="62"/>
  <c r="S34" i="62" s="1"/>
  <c r="N21" i="62"/>
  <c r="R21" i="62" s="1"/>
  <c r="K87" i="64"/>
  <c r="I6" i="66" s="1"/>
  <c r="I87" i="64"/>
  <c r="I4" i="64" s="1"/>
  <c r="J87" i="64"/>
  <c r="H6" i="66" s="1"/>
  <c r="L6" i="66" s="1"/>
  <c r="N54" i="62"/>
  <c r="R54" i="62" s="1"/>
  <c r="M99" i="62"/>
  <c r="Q99" i="62" s="1"/>
  <c r="O178" i="62"/>
  <c r="S178" i="62" s="1"/>
  <c r="O82" i="62"/>
  <c r="S82" i="62" s="1"/>
  <c r="M122" i="62"/>
  <c r="Q122" i="62" s="1"/>
  <c r="P144" i="62"/>
  <c r="T144" i="62" s="1"/>
  <c r="M113" i="62"/>
  <c r="Q113" i="62" s="1"/>
  <c r="N176" i="62"/>
  <c r="R176" i="62" s="1"/>
  <c r="N106" i="62"/>
  <c r="R106" i="62" s="1"/>
  <c r="M146" i="62"/>
  <c r="Q146" i="62" s="1"/>
  <c r="M117" i="62"/>
  <c r="Q117" i="62" s="1"/>
  <c r="O129" i="62"/>
  <c r="S129" i="62" s="1"/>
  <c r="O33" i="62"/>
  <c r="S33" i="62" s="1"/>
  <c r="O166" i="62"/>
  <c r="S166" i="62" s="1"/>
  <c r="O70" i="62"/>
  <c r="S70" i="62" s="1"/>
  <c r="O123" i="62"/>
  <c r="S123" i="62" s="1"/>
  <c r="P89" i="62"/>
  <c r="T89" i="62" s="1"/>
  <c r="O32" i="62"/>
  <c r="S32" i="62" s="1"/>
  <c r="O29" i="62"/>
  <c r="S29" i="62" s="1"/>
  <c r="O26" i="62"/>
  <c r="S26" i="62" s="1"/>
  <c r="O150" i="62"/>
  <c r="S150" i="62" s="1"/>
  <c r="M61" i="62"/>
  <c r="Q61" i="62" s="1"/>
  <c r="G5" i="66"/>
  <c r="O72" i="62"/>
  <c r="S72" i="62" s="1"/>
  <c r="O74" i="62"/>
  <c r="S74" i="62" s="1"/>
  <c r="O170" i="62"/>
  <c r="S170" i="62" s="1"/>
  <c r="M70" i="62"/>
  <c r="Q70" i="62" s="1"/>
  <c r="O75" i="62"/>
  <c r="S75" i="62" s="1"/>
  <c r="N99" i="62"/>
  <c r="R99" i="62" s="1"/>
  <c r="M165" i="62"/>
  <c r="Q165" i="62" s="1"/>
  <c r="N100" i="62"/>
  <c r="R100" i="62" s="1"/>
  <c r="P137" i="62"/>
  <c r="T137" i="62" s="1"/>
  <c r="O77" i="62"/>
  <c r="S77" i="62" s="1"/>
  <c r="O173" i="62"/>
  <c r="S173" i="62" s="1"/>
  <c r="N102" i="62"/>
  <c r="R102" i="62" s="1"/>
  <c r="N103" i="62"/>
  <c r="R103" i="62" s="1"/>
  <c r="P134" i="62"/>
  <c r="T134" i="62" s="1"/>
  <c r="O80" i="62"/>
  <c r="S80" i="62" s="1"/>
  <c r="O176" i="62"/>
  <c r="S176" i="62" s="1"/>
  <c r="N83" i="62"/>
  <c r="R83" i="62" s="1"/>
  <c r="P165" i="62"/>
  <c r="T165" i="62" s="1"/>
  <c r="M83" i="62"/>
  <c r="Q83" i="62" s="1"/>
  <c r="N172" i="62"/>
  <c r="R172" i="62" s="1"/>
  <c r="N78" i="62"/>
  <c r="R78" i="62" s="1"/>
  <c r="N175" i="62"/>
  <c r="R175" i="62" s="1"/>
  <c r="P13" i="62"/>
  <c r="T13" i="62" s="1"/>
  <c r="J5" i="66"/>
  <c r="P57" i="62"/>
  <c r="T57" i="62" s="1"/>
  <c r="O61" i="62"/>
  <c r="S61" i="62" s="1"/>
  <c r="O64" i="62"/>
  <c r="S64" i="62" s="1"/>
  <c r="O66" i="62"/>
  <c r="S66" i="62" s="1"/>
  <c r="M78" i="62"/>
  <c r="Q78" i="62" s="1"/>
  <c r="P51" i="62"/>
  <c r="T51" i="62" s="1"/>
  <c r="N91" i="62"/>
  <c r="R91" i="62" s="1"/>
  <c r="J4" i="66"/>
  <c r="H5" i="66"/>
  <c r="N35" i="62"/>
  <c r="R35" i="62" s="1"/>
  <c r="P21" i="62"/>
  <c r="T21" i="62" s="1"/>
  <c r="O98" i="62"/>
  <c r="S98" i="62" s="1"/>
  <c r="M142" i="62"/>
  <c r="Q142" i="62" s="1"/>
  <c r="P19" i="62"/>
  <c r="T19" i="62" s="1"/>
  <c r="P18" i="62"/>
  <c r="T18" i="62" s="1"/>
  <c r="N28" i="62"/>
  <c r="R28" i="62" s="1"/>
  <c r="M44" i="62"/>
  <c r="Q44" i="62" s="1"/>
  <c r="N29" i="62"/>
  <c r="R29" i="62" s="1"/>
  <c r="N126" i="62"/>
  <c r="R126" i="62" s="1"/>
  <c r="M138" i="62"/>
  <c r="Q138" i="62" s="1"/>
  <c r="N31" i="62"/>
  <c r="R31" i="62" s="1"/>
  <c r="N32" i="62"/>
  <c r="R32" i="62" s="1"/>
  <c r="O109" i="62"/>
  <c r="S109" i="62" s="1"/>
  <c r="O116" i="62"/>
  <c r="S116" i="62" s="1"/>
  <c r="I5" i="66"/>
  <c r="O50" i="62"/>
  <c r="S50" i="62" s="1"/>
  <c r="M93" i="62"/>
  <c r="Q93" i="62" s="1"/>
  <c r="N153" i="62"/>
  <c r="R153" i="62" s="1"/>
  <c r="M49" i="62"/>
  <c r="Q49" i="62" s="1"/>
  <c r="P32" i="62"/>
  <c r="T32" i="62" s="1"/>
  <c r="N110" i="62"/>
  <c r="R110" i="62" s="1"/>
  <c r="P29" i="62"/>
  <c r="T29" i="62" s="1"/>
  <c r="M81" i="62"/>
  <c r="Q81" i="62" s="1"/>
  <c r="O145" i="62"/>
  <c r="S145" i="62" s="1"/>
  <c r="P68" i="62"/>
  <c r="T68" i="62" s="1"/>
  <c r="N74" i="62"/>
  <c r="R74" i="62" s="1"/>
  <c r="N170" i="62"/>
  <c r="R170" i="62" s="1"/>
  <c r="P65" i="62"/>
  <c r="T65" i="62" s="1"/>
  <c r="M89" i="62"/>
  <c r="Q89" i="62" s="1"/>
  <c r="P62" i="62"/>
  <c r="T62" i="62" s="1"/>
  <c r="N81" i="62"/>
  <c r="R81" i="62" s="1"/>
  <c r="P24" i="62"/>
  <c r="T24" i="62" s="1"/>
  <c r="O69" i="62"/>
  <c r="S69" i="62" s="1"/>
  <c r="O165" i="62"/>
  <c r="S165" i="62" s="1"/>
  <c r="N94" i="62"/>
  <c r="R94" i="62" s="1"/>
  <c r="N34" i="62"/>
  <c r="R34" i="62" s="1"/>
  <c r="P113" i="62"/>
  <c r="T113" i="62" s="1"/>
  <c r="O104" i="62"/>
  <c r="S104" i="62" s="1"/>
  <c r="M111" i="62"/>
  <c r="Q111" i="62" s="1"/>
  <c r="M92" i="62"/>
  <c r="Q92" i="62" s="1"/>
  <c r="N77" i="62"/>
  <c r="R77" i="62" s="1"/>
  <c r="N173" i="62"/>
  <c r="R173" i="62" s="1"/>
  <c r="P85" i="62"/>
  <c r="T85" i="62" s="1"/>
  <c r="P36" i="62"/>
  <c r="T36" i="62" s="1"/>
  <c r="O153" i="62"/>
  <c r="S153" i="62" s="1"/>
  <c r="N70" i="62"/>
  <c r="R70" i="62" s="1"/>
  <c r="N72" i="62"/>
  <c r="R72" i="62" s="1"/>
  <c r="O147" i="62"/>
  <c r="S147" i="62" s="1"/>
  <c r="O99" i="62"/>
  <c r="S99" i="62" s="1"/>
  <c r="O56" i="62"/>
  <c r="S56" i="62" s="1"/>
  <c r="P119" i="62"/>
  <c r="T119" i="62" s="1"/>
  <c r="N119" i="62"/>
  <c r="R119" i="62" s="1"/>
  <c r="M144" i="62"/>
  <c r="Q144" i="62" s="1"/>
  <c r="P129" i="62"/>
  <c r="T129" i="62" s="1"/>
  <c r="P33" i="62"/>
  <c r="T33" i="62" s="1"/>
  <c r="N109" i="62"/>
  <c r="R109" i="62" s="1"/>
  <c r="O86" i="62"/>
  <c r="S86" i="62" s="1"/>
  <c r="N15" i="62"/>
  <c r="R15" i="62" s="1"/>
  <c r="M153" i="62"/>
  <c r="Q153" i="62" s="1"/>
  <c r="N112" i="62"/>
  <c r="R112" i="62" s="1"/>
  <c r="N17" i="62"/>
  <c r="R17" i="62" s="1"/>
  <c r="N113" i="62"/>
  <c r="R113" i="62" s="1"/>
  <c r="N18" i="62"/>
  <c r="R18" i="62" s="1"/>
  <c r="M150" i="62"/>
  <c r="Q150" i="62" s="1"/>
  <c r="P27" i="62"/>
  <c r="T27" i="62" s="1"/>
  <c r="N115" i="62"/>
  <c r="R115" i="62" s="1"/>
  <c r="P26" i="62"/>
  <c r="T26" i="62" s="1"/>
  <c r="N20" i="62"/>
  <c r="R20" i="62" s="1"/>
  <c r="N116" i="62"/>
  <c r="R116" i="62" s="1"/>
  <c r="O161" i="62"/>
  <c r="S161" i="62" s="1"/>
  <c r="O158" i="62"/>
  <c r="S158" i="62" s="1"/>
  <c r="O83" i="62"/>
  <c r="S83" i="62" s="1"/>
  <c r="N96" i="62"/>
  <c r="R96" i="62" s="1"/>
  <c r="P140" i="62"/>
  <c r="T140" i="62" s="1"/>
  <c r="P138" i="62"/>
  <c r="T138" i="62" s="1"/>
  <c r="O172" i="62"/>
  <c r="S172" i="62" s="1"/>
  <c r="N101" i="62"/>
  <c r="R101" i="62" s="1"/>
  <c r="O78" i="62"/>
  <c r="S78" i="62" s="1"/>
  <c r="P135" i="62"/>
  <c r="T135" i="62" s="1"/>
  <c r="P39" i="62"/>
  <c r="T39" i="62" s="1"/>
  <c r="M160" i="62"/>
  <c r="Q160" i="62" s="1"/>
  <c r="O48" i="62"/>
  <c r="S48" i="62" s="1"/>
  <c r="P158" i="62"/>
  <c r="T158" i="62" s="1"/>
  <c r="O53" i="62"/>
  <c r="S53" i="62" s="1"/>
  <c r="M37" i="62"/>
  <c r="Q37" i="62" s="1"/>
  <c r="M132" i="62"/>
  <c r="Q132" i="62" s="1"/>
  <c r="M35" i="62"/>
  <c r="Q35" i="62" s="1"/>
  <c r="P116" i="62"/>
  <c r="T116" i="62" s="1"/>
  <c r="N26" i="62"/>
  <c r="R26" i="62" s="1"/>
  <c r="O101" i="62"/>
  <c r="S101" i="62" s="1"/>
  <c r="M43" i="62"/>
  <c r="Q43" i="62" s="1"/>
  <c r="P16" i="62"/>
  <c r="T16" i="62" s="1"/>
  <c r="O102" i="62"/>
  <c r="S102" i="62" s="1"/>
  <c r="P15" i="62"/>
  <c r="T15" i="62" s="1"/>
  <c r="M40" i="62"/>
  <c r="Q40" i="62" s="1"/>
  <c r="O93" i="62"/>
  <c r="S93" i="62" s="1"/>
  <c r="P145" i="62"/>
  <c r="T145" i="62" s="1"/>
  <c r="P49" i="62"/>
  <c r="T49" i="62" s="1"/>
  <c r="N132" i="62"/>
  <c r="R132" i="62" s="1"/>
  <c r="O14" i="62"/>
  <c r="S14" i="62" s="1"/>
  <c r="N134" i="62"/>
  <c r="R134" i="62" s="1"/>
  <c r="N39" i="62"/>
  <c r="R39" i="62" s="1"/>
  <c r="N135" i="62"/>
  <c r="R135" i="62" s="1"/>
  <c r="P102" i="62"/>
  <c r="T102" i="62" s="1"/>
  <c r="N40" i="62"/>
  <c r="R40" i="62" s="1"/>
  <c r="M32" i="62"/>
  <c r="Q32" i="62" s="1"/>
  <c r="O17" i="62"/>
  <c r="S17" i="62" s="1"/>
  <c r="N137" i="62"/>
  <c r="R137" i="62" s="1"/>
  <c r="O18" i="62"/>
  <c r="S18" i="62" s="1"/>
  <c r="N42" i="62"/>
  <c r="R42" i="62" s="1"/>
  <c r="P99" i="62"/>
  <c r="T99" i="62" s="1"/>
  <c r="N43" i="62"/>
  <c r="R43" i="62" s="1"/>
  <c r="M29" i="62"/>
  <c r="Q29" i="62" s="1"/>
  <c r="N140" i="62"/>
  <c r="R140" i="62" s="1"/>
  <c r="N155" i="62"/>
  <c r="R155" i="62" s="1"/>
  <c r="O25" i="62"/>
  <c r="S25" i="62" s="1"/>
  <c r="N146" i="62"/>
  <c r="R146" i="62" s="1"/>
  <c r="P91" i="62"/>
  <c r="T91" i="62" s="1"/>
  <c r="M21" i="62"/>
  <c r="Q21" i="62" s="1"/>
  <c r="O28" i="62"/>
  <c r="S28" i="62" s="1"/>
  <c r="N149" i="62"/>
  <c r="R149" i="62" s="1"/>
  <c r="N150" i="62"/>
  <c r="R150" i="62" s="1"/>
  <c r="M114" i="62"/>
  <c r="Q114" i="62" s="1"/>
  <c r="M18" i="62"/>
  <c r="Q18" i="62" s="1"/>
  <c r="N151" i="62"/>
  <c r="R151" i="62" s="1"/>
  <c r="N152" i="62"/>
  <c r="R152" i="62" s="1"/>
  <c r="O164" i="62"/>
  <c r="S164" i="62" s="1"/>
  <c r="O143" i="62"/>
  <c r="S143" i="62" s="1"/>
  <c r="O36" i="62"/>
  <c r="S36" i="62" s="1"/>
  <c r="N60" i="62"/>
  <c r="R60" i="62" s="1"/>
  <c r="M95" i="62"/>
  <c r="Q95" i="62" s="1"/>
  <c r="P176" i="62"/>
  <c r="T176" i="62" s="1"/>
  <c r="O38" i="62"/>
  <c r="S38" i="62" s="1"/>
  <c r="O134" i="62"/>
  <c r="S134" i="62" s="1"/>
  <c r="N158" i="62"/>
  <c r="R158" i="62" s="1"/>
  <c r="N63" i="62"/>
  <c r="R63" i="62" s="1"/>
  <c r="P174" i="62"/>
  <c r="T174" i="62" s="1"/>
  <c r="M104" i="62"/>
  <c r="Q104" i="62" s="1"/>
  <c r="P173" i="62"/>
  <c r="T173" i="62" s="1"/>
  <c r="O137" i="62"/>
  <c r="S137" i="62" s="1"/>
  <c r="O42" i="62"/>
  <c r="S42" i="62" s="1"/>
  <c r="P171" i="62"/>
  <c r="T171" i="62" s="1"/>
  <c r="M101" i="62"/>
  <c r="Q101" i="62" s="1"/>
  <c r="P170" i="62"/>
  <c r="T170" i="62" s="1"/>
  <c r="O140" i="62"/>
  <c r="S140" i="62" s="1"/>
  <c r="N45" i="62"/>
  <c r="R45" i="62" s="1"/>
  <c r="P43" i="62"/>
  <c r="T43" i="62" s="1"/>
  <c r="M166" i="62"/>
  <c r="Q166" i="62" s="1"/>
  <c r="P45" i="62"/>
  <c r="T45" i="62" s="1"/>
  <c r="M87" i="62"/>
  <c r="Q87" i="62" s="1"/>
  <c r="P157" i="62"/>
  <c r="T157" i="62" s="1"/>
  <c r="P61" i="62"/>
  <c r="T61" i="62" s="1"/>
  <c r="N22" i="62"/>
  <c r="R22" i="62" s="1"/>
  <c r="M64" i="62"/>
  <c r="Q64" i="62" s="1"/>
  <c r="P120" i="62"/>
  <c r="T120" i="62" s="1"/>
  <c r="P88" i="62"/>
  <c r="T88" i="62" s="1"/>
  <c r="O127" i="62"/>
  <c r="S127" i="62" s="1"/>
  <c r="O31" i="62"/>
  <c r="S31" i="62" s="1"/>
  <c r="N48" i="62"/>
  <c r="R48" i="62" s="1"/>
  <c r="N50" i="62"/>
  <c r="R50" i="62" s="1"/>
  <c r="O30" i="62"/>
  <c r="S30" i="62" s="1"/>
  <c r="M22" i="62"/>
  <c r="Q22" i="62" s="1"/>
  <c r="N51" i="62"/>
  <c r="R51" i="62" s="1"/>
  <c r="M12" i="62"/>
  <c r="Q12" i="62" s="1"/>
  <c r="N53" i="62"/>
  <c r="R53" i="62" s="1"/>
  <c r="O124" i="62"/>
  <c r="S124" i="62" s="1"/>
  <c r="O121" i="62"/>
  <c r="S121" i="62" s="1"/>
  <c r="O126" i="62"/>
  <c r="S126" i="62" s="1"/>
  <c r="M116" i="62"/>
  <c r="Q116" i="62" s="1"/>
  <c r="O120" i="62"/>
  <c r="S120" i="62" s="1"/>
  <c r="P86" i="62"/>
  <c r="T86" i="62" s="1"/>
  <c r="P53" i="62"/>
  <c r="T53" i="62" s="1"/>
  <c r="M55" i="62"/>
  <c r="Q55" i="62" s="1"/>
  <c r="O148" i="62"/>
  <c r="S148" i="62" s="1"/>
  <c r="O52" i="62"/>
  <c r="S52" i="62" s="1"/>
  <c r="M136" i="62"/>
  <c r="Q136" i="62" s="1"/>
  <c r="P159" i="62"/>
  <c r="T159" i="62" s="1"/>
  <c r="P111" i="62"/>
  <c r="T111" i="62" s="1"/>
  <c r="P112" i="62"/>
  <c r="T112" i="62" s="1"/>
  <c r="M131" i="62"/>
  <c r="Q131" i="62" s="1"/>
  <c r="N121" i="62"/>
  <c r="R121" i="62" s="1"/>
  <c r="N25" i="62"/>
  <c r="R25" i="62" s="1"/>
  <c r="P114" i="62"/>
  <c r="T114" i="62" s="1"/>
  <c r="O84" i="62"/>
  <c r="S84" i="62" s="1"/>
  <c r="N120" i="62"/>
  <c r="R120" i="62" s="1"/>
  <c r="P122" i="62"/>
  <c r="T122" i="62" s="1"/>
  <c r="O113" i="62"/>
  <c r="S113" i="62" s="1"/>
  <c r="N125" i="62"/>
  <c r="R125" i="62" s="1"/>
  <c r="O49" i="62"/>
  <c r="S49" i="62" s="1"/>
  <c r="M133" i="62"/>
  <c r="Q133" i="62" s="1"/>
  <c r="N138" i="62"/>
  <c r="R138" i="62" s="1"/>
  <c r="N127" i="62"/>
  <c r="R127" i="62" s="1"/>
  <c r="O90" i="62"/>
  <c r="S90" i="62" s="1"/>
  <c r="O15" i="62"/>
  <c r="S15" i="62" s="1"/>
  <c r="M90" i="62"/>
  <c r="Q90" i="62" s="1"/>
  <c r="P128" i="62"/>
  <c r="T128" i="62" s="1"/>
  <c r="P163" i="62"/>
  <c r="T163" i="62" s="1"/>
  <c r="P67" i="62"/>
  <c r="T67" i="62" s="1"/>
  <c r="M149" i="62"/>
  <c r="Q149" i="62" s="1"/>
  <c r="N124" i="62"/>
  <c r="R124" i="62" s="1"/>
  <c r="M46" i="62"/>
  <c r="Q46" i="62" s="1"/>
  <c r="O87" i="62"/>
  <c r="S87" i="62" s="1"/>
  <c r="N123" i="62"/>
  <c r="R123" i="62" s="1"/>
  <c r="N75" i="62"/>
  <c r="R75" i="62" s="1"/>
  <c r="P125" i="62"/>
  <c r="T125" i="62" s="1"/>
  <c r="O20" i="62"/>
  <c r="S20" i="62" s="1"/>
  <c r="N80" i="62"/>
  <c r="R80" i="62" s="1"/>
  <c r="P40" i="62"/>
  <c r="T40" i="62" s="1"/>
  <c r="O175" i="62"/>
  <c r="S175" i="62" s="1"/>
  <c r="M163" i="62"/>
  <c r="Q163" i="62" s="1"/>
  <c r="P42" i="62"/>
  <c r="T42" i="62" s="1"/>
  <c r="M176" i="62"/>
  <c r="Q176" i="62" s="1"/>
  <c r="M156" i="62"/>
  <c r="Q156" i="62" s="1"/>
  <c r="P50" i="62"/>
  <c r="T50" i="62" s="1"/>
  <c r="O41" i="62"/>
  <c r="S41" i="62" s="1"/>
  <c r="D4" i="66"/>
  <c r="P82" i="62"/>
  <c r="T82" i="62" s="1"/>
  <c r="E4" i="66"/>
  <c r="P79" i="62"/>
  <c r="T79" i="62" s="1"/>
  <c r="P177" i="62"/>
  <c r="T177" i="62" s="1"/>
  <c r="P81" i="62"/>
  <c r="T81" i="62" s="1"/>
  <c r="N159" i="62"/>
  <c r="R159" i="62" s="1"/>
  <c r="N164" i="62"/>
  <c r="R164" i="62" s="1"/>
  <c r="N92" i="62"/>
  <c r="R92" i="62" s="1"/>
  <c r="D5" i="66"/>
  <c r="N66" i="62"/>
  <c r="R66" i="62" s="1"/>
  <c r="P148" i="62"/>
  <c r="T148" i="62" s="1"/>
  <c r="P76" i="62"/>
  <c r="T76" i="62" s="1"/>
  <c r="M65" i="62"/>
  <c r="Q65" i="62" s="1"/>
  <c r="O139" i="62"/>
  <c r="S139" i="62" s="1"/>
  <c r="O67" i="62"/>
  <c r="S67" i="62" s="1"/>
  <c r="N161" i="62"/>
  <c r="R161" i="62" s="1"/>
  <c r="N89" i="62"/>
  <c r="R89" i="62" s="1"/>
  <c r="F4" i="66"/>
  <c r="H4" i="66"/>
  <c r="E5" i="66"/>
  <c r="O136" i="62"/>
  <c r="S136" i="62" s="1"/>
  <c r="O133" i="62"/>
  <c r="S133" i="62" s="1"/>
  <c r="O162" i="62"/>
  <c r="S162" i="62" s="1"/>
  <c r="M162" i="62"/>
  <c r="Q162" i="62" s="1"/>
  <c r="C5" i="66"/>
  <c r="C4" i="66"/>
  <c r="I4" i="66"/>
  <c r="F5" i="66"/>
  <c r="O59" i="62"/>
  <c r="S59" i="62" s="1"/>
  <c r="P150" i="62"/>
  <c r="T150" i="62" s="1"/>
  <c r="M108" i="62"/>
  <c r="Q108" i="62" s="1"/>
  <c r="M76" i="62"/>
  <c r="Q76" i="62" s="1"/>
  <c r="P46" i="62"/>
  <c r="T46" i="62" s="1"/>
  <c r="P92" i="62"/>
  <c r="T92" i="62" s="1"/>
  <c r="M110" i="62"/>
  <c r="Q110" i="62" s="1"/>
  <c r="P100" i="62"/>
  <c r="T100" i="62" s="1"/>
  <c r="P146" i="62"/>
  <c r="T146" i="62" s="1"/>
  <c r="M13" i="62"/>
  <c r="Q13" i="62" s="1"/>
  <c r="P103" i="62"/>
  <c r="T103" i="62" s="1"/>
  <c r="N148" i="62"/>
  <c r="R148" i="62" s="1"/>
  <c r="M119" i="62"/>
  <c r="Q119" i="62" s="1"/>
  <c r="M82" i="62"/>
  <c r="Q82" i="62" s="1"/>
  <c r="M59" i="62"/>
  <c r="Q59" i="62" s="1"/>
  <c r="M147" i="62"/>
  <c r="Q147" i="62" s="1"/>
  <c r="M68" i="62"/>
  <c r="Q68" i="62" s="1"/>
  <c r="P149" i="62"/>
  <c r="T149" i="62" s="1"/>
  <c r="M79" i="62"/>
  <c r="Q79" i="62" s="1"/>
  <c r="O63" i="62"/>
  <c r="S63" i="62" s="1"/>
  <c r="N97" i="62"/>
  <c r="R97" i="62" s="1"/>
  <c r="P54" i="62"/>
  <c r="T54" i="62" s="1"/>
  <c r="M128" i="62"/>
  <c r="Q128" i="62" s="1"/>
  <c r="N58" i="62"/>
  <c r="R58" i="62" s="1"/>
  <c r="M174" i="62"/>
  <c r="Q174" i="62" s="1"/>
  <c r="M134" i="62"/>
  <c r="Q134" i="62" s="1"/>
  <c r="P48" i="62"/>
  <c r="T48" i="62" s="1"/>
  <c r="M15" i="62"/>
  <c r="Q15" i="62" s="1"/>
  <c r="O167" i="62"/>
  <c r="S167" i="62" s="1"/>
  <c r="O23" i="62"/>
  <c r="S23" i="62" s="1"/>
  <c r="O118" i="62"/>
  <c r="S118" i="62" s="1"/>
  <c r="N88" i="62"/>
  <c r="R88" i="62" s="1"/>
  <c r="P78" i="62"/>
  <c r="T78" i="62" s="1"/>
  <c r="N64" i="62"/>
  <c r="R64" i="62" s="1"/>
  <c r="N67" i="62"/>
  <c r="R67" i="62" s="1"/>
  <c r="P60" i="62"/>
  <c r="T60" i="62" s="1"/>
  <c r="P155" i="62"/>
  <c r="T155" i="62" s="1"/>
  <c r="P11" i="62"/>
  <c r="T11" i="62" s="1"/>
  <c r="N24" i="62"/>
  <c r="R24" i="62" s="1"/>
  <c r="N168" i="62"/>
  <c r="R168" i="62" s="1"/>
  <c r="P164" i="62"/>
  <c r="T164" i="62" s="1"/>
  <c r="O146" i="62"/>
  <c r="S146" i="62" s="1"/>
  <c r="N122" i="62"/>
  <c r="R122" i="62" s="1"/>
  <c r="N171" i="62"/>
  <c r="R171" i="62" s="1"/>
  <c r="P63" i="62"/>
  <c r="T63" i="62" s="1"/>
  <c r="O81" i="62"/>
  <c r="S81" i="62" s="1"/>
  <c r="N57" i="62"/>
  <c r="R57" i="62" s="1"/>
  <c r="O97" i="62"/>
  <c r="S97" i="62" s="1"/>
  <c r="N73" i="62"/>
  <c r="R73" i="62" s="1"/>
  <c r="P66" i="62"/>
  <c r="T66" i="62" s="1"/>
  <c r="O100" i="62"/>
  <c r="S100" i="62" s="1"/>
  <c r="P161" i="62"/>
  <c r="T161" i="62" s="1"/>
  <c r="N79" i="62"/>
  <c r="R79" i="62" s="1"/>
  <c r="N36" i="62"/>
  <c r="R36" i="62" s="1"/>
  <c r="P131" i="62"/>
  <c r="T131" i="62" s="1"/>
  <c r="O35" i="62"/>
  <c r="S35" i="62" s="1"/>
  <c r="O11" i="62"/>
  <c r="S11" i="62" s="1"/>
  <c r="N47" i="62"/>
  <c r="R47" i="62" s="1"/>
  <c r="O108" i="62"/>
  <c r="S108" i="62" s="1"/>
  <c r="N84" i="62"/>
  <c r="R84" i="62" s="1"/>
  <c r="P104" i="62"/>
  <c r="T104" i="62" s="1"/>
  <c r="O62" i="62"/>
  <c r="S62" i="62" s="1"/>
  <c r="N136" i="62"/>
  <c r="R136" i="62" s="1"/>
  <c r="P101" i="62"/>
  <c r="T101" i="62" s="1"/>
  <c r="O65" i="62"/>
  <c r="S65" i="62" s="1"/>
  <c r="N41" i="62"/>
  <c r="R41" i="62" s="1"/>
  <c r="P52" i="62"/>
  <c r="T52" i="62" s="1"/>
  <c r="O114" i="62"/>
  <c r="S114" i="62" s="1"/>
  <c r="N139" i="62"/>
  <c r="R139" i="62" s="1"/>
  <c r="P98" i="62"/>
  <c r="T98" i="62" s="1"/>
  <c r="O68" i="62"/>
  <c r="S68" i="62" s="1"/>
  <c r="N44" i="62"/>
  <c r="R44" i="62" s="1"/>
  <c r="O141" i="62"/>
  <c r="S141" i="62" s="1"/>
  <c r="N117" i="62"/>
  <c r="R117" i="62" s="1"/>
  <c r="P141" i="62"/>
  <c r="T141" i="62" s="1"/>
  <c r="P117" i="62"/>
  <c r="T117" i="62" s="1"/>
  <c r="N98" i="62"/>
  <c r="R98" i="62" s="1"/>
  <c r="M48" i="62"/>
  <c r="Q48" i="62" s="1"/>
  <c r="M106" i="62"/>
  <c r="Q106" i="62" s="1"/>
  <c r="M57" i="62"/>
  <c r="Q57" i="62" s="1"/>
  <c r="M171" i="62"/>
  <c r="Q171" i="62" s="1"/>
  <c r="M74" i="62"/>
  <c r="Q74" i="62" s="1"/>
  <c r="M159" i="62"/>
  <c r="Q159" i="62" s="1"/>
  <c r="M73" i="62"/>
  <c r="Q73" i="62" s="1"/>
  <c r="M24" i="62"/>
  <c r="Q24" i="62" s="1"/>
  <c r="M36" i="62"/>
  <c r="Q36" i="62" s="1"/>
  <c r="M14" i="62"/>
  <c r="Q14" i="62" s="1"/>
  <c r="M157" i="62"/>
  <c r="Q157" i="62" s="1"/>
  <c r="M85" i="62"/>
  <c r="Q85" i="62" s="1"/>
  <c r="M140" i="62"/>
  <c r="Q140" i="62" s="1"/>
  <c r="M42" i="62"/>
  <c r="Q42" i="62" s="1"/>
  <c r="M45" i="62"/>
  <c r="Q45" i="62" s="1"/>
  <c r="M71" i="62"/>
  <c r="Q71" i="62" s="1"/>
  <c r="M178" i="62"/>
  <c r="Q178" i="62" s="1"/>
  <c r="M34" i="62"/>
  <c r="Q34" i="62" s="1"/>
  <c r="M129" i="62"/>
  <c r="Q129" i="62" s="1"/>
  <c r="M77" i="62"/>
  <c r="Q77" i="62" s="1"/>
  <c r="M60" i="62"/>
  <c r="Q60" i="62" s="1"/>
  <c r="M115" i="62"/>
  <c r="Q115" i="62" s="1"/>
  <c r="P115" i="62"/>
  <c r="T115" i="62" s="1"/>
  <c r="P153" i="62"/>
  <c r="T153" i="62" s="1"/>
  <c r="O51" i="62"/>
  <c r="S51" i="62" s="1"/>
  <c r="N87" i="62"/>
  <c r="R87" i="62" s="1"/>
  <c r="P17" i="62"/>
  <c r="T17" i="62" s="1"/>
  <c r="N128" i="62"/>
  <c r="R128" i="62" s="1"/>
  <c r="M120" i="62"/>
  <c r="Q120" i="62" s="1"/>
  <c r="N90" i="62"/>
  <c r="R90" i="62" s="1"/>
  <c r="M126" i="62"/>
  <c r="Q126" i="62" s="1"/>
  <c r="N95" i="62"/>
  <c r="R95" i="62" s="1"/>
  <c r="M94" i="62"/>
  <c r="Q94" i="62" s="1"/>
  <c r="N156" i="62"/>
  <c r="R156" i="62" s="1"/>
  <c r="M152" i="62"/>
  <c r="Q152" i="62" s="1"/>
  <c r="P147" i="62"/>
  <c r="T147" i="62" s="1"/>
  <c r="M80" i="62"/>
  <c r="Q80" i="62" s="1"/>
  <c r="P75" i="62"/>
  <c r="T75" i="62" s="1"/>
  <c r="O106" i="62"/>
  <c r="S106" i="62" s="1"/>
  <c r="M50" i="62"/>
  <c r="Q50" i="62" s="1"/>
  <c r="N76" i="62"/>
  <c r="R76" i="62" s="1"/>
  <c r="M118" i="62"/>
  <c r="Q118" i="62" s="1"/>
  <c r="P69" i="62"/>
  <c r="T69" i="62" s="1"/>
  <c r="O111" i="62"/>
  <c r="S111" i="62" s="1"/>
  <c r="O39" i="62"/>
  <c r="S39" i="62" s="1"/>
  <c r="O152" i="62"/>
  <c r="S152" i="62" s="1"/>
  <c r="O103" i="62"/>
  <c r="S103" i="62" s="1"/>
  <c r="N145" i="62"/>
  <c r="R145" i="62" s="1"/>
  <c r="O149" i="62"/>
  <c r="S149" i="62" s="1"/>
  <c r="N38" i="62"/>
  <c r="R38" i="62" s="1"/>
  <c r="P58" i="62"/>
  <c r="T58" i="62" s="1"/>
  <c r="P166" i="62"/>
  <c r="T166" i="62" s="1"/>
  <c r="P130" i="62"/>
  <c r="T130" i="62" s="1"/>
  <c r="N174" i="62"/>
  <c r="R174" i="62" s="1"/>
  <c r="P127" i="62"/>
  <c r="T127" i="62" s="1"/>
  <c r="P55" i="62"/>
  <c r="T55" i="62" s="1"/>
  <c r="P124" i="62"/>
  <c r="T124" i="62" s="1"/>
  <c r="O163" i="62"/>
  <c r="S163" i="62" s="1"/>
  <c r="O91" i="62"/>
  <c r="S91" i="62" s="1"/>
  <c r="O19" i="62"/>
  <c r="S19" i="62" s="1"/>
  <c r="N133" i="62"/>
  <c r="R133" i="62" s="1"/>
  <c r="N61" i="62"/>
  <c r="R61" i="62" s="1"/>
  <c r="N30" i="62"/>
  <c r="R30" i="62" s="1"/>
  <c r="O160" i="62"/>
  <c r="S160" i="62" s="1"/>
  <c r="O88" i="62"/>
  <c r="S88" i="62" s="1"/>
  <c r="O16" i="62"/>
  <c r="S16" i="62" s="1"/>
  <c r="M172" i="62"/>
  <c r="Q172" i="62" s="1"/>
  <c r="M100" i="62"/>
  <c r="Q100" i="62" s="1"/>
  <c r="M28" i="62"/>
  <c r="Q28" i="62" s="1"/>
  <c r="P97" i="62"/>
  <c r="T97" i="62" s="1"/>
  <c r="N27" i="62"/>
  <c r="R27" i="62" s="1"/>
  <c r="P118" i="62"/>
  <c r="T118" i="62" s="1"/>
  <c r="O157" i="62"/>
  <c r="S157" i="62" s="1"/>
  <c r="O85" i="62"/>
  <c r="S85" i="62" s="1"/>
  <c r="O13" i="62"/>
  <c r="S13" i="62" s="1"/>
  <c r="M169" i="62"/>
  <c r="Q169" i="62" s="1"/>
  <c r="M97" i="62"/>
  <c r="Q97" i="62" s="1"/>
  <c r="M25" i="62"/>
  <c r="Q25" i="62" s="1"/>
  <c r="M170" i="62"/>
  <c r="Q170" i="62" s="1"/>
  <c r="O54" i="62"/>
  <c r="S54" i="62" s="1"/>
  <c r="N162" i="62"/>
  <c r="R162" i="62" s="1"/>
  <c r="N12" i="62"/>
  <c r="R12" i="62" s="1"/>
  <c r="M54" i="62"/>
  <c r="Q54" i="62" s="1"/>
  <c r="P20" i="62"/>
  <c r="T20" i="62" s="1"/>
  <c r="P35" i="62"/>
  <c r="T35" i="62" s="1"/>
  <c r="N107" i="62"/>
  <c r="R107" i="62" s="1"/>
  <c r="M109" i="62"/>
  <c r="Q109" i="62" s="1"/>
  <c r="O24" i="62"/>
  <c r="S24" i="62" s="1"/>
  <c r="O168" i="62"/>
  <c r="S168" i="62" s="1"/>
  <c r="N144" i="62"/>
  <c r="R144" i="62" s="1"/>
  <c r="P93" i="62"/>
  <c r="T93" i="62" s="1"/>
  <c r="O73" i="62"/>
  <c r="S73" i="62" s="1"/>
  <c r="N49" i="62"/>
  <c r="R49" i="62" s="1"/>
  <c r="P44" i="62"/>
  <c r="T44" i="62" s="1"/>
  <c r="O122" i="62"/>
  <c r="S122" i="62" s="1"/>
  <c r="M164" i="62"/>
  <c r="Q164" i="62" s="1"/>
  <c r="P41" i="62"/>
  <c r="T41" i="62" s="1"/>
  <c r="O125" i="62"/>
  <c r="S125" i="62" s="1"/>
  <c r="O174" i="62"/>
  <c r="S174" i="62" s="1"/>
  <c r="M66" i="62"/>
  <c r="Q66" i="62" s="1"/>
  <c r="M17" i="62"/>
  <c r="Q17" i="62" s="1"/>
  <c r="N104" i="62"/>
  <c r="R104" i="62" s="1"/>
  <c r="M112" i="62"/>
  <c r="Q112" i="62" s="1"/>
  <c r="N178" i="62"/>
  <c r="R178" i="62" s="1"/>
  <c r="O57" i="62"/>
  <c r="S57" i="62" s="1"/>
  <c r="N33" i="62"/>
  <c r="R33" i="62" s="1"/>
  <c r="N177" i="62"/>
  <c r="R177" i="62" s="1"/>
  <c r="M39" i="62"/>
  <c r="Q39" i="62" s="1"/>
  <c r="O94" i="62"/>
  <c r="S94" i="62" s="1"/>
  <c r="O131" i="62"/>
  <c r="S131" i="62" s="1"/>
  <c r="N147" i="62"/>
  <c r="R147" i="62" s="1"/>
  <c r="P167" i="62"/>
  <c r="T167" i="62" s="1"/>
  <c r="P23" i="62"/>
  <c r="T23" i="62" s="1"/>
  <c r="O155" i="62"/>
  <c r="S155" i="62" s="1"/>
  <c r="N131" i="62"/>
  <c r="R131" i="62" s="1"/>
  <c r="P143" i="62"/>
  <c r="T143" i="62" s="1"/>
  <c r="N143" i="62"/>
  <c r="R143" i="62" s="1"/>
  <c r="O60" i="62"/>
  <c r="S60" i="62" s="1"/>
  <c r="M168" i="62"/>
  <c r="Q168" i="62" s="1"/>
  <c r="P152" i="62"/>
  <c r="T152" i="62" s="1"/>
  <c r="M155" i="62"/>
  <c r="Q155" i="62" s="1"/>
  <c r="O47" i="62"/>
  <c r="S47" i="62" s="1"/>
  <c r="N23" i="62"/>
  <c r="R23" i="62" s="1"/>
  <c r="N167" i="62"/>
  <c r="R167" i="62" s="1"/>
  <c r="P107" i="62"/>
  <c r="T107" i="62" s="1"/>
  <c r="O96" i="62"/>
  <c r="S96" i="62" s="1"/>
  <c r="P95" i="62"/>
  <c r="T95" i="62" s="1"/>
  <c r="O71" i="62"/>
  <c r="S71" i="62" s="1"/>
  <c r="P83" i="62"/>
  <c r="T83" i="62" s="1"/>
  <c r="N59" i="62"/>
  <c r="R59" i="62" s="1"/>
  <c r="P71" i="62"/>
  <c r="T71" i="62" s="1"/>
  <c r="O95" i="62"/>
  <c r="S95" i="62" s="1"/>
  <c r="N71" i="62"/>
  <c r="R71" i="62" s="1"/>
  <c r="M145" i="62"/>
  <c r="Q145" i="62" s="1"/>
  <c r="P178" i="62"/>
  <c r="T178" i="62" s="1"/>
  <c r="O132" i="62"/>
  <c r="S132" i="62" s="1"/>
  <c r="N108" i="62"/>
  <c r="R108" i="62" s="1"/>
  <c r="M96" i="62"/>
  <c r="Q96" i="62" s="1"/>
  <c r="O37" i="62"/>
  <c r="S37" i="62" s="1"/>
  <c r="N13" i="62"/>
  <c r="R13" i="62" s="1"/>
  <c r="M47" i="62"/>
  <c r="Q47" i="62" s="1"/>
  <c r="P80" i="62"/>
  <c r="T80" i="62" s="1"/>
  <c r="N62" i="62"/>
  <c r="R62" i="62" s="1"/>
  <c r="M154" i="62"/>
  <c r="Q154" i="62" s="1"/>
  <c r="N111" i="62"/>
  <c r="R111" i="62" s="1"/>
  <c r="M56" i="62"/>
  <c r="Q56" i="62" s="1"/>
  <c r="P77" i="62"/>
  <c r="T77" i="62" s="1"/>
  <c r="O89" i="62"/>
  <c r="S89" i="62" s="1"/>
  <c r="N65" i="62"/>
  <c r="R65" i="62" s="1"/>
  <c r="M151" i="62"/>
  <c r="Q151" i="62" s="1"/>
  <c r="O138" i="62"/>
  <c r="S138" i="62" s="1"/>
  <c r="N114" i="62"/>
  <c r="R114" i="62" s="1"/>
  <c r="M102" i="62"/>
  <c r="Q102" i="62" s="1"/>
  <c r="N19" i="62"/>
  <c r="R19" i="62" s="1"/>
  <c r="N163" i="62"/>
  <c r="R163" i="62" s="1"/>
  <c r="M53" i="62"/>
  <c r="Q53" i="62" s="1"/>
  <c r="N68" i="62"/>
  <c r="R68" i="62" s="1"/>
  <c r="M148" i="62"/>
  <c r="Q148" i="62" s="1"/>
  <c r="P59" i="62"/>
  <c r="T59" i="62" s="1"/>
  <c r="O107" i="62"/>
  <c r="S107" i="62" s="1"/>
  <c r="P22" i="62"/>
  <c r="T22" i="62" s="1"/>
  <c r="O144" i="62"/>
  <c r="S144" i="62" s="1"/>
  <c r="P47" i="62"/>
  <c r="T47" i="62" s="1"/>
  <c r="O119" i="62"/>
  <c r="S119" i="62" s="1"/>
  <c r="M121" i="62"/>
  <c r="Q121" i="62" s="1"/>
  <c r="M72" i="62"/>
  <c r="Q72" i="62" s="1"/>
  <c r="P105" i="62"/>
  <c r="T105" i="62" s="1"/>
  <c r="M167" i="62"/>
  <c r="Q167" i="62" s="1"/>
  <c r="M23" i="62"/>
  <c r="Q23" i="62" s="1"/>
  <c r="P56" i="62"/>
  <c r="T56" i="62" s="1"/>
  <c r="O110" i="62"/>
  <c r="S110" i="62" s="1"/>
  <c r="N86" i="62"/>
  <c r="R86" i="62" s="1"/>
  <c r="M98" i="62"/>
  <c r="Q98" i="62" s="1"/>
  <c r="N52" i="62"/>
  <c r="R52" i="62" s="1"/>
  <c r="M161" i="62"/>
  <c r="Q161" i="62" s="1"/>
  <c r="O128" i="62"/>
  <c r="S128" i="62" s="1"/>
  <c r="O79" i="62"/>
  <c r="S79" i="62" s="1"/>
  <c r="N85" i="62"/>
  <c r="R85" i="62" s="1"/>
  <c r="P106" i="62"/>
  <c r="T106" i="62" s="1"/>
  <c r="P70" i="62"/>
  <c r="T70" i="62" s="1"/>
  <c r="P139" i="62"/>
  <c r="T139" i="62" s="1"/>
  <c r="P136" i="62"/>
  <c r="T136" i="62" s="1"/>
  <c r="M20" i="62"/>
  <c r="Q20" i="62" s="1"/>
  <c r="P38" i="62"/>
  <c r="T38" i="62" s="1"/>
  <c r="P109" i="62"/>
  <c r="T109" i="62" s="1"/>
  <c r="O76" i="62"/>
  <c r="S76" i="62" s="1"/>
  <c r="O27" i="62"/>
  <c r="S27" i="62" s="1"/>
  <c r="O171" i="62"/>
  <c r="S171" i="62" s="1"/>
  <c r="P90" i="62"/>
  <c r="T90" i="62" s="1"/>
  <c r="P87" i="62"/>
  <c r="T87" i="62" s="1"/>
  <c r="P151" i="62"/>
  <c r="T151" i="62" s="1"/>
  <c r="N160" i="62"/>
  <c r="R160" i="62" s="1"/>
  <c r="N16" i="62"/>
  <c r="R16" i="62" s="1"/>
  <c r="M130" i="62"/>
  <c r="Q130" i="62" s="1"/>
  <c r="O159" i="62"/>
  <c r="S159" i="62" s="1"/>
  <c r="O12" i="62"/>
  <c r="S12" i="62" s="1"/>
  <c r="O92" i="62"/>
  <c r="S92" i="62" s="1"/>
  <c r="O43" i="62"/>
  <c r="S43" i="62" s="1"/>
  <c r="N157" i="62"/>
  <c r="R157" i="62" s="1"/>
  <c r="O156" i="62"/>
  <c r="S156" i="62" s="1"/>
  <c r="P142" i="62"/>
  <c r="T142" i="62" s="1"/>
  <c r="P34" i="62"/>
  <c r="T34" i="62" s="1"/>
  <c r="O40" i="62"/>
  <c r="S40" i="62" s="1"/>
  <c r="P154" i="62"/>
  <c r="T154" i="62" s="1"/>
  <c r="P123" i="62"/>
  <c r="T123" i="62" s="1"/>
  <c r="P175" i="62"/>
  <c r="T175" i="62" s="1"/>
  <c r="P31" i="62"/>
  <c r="T31" i="62" s="1"/>
  <c r="P172" i="62"/>
  <c r="T172" i="62" s="1"/>
  <c r="P28" i="62"/>
  <c r="T28" i="62" s="1"/>
  <c r="N37" i="62"/>
  <c r="R37" i="62" s="1"/>
  <c r="P74" i="62"/>
  <c r="T74" i="62" s="1"/>
  <c r="E6" i="62"/>
  <c r="P126" i="62"/>
  <c r="T126" i="62" s="1"/>
  <c r="A11" i="62"/>
  <c r="G6" i="62"/>
  <c r="M124" i="62"/>
  <c r="Q124" i="62" s="1"/>
  <c r="M88" i="62"/>
  <c r="Q88" i="62" s="1"/>
  <c r="M175" i="62"/>
  <c r="Q175" i="62" s="1"/>
  <c r="M139" i="62"/>
  <c r="Q139" i="62" s="1"/>
  <c r="M103" i="62"/>
  <c r="Q103" i="62" s="1"/>
  <c r="M67" i="62"/>
  <c r="Q67" i="62" s="1"/>
  <c r="M31" i="62"/>
  <c r="Q31" i="62" s="1"/>
  <c r="M173" i="62"/>
  <c r="Q173" i="62" s="1"/>
  <c r="M16" i="62"/>
  <c r="Q16" i="62" s="1"/>
  <c r="M38" i="62"/>
  <c r="Q38" i="62" s="1"/>
  <c r="M41" i="62"/>
  <c r="Q41" i="62" s="1"/>
  <c r="M125" i="62"/>
  <c r="Q125" i="62" s="1"/>
  <c r="M177" i="62"/>
  <c r="Q177" i="62" s="1"/>
  <c r="M141" i="62"/>
  <c r="Q141" i="62" s="1"/>
  <c r="M105" i="62"/>
  <c r="Q105" i="62" s="1"/>
  <c r="M69" i="62"/>
  <c r="Q69" i="62" s="1"/>
  <c r="M33" i="62"/>
  <c r="Q33" i="62" s="1"/>
  <c r="M52" i="62"/>
  <c r="Q52" i="62" s="1"/>
  <c r="M107" i="62"/>
  <c r="Q107" i="62" s="1"/>
  <c r="K4" i="62"/>
  <c r="K5" i="62" s="1"/>
  <c r="J4" i="62"/>
  <c r="J5" i="62" s="1"/>
  <c r="F4" i="62"/>
  <c r="F5" i="62" s="1"/>
  <c r="N11" i="62"/>
  <c r="R11" i="62" s="1"/>
  <c r="J6" i="62"/>
  <c r="M11" i="62"/>
  <c r="Q11" i="62" s="1"/>
  <c r="E4" i="62"/>
  <c r="E5" i="62" s="1"/>
  <c r="M19" i="62"/>
  <c r="Q19" i="62" s="1"/>
  <c r="G4" i="62"/>
  <c r="G5" i="62" s="1"/>
  <c r="K6" i="62"/>
  <c r="F6" i="62"/>
  <c r="L4" i="62"/>
  <c r="L5" i="62" s="1"/>
  <c r="H4" i="62"/>
  <c r="H5" i="62" s="1"/>
  <c r="H6" i="62"/>
  <c r="L6" i="62"/>
  <c r="M6" i="66" l="1"/>
  <c r="K5" i="66"/>
  <c r="O5" i="66" s="1"/>
  <c r="L5" i="66"/>
  <c r="P5" i="66" s="1"/>
  <c r="M5" i="66"/>
  <c r="Q5" i="66" s="1"/>
  <c r="N5" i="66"/>
  <c r="R5" i="66" s="1"/>
  <c r="N4" i="66"/>
  <c r="R4" i="66" s="1"/>
  <c r="I4" i="62"/>
  <c r="I5" i="62" s="1"/>
  <c r="I6" i="62"/>
  <c r="L4" i="66"/>
  <c r="P4" i="66" s="1"/>
  <c r="O87" i="64"/>
  <c r="O4" i="64" s="1"/>
  <c r="J6" i="64"/>
  <c r="N87" i="64"/>
  <c r="J4" i="64"/>
  <c r="J5" i="64" s="1"/>
  <c r="G6" i="66"/>
  <c r="G4" i="66"/>
  <c r="K4" i="66" s="1"/>
  <c r="O4" i="66" s="1"/>
  <c r="K6" i="64"/>
  <c r="M4" i="66"/>
  <c r="Q4" i="66" s="1"/>
  <c r="K4" i="64"/>
  <c r="K5" i="64" s="1"/>
  <c r="O6" i="62"/>
  <c r="O4" i="62"/>
  <c r="O5" i="62" s="1"/>
  <c r="S6" i="62"/>
  <c r="R6" i="62"/>
  <c r="N4" i="62"/>
  <c r="N5" i="62" s="1"/>
  <c r="Q6" i="62"/>
  <c r="N6" i="62"/>
  <c r="M4" i="62"/>
  <c r="M5" i="62" s="1"/>
  <c r="P30" i="62"/>
  <c r="M6" i="62"/>
  <c r="O5" i="64" l="1"/>
  <c r="Q6" i="66"/>
  <c r="K6" i="66"/>
  <c r="P6" i="66"/>
  <c r="O6" i="64"/>
  <c r="R87" i="64"/>
  <c r="S6" i="64"/>
  <c r="S87" i="64"/>
  <c r="I6" i="64"/>
  <c r="I5" i="64"/>
  <c r="M87" i="64"/>
  <c r="T30" i="62"/>
  <c r="T6" i="62" s="1"/>
  <c r="P4" i="62"/>
  <c r="P5" i="62" s="1"/>
  <c r="P6" i="62"/>
  <c r="O6" i="66" l="1"/>
  <c r="M4" i="64"/>
  <c r="M5" i="64" s="1"/>
  <c r="M6" i="64"/>
  <c r="Q6" i="64"/>
  <c r="Q87" i="64"/>
  <c r="B6" i="16"/>
  <c r="B3" i="16" l="1"/>
  <c r="H1" i="16" l="1"/>
  <c r="G1" i="16"/>
  <c r="F1" i="16"/>
  <c r="C1" i="16" l="1"/>
  <c r="D1" i="16"/>
  <c r="E1" i="16"/>
  <c r="F9" i="23" l="1"/>
  <c r="F8" i="23"/>
  <c r="G8" i="23" s="1"/>
  <c r="I4" i="23"/>
  <c r="H4" i="23"/>
  <c r="N4" i="23" s="1"/>
  <c r="G4" i="23"/>
  <c r="F4" i="23"/>
  <c r="L4" i="23" s="1"/>
  <c r="L2" i="23" s="1"/>
  <c r="L3" i="23"/>
  <c r="I3" i="23"/>
  <c r="O3" i="23" s="1"/>
  <c r="O2" i="23" s="1"/>
  <c r="H3" i="23"/>
  <c r="N3" i="23" s="1"/>
  <c r="N2" i="23" s="1"/>
  <c r="G3" i="23"/>
  <c r="M3" i="23" s="1"/>
  <c r="M2" i="23" s="1"/>
  <c r="F3" i="23"/>
  <c r="F7" i="23" l="1"/>
  <c r="F2" i="23"/>
  <c r="G9" i="23"/>
  <c r="G7" i="23" s="1"/>
  <c r="I6" i="23"/>
  <c r="G2" i="23"/>
  <c r="H2" i="23"/>
  <c r="I2" i="23"/>
  <c r="B25" i="23"/>
  <c r="A25" i="23"/>
  <c r="F23" i="23"/>
  <c r="I23" i="23" s="1"/>
  <c r="B23" i="23"/>
  <c r="B22" i="23"/>
  <c r="B21" i="23"/>
  <c r="B20" i="23"/>
  <c r="B19" i="23"/>
  <c r="B18" i="23"/>
  <c r="B26" i="23" l="1"/>
  <c r="O4" i="23" s="1"/>
  <c r="C22" i="23"/>
  <c r="C21" i="23"/>
  <c r="C20" i="23"/>
  <c r="G23" i="23"/>
  <c r="H23" i="23"/>
  <c r="C19" i="23"/>
  <c r="M4" i="23" l="1"/>
  <c r="N107" i="64"/>
  <c r="R107" i="64" s="1"/>
  <c r="N104" i="64"/>
  <c r="R104" i="64" s="1"/>
  <c r="N110" i="64"/>
  <c r="R110" i="64" s="1"/>
  <c r="N105" i="64"/>
  <c r="R105" i="64" s="1"/>
  <c r="N90" i="64" l="1"/>
  <c r="N109" i="64"/>
  <c r="R109" i="64" s="1"/>
  <c r="N106" i="64"/>
  <c r="R106" i="64" s="1"/>
  <c r="N108" i="64"/>
  <c r="R108" i="64" s="1"/>
  <c r="N111" i="64"/>
  <c r="R111" i="64" s="1"/>
  <c r="R6" i="64" l="1"/>
  <c r="N6" i="64"/>
  <c r="R90" i="64"/>
  <c r="N4" i="64"/>
  <c r="N5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E120" authorId="0" shapeId="0" xr:uid="{16B3F04A-AC29-41F8-9675-210A51AD823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SG, SLP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tc={B5BB34F6-FF7B-4BF6-90FE-D913925DE9F0}</author>
  </authors>
  <commentList>
    <comment ref="L5" authorId="0" shapeId="0" xr:uid="{B5BB34F6-FF7B-4BF6-90FE-D913925DE9F0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due to Alisya Aman split to AZUL and AZTRAD for NB 2023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Dhea Fairuz Vibranti</author>
  </authors>
  <commentList>
    <comment ref="I3" authorId="0" shapeId="0" xr:uid="{CF2DBDF3-38C4-4872-AD0D-A5821F0F764F}">
      <text>
        <r>
          <rPr>
            <b/>
            <sz val="9"/>
            <color indexed="81"/>
            <rFont val="Tahoma"/>
            <family val="2"/>
          </rPr>
          <t>Dhea Fairuz Vibranti:</t>
        </r>
        <r>
          <rPr>
            <sz val="9"/>
            <color indexed="81"/>
            <rFont val="Tahoma"/>
            <family val="2"/>
          </rPr>
          <t xml:space="preserve">
exclude Non Aken</t>
        </r>
      </text>
    </comment>
    <comment ref="J3" authorId="0" shapeId="0" xr:uid="{4C66A83C-BCD0-4B52-9CD4-470C9B08D1CC}">
      <text>
        <r>
          <rPr>
            <b/>
            <sz val="9"/>
            <color indexed="81"/>
            <rFont val="Tahoma"/>
            <family val="2"/>
          </rPr>
          <t>Dhea Fairuz Vibranti:</t>
        </r>
        <r>
          <rPr>
            <sz val="9"/>
            <color indexed="81"/>
            <rFont val="Tahoma"/>
            <family val="2"/>
          </rPr>
          <t xml:space="preserve">
exclude Non Aken</t>
        </r>
      </text>
    </comment>
    <comment ref="K3" authorId="0" shapeId="0" xr:uid="{EEF1C9D8-6B3D-45AE-9298-938A2C23804E}">
      <text>
        <r>
          <rPr>
            <b/>
            <sz val="9"/>
            <color indexed="81"/>
            <rFont val="Tahoma"/>
            <family val="2"/>
          </rPr>
          <t>Dhea Fairuz Vibranti:</t>
        </r>
        <r>
          <rPr>
            <sz val="9"/>
            <color indexed="81"/>
            <rFont val="Tahoma"/>
            <family val="2"/>
          </rPr>
          <t xml:space="preserve">
exclude Non Aken
</t>
        </r>
      </text>
    </comment>
  </commentList>
</comments>
</file>

<file path=xl/sharedStrings.xml><?xml version="1.0" encoding="utf-8"?>
<sst xmlns="http://schemas.openxmlformats.org/spreadsheetml/2006/main" count="4437" uniqueCount="2643">
  <si>
    <t>No</t>
  </si>
  <si>
    <t>Path</t>
  </si>
  <si>
    <t>Filename</t>
  </si>
  <si>
    <t>Tab Name</t>
  </si>
  <si>
    <t>Copy Range</t>
  </si>
  <si>
    <t>Target Tab</t>
  </si>
  <si>
    <t>Paste Range</t>
  </si>
  <si>
    <t>IT_AZUL_FULL_Stat.csv</t>
  </si>
  <si>
    <t>IT_AZUL_FULL_Stat</t>
  </si>
  <si>
    <t>A:F</t>
  </si>
  <si>
    <t>IT_AZTRAD_FULL_Stat.csv</t>
  </si>
  <si>
    <t>IT_AZTRAD_FULL_Stat</t>
  </si>
  <si>
    <t>A:E</t>
  </si>
  <si>
    <t>DV_AZTRAD_Stat.csv</t>
  </si>
  <si>
    <t>DV_AZTRAD_Stat</t>
  </si>
  <si>
    <t>Summary.csv</t>
  </si>
  <si>
    <t>Summary</t>
  </si>
  <si>
    <t>Grouping</t>
  </si>
  <si>
    <t>DV Output [1]</t>
  </si>
  <si>
    <t>Raw Data [2]</t>
  </si>
  <si>
    <t>Checking Result [1]-[2]</t>
  </si>
  <si>
    <t>Different Percentage</t>
  </si>
  <si>
    <t>Remarks</t>
  </si>
  <si>
    <t>pol_e</t>
  </si>
  <si>
    <t>sa_if_m</t>
  </si>
  <si>
    <t>anp_if_m</t>
  </si>
  <si>
    <t>total_fund_sum</t>
  </si>
  <si>
    <t>policy_count</t>
  </si>
  <si>
    <t>UL_IDR</t>
  </si>
  <si>
    <t>UL_USD</t>
  </si>
  <si>
    <t>TRAD_IDR</t>
  </si>
  <si>
    <t>TRAD_USD</t>
  </si>
  <si>
    <t>Prophet Code</t>
  </si>
  <si>
    <t>Flag Code</t>
  </si>
  <si>
    <t>CEALSP</t>
  </si>
  <si>
    <t>ALSP</t>
  </si>
  <si>
    <t>UEATSB</t>
  </si>
  <si>
    <t>ATSBH</t>
  </si>
  <si>
    <t>CEBEA_</t>
  </si>
  <si>
    <t>BEA</t>
  </si>
  <si>
    <t>ULAALM</t>
  </si>
  <si>
    <t>AALM</t>
  </si>
  <si>
    <t>CEBSA_</t>
  </si>
  <si>
    <t>BSA</t>
  </si>
  <si>
    <t>ULABA_</t>
  </si>
  <si>
    <t>ASBA</t>
  </si>
  <si>
    <t>CECC__</t>
  </si>
  <si>
    <t>CLLGC</t>
  </si>
  <si>
    <t>ULAI__</t>
  </si>
  <si>
    <t>ASI</t>
  </si>
  <si>
    <t>CEECP_</t>
  </si>
  <si>
    <t>ECP</t>
  </si>
  <si>
    <t>ULAMAP</t>
  </si>
  <si>
    <t>ASMAP</t>
  </si>
  <si>
    <t>CEEDU_</t>
  </si>
  <si>
    <t>EDU</t>
  </si>
  <si>
    <t>ULAMF2</t>
  </si>
  <si>
    <t>ASMFP</t>
  </si>
  <si>
    <t>CEEEP_</t>
  </si>
  <si>
    <t>EEP</t>
  </si>
  <si>
    <t>ULAMFP</t>
  </si>
  <si>
    <t>CEEFP_</t>
  </si>
  <si>
    <t>EFP</t>
  </si>
  <si>
    <t>ULAP__</t>
  </si>
  <si>
    <t>ASP</t>
  </si>
  <si>
    <t>CEESP_</t>
  </si>
  <si>
    <t>ESP</t>
  </si>
  <si>
    <t>ULAPO1</t>
  </si>
  <si>
    <t>ASPOA</t>
  </si>
  <si>
    <t>CEEUP_</t>
  </si>
  <si>
    <t>EUP</t>
  </si>
  <si>
    <t>ULAPO2</t>
  </si>
  <si>
    <t>CEFC50</t>
  </si>
  <si>
    <t>FRC50</t>
  </si>
  <si>
    <t>ULAPO3</t>
  </si>
  <si>
    <t>CEFC55</t>
  </si>
  <si>
    <t>FRC55</t>
  </si>
  <si>
    <t>ULAPO4</t>
  </si>
  <si>
    <t>CEFC60</t>
  </si>
  <si>
    <t>FRC60</t>
  </si>
  <si>
    <t>ULAPR_</t>
  </si>
  <si>
    <t>RASP</t>
  </si>
  <si>
    <t>CEFPST</t>
  </si>
  <si>
    <t>FLPST</t>
  </si>
  <si>
    <t>ULARK_</t>
  </si>
  <si>
    <t>ASRKP</t>
  </si>
  <si>
    <t>CEFR50</t>
  </si>
  <si>
    <t>FR50</t>
  </si>
  <si>
    <t>ULARLK</t>
  </si>
  <si>
    <t>MARLK</t>
  </si>
  <si>
    <t>CEFR55</t>
  </si>
  <si>
    <t>FR55</t>
  </si>
  <si>
    <t>ULARP2</t>
  </si>
  <si>
    <t>ARPL_</t>
  </si>
  <si>
    <t>ARPL</t>
  </si>
  <si>
    <t>CEFR60</t>
  </si>
  <si>
    <t>FR60</t>
  </si>
  <si>
    <t>ULARPL</t>
  </si>
  <si>
    <t>CEGPST</t>
  </si>
  <si>
    <t>GUPST</t>
  </si>
  <si>
    <t>ULARPN</t>
  </si>
  <si>
    <t>ARPL2</t>
  </si>
  <si>
    <t>CEHPST</t>
  </si>
  <si>
    <t>HPST</t>
  </si>
  <si>
    <t>ULASFA</t>
  </si>
  <si>
    <t>ASFA</t>
  </si>
  <si>
    <t>CEHT__</t>
  </si>
  <si>
    <t>HT</t>
  </si>
  <si>
    <t>ULASPO</t>
  </si>
  <si>
    <t>RAPOA</t>
  </si>
  <si>
    <t>CEME__</t>
  </si>
  <si>
    <t>MYEDU</t>
  </si>
  <si>
    <t>ULASPP</t>
  </si>
  <si>
    <t>RNASPP</t>
  </si>
  <si>
    <t>CEMF50</t>
  </si>
  <si>
    <t>MYF50</t>
  </si>
  <si>
    <t>ULASS_</t>
  </si>
  <si>
    <t>ASLSS</t>
  </si>
  <si>
    <t>CEMF55</t>
  </si>
  <si>
    <t>MYF55</t>
  </si>
  <si>
    <t>ULAWPL</t>
  </si>
  <si>
    <t>AWPL</t>
  </si>
  <si>
    <t>CEMF60</t>
  </si>
  <si>
    <t>MYF60</t>
  </si>
  <si>
    <t>ULAWPR</t>
  </si>
  <si>
    <t>AWPF</t>
  </si>
  <si>
    <t>CEMFP1</t>
  </si>
  <si>
    <t>MFP50</t>
  </si>
  <si>
    <t>ULBPMC</t>
  </si>
  <si>
    <t>BJPMC</t>
  </si>
  <si>
    <t>CEMFP2</t>
  </si>
  <si>
    <t>MFP55</t>
  </si>
  <si>
    <t>ULBPOC</t>
  </si>
  <si>
    <t>BJPOC</t>
  </si>
  <si>
    <t>CEMFP3</t>
  </si>
  <si>
    <t>MFP60</t>
  </si>
  <si>
    <t>ULCIP_</t>
  </si>
  <si>
    <t>HSCIP</t>
  </si>
  <si>
    <t>CEMPST</t>
  </si>
  <si>
    <t>MYPST</t>
  </si>
  <si>
    <t>ULCIPA</t>
  </si>
  <si>
    <t>HCIPA</t>
  </si>
  <si>
    <t>CEPL__</t>
  </si>
  <si>
    <t>PL</t>
  </si>
  <si>
    <t>ULCP__</t>
  </si>
  <si>
    <t>SHCP</t>
  </si>
  <si>
    <t>CEPLA_</t>
  </si>
  <si>
    <t>PLA</t>
  </si>
  <si>
    <t>ULCPK_</t>
  </si>
  <si>
    <t>CESC__</t>
  </si>
  <si>
    <t>SC</t>
  </si>
  <si>
    <t>ULCPRA</t>
  </si>
  <si>
    <t>CPRA</t>
  </si>
  <si>
    <t>CESCP_</t>
  </si>
  <si>
    <t>PSC</t>
  </si>
  <si>
    <t>ULDMSA</t>
  </si>
  <si>
    <t>DMSA</t>
  </si>
  <si>
    <t>CESD__</t>
  </si>
  <si>
    <t>SD</t>
  </si>
  <si>
    <t>ULDRK_</t>
  </si>
  <si>
    <t>DRKU</t>
  </si>
  <si>
    <t>CESDP_</t>
  </si>
  <si>
    <t>PSD</t>
  </si>
  <si>
    <t>ULDRKA</t>
  </si>
  <si>
    <t>DRKUA</t>
  </si>
  <si>
    <t>CESE__</t>
  </si>
  <si>
    <t>SE</t>
  </si>
  <si>
    <t>ULDRKS</t>
  </si>
  <si>
    <t>DRKFS</t>
  </si>
  <si>
    <t>CESEP_</t>
  </si>
  <si>
    <t>PSE</t>
  </si>
  <si>
    <t>ULDRP_</t>
  </si>
  <si>
    <t>DRKPS</t>
  </si>
  <si>
    <t>CESF__</t>
  </si>
  <si>
    <t>SF</t>
  </si>
  <si>
    <t>ULFC__</t>
  </si>
  <si>
    <t>SHFC</t>
  </si>
  <si>
    <t>CESFP_</t>
  </si>
  <si>
    <t>PSF</t>
  </si>
  <si>
    <t>ULFCK_</t>
  </si>
  <si>
    <t>CESS__</t>
  </si>
  <si>
    <t>SS</t>
  </si>
  <si>
    <t>ULFIVS</t>
  </si>
  <si>
    <t>FIVS</t>
  </si>
  <si>
    <t>CESSP_</t>
  </si>
  <si>
    <t>PSS</t>
  </si>
  <si>
    <t>ULFLFS</t>
  </si>
  <si>
    <t>FLFS</t>
  </si>
  <si>
    <t>CESU__</t>
  </si>
  <si>
    <t>SU</t>
  </si>
  <si>
    <t>ULFS__</t>
  </si>
  <si>
    <t>SLFS</t>
  </si>
  <si>
    <t>CESUP_</t>
  </si>
  <si>
    <t>PSU</t>
  </si>
  <si>
    <t>ULFT__</t>
  </si>
  <si>
    <t>SCFT</t>
  </si>
  <si>
    <t>CEZPST</t>
  </si>
  <si>
    <t>AZPST</t>
  </si>
  <si>
    <t>ULGI1_</t>
  </si>
  <si>
    <t>GI1B</t>
  </si>
  <si>
    <t>CJLIFE</t>
  </si>
  <si>
    <t>JLIFE</t>
  </si>
  <si>
    <t>ULGSU_</t>
  </si>
  <si>
    <t>GSL</t>
  </si>
  <si>
    <t>CTCICP</t>
  </si>
  <si>
    <t>CICP</t>
  </si>
  <si>
    <t>ULGUP_</t>
  </si>
  <si>
    <t>GUPR</t>
  </si>
  <si>
    <t>CTMPJG</t>
  </si>
  <si>
    <t>MJG</t>
  </si>
  <si>
    <t>ULGUSI</t>
  </si>
  <si>
    <t>GUSI</t>
  </si>
  <si>
    <t>CTMPJS</t>
  </si>
  <si>
    <t>MJS1</t>
  </si>
  <si>
    <t>ULGW__</t>
  </si>
  <si>
    <t>GWL</t>
  </si>
  <si>
    <t>CTMPSL</t>
  </si>
  <si>
    <t>MPSPL</t>
  </si>
  <si>
    <t>ULHPWA</t>
  </si>
  <si>
    <t>HPWA</t>
  </si>
  <si>
    <t>CTSL__</t>
  </si>
  <si>
    <t>SL</t>
  </si>
  <si>
    <t>ULHTKG</t>
  </si>
  <si>
    <t>HTK_G</t>
  </si>
  <si>
    <t>CTTP__</t>
  </si>
  <si>
    <t>TP</t>
  </si>
  <si>
    <t>ULHTKP</t>
  </si>
  <si>
    <t>HTK_P</t>
  </si>
  <si>
    <t>CWEWP_</t>
  </si>
  <si>
    <t>EWP</t>
  </si>
  <si>
    <t>ULHTKS</t>
  </si>
  <si>
    <t>HTK_S</t>
  </si>
  <si>
    <t>CWEXP_</t>
  </si>
  <si>
    <t>EXP</t>
  </si>
  <si>
    <t>ULHUWA</t>
  </si>
  <si>
    <t>HUWA</t>
  </si>
  <si>
    <t>CWMP__</t>
  </si>
  <si>
    <t>MYPRO</t>
  </si>
  <si>
    <t>ULMA__</t>
  </si>
  <si>
    <t>SLMA</t>
  </si>
  <si>
    <t>CWMWKU</t>
  </si>
  <si>
    <t>MWKU</t>
  </si>
  <si>
    <t>ULMAP_</t>
  </si>
  <si>
    <t>SLMAP</t>
  </si>
  <si>
    <t>CWSX__</t>
  </si>
  <si>
    <t>SX</t>
  </si>
  <si>
    <t>ULME__</t>
  </si>
  <si>
    <t>SLME</t>
  </si>
  <si>
    <t>CWSXP_</t>
  </si>
  <si>
    <t>PSX</t>
  </si>
  <si>
    <t>ULML__</t>
  </si>
  <si>
    <t>SLML</t>
  </si>
  <si>
    <t>CCBPC2</t>
  </si>
  <si>
    <t>ULMPB_</t>
  </si>
  <si>
    <t>MSMPB</t>
  </si>
  <si>
    <t>CCBPC3</t>
  </si>
  <si>
    <t>ULMPI_</t>
  </si>
  <si>
    <t>MYPI</t>
  </si>
  <si>
    <t>CCBPCN</t>
  </si>
  <si>
    <t>ULMPIN</t>
  </si>
  <si>
    <t>MPINF</t>
  </si>
  <si>
    <t>CCWSA_</t>
  </si>
  <si>
    <t>ULMPP_</t>
  </si>
  <si>
    <t>MYMPP</t>
  </si>
  <si>
    <t>CCBKA_</t>
  </si>
  <si>
    <t>ULMPS_</t>
  </si>
  <si>
    <t>MYMPS</t>
  </si>
  <si>
    <t>WPCI77</t>
  </si>
  <si>
    <t>ULMSU_</t>
  </si>
  <si>
    <t>MYSU</t>
  </si>
  <si>
    <t>CSAMAN</t>
  </si>
  <si>
    <t>ASAMN</t>
  </si>
  <si>
    <t>ULMWP1</t>
  </si>
  <si>
    <t>MWP1</t>
  </si>
  <si>
    <t>CCBKP_</t>
  </si>
  <si>
    <t>ULNHM1</t>
  </si>
  <si>
    <t>NHM1</t>
  </si>
  <si>
    <t>CCBKR_</t>
  </si>
  <si>
    <t>ULNHM2</t>
  </si>
  <si>
    <t>NHM2</t>
  </si>
  <si>
    <t>CCWSP_</t>
  </si>
  <si>
    <t>ULNHM3</t>
  </si>
  <si>
    <t>NHM3</t>
  </si>
  <si>
    <t>CCWSR_</t>
  </si>
  <si>
    <t>ULOC__</t>
  </si>
  <si>
    <t>OPCI</t>
  </si>
  <si>
    <t>CCPBMT</t>
  </si>
  <si>
    <t>ULPPN_</t>
  </si>
  <si>
    <t>SLPPN</t>
  </si>
  <si>
    <t>CSHCPP</t>
  </si>
  <si>
    <t>ULPPNR</t>
  </si>
  <si>
    <t>RLPPN</t>
  </si>
  <si>
    <t>CHEAZY</t>
  </si>
  <si>
    <t>ULPS__</t>
  </si>
  <si>
    <t>SLPS</t>
  </si>
  <si>
    <t>CWGLGC</t>
  </si>
  <si>
    <t>GLGC</t>
  </si>
  <si>
    <t>ULPSR_</t>
  </si>
  <si>
    <t>RSLPS</t>
  </si>
  <si>
    <t>CWLGC_</t>
  </si>
  <si>
    <t>AZLGC</t>
  </si>
  <si>
    <t>ULRC__</t>
  </si>
  <si>
    <t>SHRE</t>
  </si>
  <si>
    <t>CWLGCP</t>
  </si>
  <si>
    <t>ALGCP</t>
  </si>
  <si>
    <t>ULRCK_</t>
  </si>
  <si>
    <t>CWMLGC</t>
  </si>
  <si>
    <t>MLGC</t>
  </si>
  <si>
    <t>ULRPOA</t>
  </si>
  <si>
    <t>RNSPOA</t>
  </si>
  <si>
    <t>CSHNDL</t>
  </si>
  <si>
    <t>ASHDL</t>
  </si>
  <si>
    <t>ULSBA_</t>
  </si>
  <si>
    <t>SLBA</t>
  </si>
  <si>
    <t>CEPNTR</t>
  </si>
  <si>
    <t>APINS</t>
  </si>
  <si>
    <t>ULSBAR</t>
  </si>
  <si>
    <t>RSLBA</t>
  </si>
  <si>
    <t>MPINS</t>
  </si>
  <si>
    <t>ULSDIP</t>
  </si>
  <si>
    <t>SLDIP</t>
  </si>
  <si>
    <t>HPINS</t>
  </si>
  <si>
    <t>ULSEXP</t>
  </si>
  <si>
    <t>SLEXP</t>
  </si>
  <si>
    <t>GPINS</t>
  </si>
  <si>
    <t>ULSFA_</t>
  </si>
  <si>
    <t>SLFA</t>
  </si>
  <si>
    <t>CHEAZH</t>
  </si>
  <si>
    <t>ULSMFP</t>
  </si>
  <si>
    <t>SLMFP</t>
  </si>
  <si>
    <t>CTEZPL</t>
  </si>
  <si>
    <t>EZPL</t>
  </si>
  <si>
    <t>ULSMP1</t>
  </si>
  <si>
    <t>SLMP1</t>
  </si>
  <si>
    <t>CTPLA_</t>
  </si>
  <si>
    <t>HPLA</t>
  </si>
  <si>
    <t>ULSMP2</t>
  </si>
  <si>
    <t>SLMP2</t>
  </si>
  <si>
    <t>CHCPT_</t>
  </si>
  <si>
    <t>ULSMP3</t>
  </si>
  <si>
    <t>SLMP3</t>
  </si>
  <si>
    <t>CSCI49</t>
  </si>
  <si>
    <t>ULSMP4</t>
  </si>
  <si>
    <t>SMP1B</t>
  </si>
  <si>
    <t>AZPS3</t>
  </si>
  <si>
    <t>ULSMP5</t>
  </si>
  <si>
    <t>SMP2B</t>
  </si>
  <si>
    <t>CCMTA_</t>
  </si>
  <si>
    <t>ULSMP6</t>
  </si>
  <si>
    <t>SMP3B</t>
  </si>
  <si>
    <t>ULSMPV</t>
  </si>
  <si>
    <t>SMPV</t>
  </si>
  <si>
    <t>CCMTPL</t>
  </si>
  <si>
    <t>ULSNF2</t>
  </si>
  <si>
    <t>SLNF2</t>
  </si>
  <si>
    <t>MYREN</t>
  </si>
  <si>
    <t>ULSNFA</t>
  </si>
  <si>
    <t>SLNFA</t>
  </si>
  <si>
    <t>CWPRLA</t>
  </si>
  <si>
    <t>HPRLA</t>
  </si>
  <si>
    <t>ULSNFR</t>
  </si>
  <si>
    <t>RLNFA</t>
  </si>
  <si>
    <t>CSLGM_</t>
  </si>
  <si>
    <t>ASLGM</t>
  </si>
  <si>
    <t>ULSNW_</t>
  </si>
  <si>
    <t>SHSNW</t>
  </si>
  <si>
    <t>ULSNWK</t>
  </si>
  <si>
    <t>ULSPN1</t>
  </si>
  <si>
    <t>SLPN1</t>
  </si>
  <si>
    <t>ULSPN2</t>
  </si>
  <si>
    <t>SLPN2</t>
  </si>
  <si>
    <t>ULSPO1</t>
  </si>
  <si>
    <t>SLPOA</t>
  </si>
  <si>
    <t>ULSPO2</t>
  </si>
  <si>
    <t>ULSPO3</t>
  </si>
  <si>
    <t>ULSPO4</t>
  </si>
  <si>
    <t>ULSPO5</t>
  </si>
  <si>
    <t>ULSPO6</t>
  </si>
  <si>
    <t>ULSPO7</t>
  </si>
  <si>
    <t>ULSPP_</t>
  </si>
  <si>
    <t>SLPP</t>
  </si>
  <si>
    <t>ULSPPR</t>
  </si>
  <si>
    <t>RSLPP</t>
  </si>
  <si>
    <t>ULSS__</t>
  </si>
  <si>
    <t>SLSS</t>
  </si>
  <si>
    <t>ULSSA_</t>
  </si>
  <si>
    <t>SLSA</t>
  </si>
  <si>
    <t>ULSSA2</t>
  </si>
  <si>
    <t>SLSA2</t>
  </si>
  <si>
    <t>ULSSP_</t>
  </si>
  <si>
    <t>SLSSP</t>
  </si>
  <si>
    <t>ULSSP1</t>
  </si>
  <si>
    <t>ASSP1</t>
  </si>
  <si>
    <t>ANSSP</t>
  </si>
  <si>
    <t>ULSSP2</t>
  </si>
  <si>
    <t>ASSP2</t>
  </si>
  <si>
    <t>ULSSPR</t>
  </si>
  <si>
    <t>RLSSP</t>
  </si>
  <si>
    <t>ULSSR_</t>
  </si>
  <si>
    <t>RSLSS</t>
  </si>
  <si>
    <t>ULSUS_</t>
  </si>
  <si>
    <t>SLUS</t>
  </si>
  <si>
    <t>ULSVM1</t>
  </si>
  <si>
    <t>SLVM1</t>
  </si>
  <si>
    <t>ULSVM2</t>
  </si>
  <si>
    <t>SLVM2</t>
  </si>
  <si>
    <t>ULSVM3</t>
  </si>
  <si>
    <t>SLVM3</t>
  </si>
  <si>
    <t>ULSVP_</t>
  </si>
  <si>
    <t>SLVP</t>
  </si>
  <si>
    <t>ULUML_</t>
  </si>
  <si>
    <t>UML</t>
  </si>
  <si>
    <t>UVSG1_</t>
  </si>
  <si>
    <t>SLP</t>
  </si>
  <si>
    <t>UVSG2_</t>
  </si>
  <si>
    <t>SG</t>
  </si>
  <si>
    <t>ULASMN</t>
  </si>
  <si>
    <t>ULGUMA</t>
  </si>
  <si>
    <t>GUMA</t>
  </si>
  <si>
    <t>ULMSU2</t>
  </si>
  <si>
    <t>MYSU2</t>
  </si>
  <si>
    <t>ULGALL</t>
  </si>
  <si>
    <t>ULGALLOC</t>
  </si>
  <si>
    <t>ULSPOO</t>
  </si>
  <si>
    <t>ULSPOOL</t>
  </si>
  <si>
    <t>ULASLF</t>
  </si>
  <si>
    <t>ASPLF</t>
  </si>
  <si>
    <t>ULGUPM</t>
  </si>
  <si>
    <t>GUPM</t>
  </si>
  <si>
    <t>ULGUTI</t>
  </si>
  <si>
    <t>GUTI</t>
  </si>
  <si>
    <t>ULHPIP</t>
  </si>
  <si>
    <t>HPIP</t>
  </si>
  <si>
    <t>ULHSWA</t>
  </si>
  <si>
    <t>HSWA</t>
  </si>
  <si>
    <t>ULMPB2</t>
  </si>
  <si>
    <t>MSPB2</t>
  </si>
  <si>
    <t>ULMPN2</t>
  </si>
  <si>
    <t>MPIN2</t>
  </si>
  <si>
    <t>ULMPP2</t>
  </si>
  <si>
    <t>MYMP2</t>
  </si>
  <si>
    <t>ULRPLF</t>
  </si>
  <si>
    <t>SLPLF</t>
  </si>
  <si>
    <t>ULWPL2</t>
  </si>
  <si>
    <t>AWPL2</t>
  </si>
  <si>
    <t>ULWPR2</t>
  </si>
  <si>
    <t>AWPR</t>
  </si>
  <si>
    <t>ULAAOP</t>
  </si>
  <si>
    <t>AAOP</t>
  </si>
  <si>
    <t>ULMPI2</t>
  </si>
  <si>
    <t>MYPI2</t>
  </si>
  <si>
    <t>ULGUOP</t>
  </si>
  <si>
    <t>GUOP</t>
  </si>
  <si>
    <t>PRODUCT_CODE</t>
  </si>
  <si>
    <t>PR_CURR</t>
  </si>
  <si>
    <t>POLICY_NO_Count</t>
  </si>
  <si>
    <t>pre_ann_Sum</t>
  </si>
  <si>
    <t>PR_SA_Sum</t>
  </si>
  <si>
    <t>total_fund_Sum</t>
  </si>
  <si>
    <t>Grouping Raw Data</t>
  </si>
  <si>
    <t>BASE_AALM</t>
  </si>
  <si>
    <t>IDR</t>
  </si>
  <si>
    <t>USD</t>
  </si>
  <si>
    <t>BASE_AAOP</t>
  </si>
  <si>
    <t>BASE_ANSSP</t>
  </si>
  <si>
    <t>BASE_ARPL</t>
  </si>
  <si>
    <t>BASE_ASAMN</t>
  </si>
  <si>
    <t>BASE_ASBA</t>
  </si>
  <si>
    <t>BASE_ASFA</t>
  </si>
  <si>
    <t>BASE_ASI</t>
  </si>
  <si>
    <t>BASE_ASLSS</t>
  </si>
  <si>
    <t>BASE_ASMAP</t>
  </si>
  <si>
    <t>BASE_ASMFP</t>
  </si>
  <si>
    <t>BASE_ASP</t>
  </si>
  <si>
    <t>BASE_ASPLF</t>
  </si>
  <si>
    <t>BASE_ASPOA</t>
  </si>
  <si>
    <t>BASE_ASRKP</t>
  </si>
  <si>
    <t>BASE_ATSBH</t>
  </si>
  <si>
    <t>BASE_AWPF</t>
  </si>
  <si>
    <t>BASE_AWPL</t>
  </si>
  <si>
    <t>BASE_AWPL2</t>
  </si>
  <si>
    <t>BASE_AWPR</t>
  </si>
  <si>
    <t>BASE_BJPMC</t>
  </si>
  <si>
    <t>BASE_BJPOC</t>
  </si>
  <si>
    <t>BASE_CPRA</t>
  </si>
  <si>
    <t>BASE_DMSA</t>
  </si>
  <si>
    <t>BASE_DRKFS</t>
  </si>
  <si>
    <t>BASE_DRKPS</t>
  </si>
  <si>
    <t>BASE_DRKU</t>
  </si>
  <si>
    <t>BASE_DRKUA</t>
  </si>
  <si>
    <t>BASE_FIVS</t>
  </si>
  <si>
    <t>BASE_FLFS</t>
  </si>
  <si>
    <t>BASE_GI1B</t>
  </si>
  <si>
    <t>BASE_GSL</t>
  </si>
  <si>
    <t>BASE_GUMA</t>
  </si>
  <si>
    <t>BASE_GUOP</t>
  </si>
  <si>
    <t>BASE_GUPM</t>
  </si>
  <si>
    <t>BASE_GUPR</t>
  </si>
  <si>
    <t>BASE_GUSI</t>
  </si>
  <si>
    <t>BASE_GUTI</t>
  </si>
  <si>
    <t>BASE_GWL</t>
  </si>
  <si>
    <t>BASE_HCIPA</t>
  </si>
  <si>
    <t>BASE_HPIP</t>
  </si>
  <si>
    <t>BASE_HPWA</t>
  </si>
  <si>
    <t>BASE_HSCIP</t>
  </si>
  <si>
    <t>BASE_HSWA</t>
  </si>
  <si>
    <t>BASE_HTK_G</t>
  </si>
  <si>
    <t>BASE_HTK_P</t>
  </si>
  <si>
    <t>BASE_HTK_S</t>
  </si>
  <si>
    <t>BASE_HUWA</t>
  </si>
  <si>
    <t>BASE_MARLK</t>
  </si>
  <si>
    <t>BASE_MPIN2</t>
  </si>
  <si>
    <t>BASE_MPINF</t>
  </si>
  <si>
    <t>BASE_MSMPB</t>
  </si>
  <si>
    <t>BASE_MSPB2</t>
  </si>
  <si>
    <t>BASE_MYMP2</t>
  </si>
  <si>
    <t>BASE_MYMPP</t>
  </si>
  <si>
    <t>BASE_MYMPS</t>
  </si>
  <si>
    <t>BASE_MYPI</t>
  </si>
  <si>
    <t>BASE_MYPI2</t>
  </si>
  <si>
    <t>BASE_MYSU</t>
  </si>
  <si>
    <t>BASE_MYSU2</t>
  </si>
  <si>
    <t>BASE_NASPP</t>
  </si>
  <si>
    <t>BASE_NHM1</t>
  </si>
  <si>
    <t>BASE_NHM2</t>
  </si>
  <si>
    <t>BASE_NHM3</t>
  </si>
  <si>
    <t>BASE_NSFAP</t>
  </si>
  <si>
    <t>BASE_OPCI</t>
  </si>
  <si>
    <t>BASE_RAPOA</t>
  </si>
  <si>
    <t>BASE_RASP</t>
  </si>
  <si>
    <t>BASE_RASPP</t>
  </si>
  <si>
    <t>BASE_RLNFA</t>
  </si>
  <si>
    <t>BASE_RLPPN</t>
  </si>
  <si>
    <t>BASE_RLSSP</t>
  </si>
  <si>
    <t>BASE_RSLBA</t>
  </si>
  <si>
    <t>BASE_RSLPP</t>
  </si>
  <si>
    <t>BASE_RSLPS</t>
  </si>
  <si>
    <t>BASE_RSLSS</t>
  </si>
  <si>
    <t>BASE_RSPOA</t>
  </si>
  <si>
    <t>BASE_SCFT</t>
  </si>
  <si>
    <t>BASE_SG</t>
  </si>
  <si>
    <t>BASE_SHCP</t>
  </si>
  <si>
    <t>BASE_SHFC</t>
  </si>
  <si>
    <t>BASE_SHRE</t>
  </si>
  <si>
    <t>BASE_SHSNW</t>
  </si>
  <si>
    <t>BASE_SLBA</t>
  </si>
  <si>
    <t>BASE_SLDIP</t>
  </si>
  <si>
    <t>BASE_SLEXP</t>
  </si>
  <si>
    <t>BASE_SLFA</t>
  </si>
  <si>
    <t>BASE_SLFS</t>
  </si>
  <si>
    <t>BASE_SLMA</t>
  </si>
  <si>
    <t>BASE_SLMAP</t>
  </si>
  <si>
    <t>BASE_SLME</t>
  </si>
  <si>
    <t>BASE_SLMFP</t>
  </si>
  <si>
    <t>BASE_SLML</t>
  </si>
  <si>
    <t>BASE_SLMP1</t>
  </si>
  <si>
    <t>BASE_SLMP2</t>
  </si>
  <si>
    <t>BASE_SLNF2</t>
  </si>
  <si>
    <t>BASE_SLNFA</t>
  </si>
  <si>
    <t>BASE_SLP</t>
  </si>
  <si>
    <t>BASE_SLPLF</t>
  </si>
  <si>
    <t>BASE_SLPN1</t>
  </si>
  <si>
    <t>BASE_SLPN2</t>
  </si>
  <si>
    <t>BASE_SLPOA</t>
  </si>
  <si>
    <t>BASE_SLPP</t>
  </si>
  <si>
    <t>BASE_SLPPN</t>
  </si>
  <si>
    <t>BASE_SLPS</t>
  </si>
  <si>
    <t>BASE_SLSA</t>
  </si>
  <si>
    <t>BASE_SLSA2</t>
  </si>
  <si>
    <t>BASE_SLSS</t>
  </si>
  <si>
    <t>BASE_SLSSP</t>
  </si>
  <si>
    <t>BASE_SLUS</t>
  </si>
  <si>
    <t>BASE_SLVM1</t>
  </si>
  <si>
    <t>BASE_SLVM2</t>
  </si>
  <si>
    <t>BASE_SLVM3</t>
  </si>
  <si>
    <t>BASE_SLVP</t>
  </si>
  <si>
    <t>BASE_SMP1B</t>
  </si>
  <si>
    <t>BASE_SMP2B</t>
  </si>
  <si>
    <t>BASE_SMP3B</t>
  </si>
  <si>
    <t>BASE_SMPV</t>
  </si>
  <si>
    <t>BASE_UML</t>
  </si>
  <si>
    <t>CURRENCY1</t>
  </si>
  <si>
    <t>POLICY_REF_Count</t>
  </si>
  <si>
    <t>sum_assd_Sum</t>
  </si>
  <si>
    <t>BASE_AZLGC</t>
  </si>
  <si>
    <t>BASE_FRC50</t>
  </si>
  <si>
    <t>BASE_MLGC</t>
  </si>
  <si>
    <t>BASE_MJG1</t>
  </si>
  <si>
    <t>BASE_EXP</t>
  </si>
  <si>
    <t>BASE_ECP</t>
  </si>
  <si>
    <t>RID_PB77</t>
  </si>
  <si>
    <t>BASE_SX</t>
  </si>
  <si>
    <t>BASE_EWP</t>
  </si>
  <si>
    <t>BASE_MYPRO</t>
  </si>
  <si>
    <t>BASE_FR55</t>
  </si>
  <si>
    <t>BASE_ESP</t>
  </si>
  <si>
    <t>BASE_EFP</t>
  </si>
  <si>
    <t>BASE_FR50</t>
  </si>
  <si>
    <t>BASE_MYF50</t>
  </si>
  <si>
    <t>BASE_EUP</t>
  </si>
  <si>
    <t>BASE_HPST</t>
  </si>
  <si>
    <t>BASE_SC</t>
  </si>
  <si>
    <t>BASE_MPSPL</t>
  </si>
  <si>
    <t>BASE_HPINS</t>
  </si>
  <si>
    <t>BASE_GPINS</t>
  </si>
  <si>
    <t>BASE_MPINS</t>
  </si>
  <si>
    <t>BASE_GLGC</t>
  </si>
  <si>
    <t>BASE_JLIFE</t>
  </si>
  <si>
    <t>BASE_MJG2</t>
  </si>
  <si>
    <t>BASE_HPLA</t>
  </si>
  <si>
    <t>BASE_EZPL</t>
  </si>
  <si>
    <t>BASE_ALGCP</t>
  </si>
  <si>
    <t>RID_PB77A3</t>
  </si>
  <si>
    <t>BASE_CLLGC</t>
  </si>
  <si>
    <t>BASE_PSX</t>
  </si>
  <si>
    <t>BASE_AZPST</t>
  </si>
  <si>
    <t>BASE_FRC55</t>
  </si>
  <si>
    <t>BASE_APINS</t>
  </si>
  <si>
    <t>BASE_SE</t>
  </si>
  <si>
    <t>BASE_MYF55</t>
  </si>
  <si>
    <t>BASE_SF</t>
  </si>
  <si>
    <t>BASE_EDU</t>
  </si>
  <si>
    <t>BASE_MJS1</t>
  </si>
  <si>
    <t>BASE_MYPST</t>
  </si>
  <si>
    <t>BASE_MYEDU</t>
  </si>
  <si>
    <t>BASE_MWKU</t>
  </si>
  <si>
    <t>BASE_MYF60</t>
  </si>
  <si>
    <t>BASE_FRC60</t>
  </si>
  <si>
    <t>BASE_PSF</t>
  </si>
  <si>
    <t>BASE_BEA</t>
  </si>
  <si>
    <t>BASE_BSA</t>
  </si>
  <si>
    <t>BASE_PL</t>
  </si>
  <si>
    <t>BASE_SS</t>
  </si>
  <si>
    <t>BASE_ALSP</t>
  </si>
  <si>
    <t>BASE_AZPS3</t>
  </si>
  <si>
    <t>BASE_CICP</t>
  </si>
  <si>
    <t>BASE_TP</t>
  </si>
  <si>
    <t>BASE_GUPST</t>
  </si>
  <si>
    <t>BASE_PSS</t>
  </si>
  <si>
    <t>BASE_SU</t>
  </si>
  <si>
    <t>BASE_PSU</t>
  </si>
  <si>
    <t>BASE_PLA</t>
  </si>
  <si>
    <t>BASE_FR60</t>
  </si>
  <si>
    <t>RID_HCPTM</t>
  </si>
  <si>
    <t>BASE_SL</t>
  </si>
  <si>
    <t>BASE_NA_X</t>
  </si>
  <si>
    <t>BASE_HT</t>
  </si>
  <si>
    <t>BASE_PSE</t>
  </si>
  <si>
    <t>BASE_MFP55</t>
  </si>
  <si>
    <t>BASE_FLPST</t>
  </si>
  <si>
    <t>BASE_EEP</t>
  </si>
  <si>
    <t>BASE_MFP60</t>
  </si>
  <si>
    <t>BASE_MFP50</t>
  </si>
  <si>
    <t>BASE_PSC</t>
  </si>
  <si>
    <t>BASE_SD</t>
  </si>
  <si>
    <t>BASE_NA_O</t>
  </si>
  <si>
    <t>BASE_HPRLA</t>
  </si>
  <si>
    <t>BASE_ASHDL</t>
  </si>
  <si>
    <t>RIDTCIAS</t>
  </si>
  <si>
    <t>BASE_ASLGM</t>
  </si>
  <si>
    <t>prod_code_First</t>
  </si>
  <si>
    <t>currency_First</t>
  </si>
  <si>
    <t>pol_num_Count</t>
  </si>
  <si>
    <t>product_group</t>
  </si>
  <si>
    <t>goc</t>
  </si>
  <si>
    <t>pol_num</t>
  </si>
  <si>
    <t>pre_ann</t>
  </si>
  <si>
    <t>sum_assur</t>
  </si>
  <si>
    <t>total_fund</t>
  </si>
  <si>
    <t>_IDR</t>
  </si>
  <si>
    <t>UEATSB_IDR</t>
  </si>
  <si>
    <t>UEATSB_AZID_AG_IDR_SH_2015_IF</t>
  </si>
  <si>
    <t>UEATSB_AZID_AG_IDR_SH_2016_IF</t>
  </si>
  <si>
    <t>UEATSB_AZID_AG_IDR_SH_2018_IF</t>
  </si>
  <si>
    <t>UEATSB_AZID_AG_IDR_SH_2019_IF</t>
  </si>
  <si>
    <t>UEATSB_EAGLE_AG_IDR_SH_2015_IF</t>
  </si>
  <si>
    <t>UEATSB_EAGLE_AG_IDR_SH_2016_IF</t>
  </si>
  <si>
    <t>UEATSB_EAGLE_AG_IDR_SH_2017_IF</t>
  </si>
  <si>
    <t>UEATSB_EAGLE_AG_IDR_SH_2018_IF</t>
  </si>
  <si>
    <t>UEATSB_EAGLE_AG_IDR_SH_2019_IF</t>
  </si>
  <si>
    <t>UEATSB_EAGLE_AG_IDR_SH_2020_IF</t>
  </si>
  <si>
    <t>UEATSB_SPRING_AG_IDR_SH_2015_IF</t>
  </si>
  <si>
    <t>UEATSB_SPRING_AG_IDR_SH_2017_IF</t>
  </si>
  <si>
    <t>UEATSB_SPRING_AG_IDR_SH_2018_IF</t>
  </si>
  <si>
    <t>UEATSB_SPRING_AG_IDR_SH_2019_IF</t>
  </si>
  <si>
    <t>UEATSBA_IDR</t>
  </si>
  <si>
    <t>UEATSBA_AZID_AG_IDR_SH_2020_IF</t>
  </si>
  <si>
    <t>UEATSBA_AZID_AG_IDR_SH_2021_IF</t>
  </si>
  <si>
    <t>UEATSBA_AZID_AG_IDR_SH_2022_IF</t>
  </si>
  <si>
    <t>UEATSBA_EAGLE_AG_IDR_SH_2020_IF</t>
  </si>
  <si>
    <t>UEATSBA_EAGLE_AG_IDR_SH_2021_IF</t>
  </si>
  <si>
    <t>UEATSBA_EAGLE_AG_IDR_SH_2022_IF</t>
  </si>
  <si>
    <t>UEATSBA_SPRING_AG_IDR_SH_2020_IF</t>
  </si>
  <si>
    <t>UEATSBA_SPRING_AG_IDR_SH_2021_IF</t>
  </si>
  <si>
    <t>UEATSBA_SPRING_AG_IDR_SH_2022_IF</t>
  </si>
  <si>
    <t>ULAALM_IDR</t>
  </si>
  <si>
    <t>ULAALM_BCI_NK_IDR_UL_2021_IF</t>
  </si>
  <si>
    <t>ULAALM_BCI_NK_IDR_UL_2022_IF</t>
  </si>
  <si>
    <t>ULAALM_USD</t>
  </si>
  <si>
    <t>ULAALM_BCI_NK_USD_UL_2021_IF</t>
  </si>
  <si>
    <t>ULAALM_BCI_NK_USD_UL_2022_IF</t>
  </si>
  <si>
    <t>ULAALM_HANA_NK_IDR_UL_2021_IF</t>
  </si>
  <si>
    <t>ULAALM_HANA_NK_IDR_UL_2022_IF</t>
  </si>
  <si>
    <t>ULAALM_HANA_NK_USD_UL_2021_IF</t>
  </si>
  <si>
    <t>ULAALM_HANA_NK_USD_UL_2022_IF</t>
  </si>
  <si>
    <t>ULAALM_VICTORIA_NK_IDR_UL_2022_IF</t>
  </si>
  <si>
    <t>ULAALM_VICTORIA_NK_USD_UL_2022_IF</t>
  </si>
  <si>
    <t>ULAAOP_IDR</t>
  </si>
  <si>
    <t>ULAAOP_USD</t>
  </si>
  <si>
    <t>ULABA__IDR</t>
  </si>
  <si>
    <t>ULABA__AZID_AG_IDR_SH_2014_IF</t>
  </si>
  <si>
    <t>ULABA__SPRING_AG_IDR_SH_2014_IF</t>
  </si>
  <si>
    <t>ULAI___IDR</t>
  </si>
  <si>
    <t>ULAI___AZID_AG_IDR_SH_2014_IF</t>
  </si>
  <si>
    <t>ULAI___SPRING_AG_IDR_SH_2014_IF</t>
  </si>
  <si>
    <t>ULAMAP_IDR</t>
  </si>
  <si>
    <t>ULAMAP_SPRING_AG_IDR_SH_2014_IF</t>
  </si>
  <si>
    <t>ULAMF2_IDR</t>
  </si>
  <si>
    <t>ULAMF2_AZID_AG_IDR_SH_2016_IF</t>
  </si>
  <si>
    <t>ULAMF2_AZID_AG_IDR_SH_2017_IF</t>
  </si>
  <si>
    <t>ULAMF2_AZID_AG_IDR_SH_2018_IF</t>
  </si>
  <si>
    <t>ULAMF2_AZID_AG_IDR_SH_2019_IF</t>
  </si>
  <si>
    <t>ULAMF2_AZID_AG_IDR_SH_2020_IF</t>
  </si>
  <si>
    <t>ULAMF2_EAGLE_AG_IDR_SH_2016_IF</t>
  </si>
  <si>
    <t>ULAMF2_EAGLE_AG_IDR_SH_2017_IF</t>
  </si>
  <si>
    <t>ULAMF2_EAGLE_AG_IDR_SH_2018_IF</t>
  </si>
  <si>
    <t>ULAMF2_EAGLE_AG_IDR_SH_2019_IF</t>
  </si>
  <si>
    <t>ULAMF2_EAGLE_AG_IDR_SH_2020_IF</t>
  </si>
  <si>
    <t>ULAMF2_SPRING_AG_IDR_SH_2015_IF</t>
  </si>
  <si>
    <t>ULAMF2_SPRING_AG_IDR_SH_2017_IF</t>
  </si>
  <si>
    <t>ULAMF2_SPRING_AG_IDR_SH_2018_IF</t>
  </si>
  <si>
    <t>ULAMF2_SPRING_AG_IDR_SH_2019_IF</t>
  </si>
  <si>
    <t>ULAMF2_SPRING_AG_IDR_SH_2020_IF</t>
  </si>
  <si>
    <t>ULAMF2A_IDR</t>
  </si>
  <si>
    <t>ULAMF2A_AZID_AG_IDR_SH_2020_IF</t>
  </si>
  <si>
    <t>ULAMF2A_AZID_AG_IDR_SH_2021_IF</t>
  </si>
  <si>
    <t>ULAMF2A_AZID_AG_IDR_SH_2022_IF</t>
  </si>
  <si>
    <t>ULAMF2A_EAGLE_AG_IDR_SH_2020_IF</t>
  </si>
  <si>
    <t>ULAMF2A_EAGLE_AG_IDR_SH_2021_IF</t>
  </si>
  <si>
    <t>ULAMF2A_EAGLE_AG_IDR_SH_2022_IF</t>
  </si>
  <si>
    <t>ULAMF2A_SPRING_AG_IDR_SH_2021_IF</t>
  </si>
  <si>
    <t>ULAMF2A_SPRING_AG_IDR_SH_2022_IF</t>
  </si>
  <si>
    <t>ULAMFP_IDR</t>
  </si>
  <si>
    <t>ULAMFP_AZID_AG_IDR_SH_2014_IF</t>
  </si>
  <si>
    <t>ULAMFP_AZID_AG_IDR_SH_2015_IF</t>
  </si>
  <si>
    <t>ULAMFP_SPRING_AG_IDR_SH_2014_IF</t>
  </si>
  <si>
    <t>ULAP___IDR</t>
  </si>
  <si>
    <t>ULAP___AZID_AG_IDR_SH_2014_IF</t>
  </si>
  <si>
    <t>ULAP___SPRING_AG_IDR_SH_2014_IF</t>
  </si>
  <si>
    <t>ULAPO1_IDR</t>
  </si>
  <si>
    <t>ULAPO1_AZID_AG_IDR_SH_2014_IF</t>
  </si>
  <si>
    <t>ULAPO1_AZID_AG_IDR_SH_2015_IF</t>
  </si>
  <si>
    <t>ULAPO1_SPRING_AG_IDR_SH_2014_IF</t>
  </si>
  <si>
    <t>ULAPO1_SPRING_AG_IDR_SH_2015_IF</t>
  </si>
  <si>
    <t>ULAPO1_SYARIAH_NK_IDR_SH_2014_IF</t>
  </si>
  <si>
    <t>ULAPO2_IDR</t>
  </si>
  <si>
    <t>ULAPO2_AZID_AG_IDR_SH_2014_IF</t>
  </si>
  <si>
    <t>ULAPO2_AZID_AG_IDR_SH_2015_IF</t>
  </si>
  <si>
    <t>ULAPO2_SPRING_AG_IDR_SH_2014_IF</t>
  </si>
  <si>
    <t>ULAPO2_SPRING_AG_IDR_SH_2015_IF</t>
  </si>
  <si>
    <t>ULAPO2_SYARIAH_NK_IDR_SH_2014_IF</t>
  </si>
  <si>
    <t>ULAPO3_IDR</t>
  </si>
  <si>
    <t>ULAPO3_AZID_AG_IDR_SH_2015_IF</t>
  </si>
  <si>
    <t>ULAPO3_AZID_AG_IDR_SH_2016_IF</t>
  </si>
  <si>
    <t>ULAPO3_AZID_AG_IDR_SH_2017_IF</t>
  </si>
  <si>
    <t>ULAPO3_AZID_AG_IDR_SH_2018_IF</t>
  </si>
  <si>
    <t>ULAPO3_AZID_AG_IDR_SH_2019_IF</t>
  </si>
  <si>
    <t>ULAPO3_EAGLE_AG_IDR_SH_2015_IF</t>
  </si>
  <si>
    <t>ULAPO3_EAGLE_AG_IDR_SH_2016_IF</t>
  </si>
  <si>
    <t>ULAPO3_EAGLE_AG_IDR_SH_2017_IF</t>
  </si>
  <si>
    <t>ULAPO3_EAGLE_AG_IDR_SH_2018_IF</t>
  </si>
  <si>
    <t>ULAPO3_EAGLE_AG_IDR_SH_2019_IF</t>
  </si>
  <si>
    <t>ULAPO3_SPRING_AG_IDR_SH_2015_IF</t>
  </si>
  <si>
    <t>ULAPO3_SPRING_AG_IDR_SH_2016_IF</t>
  </si>
  <si>
    <t>ULAPO3_SPRING_AG_IDR_SH_2017_IF</t>
  </si>
  <si>
    <t>ULAPO3_SPRING_AG_IDR_SH_2018_IF</t>
  </si>
  <si>
    <t>ULAPO3_SPRING_AG_IDR_SH_2019_IF</t>
  </si>
  <si>
    <t>ULAPO3A_IDR</t>
  </si>
  <si>
    <t>ULAPO3A_AZID_AG_IDR_SH_2021_IF</t>
  </si>
  <si>
    <t>ULAPO4_IDR</t>
  </si>
  <si>
    <t>ULAPO4_AZID_AG_IDR_SH_2015_IF</t>
  </si>
  <si>
    <t>ULAPO4_AZID_AG_IDR_SH_2016_IF</t>
  </si>
  <si>
    <t>ULAPO4_AZID_AG_IDR_SH_2017_IF</t>
  </si>
  <si>
    <t>ULAPO4_AZID_AG_IDR_SH_2018_IF</t>
  </si>
  <si>
    <t>ULAPO4_AZID_AG_IDR_SH_2019_IF</t>
  </si>
  <si>
    <t>ULAPO4_EAGLE_AG_IDR_SH_2015_IF</t>
  </si>
  <si>
    <t>ULAPO4_EAGLE_AG_IDR_SH_2016_IF</t>
  </si>
  <si>
    <t>ULAPO4_EAGLE_AG_IDR_SH_2017_IF</t>
  </si>
  <si>
    <t>ULAPO4_EAGLE_AG_IDR_SH_2018_IF</t>
  </si>
  <si>
    <t>ULAPO4_EAGLE_AG_IDR_SH_2019_IF</t>
  </si>
  <si>
    <t>ULAPO4_SPRING_AG_IDR_SH_2015_IF</t>
  </si>
  <si>
    <t>ULAPO4_SPRING_AG_IDR_SH_2016_IF</t>
  </si>
  <si>
    <t>ULAPO4_SPRING_AG_IDR_SH_2017_IF</t>
  </si>
  <si>
    <t>ULAPO4_SPRING_AG_IDR_SH_2018_IF</t>
  </si>
  <si>
    <t>ULAPO4_SPRING_AG_IDR_SH_2019_IF</t>
  </si>
  <si>
    <t>ULAPO4A_IDR</t>
  </si>
  <si>
    <t>ULAPO4A_AZID_AG_IDR_SH_2021_IF</t>
  </si>
  <si>
    <t>ULAPR__IDR</t>
  </si>
  <si>
    <t>ULAPR__AZID_AG_IDR_SH_2014_IF</t>
  </si>
  <si>
    <t>ULAPR__SPRING_AG_IDR_SH_2014_IF</t>
  </si>
  <si>
    <t>ULARK__IDR</t>
  </si>
  <si>
    <t>ULARK__DANAMON_NK_IDR_SH_2014_IF</t>
  </si>
  <si>
    <t>ULARLK_IDR</t>
  </si>
  <si>
    <t>ULARLK_BMI_NK_IDR_SH_2014_IF</t>
  </si>
  <si>
    <t>ULARLK_BMI_NK_IDR_SH_2015_IF</t>
  </si>
  <si>
    <t>ULARP2_IDR</t>
  </si>
  <si>
    <t>ULARP2_ANZ_NK_IDR_SH_2015_IF</t>
  </si>
  <si>
    <t>ULARP2_ANZ_NK_IDR_SH_2016_IF</t>
  </si>
  <si>
    <t>ULARPL_IDR</t>
  </si>
  <si>
    <t>ULARPL_ANZ_NK_IDR_SH_2014_IF</t>
  </si>
  <si>
    <t>ULARPL_ANZ_NK_IDR_SH_2015_IF</t>
  </si>
  <si>
    <t>ULARPL_RBS_NK_IDR_SH_2014_IF</t>
  </si>
  <si>
    <t>ULARPN_IDR</t>
  </si>
  <si>
    <t>ULARPN_ANZ_NK_IDR_SH_2017_IF</t>
  </si>
  <si>
    <t>ULASFA_IDR</t>
  </si>
  <si>
    <t>ULASFA_HSBC_KT_IDR_SH_2014_IF</t>
  </si>
  <si>
    <t>ULASLF_IDR</t>
  </si>
  <si>
    <t>ULASMN_IDR</t>
  </si>
  <si>
    <t>ULASMN_AZID_AG_IDR_SH_2021_IF</t>
  </si>
  <si>
    <t>ULASMN_AZID_AG_IDR_SH_2022_IF</t>
  </si>
  <si>
    <t>ULASMN_EAGLE_AG_IDR_SH_2021_IF</t>
  </si>
  <si>
    <t>ULASMN_EAGLE_AG_IDR_SH_2022_IF</t>
  </si>
  <si>
    <t>ULASMN_SPRING_AG_IDR_SH_2021_IF</t>
  </si>
  <si>
    <t>ULASMN_SPRING_AG_IDR_SH_2022_IF</t>
  </si>
  <si>
    <t>ULASPO_IDR</t>
  </si>
  <si>
    <t>ULASPO_AZID_AG_IDR_SH_2018_IF</t>
  </si>
  <si>
    <t>ULASPO_AZID_AG_IDR_SH_2019_IF</t>
  </si>
  <si>
    <t>ULASPO_EAGLE_AG_IDR_SH_2018_IF</t>
  </si>
  <si>
    <t>ULASPO_EAGLE_AG_IDR_SH_2019_IF</t>
  </si>
  <si>
    <t>ULASPO_SPRING_AG_IDR_SH_2018_IF</t>
  </si>
  <si>
    <t>ULASPO_SPRING_AG_IDR_SH_2019_IF</t>
  </si>
  <si>
    <t>ULASPP_IDR</t>
  </si>
  <si>
    <t>ULASPP_AZID_AG_IDR_SH_2019_IF</t>
  </si>
  <si>
    <t>ULASPP_AZID_AG_IDR_SH_2020_IF</t>
  </si>
  <si>
    <t>ULASPP_EAGLE_AG_IDR_SH_2019_IF</t>
  </si>
  <si>
    <t>ULASPP_EAGLE_AG_IDR_SH_2020_IF</t>
  </si>
  <si>
    <t>ULASPP_SPRING_AG_IDR_SH_2019_IF</t>
  </si>
  <si>
    <t>ULASPP_SPRING_AG_IDR_SH_2020_IF</t>
  </si>
  <si>
    <t>ULASPPA_IDR</t>
  </si>
  <si>
    <t>ULASPPA_AZID_AG_IDR_SH_2020_IF</t>
  </si>
  <si>
    <t>ULASPPA_AZID_AG_IDR_SH_2021_IF</t>
  </si>
  <si>
    <t>ULASPPA_AZID_AG_IDR_SH_2022_IF</t>
  </si>
  <si>
    <t>ULASPPA_EAGLE_AG_IDR_SH_2020_IF</t>
  </si>
  <si>
    <t>ULASPPA_EAGLE_AG_IDR_SH_2021_IF</t>
  </si>
  <si>
    <t>ULASPPA_EAGLE_AG_IDR_SH_2022_IF</t>
  </si>
  <si>
    <t>ULASPPA_SPRING_AG_IDR_SH_2020_IF</t>
  </si>
  <si>
    <t>ULASPPA_SPRING_AG_IDR_SH_2021_IF</t>
  </si>
  <si>
    <t>ULASPPA_SPRING_AG_IDR_SH_2022_IF</t>
  </si>
  <si>
    <t>ULASS__IDR</t>
  </si>
  <si>
    <t>ULASS__PERMATA_NK_IDR_SH_2014_IF</t>
  </si>
  <si>
    <t>ULAWPL_IDR</t>
  </si>
  <si>
    <t>ULAWPL_HANA_NK_IDR_UL_2021_IF</t>
  </si>
  <si>
    <t>ULAWPL_HANA_NK_IDR_UL_2022_IF</t>
  </si>
  <si>
    <t>ULAWPL_USD</t>
  </si>
  <si>
    <t>ULAWPL_HANA_NK_USD_UL_2021_IF</t>
  </si>
  <si>
    <t>ULAWPL_NISP_NK_IDR_UL_2021_IF</t>
  </si>
  <si>
    <t>ULAWPL_NISP_NK_IDR_UL_2022_IF</t>
  </si>
  <si>
    <t>ULAWPL_NISP_NK_USD_UL_2021_IF</t>
  </si>
  <si>
    <t>ULAWPL_NISP_NK_USD_UL_2022_IF</t>
  </si>
  <si>
    <t>ULAWPL_QNB_NK_IDR_UL_2022_IF</t>
  </si>
  <si>
    <t>ULAWPL_QNB_NK_USD_UL_2022_IF</t>
  </si>
  <si>
    <t>ULAWPR_IDR</t>
  </si>
  <si>
    <t>ULAWPR_BCI_NK_IDR_UL_2021_IF</t>
  </si>
  <si>
    <t>ULAWPR_BCI_NK_IDR_UL_2022_IF</t>
  </si>
  <si>
    <t>ULAWPR_USD</t>
  </si>
  <si>
    <t>ULAWPR_BCI_NK_USD_UL_2021_IF</t>
  </si>
  <si>
    <t>ULAWPR_BCI_NK_USD_UL_2022_IF</t>
  </si>
  <si>
    <t>ULAWPR_VICTORIA_NK_IDR_UL_2022_IF</t>
  </si>
  <si>
    <t>ULBPMC_IDR</t>
  </si>
  <si>
    <t>ULBPMC_BJB_NK_IDR_UL_2021_IF</t>
  </si>
  <si>
    <t>ULBPMC_BJB_NK_IDR_UL_2022_IF</t>
  </si>
  <si>
    <t>ULBPMC_USD</t>
  </si>
  <si>
    <t>ULBPMC_BJB_NK_USD_UL_2021_IF</t>
  </si>
  <si>
    <t>ULBPMC_BJB_NK_USD_UL_2022_IF</t>
  </si>
  <si>
    <t>ULBPOC_IDR</t>
  </si>
  <si>
    <t>ULBPOC_BJB_NK_IDR_UL_2021_IF</t>
  </si>
  <si>
    <t>ULBPOC_BJB_NK_IDR_UL_2022_IF</t>
  </si>
  <si>
    <t>ULCIP__IDR</t>
  </si>
  <si>
    <t>ULCIP__HSBC_KT_IDR_UL_2016_IF</t>
  </si>
  <si>
    <t>ULCIP__HSBC_KT_IDR_UL_2017_IF</t>
  </si>
  <si>
    <t>ULCIP__HSBC_KT_IDR_UL_2018_IF</t>
  </si>
  <si>
    <t>ULCIP__HSBC_KT_IDR_UL_2019_IF</t>
  </si>
  <si>
    <t>ULCIP__HSBC_KT_IDR_UL_2020_IF</t>
  </si>
  <si>
    <t>ULCIP__HSBC_KT_IDR_UL_2021_IF</t>
  </si>
  <si>
    <t>ULCIP__HSBC_KT_IDR_UL_2022_IF</t>
  </si>
  <si>
    <t>ULCIP__USD</t>
  </si>
  <si>
    <t>ULCIP__HSBC_KT_USD_UL_2016_IF</t>
  </si>
  <si>
    <t>ULCIP__HSBC_KT_USD_UL_2017_IF</t>
  </si>
  <si>
    <t>ULCIP__HSBC_KT_USD_UL_2018_IF</t>
  </si>
  <si>
    <t>ULCIP__HSBC_KT_USD_UL_2019_IF</t>
  </si>
  <si>
    <t>ULCIP__HSBC_KT_USD_UL_2020_IF</t>
  </si>
  <si>
    <t>ULCIP__HSBC_KT_USD_UL_2021_IF</t>
  </si>
  <si>
    <t>ULCIP__HSBC_KT_USD_UL_2022_IF</t>
  </si>
  <si>
    <t>ULCIPA_IDR</t>
  </si>
  <si>
    <t>ULCIPA_HSBC_KT_IDR_UL_2018_IF</t>
  </si>
  <si>
    <t>ULCIPA_HSBC_KT_IDR_UL_2019_IF</t>
  </si>
  <si>
    <t>ULCIPA_HSBC_KT_IDR_UL_2020_IF</t>
  </si>
  <si>
    <t>ULCIPA_HSBC_KT_IDR_UL_2021_IF</t>
  </si>
  <si>
    <t>ULCIPA_HSBC_KT_IDR_UL_2022_IF</t>
  </si>
  <si>
    <t>ULCP___IDR</t>
  </si>
  <si>
    <t>ULCP___HSBC_KT_IDR_UL_2014_IF</t>
  </si>
  <si>
    <t>ULCPK__IDR</t>
  </si>
  <si>
    <t>ULCPK__HSBC_KT_IDR_UL_2014_IF</t>
  </si>
  <si>
    <t>ULCPK__HSBC_KT_IDR_UL_2015_IF</t>
  </si>
  <si>
    <t>ULCPK__HSBC_KT_IDR_UL_2016_IF</t>
  </si>
  <si>
    <t>ULCPK__HSBC_KT_IDR_UL_2017_IF</t>
  </si>
  <si>
    <t>ULCPRA_IDR</t>
  </si>
  <si>
    <t>ULCPRA_HSBC_KT_IDR_SH_2014_IF</t>
  </si>
  <si>
    <t>ULDMSA_IDR</t>
  </si>
  <si>
    <t>ULDMSA_DANAMON_NK_IDR_UL_2014_IF</t>
  </si>
  <si>
    <t>ULDRK__IDR</t>
  </si>
  <si>
    <t>ULDRK__DANAMON_NK_IDR_UL_2014_IF</t>
  </si>
  <si>
    <t>ULDRKA_IDR</t>
  </si>
  <si>
    <t>ULDRKA_DANAMON_NK_IDR_UL_2014_IF</t>
  </si>
  <si>
    <t>ULDRKA_USD</t>
  </si>
  <si>
    <t>ULDRKA_DANAMON_NK_USD_UL_2014_IF</t>
  </si>
  <si>
    <t>ULDRKS_IDR</t>
  </si>
  <si>
    <t>ULDRKS_DANAMON_NK_IDR_UL_2014_IF</t>
  </si>
  <si>
    <t>ULDRKS_USD</t>
  </si>
  <si>
    <t>ULDRKS_DANAMON_NK_USD_UL_2014_IF</t>
  </si>
  <si>
    <t>ULDRP__IDR</t>
  </si>
  <si>
    <t>ULDRP__DANAMON_NK_IDR_UL_2014_IF</t>
  </si>
  <si>
    <t>ULFC___IDR</t>
  </si>
  <si>
    <t>ULFC___HSBC_KT_IDR_UL_2014_IF</t>
  </si>
  <si>
    <t>ULFCK__USD</t>
  </si>
  <si>
    <t>ULFCK__HSBC_KT_USD_UL_2014_IF</t>
  </si>
  <si>
    <t>ULFIVS_IDR</t>
  </si>
  <si>
    <t>ULFIVS_QNB_NK_IDR_UL_2020_IF</t>
  </si>
  <si>
    <t>ULFIVS_QNB_NK_IDR_UL_2021_IF</t>
  </si>
  <si>
    <t>ULFIVS_QNB_NK_IDR_UL_2022_IF</t>
  </si>
  <si>
    <t>ULFIVS_USD</t>
  </si>
  <si>
    <t>ULFIVS_QNB_NK_USD_UL_2020_IF</t>
  </si>
  <si>
    <t>ULFIVS_QNB_NK_USD_UL_2021_IF</t>
  </si>
  <si>
    <t>ULFIVS_QNB_NK_USD_UL_2022_IF</t>
  </si>
  <si>
    <t>ULFLFS_IDR</t>
  </si>
  <si>
    <t>ULFLFS_QNB_NK_IDR_UL_2020_IF</t>
  </si>
  <si>
    <t>ULFLFS_QNB_NK_IDR_UL_2021_IF</t>
  </si>
  <si>
    <t>ULFLFS_QNB_NK_IDR_UL_2022_IF</t>
  </si>
  <si>
    <t>ULFLFS_USD</t>
  </si>
  <si>
    <t>ULFLFS_QNB_NK_USD_UL_2020_IF</t>
  </si>
  <si>
    <t>ULFLFS_QNB_NK_USD_UL_2021_IF</t>
  </si>
  <si>
    <t>ULFS___IDR</t>
  </si>
  <si>
    <t>ULFS___SCB_NK_IDR_UL_2014_IF</t>
  </si>
  <si>
    <t>ULFS___USD</t>
  </si>
  <si>
    <t>ULFS___SCB_NK_USD_UL_2014_IF</t>
  </si>
  <si>
    <t>ULFT___IDR</t>
  </si>
  <si>
    <t>ULFT___BCI_NK_IDR_UL_2014_IF</t>
  </si>
  <si>
    <t>ULGI1__IDR</t>
  </si>
  <si>
    <t>ULGI1__BTPN_NK_IDR_UL_2014_IF</t>
  </si>
  <si>
    <t>ULGI1__BTPN_NK_IDR_UL_2015_IF</t>
  </si>
  <si>
    <t>ULGI1__BTPN_NK_IDR_UL_2016_IF</t>
  </si>
  <si>
    <t>ULGI1__BTPN_NK_IDR_UL_2017_IF</t>
  </si>
  <si>
    <t>ULGI1__BTPN_NK_IDR_UL_2018_IF</t>
  </si>
  <si>
    <t>ULGI1__BTPN_NK_IDR_UL_2019_IF</t>
  </si>
  <si>
    <t>ULGSU__IDR</t>
  </si>
  <si>
    <t>ULGSU__BTPN_NK_IDR_UL_2021_IF</t>
  </si>
  <si>
    <t>ULGSU__BTPN_NK_IDR_UL_2022_IF</t>
  </si>
  <si>
    <t>ULGSU__USD</t>
  </si>
  <si>
    <t>ULGSU__BTPN_NK_USD_UL_2021_IF</t>
  </si>
  <si>
    <t>ULGSU__BTPN_NK_USD_UL_2022_IF</t>
  </si>
  <si>
    <t>ULGUMA_IDR</t>
  </si>
  <si>
    <t>ULGUMA_BTPN_NK_IDR_UL_2022_IF</t>
  </si>
  <si>
    <t>ULGUMA_USD</t>
  </si>
  <si>
    <t>ULGUMA_BTPN_NK_USD_UL_2022_IF</t>
  </si>
  <si>
    <t>ULGUOP_IDR</t>
  </si>
  <si>
    <t>ULGUOP_USD</t>
  </si>
  <si>
    <t>ULGUP__IDR</t>
  </si>
  <si>
    <t>ULGUP__BTPN_NK_IDR_UL_2014_IF</t>
  </si>
  <si>
    <t>ULGUP__BTPN_NK_IDR_UL_2015_IF</t>
  </si>
  <si>
    <t>ULGUP__BTPN_NK_IDR_UL_2016_IF</t>
  </si>
  <si>
    <t>ULGUP__BTPN_NK_IDR_UL_2017_IF</t>
  </si>
  <si>
    <t>ULGUP__BTPN_NK_IDR_UL_2018_IF</t>
  </si>
  <si>
    <t>ULGUP__BTPN_NK_IDR_UL_2019_IF</t>
  </si>
  <si>
    <t>ULGUP__BTPN_NK_IDR_UL_2020_IF</t>
  </si>
  <si>
    <t>ULGUP__BTPN_NK_IDR_UL_2021_IF</t>
  </si>
  <si>
    <t>ULGUP__BTPN_NK_IDR_UL_2022_IF</t>
  </si>
  <si>
    <t>ULGUPM_IDR</t>
  </si>
  <si>
    <t>ULGUPM_USD</t>
  </si>
  <si>
    <t>ULGUSI_IDR</t>
  </si>
  <si>
    <t>ULGUSI_BTPN_NK_IDR_UL_2020_IF</t>
  </si>
  <si>
    <t>ULGUSI_BTPN_NK_IDR_UL_2021_IF</t>
  </si>
  <si>
    <t>ULGUSI_BTPN_NK_IDR_UL_2022_IF</t>
  </si>
  <si>
    <t>ULGUSI_USD</t>
  </si>
  <si>
    <t>ULGUSI_BTPN_NK_USD_UL_2020_IF</t>
  </si>
  <si>
    <t>ULGUSI_BTPN_NK_USD_UL_2021_IF</t>
  </si>
  <si>
    <t>ULGUSI_BTPN_NK_USD_UL_2022_IF</t>
  </si>
  <si>
    <t>ULGUTI_IDR</t>
  </si>
  <si>
    <t>ULGUTI_USD</t>
  </si>
  <si>
    <t>ULGW___IDR</t>
  </si>
  <si>
    <t>ULGW___BTPN_NK_IDR_UL_2019_IF</t>
  </si>
  <si>
    <t>ULGW___BTPN_NK_IDR_UL_2020_IF</t>
  </si>
  <si>
    <t>ULGW___BTPN_NK_IDR_UL_2021_IF</t>
  </si>
  <si>
    <t>ULGW___BTPN_NK_IDR_UL_2022_IF</t>
  </si>
  <si>
    <t>ULGW___USD</t>
  </si>
  <si>
    <t>ULGW___BTPN_NK_USD_UL_2019_IF</t>
  </si>
  <si>
    <t>ULGW___BTPN_NK_USD_UL_2020_IF</t>
  </si>
  <si>
    <t>ULGW___BTPN_NK_USD_UL_2021_IF</t>
  </si>
  <si>
    <t>ULGW___BTPN_NK_USD_UL_2022_IF</t>
  </si>
  <si>
    <t>ULHPIP_IDR</t>
  </si>
  <si>
    <t>ULHPIP_USD</t>
  </si>
  <si>
    <t>ULHPWA_IDR</t>
  </si>
  <si>
    <t>ULHPWA_HSBC_KT_IDR_UL_2020_IF</t>
  </si>
  <si>
    <t>ULHPWA_HSBC_KT_IDR_UL_2021_IF</t>
  </si>
  <si>
    <t>ULHPWA_HSBC_KT_IDR_UL_2022_IF</t>
  </si>
  <si>
    <t>ULHPWA_USD</t>
  </si>
  <si>
    <t>ULHPWA_HSBC_KT_USD_UL_2020_IF</t>
  </si>
  <si>
    <t>ULHPWA_HSBC_KT_USD_UL_2021_IF</t>
  </si>
  <si>
    <t>ULHPWA_HSBC_KT_USD_UL_2022_IF</t>
  </si>
  <si>
    <t>ULHSWA_IDR</t>
  </si>
  <si>
    <t>ULHSWA_USD</t>
  </si>
  <si>
    <t>ULHTKG_IDR</t>
  </si>
  <si>
    <t>ULHTKG_DANAMON_NK_IDR_UL_2014_IF</t>
  </si>
  <si>
    <t>ULHTKP_IDR</t>
  </si>
  <si>
    <t>ULHTKP_DANAMON_NK_IDR_UL_2014_IF</t>
  </si>
  <si>
    <t>ULHTKS_IDR</t>
  </si>
  <si>
    <t>ULHTKS_DANAMON_NK_IDR_UL_2014_IF</t>
  </si>
  <si>
    <t>ULHUWA_IDR</t>
  </si>
  <si>
    <t>ULHUWA_USD</t>
  </si>
  <si>
    <t>ULHUWA_HSBC_KT_USD_UL_2021_IF</t>
  </si>
  <si>
    <t>ULHUWA_HSBC_KT_USD_UL_2022_IF</t>
  </si>
  <si>
    <t>ULMA___IDR</t>
  </si>
  <si>
    <t>ULMA___AZID_AG_IDR_UL_2014_IF</t>
  </si>
  <si>
    <t>ULMA___USD</t>
  </si>
  <si>
    <t>ULMA___AZID_AG_USD_UL_2014_IF</t>
  </si>
  <si>
    <t>ULMAP__IDR</t>
  </si>
  <si>
    <t>ULMAP__SPRING_AG_IDR_UL_2014_IF</t>
  </si>
  <si>
    <t>ULMAP__USD</t>
  </si>
  <si>
    <t>ULMAP__SPRING_AG_USD_UL_2014_IF</t>
  </si>
  <si>
    <t>ULME___IDR</t>
  </si>
  <si>
    <t>ULME___AMWAY_NK_IDR_UL_2014_IF</t>
  </si>
  <si>
    <t>ULML___IDR</t>
  </si>
  <si>
    <t>ULML___AZID_AG_IDR_UL_2014_IF</t>
  </si>
  <si>
    <t>ULMPB__IDR</t>
  </si>
  <si>
    <t>ULMPB__MAYBANK_NK_IDR_SH_2016_IF</t>
  </si>
  <si>
    <t>ULMPB__MAYBANK_NK_IDR_SH_2017_IF</t>
  </si>
  <si>
    <t>ULMPB__MAYBANK_NK_IDR_SH_2018_IF</t>
  </si>
  <si>
    <t>ULMPB__MAYBANK_NK_IDR_SH_2019_IF</t>
  </si>
  <si>
    <t>ULMPB__MAYBANK_NK_IDR_SH_2020_IF</t>
  </si>
  <si>
    <t>ULMPB__MAYBANK_NK_IDR_SH_2021_IF</t>
  </si>
  <si>
    <t>ULMPB__MAYBANK_NK_IDR_SH_2022_IF</t>
  </si>
  <si>
    <t>ULMPB2_IDR</t>
  </si>
  <si>
    <t>ULMPI__IDR</t>
  </si>
  <si>
    <t>ULMPI__MAYBANK_NK_IDR_UL_2016_IF</t>
  </si>
  <si>
    <t>ULMPI__MAYBANK_NK_IDR_UL_2017_IF</t>
  </si>
  <si>
    <t>ULMPI__MAYBANK_NK_IDR_UL_2018_IF</t>
  </si>
  <si>
    <t>ULMPI__MAYBANK_NK_IDR_UL_2019_IF</t>
  </si>
  <si>
    <t>ULMPI__MAYBANK_NK_IDR_UL_2020_IF</t>
  </si>
  <si>
    <t>ULMPI__MAYBANK_NK_IDR_UL_2021_IF</t>
  </si>
  <si>
    <t>ULMPI__MAYBANK_NK_IDR_UL_2022_IF</t>
  </si>
  <si>
    <t>ULMPI__USD</t>
  </si>
  <si>
    <t>ULMPI__MAYBANK_NK_USD_UL_2016_IF</t>
  </si>
  <si>
    <t>ULMPI__MAYBANK_NK_USD_UL_2017_IF</t>
  </si>
  <si>
    <t>ULMPI__MAYBANK_NK_USD_UL_2018_IF</t>
  </si>
  <si>
    <t>ULMPI__MAYBANK_NK_USD_UL_2019_IF</t>
  </si>
  <si>
    <t>ULMPI__MAYBANK_NK_USD_UL_2020_IF</t>
  </si>
  <si>
    <t>ULMPI__MAYBANK_NK_USD_UL_2021_IF</t>
  </si>
  <si>
    <t>ULMPI__MAYBANK_NK_USD_UL_2022_IF</t>
  </si>
  <si>
    <t>ULMPI2_IDR</t>
  </si>
  <si>
    <t>ULMPI2_USD</t>
  </si>
  <si>
    <t>ULMPIN_IDR</t>
  </si>
  <si>
    <t>ULMPIN_MAYBANK_NK_IDR_UL_2020_IF</t>
  </si>
  <si>
    <t>ULMPIN_MAYBANK_NK_IDR_UL_2021_IF</t>
  </si>
  <si>
    <t>ULMPIN_MAYBANK_NK_IDR_UL_2022_IF</t>
  </si>
  <si>
    <t>ULMPIN_USD</t>
  </si>
  <si>
    <t>ULMPIN_MAYBANK_NK_USD_UL_2020_IF</t>
  </si>
  <si>
    <t>ULMPIN_MAYBANK_NK_USD_UL_2021_IF</t>
  </si>
  <si>
    <t>ULMPIN_MAYBANK_NK_USD_UL_2022_IF</t>
  </si>
  <si>
    <t>ULMPN2_IDR</t>
  </si>
  <si>
    <t>ULMPN2_USD</t>
  </si>
  <si>
    <t>ULMPP__IDR</t>
  </si>
  <si>
    <t>ULMPP__MAYBANK_NK_IDR_UL_2016_IF</t>
  </si>
  <si>
    <t>ULMPP__MAYBANK_NK_IDR_UL_2017_IF</t>
  </si>
  <si>
    <t>ULMPP__MAYBANK_NK_IDR_UL_2018_IF</t>
  </si>
  <si>
    <t>ULMPP__MAYBANK_NK_IDR_UL_2019_IF</t>
  </si>
  <si>
    <t>ULMPP__MAYBANK_NK_IDR_UL_2020_IF</t>
  </si>
  <si>
    <t>ULMPP__MAYBANK_NK_IDR_UL_2021_IF</t>
  </si>
  <si>
    <t>ULMPP__MAYBANK_NK_IDR_UL_2022_IF</t>
  </si>
  <si>
    <t>ULMPP__USD</t>
  </si>
  <si>
    <t>ULMPP__MAYBANK_NK_USD_UL_2016_IF</t>
  </si>
  <si>
    <t>ULMPP__MAYBANK_NK_USD_UL_2017_IF</t>
  </si>
  <si>
    <t>ULMPP__MAYBANK_NK_USD_UL_2018_IF</t>
  </si>
  <si>
    <t>ULMPP__MAYBANK_NK_USD_UL_2019_IF</t>
  </si>
  <si>
    <t>ULMPP__MAYBANK_NK_USD_UL_2020_IF</t>
  </si>
  <si>
    <t>ULMPP__MAYBANK_NK_USD_UL_2021_IF</t>
  </si>
  <si>
    <t>ULMPP__MAYBANK_NK_USD_UL_2022_IF</t>
  </si>
  <si>
    <t>ULMPP2_IDR</t>
  </si>
  <si>
    <t>ULMPP2_USD</t>
  </si>
  <si>
    <t>ULMPS__IDR</t>
  </si>
  <si>
    <t>ULMPS__MAYBANK_NK_IDR_UL_2019_IF</t>
  </si>
  <si>
    <t>ULMPS__MAYBANK_NK_IDR_UL_2020_IF</t>
  </si>
  <si>
    <t>ULMPS__MAYBANK_NK_IDR_UL_2021_IF</t>
  </si>
  <si>
    <t>ULMPS__MAYBANK_NK_IDR_UL_2022_IF</t>
  </si>
  <si>
    <t>ULMSU__IDR</t>
  </si>
  <si>
    <t>ULMSU__MAYBANK_NK_IDR_UL_2021_IF</t>
  </si>
  <si>
    <t>ULMSU__MAYBANK_NK_IDR_UL_2022_IF</t>
  </si>
  <si>
    <t>ULMSU__USD</t>
  </si>
  <si>
    <t>ULMSU__MAYBANK_NK_USD_UL_2021_IF</t>
  </si>
  <si>
    <t>ULMSU__MAYBANK_NK_USD_UL_2022_IF</t>
  </si>
  <si>
    <t>ULMSU2_IDR</t>
  </si>
  <si>
    <t>ULMSU2_MAYBANK_NK_IDR_UL_2022_IF</t>
  </si>
  <si>
    <t>ULMSU2_USD</t>
  </si>
  <si>
    <t>ULMSU2_MAYBANK_NK_USD_UL_2022_IF</t>
  </si>
  <si>
    <t>ULNHM1_IDR</t>
  </si>
  <si>
    <t>ULNHM1_DANAMON_NK_IDR_UL_2014_IF</t>
  </si>
  <si>
    <t>ULNHM2_IDR</t>
  </si>
  <si>
    <t>ULNHM2_DANAMON_NK_IDR_UL_2014_IF</t>
  </si>
  <si>
    <t>ULNHM3_IDR</t>
  </si>
  <si>
    <t>ULNHM3_DANAMON_NK_IDR_UL_2014_IF</t>
  </si>
  <si>
    <t>ULOC___IDR</t>
  </si>
  <si>
    <t>ULOC___HSBC_KT_IDR_UL_2014_IF</t>
  </si>
  <si>
    <t>ULOC___HSBC_KT_IDR_UL_2015_IF</t>
  </si>
  <si>
    <t>ULOC___HSBC_KT_IDR_UL_2016_IF</t>
  </si>
  <si>
    <t>ULOC___HSBC_KT_IDR_UL_2017_IF</t>
  </si>
  <si>
    <t>ULOC___HSBC_KT_IDR_UL_2018_IF</t>
  </si>
  <si>
    <t>ULOC___HSBC_KT_IDR_UL_2019_IF</t>
  </si>
  <si>
    <t>ULOC___HSBC_KT_IDR_UL_2020_IF</t>
  </si>
  <si>
    <t>ULOC___HSBC_KT_IDR_UL_2021_IF</t>
  </si>
  <si>
    <t>ULOC___HSBC_KT_IDR_UL_2022_IF</t>
  </si>
  <si>
    <t>ULOC___USD</t>
  </si>
  <si>
    <t>ULOC___HSBC_KT_USD_UL_2014_IF</t>
  </si>
  <si>
    <t>ULOC___HSBC_KT_USD_UL_2017_IF</t>
  </si>
  <si>
    <t>ULOC___HSBC_KT_USD_UL_2018_IF</t>
  </si>
  <si>
    <t>ULOC___HSBC_KT_USD_UL_2019_IF</t>
  </si>
  <si>
    <t>ULOC___HSBC_KT_USD_UL_2020_IF</t>
  </si>
  <si>
    <t>ULOC___HSBC_KT_USD_UL_2021_IF</t>
  </si>
  <si>
    <t>ULOC___HSBC_KT_USD_UL_2022_IF</t>
  </si>
  <si>
    <t>ULPPN__IDR</t>
  </si>
  <si>
    <t>ULPPN__NISP_NK_IDR_UL_2014_IF</t>
  </si>
  <si>
    <t>ULPPNR_IDR</t>
  </si>
  <si>
    <t>ULPPNR_NISP_NK_IDR_UL_2014_IF</t>
  </si>
  <si>
    <t>ULPS___IDR</t>
  </si>
  <si>
    <t>ULPS___SCB_NK_IDR_UL_2014_IF</t>
  </si>
  <si>
    <t>ULPSR__IDR</t>
  </si>
  <si>
    <t>ULPSR__SCB_NK_IDR_UL_2014_IF</t>
  </si>
  <si>
    <t>ULRC___IDR</t>
  </si>
  <si>
    <t>ULRC___HSBC_KT_IDR_UL_2014_IF</t>
  </si>
  <si>
    <t>ULRCK__IDR</t>
  </si>
  <si>
    <t>ULRCK__HSBC_KT_IDR_UL_2014_IF</t>
  </si>
  <si>
    <t>ULRPLF_IDR</t>
  </si>
  <si>
    <t>ULRPOA_IDR</t>
  </si>
  <si>
    <t>ULRPOA_AZID_AG_IDR_UL_2018_IF</t>
  </si>
  <si>
    <t>ULRPOA_AZID_AG_IDR_UL_2019_IF</t>
  </si>
  <si>
    <t>ULRPOA_AZID_AG_IDR_UL_2020_IF</t>
  </si>
  <si>
    <t>ULRPOA_EAGLE_AG_IDR_UL_2018_IF</t>
  </si>
  <si>
    <t>ULRPOA_EAGLE_AG_IDR_UL_2019_IF</t>
  </si>
  <si>
    <t>ULRPOA_EAGLE_AG_IDR_UL_2020_IF</t>
  </si>
  <si>
    <t>ULRPOA_SPRING_AG_IDR_UL_2018_IF</t>
  </si>
  <si>
    <t>ULRPOA_SPRING_AG_IDR_UL_2019_IF</t>
  </si>
  <si>
    <t>ULRPOA_SPRING_AG_IDR_UL_2020_IF</t>
  </si>
  <si>
    <t>ULRPOAA_IDR</t>
  </si>
  <si>
    <t>ULRPOAA_AZID_AG_IDR_UL_2020_IF</t>
  </si>
  <si>
    <t>ULRPOAA_AZID_AG_IDR_UL_2021_IF</t>
  </si>
  <si>
    <t>ULRPOAA_AZID_AG_IDR_UL_2022_IF</t>
  </si>
  <si>
    <t>ULRPOAA_EAGLE_AG_IDR_UL_2020_IF</t>
  </si>
  <si>
    <t>ULRPOAA_EAGLE_AG_IDR_UL_2021_IF</t>
  </si>
  <si>
    <t>ULRPOAA_EAGLE_AG_IDR_UL_2022_IF</t>
  </si>
  <si>
    <t>ULRPOAA_SPRING_AG_IDR_UL_2020_IF</t>
  </si>
  <si>
    <t>ULRPOAA_SPRING_AG_IDR_UL_2021_IF</t>
  </si>
  <si>
    <t>ULRPOAA_SPRING_AG_IDR_UL_2022_IF</t>
  </si>
  <si>
    <t>ULSBA__IDR</t>
  </si>
  <si>
    <t>ULSBA__AZID_AG_IDR_UL_2014_IF</t>
  </si>
  <si>
    <t>ULSBA__SPRING_AG_IDR_UL_2014_IF</t>
  </si>
  <si>
    <t>ULSBAR_IDR</t>
  </si>
  <si>
    <t>ULSBAR_AZID_AG_IDR_UL_2014_IF</t>
  </si>
  <si>
    <t>ULSBAR_SPRING_AG_IDR_UL_2014_IF</t>
  </si>
  <si>
    <t>ULSDIP_USD</t>
  </si>
  <si>
    <t>ULSDIP_SCB_NK_USD_UL_2014_IF</t>
  </si>
  <si>
    <t>ULSEXP_IDR</t>
  </si>
  <si>
    <t>ULSEXP_SCB_NK_IDR_UL_2014_IF</t>
  </si>
  <si>
    <t>ULSFA__IDR</t>
  </si>
  <si>
    <t>ULSFA__AZID_AG_IDR_UL_2014_IF</t>
  </si>
  <si>
    <t>ULSFA__SPRING_AG_IDR_UL_2014_IF</t>
  </si>
  <si>
    <t>ULSMFP_IDR</t>
  </si>
  <si>
    <t>ULSMFP_AZID_AG_IDR_UL_2014_IF</t>
  </si>
  <si>
    <t>ULSMFP_AZID_AG_IDR_UL_2015_IF</t>
  </si>
  <si>
    <t>ULSMFP_AZID_AG_IDR_UL_2016_IF</t>
  </si>
  <si>
    <t>ULSMFP_AZID_AG_IDR_UL_2017_IF</t>
  </si>
  <si>
    <t>ULSMFP_USD</t>
  </si>
  <si>
    <t>ULSMFP_AZID_AG_USD_UL_2014_IF</t>
  </si>
  <si>
    <t>ULSMFP_AZID_AG_USD_UL_2015_IF</t>
  </si>
  <si>
    <t>ULSMFP_EAGLE_AG_IDR_UL_2015_IF</t>
  </si>
  <si>
    <t>ULSMFP_EAGLE_AG_IDR_UL_2016_IF</t>
  </si>
  <si>
    <t>ULSMFP_EAGLE_AG_IDR_UL_2017_IF</t>
  </si>
  <si>
    <t>ULSMFP_EAGLE_AG_USD_UL_2015_IF</t>
  </si>
  <si>
    <t>ULSMFP_EAGLE_AG_USD_UL_2016_IF</t>
  </si>
  <si>
    <t>ULSMFP_EAGLE_AG_USD_UL_2017_IF</t>
  </si>
  <si>
    <t>ULSMFP_SPRING_AG_IDR_UL_2014_IF</t>
  </si>
  <si>
    <t>ULSMFP_SPRING_AG_IDR_UL_2015_IF</t>
  </si>
  <si>
    <t>ULSMFP_SPRING_AG_IDR_UL_2016_IF</t>
  </si>
  <si>
    <t>ULSMFP_SPRING_AG_IDR_UL_2017_IF</t>
  </si>
  <si>
    <t>ULSMFP_SPRING_AG_USD_UL_2014_IF</t>
  </si>
  <si>
    <t>ULSMFPA_USD</t>
  </si>
  <si>
    <t>ULSMFPA_SPRING_AG_USD_UL_2021_IF</t>
  </si>
  <si>
    <t>ULSMP1_IDR</t>
  </si>
  <si>
    <t>ULSMP1_PERMATA_NK_IDR_UL_2014_IF</t>
  </si>
  <si>
    <t>ULSMP1_PERMATA_NK_IDR_UL_2015_IF</t>
  </si>
  <si>
    <t>ULSMP2_IDR</t>
  </si>
  <si>
    <t>ULSMP2_PERMATA_NK_IDR_UL_2014_IF</t>
  </si>
  <si>
    <t>ULSMP4_IDR</t>
  </si>
  <si>
    <t>ULSMP4_AZID_AG_IDR_UL_2014_IF</t>
  </si>
  <si>
    <t>ULSMP4_AZID_AG_IDR_UL_2015_IF</t>
  </si>
  <si>
    <t>ULSMP4_AZID_AG_IDR_UL_2016_IF</t>
  </si>
  <si>
    <t>ULSMP4_AZID_AG_IDR_UL_2017_IF</t>
  </si>
  <si>
    <t>ULSMP4_SPRING_AG_IDR_UL_2014_IF</t>
  </si>
  <si>
    <t>ULSMP4_SPRING_AG_IDR_UL_2017_IF</t>
  </si>
  <si>
    <t>ULSMP5_IDR</t>
  </si>
  <si>
    <t>ULSMP5_AZID_AG_IDR_UL_2014_IF</t>
  </si>
  <si>
    <t>ULSMP5_AZID_AG_IDR_UL_2016_IF</t>
  </si>
  <si>
    <t>ULSMP5_SPRING_AG_IDR_UL_2014_IF</t>
  </si>
  <si>
    <t>ULSMP6_IDR</t>
  </si>
  <si>
    <t>ULSMP6_AZID_AG_IDR_UL_2014_IF</t>
  </si>
  <si>
    <t>ULSMP6_SPRING_AG_IDR_UL_2014_IF</t>
  </si>
  <si>
    <t>ULSMPV_IDR</t>
  </si>
  <si>
    <t>ULSMPV_BUMIPUTERA_NK_IDR_UL_2014_IF</t>
  </si>
  <si>
    <t>ULSNF2_IDR</t>
  </si>
  <si>
    <t>ULSNF2_AZID_AG_IDR_UL_2014_IF</t>
  </si>
  <si>
    <t>ULSNF2_USD</t>
  </si>
  <si>
    <t>ULSNF2_AZID_AG_USD_UL_2014_IF</t>
  </si>
  <si>
    <t>ULSNF2_SPRING_AG_IDR_UL_2014_IF</t>
  </si>
  <si>
    <t>ULSNF2_SPRING_AG_USD_UL_2014_IF</t>
  </si>
  <si>
    <t>ULSNFA_IDR</t>
  </si>
  <si>
    <t>ULSNFA_AZID_AG_IDR_UL_2014_IF</t>
  </si>
  <si>
    <t>ULSNFA_USD</t>
  </si>
  <si>
    <t>ULSNFA_AZID_AG_USD_UL_2014_IF</t>
  </si>
  <si>
    <t>ULSNFA_EAGLE_AG_IDR_UL_2014_IF</t>
  </si>
  <si>
    <t>ULSNFA_SPRING_AG_IDR_UL_2014_IF</t>
  </si>
  <si>
    <t>ULSNFA_SPRING_AG_USD_UL_2014_IF</t>
  </si>
  <si>
    <t>ULSNFR_IDR</t>
  </si>
  <si>
    <t>ULSNFR_AZID_AG_IDR_UL_2014_IF</t>
  </si>
  <si>
    <t>ULSNFR_AZID_AG_IDR_UL_2015_IF</t>
  </si>
  <si>
    <t>ULSNFR_AZID_AG_IDR_UL_2016_IF</t>
  </si>
  <si>
    <t>ULSNFR_AZID_AG_IDR_UL_2017_IF</t>
  </si>
  <si>
    <t>ULSNFR_AZID_AG_IDR_UL_2018_IF</t>
  </si>
  <si>
    <t>ULSNFR_AZID_AG_IDR_UL_2019_IF</t>
  </si>
  <si>
    <t>ULSNFR_AZID_AG_IDR_UL_2020_IF</t>
  </si>
  <si>
    <t>ULSNFR_USD</t>
  </si>
  <si>
    <t>ULSNFR_AZID_AG_USD_UL_2014_IF</t>
  </si>
  <si>
    <t>ULSNFR_AZID_AG_USD_UL_2015_IF</t>
  </si>
  <si>
    <t>ULSNFR_AZID_AG_USD_UL_2018_IF</t>
  </si>
  <si>
    <t>ULSNFR_EAGLE_AG_IDR_UL_2014_IF</t>
  </si>
  <si>
    <t>ULSNFR_EAGLE_AG_IDR_UL_2015_IF</t>
  </si>
  <si>
    <t>ULSNFR_EAGLE_AG_IDR_UL_2016_IF</t>
  </si>
  <si>
    <t>ULSNFR_EAGLE_AG_IDR_UL_2017_IF</t>
  </si>
  <si>
    <t>ULSNFR_EAGLE_AG_IDR_UL_2018_IF</t>
  </si>
  <si>
    <t>ULSNFR_EAGLE_AG_IDR_UL_2019_IF</t>
  </si>
  <si>
    <t>ULSNFR_EAGLE_AG_IDR_UL_2020_IF</t>
  </si>
  <si>
    <t>ULSNFR_EAGLE_AG_USD_UL_2015_IF</t>
  </si>
  <si>
    <t>ULSNFR_EAGLE_AG_USD_UL_2016_IF</t>
  </si>
  <si>
    <t>ULSNFR_EAGLE_AG_USD_UL_2017_IF</t>
  </si>
  <si>
    <t>ULSNFR_EAGLE_AG_USD_UL_2018_IF</t>
  </si>
  <si>
    <t>ULSNFR_EAGLE_AG_USD_UL_2019_IF</t>
  </si>
  <si>
    <t>ULSNFR_EAGLE_AG_USD_UL_2020_IF</t>
  </si>
  <si>
    <t>ULSNFR_SPRING_AG_IDR_UL_2014_IF</t>
  </si>
  <si>
    <t>ULSNFR_SPRING_AG_IDR_UL_2015_IF</t>
  </si>
  <si>
    <t>ULSNFR_SPRING_AG_IDR_UL_2016_IF</t>
  </si>
  <si>
    <t>ULSNFR_SPRING_AG_IDR_UL_2017_IF</t>
  </si>
  <si>
    <t>ULSNFR_SPRING_AG_IDR_UL_2018_IF</t>
  </si>
  <si>
    <t>ULSNFR_SPRING_AG_IDR_UL_2019_IF</t>
  </si>
  <si>
    <t>ULSNFR_SPRING_AG_IDR_UL_2020_IF</t>
  </si>
  <si>
    <t>ULSNFR_SPRING_AG_USD_UL_2014_IF</t>
  </si>
  <si>
    <t>ULSNFR_SPRING_AG_USD_UL_2015_IF</t>
  </si>
  <si>
    <t>ULSNFR_SPRING_AG_USD_UL_2016_IF</t>
  </si>
  <si>
    <t>ULSNFR_SPRING_AG_USD_UL_2017_IF</t>
  </si>
  <si>
    <t>ULSNFR_SPRING_AG_USD_UL_2018_IF</t>
  </si>
  <si>
    <t>ULSNFR_SPRING_AG_USD_UL_2019_IF</t>
  </si>
  <si>
    <t>ULSNFR_SPRING_AG_USD_UL_2020_IF</t>
  </si>
  <si>
    <t>ULSNFRA_IDR</t>
  </si>
  <si>
    <t>ULSNFRA_AZID_AG_IDR_UL_2020_IF</t>
  </si>
  <si>
    <t>ULSNFRA_AZID_AG_IDR_UL_2021_IF</t>
  </si>
  <si>
    <t>ULSNFRA_AZID_AG_IDR_UL_2022_IF</t>
  </si>
  <si>
    <t>ULSNFRA_USD</t>
  </si>
  <si>
    <t>ULSNFRA_AZID_AG_USD_UL_2020_IF</t>
  </si>
  <si>
    <t>ULSNFRA_AZID_AG_USD_UL_2021_IF</t>
  </si>
  <si>
    <t>ULSNFRA_EAGLE_AG_IDR_UL_2020_IF</t>
  </si>
  <si>
    <t>ULSNFRA_EAGLE_AG_IDR_UL_2021_IF</t>
  </si>
  <si>
    <t>ULSNFRA_EAGLE_AG_IDR_UL_2022_IF</t>
  </si>
  <si>
    <t>ULSNFRA_EAGLE_AG_USD_UL_2020_IF</t>
  </si>
  <si>
    <t>ULSNFRA_EAGLE_AG_USD_UL_2021_IF</t>
  </si>
  <si>
    <t>ULSNFRA_EAGLE_AG_USD_UL_2022_IF</t>
  </si>
  <si>
    <t>ULSNFRA_SPRING_AG_IDR_UL_2020_IF</t>
  </si>
  <si>
    <t>ULSNFRA_SPRING_AG_IDR_UL_2021_IF</t>
  </si>
  <si>
    <t>ULSNFRA_SPRING_AG_IDR_UL_2022_IF</t>
  </si>
  <si>
    <t>ULSNFRA_SPRING_AG_USD_UL_2020_IF</t>
  </si>
  <si>
    <t>ULSNFRA_SPRING_AG_USD_UL_2021_IF</t>
  </si>
  <si>
    <t>ULSNW__IDR</t>
  </si>
  <si>
    <t>ULSNW__HSBC_KT_IDR_UL_2014_IF</t>
  </si>
  <si>
    <t>ULSNW__USD</t>
  </si>
  <si>
    <t>ULSNW__HSBC_KT_USD_UL_2014_IF</t>
  </si>
  <si>
    <t>ULSNWK_IDR</t>
  </si>
  <si>
    <t>ULSNWK_HSBC_KT_IDR_UL_2014_IF</t>
  </si>
  <si>
    <t>ULSNWK_HSBC_KT_IDR_UL_2015_IF</t>
  </si>
  <si>
    <t>ULSNWK_HSBC_KT_IDR_UL_2016_IF</t>
  </si>
  <si>
    <t>ULSNWK_HSBC_KT_IDR_UL_2017_IF</t>
  </si>
  <si>
    <t>ULSNWK_USD</t>
  </si>
  <si>
    <t>ULSNWK_HSBC_KT_USD_UL_2014_IF</t>
  </si>
  <si>
    <t>ULSNWK_HSBC_KT_USD_UL_2015_IF</t>
  </si>
  <si>
    <t>ULSPN1_IDR</t>
  </si>
  <si>
    <t>ULSPN1_NISP_NK_IDR_UL_2014_IF</t>
  </si>
  <si>
    <t>ULSPN2_IDR</t>
  </si>
  <si>
    <t>ULSPN2_NISP_NK_IDR_UL_2014_IF</t>
  </si>
  <si>
    <t>ULSPO1_IDR</t>
  </si>
  <si>
    <t>ULSPO1_AZID_AG_IDR_UL_2014_IF</t>
  </si>
  <si>
    <t>ULSPO1_AZID_AG_IDR_UL_2015_IF</t>
  </si>
  <si>
    <t>ULSPO1_AZID_AG_IDR_UL_2016_IF</t>
  </si>
  <si>
    <t>ULSPO1_AZID_AG_IDR_UL_2017_IF</t>
  </si>
  <si>
    <t>ULSPO1_AZID_AG_IDR_UL_2018_IF</t>
  </si>
  <si>
    <t>ULSPO1_AZID_AG_IDR_UL_2019_IF</t>
  </si>
  <si>
    <t>ULSPO1_EAGLE_AG_IDR_UL_2015_IF</t>
  </si>
  <si>
    <t>ULSPO1_EAGLE_AG_IDR_UL_2016_IF</t>
  </si>
  <si>
    <t>ULSPO1_EAGLE_AG_IDR_UL_2017_IF</t>
  </si>
  <si>
    <t>ULSPO1_EAGLE_AG_IDR_UL_2018_IF</t>
  </si>
  <si>
    <t>ULSPO1_EAGLE_AG_IDR_UL_2019_IF</t>
  </si>
  <si>
    <t>ULSPO1_SPRING_AG_IDR_UL_2014_IF</t>
  </si>
  <si>
    <t>ULSPO1_SPRING_AG_IDR_UL_2015_IF</t>
  </si>
  <si>
    <t>ULSPO1_SPRING_AG_IDR_UL_2016_IF</t>
  </si>
  <si>
    <t>ULSPO1_SPRING_AG_IDR_UL_2017_IF</t>
  </si>
  <si>
    <t>ULSPO1_SPRING_AG_IDR_UL_2018_IF</t>
  </si>
  <si>
    <t>ULSPO1_SPRING_AG_IDR_UL_2019_IF</t>
  </si>
  <si>
    <t>ULSPO2_IDR</t>
  </si>
  <si>
    <t>ULSPO2_AZID_AG_IDR_UL_2014_IF</t>
  </si>
  <si>
    <t>ULSPO2_AZID_AG_IDR_UL_2015_IF</t>
  </si>
  <si>
    <t>ULSPO2_AZID_AG_IDR_UL_2016_IF</t>
  </si>
  <si>
    <t>ULSPO2_AZID_AG_IDR_UL_2017_IF</t>
  </si>
  <si>
    <t>ULSPO2_AZID_AG_IDR_UL_2018_IF</t>
  </si>
  <si>
    <t>ULSPO2_AZID_AG_IDR_UL_2019_IF</t>
  </si>
  <si>
    <t>ULSPO2_EAGLE_AG_IDR_UL_2014_IF</t>
  </si>
  <si>
    <t>ULSPO2_EAGLE_AG_IDR_UL_2015_IF</t>
  </si>
  <si>
    <t>ULSPO2_EAGLE_AG_IDR_UL_2016_IF</t>
  </si>
  <si>
    <t>ULSPO2_EAGLE_AG_IDR_UL_2017_IF</t>
  </si>
  <si>
    <t>ULSPO2_EAGLE_AG_IDR_UL_2018_IF</t>
  </si>
  <si>
    <t>ULSPO2_EAGLE_AG_IDR_UL_2019_IF</t>
  </si>
  <si>
    <t>ULSPO2_SPRING_AG_IDR_UL_2014_IF</t>
  </si>
  <si>
    <t>ULSPO2_SPRING_AG_IDR_UL_2015_IF</t>
  </si>
  <si>
    <t>ULSPO2_SPRING_AG_IDR_UL_2016_IF</t>
  </si>
  <si>
    <t>ULSPO2_SPRING_AG_IDR_UL_2017_IF</t>
  </si>
  <si>
    <t>ULSPO2_SPRING_AG_IDR_UL_2018_IF</t>
  </si>
  <si>
    <t>ULSPO2_SPRING_AG_IDR_UL_2019_IF</t>
  </si>
  <si>
    <t>ULSPO3_IDR</t>
  </si>
  <si>
    <t>ULSPO3_AZID_AG_IDR_UL_2014_IF</t>
  </si>
  <si>
    <t>ULSPO3_AZID_AG_IDR_UL_2015_IF</t>
  </si>
  <si>
    <t>ULSPO3_AZID_AG_IDR_UL_2016_IF</t>
  </si>
  <si>
    <t>ULSPO3_AZID_AG_IDR_UL_2017_IF</t>
  </si>
  <si>
    <t>ULSPO3_AZID_AG_IDR_UL_2018_IF</t>
  </si>
  <si>
    <t>ULSPO3_AZID_AG_IDR_UL_2019_IF</t>
  </si>
  <si>
    <t>ULSPO3_EAGLE_AG_IDR_UL_2015_IF</t>
  </si>
  <si>
    <t>ULSPO3_EAGLE_AG_IDR_UL_2016_IF</t>
  </si>
  <si>
    <t>ULSPO3_EAGLE_AG_IDR_UL_2017_IF</t>
  </si>
  <si>
    <t>ULSPO3_EAGLE_AG_IDR_UL_2018_IF</t>
  </si>
  <si>
    <t>ULSPO3_EAGLE_AG_IDR_UL_2019_IF</t>
  </si>
  <si>
    <t>ULSPO3_SPRING_AG_IDR_UL_2014_IF</t>
  </si>
  <si>
    <t>ULSPO3_SPRING_AG_IDR_UL_2015_IF</t>
  </si>
  <si>
    <t>ULSPO3_SPRING_AG_IDR_UL_2016_IF</t>
  </si>
  <si>
    <t>ULSPO3_SPRING_AG_IDR_UL_2017_IF</t>
  </si>
  <si>
    <t>ULSPO3_SPRING_AG_IDR_UL_2018_IF</t>
  </si>
  <si>
    <t>ULSPO3_SPRING_AG_IDR_UL_2019_IF</t>
  </si>
  <si>
    <t>ULSPO4_IDR</t>
  </si>
  <si>
    <t>ULSPO4_AZID_AG_IDR_UL_2014_IF</t>
  </si>
  <si>
    <t>ULSPO4_AZID_AG_IDR_UL_2015_IF</t>
  </si>
  <si>
    <t>ULSPO4_AZID_AG_IDR_UL_2016_IF</t>
  </si>
  <si>
    <t>ULSPO4_AZID_AG_IDR_UL_2017_IF</t>
  </si>
  <si>
    <t>ULSPO4_AZID_AG_IDR_UL_2018_IF</t>
  </si>
  <si>
    <t>ULSPO4_AZID_AG_IDR_UL_2019_IF</t>
  </si>
  <si>
    <t>ULSPO4_EAGLE_AG_IDR_UL_2014_IF</t>
  </si>
  <si>
    <t>ULSPO4_EAGLE_AG_IDR_UL_2015_IF</t>
  </si>
  <si>
    <t>ULSPO4_EAGLE_AG_IDR_UL_2016_IF</t>
  </si>
  <si>
    <t>ULSPO4_EAGLE_AG_IDR_UL_2017_IF</t>
  </si>
  <si>
    <t>ULSPO4_EAGLE_AG_IDR_UL_2018_IF</t>
  </si>
  <si>
    <t>ULSPO4_EAGLE_AG_IDR_UL_2019_IF</t>
  </si>
  <si>
    <t>ULSPO4_SPRING_AG_IDR_UL_2014_IF</t>
  </si>
  <si>
    <t>ULSPO4_SPRING_AG_IDR_UL_2015_IF</t>
  </si>
  <si>
    <t>ULSPO4_SPRING_AG_IDR_UL_2016_IF</t>
  </si>
  <si>
    <t>ULSPO4_SPRING_AG_IDR_UL_2017_IF</t>
  </si>
  <si>
    <t>ULSPO4_SPRING_AG_IDR_UL_2018_IF</t>
  </si>
  <si>
    <t>ULSPO4_SPRING_AG_IDR_UL_2019_IF</t>
  </si>
  <si>
    <t>ULSPO5_IDR</t>
  </si>
  <si>
    <t>ULSPO5_AZID_AG_IDR_UL_2014_IF</t>
  </si>
  <si>
    <t>ULSPO5_AZID_AG_IDR_UL_2015_IF</t>
  </si>
  <si>
    <t>ULSPO5_AZID_AG_IDR_UL_2016_IF</t>
  </si>
  <si>
    <t>ULSPO5_AZID_AG_IDR_UL_2017_IF</t>
  </si>
  <si>
    <t>ULSPO5_AZID_AG_IDR_UL_2018_IF</t>
  </si>
  <si>
    <t>ULSPO5_AZID_AG_IDR_UL_2019_IF</t>
  </si>
  <si>
    <t>ULSPO5_EAGLE_AG_IDR_UL_2014_IF</t>
  </si>
  <si>
    <t>ULSPO5_EAGLE_AG_IDR_UL_2015_IF</t>
  </si>
  <si>
    <t>ULSPO5_EAGLE_AG_IDR_UL_2016_IF</t>
  </si>
  <si>
    <t>ULSPO5_EAGLE_AG_IDR_UL_2017_IF</t>
  </si>
  <si>
    <t>ULSPO5_EAGLE_AG_IDR_UL_2018_IF</t>
  </si>
  <si>
    <t>ULSPO5_EAGLE_AG_IDR_UL_2019_IF</t>
  </si>
  <si>
    <t>ULSPO5_SPRING_AG_IDR_UL_2014_IF</t>
  </si>
  <si>
    <t>ULSPO5_SPRING_AG_IDR_UL_2015_IF</t>
  </si>
  <si>
    <t>ULSPO5_SPRING_AG_IDR_UL_2016_IF</t>
  </si>
  <si>
    <t>ULSPO5_SPRING_AG_IDR_UL_2017_IF</t>
  </si>
  <si>
    <t>ULSPO5_SPRING_AG_IDR_UL_2018_IF</t>
  </si>
  <si>
    <t>ULSPO5_SPRING_AG_IDR_UL_2019_IF</t>
  </si>
  <si>
    <t>ULSPO6_IDR</t>
  </si>
  <si>
    <t>ULSPO6_AZID_AG_IDR_UL_2014_IF</t>
  </si>
  <si>
    <t>ULSPO6_AZID_AG_IDR_UL_2015_IF</t>
  </si>
  <si>
    <t>ULSPO6_AZID_AG_IDR_UL_2016_IF</t>
  </si>
  <si>
    <t>ULSPO6_AZID_AG_IDR_UL_2017_IF</t>
  </si>
  <si>
    <t>ULSPO6_AZID_AG_IDR_UL_2018_IF</t>
  </si>
  <si>
    <t>ULSPO6_AZID_AG_IDR_UL_2019_IF</t>
  </si>
  <si>
    <t>ULSPO6_EAGLE_AG_IDR_UL_2014_IF</t>
  </si>
  <si>
    <t>ULSPO6_EAGLE_AG_IDR_UL_2015_IF</t>
  </si>
  <si>
    <t>ULSPO6_EAGLE_AG_IDR_UL_2016_IF</t>
  </si>
  <si>
    <t>ULSPO6_EAGLE_AG_IDR_UL_2017_IF</t>
  </si>
  <si>
    <t>ULSPO6_EAGLE_AG_IDR_UL_2018_IF</t>
  </si>
  <si>
    <t>ULSPO6_EAGLE_AG_IDR_UL_2019_IF</t>
  </si>
  <si>
    <t>ULSPO6_SPRING_AG_IDR_UL_2014_IF</t>
  </si>
  <si>
    <t>ULSPO6_SPRING_AG_IDR_UL_2015_IF</t>
  </si>
  <si>
    <t>ULSPO6_SPRING_AG_IDR_UL_2016_IF</t>
  </si>
  <si>
    <t>ULSPO6_SPRING_AG_IDR_UL_2017_IF</t>
  </si>
  <si>
    <t>ULSPO6_SPRING_AG_IDR_UL_2018_IF</t>
  </si>
  <si>
    <t>ULSPO6_SPRING_AG_IDR_UL_2019_IF</t>
  </si>
  <si>
    <t>ULSPO6A_IDR</t>
  </si>
  <si>
    <t>ULSPO6A_SPRING_AG_IDR_UL_2021_IF</t>
  </si>
  <si>
    <t>ULSPO7_IDR</t>
  </si>
  <si>
    <t>ULSPO7_AZID_AG_IDR_UL_2014_IF</t>
  </si>
  <si>
    <t>ULSPO7_AZID_AG_IDR_UL_2015_IF</t>
  </si>
  <si>
    <t>ULSPO7_AZID_AG_IDR_UL_2016_IF</t>
  </si>
  <si>
    <t>ULSPO7_AZID_AG_IDR_UL_2017_IF</t>
  </si>
  <si>
    <t>ULSPO7_AZID_AG_IDR_UL_2018_IF</t>
  </si>
  <si>
    <t>ULSPO7_AZID_AG_IDR_UL_2019_IF</t>
  </si>
  <si>
    <t>ULSPO7_EAGLE_AG_IDR_UL_2015_IF</t>
  </si>
  <si>
    <t>ULSPO7_EAGLE_AG_IDR_UL_2016_IF</t>
  </si>
  <si>
    <t>ULSPO7_EAGLE_AG_IDR_UL_2017_IF</t>
  </si>
  <si>
    <t>ULSPO7_EAGLE_AG_IDR_UL_2018_IF</t>
  </si>
  <si>
    <t>ULSPO7_EAGLE_AG_IDR_UL_2019_IF</t>
  </si>
  <si>
    <t>ULSPO7_SPRING_AG_IDR_UL_2014_IF</t>
  </si>
  <si>
    <t>ULSPO7_SPRING_AG_IDR_UL_2015_IF</t>
  </si>
  <si>
    <t>ULSPO7_SPRING_AG_IDR_UL_2016_IF</t>
  </si>
  <si>
    <t>ULSPO7_SPRING_AG_IDR_UL_2017_IF</t>
  </si>
  <si>
    <t>ULSPO7_SPRING_AG_IDR_UL_2018_IF</t>
  </si>
  <si>
    <t>ULSPO7_SPRING_AG_IDR_UL_2019_IF</t>
  </si>
  <si>
    <t>ULSPO7A_IDR</t>
  </si>
  <si>
    <t>ULSPO7A_AZID_AG_IDR_UL_2021_IF</t>
  </si>
  <si>
    <t>ULSPP__IDR</t>
  </si>
  <si>
    <t>ULSPP__SCB_NK_IDR_UL_2014_IF</t>
  </si>
  <si>
    <t>ULSPP__USD</t>
  </si>
  <si>
    <t>ULSPP__SCB_NK_USD_UL_2014_IF</t>
  </si>
  <si>
    <t>ULSPPR_IDR</t>
  </si>
  <si>
    <t>ULSPPR_SCB_NK_IDR_UL_2014_IF</t>
  </si>
  <si>
    <t>ULSPPR_USD</t>
  </si>
  <si>
    <t>ULSPPR_SCB_NK_USD_UL_2014_IF</t>
  </si>
  <si>
    <t>ULSS___IDR</t>
  </si>
  <si>
    <t>ULSS___PERMATA_NK_IDR_UL_2014_IF</t>
  </si>
  <si>
    <t>ULSS___USD</t>
  </si>
  <si>
    <t>ULSS___PERMATA_NK_USD_UL_2014_IF</t>
  </si>
  <si>
    <t>ULSSA__IDR</t>
  </si>
  <si>
    <t>ULSSA__AZID_AG_IDR_UL_2014_IF</t>
  </si>
  <si>
    <t>ULSSA2_IDR</t>
  </si>
  <si>
    <t>ULSSA2_AZID_AG_IDR_UL_2014_IF</t>
  </si>
  <si>
    <t>ULSSA2_AZID_AG_IDR_UL_2015_IF</t>
  </si>
  <si>
    <t>ULSSA2_AZID_AG_IDR_UL_2016_IF</t>
  </si>
  <si>
    <t>ULSSA2_AZID_AG_IDR_UL_2017_IF</t>
  </si>
  <si>
    <t>ULSSA2_AZID_AG_IDR_UL_2018_IF</t>
  </si>
  <si>
    <t>ULSSA2_AZID_AG_IDR_UL_2019_IF</t>
  </si>
  <si>
    <t>ULSSA2_AZID_AG_IDR_UL_2020_IF</t>
  </si>
  <si>
    <t>ULSSA2A_IDR</t>
  </si>
  <si>
    <t>ULSSA2A_AZID_AG_IDR_UL_2020_IF</t>
  </si>
  <si>
    <t>ULSSA2A_AZID_AG_IDR_UL_2021_IF</t>
  </si>
  <si>
    <t>ULSSA2A_AZID_AG_IDR_UL_2022_IF</t>
  </si>
  <si>
    <t>ULSSP__IDR</t>
  </si>
  <si>
    <t>ULSSP__PERMATA_NK_IDR_UL_2014_IF</t>
  </si>
  <si>
    <t>ULSSP1_IDR</t>
  </si>
  <si>
    <t>ULSSP1_ANZ_NK_IDR_UL_2016_IF</t>
  </si>
  <si>
    <t>ULSSP2_IDR</t>
  </si>
  <si>
    <t>ULSSP2_ANZ_NK_IDR_UL_2017_IF</t>
  </si>
  <si>
    <t>ULSSP2_ANZ_NK_IDR_UL_2018_IF</t>
  </si>
  <si>
    <t>ULSSPR_IDR</t>
  </si>
  <si>
    <t>ULSSPR_PERMATA_NK_IDR_UL_2014_IF</t>
  </si>
  <si>
    <t>ULSSR__IDR</t>
  </si>
  <si>
    <t>ULSSR__PERMATA_NK_IDR_UL_2014_IF</t>
  </si>
  <si>
    <t>ULSSR__USD</t>
  </si>
  <si>
    <t>ULSSR__PERMATA_NK_USD_UL_2014_IF</t>
  </si>
  <si>
    <t>ULSUS__IDR</t>
  </si>
  <si>
    <t>ULSUS__SCB_NK_IDR_UL_2014_IF</t>
  </si>
  <si>
    <t>ULSUS__SCB_NK_IDR_UL_2015_IF</t>
  </si>
  <si>
    <t>ULSVM1_IDR</t>
  </si>
  <si>
    <t>ULSVM1_CITIBANK_NK_IDR_UL_2014_IF</t>
  </si>
  <si>
    <t>ULSVM2_IDR</t>
  </si>
  <si>
    <t>ULSVM2_CITIBANK_NK_IDR_UL_2014_IF</t>
  </si>
  <si>
    <t>ULSVM3_IDR</t>
  </si>
  <si>
    <t>ULSVM3_CITIBANK_NK_IDR_UL_2014_IF</t>
  </si>
  <si>
    <t>ULSVP__IDR</t>
  </si>
  <si>
    <t>ULSVP__CITIBANK_NK_IDR_UL_2014_IF</t>
  </si>
  <si>
    <t>ULUML__IDR</t>
  </si>
  <si>
    <t>ULUML__PERMATA_NK_IDR_UL_2014_IF</t>
  </si>
  <si>
    <t>ULWPL2_IDR</t>
  </si>
  <si>
    <t>ULWPL2_USD</t>
  </si>
  <si>
    <t>ULWPR2_IDR</t>
  </si>
  <si>
    <t>ULWPR2_USD</t>
  </si>
  <si>
    <t>UVSG1__USD</t>
  </si>
  <si>
    <t>UVSG1__PERMATA_NK_USD_PI_2014_IF</t>
  </si>
  <si>
    <t>UVSG1__SCB_NK_USD_PI_2014_IF</t>
  </si>
  <si>
    <t>UVSG2__USD</t>
  </si>
  <si>
    <t>UVSG2__PERMATA_NK_USD_PI_2014_IF</t>
  </si>
  <si>
    <t>UVSG2__SCB_NK_USD_PI_2014_IF</t>
  </si>
  <si>
    <t>UVSG2__SCB_NK_USD_PI_2015_IF</t>
  </si>
  <si>
    <t>UVSG2__SCB_NK_USD_PI_2016_IF</t>
  </si>
  <si>
    <t>ULGALLOC_AZID_AG_IDR_GS_2014_IF</t>
  </si>
  <si>
    <t>ULGALLOC_AZID_AG_IDR_GS_2019_IF</t>
  </si>
  <si>
    <t>ULGALLOC_AZID_AG_IDR_GS_2020_IF</t>
  </si>
  <si>
    <t>ULGALLOC_AZID_AG_IDR_GS_2021_IF</t>
  </si>
  <si>
    <t>_USD</t>
  </si>
  <si>
    <t>ULGALLOC_AZID_AG_USD_GS_2014_IF</t>
  </si>
  <si>
    <t>ULSPOOL_AZID_AG_IDR_GS_2014_IF</t>
  </si>
  <si>
    <t>ULSPOOL_AZID_AG_IDR_GS_2015_IF</t>
  </si>
  <si>
    <t>ULSPOOL_AZID_AG_IDR_GS_2016_IF</t>
  </si>
  <si>
    <t>ULSPOOL_AZID_AG_IDR_GS_2018_IF</t>
  </si>
  <si>
    <t>ULSPOOL_AZID_AG_IDR_GS_2019_IF</t>
  </si>
  <si>
    <t>ULSPOOL_AZID_AG_IDR_GS_2020_IF</t>
  </si>
  <si>
    <t>ULSPOOL_AZID_AG_IDR_GS_2021_IF</t>
  </si>
  <si>
    <t>CEALSP_IDR</t>
  </si>
  <si>
    <t>CEALSP_HANA_NK_L_IDR_NO_2021_IF</t>
  </si>
  <si>
    <t>CEALSP_HANA_NK_L_IDR_NO_2022_IF</t>
  </si>
  <si>
    <t>CEALSP_NISP_NK_L_IDR_NO_2022_IF</t>
  </si>
  <si>
    <t>CEALSP_NISP_NK_L_IDR_NO_2023_IF</t>
  </si>
  <si>
    <t>CEALSP_VICTORIA_NK_L_IDR_NO_2022_IF</t>
  </si>
  <si>
    <t>CEALSP_VICTORIA_NK_L_IDR_NO_2023_IF</t>
  </si>
  <si>
    <t>CEBEA__IDR</t>
  </si>
  <si>
    <t>CEBEA__AZID_AG_L_IDR_NI_2014_IF</t>
  </si>
  <si>
    <t>CEBEA__USD</t>
  </si>
  <si>
    <t>CEBEA__AZID_AG_L_USD_NI_2014_IF</t>
  </si>
  <si>
    <t>CEBSA__IDR</t>
  </si>
  <si>
    <t>CEBSA__AZID_AG_L_IDR_NI_2014_IF</t>
  </si>
  <si>
    <t>CEBSA__USD</t>
  </si>
  <si>
    <t>CEBSA__AZID_AG_L_USD_NI_2014_IF</t>
  </si>
  <si>
    <t>CECC___IDR</t>
  </si>
  <si>
    <t>CECC___HSBC_KT_L_IDR_PI_2014_IF</t>
  </si>
  <si>
    <t>CECC___HSBC_KT_L_IDR_PI_2015_IF</t>
  </si>
  <si>
    <t>CECC___HSBC_KT_L_IDR_PI_2016_IF</t>
  </si>
  <si>
    <t>CECC___HSBC_KT_L_IDR_PI_2017_IF</t>
  </si>
  <si>
    <t>CECC___HSBC_KT_L_IDR_PI_2018_IF</t>
  </si>
  <si>
    <t>CECC___HSBC_KT_L_IDR_PI_2019_IF</t>
  </si>
  <si>
    <t>CECC___HSBC_KT_L_IDR_PI_2020_IF</t>
  </si>
  <si>
    <t>CECC___HSBC_KT_L_IDR_PI_2021_IF</t>
  </si>
  <si>
    <t>CECC___HSBC_KT_L_IDR_PI_2022_IF</t>
  </si>
  <si>
    <t>CECC___HSBC_KT_L_IDR_PI_2023_IF</t>
  </si>
  <si>
    <t>CEECP__IDR</t>
  </si>
  <si>
    <t>CEECP__AZID_AG_L_IDR_PI_2014_IF</t>
  </si>
  <si>
    <t>CEECP__USD</t>
  </si>
  <si>
    <t>CEECP__AZID_AG_L_USD_PI_2014_IF</t>
  </si>
  <si>
    <t>CEEDU__IDR</t>
  </si>
  <si>
    <t>CEEDU__AZID_AG_L_IDR_PI_2014_IF</t>
  </si>
  <si>
    <t>CEEEP__IDR</t>
  </si>
  <si>
    <t>CEEEP__AZID_AG_L_IDR_PI_2014_IF</t>
  </si>
  <si>
    <t>CEEFP__IDR</t>
  </si>
  <si>
    <t>CEEFP__AZID_AG_L_IDR_PI_2014_IF</t>
  </si>
  <si>
    <t>CEEFP__USD</t>
  </si>
  <si>
    <t>CEEFP__AZID_AG_L_USD_PI_2014_IF</t>
  </si>
  <si>
    <t>CEEFP__EAGLE_AG_L_IDR_PI_2014_IF</t>
  </si>
  <si>
    <t>CEESP__IDR</t>
  </si>
  <si>
    <t>CEESP__AZID_AG_L_IDR_PI_2014_IF</t>
  </si>
  <si>
    <t>CEESP__USD</t>
  </si>
  <si>
    <t>CEESP__AZID_AG_L_USD_PI_2014_IF</t>
  </si>
  <si>
    <t>CEEUP__IDR</t>
  </si>
  <si>
    <t>CEEUP__AZID_AG_L_IDR_PI_2014_IF</t>
  </si>
  <si>
    <t>CEEUP__USD</t>
  </si>
  <si>
    <t>CEEUP__AZID_AG_L_USD_PI_2014_IF</t>
  </si>
  <si>
    <t>CEFC50_IDR</t>
  </si>
  <si>
    <t>CEFC50_HSBC_KT_L_IDR_PI_2014_IF</t>
  </si>
  <si>
    <t>CEFC50_HSBC_KT_L_IDR_PI_2015_IF</t>
  </si>
  <si>
    <t>CEFC50_HSBC_KT_L_IDR_PI_2016_IF</t>
  </si>
  <si>
    <t>CEFC50_HSBC_KT_L_IDR_PI_2017_IF</t>
  </si>
  <si>
    <t>CEFC50_HSBC_KT_L_IDR_PI_2018_IF</t>
  </si>
  <si>
    <t>CEFC50_HSBC_KT_L_IDR_PI_2019_IF</t>
  </si>
  <si>
    <t>CEFC50_HSBC_KT_L_IDR_PI_2020_IF</t>
  </si>
  <si>
    <t>CEFC50_HSBC_KT_L_IDR_PI_2022_IF</t>
  </si>
  <si>
    <t>CEFC50_HSBC_KT_L_IDR_PI_2023_IF</t>
  </si>
  <si>
    <t>CEFC55_IDR</t>
  </si>
  <si>
    <t>CEFC55_HSBC_KT_L_IDR_PI_2017_IF</t>
  </si>
  <si>
    <t>CEFC55_HSBC_KT_L_IDR_PI_2018_IF</t>
  </si>
  <si>
    <t>CEFC55_HSBC_KT_L_IDR_PI_2019_IF</t>
  </si>
  <si>
    <t>CEFC55_HSBC_KT_L_IDR_PI_2020_IF</t>
  </si>
  <si>
    <t>CEFC55_HSBC_KT_L_IDR_PI_2022_IF</t>
  </si>
  <si>
    <t>CEFC55_HSBC_KT_L_IDR_PI_2023_IF</t>
  </si>
  <si>
    <t>CEFC60_IDR</t>
  </si>
  <si>
    <t>CEFC60_HSBC_KT_L_IDR_PI_2016_IF</t>
  </si>
  <si>
    <t>CEFC60_HSBC_KT_L_IDR_PI_2017_IF</t>
  </si>
  <si>
    <t>CEFC60_HSBC_KT_L_IDR_PI_2018_IF</t>
  </si>
  <si>
    <t>CEFC60_HSBC_KT_L_IDR_PI_2019_IF</t>
  </si>
  <si>
    <t>CEFC60_HSBC_KT_L_IDR_PI_2020_IF</t>
  </si>
  <si>
    <t>CEFC60_HSBC_KT_L_IDR_PI_2021_IF</t>
  </si>
  <si>
    <t>CEFC60_HSBC_KT_L_IDR_PI_2022_IF</t>
  </si>
  <si>
    <t>CEFC60_HSBC_KT_L_IDR_PI_2023_IF</t>
  </si>
  <si>
    <t>CEFPST_IDR</t>
  </si>
  <si>
    <t>CEFPST_QNB_NK_L_IDR_NO_2021_IF</t>
  </si>
  <si>
    <t>CEFPST_QNB_NK_L_IDR_NO_2022_IF</t>
  </si>
  <si>
    <t>CEFPST_QNB_NK_L_IDR_NO_2023_IF</t>
  </si>
  <si>
    <t>CEFR50_IDR</t>
  </si>
  <si>
    <t>CEFR50_AZID_AG_L_IDR_NI_2014_IF</t>
  </si>
  <si>
    <t>CEFR50_USD</t>
  </si>
  <si>
    <t>CEFR50_AZID_AG_L_USD_NI_2014_IF</t>
  </si>
  <si>
    <t>CEFR50_SPRING_AG_L_IDR_NI_2014_IF</t>
  </si>
  <si>
    <t>CEFR55_IDR</t>
  </si>
  <si>
    <t>CEFR55_AZID_AG_L_IDR_NI_2014_IF</t>
  </si>
  <si>
    <t>CEFR55_USD</t>
  </si>
  <si>
    <t>CEFR55_AZID_AG_L_USD_NI_2014_IF</t>
  </si>
  <si>
    <t>CEFR60_IDR</t>
  </si>
  <si>
    <t>CEFR60_AZID_AG_L_IDR_NI_2014_IF</t>
  </si>
  <si>
    <t>CEFR60_USD</t>
  </si>
  <si>
    <t>CEFR60_AZID_AG_L_USD_NI_2014_IF</t>
  </si>
  <si>
    <t>CEGPST_IDR</t>
  </si>
  <si>
    <t>CEGPST_BTPN_NK_L_IDR_NO_2020_IF</t>
  </si>
  <si>
    <t>CEGPST_BTPN_NK_L_IDR_NO_2021_IF</t>
  </si>
  <si>
    <t>CEGPST_BTPN_NK_L_IDR_NO_2022_IF</t>
  </si>
  <si>
    <t>CEGPST_BTPN_NK_L_IDR_NO_2023_IF</t>
  </si>
  <si>
    <t>CEHPST_IDR</t>
  </si>
  <si>
    <t>CEHPST_HSBC_KT_L_IDR_NO_2020_IF</t>
  </si>
  <si>
    <t>CEHPST_HSBC_KT_L_IDR_NO_2021_IF</t>
  </si>
  <si>
    <t>CEHPST_HSBC_KT_L_IDR_NO_2022_IF</t>
  </si>
  <si>
    <t>CEHPST_HSBC_KT_L_IDR_NO_2023_IF</t>
  </si>
  <si>
    <t>CEHT___IDR</t>
  </si>
  <si>
    <t>CEHT___AZID_AG_L_IDR_NI_2014_IF</t>
  </si>
  <si>
    <t>CEME___IDR</t>
  </si>
  <si>
    <t>CEME___AZID_AG_L_IDR_PI_2014_IF</t>
  </si>
  <si>
    <t>CEME___AZID_AG_L_IDR_PI_2015_IF</t>
  </si>
  <si>
    <t>CEME___AZID_AG_L_IDR_PI_2016_IF</t>
  </si>
  <si>
    <t>CEME___USD</t>
  </si>
  <si>
    <t>CEME___AZID_AG_L_USD_PI_2014_IF</t>
  </si>
  <si>
    <t>CEME___EAGLE_AG_L_IDR_PI_2016_IF</t>
  </si>
  <si>
    <t>CEME___SPRING_AG_L_IDR_PI_2014_IF</t>
  </si>
  <si>
    <t>CEME___SPRING_AG_L_IDR_PI_2016_IF</t>
  </si>
  <si>
    <t>CEME___SPRING_AG_L_USD_PI_2014_IF</t>
  </si>
  <si>
    <t>CEMF50_IDR</t>
  </si>
  <si>
    <t>CEMF50_AZID_AG_L_IDR_PI_2014_IF</t>
  </si>
  <si>
    <t>CEMF50_AZID_AG_L_IDR_PI_2015_IF</t>
  </si>
  <si>
    <t>CEMF50_USD</t>
  </si>
  <si>
    <t>CEMF50_AZID_AG_L_USD_PI_2014_IF</t>
  </si>
  <si>
    <t>CEMF50_SPRING_AG_L_IDR_PI_2016_IF</t>
  </si>
  <si>
    <t>CEMF55_IDR</t>
  </si>
  <si>
    <t>CEMF55_AZID_AG_L_IDR_PI_2014_IF</t>
  </si>
  <si>
    <t>CEMF55_AZID_AG_L_IDR_PI_2016_IF</t>
  </si>
  <si>
    <t>CEMF55_USD</t>
  </si>
  <si>
    <t>CEMF55_AZID_AG_L_USD_PI_2014_IF</t>
  </si>
  <si>
    <t>CEMF55_SPRING_AG_L_IDR_PI_2014_IF</t>
  </si>
  <si>
    <t>CEMF60_IDR</t>
  </si>
  <si>
    <t>CEMF60_AZID_AG_L_IDR_PI_2014_IF</t>
  </si>
  <si>
    <t>CEMF60_USD</t>
  </si>
  <si>
    <t>CEMF60_AZID_AG_L_USD_PI_2014_IF</t>
  </si>
  <si>
    <t>CEMFP1_IDR</t>
  </si>
  <si>
    <t>CEMFP1_PERMATA_NK_L_IDR_PI_2014_IF</t>
  </si>
  <si>
    <t>CEMFP2_IDR</t>
  </si>
  <si>
    <t>CEMFP2_PERMATA_NK_L_IDR_PI_2014_IF</t>
  </si>
  <si>
    <t>CEMFP3_IDR</t>
  </si>
  <si>
    <t>CEMFP3_PERMATA_NK_L_IDR_PI_2014_IF</t>
  </si>
  <si>
    <t>CEMPST_IDR</t>
  </si>
  <si>
    <t>CEMPST_MAYBANK_NK_L_IDR_NO_2020_IF</t>
  </si>
  <si>
    <t>CEMPST_MAYBANK_NK_L_IDR_NO_2021_IF</t>
  </si>
  <si>
    <t>CEMPST_MAYBANK_NK_L_IDR_NO_2022_IF</t>
  </si>
  <si>
    <t>CEMPST_MAYBANK_NK_L_IDR_NO_2023_IF</t>
  </si>
  <si>
    <t>CEPL___IDR</t>
  </si>
  <si>
    <t>CEPL___AZID_AG_L_IDR_NI_2014_IF</t>
  </si>
  <si>
    <t>CEPL___USD</t>
  </si>
  <si>
    <t>CEPL___AZID_AG_L_USD_NI_2014_IF</t>
  </si>
  <si>
    <t>CEPLA__IDR</t>
  </si>
  <si>
    <t>CEPLA__AZID_AG_L_IDR_NI_2014_IF</t>
  </si>
  <si>
    <t>CEPNTR_IDR</t>
  </si>
  <si>
    <t>CEPNTR_BCI_NK_L_IDR_NI_2023_IF</t>
  </si>
  <si>
    <t>CEPNTR_USD</t>
  </si>
  <si>
    <t>CEPNTR_BCI_NK_L_USD_NI_2023_IF</t>
  </si>
  <si>
    <t>CEPNTR_BTPN_NK_L_IDR_NI_2023_IF</t>
  </si>
  <si>
    <t>CEPNTR_BTPN_NK_L_USD_NI_2023_IF</t>
  </si>
  <si>
    <t>CEPNTR_HSBC_KT_L_IDR_NI_2023_IF</t>
  </si>
  <si>
    <t>CEPNTR_HSBC_KT_L_USD_NI_2023_IF</t>
  </si>
  <si>
    <t>CEPNTR_MAYBANK_NK_L_USD_NI_2023_IF</t>
  </si>
  <si>
    <t>CEPNTR_VICTORIA_NK_L_IDR_NI_2023_IF</t>
  </si>
  <si>
    <t>CESC___IDR</t>
  </si>
  <si>
    <t>CESC___AZID_AG_L_IDR_PI_2014_IF</t>
  </si>
  <si>
    <t>CESC___USD</t>
  </si>
  <si>
    <t>CESC___AZID_AG_L_USD_PI_2014_IF</t>
  </si>
  <si>
    <t>CESCP__IDR</t>
  </si>
  <si>
    <t>CESCP__AZID_AG_L_IDR_PI_2014_IF</t>
  </si>
  <si>
    <t>CESD___IDR</t>
  </si>
  <si>
    <t>CESD___AZID_AG_L_IDR_PI_2014_IF</t>
  </si>
  <si>
    <t>CESD___USD</t>
  </si>
  <si>
    <t>CESD___AZID_AG_L_USD_PI_2014_IF</t>
  </si>
  <si>
    <t>CESE___IDR</t>
  </si>
  <si>
    <t>CESE___AZID_AG_L_IDR_PI_2014_IF</t>
  </si>
  <si>
    <t>CESE___USD</t>
  </si>
  <si>
    <t>CESE___AZID_AG_L_USD_PI_2014_IF</t>
  </si>
  <si>
    <t>CESEP__IDR</t>
  </si>
  <si>
    <t>CESEP__AZID_AG_L_IDR_PI_2014_IF</t>
  </si>
  <si>
    <t>CESF___IDR</t>
  </si>
  <si>
    <t>CESF___AZID_AG_L_IDR_PI_2014_IF</t>
  </si>
  <si>
    <t>CESF___USD</t>
  </si>
  <si>
    <t>CESF___AZID_AG_L_USD_PI_2014_IF</t>
  </si>
  <si>
    <t>CESFP__IDR</t>
  </si>
  <si>
    <t>CESFP__AZID_AG_L_IDR_PI_2014_IF</t>
  </si>
  <si>
    <t>CESFP__USD</t>
  </si>
  <si>
    <t>CESFP__AZID_AG_L_USD_PI_2014_IF</t>
  </si>
  <si>
    <t>CESS___IDR</t>
  </si>
  <si>
    <t>CESS___AZID_AG_L_IDR_PI_2014_IF</t>
  </si>
  <si>
    <t>CESS___USD</t>
  </si>
  <si>
    <t>CESS___AZID_AG_L_USD_PI_2014_IF</t>
  </si>
  <si>
    <t>CESSP__IDR</t>
  </si>
  <si>
    <t>CESSP__AZID_AG_L_IDR_PI_2014_IF</t>
  </si>
  <si>
    <t>CESSP__USD</t>
  </si>
  <si>
    <t>CESSP__AZID_AG_L_USD_PI_2014_IF</t>
  </si>
  <si>
    <t>CESU___IDR</t>
  </si>
  <si>
    <t>CESU___AZID_AG_L_IDR_PI_2014_IF</t>
  </si>
  <si>
    <t>CESU___USD</t>
  </si>
  <si>
    <t>CESU___AZID_AG_L_USD_PI_2014_IF</t>
  </si>
  <si>
    <t>CESUP__IDR</t>
  </si>
  <si>
    <t>CESUP__AZID_AG_L_IDR_PI_2014_IF</t>
  </si>
  <si>
    <t>CESUP__USD</t>
  </si>
  <si>
    <t>CESUP__AZID_AG_L_USD_PI_2014_IF</t>
  </si>
  <si>
    <t>CEZPST_IDR</t>
  </si>
  <si>
    <t>CEZPST_AZID_AG_L_IDR_NO_2020_IF</t>
  </si>
  <si>
    <t>CEZPST_AZID_AG_L_IDR_NO_2021_IF</t>
  </si>
  <si>
    <t>CEZPST_AZID_AG_L_IDR_NO_2022_IF</t>
  </si>
  <si>
    <t>CEZPST_AZID_AG_L_IDR_NO_2023_IF</t>
  </si>
  <si>
    <t>CEZPST_EAGLE_AG_L_IDR_NO_2020_IF</t>
  </si>
  <si>
    <t>CEZPST_EAGLE_AG_L_IDR_NO_2021_IF</t>
  </si>
  <si>
    <t>CEZPST_EAGLE_AG_L_IDR_NO_2022_IF</t>
  </si>
  <si>
    <t>CEZPST_EAGLE_AG_L_IDR_NO_2023_IF</t>
  </si>
  <si>
    <t>CEZPST_SPRING_AG_L_IDR_NO_2020_IF</t>
  </si>
  <si>
    <t>CEZPST_SPRING_AG_L_IDR_NO_2021_IF</t>
  </si>
  <si>
    <t>CEZPST_SPRING_AG_L_IDR_NO_2022_IF</t>
  </si>
  <si>
    <t>CEZPST_SPRING_AG_L_IDR_NO_2023_IF</t>
  </si>
  <si>
    <t>CHCPT__IDR</t>
  </si>
  <si>
    <t>CHCPT__TELEMAYBANK_NK_L_IDR_NO_2023_IF</t>
  </si>
  <si>
    <t>CJLIFE_IDR</t>
  </si>
  <si>
    <t>CJLIFE_HSBC_KT_L_IDR_NO_2019_IF</t>
  </si>
  <si>
    <t>CJLIFE_HSBC_KT_L_IDR_NO_2020_IF</t>
  </si>
  <si>
    <t>CJLIFE_HSBC_KT_L_IDR_NO_2022_IF</t>
  </si>
  <si>
    <t>CSCI49_IDR</t>
  </si>
  <si>
    <t>CSCI49_AZID_AG_L_IDR_SN_2023_IF</t>
  </si>
  <si>
    <t>CSCI49_EAGLE_AG_L_IDR_SN_2023_IF</t>
  </si>
  <si>
    <t>CSCI49_SPRING_AG_L_IDR_SN_2023_IF</t>
  </si>
  <si>
    <t>CSHNDL_IDR</t>
  </si>
  <si>
    <t>CSHNDL_AZID_AG_L_IDR_SN_2023_IF</t>
  </si>
  <si>
    <t>CSHNDL_EAGLE_AG_L_IDR_SN_2023_IF</t>
  </si>
  <si>
    <t>CSHNDL_SPRING_AG_L_IDR_SN_2023_IF</t>
  </si>
  <si>
    <t>CTCICP_IDR</t>
  </si>
  <si>
    <t>CTCICP_HSBC_KT_H_IDR_NO_2021_IF</t>
  </si>
  <si>
    <t>CTCICP_HSBC_KT_H_IDR_NO_2022_IF</t>
  </si>
  <si>
    <t>CTEZPL_IDR</t>
  </si>
  <si>
    <t>CTEZPL_TELEMAYBANK_NK_L_IDR_NO_2023_IF</t>
  </si>
  <si>
    <t>CTEZPL_TELEWOORI_NK_L_IDR_NO_2023_IF</t>
  </si>
  <si>
    <t>CTMPJG_IDR</t>
  </si>
  <si>
    <t>CTMPJG_MAYBANK_NK_L_IDR_NO_2018_IF</t>
  </si>
  <si>
    <t>CTMPJG_MAYBANK_NK_L_IDR_NO_2019_IF</t>
  </si>
  <si>
    <t>CTMPJG_MAYBANK_NK_L_IDR_NO_2020_IF</t>
  </si>
  <si>
    <t>CTMPJG_MAYBANK_NK_L_IDR_NO_2021_IF</t>
  </si>
  <si>
    <t>CTMPJG_MAYBANK_NK_L_IDR_NO_2022_IF</t>
  </si>
  <si>
    <t>CTMPJG_MAYBANK_NK_L_IDR_NO_2023_IF</t>
  </si>
  <si>
    <t>CTMPJG_TELEMAYBANK_NK_L_IDR_NO_2020_IF</t>
  </si>
  <si>
    <t>CTMPJG_TELEMAYBANK_NK_L_IDR_NO_2021_IF</t>
  </si>
  <si>
    <t>CTMPJG_TELEMAYBANK_NK_L_IDR_NO_2023_IF</t>
  </si>
  <si>
    <t>CTMPJS_IDR</t>
  </si>
  <si>
    <t>CTMPJS_MAYBANK_NK_L_IDR_NO_2018_IF</t>
  </si>
  <si>
    <t>CTMPJS_MAYBANK_NK_L_IDR_NO_2019_IF</t>
  </si>
  <si>
    <t>CTMPJS_MAYBANK_NK_L_IDR_NO_2020_IF</t>
  </si>
  <si>
    <t>CTMPSL_IDR</t>
  </si>
  <si>
    <t>CTMPSL_TELEMAYBANK_NK_L_IDR_NO_2021_IF</t>
  </si>
  <si>
    <t>CTMPSL_TELEMAYBANK_NK_L_IDR_NO_2022_IF</t>
  </si>
  <si>
    <t>CTMPSL_TELEMAYBANK_NK_L_IDR_NO_2023_IF</t>
  </si>
  <si>
    <t>CTPLA__IDR</t>
  </si>
  <si>
    <t>CTPLA__HSBC_KT_L_IDR_NO_2023_IF</t>
  </si>
  <si>
    <t>CTSL___IDR</t>
  </si>
  <si>
    <t>CTSL___AZID_AG_L_IDR_NO_2014_IF</t>
  </si>
  <si>
    <t>CTSL___AZID_AG_L_IDR_NO_2016_IF</t>
  </si>
  <si>
    <t>CTSL___AZID_AG_L_IDR_NO_2017_IF</t>
  </si>
  <si>
    <t>CTSL___AZID_AG_L_IDR_NO_2018_IF</t>
  </si>
  <si>
    <t>CTSL___AZID_AG_L_IDR_NO_2019_IF</t>
  </si>
  <si>
    <t>CTSL___AZID_AG_L_IDR_NO_2020_IF</t>
  </si>
  <si>
    <t>CTSL___EAGLE_AG_L_IDR_NO_2017_IF</t>
  </si>
  <si>
    <t>CTSL___SPRING_AG_L_IDR_NO_2014_IF</t>
  </si>
  <si>
    <t>CTSL___SPRING_AG_L_IDR_NO_2018_IF</t>
  </si>
  <si>
    <t>CTSL__A_IDR</t>
  </si>
  <si>
    <t>CTSL__A_AZID_AG_L_IDR_NO_2020_IF</t>
  </si>
  <si>
    <t>CTSL__A_AZID_AG_L_IDR_NO_2021_IF</t>
  </si>
  <si>
    <t>CTSL__A_EAGLE_AG_L_IDR_NO_2020_IF</t>
  </si>
  <si>
    <t>CTSL__A_SPRING_AG_L_IDR_NO_2020_IF</t>
  </si>
  <si>
    <t>CTSL__A_SPRING_AG_L_IDR_NO_2021_IF</t>
  </si>
  <si>
    <t>CTTP___IDR</t>
  </si>
  <si>
    <t>CTTP___AZID_AG_L_IDR_NO_2014_IF</t>
  </si>
  <si>
    <t>CTTP___SPRING_AG_L_IDR_NO_2014_IF</t>
  </si>
  <si>
    <t>CWEWP__IDR</t>
  </si>
  <si>
    <t>CWEWP__AZID_AG_L_IDR_PI_2014_IF</t>
  </si>
  <si>
    <t>CWEWP__USD</t>
  </si>
  <si>
    <t>CWEWP__AZID_AG_L_USD_PI_2014_IF</t>
  </si>
  <si>
    <t>CWEXP__IDR</t>
  </si>
  <si>
    <t>CWEXP__AZID_AG_L_IDR_PI_2014_IF</t>
  </si>
  <si>
    <t>CWEXP__USD</t>
  </si>
  <si>
    <t>CWEXP__AZID_AG_L_USD_PI_2014_IF</t>
  </si>
  <si>
    <t>CWGLGC_IDR</t>
  </si>
  <si>
    <t>CWGLGC_BTPN_NK_L_IDR_NO_2023_IF</t>
  </si>
  <si>
    <t>CWGLGC_USD</t>
  </si>
  <si>
    <t>CWGLGC_BTPN_NK_L_USD_NO_2023_IF</t>
  </si>
  <si>
    <t>CWLGC__IDR</t>
  </si>
  <si>
    <t>CWLGC__AZID_AG_L_IDR_NO_2023_IF</t>
  </si>
  <si>
    <t>CWLGC__USD</t>
  </si>
  <si>
    <t>CWLGC__AZID_AG_L_USD_NO_2023_IF</t>
  </si>
  <si>
    <t>CWLGC__AZLI_STAFF_AG_L_IDR_NO_2023_IF</t>
  </si>
  <si>
    <t>CWLGC__EAGLE_AG_L_IDR_NO_2023_IF</t>
  </si>
  <si>
    <t>CWLGC__EAGLE_AG_L_USD_NO_2023_IF</t>
  </si>
  <si>
    <t>CWLGC__SPRING_AG_L_IDR_NO_2023_IF</t>
  </si>
  <si>
    <t>CWLGC__SPRING_AG_L_USD_NO_2023_IF</t>
  </si>
  <si>
    <t>CWLGCP_IDR</t>
  </si>
  <si>
    <t>CWLGCP_BCI_NK_L_IDR_NO_2023_IF</t>
  </si>
  <si>
    <t>CWLGCP_USD</t>
  </si>
  <si>
    <t>CWLGCP_VICTORIA_NK_L_IDR_NO_2023_IF</t>
  </si>
  <si>
    <t>CWMLGC_IDR</t>
  </si>
  <si>
    <t>CWMLGC_MAYBANK_NK_L_IDR_NO_2023_IF</t>
  </si>
  <si>
    <t>CWMLGC_USD</t>
  </si>
  <si>
    <t>CWMLGC_MAYBANK_NK_L_USD_NO_2023_IF</t>
  </si>
  <si>
    <t>CWMP___IDR</t>
  </si>
  <si>
    <t>CWMP___AZID_AG_L_IDR_PI_2014_IF</t>
  </si>
  <si>
    <t>CWMP___AZID_AG_L_IDR_PI_2015_IF</t>
  </si>
  <si>
    <t>CWMP___AZID_AG_L_IDR_PI_2016_IF</t>
  </si>
  <si>
    <t>CWMP___USD</t>
  </si>
  <si>
    <t>CWMP___AZID_AG_L_USD_PI_2014_IF</t>
  </si>
  <si>
    <t>CWMP___SPRING_AG_L_IDR_PI_2014_IF</t>
  </si>
  <si>
    <t>CWMP___SPRING_AG_L_IDR_PI_2015_IF</t>
  </si>
  <si>
    <t>CWMP___SPRING_AG_L_IDR_PI_2016_IF</t>
  </si>
  <si>
    <t>CWMP___SPRING_AG_L_USD_PI_2014_IF</t>
  </si>
  <si>
    <t>CWMP___SPRING_AG_L_USD_PI_2016_IF</t>
  </si>
  <si>
    <t>CWMWKU_IDR</t>
  </si>
  <si>
    <t>CWMWKU_DANAMON_NK_L_IDR_PI_2014_IF</t>
  </si>
  <si>
    <t>CWPRLA_IDR</t>
  </si>
  <si>
    <t>CWSX___IDR</t>
  </si>
  <si>
    <t>CWSX___AZID_AG_L_IDR_PI_2014_IF</t>
  </si>
  <si>
    <t>CWSX___USD</t>
  </si>
  <si>
    <t>CWSX___AZID_AG_L_USD_PI_2014_IF</t>
  </si>
  <si>
    <t>CWSXP__IDR</t>
  </si>
  <si>
    <t>CWSXP__AZID_AG_L_IDR_PI_2014_IF</t>
  </si>
  <si>
    <t>WPCI77_IDR</t>
  </si>
  <si>
    <t>WPCI77_AZID_AG_L_IDR_NO_2021_IF</t>
  </si>
  <si>
    <t>WPCI77_AZID_AG_L_IDR_NO_2022_IF</t>
  </si>
  <si>
    <t>WPCI77_AZID_AG_L_IDR_NO_2023_IF</t>
  </si>
  <si>
    <t>WPCI77_EAGLE_AG_L_IDR_NO_2020_IF</t>
  </si>
  <si>
    <t>WPCI77_EAGLE_AG_L_IDR_NO_2021_IF</t>
  </si>
  <si>
    <t>WPCI77_EAGLE_AG_L_IDR_NO_2022_IF</t>
  </si>
  <si>
    <t>WPCI77_EAGLE_AG_L_IDR_NO_2023_IF</t>
  </si>
  <si>
    <t>WPCI77_SPRING_AG_L_IDR_NO_2020_IF</t>
  </si>
  <si>
    <t>WPCI77_SPRING_AG_L_IDR_NO_2021_IF</t>
  </si>
  <si>
    <t>WPCI77_SPRING_AG_L_IDR_NO_2022_IF</t>
  </si>
  <si>
    <t>WPCI77_SPRING_AG_L_IDR_NO_2023_IF</t>
  </si>
  <si>
    <t>CCWSA__IDR</t>
  </si>
  <si>
    <t>CCWSA__WOORI_NK_L_IDR_NO_2022_IF</t>
  </si>
  <si>
    <t>CCWSR__IDR</t>
  </si>
  <si>
    <t>CCWSR__WOORI_NK_L_IDR_NO_2022_IF</t>
  </si>
  <si>
    <t>CCBKP__IDR</t>
  </si>
  <si>
    <t>CCBKP__BUKOPIN_NK_L_IDR_NO_2022_IF</t>
  </si>
  <si>
    <t>CCBKR__IDR</t>
  </si>
  <si>
    <t>CCBKR__BUKOPIN_NK_L_IDR_NO_2022_IF</t>
  </si>
  <si>
    <t>CCWSP__IDR</t>
  </si>
  <si>
    <t>CCBPCN_IDR</t>
  </si>
  <si>
    <t>CCBPCN_BTPN_NK_L_IDR_NO_2022_IF</t>
  </si>
  <si>
    <t>CCBPCN_BTPN_NK_L_IDR_NO_2023_IF</t>
  </si>
  <si>
    <t>CCPBMT_IDR</t>
  </si>
  <si>
    <t>CCPBMT_MANTAP_NK_L_IDR_NO_2022_IF</t>
  </si>
  <si>
    <t>CCPBMT_MANTAP_NK_L_IDR_NO_2023_IF</t>
  </si>
  <si>
    <t>CCWSR__WOORI_NK_L_IDR_NO_2023_IF</t>
  </si>
  <si>
    <t>CCWSA__WOORI_NK_L_IDR_NO_2023_IF</t>
  </si>
  <si>
    <t>CCBKR__BUKOPIN_NK_L_IDR_NO_2023_IF</t>
  </si>
  <si>
    <t>CCBKP__BUKOPIN_NK_L_IDR_NO_2023_IF</t>
  </si>
  <si>
    <t>CCBKA__IDR</t>
  </si>
  <si>
    <t>CCBKA__BUKOPIN_NK_L_IDR_NO_2023_IF</t>
  </si>
  <si>
    <t>CCBPC3_IDR</t>
  </si>
  <si>
    <t>CCBPC3_BTPN_NK_L_IDR_NO_2014_IF</t>
  </si>
  <si>
    <t>CCBPC3_BTPN_NK_L_IDR_NO_2015_IF</t>
  </si>
  <si>
    <t>CCBPC3_BTPN_NK_L_IDR_NO_2016_IF</t>
  </si>
  <si>
    <t>CCBPC3_BTPN_NK_L_IDR_NO_2017_IF</t>
  </si>
  <si>
    <t>CCBPC3_BTPN_NK_L_IDR_NO_2018_IF</t>
  </si>
  <si>
    <t>CCBPC3_BTPN_NK_L_IDR_NO_2019_IF</t>
  </si>
  <si>
    <t>CCBPC3_BTPN_NK_L_IDR_NO_2020_IF</t>
  </si>
  <si>
    <t>CCBPC3_BTPN_NK_L_IDR_NO_2021_IF</t>
  </si>
  <si>
    <t>CCBPC3_BTPN_NK_L_IDR_NO_2022_IF</t>
  </si>
  <si>
    <t>CSHCPP_IDR</t>
  </si>
  <si>
    <t>CHEAZH_IDR</t>
  </si>
  <si>
    <t>CHEAZY_IDR</t>
  </si>
  <si>
    <t>CHEAZY_TELEWOORI_NK_H_IDR_NO_2022_IF</t>
  </si>
  <si>
    <t>CHEAZY_TELEWOORI_NK_H_IDR_NO_2023_IF</t>
  </si>
  <si>
    <t>Allocation Driver Ratio</t>
  </si>
  <si>
    <t>Amount</t>
  </si>
  <si>
    <t>Ratio</t>
  </si>
  <si>
    <t>Actual Claims Ori</t>
  </si>
  <si>
    <t>Total</t>
  </si>
  <si>
    <t>Base</t>
  </si>
  <si>
    <t>Health</t>
  </si>
  <si>
    <t>Protection</t>
  </si>
  <si>
    <t>Actual Claims Adj</t>
  </si>
  <si>
    <t>PV COI COR Total</t>
  </si>
  <si>
    <t>Total UL Claims</t>
  </si>
  <si>
    <t>PV Claims Total</t>
  </si>
  <si>
    <t>Investment Claims</t>
  </si>
  <si>
    <t>PV Margin Total</t>
  </si>
  <si>
    <t>Insurance Claims</t>
  </si>
  <si>
    <t>PV COI Base</t>
  </si>
  <si>
    <t>Actual Claims</t>
  </si>
  <si>
    <t>PV Claims Base</t>
  </si>
  <si>
    <t>Total GS Claims</t>
  </si>
  <si>
    <t>PV Margin Base</t>
  </si>
  <si>
    <t>PV COR Health</t>
  </si>
  <si>
    <t>PV Claims Health</t>
  </si>
  <si>
    <t>PV Margin Health</t>
  </si>
  <si>
    <t>PV COR Protection</t>
  </si>
  <si>
    <t>PV Claims Protection</t>
  </si>
  <si>
    <t>PV Margin Protection</t>
  </si>
  <si>
    <t>Expected CF driver</t>
  </si>
  <si>
    <t>Total Claims Insurance</t>
  </si>
  <si>
    <t>Claims Base</t>
  </si>
  <si>
    <t>Claims Health</t>
  </si>
  <si>
    <t>Claims Protection</t>
  </si>
  <si>
    <t>Unmodelled</t>
  </si>
  <si>
    <t>Total Claims Investment</t>
  </si>
  <si>
    <t>Lapse Fund Write off</t>
  </si>
  <si>
    <t>ratio claim min</t>
  </si>
  <si>
    <t>Different Percentage of Checking Result to Raw Data</t>
  </si>
  <si>
    <t>Items</t>
  </si>
  <si>
    <t>Total Input from other tab</t>
  </si>
  <si>
    <t>Total Output in summary</t>
  </si>
  <si>
    <t>Diff</t>
  </si>
  <si>
    <t>AZUL</t>
  </si>
  <si>
    <t>Product name</t>
  </si>
  <si>
    <t>Product code</t>
  </si>
  <si>
    <t>Grouping DV</t>
  </si>
  <si>
    <t>ATSBH_IDR</t>
  </si>
  <si>
    <t>AALM_IDR</t>
  </si>
  <si>
    <t>AALM_USD</t>
  </si>
  <si>
    <t>AAOP_IDR</t>
  </si>
  <si>
    <t>AAOP_USD</t>
  </si>
  <si>
    <t>ASBA_IDR</t>
  </si>
  <si>
    <t>ASI_IDR</t>
  </si>
  <si>
    <t>ASMAP_IDR</t>
  </si>
  <si>
    <t>ASMFP_IDR</t>
  </si>
  <si>
    <t>ASP_IDR</t>
  </si>
  <si>
    <t>ASPOA_IDR</t>
  </si>
  <si>
    <t>RASP_IDR</t>
  </si>
  <si>
    <t>ASRKP_IDR</t>
  </si>
  <si>
    <t>MARLK_IDR</t>
  </si>
  <si>
    <t>ARPL__IDR</t>
  </si>
  <si>
    <t>Product code ULAR sums up the DV output for ULARP2, ULARPL, ULARPN while the grouping raw data ARPL_IDR sums up ARPL__IDR, ARPL_IDR and ARPL2_IDR</t>
  </si>
  <si>
    <t>ARPL_IDR</t>
  </si>
  <si>
    <t>ARPL2_IDR</t>
  </si>
  <si>
    <t>ASFA_IDR</t>
  </si>
  <si>
    <t>ASPLF_IDR</t>
  </si>
  <si>
    <t>ASAMN_IDR</t>
  </si>
  <si>
    <t>RAPOA_IDR</t>
  </si>
  <si>
    <t>RNASPP_IDR</t>
  </si>
  <si>
    <t>ASLSS_IDR</t>
  </si>
  <si>
    <t>AWPL_IDR</t>
  </si>
  <si>
    <t>AWPL_USD</t>
  </si>
  <si>
    <t>AWPF_IDR</t>
  </si>
  <si>
    <t>AWPF_USD</t>
  </si>
  <si>
    <t>BJPMC_IDR</t>
  </si>
  <si>
    <t>BJPMC_USD</t>
  </si>
  <si>
    <t>BJPOC_IDR</t>
  </si>
  <si>
    <t>HSCIP_IDR</t>
  </si>
  <si>
    <t>HSCIP_USD</t>
  </si>
  <si>
    <t>HCIPA_IDR</t>
  </si>
  <si>
    <t>SHCP_IDR</t>
  </si>
  <si>
    <t>CPRA_IDR</t>
  </si>
  <si>
    <t>DMSA_IDR</t>
  </si>
  <si>
    <t>DRKU_IDR</t>
  </si>
  <si>
    <t>DRKUA_IDR</t>
  </si>
  <si>
    <t>DRKUA_USD</t>
  </si>
  <si>
    <t>DRKFS_IDR</t>
  </si>
  <si>
    <t>DRKFS_USD</t>
  </si>
  <si>
    <t>DRKPS_IDR</t>
  </si>
  <si>
    <t>SHFC_IDR</t>
  </si>
  <si>
    <t>SHFC_USD</t>
  </si>
  <si>
    <t>FIVS_IDR</t>
  </si>
  <si>
    <t>FIVS_USD</t>
  </si>
  <si>
    <t>FLFS_IDR</t>
  </si>
  <si>
    <t>FLFS_USD</t>
  </si>
  <si>
    <t>SLFS_IDR</t>
  </si>
  <si>
    <t>SLFS_USD</t>
  </si>
  <si>
    <t>SCFT_IDR</t>
  </si>
  <si>
    <t>GI1B_IDR</t>
  </si>
  <si>
    <t>GSL_IDR</t>
  </si>
  <si>
    <t>GSL_USD</t>
  </si>
  <si>
    <t>GUMA_IDR</t>
  </si>
  <si>
    <t>GUMA_USD</t>
  </si>
  <si>
    <t>GUOP_IDR</t>
  </si>
  <si>
    <t>GUOP_USD</t>
  </si>
  <si>
    <t>GUPR_IDR</t>
  </si>
  <si>
    <t>GUPM_IDR</t>
  </si>
  <si>
    <t>GUPM_USD</t>
  </si>
  <si>
    <t>GUSI_IDR</t>
  </si>
  <si>
    <t>GUSI_USD</t>
  </si>
  <si>
    <t>GUTI_IDR</t>
  </si>
  <si>
    <t>GUTI_USD</t>
  </si>
  <si>
    <t>GWL_IDR</t>
  </si>
  <si>
    <t>GWL_USD</t>
  </si>
  <si>
    <t>HPIP_IDR</t>
  </si>
  <si>
    <t>HPIP_USD</t>
  </si>
  <si>
    <t>HPWA_IDR</t>
  </si>
  <si>
    <t>HPWA_USD</t>
  </si>
  <si>
    <t>HSWA_IDR</t>
  </si>
  <si>
    <t>HSWA_USD</t>
  </si>
  <si>
    <t>HTK_G_IDR</t>
  </si>
  <si>
    <t>HTK_P_IDR</t>
  </si>
  <si>
    <t>HTK_S_IDR</t>
  </si>
  <si>
    <t>HUWA_IDR</t>
  </si>
  <si>
    <t>HUWA_USD</t>
  </si>
  <si>
    <t>SLMA_IDR</t>
  </si>
  <si>
    <t>SLMA_USD</t>
  </si>
  <si>
    <t>SLMAP_IDR</t>
  </si>
  <si>
    <t>SLMAP_USD</t>
  </si>
  <si>
    <t>SLME_IDR</t>
  </si>
  <si>
    <t>SLML_IDR</t>
  </si>
  <si>
    <t>MSMPB_IDR</t>
  </si>
  <si>
    <t>MSPB2_IDR</t>
  </si>
  <si>
    <t>MYPI_IDR</t>
  </si>
  <si>
    <t>MYPI_USD</t>
  </si>
  <si>
    <t>MYPI2_IDR</t>
  </si>
  <si>
    <t>MYPI2_USD</t>
  </si>
  <si>
    <t>MPINF_IDR</t>
  </si>
  <si>
    <t>MPINF_USD</t>
  </si>
  <si>
    <t>MPIN2_IDR</t>
  </si>
  <si>
    <t>MPIN2_USD</t>
  </si>
  <si>
    <t>MYMPP_IDR</t>
  </si>
  <si>
    <t>MYMPP_USD</t>
  </si>
  <si>
    <t>MYMP2_IDR</t>
  </si>
  <si>
    <t>MYMP2_USD</t>
  </si>
  <si>
    <t>MYMPS_IDR</t>
  </si>
  <si>
    <t>MYSU_IDR</t>
  </si>
  <si>
    <t>MYSU_USD</t>
  </si>
  <si>
    <t>MYSU2_IDR</t>
  </si>
  <si>
    <t>MYSU2_USD</t>
  </si>
  <si>
    <t>NHM1_IDR</t>
  </si>
  <si>
    <t>NHM2_IDR</t>
  </si>
  <si>
    <t>NHM3_IDR</t>
  </si>
  <si>
    <t>OPCI_IDR</t>
  </si>
  <si>
    <t>OPCI_USD</t>
  </si>
  <si>
    <t>SLPPN_IDR</t>
  </si>
  <si>
    <t>RLPPN_IDR</t>
  </si>
  <si>
    <t>SLPS_IDR</t>
  </si>
  <si>
    <t>RSLPS_IDR</t>
  </si>
  <si>
    <t>SHRE_IDR</t>
  </si>
  <si>
    <t>SLPLF_IDR</t>
  </si>
  <si>
    <t>RNSPOA_IDR</t>
  </si>
  <si>
    <t>SLBA_IDR</t>
  </si>
  <si>
    <t>RSLBA_IDR</t>
  </si>
  <si>
    <t>SLDIP_USD</t>
  </si>
  <si>
    <t>SLEXP_IDR</t>
  </si>
  <si>
    <t>SLFA_IDR</t>
  </si>
  <si>
    <t>SLMFP_IDR</t>
  </si>
  <si>
    <t>SLMFP_USD</t>
  </si>
  <si>
    <t>SLMP1_IDR</t>
  </si>
  <si>
    <t>SLMP2_IDR</t>
  </si>
  <si>
    <t>SMP1B_IDR</t>
  </si>
  <si>
    <t>SMP2B_IDR</t>
  </si>
  <si>
    <t>SMP3B_IDR</t>
  </si>
  <si>
    <t>SMPV_IDR</t>
  </si>
  <si>
    <t>SLNF2_IDR</t>
  </si>
  <si>
    <t>SLNF2_USD</t>
  </si>
  <si>
    <t>Smartlink Signature Protection</t>
  </si>
  <si>
    <t>SLNFA_IDR</t>
  </si>
  <si>
    <t>Raina Protection Link</t>
  </si>
  <si>
    <t>SLNFA_USD</t>
  </si>
  <si>
    <t>RLNFA_IDR</t>
  </si>
  <si>
    <t>RLNFA_USD</t>
  </si>
  <si>
    <t>SHSNW_IDR</t>
  </si>
  <si>
    <t>SHSNW_USD</t>
  </si>
  <si>
    <t>SLPN1_IDR</t>
  </si>
  <si>
    <t>SLPN2_IDR</t>
  </si>
  <si>
    <t>SLPOA_IDR</t>
  </si>
  <si>
    <t>SLPP_IDR</t>
  </si>
  <si>
    <t>SLPP_USD</t>
  </si>
  <si>
    <t>RSLPP_IDR</t>
  </si>
  <si>
    <t>RSLPP_USD</t>
  </si>
  <si>
    <t>SLSS_IDR</t>
  </si>
  <si>
    <t>SLSS_USD</t>
  </si>
  <si>
    <t>SLSA_IDR</t>
  </si>
  <si>
    <t>SLSA2_IDR</t>
  </si>
  <si>
    <t>SLSSP_IDR</t>
  </si>
  <si>
    <t>ASSP1_IDR</t>
  </si>
  <si>
    <t>Product code ULSSP sums up the DV output for ULSSP1_IDR and ULSSP2_IDR while the grouping raw data ANSSP_IDR sums up ASSP1_IDR and ASSP2_IDR</t>
  </si>
  <si>
    <t>ASSP2_IDR</t>
  </si>
  <si>
    <t>RLSSP_IDR</t>
  </si>
  <si>
    <t>RSLSS_IDR</t>
  </si>
  <si>
    <t>RSLSS_USD</t>
  </si>
  <si>
    <t>SLUS_IDR</t>
  </si>
  <si>
    <t>SLVM1_IDR</t>
  </si>
  <si>
    <t>SLVM2_IDR</t>
  </si>
  <si>
    <t>SLVM3_IDR</t>
  </si>
  <si>
    <t>SLVP_IDR</t>
  </si>
  <si>
    <t>UML_IDR</t>
  </si>
  <si>
    <t>AWPL2_IDR</t>
  </si>
  <si>
    <t>AWPL2_USD</t>
  </si>
  <si>
    <t>AWPR_IDR</t>
  </si>
  <si>
    <t>AWPR_USD</t>
  </si>
  <si>
    <t>SLP_USD</t>
  </si>
  <si>
    <t>Product code UVSG sums up the DV output for UVSG1_ and UVSG2_ while the grouping raw data sums up SLP_USD and SG_USD</t>
  </si>
  <si>
    <t>SG_USD</t>
  </si>
  <si>
    <t>ULGALLOC_IDR</t>
  </si>
  <si>
    <t>ULGALLOC_USD</t>
  </si>
  <si>
    <t>ULSPOOL_IDR</t>
  </si>
  <si>
    <t>AZTRAD</t>
  </si>
  <si>
    <t>ALSP_IDR</t>
  </si>
  <si>
    <t>BEA_IDR</t>
  </si>
  <si>
    <t>BEA_USD</t>
  </si>
  <si>
    <t>BSA_IDR</t>
  </si>
  <si>
    <t>BSA_USD</t>
  </si>
  <si>
    <t>CLLGC_IDR</t>
  </si>
  <si>
    <t>ECP_IDR</t>
  </si>
  <si>
    <t>ECP_USD</t>
  </si>
  <si>
    <t>EDU_IDR</t>
  </si>
  <si>
    <t>EDU_USD</t>
  </si>
  <si>
    <t>EEP_IDR</t>
  </si>
  <si>
    <t>EFP_IDR</t>
  </si>
  <si>
    <t>EFP_USD</t>
  </si>
  <si>
    <t>ESP_IDR</t>
  </si>
  <si>
    <t>ESP_USD</t>
  </si>
  <si>
    <t>EUP_IDR</t>
  </si>
  <si>
    <t>EUP_USD</t>
  </si>
  <si>
    <t>FRC50_IDR</t>
  </si>
  <si>
    <t>FRC55_IDR</t>
  </si>
  <si>
    <t>FRC60_IDR</t>
  </si>
  <si>
    <t>FLPST_IDR</t>
  </si>
  <si>
    <t>FR50_IDR</t>
  </si>
  <si>
    <t>FR50_USD</t>
  </si>
  <si>
    <t>FR55_IDR</t>
  </si>
  <si>
    <t>FR55_USD</t>
  </si>
  <si>
    <t>FR60_IDR</t>
  </si>
  <si>
    <t>FR60_USD</t>
  </si>
  <si>
    <t>GUPST_IDR</t>
  </si>
  <si>
    <t>HPST_IDR</t>
  </si>
  <si>
    <t>HT_IDR</t>
  </si>
  <si>
    <t>MYEDU_IDR</t>
  </si>
  <si>
    <t>MYEDU_USD</t>
  </si>
  <si>
    <t>MYF50_IDR</t>
  </si>
  <si>
    <t>MYF50_USD</t>
  </si>
  <si>
    <t>MYF55_IDR</t>
  </si>
  <si>
    <t>MYF55_USD</t>
  </si>
  <si>
    <t>MYF60_IDR</t>
  </si>
  <si>
    <t>MYF60_USD</t>
  </si>
  <si>
    <t>MFP50_IDR</t>
  </si>
  <si>
    <t>MFP55_IDR</t>
  </si>
  <si>
    <t>MFP60_IDR</t>
  </si>
  <si>
    <t>MYPST_IDR</t>
  </si>
  <si>
    <t>PL_IDR</t>
  </si>
  <si>
    <t>PL_USD</t>
  </si>
  <si>
    <t>PLA_IDR</t>
  </si>
  <si>
    <t>GPINS_IDR</t>
  </si>
  <si>
    <t>GPINS_USD</t>
  </si>
  <si>
    <t>MPINS_USD</t>
  </si>
  <si>
    <t>HPINS_IDR</t>
  </si>
  <si>
    <t>HPINS_USD</t>
  </si>
  <si>
    <t>APINS_IDR</t>
  </si>
  <si>
    <t>APINS_USD</t>
  </si>
  <si>
    <t>SC_IDR</t>
  </si>
  <si>
    <t>SC_USD</t>
  </si>
  <si>
    <t>PSC_IDR</t>
  </si>
  <si>
    <t>SD_IDR</t>
  </si>
  <si>
    <t>SD_USD</t>
  </si>
  <si>
    <t>SE_IDR</t>
  </si>
  <si>
    <t>SE_USD</t>
  </si>
  <si>
    <t>PSE_IDR</t>
  </si>
  <si>
    <t>SF_IDR</t>
  </si>
  <si>
    <t>SF_USD</t>
  </si>
  <si>
    <t>PSF_IDR</t>
  </si>
  <si>
    <t>PSF_USD</t>
  </si>
  <si>
    <t>SS_IDR</t>
  </si>
  <si>
    <t>SS_USD</t>
  </si>
  <si>
    <t>PSS_IDR</t>
  </si>
  <si>
    <t>PSS_USD</t>
  </si>
  <si>
    <t>SU_IDR</t>
  </si>
  <si>
    <t>SU_USD</t>
  </si>
  <si>
    <t>PSU_IDR</t>
  </si>
  <si>
    <t>PSU_USD</t>
  </si>
  <si>
    <t>AZPST_IDR</t>
  </si>
  <si>
    <t>JLIFE_IDR</t>
  </si>
  <si>
    <t>ASHDL_IDR</t>
  </si>
  <si>
    <t>ASLGM_IDR</t>
  </si>
  <si>
    <t>CICP_IDR</t>
  </si>
  <si>
    <t>EZPL_IDR</t>
  </si>
  <si>
    <t>MJG_IDR</t>
  </si>
  <si>
    <t>MJS1_IDR</t>
  </si>
  <si>
    <t>MPSPL_IDR</t>
  </si>
  <si>
    <t>HPLA_IDR</t>
  </si>
  <si>
    <t>HPLA_USD</t>
  </si>
  <si>
    <t>SL_IDR</t>
  </si>
  <si>
    <t>TP_IDR</t>
  </si>
  <si>
    <t>EWP_IDR</t>
  </si>
  <si>
    <t>EWP_USD</t>
  </si>
  <si>
    <t>EXP_IDR</t>
  </si>
  <si>
    <t>EXP_USD</t>
  </si>
  <si>
    <t>GLGC_IDR</t>
  </si>
  <si>
    <t>GLGC_USD</t>
  </si>
  <si>
    <t>AZLGC_IDR</t>
  </si>
  <si>
    <t>AZLGC_USD</t>
  </si>
  <si>
    <t>ALGCP_IDR</t>
  </si>
  <si>
    <t>ALGCP_USD</t>
  </si>
  <si>
    <t>MLGC_IDR</t>
  </si>
  <si>
    <t>MLGC_USD</t>
  </si>
  <si>
    <t>MYPRO_IDR</t>
  </si>
  <si>
    <t>MYPRO_USD</t>
  </si>
  <si>
    <t>MWKU_IDR</t>
  </si>
  <si>
    <t>HPRLA_IDR</t>
  </si>
  <si>
    <t>SX_IDR</t>
  </si>
  <si>
    <t>SX_USD</t>
  </si>
  <si>
    <t>PSX_IDR</t>
  </si>
  <si>
    <t>ULWSL_</t>
  </si>
  <si>
    <t>AWSL</t>
  </si>
  <si>
    <t>BASE_AWSL</t>
  </si>
  <si>
    <t>BASE_MYREN</t>
  </si>
  <si>
    <t>UEATSBA_AZID_AG_IDR_SH_2023_IF</t>
  </si>
  <si>
    <t>UEATSBA_EAGLE_AG_IDR_SH_2023_IF</t>
  </si>
  <si>
    <t>UEATSBA_SPRING_AG_IDR_SH_2023_IF</t>
  </si>
  <si>
    <t>ULAALM_BCI_NK_IDR_UL_2023_IF</t>
  </si>
  <si>
    <t>ULAALM_BCI_NK_USD_UL_2023_IF</t>
  </si>
  <si>
    <t>ULAAOP_BCI_NK_IDR_UL_2023_IF</t>
  </si>
  <si>
    <t>ULAAOP_NISP_NK_IDR_UL_2023_IF</t>
  </si>
  <si>
    <t>ULAAOP_NISP_NK_USD_UL_2023_IF</t>
  </si>
  <si>
    <t>ULAAOP_QNB_NK_IDR_UL_2023_IF</t>
  </si>
  <si>
    <t>ULAMF2A_AZID_AG_IDR_SH_2023_IF</t>
  </si>
  <si>
    <t>ULAMF2A_EAGLE_AG_IDR_SH_2023_IF</t>
  </si>
  <si>
    <t>ULASLF_AZID_AG_IDR_SH_2023_IF</t>
  </si>
  <si>
    <t>ULASLF_AZLI_STAFF_AG_IDR_SH_2023_IF</t>
  </si>
  <si>
    <t>ULASLF_EAGLE_AG_IDR_SH_2023_IF</t>
  </si>
  <si>
    <t>ULASLF_SPRING_AG_IDR_SH_2023_IF</t>
  </si>
  <si>
    <t>ULASPPA_AZID_AG_IDR_SH_2023_IF</t>
  </si>
  <si>
    <t>ULASPPA_EAGLE_AG_IDR_SH_2023_IF</t>
  </si>
  <si>
    <t>ULASPPA_SPRING_AG_IDR_SH_2023_IF</t>
  </si>
  <si>
    <t>ULAWPL_NISP_NK_IDR_UL_2023_IF</t>
  </si>
  <si>
    <t>ULAWPL_NISP_NK_USD_UL_2023_IF</t>
  </si>
  <si>
    <t>ULAWPL_QNB_NK_IDR_UL_2023_IF</t>
  </si>
  <si>
    <t>ULAWPL_QNB_NK_USD_UL_2023_IF</t>
  </si>
  <si>
    <t>ULAWPR_BCI_NK_IDR_UL_2023_IF</t>
  </si>
  <si>
    <t>ULAWPR_VICTORIA_NK_IDR_UL_2023_IF</t>
  </si>
  <si>
    <t>ULBPMC_BJB_NK_IDR_UL_2023_IF</t>
  </si>
  <si>
    <t>ULBPMC_BJB_NK_USD_UL_2023_IF</t>
  </si>
  <si>
    <t>ULBPOC_BJB_NK_IDR_UL_2023_IF</t>
  </si>
  <si>
    <t>ULCIP__HSBC_KT_IDR_UL_2023_IF</t>
  </si>
  <si>
    <t>ULCIP__HSBC_KT_USD_UL_2023_IF</t>
  </si>
  <si>
    <t>ULFIVS_QNB_NK_IDR_UL_2023_IF</t>
  </si>
  <si>
    <t>ULFIVS_QNB_NK_USD_UL_2023_IF</t>
  </si>
  <si>
    <t>ULFLFS_QNB_NK_IDR_UL_2023_IF</t>
  </si>
  <si>
    <t>ULGUMA_BTPN_NK_IDR_UL_2023_IF</t>
  </si>
  <si>
    <t>ULGUMA_BTPN_NK_USD_UL_2023_IF</t>
  </si>
  <si>
    <t>ULGUOP_BTPN_NK_IDR_UL_2023_IF</t>
  </si>
  <si>
    <t>ULGUOP_BTPN_NK_USD_UL_2023_IF</t>
  </si>
  <si>
    <t>ULGUP__BTPN_NK_IDR_UL_2023_IF</t>
  </si>
  <si>
    <t>ULGUPM_BTPN_NK_IDR_UL_2023_IF</t>
  </si>
  <si>
    <t>ULGUPM_BTPN_NK_USD_UL_2023_IF</t>
  </si>
  <si>
    <t>ULGUSI_BTPN_NK_IDR_UL_2023_IF</t>
  </si>
  <si>
    <t>ULGUSI_BTPN_NK_USD_UL_2023_IF</t>
  </si>
  <si>
    <t>ULGUTI_BTPN_NK_IDR_UL_2023_IF</t>
  </si>
  <si>
    <t>ULGUTI_BTPN_NK_USD_UL_2023_IF</t>
  </si>
  <si>
    <t>ULGW___BTPN_NK_IDR_UL_2023_IF</t>
  </si>
  <si>
    <t>ULGW___BTPN_NK_USD_UL_2023_IF</t>
  </si>
  <si>
    <t>ULHPIP_HSBC_KT_IDR_UL_2023_IF</t>
  </si>
  <si>
    <t>ULHPIP_HSBC_KT_USD_UL_2023_IF</t>
  </si>
  <si>
    <t>ULHPWA_HSBC_KT_IDR_UL_2023_IF</t>
  </si>
  <si>
    <t>ULHPWA_HSBC_KT_USD_UL_2023_IF</t>
  </si>
  <si>
    <t>ULHSWA_HSBC_KT_IDR_UL_2023_IF</t>
  </si>
  <si>
    <t>ULHSWA_HSBC_KT_USD_UL_2023_IF</t>
  </si>
  <si>
    <t>ULHUWA_HSBC_KT_IDR_UL_2023_IF</t>
  </si>
  <si>
    <t>ULHUWA_HSBC_KT_USD_UL_2023_IF</t>
  </si>
  <si>
    <t>ULMPB__MAYBANK_NK_IDR_SH_2023_IF</t>
  </si>
  <si>
    <t>ULMPB2_MAYBANK_NK_IDR_SH_2023_IF</t>
  </si>
  <si>
    <t>ULMPI__MAYBANK_NK_IDR_UL_2023_IF</t>
  </si>
  <si>
    <t>ULMPI__MAYBANK_NK_USD_UL_2023_IF</t>
  </si>
  <si>
    <t>ULMPI2_MAYBANK_NK_IDR_UL_2023_IF</t>
  </si>
  <si>
    <t>ULMPI2_MAYBANK_NK_USD_UL_2023_IF</t>
  </si>
  <si>
    <t>ULMPIN_MAYBANK_NK_IDR_UL_2023_IF</t>
  </si>
  <si>
    <t>ULMPIN_MAYBANK_NK_USD_UL_2023_IF</t>
  </si>
  <si>
    <t>ULMPN2_MAYBANK_NK_IDR_UL_2023_IF</t>
  </si>
  <si>
    <t>ULMPN2_MAYBANK_NK_USD_UL_2023_IF</t>
  </si>
  <si>
    <t>ULMPP__MAYBANK_NK_IDR_UL_2023_IF</t>
  </si>
  <si>
    <t>ULMPP__MAYBANK_NK_USD_UL_2023_IF</t>
  </si>
  <si>
    <t>ULMPP2_MAYBANK_NK_IDR_UL_2023_IF</t>
  </si>
  <si>
    <t>ULMPP2_MAYBANK_NK_USD_UL_2023_IF</t>
  </si>
  <si>
    <t>ULMPS__MAYBANK_NK_IDR_UL_2023_IF</t>
  </si>
  <si>
    <t>ULMSU2_MAYBANK_NK_IDR_UL_2023_IF</t>
  </si>
  <si>
    <t>ULMSU2_MAYBANK_NK_USD_UL_2023_IF</t>
  </si>
  <si>
    <t>ULOC___HSBC_KT_IDR_UL_2023_IF</t>
  </si>
  <si>
    <t>ULOC___HSBC_KT_USD_UL_2023_IF</t>
  </si>
  <si>
    <t>ULRPLF_AZID_AG_IDR_UL_2023_IF</t>
  </si>
  <si>
    <t>ULRPLF_AZLI_STAFF_AG_IDR_UL_2023_IF</t>
  </si>
  <si>
    <t>ULRPLF_EAGLE_AG_IDR_UL_2023_IF</t>
  </si>
  <si>
    <t>ULRPLF_SPRING_AG_IDR_UL_2023_IF</t>
  </si>
  <si>
    <t>ULRPOAA_AZID_AG_IDR_UL_2023_IF</t>
  </si>
  <si>
    <t>ULRPOAA_EAGLE_AG_IDR_UL_2023_IF</t>
  </si>
  <si>
    <t>ULRPOAA_SPRING_AG_IDR_UL_2023_IF</t>
  </si>
  <si>
    <t>ULSNFRA_AZID_AG_IDR_UL_2023_IF</t>
  </si>
  <si>
    <t>ULSNFRA_AZID_AG_USD_UL_2023_IF</t>
  </si>
  <si>
    <t>ULSNFRA_EAGLE_AG_IDR_UL_2023_IF</t>
  </si>
  <si>
    <t>ULSNFRA_SPRING_AG_IDR_UL_2023_IF</t>
  </si>
  <si>
    <t>ULSNFRA_SPRING_AG_USD_UL_2023_IF</t>
  </si>
  <si>
    <t>ULSSA2A_AZID_AG_IDR_UL_2023_IF</t>
  </si>
  <si>
    <t>ULWPL2_NISP_NK_IDR_UL_2023_IF</t>
  </si>
  <si>
    <t>ULWPL2_NISP_NK_USD_UL_2023_IF</t>
  </si>
  <si>
    <t>ULWPL2_QNB_NK_IDR_UL_2023_IF</t>
  </si>
  <si>
    <t>ULWPR2_BCI_NK_IDR_UL_2023_IF</t>
  </si>
  <si>
    <t>ULWPR2_HANA_NK_IDR_UL_2023_IF</t>
  </si>
  <si>
    <t>ULWPR2_HANA_NK_USD_UL_2023_IF</t>
  </si>
  <si>
    <t>ULWPR2_QNB_NK_IDR_UL_2023_IF</t>
  </si>
  <si>
    <t>ULWPR2_QNB_NK_USD_UL_2023_IF</t>
  </si>
  <si>
    <t>ULWPR2_VICTORIA_NK_IDR_UL_2023_IF</t>
  </si>
  <si>
    <t>ULWSL__USD</t>
  </si>
  <si>
    <t>AWSL_USD</t>
  </si>
  <si>
    <t>MPINS_IDR</t>
  </si>
  <si>
    <t>BASE_EZPLD</t>
  </si>
  <si>
    <t>CSLGM__IDR</t>
  </si>
  <si>
    <t>CSREN__IDR</t>
  </si>
  <si>
    <t>CALFM__IDR</t>
  </si>
  <si>
    <t>CASFM__IDR</t>
  </si>
  <si>
    <t>CALFM_</t>
  </si>
  <si>
    <t>CASFM_</t>
  </si>
  <si>
    <t>EZPLD</t>
  </si>
  <si>
    <t>CCMTPC</t>
  </si>
  <si>
    <t>CCBPCN___L_IDR_NO_2014_IF</t>
  </si>
  <si>
    <t>CCMTPC_IDR</t>
  </si>
  <si>
    <t>CCMBSI</t>
  </si>
  <si>
    <t>CCPBSI</t>
  </si>
  <si>
    <t>CCMBSI_IDR</t>
  </si>
  <si>
    <t>CCPBSI_IDR</t>
  </si>
  <si>
    <t>CSREN_</t>
  </si>
  <si>
    <t>MYREN_IDR</t>
  </si>
  <si>
    <t>BASE_MYWAR</t>
  </si>
  <si>
    <t>MYWAR</t>
  </si>
  <si>
    <t>GUREN</t>
  </si>
  <si>
    <t>CSGREN</t>
  </si>
  <si>
    <t>BASE_HIPP</t>
  </si>
  <si>
    <t>CSGREN_IDR</t>
  </si>
  <si>
    <t>CWHIPP_IDR</t>
  </si>
  <si>
    <t>GUREN_IDR</t>
  </si>
  <si>
    <t>HIPP</t>
  </si>
  <si>
    <t>CWHIPP</t>
  </si>
  <si>
    <t>HIPP_IDR</t>
  </si>
  <si>
    <t>BASE_GUREN</t>
  </si>
  <si>
    <t>ULSPO4A_IDR</t>
  </si>
  <si>
    <t>ULSPO4A_SPRING_AG_IDR_UL_2022_IF</t>
  </si>
  <si>
    <t>MYWAR_IDR</t>
  </si>
  <si>
    <t>DV_AZUL_Stat</t>
  </si>
  <si>
    <t>Allisya Aman, MyProtection RENCANA, Guardia RENCANA, MyProtection Waris from Unit Linked products</t>
  </si>
  <si>
    <t>sum_assd</t>
  </si>
  <si>
    <t>loan_sa</t>
  </si>
  <si>
    <t>CSAMAN_IDR</t>
  </si>
  <si>
    <t>CSAMAN_AZID_AG_L_IDR_SN_2023_IF</t>
  </si>
  <si>
    <t>CSAMAN_EAGLE_AG_L_IDR_SN_2023_IF</t>
  </si>
  <si>
    <t>CSAMAN_SPRING_AG_L_IDR_SN_2023_IF</t>
  </si>
  <si>
    <t>DV_AZUL_Stat.csv</t>
  </si>
  <si>
    <t>CCMTA__IDR</t>
  </si>
  <si>
    <t>CEALSP_HANA_NK_L_IDR_NO_2024_IF</t>
  </si>
  <si>
    <t>CEALSP_NISP_NK_L_IDR_NO_2024_IF</t>
  </si>
  <si>
    <t>CEALSP_NISP_NK_L_IDR_NO_2025_Q1</t>
  </si>
  <si>
    <t>CECC___HSBC_KT_L_IDR_PI_2024_IF</t>
  </si>
  <si>
    <t>CECC___HSBC_KT_L_IDR_PI_2025_Q1</t>
  </si>
  <si>
    <t>CEFC50_HSBC_KT_L_IDR_PI_2024_IF</t>
  </si>
  <si>
    <t>CEFC55_HSBC_KT_L_IDR_PI_2024_IF</t>
  </si>
  <si>
    <t>CEFC60_HSBC_KT_L_IDR_PI_2024_IF</t>
  </si>
  <si>
    <t>CEFPST_QNB_NK_L_IDR_NO_2024_IF</t>
  </si>
  <si>
    <t>CEFPST_QNB_NK_L_IDR_NO_2025_Q1</t>
  </si>
  <si>
    <t>CEGPST_BTPN_NK_L_IDR_NO_2024_IF</t>
  </si>
  <si>
    <t>CEGPST_BTPN_NK_L_IDR_NO_2025_Q1</t>
  </si>
  <si>
    <t>CEHPST_HSBC_KT_L_IDR_NO_2024_IF</t>
  </si>
  <si>
    <t>CEHPST_HSBC_KT_L_IDR_NO_2025_Q1</t>
  </si>
  <si>
    <t>CEMPST_MAYBANK_NK_L_IDR_NO_2024_IF</t>
  </si>
  <si>
    <t>CEMPST_MAYBANK_NK_L_IDR_NO_2025_Q1</t>
  </si>
  <si>
    <t>CEPNTR_BCI_NK_L_IDR_NI_2024_IF</t>
  </si>
  <si>
    <t>CEPNTR_BCI_NK_L_USD_NI_2024_IF</t>
  </si>
  <si>
    <t>CEPNTR_BJB_NK_L_IDR_NI_2024_IF</t>
  </si>
  <si>
    <t>CEPNTR_BJB_NK_L_USD_NI_2024_IF</t>
  </si>
  <si>
    <t>CEPNTR_BTPN_NK_L_IDR_NI_2024_IF</t>
  </si>
  <si>
    <t>CEPNTR_BTPN_NK_L_IDR_NI_2025_Q1</t>
  </si>
  <si>
    <t>CEPNTR_BTPN_NK_L_USD_NI_2024_IF</t>
  </si>
  <si>
    <t>CEPNTR_BTPN_NK_L_USD_NI_2025_Q1</t>
  </si>
  <si>
    <t>CEPNTR_HSBC_KT_L_IDR_NI_2024_IF</t>
  </si>
  <si>
    <t>CEPNTR_HSBC_KT_L_IDR_NI_2025_Q1</t>
  </si>
  <si>
    <t>CEPNTR_HSBC_KT_L_USD_NI_2024_IF</t>
  </si>
  <si>
    <t>CEPNTR_MAYBANK_NK_L_IDR_NI_2024_IF</t>
  </si>
  <si>
    <t>CEPNTR_MAYBANK_NK_L_IDR_NI_2025_Q1</t>
  </si>
  <si>
    <t>CEPNTR_MAYBANK_NK_L_USD_NI_2024_IF</t>
  </si>
  <si>
    <t>CEPNTR_MAYBANK_NK_L_USD_NI_2025_Q1</t>
  </si>
  <si>
    <t>CEPNTR_QNB_NK_L_IDR_NI_2024_IF</t>
  </si>
  <si>
    <t>CEPNTR_QNB_NK_L_IDR_NI_2025_Q1</t>
  </si>
  <si>
    <t>CEPNTR_QNB_NK_L_USD_NI_2024_IF</t>
  </si>
  <si>
    <t>CEPNTR_QNB_NK_L_USD_NI_2025_Q1</t>
  </si>
  <si>
    <t>CEPNTR_VICTORIA_NK_L_IDR_NI_2024_IF</t>
  </si>
  <si>
    <t>CEPNTR_VICTORIA_NK_L_USD_NI_2024_IF</t>
  </si>
  <si>
    <t>CEZPST_ASN3_AG_L_IDR_NO_2024_IF</t>
  </si>
  <si>
    <t>CEZPST_AZID_AG_L_IDR_NO_2024_IF</t>
  </si>
  <si>
    <t>CEZPST_AZID_AG_L_IDR_NO_2025_Q1</t>
  </si>
  <si>
    <t>CEZPST_EAGLE_AG_L_IDR_NO_2024_IF</t>
  </si>
  <si>
    <t>CEZPST_EAGLE_AG_L_IDR_NO_2025_Q1</t>
  </si>
  <si>
    <t>CEZPST_SPRING_AG_L_IDR_NO_2024_IF</t>
  </si>
  <si>
    <t>CEZPST_SPRING_AG_L_IDR_NO_2025_Q1</t>
  </si>
  <si>
    <t>CHCPT__TELEMAYBANK_NK_L_IDR_NO_2024_IF</t>
  </si>
  <si>
    <t>CSAMAN_AZID_AG_L_IDR_SN_2024_IF</t>
  </si>
  <si>
    <t>CSAMAN_AZID_AG_L_IDR_SN_2025_Q1</t>
  </si>
  <si>
    <t>CSAMAN_EAGLE_AG_L_IDR_SN_2024_IF</t>
  </si>
  <si>
    <t>CSAMAN_EAGLE_AG_L_IDR_SN_2025_Q1</t>
  </si>
  <si>
    <t>CSAMAN_MAYBANK_NK_L_IDR_SN_2024_IF</t>
  </si>
  <si>
    <t>CSAMAN_MAYBANK_NK_L_IDR_SN_2025_Q1</t>
  </si>
  <si>
    <t>CSAMAN_SPRING_AG_L_IDR_SN_2024_IF</t>
  </si>
  <si>
    <t>CSAMAN_SPRING_AG_L_IDR_SN_2025_Q1</t>
  </si>
  <si>
    <t>CSCI49_ASN3_AG_L_IDR_SN_2024_IF</t>
  </si>
  <si>
    <t>CSCI49_AZID_AG_L_IDR_SN_2024_IF</t>
  </si>
  <si>
    <t>CSCI49_EAGLE_AG_L_IDR_SN_2024_IF</t>
  </si>
  <si>
    <t>CSCI49_SPRING_AG_L_IDR_SN_2024_IF</t>
  </si>
  <si>
    <t>CSGREN_BTPN_NK_L_IDR_SI_2024_IF</t>
  </si>
  <si>
    <t>CSGREN_BTPN_NK_L_IDR_SI_2025_Q1</t>
  </si>
  <si>
    <t>CSHNDL_ASN3_AG_L_IDR_SN_2024_IF</t>
  </si>
  <si>
    <t>CSHNDL_AZID_AG_L_IDR_SN_2024_IF</t>
  </si>
  <si>
    <t>CSHNDL_EAGLE_AG_L_IDR_SN_2024_IF</t>
  </si>
  <si>
    <t>CSHNDL_SPRING_AG_L_IDR_SN_2024_IF</t>
  </si>
  <si>
    <t>CSLGM__AZID_AG_L_IDR_SN_2024_IF</t>
  </si>
  <si>
    <t>CSLGM__AZID_AG_L_IDR_SN_2025_Q1</t>
  </si>
  <si>
    <t>CSLGM__EAGLE_AG_L_IDR_SN_2024_IF</t>
  </si>
  <si>
    <t>CSLGM__EAGLE_AG_L_IDR_SN_2025_Q1</t>
  </si>
  <si>
    <t>CSLGM__SPRING_AG_L_IDR_SN_2024_IF</t>
  </si>
  <si>
    <t>CSLGM__SPRING_AG_L_IDR_SN_2025_Q1</t>
  </si>
  <si>
    <t>CSREN__MAYBANK_NK_L_IDR_SI_2024_IF</t>
  </si>
  <si>
    <t>CSREN__MAYBANK_NK_L_IDR_SI_2025_Q1</t>
  </si>
  <si>
    <t>CTEZPL_NISP_NK_L_IDR_NO_2024_IF</t>
  </si>
  <si>
    <t>CTEZPL_NISP_NK_L_IDR_NO_2025_Q1</t>
  </si>
  <si>
    <t>CTEZPL_TELEMAYBANK_NK_L_IDR_NO_2024_IF</t>
  </si>
  <si>
    <t>CTEZPL_TELEMAYBANK_NK_L_IDR_NO_2025_Q1</t>
  </si>
  <si>
    <t>CTEZPL_TELEWOORI_NK_L_IDR_NO_2024_IF</t>
  </si>
  <si>
    <t>CTEZPL_TELEWOORI_NK_L_IDR_NO_2025_Q1</t>
  </si>
  <si>
    <t>CTMPJG_MAYBANK_NK_L_IDR_NO_2024_IF</t>
  </si>
  <si>
    <t>CTMPJG_MAYBANK_NK_L_IDR_NO_2025_Q1</t>
  </si>
  <si>
    <t>CTMPSL_TELEMAYBANK_NK_L_IDR_NO_2024_IF</t>
  </si>
  <si>
    <t>CTMPSL_TELEMAYBANK_NK_L_IDR_NO_2025_Q1</t>
  </si>
  <si>
    <t>CTPLA__HSBC_KT_L_IDR_NO_2024_IF</t>
  </si>
  <si>
    <t>CWGLGC_BTPN_NK_L_IDR_NO_2024_IF</t>
  </si>
  <si>
    <t>CWGLGC_BTPN_NK_L_IDR_NO_2025_Q1</t>
  </si>
  <si>
    <t>CWGLGC_BTPN_NK_L_USD_NO_2024_IF</t>
  </si>
  <si>
    <t>CWGLGC_BTPN_NK_L_USD_NO_2025_Q1</t>
  </si>
  <si>
    <t>CWHIPP_HSBC_KT_L_IDR_NI_2024_IF</t>
  </si>
  <si>
    <t>CWHIPP_HSBC_KT_L_IDR_NI_2025_Q1</t>
  </si>
  <si>
    <t>CWLGC__AZID_AG_L_IDR_NO_2024_IF</t>
  </si>
  <si>
    <t>CWLGC__AZID_AG_L_IDR_NO_2025_Q1</t>
  </si>
  <si>
    <t>CWLGC__AZID_AG_L_USD_NO_2024_IF</t>
  </si>
  <si>
    <t>CWLGC__AZLI_STAFF_AG_L_IDR_NO_2024_IF</t>
  </si>
  <si>
    <t>CWLGC__EAGLE_AG_L_IDR_NO_2024_IF</t>
  </si>
  <si>
    <t>CWLGC__EAGLE_AG_L_IDR_NO_2025_Q1</t>
  </si>
  <si>
    <t>CWLGC__EAGLE_AG_L_USD_NO_2024_IF</t>
  </si>
  <si>
    <t>CWLGC__EAGLE_AG_L_USD_NO_2025_Q1</t>
  </si>
  <si>
    <t>CWLGC__SPRING_AG_L_IDR_NO_2024_IF</t>
  </si>
  <si>
    <t>CWLGC__SPRING_AG_L_IDR_NO_2025_Q1</t>
  </si>
  <si>
    <t>CWLGC__SPRING_AG_L_USD_NO_2024_IF</t>
  </si>
  <si>
    <t>CWLGCP_BCI_NK_L_IDR_NO_2024_IF</t>
  </si>
  <si>
    <t>CWLGCP_BCI_NK_L_USD_NO_2024_IF</t>
  </si>
  <si>
    <t>CWLGCP_HANA_NK_L_IDR_NO_2024_IF</t>
  </si>
  <si>
    <t>CWLGCP_HANA_NK_L_IDR_NO_2025_Q1</t>
  </si>
  <si>
    <t>CWLGCP_HANA_NK_L_USD_NO_2024_IF</t>
  </si>
  <si>
    <t>CWLGCP_NISP_NK_L_IDR_NO_2024_IF</t>
  </si>
  <si>
    <t>CWLGCP_NISP_NK_L_IDR_NO_2025_Q1</t>
  </si>
  <si>
    <t>CWLGCP_NISP_NK_L_USD_NO_2024_IF</t>
  </si>
  <si>
    <t>CWLGCP_VICTORIA_NK_L_IDR_NO_2024_IF</t>
  </si>
  <si>
    <t>CWLGCP_VICTORIA_NK_L_IDR_NO_2025_Q1</t>
  </si>
  <si>
    <t>CWMLGC_MAYBANK_NK_L_IDR_NO_2024_IF</t>
  </si>
  <si>
    <t>CWMLGC_MAYBANK_NK_L_IDR_NO_2025_Q1</t>
  </si>
  <si>
    <t>CWMLGC_MAYBANK_NK_L_USD_NO_2024_IF</t>
  </si>
  <si>
    <t>CWMLGC_MAYBANK_NK_L_USD_NO_2025_Q1</t>
  </si>
  <si>
    <t>CWPRLA_HSBC_KT_L_IDR_NO_2024_IF</t>
  </si>
  <si>
    <t>CWPRLA_HSBC_KT_L_IDR_NO_2025_Q1</t>
  </si>
  <si>
    <t>WPCI77_ASN3_AG_L_IDR_NO_2024_IF</t>
  </si>
  <si>
    <t>WPCI77_AZID_AG_L_IDR_NO_2024_IF</t>
  </si>
  <si>
    <t>WPCI77_AZID_AG_L_IDR_NO_2025_Q1</t>
  </si>
  <si>
    <t>WPCI77_EAGLE_AG_L_IDR_NO_2024_IF</t>
  </si>
  <si>
    <t>WPCI77_EAGLE_AG_L_IDR_NO_2025_Q1</t>
  </si>
  <si>
    <t>WPCI77_SPRING_AG_L_IDR_NO_2024_IF</t>
  </si>
  <si>
    <t>WPCI77_SPRING_AG_L_IDR_NO_2025_Q1</t>
  </si>
  <si>
    <t>CCBPCN_BTPN_NK_L_IDR_NO_2024_IF</t>
  </si>
  <si>
    <t>CCPBMT_MANTAP_NK_L_IDR_NO_2024_IF</t>
  </si>
  <si>
    <t>CCWSA__WOORI_NK_L_IDR_NO_2024_IF</t>
  </si>
  <si>
    <t>CCBKA__BUKOPIN_NK_L_IDR_NO_2024_IF</t>
  </si>
  <si>
    <t>CCBKP__BUKOPIN_NK_L_IDR_NO_2024_IF</t>
  </si>
  <si>
    <t>CCBKR__BUKOPIN_NK_L_IDR_NO_2024_IF</t>
  </si>
  <si>
    <t>CCMTPC_MANTAP_NK_L_IDR_NO_2024_IF</t>
  </si>
  <si>
    <t>CCMBSI_BSI_NK_L_IDR_SN_2024_IF</t>
  </si>
  <si>
    <t>CCPBSI_BSI_NK_L_IDR_SN_2024_IF</t>
  </si>
  <si>
    <t>CCPBMT_MANTAP_NK_L_IDR_NO_2025_Q1</t>
  </si>
  <si>
    <t>CCBPCN_BTPN_NK_L_IDR_NO_2025_Q1</t>
  </si>
  <si>
    <t>CCMTA__MANTAP_NK_L_IDR_NO_2024_IF</t>
  </si>
  <si>
    <t>CCMTA__MANTAP_NK_L_IDR_NO_2025_Q1</t>
  </si>
  <si>
    <t>CCPBSI_BSI_NK_L_IDR_SN_2025_Q1</t>
  </si>
  <si>
    <t>CCWSA__WOORI_NK_L_IDR_NO_2025_Q1</t>
  </si>
  <si>
    <t>CASFM__EAGLE_AG_H_IDR_SN_2024_IF</t>
  </si>
  <si>
    <t>CASFM__SPRING_AG_H_IDR_SN_2024_IF</t>
  </si>
  <si>
    <t>CASFM__AZID_AG_H_IDR_SN_2025_Q1</t>
  </si>
  <si>
    <t>CASFM__SPRING_AG_H_IDR_SN_2025_Q1</t>
  </si>
  <si>
    <t>CASFM__EAGLE_AG_H_IDR_SN_2025_Q1</t>
  </si>
  <si>
    <t>CALFM__EAGLE_AG_H_IDR_NO_2024_IF</t>
  </si>
  <si>
    <t>CALFM__AZID_AG_H_IDR_NO_2024_IF</t>
  </si>
  <si>
    <t>CALFM__SPRING_AG_H_IDR_NO_2024_IF</t>
  </si>
  <si>
    <t>CALFM__EAGLE_AG_H_IDR_NO_2025_Q1</t>
  </si>
  <si>
    <t>CALFM__SPRING_AG_H_IDR_NO_2025_Q1</t>
  </si>
  <si>
    <t>CALFM__AZID_AG_H_IDR_NO_2025_Q1</t>
  </si>
  <si>
    <t>CASFM__AZID_AG_H_IDR_SN_2024_IF</t>
  </si>
  <si>
    <t>CSHCPP_SPRING_AG_H_IDR_YR_2024_IF</t>
  </si>
  <si>
    <t>CSHCPP_AZID_AG_H_IDR_YR_2024_IF</t>
  </si>
  <si>
    <t>CSHCPP_EAGLE_AG_H_IDR_YR_2024_IF</t>
  </si>
  <si>
    <t>CSHCPP_EAGLE_AG_H_IDR_YR_2025_Q1</t>
  </si>
  <si>
    <t>CSHCPP_SPRING_AG_H_IDR_YR_2025_Q1</t>
  </si>
  <si>
    <t>CSHCPP_AZID_AG_H_IDR_YR_2025_Q1</t>
  </si>
  <si>
    <t>CHEAZH_OPTIMALL_OT_H_IDR_YR_2024_IF</t>
  </si>
  <si>
    <t>CHEAZH_OPTIMALL_OT_H_IDR_YR_2025_Q1</t>
  </si>
  <si>
    <t>CHEAZY_TELEWOORI_NK_H_IDR_NO_2024_IF</t>
  </si>
  <si>
    <t>CHEAZY_TELEMAYBANK_NK_H_IDR_NO_2025_Q1</t>
  </si>
  <si>
    <t>CHEAZY_TELEWOORI_NK_H_IDR_NO_2025_Q1</t>
  </si>
  <si>
    <t>BASE_MYFUT</t>
  </si>
  <si>
    <t>CEPNTR_BCI_NK_L_IDR_NI_2025_Q1</t>
  </si>
  <si>
    <t>CEPNTR_HANA_NK_L_IDR_NI_2025_Q1</t>
  </si>
  <si>
    <t>CEPNTR_VICTORIA_NK_L_IDR_NI_2025_Q1</t>
  </si>
  <si>
    <t>CWLGC__SPRING_AG_L_USD_NO_2025_Q1</t>
  </si>
  <si>
    <t>CWLGCP_BCI_NK_L_IDR_NO_2025_Q1</t>
  </si>
  <si>
    <t>CWLGCP_HANA_NK_L_USD_NO_2025_Q1</t>
  </si>
  <si>
    <t>CWLGCP_NISP_NK_L_USD_NO_2025_Q1</t>
  </si>
  <si>
    <t>MYFUT</t>
  </si>
  <si>
    <t xml:space="preserve">- no pols, SA, and ANP diff due to Allisya Aman, MyProtection RENCANA, Guardia RENCANA, MyProtection Waris (offset with UL)
- SA diff include impact from LGC &amp; LGM campaign
- ANP diff include impact from BSI campaign
</t>
  </si>
  <si>
    <t>K:\19. IFRS17\IFRS 17 Quarterly Submissions\2025 Q1\17. IRCS\Control 2</t>
  </si>
  <si>
    <t>CWFUTR</t>
  </si>
  <si>
    <t>BASE_AZCP</t>
  </si>
  <si>
    <t>A_IDR</t>
  </si>
  <si>
    <t>A_AZID_AG__IDR__2025_Q1</t>
  </si>
  <si>
    <t>A_EAGLE_AG__IDR__2025_Q1</t>
  </si>
  <si>
    <t>A_SPRING_AG__IDR__2025_Q1</t>
  </si>
  <si>
    <t>CEALSP_HANA_NK_L_IDR_NO_2025_Q1</t>
  </si>
  <si>
    <t>CEPNTR_HSBC_KT_L_USD_NI_2025_Q1</t>
  </si>
  <si>
    <t>CEPNTR_VICTORIA_NK_L_USD_NI_2025_Q1</t>
  </si>
  <si>
    <t>CWFUTR_IDR</t>
  </si>
  <si>
    <t>CWFUTR_MAYBANK_NK_L_IDR_NI_2025_Q1</t>
  </si>
  <si>
    <t>CWLGC__AZLI_STAFF_AG_L_IDR_NO_2025_Q1</t>
  </si>
  <si>
    <t>CWLGCP_QNB_NK_L_IDR_NO_2025_Q1</t>
  </si>
  <si>
    <t>CSHCPP_AZID_AG_H_IDR_YR_2023_IF</t>
  </si>
  <si>
    <t>CSHCPP_EAGLE_AG_H_IDR_YR_2023_IF</t>
  </si>
  <si>
    <t>CSHCPP_SPRING_AG_H_IDR_YR_2023_IF</t>
  </si>
  <si>
    <t>CSHCPP_AZID_AG_H_IDR_YR_2022_IF</t>
  </si>
  <si>
    <t>CSHCPP_EAGLE_AG_H_IDR_YR_2022_IF</t>
  </si>
  <si>
    <t>CSHCPP_SPRING_AG_H_IDR_YR_2022_IF</t>
  </si>
  <si>
    <t>CSHCPP_SPRING_AG_H_IDR_YR_2021_IF</t>
  </si>
  <si>
    <t>CSHCPP_EAGLE_AG_H_IDR_YR_2021_IF</t>
  </si>
  <si>
    <t>CSHCPP_AZID_AG_H_IDR_YR_2021_IF</t>
  </si>
  <si>
    <t>CHEAZY_TELEMAYBANK_NK_H_IDR_NO_2022_IF</t>
  </si>
  <si>
    <t>CHEAZY_TELEMAYBANK_NK_H_IDR_NO_2024_IF</t>
  </si>
  <si>
    <t>CHEAZY_TELEMAYBANK_NK_H_IDR_NO_2023_IF</t>
  </si>
  <si>
    <t>MYFUT_IDR</t>
  </si>
  <si>
    <t>Allianz Critical Plus (unmodelled in Q1 2025)</t>
  </si>
  <si>
    <t>ULPIPX</t>
  </si>
  <si>
    <t>HPPA</t>
  </si>
  <si>
    <t>BASE_HPPA</t>
  </si>
  <si>
    <t>UEATSBA_AZID_AG_IDR_SH_2024_IF</t>
  </si>
  <si>
    <t>UEATSBA_AZID_AG_IDR_SH_2025_Q1</t>
  </si>
  <si>
    <t>UEATSBA_EAGLE_AG_IDR_SH_2024_IF</t>
  </si>
  <si>
    <t>UEATSBA_EAGLE_AG_IDR_SH_2025_Q1</t>
  </si>
  <si>
    <t>UEATSBA_SPRING_AG_IDR_SH_2024_IF</t>
  </si>
  <si>
    <t>UEATSBA_SPRING_AG_IDR_SH_2025_Q1</t>
  </si>
  <si>
    <t>ULAAOP_BCI_NK_IDR_UL_2024_IF</t>
  </si>
  <si>
    <t>ULAAOP_BCI_NK_IDR_UL_2025_Q1</t>
  </si>
  <si>
    <t>ULAAOP_BCI_NK_USD_UL_2024_IF</t>
  </si>
  <si>
    <t>ULAAOP_NISP_NK_IDR_UL_2024_IF</t>
  </si>
  <si>
    <t>ULAAOP_NISP_NK_IDR_UL_2025_Q1</t>
  </si>
  <si>
    <t>ULAAOP_NISP_NK_USD_UL_2024_IF</t>
  </si>
  <si>
    <t>ULAAOP_NISP_NK_USD_UL_2025_Q1</t>
  </si>
  <si>
    <t>ULAAOP_QNB_NK_IDR_UL_2024_IF</t>
  </si>
  <si>
    <t>ULAAOP_QNB_NK_USD_UL_2025_Q1</t>
  </si>
  <si>
    <t>ULAPR__EAGLE_AG_IDR_SH_2014_IF</t>
  </si>
  <si>
    <t>ULASLF_AZID_AG_IDR_SH_2024_IF</t>
  </si>
  <si>
    <t>ULASLF_AZID_AG_IDR_SH_2025_Q1</t>
  </si>
  <si>
    <t>ULASLF_AZLI_STAFF_AG_IDR_SH_2024_IF</t>
  </si>
  <si>
    <t>ULASLF_EAGLE_AG_IDR_SH_2024_IF</t>
  </si>
  <si>
    <t>ULASLF_EAGLE_AG_IDR_SH_2025_Q1</t>
  </si>
  <si>
    <t>ULASLF_SPRING_AG_IDR_SH_2024_IF</t>
  </si>
  <si>
    <t>ULASLF_SPRING_AG_IDR_SH_2025_Q1</t>
  </si>
  <si>
    <t>ULGUMA_BTPN_NK_IDR_UL_2024_IF</t>
  </si>
  <si>
    <t>ULGUMA_BTPN_NK_IDR_UL_2025_Q1</t>
  </si>
  <si>
    <t>ULGUMA_BTPN_NK_USD_UL_2024_IF</t>
  </si>
  <si>
    <t>ULGUMA_BTPN_NK_USD_UL_2025_Q1</t>
  </si>
  <si>
    <t>ULGUOP_BTPN_NK_IDR_UL_2024_IF</t>
  </si>
  <si>
    <t>ULGUOP_BTPN_NK_IDR_UL_2025_Q1</t>
  </si>
  <si>
    <t>ULGUOP_BTPN_NK_USD_UL_2024_IF</t>
  </si>
  <si>
    <t>ULGUOP_BTPN_NK_USD_UL_2025_Q1</t>
  </si>
  <si>
    <t>ULGUPM_BTPN_NK_IDR_UL_2024_IF</t>
  </si>
  <si>
    <t>ULGUPM_BTPN_NK_IDR_UL_2025_Q1</t>
  </si>
  <si>
    <t>ULGUPM_BTPN_NK_USD_UL_2024_IF</t>
  </si>
  <si>
    <t>ULGUPM_BTPN_NK_USD_UL_2025_Q1</t>
  </si>
  <si>
    <t>ULGUTI_BTPN_NK_IDR_UL_2024_IF</t>
  </si>
  <si>
    <t>ULGUTI_BTPN_NK_IDR_UL_2025_Q1</t>
  </si>
  <si>
    <t>ULGUTI_BTPN_NK_USD_UL_2024_IF</t>
  </si>
  <si>
    <t>ULHPIP_HSBC_KT_IDR_UL_2024_IF</t>
  </si>
  <si>
    <t>ULHPIP_HSBC_KT_IDR_UL_2025_Q1</t>
  </si>
  <si>
    <t>ULHPIP_HSBC_KT_USD_UL_2024_IF</t>
  </si>
  <si>
    <t>ULHPIP_HSBC_KT_USD_UL_2025_Q1</t>
  </si>
  <si>
    <t>ULHSWA_HSBC_KT_IDR_UL_2024_IF</t>
  </si>
  <si>
    <t>ULHSWA_HSBC_KT_IDR_UL_2025_Q1</t>
  </si>
  <si>
    <t>ULHSWA_HSBC_KT_USD_UL_2024_IF</t>
  </si>
  <si>
    <t>ULHSWA_HSBC_KT_USD_UL_2025_Q1</t>
  </si>
  <si>
    <t>ULHUWA_HSBC_KT_IDR_UL_2024_IF</t>
  </si>
  <si>
    <t>ULHUWA_HSBC_KT_IDR_UL_2025_Q1</t>
  </si>
  <si>
    <t>ULHUWA_HSBC_KT_USD_UL_2024_IF</t>
  </si>
  <si>
    <t>ULHUWA_HSBC_KT_USD_UL_2025_Q1</t>
  </si>
  <si>
    <t>ULMPB2_MAYBANK_NK_IDR_SH_2024_IF</t>
  </si>
  <si>
    <t>ULMPB2_MAYBANK_NK_IDR_SH_2025_Q1</t>
  </si>
  <si>
    <t>ULMPI2_MAYBANK_NK_IDR_UL_2024_IF</t>
  </si>
  <si>
    <t>ULMPI2_MAYBANK_NK_IDR_UL_2025_Q1</t>
  </si>
  <si>
    <t>ULMPI2_MAYBANK_NK_USD_UL_2024_IF</t>
  </si>
  <si>
    <t>ULMPI2_MAYBANK_NK_USD_UL_2025_Q1</t>
  </si>
  <si>
    <t>ULMPN2_MAYBANK_NK_IDR_UL_2024_IF</t>
  </si>
  <si>
    <t>ULMPN2_MAYBANK_NK_IDR_UL_2025_Q1</t>
  </si>
  <si>
    <t>ULMPN2_MAYBANK_NK_USD_UL_2024_IF</t>
  </si>
  <si>
    <t>ULMPP2_MAYBANK_NK_IDR_UL_2024_IF</t>
  </si>
  <si>
    <t>ULMPP2_MAYBANK_NK_IDR_UL_2025_Q1</t>
  </si>
  <si>
    <t>ULMPP2_MAYBANK_NK_USD_UL_2024_IF</t>
  </si>
  <si>
    <t>ULMPP2_MAYBANK_NK_USD_UL_2025_Q1</t>
  </si>
  <si>
    <t>ULMSU2_MAYBANK_NK_IDR_UL_2024_IF</t>
  </si>
  <si>
    <t>ULMSU2_MAYBANK_NK_IDR_UL_2025_Q1</t>
  </si>
  <si>
    <t>ULMSU2_MAYBANK_NK_USD_UL_2024_IF</t>
  </si>
  <si>
    <t>ULMSU2_MAYBANK_NK_USD_UL_2025_Q1</t>
  </si>
  <si>
    <t>ULPIPX_IDR</t>
  </si>
  <si>
    <t>ULPIPX_HSBC_KT_IDR_UL_2025_Q1</t>
  </si>
  <si>
    <t>ULPIPX_USD</t>
  </si>
  <si>
    <t>ULPIPX_HSBC_KT_USD_UL_2025_Q1</t>
  </si>
  <si>
    <t>ULRPLF_AZID_AG_IDR_UL_2024_IF</t>
  </si>
  <si>
    <t>ULRPLF_AZID_AG_IDR_UL_2025_Q1</t>
  </si>
  <si>
    <t>ULRPLF_AZLI_STAFF_AG_IDR_UL_2024_IF</t>
  </si>
  <si>
    <t>ULRPLF_EAGLE_AG_IDR_UL_2024_IF</t>
  </si>
  <si>
    <t>ULRPLF_EAGLE_AG_IDR_UL_2025_Q1</t>
  </si>
  <si>
    <t>ULRPLF_SPRING_AG_IDR_UL_2024_IF</t>
  </si>
  <si>
    <t>ULRPLF_SPRING_AG_IDR_UL_2025_Q1</t>
  </si>
  <si>
    <t>ULSPO7_EAGLE_AG_IDR_UL_2014_IF</t>
  </si>
  <si>
    <t>ULWPL2_NISP_NK_IDR_UL_2024_IF</t>
  </si>
  <si>
    <t>ULWPL2_NISP_NK_USD_UL_2024_IF</t>
  </si>
  <si>
    <t>ULWPL2_QNB_NK_IDR_UL_2024_IF</t>
  </si>
  <si>
    <t>ULWPL2_QNB_NK_IDR_UL_2025_Q1</t>
  </si>
  <si>
    <t>ULWPL2_QNB_NK_USD_UL_2024_IF</t>
  </si>
  <si>
    <t>ULWPL2_QNB_NK_USD_UL_2025_Q1</t>
  </si>
  <si>
    <t>ULWPR2_BCI_NK_IDR_UL_2024_IF</t>
  </si>
  <si>
    <t>ULWPR2_BCI_NK_IDR_UL_2025_Q1</t>
  </si>
  <si>
    <t>ULWPR2_HANA_NK_IDR_UL_2024_IF</t>
  </si>
  <si>
    <t>ULWPR2_HANA_NK_IDR_UL_2025_Q1</t>
  </si>
  <si>
    <t>ULWPR2_HANA_NK_USD_UL_2024_IF</t>
  </si>
  <si>
    <t>ULWPR2_QNB_NK_IDR_UL_2024_IF</t>
  </si>
  <si>
    <t>ULWPR2_QNB_NK_IDR_UL_2025_Q1</t>
  </si>
  <si>
    <t>ULWPR2_QNB_NK_USD_UL_2024_IF</t>
  </si>
  <si>
    <t>ULWPR2_VICTORIA_NK_IDR_UL_2024_IF</t>
  </si>
  <si>
    <t>ULWSL__IDR</t>
  </si>
  <si>
    <t>ULWSL__BCI_NK_IDR_UL_2025_Q1</t>
  </si>
  <si>
    <t>ULWSL__BJB_NK_USD_UL_2024_IF</t>
  </si>
  <si>
    <t>HPPA_IDR</t>
  </si>
  <si>
    <t>HPPA_USD</t>
  </si>
  <si>
    <t>- Allisya Aman, MyProtection RENCANA, Guardia RENCANA, MyProtection Waris (offset with TRAD)
- exclude 7 policies Group Saving that have zero pols ifs</t>
  </si>
  <si>
    <t>- Allisya Aman, MyProtection RENCANA, Guardia RENCANA, MyProtection Waris from Traditional products
- exclude 7 policies Group Saving that have zero pols ifs</t>
  </si>
  <si>
    <t>AWSL_IDR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</si>
</sst>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-* #,##0.00_-;\-* #,##0.00_-;_-* &quot;-&quot;??_-;_-@_-"/>
    <numFmt numFmtId="166" formatCode="###,000"/>
    <numFmt numFmtId="167" formatCode="0.0%"/>
    <numFmt numFmtId="168" formatCode="0.0000%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theme="1"/>
      <name val="Allianz Neo"/>
      <family val="2"/>
    </font>
    <font>
      <sz val="11"/>
      <color rgb="FFFF0000"/>
      <name val="Calibri"/>
      <family val="2"/>
      <scheme val="minor"/>
    </font>
    <font>
      <b/>
      <u/>
      <sz val="10"/>
      <color theme="1"/>
      <name val="Arial"/>
      <family val="2"/>
    </font>
    <font>
      <b/>
      <sz val="14"/>
      <color rgb="FF4069A1"/>
      <name val="Allianz Neo"/>
      <family val="2"/>
    </font>
    <font>
      <b/>
      <sz val="10"/>
      <color theme="0"/>
      <name val="Allianz Neo"/>
      <family val="2"/>
    </font>
    <font>
      <sz val="10"/>
      <color rgb="FF000000"/>
      <name val="Allianz Neo"/>
      <family val="2"/>
    </font>
    <font>
      <b/>
      <i/>
      <sz val="10"/>
      <color theme="1"/>
      <name val="Allianz Neo"/>
      <family val="2"/>
    </font>
    <font>
      <b/>
      <sz val="9"/>
      <color indexed="81"/>
      <name val="Tahoma"/>
      <family val="2"/>
    </font>
    <font>
      <sz val="10"/>
      <color indexed="8"/>
      <name val="MS Sans Serif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Aptos"/>
      <family val="2"/>
    </font>
  </fonts>
  <fills count="21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EBA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069A1"/>
        <bgColor rgb="FF4069A1"/>
      </patternFill>
    </fill>
    <fill>
      <patternFill patternType="solid">
        <fgColor rgb="FF4069A1"/>
        <bgColor rgb="FF000000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7F9BC0"/>
        <bgColor rgb="FF000000"/>
      </patternFill>
    </fill>
    <fill>
      <patternFill patternType="solid">
        <fgColor rgb="FFBFCDDF"/>
        <bgColor rgb="FF000000"/>
      </patternFill>
    </fill>
    <fill>
      <patternFill patternType="solid">
        <fgColor rgb="FFE0E7F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5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6" fillId="0" borderId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6" fontId="11" fillId="0" borderId="0" applyNumberFormat="0" applyFill="0" applyAlignment="0" applyProtection="0">
      <alignment horizontal="right" vertical="center"/>
    </xf>
    <xf numFmtId="0" fontId="12" fillId="10" borderId="3" applyNumberFormat="0" applyAlignment="0" applyProtection="0">
      <alignment horizontal="left" vertical="center" indent="1"/>
    </xf>
    <xf numFmtId="166" fontId="12" fillId="11" borderId="4" applyNumberFormat="0" applyAlignment="0" applyProtection="0">
      <alignment horizontal="left" vertical="center" indent="1"/>
    </xf>
    <xf numFmtId="0" fontId="8" fillId="12" borderId="3" applyNumberFormat="0" applyAlignment="0" applyProtection="0">
      <alignment horizontal="left" vertical="center" indent="1"/>
    </xf>
    <xf numFmtId="0" fontId="8" fillId="13" borderId="3" applyNumberFormat="0" applyAlignment="0" applyProtection="0">
      <alignment horizontal="left" vertical="center" indent="1"/>
    </xf>
    <xf numFmtId="166" fontId="13" fillId="0" borderId="3" applyNumberFormat="0" applyProtection="0">
      <alignment horizontal="right" vertical="center"/>
    </xf>
    <xf numFmtId="166" fontId="8" fillId="12" borderId="3" applyNumberFormat="0" applyProtection="0">
      <alignment horizontal="right" vertical="center"/>
    </xf>
    <xf numFmtId="0" fontId="8" fillId="14" borderId="3" applyNumberFormat="0" applyAlignment="0" applyProtection="0">
      <alignment horizontal="left" vertical="center" indent="1"/>
    </xf>
    <xf numFmtId="0" fontId="8" fillId="15" borderId="3" applyNumberFormat="0" applyAlignment="0" applyProtection="0">
      <alignment horizontal="left" vertical="center" indent="1"/>
    </xf>
    <xf numFmtId="0" fontId="8" fillId="12" borderId="3" applyNumberFormat="0" applyAlignment="0" applyProtection="0">
      <alignment horizontal="left" vertical="center" indent="1"/>
    </xf>
    <xf numFmtId="0" fontId="8" fillId="0" borderId="3" applyNumberFormat="0" applyFill="0" applyAlignment="0" applyProtection="0"/>
    <xf numFmtId="0" fontId="14" fillId="0" borderId="3" applyNumberFormat="0" applyAlignment="0" applyProtection="0"/>
    <xf numFmtId="9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5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6" fillId="0" borderId="0"/>
    <xf numFmtId="43" fontId="17" fillId="0" borderId="0" applyFont="0" applyFill="0" applyBorder="0" applyAlignment="0" applyProtection="0"/>
    <xf numFmtId="0" fontId="1" fillId="0" borderId="0"/>
    <xf numFmtId="0" fontId="1" fillId="0" borderId="0"/>
    <xf numFmtId="43" fontId="5" fillId="0" borderId="0" applyFont="0" applyFill="0" applyBorder="0" applyAlignment="0" applyProtection="0"/>
    <xf numFmtId="165" fontId="5" fillId="0" borderId="0" applyFont="0" applyFill="0" applyBorder="0" applyAlignment="0" applyProtection="0"/>
  </cellStyleXfs>
  <cellXfs count="81">
    <xf numFmtId="0" fontId="0" fillId="0" borderId="0" xfId="0"/>
    <xf numFmtId="164" fontId="0" fillId="0" borderId="0" xfId="1" applyNumberFormat="1" applyFont="1"/>
    <xf numFmtId="0" fontId="0" fillId="3" borderId="0" xfId="0" applyFill="1"/>
    <xf numFmtId="0" fontId="2" fillId="0" borderId="0" xfId="0" applyFont="1"/>
    <xf numFmtId="0" fontId="0" fillId="0" borderId="0" xfId="0" applyAlignment="1">
      <alignment horizontal="center"/>
    </xf>
    <xf numFmtId="164" fontId="0" fillId="3" borderId="0" xfId="1" applyNumberFormat="1" applyFont="1" applyFill="1"/>
    <xf numFmtId="0" fontId="0" fillId="0" borderId="2" xfId="0" applyBorder="1"/>
    <xf numFmtId="164" fontId="0" fillId="0" borderId="0" xfId="0" applyNumberFormat="1"/>
    <xf numFmtId="38" fontId="0" fillId="0" borderId="0" xfId="0" applyNumberFormat="1"/>
    <xf numFmtId="0" fontId="0" fillId="0" borderId="1" xfId="0" applyBorder="1"/>
    <xf numFmtId="164" fontId="2" fillId="0" borderId="0" xfId="0" applyNumberFormat="1" applyFont="1"/>
    <xf numFmtId="164" fontId="0" fillId="3" borderId="0" xfId="0" applyNumberFormat="1" applyFill="1"/>
    <xf numFmtId="0" fontId="3" fillId="7" borderId="2" xfId="20" applyFont="1" applyFill="1" applyBorder="1"/>
    <xf numFmtId="0" fontId="3" fillId="0" borderId="2" xfId="20" applyFont="1" applyBorder="1" applyAlignment="1">
      <alignment horizontal="center"/>
    </xf>
    <xf numFmtId="0" fontId="5" fillId="0" borderId="0" xfId="20"/>
    <xf numFmtId="0" fontId="10" fillId="8" borderId="2" xfId="20" applyFont="1" applyFill="1" applyBorder="1"/>
    <xf numFmtId="0" fontId="7" fillId="0" borderId="2" xfId="20" applyFont="1" applyBorder="1"/>
    <xf numFmtId="0" fontId="10" fillId="5" borderId="2" xfId="20" applyFont="1" applyFill="1" applyBorder="1"/>
    <xf numFmtId="0" fontId="5" fillId="0" borderId="2" xfId="20" applyBorder="1"/>
    <xf numFmtId="164" fontId="0" fillId="0" borderId="2" xfId="21" applyNumberFormat="1" applyFont="1" applyBorder="1"/>
    <xf numFmtId="9" fontId="5" fillId="0" borderId="2" xfId="20" applyNumberFormat="1" applyBorder="1"/>
    <xf numFmtId="41" fontId="7" fillId="0" borderId="2" xfId="20" applyNumberFormat="1" applyFont="1" applyBorder="1"/>
    <xf numFmtId="164" fontId="7" fillId="0" borderId="2" xfId="20" applyNumberFormat="1" applyFont="1" applyBorder="1"/>
    <xf numFmtId="41" fontId="5" fillId="0" borderId="2" xfId="20" applyNumberFormat="1" applyBorder="1"/>
    <xf numFmtId="164" fontId="0" fillId="0" borderId="2" xfId="21" applyNumberFormat="1" applyFont="1" applyFill="1" applyBorder="1"/>
    <xf numFmtId="0" fontId="2" fillId="0" borderId="2" xfId="20" applyFont="1" applyBorder="1"/>
    <xf numFmtId="164" fontId="2" fillId="0" borderId="2" xfId="21" applyNumberFormat="1" applyFont="1" applyBorder="1"/>
    <xf numFmtId="9" fontId="2" fillId="0" borderId="2" xfId="20" applyNumberFormat="1" applyFont="1" applyBorder="1"/>
    <xf numFmtId="164" fontId="0" fillId="4" borderId="2" xfId="21" applyNumberFormat="1" applyFont="1" applyFill="1" applyBorder="1"/>
    <xf numFmtId="164" fontId="5" fillId="0" borderId="0" xfId="20" applyNumberFormat="1"/>
    <xf numFmtId="9" fontId="0" fillId="0" borderId="2" xfId="22" applyFont="1" applyBorder="1"/>
    <xf numFmtId="43" fontId="5" fillId="0" borderId="0" xfId="20" applyNumberFormat="1"/>
    <xf numFmtId="164" fontId="7" fillId="0" borderId="2" xfId="21" applyNumberFormat="1" applyFont="1" applyBorder="1"/>
    <xf numFmtId="0" fontId="2" fillId="3" borderId="2" xfId="20" applyFont="1" applyFill="1" applyBorder="1"/>
    <xf numFmtId="164" fontId="2" fillId="3" borderId="2" xfId="21" applyNumberFormat="1" applyFont="1" applyFill="1" applyBorder="1"/>
    <xf numFmtId="9" fontId="2" fillId="3" borderId="2" xfId="22" applyFont="1" applyFill="1" applyBorder="1"/>
    <xf numFmtId="164" fontId="2" fillId="9" borderId="2" xfId="21" applyNumberFormat="1" applyFont="1" applyFill="1" applyBorder="1"/>
    <xf numFmtId="164" fontId="0" fillId="0" borderId="0" xfId="21" applyNumberFormat="1" applyFont="1"/>
    <xf numFmtId="164" fontId="0" fillId="9" borderId="2" xfId="21" applyNumberFormat="1" applyFont="1" applyFill="1" applyBorder="1"/>
    <xf numFmtId="9" fontId="7" fillId="3" borderId="2" xfId="22" applyFont="1" applyFill="1" applyBorder="1"/>
    <xf numFmtId="0" fontId="0" fillId="0" borderId="2" xfId="0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4" fillId="3" borderId="2" xfId="3" applyFill="1" applyBorder="1"/>
    <xf numFmtId="0" fontId="0" fillId="3" borderId="2" xfId="0" applyFill="1" applyBorder="1"/>
    <xf numFmtId="164" fontId="0" fillId="16" borderId="0" xfId="1" applyNumberFormat="1" applyFont="1" applyFill="1"/>
    <xf numFmtId="0" fontId="0" fillId="6" borderId="2" xfId="0" applyFill="1" applyBorder="1"/>
    <xf numFmtId="37" fontId="0" fillId="0" borderId="0" xfId="0" applyNumberFormat="1"/>
    <xf numFmtId="0" fontId="9" fillId="0" borderId="0" xfId="0" applyFont="1"/>
    <xf numFmtId="167" fontId="0" fillId="0" borderId="0" xfId="2" applyNumberFormat="1" applyFont="1"/>
    <xf numFmtId="0" fontId="2" fillId="0" borderId="1" xfId="0" applyFont="1" applyBorder="1"/>
    <xf numFmtId="0" fontId="18" fillId="20" borderId="6" xfId="0" applyFont="1" applyFill="1" applyBorder="1" applyAlignment="1">
      <alignment horizontal="center"/>
    </xf>
    <xf numFmtId="0" fontId="18" fillId="20" borderId="9" xfId="0" applyFont="1" applyFill="1" applyBorder="1" applyAlignment="1">
      <alignment horizontal="center"/>
    </xf>
    <xf numFmtId="167" fontId="0" fillId="0" borderId="10" xfId="2" applyNumberFormat="1" applyFont="1" applyFill="1" applyBorder="1" applyAlignment="1">
      <alignment vertical="center"/>
    </xf>
    <xf numFmtId="167" fontId="0" fillId="0" borderId="0" xfId="2" applyNumberFormat="1" applyFont="1" applyFill="1" applyAlignment="1">
      <alignment vertical="center"/>
    </xf>
    <xf numFmtId="164" fontId="0" fillId="5" borderId="0" xfId="0" applyNumberFormat="1" applyFill="1"/>
    <xf numFmtId="0" fontId="0" fillId="0" borderId="0" xfId="0" quotePrefix="1"/>
    <xf numFmtId="164" fontId="2" fillId="3" borderId="0" xfId="0" applyNumberFormat="1" applyFont="1" applyFill="1"/>
    <xf numFmtId="167" fontId="2" fillId="3" borderId="0" xfId="2" applyNumberFormat="1" applyFont="1" applyFill="1" applyAlignment="1"/>
    <xf numFmtId="0" fontId="0" fillId="4" borderId="0" xfId="0" applyFill="1"/>
    <xf numFmtId="0" fontId="0" fillId="16" borderId="0" xfId="0" applyFill="1"/>
    <xf numFmtId="168" fontId="0" fillId="0" borderId="0" xfId="2" applyNumberFormat="1" applyFont="1"/>
    <xf numFmtId="0" fontId="18" fillId="20" borderId="0" xfId="0" applyFont="1" applyFill="1" applyAlignment="1">
      <alignment horizontal="center"/>
    </xf>
    <xf numFmtId="0" fontId="0" fillId="17" borderId="2" xfId="0" applyFill="1" applyBorder="1"/>
    <xf numFmtId="0" fontId="0" fillId="18" borderId="0" xfId="0" applyFill="1"/>
    <xf numFmtId="0" fontId="2" fillId="18" borderId="0" xfId="0" applyFont="1" applyFill="1"/>
    <xf numFmtId="0" fontId="2" fillId="19" borderId="0" xfId="0" applyFont="1" applyFill="1"/>
    <xf numFmtId="0" fontId="0" fillId="19" borderId="0" xfId="0" applyFill="1"/>
    <xf numFmtId="0" fontId="0" fillId="0" borderId="0" xfId="0" quotePrefix="1" applyAlignment="1">
      <alignment wrapText="1"/>
    </xf>
    <xf numFmtId="0" fontId="20" fillId="0" borderId="0" xfId="0" applyFont="1"/>
    <xf numFmtId="0" fontId="18" fillId="20" borderId="12" xfId="0" applyFont="1" applyFill="1" applyBorder="1" applyAlignment="1">
      <alignment horizontal="center" vertical="center"/>
    </xf>
    <xf numFmtId="0" fontId="18" fillId="20" borderId="13" xfId="0" applyFont="1" applyFill="1" applyBorder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18" fillId="2" borderId="5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0" borderId="6" xfId="0" applyFont="1" applyFill="1" applyBorder="1" applyAlignment="1">
      <alignment horizontal="center"/>
    </xf>
    <xf numFmtId="0" fontId="18" fillId="20" borderId="7" xfId="0" applyFont="1" applyFill="1" applyBorder="1" applyAlignment="1">
      <alignment horizontal="center"/>
    </xf>
    <xf numFmtId="0" fontId="18" fillId="20" borderId="8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16" borderId="0" xfId="0" applyFill="1" applyAlignment="1">
      <alignment horizontal="left" vertical="center"/>
    </xf>
    <xf numFmtId="0" fontId="18" fillId="20" borderId="9" xfId="0" applyFont="1" applyFill="1" applyBorder="1" applyAlignment="1">
      <alignment horizontal="center" vertical="center"/>
    </xf>
  </cellXfs>
  <cellStyles count="50">
    <cellStyle name="Comma" xfId="1" builtinId="3"/>
    <cellStyle name="Comma [0] 2" xfId="40" xr:uid="{5E03EF2F-1E04-4094-872E-844AC71AC10A}"/>
    <cellStyle name="Comma 11" xfId="43" xr:uid="{00DB3BD5-11C1-41DC-88BD-749D384AF99E}"/>
    <cellStyle name="Comma 2" xfId="21" xr:uid="{30B5F2E1-A4A9-4B16-8692-B005962881CB}"/>
    <cellStyle name="Comma 27" xfId="5" xr:uid="{05763872-8E46-4220-A6A7-11ED1A4E1844}"/>
    <cellStyle name="Comma 28" xfId="6" xr:uid="{68BA070E-DA02-4736-80BD-2EDB949B20DB}"/>
    <cellStyle name="Comma 3" xfId="48" xr:uid="{CC7CB9C6-4006-42C4-8CAC-D25BFB8544DE}"/>
    <cellStyle name="Comma 30" xfId="7" xr:uid="{9C278591-7E55-40A5-98A4-A4DE61F7C728}"/>
    <cellStyle name="Comma 31" xfId="8" xr:uid="{F616A3E9-D853-4BAA-ADA7-627B9082B8F2}"/>
    <cellStyle name="Comma 33" xfId="9" xr:uid="{49202DD6-F20B-4C7B-BA58-4B25A916B527}"/>
    <cellStyle name="Comma 34" xfId="10" xr:uid="{43DA8473-CC85-45D1-B6CE-EAED14FF7A35}"/>
    <cellStyle name="Comma 35" xfId="11" xr:uid="{D746C1B5-0787-4378-885E-58655EB42FF3}"/>
    <cellStyle name="Comma 36" xfId="12" xr:uid="{A04252B4-EA98-4576-9B3E-607A4FF4618C}"/>
    <cellStyle name="Comma 37" xfId="15" xr:uid="{22C68531-1D40-4D16-AAB5-F0A3C45CE0A4}"/>
    <cellStyle name="Comma 38" xfId="16" xr:uid="{913938A3-FA1D-4577-9CD6-7DB39E4A835E}"/>
    <cellStyle name="Comma 39" xfId="17" xr:uid="{13445314-DC16-405F-816E-E7098E4CF1F1}"/>
    <cellStyle name="Comma 4" xfId="49" xr:uid="{BD8E8090-D187-49E5-9797-AA3944716E86}"/>
    <cellStyle name="Comma 40" xfId="18" xr:uid="{8F7F6F54-BFB0-4DE5-87EB-B9C4180DB8EC}"/>
    <cellStyle name="Comma 41" xfId="19" xr:uid="{29137E8D-4650-4B10-944F-510AF26429CE}"/>
    <cellStyle name="Comma 42" xfId="13" xr:uid="{3E448C1F-1DCE-46D6-8A6A-5F367A48623D}"/>
    <cellStyle name="Comma 43" xfId="14" xr:uid="{32AF81DB-8EAF-44CE-B17D-716BF36232B6}"/>
    <cellStyle name="Comma 5 2" xfId="45" xr:uid="{48F2BB24-5351-43C4-8BB9-805E6047C02A}"/>
    <cellStyle name="Comma 50" xfId="36" xr:uid="{80191C36-1F4E-4CE6-BD36-6FEA3CCE599B}"/>
    <cellStyle name="Comma 51" xfId="39" xr:uid="{9464F6A7-91A2-4F18-BCFF-A3FCF6A62402}"/>
    <cellStyle name="Hyperlink" xfId="3" builtinId="8"/>
    <cellStyle name="Normal" xfId="0" builtinId="0"/>
    <cellStyle name="Normal 11" xfId="38" xr:uid="{B4DA9C74-2397-4771-829E-F306EA46304F}"/>
    <cellStyle name="Normal 12" xfId="42" xr:uid="{251F40C9-C817-4C77-99FF-D742939FE281}"/>
    <cellStyle name="Normal 2" xfId="20" xr:uid="{AD6E3996-5033-41D1-973C-2E9D02C44CBD}"/>
    <cellStyle name="Normal 2 2" xfId="4" xr:uid="{6D72FB3A-D6A0-4AD9-BB34-9627937F4ECB}"/>
    <cellStyle name="Normal 3" xfId="47" xr:uid="{EAE7E6B2-82B0-4E44-91BD-6D68AF83D134}"/>
    <cellStyle name="Normal 4" xfId="46" xr:uid="{7019E5F5-1126-4AC4-B366-7C617E1E3F42}"/>
    <cellStyle name="Normal 9" xfId="41" xr:uid="{ED5096AE-1B4A-42B5-A6C3-901C5A2A9291}"/>
    <cellStyle name="Percent" xfId="2" builtinId="5"/>
    <cellStyle name="Percent 10" xfId="35" xr:uid="{FCAAF619-96B1-4D61-A39F-1CD53C62769D}"/>
    <cellStyle name="Percent 2" xfId="22" xr:uid="{9AC396A3-9FC1-47A5-8B20-3C689EE42BB1}"/>
    <cellStyle name="Percent 2 2" xfId="37" xr:uid="{E5B9DD4E-082D-4CA0-9024-80118E699980}"/>
    <cellStyle name="SAPDataCell" xfId="28" xr:uid="{9A2EA114-95EF-4AE9-BDDB-646C1E89A964}"/>
    <cellStyle name="SAPDataTotalCell" xfId="29" xr:uid="{291A6657-73DD-48C5-B42F-F5A40762DA32}"/>
    <cellStyle name="SAPDimensionCell" xfId="24" xr:uid="{9A33597F-1037-4603-8C78-638651B5B651}"/>
    <cellStyle name="SAPEmphasized" xfId="33" xr:uid="{F0B1824C-832D-4301-BB8C-2C5EFA02E4FC}"/>
    <cellStyle name="SAPEmphasizedTotal" xfId="34" xr:uid="{6E2B7255-F420-4F8D-996B-D720A47E3851}"/>
    <cellStyle name="SAPFormula" xfId="23" xr:uid="{2671355A-71AA-404E-8B30-CC39645D5CB8}"/>
    <cellStyle name="SAPHierarchyCell0" xfId="27" xr:uid="{9797D92B-8C08-4800-A9C8-B9480DA39E25}"/>
    <cellStyle name="SAPHierarchyCell1" xfId="30" xr:uid="{D64A3F87-10AE-454D-AF3C-61B376E75B0A}"/>
    <cellStyle name="SAPHierarchyCell2" xfId="31" xr:uid="{2CE879B6-4D78-4319-AF5F-DFAA54FFDD7D}"/>
    <cellStyle name="SAPHierarchyCell3" xfId="32" xr:uid="{C5CE877D-465B-4D82-93E7-3111DA066169}"/>
    <cellStyle name="SAPMemberCell" xfId="25" xr:uid="{034D77D7-39C3-45B3-83C3-9997B5304C38}"/>
    <cellStyle name="SAPMemberTotalCell" xfId="26" xr:uid="{25D68B9E-2218-46B2-B605-898E109BB2DB}"/>
    <cellStyle name="Standard_Mapping PHOENIX_EC-CS" xfId="44" xr:uid="{39855262-8680-4905-9571-145A589A8725}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externalLink" Target="externalLinks/externalLink12.xml"/><Relationship Id="rId33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styles" Target="style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EMP\kontenvorschlag%20bilanz%20und%20guv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llianzms-my.sharepoint.com/Users/KONGEEMUN/Downloads/2023%20QRP,RP/QRP%20-%20LH%20IFRS%2017%20Prototype_%20version%20beta-03-%20after%20SC-Dummy%20S%20nod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wg00m.rootdom.net\afs-team\H2\AZ-ONE-FINANCE\PROJECT\10_Steering\60%20Dasboard%20project\ARGO%20upload%20files\20210614%20VNB%20BW%20test\New%20Business%20Steering_Prop%20New%20Forms_2020%20v_20210504_upload_example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30_IRCS%202022/03%20Must%20Control%20IFRS17/Control%205/Q3%202022/Result%20Checking%20(Q32022V5)%20v6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OLUS\20230807%20Split%20Template%20Syariah\ECCS%20IS%20LH%20download%20OE%20tool%20v3.0%20v3_split%20UDR%20total_Q223_ID0002+ID0029%20v2_split%20LoB.xlsm" TargetMode="External"/><Relationship Id="rId1" Type="http://schemas.openxmlformats.org/officeDocument/2006/relationships/externalLinkPath" Target="/SOLUS/20230807%20Split%20Template%20Syariah/ECCS%20IS%20LH%20download%20OE%20tool%20v3.0%20v3_split%20UDR%20total_Q223_ID0002+ID0029%20v2_split%20LoB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13.%20Employee%20Folder\IFRS%2017\IFRS%2017%20Quarterly%20Submissions\2023\Q2\07.%20Actual%20CF\ARGO%20Actual%20CF%20VFA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Y:\13.%20Employee%20Folder\IFRS%2017\IFRS%2017%20Quarterly%20Submissions\2023\Q2\07.%20Actual%20CF\Allocation%20Summary%20GS%20Q223.xlsx" TargetMode="External"/><Relationship Id="rId1" Type="http://schemas.openxmlformats.org/officeDocument/2006/relationships/externalLinkPath" Target="file:///Y:\13.%20Employee%20Folder\IFRS%2017\IFRS%2017%20Quarterly%20Submissions\2023\Q2\07.%20Actual%20CF\Allocation%20Summary%20GS%20Q223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Y:\13.%20Employee%20Folder\IFRS%2017\IFRS%2017%20Quarterly%20Submissions\2022\Q4\11.%20PL%20by%20LoB%20form\Split%20UDR%20Summary%20Q4%202022.xlsx" TargetMode="External"/><Relationship Id="rId1" Type="http://schemas.openxmlformats.org/officeDocument/2006/relationships/externalLinkPath" Target="file:///Y:\13.%20Employee%20Folder\IFRS%2017\IFRS%2017%20Quarterly%20Submissions\2022\Q4\11.%20PL%20by%20LoB%20form\Split%20UDR%20Summary%20Q4%202022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3.%20Quarterly%20Report\2023\6M\BS\6M%202023%20v6.xlsx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Y:\13.%20Employee%20Folder\IFRS%2017\IFRS%2017%20Quarterly%20Submissions\2022\Q4\Active%20product%20list%20LoB%20as%20of%20Q4%202022.xlsx" TargetMode="External"/><Relationship Id="rId1" Type="http://schemas.openxmlformats.org/officeDocument/2006/relationships/externalLinkPath" Target="/13.%20Employee%20Folder/IFRS%2017/IFRS%2017%20Quarterly%20Submissions/2022/Q4/Active%20product%20list%20LoB%20as%20of%20Q4%202022.xlsx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llianzms.sharepoint.com/teams/ID0002-5620391/Shared%20Documents/Actuary_03/19.%20IFRS17/IFRS%2017%20Quarterly%20Submissions/2025%20Q1/17.%20IRCS/Control%202/LGC%20&amp;%20LGM%20Campaign/Summary%20Campaign%20LGC%20LGM.xlsx" TargetMode="External"/><Relationship Id="rId1" Type="http://schemas.openxmlformats.org/officeDocument/2006/relationships/externalLinkPath" Target="LGC%20&amp;%20LGM%20Campaign/Summary%20Campaign%20LGC%20LGM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llianzms.sharepoint.com/teams/ID0002-5620391/Shared%20Documents/Actuary_03/19.%20IFRS17/IFRS%2017%20Quarterly%20Submissions/2025%20Q1/17.%20IRCS/Control%202/LGC%20&amp;%20LGM%20Campaign/BSI_ATTRIBUSI_020425.xlsx" TargetMode="External"/><Relationship Id="rId1" Type="http://schemas.openxmlformats.org/officeDocument/2006/relationships/externalLinkPath" Target="LGC%20&amp;%20LGM%20Campaign/BSI_ATTRIBUSI_0204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ontenvorschlag bilanz und guv"/>
      <sheetName val="7_6"/>
      <sheetName val="Feuil1"/>
      <sheetName val="Feuil2"/>
      <sheetName val="Feuil3"/>
      <sheetName val="Para"/>
      <sheetName val="lifefcast"/>
      <sheetName val="Overview_YTD"/>
      <sheetName val="AZ Vers"/>
      <sheetName val="ABV"/>
      <sheetName val="DropDowns"/>
      <sheetName val="Project - Investments "/>
      <sheetName val="2014 PIC Budget approved"/>
      <sheetName val="Refurbishement estimation"/>
      <sheetName val="kontenvorschlag_bilanz_und_guv"/>
      <sheetName val="BU Inputs"/>
      <sheetName val="1a-Reference"/>
      <sheetName val="Summary"/>
      <sheetName val="COMMERCIALISATION"/>
      <sheetName val="ACCESS"/>
      <sheetName val="Options"/>
      <sheetName val="source"/>
      <sheetName val="List of buckets"/>
      <sheetName val="SAP_2QA09"/>
      <sheetName val="Drop Downs"/>
      <sheetName val="List"/>
      <sheetName val="Lists"/>
      <sheetName val="Sheet1"/>
      <sheetName val="alapadatok"/>
      <sheetName val="Instructions "/>
      <sheetName val="Instructions"/>
      <sheetName val="Références"/>
      <sheetName val="HT"/>
      <sheetName val="Drop_Down"/>
      <sheetName val="Template to Fill-In --&gt;"/>
      <sheetName val="ID related positions"/>
      <sheetName val="KST"/>
      <sheetName val="@lists"/>
    </sheetNames>
    <sheetDataSet>
      <sheetData sheetId="0" refreshError="1"/>
      <sheetData sheetId="1" refreshError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 refreshError="1"/>
      <sheetData sheetId="3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com.sap.ip.bi.xl.hiddensheet"/>
      <sheetName val="Read me"/>
      <sheetName val="Input"/>
      <sheetName val="CFO Letter YTD"/>
      <sheetName val="CFO Letter per LoB YTD"/>
      <sheetName val="CFO Investment Result YTD"/>
      <sheetName val="CFO Inv Res Non-VFA YTD"/>
      <sheetName val="CFO Inv Res VFA-Par YTD"/>
      <sheetName val="CFO Inv Res VFA-UL YTD"/>
      <sheetName val="CFO Inv.Contr. &amp; Oth Res. YTD"/>
      <sheetName val="Back-UP KPI LoB Drill downs YTD"/>
      <sheetName val="Operating Profit Detail YTD"/>
      <sheetName val="Operating Profit per LoB YTD"/>
      <sheetName val="Investment Result YTD"/>
      <sheetName val="Investment Result YTD split"/>
      <sheetName val="CSM Development YTD"/>
      <sheetName val="CSM Development YTD_slide1"/>
      <sheetName val="New Business YTD"/>
      <sheetName val="QUERY OP Report"/>
      <sheetName val="QUERY OP Report Profit Source"/>
      <sheetName val="QUERY CSM Movement-Accounts"/>
      <sheetName val="QUERY BS BOP"/>
      <sheetName val="QUERY BS EOP"/>
      <sheetName val="Account List Mapping"/>
      <sheetName val="Query ACCOUNT List BS BOP"/>
      <sheetName val="Query ACCOUNT List BS EOP"/>
      <sheetName val="LOB-LIST"/>
      <sheetName val="LOB-Mapping-table"/>
      <sheetName val="CY QUERY VNB"/>
      <sheetName val="PY QUERY VNB"/>
      <sheetName val="PLAN QUERY VNB"/>
      <sheetName val="Query LOB Account List"/>
      <sheetName val="Helper Submovements"/>
      <sheetName val="CY QUERY CSM BW"/>
      <sheetName val="PP QUERY CSM BW"/>
      <sheetName val="PY QUERY CSM BW"/>
      <sheetName val="PLAN QUERY CSM BW"/>
      <sheetName val="CY QUERY PL LOB"/>
      <sheetName val="PY Query PL LOB"/>
      <sheetName val="PLAN Query PL LOB"/>
      <sheetName val="PP QUERY PL LOB"/>
      <sheetName val="CY QUERY PL LOB PS"/>
      <sheetName val="PP QUERY PL LOB PS"/>
      <sheetName val="PY QUERY PL LOB PS"/>
      <sheetName val="PLAN QUERY PL LOB PS"/>
      <sheetName val="Investment Result QTD"/>
      <sheetName val="Investment Result Plan"/>
      <sheetName val="Inv. Contr. &amp; Other Res. QTD"/>
      <sheetName val="Inv. Contr. &amp; Other Res. Plan"/>
      <sheetName val="Helper Lob Account List"/>
      <sheetName val="Helper Lob Account List 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quired in Q2 run-&gt;"/>
      <sheetName val="Intro"/>
      <sheetName val="Form 1"/>
      <sheetName val="Form 3"/>
      <sheetName val="Form 5"/>
      <sheetName val="Form 9"/>
      <sheetName val="Not required in Q2 run -&gt;"/>
      <sheetName val="Form 2"/>
      <sheetName val="Form 4"/>
      <sheetName val="Form 6"/>
      <sheetName val="Form 7"/>
      <sheetName val="Form 8"/>
      <sheetName val="Form 10"/>
    </sheetNames>
    <sheetDataSet>
      <sheetData sheetId="0"/>
      <sheetData sheetId="1">
        <row r="11">
          <cell r="B11" t="str">
            <v>DE0001</v>
          </cell>
        </row>
        <row r="14">
          <cell r="B14" t="str">
            <v>CHF</v>
          </cell>
        </row>
        <row r="15">
          <cell r="B15">
            <v>100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erview"/>
      <sheetName val="Input &gt;&gt;"/>
      <sheetName val="OB Checking"/>
      <sheetName val="actual cf checking"/>
      <sheetName val="IA checking"/>
      <sheetName val="fv inv checking"/>
      <sheetName val="RA checking"/>
      <sheetName val="RA checking REAS"/>
      <sheetName val="CDA"/>
      <sheetName val="LRC_CL checking"/>
      <sheetName val="Onerous Checking"/>
      <sheetName val="CSM Release checking"/>
      <sheetName val="DAC checking"/>
      <sheetName val="CSM movement check"/>
      <sheetName val="PVFCF Check"/>
      <sheetName val="csm movement flag"/>
    </sheetNames>
    <sheetDataSet>
      <sheetData sheetId="0"/>
      <sheetData sheetId="1">
        <row r="3">
          <cell r="F3">
            <v>2022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com.sap.ip.bi.xl.hiddensheet"/>
      <sheetName val="version"/>
      <sheetName val="Read me"/>
      <sheetName val="Input"/>
      <sheetName val="Pivot non ARGO"/>
      <sheetName val="Pivot ARGO (UDR)"/>
      <sheetName val="Manual"/>
      <sheetName val="Upload structure"/>
      <sheetName val="PL Account&amp;IFRS17 category"/>
      <sheetName val="IS PL mapping Total"/>
      <sheetName val="UDR Split"/>
      <sheetName val="Acq Deferral"/>
      <sheetName val="Reinsurance CF"/>
      <sheetName val="--&gt;SAP Query"/>
      <sheetName val="ECCS download"/>
      <sheetName val="Profit drivers (by LoB)"/>
      <sheetName val="1. Revenue Drivers"/>
    </sheetNames>
    <sheetDataSet>
      <sheetData sheetId="0"/>
      <sheetData sheetId="1"/>
      <sheetData sheetId="2"/>
      <sheetData sheetId="3">
        <row r="4">
          <cell r="B4">
            <v>2022</v>
          </cell>
          <cell r="I4">
            <v>4</v>
          </cell>
        </row>
      </sheetData>
      <sheetData sheetId="4">
        <row r="3">
          <cell r="P3" t="str">
            <v>Cum. value LC</v>
          </cell>
        </row>
      </sheetData>
      <sheetData sheetId="5">
        <row r="2">
          <cell r="P2">
            <v>0</v>
          </cell>
        </row>
      </sheetData>
      <sheetData sheetId="6">
        <row r="3">
          <cell r="P3" t="str">
            <v>Cum. value LC</v>
          </cell>
        </row>
      </sheetData>
      <sheetData sheetId="7"/>
      <sheetData sheetId="8"/>
      <sheetData sheetId="9">
        <row r="15">
          <cell r="K15">
            <v>1012973.545157777</v>
          </cell>
          <cell r="W15">
            <v>230109.87168901495</v>
          </cell>
          <cell r="X15">
            <v>454271.17009498912</v>
          </cell>
          <cell r="Y15">
            <v>328592.50337377255</v>
          </cell>
        </row>
        <row r="35">
          <cell r="AK35">
            <v>-56236.371853908524</v>
          </cell>
        </row>
        <row r="54">
          <cell r="L54">
            <v>3371917.6967304405</v>
          </cell>
        </row>
        <row r="56">
          <cell r="L56">
            <v>133488.24160060775</v>
          </cell>
        </row>
      </sheetData>
      <sheetData sheetId="10">
        <row r="12">
          <cell r="C12"/>
        </row>
      </sheetData>
      <sheetData sheetId="11"/>
      <sheetData sheetId="12"/>
      <sheetData sheetId="13"/>
      <sheetData sheetId="14">
        <row r="83">
          <cell r="AD83">
            <v>0</v>
          </cell>
        </row>
      </sheetData>
      <sheetData sheetId="15"/>
      <sheetData sheetId="1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ARGO Actual CF VFA"/>
    </sheetNames>
    <sheetDataSet>
      <sheetData sheetId="0">
        <row r="1">
          <cell r="G1">
            <v>3392528777466</v>
          </cell>
          <cell r="J1">
            <v>542531661057.99988</v>
          </cell>
          <cell r="K1">
            <v>803655831931</v>
          </cell>
        </row>
        <row r="2">
          <cell r="E2" t="str">
            <v>AGoC</v>
          </cell>
          <cell r="G2" t="str">
            <v>LRC_CL_INV</v>
          </cell>
          <cell r="J2" t="str">
            <v>LRC_CL_INS</v>
          </cell>
          <cell r="K2" t="str">
            <v>LRC_CL_INS Hospital</v>
          </cell>
        </row>
        <row r="3">
          <cell r="E3" t="str">
            <v>ULP2014IAGB_</v>
          </cell>
          <cell r="G3">
            <v>20871584506.560955</v>
          </cell>
          <cell r="J3">
            <v>87483148774.329651</v>
          </cell>
          <cell r="K3"/>
        </row>
        <row r="4">
          <cell r="E4" t="str">
            <v>SHP2014IAGB_</v>
          </cell>
          <cell r="G4">
            <v>14920754883.850039</v>
          </cell>
          <cell r="J4">
            <v>0</v>
          </cell>
          <cell r="K4"/>
        </row>
        <row r="5">
          <cell r="E5" t="str">
            <v>GSP2014IAGB_</v>
          </cell>
          <cell r="G5">
            <v>105591390523.05133</v>
          </cell>
          <cell r="J5">
            <v>20822118.206216305</v>
          </cell>
        </row>
        <row r="6">
          <cell r="E6" t="str">
            <v>ULP2014IAGH_</v>
          </cell>
          <cell r="G6">
            <v>90241104567.58165</v>
          </cell>
          <cell r="J6">
            <v>74608709612</v>
          </cell>
          <cell r="K6">
            <v>8240266759.6156025</v>
          </cell>
        </row>
        <row r="7">
          <cell r="E7" t="str">
            <v>SHP2014IAGH_</v>
          </cell>
          <cell r="G7">
            <v>15837420201.969334</v>
          </cell>
          <cell r="J7">
            <v>0</v>
          </cell>
          <cell r="K7"/>
        </row>
        <row r="8">
          <cell r="E8" t="str">
            <v>ULP2014IAGP_</v>
          </cell>
          <cell r="G8">
            <v>145655415286.96271</v>
          </cell>
          <cell r="J8">
            <v>3603677203</v>
          </cell>
          <cell r="K8"/>
        </row>
        <row r="9">
          <cell r="E9" t="str">
            <v>SHP2014IAGP_</v>
          </cell>
          <cell r="G9">
            <v>8249551469.8482962</v>
          </cell>
          <cell r="J9">
            <v>0</v>
          </cell>
          <cell r="K9"/>
        </row>
        <row r="10">
          <cell r="E10" t="str">
            <v>ULP2014IKTB_</v>
          </cell>
          <cell r="G10">
            <v>95975122016.910797</v>
          </cell>
          <cell r="J10">
            <v>2070621634</v>
          </cell>
        </row>
        <row r="11">
          <cell r="E11" t="str">
            <v>SHP2014IKTB_</v>
          </cell>
          <cell r="G11">
            <v>87732141.670951456</v>
          </cell>
          <cell r="J11">
            <v>0</v>
          </cell>
        </row>
        <row r="12">
          <cell r="E12" t="str">
            <v>GSP2014IKTB_</v>
          </cell>
          <cell r="J12"/>
        </row>
        <row r="13">
          <cell r="E13" t="str">
            <v>ULP2014IKTH_</v>
          </cell>
          <cell r="G13">
            <v>36326028961.994171</v>
          </cell>
          <cell r="J13">
            <v>1505893474</v>
          </cell>
          <cell r="K13">
            <v>185619230.5490849</v>
          </cell>
        </row>
        <row r="14">
          <cell r="E14" t="str">
            <v>SHP2014IKTH_</v>
          </cell>
          <cell r="G14">
            <v>48009066.681281462</v>
          </cell>
          <cell r="J14">
            <v>0</v>
          </cell>
        </row>
        <row r="15">
          <cell r="E15" t="str">
            <v>GSP2014IKTH_</v>
          </cell>
          <cell r="J15"/>
        </row>
        <row r="16">
          <cell r="E16" t="str">
            <v>ULP2014IKTP_</v>
          </cell>
          <cell r="G16">
            <v>79353723587.095047</v>
          </cell>
          <cell r="J16">
            <v>0</v>
          </cell>
        </row>
        <row r="17">
          <cell r="E17" t="str">
            <v>SHP2014IKTP_</v>
          </cell>
          <cell r="G17">
            <v>8722268.6477670819</v>
          </cell>
          <cell r="J17">
            <v>0</v>
          </cell>
        </row>
        <row r="18">
          <cell r="E18" t="str">
            <v>GSP2014IKTP_</v>
          </cell>
          <cell r="J18"/>
        </row>
        <row r="19">
          <cell r="E19" t="str">
            <v>ULP2014INKB_</v>
          </cell>
          <cell r="G19">
            <v>27698409151.914391</v>
          </cell>
          <cell r="J19">
            <v>4576932627</v>
          </cell>
        </row>
        <row r="20">
          <cell r="E20" t="str">
            <v>SHP2014INKB_</v>
          </cell>
          <cell r="G20">
            <v>3894291480.2316833</v>
          </cell>
          <cell r="J20">
            <v>0</v>
          </cell>
        </row>
        <row r="21">
          <cell r="E21" t="str">
            <v>GSP2014INKB_</v>
          </cell>
          <cell r="J21"/>
        </row>
        <row r="22">
          <cell r="E22" t="str">
            <v>ULP2014INKH_</v>
          </cell>
          <cell r="G22">
            <v>27148981323.99157</v>
          </cell>
          <cell r="J22">
            <v>2451594669</v>
          </cell>
          <cell r="K22">
            <v>864223660.60564566</v>
          </cell>
        </row>
        <row r="23">
          <cell r="E23" t="str">
            <v>SHP2014INKH_</v>
          </cell>
          <cell r="G23">
            <v>2354704167.6433873</v>
          </cell>
          <cell r="J23">
            <v>0</v>
          </cell>
        </row>
        <row r="24">
          <cell r="E24" t="str">
            <v>GSP2014INKH_</v>
          </cell>
          <cell r="J24"/>
        </row>
        <row r="25">
          <cell r="E25" t="str">
            <v>ULP2014INKP_</v>
          </cell>
          <cell r="G25">
            <v>45685244393.094048</v>
          </cell>
          <cell r="J25">
            <v>0</v>
          </cell>
        </row>
        <row r="26">
          <cell r="E26" t="str">
            <v>SHP2014INKP_</v>
          </cell>
          <cell r="G26">
            <v>445280906.78476518</v>
          </cell>
          <cell r="J26">
            <v>0</v>
          </cell>
        </row>
        <row r="27">
          <cell r="E27" t="str">
            <v>GSP2014INKP_</v>
          </cell>
          <cell r="J27"/>
        </row>
        <row r="28">
          <cell r="E28" t="str">
            <v>ULP2014UAGB_</v>
          </cell>
          <cell r="G28">
            <v>4310582320.237422</v>
          </cell>
          <cell r="J28">
            <v>730885764</v>
          </cell>
          <cell r="K28"/>
        </row>
        <row r="29">
          <cell r="E29" t="str">
            <v>ULP2014UAGH_</v>
          </cell>
          <cell r="G29">
            <v>2459274856.0556421</v>
          </cell>
          <cell r="J29">
            <v>0</v>
          </cell>
          <cell r="K29">
            <v>25429400</v>
          </cell>
        </row>
        <row r="30">
          <cell r="E30" t="str">
            <v>ULP2014UAGP_</v>
          </cell>
          <cell r="G30">
            <v>7129943276.5016174</v>
          </cell>
          <cell r="J30">
            <v>0</v>
          </cell>
          <cell r="K30"/>
        </row>
        <row r="31">
          <cell r="E31" t="str">
            <v>ULP2014UKTB_</v>
          </cell>
          <cell r="G31">
            <v>8570843365.7247334</v>
          </cell>
          <cell r="J31">
            <v>0</v>
          </cell>
        </row>
        <row r="32">
          <cell r="E32" t="str">
            <v>ULP2014UKTH_</v>
          </cell>
          <cell r="G32">
            <v>1793653741.6858265</v>
          </cell>
          <cell r="J32">
            <v>0</v>
          </cell>
          <cell r="K32">
            <v>0</v>
          </cell>
        </row>
        <row r="33">
          <cell r="E33" t="str">
            <v>ULP2014UKTP_</v>
          </cell>
          <cell r="G33">
            <v>5161713400.5894403</v>
          </cell>
          <cell r="J33">
            <v>0</v>
          </cell>
        </row>
        <row r="34">
          <cell r="E34" t="str">
            <v>ULP2014UNKB_</v>
          </cell>
          <cell r="G34">
            <v>247996105.40563661</v>
          </cell>
          <cell r="J34">
            <v>60897000</v>
          </cell>
        </row>
        <row r="35">
          <cell r="E35" t="str">
            <v>ULP2014UNKH_</v>
          </cell>
          <cell r="G35">
            <v>110145847.7295523</v>
          </cell>
          <cell r="J35">
            <v>0</v>
          </cell>
          <cell r="K35">
            <v>0</v>
          </cell>
        </row>
        <row r="36">
          <cell r="E36" t="str">
            <v>ULP2014UNKP_</v>
          </cell>
          <cell r="G36">
            <v>502213568.8614102</v>
          </cell>
          <cell r="J36">
            <v>0</v>
          </cell>
        </row>
        <row r="37">
          <cell r="E37" t="str">
            <v>ULP2015IAGB_</v>
          </cell>
          <cell r="G37">
            <v>3009489868.865943</v>
          </cell>
          <cell r="J37">
            <v>12768572967.98884</v>
          </cell>
          <cell r="K37"/>
        </row>
        <row r="38">
          <cell r="E38" t="str">
            <v>SHP2015IAGB_</v>
          </cell>
          <cell r="G38">
            <v>2714500405.7302279</v>
          </cell>
          <cell r="J38">
            <v>0</v>
          </cell>
          <cell r="K38"/>
        </row>
        <row r="39">
          <cell r="E39" t="str">
            <v>GSP2015IAGB_</v>
          </cell>
          <cell r="G39">
            <v>170215139.07611012</v>
          </cell>
          <cell r="J39">
            <v>426737.91676390631</v>
          </cell>
        </row>
        <row r="40">
          <cell r="E40" t="str">
            <v>ULP2015IAGH_</v>
          </cell>
          <cell r="G40">
            <v>18079583195.128387</v>
          </cell>
          <cell r="J40">
            <v>9732892111</v>
          </cell>
          <cell r="K40">
            <v>4774948855.2655182</v>
          </cell>
        </row>
        <row r="41">
          <cell r="E41" t="str">
            <v>SHP2015IAGH_</v>
          </cell>
          <cell r="G41">
            <v>3571685331.4619584</v>
          </cell>
          <cell r="J41">
            <v>0</v>
          </cell>
          <cell r="K41"/>
        </row>
        <row r="42">
          <cell r="E42" t="str">
            <v>ULP2015IAGP_</v>
          </cell>
          <cell r="G42">
            <v>19798582465.765366</v>
          </cell>
          <cell r="J42">
            <v>521261193</v>
          </cell>
          <cell r="K42"/>
        </row>
        <row r="43">
          <cell r="E43" t="str">
            <v>SHP2015IAGP_</v>
          </cell>
          <cell r="G43">
            <v>1399425302.0062625</v>
          </cell>
          <cell r="J43">
            <v>0</v>
          </cell>
          <cell r="K43"/>
        </row>
        <row r="44">
          <cell r="E44" t="str">
            <v>ULP2015IKTB_</v>
          </cell>
          <cell r="G44">
            <v>21465280793.920223</v>
          </cell>
          <cell r="J44">
            <v>4364644185</v>
          </cell>
        </row>
        <row r="45">
          <cell r="E45" t="str">
            <v>SHP2015IKTB_</v>
          </cell>
          <cell r="G45">
            <v>0</v>
          </cell>
          <cell r="J45">
            <v>0</v>
          </cell>
        </row>
        <row r="46">
          <cell r="E46" t="str">
            <v>GSP2015IKTB_</v>
          </cell>
          <cell r="J46"/>
        </row>
        <row r="47">
          <cell r="E47" t="str">
            <v>ULP2015IKTH_</v>
          </cell>
          <cell r="G47">
            <v>4013621515.6651096</v>
          </cell>
          <cell r="J47">
            <v>0</v>
          </cell>
          <cell r="K47">
            <v>0</v>
          </cell>
        </row>
        <row r="48">
          <cell r="E48" t="str">
            <v>SHP2015IKTH_</v>
          </cell>
          <cell r="G48">
            <v>0</v>
          </cell>
          <cell r="J48">
            <v>0</v>
          </cell>
        </row>
        <row r="49">
          <cell r="E49" t="str">
            <v>GSP2015IKTH_</v>
          </cell>
          <cell r="J49"/>
        </row>
        <row r="50">
          <cell r="E50" t="str">
            <v>ULP2015IKTP_</v>
          </cell>
          <cell r="G50">
            <v>26054045323.414658</v>
          </cell>
          <cell r="J50">
            <v>0</v>
          </cell>
        </row>
        <row r="51">
          <cell r="E51" t="str">
            <v>SHP2015IKTP_</v>
          </cell>
          <cell r="G51">
            <v>0</v>
          </cell>
          <cell r="J51">
            <v>0</v>
          </cell>
        </row>
        <row r="52">
          <cell r="E52" t="str">
            <v>GSP2015IKTP_</v>
          </cell>
          <cell r="J52"/>
        </row>
        <row r="53">
          <cell r="E53" t="str">
            <v>ULP2015INKB_</v>
          </cell>
          <cell r="G53">
            <v>5431530139.1655111</v>
          </cell>
          <cell r="J53">
            <v>1005785910</v>
          </cell>
        </row>
        <row r="54">
          <cell r="E54" t="str">
            <v>SHP2015INKB_</v>
          </cell>
          <cell r="G54">
            <v>544895047.17483735</v>
          </cell>
          <cell r="J54">
            <v>0</v>
          </cell>
        </row>
        <row r="55">
          <cell r="E55" t="str">
            <v>GSP2015INKB_</v>
          </cell>
          <cell r="J55"/>
        </row>
        <row r="56">
          <cell r="E56" t="str">
            <v>ULP2015INKH_</v>
          </cell>
          <cell r="G56">
            <v>4764434778.4189806</v>
          </cell>
          <cell r="J56">
            <v>100381715</v>
          </cell>
          <cell r="K56">
            <v>43502039.691007033</v>
          </cell>
        </row>
        <row r="57">
          <cell r="E57" t="str">
            <v>SHP2015INKH_</v>
          </cell>
          <cell r="G57">
            <v>33669884.45704481</v>
          </cell>
          <cell r="J57">
            <v>0</v>
          </cell>
        </row>
        <row r="58">
          <cell r="E58" t="str">
            <v>GSP2015INKH_</v>
          </cell>
          <cell r="J58"/>
        </row>
        <row r="59">
          <cell r="E59" t="str">
            <v>ULP2015INKP_</v>
          </cell>
          <cell r="G59">
            <v>8803392549.4155083</v>
          </cell>
          <cell r="J59">
            <v>100000000</v>
          </cell>
        </row>
        <row r="60">
          <cell r="E60" t="str">
            <v>SHP2015INKP_</v>
          </cell>
          <cell r="G60">
            <v>6132280.2140668854</v>
          </cell>
          <cell r="J60">
            <v>0</v>
          </cell>
        </row>
        <row r="61">
          <cell r="E61" t="str">
            <v>GSP2015INKP_</v>
          </cell>
          <cell r="J61"/>
        </row>
        <row r="62">
          <cell r="E62" t="str">
            <v>ULP2015UAGB_</v>
          </cell>
          <cell r="G62">
            <v>69743622.732671589</v>
          </cell>
          <cell r="J62">
            <v>0</v>
          </cell>
          <cell r="K62"/>
        </row>
        <row r="63">
          <cell r="E63" t="str">
            <v>ULP2015UAGH_</v>
          </cell>
          <cell r="G63">
            <v>50826792.48362878</v>
          </cell>
          <cell r="J63">
            <v>0</v>
          </cell>
          <cell r="K63">
            <v>0</v>
          </cell>
        </row>
        <row r="64">
          <cell r="E64" t="str">
            <v>ULP2015UAGP_</v>
          </cell>
          <cell r="G64">
            <v>144614386.36371115</v>
          </cell>
          <cell r="J64">
            <v>0</v>
          </cell>
          <cell r="K64"/>
        </row>
        <row r="65">
          <cell r="E65" t="str">
            <v>ULP2015UKTB_</v>
          </cell>
          <cell r="G65">
            <v>1188965151.784287</v>
          </cell>
          <cell r="J65">
            <v>536622289</v>
          </cell>
        </row>
        <row r="66">
          <cell r="E66" t="str">
            <v>ULP2015UKTH_</v>
          </cell>
          <cell r="G66">
            <v>165171009.15057689</v>
          </cell>
          <cell r="J66">
            <v>0</v>
          </cell>
          <cell r="K66">
            <v>0</v>
          </cell>
        </row>
        <row r="67">
          <cell r="E67" t="str">
            <v>ULP2015UKTP_</v>
          </cell>
          <cell r="G67">
            <v>1051485386.0651363</v>
          </cell>
          <cell r="J67">
            <v>0</v>
          </cell>
        </row>
        <row r="68">
          <cell r="E68" t="str">
            <v>ULP2015UNKB_</v>
          </cell>
          <cell r="G68">
            <v>0</v>
          </cell>
          <cell r="J68">
            <v>0</v>
          </cell>
        </row>
        <row r="69">
          <cell r="E69" t="str">
            <v>ULP2015UNKH_</v>
          </cell>
          <cell r="G69">
            <v>0</v>
          </cell>
          <cell r="J69">
            <v>0</v>
          </cell>
          <cell r="K69">
            <v>0</v>
          </cell>
        </row>
        <row r="70">
          <cell r="E70" t="str">
            <v>ULP2015UNKP_</v>
          </cell>
          <cell r="G70">
            <v>0</v>
          </cell>
          <cell r="J70">
            <v>0</v>
          </cell>
        </row>
        <row r="71">
          <cell r="E71" t="str">
            <v>ULP2016IAGB_</v>
          </cell>
          <cell r="G71">
            <v>3425816233.4895244</v>
          </cell>
          <cell r="J71">
            <v>20037391785.617199</v>
          </cell>
          <cell r="K71"/>
        </row>
        <row r="72">
          <cell r="E72" t="str">
            <v>SHP2016IAGB_</v>
          </cell>
          <cell r="G72">
            <v>2798239528.1620789</v>
          </cell>
          <cell r="J72">
            <v>0</v>
          </cell>
          <cell r="K72"/>
        </row>
        <row r="73">
          <cell r="E73" t="str">
            <v>GSP2016IAGB_</v>
          </cell>
          <cell r="G73">
            <v>203791387.10577095</v>
          </cell>
          <cell r="J73">
            <v>7284519.6027613115</v>
          </cell>
        </row>
        <row r="74">
          <cell r="E74" t="str">
            <v>ULP2016IAGH_</v>
          </cell>
          <cell r="G74">
            <v>23599745583.938869</v>
          </cell>
          <cell r="J74">
            <v>18352754729</v>
          </cell>
          <cell r="K74">
            <v>5940640077.8970804</v>
          </cell>
        </row>
        <row r="75">
          <cell r="E75" t="str">
            <v>SHP2016IAGH_</v>
          </cell>
          <cell r="G75">
            <v>4506169568.8398809</v>
          </cell>
          <cell r="J75">
            <v>0</v>
          </cell>
          <cell r="K75"/>
        </row>
        <row r="76">
          <cell r="E76" t="str">
            <v>ULP2016IAGP_</v>
          </cell>
          <cell r="G76">
            <v>22733809621.440163</v>
          </cell>
          <cell r="J76">
            <v>1194508793</v>
          </cell>
          <cell r="K76"/>
        </row>
        <row r="77">
          <cell r="E77" t="str">
            <v>SHP2016IAGP_</v>
          </cell>
          <cell r="G77">
            <v>1392377946.1405537</v>
          </cell>
          <cell r="J77">
            <v>0</v>
          </cell>
          <cell r="K77"/>
        </row>
        <row r="78">
          <cell r="E78" t="str">
            <v>ULP2016IKTB_</v>
          </cell>
          <cell r="G78">
            <v>21134209562.827759</v>
          </cell>
          <cell r="J78">
            <v>502392683</v>
          </cell>
        </row>
        <row r="79">
          <cell r="E79" t="str">
            <v>SHP2016IKTB_</v>
          </cell>
          <cell r="G79">
            <v>0</v>
          </cell>
          <cell r="J79">
            <v>0</v>
          </cell>
        </row>
        <row r="80">
          <cell r="E80" t="str">
            <v>GSP2016IKTB_</v>
          </cell>
          <cell r="J80"/>
        </row>
        <row r="81">
          <cell r="E81" t="str">
            <v>ULP2016IKTH_</v>
          </cell>
          <cell r="G81">
            <v>8970648341.9375954</v>
          </cell>
          <cell r="J81">
            <v>0</v>
          </cell>
          <cell r="K81">
            <v>86377265.701059312</v>
          </cell>
        </row>
        <row r="82">
          <cell r="E82" t="str">
            <v>SHP2016IKTH_</v>
          </cell>
          <cell r="G82">
            <v>0</v>
          </cell>
          <cell r="J82">
            <v>0</v>
          </cell>
        </row>
        <row r="83">
          <cell r="E83" t="str">
            <v>GSP2016IKTH_</v>
          </cell>
          <cell r="J83"/>
        </row>
        <row r="84">
          <cell r="E84" t="str">
            <v>ULP2016IKTP_</v>
          </cell>
          <cell r="G84">
            <v>8173239689.234642</v>
          </cell>
          <cell r="J84">
            <v>0</v>
          </cell>
        </row>
        <row r="85">
          <cell r="E85" t="str">
            <v>SHP2016IKTP_</v>
          </cell>
          <cell r="G85">
            <v>0</v>
          </cell>
          <cell r="J85">
            <v>0</v>
          </cell>
        </row>
        <row r="86">
          <cell r="E86" t="str">
            <v>GSP2016IKTP_</v>
          </cell>
          <cell r="J86"/>
        </row>
        <row r="87">
          <cell r="E87" t="str">
            <v>ULP2016INKB_</v>
          </cell>
          <cell r="G87">
            <v>15551208781.138369</v>
          </cell>
          <cell r="J87">
            <v>1173944495</v>
          </cell>
        </row>
        <row r="88">
          <cell r="E88" t="str">
            <v>SHP2016INKB_</v>
          </cell>
          <cell r="G88">
            <v>174011789.49707109</v>
          </cell>
          <cell r="J88">
            <v>0</v>
          </cell>
        </row>
        <row r="89">
          <cell r="E89" t="str">
            <v>GSP2016INKB_</v>
          </cell>
          <cell r="J89"/>
        </row>
        <row r="90">
          <cell r="E90" t="str">
            <v>ULP2016INKH_</v>
          </cell>
          <cell r="G90">
            <v>7676180198.7770214</v>
          </cell>
          <cell r="J90">
            <v>0</v>
          </cell>
          <cell r="K90">
            <v>51848361.259630486</v>
          </cell>
        </row>
        <row r="91">
          <cell r="E91" t="str">
            <v>SHP2016INKH_</v>
          </cell>
          <cell r="G91">
            <v>29937760.728995696</v>
          </cell>
          <cell r="J91">
            <v>0</v>
          </cell>
        </row>
        <row r="92">
          <cell r="E92" t="str">
            <v>GSP2016INKH_</v>
          </cell>
          <cell r="J92"/>
        </row>
        <row r="93">
          <cell r="E93" t="str">
            <v>ULP2016INKP_</v>
          </cell>
          <cell r="G93">
            <v>14918761570.084608</v>
          </cell>
          <cell r="J93">
            <v>0</v>
          </cell>
        </row>
        <row r="94">
          <cell r="E94" t="str">
            <v>SHP2016INKP_</v>
          </cell>
          <cell r="G94">
            <v>5937412.7145719165</v>
          </cell>
          <cell r="J94">
            <v>0</v>
          </cell>
        </row>
        <row r="95">
          <cell r="E95" t="str">
            <v>GSP2016INKP_</v>
          </cell>
          <cell r="J95"/>
        </row>
        <row r="96">
          <cell r="E96" t="str">
            <v>ULP2016UAGB_</v>
          </cell>
          <cell r="G96">
            <v>0</v>
          </cell>
          <cell r="J96">
            <v>0</v>
          </cell>
          <cell r="K96"/>
        </row>
        <row r="97">
          <cell r="E97" t="str">
            <v>ULP2016UAGH_</v>
          </cell>
          <cell r="G97">
            <v>0</v>
          </cell>
          <cell r="J97">
            <v>0</v>
          </cell>
          <cell r="K97">
            <v>0</v>
          </cell>
        </row>
        <row r="98">
          <cell r="E98" t="str">
            <v>ULP2016UAGP_</v>
          </cell>
          <cell r="G98">
            <v>0</v>
          </cell>
          <cell r="J98">
            <v>0</v>
          </cell>
          <cell r="K98"/>
        </row>
        <row r="99">
          <cell r="E99" t="str">
            <v>ULP2016UKTB_</v>
          </cell>
          <cell r="G99">
            <v>16656793021.306389</v>
          </cell>
          <cell r="J99">
            <v>0</v>
          </cell>
        </row>
        <row r="100">
          <cell r="E100" t="str">
            <v>ULP2016UKTH_</v>
          </cell>
          <cell r="G100">
            <v>1318797928.1882639</v>
          </cell>
          <cell r="J100">
            <v>1059102957</v>
          </cell>
          <cell r="K100">
            <v>0</v>
          </cell>
        </row>
        <row r="101">
          <cell r="E101" t="str">
            <v>ULP2016UKTP_</v>
          </cell>
          <cell r="G101">
            <v>2028083589.5053477</v>
          </cell>
          <cell r="J101">
            <v>0</v>
          </cell>
        </row>
        <row r="102">
          <cell r="E102" t="str">
            <v>ULP2016UNKB_</v>
          </cell>
          <cell r="G102">
            <v>3722520116.302743</v>
          </cell>
          <cell r="J102">
            <v>0</v>
          </cell>
        </row>
        <row r="103">
          <cell r="E103" t="str">
            <v>ULP2016UNKH_</v>
          </cell>
          <cell r="G103">
            <v>0</v>
          </cell>
          <cell r="J103">
            <v>0</v>
          </cell>
          <cell r="K103">
            <v>0</v>
          </cell>
        </row>
        <row r="104">
          <cell r="E104" t="str">
            <v>ULP2016UNKP_</v>
          </cell>
          <cell r="G104">
            <v>871031021.67910016</v>
          </cell>
          <cell r="J104">
            <v>0</v>
          </cell>
        </row>
        <row r="105">
          <cell r="E105" t="str">
            <v>ULP2017IAGB_</v>
          </cell>
          <cell r="G105">
            <v>2423326923.0376043</v>
          </cell>
          <cell r="J105">
            <v>21984782036.6936</v>
          </cell>
          <cell r="K105"/>
        </row>
        <row r="106">
          <cell r="E106" t="str">
            <v>SHP2017IAGB_</v>
          </cell>
          <cell r="G106">
            <v>2052256609.8656151</v>
          </cell>
          <cell r="J106">
            <v>0</v>
          </cell>
          <cell r="K106"/>
        </row>
        <row r="107">
          <cell r="E107" t="str">
            <v>GSP2017IAGB_</v>
          </cell>
          <cell r="G107">
            <v>3837361.2292765803</v>
          </cell>
          <cell r="J107">
            <v>137908.89987909209</v>
          </cell>
        </row>
        <row r="108">
          <cell r="E108" t="str">
            <v>ULP2017IAGH_</v>
          </cell>
          <cell r="G108">
            <v>23264647761.111778</v>
          </cell>
          <cell r="J108">
            <v>19229035276</v>
          </cell>
          <cell r="K108">
            <v>16298992207.379801</v>
          </cell>
        </row>
        <row r="109">
          <cell r="E109" t="str">
            <v>SHP2017IAGH_</v>
          </cell>
          <cell r="G109">
            <v>4154136081.4374237</v>
          </cell>
          <cell r="J109">
            <v>0</v>
          </cell>
          <cell r="K109"/>
        </row>
        <row r="110">
          <cell r="E110" t="str">
            <v>ULP2017IAGP_</v>
          </cell>
          <cell r="G110">
            <v>17825457057.731346</v>
          </cell>
          <cell r="J110">
            <v>4872934699</v>
          </cell>
          <cell r="K110"/>
        </row>
        <row r="111">
          <cell r="E111" t="str">
            <v>SHP2017IAGP_</v>
          </cell>
          <cell r="G111">
            <v>1267714475.330965</v>
          </cell>
          <cell r="J111">
            <v>0</v>
          </cell>
          <cell r="K111"/>
        </row>
        <row r="112">
          <cell r="E112" t="str">
            <v>ULP2017IKTB_</v>
          </cell>
          <cell r="G112">
            <v>104126752568.57755</v>
          </cell>
          <cell r="J112">
            <v>18040300</v>
          </cell>
        </row>
        <row r="113">
          <cell r="E113" t="str">
            <v>SHP2017IKTB_</v>
          </cell>
          <cell r="G113">
            <v>0</v>
          </cell>
          <cell r="J113">
            <v>0</v>
          </cell>
        </row>
        <row r="114">
          <cell r="E114" t="str">
            <v>GSP2017IKTB_</v>
          </cell>
          <cell r="J114"/>
        </row>
        <row r="115">
          <cell r="E115" t="str">
            <v>ULP2017IKTH_</v>
          </cell>
          <cell r="G115">
            <v>26893473110.033878</v>
          </cell>
          <cell r="J115">
            <v>0</v>
          </cell>
          <cell r="K115">
            <v>0</v>
          </cell>
        </row>
        <row r="116">
          <cell r="E116" t="str">
            <v>SHP2017IKTH_</v>
          </cell>
          <cell r="G116">
            <v>0</v>
          </cell>
          <cell r="J116">
            <v>0</v>
          </cell>
        </row>
        <row r="117">
          <cell r="E117" t="str">
            <v>GSP2017IKTH_</v>
          </cell>
          <cell r="J117"/>
        </row>
        <row r="118">
          <cell r="E118" t="str">
            <v>ULP2017IKTP_</v>
          </cell>
          <cell r="G118">
            <v>54815474111.388557</v>
          </cell>
          <cell r="J118">
            <v>0</v>
          </cell>
        </row>
        <row r="119">
          <cell r="E119" t="str">
            <v>SHP2017IKTP_</v>
          </cell>
          <cell r="G119">
            <v>0</v>
          </cell>
          <cell r="J119">
            <v>0</v>
          </cell>
        </row>
        <row r="120">
          <cell r="E120" t="str">
            <v>GSP2017IKTP_</v>
          </cell>
          <cell r="J120"/>
        </row>
        <row r="121">
          <cell r="E121" t="str">
            <v>ULP2017INKB_</v>
          </cell>
          <cell r="G121">
            <v>21704335444.078484</v>
          </cell>
          <cell r="J121">
            <v>2048208342</v>
          </cell>
        </row>
        <row r="122">
          <cell r="E122" t="str">
            <v>SHP2017INKB_</v>
          </cell>
          <cell r="G122">
            <v>1917632952.6199877</v>
          </cell>
          <cell r="J122">
            <v>0</v>
          </cell>
        </row>
        <row r="123">
          <cell r="E123" t="str">
            <v>GSP2017INKB_</v>
          </cell>
          <cell r="J123"/>
        </row>
        <row r="124">
          <cell r="E124" t="str">
            <v>ULP2017INKH_</v>
          </cell>
          <cell r="G124">
            <v>14745420958.9062</v>
          </cell>
          <cell r="J124">
            <v>0</v>
          </cell>
          <cell r="K124">
            <v>130768210.4652541</v>
          </cell>
        </row>
        <row r="125">
          <cell r="E125" t="str">
            <v>SHP2017INKH_</v>
          </cell>
          <cell r="G125">
            <v>438892580.14354312</v>
          </cell>
          <cell r="J125">
            <v>0</v>
          </cell>
        </row>
        <row r="126">
          <cell r="E126" t="str">
            <v>GSP2017INKH_</v>
          </cell>
          <cell r="J126"/>
        </row>
        <row r="127">
          <cell r="E127" t="str">
            <v>ULP2017INKP_</v>
          </cell>
          <cell r="G127">
            <v>25908874989.015308</v>
          </cell>
          <cell r="J127">
            <v>0</v>
          </cell>
        </row>
        <row r="128">
          <cell r="E128" t="str">
            <v>SHP2017INKP_</v>
          </cell>
          <cell r="G128">
            <v>51651188.623550378</v>
          </cell>
          <cell r="J128">
            <v>0</v>
          </cell>
        </row>
        <row r="129">
          <cell r="E129" t="str">
            <v>GSP2017INKP_</v>
          </cell>
          <cell r="J129"/>
        </row>
        <row r="130">
          <cell r="E130" t="str">
            <v>ULP2017UAGB_</v>
          </cell>
          <cell r="G130">
            <v>0</v>
          </cell>
          <cell r="J130">
            <v>0</v>
          </cell>
          <cell r="K130"/>
        </row>
        <row r="131">
          <cell r="E131" t="str">
            <v>ULP2017UAGH_</v>
          </cell>
          <cell r="G131">
            <v>0</v>
          </cell>
          <cell r="J131">
            <v>0</v>
          </cell>
          <cell r="K131">
            <v>0</v>
          </cell>
        </row>
        <row r="132">
          <cell r="E132" t="str">
            <v>ULP2017UAGP_</v>
          </cell>
          <cell r="G132">
            <v>0</v>
          </cell>
          <cell r="J132">
            <v>0</v>
          </cell>
          <cell r="K132"/>
        </row>
        <row r="133">
          <cell r="E133" t="str">
            <v>ULP2017UKTB_</v>
          </cell>
          <cell r="G133">
            <v>31227962858.53952</v>
          </cell>
          <cell r="J133">
            <v>0</v>
          </cell>
        </row>
        <row r="134">
          <cell r="E134" t="str">
            <v>ULP2017UKTH_</v>
          </cell>
          <cell r="G134">
            <v>1558944863.6957817</v>
          </cell>
          <cell r="J134">
            <v>0</v>
          </cell>
          <cell r="K134">
            <v>21085650</v>
          </cell>
        </row>
        <row r="135">
          <cell r="E135" t="str">
            <v>ULP2017UKTP_</v>
          </cell>
          <cell r="G135">
            <v>9584306635.764698</v>
          </cell>
          <cell r="J135">
            <v>0</v>
          </cell>
        </row>
        <row r="136">
          <cell r="E136" t="str">
            <v>ULP2017UNKB_</v>
          </cell>
          <cell r="G136">
            <v>5806552054.5517845</v>
          </cell>
          <cell r="J136">
            <v>0</v>
          </cell>
        </row>
        <row r="137">
          <cell r="E137" t="str">
            <v>ULP2017UNKH_</v>
          </cell>
          <cell r="G137">
            <v>447683698.28675324</v>
          </cell>
          <cell r="J137">
            <v>0</v>
          </cell>
          <cell r="K137">
            <v>0</v>
          </cell>
        </row>
        <row r="138">
          <cell r="E138" t="str">
            <v>ULP2017UNKP_</v>
          </cell>
          <cell r="G138">
            <v>857274067.13335156</v>
          </cell>
          <cell r="J138">
            <v>0</v>
          </cell>
        </row>
        <row r="139">
          <cell r="E139" t="str">
            <v>ULP2018IAGB_</v>
          </cell>
          <cell r="G139">
            <v>1664703353.1960499</v>
          </cell>
          <cell r="J139">
            <v>19653983786.097198</v>
          </cell>
          <cell r="K139"/>
        </row>
        <row r="140">
          <cell r="E140" t="str">
            <v>SHP2018IAGB_</v>
          </cell>
          <cell r="G140">
            <v>2032841547.5096769</v>
          </cell>
          <cell r="J140">
            <v>0</v>
          </cell>
          <cell r="K140"/>
        </row>
        <row r="141">
          <cell r="E141" t="str">
            <v>GSP2018IAGB_</v>
          </cell>
          <cell r="G141">
            <v>1041948439.4464186</v>
          </cell>
          <cell r="J141">
            <v>327249.95015169994</v>
          </cell>
        </row>
        <row r="142">
          <cell r="E142" t="str">
            <v>ULP2018IAGH_</v>
          </cell>
          <cell r="G142">
            <v>19003916217.313751</v>
          </cell>
          <cell r="J142">
            <v>20284651621</v>
          </cell>
          <cell r="K142">
            <v>27053129737.284668</v>
          </cell>
        </row>
        <row r="143">
          <cell r="E143" t="str">
            <v>SHP2018IAGH_</v>
          </cell>
          <cell r="G143">
            <v>4425804913.3507204</v>
          </cell>
          <cell r="J143">
            <v>0</v>
          </cell>
          <cell r="K143"/>
        </row>
        <row r="144">
          <cell r="E144" t="str">
            <v>ULP2018IAGP_</v>
          </cell>
          <cell r="G144">
            <v>13565617313.646269</v>
          </cell>
          <cell r="J144">
            <v>3493526954</v>
          </cell>
          <cell r="K144"/>
        </row>
        <row r="145">
          <cell r="E145" t="str">
            <v>SHP2018IAGP_</v>
          </cell>
          <cell r="G145">
            <v>1331601926.2537818</v>
          </cell>
          <cell r="J145">
            <v>0</v>
          </cell>
          <cell r="K145"/>
        </row>
        <row r="146">
          <cell r="E146" t="str">
            <v>ULP2018IKTB_</v>
          </cell>
          <cell r="G146">
            <v>120120398339.80106</v>
          </cell>
          <cell r="J146">
            <v>502796968</v>
          </cell>
        </row>
        <row r="147">
          <cell r="E147" t="str">
            <v>SHP2018IKTB_</v>
          </cell>
          <cell r="G147">
            <v>0</v>
          </cell>
          <cell r="J147">
            <v>0</v>
          </cell>
        </row>
        <row r="148">
          <cell r="E148" t="str">
            <v>GSP2018IKTB_</v>
          </cell>
          <cell r="J148"/>
        </row>
        <row r="149">
          <cell r="E149" t="str">
            <v>ULP2018IKTH_</v>
          </cell>
          <cell r="G149">
            <v>37318831589.236671</v>
          </cell>
          <cell r="J149">
            <v>803433029</v>
          </cell>
          <cell r="K149">
            <v>40431911.60475117</v>
          </cell>
        </row>
        <row r="150">
          <cell r="E150" t="str">
            <v>SHP2018IKTH_</v>
          </cell>
          <cell r="G150">
            <v>0</v>
          </cell>
          <cell r="J150">
            <v>0</v>
          </cell>
        </row>
        <row r="151">
          <cell r="E151" t="str">
            <v>GSP2018IKTH_</v>
          </cell>
          <cell r="J151"/>
        </row>
        <row r="152">
          <cell r="E152" t="str">
            <v>ULP2018IKTP_</v>
          </cell>
          <cell r="G152">
            <v>40766579033.962326</v>
          </cell>
          <cell r="J152">
            <v>0</v>
          </cell>
        </row>
        <row r="153">
          <cell r="E153" t="str">
            <v>SHP2018IKTP_</v>
          </cell>
          <cell r="G153">
            <v>0</v>
          </cell>
          <cell r="J153">
            <v>0</v>
          </cell>
        </row>
        <row r="154">
          <cell r="E154" t="str">
            <v>GSP2018IKTP_</v>
          </cell>
          <cell r="J154"/>
        </row>
        <row r="155">
          <cell r="E155" t="str">
            <v>ULP2018INKB_</v>
          </cell>
          <cell r="G155">
            <v>32804204131.595798</v>
          </cell>
          <cell r="J155">
            <v>3973012112</v>
          </cell>
        </row>
        <row r="156">
          <cell r="E156" t="str">
            <v>SHP2018INKB_</v>
          </cell>
          <cell r="G156">
            <v>365829945.16913253</v>
          </cell>
          <cell r="J156">
            <v>0</v>
          </cell>
        </row>
        <row r="157">
          <cell r="E157" t="str">
            <v>GSP2018INKB_</v>
          </cell>
          <cell r="J157"/>
        </row>
        <row r="158">
          <cell r="E158" t="str">
            <v>ULP2018INKH_</v>
          </cell>
          <cell r="G158">
            <v>19179699086.235859</v>
          </cell>
          <cell r="J158">
            <v>500000000</v>
          </cell>
          <cell r="K158">
            <v>538803928.7612102</v>
          </cell>
        </row>
        <row r="159">
          <cell r="E159" t="str">
            <v>SHP2018INKH_</v>
          </cell>
          <cell r="G159">
            <v>129020833.37791175</v>
          </cell>
          <cell r="J159">
            <v>0</v>
          </cell>
        </row>
        <row r="160">
          <cell r="E160" t="str">
            <v>GSP2018INKH_</v>
          </cell>
          <cell r="J160"/>
        </row>
        <row r="161">
          <cell r="E161" t="str">
            <v>ULP2018INKP_</v>
          </cell>
          <cell r="G161">
            <v>37106704887.168343</v>
          </cell>
          <cell r="J161">
            <v>0</v>
          </cell>
        </row>
        <row r="162">
          <cell r="E162" t="str">
            <v>SHP2018INKP_</v>
          </cell>
          <cell r="G162">
            <v>7429914.4247559095</v>
          </cell>
          <cell r="J162">
            <v>0</v>
          </cell>
        </row>
        <row r="163">
          <cell r="E163" t="str">
            <v>GSP2018INKP_</v>
          </cell>
          <cell r="J163"/>
        </row>
        <row r="164">
          <cell r="E164" t="str">
            <v>ULP2018UAGB_</v>
          </cell>
          <cell r="G164">
            <v>491091088.25028652</v>
          </cell>
          <cell r="J164">
            <v>35643800</v>
          </cell>
          <cell r="K164"/>
        </row>
        <row r="165">
          <cell r="E165" t="str">
            <v>ULP2018UAGH_</v>
          </cell>
          <cell r="G165">
            <v>725036171.81126773</v>
          </cell>
          <cell r="J165">
            <v>301880000</v>
          </cell>
          <cell r="K165">
            <v>0</v>
          </cell>
        </row>
        <row r="166">
          <cell r="E166" t="str">
            <v>ULP2018UAGP_</v>
          </cell>
          <cell r="G166">
            <v>1662013658.510653</v>
          </cell>
          <cell r="J166">
            <v>1811280</v>
          </cell>
          <cell r="K166"/>
        </row>
        <row r="167">
          <cell r="E167" t="str">
            <v>ULP2018UKTB_</v>
          </cell>
          <cell r="G167">
            <v>75705472366.703094</v>
          </cell>
          <cell r="J167">
            <v>0</v>
          </cell>
        </row>
        <row r="168">
          <cell r="E168" t="str">
            <v>ULP2018UKTH_</v>
          </cell>
          <cell r="G168">
            <v>2763870524.9968519</v>
          </cell>
          <cell r="J168">
            <v>0</v>
          </cell>
          <cell r="K168">
            <v>1493000</v>
          </cell>
        </row>
        <row r="169">
          <cell r="E169" t="str">
            <v>ULP2018UKTP_</v>
          </cell>
          <cell r="G169">
            <v>9619061782.3000603</v>
          </cell>
          <cell r="J169">
            <v>0</v>
          </cell>
        </row>
        <row r="170">
          <cell r="E170" t="str">
            <v>ULP2018UNKB_</v>
          </cell>
          <cell r="G170">
            <v>4874950593.4246349</v>
          </cell>
          <cell r="J170">
            <v>0</v>
          </cell>
        </row>
        <row r="171">
          <cell r="E171" t="str">
            <v>ULP2018UNKH_</v>
          </cell>
          <cell r="G171">
            <v>10320794.907260515</v>
          </cell>
          <cell r="J171">
            <v>0</v>
          </cell>
          <cell r="K171">
            <v>0</v>
          </cell>
        </row>
        <row r="172">
          <cell r="E172" t="str">
            <v>ULP2018UNKP_</v>
          </cell>
          <cell r="G172">
            <v>1328468233.659369</v>
          </cell>
          <cell r="J172">
            <v>0</v>
          </cell>
        </row>
        <row r="173">
          <cell r="E173" t="str">
            <v>ULP2019IAGB_</v>
          </cell>
          <cell r="G173">
            <v>1494539726.0612688</v>
          </cell>
          <cell r="J173">
            <v>22030720617.408562</v>
          </cell>
          <cell r="K173"/>
        </row>
        <row r="174">
          <cell r="E174" t="str">
            <v>SHP2019IAGB_</v>
          </cell>
          <cell r="G174">
            <v>939899082.58522546</v>
          </cell>
          <cell r="J174">
            <v>0</v>
          </cell>
          <cell r="K174"/>
        </row>
        <row r="175">
          <cell r="E175" t="str">
            <v>GSP2019IAGB_</v>
          </cell>
          <cell r="G175">
            <v>2341376468.3423648</v>
          </cell>
          <cell r="J175">
            <v>397353.6406994086</v>
          </cell>
        </row>
        <row r="176">
          <cell r="E176" t="str">
            <v>ULP2019IAGH_</v>
          </cell>
          <cell r="G176">
            <v>16160401248.459488</v>
          </cell>
          <cell r="J176">
            <v>18623447722</v>
          </cell>
          <cell r="K176">
            <v>108544677383.7641</v>
          </cell>
        </row>
        <row r="177">
          <cell r="E177" t="str">
            <v>SHP2019IAGH_</v>
          </cell>
          <cell r="G177">
            <v>3855762879.7940121</v>
          </cell>
          <cell r="J177">
            <v>0</v>
          </cell>
          <cell r="K177"/>
        </row>
        <row r="178">
          <cell r="E178" t="str">
            <v>ULP2019IAGP_</v>
          </cell>
          <cell r="G178">
            <v>7044086436.9396057</v>
          </cell>
          <cell r="J178">
            <v>4163877205</v>
          </cell>
          <cell r="K178"/>
        </row>
        <row r="179">
          <cell r="E179" t="str">
            <v>SHP2019IAGP_</v>
          </cell>
          <cell r="G179">
            <v>744516741.16074789</v>
          </cell>
          <cell r="J179">
            <v>0</v>
          </cell>
          <cell r="K179"/>
        </row>
        <row r="180">
          <cell r="E180" t="str">
            <v>ULP2019IKTB_</v>
          </cell>
          <cell r="G180">
            <v>39776202452.574478</v>
          </cell>
          <cell r="J180">
            <v>1426152268</v>
          </cell>
        </row>
        <row r="181">
          <cell r="E181" t="str">
            <v>SHP2019IKTB_</v>
          </cell>
          <cell r="G181">
            <v>0</v>
          </cell>
          <cell r="J181">
            <v>0</v>
          </cell>
        </row>
        <row r="182">
          <cell r="E182" t="str">
            <v>GSP2019IKTB_</v>
          </cell>
          <cell r="J182"/>
        </row>
        <row r="183">
          <cell r="E183" t="str">
            <v>ULP2019IKTH_</v>
          </cell>
          <cell r="G183">
            <v>11333723102.060524</v>
          </cell>
          <cell r="J183">
            <v>0</v>
          </cell>
          <cell r="K183">
            <v>33448217.78211233</v>
          </cell>
        </row>
        <row r="184">
          <cell r="E184" t="str">
            <v>SHP2019IKTH_</v>
          </cell>
          <cell r="G184">
            <v>0</v>
          </cell>
          <cell r="J184">
            <v>0</v>
          </cell>
        </row>
        <row r="185">
          <cell r="E185" t="str">
            <v>GSP2019IKTH_</v>
          </cell>
          <cell r="J185"/>
        </row>
        <row r="186">
          <cell r="E186" t="str">
            <v>ULP2019IKTP_</v>
          </cell>
          <cell r="G186">
            <v>14404631878.364988</v>
          </cell>
          <cell r="J186">
            <v>0</v>
          </cell>
        </row>
        <row r="187">
          <cell r="E187" t="str">
            <v>SHP2019IKTP_</v>
          </cell>
          <cell r="G187">
            <v>0</v>
          </cell>
          <cell r="J187">
            <v>0</v>
          </cell>
        </row>
        <row r="188">
          <cell r="E188" t="str">
            <v>GSP2019IKTP_</v>
          </cell>
          <cell r="J188"/>
        </row>
        <row r="189">
          <cell r="E189" t="str">
            <v>ULP2019INKB_</v>
          </cell>
          <cell r="G189">
            <v>27260142489.348946</v>
          </cell>
          <cell r="J189">
            <v>2703274691</v>
          </cell>
        </row>
        <row r="190">
          <cell r="E190" t="str">
            <v>SHP2019INKB_</v>
          </cell>
          <cell r="G190">
            <v>1159414438.4285707</v>
          </cell>
          <cell r="J190">
            <v>0</v>
          </cell>
        </row>
        <row r="191">
          <cell r="E191" t="str">
            <v>GSP2019INKB_</v>
          </cell>
          <cell r="J191"/>
        </row>
        <row r="192">
          <cell r="E192" t="str">
            <v>ULP2019INKH_</v>
          </cell>
          <cell r="G192">
            <v>23482415028.174507</v>
          </cell>
          <cell r="J192">
            <v>651164976</v>
          </cell>
          <cell r="K192">
            <v>1809412028.0280948</v>
          </cell>
        </row>
        <row r="193">
          <cell r="E193" t="str">
            <v>SHP2019INKH_</v>
          </cell>
          <cell r="G193">
            <v>407517001.14196181</v>
          </cell>
          <cell r="J193">
            <v>0</v>
          </cell>
        </row>
        <row r="194">
          <cell r="E194" t="str">
            <v>GSP2019INKH_</v>
          </cell>
          <cell r="J194"/>
        </row>
        <row r="195">
          <cell r="E195" t="str">
            <v>ULP2019INKP_</v>
          </cell>
          <cell r="G195">
            <v>40725118464.47654</v>
          </cell>
          <cell r="J195">
            <v>0</v>
          </cell>
        </row>
        <row r="196">
          <cell r="E196" t="str">
            <v>SHP2019INKP_</v>
          </cell>
          <cell r="G196">
            <v>32441325.311886631</v>
          </cell>
          <cell r="J196">
            <v>0</v>
          </cell>
        </row>
        <row r="197">
          <cell r="E197" t="str">
            <v>GSP2019INKP_</v>
          </cell>
          <cell r="J197"/>
        </row>
        <row r="198">
          <cell r="E198" t="str">
            <v>ULP2019UAGB_</v>
          </cell>
          <cell r="G198">
            <v>71400874.75429213</v>
          </cell>
          <cell r="J198">
            <v>0</v>
          </cell>
          <cell r="K198"/>
        </row>
        <row r="199">
          <cell r="E199" t="str">
            <v>ULP2019UAGH_</v>
          </cell>
          <cell r="G199">
            <v>31028443.787155017</v>
          </cell>
          <cell r="J199">
            <v>0</v>
          </cell>
          <cell r="K199">
            <v>0</v>
          </cell>
        </row>
        <row r="200">
          <cell r="E200" t="str">
            <v>ULP2019UAGP_</v>
          </cell>
          <cell r="G200">
            <v>541784105.70820737</v>
          </cell>
          <cell r="J200">
            <v>0</v>
          </cell>
          <cell r="K200"/>
        </row>
        <row r="201">
          <cell r="E201" t="str">
            <v>ULP2019UKTB_</v>
          </cell>
          <cell r="G201">
            <v>109069345958.11136</v>
          </cell>
          <cell r="J201">
            <v>0</v>
          </cell>
        </row>
        <row r="202">
          <cell r="E202" t="str">
            <v>ULP2019UKTH_</v>
          </cell>
          <cell r="G202">
            <v>2577184942.4185963</v>
          </cell>
          <cell r="J202">
            <v>150179323</v>
          </cell>
          <cell r="K202">
            <v>0</v>
          </cell>
        </row>
        <row r="203">
          <cell r="E203" t="str">
            <v>ULP2019UKTP_</v>
          </cell>
          <cell r="G203">
            <v>21431788027.470036</v>
          </cell>
          <cell r="J203">
            <v>0</v>
          </cell>
        </row>
        <row r="204">
          <cell r="E204" t="str">
            <v>ULP2019UNKB_</v>
          </cell>
          <cell r="G204">
            <v>56068318758.844238</v>
          </cell>
          <cell r="J204">
            <v>231939500</v>
          </cell>
        </row>
        <row r="205">
          <cell r="E205" t="str">
            <v>ULP2019UNKH_</v>
          </cell>
          <cell r="G205">
            <v>2027586897.83551</v>
          </cell>
          <cell r="J205">
            <v>0</v>
          </cell>
          <cell r="K205">
            <v>0</v>
          </cell>
        </row>
        <row r="206">
          <cell r="E206" t="str">
            <v>ULP2019UNKP_</v>
          </cell>
          <cell r="G206">
            <v>14194240367.037214</v>
          </cell>
          <cell r="J206">
            <v>0</v>
          </cell>
        </row>
        <row r="207">
          <cell r="E207" t="str">
            <v>ULP2020IAGB_</v>
          </cell>
          <cell r="G207">
            <v>336930195.85770518</v>
          </cell>
          <cell r="J207">
            <v>24336208997.403816</v>
          </cell>
          <cell r="K207"/>
        </row>
        <row r="208">
          <cell r="E208" t="str">
            <v>SHP2020IAGB_</v>
          </cell>
          <cell r="G208">
            <v>584318654.09155273</v>
          </cell>
          <cell r="J208">
            <v>0</v>
          </cell>
          <cell r="K208"/>
        </row>
        <row r="209">
          <cell r="E209" t="str">
            <v>GSP2020IAGB_</v>
          </cell>
          <cell r="G209">
            <v>1582437310.0386631</v>
          </cell>
          <cell r="J209">
            <v>358568.36199593171</v>
          </cell>
        </row>
        <row r="210">
          <cell r="E210" t="str">
            <v>ULP2020IAGH_</v>
          </cell>
          <cell r="G210">
            <v>4718732251.5048275</v>
          </cell>
          <cell r="J210">
            <v>18329434994</v>
          </cell>
          <cell r="K210">
            <v>273500556679.88855</v>
          </cell>
        </row>
        <row r="211">
          <cell r="E211" t="str">
            <v>SHP2020IAGH_</v>
          </cell>
          <cell r="G211">
            <v>2697786103.5544181</v>
          </cell>
          <cell r="J211">
            <v>0</v>
          </cell>
          <cell r="K211"/>
        </row>
        <row r="212">
          <cell r="E212" t="str">
            <v>ULP2020IAGP_</v>
          </cell>
          <cell r="G212">
            <v>1847443991.0108044</v>
          </cell>
          <cell r="J212">
            <v>11697759426</v>
          </cell>
          <cell r="K212"/>
        </row>
        <row r="213">
          <cell r="E213" t="str">
            <v>SHP2020IAGP_</v>
          </cell>
          <cell r="G213">
            <v>568859800.38027334</v>
          </cell>
          <cell r="J213">
            <v>0</v>
          </cell>
          <cell r="K213"/>
        </row>
        <row r="214">
          <cell r="E214" t="str">
            <v>ULP2020IKTB_</v>
          </cell>
          <cell r="G214">
            <v>5837814171.7836304</v>
          </cell>
          <cell r="J214">
            <v>0</v>
          </cell>
        </row>
        <row r="215">
          <cell r="E215" t="str">
            <v>SHP2020IKTB_</v>
          </cell>
          <cell r="G215">
            <v>0</v>
          </cell>
          <cell r="J215">
            <v>0</v>
          </cell>
        </row>
        <row r="216">
          <cell r="E216" t="str">
            <v>GSP2020IKTB_</v>
          </cell>
          <cell r="J216"/>
        </row>
        <row r="217">
          <cell r="E217" t="str">
            <v>ULP2020IKTH_</v>
          </cell>
          <cell r="G217">
            <v>2505775239.8012509</v>
          </cell>
          <cell r="J217">
            <v>0</v>
          </cell>
          <cell r="K217">
            <v>0</v>
          </cell>
        </row>
        <row r="218">
          <cell r="E218" t="str">
            <v>SHP2020IKTH_</v>
          </cell>
          <cell r="G218">
            <v>0</v>
          </cell>
          <cell r="J218">
            <v>0</v>
          </cell>
        </row>
        <row r="219">
          <cell r="E219" t="str">
            <v>GSP2020IKTH_</v>
          </cell>
          <cell r="J219"/>
        </row>
        <row r="220">
          <cell r="E220" t="str">
            <v>ULP2020IKTP_</v>
          </cell>
          <cell r="G220">
            <v>12451586082.415119</v>
          </cell>
          <cell r="J220">
            <v>0</v>
          </cell>
        </row>
        <row r="221">
          <cell r="E221" t="str">
            <v>SHP2020IKTP_</v>
          </cell>
          <cell r="G221">
            <v>0</v>
          </cell>
          <cell r="J221">
            <v>0</v>
          </cell>
        </row>
        <row r="222">
          <cell r="E222" t="str">
            <v>GSP2020IKTP_</v>
          </cell>
          <cell r="J222"/>
        </row>
        <row r="223">
          <cell r="E223" t="str">
            <v>ULP2020INKB_</v>
          </cell>
          <cell r="G223">
            <v>20089239930.998547</v>
          </cell>
          <cell r="J223">
            <v>889548649</v>
          </cell>
        </row>
        <row r="224">
          <cell r="E224" t="str">
            <v>SHP2020INKB_</v>
          </cell>
          <cell r="G224">
            <v>2389665277.0916681</v>
          </cell>
          <cell r="J224">
            <v>0</v>
          </cell>
        </row>
        <row r="225">
          <cell r="E225" t="str">
            <v>GSP2020INKB_</v>
          </cell>
          <cell r="J225"/>
        </row>
        <row r="226">
          <cell r="E226" t="str">
            <v>ULP2020INKH_</v>
          </cell>
          <cell r="G226">
            <v>19160769013.676659</v>
          </cell>
          <cell r="J226">
            <v>2663638320</v>
          </cell>
          <cell r="K226">
            <v>274197391.51772827</v>
          </cell>
        </row>
        <row r="227">
          <cell r="E227" t="str">
            <v>SHP2020INKH_</v>
          </cell>
          <cell r="G227">
            <v>566843839.82845688</v>
          </cell>
          <cell r="J227">
            <v>0</v>
          </cell>
        </row>
        <row r="228">
          <cell r="E228" t="str">
            <v>GSP2020INKH_</v>
          </cell>
          <cell r="J228"/>
        </row>
        <row r="229">
          <cell r="E229" t="str">
            <v>ULP2020INKP_</v>
          </cell>
          <cell r="G229">
            <v>56894537287.324791</v>
          </cell>
          <cell r="J229">
            <v>0</v>
          </cell>
        </row>
        <row r="230">
          <cell r="E230" t="str">
            <v>SHP2020INKP_</v>
          </cell>
          <cell r="G230">
            <v>106546860.67448798</v>
          </cell>
          <cell r="J230">
            <v>0</v>
          </cell>
        </row>
        <row r="231">
          <cell r="E231" t="str">
            <v>GSP2020INKP_</v>
          </cell>
          <cell r="J231"/>
        </row>
        <row r="232">
          <cell r="E232" t="str">
            <v>ULP2020UAGB_</v>
          </cell>
          <cell r="G232">
            <v>23816161.568734944</v>
          </cell>
          <cell r="J232">
            <v>0</v>
          </cell>
          <cell r="K232"/>
        </row>
        <row r="233">
          <cell r="E233" t="str">
            <v>ULP2020UAGH_</v>
          </cell>
          <cell r="G233">
            <v>0</v>
          </cell>
          <cell r="J233">
            <v>0</v>
          </cell>
          <cell r="K233">
            <v>0</v>
          </cell>
        </row>
        <row r="234">
          <cell r="E234" t="str">
            <v>ULP2020UAGP_</v>
          </cell>
          <cell r="G234">
            <v>63375495.683445476</v>
          </cell>
          <cell r="J234">
            <v>0</v>
          </cell>
          <cell r="K234"/>
        </row>
        <row r="235">
          <cell r="E235" t="str">
            <v>ULP2020UKTB_</v>
          </cell>
          <cell r="G235">
            <v>46449070694.5466</v>
          </cell>
          <cell r="J235">
            <v>0</v>
          </cell>
        </row>
        <row r="236">
          <cell r="E236" t="str">
            <v>ULP2020UKTH_</v>
          </cell>
          <cell r="G236">
            <v>5405394734.5703306</v>
          </cell>
          <cell r="J236">
            <v>0</v>
          </cell>
          <cell r="K236">
            <v>0</v>
          </cell>
        </row>
        <row r="237">
          <cell r="E237" t="str">
            <v>ULP2020UKTP_</v>
          </cell>
          <cell r="G237">
            <v>45466703380.883064</v>
          </cell>
          <cell r="J237">
            <v>0</v>
          </cell>
        </row>
        <row r="238">
          <cell r="E238" t="str">
            <v>ULP2020UNKB_</v>
          </cell>
          <cell r="G238">
            <v>22427147837.235851</v>
          </cell>
          <cell r="J238">
            <v>0</v>
          </cell>
        </row>
        <row r="239">
          <cell r="E239" t="str">
            <v>ULP2020UNKH_</v>
          </cell>
          <cell r="G239">
            <v>5847986760.2510414</v>
          </cell>
          <cell r="J239">
            <v>1112956934</v>
          </cell>
          <cell r="K239">
            <v>0</v>
          </cell>
        </row>
        <row r="240">
          <cell r="E240" t="str">
            <v>ULP2020UNKP_</v>
          </cell>
          <cell r="G240">
            <v>43073306378.231064</v>
          </cell>
          <cell r="J240">
            <v>0</v>
          </cell>
        </row>
        <row r="241">
          <cell r="E241" t="str">
            <v>ULP2021IAGB_</v>
          </cell>
          <cell r="G241">
            <v>153633992.23120415</v>
          </cell>
          <cell r="J241">
            <v>20906003169.05122</v>
          </cell>
          <cell r="K241"/>
        </row>
        <row r="242">
          <cell r="E242" t="str">
            <v>SHP2021IAGB_</v>
          </cell>
          <cell r="G242">
            <v>154562050.28680333</v>
          </cell>
          <cell r="J242">
            <v>0</v>
          </cell>
          <cell r="K242"/>
        </row>
        <row r="243">
          <cell r="E243" t="str">
            <v>GSP2021IAGB_</v>
          </cell>
          <cell r="G243">
            <v>154238749.71007144</v>
          </cell>
          <cell r="J243">
            <v>245543.42153234335</v>
          </cell>
        </row>
        <row r="244">
          <cell r="E244" t="str">
            <v>ULP2021IAGH_</v>
          </cell>
          <cell r="G244">
            <v>3036579286.415247</v>
          </cell>
          <cell r="J244">
            <v>16852902000</v>
          </cell>
          <cell r="K244">
            <v>233348980117.81107</v>
          </cell>
        </row>
        <row r="245">
          <cell r="E245" t="str">
            <v>SHP2021IAGH_</v>
          </cell>
          <cell r="G245">
            <v>789244119.36309409</v>
          </cell>
          <cell r="J245">
            <v>0</v>
          </cell>
          <cell r="K245"/>
        </row>
        <row r="246">
          <cell r="E246" t="str">
            <v>ULP2021IAGP_</v>
          </cell>
          <cell r="G246">
            <v>985034230.82123137</v>
          </cell>
          <cell r="J246">
            <v>12409760567</v>
          </cell>
          <cell r="K246"/>
        </row>
        <row r="247">
          <cell r="E247" t="str">
            <v>SHP2021IAGP_</v>
          </cell>
          <cell r="G247">
            <v>179572533.23350245</v>
          </cell>
          <cell r="J247">
            <v>0</v>
          </cell>
          <cell r="K247"/>
        </row>
        <row r="248">
          <cell r="E248" t="str">
            <v>ULP2021IKTB_</v>
          </cell>
          <cell r="G248">
            <v>11943434506.666731</v>
          </cell>
          <cell r="J248">
            <v>0</v>
          </cell>
        </row>
        <row r="249">
          <cell r="E249" t="str">
            <v>SHP2021IKTB_</v>
          </cell>
          <cell r="G249">
            <v>0</v>
          </cell>
          <cell r="J249">
            <v>0</v>
          </cell>
        </row>
        <row r="250">
          <cell r="E250" t="str">
            <v>GSP2021IKTB_</v>
          </cell>
          <cell r="J250"/>
        </row>
        <row r="251">
          <cell r="E251" t="str">
            <v>ULP2021IKTH_</v>
          </cell>
          <cell r="G251">
            <v>4121892306.2716699</v>
          </cell>
          <cell r="J251">
            <v>0</v>
          </cell>
          <cell r="K251">
            <v>0</v>
          </cell>
        </row>
        <row r="252">
          <cell r="E252" t="str">
            <v>SHP2021IKTH_</v>
          </cell>
          <cell r="G252">
            <v>0</v>
          </cell>
          <cell r="J252">
            <v>0</v>
          </cell>
        </row>
        <row r="253">
          <cell r="E253" t="str">
            <v>GSP2021IKTH_</v>
          </cell>
          <cell r="J253"/>
        </row>
        <row r="254">
          <cell r="E254" t="str">
            <v>ULP2021IKTP_</v>
          </cell>
          <cell r="G254">
            <v>23306825712.0616</v>
          </cell>
          <cell r="J254">
            <v>0</v>
          </cell>
        </row>
        <row r="255">
          <cell r="E255" t="str">
            <v>SHP2021IKTP_</v>
          </cell>
          <cell r="G255">
            <v>0</v>
          </cell>
          <cell r="J255">
            <v>0</v>
          </cell>
        </row>
        <row r="256">
          <cell r="E256" t="str">
            <v>GSP2021IKTP_</v>
          </cell>
          <cell r="J256"/>
        </row>
        <row r="257">
          <cell r="E257" t="str">
            <v>ULP2021INKB_</v>
          </cell>
          <cell r="G257">
            <v>37681470991.006737</v>
          </cell>
          <cell r="J257">
            <v>5111432763</v>
          </cell>
        </row>
        <row r="258">
          <cell r="E258" t="str">
            <v>SHP2021INKB_</v>
          </cell>
          <cell r="G258">
            <v>2168074961.9109373</v>
          </cell>
          <cell r="J258">
            <v>0</v>
          </cell>
        </row>
        <row r="259">
          <cell r="E259" t="str">
            <v>GSP2021INKB_</v>
          </cell>
          <cell r="J259"/>
        </row>
        <row r="260">
          <cell r="E260" t="str">
            <v>ULP2021INKH_</v>
          </cell>
          <cell r="G260">
            <v>70472201971.013382</v>
          </cell>
          <cell r="J260">
            <v>481078868</v>
          </cell>
          <cell r="K260">
            <v>714328098.19983292</v>
          </cell>
        </row>
        <row r="261">
          <cell r="E261" t="str">
            <v>SHP2021INKH_</v>
          </cell>
          <cell r="G261">
            <v>252097979.69588789</v>
          </cell>
          <cell r="J261">
            <v>0</v>
          </cell>
        </row>
        <row r="262">
          <cell r="E262" t="str">
            <v>GSP2021INKH_</v>
          </cell>
          <cell r="J262"/>
        </row>
        <row r="263">
          <cell r="E263" t="str">
            <v>ULP2021INKP_</v>
          </cell>
          <cell r="G263">
            <v>91652283857.979889</v>
          </cell>
          <cell r="J263">
            <v>0</v>
          </cell>
        </row>
        <row r="264">
          <cell r="E264" t="str">
            <v>SHP2021INKP_</v>
          </cell>
          <cell r="G264">
            <v>150656724.50250101</v>
          </cell>
          <cell r="J264">
            <v>0</v>
          </cell>
        </row>
        <row r="265">
          <cell r="E265" t="str">
            <v>GSP2021INKP_</v>
          </cell>
          <cell r="J265"/>
        </row>
        <row r="266">
          <cell r="E266" t="str">
            <v>ULP2021UAGB_</v>
          </cell>
          <cell r="G266">
            <v>44937500.228861406</v>
          </cell>
          <cell r="J266">
            <v>1488126820</v>
          </cell>
          <cell r="K266"/>
        </row>
        <row r="267">
          <cell r="E267" t="str">
            <v>ULP2021UAGH_</v>
          </cell>
          <cell r="G267">
            <v>30273627.93824596</v>
          </cell>
          <cell r="J267">
            <v>0</v>
          </cell>
          <cell r="K267">
            <v>0</v>
          </cell>
        </row>
        <row r="268">
          <cell r="E268" t="str">
            <v>ULP2021UAGP_</v>
          </cell>
          <cell r="G268">
            <v>74073671.384155154</v>
          </cell>
          <cell r="J268">
            <v>0</v>
          </cell>
          <cell r="K268"/>
        </row>
        <row r="269">
          <cell r="E269" t="str">
            <v>ULP2021UKTB_</v>
          </cell>
          <cell r="G269">
            <v>53159901757.656029</v>
          </cell>
          <cell r="J269">
            <v>408420447</v>
          </cell>
        </row>
        <row r="270">
          <cell r="E270" t="str">
            <v>ULP2021UKTH_</v>
          </cell>
          <cell r="G270">
            <v>7428200803.8749714</v>
          </cell>
          <cell r="J270">
            <v>0</v>
          </cell>
          <cell r="K270">
            <v>0</v>
          </cell>
        </row>
        <row r="271">
          <cell r="E271" t="str">
            <v>ULP2021UKTP_</v>
          </cell>
          <cell r="G271">
            <v>49590726125.468987</v>
          </cell>
          <cell r="J271">
            <v>0</v>
          </cell>
        </row>
        <row r="272">
          <cell r="E272" t="str">
            <v>ULP2021UNKB_</v>
          </cell>
          <cell r="G272">
            <v>20854580061.437557</v>
          </cell>
          <cell r="J272">
            <v>58646462</v>
          </cell>
        </row>
        <row r="273">
          <cell r="E273" t="str">
            <v>ULP2021UNKH_</v>
          </cell>
          <cell r="G273">
            <v>3762506397.6466045</v>
          </cell>
          <cell r="J273">
            <v>1091042981</v>
          </cell>
          <cell r="K273">
            <v>0</v>
          </cell>
        </row>
        <row r="274">
          <cell r="E274" t="str">
            <v>ULP2021UNKP_</v>
          </cell>
          <cell r="G274">
            <v>30417510536.699451</v>
          </cell>
          <cell r="J274">
            <v>0</v>
          </cell>
        </row>
        <row r="275">
          <cell r="E275" t="str">
            <v>ULP2022IAGB_</v>
          </cell>
          <cell r="G275">
            <v>76768000.631742492</v>
          </cell>
          <cell r="J275">
            <v>10185663486.602873</v>
          </cell>
          <cell r="K275"/>
        </row>
        <row r="276">
          <cell r="E276" t="str">
            <v>SHP2022IAGB_</v>
          </cell>
          <cell r="G276">
            <v>141653477.39037558</v>
          </cell>
          <cell r="J276">
            <v>0</v>
          </cell>
          <cell r="K276"/>
        </row>
        <row r="277">
          <cell r="E277" t="str">
            <v>GSP2022IAGB_</v>
          </cell>
          <cell r="G277">
            <v>0</v>
          </cell>
          <cell r="J277">
            <v>0</v>
          </cell>
        </row>
        <row r="278">
          <cell r="E278" t="str">
            <v>ULP2022IAGH_</v>
          </cell>
          <cell r="G278">
            <v>1799799975.5565403</v>
          </cell>
          <cell r="J278">
            <v>7135773391</v>
          </cell>
          <cell r="K278">
            <v>119269158536.60641</v>
          </cell>
        </row>
        <row r="279">
          <cell r="E279" t="str">
            <v>SHP2022IAGH_</v>
          </cell>
          <cell r="G279">
            <v>1011533600.1219513</v>
          </cell>
          <cell r="J279">
            <v>0</v>
          </cell>
          <cell r="K279"/>
        </row>
        <row r="280">
          <cell r="E280" t="str">
            <v>GSP2022IAGH_</v>
          </cell>
          <cell r="G280"/>
          <cell r="J280"/>
        </row>
        <row r="281">
          <cell r="E281" t="str">
            <v>ULP2022IAGP_</v>
          </cell>
          <cell r="G281">
            <v>487094230.23723871</v>
          </cell>
          <cell r="J281">
            <v>2454637503</v>
          </cell>
          <cell r="K281"/>
        </row>
        <row r="282">
          <cell r="E282" t="str">
            <v>SHP2022IAGP_</v>
          </cell>
          <cell r="G282">
            <v>193584536.37485194</v>
          </cell>
          <cell r="J282">
            <v>0</v>
          </cell>
          <cell r="K282"/>
        </row>
        <row r="283">
          <cell r="E283" t="str">
            <v>GSP2022IAGP_</v>
          </cell>
          <cell r="G283"/>
          <cell r="J283"/>
        </row>
        <row r="284">
          <cell r="E284" t="str">
            <v>ULP2022IKTB_</v>
          </cell>
          <cell r="G284">
            <v>25273073120.481602</v>
          </cell>
          <cell r="J284">
            <v>0</v>
          </cell>
        </row>
        <row r="285">
          <cell r="E285" t="str">
            <v>SHP2022IKTB_</v>
          </cell>
          <cell r="G285">
            <v>0</v>
          </cell>
          <cell r="J285">
            <v>0</v>
          </cell>
        </row>
        <row r="286">
          <cell r="E286" t="str">
            <v>GSP2022IKTB_</v>
          </cell>
          <cell r="J286"/>
        </row>
        <row r="287">
          <cell r="E287" t="str">
            <v>ULP2022IKTH_</v>
          </cell>
          <cell r="G287">
            <v>32095925453.152908</v>
          </cell>
          <cell r="J287">
            <v>986367237</v>
          </cell>
          <cell r="K287">
            <v>211331342.36299229</v>
          </cell>
        </row>
        <row r="288">
          <cell r="E288" t="str">
            <v>SHP2022IKTH_</v>
          </cell>
          <cell r="G288">
            <v>0</v>
          </cell>
          <cell r="J288">
            <v>0</v>
          </cell>
        </row>
        <row r="289">
          <cell r="E289" t="str">
            <v>GSP2022IKTH_</v>
          </cell>
          <cell r="J289"/>
        </row>
        <row r="290">
          <cell r="E290" t="str">
            <v>ULP2022IKTP_</v>
          </cell>
          <cell r="G290">
            <v>32418605125.365505</v>
          </cell>
          <cell r="J290">
            <v>0</v>
          </cell>
        </row>
        <row r="291">
          <cell r="E291" t="str">
            <v>SHP2022IKTP_</v>
          </cell>
          <cell r="G291">
            <v>0</v>
          </cell>
          <cell r="J291">
            <v>0</v>
          </cell>
        </row>
        <row r="292">
          <cell r="E292" t="str">
            <v>GSP2022IKTP_</v>
          </cell>
          <cell r="J292"/>
        </row>
        <row r="293">
          <cell r="E293" t="str">
            <v>ULP2022INKB_</v>
          </cell>
          <cell r="G293">
            <v>44323209281.847366</v>
          </cell>
          <cell r="J293">
            <v>7636044495</v>
          </cell>
        </row>
        <row r="294">
          <cell r="E294" t="str">
            <v>SHP2022INKB_</v>
          </cell>
          <cell r="G294">
            <v>10409709387.985384</v>
          </cell>
          <cell r="J294">
            <v>0</v>
          </cell>
        </row>
        <row r="295">
          <cell r="E295" t="str">
            <v>GSP2022INKB_</v>
          </cell>
          <cell r="J295"/>
        </row>
        <row r="296">
          <cell r="E296" t="str">
            <v>ULP2022INKH_</v>
          </cell>
          <cell r="G296">
            <v>87208629379.565079</v>
          </cell>
          <cell r="J296">
            <v>0</v>
          </cell>
          <cell r="K296">
            <v>493519891.47159684</v>
          </cell>
        </row>
        <row r="297">
          <cell r="E297" t="str">
            <v>SHP2022INKH_</v>
          </cell>
          <cell r="G297">
            <v>1842285282.3494384</v>
          </cell>
          <cell r="J297">
            <v>0</v>
          </cell>
        </row>
        <row r="298">
          <cell r="E298" t="str">
            <v>ULP2022INKP_</v>
          </cell>
          <cell r="G298">
            <v>111888414261.58759</v>
          </cell>
          <cell r="J298">
            <v>0</v>
          </cell>
        </row>
        <row r="299">
          <cell r="E299" t="str">
            <v>SHP2022INKP_</v>
          </cell>
          <cell r="G299">
            <v>341587989.09235704</v>
          </cell>
          <cell r="J299">
            <v>0</v>
          </cell>
        </row>
        <row r="300">
          <cell r="E300" t="str">
            <v>ULP2022UAGB_</v>
          </cell>
          <cell r="G300">
            <v>0</v>
          </cell>
          <cell r="J300">
            <v>0</v>
          </cell>
          <cell r="K300"/>
        </row>
        <row r="301">
          <cell r="E301" t="str">
            <v>ULP2022UAGH_</v>
          </cell>
          <cell r="G301">
            <v>0</v>
          </cell>
          <cell r="J301">
            <v>0</v>
          </cell>
          <cell r="K301">
            <v>0</v>
          </cell>
        </row>
        <row r="302">
          <cell r="E302" t="str">
            <v>ULP2022UAGP_</v>
          </cell>
          <cell r="G302">
            <v>0</v>
          </cell>
          <cell r="J302">
            <v>0</v>
          </cell>
          <cell r="K302"/>
        </row>
        <row r="303">
          <cell r="E303" t="str">
            <v>ULP2022UKTB_</v>
          </cell>
          <cell r="G303">
            <v>21157246887.059135</v>
          </cell>
          <cell r="J303">
            <v>0</v>
          </cell>
        </row>
        <row r="304">
          <cell r="E304" t="str">
            <v>ULP2022UKTH_</v>
          </cell>
          <cell r="G304">
            <v>2662315087.0600924</v>
          </cell>
          <cell r="J304">
            <v>0</v>
          </cell>
          <cell r="K304">
            <v>0</v>
          </cell>
        </row>
        <row r="305">
          <cell r="E305" t="str">
            <v>ULP2022UKTP_</v>
          </cell>
          <cell r="G305">
            <v>17085440068.880772</v>
          </cell>
          <cell r="J305">
            <v>0</v>
          </cell>
        </row>
        <row r="306">
          <cell r="E306" t="str">
            <v>ULP2022UNKB_</v>
          </cell>
          <cell r="G306">
            <v>4474058383.4949112</v>
          </cell>
          <cell r="J306">
            <v>0</v>
          </cell>
        </row>
        <row r="307">
          <cell r="E307" t="str">
            <v>ULP2022UNKH_</v>
          </cell>
          <cell r="G307">
            <v>1185250080.3327496</v>
          </cell>
          <cell r="J307">
            <v>0</v>
          </cell>
          <cell r="K307">
            <v>0</v>
          </cell>
        </row>
        <row r="308">
          <cell r="E308" t="str">
            <v>ULP2022UNKP_</v>
          </cell>
          <cell r="G308">
            <v>9608938475.1119823</v>
          </cell>
          <cell r="J308">
            <v>0</v>
          </cell>
        </row>
        <row r="309">
          <cell r="E309" t="str">
            <v>ULP2023IAGB_</v>
          </cell>
          <cell r="G309">
            <v>10227337.502254669</v>
          </cell>
          <cell r="J309">
            <v>23542831.807049897</v>
          </cell>
          <cell r="K309"/>
        </row>
        <row r="310">
          <cell r="E310" t="str">
            <v>SHP2023IAGB_</v>
          </cell>
          <cell r="G310">
            <v>6180219.7278887406</v>
          </cell>
          <cell r="J310">
            <v>0</v>
          </cell>
          <cell r="K310"/>
        </row>
        <row r="311">
          <cell r="E311" t="str">
            <v>GSP2023IAGB_</v>
          </cell>
          <cell r="G311">
            <v>0</v>
          </cell>
          <cell r="J311">
            <v>0</v>
          </cell>
        </row>
        <row r="312">
          <cell r="E312" t="str">
            <v>ULP2023IAGH_</v>
          </cell>
          <cell r="G312">
            <v>194136397.44125658</v>
          </cell>
          <cell r="J312">
            <v>0</v>
          </cell>
          <cell r="K312">
            <v>1158661947.4871669</v>
          </cell>
        </row>
        <row r="313">
          <cell r="E313" t="str">
            <v>SHP2023IAGH_</v>
          </cell>
          <cell r="G313">
            <v>42582511.602899127</v>
          </cell>
          <cell r="J313">
            <v>0</v>
          </cell>
          <cell r="K313"/>
        </row>
        <row r="314">
          <cell r="E314" t="str">
            <v>GSP2023IAGH_</v>
          </cell>
          <cell r="G314"/>
          <cell r="J314"/>
        </row>
        <row r="315">
          <cell r="E315" t="str">
            <v>ULP2023IAGP_</v>
          </cell>
          <cell r="G315">
            <v>46648295.559230387</v>
          </cell>
          <cell r="J315">
            <v>0</v>
          </cell>
          <cell r="K315"/>
        </row>
        <row r="316">
          <cell r="E316" t="str">
            <v>SHP2023IAGP_</v>
          </cell>
          <cell r="G316">
            <v>5895959.5755897034</v>
          </cell>
          <cell r="J316">
            <v>0</v>
          </cell>
          <cell r="K316"/>
        </row>
        <row r="317">
          <cell r="E317" t="str">
            <v>GSP2023IAGP_</v>
          </cell>
          <cell r="G317"/>
          <cell r="J317"/>
        </row>
        <row r="318">
          <cell r="E318" t="str">
            <v>ULP2023IKTB_</v>
          </cell>
          <cell r="G318">
            <v>2440947512.3624606</v>
          </cell>
          <cell r="J318">
            <v>0</v>
          </cell>
        </row>
        <row r="319">
          <cell r="E319" t="str">
            <v>SHP2023IKTB_</v>
          </cell>
          <cell r="G319">
            <v>0</v>
          </cell>
          <cell r="J319">
            <v>0</v>
          </cell>
        </row>
        <row r="320">
          <cell r="E320" t="str">
            <v>GSP2023IKTB_</v>
          </cell>
          <cell r="J320"/>
        </row>
        <row r="321">
          <cell r="E321" t="str">
            <v>ULP2023IKTH_</v>
          </cell>
          <cell r="G321">
            <v>2352193867.0240378</v>
          </cell>
          <cell r="J321">
            <v>0</v>
          </cell>
          <cell r="K321">
            <v>0</v>
          </cell>
        </row>
        <row r="322">
          <cell r="E322" t="str">
            <v>SHP2023IKTH_</v>
          </cell>
          <cell r="G322">
            <v>0</v>
          </cell>
          <cell r="J322">
            <v>0</v>
          </cell>
        </row>
        <row r="323">
          <cell r="E323" t="str">
            <v>GSP2023IKTH_</v>
          </cell>
          <cell r="J323"/>
        </row>
        <row r="324">
          <cell r="E324" t="str">
            <v>ULP2023IKTP_</v>
          </cell>
          <cell r="G324">
            <v>2214910045.6135015</v>
          </cell>
          <cell r="J324">
            <v>0</v>
          </cell>
        </row>
        <row r="325">
          <cell r="E325" t="str">
            <v>SHP2023IKTP_</v>
          </cell>
          <cell r="G325">
            <v>0</v>
          </cell>
          <cell r="J325">
            <v>0</v>
          </cell>
        </row>
        <row r="326">
          <cell r="E326" t="str">
            <v>GSP2023IKTP_</v>
          </cell>
          <cell r="J326"/>
        </row>
        <row r="327">
          <cell r="E327" t="str">
            <v>ULP2023INKB_</v>
          </cell>
          <cell r="G327">
            <v>5555484241.7540722</v>
          </cell>
          <cell r="J327">
            <v>15557639</v>
          </cell>
        </row>
        <row r="328">
          <cell r="E328" t="str">
            <v>SHP2023INKB_</v>
          </cell>
          <cell r="G328">
            <v>559805264.13074136</v>
          </cell>
          <cell r="J328">
            <v>0</v>
          </cell>
        </row>
        <row r="329">
          <cell r="E329" t="str">
            <v>GSP2023INKB_</v>
          </cell>
          <cell r="J329"/>
        </row>
        <row r="330">
          <cell r="E330" t="str">
            <v>ULP2023INKH_</v>
          </cell>
          <cell r="G330">
            <v>9536841579.1246166</v>
          </cell>
          <cell r="J330">
            <v>0</v>
          </cell>
          <cell r="K330">
            <v>0</v>
          </cell>
        </row>
        <row r="331">
          <cell r="E331" t="str">
            <v>SHP2023INKH_</v>
          </cell>
          <cell r="G331">
            <v>71016135.517409623</v>
          </cell>
          <cell r="J331">
            <v>0</v>
          </cell>
        </row>
        <row r="332">
          <cell r="E332" t="str">
            <v>ULP2023INKP_</v>
          </cell>
          <cell r="G332">
            <v>10380487457.121315</v>
          </cell>
          <cell r="J332">
            <v>0</v>
          </cell>
        </row>
        <row r="333">
          <cell r="E333" t="str">
            <v>SHP2023INKP_</v>
          </cell>
          <cell r="G333">
            <v>17785814.533005606</v>
          </cell>
          <cell r="J333">
            <v>0</v>
          </cell>
        </row>
        <row r="334">
          <cell r="E334" t="str">
            <v>ULP2023UAGB_</v>
          </cell>
          <cell r="G334">
            <v>0</v>
          </cell>
          <cell r="J334">
            <v>0</v>
          </cell>
          <cell r="K334"/>
        </row>
        <row r="335">
          <cell r="E335" t="str">
            <v>ULP2023UAGH_</v>
          </cell>
          <cell r="G335">
            <v>0</v>
          </cell>
          <cell r="J335">
            <v>0</v>
          </cell>
          <cell r="K335">
            <v>0</v>
          </cell>
        </row>
        <row r="336">
          <cell r="E336" t="str">
            <v>ULP2023UAGP_</v>
          </cell>
          <cell r="G336">
            <v>0</v>
          </cell>
          <cell r="J336">
            <v>0</v>
          </cell>
        </row>
        <row r="337">
          <cell r="E337" t="str">
            <v>ULP2023UKTB_</v>
          </cell>
          <cell r="G337">
            <v>3141879753.1149306</v>
          </cell>
          <cell r="J337">
            <v>0</v>
          </cell>
        </row>
        <row r="338">
          <cell r="E338" t="str">
            <v>ULP2023UKTH_</v>
          </cell>
          <cell r="G338">
            <v>261018199.07419014</v>
          </cell>
          <cell r="J338">
            <v>0</v>
          </cell>
          <cell r="K338">
            <v>0</v>
          </cell>
        </row>
        <row r="339">
          <cell r="E339" t="str">
            <v>ULP2023UKTP_</v>
          </cell>
          <cell r="G339">
            <v>1704889563.8108802</v>
          </cell>
          <cell r="J339">
            <v>0</v>
          </cell>
        </row>
        <row r="340">
          <cell r="E340" t="str">
            <v>ULP2023UNKB_</v>
          </cell>
          <cell r="G340">
            <v>9166737623.8407822</v>
          </cell>
          <cell r="J340">
            <v>0</v>
          </cell>
        </row>
        <row r="341">
          <cell r="E341" t="str">
            <v>ULP2023UNKH_</v>
          </cell>
          <cell r="G341">
            <v>1736285448.4818859</v>
          </cell>
          <cell r="J341">
            <v>0</v>
          </cell>
          <cell r="K341">
            <v>0</v>
          </cell>
        </row>
        <row r="342">
          <cell r="E342" t="str">
            <v>ULP2023UNKP_</v>
          </cell>
          <cell r="G342">
            <v>14337769659.577551</v>
          </cell>
          <cell r="J342">
            <v>0</v>
          </cell>
        </row>
      </sheetData>
      <sheetData sheetId="1"/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p Saving #Policy&amp;Fund Alloc"/>
      <sheetName val="Grp Saving #Policy&amp;Fund Alloc_"/>
      <sheetName val="Grp Saving #Policy&amp;Fund AllocQ1"/>
    </sheetNames>
    <sheetDataSet>
      <sheetData sheetId="0">
        <row r="17">
          <cell r="B17">
            <v>111089.23537800001</v>
          </cell>
        </row>
        <row r="23">
          <cell r="B23">
            <v>29.999999999999996</v>
          </cell>
        </row>
      </sheetData>
      <sheetData sheetId="1"/>
      <sheetData sheetId="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ut"/>
      <sheetName val="Summary EoQ UAT"/>
      <sheetName val="extraction IDR EoQ UAT"/>
      <sheetName val="Summary Total"/>
      <sheetName val="Summary IF"/>
      <sheetName val="Summary NB_YTD"/>
      <sheetName val="Summary NB Q1"/>
      <sheetName val="Summary NB Q2"/>
      <sheetName val="extraction USD EoQ"/>
      <sheetName val="extraction IDR BoQ"/>
      <sheetName val="extraction USD BoQ"/>
      <sheetName val="extraction IDR EoQ"/>
      <sheetName val="Summary NB Q3"/>
      <sheetName val="Summary NB Q4"/>
      <sheetName val="extraction IDR NB"/>
      <sheetName val="extraction USD NB"/>
    </sheetNames>
    <sheetDataSet>
      <sheetData sheetId="0"/>
      <sheetData sheetId="1"/>
      <sheetData sheetId="2"/>
      <sheetData sheetId="3">
        <row r="1">
          <cell r="F1" t="str">
            <v>Amount</v>
          </cell>
        </row>
        <row r="2">
          <cell r="F2">
            <v>1796674.7670290067</v>
          </cell>
        </row>
        <row r="3">
          <cell r="F3">
            <v>143042.29704895269</v>
          </cell>
        </row>
        <row r="4">
          <cell r="F4">
            <v>1256669.6880536166</v>
          </cell>
        </row>
        <row r="5">
          <cell r="F5">
            <v>396962.78192643798</v>
          </cell>
        </row>
        <row r="6">
          <cell r="F6">
            <v>6574985.0122971293</v>
          </cell>
        </row>
        <row r="8">
          <cell r="E8" t="str">
            <v>Claim Base Ori</v>
          </cell>
          <cell r="F8">
            <v>373990.5793533792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Disclaimers"/>
      <sheetName val="Mapping 12M 2020"/>
      <sheetName val="Mapping"/>
      <sheetName val="BS - 6M"/>
      <sheetName val="PL ECCS"/>
      <sheetName val="BS ECCS"/>
      <sheetName val="BS ECCS NEW"/>
      <sheetName val="PL - ECCS tax dummy"/>
      <sheetName val="PL - 6M"/>
      <sheetName val="Catatan - Aulia"/>
      <sheetName val="to Jackling URGL"/>
      <sheetName val="to Jackling BSPL"/>
      <sheetName val="Recon Other Asset"/>
      <sheetName val="for Investment Team"/>
      <sheetName val="IFRS9-ID11"/>
      <sheetName val="Diff in Investment 12M"/>
      <sheetName val="Tax - Manual"/>
      <sheetName val="Movement FA"/>
      <sheetName val="AEI GEI - tdk dipakai"/>
      <sheetName val="Takeout DAC-Reserve"/>
      <sheetName val="manual_J v2"/>
      <sheetName val="COI Deferred"/>
      <sheetName val="BS detail"/>
      <sheetName val="P&amp;L detail"/>
      <sheetName val="TB LoB (Segmented)"/>
      <sheetName val="TB LOB"/>
      <sheetName val="Sheet2"/>
      <sheetName val="ARGO"/>
      <sheetName val="ARGO BCF 2022"/>
      <sheetName val="PEB"/>
      <sheetName val="Sheet1"/>
      <sheetName val="Compare to KPI Tracking"/>
      <sheetName val="Investment TPM"/>
      <sheetName val="Investment Jurnal"/>
      <sheetName val="Investment Jurnal Note"/>
      <sheetName val="Update Mapping TPM"/>
      <sheetName val="BS - ECCS For TAX"/>
      <sheetName val="PL - ECCS For TAX"/>
      <sheetName val="TB"/>
      <sheetName val="Unmodelled Tabarru"/>
      <sheetName val="PEB v2"/>
      <sheetName val="AEI GEI"/>
      <sheetName val="Tax Jurnal"/>
      <sheetName val="SAP_ECCS_Export"/>
      <sheetName val="Mapping A0A1 "/>
      <sheetName val="TB LHID04 TASBIH"/>
      <sheetName val="Control Checking"/>
      <sheetName val="IFRS9-Cash and Receivable"/>
      <sheetName val="BS detail (1&amp;5)"/>
      <sheetName val="P&amp;L detail (1&amp;5)"/>
      <sheetName val="BS detail (234)"/>
      <sheetName val="P&amp;L detail (234)"/>
      <sheetName val="BS detail (Tabarru)"/>
      <sheetName val="P&amp;L detail (Tabarru)"/>
      <sheetName val="WOP v2"/>
      <sheetName val="Unmodelled v2"/>
      <sheetName val="RP Comparison"/>
      <sheetName val="Tax Manual"/>
      <sheetName val="ARGO - Extra Account"/>
      <sheetName val="manual_J summary copy"/>
      <sheetName val="Supp Report"/>
      <sheetName val="Equity Walk"/>
      <sheetName val="Rev_Reserve OCI"/>
      <sheetName val="ARGO BS Checking (value)"/>
      <sheetName val="P&amp;L Checking control"/>
      <sheetName val="BS Checking control"/>
      <sheetName val="Presentation PL (2)"/>
      <sheetName val="Presentation BS (2)"/>
      <sheetName val="Presentation PL"/>
      <sheetName val="Presentation BS"/>
      <sheetName val="Reporting Log"/>
      <sheetName val="Summ BS - IFRS 4 vs IFRS 17"/>
      <sheetName val="Summ BS - 12M22 vs BCF22"/>
      <sheetName val="P&amp;L - from SAP"/>
      <sheetName val="Summ PL - IFRS 4 vs IFRS 17"/>
      <sheetName val="Summ PL - 12M22 vs 12M21"/>
      <sheetName val="IFRS4 BS - 12M with IFRS17 COA"/>
      <sheetName val="IFRS4 PL - 12M with IFRS17 COA"/>
      <sheetName val="IFRS9-Investment (old)"/>
      <sheetName val="BSPL for PD"/>
      <sheetName val="Unmodelled v2 12M"/>
      <sheetName val="IFRS9-RJE"/>
      <sheetName val="BS - 2021 vs BCF (for Supp)"/>
      <sheetName val="ARGO SAP"/>
      <sheetName val="AR AP - Descre"/>
      <sheetName val="Investment Discre"/>
      <sheetName val="Sheet3"/>
      <sheetName val="Investment GA"/>
      <sheetName val="Unmodelled 12M 2020"/>
      <sheetName val="Profit Walk - no longer used"/>
      <sheetName val="Supporting Doc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33">
          <cell r="R33">
            <v>18058003945</v>
          </cell>
        </row>
        <row r="197">
          <cell r="P197">
            <v>-110865452966.47627</v>
          </cell>
        </row>
        <row r="198">
          <cell r="P198">
            <v>-57619617045.907974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</sheetNames>
    <sheetDataSet>
      <sheetData sheetId="0" refreshError="1">
        <row r="2">
          <cell r="D2"/>
          <cell r="E2"/>
        </row>
        <row r="3">
          <cell r="D3" t="str">
            <v>PCODE</v>
          </cell>
          <cell r="E3" t="str">
            <v>Product Name</v>
          </cell>
        </row>
        <row r="4">
          <cell r="D4" t="str">
            <v>UDR Health</v>
          </cell>
          <cell r="E4" t="str">
            <v>N/A</v>
          </cell>
        </row>
        <row r="5">
          <cell r="D5" t="str">
            <v>UDR Protection</v>
          </cell>
          <cell r="E5"/>
        </row>
        <row r="6">
          <cell r="D6" t="str">
            <v>UDR Health</v>
          </cell>
          <cell r="E6"/>
        </row>
        <row r="7">
          <cell r="D7" t="str">
            <v>UDR Protection</v>
          </cell>
          <cell r="E7"/>
        </row>
        <row r="8">
          <cell r="D8" t="str">
            <v>ULABA_</v>
          </cell>
          <cell r="E8" t="str">
            <v>Allisya Benefit Account</v>
          </cell>
        </row>
        <row r="9">
          <cell r="D9" t="str">
            <v>ULAI__</v>
          </cell>
          <cell r="E9" t="str">
            <v>Allisya Invest</v>
          </cell>
        </row>
        <row r="10">
          <cell r="D10" t="str">
            <v>ULAMAP</v>
          </cell>
          <cell r="E10" t="str">
            <v>Allisya Maxi Account Plus</v>
          </cell>
        </row>
        <row r="11">
          <cell r="D11" t="str">
            <v>ULAMF2</v>
          </cell>
          <cell r="E11" t="str">
            <v>AlliSya Maxi Fund Plus</v>
          </cell>
        </row>
        <row r="12">
          <cell r="D12" t="str">
            <v>ULAMF2A</v>
          </cell>
          <cell r="E12" t="str">
            <v>AlliSya Maxi Fund Pls Aft 0920 ASMF2</v>
          </cell>
        </row>
        <row r="13">
          <cell r="D13" t="str">
            <v>ULAMFP</v>
          </cell>
          <cell r="E13" t="str">
            <v>Allisya Maxi Fund Plus</v>
          </cell>
        </row>
        <row r="14">
          <cell r="D14" t="str">
            <v>ULAPO1</v>
          </cell>
          <cell r="E14" t="str">
            <v>Allisya Protection Plus</v>
          </cell>
        </row>
        <row r="15">
          <cell r="D15" t="str">
            <v>ULAPO2</v>
          </cell>
          <cell r="E15" t="str">
            <v>Allisya Protection Plus</v>
          </cell>
        </row>
        <row r="16">
          <cell r="D16" t="str">
            <v>ULAPO3</v>
          </cell>
          <cell r="E16" t="str">
            <v>Allisya Protection Plus</v>
          </cell>
        </row>
        <row r="17">
          <cell r="D17" t="str">
            <v>ULAPO4</v>
          </cell>
          <cell r="E17" t="str">
            <v>Allisya Protection Plus</v>
          </cell>
        </row>
        <row r="18">
          <cell r="D18" t="str">
            <v>ULAPR_</v>
          </cell>
          <cell r="E18" t="str">
            <v>Allisya Protection - Revamped</v>
          </cell>
        </row>
        <row r="19">
          <cell r="D19" t="str">
            <v>ULAP__</v>
          </cell>
          <cell r="E19" t="str">
            <v>Allisya Protection</v>
          </cell>
        </row>
        <row r="20">
          <cell r="D20" t="str">
            <v>ULARK_</v>
          </cell>
          <cell r="E20" t="str">
            <v>RencanaKu Syariah Pensiun</v>
          </cell>
        </row>
        <row r="21">
          <cell r="D21" t="str">
            <v>ULARLK</v>
          </cell>
          <cell r="E21" t="str">
            <v>M Allisya Relink</v>
          </cell>
        </row>
        <row r="22">
          <cell r="D22" t="str">
            <v>ULARP2</v>
          </cell>
          <cell r="E22" t="str">
            <v>Raina Protection Link</v>
          </cell>
        </row>
        <row r="23">
          <cell r="D23" t="str">
            <v>ULARPL</v>
          </cell>
          <cell r="E23" t="str">
            <v>Raina ProtectionLink ARPL</v>
          </cell>
        </row>
        <row r="24">
          <cell r="D24" t="str">
            <v>ULARPN</v>
          </cell>
          <cell r="E24" t="str">
            <v>Raina Protection Link</v>
          </cell>
        </row>
        <row r="25">
          <cell r="D25" t="str">
            <v>ULASFA</v>
          </cell>
          <cell r="E25" t="str">
            <v>Smart Fund Amanah</v>
          </cell>
        </row>
        <row r="26">
          <cell r="D26" t="str">
            <v>ULASPO</v>
          </cell>
          <cell r="E26" t="str">
            <v>Allisya Protection Plus Revamped</v>
          </cell>
        </row>
        <row r="27">
          <cell r="D27" t="str">
            <v>ULASPP</v>
          </cell>
          <cell r="E27" t="str">
            <v>AlliSya Protection Plus New aft 0119</v>
          </cell>
        </row>
        <row r="28">
          <cell r="D28" t="str">
            <v>ULASPPA</v>
          </cell>
          <cell r="E28" t="str">
            <v>AlliSya Protection Plus New aft 0920</v>
          </cell>
        </row>
        <row r="29">
          <cell r="D29" t="str">
            <v>ULASS_</v>
          </cell>
          <cell r="E29" t="str">
            <v>Allisya SafeSaving</v>
          </cell>
        </row>
        <row r="30">
          <cell r="D30" t="str">
            <v>ULCIPA</v>
          </cell>
          <cell r="E30" t="str">
            <v>Care Invest Plus Advanced</v>
          </cell>
        </row>
        <row r="31">
          <cell r="D31" t="str">
            <v>ULCIP_</v>
          </cell>
          <cell r="E31" t="str">
            <v>Care Invest Plus</v>
          </cell>
        </row>
        <row r="32">
          <cell r="D32" t="str">
            <v>ULCPK_</v>
          </cell>
          <cell r="E32" t="str">
            <v>Care Protection Link</v>
          </cell>
        </row>
        <row r="33">
          <cell r="D33" t="str">
            <v>ULCPRA</v>
          </cell>
          <cell r="E33" t="str">
            <v>Care Protection Amanah</v>
          </cell>
        </row>
        <row r="34">
          <cell r="D34" t="str">
            <v>ULCP__</v>
          </cell>
          <cell r="E34" t="str">
            <v>Care Protection Link</v>
          </cell>
        </row>
        <row r="35">
          <cell r="D35" t="str">
            <v>ULDMSA</v>
          </cell>
          <cell r="E35" t="str">
            <v>Danamon RencanaKu Staff</v>
          </cell>
        </row>
        <row r="36">
          <cell r="D36" t="str">
            <v>ULDRKA</v>
          </cell>
          <cell r="E36" t="str">
            <v>Danamon RencanaKu - Affluent</v>
          </cell>
        </row>
        <row r="37">
          <cell r="D37" t="str">
            <v>ULDRKS</v>
          </cell>
          <cell r="E37" t="str">
            <v>Danamon RencanaKu - FS</v>
          </cell>
        </row>
        <row r="38">
          <cell r="D38" t="str">
            <v>ULDRK_</v>
          </cell>
          <cell r="E38" t="str">
            <v>Danamon RencanaKu</v>
          </cell>
        </row>
        <row r="39">
          <cell r="D39" t="str">
            <v>ULDRP_</v>
          </cell>
          <cell r="E39" t="str">
            <v>Danamon RencanaKu Pensiun</v>
          </cell>
        </row>
        <row r="40">
          <cell r="D40" t="str">
            <v>ULFCK_</v>
          </cell>
          <cell r="E40" t="str">
            <v>Edu CareInvest</v>
          </cell>
        </row>
        <row r="41">
          <cell r="D41" t="str">
            <v>ULFC__</v>
          </cell>
          <cell r="E41" t="str">
            <v>Edu CareInvest</v>
          </cell>
        </row>
        <row r="42">
          <cell r="D42" t="str">
            <v>ULFIVS</v>
          </cell>
          <cell r="E42" t="str">
            <v>First Invest Shield</v>
          </cell>
        </row>
        <row r="43">
          <cell r="D43" t="str">
            <v>ULFLFS</v>
          </cell>
          <cell r="E43" t="str">
            <v>First Life Shield</v>
          </cell>
        </row>
        <row r="44">
          <cell r="D44" t="str">
            <v>ULFS__</v>
          </cell>
          <cell r="E44" t="str">
            <v>Family Shield</v>
          </cell>
        </row>
        <row r="45">
          <cell r="D45" t="str">
            <v>ULFT__</v>
          </cell>
          <cell r="E45" t="str">
            <v>Family Trust</v>
          </cell>
        </row>
        <row r="46">
          <cell r="D46" t="str">
            <v>ULGI1_</v>
          </cell>
          <cell r="E46" t="str">
            <v>Guardia Investa</v>
          </cell>
        </row>
        <row r="47">
          <cell r="D47" t="str">
            <v>ULGUP_</v>
          </cell>
          <cell r="E47" t="str">
            <v>Guardia Premium</v>
          </cell>
        </row>
        <row r="48">
          <cell r="D48" t="str">
            <v>ULGUSI</v>
          </cell>
          <cell r="E48" t="str">
            <v>Guardia Signature</v>
          </cell>
        </row>
        <row r="49">
          <cell r="D49" t="str">
            <v>ULGW__</v>
          </cell>
          <cell r="E49" t="str">
            <v>Guardia Wealthlink</v>
          </cell>
        </row>
        <row r="50">
          <cell r="D50" t="str">
            <v>ULHPWA</v>
          </cell>
          <cell r="E50" t="str">
            <v>Premium Wealth Assurance</v>
          </cell>
        </row>
        <row r="51">
          <cell r="D51" t="str">
            <v>ULHTKG</v>
          </cell>
          <cell r="E51" t="str">
            <v>Harta Maxima (Gold, Silver, Platinum)</v>
          </cell>
        </row>
        <row r="52">
          <cell r="D52" t="str">
            <v>ULHTKP</v>
          </cell>
          <cell r="E52" t="str">
            <v>Harta Maxima (Gold, Silver, Platinum)</v>
          </cell>
        </row>
        <row r="53">
          <cell r="D53" t="str">
            <v>ULHTKS</v>
          </cell>
          <cell r="E53" t="str">
            <v>Harta Maxima (Gold, Silver, Platinum)</v>
          </cell>
        </row>
        <row r="54">
          <cell r="D54" t="str">
            <v>ULHUWA</v>
          </cell>
          <cell r="E54" t="str">
            <v>Ultima Wealth Assurance</v>
          </cell>
        </row>
        <row r="55">
          <cell r="D55" t="str">
            <v>ULMAP_</v>
          </cell>
          <cell r="E55" t="str">
            <v>Smartlink Maxi Account Plus</v>
          </cell>
        </row>
        <row r="56">
          <cell r="D56" t="str">
            <v>ULMA__</v>
          </cell>
          <cell r="E56" t="str">
            <v>Smartlink Maxi Account</v>
          </cell>
        </row>
        <row r="57">
          <cell r="D57" t="str">
            <v>ULME__</v>
          </cell>
          <cell r="E57" t="str">
            <v>Smartlink My Amway Education</v>
          </cell>
        </row>
        <row r="58">
          <cell r="D58" t="str">
            <v>ULML__</v>
          </cell>
          <cell r="E58" t="str">
            <v>Smartlink My Life</v>
          </cell>
        </row>
        <row r="59">
          <cell r="D59" t="str">
            <v>ULMPB_</v>
          </cell>
          <cell r="E59" t="str">
            <v>My Protection Bijak</v>
          </cell>
        </row>
        <row r="60">
          <cell r="D60" t="str">
            <v>ULMPIN</v>
          </cell>
          <cell r="E60" t="str">
            <v>MyProtection Infinite</v>
          </cell>
        </row>
        <row r="61">
          <cell r="D61" t="str">
            <v>ULMPI_</v>
          </cell>
          <cell r="E61" t="str">
            <v>My Protection Investa</v>
          </cell>
        </row>
        <row r="62">
          <cell r="D62" t="str">
            <v>ULMPP_</v>
          </cell>
          <cell r="E62" t="str">
            <v>My Protection Prima</v>
          </cell>
        </row>
        <row r="63">
          <cell r="D63" t="str">
            <v>ULMPS_</v>
          </cell>
          <cell r="E63" t="str">
            <v>My Protection Sejahtera</v>
          </cell>
        </row>
        <row r="64">
          <cell r="D64" t="str">
            <v>ULMWP1</v>
          </cell>
          <cell r="E64" t="str">
            <v>Max Wealth</v>
          </cell>
        </row>
        <row r="65">
          <cell r="D65" t="str">
            <v>ULNHM1</v>
          </cell>
          <cell r="E65" t="str">
            <v>New Harta Maxima</v>
          </cell>
        </row>
        <row r="66">
          <cell r="D66" t="str">
            <v>ULNHM2</v>
          </cell>
          <cell r="E66" t="str">
            <v>New Harta Maxima</v>
          </cell>
        </row>
        <row r="67">
          <cell r="D67" t="str">
            <v>ULNHM3</v>
          </cell>
          <cell r="E67" t="str">
            <v>New Harta Maxima</v>
          </cell>
        </row>
        <row r="68">
          <cell r="D68" t="str">
            <v>ULOC__</v>
          </cell>
          <cell r="E68" t="str">
            <v>Optima Care Invest</v>
          </cell>
        </row>
        <row r="69">
          <cell r="D69" t="str">
            <v>ULPPNR</v>
          </cell>
          <cell r="E69" t="str">
            <v>Perencanaan Dana Plus - Revamped</v>
          </cell>
        </row>
        <row r="70">
          <cell r="D70" t="str">
            <v>ULPPN_</v>
          </cell>
          <cell r="E70" t="str">
            <v xml:space="preserve">Perencanaan Dana Plus </v>
          </cell>
        </row>
        <row r="71">
          <cell r="D71" t="str">
            <v>ULPSR_</v>
          </cell>
          <cell r="E71" t="str">
            <v>Premium Shield - Revamped</v>
          </cell>
        </row>
        <row r="72">
          <cell r="D72" t="str">
            <v>ULPS__</v>
          </cell>
          <cell r="E72" t="str">
            <v>Premium Shield</v>
          </cell>
        </row>
        <row r="73">
          <cell r="D73" t="str">
            <v>ULRCK_</v>
          </cell>
          <cell r="E73" t="str">
            <v>Retire CareInvest</v>
          </cell>
        </row>
        <row r="74">
          <cell r="D74" t="str">
            <v>ULRC__</v>
          </cell>
          <cell r="E74" t="str">
            <v>Retire CareInvest</v>
          </cell>
        </row>
        <row r="75">
          <cell r="D75" t="str">
            <v>ULRPOA</v>
          </cell>
          <cell r="E75" t="str">
            <v>Smartlink Flexi Account Plus Revamped</v>
          </cell>
        </row>
        <row r="76">
          <cell r="D76" t="str">
            <v>ULRPOAA</v>
          </cell>
          <cell r="E76" t="str">
            <v>Smartlink Flexi Account Plus Revamp after 0920</v>
          </cell>
        </row>
        <row r="77">
          <cell r="D77" t="str">
            <v>ULSBAR</v>
          </cell>
          <cell r="E77" t="str">
            <v>Smartlink Benefit Account  - Revamped</v>
          </cell>
        </row>
        <row r="78">
          <cell r="D78" t="str">
            <v>ULSBA_</v>
          </cell>
          <cell r="E78" t="str">
            <v>Smartlink Benefit Account</v>
          </cell>
        </row>
        <row r="79">
          <cell r="D79" t="str">
            <v>ULSDIP</v>
          </cell>
          <cell r="E79" t="str">
            <v>Smartlink Dollar Invest Plus</v>
          </cell>
        </row>
        <row r="80">
          <cell r="D80" t="str">
            <v>ULSEXP</v>
          </cell>
          <cell r="E80" t="str">
            <v>Allianz Executive Protection</v>
          </cell>
        </row>
        <row r="81">
          <cell r="D81" t="str">
            <v>ULSFA_</v>
          </cell>
          <cell r="E81" t="str">
            <v>Smartlink Flexi Account</v>
          </cell>
        </row>
        <row r="82">
          <cell r="D82" t="str">
            <v>ULSMFP</v>
          </cell>
          <cell r="E82" t="str">
            <v>Smartlink Maxi Fund Plus</v>
          </cell>
        </row>
        <row r="83">
          <cell r="D83" t="str">
            <v>ULSMP1</v>
          </cell>
          <cell r="E83" t="str">
            <v>Smartlink Maxima Plus Permata</v>
          </cell>
        </row>
        <row r="84">
          <cell r="D84" t="str">
            <v>ULSMP2</v>
          </cell>
          <cell r="E84" t="str">
            <v>Smartlink Maxima Plus Permata</v>
          </cell>
        </row>
        <row r="85">
          <cell r="D85" t="str">
            <v>ULSMP3</v>
          </cell>
          <cell r="E85" t="str">
            <v>Smartlink Maxima Plus Permata</v>
          </cell>
        </row>
        <row r="86">
          <cell r="D86" t="str">
            <v>ULSMP4</v>
          </cell>
          <cell r="E86" t="str">
            <v>Smartlink Maxima Plus</v>
          </cell>
        </row>
        <row r="87">
          <cell r="D87" t="str">
            <v>ULSMP5</v>
          </cell>
          <cell r="E87" t="str">
            <v>Smartlink Maxima Plus</v>
          </cell>
        </row>
        <row r="88">
          <cell r="D88" t="str">
            <v>ULSMP6</v>
          </cell>
          <cell r="E88" t="str">
            <v>Smartlink Maxima Plus</v>
          </cell>
        </row>
        <row r="89">
          <cell r="D89" t="str">
            <v>ULSMPV</v>
          </cell>
          <cell r="E89" t="str">
            <v>Smartlink Protekta Value</v>
          </cell>
        </row>
        <row r="90">
          <cell r="D90" t="str">
            <v>ULSNF2</v>
          </cell>
          <cell r="E90" t="str">
            <v>Smartlink New Flexi Account</v>
          </cell>
        </row>
        <row r="91">
          <cell r="D91" t="str">
            <v>ULSNFA</v>
          </cell>
          <cell r="E91" t="str">
            <v>Smartlink New Flexi Account</v>
          </cell>
        </row>
        <row r="92">
          <cell r="D92" t="str">
            <v>ULSNFR</v>
          </cell>
          <cell r="E92" t="str">
            <v>Smartlink New Flexi Account - Revamped</v>
          </cell>
        </row>
        <row r="93">
          <cell r="D93" t="str">
            <v>ULSNFRA</v>
          </cell>
          <cell r="E93" t="str">
            <v>Smartlink New Flexi Account RLNFA after 0920</v>
          </cell>
        </row>
        <row r="94">
          <cell r="D94" t="str">
            <v>ULSNWK</v>
          </cell>
          <cell r="E94" t="str">
            <v>Dream CareInvest</v>
          </cell>
        </row>
        <row r="95">
          <cell r="D95" t="str">
            <v>ULSNW_</v>
          </cell>
          <cell r="E95" t="str">
            <v>Dream CareInvest</v>
          </cell>
        </row>
        <row r="96">
          <cell r="D96" t="str">
            <v>ULSPG_</v>
          </cell>
          <cell r="E96" t="str">
            <v>Smartlink Protection Gold</v>
          </cell>
        </row>
        <row r="97">
          <cell r="D97" t="str">
            <v>ULSPN1</v>
          </cell>
          <cell r="E97" t="str">
            <v>Smartlink Perencanaan Dana</v>
          </cell>
        </row>
        <row r="98">
          <cell r="D98" t="str">
            <v>ULSPN2</v>
          </cell>
          <cell r="E98" t="str">
            <v>Smartlink Perencanaan Dana</v>
          </cell>
        </row>
        <row r="99">
          <cell r="D99" t="str">
            <v>ULSPO1</v>
          </cell>
          <cell r="E99" t="str">
            <v>Smartlink Flexi Account Plus</v>
          </cell>
        </row>
        <row r="100">
          <cell r="D100" t="str">
            <v>ULSPO2</v>
          </cell>
          <cell r="E100" t="str">
            <v>Smartlink Flexi Account Plus</v>
          </cell>
        </row>
        <row r="101">
          <cell r="D101" t="str">
            <v>ULSPO3</v>
          </cell>
          <cell r="E101" t="str">
            <v>Smartlink Flexi Account Plus</v>
          </cell>
        </row>
        <row r="102">
          <cell r="D102" t="str">
            <v>ULSPO4</v>
          </cell>
          <cell r="E102" t="str">
            <v>Smartlink Flexi Account Plus</v>
          </cell>
        </row>
        <row r="103">
          <cell r="D103" t="str">
            <v>ULSPO5</v>
          </cell>
          <cell r="E103" t="str">
            <v>Smartlink Flexi Account Plus</v>
          </cell>
        </row>
        <row r="104">
          <cell r="D104" t="str">
            <v>ULSPO6</v>
          </cell>
          <cell r="E104" t="str">
            <v>Smartlink Flexi Account Plus</v>
          </cell>
        </row>
        <row r="105">
          <cell r="D105" t="str">
            <v>ULSPO7</v>
          </cell>
          <cell r="E105" t="str">
            <v>Smartlink Flexi Account Plus</v>
          </cell>
        </row>
        <row r="106">
          <cell r="D106" t="str">
            <v>ULSPPR</v>
          </cell>
          <cell r="E106" t="str">
            <v>Smartlink Protection Plus - Revamped</v>
          </cell>
        </row>
        <row r="107">
          <cell r="D107" t="str">
            <v>ULSPP_</v>
          </cell>
          <cell r="E107" t="str">
            <v>Smartlink Protection Plus</v>
          </cell>
        </row>
        <row r="108">
          <cell r="D108" t="str">
            <v>ULSSA2</v>
          </cell>
          <cell r="E108" t="str">
            <v>Smartlink New Staff Account</v>
          </cell>
        </row>
        <row r="109">
          <cell r="D109" t="str">
            <v>ULSSA2A</v>
          </cell>
          <cell r="E109" t="str">
            <v>Smartlink New Staff Account SLSA2 after 0920</v>
          </cell>
        </row>
        <row r="110">
          <cell r="D110" t="str">
            <v>ULSSA_</v>
          </cell>
          <cell r="E110" t="str">
            <v>Smartlink Staff Account</v>
          </cell>
        </row>
        <row r="111">
          <cell r="D111" t="str">
            <v>ULSSP1</v>
          </cell>
          <cell r="E111" t="str">
            <v>Smartlink Signature Protection</v>
          </cell>
        </row>
        <row r="112">
          <cell r="D112" t="str">
            <v>ULSSP2</v>
          </cell>
          <cell r="E112" t="str">
            <v>Smartlink Signature Protection</v>
          </cell>
        </row>
        <row r="113">
          <cell r="D113" t="str">
            <v>ULSSPR</v>
          </cell>
          <cell r="E113" t="str">
            <v>SafeSaving Platinum - Revamped</v>
          </cell>
        </row>
        <row r="114">
          <cell r="D114" t="str">
            <v>ULSSP_</v>
          </cell>
          <cell r="E114" t="str">
            <v>SafeSaving Platinum</v>
          </cell>
        </row>
        <row r="115">
          <cell r="D115" t="str">
            <v>ULSSR_</v>
          </cell>
          <cell r="E115" t="str">
            <v>SafeSaving - Revamped</v>
          </cell>
        </row>
        <row r="116">
          <cell r="D116" t="str">
            <v>ULSS__</v>
          </cell>
          <cell r="E116" t="str">
            <v>SafeSaving</v>
          </cell>
        </row>
        <row r="117">
          <cell r="D117" t="str">
            <v>ULSUS_</v>
          </cell>
          <cell r="E117" t="str">
            <v>Value Shield</v>
          </cell>
        </row>
        <row r="118">
          <cell r="D118" t="str">
            <v>ULSVM1</v>
          </cell>
          <cell r="E118" t="str">
            <v>Smartlink Value Max</v>
          </cell>
        </row>
        <row r="119">
          <cell r="D119" t="str">
            <v>ULSVM2</v>
          </cell>
          <cell r="E119" t="str">
            <v>Smartlink Value Max</v>
          </cell>
        </row>
        <row r="120">
          <cell r="D120" t="str">
            <v>ULSVM3</v>
          </cell>
          <cell r="E120" t="str">
            <v>Smartlink Value Max</v>
          </cell>
        </row>
        <row r="121">
          <cell r="D121" t="str">
            <v>ULSVP_</v>
          </cell>
          <cell r="E121" t="str">
            <v>Smartlink Value Protection</v>
          </cell>
        </row>
        <row r="122">
          <cell r="D122" t="str">
            <v>ULUML_</v>
          </cell>
          <cell r="E122" t="str">
            <v>Ultima Link</v>
          </cell>
        </row>
        <row r="123">
          <cell r="D123" t="str">
            <v>UVSG1_</v>
          </cell>
          <cell r="E123" t="str">
            <v>Smart Legacy</v>
          </cell>
        </row>
        <row r="124">
          <cell r="D124" t="str">
            <v>UVSG2_</v>
          </cell>
          <cell r="E124" t="str">
            <v>Permata Smart Legacy</v>
          </cell>
        </row>
        <row r="125">
          <cell r="D125" t="str">
            <v>UVSG</v>
          </cell>
          <cell r="E125" t="str">
            <v>Smart Legacy</v>
          </cell>
        </row>
        <row r="126">
          <cell r="D126" t="str">
            <v>ULAALM</v>
          </cell>
          <cell r="E126" t="str">
            <v>Allianz Asset Link Maxima</v>
          </cell>
        </row>
        <row r="127">
          <cell r="D127" t="str">
            <v>ULAWPL</v>
          </cell>
          <cell r="E127" t="str">
            <v>Allianz Wealth Link Prestige Life</v>
          </cell>
        </row>
        <row r="128">
          <cell r="D128" t="str">
            <v>ULASMN</v>
          </cell>
          <cell r="E128" t="str">
            <v>Allisya Aman</v>
          </cell>
        </row>
        <row r="129">
          <cell r="D129" t="str">
            <v>CCBPC2</v>
          </cell>
          <cell r="E129" t="str">
            <v>BTPN Credit Life</v>
          </cell>
        </row>
        <row r="130">
          <cell r="D130" t="str">
            <v>CCBPC3</v>
          </cell>
          <cell r="E130" t="str">
            <v>BTPN Credit Life</v>
          </cell>
        </row>
        <row r="131">
          <cell r="D131" t="str">
            <v>CEBEA_</v>
          </cell>
          <cell r="E131" t="str">
            <v>Berencana Aken</v>
          </cell>
        </row>
        <row r="132">
          <cell r="D132" t="str">
            <v>CEBSA_</v>
          </cell>
          <cell r="E132" t="str">
            <v>Beasiswa Aken</v>
          </cell>
        </row>
        <row r="133">
          <cell r="D133" t="str">
            <v>CECC__</v>
          </cell>
          <cell r="E133" t="str">
            <v>College Care</v>
          </cell>
        </row>
        <row r="134">
          <cell r="D134" t="str">
            <v>CEECP_</v>
          </cell>
          <cell r="E134" t="str">
            <v>Euro Cash Plan</v>
          </cell>
        </row>
        <row r="135">
          <cell r="D135" t="str">
            <v>CEEDU_</v>
          </cell>
          <cell r="E135" t="str">
            <v>Euro Education Plan</v>
          </cell>
        </row>
        <row r="136">
          <cell r="D136" t="str">
            <v>CEEEP_</v>
          </cell>
          <cell r="E136" t="str">
            <v>Euro Endowment Plan</v>
          </cell>
        </row>
        <row r="137">
          <cell r="D137" t="str">
            <v>CEEFP_</v>
          </cell>
          <cell r="E137" t="str">
            <v>Euro Family Plan</v>
          </cell>
        </row>
        <row r="138">
          <cell r="D138" t="str">
            <v>CEESP_</v>
          </cell>
          <cell r="E138" t="str">
            <v>Euro Scholarship Plan</v>
          </cell>
        </row>
        <row r="139">
          <cell r="D139" t="str">
            <v>CEEUP_</v>
          </cell>
          <cell r="E139" t="str">
            <v>Euro University Plan</v>
          </cell>
        </row>
        <row r="140">
          <cell r="D140" t="str">
            <v>CEFC50</v>
          </cell>
          <cell r="E140" t="str">
            <v>Future Care</v>
          </cell>
        </row>
        <row r="141">
          <cell r="D141" t="str">
            <v>CEFC55</v>
          </cell>
          <cell r="E141" t="str">
            <v>Future Care</v>
          </cell>
        </row>
        <row r="142">
          <cell r="D142" t="str">
            <v>CEFC60</v>
          </cell>
          <cell r="E142" t="str">
            <v>Future Care</v>
          </cell>
        </row>
        <row r="143">
          <cell r="D143" t="str">
            <v>CEFR50</v>
          </cell>
          <cell r="E143" t="str">
            <v>Smart Future</v>
          </cell>
        </row>
        <row r="144">
          <cell r="D144" t="str">
            <v>CEFR55</v>
          </cell>
          <cell r="E144" t="str">
            <v>Smart Future</v>
          </cell>
        </row>
        <row r="145">
          <cell r="D145" t="str">
            <v>CEFR60</v>
          </cell>
          <cell r="E145" t="str">
            <v>Smart Future</v>
          </cell>
        </row>
        <row r="146">
          <cell r="D146" t="str">
            <v>CEGPST</v>
          </cell>
          <cell r="E146" t="str">
            <v>GUARDIA PASTI</v>
          </cell>
        </row>
        <row r="147">
          <cell r="D147" t="str">
            <v>CEHPST</v>
          </cell>
          <cell r="E147" t="str">
            <v>OPTIMA PROTECTION ASSURANCE PASTI</v>
          </cell>
        </row>
        <row r="148">
          <cell r="D148" t="str">
            <v>CEFPST</v>
          </cell>
          <cell r="E148" t="str">
            <v>First Life Pasti</v>
          </cell>
        </row>
        <row r="149">
          <cell r="D149" t="str">
            <v>CEHT__</v>
          </cell>
          <cell r="E149" t="str">
            <v>Hari Tua</v>
          </cell>
        </row>
        <row r="150">
          <cell r="D150" t="str">
            <v>CEME__</v>
          </cell>
          <cell r="E150" t="str">
            <v>My Education</v>
          </cell>
        </row>
        <row r="151">
          <cell r="D151" t="str">
            <v>CEMF50</v>
          </cell>
          <cell r="E151" t="str">
            <v>My Future</v>
          </cell>
        </row>
        <row r="152">
          <cell r="D152" t="str">
            <v>CEMF55</v>
          </cell>
          <cell r="E152" t="str">
            <v>My Future</v>
          </cell>
        </row>
        <row r="153">
          <cell r="D153" t="str">
            <v>CEMF60</v>
          </cell>
          <cell r="E153" t="str">
            <v>My Future</v>
          </cell>
        </row>
        <row r="154">
          <cell r="D154" t="str">
            <v>CEMFP1</v>
          </cell>
          <cell r="E154" t="str">
            <v>MyFuture Permata</v>
          </cell>
        </row>
        <row r="155">
          <cell r="D155" t="str">
            <v>CEMFP2</v>
          </cell>
          <cell r="E155" t="str">
            <v>MyFuture Permata</v>
          </cell>
        </row>
        <row r="156">
          <cell r="D156" t="str">
            <v>CEMFP3</v>
          </cell>
          <cell r="E156" t="str">
            <v>MyFuture Permata</v>
          </cell>
        </row>
        <row r="157">
          <cell r="D157" t="str">
            <v>CEMPST</v>
          </cell>
          <cell r="E157" t="str">
            <v>MYPROTECTION PASTI</v>
          </cell>
        </row>
        <row r="158">
          <cell r="D158" t="str">
            <v>CEPLA_</v>
          </cell>
          <cell r="E158" t="str">
            <v>Perlindungan Aken</v>
          </cell>
        </row>
        <row r="159">
          <cell r="D159" t="str">
            <v>CEPL__</v>
          </cell>
          <cell r="E159" t="str">
            <v>Perlindungan Keluarga</v>
          </cell>
        </row>
        <row r="160">
          <cell r="D160" t="str">
            <v>CESCP_</v>
          </cell>
          <cell r="E160" t="str">
            <v>Smart Cash Plus</v>
          </cell>
        </row>
        <row r="161">
          <cell r="D161" t="str">
            <v>CESC__</v>
          </cell>
          <cell r="E161" t="str">
            <v>Smart Cash</v>
          </cell>
        </row>
        <row r="162">
          <cell r="D162" t="str">
            <v>CESDP_</v>
          </cell>
          <cell r="E162" t="str">
            <v>Smart Savings Plus</v>
          </cell>
        </row>
        <row r="163">
          <cell r="D163" t="str">
            <v>CESD__</v>
          </cell>
          <cell r="E163" t="str">
            <v>Smart Savings</v>
          </cell>
        </row>
        <row r="164">
          <cell r="D164" t="str">
            <v>CESEP_</v>
          </cell>
          <cell r="E164" t="str">
            <v>Smart Education Plus</v>
          </cell>
        </row>
        <row r="165">
          <cell r="D165" t="str">
            <v>CESE__</v>
          </cell>
          <cell r="E165" t="str">
            <v>Smart Education</v>
          </cell>
        </row>
        <row r="166">
          <cell r="D166" t="str">
            <v>CESFP_</v>
          </cell>
          <cell r="E166" t="str">
            <v>Smart Family Plus</v>
          </cell>
        </row>
        <row r="167">
          <cell r="D167" t="str">
            <v>CESF__</v>
          </cell>
          <cell r="E167" t="str">
            <v>Smart Family</v>
          </cell>
        </row>
        <row r="168">
          <cell r="D168" t="str">
            <v>CESSP_</v>
          </cell>
          <cell r="E168" t="str">
            <v>Smart Scholarship Plus</v>
          </cell>
        </row>
        <row r="169">
          <cell r="D169" t="str">
            <v>CESS__</v>
          </cell>
          <cell r="E169" t="str">
            <v>Smart Scholarship</v>
          </cell>
        </row>
        <row r="170">
          <cell r="D170" t="str">
            <v>CESUP_</v>
          </cell>
          <cell r="E170" t="str">
            <v>Smart University Plus</v>
          </cell>
        </row>
        <row r="171">
          <cell r="D171" t="str">
            <v>CESU__</v>
          </cell>
          <cell r="E171" t="str">
            <v>Smart University</v>
          </cell>
        </row>
        <row r="172">
          <cell r="D172" t="str">
            <v>CEZPST</v>
          </cell>
          <cell r="E172" t="str">
            <v>ALLIANZ PASTI</v>
          </cell>
        </row>
        <row r="173">
          <cell r="D173" t="str">
            <v>CJLIFE</v>
          </cell>
          <cell r="E173" t="str">
            <v>Joint Care</v>
          </cell>
        </row>
        <row r="174">
          <cell r="D174" t="str">
            <v>CTMPJG</v>
          </cell>
          <cell r="E174" t="str">
            <v>Jiwa Garda</v>
          </cell>
        </row>
        <row r="175">
          <cell r="D175" t="str">
            <v>CTMPJS</v>
          </cell>
          <cell r="E175" t="str">
            <v>Jiwa Siaga</v>
          </cell>
        </row>
        <row r="176">
          <cell r="D176" t="str">
            <v>CTSL__</v>
          </cell>
          <cell r="E176" t="str">
            <v>Smart Life</v>
          </cell>
        </row>
        <row r="177">
          <cell r="D177" t="str">
            <v>CTSL__A</v>
          </cell>
          <cell r="E177" t="str">
            <v>Smart Life SL aft 0920</v>
          </cell>
        </row>
        <row r="178">
          <cell r="D178" t="str">
            <v>CTTP__</v>
          </cell>
          <cell r="E178" t="str">
            <v>TaproKu</v>
          </cell>
        </row>
        <row r="179">
          <cell r="D179" t="str">
            <v>CWEWP_</v>
          </cell>
          <cell r="E179" t="str">
            <v>Euro Whole Life Plan</v>
          </cell>
        </row>
        <row r="180">
          <cell r="D180" t="str">
            <v>CWEXP_</v>
          </cell>
          <cell r="E180" t="str">
            <v>Euro Executive Protection</v>
          </cell>
        </row>
        <row r="181">
          <cell r="D181" t="str">
            <v>CWMP__</v>
          </cell>
          <cell r="E181" t="str">
            <v>My Protection</v>
          </cell>
        </row>
        <row r="182">
          <cell r="D182" t="str">
            <v>CWMWKU</v>
          </cell>
          <cell r="E182" t="str">
            <v>Danamon WarisanKu</v>
          </cell>
        </row>
        <row r="183">
          <cell r="D183" t="str">
            <v>CWSXP_</v>
          </cell>
          <cell r="E183" t="str">
            <v>Smart Executive Plus</v>
          </cell>
        </row>
        <row r="184">
          <cell r="D184" t="str">
            <v>CWSX__</v>
          </cell>
          <cell r="E184" t="str">
            <v>Smart Executive</v>
          </cell>
        </row>
        <row r="185">
          <cell r="D185" t="str">
            <v>CEALSP</v>
          </cell>
          <cell r="E185" t="str">
            <v>Allianz Secure PASTI</v>
          </cell>
        </row>
        <row r="186">
          <cell r="D186" t="str">
            <v>CTCICP</v>
          </cell>
          <cell r="E186" t="str">
            <v>Critical Illness Care Protection</v>
          </cell>
        </row>
        <row r="187">
          <cell r="D187" t="str">
            <v>CTMPSL</v>
          </cell>
          <cell r="E187" t="str">
            <v>MyProtection Simple</v>
          </cell>
        </row>
        <row r="188">
          <cell r="D188" t="str">
            <v>ULBPOC</v>
          </cell>
          <cell r="E188" t="str">
            <v>Proteksi Optima Care</v>
          </cell>
        </row>
        <row r="189">
          <cell r="D189" t="str">
            <v>ULBPMC</v>
          </cell>
          <cell r="E189" t="str">
            <v>Proteksi Maxima Care</v>
          </cell>
        </row>
        <row r="190">
          <cell r="D190" t="str">
            <v>ULMSU_</v>
          </cell>
          <cell r="E190" t="str">
            <v>MyProtection Supreme</v>
          </cell>
        </row>
        <row r="191">
          <cell r="D191" t="str">
            <v>ULAWPR</v>
          </cell>
          <cell r="E191" t="str">
            <v>Allianz Wealthlink Preferred Life</v>
          </cell>
        </row>
        <row r="192">
          <cell r="D192" t="str">
            <v>ULGSU_</v>
          </cell>
          <cell r="E192" t="str">
            <v>Guardia Supreme Life</v>
          </cell>
        </row>
        <row r="193">
          <cell r="D193" t="str">
            <v>CSHCPP</v>
          </cell>
          <cell r="E193" t="str">
            <v>Smarthealth Care Premier Plus</v>
          </cell>
        </row>
        <row r="194">
          <cell r="D194" t="str">
            <v>ULAALM</v>
          </cell>
          <cell r="E194" t="str">
            <v>Allianz Asset Link Maxima (add new channel BCI)</v>
          </cell>
        </row>
        <row r="195">
          <cell r="D195" t="str">
            <v>ULAWPL</v>
          </cell>
          <cell r="E195" t="str">
            <v>Allianz Wealth Link Prestige Life (add new channel OCBC)</v>
          </cell>
        </row>
        <row r="196">
          <cell r="D196" t="str">
            <v>ULAWPL</v>
          </cell>
          <cell r="E196" t="str">
            <v>Allianz Wealth Link Prestige Life (add new channel QNB)</v>
          </cell>
        </row>
        <row r="197">
          <cell r="D197" t="str">
            <v>ULAWPR</v>
          </cell>
          <cell r="E197" t="str">
            <v>Allianz Wealthlink Preferred Life (add new channel Victoria)</v>
          </cell>
        </row>
        <row r="198">
          <cell r="D198" t="str">
            <v>CEALSP</v>
          </cell>
          <cell r="E198" t="str">
            <v>Allianz Secure PASTI (add new channel OCBC)</v>
          </cell>
        </row>
        <row r="199">
          <cell r="D199" t="str">
            <v>CEALSP</v>
          </cell>
          <cell r="E199" t="str">
            <v>Allianz Secure PASTI (add new channel Victoria)</v>
          </cell>
        </row>
        <row r="200">
          <cell r="D200" t="str">
            <v>WPCI77</v>
          </cell>
          <cell r="E200" t="str">
            <v>Allianz Payor CI 77</v>
          </cell>
        </row>
        <row r="201">
          <cell r="D201" t="str">
            <v>CCBPCN</v>
          </cell>
          <cell r="E201" t="str">
            <v>New BTPN Credit Life</v>
          </cell>
        </row>
        <row r="202">
          <cell r="D202" t="str">
            <v>CCWSA_</v>
          </cell>
          <cell r="E202" t="str">
            <v>SmartProtection BWS (Active Employee)</v>
          </cell>
        </row>
        <row r="203">
          <cell r="D203" t="str">
            <v>CCWSP_</v>
          </cell>
          <cell r="E203" t="str">
            <v>SmartProtection BWS (Pre Retiree)</v>
          </cell>
        </row>
        <row r="204">
          <cell r="D204" t="str">
            <v>CCWSR_</v>
          </cell>
          <cell r="E204" t="str">
            <v>SmartProtection BWS (Retiree)</v>
          </cell>
        </row>
        <row r="205">
          <cell r="D205" t="str">
            <v>CCBKA_</v>
          </cell>
          <cell r="E205" t="str">
            <v>SmartProtection Bukopin (Active Employee)</v>
          </cell>
        </row>
        <row r="206">
          <cell r="D206" t="str">
            <v>CCBKP_</v>
          </cell>
          <cell r="E206" t="str">
            <v>SmartProtection Bukopin (Pre Retiree)</v>
          </cell>
        </row>
        <row r="207">
          <cell r="D207" t="str">
            <v>CCBKR_</v>
          </cell>
          <cell r="E207" t="str">
            <v>SmartProtection Bukopin (Retiree)</v>
          </cell>
        </row>
        <row r="208">
          <cell r="D208" t="str">
            <v>CSHNDL</v>
          </cell>
          <cell r="E208" t="str">
            <v>Alisya Handal</v>
          </cell>
        </row>
        <row r="209">
          <cell r="D209" t="str">
            <v>CSCI49</v>
          </cell>
          <cell r="E209" t="str">
            <v>CI49</v>
          </cell>
        </row>
        <row r="210">
          <cell r="D210" t="str">
            <v>CHEAZY</v>
          </cell>
          <cell r="E210" t="str">
            <v>eAZy MediCash</v>
          </cell>
        </row>
        <row r="211">
          <cell r="D211" t="str">
            <v>ULMPP2</v>
          </cell>
          <cell r="E211" t="str">
            <v>MyProtection Prima II</v>
          </cell>
        </row>
        <row r="212">
          <cell r="D212" t="str">
            <v>ULGUPM</v>
          </cell>
          <cell r="E212" t="str">
            <v>Guardia Prima</v>
          </cell>
        </row>
        <row r="213">
          <cell r="D213" t="str">
            <v>ULWPR2</v>
          </cell>
          <cell r="E213" t="str">
            <v>Allianz Wealthlink Protection Life</v>
          </cell>
        </row>
        <row r="214">
          <cell r="D214" t="str">
            <v>ULMSU2</v>
          </cell>
          <cell r="E214" t="str">
            <v>MyProtection Supreme II</v>
          </cell>
        </row>
        <row r="215">
          <cell r="D215" t="str">
            <v>ULGUMA</v>
          </cell>
          <cell r="E215" t="str">
            <v>Guardia Maxima</v>
          </cell>
        </row>
        <row r="216">
          <cell r="D216" t="str">
            <v>ULWSL_</v>
          </cell>
          <cell r="E216" t="str">
            <v>Allianz Wealthlink Supreme Life</v>
          </cell>
        </row>
        <row r="217">
          <cell r="D217" t="str">
            <v>ULHPIP</v>
          </cell>
          <cell r="E217" t="str">
            <v>Protect Invest Plus</v>
          </cell>
        </row>
        <row r="218">
          <cell r="D218" t="str">
            <v>ULHUWA</v>
          </cell>
          <cell r="E218" t="str">
            <v>Ultimate Wealth Insurance</v>
          </cell>
        </row>
        <row r="219">
          <cell r="D219" t="str">
            <v>ULGALLOC</v>
          </cell>
          <cell r="E219" t="str">
            <v>Group Saving</v>
          </cell>
        </row>
        <row r="220">
          <cell r="D220" t="str">
            <v>ULSPOOL</v>
          </cell>
          <cell r="E220" t="str">
            <v>Group Saving</v>
          </cell>
        </row>
        <row r="221">
          <cell r="D221" t="str">
            <v>UEATSB</v>
          </cell>
          <cell r="E221" t="str">
            <v>Allianz Tasbih</v>
          </cell>
        </row>
        <row r="222">
          <cell r="D222"/>
          <cell r="E222"/>
        </row>
      </sheetData>
      <sheetData sheetId="1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Lookup"/>
      <sheetName val="Summary by Group Raw Data"/>
    </sheetNames>
    <sheetDataSet>
      <sheetData sheetId="0"/>
      <sheetData sheetId="1"/>
      <sheetData sheetId="2">
        <row r="4">
          <cell r="C4" t="str">
            <v>AZLGC_IDR</v>
          </cell>
          <cell r="D4" t="str">
            <v>CWLGC_</v>
          </cell>
          <cell r="E4">
            <v>22625163175641</v>
          </cell>
          <cell r="F4">
            <v>2107511791494.3005</v>
          </cell>
          <cell r="G4">
            <v>24732674967135.313</v>
          </cell>
        </row>
        <row r="5">
          <cell r="C5" t="str">
            <v>MLGC_IDR</v>
          </cell>
          <cell r="D5" t="str">
            <v>CWMLGC</v>
          </cell>
          <cell r="E5">
            <v>2059121849990</v>
          </cell>
          <cell r="F5">
            <v>173837865000</v>
          </cell>
          <cell r="G5">
            <v>2232959714990</v>
          </cell>
        </row>
        <row r="6">
          <cell r="C6" t="str">
            <v>GLGC_IDR</v>
          </cell>
          <cell r="D6" t="str">
            <v>CWGLGC</v>
          </cell>
          <cell r="E6">
            <v>531608539955</v>
          </cell>
          <cell r="F6">
            <v>49676553995.5</v>
          </cell>
          <cell r="G6">
            <v>581285093950.5</v>
          </cell>
        </row>
        <row r="7">
          <cell r="C7" t="str">
            <v>ALGCP_IDR</v>
          </cell>
          <cell r="D7" t="str">
            <v>CWLGCP</v>
          </cell>
          <cell r="E7">
            <v>606025050001</v>
          </cell>
          <cell r="F7">
            <v>45296350000.099998</v>
          </cell>
          <cell r="G7">
            <v>651321400001.09998</v>
          </cell>
        </row>
        <row r="8">
          <cell r="C8" t="str">
            <v>AZLGC_USD</v>
          </cell>
          <cell r="D8" t="str">
            <v>CWLGC_</v>
          </cell>
          <cell r="E8">
            <v>58526999</v>
          </cell>
          <cell r="F8">
            <v>4381799.9000000004</v>
          </cell>
          <cell r="G8">
            <v>62908798.899999999</v>
          </cell>
        </row>
        <row r="9">
          <cell r="C9" t="str">
            <v>MLGC_USD</v>
          </cell>
          <cell r="D9" t="str">
            <v>CWMLGC</v>
          </cell>
          <cell r="E9">
            <v>7621000</v>
          </cell>
          <cell r="F9">
            <v>597100</v>
          </cell>
          <cell r="G9">
            <v>8218100</v>
          </cell>
        </row>
        <row r="10">
          <cell r="C10" t="str">
            <v>GLGC_USD</v>
          </cell>
          <cell r="D10" t="str">
            <v>CWGLGC</v>
          </cell>
          <cell r="E10">
            <v>1449030</v>
          </cell>
          <cell r="F10">
            <v>144903</v>
          </cell>
          <cell r="G10">
            <v>1593933</v>
          </cell>
        </row>
        <row r="11">
          <cell r="C11" t="str">
            <v>ALGCP_USD</v>
          </cell>
          <cell r="D11" t="str">
            <v>CWLGCP</v>
          </cell>
          <cell r="E11">
            <v>6961200</v>
          </cell>
          <cell r="F11">
            <v>518120</v>
          </cell>
          <cell r="G11">
            <v>7479320</v>
          </cell>
        </row>
        <row r="12">
          <cell r="C12" t="str">
            <v>ASLGM_IDR</v>
          </cell>
          <cell r="D12" t="str">
            <v>CSLGM_</v>
          </cell>
          <cell r="E12">
            <v>2142565597986</v>
          </cell>
          <cell r="F12">
            <v>180359170910</v>
          </cell>
          <cell r="G12">
            <v>2322924768896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port Worksheet"/>
      <sheetName val="SQL"/>
    </sheetNames>
    <sheetDataSet>
      <sheetData sheetId="0">
        <row r="1">
          <cell r="E1" t="str">
            <v>COVER_CODE</v>
          </cell>
          <cell r="K1" t="str">
            <v>PREM_ATTR</v>
          </cell>
        </row>
        <row r="2">
          <cell r="E2" t="str">
            <v>SPKTAMBSI</v>
          </cell>
          <cell r="K2">
            <v>44279.964648875997</v>
          </cell>
        </row>
        <row r="3">
          <cell r="E3" t="str">
            <v>SPKTAMBSI</v>
          </cell>
          <cell r="K3" t="str">
            <v/>
          </cell>
        </row>
        <row r="4">
          <cell r="E4" t="str">
            <v>SPKTAMBSI</v>
          </cell>
          <cell r="K4" t="str">
            <v/>
          </cell>
        </row>
        <row r="5">
          <cell r="E5" t="str">
            <v>SPKTAPBSI</v>
          </cell>
          <cell r="K5">
            <v>4813450.5019050799</v>
          </cell>
        </row>
        <row r="6">
          <cell r="E6" t="str">
            <v>SPKTAMBSI</v>
          </cell>
          <cell r="K6" t="str">
            <v/>
          </cell>
        </row>
        <row r="7">
          <cell r="E7" t="str">
            <v>SPKTAMBSI</v>
          </cell>
          <cell r="K7" t="str">
            <v/>
          </cell>
        </row>
        <row r="8">
          <cell r="E8" t="str">
            <v>SPKTAMBSI</v>
          </cell>
          <cell r="K8" t="str">
            <v/>
          </cell>
        </row>
        <row r="9">
          <cell r="E9" t="str">
            <v>SPKTAMBSI</v>
          </cell>
          <cell r="K9" t="str">
            <v/>
          </cell>
        </row>
        <row r="10">
          <cell r="E10" t="str">
            <v>SPKTAPBSI</v>
          </cell>
          <cell r="K10">
            <v>1686738.2139664199</v>
          </cell>
        </row>
        <row r="11">
          <cell r="E11" t="str">
            <v>SPKTAPBSI</v>
          </cell>
          <cell r="K11">
            <v>824657.73265569704</v>
          </cell>
        </row>
        <row r="12">
          <cell r="E12" t="str">
            <v>SPKTAPBSI</v>
          </cell>
          <cell r="K12">
            <v>1576808.5240726101</v>
          </cell>
        </row>
        <row r="13">
          <cell r="E13" t="str">
            <v>SPKTAPBSI</v>
          </cell>
          <cell r="K13">
            <v>2182957.8510474199</v>
          </cell>
        </row>
        <row r="14">
          <cell r="E14" t="str">
            <v>SPKTAPBSI</v>
          </cell>
          <cell r="K14" t="str">
            <v/>
          </cell>
        </row>
        <row r="15">
          <cell r="E15" t="str">
            <v>SPKTAPBSI</v>
          </cell>
          <cell r="K15">
            <v>17091656.990764201</v>
          </cell>
        </row>
        <row r="16">
          <cell r="E16" t="str">
            <v>SPKTAMBSI</v>
          </cell>
          <cell r="K16" t="str">
            <v/>
          </cell>
        </row>
        <row r="17">
          <cell r="E17" t="str">
            <v>SPKTAPBSI</v>
          </cell>
          <cell r="K17">
            <v>686881.15445364499</v>
          </cell>
        </row>
        <row r="18">
          <cell r="E18" t="str">
            <v>SPKTAPBSI</v>
          </cell>
          <cell r="K18">
            <v>6230207.9225538997</v>
          </cell>
        </row>
        <row r="19">
          <cell r="E19" t="str">
            <v>SPKTAPBSI</v>
          </cell>
          <cell r="K19">
            <v>417927.39873307402</v>
          </cell>
        </row>
        <row r="20">
          <cell r="E20" t="str">
            <v>SPKTAMBSI</v>
          </cell>
          <cell r="K20" t="str">
            <v/>
          </cell>
        </row>
        <row r="21">
          <cell r="E21" t="str">
            <v>SPKTAPBSI</v>
          </cell>
          <cell r="K21">
            <v>801160.98496076197</v>
          </cell>
        </row>
        <row r="22">
          <cell r="E22" t="str">
            <v>SPKTAPBSI</v>
          </cell>
          <cell r="K22">
            <v>16929576.6767051</v>
          </cell>
        </row>
        <row r="23">
          <cell r="E23" t="str">
            <v>SPKTAPBSI</v>
          </cell>
          <cell r="K23">
            <v>4829201.9722514497</v>
          </cell>
        </row>
        <row r="24">
          <cell r="E24" t="str">
            <v>SPKTAPBSI</v>
          </cell>
          <cell r="K24">
            <v>1125421.0286582799</v>
          </cell>
        </row>
        <row r="25">
          <cell r="E25" t="str">
            <v>SPKTAPBSI</v>
          </cell>
          <cell r="K25">
            <v>18810640.751894601</v>
          </cell>
        </row>
        <row r="26">
          <cell r="E26" t="str">
            <v>SPKTAMBSI</v>
          </cell>
          <cell r="K26" t="str">
            <v/>
          </cell>
        </row>
        <row r="27">
          <cell r="E27" t="str">
            <v>SPKTAPBSI</v>
          </cell>
          <cell r="K27">
            <v>3781078.2465124102</v>
          </cell>
        </row>
        <row r="28">
          <cell r="E28" t="str">
            <v>SPKTAPBSI</v>
          </cell>
          <cell r="K28">
            <v>12607269.7477632</v>
          </cell>
        </row>
        <row r="29">
          <cell r="E29" t="str">
            <v>SPKTAPBSI</v>
          </cell>
          <cell r="K29">
            <v>1074691.9346662201</v>
          </cell>
        </row>
        <row r="30">
          <cell r="E30" t="str">
            <v>SPKTAPBSI</v>
          </cell>
          <cell r="K30">
            <v>3431894.19462715</v>
          </cell>
        </row>
        <row r="31">
          <cell r="E31" t="str">
            <v>SPKTAPBSI</v>
          </cell>
          <cell r="K31">
            <v>14258571.4952462</v>
          </cell>
        </row>
        <row r="32">
          <cell r="E32" t="str">
            <v>SPKTAPBSI</v>
          </cell>
          <cell r="K32">
            <v>3553554.0618091198</v>
          </cell>
        </row>
        <row r="33">
          <cell r="E33" t="str">
            <v>SPKTAPBSI</v>
          </cell>
          <cell r="K33">
            <v>6501966.8121761102</v>
          </cell>
        </row>
        <row r="34">
          <cell r="E34" t="str">
            <v>SPKTAPBSI</v>
          </cell>
          <cell r="K34">
            <v>1181389.4917733099</v>
          </cell>
        </row>
        <row r="35">
          <cell r="E35" t="str">
            <v>SPKTAPBSI</v>
          </cell>
          <cell r="K35">
            <v>14104853.248306099</v>
          </cell>
        </row>
        <row r="36">
          <cell r="E36" t="str">
            <v>SPKTAPBSI</v>
          </cell>
          <cell r="K36">
            <v>2748506.3790578898</v>
          </cell>
        </row>
        <row r="37">
          <cell r="E37" t="str">
            <v>SPKTAPBSI</v>
          </cell>
          <cell r="K37">
            <v>3606113.3563104402</v>
          </cell>
        </row>
        <row r="38">
          <cell r="E38" t="str">
            <v>SPKTAPBSI</v>
          </cell>
          <cell r="K38">
            <v>9951440.5249579102</v>
          </cell>
        </row>
        <row r="39">
          <cell r="E39" t="str">
            <v>SPKTAPBSI</v>
          </cell>
          <cell r="K39" t="str">
            <v/>
          </cell>
        </row>
        <row r="40">
          <cell r="E40" t="str">
            <v>SPKTAPBSI</v>
          </cell>
          <cell r="K40">
            <v>18121469.9925563</v>
          </cell>
        </row>
        <row r="41">
          <cell r="E41" t="str">
            <v>SPKTAPBSI</v>
          </cell>
          <cell r="K41">
            <v>1209858.5220252301</v>
          </cell>
        </row>
        <row r="42">
          <cell r="E42" t="str">
            <v>SPKTAPBSI</v>
          </cell>
          <cell r="K42">
            <v>637338.37429111497</v>
          </cell>
        </row>
        <row r="43">
          <cell r="E43" t="str">
            <v>SPKTAPBSI</v>
          </cell>
          <cell r="K43">
            <v>5736384.79647684</v>
          </cell>
        </row>
        <row r="44">
          <cell r="E44" t="str">
            <v>SPKTAPBSI</v>
          </cell>
          <cell r="K44">
            <v>3569488.8039712901</v>
          </cell>
        </row>
        <row r="45">
          <cell r="E45" t="str">
            <v>SPKTAPBSI</v>
          </cell>
          <cell r="K45">
            <v>12608857.912067801</v>
          </cell>
        </row>
        <row r="46">
          <cell r="E46" t="str">
            <v>SPKTAPBSI</v>
          </cell>
          <cell r="K46">
            <v>7658801.7459006701</v>
          </cell>
        </row>
        <row r="47">
          <cell r="E47" t="str">
            <v>SPKTAPBSI</v>
          </cell>
          <cell r="K47">
            <v>17969468.700826202</v>
          </cell>
        </row>
        <row r="48">
          <cell r="E48" t="str">
            <v>SPKTAPBSI</v>
          </cell>
          <cell r="K48">
            <v>1331283.32794362</v>
          </cell>
        </row>
        <row r="49">
          <cell r="E49" t="str">
            <v>SPKTAPBSI</v>
          </cell>
          <cell r="K49">
            <v>206572.72071205199</v>
          </cell>
        </row>
        <row r="50">
          <cell r="E50" t="str">
            <v>SPKTAPBSI</v>
          </cell>
          <cell r="K50" t="str">
            <v/>
          </cell>
        </row>
        <row r="51">
          <cell r="E51" t="str">
            <v>SPKTAPBSI</v>
          </cell>
          <cell r="K51">
            <v>644815.16079973301</v>
          </cell>
        </row>
        <row r="52">
          <cell r="E52" t="str">
            <v>SPKTAPBSI</v>
          </cell>
          <cell r="K52">
            <v>2833152.2248243601</v>
          </cell>
        </row>
        <row r="53">
          <cell r="E53" t="str">
            <v>SPKTAPBSI</v>
          </cell>
          <cell r="K53">
            <v>180754.23728813601</v>
          </cell>
        </row>
        <row r="54">
          <cell r="E54" t="str">
            <v>SPKTAPBSI</v>
          </cell>
          <cell r="K54">
            <v>15064901.0579913</v>
          </cell>
        </row>
        <row r="55">
          <cell r="E55" t="str">
            <v>SPKTAPBSI</v>
          </cell>
          <cell r="K55">
            <v>9412542.3993747495</v>
          </cell>
        </row>
        <row r="56">
          <cell r="E56" t="str">
            <v>SPKTAPBSI</v>
          </cell>
          <cell r="K56">
            <v>71401.709903189301</v>
          </cell>
        </row>
        <row r="57">
          <cell r="E57" t="str">
            <v>SPKTAPBSI</v>
          </cell>
          <cell r="K57" t="str">
            <v/>
          </cell>
        </row>
        <row r="58">
          <cell r="E58" t="str">
            <v>SPKTAPBSI</v>
          </cell>
          <cell r="K58">
            <v>326410.260530242</v>
          </cell>
        </row>
        <row r="59">
          <cell r="E59" t="str">
            <v>SPKTAPBSI</v>
          </cell>
          <cell r="K59">
            <v>1111163.5657037699</v>
          </cell>
        </row>
        <row r="60">
          <cell r="E60" t="str">
            <v>SPKTAPBSI</v>
          </cell>
          <cell r="K60">
            <v>710716.39202081505</v>
          </cell>
        </row>
        <row r="61">
          <cell r="E61" t="str">
            <v>SPKTAPBSI</v>
          </cell>
          <cell r="K61">
            <v>837279.63514519704</v>
          </cell>
        </row>
        <row r="62">
          <cell r="E62" t="str">
            <v>SPKTAPBSI</v>
          </cell>
          <cell r="K62">
            <v>837279.63514519704</v>
          </cell>
        </row>
        <row r="63">
          <cell r="E63" t="str">
            <v>SPKTAPBSI</v>
          </cell>
          <cell r="K63">
            <v>8574625.4633199796</v>
          </cell>
        </row>
        <row r="64">
          <cell r="E64" t="str">
            <v>SPKTAPBSI</v>
          </cell>
          <cell r="K64">
            <v>3483552.5839799698</v>
          </cell>
        </row>
        <row r="65">
          <cell r="E65" t="str">
            <v>SPKTAPBSI</v>
          </cell>
          <cell r="K65">
            <v>11889200.105193101</v>
          </cell>
        </row>
        <row r="66">
          <cell r="E66" t="str">
            <v>SPKTAPBSI</v>
          </cell>
          <cell r="K66">
            <v>5447977.4136209805</v>
          </cell>
        </row>
        <row r="67">
          <cell r="E67" t="str">
            <v>SPKTAPBSI</v>
          </cell>
          <cell r="K67">
            <v>6072648.1766627897</v>
          </cell>
        </row>
        <row r="68">
          <cell r="E68" t="str">
            <v>SPKTAPBSI</v>
          </cell>
          <cell r="K68">
            <v>9412542.3993747495</v>
          </cell>
        </row>
        <row r="69">
          <cell r="E69" t="str">
            <v>SPKTAPBSI</v>
          </cell>
          <cell r="K69">
            <v>14959000.9422902</v>
          </cell>
        </row>
        <row r="70">
          <cell r="E70" t="str">
            <v>SPKTAPBSI</v>
          </cell>
          <cell r="K70">
            <v>16867382.139664199</v>
          </cell>
        </row>
        <row r="71">
          <cell r="E71" t="str">
            <v>SPKTAPBSI</v>
          </cell>
          <cell r="K71">
            <v>471778.12734775001</v>
          </cell>
        </row>
        <row r="72">
          <cell r="E72" t="str">
            <v>SPKTAPBSI</v>
          </cell>
          <cell r="K72">
            <v>13525220.512820501</v>
          </cell>
        </row>
        <row r="73">
          <cell r="E73" t="str">
            <v>SPKTAPBSI</v>
          </cell>
          <cell r="K73">
            <v>403079.836928826</v>
          </cell>
        </row>
        <row r="74">
          <cell r="E74" t="str">
            <v>SPKTAPBSI</v>
          </cell>
          <cell r="K74">
            <v>2270330.0056764199</v>
          </cell>
        </row>
        <row r="75">
          <cell r="E75" t="str">
            <v>SPKTAPBSI</v>
          </cell>
          <cell r="K75">
            <v>14987.2848334111</v>
          </cell>
        </row>
        <row r="76">
          <cell r="E76" t="str">
            <v>SPKTAPBSI</v>
          </cell>
          <cell r="K76">
            <v>3431894.19462715</v>
          </cell>
        </row>
        <row r="77">
          <cell r="E77" t="str">
            <v>SPKTAPBSI</v>
          </cell>
          <cell r="K77">
            <v>625787.43234292802</v>
          </cell>
        </row>
        <row r="78">
          <cell r="E78" t="str">
            <v>SPKTAPBSI</v>
          </cell>
          <cell r="K78">
            <v>2655753.7400964601</v>
          </cell>
        </row>
        <row r="79">
          <cell r="E79" t="str">
            <v>SPKTAPBSI</v>
          </cell>
          <cell r="K79" t="str">
            <v/>
          </cell>
        </row>
        <row r="80">
          <cell r="E80" t="str">
            <v>SPKTAPBSI</v>
          </cell>
          <cell r="K80">
            <v>1523267.6755850899</v>
          </cell>
        </row>
        <row r="81">
          <cell r="E81" t="str">
            <v>SPKTAPBSI</v>
          </cell>
          <cell r="K81">
            <v>567358.67688695504</v>
          </cell>
        </row>
        <row r="82">
          <cell r="E82" t="str">
            <v>SPKTAPBSI</v>
          </cell>
          <cell r="K82">
            <v>1291994.8457727346</v>
          </cell>
        </row>
        <row r="83">
          <cell r="E83" t="str">
            <v>SPKTAPBSI</v>
          </cell>
          <cell r="K83">
            <v>533037.29401561106</v>
          </cell>
        </row>
        <row r="84">
          <cell r="E84" t="str">
            <v>SPKTAPBSI</v>
          </cell>
          <cell r="K84">
            <v>8671016.3411717806</v>
          </cell>
        </row>
        <row r="85">
          <cell r="E85" t="str">
            <v>SPKTAPBSI</v>
          </cell>
          <cell r="K85">
            <v>2363562.0247115199</v>
          </cell>
        </row>
        <row r="86">
          <cell r="E86" t="str">
            <v>SPKTAPBSI</v>
          </cell>
          <cell r="K86">
            <v>5256028.4135753699</v>
          </cell>
        </row>
        <row r="87">
          <cell r="E87" t="str">
            <v>SPKTAPBSI</v>
          </cell>
          <cell r="K87">
            <v>4876016.1249761898</v>
          </cell>
        </row>
        <row r="88">
          <cell r="E88" t="str">
            <v>SPKTAPBSI</v>
          </cell>
          <cell r="K88">
            <v>890483.78404158901</v>
          </cell>
        </row>
        <row r="89">
          <cell r="E89" t="str">
            <v>SPKTAPBSI</v>
          </cell>
          <cell r="K89">
            <v>321889.79396262602</v>
          </cell>
        </row>
        <row r="90">
          <cell r="E90" t="str">
            <v>SPKTAPBSI</v>
          </cell>
          <cell r="K90">
            <v>1088034.20176747</v>
          </cell>
        </row>
        <row r="91">
          <cell r="E91" t="str">
            <v>SPKTAPBSI</v>
          </cell>
          <cell r="K91">
            <v>3631984.9424139899</v>
          </cell>
        </row>
        <row r="92">
          <cell r="E92" t="str">
            <v>SPKTAPBSI</v>
          </cell>
          <cell r="K92">
            <v>614921.90118066606</v>
          </cell>
        </row>
        <row r="93">
          <cell r="E93" t="str">
            <v>SPKTAPBSI</v>
          </cell>
          <cell r="K93">
            <v>1112613.7684579601</v>
          </cell>
        </row>
        <row r="94">
          <cell r="E94" t="str">
            <v>SPKTAPBSI</v>
          </cell>
          <cell r="K94">
            <v>491196.60120138002</v>
          </cell>
        </row>
        <row r="95">
          <cell r="E95" t="str">
            <v>SPKTAPBSI</v>
          </cell>
          <cell r="K95">
            <v>8723043.0586534701</v>
          </cell>
        </row>
        <row r="96">
          <cell r="E96" t="str">
            <v>SPKTAPBSI</v>
          </cell>
          <cell r="K96">
            <v>15385393.812965799</v>
          </cell>
        </row>
        <row r="97">
          <cell r="E97" t="str">
            <v>SPKTAPBSI</v>
          </cell>
          <cell r="K97">
            <v>727755.25024094002</v>
          </cell>
        </row>
        <row r="98">
          <cell r="E98" t="str">
            <v>SPKTAPBSI</v>
          </cell>
          <cell r="K98">
            <v>18141825.692519899</v>
          </cell>
        </row>
        <row r="99">
          <cell r="E99" t="str">
            <v>SPKTAPBSI</v>
          </cell>
          <cell r="K99">
            <v>1976483.0060332201</v>
          </cell>
        </row>
        <row r="100">
          <cell r="E100" t="str">
            <v>SPKTAPBSI</v>
          </cell>
          <cell r="K100">
            <v>9868614.2233973797</v>
          </cell>
        </row>
        <row r="101">
          <cell r="E101" t="str">
            <v>SPKTAPBSI</v>
          </cell>
          <cell r="K101">
            <v>1492228.9076459799</v>
          </cell>
        </row>
        <row r="102">
          <cell r="E102" t="str">
            <v>SPKTAPBSI</v>
          </cell>
          <cell r="K102">
            <v>10717179.329858501</v>
          </cell>
        </row>
        <row r="103">
          <cell r="E103" t="str">
            <v>SPKTAPBSI</v>
          </cell>
          <cell r="K103">
            <v>1031503.8884533501</v>
          </cell>
        </row>
        <row r="104">
          <cell r="E104" t="str">
            <v>SPKTAPBSI</v>
          </cell>
          <cell r="K104">
            <v>5736384.79647684</v>
          </cell>
        </row>
        <row r="105">
          <cell r="E105" t="str">
            <v>SPKTAPBSI</v>
          </cell>
          <cell r="K105">
            <v>14009842.124519801</v>
          </cell>
        </row>
        <row r="106">
          <cell r="E106" t="str">
            <v>SPKTAPBSI</v>
          </cell>
          <cell r="K106">
            <v>18957845.530674301</v>
          </cell>
        </row>
        <row r="107">
          <cell r="E107" t="str">
            <v>SPKTAPBSI</v>
          </cell>
          <cell r="K107">
            <v>1367556.73740382</v>
          </cell>
        </row>
        <row r="108">
          <cell r="E108" t="str">
            <v>SPKTAPBSI</v>
          </cell>
          <cell r="K108">
            <v>1056921.2257129501</v>
          </cell>
        </row>
        <row r="109">
          <cell r="E109" t="str">
            <v>SPKTAPBSI</v>
          </cell>
          <cell r="K109">
            <v>3891982.9367475002</v>
          </cell>
        </row>
        <row r="110">
          <cell r="E110" t="str">
            <v>SPKTAPBSI</v>
          </cell>
          <cell r="K110">
            <v>300845.636717616</v>
          </cell>
        </row>
        <row r="111">
          <cell r="E111" t="str">
            <v>SPKTAPBSI</v>
          </cell>
          <cell r="K111">
            <v>1976483.0060332201</v>
          </cell>
        </row>
        <row r="112">
          <cell r="E112" t="str">
            <v>SPKTAPBSI</v>
          </cell>
          <cell r="K112">
            <v>299685.782391035</v>
          </cell>
        </row>
        <row r="113">
          <cell r="E113" t="str">
            <v>SPKTAPBSI</v>
          </cell>
          <cell r="K113">
            <v>810214.75267573097</v>
          </cell>
        </row>
        <row r="114">
          <cell r="E114" t="str">
            <v>SPKTAPBSI</v>
          </cell>
          <cell r="K114">
            <v>14258571.4952462</v>
          </cell>
        </row>
        <row r="115">
          <cell r="E115" t="str">
            <v>SPKTAPBSI</v>
          </cell>
          <cell r="K115">
            <v>2365091.9102686699</v>
          </cell>
        </row>
        <row r="116">
          <cell r="E116" t="str">
            <v>SPKTAPBSI</v>
          </cell>
          <cell r="K116">
            <v>1129505.0879249701</v>
          </cell>
        </row>
        <row r="117">
          <cell r="E117" t="str">
            <v>SPKTAPBSI</v>
          </cell>
          <cell r="K117">
            <v>630723.40962904505</v>
          </cell>
        </row>
        <row r="118">
          <cell r="E118" t="str">
            <v>SPKTAPBSI</v>
          </cell>
          <cell r="K118">
            <v>998645.39857932099</v>
          </cell>
        </row>
        <row r="119">
          <cell r="E119" t="str">
            <v>SPKTAPBSI</v>
          </cell>
          <cell r="K119">
            <v>7138977.60794257</v>
          </cell>
        </row>
        <row r="120">
          <cell r="E120" t="str">
            <v>SPKTAPBSI</v>
          </cell>
          <cell r="K120">
            <v>10233736.600790501</v>
          </cell>
        </row>
        <row r="121">
          <cell r="E121" t="str">
            <v>SPKTAPBSI</v>
          </cell>
          <cell r="K121">
            <v>3606113.3563104402</v>
          </cell>
        </row>
        <row r="122">
          <cell r="E122" t="str">
            <v>SPKTAPBSI</v>
          </cell>
          <cell r="K122">
            <v>1013298.41880342</v>
          </cell>
        </row>
        <row r="123">
          <cell r="E123" t="str">
            <v>SPKTAPBSI</v>
          </cell>
          <cell r="K123">
            <v>18372708.3974635</v>
          </cell>
        </row>
        <row r="124">
          <cell r="E124" t="str">
            <v>SPKTAPBSI</v>
          </cell>
          <cell r="K124">
            <v>2085959.8743918799</v>
          </cell>
        </row>
        <row r="125">
          <cell r="E125" t="str">
            <v>SPKTAPBSI</v>
          </cell>
          <cell r="K125">
            <v>1216808.65079365</v>
          </cell>
        </row>
        <row r="126">
          <cell r="E126" t="str">
            <v>SPKTAPBSI</v>
          </cell>
          <cell r="K126">
            <v>6710590.1775147896</v>
          </cell>
        </row>
        <row r="127">
          <cell r="E127" t="str">
            <v>SPKTAPBSI</v>
          </cell>
          <cell r="K127">
            <v>1730985.5328693399</v>
          </cell>
        </row>
        <row r="128">
          <cell r="E128" t="str">
            <v>SPKTAPBSI</v>
          </cell>
          <cell r="K128">
            <v>5072063.1229235902</v>
          </cell>
        </row>
        <row r="129">
          <cell r="E129" t="str">
            <v>SPKTAPBSI</v>
          </cell>
          <cell r="K129">
            <v>14201854.874804201</v>
          </cell>
        </row>
        <row r="130">
          <cell r="E130" t="str">
            <v>SPKTAPBSI</v>
          </cell>
          <cell r="K130">
            <v>1001507.92102264</v>
          </cell>
        </row>
        <row r="131">
          <cell r="E131" t="str">
            <v>SPKTAPBSI</v>
          </cell>
          <cell r="K131">
            <v>11642441.8722529</v>
          </cell>
        </row>
        <row r="132">
          <cell r="E132" t="str">
            <v>SPKTAPBSI</v>
          </cell>
          <cell r="K132">
            <v>1134323.4739537199</v>
          </cell>
        </row>
        <row r="133">
          <cell r="E133" t="str">
            <v>SPKTAPBSI</v>
          </cell>
          <cell r="K133">
            <v>13185602.786623999</v>
          </cell>
        </row>
        <row r="134">
          <cell r="E134" t="str">
            <v>SPKTAPBSI</v>
          </cell>
          <cell r="K134">
            <v>154193.63744994899</v>
          </cell>
        </row>
        <row r="135">
          <cell r="E135" t="str">
            <v>SPKTAPBSI</v>
          </cell>
          <cell r="K135">
            <v>11964618.1459566</v>
          </cell>
        </row>
        <row r="136">
          <cell r="E136" t="str">
            <v>SPKTAPBSI</v>
          </cell>
          <cell r="K136">
            <v>12323244.438506246</v>
          </cell>
        </row>
        <row r="137">
          <cell r="E137" t="str">
            <v>SPKTAPBSI</v>
          </cell>
          <cell r="K137">
            <v>1176567.79992184</v>
          </cell>
        </row>
        <row r="138">
          <cell r="E138" t="str">
            <v>SPKTAPBSI</v>
          </cell>
          <cell r="K138">
            <v>523465.63271060999</v>
          </cell>
        </row>
        <row r="139">
          <cell r="E139" t="str">
            <v>SPKTAPBSI</v>
          </cell>
          <cell r="K139">
            <v>518752.36418725702</v>
          </cell>
        </row>
        <row r="140">
          <cell r="E140" t="str">
            <v>SPKTAPBSI</v>
          </cell>
          <cell r="K140">
            <v>1393959.2301966399</v>
          </cell>
        </row>
        <row r="141">
          <cell r="E141" t="str">
            <v>SPKTAPBSI</v>
          </cell>
          <cell r="K141">
            <v>15137402.055336</v>
          </cell>
        </row>
        <row r="142">
          <cell r="E142" t="str">
            <v>SPKTAPBSI</v>
          </cell>
          <cell r="K142">
            <v>1389741.6093786301</v>
          </cell>
        </row>
        <row r="143">
          <cell r="E143" t="str">
            <v>SPKTAPBSI</v>
          </cell>
          <cell r="K143">
            <v>3338170.7706698398</v>
          </cell>
        </row>
        <row r="144">
          <cell r="E144" t="str">
            <v>SPKTAPBSI</v>
          </cell>
          <cell r="K144">
            <v>1085563.7362899701</v>
          </cell>
        </row>
        <row r="145">
          <cell r="E145" t="str">
            <v>SPKTAPBSI</v>
          </cell>
          <cell r="K145">
            <v>4204822.7308603004</v>
          </cell>
        </row>
        <row r="146">
          <cell r="E146" t="str">
            <v>SPKTAPBSI</v>
          </cell>
          <cell r="K146">
            <v>1607196.5734896299</v>
          </cell>
        </row>
        <row r="147">
          <cell r="E147" t="str">
            <v>SPKTAPBSI</v>
          </cell>
          <cell r="K147">
            <v>13436171.965639001</v>
          </cell>
        </row>
        <row r="148">
          <cell r="E148" t="str">
            <v>SPKTAPBSI</v>
          </cell>
          <cell r="K148" t="str">
            <v/>
          </cell>
        </row>
        <row r="149">
          <cell r="E149" t="str">
            <v>SPKTAPBSI</v>
          </cell>
          <cell r="K149">
            <v>467873.65711821901</v>
          </cell>
        </row>
        <row r="150">
          <cell r="E150" t="str">
            <v>SPKTAPBSI</v>
          </cell>
          <cell r="K150">
            <v>383618.97064982401</v>
          </cell>
        </row>
        <row r="151">
          <cell r="E151" t="str">
            <v>SPKTAPBSI</v>
          </cell>
          <cell r="K151">
            <v>1060554.2045172499</v>
          </cell>
        </row>
        <row r="152">
          <cell r="E152" t="str">
            <v>SPKTAPBSI</v>
          </cell>
          <cell r="K152">
            <v>4523.5766203042804</v>
          </cell>
        </row>
        <row r="153">
          <cell r="E153" t="str">
            <v>SPKTAPBSI</v>
          </cell>
          <cell r="K153">
            <v>477667.93007042498</v>
          </cell>
        </row>
        <row r="154">
          <cell r="E154" t="str">
            <v>SPKTAPBSI</v>
          </cell>
          <cell r="K154">
            <v>380330.86035491998</v>
          </cell>
        </row>
        <row r="155">
          <cell r="E155" t="str">
            <v>SPKTAPBSI</v>
          </cell>
          <cell r="K155">
            <v>4397232.09959991</v>
          </cell>
        </row>
        <row r="156">
          <cell r="E156" t="str">
            <v>SPKTAPBSI</v>
          </cell>
          <cell r="K156">
            <v>9856917.2652626708</v>
          </cell>
        </row>
        <row r="157">
          <cell r="E157" t="str">
            <v>SPKTAPBSI</v>
          </cell>
          <cell r="K157" t="str">
            <v/>
          </cell>
        </row>
        <row r="158">
          <cell r="E158" t="str">
            <v>SPKTAPBSI</v>
          </cell>
          <cell r="K158">
            <v>3483552.5839799698</v>
          </cell>
        </row>
        <row r="159">
          <cell r="E159" t="str">
            <v>SPKTAPBSI</v>
          </cell>
          <cell r="K159">
            <v>11997232.680873806</v>
          </cell>
        </row>
        <row r="160">
          <cell r="E160" t="str">
            <v>SPKTAPBSI</v>
          </cell>
          <cell r="K160">
            <v>227265.83081671299</v>
          </cell>
        </row>
        <row r="161">
          <cell r="E161" t="str">
            <v>SPKTAPBSI</v>
          </cell>
          <cell r="K161">
            <v>5029661.7520579901</v>
          </cell>
        </row>
        <row r="162">
          <cell r="E162" t="str">
            <v>SPKTAPBSI</v>
          </cell>
          <cell r="K162">
            <v>2089120.4707043699</v>
          </cell>
        </row>
        <row r="163">
          <cell r="E163" t="str">
            <v>SPKTAPBSI</v>
          </cell>
          <cell r="K163">
            <v>2393164.5191885098</v>
          </cell>
        </row>
        <row r="164">
          <cell r="E164" t="str">
            <v>SPKTAPBSI</v>
          </cell>
          <cell r="K164">
            <v>57671.504870918099</v>
          </cell>
        </row>
        <row r="165">
          <cell r="E165" t="str">
            <v>SPKTAPBSI</v>
          </cell>
          <cell r="K165">
            <v>782234.29042865895</v>
          </cell>
        </row>
        <row r="166">
          <cell r="E166" t="str">
            <v>SPKTAPBSI</v>
          </cell>
          <cell r="K166">
            <v>11630724.0782046</v>
          </cell>
        </row>
        <row r="167">
          <cell r="E167" t="str">
            <v>SPKTAPBSI</v>
          </cell>
          <cell r="K167">
            <v>1388846.7438799101</v>
          </cell>
        </row>
        <row r="168">
          <cell r="E168" t="str">
            <v>SPKTAPBSI</v>
          </cell>
          <cell r="K168">
            <v>1238563.02137973</v>
          </cell>
        </row>
        <row r="169">
          <cell r="E169" t="str">
            <v>SPKTAPBSI</v>
          </cell>
          <cell r="K169">
            <v>1735877.90818215</v>
          </cell>
        </row>
        <row r="170">
          <cell r="E170" t="str">
            <v>SPKTAPBSI</v>
          </cell>
          <cell r="K170">
            <v>2624984.4105381798</v>
          </cell>
        </row>
        <row r="171">
          <cell r="E171" t="str">
            <v>SPKTAPBSI</v>
          </cell>
          <cell r="K171">
            <v>1822328.0430618101</v>
          </cell>
        </row>
        <row r="172">
          <cell r="E172" t="str">
            <v>SPKTAPBSI</v>
          </cell>
          <cell r="K172">
            <v>793891.053722788</v>
          </cell>
        </row>
        <row r="173">
          <cell r="E173" t="str">
            <v>SPKTAPBSI</v>
          </cell>
          <cell r="K173">
            <v>964317.94409377803</v>
          </cell>
        </row>
        <row r="174">
          <cell r="E174" t="str">
            <v>SPKTAPBSI</v>
          </cell>
          <cell r="K174" t="str">
            <v/>
          </cell>
        </row>
        <row r="175">
          <cell r="E175" t="str">
            <v>SPKTAPBSI</v>
          </cell>
          <cell r="K175">
            <v>4495684.4449134702</v>
          </cell>
        </row>
        <row r="176">
          <cell r="E176" t="str">
            <v>SPKTAPBSI</v>
          </cell>
          <cell r="K176">
            <v>9312847.9267582595</v>
          </cell>
        </row>
        <row r="177">
          <cell r="E177" t="str">
            <v>SPKTAPBSI</v>
          </cell>
          <cell r="K177">
            <v>380330.86035491998</v>
          </cell>
        </row>
        <row r="178">
          <cell r="E178" t="str">
            <v>SPKTAPBSI</v>
          </cell>
          <cell r="K178">
            <v>6420157.4724915596</v>
          </cell>
        </row>
        <row r="179">
          <cell r="E179" t="str">
            <v>SPKTAPBSI</v>
          </cell>
          <cell r="K179">
            <v>1806246.95707178</v>
          </cell>
        </row>
        <row r="180">
          <cell r="E180" t="str">
            <v>SPKTAPBSI</v>
          </cell>
          <cell r="K180">
            <v>6758399.3448292902</v>
          </cell>
        </row>
        <row r="181">
          <cell r="E181" t="str">
            <v>SPKTAPBSI</v>
          </cell>
          <cell r="K181">
            <v>978727.61471068603</v>
          </cell>
        </row>
        <row r="182">
          <cell r="E182" t="str">
            <v>SPKTAPBSI</v>
          </cell>
          <cell r="K182">
            <v>15964722.8618015</v>
          </cell>
        </row>
        <row r="183">
          <cell r="E183" t="str">
            <v>SPKTAPBSI</v>
          </cell>
          <cell r="K183">
            <v>3924213.5577462399</v>
          </cell>
        </row>
        <row r="184">
          <cell r="E184" t="str">
            <v>SPKTAPBSI</v>
          </cell>
          <cell r="K184">
            <v>7996644.9404592998</v>
          </cell>
        </row>
        <row r="185">
          <cell r="E185" t="str">
            <v>SPKTAPBSI</v>
          </cell>
          <cell r="K185">
            <v>3631984.9424139899</v>
          </cell>
        </row>
        <row r="186">
          <cell r="E186" t="str">
            <v>SPKTAPBSI</v>
          </cell>
          <cell r="K186">
            <v>2691429.1720894901</v>
          </cell>
        </row>
        <row r="187">
          <cell r="E187" t="str">
            <v>SPKTAPBSI</v>
          </cell>
          <cell r="K187">
            <v>1065026.6623549</v>
          </cell>
        </row>
        <row r="188">
          <cell r="E188" t="str">
            <v>SPKTAPBSI</v>
          </cell>
          <cell r="K188" t="str">
            <v/>
          </cell>
        </row>
        <row r="189">
          <cell r="E189" t="str">
            <v>SPKTAPBSI</v>
          </cell>
          <cell r="K189">
            <v>8574625.4633199796</v>
          </cell>
        </row>
        <row r="190">
          <cell r="E190" t="str">
            <v>SPKTAPBSI</v>
          </cell>
          <cell r="K190">
            <v>4984434.8642314598</v>
          </cell>
        </row>
        <row r="191">
          <cell r="E191" t="str">
            <v>SPKTAPBSI</v>
          </cell>
          <cell r="K191">
            <v>903255.266016245</v>
          </cell>
        </row>
        <row r="192">
          <cell r="E192" t="str">
            <v>SPKTAPBSI</v>
          </cell>
          <cell r="K192">
            <v>1493861.47880426</v>
          </cell>
        </row>
        <row r="193">
          <cell r="E193" t="str">
            <v>SPKTAPBSI</v>
          </cell>
          <cell r="K193">
            <v>296869.79782409599</v>
          </cell>
        </row>
        <row r="194">
          <cell r="E194" t="str">
            <v>SPKTAPBSI</v>
          </cell>
          <cell r="K194">
            <v>14009842.124519801</v>
          </cell>
        </row>
        <row r="195">
          <cell r="E195" t="str">
            <v>SPKTAPBSI</v>
          </cell>
          <cell r="K195">
            <v>403079.836928826</v>
          </cell>
        </row>
        <row r="196">
          <cell r="E196" t="str">
            <v>SPKTAPBSI</v>
          </cell>
          <cell r="K196">
            <v>9856917.2652626708</v>
          </cell>
        </row>
        <row r="197">
          <cell r="E197" t="str">
            <v>SPKTAPBSI</v>
          </cell>
          <cell r="K197">
            <v>1849996.9347637801</v>
          </cell>
        </row>
        <row r="198">
          <cell r="E198" t="str">
            <v>SPKTAPBSI</v>
          </cell>
          <cell r="K198">
            <v>5586836.3225297602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5" dT="2023-04-17T03:48:14.47" personId="{00000000-0000-0000-0000-000000000000}" id="{B5BB34F6-FF7B-4BF6-90FE-D913925DE9F0}">
    <text>Difference due to Alisya Aman split to AZUL and AZTRAD for NB 2023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../Control%202" TargetMode="External"/><Relationship Id="rId1" Type="http://schemas.openxmlformats.org/officeDocument/2006/relationships/hyperlink" Target="../Control%202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D69DC-AD86-4820-842D-2A5A85303498}">
  <sheetPr codeName="Sheet1"/>
  <dimension ref="B1:R39"/>
  <sheetViews>
    <sheetView zoomScale="60" zoomScaleNormal="60" workbookViewId="0">
      <selection activeCell="E7" sqref="E7"/>
    </sheetView>
  </sheetViews>
  <sheetFormatPr defaultRowHeight="15"/>
  <cols>
    <col min="1" max="1" width="2.42578125" customWidth="1"/>
    <col min="2" max="2" width="8.5703125" style="4"/>
    <col min="3" max="3" width="80.5703125" bestFit="1" customWidth="1"/>
    <col min="4" max="4" width="47.140625" customWidth="1"/>
    <col min="5" max="5" width="28.42578125" bestFit="1" customWidth="1"/>
    <col min="6" max="6" width="12.85546875" customWidth="1"/>
    <col min="7" max="7" width="28.42578125" bestFit="1" customWidth="1"/>
    <col min="8" max="8" width="13" customWidth="1"/>
    <col min="9" max="9" width="2.140625" customWidth="1"/>
    <col min="11" max="11" width="14.85546875" bestFit="1" customWidth="1"/>
    <col min="12" max="12" width="15.5703125" bestFit="1" customWidth="1"/>
    <col min="13" max="13" width="14.85546875" bestFit="1" customWidth="1"/>
    <col min="14" max="14" width="1.5703125" customWidth="1"/>
    <col min="15" max="15" width="20.140625" bestFit="1" customWidth="1"/>
    <col min="16" max="16" width="14.85546875" bestFit="1" customWidth="1"/>
    <col min="17" max="17" width="15.140625" bestFit="1" customWidth="1"/>
    <col min="18" max="18" width="13.5703125" bestFit="1" customWidth="1"/>
  </cols>
  <sheetData>
    <row r="1" spans="2:18">
      <c r="B1" s="4">
        <v>5</v>
      </c>
      <c r="C1" t="str">
        <f>VLOOKUP($B1,$B$5:$H$98,2,FALSE)</f>
        <v>K:\19. IFRS17\IFRS 17 Quarterly Submissions\2025 Q1\17. IRCS\Control 2</v>
      </c>
      <c r="D1" t="str">
        <f>VLOOKUP($B1,$B$5:$H$98,3,FALSE)</f>
        <v>Summary.csv</v>
      </c>
      <c r="E1" t="str">
        <f>VLOOKUP($B1,$B$5:$H$98,4,FALSE)</f>
        <v>Summary</v>
      </c>
      <c r="F1" t="str">
        <f>VLOOKUP($B1,$B$5:$H$98,5,FALSE)</f>
        <v>A:E</v>
      </c>
      <c r="G1" t="str">
        <f>VLOOKUP($B1,$B$5:$H$98,6,FALSE)</f>
        <v>Summary</v>
      </c>
      <c r="H1" t="str">
        <f>VLOOKUP($B1,$B$5:$H$98,7,FALSE)</f>
        <v>A:E</v>
      </c>
    </row>
    <row r="2" spans="2:18" ht="8.4499999999999993" customHeight="1"/>
    <row r="3" spans="2:18">
      <c r="B3" s="4">
        <f>MAX($B$5:$B$98)</f>
        <v>5</v>
      </c>
    </row>
    <row r="4" spans="2:18" s="4" customFormat="1">
      <c r="B4" s="41" t="s">
        <v>0</v>
      </c>
      <c r="C4" s="41" t="s">
        <v>1</v>
      </c>
      <c r="D4" s="41" t="s">
        <v>2</v>
      </c>
      <c r="E4" s="41" t="s">
        <v>3</v>
      </c>
      <c r="F4" s="41" t="s">
        <v>4</v>
      </c>
      <c r="G4" s="41" t="s">
        <v>5</v>
      </c>
      <c r="H4" s="41" t="s">
        <v>6</v>
      </c>
      <c r="J4"/>
      <c r="K4"/>
      <c r="L4"/>
      <c r="M4"/>
      <c r="N4"/>
      <c r="O4"/>
      <c r="P4"/>
      <c r="Q4"/>
      <c r="R4"/>
    </row>
    <row r="5" spans="2:18">
      <c r="B5" s="40">
        <v>1</v>
      </c>
      <c r="C5" s="42" t="s">
        <v>2510</v>
      </c>
      <c r="D5" s="43" t="s">
        <v>7</v>
      </c>
      <c r="E5" s="43" t="s">
        <v>8</v>
      </c>
      <c r="F5" s="43" t="s">
        <v>9</v>
      </c>
      <c r="G5" s="43" t="s">
        <v>8</v>
      </c>
      <c r="H5" s="43" t="s">
        <v>9</v>
      </c>
    </row>
    <row r="6" spans="2:18">
      <c r="B6" s="40">
        <f t="shared" ref="B6" si="0">B5+1</f>
        <v>2</v>
      </c>
      <c r="C6" s="42" t="s">
        <v>2510</v>
      </c>
      <c r="D6" s="43" t="s">
        <v>10</v>
      </c>
      <c r="E6" s="43" t="s">
        <v>11</v>
      </c>
      <c r="F6" s="43" t="s">
        <v>9</v>
      </c>
      <c r="G6" s="43" t="s">
        <v>11</v>
      </c>
      <c r="H6" s="43" t="s">
        <v>12</v>
      </c>
    </row>
    <row r="7" spans="2:18">
      <c r="B7" s="40">
        <v>3</v>
      </c>
      <c r="C7" s="42" t="s">
        <v>2510</v>
      </c>
      <c r="D7" s="43" t="s">
        <v>2338</v>
      </c>
      <c r="E7" s="43" t="s">
        <v>2330</v>
      </c>
      <c r="F7" s="43" t="s">
        <v>9</v>
      </c>
      <c r="G7" s="43" t="s">
        <v>2330</v>
      </c>
      <c r="H7" s="43" t="s">
        <v>9</v>
      </c>
      <c r="I7" s="49"/>
    </row>
    <row r="8" spans="2:18">
      <c r="B8" s="40">
        <v>4</v>
      </c>
      <c r="C8" s="42" t="str">
        <f>$C$6</f>
        <v>K:\19. IFRS17\IFRS 17 Quarterly Submissions\2025 Q1\17. IRCS\Control 2</v>
      </c>
      <c r="D8" s="43" t="s">
        <v>13</v>
      </c>
      <c r="E8" s="43" t="s">
        <v>14</v>
      </c>
      <c r="F8" s="43" t="s">
        <v>9</v>
      </c>
      <c r="G8" s="43" t="s">
        <v>14</v>
      </c>
      <c r="H8" s="43" t="s">
        <v>9</v>
      </c>
    </row>
    <row r="9" spans="2:18">
      <c r="B9" s="40">
        <v>5</v>
      </c>
      <c r="C9" s="42" t="str">
        <f>$C$6</f>
        <v>K:\19. IFRS17\IFRS 17 Quarterly Submissions\2025 Q1\17. IRCS\Control 2</v>
      </c>
      <c r="D9" s="43" t="s">
        <v>15</v>
      </c>
      <c r="E9" s="43" t="s">
        <v>16</v>
      </c>
      <c r="F9" s="43" t="s">
        <v>12</v>
      </c>
      <c r="G9" s="43" t="s">
        <v>16</v>
      </c>
      <c r="H9" s="43" t="s">
        <v>12</v>
      </c>
    </row>
    <row r="10" spans="2:18">
      <c r="B10" s="40"/>
      <c r="C10" s="42"/>
      <c r="D10" s="43"/>
      <c r="E10" s="43"/>
      <c r="F10" s="43"/>
      <c r="G10" s="43"/>
      <c r="H10" s="43"/>
    </row>
    <row r="11" spans="2:18">
      <c r="B11" s="40"/>
      <c r="C11" s="42"/>
      <c r="D11" s="43"/>
      <c r="E11" s="43"/>
      <c r="F11" s="43"/>
      <c r="G11" s="43"/>
      <c r="H11" s="43"/>
    </row>
    <row r="12" spans="2:18">
      <c r="B12" s="40"/>
      <c r="C12" s="42"/>
      <c r="D12" s="43"/>
      <c r="E12" s="43"/>
      <c r="F12" s="43"/>
      <c r="G12" s="43"/>
      <c r="H12" s="43"/>
    </row>
    <row r="13" spans="2:18">
      <c r="B13" s="40"/>
      <c r="C13" s="42"/>
      <c r="D13" s="43"/>
      <c r="E13" s="43"/>
      <c r="F13" s="43"/>
      <c r="G13" s="43"/>
      <c r="H13" s="43"/>
    </row>
    <row r="14" spans="2:18">
      <c r="B14" s="40"/>
      <c r="C14" s="42"/>
      <c r="D14" s="43"/>
      <c r="E14" s="43"/>
      <c r="F14" s="43"/>
      <c r="G14" s="43"/>
      <c r="H14" s="43"/>
      <c r="I14" s="9"/>
    </row>
    <row r="15" spans="2:18">
      <c r="B15" s="40"/>
      <c r="C15" s="42"/>
      <c r="D15" s="43"/>
      <c r="E15" s="43"/>
      <c r="F15" s="43"/>
      <c r="G15" s="43"/>
      <c r="H15" s="43"/>
      <c r="I15" s="9"/>
    </row>
    <row r="16" spans="2:18">
      <c r="B16" s="40"/>
      <c r="C16" s="42"/>
      <c r="D16" s="43"/>
      <c r="E16" s="43"/>
      <c r="F16" s="43"/>
      <c r="G16" s="43"/>
      <c r="H16" s="43"/>
    </row>
    <row r="17" spans="2:9">
      <c r="B17" s="40"/>
      <c r="C17" s="42"/>
      <c r="D17" s="43"/>
      <c r="E17" s="43"/>
      <c r="F17" s="43"/>
      <c r="G17" s="43"/>
      <c r="H17" s="43"/>
    </row>
    <row r="18" spans="2:9">
      <c r="B18" s="40"/>
      <c r="C18" s="42"/>
      <c r="D18" s="43"/>
      <c r="E18" s="43"/>
      <c r="F18" s="43"/>
      <c r="G18" s="43"/>
      <c r="H18" s="43"/>
    </row>
    <row r="19" spans="2:9">
      <c r="B19" s="40"/>
      <c r="C19" s="42"/>
      <c r="D19" s="43"/>
      <c r="E19" s="43"/>
      <c r="F19" s="43"/>
      <c r="G19" s="43"/>
      <c r="H19" s="43"/>
    </row>
    <row r="20" spans="2:9">
      <c r="B20" s="40"/>
      <c r="C20" s="42"/>
      <c r="D20" s="43"/>
      <c r="E20" s="43"/>
      <c r="F20" s="43"/>
      <c r="G20" s="43"/>
      <c r="H20" s="43"/>
    </row>
    <row r="21" spans="2:9">
      <c r="B21" s="40"/>
      <c r="C21" s="42"/>
      <c r="D21" s="43"/>
      <c r="E21" s="43"/>
      <c r="F21" s="43"/>
      <c r="G21" s="43"/>
      <c r="H21" s="43"/>
    </row>
    <row r="22" spans="2:9">
      <c r="B22" s="40"/>
      <c r="C22" s="42"/>
      <c r="D22" s="43"/>
      <c r="E22" s="43"/>
      <c r="F22" s="43"/>
      <c r="G22" s="43"/>
      <c r="H22" s="43"/>
    </row>
    <row r="23" spans="2:9">
      <c r="B23" s="40"/>
      <c r="C23" s="42"/>
      <c r="D23" s="43"/>
      <c r="E23" s="43"/>
      <c r="F23" s="43"/>
      <c r="G23" s="43"/>
      <c r="H23" s="43"/>
    </row>
    <row r="24" spans="2:9">
      <c r="B24" s="40"/>
      <c r="C24" s="42"/>
      <c r="D24" s="43"/>
      <c r="E24" s="43"/>
      <c r="F24" s="43"/>
      <c r="G24" s="43"/>
      <c r="H24" s="43"/>
    </row>
    <row r="25" spans="2:9">
      <c r="B25" s="40"/>
      <c r="C25" s="42"/>
      <c r="D25" s="43"/>
      <c r="E25" s="43"/>
      <c r="F25" s="43"/>
      <c r="G25" s="43"/>
      <c r="H25" s="43"/>
    </row>
    <row r="26" spans="2:9">
      <c r="B26" s="40"/>
      <c r="C26" s="42"/>
      <c r="D26" s="43"/>
      <c r="E26" s="43"/>
      <c r="F26" s="43"/>
      <c r="G26" s="43"/>
      <c r="H26" s="43"/>
      <c r="I26" s="9"/>
    </row>
    <row r="27" spans="2:9">
      <c r="B27" s="40"/>
      <c r="C27" s="42"/>
      <c r="D27" s="43"/>
      <c r="E27" s="43"/>
      <c r="F27" s="43"/>
      <c r="G27" s="43"/>
      <c r="H27" s="43"/>
    </row>
    <row r="28" spans="2:9">
      <c r="B28" s="40"/>
      <c r="C28" s="42"/>
      <c r="D28" s="43"/>
      <c r="E28" s="43"/>
      <c r="F28" s="43"/>
      <c r="G28" s="43"/>
      <c r="H28" s="43"/>
    </row>
    <row r="29" spans="2:9">
      <c r="B29" s="40"/>
      <c r="C29" s="42"/>
      <c r="D29" s="43"/>
      <c r="E29" s="43"/>
      <c r="F29" s="43"/>
      <c r="G29" s="43"/>
      <c r="H29" s="43"/>
    </row>
    <row r="30" spans="2:9">
      <c r="B30" s="40"/>
      <c r="C30" s="42"/>
      <c r="D30" s="43"/>
      <c r="E30" s="43"/>
      <c r="F30" s="43"/>
      <c r="G30" s="43"/>
      <c r="H30" s="43"/>
    </row>
    <row r="31" spans="2:9">
      <c r="B31" s="40"/>
      <c r="C31" s="42"/>
      <c r="D31" s="43"/>
      <c r="E31" s="43"/>
      <c r="F31" s="43"/>
      <c r="G31" s="43"/>
      <c r="H31" s="43"/>
    </row>
    <row r="32" spans="2:9">
      <c r="B32" s="40"/>
      <c r="C32" s="42"/>
      <c r="D32" s="43"/>
      <c r="E32" s="43"/>
      <c r="F32" s="43"/>
      <c r="G32" s="43"/>
      <c r="H32" s="43"/>
    </row>
    <row r="33" spans="2:8">
      <c r="B33" s="40"/>
      <c r="C33" s="42"/>
      <c r="D33" s="43"/>
      <c r="E33" s="43"/>
      <c r="F33" s="43"/>
      <c r="G33" s="43"/>
      <c r="H33" s="43"/>
    </row>
    <row r="34" spans="2:8">
      <c r="B34" s="40"/>
      <c r="C34" s="43"/>
      <c r="D34" s="43"/>
      <c r="E34" s="43"/>
      <c r="F34" s="43"/>
      <c r="G34" s="43"/>
      <c r="H34" s="43"/>
    </row>
    <row r="35" spans="2:8">
      <c r="B35" s="40"/>
      <c r="C35" s="43"/>
      <c r="D35" s="43"/>
      <c r="E35" s="43"/>
      <c r="F35" s="43"/>
      <c r="G35" s="43"/>
      <c r="H35" s="43"/>
    </row>
    <row r="36" spans="2:8">
      <c r="B36" s="40"/>
      <c r="C36" s="43"/>
      <c r="D36" s="43"/>
      <c r="E36" s="43"/>
      <c r="F36" s="43"/>
      <c r="G36" s="43"/>
      <c r="H36" s="43"/>
    </row>
    <row r="37" spans="2:8">
      <c r="B37" s="40"/>
      <c r="C37" s="43"/>
      <c r="D37" s="43"/>
      <c r="E37" s="43"/>
      <c r="F37" s="43"/>
      <c r="G37" s="43"/>
      <c r="H37" s="43"/>
    </row>
    <row r="38" spans="2:8">
      <c r="B38" s="40"/>
      <c r="C38" s="43"/>
      <c r="D38" s="43"/>
      <c r="E38" s="43"/>
      <c r="F38" s="43"/>
      <c r="G38" s="43"/>
      <c r="H38" s="43"/>
    </row>
    <row r="39" spans="2:8">
      <c r="B39" s="40"/>
      <c r="C39" s="43"/>
      <c r="D39" s="43"/>
      <c r="E39" s="43"/>
      <c r="F39" s="43"/>
      <c r="G39" s="43"/>
      <c r="H39" s="43"/>
    </row>
  </sheetData>
  <hyperlinks>
    <hyperlink ref="C5" r:id="rId1" display="https://allianzms.sharepoint.com/teams/ID0002-5620391/Shared Documents/Actuary_03/19. IFRS17/IFRS 17 Quarterly Submissions/2024 Q4/17. IRCS/Control 2" xr:uid="{C76F5A8D-3037-401B-9A6E-E5B1321DC2C1}"/>
    <hyperlink ref="C6" r:id="rId2" display="https://allianzms.sharepoint.com/teams/ID0002-5620391/Shared Documents/Actuary_03/19. IFRS17/IFRS 17 Quarterly Submissions/2024 Q4/17. IRCS/Control 2" xr:uid="{46411538-9DB3-4726-8836-3E56D1B6CBB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762CD-F49B-4CB5-9242-B91E0FBE3603}">
  <sheetPr codeName="Sheet7"/>
  <dimension ref="B2:S9"/>
  <sheetViews>
    <sheetView tabSelected="1" topLeftCell="H1" zoomScale="60" zoomScaleNormal="60" workbookViewId="0">
      <selection activeCell="S4" sqref="S4"/>
    </sheetView>
  </sheetViews>
  <sheetFormatPr defaultColWidth="5.5703125" defaultRowHeight="15"/>
  <cols>
    <col min="2" max="2" width="9.85546875" bestFit="1" customWidth="1"/>
    <col min="3" max="3" width="10.5703125" bestFit="1" customWidth="1"/>
    <col min="4" max="4" width="22.28515625" bestFit="1" customWidth="1"/>
    <col min="5" max="5" width="20.5703125" bestFit="1" customWidth="1"/>
    <col min="6" max="6" width="21.28515625" bestFit="1" customWidth="1"/>
    <col min="7" max="7" width="17.7109375" bestFit="1" customWidth="1"/>
    <col min="8" max="8" width="22.7109375" bestFit="1" customWidth="1"/>
    <col min="9" max="9" width="21.5703125" bestFit="1" customWidth="1"/>
    <col min="10" max="10" width="21.28515625" bestFit="1" customWidth="1"/>
    <col min="11" max="11" width="17.7109375" bestFit="1" customWidth="1"/>
    <col min="12" max="12" width="20.140625" bestFit="1" customWidth="1"/>
    <col min="13" max="13" width="18.42578125" bestFit="1" customWidth="1"/>
    <col min="14" max="14" width="21.28515625" bestFit="1" customWidth="1"/>
    <col min="15" max="15" width="11.42578125" bestFit="1" customWidth="1"/>
    <col min="16" max="16" width="7.42578125" bestFit="1" customWidth="1"/>
    <col min="17" max="17" width="8.7109375" bestFit="1" customWidth="1"/>
    <col min="18" max="18" width="14.42578125" bestFit="1" customWidth="1"/>
    <col min="19" max="19" width="31.42578125" bestFit="1" customWidth="1"/>
  </cols>
  <sheetData>
    <row r="2" spans="2:19">
      <c r="B2" s="71" t="s">
        <v>17</v>
      </c>
      <c r="C2" s="72" t="s">
        <v>18</v>
      </c>
      <c r="D2" s="72"/>
      <c r="E2" s="72"/>
      <c r="F2" s="73"/>
      <c r="G2" s="74" t="s">
        <v>19</v>
      </c>
      <c r="H2" s="75"/>
      <c r="I2" s="75"/>
      <c r="J2" s="76"/>
      <c r="K2" s="74" t="s">
        <v>20</v>
      </c>
      <c r="L2" s="75"/>
      <c r="M2" s="75"/>
      <c r="N2" s="76"/>
      <c r="O2" s="74" t="s">
        <v>21</v>
      </c>
      <c r="P2" s="75"/>
      <c r="Q2" s="75"/>
      <c r="R2" s="76"/>
      <c r="S2" s="69" t="s">
        <v>22</v>
      </c>
    </row>
    <row r="3" spans="2:19">
      <c r="B3" s="72"/>
      <c r="C3" s="51" t="s">
        <v>23</v>
      </c>
      <c r="D3" s="51" t="s">
        <v>24</v>
      </c>
      <c r="E3" s="51" t="s">
        <v>25</v>
      </c>
      <c r="F3" s="51" t="s">
        <v>26</v>
      </c>
      <c r="G3" s="51" t="s">
        <v>27</v>
      </c>
      <c r="H3" s="51" t="str">
        <f>D3</f>
        <v>sa_if_m</v>
      </c>
      <c r="I3" s="51" t="str">
        <f>E3</f>
        <v>anp_if_m</v>
      </c>
      <c r="J3" s="51" t="s">
        <v>26</v>
      </c>
      <c r="K3" s="51" t="s">
        <v>27</v>
      </c>
      <c r="L3" s="51" t="str">
        <f>H3</f>
        <v>sa_if_m</v>
      </c>
      <c r="M3" s="50" t="str">
        <f>I3</f>
        <v>anp_if_m</v>
      </c>
      <c r="N3" s="51" t="s">
        <v>26</v>
      </c>
      <c r="O3" s="51" t="s">
        <v>27</v>
      </c>
      <c r="P3" s="51" t="str">
        <f>L3</f>
        <v>sa_if_m</v>
      </c>
      <c r="Q3" s="50" t="str">
        <f>M3</f>
        <v>anp_if_m</v>
      </c>
      <c r="R3" s="51" t="s">
        <v>26</v>
      </c>
      <c r="S3" s="70"/>
    </row>
    <row r="4" spans="2:19" ht="90">
      <c r="B4" t="s">
        <v>28</v>
      </c>
      <c r="C4" s="1">
        <f>SUMIFS(Summary_Checking_UL!$E:$E,Summary_Checking_UL!$W:$W,"IDR")</f>
        <v>692991</v>
      </c>
      <c r="D4" s="1">
        <f>SUMIFS(Summary_Checking_UL!$F:$F,Summary_Checking_UL!$W:$W,"IDR")</f>
        <v>217697314758240.16</v>
      </c>
      <c r="E4" s="1">
        <f>SUMIFS(Summary_Checking_UL!$G:$G,Summary_Checking_UL!$W:$W,"IDR")</f>
        <v>11805853591983.148</v>
      </c>
      <c r="F4" s="1">
        <f>SUMIFS(Summary_Checking_UL!$H:$H,Summary_Checking_UL!$W:$W,"IDR")</f>
        <v>13875610295239.76</v>
      </c>
      <c r="G4" s="1">
        <f>SUMIFS(Summary_Checking_UL!$I:$I,Summary_Checking_UL!$W:$W,"IDR")</f>
        <v>696400</v>
      </c>
      <c r="H4" s="1">
        <f>SUMIFS(Summary_Checking_UL!$J:$J,Summary_Checking_UL!$W:$W,"IDR")</f>
        <v>218913632365850</v>
      </c>
      <c r="I4" s="1">
        <f>SUMIFS(Summary_Checking_UL!$K:$K,Summary_Checking_UL!$W:$W,"IDR")</f>
        <v>11923781838617.354</v>
      </c>
      <c r="J4" s="1">
        <f>SUMIFS(Summary_Checking_UL!$L:$L,Summary_Checking_UL!$W:$W,"IDR")</f>
        <v>13917077488107.293</v>
      </c>
      <c r="K4" s="7">
        <f t="shared" ref="K4:N4" si="0">C4-G4</f>
        <v>-3409</v>
      </c>
      <c r="L4" s="7">
        <f t="shared" si="0"/>
        <v>-1216317607609.8438</v>
      </c>
      <c r="M4" s="7">
        <f t="shared" si="0"/>
        <v>-117928246634.20508</v>
      </c>
      <c r="N4" s="7">
        <f t="shared" si="0"/>
        <v>-41467192867.533203</v>
      </c>
      <c r="O4" s="48">
        <f t="shared" ref="O4:R4" si="1">IFERROR(K4/G4,0)</f>
        <v>-4.8951751866743252E-3</v>
      </c>
      <c r="P4" s="48">
        <f t="shared" si="1"/>
        <v>-5.5561528739202738E-3</v>
      </c>
      <c r="Q4" s="48">
        <f t="shared" si="1"/>
        <v>-9.8901714431131934E-3</v>
      </c>
      <c r="R4" s="48">
        <f t="shared" si="1"/>
        <v>-2.9795905715814691E-3</v>
      </c>
      <c r="S4" s="67" t="s">
        <v>2640</v>
      </c>
    </row>
    <row r="5" spans="2:19">
      <c r="B5" t="s">
        <v>29</v>
      </c>
      <c r="C5" s="1">
        <f>SUMIFS(Summary_Checking_UL!$E:$E,Summary_Checking_UL!$W:$W,"USD")</f>
        <v>9222</v>
      </c>
      <c r="D5" s="1">
        <f>SUMIFS(Summary_Checking_UL!$F:$F,Summary_Checking_UL!$W:$W,"USD")</f>
        <v>875620109.11600006</v>
      </c>
      <c r="E5" s="1">
        <f>SUMIFS(Summary_Checking_UL!$G:$G,Summary_Checking_UL!$W:$W,"USD")</f>
        <v>73416089.390000001</v>
      </c>
      <c r="F5" s="1">
        <f>SUMIFS(Summary_Checking_UL!$H:$H,Summary_Checking_UL!$W:$W,"USD")</f>
        <v>287925652.97904342</v>
      </c>
      <c r="G5" s="1">
        <f>SUMIFS(Summary_Checking_UL!$I:$I,Summary_Checking_UL!$W:$W,"USD")</f>
        <v>9222</v>
      </c>
      <c r="H5" s="1">
        <f>SUMIFS(Summary_Checking_UL!$J:$J,Summary_Checking_UL!$W:$W,"USD")</f>
        <v>875620109.11600006</v>
      </c>
      <c r="I5" s="1">
        <f>SUMIFS(Summary_Checking_UL!$K:$K,Summary_Checking_UL!$W:$W,"USD")</f>
        <v>73416089.390000001</v>
      </c>
      <c r="J5" s="1">
        <f>SUMIFS(Summary_Checking_UL!$L:$L,Summary_Checking_UL!$W:$W,"USD")</f>
        <v>287925652.62360108</v>
      </c>
      <c r="K5" s="7">
        <f t="shared" ref="K5:K7" si="2">C5-G5</f>
        <v>0</v>
      </c>
      <c r="L5" s="7">
        <f t="shared" ref="L5" si="3">D5-H5</f>
        <v>0</v>
      </c>
      <c r="M5" s="7">
        <f t="shared" ref="M5:M7" si="4">E5-I5</f>
        <v>0</v>
      </c>
      <c r="N5" s="7">
        <f t="shared" ref="N5:N7" si="5">F5-J5</f>
        <v>0.3554423451423645</v>
      </c>
      <c r="O5" s="48">
        <f t="shared" ref="O5:O7" si="6">IFERROR(K5/G5,0)</f>
        <v>0</v>
      </c>
      <c r="P5" s="48">
        <f t="shared" ref="P5:P7" si="7">IFERROR(L5/H5,0)</f>
        <v>0</v>
      </c>
      <c r="Q5" s="48">
        <f t="shared" ref="Q5:Q7" si="8">IFERROR(M5/I5,0)</f>
        <v>0</v>
      </c>
      <c r="R5" s="48">
        <f t="shared" ref="R5:R7" si="9">IFERROR(N5/J5,0)</f>
        <v>1.2344934947738975E-9</v>
      </c>
    </row>
    <row r="6" spans="2:19" ht="150">
      <c r="B6" t="s">
        <v>30</v>
      </c>
      <c r="C6" s="1">
        <f>SUMIFS(Summary_Checking_TRAD!$E:$E,Summary_Checking_TRAD!$W:$W,"IDR")</f>
        <v>468325</v>
      </c>
      <c r="D6" s="1">
        <f>SUMIFS(Summary_Checking_TRAD!$F:$F,Summary_Checking_TRAD!$W:$W,"IDR")</f>
        <v>99304767837655.906</v>
      </c>
      <c r="E6" s="1">
        <f>SUMIFS(Summary_Checking_TRAD!$G:$G,Summary_Checking_TRAD!$W:$W,"IDR")</f>
        <v>4417922517945.7813</v>
      </c>
      <c r="F6" s="1">
        <f>SUMIFS(Summary_Checking_TRAD!$H:$H,Summary_Checking_TRAD!$W:$W,"IDR")</f>
        <v>0</v>
      </c>
      <c r="G6" s="1">
        <f ca="1">SUMIFS(Summary_Checking_TRAD!$I:$I,Summary_Checking_TRAD!$W:$W,"IDR")</f>
        <v>464923</v>
      </c>
      <c r="H6" s="1">
        <f ca="1">SUMIFS(Summary_Checking_TRAD!$J:$J,Summary_Checking_TRAD!$W:$W,"IDR")</f>
        <v>95531803498646</v>
      </c>
      <c r="I6" s="1">
        <f ca="1">SUMIFS(Summary_Checking_TRAD!$K:$K,Summary_Checking_TRAD!$W:$W,"IDR")</f>
        <v>4300864672778.7466</v>
      </c>
      <c r="J6" s="1">
        <f>SUMIFS(Summary_Checking_TRAD!$L:$L,Summary_Checking_TRAD!$W:$W,"IDR")</f>
        <v>0</v>
      </c>
      <c r="K6" s="7">
        <f t="shared" ca="1" si="2"/>
        <v>3402</v>
      </c>
      <c r="L6" s="7">
        <f ca="1">D6-H6</f>
        <v>3772964339009.9063</v>
      </c>
      <c r="M6" s="7">
        <f t="shared" ca="1" si="4"/>
        <v>117057845167.03467</v>
      </c>
      <c r="N6" s="7">
        <f t="shared" si="5"/>
        <v>0</v>
      </c>
      <c r="O6" s="48">
        <f t="shared" ca="1" si="6"/>
        <v>7.317340720936585E-3</v>
      </c>
      <c r="P6" s="48">
        <f t="shared" ca="1" si="7"/>
        <v>3.9494327552011321E-2</v>
      </c>
      <c r="Q6" s="48">
        <f t="shared" ca="1" si="8"/>
        <v>2.7217281656854535E-2</v>
      </c>
      <c r="R6" s="48">
        <f t="shared" si="9"/>
        <v>0</v>
      </c>
      <c r="S6" s="67" t="s">
        <v>2509</v>
      </c>
    </row>
    <row r="7" spans="2:19">
      <c r="B7" t="s">
        <v>31</v>
      </c>
      <c r="C7" s="1">
        <f>SUMIFS(Summary_Checking_TRAD!$E:$E,Summary_Checking_TRAD!$W:$W,"USD")</f>
        <v>2191</v>
      </c>
      <c r="D7" s="1">
        <f>SUMIFS(Summary_Checking_TRAD!$F:$F,Summary_Checking_TRAD!$W:$W,"USD")</f>
        <v>191745129.90000001</v>
      </c>
      <c r="E7" s="1">
        <f>SUMIFS(Summary_Checking_TRAD!$G:$G,Summary_Checking_TRAD!$W:$W,"USD")</f>
        <v>21159225.900000002</v>
      </c>
      <c r="F7" s="1">
        <f>SUMIFS(Summary_Checking_TRAD!$H:$H,Summary_Checking_TRAD!$W:$W,"USD")</f>
        <v>0</v>
      </c>
      <c r="G7" s="1">
        <f>SUMIFS(Summary_Checking_TRAD!$I:$I,Summary_Checking_TRAD!$W:$W,"USD")</f>
        <v>2191</v>
      </c>
      <c r="H7" s="1">
        <f>SUMIFS(Summary_Checking_TRAD!$J:$J,Summary_Checking_TRAD!$W:$W,"USD")</f>
        <v>186103207</v>
      </c>
      <c r="I7" s="1">
        <f>SUMIFS(Summary_Checking_TRAD!$K:$K,Summary_Checking_TRAD!$W:$W,"USD")</f>
        <v>21159225.900000002</v>
      </c>
      <c r="J7" s="1">
        <f>SUMIFS(Summary_Checking_TRAD!$L:$L,Summary_Checking_TRAD!$W:$W,"USD")</f>
        <v>0</v>
      </c>
      <c r="K7" s="7">
        <f t="shared" si="2"/>
        <v>0</v>
      </c>
      <c r="L7" s="7">
        <f>D7-H7</f>
        <v>5641922.900000006</v>
      </c>
      <c r="M7" s="7">
        <f t="shared" si="4"/>
        <v>0</v>
      </c>
      <c r="N7" s="7">
        <f t="shared" si="5"/>
        <v>0</v>
      </c>
      <c r="O7" s="48">
        <f t="shared" si="6"/>
        <v>0</v>
      </c>
      <c r="P7" s="48">
        <f t="shared" si="7"/>
        <v>3.0316097132060738E-2</v>
      </c>
      <c r="Q7" s="48">
        <f t="shared" si="8"/>
        <v>0</v>
      </c>
      <c r="R7" s="48">
        <f t="shared" si="9"/>
        <v>0</v>
      </c>
    </row>
    <row r="9" spans="2:19"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</sheetData>
  <mergeCells count="6">
    <mergeCell ref="S2:S3"/>
    <mergeCell ref="B2:B3"/>
    <mergeCell ref="C2:F2"/>
    <mergeCell ref="G2:J2"/>
    <mergeCell ref="K2:N2"/>
    <mergeCell ref="O2:R2"/>
  </mergeCells>
  <conditionalFormatting sqref="O4:R7">
    <cfRule type="cellIs" dxfId="19" priority="1" operator="lessThan">
      <formula>-0.001</formula>
    </cfRule>
    <cfRule type="cellIs" dxfId="18" priority="2" operator="greaterThan">
      <formula>0.001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92A11-56AD-46C1-8F84-B219EDFF2B7A}">
  <sheetPr codeName="Sheet2">
    <tabColor rgb="FF0070C0"/>
  </sheetPr>
  <dimension ref="A1"/>
  <sheetViews>
    <sheetView workbookViewId="0">
      <selection activeCell="N104" sqref="N104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728CB-A260-44AB-8F7B-A105BC4C2C3E}">
  <sheetPr codeName="Sheet8"/>
  <dimension ref="A1:F146"/>
  <sheetViews>
    <sheetView zoomScale="87" zoomScaleNormal="87" workbookViewId="0">
      <pane ySplit="2" topLeftCell="A114" activePane="bottomLeft" state="frozen"/>
      <selection activeCell="N104" sqref="N104"/>
      <selection pane="bottomLeft" activeCell="E147" sqref="E147"/>
    </sheetView>
  </sheetViews>
  <sheetFormatPr defaultRowHeight="15"/>
  <cols>
    <col min="1" max="2" width="15.140625" customWidth="1"/>
    <col min="4" max="5" width="14.140625" customWidth="1"/>
    <col min="6" max="6" width="12.5703125" bestFit="1" customWidth="1"/>
    <col min="10" max="10" width="15.85546875" bestFit="1" customWidth="1"/>
  </cols>
  <sheetData>
    <row r="1" spans="1:5">
      <c r="A1" s="47"/>
    </row>
    <row r="2" spans="1:5">
      <c r="A2" s="61" t="s">
        <v>32</v>
      </c>
      <c r="B2" s="61" t="s">
        <v>33</v>
      </c>
      <c r="D2" s="61" t="s">
        <v>32</v>
      </c>
      <c r="E2" s="61" t="s">
        <v>33</v>
      </c>
    </row>
    <row r="3" spans="1:5">
      <c r="A3" s="6" t="s">
        <v>34</v>
      </c>
      <c r="B3" s="6" t="s">
        <v>35</v>
      </c>
      <c r="D3" s="6" t="s">
        <v>36</v>
      </c>
      <c r="E3" s="6" t="s">
        <v>37</v>
      </c>
    </row>
    <row r="4" spans="1:5">
      <c r="A4" s="6" t="s">
        <v>38</v>
      </c>
      <c r="B4" s="6" t="s">
        <v>39</v>
      </c>
      <c r="D4" s="6" t="s">
        <v>40</v>
      </c>
      <c r="E4" s="6" t="s">
        <v>41</v>
      </c>
    </row>
    <row r="5" spans="1:5">
      <c r="A5" s="6" t="s">
        <v>42</v>
      </c>
      <c r="B5" s="6" t="s">
        <v>43</v>
      </c>
      <c r="D5" s="6" t="s">
        <v>44</v>
      </c>
      <c r="E5" s="6" t="s">
        <v>45</v>
      </c>
    </row>
    <row r="6" spans="1:5">
      <c r="A6" s="6" t="s">
        <v>46</v>
      </c>
      <c r="B6" s="6" t="s">
        <v>47</v>
      </c>
      <c r="D6" s="6" t="s">
        <v>48</v>
      </c>
      <c r="E6" s="6" t="s">
        <v>49</v>
      </c>
    </row>
    <row r="7" spans="1:5">
      <c r="A7" s="6" t="s">
        <v>50</v>
      </c>
      <c r="B7" s="6" t="s">
        <v>51</v>
      </c>
      <c r="D7" s="6" t="s">
        <v>52</v>
      </c>
      <c r="E7" s="6" t="s">
        <v>53</v>
      </c>
    </row>
    <row r="8" spans="1:5">
      <c r="A8" s="6" t="s">
        <v>54</v>
      </c>
      <c r="B8" s="6" t="s">
        <v>55</v>
      </c>
      <c r="D8" s="6" t="s">
        <v>56</v>
      </c>
      <c r="E8" s="6" t="s">
        <v>57</v>
      </c>
    </row>
    <row r="9" spans="1:5">
      <c r="A9" s="6" t="s">
        <v>58</v>
      </c>
      <c r="B9" s="6" t="s">
        <v>59</v>
      </c>
      <c r="D9" s="6" t="s">
        <v>60</v>
      </c>
      <c r="E9" s="6" t="s">
        <v>57</v>
      </c>
    </row>
    <row r="10" spans="1:5">
      <c r="A10" s="6" t="s">
        <v>61</v>
      </c>
      <c r="B10" s="6" t="s">
        <v>62</v>
      </c>
      <c r="D10" s="6" t="s">
        <v>63</v>
      </c>
      <c r="E10" s="6" t="s">
        <v>64</v>
      </c>
    </row>
    <row r="11" spans="1:5">
      <c r="A11" s="6" t="s">
        <v>65</v>
      </c>
      <c r="B11" s="6" t="s">
        <v>66</v>
      </c>
      <c r="D11" s="6" t="s">
        <v>67</v>
      </c>
      <c r="E11" s="6" t="s">
        <v>68</v>
      </c>
    </row>
    <row r="12" spans="1:5">
      <c r="A12" s="6" t="s">
        <v>69</v>
      </c>
      <c r="B12" s="6" t="s">
        <v>70</v>
      </c>
      <c r="D12" s="6" t="s">
        <v>71</v>
      </c>
      <c r="E12" s="6" t="s">
        <v>68</v>
      </c>
    </row>
    <row r="13" spans="1:5">
      <c r="A13" s="6" t="s">
        <v>72</v>
      </c>
      <c r="B13" s="6" t="s">
        <v>73</v>
      </c>
      <c r="D13" s="6" t="s">
        <v>74</v>
      </c>
      <c r="E13" s="6" t="s">
        <v>68</v>
      </c>
    </row>
    <row r="14" spans="1:5">
      <c r="A14" s="6" t="s">
        <v>75</v>
      </c>
      <c r="B14" s="6" t="s">
        <v>76</v>
      </c>
      <c r="D14" s="6" t="s">
        <v>77</v>
      </c>
      <c r="E14" s="6" t="s">
        <v>68</v>
      </c>
    </row>
    <row r="15" spans="1:5">
      <c r="A15" s="6" t="s">
        <v>78</v>
      </c>
      <c r="B15" s="6" t="s">
        <v>79</v>
      </c>
      <c r="D15" s="6" t="s">
        <v>80</v>
      </c>
      <c r="E15" s="6" t="s">
        <v>81</v>
      </c>
    </row>
    <row r="16" spans="1:5">
      <c r="A16" s="6" t="s">
        <v>82</v>
      </c>
      <c r="B16" s="6" t="s">
        <v>83</v>
      </c>
      <c r="D16" s="6" t="s">
        <v>84</v>
      </c>
      <c r="E16" s="6" t="s">
        <v>85</v>
      </c>
    </row>
    <row r="17" spans="1:6">
      <c r="A17" s="6" t="s">
        <v>86</v>
      </c>
      <c r="B17" s="6" t="s">
        <v>87</v>
      </c>
      <c r="D17" s="6" t="s">
        <v>88</v>
      </c>
      <c r="E17" s="6" t="s">
        <v>89</v>
      </c>
    </row>
    <row r="18" spans="1:6">
      <c r="A18" s="6" t="s">
        <v>90</v>
      </c>
      <c r="B18" s="6" t="s">
        <v>91</v>
      </c>
      <c r="D18" s="62" t="s">
        <v>92</v>
      </c>
      <c r="E18" s="62" t="s">
        <v>93</v>
      </c>
      <c r="F18" s="77" t="s">
        <v>94</v>
      </c>
    </row>
    <row r="19" spans="1:6">
      <c r="A19" s="6" t="s">
        <v>95</v>
      </c>
      <c r="B19" s="6" t="s">
        <v>96</v>
      </c>
      <c r="D19" s="62" t="s">
        <v>97</v>
      </c>
      <c r="E19" s="62" t="s">
        <v>94</v>
      </c>
      <c r="F19" s="77"/>
    </row>
    <row r="20" spans="1:6">
      <c r="A20" s="6" t="s">
        <v>98</v>
      </c>
      <c r="B20" s="6" t="s">
        <v>99</v>
      </c>
      <c r="D20" s="62" t="s">
        <v>100</v>
      </c>
      <c r="E20" s="62" t="s">
        <v>101</v>
      </c>
      <c r="F20" s="77"/>
    </row>
    <row r="21" spans="1:6">
      <c r="A21" s="6" t="s">
        <v>102</v>
      </c>
      <c r="B21" s="6" t="s">
        <v>103</v>
      </c>
      <c r="D21" s="6" t="s">
        <v>104</v>
      </c>
      <c r="E21" s="6" t="s">
        <v>105</v>
      </c>
    </row>
    <row r="22" spans="1:6">
      <c r="A22" s="6" t="s">
        <v>106</v>
      </c>
      <c r="B22" s="6" t="s">
        <v>107</v>
      </c>
      <c r="D22" s="6" t="s">
        <v>108</v>
      </c>
      <c r="E22" s="6" t="s">
        <v>109</v>
      </c>
    </row>
    <row r="23" spans="1:6">
      <c r="A23" s="6" t="s">
        <v>110</v>
      </c>
      <c r="B23" s="6" t="s">
        <v>111</v>
      </c>
      <c r="D23" s="6" t="s">
        <v>112</v>
      </c>
      <c r="E23" s="6" t="s">
        <v>113</v>
      </c>
    </row>
    <row r="24" spans="1:6">
      <c r="A24" s="62" t="s">
        <v>114</v>
      </c>
      <c r="B24" s="62" t="s">
        <v>115</v>
      </c>
      <c r="D24" s="6" t="s">
        <v>116</v>
      </c>
      <c r="E24" s="6" t="s">
        <v>117</v>
      </c>
    </row>
    <row r="25" spans="1:6">
      <c r="A25" s="62" t="s">
        <v>118</v>
      </c>
      <c r="B25" s="62" t="s">
        <v>119</v>
      </c>
      <c r="D25" s="6" t="s">
        <v>120</v>
      </c>
      <c r="E25" s="6" t="s">
        <v>121</v>
      </c>
    </row>
    <row r="26" spans="1:6">
      <c r="A26" s="62" t="s">
        <v>122</v>
      </c>
      <c r="B26" s="62" t="s">
        <v>123</v>
      </c>
      <c r="D26" s="6" t="s">
        <v>124</v>
      </c>
      <c r="E26" s="6" t="s">
        <v>125</v>
      </c>
    </row>
    <row r="27" spans="1:6">
      <c r="A27" s="62" t="s">
        <v>126</v>
      </c>
      <c r="B27" s="62" t="s">
        <v>127</v>
      </c>
      <c r="D27" s="6" t="s">
        <v>128</v>
      </c>
      <c r="E27" s="6" t="s">
        <v>129</v>
      </c>
    </row>
    <row r="28" spans="1:6">
      <c r="A28" s="62" t="s">
        <v>130</v>
      </c>
      <c r="B28" s="62" t="s">
        <v>131</v>
      </c>
      <c r="D28" s="6" t="s">
        <v>132</v>
      </c>
      <c r="E28" s="6" t="s">
        <v>133</v>
      </c>
    </row>
    <row r="29" spans="1:6">
      <c r="A29" s="62" t="s">
        <v>134</v>
      </c>
      <c r="B29" s="62" t="s">
        <v>135</v>
      </c>
      <c r="D29" s="6" t="s">
        <v>136</v>
      </c>
      <c r="E29" s="6" t="s">
        <v>137</v>
      </c>
    </row>
    <row r="30" spans="1:6">
      <c r="A30" s="6" t="s">
        <v>138</v>
      </c>
      <c r="B30" s="6" t="s">
        <v>139</v>
      </c>
      <c r="D30" s="6" t="s">
        <v>140</v>
      </c>
      <c r="E30" s="6" t="s">
        <v>141</v>
      </c>
    </row>
    <row r="31" spans="1:6">
      <c r="A31" s="6" t="s">
        <v>142</v>
      </c>
      <c r="B31" s="6" t="s">
        <v>143</v>
      </c>
      <c r="D31" s="6" t="s">
        <v>144</v>
      </c>
      <c r="E31" s="6" t="s">
        <v>145</v>
      </c>
    </row>
    <row r="32" spans="1:6">
      <c r="A32" s="6" t="s">
        <v>146</v>
      </c>
      <c r="B32" s="6" t="s">
        <v>147</v>
      </c>
      <c r="D32" s="6" t="s">
        <v>148</v>
      </c>
      <c r="E32" s="6" t="s">
        <v>145</v>
      </c>
    </row>
    <row r="33" spans="1:5">
      <c r="A33" s="6" t="s">
        <v>149</v>
      </c>
      <c r="B33" s="6" t="s">
        <v>150</v>
      </c>
      <c r="D33" s="6" t="s">
        <v>151</v>
      </c>
      <c r="E33" s="6" t="s">
        <v>152</v>
      </c>
    </row>
    <row r="34" spans="1:5">
      <c r="A34" s="6" t="s">
        <v>153</v>
      </c>
      <c r="B34" s="6" t="s">
        <v>154</v>
      </c>
      <c r="D34" s="6" t="s">
        <v>155</v>
      </c>
      <c r="E34" s="6" t="s">
        <v>156</v>
      </c>
    </row>
    <row r="35" spans="1:5">
      <c r="A35" s="6" t="s">
        <v>157</v>
      </c>
      <c r="B35" s="6" t="s">
        <v>158</v>
      </c>
      <c r="D35" s="6" t="s">
        <v>159</v>
      </c>
      <c r="E35" s="6" t="s">
        <v>160</v>
      </c>
    </row>
    <row r="36" spans="1:5">
      <c r="A36" s="6" t="s">
        <v>161</v>
      </c>
      <c r="B36" s="6" t="s">
        <v>162</v>
      </c>
      <c r="D36" s="6" t="s">
        <v>163</v>
      </c>
      <c r="E36" s="6" t="s">
        <v>164</v>
      </c>
    </row>
    <row r="37" spans="1:5">
      <c r="A37" s="6" t="s">
        <v>165</v>
      </c>
      <c r="B37" s="6" t="s">
        <v>166</v>
      </c>
      <c r="D37" s="6" t="s">
        <v>167</v>
      </c>
      <c r="E37" s="6" t="s">
        <v>168</v>
      </c>
    </row>
    <row r="38" spans="1:5">
      <c r="A38" s="6" t="s">
        <v>169</v>
      </c>
      <c r="B38" s="6" t="s">
        <v>170</v>
      </c>
      <c r="D38" s="6" t="s">
        <v>171</v>
      </c>
      <c r="E38" s="6" t="s">
        <v>172</v>
      </c>
    </row>
    <row r="39" spans="1:5">
      <c r="A39" s="6" t="s">
        <v>173</v>
      </c>
      <c r="B39" s="6" t="s">
        <v>174</v>
      </c>
      <c r="D39" s="6" t="s">
        <v>175</v>
      </c>
      <c r="E39" s="6" t="s">
        <v>176</v>
      </c>
    </row>
    <row r="40" spans="1:5">
      <c r="A40" s="6" t="s">
        <v>177</v>
      </c>
      <c r="B40" s="6" t="s">
        <v>178</v>
      </c>
      <c r="D40" s="6" t="s">
        <v>179</v>
      </c>
      <c r="E40" s="6" t="s">
        <v>176</v>
      </c>
    </row>
    <row r="41" spans="1:5">
      <c r="A41" s="6" t="s">
        <v>180</v>
      </c>
      <c r="B41" s="6" t="s">
        <v>181</v>
      </c>
      <c r="D41" s="6" t="s">
        <v>182</v>
      </c>
      <c r="E41" s="6" t="s">
        <v>183</v>
      </c>
    </row>
    <row r="42" spans="1:5">
      <c r="A42" s="6" t="s">
        <v>184</v>
      </c>
      <c r="B42" s="6" t="s">
        <v>185</v>
      </c>
      <c r="D42" s="6" t="s">
        <v>186</v>
      </c>
      <c r="E42" s="6" t="s">
        <v>187</v>
      </c>
    </row>
    <row r="43" spans="1:5">
      <c r="A43" s="6" t="s">
        <v>188</v>
      </c>
      <c r="B43" s="6" t="s">
        <v>189</v>
      </c>
      <c r="D43" s="6" t="s">
        <v>190</v>
      </c>
      <c r="E43" s="6" t="s">
        <v>191</v>
      </c>
    </row>
    <row r="44" spans="1:5">
      <c r="A44" s="6" t="s">
        <v>192</v>
      </c>
      <c r="B44" s="6" t="s">
        <v>193</v>
      </c>
      <c r="D44" s="6" t="s">
        <v>194</v>
      </c>
      <c r="E44" s="6" t="s">
        <v>195</v>
      </c>
    </row>
    <row r="45" spans="1:5">
      <c r="A45" s="6" t="s">
        <v>196</v>
      </c>
      <c r="B45" s="6" t="s">
        <v>197</v>
      </c>
      <c r="D45" s="6" t="s">
        <v>198</v>
      </c>
      <c r="E45" s="6" t="s">
        <v>199</v>
      </c>
    </row>
    <row r="46" spans="1:5">
      <c r="A46" s="6" t="s">
        <v>200</v>
      </c>
      <c r="B46" s="6" t="s">
        <v>201</v>
      </c>
      <c r="D46" s="6" t="s">
        <v>202</v>
      </c>
      <c r="E46" s="6" t="s">
        <v>203</v>
      </c>
    </row>
    <row r="47" spans="1:5">
      <c r="A47" s="6" t="s">
        <v>204</v>
      </c>
      <c r="B47" s="6" t="s">
        <v>205</v>
      </c>
      <c r="D47" s="6" t="s">
        <v>206</v>
      </c>
      <c r="E47" s="6" t="s">
        <v>207</v>
      </c>
    </row>
    <row r="48" spans="1:5">
      <c r="A48" s="6" t="s">
        <v>208</v>
      </c>
      <c r="B48" s="6" t="s">
        <v>209</v>
      </c>
      <c r="D48" s="6" t="s">
        <v>210</v>
      </c>
      <c r="E48" s="6" t="s">
        <v>211</v>
      </c>
    </row>
    <row r="49" spans="1:5">
      <c r="A49" s="6" t="s">
        <v>212</v>
      </c>
      <c r="B49" s="6" t="s">
        <v>213</v>
      </c>
      <c r="D49" s="6" t="s">
        <v>214</v>
      </c>
      <c r="E49" s="6" t="s">
        <v>215</v>
      </c>
    </row>
    <row r="50" spans="1:5">
      <c r="A50" s="6" t="s">
        <v>216</v>
      </c>
      <c r="B50" s="6" t="s">
        <v>217</v>
      </c>
      <c r="D50" s="6" t="s">
        <v>218</v>
      </c>
      <c r="E50" s="6" t="s">
        <v>219</v>
      </c>
    </row>
    <row r="51" spans="1:5">
      <c r="A51" s="6" t="s">
        <v>220</v>
      </c>
      <c r="B51" s="6" t="s">
        <v>221</v>
      </c>
      <c r="D51" s="6" t="s">
        <v>222</v>
      </c>
      <c r="E51" s="6" t="s">
        <v>223</v>
      </c>
    </row>
    <row r="52" spans="1:5">
      <c r="A52" s="6" t="s">
        <v>224</v>
      </c>
      <c r="B52" s="6" t="s">
        <v>225</v>
      </c>
      <c r="D52" s="6" t="s">
        <v>226</v>
      </c>
      <c r="E52" s="6" t="s">
        <v>227</v>
      </c>
    </row>
    <row r="53" spans="1:5">
      <c r="A53" s="6" t="s">
        <v>228</v>
      </c>
      <c r="B53" s="6" t="s">
        <v>229</v>
      </c>
      <c r="D53" s="6" t="s">
        <v>230</v>
      </c>
      <c r="E53" s="6" t="s">
        <v>231</v>
      </c>
    </row>
    <row r="54" spans="1:5">
      <c r="A54" s="6" t="s">
        <v>232</v>
      </c>
      <c r="B54" s="6" t="s">
        <v>233</v>
      </c>
      <c r="D54" s="6" t="s">
        <v>234</v>
      </c>
      <c r="E54" s="6" t="s">
        <v>235</v>
      </c>
    </row>
    <row r="55" spans="1:5">
      <c r="A55" s="6" t="s">
        <v>236</v>
      </c>
      <c r="B55" s="6" t="s">
        <v>237</v>
      </c>
      <c r="D55" s="6" t="s">
        <v>238</v>
      </c>
      <c r="E55" s="6" t="s">
        <v>239</v>
      </c>
    </row>
    <row r="56" spans="1:5">
      <c r="A56" s="6" t="s">
        <v>240</v>
      </c>
      <c r="B56" s="6" t="s">
        <v>241</v>
      </c>
      <c r="D56" s="6" t="s">
        <v>242</v>
      </c>
      <c r="E56" s="6" t="s">
        <v>243</v>
      </c>
    </row>
    <row r="57" spans="1:5">
      <c r="A57" s="6" t="s">
        <v>244</v>
      </c>
      <c r="B57" s="6" t="s">
        <v>245</v>
      </c>
      <c r="D57" s="6" t="s">
        <v>246</v>
      </c>
      <c r="E57" s="6" t="s">
        <v>247</v>
      </c>
    </row>
    <row r="58" spans="1:5">
      <c r="A58" s="6" t="s">
        <v>248</v>
      </c>
      <c r="B58" s="6" t="s">
        <v>249</v>
      </c>
      <c r="D58" s="6" t="s">
        <v>250</v>
      </c>
      <c r="E58" s="6" t="s">
        <v>251</v>
      </c>
    </row>
    <row r="59" spans="1:5">
      <c r="A59" s="6" t="s">
        <v>252</v>
      </c>
      <c r="B59" s="6" t="s">
        <v>252</v>
      </c>
      <c r="D59" s="6" t="s">
        <v>253</v>
      </c>
      <c r="E59" s="6" t="s">
        <v>254</v>
      </c>
    </row>
    <row r="60" spans="1:5">
      <c r="A60" s="6" t="s">
        <v>255</v>
      </c>
      <c r="B60" s="6" t="s">
        <v>255</v>
      </c>
      <c r="D60" s="6" t="s">
        <v>256</v>
      </c>
      <c r="E60" s="6" t="s">
        <v>257</v>
      </c>
    </row>
    <row r="61" spans="1:5">
      <c r="A61" s="6" t="s">
        <v>258</v>
      </c>
      <c r="B61" s="6" t="s">
        <v>258</v>
      </c>
      <c r="D61" s="6" t="s">
        <v>259</v>
      </c>
      <c r="E61" s="6" t="s">
        <v>260</v>
      </c>
    </row>
    <row r="62" spans="1:5">
      <c r="A62" s="6" t="s">
        <v>261</v>
      </c>
      <c r="B62" s="6" t="s">
        <v>261</v>
      </c>
      <c r="D62" s="6" t="s">
        <v>262</v>
      </c>
      <c r="E62" s="6" t="s">
        <v>263</v>
      </c>
    </row>
    <row r="63" spans="1:5">
      <c r="A63" s="6" t="s">
        <v>264</v>
      </c>
      <c r="B63" s="6" t="s">
        <v>264</v>
      </c>
      <c r="D63" s="6" t="s">
        <v>265</v>
      </c>
      <c r="E63" s="6" t="s">
        <v>266</v>
      </c>
    </row>
    <row r="64" spans="1:5">
      <c r="A64" s="6" t="s">
        <v>267</v>
      </c>
      <c r="B64" s="6" t="s">
        <v>267</v>
      </c>
      <c r="D64" s="6" t="s">
        <v>268</v>
      </c>
      <c r="E64" s="6" t="s">
        <v>269</v>
      </c>
    </row>
    <row r="65" spans="1:5">
      <c r="A65" s="6" t="s">
        <v>270</v>
      </c>
      <c r="B65" s="6" t="s">
        <v>271</v>
      </c>
      <c r="D65" s="6" t="s">
        <v>272</v>
      </c>
      <c r="E65" s="6" t="s">
        <v>273</v>
      </c>
    </row>
    <row r="66" spans="1:5">
      <c r="A66" s="6" t="s">
        <v>274</v>
      </c>
      <c r="B66" s="6" t="s">
        <v>274</v>
      </c>
      <c r="D66" s="6" t="s">
        <v>275</v>
      </c>
      <c r="E66" s="6" t="s">
        <v>276</v>
      </c>
    </row>
    <row r="67" spans="1:5">
      <c r="A67" s="6" t="s">
        <v>277</v>
      </c>
      <c r="B67" s="6" t="s">
        <v>277</v>
      </c>
      <c r="D67" s="6" t="s">
        <v>278</v>
      </c>
      <c r="E67" s="6" t="s">
        <v>279</v>
      </c>
    </row>
    <row r="68" spans="1:5">
      <c r="A68" s="6" t="s">
        <v>280</v>
      </c>
      <c r="B68" s="6" t="s">
        <v>280</v>
      </c>
      <c r="D68" s="6" t="s">
        <v>281</v>
      </c>
      <c r="E68" s="6" t="s">
        <v>282</v>
      </c>
    </row>
    <row r="69" spans="1:5">
      <c r="A69" s="6" t="s">
        <v>283</v>
      </c>
      <c r="B69" s="6" t="s">
        <v>283</v>
      </c>
      <c r="D69" s="6" t="s">
        <v>284</v>
      </c>
      <c r="E69" s="6" t="s">
        <v>285</v>
      </c>
    </row>
    <row r="70" spans="1:5">
      <c r="A70" s="6" t="s">
        <v>286</v>
      </c>
      <c r="B70" s="6" t="s">
        <v>286</v>
      </c>
      <c r="D70" s="6" t="s">
        <v>287</v>
      </c>
      <c r="E70" s="6" t="s">
        <v>288</v>
      </c>
    </row>
    <row r="71" spans="1:5">
      <c r="A71" s="6" t="s">
        <v>289</v>
      </c>
      <c r="B71" s="6" t="s">
        <v>289</v>
      </c>
      <c r="D71" s="6" t="s">
        <v>290</v>
      </c>
      <c r="E71" s="6" t="s">
        <v>291</v>
      </c>
    </row>
    <row r="72" spans="1:5">
      <c r="A72" s="6" t="s">
        <v>292</v>
      </c>
      <c r="B72" s="6" t="s">
        <v>292</v>
      </c>
      <c r="D72" s="6" t="s">
        <v>293</v>
      </c>
      <c r="E72" s="6" t="s">
        <v>294</v>
      </c>
    </row>
    <row r="73" spans="1:5">
      <c r="A73" s="6" t="s">
        <v>295</v>
      </c>
      <c r="B73" s="6" t="s">
        <v>296</v>
      </c>
      <c r="D73" s="6" t="s">
        <v>297</v>
      </c>
      <c r="E73" s="6" t="s">
        <v>298</v>
      </c>
    </row>
    <row r="74" spans="1:5">
      <c r="A74" s="6" t="s">
        <v>299</v>
      </c>
      <c r="B74" s="6" t="s">
        <v>300</v>
      </c>
      <c r="D74" s="6" t="s">
        <v>301</v>
      </c>
      <c r="E74" s="6" t="s">
        <v>302</v>
      </c>
    </row>
    <row r="75" spans="1:5">
      <c r="A75" s="6" t="s">
        <v>303</v>
      </c>
      <c r="B75" s="6" t="s">
        <v>304</v>
      </c>
      <c r="D75" s="6" t="s">
        <v>305</v>
      </c>
      <c r="E75" s="6" t="s">
        <v>302</v>
      </c>
    </row>
    <row r="76" spans="1:5">
      <c r="A76" s="6" t="s">
        <v>306</v>
      </c>
      <c r="B76" s="6" t="s">
        <v>307</v>
      </c>
      <c r="D76" s="6" t="s">
        <v>308</v>
      </c>
      <c r="E76" s="6" t="s">
        <v>309</v>
      </c>
    </row>
    <row r="77" spans="1:5">
      <c r="A77" s="6" t="s">
        <v>310</v>
      </c>
      <c r="B77" s="6" t="s">
        <v>311</v>
      </c>
      <c r="D77" s="6" t="s">
        <v>312</v>
      </c>
      <c r="E77" s="6" t="s">
        <v>313</v>
      </c>
    </row>
    <row r="78" spans="1:5">
      <c r="A78" s="6" t="s">
        <v>314</v>
      </c>
      <c r="B78" s="6" t="s">
        <v>315</v>
      </c>
      <c r="D78" s="6" t="s">
        <v>316</v>
      </c>
      <c r="E78" s="6" t="s">
        <v>317</v>
      </c>
    </row>
    <row r="79" spans="1:5">
      <c r="A79" s="6" t="s">
        <v>314</v>
      </c>
      <c r="B79" s="6" t="s">
        <v>318</v>
      </c>
      <c r="D79" s="6" t="s">
        <v>319</v>
      </c>
      <c r="E79" s="6" t="s">
        <v>320</v>
      </c>
    </row>
    <row r="80" spans="1:5">
      <c r="A80" s="6" t="s">
        <v>314</v>
      </c>
      <c r="B80" s="6" t="s">
        <v>321</v>
      </c>
      <c r="D80" s="6" t="s">
        <v>322</v>
      </c>
      <c r="E80" s="6" t="s">
        <v>323</v>
      </c>
    </row>
    <row r="81" spans="1:5">
      <c r="A81" s="6" t="s">
        <v>314</v>
      </c>
      <c r="B81" s="6" t="s">
        <v>324</v>
      </c>
      <c r="D81" s="6" t="s">
        <v>325</v>
      </c>
      <c r="E81" s="6" t="s">
        <v>326</v>
      </c>
    </row>
    <row r="82" spans="1:5">
      <c r="A82" s="6" t="s">
        <v>327</v>
      </c>
      <c r="B82" s="6" t="s">
        <v>327</v>
      </c>
      <c r="D82" s="6" t="s">
        <v>328</v>
      </c>
      <c r="E82" s="6" t="s">
        <v>329</v>
      </c>
    </row>
    <row r="83" spans="1:5">
      <c r="A83" s="6" t="s">
        <v>330</v>
      </c>
      <c r="B83" s="6" t="s">
        <v>331</v>
      </c>
      <c r="D83" s="6" t="s">
        <v>332</v>
      </c>
      <c r="E83" s="6" t="s">
        <v>333</v>
      </c>
    </row>
    <row r="84" spans="1:5">
      <c r="A84" s="6" t="s">
        <v>334</v>
      </c>
      <c r="B84" s="6" t="s">
        <v>335</v>
      </c>
      <c r="D84" s="6" t="s">
        <v>336</v>
      </c>
      <c r="E84" s="6" t="s">
        <v>337</v>
      </c>
    </row>
    <row r="85" spans="1:5">
      <c r="A85" s="6" t="s">
        <v>338</v>
      </c>
      <c r="B85" s="6" t="s">
        <v>338</v>
      </c>
      <c r="D85" s="6" t="s">
        <v>339</v>
      </c>
      <c r="E85" s="6" t="s">
        <v>340</v>
      </c>
    </row>
    <row r="86" spans="1:5">
      <c r="A86" s="6" t="s">
        <v>341</v>
      </c>
      <c r="B86" s="6" t="s">
        <v>341</v>
      </c>
      <c r="D86" s="6" t="s">
        <v>342</v>
      </c>
      <c r="E86" s="6" t="s">
        <v>343</v>
      </c>
    </row>
    <row r="87" spans="1:5">
      <c r="A87" s="6" t="s">
        <v>196</v>
      </c>
      <c r="B87" s="6" t="s">
        <v>344</v>
      </c>
      <c r="D87" s="6" t="s">
        <v>345</v>
      </c>
      <c r="E87" s="6" t="s">
        <v>346</v>
      </c>
    </row>
    <row r="88" spans="1:5">
      <c r="A88" s="6" t="s">
        <v>347</v>
      </c>
      <c r="B88" s="6" t="s">
        <v>347</v>
      </c>
      <c r="D88" s="6" t="s">
        <v>348</v>
      </c>
      <c r="E88" s="6" t="s">
        <v>349</v>
      </c>
    </row>
    <row r="89" spans="1:5">
      <c r="A89" s="6" t="s">
        <v>2306</v>
      </c>
      <c r="B89" s="6" t="s">
        <v>2306</v>
      </c>
      <c r="D89" s="6" t="s">
        <v>350</v>
      </c>
      <c r="E89" s="6" t="s">
        <v>351</v>
      </c>
    </row>
    <row r="90" spans="1:5">
      <c r="A90" s="6" t="s">
        <v>352</v>
      </c>
      <c r="B90" s="6" t="s">
        <v>352</v>
      </c>
      <c r="D90" s="6" t="s">
        <v>353</v>
      </c>
      <c r="E90" s="6" t="s">
        <v>354</v>
      </c>
    </row>
    <row r="91" spans="1:5">
      <c r="A91" s="6" t="s">
        <v>2313</v>
      </c>
      <c r="B91" s="6" t="s">
        <v>355</v>
      </c>
      <c r="D91" s="6" t="s">
        <v>356</v>
      </c>
      <c r="E91" s="6" t="s">
        <v>357</v>
      </c>
    </row>
    <row r="92" spans="1:5">
      <c r="A92" s="6" t="s">
        <v>358</v>
      </c>
      <c r="B92" s="6" t="s">
        <v>359</v>
      </c>
      <c r="D92" s="6" t="s">
        <v>360</v>
      </c>
      <c r="E92" s="6" t="s">
        <v>361</v>
      </c>
    </row>
    <row r="93" spans="1:5">
      <c r="A93" s="6" t="s">
        <v>362</v>
      </c>
      <c r="B93" s="6" t="s">
        <v>363</v>
      </c>
      <c r="D93" s="6" t="s">
        <v>364</v>
      </c>
      <c r="E93" s="6" t="s">
        <v>365</v>
      </c>
    </row>
    <row r="94" spans="1:5">
      <c r="A94" s="6" t="s">
        <v>2303</v>
      </c>
      <c r="B94" s="6" t="s">
        <v>2303</v>
      </c>
      <c r="D94" s="6" t="s">
        <v>366</v>
      </c>
      <c r="E94" s="6" t="s">
        <v>365</v>
      </c>
    </row>
    <row r="95" spans="1:5">
      <c r="A95" s="6" t="s">
        <v>2304</v>
      </c>
      <c r="B95" s="6" t="s">
        <v>2304</v>
      </c>
      <c r="D95" s="6" t="s">
        <v>367</v>
      </c>
      <c r="E95" s="6" t="s">
        <v>368</v>
      </c>
    </row>
    <row r="96" spans="1:5">
      <c r="A96" s="6" t="s">
        <v>330</v>
      </c>
      <c r="B96" s="6" t="s">
        <v>2305</v>
      </c>
      <c r="D96" s="6" t="s">
        <v>369</v>
      </c>
      <c r="E96" s="6" t="s">
        <v>370</v>
      </c>
    </row>
    <row r="97" spans="1:6">
      <c r="A97" s="6" t="s">
        <v>2309</v>
      </c>
      <c r="B97" s="6" t="s">
        <v>2309</v>
      </c>
      <c r="D97" s="6" t="s">
        <v>371</v>
      </c>
      <c r="E97" s="6" t="s">
        <v>372</v>
      </c>
    </row>
    <row r="98" spans="1:6">
      <c r="A98" s="6" t="s">
        <v>2310</v>
      </c>
      <c r="B98" s="6" t="s">
        <v>2310</v>
      </c>
      <c r="D98" s="6" t="s">
        <v>373</v>
      </c>
      <c r="E98" s="6" t="s">
        <v>372</v>
      </c>
    </row>
    <row r="99" spans="1:6">
      <c r="A99" s="43" t="s">
        <v>270</v>
      </c>
      <c r="B99" s="43" t="s">
        <v>2316</v>
      </c>
      <c r="D99" s="6" t="s">
        <v>374</v>
      </c>
      <c r="E99" s="6" t="s">
        <v>372</v>
      </c>
    </row>
    <row r="100" spans="1:6">
      <c r="A100" s="43" t="s">
        <v>2318</v>
      </c>
      <c r="B100" s="43" t="s">
        <v>2317</v>
      </c>
      <c r="D100" s="6" t="s">
        <v>375</v>
      </c>
      <c r="E100" s="6" t="s">
        <v>372</v>
      </c>
    </row>
    <row r="101" spans="1:6">
      <c r="A101" s="43" t="s">
        <v>2324</v>
      </c>
      <c r="B101" s="43" t="s">
        <v>2323</v>
      </c>
      <c r="D101" s="6" t="s">
        <v>376</v>
      </c>
      <c r="E101" s="6" t="s">
        <v>372</v>
      </c>
    </row>
    <row r="102" spans="1:6">
      <c r="A102" s="43" t="s">
        <v>2511</v>
      </c>
      <c r="B102" s="43" t="s">
        <v>2508</v>
      </c>
      <c r="D102" s="6" t="s">
        <v>377</v>
      </c>
      <c r="E102" s="6" t="s">
        <v>372</v>
      </c>
    </row>
    <row r="103" spans="1:6">
      <c r="D103" s="6" t="s">
        <v>378</v>
      </c>
      <c r="E103" s="6" t="s">
        <v>372</v>
      </c>
    </row>
    <row r="104" spans="1:6">
      <c r="D104" s="6" t="s">
        <v>379</v>
      </c>
      <c r="E104" s="6" t="s">
        <v>380</v>
      </c>
    </row>
    <row r="105" spans="1:6">
      <c r="D105" s="6" t="s">
        <v>381</v>
      </c>
      <c r="E105" s="6" t="s">
        <v>382</v>
      </c>
    </row>
    <row r="106" spans="1:6">
      <c r="D106" s="6" t="s">
        <v>383</v>
      </c>
      <c r="E106" s="6" t="s">
        <v>384</v>
      </c>
    </row>
    <row r="107" spans="1:6">
      <c r="D107" s="6" t="s">
        <v>385</v>
      </c>
      <c r="E107" s="6" t="s">
        <v>386</v>
      </c>
    </row>
    <row r="108" spans="1:6">
      <c r="D108" s="6" t="s">
        <v>387</v>
      </c>
      <c r="E108" s="6" t="s">
        <v>388</v>
      </c>
    </row>
    <row r="109" spans="1:6">
      <c r="D109" s="6" t="s">
        <v>389</v>
      </c>
      <c r="E109" s="6" t="s">
        <v>390</v>
      </c>
    </row>
    <row r="110" spans="1:6">
      <c r="D110" s="62" t="s">
        <v>391</v>
      </c>
      <c r="E110" s="62" t="s">
        <v>392</v>
      </c>
      <c r="F110" s="77" t="s">
        <v>393</v>
      </c>
    </row>
    <row r="111" spans="1:6">
      <c r="D111" s="62" t="s">
        <v>394</v>
      </c>
      <c r="E111" s="62" t="s">
        <v>395</v>
      </c>
      <c r="F111" s="77"/>
    </row>
    <row r="112" spans="1:6">
      <c r="D112" s="6" t="s">
        <v>396</v>
      </c>
      <c r="E112" s="6" t="s">
        <v>397</v>
      </c>
    </row>
    <row r="113" spans="4:5">
      <c r="D113" s="6" t="s">
        <v>398</v>
      </c>
      <c r="E113" s="6" t="s">
        <v>399</v>
      </c>
    </row>
    <row r="114" spans="4:5">
      <c r="D114" s="6" t="s">
        <v>400</v>
      </c>
      <c r="E114" s="6" t="s">
        <v>401</v>
      </c>
    </row>
    <row r="115" spans="4:5">
      <c r="D115" s="6" t="s">
        <v>402</v>
      </c>
      <c r="E115" s="6" t="s">
        <v>403</v>
      </c>
    </row>
    <row r="116" spans="4:5">
      <c r="D116" s="6" t="s">
        <v>404</v>
      </c>
      <c r="E116" s="6" t="s">
        <v>405</v>
      </c>
    </row>
    <row r="117" spans="4:5">
      <c r="D117" s="6" t="s">
        <v>406</v>
      </c>
      <c r="E117" s="6" t="s">
        <v>407</v>
      </c>
    </row>
    <row r="118" spans="4:5">
      <c r="D118" s="6" t="s">
        <v>408</v>
      </c>
      <c r="E118" s="6" t="s">
        <v>409</v>
      </c>
    </row>
    <row r="119" spans="4:5">
      <c r="D119" s="6" t="s">
        <v>410</v>
      </c>
      <c r="E119" s="6" t="s">
        <v>411</v>
      </c>
    </row>
    <row r="120" spans="4:5">
      <c r="D120" s="6" t="s">
        <v>412</v>
      </c>
      <c r="E120" s="6" t="s">
        <v>413</v>
      </c>
    </row>
    <row r="121" spans="4:5">
      <c r="D121" s="6" t="s">
        <v>414</v>
      </c>
      <c r="E121" s="6" t="s">
        <v>415</v>
      </c>
    </row>
    <row r="122" spans="4:5">
      <c r="D122" s="6" t="s">
        <v>416</v>
      </c>
      <c r="E122" s="6" t="s">
        <v>271</v>
      </c>
    </row>
    <row r="123" spans="4:5">
      <c r="D123" s="6" t="s">
        <v>417</v>
      </c>
      <c r="E123" s="6" t="s">
        <v>418</v>
      </c>
    </row>
    <row r="124" spans="4:5">
      <c r="D124" s="6" t="s">
        <v>419</v>
      </c>
      <c r="E124" s="6" t="s">
        <v>420</v>
      </c>
    </row>
    <row r="125" spans="4:5">
      <c r="D125" s="45" t="s">
        <v>421</v>
      </c>
      <c r="E125" s="6" t="s">
        <v>422</v>
      </c>
    </row>
    <row r="126" spans="4:5">
      <c r="D126" s="45" t="s">
        <v>423</v>
      </c>
      <c r="E126" s="6" t="s">
        <v>424</v>
      </c>
    </row>
    <row r="127" spans="4:5">
      <c r="D127" s="43" t="s">
        <v>425</v>
      </c>
      <c r="E127" s="43" t="s">
        <v>426</v>
      </c>
    </row>
    <row r="128" spans="4:5">
      <c r="D128" s="43" t="s">
        <v>427</v>
      </c>
      <c r="E128" s="43" t="s">
        <v>428</v>
      </c>
    </row>
    <row r="129" spans="4:5">
      <c r="D129" s="43" t="s">
        <v>429</v>
      </c>
      <c r="E129" s="43" t="s">
        <v>430</v>
      </c>
    </row>
    <row r="130" spans="4:5">
      <c r="D130" s="43" t="s">
        <v>431</v>
      </c>
      <c r="E130" s="43" t="s">
        <v>432</v>
      </c>
    </row>
    <row r="131" spans="4:5">
      <c r="D131" s="43" t="s">
        <v>433</v>
      </c>
      <c r="E131" s="43" t="s">
        <v>434</v>
      </c>
    </row>
    <row r="132" spans="4:5">
      <c r="D132" s="43" t="s">
        <v>234</v>
      </c>
      <c r="E132" s="43" t="s">
        <v>235</v>
      </c>
    </row>
    <row r="133" spans="4:5">
      <c r="D133" s="43" t="s">
        <v>435</v>
      </c>
      <c r="E133" s="43" t="s">
        <v>436</v>
      </c>
    </row>
    <row r="134" spans="4:5">
      <c r="D134" s="43" t="s">
        <v>437</v>
      </c>
      <c r="E134" s="43" t="s">
        <v>438</v>
      </c>
    </row>
    <row r="135" spans="4:5">
      <c r="D135" s="43" t="s">
        <v>439</v>
      </c>
      <c r="E135" s="43" t="s">
        <v>440</v>
      </c>
    </row>
    <row r="136" spans="4:5">
      <c r="D136" s="43" t="s">
        <v>441</v>
      </c>
      <c r="E136" s="43" t="s">
        <v>442</v>
      </c>
    </row>
    <row r="137" spans="4:5">
      <c r="D137" s="43" t="s">
        <v>443</v>
      </c>
      <c r="E137" s="43" t="s">
        <v>444</v>
      </c>
    </row>
    <row r="138" spans="4:5">
      <c r="D138" s="43" t="s">
        <v>445</v>
      </c>
      <c r="E138" s="43" t="s">
        <v>446</v>
      </c>
    </row>
    <row r="139" spans="4:5">
      <c r="D139" s="43" t="s">
        <v>447</v>
      </c>
      <c r="E139" s="43" t="s">
        <v>448</v>
      </c>
    </row>
    <row r="140" spans="4:5">
      <c r="D140" s="43" t="s">
        <v>449</v>
      </c>
      <c r="E140" s="43" t="s">
        <v>450</v>
      </c>
    </row>
    <row r="141" spans="4:5">
      <c r="D141" s="43" t="s">
        <v>451</v>
      </c>
      <c r="E141" s="43" t="s">
        <v>452</v>
      </c>
    </row>
    <row r="142" spans="4:5">
      <c r="D142" s="43" t="s">
        <v>2197</v>
      </c>
      <c r="E142" s="43" t="s">
        <v>2198</v>
      </c>
    </row>
    <row r="143" spans="4:5">
      <c r="D143" t="s">
        <v>2313</v>
      </c>
      <c r="E143" t="s">
        <v>355</v>
      </c>
    </row>
    <row r="144" spans="4:5">
      <c r="D144" t="s">
        <v>270</v>
      </c>
      <c r="E144" t="s">
        <v>2316</v>
      </c>
    </row>
    <row r="145" spans="4:5">
      <c r="D145" t="s">
        <v>2318</v>
      </c>
      <c r="E145" t="s">
        <v>2317</v>
      </c>
    </row>
    <row r="146" spans="4:5">
      <c r="D146" t="s">
        <v>2538</v>
      </c>
      <c r="E146" t="s">
        <v>2539</v>
      </c>
    </row>
  </sheetData>
  <autoFilter ref="A2:F93" xr:uid="{081728CB-A260-44AB-8F7B-A105BC4C2C3E}"/>
  <mergeCells count="2">
    <mergeCell ref="F18:F20"/>
    <mergeCell ref="F110:F111"/>
  </mergeCells>
  <conditionalFormatting sqref="A73:A90 B91:B98">
    <cfRule type="duplicateValues" dxfId="17" priority="11"/>
  </conditionalFormatting>
  <conditionalFormatting sqref="A83:A84">
    <cfRule type="duplicateValues" dxfId="16" priority="9"/>
  </conditionalFormatting>
  <conditionalFormatting sqref="A85:A90 B91:B98">
    <cfRule type="duplicateValues" dxfId="15" priority="8"/>
  </conditionalFormatting>
  <conditionalFormatting sqref="B73:B90 A91:A98">
    <cfRule type="duplicateValues" dxfId="14" priority="7"/>
  </conditionalFormatting>
  <conditionalFormatting sqref="B83:B90 A91:A98">
    <cfRule type="duplicateValues" dxfId="13" priority="10"/>
  </conditionalFormatting>
  <conditionalFormatting sqref="A100:A101">
    <cfRule type="duplicateValues" dxfId="12" priority="1"/>
  </conditionalFormatting>
  <conditionalFormatting sqref="A100:A101">
    <cfRule type="duplicateValues" dxfId="11" priority="2"/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FA04A-AB75-48B2-A828-C1484C692E78}">
  <sheetPr codeName="Sheet3"/>
  <dimension ref="A1:H5000"/>
  <sheetViews>
    <sheetView workbookViewId="0">
      <selection activeCell="H28" sqref="H1:H1048576"/>
    </sheetView>
  </sheetViews>
  <sheetFormatPr defaultRowHeight="15"/>
  <cols>
    <col min="8" max="8" width="17.140625" bestFit="1" customWidth="1"/>
  </cols>
  <sheetData>
    <row r="1" spans="1:8">
      <c r="A1" t="s">
        <v>453</v>
      </c>
      <c r="B1" t="s">
        <v>454</v>
      </c>
      <c r="C1" t="s">
        <v>455</v>
      </c>
      <c r="D1" t="s">
        <v>456</v>
      </c>
      <c r="E1" t="s">
        <v>457</v>
      </c>
      <c r="F1" t="s">
        <v>458</v>
      </c>
      <c r="H1" s="64" t="s">
        <v>459</v>
      </c>
    </row>
    <row r="2" spans="1:8">
      <c r="A2" t="s">
        <v>460</v>
      </c>
      <c r="B2" t="s">
        <v>461</v>
      </c>
      <c r="C2">
        <v>61</v>
      </c>
      <c r="D2">
        <v>3160000000</v>
      </c>
      <c r="E2">
        <v>4740000000</v>
      </c>
      <c r="F2">
        <v>9829611142.0338192</v>
      </c>
      <c r="H2" s="63" t="str">
        <f>IF(OR(MID(A2,6,10)="NASPP",MID(A2,6,10)="RASPP"),"RNASPP",IF(OR(MID(A2,6,10)="NSFAP",MID(A2,6,10)="RSPOA"),"RNSPOA",IF(OR(A2="ULGALLOC",A2="ULSPOOL"),A2,IF(MID(A2,6,5)="ANSSP","ASSP1",MID(A2,6,10)))))&amp;"_"&amp;B2</f>
        <v>AALM_IDR</v>
      </c>
    </row>
    <row r="3" spans="1:8">
      <c r="A3" t="s">
        <v>460</v>
      </c>
      <c r="B3" t="s">
        <v>462</v>
      </c>
      <c r="C3">
        <v>50</v>
      </c>
      <c r="D3">
        <v>255000</v>
      </c>
      <c r="E3">
        <v>382500</v>
      </c>
      <c r="F3">
        <v>756914.10087835195</v>
      </c>
      <c r="H3" s="63" t="str">
        <f t="shared" ref="H3:H66" si="0">IF(OR(MID(A3,6,10)="NASPP",MID(A3,6,10)="RASPP"),"RNASPP",IF(OR(MID(A3,6,10)="NSFAP",MID(A3,6,10)="RSPOA"),"RNSPOA",IF(OR(A3="ULGALLOC",A3="ULSPOOL"),A3,IF(MID(A3,6,5)="ANSSP","ASSP1",MID(A3,6,10)))))&amp;"_"&amp;B3</f>
        <v>AALM_USD</v>
      </c>
    </row>
    <row r="4" spans="1:8">
      <c r="A4" t="s">
        <v>463</v>
      </c>
      <c r="B4" t="s">
        <v>461</v>
      </c>
      <c r="C4">
        <v>193</v>
      </c>
      <c r="D4">
        <v>11020000000</v>
      </c>
      <c r="E4">
        <v>22040000000</v>
      </c>
      <c r="F4">
        <v>63349488529.609001</v>
      </c>
      <c r="H4" s="63" t="str">
        <f t="shared" si="0"/>
        <v>AAOP_IDR</v>
      </c>
    </row>
    <row r="5" spans="1:8">
      <c r="A5" t="s">
        <v>463</v>
      </c>
      <c r="B5" t="s">
        <v>462</v>
      </c>
      <c r="C5">
        <v>74</v>
      </c>
      <c r="D5">
        <v>1368000</v>
      </c>
      <c r="E5">
        <v>2736000</v>
      </c>
      <c r="F5">
        <v>5252373.6138863303</v>
      </c>
      <c r="H5" s="63" t="str">
        <f t="shared" si="0"/>
        <v>AAOP_USD</v>
      </c>
    </row>
    <row r="6" spans="1:8">
      <c r="A6" t="s">
        <v>464</v>
      </c>
      <c r="B6" t="s">
        <v>461</v>
      </c>
      <c r="C6">
        <v>89</v>
      </c>
      <c r="D6">
        <v>6123000000</v>
      </c>
      <c r="E6">
        <v>56165000000</v>
      </c>
      <c r="F6">
        <v>14121211655.3398</v>
      </c>
      <c r="H6" s="63" t="str">
        <f t="shared" si="0"/>
        <v>ASSP1_IDR</v>
      </c>
    </row>
    <row r="7" spans="1:8">
      <c r="A7" t="s">
        <v>465</v>
      </c>
      <c r="B7" t="s">
        <v>461</v>
      </c>
      <c r="C7">
        <v>239</v>
      </c>
      <c r="D7">
        <v>12555299996</v>
      </c>
      <c r="E7">
        <v>219120000000</v>
      </c>
      <c r="F7">
        <v>15373032777.858601</v>
      </c>
      <c r="H7" s="63" t="str">
        <f t="shared" si="0"/>
        <v>ARPL_IDR</v>
      </c>
    </row>
    <row r="8" spans="1:8">
      <c r="A8" t="s">
        <v>466</v>
      </c>
      <c r="B8" t="s">
        <v>461</v>
      </c>
      <c r="C8">
        <v>1115</v>
      </c>
      <c r="D8">
        <v>27250764615</v>
      </c>
      <c r="E8">
        <v>393808574317</v>
      </c>
      <c r="F8">
        <v>5389828288.0321798</v>
      </c>
      <c r="H8" s="63" t="str">
        <f t="shared" si="0"/>
        <v>ASAMN_IDR</v>
      </c>
    </row>
    <row r="9" spans="1:8">
      <c r="A9" t="s">
        <v>467</v>
      </c>
      <c r="B9" t="s">
        <v>461</v>
      </c>
      <c r="C9">
        <v>402</v>
      </c>
      <c r="D9">
        <v>657168000</v>
      </c>
      <c r="E9">
        <v>21661800000</v>
      </c>
      <c r="F9">
        <v>4434482120.9341497</v>
      </c>
      <c r="H9" s="63" t="str">
        <f t="shared" si="0"/>
        <v>ASBA_IDR</v>
      </c>
    </row>
    <row r="10" spans="1:8">
      <c r="A10" t="s">
        <v>468</v>
      </c>
      <c r="B10" t="s">
        <v>461</v>
      </c>
      <c r="C10">
        <v>14</v>
      </c>
      <c r="D10">
        <v>2625000000</v>
      </c>
      <c r="E10">
        <v>5250000000</v>
      </c>
      <c r="F10">
        <v>874698206.61152399</v>
      </c>
      <c r="H10" s="63" t="str">
        <f t="shared" si="0"/>
        <v>ASFA_IDR</v>
      </c>
    </row>
    <row r="11" spans="1:8">
      <c r="A11" t="s">
        <v>469</v>
      </c>
      <c r="B11" t="s">
        <v>461</v>
      </c>
      <c r="C11">
        <v>63</v>
      </c>
      <c r="D11">
        <v>2258000000</v>
      </c>
      <c r="E11">
        <v>3756000000</v>
      </c>
      <c r="F11">
        <v>1867319167.3246801</v>
      </c>
      <c r="H11" s="63" t="str">
        <f t="shared" si="0"/>
        <v>ASI_IDR</v>
      </c>
    </row>
    <row r="12" spans="1:8">
      <c r="A12" t="s">
        <v>470</v>
      </c>
      <c r="B12" t="s">
        <v>461</v>
      </c>
      <c r="C12">
        <v>85</v>
      </c>
      <c r="D12">
        <v>463800000</v>
      </c>
      <c r="E12">
        <v>13997000000</v>
      </c>
      <c r="F12">
        <v>1926216798.5644801</v>
      </c>
      <c r="H12" s="63" t="str">
        <f t="shared" si="0"/>
        <v>ASLSS_IDR</v>
      </c>
    </row>
    <row r="13" spans="1:8">
      <c r="A13" t="s">
        <v>471</v>
      </c>
      <c r="B13" t="s">
        <v>461</v>
      </c>
      <c r="C13">
        <v>7</v>
      </c>
      <c r="D13">
        <v>224000000</v>
      </c>
      <c r="E13">
        <v>344500000</v>
      </c>
      <c r="F13">
        <v>88506433.906810001</v>
      </c>
      <c r="H13" s="63" t="str">
        <f t="shared" si="0"/>
        <v>ASMAP_IDR</v>
      </c>
    </row>
    <row r="14" spans="1:8">
      <c r="A14" t="s">
        <v>472</v>
      </c>
      <c r="B14" t="s">
        <v>461</v>
      </c>
      <c r="C14">
        <v>173</v>
      </c>
      <c r="D14">
        <v>7915716045</v>
      </c>
      <c r="E14">
        <v>13339288807</v>
      </c>
      <c r="F14">
        <v>4377208408.7439098</v>
      </c>
      <c r="H14" s="63" t="str">
        <f t="shared" si="0"/>
        <v>ASMFP_IDR</v>
      </c>
    </row>
    <row r="15" spans="1:8">
      <c r="A15" t="s">
        <v>473</v>
      </c>
      <c r="B15" t="s">
        <v>461</v>
      </c>
      <c r="C15">
        <v>61</v>
      </c>
      <c r="D15">
        <v>376359996</v>
      </c>
      <c r="E15">
        <v>11617000000</v>
      </c>
      <c r="F15">
        <v>1730062528.6904099</v>
      </c>
      <c r="H15" s="63" t="str">
        <f t="shared" si="0"/>
        <v>ASP_IDR</v>
      </c>
    </row>
    <row r="16" spans="1:8">
      <c r="A16" t="s">
        <v>474</v>
      </c>
      <c r="B16" t="s">
        <v>461</v>
      </c>
      <c r="C16">
        <v>33562</v>
      </c>
      <c r="D16">
        <v>594014540428</v>
      </c>
      <c r="E16">
        <v>8517222318239</v>
      </c>
      <c r="F16">
        <v>86513112652.315598</v>
      </c>
      <c r="H16" s="63" t="str">
        <f t="shared" si="0"/>
        <v>ASPLF_IDR</v>
      </c>
    </row>
    <row r="17" spans="1:8">
      <c r="A17" t="s">
        <v>475</v>
      </c>
      <c r="B17" t="s">
        <v>461</v>
      </c>
      <c r="C17">
        <v>33634</v>
      </c>
      <c r="D17">
        <v>373901723496.37402</v>
      </c>
      <c r="E17">
        <v>11521900083000</v>
      </c>
      <c r="F17">
        <v>634492693772.08105</v>
      </c>
      <c r="H17" s="63" t="str">
        <f t="shared" si="0"/>
        <v>ASPOA_IDR</v>
      </c>
    </row>
    <row r="18" spans="1:8">
      <c r="A18" t="s">
        <v>476</v>
      </c>
      <c r="B18" t="s">
        <v>461</v>
      </c>
      <c r="C18">
        <v>8</v>
      </c>
      <c r="D18">
        <v>14400000</v>
      </c>
      <c r="E18">
        <v>393000000</v>
      </c>
      <c r="F18">
        <v>213627306.06205299</v>
      </c>
      <c r="H18" s="63" t="str">
        <f t="shared" si="0"/>
        <v>ASRKP_IDR</v>
      </c>
    </row>
    <row r="19" spans="1:8">
      <c r="A19" t="s">
        <v>477</v>
      </c>
      <c r="B19" t="s">
        <v>461</v>
      </c>
      <c r="C19">
        <v>1975</v>
      </c>
      <c r="D19">
        <v>51395012680</v>
      </c>
      <c r="E19">
        <v>321182000000</v>
      </c>
      <c r="F19">
        <v>25680120888.311699</v>
      </c>
      <c r="H19" s="63" t="str">
        <f t="shared" si="0"/>
        <v>ATSBH_IDR</v>
      </c>
    </row>
    <row r="20" spans="1:8">
      <c r="A20" t="s">
        <v>478</v>
      </c>
      <c r="B20" t="s">
        <v>461</v>
      </c>
      <c r="C20">
        <v>42</v>
      </c>
      <c r="D20">
        <v>2024500004</v>
      </c>
      <c r="E20">
        <v>30315000000</v>
      </c>
      <c r="F20">
        <v>4379222854.1746502</v>
      </c>
      <c r="H20" s="63" t="str">
        <f t="shared" si="0"/>
        <v>AWPF_IDR</v>
      </c>
    </row>
    <row r="21" spans="1:8">
      <c r="A21" t="s">
        <v>478</v>
      </c>
      <c r="B21" t="s">
        <v>462</v>
      </c>
      <c r="C21">
        <v>2</v>
      </c>
      <c r="D21">
        <v>5000</v>
      </c>
      <c r="E21">
        <v>25000</v>
      </c>
      <c r="F21">
        <v>16359.142858560001</v>
      </c>
      <c r="H21" s="63" t="str">
        <f t="shared" si="0"/>
        <v>AWPF_USD</v>
      </c>
    </row>
    <row r="22" spans="1:8">
      <c r="A22" t="s">
        <v>479</v>
      </c>
      <c r="B22" t="s">
        <v>461</v>
      </c>
      <c r="C22">
        <v>54</v>
      </c>
      <c r="D22">
        <v>9041000004</v>
      </c>
      <c r="E22">
        <v>338500000000</v>
      </c>
      <c r="F22">
        <v>19632887048.895199</v>
      </c>
      <c r="H22" s="63" t="str">
        <f t="shared" si="0"/>
        <v>AWPL_IDR</v>
      </c>
    </row>
    <row r="23" spans="1:8">
      <c r="A23" t="s">
        <v>479</v>
      </c>
      <c r="B23" t="s">
        <v>462</v>
      </c>
      <c r="C23">
        <v>57</v>
      </c>
      <c r="D23">
        <v>1029000</v>
      </c>
      <c r="E23">
        <v>23636000</v>
      </c>
      <c r="F23">
        <v>2702602.7701941002</v>
      </c>
      <c r="H23" s="63" t="str">
        <f t="shared" si="0"/>
        <v>AWPL_USD</v>
      </c>
    </row>
    <row r="24" spans="1:8">
      <c r="A24" t="s">
        <v>480</v>
      </c>
      <c r="B24" t="s">
        <v>461</v>
      </c>
      <c r="C24">
        <v>46</v>
      </c>
      <c r="D24">
        <v>7341999996</v>
      </c>
      <c r="E24">
        <v>250046735522</v>
      </c>
      <c r="F24">
        <v>9847813574.0116405</v>
      </c>
      <c r="H24" s="63" t="str">
        <f t="shared" si="0"/>
        <v>AWPL2_IDR</v>
      </c>
    </row>
    <row r="25" spans="1:8">
      <c r="A25" t="s">
        <v>480</v>
      </c>
      <c r="B25" t="s">
        <v>462</v>
      </c>
      <c r="C25">
        <v>25</v>
      </c>
      <c r="D25">
        <v>426400</v>
      </c>
      <c r="E25">
        <v>9926000</v>
      </c>
      <c r="F25">
        <v>603805.40763355</v>
      </c>
      <c r="H25" s="63" t="str">
        <f t="shared" si="0"/>
        <v>AWPL2_USD</v>
      </c>
    </row>
    <row r="26" spans="1:8">
      <c r="A26" t="s">
        <v>481</v>
      </c>
      <c r="B26" t="s">
        <v>461</v>
      </c>
      <c r="C26">
        <v>130</v>
      </c>
      <c r="D26">
        <v>6824999996</v>
      </c>
      <c r="E26">
        <v>112025000000</v>
      </c>
      <c r="F26">
        <v>98433619457.231094</v>
      </c>
      <c r="H26" s="63" t="str">
        <f t="shared" si="0"/>
        <v>AWPR_IDR</v>
      </c>
    </row>
    <row r="27" spans="1:8">
      <c r="A27" t="s">
        <v>481</v>
      </c>
      <c r="B27" t="s">
        <v>462</v>
      </c>
      <c r="C27">
        <v>15</v>
      </c>
      <c r="D27">
        <v>68000</v>
      </c>
      <c r="E27">
        <v>1187500</v>
      </c>
      <c r="F27">
        <v>172737.5844235</v>
      </c>
      <c r="H27" s="63" t="str">
        <f t="shared" si="0"/>
        <v>AWPR_USD</v>
      </c>
    </row>
    <row r="28" spans="1:8">
      <c r="A28" t="s">
        <v>2199</v>
      </c>
      <c r="B28" t="s">
        <v>461</v>
      </c>
      <c r="C28">
        <v>1</v>
      </c>
      <c r="D28">
        <v>80000000</v>
      </c>
      <c r="E28">
        <v>2000000000</v>
      </c>
      <c r="F28">
        <v>44204238.269768998</v>
      </c>
      <c r="H28" s="63" t="str">
        <f t="shared" si="0"/>
        <v>AWSL_IDR</v>
      </c>
    </row>
    <row r="29" spans="1:8">
      <c r="A29" t="s">
        <v>2199</v>
      </c>
      <c r="B29" t="s">
        <v>462</v>
      </c>
      <c r="C29">
        <v>1</v>
      </c>
      <c r="D29">
        <v>19250</v>
      </c>
      <c r="E29">
        <v>481250</v>
      </c>
      <c r="F29">
        <v>9885.0839745600006</v>
      </c>
      <c r="H29" s="63" t="str">
        <f t="shared" si="0"/>
        <v>AWSL_USD</v>
      </c>
    </row>
    <row r="30" spans="1:8">
      <c r="A30" t="s">
        <v>482</v>
      </c>
      <c r="B30" t="s">
        <v>461</v>
      </c>
      <c r="C30">
        <v>12</v>
      </c>
      <c r="D30">
        <v>650000000</v>
      </c>
      <c r="E30">
        <v>975000000</v>
      </c>
      <c r="F30">
        <v>7831206333.6890097</v>
      </c>
      <c r="H30" s="63" t="str">
        <f t="shared" si="0"/>
        <v>BJPMC_IDR</v>
      </c>
    </row>
    <row r="31" spans="1:8">
      <c r="A31" t="s">
        <v>482</v>
      </c>
      <c r="B31" t="s">
        <v>462</v>
      </c>
      <c r="C31">
        <v>47</v>
      </c>
      <c r="D31">
        <v>235000</v>
      </c>
      <c r="E31">
        <v>352500</v>
      </c>
      <c r="F31">
        <v>1781110.3917797201</v>
      </c>
      <c r="H31" s="63" t="str">
        <f t="shared" si="0"/>
        <v>BJPMC_USD</v>
      </c>
    </row>
    <row r="32" spans="1:8">
      <c r="A32" t="s">
        <v>483</v>
      </c>
      <c r="B32" t="s">
        <v>461</v>
      </c>
      <c r="C32">
        <v>62</v>
      </c>
      <c r="D32">
        <v>641000000</v>
      </c>
      <c r="E32">
        <v>39273000000</v>
      </c>
      <c r="F32">
        <v>1105454324.07671</v>
      </c>
      <c r="H32" s="63" t="str">
        <f t="shared" si="0"/>
        <v>BJPOC_IDR</v>
      </c>
    </row>
    <row r="33" spans="1:8">
      <c r="A33" t="s">
        <v>484</v>
      </c>
      <c r="B33" t="s">
        <v>461</v>
      </c>
      <c r="C33">
        <v>2</v>
      </c>
      <c r="D33">
        <v>150000000</v>
      </c>
      <c r="E33">
        <v>1000000000</v>
      </c>
      <c r="F33">
        <v>20472185.957391001</v>
      </c>
      <c r="H33" s="63" t="str">
        <f t="shared" si="0"/>
        <v>CPRA_IDR</v>
      </c>
    </row>
    <row r="34" spans="1:8">
      <c r="A34" t="s">
        <v>485</v>
      </c>
      <c r="B34" t="s">
        <v>461</v>
      </c>
      <c r="C34">
        <v>743</v>
      </c>
      <c r="D34">
        <v>2926355972</v>
      </c>
      <c r="E34">
        <v>134000900000</v>
      </c>
      <c r="F34">
        <v>21533274313.2813</v>
      </c>
      <c r="H34" s="63" t="str">
        <f t="shared" si="0"/>
        <v>DMSA_IDR</v>
      </c>
    </row>
    <row r="35" spans="1:8">
      <c r="A35" t="s">
        <v>486</v>
      </c>
      <c r="B35" t="s">
        <v>461</v>
      </c>
      <c r="C35">
        <v>3628</v>
      </c>
      <c r="D35">
        <v>23069599979.999901</v>
      </c>
      <c r="E35">
        <v>710550000000</v>
      </c>
      <c r="F35">
        <v>167431753954.578</v>
      </c>
      <c r="H35" s="63" t="str">
        <f t="shared" si="0"/>
        <v>DRKFS_IDR</v>
      </c>
    </row>
    <row r="36" spans="1:8">
      <c r="A36" t="s">
        <v>486</v>
      </c>
      <c r="B36" t="s">
        <v>462</v>
      </c>
      <c r="C36">
        <v>71</v>
      </c>
      <c r="D36">
        <v>115715</v>
      </c>
      <c r="E36">
        <v>1808150</v>
      </c>
      <c r="F36">
        <v>887417.97611279995</v>
      </c>
      <c r="H36" s="63" t="str">
        <f t="shared" si="0"/>
        <v>DRKFS_USD</v>
      </c>
    </row>
    <row r="37" spans="1:8">
      <c r="A37" t="s">
        <v>487</v>
      </c>
      <c r="B37" t="s">
        <v>461</v>
      </c>
      <c r="C37">
        <v>1</v>
      </c>
      <c r="D37">
        <v>15000000</v>
      </c>
      <c r="E37">
        <v>300000000</v>
      </c>
      <c r="F37">
        <v>56795458.125846997</v>
      </c>
      <c r="H37" s="63" t="str">
        <f t="shared" si="0"/>
        <v>DRKPS_IDR</v>
      </c>
    </row>
    <row r="38" spans="1:8">
      <c r="A38" t="s">
        <v>488</v>
      </c>
      <c r="B38" t="s">
        <v>461</v>
      </c>
      <c r="C38">
        <v>9</v>
      </c>
      <c r="D38">
        <v>49300000</v>
      </c>
      <c r="E38">
        <v>1950000000</v>
      </c>
      <c r="F38">
        <v>327196936.64886498</v>
      </c>
      <c r="H38" s="63" t="str">
        <f t="shared" si="0"/>
        <v>DRKU_IDR</v>
      </c>
    </row>
    <row r="39" spans="1:8">
      <c r="A39" t="s">
        <v>489</v>
      </c>
      <c r="B39" t="s">
        <v>461</v>
      </c>
      <c r="C39">
        <v>518</v>
      </c>
      <c r="D39">
        <v>4347539996</v>
      </c>
      <c r="E39">
        <v>128687000000</v>
      </c>
      <c r="F39">
        <v>31043163338.790901</v>
      </c>
      <c r="H39" s="63" t="str">
        <f t="shared" si="0"/>
        <v>DRKUA_IDR</v>
      </c>
    </row>
    <row r="40" spans="1:8">
      <c r="A40" t="s">
        <v>489</v>
      </c>
      <c r="B40" t="s">
        <v>462</v>
      </c>
      <c r="C40">
        <v>1</v>
      </c>
      <c r="D40">
        <v>1250</v>
      </c>
      <c r="E40">
        <v>20000</v>
      </c>
      <c r="F40">
        <v>5285.0109048000004</v>
      </c>
      <c r="H40" s="63" t="str">
        <f t="shared" si="0"/>
        <v>DRKUA_USD</v>
      </c>
    </row>
    <row r="41" spans="1:8">
      <c r="A41" t="s">
        <v>490</v>
      </c>
      <c r="B41" t="s">
        <v>461</v>
      </c>
      <c r="C41">
        <v>60</v>
      </c>
      <c r="D41">
        <v>3000000000</v>
      </c>
      <c r="E41">
        <v>4500000000</v>
      </c>
      <c r="F41">
        <v>17628444746.638401</v>
      </c>
      <c r="H41" s="63" t="str">
        <f t="shared" si="0"/>
        <v>FIVS_IDR</v>
      </c>
    </row>
    <row r="42" spans="1:8">
      <c r="A42" t="s">
        <v>490</v>
      </c>
      <c r="B42" t="s">
        <v>462</v>
      </c>
      <c r="C42">
        <v>77</v>
      </c>
      <c r="D42">
        <v>396500</v>
      </c>
      <c r="E42">
        <v>594750</v>
      </c>
      <c r="F42">
        <v>1480626.4340308299</v>
      </c>
      <c r="H42" s="63" t="str">
        <f t="shared" si="0"/>
        <v>FIVS_USD</v>
      </c>
    </row>
    <row r="43" spans="1:8">
      <c r="A43" t="s">
        <v>491</v>
      </c>
      <c r="B43" t="s">
        <v>461</v>
      </c>
      <c r="C43">
        <v>154</v>
      </c>
      <c r="D43">
        <v>6759000000</v>
      </c>
      <c r="E43">
        <v>111830000000</v>
      </c>
      <c r="F43">
        <v>20318528086.643902</v>
      </c>
      <c r="H43" s="63" t="str">
        <f t="shared" si="0"/>
        <v>FLFS_IDR</v>
      </c>
    </row>
    <row r="44" spans="1:8">
      <c r="A44" t="s">
        <v>491</v>
      </c>
      <c r="B44" t="s">
        <v>462</v>
      </c>
      <c r="C44">
        <v>49</v>
      </c>
      <c r="D44">
        <v>167000</v>
      </c>
      <c r="E44">
        <v>1468000</v>
      </c>
      <c r="F44">
        <v>688297.86493751302</v>
      </c>
      <c r="H44" s="63" t="str">
        <f t="shared" si="0"/>
        <v>FLFS_USD</v>
      </c>
    </row>
    <row r="45" spans="1:8">
      <c r="A45" t="s">
        <v>492</v>
      </c>
      <c r="B45" t="s">
        <v>461</v>
      </c>
      <c r="C45">
        <v>231</v>
      </c>
      <c r="D45">
        <v>3675000000</v>
      </c>
      <c r="E45">
        <v>4593750000</v>
      </c>
      <c r="F45">
        <v>22003150421.405701</v>
      </c>
      <c r="H45" s="63" t="str">
        <f t="shared" si="0"/>
        <v>GI1B_IDR</v>
      </c>
    </row>
    <row r="46" spans="1:8">
      <c r="A46" t="s">
        <v>493</v>
      </c>
      <c r="B46" t="s">
        <v>461</v>
      </c>
      <c r="C46">
        <v>142</v>
      </c>
      <c r="D46">
        <v>9279000000</v>
      </c>
      <c r="E46">
        <v>296491647585</v>
      </c>
      <c r="F46">
        <v>30905579034.852001</v>
      </c>
      <c r="H46" s="63" t="str">
        <f t="shared" si="0"/>
        <v>GSL_IDR</v>
      </c>
    </row>
    <row r="47" spans="1:8">
      <c r="A47" t="s">
        <v>493</v>
      </c>
      <c r="B47" t="s">
        <v>462</v>
      </c>
      <c r="C47">
        <v>41</v>
      </c>
      <c r="D47">
        <v>257600</v>
      </c>
      <c r="E47">
        <v>7194743.75</v>
      </c>
      <c r="F47">
        <v>775867.00660642004</v>
      </c>
      <c r="H47" s="63" t="str">
        <f t="shared" si="0"/>
        <v>GSL_USD</v>
      </c>
    </row>
    <row r="48" spans="1:8">
      <c r="A48" t="s">
        <v>494</v>
      </c>
      <c r="B48" t="s">
        <v>461</v>
      </c>
      <c r="C48">
        <v>65</v>
      </c>
      <c r="D48">
        <v>4515000000</v>
      </c>
      <c r="E48">
        <v>143275000000</v>
      </c>
      <c r="F48">
        <v>15858910441.914499</v>
      </c>
      <c r="H48" s="63" t="str">
        <f t="shared" si="0"/>
        <v>GUMA_IDR</v>
      </c>
    </row>
    <row r="49" spans="1:8">
      <c r="A49" t="s">
        <v>494</v>
      </c>
      <c r="B49" t="s">
        <v>462</v>
      </c>
      <c r="C49">
        <v>13</v>
      </c>
      <c r="D49">
        <v>92700</v>
      </c>
      <c r="E49">
        <v>2380000</v>
      </c>
      <c r="F49">
        <v>221193.73183159</v>
      </c>
      <c r="H49" s="63" t="str">
        <f t="shared" si="0"/>
        <v>GUMA_USD</v>
      </c>
    </row>
    <row r="50" spans="1:8">
      <c r="A50" t="s">
        <v>495</v>
      </c>
      <c r="B50" t="s">
        <v>461</v>
      </c>
      <c r="C50">
        <v>612</v>
      </c>
      <c r="D50">
        <v>34067000000</v>
      </c>
      <c r="E50">
        <v>68134000000</v>
      </c>
      <c r="F50">
        <v>203179983719.06</v>
      </c>
      <c r="H50" s="63" t="str">
        <f t="shared" si="0"/>
        <v>GUOP_IDR</v>
      </c>
    </row>
    <row r="51" spans="1:8">
      <c r="A51" t="s">
        <v>495</v>
      </c>
      <c r="B51" t="s">
        <v>462</v>
      </c>
      <c r="C51">
        <v>41</v>
      </c>
      <c r="D51">
        <v>740000</v>
      </c>
      <c r="E51">
        <v>1480000</v>
      </c>
      <c r="F51">
        <v>1757851.9082122999</v>
      </c>
      <c r="H51" s="63" t="str">
        <f t="shared" si="0"/>
        <v>GUOP_USD</v>
      </c>
    </row>
    <row r="52" spans="1:8">
      <c r="A52" t="s">
        <v>496</v>
      </c>
      <c r="B52" t="s">
        <v>461</v>
      </c>
      <c r="C52">
        <v>635</v>
      </c>
      <c r="D52">
        <v>38003700012</v>
      </c>
      <c r="E52">
        <v>359910500000</v>
      </c>
      <c r="F52">
        <v>79629965391.879501</v>
      </c>
      <c r="H52" s="63" t="str">
        <f t="shared" si="0"/>
        <v>GUPM_IDR</v>
      </c>
    </row>
    <row r="53" spans="1:8">
      <c r="A53" t="s">
        <v>496</v>
      </c>
      <c r="B53" t="s">
        <v>462</v>
      </c>
      <c r="C53">
        <v>58</v>
      </c>
      <c r="D53">
        <v>404000</v>
      </c>
      <c r="E53">
        <v>3192000</v>
      </c>
      <c r="F53">
        <v>872572.89961570001</v>
      </c>
      <c r="H53" s="63" t="str">
        <f t="shared" si="0"/>
        <v>GUPM_USD</v>
      </c>
    </row>
    <row r="54" spans="1:8">
      <c r="A54" t="s">
        <v>497</v>
      </c>
      <c r="B54" t="s">
        <v>461</v>
      </c>
      <c r="C54">
        <v>2920</v>
      </c>
      <c r="D54">
        <v>121149862068</v>
      </c>
      <c r="E54">
        <v>2050262250000</v>
      </c>
      <c r="F54">
        <v>317760367353.19397</v>
      </c>
      <c r="H54" s="63" t="str">
        <f t="shared" si="0"/>
        <v>GUPR_IDR</v>
      </c>
    </row>
    <row r="55" spans="1:8">
      <c r="A55" t="s">
        <v>2326</v>
      </c>
      <c r="B55" t="s">
        <v>461</v>
      </c>
      <c r="C55">
        <v>163</v>
      </c>
      <c r="D55">
        <v>7416195489</v>
      </c>
      <c r="E55">
        <v>71046500000</v>
      </c>
      <c r="F55">
        <v>2939038095.9644198</v>
      </c>
      <c r="H55" s="63" t="str">
        <f t="shared" si="0"/>
        <v>GUREN_IDR</v>
      </c>
    </row>
    <row r="56" spans="1:8">
      <c r="A56" t="s">
        <v>498</v>
      </c>
      <c r="B56" t="s">
        <v>461</v>
      </c>
      <c r="C56">
        <v>173</v>
      </c>
      <c r="D56">
        <v>29249999996</v>
      </c>
      <c r="E56">
        <v>1067293211378</v>
      </c>
      <c r="F56">
        <v>85611355539.874802</v>
      </c>
      <c r="H56" s="63" t="str">
        <f t="shared" si="0"/>
        <v>GUSI_IDR</v>
      </c>
    </row>
    <row r="57" spans="1:8">
      <c r="A57" t="s">
        <v>498</v>
      </c>
      <c r="B57" t="s">
        <v>462</v>
      </c>
      <c r="C57">
        <v>85</v>
      </c>
      <c r="D57">
        <v>1222000</v>
      </c>
      <c r="E57">
        <v>34803060</v>
      </c>
      <c r="F57">
        <v>3876878.9220510102</v>
      </c>
      <c r="H57" s="63" t="str">
        <f t="shared" si="0"/>
        <v>GUSI_USD</v>
      </c>
    </row>
    <row r="58" spans="1:8">
      <c r="A58" t="s">
        <v>499</v>
      </c>
      <c r="B58" t="s">
        <v>461</v>
      </c>
      <c r="C58">
        <v>40</v>
      </c>
      <c r="D58">
        <v>6833000000</v>
      </c>
      <c r="E58">
        <v>227010000000</v>
      </c>
      <c r="F58">
        <v>19096087727.3088</v>
      </c>
      <c r="H58" s="63" t="str">
        <f t="shared" si="0"/>
        <v>GUTI_IDR</v>
      </c>
    </row>
    <row r="59" spans="1:8">
      <c r="A59" t="s">
        <v>499</v>
      </c>
      <c r="B59" t="s">
        <v>462</v>
      </c>
      <c r="C59">
        <v>7</v>
      </c>
      <c r="D59">
        <v>88000</v>
      </c>
      <c r="E59">
        <v>2840000</v>
      </c>
      <c r="F59">
        <v>76795.866294830004</v>
      </c>
      <c r="H59" s="63" t="str">
        <f t="shared" si="0"/>
        <v>GUTI_USD</v>
      </c>
    </row>
    <row r="60" spans="1:8">
      <c r="A60" t="s">
        <v>500</v>
      </c>
      <c r="B60" t="s">
        <v>461</v>
      </c>
      <c r="C60">
        <v>913</v>
      </c>
      <c r="D60">
        <v>47278666667</v>
      </c>
      <c r="E60">
        <v>70615500000</v>
      </c>
      <c r="F60">
        <v>322129993797.91498</v>
      </c>
      <c r="H60" s="63" t="str">
        <f t="shared" si="0"/>
        <v>GWL_IDR</v>
      </c>
    </row>
    <row r="61" spans="1:8">
      <c r="A61" t="s">
        <v>500</v>
      </c>
      <c r="B61" t="s">
        <v>462</v>
      </c>
      <c r="C61">
        <v>275</v>
      </c>
      <c r="D61">
        <v>1909000</v>
      </c>
      <c r="E61">
        <v>2825750</v>
      </c>
      <c r="F61">
        <v>5055284.7945347596</v>
      </c>
      <c r="H61" s="63" t="str">
        <f t="shared" si="0"/>
        <v>GWL_USD</v>
      </c>
    </row>
    <row r="62" spans="1:8">
      <c r="A62" t="s">
        <v>501</v>
      </c>
      <c r="B62" t="s">
        <v>461</v>
      </c>
      <c r="C62">
        <v>200</v>
      </c>
      <c r="D62">
        <v>2542900012</v>
      </c>
      <c r="E62">
        <v>74763000000</v>
      </c>
      <c r="F62">
        <v>7002930225.0716105</v>
      </c>
      <c r="H62" s="63" t="str">
        <f t="shared" si="0"/>
        <v>HCIPA_IDR</v>
      </c>
    </row>
    <row r="63" spans="1:8">
      <c r="A63" t="s">
        <v>502</v>
      </c>
      <c r="B63" t="s">
        <v>461</v>
      </c>
      <c r="C63">
        <v>1171</v>
      </c>
      <c r="D63">
        <v>90208186690</v>
      </c>
      <c r="E63">
        <v>1036951666666</v>
      </c>
      <c r="F63">
        <v>164346074465.20099</v>
      </c>
      <c r="H63" s="63" t="str">
        <f t="shared" si="0"/>
        <v>HPIP_IDR</v>
      </c>
    </row>
    <row r="64" spans="1:8">
      <c r="A64" t="s">
        <v>502</v>
      </c>
      <c r="B64" t="s">
        <v>462</v>
      </c>
      <c r="C64">
        <v>789</v>
      </c>
      <c r="D64">
        <v>5735172</v>
      </c>
      <c r="E64">
        <v>63011540</v>
      </c>
      <c r="F64">
        <v>12219614.2256319</v>
      </c>
      <c r="H64" s="63" t="str">
        <f t="shared" si="0"/>
        <v>HPIP_USD</v>
      </c>
    </row>
    <row r="65" spans="1:8">
      <c r="A65" t="s">
        <v>2540</v>
      </c>
      <c r="B65" t="s">
        <v>461</v>
      </c>
      <c r="C65">
        <v>32</v>
      </c>
      <c r="D65">
        <v>986000000</v>
      </c>
      <c r="E65">
        <v>5105000000</v>
      </c>
      <c r="F65">
        <v>9326870883.9862995</v>
      </c>
      <c r="H65" s="63" t="str">
        <f t="shared" si="0"/>
        <v>HPPA_IDR</v>
      </c>
    </row>
    <row r="66" spans="1:8">
      <c r="A66" t="s">
        <v>2540</v>
      </c>
      <c r="B66" t="s">
        <v>462</v>
      </c>
      <c r="C66">
        <v>44</v>
      </c>
      <c r="D66">
        <v>119900</v>
      </c>
      <c r="E66">
        <v>2200000</v>
      </c>
      <c r="F66">
        <v>1035949.88061497</v>
      </c>
      <c r="H66" s="63" t="str">
        <f t="shared" si="0"/>
        <v>HPPA_USD</v>
      </c>
    </row>
    <row r="67" spans="1:8">
      <c r="A67" t="s">
        <v>503</v>
      </c>
      <c r="B67" t="s">
        <v>461</v>
      </c>
      <c r="C67">
        <v>608</v>
      </c>
      <c r="D67">
        <v>104087049244</v>
      </c>
      <c r="E67">
        <v>3556325267142</v>
      </c>
      <c r="F67">
        <v>282701385459.46503</v>
      </c>
      <c r="H67" s="63" t="str">
        <f t="shared" ref="H67:H130" si="1">IF(OR(MID(A67,6,10)="NASPP",MID(A67,6,10)="RASPP"),"RNASPP",IF(OR(MID(A67,6,10)="NSFAP",MID(A67,6,10)="RSPOA"),"RNSPOA",IF(OR(A67="ULGALLOC",A67="ULSPOOL"),A67,IF(MID(A67,6,5)="ANSSP","ASSP1",MID(A67,6,10)))))&amp;"_"&amp;B67</f>
        <v>HPWA_IDR</v>
      </c>
    </row>
    <row r="68" spans="1:8">
      <c r="A68" t="s">
        <v>503</v>
      </c>
      <c r="B68" t="s">
        <v>462</v>
      </c>
      <c r="C68">
        <v>536</v>
      </c>
      <c r="D68">
        <v>8677480</v>
      </c>
      <c r="E68">
        <v>246986915.48800001</v>
      </c>
      <c r="F68">
        <v>29252533.920004301</v>
      </c>
      <c r="H68" s="63" t="str">
        <f t="shared" si="1"/>
        <v>HPWA_USD</v>
      </c>
    </row>
    <row r="69" spans="1:8">
      <c r="A69" t="s">
        <v>504</v>
      </c>
      <c r="B69" t="s">
        <v>461</v>
      </c>
      <c r="C69">
        <v>2459</v>
      </c>
      <c r="D69">
        <v>152437239800</v>
      </c>
      <c r="E69">
        <v>2422585100000</v>
      </c>
      <c r="F69">
        <v>487960378196.87799</v>
      </c>
      <c r="H69" s="63" t="str">
        <f t="shared" si="1"/>
        <v>HSCIP_IDR</v>
      </c>
    </row>
    <row r="70" spans="1:8">
      <c r="A70" t="s">
        <v>504</v>
      </c>
      <c r="B70" t="s">
        <v>462</v>
      </c>
      <c r="C70">
        <v>2199</v>
      </c>
      <c r="D70">
        <v>13039430</v>
      </c>
      <c r="E70">
        <v>160683100</v>
      </c>
      <c r="F70">
        <v>63129856.193581499</v>
      </c>
      <c r="H70" s="63" t="str">
        <f t="shared" si="1"/>
        <v>HSCIP_USD</v>
      </c>
    </row>
    <row r="71" spans="1:8">
      <c r="A71" t="s">
        <v>505</v>
      </c>
      <c r="B71" t="s">
        <v>461</v>
      </c>
      <c r="C71">
        <v>150</v>
      </c>
      <c r="D71">
        <v>29329999988</v>
      </c>
      <c r="E71">
        <v>882080000000</v>
      </c>
      <c r="F71">
        <v>44979220268.338097</v>
      </c>
      <c r="H71" s="63" t="str">
        <f t="shared" si="1"/>
        <v>HSWA_IDR</v>
      </c>
    </row>
    <row r="72" spans="1:8">
      <c r="A72" t="s">
        <v>505</v>
      </c>
      <c r="B72" t="s">
        <v>462</v>
      </c>
      <c r="C72">
        <v>105</v>
      </c>
      <c r="D72">
        <v>1971016</v>
      </c>
      <c r="E72">
        <v>47710000</v>
      </c>
      <c r="F72">
        <v>3317615.2172485502</v>
      </c>
      <c r="H72" s="63" t="str">
        <f t="shared" si="1"/>
        <v>HSWA_USD</v>
      </c>
    </row>
    <row r="73" spans="1:8">
      <c r="A73" t="s">
        <v>506</v>
      </c>
      <c r="B73" t="s">
        <v>461</v>
      </c>
      <c r="C73">
        <v>7</v>
      </c>
      <c r="D73">
        <v>860000000</v>
      </c>
      <c r="E73">
        <v>1075000000</v>
      </c>
      <c r="F73">
        <v>884190273.13039196</v>
      </c>
      <c r="H73" s="63" t="str">
        <f t="shared" si="1"/>
        <v>HTK_G_IDR</v>
      </c>
    </row>
    <row r="74" spans="1:8">
      <c r="A74" t="s">
        <v>507</v>
      </c>
      <c r="B74" t="s">
        <v>461</v>
      </c>
      <c r="C74">
        <v>3</v>
      </c>
      <c r="D74">
        <v>1200000000</v>
      </c>
      <c r="E74">
        <v>1500000000</v>
      </c>
      <c r="F74">
        <v>81687683.372244999</v>
      </c>
      <c r="H74" s="63" t="str">
        <f t="shared" si="1"/>
        <v>HTK_P_IDR</v>
      </c>
    </row>
    <row r="75" spans="1:8">
      <c r="A75" t="s">
        <v>508</v>
      </c>
      <c r="B75" t="s">
        <v>461</v>
      </c>
      <c r="C75">
        <v>6</v>
      </c>
      <c r="D75">
        <v>200000000</v>
      </c>
      <c r="E75">
        <v>250000000</v>
      </c>
      <c r="F75">
        <v>272297684.919824</v>
      </c>
      <c r="H75" s="63" t="str">
        <f t="shared" si="1"/>
        <v>HTK_S_IDR</v>
      </c>
    </row>
    <row r="76" spans="1:8">
      <c r="A76" t="s">
        <v>509</v>
      </c>
      <c r="B76" t="s">
        <v>461</v>
      </c>
      <c r="C76">
        <v>176</v>
      </c>
      <c r="D76">
        <v>9700000000</v>
      </c>
      <c r="E76">
        <v>19400000000</v>
      </c>
      <c r="F76">
        <v>84710349763.652603</v>
      </c>
      <c r="H76" s="63" t="str">
        <f t="shared" si="1"/>
        <v>HUWA_IDR</v>
      </c>
    </row>
    <row r="77" spans="1:8">
      <c r="A77" t="s">
        <v>509</v>
      </c>
      <c r="B77" t="s">
        <v>462</v>
      </c>
      <c r="C77">
        <v>958</v>
      </c>
      <c r="D77">
        <v>4929000</v>
      </c>
      <c r="E77">
        <v>20680000</v>
      </c>
      <c r="F77">
        <v>41289736.758791797</v>
      </c>
      <c r="H77" s="63" t="str">
        <f t="shared" si="1"/>
        <v>HUWA_USD</v>
      </c>
    </row>
    <row r="78" spans="1:8">
      <c r="A78" t="s">
        <v>510</v>
      </c>
      <c r="B78" t="s">
        <v>461</v>
      </c>
      <c r="C78">
        <v>292</v>
      </c>
      <c r="D78">
        <v>3524500000</v>
      </c>
      <c r="E78">
        <v>139944000000</v>
      </c>
      <c r="F78">
        <v>8603716582.7648792</v>
      </c>
      <c r="H78" s="63" t="str">
        <f t="shared" si="1"/>
        <v>MARLK_IDR</v>
      </c>
    </row>
    <row r="79" spans="1:8">
      <c r="A79" t="s">
        <v>511</v>
      </c>
      <c r="B79" t="s">
        <v>461</v>
      </c>
      <c r="C79">
        <v>74</v>
      </c>
      <c r="D79">
        <v>13890000000</v>
      </c>
      <c r="E79">
        <v>460688305012</v>
      </c>
      <c r="F79">
        <v>26800339815.436798</v>
      </c>
      <c r="H79" s="63" t="str">
        <f t="shared" si="1"/>
        <v>MPIN2_IDR</v>
      </c>
    </row>
    <row r="80" spans="1:8">
      <c r="A80" t="s">
        <v>511</v>
      </c>
      <c r="B80" t="s">
        <v>462</v>
      </c>
      <c r="C80">
        <v>13</v>
      </c>
      <c r="D80">
        <v>206000</v>
      </c>
      <c r="E80">
        <v>5160000</v>
      </c>
      <c r="F80">
        <v>379594.24535878003</v>
      </c>
      <c r="H80" s="63" t="str">
        <f t="shared" si="1"/>
        <v>MPIN2_USD</v>
      </c>
    </row>
    <row r="81" spans="1:8">
      <c r="A81" t="s">
        <v>512</v>
      </c>
      <c r="B81" t="s">
        <v>461</v>
      </c>
      <c r="C81">
        <v>520</v>
      </c>
      <c r="D81">
        <v>86246999996</v>
      </c>
      <c r="E81">
        <v>3049565320061.2002</v>
      </c>
      <c r="F81">
        <v>279873162631.685</v>
      </c>
      <c r="H81" s="63" t="str">
        <f t="shared" si="1"/>
        <v>MPINF_IDR</v>
      </c>
    </row>
    <row r="82" spans="1:8">
      <c r="A82" t="s">
        <v>512</v>
      </c>
      <c r="B82" t="s">
        <v>462</v>
      </c>
      <c r="C82">
        <v>269</v>
      </c>
      <c r="D82">
        <v>4484358</v>
      </c>
      <c r="E82">
        <v>111968334.558</v>
      </c>
      <c r="F82">
        <v>17268045.069698401</v>
      </c>
      <c r="H82" s="63" t="str">
        <f t="shared" si="1"/>
        <v>MPINF_USD</v>
      </c>
    </row>
    <row r="83" spans="1:8">
      <c r="A83" t="s">
        <v>513</v>
      </c>
      <c r="B83" t="s">
        <v>461</v>
      </c>
      <c r="C83">
        <v>1825</v>
      </c>
      <c r="D83">
        <v>84513149936</v>
      </c>
      <c r="E83">
        <v>956756250000</v>
      </c>
      <c r="F83">
        <v>247611244560.202</v>
      </c>
      <c r="H83" s="63" t="str">
        <f t="shared" si="1"/>
        <v>MSMPB_IDR</v>
      </c>
    </row>
    <row r="84" spans="1:8">
      <c r="A84" t="s">
        <v>514</v>
      </c>
      <c r="B84" t="s">
        <v>461</v>
      </c>
      <c r="C84">
        <v>994</v>
      </c>
      <c r="D84">
        <v>59069355004</v>
      </c>
      <c r="E84">
        <v>460078274980</v>
      </c>
      <c r="F84">
        <v>103522911763.40401</v>
      </c>
      <c r="H84" s="63" t="str">
        <f t="shared" si="1"/>
        <v>MSPB2_IDR</v>
      </c>
    </row>
    <row r="85" spans="1:8">
      <c r="A85" t="s">
        <v>515</v>
      </c>
      <c r="B85" t="s">
        <v>461</v>
      </c>
      <c r="C85">
        <v>1095</v>
      </c>
      <c r="D85">
        <v>56241204968</v>
      </c>
      <c r="E85">
        <v>616816789658</v>
      </c>
      <c r="F85">
        <v>149701823349.108</v>
      </c>
      <c r="H85" s="63" t="str">
        <f t="shared" si="1"/>
        <v>MYMP2_IDR</v>
      </c>
    </row>
    <row r="86" spans="1:8">
      <c r="A86" t="s">
        <v>515</v>
      </c>
      <c r="B86" t="s">
        <v>462</v>
      </c>
      <c r="C86">
        <v>75</v>
      </c>
      <c r="D86">
        <v>419096</v>
      </c>
      <c r="E86">
        <v>3710500</v>
      </c>
      <c r="F86">
        <v>1461915.6524769501</v>
      </c>
      <c r="H86" s="63" t="str">
        <f t="shared" si="1"/>
        <v>MYMP2_USD</v>
      </c>
    </row>
    <row r="87" spans="1:8">
      <c r="A87" t="s">
        <v>516</v>
      </c>
      <c r="B87" t="s">
        <v>461</v>
      </c>
      <c r="C87">
        <v>4265</v>
      </c>
      <c r="D87">
        <v>192416028664</v>
      </c>
      <c r="E87">
        <v>2960407000020</v>
      </c>
      <c r="F87">
        <v>636261785303.78699</v>
      </c>
      <c r="H87" s="63" t="str">
        <f t="shared" si="1"/>
        <v>MYMPP_IDR</v>
      </c>
    </row>
    <row r="88" spans="1:8">
      <c r="A88" t="s">
        <v>516</v>
      </c>
      <c r="B88" t="s">
        <v>462</v>
      </c>
      <c r="C88">
        <v>641</v>
      </c>
      <c r="D88">
        <v>2783880</v>
      </c>
      <c r="E88">
        <v>20367000</v>
      </c>
      <c r="F88">
        <v>10994125.698561599</v>
      </c>
      <c r="H88" s="63" t="str">
        <f t="shared" si="1"/>
        <v>MYMPP_USD</v>
      </c>
    </row>
    <row r="89" spans="1:8">
      <c r="A89" t="s">
        <v>517</v>
      </c>
      <c r="B89" t="s">
        <v>461</v>
      </c>
      <c r="C89">
        <v>1556</v>
      </c>
      <c r="D89">
        <v>14901432928</v>
      </c>
      <c r="E89">
        <v>961019165000</v>
      </c>
      <c r="F89">
        <v>19545790319.092499</v>
      </c>
      <c r="H89" s="63" t="str">
        <f t="shared" si="1"/>
        <v>MYMPS_IDR</v>
      </c>
    </row>
    <row r="90" spans="1:8">
      <c r="A90" t="s">
        <v>518</v>
      </c>
      <c r="B90" t="s">
        <v>461</v>
      </c>
      <c r="C90">
        <v>1038</v>
      </c>
      <c r="D90">
        <v>17357850000</v>
      </c>
      <c r="E90">
        <v>26036775000</v>
      </c>
      <c r="F90">
        <v>230539301433.70901</v>
      </c>
      <c r="H90" s="63" t="str">
        <f t="shared" si="1"/>
        <v>MYPI_IDR</v>
      </c>
    </row>
    <row r="91" spans="1:8">
      <c r="A91" t="s">
        <v>518</v>
      </c>
      <c r="B91" t="s">
        <v>462</v>
      </c>
      <c r="C91">
        <v>609</v>
      </c>
      <c r="D91">
        <v>922500</v>
      </c>
      <c r="E91">
        <v>1383750</v>
      </c>
      <c r="F91">
        <v>10410186.8296989</v>
      </c>
      <c r="H91" s="63" t="str">
        <f t="shared" si="1"/>
        <v>MYPI_USD</v>
      </c>
    </row>
    <row r="92" spans="1:8">
      <c r="A92" t="s">
        <v>519</v>
      </c>
      <c r="B92" t="s">
        <v>461</v>
      </c>
      <c r="C92">
        <v>499</v>
      </c>
      <c r="D92">
        <v>26702000000</v>
      </c>
      <c r="E92">
        <v>53404000000</v>
      </c>
      <c r="F92">
        <v>257480166691.68701</v>
      </c>
      <c r="H92" s="63" t="str">
        <f t="shared" si="1"/>
        <v>MYPI2_IDR</v>
      </c>
    </row>
    <row r="93" spans="1:8">
      <c r="A93" t="s">
        <v>519</v>
      </c>
      <c r="B93" t="s">
        <v>462</v>
      </c>
      <c r="C93">
        <v>292</v>
      </c>
      <c r="D93">
        <v>5286000</v>
      </c>
      <c r="E93">
        <v>10572000</v>
      </c>
      <c r="F93">
        <v>17335954.471777201</v>
      </c>
      <c r="H93" s="63" t="str">
        <f t="shared" si="1"/>
        <v>MYPI2_USD</v>
      </c>
    </row>
    <row r="94" spans="1:8">
      <c r="A94" t="s">
        <v>2200</v>
      </c>
      <c r="B94" t="s">
        <v>461</v>
      </c>
      <c r="C94">
        <v>2246</v>
      </c>
      <c r="D94">
        <v>85480971455</v>
      </c>
      <c r="E94">
        <v>813790230000</v>
      </c>
      <c r="F94">
        <v>35063504837.305603</v>
      </c>
      <c r="H94" s="63" t="str">
        <f t="shared" si="1"/>
        <v>MYREN_IDR</v>
      </c>
    </row>
    <row r="95" spans="1:8">
      <c r="A95" t="s">
        <v>520</v>
      </c>
      <c r="B95" t="s">
        <v>461</v>
      </c>
      <c r="C95">
        <v>202</v>
      </c>
      <c r="D95">
        <v>14987400000</v>
      </c>
      <c r="E95">
        <v>475200000000</v>
      </c>
      <c r="F95">
        <v>39590969644.666801</v>
      </c>
      <c r="H95" s="63" t="str">
        <f t="shared" si="1"/>
        <v>MYSU_IDR</v>
      </c>
    </row>
    <row r="96" spans="1:8">
      <c r="A96" t="s">
        <v>520</v>
      </c>
      <c r="B96" t="s">
        <v>462</v>
      </c>
      <c r="C96">
        <v>40</v>
      </c>
      <c r="D96">
        <v>304900</v>
      </c>
      <c r="E96">
        <v>7852999.8200000003</v>
      </c>
      <c r="F96">
        <v>1242375.47382279</v>
      </c>
      <c r="H96" s="63" t="str">
        <f t="shared" si="1"/>
        <v>MYSU_USD</v>
      </c>
    </row>
    <row r="97" spans="1:8">
      <c r="A97" t="s">
        <v>521</v>
      </c>
      <c r="B97" t="s">
        <v>461</v>
      </c>
      <c r="C97">
        <v>47</v>
      </c>
      <c r="D97">
        <v>3425115000</v>
      </c>
      <c r="E97">
        <v>107127500000</v>
      </c>
      <c r="F97">
        <v>4289439005.2395802</v>
      </c>
      <c r="H97" s="63" t="str">
        <f t="shared" si="1"/>
        <v>MYSU2_IDR</v>
      </c>
    </row>
    <row r="98" spans="1:8">
      <c r="A98" t="s">
        <v>521</v>
      </c>
      <c r="B98" t="s">
        <v>462</v>
      </c>
      <c r="C98">
        <v>17</v>
      </c>
      <c r="D98">
        <v>123497</v>
      </c>
      <c r="E98">
        <v>3327525</v>
      </c>
      <c r="F98">
        <v>159782.36608819</v>
      </c>
      <c r="H98" s="63" t="str">
        <f t="shared" si="1"/>
        <v>MYSU2_USD</v>
      </c>
    </row>
    <row r="99" spans="1:8">
      <c r="A99" t="s">
        <v>2315</v>
      </c>
      <c r="B99" t="s">
        <v>461</v>
      </c>
      <c r="C99">
        <v>94</v>
      </c>
      <c r="D99">
        <v>3634130451</v>
      </c>
      <c r="E99">
        <v>29161392193</v>
      </c>
      <c r="F99">
        <v>423702712.00948602</v>
      </c>
      <c r="H99" s="63" t="str">
        <f t="shared" si="1"/>
        <v>MYWAR_IDR</v>
      </c>
    </row>
    <row r="100" spans="1:8">
      <c r="A100" t="s">
        <v>522</v>
      </c>
      <c r="B100" t="s">
        <v>461</v>
      </c>
      <c r="C100">
        <v>52248</v>
      </c>
      <c r="D100">
        <v>872885262339.75305</v>
      </c>
      <c r="E100">
        <v>13303574343872.9</v>
      </c>
      <c r="F100">
        <v>282209916916.24799</v>
      </c>
      <c r="H100" s="63" t="str">
        <f t="shared" si="1"/>
        <v>RNASPP_IDR</v>
      </c>
    </row>
    <row r="101" spans="1:8">
      <c r="A101" t="s">
        <v>523</v>
      </c>
      <c r="B101" t="s">
        <v>461</v>
      </c>
      <c r="C101">
        <v>303</v>
      </c>
      <c r="D101">
        <v>3030000000</v>
      </c>
      <c r="E101">
        <v>4545000000</v>
      </c>
      <c r="F101">
        <v>10401027770.5488</v>
      </c>
      <c r="H101" s="63" t="str">
        <f t="shared" si="1"/>
        <v>NHM1_IDR</v>
      </c>
    </row>
    <row r="102" spans="1:8">
      <c r="A102" t="s">
        <v>524</v>
      </c>
      <c r="B102" t="s">
        <v>461</v>
      </c>
      <c r="C102">
        <v>104</v>
      </c>
      <c r="D102">
        <v>1040000000</v>
      </c>
      <c r="E102">
        <v>1560000000</v>
      </c>
      <c r="F102">
        <v>12075517333.267401</v>
      </c>
      <c r="H102" s="63" t="str">
        <f t="shared" si="1"/>
        <v>NHM2_IDR</v>
      </c>
    </row>
    <row r="103" spans="1:8">
      <c r="A103" t="s">
        <v>525</v>
      </c>
      <c r="B103" t="s">
        <v>461</v>
      </c>
      <c r="C103">
        <v>61</v>
      </c>
      <c r="D103">
        <v>610000000</v>
      </c>
      <c r="E103">
        <v>915000000</v>
      </c>
      <c r="F103">
        <v>21104278485.649502</v>
      </c>
      <c r="H103" s="63" t="str">
        <f t="shared" si="1"/>
        <v>NHM3_IDR</v>
      </c>
    </row>
    <row r="104" spans="1:8">
      <c r="A104" t="s">
        <v>526</v>
      </c>
      <c r="B104" t="s">
        <v>461</v>
      </c>
      <c r="C104">
        <v>202649</v>
      </c>
      <c r="D104">
        <v>3709289091386.1602</v>
      </c>
      <c r="E104">
        <v>49346112724550.898</v>
      </c>
      <c r="F104">
        <v>1311058529563.79</v>
      </c>
      <c r="H104" s="63" t="str">
        <f t="shared" si="1"/>
        <v>RNSPOA_IDR</v>
      </c>
    </row>
    <row r="105" spans="1:8">
      <c r="A105" t="s">
        <v>527</v>
      </c>
      <c r="B105" t="s">
        <v>461</v>
      </c>
      <c r="C105">
        <v>381</v>
      </c>
      <c r="D105">
        <v>4902000000</v>
      </c>
      <c r="E105">
        <v>7353000000</v>
      </c>
      <c r="F105">
        <v>99115528642.654999</v>
      </c>
      <c r="H105" s="63" t="str">
        <f t="shared" si="1"/>
        <v>OPCI_IDR</v>
      </c>
    </row>
    <row r="106" spans="1:8">
      <c r="A106" t="s">
        <v>527</v>
      </c>
      <c r="B106" t="s">
        <v>462</v>
      </c>
      <c r="C106">
        <v>888</v>
      </c>
      <c r="D106">
        <v>1140097</v>
      </c>
      <c r="E106">
        <v>1710145.5</v>
      </c>
      <c r="F106">
        <v>26334698.556526501</v>
      </c>
      <c r="H106" s="63" t="str">
        <f t="shared" si="1"/>
        <v>OPCI_USD</v>
      </c>
    </row>
    <row r="107" spans="1:8">
      <c r="A107" t="s">
        <v>528</v>
      </c>
      <c r="B107" t="s">
        <v>461</v>
      </c>
      <c r="C107">
        <v>1166</v>
      </c>
      <c r="D107">
        <v>16083342400</v>
      </c>
      <c r="E107">
        <v>465220900000</v>
      </c>
      <c r="F107">
        <v>17156555398.858999</v>
      </c>
      <c r="H107" s="63" t="str">
        <f t="shared" si="1"/>
        <v>RAPOA_IDR</v>
      </c>
    </row>
    <row r="108" spans="1:8">
      <c r="A108" t="s">
        <v>529</v>
      </c>
      <c r="B108" t="s">
        <v>461</v>
      </c>
      <c r="C108">
        <v>2412</v>
      </c>
      <c r="D108">
        <v>11792067792</v>
      </c>
      <c r="E108">
        <v>455556100000</v>
      </c>
      <c r="F108">
        <v>50038060421.545601</v>
      </c>
      <c r="H108" s="63" t="str">
        <f t="shared" si="1"/>
        <v>RASP_IDR</v>
      </c>
    </row>
    <row r="109" spans="1:8">
      <c r="A109" t="s">
        <v>530</v>
      </c>
      <c r="B109" t="s">
        <v>461</v>
      </c>
      <c r="C109">
        <v>5047</v>
      </c>
      <c r="D109">
        <v>91012356553.0979</v>
      </c>
      <c r="E109">
        <v>1772975879559</v>
      </c>
      <c r="F109">
        <v>75201186956.068497</v>
      </c>
      <c r="H109" s="63" t="str">
        <f t="shared" si="1"/>
        <v>RNASPP_IDR</v>
      </c>
    </row>
    <row r="110" spans="1:8">
      <c r="A110" t="s">
        <v>531</v>
      </c>
      <c r="B110" t="s">
        <v>461</v>
      </c>
      <c r="C110">
        <v>12492</v>
      </c>
      <c r="D110">
        <v>69232172925.839996</v>
      </c>
      <c r="E110">
        <v>2695444976000</v>
      </c>
      <c r="F110">
        <v>421046506544.42297</v>
      </c>
      <c r="H110" s="63" t="str">
        <f t="shared" si="1"/>
        <v>RLNFA_IDR</v>
      </c>
    </row>
    <row r="111" spans="1:8">
      <c r="A111" t="s">
        <v>531</v>
      </c>
      <c r="B111" t="s">
        <v>462</v>
      </c>
      <c r="C111">
        <v>229</v>
      </c>
      <c r="D111">
        <v>709733</v>
      </c>
      <c r="E111">
        <v>20157520</v>
      </c>
      <c r="F111">
        <v>4036401.1398084001</v>
      </c>
      <c r="H111" s="63" t="str">
        <f t="shared" si="1"/>
        <v>RLNFA_USD</v>
      </c>
    </row>
    <row r="112" spans="1:8">
      <c r="A112" t="s">
        <v>532</v>
      </c>
      <c r="B112" t="s">
        <v>461</v>
      </c>
      <c r="C112">
        <v>121</v>
      </c>
      <c r="D112">
        <v>614000004</v>
      </c>
      <c r="E112">
        <v>18504000000</v>
      </c>
      <c r="F112">
        <v>5075761187.49335</v>
      </c>
      <c r="H112" s="63" t="str">
        <f t="shared" si="1"/>
        <v>RLPPN_IDR</v>
      </c>
    </row>
    <row r="113" spans="1:8">
      <c r="A113" t="s">
        <v>533</v>
      </c>
      <c r="B113" t="s">
        <v>461</v>
      </c>
      <c r="C113">
        <v>47</v>
      </c>
      <c r="D113">
        <v>1900000000</v>
      </c>
      <c r="E113">
        <v>17900000000</v>
      </c>
      <c r="F113">
        <v>6851493653.9612598</v>
      </c>
      <c r="H113" s="63" t="str">
        <f t="shared" si="1"/>
        <v>RLSSP_IDR</v>
      </c>
    </row>
    <row r="114" spans="1:8">
      <c r="A114" t="s">
        <v>534</v>
      </c>
      <c r="B114" t="s">
        <v>461</v>
      </c>
      <c r="C114">
        <v>815</v>
      </c>
      <c r="D114">
        <v>1692235560</v>
      </c>
      <c r="E114">
        <v>44103500001</v>
      </c>
      <c r="F114">
        <v>12580796116.3151</v>
      </c>
      <c r="H114" s="63" t="str">
        <f t="shared" si="1"/>
        <v>RSLBA_IDR</v>
      </c>
    </row>
    <row r="115" spans="1:8">
      <c r="A115" t="s">
        <v>535</v>
      </c>
      <c r="B115" t="s">
        <v>461</v>
      </c>
      <c r="C115">
        <v>122</v>
      </c>
      <c r="D115">
        <v>2761308004</v>
      </c>
      <c r="E115">
        <v>69415000000</v>
      </c>
      <c r="F115">
        <v>10402212285.446699</v>
      </c>
      <c r="H115" s="63" t="str">
        <f t="shared" si="1"/>
        <v>RSLPP_IDR</v>
      </c>
    </row>
    <row r="116" spans="1:8">
      <c r="A116" t="s">
        <v>535</v>
      </c>
      <c r="B116" t="s">
        <v>462</v>
      </c>
      <c r="C116">
        <v>13</v>
      </c>
      <c r="D116">
        <v>32750</v>
      </c>
      <c r="E116">
        <v>665000</v>
      </c>
      <c r="F116">
        <v>156143.18049</v>
      </c>
      <c r="H116" s="63" t="str">
        <f t="shared" si="1"/>
        <v>RSLPP_USD</v>
      </c>
    </row>
    <row r="117" spans="1:8">
      <c r="A117" t="s">
        <v>536</v>
      </c>
      <c r="B117" t="s">
        <v>461</v>
      </c>
      <c r="C117">
        <v>176</v>
      </c>
      <c r="D117">
        <v>11879200012</v>
      </c>
      <c r="E117">
        <v>85565000000</v>
      </c>
      <c r="F117">
        <v>23542689923.2034</v>
      </c>
      <c r="H117" s="63" t="str">
        <f t="shared" si="1"/>
        <v>RSLPS_IDR</v>
      </c>
    </row>
    <row r="118" spans="1:8">
      <c r="A118" t="s">
        <v>537</v>
      </c>
      <c r="B118" t="s">
        <v>461</v>
      </c>
      <c r="C118">
        <v>2100</v>
      </c>
      <c r="D118">
        <v>10942799984</v>
      </c>
      <c r="E118">
        <v>314414200040</v>
      </c>
      <c r="F118">
        <v>95950486638.532593</v>
      </c>
      <c r="H118" s="63" t="str">
        <f t="shared" si="1"/>
        <v>RSLSS_IDR</v>
      </c>
    </row>
    <row r="119" spans="1:8">
      <c r="A119" t="s">
        <v>537</v>
      </c>
      <c r="B119" t="s">
        <v>462</v>
      </c>
      <c r="C119">
        <v>14</v>
      </c>
      <c r="D119">
        <v>13650</v>
      </c>
      <c r="E119">
        <v>462000</v>
      </c>
      <c r="F119">
        <v>210324.13345679999</v>
      </c>
      <c r="H119" s="63" t="str">
        <f t="shared" si="1"/>
        <v>RSLSS_USD</v>
      </c>
    </row>
    <row r="120" spans="1:8">
      <c r="A120" t="s">
        <v>538</v>
      </c>
      <c r="B120" t="s">
        <v>461</v>
      </c>
      <c r="C120">
        <v>38861</v>
      </c>
      <c r="D120">
        <v>749661021937.74597</v>
      </c>
      <c r="E120">
        <v>14867187146017</v>
      </c>
      <c r="F120">
        <v>675536132111.69702</v>
      </c>
      <c r="H120" s="63" t="str">
        <f t="shared" si="1"/>
        <v>RNSPOA_IDR</v>
      </c>
    </row>
    <row r="121" spans="1:8">
      <c r="A121" t="s">
        <v>539</v>
      </c>
      <c r="B121" t="s">
        <v>461</v>
      </c>
      <c r="C121">
        <v>22</v>
      </c>
      <c r="D121">
        <v>88300000</v>
      </c>
      <c r="E121">
        <v>5075000000</v>
      </c>
      <c r="F121">
        <v>413385171.19383502</v>
      </c>
      <c r="H121" s="63" t="str">
        <f t="shared" si="1"/>
        <v>SCFT_IDR</v>
      </c>
    </row>
    <row r="122" spans="1:8">
      <c r="A122" t="s">
        <v>540</v>
      </c>
      <c r="B122" t="s">
        <v>462</v>
      </c>
      <c r="C122">
        <v>43</v>
      </c>
      <c r="D122">
        <v>9162252.6400000006</v>
      </c>
      <c r="E122">
        <v>20180000</v>
      </c>
      <c r="F122">
        <v>11330070.687100001</v>
      </c>
      <c r="H122" s="63" t="str">
        <f t="shared" si="1"/>
        <v>SG_USD</v>
      </c>
    </row>
    <row r="123" spans="1:8">
      <c r="A123" t="s">
        <v>541</v>
      </c>
      <c r="B123" t="s">
        <v>461</v>
      </c>
      <c r="C123">
        <v>123</v>
      </c>
      <c r="D123">
        <v>1001199996</v>
      </c>
      <c r="E123">
        <v>36435000000</v>
      </c>
      <c r="F123">
        <v>2959131276.1937699</v>
      </c>
      <c r="H123" s="63" t="str">
        <f t="shared" si="1"/>
        <v>SHCP_IDR</v>
      </c>
    </row>
    <row r="124" spans="1:8">
      <c r="A124" t="s">
        <v>542</v>
      </c>
      <c r="B124" t="s">
        <v>461</v>
      </c>
      <c r="C124">
        <v>7</v>
      </c>
      <c r="D124">
        <v>425000000</v>
      </c>
      <c r="E124">
        <v>4250000000</v>
      </c>
      <c r="F124">
        <v>599140978.99232495</v>
      </c>
      <c r="H124" s="63" t="str">
        <f t="shared" si="1"/>
        <v>SHFC_IDR</v>
      </c>
    </row>
    <row r="125" spans="1:8">
      <c r="A125" t="s">
        <v>542</v>
      </c>
      <c r="B125" t="s">
        <v>462</v>
      </c>
      <c r="C125">
        <v>3</v>
      </c>
      <c r="D125">
        <v>7500</v>
      </c>
      <c r="E125">
        <v>210000</v>
      </c>
      <c r="F125">
        <v>13198.7175723089</v>
      </c>
      <c r="H125" s="63" t="str">
        <f t="shared" si="1"/>
        <v>SHFC_USD</v>
      </c>
    </row>
    <row r="126" spans="1:8">
      <c r="A126" t="s">
        <v>543</v>
      </c>
      <c r="B126" t="s">
        <v>461</v>
      </c>
      <c r="C126">
        <v>4</v>
      </c>
      <c r="D126">
        <v>225000000</v>
      </c>
      <c r="E126">
        <v>1950000000</v>
      </c>
      <c r="F126">
        <v>619161755.42332697</v>
      </c>
      <c r="H126" s="63" t="str">
        <f t="shared" si="1"/>
        <v>SHRE_IDR</v>
      </c>
    </row>
    <row r="127" spans="1:8">
      <c r="A127" t="s">
        <v>544</v>
      </c>
      <c r="B127" t="s">
        <v>461</v>
      </c>
      <c r="C127">
        <v>2268</v>
      </c>
      <c r="D127">
        <v>153644591097</v>
      </c>
      <c r="E127">
        <v>2056968000001</v>
      </c>
      <c r="F127">
        <v>335424024204.96698</v>
      </c>
      <c r="H127" s="63" t="str">
        <f t="shared" si="1"/>
        <v>SHSNW_IDR</v>
      </c>
    </row>
    <row r="128" spans="1:8">
      <c r="A128" t="s">
        <v>544</v>
      </c>
      <c r="B128" t="s">
        <v>462</v>
      </c>
      <c r="C128">
        <v>195</v>
      </c>
      <c r="D128">
        <v>1681000</v>
      </c>
      <c r="E128">
        <v>19581125</v>
      </c>
      <c r="F128">
        <v>4428077.6794842295</v>
      </c>
      <c r="H128" s="63" t="str">
        <f t="shared" si="1"/>
        <v>SHSNW_USD</v>
      </c>
    </row>
    <row r="129" spans="1:8">
      <c r="A129" t="s">
        <v>545</v>
      </c>
      <c r="B129" t="s">
        <v>461</v>
      </c>
      <c r="C129">
        <v>145</v>
      </c>
      <c r="D129">
        <v>296100000</v>
      </c>
      <c r="E129">
        <v>10966500000</v>
      </c>
      <c r="F129">
        <v>4325659368.1932697</v>
      </c>
      <c r="H129" s="63" t="str">
        <f t="shared" si="1"/>
        <v>SLBA_IDR</v>
      </c>
    </row>
    <row r="130" spans="1:8">
      <c r="A130" t="s">
        <v>546</v>
      </c>
      <c r="B130" t="s">
        <v>462</v>
      </c>
      <c r="C130">
        <v>3</v>
      </c>
      <c r="D130">
        <v>225000</v>
      </c>
      <c r="E130">
        <v>450000</v>
      </c>
      <c r="F130">
        <v>65829.029177999997</v>
      </c>
      <c r="H130" s="63" t="str">
        <f t="shared" si="1"/>
        <v>SLDIP_USD</v>
      </c>
    </row>
    <row r="131" spans="1:8">
      <c r="A131" t="s">
        <v>547</v>
      </c>
      <c r="B131" t="s">
        <v>461</v>
      </c>
      <c r="C131">
        <v>63</v>
      </c>
      <c r="D131">
        <v>339700000</v>
      </c>
      <c r="E131">
        <v>20073000000</v>
      </c>
      <c r="F131">
        <v>2479949930.6093998</v>
      </c>
      <c r="H131" s="63" t="str">
        <f t="shared" ref="H131:H194" si="2">IF(OR(MID(A131,6,10)="NASPP",MID(A131,6,10)="RASPP"),"RNASPP",IF(OR(MID(A131,6,10)="NSFAP",MID(A131,6,10)="RSPOA"),"RNSPOA",IF(OR(A131="ULGALLOC",A131="ULSPOOL"),A131,IF(MID(A131,6,5)="ANSSP","ASSP1",MID(A131,6,10)))))&amp;"_"&amp;B131</f>
        <v>SLEXP_IDR</v>
      </c>
    </row>
    <row r="132" spans="1:8">
      <c r="A132" t="s">
        <v>548</v>
      </c>
      <c r="B132" t="s">
        <v>461</v>
      </c>
      <c r="C132">
        <v>1194</v>
      </c>
      <c r="D132">
        <v>6690693572</v>
      </c>
      <c r="E132">
        <v>147250093700</v>
      </c>
      <c r="F132">
        <v>44884387200.348999</v>
      </c>
      <c r="H132" s="63" t="str">
        <f t="shared" si="2"/>
        <v>SLFA_IDR</v>
      </c>
    </row>
    <row r="133" spans="1:8">
      <c r="A133" t="s">
        <v>549</v>
      </c>
      <c r="B133" t="s">
        <v>461</v>
      </c>
      <c r="C133">
        <v>88</v>
      </c>
      <c r="D133">
        <v>1726999996</v>
      </c>
      <c r="E133">
        <v>41348500000</v>
      </c>
      <c r="F133">
        <v>5503152635.5432596</v>
      </c>
      <c r="H133" s="63" t="str">
        <f t="shared" si="2"/>
        <v>SLFS_IDR</v>
      </c>
    </row>
    <row r="134" spans="1:8">
      <c r="A134" t="s">
        <v>549</v>
      </c>
      <c r="B134" t="s">
        <v>462</v>
      </c>
      <c r="C134">
        <v>5</v>
      </c>
      <c r="D134">
        <v>17500</v>
      </c>
      <c r="E134">
        <v>180500</v>
      </c>
      <c r="F134">
        <v>31946.8783392</v>
      </c>
      <c r="H134" s="63" t="str">
        <f t="shared" si="2"/>
        <v>SLFS_USD</v>
      </c>
    </row>
    <row r="135" spans="1:8">
      <c r="A135" t="s">
        <v>550</v>
      </c>
      <c r="B135" t="s">
        <v>461</v>
      </c>
      <c r="C135">
        <v>543</v>
      </c>
      <c r="D135">
        <v>25966183030</v>
      </c>
      <c r="E135">
        <v>39172884023</v>
      </c>
      <c r="F135">
        <v>24385776401.9035</v>
      </c>
      <c r="H135" s="63" t="str">
        <f t="shared" si="2"/>
        <v>SLMA_IDR</v>
      </c>
    </row>
    <row r="136" spans="1:8">
      <c r="A136" t="s">
        <v>550</v>
      </c>
      <c r="B136" t="s">
        <v>462</v>
      </c>
      <c r="C136">
        <v>66</v>
      </c>
      <c r="D136">
        <v>526900</v>
      </c>
      <c r="E136">
        <v>695325</v>
      </c>
      <c r="F136">
        <v>644416.49474400003</v>
      </c>
      <c r="H136" s="63" t="str">
        <f t="shared" si="2"/>
        <v>SLMA_USD</v>
      </c>
    </row>
    <row r="137" spans="1:8">
      <c r="A137" t="s">
        <v>551</v>
      </c>
      <c r="B137" t="s">
        <v>461</v>
      </c>
      <c r="C137">
        <v>82</v>
      </c>
      <c r="D137">
        <v>4590300000</v>
      </c>
      <c r="E137">
        <v>7430875000</v>
      </c>
      <c r="F137">
        <v>7652757929.0075703</v>
      </c>
      <c r="H137" s="63" t="str">
        <f t="shared" si="2"/>
        <v>SLMAP_IDR</v>
      </c>
    </row>
    <row r="138" spans="1:8">
      <c r="A138" t="s">
        <v>551</v>
      </c>
      <c r="B138" t="s">
        <v>462</v>
      </c>
      <c r="C138">
        <v>16</v>
      </c>
      <c r="D138">
        <v>167650</v>
      </c>
      <c r="E138">
        <v>227925</v>
      </c>
      <c r="F138">
        <v>413080.9480116</v>
      </c>
      <c r="H138" s="63" t="str">
        <f t="shared" si="2"/>
        <v>SLMAP_USD</v>
      </c>
    </row>
    <row r="139" spans="1:8">
      <c r="A139" t="s">
        <v>552</v>
      </c>
      <c r="B139" t="s">
        <v>461</v>
      </c>
      <c r="C139">
        <v>7</v>
      </c>
      <c r="D139">
        <v>22000000</v>
      </c>
      <c r="E139">
        <v>550000000</v>
      </c>
      <c r="F139">
        <v>310278276.86740202</v>
      </c>
      <c r="H139" s="63" t="str">
        <f t="shared" si="2"/>
        <v>SLME_IDR</v>
      </c>
    </row>
    <row r="140" spans="1:8">
      <c r="A140" t="s">
        <v>553</v>
      </c>
      <c r="B140" t="s">
        <v>461</v>
      </c>
      <c r="C140">
        <v>218</v>
      </c>
      <c r="D140">
        <v>11060951652</v>
      </c>
      <c r="E140">
        <v>20515050000</v>
      </c>
      <c r="F140">
        <v>10621929059.3536</v>
      </c>
      <c r="H140" s="63" t="str">
        <f t="shared" si="2"/>
        <v>SLMFP_IDR</v>
      </c>
    </row>
    <row r="141" spans="1:8">
      <c r="A141" t="s">
        <v>553</v>
      </c>
      <c r="B141" t="s">
        <v>462</v>
      </c>
      <c r="C141">
        <v>39</v>
      </c>
      <c r="D141">
        <v>639500</v>
      </c>
      <c r="E141">
        <v>1153750</v>
      </c>
      <c r="F141">
        <v>708717.6736332</v>
      </c>
      <c r="H141" s="63" t="str">
        <f t="shared" si="2"/>
        <v>SLMFP_USD</v>
      </c>
    </row>
    <row r="142" spans="1:8">
      <c r="A142" t="s">
        <v>554</v>
      </c>
      <c r="B142" t="s">
        <v>461</v>
      </c>
      <c r="C142">
        <v>71</v>
      </c>
      <c r="D142">
        <v>274000000</v>
      </c>
      <c r="E142">
        <v>9160000000</v>
      </c>
      <c r="F142">
        <v>3415683023.8096099</v>
      </c>
      <c r="H142" s="63" t="str">
        <f t="shared" si="2"/>
        <v>SLML_IDR</v>
      </c>
    </row>
    <row r="143" spans="1:8">
      <c r="A143" t="s">
        <v>555</v>
      </c>
      <c r="B143" t="s">
        <v>461</v>
      </c>
      <c r="C143">
        <v>159</v>
      </c>
      <c r="D143">
        <v>2445000000</v>
      </c>
      <c r="E143">
        <v>3056250000</v>
      </c>
      <c r="F143">
        <v>26366765581.044102</v>
      </c>
      <c r="H143" s="63" t="str">
        <f t="shared" si="2"/>
        <v>SLMP1_IDR</v>
      </c>
    </row>
    <row r="144" spans="1:8">
      <c r="A144" t="s">
        <v>556</v>
      </c>
      <c r="B144" t="s">
        <v>461</v>
      </c>
      <c r="C144">
        <v>4</v>
      </c>
      <c r="D144">
        <v>500000000</v>
      </c>
      <c r="E144">
        <v>625000000</v>
      </c>
      <c r="F144">
        <v>577093355.83651805</v>
      </c>
      <c r="H144" s="63" t="str">
        <f t="shared" si="2"/>
        <v>SLMP2_IDR</v>
      </c>
    </row>
    <row r="145" spans="1:8">
      <c r="A145" t="s">
        <v>557</v>
      </c>
      <c r="B145" t="s">
        <v>461</v>
      </c>
      <c r="C145">
        <v>2599</v>
      </c>
      <c r="D145">
        <v>14185347591.9979</v>
      </c>
      <c r="E145">
        <v>593306500000</v>
      </c>
      <c r="F145">
        <v>109550361788.87</v>
      </c>
      <c r="H145" s="63" t="str">
        <f t="shared" si="2"/>
        <v>SLNF2_IDR</v>
      </c>
    </row>
    <row r="146" spans="1:8">
      <c r="A146" t="s">
        <v>557</v>
      </c>
      <c r="B146" t="s">
        <v>462</v>
      </c>
      <c r="C146">
        <v>28</v>
      </c>
      <c r="D146">
        <v>53761</v>
      </c>
      <c r="E146">
        <v>1038500</v>
      </c>
      <c r="F146">
        <v>657180.20382960001</v>
      </c>
      <c r="H146" s="63" t="str">
        <f t="shared" si="2"/>
        <v>SLNF2_USD</v>
      </c>
    </row>
    <row r="147" spans="1:8">
      <c r="A147" t="s">
        <v>558</v>
      </c>
      <c r="B147" t="s">
        <v>461</v>
      </c>
      <c r="C147">
        <v>4511</v>
      </c>
      <c r="D147">
        <v>23186589441.9184</v>
      </c>
      <c r="E147">
        <v>743215350000</v>
      </c>
      <c r="F147">
        <v>182639947425.905</v>
      </c>
      <c r="H147" s="63" t="str">
        <f t="shared" si="2"/>
        <v>SLNFA_IDR</v>
      </c>
    </row>
    <row r="148" spans="1:8">
      <c r="A148" t="s">
        <v>558</v>
      </c>
      <c r="B148" t="s">
        <v>462</v>
      </c>
      <c r="C148">
        <v>62</v>
      </c>
      <c r="D148">
        <v>133450</v>
      </c>
      <c r="E148">
        <v>2185500</v>
      </c>
      <c r="F148">
        <v>1040046.484422</v>
      </c>
      <c r="H148" s="63" t="str">
        <f t="shared" si="2"/>
        <v>SLNFA_USD</v>
      </c>
    </row>
    <row r="149" spans="1:8">
      <c r="A149" t="s">
        <v>559</v>
      </c>
      <c r="B149" t="s">
        <v>462</v>
      </c>
      <c r="C149">
        <v>9</v>
      </c>
      <c r="D149">
        <v>998028.75</v>
      </c>
      <c r="E149">
        <v>2825000</v>
      </c>
      <c r="F149">
        <v>1144566.4543000001</v>
      </c>
      <c r="H149" s="63" t="str">
        <f t="shared" si="2"/>
        <v>SLP_USD</v>
      </c>
    </row>
    <row r="150" spans="1:8">
      <c r="A150" t="s">
        <v>560</v>
      </c>
      <c r="B150" t="s">
        <v>461</v>
      </c>
      <c r="C150">
        <v>75001</v>
      </c>
      <c r="D150">
        <v>1442471730688</v>
      </c>
      <c r="E150">
        <v>18745045268012</v>
      </c>
      <c r="F150">
        <v>183078181253.16</v>
      </c>
      <c r="H150" s="63" t="str">
        <f t="shared" si="2"/>
        <v>SLPLF_IDR</v>
      </c>
    </row>
    <row r="151" spans="1:8">
      <c r="A151" t="s">
        <v>561</v>
      </c>
      <c r="B151" t="s">
        <v>461</v>
      </c>
      <c r="C151">
        <v>42</v>
      </c>
      <c r="D151">
        <v>42240000</v>
      </c>
      <c r="E151">
        <v>1056000000</v>
      </c>
      <c r="F151">
        <v>913848887.64155996</v>
      </c>
      <c r="H151" s="63" t="str">
        <f t="shared" si="2"/>
        <v>SLPN1_IDR</v>
      </c>
    </row>
    <row r="152" spans="1:8">
      <c r="A152" t="s">
        <v>562</v>
      </c>
      <c r="B152" t="s">
        <v>461</v>
      </c>
      <c r="C152">
        <v>16</v>
      </c>
      <c r="D152">
        <v>14640000</v>
      </c>
      <c r="E152">
        <v>366000000</v>
      </c>
      <c r="F152">
        <v>906301443.82913101</v>
      </c>
      <c r="H152" s="63" t="str">
        <f t="shared" si="2"/>
        <v>SLPN2_IDR</v>
      </c>
    </row>
    <row r="153" spans="1:8">
      <c r="A153" t="s">
        <v>563</v>
      </c>
      <c r="B153" t="s">
        <v>461</v>
      </c>
      <c r="C153">
        <v>179215</v>
      </c>
      <c r="D153">
        <v>2017455250334.5801</v>
      </c>
      <c r="E153">
        <v>64693412580494</v>
      </c>
      <c r="F153">
        <v>3978605812375.5801</v>
      </c>
      <c r="H153" s="63" t="str">
        <f t="shared" si="2"/>
        <v>SLPOA_IDR</v>
      </c>
    </row>
    <row r="154" spans="1:8">
      <c r="A154" t="s">
        <v>564</v>
      </c>
      <c r="B154" t="s">
        <v>461</v>
      </c>
      <c r="C154">
        <v>315</v>
      </c>
      <c r="D154">
        <v>4977100003.9991999</v>
      </c>
      <c r="E154">
        <v>109805000000</v>
      </c>
      <c r="F154">
        <v>24909999391.652401</v>
      </c>
      <c r="H154" s="63" t="str">
        <f t="shared" si="2"/>
        <v>SLPP_IDR</v>
      </c>
    </row>
    <row r="155" spans="1:8">
      <c r="A155" t="s">
        <v>564</v>
      </c>
      <c r="B155" t="s">
        <v>462</v>
      </c>
      <c r="C155">
        <v>23</v>
      </c>
      <c r="D155">
        <v>69700</v>
      </c>
      <c r="E155">
        <v>903500</v>
      </c>
      <c r="F155">
        <v>163479.7542576</v>
      </c>
      <c r="H155" s="63" t="str">
        <f t="shared" si="2"/>
        <v>SLPP_USD</v>
      </c>
    </row>
    <row r="156" spans="1:8">
      <c r="A156" t="s">
        <v>565</v>
      </c>
      <c r="B156" t="s">
        <v>461</v>
      </c>
      <c r="C156">
        <v>67</v>
      </c>
      <c r="D156">
        <v>356600000</v>
      </c>
      <c r="E156">
        <v>9660000000</v>
      </c>
      <c r="F156">
        <v>4367269119.6864901</v>
      </c>
      <c r="H156" s="63" t="str">
        <f t="shared" si="2"/>
        <v>SLPPN_IDR</v>
      </c>
    </row>
    <row r="157" spans="1:8">
      <c r="A157" t="s">
        <v>566</v>
      </c>
      <c r="B157" t="s">
        <v>461</v>
      </c>
      <c r="C157">
        <v>253</v>
      </c>
      <c r="D157">
        <v>7005749996</v>
      </c>
      <c r="E157">
        <v>80633500000</v>
      </c>
      <c r="F157">
        <v>22388190725.006302</v>
      </c>
      <c r="H157" s="63" t="str">
        <f t="shared" si="2"/>
        <v>SLPS_IDR</v>
      </c>
    </row>
    <row r="158" spans="1:8">
      <c r="A158" t="s">
        <v>567</v>
      </c>
      <c r="B158" t="s">
        <v>461</v>
      </c>
      <c r="C158">
        <v>78</v>
      </c>
      <c r="D158">
        <v>885112008.08000004</v>
      </c>
      <c r="E158">
        <v>39300000000</v>
      </c>
      <c r="F158">
        <v>5603125885.47896</v>
      </c>
      <c r="H158" s="63" t="str">
        <f t="shared" si="2"/>
        <v>SLSA_IDR</v>
      </c>
    </row>
    <row r="159" spans="1:8">
      <c r="A159" t="s">
        <v>568</v>
      </c>
      <c r="B159" t="s">
        <v>461</v>
      </c>
      <c r="C159">
        <v>869</v>
      </c>
      <c r="D159">
        <v>6452571992</v>
      </c>
      <c r="E159">
        <v>339859650000</v>
      </c>
      <c r="F159">
        <v>18327749405.462101</v>
      </c>
      <c r="H159" s="63" t="str">
        <f t="shared" si="2"/>
        <v>SLSA2_IDR</v>
      </c>
    </row>
    <row r="160" spans="1:8">
      <c r="A160" t="s">
        <v>569</v>
      </c>
      <c r="B160" t="s">
        <v>461</v>
      </c>
      <c r="C160">
        <v>176</v>
      </c>
      <c r="D160">
        <v>761559996</v>
      </c>
      <c r="E160">
        <v>24321000000</v>
      </c>
      <c r="F160">
        <v>7873781299.2996101</v>
      </c>
      <c r="H160" s="63" t="str">
        <f t="shared" si="2"/>
        <v>SLSS_IDR</v>
      </c>
    </row>
    <row r="161" spans="1:8">
      <c r="A161" t="s">
        <v>569</v>
      </c>
      <c r="B161" t="s">
        <v>462</v>
      </c>
      <c r="C161">
        <v>3</v>
      </c>
      <c r="D161">
        <v>2700</v>
      </c>
      <c r="E161">
        <v>45000</v>
      </c>
      <c r="F161">
        <v>34586.600558400001</v>
      </c>
      <c r="H161" s="63" t="str">
        <f t="shared" si="2"/>
        <v>SLSS_USD</v>
      </c>
    </row>
    <row r="162" spans="1:8">
      <c r="A162" t="s">
        <v>570</v>
      </c>
      <c r="B162" t="s">
        <v>461</v>
      </c>
      <c r="C162">
        <v>103</v>
      </c>
      <c r="D162">
        <v>4521000000</v>
      </c>
      <c r="E162">
        <v>37075000000</v>
      </c>
      <c r="F162">
        <v>12640180767.9526</v>
      </c>
      <c r="H162" s="63" t="str">
        <f t="shared" si="2"/>
        <v>SLSSP_IDR</v>
      </c>
    </row>
    <row r="163" spans="1:8">
      <c r="A163" t="s">
        <v>571</v>
      </c>
      <c r="B163" t="s">
        <v>461</v>
      </c>
      <c r="C163">
        <v>1483</v>
      </c>
      <c r="D163">
        <v>70548872680</v>
      </c>
      <c r="E163">
        <v>993764999999</v>
      </c>
      <c r="F163">
        <v>121781478355.302</v>
      </c>
      <c r="H163" s="63" t="str">
        <f t="shared" si="2"/>
        <v>SLUS_IDR</v>
      </c>
    </row>
    <row r="164" spans="1:8">
      <c r="A164" t="s">
        <v>572</v>
      </c>
      <c r="B164" t="s">
        <v>461</v>
      </c>
      <c r="C164">
        <v>16</v>
      </c>
      <c r="D164">
        <v>320000000</v>
      </c>
      <c r="E164">
        <v>900000000</v>
      </c>
      <c r="F164">
        <v>771251275.91829705</v>
      </c>
      <c r="H164" s="63" t="str">
        <f t="shared" si="2"/>
        <v>SLVM1_IDR</v>
      </c>
    </row>
    <row r="165" spans="1:8">
      <c r="A165" t="s">
        <v>573</v>
      </c>
      <c r="B165" t="s">
        <v>461</v>
      </c>
      <c r="C165">
        <v>16</v>
      </c>
      <c r="D165">
        <v>320000000</v>
      </c>
      <c r="E165">
        <v>1450000000</v>
      </c>
      <c r="F165">
        <v>1533572696.12972</v>
      </c>
      <c r="H165" s="63" t="str">
        <f t="shared" si="2"/>
        <v>SLVM2_IDR</v>
      </c>
    </row>
    <row r="166" spans="1:8">
      <c r="A166" t="s">
        <v>574</v>
      </c>
      <c r="B166" t="s">
        <v>461</v>
      </c>
      <c r="C166">
        <v>7</v>
      </c>
      <c r="D166">
        <v>140000000</v>
      </c>
      <c r="E166">
        <v>500000000</v>
      </c>
      <c r="F166">
        <v>1860261009.7562301</v>
      </c>
      <c r="H166" s="63" t="str">
        <f t="shared" si="2"/>
        <v>SLVM3_IDR</v>
      </c>
    </row>
    <row r="167" spans="1:8">
      <c r="A167" t="s">
        <v>575</v>
      </c>
      <c r="B167" t="s">
        <v>461</v>
      </c>
      <c r="C167">
        <v>165</v>
      </c>
      <c r="D167">
        <v>11889999996</v>
      </c>
      <c r="E167">
        <v>146175000000</v>
      </c>
      <c r="F167">
        <v>25952044100.7341</v>
      </c>
      <c r="H167" s="63" t="str">
        <f t="shared" si="2"/>
        <v>SLVP_IDR</v>
      </c>
    </row>
    <row r="168" spans="1:8">
      <c r="A168" t="s">
        <v>576</v>
      </c>
      <c r="B168" t="s">
        <v>461</v>
      </c>
      <c r="C168">
        <v>50</v>
      </c>
      <c r="D168">
        <v>1000000000</v>
      </c>
      <c r="E168">
        <v>1250000000</v>
      </c>
      <c r="F168">
        <v>5932405166.90133</v>
      </c>
      <c r="H168" s="63" t="str">
        <f t="shared" si="2"/>
        <v>SMP1B_IDR</v>
      </c>
    </row>
    <row r="169" spans="1:8">
      <c r="A169" t="s">
        <v>577</v>
      </c>
      <c r="B169" t="s">
        <v>461</v>
      </c>
      <c r="C169">
        <v>18</v>
      </c>
      <c r="D169">
        <v>360000000</v>
      </c>
      <c r="E169">
        <v>450000000</v>
      </c>
      <c r="F169">
        <v>3436947016.96453</v>
      </c>
      <c r="H169" s="63" t="str">
        <f t="shared" si="2"/>
        <v>SMP2B_IDR</v>
      </c>
    </row>
    <row r="170" spans="1:8">
      <c r="A170" t="s">
        <v>578</v>
      </c>
      <c r="B170" t="s">
        <v>461</v>
      </c>
      <c r="C170">
        <v>13</v>
      </c>
      <c r="D170">
        <v>260000000</v>
      </c>
      <c r="E170">
        <v>325000000</v>
      </c>
      <c r="F170">
        <v>3155866812.7372298</v>
      </c>
      <c r="H170" s="63" t="str">
        <f t="shared" si="2"/>
        <v>SMP3B_IDR</v>
      </c>
    </row>
    <row r="171" spans="1:8">
      <c r="A171" t="s">
        <v>579</v>
      </c>
      <c r="B171" t="s">
        <v>461</v>
      </c>
      <c r="C171">
        <v>3</v>
      </c>
      <c r="D171">
        <v>18000000</v>
      </c>
      <c r="E171">
        <v>550000000</v>
      </c>
      <c r="F171">
        <v>92473566.682711005</v>
      </c>
      <c r="H171" s="63" t="str">
        <f t="shared" si="2"/>
        <v>SMPV_IDR</v>
      </c>
    </row>
    <row r="172" spans="1:8">
      <c r="A172" t="s">
        <v>580</v>
      </c>
      <c r="B172" t="s">
        <v>461</v>
      </c>
      <c r="C172">
        <v>3</v>
      </c>
      <c r="D172">
        <v>600000000</v>
      </c>
      <c r="E172">
        <v>750000000</v>
      </c>
      <c r="F172">
        <v>1000037145.02421</v>
      </c>
      <c r="H172" s="63" t="str">
        <f t="shared" si="2"/>
        <v>UML_IDR</v>
      </c>
    </row>
    <row r="173" spans="1:8">
      <c r="A173" t="s">
        <v>422</v>
      </c>
      <c r="B173" t="s">
        <v>461</v>
      </c>
      <c r="C173">
        <v>4598</v>
      </c>
      <c r="D173">
        <v>27921572487.1656</v>
      </c>
      <c r="E173">
        <v>13726000000</v>
      </c>
      <c r="F173">
        <v>104343925307.51601</v>
      </c>
      <c r="H173" s="63" t="str">
        <f t="shared" si="2"/>
        <v>ULGALLOC_IDR</v>
      </c>
    </row>
    <row r="174" spans="1:8">
      <c r="A174" t="s">
        <v>422</v>
      </c>
      <c r="B174" t="s">
        <v>462</v>
      </c>
      <c r="C174">
        <v>7</v>
      </c>
      <c r="D174">
        <v>33273</v>
      </c>
      <c r="E174">
        <v>2450</v>
      </c>
      <c r="F174">
        <v>21741.493772227499</v>
      </c>
      <c r="H174" s="63" t="str">
        <f t="shared" si="2"/>
        <v>ULGALLOC_USD</v>
      </c>
    </row>
    <row r="175" spans="1:8">
      <c r="A175" t="s">
        <v>424</v>
      </c>
      <c r="B175" t="s">
        <v>461</v>
      </c>
      <c r="C175">
        <v>84</v>
      </c>
      <c r="D175">
        <v>3181003587.64011</v>
      </c>
      <c r="E175">
        <v>411000000</v>
      </c>
      <c r="F175">
        <v>4944587180.1998301</v>
      </c>
      <c r="H175" s="63" t="str">
        <f t="shared" si="2"/>
        <v>ULSPOOL_IDR</v>
      </c>
    </row>
    <row r="176" spans="1:8">
      <c r="H176" s="63" t="str">
        <f t="shared" si="2"/>
        <v>_</v>
      </c>
    </row>
    <row r="177" spans="8:8">
      <c r="H177" s="63" t="str">
        <f t="shared" si="2"/>
        <v>_</v>
      </c>
    </row>
    <row r="178" spans="8:8">
      <c r="H178" s="63" t="str">
        <f t="shared" si="2"/>
        <v>_</v>
      </c>
    </row>
    <row r="179" spans="8:8">
      <c r="H179" s="63" t="str">
        <f t="shared" si="2"/>
        <v>_</v>
      </c>
    </row>
    <row r="180" spans="8:8">
      <c r="H180" s="63" t="str">
        <f t="shared" si="2"/>
        <v>_</v>
      </c>
    </row>
    <row r="181" spans="8:8">
      <c r="H181" s="63" t="str">
        <f t="shared" si="2"/>
        <v>_</v>
      </c>
    </row>
    <row r="182" spans="8:8">
      <c r="H182" s="63" t="str">
        <f t="shared" si="2"/>
        <v>_</v>
      </c>
    </row>
    <row r="183" spans="8:8">
      <c r="H183" s="63" t="str">
        <f t="shared" si="2"/>
        <v>_</v>
      </c>
    </row>
    <row r="184" spans="8:8">
      <c r="H184" s="63" t="str">
        <f t="shared" si="2"/>
        <v>_</v>
      </c>
    </row>
    <row r="185" spans="8:8">
      <c r="H185" s="63" t="str">
        <f t="shared" si="2"/>
        <v>_</v>
      </c>
    </row>
    <row r="186" spans="8:8">
      <c r="H186" s="63" t="str">
        <f t="shared" si="2"/>
        <v>_</v>
      </c>
    </row>
    <row r="187" spans="8:8">
      <c r="H187" s="63" t="str">
        <f t="shared" si="2"/>
        <v>_</v>
      </c>
    </row>
    <row r="188" spans="8:8">
      <c r="H188" s="63" t="str">
        <f t="shared" si="2"/>
        <v>_</v>
      </c>
    </row>
    <row r="189" spans="8:8">
      <c r="H189" s="63" t="str">
        <f t="shared" si="2"/>
        <v>_</v>
      </c>
    </row>
    <row r="190" spans="8:8">
      <c r="H190" s="63" t="str">
        <f t="shared" si="2"/>
        <v>_</v>
      </c>
    </row>
    <row r="191" spans="8:8">
      <c r="H191" s="63" t="str">
        <f t="shared" si="2"/>
        <v>_</v>
      </c>
    </row>
    <row r="192" spans="8:8">
      <c r="H192" s="63" t="str">
        <f t="shared" si="2"/>
        <v>_</v>
      </c>
    </row>
    <row r="193" spans="8:8">
      <c r="H193" s="63" t="str">
        <f t="shared" si="2"/>
        <v>_</v>
      </c>
    </row>
    <row r="194" spans="8:8">
      <c r="H194" s="63" t="str">
        <f t="shared" si="2"/>
        <v>_</v>
      </c>
    </row>
    <row r="195" spans="8:8">
      <c r="H195" s="63" t="str">
        <f t="shared" ref="H195:H258" si="3">IF(OR(MID(A195,6,10)="NASPP",MID(A195,6,10)="RASPP"),"RNASPP",IF(OR(MID(A195,6,10)="NSFAP",MID(A195,6,10)="RSPOA"),"RNSPOA",IF(OR(A195="ULGALLOC",A195="ULSPOOL"),A195,IF(MID(A195,6,5)="ANSSP","ASSP1",MID(A195,6,10)))))&amp;"_"&amp;B195</f>
        <v>_</v>
      </c>
    </row>
    <row r="196" spans="8:8">
      <c r="H196" s="63" t="str">
        <f t="shared" si="3"/>
        <v>_</v>
      </c>
    </row>
    <row r="197" spans="8:8">
      <c r="H197" s="63" t="str">
        <f t="shared" si="3"/>
        <v>_</v>
      </c>
    </row>
    <row r="198" spans="8:8">
      <c r="H198" s="63" t="str">
        <f t="shared" si="3"/>
        <v>_</v>
      </c>
    </row>
    <row r="199" spans="8:8">
      <c r="H199" s="63" t="str">
        <f t="shared" si="3"/>
        <v>_</v>
      </c>
    </row>
    <row r="200" spans="8:8">
      <c r="H200" s="63" t="str">
        <f t="shared" si="3"/>
        <v>_</v>
      </c>
    </row>
    <row r="201" spans="8:8">
      <c r="H201" s="63" t="str">
        <f t="shared" si="3"/>
        <v>_</v>
      </c>
    </row>
    <row r="202" spans="8:8">
      <c r="H202" s="63" t="str">
        <f t="shared" si="3"/>
        <v>_</v>
      </c>
    </row>
    <row r="203" spans="8:8">
      <c r="H203" s="63" t="str">
        <f t="shared" si="3"/>
        <v>_</v>
      </c>
    </row>
    <row r="204" spans="8:8">
      <c r="H204" s="63" t="str">
        <f t="shared" si="3"/>
        <v>_</v>
      </c>
    </row>
    <row r="205" spans="8:8">
      <c r="H205" s="63" t="str">
        <f t="shared" si="3"/>
        <v>_</v>
      </c>
    </row>
    <row r="206" spans="8:8">
      <c r="H206" s="63" t="str">
        <f t="shared" si="3"/>
        <v>_</v>
      </c>
    </row>
    <row r="207" spans="8:8">
      <c r="H207" s="63" t="str">
        <f t="shared" si="3"/>
        <v>_</v>
      </c>
    </row>
    <row r="208" spans="8:8">
      <c r="H208" s="63" t="str">
        <f t="shared" si="3"/>
        <v>_</v>
      </c>
    </row>
    <row r="209" spans="8:8">
      <c r="H209" s="63" t="str">
        <f t="shared" si="3"/>
        <v>_</v>
      </c>
    </row>
    <row r="210" spans="8:8">
      <c r="H210" s="63" t="str">
        <f t="shared" si="3"/>
        <v>_</v>
      </c>
    </row>
    <row r="211" spans="8:8">
      <c r="H211" s="63" t="str">
        <f t="shared" si="3"/>
        <v>_</v>
      </c>
    </row>
    <row r="212" spans="8:8">
      <c r="H212" s="63" t="str">
        <f t="shared" si="3"/>
        <v>_</v>
      </c>
    </row>
    <row r="213" spans="8:8">
      <c r="H213" s="63" t="str">
        <f t="shared" si="3"/>
        <v>_</v>
      </c>
    </row>
    <row r="214" spans="8:8">
      <c r="H214" s="63" t="str">
        <f t="shared" si="3"/>
        <v>_</v>
      </c>
    </row>
    <row r="215" spans="8:8">
      <c r="H215" s="63" t="str">
        <f t="shared" si="3"/>
        <v>_</v>
      </c>
    </row>
    <row r="216" spans="8:8">
      <c r="H216" s="63" t="str">
        <f t="shared" si="3"/>
        <v>_</v>
      </c>
    </row>
    <row r="217" spans="8:8">
      <c r="H217" s="63" t="str">
        <f t="shared" si="3"/>
        <v>_</v>
      </c>
    </row>
    <row r="218" spans="8:8">
      <c r="H218" s="63" t="str">
        <f t="shared" si="3"/>
        <v>_</v>
      </c>
    </row>
    <row r="219" spans="8:8">
      <c r="H219" s="63" t="str">
        <f t="shared" si="3"/>
        <v>_</v>
      </c>
    </row>
    <row r="220" spans="8:8">
      <c r="H220" s="63" t="str">
        <f t="shared" si="3"/>
        <v>_</v>
      </c>
    </row>
    <row r="221" spans="8:8">
      <c r="H221" s="63" t="str">
        <f t="shared" si="3"/>
        <v>_</v>
      </c>
    </row>
    <row r="222" spans="8:8">
      <c r="H222" s="63" t="str">
        <f t="shared" si="3"/>
        <v>_</v>
      </c>
    </row>
    <row r="223" spans="8:8">
      <c r="H223" s="63" t="str">
        <f t="shared" si="3"/>
        <v>_</v>
      </c>
    </row>
    <row r="224" spans="8:8">
      <c r="H224" s="63" t="str">
        <f t="shared" si="3"/>
        <v>_</v>
      </c>
    </row>
    <row r="225" spans="8:8">
      <c r="H225" s="63" t="str">
        <f t="shared" si="3"/>
        <v>_</v>
      </c>
    </row>
    <row r="226" spans="8:8">
      <c r="H226" s="63" t="str">
        <f t="shared" si="3"/>
        <v>_</v>
      </c>
    </row>
    <row r="227" spans="8:8">
      <c r="H227" s="63" t="str">
        <f t="shared" si="3"/>
        <v>_</v>
      </c>
    </row>
    <row r="228" spans="8:8">
      <c r="H228" s="63" t="str">
        <f t="shared" si="3"/>
        <v>_</v>
      </c>
    </row>
    <row r="229" spans="8:8">
      <c r="H229" s="63" t="str">
        <f t="shared" si="3"/>
        <v>_</v>
      </c>
    </row>
    <row r="230" spans="8:8">
      <c r="H230" s="63" t="str">
        <f t="shared" si="3"/>
        <v>_</v>
      </c>
    </row>
    <row r="231" spans="8:8">
      <c r="H231" s="63" t="str">
        <f t="shared" si="3"/>
        <v>_</v>
      </c>
    </row>
    <row r="232" spans="8:8">
      <c r="H232" s="63" t="str">
        <f t="shared" si="3"/>
        <v>_</v>
      </c>
    </row>
    <row r="233" spans="8:8">
      <c r="H233" s="63" t="str">
        <f t="shared" si="3"/>
        <v>_</v>
      </c>
    </row>
    <row r="234" spans="8:8">
      <c r="H234" s="63" t="str">
        <f t="shared" si="3"/>
        <v>_</v>
      </c>
    </row>
    <row r="235" spans="8:8">
      <c r="H235" s="63" t="str">
        <f t="shared" si="3"/>
        <v>_</v>
      </c>
    </row>
    <row r="236" spans="8:8">
      <c r="H236" s="63" t="str">
        <f t="shared" si="3"/>
        <v>_</v>
      </c>
    </row>
    <row r="237" spans="8:8">
      <c r="H237" s="63" t="str">
        <f t="shared" si="3"/>
        <v>_</v>
      </c>
    </row>
    <row r="238" spans="8:8">
      <c r="H238" s="63" t="str">
        <f t="shared" si="3"/>
        <v>_</v>
      </c>
    </row>
    <row r="239" spans="8:8">
      <c r="H239" s="63" t="str">
        <f t="shared" si="3"/>
        <v>_</v>
      </c>
    </row>
    <row r="240" spans="8:8">
      <c r="H240" s="63" t="str">
        <f t="shared" si="3"/>
        <v>_</v>
      </c>
    </row>
    <row r="241" spans="8:8">
      <c r="H241" s="63" t="str">
        <f t="shared" si="3"/>
        <v>_</v>
      </c>
    </row>
    <row r="242" spans="8:8">
      <c r="H242" s="63" t="str">
        <f t="shared" si="3"/>
        <v>_</v>
      </c>
    </row>
    <row r="243" spans="8:8">
      <c r="H243" s="63" t="str">
        <f t="shared" si="3"/>
        <v>_</v>
      </c>
    </row>
    <row r="244" spans="8:8">
      <c r="H244" s="63" t="str">
        <f t="shared" si="3"/>
        <v>_</v>
      </c>
    </row>
    <row r="245" spans="8:8">
      <c r="H245" s="63" t="str">
        <f t="shared" si="3"/>
        <v>_</v>
      </c>
    </row>
    <row r="246" spans="8:8">
      <c r="H246" s="63" t="str">
        <f t="shared" si="3"/>
        <v>_</v>
      </c>
    </row>
    <row r="247" spans="8:8">
      <c r="H247" s="63" t="str">
        <f t="shared" si="3"/>
        <v>_</v>
      </c>
    </row>
    <row r="248" spans="8:8">
      <c r="H248" s="63" t="str">
        <f t="shared" si="3"/>
        <v>_</v>
      </c>
    </row>
    <row r="249" spans="8:8">
      <c r="H249" s="63" t="str">
        <f t="shared" si="3"/>
        <v>_</v>
      </c>
    </row>
    <row r="250" spans="8:8">
      <c r="H250" s="63" t="str">
        <f t="shared" si="3"/>
        <v>_</v>
      </c>
    </row>
    <row r="251" spans="8:8">
      <c r="H251" s="63" t="str">
        <f t="shared" si="3"/>
        <v>_</v>
      </c>
    </row>
    <row r="252" spans="8:8">
      <c r="H252" s="63" t="str">
        <f t="shared" si="3"/>
        <v>_</v>
      </c>
    </row>
    <row r="253" spans="8:8">
      <c r="H253" s="63" t="str">
        <f t="shared" si="3"/>
        <v>_</v>
      </c>
    </row>
    <row r="254" spans="8:8">
      <c r="H254" s="63" t="str">
        <f t="shared" si="3"/>
        <v>_</v>
      </c>
    </row>
    <row r="255" spans="8:8">
      <c r="H255" s="63" t="str">
        <f t="shared" si="3"/>
        <v>_</v>
      </c>
    </row>
    <row r="256" spans="8:8">
      <c r="H256" s="63" t="str">
        <f t="shared" si="3"/>
        <v>_</v>
      </c>
    </row>
    <row r="257" spans="8:8">
      <c r="H257" s="63" t="str">
        <f t="shared" si="3"/>
        <v>_</v>
      </c>
    </row>
    <row r="258" spans="8:8">
      <c r="H258" s="63" t="str">
        <f t="shared" si="3"/>
        <v>_</v>
      </c>
    </row>
    <row r="259" spans="8:8">
      <c r="H259" s="63" t="str">
        <f t="shared" ref="H259:H322" si="4">IF(OR(MID(A259,6,10)="NASPP",MID(A259,6,10)="RASPP"),"RNASPP",IF(OR(MID(A259,6,10)="NSFAP",MID(A259,6,10)="RSPOA"),"RNSPOA",IF(OR(A259="ULGALLOC",A259="ULSPOOL"),A259,IF(MID(A259,6,5)="ANSSP","ASSP1",MID(A259,6,10)))))&amp;"_"&amp;B259</f>
        <v>_</v>
      </c>
    </row>
    <row r="260" spans="8:8">
      <c r="H260" s="63" t="str">
        <f t="shared" si="4"/>
        <v>_</v>
      </c>
    </row>
    <row r="261" spans="8:8">
      <c r="H261" s="63" t="str">
        <f t="shared" si="4"/>
        <v>_</v>
      </c>
    </row>
    <row r="262" spans="8:8">
      <c r="H262" s="63" t="str">
        <f t="shared" si="4"/>
        <v>_</v>
      </c>
    </row>
    <row r="263" spans="8:8">
      <c r="H263" s="63" t="str">
        <f t="shared" si="4"/>
        <v>_</v>
      </c>
    </row>
    <row r="264" spans="8:8">
      <c r="H264" s="63" t="str">
        <f t="shared" si="4"/>
        <v>_</v>
      </c>
    </row>
    <row r="265" spans="8:8">
      <c r="H265" s="63" t="str">
        <f t="shared" si="4"/>
        <v>_</v>
      </c>
    </row>
    <row r="266" spans="8:8">
      <c r="H266" s="63" t="str">
        <f t="shared" si="4"/>
        <v>_</v>
      </c>
    </row>
    <row r="267" spans="8:8">
      <c r="H267" s="63" t="str">
        <f t="shared" si="4"/>
        <v>_</v>
      </c>
    </row>
    <row r="268" spans="8:8">
      <c r="H268" s="63" t="str">
        <f t="shared" si="4"/>
        <v>_</v>
      </c>
    </row>
    <row r="269" spans="8:8">
      <c r="H269" s="63" t="str">
        <f t="shared" si="4"/>
        <v>_</v>
      </c>
    </row>
    <row r="270" spans="8:8">
      <c r="H270" s="63" t="str">
        <f t="shared" si="4"/>
        <v>_</v>
      </c>
    </row>
    <row r="271" spans="8:8">
      <c r="H271" s="63" t="str">
        <f t="shared" si="4"/>
        <v>_</v>
      </c>
    </row>
    <row r="272" spans="8:8">
      <c r="H272" s="63" t="str">
        <f t="shared" si="4"/>
        <v>_</v>
      </c>
    </row>
    <row r="273" spans="8:8">
      <c r="H273" s="63" t="str">
        <f t="shared" si="4"/>
        <v>_</v>
      </c>
    </row>
    <row r="274" spans="8:8">
      <c r="H274" s="63" t="str">
        <f t="shared" si="4"/>
        <v>_</v>
      </c>
    </row>
    <row r="275" spans="8:8">
      <c r="H275" s="63" t="str">
        <f t="shared" si="4"/>
        <v>_</v>
      </c>
    </row>
    <row r="276" spans="8:8">
      <c r="H276" s="63" t="str">
        <f t="shared" si="4"/>
        <v>_</v>
      </c>
    </row>
    <row r="277" spans="8:8">
      <c r="H277" s="63" t="str">
        <f t="shared" si="4"/>
        <v>_</v>
      </c>
    </row>
    <row r="278" spans="8:8">
      <c r="H278" s="63" t="str">
        <f t="shared" si="4"/>
        <v>_</v>
      </c>
    </row>
    <row r="279" spans="8:8">
      <c r="H279" s="63" t="str">
        <f t="shared" si="4"/>
        <v>_</v>
      </c>
    </row>
    <row r="280" spans="8:8">
      <c r="H280" s="63" t="str">
        <f t="shared" si="4"/>
        <v>_</v>
      </c>
    </row>
    <row r="281" spans="8:8">
      <c r="H281" s="63" t="str">
        <f t="shared" si="4"/>
        <v>_</v>
      </c>
    </row>
    <row r="282" spans="8:8">
      <c r="H282" s="63" t="str">
        <f t="shared" si="4"/>
        <v>_</v>
      </c>
    </row>
    <row r="283" spans="8:8">
      <c r="H283" s="63" t="str">
        <f t="shared" si="4"/>
        <v>_</v>
      </c>
    </row>
    <row r="284" spans="8:8">
      <c r="H284" s="63" t="str">
        <f t="shared" si="4"/>
        <v>_</v>
      </c>
    </row>
    <row r="285" spans="8:8">
      <c r="H285" s="63" t="str">
        <f t="shared" si="4"/>
        <v>_</v>
      </c>
    </row>
    <row r="286" spans="8:8">
      <c r="H286" s="63" t="str">
        <f t="shared" si="4"/>
        <v>_</v>
      </c>
    </row>
    <row r="287" spans="8:8">
      <c r="H287" s="63" t="str">
        <f t="shared" si="4"/>
        <v>_</v>
      </c>
    </row>
    <row r="288" spans="8:8">
      <c r="H288" s="63" t="str">
        <f t="shared" si="4"/>
        <v>_</v>
      </c>
    </row>
    <row r="289" spans="8:8">
      <c r="H289" s="63" t="str">
        <f t="shared" si="4"/>
        <v>_</v>
      </c>
    </row>
    <row r="290" spans="8:8">
      <c r="H290" s="63" t="str">
        <f t="shared" si="4"/>
        <v>_</v>
      </c>
    </row>
    <row r="291" spans="8:8">
      <c r="H291" s="63" t="str">
        <f t="shared" si="4"/>
        <v>_</v>
      </c>
    </row>
    <row r="292" spans="8:8">
      <c r="H292" s="63" t="str">
        <f t="shared" si="4"/>
        <v>_</v>
      </c>
    </row>
    <row r="293" spans="8:8">
      <c r="H293" s="63" t="str">
        <f t="shared" si="4"/>
        <v>_</v>
      </c>
    </row>
    <row r="294" spans="8:8">
      <c r="H294" s="63" t="str">
        <f t="shared" si="4"/>
        <v>_</v>
      </c>
    </row>
    <row r="295" spans="8:8">
      <c r="H295" s="63" t="str">
        <f t="shared" si="4"/>
        <v>_</v>
      </c>
    </row>
    <row r="296" spans="8:8">
      <c r="H296" s="63" t="str">
        <f t="shared" si="4"/>
        <v>_</v>
      </c>
    </row>
    <row r="297" spans="8:8">
      <c r="H297" s="63" t="str">
        <f t="shared" si="4"/>
        <v>_</v>
      </c>
    </row>
    <row r="298" spans="8:8">
      <c r="H298" s="63" t="str">
        <f t="shared" si="4"/>
        <v>_</v>
      </c>
    </row>
    <row r="299" spans="8:8">
      <c r="H299" s="63" t="str">
        <f t="shared" si="4"/>
        <v>_</v>
      </c>
    </row>
    <row r="300" spans="8:8">
      <c r="H300" s="63" t="str">
        <f t="shared" si="4"/>
        <v>_</v>
      </c>
    </row>
    <row r="301" spans="8:8">
      <c r="H301" s="63" t="str">
        <f t="shared" si="4"/>
        <v>_</v>
      </c>
    </row>
    <row r="302" spans="8:8">
      <c r="H302" s="63" t="str">
        <f t="shared" si="4"/>
        <v>_</v>
      </c>
    </row>
    <row r="303" spans="8:8">
      <c r="H303" s="63" t="str">
        <f t="shared" si="4"/>
        <v>_</v>
      </c>
    </row>
    <row r="304" spans="8:8">
      <c r="H304" s="63" t="str">
        <f t="shared" si="4"/>
        <v>_</v>
      </c>
    </row>
    <row r="305" spans="8:8">
      <c r="H305" s="63" t="str">
        <f t="shared" si="4"/>
        <v>_</v>
      </c>
    </row>
    <row r="306" spans="8:8">
      <c r="H306" s="63" t="str">
        <f t="shared" si="4"/>
        <v>_</v>
      </c>
    </row>
    <row r="307" spans="8:8">
      <c r="H307" s="63" t="str">
        <f t="shared" si="4"/>
        <v>_</v>
      </c>
    </row>
    <row r="308" spans="8:8">
      <c r="H308" s="63" t="str">
        <f t="shared" si="4"/>
        <v>_</v>
      </c>
    </row>
    <row r="309" spans="8:8">
      <c r="H309" s="63" t="str">
        <f t="shared" si="4"/>
        <v>_</v>
      </c>
    </row>
    <row r="310" spans="8:8">
      <c r="H310" s="63" t="str">
        <f t="shared" si="4"/>
        <v>_</v>
      </c>
    </row>
    <row r="311" spans="8:8">
      <c r="H311" s="63" t="str">
        <f t="shared" si="4"/>
        <v>_</v>
      </c>
    </row>
    <row r="312" spans="8:8">
      <c r="H312" s="63" t="str">
        <f t="shared" si="4"/>
        <v>_</v>
      </c>
    </row>
    <row r="313" spans="8:8">
      <c r="H313" s="63" t="str">
        <f t="shared" si="4"/>
        <v>_</v>
      </c>
    </row>
    <row r="314" spans="8:8">
      <c r="H314" s="63" t="str">
        <f t="shared" si="4"/>
        <v>_</v>
      </c>
    </row>
    <row r="315" spans="8:8">
      <c r="H315" s="63" t="str">
        <f t="shared" si="4"/>
        <v>_</v>
      </c>
    </row>
    <row r="316" spans="8:8">
      <c r="H316" s="63" t="str">
        <f t="shared" si="4"/>
        <v>_</v>
      </c>
    </row>
    <row r="317" spans="8:8">
      <c r="H317" s="63" t="str">
        <f t="shared" si="4"/>
        <v>_</v>
      </c>
    </row>
    <row r="318" spans="8:8">
      <c r="H318" s="63" t="str">
        <f t="shared" si="4"/>
        <v>_</v>
      </c>
    </row>
    <row r="319" spans="8:8">
      <c r="H319" s="63" t="str">
        <f t="shared" si="4"/>
        <v>_</v>
      </c>
    </row>
    <row r="320" spans="8:8">
      <c r="H320" s="63" t="str">
        <f t="shared" si="4"/>
        <v>_</v>
      </c>
    </row>
    <row r="321" spans="8:8">
      <c r="H321" s="63" t="str">
        <f t="shared" si="4"/>
        <v>_</v>
      </c>
    </row>
    <row r="322" spans="8:8">
      <c r="H322" s="63" t="str">
        <f t="shared" si="4"/>
        <v>_</v>
      </c>
    </row>
    <row r="323" spans="8:8">
      <c r="H323" s="63" t="str">
        <f t="shared" ref="H323:H386" si="5">IF(OR(MID(A323,6,10)="NASPP",MID(A323,6,10)="RASPP"),"RNASPP",IF(OR(MID(A323,6,10)="NSFAP",MID(A323,6,10)="RSPOA"),"RNSPOA",IF(OR(A323="ULGALLOC",A323="ULSPOOL"),A323,IF(MID(A323,6,5)="ANSSP","ASSP1",MID(A323,6,10)))))&amp;"_"&amp;B323</f>
        <v>_</v>
      </c>
    </row>
    <row r="324" spans="8:8">
      <c r="H324" s="63" t="str">
        <f t="shared" si="5"/>
        <v>_</v>
      </c>
    </row>
    <row r="325" spans="8:8">
      <c r="H325" s="63" t="str">
        <f t="shared" si="5"/>
        <v>_</v>
      </c>
    </row>
    <row r="326" spans="8:8">
      <c r="H326" s="63" t="str">
        <f t="shared" si="5"/>
        <v>_</v>
      </c>
    </row>
    <row r="327" spans="8:8">
      <c r="H327" s="63" t="str">
        <f t="shared" si="5"/>
        <v>_</v>
      </c>
    </row>
    <row r="328" spans="8:8">
      <c r="H328" s="63" t="str">
        <f t="shared" si="5"/>
        <v>_</v>
      </c>
    </row>
    <row r="329" spans="8:8">
      <c r="H329" s="63" t="str">
        <f t="shared" si="5"/>
        <v>_</v>
      </c>
    </row>
    <row r="330" spans="8:8">
      <c r="H330" s="63" t="str">
        <f t="shared" si="5"/>
        <v>_</v>
      </c>
    </row>
    <row r="331" spans="8:8">
      <c r="H331" s="63" t="str">
        <f t="shared" si="5"/>
        <v>_</v>
      </c>
    </row>
    <row r="332" spans="8:8">
      <c r="H332" s="63" t="str">
        <f t="shared" si="5"/>
        <v>_</v>
      </c>
    </row>
    <row r="333" spans="8:8">
      <c r="H333" s="63" t="str">
        <f t="shared" si="5"/>
        <v>_</v>
      </c>
    </row>
    <row r="334" spans="8:8">
      <c r="H334" s="63" t="str">
        <f t="shared" si="5"/>
        <v>_</v>
      </c>
    </row>
    <row r="335" spans="8:8">
      <c r="H335" s="63" t="str">
        <f t="shared" si="5"/>
        <v>_</v>
      </c>
    </row>
    <row r="336" spans="8:8">
      <c r="H336" s="63" t="str">
        <f t="shared" si="5"/>
        <v>_</v>
      </c>
    </row>
    <row r="337" spans="8:8">
      <c r="H337" s="63" t="str">
        <f t="shared" si="5"/>
        <v>_</v>
      </c>
    </row>
    <row r="338" spans="8:8">
      <c r="H338" s="63" t="str">
        <f t="shared" si="5"/>
        <v>_</v>
      </c>
    </row>
    <row r="339" spans="8:8">
      <c r="H339" s="63" t="str">
        <f t="shared" si="5"/>
        <v>_</v>
      </c>
    </row>
    <row r="340" spans="8:8">
      <c r="H340" s="63" t="str">
        <f t="shared" si="5"/>
        <v>_</v>
      </c>
    </row>
    <row r="341" spans="8:8">
      <c r="H341" s="63" t="str">
        <f t="shared" si="5"/>
        <v>_</v>
      </c>
    </row>
    <row r="342" spans="8:8">
      <c r="H342" s="63" t="str">
        <f t="shared" si="5"/>
        <v>_</v>
      </c>
    </row>
    <row r="343" spans="8:8">
      <c r="H343" s="63" t="str">
        <f t="shared" si="5"/>
        <v>_</v>
      </c>
    </row>
    <row r="344" spans="8:8">
      <c r="H344" s="63" t="str">
        <f t="shared" si="5"/>
        <v>_</v>
      </c>
    </row>
    <row r="345" spans="8:8">
      <c r="H345" s="63" t="str">
        <f t="shared" si="5"/>
        <v>_</v>
      </c>
    </row>
    <row r="346" spans="8:8">
      <c r="H346" s="63" t="str">
        <f t="shared" si="5"/>
        <v>_</v>
      </c>
    </row>
    <row r="347" spans="8:8">
      <c r="H347" s="63" t="str">
        <f t="shared" si="5"/>
        <v>_</v>
      </c>
    </row>
    <row r="348" spans="8:8">
      <c r="H348" s="63" t="str">
        <f t="shared" si="5"/>
        <v>_</v>
      </c>
    </row>
    <row r="349" spans="8:8">
      <c r="H349" s="63" t="str">
        <f t="shared" si="5"/>
        <v>_</v>
      </c>
    </row>
    <row r="350" spans="8:8">
      <c r="H350" s="63" t="str">
        <f t="shared" si="5"/>
        <v>_</v>
      </c>
    </row>
    <row r="351" spans="8:8">
      <c r="H351" s="63" t="str">
        <f t="shared" si="5"/>
        <v>_</v>
      </c>
    </row>
    <row r="352" spans="8:8">
      <c r="H352" s="63" t="str">
        <f t="shared" si="5"/>
        <v>_</v>
      </c>
    </row>
    <row r="353" spans="8:8">
      <c r="H353" s="63" t="str">
        <f t="shared" si="5"/>
        <v>_</v>
      </c>
    </row>
    <row r="354" spans="8:8">
      <c r="H354" s="63" t="str">
        <f t="shared" si="5"/>
        <v>_</v>
      </c>
    </row>
    <row r="355" spans="8:8">
      <c r="H355" s="63" t="str">
        <f t="shared" si="5"/>
        <v>_</v>
      </c>
    </row>
    <row r="356" spans="8:8">
      <c r="H356" s="63" t="str">
        <f t="shared" si="5"/>
        <v>_</v>
      </c>
    </row>
    <row r="357" spans="8:8">
      <c r="H357" s="63" t="str">
        <f t="shared" si="5"/>
        <v>_</v>
      </c>
    </row>
    <row r="358" spans="8:8">
      <c r="H358" s="63" t="str">
        <f t="shared" si="5"/>
        <v>_</v>
      </c>
    </row>
    <row r="359" spans="8:8">
      <c r="H359" s="63" t="str">
        <f t="shared" si="5"/>
        <v>_</v>
      </c>
    </row>
    <row r="360" spans="8:8">
      <c r="H360" s="63" t="str">
        <f t="shared" si="5"/>
        <v>_</v>
      </c>
    </row>
    <row r="361" spans="8:8">
      <c r="H361" s="63" t="str">
        <f t="shared" si="5"/>
        <v>_</v>
      </c>
    </row>
    <row r="362" spans="8:8">
      <c r="H362" s="63" t="str">
        <f t="shared" si="5"/>
        <v>_</v>
      </c>
    </row>
    <row r="363" spans="8:8">
      <c r="H363" s="63" t="str">
        <f t="shared" si="5"/>
        <v>_</v>
      </c>
    </row>
    <row r="364" spans="8:8">
      <c r="H364" s="63" t="str">
        <f t="shared" si="5"/>
        <v>_</v>
      </c>
    </row>
    <row r="365" spans="8:8">
      <c r="H365" s="63" t="str">
        <f t="shared" si="5"/>
        <v>_</v>
      </c>
    </row>
    <row r="366" spans="8:8">
      <c r="H366" s="63" t="str">
        <f t="shared" si="5"/>
        <v>_</v>
      </c>
    </row>
    <row r="367" spans="8:8">
      <c r="H367" s="63" t="str">
        <f t="shared" si="5"/>
        <v>_</v>
      </c>
    </row>
    <row r="368" spans="8:8">
      <c r="H368" s="63" t="str">
        <f t="shared" si="5"/>
        <v>_</v>
      </c>
    </row>
    <row r="369" spans="8:8">
      <c r="H369" s="63" t="str">
        <f t="shared" si="5"/>
        <v>_</v>
      </c>
    </row>
    <row r="370" spans="8:8">
      <c r="H370" s="63" t="str">
        <f t="shared" si="5"/>
        <v>_</v>
      </c>
    </row>
    <row r="371" spans="8:8">
      <c r="H371" s="63" t="str">
        <f t="shared" si="5"/>
        <v>_</v>
      </c>
    </row>
    <row r="372" spans="8:8">
      <c r="H372" s="63" t="str">
        <f t="shared" si="5"/>
        <v>_</v>
      </c>
    </row>
    <row r="373" spans="8:8">
      <c r="H373" s="63" t="str">
        <f t="shared" si="5"/>
        <v>_</v>
      </c>
    </row>
    <row r="374" spans="8:8">
      <c r="H374" s="63" t="str">
        <f t="shared" si="5"/>
        <v>_</v>
      </c>
    </row>
    <row r="375" spans="8:8">
      <c r="H375" s="63" t="str">
        <f t="shared" si="5"/>
        <v>_</v>
      </c>
    </row>
    <row r="376" spans="8:8">
      <c r="H376" s="63" t="str">
        <f t="shared" si="5"/>
        <v>_</v>
      </c>
    </row>
    <row r="377" spans="8:8">
      <c r="H377" s="63" t="str">
        <f t="shared" si="5"/>
        <v>_</v>
      </c>
    </row>
    <row r="378" spans="8:8">
      <c r="H378" s="63" t="str">
        <f t="shared" si="5"/>
        <v>_</v>
      </c>
    </row>
    <row r="379" spans="8:8">
      <c r="H379" s="63" t="str">
        <f t="shared" si="5"/>
        <v>_</v>
      </c>
    </row>
    <row r="380" spans="8:8">
      <c r="H380" s="63" t="str">
        <f t="shared" si="5"/>
        <v>_</v>
      </c>
    </row>
    <row r="381" spans="8:8">
      <c r="H381" s="63" t="str">
        <f t="shared" si="5"/>
        <v>_</v>
      </c>
    </row>
    <row r="382" spans="8:8">
      <c r="H382" s="63" t="str">
        <f t="shared" si="5"/>
        <v>_</v>
      </c>
    </row>
    <row r="383" spans="8:8">
      <c r="H383" s="63" t="str">
        <f t="shared" si="5"/>
        <v>_</v>
      </c>
    </row>
    <row r="384" spans="8:8">
      <c r="H384" s="63" t="str">
        <f t="shared" si="5"/>
        <v>_</v>
      </c>
    </row>
    <row r="385" spans="8:8">
      <c r="H385" s="63" t="str">
        <f t="shared" si="5"/>
        <v>_</v>
      </c>
    </row>
    <row r="386" spans="8:8">
      <c r="H386" s="63" t="str">
        <f t="shared" si="5"/>
        <v>_</v>
      </c>
    </row>
    <row r="387" spans="8:8">
      <c r="H387" s="63" t="str">
        <f t="shared" ref="H387:H450" si="6">IF(OR(MID(A387,6,10)="NASPP",MID(A387,6,10)="RASPP"),"RNASPP",IF(OR(MID(A387,6,10)="NSFAP",MID(A387,6,10)="RSPOA"),"RNSPOA",IF(OR(A387="ULGALLOC",A387="ULSPOOL"),A387,IF(MID(A387,6,5)="ANSSP","ASSP1",MID(A387,6,10)))))&amp;"_"&amp;B387</f>
        <v>_</v>
      </c>
    </row>
    <row r="388" spans="8:8">
      <c r="H388" s="63" t="str">
        <f t="shared" si="6"/>
        <v>_</v>
      </c>
    </row>
    <row r="389" spans="8:8">
      <c r="H389" s="63" t="str">
        <f t="shared" si="6"/>
        <v>_</v>
      </c>
    </row>
    <row r="390" spans="8:8">
      <c r="H390" s="63" t="str">
        <f t="shared" si="6"/>
        <v>_</v>
      </c>
    </row>
    <row r="391" spans="8:8">
      <c r="H391" s="63" t="str">
        <f t="shared" si="6"/>
        <v>_</v>
      </c>
    </row>
    <row r="392" spans="8:8">
      <c r="H392" s="63" t="str">
        <f t="shared" si="6"/>
        <v>_</v>
      </c>
    </row>
    <row r="393" spans="8:8">
      <c r="H393" s="63" t="str">
        <f t="shared" si="6"/>
        <v>_</v>
      </c>
    </row>
    <row r="394" spans="8:8">
      <c r="H394" s="63" t="str">
        <f t="shared" si="6"/>
        <v>_</v>
      </c>
    </row>
    <row r="395" spans="8:8">
      <c r="H395" s="63" t="str">
        <f t="shared" si="6"/>
        <v>_</v>
      </c>
    </row>
    <row r="396" spans="8:8">
      <c r="H396" s="63" t="str">
        <f t="shared" si="6"/>
        <v>_</v>
      </c>
    </row>
    <row r="397" spans="8:8">
      <c r="H397" s="63" t="str">
        <f t="shared" si="6"/>
        <v>_</v>
      </c>
    </row>
    <row r="398" spans="8:8">
      <c r="H398" s="63" t="str">
        <f t="shared" si="6"/>
        <v>_</v>
      </c>
    </row>
    <row r="399" spans="8:8">
      <c r="H399" s="63" t="str">
        <f t="shared" si="6"/>
        <v>_</v>
      </c>
    </row>
    <row r="400" spans="8:8">
      <c r="H400" s="63" t="str">
        <f t="shared" si="6"/>
        <v>_</v>
      </c>
    </row>
    <row r="401" spans="8:8">
      <c r="H401" s="63" t="str">
        <f t="shared" si="6"/>
        <v>_</v>
      </c>
    </row>
    <row r="402" spans="8:8">
      <c r="H402" s="63" t="str">
        <f t="shared" si="6"/>
        <v>_</v>
      </c>
    </row>
    <row r="403" spans="8:8">
      <c r="H403" s="63" t="str">
        <f t="shared" si="6"/>
        <v>_</v>
      </c>
    </row>
    <row r="404" spans="8:8">
      <c r="H404" s="63" t="str">
        <f t="shared" si="6"/>
        <v>_</v>
      </c>
    </row>
    <row r="405" spans="8:8">
      <c r="H405" s="63" t="str">
        <f t="shared" si="6"/>
        <v>_</v>
      </c>
    </row>
    <row r="406" spans="8:8">
      <c r="H406" s="63" t="str">
        <f t="shared" si="6"/>
        <v>_</v>
      </c>
    </row>
    <row r="407" spans="8:8">
      <c r="H407" s="63" t="str">
        <f t="shared" si="6"/>
        <v>_</v>
      </c>
    </row>
    <row r="408" spans="8:8">
      <c r="H408" s="63" t="str">
        <f t="shared" si="6"/>
        <v>_</v>
      </c>
    </row>
    <row r="409" spans="8:8">
      <c r="H409" s="63" t="str">
        <f t="shared" si="6"/>
        <v>_</v>
      </c>
    </row>
    <row r="410" spans="8:8">
      <c r="H410" s="63" t="str">
        <f t="shared" si="6"/>
        <v>_</v>
      </c>
    </row>
    <row r="411" spans="8:8">
      <c r="H411" s="63" t="str">
        <f t="shared" si="6"/>
        <v>_</v>
      </c>
    </row>
    <row r="412" spans="8:8">
      <c r="H412" s="63" t="str">
        <f t="shared" si="6"/>
        <v>_</v>
      </c>
    </row>
    <row r="413" spans="8:8">
      <c r="H413" s="63" t="str">
        <f t="shared" si="6"/>
        <v>_</v>
      </c>
    </row>
    <row r="414" spans="8:8">
      <c r="H414" s="63" t="str">
        <f t="shared" si="6"/>
        <v>_</v>
      </c>
    </row>
    <row r="415" spans="8:8">
      <c r="H415" s="63" t="str">
        <f t="shared" si="6"/>
        <v>_</v>
      </c>
    </row>
    <row r="416" spans="8:8">
      <c r="H416" s="63" t="str">
        <f t="shared" si="6"/>
        <v>_</v>
      </c>
    </row>
    <row r="417" spans="8:8">
      <c r="H417" s="63" t="str">
        <f t="shared" si="6"/>
        <v>_</v>
      </c>
    </row>
    <row r="418" spans="8:8">
      <c r="H418" s="63" t="str">
        <f t="shared" si="6"/>
        <v>_</v>
      </c>
    </row>
    <row r="419" spans="8:8">
      <c r="H419" s="63" t="str">
        <f t="shared" si="6"/>
        <v>_</v>
      </c>
    </row>
    <row r="420" spans="8:8">
      <c r="H420" s="63" t="str">
        <f t="shared" si="6"/>
        <v>_</v>
      </c>
    </row>
    <row r="421" spans="8:8">
      <c r="H421" s="63" t="str">
        <f t="shared" si="6"/>
        <v>_</v>
      </c>
    </row>
    <row r="422" spans="8:8">
      <c r="H422" s="63" t="str">
        <f t="shared" si="6"/>
        <v>_</v>
      </c>
    </row>
    <row r="423" spans="8:8">
      <c r="H423" s="63" t="str">
        <f t="shared" si="6"/>
        <v>_</v>
      </c>
    </row>
    <row r="424" spans="8:8">
      <c r="H424" s="63" t="str">
        <f t="shared" si="6"/>
        <v>_</v>
      </c>
    </row>
    <row r="425" spans="8:8">
      <c r="H425" s="63" t="str">
        <f t="shared" si="6"/>
        <v>_</v>
      </c>
    </row>
    <row r="426" spans="8:8">
      <c r="H426" s="63" t="str">
        <f t="shared" si="6"/>
        <v>_</v>
      </c>
    </row>
    <row r="427" spans="8:8">
      <c r="H427" s="63" t="str">
        <f t="shared" si="6"/>
        <v>_</v>
      </c>
    </row>
    <row r="428" spans="8:8">
      <c r="H428" s="63" t="str">
        <f t="shared" si="6"/>
        <v>_</v>
      </c>
    </row>
    <row r="429" spans="8:8">
      <c r="H429" s="63" t="str">
        <f t="shared" si="6"/>
        <v>_</v>
      </c>
    </row>
    <row r="430" spans="8:8">
      <c r="H430" s="63" t="str">
        <f t="shared" si="6"/>
        <v>_</v>
      </c>
    </row>
    <row r="431" spans="8:8">
      <c r="H431" s="63" t="str">
        <f t="shared" si="6"/>
        <v>_</v>
      </c>
    </row>
    <row r="432" spans="8:8">
      <c r="H432" s="63" t="str">
        <f t="shared" si="6"/>
        <v>_</v>
      </c>
    </row>
    <row r="433" spans="8:8">
      <c r="H433" s="63" t="str">
        <f t="shared" si="6"/>
        <v>_</v>
      </c>
    </row>
    <row r="434" spans="8:8">
      <c r="H434" s="63" t="str">
        <f t="shared" si="6"/>
        <v>_</v>
      </c>
    </row>
    <row r="435" spans="8:8">
      <c r="H435" s="63" t="str">
        <f t="shared" si="6"/>
        <v>_</v>
      </c>
    </row>
    <row r="436" spans="8:8">
      <c r="H436" s="63" t="str">
        <f t="shared" si="6"/>
        <v>_</v>
      </c>
    </row>
    <row r="437" spans="8:8">
      <c r="H437" s="63" t="str">
        <f t="shared" si="6"/>
        <v>_</v>
      </c>
    </row>
    <row r="438" spans="8:8">
      <c r="H438" s="63" t="str">
        <f t="shared" si="6"/>
        <v>_</v>
      </c>
    </row>
    <row r="439" spans="8:8">
      <c r="H439" s="63" t="str">
        <f t="shared" si="6"/>
        <v>_</v>
      </c>
    </row>
    <row r="440" spans="8:8">
      <c r="H440" s="63" t="str">
        <f t="shared" si="6"/>
        <v>_</v>
      </c>
    </row>
    <row r="441" spans="8:8">
      <c r="H441" s="63" t="str">
        <f t="shared" si="6"/>
        <v>_</v>
      </c>
    </row>
    <row r="442" spans="8:8">
      <c r="H442" s="63" t="str">
        <f t="shared" si="6"/>
        <v>_</v>
      </c>
    </row>
    <row r="443" spans="8:8">
      <c r="H443" s="63" t="str">
        <f t="shared" si="6"/>
        <v>_</v>
      </c>
    </row>
    <row r="444" spans="8:8">
      <c r="H444" s="63" t="str">
        <f t="shared" si="6"/>
        <v>_</v>
      </c>
    </row>
    <row r="445" spans="8:8">
      <c r="H445" s="63" t="str">
        <f t="shared" si="6"/>
        <v>_</v>
      </c>
    </row>
    <row r="446" spans="8:8">
      <c r="H446" s="63" t="str">
        <f t="shared" si="6"/>
        <v>_</v>
      </c>
    </row>
    <row r="447" spans="8:8">
      <c r="H447" s="63" t="str">
        <f t="shared" si="6"/>
        <v>_</v>
      </c>
    </row>
    <row r="448" spans="8:8">
      <c r="H448" s="63" t="str">
        <f t="shared" si="6"/>
        <v>_</v>
      </c>
    </row>
    <row r="449" spans="8:8">
      <c r="H449" s="63" t="str">
        <f t="shared" si="6"/>
        <v>_</v>
      </c>
    </row>
    <row r="450" spans="8:8">
      <c r="H450" s="63" t="str">
        <f t="shared" si="6"/>
        <v>_</v>
      </c>
    </row>
    <row r="451" spans="8:8">
      <c r="H451" s="63" t="str">
        <f t="shared" ref="H451:H514" si="7">IF(OR(MID(A451,6,10)="NASPP",MID(A451,6,10)="RASPP"),"RNASPP",IF(OR(MID(A451,6,10)="NSFAP",MID(A451,6,10)="RSPOA"),"RNSPOA",IF(OR(A451="ULGALLOC",A451="ULSPOOL"),A451,IF(MID(A451,6,5)="ANSSP","ASSP1",MID(A451,6,10)))))&amp;"_"&amp;B451</f>
        <v>_</v>
      </c>
    </row>
    <row r="452" spans="8:8">
      <c r="H452" s="63" t="str">
        <f t="shared" si="7"/>
        <v>_</v>
      </c>
    </row>
    <row r="453" spans="8:8">
      <c r="H453" s="63" t="str">
        <f t="shared" si="7"/>
        <v>_</v>
      </c>
    </row>
    <row r="454" spans="8:8">
      <c r="H454" s="63" t="str">
        <f t="shared" si="7"/>
        <v>_</v>
      </c>
    </row>
    <row r="455" spans="8:8">
      <c r="H455" s="63" t="str">
        <f t="shared" si="7"/>
        <v>_</v>
      </c>
    </row>
    <row r="456" spans="8:8">
      <c r="H456" s="63" t="str">
        <f t="shared" si="7"/>
        <v>_</v>
      </c>
    </row>
    <row r="457" spans="8:8">
      <c r="H457" s="63" t="str">
        <f t="shared" si="7"/>
        <v>_</v>
      </c>
    </row>
    <row r="458" spans="8:8">
      <c r="H458" s="63" t="str">
        <f t="shared" si="7"/>
        <v>_</v>
      </c>
    </row>
    <row r="459" spans="8:8">
      <c r="H459" s="63" t="str">
        <f t="shared" si="7"/>
        <v>_</v>
      </c>
    </row>
    <row r="460" spans="8:8">
      <c r="H460" s="63" t="str">
        <f t="shared" si="7"/>
        <v>_</v>
      </c>
    </row>
    <row r="461" spans="8:8">
      <c r="H461" s="63" t="str">
        <f t="shared" si="7"/>
        <v>_</v>
      </c>
    </row>
    <row r="462" spans="8:8">
      <c r="H462" s="63" t="str">
        <f t="shared" si="7"/>
        <v>_</v>
      </c>
    </row>
    <row r="463" spans="8:8">
      <c r="H463" s="63" t="str">
        <f t="shared" si="7"/>
        <v>_</v>
      </c>
    </row>
    <row r="464" spans="8:8">
      <c r="H464" s="63" t="str">
        <f t="shared" si="7"/>
        <v>_</v>
      </c>
    </row>
    <row r="465" spans="8:8">
      <c r="H465" s="63" t="str">
        <f t="shared" si="7"/>
        <v>_</v>
      </c>
    </row>
    <row r="466" spans="8:8">
      <c r="H466" s="63" t="str">
        <f t="shared" si="7"/>
        <v>_</v>
      </c>
    </row>
    <row r="467" spans="8:8">
      <c r="H467" s="63" t="str">
        <f t="shared" si="7"/>
        <v>_</v>
      </c>
    </row>
    <row r="468" spans="8:8">
      <c r="H468" s="63" t="str">
        <f t="shared" si="7"/>
        <v>_</v>
      </c>
    </row>
    <row r="469" spans="8:8">
      <c r="H469" s="63" t="str">
        <f t="shared" si="7"/>
        <v>_</v>
      </c>
    </row>
    <row r="470" spans="8:8">
      <c r="H470" s="63" t="str">
        <f t="shared" si="7"/>
        <v>_</v>
      </c>
    </row>
    <row r="471" spans="8:8">
      <c r="H471" s="63" t="str">
        <f t="shared" si="7"/>
        <v>_</v>
      </c>
    </row>
    <row r="472" spans="8:8">
      <c r="H472" s="63" t="str">
        <f t="shared" si="7"/>
        <v>_</v>
      </c>
    </row>
    <row r="473" spans="8:8">
      <c r="H473" s="63" t="str">
        <f t="shared" si="7"/>
        <v>_</v>
      </c>
    </row>
    <row r="474" spans="8:8">
      <c r="H474" s="63" t="str">
        <f t="shared" si="7"/>
        <v>_</v>
      </c>
    </row>
    <row r="475" spans="8:8">
      <c r="H475" s="63" t="str">
        <f t="shared" si="7"/>
        <v>_</v>
      </c>
    </row>
    <row r="476" spans="8:8">
      <c r="H476" s="63" t="str">
        <f t="shared" si="7"/>
        <v>_</v>
      </c>
    </row>
    <row r="477" spans="8:8">
      <c r="H477" s="63" t="str">
        <f t="shared" si="7"/>
        <v>_</v>
      </c>
    </row>
    <row r="478" spans="8:8">
      <c r="H478" s="63" t="str">
        <f t="shared" si="7"/>
        <v>_</v>
      </c>
    </row>
    <row r="479" spans="8:8">
      <c r="H479" s="63" t="str">
        <f t="shared" si="7"/>
        <v>_</v>
      </c>
    </row>
    <row r="480" spans="8:8">
      <c r="H480" s="63" t="str">
        <f t="shared" si="7"/>
        <v>_</v>
      </c>
    </row>
    <row r="481" spans="8:8">
      <c r="H481" s="63" t="str">
        <f t="shared" si="7"/>
        <v>_</v>
      </c>
    </row>
    <row r="482" spans="8:8">
      <c r="H482" s="63" t="str">
        <f t="shared" si="7"/>
        <v>_</v>
      </c>
    </row>
    <row r="483" spans="8:8">
      <c r="H483" s="63" t="str">
        <f t="shared" si="7"/>
        <v>_</v>
      </c>
    </row>
    <row r="484" spans="8:8">
      <c r="H484" s="63" t="str">
        <f t="shared" si="7"/>
        <v>_</v>
      </c>
    </row>
    <row r="485" spans="8:8">
      <c r="H485" s="63" t="str">
        <f t="shared" si="7"/>
        <v>_</v>
      </c>
    </row>
    <row r="486" spans="8:8">
      <c r="H486" s="63" t="str">
        <f t="shared" si="7"/>
        <v>_</v>
      </c>
    </row>
    <row r="487" spans="8:8">
      <c r="H487" s="63" t="str">
        <f t="shared" si="7"/>
        <v>_</v>
      </c>
    </row>
    <row r="488" spans="8:8">
      <c r="H488" s="63" t="str">
        <f t="shared" si="7"/>
        <v>_</v>
      </c>
    </row>
    <row r="489" spans="8:8">
      <c r="H489" s="63" t="str">
        <f t="shared" si="7"/>
        <v>_</v>
      </c>
    </row>
    <row r="490" spans="8:8">
      <c r="H490" s="63" t="str">
        <f t="shared" si="7"/>
        <v>_</v>
      </c>
    </row>
    <row r="491" spans="8:8">
      <c r="H491" s="63" t="str">
        <f t="shared" si="7"/>
        <v>_</v>
      </c>
    </row>
    <row r="492" spans="8:8">
      <c r="H492" s="63" t="str">
        <f t="shared" si="7"/>
        <v>_</v>
      </c>
    </row>
    <row r="493" spans="8:8">
      <c r="H493" s="63" t="str">
        <f t="shared" si="7"/>
        <v>_</v>
      </c>
    </row>
    <row r="494" spans="8:8">
      <c r="H494" s="63" t="str">
        <f t="shared" si="7"/>
        <v>_</v>
      </c>
    </row>
    <row r="495" spans="8:8">
      <c r="H495" s="63" t="str">
        <f t="shared" si="7"/>
        <v>_</v>
      </c>
    </row>
    <row r="496" spans="8:8">
      <c r="H496" s="63" t="str">
        <f t="shared" si="7"/>
        <v>_</v>
      </c>
    </row>
    <row r="497" spans="8:8">
      <c r="H497" s="63" t="str">
        <f t="shared" si="7"/>
        <v>_</v>
      </c>
    </row>
    <row r="498" spans="8:8">
      <c r="H498" s="63" t="str">
        <f t="shared" si="7"/>
        <v>_</v>
      </c>
    </row>
    <row r="499" spans="8:8">
      <c r="H499" s="63" t="str">
        <f t="shared" si="7"/>
        <v>_</v>
      </c>
    </row>
    <row r="500" spans="8:8">
      <c r="H500" s="63" t="str">
        <f t="shared" si="7"/>
        <v>_</v>
      </c>
    </row>
    <row r="501" spans="8:8">
      <c r="H501" s="63" t="str">
        <f t="shared" si="7"/>
        <v>_</v>
      </c>
    </row>
    <row r="502" spans="8:8">
      <c r="H502" s="63" t="str">
        <f t="shared" si="7"/>
        <v>_</v>
      </c>
    </row>
    <row r="503" spans="8:8">
      <c r="H503" s="63" t="str">
        <f t="shared" si="7"/>
        <v>_</v>
      </c>
    </row>
    <row r="504" spans="8:8">
      <c r="H504" s="63" t="str">
        <f t="shared" si="7"/>
        <v>_</v>
      </c>
    </row>
    <row r="505" spans="8:8">
      <c r="H505" s="63" t="str">
        <f t="shared" si="7"/>
        <v>_</v>
      </c>
    </row>
    <row r="506" spans="8:8">
      <c r="H506" s="63" t="str">
        <f t="shared" si="7"/>
        <v>_</v>
      </c>
    </row>
    <row r="507" spans="8:8">
      <c r="H507" s="63" t="str">
        <f t="shared" si="7"/>
        <v>_</v>
      </c>
    </row>
    <row r="508" spans="8:8">
      <c r="H508" s="63" t="str">
        <f t="shared" si="7"/>
        <v>_</v>
      </c>
    </row>
    <row r="509" spans="8:8">
      <c r="H509" s="63" t="str">
        <f t="shared" si="7"/>
        <v>_</v>
      </c>
    </row>
    <row r="510" spans="8:8">
      <c r="H510" s="63" t="str">
        <f t="shared" si="7"/>
        <v>_</v>
      </c>
    </row>
    <row r="511" spans="8:8">
      <c r="H511" s="63" t="str">
        <f t="shared" si="7"/>
        <v>_</v>
      </c>
    </row>
    <row r="512" spans="8:8">
      <c r="H512" s="63" t="str">
        <f t="shared" si="7"/>
        <v>_</v>
      </c>
    </row>
    <row r="513" spans="8:8">
      <c r="H513" s="63" t="str">
        <f t="shared" si="7"/>
        <v>_</v>
      </c>
    </row>
    <row r="514" spans="8:8">
      <c r="H514" s="63" t="str">
        <f t="shared" si="7"/>
        <v>_</v>
      </c>
    </row>
    <row r="515" spans="8:8">
      <c r="H515" s="63" t="str">
        <f t="shared" ref="H515:H578" si="8">IF(OR(MID(A515,6,10)="NASPP",MID(A515,6,10)="RASPP"),"RNASPP",IF(OR(MID(A515,6,10)="NSFAP",MID(A515,6,10)="RSPOA"),"RNSPOA",IF(OR(A515="ULGALLOC",A515="ULSPOOL"),A515,IF(MID(A515,6,5)="ANSSP","ASSP1",MID(A515,6,10)))))&amp;"_"&amp;B515</f>
        <v>_</v>
      </c>
    </row>
    <row r="516" spans="8:8">
      <c r="H516" s="63" t="str">
        <f t="shared" si="8"/>
        <v>_</v>
      </c>
    </row>
    <row r="517" spans="8:8">
      <c r="H517" s="63" t="str">
        <f t="shared" si="8"/>
        <v>_</v>
      </c>
    </row>
    <row r="518" spans="8:8">
      <c r="H518" s="63" t="str">
        <f t="shared" si="8"/>
        <v>_</v>
      </c>
    </row>
    <row r="519" spans="8:8">
      <c r="H519" s="63" t="str">
        <f t="shared" si="8"/>
        <v>_</v>
      </c>
    </row>
    <row r="520" spans="8:8">
      <c r="H520" s="63" t="str">
        <f t="shared" si="8"/>
        <v>_</v>
      </c>
    </row>
    <row r="521" spans="8:8">
      <c r="H521" s="63" t="str">
        <f t="shared" si="8"/>
        <v>_</v>
      </c>
    </row>
    <row r="522" spans="8:8">
      <c r="H522" s="63" t="str">
        <f t="shared" si="8"/>
        <v>_</v>
      </c>
    </row>
    <row r="523" spans="8:8">
      <c r="H523" s="63" t="str">
        <f t="shared" si="8"/>
        <v>_</v>
      </c>
    </row>
    <row r="524" spans="8:8">
      <c r="H524" s="63" t="str">
        <f t="shared" si="8"/>
        <v>_</v>
      </c>
    </row>
    <row r="525" spans="8:8">
      <c r="H525" s="63" t="str">
        <f t="shared" si="8"/>
        <v>_</v>
      </c>
    </row>
    <row r="526" spans="8:8">
      <c r="H526" s="63" t="str">
        <f t="shared" si="8"/>
        <v>_</v>
      </c>
    </row>
    <row r="527" spans="8:8">
      <c r="H527" s="63" t="str">
        <f t="shared" si="8"/>
        <v>_</v>
      </c>
    </row>
    <row r="528" spans="8:8">
      <c r="H528" s="63" t="str">
        <f t="shared" si="8"/>
        <v>_</v>
      </c>
    </row>
    <row r="529" spans="8:8">
      <c r="H529" s="63" t="str">
        <f t="shared" si="8"/>
        <v>_</v>
      </c>
    </row>
    <row r="530" spans="8:8">
      <c r="H530" s="63" t="str">
        <f t="shared" si="8"/>
        <v>_</v>
      </c>
    </row>
    <row r="531" spans="8:8">
      <c r="H531" s="63" t="str">
        <f t="shared" si="8"/>
        <v>_</v>
      </c>
    </row>
    <row r="532" spans="8:8">
      <c r="H532" s="63" t="str">
        <f t="shared" si="8"/>
        <v>_</v>
      </c>
    </row>
    <row r="533" spans="8:8">
      <c r="H533" s="63" t="str">
        <f t="shared" si="8"/>
        <v>_</v>
      </c>
    </row>
    <row r="534" spans="8:8">
      <c r="H534" s="63" t="str">
        <f t="shared" si="8"/>
        <v>_</v>
      </c>
    </row>
    <row r="535" spans="8:8">
      <c r="H535" s="63" t="str">
        <f t="shared" si="8"/>
        <v>_</v>
      </c>
    </row>
    <row r="536" spans="8:8">
      <c r="H536" s="63" t="str">
        <f t="shared" si="8"/>
        <v>_</v>
      </c>
    </row>
    <row r="537" spans="8:8">
      <c r="H537" s="63" t="str">
        <f t="shared" si="8"/>
        <v>_</v>
      </c>
    </row>
    <row r="538" spans="8:8">
      <c r="H538" s="63" t="str">
        <f t="shared" si="8"/>
        <v>_</v>
      </c>
    </row>
    <row r="539" spans="8:8">
      <c r="H539" s="63" t="str">
        <f t="shared" si="8"/>
        <v>_</v>
      </c>
    </row>
    <row r="540" spans="8:8">
      <c r="H540" s="63" t="str">
        <f t="shared" si="8"/>
        <v>_</v>
      </c>
    </row>
    <row r="541" spans="8:8">
      <c r="H541" s="63" t="str">
        <f t="shared" si="8"/>
        <v>_</v>
      </c>
    </row>
    <row r="542" spans="8:8">
      <c r="H542" s="63" t="str">
        <f t="shared" si="8"/>
        <v>_</v>
      </c>
    </row>
    <row r="543" spans="8:8">
      <c r="H543" s="63" t="str">
        <f t="shared" si="8"/>
        <v>_</v>
      </c>
    </row>
    <row r="544" spans="8:8">
      <c r="H544" s="63" t="str">
        <f t="shared" si="8"/>
        <v>_</v>
      </c>
    </row>
    <row r="545" spans="8:8">
      <c r="H545" s="63" t="str">
        <f t="shared" si="8"/>
        <v>_</v>
      </c>
    </row>
    <row r="546" spans="8:8">
      <c r="H546" s="63" t="str">
        <f t="shared" si="8"/>
        <v>_</v>
      </c>
    </row>
    <row r="547" spans="8:8">
      <c r="H547" s="63" t="str">
        <f t="shared" si="8"/>
        <v>_</v>
      </c>
    </row>
    <row r="548" spans="8:8">
      <c r="H548" s="63" t="str">
        <f t="shared" si="8"/>
        <v>_</v>
      </c>
    </row>
    <row r="549" spans="8:8">
      <c r="H549" s="63" t="str">
        <f t="shared" si="8"/>
        <v>_</v>
      </c>
    </row>
    <row r="550" spans="8:8">
      <c r="H550" s="63" t="str">
        <f t="shared" si="8"/>
        <v>_</v>
      </c>
    </row>
    <row r="551" spans="8:8">
      <c r="H551" s="63" t="str">
        <f t="shared" si="8"/>
        <v>_</v>
      </c>
    </row>
    <row r="552" spans="8:8">
      <c r="H552" s="63" t="str">
        <f t="shared" si="8"/>
        <v>_</v>
      </c>
    </row>
    <row r="553" spans="8:8">
      <c r="H553" s="63" t="str">
        <f t="shared" si="8"/>
        <v>_</v>
      </c>
    </row>
    <row r="554" spans="8:8">
      <c r="H554" s="63" t="str">
        <f t="shared" si="8"/>
        <v>_</v>
      </c>
    </row>
    <row r="555" spans="8:8">
      <c r="H555" s="63" t="str">
        <f t="shared" si="8"/>
        <v>_</v>
      </c>
    </row>
    <row r="556" spans="8:8">
      <c r="H556" s="63" t="str">
        <f t="shared" si="8"/>
        <v>_</v>
      </c>
    </row>
    <row r="557" spans="8:8">
      <c r="H557" s="63" t="str">
        <f t="shared" si="8"/>
        <v>_</v>
      </c>
    </row>
    <row r="558" spans="8:8">
      <c r="H558" s="63" t="str">
        <f t="shared" si="8"/>
        <v>_</v>
      </c>
    </row>
    <row r="559" spans="8:8">
      <c r="H559" s="63" t="str">
        <f t="shared" si="8"/>
        <v>_</v>
      </c>
    </row>
    <row r="560" spans="8:8">
      <c r="H560" s="63" t="str">
        <f t="shared" si="8"/>
        <v>_</v>
      </c>
    </row>
    <row r="561" spans="8:8">
      <c r="H561" s="63" t="str">
        <f t="shared" si="8"/>
        <v>_</v>
      </c>
    </row>
    <row r="562" spans="8:8">
      <c r="H562" s="63" t="str">
        <f t="shared" si="8"/>
        <v>_</v>
      </c>
    </row>
    <row r="563" spans="8:8">
      <c r="H563" s="63" t="str">
        <f t="shared" si="8"/>
        <v>_</v>
      </c>
    </row>
    <row r="564" spans="8:8">
      <c r="H564" s="63" t="str">
        <f t="shared" si="8"/>
        <v>_</v>
      </c>
    </row>
    <row r="565" spans="8:8">
      <c r="H565" s="63" t="str">
        <f t="shared" si="8"/>
        <v>_</v>
      </c>
    </row>
    <row r="566" spans="8:8">
      <c r="H566" s="63" t="str">
        <f t="shared" si="8"/>
        <v>_</v>
      </c>
    </row>
    <row r="567" spans="8:8">
      <c r="H567" s="63" t="str">
        <f t="shared" si="8"/>
        <v>_</v>
      </c>
    </row>
    <row r="568" spans="8:8">
      <c r="H568" s="63" t="str">
        <f t="shared" si="8"/>
        <v>_</v>
      </c>
    </row>
    <row r="569" spans="8:8">
      <c r="H569" s="63" t="str">
        <f t="shared" si="8"/>
        <v>_</v>
      </c>
    </row>
    <row r="570" spans="8:8">
      <c r="H570" s="63" t="str">
        <f t="shared" si="8"/>
        <v>_</v>
      </c>
    </row>
    <row r="571" spans="8:8">
      <c r="H571" s="63" t="str">
        <f t="shared" si="8"/>
        <v>_</v>
      </c>
    </row>
    <row r="572" spans="8:8">
      <c r="H572" s="63" t="str">
        <f t="shared" si="8"/>
        <v>_</v>
      </c>
    </row>
    <row r="573" spans="8:8">
      <c r="H573" s="63" t="str">
        <f t="shared" si="8"/>
        <v>_</v>
      </c>
    </row>
    <row r="574" spans="8:8">
      <c r="H574" s="63" t="str">
        <f t="shared" si="8"/>
        <v>_</v>
      </c>
    </row>
    <row r="575" spans="8:8">
      <c r="H575" s="63" t="str">
        <f t="shared" si="8"/>
        <v>_</v>
      </c>
    </row>
    <row r="576" spans="8:8">
      <c r="H576" s="63" t="str">
        <f t="shared" si="8"/>
        <v>_</v>
      </c>
    </row>
    <row r="577" spans="8:8">
      <c r="H577" s="63" t="str">
        <f t="shared" si="8"/>
        <v>_</v>
      </c>
    </row>
    <row r="578" spans="8:8">
      <c r="H578" s="63" t="str">
        <f t="shared" si="8"/>
        <v>_</v>
      </c>
    </row>
    <row r="579" spans="8:8">
      <c r="H579" s="63" t="str">
        <f t="shared" ref="H579:H642" si="9">IF(OR(MID(A579,6,10)="NASPP",MID(A579,6,10)="RASPP"),"RNASPP",IF(OR(MID(A579,6,10)="NSFAP",MID(A579,6,10)="RSPOA"),"RNSPOA",IF(OR(A579="ULGALLOC",A579="ULSPOOL"),A579,IF(MID(A579,6,5)="ANSSP","ASSP1",MID(A579,6,10)))))&amp;"_"&amp;B579</f>
        <v>_</v>
      </c>
    </row>
    <row r="580" spans="8:8">
      <c r="H580" s="63" t="str">
        <f t="shared" si="9"/>
        <v>_</v>
      </c>
    </row>
    <row r="581" spans="8:8">
      <c r="H581" s="63" t="str">
        <f t="shared" si="9"/>
        <v>_</v>
      </c>
    </row>
    <row r="582" spans="8:8">
      <c r="H582" s="63" t="str">
        <f t="shared" si="9"/>
        <v>_</v>
      </c>
    </row>
    <row r="583" spans="8:8">
      <c r="H583" s="63" t="str">
        <f t="shared" si="9"/>
        <v>_</v>
      </c>
    </row>
    <row r="584" spans="8:8">
      <c r="H584" s="63" t="str">
        <f t="shared" si="9"/>
        <v>_</v>
      </c>
    </row>
    <row r="585" spans="8:8">
      <c r="H585" s="63" t="str">
        <f t="shared" si="9"/>
        <v>_</v>
      </c>
    </row>
    <row r="586" spans="8:8">
      <c r="H586" s="63" t="str">
        <f t="shared" si="9"/>
        <v>_</v>
      </c>
    </row>
    <row r="587" spans="8:8">
      <c r="H587" s="63" t="str">
        <f t="shared" si="9"/>
        <v>_</v>
      </c>
    </row>
    <row r="588" spans="8:8">
      <c r="H588" s="63" t="str">
        <f t="shared" si="9"/>
        <v>_</v>
      </c>
    </row>
    <row r="589" spans="8:8">
      <c r="H589" s="63" t="str">
        <f t="shared" si="9"/>
        <v>_</v>
      </c>
    </row>
    <row r="590" spans="8:8">
      <c r="H590" s="63" t="str">
        <f t="shared" si="9"/>
        <v>_</v>
      </c>
    </row>
    <row r="591" spans="8:8">
      <c r="H591" s="63" t="str">
        <f t="shared" si="9"/>
        <v>_</v>
      </c>
    </row>
    <row r="592" spans="8:8">
      <c r="H592" s="63" t="str">
        <f t="shared" si="9"/>
        <v>_</v>
      </c>
    </row>
    <row r="593" spans="8:8">
      <c r="H593" s="63" t="str">
        <f t="shared" si="9"/>
        <v>_</v>
      </c>
    </row>
    <row r="594" spans="8:8">
      <c r="H594" s="63" t="str">
        <f t="shared" si="9"/>
        <v>_</v>
      </c>
    </row>
    <row r="595" spans="8:8">
      <c r="H595" s="63" t="str">
        <f t="shared" si="9"/>
        <v>_</v>
      </c>
    </row>
    <row r="596" spans="8:8">
      <c r="H596" s="63" t="str">
        <f t="shared" si="9"/>
        <v>_</v>
      </c>
    </row>
    <row r="597" spans="8:8">
      <c r="H597" s="63" t="str">
        <f t="shared" si="9"/>
        <v>_</v>
      </c>
    </row>
    <row r="598" spans="8:8">
      <c r="H598" s="63" t="str">
        <f t="shared" si="9"/>
        <v>_</v>
      </c>
    </row>
    <row r="599" spans="8:8">
      <c r="H599" s="63" t="str">
        <f t="shared" si="9"/>
        <v>_</v>
      </c>
    </row>
    <row r="600" spans="8:8">
      <c r="H600" s="63" t="str">
        <f t="shared" si="9"/>
        <v>_</v>
      </c>
    </row>
    <row r="601" spans="8:8">
      <c r="H601" s="63" t="str">
        <f t="shared" si="9"/>
        <v>_</v>
      </c>
    </row>
    <row r="602" spans="8:8">
      <c r="H602" s="63" t="str">
        <f t="shared" si="9"/>
        <v>_</v>
      </c>
    </row>
    <row r="603" spans="8:8">
      <c r="H603" s="63" t="str">
        <f t="shared" si="9"/>
        <v>_</v>
      </c>
    </row>
    <row r="604" spans="8:8">
      <c r="H604" s="63" t="str">
        <f t="shared" si="9"/>
        <v>_</v>
      </c>
    </row>
    <row r="605" spans="8:8">
      <c r="H605" s="63" t="str">
        <f t="shared" si="9"/>
        <v>_</v>
      </c>
    </row>
    <row r="606" spans="8:8">
      <c r="H606" s="63" t="str">
        <f t="shared" si="9"/>
        <v>_</v>
      </c>
    </row>
    <row r="607" spans="8:8">
      <c r="H607" s="63" t="str">
        <f t="shared" si="9"/>
        <v>_</v>
      </c>
    </row>
    <row r="608" spans="8:8">
      <c r="H608" s="63" t="str">
        <f t="shared" si="9"/>
        <v>_</v>
      </c>
    </row>
    <row r="609" spans="8:8">
      <c r="H609" s="63" t="str">
        <f t="shared" si="9"/>
        <v>_</v>
      </c>
    </row>
    <row r="610" spans="8:8">
      <c r="H610" s="63" t="str">
        <f t="shared" si="9"/>
        <v>_</v>
      </c>
    </row>
    <row r="611" spans="8:8">
      <c r="H611" s="63" t="str">
        <f t="shared" si="9"/>
        <v>_</v>
      </c>
    </row>
    <row r="612" spans="8:8">
      <c r="H612" s="63" t="str">
        <f t="shared" si="9"/>
        <v>_</v>
      </c>
    </row>
    <row r="613" spans="8:8">
      <c r="H613" s="63" t="str">
        <f t="shared" si="9"/>
        <v>_</v>
      </c>
    </row>
    <row r="614" spans="8:8">
      <c r="H614" s="63" t="str">
        <f t="shared" si="9"/>
        <v>_</v>
      </c>
    </row>
    <row r="615" spans="8:8">
      <c r="H615" s="63" t="str">
        <f t="shared" si="9"/>
        <v>_</v>
      </c>
    </row>
    <row r="616" spans="8:8">
      <c r="H616" s="63" t="str">
        <f t="shared" si="9"/>
        <v>_</v>
      </c>
    </row>
    <row r="617" spans="8:8">
      <c r="H617" s="63" t="str">
        <f t="shared" si="9"/>
        <v>_</v>
      </c>
    </row>
    <row r="618" spans="8:8">
      <c r="H618" s="63" t="str">
        <f t="shared" si="9"/>
        <v>_</v>
      </c>
    </row>
    <row r="619" spans="8:8">
      <c r="H619" s="63" t="str">
        <f t="shared" si="9"/>
        <v>_</v>
      </c>
    </row>
    <row r="620" spans="8:8">
      <c r="H620" s="63" t="str">
        <f t="shared" si="9"/>
        <v>_</v>
      </c>
    </row>
    <row r="621" spans="8:8">
      <c r="H621" s="63" t="str">
        <f t="shared" si="9"/>
        <v>_</v>
      </c>
    </row>
    <row r="622" spans="8:8">
      <c r="H622" s="63" t="str">
        <f t="shared" si="9"/>
        <v>_</v>
      </c>
    </row>
    <row r="623" spans="8:8">
      <c r="H623" s="63" t="str">
        <f t="shared" si="9"/>
        <v>_</v>
      </c>
    </row>
    <row r="624" spans="8:8">
      <c r="H624" s="63" t="str">
        <f t="shared" si="9"/>
        <v>_</v>
      </c>
    </row>
    <row r="625" spans="8:8">
      <c r="H625" s="63" t="str">
        <f t="shared" si="9"/>
        <v>_</v>
      </c>
    </row>
    <row r="626" spans="8:8">
      <c r="H626" s="63" t="str">
        <f t="shared" si="9"/>
        <v>_</v>
      </c>
    </row>
    <row r="627" spans="8:8">
      <c r="H627" s="63" t="str">
        <f t="shared" si="9"/>
        <v>_</v>
      </c>
    </row>
    <row r="628" spans="8:8">
      <c r="H628" s="63" t="str">
        <f t="shared" si="9"/>
        <v>_</v>
      </c>
    </row>
    <row r="629" spans="8:8">
      <c r="H629" s="63" t="str">
        <f t="shared" si="9"/>
        <v>_</v>
      </c>
    </row>
    <row r="630" spans="8:8">
      <c r="H630" s="63" t="str">
        <f t="shared" si="9"/>
        <v>_</v>
      </c>
    </row>
    <row r="631" spans="8:8">
      <c r="H631" s="63" t="str">
        <f t="shared" si="9"/>
        <v>_</v>
      </c>
    </row>
    <row r="632" spans="8:8">
      <c r="H632" s="63" t="str">
        <f t="shared" si="9"/>
        <v>_</v>
      </c>
    </row>
    <row r="633" spans="8:8">
      <c r="H633" s="63" t="str">
        <f t="shared" si="9"/>
        <v>_</v>
      </c>
    </row>
    <row r="634" spans="8:8">
      <c r="H634" s="63" t="str">
        <f t="shared" si="9"/>
        <v>_</v>
      </c>
    </row>
    <row r="635" spans="8:8">
      <c r="H635" s="63" t="str">
        <f t="shared" si="9"/>
        <v>_</v>
      </c>
    </row>
    <row r="636" spans="8:8">
      <c r="H636" s="63" t="str">
        <f t="shared" si="9"/>
        <v>_</v>
      </c>
    </row>
    <row r="637" spans="8:8">
      <c r="H637" s="63" t="str">
        <f t="shared" si="9"/>
        <v>_</v>
      </c>
    </row>
    <row r="638" spans="8:8">
      <c r="H638" s="63" t="str">
        <f t="shared" si="9"/>
        <v>_</v>
      </c>
    </row>
    <row r="639" spans="8:8">
      <c r="H639" s="63" t="str">
        <f t="shared" si="9"/>
        <v>_</v>
      </c>
    </row>
    <row r="640" spans="8:8">
      <c r="H640" s="63" t="str">
        <f t="shared" si="9"/>
        <v>_</v>
      </c>
    </row>
    <row r="641" spans="8:8">
      <c r="H641" s="63" t="str">
        <f t="shared" si="9"/>
        <v>_</v>
      </c>
    </row>
    <row r="642" spans="8:8">
      <c r="H642" s="63" t="str">
        <f t="shared" si="9"/>
        <v>_</v>
      </c>
    </row>
    <row r="643" spans="8:8">
      <c r="H643" s="63" t="str">
        <f t="shared" ref="H643:H706" si="10">IF(OR(MID(A643,6,10)="NASPP",MID(A643,6,10)="RASPP"),"RNASPP",IF(OR(MID(A643,6,10)="NSFAP",MID(A643,6,10)="RSPOA"),"RNSPOA",IF(OR(A643="ULGALLOC",A643="ULSPOOL"),A643,IF(MID(A643,6,5)="ANSSP","ASSP1",MID(A643,6,10)))))&amp;"_"&amp;B643</f>
        <v>_</v>
      </c>
    </row>
    <row r="644" spans="8:8">
      <c r="H644" s="63" t="str">
        <f t="shared" si="10"/>
        <v>_</v>
      </c>
    </row>
    <row r="645" spans="8:8">
      <c r="H645" s="63" t="str">
        <f t="shared" si="10"/>
        <v>_</v>
      </c>
    </row>
    <row r="646" spans="8:8">
      <c r="H646" s="63" t="str">
        <f t="shared" si="10"/>
        <v>_</v>
      </c>
    </row>
    <row r="647" spans="8:8">
      <c r="H647" s="63" t="str">
        <f t="shared" si="10"/>
        <v>_</v>
      </c>
    </row>
    <row r="648" spans="8:8">
      <c r="H648" s="63" t="str">
        <f t="shared" si="10"/>
        <v>_</v>
      </c>
    </row>
    <row r="649" spans="8:8">
      <c r="H649" s="63" t="str">
        <f t="shared" si="10"/>
        <v>_</v>
      </c>
    </row>
    <row r="650" spans="8:8">
      <c r="H650" s="63" t="str">
        <f t="shared" si="10"/>
        <v>_</v>
      </c>
    </row>
    <row r="651" spans="8:8">
      <c r="H651" s="63" t="str">
        <f t="shared" si="10"/>
        <v>_</v>
      </c>
    </row>
    <row r="652" spans="8:8">
      <c r="H652" s="63" t="str">
        <f t="shared" si="10"/>
        <v>_</v>
      </c>
    </row>
    <row r="653" spans="8:8">
      <c r="H653" s="63" t="str">
        <f t="shared" si="10"/>
        <v>_</v>
      </c>
    </row>
    <row r="654" spans="8:8">
      <c r="H654" s="63" t="str">
        <f t="shared" si="10"/>
        <v>_</v>
      </c>
    </row>
    <row r="655" spans="8:8">
      <c r="H655" s="63" t="str">
        <f t="shared" si="10"/>
        <v>_</v>
      </c>
    </row>
    <row r="656" spans="8:8">
      <c r="H656" s="63" t="str">
        <f t="shared" si="10"/>
        <v>_</v>
      </c>
    </row>
    <row r="657" spans="8:8">
      <c r="H657" s="63" t="str">
        <f t="shared" si="10"/>
        <v>_</v>
      </c>
    </row>
    <row r="658" spans="8:8">
      <c r="H658" s="63" t="str">
        <f t="shared" si="10"/>
        <v>_</v>
      </c>
    </row>
    <row r="659" spans="8:8">
      <c r="H659" s="63" t="str">
        <f t="shared" si="10"/>
        <v>_</v>
      </c>
    </row>
    <row r="660" spans="8:8">
      <c r="H660" s="63" t="str">
        <f t="shared" si="10"/>
        <v>_</v>
      </c>
    </row>
    <row r="661" spans="8:8">
      <c r="H661" s="63" t="str">
        <f t="shared" si="10"/>
        <v>_</v>
      </c>
    </row>
    <row r="662" spans="8:8">
      <c r="H662" s="63" t="str">
        <f t="shared" si="10"/>
        <v>_</v>
      </c>
    </row>
    <row r="663" spans="8:8">
      <c r="H663" s="63" t="str">
        <f t="shared" si="10"/>
        <v>_</v>
      </c>
    </row>
    <row r="664" spans="8:8">
      <c r="H664" s="63" t="str">
        <f t="shared" si="10"/>
        <v>_</v>
      </c>
    </row>
    <row r="665" spans="8:8">
      <c r="H665" s="63" t="str">
        <f t="shared" si="10"/>
        <v>_</v>
      </c>
    </row>
    <row r="666" spans="8:8">
      <c r="H666" s="63" t="str">
        <f t="shared" si="10"/>
        <v>_</v>
      </c>
    </row>
    <row r="667" spans="8:8">
      <c r="H667" s="63" t="str">
        <f t="shared" si="10"/>
        <v>_</v>
      </c>
    </row>
    <row r="668" spans="8:8">
      <c r="H668" s="63" t="str">
        <f t="shared" si="10"/>
        <v>_</v>
      </c>
    </row>
    <row r="669" spans="8:8">
      <c r="H669" s="63" t="str">
        <f t="shared" si="10"/>
        <v>_</v>
      </c>
    </row>
    <row r="670" spans="8:8">
      <c r="H670" s="63" t="str">
        <f t="shared" si="10"/>
        <v>_</v>
      </c>
    </row>
    <row r="671" spans="8:8">
      <c r="H671" s="63" t="str">
        <f t="shared" si="10"/>
        <v>_</v>
      </c>
    </row>
    <row r="672" spans="8:8">
      <c r="H672" s="63" t="str">
        <f t="shared" si="10"/>
        <v>_</v>
      </c>
    </row>
    <row r="673" spans="8:8">
      <c r="H673" s="63" t="str">
        <f t="shared" si="10"/>
        <v>_</v>
      </c>
    </row>
    <row r="674" spans="8:8">
      <c r="H674" s="63" t="str">
        <f t="shared" si="10"/>
        <v>_</v>
      </c>
    </row>
    <row r="675" spans="8:8">
      <c r="H675" s="63" t="str">
        <f t="shared" si="10"/>
        <v>_</v>
      </c>
    </row>
    <row r="676" spans="8:8">
      <c r="H676" s="63" t="str">
        <f t="shared" si="10"/>
        <v>_</v>
      </c>
    </row>
    <row r="677" spans="8:8">
      <c r="H677" s="63" t="str">
        <f t="shared" si="10"/>
        <v>_</v>
      </c>
    </row>
    <row r="678" spans="8:8">
      <c r="H678" s="63" t="str">
        <f t="shared" si="10"/>
        <v>_</v>
      </c>
    </row>
    <row r="679" spans="8:8">
      <c r="H679" s="63" t="str">
        <f t="shared" si="10"/>
        <v>_</v>
      </c>
    </row>
    <row r="680" spans="8:8">
      <c r="H680" s="63" t="str">
        <f t="shared" si="10"/>
        <v>_</v>
      </c>
    </row>
    <row r="681" spans="8:8">
      <c r="H681" s="63" t="str">
        <f t="shared" si="10"/>
        <v>_</v>
      </c>
    </row>
    <row r="682" spans="8:8">
      <c r="H682" s="63" t="str">
        <f t="shared" si="10"/>
        <v>_</v>
      </c>
    </row>
    <row r="683" spans="8:8">
      <c r="H683" s="63" t="str">
        <f t="shared" si="10"/>
        <v>_</v>
      </c>
    </row>
    <row r="684" spans="8:8">
      <c r="H684" s="63" t="str">
        <f t="shared" si="10"/>
        <v>_</v>
      </c>
    </row>
    <row r="685" spans="8:8">
      <c r="H685" s="63" t="str">
        <f t="shared" si="10"/>
        <v>_</v>
      </c>
    </row>
    <row r="686" spans="8:8">
      <c r="H686" s="63" t="str">
        <f t="shared" si="10"/>
        <v>_</v>
      </c>
    </row>
    <row r="687" spans="8:8">
      <c r="H687" s="63" t="str">
        <f t="shared" si="10"/>
        <v>_</v>
      </c>
    </row>
    <row r="688" spans="8:8">
      <c r="H688" s="63" t="str">
        <f t="shared" si="10"/>
        <v>_</v>
      </c>
    </row>
    <row r="689" spans="8:8">
      <c r="H689" s="63" t="str">
        <f t="shared" si="10"/>
        <v>_</v>
      </c>
    </row>
    <row r="690" spans="8:8">
      <c r="H690" s="63" t="str">
        <f t="shared" si="10"/>
        <v>_</v>
      </c>
    </row>
    <row r="691" spans="8:8">
      <c r="H691" s="63" t="str">
        <f t="shared" si="10"/>
        <v>_</v>
      </c>
    </row>
    <row r="692" spans="8:8">
      <c r="H692" s="63" t="str">
        <f t="shared" si="10"/>
        <v>_</v>
      </c>
    </row>
    <row r="693" spans="8:8">
      <c r="H693" s="63" t="str">
        <f t="shared" si="10"/>
        <v>_</v>
      </c>
    </row>
    <row r="694" spans="8:8">
      <c r="H694" s="63" t="str">
        <f t="shared" si="10"/>
        <v>_</v>
      </c>
    </row>
    <row r="695" spans="8:8">
      <c r="H695" s="63" t="str">
        <f t="shared" si="10"/>
        <v>_</v>
      </c>
    </row>
    <row r="696" spans="8:8">
      <c r="H696" s="63" t="str">
        <f t="shared" si="10"/>
        <v>_</v>
      </c>
    </row>
    <row r="697" spans="8:8">
      <c r="H697" s="63" t="str">
        <f t="shared" si="10"/>
        <v>_</v>
      </c>
    </row>
    <row r="698" spans="8:8">
      <c r="H698" s="63" t="str">
        <f t="shared" si="10"/>
        <v>_</v>
      </c>
    </row>
    <row r="699" spans="8:8">
      <c r="H699" s="63" t="str">
        <f t="shared" si="10"/>
        <v>_</v>
      </c>
    </row>
    <row r="700" spans="8:8">
      <c r="H700" s="63" t="str">
        <f t="shared" si="10"/>
        <v>_</v>
      </c>
    </row>
    <row r="701" spans="8:8">
      <c r="H701" s="63" t="str">
        <f t="shared" si="10"/>
        <v>_</v>
      </c>
    </row>
    <row r="702" spans="8:8">
      <c r="H702" s="63" t="str">
        <f t="shared" si="10"/>
        <v>_</v>
      </c>
    </row>
    <row r="703" spans="8:8">
      <c r="H703" s="63" t="str">
        <f t="shared" si="10"/>
        <v>_</v>
      </c>
    </row>
    <row r="704" spans="8:8">
      <c r="H704" s="63" t="str">
        <f t="shared" si="10"/>
        <v>_</v>
      </c>
    </row>
    <row r="705" spans="8:8">
      <c r="H705" s="63" t="str">
        <f t="shared" si="10"/>
        <v>_</v>
      </c>
    </row>
    <row r="706" spans="8:8">
      <c r="H706" s="63" t="str">
        <f t="shared" si="10"/>
        <v>_</v>
      </c>
    </row>
    <row r="707" spans="8:8">
      <c r="H707" s="63" t="str">
        <f t="shared" ref="H707:H770" si="11">IF(OR(MID(A707,6,10)="NASPP",MID(A707,6,10)="RASPP"),"RNASPP",IF(OR(MID(A707,6,10)="NSFAP",MID(A707,6,10)="RSPOA"),"RNSPOA",IF(OR(A707="ULGALLOC",A707="ULSPOOL"),A707,IF(MID(A707,6,5)="ANSSP","ASSP1",MID(A707,6,10)))))&amp;"_"&amp;B707</f>
        <v>_</v>
      </c>
    </row>
    <row r="708" spans="8:8">
      <c r="H708" s="63" t="str">
        <f t="shared" si="11"/>
        <v>_</v>
      </c>
    </row>
    <row r="709" spans="8:8">
      <c r="H709" s="63" t="str">
        <f t="shared" si="11"/>
        <v>_</v>
      </c>
    </row>
    <row r="710" spans="8:8">
      <c r="H710" s="63" t="str">
        <f t="shared" si="11"/>
        <v>_</v>
      </c>
    </row>
    <row r="711" spans="8:8">
      <c r="H711" s="63" t="str">
        <f t="shared" si="11"/>
        <v>_</v>
      </c>
    </row>
    <row r="712" spans="8:8">
      <c r="H712" s="63" t="str">
        <f t="shared" si="11"/>
        <v>_</v>
      </c>
    </row>
    <row r="713" spans="8:8">
      <c r="H713" s="63" t="str">
        <f t="shared" si="11"/>
        <v>_</v>
      </c>
    </row>
    <row r="714" spans="8:8">
      <c r="H714" s="63" t="str">
        <f t="shared" si="11"/>
        <v>_</v>
      </c>
    </row>
    <row r="715" spans="8:8">
      <c r="H715" s="63" t="str">
        <f t="shared" si="11"/>
        <v>_</v>
      </c>
    </row>
    <row r="716" spans="8:8">
      <c r="H716" s="63" t="str">
        <f t="shared" si="11"/>
        <v>_</v>
      </c>
    </row>
    <row r="717" spans="8:8">
      <c r="H717" s="63" t="str">
        <f t="shared" si="11"/>
        <v>_</v>
      </c>
    </row>
    <row r="718" spans="8:8">
      <c r="H718" s="63" t="str">
        <f t="shared" si="11"/>
        <v>_</v>
      </c>
    </row>
    <row r="719" spans="8:8">
      <c r="H719" s="63" t="str">
        <f t="shared" si="11"/>
        <v>_</v>
      </c>
    </row>
    <row r="720" spans="8:8">
      <c r="H720" s="63" t="str">
        <f t="shared" si="11"/>
        <v>_</v>
      </c>
    </row>
    <row r="721" spans="8:8">
      <c r="H721" s="63" t="str">
        <f t="shared" si="11"/>
        <v>_</v>
      </c>
    </row>
    <row r="722" spans="8:8">
      <c r="H722" s="63" t="str">
        <f t="shared" si="11"/>
        <v>_</v>
      </c>
    </row>
    <row r="723" spans="8:8">
      <c r="H723" s="63" t="str">
        <f t="shared" si="11"/>
        <v>_</v>
      </c>
    </row>
    <row r="724" spans="8:8">
      <c r="H724" s="63" t="str">
        <f t="shared" si="11"/>
        <v>_</v>
      </c>
    </row>
    <row r="725" spans="8:8">
      <c r="H725" s="63" t="str">
        <f t="shared" si="11"/>
        <v>_</v>
      </c>
    </row>
    <row r="726" spans="8:8">
      <c r="H726" s="63" t="str">
        <f t="shared" si="11"/>
        <v>_</v>
      </c>
    </row>
    <row r="727" spans="8:8">
      <c r="H727" s="63" t="str">
        <f t="shared" si="11"/>
        <v>_</v>
      </c>
    </row>
    <row r="728" spans="8:8">
      <c r="H728" s="63" t="str">
        <f t="shared" si="11"/>
        <v>_</v>
      </c>
    </row>
    <row r="729" spans="8:8">
      <c r="H729" s="63" t="str">
        <f t="shared" si="11"/>
        <v>_</v>
      </c>
    </row>
    <row r="730" spans="8:8">
      <c r="H730" s="63" t="str">
        <f t="shared" si="11"/>
        <v>_</v>
      </c>
    </row>
    <row r="731" spans="8:8">
      <c r="H731" s="63" t="str">
        <f t="shared" si="11"/>
        <v>_</v>
      </c>
    </row>
    <row r="732" spans="8:8">
      <c r="H732" s="63" t="str">
        <f t="shared" si="11"/>
        <v>_</v>
      </c>
    </row>
    <row r="733" spans="8:8">
      <c r="H733" s="63" t="str">
        <f t="shared" si="11"/>
        <v>_</v>
      </c>
    </row>
    <row r="734" spans="8:8">
      <c r="H734" s="63" t="str">
        <f t="shared" si="11"/>
        <v>_</v>
      </c>
    </row>
    <row r="735" spans="8:8">
      <c r="H735" s="63" t="str">
        <f t="shared" si="11"/>
        <v>_</v>
      </c>
    </row>
    <row r="736" spans="8:8">
      <c r="H736" s="63" t="str">
        <f t="shared" si="11"/>
        <v>_</v>
      </c>
    </row>
    <row r="737" spans="8:8">
      <c r="H737" s="63" t="str">
        <f t="shared" si="11"/>
        <v>_</v>
      </c>
    </row>
    <row r="738" spans="8:8">
      <c r="H738" s="63" t="str">
        <f t="shared" si="11"/>
        <v>_</v>
      </c>
    </row>
    <row r="739" spans="8:8">
      <c r="H739" s="63" t="str">
        <f t="shared" si="11"/>
        <v>_</v>
      </c>
    </row>
    <row r="740" spans="8:8">
      <c r="H740" s="63" t="str">
        <f t="shared" si="11"/>
        <v>_</v>
      </c>
    </row>
    <row r="741" spans="8:8">
      <c r="H741" s="63" t="str">
        <f t="shared" si="11"/>
        <v>_</v>
      </c>
    </row>
    <row r="742" spans="8:8">
      <c r="H742" s="63" t="str">
        <f t="shared" si="11"/>
        <v>_</v>
      </c>
    </row>
    <row r="743" spans="8:8">
      <c r="H743" s="63" t="str">
        <f t="shared" si="11"/>
        <v>_</v>
      </c>
    </row>
    <row r="744" spans="8:8">
      <c r="H744" s="63" t="str">
        <f t="shared" si="11"/>
        <v>_</v>
      </c>
    </row>
    <row r="745" spans="8:8">
      <c r="H745" s="63" t="str">
        <f t="shared" si="11"/>
        <v>_</v>
      </c>
    </row>
    <row r="746" spans="8:8">
      <c r="H746" s="63" t="str">
        <f t="shared" si="11"/>
        <v>_</v>
      </c>
    </row>
    <row r="747" spans="8:8">
      <c r="H747" s="63" t="str">
        <f t="shared" si="11"/>
        <v>_</v>
      </c>
    </row>
    <row r="748" spans="8:8">
      <c r="H748" s="63" t="str">
        <f t="shared" si="11"/>
        <v>_</v>
      </c>
    </row>
    <row r="749" spans="8:8">
      <c r="H749" s="63" t="str">
        <f t="shared" si="11"/>
        <v>_</v>
      </c>
    </row>
    <row r="750" spans="8:8">
      <c r="H750" s="63" t="str">
        <f t="shared" si="11"/>
        <v>_</v>
      </c>
    </row>
    <row r="751" spans="8:8">
      <c r="H751" s="63" t="str">
        <f t="shared" si="11"/>
        <v>_</v>
      </c>
    </row>
    <row r="752" spans="8:8">
      <c r="H752" s="63" t="str">
        <f t="shared" si="11"/>
        <v>_</v>
      </c>
    </row>
    <row r="753" spans="8:8">
      <c r="H753" s="63" t="str">
        <f t="shared" si="11"/>
        <v>_</v>
      </c>
    </row>
    <row r="754" spans="8:8">
      <c r="H754" s="63" t="str">
        <f t="shared" si="11"/>
        <v>_</v>
      </c>
    </row>
    <row r="755" spans="8:8">
      <c r="H755" s="63" t="str">
        <f t="shared" si="11"/>
        <v>_</v>
      </c>
    </row>
    <row r="756" spans="8:8">
      <c r="H756" s="63" t="str">
        <f t="shared" si="11"/>
        <v>_</v>
      </c>
    </row>
    <row r="757" spans="8:8">
      <c r="H757" s="63" t="str">
        <f t="shared" si="11"/>
        <v>_</v>
      </c>
    </row>
    <row r="758" spans="8:8">
      <c r="H758" s="63" t="str">
        <f t="shared" si="11"/>
        <v>_</v>
      </c>
    </row>
    <row r="759" spans="8:8">
      <c r="H759" s="63" t="str">
        <f t="shared" si="11"/>
        <v>_</v>
      </c>
    </row>
    <row r="760" spans="8:8">
      <c r="H760" s="63" t="str">
        <f t="shared" si="11"/>
        <v>_</v>
      </c>
    </row>
    <row r="761" spans="8:8">
      <c r="H761" s="63" t="str">
        <f t="shared" si="11"/>
        <v>_</v>
      </c>
    </row>
    <row r="762" spans="8:8">
      <c r="H762" s="63" t="str">
        <f t="shared" si="11"/>
        <v>_</v>
      </c>
    </row>
    <row r="763" spans="8:8">
      <c r="H763" s="63" t="str">
        <f t="shared" si="11"/>
        <v>_</v>
      </c>
    </row>
    <row r="764" spans="8:8">
      <c r="H764" s="63" t="str">
        <f t="shared" si="11"/>
        <v>_</v>
      </c>
    </row>
    <row r="765" spans="8:8">
      <c r="H765" s="63" t="str">
        <f t="shared" si="11"/>
        <v>_</v>
      </c>
    </row>
    <row r="766" spans="8:8">
      <c r="H766" s="63" t="str">
        <f t="shared" si="11"/>
        <v>_</v>
      </c>
    </row>
    <row r="767" spans="8:8">
      <c r="H767" s="63" t="str">
        <f t="shared" si="11"/>
        <v>_</v>
      </c>
    </row>
    <row r="768" spans="8:8">
      <c r="H768" s="63" t="str">
        <f t="shared" si="11"/>
        <v>_</v>
      </c>
    </row>
    <row r="769" spans="8:8">
      <c r="H769" s="63" t="str">
        <f t="shared" si="11"/>
        <v>_</v>
      </c>
    </row>
    <row r="770" spans="8:8">
      <c r="H770" s="63" t="str">
        <f t="shared" si="11"/>
        <v>_</v>
      </c>
    </row>
    <row r="771" spans="8:8">
      <c r="H771" s="63" t="str">
        <f t="shared" ref="H771:H834" si="12">IF(OR(MID(A771,6,10)="NASPP",MID(A771,6,10)="RASPP"),"RNASPP",IF(OR(MID(A771,6,10)="NSFAP",MID(A771,6,10)="RSPOA"),"RNSPOA",IF(OR(A771="ULGALLOC",A771="ULSPOOL"),A771,IF(MID(A771,6,5)="ANSSP","ASSP1",MID(A771,6,10)))))&amp;"_"&amp;B771</f>
        <v>_</v>
      </c>
    </row>
    <row r="772" spans="8:8">
      <c r="H772" s="63" t="str">
        <f t="shared" si="12"/>
        <v>_</v>
      </c>
    </row>
    <row r="773" spans="8:8">
      <c r="H773" s="63" t="str">
        <f t="shared" si="12"/>
        <v>_</v>
      </c>
    </row>
    <row r="774" spans="8:8">
      <c r="H774" s="63" t="str">
        <f t="shared" si="12"/>
        <v>_</v>
      </c>
    </row>
    <row r="775" spans="8:8">
      <c r="H775" s="63" t="str">
        <f t="shared" si="12"/>
        <v>_</v>
      </c>
    </row>
    <row r="776" spans="8:8">
      <c r="H776" s="63" t="str">
        <f t="shared" si="12"/>
        <v>_</v>
      </c>
    </row>
    <row r="777" spans="8:8">
      <c r="H777" s="63" t="str">
        <f t="shared" si="12"/>
        <v>_</v>
      </c>
    </row>
    <row r="778" spans="8:8">
      <c r="H778" s="63" t="str">
        <f t="shared" si="12"/>
        <v>_</v>
      </c>
    </row>
    <row r="779" spans="8:8">
      <c r="H779" s="63" t="str">
        <f t="shared" si="12"/>
        <v>_</v>
      </c>
    </row>
    <row r="780" spans="8:8">
      <c r="H780" s="63" t="str">
        <f t="shared" si="12"/>
        <v>_</v>
      </c>
    </row>
    <row r="781" spans="8:8">
      <c r="H781" s="63" t="str">
        <f t="shared" si="12"/>
        <v>_</v>
      </c>
    </row>
    <row r="782" spans="8:8">
      <c r="H782" s="63" t="str">
        <f t="shared" si="12"/>
        <v>_</v>
      </c>
    </row>
    <row r="783" spans="8:8">
      <c r="H783" s="63" t="str">
        <f t="shared" si="12"/>
        <v>_</v>
      </c>
    </row>
    <row r="784" spans="8:8">
      <c r="H784" s="63" t="str">
        <f t="shared" si="12"/>
        <v>_</v>
      </c>
    </row>
    <row r="785" spans="8:8">
      <c r="H785" s="63" t="str">
        <f t="shared" si="12"/>
        <v>_</v>
      </c>
    </row>
    <row r="786" spans="8:8">
      <c r="H786" s="63" t="str">
        <f t="shared" si="12"/>
        <v>_</v>
      </c>
    </row>
    <row r="787" spans="8:8">
      <c r="H787" s="63" t="str">
        <f t="shared" si="12"/>
        <v>_</v>
      </c>
    </row>
    <row r="788" spans="8:8">
      <c r="H788" s="63" t="str">
        <f t="shared" si="12"/>
        <v>_</v>
      </c>
    </row>
    <row r="789" spans="8:8">
      <c r="H789" s="63" t="str">
        <f t="shared" si="12"/>
        <v>_</v>
      </c>
    </row>
    <row r="790" spans="8:8">
      <c r="H790" s="63" t="str">
        <f t="shared" si="12"/>
        <v>_</v>
      </c>
    </row>
    <row r="791" spans="8:8">
      <c r="H791" s="63" t="str">
        <f t="shared" si="12"/>
        <v>_</v>
      </c>
    </row>
    <row r="792" spans="8:8">
      <c r="H792" s="63" t="str">
        <f t="shared" si="12"/>
        <v>_</v>
      </c>
    </row>
    <row r="793" spans="8:8">
      <c r="H793" s="63" t="str">
        <f t="shared" si="12"/>
        <v>_</v>
      </c>
    </row>
    <row r="794" spans="8:8">
      <c r="H794" s="63" t="str">
        <f t="shared" si="12"/>
        <v>_</v>
      </c>
    </row>
    <row r="795" spans="8:8">
      <c r="H795" s="63" t="str">
        <f t="shared" si="12"/>
        <v>_</v>
      </c>
    </row>
    <row r="796" spans="8:8">
      <c r="H796" s="63" t="str">
        <f t="shared" si="12"/>
        <v>_</v>
      </c>
    </row>
    <row r="797" spans="8:8">
      <c r="H797" s="63" t="str">
        <f t="shared" si="12"/>
        <v>_</v>
      </c>
    </row>
    <row r="798" spans="8:8">
      <c r="H798" s="63" t="str">
        <f t="shared" si="12"/>
        <v>_</v>
      </c>
    </row>
    <row r="799" spans="8:8">
      <c r="H799" s="63" t="str">
        <f t="shared" si="12"/>
        <v>_</v>
      </c>
    </row>
    <row r="800" spans="8:8">
      <c r="H800" s="63" t="str">
        <f t="shared" si="12"/>
        <v>_</v>
      </c>
    </row>
    <row r="801" spans="8:8">
      <c r="H801" s="63" t="str">
        <f t="shared" si="12"/>
        <v>_</v>
      </c>
    </row>
    <row r="802" spans="8:8">
      <c r="H802" s="63" t="str">
        <f t="shared" si="12"/>
        <v>_</v>
      </c>
    </row>
    <row r="803" spans="8:8">
      <c r="H803" s="63" t="str">
        <f t="shared" si="12"/>
        <v>_</v>
      </c>
    </row>
    <row r="804" spans="8:8">
      <c r="H804" s="63" t="str">
        <f t="shared" si="12"/>
        <v>_</v>
      </c>
    </row>
    <row r="805" spans="8:8">
      <c r="H805" s="63" t="str">
        <f t="shared" si="12"/>
        <v>_</v>
      </c>
    </row>
    <row r="806" spans="8:8">
      <c r="H806" s="63" t="str">
        <f t="shared" si="12"/>
        <v>_</v>
      </c>
    </row>
    <row r="807" spans="8:8">
      <c r="H807" s="63" t="str">
        <f t="shared" si="12"/>
        <v>_</v>
      </c>
    </row>
    <row r="808" spans="8:8">
      <c r="H808" s="63" t="str">
        <f t="shared" si="12"/>
        <v>_</v>
      </c>
    </row>
    <row r="809" spans="8:8">
      <c r="H809" s="63" t="str">
        <f t="shared" si="12"/>
        <v>_</v>
      </c>
    </row>
    <row r="810" spans="8:8">
      <c r="H810" s="63" t="str">
        <f t="shared" si="12"/>
        <v>_</v>
      </c>
    </row>
    <row r="811" spans="8:8">
      <c r="H811" s="63" t="str">
        <f t="shared" si="12"/>
        <v>_</v>
      </c>
    </row>
    <row r="812" spans="8:8">
      <c r="H812" s="63" t="str">
        <f t="shared" si="12"/>
        <v>_</v>
      </c>
    </row>
    <row r="813" spans="8:8">
      <c r="H813" s="63" t="str">
        <f t="shared" si="12"/>
        <v>_</v>
      </c>
    </row>
    <row r="814" spans="8:8">
      <c r="H814" s="63" t="str">
        <f t="shared" si="12"/>
        <v>_</v>
      </c>
    </row>
    <row r="815" spans="8:8">
      <c r="H815" s="63" t="str">
        <f t="shared" si="12"/>
        <v>_</v>
      </c>
    </row>
    <row r="816" spans="8:8">
      <c r="H816" s="63" t="str">
        <f t="shared" si="12"/>
        <v>_</v>
      </c>
    </row>
    <row r="817" spans="8:8">
      <c r="H817" s="63" t="str">
        <f t="shared" si="12"/>
        <v>_</v>
      </c>
    </row>
    <row r="818" spans="8:8">
      <c r="H818" s="63" t="str">
        <f t="shared" si="12"/>
        <v>_</v>
      </c>
    </row>
    <row r="819" spans="8:8">
      <c r="H819" s="63" t="str">
        <f t="shared" si="12"/>
        <v>_</v>
      </c>
    </row>
    <row r="820" spans="8:8">
      <c r="H820" s="63" t="str">
        <f t="shared" si="12"/>
        <v>_</v>
      </c>
    </row>
    <row r="821" spans="8:8">
      <c r="H821" s="63" t="str">
        <f t="shared" si="12"/>
        <v>_</v>
      </c>
    </row>
    <row r="822" spans="8:8">
      <c r="H822" s="63" t="str">
        <f t="shared" si="12"/>
        <v>_</v>
      </c>
    </row>
    <row r="823" spans="8:8">
      <c r="H823" s="63" t="str">
        <f t="shared" si="12"/>
        <v>_</v>
      </c>
    </row>
    <row r="824" spans="8:8">
      <c r="H824" s="63" t="str">
        <f t="shared" si="12"/>
        <v>_</v>
      </c>
    </row>
    <row r="825" spans="8:8">
      <c r="H825" s="63" t="str">
        <f t="shared" si="12"/>
        <v>_</v>
      </c>
    </row>
    <row r="826" spans="8:8">
      <c r="H826" s="63" t="str">
        <f t="shared" si="12"/>
        <v>_</v>
      </c>
    </row>
    <row r="827" spans="8:8">
      <c r="H827" s="63" t="str">
        <f t="shared" si="12"/>
        <v>_</v>
      </c>
    </row>
    <row r="828" spans="8:8">
      <c r="H828" s="63" t="str">
        <f t="shared" si="12"/>
        <v>_</v>
      </c>
    </row>
    <row r="829" spans="8:8">
      <c r="H829" s="63" t="str">
        <f t="shared" si="12"/>
        <v>_</v>
      </c>
    </row>
    <row r="830" spans="8:8">
      <c r="H830" s="63" t="str">
        <f t="shared" si="12"/>
        <v>_</v>
      </c>
    </row>
    <row r="831" spans="8:8">
      <c r="H831" s="63" t="str">
        <f t="shared" si="12"/>
        <v>_</v>
      </c>
    </row>
    <row r="832" spans="8:8">
      <c r="H832" s="63" t="str">
        <f t="shared" si="12"/>
        <v>_</v>
      </c>
    </row>
    <row r="833" spans="8:8">
      <c r="H833" s="63" t="str">
        <f t="shared" si="12"/>
        <v>_</v>
      </c>
    </row>
    <row r="834" spans="8:8">
      <c r="H834" s="63" t="str">
        <f t="shared" si="12"/>
        <v>_</v>
      </c>
    </row>
    <row r="835" spans="8:8">
      <c r="H835" s="63" t="str">
        <f t="shared" ref="H835:H898" si="13">IF(OR(MID(A835,6,10)="NASPP",MID(A835,6,10)="RASPP"),"RNASPP",IF(OR(MID(A835,6,10)="NSFAP",MID(A835,6,10)="RSPOA"),"RNSPOA",IF(OR(A835="ULGALLOC",A835="ULSPOOL"),A835,IF(MID(A835,6,5)="ANSSP","ASSP1",MID(A835,6,10)))))&amp;"_"&amp;B835</f>
        <v>_</v>
      </c>
    </row>
    <row r="836" spans="8:8">
      <c r="H836" s="63" t="str">
        <f t="shared" si="13"/>
        <v>_</v>
      </c>
    </row>
    <row r="837" spans="8:8">
      <c r="H837" s="63" t="str">
        <f t="shared" si="13"/>
        <v>_</v>
      </c>
    </row>
    <row r="838" spans="8:8">
      <c r="H838" s="63" t="str">
        <f t="shared" si="13"/>
        <v>_</v>
      </c>
    </row>
    <row r="839" spans="8:8">
      <c r="H839" s="63" t="str">
        <f t="shared" si="13"/>
        <v>_</v>
      </c>
    </row>
    <row r="840" spans="8:8">
      <c r="H840" s="63" t="str">
        <f t="shared" si="13"/>
        <v>_</v>
      </c>
    </row>
    <row r="841" spans="8:8">
      <c r="H841" s="63" t="str">
        <f t="shared" si="13"/>
        <v>_</v>
      </c>
    </row>
    <row r="842" spans="8:8">
      <c r="H842" s="63" t="str">
        <f t="shared" si="13"/>
        <v>_</v>
      </c>
    </row>
    <row r="843" spans="8:8">
      <c r="H843" s="63" t="str">
        <f t="shared" si="13"/>
        <v>_</v>
      </c>
    </row>
    <row r="844" spans="8:8">
      <c r="H844" s="63" t="str">
        <f t="shared" si="13"/>
        <v>_</v>
      </c>
    </row>
    <row r="845" spans="8:8">
      <c r="H845" s="63" t="str">
        <f t="shared" si="13"/>
        <v>_</v>
      </c>
    </row>
    <row r="846" spans="8:8">
      <c r="H846" s="63" t="str">
        <f t="shared" si="13"/>
        <v>_</v>
      </c>
    </row>
    <row r="847" spans="8:8">
      <c r="H847" s="63" t="str">
        <f t="shared" si="13"/>
        <v>_</v>
      </c>
    </row>
    <row r="848" spans="8:8">
      <c r="H848" s="63" t="str">
        <f t="shared" si="13"/>
        <v>_</v>
      </c>
    </row>
    <row r="849" spans="8:8">
      <c r="H849" s="63" t="str">
        <f t="shared" si="13"/>
        <v>_</v>
      </c>
    </row>
    <row r="850" spans="8:8">
      <c r="H850" s="63" t="str">
        <f t="shared" si="13"/>
        <v>_</v>
      </c>
    </row>
    <row r="851" spans="8:8">
      <c r="H851" s="63" t="str">
        <f t="shared" si="13"/>
        <v>_</v>
      </c>
    </row>
    <row r="852" spans="8:8">
      <c r="H852" s="63" t="str">
        <f t="shared" si="13"/>
        <v>_</v>
      </c>
    </row>
    <row r="853" spans="8:8">
      <c r="H853" s="63" t="str">
        <f t="shared" si="13"/>
        <v>_</v>
      </c>
    </row>
    <row r="854" spans="8:8">
      <c r="H854" s="63" t="str">
        <f t="shared" si="13"/>
        <v>_</v>
      </c>
    </row>
    <row r="855" spans="8:8">
      <c r="H855" s="63" t="str">
        <f t="shared" si="13"/>
        <v>_</v>
      </c>
    </row>
    <row r="856" spans="8:8">
      <c r="H856" s="63" t="str">
        <f t="shared" si="13"/>
        <v>_</v>
      </c>
    </row>
    <row r="857" spans="8:8">
      <c r="H857" s="63" t="str">
        <f t="shared" si="13"/>
        <v>_</v>
      </c>
    </row>
    <row r="858" spans="8:8">
      <c r="H858" s="63" t="str">
        <f t="shared" si="13"/>
        <v>_</v>
      </c>
    </row>
    <row r="859" spans="8:8">
      <c r="H859" s="63" t="str">
        <f t="shared" si="13"/>
        <v>_</v>
      </c>
    </row>
    <row r="860" spans="8:8">
      <c r="H860" s="63" t="str">
        <f t="shared" si="13"/>
        <v>_</v>
      </c>
    </row>
    <row r="861" spans="8:8">
      <c r="H861" s="63" t="str">
        <f t="shared" si="13"/>
        <v>_</v>
      </c>
    </row>
    <row r="862" spans="8:8">
      <c r="H862" s="63" t="str">
        <f t="shared" si="13"/>
        <v>_</v>
      </c>
    </row>
    <row r="863" spans="8:8">
      <c r="H863" s="63" t="str">
        <f t="shared" si="13"/>
        <v>_</v>
      </c>
    </row>
    <row r="864" spans="8:8">
      <c r="H864" s="63" t="str">
        <f t="shared" si="13"/>
        <v>_</v>
      </c>
    </row>
    <row r="865" spans="8:8">
      <c r="H865" s="63" t="str">
        <f t="shared" si="13"/>
        <v>_</v>
      </c>
    </row>
    <row r="866" spans="8:8">
      <c r="H866" s="63" t="str">
        <f t="shared" si="13"/>
        <v>_</v>
      </c>
    </row>
    <row r="867" spans="8:8">
      <c r="H867" s="63" t="str">
        <f t="shared" si="13"/>
        <v>_</v>
      </c>
    </row>
    <row r="868" spans="8:8">
      <c r="H868" s="63" t="str">
        <f t="shared" si="13"/>
        <v>_</v>
      </c>
    </row>
    <row r="869" spans="8:8">
      <c r="H869" s="63" t="str">
        <f t="shared" si="13"/>
        <v>_</v>
      </c>
    </row>
    <row r="870" spans="8:8">
      <c r="H870" s="63" t="str">
        <f t="shared" si="13"/>
        <v>_</v>
      </c>
    </row>
    <row r="871" spans="8:8">
      <c r="H871" s="63" t="str">
        <f t="shared" si="13"/>
        <v>_</v>
      </c>
    </row>
    <row r="872" spans="8:8">
      <c r="H872" s="63" t="str">
        <f t="shared" si="13"/>
        <v>_</v>
      </c>
    </row>
    <row r="873" spans="8:8">
      <c r="H873" s="63" t="str">
        <f t="shared" si="13"/>
        <v>_</v>
      </c>
    </row>
    <row r="874" spans="8:8">
      <c r="H874" s="63" t="str">
        <f t="shared" si="13"/>
        <v>_</v>
      </c>
    </row>
    <row r="875" spans="8:8">
      <c r="H875" s="63" t="str">
        <f t="shared" si="13"/>
        <v>_</v>
      </c>
    </row>
    <row r="876" spans="8:8">
      <c r="H876" s="63" t="str">
        <f t="shared" si="13"/>
        <v>_</v>
      </c>
    </row>
    <row r="877" spans="8:8">
      <c r="H877" s="63" t="str">
        <f t="shared" si="13"/>
        <v>_</v>
      </c>
    </row>
    <row r="878" spans="8:8">
      <c r="H878" s="63" t="str">
        <f t="shared" si="13"/>
        <v>_</v>
      </c>
    </row>
    <row r="879" spans="8:8">
      <c r="H879" s="63" t="str">
        <f t="shared" si="13"/>
        <v>_</v>
      </c>
    </row>
    <row r="880" spans="8:8">
      <c r="H880" s="63" t="str">
        <f t="shared" si="13"/>
        <v>_</v>
      </c>
    </row>
    <row r="881" spans="8:8">
      <c r="H881" s="63" t="str">
        <f t="shared" si="13"/>
        <v>_</v>
      </c>
    </row>
    <row r="882" spans="8:8">
      <c r="H882" s="63" t="str">
        <f t="shared" si="13"/>
        <v>_</v>
      </c>
    </row>
    <row r="883" spans="8:8">
      <c r="H883" s="63" t="str">
        <f t="shared" si="13"/>
        <v>_</v>
      </c>
    </row>
    <row r="884" spans="8:8">
      <c r="H884" s="63" t="str">
        <f t="shared" si="13"/>
        <v>_</v>
      </c>
    </row>
    <row r="885" spans="8:8">
      <c r="H885" s="63" t="str">
        <f t="shared" si="13"/>
        <v>_</v>
      </c>
    </row>
    <row r="886" spans="8:8">
      <c r="H886" s="63" t="str">
        <f t="shared" si="13"/>
        <v>_</v>
      </c>
    </row>
    <row r="887" spans="8:8">
      <c r="H887" s="63" t="str">
        <f t="shared" si="13"/>
        <v>_</v>
      </c>
    </row>
    <row r="888" spans="8:8">
      <c r="H888" s="63" t="str">
        <f t="shared" si="13"/>
        <v>_</v>
      </c>
    </row>
    <row r="889" spans="8:8">
      <c r="H889" s="63" t="str">
        <f t="shared" si="13"/>
        <v>_</v>
      </c>
    </row>
    <row r="890" spans="8:8">
      <c r="H890" s="63" t="str">
        <f t="shared" si="13"/>
        <v>_</v>
      </c>
    </row>
    <row r="891" spans="8:8">
      <c r="H891" s="63" t="str">
        <f t="shared" si="13"/>
        <v>_</v>
      </c>
    </row>
    <row r="892" spans="8:8">
      <c r="H892" s="63" t="str">
        <f t="shared" si="13"/>
        <v>_</v>
      </c>
    </row>
    <row r="893" spans="8:8">
      <c r="H893" s="63" t="str">
        <f t="shared" si="13"/>
        <v>_</v>
      </c>
    </row>
    <row r="894" spans="8:8">
      <c r="H894" s="63" t="str">
        <f t="shared" si="13"/>
        <v>_</v>
      </c>
    </row>
    <row r="895" spans="8:8">
      <c r="H895" s="63" t="str">
        <f t="shared" si="13"/>
        <v>_</v>
      </c>
    </row>
    <row r="896" spans="8:8">
      <c r="H896" s="63" t="str">
        <f t="shared" si="13"/>
        <v>_</v>
      </c>
    </row>
    <row r="897" spans="8:8">
      <c r="H897" s="63" t="str">
        <f t="shared" si="13"/>
        <v>_</v>
      </c>
    </row>
    <row r="898" spans="8:8">
      <c r="H898" s="63" t="str">
        <f t="shared" si="13"/>
        <v>_</v>
      </c>
    </row>
    <row r="899" spans="8:8">
      <c r="H899" s="63" t="str">
        <f t="shared" ref="H899:H962" si="14">IF(OR(MID(A899,6,10)="NASPP",MID(A899,6,10)="RASPP"),"RNASPP",IF(OR(MID(A899,6,10)="NSFAP",MID(A899,6,10)="RSPOA"),"RNSPOA",IF(OR(A899="ULGALLOC",A899="ULSPOOL"),A899,IF(MID(A899,6,5)="ANSSP","ASSP1",MID(A899,6,10)))))&amp;"_"&amp;B899</f>
        <v>_</v>
      </c>
    </row>
    <row r="900" spans="8:8">
      <c r="H900" s="63" t="str">
        <f t="shared" si="14"/>
        <v>_</v>
      </c>
    </row>
    <row r="901" spans="8:8">
      <c r="H901" s="63" t="str">
        <f t="shared" si="14"/>
        <v>_</v>
      </c>
    </row>
    <row r="902" spans="8:8">
      <c r="H902" s="63" t="str">
        <f t="shared" si="14"/>
        <v>_</v>
      </c>
    </row>
    <row r="903" spans="8:8">
      <c r="H903" s="63" t="str">
        <f t="shared" si="14"/>
        <v>_</v>
      </c>
    </row>
    <row r="904" spans="8:8">
      <c r="H904" s="63" t="str">
        <f t="shared" si="14"/>
        <v>_</v>
      </c>
    </row>
    <row r="905" spans="8:8">
      <c r="H905" s="63" t="str">
        <f t="shared" si="14"/>
        <v>_</v>
      </c>
    </row>
    <row r="906" spans="8:8">
      <c r="H906" s="63" t="str">
        <f t="shared" si="14"/>
        <v>_</v>
      </c>
    </row>
    <row r="907" spans="8:8">
      <c r="H907" s="63" t="str">
        <f t="shared" si="14"/>
        <v>_</v>
      </c>
    </row>
    <row r="908" spans="8:8">
      <c r="H908" s="63" t="str">
        <f t="shared" si="14"/>
        <v>_</v>
      </c>
    </row>
    <row r="909" spans="8:8">
      <c r="H909" s="63" t="str">
        <f t="shared" si="14"/>
        <v>_</v>
      </c>
    </row>
    <row r="910" spans="8:8">
      <c r="H910" s="63" t="str">
        <f t="shared" si="14"/>
        <v>_</v>
      </c>
    </row>
    <row r="911" spans="8:8">
      <c r="H911" s="63" t="str">
        <f t="shared" si="14"/>
        <v>_</v>
      </c>
    </row>
    <row r="912" spans="8:8">
      <c r="H912" s="63" t="str">
        <f t="shared" si="14"/>
        <v>_</v>
      </c>
    </row>
    <row r="913" spans="8:8">
      <c r="H913" s="63" t="str">
        <f t="shared" si="14"/>
        <v>_</v>
      </c>
    </row>
    <row r="914" spans="8:8">
      <c r="H914" s="63" t="str">
        <f t="shared" si="14"/>
        <v>_</v>
      </c>
    </row>
    <row r="915" spans="8:8">
      <c r="H915" s="63" t="str">
        <f t="shared" si="14"/>
        <v>_</v>
      </c>
    </row>
    <row r="916" spans="8:8">
      <c r="H916" s="63" t="str">
        <f t="shared" si="14"/>
        <v>_</v>
      </c>
    </row>
    <row r="917" spans="8:8">
      <c r="H917" s="63" t="str">
        <f t="shared" si="14"/>
        <v>_</v>
      </c>
    </row>
    <row r="918" spans="8:8">
      <c r="H918" s="63" t="str">
        <f t="shared" si="14"/>
        <v>_</v>
      </c>
    </row>
    <row r="919" spans="8:8">
      <c r="H919" s="63" t="str">
        <f t="shared" si="14"/>
        <v>_</v>
      </c>
    </row>
    <row r="920" spans="8:8">
      <c r="H920" s="63" t="str">
        <f t="shared" si="14"/>
        <v>_</v>
      </c>
    </row>
    <row r="921" spans="8:8">
      <c r="H921" s="63" t="str">
        <f t="shared" si="14"/>
        <v>_</v>
      </c>
    </row>
    <row r="922" spans="8:8">
      <c r="H922" s="63" t="str">
        <f t="shared" si="14"/>
        <v>_</v>
      </c>
    </row>
    <row r="923" spans="8:8">
      <c r="H923" s="63" t="str">
        <f t="shared" si="14"/>
        <v>_</v>
      </c>
    </row>
    <row r="924" spans="8:8">
      <c r="H924" s="63" t="str">
        <f t="shared" si="14"/>
        <v>_</v>
      </c>
    </row>
    <row r="925" spans="8:8">
      <c r="H925" s="63" t="str">
        <f t="shared" si="14"/>
        <v>_</v>
      </c>
    </row>
    <row r="926" spans="8:8">
      <c r="H926" s="63" t="str">
        <f t="shared" si="14"/>
        <v>_</v>
      </c>
    </row>
    <row r="927" spans="8:8">
      <c r="H927" s="63" t="str">
        <f t="shared" si="14"/>
        <v>_</v>
      </c>
    </row>
    <row r="928" spans="8:8">
      <c r="H928" s="63" t="str">
        <f t="shared" si="14"/>
        <v>_</v>
      </c>
    </row>
    <row r="929" spans="8:8">
      <c r="H929" s="63" t="str">
        <f t="shared" si="14"/>
        <v>_</v>
      </c>
    </row>
    <row r="930" spans="8:8">
      <c r="H930" s="63" t="str">
        <f t="shared" si="14"/>
        <v>_</v>
      </c>
    </row>
    <row r="931" spans="8:8">
      <c r="H931" s="63" t="str">
        <f t="shared" si="14"/>
        <v>_</v>
      </c>
    </row>
    <row r="932" spans="8:8">
      <c r="H932" s="63" t="str">
        <f t="shared" si="14"/>
        <v>_</v>
      </c>
    </row>
    <row r="933" spans="8:8">
      <c r="H933" s="63" t="str">
        <f t="shared" si="14"/>
        <v>_</v>
      </c>
    </row>
    <row r="934" spans="8:8">
      <c r="H934" s="63" t="str">
        <f t="shared" si="14"/>
        <v>_</v>
      </c>
    </row>
    <row r="935" spans="8:8">
      <c r="H935" s="63" t="str">
        <f t="shared" si="14"/>
        <v>_</v>
      </c>
    </row>
    <row r="936" spans="8:8">
      <c r="H936" s="63" t="str">
        <f t="shared" si="14"/>
        <v>_</v>
      </c>
    </row>
    <row r="937" spans="8:8">
      <c r="H937" s="63" t="str">
        <f t="shared" si="14"/>
        <v>_</v>
      </c>
    </row>
    <row r="938" spans="8:8">
      <c r="H938" s="63" t="str">
        <f t="shared" si="14"/>
        <v>_</v>
      </c>
    </row>
    <row r="939" spans="8:8">
      <c r="H939" s="63" t="str">
        <f t="shared" si="14"/>
        <v>_</v>
      </c>
    </row>
    <row r="940" spans="8:8">
      <c r="H940" s="63" t="str">
        <f t="shared" si="14"/>
        <v>_</v>
      </c>
    </row>
    <row r="941" spans="8:8">
      <c r="H941" s="63" t="str">
        <f t="shared" si="14"/>
        <v>_</v>
      </c>
    </row>
    <row r="942" spans="8:8">
      <c r="H942" s="63" t="str">
        <f t="shared" si="14"/>
        <v>_</v>
      </c>
    </row>
    <row r="943" spans="8:8">
      <c r="H943" s="63" t="str">
        <f t="shared" si="14"/>
        <v>_</v>
      </c>
    </row>
    <row r="944" spans="8:8">
      <c r="H944" s="63" t="str">
        <f t="shared" si="14"/>
        <v>_</v>
      </c>
    </row>
    <row r="945" spans="8:8">
      <c r="H945" s="63" t="str">
        <f t="shared" si="14"/>
        <v>_</v>
      </c>
    </row>
    <row r="946" spans="8:8">
      <c r="H946" s="63" t="str">
        <f t="shared" si="14"/>
        <v>_</v>
      </c>
    </row>
    <row r="947" spans="8:8">
      <c r="H947" s="63" t="str">
        <f t="shared" si="14"/>
        <v>_</v>
      </c>
    </row>
    <row r="948" spans="8:8">
      <c r="H948" s="63" t="str">
        <f t="shared" si="14"/>
        <v>_</v>
      </c>
    </row>
    <row r="949" spans="8:8">
      <c r="H949" s="63" t="str">
        <f t="shared" si="14"/>
        <v>_</v>
      </c>
    </row>
    <row r="950" spans="8:8">
      <c r="H950" s="63" t="str">
        <f t="shared" si="14"/>
        <v>_</v>
      </c>
    </row>
    <row r="951" spans="8:8">
      <c r="H951" s="63" t="str">
        <f t="shared" si="14"/>
        <v>_</v>
      </c>
    </row>
    <row r="952" spans="8:8">
      <c r="H952" s="63" t="str">
        <f t="shared" si="14"/>
        <v>_</v>
      </c>
    </row>
    <row r="953" spans="8:8">
      <c r="H953" s="63" t="str">
        <f t="shared" si="14"/>
        <v>_</v>
      </c>
    </row>
    <row r="954" spans="8:8">
      <c r="H954" s="63" t="str">
        <f t="shared" si="14"/>
        <v>_</v>
      </c>
    </row>
    <row r="955" spans="8:8">
      <c r="H955" s="63" t="str">
        <f t="shared" si="14"/>
        <v>_</v>
      </c>
    </row>
    <row r="956" spans="8:8">
      <c r="H956" s="63" t="str">
        <f t="shared" si="14"/>
        <v>_</v>
      </c>
    </row>
    <row r="957" spans="8:8">
      <c r="H957" s="63" t="str">
        <f t="shared" si="14"/>
        <v>_</v>
      </c>
    </row>
    <row r="958" spans="8:8">
      <c r="H958" s="63" t="str">
        <f t="shared" si="14"/>
        <v>_</v>
      </c>
    </row>
    <row r="959" spans="8:8">
      <c r="H959" s="63" t="str">
        <f t="shared" si="14"/>
        <v>_</v>
      </c>
    </row>
    <row r="960" spans="8:8">
      <c r="H960" s="63" t="str">
        <f t="shared" si="14"/>
        <v>_</v>
      </c>
    </row>
    <row r="961" spans="8:8">
      <c r="H961" s="63" t="str">
        <f t="shared" si="14"/>
        <v>_</v>
      </c>
    </row>
    <row r="962" spans="8:8">
      <c r="H962" s="63" t="str">
        <f t="shared" si="14"/>
        <v>_</v>
      </c>
    </row>
    <row r="963" spans="8:8">
      <c r="H963" s="63" t="str">
        <f t="shared" ref="H963:H1026" si="15">IF(OR(MID(A963,6,10)="NASPP",MID(A963,6,10)="RASPP"),"RNASPP",IF(OR(MID(A963,6,10)="NSFAP",MID(A963,6,10)="RSPOA"),"RNSPOA",IF(OR(A963="ULGALLOC",A963="ULSPOOL"),A963,IF(MID(A963,6,5)="ANSSP","ASSP1",MID(A963,6,10)))))&amp;"_"&amp;B963</f>
        <v>_</v>
      </c>
    </row>
    <row r="964" spans="8:8">
      <c r="H964" s="63" t="str">
        <f t="shared" si="15"/>
        <v>_</v>
      </c>
    </row>
    <row r="965" spans="8:8">
      <c r="H965" s="63" t="str">
        <f t="shared" si="15"/>
        <v>_</v>
      </c>
    </row>
    <row r="966" spans="8:8">
      <c r="H966" s="63" t="str">
        <f t="shared" si="15"/>
        <v>_</v>
      </c>
    </row>
    <row r="967" spans="8:8">
      <c r="H967" s="63" t="str">
        <f t="shared" si="15"/>
        <v>_</v>
      </c>
    </row>
    <row r="968" spans="8:8">
      <c r="H968" s="63" t="str">
        <f t="shared" si="15"/>
        <v>_</v>
      </c>
    </row>
    <row r="969" spans="8:8">
      <c r="H969" s="63" t="str">
        <f t="shared" si="15"/>
        <v>_</v>
      </c>
    </row>
    <row r="970" spans="8:8">
      <c r="H970" s="63" t="str">
        <f t="shared" si="15"/>
        <v>_</v>
      </c>
    </row>
    <row r="971" spans="8:8">
      <c r="H971" s="63" t="str">
        <f t="shared" si="15"/>
        <v>_</v>
      </c>
    </row>
    <row r="972" spans="8:8">
      <c r="H972" s="63" t="str">
        <f t="shared" si="15"/>
        <v>_</v>
      </c>
    </row>
    <row r="973" spans="8:8">
      <c r="H973" s="63" t="str">
        <f t="shared" si="15"/>
        <v>_</v>
      </c>
    </row>
    <row r="974" spans="8:8">
      <c r="H974" s="63" t="str">
        <f t="shared" si="15"/>
        <v>_</v>
      </c>
    </row>
    <row r="975" spans="8:8">
      <c r="H975" s="63" t="str">
        <f t="shared" si="15"/>
        <v>_</v>
      </c>
    </row>
    <row r="976" spans="8:8">
      <c r="H976" s="63" t="str">
        <f t="shared" si="15"/>
        <v>_</v>
      </c>
    </row>
    <row r="977" spans="8:8">
      <c r="H977" s="63" t="str">
        <f t="shared" si="15"/>
        <v>_</v>
      </c>
    </row>
    <row r="978" spans="8:8">
      <c r="H978" s="63" t="str">
        <f t="shared" si="15"/>
        <v>_</v>
      </c>
    </row>
    <row r="979" spans="8:8">
      <c r="H979" s="63" t="str">
        <f t="shared" si="15"/>
        <v>_</v>
      </c>
    </row>
    <row r="980" spans="8:8">
      <c r="H980" s="63" t="str">
        <f t="shared" si="15"/>
        <v>_</v>
      </c>
    </row>
    <row r="981" spans="8:8">
      <c r="H981" s="63" t="str">
        <f t="shared" si="15"/>
        <v>_</v>
      </c>
    </row>
    <row r="982" spans="8:8">
      <c r="H982" s="63" t="str">
        <f t="shared" si="15"/>
        <v>_</v>
      </c>
    </row>
    <row r="983" spans="8:8">
      <c r="H983" s="63" t="str">
        <f t="shared" si="15"/>
        <v>_</v>
      </c>
    </row>
    <row r="984" spans="8:8">
      <c r="H984" s="63" t="str">
        <f t="shared" si="15"/>
        <v>_</v>
      </c>
    </row>
    <row r="985" spans="8:8">
      <c r="H985" s="63" t="str">
        <f t="shared" si="15"/>
        <v>_</v>
      </c>
    </row>
    <row r="986" spans="8:8">
      <c r="H986" s="63" t="str">
        <f t="shared" si="15"/>
        <v>_</v>
      </c>
    </row>
    <row r="987" spans="8:8">
      <c r="H987" s="63" t="str">
        <f t="shared" si="15"/>
        <v>_</v>
      </c>
    </row>
    <row r="988" spans="8:8">
      <c r="H988" s="63" t="str">
        <f t="shared" si="15"/>
        <v>_</v>
      </c>
    </row>
    <row r="989" spans="8:8">
      <c r="H989" s="63" t="str">
        <f t="shared" si="15"/>
        <v>_</v>
      </c>
    </row>
    <row r="990" spans="8:8">
      <c r="H990" s="63" t="str">
        <f t="shared" si="15"/>
        <v>_</v>
      </c>
    </row>
    <row r="991" spans="8:8">
      <c r="H991" s="63" t="str">
        <f t="shared" si="15"/>
        <v>_</v>
      </c>
    </row>
    <row r="992" spans="8:8">
      <c r="H992" s="63" t="str">
        <f t="shared" si="15"/>
        <v>_</v>
      </c>
    </row>
    <row r="993" spans="8:8">
      <c r="H993" s="63" t="str">
        <f t="shared" si="15"/>
        <v>_</v>
      </c>
    </row>
    <row r="994" spans="8:8">
      <c r="H994" s="63" t="str">
        <f t="shared" si="15"/>
        <v>_</v>
      </c>
    </row>
    <row r="995" spans="8:8">
      <c r="H995" s="63" t="str">
        <f t="shared" si="15"/>
        <v>_</v>
      </c>
    </row>
    <row r="996" spans="8:8">
      <c r="H996" s="63" t="str">
        <f t="shared" si="15"/>
        <v>_</v>
      </c>
    </row>
    <row r="997" spans="8:8">
      <c r="H997" s="63" t="str">
        <f t="shared" si="15"/>
        <v>_</v>
      </c>
    </row>
    <row r="998" spans="8:8">
      <c r="H998" s="63" t="str">
        <f t="shared" si="15"/>
        <v>_</v>
      </c>
    </row>
    <row r="999" spans="8:8">
      <c r="H999" s="63" t="str">
        <f t="shared" si="15"/>
        <v>_</v>
      </c>
    </row>
    <row r="1000" spans="8:8">
      <c r="H1000" s="63" t="str">
        <f t="shared" si="15"/>
        <v>_</v>
      </c>
    </row>
    <row r="1001" spans="8:8">
      <c r="H1001" s="63" t="str">
        <f t="shared" si="15"/>
        <v>_</v>
      </c>
    </row>
    <row r="1002" spans="8:8">
      <c r="H1002" s="63" t="str">
        <f t="shared" si="15"/>
        <v>_</v>
      </c>
    </row>
    <row r="1003" spans="8:8">
      <c r="H1003" s="63" t="str">
        <f t="shared" si="15"/>
        <v>_</v>
      </c>
    </row>
    <row r="1004" spans="8:8">
      <c r="H1004" s="63" t="str">
        <f t="shared" si="15"/>
        <v>_</v>
      </c>
    </row>
    <row r="1005" spans="8:8">
      <c r="H1005" s="63" t="str">
        <f t="shared" si="15"/>
        <v>_</v>
      </c>
    </row>
    <row r="1006" spans="8:8">
      <c r="H1006" s="63" t="str">
        <f t="shared" si="15"/>
        <v>_</v>
      </c>
    </row>
    <row r="1007" spans="8:8">
      <c r="H1007" s="63" t="str">
        <f t="shared" si="15"/>
        <v>_</v>
      </c>
    </row>
    <row r="1008" spans="8:8">
      <c r="H1008" s="63" t="str">
        <f t="shared" si="15"/>
        <v>_</v>
      </c>
    </row>
    <row r="1009" spans="8:8">
      <c r="H1009" s="63" t="str">
        <f t="shared" si="15"/>
        <v>_</v>
      </c>
    </row>
    <row r="1010" spans="8:8">
      <c r="H1010" s="63" t="str">
        <f t="shared" si="15"/>
        <v>_</v>
      </c>
    </row>
    <row r="1011" spans="8:8">
      <c r="H1011" s="63" t="str">
        <f t="shared" si="15"/>
        <v>_</v>
      </c>
    </row>
    <row r="1012" spans="8:8">
      <c r="H1012" s="63" t="str">
        <f t="shared" si="15"/>
        <v>_</v>
      </c>
    </row>
    <row r="1013" spans="8:8">
      <c r="H1013" s="63" t="str">
        <f t="shared" si="15"/>
        <v>_</v>
      </c>
    </row>
    <row r="1014" spans="8:8">
      <c r="H1014" s="63" t="str">
        <f t="shared" si="15"/>
        <v>_</v>
      </c>
    </row>
    <row r="1015" spans="8:8">
      <c r="H1015" s="63" t="str">
        <f t="shared" si="15"/>
        <v>_</v>
      </c>
    </row>
    <row r="1016" spans="8:8">
      <c r="H1016" s="63" t="str">
        <f t="shared" si="15"/>
        <v>_</v>
      </c>
    </row>
    <row r="1017" spans="8:8">
      <c r="H1017" s="63" t="str">
        <f t="shared" si="15"/>
        <v>_</v>
      </c>
    </row>
    <row r="1018" spans="8:8">
      <c r="H1018" s="63" t="str">
        <f t="shared" si="15"/>
        <v>_</v>
      </c>
    </row>
    <row r="1019" spans="8:8">
      <c r="H1019" s="63" t="str">
        <f t="shared" si="15"/>
        <v>_</v>
      </c>
    </row>
    <row r="1020" spans="8:8">
      <c r="H1020" s="63" t="str">
        <f t="shared" si="15"/>
        <v>_</v>
      </c>
    </row>
    <row r="1021" spans="8:8">
      <c r="H1021" s="63" t="str">
        <f t="shared" si="15"/>
        <v>_</v>
      </c>
    </row>
    <row r="1022" spans="8:8">
      <c r="H1022" s="63" t="str">
        <f t="shared" si="15"/>
        <v>_</v>
      </c>
    </row>
    <row r="1023" spans="8:8">
      <c r="H1023" s="63" t="str">
        <f t="shared" si="15"/>
        <v>_</v>
      </c>
    </row>
    <row r="1024" spans="8:8">
      <c r="H1024" s="63" t="str">
        <f t="shared" si="15"/>
        <v>_</v>
      </c>
    </row>
    <row r="1025" spans="8:8">
      <c r="H1025" s="63" t="str">
        <f t="shared" si="15"/>
        <v>_</v>
      </c>
    </row>
    <row r="1026" spans="8:8">
      <c r="H1026" s="63" t="str">
        <f t="shared" si="15"/>
        <v>_</v>
      </c>
    </row>
    <row r="1027" spans="8:8">
      <c r="H1027" s="63" t="str">
        <f t="shared" ref="H1027:H1090" si="16">IF(OR(MID(A1027,6,10)="NASPP",MID(A1027,6,10)="RASPP"),"RNASPP",IF(OR(MID(A1027,6,10)="NSFAP",MID(A1027,6,10)="RSPOA"),"RNSPOA",IF(OR(A1027="ULGALLOC",A1027="ULSPOOL"),A1027,IF(MID(A1027,6,5)="ANSSP","ASSP1",MID(A1027,6,10)))))&amp;"_"&amp;B1027</f>
        <v>_</v>
      </c>
    </row>
    <row r="1028" spans="8:8">
      <c r="H1028" s="63" t="str">
        <f t="shared" si="16"/>
        <v>_</v>
      </c>
    </row>
    <row r="1029" spans="8:8">
      <c r="H1029" s="63" t="str">
        <f t="shared" si="16"/>
        <v>_</v>
      </c>
    </row>
    <row r="1030" spans="8:8">
      <c r="H1030" s="63" t="str">
        <f t="shared" si="16"/>
        <v>_</v>
      </c>
    </row>
    <row r="1031" spans="8:8">
      <c r="H1031" s="63" t="str">
        <f t="shared" si="16"/>
        <v>_</v>
      </c>
    </row>
    <row r="1032" spans="8:8">
      <c r="H1032" s="63" t="str">
        <f t="shared" si="16"/>
        <v>_</v>
      </c>
    </row>
    <row r="1033" spans="8:8">
      <c r="H1033" s="63" t="str">
        <f t="shared" si="16"/>
        <v>_</v>
      </c>
    </row>
    <row r="1034" spans="8:8">
      <c r="H1034" s="63" t="str">
        <f t="shared" si="16"/>
        <v>_</v>
      </c>
    </row>
    <row r="1035" spans="8:8">
      <c r="H1035" s="63" t="str">
        <f t="shared" si="16"/>
        <v>_</v>
      </c>
    </row>
    <row r="1036" spans="8:8">
      <c r="H1036" s="63" t="str">
        <f t="shared" si="16"/>
        <v>_</v>
      </c>
    </row>
    <row r="1037" spans="8:8">
      <c r="H1037" s="63" t="str">
        <f t="shared" si="16"/>
        <v>_</v>
      </c>
    </row>
    <row r="1038" spans="8:8">
      <c r="H1038" s="63" t="str">
        <f t="shared" si="16"/>
        <v>_</v>
      </c>
    </row>
    <row r="1039" spans="8:8">
      <c r="H1039" s="63" t="str">
        <f t="shared" si="16"/>
        <v>_</v>
      </c>
    </row>
    <row r="1040" spans="8:8">
      <c r="H1040" s="63" t="str">
        <f t="shared" si="16"/>
        <v>_</v>
      </c>
    </row>
    <row r="1041" spans="8:8">
      <c r="H1041" s="63" t="str">
        <f t="shared" si="16"/>
        <v>_</v>
      </c>
    </row>
    <row r="1042" spans="8:8">
      <c r="H1042" s="63" t="str">
        <f t="shared" si="16"/>
        <v>_</v>
      </c>
    </row>
    <row r="1043" spans="8:8">
      <c r="H1043" s="63" t="str">
        <f t="shared" si="16"/>
        <v>_</v>
      </c>
    </row>
    <row r="1044" spans="8:8">
      <c r="H1044" s="63" t="str">
        <f t="shared" si="16"/>
        <v>_</v>
      </c>
    </row>
    <row r="1045" spans="8:8">
      <c r="H1045" s="63" t="str">
        <f t="shared" si="16"/>
        <v>_</v>
      </c>
    </row>
    <row r="1046" spans="8:8">
      <c r="H1046" s="63" t="str">
        <f t="shared" si="16"/>
        <v>_</v>
      </c>
    </row>
    <row r="1047" spans="8:8">
      <c r="H1047" s="63" t="str">
        <f t="shared" si="16"/>
        <v>_</v>
      </c>
    </row>
    <row r="1048" spans="8:8">
      <c r="H1048" s="63" t="str">
        <f t="shared" si="16"/>
        <v>_</v>
      </c>
    </row>
    <row r="1049" spans="8:8">
      <c r="H1049" s="63" t="str">
        <f t="shared" si="16"/>
        <v>_</v>
      </c>
    </row>
    <row r="1050" spans="8:8">
      <c r="H1050" s="63" t="str">
        <f t="shared" si="16"/>
        <v>_</v>
      </c>
    </row>
    <row r="1051" spans="8:8">
      <c r="H1051" s="63" t="str">
        <f t="shared" si="16"/>
        <v>_</v>
      </c>
    </row>
    <row r="1052" spans="8:8">
      <c r="H1052" s="63" t="str">
        <f t="shared" si="16"/>
        <v>_</v>
      </c>
    </row>
    <row r="1053" spans="8:8">
      <c r="H1053" s="63" t="str">
        <f t="shared" si="16"/>
        <v>_</v>
      </c>
    </row>
    <row r="1054" spans="8:8">
      <c r="H1054" s="63" t="str">
        <f t="shared" si="16"/>
        <v>_</v>
      </c>
    </row>
    <row r="1055" spans="8:8">
      <c r="H1055" s="63" t="str">
        <f t="shared" si="16"/>
        <v>_</v>
      </c>
    </row>
    <row r="1056" spans="8:8">
      <c r="H1056" s="63" t="str">
        <f t="shared" si="16"/>
        <v>_</v>
      </c>
    </row>
    <row r="1057" spans="8:8">
      <c r="H1057" s="63" t="str">
        <f t="shared" si="16"/>
        <v>_</v>
      </c>
    </row>
    <row r="1058" spans="8:8">
      <c r="H1058" s="63" t="str">
        <f t="shared" si="16"/>
        <v>_</v>
      </c>
    </row>
    <row r="1059" spans="8:8">
      <c r="H1059" s="63" t="str">
        <f t="shared" si="16"/>
        <v>_</v>
      </c>
    </row>
    <row r="1060" spans="8:8">
      <c r="H1060" s="63" t="str">
        <f t="shared" si="16"/>
        <v>_</v>
      </c>
    </row>
    <row r="1061" spans="8:8">
      <c r="H1061" s="63" t="str">
        <f t="shared" si="16"/>
        <v>_</v>
      </c>
    </row>
    <row r="1062" spans="8:8">
      <c r="H1062" s="63" t="str">
        <f t="shared" si="16"/>
        <v>_</v>
      </c>
    </row>
    <row r="1063" spans="8:8">
      <c r="H1063" s="63" t="str">
        <f t="shared" si="16"/>
        <v>_</v>
      </c>
    </row>
    <row r="1064" spans="8:8">
      <c r="H1064" s="63" t="str">
        <f t="shared" si="16"/>
        <v>_</v>
      </c>
    </row>
    <row r="1065" spans="8:8">
      <c r="H1065" s="63" t="str">
        <f t="shared" si="16"/>
        <v>_</v>
      </c>
    </row>
    <row r="1066" spans="8:8">
      <c r="H1066" s="63" t="str">
        <f t="shared" si="16"/>
        <v>_</v>
      </c>
    </row>
    <row r="1067" spans="8:8">
      <c r="H1067" s="63" t="str">
        <f t="shared" si="16"/>
        <v>_</v>
      </c>
    </row>
    <row r="1068" spans="8:8">
      <c r="H1068" s="63" t="str">
        <f t="shared" si="16"/>
        <v>_</v>
      </c>
    </row>
    <row r="1069" spans="8:8">
      <c r="H1069" s="63" t="str">
        <f t="shared" si="16"/>
        <v>_</v>
      </c>
    </row>
    <row r="1070" spans="8:8">
      <c r="H1070" s="63" t="str">
        <f t="shared" si="16"/>
        <v>_</v>
      </c>
    </row>
    <row r="1071" spans="8:8">
      <c r="H1071" s="63" t="str">
        <f t="shared" si="16"/>
        <v>_</v>
      </c>
    </row>
    <row r="1072" spans="8:8">
      <c r="H1072" s="63" t="str">
        <f t="shared" si="16"/>
        <v>_</v>
      </c>
    </row>
    <row r="1073" spans="8:8">
      <c r="H1073" s="63" t="str">
        <f t="shared" si="16"/>
        <v>_</v>
      </c>
    </row>
    <row r="1074" spans="8:8">
      <c r="H1074" s="63" t="str">
        <f t="shared" si="16"/>
        <v>_</v>
      </c>
    </row>
    <row r="1075" spans="8:8">
      <c r="H1075" s="63" t="str">
        <f t="shared" si="16"/>
        <v>_</v>
      </c>
    </row>
    <row r="1076" spans="8:8">
      <c r="H1076" s="63" t="str">
        <f t="shared" si="16"/>
        <v>_</v>
      </c>
    </row>
    <row r="1077" spans="8:8">
      <c r="H1077" s="63" t="str">
        <f t="shared" si="16"/>
        <v>_</v>
      </c>
    </row>
    <row r="1078" spans="8:8">
      <c r="H1078" s="63" t="str">
        <f t="shared" si="16"/>
        <v>_</v>
      </c>
    </row>
    <row r="1079" spans="8:8">
      <c r="H1079" s="63" t="str">
        <f t="shared" si="16"/>
        <v>_</v>
      </c>
    </row>
    <row r="1080" spans="8:8">
      <c r="H1080" s="63" t="str">
        <f t="shared" si="16"/>
        <v>_</v>
      </c>
    </row>
    <row r="1081" spans="8:8">
      <c r="H1081" s="63" t="str">
        <f t="shared" si="16"/>
        <v>_</v>
      </c>
    </row>
    <row r="1082" spans="8:8">
      <c r="H1082" s="63" t="str">
        <f t="shared" si="16"/>
        <v>_</v>
      </c>
    </row>
    <row r="1083" spans="8:8">
      <c r="H1083" s="63" t="str">
        <f t="shared" si="16"/>
        <v>_</v>
      </c>
    </row>
    <row r="1084" spans="8:8">
      <c r="H1084" s="63" t="str">
        <f t="shared" si="16"/>
        <v>_</v>
      </c>
    </row>
    <row r="1085" spans="8:8">
      <c r="H1085" s="63" t="str">
        <f t="shared" si="16"/>
        <v>_</v>
      </c>
    </row>
    <row r="1086" spans="8:8">
      <c r="H1086" s="63" t="str">
        <f t="shared" si="16"/>
        <v>_</v>
      </c>
    </row>
    <row r="1087" spans="8:8">
      <c r="H1087" s="63" t="str">
        <f t="shared" si="16"/>
        <v>_</v>
      </c>
    </row>
    <row r="1088" spans="8:8">
      <c r="H1088" s="63" t="str">
        <f t="shared" si="16"/>
        <v>_</v>
      </c>
    </row>
    <row r="1089" spans="8:8">
      <c r="H1089" s="63" t="str">
        <f t="shared" si="16"/>
        <v>_</v>
      </c>
    </row>
    <row r="1090" spans="8:8">
      <c r="H1090" s="63" t="str">
        <f t="shared" si="16"/>
        <v>_</v>
      </c>
    </row>
    <row r="1091" spans="8:8">
      <c r="H1091" s="63" t="str">
        <f t="shared" ref="H1091:H1154" si="17">IF(OR(MID(A1091,6,10)="NASPP",MID(A1091,6,10)="RASPP"),"RNASPP",IF(OR(MID(A1091,6,10)="NSFAP",MID(A1091,6,10)="RSPOA"),"RNSPOA",IF(OR(A1091="ULGALLOC",A1091="ULSPOOL"),A1091,IF(MID(A1091,6,5)="ANSSP","ASSP1",MID(A1091,6,10)))))&amp;"_"&amp;B1091</f>
        <v>_</v>
      </c>
    </row>
    <row r="1092" spans="8:8">
      <c r="H1092" s="63" t="str">
        <f t="shared" si="17"/>
        <v>_</v>
      </c>
    </row>
    <row r="1093" spans="8:8">
      <c r="H1093" s="63" t="str">
        <f t="shared" si="17"/>
        <v>_</v>
      </c>
    </row>
    <row r="1094" spans="8:8">
      <c r="H1094" s="63" t="str">
        <f t="shared" si="17"/>
        <v>_</v>
      </c>
    </row>
    <row r="1095" spans="8:8">
      <c r="H1095" s="63" t="str">
        <f t="shared" si="17"/>
        <v>_</v>
      </c>
    </row>
    <row r="1096" spans="8:8">
      <c r="H1096" s="63" t="str">
        <f t="shared" si="17"/>
        <v>_</v>
      </c>
    </row>
    <row r="1097" spans="8:8">
      <c r="H1097" s="63" t="str">
        <f t="shared" si="17"/>
        <v>_</v>
      </c>
    </row>
    <row r="1098" spans="8:8">
      <c r="H1098" s="63" t="str">
        <f t="shared" si="17"/>
        <v>_</v>
      </c>
    </row>
    <row r="1099" spans="8:8">
      <c r="H1099" s="63" t="str">
        <f t="shared" si="17"/>
        <v>_</v>
      </c>
    </row>
    <row r="1100" spans="8:8">
      <c r="H1100" s="63" t="str">
        <f t="shared" si="17"/>
        <v>_</v>
      </c>
    </row>
    <row r="1101" spans="8:8">
      <c r="H1101" s="63" t="str">
        <f t="shared" si="17"/>
        <v>_</v>
      </c>
    </row>
    <row r="1102" spans="8:8">
      <c r="H1102" s="63" t="str">
        <f t="shared" si="17"/>
        <v>_</v>
      </c>
    </row>
    <row r="1103" spans="8:8">
      <c r="H1103" s="63" t="str">
        <f t="shared" si="17"/>
        <v>_</v>
      </c>
    </row>
    <row r="1104" spans="8:8">
      <c r="H1104" s="63" t="str">
        <f t="shared" si="17"/>
        <v>_</v>
      </c>
    </row>
    <row r="1105" spans="8:8">
      <c r="H1105" s="63" t="str">
        <f t="shared" si="17"/>
        <v>_</v>
      </c>
    </row>
    <row r="1106" spans="8:8">
      <c r="H1106" s="63" t="str">
        <f t="shared" si="17"/>
        <v>_</v>
      </c>
    </row>
    <row r="1107" spans="8:8">
      <c r="H1107" s="63" t="str">
        <f t="shared" si="17"/>
        <v>_</v>
      </c>
    </row>
    <row r="1108" spans="8:8">
      <c r="H1108" s="63" t="str">
        <f t="shared" si="17"/>
        <v>_</v>
      </c>
    </row>
    <row r="1109" spans="8:8">
      <c r="H1109" s="63" t="str">
        <f t="shared" si="17"/>
        <v>_</v>
      </c>
    </row>
    <row r="1110" spans="8:8">
      <c r="H1110" s="63" t="str">
        <f t="shared" si="17"/>
        <v>_</v>
      </c>
    </row>
    <row r="1111" spans="8:8">
      <c r="H1111" s="63" t="str">
        <f t="shared" si="17"/>
        <v>_</v>
      </c>
    </row>
    <row r="1112" spans="8:8">
      <c r="H1112" s="63" t="str">
        <f t="shared" si="17"/>
        <v>_</v>
      </c>
    </row>
    <row r="1113" spans="8:8">
      <c r="H1113" s="63" t="str">
        <f t="shared" si="17"/>
        <v>_</v>
      </c>
    </row>
    <row r="1114" spans="8:8">
      <c r="H1114" s="63" t="str">
        <f t="shared" si="17"/>
        <v>_</v>
      </c>
    </row>
    <row r="1115" spans="8:8">
      <c r="H1115" s="63" t="str">
        <f t="shared" si="17"/>
        <v>_</v>
      </c>
    </row>
    <row r="1116" spans="8:8">
      <c r="H1116" s="63" t="str">
        <f t="shared" si="17"/>
        <v>_</v>
      </c>
    </row>
    <row r="1117" spans="8:8">
      <c r="H1117" s="63" t="str">
        <f t="shared" si="17"/>
        <v>_</v>
      </c>
    </row>
    <row r="1118" spans="8:8">
      <c r="H1118" s="63" t="str">
        <f t="shared" si="17"/>
        <v>_</v>
      </c>
    </row>
    <row r="1119" spans="8:8">
      <c r="H1119" s="63" t="str">
        <f t="shared" si="17"/>
        <v>_</v>
      </c>
    </row>
    <row r="1120" spans="8:8">
      <c r="H1120" s="63" t="str">
        <f t="shared" si="17"/>
        <v>_</v>
      </c>
    </row>
    <row r="1121" spans="8:8">
      <c r="H1121" s="63" t="str">
        <f t="shared" si="17"/>
        <v>_</v>
      </c>
    </row>
    <row r="1122" spans="8:8">
      <c r="H1122" s="63" t="str">
        <f t="shared" si="17"/>
        <v>_</v>
      </c>
    </row>
    <row r="1123" spans="8:8">
      <c r="H1123" s="63" t="str">
        <f t="shared" si="17"/>
        <v>_</v>
      </c>
    </row>
    <row r="1124" spans="8:8">
      <c r="H1124" s="63" t="str">
        <f t="shared" si="17"/>
        <v>_</v>
      </c>
    </row>
    <row r="1125" spans="8:8">
      <c r="H1125" s="63" t="str">
        <f t="shared" si="17"/>
        <v>_</v>
      </c>
    </row>
    <row r="1126" spans="8:8">
      <c r="H1126" s="63" t="str">
        <f t="shared" si="17"/>
        <v>_</v>
      </c>
    </row>
    <row r="1127" spans="8:8">
      <c r="H1127" s="63" t="str">
        <f t="shared" si="17"/>
        <v>_</v>
      </c>
    </row>
    <row r="1128" spans="8:8">
      <c r="H1128" s="63" t="str">
        <f t="shared" si="17"/>
        <v>_</v>
      </c>
    </row>
    <row r="1129" spans="8:8">
      <c r="H1129" s="63" t="str">
        <f t="shared" si="17"/>
        <v>_</v>
      </c>
    </row>
    <row r="1130" spans="8:8">
      <c r="H1130" s="63" t="str">
        <f t="shared" si="17"/>
        <v>_</v>
      </c>
    </row>
    <row r="1131" spans="8:8">
      <c r="H1131" s="63" t="str">
        <f t="shared" si="17"/>
        <v>_</v>
      </c>
    </row>
    <row r="1132" spans="8:8">
      <c r="H1132" s="63" t="str">
        <f t="shared" si="17"/>
        <v>_</v>
      </c>
    </row>
    <row r="1133" spans="8:8">
      <c r="H1133" s="63" t="str">
        <f t="shared" si="17"/>
        <v>_</v>
      </c>
    </row>
    <row r="1134" spans="8:8">
      <c r="H1134" s="63" t="str">
        <f t="shared" si="17"/>
        <v>_</v>
      </c>
    </row>
    <row r="1135" spans="8:8">
      <c r="H1135" s="63" t="str">
        <f t="shared" si="17"/>
        <v>_</v>
      </c>
    </row>
    <row r="1136" spans="8:8">
      <c r="H1136" s="63" t="str">
        <f t="shared" si="17"/>
        <v>_</v>
      </c>
    </row>
    <row r="1137" spans="8:8">
      <c r="H1137" s="63" t="str">
        <f t="shared" si="17"/>
        <v>_</v>
      </c>
    </row>
    <row r="1138" spans="8:8">
      <c r="H1138" s="63" t="str">
        <f t="shared" si="17"/>
        <v>_</v>
      </c>
    </row>
    <row r="1139" spans="8:8">
      <c r="H1139" s="63" t="str">
        <f t="shared" si="17"/>
        <v>_</v>
      </c>
    </row>
    <row r="1140" spans="8:8">
      <c r="H1140" s="63" t="str">
        <f t="shared" si="17"/>
        <v>_</v>
      </c>
    </row>
    <row r="1141" spans="8:8">
      <c r="H1141" s="63" t="str">
        <f t="shared" si="17"/>
        <v>_</v>
      </c>
    </row>
    <row r="1142" spans="8:8">
      <c r="H1142" s="63" t="str">
        <f t="shared" si="17"/>
        <v>_</v>
      </c>
    </row>
    <row r="1143" spans="8:8">
      <c r="H1143" s="63" t="str">
        <f t="shared" si="17"/>
        <v>_</v>
      </c>
    </row>
    <row r="1144" spans="8:8">
      <c r="H1144" s="63" t="str">
        <f t="shared" si="17"/>
        <v>_</v>
      </c>
    </row>
    <row r="1145" spans="8:8">
      <c r="H1145" s="63" t="str">
        <f t="shared" si="17"/>
        <v>_</v>
      </c>
    </row>
    <row r="1146" spans="8:8">
      <c r="H1146" s="63" t="str">
        <f t="shared" si="17"/>
        <v>_</v>
      </c>
    </row>
    <row r="1147" spans="8:8">
      <c r="H1147" s="63" t="str">
        <f t="shared" si="17"/>
        <v>_</v>
      </c>
    </row>
    <row r="1148" spans="8:8">
      <c r="H1148" s="63" t="str">
        <f t="shared" si="17"/>
        <v>_</v>
      </c>
    </row>
    <row r="1149" spans="8:8">
      <c r="H1149" s="63" t="str">
        <f t="shared" si="17"/>
        <v>_</v>
      </c>
    </row>
    <row r="1150" spans="8:8">
      <c r="H1150" s="63" t="str">
        <f t="shared" si="17"/>
        <v>_</v>
      </c>
    </row>
    <row r="1151" spans="8:8">
      <c r="H1151" s="63" t="str">
        <f t="shared" si="17"/>
        <v>_</v>
      </c>
    </row>
    <row r="1152" spans="8:8">
      <c r="H1152" s="63" t="str">
        <f t="shared" si="17"/>
        <v>_</v>
      </c>
    </row>
    <row r="1153" spans="8:8">
      <c r="H1153" s="63" t="str">
        <f t="shared" si="17"/>
        <v>_</v>
      </c>
    </row>
    <row r="1154" spans="8:8">
      <c r="H1154" s="63" t="str">
        <f t="shared" si="17"/>
        <v>_</v>
      </c>
    </row>
    <row r="1155" spans="8:8">
      <c r="H1155" s="63" t="str">
        <f t="shared" ref="H1155:H1218" si="18">IF(OR(MID(A1155,6,10)="NASPP",MID(A1155,6,10)="RASPP"),"RNASPP",IF(OR(MID(A1155,6,10)="NSFAP",MID(A1155,6,10)="RSPOA"),"RNSPOA",IF(OR(A1155="ULGALLOC",A1155="ULSPOOL"),A1155,IF(MID(A1155,6,5)="ANSSP","ASSP1",MID(A1155,6,10)))))&amp;"_"&amp;B1155</f>
        <v>_</v>
      </c>
    </row>
    <row r="1156" spans="8:8">
      <c r="H1156" s="63" t="str">
        <f t="shared" si="18"/>
        <v>_</v>
      </c>
    </row>
    <row r="1157" spans="8:8">
      <c r="H1157" s="63" t="str">
        <f t="shared" si="18"/>
        <v>_</v>
      </c>
    </row>
    <row r="1158" spans="8:8">
      <c r="H1158" s="63" t="str">
        <f t="shared" si="18"/>
        <v>_</v>
      </c>
    </row>
    <row r="1159" spans="8:8">
      <c r="H1159" s="63" t="str">
        <f t="shared" si="18"/>
        <v>_</v>
      </c>
    </row>
    <row r="1160" spans="8:8">
      <c r="H1160" s="63" t="str">
        <f t="shared" si="18"/>
        <v>_</v>
      </c>
    </row>
    <row r="1161" spans="8:8">
      <c r="H1161" s="63" t="str">
        <f t="shared" si="18"/>
        <v>_</v>
      </c>
    </row>
    <row r="1162" spans="8:8">
      <c r="H1162" s="63" t="str">
        <f t="shared" si="18"/>
        <v>_</v>
      </c>
    </row>
    <row r="1163" spans="8:8">
      <c r="H1163" s="63" t="str">
        <f t="shared" si="18"/>
        <v>_</v>
      </c>
    </row>
    <row r="1164" spans="8:8">
      <c r="H1164" s="63" t="str">
        <f t="shared" si="18"/>
        <v>_</v>
      </c>
    </row>
    <row r="1165" spans="8:8">
      <c r="H1165" s="63" t="str">
        <f t="shared" si="18"/>
        <v>_</v>
      </c>
    </row>
    <row r="1166" spans="8:8">
      <c r="H1166" s="63" t="str">
        <f t="shared" si="18"/>
        <v>_</v>
      </c>
    </row>
    <row r="1167" spans="8:8">
      <c r="H1167" s="63" t="str">
        <f t="shared" si="18"/>
        <v>_</v>
      </c>
    </row>
    <row r="1168" spans="8:8">
      <c r="H1168" s="63" t="str">
        <f t="shared" si="18"/>
        <v>_</v>
      </c>
    </row>
    <row r="1169" spans="8:8">
      <c r="H1169" s="63" t="str">
        <f t="shared" si="18"/>
        <v>_</v>
      </c>
    </row>
    <row r="1170" spans="8:8">
      <c r="H1170" s="63" t="str">
        <f t="shared" si="18"/>
        <v>_</v>
      </c>
    </row>
    <row r="1171" spans="8:8">
      <c r="H1171" s="63" t="str">
        <f t="shared" si="18"/>
        <v>_</v>
      </c>
    </row>
    <row r="1172" spans="8:8">
      <c r="H1172" s="63" t="str">
        <f t="shared" si="18"/>
        <v>_</v>
      </c>
    </row>
    <row r="1173" spans="8:8">
      <c r="H1173" s="63" t="str">
        <f t="shared" si="18"/>
        <v>_</v>
      </c>
    </row>
    <row r="1174" spans="8:8">
      <c r="H1174" s="63" t="str">
        <f t="shared" si="18"/>
        <v>_</v>
      </c>
    </row>
    <row r="1175" spans="8:8">
      <c r="H1175" s="63" t="str">
        <f t="shared" si="18"/>
        <v>_</v>
      </c>
    </row>
    <row r="1176" spans="8:8">
      <c r="H1176" s="63" t="str">
        <f t="shared" si="18"/>
        <v>_</v>
      </c>
    </row>
    <row r="1177" spans="8:8">
      <c r="H1177" s="63" t="str">
        <f t="shared" si="18"/>
        <v>_</v>
      </c>
    </row>
    <row r="1178" spans="8:8">
      <c r="H1178" s="63" t="str">
        <f t="shared" si="18"/>
        <v>_</v>
      </c>
    </row>
    <row r="1179" spans="8:8">
      <c r="H1179" s="63" t="str">
        <f t="shared" si="18"/>
        <v>_</v>
      </c>
    </row>
    <row r="1180" spans="8:8">
      <c r="H1180" s="63" t="str">
        <f t="shared" si="18"/>
        <v>_</v>
      </c>
    </row>
    <row r="1181" spans="8:8">
      <c r="H1181" s="63" t="str">
        <f t="shared" si="18"/>
        <v>_</v>
      </c>
    </row>
    <row r="1182" spans="8:8">
      <c r="H1182" s="63" t="str">
        <f t="shared" si="18"/>
        <v>_</v>
      </c>
    </row>
    <row r="1183" spans="8:8">
      <c r="H1183" s="63" t="str">
        <f t="shared" si="18"/>
        <v>_</v>
      </c>
    </row>
    <row r="1184" spans="8:8">
      <c r="H1184" s="63" t="str">
        <f t="shared" si="18"/>
        <v>_</v>
      </c>
    </row>
    <row r="1185" spans="8:8">
      <c r="H1185" s="63" t="str">
        <f t="shared" si="18"/>
        <v>_</v>
      </c>
    </row>
    <row r="1186" spans="8:8">
      <c r="H1186" s="63" t="str">
        <f t="shared" si="18"/>
        <v>_</v>
      </c>
    </row>
    <row r="1187" spans="8:8">
      <c r="H1187" s="63" t="str">
        <f t="shared" si="18"/>
        <v>_</v>
      </c>
    </row>
    <row r="1188" spans="8:8">
      <c r="H1188" s="63" t="str">
        <f t="shared" si="18"/>
        <v>_</v>
      </c>
    </row>
    <row r="1189" spans="8:8">
      <c r="H1189" s="63" t="str">
        <f t="shared" si="18"/>
        <v>_</v>
      </c>
    </row>
    <row r="1190" spans="8:8">
      <c r="H1190" s="63" t="str">
        <f t="shared" si="18"/>
        <v>_</v>
      </c>
    </row>
    <row r="1191" spans="8:8">
      <c r="H1191" s="63" t="str">
        <f t="shared" si="18"/>
        <v>_</v>
      </c>
    </row>
    <row r="1192" spans="8:8">
      <c r="H1192" s="63" t="str">
        <f t="shared" si="18"/>
        <v>_</v>
      </c>
    </row>
    <row r="1193" spans="8:8">
      <c r="H1193" s="63" t="str">
        <f t="shared" si="18"/>
        <v>_</v>
      </c>
    </row>
    <row r="1194" spans="8:8">
      <c r="H1194" s="63" t="str">
        <f t="shared" si="18"/>
        <v>_</v>
      </c>
    </row>
    <row r="1195" spans="8:8">
      <c r="H1195" s="63" t="str">
        <f t="shared" si="18"/>
        <v>_</v>
      </c>
    </row>
    <row r="1196" spans="8:8">
      <c r="H1196" s="63" t="str">
        <f t="shared" si="18"/>
        <v>_</v>
      </c>
    </row>
    <row r="1197" spans="8:8">
      <c r="H1197" s="63" t="str">
        <f t="shared" si="18"/>
        <v>_</v>
      </c>
    </row>
    <row r="1198" spans="8:8">
      <c r="H1198" s="63" t="str">
        <f t="shared" si="18"/>
        <v>_</v>
      </c>
    </row>
    <row r="1199" spans="8:8">
      <c r="H1199" s="63" t="str">
        <f t="shared" si="18"/>
        <v>_</v>
      </c>
    </row>
    <row r="1200" spans="8:8">
      <c r="H1200" s="63" t="str">
        <f t="shared" si="18"/>
        <v>_</v>
      </c>
    </row>
    <row r="1201" spans="8:8">
      <c r="H1201" s="63" t="str">
        <f t="shared" si="18"/>
        <v>_</v>
      </c>
    </row>
    <row r="1202" spans="8:8">
      <c r="H1202" s="63" t="str">
        <f t="shared" si="18"/>
        <v>_</v>
      </c>
    </row>
    <row r="1203" spans="8:8">
      <c r="H1203" s="63" t="str">
        <f t="shared" si="18"/>
        <v>_</v>
      </c>
    </row>
    <row r="1204" spans="8:8">
      <c r="H1204" s="63" t="str">
        <f t="shared" si="18"/>
        <v>_</v>
      </c>
    </row>
    <row r="1205" spans="8:8">
      <c r="H1205" s="63" t="str">
        <f t="shared" si="18"/>
        <v>_</v>
      </c>
    </row>
    <row r="1206" spans="8:8">
      <c r="H1206" s="63" t="str">
        <f t="shared" si="18"/>
        <v>_</v>
      </c>
    </row>
    <row r="1207" spans="8:8">
      <c r="H1207" s="63" t="str">
        <f t="shared" si="18"/>
        <v>_</v>
      </c>
    </row>
    <row r="1208" spans="8:8">
      <c r="H1208" s="63" t="str">
        <f t="shared" si="18"/>
        <v>_</v>
      </c>
    </row>
    <row r="1209" spans="8:8">
      <c r="H1209" s="63" t="str">
        <f t="shared" si="18"/>
        <v>_</v>
      </c>
    </row>
    <row r="1210" spans="8:8">
      <c r="H1210" s="63" t="str">
        <f t="shared" si="18"/>
        <v>_</v>
      </c>
    </row>
    <row r="1211" spans="8:8">
      <c r="H1211" s="63" t="str">
        <f t="shared" si="18"/>
        <v>_</v>
      </c>
    </row>
    <row r="1212" spans="8:8">
      <c r="H1212" s="63" t="str">
        <f t="shared" si="18"/>
        <v>_</v>
      </c>
    </row>
    <row r="1213" spans="8:8">
      <c r="H1213" s="63" t="str">
        <f t="shared" si="18"/>
        <v>_</v>
      </c>
    </row>
    <row r="1214" spans="8:8">
      <c r="H1214" s="63" t="str">
        <f t="shared" si="18"/>
        <v>_</v>
      </c>
    </row>
    <row r="1215" spans="8:8">
      <c r="H1215" s="63" t="str">
        <f t="shared" si="18"/>
        <v>_</v>
      </c>
    </row>
    <row r="1216" spans="8:8">
      <c r="H1216" s="63" t="str">
        <f t="shared" si="18"/>
        <v>_</v>
      </c>
    </row>
    <row r="1217" spans="8:8">
      <c r="H1217" s="63" t="str">
        <f t="shared" si="18"/>
        <v>_</v>
      </c>
    </row>
    <row r="1218" spans="8:8">
      <c r="H1218" s="63" t="str">
        <f t="shared" si="18"/>
        <v>_</v>
      </c>
    </row>
    <row r="1219" spans="8:8">
      <c r="H1219" s="63" t="str">
        <f t="shared" ref="H1219:H1282" si="19">IF(OR(MID(A1219,6,10)="NASPP",MID(A1219,6,10)="RASPP"),"RNASPP",IF(OR(MID(A1219,6,10)="NSFAP",MID(A1219,6,10)="RSPOA"),"RNSPOA",IF(OR(A1219="ULGALLOC",A1219="ULSPOOL"),A1219,IF(MID(A1219,6,5)="ANSSP","ASSP1",MID(A1219,6,10)))))&amp;"_"&amp;B1219</f>
        <v>_</v>
      </c>
    </row>
    <row r="1220" spans="8:8">
      <c r="H1220" s="63" t="str">
        <f t="shared" si="19"/>
        <v>_</v>
      </c>
    </row>
    <row r="1221" spans="8:8">
      <c r="H1221" s="63" t="str">
        <f t="shared" si="19"/>
        <v>_</v>
      </c>
    </row>
    <row r="1222" spans="8:8">
      <c r="H1222" s="63" t="str">
        <f t="shared" si="19"/>
        <v>_</v>
      </c>
    </row>
    <row r="1223" spans="8:8">
      <c r="H1223" s="63" t="str">
        <f t="shared" si="19"/>
        <v>_</v>
      </c>
    </row>
    <row r="1224" spans="8:8">
      <c r="H1224" s="63" t="str">
        <f t="shared" si="19"/>
        <v>_</v>
      </c>
    </row>
    <row r="1225" spans="8:8">
      <c r="H1225" s="63" t="str">
        <f t="shared" si="19"/>
        <v>_</v>
      </c>
    </row>
    <row r="1226" spans="8:8">
      <c r="H1226" s="63" t="str">
        <f t="shared" si="19"/>
        <v>_</v>
      </c>
    </row>
    <row r="1227" spans="8:8">
      <c r="H1227" s="63" t="str">
        <f t="shared" si="19"/>
        <v>_</v>
      </c>
    </row>
    <row r="1228" spans="8:8">
      <c r="H1228" s="63" t="str">
        <f t="shared" si="19"/>
        <v>_</v>
      </c>
    </row>
    <row r="1229" spans="8:8">
      <c r="H1229" s="63" t="str">
        <f t="shared" si="19"/>
        <v>_</v>
      </c>
    </row>
    <row r="1230" spans="8:8">
      <c r="H1230" s="63" t="str">
        <f t="shared" si="19"/>
        <v>_</v>
      </c>
    </row>
    <row r="1231" spans="8:8">
      <c r="H1231" s="63" t="str">
        <f t="shared" si="19"/>
        <v>_</v>
      </c>
    </row>
    <row r="1232" spans="8:8">
      <c r="H1232" s="63" t="str">
        <f t="shared" si="19"/>
        <v>_</v>
      </c>
    </row>
    <row r="1233" spans="8:8">
      <c r="H1233" s="63" t="str">
        <f t="shared" si="19"/>
        <v>_</v>
      </c>
    </row>
    <row r="1234" spans="8:8">
      <c r="H1234" s="63" t="str">
        <f t="shared" si="19"/>
        <v>_</v>
      </c>
    </row>
    <row r="1235" spans="8:8">
      <c r="H1235" s="63" t="str">
        <f t="shared" si="19"/>
        <v>_</v>
      </c>
    </row>
    <row r="1236" spans="8:8">
      <c r="H1236" s="63" t="str">
        <f t="shared" si="19"/>
        <v>_</v>
      </c>
    </row>
    <row r="1237" spans="8:8">
      <c r="H1237" s="63" t="str">
        <f t="shared" si="19"/>
        <v>_</v>
      </c>
    </row>
    <row r="1238" spans="8:8">
      <c r="H1238" s="63" t="str">
        <f t="shared" si="19"/>
        <v>_</v>
      </c>
    </row>
    <row r="1239" spans="8:8">
      <c r="H1239" s="63" t="str">
        <f t="shared" si="19"/>
        <v>_</v>
      </c>
    </row>
    <row r="1240" spans="8:8">
      <c r="H1240" s="63" t="str">
        <f t="shared" si="19"/>
        <v>_</v>
      </c>
    </row>
    <row r="1241" spans="8:8">
      <c r="H1241" s="63" t="str">
        <f t="shared" si="19"/>
        <v>_</v>
      </c>
    </row>
    <row r="1242" spans="8:8">
      <c r="H1242" s="63" t="str">
        <f t="shared" si="19"/>
        <v>_</v>
      </c>
    </row>
    <row r="1243" spans="8:8">
      <c r="H1243" s="63" t="str">
        <f t="shared" si="19"/>
        <v>_</v>
      </c>
    </row>
    <row r="1244" spans="8:8">
      <c r="H1244" s="63" t="str">
        <f t="shared" si="19"/>
        <v>_</v>
      </c>
    </row>
    <row r="1245" spans="8:8">
      <c r="H1245" s="63" t="str">
        <f t="shared" si="19"/>
        <v>_</v>
      </c>
    </row>
    <row r="1246" spans="8:8">
      <c r="H1246" s="63" t="str">
        <f t="shared" si="19"/>
        <v>_</v>
      </c>
    </row>
    <row r="1247" spans="8:8">
      <c r="H1247" s="63" t="str">
        <f t="shared" si="19"/>
        <v>_</v>
      </c>
    </row>
    <row r="1248" spans="8:8">
      <c r="H1248" s="63" t="str">
        <f t="shared" si="19"/>
        <v>_</v>
      </c>
    </row>
    <row r="1249" spans="8:8">
      <c r="H1249" s="63" t="str">
        <f t="shared" si="19"/>
        <v>_</v>
      </c>
    </row>
    <row r="1250" spans="8:8">
      <c r="H1250" s="63" t="str">
        <f t="shared" si="19"/>
        <v>_</v>
      </c>
    </row>
    <row r="1251" spans="8:8">
      <c r="H1251" s="63" t="str">
        <f t="shared" si="19"/>
        <v>_</v>
      </c>
    </row>
    <row r="1252" spans="8:8">
      <c r="H1252" s="63" t="str">
        <f t="shared" si="19"/>
        <v>_</v>
      </c>
    </row>
    <row r="1253" spans="8:8">
      <c r="H1253" s="63" t="str">
        <f t="shared" si="19"/>
        <v>_</v>
      </c>
    </row>
    <row r="1254" spans="8:8">
      <c r="H1254" s="63" t="str">
        <f t="shared" si="19"/>
        <v>_</v>
      </c>
    </row>
    <row r="1255" spans="8:8">
      <c r="H1255" s="63" t="str">
        <f t="shared" si="19"/>
        <v>_</v>
      </c>
    </row>
    <row r="1256" spans="8:8">
      <c r="H1256" s="63" t="str">
        <f t="shared" si="19"/>
        <v>_</v>
      </c>
    </row>
    <row r="1257" spans="8:8">
      <c r="H1257" s="63" t="str">
        <f t="shared" si="19"/>
        <v>_</v>
      </c>
    </row>
    <row r="1258" spans="8:8">
      <c r="H1258" s="63" t="str">
        <f t="shared" si="19"/>
        <v>_</v>
      </c>
    </row>
    <row r="1259" spans="8:8">
      <c r="H1259" s="63" t="str">
        <f t="shared" si="19"/>
        <v>_</v>
      </c>
    </row>
    <row r="1260" spans="8:8">
      <c r="H1260" s="63" t="str">
        <f t="shared" si="19"/>
        <v>_</v>
      </c>
    </row>
    <row r="1261" spans="8:8">
      <c r="H1261" s="63" t="str">
        <f t="shared" si="19"/>
        <v>_</v>
      </c>
    </row>
    <row r="1262" spans="8:8">
      <c r="H1262" s="63" t="str">
        <f t="shared" si="19"/>
        <v>_</v>
      </c>
    </row>
    <row r="1263" spans="8:8">
      <c r="H1263" s="63" t="str">
        <f t="shared" si="19"/>
        <v>_</v>
      </c>
    </row>
    <row r="1264" spans="8:8">
      <c r="H1264" s="63" t="str">
        <f t="shared" si="19"/>
        <v>_</v>
      </c>
    </row>
    <row r="1265" spans="8:8">
      <c r="H1265" s="63" t="str">
        <f t="shared" si="19"/>
        <v>_</v>
      </c>
    </row>
    <row r="1266" spans="8:8">
      <c r="H1266" s="63" t="str">
        <f t="shared" si="19"/>
        <v>_</v>
      </c>
    </row>
    <row r="1267" spans="8:8">
      <c r="H1267" s="63" t="str">
        <f t="shared" si="19"/>
        <v>_</v>
      </c>
    </row>
    <row r="1268" spans="8:8">
      <c r="H1268" s="63" t="str">
        <f t="shared" si="19"/>
        <v>_</v>
      </c>
    </row>
    <row r="1269" spans="8:8">
      <c r="H1269" s="63" t="str">
        <f t="shared" si="19"/>
        <v>_</v>
      </c>
    </row>
    <row r="1270" spans="8:8">
      <c r="H1270" s="63" t="str">
        <f t="shared" si="19"/>
        <v>_</v>
      </c>
    </row>
    <row r="1271" spans="8:8">
      <c r="H1271" s="63" t="str">
        <f t="shared" si="19"/>
        <v>_</v>
      </c>
    </row>
    <row r="1272" spans="8:8">
      <c r="H1272" s="63" t="str">
        <f t="shared" si="19"/>
        <v>_</v>
      </c>
    </row>
    <row r="1273" spans="8:8">
      <c r="H1273" s="63" t="str">
        <f t="shared" si="19"/>
        <v>_</v>
      </c>
    </row>
    <row r="1274" spans="8:8">
      <c r="H1274" s="63" t="str">
        <f t="shared" si="19"/>
        <v>_</v>
      </c>
    </row>
    <row r="1275" spans="8:8">
      <c r="H1275" s="63" t="str">
        <f t="shared" si="19"/>
        <v>_</v>
      </c>
    </row>
    <row r="1276" spans="8:8">
      <c r="H1276" s="63" t="str">
        <f t="shared" si="19"/>
        <v>_</v>
      </c>
    </row>
    <row r="1277" spans="8:8">
      <c r="H1277" s="63" t="str">
        <f t="shared" si="19"/>
        <v>_</v>
      </c>
    </row>
    <row r="1278" spans="8:8">
      <c r="H1278" s="63" t="str">
        <f t="shared" si="19"/>
        <v>_</v>
      </c>
    </row>
    <row r="1279" spans="8:8">
      <c r="H1279" s="63" t="str">
        <f t="shared" si="19"/>
        <v>_</v>
      </c>
    </row>
    <row r="1280" spans="8:8">
      <c r="H1280" s="63" t="str">
        <f t="shared" si="19"/>
        <v>_</v>
      </c>
    </row>
    <row r="1281" spans="8:8">
      <c r="H1281" s="63" t="str">
        <f t="shared" si="19"/>
        <v>_</v>
      </c>
    </row>
    <row r="1282" spans="8:8">
      <c r="H1282" s="63" t="str">
        <f t="shared" si="19"/>
        <v>_</v>
      </c>
    </row>
    <row r="1283" spans="8:8">
      <c r="H1283" s="63" t="str">
        <f t="shared" ref="H1283:H1346" si="20">IF(OR(MID(A1283,6,10)="NASPP",MID(A1283,6,10)="RASPP"),"RNASPP",IF(OR(MID(A1283,6,10)="NSFAP",MID(A1283,6,10)="RSPOA"),"RNSPOA",IF(OR(A1283="ULGALLOC",A1283="ULSPOOL"),A1283,IF(MID(A1283,6,5)="ANSSP","ASSP1",MID(A1283,6,10)))))&amp;"_"&amp;B1283</f>
        <v>_</v>
      </c>
    </row>
    <row r="1284" spans="8:8">
      <c r="H1284" s="63" t="str">
        <f t="shared" si="20"/>
        <v>_</v>
      </c>
    </row>
    <row r="1285" spans="8:8">
      <c r="H1285" s="63" t="str">
        <f t="shared" si="20"/>
        <v>_</v>
      </c>
    </row>
    <row r="1286" spans="8:8">
      <c r="H1286" s="63" t="str">
        <f t="shared" si="20"/>
        <v>_</v>
      </c>
    </row>
    <row r="1287" spans="8:8">
      <c r="H1287" s="63" t="str">
        <f t="shared" si="20"/>
        <v>_</v>
      </c>
    </row>
    <row r="1288" spans="8:8">
      <c r="H1288" s="63" t="str">
        <f t="shared" si="20"/>
        <v>_</v>
      </c>
    </row>
    <row r="1289" spans="8:8">
      <c r="H1289" s="63" t="str">
        <f t="shared" si="20"/>
        <v>_</v>
      </c>
    </row>
    <row r="1290" spans="8:8">
      <c r="H1290" s="63" t="str">
        <f t="shared" si="20"/>
        <v>_</v>
      </c>
    </row>
    <row r="1291" spans="8:8">
      <c r="H1291" s="63" t="str">
        <f t="shared" si="20"/>
        <v>_</v>
      </c>
    </row>
    <row r="1292" spans="8:8">
      <c r="H1292" s="63" t="str">
        <f t="shared" si="20"/>
        <v>_</v>
      </c>
    </row>
    <row r="1293" spans="8:8">
      <c r="H1293" s="63" t="str">
        <f t="shared" si="20"/>
        <v>_</v>
      </c>
    </row>
    <row r="1294" spans="8:8">
      <c r="H1294" s="63" t="str">
        <f t="shared" si="20"/>
        <v>_</v>
      </c>
    </row>
    <row r="1295" spans="8:8">
      <c r="H1295" s="63" t="str">
        <f t="shared" si="20"/>
        <v>_</v>
      </c>
    </row>
    <row r="1296" spans="8:8">
      <c r="H1296" s="63" t="str">
        <f t="shared" si="20"/>
        <v>_</v>
      </c>
    </row>
    <row r="1297" spans="8:8">
      <c r="H1297" s="63" t="str">
        <f t="shared" si="20"/>
        <v>_</v>
      </c>
    </row>
    <row r="1298" spans="8:8">
      <c r="H1298" s="63" t="str">
        <f t="shared" si="20"/>
        <v>_</v>
      </c>
    </row>
    <row r="1299" spans="8:8">
      <c r="H1299" s="63" t="str">
        <f t="shared" si="20"/>
        <v>_</v>
      </c>
    </row>
    <row r="1300" spans="8:8">
      <c r="H1300" s="63" t="str">
        <f t="shared" si="20"/>
        <v>_</v>
      </c>
    </row>
    <row r="1301" spans="8:8">
      <c r="H1301" s="63" t="str">
        <f t="shared" si="20"/>
        <v>_</v>
      </c>
    </row>
    <row r="1302" spans="8:8">
      <c r="H1302" s="63" t="str">
        <f t="shared" si="20"/>
        <v>_</v>
      </c>
    </row>
    <row r="1303" spans="8:8">
      <c r="H1303" s="63" t="str">
        <f t="shared" si="20"/>
        <v>_</v>
      </c>
    </row>
    <row r="1304" spans="8:8">
      <c r="H1304" s="63" t="str">
        <f t="shared" si="20"/>
        <v>_</v>
      </c>
    </row>
    <row r="1305" spans="8:8">
      <c r="H1305" s="63" t="str">
        <f t="shared" si="20"/>
        <v>_</v>
      </c>
    </row>
    <row r="1306" spans="8:8">
      <c r="H1306" s="63" t="str">
        <f t="shared" si="20"/>
        <v>_</v>
      </c>
    </row>
    <row r="1307" spans="8:8">
      <c r="H1307" s="63" t="str">
        <f t="shared" si="20"/>
        <v>_</v>
      </c>
    </row>
    <row r="1308" spans="8:8">
      <c r="H1308" s="63" t="str">
        <f t="shared" si="20"/>
        <v>_</v>
      </c>
    </row>
    <row r="1309" spans="8:8">
      <c r="H1309" s="63" t="str">
        <f t="shared" si="20"/>
        <v>_</v>
      </c>
    </row>
    <row r="1310" spans="8:8">
      <c r="H1310" s="63" t="str">
        <f t="shared" si="20"/>
        <v>_</v>
      </c>
    </row>
    <row r="1311" spans="8:8">
      <c r="H1311" s="63" t="str">
        <f t="shared" si="20"/>
        <v>_</v>
      </c>
    </row>
    <row r="1312" spans="8:8">
      <c r="H1312" s="63" t="str">
        <f t="shared" si="20"/>
        <v>_</v>
      </c>
    </row>
    <row r="1313" spans="8:8">
      <c r="H1313" s="63" t="str">
        <f t="shared" si="20"/>
        <v>_</v>
      </c>
    </row>
    <row r="1314" spans="8:8">
      <c r="H1314" s="63" t="str">
        <f t="shared" si="20"/>
        <v>_</v>
      </c>
    </row>
    <row r="1315" spans="8:8">
      <c r="H1315" s="63" t="str">
        <f t="shared" si="20"/>
        <v>_</v>
      </c>
    </row>
    <row r="1316" spans="8:8">
      <c r="H1316" s="63" t="str">
        <f t="shared" si="20"/>
        <v>_</v>
      </c>
    </row>
    <row r="1317" spans="8:8">
      <c r="H1317" s="63" t="str">
        <f t="shared" si="20"/>
        <v>_</v>
      </c>
    </row>
    <row r="1318" spans="8:8">
      <c r="H1318" s="63" t="str">
        <f t="shared" si="20"/>
        <v>_</v>
      </c>
    </row>
    <row r="1319" spans="8:8">
      <c r="H1319" s="63" t="str">
        <f t="shared" si="20"/>
        <v>_</v>
      </c>
    </row>
    <row r="1320" spans="8:8">
      <c r="H1320" s="63" t="str">
        <f t="shared" si="20"/>
        <v>_</v>
      </c>
    </row>
    <row r="1321" spans="8:8">
      <c r="H1321" s="63" t="str">
        <f t="shared" si="20"/>
        <v>_</v>
      </c>
    </row>
    <row r="1322" spans="8:8">
      <c r="H1322" s="63" t="str">
        <f t="shared" si="20"/>
        <v>_</v>
      </c>
    </row>
    <row r="1323" spans="8:8">
      <c r="H1323" s="63" t="str">
        <f t="shared" si="20"/>
        <v>_</v>
      </c>
    </row>
    <row r="1324" spans="8:8">
      <c r="H1324" s="63" t="str">
        <f t="shared" si="20"/>
        <v>_</v>
      </c>
    </row>
    <row r="1325" spans="8:8">
      <c r="H1325" s="63" t="str">
        <f t="shared" si="20"/>
        <v>_</v>
      </c>
    </row>
    <row r="1326" spans="8:8">
      <c r="H1326" s="63" t="str">
        <f t="shared" si="20"/>
        <v>_</v>
      </c>
    </row>
    <row r="1327" spans="8:8">
      <c r="H1327" s="63" t="str">
        <f t="shared" si="20"/>
        <v>_</v>
      </c>
    </row>
    <row r="1328" spans="8:8">
      <c r="H1328" s="63" t="str">
        <f t="shared" si="20"/>
        <v>_</v>
      </c>
    </row>
    <row r="1329" spans="8:8">
      <c r="H1329" s="63" t="str">
        <f t="shared" si="20"/>
        <v>_</v>
      </c>
    </row>
    <row r="1330" spans="8:8">
      <c r="H1330" s="63" t="str">
        <f t="shared" si="20"/>
        <v>_</v>
      </c>
    </row>
    <row r="1331" spans="8:8">
      <c r="H1331" s="63" t="str">
        <f t="shared" si="20"/>
        <v>_</v>
      </c>
    </row>
    <row r="1332" spans="8:8">
      <c r="H1332" s="63" t="str">
        <f t="shared" si="20"/>
        <v>_</v>
      </c>
    </row>
    <row r="1333" spans="8:8">
      <c r="H1333" s="63" t="str">
        <f t="shared" si="20"/>
        <v>_</v>
      </c>
    </row>
    <row r="1334" spans="8:8">
      <c r="H1334" s="63" t="str">
        <f t="shared" si="20"/>
        <v>_</v>
      </c>
    </row>
    <row r="1335" spans="8:8">
      <c r="H1335" s="63" t="str">
        <f t="shared" si="20"/>
        <v>_</v>
      </c>
    </row>
    <row r="1336" spans="8:8">
      <c r="H1336" s="63" t="str">
        <f t="shared" si="20"/>
        <v>_</v>
      </c>
    </row>
    <row r="1337" spans="8:8">
      <c r="H1337" s="63" t="str">
        <f t="shared" si="20"/>
        <v>_</v>
      </c>
    </row>
    <row r="1338" spans="8:8">
      <c r="H1338" s="63" t="str">
        <f t="shared" si="20"/>
        <v>_</v>
      </c>
    </row>
    <row r="1339" spans="8:8">
      <c r="H1339" s="63" t="str">
        <f t="shared" si="20"/>
        <v>_</v>
      </c>
    </row>
    <row r="1340" spans="8:8">
      <c r="H1340" s="63" t="str">
        <f t="shared" si="20"/>
        <v>_</v>
      </c>
    </row>
    <row r="1341" spans="8:8">
      <c r="H1341" s="63" t="str">
        <f t="shared" si="20"/>
        <v>_</v>
      </c>
    </row>
    <row r="1342" spans="8:8">
      <c r="H1342" s="63" t="str">
        <f t="shared" si="20"/>
        <v>_</v>
      </c>
    </row>
    <row r="1343" spans="8:8">
      <c r="H1343" s="63" t="str">
        <f t="shared" si="20"/>
        <v>_</v>
      </c>
    </row>
    <row r="1344" spans="8:8">
      <c r="H1344" s="63" t="str">
        <f t="shared" si="20"/>
        <v>_</v>
      </c>
    </row>
    <row r="1345" spans="8:8">
      <c r="H1345" s="63" t="str">
        <f t="shared" si="20"/>
        <v>_</v>
      </c>
    </row>
    <row r="1346" spans="8:8">
      <c r="H1346" s="63" t="str">
        <f t="shared" si="20"/>
        <v>_</v>
      </c>
    </row>
    <row r="1347" spans="8:8">
      <c r="H1347" s="63" t="str">
        <f t="shared" ref="H1347:H1410" si="21">IF(OR(MID(A1347,6,10)="NASPP",MID(A1347,6,10)="RASPP"),"RNASPP",IF(OR(MID(A1347,6,10)="NSFAP",MID(A1347,6,10)="RSPOA"),"RNSPOA",IF(OR(A1347="ULGALLOC",A1347="ULSPOOL"),A1347,IF(MID(A1347,6,5)="ANSSP","ASSP1",MID(A1347,6,10)))))&amp;"_"&amp;B1347</f>
        <v>_</v>
      </c>
    </row>
    <row r="1348" spans="8:8">
      <c r="H1348" s="63" t="str">
        <f t="shared" si="21"/>
        <v>_</v>
      </c>
    </row>
    <row r="1349" spans="8:8">
      <c r="H1349" s="63" t="str">
        <f t="shared" si="21"/>
        <v>_</v>
      </c>
    </row>
    <row r="1350" spans="8:8">
      <c r="H1350" s="63" t="str">
        <f t="shared" si="21"/>
        <v>_</v>
      </c>
    </row>
    <row r="1351" spans="8:8">
      <c r="H1351" s="63" t="str">
        <f t="shared" si="21"/>
        <v>_</v>
      </c>
    </row>
    <row r="1352" spans="8:8">
      <c r="H1352" s="63" t="str">
        <f t="shared" si="21"/>
        <v>_</v>
      </c>
    </row>
    <row r="1353" spans="8:8">
      <c r="H1353" s="63" t="str">
        <f t="shared" si="21"/>
        <v>_</v>
      </c>
    </row>
    <row r="1354" spans="8:8">
      <c r="H1354" s="63" t="str">
        <f t="shared" si="21"/>
        <v>_</v>
      </c>
    </row>
    <row r="1355" spans="8:8">
      <c r="H1355" s="63" t="str">
        <f t="shared" si="21"/>
        <v>_</v>
      </c>
    </row>
    <row r="1356" spans="8:8">
      <c r="H1356" s="63" t="str">
        <f t="shared" si="21"/>
        <v>_</v>
      </c>
    </row>
    <row r="1357" spans="8:8">
      <c r="H1357" s="63" t="str">
        <f t="shared" si="21"/>
        <v>_</v>
      </c>
    </row>
    <row r="1358" spans="8:8">
      <c r="H1358" s="63" t="str">
        <f t="shared" si="21"/>
        <v>_</v>
      </c>
    </row>
    <row r="1359" spans="8:8">
      <c r="H1359" s="63" t="str">
        <f t="shared" si="21"/>
        <v>_</v>
      </c>
    </row>
    <row r="1360" spans="8:8">
      <c r="H1360" s="63" t="str">
        <f t="shared" si="21"/>
        <v>_</v>
      </c>
    </row>
    <row r="1361" spans="8:8">
      <c r="H1361" s="63" t="str">
        <f t="shared" si="21"/>
        <v>_</v>
      </c>
    </row>
    <row r="1362" spans="8:8">
      <c r="H1362" s="63" t="str">
        <f t="shared" si="21"/>
        <v>_</v>
      </c>
    </row>
    <row r="1363" spans="8:8">
      <c r="H1363" s="63" t="str">
        <f t="shared" si="21"/>
        <v>_</v>
      </c>
    </row>
    <row r="1364" spans="8:8">
      <c r="H1364" s="63" t="str">
        <f t="shared" si="21"/>
        <v>_</v>
      </c>
    </row>
    <row r="1365" spans="8:8">
      <c r="H1365" s="63" t="str">
        <f t="shared" si="21"/>
        <v>_</v>
      </c>
    </row>
    <row r="1366" spans="8:8">
      <c r="H1366" s="63" t="str">
        <f t="shared" si="21"/>
        <v>_</v>
      </c>
    </row>
    <row r="1367" spans="8:8">
      <c r="H1367" s="63" t="str">
        <f t="shared" si="21"/>
        <v>_</v>
      </c>
    </row>
    <row r="1368" spans="8:8">
      <c r="H1368" s="63" t="str">
        <f t="shared" si="21"/>
        <v>_</v>
      </c>
    </row>
    <row r="1369" spans="8:8">
      <c r="H1369" s="63" t="str">
        <f t="shared" si="21"/>
        <v>_</v>
      </c>
    </row>
    <row r="1370" spans="8:8">
      <c r="H1370" s="63" t="str">
        <f t="shared" si="21"/>
        <v>_</v>
      </c>
    </row>
    <row r="1371" spans="8:8">
      <c r="H1371" s="63" t="str">
        <f t="shared" si="21"/>
        <v>_</v>
      </c>
    </row>
    <row r="1372" spans="8:8">
      <c r="H1372" s="63" t="str">
        <f t="shared" si="21"/>
        <v>_</v>
      </c>
    </row>
    <row r="1373" spans="8:8">
      <c r="H1373" s="63" t="str">
        <f t="shared" si="21"/>
        <v>_</v>
      </c>
    </row>
    <row r="1374" spans="8:8">
      <c r="H1374" s="63" t="str">
        <f t="shared" si="21"/>
        <v>_</v>
      </c>
    </row>
    <row r="1375" spans="8:8">
      <c r="H1375" s="63" t="str">
        <f t="shared" si="21"/>
        <v>_</v>
      </c>
    </row>
    <row r="1376" spans="8:8">
      <c r="H1376" s="63" t="str">
        <f t="shared" si="21"/>
        <v>_</v>
      </c>
    </row>
    <row r="1377" spans="8:8">
      <c r="H1377" s="63" t="str">
        <f t="shared" si="21"/>
        <v>_</v>
      </c>
    </row>
    <row r="1378" spans="8:8">
      <c r="H1378" s="63" t="str">
        <f t="shared" si="21"/>
        <v>_</v>
      </c>
    </row>
    <row r="1379" spans="8:8">
      <c r="H1379" s="63" t="str">
        <f t="shared" si="21"/>
        <v>_</v>
      </c>
    </row>
    <row r="1380" spans="8:8">
      <c r="H1380" s="63" t="str">
        <f t="shared" si="21"/>
        <v>_</v>
      </c>
    </row>
    <row r="1381" spans="8:8">
      <c r="H1381" s="63" t="str">
        <f t="shared" si="21"/>
        <v>_</v>
      </c>
    </row>
    <row r="1382" spans="8:8">
      <c r="H1382" s="63" t="str">
        <f t="shared" si="21"/>
        <v>_</v>
      </c>
    </row>
    <row r="1383" spans="8:8">
      <c r="H1383" s="63" t="str">
        <f t="shared" si="21"/>
        <v>_</v>
      </c>
    </row>
    <row r="1384" spans="8:8">
      <c r="H1384" s="63" t="str">
        <f t="shared" si="21"/>
        <v>_</v>
      </c>
    </row>
    <row r="1385" spans="8:8">
      <c r="H1385" s="63" t="str">
        <f t="shared" si="21"/>
        <v>_</v>
      </c>
    </row>
    <row r="1386" spans="8:8">
      <c r="H1386" s="63" t="str">
        <f t="shared" si="21"/>
        <v>_</v>
      </c>
    </row>
    <row r="1387" spans="8:8">
      <c r="H1387" s="63" t="str">
        <f t="shared" si="21"/>
        <v>_</v>
      </c>
    </row>
    <row r="1388" spans="8:8">
      <c r="H1388" s="63" t="str">
        <f t="shared" si="21"/>
        <v>_</v>
      </c>
    </row>
    <row r="1389" spans="8:8">
      <c r="H1389" s="63" t="str">
        <f t="shared" si="21"/>
        <v>_</v>
      </c>
    </row>
    <row r="1390" spans="8:8">
      <c r="H1390" s="63" t="str">
        <f t="shared" si="21"/>
        <v>_</v>
      </c>
    </row>
    <row r="1391" spans="8:8">
      <c r="H1391" s="63" t="str">
        <f t="shared" si="21"/>
        <v>_</v>
      </c>
    </row>
    <row r="1392" spans="8:8">
      <c r="H1392" s="63" t="str">
        <f t="shared" si="21"/>
        <v>_</v>
      </c>
    </row>
    <row r="1393" spans="8:8">
      <c r="H1393" s="63" t="str">
        <f t="shared" si="21"/>
        <v>_</v>
      </c>
    </row>
    <row r="1394" spans="8:8">
      <c r="H1394" s="63" t="str">
        <f t="shared" si="21"/>
        <v>_</v>
      </c>
    </row>
    <row r="1395" spans="8:8">
      <c r="H1395" s="63" t="str">
        <f t="shared" si="21"/>
        <v>_</v>
      </c>
    </row>
    <row r="1396" spans="8:8">
      <c r="H1396" s="63" t="str">
        <f t="shared" si="21"/>
        <v>_</v>
      </c>
    </row>
    <row r="1397" spans="8:8">
      <c r="H1397" s="63" t="str">
        <f t="shared" si="21"/>
        <v>_</v>
      </c>
    </row>
    <row r="1398" spans="8:8">
      <c r="H1398" s="63" t="str">
        <f t="shared" si="21"/>
        <v>_</v>
      </c>
    </row>
    <row r="1399" spans="8:8">
      <c r="H1399" s="63" t="str">
        <f t="shared" si="21"/>
        <v>_</v>
      </c>
    </row>
    <row r="1400" spans="8:8">
      <c r="H1400" s="63" t="str">
        <f t="shared" si="21"/>
        <v>_</v>
      </c>
    </row>
    <row r="1401" spans="8:8">
      <c r="H1401" s="63" t="str">
        <f t="shared" si="21"/>
        <v>_</v>
      </c>
    </row>
    <row r="1402" spans="8:8">
      <c r="H1402" s="63" t="str">
        <f t="shared" si="21"/>
        <v>_</v>
      </c>
    </row>
    <row r="1403" spans="8:8">
      <c r="H1403" s="63" t="str">
        <f t="shared" si="21"/>
        <v>_</v>
      </c>
    </row>
    <row r="1404" spans="8:8">
      <c r="H1404" s="63" t="str">
        <f t="shared" si="21"/>
        <v>_</v>
      </c>
    </row>
    <row r="1405" spans="8:8">
      <c r="H1405" s="63" t="str">
        <f t="shared" si="21"/>
        <v>_</v>
      </c>
    </row>
    <row r="1406" spans="8:8">
      <c r="H1406" s="63" t="str">
        <f t="shared" si="21"/>
        <v>_</v>
      </c>
    </row>
    <row r="1407" spans="8:8">
      <c r="H1407" s="63" t="str">
        <f t="shared" si="21"/>
        <v>_</v>
      </c>
    </row>
    <row r="1408" spans="8:8">
      <c r="H1408" s="63" t="str">
        <f t="shared" si="21"/>
        <v>_</v>
      </c>
    </row>
    <row r="1409" spans="8:8">
      <c r="H1409" s="63" t="str">
        <f t="shared" si="21"/>
        <v>_</v>
      </c>
    </row>
    <row r="1410" spans="8:8">
      <c r="H1410" s="63" t="str">
        <f t="shared" si="21"/>
        <v>_</v>
      </c>
    </row>
    <row r="1411" spans="8:8">
      <c r="H1411" s="63" t="str">
        <f t="shared" ref="H1411:H1474" si="22">IF(OR(MID(A1411,6,10)="NASPP",MID(A1411,6,10)="RASPP"),"RNASPP",IF(OR(MID(A1411,6,10)="NSFAP",MID(A1411,6,10)="RSPOA"),"RNSPOA",IF(OR(A1411="ULGALLOC",A1411="ULSPOOL"),A1411,IF(MID(A1411,6,5)="ANSSP","ASSP1",MID(A1411,6,10)))))&amp;"_"&amp;B1411</f>
        <v>_</v>
      </c>
    </row>
    <row r="1412" spans="8:8">
      <c r="H1412" s="63" t="str">
        <f t="shared" si="22"/>
        <v>_</v>
      </c>
    </row>
    <row r="1413" spans="8:8">
      <c r="H1413" s="63" t="str">
        <f t="shared" si="22"/>
        <v>_</v>
      </c>
    </row>
    <row r="1414" spans="8:8">
      <c r="H1414" s="63" t="str">
        <f t="shared" si="22"/>
        <v>_</v>
      </c>
    </row>
    <row r="1415" spans="8:8">
      <c r="H1415" s="63" t="str">
        <f t="shared" si="22"/>
        <v>_</v>
      </c>
    </row>
    <row r="1416" spans="8:8">
      <c r="H1416" s="63" t="str">
        <f t="shared" si="22"/>
        <v>_</v>
      </c>
    </row>
    <row r="1417" spans="8:8">
      <c r="H1417" s="63" t="str">
        <f t="shared" si="22"/>
        <v>_</v>
      </c>
    </row>
    <row r="1418" spans="8:8">
      <c r="H1418" s="63" t="str">
        <f t="shared" si="22"/>
        <v>_</v>
      </c>
    </row>
    <row r="1419" spans="8:8">
      <c r="H1419" s="63" t="str">
        <f t="shared" si="22"/>
        <v>_</v>
      </c>
    </row>
    <row r="1420" spans="8:8">
      <c r="H1420" s="63" t="str">
        <f t="shared" si="22"/>
        <v>_</v>
      </c>
    </row>
    <row r="1421" spans="8:8">
      <c r="H1421" s="63" t="str">
        <f t="shared" si="22"/>
        <v>_</v>
      </c>
    </row>
    <row r="1422" spans="8:8">
      <c r="H1422" s="63" t="str">
        <f t="shared" si="22"/>
        <v>_</v>
      </c>
    </row>
    <row r="1423" spans="8:8">
      <c r="H1423" s="63" t="str">
        <f t="shared" si="22"/>
        <v>_</v>
      </c>
    </row>
    <row r="1424" spans="8:8">
      <c r="H1424" s="63" t="str">
        <f t="shared" si="22"/>
        <v>_</v>
      </c>
    </row>
    <row r="1425" spans="8:8">
      <c r="H1425" s="63" t="str">
        <f t="shared" si="22"/>
        <v>_</v>
      </c>
    </row>
    <row r="1426" spans="8:8">
      <c r="H1426" s="63" t="str">
        <f t="shared" si="22"/>
        <v>_</v>
      </c>
    </row>
    <row r="1427" spans="8:8">
      <c r="H1427" s="63" t="str">
        <f t="shared" si="22"/>
        <v>_</v>
      </c>
    </row>
    <row r="1428" spans="8:8">
      <c r="H1428" s="63" t="str">
        <f t="shared" si="22"/>
        <v>_</v>
      </c>
    </row>
    <row r="1429" spans="8:8">
      <c r="H1429" s="63" t="str">
        <f t="shared" si="22"/>
        <v>_</v>
      </c>
    </row>
    <row r="1430" spans="8:8">
      <c r="H1430" s="63" t="str">
        <f t="shared" si="22"/>
        <v>_</v>
      </c>
    </row>
    <row r="1431" spans="8:8">
      <c r="H1431" s="63" t="str">
        <f t="shared" si="22"/>
        <v>_</v>
      </c>
    </row>
    <row r="1432" spans="8:8">
      <c r="H1432" s="63" t="str">
        <f t="shared" si="22"/>
        <v>_</v>
      </c>
    </row>
    <row r="1433" spans="8:8">
      <c r="H1433" s="63" t="str">
        <f t="shared" si="22"/>
        <v>_</v>
      </c>
    </row>
    <row r="1434" spans="8:8">
      <c r="H1434" s="63" t="str">
        <f t="shared" si="22"/>
        <v>_</v>
      </c>
    </row>
    <row r="1435" spans="8:8">
      <c r="H1435" s="63" t="str">
        <f t="shared" si="22"/>
        <v>_</v>
      </c>
    </row>
    <row r="1436" spans="8:8">
      <c r="H1436" s="63" t="str">
        <f t="shared" si="22"/>
        <v>_</v>
      </c>
    </row>
    <row r="1437" spans="8:8">
      <c r="H1437" s="63" t="str">
        <f t="shared" si="22"/>
        <v>_</v>
      </c>
    </row>
    <row r="1438" spans="8:8">
      <c r="H1438" s="63" t="str">
        <f t="shared" si="22"/>
        <v>_</v>
      </c>
    </row>
    <row r="1439" spans="8:8">
      <c r="H1439" s="63" t="str">
        <f t="shared" si="22"/>
        <v>_</v>
      </c>
    </row>
    <row r="1440" spans="8:8">
      <c r="H1440" s="63" t="str">
        <f t="shared" si="22"/>
        <v>_</v>
      </c>
    </row>
    <row r="1441" spans="8:8">
      <c r="H1441" s="63" t="str">
        <f t="shared" si="22"/>
        <v>_</v>
      </c>
    </row>
    <row r="1442" spans="8:8">
      <c r="H1442" s="63" t="str">
        <f t="shared" si="22"/>
        <v>_</v>
      </c>
    </row>
    <row r="1443" spans="8:8">
      <c r="H1443" s="63" t="str">
        <f t="shared" si="22"/>
        <v>_</v>
      </c>
    </row>
    <row r="1444" spans="8:8">
      <c r="H1444" s="63" t="str">
        <f t="shared" si="22"/>
        <v>_</v>
      </c>
    </row>
    <row r="1445" spans="8:8">
      <c r="H1445" s="63" t="str">
        <f t="shared" si="22"/>
        <v>_</v>
      </c>
    </row>
    <row r="1446" spans="8:8">
      <c r="H1446" s="63" t="str">
        <f t="shared" si="22"/>
        <v>_</v>
      </c>
    </row>
    <row r="1447" spans="8:8">
      <c r="H1447" s="63" t="str">
        <f t="shared" si="22"/>
        <v>_</v>
      </c>
    </row>
    <row r="1448" spans="8:8">
      <c r="H1448" s="63" t="str">
        <f t="shared" si="22"/>
        <v>_</v>
      </c>
    </row>
    <row r="1449" spans="8:8">
      <c r="H1449" s="63" t="str">
        <f t="shared" si="22"/>
        <v>_</v>
      </c>
    </row>
    <row r="1450" spans="8:8">
      <c r="H1450" s="63" t="str">
        <f t="shared" si="22"/>
        <v>_</v>
      </c>
    </row>
    <row r="1451" spans="8:8">
      <c r="H1451" s="63" t="str">
        <f t="shared" si="22"/>
        <v>_</v>
      </c>
    </row>
    <row r="1452" spans="8:8">
      <c r="H1452" s="63" t="str">
        <f t="shared" si="22"/>
        <v>_</v>
      </c>
    </row>
    <row r="1453" spans="8:8">
      <c r="H1453" s="63" t="str">
        <f t="shared" si="22"/>
        <v>_</v>
      </c>
    </row>
    <row r="1454" spans="8:8">
      <c r="H1454" s="63" t="str">
        <f t="shared" si="22"/>
        <v>_</v>
      </c>
    </row>
    <row r="1455" spans="8:8">
      <c r="H1455" s="63" t="str">
        <f t="shared" si="22"/>
        <v>_</v>
      </c>
    </row>
    <row r="1456" spans="8:8">
      <c r="H1456" s="63" t="str">
        <f t="shared" si="22"/>
        <v>_</v>
      </c>
    </row>
    <row r="1457" spans="8:8">
      <c r="H1457" s="63" t="str">
        <f t="shared" si="22"/>
        <v>_</v>
      </c>
    </row>
    <row r="1458" spans="8:8">
      <c r="H1458" s="63" t="str">
        <f t="shared" si="22"/>
        <v>_</v>
      </c>
    </row>
    <row r="1459" spans="8:8">
      <c r="H1459" s="63" t="str">
        <f t="shared" si="22"/>
        <v>_</v>
      </c>
    </row>
    <row r="1460" spans="8:8">
      <c r="H1460" s="63" t="str">
        <f t="shared" si="22"/>
        <v>_</v>
      </c>
    </row>
    <row r="1461" spans="8:8">
      <c r="H1461" s="63" t="str">
        <f t="shared" si="22"/>
        <v>_</v>
      </c>
    </row>
    <row r="1462" spans="8:8">
      <c r="H1462" s="63" t="str">
        <f t="shared" si="22"/>
        <v>_</v>
      </c>
    </row>
    <row r="1463" spans="8:8">
      <c r="H1463" s="63" t="str">
        <f t="shared" si="22"/>
        <v>_</v>
      </c>
    </row>
    <row r="1464" spans="8:8">
      <c r="H1464" s="63" t="str">
        <f t="shared" si="22"/>
        <v>_</v>
      </c>
    </row>
    <row r="1465" spans="8:8">
      <c r="H1465" s="63" t="str">
        <f t="shared" si="22"/>
        <v>_</v>
      </c>
    </row>
    <row r="1466" spans="8:8">
      <c r="H1466" s="63" t="str">
        <f t="shared" si="22"/>
        <v>_</v>
      </c>
    </row>
    <row r="1467" spans="8:8">
      <c r="H1467" s="63" t="str">
        <f t="shared" si="22"/>
        <v>_</v>
      </c>
    </row>
    <row r="1468" spans="8:8">
      <c r="H1468" s="63" t="str">
        <f t="shared" si="22"/>
        <v>_</v>
      </c>
    </row>
    <row r="1469" spans="8:8">
      <c r="H1469" s="63" t="str">
        <f t="shared" si="22"/>
        <v>_</v>
      </c>
    </row>
    <row r="1470" spans="8:8">
      <c r="H1470" s="63" t="str">
        <f t="shared" si="22"/>
        <v>_</v>
      </c>
    </row>
    <row r="1471" spans="8:8">
      <c r="H1471" s="63" t="str">
        <f t="shared" si="22"/>
        <v>_</v>
      </c>
    </row>
    <row r="1472" spans="8:8">
      <c r="H1472" s="63" t="str">
        <f t="shared" si="22"/>
        <v>_</v>
      </c>
    </row>
    <row r="1473" spans="8:8">
      <c r="H1473" s="63" t="str">
        <f t="shared" si="22"/>
        <v>_</v>
      </c>
    </row>
    <row r="1474" spans="8:8">
      <c r="H1474" s="63" t="str">
        <f t="shared" si="22"/>
        <v>_</v>
      </c>
    </row>
    <row r="1475" spans="8:8">
      <c r="H1475" s="63" t="str">
        <f t="shared" ref="H1475:H1538" si="23">IF(OR(MID(A1475,6,10)="NASPP",MID(A1475,6,10)="RASPP"),"RNASPP",IF(OR(MID(A1475,6,10)="NSFAP",MID(A1475,6,10)="RSPOA"),"RNSPOA",IF(OR(A1475="ULGALLOC",A1475="ULSPOOL"),A1475,IF(MID(A1475,6,5)="ANSSP","ASSP1",MID(A1475,6,10)))))&amp;"_"&amp;B1475</f>
        <v>_</v>
      </c>
    </row>
    <row r="1476" spans="8:8">
      <c r="H1476" s="63" t="str">
        <f t="shared" si="23"/>
        <v>_</v>
      </c>
    </row>
    <row r="1477" spans="8:8">
      <c r="H1477" s="63" t="str">
        <f t="shared" si="23"/>
        <v>_</v>
      </c>
    </row>
    <row r="1478" spans="8:8">
      <c r="H1478" s="63" t="str">
        <f t="shared" si="23"/>
        <v>_</v>
      </c>
    </row>
    <row r="1479" spans="8:8">
      <c r="H1479" s="63" t="str">
        <f t="shared" si="23"/>
        <v>_</v>
      </c>
    </row>
    <row r="1480" spans="8:8">
      <c r="H1480" s="63" t="str">
        <f t="shared" si="23"/>
        <v>_</v>
      </c>
    </row>
    <row r="1481" spans="8:8">
      <c r="H1481" s="63" t="str">
        <f t="shared" si="23"/>
        <v>_</v>
      </c>
    </row>
    <row r="1482" spans="8:8">
      <c r="H1482" s="63" t="str">
        <f t="shared" si="23"/>
        <v>_</v>
      </c>
    </row>
    <row r="1483" spans="8:8">
      <c r="H1483" s="63" t="str">
        <f t="shared" si="23"/>
        <v>_</v>
      </c>
    </row>
    <row r="1484" spans="8:8">
      <c r="H1484" s="63" t="str">
        <f t="shared" si="23"/>
        <v>_</v>
      </c>
    </row>
    <row r="1485" spans="8:8">
      <c r="H1485" s="63" t="str">
        <f t="shared" si="23"/>
        <v>_</v>
      </c>
    </row>
    <row r="1486" spans="8:8">
      <c r="H1486" s="63" t="str">
        <f t="shared" si="23"/>
        <v>_</v>
      </c>
    </row>
    <row r="1487" spans="8:8">
      <c r="H1487" s="63" t="str">
        <f t="shared" si="23"/>
        <v>_</v>
      </c>
    </row>
    <row r="1488" spans="8:8">
      <c r="H1488" s="63" t="str">
        <f t="shared" si="23"/>
        <v>_</v>
      </c>
    </row>
    <row r="1489" spans="8:8">
      <c r="H1489" s="63" t="str">
        <f t="shared" si="23"/>
        <v>_</v>
      </c>
    </row>
    <row r="1490" spans="8:8">
      <c r="H1490" s="63" t="str">
        <f t="shared" si="23"/>
        <v>_</v>
      </c>
    </row>
    <row r="1491" spans="8:8">
      <c r="H1491" s="63" t="str">
        <f t="shared" si="23"/>
        <v>_</v>
      </c>
    </row>
    <row r="1492" spans="8:8">
      <c r="H1492" s="63" t="str">
        <f t="shared" si="23"/>
        <v>_</v>
      </c>
    </row>
    <row r="1493" spans="8:8">
      <c r="H1493" s="63" t="str">
        <f t="shared" si="23"/>
        <v>_</v>
      </c>
    </row>
    <row r="1494" spans="8:8">
      <c r="H1494" s="63" t="str">
        <f t="shared" si="23"/>
        <v>_</v>
      </c>
    </row>
    <row r="1495" spans="8:8">
      <c r="H1495" s="63" t="str">
        <f t="shared" si="23"/>
        <v>_</v>
      </c>
    </row>
    <row r="1496" spans="8:8">
      <c r="H1496" s="63" t="str">
        <f t="shared" si="23"/>
        <v>_</v>
      </c>
    </row>
    <row r="1497" spans="8:8">
      <c r="H1497" s="63" t="str">
        <f t="shared" si="23"/>
        <v>_</v>
      </c>
    </row>
    <row r="1498" spans="8:8">
      <c r="H1498" s="63" t="str">
        <f t="shared" si="23"/>
        <v>_</v>
      </c>
    </row>
    <row r="1499" spans="8:8">
      <c r="H1499" s="63" t="str">
        <f t="shared" si="23"/>
        <v>_</v>
      </c>
    </row>
    <row r="1500" spans="8:8">
      <c r="H1500" s="63" t="str">
        <f t="shared" si="23"/>
        <v>_</v>
      </c>
    </row>
    <row r="1501" spans="8:8">
      <c r="H1501" s="63" t="str">
        <f t="shared" si="23"/>
        <v>_</v>
      </c>
    </row>
    <row r="1502" spans="8:8">
      <c r="H1502" s="63" t="str">
        <f t="shared" si="23"/>
        <v>_</v>
      </c>
    </row>
    <row r="1503" spans="8:8">
      <c r="H1503" s="63" t="str">
        <f t="shared" si="23"/>
        <v>_</v>
      </c>
    </row>
    <row r="1504" spans="8:8">
      <c r="H1504" s="63" t="str">
        <f t="shared" si="23"/>
        <v>_</v>
      </c>
    </row>
    <row r="1505" spans="8:8">
      <c r="H1505" s="63" t="str">
        <f t="shared" si="23"/>
        <v>_</v>
      </c>
    </row>
    <row r="1506" spans="8:8">
      <c r="H1506" s="63" t="str">
        <f t="shared" si="23"/>
        <v>_</v>
      </c>
    </row>
    <row r="1507" spans="8:8">
      <c r="H1507" s="63" t="str">
        <f t="shared" si="23"/>
        <v>_</v>
      </c>
    </row>
    <row r="1508" spans="8:8">
      <c r="H1508" s="63" t="str">
        <f t="shared" si="23"/>
        <v>_</v>
      </c>
    </row>
    <row r="1509" spans="8:8">
      <c r="H1509" s="63" t="str">
        <f t="shared" si="23"/>
        <v>_</v>
      </c>
    </row>
    <row r="1510" spans="8:8">
      <c r="H1510" s="63" t="str">
        <f t="shared" si="23"/>
        <v>_</v>
      </c>
    </row>
    <row r="1511" spans="8:8">
      <c r="H1511" s="63" t="str">
        <f t="shared" si="23"/>
        <v>_</v>
      </c>
    </row>
    <row r="1512" spans="8:8">
      <c r="H1512" s="63" t="str">
        <f t="shared" si="23"/>
        <v>_</v>
      </c>
    </row>
    <row r="1513" spans="8:8">
      <c r="H1513" s="63" t="str">
        <f t="shared" si="23"/>
        <v>_</v>
      </c>
    </row>
    <row r="1514" spans="8:8">
      <c r="H1514" s="63" t="str">
        <f t="shared" si="23"/>
        <v>_</v>
      </c>
    </row>
    <row r="1515" spans="8:8">
      <c r="H1515" s="63" t="str">
        <f t="shared" si="23"/>
        <v>_</v>
      </c>
    </row>
    <row r="1516" spans="8:8">
      <c r="H1516" s="63" t="str">
        <f t="shared" si="23"/>
        <v>_</v>
      </c>
    </row>
    <row r="1517" spans="8:8">
      <c r="H1517" s="63" t="str">
        <f t="shared" si="23"/>
        <v>_</v>
      </c>
    </row>
    <row r="1518" spans="8:8">
      <c r="H1518" s="63" t="str">
        <f t="shared" si="23"/>
        <v>_</v>
      </c>
    </row>
    <row r="1519" spans="8:8">
      <c r="H1519" s="63" t="str">
        <f t="shared" si="23"/>
        <v>_</v>
      </c>
    </row>
    <row r="1520" spans="8:8">
      <c r="H1520" s="63" t="str">
        <f t="shared" si="23"/>
        <v>_</v>
      </c>
    </row>
    <row r="1521" spans="8:8">
      <c r="H1521" s="63" t="str">
        <f t="shared" si="23"/>
        <v>_</v>
      </c>
    </row>
    <row r="1522" spans="8:8">
      <c r="H1522" s="63" t="str">
        <f t="shared" si="23"/>
        <v>_</v>
      </c>
    </row>
    <row r="1523" spans="8:8">
      <c r="H1523" s="63" t="str">
        <f t="shared" si="23"/>
        <v>_</v>
      </c>
    </row>
    <row r="1524" spans="8:8">
      <c r="H1524" s="63" t="str">
        <f t="shared" si="23"/>
        <v>_</v>
      </c>
    </row>
    <row r="1525" spans="8:8">
      <c r="H1525" s="63" t="str">
        <f t="shared" si="23"/>
        <v>_</v>
      </c>
    </row>
    <row r="1526" spans="8:8">
      <c r="H1526" s="63" t="str">
        <f t="shared" si="23"/>
        <v>_</v>
      </c>
    </row>
    <row r="1527" spans="8:8">
      <c r="H1527" s="63" t="str">
        <f t="shared" si="23"/>
        <v>_</v>
      </c>
    </row>
    <row r="1528" spans="8:8">
      <c r="H1528" s="63" t="str">
        <f t="shared" si="23"/>
        <v>_</v>
      </c>
    </row>
    <row r="1529" spans="8:8">
      <c r="H1529" s="63" t="str">
        <f t="shared" si="23"/>
        <v>_</v>
      </c>
    </row>
    <row r="1530" spans="8:8">
      <c r="H1530" s="63" t="str">
        <f t="shared" si="23"/>
        <v>_</v>
      </c>
    </row>
    <row r="1531" spans="8:8">
      <c r="H1531" s="63" t="str">
        <f t="shared" si="23"/>
        <v>_</v>
      </c>
    </row>
    <row r="1532" spans="8:8">
      <c r="H1532" s="63" t="str">
        <f t="shared" si="23"/>
        <v>_</v>
      </c>
    </row>
    <row r="1533" spans="8:8">
      <c r="H1533" s="63" t="str">
        <f t="shared" si="23"/>
        <v>_</v>
      </c>
    </row>
    <row r="1534" spans="8:8">
      <c r="H1534" s="63" t="str">
        <f t="shared" si="23"/>
        <v>_</v>
      </c>
    </row>
    <row r="1535" spans="8:8">
      <c r="H1535" s="63" t="str">
        <f t="shared" si="23"/>
        <v>_</v>
      </c>
    </row>
    <row r="1536" spans="8:8">
      <c r="H1536" s="63" t="str">
        <f t="shared" si="23"/>
        <v>_</v>
      </c>
    </row>
    <row r="1537" spans="8:8">
      <c r="H1537" s="63" t="str">
        <f t="shared" si="23"/>
        <v>_</v>
      </c>
    </row>
    <row r="1538" spans="8:8">
      <c r="H1538" s="63" t="str">
        <f t="shared" si="23"/>
        <v>_</v>
      </c>
    </row>
    <row r="1539" spans="8:8">
      <c r="H1539" s="63" t="str">
        <f t="shared" ref="H1539:H1602" si="24">IF(OR(MID(A1539,6,10)="NASPP",MID(A1539,6,10)="RASPP"),"RNASPP",IF(OR(MID(A1539,6,10)="NSFAP",MID(A1539,6,10)="RSPOA"),"RNSPOA",IF(OR(A1539="ULGALLOC",A1539="ULSPOOL"),A1539,IF(MID(A1539,6,5)="ANSSP","ASSP1",MID(A1539,6,10)))))&amp;"_"&amp;B1539</f>
        <v>_</v>
      </c>
    </row>
    <row r="1540" spans="8:8">
      <c r="H1540" s="63" t="str">
        <f t="shared" si="24"/>
        <v>_</v>
      </c>
    </row>
    <row r="1541" spans="8:8">
      <c r="H1541" s="63" t="str">
        <f t="shared" si="24"/>
        <v>_</v>
      </c>
    </row>
    <row r="1542" spans="8:8">
      <c r="H1542" s="63" t="str">
        <f t="shared" si="24"/>
        <v>_</v>
      </c>
    </row>
    <row r="1543" spans="8:8">
      <c r="H1543" s="63" t="str">
        <f t="shared" si="24"/>
        <v>_</v>
      </c>
    </row>
    <row r="1544" spans="8:8">
      <c r="H1544" s="63" t="str">
        <f t="shared" si="24"/>
        <v>_</v>
      </c>
    </row>
    <row r="1545" spans="8:8">
      <c r="H1545" s="63" t="str">
        <f t="shared" si="24"/>
        <v>_</v>
      </c>
    </row>
    <row r="1546" spans="8:8">
      <c r="H1546" s="63" t="str">
        <f t="shared" si="24"/>
        <v>_</v>
      </c>
    </row>
    <row r="1547" spans="8:8">
      <c r="H1547" s="63" t="str">
        <f t="shared" si="24"/>
        <v>_</v>
      </c>
    </row>
    <row r="1548" spans="8:8">
      <c r="H1548" s="63" t="str">
        <f t="shared" si="24"/>
        <v>_</v>
      </c>
    </row>
    <row r="1549" spans="8:8">
      <c r="H1549" s="63" t="str">
        <f t="shared" si="24"/>
        <v>_</v>
      </c>
    </row>
    <row r="1550" spans="8:8">
      <c r="H1550" s="63" t="str">
        <f t="shared" si="24"/>
        <v>_</v>
      </c>
    </row>
    <row r="1551" spans="8:8">
      <c r="H1551" s="63" t="str">
        <f t="shared" si="24"/>
        <v>_</v>
      </c>
    </row>
    <row r="1552" spans="8:8">
      <c r="H1552" s="63" t="str">
        <f t="shared" si="24"/>
        <v>_</v>
      </c>
    </row>
    <row r="1553" spans="8:8">
      <c r="H1553" s="63" t="str">
        <f t="shared" si="24"/>
        <v>_</v>
      </c>
    </row>
    <row r="1554" spans="8:8">
      <c r="H1554" s="63" t="str">
        <f t="shared" si="24"/>
        <v>_</v>
      </c>
    </row>
    <row r="1555" spans="8:8">
      <c r="H1555" s="63" t="str">
        <f t="shared" si="24"/>
        <v>_</v>
      </c>
    </row>
    <row r="1556" spans="8:8">
      <c r="H1556" s="63" t="str">
        <f t="shared" si="24"/>
        <v>_</v>
      </c>
    </row>
    <row r="1557" spans="8:8">
      <c r="H1557" s="63" t="str">
        <f t="shared" si="24"/>
        <v>_</v>
      </c>
    </row>
    <row r="1558" spans="8:8">
      <c r="H1558" s="63" t="str">
        <f t="shared" si="24"/>
        <v>_</v>
      </c>
    </row>
    <row r="1559" spans="8:8">
      <c r="H1559" s="63" t="str">
        <f t="shared" si="24"/>
        <v>_</v>
      </c>
    </row>
    <row r="1560" spans="8:8">
      <c r="H1560" s="63" t="str">
        <f t="shared" si="24"/>
        <v>_</v>
      </c>
    </row>
    <row r="1561" spans="8:8">
      <c r="H1561" s="63" t="str">
        <f t="shared" si="24"/>
        <v>_</v>
      </c>
    </row>
    <row r="1562" spans="8:8">
      <c r="H1562" s="63" t="str">
        <f t="shared" si="24"/>
        <v>_</v>
      </c>
    </row>
    <row r="1563" spans="8:8">
      <c r="H1563" s="63" t="str">
        <f t="shared" si="24"/>
        <v>_</v>
      </c>
    </row>
    <row r="1564" spans="8:8">
      <c r="H1564" s="63" t="str">
        <f t="shared" si="24"/>
        <v>_</v>
      </c>
    </row>
    <row r="1565" spans="8:8">
      <c r="H1565" s="63" t="str">
        <f t="shared" si="24"/>
        <v>_</v>
      </c>
    </row>
    <row r="1566" spans="8:8">
      <c r="H1566" s="63" t="str">
        <f t="shared" si="24"/>
        <v>_</v>
      </c>
    </row>
    <row r="1567" spans="8:8">
      <c r="H1567" s="63" t="str">
        <f t="shared" si="24"/>
        <v>_</v>
      </c>
    </row>
    <row r="1568" spans="8:8">
      <c r="H1568" s="63" t="str">
        <f t="shared" si="24"/>
        <v>_</v>
      </c>
    </row>
    <row r="1569" spans="8:8">
      <c r="H1569" s="63" t="str">
        <f t="shared" si="24"/>
        <v>_</v>
      </c>
    </row>
    <row r="1570" spans="8:8">
      <c r="H1570" s="63" t="str">
        <f t="shared" si="24"/>
        <v>_</v>
      </c>
    </row>
    <row r="1571" spans="8:8">
      <c r="H1571" s="63" t="str">
        <f t="shared" si="24"/>
        <v>_</v>
      </c>
    </row>
    <row r="1572" spans="8:8">
      <c r="H1572" s="63" t="str">
        <f t="shared" si="24"/>
        <v>_</v>
      </c>
    </row>
    <row r="1573" spans="8:8">
      <c r="H1573" s="63" t="str">
        <f t="shared" si="24"/>
        <v>_</v>
      </c>
    </row>
    <row r="1574" spans="8:8">
      <c r="H1574" s="63" t="str">
        <f t="shared" si="24"/>
        <v>_</v>
      </c>
    </row>
    <row r="1575" spans="8:8">
      <c r="H1575" s="63" t="str">
        <f t="shared" si="24"/>
        <v>_</v>
      </c>
    </row>
    <row r="1576" spans="8:8">
      <c r="H1576" s="63" t="str">
        <f t="shared" si="24"/>
        <v>_</v>
      </c>
    </row>
    <row r="1577" spans="8:8">
      <c r="H1577" s="63" t="str">
        <f t="shared" si="24"/>
        <v>_</v>
      </c>
    </row>
    <row r="1578" spans="8:8">
      <c r="H1578" s="63" t="str">
        <f t="shared" si="24"/>
        <v>_</v>
      </c>
    </row>
    <row r="1579" spans="8:8">
      <c r="H1579" s="63" t="str">
        <f t="shared" si="24"/>
        <v>_</v>
      </c>
    </row>
    <row r="1580" spans="8:8">
      <c r="H1580" s="63" t="str">
        <f t="shared" si="24"/>
        <v>_</v>
      </c>
    </row>
    <row r="1581" spans="8:8">
      <c r="H1581" s="63" t="str">
        <f t="shared" si="24"/>
        <v>_</v>
      </c>
    </row>
    <row r="1582" spans="8:8">
      <c r="H1582" s="63" t="str">
        <f t="shared" si="24"/>
        <v>_</v>
      </c>
    </row>
    <row r="1583" spans="8:8">
      <c r="H1583" s="63" t="str">
        <f t="shared" si="24"/>
        <v>_</v>
      </c>
    </row>
    <row r="1584" spans="8:8">
      <c r="H1584" s="63" t="str">
        <f t="shared" si="24"/>
        <v>_</v>
      </c>
    </row>
    <row r="1585" spans="8:8">
      <c r="H1585" s="63" t="str">
        <f t="shared" si="24"/>
        <v>_</v>
      </c>
    </row>
    <row r="1586" spans="8:8">
      <c r="H1586" s="63" t="str">
        <f t="shared" si="24"/>
        <v>_</v>
      </c>
    </row>
    <row r="1587" spans="8:8">
      <c r="H1587" s="63" t="str">
        <f t="shared" si="24"/>
        <v>_</v>
      </c>
    </row>
    <row r="1588" spans="8:8">
      <c r="H1588" s="63" t="str">
        <f t="shared" si="24"/>
        <v>_</v>
      </c>
    </row>
    <row r="1589" spans="8:8">
      <c r="H1589" s="63" t="str">
        <f t="shared" si="24"/>
        <v>_</v>
      </c>
    </row>
    <row r="1590" spans="8:8">
      <c r="H1590" s="63" t="str">
        <f t="shared" si="24"/>
        <v>_</v>
      </c>
    </row>
    <row r="1591" spans="8:8">
      <c r="H1591" s="63" t="str">
        <f t="shared" si="24"/>
        <v>_</v>
      </c>
    </row>
    <row r="1592" spans="8:8">
      <c r="H1592" s="63" t="str">
        <f t="shared" si="24"/>
        <v>_</v>
      </c>
    </row>
    <row r="1593" spans="8:8">
      <c r="H1593" s="63" t="str">
        <f t="shared" si="24"/>
        <v>_</v>
      </c>
    </row>
    <row r="1594" spans="8:8">
      <c r="H1594" s="63" t="str">
        <f t="shared" si="24"/>
        <v>_</v>
      </c>
    </row>
    <row r="1595" spans="8:8">
      <c r="H1595" s="63" t="str">
        <f t="shared" si="24"/>
        <v>_</v>
      </c>
    </row>
    <row r="1596" spans="8:8">
      <c r="H1596" s="63" t="str">
        <f t="shared" si="24"/>
        <v>_</v>
      </c>
    </row>
    <row r="1597" spans="8:8">
      <c r="H1597" s="63" t="str">
        <f t="shared" si="24"/>
        <v>_</v>
      </c>
    </row>
    <row r="1598" spans="8:8">
      <c r="H1598" s="63" t="str">
        <f t="shared" si="24"/>
        <v>_</v>
      </c>
    </row>
    <row r="1599" spans="8:8">
      <c r="H1599" s="63" t="str">
        <f t="shared" si="24"/>
        <v>_</v>
      </c>
    </row>
    <row r="1600" spans="8:8">
      <c r="H1600" s="63" t="str">
        <f t="shared" si="24"/>
        <v>_</v>
      </c>
    </row>
    <row r="1601" spans="8:8">
      <c r="H1601" s="63" t="str">
        <f t="shared" si="24"/>
        <v>_</v>
      </c>
    </row>
    <row r="1602" spans="8:8">
      <c r="H1602" s="63" t="str">
        <f t="shared" si="24"/>
        <v>_</v>
      </c>
    </row>
    <row r="1603" spans="8:8">
      <c r="H1603" s="63" t="str">
        <f t="shared" ref="H1603:H1666" si="25">IF(OR(MID(A1603,6,10)="NASPP",MID(A1603,6,10)="RASPP"),"RNASPP",IF(OR(MID(A1603,6,10)="NSFAP",MID(A1603,6,10)="RSPOA"),"RNSPOA",IF(OR(A1603="ULGALLOC",A1603="ULSPOOL"),A1603,IF(MID(A1603,6,5)="ANSSP","ASSP1",MID(A1603,6,10)))))&amp;"_"&amp;B1603</f>
        <v>_</v>
      </c>
    </row>
    <row r="1604" spans="8:8">
      <c r="H1604" s="63" t="str">
        <f t="shared" si="25"/>
        <v>_</v>
      </c>
    </row>
    <row r="1605" spans="8:8">
      <c r="H1605" s="63" t="str">
        <f t="shared" si="25"/>
        <v>_</v>
      </c>
    </row>
    <row r="1606" spans="8:8">
      <c r="H1606" s="63" t="str">
        <f t="shared" si="25"/>
        <v>_</v>
      </c>
    </row>
    <row r="1607" spans="8:8">
      <c r="H1607" s="63" t="str">
        <f t="shared" si="25"/>
        <v>_</v>
      </c>
    </row>
    <row r="1608" spans="8:8">
      <c r="H1608" s="63" t="str">
        <f t="shared" si="25"/>
        <v>_</v>
      </c>
    </row>
    <row r="1609" spans="8:8">
      <c r="H1609" s="63" t="str">
        <f t="shared" si="25"/>
        <v>_</v>
      </c>
    </row>
    <row r="1610" spans="8:8">
      <c r="H1610" s="63" t="str">
        <f t="shared" si="25"/>
        <v>_</v>
      </c>
    </row>
    <row r="1611" spans="8:8">
      <c r="H1611" s="63" t="str">
        <f t="shared" si="25"/>
        <v>_</v>
      </c>
    </row>
    <row r="1612" spans="8:8">
      <c r="H1612" s="63" t="str">
        <f t="shared" si="25"/>
        <v>_</v>
      </c>
    </row>
    <row r="1613" spans="8:8">
      <c r="H1613" s="63" t="str">
        <f t="shared" si="25"/>
        <v>_</v>
      </c>
    </row>
    <row r="1614" spans="8:8">
      <c r="H1614" s="63" t="str">
        <f t="shared" si="25"/>
        <v>_</v>
      </c>
    </row>
    <row r="1615" spans="8:8">
      <c r="H1615" s="63" t="str">
        <f t="shared" si="25"/>
        <v>_</v>
      </c>
    </row>
    <row r="1616" spans="8:8">
      <c r="H1616" s="63" t="str">
        <f t="shared" si="25"/>
        <v>_</v>
      </c>
    </row>
    <row r="1617" spans="8:8">
      <c r="H1617" s="63" t="str">
        <f t="shared" si="25"/>
        <v>_</v>
      </c>
    </row>
    <row r="1618" spans="8:8">
      <c r="H1618" s="63" t="str">
        <f t="shared" si="25"/>
        <v>_</v>
      </c>
    </row>
    <row r="1619" spans="8:8">
      <c r="H1619" s="63" t="str">
        <f t="shared" si="25"/>
        <v>_</v>
      </c>
    </row>
    <row r="1620" spans="8:8">
      <c r="H1620" s="63" t="str">
        <f t="shared" si="25"/>
        <v>_</v>
      </c>
    </row>
    <row r="1621" spans="8:8">
      <c r="H1621" s="63" t="str">
        <f t="shared" si="25"/>
        <v>_</v>
      </c>
    </row>
    <row r="1622" spans="8:8">
      <c r="H1622" s="63" t="str">
        <f t="shared" si="25"/>
        <v>_</v>
      </c>
    </row>
    <row r="1623" spans="8:8">
      <c r="H1623" s="63" t="str">
        <f t="shared" si="25"/>
        <v>_</v>
      </c>
    </row>
    <row r="1624" spans="8:8">
      <c r="H1624" s="63" t="str">
        <f t="shared" si="25"/>
        <v>_</v>
      </c>
    </row>
    <row r="1625" spans="8:8">
      <c r="H1625" s="63" t="str">
        <f t="shared" si="25"/>
        <v>_</v>
      </c>
    </row>
    <row r="1626" spans="8:8">
      <c r="H1626" s="63" t="str">
        <f t="shared" si="25"/>
        <v>_</v>
      </c>
    </row>
    <row r="1627" spans="8:8">
      <c r="H1627" s="63" t="str">
        <f t="shared" si="25"/>
        <v>_</v>
      </c>
    </row>
    <row r="1628" spans="8:8">
      <c r="H1628" s="63" t="str">
        <f t="shared" si="25"/>
        <v>_</v>
      </c>
    </row>
    <row r="1629" spans="8:8">
      <c r="H1629" s="63" t="str">
        <f t="shared" si="25"/>
        <v>_</v>
      </c>
    </row>
    <row r="1630" spans="8:8">
      <c r="H1630" s="63" t="str">
        <f t="shared" si="25"/>
        <v>_</v>
      </c>
    </row>
    <row r="1631" spans="8:8">
      <c r="H1631" s="63" t="str">
        <f t="shared" si="25"/>
        <v>_</v>
      </c>
    </row>
    <row r="1632" spans="8:8">
      <c r="H1632" s="63" t="str">
        <f t="shared" si="25"/>
        <v>_</v>
      </c>
    </row>
    <row r="1633" spans="8:8">
      <c r="H1633" s="63" t="str">
        <f t="shared" si="25"/>
        <v>_</v>
      </c>
    </row>
    <row r="1634" spans="8:8">
      <c r="H1634" s="63" t="str">
        <f t="shared" si="25"/>
        <v>_</v>
      </c>
    </row>
    <row r="1635" spans="8:8">
      <c r="H1635" s="63" t="str">
        <f t="shared" si="25"/>
        <v>_</v>
      </c>
    </row>
    <row r="1636" spans="8:8">
      <c r="H1636" s="63" t="str">
        <f t="shared" si="25"/>
        <v>_</v>
      </c>
    </row>
    <row r="1637" spans="8:8">
      <c r="H1637" s="63" t="str">
        <f t="shared" si="25"/>
        <v>_</v>
      </c>
    </row>
    <row r="1638" spans="8:8">
      <c r="H1638" s="63" t="str">
        <f t="shared" si="25"/>
        <v>_</v>
      </c>
    </row>
    <row r="1639" spans="8:8">
      <c r="H1639" s="63" t="str">
        <f t="shared" si="25"/>
        <v>_</v>
      </c>
    </row>
    <row r="1640" spans="8:8">
      <c r="H1640" s="63" t="str">
        <f t="shared" si="25"/>
        <v>_</v>
      </c>
    </row>
    <row r="1641" spans="8:8">
      <c r="H1641" s="63" t="str">
        <f t="shared" si="25"/>
        <v>_</v>
      </c>
    </row>
    <row r="1642" spans="8:8">
      <c r="H1642" s="63" t="str">
        <f t="shared" si="25"/>
        <v>_</v>
      </c>
    </row>
    <row r="1643" spans="8:8">
      <c r="H1643" s="63" t="str">
        <f t="shared" si="25"/>
        <v>_</v>
      </c>
    </row>
    <row r="1644" spans="8:8">
      <c r="H1644" s="63" t="str">
        <f t="shared" si="25"/>
        <v>_</v>
      </c>
    </row>
    <row r="1645" spans="8:8">
      <c r="H1645" s="63" t="str">
        <f t="shared" si="25"/>
        <v>_</v>
      </c>
    </row>
    <row r="1646" spans="8:8">
      <c r="H1646" s="63" t="str">
        <f t="shared" si="25"/>
        <v>_</v>
      </c>
    </row>
    <row r="1647" spans="8:8">
      <c r="H1647" s="63" t="str">
        <f t="shared" si="25"/>
        <v>_</v>
      </c>
    </row>
    <row r="1648" spans="8:8">
      <c r="H1648" s="63" t="str">
        <f t="shared" si="25"/>
        <v>_</v>
      </c>
    </row>
    <row r="1649" spans="8:8">
      <c r="H1649" s="63" t="str">
        <f t="shared" si="25"/>
        <v>_</v>
      </c>
    </row>
    <row r="1650" spans="8:8">
      <c r="H1650" s="63" t="str">
        <f t="shared" si="25"/>
        <v>_</v>
      </c>
    </row>
    <row r="1651" spans="8:8">
      <c r="H1651" s="63" t="str">
        <f t="shared" si="25"/>
        <v>_</v>
      </c>
    </row>
    <row r="1652" spans="8:8">
      <c r="H1652" s="63" t="str">
        <f t="shared" si="25"/>
        <v>_</v>
      </c>
    </row>
    <row r="1653" spans="8:8">
      <c r="H1653" s="63" t="str">
        <f t="shared" si="25"/>
        <v>_</v>
      </c>
    </row>
    <row r="1654" spans="8:8">
      <c r="H1654" s="63" t="str">
        <f t="shared" si="25"/>
        <v>_</v>
      </c>
    </row>
    <row r="1655" spans="8:8">
      <c r="H1655" s="63" t="str">
        <f t="shared" si="25"/>
        <v>_</v>
      </c>
    </row>
    <row r="1656" spans="8:8">
      <c r="H1656" s="63" t="str">
        <f t="shared" si="25"/>
        <v>_</v>
      </c>
    </row>
    <row r="1657" spans="8:8">
      <c r="H1657" s="63" t="str">
        <f t="shared" si="25"/>
        <v>_</v>
      </c>
    </row>
    <row r="1658" spans="8:8">
      <c r="H1658" s="63" t="str">
        <f t="shared" si="25"/>
        <v>_</v>
      </c>
    </row>
    <row r="1659" spans="8:8">
      <c r="H1659" s="63" t="str">
        <f t="shared" si="25"/>
        <v>_</v>
      </c>
    </row>
    <row r="1660" spans="8:8">
      <c r="H1660" s="63" t="str">
        <f t="shared" si="25"/>
        <v>_</v>
      </c>
    </row>
    <row r="1661" spans="8:8">
      <c r="H1661" s="63" t="str">
        <f t="shared" si="25"/>
        <v>_</v>
      </c>
    </row>
    <row r="1662" spans="8:8">
      <c r="H1662" s="63" t="str">
        <f t="shared" si="25"/>
        <v>_</v>
      </c>
    </row>
    <row r="1663" spans="8:8">
      <c r="H1663" s="63" t="str">
        <f t="shared" si="25"/>
        <v>_</v>
      </c>
    </row>
    <row r="1664" spans="8:8">
      <c r="H1664" s="63" t="str">
        <f t="shared" si="25"/>
        <v>_</v>
      </c>
    </row>
    <row r="1665" spans="8:8">
      <c r="H1665" s="63" t="str">
        <f t="shared" si="25"/>
        <v>_</v>
      </c>
    </row>
    <row r="1666" spans="8:8">
      <c r="H1666" s="63" t="str">
        <f t="shared" si="25"/>
        <v>_</v>
      </c>
    </row>
    <row r="1667" spans="8:8">
      <c r="H1667" s="63" t="str">
        <f t="shared" ref="H1667:H1730" si="26">IF(OR(MID(A1667,6,10)="NASPP",MID(A1667,6,10)="RASPP"),"RNASPP",IF(OR(MID(A1667,6,10)="NSFAP",MID(A1667,6,10)="RSPOA"),"RNSPOA",IF(OR(A1667="ULGALLOC",A1667="ULSPOOL"),A1667,IF(MID(A1667,6,5)="ANSSP","ASSP1",MID(A1667,6,10)))))&amp;"_"&amp;B1667</f>
        <v>_</v>
      </c>
    </row>
    <row r="1668" spans="8:8">
      <c r="H1668" s="63" t="str">
        <f t="shared" si="26"/>
        <v>_</v>
      </c>
    </row>
    <row r="1669" spans="8:8">
      <c r="H1669" s="63" t="str">
        <f t="shared" si="26"/>
        <v>_</v>
      </c>
    </row>
    <row r="1670" spans="8:8">
      <c r="H1670" s="63" t="str">
        <f t="shared" si="26"/>
        <v>_</v>
      </c>
    </row>
    <row r="1671" spans="8:8">
      <c r="H1671" s="63" t="str">
        <f t="shared" si="26"/>
        <v>_</v>
      </c>
    </row>
    <row r="1672" spans="8:8">
      <c r="H1672" s="63" t="str">
        <f t="shared" si="26"/>
        <v>_</v>
      </c>
    </row>
    <row r="1673" spans="8:8">
      <c r="H1673" s="63" t="str">
        <f t="shared" si="26"/>
        <v>_</v>
      </c>
    </row>
    <row r="1674" spans="8:8">
      <c r="H1674" s="63" t="str">
        <f t="shared" si="26"/>
        <v>_</v>
      </c>
    </row>
    <row r="1675" spans="8:8">
      <c r="H1675" s="63" t="str">
        <f t="shared" si="26"/>
        <v>_</v>
      </c>
    </row>
    <row r="1676" spans="8:8">
      <c r="H1676" s="63" t="str">
        <f t="shared" si="26"/>
        <v>_</v>
      </c>
    </row>
    <row r="1677" spans="8:8">
      <c r="H1677" s="63" t="str">
        <f t="shared" si="26"/>
        <v>_</v>
      </c>
    </row>
    <row r="1678" spans="8:8">
      <c r="H1678" s="63" t="str">
        <f t="shared" si="26"/>
        <v>_</v>
      </c>
    </row>
    <row r="1679" spans="8:8">
      <c r="H1679" s="63" t="str">
        <f t="shared" si="26"/>
        <v>_</v>
      </c>
    </row>
    <row r="1680" spans="8:8">
      <c r="H1680" s="63" t="str">
        <f t="shared" si="26"/>
        <v>_</v>
      </c>
    </row>
    <row r="1681" spans="8:8">
      <c r="H1681" s="63" t="str">
        <f t="shared" si="26"/>
        <v>_</v>
      </c>
    </row>
    <row r="1682" spans="8:8">
      <c r="H1682" s="63" t="str">
        <f t="shared" si="26"/>
        <v>_</v>
      </c>
    </row>
    <row r="1683" spans="8:8">
      <c r="H1683" s="63" t="str">
        <f t="shared" si="26"/>
        <v>_</v>
      </c>
    </row>
    <row r="1684" spans="8:8">
      <c r="H1684" s="63" t="str">
        <f t="shared" si="26"/>
        <v>_</v>
      </c>
    </row>
    <row r="1685" spans="8:8">
      <c r="H1685" s="63" t="str">
        <f t="shared" si="26"/>
        <v>_</v>
      </c>
    </row>
    <row r="1686" spans="8:8">
      <c r="H1686" s="63" t="str">
        <f t="shared" si="26"/>
        <v>_</v>
      </c>
    </row>
    <row r="1687" spans="8:8">
      <c r="H1687" s="63" t="str">
        <f t="shared" si="26"/>
        <v>_</v>
      </c>
    </row>
    <row r="1688" spans="8:8">
      <c r="H1688" s="63" t="str">
        <f t="shared" si="26"/>
        <v>_</v>
      </c>
    </row>
    <row r="1689" spans="8:8">
      <c r="H1689" s="63" t="str">
        <f t="shared" si="26"/>
        <v>_</v>
      </c>
    </row>
    <row r="1690" spans="8:8">
      <c r="H1690" s="63" t="str">
        <f t="shared" si="26"/>
        <v>_</v>
      </c>
    </row>
    <row r="1691" spans="8:8">
      <c r="H1691" s="63" t="str">
        <f t="shared" si="26"/>
        <v>_</v>
      </c>
    </row>
    <row r="1692" spans="8:8">
      <c r="H1692" s="63" t="str">
        <f t="shared" si="26"/>
        <v>_</v>
      </c>
    </row>
    <row r="1693" spans="8:8">
      <c r="H1693" s="63" t="str">
        <f t="shared" si="26"/>
        <v>_</v>
      </c>
    </row>
    <row r="1694" spans="8:8">
      <c r="H1694" s="63" t="str">
        <f t="shared" si="26"/>
        <v>_</v>
      </c>
    </row>
    <row r="1695" spans="8:8">
      <c r="H1695" s="63" t="str">
        <f t="shared" si="26"/>
        <v>_</v>
      </c>
    </row>
    <row r="1696" spans="8:8">
      <c r="H1696" s="63" t="str">
        <f t="shared" si="26"/>
        <v>_</v>
      </c>
    </row>
    <row r="1697" spans="8:8">
      <c r="H1697" s="63" t="str">
        <f t="shared" si="26"/>
        <v>_</v>
      </c>
    </row>
    <row r="1698" spans="8:8">
      <c r="H1698" s="63" t="str">
        <f t="shared" si="26"/>
        <v>_</v>
      </c>
    </row>
    <row r="1699" spans="8:8">
      <c r="H1699" s="63" t="str">
        <f t="shared" si="26"/>
        <v>_</v>
      </c>
    </row>
    <row r="1700" spans="8:8">
      <c r="H1700" s="63" t="str">
        <f t="shared" si="26"/>
        <v>_</v>
      </c>
    </row>
    <row r="1701" spans="8:8">
      <c r="H1701" s="63" t="str">
        <f t="shared" si="26"/>
        <v>_</v>
      </c>
    </row>
    <row r="1702" spans="8:8">
      <c r="H1702" s="63" t="str">
        <f t="shared" si="26"/>
        <v>_</v>
      </c>
    </row>
    <row r="1703" spans="8:8">
      <c r="H1703" s="63" t="str">
        <f t="shared" si="26"/>
        <v>_</v>
      </c>
    </row>
    <row r="1704" spans="8:8">
      <c r="H1704" s="63" t="str">
        <f t="shared" si="26"/>
        <v>_</v>
      </c>
    </row>
    <row r="1705" spans="8:8">
      <c r="H1705" s="63" t="str">
        <f t="shared" si="26"/>
        <v>_</v>
      </c>
    </row>
    <row r="1706" spans="8:8">
      <c r="H1706" s="63" t="str">
        <f t="shared" si="26"/>
        <v>_</v>
      </c>
    </row>
    <row r="1707" spans="8:8">
      <c r="H1707" s="63" t="str">
        <f t="shared" si="26"/>
        <v>_</v>
      </c>
    </row>
    <row r="1708" spans="8:8">
      <c r="H1708" s="63" t="str">
        <f t="shared" si="26"/>
        <v>_</v>
      </c>
    </row>
    <row r="1709" spans="8:8">
      <c r="H1709" s="63" t="str">
        <f t="shared" si="26"/>
        <v>_</v>
      </c>
    </row>
    <row r="1710" spans="8:8">
      <c r="H1710" s="63" t="str">
        <f t="shared" si="26"/>
        <v>_</v>
      </c>
    </row>
    <row r="1711" spans="8:8">
      <c r="H1711" s="63" t="str">
        <f t="shared" si="26"/>
        <v>_</v>
      </c>
    </row>
    <row r="1712" spans="8:8">
      <c r="H1712" s="63" t="str">
        <f t="shared" si="26"/>
        <v>_</v>
      </c>
    </row>
    <row r="1713" spans="8:8">
      <c r="H1713" s="63" t="str">
        <f t="shared" si="26"/>
        <v>_</v>
      </c>
    </row>
    <row r="1714" spans="8:8">
      <c r="H1714" s="63" t="str">
        <f t="shared" si="26"/>
        <v>_</v>
      </c>
    </row>
    <row r="1715" spans="8:8">
      <c r="H1715" s="63" t="str">
        <f t="shared" si="26"/>
        <v>_</v>
      </c>
    </row>
    <row r="1716" spans="8:8">
      <c r="H1716" s="63" t="str">
        <f t="shared" si="26"/>
        <v>_</v>
      </c>
    </row>
    <row r="1717" spans="8:8">
      <c r="H1717" s="63" t="str">
        <f t="shared" si="26"/>
        <v>_</v>
      </c>
    </row>
    <row r="1718" spans="8:8">
      <c r="H1718" s="63" t="str">
        <f t="shared" si="26"/>
        <v>_</v>
      </c>
    </row>
    <row r="1719" spans="8:8">
      <c r="H1719" s="63" t="str">
        <f t="shared" si="26"/>
        <v>_</v>
      </c>
    </row>
    <row r="1720" spans="8:8">
      <c r="H1720" s="63" t="str">
        <f t="shared" si="26"/>
        <v>_</v>
      </c>
    </row>
    <row r="1721" spans="8:8">
      <c r="H1721" s="63" t="str">
        <f t="shared" si="26"/>
        <v>_</v>
      </c>
    </row>
    <row r="1722" spans="8:8">
      <c r="H1722" s="63" t="str">
        <f t="shared" si="26"/>
        <v>_</v>
      </c>
    </row>
    <row r="1723" spans="8:8">
      <c r="H1723" s="63" t="str">
        <f t="shared" si="26"/>
        <v>_</v>
      </c>
    </row>
    <row r="1724" spans="8:8">
      <c r="H1724" s="63" t="str">
        <f t="shared" si="26"/>
        <v>_</v>
      </c>
    </row>
    <row r="1725" spans="8:8">
      <c r="H1725" s="63" t="str">
        <f t="shared" si="26"/>
        <v>_</v>
      </c>
    </row>
    <row r="1726" spans="8:8">
      <c r="H1726" s="63" t="str">
        <f t="shared" si="26"/>
        <v>_</v>
      </c>
    </row>
    <row r="1727" spans="8:8">
      <c r="H1727" s="63" t="str">
        <f t="shared" si="26"/>
        <v>_</v>
      </c>
    </row>
    <row r="1728" spans="8:8">
      <c r="H1728" s="63" t="str">
        <f t="shared" si="26"/>
        <v>_</v>
      </c>
    </row>
    <row r="1729" spans="8:8">
      <c r="H1729" s="63" t="str">
        <f t="shared" si="26"/>
        <v>_</v>
      </c>
    </row>
    <row r="1730" spans="8:8">
      <c r="H1730" s="63" t="str">
        <f t="shared" si="26"/>
        <v>_</v>
      </c>
    </row>
    <row r="1731" spans="8:8">
      <c r="H1731" s="63" t="str">
        <f t="shared" ref="H1731:H1794" si="27">IF(OR(MID(A1731,6,10)="NASPP",MID(A1731,6,10)="RASPP"),"RNASPP",IF(OR(MID(A1731,6,10)="NSFAP",MID(A1731,6,10)="RSPOA"),"RNSPOA",IF(OR(A1731="ULGALLOC",A1731="ULSPOOL"),A1731,IF(MID(A1731,6,5)="ANSSP","ASSP1",MID(A1731,6,10)))))&amp;"_"&amp;B1731</f>
        <v>_</v>
      </c>
    </row>
    <row r="1732" spans="8:8">
      <c r="H1732" s="63" t="str">
        <f t="shared" si="27"/>
        <v>_</v>
      </c>
    </row>
    <row r="1733" spans="8:8">
      <c r="H1733" s="63" t="str">
        <f t="shared" si="27"/>
        <v>_</v>
      </c>
    </row>
    <row r="1734" spans="8:8">
      <c r="H1734" s="63" t="str">
        <f t="shared" si="27"/>
        <v>_</v>
      </c>
    </row>
    <row r="1735" spans="8:8">
      <c r="H1735" s="63" t="str">
        <f t="shared" si="27"/>
        <v>_</v>
      </c>
    </row>
    <row r="1736" spans="8:8">
      <c r="H1736" s="63" t="str">
        <f t="shared" si="27"/>
        <v>_</v>
      </c>
    </row>
    <row r="1737" spans="8:8">
      <c r="H1737" s="63" t="str">
        <f t="shared" si="27"/>
        <v>_</v>
      </c>
    </row>
    <row r="1738" spans="8:8">
      <c r="H1738" s="63" t="str">
        <f t="shared" si="27"/>
        <v>_</v>
      </c>
    </row>
    <row r="1739" spans="8:8">
      <c r="H1739" s="63" t="str">
        <f t="shared" si="27"/>
        <v>_</v>
      </c>
    </row>
    <row r="1740" spans="8:8">
      <c r="H1740" s="63" t="str">
        <f t="shared" si="27"/>
        <v>_</v>
      </c>
    </row>
    <row r="1741" spans="8:8">
      <c r="H1741" s="63" t="str">
        <f t="shared" si="27"/>
        <v>_</v>
      </c>
    </row>
    <row r="1742" spans="8:8">
      <c r="H1742" s="63" t="str">
        <f t="shared" si="27"/>
        <v>_</v>
      </c>
    </row>
    <row r="1743" spans="8:8">
      <c r="H1743" s="63" t="str">
        <f t="shared" si="27"/>
        <v>_</v>
      </c>
    </row>
    <row r="1744" spans="8:8">
      <c r="H1744" s="63" t="str">
        <f t="shared" si="27"/>
        <v>_</v>
      </c>
    </row>
    <row r="1745" spans="8:8">
      <c r="H1745" s="63" t="str">
        <f t="shared" si="27"/>
        <v>_</v>
      </c>
    </row>
    <row r="1746" spans="8:8">
      <c r="H1746" s="63" t="str">
        <f t="shared" si="27"/>
        <v>_</v>
      </c>
    </row>
    <row r="1747" spans="8:8">
      <c r="H1747" s="63" t="str">
        <f t="shared" si="27"/>
        <v>_</v>
      </c>
    </row>
    <row r="1748" spans="8:8">
      <c r="H1748" s="63" t="str">
        <f t="shared" si="27"/>
        <v>_</v>
      </c>
    </row>
    <row r="1749" spans="8:8">
      <c r="H1749" s="63" t="str">
        <f t="shared" si="27"/>
        <v>_</v>
      </c>
    </row>
    <row r="1750" spans="8:8">
      <c r="H1750" s="63" t="str">
        <f t="shared" si="27"/>
        <v>_</v>
      </c>
    </row>
    <row r="1751" spans="8:8">
      <c r="H1751" s="63" t="str">
        <f t="shared" si="27"/>
        <v>_</v>
      </c>
    </row>
    <row r="1752" spans="8:8">
      <c r="H1752" s="63" t="str">
        <f t="shared" si="27"/>
        <v>_</v>
      </c>
    </row>
    <row r="1753" spans="8:8">
      <c r="H1753" s="63" t="str">
        <f t="shared" si="27"/>
        <v>_</v>
      </c>
    </row>
    <row r="1754" spans="8:8">
      <c r="H1754" s="63" t="str">
        <f t="shared" si="27"/>
        <v>_</v>
      </c>
    </row>
    <row r="1755" spans="8:8">
      <c r="H1755" s="63" t="str">
        <f t="shared" si="27"/>
        <v>_</v>
      </c>
    </row>
    <row r="1756" spans="8:8">
      <c r="H1756" s="63" t="str">
        <f t="shared" si="27"/>
        <v>_</v>
      </c>
    </row>
    <row r="1757" spans="8:8">
      <c r="H1757" s="63" t="str">
        <f t="shared" si="27"/>
        <v>_</v>
      </c>
    </row>
    <row r="1758" spans="8:8">
      <c r="H1758" s="63" t="str">
        <f t="shared" si="27"/>
        <v>_</v>
      </c>
    </row>
    <row r="1759" spans="8:8">
      <c r="H1759" s="63" t="str">
        <f t="shared" si="27"/>
        <v>_</v>
      </c>
    </row>
    <row r="1760" spans="8:8">
      <c r="H1760" s="63" t="str">
        <f t="shared" si="27"/>
        <v>_</v>
      </c>
    </row>
    <row r="1761" spans="8:8">
      <c r="H1761" s="63" t="str">
        <f t="shared" si="27"/>
        <v>_</v>
      </c>
    </row>
    <row r="1762" spans="8:8">
      <c r="H1762" s="63" t="str">
        <f t="shared" si="27"/>
        <v>_</v>
      </c>
    </row>
    <row r="1763" spans="8:8">
      <c r="H1763" s="63" t="str">
        <f t="shared" si="27"/>
        <v>_</v>
      </c>
    </row>
    <row r="1764" spans="8:8">
      <c r="H1764" s="63" t="str">
        <f t="shared" si="27"/>
        <v>_</v>
      </c>
    </row>
    <row r="1765" spans="8:8">
      <c r="H1765" s="63" t="str">
        <f t="shared" si="27"/>
        <v>_</v>
      </c>
    </row>
    <row r="1766" spans="8:8">
      <c r="H1766" s="63" t="str">
        <f t="shared" si="27"/>
        <v>_</v>
      </c>
    </row>
    <row r="1767" spans="8:8">
      <c r="H1767" s="63" t="str">
        <f t="shared" si="27"/>
        <v>_</v>
      </c>
    </row>
    <row r="1768" spans="8:8">
      <c r="H1768" s="63" t="str">
        <f t="shared" si="27"/>
        <v>_</v>
      </c>
    </row>
    <row r="1769" spans="8:8">
      <c r="H1769" s="63" t="str">
        <f t="shared" si="27"/>
        <v>_</v>
      </c>
    </row>
    <row r="1770" spans="8:8">
      <c r="H1770" s="63" t="str">
        <f t="shared" si="27"/>
        <v>_</v>
      </c>
    </row>
    <row r="1771" spans="8:8">
      <c r="H1771" s="63" t="str">
        <f t="shared" si="27"/>
        <v>_</v>
      </c>
    </row>
    <row r="1772" spans="8:8">
      <c r="H1772" s="63" t="str">
        <f t="shared" si="27"/>
        <v>_</v>
      </c>
    </row>
    <row r="1773" spans="8:8">
      <c r="H1773" s="63" t="str">
        <f t="shared" si="27"/>
        <v>_</v>
      </c>
    </row>
    <row r="1774" spans="8:8">
      <c r="H1774" s="63" t="str">
        <f t="shared" si="27"/>
        <v>_</v>
      </c>
    </row>
    <row r="1775" spans="8:8">
      <c r="H1775" s="63" t="str">
        <f t="shared" si="27"/>
        <v>_</v>
      </c>
    </row>
    <row r="1776" spans="8:8">
      <c r="H1776" s="63" t="str">
        <f t="shared" si="27"/>
        <v>_</v>
      </c>
    </row>
    <row r="1777" spans="8:8">
      <c r="H1777" s="63" t="str">
        <f t="shared" si="27"/>
        <v>_</v>
      </c>
    </row>
    <row r="1778" spans="8:8">
      <c r="H1778" s="63" t="str">
        <f t="shared" si="27"/>
        <v>_</v>
      </c>
    </row>
    <row r="1779" spans="8:8">
      <c r="H1779" s="63" t="str">
        <f t="shared" si="27"/>
        <v>_</v>
      </c>
    </row>
    <row r="1780" spans="8:8">
      <c r="H1780" s="63" t="str">
        <f t="shared" si="27"/>
        <v>_</v>
      </c>
    </row>
    <row r="1781" spans="8:8">
      <c r="H1781" s="63" t="str">
        <f t="shared" si="27"/>
        <v>_</v>
      </c>
    </row>
    <row r="1782" spans="8:8">
      <c r="H1782" s="63" t="str">
        <f t="shared" si="27"/>
        <v>_</v>
      </c>
    </row>
    <row r="1783" spans="8:8">
      <c r="H1783" s="63" t="str">
        <f t="shared" si="27"/>
        <v>_</v>
      </c>
    </row>
    <row r="1784" spans="8:8">
      <c r="H1784" s="63" t="str">
        <f t="shared" si="27"/>
        <v>_</v>
      </c>
    </row>
    <row r="1785" spans="8:8">
      <c r="H1785" s="63" t="str">
        <f t="shared" si="27"/>
        <v>_</v>
      </c>
    </row>
    <row r="1786" spans="8:8">
      <c r="H1786" s="63" t="str">
        <f t="shared" si="27"/>
        <v>_</v>
      </c>
    </row>
    <row r="1787" spans="8:8">
      <c r="H1787" s="63" t="str">
        <f t="shared" si="27"/>
        <v>_</v>
      </c>
    </row>
    <row r="1788" spans="8:8">
      <c r="H1788" s="63" t="str">
        <f t="shared" si="27"/>
        <v>_</v>
      </c>
    </row>
    <row r="1789" spans="8:8">
      <c r="H1789" s="63" t="str">
        <f t="shared" si="27"/>
        <v>_</v>
      </c>
    </row>
    <row r="1790" spans="8:8">
      <c r="H1790" s="63" t="str">
        <f t="shared" si="27"/>
        <v>_</v>
      </c>
    </row>
    <row r="1791" spans="8:8">
      <c r="H1791" s="63" t="str">
        <f t="shared" si="27"/>
        <v>_</v>
      </c>
    </row>
    <row r="1792" spans="8:8">
      <c r="H1792" s="63" t="str">
        <f t="shared" si="27"/>
        <v>_</v>
      </c>
    </row>
    <row r="1793" spans="8:8">
      <c r="H1793" s="63" t="str">
        <f t="shared" si="27"/>
        <v>_</v>
      </c>
    </row>
    <row r="1794" spans="8:8">
      <c r="H1794" s="63" t="str">
        <f t="shared" si="27"/>
        <v>_</v>
      </c>
    </row>
    <row r="1795" spans="8:8">
      <c r="H1795" s="63" t="str">
        <f t="shared" ref="H1795:H1858" si="28">IF(OR(MID(A1795,6,10)="NASPP",MID(A1795,6,10)="RASPP"),"RNASPP",IF(OR(MID(A1795,6,10)="NSFAP",MID(A1795,6,10)="RSPOA"),"RNSPOA",IF(OR(A1795="ULGALLOC",A1795="ULSPOOL"),A1795,IF(MID(A1795,6,5)="ANSSP","ASSP1",MID(A1795,6,10)))))&amp;"_"&amp;B1795</f>
        <v>_</v>
      </c>
    </row>
    <row r="1796" spans="8:8">
      <c r="H1796" s="63" t="str">
        <f t="shared" si="28"/>
        <v>_</v>
      </c>
    </row>
    <row r="1797" spans="8:8">
      <c r="H1797" s="63" t="str">
        <f t="shared" si="28"/>
        <v>_</v>
      </c>
    </row>
    <row r="1798" spans="8:8">
      <c r="H1798" s="63" t="str">
        <f t="shared" si="28"/>
        <v>_</v>
      </c>
    </row>
    <row r="1799" spans="8:8">
      <c r="H1799" s="63" t="str">
        <f t="shared" si="28"/>
        <v>_</v>
      </c>
    </row>
    <row r="1800" spans="8:8">
      <c r="H1800" s="63" t="str">
        <f t="shared" si="28"/>
        <v>_</v>
      </c>
    </row>
    <row r="1801" spans="8:8">
      <c r="H1801" s="63" t="str">
        <f t="shared" si="28"/>
        <v>_</v>
      </c>
    </row>
    <row r="1802" spans="8:8">
      <c r="H1802" s="63" t="str">
        <f t="shared" si="28"/>
        <v>_</v>
      </c>
    </row>
    <row r="1803" spans="8:8">
      <c r="H1803" s="63" t="str">
        <f t="shared" si="28"/>
        <v>_</v>
      </c>
    </row>
    <row r="1804" spans="8:8">
      <c r="H1804" s="63" t="str">
        <f t="shared" si="28"/>
        <v>_</v>
      </c>
    </row>
    <row r="1805" spans="8:8">
      <c r="H1805" s="63" t="str">
        <f t="shared" si="28"/>
        <v>_</v>
      </c>
    </row>
    <row r="1806" spans="8:8">
      <c r="H1806" s="63" t="str">
        <f t="shared" si="28"/>
        <v>_</v>
      </c>
    </row>
    <row r="1807" spans="8:8">
      <c r="H1807" s="63" t="str">
        <f t="shared" si="28"/>
        <v>_</v>
      </c>
    </row>
    <row r="1808" spans="8:8">
      <c r="H1808" s="63" t="str">
        <f t="shared" si="28"/>
        <v>_</v>
      </c>
    </row>
    <row r="1809" spans="8:8">
      <c r="H1809" s="63" t="str">
        <f t="shared" si="28"/>
        <v>_</v>
      </c>
    </row>
    <row r="1810" spans="8:8">
      <c r="H1810" s="63" t="str">
        <f t="shared" si="28"/>
        <v>_</v>
      </c>
    </row>
    <row r="1811" spans="8:8">
      <c r="H1811" s="63" t="str">
        <f t="shared" si="28"/>
        <v>_</v>
      </c>
    </row>
    <row r="1812" spans="8:8">
      <c r="H1812" s="63" t="str">
        <f t="shared" si="28"/>
        <v>_</v>
      </c>
    </row>
    <row r="1813" spans="8:8">
      <c r="H1813" s="63" t="str">
        <f t="shared" si="28"/>
        <v>_</v>
      </c>
    </row>
    <row r="1814" spans="8:8">
      <c r="H1814" s="63" t="str">
        <f t="shared" si="28"/>
        <v>_</v>
      </c>
    </row>
    <row r="1815" spans="8:8">
      <c r="H1815" s="63" t="str">
        <f t="shared" si="28"/>
        <v>_</v>
      </c>
    </row>
    <row r="1816" spans="8:8">
      <c r="H1816" s="63" t="str">
        <f t="shared" si="28"/>
        <v>_</v>
      </c>
    </row>
    <row r="1817" spans="8:8">
      <c r="H1817" s="63" t="str">
        <f t="shared" si="28"/>
        <v>_</v>
      </c>
    </row>
    <row r="1818" spans="8:8">
      <c r="H1818" s="63" t="str">
        <f t="shared" si="28"/>
        <v>_</v>
      </c>
    </row>
    <row r="1819" spans="8:8">
      <c r="H1819" s="63" t="str">
        <f t="shared" si="28"/>
        <v>_</v>
      </c>
    </row>
    <row r="1820" spans="8:8">
      <c r="H1820" s="63" t="str">
        <f t="shared" si="28"/>
        <v>_</v>
      </c>
    </row>
    <row r="1821" spans="8:8">
      <c r="H1821" s="63" t="str">
        <f t="shared" si="28"/>
        <v>_</v>
      </c>
    </row>
    <row r="1822" spans="8:8">
      <c r="H1822" s="63" t="str">
        <f t="shared" si="28"/>
        <v>_</v>
      </c>
    </row>
    <row r="1823" spans="8:8">
      <c r="H1823" s="63" t="str">
        <f t="shared" si="28"/>
        <v>_</v>
      </c>
    </row>
    <row r="1824" spans="8:8">
      <c r="H1824" s="63" t="str">
        <f t="shared" si="28"/>
        <v>_</v>
      </c>
    </row>
    <row r="1825" spans="8:8">
      <c r="H1825" s="63" t="str">
        <f t="shared" si="28"/>
        <v>_</v>
      </c>
    </row>
    <row r="1826" spans="8:8">
      <c r="H1826" s="63" t="str">
        <f t="shared" si="28"/>
        <v>_</v>
      </c>
    </row>
    <row r="1827" spans="8:8">
      <c r="H1827" s="63" t="str">
        <f t="shared" si="28"/>
        <v>_</v>
      </c>
    </row>
    <row r="1828" spans="8:8">
      <c r="H1828" s="63" t="str">
        <f t="shared" si="28"/>
        <v>_</v>
      </c>
    </row>
    <row r="1829" spans="8:8">
      <c r="H1829" s="63" t="str">
        <f t="shared" si="28"/>
        <v>_</v>
      </c>
    </row>
    <row r="1830" spans="8:8">
      <c r="H1830" s="63" t="str">
        <f t="shared" si="28"/>
        <v>_</v>
      </c>
    </row>
    <row r="1831" spans="8:8">
      <c r="H1831" s="63" t="str">
        <f t="shared" si="28"/>
        <v>_</v>
      </c>
    </row>
    <row r="1832" spans="8:8">
      <c r="H1832" s="63" t="str">
        <f t="shared" si="28"/>
        <v>_</v>
      </c>
    </row>
    <row r="1833" spans="8:8">
      <c r="H1833" s="63" t="str">
        <f t="shared" si="28"/>
        <v>_</v>
      </c>
    </row>
    <row r="1834" spans="8:8">
      <c r="H1834" s="63" t="str">
        <f t="shared" si="28"/>
        <v>_</v>
      </c>
    </row>
    <row r="1835" spans="8:8">
      <c r="H1835" s="63" t="str">
        <f t="shared" si="28"/>
        <v>_</v>
      </c>
    </row>
    <row r="1836" spans="8:8">
      <c r="H1836" s="63" t="str">
        <f t="shared" si="28"/>
        <v>_</v>
      </c>
    </row>
    <row r="1837" spans="8:8">
      <c r="H1837" s="63" t="str">
        <f t="shared" si="28"/>
        <v>_</v>
      </c>
    </row>
    <row r="1838" spans="8:8">
      <c r="H1838" s="63" t="str">
        <f t="shared" si="28"/>
        <v>_</v>
      </c>
    </row>
    <row r="1839" spans="8:8">
      <c r="H1839" s="63" t="str">
        <f t="shared" si="28"/>
        <v>_</v>
      </c>
    </row>
    <row r="1840" spans="8:8">
      <c r="H1840" s="63" t="str">
        <f t="shared" si="28"/>
        <v>_</v>
      </c>
    </row>
    <row r="1841" spans="8:8">
      <c r="H1841" s="63" t="str">
        <f t="shared" si="28"/>
        <v>_</v>
      </c>
    </row>
    <row r="1842" spans="8:8">
      <c r="H1842" s="63" t="str">
        <f t="shared" si="28"/>
        <v>_</v>
      </c>
    </row>
    <row r="1843" spans="8:8">
      <c r="H1843" s="63" t="str">
        <f t="shared" si="28"/>
        <v>_</v>
      </c>
    </row>
    <row r="1844" spans="8:8">
      <c r="H1844" s="63" t="str">
        <f t="shared" si="28"/>
        <v>_</v>
      </c>
    </row>
    <row r="1845" spans="8:8">
      <c r="H1845" s="63" t="str">
        <f t="shared" si="28"/>
        <v>_</v>
      </c>
    </row>
    <row r="1846" spans="8:8">
      <c r="H1846" s="63" t="str">
        <f t="shared" si="28"/>
        <v>_</v>
      </c>
    </row>
    <row r="1847" spans="8:8">
      <c r="H1847" s="63" t="str">
        <f t="shared" si="28"/>
        <v>_</v>
      </c>
    </row>
    <row r="1848" spans="8:8">
      <c r="H1848" s="63" t="str">
        <f t="shared" si="28"/>
        <v>_</v>
      </c>
    </row>
    <row r="1849" spans="8:8">
      <c r="H1849" s="63" t="str">
        <f t="shared" si="28"/>
        <v>_</v>
      </c>
    </row>
    <row r="1850" spans="8:8">
      <c r="H1850" s="63" t="str">
        <f t="shared" si="28"/>
        <v>_</v>
      </c>
    </row>
    <row r="1851" spans="8:8">
      <c r="H1851" s="63" t="str">
        <f t="shared" si="28"/>
        <v>_</v>
      </c>
    </row>
    <row r="1852" spans="8:8">
      <c r="H1852" s="63" t="str">
        <f t="shared" si="28"/>
        <v>_</v>
      </c>
    </row>
    <row r="1853" spans="8:8">
      <c r="H1853" s="63" t="str">
        <f t="shared" si="28"/>
        <v>_</v>
      </c>
    </row>
    <row r="1854" spans="8:8">
      <c r="H1854" s="63" t="str">
        <f t="shared" si="28"/>
        <v>_</v>
      </c>
    </row>
    <row r="1855" spans="8:8">
      <c r="H1855" s="63" t="str">
        <f t="shared" si="28"/>
        <v>_</v>
      </c>
    </row>
    <row r="1856" spans="8:8">
      <c r="H1856" s="63" t="str">
        <f t="shared" si="28"/>
        <v>_</v>
      </c>
    </row>
    <row r="1857" spans="8:8">
      <c r="H1857" s="63" t="str">
        <f t="shared" si="28"/>
        <v>_</v>
      </c>
    </row>
    <row r="1858" spans="8:8">
      <c r="H1858" s="63" t="str">
        <f t="shared" si="28"/>
        <v>_</v>
      </c>
    </row>
    <row r="1859" spans="8:8">
      <c r="H1859" s="63" t="str">
        <f t="shared" ref="H1859:H1922" si="29">IF(OR(MID(A1859,6,10)="NASPP",MID(A1859,6,10)="RASPP"),"RNASPP",IF(OR(MID(A1859,6,10)="NSFAP",MID(A1859,6,10)="RSPOA"),"RNSPOA",IF(OR(A1859="ULGALLOC",A1859="ULSPOOL"),A1859,IF(MID(A1859,6,5)="ANSSP","ASSP1",MID(A1859,6,10)))))&amp;"_"&amp;B1859</f>
        <v>_</v>
      </c>
    </row>
    <row r="1860" spans="8:8">
      <c r="H1860" s="63" t="str">
        <f t="shared" si="29"/>
        <v>_</v>
      </c>
    </row>
    <row r="1861" spans="8:8">
      <c r="H1861" s="63" t="str">
        <f t="shared" si="29"/>
        <v>_</v>
      </c>
    </row>
    <row r="1862" spans="8:8">
      <c r="H1862" s="63" t="str">
        <f t="shared" si="29"/>
        <v>_</v>
      </c>
    </row>
    <row r="1863" spans="8:8">
      <c r="H1863" s="63" t="str">
        <f t="shared" si="29"/>
        <v>_</v>
      </c>
    </row>
    <row r="1864" spans="8:8">
      <c r="H1864" s="63" t="str">
        <f t="shared" si="29"/>
        <v>_</v>
      </c>
    </row>
    <row r="1865" spans="8:8">
      <c r="H1865" s="63" t="str">
        <f t="shared" si="29"/>
        <v>_</v>
      </c>
    </row>
    <row r="1866" spans="8:8">
      <c r="H1866" s="63" t="str">
        <f t="shared" si="29"/>
        <v>_</v>
      </c>
    </row>
    <row r="1867" spans="8:8">
      <c r="H1867" s="63" t="str">
        <f t="shared" si="29"/>
        <v>_</v>
      </c>
    </row>
    <row r="1868" spans="8:8">
      <c r="H1868" s="63" t="str">
        <f t="shared" si="29"/>
        <v>_</v>
      </c>
    </row>
    <row r="1869" spans="8:8">
      <c r="H1869" s="63" t="str">
        <f t="shared" si="29"/>
        <v>_</v>
      </c>
    </row>
    <row r="1870" spans="8:8">
      <c r="H1870" s="63" t="str">
        <f t="shared" si="29"/>
        <v>_</v>
      </c>
    </row>
    <row r="1871" spans="8:8">
      <c r="H1871" s="63" t="str">
        <f t="shared" si="29"/>
        <v>_</v>
      </c>
    </row>
    <row r="1872" spans="8:8">
      <c r="H1872" s="63" t="str">
        <f t="shared" si="29"/>
        <v>_</v>
      </c>
    </row>
    <row r="1873" spans="8:8">
      <c r="H1873" s="63" t="str">
        <f t="shared" si="29"/>
        <v>_</v>
      </c>
    </row>
    <row r="1874" spans="8:8">
      <c r="H1874" s="63" t="str">
        <f t="shared" si="29"/>
        <v>_</v>
      </c>
    </row>
    <row r="1875" spans="8:8">
      <c r="H1875" s="63" t="str">
        <f t="shared" si="29"/>
        <v>_</v>
      </c>
    </row>
    <row r="1876" spans="8:8">
      <c r="H1876" s="63" t="str">
        <f t="shared" si="29"/>
        <v>_</v>
      </c>
    </row>
    <row r="1877" spans="8:8">
      <c r="H1877" s="63" t="str">
        <f t="shared" si="29"/>
        <v>_</v>
      </c>
    </row>
    <row r="1878" spans="8:8">
      <c r="H1878" s="63" t="str">
        <f t="shared" si="29"/>
        <v>_</v>
      </c>
    </row>
    <row r="1879" spans="8:8">
      <c r="H1879" s="63" t="str">
        <f t="shared" si="29"/>
        <v>_</v>
      </c>
    </row>
    <row r="1880" spans="8:8">
      <c r="H1880" s="63" t="str">
        <f t="shared" si="29"/>
        <v>_</v>
      </c>
    </row>
    <row r="1881" spans="8:8">
      <c r="H1881" s="63" t="str">
        <f t="shared" si="29"/>
        <v>_</v>
      </c>
    </row>
    <row r="1882" spans="8:8">
      <c r="H1882" s="63" t="str">
        <f t="shared" si="29"/>
        <v>_</v>
      </c>
    </row>
    <row r="1883" spans="8:8">
      <c r="H1883" s="63" t="str">
        <f t="shared" si="29"/>
        <v>_</v>
      </c>
    </row>
    <row r="1884" spans="8:8">
      <c r="H1884" s="63" t="str">
        <f t="shared" si="29"/>
        <v>_</v>
      </c>
    </row>
    <row r="1885" spans="8:8">
      <c r="H1885" s="63" t="str">
        <f t="shared" si="29"/>
        <v>_</v>
      </c>
    </row>
    <row r="1886" spans="8:8">
      <c r="H1886" s="63" t="str">
        <f t="shared" si="29"/>
        <v>_</v>
      </c>
    </row>
    <row r="1887" spans="8:8">
      <c r="H1887" s="63" t="str">
        <f t="shared" si="29"/>
        <v>_</v>
      </c>
    </row>
    <row r="1888" spans="8:8">
      <c r="H1888" s="63" t="str">
        <f t="shared" si="29"/>
        <v>_</v>
      </c>
    </row>
    <row r="1889" spans="8:8">
      <c r="H1889" s="63" t="str">
        <f t="shared" si="29"/>
        <v>_</v>
      </c>
    </row>
    <row r="1890" spans="8:8">
      <c r="H1890" s="63" t="str">
        <f t="shared" si="29"/>
        <v>_</v>
      </c>
    </row>
    <row r="1891" spans="8:8">
      <c r="H1891" s="63" t="str">
        <f t="shared" si="29"/>
        <v>_</v>
      </c>
    </row>
    <row r="1892" spans="8:8">
      <c r="H1892" s="63" t="str">
        <f t="shared" si="29"/>
        <v>_</v>
      </c>
    </row>
    <row r="1893" spans="8:8">
      <c r="H1893" s="63" t="str">
        <f t="shared" si="29"/>
        <v>_</v>
      </c>
    </row>
    <row r="1894" spans="8:8">
      <c r="H1894" s="63" t="str">
        <f t="shared" si="29"/>
        <v>_</v>
      </c>
    </row>
    <row r="1895" spans="8:8">
      <c r="H1895" s="63" t="str">
        <f t="shared" si="29"/>
        <v>_</v>
      </c>
    </row>
    <row r="1896" spans="8:8">
      <c r="H1896" s="63" t="str">
        <f t="shared" si="29"/>
        <v>_</v>
      </c>
    </row>
    <row r="1897" spans="8:8">
      <c r="H1897" s="63" t="str">
        <f t="shared" si="29"/>
        <v>_</v>
      </c>
    </row>
    <row r="1898" spans="8:8">
      <c r="H1898" s="63" t="str">
        <f t="shared" si="29"/>
        <v>_</v>
      </c>
    </row>
    <row r="1899" spans="8:8">
      <c r="H1899" s="63" t="str">
        <f t="shared" si="29"/>
        <v>_</v>
      </c>
    </row>
    <row r="1900" spans="8:8">
      <c r="H1900" s="63" t="str">
        <f t="shared" si="29"/>
        <v>_</v>
      </c>
    </row>
    <row r="1901" spans="8:8">
      <c r="H1901" s="63" t="str">
        <f t="shared" si="29"/>
        <v>_</v>
      </c>
    </row>
    <row r="1902" spans="8:8">
      <c r="H1902" s="63" t="str">
        <f t="shared" si="29"/>
        <v>_</v>
      </c>
    </row>
    <row r="1903" spans="8:8">
      <c r="H1903" s="63" t="str">
        <f t="shared" si="29"/>
        <v>_</v>
      </c>
    </row>
    <row r="1904" spans="8:8">
      <c r="H1904" s="63" t="str">
        <f t="shared" si="29"/>
        <v>_</v>
      </c>
    </row>
    <row r="1905" spans="8:8">
      <c r="H1905" s="63" t="str">
        <f t="shared" si="29"/>
        <v>_</v>
      </c>
    </row>
    <row r="1906" spans="8:8">
      <c r="H1906" s="63" t="str">
        <f t="shared" si="29"/>
        <v>_</v>
      </c>
    </row>
    <row r="1907" spans="8:8">
      <c r="H1907" s="63" t="str">
        <f t="shared" si="29"/>
        <v>_</v>
      </c>
    </row>
    <row r="1908" spans="8:8">
      <c r="H1908" s="63" t="str">
        <f t="shared" si="29"/>
        <v>_</v>
      </c>
    </row>
    <row r="1909" spans="8:8">
      <c r="H1909" s="63" t="str">
        <f t="shared" si="29"/>
        <v>_</v>
      </c>
    </row>
    <row r="1910" spans="8:8">
      <c r="H1910" s="63" t="str">
        <f t="shared" si="29"/>
        <v>_</v>
      </c>
    </row>
    <row r="1911" spans="8:8">
      <c r="H1911" s="63" t="str">
        <f t="shared" si="29"/>
        <v>_</v>
      </c>
    </row>
    <row r="1912" spans="8:8">
      <c r="H1912" s="63" t="str">
        <f t="shared" si="29"/>
        <v>_</v>
      </c>
    </row>
    <row r="1913" spans="8:8">
      <c r="H1913" s="63" t="str">
        <f t="shared" si="29"/>
        <v>_</v>
      </c>
    </row>
    <row r="1914" spans="8:8">
      <c r="H1914" s="63" t="str">
        <f t="shared" si="29"/>
        <v>_</v>
      </c>
    </row>
    <row r="1915" spans="8:8">
      <c r="H1915" s="63" t="str">
        <f t="shared" si="29"/>
        <v>_</v>
      </c>
    </row>
    <row r="1916" spans="8:8">
      <c r="H1916" s="63" t="str">
        <f t="shared" si="29"/>
        <v>_</v>
      </c>
    </row>
    <row r="1917" spans="8:8">
      <c r="H1917" s="63" t="str">
        <f t="shared" si="29"/>
        <v>_</v>
      </c>
    </row>
    <row r="1918" spans="8:8">
      <c r="H1918" s="63" t="str">
        <f t="shared" si="29"/>
        <v>_</v>
      </c>
    </row>
    <row r="1919" spans="8:8">
      <c r="H1919" s="63" t="str">
        <f t="shared" si="29"/>
        <v>_</v>
      </c>
    </row>
    <row r="1920" spans="8:8">
      <c r="H1920" s="63" t="str">
        <f t="shared" si="29"/>
        <v>_</v>
      </c>
    </row>
    <row r="1921" spans="8:8">
      <c r="H1921" s="63" t="str">
        <f t="shared" si="29"/>
        <v>_</v>
      </c>
    </row>
    <row r="1922" spans="8:8">
      <c r="H1922" s="63" t="str">
        <f t="shared" si="29"/>
        <v>_</v>
      </c>
    </row>
    <row r="1923" spans="8:8">
      <c r="H1923" s="63" t="str">
        <f t="shared" ref="H1923:H1986" si="30">IF(OR(MID(A1923,6,10)="NASPP",MID(A1923,6,10)="RASPP"),"RNASPP",IF(OR(MID(A1923,6,10)="NSFAP",MID(A1923,6,10)="RSPOA"),"RNSPOA",IF(OR(A1923="ULGALLOC",A1923="ULSPOOL"),A1923,IF(MID(A1923,6,5)="ANSSP","ASSP1",MID(A1923,6,10)))))&amp;"_"&amp;B1923</f>
        <v>_</v>
      </c>
    </row>
    <row r="1924" spans="8:8">
      <c r="H1924" s="63" t="str">
        <f t="shared" si="30"/>
        <v>_</v>
      </c>
    </row>
    <row r="1925" spans="8:8">
      <c r="H1925" s="63" t="str">
        <f t="shared" si="30"/>
        <v>_</v>
      </c>
    </row>
    <row r="1926" spans="8:8">
      <c r="H1926" s="63" t="str">
        <f t="shared" si="30"/>
        <v>_</v>
      </c>
    </row>
    <row r="1927" spans="8:8">
      <c r="H1927" s="63" t="str">
        <f t="shared" si="30"/>
        <v>_</v>
      </c>
    </row>
    <row r="1928" spans="8:8">
      <c r="H1928" s="63" t="str">
        <f t="shared" si="30"/>
        <v>_</v>
      </c>
    </row>
    <row r="1929" spans="8:8">
      <c r="H1929" s="63" t="str">
        <f t="shared" si="30"/>
        <v>_</v>
      </c>
    </row>
    <row r="1930" spans="8:8">
      <c r="H1930" s="63" t="str">
        <f t="shared" si="30"/>
        <v>_</v>
      </c>
    </row>
    <row r="1931" spans="8:8">
      <c r="H1931" s="63" t="str">
        <f t="shared" si="30"/>
        <v>_</v>
      </c>
    </row>
    <row r="1932" spans="8:8">
      <c r="H1932" s="63" t="str">
        <f t="shared" si="30"/>
        <v>_</v>
      </c>
    </row>
    <row r="1933" spans="8:8">
      <c r="H1933" s="63" t="str">
        <f t="shared" si="30"/>
        <v>_</v>
      </c>
    </row>
    <row r="1934" spans="8:8">
      <c r="H1934" s="63" t="str">
        <f t="shared" si="30"/>
        <v>_</v>
      </c>
    </row>
    <row r="1935" spans="8:8">
      <c r="H1935" s="63" t="str">
        <f t="shared" si="30"/>
        <v>_</v>
      </c>
    </row>
    <row r="1936" spans="8:8">
      <c r="H1936" s="63" t="str">
        <f t="shared" si="30"/>
        <v>_</v>
      </c>
    </row>
    <row r="1937" spans="8:8">
      <c r="H1937" s="63" t="str">
        <f t="shared" si="30"/>
        <v>_</v>
      </c>
    </row>
    <row r="1938" spans="8:8">
      <c r="H1938" s="63" t="str">
        <f t="shared" si="30"/>
        <v>_</v>
      </c>
    </row>
    <row r="1939" spans="8:8">
      <c r="H1939" s="63" t="str">
        <f t="shared" si="30"/>
        <v>_</v>
      </c>
    </row>
    <row r="1940" spans="8:8">
      <c r="H1940" s="63" t="str">
        <f t="shared" si="30"/>
        <v>_</v>
      </c>
    </row>
    <row r="1941" spans="8:8">
      <c r="H1941" s="63" t="str">
        <f t="shared" si="30"/>
        <v>_</v>
      </c>
    </row>
    <row r="1942" spans="8:8">
      <c r="H1942" s="63" t="str">
        <f t="shared" si="30"/>
        <v>_</v>
      </c>
    </row>
    <row r="1943" spans="8:8">
      <c r="H1943" s="63" t="str">
        <f t="shared" si="30"/>
        <v>_</v>
      </c>
    </row>
    <row r="1944" spans="8:8">
      <c r="H1944" s="63" t="str">
        <f t="shared" si="30"/>
        <v>_</v>
      </c>
    </row>
    <row r="1945" spans="8:8">
      <c r="H1945" s="63" t="str">
        <f t="shared" si="30"/>
        <v>_</v>
      </c>
    </row>
    <row r="1946" spans="8:8">
      <c r="H1946" s="63" t="str">
        <f t="shared" si="30"/>
        <v>_</v>
      </c>
    </row>
    <row r="1947" spans="8:8">
      <c r="H1947" s="63" t="str">
        <f t="shared" si="30"/>
        <v>_</v>
      </c>
    </row>
    <row r="1948" spans="8:8">
      <c r="H1948" s="63" t="str">
        <f t="shared" si="30"/>
        <v>_</v>
      </c>
    </row>
    <row r="1949" spans="8:8">
      <c r="H1949" s="63" t="str">
        <f t="shared" si="30"/>
        <v>_</v>
      </c>
    </row>
    <row r="1950" spans="8:8">
      <c r="H1950" s="63" t="str">
        <f t="shared" si="30"/>
        <v>_</v>
      </c>
    </row>
    <row r="1951" spans="8:8">
      <c r="H1951" s="63" t="str">
        <f t="shared" si="30"/>
        <v>_</v>
      </c>
    </row>
    <row r="1952" spans="8:8">
      <c r="H1952" s="63" t="str">
        <f t="shared" si="30"/>
        <v>_</v>
      </c>
    </row>
    <row r="1953" spans="8:8">
      <c r="H1953" s="63" t="str">
        <f t="shared" si="30"/>
        <v>_</v>
      </c>
    </row>
    <row r="1954" spans="8:8">
      <c r="H1954" s="63" t="str">
        <f t="shared" si="30"/>
        <v>_</v>
      </c>
    </row>
    <row r="1955" spans="8:8">
      <c r="H1955" s="63" t="str">
        <f t="shared" si="30"/>
        <v>_</v>
      </c>
    </row>
    <row r="1956" spans="8:8">
      <c r="H1956" s="63" t="str">
        <f t="shared" si="30"/>
        <v>_</v>
      </c>
    </row>
    <row r="1957" spans="8:8">
      <c r="H1957" s="63" t="str">
        <f t="shared" si="30"/>
        <v>_</v>
      </c>
    </row>
    <row r="1958" spans="8:8">
      <c r="H1958" s="63" t="str">
        <f t="shared" si="30"/>
        <v>_</v>
      </c>
    </row>
    <row r="1959" spans="8:8">
      <c r="H1959" s="63" t="str">
        <f t="shared" si="30"/>
        <v>_</v>
      </c>
    </row>
    <row r="1960" spans="8:8">
      <c r="H1960" s="63" t="str">
        <f t="shared" si="30"/>
        <v>_</v>
      </c>
    </row>
    <row r="1961" spans="8:8">
      <c r="H1961" s="63" t="str">
        <f t="shared" si="30"/>
        <v>_</v>
      </c>
    </row>
    <row r="1962" spans="8:8">
      <c r="H1962" s="63" t="str">
        <f t="shared" si="30"/>
        <v>_</v>
      </c>
    </row>
    <row r="1963" spans="8:8">
      <c r="H1963" s="63" t="str">
        <f t="shared" si="30"/>
        <v>_</v>
      </c>
    </row>
    <row r="1964" spans="8:8">
      <c r="H1964" s="63" t="str">
        <f t="shared" si="30"/>
        <v>_</v>
      </c>
    </row>
    <row r="1965" spans="8:8">
      <c r="H1965" s="63" t="str">
        <f t="shared" si="30"/>
        <v>_</v>
      </c>
    </row>
    <row r="1966" spans="8:8">
      <c r="H1966" s="63" t="str">
        <f t="shared" si="30"/>
        <v>_</v>
      </c>
    </row>
    <row r="1967" spans="8:8">
      <c r="H1967" s="63" t="str">
        <f t="shared" si="30"/>
        <v>_</v>
      </c>
    </row>
    <row r="1968" spans="8:8">
      <c r="H1968" s="63" t="str">
        <f t="shared" si="30"/>
        <v>_</v>
      </c>
    </row>
    <row r="1969" spans="8:8">
      <c r="H1969" s="63" t="str">
        <f t="shared" si="30"/>
        <v>_</v>
      </c>
    </row>
    <row r="1970" spans="8:8">
      <c r="H1970" s="63" t="str">
        <f t="shared" si="30"/>
        <v>_</v>
      </c>
    </row>
    <row r="1971" spans="8:8">
      <c r="H1971" s="63" t="str">
        <f t="shared" si="30"/>
        <v>_</v>
      </c>
    </row>
    <row r="1972" spans="8:8">
      <c r="H1972" s="63" t="str">
        <f t="shared" si="30"/>
        <v>_</v>
      </c>
    </row>
    <row r="1973" spans="8:8">
      <c r="H1973" s="63" t="str">
        <f t="shared" si="30"/>
        <v>_</v>
      </c>
    </row>
    <row r="1974" spans="8:8">
      <c r="H1974" s="63" t="str">
        <f t="shared" si="30"/>
        <v>_</v>
      </c>
    </row>
    <row r="1975" spans="8:8">
      <c r="H1975" s="63" t="str">
        <f t="shared" si="30"/>
        <v>_</v>
      </c>
    </row>
    <row r="1976" spans="8:8">
      <c r="H1976" s="63" t="str">
        <f t="shared" si="30"/>
        <v>_</v>
      </c>
    </row>
    <row r="1977" spans="8:8">
      <c r="H1977" s="63" t="str">
        <f t="shared" si="30"/>
        <v>_</v>
      </c>
    </row>
    <row r="1978" spans="8:8">
      <c r="H1978" s="63" t="str">
        <f t="shared" si="30"/>
        <v>_</v>
      </c>
    </row>
    <row r="1979" spans="8:8">
      <c r="H1979" s="63" t="str">
        <f t="shared" si="30"/>
        <v>_</v>
      </c>
    </row>
    <row r="1980" spans="8:8">
      <c r="H1980" s="63" t="str">
        <f t="shared" si="30"/>
        <v>_</v>
      </c>
    </row>
    <row r="1981" spans="8:8">
      <c r="H1981" s="63" t="str">
        <f t="shared" si="30"/>
        <v>_</v>
      </c>
    </row>
    <row r="1982" spans="8:8">
      <c r="H1982" s="63" t="str">
        <f t="shared" si="30"/>
        <v>_</v>
      </c>
    </row>
    <row r="1983" spans="8:8">
      <c r="H1983" s="63" t="str">
        <f t="shared" si="30"/>
        <v>_</v>
      </c>
    </row>
    <row r="1984" spans="8:8">
      <c r="H1984" s="63" t="str">
        <f t="shared" si="30"/>
        <v>_</v>
      </c>
    </row>
    <row r="1985" spans="8:8">
      <c r="H1985" s="63" t="str">
        <f t="shared" si="30"/>
        <v>_</v>
      </c>
    </row>
    <row r="1986" spans="8:8">
      <c r="H1986" s="63" t="str">
        <f t="shared" si="30"/>
        <v>_</v>
      </c>
    </row>
    <row r="1987" spans="8:8">
      <c r="H1987" s="63" t="str">
        <f t="shared" ref="H1987:H2050" si="31">IF(OR(MID(A1987,6,10)="NASPP",MID(A1987,6,10)="RASPP"),"RNASPP",IF(OR(MID(A1987,6,10)="NSFAP",MID(A1987,6,10)="RSPOA"),"RNSPOA",IF(OR(A1987="ULGALLOC",A1987="ULSPOOL"),A1987,IF(MID(A1987,6,5)="ANSSP","ASSP1",MID(A1987,6,10)))))&amp;"_"&amp;B1987</f>
        <v>_</v>
      </c>
    </row>
    <row r="1988" spans="8:8">
      <c r="H1988" s="63" t="str">
        <f t="shared" si="31"/>
        <v>_</v>
      </c>
    </row>
    <row r="1989" spans="8:8">
      <c r="H1989" s="63" t="str">
        <f t="shared" si="31"/>
        <v>_</v>
      </c>
    </row>
    <row r="1990" spans="8:8">
      <c r="H1990" s="63" t="str">
        <f t="shared" si="31"/>
        <v>_</v>
      </c>
    </row>
    <row r="1991" spans="8:8">
      <c r="H1991" s="63" t="str">
        <f t="shared" si="31"/>
        <v>_</v>
      </c>
    </row>
    <row r="1992" spans="8:8">
      <c r="H1992" s="63" t="str">
        <f t="shared" si="31"/>
        <v>_</v>
      </c>
    </row>
    <row r="1993" spans="8:8">
      <c r="H1993" s="63" t="str">
        <f t="shared" si="31"/>
        <v>_</v>
      </c>
    </row>
    <row r="1994" spans="8:8">
      <c r="H1994" s="63" t="str">
        <f t="shared" si="31"/>
        <v>_</v>
      </c>
    </row>
    <row r="1995" spans="8:8">
      <c r="H1995" s="63" t="str">
        <f t="shared" si="31"/>
        <v>_</v>
      </c>
    </row>
    <row r="1996" spans="8:8">
      <c r="H1996" s="63" t="str">
        <f t="shared" si="31"/>
        <v>_</v>
      </c>
    </row>
    <row r="1997" spans="8:8">
      <c r="H1997" s="63" t="str">
        <f t="shared" si="31"/>
        <v>_</v>
      </c>
    </row>
    <row r="1998" spans="8:8">
      <c r="H1998" s="63" t="str">
        <f t="shared" si="31"/>
        <v>_</v>
      </c>
    </row>
    <row r="1999" spans="8:8">
      <c r="H1999" s="63" t="str">
        <f t="shared" si="31"/>
        <v>_</v>
      </c>
    </row>
    <row r="2000" spans="8:8">
      <c r="H2000" s="63" t="str">
        <f t="shared" si="31"/>
        <v>_</v>
      </c>
    </row>
    <row r="2001" spans="8:8">
      <c r="H2001" s="63" t="str">
        <f t="shared" si="31"/>
        <v>_</v>
      </c>
    </row>
    <row r="2002" spans="8:8">
      <c r="H2002" s="63" t="str">
        <f t="shared" si="31"/>
        <v>_</v>
      </c>
    </row>
    <row r="2003" spans="8:8">
      <c r="H2003" s="63" t="str">
        <f t="shared" si="31"/>
        <v>_</v>
      </c>
    </row>
    <row r="2004" spans="8:8">
      <c r="H2004" s="63" t="str">
        <f t="shared" si="31"/>
        <v>_</v>
      </c>
    </row>
    <row r="2005" spans="8:8">
      <c r="H2005" s="63" t="str">
        <f t="shared" si="31"/>
        <v>_</v>
      </c>
    </row>
    <row r="2006" spans="8:8">
      <c r="H2006" s="63" t="str">
        <f t="shared" si="31"/>
        <v>_</v>
      </c>
    </row>
    <row r="2007" spans="8:8">
      <c r="H2007" s="63" t="str">
        <f t="shared" si="31"/>
        <v>_</v>
      </c>
    </row>
    <row r="2008" spans="8:8">
      <c r="H2008" s="63" t="str">
        <f t="shared" si="31"/>
        <v>_</v>
      </c>
    </row>
    <row r="2009" spans="8:8">
      <c r="H2009" s="63" t="str">
        <f t="shared" si="31"/>
        <v>_</v>
      </c>
    </row>
    <row r="2010" spans="8:8">
      <c r="H2010" s="63" t="str">
        <f t="shared" si="31"/>
        <v>_</v>
      </c>
    </row>
    <row r="2011" spans="8:8">
      <c r="H2011" s="63" t="str">
        <f t="shared" si="31"/>
        <v>_</v>
      </c>
    </row>
    <row r="2012" spans="8:8">
      <c r="H2012" s="63" t="str">
        <f t="shared" si="31"/>
        <v>_</v>
      </c>
    </row>
    <row r="2013" spans="8:8">
      <c r="H2013" s="63" t="str">
        <f t="shared" si="31"/>
        <v>_</v>
      </c>
    </row>
    <row r="2014" spans="8:8">
      <c r="H2014" s="63" t="str">
        <f t="shared" si="31"/>
        <v>_</v>
      </c>
    </row>
    <row r="2015" spans="8:8">
      <c r="H2015" s="63" t="str">
        <f t="shared" si="31"/>
        <v>_</v>
      </c>
    </row>
    <row r="2016" spans="8:8">
      <c r="H2016" s="63" t="str">
        <f t="shared" si="31"/>
        <v>_</v>
      </c>
    </row>
    <row r="2017" spans="8:8">
      <c r="H2017" s="63" t="str">
        <f t="shared" si="31"/>
        <v>_</v>
      </c>
    </row>
    <row r="2018" spans="8:8">
      <c r="H2018" s="63" t="str">
        <f t="shared" si="31"/>
        <v>_</v>
      </c>
    </row>
    <row r="2019" spans="8:8">
      <c r="H2019" s="63" t="str">
        <f t="shared" si="31"/>
        <v>_</v>
      </c>
    </row>
    <row r="2020" spans="8:8">
      <c r="H2020" s="63" t="str">
        <f t="shared" si="31"/>
        <v>_</v>
      </c>
    </row>
    <row r="2021" spans="8:8">
      <c r="H2021" s="63" t="str">
        <f t="shared" si="31"/>
        <v>_</v>
      </c>
    </row>
    <row r="2022" spans="8:8">
      <c r="H2022" s="63" t="str">
        <f t="shared" si="31"/>
        <v>_</v>
      </c>
    </row>
    <row r="2023" spans="8:8">
      <c r="H2023" s="63" t="str">
        <f t="shared" si="31"/>
        <v>_</v>
      </c>
    </row>
    <row r="2024" spans="8:8">
      <c r="H2024" s="63" t="str">
        <f t="shared" si="31"/>
        <v>_</v>
      </c>
    </row>
    <row r="2025" spans="8:8">
      <c r="H2025" s="63" t="str">
        <f t="shared" si="31"/>
        <v>_</v>
      </c>
    </row>
    <row r="2026" spans="8:8">
      <c r="H2026" s="63" t="str">
        <f t="shared" si="31"/>
        <v>_</v>
      </c>
    </row>
    <row r="2027" spans="8:8">
      <c r="H2027" s="63" t="str">
        <f t="shared" si="31"/>
        <v>_</v>
      </c>
    </row>
    <row r="2028" spans="8:8">
      <c r="H2028" s="63" t="str">
        <f t="shared" si="31"/>
        <v>_</v>
      </c>
    </row>
    <row r="2029" spans="8:8">
      <c r="H2029" s="63" t="str">
        <f t="shared" si="31"/>
        <v>_</v>
      </c>
    </row>
    <row r="2030" spans="8:8">
      <c r="H2030" s="63" t="str">
        <f t="shared" si="31"/>
        <v>_</v>
      </c>
    </row>
    <row r="2031" spans="8:8">
      <c r="H2031" s="63" t="str">
        <f t="shared" si="31"/>
        <v>_</v>
      </c>
    </row>
    <row r="2032" spans="8:8">
      <c r="H2032" s="63" t="str">
        <f t="shared" si="31"/>
        <v>_</v>
      </c>
    </row>
    <row r="2033" spans="8:8">
      <c r="H2033" s="63" t="str">
        <f t="shared" si="31"/>
        <v>_</v>
      </c>
    </row>
    <row r="2034" spans="8:8">
      <c r="H2034" s="63" t="str">
        <f t="shared" si="31"/>
        <v>_</v>
      </c>
    </row>
    <row r="2035" spans="8:8">
      <c r="H2035" s="63" t="str">
        <f t="shared" si="31"/>
        <v>_</v>
      </c>
    </row>
    <row r="2036" spans="8:8">
      <c r="H2036" s="63" t="str">
        <f t="shared" si="31"/>
        <v>_</v>
      </c>
    </row>
    <row r="2037" spans="8:8">
      <c r="H2037" s="63" t="str">
        <f t="shared" si="31"/>
        <v>_</v>
      </c>
    </row>
    <row r="2038" spans="8:8">
      <c r="H2038" s="63" t="str">
        <f t="shared" si="31"/>
        <v>_</v>
      </c>
    </row>
    <row r="2039" spans="8:8">
      <c r="H2039" s="63" t="str">
        <f t="shared" si="31"/>
        <v>_</v>
      </c>
    </row>
    <row r="2040" spans="8:8">
      <c r="H2040" s="63" t="str">
        <f t="shared" si="31"/>
        <v>_</v>
      </c>
    </row>
    <row r="2041" spans="8:8">
      <c r="H2041" s="63" t="str">
        <f t="shared" si="31"/>
        <v>_</v>
      </c>
    </row>
    <row r="2042" spans="8:8">
      <c r="H2042" s="63" t="str">
        <f t="shared" si="31"/>
        <v>_</v>
      </c>
    </row>
    <row r="2043" spans="8:8">
      <c r="H2043" s="63" t="str">
        <f t="shared" si="31"/>
        <v>_</v>
      </c>
    </row>
    <row r="2044" spans="8:8">
      <c r="H2044" s="63" t="str">
        <f t="shared" si="31"/>
        <v>_</v>
      </c>
    </row>
    <row r="2045" spans="8:8">
      <c r="H2045" s="63" t="str">
        <f t="shared" si="31"/>
        <v>_</v>
      </c>
    </row>
    <row r="2046" spans="8:8">
      <c r="H2046" s="63" t="str">
        <f t="shared" si="31"/>
        <v>_</v>
      </c>
    </row>
    <row r="2047" spans="8:8">
      <c r="H2047" s="63" t="str">
        <f t="shared" si="31"/>
        <v>_</v>
      </c>
    </row>
    <row r="2048" spans="8:8">
      <c r="H2048" s="63" t="str">
        <f t="shared" si="31"/>
        <v>_</v>
      </c>
    </row>
    <row r="2049" spans="8:8">
      <c r="H2049" s="63" t="str">
        <f t="shared" si="31"/>
        <v>_</v>
      </c>
    </row>
    <row r="2050" spans="8:8">
      <c r="H2050" s="63" t="str">
        <f t="shared" si="31"/>
        <v>_</v>
      </c>
    </row>
    <row r="2051" spans="8:8">
      <c r="H2051" s="63" t="str">
        <f t="shared" ref="H2051:H2114" si="32">IF(OR(MID(A2051,6,10)="NASPP",MID(A2051,6,10)="RASPP"),"RNASPP",IF(OR(MID(A2051,6,10)="NSFAP",MID(A2051,6,10)="RSPOA"),"RNSPOA",IF(OR(A2051="ULGALLOC",A2051="ULSPOOL"),A2051,IF(MID(A2051,6,5)="ANSSP","ASSP1",MID(A2051,6,10)))))&amp;"_"&amp;B2051</f>
        <v>_</v>
      </c>
    </row>
    <row r="2052" spans="8:8">
      <c r="H2052" s="63" t="str">
        <f t="shared" si="32"/>
        <v>_</v>
      </c>
    </row>
    <row r="2053" spans="8:8">
      <c r="H2053" s="63" t="str">
        <f t="shared" si="32"/>
        <v>_</v>
      </c>
    </row>
    <row r="2054" spans="8:8">
      <c r="H2054" s="63" t="str">
        <f t="shared" si="32"/>
        <v>_</v>
      </c>
    </row>
    <row r="2055" spans="8:8">
      <c r="H2055" s="63" t="str">
        <f t="shared" si="32"/>
        <v>_</v>
      </c>
    </row>
    <row r="2056" spans="8:8">
      <c r="H2056" s="63" t="str">
        <f t="shared" si="32"/>
        <v>_</v>
      </c>
    </row>
    <row r="2057" spans="8:8">
      <c r="H2057" s="63" t="str">
        <f t="shared" si="32"/>
        <v>_</v>
      </c>
    </row>
    <row r="2058" spans="8:8">
      <c r="H2058" s="63" t="str">
        <f t="shared" si="32"/>
        <v>_</v>
      </c>
    </row>
    <row r="2059" spans="8:8">
      <c r="H2059" s="63" t="str">
        <f t="shared" si="32"/>
        <v>_</v>
      </c>
    </row>
    <row r="2060" spans="8:8">
      <c r="H2060" s="63" t="str">
        <f t="shared" si="32"/>
        <v>_</v>
      </c>
    </row>
    <row r="2061" spans="8:8">
      <c r="H2061" s="63" t="str">
        <f t="shared" si="32"/>
        <v>_</v>
      </c>
    </row>
    <row r="2062" spans="8:8">
      <c r="H2062" s="63" t="str">
        <f t="shared" si="32"/>
        <v>_</v>
      </c>
    </row>
    <row r="2063" spans="8:8">
      <c r="H2063" s="63" t="str">
        <f t="shared" si="32"/>
        <v>_</v>
      </c>
    </row>
    <row r="2064" spans="8:8">
      <c r="H2064" s="63" t="str">
        <f t="shared" si="32"/>
        <v>_</v>
      </c>
    </row>
    <row r="2065" spans="8:8">
      <c r="H2065" s="63" t="str">
        <f t="shared" si="32"/>
        <v>_</v>
      </c>
    </row>
    <row r="2066" spans="8:8">
      <c r="H2066" s="63" t="str">
        <f t="shared" si="32"/>
        <v>_</v>
      </c>
    </row>
    <row r="2067" spans="8:8">
      <c r="H2067" s="63" t="str">
        <f t="shared" si="32"/>
        <v>_</v>
      </c>
    </row>
    <row r="2068" spans="8:8">
      <c r="H2068" s="63" t="str">
        <f t="shared" si="32"/>
        <v>_</v>
      </c>
    </row>
    <row r="2069" spans="8:8">
      <c r="H2069" s="63" t="str">
        <f t="shared" si="32"/>
        <v>_</v>
      </c>
    </row>
    <row r="2070" spans="8:8">
      <c r="H2070" s="63" t="str">
        <f t="shared" si="32"/>
        <v>_</v>
      </c>
    </row>
    <row r="2071" spans="8:8">
      <c r="H2071" s="63" t="str">
        <f t="shared" si="32"/>
        <v>_</v>
      </c>
    </row>
    <row r="2072" spans="8:8">
      <c r="H2072" s="63" t="str">
        <f t="shared" si="32"/>
        <v>_</v>
      </c>
    </row>
    <row r="2073" spans="8:8">
      <c r="H2073" s="63" t="str">
        <f t="shared" si="32"/>
        <v>_</v>
      </c>
    </row>
    <row r="2074" spans="8:8">
      <c r="H2074" s="63" t="str">
        <f t="shared" si="32"/>
        <v>_</v>
      </c>
    </row>
    <row r="2075" spans="8:8">
      <c r="H2075" s="63" t="str">
        <f t="shared" si="32"/>
        <v>_</v>
      </c>
    </row>
    <row r="2076" spans="8:8">
      <c r="H2076" s="63" t="str">
        <f t="shared" si="32"/>
        <v>_</v>
      </c>
    </row>
    <row r="2077" spans="8:8">
      <c r="H2077" s="63" t="str">
        <f t="shared" si="32"/>
        <v>_</v>
      </c>
    </row>
    <row r="2078" spans="8:8">
      <c r="H2078" s="63" t="str">
        <f t="shared" si="32"/>
        <v>_</v>
      </c>
    </row>
    <row r="2079" spans="8:8">
      <c r="H2079" s="63" t="str">
        <f t="shared" si="32"/>
        <v>_</v>
      </c>
    </row>
    <row r="2080" spans="8:8">
      <c r="H2080" s="63" t="str">
        <f t="shared" si="32"/>
        <v>_</v>
      </c>
    </row>
    <row r="2081" spans="8:8">
      <c r="H2081" s="63" t="str">
        <f t="shared" si="32"/>
        <v>_</v>
      </c>
    </row>
    <row r="2082" spans="8:8">
      <c r="H2082" s="63" t="str">
        <f t="shared" si="32"/>
        <v>_</v>
      </c>
    </row>
    <row r="2083" spans="8:8">
      <c r="H2083" s="63" t="str">
        <f t="shared" si="32"/>
        <v>_</v>
      </c>
    </row>
    <row r="2084" spans="8:8">
      <c r="H2084" s="63" t="str">
        <f t="shared" si="32"/>
        <v>_</v>
      </c>
    </row>
    <row r="2085" spans="8:8">
      <c r="H2085" s="63" t="str">
        <f t="shared" si="32"/>
        <v>_</v>
      </c>
    </row>
    <row r="2086" spans="8:8">
      <c r="H2086" s="63" t="str">
        <f t="shared" si="32"/>
        <v>_</v>
      </c>
    </row>
    <row r="2087" spans="8:8">
      <c r="H2087" s="63" t="str">
        <f t="shared" si="32"/>
        <v>_</v>
      </c>
    </row>
    <row r="2088" spans="8:8">
      <c r="H2088" s="63" t="str">
        <f t="shared" si="32"/>
        <v>_</v>
      </c>
    </row>
    <row r="2089" spans="8:8">
      <c r="H2089" s="63" t="str">
        <f t="shared" si="32"/>
        <v>_</v>
      </c>
    </row>
    <row r="2090" spans="8:8">
      <c r="H2090" s="63" t="str">
        <f t="shared" si="32"/>
        <v>_</v>
      </c>
    </row>
    <row r="2091" spans="8:8">
      <c r="H2091" s="63" t="str">
        <f t="shared" si="32"/>
        <v>_</v>
      </c>
    </row>
    <row r="2092" spans="8:8">
      <c r="H2092" s="63" t="str">
        <f t="shared" si="32"/>
        <v>_</v>
      </c>
    </row>
    <row r="2093" spans="8:8">
      <c r="H2093" s="63" t="str">
        <f t="shared" si="32"/>
        <v>_</v>
      </c>
    </row>
    <row r="2094" spans="8:8">
      <c r="H2094" s="63" t="str">
        <f t="shared" si="32"/>
        <v>_</v>
      </c>
    </row>
    <row r="2095" spans="8:8">
      <c r="H2095" s="63" t="str">
        <f t="shared" si="32"/>
        <v>_</v>
      </c>
    </row>
    <row r="2096" spans="8:8">
      <c r="H2096" s="63" t="str">
        <f t="shared" si="32"/>
        <v>_</v>
      </c>
    </row>
    <row r="2097" spans="8:8">
      <c r="H2097" s="63" t="str">
        <f t="shared" si="32"/>
        <v>_</v>
      </c>
    </row>
    <row r="2098" spans="8:8">
      <c r="H2098" s="63" t="str">
        <f t="shared" si="32"/>
        <v>_</v>
      </c>
    </row>
    <row r="2099" spans="8:8">
      <c r="H2099" s="63" t="str">
        <f t="shared" si="32"/>
        <v>_</v>
      </c>
    </row>
    <row r="2100" spans="8:8">
      <c r="H2100" s="63" t="str">
        <f t="shared" si="32"/>
        <v>_</v>
      </c>
    </row>
    <row r="2101" spans="8:8">
      <c r="H2101" s="63" t="str">
        <f t="shared" si="32"/>
        <v>_</v>
      </c>
    </row>
    <row r="2102" spans="8:8">
      <c r="H2102" s="63" t="str">
        <f t="shared" si="32"/>
        <v>_</v>
      </c>
    </row>
    <row r="2103" spans="8:8">
      <c r="H2103" s="63" t="str">
        <f t="shared" si="32"/>
        <v>_</v>
      </c>
    </row>
    <row r="2104" spans="8:8">
      <c r="H2104" s="63" t="str">
        <f t="shared" si="32"/>
        <v>_</v>
      </c>
    </row>
    <row r="2105" spans="8:8">
      <c r="H2105" s="63" t="str">
        <f t="shared" si="32"/>
        <v>_</v>
      </c>
    </row>
    <row r="2106" spans="8:8">
      <c r="H2106" s="63" t="str">
        <f t="shared" si="32"/>
        <v>_</v>
      </c>
    </row>
    <row r="2107" spans="8:8">
      <c r="H2107" s="63" t="str">
        <f t="shared" si="32"/>
        <v>_</v>
      </c>
    </row>
    <row r="2108" spans="8:8">
      <c r="H2108" s="63" t="str">
        <f t="shared" si="32"/>
        <v>_</v>
      </c>
    </row>
    <row r="2109" spans="8:8">
      <c r="H2109" s="63" t="str">
        <f t="shared" si="32"/>
        <v>_</v>
      </c>
    </row>
    <row r="2110" spans="8:8">
      <c r="H2110" s="63" t="str">
        <f t="shared" si="32"/>
        <v>_</v>
      </c>
    </row>
    <row r="2111" spans="8:8">
      <c r="H2111" s="63" t="str">
        <f t="shared" si="32"/>
        <v>_</v>
      </c>
    </row>
    <row r="2112" spans="8:8">
      <c r="H2112" s="63" t="str">
        <f t="shared" si="32"/>
        <v>_</v>
      </c>
    </row>
    <row r="2113" spans="8:8">
      <c r="H2113" s="63" t="str">
        <f t="shared" si="32"/>
        <v>_</v>
      </c>
    </row>
    <row r="2114" spans="8:8">
      <c r="H2114" s="63" t="str">
        <f t="shared" si="32"/>
        <v>_</v>
      </c>
    </row>
    <row r="2115" spans="8:8">
      <c r="H2115" s="63" t="str">
        <f t="shared" ref="H2115:H2178" si="33">IF(OR(MID(A2115,6,10)="NASPP",MID(A2115,6,10)="RASPP"),"RNASPP",IF(OR(MID(A2115,6,10)="NSFAP",MID(A2115,6,10)="RSPOA"),"RNSPOA",IF(OR(A2115="ULGALLOC",A2115="ULSPOOL"),A2115,IF(MID(A2115,6,5)="ANSSP","ASSP1",MID(A2115,6,10)))))&amp;"_"&amp;B2115</f>
        <v>_</v>
      </c>
    </row>
    <row r="2116" spans="8:8">
      <c r="H2116" s="63" t="str">
        <f t="shared" si="33"/>
        <v>_</v>
      </c>
    </row>
    <row r="2117" spans="8:8">
      <c r="H2117" s="63" t="str">
        <f t="shared" si="33"/>
        <v>_</v>
      </c>
    </row>
    <row r="2118" spans="8:8">
      <c r="H2118" s="63" t="str">
        <f t="shared" si="33"/>
        <v>_</v>
      </c>
    </row>
    <row r="2119" spans="8:8">
      <c r="H2119" s="63" t="str">
        <f t="shared" si="33"/>
        <v>_</v>
      </c>
    </row>
    <row r="2120" spans="8:8">
      <c r="H2120" s="63" t="str">
        <f t="shared" si="33"/>
        <v>_</v>
      </c>
    </row>
    <row r="2121" spans="8:8">
      <c r="H2121" s="63" t="str">
        <f t="shared" si="33"/>
        <v>_</v>
      </c>
    </row>
    <row r="2122" spans="8:8">
      <c r="H2122" s="63" t="str">
        <f t="shared" si="33"/>
        <v>_</v>
      </c>
    </row>
    <row r="2123" spans="8:8">
      <c r="H2123" s="63" t="str">
        <f t="shared" si="33"/>
        <v>_</v>
      </c>
    </row>
    <row r="2124" spans="8:8">
      <c r="H2124" s="63" t="str">
        <f t="shared" si="33"/>
        <v>_</v>
      </c>
    </row>
    <row r="2125" spans="8:8">
      <c r="H2125" s="63" t="str">
        <f t="shared" si="33"/>
        <v>_</v>
      </c>
    </row>
    <row r="2126" spans="8:8">
      <c r="H2126" s="63" t="str">
        <f t="shared" si="33"/>
        <v>_</v>
      </c>
    </row>
    <row r="2127" spans="8:8">
      <c r="H2127" s="63" t="str">
        <f t="shared" si="33"/>
        <v>_</v>
      </c>
    </row>
    <row r="2128" spans="8:8">
      <c r="H2128" s="63" t="str">
        <f t="shared" si="33"/>
        <v>_</v>
      </c>
    </row>
    <row r="2129" spans="8:8">
      <c r="H2129" s="63" t="str">
        <f t="shared" si="33"/>
        <v>_</v>
      </c>
    </row>
    <row r="2130" spans="8:8">
      <c r="H2130" s="63" t="str">
        <f t="shared" si="33"/>
        <v>_</v>
      </c>
    </row>
    <row r="2131" spans="8:8">
      <c r="H2131" s="63" t="str">
        <f t="shared" si="33"/>
        <v>_</v>
      </c>
    </row>
    <row r="2132" spans="8:8">
      <c r="H2132" s="63" t="str">
        <f t="shared" si="33"/>
        <v>_</v>
      </c>
    </row>
    <row r="2133" spans="8:8">
      <c r="H2133" s="63" t="str">
        <f t="shared" si="33"/>
        <v>_</v>
      </c>
    </row>
    <row r="2134" spans="8:8">
      <c r="H2134" s="63" t="str">
        <f t="shared" si="33"/>
        <v>_</v>
      </c>
    </row>
    <row r="2135" spans="8:8">
      <c r="H2135" s="63" t="str">
        <f t="shared" si="33"/>
        <v>_</v>
      </c>
    </row>
    <row r="2136" spans="8:8">
      <c r="H2136" s="63" t="str">
        <f t="shared" si="33"/>
        <v>_</v>
      </c>
    </row>
    <row r="2137" spans="8:8">
      <c r="H2137" s="63" t="str">
        <f t="shared" si="33"/>
        <v>_</v>
      </c>
    </row>
    <row r="2138" spans="8:8">
      <c r="H2138" s="63" t="str">
        <f t="shared" si="33"/>
        <v>_</v>
      </c>
    </row>
    <row r="2139" spans="8:8">
      <c r="H2139" s="63" t="str">
        <f t="shared" si="33"/>
        <v>_</v>
      </c>
    </row>
    <row r="2140" spans="8:8">
      <c r="H2140" s="63" t="str">
        <f t="shared" si="33"/>
        <v>_</v>
      </c>
    </row>
    <row r="2141" spans="8:8">
      <c r="H2141" s="63" t="str">
        <f t="shared" si="33"/>
        <v>_</v>
      </c>
    </row>
    <row r="2142" spans="8:8">
      <c r="H2142" s="63" t="str">
        <f t="shared" si="33"/>
        <v>_</v>
      </c>
    </row>
    <row r="2143" spans="8:8">
      <c r="H2143" s="63" t="str">
        <f t="shared" si="33"/>
        <v>_</v>
      </c>
    </row>
    <row r="2144" spans="8:8">
      <c r="H2144" s="63" t="str">
        <f t="shared" si="33"/>
        <v>_</v>
      </c>
    </row>
    <row r="2145" spans="8:8">
      <c r="H2145" s="63" t="str">
        <f t="shared" si="33"/>
        <v>_</v>
      </c>
    </row>
    <row r="2146" spans="8:8">
      <c r="H2146" s="63" t="str">
        <f t="shared" si="33"/>
        <v>_</v>
      </c>
    </row>
    <row r="2147" spans="8:8">
      <c r="H2147" s="63" t="str">
        <f t="shared" si="33"/>
        <v>_</v>
      </c>
    </row>
    <row r="2148" spans="8:8">
      <c r="H2148" s="63" t="str">
        <f t="shared" si="33"/>
        <v>_</v>
      </c>
    </row>
    <row r="2149" spans="8:8">
      <c r="H2149" s="63" t="str">
        <f t="shared" si="33"/>
        <v>_</v>
      </c>
    </row>
    <row r="2150" spans="8:8">
      <c r="H2150" s="63" t="str">
        <f t="shared" si="33"/>
        <v>_</v>
      </c>
    </row>
    <row r="2151" spans="8:8">
      <c r="H2151" s="63" t="str">
        <f t="shared" si="33"/>
        <v>_</v>
      </c>
    </row>
    <row r="2152" spans="8:8">
      <c r="H2152" s="63" t="str">
        <f t="shared" si="33"/>
        <v>_</v>
      </c>
    </row>
    <row r="2153" spans="8:8">
      <c r="H2153" s="63" t="str">
        <f t="shared" si="33"/>
        <v>_</v>
      </c>
    </row>
    <row r="2154" spans="8:8">
      <c r="H2154" s="63" t="str">
        <f t="shared" si="33"/>
        <v>_</v>
      </c>
    </row>
    <row r="2155" spans="8:8">
      <c r="H2155" s="63" t="str">
        <f t="shared" si="33"/>
        <v>_</v>
      </c>
    </row>
    <row r="2156" spans="8:8">
      <c r="H2156" s="63" t="str">
        <f t="shared" si="33"/>
        <v>_</v>
      </c>
    </row>
    <row r="2157" spans="8:8">
      <c r="H2157" s="63" t="str">
        <f t="shared" si="33"/>
        <v>_</v>
      </c>
    </row>
    <row r="2158" spans="8:8">
      <c r="H2158" s="63" t="str">
        <f t="shared" si="33"/>
        <v>_</v>
      </c>
    </row>
    <row r="2159" spans="8:8">
      <c r="H2159" s="63" t="str">
        <f t="shared" si="33"/>
        <v>_</v>
      </c>
    </row>
    <row r="2160" spans="8:8">
      <c r="H2160" s="63" t="str">
        <f t="shared" si="33"/>
        <v>_</v>
      </c>
    </row>
    <row r="2161" spans="8:8">
      <c r="H2161" s="63" t="str">
        <f t="shared" si="33"/>
        <v>_</v>
      </c>
    </row>
    <row r="2162" spans="8:8">
      <c r="H2162" s="63" t="str">
        <f t="shared" si="33"/>
        <v>_</v>
      </c>
    </row>
    <row r="2163" spans="8:8">
      <c r="H2163" s="63" t="str">
        <f t="shared" si="33"/>
        <v>_</v>
      </c>
    </row>
    <row r="2164" spans="8:8">
      <c r="H2164" s="63" t="str">
        <f t="shared" si="33"/>
        <v>_</v>
      </c>
    </row>
    <row r="2165" spans="8:8">
      <c r="H2165" s="63" t="str">
        <f t="shared" si="33"/>
        <v>_</v>
      </c>
    </row>
    <row r="2166" spans="8:8">
      <c r="H2166" s="63" t="str">
        <f t="shared" si="33"/>
        <v>_</v>
      </c>
    </row>
    <row r="2167" spans="8:8">
      <c r="H2167" s="63" t="str">
        <f t="shared" si="33"/>
        <v>_</v>
      </c>
    </row>
    <row r="2168" spans="8:8">
      <c r="H2168" s="63" t="str">
        <f t="shared" si="33"/>
        <v>_</v>
      </c>
    </row>
    <row r="2169" spans="8:8">
      <c r="H2169" s="63" t="str">
        <f t="shared" si="33"/>
        <v>_</v>
      </c>
    </row>
    <row r="2170" spans="8:8">
      <c r="H2170" s="63" t="str">
        <f t="shared" si="33"/>
        <v>_</v>
      </c>
    </row>
    <row r="2171" spans="8:8">
      <c r="H2171" s="63" t="str">
        <f t="shared" si="33"/>
        <v>_</v>
      </c>
    </row>
    <row r="2172" spans="8:8">
      <c r="H2172" s="63" t="str">
        <f t="shared" si="33"/>
        <v>_</v>
      </c>
    </row>
    <row r="2173" spans="8:8">
      <c r="H2173" s="63" t="str">
        <f t="shared" si="33"/>
        <v>_</v>
      </c>
    </row>
    <row r="2174" spans="8:8">
      <c r="H2174" s="63" t="str">
        <f t="shared" si="33"/>
        <v>_</v>
      </c>
    </row>
    <row r="2175" spans="8:8">
      <c r="H2175" s="63" t="str">
        <f t="shared" si="33"/>
        <v>_</v>
      </c>
    </row>
    <row r="2176" spans="8:8">
      <c r="H2176" s="63" t="str">
        <f t="shared" si="33"/>
        <v>_</v>
      </c>
    </row>
    <row r="2177" spans="8:8">
      <c r="H2177" s="63" t="str">
        <f t="shared" si="33"/>
        <v>_</v>
      </c>
    </row>
    <row r="2178" spans="8:8">
      <c r="H2178" s="63" t="str">
        <f t="shared" si="33"/>
        <v>_</v>
      </c>
    </row>
    <row r="2179" spans="8:8">
      <c r="H2179" s="63" t="str">
        <f t="shared" ref="H2179:H2242" si="34">IF(OR(MID(A2179,6,10)="NASPP",MID(A2179,6,10)="RASPP"),"RNASPP",IF(OR(MID(A2179,6,10)="NSFAP",MID(A2179,6,10)="RSPOA"),"RNSPOA",IF(OR(A2179="ULGALLOC",A2179="ULSPOOL"),A2179,IF(MID(A2179,6,5)="ANSSP","ASSP1",MID(A2179,6,10)))))&amp;"_"&amp;B2179</f>
        <v>_</v>
      </c>
    </row>
    <row r="2180" spans="8:8">
      <c r="H2180" s="63" t="str">
        <f t="shared" si="34"/>
        <v>_</v>
      </c>
    </row>
    <row r="2181" spans="8:8">
      <c r="H2181" s="63" t="str">
        <f t="shared" si="34"/>
        <v>_</v>
      </c>
    </row>
    <row r="2182" spans="8:8">
      <c r="H2182" s="63" t="str">
        <f t="shared" si="34"/>
        <v>_</v>
      </c>
    </row>
    <row r="2183" spans="8:8">
      <c r="H2183" s="63" t="str">
        <f t="shared" si="34"/>
        <v>_</v>
      </c>
    </row>
    <row r="2184" spans="8:8">
      <c r="H2184" s="63" t="str">
        <f t="shared" si="34"/>
        <v>_</v>
      </c>
    </row>
    <row r="2185" spans="8:8">
      <c r="H2185" s="63" t="str">
        <f t="shared" si="34"/>
        <v>_</v>
      </c>
    </row>
    <row r="2186" spans="8:8">
      <c r="H2186" s="63" t="str">
        <f t="shared" si="34"/>
        <v>_</v>
      </c>
    </row>
    <row r="2187" spans="8:8">
      <c r="H2187" s="63" t="str">
        <f t="shared" si="34"/>
        <v>_</v>
      </c>
    </row>
    <row r="2188" spans="8:8">
      <c r="H2188" s="63" t="str">
        <f t="shared" si="34"/>
        <v>_</v>
      </c>
    </row>
    <row r="2189" spans="8:8">
      <c r="H2189" s="63" t="str">
        <f t="shared" si="34"/>
        <v>_</v>
      </c>
    </row>
    <row r="2190" spans="8:8">
      <c r="H2190" s="63" t="str">
        <f t="shared" si="34"/>
        <v>_</v>
      </c>
    </row>
    <row r="2191" spans="8:8">
      <c r="H2191" s="63" t="str">
        <f t="shared" si="34"/>
        <v>_</v>
      </c>
    </row>
    <row r="2192" spans="8:8">
      <c r="H2192" s="63" t="str">
        <f t="shared" si="34"/>
        <v>_</v>
      </c>
    </row>
    <row r="2193" spans="8:8">
      <c r="H2193" s="63" t="str">
        <f t="shared" si="34"/>
        <v>_</v>
      </c>
    </row>
    <row r="2194" spans="8:8">
      <c r="H2194" s="63" t="str">
        <f t="shared" si="34"/>
        <v>_</v>
      </c>
    </row>
    <row r="2195" spans="8:8">
      <c r="H2195" s="63" t="str">
        <f t="shared" si="34"/>
        <v>_</v>
      </c>
    </row>
    <row r="2196" spans="8:8">
      <c r="H2196" s="63" t="str">
        <f t="shared" si="34"/>
        <v>_</v>
      </c>
    </row>
    <row r="2197" spans="8:8">
      <c r="H2197" s="63" t="str">
        <f t="shared" si="34"/>
        <v>_</v>
      </c>
    </row>
    <row r="2198" spans="8:8">
      <c r="H2198" s="63" t="str">
        <f t="shared" si="34"/>
        <v>_</v>
      </c>
    </row>
    <row r="2199" spans="8:8">
      <c r="H2199" s="63" t="str">
        <f t="shared" si="34"/>
        <v>_</v>
      </c>
    </row>
    <row r="2200" spans="8:8">
      <c r="H2200" s="63" t="str">
        <f t="shared" si="34"/>
        <v>_</v>
      </c>
    </row>
    <row r="2201" spans="8:8">
      <c r="H2201" s="63" t="str">
        <f t="shared" si="34"/>
        <v>_</v>
      </c>
    </row>
    <row r="2202" spans="8:8">
      <c r="H2202" s="63" t="str">
        <f t="shared" si="34"/>
        <v>_</v>
      </c>
    </row>
    <row r="2203" spans="8:8">
      <c r="H2203" s="63" t="str">
        <f t="shared" si="34"/>
        <v>_</v>
      </c>
    </row>
    <row r="2204" spans="8:8">
      <c r="H2204" s="63" t="str">
        <f t="shared" si="34"/>
        <v>_</v>
      </c>
    </row>
    <row r="2205" spans="8:8">
      <c r="H2205" s="63" t="str">
        <f t="shared" si="34"/>
        <v>_</v>
      </c>
    </row>
    <row r="2206" spans="8:8">
      <c r="H2206" s="63" t="str">
        <f t="shared" si="34"/>
        <v>_</v>
      </c>
    </row>
    <row r="2207" spans="8:8">
      <c r="H2207" s="63" t="str">
        <f t="shared" si="34"/>
        <v>_</v>
      </c>
    </row>
    <row r="2208" spans="8:8">
      <c r="H2208" s="63" t="str">
        <f t="shared" si="34"/>
        <v>_</v>
      </c>
    </row>
    <row r="2209" spans="8:8">
      <c r="H2209" s="63" t="str">
        <f t="shared" si="34"/>
        <v>_</v>
      </c>
    </row>
    <row r="2210" spans="8:8">
      <c r="H2210" s="63" t="str">
        <f t="shared" si="34"/>
        <v>_</v>
      </c>
    </row>
    <row r="2211" spans="8:8">
      <c r="H2211" s="63" t="str">
        <f t="shared" si="34"/>
        <v>_</v>
      </c>
    </row>
    <row r="2212" spans="8:8">
      <c r="H2212" s="63" t="str">
        <f t="shared" si="34"/>
        <v>_</v>
      </c>
    </row>
    <row r="2213" spans="8:8">
      <c r="H2213" s="63" t="str">
        <f t="shared" si="34"/>
        <v>_</v>
      </c>
    </row>
    <row r="2214" spans="8:8">
      <c r="H2214" s="63" t="str">
        <f t="shared" si="34"/>
        <v>_</v>
      </c>
    </row>
    <row r="2215" spans="8:8">
      <c r="H2215" s="63" t="str">
        <f t="shared" si="34"/>
        <v>_</v>
      </c>
    </row>
    <row r="2216" spans="8:8">
      <c r="H2216" s="63" t="str">
        <f t="shared" si="34"/>
        <v>_</v>
      </c>
    </row>
    <row r="2217" spans="8:8">
      <c r="H2217" s="63" t="str">
        <f t="shared" si="34"/>
        <v>_</v>
      </c>
    </row>
    <row r="2218" spans="8:8">
      <c r="H2218" s="63" t="str">
        <f t="shared" si="34"/>
        <v>_</v>
      </c>
    </row>
    <row r="2219" spans="8:8">
      <c r="H2219" s="63" t="str">
        <f t="shared" si="34"/>
        <v>_</v>
      </c>
    </row>
    <row r="2220" spans="8:8">
      <c r="H2220" s="63" t="str">
        <f t="shared" si="34"/>
        <v>_</v>
      </c>
    </row>
    <row r="2221" spans="8:8">
      <c r="H2221" s="63" t="str">
        <f t="shared" si="34"/>
        <v>_</v>
      </c>
    </row>
    <row r="2222" spans="8:8">
      <c r="H2222" s="63" t="str">
        <f t="shared" si="34"/>
        <v>_</v>
      </c>
    </row>
    <row r="2223" spans="8:8">
      <c r="H2223" s="63" t="str">
        <f t="shared" si="34"/>
        <v>_</v>
      </c>
    </row>
    <row r="2224" spans="8:8">
      <c r="H2224" s="63" t="str">
        <f t="shared" si="34"/>
        <v>_</v>
      </c>
    </row>
    <row r="2225" spans="8:8">
      <c r="H2225" s="63" t="str">
        <f t="shared" si="34"/>
        <v>_</v>
      </c>
    </row>
    <row r="2226" spans="8:8">
      <c r="H2226" s="63" t="str">
        <f t="shared" si="34"/>
        <v>_</v>
      </c>
    </row>
    <row r="2227" spans="8:8">
      <c r="H2227" s="63" t="str">
        <f t="shared" si="34"/>
        <v>_</v>
      </c>
    </row>
    <row r="2228" spans="8:8">
      <c r="H2228" s="63" t="str">
        <f t="shared" si="34"/>
        <v>_</v>
      </c>
    </row>
    <row r="2229" spans="8:8">
      <c r="H2229" s="63" t="str">
        <f t="shared" si="34"/>
        <v>_</v>
      </c>
    </row>
    <row r="2230" spans="8:8">
      <c r="H2230" s="63" t="str">
        <f t="shared" si="34"/>
        <v>_</v>
      </c>
    </row>
    <row r="2231" spans="8:8">
      <c r="H2231" s="63" t="str">
        <f t="shared" si="34"/>
        <v>_</v>
      </c>
    </row>
    <row r="2232" spans="8:8">
      <c r="H2232" s="63" t="str">
        <f t="shared" si="34"/>
        <v>_</v>
      </c>
    </row>
    <row r="2233" spans="8:8">
      <c r="H2233" s="63" t="str">
        <f t="shared" si="34"/>
        <v>_</v>
      </c>
    </row>
    <row r="2234" spans="8:8">
      <c r="H2234" s="63" t="str">
        <f t="shared" si="34"/>
        <v>_</v>
      </c>
    </row>
    <row r="2235" spans="8:8">
      <c r="H2235" s="63" t="str">
        <f t="shared" si="34"/>
        <v>_</v>
      </c>
    </row>
    <row r="2236" spans="8:8">
      <c r="H2236" s="63" t="str">
        <f t="shared" si="34"/>
        <v>_</v>
      </c>
    </row>
    <row r="2237" spans="8:8">
      <c r="H2237" s="63" t="str">
        <f t="shared" si="34"/>
        <v>_</v>
      </c>
    </row>
    <row r="2238" spans="8:8">
      <c r="H2238" s="63" t="str">
        <f t="shared" si="34"/>
        <v>_</v>
      </c>
    </row>
    <row r="2239" spans="8:8">
      <c r="H2239" s="63" t="str">
        <f t="shared" si="34"/>
        <v>_</v>
      </c>
    </row>
    <row r="2240" spans="8:8">
      <c r="H2240" s="63" t="str">
        <f t="shared" si="34"/>
        <v>_</v>
      </c>
    </row>
    <row r="2241" spans="8:8">
      <c r="H2241" s="63" t="str">
        <f t="shared" si="34"/>
        <v>_</v>
      </c>
    </row>
    <row r="2242" spans="8:8">
      <c r="H2242" s="63" t="str">
        <f t="shared" si="34"/>
        <v>_</v>
      </c>
    </row>
    <row r="2243" spans="8:8">
      <c r="H2243" s="63" t="str">
        <f t="shared" ref="H2243:H2306" si="35">IF(OR(MID(A2243,6,10)="NASPP",MID(A2243,6,10)="RASPP"),"RNASPP",IF(OR(MID(A2243,6,10)="NSFAP",MID(A2243,6,10)="RSPOA"),"RNSPOA",IF(OR(A2243="ULGALLOC",A2243="ULSPOOL"),A2243,IF(MID(A2243,6,5)="ANSSP","ASSP1",MID(A2243,6,10)))))&amp;"_"&amp;B2243</f>
        <v>_</v>
      </c>
    </row>
    <row r="2244" spans="8:8">
      <c r="H2244" s="63" t="str">
        <f t="shared" si="35"/>
        <v>_</v>
      </c>
    </row>
    <row r="2245" spans="8:8">
      <c r="H2245" s="63" t="str">
        <f t="shared" si="35"/>
        <v>_</v>
      </c>
    </row>
    <row r="2246" spans="8:8">
      <c r="H2246" s="63" t="str">
        <f t="shared" si="35"/>
        <v>_</v>
      </c>
    </row>
    <row r="2247" spans="8:8">
      <c r="H2247" s="63" t="str">
        <f t="shared" si="35"/>
        <v>_</v>
      </c>
    </row>
    <row r="2248" spans="8:8">
      <c r="H2248" s="63" t="str">
        <f t="shared" si="35"/>
        <v>_</v>
      </c>
    </row>
    <row r="2249" spans="8:8">
      <c r="H2249" s="63" t="str">
        <f t="shared" si="35"/>
        <v>_</v>
      </c>
    </row>
    <row r="2250" spans="8:8">
      <c r="H2250" s="63" t="str">
        <f t="shared" si="35"/>
        <v>_</v>
      </c>
    </row>
    <row r="2251" spans="8:8">
      <c r="H2251" s="63" t="str">
        <f t="shared" si="35"/>
        <v>_</v>
      </c>
    </row>
    <row r="2252" spans="8:8">
      <c r="H2252" s="63" t="str">
        <f t="shared" si="35"/>
        <v>_</v>
      </c>
    </row>
    <row r="2253" spans="8:8">
      <c r="H2253" s="63" t="str">
        <f t="shared" si="35"/>
        <v>_</v>
      </c>
    </row>
    <row r="2254" spans="8:8">
      <c r="H2254" s="63" t="str">
        <f t="shared" si="35"/>
        <v>_</v>
      </c>
    </row>
    <row r="2255" spans="8:8">
      <c r="H2255" s="63" t="str">
        <f t="shared" si="35"/>
        <v>_</v>
      </c>
    </row>
    <row r="2256" spans="8:8">
      <c r="H2256" s="63" t="str">
        <f t="shared" si="35"/>
        <v>_</v>
      </c>
    </row>
    <row r="2257" spans="8:8">
      <c r="H2257" s="63" t="str">
        <f t="shared" si="35"/>
        <v>_</v>
      </c>
    </row>
    <row r="2258" spans="8:8">
      <c r="H2258" s="63" t="str">
        <f t="shared" si="35"/>
        <v>_</v>
      </c>
    </row>
    <row r="2259" spans="8:8">
      <c r="H2259" s="63" t="str">
        <f t="shared" si="35"/>
        <v>_</v>
      </c>
    </row>
    <row r="2260" spans="8:8">
      <c r="H2260" s="63" t="str">
        <f t="shared" si="35"/>
        <v>_</v>
      </c>
    </row>
    <row r="2261" spans="8:8">
      <c r="H2261" s="63" t="str">
        <f t="shared" si="35"/>
        <v>_</v>
      </c>
    </row>
    <row r="2262" spans="8:8">
      <c r="H2262" s="63" t="str">
        <f t="shared" si="35"/>
        <v>_</v>
      </c>
    </row>
    <row r="2263" spans="8:8">
      <c r="H2263" s="63" t="str">
        <f t="shared" si="35"/>
        <v>_</v>
      </c>
    </row>
    <row r="2264" spans="8:8">
      <c r="H2264" s="63" t="str">
        <f t="shared" si="35"/>
        <v>_</v>
      </c>
    </row>
    <row r="2265" spans="8:8">
      <c r="H2265" s="63" t="str">
        <f t="shared" si="35"/>
        <v>_</v>
      </c>
    </row>
    <row r="2266" spans="8:8">
      <c r="H2266" s="63" t="str">
        <f t="shared" si="35"/>
        <v>_</v>
      </c>
    </row>
    <row r="2267" spans="8:8">
      <c r="H2267" s="63" t="str">
        <f t="shared" si="35"/>
        <v>_</v>
      </c>
    </row>
    <row r="2268" spans="8:8">
      <c r="H2268" s="63" t="str">
        <f t="shared" si="35"/>
        <v>_</v>
      </c>
    </row>
    <row r="2269" spans="8:8">
      <c r="H2269" s="63" t="str">
        <f t="shared" si="35"/>
        <v>_</v>
      </c>
    </row>
    <row r="2270" spans="8:8">
      <c r="H2270" s="63" t="str">
        <f t="shared" si="35"/>
        <v>_</v>
      </c>
    </row>
    <row r="2271" spans="8:8">
      <c r="H2271" s="63" t="str">
        <f t="shared" si="35"/>
        <v>_</v>
      </c>
    </row>
    <row r="2272" spans="8:8">
      <c r="H2272" s="63" t="str">
        <f t="shared" si="35"/>
        <v>_</v>
      </c>
    </row>
    <row r="2273" spans="8:8">
      <c r="H2273" s="63" t="str">
        <f t="shared" si="35"/>
        <v>_</v>
      </c>
    </row>
    <row r="2274" spans="8:8">
      <c r="H2274" s="63" t="str">
        <f t="shared" si="35"/>
        <v>_</v>
      </c>
    </row>
    <row r="2275" spans="8:8">
      <c r="H2275" s="63" t="str">
        <f t="shared" si="35"/>
        <v>_</v>
      </c>
    </row>
    <row r="2276" spans="8:8">
      <c r="H2276" s="63" t="str">
        <f t="shared" si="35"/>
        <v>_</v>
      </c>
    </row>
    <row r="2277" spans="8:8">
      <c r="H2277" s="63" t="str">
        <f t="shared" si="35"/>
        <v>_</v>
      </c>
    </row>
    <row r="2278" spans="8:8">
      <c r="H2278" s="63" t="str">
        <f t="shared" si="35"/>
        <v>_</v>
      </c>
    </row>
    <row r="2279" spans="8:8">
      <c r="H2279" s="63" t="str">
        <f t="shared" si="35"/>
        <v>_</v>
      </c>
    </row>
    <row r="2280" spans="8:8">
      <c r="H2280" s="63" t="str">
        <f t="shared" si="35"/>
        <v>_</v>
      </c>
    </row>
    <row r="2281" spans="8:8">
      <c r="H2281" s="63" t="str">
        <f t="shared" si="35"/>
        <v>_</v>
      </c>
    </row>
    <row r="2282" spans="8:8">
      <c r="H2282" s="63" t="str">
        <f t="shared" si="35"/>
        <v>_</v>
      </c>
    </row>
    <row r="2283" spans="8:8">
      <c r="H2283" s="63" t="str">
        <f t="shared" si="35"/>
        <v>_</v>
      </c>
    </row>
    <row r="2284" spans="8:8">
      <c r="H2284" s="63" t="str">
        <f t="shared" si="35"/>
        <v>_</v>
      </c>
    </row>
    <row r="2285" spans="8:8">
      <c r="H2285" s="63" t="str">
        <f t="shared" si="35"/>
        <v>_</v>
      </c>
    </row>
    <row r="2286" spans="8:8">
      <c r="H2286" s="63" t="str">
        <f t="shared" si="35"/>
        <v>_</v>
      </c>
    </row>
    <row r="2287" spans="8:8">
      <c r="H2287" s="63" t="str">
        <f t="shared" si="35"/>
        <v>_</v>
      </c>
    </row>
    <row r="2288" spans="8:8">
      <c r="H2288" s="63" t="str">
        <f t="shared" si="35"/>
        <v>_</v>
      </c>
    </row>
    <row r="2289" spans="8:8">
      <c r="H2289" s="63" t="str">
        <f t="shared" si="35"/>
        <v>_</v>
      </c>
    </row>
    <row r="2290" spans="8:8">
      <c r="H2290" s="63" t="str">
        <f t="shared" si="35"/>
        <v>_</v>
      </c>
    </row>
    <row r="2291" spans="8:8">
      <c r="H2291" s="63" t="str">
        <f t="shared" si="35"/>
        <v>_</v>
      </c>
    </row>
    <row r="2292" spans="8:8">
      <c r="H2292" s="63" t="str">
        <f t="shared" si="35"/>
        <v>_</v>
      </c>
    </row>
    <row r="2293" spans="8:8">
      <c r="H2293" s="63" t="str">
        <f t="shared" si="35"/>
        <v>_</v>
      </c>
    </row>
    <row r="2294" spans="8:8">
      <c r="H2294" s="63" t="str">
        <f t="shared" si="35"/>
        <v>_</v>
      </c>
    </row>
    <row r="2295" spans="8:8">
      <c r="H2295" s="63" t="str">
        <f t="shared" si="35"/>
        <v>_</v>
      </c>
    </row>
    <row r="2296" spans="8:8">
      <c r="H2296" s="63" t="str">
        <f t="shared" si="35"/>
        <v>_</v>
      </c>
    </row>
    <row r="2297" spans="8:8">
      <c r="H2297" s="63" t="str">
        <f t="shared" si="35"/>
        <v>_</v>
      </c>
    </row>
    <row r="2298" spans="8:8">
      <c r="H2298" s="63" t="str">
        <f t="shared" si="35"/>
        <v>_</v>
      </c>
    </row>
    <row r="2299" spans="8:8">
      <c r="H2299" s="63" t="str">
        <f t="shared" si="35"/>
        <v>_</v>
      </c>
    </row>
    <row r="2300" spans="8:8">
      <c r="H2300" s="63" t="str">
        <f t="shared" si="35"/>
        <v>_</v>
      </c>
    </row>
    <row r="2301" spans="8:8">
      <c r="H2301" s="63" t="str">
        <f t="shared" si="35"/>
        <v>_</v>
      </c>
    </row>
    <row r="2302" spans="8:8">
      <c r="H2302" s="63" t="str">
        <f t="shared" si="35"/>
        <v>_</v>
      </c>
    </row>
    <row r="2303" spans="8:8">
      <c r="H2303" s="63" t="str">
        <f t="shared" si="35"/>
        <v>_</v>
      </c>
    </row>
    <row r="2304" spans="8:8">
      <c r="H2304" s="63" t="str">
        <f t="shared" si="35"/>
        <v>_</v>
      </c>
    </row>
    <row r="2305" spans="8:8">
      <c r="H2305" s="63" t="str">
        <f t="shared" si="35"/>
        <v>_</v>
      </c>
    </row>
    <row r="2306" spans="8:8">
      <c r="H2306" s="63" t="str">
        <f t="shared" si="35"/>
        <v>_</v>
      </c>
    </row>
    <row r="2307" spans="8:8">
      <c r="H2307" s="63" t="str">
        <f t="shared" ref="H2307:H2370" si="36">IF(OR(MID(A2307,6,10)="NASPP",MID(A2307,6,10)="RASPP"),"RNASPP",IF(OR(MID(A2307,6,10)="NSFAP",MID(A2307,6,10)="RSPOA"),"RNSPOA",IF(OR(A2307="ULGALLOC",A2307="ULSPOOL"),A2307,IF(MID(A2307,6,5)="ANSSP","ASSP1",MID(A2307,6,10)))))&amp;"_"&amp;B2307</f>
        <v>_</v>
      </c>
    </row>
    <row r="2308" spans="8:8">
      <c r="H2308" s="63" t="str">
        <f t="shared" si="36"/>
        <v>_</v>
      </c>
    </row>
    <row r="2309" spans="8:8">
      <c r="H2309" s="63" t="str">
        <f t="shared" si="36"/>
        <v>_</v>
      </c>
    </row>
    <row r="2310" spans="8:8">
      <c r="H2310" s="63" t="str">
        <f t="shared" si="36"/>
        <v>_</v>
      </c>
    </row>
    <row r="2311" spans="8:8">
      <c r="H2311" s="63" t="str">
        <f t="shared" si="36"/>
        <v>_</v>
      </c>
    </row>
    <row r="2312" spans="8:8">
      <c r="H2312" s="63" t="str">
        <f t="shared" si="36"/>
        <v>_</v>
      </c>
    </row>
    <row r="2313" spans="8:8">
      <c r="H2313" s="63" t="str">
        <f t="shared" si="36"/>
        <v>_</v>
      </c>
    </row>
    <row r="2314" spans="8:8">
      <c r="H2314" s="63" t="str">
        <f t="shared" si="36"/>
        <v>_</v>
      </c>
    </row>
    <row r="2315" spans="8:8">
      <c r="H2315" s="63" t="str">
        <f t="shared" si="36"/>
        <v>_</v>
      </c>
    </row>
    <row r="2316" spans="8:8">
      <c r="H2316" s="63" t="str">
        <f t="shared" si="36"/>
        <v>_</v>
      </c>
    </row>
    <row r="2317" spans="8:8">
      <c r="H2317" s="63" t="str">
        <f t="shared" si="36"/>
        <v>_</v>
      </c>
    </row>
    <row r="2318" spans="8:8">
      <c r="H2318" s="63" t="str">
        <f t="shared" si="36"/>
        <v>_</v>
      </c>
    </row>
    <row r="2319" spans="8:8">
      <c r="H2319" s="63" t="str">
        <f t="shared" si="36"/>
        <v>_</v>
      </c>
    </row>
    <row r="2320" spans="8:8">
      <c r="H2320" s="63" t="str">
        <f t="shared" si="36"/>
        <v>_</v>
      </c>
    </row>
    <row r="2321" spans="8:8">
      <c r="H2321" s="63" t="str">
        <f t="shared" si="36"/>
        <v>_</v>
      </c>
    </row>
    <row r="2322" spans="8:8">
      <c r="H2322" s="63" t="str">
        <f t="shared" si="36"/>
        <v>_</v>
      </c>
    </row>
    <row r="2323" spans="8:8">
      <c r="H2323" s="63" t="str">
        <f t="shared" si="36"/>
        <v>_</v>
      </c>
    </row>
    <row r="2324" spans="8:8">
      <c r="H2324" s="63" t="str">
        <f t="shared" si="36"/>
        <v>_</v>
      </c>
    </row>
    <row r="2325" spans="8:8">
      <c r="H2325" s="63" t="str">
        <f t="shared" si="36"/>
        <v>_</v>
      </c>
    </row>
    <row r="2326" spans="8:8">
      <c r="H2326" s="63" t="str">
        <f t="shared" si="36"/>
        <v>_</v>
      </c>
    </row>
    <row r="2327" spans="8:8">
      <c r="H2327" s="63" t="str">
        <f t="shared" si="36"/>
        <v>_</v>
      </c>
    </row>
    <row r="2328" spans="8:8">
      <c r="H2328" s="63" t="str">
        <f t="shared" si="36"/>
        <v>_</v>
      </c>
    </row>
    <row r="2329" spans="8:8">
      <c r="H2329" s="63" t="str">
        <f t="shared" si="36"/>
        <v>_</v>
      </c>
    </row>
    <row r="2330" spans="8:8">
      <c r="H2330" s="63" t="str">
        <f t="shared" si="36"/>
        <v>_</v>
      </c>
    </row>
    <row r="2331" spans="8:8">
      <c r="H2331" s="63" t="str">
        <f t="shared" si="36"/>
        <v>_</v>
      </c>
    </row>
    <row r="2332" spans="8:8">
      <c r="H2332" s="63" t="str">
        <f t="shared" si="36"/>
        <v>_</v>
      </c>
    </row>
    <row r="2333" spans="8:8">
      <c r="H2333" s="63" t="str">
        <f t="shared" si="36"/>
        <v>_</v>
      </c>
    </row>
    <row r="2334" spans="8:8">
      <c r="H2334" s="63" t="str">
        <f t="shared" si="36"/>
        <v>_</v>
      </c>
    </row>
    <row r="2335" spans="8:8">
      <c r="H2335" s="63" t="str">
        <f t="shared" si="36"/>
        <v>_</v>
      </c>
    </row>
    <row r="2336" spans="8:8">
      <c r="H2336" s="63" t="str">
        <f t="shared" si="36"/>
        <v>_</v>
      </c>
    </row>
    <row r="2337" spans="8:8">
      <c r="H2337" s="63" t="str">
        <f t="shared" si="36"/>
        <v>_</v>
      </c>
    </row>
    <row r="2338" spans="8:8">
      <c r="H2338" s="63" t="str">
        <f t="shared" si="36"/>
        <v>_</v>
      </c>
    </row>
    <row r="2339" spans="8:8">
      <c r="H2339" s="63" t="str">
        <f t="shared" si="36"/>
        <v>_</v>
      </c>
    </row>
    <row r="2340" spans="8:8">
      <c r="H2340" s="63" t="str">
        <f t="shared" si="36"/>
        <v>_</v>
      </c>
    </row>
    <row r="2341" spans="8:8">
      <c r="H2341" s="63" t="str">
        <f t="shared" si="36"/>
        <v>_</v>
      </c>
    </row>
    <row r="2342" spans="8:8">
      <c r="H2342" s="63" t="str">
        <f t="shared" si="36"/>
        <v>_</v>
      </c>
    </row>
    <row r="2343" spans="8:8">
      <c r="H2343" s="63" t="str">
        <f t="shared" si="36"/>
        <v>_</v>
      </c>
    </row>
    <row r="2344" spans="8:8">
      <c r="H2344" s="63" t="str">
        <f t="shared" si="36"/>
        <v>_</v>
      </c>
    </row>
    <row r="2345" spans="8:8">
      <c r="H2345" s="63" t="str">
        <f t="shared" si="36"/>
        <v>_</v>
      </c>
    </row>
    <row r="2346" spans="8:8">
      <c r="H2346" s="63" t="str">
        <f t="shared" si="36"/>
        <v>_</v>
      </c>
    </row>
    <row r="2347" spans="8:8">
      <c r="H2347" s="63" t="str">
        <f t="shared" si="36"/>
        <v>_</v>
      </c>
    </row>
    <row r="2348" spans="8:8">
      <c r="H2348" s="63" t="str">
        <f t="shared" si="36"/>
        <v>_</v>
      </c>
    </row>
    <row r="2349" spans="8:8">
      <c r="H2349" s="63" t="str">
        <f t="shared" si="36"/>
        <v>_</v>
      </c>
    </row>
    <row r="2350" spans="8:8">
      <c r="H2350" s="63" t="str">
        <f t="shared" si="36"/>
        <v>_</v>
      </c>
    </row>
    <row r="2351" spans="8:8">
      <c r="H2351" s="63" t="str">
        <f t="shared" si="36"/>
        <v>_</v>
      </c>
    </row>
    <row r="2352" spans="8:8">
      <c r="H2352" s="63" t="str">
        <f t="shared" si="36"/>
        <v>_</v>
      </c>
    </row>
    <row r="2353" spans="8:8">
      <c r="H2353" s="63" t="str">
        <f t="shared" si="36"/>
        <v>_</v>
      </c>
    </row>
    <row r="2354" spans="8:8">
      <c r="H2354" s="63" t="str">
        <f t="shared" si="36"/>
        <v>_</v>
      </c>
    </row>
    <row r="2355" spans="8:8">
      <c r="H2355" s="63" t="str">
        <f t="shared" si="36"/>
        <v>_</v>
      </c>
    </row>
    <row r="2356" spans="8:8">
      <c r="H2356" s="63" t="str">
        <f t="shared" si="36"/>
        <v>_</v>
      </c>
    </row>
    <row r="2357" spans="8:8">
      <c r="H2357" s="63" t="str">
        <f t="shared" si="36"/>
        <v>_</v>
      </c>
    </row>
    <row r="2358" spans="8:8">
      <c r="H2358" s="63" t="str">
        <f t="shared" si="36"/>
        <v>_</v>
      </c>
    </row>
    <row r="2359" spans="8:8">
      <c r="H2359" s="63" t="str">
        <f t="shared" si="36"/>
        <v>_</v>
      </c>
    </row>
    <row r="2360" spans="8:8">
      <c r="H2360" s="63" t="str">
        <f t="shared" si="36"/>
        <v>_</v>
      </c>
    </row>
    <row r="2361" spans="8:8">
      <c r="H2361" s="63" t="str">
        <f t="shared" si="36"/>
        <v>_</v>
      </c>
    </row>
    <row r="2362" spans="8:8">
      <c r="H2362" s="63" t="str">
        <f t="shared" si="36"/>
        <v>_</v>
      </c>
    </row>
    <row r="2363" spans="8:8">
      <c r="H2363" s="63" t="str">
        <f t="shared" si="36"/>
        <v>_</v>
      </c>
    </row>
    <row r="2364" spans="8:8">
      <c r="H2364" s="63" t="str">
        <f t="shared" si="36"/>
        <v>_</v>
      </c>
    </row>
    <row r="2365" spans="8:8">
      <c r="H2365" s="63" t="str">
        <f t="shared" si="36"/>
        <v>_</v>
      </c>
    </row>
    <row r="2366" spans="8:8">
      <c r="H2366" s="63" t="str">
        <f t="shared" si="36"/>
        <v>_</v>
      </c>
    </row>
    <row r="2367" spans="8:8">
      <c r="H2367" s="63" t="str">
        <f t="shared" si="36"/>
        <v>_</v>
      </c>
    </row>
    <row r="2368" spans="8:8">
      <c r="H2368" s="63" t="str">
        <f t="shared" si="36"/>
        <v>_</v>
      </c>
    </row>
    <row r="2369" spans="8:8">
      <c r="H2369" s="63" t="str">
        <f t="shared" si="36"/>
        <v>_</v>
      </c>
    </row>
    <row r="2370" spans="8:8">
      <c r="H2370" s="63" t="str">
        <f t="shared" si="36"/>
        <v>_</v>
      </c>
    </row>
    <row r="2371" spans="8:8">
      <c r="H2371" s="63" t="str">
        <f t="shared" ref="H2371:H2434" si="37">IF(OR(MID(A2371,6,10)="NASPP",MID(A2371,6,10)="RASPP"),"RNASPP",IF(OR(MID(A2371,6,10)="NSFAP",MID(A2371,6,10)="RSPOA"),"RNSPOA",IF(OR(A2371="ULGALLOC",A2371="ULSPOOL"),A2371,IF(MID(A2371,6,5)="ANSSP","ASSP1",MID(A2371,6,10)))))&amp;"_"&amp;B2371</f>
        <v>_</v>
      </c>
    </row>
    <row r="2372" spans="8:8">
      <c r="H2372" s="63" t="str">
        <f t="shared" si="37"/>
        <v>_</v>
      </c>
    </row>
    <row r="2373" spans="8:8">
      <c r="H2373" s="63" t="str">
        <f t="shared" si="37"/>
        <v>_</v>
      </c>
    </row>
    <row r="2374" spans="8:8">
      <c r="H2374" s="63" t="str">
        <f t="shared" si="37"/>
        <v>_</v>
      </c>
    </row>
    <row r="2375" spans="8:8">
      <c r="H2375" s="63" t="str">
        <f t="shared" si="37"/>
        <v>_</v>
      </c>
    </row>
    <row r="2376" spans="8:8">
      <c r="H2376" s="63" t="str">
        <f t="shared" si="37"/>
        <v>_</v>
      </c>
    </row>
    <row r="2377" spans="8:8">
      <c r="H2377" s="63" t="str">
        <f t="shared" si="37"/>
        <v>_</v>
      </c>
    </row>
    <row r="2378" spans="8:8">
      <c r="H2378" s="63" t="str">
        <f t="shared" si="37"/>
        <v>_</v>
      </c>
    </row>
    <row r="2379" spans="8:8">
      <c r="H2379" s="63" t="str">
        <f t="shared" si="37"/>
        <v>_</v>
      </c>
    </row>
    <row r="2380" spans="8:8">
      <c r="H2380" s="63" t="str">
        <f t="shared" si="37"/>
        <v>_</v>
      </c>
    </row>
    <row r="2381" spans="8:8">
      <c r="H2381" s="63" t="str">
        <f t="shared" si="37"/>
        <v>_</v>
      </c>
    </row>
    <row r="2382" spans="8:8">
      <c r="H2382" s="63" t="str">
        <f t="shared" si="37"/>
        <v>_</v>
      </c>
    </row>
    <row r="2383" spans="8:8">
      <c r="H2383" s="63" t="str">
        <f t="shared" si="37"/>
        <v>_</v>
      </c>
    </row>
    <row r="2384" spans="8:8">
      <c r="H2384" s="63" t="str">
        <f t="shared" si="37"/>
        <v>_</v>
      </c>
    </row>
    <row r="2385" spans="8:8">
      <c r="H2385" s="63" t="str">
        <f t="shared" si="37"/>
        <v>_</v>
      </c>
    </row>
    <row r="2386" spans="8:8">
      <c r="H2386" s="63" t="str">
        <f t="shared" si="37"/>
        <v>_</v>
      </c>
    </row>
    <row r="2387" spans="8:8">
      <c r="H2387" s="63" t="str">
        <f t="shared" si="37"/>
        <v>_</v>
      </c>
    </row>
    <row r="2388" spans="8:8">
      <c r="H2388" s="63" t="str">
        <f t="shared" si="37"/>
        <v>_</v>
      </c>
    </row>
    <row r="2389" spans="8:8">
      <c r="H2389" s="63" t="str">
        <f t="shared" si="37"/>
        <v>_</v>
      </c>
    </row>
    <row r="2390" spans="8:8">
      <c r="H2390" s="63" t="str">
        <f t="shared" si="37"/>
        <v>_</v>
      </c>
    </row>
    <row r="2391" spans="8:8">
      <c r="H2391" s="63" t="str">
        <f t="shared" si="37"/>
        <v>_</v>
      </c>
    </row>
    <row r="2392" spans="8:8">
      <c r="H2392" s="63" t="str">
        <f t="shared" si="37"/>
        <v>_</v>
      </c>
    </row>
    <row r="2393" spans="8:8">
      <c r="H2393" s="63" t="str">
        <f t="shared" si="37"/>
        <v>_</v>
      </c>
    </row>
    <row r="2394" spans="8:8">
      <c r="H2394" s="63" t="str">
        <f t="shared" si="37"/>
        <v>_</v>
      </c>
    </row>
    <row r="2395" spans="8:8">
      <c r="H2395" s="63" t="str">
        <f t="shared" si="37"/>
        <v>_</v>
      </c>
    </row>
    <row r="2396" spans="8:8">
      <c r="H2396" s="63" t="str">
        <f t="shared" si="37"/>
        <v>_</v>
      </c>
    </row>
    <row r="2397" spans="8:8">
      <c r="H2397" s="63" t="str">
        <f t="shared" si="37"/>
        <v>_</v>
      </c>
    </row>
    <row r="2398" spans="8:8">
      <c r="H2398" s="63" t="str">
        <f t="shared" si="37"/>
        <v>_</v>
      </c>
    </row>
    <row r="2399" spans="8:8">
      <c r="H2399" s="63" t="str">
        <f t="shared" si="37"/>
        <v>_</v>
      </c>
    </row>
    <row r="2400" spans="8:8">
      <c r="H2400" s="63" t="str">
        <f t="shared" si="37"/>
        <v>_</v>
      </c>
    </row>
    <row r="2401" spans="8:8">
      <c r="H2401" s="63" t="str">
        <f t="shared" si="37"/>
        <v>_</v>
      </c>
    </row>
    <row r="2402" spans="8:8">
      <c r="H2402" s="63" t="str">
        <f t="shared" si="37"/>
        <v>_</v>
      </c>
    </row>
    <row r="2403" spans="8:8">
      <c r="H2403" s="63" t="str">
        <f t="shared" si="37"/>
        <v>_</v>
      </c>
    </row>
    <row r="2404" spans="8:8">
      <c r="H2404" s="63" t="str">
        <f t="shared" si="37"/>
        <v>_</v>
      </c>
    </row>
    <row r="2405" spans="8:8">
      <c r="H2405" s="63" t="str">
        <f t="shared" si="37"/>
        <v>_</v>
      </c>
    </row>
    <row r="2406" spans="8:8">
      <c r="H2406" s="63" t="str">
        <f t="shared" si="37"/>
        <v>_</v>
      </c>
    </row>
    <row r="2407" spans="8:8">
      <c r="H2407" s="63" t="str">
        <f t="shared" si="37"/>
        <v>_</v>
      </c>
    </row>
    <row r="2408" spans="8:8">
      <c r="H2408" s="63" t="str">
        <f t="shared" si="37"/>
        <v>_</v>
      </c>
    </row>
    <row r="2409" spans="8:8">
      <c r="H2409" s="63" t="str">
        <f t="shared" si="37"/>
        <v>_</v>
      </c>
    </row>
    <row r="2410" spans="8:8">
      <c r="H2410" s="63" t="str">
        <f t="shared" si="37"/>
        <v>_</v>
      </c>
    </row>
    <row r="2411" spans="8:8">
      <c r="H2411" s="63" t="str">
        <f t="shared" si="37"/>
        <v>_</v>
      </c>
    </row>
    <row r="2412" spans="8:8">
      <c r="H2412" s="63" t="str">
        <f t="shared" si="37"/>
        <v>_</v>
      </c>
    </row>
    <row r="2413" spans="8:8">
      <c r="H2413" s="63" t="str">
        <f t="shared" si="37"/>
        <v>_</v>
      </c>
    </row>
    <row r="2414" spans="8:8">
      <c r="H2414" s="63" t="str">
        <f t="shared" si="37"/>
        <v>_</v>
      </c>
    </row>
    <row r="2415" spans="8:8">
      <c r="H2415" s="63" t="str">
        <f t="shared" si="37"/>
        <v>_</v>
      </c>
    </row>
    <row r="2416" spans="8:8">
      <c r="H2416" s="63" t="str">
        <f t="shared" si="37"/>
        <v>_</v>
      </c>
    </row>
    <row r="2417" spans="8:8">
      <c r="H2417" s="63" t="str">
        <f t="shared" si="37"/>
        <v>_</v>
      </c>
    </row>
    <row r="2418" spans="8:8">
      <c r="H2418" s="63" t="str">
        <f t="shared" si="37"/>
        <v>_</v>
      </c>
    </row>
    <row r="2419" spans="8:8">
      <c r="H2419" s="63" t="str">
        <f t="shared" si="37"/>
        <v>_</v>
      </c>
    </row>
    <row r="2420" spans="8:8">
      <c r="H2420" s="63" t="str">
        <f t="shared" si="37"/>
        <v>_</v>
      </c>
    </row>
    <row r="2421" spans="8:8">
      <c r="H2421" s="63" t="str">
        <f t="shared" si="37"/>
        <v>_</v>
      </c>
    </row>
    <row r="2422" spans="8:8">
      <c r="H2422" s="63" t="str">
        <f t="shared" si="37"/>
        <v>_</v>
      </c>
    </row>
    <row r="2423" spans="8:8">
      <c r="H2423" s="63" t="str">
        <f t="shared" si="37"/>
        <v>_</v>
      </c>
    </row>
    <row r="2424" spans="8:8">
      <c r="H2424" s="63" t="str">
        <f t="shared" si="37"/>
        <v>_</v>
      </c>
    </row>
    <row r="2425" spans="8:8">
      <c r="H2425" s="63" t="str">
        <f t="shared" si="37"/>
        <v>_</v>
      </c>
    </row>
    <row r="2426" spans="8:8">
      <c r="H2426" s="63" t="str">
        <f t="shared" si="37"/>
        <v>_</v>
      </c>
    </row>
    <row r="2427" spans="8:8">
      <c r="H2427" s="63" t="str">
        <f t="shared" si="37"/>
        <v>_</v>
      </c>
    </row>
    <row r="2428" spans="8:8">
      <c r="H2428" s="63" t="str">
        <f t="shared" si="37"/>
        <v>_</v>
      </c>
    </row>
    <row r="2429" spans="8:8">
      <c r="H2429" s="63" t="str">
        <f t="shared" si="37"/>
        <v>_</v>
      </c>
    </row>
    <row r="2430" spans="8:8">
      <c r="H2430" s="63" t="str">
        <f t="shared" si="37"/>
        <v>_</v>
      </c>
    </row>
    <row r="2431" spans="8:8">
      <c r="H2431" s="63" t="str">
        <f t="shared" si="37"/>
        <v>_</v>
      </c>
    </row>
    <row r="2432" spans="8:8">
      <c r="H2432" s="63" t="str">
        <f t="shared" si="37"/>
        <v>_</v>
      </c>
    </row>
    <row r="2433" spans="8:8">
      <c r="H2433" s="63" t="str">
        <f t="shared" si="37"/>
        <v>_</v>
      </c>
    </row>
    <row r="2434" spans="8:8">
      <c r="H2434" s="63" t="str">
        <f t="shared" si="37"/>
        <v>_</v>
      </c>
    </row>
    <row r="2435" spans="8:8">
      <c r="H2435" s="63" t="str">
        <f t="shared" ref="H2435:H2498" si="38">IF(OR(MID(A2435,6,10)="NASPP",MID(A2435,6,10)="RASPP"),"RNASPP",IF(OR(MID(A2435,6,10)="NSFAP",MID(A2435,6,10)="RSPOA"),"RNSPOA",IF(OR(A2435="ULGALLOC",A2435="ULSPOOL"),A2435,IF(MID(A2435,6,5)="ANSSP","ASSP1",MID(A2435,6,10)))))&amp;"_"&amp;B2435</f>
        <v>_</v>
      </c>
    </row>
    <row r="2436" spans="8:8">
      <c r="H2436" s="63" t="str">
        <f t="shared" si="38"/>
        <v>_</v>
      </c>
    </row>
    <row r="2437" spans="8:8">
      <c r="H2437" s="63" t="str">
        <f t="shared" si="38"/>
        <v>_</v>
      </c>
    </row>
    <row r="2438" spans="8:8">
      <c r="H2438" s="63" t="str">
        <f t="shared" si="38"/>
        <v>_</v>
      </c>
    </row>
    <row r="2439" spans="8:8">
      <c r="H2439" s="63" t="str">
        <f t="shared" si="38"/>
        <v>_</v>
      </c>
    </row>
    <row r="2440" spans="8:8">
      <c r="H2440" s="63" t="str">
        <f t="shared" si="38"/>
        <v>_</v>
      </c>
    </row>
    <row r="2441" spans="8:8">
      <c r="H2441" s="63" t="str">
        <f t="shared" si="38"/>
        <v>_</v>
      </c>
    </row>
    <row r="2442" spans="8:8">
      <c r="H2442" s="63" t="str">
        <f t="shared" si="38"/>
        <v>_</v>
      </c>
    </row>
    <row r="2443" spans="8:8">
      <c r="H2443" s="63" t="str">
        <f t="shared" si="38"/>
        <v>_</v>
      </c>
    </row>
    <row r="2444" spans="8:8">
      <c r="H2444" s="63" t="str">
        <f t="shared" si="38"/>
        <v>_</v>
      </c>
    </row>
    <row r="2445" spans="8:8">
      <c r="H2445" s="63" t="str">
        <f t="shared" si="38"/>
        <v>_</v>
      </c>
    </row>
    <row r="2446" spans="8:8">
      <c r="H2446" s="63" t="str">
        <f t="shared" si="38"/>
        <v>_</v>
      </c>
    </row>
    <row r="2447" spans="8:8">
      <c r="H2447" s="63" t="str">
        <f t="shared" si="38"/>
        <v>_</v>
      </c>
    </row>
    <row r="2448" spans="8:8">
      <c r="H2448" s="63" t="str">
        <f t="shared" si="38"/>
        <v>_</v>
      </c>
    </row>
    <row r="2449" spans="8:8">
      <c r="H2449" s="63" t="str">
        <f t="shared" si="38"/>
        <v>_</v>
      </c>
    </row>
    <row r="2450" spans="8:8">
      <c r="H2450" s="63" t="str">
        <f t="shared" si="38"/>
        <v>_</v>
      </c>
    </row>
    <row r="2451" spans="8:8">
      <c r="H2451" s="63" t="str">
        <f t="shared" si="38"/>
        <v>_</v>
      </c>
    </row>
    <row r="2452" spans="8:8">
      <c r="H2452" s="63" t="str">
        <f t="shared" si="38"/>
        <v>_</v>
      </c>
    </row>
    <row r="2453" spans="8:8">
      <c r="H2453" s="63" t="str">
        <f t="shared" si="38"/>
        <v>_</v>
      </c>
    </row>
    <row r="2454" spans="8:8">
      <c r="H2454" s="63" t="str">
        <f t="shared" si="38"/>
        <v>_</v>
      </c>
    </row>
    <row r="2455" spans="8:8">
      <c r="H2455" s="63" t="str">
        <f t="shared" si="38"/>
        <v>_</v>
      </c>
    </row>
    <row r="2456" spans="8:8">
      <c r="H2456" s="63" t="str">
        <f t="shared" si="38"/>
        <v>_</v>
      </c>
    </row>
    <row r="2457" spans="8:8">
      <c r="H2457" s="63" t="str">
        <f t="shared" si="38"/>
        <v>_</v>
      </c>
    </row>
    <row r="2458" spans="8:8">
      <c r="H2458" s="63" t="str">
        <f t="shared" si="38"/>
        <v>_</v>
      </c>
    </row>
    <row r="2459" spans="8:8">
      <c r="H2459" s="63" t="str">
        <f t="shared" si="38"/>
        <v>_</v>
      </c>
    </row>
    <row r="2460" spans="8:8">
      <c r="H2460" s="63" t="str">
        <f t="shared" si="38"/>
        <v>_</v>
      </c>
    </row>
    <row r="2461" spans="8:8">
      <c r="H2461" s="63" t="str">
        <f t="shared" si="38"/>
        <v>_</v>
      </c>
    </row>
    <row r="2462" spans="8:8">
      <c r="H2462" s="63" t="str">
        <f t="shared" si="38"/>
        <v>_</v>
      </c>
    </row>
    <row r="2463" spans="8:8">
      <c r="H2463" s="63" t="str">
        <f t="shared" si="38"/>
        <v>_</v>
      </c>
    </row>
    <row r="2464" spans="8:8">
      <c r="H2464" s="63" t="str">
        <f t="shared" si="38"/>
        <v>_</v>
      </c>
    </row>
    <row r="2465" spans="8:8">
      <c r="H2465" s="63" t="str">
        <f t="shared" si="38"/>
        <v>_</v>
      </c>
    </row>
    <row r="2466" spans="8:8">
      <c r="H2466" s="63" t="str">
        <f t="shared" si="38"/>
        <v>_</v>
      </c>
    </row>
    <row r="2467" spans="8:8">
      <c r="H2467" s="63" t="str">
        <f t="shared" si="38"/>
        <v>_</v>
      </c>
    </row>
    <row r="2468" spans="8:8">
      <c r="H2468" s="63" t="str">
        <f t="shared" si="38"/>
        <v>_</v>
      </c>
    </row>
    <row r="2469" spans="8:8">
      <c r="H2469" s="63" t="str">
        <f t="shared" si="38"/>
        <v>_</v>
      </c>
    </row>
    <row r="2470" spans="8:8">
      <c r="H2470" s="63" t="str">
        <f t="shared" si="38"/>
        <v>_</v>
      </c>
    </row>
    <row r="2471" spans="8:8">
      <c r="H2471" s="63" t="str">
        <f t="shared" si="38"/>
        <v>_</v>
      </c>
    </row>
    <row r="2472" spans="8:8">
      <c r="H2472" s="63" t="str">
        <f t="shared" si="38"/>
        <v>_</v>
      </c>
    </row>
    <row r="2473" spans="8:8">
      <c r="H2473" s="63" t="str">
        <f t="shared" si="38"/>
        <v>_</v>
      </c>
    </row>
    <row r="2474" spans="8:8">
      <c r="H2474" s="63" t="str">
        <f t="shared" si="38"/>
        <v>_</v>
      </c>
    </row>
    <row r="2475" spans="8:8">
      <c r="H2475" s="63" t="str">
        <f t="shared" si="38"/>
        <v>_</v>
      </c>
    </row>
    <row r="2476" spans="8:8">
      <c r="H2476" s="63" t="str">
        <f t="shared" si="38"/>
        <v>_</v>
      </c>
    </row>
    <row r="2477" spans="8:8">
      <c r="H2477" s="63" t="str">
        <f t="shared" si="38"/>
        <v>_</v>
      </c>
    </row>
    <row r="2478" spans="8:8">
      <c r="H2478" s="63" t="str">
        <f t="shared" si="38"/>
        <v>_</v>
      </c>
    </row>
    <row r="2479" spans="8:8">
      <c r="H2479" s="63" t="str">
        <f t="shared" si="38"/>
        <v>_</v>
      </c>
    </row>
    <row r="2480" spans="8:8">
      <c r="H2480" s="63" t="str">
        <f t="shared" si="38"/>
        <v>_</v>
      </c>
    </row>
    <row r="2481" spans="8:8">
      <c r="H2481" s="63" t="str">
        <f t="shared" si="38"/>
        <v>_</v>
      </c>
    </row>
    <row r="2482" spans="8:8">
      <c r="H2482" s="63" t="str">
        <f t="shared" si="38"/>
        <v>_</v>
      </c>
    </row>
    <row r="2483" spans="8:8">
      <c r="H2483" s="63" t="str">
        <f t="shared" si="38"/>
        <v>_</v>
      </c>
    </row>
    <row r="2484" spans="8:8">
      <c r="H2484" s="63" t="str">
        <f t="shared" si="38"/>
        <v>_</v>
      </c>
    </row>
    <row r="2485" spans="8:8">
      <c r="H2485" s="63" t="str">
        <f t="shared" si="38"/>
        <v>_</v>
      </c>
    </row>
    <row r="2486" spans="8:8">
      <c r="H2486" s="63" t="str">
        <f t="shared" si="38"/>
        <v>_</v>
      </c>
    </row>
    <row r="2487" spans="8:8">
      <c r="H2487" s="63" t="str">
        <f t="shared" si="38"/>
        <v>_</v>
      </c>
    </row>
    <row r="2488" spans="8:8">
      <c r="H2488" s="63" t="str">
        <f t="shared" si="38"/>
        <v>_</v>
      </c>
    </row>
    <row r="2489" spans="8:8">
      <c r="H2489" s="63" t="str">
        <f t="shared" si="38"/>
        <v>_</v>
      </c>
    </row>
    <row r="2490" spans="8:8">
      <c r="H2490" s="63" t="str">
        <f t="shared" si="38"/>
        <v>_</v>
      </c>
    </row>
    <row r="2491" spans="8:8">
      <c r="H2491" s="63" t="str">
        <f t="shared" si="38"/>
        <v>_</v>
      </c>
    </row>
    <row r="2492" spans="8:8">
      <c r="H2492" s="63" t="str">
        <f t="shared" si="38"/>
        <v>_</v>
      </c>
    </row>
    <row r="2493" spans="8:8">
      <c r="H2493" s="63" t="str">
        <f t="shared" si="38"/>
        <v>_</v>
      </c>
    </row>
    <row r="2494" spans="8:8">
      <c r="H2494" s="63" t="str">
        <f t="shared" si="38"/>
        <v>_</v>
      </c>
    </row>
    <row r="2495" spans="8:8">
      <c r="H2495" s="63" t="str">
        <f t="shared" si="38"/>
        <v>_</v>
      </c>
    </row>
    <row r="2496" spans="8:8">
      <c r="H2496" s="63" t="str">
        <f t="shared" si="38"/>
        <v>_</v>
      </c>
    </row>
    <row r="2497" spans="8:8">
      <c r="H2497" s="63" t="str">
        <f t="shared" si="38"/>
        <v>_</v>
      </c>
    </row>
    <row r="2498" spans="8:8">
      <c r="H2498" s="63" t="str">
        <f t="shared" si="38"/>
        <v>_</v>
      </c>
    </row>
    <row r="2499" spans="8:8">
      <c r="H2499" s="63" t="str">
        <f t="shared" ref="H2499:H2562" si="39">IF(OR(MID(A2499,6,10)="NASPP",MID(A2499,6,10)="RASPP"),"RNASPP",IF(OR(MID(A2499,6,10)="NSFAP",MID(A2499,6,10)="RSPOA"),"RNSPOA",IF(OR(A2499="ULGALLOC",A2499="ULSPOOL"),A2499,IF(MID(A2499,6,5)="ANSSP","ASSP1",MID(A2499,6,10)))))&amp;"_"&amp;B2499</f>
        <v>_</v>
      </c>
    </row>
    <row r="2500" spans="8:8">
      <c r="H2500" s="63" t="str">
        <f t="shared" si="39"/>
        <v>_</v>
      </c>
    </row>
    <row r="2501" spans="8:8">
      <c r="H2501" s="63" t="str">
        <f t="shared" si="39"/>
        <v>_</v>
      </c>
    </row>
    <row r="2502" spans="8:8">
      <c r="H2502" s="63" t="str">
        <f t="shared" si="39"/>
        <v>_</v>
      </c>
    </row>
    <row r="2503" spans="8:8">
      <c r="H2503" s="63" t="str">
        <f t="shared" si="39"/>
        <v>_</v>
      </c>
    </row>
    <row r="2504" spans="8:8">
      <c r="H2504" s="63" t="str">
        <f t="shared" si="39"/>
        <v>_</v>
      </c>
    </row>
    <row r="2505" spans="8:8">
      <c r="H2505" s="63" t="str">
        <f t="shared" si="39"/>
        <v>_</v>
      </c>
    </row>
    <row r="2506" spans="8:8">
      <c r="H2506" s="63" t="str">
        <f t="shared" si="39"/>
        <v>_</v>
      </c>
    </row>
    <row r="2507" spans="8:8">
      <c r="H2507" s="63" t="str">
        <f t="shared" si="39"/>
        <v>_</v>
      </c>
    </row>
    <row r="2508" spans="8:8">
      <c r="H2508" s="63" t="str">
        <f t="shared" si="39"/>
        <v>_</v>
      </c>
    </row>
    <row r="2509" spans="8:8">
      <c r="H2509" s="63" t="str">
        <f t="shared" si="39"/>
        <v>_</v>
      </c>
    </row>
    <row r="2510" spans="8:8">
      <c r="H2510" s="63" t="str">
        <f t="shared" si="39"/>
        <v>_</v>
      </c>
    </row>
    <row r="2511" spans="8:8">
      <c r="H2511" s="63" t="str">
        <f t="shared" si="39"/>
        <v>_</v>
      </c>
    </row>
    <row r="2512" spans="8:8">
      <c r="H2512" s="63" t="str">
        <f t="shared" si="39"/>
        <v>_</v>
      </c>
    </row>
    <row r="2513" spans="8:8">
      <c r="H2513" s="63" t="str">
        <f t="shared" si="39"/>
        <v>_</v>
      </c>
    </row>
    <row r="2514" spans="8:8">
      <c r="H2514" s="63" t="str">
        <f t="shared" si="39"/>
        <v>_</v>
      </c>
    </row>
    <row r="2515" spans="8:8">
      <c r="H2515" s="63" t="str">
        <f t="shared" si="39"/>
        <v>_</v>
      </c>
    </row>
    <row r="2516" spans="8:8">
      <c r="H2516" s="63" t="str">
        <f t="shared" si="39"/>
        <v>_</v>
      </c>
    </row>
    <row r="2517" spans="8:8">
      <c r="H2517" s="63" t="str">
        <f t="shared" si="39"/>
        <v>_</v>
      </c>
    </row>
    <row r="2518" spans="8:8">
      <c r="H2518" s="63" t="str">
        <f t="shared" si="39"/>
        <v>_</v>
      </c>
    </row>
    <row r="2519" spans="8:8">
      <c r="H2519" s="63" t="str">
        <f t="shared" si="39"/>
        <v>_</v>
      </c>
    </row>
    <row r="2520" spans="8:8">
      <c r="H2520" s="63" t="str">
        <f t="shared" si="39"/>
        <v>_</v>
      </c>
    </row>
    <row r="2521" spans="8:8">
      <c r="H2521" s="63" t="str">
        <f t="shared" si="39"/>
        <v>_</v>
      </c>
    </row>
    <row r="2522" spans="8:8">
      <c r="H2522" s="63" t="str">
        <f t="shared" si="39"/>
        <v>_</v>
      </c>
    </row>
    <row r="2523" spans="8:8">
      <c r="H2523" s="63" t="str">
        <f t="shared" si="39"/>
        <v>_</v>
      </c>
    </row>
    <row r="2524" spans="8:8">
      <c r="H2524" s="63" t="str">
        <f t="shared" si="39"/>
        <v>_</v>
      </c>
    </row>
    <row r="2525" spans="8:8">
      <c r="H2525" s="63" t="str">
        <f t="shared" si="39"/>
        <v>_</v>
      </c>
    </row>
    <row r="2526" spans="8:8">
      <c r="H2526" s="63" t="str">
        <f t="shared" si="39"/>
        <v>_</v>
      </c>
    </row>
    <row r="2527" spans="8:8">
      <c r="H2527" s="63" t="str">
        <f t="shared" si="39"/>
        <v>_</v>
      </c>
    </row>
    <row r="2528" spans="8:8">
      <c r="H2528" s="63" t="str">
        <f t="shared" si="39"/>
        <v>_</v>
      </c>
    </row>
    <row r="2529" spans="8:8">
      <c r="H2529" s="63" t="str">
        <f t="shared" si="39"/>
        <v>_</v>
      </c>
    </row>
    <row r="2530" spans="8:8">
      <c r="H2530" s="63" t="str">
        <f t="shared" si="39"/>
        <v>_</v>
      </c>
    </row>
    <row r="2531" spans="8:8">
      <c r="H2531" s="63" t="str">
        <f t="shared" si="39"/>
        <v>_</v>
      </c>
    </row>
    <row r="2532" spans="8:8">
      <c r="H2532" s="63" t="str">
        <f t="shared" si="39"/>
        <v>_</v>
      </c>
    </row>
    <row r="2533" spans="8:8">
      <c r="H2533" s="63" t="str">
        <f t="shared" si="39"/>
        <v>_</v>
      </c>
    </row>
    <row r="2534" spans="8:8">
      <c r="H2534" s="63" t="str">
        <f t="shared" si="39"/>
        <v>_</v>
      </c>
    </row>
    <row r="2535" spans="8:8">
      <c r="H2535" s="63" t="str">
        <f t="shared" si="39"/>
        <v>_</v>
      </c>
    </row>
    <row r="2536" spans="8:8">
      <c r="H2536" s="63" t="str">
        <f t="shared" si="39"/>
        <v>_</v>
      </c>
    </row>
    <row r="2537" spans="8:8">
      <c r="H2537" s="63" t="str">
        <f t="shared" si="39"/>
        <v>_</v>
      </c>
    </row>
    <row r="2538" spans="8:8">
      <c r="H2538" s="63" t="str">
        <f t="shared" si="39"/>
        <v>_</v>
      </c>
    </row>
    <row r="2539" spans="8:8">
      <c r="H2539" s="63" t="str">
        <f t="shared" si="39"/>
        <v>_</v>
      </c>
    </row>
    <row r="2540" spans="8:8">
      <c r="H2540" s="63" t="str">
        <f t="shared" si="39"/>
        <v>_</v>
      </c>
    </row>
    <row r="2541" spans="8:8">
      <c r="H2541" s="63" t="str">
        <f t="shared" si="39"/>
        <v>_</v>
      </c>
    </row>
    <row r="2542" spans="8:8">
      <c r="H2542" s="63" t="str">
        <f t="shared" si="39"/>
        <v>_</v>
      </c>
    </row>
    <row r="2543" spans="8:8">
      <c r="H2543" s="63" t="str">
        <f t="shared" si="39"/>
        <v>_</v>
      </c>
    </row>
    <row r="2544" spans="8:8">
      <c r="H2544" s="63" t="str">
        <f t="shared" si="39"/>
        <v>_</v>
      </c>
    </row>
    <row r="2545" spans="8:8">
      <c r="H2545" s="63" t="str">
        <f t="shared" si="39"/>
        <v>_</v>
      </c>
    </row>
    <row r="2546" spans="8:8">
      <c r="H2546" s="63" t="str">
        <f t="shared" si="39"/>
        <v>_</v>
      </c>
    </row>
    <row r="2547" spans="8:8">
      <c r="H2547" s="63" t="str">
        <f t="shared" si="39"/>
        <v>_</v>
      </c>
    </row>
    <row r="2548" spans="8:8">
      <c r="H2548" s="63" t="str">
        <f t="shared" si="39"/>
        <v>_</v>
      </c>
    </row>
    <row r="2549" spans="8:8">
      <c r="H2549" s="63" t="str">
        <f t="shared" si="39"/>
        <v>_</v>
      </c>
    </row>
    <row r="2550" spans="8:8">
      <c r="H2550" s="63" t="str">
        <f t="shared" si="39"/>
        <v>_</v>
      </c>
    </row>
    <row r="2551" spans="8:8">
      <c r="H2551" s="63" t="str">
        <f t="shared" si="39"/>
        <v>_</v>
      </c>
    </row>
    <row r="2552" spans="8:8">
      <c r="H2552" s="63" t="str">
        <f t="shared" si="39"/>
        <v>_</v>
      </c>
    </row>
    <row r="2553" spans="8:8">
      <c r="H2553" s="63" t="str">
        <f t="shared" si="39"/>
        <v>_</v>
      </c>
    </row>
    <row r="2554" spans="8:8">
      <c r="H2554" s="63" t="str">
        <f t="shared" si="39"/>
        <v>_</v>
      </c>
    </row>
    <row r="2555" spans="8:8">
      <c r="H2555" s="63" t="str">
        <f t="shared" si="39"/>
        <v>_</v>
      </c>
    </row>
    <row r="2556" spans="8:8">
      <c r="H2556" s="63" t="str">
        <f t="shared" si="39"/>
        <v>_</v>
      </c>
    </row>
    <row r="2557" spans="8:8">
      <c r="H2557" s="63" t="str">
        <f t="shared" si="39"/>
        <v>_</v>
      </c>
    </row>
    <row r="2558" spans="8:8">
      <c r="H2558" s="63" t="str">
        <f t="shared" si="39"/>
        <v>_</v>
      </c>
    </row>
    <row r="2559" spans="8:8">
      <c r="H2559" s="63" t="str">
        <f t="shared" si="39"/>
        <v>_</v>
      </c>
    </row>
    <row r="2560" spans="8:8">
      <c r="H2560" s="63" t="str">
        <f t="shared" si="39"/>
        <v>_</v>
      </c>
    </row>
    <row r="2561" spans="8:8">
      <c r="H2561" s="63" t="str">
        <f t="shared" si="39"/>
        <v>_</v>
      </c>
    </row>
    <row r="2562" spans="8:8">
      <c r="H2562" s="63" t="str">
        <f t="shared" si="39"/>
        <v>_</v>
      </c>
    </row>
    <row r="2563" spans="8:8">
      <c r="H2563" s="63" t="str">
        <f t="shared" ref="H2563:H2626" si="40">IF(OR(MID(A2563,6,10)="NASPP",MID(A2563,6,10)="RASPP"),"RNASPP",IF(OR(MID(A2563,6,10)="NSFAP",MID(A2563,6,10)="RSPOA"),"RNSPOA",IF(OR(A2563="ULGALLOC",A2563="ULSPOOL"),A2563,IF(MID(A2563,6,5)="ANSSP","ASSP1",MID(A2563,6,10)))))&amp;"_"&amp;B2563</f>
        <v>_</v>
      </c>
    </row>
    <row r="2564" spans="8:8">
      <c r="H2564" s="63" t="str">
        <f t="shared" si="40"/>
        <v>_</v>
      </c>
    </row>
    <row r="2565" spans="8:8">
      <c r="H2565" s="63" t="str">
        <f t="shared" si="40"/>
        <v>_</v>
      </c>
    </row>
    <row r="2566" spans="8:8">
      <c r="H2566" s="63" t="str">
        <f t="shared" si="40"/>
        <v>_</v>
      </c>
    </row>
    <row r="2567" spans="8:8">
      <c r="H2567" s="63" t="str">
        <f t="shared" si="40"/>
        <v>_</v>
      </c>
    </row>
    <row r="2568" spans="8:8">
      <c r="H2568" s="63" t="str">
        <f t="shared" si="40"/>
        <v>_</v>
      </c>
    </row>
    <row r="2569" spans="8:8">
      <c r="H2569" s="63" t="str">
        <f t="shared" si="40"/>
        <v>_</v>
      </c>
    </row>
    <row r="2570" spans="8:8">
      <c r="H2570" s="63" t="str">
        <f t="shared" si="40"/>
        <v>_</v>
      </c>
    </row>
    <row r="2571" spans="8:8">
      <c r="H2571" s="63" t="str">
        <f t="shared" si="40"/>
        <v>_</v>
      </c>
    </row>
    <row r="2572" spans="8:8">
      <c r="H2572" s="63" t="str">
        <f t="shared" si="40"/>
        <v>_</v>
      </c>
    </row>
    <row r="2573" spans="8:8">
      <c r="H2573" s="63" t="str">
        <f t="shared" si="40"/>
        <v>_</v>
      </c>
    </row>
    <row r="2574" spans="8:8">
      <c r="H2574" s="63" t="str">
        <f t="shared" si="40"/>
        <v>_</v>
      </c>
    </row>
    <row r="2575" spans="8:8">
      <c r="H2575" s="63" t="str">
        <f t="shared" si="40"/>
        <v>_</v>
      </c>
    </row>
    <row r="2576" spans="8:8">
      <c r="H2576" s="63" t="str">
        <f t="shared" si="40"/>
        <v>_</v>
      </c>
    </row>
    <row r="2577" spans="8:8">
      <c r="H2577" s="63" t="str">
        <f t="shared" si="40"/>
        <v>_</v>
      </c>
    </row>
    <row r="2578" spans="8:8">
      <c r="H2578" s="63" t="str">
        <f t="shared" si="40"/>
        <v>_</v>
      </c>
    </row>
    <row r="2579" spans="8:8">
      <c r="H2579" s="63" t="str">
        <f t="shared" si="40"/>
        <v>_</v>
      </c>
    </row>
    <row r="2580" spans="8:8">
      <c r="H2580" s="63" t="str">
        <f t="shared" si="40"/>
        <v>_</v>
      </c>
    </row>
    <row r="2581" spans="8:8">
      <c r="H2581" s="63" t="str">
        <f t="shared" si="40"/>
        <v>_</v>
      </c>
    </row>
    <row r="2582" spans="8:8">
      <c r="H2582" s="63" t="str">
        <f t="shared" si="40"/>
        <v>_</v>
      </c>
    </row>
    <row r="2583" spans="8:8">
      <c r="H2583" s="63" t="str">
        <f t="shared" si="40"/>
        <v>_</v>
      </c>
    </row>
    <row r="2584" spans="8:8">
      <c r="H2584" s="63" t="str">
        <f t="shared" si="40"/>
        <v>_</v>
      </c>
    </row>
    <row r="2585" spans="8:8">
      <c r="H2585" s="63" t="str">
        <f t="shared" si="40"/>
        <v>_</v>
      </c>
    </row>
    <row r="2586" spans="8:8">
      <c r="H2586" s="63" t="str">
        <f t="shared" si="40"/>
        <v>_</v>
      </c>
    </row>
    <row r="2587" spans="8:8">
      <c r="H2587" s="63" t="str">
        <f t="shared" si="40"/>
        <v>_</v>
      </c>
    </row>
    <row r="2588" spans="8:8">
      <c r="H2588" s="63" t="str">
        <f t="shared" si="40"/>
        <v>_</v>
      </c>
    </row>
    <row r="2589" spans="8:8">
      <c r="H2589" s="63" t="str">
        <f t="shared" si="40"/>
        <v>_</v>
      </c>
    </row>
    <row r="2590" spans="8:8">
      <c r="H2590" s="63" t="str">
        <f t="shared" si="40"/>
        <v>_</v>
      </c>
    </row>
    <row r="2591" spans="8:8">
      <c r="H2591" s="63" t="str">
        <f t="shared" si="40"/>
        <v>_</v>
      </c>
    </row>
    <row r="2592" spans="8:8">
      <c r="H2592" s="63" t="str">
        <f t="shared" si="40"/>
        <v>_</v>
      </c>
    </row>
    <row r="2593" spans="8:8">
      <c r="H2593" s="63" t="str">
        <f t="shared" si="40"/>
        <v>_</v>
      </c>
    </row>
    <row r="2594" spans="8:8">
      <c r="H2594" s="63" t="str">
        <f t="shared" si="40"/>
        <v>_</v>
      </c>
    </row>
    <row r="2595" spans="8:8">
      <c r="H2595" s="63" t="str">
        <f t="shared" si="40"/>
        <v>_</v>
      </c>
    </row>
    <row r="2596" spans="8:8">
      <c r="H2596" s="63" t="str">
        <f t="shared" si="40"/>
        <v>_</v>
      </c>
    </row>
    <row r="2597" spans="8:8">
      <c r="H2597" s="63" t="str">
        <f t="shared" si="40"/>
        <v>_</v>
      </c>
    </row>
    <row r="2598" spans="8:8">
      <c r="H2598" s="63" t="str">
        <f t="shared" si="40"/>
        <v>_</v>
      </c>
    </row>
    <row r="2599" spans="8:8">
      <c r="H2599" s="63" t="str">
        <f t="shared" si="40"/>
        <v>_</v>
      </c>
    </row>
    <row r="2600" spans="8:8">
      <c r="H2600" s="63" t="str">
        <f t="shared" si="40"/>
        <v>_</v>
      </c>
    </row>
    <row r="2601" spans="8:8">
      <c r="H2601" s="63" t="str">
        <f t="shared" si="40"/>
        <v>_</v>
      </c>
    </row>
    <row r="2602" spans="8:8">
      <c r="H2602" s="63" t="str">
        <f t="shared" si="40"/>
        <v>_</v>
      </c>
    </row>
    <row r="2603" spans="8:8">
      <c r="H2603" s="63" t="str">
        <f t="shared" si="40"/>
        <v>_</v>
      </c>
    </row>
    <row r="2604" spans="8:8">
      <c r="H2604" s="63" t="str">
        <f t="shared" si="40"/>
        <v>_</v>
      </c>
    </row>
    <row r="2605" spans="8:8">
      <c r="H2605" s="63" t="str">
        <f t="shared" si="40"/>
        <v>_</v>
      </c>
    </row>
    <row r="2606" spans="8:8">
      <c r="H2606" s="63" t="str">
        <f t="shared" si="40"/>
        <v>_</v>
      </c>
    </row>
    <row r="2607" spans="8:8">
      <c r="H2607" s="63" t="str">
        <f t="shared" si="40"/>
        <v>_</v>
      </c>
    </row>
    <row r="2608" spans="8:8">
      <c r="H2608" s="63" t="str">
        <f t="shared" si="40"/>
        <v>_</v>
      </c>
    </row>
    <row r="2609" spans="8:8">
      <c r="H2609" s="63" t="str">
        <f t="shared" si="40"/>
        <v>_</v>
      </c>
    </row>
    <row r="2610" spans="8:8">
      <c r="H2610" s="63" t="str">
        <f t="shared" si="40"/>
        <v>_</v>
      </c>
    </row>
    <row r="2611" spans="8:8">
      <c r="H2611" s="63" t="str">
        <f t="shared" si="40"/>
        <v>_</v>
      </c>
    </row>
    <row r="2612" spans="8:8">
      <c r="H2612" s="63" t="str">
        <f t="shared" si="40"/>
        <v>_</v>
      </c>
    </row>
    <row r="2613" spans="8:8">
      <c r="H2613" s="63" t="str">
        <f t="shared" si="40"/>
        <v>_</v>
      </c>
    </row>
    <row r="2614" spans="8:8">
      <c r="H2614" s="63" t="str">
        <f t="shared" si="40"/>
        <v>_</v>
      </c>
    </row>
    <row r="2615" spans="8:8">
      <c r="H2615" s="63" t="str">
        <f t="shared" si="40"/>
        <v>_</v>
      </c>
    </row>
    <row r="2616" spans="8:8">
      <c r="H2616" s="63" t="str">
        <f t="shared" si="40"/>
        <v>_</v>
      </c>
    </row>
    <row r="2617" spans="8:8">
      <c r="H2617" s="63" t="str">
        <f t="shared" si="40"/>
        <v>_</v>
      </c>
    </row>
    <row r="2618" spans="8:8">
      <c r="H2618" s="63" t="str">
        <f t="shared" si="40"/>
        <v>_</v>
      </c>
    </row>
    <row r="2619" spans="8:8">
      <c r="H2619" s="63" t="str">
        <f t="shared" si="40"/>
        <v>_</v>
      </c>
    </row>
    <row r="2620" spans="8:8">
      <c r="H2620" s="63" t="str">
        <f t="shared" si="40"/>
        <v>_</v>
      </c>
    </row>
    <row r="2621" spans="8:8">
      <c r="H2621" s="63" t="str">
        <f t="shared" si="40"/>
        <v>_</v>
      </c>
    </row>
    <row r="2622" spans="8:8">
      <c r="H2622" s="63" t="str">
        <f t="shared" si="40"/>
        <v>_</v>
      </c>
    </row>
    <row r="2623" spans="8:8">
      <c r="H2623" s="63" t="str">
        <f t="shared" si="40"/>
        <v>_</v>
      </c>
    </row>
    <row r="2624" spans="8:8">
      <c r="H2624" s="63" t="str">
        <f t="shared" si="40"/>
        <v>_</v>
      </c>
    </row>
    <row r="2625" spans="8:8">
      <c r="H2625" s="63" t="str">
        <f t="shared" si="40"/>
        <v>_</v>
      </c>
    </row>
    <row r="2626" spans="8:8">
      <c r="H2626" s="63" t="str">
        <f t="shared" si="40"/>
        <v>_</v>
      </c>
    </row>
    <row r="2627" spans="8:8">
      <c r="H2627" s="63" t="str">
        <f t="shared" ref="H2627:H2690" si="41">IF(OR(MID(A2627,6,10)="NASPP",MID(A2627,6,10)="RASPP"),"RNASPP",IF(OR(MID(A2627,6,10)="NSFAP",MID(A2627,6,10)="RSPOA"),"RNSPOA",IF(OR(A2627="ULGALLOC",A2627="ULSPOOL"),A2627,IF(MID(A2627,6,5)="ANSSP","ASSP1",MID(A2627,6,10)))))&amp;"_"&amp;B2627</f>
        <v>_</v>
      </c>
    </row>
    <row r="2628" spans="8:8">
      <c r="H2628" s="63" t="str">
        <f t="shared" si="41"/>
        <v>_</v>
      </c>
    </row>
    <row r="2629" spans="8:8">
      <c r="H2629" s="63" t="str">
        <f t="shared" si="41"/>
        <v>_</v>
      </c>
    </row>
    <row r="2630" spans="8:8">
      <c r="H2630" s="63" t="str">
        <f t="shared" si="41"/>
        <v>_</v>
      </c>
    </row>
    <row r="2631" spans="8:8">
      <c r="H2631" s="63" t="str">
        <f t="shared" si="41"/>
        <v>_</v>
      </c>
    </row>
    <row r="2632" spans="8:8">
      <c r="H2632" s="63" t="str">
        <f t="shared" si="41"/>
        <v>_</v>
      </c>
    </row>
    <row r="2633" spans="8:8">
      <c r="H2633" s="63" t="str">
        <f t="shared" si="41"/>
        <v>_</v>
      </c>
    </row>
    <row r="2634" spans="8:8">
      <c r="H2634" s="63" t="str">
        <f t="shared" si="41"/>
        <v>_</v>
      </c>
    </row>
    <row r="2635" spans="8:8">
      <c r="H2635" s="63" t="str">
        <f t="shared" si="41"/>
        <v>_</v>
      </c>
    </row>
    <row r="2636" spans="8:8">
      <c r="H2636" s="63" t="str">
        <f t="shared" si="41"/>
        <v>_</v>
      </c>
    </row>
    <row r="2637" spans="8:8">
      <c r="H2637" s="63" t="str">
        <f t="shared" si="41"/>
        <v>_</v>
      </c>
    </row>
    <row r="2638" spans="8:8">
      <c r="H2638" s="63" t="str">
        <f t="shared" si="41"/>
        <v>_</v>
      </c>
    </row>
    <row r="2639" spans="8:8">
      <c r="H2639" s="63" t="str">
        <f t="shared" si="41"/>
        <v>_</v>
      </c>
    </row>
    <row r="2640" spans="8:8">
      <c r="H2640" s="63" t="str">
        <f t="shared" si="41"/>
        <v>_</v>
      </c>
    </row>
    <row r="2641" spans="8:8">
      <c r="H2641" s="63" t="str">
        <f t="shared" si="41"/>
        <v>_</v>
      </c>
    </row>
    <row r="2642" spans="8:8">
      <c r="H2642" s="63" t="str">
        <f t="shared" si="41"/>
        <v>_</v>
      </c>
    </row>
    <row r="2643" spans="8:8">
      <c r="H2643" s="63" t="str">
        <f t="shared" si="41"/>
        <v>_</v>
      </c>
    </row>
    <row r="2644" spans="8:8">
      <c r="H2644" s="63" t="str">
        <f t="shared" si="41"/>
        <v>_</v>
      </c>
    </row>
    <row r="2645" spans="8:8">
      <c r="H2645" s="63" t="str">
        <f t="shared" si="41"/>
        <v>_</v>
      </c>
    </row>
    <row r="2646" spans="8:8">
      <c r="H2646" s="63" t="str">
        <f t="shared" si="41"/>
        <v>_</v>
      </c>
    </row>
    <row r="2647" spans="8:8">
      <c r="H2647" s="63" t="str">
        <f t="shared" si="41"/>
        <v>_</v>
      </c>
    </row>
    <row r="2648" spans="8:8">
      <c r="H2648" s="63" t="str">
        <f t="shared" si="41"/>
        <v>_</v>
      </c>
    </row>
    <row r="2649" spans="8:8">
      <c r="H2649" s="63" t="str">
        <f t="shared" si="41"/>
        <v>_</v>
      </c>
    </row>
    <row r="2650" spans="8:8">
      <c r="H2650" s="63" t="str">
        <f t="shared" si="41"/>
        <v>_</v>
      </c>
    </row>
    <row r="2651" spans="8:8">
      <c r="H2651" s="63" t="str">
        <f t="shared" si="41"/>
        <v>_</v>
      </c>
    </row>
    <row r="2652" spans="8:8">
      <c r="H2652" s="63" t="str">
        <f t="shared" si="41"/>
        <v>_</v>
      </c>
    </row>
    <row r="2653" spans="8:8">
      <c r="H2653" s="63" t="str">
        <f t="shared" si="41"/>
        <v>_</v>
      </c>
    </row>
    <row r="2654" spans="8:8">
      <c r="H2654" s="63" t="str">
        <f t="shared" si="41"/>
        <v>_</v>
      </c>
    </row>
    <row r="2655" spans="8:8">
      <c r="H2655" s="63" t="str">
        <f t="shared" si="41"/>
        <v>_</v>
      </c>
    </row>
    <row r="2656" spans="8:8">
      <c r="H2656" s="63" t="str">
        <f t="shared" si="41"/>
        <v>_</v>
      </c>
    </row>
    <row r="2657" spans="8:8">
      <c r="H2657" s="63" t="str">
        <f t="shared" si="41"/>
        <v>_</v>
      </c>
    </row>
    <row r="2658" spans="8:8">
      <c r="H2658" s="63" t="str">
        <f t="shared" si="41"/>
        <v>_</v>
      </c>
    </row>
    <row r="2659" spans="8:8">
      <c r="H2659" s="63" t="str">
        <f t="shared" si="41"/>
        <v>_</v>
      </c>
    </row>
    <row r="2660" spans="8:8">
      <c r="H2660" s="63" t="str">
        <f t="shared" si="41"/>
        <v>_</v>
      </c>
    </row>
    <row r="2661" spans="8:8">
      <c r="H2661" s="63" t="str">
        <f t="shared" si="41"/>
        <v>_</v>
      </c>
    </row>
    <row r="2662" spans="8:8">
      <c r="H2662" s="63" t="str">
        <f t="shared" si="41"/>
        <v>_</v>
      </c>
    </row>
    <row r="2663" spans="8:8">
      <c r="H2663" s="63" t="str">
        <f t="shared" si="41"/>
        <v>_</v>
      </c>
    </row>
    <row r="2664" spans="8:8">
      <c r="H2664" s="63" t="str">
        <f t="shared" si="41"/>
        <v>_</v>
      </c>
    </row>
    <row r="2665" spans="8:8">
      <c r="H2665" s="63" t="str">
        <f t="shared" si="41"/>
        <v>_</v>
      </c>
    </row>
    <row r="2666" spans="8:8">
      <c r="H2666" s="63" t="str">
        <f t="shared" si="41"/>
        <v>_</v>
      </c>
    </row>
    <row r="2667" spans="8:8">
      <c r="H2667" s="63" t="str">
        <f t="shared" si="41"/>
        <v>_</v>
      </c>
    </row>
    <row r="2668" spans="8:8">
      <c r="H2668" s="63" t="str">
        <f t="shared" si="41"/>
        <v>_</v>
      </c>
    </row>
    <row r="2669" spans="8:8">
      <c r="H2669" s="63" t="str">
        <f t="shared" si="41"/>
        <v>_</v>
      </c>
    </row>
    <row r="2670" spans="8:8">
      <c r="H2670" s="63" t="str">
        <f t="shared" si="41"/>
        <v>_</v>
      </c>
    </row>
    <row r="2671" spans="8:8">
      <c r="H2671" s="63" t="str">
        <f t="shared" si="41"/>
        <v>_</v>
      </c>
    </row>
    <row r="2672" spans="8:8">
      <c r="H2672" s="63" t="str">
        <f t="shared" si="41"/>
        <v>_</v>
      </c>
    </row>
    <row r="2673" spans="8:8">
      <c r="H2673" s="63" t="str">
        <f t="shared" si="41"/>
        <v>_</v>
      </c>
    </row>
    <row r="2674" spans="8:8">
      <c r="H2674" s="63" t="str">
        <f t="shared" si="41"/>
        <v>_</v>
      </c>
    </row>
    <row r="2675" spans="8:8">
      <c r="H2675" s="63" t="str">
        <f t="shared" si="41"/>
        <v>_</v>
      </c>
    </row>
    <row r="2676" spans="8:8">
      <c r="H2676" s="63" t="str">
        <f t="shared" si="41"/>
        <v>_</v>
      </c>
    </row>
    <row r="2677" spans="8:8">
      <c r="H2677" s="63" t="str">
        <f t="shared" si="41"/>
        <v>_</v>
      </c>
    </row>
    <row r="2678" spans="8:8">
      <c r="H2678" s="63" t="str">
        <f t="shared" si="41"/>
        <v>_</v>
      </c>
    </row>
    <row r="2679" spans="8:8">
      <c r="H2679" s="63" t="str">
        <f t="shared" si="41"/>
        <v>_</v>
      </c>
    </row>
    <row r="2680" spans="8:8">
      <c r="H2680" s="63" t="str">
        <f t="shared" si="41"/>
        <v>_</v>
      </c>
    </row>
    <row r="2681" spans="8:8">
      <c r="H2681" s="63" t="str">
        <f t="shared" si="41"/>
        <v>_</v>
      </c>
    </row>
    <row r="2682" spans="8:8">
      <c r="H2682" s="63" t="str">
        <f t="shared" si="41"/>
        <v>_</v>
      </c>
    </row>
    <row r="2683" spans="8:8">
      <c r="H2683" s="63" t="str">
        <f t="shared" si="41"/>
        <v>_</v>
      </c>
    </row>
    <row r="2684" spans="8:8">
      <c r="H2684" s="63" t="str">
        <f t="shared" si="41"/>
        <v>_</v>
      </c>
    </row>
    <row r="2685" spans="8:8">
      <c r="H2685" s="63" t="str">
        <f t="shared" si="41"/>
        <v>_</v>
      </c>
    </row>
    <row r="2686" spans="8:8">
      <c r="H2686" s="63" t="str">
        <f t="shared" si="41"/>
        <v>_</v>
      </c>
    </row>
    <row r="2687" spans="8:8">
      <c r="H2687" s="63" t="str">
        <f t="shared" si="41"/>
        <v>_</v>
      </c>
    </row>
    <row r="2688" spans="8:8">
      <c r="H2688" s="63" t="str">
        <f t="shared" si="41"/>
        <v>_</v>
      </c>
    </row>
    <row r="2689" spans="8:8">
      <c r="H2689" s="63" t="str">
        <f t="shared" si="41"/>
        <v>_</v>
      </c>
    </row>
    <row r="2690" spans="8:8">
      <c r="H2690" s="63" t="str">
        <f t="shared" si="41"/>
        <v>_</v>
      </c>
    </row>
    <row r="2691" spans="8:8">
      <c r="H2691" s="63" t="str">
        <f t="shared" ref="H2691:H2754" si="42">IF(OR(MID(A2691,6,10)="NASPP",MID(A2691,6,10)="RASPP"),"RNASPP",IF(OR(MID(A2691,6,10)="NSFAP",MID(A2691,6,10)="RSPOA"),"RNSPOA",IF(OR(A2691="ULGALLOC",A2691="ULSPOOL"),A2691,IF(MID(A2691,6,5)="ANSSP","ASSP1",MID(A2691,6,10)))))&amp;"_"&amp;B2691</f>
        <v>_</v>
      </c>
    </row>
    <row r="2692" spans="8:8">
      <c r="H2692" s="63" t="str">
        <f t="shared" si="42"/>
        <v>_</v>
      </c>
    </row>
    <row r="2693" spans="8:8">
      <c r="H2693" s="63" t="str">
        <f t="shared" si="42"/>
        <v>_</v>
      </c>
    </row>
    <row r="2694" spans="8:8">
      <c r="H2694" s="63" t="str">
        <f t="shared" si="42"/>
        <v>_</v>
      </c>
    </row>
    <row r="2695" spans="8:8">
      <c r="H2695" s="63" t="str">
        <f t="shared" si="42"/>
        <v>_</v>
      </c>
    </row>
    <row r="2696" spans="8:8">
      <c r="H2696" s="63" t="str">
        <f t="shared" si="42"/>
        <v>_</v>
      </c>
    </row>
    <row r="2697" spans="8:8">
      <c r="H2697" s="63" t="str">
        <f t="shared" si="42"/>
        <v>_</v>
      </c>
    </row>
    <row r="2698" spans="8:8">
      <c r="H2698" s="63" t="str">
        <f t="shared" si="42"/>
        <v>_</v>
      </c>
    </row>
    <row r="2699" spans="8:8">
      <c r="H2699" s="63" t="str">
        <f t="shared" si="42"/>
        <v>_</v>
      </c>
    </row>
    <row r="2700" spans="8:8">
      <c r="H2700" s="63" t="str">
        <f t="shared" si="42"/>
        <v>_</v>
      </c>
    </row>
    <row r="2701" spans="8:8">
      <c r="H2701" s="63" t="str">
        <f t="shared" si="42"/>
        <v>_</v>
      </c>
    </row>
    <row r="2702" spans="8:8">
      <c r="H2702" s="63" t="str">
        <f t="shared" si="42"/>
        <v>_</v>
      </c>
    </row>
    <row r="2703" spans="8:8">
      <c r="H2703" s="63" t="str">
        <f t="shared" si="42"/>
        <v>_</v>
      </c>
    </row>
    <row r="2704" spans="8:8">
      <c r="H2704" s="63" t="str">
        <f t="shared" si="42"/>
        <v>_</v>
      </c>
    </row>
    <row r="2705" spans="8:8">
      <c r="H2705" s="63" t="str">
        <f t="shared" si="42"/>
        <v>_</v>
      </c>
    </row>
    <row r="2706" spans="8:8">
      <c r="H2706" s="63" t="str">
        <f t="shared" si="42"/>
        <v>_</v>
      </c>
    </row>
    <row r="2707" spans="8:8">
      <c r="H2707" s="63" t="str">
        <f t="shared" si="42"/>
        <v>_</v>
      </c>
    </row>
    <row r="2708" spans="8:8">
      <c r="H2708" s="63" t="str">
        <f t="shared" si="42"/>
        <v>_</v>
      </c>
    </row>
    <row r="2709" spans="8:8">
      <c r="H2709" s="63" t="str">
        <f t="shared" si="42"/>
        <v>_</v>
      </c>
    </row>
    <row r="2710" spans="8:8">
      <c r="H2710" s="63" t="str">
        <f t="shared" si="42"/>
        <v>_</v>
      </c>
    </row>
    <row r="2711" spans="8:8">
      <c r="H2711" s="63" t="str">
        <f t="shared" si="42"/>
        <v>_</v>
      </c>
    </row>
    <row r="2712" spans="8:8">
      <c r="H2712" s="63" t="str">
        <f t="shared" si="42"/>
        <v>_</v>
      </c>
    </row>
    <row r="2713" spans="8:8">
      <c r="H2713" s="63" t="str">
        <f t="shared" si="42"/>
        <v>_</v>
      </c>
    </row>
    <row r="2714" spans="8:8">
      <c r="H2714" s="63" t="str">
        <f t="shared" si="42"/>
        <v>_</v>
      </c>
    </row>
    <row r="2715" spans="8:8">
      <c r="H2715" s="63" t="str">
        <f t="shared" si="42"/>
        <v>_</v>
      </c>
    </row>
    <row r="2716" spans="8:8">
      <c r="H2716" s="63" t="str">
        <f t="shared" si="42"/>
        <v>_</v>
      </c>
    </row>
    <row r="2717" spans="8:8">
      <c r="H2717" s="63" t="str">
        <f t="shared" si="42"/>
        <v>_</v>
      </c>
    </row>
    <row r="2718" spans="8:8">
      <c r="H2718" s="63" t="str">
        <f t="shared" si="42"/>
        <v>_</v>
      </c>
    </row>
    <row r="2719" spans="8:8">
      <c r="H2719" s="63" t="str">
        <f t="shared" si="42"/>
        <v>_</v>
      </c>
    </row>
    <row r="2720" spans="8:8">
      <c r="H2720" s="63" t="str">
        <f t="shared" si="42"/>
        <v>_</v>
      </c>
    </row>
    <row r="2721" spans="8:8">
      <c r="H2721" s="63" t="str">
        <f t="shared" si="42"/>
        <v>_</v>
      </c>
    </row>
    <row r="2722" spans="8:8">
      <c r="H2722" s="63" t="str">
        <f t="shared" si="42"/>
        <v>_</v>
      </c>
    </row>
    <row r="2723" spans="8:8">
      <c r="H2723" s="63" t="str">
        <f t="shared" si="42"/>
        <v>_</v>
      </c>
    </row>
    <row r="2724" spans="8:8">
      <c r="H2724" s="63" t="str">
        <f t="shared" si="42"/>
        <v>_</v>
      </c>
    </row>
    <row r="2725" spans="8:8">
      <c r="H2725" s="63" t="str">
        <f t="shared" si="42"/>
        <v>_</v>
      </c>
    </row>
    <row r="2726" spans="8:8">
      <c r="H2726" s="63" t="str">
        <f t="shared" si="42"/>
        <v>_</v>
      </c>
    </row>
    <row r="2727" spans="8:8">
      <c r="H2727" s="63" t="str">
        <f t="shared" si="42"/>
        <v>_</v>
      </c>
    </row>
    <row r="2728" spans="8:8">
      <c r="H2728" s="63" t="str">
        <f t="shared" si="42"/>
        <v>_</v>
      </c>
    </row>
    <row r="2729" spans="8:8">
      <c r="H2729" s="63" t="str">
        <f t="shared" si="42"/>
        <v>_</v>
      </c>
    </row>
    <row r="2730" spans="8:8">
      <c r="H2730" s="63" t="str">
        <f t="shared" si="42"/>
        <v>_</v>
      </c>
    </row>
    <row r="2731" spans="8:8">
      <c r="H2731" s="63" t="str">
        <f t="shared" si="42"/>
        <v>_</v>
      </c>
    </row>
    <row r="2732" spans="8:8">
      <c r="H2732" s="63" t="str">
        <f t="shared" si="42"/>
        <v>_</v>
      </c>
    </row>
    <row r="2733" spans="8:8">
      <c r="H2733" s="63" t="str">
        <f t="shared" si="42"/>
        <v>_</v>
      </c>
    </row>
    <row r="2734" spans="8:8">
      <c r="H2734" s="63" t="str">
        <f t="shared" si="42"/>
        <v>_</v>
      </c>
    </row>
    <row r="2735" spans="8:8">
      <c r="H2735" s="63" t="str">
        <f t="shared" si="42"/>
        <v>_</v>
      </c>
    </row>
    <row r="2736" spans="8:8">
      <c r="H2736" s="63" t="str">
        <f t="shared" si="42"/>
        <v>_</v>
      </c>
    </row>
    <row r="2737" spans="8:8">
      <c r="H2737" s="63" t="str">
        <f t="shared" si="42"/>
        <v>_</v>
      </c>
    </row>
    <row r="2738" spans="8:8">
      <c r="H2738" s="63" t="str">
        <f t="shared" si="42"/>
        <v>_</v>
      </c>
    </row>
    <row r="2739" spans="8:8">
      <c r="H2739" s="63" t="str">
        <f t="shared" si="42"/>
        <v>_</v>
      </c>
    </row>
    <row r="2740" spans="8:8">
      <c r="H2740" s="63" t="str">
        <f t="shared" si="42"/>
        <v>_</v>
      </c>
    </row>
    <row r="2741" spans="8:8">
      <c r="H2741" s="63" t="str">
        <f t="shared" si="42"/>
        <v>_</v>
      </c>
    </row>
    <row r="2742" spans="8:8">
      <c r="H2742" s="63" t="str">
        <f t="shared" si="42"/>
        <v>_</v>
      </c>
    </row>
    <row r="2743" spans="8:8">
      <c r="H2743" s="63" t="str">
        <f t="shared" si="42"/>
        <v>_</v>
      </c>
    </row>
    <row r="2744" spans="8:8">
      <c r="H2744" s="63" t="str">
        <f t="shared" si="42"/>
        <v>_</v>
      </c>
    </row>
    <row r="2745" spans="8:8">
      <c r="H2745" s="63" t="str">
        <f t="shared" si="42"/>
        <v>_</v>
      </c>
    </row>
    <row r="2746" spans="8:8">
      <c r="H2746" s="63" t="str">
        <f t="shared" si="42"/>
        <v>_</v>
      </c>
    </row>
    <row r="2747" spans="8:8">
      <c r="H2747" s="63" t="str">
        <f t="shared" si="42"/>
        <v>_</v>
      </c>
    </row>
    <row r="2748" spans="8:8">
      <c r="H2748" s="63" t="str">
        <f t="shared" si="42"/>
        <v>_</v>
      </c>
    </row>
    <row r="2749" spans="8:8">
      <c r="H2749" s="63" t="str">
        <f t="shared" si="42"/>
        <v>_</v>
      </c>
    </row>
    <row r="2750" spans="8:8">
      <c r="H2750" s="63" t="str">
        <f t="shared" si="42"/>
        <v>_</v>
      </c>
    </row>
    <row r="2751" spans="8:8">
      <c r="H2751" s="63" t="str">
        <f t="shared" si="42"/>
        <v>_</v>
      </c>
    </row>
    <row r="2752" spans="8:8">
      <c r="H2752" s="63" t="str">
        <f t="shared" si="42"/>
        <v>_</v>
      </c>
    </row>
    <row r="2753" spans="8:8">
      <c r="H2753" s="63" t="str">
        <f t="shared" si="42"/>
        <v>_</v>
      </c>
    </row>
    <row r="2754" spans="8:8">
      <c r="H2754" s="63" t="str">
        <f t="shared" si="42"/>
        <v>_</v>
      </c>
    </row>
    <row r="2755" spans="8:8">
      <c r="H2755" s="63" t="str">
        <f t="shared" ref="H2755:H2818" si="43">IF(OR(MID(A2755,6,10)="NASPP",MID(A2755,6,10)="RASPP"),"RNASPP",IF(OR(MID(A2755,6,10)="NSFAP",MID(A2755,6,10)="RSPOA"),"RNSPOA",IF(OR(A2755="ULGALLOC",A2755="ULSPOOL"),A2755,IF(MID(A2755,6,5)="ANSSP","ASSP1",MID(A2755,6,10)))))&amp;"_"&amp;B2755</f>
        <v>_</v>
      </c>
    </row>
    <row r="2756" spans="8:8">
      <c r="H2756" s="63" t="str">
        <f t="shared" si="43"/>
        <v>_</v>
      </c>
    </row>
    <row r="2757" spans="8:8">
      <c r="H2757" s="63" t="str">
        <f t="shared" si="43"/>
        <v>_</v>
      </c>
    </row>
    <row r="2758" spans="8:8">
      <c r="H2758" s="63" t="str">
        <f t="shared" si="43"/>
        <v>_</v>
      </c>
    </row>
    <row r="2759" spans="8:8">
      <c r="H2759" s="63" t="str">
        <f t="shared" si="43"/>
        <v>_</v>
      </c>
    </row>
    <row r="2760" spans="8:8">
      <c r="H2760" s="63" t="str">
        <f t="shared" si="43"/>
        <v>_</v>
      </c>
    </row>
    <row r="2761" spans="8:8">
      <c r="H2761" s="63" t="str">
        <f t="shared" si="43"/>
        <v>_</v>
      </c>
    </row>
    <row r="2762" spans="8:8">
      <c r="H2762" s="63" t="str">
        <f t="shared" si="43"/>
        <v>_</v>
      </c>
    </row>
    <row r="2763" spans="8:8">
      <c r="H2763" s="63" t="str">
        <f t="shared" si="43"/>
        <v>_</v>
      </c>
    </row>
    <row r="2764" spans="8:8">
      <c r="H2764" s="63" t="str">
        <f t="shared" si="43"/>
        <v>_</v>
      </c>
    </row>
    <row r="2765" spans="8:8">
      <c r="H2765" s="63" t="str">
        <f t="shared" si="43"/>
        <v>_</v>
      </c>
    </row>
    <row r="2766" spans="8:8">
      <c r="H2766" s="63" t="str">
        <f t="shared" si="43"/>
        <v>_</v>
      </c>
    </row>
    <row r="2767" spans="8:8">
      <c r="H2767" s="63" t="str">
        <f t="shared" si="43"/>
        <v>_</v>
      </c>
    </row>
    <row r="2768" spans="8:8">
      <c r="H2768" s="63" t="str">
        <f t="shared" si="43"/>
        <v>_</v>
      </c>
    </row>
    <row r="2769" spans="8:8">
      <c r="H2769" s="63" t="str">
        <f t="shared" si="43"/>
        <v>_</v>
      </c>
    </row>
    <row r="2770" spans="8:8">
      <c r="H2770" s="63" t="str">
        <f t="shared" si="43"/>
        <v>_</v>
      </c>
    </row>
    <row r="2771" spans="8:8">
      <c r="H2771" s="63" t="str">
        <f t="shared" si="43"/>
        <v>_</v>
      </c>
    </row>
    <row r="2772" spans="8:8">
      <c r="H2772" s="63" t="str">
        <f t="shared" si="43"/>
        <v>_</v>
      </c>
    </row>
    <row r="2773" spans="8:8">
      <c r="H2773" s="63" t="str">
        <f t="shared" si="43"/>
        <v>_</v>
      </c>
    </row>
    <row r="2774" spans="8:8">
      <c r="H2774" s="63" t="str">
        <f t="shared" si="43"/>
        <v>_</v>
      </c>
    </row>
    <row r="2775" spans="8:8">
      <c r="H2775" s="63" t="str">
        <f t="shared" si="43"/>
        <v>_</v>
      </c>
    </row>
    <row r="2776" spans="8:8">
      <c r="H2776" s="63" t="str">
        <f t="shared" si="43"/>
        <v>_</v>
      </c>
    </row>
    <row r="2777" spans="8:8">
      <c r="H2777" s="63" t="str">
        <f t="shared" si="43"/>
        <v>_</v>
      </c>
    </row>
    <row r="2778" spans="8:8">
      <c r="H2778" s="63" t="str">
        <f t="shared" si="43"/>
        <v>_</v>
      </c>
    </row>
    <row r="2779" spans="8:8">
      <c r="H2779" s="63" t="str">
        <f t="shared" si="43"/>
        <v>_</v>
      </c>
    </row>
    <row r="2780" spans="8:8">
      <c r="H2780" s="63" t="str">
        <f t="shared" si="43"/>
        <v>_</v>
      </c>
    </row>
    <row r="2781" spans="8:8">
      <c r="H2781" s="63" t="str">
        <f t="shared" si="43"/>
        <v>_</v>
      </c>
    </row>
    <row r="2782" spans="8:8">
      <c r="H2782" s="63" t="str">
        <f t="shared" si="43"/>
        <v>_</v>
      </c>
    </row>
    <row r="2783" spans="8:8">
      <c r="H2783" s="63" t="str">
        <f t="shared" si="43"/>
        <v>_</v>
      </c>
    </row>
    <row r="2784" spans="8:8">
      <c r="H2784" s="63" t="str">
        <f t="shared" si="43"/>
        <v>_</v>
      </c>
    </row>
    <row r="2785" spans="8:8">
      <c r="H2785" s="63" t="str">
        <f t="shared" si="43"/>
        <v>_</v>
      </c>
    </row>
    <row r="2786" spans="8:8">
      <c r="H2786" s="63" t="str">
        <f t="shared" si="43"/>
        <v>_</v>
      </c>
    </row>
    <row r="2787" spans="8:8">
      <c r="H2787" s="63" t="str">
        <f t="shared" si="43"/>
        <v>_</v>
      </c>
    </row>
    <row r="2788" spans="8:8">
      <c r="H2788" s="63" t="str">
        <f t="shared" si="43"/>
        <v>_</v>
      </c>
    </row>
    <row r="2789" spans="8:8">
      <c r="H2789" s="63" t="str">
        <f t="shared" si="43"/>
        <v>_</v>
      </c>
    </row>
    <row r="2790" spans="8:8">
      <c r="H2790" s="63" t="str">
        <f t="shared" si="43"/>
        <v>_</v>
      </c>
    </row>
    <row r="2791" spans="8:8">
      <c r="H2791" s="63" t="str">
        <f t="shared" si="43"/>
        <v>_</v>
      </c>
    </row>
    <row r="2792" spans="8:8">
      <c r="H2792" s="63" t="str">
        <f t="shared" si="43"/>
        <v>_</v>
      </c>
    </row>
    <row r="2793" spans="8:8">
      <c r="H2793" s="63" t="str">
        <f t="shared" si="43"/>
        <v>_</v>
      </c>
    </row>
    <row r="2794" spans="8:8">
      <c r="H2794" s="63" t="str">
        <f t="shared" si="43"/>
        <v>_</v>
      </c>
    </row>
    <row r="2795" spans="8:8">
      <c r="H2795" s="63" t="str">
        <f t="shared" si="43"/>
        <v>_</v>
      </c>
    </row>
    <row r="2796" spans="8:8">
      <c r="H2796" s="63" t="str">
        <f t="shared" si="43"/>
        <v>_</v>
      </c>
    </row>
    <row r="2797" spans="8:8">
      <c r="H2797" s="63" t="str">
        <f t="shared" si="43"/>
        <v>_</v>
      </c>
    </row>
    <row r="2798" spans="8:8">
      <c r="H2798" s="63" t="str">
        <f t="shared" si="43"/>
        <v>_</v>
      </c>
    </row>
    <row r="2799" spans="8:8">
      <c r="H2799" s="63" t="str">
        <f t="shared" si="43"/>
        <v>_</v>
      </c>
    </row>
    <row r="2800" spans="8:8">
      <c r="H2800" s="63" t="str">
        <f t="shared" si="43"/>
        <v>_</v>
      </c>
    </row>
    <row r="2801" spans="8:8">
      <c r="H2801" s="63" t="str">
        <f t="shared" si="43"/>
        <v>_</v>
      </c>
    </row>
    <row r="2802" spans="8:8">
      <c r="H2802" s="63" t="str">
        <f t="shared" si="43"/>
        <v>_</v>
      </c>
    </row>
    <row r="2803" spans="8:8">
      <c r="H2803" s="63" t="str">
        <f t="shared" si="43"/>
        <v>_</v>
      </c>
    </row>
    <row r="2804" spans="8:8">
      <c r="H2804" s="63" t="str">
        <f t="shared" si="43"/>
        <v>_</v>
      </c>
    </row>
    <row r="2805" spans="8:8">
      <c r="H2805" s="63" t="str">
        <f t="shared" si="43"/>
        <v>_</v>
      </c>
    </row>
    <row r="2806" spans="8:8">
      <c r="H2806" s="63" t="str">
        <f t="shared" si="43"/>
        <v>_</v>
      </c>
    </row>
    <row r="2807" spans="8:8">
      <c r="H2807" s="63" t="str">
        <f t="shared" si="43"/>
        <v>_</v>
      </c>
    </row>
    <row r="2808" spans="8:8">
      <c r="H2808" s="63" t="str">
        <f t="shared" si="43"/>
        <v>_</v>
      </c>
    </row>
    <row r="2809" spans="8:8">
      <c r="H2809" s="63" t="str">
        <f t="shared" si="43"/>
        <v>_</v>
      </c>
    </row>
    <row r="2810" spans="8:8">
      <c r="H2810" s="63" t="str">
        <f t="shared" si="43"/>
        <v>_</v>
      </c>
    </row>
    <row r="2811" spans="8:8">
      <c r="H2811" s="63" t="str">
        <f t="shared" si="43"/>
        <v>_</v>
      </c>
    </row>
    <row r="2812" spans="8:8">
      <c r="H2812" s="63" t="str">
        <f t="shared" si="43"/>
        <v>_</v>
      </c>
    </row>
    <row r="2813" spans="8:8">
      <c r="H2813" s="63" t="str">
        <f t="shared" si="43"/>
        <v>_</v>
      </c>
    </row>
    <row r="2814" spans="8:8">
      <c r="H2814" s="63" t="str">
        <f t="shared" si="43"/>
        <v>_</v>
      </c>
    </row>
    <row r="2815" spans="8:8">
      <c r="H2815" s="63" t="str">
        <f t="shared" si="43"/>
        <v>_</v>
      </c>
    </row>
    <row r="2816" spans="8:8">
      <c r="H2816" s="63" t="str">
        <f t="shared" si="43"/>
        <v>_</v>
      </c>
    </row>
    <row r="2817" spans="8:8">
      <c r="H2817" s="63" t="str">
        <f t="shared" si="43"/>
        <v>_</v>
      </c>
    </row>
    <row r="2818" spans="8:8">
      <c r="H2818" s="63" t="str">
        <f t="shared" si="43"/>
        <v>_</v>
      </c>
    </row>
    <row r="2819" spans="8:8">
      <c r="H2819" s="63" t="str">
        <f t="shared" ref="H2819:H2882" si="44">IF(OR(MID(A2819,6,10)="NASPP",MID(A2819,6,10)="RASPP"),"RNASPP",IF(OR(MID(A2819,6,10)="NSFAP",MID(A2819,6,10)="RSPOA"),"RNSPOA",IF(OR(A2819="ULGALLOC",A2819="ULSPOOL"),A2819,IF(MID(A2819,6,5)="ANSSP","ASSP1",MID(A2819,6,10)))))&amp;"_"&amp;B2819</f>
        <v>_</v>
      </c>
    </row>
    <row r="2820" spans="8:8">
      <c r="H2820" s="63" t="str">
        <f t="shared" si="44"/>
        <v>_</v>
      </c>
    </row>
    <row r="2821" spans="8:8">
      <c r="H2821" s="63" t="str">
        <f t="shared" si="44"/>
        <v>_</v>
      </c>
    </row>
    <row r="2822" spans="8:8">
      <c r="H2822" s="63" t="str">
        <f t="shared" si="44"/>
        <v>_</v>
      </c>
    </row>
    <row r="2823" spans="8:8">
      <c r="H2823" s="63" t="str">
        <f t="shared" si="44"/>
        <v>_</v>
      </c>
    </row>
    <row r="2824" spans="8:8">
      <c r="H2824" s="63" t="str">
        <f t="shared" si="44"/>
        <v>_</v>
      </c>
    </row>
    <row r="2825" spans="8:8">
      <c r="H2825" s="63" t="str">
        <f t="shared" si="44"/>
        <v>_</v>
      </c>
    </row>
    <row r="2826" spans="8:8">
      <c r="H2826" s="63" t="str">
        <f t="shared" si="44"/>
        <v>_</v>
      </c>
    </row>
    <row r="2827" spans="8:8">
      <c r="H2827" s="63" t="str">
        <f t="shared" si="44"/>
        <v>_</v>
      </c>
    </row>
    <row r="2828" spans="8:8">
      <c r="H2828" s="63" t="str">
        <f t="shared" si="44"/>
        <v>_</v>
      </c>
    </row>
    <row r="2829" spans="8:8">
      <c r="H2829" s="63" t="str">
        <f t="shared" si="44"/>
        <v>_</v>
      </c>
    </row>
    <row r="2830" spans="8:8">
      <c r="H2830" s="63" t="str">
        <f t="shared" si="44"/>
        <v>_</v>
      </c>
    </row>
    <row r="2831" spans="8:8">
      <c r="H2831" s="63" t="str">
        <f t="shared" si="44"/>
        <v>_</v>
      </c>
    </row>
    <row r="2832" spans="8:8">
      <c r="H2832" s="63" t="str">
        <f t="shared" si="44"/>
        <v>_</v>
      </c>
    </row>
    <row r="2833" spans="8:8">
      <c r="H2833" s="63" t="str">
        <f t="shared" si="44"/>
        <v>_</v>
      </c>
    </row>
    <row r="2834" spans="8:8">
      <c r="H2834" s="63" t="str">
        <f t="shared" si="44"/>
        <v>_</v>
      </c>
    </row>
    <row r="2835" spans="8:8">
      <c r="H2835" s="63" t="str">
        <f t="shared" si="44"/>
        <v>_</v>
      </c>
    </row>
    <row r="2836" spans="8:8">
      <c r="H2836" s="63" t="str">
        <f t="shared" si="44"/>
        <v>_</v>
      </c>
    </row>
    <row r="2837" spans="8:8">
      <c r="H2837" s="63" t="str">
        <f t="shared" si="44"/>
        <v>_</v>
      </c>
    </row>
    <row r="2838" spans="8:8">
      <c r="H2838" s="63" t="str">
        <f t="shared" si="44"/>
        <v>_</v>
      </c>
    </row>
    <row r="2839" spans="8:8">
      <c r="H2839" s="63" t="str">
        <f t="shared" si="44"/>
        <v>_</v>
      </c>
    </row>
    <row r="2840" spans="8:8">
      <c r="H2840" s="63" t="str">
        <f t="shared" si="44"/>
        <v>_</v>
      </c>
    </row>
    <row r="2841" spans="8:8">
      <c r="H2841" s="63" t="str">
        <f t="shared" si="44"/>
        <v>_</v>
      </c>
    </row>
    <row r="2842" spans="8:8">
      <c r="H2842" s="63" t="str">
        <f t="shared" si="44"/>
        <v>_</v>
      </c>
    </row>
    <row r="2843" spans="8:8">
      <c r="H2843" s="63" t="str">
        <f t="shared" si="44"/>
        <v>_</v>
      </c>
    </row>
    <row r="2844" spans="8:8">
      <c r="H2844" s="63" t="str">
        <f t="shared" si="44"/>
        <v>_</v>
      </c>
    </row>
    <row r="2845" spans="8:8">
      <c r="H2845" s="63" t="str">
        <f t="shared" si="44"/>
        <v>_</v>
      </c>
    </row>
    <row r="2846" spans="8:8">
      <c r="H2846" s="63" t="str">
        <f t="shared" si="44"/>
        <v>_</v>
      </c>
    </row>
    <row r="2847" spans="8:8">
      <c r="H2847" s="63" t="str">
        <f t="shared" si="44"/>
        <v>_</v>
      </c>
    </row>
    <row r="2848" spans="8:8">
      <c r="H2848" s="63" t="str">
        <f t="shared" si="44"/>
        <v>_</v>
      </c>
    </row>
    <row r="2849" spans="8:8">
      <c r="H2849" s="63" t="str">
        <f t="shared" si="44"/>
        <v>_</v>
      </c>
    </row>
    <row r="2850" spans="8:8">
      <c r="H2850" s="63" t="str">
        <f t="shared" si="44"/>
        <v>_</v>
      </c>
    </row>
    <row r="2851" spans="8:8">
      <c r="H2851" s="63" t="str">
        <f t="shared" si="44"/>
        <v>_</v>
      </c>
    </row>
    <row r="2852" spans="8:8">
      <c r="H2852" s="63" t="str">
        <f t="shared" si="44"/>
        <v>_</v>
      </c>
    </row>
    <row r="2853" spans="8:8">
      <c r="H2853" s="63" t="str">
        <f t="shared" si="44"/>
        <v>_</v>
      </c>
    </row>
    <row r="2854" spans="8:8">
      <c r="H2854" s="63" t="str">
        <f t="shared" si="44"/>
        <v>_</v>
      </c>
    </row>
    <row r="2855" spans="8:8">
      <c r="H2855" s="63" t="str">
        <f t="shared" si="44"/>
        <v>_</v>
      </c>
    </row>
    <row r="2856" spans="8:8">
      <c r="H2856" s="63" t="str">
        <f t="shared" si="44"/>
        <v>_</v>
      </c>
    </row>
    <row r="2857" spans="8:8">
      <c r="H2857" s="63" t="str">
        <f t="shared" si="44"/>
        <v>_</v>
      </c>
    </row>
    <row r="2858" spans="8:8">
      <c r="H2858" s="63" t="str">
        <f t="shared" si="44"/>
        <v>_</v>
      </c>
    </row>
    <row r="2859" spans="8:8">
      <c r="H2859" s="63" t="str">
        <f t="shared" si="44"/>
        <v>_</v>
      </c>
    </row>
    <row r="2860" spans="8:8">
      <c r="H2860" s="63" t="str">
        <f t="shared" si="44"/>
        <v>_</v>
      </c>
    </row>
    <row r="2861" spans="8:8">
      <c r="H2861" s="63" t="str">
        <f t="shared" si="44"/>
        <v>_</v>
      </c>
    </row>
    <row r="2862" spans="8:8">
      <c r="H2862" s="63" t="str">
        <f t="shared" si="44"/>
        <v>_</v>
      </c>
    </row>
    <row r="2863" spans="8:8">
      <c r="H2863" s="63" t="str">
        <f t="shared" si="44"/>
        <v>_</v>
      </c>
    </row>
    <row r="2864" spans="8:8">
      <c r="H2864" s="63" t="str">
        <f t="shared" si="44"/>
        <v>_</v>
      </c>
    </row>
    <row r="2865" spans="8:8">
      <c r="H2865" s="63" t="str">
        <f t="shared" si="44"/>
        <v>_</v>
      </c>
    </row>
    <row r="2866" spans="8:8">
      <c r="H2866" s="63" t="str">
        <f t="shared" si="44"/>
        <v>_</v>
      </c>
    </row>
    <row r="2867" spans="8:8">
      <c r="H2867" s="63" t="str">
        <f t="shared" si="44"/>
        <v>_</v>
      </c>
    </row>
    <row r="2868" spans="8:8">
      <c r="H2868" s="63" t="str">
        <f t="shared" si="44"/>
        <v>_</v>
      </c>
    </row>
    <row r="2869" spans="8:8">
      <c r="H2869" s="63" t="str">
        <f t="shared" si="44"/>
        <v>_</v>
      </c>
    </row>
    <row r="2870" spans="8:8">
      <c r="H2870" s="63" t="str">
        <f t="shared" si="44"/>
        <v>_</v>
      </c>
    </row>
    <row r="2871" spans="8:8">
      <c r="H2871" s="63" t="str">
        <f t="shared" si="44"/>
        <v>_</v>
      </c>
    </row>
    <row r="2872" spans="8:8">
      <c r="H2872" s="63" t="str">
        <f t="shared" si="44"/>
        <v>_</v>
      </c>
    </row>
    <row r="2873" spans="8:8">
      <c r="H2873" s="63" t="str">
        <f t="shared" si="44"/>
        <v>_</v>
      </c>
    </row>
    <row r="2874" spans="8:8">
      <c r="H2874" s="63" t="str">
        <f t="shared" si="44"/>
        <v>_</v>
      </c>
    </row>
    <row r="2875" spans="8:8">
      <c r="H2875" s="63" t="str">
        <f t="shared" si="44"/>
        <v>_</v>
      </c>
    </row>
    <row r="2876" spans="8:8">
      <c r="H2876" s="63" t="str">
        <f t="shared" si="44"/>
        <v>_</v>
      </c>
    </row>
    <row r="2877" spans="8:8">
      <c r="H2877" s="63" t="str">
        <f t="shared" si="44"/>
        <v>_</v>
      </c>
    </row>
    <row r="2878" spans="8:8">
      <c r="H2878" s="63" t="str">
        <f t="shared" si="44"/>
        <v>_</v>
      </c>
    </row>
    <row r="2879" spans="8:8">
      <c r="H2879" s="63" t="str">
        <f t="shared" si="44"/>
        <v>_</v>
      </c>
    </row>
    <row r="2880" spans="8:8">
      <c r="H2880" s="63" t="str">
        <f t="shared" si="44"/>
        <v>_</v>
      </c>
    </row>
    <row r="2881" spans="8:8">
      <c r="H2881" s="63" t="str">
        <f t="shared" si="44"/>
        <v>_</v>
      </c>
    </row>
    <row r="2882" spans="8:8">
      <c r="H2882" s="63" t="str">
        <f t="shared" si="44"/>
        <v>_</v>
      </c>
    </row>
    <row r="2883" spans="8:8">
      <c r="H2883" s="63" t="str">
        <f t="shared" ref="H2883:H2946" si="45">IF(OR(MID(A2883,6,10)="NASPP",MID(A2883,6,10)="RASPP"),"RNASPP",IF(OR(MID(A2883,6,10)="NSFAP",MID(A2883,6,10)="RSPOA"),"RNSPOA",IF(OR(A2883="ULGALLOC",A2883="ULSPOOL"),A2883,IF(MID(A2883,6,5)="ANSSP","ASSP1",MID(A2883,6,10)))))&amp;"_"&amp;B2883</f>
        <v>_</v>
      </c>
    </row>
    <row r="2884" spans="8:8">
      <c r="H2884" s="63" t="str">
        <f t="shared" si="45"/>
        <v>_</v>
      </c>
    </row>
    <row r="2885" spans="8:8">
      <c r="H2885" s="63" t="str">
        <f t="shared" si="45"/>
        <v>_</v>
      </c>
    </row>
    <row r="2886" spans="8:8">
      <c r="H2886" s="63" t="str">
        <f t="shared" si="45"/>
        <v>_</v>
      </c>
    </row>
    <row r="2887" spans="8:8">
      <c r="H2887" s="63" t="str">
        <f t="shared" si="45"/>
        <v>_</v>
      </c>
    </row>
    <row r="2888" spans="8:8">
      <c r="H2888" s="63" t="str">
        <f t="shared" si="45"/>
        <v>_</v>
      </c>
    </row>
    <row r="2889" spans="8:8">
      <c r="H2889" s="63" t="str">
        <f t="shared" si="45"/>
        <v>_</v>
      </c>
    </row>
    <row r="2890" spans="8:8">
      <c r="H2890" s="63" t="str">
        <f t="shared" si="45"/>
        <v>_</v>
      </c>
    </row>
    <row r="2891" spans="8:8">
      <c r="H2891" s="63" t="str">
        <f t="shared" si="45"/>
        <v>_</v>
      </c>
    </row>
    <row r="2892" spans="8:8">
      <c r="H2892" s="63" t="str">
        <f t="shared" si="45"/>
        <v>_</v>
      </c>
    </row>
    <row r="2893" spans="8:8">
      <c r="H2893" s="63" t="str">
        <f t="shared" si="45"/>
        <v>_</v>
      </c>
    </row>
    <row r="2894" spans="8:8">
      <c r="H2894" s="63" t="str">
        <f t="shared" si="45"/>
        <v>_</v>
      </c>
    </row>
    <row r="2895" spans="8:8">
      <c r="H2895" s="63" t="str">
        <f t="shared" si="45"/>
        <v>_</v>
      </c>
    </row>
    <row r="2896" spans="8:8">
      <c r="H2896" s="63" t="str">
        <f t="shared" si="45"/>
        <v>_</v>
      </c>
    </row>
    <row r="2897" spans="8:8">
      <c r="H2897" s="63" t="str">
        <f t="shared" si="45"/>
        <v>_</v>
      </c>
    </row>
    <row r="2898" spans="8:8">
      <c r="H2898" s="63" t="str">
        <f t="shared" si="45"/>
        <v>_</v>
      </c>
    </row>
    <row r="2899" spans="8:8">
      <c r="H2899" s="63" t="str">
        <f t="shared" si="45"/>
        <v>_</v>
      </c>
    </row>
    <row r="2900" spans="8:8">
      <c r="H2900" s="63" t="str">
        <f t="shared" si="45"/>
        <v>_</v>
      </c>
    </row>
    <row r="2901" spans="8:8">
      <c r="H2901" s="63" t="str">
        <f t="shared" si="45"/>
        <v>_</v>
      </c>
    </row>
    <row r="2902" spans="8:8">
      <c r="H2902" s="63" t="str">
        <f t="shared" si="45"/>
        <v>_</v>
      </c>
    </row>
    <row r="2903" spans="8:8">
      <c r="H2903" s="63" t="str">
        <f t="shared" si="45"/>
        <v>_</v>
      </c>
    </row>
    <row r="2904" spans="8:8">
      <c r="H2904" s="63" t="str">
        <f t="shared" si="45"/>
        <v>_</v>
      </c>
    </row>
    <row r="2905" spans="8:8">
      <c r="H2905" s="63" t="str">
        <f t="shared" si="45"/>
        <v>_</v>
      </c>
    </row>
    <row r="2906" spans="8:8">
      <c r="H2906" s="63" t="str">
        <f t="shared" si="45"/>
        <v>_</v>
      </c>
    </row>
    <row r="2907" spans="8:8">
      <c r="H2907" s="63" t="str">
        <f t="shared" si="45"/>
        <v>_</v>
      </c>
    </row>
    <row r="2908" spans="8:8">
      <c r="H2908" s="63" t="str">
        <f t="shared" si="45"/>
        <v>_</v>
      </c>
    </row>
    <row r="2909" spans="8:8">
      <c r="H2909" s="63" t="str">
        <f t="shared" si="45"/>
        <v>_</v>
      </c>
    </row>
    <row r="2910" spans="8:8">
      <c r="H2910" s="63" t="str">
        <f t="shared" si="45"/>
        <v>_</v>
      </c>
    </row>
    <row r="2911" spans="8:8">
      <c r="H2911" s="63" t="str">
        <f t="shared" si="45"/>
        <v>_</v>
      </c>
    </row>
    <row r="2912" spans="8:8">
      <c r="H2912" s="63" t="str">
        <f t="shared" si="45"/>
        <v>_</v>
      </c>
    </row>
    <row r="2913" spans="8:8">
      <c r="H2913" s="63" t="str">
        <f t="shared" si="45"/>
        <v>_</v>
      </c>
    </row>
    <row r="2914" spans="8:8">
      <c r="H2914" s="63" t="str">
        <f t="shared" si="45"/>
        <v>_</v>
      </c>
    </row>
    <row r="2915" spans="8:8">
      <c r="H2915" s="63" t="str">
        <f t="shared" si="45"/>
        <v>_</v>
      </c>
    </row>
    <row r="2916" spans="8:8">
      <c r="H2916" s="63" t="str">
        <f t="shared" si="45"/>
        <v>_</v>
      </c>
    </row>
    <row r="2917" spans="8:8">
      <c r="H2917" s="63" t="str">
        <f t="shared" si="45"/>
        <v>_</v>
      </c>
    </row>
    <row r="2918" spans="8:8">
      <c r="H2918" s="63" t="str">
        <f t="shared" si="45"/>
        <v>_</v>
      </c>
    </row>
    <row r="2919" spans="8:8">
      <c r="H2919" s="63" t="str">
        <f t="shared" si="45"/>
        <v>_</v>
      </c>
    </row>
    <row r="2920" spans="8:8">
      <c r="H2920" s="63" t="str">
        <f t="shared" si="45"/>
        <v>_</v>
      </c>
    </row>
    <row r="2921" spans="8:8">
      <c r="H2921" s="63" t="str">
        <f t="shared" si="45"/>
        <v>_</v>
      </c>
    </row>
    <row r="2922" spans="8:8">
      <c r="H2922" s="63" t="str">
        <f t="shared" si="45"/>
        <v>_</v>
      </c>
    </row>
    <row r="2923" spans="8:8">
      <c r="H2923" s="63" t="str">
        <f t="shared" si="45"/>
        <v>_</v>
      </c>
    </row>
    <row r="2924" spans="8:8">
      <c r="H2924" s="63" t="str">
        <f t="shared" si="45"/>
        <v>_</v>
      </c>
    </row>
    <row r="2925" spans="8:8">
      <c r="H2925" s="63" t="str">
        <f t="shared" si="45"/>
        <v>_</v>
      </c>
    </row>
    <row r="2926" spans="8:8">
      <c r="H2926" s="63" t="str">
        <f t="shared" si="45"/>
        <v>_</v>
      </c>
    </row>
    <row r="2927" spans="8:8">
      <c r="H2927" s="63" t="str">
        <f t="shared" si="45"/>
        <v>_</v>
      </c>
    </row>
    <row r="2928" spans="8:8">
      <c r="H2928" s="63" t="str">
        <f t="shared" si="45"/>
        <v>_</v>
      </c>
    </row>
    <row r="2929" spans="8:8">
      <c r="H2929" s="63" t="str">
        <f t="shared" si="45"/>
        <v>_</v>
      </c>
    </row>
    <row r="2930" spans="8:8">
      <c r="H2930" s="63" t="str">
        <f t="shared" si="45"/>
        <v>_</v>
      </c>
    </row>
    <row r="2931" spans="8:8">
      <c r="H2931" s="63" t="str">
        <f t="shared" si="45"/>
        <v>_</v>
      </c>
    </row>
    <row r="2932" spans="8:8">
      <c r="H2932" s="63" t="str">
        <f t="shared" si="45"/>
        <v>_</v>
      </c>
    </row>
    <row r="2933" spans="8:8">
      <c r="H2933" s="63" t="str">
        <f t="shared" si="45"/>
        <v>_</v>
      </c>
    </row>
    <row r="2934" spans="8:8">
      <c r="H2934" s="63" t="str">
        <f t="shared" si="45"/>
        <v>_</v>
      </c>
    </row>
    <row r="2935" spans="8:8">
      <c r="H2935" s="63" t="str">
        <f t="shared" si="45"/>
        <v>_</v>
      </c>
    </row>
    <row r="2936" spans="8:8">
      <c r="H2936" s="63" t="str">
        <f t="shared" si="45"/>
        <v>_</v>
      </c>
    </row>
    <row r="2937" spans="8:8">
      <c r="H2937" s="63" t="str">
        <f t="shared" si="45"/>
        <v>_</v>
      </c>
    </row>
    <row r="2938" spans="8:8">
      <c r="H2938" s="63" t="str">
        <f t="shared" si="45"/>
        <v>_</v>
      </c>
    </row>
    <row r="2939" spans="8:8">
      <c r="H2939" s="63" t="str">
        <f t="shared" si="45"/>
        <v>_</v>
      </c>
    </row>
    <row r="2940" spans="8:8">
      <c r="H2940" s="63" t="str">
        <f t="shared" si="45"/>
        <v>_</v>
      </c>
    </row>
    <row r="2941" spans="8:8">
      <c r="H2941" s="63" t="str">
        <f t="shared" si="45"/>
        <v>_</v>
      </c>
    </row>
    <row r="2942" spans="8:8">
      <c r="H2942" s="63" t="str">
        <f t="shared" si="45"/>
        <v>_</v>
      </c>
    </row>
    <row r="2943" spans="8:8">
      <c r="H2943" s="63" t="str">
        <f t="shared" si="45"/>
        <v>_</v>
      </c>
    </row>
    <row r="2944" spans="8:8">
      <c r="H2944" s="63" t="str">
        <f t="shared" si="45"/>
        <v>_</v>
      </c>
    </row>
    <row r="2945" spans="8:8">
      <c r="H2945" s="63" t="str">
        <f t="shared" si="45"/>
        <v>_</v>
      </c>
    </row>
    <row r="2946" spans="8:8">
      <c r="H2946" s="63" t="str">
        <f t="shared" si="45"/>
        <v>_</v>
      </c>
    </row>
    <row r="2947" spans="8:8">
      <c r="H2947" s="63" t="str">
        <f t="shared" ref="H2947:H3010" si="46">IF(OR(MID(A2947,6,10)="NASPP",MID(A2947,6,10)="RASPP"),"RNASPP",IF(OR(MID(A2947,6,10)="NSFAP",MID(A2947,6,10)="RSPOA"),"RNSPOA",IF(OR(A2947="ULGALLOC",A2947="ULSPOOL"),A2947,IF(MID(A2947,6,5)="ANSSP","ASSP1",MID(A2947,6,10)))))&amp;"_"&amp;B2947</f>
        <v>_</v>
      </c>
    </row>
    <row r="2948" spans="8:8">
      <c r="H2948" s="63" t="str">
        <f t="shared" si="46"/>
        <v>_</v>
      </c>
    </row>
    <row r="2949" spans="8:8">
      <c r="H2949" s="63" t="str">
        <f t="shared" si="46"/>
        <v>_</v>
      </c>
    </row>
    <row r="2950" spans="8:8">
      <c r="H2950" s="63" t="str">
        <f t="shared" si="46"/>
        <v>_</v>
      </c>
    </row>
    <row r="2951" spans="8:8">
      <c r="H2951" s="63" t="str">
        <f t="shared" si="46"/>
        <v>_</v>
      </c>
    </row>
    <row r="2952" spans="8:8">
      <c r="H2952" s="63" t="str">
        <f t="shared" si="46"/>
        <v>_</v>
      </c>
    </row>
    <row r="2953" spans="8:8">
      <c r="H2953" s="63" t="str">
        <f t="shared" si="46"/>
        <v>_</v>
      </c>
    </row>
    <row r="2954" spans="8:8">
      <c r="H2954" s="63" t="str">
        <f t="shared" si="46"/>
        <v>_</v>
      </c>
    </row>
    <row r="2955" spans="8:8">
      <c r="H2955" s="63" t="str">
        <f t="shared" si="46"/>
        <v>_</v>
      </c>
    </row>
    <row r="2956" spans="8:8">
      <c r="H2956" s="63" t="str">
        <f t="shared" si="46"/>
        <v>_</v>
      </c>
    </row>
    <row r="2957" spans="8:8">
      <c r="H2957" s="63" t="str">
        <f t="shared" si="46"/>
        <v>_</v>
      </c>
    </row>
    <row r="2958" spans="8:8">
      <c r="H2958" s="63" t="str">
        <f t="shared" si="46"/>
        <v>_</v>
      </c>
    </row>
    <row r="2959" spans="8:8">
      <c r="H2959" s="63" t="str">
        <f t="shared" si="46"/>
        <v>_</v>
      </c>
    </row>
    <row r="2960" spans="8:8">
      <c r="H2960" s="63" t="str">
        <f t="shared" si="46"/>
        <v>_</v>
      </c>
    </row>
    <row r="2961" spans="8:8">
      <c r="H2961" s="63" t="str">
        <f t="shared" si="46"/>
        <v>_</v>
      </c>
    </row>
    <row r="2962" spans="8:8">
      <c r="H2962" s="63" t="str">
        <f t="shared" si="46"/>
        <v>_</v>
      </c>
    </row>
    <row r="2963" spans="8:8">
      <c r="H2963" s="63" t="str">
        <f t="shared" si="46"/>
        <v>_</v>
      </c>
    </row>
    <row r="2964" spans="8:8">
      <c r="H2964" s="63" t="str">
        <f t="shared" si="46"/>
        <v>_</v>
      </c>
    </row>
    <row r="2965" spans="8:8">
      <c r="H2965" s="63" t="str">
        <f t="shared" si="46"/>
        <v>_</v>
      </c>
    </row>
    <row r="2966" spans="8:8">
      <c r="H2966" s="63" t="str">
        <f t="shared" si="46"/>
        <v>_</v>
      </c>
    </row>
    <row r="2967" spans="8:8">
      <c r="H2967" s="63" t="str">
        <f t="shared" si="46"/>
        <v>_</v>
      </c>
    </row>
    <row r="2968" spans="8:8">
      <c r="H2968" s="63" t="str">
        <f t="shared" si="46"/>
        <v>_</v>
      </c>
    </row>
    <row r="2969" spans="8:8">
      <c r="H2969" s="63" t="str">
        <f t="shared" si="46"/>
        <v>_</v>
      </c>
    </row>
    <row r="2970" spans="8:8">
      <c r="H2970" s="63" t="str">
        <f t="shared" si="46"/>
        <v>_</v>
      </c>
    </row>
    <row r="2971" spans="8:8">
      <c r="H2971" s="63" t="str">
        <f t="shared" si="46"/>
        <v>_</v>
      </c>
    </row>
    <row r="2972" spans="8:8">
      <c r="H2972" s="63" t="str">
        <f t="shared" si="46"/>
        <v>_</v>
      </c>
    </row>
    <row r="2973" spans="8:8">
      <c r="H2973" s="63" t="str">
        <f t="shared" si="46"/>
        <v>_</v>
      </c>
    </row>
    <row r="2974" spans="8:8">
      <c r="H2974" s="63" t="str">
        <f t="shared" si="46"/>
        <v>_</v>
      </c>
    </row>
    <row r="2975" spans="8:8">
      <c r="H2975" s="63" t="str">
        <f t="shared" si="46"/>
        <v>_</v>
      </c>
    </row>
    <row r="2976" spans="8:8">
      <c r="H2976" s="63" t="str">
        <f t="shared" si="46"/>
        <v>_</v>
      </c>
    </row>
    <row r="2977" spans="8:8">
      <c r="H2977" s="63" t="str">
        <f t="shared" si="46"/>
        <v>_</v>
      </c>
    </row>
    <row r="2978" spans="8:8">
      <c r="H2978" s="63" t="str">
        <f t="shared" si="46"/>
        <v>_</v>
      </c>
    </row>
    <row r="2979" spans="8:8">
      <c r="H2979" s="63" t="str">
        <f t="shared" si="46"/>
        <v>_</v>
      </c>
    </row>
    <row r="2980" spans="8:8">
      <c r="H2980" s="63" t="str">
        <f t="shared" si="46"/>
        <v>_</v>
      </c>
    </row>
    <row r="2981" spans="8:8">
      <c r="H2981" s="63" t="str">
        <f t="shared" si="46"/>
        <v>_</v>
      </c>
    </row>
    <row r="2982" spans="8:8">
      <c r="H2982" s="63" t="str">
        <f t="shared" si="46"/>
        <v>_</v>
      </c>
    </row>
    <row r="2983" spans="8:8">
      <c r="H2983" s="63" t="str">
        <f t="shared" si="46"/>
        <v>_</v>
      </c>
    </row>
    <row r="2984" spans="8:8">
      <c r="H2984" s="63" t="str">
        <f t="shared" si="46"/>
        <v>_</v>
      </c>
    </row>
    <row r="2985" spans="8:8">
      <c r="H2985" s="63" t="str">
        <f t="shared" si="46"/>
        <v>_</v>
      </c>
    </row>
    <row r="2986" spans="8:8">
      <c r="H2986" s="63" t="str">
        <f t="shared" si="46"/>
        <v>_</v>
      </c>
    </row>
    <row r="2987" spans="8:8">
      <c r="H2987" s="63" t="str">
        <f t="shared" si="46"/>
        <v>_</v>
      </c>
    </row>
    <row r="2988" spans="8:8">
      <c r="H2988" s="63" t="str">
        <f t="shared" si="46"/>
        <v>_</v>
      </c>
    </row>
    <row r="2989" spans="8:8">
      <c r="H2989" s="63" t="str">
        <f t="shared" si="46"/>
        <v>_</v>
      </c>
    </row>
    <row r="2990" spans="8:8">
      <c r="H2990" s="63" t="str">
        <f t="shared" si="46"/>
        <v>_</v>
      </c>
    </row>
    <row r="2991" spans="8:8">
      <c r="H2991" s="63" t="str">
        <f t="shared" si="46"/>
        <v>_</v>
      </c>
    </row>
    <row r="2992" spans="8:8">
      <c r="H2992" s="63" t="str">
        <f t="shared" si="46"/>
        <v>_</v>
      </c>
    </row>
    <row r="2993" spans="8:8">
      <c r="H2993" s="63" t="str">
        <f t="shared" si="46"/>
        <v>_</v>
      </c>
    </row>
    <row r="2994" spans="8:8">
      <c r="H2994" s="63" t="str">
        <f t="shared" si="46"/>
        <v>_</v>
      </c>
    </row>
    <row r="2995" spans="8:8">
      <c r="H2995" s="63" t="str">
        <f t="shared" si="46"/>
        <v>_</v>
      </c>
    </row>
    <row r="2996" spans="8:8">
      <c r="H2996" s="63" t="str">
        <f t="shared" si="46"/>
        <v>_</v>
      </c>
    </row>
    <row r="2997" spans="8:8">
      <c r="H2997" s="63" t="str">
        <f t="shared" si="46"/>
        <v>_</v>
      </c>
    </row>
    <row r="2998" spans="8:8">
      <c r="H2998" s="63" t="str">
        <f t="shared" si="46"/>
        <v>_</v>
      </c>
    </row>
    <row r="2999" spans="8:8">
      <c r="H2999" s="63" t="str">
        <f t="shared" si="46"/>
        <v>_</v>
      </c>
    </row>
    <row r="3000" spans="8:8">
      <c r="H3000" s="63" t="str">
        <f t="shared" si="46"/>
        <v>_</v>
      </c>
    </row>
    <row r="3001" spans="8:8">
      <c r="H3001" s="63" t="str">
        <f t="shared" si="46"/>
        <v>_</v>
      </c>
    </row>
    <row r="3002" spans="8:8">
      <c r="H3002" s="63" t="str">
        <f t="shared" si="46"/>
        <v>_</v>
      </c>
    </row>
    <row r="3003" spans="8:8">
      <c r="H3003" s="63" t="str">
        <f t="shared" si="46"/>
        <v>_</v>
      </c>
    </row>
    <row r="3004" spans="8:8">
      <c r="H3004" s="63" t="str">
        <f t="shared" si="46"/>
        <v>_</v>
      </c>
    </row>
    <row r="3005" spans="8:8">
      <c r="H3005" s="63" t="str">
        <f t="shared" si="46"/>
        <v>_</v>
      </c>
    </row>
    <row r="3006" spans="8:8">
      <c r="H3006" s="63" t="str">
        <f t="shared" si="46"/>
        <v>_</v>
      </c>
    </row>
    <row r="3007" spans="8:8">
      <c r="H3007" s="63" t="str">
        <f t="shared" si="46"/>
        <v>_</v>
      </c>
    </row>
    <row r="3008" spans="8:8">
      <c r="H3008" s="63" t="str">
        <f t="shared" si="46"/>
        <v>_</v>
      </c>
    </row>
    <row r="3009" spans="8:8">
      <c r="H3009" s="63" t="str">
        <f t="shared" si="46"/>
        <v>_</v>
      </c>
    </row>
    <row r="3010" spans="8:8">
      <c r="H3010" s="63" t="str">
        <f t="shared" si="46"/>
        <v>_</v>
      </c>
    </row>
    <row r="3011" spans="8:8">
      <c r="H3011" s="63" t="str">
        <f t="shared" ref="H3011:H3074" si="47">IF(OR(MID(A3011,6,10)="NASPP",MID(A3011,6,10)="RASPP"),"RNASPP",IF(OR(MID(A3011,6,10)="NSFAP",MID(A3011,6,10)="RSPOA"),"RNSPOA",IF(OR(A3011="ULGALLOC",A3011="ULSPOOL"),A3011,IF(MID(A3011,6,5)="ANSSP","ASSP1",MID(A3011,6,10)))))&amp;"_"&amp;B3011</f>
        <v>_</v>
      </c>
    </row>
    <row r="3012" spans="8:8">
      <c r="H3012" s="63" t="str">
        <f t="shared" si="47"/>
        <v>_</v>
      </c>
    </row>
    <row r="3013" spans="8:8">
      <c r="H3013" s="63" t="str">
        <f t="shared" si="47"/>
        <v>_</v>
      </c>
    </row>
    <row r="3014" spans="8:8">
      <c r="H3014" s="63" t="str">
        <f t="shared" si="47"/>
        <v>_</v>
      </c>
    </row>
    <row r="3015" spans="8:8">
      <c r="H3015" s="63" t="str">
        <f t="shared" si="47"/>
        <v>_</v>
      </c>
    </row>
    <row r="3016" spans="8:8">
      <c r="H3016" s="63" t="str">
        <f t="shared" si="47"/>
        <v>_</v>
      </c>
    </row>
    <row r="3017" spans="8:8">
      <c r="H3017" s="63" t="str">
        <f t="shared" si="47"/>
        <v>_</v>
      </c>
    </row>
    <row r="3018" spans="8:8">
      <c r="H3018" s="63" t="str">
        <f t="shared" si="47"/>
        <v>_</v>
      </c>
    </row>
    <row r="3019" spans="8:8">
      <c r="H3019" s="63" t="str">
        <f t="shared" si="47"/>
        <v>_</v>
      </c>
    </row>
    <row r="3020" spans="8:8">
      <c r="H3020" s="63" t="str">
        <f t="shared" si="47"/>
        <v>_</v>
      </c>
    </row>
    <row r="3021" spans="8:8">
      <c r="H3021" s="63" t="str">
        <f t="shared" si="47"/>
        <v>_</v>
      </c>
    </row>
    <row r="3022" spans="8:8">
      <c r="H3022" s="63" t="str">
        <f t="shared" si="47"/>
        <v>_</v>
      </c>
    </row>
    <row r="3023" spans="8:8">
      <c r="H3023" s="63" t="str">
        <f t="shared" si="47"/>
        <v>_</v>
      </c>
    </row>
    <row r="3024" spans="8:8">
      <c r="H3024" s="63" t="str">
        <f t="shared" si="47"/>
        <v>_</v>
      </c>
    </row>
    <row r="3025" spans="8:8">
      <c r="H3025" s="63" t="str">
        <f t="shared" si="47"/>
        <v>_</v>
      </c>
    </row>
    <row r="3026" spans="8:8">
      <c r="H3026" s="63" t="str">
        <f t="shared" si="47"/>
        <v>_</v>
      </c>
    </row>
    <row r="3027" spans="8:8">
      <c r="H3027" s="63" t="str">
        <f t="shared" si="47"/>
        <v>_</v>
      </c>
    </row>
    <row r="3028" spans="8:8">
      <c r="H3028" s="63" t="str">
        <f t="shared" si="47"/>
        <v>_</v>
      </c>
    </row>
    <row r="3029" spans="8:8">
      <c r="H3029" s="63" t="str">
        <f t="shared" si="47"/>
        <v>_</v>
      </c>
    </row>
    <row r="3030" spans="8:8">
      <c r="H3030" s="63" t="str">
        <f t="shared" si="47"/>
        <v>_</v>
      </c>
    </row>
    <row r="3031" spans="8:8">
      <c r="H3031" s="63" t="str">
        <f t="shared" si="47"/>
        <v>_</v>
      </c>
    </row>
    <row r="3032" spans="8:8">
      <c r="H3032" s="63" t="str">
        <f t="shared" si="47"/>
        <v>_</v>
      </c>
    </row>
    <row r="3033" spans="8:8">
      <c r="H3033" s="63" t="str">
        <f t="shared" si="47"/>
        <v>_</v>
      </c>
    </row>
    <row r="3034" spans="8:8">
      <c r="H3034" s="63" t="str">
        <f t="shared" si="47"/>
        <v>_</v>
      </c>
    </row>
    <row r="3035" spans="8:8">
      <c r="H3035" s="63" t="str">
        <f t="shared" si="47"/>
        <v>_</v>
      </c>
    </row>
    <row r="3036" spans="8:8">
      <c r="H3036" s="63" t="str">
        <f t="shared" si="47"/>
        <v>_</v>
      </c>
    </row>
    <row r="3037" spans="8:8">
      <c r="H3037" s="63" t="str">
        <f t="shared" si="47"/>
        <v>_</v>
      </c>
    </row>
    <row r="3038" spans="8:8">
      <c r="H3038" s="63" t="str">
        <f t="shared" si="47"/>
        <v>_</v>
      </c>
    </row>
    <row r="3039" spans="8:8">
      <c r="H3039" s="63" t="str">
        <f t="shared" si="47"/>
        <v>_</v>
      </c>
    </row>
    <row r="3040" spans="8:8">
      <c r="H3040" s="63" t="str">
        <f t="shared" si="47"/>
        <v>_</v>
      </c>
    </row>
    <row r="3041" spans="8:8">
      <c r="H3041" s="63" t="str">
        <f t="shared" si="47"/>
        <v>_</v>
      </c>
    </row>
    <row r="3042" spans="8:8">
      <c r="H3042" s="63" t="str">
        <f t="shared" si="47"/>
        <v>_</v>
      </c>
    </row>
    <row r="3043" spans="8:8">
      <c r="H3043" s="63" t="str">
        <f t="shared" si="47"/>
        <v>_</v>
      </c>
    </row>
    <row r="3044" spans="8:8">
      <c r="H3044" s="63" t="str">
        <f t="shared" si="47"/>
        <v>_</v>
      </c>
    </row>
    <row r="3045" spans="8:8">
      <c r="H3045" s="63" t="str">
        <f t="shared" si="47"/>
        <v>_</v>
      </c>
    </row>
    <row r="3046" spans="8:8">
      <c r="H3046" s="63" t="str">
        <f t="shared" si="47"/>
        <v>_</v>
      </c>
    </row>
    <row r="3047" spans="8:8">
      <c r="H3047" s="63" t="str">
        <f t="shared" si="47"/>
        <v>_</v>
      </c>
    </row>
    <row r="3048" spans="8:8">
      <c r="H3048" s="63" t="str">
        <f t="shared" si="47"/>
        <v>_</v>
      </c>
    </row>
    <row r="3049" spans="8:8">
      <c r="H3049" s="63" t="str">
        <f t="shared" si="47"/>
        <v>_</v>
      </c>
    </row>
    <row r="3050" spans="8:8">
      <c r="H3050" s="63" t="str">
        <f t="shared" si="47"/>
        <v>_</v>
      </c>
    </row>
    <row r="3051" spans="8:8">
      <c r="H3051" s="63" t="str">
        <f t="shared" si="47"/>
        <v>_</v>
      </c>
    </row>
    <row r="3052" spans="8:8">
      <c r="H3052" s="63" t="str">
        <f t="shared" si="47"/>
        <v>_</v>
      </c>
    </row>
    <row r="3053" spans="8:8">
      <c r="H3053" s="63" t="str">
        <f t="shared" si="47"/>
        <v>_</v>
      </c>
    </row>
    <row r="3054" spans="8:8">
      <c r="H3054" s="63" t="str">
        <f t="shared" si="47"/>
        <v>_</v>
      </c>
    </row>
    <row r="3055" spans="8:8">
      <c r="H3055" s="63" t="str">
        <f t="shared" si="47"/>
        <v>_</v>
      </c>
    </row>
    <row r="3056" spans="8:8">
      <c r="H3056" s="63" t="str">
        <f t="shared" si="47"/>
        <v>_</v>
      </c>
    </row>
    <row r="3057" spans="8:8">
      <c r="H3057" s="63" t="str">
        <f t="shared" si="47"/>
        <v>_</v>
      </c>
    </row>
    <row r="3058" spans="8:8">
      <c r="H3058" s="63" t="str">
        <f t="shared" si="47"/>
        <v>_</v>
      </c>
    </row>
    <row r="3059" spans="8:8">
      <c r="H3059" s="63" t="str">
        <f t="shared" si="47"/>
        <v>_</v>
      </c>
    </row>
    <row r="3060" spans="8:8">
      <c r="H3060" s="63" t="str">
        <f t="shared" si="47"/>
        <v>_</v>
      </c>
    </row>
    <row r="3061" spans="8:8">
      <c r="H3061" s="63" t="str">
        <f t="shared" si="47"/>
        <v>_</v>
      </c>
    </row>
    <row r="3062" spans="8:8">
      <c r="H3062" s="63" t="str">
        <f t="shared" si="47"/>
        <v>_</v>
      </c>
    </row>
    <row r="3063" spans="8:8">
      <c r="H3063" s="63" t="str">
        <f t="shared" si="47"/>
        <v>_</v>
      </c>
    </row>
    <row r="3064" spans="8:8">
      <c r="H3064" s="63" t="str">
        <f t="shared" si="47"/>
        <v>_</v>
      </c>
    </row>
    <row r="3065" spans="8:8">
      <c r="H3065" s="63" t="str">
        <f t="shared" si="47"/>
        <v>_</v>
      </c>
    </row>
    <row r="3066" spans="8:8">
      <c r="H3066" s="63" t="str">
        <f t="shared" si="47"/>
        <v>_</v>
      </c>
    </row>
    <row r="3067" spans="8:8">
      <c r="H3067" s="63" t="str">
        <f t="shared" si="47"/>
        <v>_</v>
      </c>
    </row>
    <row r="3068" spans="8:8">
      <c r="H3068" s="63" t="str">
        <f t="shared" si="47"/>
        <v>_</v>
      </c>
    </row>
    <row r="3069" spans="8:8">
      <c r="H3069" s="63" t="str">
        <f t="shared" si="47"/>
        <v>_</v>
      </c>
    </row>
    <row r="3070" spans="8:8">
      <c r="H3070" s="63" t="str">
        <f t="shared" si="47"/>
        <v>_</v>
      </c>
    </row>
    <row r="3071" spans="8:8">
      <c r="H3071" s="63" t="str">
        <f t="shared" si="47"/>
        <v>_</v>
      </c>
    </row>
    <row r="3072" spans="8:8">
      <c r="H3072" s="63" t="str">
        <f t="shared" si="47"/>
        <v>_</v>
      </c>
    </row>
    <row r="3073" spans="8:8">
      <c r="H3073" s="63" t="str">
        <f t="shared" si="47"/>
        <v>_</v>
      </c>
    </row>
    <row r="3074" spans="8:8">
      <c r="H3074" s="63" t="str">
        <f t="shared" si="47"/>
        <v>_</v>
      </c>
    </row>
    <row r="3075" spans="8:8">
      <c r="H3075" s="63" t="str">
        <f t="shared" ref="H3075:H3138" si="48">IF(OR(MID(A3075,6,10)="NASPP",MID(A3075,6,10)="RASPP"),"RNASPP",IF(OR(MID(A3075,6,10)="NSFAP",MID(A3075,6,10)="RSPOA"),"RNSPOA",IF(OR(A3075="ULGALLOC",A3075="ULSPOOL"),A3075,IF(MID(A3075,6,5)="ANSSP","ASSP1",MID(A3075,6,10)))))&amp;"_"&amp;B3075</f>
        <v>_</v>
      </c>
    </row>
    <row r="3076" spans="8:8">
      <c r="H3076" s="63" t="str">
        <f t="shared" si="48"/>
        <v>_</v>
      </c>
    </row>
    <row r="3077" spans="8:8">
      <c r="H3077" s="63" t="str">
        <f t="shared" si="48"/>
        <v>_</v>
      </c>
    </row>
    <row r="3078" spans="8:8">
      <c r="H3078" s="63" t="str">
        <f t="shared" si="48"/>
        <v>_</v>
      </c>
    </row>
    <row r="3079" spans="8:8">
      <c r="H3079" s="63" t="str">
        <f t="shared" si="48"/>
        <v>_</v>
      </c>
    </row>
    <row r="3080" spans="8:8">
      <c r="H3080" s="63" t="str">
        <f t="shared" si="48"/>
        <v>_</v>
      </c>
    </row>
    <row r="3081" spans="8:8">
      <c r="H3081" s="63" t="str">
        <f t="shared" si="48"/>
        <v>_</v>
      </c>
    </row>
    <row r="3082" spans="8:8">
      <c r="H3082" s="63" t="str">
        <f t="shared" si="48"/>
        <v>_</v>
      </c>
    </row>
    <row r="3083" spans="8:8">
      <c r="H3083" s="63" t="str">
        <f t="shared" si="48"/>
        <v>_</v>
      </c>
    </row>
    <row r="3084" spans="8:8">
      <c r="H3084" s="63" t="str">
        <f t="shared" si="48"/>
        <v>_</v>
      </c>
    </row>
    <row r="3085" spans="8:8">
      <c r="H3085" s="63" t="str">
        <f t="shared" si="48"/>
        <v>_</v>
      </c>
    </row>
    <row r="3086" spans="8:8">
      <c r="H3086" s="63" t="str">
        <f t="shared" si="48"/>
        <v>_</v>
      </c>
    </row>
    <row r="3087" spans="8:8">
      <c r="H3087" s="63" t="str">
        <f t="shared" si="48"/>
        <v>_</v>
      </c>
    </row>
    <row r="3088" spans="8:8">
      <c r="H3088" s="63" t="str">
        <f t="shared" si="48"/>
        <v>_</v>
      </c>
    </row>
    <row r="3089" spans="8:8">
      <c r="H3089" s="63" t="str">
        <f t="shared" si="48"/>
        <v>_</v>
      </c>
    </row>
    <row r="3090" spans="8:8">
      <c r="H3090" s="63" t="str">
        <f t="shared" si="48"/>
        <v>_</v>
      </c>
    </row>
    <row r="3091" spans="8:8">
      <c r="H3091" s="63" t="str">
        <f t="shared" si="48"/>
        <v>_</v>
      </c>
    </row>
    <row r="3092" spans="8:8">
      <c r="H3092" s="63" t="str">
        <f t="shared" si="48"/>
        <v>_</v>
      </c>
    </row>
    <row r="3093" spans="8:8">
      <c r="H3093" s="63" t="str">
        <f t="shared" si="48"/>
        <v>_</v>
      </c>
    </row>
    <row r="3094" spans="8:8">
      <c r="H3094" s="63" t="str">
        <f t="shared" si="48"/>
        <v>_</v>
      </c>
    </row>
    <row r="3095" spans="8:8">
      <c r="H3095" s="63" t="str">
        <f t="shared" si="48"/>
        <v>_</v>
      </c>
    </row>
    <row r="3096" spans="8:8">
      <c r="H3096" s="63" t="str">
        <f t="shared" si="48"/>
        <v>_</v>
      </c>
    </row>
    <row r="3097" spans="8:8">
      <c r="H3097" s="63" t="str">
        <f t="shared" si="48"/>
        <v>_</v>
      </c>
    </row>
    <row r="3098" spans="8:8">
      <c r="H3098" s="63" t="str">
        <f t="shared" si="48"/>
        <v>_</v>
      </c>
    </row>
    <row r="3099" spans="8:8">
      <c r="H3099" s="63" t="str">
        <f t="shared" si="48"/>
        <v>_</v>
      </c>
    </row>
    <row r="3100" spans="8:8">
      <c r="H3100" s="63" t="str">
        <f t="shared" si="48"/>
        <v>_</v>
      </c>
    </row>
    <row r="3101" spans="8:8">
      <c r="H3101" s="63" t="str">
        <f t="shared" si="48"/>
        <v>_</v>
      </c>
    </row>
    <row r="3102" spans="8:8">
      <c r="H3102" s="63" t="str">
        <f t="shared" si="48"/>
        <v>_</v>
      </c>
    </row>
    <row r="3103" spans="8:8">
      <c r="H3103" s="63" t="str">
        <f t="shared" si="48"/>
        <v>_</v>
      </c>
    </row>
    <row r="3104" spans="8:8">
      <c r="H3104" s="63" t="str">
        <f t="shared" si="48"/>
        <v>_</v>
      </c>
    </row>
    <row r="3105" spans="8:8">
      <c r="H3105" s="63" t="str">
        <f t="shared" si="48"/>
        <v>_</v>
      </c>
    </row>
    <row r="3106" spans="8:8">
      <c r="H3106" s="63" t="str">
        <f t="shared" si="48"/>
        <v>_</v>
      </c>
    </row>
    <row r="3107" spans="8:8">
      <c r="H3107" s="63" t="str">
        <f t="shared" si="48"/>
        <v>_</v>
      </c>
    </row>
    <row r="3108" spans="8:8">
      <c r="H3108" s="63" t="str">
        <f t="shared" si="48"/>
        <v>_</v>
      </c>
    </row>
    <row r="3109" spans="8:8">
      <c r="H3109" s="63" t="str">
        <f t="shared" si="48"/>
        <v>_</v>
      </c>
    </row>
    <row r="3110" spans="8:8">
      <c r="H3110" s="63" t="str">
        <f t="shared" si="48"/>
        <v>_</v>
      </c>
    </row>
    <row r="3111" spans="8:8">
      <c r="H3111" s="63" t="str">
        <f t="shared" si="48"/>
        <v>_</v>
      </c>
    </row>
    <row r="3112" spans="8:8">
      <c r="H3112" s="63" t="str">
        <f t="shared" si="48"/>
        <v>_</v>
      </c>
    </row>
    <row r="3113" spans="8:8">
      <c r="H3113" s="63" t="str">
        <f t="shared" si="48"/>
        <v>_</v>
      </c>
    </row>
    <row r="3114" spans="8:8">
      <c r="H3114" s="63" t="str">
        <f t="shared" si="48"/>
        <v>_</v>
      </c>
    </row>
    <row r="3115" spans="8:8">
      <c r="H3115" s="63" t="str">
        <f t="shared" si="48"/>
        <v>_</v>
      </c>
    </row>
    <row r="3116" spans="8:8">
      <c r="H3116" s="63" t="str">
        <f t="shared" si="48"/>
        <v>_</v>
      </c>
    </row>
    <row r="3117" spans="8:8">
      <c r="H3117" s="63" t="str">
        <f t="shared" si="48"/>
        <v>_</v>
      </c>
    </row>
    <row r="3118" spans="8:8">
      <c r="H3118" s="63" t="str">
        <f t="shared" si="48"/>
        <v>_</v>
      </c>
    </row>
    <row r="3119" spans="8:8">
      <c r="H3119" s="63" t="str">
        <f t="shared" si="48"/>
        <v>_</v>
      </c>
    </row>
    <row r="3120" spans="8:8">
      <c r="H3120" s="63" t="str">
        <f t="shared" si="48"/>
        <v>_</v>
      </c>
    </row>
    <row r="3121" spans="8:8">
      <c r="H3121" s="63" t="str">
        <f t="shared" si="48"/>
        <v>_</v>
      </c>
    </row>
    <row r="3122" spans="8:8">
      <c r="H3122" s="63" t="str">
        <f t="shared" si="48"/>
        <v>_</v>
      </c>
    </row>
    <row r="3123" spans="8:8">
      <c r="H3123" s="63" t="str">
        <f t="shared" si="48"/>
        <v>_</v>
      </c>
    </row>
    <row r="3124" spans="8:8">
      <c r="H3124" s="63" t="str">
        <f t="shared" si="48"/>
        <v>_</v>
      </c>
    </row>
    <row r="3125" spans="8:8">
      <c r="H3125" s="63" t="str">
        <f t="shared" si="48"/>
        <v>_</v>
      </c>
    </row>
    <row r="3126" spans="8:8">
      <c r="H3126" s="63" t="str">
        <f t="shared" si="48"/>
        <v>_</v>
      </c>
    </row>
    <row r="3127" spans="8:8">
      <c r="H3127" s="63" t="str">
        <f t="shared" si="48"/>
        <v>_</v>
      </c>
    </row>
    <row r="3128" spans="8:8">
      <c r="H3128" s="63" t="str">
        <f t="shared" si="48"/>
        <v>_</v>
      </c>
    </row>
    <row r="3129" spans="8:8">
      <c r="H3129" s="63" t="str">
        <f t="shared" si="48"/>
        <v>_</v>
      </c>
    </row>
    <row r="3130" spans="8:8">
      <c r="H3130" s="63" t="str">
        <f t="shared" si="48"/>
        <v>_</v>
      </c>
    </row>
    <row r="3131" spans="8:8">
      <c r="H3131" s="63" t="str">
        <f t="shared" si="48"/>
        <v>_</v>
      </c>
    </row>
    <row r="3132" spans="8:8">
      <c r="H3132" s="63" t="str">
        <f t="shared" si="48"/>
        <v>_</v>
      </c>
    </row>
    <row r="3133" spans="8:8">
      <c r="H3133" s="63" t="str">
        <f t="shared" si="48"/>
        <v>_</v>
      </c>
    </row>
    <row r="3134" spans="8:8">
      <c r="H3134" s="63" t="str">
        <f t="shared" si="48"/>
        <v>_</v>
      </c>
    </row>
    <row r="3135" spans="8:8">
      <c r="H3135" s="63" t="str">
        <f t="shared" si="48"/>
        <v>_</v>
      </c>
    </row>
    <row r="3136" spans="8:8">
      <c r="H3136" s="63" t="str">
        <f t="shared" si="48"/>
        <v>_</v>
      </c>
    </row>
    <row r="3137" spans="8:8">
      <c r="H3137" s="63" t="str">
        <f t="shared" si="48"/>
        <v>_</v>
      </c>
    </row>
    <row r="3138" spans="8:8">
      <c r="H3138" s="63" t="str">
        <f t="shared" si="48"/>
        <v>_</v>
      </c>
    </row>
    <row r="3139" spans="8:8">
      <c r="H3139" s="63" t="str">
        <f t="shared" ref="H3139:H3202" si="49">IF(OR(MID(A3139,6,10)="NASPP",MID(A3139,6,10)="RASPP"),"RNASPP",IF(OR(MID(A3139,6,10)="NSFAP",MID(A3139,6,10)="RSPOA"),"RNSPOA",IF(OR(A3139="ULGALLOC",A3139="ULSPOOL"),A3139,IF(MID(A3139,6,5)="ANSSP","ASSP1",MID(A3139,6,10)))))&amp;"_"&amp;B3139</f>
        <v>_</v>
      </c>
    </row>
    <row r="3140" spans="8:8">
      <c r="H3140" s="63" t="str">
        <f t="shared" si="49"/>
        <v>_</v>
      </c>
    </row>
    <row r="3141" spans="8:8">
      <c r="H3141" s="63" t="str">
        <f t="shared" si="49"/>
        <v>_</v>
      </c>
    </row>
    <row r="3142" spans="8:8">
      <c r="H3142" s="63" t="str">
        <f t="shared" si="49"/>
        <v>_</v>
      </c>
    </row>
    <row r="3143" spans="8:8">
      <c r="H3143" s="63" t="str">
        <f t="shared" si="49"/>
        <v>_</v>
      </c>
    </row>
    <row r="3144" spans="8:8">
      <c r="H3144" s="63" t="str">
        <f t="shared" si="49"/>
        <v>_</v>
      </c>
    </row>
    <row r="3145" spans="8:8">
      <c r="H3145" s="63" t="str">
        <f t="shared" si="49"/>
        <v>_</v>
      </c>
    </row>
    <row r="3146" spans="8:8">
      <c r="H3146" s="63" t="str">
        <f t="shared" si="49"/>
        <v>_</v>
      </c>
    </row>
    <row r="3147" spans="8:8">
      <c r="H3147" s="63" t="str">
        <f t="shared" si="49"/>
        <v>_</v>
      </c>
    </row>
    <row r="3148" spans="8:8">
      <c r="H3148" s="63" t="str">
        <f t="shared" si="49"/>
        <v>_</v>
      </c>
    </row>
    <row r="3149" spans="8:8">
      <c r="H3149" s="63" t="str">
        <f t="shared" si="49"/>
        <v>_</v>
      </c>
    </row>
    <row r="3150" spans="8:8">
      <c r="H3150" s="63" t="str">
        <f t="shared" si="49"/>
        <v>_</v>
      </c>
    </row>
    <row r="3151" spans="8:8">
      <c r="H3151" s="63" t="str">
        <f t="shared" si="49"/>
        <v>_</v>
      </c>
    </row>
    <row r="3152" spans="8:8">
      <c r="H3152" s="63" t="str">
        <f t="shared" si="49"/>
        <v>_</v>
      </c>
    </row>
    <row r="3153" spans="8:8">
      <c r="H3153" s="63" t="str">
        <f t="shared" si="49"/>
        <v>_</v>
      </c>
    </row>
    <row r="3154" spans="8:8">
      <c r="H3154" s="63" t="str">
        <f t="shared" si="49"/>
        <v>_</v>
      </c>
    </row>
    <row r="3155" spans="8:8">
      <c r="H3155" s="63" t="str">
        <f t="shared" si="49"/>
        <v>_</v>
      </c>
    </row>
    <row r="3156" spans="8:8">
      <c r="H3156" s="63" t="str">
        <f t="shared" si="49"/>
        <v>_</v>
      </c>
    </row>
    <row r="3157" spans="8:8">
      <c r="H3157" s="63" t="str">
        <f t="shared" si="49"/>
        <v>_</v>
      </c>
    </row>
    <row r="3158" spans="8:8">
      <c r="H3158" s="63" t="str">
        <f t="shared" si="49"/>
        <v>_</v>
      </c>
    </row>
    <row r="3159" spans="8:8">
      <c r="H3159" s="63" t="str">
        <f t="shared" si="49"/>
        <v>_</v>
      </c>
    </row>
    <row r="3160" spans="8:8">
      <c r="H3160" s="63" t="str">
        <f t="shared" si="49"/>
        <v>_</v>
      </c>
    </row>
    <row r="3161" spans="8:8">
      <c r="H3161" s="63" t="str">
        <f t="shared" si="49"/>
        <v>_</v>
      </c>
    </row>
    <row r="3162" spans="8:8">
      <c r="H3162" s="63" t="str">
        <f t="shared" si="49"/>
        <v>_</v>
      </c>
    </row>
    <row r="3163" spans="8:8">
      <c r="H3163" s="63" t="str">
        <f t="shared" si="49"/>
        <v>_</v>
      </c>
    </row>
    <row r="3164" spans="8:8">
      <c r="H3164" s="63" t="str">
        <f t="shared" si="49"/>
        <v>_</v>
      </c>
    </row>
    <row r="3165" spans="8:8">
      <c r="H3165" s="63" t="str">
        <f t="shared" si="49"/>
        <v>_</v>
      </c>
    </row>
    <row r="3166" spans="8:8">
      <c r="H3166" s="63" t="str">
        <f t="shared" si="49"/>
        <v>_</v>
      </c>
    </row>
    <row r="3167" spans="8:8">
      <c r="H3167" s="63" t="str">
        <f t="shared" si="49"/>
        <v>_</v>
      </c>
    </row>
    <row r="3168" spans="8:8">
      <c r="H3168" s="63" t="str">
        <f t="shared" si="49"/>
        <v>_</v>
      </c>
    </row>
    <row r="3169" spans="8:8">
      <c r="H3169" s="63" t="str">
        <f t="shared" si="49"/>
        <v>_</v>
      </c>
    </row>
    <row r="3170" spans="8:8">
      <c r="H3170" s="63" t="str">
        <f t="shared" si="49"/>
        <v>_</v>
      </c>
    </row>
    <row r="3171" spans="8:8">
      <c r="H3171" s="63" t="str">
        <f t="shared" si="49"/>
        <v>_</v>
      </c>
    </row>
    <row r="3172" spans="8:8">
      <c r="H3172" s="63" t="str">
        <f t="shared" si="49"/>
        <v>_</v>
      </c>
    </row>
    <row r="3173" spans="8:8">
      <c r="H3173" s="63" t="str">
        <f t="shared" si="49"/>
        <v>_</v>
      </c>
    </row>
    <row r="3174" spans="8:8">
      <c r="H3174" s="63" t="str">
        <f t="shared" si="49"/>
        <v>_</v>
      </c>
    </row>
    <row r="3175" spans="8:8">
      <c r="H3175" s="63" t="str">
        <f t="shared" si="49"/>
        <v>_</v>
      </c>
    </row>
    <row r="3176" spans="8:8">
      <c r="H3176" s="63" t="str">
        <f t="shared" si="49"/>
        <v>_</v>
      </c>
    </row>
    <row r="3177" spans="8:8">
      <c r="H3177" s="63" t="str">
        <f t="shared" si="49"/>
        <v>_</v>
      </c>
    </row>
    <row r="3178" spans="8:8">
      <c r="H3178" s="63" t="str">
        <f t="shared" si="49"/>
        <v>_</v>
      </c>
    </row>
    <row r="3179" spans="8:8">
      <c r="H3179" s="63" t="str">
        <f t="shared" si="49"/>
        <v>_</v>
      </c>
    </row>
    <row r="3180" spans="8:8">
      <c r="H3180" s="63" t="str">
        <f t="shared" si="49"/>
        <v>_</v>
      </c>
    </row>
    <row r="3181" spans="8:8">
      <c r="H3181" s="63" t="str">
        <f t="shared" si="49"/>
        <v>_</v>
      </c>
    </row>
    <row r="3182" spans="8:8">
      <c r="H3182" s="63" t="str">
        <f t="shared" si="49"/>
        <v>_</v>
      </c>
    </row>
    <row r="3183" spans="8:8">
      <c r="H3183" s="63" t="str">
        <f t="shared" si="49"/>
        <v>_</v>
      </c>
    </row>
    <row r="3184" spans="8:8">
      <c r="H3184" s="63" t="str">
        <f t="shared" si="49"/>
        <v>_</v>
      </c>
    </row>
    <row r="3185" spans="8:8">
      <c r="H3185" s="63" t="str">
        <f t="shared" si="49"/>
        <v>_</v>
      </c>
    </row>
    <row r="3186" spans="8:8">
      <c r="H3186" s="63" t="str">
        <f t="shared" si="49"/>
        <v>_</v>
      </c>
    </row>
    <row r="3187" spans="8:8">
      <c r="H3187" s="63" t="str">
        <f t="shared" si="49"/>
        <v>_</v>
      </c>
    </row>
    <row r="3188" spans="8:8">
      <c r="H3188" s="63" t="str">
        <f t="shared" si="49"/>
        <v>_</v>
      </c>
    </row>
    <row r="3189" spans="8:8">
      <c r="H3189" s="63" t="str">
        <f t="shared" si="49"/>
        <v>_</v>
      </c>
    </row>
    <row r="3190" spans="8:8">
      <c r="H3190" s="63" t="str">
        <f t="shared" si="49"/>
        <v>_</v>
      </c>
    </row>
    <row r="3191" spans="8:8">
      <c r="H3191" s="63" t="str">
        <f t="shared" si="49"/>
        <v>_</v>
      </c>
    </row>
    <row r="3192" spans="8:8">
      <c r="H3192" s="63" t="str">
        <f t="shared" si="49"/>
        <v>_</v>
      </c>
    </row>
    <row r="3193" spans="8:8">
      <c r="H3193" s="63" t="str">
        <f t="shared" si="49"/>
        <v>_</v>
      </c>
    </row>
    <row r="3194" spans="8:8">
      <c r="H3194" s="63" t="str">
        <f t="shared" si="49"/>
        <v>_</v>
      </c>
    </row>
    <row r="3195" spans="8:8">
      <c r="H3195" s="63" t="str">
        <f t="shared" si="49"/>
        <v>_</v>
      </c>
    </row>
    <row r="3196" spans="8:8">
      <c r="H3196" s="63" t="str">
        <f t="shared" si="49"/>
        <v>_</v>
      </c>
    </row>
    <row r="3197" spans="8:8">
      <c r="H3197" s="63" t="str">
        <f t="shared" si="49"/>
        <v>_</v>
      </c>
    </row>
    <row r="3198" spans="8:8">
      <c r="H3198" s="63" t="str">
        <f t="shared" si="49"/>
        <v>_</v>
      </c>
    </row>
    <row r="3199" spans="8:8">
      <c r="H3199" s="63" t="str">
        <f t="shared" si="49"/>
        <v>_</v>
      </c>
    </row>
    <row r="3200" spans="8:8">
      <c r="H3200" s="63" t="str">
        <f t="shared" si="49"/>
        <v>_</v>
      </c>
    </row>
    <row r="3201" spans="8:8">
      <c r="H3201" s="63" t="str">
        <f t="shared" si="49"/>
        <v>_</v>
      </c>
    </row>
    <row r="3202" spans="8:8">
      <c r="H3202" s="63" t="str">
        <f t="shared" si="49"/>
        <v>_</v>
      </c>
    </row>
    <row r="3203" spans="8:8">
      <c r="H3203" s="63" t="str">
        <f t="shared" ref="H3203:H3266" si="50">IF(OR(MID(A3203,6,10)="NASPP",MID(A3203,6,10)="RASPP"),"RNASPP",IF(OR(MID(A3203,6,10)="NSFAP",MID(A3203,6,10)="RSPOA"),"RNSPOA",IF(OR(A3203="ULGALLOC",A3203="ULSPOOL"),A3203,IF(MID(A3203,6,5)="ANSSP","ASSP1",MID(A3203,6,10)))))&amp;"_"&amp;B3203</f>
        <v>_</v>
      </c>
    </row>
    <row r="3204" spans="8:8">
      <c r="H3204" s="63" t="str">
        <f t="shared" si="50"/>
        <v>_</v>
      </c>
    </row>
    <row r="3205" spans="8:8">
      <c r="H3205" s="63" t="str">
        <f t="shared" si="50"/>
        <v>_</v>
      </c>
    </row>
    <row r="3206" spans="8:8">
      <c r="H3206" s="63" t="str">
        <f t="shared" si="50"/>
        <v>_</v>
      </c>
    </row>
    <row r="3207" spans="8:8">
      <c r="H3207" s="63" t="str">
        <f t="shared" si="50"/>
        <v>_</v>
      </c>
    </row>
    <row r="3208" spans="8:8">
      <c r="H3208" s="63" t="str">
        <f t="shared" si="50"/>
        <v>_</v>
      </c>
    </row>
    <row r="3209" spans="8:8">
      <c r="H3209" s="63" t="str">
        <f t="shared" si="50"/>
        <v>_</v>
      </c>
    </row>
    <row r="3210" spans="8:8">
      <c r="H3210" s="63" t="str">
        <f t="shared" si="50"/>
        <v>_</v>
      </c>
    </row>
    <row r="3211" spans="8:8">
      <c r="H3211" s="63" t="str">
        <f t="shared" si="50"/>
        <v>_</v>
      </c>
    </row>
    <row r="3212" spans="8:8">
      <c r="H3212" s="63" t="str">
        <f t="shared" si="50"/>
        <v>_</v>
      </c>
    </row>
    <row r="3213" spans="8:8">
      <c r="H3213" s="63" t="str">
        <f t="shared" si="50"/>
        <v>_</v>
      </c>
    </row>
    <row r="3214" spans="8:8">
      <c r="H3214" s="63" t="str">
        <f t="shared" si="50"/>
        <v>_</v>
      </c>
    </row>
    <row r="3215" spans="8:8">
      <c r="H3215" s="63" t="str">
        <f t="shared" si="50"/>
        <v>_</v>
      </c>
    </row>
    <row r="3216" spans="8:8">
      <c r="H3216" s="63" t="str">
        <f t="shared" si="50"/>
        <v>_</v>
      </c>
    </row>
    <row r="3217" spans="8:8">
      <c r="H3217" s="63" t="str">
        <f t="shared" si="50"/>
        <v>_</v>
      </c>
    </row>
    <row r="3218" spans="8:8">
      <c r="H3218" s="63" t="str">
        <f t="shared" si="50"/>
        <v>_</v>
      </c>
    </row>
    <row r="3219" spans="8:8">
      <c r="H3219" s="63" t="str">
        <f t="shared" si="50"/>
        <v>_</v>
      </c>
    </row>
    <row r="3220" spans="8:8">
      <c r="H3220" s="63" t="str">
        <f t="shared" si="50"/>
        <v>_</v>
      </c>
    </row>
    <row r="3221" spans="8:8">
      <c r="H3221" s="63" t="str">
        <f t="shared" si="50"/>
        <v>_</v>
      </c>
    </row>
    <row r="3222" spans="8:8">
      <c r="H3222" s="63" t="str">
        <f t="shared" si="50"/>
        <v>_</v>
      </c>
    </row>
    <row r="3223" spans="8:8">
      <c r="H3223" s="63" t="str">
        <f t="shared" si="50"/>
        <v>_</v>
      </c>
    </row>
    <row r="3224" spans="8:8">
      <c r="H3224" s="63" t="str">
        <f t="shared" si="50"/>
        <v>_</v>
      </c>
    </row>
    <row r="3225" spans="8:8">
      <c r="H3225" s="63" t="str">
        <f t="shared" si="50"/>
        <v>_</v>
      </c>
    </row>
    <row r="3226" spans="8:8">
      <c r="H3226" s="63" t="str">
        <f t="shared" si="50"/>
        <v>_</v>
      </c>
    </row>
    <row r="3227" spans="8:8">
      <c r="H3227" s="63" t="str">
        <f t="shared" si="50"/>
        <v>_</v>
      </c>
    </row>
    <row r="3228" spans="8:8">
      <c r="H3228" s="63" t="str">
        <f t="shared" si="50"/>
        <v>_</v>
      </c>
    </row>
    <row r="3229" spans="8:8">
      <c r="H3229" s="63" t="str">
        <f t="shared" si="50"/>
        <v>_</v>
      </c>
    </row>
    <row r="3230" spans="8:8">
      <c r="H3230" s="63" t="str">
        <f t="shared" si="50"/>
        <v>_</v>
      </c>
    </row>
    <row r="3231" spans="8:8">
      <c r="H3231" s="63" t="str">
        <f t="shared" si="50"/>
        <v>_</v>
      </c>
    </row>
    <row r="3232" spans="8:8">
      <c r="H3232" s="63" t="str">
        <f t="shared" si="50"/>
        <v>_</v>
      </c>
    </row>
    <row r="3233" spans="8:8">
      <c r="H3233" s="63" t="str">
        <f t="shared" si="50"/>
        <v>_</v>
      </c>
    </row>
    <row r="3234" spans="8:8">
      <c r="H3234" s="63" t="str">
        <f t="shared" si="50"/>
        <v>_</v>
      </c>
    </row>
    <row r="3235" spans="8:8">
      <c r="H3235" s="63" t="str">
        <f t="shared" si="50"/>
        <v>_</v>
      </c>
    </row>
    <row r="3236" spans="8:8">
      <c r="H3236" s="63" t="str">
        <f t="shared" si="50"/>
        <v>_</v>
      </c>
    </row>
    <row r="3237" spans="8:8">
      <c r="H3237" s="63" t="str">
        <f t="shared" si="50"/>
        <v>_</v>
      </c>
    </row>
    <row r="3238" spans="8:8">
      <c r="H3238" s="63" t="str">
        <f t="shared" si="50"/>
        <v>_</v>
      </c>
    </row>
    <row r="3239" spans="8:8">
      <c r="H3239" s="63" t="str">
        <f t="shared" si="50"/>
        <v>_</v>
      </c>
    </row>
    <row r="3240" spans="8:8">
      <c r="H3240" s="63" t="str">
        <f t="shared" si="50"/>
        <v>_</v>
      </c>
    </row>
    <row r="3241" spans="8:8">
      <c r="H3241" s="63" t="str">
        <f t="shared" si="50"/>
        <v>_</v>
      </c>
    </row>
    <row r="3242" spans="8:8">
      <c r="H3242" s="63" t="str">
        <f t="shared" si="50"/>
        <v>_</v>
      </c>
    </row>
    <row r="3243" spans="8:8">
      <c r="H3243" s="63" t="str">
        <f t="shared" si="50"/>
        <v>_</v>
      </c>
    </row>
    <row r="3244" spans="8:8">
      <c r="H3244" s="63" t="str">
        <f t="shared" si="50"/>
        <v>_</v>
      </c>
    </row>
    <row r="3245" spans="8:8">
      <c r="H3245" s="63" t="str">
        <f t="shared" si="50"/>
        <v>_</v>
      </c>
    </row>
    <row r="3246" spans="8:8">
      <c r="H3246" s="63" t="str">
        <f t="shared" si="50"/>
        <v>_</v>
      </c>
    </row>
    <row r="3247" spans="8:8">
      <c r="H3247" s="63" t="str">
        <f t="shared" si="50"/>
        <v>_</v>
      </c>
    </row>
    <row r="3248" spans="8:8">
      <c r="H3248" s="63" t="str">
        <f t="shared" si="50"/>
        <v>_</v>
      </c>
    </row>
    <row r="3249" spans="8:8">
      <c r="H3249" s="63" t="str">
        <f t="shared" si="50"/>
        <v>_</v>
      </c>
    </row>
    <row r="3250" spans="8:8">
      <c r="H3250" s="63" t="str">
        <f t="shared" si="50"/>
        <v>_</v>
      </c>
    </row>
    <row r="3251" spans="8:8">
      <c r="H3251" s="63" t="str">
        <f t="shared" si="50"/>
        <v>_</v>
      </c>
    </row>
    <row r="3252" spans="8:8">
      <c r="H3252" s="63" t="str">
        <f t="shared" si="50"/>
        <v>_</v>
      </c>
    </row>
    <row r="3253" spans="8:8">
      <c r="H3253" s="63" t="str">
        <f t="shared" si="50"/>
        <v>_</v>
      </c>
    </row>
    <row r="3254" spans="8:8">
      <c r="H3254" s="63" t="str">
        <f t="shared" si="50"/>
        <v>_</v>
      </c>
    </row>
    <row r="3255" spans="8:8">
      <c r="H3255" s="63" t="str">
        <f t="shared" si="50"/>
        <v>_</v>
      </c>
    </row>
    <row r="3256" spans="8:8">
      <c r="H3256" s="63" t="str">
        <f t="shared" si="50"/>
        <v>_</v>
      </c>
    </row>
    <row r="3257" spans="8:8">
      <c r="H3257" s="63" t="str">
        <f t="shared" si="50"/>
        <v>_</v>
      </c>
    </row>
    <row r="3258" spans="8:8">
      <c r="H3258" s="63" t="str">
        <f t="shared" si="50"/>
        <v>_</v>
      </c>
    </row>
    <row r="3259" spans="8:8">
      <c r="H3259" s="63" t="str">
        <f t="shared" si="50"/>
        <v>_</v>
      </c>
    </row>
    <row r="3260" spans="8:8">
      <c r="H3260" s="63" t="str">
        <f t="shared" si="50"/>
        <v>_</v>
      </c>
    </row>
    <row r="3261" spans="8:8">
      <c r="H3261" s="63" t="str">
        <f t="shared" si="50"/>
        <v>_</v>
      </c>
    </row>
    <row r="3262" spans="8:8">
      <c r="H3262" s="63" t="str">
        <f t="shared" si="50"/>
        <v>_</v>
      </c>
    </row>
    <row r="3263" spans="8:8">
      <c r="H3263" s="63" t="str">
        <f t="shared" si="50"/>
        <v>_</v>
      </c>
    </row>
    <row r="3264" spans="8:8">
      <c r="H3264" s="63" t="str">
        <f t="shared" si="50"/>
        <v>_</v>
      </c>
    </row>
    <row r="3265" spans="8:8">
      <c r="H3265" s="63" t="str">
        <f t="shared" si="50"/>
        <v>_</v>
      </c>
    </row>
    <row r="3266" spans="8:8">
      <c r="H3266" s="63" t="str">
        <f t="shared" si="50"/>
        <v>_</v>
      </c>
    </row>
    <row r="3267" spans="8:8">
      <c r="H3267" s="63" t="str">
        <f t="shared" ref="H3267:H3330" si="51">IF(OR(MID(A3267,6,10)="NASPP",MID(A3267,6,10)="RASPP"),"RNASPP",IF(OR(MID(A3267,6,10)="NSFAP",MID(A3267,6,10)="RSPOA"),"RNSPOA",IF(OR(A3267="ULGALLOC",A3267="ULSPOOL"),A3267,IF(MID(A3267,6,5)="ANSSP","ASSP1",MID(A3267,6,10)))))&amp;"_"&amp;B3267</f>
        <v>_</v>
      </c>
    </row>
    <row r="3268" spans="8:8">
      <c r="H3268" s="63" t="str">
        <f t="shared" si="51"/>
        <v>_</v>
      </c>
    </row>
    <row r="3269" spans="8:8">
      <c r="H3269" s="63" t="str">
        <f t="shared" si="51"/>
        <v>_</v>
      </c>
    </row>
    <row r="3270" spans="8:8">
      <c r="H3270" s="63" t="str">
        <f t="shared" si="51"/>
        <v>_</v>
      </c>
    </row>
    <row r="3271" spans="8:8">
      <c r="H3271" s="63" t="str">
        <f t="shared" si="51"/>
        <v>_</v>
      </c>
    </row>
    <row r="3272" spans="8:8">
      <c r="H3272" s="63" t="str">
        <f t="shared" si="51"/>
        <v>_</v>
      </c>
    </row>
    <row r="3273" spans="8:8">
      <c r="H3273" s="63" t="str">
        <f t="shared" si="51"/>
        <v>_</v>
      </c>
    </row>
    <row r="3274" spans="8:8">
      <c r="H3274" s="63" t="str">
        <f t="shared" si="51"/>
        <v>_</v>
      </c>
    </row>
    <row r="3275" spans="8:8">
      <c r="H3275" s="63" t="str">
        <f t="shared" si="51"/>
        <v>_</v>
      </c>
    </row>
    <row r="3276" spans="8:8">
      <c r="H3276" s="63" t="str">
        <f t="shared" si="51"/>
        <v>_</v>
      </c>
    </row>
    <row r="3277" spans="8:8">
      <c r="H3277" s="63" t="str">
        <f t="shared" si="51"/>
        <v>_</v>
      </c>
    </row>
    <row r="3278" spans="8:8">
      <c r="H3278" s="63" t="str">
        <f t="shared" si="51"/>
        <v>_</v>
      </c>
    </row>
    <row r="3279" spans="8:8">
      <c r="H3279" s="63" t="str">
        <f t="shared" si="51"/>
        <v>_</v>
      </c>
    </row>
    <row r="3280" spans="8:8">
      <c r="H3280" s="63" t="str">
        <f t="shared" si="51"/>
        <v>_</v>
      </c>
    </row>
    <row r="3281" spans="8:8">
      <c r="H3281" s="63" t="str">
        <f t="shared" si="51"/>
        <v>_</v>
      </c>
    </row>
    <row r="3282" spans="8:8">
      <c r="H3282" s="63" t="str">
        <f t="shared" si="51"/>
        <v>_</v>
      </c>
    </row>
    <row r="3283" spans="8:8">
      <c r="H3283" s="63" t="str">
        <f t="shared" si="51"/>
        <v>_</v>
      </c>
    </row>
    <row r="3284" spans="8:8">
      <c r="H3284" s="63" t="str">
        <f t="shared" si="51"/>
        <v>_</v>
      </c>
    </row>
    <row r="3285" spans="8:8">
      <c r="H3285" s="63" t="str">
        <f t="shared" si="51"/>
        <v>_</v>
      </c>
    </row>
    <row r="3286" spans="8:8">
      <c r="H3286" s="63" t="str">
        <f t="shared" si="51"/>
        <v>_</v>
      </c>
    </row>
    <row r="3287" spans="8:8">
      <c r="H3287" s="63" t="str">
        <f t="shared" si="51"/>
        <v>_</v>
      </c>
    </row>
    <row r="3288" spans="8:8">
      <c r="H3288" s="63" t="str">
        <f t="shared" si="51"/>
        <v>_</v>
      </c>
    </row>
    <row r="3289" spans="8:8">
      <c r="H3289" s="63" t="str">
        <f t="shared" si="51"/>
        <v>_</v>
      </c>
    </row>
    <row r="3290" spans="8:8">
      <c r="H3290" s="63" t="str">
        <f t="shared" si="51"/>
        <v>_</v>
      </c>
    </row>
    <row r="3291" spans="8:8">
      <c r="H3291" s="63" t="str">
        <f t="shared" si="51"/>
        <v>_</v>
      </c>
    </row>
    <row r="3292" spans="8:8">
      <c r="H3292" s="63" t="str">
        <f t="shared" si="51"/>
        <v>_</v>
      </c>
    </row>
    <row r="3293" spans="8:8">
      <c r="H3293" s="63" t="str">
        <f t="shared" si="51"/>
        <v>_</v>
      </c>
    </row>
    <row r="3294" spans="8:8">
      <c r="H3294" s="63" t="str">
        <f t="shared" si="51"/>
        <v>_</v>
      </c>
    </row>
    <row r="3295" spans="8:8">
      <c r="H3295" s="63" t="str">
        <f t="shared" si="51"/>
        <v>_</v>
      </c>
    </row>
    <row r="3296" spans="8:8">
      <c r="H3296" s="63" t="str">
        <f t="shared" si="51"/>
        <v>_</v>
      </c>
    </row>
    <row r="3297" spans="8:8">
      <c r="H3297" s="63" t="str">
        <f t="shared" si="51"/>
        <v>_</v>
      </c>
    </row>
    <row r="3298" spans="8:8">
      <c r="H3298" s="63" t="str">
        <f t="shared" si="51"/>
        <v>_</v>
      </c>
    </row>
    <row r="3299" spans="8:8">
      <c r="H3299" s="63" t="str">
        <f t="shared" si="51"/>
        <v>_</v>
      </c>
    </row>
    <row r="3300" spans="8:8">
      <c r="H3300" s="63" t="str">
        <f t="shared" si="51"/>
        <v>_</v>
      </c>
    </row>
    <row r="3301" spans="8:8">
      <c r="H3301" s="63" t="str">
        <f t="shared" si="51"/>
        <v>_</v>
      </c>
    </row>
    <row r="3302" spans="8:8">
      <c r="H3302" s="63" t="str">
        <f t="shared" si="51"/>
        <v>_</v>
      </c>
    </row>
    <row r="3303" spans="8:8">
      <c r="H3303" s="63" t="str">
        <f t="shared" si="51"/>
        <v>_</v>
      </c>
    </row>
    <row r="3304" spans="8:8">
      <c r="H3304" s="63" t="str">
        <f t="shared" si="51"/>
        <v>_</v>
      </c>
    </row>
    <row r="3305" spans="8:8">
      <c r="H3305" s="63" t="str">
        <f t="shared" si="51"/>
        <v>_</v>
      </c>
    </row>
    <row r="3306" spans="8:8">
      <c r="H3306" s="63" t="str">
        <f t="shared" si="51"/>
        <v>_</v>
      </c>
    </row>
    <row r="3307" spans="8:8">
      <c r="H3307" s="63" t="str">
        <f t="shared" si="51"/>
        <v>_</v>
      </c>
    </row>
    <row r="3308" spans="8:8">
      <c r="H3308" s="63" t="str">
        <f t="shared" si="51"/>
        <v>_</v>
      </c>
    </row>
    <row r="3309" spans="8:8">
      <c r="H3309" s="63" t="str">
        <f t="shared" si="51"/>
        <v>_</v>
      </c>
    </row>
    <row r="3310" spans="8:8">
      <c r="H3310" s="63" t="str">
        <f t="shared" si="51"/>
        <v>_</v>
      </c>
    </row>
    <row r="3311" spans="8:8">
      <c r="H3311" s="63" t="str">
        <f t="shared" si="51"/>
        <v>_</v>
      </c>
    </row>
    <row r="3312" spans="8:8">
      <c r="H3312" s="63" t="str">
        <f t="shared" si="51"/>
        <v>_</v>
      </c>
    </row>
    <row r="3313" spans="8:8">
      <c r="H3313" s="63" t="str">
        <f t="shared" si="51"/>
        <v>_</v>
      </c>
    </row>
    <row r="3314" spans="8:8">
      <c r="H3314" s="63" t="str">
        <f t="shared" si="51"/>
        <v>_</v>
      </c>
    </row>
    <row r="3315" spans="8:8">
      <c r="H3315" s="63" t="str">
        <f t="shared" si="51"/>
        <v>_</v>
      </c>
    </row>
    <row r="3316" spans="8:8">
      <c r="H3316" s="63" t="str">
        <f t="shared" si="51"/>
        <v>_</v>
      </c>
    </row>
    <row r="3317" spans="8:8">
      <c r="H3317" s="63" t="str">
        <f t="shared" si="51"/>
        <v>_</v>
      </c>
    </row>
    <row r="3318" spans="8:8">
      <c r="H3318" s="63" t="str">
        <f t="shared" si="51"/>
        <v>_</v>
      </c>
    </row>
    <row r="3319" spans="8:8">
      <c r="H3319" s="63" t="str">
        <f t="shared" si="51"/>
        <v>_</v>
      </c>
    </row>
    <row r="3320" spans="8:8">
      <c r="H3320" s="63" t="str">
        <f t="shared" si="51"/>
        <v>_</v>
      </c>
    </row>
    <row r="3321" spans="8:8">
      <c r="H3321" s="63" t="str">
        <f t="shared" si="51"/>
        <v>_</v>
      </c>
    </row>
    <row r="3322" spans="8:8">
      <c r="H3322" s="63" t="str">
        <f t="shared" si="51"/>
        <v>_</v>
      </c>
    </row>
    <row r="3323" spans="8:8">
      <c r="H3323" s="63" t="str">
        <f t="shared" si="51"/>
        <v>_</v>
      </c>
    </row>
    <row r="3324" spans="8:8">
      <c r="H3324" s="63" t="str">
        <f t="shared" si="51"/>
        <v>_</v>
      </c>
    </row>
    <row r="3325" spans="8:8">
      <c r="H3325" s="63" t="str">
        <f t="shared" si="51"/>
        <v>_</v>
      </c>
    </row>
    <row r="3326" spans="8:8">
      <c r="H3326" s="63" t="str">
        <f t="shared" si="51"/>
        <v>_</v>
      </c>
    </row>
    <row r="3327" spans="8:8">
      <c r="H3327" s="63" t="str">
        <f t="shared" si="51"/>
        <v>_</v>
      </c>
    </row>
    <row r="3328" spans="8:8">
      <c r="H3328" s="63" t="str">
        <f t="shared" si="51"/>
        <v>_</v>
      </c>
    </row>
    <row r="3329" spans="8:8">
      <c r="H3329" s="63" t="str">
        <f t="shared" si="51"/>
        <v>_</v>
      </c>
    </row>
    <row r="3330" spans="8:8">
      <c r="H3330" s="63" t="str">
        <f t="shared" si="51"/>
        <v>_</v>
      </c>
    </row>
    <row r="3331" spans="8:8">
      <c r="H3331" s="63" t="str">
        <f t="shared" ref="H3331:H3394" si="52">IF(OR(MID(A3331,6,10)="NASPP",MID(A3331,6,10)="RASPP"),"RNASPP",IF(OR(MID(A3331,6,10)="NSFAP",MID(A3331,6,10)="RSPOA"),"RNSPOA",IF(OR(A3331="ULGALLOC",A3331="ULSPOOL"),A3331,IF(MID(A3331,6,5)="ANSSP","ASSP1",MID(A3331,6,10)))))&amp;"_"&amp;B3331</f>
        <v>_</v>
      </c>
    </row>
    <row r="3332" spans="8:8">
      <c r="H3332" s="63" t="str">
        <f t="shared" si="52"/>
        <v>_</v>
      </c>
    </row>
    <row r="3333" spans="8:8">
      <c r="H3333" s="63" t="str">
        <f t="shared" si="52"/>
        <v>_</v>
      </c>
    </row>
    <row r="3334" spans="8:8">
      <c r="H3334" s="63" t="str">
        <f t="shared" si="52"/>
        <v>_</v>
      </c>
    </row>
    <row r="3335" spans="8:8">
      <c r="H3335" s="63" t="str">
        <f t="shared" si="52"/>
        <v>_</v>
      </c>
    </row>
    <row r="3336" spans="8:8">
      <c r="H3336" s="63" t="str">
        <f t="shared" si="52"/>
        <v>_</v>
      </c>
    </row>
    <row r="3337" spans="8:8">
      <c r="H3337" s="63" t="str">
        <f t="shared" si="52"/>
        <v>_</v>
      </c>
    </row>
    <row r="3338" spans="8:8">
      <c r="H3338" s="63" t="str">
        <f t="shared" si="52"/>
        <v>_</v>
      </c>
    </row>
    <row r="3339" spans="8:8">
      <c r="H3339" s="63" t="str">
        <f t="shared" si="52"/>
        <v>_</v>
      </c>
    </row>
    <row r="3340" spans="8:8">
      <c r="H3340" s="63" t="str">
        <f t="shared" si="52"/>
        <v>_</v>
      </c>
    </row>
    <row r="3341" spans="8:8">
      <c r="H3341" s="63" t="str">
        <f t="shared" si="52"/>
        <v>_</v>
      </c>
    </row>
    <row r="3342" spans="8:8">
      <c r="H3342" s="63" t="str">
        <f t="shared" si="52"/>
        <v>_</v>
      </c>
    </row>
    <row r="3343" spans="8:8">
      <c r="H3343" s="63" t="str">
        <f t="shared" si="52"/>
        <v>_</v>
      </c>
    </row>
    <row r="3344" spans="8:8">
      <c r="H3344" s="63" t="str">
        <f t="shared" si="52"/>
        <v>_</v>
      </c>
    </row>
    <row r="3345" spans="8:8">
      <c r="H3345" s="63" t="str">
        <f t="shared" si="52"/>
        <v>_</v>
      </c>
    </row>
    <row r="3346" spans="8:8">
      <c r="H3346" s="63" t="str">
        <f t="shared" si="52"/>
        <v>_</v>
      </c>
    </row>
    <row r="3347" spans="8:8">
      <c r="H3347" s="63" t="str">
        <f t="shared" si="52"/>
        <v>_</v>
      </c>
    </row>
    <row r="3348" spans="8:8">
      <c r="H3348" s="63" t="str">
        <f t="shared" si="52"/>
        <v>_</v>
      </c>
    </row>
    <row r="3349" spans="8:8">
      <c r="H3349" s="63" t="str">
        <f t="shared" si="52"/>
        <v>_</v>
      </c>
    </row>
    <row r="3350" spans="8:8">
      <c r="H3350" s="63" t="str">
        <f t="shared" si="52"/>
        <v>_</v>
      </c>
    </row>
    <row r="3351" spans="8:8">
      <c r="H3351" s="63" t="str">
        <f t="shared" si="52"/>
        <v>_</v>
      </c>
    </row>
    <row r="3352" spans="8:8">
      <c r="H3352" s="63" t="str">
        <f t="shared" si="52"/>
        <v>_</v>
      </c>
    </row>
    <row r="3353" spans="8:8">
      <c r="H3353" s="63" t="str">
        <f t="shared" si="52"/>
        <v>_</v>
      </c>
    </row>
    <row r="3354" spans="8:8">
      <c r="H3354" s="63" t="str">
        <f t="shared" si="52"/>
        <v>_</v>
      </c>
    </row>
    <row r="3355" spans="8:8">
      <c r="H3355" s="63" t="str">
        <f t="shared" si="52"/>
        <v>_</v>
      </c>
    </row>
    <row r="3356" spans="8:8">
      <c r="H3356" s="63" t="str">
        <f t="shared" si="52"/>
        <v>_</v>
      </c>
    </row>
    <row r="3357" spans="8:8">
      <c r="H3357" s="63" t="str">
        <f t="shared" si="52"/>
        <v>_</v>
      </c>
    </row>
    <row r="3358" spans="8:8">
      <c r="H3358" s="63" t="str">
        <f t="shared" si="52"/>
        <v>_</v>
      </c>
    </row>
    <row r="3359" spans="8:8">
      <c r="H3359" s="63" t="str">
        <f t="shared" si="52"/>
        <v>_</v>
      </c>
    </row>
    <row r="3360" spans="8:8">
      <c r="H3360" s="63" t="str">
        <f t="shared" si="52"/>
        <v>_</v>
      </c>
    </row>
    <row r="3361" spans="8:8">
      <c r="H3361" s="63" t="str">
        <f t="shared" si="52"/>
        <v>_</v>
      </c>
    </row>
    <row r="3362" spans="8:8">
      <c r="H3362" s="63" t="str">
        <f t="shared" si="52"/>
        <v>_</v>
      </c>
    </row>
    <row r="3363" spans="8:8">
      <c r="H3363" s="63" t="str">
        <f t="shared" si="52"/>
        <v>_</v>
      </c>
    </row>
    <row r="3364" spans="8:8">
      <c r="H3364" s="63" t="str">
        <f t="shared" si="52"/>
        <v>_</v>
      </c>
    </row>
    <row r="3365" spans="8:8">
      <c r="H3365" s="63" t="str">
        <f t="shared" si="52"/>
        <v>_</v>
      </c>
    </row>
    <row r="3366" spans="8:8">
      <c r="H3366" s="63" t="str">
        <f t="shared" si="52"/>
        <v>_</v>
      </c>
    </row>
    <row r="3367" spans="8:8">
      <c r="H3367" s="63" t="str">
        <f t="shared" si="52"/>
        <v>_</v>
      </c>
    </row>
    <row r="3368" spans="8:8">
      <c r="H3368" s="63" t="str">
        <f t="shared" si="52"/>
        <v>_</v>
      </c>
    </row>
    <row r="3369" spans="8:8">
      <c r="H3369" s="63" t="str">
        <f t="shared" si="52"/>
        <v>_</v>
      </c>
    </row>
    <row r="3370" spans="8:8">
      <c r="H3370" s="63" t="str">
        <f t="shared" si="52"/>
        <v>_</v>
      </c>
    </row>
    <row r="3371" spans="8:8">
      <c r="H3371" s="63" t="str">
        <f t="shared" si="52"/>
        <v>_</v>
      </c>
    </row>
    <row r="3372" spans="8:8">
      <c r="H3372" s="63" t="str">
        <f t="shared" si="52"/>
        <v>_</v>
      </c>
    </row>
    <row r="3373" spans="8:8">
      <c r="H3373" s="63" t="str">
        <f t="shared" si="52"/>
        <v>_</v>
      </c>
    </row>
    <row r="3374" spans="8:8">
      <c r="H3374" s="63" t="str">
        <f t="shared" si="52"/>
        <v>_</v>
      </c>
    </row>
    <row r="3375" spans="8:8">
      <c r="H3375" s="63" t="str">
        <f t="shared" si="52"/>
        <v>_</v>
      </c>
    </row>
    <row r="3376" spans="8:8">
      <c r="H3376" s="63" t="str">
        <f t="shared" si="52"/>
        <v>_</v>
      </c>
    </row>
    <row r="3377" spans="8:8">
      <c r="H3377" s="63" t="str">
        <f t="shared" si="52"/>
        <v>_</v>
      </c>
    </row>
    <row r="3378" spans="8:8">
      <c r="H3378" s="63" t="str">
        <f t="shared" si="52"/>
        <v>_</v>
      </c>
    </row>
    <row r="3379" spans="8:8">
      <c r="H3379" s="63" t="str">
        <f t="shared" si="52"/>
        <v>_</v>
      </c>
    </row>
    <row r="3380" spans="8:8">
      <c r="H3380" s="63" t="str">
        <f t="shared" si="52"/>
        <v>_</v>
      </c>
    </row>
    <row r="3381" spans="8:8">
      <c r="H3381" s="63" t="str">
        <f t="shared" si="52"/>
        <v>_</v>
      </c>
    </row>
    <row r="3382" spans="8:8">
      <c r="H3382" s="63" t="str">
        <f t="shared" si="52"/>
        <v>_</v>
      </c>
    </row>
    <row r="3383" spans="8:8">
      <c r="H3383" s="63" t="str">
        <f t="shared" si="52"/>
        <v>_</v>
      </c>
    </row>
    <row r="3384" spans="8:8">
      <c r="H3384" s="63" t="str">
        <f t="shared" si="52"/>
        <v>_</v>
      </c>
    </row>
    <row r="3385" spans="8:8">
      <c r="H3385" s="63" t="str">
        <f t="shared" si="52"/>
        <v>_</v>
      </c>
    </row>
    <row r="3386" spans="8:8">
      <c r="H3386" s="63" t="str">
        <f t="shared" si="52"/>
        <v>_</v>
      </c>
    </row>
    <row r="3387" spans="8:8">
      <c r="H3387" s="63" t="str">
        <f t="shared" si="52"/>
        <v>_</v>
      </c>
    </row>
    <row r="3388" spans="8:8">
      <c r="H3388" s="63" t="str">
        <f t="shared" si="52"/>
        <v>_</v>
      </c>
    </row>
    <row r="3389" spans="8:8">
      <c r="H3389" s="63" t="str">
        <f t="shared" si="52"/>
        <v>_</v>
      </c>
    </row>
    <row r="3390" spans="8:8">
      <c r="H3390" s="63" t="str">
        <f t="shared" si="52"/>
        <v>_</v>
      </c>
    </row>
    <row r="3391" spans="8:8">
      <c r="H3391" s="63" t="str">
        <f t="shared" si="52"/>
        <v>_</v>
      </c>
    </row>
    <row r="3392" spans="8:8">
      <c r="H3392" s="63" t="str">
        <f t="shared" si="52"/>
        <v>_</v>
      </c>
    </row>
    <row r="3393" spans="8:8">
      <c r="H3393" s="63" t="str">
        <f t="shared" si="52"/>
        <v>_</v>
      </c>
    </row>
    <row r="3394" spans="8:8">
      <c r="H3394" s="63" t="str">
        <f t="shared" si="52"/>
        <v>_</v>
      </c>
    </row>
    <row r="3395" spans="8:8">
      <c r="H3395" s="63" t="str">
        <f t="shared" ref="H3395:H3458" si="53">IF(OR(MID(A3395,6,10)="NASPP",MID(A3395,6,10)="RASPP"),"RNASPP",IF(OR(MID(A3395,6,10)="NSFAP",MID(A3395,6,10)="RSPOA"),"RNSPOA",IF(OR(A3395="ULGALLOC",A3395="ULSPOOL"),A3395,IF(MID(A3395,6,5)="ANSSP","ASSP1",MID(A3395,6,10)))))&amp;"_"&amp;B3395</f>
        <v>_</v>
      </c>
    </row>
    <row r="3396" spans="8:8">
      <c r="H3396" s="63" t="str">
        <f t="shared" si="53"/>
        <v>_</v>
      </c>
    </row>
    <row r="3397" spans="8:8">
      <c r="H3397" s="63" t="str">
        <f t="shared" si="53"/>
        <v>_</v>
      </c>
    </row>
    <row r="3398" spans="8:8">
      <c r="H3398" s="63" t="str">
        <f t="shared" si="53"/>
        <v>_</v>
      </c>
    </row>
    <row r="3399" spans="8:8">
      <c r="H3399" s="63" t="str">
        <f t="shared" si="53"/>
        <v>_</v>
      </c>
    </row>
    <row r="3400" spans="8:8">
      <c r="H3400" s="63" t="str">
        <f t="shared" si="53"/>
        <v>_</v>
      </c>
    </row>
    <row r="3401" spans="8:8">
      <c r="H3401" s="63" t="str">
        <f t="shared" si="53"/>
        <v>_</v>
      </c>
    </row>
    <row r="3402" spans="8:8">
      <c r="H3402" s="63" t="str">
        <f t="shared" si="53"/>
        <v>_</v>
      </c>
    </row>
    <row r="3403" spans="8:8">
      <c r="H3403" s="63" t="str">
        <f t="shared" si="53"/>
        <v>_</v>
      </c>
    </row>
    <row r="3404" spans="8:8">
      <c r="H3404" s="63" t="str">
        <f t="shared" si="53"/>
        <v>_</v>
      </c>
    </row>
    <row r="3405" spans="8:8">
      <c r="H3405" s="63" t="str">
        <f t="shared" si="53"/>
        <v>_</v>
      </c>
    </row>
    <row r="3406" spans="8:8">
      <c r="H3406" s="63" t="str">
        <f t="shared" si="53"/>
        <v>_</v>
      </c>
    </row>
    <row r="3407" spans="8:8">
      <c r="H3407" s="63" t="str">
        <f t="shared" si="53"/>
        <v>_</v>
      </c>
    </row>
    <row r="3408" spans="8:8">
      <c r="H3408" s="63" t="str">
        <f t="shared" si="53"/>
        <v>_</v>
      </c>
    </row>
    <row r="3409" spans="8:8">
      <c r="H3409" s="63" t="str">
        <f t="shared" si="53"/>
        <v>_</v>
      </c>
    </row>
    <row r="3410" spans="8:8">
      <c r="H3410" s="63" t="str">
        <f t="shared" si="53"/>
        <v>_</v>
      </c>
    </row>
    <row r="3411" spans="8:8">
      <c r="H3411" s="63" t="str">
        <f t="shared" si="53"/>
        <v>_</v>
      </c>
    </row>
    <row r="3412" spans="8:8">
      <c r="H3412" s="63" t="str">
        <f t="shared" si="53"/>
        <v>_</v>
      </c>
    </row>
    <row r="3413" spans="8:8">
      <c r="H3413" s="63" t="str">
        <f t="shared" si="53"/>
        <v>_</v>
      </c>
    </row>
    <row r="3414" spans="8:8">
      <c r="H3414" s="63" t="str">
        <f t="shared" si="53"/>
        <v>_</v>
      </c>
    </row>
    <row r="3415" spans="8:8">
      <c r="H3415" s="63" t="str">
        <f t="shared" si="53"/>
        <v>_</v>
      </c>
    </row>
    <row r="3416" spans="8:8">
      <c r="H3416" s="63" t="str">
        <f t="shared" si="53"/>
        <v>_</v>
      </c>
    </row>
    <row r="3417" spans="8:8">
      <c r="H3417" s="63" t="str">
        <f t="shared" si="53"/>
        <v>_</v>
      </c>
    </row>
    <row r="3418" spans="8:8">
      <c r="H3418" s="63" t="str">
        <f t="shared" si="53"/>
        <v>_</v>
      </c>
    </row>
    <row r="3419" spans="8:8">
      <c r="H3419" s="63" t="str">
        <f t="shared" si="53"/>
        <v>_</v>
      </c>
    </row>
    <row r="3420" spans="8:8">
      <c r="H3420" s="63" t="str">
        <f t="shared" si="53"/>
        <v>_</v>
      </c>
    </row>
    <row r="3421" spans="8:8">
      <c r="H3421" s="63" t="str">
        <f t="shared" si="53"/>
        <v>_</v>
      </c>
    </row>
    <row r="3422" spans="8:8">
      <c r="H3422" s="63" t="str">
        <f t="shared" si="53"/>
        <v>_</v>
      </c>
    </row>
    <row r="3423" spans="8:8">
      <c r="H3423" s="63" t="str">
        <f t="shared" si="53"/>
        <v>_</v>
      </c>
    </row>
    <row r="3424" spans="8:8">
      <c r="H3424" s="63" t="str">
        <f t="shared" si="53"/>
        <v>_</v>
      </c>
    </row>
    <row r="3425" spans="8:8">
      <c r="H3425" s="63" t="str">
        <f t="shared" si="53"/>
        <v>_</v>
      </c>
    </row>
    <row r="3426" spans="8:8">
      <c r="H3426" s="63" t="str">
        <f t="shared" si="53"/>
        <v>_</v>
      </c>
    </row>
    <row r="3427" spans="8:8">
      <c r="H3427" s="63" t="str">
        <f t="shared" si="53"/>
        <v>_</v>
      </c>
    </row>
    <row r="3428" spans="8:8">
      <c r="H3428" s="63" t="str">
        <f t="shared" si="53"/>
        <v>_</v>
      </c>
    </row>
    <row r="3429" spans="8:8">
      <c r="H3429" s="63" t="str">
        <f t="shared" si="53"/>
        <v>_</v>
      </c>
    </row>
    <row r="3430" spans="8:8">
      <c r="H3430" s="63" t="str">
        <f t="shared" si="53"/>
        <v>_</v>
      </c>
    </row>
    <row r="3431" spans="8:8">
      <c r="H3431" s="63" t="str">
        <f t="shared" si="53"/>
        <v>_</v>
      </c>
    </row>
    <row r="3432" spans="8:8">
      <c r="H3432" s="63" t="str">
        <f t="shared" si="53"/>
        <v>_</v>
      </c>
    </row>
    <row r="3433" spans="8:8">
      <c r="H3433" s="63" t="str">
        <f t="shared" si="53"/>
        <v>_</v>
      </c>
    </row>
    <row r="3434" spans="8:8">
      <c r="H3434" s="63" t="str">
        <f t="shared" si="53"/>
        <v>_</v>
      </c>
    </row>
    <row r="3435" spans="8:8">
      <c r="H3435" s="63" t="str">
        <f t="shared" si="53"/>
        <v>_</v>
      </c>
    </row>
    <row r="3436" spans="8:8">
      <c r="H3436" s="63" t="str">
        <f t="shared" si="53"/>
        <v>_</v>
      </c>
    </row>
    <row r="3437" spans="8:8">
      <c r="H3437" s="63" t="str">
        <f t="shared" si="53"/>
        <v>_</v>
      </c>
    </row>
    <row r="3438" spans="8:8">
      <c r="H3438" s="63" t="str">
        <f t="shared" si="53"/>
        <v>_</v>
      </c>
    </row>
    <row r="3439" spans="8:8">
      <c r="H3439" s="63" t="str">
        <f t="shared" si="53"/>
        <v>_</v>
      </c>
    </row>
    <row r="3440" spans="8:8">
      <c r="H3440" s="63" t="str">
        <f t="shared" si="53"/>
        <v>_</v>
      </c>
    </row>
    <row r="3441" spans="8:8">
      <c r="H3441" s="63" t="str">
        <f t="shared" si="53"/>
        <v>_</v>
      </c>
    </row>
    <row r="3442" spans="8:8">
      <c r="H3442" s="63" t="str">
        <f t="shared" si="53"/>
        <v>_</v>
      </c>
    </row>
    <row r="3443" spans="8:8">
      <c r="H3443" s="63" t="str">
        <f t="shared" si="53"/>
        <v>_</v>
      </c>
    </row>
    <row r="3444" spans="8:8">
      <c r="H3444" s="63" t="str">
        <f t="shared" si="53"/>
        <v>_</v>
      </c>
    </row>
    <row r="3445" spans="8:8">
      <c r="H3445" s="63" t="str">
        <f t="shared" si="53"/>
        <v>_</v>
      </c>
    </row>
    <row r="3446" spans="8:8">
      <c r="H3446" s="63" t="str">
        <f t="shared" si="53"/>
        <v>_</v>
      </c>
    </row>
    <row r="3447" spans="8:8">
      <c r="H3447" s="63" t="str">
        <f t="shared" si="53"/>
        <v>_</v>
      </c>
    </row>
    <row r="3448" spans="8:8">
      <c r="H3448" s="63" t="str">
        <f t="shared" si="53"/>
        <v>_</v>
      </c>
    </row>
    <row r="3449" spans="8:8">
      <c r="H3449" s="63" t="str">
        <f t="shared" si="53"/>
        <v>_</v>
      </c>
    </row>
    <row r="3450" spans="8:8">
      <c r="H3450" s="63" t="str">
        <f t="shared" si="53"/>
        <v>_</v>
      </c>
    </row>
    <row r="3451" spans="8:8">
      <c r="H3451" s="63" t="str">
        <f t="shared" si="53"/>
        <v>_</v>
      </c>
    </row>
    <row r="3452" spans="8:8">
      <c r="H3452" s="63" t="str">
        <f t="shared" si="53"/>
        <v>_</v>
      </c>
    </row>
    <row r="3453" spans="8:8">
      <c r="H3453" s="63" t="str">
        <f t="shared" si="53"/>
        <v>_</v>
      </c>
    </row>
    <row r="3454" spans="8:8">
      <c r="H3454" s="63" t="str">
        <f t="shared" si="53"/>
        <v>_</v>
      </c>
    </row>
    <row r="3455" spans="8:8">
      <c r="H3455" s="63" t="str">
        <f t="shared" si="53"/>
        <v>_</v>
      </c>
    </row>
    <row r="3456" spans="8:8">
      <c r="H3456" s="63" t="str">
        <f t="shared" si="53"/>
        <v>_</v>
      </c>
    </row>
    <row r="3457" spans="8:8">
      <c r="H3457" s="63" t="str">
        <f t="shared" si="53"/>
        <v>_</v>
      </c>
    </row>
    <row r="3458" spans="8:8">
      <c r="H3458" s="63" t="str">
        <f t="shared" si="53"/>
        <v>_</v>
      </c>
    </row>
    <row r="3459" spans="8:8">
      <c r="H3459" s="63" t="str">
        <f t="shared" ref="H3459:H3522" si="54">IF(OR(MID(A3459,6,10)="NASPP",MID(A3459,6,10)="RASPP"),"RNASPP",IF(OR(MID(A3459,6,10)="NSFAP",MID(A3459,6,10)="RSPOA"),"RNSPOA",IF(OR(A3459="ULGALLOC",A3459="ULSPOOL"),A3459,IF(MID(A3459,6,5)="ANSSP","ASSP1",MID(A3459,6,10)))))&amp;"_"&amp;B3459</f>
        <v>_</v>
      </c>
    </row>
    <row r="3460" spans="8:8">
      <c r="H3460" s="63" t="str">
        <f t="shared" si="54"/>
        <v>_</v>
      </c>
    </row>
    <row r="3461" spans="8:8">
      <c r="H3461" s="63" t="str">
        <f t="shared" si="54"/>
        <v>_</v>
      </c>
    </row>
    <row r="3462" spans="8:8">
      <c r="H3462" s="63" t="str">
        <f t="shared" si="54"/>
        <v>_</v>
      </c>
    </row>
    <row r="3463" spans="8:8">
      <c r="H3463" s="63" t="str">
        <f t="shared" si="54"/>
        <v>_</v>
      </c>
    </row>
    <row r="3464" spans="8:8">
      <c r="H3464" s="63" t="str">
        <f t="shared" si="54"/>
        <v>_</v>
      </c>
    </row>
    <row r="3465" spans="8:8">
      <c r="H3465" s="63" t="str">
        <f t="shared" si="54"/>
        <v>_</v>
      </c>
    </row>
    <row r="3466" spans="8:8">
      <c r="H3466" s="63" t="str">
        <f t="shared" si="54"/>
        <v>_</v>
      </c>
    </row>
    <row r="3467" spans="8:8">
      <c r="H3467" s="63" t="str">
        <f t="shared" si="54"/>
        <v>_</v>
      </c>
    </row>
    <row r="3468" spans="8:8">
      <c r="H3468" s="63" t="str">
        <f t="shared" si="54"/>
        <v>_</v>
      </c>
    </row>
    <row r="3469" spans="8:8">
      <c r="H3469" s="63" t="str">
        <f t="shared" si="54"/>
        <v>_</v>
      </c>
    </row>
    <row r="3470" spans="8:8">
      <c r="H3470" s="63" t="str">
        <f t="shared" si="54"/>
        <v>_</v>
      </c>
    </row>
    <row r="3471" spans="8:8">
      <c r="H3471" s="63" t="str">
        <f t="shared" si="54"/>
        <v>_</v>
      </c>
    </row>
    <row r="3472" spans="8:8">
      <c r="H3472" s="63" t="str">
        <f t="shared" si="54"/>
        <v>_</v>
      </c>
    </row>
    <row r="3473" spans="8:8">
      <c r="H3473" s="63" t="str">
        <f t="shared" si="54"/>
        <v>_</v>
      </c>
    </row>
    <row r="3474" spans="8:8">
      <c r="H3474" s="63" t="str">
        <f t="shared" si="54"/>
        <v>_</v>
      </c>
    </row>
    <row r="3475" spans="8:8">
      <c r="H3475" s="63" t="str">
        <f t="shared" si="54"/>
        <v>_</v>
      </c>
    </row>
    <row r="3476" spans="8:8">
      <c r="H3476" s="63" t="str">
        <f t="shared" si="54"/>
        <v>_</v>
      </c>
    </row>
    <row r="3477" spans="8:8">
      <c r="H3477" s="63" t="str">
        <f t="shared" si="54"/>
        <v>_</v>
      </c>
    </row>
    <row r="3478" spans="8:8">
      <c r="H3478" s="63" t="str">
        <f t="shared" si="54"/>
        <v>_</v>
      </c>
    </row>
    <row r="3479" spans="8:8">
      <c r="H3479" s="63" t="str">
        <f t="shared" si="54"/>
        <v>_</v>
      </c>
    </row>
    <row r="3480" spans="8:8">
      <c r="H3480" s="63" t="str">
        <f t="shared" si="54"/>
        <v>_</v>
      </c>
    </row>
    <row r="3481" spans="8:8">
      <c r="H3481" s="63" t="str">
        <f t="shared" si="54"/>
        <v>_</v>
      </c>
    </row>
    <row r="3482" spans="8:8">
      <c r="H3482" s="63" t="str">
        <f t="shared" si="54"/>
        <v>_</v>
      </c>
    </row>
    <row r="3483" spans="8:8">
      <c r="H3483" s="63" t="str">
        <f t="shared" si="54"/>
        <v>_</v>
      </c>
    </row>
    <row r="3484" spans="8:8">
      <c r="H3484" s="63" t="str">
        <f t="shared" si="54"/>
        <v>_</v>
      </c>
    </row>
    <row r="3485" spans="8:8">
      <c r="H3485" s="63" t="str">
        <f t="shared" si="54"/>
        <v>_</v>
      </c>
    </row>
    <row r="3486" spans="8:8">
      <c r="H3486" s="63" t="str">
        <f t="shared" si="54"/>
        <v>_</v>
      </c>
    </row>
    <row r="3487" spans="8:8">
      <c r="H3487" s="63" t="str">
        <f t="shared" si="54"/>
        <v>_</v>
      </c>
    </row>
    <row r="3488" spans="8:8">
      <c r="H3488" s="63" t="str">
        <f t="shared" si="54"/>
        <v>_</v>
      </c>
    </row>
    <row r="3489" spans="8:8">
      <c r="H3489" s="63" t="str">
        <f t="shared" si="54"/>
        <v>_</v>
      </c>
    </row>
    <row r="3490" spans="8:8">
      <c r="H3490" s="63" t="str">
        <f t="shared" si="54"/>
        <v>_</v>
      </c>
    </row>
    <row r="3491" spans="8:8">
      <c r="H3491" s="63" t="str">
        <f t="shared" si="54"/>
        <v>_</v>
      </c>
    </row>
    <row r="3492" spans="8:8">
      <c r="H3492" s="63" t="str">
        <f t="shared" si="54"/>
        <v>_</v>
      </c>
    </row>
    <row r="3493" spans="8:8">
      <c r="H3493" s="63" t="str">
        <f t="shared" si="54"/>
        <v>_</v>
      </c>
    </row>
    <row r="3494" spans="8:8">
      <c r="H3494" s="63" t="str">
        <f t="shared" si="54"/>
        <v>_</v>
      </c>
    </row>
    <row r="3495" spans="8:8">
      <c r="H3495" s="63" t="str">
        <f t="shared" si="54"/>
        <v>_</v>
      </c>
    </row>
    <row r="3496" spans="8:8">
      <c r="H3496" s="63" t="str">
        <f t="shared" si="54"/>
        <v>_</v>
      </c>
    </row>
    <row r="3497" spans="8:8">
      <c r="H3497" s="63" t="str">
        <f t="shared" si="54"/>
        <v>_</v>
      </c>
    </row>
    <row r="3498" spans="8:8">
      <c r="H3498" s="63" t="str">
        <f t="shared" si="54"/>
        <v>_</v>
      </c>
    </row>
    <row r="3499" spans="8:8">
      <c r="H3499" s="63" t="str">
        <f t="shared" si="54"/>
        <v>_</v>
      </c>
    </row>
    <row r="3500" spans="8:8">
      <c r="H3500" s="63" t="str">
        <f t="shared" si="54"/>
        <v>_</v>
      </c>
    </row>
    <row r="3501" spans="8:8">
      <c r="H3501" s="63" t="str">
        <f t="shared" si="54"/>
        <v>_</v>
      </c>
    </row>
    <row r="3502" spans="8:8">
      <c r="H3502" s="63" t="str">
        <f t="shared" si="54"/>
        <v>_</v>
      </c>
    </row>
    <row r="3503" spans="8:8">
      <c r="H3503" s="63" t="str">
        <f t="shared" si="54"/>
        <v>_</v>
      </c>
    </row>
    <row r="3504" spans="8:8">
      <c r="H3504" s="63" t="str">
        <f t="shared" si="54"/>
        <v>_</v>
      </c>
    </row>
    <row r="3505" spans="8:8">
      <c r="H3505" s="63" t="str">
        <f t="shared" si="54"/>
        <v>_</v>
      </c>
    </row>
    <row r="3506" spans="8:8">
      <c r="H3506" s="63" t="str">
        <f t="shared" si="54"/>
        <v>_</v>
      </c>
    </row>
    <row r="3507" spans="8:8">
      <c r="H3507" s="63" t="str">
        <f t="shared" si="54"/>
        <v>_</v>
      </c>
    </row>
    <row r="3508" spans="8:8">
      <c r="H3508" s="63" t="str">
        <f t="shared" si="54"/>
        <v>_</v>
      </c>
    </row>
    <row r="3509" spans="8:8">
      <c r="H3509" s="63" t="str">
        <f t="shared" si="54"/>
        <v>_</v>
      </c>
    </row>
    <row r="3510" spans="8:8">
      <c r="H3510" s="63" t="str">
        <f t="shared" si="54"/>
        <v>_</v>
      </c>
    </row>
    <row r="3511" spans="8:8">
      <c r="H3511" s="63" t="str">
        <f t="shared" si="54"/>
        <v>_</v>
      </c>
    </row>
    <row r="3512" spans="8:8">
      <c r="H3512" s="63" t="str">
        <f t="shared" si="54"/>
        <v>_</v>
      </c>
    </row>
    <row r="3513" spans="8:8">
      <c r="H3513" s="63" t="str">
        <f t="shared" si="54"/>
        <v>_</v>
      </c>
    </row>
    <row r="3514" spans="8:8">
      <c r="H3514" s="63" t="str">
        <f t="shared" si="54"/>
        <v>_</v>
      </c>
    </row>
    <row r="3515" spans="8:8">
      <c r="H3515" s="63" t="str">
        <f t="shared" si="54"/>
        <v>_</v>
      </c>
    </row>
    <row r="3516" spans="8:8">
      <c r="H3516" s="63" t="str">
        <f t="shared" si="54"/>
        <v>_</v>
      </c>
    </row>
    <row r="3517" spans="8:8">
      <c r="H3517" s="63" t="str">
        <f t="shared" si="54"/>
        <v>_</v>
      </c>
    </row>
    <row r="3518" spans="8:8">
      <c r="H3518" s="63" t="str">
        <f t="shared" si="54"/>
        <v>_</v>
      </c>
    </row>
    <row r="3519" spans="8:8">
      <c r="H3519" s="63" t="str">
        <f t="shared" si="54"/>
        <v>_</v>
      </c>
    </row>
    <row r="3520" spans="8:8">
      <c r="H3520" s="63" t="str">
        <f t="shared" si="54"/>
        <v>_</v>
      </c>
    </row>
    <row r="3521" spans="8:8">
      <c r="H3521" s="63" t="str">
        <f t="shared" si="54"/>
        <v>_</v>
      </c>
    </row>
    <row r="3522" spans="8:8">
      <c r="H3522" s="63" t="str">
        <f t="shared" si="54"/>
        <v>_</v>
      </c>
    </row>
    <row r="3523" spans="8:8">
      <c r="H3523" s="63" t="str">
        <f t="shared" ref="H3523:H3586" si="55">IF(OR(MID(A3523,6,10)="NASPP",MID(A3523,6,10)="RASPP"),"RNASPP",IF(OR(MID(A3523,6,10)="NSFAP",MID(A3523,6,10)="RSPOA"),"RNSPOA",IF(OR(A3523="ULGALLOC",A3523="ULSPOOL"),A3523,IF(MID(A3523,6,5)="ANSSP","ASSP1",MID(A3523,6,10)))))&amp;"_"&amp;B3523</f>
        <v>_</v>
      </c>
    </row>
    <row r="3524" spans="8:8">
      <c r="H3524" s="63" t="str">
        <f t="shared" si="55"/>
        <v>_</v>
      </c>
    </row>
    <row r="3525" spans="8:8">
      <c r="H3525" s="63" t="str">
        <f t="shared" si="55"/>
        <v>_</v>
      </c>
    </row>
    <row r="3526" spans="8:8">
      <c r="H3526" s="63" t="str">
        <f t="shared" si="55"/>
        <v>_</v>
      </c>
    </row>
    <row r="3527" spans="8:8">
      <c r="H3527" s="63" t="str">
        <f t="shared" si="55"/>
        <v>_</v>
      </c>
    </row>
    <row r="3528" spans="8:8">
      <c r="H3528" s="63" t="str">
        <f t="shared" si="55"/>
        <v>_</v>
      </c>
    </row>
    <row r="3529" spans="8:8">
      <c r="H3529" s="63" t="str">
        <f t="shared" si="55"/>
        <v>_</v>
      </c>
    </row>
    <row r="3530" spans="8:8">
      <c r="H3530" s="63" t="str">
        <f t="shared" si="55"/>
        <v>_</v>
      </c>
    </row>
    <row r="3531" spans="8:8">
      <c r="H3531" s="63" t="str">
        <f t="shared" si="55"/>
        <v>_</v>
      </c>
    </row>
    <row r="3532" spans="8:8">
      <c r="H3532" s="63" t="str">
        <f t="shared" si="55"/>
        <v>_</v>
      </c>
    </row>
    <row r="3533" spans="8:8">
      <c r="H3533" s="63" t="str">
        <f t="shared" si="55"/>
        <v>_</v>
      </c>
    </row>
    <row r="3534" spans="8:8">
      <c r="H3534" s="63" t="str">
        <f t="shared" si="55"/>
        <v>_</v>
      </c>
    </row>
    <row r="3535" spans="8:8">
      <c r="H3535" s="63" t="str">
        <f t="shared" si="55"/>
        <v>_</v>
      </c>
    </row>
    <row r="3536" spans="8:8">
      <c r="H3536" s="63" t="str">
        <f t="shared" si="55"/>
        <v>_</v>
      </c>
    </row>
    <row r="3537" spans="8:8">
      <c r="H3537" s="63" t="str">
        <f t="shared" si="55"/>
        <v>_</v>
      </c>
    </row>
    <row r="3538" spans="8:8">
      <c r="H3538" s="63" t="str">
        <f t="shared" si="55"/>
        <v>_</v>
      </c>
    </row>
    <row r="3539" spans="8:8">
      <c r="H3539" s="63" t="str">
        <f t="shared" si="55"/>
        <v>_</v>
      </c>
    </row>
    <row r="3540" spans="8:8">
      <c r="H3540" s="63" t="str">
        <f t="shared" si="55"/>
        <v>_</v>
      </c>
    </row>
    <row r="3541" spans="8:8">
      <c r="H3541" s="63" t="str">
        <f t="shared" si="55"/>
        <v>_</v>
      </c>
    </row>
    <row r="3542" spans="8:8">
      <c r="H3542" s="63" t="str">
        <f t="shared" si="55"/>
        <v>_</v>
      </c>
    </row>
    <row r="3543" spans="8:8">
      <c r="H3543" s="63" t="str">
        <f t="shared" si="55"/>
        <v>_</v>
      </c>
    </row>
    <row r="3544" spans="8:8">
      <c r="H3544" s="63" t="str">
        <f t="shared" si="55"/>
        <v>_</v>
      </c>
    </row>
    <row r="3545" spans="8:8">
      <c r="H3545" s="63" t="str">
        <f t="shared" si="55"/>
        <v>_</v>
      </c>
    </row>
    <row r="3546" spans="8:8">
      <c r="H3546" s="63" t="str">
        <f t="shared" si="55"/>
        <v>_</v>
      </c>
    </row>
    <row r="3547" spans="8:8">
      <c r="H3547" s="63" t="str">
        <f t="shared" si="55"/>
        <v>_</v>
      </c>
    </row>
    <row r="3548" spans="8:8">
      <c r="H3548" s="63" t="str">
        <f t="shared" si="55"/>
        <v>_</v>
      </c>
    </row>
    <row r="3549" spans="8:8">
      <c r="H3549" s="63" t="str">
        <f t="shared" si="55"/>
        <v>_</v>
      </c>
    </row>
    <row r="3550" spans="8:8">
      <c r="H3550" s="63" t="str">
        <f t="shared" si="55"/>
        <v>_</v>
      </c>
    </row>
    <row r="3551" spans="8:8">
      <c r="H3551" s="63" t="str">
        <f t="shared" si="55"/>
        <v>_</v>
      </c>
    </row>
    <row r="3552" spans="8:8">
      <c r="H3552" s="63" t="str">
        <f t="shared" si="55"/>
        <v>_</v>
      </c>
    </row>
    <row r="3553" spans="8:8">
      <c r="H3553" s="63" t="str">
        <f t="shared" si="55"/>
        <v>_</v>
      </c>
    </row>
    <row r="3554" spans="8:8">
      <c r="H3554" s="63" t="str">
        <f t="shared" si="55"/>
        <v>_</v>
      </c>
    </row>
    <row r="3555" spans="8:8">
      <c r="H3555" s="63" t="str">
        <f t="shared" si="55"/>
        <v>_</v>
      </c>
    </row>
    <row r="3556" spans="8:8">
      <c r="H3556" s="63" t="str">
        <f t="shared" si="55"/>
        <v>_</v>
      </c>
    </row>
    <row r="3557" spans="8:8">
      <c r="H3557" s="63" t="str">
        <f t="shared" si="55"/>
        <v>_</v>
      </c>
    </row>
    <row r="3558" spans="8:8">
      <c r="H3558" s="63" t="str">
        <f t="shared" si="55"/>
        <v>_</v>
      </c>
    </row>
    <row r="3559" spans="8:8">
      <c r="H3559" s="63" t="str">
        <f t="shared" si="55"/>
        <v>_</v>
      </c>
    </row>
    <row r="3560" spans="8:8">
      <c r="H3560" s="63" t="str">
        <f t="shared" si="55"/>
        <v>_</v>
      </c>
    </row>
    <row r="3561" spans="8:8">
      <c r="H3561" s="63" t="str">
        <f t="shared" si="55"/>
        <v>_</v>
      </c>
    </row>
    <row r="3562" spans="8:8">
      <c r="H3562" s="63" t="str">
        <f t="shared" si="55"/>
        <v>_</v>
      </c>
    </row>
    <row r="3563" spans="8:8">
      <c r="H3563" s="63" t="str">
        <f t="shared" si="55"/>
        <v>_</v>
      </c>
    </row>
    <row r="3564" spans="8:8">
      <c r="H3564" s="63" t="str">
        <f t="shared" si="55"/>
        <v>_</v>
      </c>
    </row>
    <row r="3565" spans="8:8">
      <c r="H3565" s="63" t="str">
        <f t="shared" si="55"/>
        <v>_</v>
      </c>
    </row>
    <row r="3566" spans="8:8">
      <c r="H3566" s="63" t="str">
        <f t="shared" si="55"/>
        <v>_</v>
      </c>
    </row>
    <row r="3567" spans="8:8">
      <c r="H3567" s="63" t="str">
        <f t="shared" si="55"/>
        <v>_</v>
      </c>
    </row>
    <row r="3568" spans="8:8">
      <c r="H3568" s="63" t="str">
        <f t="shared" si="55"/>
        <v>_</v>
      </c>
    </row>
    <row r="3569" spans="8:8">
      <c r="H3569" s="63" t="str">
        <f t="shared" si="55"/>
        <v>_</v>
      </c>
    </row>
    <row r="3570" spans="8:8">
      <c r="H3570" s="63" t="str">
        <f t="shared" si="55"/>
        <v>_</v>
      </c>
    </row>
    <row r="3571" spans="8:8">
      <c r="H3571" s="63" t="str">
        <f t="shared" si="55"/>
        <v>_</v>
      </c>
    </row>
    <row r="3572" spans="8:8">
      <c r="H3572" s="63" t="str">
        <f t="shared" si="55"/>
        <v>_</v>
      </c>
    </row>
    <row r="3573" spans="8:8">
      <c r="H3573" s="63" t="str">
        <f t="shared" si="55"/>
        <v>_</v>
      </c>
    </row>
    <row r="3574" spans="8:8">
      <c r="H3574" s="63" t="str">
        <f t="shared" si="55"/>
        <v>_</v>
      </c>
    </row>
    <row r="3575" spans="8:8">
      <c r="H3575" s="63" t="str">
        <f t="shared" si="55"/>
        <v>_</v>
      </c>
    </row>
    <row r="3576" spans="8:8">
      <c r="H3576" s="63" t="str">
        <f t="shared" si="55"/>
        <v>_</v>
      </c>
    </row>
    <row r="3577" spans="8:8">
      <c r="H3577" s="63" t="str">
        <f t="shared" si="55"/>
        <v>_</v>
      </c>
    </row>
    <row r="3578" spans="8:8">
      <c r="H3578" s="63" t="str">
        <f t="shared" si="55"/>
        <v>_</v>
      </c>
    </row>
    <row r="3579" spans="8:8">
      <c r="H3579" s="63" t="str">
        <f t="shared" si="55"/>
        <v>_</v>
      </c>
    </row>
    <row r="3580" spans="8:8">
      <c r="H3580" s="63" t="str">
        <f t="shared" si="55"/>
        <v>_</v>
      </c>
    </row>
    <row r="3581" spans="8:8">
      <c r="H3581" s="63" t="str">
        <f t="shared" si="55"/>
        <v>_</v>
      </c>
    </row>
    <row r="3582" spans="8:8">
      <c r="H3582" s="63" t="str">
        <f t="shared" si="55"/>
        <v>_</v>
      </c>
    </row>
    <row r="3583" spans="8:8">
      <c r="H3583" s="63" t="str">
        <f t="shared" si="55"/>
        <v>_</v>
      </c>
    </row>
    <row r="3584" spans="8:8">
      <c r="H3584" s="63" t="str">
        <f t="shared" si="55"/>
        <v>_</v>
      </c>
    </row>
    <row r="3585" spans="8:8">
      <c r="H3585" s="63" t="str">
        <f t="shared" si="55"/>
        <v>_</v>
      </c>
    </row>
    <row r="3586" spans="8:8">
      <c r="H3586" s="63" t="str">
        <f t="shared" si="55"/>
        <v>_</v>
      </c>
    </row>
    <row r="3587" spans="8:8">
      <c r="H3587" s="63" t="str">
        <f t="shared" ref="H3587:H3650" si="56">IF(OR(MID(A3587,6,10)="NASPP",MID(A3587,6,10)="RASPP"),"RNASPP",IF(OR(MID(A3587,6,10)="NSFAP",MID(A3587,6,10)="RSPOA"),"RNSPOA",IF(OR(A3587="ULGALLOC",A3587="ULSPOOL"),A3587,IF(MID(A3587,6,5)="ANSSP","ASSP1",MID(A3587,6,10)))))&amp;"_"&amp;B3587</f>
        <v>_</v>
      </c>
    </row>
    <row r="3588" spans="8:8">
      <c r="H3588" s="63" t="str">
        <f t="shared" si="56"/>
        <v>_</v>
      </c>
    </row>
    <row r="3589" spans="8:8">
      <c r="H3589" s="63" t="str">
        <f t="shared" si="56"/>
        <v>_</v>
      </c>
    </row>
    <row r="3590" spans="8:8">
      <c r="H3590" s="63" t="str">
        <f t="shared" si="56"/>
        <v>_</v>
      </c>
    </row>
    <row r="3591" spans="8:8">
      <c r="H3591" s="63" t="str">
        <f t="shared" si="56"/>
        <v>_</v>
      </c>
    </row>
    <row r="3592" spans="8:8">
      <c r="H3592" s="63" t="str">
        <f t="shared" si="56"/>
        <v>_</v>
      </c>
    </row>
    <row r="3593" spans="8:8">
      <c r="H3593" s="63" t="str">
        <f t="shared" si="56"/>
        <v>_</v>
      </c>
    </row>
    <row r="3594" spans="8:8">
      <c r="H3594" s="63" t="str">
        <f t="shared" si="56"/>
        <v>_</v>
      </c>
    </row>
    <row r="3595" spans="8:8">
      <c r="H3595" s="63" t="str">
        <f t="shared" si="56"/>
        <v>_</v>
      </c>
    </row>
    <row r="3596" spans="8:8">
      <c r="H3596" s="63" t="str">
        <f t="shared" si="56"/>
        <v>_</v>
      </c>
    </row>
    <row r="3597" spans="8:8">
      <c r="H3597" s="63" t="str">
        <f t="shared" si="56"/>
        <v>_</v>
      </c>
    </row>
    <row r="3598" spans="8:8">
      <c r="H3598" s="63" t="str">
        <f t="shared" si="56"/>
        <v>_</v>
      </c>
    </row>
    <row r="3599" spans="8:8">
      <c r="H3599" s="63" t="str">
        <f t="shared" si="56"/>
        <v>_</v>
      </c>
    </row>
    <row r="3600" spans="8:8">
      <c r="H3600" s="63" t="str">
        <f t="shared" si="56"/>
        <v>_</v>
      </c>
    </row>
    <row r="3601" spans="8:8">
      <c r="H3601" s="63" t="str">
        <f t="shared" si="56"/>
        <v>_</v>
      </c>
    </row>
    <row r="3602" spans="8:8">
      <c r="H3602" s="63" t="str">
        <f t="shared" si="56"/>
        <v>_</v>
      </c>
    </row>
    <row r="3603" spans="8:8">
      <c r="H3603" s="63" t="str">
        <f t="shared" si="56"/>
        <v>_</v>
      </c>
    </row>
    <row r="3604" spans="8:8">
      <c r="H3604" s="63" t="str">
        <f t="shared" si="56"/>
        <v>_</v>
      </c>
    </row>
    <row r="3605" spans="8:8">
      <c r="H3605" s="63" t="str">
        <f t="shared" si="56"/>
        <v>_</v>
      </c>
    </row>
    <row r="3606" spans="8:8">
      <c r="H3606" s="63" t="str">
        <f t="shared" si="56"/>
        <v>_</v>
      </c>
    </row>
    <row r="3607" spans="8:8">
      <c r="H3607" s="63" t="str">
        <f t="shared" si="56"/>
        <v>_</v>
      </c>
    </row>
    <row r="3608" spans="8:8">
      <c r="H3608" s="63" t="str">
        <f t="shared" si="56"/>
        <v>_</v>
      </c>
    </row>
    <row r="3609" spans="8:8">
      <c r="H3609" s="63" t="str">
        <f t="shared" si="56"/>
        <v>_</v>
      </c>
    </row>
    <row r="3610" spans="8:8">
      <c r="H3610" s="63" t="str">
        <f t="shared" si="56"/>
        <v>_</v>
      </c>
    </row>
    <row r="3611" spans="8:8">
      <c r="H3611" s="63" t="str">
        <f t="shared" si="56"/>
        <v>_</v>
      </c>
    </row>
    <row r="3612" spans="8:8">
      <c r="H3612" s="63" t="str">
        <f t="shared" si="56"/>
        <v>_</v>
      </c>
    </row>
    <row r="3613" spans="8:8">
      <c r="H3613" s="63" t="str">
        <f t="shared" si="56"/>
        <v>_</v>
      </c>
    </row>
    <row r="3614" spans="8:8">
      <c r="H3614" s="63" t="str">
        <f t="shared" si="56"/>
        <v>_</v>
      </c>
    </row>
    <row r="3615" spans="8:8">
      <c r="H3615" s="63" t="str">
        <f t="shared" si="56"/>
        <v>_</v>
      </c>
    </row>
    <row r="3616" spans="8:8">
      <c r="H3616" s="63" t="str">
        <f t="shared" si="56"/>
        <v>_</v>
      </c>
    </row>
    <row r="3617" spans="8:8">
      <c r="H3617" s="63" t="str">
        <f t="shared" si="56"/>
        <v>_</v>
      </c>
    </row>
    <row r="3618" spans="8:8">
      <c r="H3618" s="63" t="str">
        <f t="shared" si="56"/>
        <v>_</v>
      </c>
    </row>
    <row r="3619" spans="8:8">
      <c r="H3619" s="63" t="str">
        <f t="shared" si="56"/>
        <v>_</v>
      </c>
    </row>
    <row r="3620" spans="8:8">
      <c r="H3620" s="63" t="str">
        <f t="shared" si="56"/>
        <v>_</v>
      </c>
    </row>
    <row r="3621" spans="8:8">
      <c r="H3621" s="63" t="str">
        <f t="shared" si="56"/>
        <v>_</v>
      </c>
    </row>
    <row r="3622" spans="8:8">
      <c r="H3622" s="63" t="str">
        <f t="shared" si="56"/>
        <v>_</v>
      </c>
    </row>
    <row r="3623" spans="8:8">
      <c r="H3623" s="63" t="str">
        <f t="shared" si="56"/>
        <v>_</v>
      </c>
    </row>
    <row r="3624" spans="8:8">
      <c r="H3624" s="63" t="str">
        <f t="shared" si="56"/>
        <v>_</v>
      </c>
    </row>
    <row r="3625" spans="8:8">
      <c r="H3625" s="63" t="str">
        <f t="shared" si="56"/>
        <v>_</v>
      </c>
    </row>
    <row r="3626" spans="8:8">
      <c r="H3626" s="63" t="str">
        <f t="shared" si="56"/>
        <v>_</v>
      </c>
    </row>
    <row r="3627" spans="8:8">
      <c r="H3627" s="63" t="str">
        <f t="shared" si="56"/>
        <v>_</v>
      </c>
    </row>
    <row r="3628" spans="8:8">
      <c r="H3628" s="63" t="str">
        <f t="shared" si="56"/>
        <v>_</v>
      </c>
    </row>
    <row r="3629" spans="8:8">
      <c r="H3629" s="63" t="str">
        <f t="shared" si="56"/>
        <v>_</v>
      </c>
    </row>
    <row r="3630" spans="8:8">
      <c r="H3630" s="63" t="str">
        <f t="shared" si="56"/>
        <v>_</v>
      </c>
    </row>
    <row r="3631" spans="8:8">
      <c r="H3631" s="63" t="str">
        <f t="shared" si="56"/>
        <v>_</v>
      </c>
    </row>
    <row r="3632" spans="8:8">
      <c r="H3632" s="63" t="str">
        <f t="shared" si="56"/>
        <v>_</v>
      </c>
    </row>
    <row r="3633" spans="8:8">
      <c r="H3633" s="63" t="str">
        <f t="shared" si="56"/>
        <v>_</v>
      </c>
    </row>
    <row r="3634" spans="8:8">
      <c r="H3634" s="63" t="str">
        <f t="shared" si="56"/>
        <v>_</v>
      </c>
    </row>
    <row r="3635" spans="8:8">
      <c r="H3635" s="63" t="str">
        <f t="shared" si="56"/>
        <v>_</v>
      </c>
    </row>
    <row r="3636" spans="8:8">
      <c r="H3636" s="63" t="str">
        <f t="shared" si="56"/>
        <v>_</v>
      </c>
    </row>
    <row r="3637" spans="8:8">
      <c r="H3637" s="63" t="str">
        <f t="shared" si="56"/>
        <v>_</v>
      </c>
    </row>
    <row r="3638" spans="8:8">
      <c r="H3638" s="63" t="str">
        <f t="shared" si="56"/>
        <v>_</v>
      </c>
    </row>
    <row r="3639" spans="8:8">
      <c r="H3639" s="63" t="str">
        <f t="shared" si="56"/>
        <v>_</v>
      </c>
    </row>
    <row r="3640" spans="8:8">
      <c r="H3640" s="63" t="str">
        <f t="shared" si="56"/>
        <v>_</v>
      </c>
    </row>
    <row r="3641" spans="8:8">
      <c r="H3641" s="63" t="str">
        <f t="shared" si="56"/>
        <v>_</v>
      </c>
    </row>
    <row r="3642" spans="8:8">
      <c r="H3642" s="63" t="str">
        <f t="shared" si="56"/>
        <v>_</v>
      </c>
    </row>
    <row r="3643" spans="8:8">
      <c r="H3643" s="63" t="str">
        <f t="shared" si="56"/>
        <v>_</v>
      </c>
    </row>
    <row r="3644" spans="8:8">
      <c r="H3644" s="63" t="str">
        <f t="shared" si="56"/>
        <v>_</v>
      </c>
    </row>
    <row r="3645" spans="8:8">
      <c r="H3645" s="63" t="str">
        <f t="shared" si="56"/>
        <v>_</v>
      </c>
    </row>
    <row r="3646" spans="8:8">
      <c r="H3646" s="63" t="str">
        <f t="shared" si="56"/>
        <v>_</v>
      </c>
    </row>
    <row r="3647" spans="8:8">
      <c r="H3647" s="63" t="str">
        <f t="shared" si="56"/>
        <v>_</v>
      </c>
    </row>
    <row r="3648" spans="8:8">
      <c r="H3648" s="63" t="str">
        <f t="shared" si="56"/>
        <v>_</v>
      </c>
    </row>
    <row r="3649" spans="8:8">
      <c r="H3649" s="63" t="str">
        <f t="shared" si="56"/>
        <v>_</v>
      </c>
    </row>
    <row r="3650" spans="8:8">
      <c r="H3650" s="63" t="str">
        <f t="shared" si="56"/>
        <v>_</v>
      </c>
    </row>
    <row r="3651" spans="8:8">
      <c r="H3651" s="63" t="str">
        <f t="shared" ref="H3651:H3714" si="57">IF(OR(MID(A3651,6,10)="NASPP",MID(A3651,6,10)="RASPP"),"RNASPP",IF(OR(MID(A3651,6,10)="NSFAP",MID(A3651,6,10)="RSPOA"),"RNSPOA",IF(OR(A3651="ULGALLOC",A3651="ULSPOOL"),A3651,IF(MID(A3651,6,5)="ANSSP","ASSP1",MID(A3651,6,10)))))&amp;"_"&amp;B3651</f>
        <v>_</v>
      </c>
    </row>
    <row r="3652" spans="8:8">
      <c r="H3652" s="63" t="str">
        <f t="shared" si="57"/>
        <v>_</v>
      </c>
    </row>
    <row r="3653" spans="8:8">
      <c r="H3653" s="63" t="str">
        <f t="shared" si="57"/>
        <v>_</v>
      </c>
    </row>
    <row r="3654" spans="8:8">
      <c r="H3654" s="63" t="str">
        <f t="shared" si="57"/>
        <v>_</v>
      </c>
    </row>
    <row r="3655" spans="8:8">
      <c r="H3655" s="63" t="str">
        <f t="shared" si="57"/>
        <v>_</v>
      </c>
    </row>
    <row r="3656" spans="8:8">
      <c r="H3656" s="63" t="str">
        <f t="shared" si="57"/>
        <v>_</v>
      </c>
    </row>
    <row r="3657" spans="8:8">
      <c r="H3657" s="63" t="str">
        <f t="shared" si="57"/>
        <v>_</v>
      </c>
    </row>
    <row r="3658" spans="8:8">
      <c r="H3658" s="63" t="str">
        <f t="shared" si="57"/>
        <v>_</v>
      </c>
    </row>
    <row r="3659" spans="8:8">
      <c r="H3659" s="63" t="str">
        <f t="shared" si="57"/>
        <v>_</v>
      </c>
    </row>
    <row r="3660" spans="8:8">
      <c r="H3660" s="63" t="str">
        <f t="shared" si="57"/>
        <v>_</v>
      </c>
    </row>
    <row r="3661" spans="8:8">
      <c r="H3661" s="63" t="str">
        <f t="shared" si="57"/>
        <v>_</v>
      </c>
    </row>
    <row r="3662" spans="8:8">
      <c r="H3662" s="63" t="str">
        <f t="shared" si="57"/>
        <v>_</v>
      </c>
    </row>
    <row r="3663" spans="8:8">
      <c r="H3663" s="63" t="str">
        <f t="shared" si="57"/>
        <v>_</v>
      </c>
    </row>
    <row r="3664" spans="8:8">
      <c r="H3664" s="63" t="str">
        <f t="shared" si="57"/>
        <v>_</v>
      </c>
    </row>
    <row r="3665" spans="8:8">
      <c r="H3665" s="63" t="str">
        <f t="shared" si="57"/>
        <v>_</v>
      </c>
    </row>
    <row r="3666" spans="8:8">
      <c r="H3666" s="63" t="str">
        <f t="shared" si="57"/>
        <v>_</v>
      </c>
    </row>
    <row r="3667" spans="8:8">
      <c r="H3667" s="63" t="str">
        <f t="shared" si="57"/>
        <v>_</v>
      </c>
    </row>
    <row r="3668" spans="8:8">
      <c r="H3668" s="63" t="str">
        <f t="shared" si="57"/>
        <v>_</v>
      </c>
    </row>
    <row r="3669" spans="8:8">
      <c r="H3669" s="63" t="str">
        <f t="shared" si="57"/>
        <v>_</v>
      </c>
    </row>
    <row r="3670" spans="8:8">
      <c r="H3670" s="63" t="str">
        <f t="shared" si="57"/>
        <v>_</v>
      </c>
    </row>
    <row r="3671" spans="8:8">
      <c r="H3671" s="63" t="str">
        <f t="shared" si="57"/>
        <v>_</v>
      </c>
    </row>
    <row r="3672" spans="8:8">
      <c r="H3672" s="63" t="str">
        <f t="shared" si="57"/>
        <v>_</v>
      </c>
    </row>
    <row r="3673" spans="8:8">
      <c r="H3673" s="63" t="str">
        <f t="shared" si="57"/>
        <v>_</v>
      </c>
    </row>
    <row r="3674" spans="8:8">
      <c r="H3674" s="63" t="str">
        <f t="shared" si="57"/>
        <v>_</v>
      </c>
    </row>
    <row r="3675" spans="8:8">
      <c r="H3675" s="63" t="str">
        <f t="shared" si="57"/>
        <v>_</v>
      </c>
    </row>
    <row r="3676" spans="8:8">
      <c r="H3676" s="63" t="str">
        <f t="shared" si="57"/>
        <v>_</v>
      </c>
    </row>
    <row r="3677" spans="8:8">
      <c r="H3677" s="63" t="str">
        <f t="shared" si="57"/>
        <v>_</v>
      </c>
    </row>
    <row r="3678" spans="8:8">
      <c r="H3678" s="63" t="str">
        <f t="shared" si="57"/>
        <v>_</v>
      </c>
    </row>
    <row r="3679" spans="8:8">
      <c r="H3679" s="63" t="str">
        <f t="shared" si="57"/>
        <v>_</v>
      </c>
    </row>
    <row r="3680" spans="8:8">
      <c r="H3680" s="63" t="str">
        <f t="shared" si="57"/>
        <v>_</v>
      </c>
    </row>
    <row r="3681" spans="8:8">
      <c r="H3681" s="63" t="str">
        <f t="shared" si="57"/>
        <v>_</v>
      </c>
    </row>
    <row r="3682" spans="8:8">
      <c r="H3682" s="63" t="str">
        <f t="shared" si="57"/>
        <v>_</v>
      </c>
    </row>
    <row r="3683" spans="8:8">
      <c r="H3683" s="63" t="str">
        <f t="shared" si="57"/>
        <v>_</v>
      </c>
    </row>
    <row r="3684" spans="8:8">
      <c r="H3684" s="63" t="str">
        <f t="shared" si="57"/>
        <v>_</v>
      </c>
    </row>
    <row r="3685" spans="8:8">
      <c r="H3685" s="63" t="str">
        <f t="shared" si="57"/>
        <v>_</v>
      </c>
    </row>
    <row r="3686" spans="8:8">
      <c r="H3686" s="63" t="str">
        <f t="shared" si="57"/>
        <v>_</v>
      </c>
    </row>
    <row r="3687" spans="8:8">
      <c r="H3687" s="63" t="str">
        <f t="shared" si="57"/>
        <v>_</v>
      </c>
    </row>
    <row r="3688" spans="8:8">
      <c r="H3688" s="63" t="str">
        <f t="shared" si="57"/>
        <v>_</v>
      </c>
    </row>
    <row r="3689" spans="8:8">
      <c r="H3689" s="63" t="str">
        <f t="shared" si="57"/>
        <v>_</v>
      </c>
    </row>
    <row r="3690" spans="8:8">
      <c r="H3690" s="63" t="str">
        <f t="shared" si="57"/>
        <v>_</v>
      </c>
    </row>
    <row r="3691" spans="8:8">
      <c r="H3691" s="63" t="str">
        <f t="shared" si="57"/>
        <v>_</v>
      </c>
    </row>
    <row r="3692" spans="8:8">
      <c r="H3692" s="63" t="str">
        <f t="shared" si="57"/>
        <v>_</v>
      </c>
    </row>
    <row r="3693" spans="8:8">
      <c r="H3693" s="63" t="str">
        <f t="shared" si="57"/>
        <v>_</v>
      </c>
    </row>
    <row r="3694" spans="8:8">
      <c r="H3694" s="63" t="str">
        <f t="shared" si="57"/>
        <v>_</v>
      </c>
    </row>
    <row r="3695" spans="8:8">
      <c r="H3695" s="63" t="str">
        <f t="shared" si="57"/>
        <v>_</v>
      </c>
    </row>
    <row r="3696" spans="8:8">
      <c r="H3696" s="63" t="str">
        <f t="shared" si="57"/>
        <v>_</v>
      </c>
    </row>
    <row r="3697" spans="8:8">
      <c r="H3697" s="63" t="str">
        <f t="shared" si="57"/>
        <v>_</v>
      </c>
    </row>
    <row r="3698" spans="8:8">
      <c r="H3698" s="63" t="str">
        <f t="shared" si="57"/>
        <v>_</v>
      </c>
    </row>
    <row r="3699" spans="8:8">
      <c r="H3699" s="63" t="str">
        <f t="shared" si="57"/>
        <v>_</v>
      </c>
    </row>
    <row r="3700" spans="8:8">
      <c r="H3700" s="63" t="str">
        <f t="shared" si="57"/>
        <v>_</v>
      </c>
    </row>
    <row r="3701" spans="8:8">
      <c r="H3701" s="63" t="str">
        <f t="shared" si="57"/>
        <v>_</v>
      </c>
    </row>
    <row r="3702" spans="8:8">
      <c r="H3702" s="63" t="str">
        <f t="shared" si="57"/>
        <v>_</v>
      </c>
    </row>
    <row r="3703" spans="8:8">
      <c r="H3703" s="63" t="str">
        <f t="shared" si="57"/>
        <v>_</v>
      </c>
    </row>
    <row r="3704" spans="8:8">
      <c r="H3704" s="63" t="str">
        <f t="shared" si="57"/>
        <v>_</v>
      </c>
    </row>
    <row r="3705" spans="8:8">
      <c r="H3705" s="63" t="str">
        <f t="shared" si="57"/>
        <v>_</v>
      </c>
    </row>
    <row r="3706" spans="8:8">
      <c r="H3706" s="63" t="str">
        <f t="shared" si="57"/>
        <v>_</v>
      </c>
    </row>
    <row r="3707" spans="8:8">
      <c r="H3707" s="63" t="str">
        <f t="shared" si="57"/>
        <v>_</v>
      </c>
    </row>
    <row r="3708" spans="8:8">
      <c r="H3708" s="63" t="str">
        <f t="shared" si="57"/>
        <v>_</v>
      </c>
    </row>
    <row r="3709" spans="8:8">
      <c r="H3709" s="63" t="str">
        <f t="shared" si="57"/>
        <v>_</v>
      </c>
    </row>
    <row r="3710" spans="8:8">
      <c r="H3710" s="63" t="str">
        <f t="shared" si="57"/>
        <v>_</v>
      </c>
    </row>
    <row r="3711" spans="8:8">
      <c r="H3711" s="63" t="str">
        <f t="shared" si="57"/>
        <v>_</v>
      </c>
    </row>
    <row r="3712" spans="8:8">
      <c r="H3712" s="63" t="str">
        <f t="shared" si="57"/>
        <v>_</v>
      </c>
    </row>
    <row r="3713" spans="8:8">
      <c r="H3713" s="63" t="str">
        <f t="shared" si="57"/>
        <v>_</v>
      </c>
    </row>
    <row r="3714" spans="8:8">
      <c r="H3714" s="63" t="str">
        <f t="shared" si="57"/>
        <v>_</v>
      </c>
    </row>
    <row r="3715" spans="8:8">
      <c r="H3715" s="63" t="str">
        <f t="shared" ref="H3715:H3778" si="58">IF(OR(MID(A3715,6,10)="NASPP",MID(A3715,6,10)="RASPP"),"RNASPP",IF(OR(MID(A3715,6,10)="NSFAP",MID(A3715,6,10)="RSPOA"),"RNSPOA",IF(OR(A3715="ULGALLOC",A3715="ULSPOOL"),A3715,IF(MID(A3715,6,5)="ANSSP","ASSP1",MID(A3715,6,10)))))&amp;"_"&amp;B3715</f>
        <v>_</v>
      </c>
    </row>
    <row r="3716" spans="8:8">
      <c r="H3716" s="63" t="str">
        <f t="shared" si="58"/>
        <v>_</v>
      </c>
    </row>
    <row r="3717" spans="8:8">
      <c r="H3717" s="63" t="str">
        <f t="shared" si="58"/>
        <v>_</v>
      </c>
    </row>
    <row r="3718" spans="8:8">
      <c r="H3718" s="63" t="str">
        <f t="shared" si="58"/>
        <v>_</v>
      </c>
    </row>
    <row r="3719" spans="8:8">
      <c r="H3719" s="63" t="str">
        <f t="shared" si="58"/>
        <v>_</v>
      </c>
    </row>
    <row r="3720" spans="8:8">
      <c r="H3720" s="63" t="str">
        <f t="shared" si="58"/>
        <v>_</v>
      </c>
    </row>
    <row r="3721" spans="8:8">
      <c r="H3721" s="63" t="str">
        <f t="shared" si="58"/>
        <v>_</v>
      </c>
    </row>
    <row r="3722" spans="8:8">
      <c r="H3722" s="63" t="str">
        <f t="shared" si="58"/>
        <v>_</v>
      </c>
    </row>
    <row r="3723" spans="8:8">
      <c r="H3723" s="63" t="str">
        <f t="shared" si="58"/>
        <v>_</v>
      </c>
    </row>
    <row r="3724" spans="8:8">
      <c r="H3724" s="63" t="str">
        <f t="shared" si="58"/>
        <v>_</v>
      </c>
    </row>
    <row r="3725" spans="8:8">
      <c r="H3725" s="63" t="str">
        <f t="shared" si="58"/>
        <v>_</v>
      </c>
    </row>
    <row r="3726" spans="8:8">
      <c r="H3726" s="63" t="str">
        <f t="shared" si="58"/>
        <v>_</v>
      </c>
    </row>
    <row r="3727" spans="8:8">
      <c r="H3727" s="63" t="str">
        <f t="shared" si="58"/>
        <v>_</v>
      </c>
    </row>
    <row r="3728" spans="8:8">
      <c r="H3728" s="63" t="str">
        <f t="shared" si="58"/>
        <v>_</v>
      </c>
    </row>
    <row r="3729" spans="8:8">
      <c r="H3729" s="63" t="str">
        <f t="shared" si="58"/>
        <v>_</v>
      </c>
    </row>
    <row r="3730" spans="8:8">
      <c r="H3730" s="63" t="str">
        <f t="shared" si="58"/>
        <v>_</v>
      </c>
    </row>
    <row r="3731" spans="8:8">
      <c r="H3731" s="63" t="str">
        <f t="shared" si="58"/>
        <v>_</v>
      </c>
    </row>
    <row r="3732" spans="8:8">
      <c r="H3732" s="63" t="str">
        <f t="shared" si="58"/>
        <v>_</v>
      </c>
    </row>
    <row r="3733" spans="8:8">
      <c r="H3733" s="63" t="str">
        <f t="shared" si="58"/>
        <v>_</v>
      </c>
    </row>
    <row r="3734" spans="8:8">
      <c r="H3734" s="63" t="str">
        <f t="shared" si="58"/>
        <v>_</v>
      </c>
    </row>
    <row r="3735" spans="8:8">
      <c r="H3735" s="63" t="str">
        <f t="shared" si="58"/>
        <v>_</v>
      </c>
    </row>
    <row r="3736" spans="8:8">
      <c r="H3736" s="63" t="str">
        <f t="shared" si="58"/>
        <v>_</v>
      </c>
    </row>
    <row r="3737" spans="8:8">
      <c r="H3737" s="63" t="str">
        <f t="shared" si="58"/>
        <v>_</v>
      </c>
    </row>
    <row r="3738" spans="8:8">
      <c r="H3738" s="63" t="str">
        <f t="shared" si="58"/>
        <v>_</v>
      </c>
    </row>
    <row r="3739" spans="8:8">
      <c r="H3739" s="63" t="str">
        <f t="shared" si="58"/>
        <v>_</v>
      </c>
    </row>
    <row r="3740" spans="8:8">
      <c r="H3740" s="63" t="str">
        <f t="shared" si="58"/>
        <v>_</v>
      </c>
    </row>
    <row r="3741" spans="8:8">
      <c r="H3741" s="63" t="str">
        <f t="shared" si="58"/>
        <v>_</v>
      </c>
    </row>
    <row r="3742" spans="8:8">
      <c r="H3742" s="63" t="str">
        <f t="shared" si="58"/>
        <v>_</v>
      </c>
    </row>
    <row r="3743" spans="8:8">
      <c r="H3743" s="63" t="str">
        <f t="shared" si="58"/>
        <v>_</v>
      </c>
    </row>
    <row r="3744" spans="8:8">
      <c r="H3744" s="63" t="str">
        <f t="shared" si="58"/>
        <v>_</v>
      </c>
    </row>
    <row r="3745" spans="8:8">
      <c r="H3745" s="63" t="str">
        <f t="shared" si="58"/>
        <v>_</v>
      </c>
    </row>
    <row r="3746" spans="8:8">
      <c r="H3746" s="63" t="str">
        <f t="shared" si="58"/>
        <v>_</v>
      </c>
    </row>
    <row r="3747" spans="8:8">
      <c r="H3747" s="63" t="str">
        <f t="shared" si="58"/>
        <v>_</v>
      </c>
    </row>
    <row r="3748" spans="8:8">
      <c r="H3748" s="63" t="str">
        <f t="shared" si="58"/>
        <v>_</v>
      </c>
    </row>
    <row r="3749" spans="8:8">
      <c r="H3749" s="63" t="str">
        <f t="shared" si="58"/>
        <v>_</v>
      </c>
    </row>
    <row r="3750" spans="8:8">
      <c r="H3750" s="63" t="str">
        <f t="shared" si="58"/>
        <v>_</v>
      </c>
    </row>
    <row r="3751" spans="8:8">
      <c r="H3751" s="63" t="str">
        <f t="shared" si="58"/>
        <v>_</v>
      </c>
    </row>
    <row r="3752" spans="8:8">
      <c r="H3752" s="63" t="str">
        <f t="shared" si="58"/>
        <v>_</v>
      </c>
    </row>
    <row r="3753" spans="8:8">
      <c r="H3753" s="63" t="str">
        <f t="shared" si="58"/>
        <v>_</v>
      </c>
    </row>
    <row r="3754" spans="8:8">
      <c r="H3754" s="63" t="str">
        <f t="shared" si="58"/>
        <v>_</v>
      </c>
    </row>
    <row r="3755" spans="8:8">
      <c r="H3755" s="63" t="str">
        <f t="shared" si="58"/>
        <v>_</v>
      </c>
    </row>
    <row r="3756" spans="8:8">
      <c r="H3756" s="63" t="str">
        <f t="shared" si="58"/>
        <v>_</v>
      </c>
    </row>
    <row r="3757" spans="8:8">
      <c r="H3757" s="63" t="str">
        <f t="shared" si="58"/>
        <v>_</v>
      </c>
    </row>
    <row r="3758" spans="8:8">
      <c r="H3758" s="63" t="str">
        <f t="shared" si="58"/>
        <v>_</v>
      </c>
    </row>
    <row r="3759" spans="8:8">
      <c r="H3759" s="63" t="str">
        <f t="shared" si="58"/>
        <v>_</v>
      </c>
    </row>
    <row r="3760" spans="8:8">
      <c r="H3760" s="63" t="str">
        <f t="shared" si="58"/>
        <v>_</v>
      </c>
    </row>
    <row r="3761" spans="8:8">
      <c r="H3761" s="63" t="str">
        <f t="shared" si="58"/>
        <v>_</v>
      </c>
    </row>
    <row r="3762" spans="8:8">
      <c r="H3762" s="63" t="str">
        <f t="shared" si="58"/>
        <v>_</v>
      </c>
    </row>
    <row r="3763" spans="8:8">
      <c r="H3763" s="63" t="str">
        <f t="shared" si="58"/>
        <v>_</v>
      </c>
    </row>
    <row r="3764" spans="8:8">
      <c r="H3764" s="63" t="str">
        <f t="shared" si="58"/>
        <v>_</v>
      </c>
    </row>
    <row r="3765" spans="8:8">
      <c r="H3765" s="63" t="str">
        <f t="shared" si="58"/>
        <v>_</v>
      </c>
    </row>
    <row r="3766" spans="8:8">
      <c r="H3766" s="63" t="str">
        <f t="shared" si="58"/>
        <v>_</v>
      </c>
    </row>
    <row r="3767" spans="8:8">
      <c r="H3767" s="63" t="str">
        <f t="shared" si="58"/>
        <v>_</v>
      </c>
    </row>
    <row r="3768" spans="8:8">
      <c r="H3768" s="63" t="str">
        <f t="shared" si="58"/>
        <v>_</v>
      </c>
    </row>
    <row r="3769" spans="8:8">
      <c r="H3769" s="63" t="str">
        <f t="shared" si="58"/>
        <v>_</v>
      </c>
    </row>
    <row r="3770" spans="8:8">
      <c r="H3770" s="63" t="str">
        <f t="shared" si="58"/>
        <v>_</v>
      </c>
    </row>
    <row r="3771" spans="8:8">
      <c r="H3771" s="63" t="str">
        <f t="shared" si="58"/>
        <v>_</v>
      </c>
    </row>
    <row r="3772" spans="8:8">
      <c r="H3772" s="63" t="str">
        <f t="shared" si="58"/>
        <v>_</v>
      </c>
    </row>
    <row r="3773" spans="8:8">
      <c r="H3773" s="63" t="str">
        <f t="shared" si="58"/>
        <v>_</v>
      </c>
    </row>
    <row r="3774" spans="8:8">
      <c r="H3774" s="63" t="str">
        <f t="shared" si="58"/>
        <v>_</v>
      </c>
    </row>
    <row r="3775" spans="8:8">
      <c r="H3775" s="63" t="str">
        <f t="shared" si="58"/>
        <v>_</v>
      </c>
    </row>
    <row r="3776" spans="8:8">
      <c r="H3776" s="63" t="str">
        <f t="shared" si="58"/>
        <v>_</v>
      </c>
    </row>
    <row r="3777" spans="8:8">
      <c r="H3777" s="63" t="str">
        <f t="shared" si="58"/>
        <v>_</v>
      </c>
    </row>
    <row r="3778" spans="8:8">
      <c r="H3778" s="63" t="str">
        <f t="shared" si="58"/>
        <v>_</v>
      </c>
    </row>
    <row r="3779" spans="8:8">
      <c r="H3779" s="63" t="str">
        <f t="shared" ref="H3779:H3842" si="59">IF(OR(MID(A3779,6,10)="NASPP",MID(A3779,6,10)="RASPP"),"RNASPP",IF(OR(MID(A3779,6,10)="NSFAP",MID(A3779,6,10)="RSPOA"),"RNSPOA",IF(OR(A3779="ULGALLOC",A3779="ULSPOOL"),A3779,IF(MID(A3779,6,5)="ANSSP","ASSP1",MID(A3779,6,10)))))&amp;"_"&amp;B3779</f>
        <v>_</v>
      </c>
    </row>
    <row r="3780" spans="8:8">
      <c r="H3780" s="63" t="str">
        <f t="shared" si="59"/>
        <v>_</v>
      </c>
    </row>
    <row r="3781" spans="8:8">
      <c r="H3781" s="63" t="str">
        <f t="shared" si="59"/>
        <v>_</v>
      </c>
    </row>
    <row r="3782" spans="8:8">
      <c r="H3782" s="63" t="str">
        <f t="shared" si="59"/>
        <v>_</v>
      </c>
    </row>
    <row r="3783" spans="8:8">
      <c r="H3783" s="63" t="str">
        <f t="shared" si="59"/>
        <v>_</v>
      </c>
    </row>
    <row r="3784" spans="8:8">
      <c r="H3784" s="63" t="str">
        <f t="shared" si="59"/>
        <v>_</v>
      </c>
    </row>
    <row r="3785" spans="8:8">
      <c r="H3785" s="63" t="str">
        <f t="shared" si="59"/>
        <v>_</v>
      </c>
    </row>
    <row r="3786" spans="8:8">
      <c r="H3786" s="63" t="str">
        <f t="shared" si="59"/>
        <v>_</v>
      </c>
    </row>
    <row r="3787" spans="8:8">
      <c r="H3787" s="63" t="str">
        <f t="shared" si="59"/>
        <v>_</v>
      </c>
    </row>
    <row r="3788" spans="8:8">
      <c r="H3788" s="63" t="str">
        <f t="shared" si="59"/>
        <v>_</v>
      </c>
    </row>
    <row r="3789" spans="8:8">
      <c r="H3789" s="63" t="str">
        <f t="shared" si="59"/>
        <v>_</v>
      </c>
    </row>
    <row r="3790" spans="8:8">
      <c r="H3790" s="63" t="str">
        <f t="shared" si="59"/>
        <v>_</v>
      </c>
    </row>
    <row r="3791" spans="8:8">
      <c r="H3791" s="63" t="str">
        <f t="shared" si="59"/>
        <v>_</v>
      </c>
    </row>
    <row r="3792" spans="8:8">
      <c r="H3792" s="63" t="str">
        <f t="shared" si="59"/>
        <v>_</v>
      </c>
    </row>
    <row r="3793" spans="8:8">
      <c r="H3793" s="63" t="str">
        <f t="shared" si="59"/>
        <v>_</v>
      </c>
    </row>
    <row r="3794" spans="8:8">
      <c r="H3794" s="63" t="str">
        <f t="shared" si="59"/>
        <v>_</v>
      </c>
    </row>
    <row r="3795" spans="8:8">
      <c r="H3795" s="63" t="str">
        <f t="shared" si="59"/>
        <v>_</v>
      </c>
    </row>
    <row r="3796" spans="8:8">
      <c r="H3796" s="63" t="str">
        <f t="shared" si="59"/>
        <v>_</v>
      </c>
    </row>
    <row r="3797" spans="8:8">
      <c r="H3797" s="63" t="str">
        <f t="shared" si="59"/>
        <v>_</v>
      </c>
    </row>
    <row r="3798" spans="8:8">
      <c r="H3798" s="63" t="str">
        <f t="shared" si="59"/>
        <v>_</v>
      </c>
    </row>
    <row r="3799" spans="8:8">
      <c r="H3799" s="63" t="str">
        <f t="shared" si="59"/>
        <v>_</v>
      </c>
    </row>
    <row r="3800" spans="8:8">
      <c r="H3800" s="63" t="str">
        <f t="shared" si="59"/>
        <v>_</v>
      </c>
    </row>
    <row r="3801" spans="8:8">
      <c r="H3801" s="63" t="str">
        <f t="shared" si="59"/>
        <v>_</v>
      </c>
    </row>
    <row r="3802" spans="8:8">
      <c r="H3802" s="63" t="str">
        <f t="shared" si="59"/>
        <v>_</v>
      </c>
    </row>
    <row r="3803" spans="8:8">
      <c r="H3803" s="63" t="str">
        <f t="shared" si="59"/>
        <v>_</v>
      </c>
    </row>
    <row r="3804" spans="8:8">
      <c r="H3804" s="63" t="str">
        <f t="shared" si="59"/>
        <v>_</v>
      </c>
    </row>
    <row r="3805" spans="8:8">
      <c r="H3805" s="63" t="str">
        <f t="shared" si="59"/>
        <v>_</v>
      </c>
    </row>
    <row r="3806" spans="8:8">
      <c r="H3806" s="63" t="str">
        <f t="shared" si="59"/>
        <v>_</v>
      </c>
    </row>
    <row r="3807" spans="8:8">
      <c r="H3807" s="63" t="str">
        <f t="shared" si="59"/>
        <v>_</v>
      </c>
    </row>
    <row r="3808" spans="8:8">
      <c r="H3808" s="63" t="str">
        <f t="shared" si="59"/>
        <v>_</v>
      </c>
    </row>
    <row r="3809" spans="8:8">
      <c r="H3809" s="63" t="str">
        <f t="shared" si="59"/>
        <v>_</v>
      </c>
    </row>
    <row r="3810" spans="8:8">
      <c r="H3810" s="63" t="str">
        <f t="shared" si="59"/>
        <v>_</v>
      </c>
    </row>
    <row r="3811" spans="8:8">
      <c r="H3811" s="63" t="str">
        <f t="shared" si="59"/>
        <v>_</v>
      </c>
    </row>
    <row r="3812" spans="8:8">
      <c r="H3812" s="63" t="str">
        <f t="shared" si="59"/>
        <v>_</v>
      </c>
    </row>
    <row r="3813" spans="8:8">
      <c r="H3813" s="63" t="str">
        <f t="shared" si="59"/>
        <v>_</v>
      </c>
    </row>
    <row r="3814" spans="8:8">
      <c r="H3814" s="63" t="str">
        <f t="shared" si="59"/>
        <v>_</v>
      </c>
    </row>
    <row r="3815" spans="8:8">
      <c r="H3815" s="63" t="str">
        <f t="shared" si="59"/>
        <v>_</v>
      </c>
    </row>
    <row r="3816" spans="8:8">
      <c r="H3816" s="63" t="str">
        <f t="shared" si="59"/>
        <v>_</v>
      </c>
    </row>
    <row r="3817" spans="8:8">
      <c r="H3817" s="63" t="str">
        <f t="shared" si="59"/>
        <v>_</v>
      </c>
    </row>
    <row r="3818" spans="8:8">
      <c r="H3818" s="63" t="str">
        <f t="shared" si="59"/>
        <v>_</v>
      </c>
    </row>
    <row r="3819" spans="8:8">
      <c r="H3819" s="63" t="str">
        <f t="shared" si="59"/>
        <v>_</v>
      </c>
    </row>
    <row r="3820" spans="8:8">
      <c r="H3820" s="63" t="str">
        <f t="shared" si="59"/>
        <v>_</v>
      </c>
    </row>
    <row r="3821" spans="8:8">
      <c r="H3821" s="63" t="str">
        <f t="shared" si="59"/>
        <v>_</v>
      </c>
    </row>
    <row r="3822" spans="8:8">
      <c r="H3822" s="63" t="str">
        <f t="shared" si="59"/>
        <v>_</v>
      </c>
    </row>
    <row r="3823" spans="8:8">
      <c r="H3823" s="63" t="str">
        <f t="shared" si="59"/>
        <v>_</v>
      </c>
    </row>
    <row r="3824" spans="8:8">
      <c r="H3824" s="63" t="str">
        <f t="shared" si="59"/>
        <v>_</v>
      </c>
    </row>
    <row r="3825" spans="8:8">
      <c r="H3825" s="63" t="str">
        <f t="shared" si="59"/>
        <v>_</v>
      </c>
    </row>
    <row r="3826" spans="8:8">
      <c r="H3826" s="63" t="str">
        <f t="shared" si="59"/>
        <v>_</v>
      </c>
    </row>
    <row r="3827" spans="8:8">
      <c r="H3827" s="63" t="str">
        <f t="shared" si="59"/>
        <v>_</v>
      </c>
    </row>
    <row r="3828" spans="8:8">
      <c r="H3828" s="63" t="str">
        <f t="shared" si="59"/>
        <v>_</v>
      </c>
    </row>
    <row r="3829" spans="8:8">
      <c r="H3829" s="63" t="str">
        <f t="shared" si="59"/>
        <v>_</v>
      </c>
    </row>
    <row r="3830" spans="8:8">
      <c r="H3830" s="63" t="str">
        <f t="shared" si="59"/>
        <v>_</v>
      </c>
    </row>
    <row r="3831" spans="8:8">
      <c r="H3831" s="63" t="str">
        <f t="shared" si="59"/>
        <v>_</v>
      </c>
    </row>
    <row r="3832" spans="8:8">
      <c r="H3832" s="63" t="str">
        <f t="shared" si="59"/>
        <v>_</v>
      </c>
    </row>
    <row r="3833" spans="8:8">
      <c r="H3833" s="63" t="str">
        <f t="shared" si="59"/>
        <v>_</v>
      </c>
    </row>
    <row r="3834" spans="8:8">
      <c r="H3834" s="63" t="str">
        <f t="shared" si="59"/>
        <v>_</v>
      </c>
    </row>
    <row r="3835" spans="8:8">
      <c r="H3835" s="63" t="str">
        <f t="shared" si="59"/>
        <v>_</v>
      </c>
    </row>
    <row r="3836" spans="8:8">
      <c r="H3836" s="63" t="str">
        <f t="shared" si="59"/>
        <v>_</v>
      </c>
    </row>
    <row r="3837" spans="8:8">
      <c r="H3837" s="63" t="str">
        <f t="shared" si="59"/>
        <v>_</v>
      </c>
    </row>
    <row r="3838" spans="8:8">
      <c r="H3838" s="63" t="str">
        <f t="shared" si="59"/>
        <v>_</v>
      </c>
    </row>
    <row r="3839" spans="8:8">
      <c r="H3839" s="63" t="str">
        <f t="shared" si="59"/>
        <v>_</v>
      </c>
    </row>
    <row r="3840" spans="8:8">
      <c r="H3840" s="63" t="str">
        <f t="shared" si="59"/>
        <v>_</v>
      </c>
    </row>
    <row r="3841" spans="8:8">
      <c r="H3841" s="63" t="str">
        <f t="shared" si="59"/>
        <v>_</v>
      </c>
    </row>
    <row r="3842" spans="8:8">
      <c r="H3842" s="63" t="str">
        <f t="shared" si="59"/>
        <v>_</v>
      </c>
    </row>
    <row r="3843" spans="8:8">
      <c r="H3843" s="63" t="str">
        <f t="shared" ref="H3843:H3906" si="60">IF(OR(MID(A3843,6,10)="NASPP",MID(A3843,6,10)="RASPP"),"RNASPP",IF(OR(MID(A3843,6,10)="NSFAP",MID(A3843,6,10)="RSPOA"),"RNSPOA",IF(OR(A3843="ULGALLOC",A3843="ULSPOOL"),A3843,IF(MID(A3843,6,5)="ANSSP","ASSP1",MID(A3843,6,10)))))&amp;"_"&amp;B3843</f>
        <v>_</v>
      </c>
    </row>
    <row r="3844" spans="8:8">
      <c r="H3844" s="63" t="str">
        <f t="shared" si="60"/>
        <v>_</v>
      </c>
    </row>
    <row r="3845" spans="8:8">
      <c r="H3845" s="63" t="str">
        <f t="shared" si="60"/>
        <v>_</v>
      </c>
    </row>
    <row r="3846" spans="8:8">
      <c r="H3846" s="63" t="str">
        <f t="shared" si="60"/>
        <v>_</v>
      </c>
    </row>
    <row r="3847" spans="8:8">
      <c r="H3847" s="63" t="str">
        <f t="shared" si="60"/>
        <v>_</v>
      </c>
    </row>
    <row r="3848" spans="8:8">
      <c r="H3848" s="63" t="str">
        <f t="shared" si="60"/>
        <v>_</v>
      </c>
    </row>
    <row r="3849" spans="8:8">
      <c r="H3849" s="63" t="str">
        <f t="shared" si="60"/>
        <v>_</v>
      </c>
    </row>
    <row r="3850" spans="8:8">
      <c r="H3850" s="63" t="str">
        <f t="shared" si="60"/>
        <v>_</v>
      </c>
    </row>
    <row r="3851" spans="8:8">
      <c r="H3851" s="63" t="str">
        <f t="shared" si="60"/>
        <v>_</v>
      </c>
    </row>
    <row r="3852" spans="8:8">
      <c r="H3852" s="63" t="str">
        <f t="shared" si="60"/>
        <v>_</v>
      </c>
    </row>
    <row r="3853" spans="8:8">
      <c r="H3853" s="63" t="str">
        <f t="shared" si="60"/>
        <v>_</v>
      </c>
    </row>
    <row r="3854" spans="8:8">
      <c r="H3854" s="63" t="str">
        <f t="shared" si="60"/>
        <v>_</v>
      </c>
    </row>
    <row r="3855" spans="8:8">
      <c r="H3855" s="63" t="str">
        <f t="shared" si="60"/>
        <v>_</v>
      </c>
    </row>
    <row r="3856" spans="8:8">
      <c r="H3856" s="63" t="str">
        <f t="shared" si="60"/>
        <v>_</v>
      </c>
    </row>
    <row r="3857" spans="8:8">
      <c r="H3857" s="63" t="str">
        <f t="shared" si="60"/>
        <v>_</v>
      </c>
    </row>
    <row r="3858" spans="8:8">
      <c r="H3858" s="63" t="str">
        <f t="shared" si="60"/>
        <v>_</v>
      </c>
    </row>
    <row r="3859" spans="8:8">
      <c r="H3859" s="63" t="str">
        <f t="shared" si="60"/>
        <v>_</v>
      </c>
    </row>
    <row r="3860" spans="8:8">
      <c r="H3860" s="63" t="str">
        <f t="shared" si="60"/>
        <v>_</v>
      </c>
    </row>
    <row r="3861" spans="8:8">
      <c r="H3861" s="63" t="str">
        <f t="shared" si="60"/>
        <v>_</v>
      </c>
    </row>
    <row r="3862" spans="8:8">
      <c r="H3862" s="63" t="str">
        <f t="shared" si="60"/>
        <v>_</v>
      </c>
    </row>
    <row r="3863" spans="8:8">
      <c r="H3863" s="63" t="str">
        <f t="shared" si="60"/>
        <v>_</v>
      </c>
    </row>
    <row r="3864" spans="8:8">
      <c r="H3864" s="63" t="str">
        <f t="shared" si="60"/>
        <v>_</v>
      </c>
    </row>
    <row r="3865" spans="8:8">
      <c r="H3865" s="63" t="str">
        <f t="shared" si="60"/>
        <v>_</v>
      </c>
    </row>
    <row r="3866" spans="8:8">
      <c r="H3866" s="63" t="str">
        <f t="shared" si="60"/>
        <v>_</v>
      </c>
    </row>
    <row r="3867" spans="8:8">
      <c r="H3867" s="63" t="str">
        <f t="shared" si="60"/>
        <v>_</v>
      </c>
    </row>
    <row r="3868" spans="8:8">
      <c r="H3868" s="63" t="str">
        <f t="shared" si="60"/>
        <v>_</v>
      </c>
    </row>
    <row r="3869" spans="8:8">
      <c r="H3869" s="63" t="str">
        <f t="shared" si="60"/>
        <v>_</v>
      </c>
    </row>
    <row r="3870" spans="8:8">
      <c r="H3870" s="63" t="str">
        <f t="shared" si="60"/>
        <v>_</v>
      </c>
    </row>
    <row r="3871" spans="8:8">
      <c r="H3871" s="63" t="str">
        <f t="shared" si="60"/>
        <v>_</v>
      </c>
    </row>
    <row r="3872" spans="8:8">
      <c r="H3872" s="63" t="str">
        <f t="shared" si="60"/>
        <v>_</v>
      </c>
    </row>
    <row r="3873" spans="8:8">
      <c r="H3873" s="63" t="str">
        <f t="shared" si="60"/>
        <v>_</v>
      </c>
    </row>
    <row r="3874" spans="8:8">
      <c r="H3874" s="63" t="str">
        <f t="shared" si="60"/>
        <v>_</v>
      </c>
    </row>
    <row r="3875" spans="8:8">
      <c r="H3875" s="63" t="str">
        <f t="shared" si="60"/>
        <v>_</v>
      </c>
    </row>
    <row r="3876" spans="8:8">
      <c r="H3876" s="63" t="str">
        <f t="shared" si="60"/>
        <v>_</v>
      </c>
    </row>
    <row r="3877" spans="8:8">
      <c r="H3877" s="63" t="str">
        <f t="shared" si="60"/>
        <v>_</v>
      </c>
    </row>
    <row r="3878" spans="8:8">
      <c r="H3878" s="63" t="str">
        <f t="shared" si="60"/>
        <v>_</v>
      </c>
    </row>
    <row r="3879" spans="8:8">
      <c r="H3879" s="63" t="str">
        <f t="shared" si="60"/>
        <v>_</v>
      </c>
    </row>
    <row r="3880" spans="8:8">
      <c r="H3880" s="63" t="str">
        <f t="shared" si="60"/>
        <v>_</v>
      </c>
    </row>
    <row r="3881" spans="8:8">
      <c r="H3881" s="63" t="str">
        <f t="shared" si="60"/>
        <v>_</v>
      </c>
    </row>
    <row r="3882" spans="8:8">
      <c r="H3882" s="63" t="str">
        <f t="shared" si="60"/>
        <v>_</v>
      </c>
    </row>
    <row r="3883" spans="8:8">
      <c r="H3883" s="63" t="str">
        <f t="shared" si="60"/>
        <v>_</v>
      </c>
    </row>
    <row r="3884" spans="8:8">
      <c r="H3884" s="63" t="str">
        <f t="shared" si="60"/>
        <v>_</v>
      </c>
    </row>
    <row r="3885" spans="8:8">
      <c r="H3885" s="63" t="str">
        <f t="shared" si="60"/>
        <v>_</v>
      </c>
    </row>
    <row r="3886" spans="8:8">
      <c r="H3886" s="63" t="str">
        <f t="shared" si="60"/>
        <v>_</v>
      </c>
    </row>
    <row r="3887" spans="8:8">
      <c r="H3887" s="63" t="str">
        <f t="shared" si="60"/>
        <v>_</v>
      </c>
    </row>
    <row r="3888" spans="8:8">
      <c r="H3888" s="63" t="str">
        <f t="shared" si="60"/>
        <v>_</v>
      </c>
    </row>
    <row r="3889" spans="8:8">
      <c r="H3889" s="63" t="str">
        <f t="shared" si="60"/>
        <v>_</v>
      </c>
    </row>
    <row r="3890" spans="8:8">
      <c r="H3890" s="63" t="str">
        <f t="shared" si="60"/>
        <v>_</v>
      </c>
    </row>
    <row r="3891" spans="8:8">
      <c r="H3891" s="63" t="str">
        <f t="shared" si="60"/>
        <v>_</v>
      </c>
    </row>
    <row r="3892" spans="8:8">
      <c r="H3892" s="63" t="str">
        <f t="shared" si="60"/>
        <v>_</v>
      </c>
    </row>
    <row r="3893" spans="8:8">
      <c r="H3893" s="63" t="str">
        <f t="shared" si="60"/>
        <v>_</v>
      </c>
    </row>
    <row r="3894" spans="8:8">
      <c r="H3894" s="63" t="str">
        <f t="shared" si="60"/>
        <v>_</v>
      </c>
    </row>
    <row r="3895" spans="8:8">
      <c r="H3895" s="63" t="str">
        <f t="shared" si="60"/>
        <v>_</v>
      </c>
    </row>
    <row r="3896" spans="8:8">
      <c r="H3896" s="63" t="str">
        <f t="shared" si="60"/>
        <v>_</v>
      </c>
    </row>
    <row r="3897" spans="8:8">
      <c r="H3897" s="63" t="str">
        <f t="shared" si="60"/>
        <v>_</v>
      </c>
    </row>
    <row r="3898" spans="8:8">
      <c r="H3898" s="63" t="str">
        <f t="shared" si="60"/>
        <v>_</v>
      </c>
    </row>
    <row r="3899" spans="8:8">
      <c r="H3899" s="63" t="str">
        <f t="shared" si="60"/>
        <v>_</v>
      </c>
    </row>
    <row r="3900" spans="8:8">
      <c r="H3900" s="63" t="str">
        <f t="shared" si="60"/>
        <v>_</v>
      </c>
    </row>
    <row r="3901" spans="8:8">
      <c r="H3901" s="63" t="str">
        <f t="shared" si="60"/>
        <v>_</v>
      </c>
    </row>
    <row r="3902" spans="8:8">
      <c r="H3902" s="63" t="str">
        <f t="shared" si="60"/>
        <v>_</v>
      </c>
    </row>
    <row r="3903" spans="8:8">
      <c r="H3903" s="63" t="str">
        <f t="shared" si="60"/>
        <v>_</v>
      </c>
    </row>
    <row r="3904" spans="8:8">
      <c r="H3904" s="63" t="str">
        <f t="shared" si="60"/>
        <v>_</v>
      </c>
    </row>
    <row r="3905" spans="8:8">
      <c r="H3905" s="63" t="str">
        <f t="shared" si="60"/>
        <v>_</v>
      </c>
    </row>
    <row r="3906" spans="8:8">
      <c r="H3906" s="63" t="str">
        <f t="shared" si="60"/>
        <v>_</v>
      </c>
    </row>
    <row r="3907" spans="8:8">
      <c r="H3907" s="63" t="str">
        <f t="shared" ref="H3907:H3970" si="61">IF(OR(MID(A3907,6,10)="NASPP",MID(A3907,6,10)="RASPP"),"RNASPP",IF(OR(MID(A3907,6,10)="NSFAP",MID(A3907,6,10)="RSPOA"),"RNSPOA",IF(OR(A3907="ULGALLOC",A3907="ULSPOOL"),A3907,IF(MID(A3907,6,5)="ANSSP","ASSP1",MID(A3907,6,10)))))&amp;"_"&amp;B3907</f>
        <v>_</v>
      </c>
    </row>
    <row r="3908" spans="8:8">
      <c r="H3908" s="63" t="str">
        <f t="shared" si="61"/>
        <v>_</v>
      </c>
    </row>
    <row r="3909" spans="8:8">
      <c r="H3909" s="63" t="str">
        <f t="shared" si="61"/>
        <v>_</v>
      </c>
    </row>
    <row r="3910" spans="8:8">
      <c r="H3910" s="63" t="str">
        <f t="shared" si="61"/>
        <v>_</v>
      </c>
    </row>
    <row r="3911" spans="8:8">
      <c r="H3911" s="63" t="str">
        <f t="shared" si="61"/>
        <v>_</v>
      </c>
    </row>
    <row r="3912" spans="8:8">
      <c r="H3912" s="63" t="str">
        <f t="shared" si="61"/>
        <v>_</v>
      </c>
    </row>
    <row r="3913" spans="8:8">
      <c r="H3913" s="63" t="str">
        <f t="shared" si="61"/>
        <v>_</v>
      </c>
    </row>
    <row r="3914" spans="8:8">
      <c r="H3914" s="63" t="str">
        <f t="shared" si="61"/>
        <v>_</v>
      </c>
    </row>
    <row r="3915" spans="8:8">
      <c r="H3915" s="63" t="str">
        <f t="shared" si="61"/>
        <v>_</v>
      </c>
    </row>
    <row r="3916" spans="8:8">
      <c r="H3916" s="63" t="str">
        <f t="shared" si="61"/>
        <v>_</v>
      </c>
    </row>
    <row r="3917" spans="8:8">
      <c r="H3917" s="63" t="str">
        <f t="shared" si="61"/>
        <v>_</v>
      </c>
    </row>
    <row r="3918" spans="8:8">
      <c r="H3918" s="63" t="str">
        <f t="shared" si="61"/>
        <v>_</v>
      </c>
    </row>
    <row r="3919" spans="8:8">
      <c r="H3919" s="63" t="str">
        <f t="shared" si="61"/>
        <v>_</v>
      </c>
    </row>
    <row r="3920" spans="8:8">
      <c r="H3920" s="63" t="str">
        <f t="shared" si="61"/>
        <v>_</v>
      </c>
    </row>
    <row r="3921" spans="8:8">
      <c r="H3921" s="63" t="str">
        <f t="shared" si="61"/>
        <v>_</v>
      </c>
    </row>
    <row r="3922" spans="8:8">
      <c r="H3922" s="63" t="str">
        <f t="shared" si="61"/>
        <v>_</v>
      </c>
    </row>
    <row r="3923" spans="8:8">
      <c r="H3923" s="63" t="str">
        <f t="shared" si="61"/>
        <v>_</v>
      </c>
    </row>
    <row r="3924" spans="8:8">
      <c r="H3924" s="63" t="str">
        <f t="shared" si="61"/>
        <v>_</v>
      </c>
    </row>
    <row r="3925" spans="8:8">
      <c r="H3925" s="63" t="str">
        <f t="shared" si="61"/>
        <v>_</v>
      </c>
    </row>
    <row r="3926" spans="8:8">
      <c r="H3926" s="63" t="str">
        <f t="shared" si="61"/>
        <v>_</v>
      </c>
    </row>
    <row r="3927" spans="8:8">
      <c r="H3927" s="63" t="str">
        <f t="shared" si="61"/>
        <v>_</v>
      </c>
    </row>
    <row r="3928" spans="8:8">
      <c r="H3928" s="63" t="str">
        <f t="shared" si="61"/>
        <v>_</v>
      </c>
    </row>
    <row r="3929" spans="8:8">
      <c r="H3929" s="63" t="str">
        <f t="shared" si="61"/>
        <v>_</v>
      </c>
    </row>
    <row r="3930" spans="8:8">
      <c r="H3930" s="63" t="str">
        <f t="shared" si="61"/>
        <v>_</v>
      </c>
    </row>
    <row r="3931" spans="8:8">
      <c r="H3931" s="63" t="str">
        <f t="shared" si="61"/>
        <v>_</v>
      </c>
    </row>
    <row r="3932" spans="8:8">
      <c r="H3932" s="63" t="str">
        <f t="shared" si="61"/>
        <v>_</v>
      </c>
    </row>
    <row r="3933" spans="8:8">
      <c r="H3933" s="63" t="str">
        <f t="shared" si="61"/>
        <v>_</v>
      </c>
    </row>
    <row r="3934" spans="8:8">
      <c r="H3934" s="63" t="str">
        <f t="shared" si="61"/>
        <v>_</v>
      </c>
    </row>
    <row r="3935" spans="8:8">
      <c r="H3935" s="63" t="str">
        <f t="shared" si="61"/>
        <v>_</v>
      </c>
    </row>
    <row r="3936" spans="8:8">
      <c r="H3936" s="63" t="str">
        <f t="shared" si="61"/>
        <v>_</v>
      </c>
    </row>
    <row r="3937" spans="8:8">
      <c r="H3937" s="63" t="str">
        <f t="shared" si="61"/>
        <v>_</v>
      </c>
    </row>
    <row r="3938" spans="8:8">
      <c r="H3938" s="63" t="str">
        <f t="shared" si="61"/>
        <v>_</v>
      </c>
    </row>
    <row r="3939" spans="8:8">
      <c r="H3939" s="63" t="str">
        <f t="shared" si="61"/>
        <v>_</v>
      </c>
    </row>
    <row r="3940" spans="8:8">
      <c r="H3940" s="63" t="str">
        <f t="shared" si="61"/>
        <v>_</v>
      </c>
    </row>
    <row r="3941" spans="8:8">
      <c r="H3941" s="63" t="str">
        <f t="shared" si="61"/>
        <v>_</v>
      </c>
    </row>
    <row r="3942" spans="8:8">
      <c r="H3942" s="63" t="str">
        <f t="shared" si="61"/>
        <v>_</v>
      </c>
    </row>
    <row r="3943" spans="8:8">
      <c r="H3943" s="63" t="str">
        <f t="shared" si="61"/>
        <v>_</v>
      </c>
    </row>
    <row r="3944" spans="8:8">
      <c r="H3944" s="63" t="str">
        <f t="shared" si="61"/>
        <v>_</v>
      </c>
    </row>
    <row r="3945" spans="8:8">
      <c r="H3945" s="63" t="str">
        <f t="shared" si="61"/>
        <v>_</v>
      </c>
    </row>
    <row r="3946" spans="8:8">
      <c r="H3946" s="63" t="str">
        <f t="shared" si="61"/>
        <v>_</v>
      </c>
    </row>
    <row r="3947" spans="8:8">
      <c r="H3947" s="63" t="str">
        <f t="shared" si="61"/>
        <v>_</v>
      </c>
    </row>
    <row r="3948" spans="8:8">
      <c r="H3948" s="63" t="str">
        <f t="shared" si="61"/>
        <v>_</v>
      </c>
    </row>
    <row r="3949" spans="8:8">
      <c r="H3949" s="63" t="str">
        <f t="shared" si="61"/>
        <v>_</v>
      </c>
    </row>
    <row r="3950" spans="8:8">
      <c r="H3950" s="63" t="str">
        <f t="shared" si="61"/>
        <v>_</v>
      </c>
    </row>
    <row r="3951" spans="8:8">
      <c r="H3951" s="63" t="str">
        <f t="shared" si="61"/>
        <v>_</v>
      </c>
    </row>
    <row r="3952" spans="8:8">
      <c r="H3952" s="63" t="str">
        <f t="shared" si="61"/>
        <v>_</v>
      </c>
    </row>
    <row r="3953" spans="8:8">
      <c r="H3953" s="63" t="str">
        <f t="shared" si="61"/>
        <v>_</v>
      </c>
    </row>
    <row r="3954" spans="8:8">
      <c r="H3954" s="63" t="str">
        <f t="shared" si="61"/>
        <v>_</v>
      </c>
    </row>
    <row r="3955" spans="8:8">
      <c r="H3955" s="63" t="str">
        <f t="shared" si="61"/>
        <v>_</v>
      </c>
    </row>
    <row r="3956" spans="8:8">
      <c r="H3956" s="63" t="str">
        <f t="shared" si="61"/>
        <v>_</v>
      </c>
    </row>
    <row r="3957" spans="8:8">
      <c r="H3957" s="63" t="str">
        <f t="shared" si="61"/>
        <v>_</v>
      </c>
    </row>
    <row r="3958" spans="8:8">
      <c r="H3958" s="63" t="str">
        <f t="shared" si="61"/>
        <v>_</v>
      </c>
    </row>
    <row r="3959" spans="8:8">
      <c r="H3959" s="63" t="str">
        <f t="shared" si="61"/>
        <v>_</v>
      </c>
    </row>
    <row r="3960" spans="8:8">
      <c r="H3960" s="63" t="str">
        <f t="shared" si="61"/>
        <v>_</v>
      </c>
    </row>
    <row r="3961" spans="8:8">
      <c r="H3961" s="63" t="str">
        <f t="shared" si="61"/>
        <v>_</v>
      </c>
    </row>
    <row r="3962" spans="8:8">
      <c r="H3962" s="63" t="str">
        <f t="shared" si="61"/>
        <v>_</v>
      </c>
    </row>
    <row r="3963" spans="8:8">
      <c r="H3963" s="63" t="str">
        <f t="shared" si="61"/>
        <v>_</v>
      </c>
    </row>
    <row r="3964" spans="8:8">
      <c r="H3964" s="63" t="str">
        <f t="shared" si="61"/>
        <v>_</v>
      </c>
    </row>
    <row r="3965" spans="8:8">
      <c r="H3965" s="63" t="str">
        <f t="shared" si="61"/>
        <v>_</v>
      </c>
    </row>
    <row r="3966" spans="8:8">
      <c r="H3966" s="63" t="str">
        <f t="shared" si="61"/>
        <v>_</v>
      </c>
    </row>
    <row r="3967" spans="8:8">
      <c r="H3967" s="63" t="str">
        <f t="shared" si="61"/>
        <v>_</v>
      </c>
    </row>
    <row r="3968" spans="8:8">
      <c r="H3968" s="63" t="str">
        <f t="shared" si="61"/>
        <v>_</v>
      </c>
    </row>
    <row r="3969" spans="8:8">
      <c r="H3969" s="63" t="str">
        <f t="shared" si="61"/>
        <v>_</v>
      </c>
    </row>
    <row r="3970" spans="8:8">
      <c r="H3970" s="63" t="str">
        <f t="shared" si="61"/>
        <v>_</v>
      </c>
    </row>
    <row r="3971" spans="8:8">
      <c r="H3971" s="63" t="str">
        <f t="shared" ref="H3971:H4034" si="62">IF(OR(MID(A3971,6,10)="NASPP",MID(A3971,6,10)="RASPP"),"RNASPP",IF(OR(MID(A3971,6,10)="NSFAP",MID(A3971,6,10)="RSPOA"),"RNSPOA",IF(OR(A3971="ULGALLOC",A3971="ULSPOOL"),A3971,IF(MID(A3971,6,5)="ANSSP","ASSP1",MID(A3971,6,10)))))&amp;"_"&amp;B3971</f>
        <v>_</v>
      </c>
    </row>
    <row r="3972" spans="8:8">
      <c r="H3972" s="63" t="str">
        <f t="shared" si="62"/>
        <v>_</v>
      </c>
    </row>
    <row r="3973" spans="8:8">
      <c r="H3973" s="63" t="str">
        <f t="shared" si="62"/>
        <v>_</v>
      </c>
    </row>
    <row r="3974" spans="8:8">
      <c r="H3974" s="63" t="str">
        <f t="shared" si="62"/>
        <v>_</v>
      </c>
    </row>
    <row r="3975" spans="8:8">
      <c r="H3975" s="63" t="str">
        <f t="shared" si="62"/>
        <v>_</v>
      </c>
    </row>
    <row r="3976" spans="8:8">
      <c r="H3976" s="63" t="str">
        <f t="shared" si="62"/>
        <v>_</v>
      </c>
    </row>
    <row r="3977" spans="8:8">
      <c r="H3977" s="63" t="str">
        <f t="shared" si="62"/>
        <v>_</v>
      </c>
    </row>
    <row r="3978" spans="8:8">
      <c r="H3978" s="63" t="str">
        <f t="shared" si="62"/>
        <v>_</v>
      </c>
    </row>
    <row r="3979" spans="8:8">
      <c r="H3979" s="63" t="str">
        <f t="shared" si="62"/>
        <v>_</v>
      </c>
    </row>
    <row r="3980" spans="8:8">
      <c r="H3980" s="63" t="str">
        <f t="shared" si="62"/>
        <v>_</v>
      </c>
    </row>
    <row r="3981" spans="8:8">
      <c r="H3981" s="63" t="str">
        <f t="shared" si="62"/>
        <v>_</v>
      </c>
    </row>
    <row r="3982" spans="8:8">
      <c r="H3982" s="63" t="str">
        <f t="shared" si="62"/>
        <v>_</v>
      </c>
    </row>
    <row r="3983" spans="8:8">
      <c r="H3983" s="63" t="str">
        <f t="shared" si="62"/>
        <v>_</v>
      </c>
    </row>
    <row r="3984" spans="8:8">
      <c r="H3984" s="63" t="str">
        <f t="shared" si="62"/>
        <v>_</v>
      </c>
    </row>
    <row r="3985" spans="8:8">
      <c r="H3985" s="63" t="str">
        <f t="shared" si="62"/>
        <v>_</v>
      </c>
    </row>
    <row r="3986" spans="8:8">
      <c r="H3986" s="63" t="str">
        <f t="shared" si="62"/>
        <v>_</v>
      </c>
    </row>
    <row r="3987" spans="8:8">
      <c r="H3987" s="63" t="str">
        <f t="shared" si="62"/>
        <v>_</v>
      </c>
    </row>
    <row r="3988" spans="8:8">
      <c r="H3988" s="63" t="str">
        <f t="shared" si="62"/>
        <v>_</v>
      </c>
    </row>
    <row r="3989" spans="8:8">
      <c r="H3989" s="63" t="str">
        <f t="shared" si="62"/>
        <v>_</v>
      </c>
    </row>
    <row r="3990" spans="8:8">
      <c r="H3990" s="63" t="str">
        <f t="shared" si="62"/>
        <v>_</v>
      </c>
    </row>
    <row r="3991" spans="8:8">
      <c r="H3991" s="63" t="str">
        <f t="shared" si="62"/>
        <v>_</v>
      </c>
    </row>
    <row r="3992" spans="8:8">
      <c r="H3992" s="63" t="str">
        <f t="shared" si="62"/>
        <v>_</v>
      </c>
    </row>
    <row r="3993" spans="8:8">
      <c r="H3993" s="63" t="str">
        <f t="shared" si="62"/>
        <v>_</v>
      </c>
    </row>
    <row r="3994" spans="8:8">
      <c r="H3994" s="63" t="str">
        <f t="shared" si="62"/>
        <v>_</v>
      </c>
    </row>
    <row r="3995" spans="8:8">
      <c r="H3995" s="63" t="str">
        <f t="shared" si="62"/>
        <v>_</v>
      </c>
    </row>
    <row r="3996" spans="8:8">
      <c r="H3996" s="63" t="str">
        <f t="shared" si="62"/>
        <v>_</v>
      </c>
    </row>
    <row r="3997" spans="8:8">
      <c r="H3997" s="63" t="str">
        <f t="shared" si="62"/>
        <v>_</v>
      </c>
    </row>
    <row r="3998" spans="8:8">
      <c r="H3998" s="63" t="str">
        <f t="shared" si="62"/>
        <v>_</v>
      </c>
    </row>
    <row r="3999" spans="8:8">
      <c r="H3999" s="63" t="str">
        <f t="shared" si="62"/>
        <v>_</v>
      </c>
    </row>
    <row r="4000" spans="8:8">
      <c r="H4000" s="63" t="str">
        <f t="shared" si="62"/>
        <v>_</v>
      </c>
    </row>
    <row r="4001" spans="8:8">
      <c r="H4001" s="63" t="str">
        <f t="shared" si="62"/>
        <v>_</v>
      </c>
    </row>
    <row r="4002" spans="8:8">
      <c r="H4002" s="63" t="str">
        <f t="shared" si="62"/>
        <v>_</v>
      </c>
    </row>
    <row r="4003" spans="8:8">
      <c r="H4003" s="63" t="str">
        <f t="shared" si="62"/>
        <v>_</v>
      </c>
    </row>
    <row r="4004" spans="8:8">
      <c r="H4004" s="63" t="str">
        <f t="shared" si="62"/>
        <v>_</v>
      </c>
    </row>
    <row r="4005" spans="8:8">
      <c r="H4005" s="63" t="str">
        <f t="shared" si="62"/>
        <v>_</v>
      </c>
    </row>
    <row r="4006" spans="8:8">
      <c r="H4006" s="63" t="str">
        <f t="shared" si="62"/>
        <v>_</v>
      </c>
    </row>
    <row r="4007" spans="8:8">
      <c r="H4007" s="63" t="str">
        <f t="shared" si="62"/>
        <v>_</v>
      </c>
    </row>
    <row r="4008" spans="8:8">
      <c r="H4008" s="63" t="str">
        <f t="shared" si="62"/>
        <v>_</v>
      </c>
    </row>
    <row r="4009" spans="8:8">
      <c r="H4009" s="63" t="str">
        <f t="shared" si="62"/>
        <v>_</v>
      </c>
    </row>
    <row r="4010" spans="8:8">
      <c r="H4010" s="63" t="str">
        <f t="shared" si="62"/>
        <v>_</v>
      </c>
    </row>
    <row r="4011" spans="8:8">
      <c r="H4011" s="63" t="str">
        <f t="shared" si="62"/>
        <v>_</v>
      </c>
    </row>
    <row r="4012" spans="8:8">
      <c r="H4012" s="63" t="str">
        <f t="shared" si="62"/>
        <v>_</v>
      </c>
    </row>
    <row r="4013" spans="8:8">
      <c r="H4013" s="63" t="str">
        <f t="shared" si="62"/>
        <v>_</v>
      </c>
    </row>
    <row r="4014" spans="8:8">
      <c r="H4014" s="63" t="str">
        <f t="shared" si="62"/>
        <v>_</v>
      </c>
    </row>
    <row r="4015" spans="8:8">
      <c r="H4015" s="63" t="str">
        <f t="shared" si="62"/>
        <v>_</v>
      </c>
    </row>
    <row r="4016" spans="8:8">
      <c r="H4016" s="63" t="str">
        <f t="shared" si="62"/>
        <v>_</v>
      </c>
    </row>
    <row r="4017" spans="8:8">
      <c r="H4017" s="63" t="str">
        <f t="shared" si="62"/>
        <v>_</v>
      </c>
    </row>
    <row r="4018" spans="8:8">
      <c r="H4018" s="63" t="str">
        <f t="shared" si="62"/>
        <v>_</v>
      </c>
    </row>
    <row r="4019" spans="8:8">
      <c r="H4019" s="63" t="str">
        <f t="shared" si="62"/>
        <v>_</v>
      </c>
    </row>
    <row r="4020" spans="8:8">
      <c r="H4020" s="63" t="str">
        <f t="shared" si="62"/>
        <v>_</v>
      </c>
    </row>
    <row r="4021" spans="8:8">
      <c r="H4021" s="63" t="str">
        <f t="shared" si="62"/>
        <v>_</v>
      </c>
    </row>
    <row r="4022" spans="8:8">
      <c r="H4022" s="63" t="str">
        <f t="shared" si="62"/>
        <v>_</v>
      </c>
    </row>
    <row r="4023" spans="8:8">
      <c r="H4023" s="63" t="str">
        <f t="shared" si="62"/>
        <v>_</v>
      </c>
    </row>
    <row r="4024" spans="8:8">
      <c r="H4024" s="63" t="str">
        <f t="shared" si="62"/>
        <v>_</v>
      </c>
    </row>
    <row r="4025" spans="8:8">
      <c r="H4025" s="63" t="str">
        <f t="shared" si="62"/>
        <v>_</v>
      </c>
    </row>
    <row r="4026" spans="8:8">
      <c r="H4026" s="63" t="str">
        <f t="shared" si="62"/>
        <v>_</v>
      </c>
    </row>
    <row r="4027" spans="8:8">
      <c r="H4027" s="63" t="str">
        <f t="shared" si="62"/>
        <v>_</v>
      </c>
    </row>
    <row r="4028" spans="8:8">
      <c r="H4028" s="63" t="str">
        <f t="shared" si="62"/>
        <v>_</v>
      </c>
    </row>
    <row r="4029" spans="8:8">
      <c r="H4029" s="63" t="str">
        <f t="shared" si="62"/>
        <v>_</v>
      </c>
    </row>
    <row r="4030" spans="8:8">
      <c r="H4030" s="63" t="str">
        <f t="shared" si="62"/>
        <v>_</v>
      </c>
    </row>
    <row r="4031" spans="8:8">
      <c r="H4031" s="63" t="str">
        <f t="shared" si="62"/>
        <v>_</v>
      </c>
    </row>
    <row r="4032" spans="8:8">
      <c r="H4032" s="63" t="str">
        <f t="shared" si="62"/>
        <v>_</v>
      </c>
    </row>
    <row r="4033" spans="8:8">
      <c r="H4033" s="63" t="str">
        <f t="shared" si="62"/>
        <v>_</v>
      </c>
    </row>
    <row r="4034" spans="8:8">
      <c r="H4034" s="63" t="str">
        <f t="shared" si="62"/>
        <v>_</v>
      </c>
    </row>
    <row r="4035" spans="8:8">
      <c r="H4035" s="63" t="str">
        <f t="shared" ref="H4035:H4098" si="63">IF(OR(MID(A4035,6,10)="NASPP",MID(A4035,6,10)="RASPP"),"RNASPP",IF(OR(MID(A4035,6,10)="NSFAP",MID(A4035,6,10)="RSPOA"),"RNSPOA",IF(OR(A4035="ULGALLOC",A4035="ULSPOOL"),A4035,IF(MID(A4035,6,5)="ANSSP","ASSP1",MID(A4035,6,10)))))&amp;"_"&amp;B4035</f>
        <v>_</v>
      </c>
    </row>
    <row r="4036" spans="8:8">
      <c r="H4036" s="63" t="str">
        <f t="shared" si="63"/>
        <v>_</v>
      </c>
    </row>
    <row r="4037" spans="8:8">
      <c r="H4037" s="63" t="str">
        <f t="shared" si="63"/>
        <v>_</v>
      </c>
    </row>
    <row r="4038" spans="8:8">
      <c r="H4038" s="63" t="str">
        <f t="shared" si="63"/>
        <v>_</v>
      </c>
    </row>
    <row r="4039" spans="8:8">
      <c r="H4039" s="63" t="str">
        <f t="shared" si="63"/>
        <v>_</v>
      </c>
    </row>
    <row r="4040" spans="8:8">
      <c r="H4040" s="63" t="str">
        <f t="shared" si="63"/>
        <v>_</v>
      </c>
    </row>
    <row r="4041" spans="8:8">
      <c r="H4041" s="63" t="str">
        <f t="shared" si="63"/>
        <v>_</v>
      </c>
    </row>
    <row r="4042" spans="8:8">
      <c r="H4042" s="63" t="str">
        <f t="shared" si="63"/>
        <v>_</v>
      </c>
    </row>
    <row r="4043" spans="8:8">
      <c r="H4043" s="63" t="str">
        <f t="shared" si="63"/>
        <v>_</v>
      </c>
    </row>
    <row r="4044" spans="8:8">
      <c r="H4044" s="63" t="str">
        <f t="shared" si="63"/>
        <v>_</v>
      </c>
    </row>
    <row r="4045" spans="8:8">
      <c r="H4045" s="63" t="str">
        <f t="shared" si="63"/>
        <v>_</v>
      </c>
    </row>
    <row r="4046" spans="8:8">
      <c r="H4046" s="63" t="str">
        <f t="shared" si="63"/>
        <v>_</v>
      </c>
    </row>
    <row r="4047" spans="8:8">
      <c r="H4047" s="63" t="str">
        <f t="shared" si="63"/>
        <v>_</v>
      </c>
    </row>
    <row r="4048" spans="8:8">
      <c r="H4048" s="63" t="str">
        <f t="shared" si="63"/>
        <v>_</v>
      </c>
    </row>
    <row r="4049" spans="8:8">
      <c r="H4049" s="63" t="str">
        <f t="shared" si="63"/>
        <v>_</v>
      </c>
    </row>
    <row r="4050" spans="8:8">
      <c r="H4050" s="63" t="str">
        <f t="shared" si="63"/>
        <v>_</v>
      </c>
    </row>
    <row r="4051" spans="8:8">
      <c r="H4051" s="63" t="str">
        <f t="shared" si="63"/>
        <v>_</v>
      </c>
    </row>
    <row r="4052" spans="8:8">
      <c r="H4052" s="63" t="str">
        <f t="shared" si="63"/>
        <v>_</v>
      </c>
    </row>
    <row r="4053" spans="8:8">
      <c r="H4053" s="63" t="str">
        <f t="shared" si="63"/>
        <v>_</v>
      </c>
    </row>
    <row r="4054" spans="8:8">
      <c r="H4054" s="63" t="str">
        <f t="shared" si="63"/>
        <v>_</v>
      </c>
    </row>
    <row r="4055" spans="8:8">
      <c r="H4055" s="63" t="str">
        <f t="shared" si="63"/>
        <v>_</v>
      </c>
    </row>
    <row r="4056" spans="8:8">
      <c r="H4056" s="63" t="str">
        <f t="shared" si="63"/>
        <v>_</v>
      </c>
    </row>
    <row r="4057" spans="8:8">
      <c r="H4057" s="63" t="str">
        <f t="shared" si="63"/>
        <v>_</v>
      </c>
    </row>
    <row r="4058" spans="8:8">
      <c r="H4058" s="63" t="str">
        <f t="shared" si="63"/>
        <v>_</v>
      </c>
    </row>
    <row r="4059" spans="8:8">
      <c r="H4059" s="63" t="str">
        <f t="shared" si="63"/>
        <v>_</v>
      </c>
    </row>
    <row r="4060" spans="8:8">
      <c r="H4060" s="63" t="str">
        <f t="shared" si="63"/>
        <v>_</v>
      </c>
    </row>
    <row r="4061" spans="8:8">
      <c r="H4061" s="63" t="str">
        <f t="shared" si="63"/>
        <v>_</v>
      </c>
    </row>
    <row r="4062" spans="8:8">
      <c r="H4062" s="63" t="str">
        <f t="shared" si="63"/>
        <v>_</v>
      </c>
    </row>
    <row r="4063" spans="8:8">
      <c r="H4063" s="63" t="str">
        <f t="shared" si="63"/>
        <v>_</v>
      </c>
    </row>
    <row r="4064" spans="8:8">
      <c r="H4064" s="63" t="str">
        <f t="shared" si="63"/>
        <v>_</v>
      </c>
    </row>
    <row r="4065" spans="8:8">
      <c r="H4065" s="63" t="str">
        <f t="shared" si="63"/>
        <v>_</v>
      </c>
    </row>
    <row r="4066" spans="8:8">
      <c r="H4066" s="63" t="str">
        <f t="shared" si="63"/>
        <v>_</v>
      </c>
    </row>
    <row r="4067" spans="8:8">
      <c r="H4067" s="63" t="str">
        <f t="shared" si="63"/>
        <v>_</v>
      </c>
    </row>
    <row r="4068" spans="8:8">
      <c r="H4068" s="63" t="str">
        <f t="shared" si="63"/>
        <v>_</v>
      </c>
    </row>
    <row r="4069" spans="8:8">
      <c r="H4069" s="63" t="str">
        <f t="shared" si="63"/>
        <v>_</v>
      </c>
    </row>
    <row r="4070" spans="8:8">
      <c r="H4070" s="63" t="str">
        <f t="shared" si="63"/>
        <v>_</v>
      </c>
    </row>
    <row r="4071" spans="8:8">
      <c r="H4071" s="63" t="str">
        <f t="shared" si="63"/>
        <v>_</v>
      </c>
    </row>
    <row r="4072" spans="8:8">
      <c r="H4072" s="63" t="str">
        <f t="shared" si="63"/>
        <v>_</v>
      </c>
    </row>
    <row r="4073" spans="8:8">
      <c r="H4073" s="63" t="str">
        <f t="shared" si="63"/>
        <v>_</v>
      </c>
    </row>
    <row r="4074" spans="8:8">
      <c r="H4074" s="63" t="str">
        <f t="shared" si="63"/>
        <v>_</v>
      </c>
    </row>
    <row r="4075" spans="8:8">
      <c r="H4075" s="63" t="str">
        <f t="shared" si="63"/>
        <v>_</v>
      </c>
    </row>
    <row r="4076" spans="8:8">
      <c r="H4076" s="63" t="str">
        <f t="shared" si="63"/>
        <v>_</v>
      </c>
    </row>
    <row r="4077" spans="8:8">
      <c r="H4077" s="63" t="str">
        <f t="shared" si="63"/>
        <v>_</v>
      </c>
    </row>
    <row r="4078" spans="8:8">
      <c r="H4078" s="63" t="str">
        <f t="shared" si="63"/>
        <v>_</v>
      </c>
    </row>
    <row r="4079" spans="8:8">
      <c r="H4079" s="63" t="str">
        <f t="shared" si="63"/>
        <v>_</v>
      </c>
    </row>
    <row r="4080" spans="8:8">
      <c r="H4080" s="63" t="str">
        <f t="shared" si="63"/>
        <v>_</v>
      </c>
    </row>
    <row r="4081" spans="8:8">
      <c r="H4081" s="63" t="str">
        <f t="shared" si="63"/>
        <v>_</v>
      </c>
    </row>
    <row r="4082" spans="8:8">
      <c r="H4082" s="63" t="str">
        <f t="shared" si="63"/>
        <v>_</v>
      </c>
    </row>
    <row r="4083" spans="8:8">
      <c r="H4083" s="63" t="str">
        <f t="shared" si="63"/>
        <v>_</v>
      </c>
    </row>
    <row r="4084" spans="8:8">
      <c r="H4084" s="63" t="str">
        <f t="shared" si="63"/>
        <v>_</v>
      </c>
    </row>
    <row r="4085" spans="8:8">
      <c r="H4085" s="63" t="str">
        <f t="shared" si="63"/>
        <v>_</v>
      </c>
    </row>
    <row r="4086" spans="8:8">
      <c r="H4086" s="63" t="str">
        <f t="shared" si="63"/>
        <v>_</v>
      </c>
    </row>
    <row r="4087" spans="8:8">
      <c r="H4087" s="63" t="str">
        <f t="shared" si="63"/>
        <v>_</v>
      </c>
    </row>
    <row r="4088" spans="8:8">
      <c r="H4088" s="63" t="str">
        <f t="shared" si="63"/>
        <v>_</v>
      </c>
    </row>
    <row r="4089" spans="8:8">
      <c r="H4089" s="63" t="str">
        <f t="shared" si="63"/>
        <v>_</v>
      </c>
    </row>
    <row r="4090" spans="8:8">
      <c r="H4090" s="63" t="str">
        <f t="shared" si="63"/>
        <v>_</v>
      </c>
    </row>
    <row r="4091" spans="8:8">
      <c r="H4091" s="63" t="str">
        <f t="shared" si="63"/>
        <v>_</v>
      </c>
    </row>
    <row r="4092" spans="8:8">
      <c r="H4092" s="63" t="str">
        <f t="shared" si="63"/>
        <v>_</v>
      </c>
    </row>
    <row r="4093" spans="8:8">
      <c r="H4093" s="63" t="str">
        <f t="shared" si="63"/>
        <v>_</v>
      </c>
    </row>
    <row r="4094" spans="8:8">
      <c r="H4094" s="63" t="str">
        <f t="shared" si="63"/>
        <v>_</v>
      </c>
    </row>
    <row r="4095" spans="8:8">
      <c r="H4095" s="63" t="str">
        <f t="shared" si="63"/>
        <v>_</v>
      </c>
    </row>
    <row r="4096" spans="8:8">
      <c r="H4096" s="63" t="str">
        <f t="shared" si="63"/>
        <v>_</v>
      </c>
    </row>
    <row r="4097" spans="8:8">
      <c r="H4097" s="63" t="str">
        <f t="shared" si="63"/>
        <v>_</v>
      </c>
    </row>
    <row r="4098" spans="8:8">
      <c r="H4098" s="63" t="str">
        <f t="shared" si="63"/>
        <v>_</v>
      </c>
    </row>
    <row r="4099" spans="8:8">
      <c r="H4099" s="63" t="str">
        <f t="shared" ref="H4099:H4162" si="64">IF(OR(MID(A4099,6,10)="NASPP",MID(A4099,6,10)="RASPP"),"RNASPP",IF(OR(MID(A4099,6,10)="NSFAP",MID(A4099,6,10)="RSPOA"),"RNSPOA",IF(OR(A4099="ULGALLOC",A4099="ULSPOOL"),A4099,IF(MID(A4099,6,5)="ANSSP","ASSP1",MID(A4099,6,10)))))&amp;"_"&amp;B4099</f>
        <v>_</v>
      </c>
    </row>
    <row r="4100" spans="8:8">
      <c r="H4100" s="63" t="str">
        <f t="shared" si="64"/>
        <v>_</v>
      </c>
    </row>
    <row r="4101" spans="8:8">
      <c r="H4101" s="63" t="str">
        <f t="shared" si="64"/>
        <v>_</v>
      </c>
    </row>
    <row r="4102" spans="8:8">
      <c r="H4102" s="63" t="str">
        <f t="shared" si="64"/>
        <v>_</v>
      </c>
    </row>
    <row r="4103" spans="8:8">
      <c r="H4103" s="63" t="str">
        <f t="shared" si="64"/>
        <v>_</v>
      </c>
    </row>
    <row r="4104" spans="8:8">
      <c r="H4104" s="63" t="str">
        <f t="shared" si="64"/>
        <v>_</v>
      </c>
    </row>
    <row r="4105" spans="8:8">
      <c r="H4105" s="63" t="str">
        <f t="shared" si="64"/>
        <v>_</v>
      </c>
    </row>
    <row r="4106" spans="8:8">
      <c r="H4106" s="63" t="str">
        <f t="shared" si="64"/>
        <v>_</v>
      </c>
    </row>
    <row r="4107" spans="8:8">
      <c r="H4107" s="63" t="str">
        <f t="shared" si="64"/>
        <v>_</v>
      </c>
    </row>
    <row r="4108" spans="8:8">
      <c r="H4108" s="63" t="str">
        <f t="shared" si="64"/>
        <v>_</v>
      </c>
    </row>
    <row r="4109" spans="8:8">
      <c r="H4109" s="63" t="str">
        <f t="shared" si="64"/>
        <v>_</v>
      </c>
    </row>
    <row r="4110" spans="8:8">
      <c r="H4110" s="63" t="str">
        <f t="shared" si="64"/>
        <v>_</v>
      </c>
    </row>
    <row r="4111" spans="8:8">
      <c r="H4111" s="63" t="str">
        <f t="shared" si="64"/>
        <v>_</v>
      </c>
    </row>
    <row r="4112" spans="8:8">
      <c r="H4112" s="63" t="str">
        <f t="shared" si="64"/>
        <v>_</v>
      </c>
    </row>
    <row r="4113" spans="8:8">
      <c r="H4113" s="63" t="str">
        <f t="shared" si="64"/>
        <v>_</v>
      </c>
    </row>
    <row r="4114" spans="8:8">
      <c r="H4114" s="63" t="str">
        <f t="shared" si="64"/>
        <v>_</v>
      </c>
    </row>
    <row r="4115" spans="8:8">
      <c r="H4115" s="63" t="str">
        <f t="shared" si="64"/>
        <v>_</v>
      </c>
    </row>
    <row r="4116" spans="8:8">
      <c r="H4116" s="63" t="str">
        <f t="shared" si="64"/>
        <v>_</v>
      </c>
    </row>
    <row r="4117" spans="8:8">
      <c r="H4117" s="63" t="str">
        <f t="shared" si="64"/>
        <v>_</v>
      </c>
    </row>
    <row r="4118" spans="8:8">
      <c r="H4118" s="63" t="str">
        <f t="shared" si="64"/>
        <v>_</v>
      </c>
    </row>
    <row r="4119" spans="8:8">
      <c r="H4119" s="63" t="str">
        <f t="shared" si="64"/>
        <v>_</v>
      </c>
    </row>
    <row r="4120" spans="8:8">
      <c r="H4120" s="63" t="str">
        <f t="shared" si="64"/>
        <v>_</v>
      </c>
    </row>
    <row r="4121" spans="8:8">
      <c r="H4121" s="63" t="str">
        <f t="shared" si="64"/>
        <v>_</v>
      </c>
    </row>
    <row r="4122" spans="8:8">
      <c r="H4122" s="63" t="str">
        <f t="shared" si="64"/>
        <v>_</v>
      </c>
    </row>
    <row r="4123" spans="8:8">
      <c r="H4123" s="63" t="str">
        <f t="shared" si="64"/>
        <v>_</v>
      </c>
    </row>
    <row r="4124" spans="8:8">
      <c r="H4124" s="63" t="str">
        <f t="shared" si="64"/>
        <v>_</v>
      </c>
    </row>
    <row r="4125" spans="8:8">
      <c r="H4125" s="63" t="str">
        <f t="shared" si="64"/>
        <v>_</v>
      </c>
    </row>
    <row r="4126" spans="8:8">
      <c r="H4126" s="63" t="str">
        <f t="shared" si="64"/>
        <v>_</v>
      </c>
    </row>
    <row r="4127" spans="8:8">
      <c r="H4127" s="63" t="str">
        <f t="shared" si="64"/>
        <v>_</v>
      </c>
    </row>
    <row r="4128" spans="8:8">
      <c r="H4128" s="63" t="str">
        <f t="shared" si="64"/>
        <v>_</v>
      </c>
    </row>
    <row r="4129" spans="8:8">
      <c r="H4129" s="63" t="str">
        <f t="shared" si="64"/>
        <v>_</v>
      </c>
    </row>
    <row r="4130" spans="8:8">
      <c r="H4130" s="63" t="str">
        <f t="shared" si="64"/>
        <v>_</v>
      </c>
    </row>
    <row r="4131" spans="8:8">
      <c r="H4131" s="63" t="str">
        <f t="shared" si="64"/>
        <v>_</v>
      </c>
    </row>
    <row r="4132" spans="8:8">
      <c r="H4132" s="63" t="str">
        <f t="shared" si="64"/>
        <v>_</v>
      </c>
    </row>
    <row r="4133" spans="8:8">
      <c r="H4133" s="63" t="str">
        <f t="shared" si="64"/>
        <v>_</v>
      </c>
    </row>
    <row r="4134" spans="8:8">
      <c r="H4134" s="63" t="str">
        <f t="shared" si="64"/>
        <v>_</v>
      </c>
    </row>
    <row r="4135" spans="8:8">
      <c r="H4135" s="63" t="str">
        <f t="shared" si="64"/>
        <v>_</v>
      </c>
    </row>
    <row r="4136" spans="8:8">
      <c r="H4136" s="63" t="str">
        <f t="shared" si="64"/>
        <v>_</v>
      </c>
    </row>
    <row r="4137" spans="8:8">
      <c r="H4137" s="63" t="str">
        <f t="shared" si="64"/>
        <v>_</v>
      </c>
    </row>
    <row r="4138" spans="8:8">
      <c r="H4138" s="63" t="str">
        <f t="shared" si="64"/>
        <v>_</v>
      </c>
    </row>
    <row r="4139" spans="8:8">
      <c r="H4139" s="63" t="str">
        <f t="shared" si="64"/>
        <v>_</v>
      </c>
    </row>
    <row r="4140" spans="8:8">
      <c r="H4140" s="63" t="str">
        <f t="shared" si="64"/>
        <v>_</v>
      </c>
    </row>
    <row r="4141" spans="8:8">
      <c r="H4141" s="63" t="str">
        <f t="shared" si="64"/>
        <v>_</v>
      </c>
    </row>
    <row r="4142" spans="8:8">
      <c r="H4142" s="63" t="str">
        <f t="shared" si="64"/>
        <v>_</v>
      </c>
    </row>
    <row r="4143" spans="8:8">
      <c r="H4143" s="63" t="str">
        <f t="shared" si="64"/>
        <v>_</v>
      </c>
    </row>
    <row r="4144" spans="8:8">
      <c r="H4144" s="63" t="str">
        <f t="shared" si="64"/>
        <v>_</v>
      </c>
    </row>
    <row r="4145" spans="8:8">
      <c r="H4145" s="63" t="str">
        <f t="shared" si="64"/>
        <v>_</v>
      </c>
    </row>
    <row r="4146" spans="8:8">
      <c r="H4146" s="63" t="str">
        <f t="shared" si="64"/>
        <v>_</v>
      </c>
    </row>
    <row r="4147" spans="8:8">
      <c r="H4147" s="63" t="str">
        <f t="shared" si="64"/>
        <v>_</v>
      </c>
    </row>
    <row r="4148" spans="8:8">
      <c r="H4148" s="63" t="str">
        <f t="shared" si="64"/>
        <v>_</v>
      </c>
    </row>
    <row r="4149" spans="8:8">
      <c r="H4149" s="63" t="str">
        <f t="shared" si="64"/>
        <v>_</v>
      </c>
    </row>
    <row r="4150" spans="8:8">
      <c r="H4150" s="63" t="str">
        <f t="shared" si="64"/>
        <v>_</v>
      </c>
    </row>
    <row r="4151" spans="8:8">
      <c r="H4151" s="63" t="str">
        <f t="shared" si="64"/>
        <v>_</v>
      </c>
    </row>
    <row r="4152" spans="8:8">
      <c r="H4152" s="63" t="str">
        <f t="shared" si="64"/>
        <v>_</v>
      </c>
    </row>
    <row r="4153" spans="8:8">
      <c r="H4153" s="63" t="str">
        <f t="shared" si="64"/>
        <v>_</v>
      </c>
    </row>
    <row r="4154" spans="8:8">
      <c r="H4154" s="63" t="str">
        <f t="shared" si="64"/>
        <v>_</v>
      </c>
    </row>
    <row r="4155" spans="8:8">
      <c r="H4155" s="63" t="str">
        <f t="shared" si="64"/>
        <v>_</v>
      </c>
    </row>
    <row r="4156" spans="8:8">
      <c r="H4156" s="63" t="str">
        <f t="shared" si="64"/>
        <v>_</v>
      </c>
    </row>
    <row r="4157" spans="8:8">
      <c r="H4157" s="63" t="str">
        <f t="shared" si="64"/>
        <v>_</v>
      </c>
    </row>
    <row r="4158" spans="8:8">
      <c r="H4158" s="63" t="str">
        <f t="shared" si="64"/>
        <v>_</v>
      </c>
    </row>
    <row r="4159" spans="8:8">
      <c r="H4159" s="63" t="str">
        <f t="shared" si="64"/>
        <v>_</v>
      </c>
    </row>
    <row r="4160" spans="8:8">
      <c r="H4160" s="63" t="str">
        <f t="shared" si="64"/>
        <v>_</v>
      </c>
    </row>
    <row r="4161" spans="8:8">
      <c r="H4161" s="63" t="str">
        <f t="shared" si="64"/>
        <v>_</v>
      </c>
    </row>
    <row r="4162" spans="8:8">
      <c r="H4162" s="63" t="str">
        <f t="shared" si="64"/>
        <v>_</v>
      </c>
    </row>
    <row r="4163" spans="8:8">
      <c r="H4163" s="63" t="str">
        <f t="shared" ref="H4163:H4226" si="65">IF(OR(MID(A4163,6,10)="NASPP",MID(A4163,6,10)="RASPP"),"RNASPP",IF(OR(MID(A4163,6,10)="NSFAP",MID(A4163,6,10)="RSPOA"),"RNSPOA",IF(OR(A4163="ULGALLOC",A4163="ULSPOOL"),A4163,IF(MID(A4163,6,5)="ANSSP","ASSP1",MID(A4163,6,10)))))&amp;"_"&amp;B4163</f>
        <v>_</v>
      </c>
    </row>
    <row r="4164" spans="8:8">
      <c r="H4164" s="63" t="str">
        <f t="shared" si="65"/>
        <v>_</v>
      </c>
    </row>
    <row r="4165" spans="8:8">
      <c r="H4165" s="63" t="str">
        <f t="shared" si="65"/>
        <v>_</v>
      </c>
    </row>
    <row r="4166" spans="8:8">
      <c r="H4166" s="63" t="str">
        <f t="shared" si="65"/>
        <v>_</v>
      </c>
    </row>
    <row r="4167" spans="8:8">
      <c r="H4167" s="63" t="str">
        <f t="shared" si="65"/>
        <v>_</v>
      </c>
    </row>
    <row r="4168" spans="8:8">
      <c r="H4168" s="63" t="str">
        <f t="shared" si="65"/>
        <v>_</v>
      </c>
    </row>
    <row r="4169" spans="8:8">
      <c r="H4169" s="63" t="str">
        <f t="shared" si="65"/>
        <v>_</v>
      </c>
    </row>
    <row r="4170" spans="8:8">
      <c r="H4170" s="63" t="str">
        <f t="shared" si="65"/>
        <v>_</v>
      </c>
    </row>
    <row r="4171" spans="8:8">
      <c r="H4171" s="63" t="str">
        <f t="shared" si="65"/>
        <v>_</v>
      </c>
    </row>
    <row r="4172" spans="8:8">
      <c r="H4172" s="63" t="str">
        <f t="shared" si="65"/>
        <v>_</v>
      </c>
    </row>
    <row r="4173" spans="8:8">
      <c r="H4173" s="63" t="str">
        <f t="shared" si="65"/>
        <v>_</v>
      </c>
    </row>
    <row r="4174" spans="8:8">
      <c r="H4174" s="63" t="str">
        <f t="shared" si="65"/>
        <v>_</v>
      </c>
    </row>
    <row r="4175" spans="8:8">
      <c r="H4175" s="63" t="str">
        <f t="shared" si="65"/>
        <v>_</v>
      </c>
    </row>
    <row r="4176" spans="8:8">
      <c r="H4176" s="63" t="str">
        <f t="shared" si="65"/>
        <v>_</v>
      </c>
    </row>
    <row r="4177" spans="8:8">
      <c r="H4177" s="63" t="str">
        <f t="shared" si="65"/>
        <v>_</v>
      </c>
    </row>
    <row r="4178" spans="8:8">
      <c r="H4178" s="63" t="str">
        <f t="shared" si="65"/>
        <v>_</v>
      </c>
    </row>
    <row r="4179" spans="8:8">
      <c r="H4179" s="63" t="str">
        <f t="shared" si="65"/>
        <v>_</v>
      </c>
    </row>
    <row r="4180" spans="8:8">
      <c r="H4180" s="63" t="str">
        <f t="shared" si="65"/>
        <v>_</v>
      </c>
    </row>
    <row r="4181" spans="8:8">
      <c r="H4181" s="63" t="str">
        <f t="shared" si="65"/>
        <v>_</v>
      </c>
    </row>
    <row r="4182" spans="8:8">
      <c r="H4182" s="63" t="str">
        <f t="shared" si="65"/>
        <v>_</v>
      </c>
    </row>
    <row r="4183" spans="8:8">
      <c r="H4183" s="63" t="str">
        <f t="shared" si="65"/>
        <v>_</v>
      </c>
    </row>
    <row r="4184" spans="8:8">
      <c r="H4184" s="63" t="str">
        <f t="shared" si="65"/>
        <v>_</v>
      </c>
    </row>
    <row r="4185" spans="8:8">
      <c r="H4185" s="63" t="str">
        <f t="shared" si="65"/>
        <v>_</v>
      </c>
    </row>
    <row r="4186" spans="8:8">
      <c r="H4186" s="63" t="str">
        <f t="shared" si="65"/>
        <v>_</v>
      </c>
    </row>
    <row r="4187" spans="8:8">
      <c r="H4187" s="63" t="str">
        <f t="shared" si="65"/>
        <v>_</v>
      </c>
    </row>
    <row r="4188" spans="8:8">
      <c r="H4188" s="63" t="str">
        <f t="shared" si="65"/>
        <v>_</v>
      </c>
    </row>
    <row r="4189" spans="8:8">
      <c r="H4189" s="63" t="str">
        <f t="shared" si="65"/>
        <v>_</v>
      </c>
    </row>
    <row r="4190" spans="8:8">
      <c r="H4190" s="63" t="str">
        <f t="shared" si="65"/>
        <v>_</v>
      </c>
    </row>
    <row r="4191" spans="8:8">
      <c r="H4191" s="63" t="str">
        <f t="shared" si="65"/>
        <v>_</v>
      </c>
    </row>
    <row r="4192" spans="8:8">
      <c r="H4192" s="63" t="str">
        <f t="shared" si="65"/>
        <v>_</v>
      </c>
    </row>
    <row r="4193" spans="8:8">
      <c r="H4193" s="63" t="str">
        <f t="shared" si="65"/>
        <v>_</v>
      </c>
    </row>
    <row r="4194" spans="8:8">
      <c r="H4194" s="63" t="str">
        <f t="shared" si="65"/>
        <v>_</v>
      </c>
    </row>
    <row r="4195" spans="8:8">
      <c r="H4195" s="63" t="str">
        <f t="shared" si="65"/>
        <v>_</v>
      </c>
    </row>
    <row r="4196" spans="8:8">
      <c r="H4196" s="63" t="str">
        <f t="shared" si="65"/>
        <v>_</v>
      </c>
    </row>
    <row r="4197" spans="8:8">
      <c r="H4197" s="63" t="str">
        <f t="shared" si="65"/>
        <v>_</v>
      </c>
    </row>
    <row r="4198" spans="8:8">
      <c r="H4198" s="63" t="str">
        <f t="shared" si="65"/>
        <v>_</v>
      </c>
    </row>
    <row r="4199" spans="8:8">
      <c r="H4199" s="63" t="str">
        <f t="shared" si="65"/>
        <v>_</v>
      </c>
    </row>
    <row r="4200" spans="8:8">
      <c r="H4200" s="63" t="str">
        <f t="shared" si="65"/>
        <v>_</v>
      </c>
    </row>
    <row r="4201" spans="8:8">
      <c r="H4201" s="63" t="str">
        <f t="shared" si="65"/>
        <v>_</v>
      </c>
    </row>
    <row r="4202" spans="8:8">
      <c r="H4202" s="63" t="str">
        <f t="shared" si="65"/>
        <v>_</v>
      </c>
    </row>
    <row r="4203" spans="8:8">
      <c r="H4203" s="63" t="str">
        <f t="shared" si="65"/>
        <v>_</v>
      </c>
    </row>
    <row r="4204" spans="8:8">
      <c r="H4204" s="63" t="str">
        <f t="shared" si="65"/>
        <v>_</v>
      </c>
    </row>
    <row r="4205" spans="8:8">
      <c r="H4205" s="63" t="str">
        <f t="shared" si="65"/>
        <v>_</v>
      </c>
    </row>
    <row r="4206" spans="8:8">
      <c r="H4206" s="63" t="str">
        <f t="shared" si="65"/>
        <v>_</v>
      </c>
    </row>
    <row r="4207" spans="8:8">
      <c r="H4207" s="63" t="str">
        <f t="shared" si="65"/>
        <v>_</v>
      </c>
    </row>
    <row r="4208" spans="8:8">
      <c r="H4208" s="63" t="str">
        <f t="shared" si="65"/>
        <v>_</v>
      </c>
    </row>
    <row r="4209" spans="8:8">
      <c r="H4209" s="63" t="str">
        <f t="shared" si="65"/>
        <v>_</v>
      </c>
    </row>
    <row r="4210" spans="8:8">
      <c r="H4210" s="63" t="str">
        <f t="shared" si="65"/>
        <v>_</v>
      </c>
    </row>
    <row r="4211" spans="8:8">
      <c r="H4211" s="63" t="str">
        <f t="shared" si="65"/>
        <v>_</v>
      </c>
    </row>
    <row r="4212" spans="8:8">
      <c r="H4212" s="63" t="str">
        <f t="shared" si="65"/>
        <v>_</v>
      </c>
    </row>
    <row r="4213" spans="8:8">
      <c r="H4213" s="63" t="str">
        <f t="shared" si="65"/>
        <v>_</v>
      </c>
    </row>
    <row r="4214" spans="8:8">
      <c r="H4214" s="63" t="str">
        <f t="shared" si="65"/>
        <v>_</v>
      </c>
    </row>
    <row r="4215" spans="8:8">
      <c r="H4215" s="63" t="str">
        <f t="shared" si="65"/>
        <v>_</v>
      </c>
    </row>
    <row r="4216" spans="8:8">
      <c r="H4216" s="63" t="str">
        <f t="shared" si="65"/>
        <v>_</v>
      </c>
    </row>
    <row r="4217" spans="8:8">
      <c r="H4217" s="63" t="str">
        <f t="shared" si="65"/>
        <v>_</v>
      </c>
    </row>
    <row r="4218" spans="8:8">
      <c r="H4218" s="63" t="str">
        <f t="shared" si="65"/>
        <v>_</v>
      </c>
    </row>
    <row r="4219" spans="8:8">
      <c r="H4219" s="63" t="str">
        <f t="shared" si="65"/>
        <v>_</v>
      </c>
    </row>
    <row r="4220" spans="8:8">
      <c r="H4220" s="63" t="str">
        <f t="shared" si="65"/>
        <v>_</v>
      </c>
    </row>
    <row r="4221" spans="8:8">
      <c r="H4221" s="63" t="str">
        <f t="shared" si="65"/>
        <v>_</v>
      </c>
    </row>
    <row r="4222" spans="8:8">
      <c r="H4222" s="63" t="str">
        <f t="shared" si="65"/>
        <v>_</v>
      </c>
    </row>
    <row r="4223" spans="8:8">
      <c r="H4223" s="63" t="str">
        <f t="shared" si="65"/>
        <v>_</v>
      </c>
    </row>
    <row r="4224" spans="8:8">
      <c r="H4224" s="63" t="str">
        <f t="shared" si="65"/>
        <v>_</v>
      </c>
    </row>
    <row r="4225" spans="8:8">
      <c r="H4225" s="63" t="str">
        <f t="shared" si="65"/>
        <v>_</v>
      </c>
    </row>
    <row r="4226" spans="8:8">
      <c r="H4226" s="63" t="str">
        <f t="shared" si="65"/>
        <v>_</v>
      </c>
    </row>
    <row r="4227" spans="8:8">
      <c r="H4227" s="63" t="str">
        <f t="shared" ref="H4227:H4290" si="66">IF(OR(MID(A4227,6,10)="NASPP",MID(A4227,6,10)="RASPP"),"RNASPP",IF(OR(MID(A4227,6,10)="NSFAP",MID(A4227,6,10)="RSPOA"),"RNSPOA",IF(OR(A4227="ULGALLOC",A4227="ULSPOOL"),A4227,IF(MID(A4227,6,5)="ANSSP","ASSP1",MID(A4227,6,10)))))&amp;"_"&amp;B4227</f>
        <v>_</v>
      </c>
    </row>
    <row r="4228" spans="8:8">
      <c r="H4228" s="63" t="str">
        <f t="shared" si="66"/>
        <v>_</v>
      </c>
    </row>
    <row r="4229" spans="8:8">
      <c r="H4229" s="63" t="str">
        <f t="shared" si="66"/>
        <v>_</v>
      </c>
    </row>
    <row r="4230" spans="8:8">
      <c r="H4230" s="63" t="str">
        <f t="shared" si="66"/>
        <v>_</v>
      </c>
    </row>
    <row r="4231" spans="8:8">
      <c r="H4231" s="63" t="str">
        <f t="shared" si="66"/>
        <v>_</v>
      </c>
    </row>
    <row r="4232" spans="8:8">
      <c r="H4232" s="63" t="str">
        <f t="shared" si="66"/>
        <v>_</v>
      </c>
    </row>
    <row r="4233" spans="8:8">
      <c r="H4233" s="63" t="str">
        <f t="shared" si="66"/>
        <v>_</v>
      </c>
    </row>
    <row r="4234" spans="8:8">
      <c r="H4234" s="63" t="str">
        <f t="shared" si="66"/>
        <v>_</v>
      </c>
    </row>
    <row r="4235" spans="8:8">
      <c r="H4235" s="63" t="str">
        <f t="shared" si="66"/>
        <v>_</v>
      </c>
    </row>
    <row r="4236" spans="8:8">
      <c r="H4236" s="63" t="str">
        <f t="shared" si="66"/>
        <v>_</v>
      </c>
    </row>
    <row r="4237" spans="8:8">
      <c r="H4237" s="63" t="str">
        <f t="shared" si="66"/>
        <v>_</v>
      </c>
    </row>
    <row r="4238" spans="8:8">
      <c r="H4238" s="63" t="str">
        <f t="shared" si="66"/>
        <v>_</v>
      </c>
    </row>
    <row r="4239" spans="8:8">
      <c r="H4239" s="63" t="str">
        <f t="shared" si="66"/>
        <v>_</v>
      </c>
    </row>
    <row r="4240" spans="8:8">
      <c r="H4240" s="63" t="str">
        <f t="shared" si="66"/>
        <v>_</v>
      </c>
    </row>
    <row r="4241" spans="8:8">
      <c r="H4241" s="63" t="str">
        <f t="shared" si="66"/>
        <v>_</v>
      </c>
    </row>
    <row r="4242" spans="8:8">
      <c r="H4242" s="63" t="str">
        <f t="shared" si="66"/>
        <v>_</v>
      </c>
    </row>
    <row r="4243" spans="8:8">
      <c r="H4243" s="63" t="str">
        <f t="shared" si="66"/>
        <v>_</v>
      </c>
    </row>
    <row r="4244" spans="8:8">
      <c r="H4244" s="63" t="str">
        <f t="shared" si="66"/>
        <v>_</v>
      </c>
    </row>
    <row r="4245" spans="8:8">
      <c r="H4245" s="63" t="str">
        <f t="shared" si="66"/>
        <v>_</v>
      </c>
    </row>
    <row r="4246" spans="8:8">
      <c r="H4246" s="63" t="str">
        <f t="shared" si="66"/>
        <v>_</v>
      </c>
    </row>
    <row r="4247" spans="8:8">
      <c r="H4247" s="63" t="str">
        <f t="shared" si="66"/>
        <v>_</v>
      </c>
    </row>
    <row r="4248" spans="8:8">
      <c r="H4248" s="63" t="str">
        <f t="shared" si="66"/>
        <v>_</v>
      </c>
    </row>
    <row r="4249" spans="8:8">
      <c r="H4249" s="63" t="str">
        <f t="shared" si="66"/>
        <v>_</v>
      </c>
    </row>
    <row r="4250" spans="8:8">
      <c r="H4250" s="63" t="str">
        <f t="shared" si="66"/>
        <v>_</v>
      </c>
    </row>
    <row r="4251" spans="8:8">
      <c r="H4251" s="63" t="str">
        <f t="shared" si="66"/>
        <v>_</v>
      </c>
    </row>
    <row r="4252" spans="8:8">
      <c r="H4252" s="63" t="str">
        <f t="shared" si="66"/>
        <v>_</v>
      </c>
    </row>
    <row r="4253" spans="8:8">
      <c r="H4253" s="63" t="str">
        <f t="shared" si="66"/>
        <v>_</v>
      </c>
    </row>
    <row r="4254" spans="8:8">
      <c r="H4254" s="63" t="str">
        <f t="shared" si="66"/>
        <v>_</v>
      </c>
    </row>
    <row r="4255" spans="8:8">
      <c r="H4255" s="63" t="str">
        <f t="shared" si="66"/>
        <v>_</v>
      </c>
    </row>
    <row r="4256" spans="8:8">
      <c r="H4256" s="63" t="str">
        <f t="shared" si="66"/>
        <v>_</v>
      </c>
    </row>
    <row r="4257" spans="8:8">
      <c r="H4257" s="63" t="str">
        <f t="shared" si="66"/>
        <v>_</v>
      </c>
    </row>
    <row r="4258" spans="8:8">
      <c r="H4258" s="63" t="str">
        <f t="shared" si="66"/>
        <v>_</v>
      </c>
    </row>
    <row r="4259" spans="8:8">
      <c r="H4259" s="63" t="str">
        <f t="shared" si="66"/>
        <v>_</v>
      </c>
    </row>
    <row r="4260" spans="8:8">
      <c r="H4260" s="63" t="str">
        <f t="shared" si="66"/>
        <v>_</v>
      </c>
    </row>
    <row r="4261" spans="8:8">
      <c r="H4261" s="63" t="str">
        <f t="shared" si="66"/>
        <v>_</v>
      </c>
    </row>
    <row r="4262" spans="8:8">
      <c r="H4262" s="63" t="str">
        <f t="shared" si="66"/>
        <v>_</v>
      </c>
    </row>
    <row r="4263" spans="8:8">
      <c r="H4263" s="63" t="str">
        <f t="shared" si="66"/>
        <v>_</v>
      </c>
    </row>
    <row r="4264" spans="8:8">
      <c r="H4264" s="63" t="str">
        <f t="shared" si="66"/>
        <v>_</v>
      </c>
    </row>
    <row r="4265" spans="8:8">
      <c r="H4265" s="63" t="str">
        <f t="shared" si="66"/>
        <v>_</v>
      </c>
    </row>
    <row r="4266" spans="8:8">
      <c r="H4266" s="63" t="str">
        <f t="shared" si="66"/>
        <v>_</v>
      </c>
    </row>
    <row r="4267" spans="8:8">
      <c r="H4267" s="63" t="str">
        <f t="shared" si="66"/>
        <v>_</v>
      </c>
    </row>
    <row r="4268" spans="8:8">
      <c r="H4268" s="63" t="str">
        <f t="shared" si="66"/>
        <v>_</v>
      </c>
    </row>
    <row r="4269" spans="8:8">
      <c r="H4269" s="63" t="str">
        <f t="shared" si="66"/>
        <v>_</v>
      </c>
    </row>
    <row r="4270" spans="8:8">
      <c r="H4270" s="63" t="str">
        <f t="shared" si="66"/>
        <v>_</v>
      </c>
    </row>
    <row r="4271" spans="8:8">
      <c r="H4271" s="63" t="str">
        <f t="shared" si="66"/>
        <v>_</v>
      </c>
    </row>
    <row r="4272" spans="8:8">
      <c r="H4272" s="63" t="str">
        <f t="shared" si="66"/>
        <v>_</v>
      </c>
    </row>
    <row r="4273" spans="8:8">
      <c r="H4273" s="63" t="str">
        <f t="shared" si="66"/>
        <v>_</v>
      </c>
    </row>
    <row r="4274" spans="8:8">
      <c r="H4274" s="63" t="str">
        <f t="shared" si="66"/>
        <v>_</v>
      </c>
    </row>
    <row r="4275" spans="8:8">
      <c r="H4275" s="63" t="str">
        <f t="shared" si="66"/>
        <v>_</v>
      </c>
    </row>
    <row r="4276" spans="8:8">
      <c r="H4276" s="63" t="str">
        <f t="shared" si="66"/>
        <v>_</v>
      </c>
    </row>
    <row r="4277" spans="8:8">
      <c r="H4277" s="63" t="str">
        <f t="shared" si="66"/>
        <v>_</v>
      </c>
    </row>
    <row r="4278" spans="8:8">
      <c r="H4278" s="63" t="str">
        <f t="shared" si="66"/>
        <v>_</v>
      </c>
    </row>
    <row r="4279" spans="8:8">
      <c r="H4279" s="63" t="str">
        <f t="shared" si="66"/>
        <v>_</v>
      </c>
    </row>
    <row r="4280" spans="8:8">
      <c r="H4280" s="63" t="str">
        <f t="shared" si="66"/>
        <v>_</v>
      </c>
    </row>
    <row r="4281" spans="8:8">
      <c r="H4281" s="63" t="str">
        <f t="shared" si="66"/>
        <v>_</v>
      </c>
    </row>
    <row r="4282" spans="8:8">
      <c r="H4282" s="63" t="str">
        <f t="shared" si="66"/>
        <v>_</v>
      </c>
    </row>
    <row r="4283" spans="8:8">
      <c r="H4283" s="63" t="str">
        <f t="shared" si="66"/>
        <v>_</v>
      </c>
    </row>
    <row r="4284" spans="8:8">
      <c r="H4284" s="63" t="str">
        <f t="shared" si="66"/>
        <v>_</v>
      </c>
    </row>
    <row r="4285" spans="8:8">
      <c r="H4285" s="63" t="str">
        <f t="shared" si="66"/>
        <v>_</v>
      </c>
    </row>
    <row r="4286" spans="8:8">
      <c r="H4286" s="63" t="str">
        <f t="shared" si="66"/>
        <v>_</v>
      </c>
    </row>
    <row r="4287" spans="8:8">
      <c r="H4287" s="63" t="str">
        <f t="shared" si="66"/>
        <v>_</v>
      </c>
    </row>
    <row r="4288" spans="8:8">
      <c r="H4288" s="63" t="str">
        <f t="shared" si="66"/>
        <v>_</v>
      </c>
    </row>
    <row r="4289" spans="8:8">
      <c r="H4289" s="63" t="str">
        <f t="shared" si="66"/>
        <v>_</v>
      </c>
    </row>
    <row r="4290" spans="8:8">
      <c r="H4290" s="63" t="str">
        <f t="shared" si="66"/>
        <v>_</v>
      </c>
    </row>
    <row r="4291" spans="8:8">
      <c r="H4291" s="63" t="str">
        <f t="shared" ref="H4291:H4354" si="67">IF(OR(MID(A4291,6,10)="NASPP",MID(A4291,6,10)="RASPP"),"RNASPP",IF(OR(MID(A4291,6,10)="NSFAP",MID(A4291,6,10)="RSPOA"),"RNSPOA",IF(OR(A4291="ULGALLOC",A4291="ULSPOOL"),A4291,IF(MID(A4291,6,5)="ANSSP","ASSP1",MID(A4291,6,10)))))&amp;"_"&amp;B4291</f>
        <v>_</v>
      </c>
    </row>
    <row r="4292" spans="8:8">
      <c r="H4292" s="63" t="str">
        <f t="shared" si="67"/>
        <v>_</v>
      </c>
    </row>
    <row r="4293" spans="8:8">
      <c r="H4293" s="63" t="str">
        <f t="shared" si="67"/>
        <v>_</v>
      </c>
    </row>
    <row r="4294" spans="8:8">
      <c r="H4294" s="63" t="str">
        <f t="shared" si="67"/>
        <v>_</v>
      </c>
    </row>
    <row r="4295" spans="8:8">
      <c r="H4295" s="63" t="str">
        <f t="shared" si="67"/>
        <v>_</v>
      </c>
    </row>
    <row r="4296" spans="8:8">
      <c r="H4296" s="63" t="str">
        <f t="shared" si="67"/>
        <v>_</v>
      </c>
    </row>
    <row r="4297" spans="8:8">
      <c r="H4297" s="63" t="str">
        <f t="shared" si="67"/>
        <v>_</v>
      </c>
    </row>
    <row r="4298" spans="8:8">
      <c r="H4298" s="63" t="str">
        <f t="shared" si="67"/>
        <v>_</v>
      </c>
    </row>
    <row r="4299" spans="8:8">
      <c r="H4299" s="63" t="str">
        <f t="shared" si="67"/>
        <v>_</v>
      </c>
    </row>
    <row r="4300" spans="8:8">
      <c r="H4300" s="63" t="str">
        <f t="shared" si="67"/>
        <v>_</v>
      </c>
    </row>
    <row r="4301" spans="8:8">
      <c r="H4301" s="63" t="str">
        <f t="shared" si="67"/>
        <v>_</v>
      </c>
    </row>
    <row r="4302" spans="8:8">
      <c r="H4302" s="63" t="str">
        <f t="shared" si="67"/>
        <v>_</v>
      </c>
    </row>
    <row r="4303" spans="8:8">
      <c r="H4303" s="63" t="str">
        <f t="shared" si="67"/>
        <v>_</v>
      </c>
    </row>
    <row r="4304" spans="8:8">
      <c r="H4304" s="63" t="str">
        <f t="shared" si="67"/>
        <v>_</v>
      </c>
    </row>
    <row r="4305" spans="8:8">
      <c r="H4305" s="63" t="str">
        <f t="shared" si="67"/>
        <v>_</v>
      </c>
    </row>
    <row r="4306" spans="8:8">
      <c r="H4306" s="63" t="str">
        <f t="shared" si="67"/>
        <v>_</v>
      </c>
    </row>
    <row r="4307" spans="8:8">
      <c r="H4307" s="63" t="str">
        <f t="shared" si="67"/>
        <v>_</v>
      </c>
    </row>
    <row r="4308" spans="8:8">
      <c r="H4308" s="63" t="str">
        <f t="shared" si="67"/>
        <v>_</v>
      </c>
    </row>
    <row r="4309" spans="8:8">
      <c r="H4309" s="63" t="str">
        <f t="shared" si="67"/>
        <v>_</v>
      </c>
    </row>
    <row r="4310" spans="8:8">
      <c r="H4310" s="63" t="str">
        <f t="shared" si="67"/>
        <v>_</v>
      </c>
    </row>
    <row r="4311" spans="8:8">
      <c r="H4311" s="63" t="str">
        <f t="shared" si="67"/>
        <v>_</v>
      </c>
    </row>
    <row r="4312" spans="8:8">
      <c r="H4312" s="63" t="str">
        <f t="shared" si="67"/>
        <v>_</v>
      </c>
    </row>
    <row r="4313" spans="8:8">
      <c r="H4313" s="63" t="str">
        <f t="shared" si="67"/>
        <v>_</v>
      </c>
    </row>
    <row r="4314" spans="8:8">
      <c r="H4314" s="63" t="str">
        <f t="shared" si="67"/>
        <v>_</v>
      </c>
    </row>
    <row r="4315" spans="8:8">
      <c r="H4315" s="63" t="str">
        <f t="shared" si="67"/>
        <v>_</v>
      </c>
    </row>
    <row r="4316" spans="8:8">
      <c r="H4316" s="63" t="str">
        <f t="shared" si="67"/>
        <v>_</v>
      </c>
    </row>
    <row r="4317" spans="8:8">
      <c r="H4317" s="63" t="str">
        <f t="shared" si="67"/>
        <v>_</v>
      </c>
    </row>
    <row r="4318" spans="8:8">
      <c r="H4318" s="63" t="str">
        <f t="shared" si="67"/>
        <v>_</v>
      </c>
    </row>
    <row r="4319" spans="8:8">
      <c r="H4319" s="63" t="str">
        <f t="shared" si="67"/>
        <v>_</v>
      </c>
    </row>
    <row r="4320" spans="8:8">
      <c r="H4320" s="63" t="str">
        <f t="shared" si="67"/>
        <v>_</v>
      </c>
    </row>
    <row r="4321" spans="8:8">
      <c r="H4321" s="63" t="str">
        <f t="shared" si="67"/>
        <v>_</v>
      </c>
    </row>
    <row r="4322" spans="8:8">
      <c r="H4322" s="63" t="str">
        <f t="shared" si="67"/>
        <v>_</v>
      </c>
    </row>
    <row r="4323" spans="8:8">
      <c r="H4323" s="63" t="str">
        <f t="shared" si="67"/>
        <v>_</v>
      </c>
    </row>
    <row r="4324" spans="8:8">
      <c r="H4324" s="63" t="str">
        <f t="shared" si="67"/>
        <v>_</v>
      </c>
    </row>
    <row r="4325" spans="8:8">
      <c r="H4325" s="63" t="str">
        <f t="shared" si="67"/>
        <v>_</v>
      </c>
    </row>
    <row r="4326" spans="8:8">
      <c r="H4326" s="63" t="str">
        <f t="shared" si="67"/>
        <v>_</v>
      </c>
    </row>
    <row r="4327" spans="8:8">
      <c r="H4327" s="63" t="str">
        <f t="shared" si="67"/>
        <v>_</v>
      </c>
    </row>
    <row r="4328" spans="8:8">
      <c r="H4328" s="63" t="str">
        <f t="shared" si="67"/>
        <v>_</v>
      </c>
    </row>
    <row r="4329" spans="8:8">
      <c r="H4329" s="63" t="str">
        <f t="shared" si="67"/>
        <v>_</v>
      </c>
    </row>
    <row r="4330" spans="8:8">
      <c r="H4330" s="63" t="str">
        <f t="shared" si="67"/>
        <v>_</v>
      </c>
    </row>
    <row r="4331" spans="8:8">
      <c r="H4331" s="63" t="str">
        <f t="shared" si="67"/>
        <v>_</v>
      </c>
    </row>
    <row r="4332" spans="8:8">
      <c r="H4332" s="63" t="str">
        <f t="shared" si="67"/>
        <v>_</v>
      </c>
    </row>
    <row r="4333" spans="8:8">
      <c r="H4333" s="63" t="str">
        <f t="shared" si="67"/>
        <v>_</v>
      </c>
    </row>
    <row r="4334" spans="8:8">
      <c r="H4334" s="63" t="str">
        <f t="shared" si="67"/>
        <v>_</v>
      </c>
    </row>
    <row r="4335" spans="8:8">
      <c r="H4335" s="63" t="str">
        <f t="shared" si="67"/>
        <v>_</v>
      </c>
    </row>
    <row r="4336" spans="8:8">
      <c r="H4336" s="63" t="str">
        <f t="shared" si="67"/>
        <v>_</v>
      </c>
    </row>
    <row r="4337" spans="8:8">
      <c r="H4337" s="63" t="str">
        <f t="shared" si="67"/>
        <v>_</v>
      </c>
    </row>
    <row r="4338" spans="8:8">
      <c r="H4338" s="63" t="str">
        <f t="shared" si="67"/>
        <v>_</v>
      </c>
    </row>
    <row r="4339" spans="8:8">
      <c r="H4339" s="63" t="str">
        <f t="shared" si="67"/>
        <v>_</v>
      </c>
    </row>
    <row r="4340" spans="8:8">
      <c r="H4340" s="63" t="str">
        <f t="shared" si="67"/>
        <v>_</v>
      </c>
    </row>
    <row r="4341" spans="8:8">
      <c r="H4341" s="63" t="str">
        <f t="shared" si="67"/>
        <v>_</v>
      </c>
    </row>
    <row r="4342" spans="8:8">
      <c r="H4342" s="63" t="str">
        <f t="shared" si="67"/>
        <v>_</v>
      </c>
    </row>
    <row r="4343" spans="8:8">
      <c r="H4343" s="63" t="str">
        <f t="shared" si="67"/>
        <v>_</v>
      </c>
    </row>
    <row r="4344" spans="8:8">
      <c r="H4344" s="63" t="str">
        <f t="shared" si="67"/>
        <v>_</v>
      </c>
    </row>
    <row r="4345" spans="8:8">
      <c r="H4345" s="63" t="str">
        <f t="shared" si="67"/>
        <v>_</v>
      </c>
    </row>
    <row r="4346" spans="8:8">
      <c r="H4346" s="63" t="str">
        <f t="shared" si="67"/>
        <v>_</v>
      </c>
    </row>
    <row r="4347" spans="8:8">
      <c r="H4347" s="63" t="str">
        <f t="shared" si="67"/>
        <v>_</v>
      </c>
    </row>
    <row r="4348" spans="8:8">
      <c r="H4348" s="63" t="str">
        <f t="shared" si="67"/>
        <v>_</v>
      </c>
    </row>
    <row r="4349" spans="8:8">
      <c r="H4349" s="63" t="str">
        <f t="shared" si="67"/>
        <v>_</v>
      </c>
    </row>
    <row r="4350" spans="8:8">
      <c r="H4350" s="63" t="str">
        <f t="shared" si="67"/>
        <v>_</v>
      </c>
    </row>
    <row r="4351" spans="8:8">
      <c r="H4351" s="63" t="str">
        <f t="shared" si="67"/>
        <v>_</v>
      </c>
    </row>
    <row r="4352" spans="8:8">
      <c r="H4352" s="63" t="str">
        <f t="shared" si="67"/>
        <v>_</v>
      </c>
    </row>
    <row r="4353" spans="8:8">
      <c r="H4353" s="63" t="str">
        <f t="shared" si="67"/>
        <v>_</v>
      </c>
    </row>
    <row r="4354" spans="8:8">
      <c r="H4354" s="63" t="str">
        <f t="shared" si="67"/>
        <v>_</v>
      </c>
    </row>
    <row r="4355" spans="8:8">
      <c r="H4355" s="63" t="str">
        <f t="shared" ref="H4355:H4418" si="68">IF(OR(MID(A4355,6,10)="NASPP",MID(A4355,6,10)="RASPP"),"RNASPP",IF(OR(MID(A4355,6,10)="NSFAP",MID(A4355,6,10)="RSPOA"),"RNSPOA",IF(OR(A4355="ULGALLOC",A4355="ULSPOOL"),A4355,IF(MID(A4355,6,5)="ANSSP","ASSP1",MID(A4355,6,10)))))&amp;"_"&amp;B4355</f>
        <v>_</v>
      </c>
    </row>
    <row r="4356" spans="8:8">
      <c r="H4356" s="63" t="str">
        <f t="shared" si="68"/>
        <v>_</v>
      </c>
    </row>
    <row r="4357" spans="8:8">
      <c r="H4357" s="63" t="str">
        <f t="shared" si="68"/>
        <v>_</v>
      </c>
    </row>
    <row r="4358" spans="8:8">
      <c r="H4358" s="63" t="str">
        <f t="shared" si="68"/>
        <v>_</v>
      </c>
    </row>
    <row r="4359" spans="8:8">
      <c r="H4359" s="63" t="str">
        <f t="shared" si="68"/>
        <v>_</v>
      </c>
    </row>
    <row r="4360" spans="8:8">
      <c r="H4360" s="63" t="str">
        <f t="shared" si="68"/>
        <v>_</v>
      </c>
    </row>
    <row r="4361" spans="8:8">
      <c r="H4361" s="63" t="str">
        <f t="shared" si="68"/>
        <v>_</v>
      </c>
    </row>
    <row r="4362" spans="8:8">
      <c r="H4362" s="63" t="str">
        <f t="shared" si="68"/>
        <v>_</v>
      </c>
    </row>
    <row r="4363" spans="8:8">
      <c r="H4363" s="63" t="str">
        <f t="shared" si="68"/>
        <v>_</v>
      </c>
    </row>
    <row r="4364" spans="8:8">
      <c r="H4364" s="63" t="str">
        <f t="shared" si="68"/>
        <v>_</v>
      </c>
    </row>
    <row r="4365" spans="8:8">
      <c r="H4365" s="63" t="str">
        <f t="shared" si="68"/>
        <v>_</v>
      </c>
    </row>
    <row r="4366" spans="8:8">
      <c r="H4366" s="63" t="str">
        <f t="shared" si="68"/>
        <v>_</v>
      </c>
    </row>
    <row r="4367" spans="8:8">
      <c r="H4367" s="63" t="str">
        <f t="shared" si="68"/>
        <v>_</v>
      </c>
    </row>
    <row r="4368" spans="8:8">
      <c r="H4368" s="63" t="str">
        <f t="shared" si="68"/>
        <v>_</v>
      </c>
    </row>
    <row r="4369" spans="8:8">
      <c r="H4369" s="63" t="str">
        <f t="shared" si="68"/>
        <v>_</v>
      </c>
    </row>
    <row r="4370" spans="8:8">
      <c r="H4370" s="63" t="str">
        <f t="shared" si="68"/>
        <v>_</v>
      </c>
    </row>
    <row r="4371" spans="8:8">
      <c r="H4371" s="63" t="str">
        <f t="shared" si="68"/>
        <v>_</v>
      </c>
    </row>
    <row r="4372" spans="8:8">
      <c r="H4372" s="63" t="str">
        <f t="shared" si="68"/>
        <v>_</v>
      </c>
    </row>
    <row r="4373" spans="8:8">
      <c r="H4373" s="63" t="str">
        <f t="shared" si="68"/>
        <v>_</v>
      </c>
    </row>
    <row r="4374" spans="8:8">
      <c r="H4374" s="63" t="str">
        <f t="shared" si="68"/>
        <v>_</v>
      </c>
    </row>
    <row r="4375" spans="8:8">
      <c r="H4375" s="63" t="str">
        <f t="shared" si="68"/>
        <v>_</v>
      </c>
    </row>
    <row r="4376" spans="8:8">
      <c r="H4376" s="63" t="str">
        <f t="shared" si="68"/>
        <v>_</v>
      </c>
    </row>
    <row r="4377" spans="8:8">
      <c r="H4377" s="63" t="str">
        <f t="shared" si="68"/>
        <v>_</v>
      </c>
    </row>
    <row r="4378" spans="8:8">
      <c r="H4378" s="63" t="str">
        <f t="shared" si="68"/>
        <v>_</v>
      </c>
    </row>
    <row r="4379" spans="8:8">
      <c r="H4379" s="63" t="str">
        <f t="shared" si="68"/>
        <v>_</v>
      </c>
    </row>
    <row r="4380" spans="8:8">
      <c r="H4380" s="63" t="str">
        <f t="shared" si="68"/>
        <v>_</v>
      </c>
    </row>
    <row r="4381" spans="8:8">
      <c r="H4381" s="63" t="str">
        <f t="shared" si="68"/>
        <v>_</v>
      </c>
    </row>
    <row r="4382" spans="8:8">
      <c r="H4382" s="63" t="str">
        <f t="shared" si="68"/>
        <v>_</v>
      </c>
    </row>
    <row r="4383" spans="8:8">
      <c r="H4383" s="63" t="str">
        <f t="shared" si="68"/>
        <v>_</v>
      </c>
    </row>
    <row r="4384" spans="8:8">
      <c r="H4384" s="63" t="str">
        <f t="shared" si="68"/>
        <v>_</v>
      </c>
    </row>
    <row r="4385" spans="8:8">
      <c r="H4385" s="63" t="str">
        <f t="shared" si="68"/>
        <v>_</v>
      </c>
    </row>
    <row r="4386" spans="8:8">
      <c r="H4386" s="63" t="str">
        <f t="shared" si="68"/>
        <v>_</v>
      </c>
    </row>
    <row r="4387" spans="8:8">
      <c r="H4387" s="63" t="str">
        <f t="shared" si="68"/>
        <v>_</v>
      </c>
    </row>
    <row r="4388" spans="8:8">
      <c r="H4388" s="63" t="str">
        <f t="shared" si="68"/>
        <v>_</v>
      </c>
    </row>
    <row r="4389" spans="8:8">
      <c r="H4389" s="63" t="str">
        <f t="shared" si="68"/>
        <v>_</v>
      </c>
    </row>
    <row r="4390" spans="8:8">
      <c r="H4390" s="63" t="str">
        <f t="shared" si="68"/>
        <v>_</v>
      </c>
    </row>
    <row r="4391" spans="8:8">
      <c r="H4391" s="63" t="str">
        <f t="shared" si="68"/>
        <v>_</v>
      </c>
    </row>
    <row r="4392" spans="8:8">
      <c r="H4392" s="63" t="str">
        <f t="shared" si="68"/>
        <v>_</v>
      </c>
    </row>
    <row r="4393" spans="8:8">
      <c r="H4393" s="63" t="str">
        <f t="shared" si="68"/>
        <v>_</v>
      </c>
    </row>
    <row r="4394" spans="8:8">
      <c r="H4394" s="63" t="str">
        <f t="shared" si="68"/>
        <v>_</v>
      </c>
    </row>
    <row r="4395" spans="8:8">
      <c r="H4395" s="63" t="str">
        <f t="shared" si="68"/>
        <v>_</v>
      </c>
    </row>
    <row r="4396" spans="8:8">
      <c r="H4396" s="63" t="str">
        <f t="shared" si="68"/>
        <v>_</v>
      </c>
    </row>
    <row r="4397" spans="8:8">
      <c r="H4397" s="63" t="str">
        <f t="shared" si="68"/>
        <v>_</v>
      </c>
    </row>
    <row r="4398" spans="8:8">
      <c r="H4398" s="63" t="str">
        <f t="shared" si="68"/>
        <v>_</v>
      </c>
    </row>
    <row r="4399" spans="8:8">
      <c r="H4399" s="63" t="str">
        <f t="shared" si="68"/>
        <v>_</v>
      </c>
    </row>
    <row r="4400" spans="8:8">
      <c r="H4400" s="63" t="str">
        <f t="shared" si="68"/>
        <v>_</v>
      </c>
    </row>
    <row r="4401" spans="8:8">
      <c r="H4401" s="63" t="str">
        <f t="shared" si="68"/>
        <v>_</v>
      </c>
    </row>
    <row r="4402" spans="8:8">
      <c r="H4402" s="63" t="str">
        <f t="shared" si="68"/>
        <v>_</v>
      </c>
    </row>
    <row r="4403" spans="8:8">
      <c r="H4403" s="63" t="str">
        <f t="shared" si="68"/>
        <v>_</v>
      </c>
    </row>
    <row r="4404" spans="8:8">
      <c r="H4404" s="63" t="str">
        <f t="shared" si="68"/>
        <v>_</v>
      </c>
    </row>
    <row r="4405" spans="8:8">
      <c r="H4405" s="63" t="str">
        <f t="shared" si="68"/>
        <v>_</v>
      </c>
    </row>
    <row r="4406" spans="8:8">
      <c r="H4406" s="63" t="str">
        <f t="shared" si="68"/>
        <v>_</v>
      </c>
    </row>
    <row r="4407" spans="8:8">
      <c r="H4407" s="63" t="str">
        <f t="shared" si="68"/>
        <v>_</v>
      </c>
    </row>
    <row r="4408" spans="8:8">
      <c r="H4408" s="63" t="str">
        <f t="shared" si="68"/>
        <v>_</v>
      </c>
    </row>
    <row r="4409" spans="8:8">
      <c r="H4409" s="63" t="str">
        <f t="shared" si="68"/>
        <v>_</v>
      </c>
    </row>
    <row r="4410" spans="8:8">
      <c r="H4410" s="63" t="str">
        <f t="shared" si="68"/>
        <v>_</v>
      </c>
    </row>
    <row r="4411" spans="8:8">
      <c r="H4411" s="63" t="str">
        <f t="shared" si="68"/>
        <v>_</v>
      </c>
    </row>
    <row r="4412" spans="8:8">
      <c r="H4412" s="63" t="str">
        <f t="shared" si="68"/>
        <v>_</v>
      </c>
    </row>
    <row r="4413" spans="8:8">
      <c r="H4413" s="63" t="str">
        <f t="shared" si="68"/>
        <v>_</v>
      </c>
    </row>
    <row r="4414" spans="8:8">
      <c r="H4414" s="63" t="str">
        <f t="shared" si="68"/>
        <v>_</v>
      </c>
    </row>
    <row r="4415" spans="8:8">
      <c r="H4415" s="63" t="str">
        <f t="shared" si="68"/>
        <v>_</v>
      </c>
    </row>
    <row r="4416" spans="8:8">
      <c r="H4416" s="63" t="str">
        <f t="shared" si="68"/>
        <v>_</v>
      </c>
    </row>
    <row r="4417" spans="8:8">
      <c r="H4417" s="63" t="str">
        <f t="shared" si="68"/>
        <v>_</v>
      </c>
    </row>
    <row r="4418" spans="8:8">
      <c r="H4418" s="63" t="str">
        <f t="shared" si="68"/>
        <v>_</v>
      </c>
    </row>
    <row r="4419" spans="8:8">
      <c r="H4419" s="63" t="str">
        <f t="shared" ref="H4419:H4482" si="69">IF(OR(MID(A4419,6,10)="NASPP",MID(A4419,6,10)="RASPP"),"RNASPP",IF(OR(MID(A4419,6,10)="NSFAP",MID(A4419,6,10)="RSPOA"),"RNSPOA",IF(OR(A4419="ULGALLOC",A4419="ULSPOOL"),A4419,IF(MID(A4419,6,5)="ANSSP","ASSP1",MID(A4419,6,10)))))&amp;"_"&amp;B4419</f>
        <v>_</v>
      </c>
    </row>
    <row r="4420" spans="8:8">
      <c r="H4420" s="63" t="str">
        <f t="shared" si="69"/>
        <v>_</v>
      </c>
    </row>
    <row r="4421" spans="8:8">
      <c r="H4421" s="63" t="str">
        <f t="shared" si="69"/>
        <v>_</v>
      </c>
    </row>
    <row r="4422" spans="8:8">
      <c r="H4422" s="63" t="str">
        <f t="shared" si="69"/>
        <v>_</v>
      </c>
    </row>
    <row r="4423" spans="8:8">
      <c r="H4423" s="63" t="str">
        <f t="shared" si="69"/>
        <v>_</v>
      </c>
    </row>
    <row r="4424" spans="8:8">
      <c r="H4424" s="63" t="str">
        <f t="shared" si="69"/>
        <v>_</v>
      </c>
    </row>
    <row r="4425" spans="8:8">
      <c r="H4425" s="63" t="str">
        <f t="shared" si="69"/>
        <v>_</v>
      </c>
    </row>
    <row r="4426" spans="8:8">
      <c r="H4426" s="63" t="str">
        <f t="shared" si="69"/>
        <v>_</v>
      </c>
    </row>
    <row r="4427" spans="8:8">
      <c r="H4427" s="63" t="str">
        <f t="shared" si="69"/>
        <v>_</v>
      </c>
    </row>
    <row r="4428" spans="8:8">
      <c r="H4428" s="63" t="str">
        <f t="shared" si="69"/>
        <v>_</v>
      </c>
    </row>
    <row r="4429" spans="8:8">
      <c r="H4429" s="63" t="str">
        <f t="shared" si="69"/>
        <v>_</v>
      </c>
    </row>
    <row r="4430" spans="8:8">
      <c r="H4430" s="63" t="str">
        <f t="shared" si="69"/>
        <v>_</v>
      </c>
    </row>
    <row r="4431" spans="8:8">
      <c r="H4431" s="63" t="str">
        <f t="shared" si="69"/>
        <v>_</v>
      </c>
    </row>
    <row r="4432" spans="8:8">
      <c r="H4432" s="63" t="str">
        <f t="shared" si="69"/>
        <v>_</v>
      </c>
    </row>
    <row r="4433" spans="8:8">
      <c r="H4433" s="63" t="str">
        <f t="shared" si="69"/>
        <v>_</v>
      </c>
    </row>
    <row r="4434" spans="8:8">
      <c r="H4434" s="63" t="str">
        <f t="shared" si="69"/>
        <v>_</v>
      </c>
    </row>
    <row r="4435" spans="8:8">
      <c r="H4435" s="63" t="str">
        <f t="shared" si="69"/>
        <v>_</v>
      </c>
    </row>
    <row r="4436" spans="8:8">
      <c r="H4436" s="63" t="str">
        <f t="shared" si="69"/>
        <v>_</v>
      </c>
    </row>
    <row r="4437" spans="8:8">
      <c r="H4437" s="63" t="str">
        <f t="shared" si="69"/>
        <v>_</v>
      </c>
    </row>
    <row r="4438" spans="8:8">
      <c r="H4438" s="63" t="str">
        <f t="shared" si="69"/>
        <v>_</v>
      </c>
    </row>
    <row r="4439" spans="8:8">
      <c r="H4439" s="63" t="str">
        <f t="shared" si="69"/>
        <v>_</v>
      </c>
    </row>
    <row r="4440" spans="8:8">
      <c r="H4440" s="63" t="str">
        <f t="shared" si="69"/>
        <v>_</v>
      </c>
    </row>
    <row r="4441" spans="8:8">
      <c r="H4441" s="63" t="str">
        <f t="shared" si="69"/>
        <v>_</v>
      </c>
    </row>
    <row r="4442" spans="8:8">
      <c r="H4442" s="63" t="str">
        <f t="shared" si="69"/>
        <v>_</v>
      </c>
    </row>
    <row r="4443" spans="8:8">
      <c r="H4443" s="63" t="str">
        <f t="shared" si="69"/>
        <v>_</v>
      </c>
    </row>
    <row r="4444" spans="8:8">
      <c r="H4444" s="63" t="str">
        <f t="shared" si="69"/>
        <v>_</v>
      </c>
    </row>
    <row r="4445" spans="8:8">
      <c r="H4445" s="63" t="str">
        <f t="shared" si="69"/>
        <v>_</v>
      </c>
    </row>
    <row r="4446" spans="8:8">
      <c r="H4446" s="63" t="str">
        <f t="shared" si="69"/>
        <v>_</v>
      </c>
    </row>
    <row r="4447" spans="8:8">
      <c r="H4447" s="63" t="str">
        <f t="shared" si="69"/>
        <v>_</v>
      </c>
    </row>
    <row r="4448" spans="8:8">
      <c r="H4448" s="63" t="str">
        <f t="shared" si="69"/>
        <v>_</v>
      </c>
    </row>
    <row r="4449" spans="8:8">
      <c r="H4449" s="63" t="str">
        <f t="shared" si="69"/>
        <v>_</v>
      </c>
    </row>
    <row r="4450" spans="8:8">
      <c r="H4450" s="63" t="str">
        <f t="shared" si="69"/>
        <v>_</v>
      </c>
    </row>
    <row r="4451" spans="8:8">
      <c r="H4451" s="63" t="str">
        <f t="shared" si="69"/>
        <v>_</v>
      </c>
    </row>
    <row r="4452" spans="8:8">
      <c r="H4452" s="63" t="str">
        <f t="shared" si="69"/>
        <v>_</v>
      </c>
    </row>
    <row r="4453" spans="8:8">
      <c r="H4453" s="63" t="str">
        <f t="shared" si="69"/>
        <v>_</v>
      </c>
    </row>
    <row r="4454" spans="8:8">
      <c r="H4454" s="63" t="str">
        <f t="shared" si="69"/>
        <v>_</v>
      </c>
    </row>
    <row r="4455" spans="8:8">
      <c r="H4455" s="63" t="str">
        <f t="shared" si="69"/>
        <v>_</v>
      </c>
    </row>
    <row r="4456" spans="8:8">
      <c r="H4456" s="63" t="str">
        <f t="shared" si="69"/>
        <v>_</v>
      </c>
    </row>
    <row r="4457" spans="8:8">
      <c r="H4457" s="63" t="str">
        <f t="shared" si="69"/>
        <v>_</v>
      </c>
    </row>
    <row r="4458" spans="8:8">
      <c r="H4458" s="63" t="str">
        <f t="shared" si="69"/>
        <v>_</v>
      </c>
    </row>
    <row r="4459" spans="8:8">
      <c r="H4459" s="63" t="str">
        <f t="shared" si="69"/>
        <v>_</v>
      </c>
    </row>
    <row r="4460" spans="8:8">
      <c r="H4460" s="63" t="str">
        <f t="shared" si="69"/>
        <v>_</v>
      </c>
    </row>
    <row r="4461" spans="8:8">
      <c r="H4461" s="63" t="str">
        <f t="shared" si="69"/>
        <v>_</v>
      </c>
    </row>
    <row r="4462" spans="8:8">
      <c r="H4462" s="63" t="str">
        <f t="shared" si="69"/>
        <v>_</v>
      </c>
    </row>
    <row r="4463" spans="8:8">
      <c r="H4463" s="63" t="str">
        <f t="shared" si="69"/>
        <v>_</v>
      </c>
    </row>
    <row r="4464" spans="8:8">
      <c r="H4464" s="63" t="str">
        <f t="shared" si="69"/>
        <v>_</v>
      </c>
    </row>
    <row r="4465" spans="8:8">
      <c r="H4465" s="63" t="str">
        <f t="shared" si="69"/>
        <v>_</v>
      </c>
    </row>
    <row r="4466" spans="8:8">
      <c r="H4466" s="63" t="str">
        <f t="shared" si="69"/>
        <v>_</v>
      </c>
    </row>
    <row r="4467" spans="8:8">
      <c r="H4467" s="63" t="str">
        <f t="shared" si="69"/>
        <v>_</v>
      </c>
    </row>
    <row r="4468" spans="8:8">
      <c r="H4468" s="63" t="str">
        <f t="shared" si="69"/>
        <v>_</v>
      </c>
    </row>
    <row r="4469" spans="8:8">
      <c r="H4469" s="63" t="str">
        <f t="shared" si="69"/>
        <v>_</v>
      </c>
    </row>
    <row r="4470" spans="8:8">
      <c r="H4470" s="63" t="str">
        <f t="shared" si="69"/>
        <v>_</v>
      </c>
    </row>
    <row r="4471" spans="8:8">
      <c r="H4471" s="63" t="str">
        <f t="shared" si="69"/>
        <v>_</v>
      </c>
    </row>
    <row r="4472" spans="8:8">
      <c r="H4472" s="63" t="str">
        <f t="shared" si="69"/>
        <v>_</v>
      </c>
    </row>
    <row r="4473" spans="8:8">
      <c r="H4473" s="63" t="str">
        <f t="shared" si="69"/>
        <v>_</v>
      </c>
    </row>
    <row r="4474" spans="8:8">
      <c r="H4474" s="63" t="str">
        <f t="shared" si="69"/>
        <v>_</v>
      </c>
    </row>
    <row r="4475" spans="8:8">
      <c r="H4475" s="63" t="str">
        <f t="shared" si="69"/>
        <v>_</v>
      </c>
    </row>
    <row r="4476" spans="8:8">
      <c r="H4476" s="63" t="str">
        <f t="shared" si="69"/>
        <v>_</v>
      </c>
    </row>
    <row r="4477" spans="8:8">
      <c r="H4477" s="63" t="str">
        <f t="shared" si="69"/>
        <v>_</v>
      </c>
    </row>
    <row r="4478" spans="8:8">
      <c r="H4478" s="63" t="str">
        <f t="shared" si="69"/>
        <v>_</v>
      </c>
    </row>
    <row r="4479" spans="8:8">
      <c r="H4479" s="63" t="str">
        <f t="shared" si="69"/>
        <v>_</v>
      </c>
    </row>
    <row r="4480" spans="8:8">
      <c r="H4480" s="63" t="str">
        <f t="shared" si="69"/>
        <v>_</v>
      </c>
    </row>
    <row r="4481" spans="8:8">
      <c r="H4481" s="63" t="str">
        <f t="shared" si="69"/>
        <v>_</v>
      </c>
    </row>
    <row r="4482" spans="8:8">
      <c r="H4482" s="63" t="str">
        <f t="shared" si="69"/>
        <v>_</v>
      </c>
    </row>
    <row r="4483" spans="8:8">
      <c r="H4483" s="63" t="str">
        <f t="shared" ref="H4483:H4546" si="70">IF(OR(MID(A4483,6,10)="NASPP",MID(A4483,6,10)="RASPP"),"RNASPP",IF(OR(MID(A4483,6,10)="NSFAP",MID(A4483,6,10)="RSPOA"),"RNSPOA",IF(OR(A4483="ULGALLOC",A4483="ULSPOOL"),A4483,IF(MID(A4483,6,5)="ANSSP","ASSP1",MID(A4483,6,10)))))&amp;"_"&amp;B4483</f>
        <v>_</v>
      </c>
    </row>
    <row r="4484" spans="8:8">
      <c r="H4484" s="63" t="str">
        <f t="shared" si="70"/>
        <v>_</v>
      </c>
    </row>
    <row r="4485" spans="8:8">
      <c r="H4485" s="63" t="str">
        <f t="shared" si="70"/>
        <v>_</v>
      </c>
    </row>
    <row r="4486" spans="8:8">
      <c r="H4486" s="63" t="str">
        <f t="shared" si="70"/>
        <v>_</v>
      </c>
    </row>
    <row r="4487" spans="8:8">
      <c r="H4487" s="63" t="str">
        <f t="shared" si="70"/>
        <v>_</v>
      </c>
    </row>
    <row r="4488" spans="8:8">
      <c r="H4488" s="63" t="str">
        <f t="shared" si="70"/>
        <v>_</v>
      </c>
    </row>
    <row r="4489" spans="8:8">
      <c r="H4489" s="63" t="str">
        <f t="shared" si="70"/>
        <v>_</v>
      </c>
    </row>
    <row r="4490" spans="8:8">
      <c r="H4490" s="63" t="str">
        <f t="shared" si="70"/>
        <v>_</v>
      </c>
    </row>
    <row r="4491" spans="8:8">
      <c r="H4491" s="63" t="str">
        <f t="shared" si="70"/>
        <v>_</v>
      </c>
    </row>
    <row r="4492" spans="8:8">
      <c r="H4492" s="63" t="str">
        <f t="shared" si="70"/>
        <v>_</v>
      </c>
    </row>
    <row r="4493" spans="8:8">
      <c r="H4493" s="63" t="str">
        <f t="shared" si="70"/>
        <v>_</v>
      </c>
    </row>
    <row r="4494" spans="8:8">
      <c r="H4494" s="63" t="str">
        <f t="shared" si="70"/>
        <v>_</v>
      </c>
    </row>
    <row r="4495" spans="8:8">
      <c r="H4495" s="63" t="str">
        <f t="shared" si="70"/>
        <v>_</v>
      </c>
    </row>
    <row r="4496" spans="8:8">
      <c r="H4496" s="63" t="str">
        <f t="shared" si="70"/>
        <v>_</v>
      </c>
    </row>
    <row r="4497" spans="8:8">
      <c r="H4497" s="63" t="str">
        <f t="shared" si="70"/>
        <v>_</v>
      </c>
    </row>
    <row r="4498" spans="8:8">
      <c r="H4498" s="63" t="str">
        <f t="shared" si="70"/>
        <v>_</v>
      </c>
    </row>
    <row r="4499" spans="8:8">
      <c r="H4499" s="63" t="str">
        <f t="shared" si="70"/>
        <v>_</v>
      </c>
    </row>
    <row r="4500" spans="8:8">
      <c r="H4500" s="63" t="str">
        <f t="shared" si="70"/>
        <v>_</v>
      </c>
    </row>
    <row r="4501" spans="8:8">
      <c r="H4501" s="63" t="str">
        <f t="shared" si="70"/>
        <v>_</v>
      </c>
    </row>
    <row r="4502" spans="8:8">
      <c r="H4502" s="63" t="str">
        <f t="shared" si="70"/>
        <v>_</v>
      </c>
    </row>
    <row r="4503" spans="8:8">
      <c r="H4503" s="63" t="str">
        <f t="shared" si="70"/>
        <v>_</v>
      </c>
    </row>
    <row r="4504" spans="8:8">
      <c r="H4504" s="63" t="str">
        <f t="shared" si="70"/>
        <v>_</v>
      </c>
    </row>
    <row r="4505" spans="8:8">
      <c r="H4505" s="63" t="str">
        <f t="shared" si="70"/>
        <v>_</v>
      </c>
    </row>
    <row r="4506" spans="8:8">
      <c r="H4506" s="63" t="str">
        <f t="shared" si="70"/>
        <v>_</v>
      </c>
    </row>
    <row r="4507" spans="8:8">
      <c r="H4507" s="63" t="str">
        <f t="shared" si="70"/>
        <v>_</v>
      </c>
    </row>
    <row r="4508" spans="8:8">
      <c r="H4508" s="63" t="str">
        <f t="shared" si="70"/>
        <v>_</v>
      </c>
    </row>
    <row r="4509" spans="8:8">
      <c r="H4509" s="63" t="str">
        <f t="shared" si="70"/>
        <v>_</v>
      </c>
    </row>
    <row r="4510" spans="8:8">
      <c r="H4510" s="63" t="str">
        <f t="shared" si="70"/>
        <v>_</v>
      </c>
    </row>
    <row r="4511" spans="8:8">
      <c r="H4511" s="63" t="str">
        <f t="shared" si="70"/>
        <v>_</v>
      </c>
    </row>
    <row r="4512" spans="8:8">
      <c r="H4512" s="63" t="str">
        <f t="shared" si="70"/>
        <v>_</v>
      </c>
    </row>
    <row r="4513" spans="8:8">
      <c r="H4513" s="63" t="str">
        <f t="shared" si="70"/>
        <v>_</v>
      </c>
    </row>
    <row r="4514" spans="8:8">
      <c r="H4514" s="63" t="str">
        <f t="shared" si="70"/>
        <v>_</v>
      </c>
    </row>
    <row r="4515" spans="8:8">
      <c r="H4515" s="63" t="str">
        <f t="shared" si="70"/>
        <v>_</v>
      </c>
    </row>
    <row r="4516" spans="8:8">
      <c r="H4516" s="63" t="str">
        <f t="shared" si="70"/>
        <v>_</v>
      </c>
    </row>
    <row r="4517" spans="8:8">
      <c r="H4517" s="63" t="str">
        <f t="shared" si="70"/>
        <v>_</v>
      </c>
    </row>
    <row r="4518" spans="8:8">
      <c r="H4518" s="63" t="str">
        <f t="shared" si="70"/>
        <v>_</v>
      </c>
    </row>
    <row r="4519" spans="8:8">
      <c r="H4519" s="63" t="str">
        <f t="shared" si="70"/>
        <v>_</v>
      </c>
    </row>
    <row r="4520" spans="8:8">
      <c r="H4520" s="63" t="str">
        <f t="shared" si="70"/>
        <v>_</v>
      </c>
    </row>
    <row r="4521" spans="8:8">
      <c r="H4521" s="63" t="str">
        <f t="shared" si="70"/>
        <v>_</v>
      </c>
    </row>
    <row r="4522" spans="8:8">
      <c r="H4522" s="63" t="str">
        <f t="shared" si="70"/>
        <v>_</v>
      </c>
    </row>
    <row r="4523" spans="8:8">
      <c r="H4523" s="63" t="str">
        <f t="shared" si="70"/>
        <v>_</v>
      </c>
    </row>
    <row r="4524" spans="8:8">
      <c r="H4524" s="63" t="str">
        <f t="shared" si="70"/>
        <v>_</v>
      </c>
    </row>
    <row r="4525" spans="8:8">
      <c r="H4525" s="63" t="str">
        <f t="shared" si="70"/>
        <v>_</v>
      </c>
    </row>
    <row r="4526" spans="8:8">
      <c r="H4526" s="63" t="str">
        <f t="shared" si="70"/>
        <v>_</v>
      </c>
    </row>
    <row r="4527" spans="8:8">
      <c r="H4527" s="63" t="str">
        <f t="shared" si="70"/>
        <v>_</v>
      </c>
    </row>
    <row r="4528" spans="8:8">
      <c r="H4528" s="63" t="str">
        <f t="shared" si="70"/>
        <v>_</v>
      </c>
    </row>
    <row r="4529" spans="8:8">
      <c r="H4529" s="63" t="str">
        <f t="shared" si="70"/>
        <v>_</v>
      </c>
    </row>
    <row r="4530" spans="8:8">
      <c r="H4530" s="63" t="str">
        <f t="shared" si="70"/>
        <v>_</v>
      </c>
    </row>
    <row r="4531" spans="8:8">
      <c r="H4531" s="63" t="str">
        <f t="shared" si="70"/>
        <v>_</v>
      </c>
    </row>
    <row r="4532" spans="8:8">
      <c r="H4532" s="63" t="str">
        <f t="shared" si="70"/>
        <v>_</v>
      </c>
    </row>
    <row r="4533" spans="8:8">
      <c r="H4533" s="63" t="str">
        <f t="shared" si="70"/>
        <v>_</v>
      </c>
    </row>
    <row r="4534" spans="8:8">
      <c r="H4534" s="63" t="str">
        <f t="shared" si="70"/>
        <v>_</v>
      </c>
    </row>
    <row r="4535" spans="8:8">
      <c r="H4535" s="63" t="str">
        <f t="shared" si="70"/>
        <v>_</v>
      </c>
    </row>
    <row r="4536" spans="8:8">
      <c r="H4536" s="63" t="str">
        <f t="shared" si="70"/>
        <v>_</v>
      </c>
    </row>
    <row r="4537" spans="8:8">
      <c r="H4537" s="63" t="str">
        <f t="shared" si="70"/>
        <v>_</v>
      </c>
    </row>
    <row r="4538" spans="8:8">
      <c r="H4538" s="63" t="str">
        <f t="shared" si="70"/>
        <v>_</v>
      </c>
    </row>
    <row r="4539" spans="8:8">
      <c r="H4539" s="63" t="str">
        <f t="shared" si="70"/>
        <v>_</v>
      </c>
    </row>
    <row r="4540" spans="8:8">
      <c r="H4540" s="63" t="str">
        <f t="shared" si="70"/>
        <v>_</v>
      </c>
    </row>
    <row r="4541" spans="8:8">
      <c r="H4541" s="63" t="str">
        <f t="shared" si="70"/>
        <v>_</v>
      </c>
    </row>
    <row r="4542" spans="8:8">
      <c r="H4542" s="63" t="str">
        <f t="shared" si="70"/>
        <v>_</v>
      </c>
    </row>
    <row r="4543" spans="8:8">
      <c r="H4543" s="63" t="str">
        <f t="shared" si="70"/>
        <v>_</v>
      </c>
    </row>
    <row r="4544" spans="8:8">
      <c r="H4544" s="63" t="str">
        <f t="shared" si="70"/>
        <v>_</v>
      </c>
    </row>
    <row r="4545" spans="8:8">
      <c r="H4545" s="63" t="str">
        <f t="shared" si="70"/>
        <v>_</v>
      </c>
    </row>
    <row r="4546" spans="8:8">
      <c r="H4546" s="63" t="str">
        <f t="shared" si="70"/>
        <v>_</v>
      </c>
    </row>
    <row r="4547" spans="8:8">
      <c r="H4547" s="63" t="str">
        <f t="shared" ref="H4547:H4610" si="71">IF(OR(MID(A4547,6,10)="NASPP",MID(A4547,6,10)="RASPP"),"RNASPP",IF(OR(MID(A4547,6,10)="NSFAP",MID(A4547,6,10)="RSPOA"),"RNSPOA",IF(OR(A4547="ULGALLOC",A4547="ULSPOOL"),A4547,IF(MID(A4547,6,5)="ANSSP","ASSP1",MID(A4547,6,10)))))&amp;"_"&amp;B4547</f>
        <v>_</v>
      </c>
    </row>
    <row r="4548" spans="8:8">
      <c r="H4548" s="63" t="str">
        <f t="shared" si="71"/>
        <v>_</v>
      </c>
    </row>
    <row r="4549" spans="8:8">
      <c r="H4549" s="63" t="str">
        <f t="shared" si="71"/>
        <v>_</v>
      </c>
    </row>
    <row r="4550" spans="8:8">
      <c r="H4550" s="63" t="str">
        <f t="shared" si="71"/>
        <v>_</v>
      </c>
    </row>
    <row r="4551" spans="8:8">
      <c r="H4551" s="63" t="str">
        <f t="shared" si="71"/>
        <v>_</v>
      </c>
    </row>
    <row r="4552" spans="8:8">
      <c r="H4552" s="63" t="str">
        <f t="shared" si="71"/>
        <v>_</v>
      </c>
    </row>
    <row r="4553" spans="8:8">
      <c r="H4553" s="63" t="str">
        <f t="shared" si="71"/>
        <v>_</v>
      </c>
    </row>
    <row r="4554" spans="8:8">
      <c r="H4554" s="63" t="str">
        <f t="shared" si="71"/>
        <v>_</v>
      </c>
    </row>
    <row r="4555" spans="8:8">
      <c r="H4555" s="63" t="str">
        <f t="shared" si="71"/>
        <v>_</v>
      </c>
    </row>
    <row r="4556" spans="8:8">
      <c r="H4556" s="63" t="str">
        <f t="shared" si="71"/>
        <v>_</v>
      </c>
    </row>
    <row r="4557" spans="8:8">
      <c r="H4557" s="63" t="str">
        <f t="shared" si="71"/>
        <v>_</v>
      </c>
    </row>
    <row r="4558" spans="8:8">
      <c r="H4558" s="63" t="str">
        <f t="shared" si="71"/>
        <v>_</v>
      </c>
    </row>
    <row r="4559" spans="8:8">
      <c r="H4559" s="63" t="str">
        <f t="shared" si="71"/>
        <v>_</v>
      </c>
    </row>
    <row r="4560" spans="8:8">
      <c r="H4560" s="63" t="str">
        <f t="shared" si="71"/>
        <v>_</v>
      </c>
    </row>
    <row r="4561" spans="8:8">
      <c r="H4561" s="63" t="str">
        <f t="shared" si="71"/>
        <v>_</v>
      </c>
    </row>
    <row r="4562" spans="8:8">
      <c r="H4562" s="63" t="str">
        <f t="shared" si="71"/>
        <v>_</v>
      </c>
    </row>
    <row r="4563" spans="8:8">
      <c r="H4563" s="63" t="str">
        <f t="shared" si="71"/>
        <v>_</v>
      </c>
    </row>
    <row r="4564" spans="8:8">
      <c r="H4564" s="63" t="str">
        <f t="shared" si="71"/>
        <v>_</v>
      </c>
    </row>
    <row r="4565" spans="8:8">
      <c r="H4565" s="63" t="str">
        <f t="shared" si="71"/>
        <v>_</v>
      </c>
    </row>
    <row r="4566" spans="8:8">
      <c r="H4566" s="63" t="str">
        <f t="shared" si="71"/>
        <v>_</v>
      </c>
    </row>
    <row r="4567" spans="8:8">
      <c r="H4567" s="63" t="str">
        <f t="shared" si="71"/>
        <v>_</v>
      </c>
    </row>
    <row r="4568" spans="8:8">
      <c r="H4568" s="63" t="str">
        <f t="shared" si="71"/>
        <v>_</v>
      </c>
    </row>
    <row r="4569" spans="8:8">
      <c r="H4569" s="63" t="str">
        <f t="shared" si="71"/>
        <v>_</v>
      </c>
    </row>
    <row r="4570" spans="8:8">
      <c r="H4570" s="63" t="str">
        <f t="shared" si="71"/>
        <v>_</v>
      </c>
    </row>
    <row r="4571" spans="8:8">
      <c r="H4571" s="63" t="str">
        <f t="shared" si="71"/>
        <v>_</v>
      </c>
    </row>
    <row r="4572" spans="8:8">
      <c r="H4572" s="63" t="str">
        <f t="shared" si="71"/>
        <v>_</v>
      </c>
    </row>
    <row r="4573" spans="8:8">
      <c r="H4573" s="63" t="str">
        <f t="shared" si="71"/>
        <v>_</v>
      </c>
    </row>
    <row r="4574" spans="8:8">
      <c r="H4574" s="63" t="str">
        <f t="shared" si="71"/>
        <v>_</v>
      </c>
    </row>
    <row r="4575" spans="8:8">
      <c r="H4575" s="63" t="str">
        <f t="shared" si="71"/>
        <v>_</v>
      </c>
    </row>
    <row r="4576" spans="8:8">
      <c r="H4576" s="63" t="str">
        <f t="shared" si="71"/>
        <v>_</v>
      </c>
    </row>
    <row r="4577" spans="8:8">
      <c r="H4577" s="63" t="str">
        <f t="shared" si="71"/>
        <v>_</v>
      </c>
    </row>
    <row r="4578" spans="8:8">
      <c r="H4578" s="63" t="str">
        <f t="shared" si="71"/>
        <v>_</v>
      </c>
    </row>
    <row r="4579" spans="8:8">
      <c r="H4579" s="63" t="str">
        <f t="shared" si="71"/>
        <v>_</v>
      </c>
    </row>
    <row r="4580" spans="8:8">
      <c r="H4580" s="63" t="str">
        <f t="shared" si="71"/>
        <v>_</v>
      </c>
    </row>
    <row r="4581" spans="8:8">
      <c r="H4581" s="63" t="str">
        <f t="shared" si="71"/>
        <v>_</v>
      </c>
    </row>
    <row r="4582" spans="8:8">
      <c r="H4582" s="63" t="str">
        <f t="shared" si="71"/>
        <v>_</v>
      </c>
    </row>
    <row r="4583" spans="8:8">
      <c r="H4583" s="63" t="str">
        <f t="shared" si="71"/>
        <v>_</v>
      </c>
    </row>
    <row r="4584" spans="8:8">
      <c r="H4584" s="63" t="str">
        <f t="shared" si="71"/>
        <v>_</v>
      </c>
    </row>
    <row r="4585" spans="8:8">
      <c r="H4585" s="63" t="str">
        <f t="shared" si="71"/>
        <v>_</v>
      </c>
    </row>
    <row r="4586" spans="8:8">
      <c r="H4586" s="63" t="str">
        <f t="shared" si="71"/>
        <v>_</v>
      </c>
    </row>
    <row r="4587" spans="8:8">
      <c r="H4587" s="63" t="str">
        <f t="shared" si="71"/>
        <v>_</v>
      </c>
    </row>
    <row r="4588" spans="8:8">
      <c r="H4588" s="63" t="str">
        <f t="shared" si="71"/>
        <v>_</v>
      </c>
    </row>
    <row r="4589" spans="8:8">
      <c r="H4589" s="63" t="str">
        <f t="shared" si="71"/>
        <v>_</v>
      </c>
    </row>
    <row r="4590" spans="8:8">
      <c r="H4590" s="63" t="str">
        <f t="shared" si="71"/>
        <v>_</v>
      </c>
    </row>
    <row r="4591" spans="8:8">
      <c r="H4591" s="63" t="str">
        <f t="shared" si="71"/>
        <v>_</v>
      </c>
    </row>
    <row r="4592" spans="8:8">
      <c r="H4592" s="63" t="str">
        <f t="shared" si="71"/>
        <v>_</v>
      </c>
    </row>
    <row r="4593" spans="8:8">
      <c r="H4593" s="63" t="str">
        <f t="shared" si="71"/>
        <v>_</v>
      </c>
    </row>
    <row r="4594" spans="8:8">
      <c r="H4594" s="63" t="str">
        <f t="shared" si="71"/>
        <v>_</v>
      </c>
    </row>
    <row r="4595" spans="8:8">
      <c r="H4595" s="63" t="str">
        <f t="shared" si="71"/>
        <v>_</v>
      </c>
    </row>
    <row r="4596" spans="8:8">
      <c r="H4596" s="63" t="str">
        <f t="shared" si="71"/>
        <v>_</v>
      </c>
    </row>
    <row r="4597" spans="8:8">
      <c r="H4597" s="63" t="str">
        <f t="shared" si="71"/>
        <v>_</v>
      </c>
    </row>
    <row r="4598" spans="8:8">
      <c r="H4598" s="63" t="str">
        <f t="shared" si="71"/>
        <v>_</v>
      </c>
    </row>
    <row r="4599" spans="8:8">
      <c r="H4599" s="63" t="str">
        <f t="shared" si="71"/>
        <v>_</v>
      </c>
    </row>
    <row r="4600" spans="8:8">
      <c r="H4600" s="63" t="str">
        <f t="shared" si="71"/>
        <v>_</v>
      </c>
    </row>
    <row r="4601" spans="8:8">
      <c r="H4601" s="63" t="str">
        <f t="shared" si="71"/>
        <v>_</v>
      </c>
    </row>
    <row r="4602" spans="8:8">
      <c r="H4602" s="63" t="str">
        <f t="shared" si="71"/>
        <v>_</v>
      </c>
    </row>
    <row r="4603" spans="8:8">
      <c r="H4603" s="63" t="str">
        <f t="shared" si="71"/>
        <v>_</v>
      </c>
    </row>
    <row r="4604" spans="8:8">
      <c r="H4604" s="63" t="str">
        <f t="shared" si="71"/>
        <v>_</v>
      </c>
    </row>
    <row r="4605" spans="8:8">
      <c r="H4605" s="63" t="str">
        <f t="shared" si="71"/>
        <v>_</v>
      </c>
    </row>
    <row r="4606" spans="8:8">
      <c r="H4606" s="63" t="str">
        <f t="shared" si="71"/>
        <v>_</v>
      </c>
    </row>
    <row r="4607" spans="8:8">
      <c r="H4607" s="63" t="str">
        <f t="shared" si="71"/>
        <v>_</v>
      </c>
    </row>
    <row r="4608" spans="8:8">
      <c r="H4608" s="63" t="str">
        <f t="shared" si="71"/>
        <v>_</v>
      </c>
    </row>
    <row r="4609" spans="8:8">
      <c r="H4609" s="63" t="str">
        <f t="shared" si="71"/>
        <v>_</v>
      </c>
    </row>
    <row r="4610" spans="8:8">
      <c r="H4610" s="63" t="str">
        <f t="shared" si="71"/>
        <v>_</v>
      </c>
    </row>
    <row r="4611" spans="8:8">
      <c r="H4611" s="63" t="str">
        <f t="shared" ref="H4611:H4674" si="72">IF(OR(MID(A4611,6,10)="NASPP",MID(A4611,6,10)="RASPP"),"RNASPP",IF(OR(MID(A4611,6,10)="NSFAP",MID(A4611,6,10)="RSPOA"),"RNSPOA",IF(OR(A4611="ULGALLOC",A4611="ULSPOOL"),A4611,IF(MID(A4611,6,5)="ANSSP","ASSP1",MID(A4611,6,10)))))&amp;"_"&amp;B4611</f>
        <v>_</v>
      </c>
    </row>
    <row r="4612" spans="8:8">
      <c r="H4612" s="63" t="str">
        <f t="shared" si="72"/>
        <v>_</v>
      </c>
    </row>
    <row r="4613" spans="8:8">
      <c r="H4613" s="63" t="str">
        <f t="shared" si="72"/>
        <v>_</v>
      </c>
    </row>
    <row r="4614" spans="8:8">
      <c r="H4614" s="63" t="str">
        <f t="shared" si="72"/>
        <v>_</v>
      </c>
    </row>
    <row r="4615" spans="8:8">
      <c r="H4615" s="63" t="str">
        <f t="shared" si="72"/>
        <v>_</v>
      </c>
    </row>
    <row r="4616" spans="8:8">
      <c r="H4616" s="63" t="str">
        <f t="shared" si="72"/>
        <v>_</v>
      </c>
    </row>
    <row r="4617" spans="8:8">
      <c r="H4617" s="63" t="str">
        <f t="shared" si="72"/>
        <v>_</v>
      </c>
    </row>
    <row r="4618" spans="8:8">
      <c r="H4618" s="63" t="str">
        <f t="shared" si="72"/>
        <v>_</v>
      </c>
    </row>
    <row r="4619" spans="8:8">
      <c r="H4619" s="63" t="str">
        <f t="shared" si="72"/>
        <v>_</v>
      </c>
    </row>
    <row r="4620" spans="8:8">
      <c r="H4620" s="63" t="str">
        <f t="shared" si="72"/>
        <v>_</v>
      </c>
    </row>
    <row r="4621" spans="8:8">
      <c r="H4621" s="63" t="str">
        <f t="shared" si="72"/>
        <v>_</v>
      </c>
    </row>
    <row r="4622" spans="8:8">
      <c r="H4622" s="63" t="str">
        <f t="shared" si="72"/>
        <v>_</v>
      </c>
    </row>
    <row r="4623" spans="8:8">
      <c r="H4623" s="63" t="str">
        <f t="shared" si="72"/>
        <v>_</v>
      </c>
    </row>
    <row r="4624" spans="8:8">
      <c r="H4624" s="63" t="str">
        <f t="shared" si="72"/>
        <v>_</v>
      </c>
    </row>
    <row r="4625" spans="8:8">
      <c r="H4625" s="63" t="str">
        <f t="shared" si="72"/>
        <v>_</v>
      </c>
    </row>
    <row r="4626" spans="8:8">
      <c r="H4626" s="63" t="str">
        <f t="shared" si="72"/>
        <v>_</v>
      </c>
    </row>
    <row r="4627" spans="8:8">
      <c r="H4627" s="63" t="str">
        <f t="shared" si="72"/>
        <v>_</v>
      </c>
    </row>
    <row r="4628" spans="8:8">
      <c r="H4628" s="63" t="str">
        <f t="shared" si="72"/>
        <v>_</v>
      </c>
    </row>
    <row r="4629" spans="8:8">
      <c r="H4629" s="63" t="str">
        <f t="shared" si="72"/>
        <v>_</v>
      </c>
    </row>
    <row r="4630" spans="8:8">
      <c r="H4630" s="63" t="str">
        <f t="shared" si="72"/>
        <v>_</v>
      </c>
    </row>
    <row r="4631" spans="8:8">
      <c r="H4631" s="63" t="str">
        <f t="shared" si="72"/>
        <v>_</v>
      </c>
    </row>
    <row r="4632" spans="8:8">
      <c r="H4632" s="63" t="str">
        <f t="shared" si="72"/>
        <v>_</v>
      </c>
    </row>
    <row r="4633" spans="8:8">
      <c r="H4633" s="63" t="str">
        <f t="shared" si="72"/>
        <v>_</v>
      </c>
    </row>
    <row r="4634" spans="8:8">
      <c r="H4634" s="63" t="str">
        <f t="shared" si="72"/>
        <v>_</v>
      </c>
    </row>
    <row r="4635" spans="8:8">
      <c r="H4635" s="63" t="str">
        <f t="shared" si="72"/>
        <v>_</v>
      </c>
    </row>
    <row r="4636" spans="8:8">
      <c r="H4636" s="63" t="str">
        <f t="shared" si="72"/>
        <v>_</v>
      </c>
    </row>
    <row r="4637" spans="8:8">
      <c r="H4637" s="63" t="str">
        <f t="shared" si="72"/>
        <v>_</v>
      </c>
    </row>
    <row r="4638" spans="8:8">
      <c r="H4638" s="63" t="str">
        <f t="shared" si="72"/>
        <v>_</v>
      </c>
    </row>
    <row r="4639" spans="8:8">
      <c r="H4639" s="63" t="str">
        <f t="shared" si="72"/>
        <v>_</v>
      </c>
    </row>
    <row r="4640" spans="8:8">
      <c r="H4640" s="63" t="str">
        <f t="shared" si="72"/>
        <v>_</v>
      </c>
    </row>
    <row r="4641" spans="8:8">
      <c r="H4641" s="63" t="str">
        <f t="shared" si="72"/>
        <v>_</v>
      </c>
    </row>
    <row r="4642" spans="8:8">
      <c r="H4642" s="63" t="str">
        <f t="shared" si="72"/>
        <v>_</v>
      </c>
    </row>
    <row r="4643" spans="8:8">
      <c r="H4643" s="63" t="str">
        <f t="shared" si="72"/>
        <v>_</v>
      </c>
    </row>
    <row r="4644" spans="8:8">
      <c r="H4644" s="63" t="str">
        <f t="shared" si="72"/>
        <v>_</v>
      </c>
    </row>
    <row r="4645" spans="8:8">
      <c r="H4645" s="63" t="str">
        <f t="shared" si="72"/>
        <v>_</v>
      </c>
    </row>
    <row r="4646" spans="8:8">
      <c r="H4646" s="63" t="str">
        <f t="shared" si="72"/>
        <v>_</v>
      </c>
    </row>
    <row r="4647" spans="8:8">
      <c r="H4647" s="63" t="str">
        <f t="shared" si="72"/>
        <v>_</v>
      </c>
    </row>
    <row r="4648" spans="8:8">
      <c r="H4648" s="63" t="str">
        <f t="shared" si="72"/>
        <v>_</v>
      </c>
    </row>
    <row r="4649" spans="8:8">
      <c r="H4649" s="63" t="str">
        <f t="shared" si="72"/>
        <v>_</v>
      </c>
    </row>
    <row r="4650" spans="8:8">
      <c r="H4650" s="63" t="str">
        <f t="shared" si="72"/>
        <v>_</v>
      </c>
    </row>
    <row r="4651" spans="8:8">
      <c r="H4651" s="63" t="str">
        <f t="shared" si="72"/>
        <v>_</v>
      </c>
    </row>
    <row r="4652" spans="8:8">
      <c r="H4652" s="63" t="str">
        <f t="shared" si="72"/>
        <v>_</v>
      </c>
    </row>
    <row r="4653" spans="8:8">
      <c r="H4653" s="63" t="str">
        <f t="shared" si="72"/>
        <v>_</v>
      </c>
    </row>
    <row r="4654" spans="8:8">
      <c r="H4654" s="63" t="str">
        <f t="shared" si="72"/>
        <v>_</v>
      </c>
    </row>
    <row r="4655" spans="8:8">
      <c r="H4655" s="63" t="str">
        <f t="shared" si="72"/>
        <v>_</v>
      </c>
    </row>
    <row r="4656" spans="8:8">
      <c r="H4656" s="63" t="str">
        <f t="shared" si="72"/>
        <v>_</v>
      </c>
    </row>
    <row r="4657" spans="8:8">
      <c r="H4657" s="63" t="str">
        <f t="shared" si="72"/>
        <v>_</v>
      </c>
    </row>
    <row r="4658" spans="8:8">
      <c r="H4658" s="63" t="str">
        <f t="shared" si="72"/>
        <v>_</v>
      </c>
    </row>
    <row r="4659" spans="8:8">
      <c r="H4659" s="63" t="str">
        <f t="shared" si="72"/>
        <v>_</v>
      </c>
    </row>
    <row r="4660" spans="8:8">
      <c r="H4660" s="63" t="str">
        <f t="shared" si="72"/>
        <v>_</v>
      </c>
    </row>
    <row r="4661" spans="8:8">
      <c r="H4661" s="63" t="str">
        <f t="shared" si="72"/>
        <v>_</v>
      </c>
    </row>
    <row r="4662" spans="8:8">
      <c r="H4662" s="63" t="str">
        <f t="shared" si="72"/>
        <v>_</v>
      </c>
    </row>
    <row r="4663" spans="8:8">
      <c r="H4663" s="63" t="str">
        <f t="shared" si="72"/>
        <v>_</v>
      </c>
    </row>
    <row r="4664" spans="8:8">
      <c r="H4664" s="63" t="str">
        <f t="shared" si="72"/>
        <v>_</v>
      </c>
    </row>
    <row r="4665" spans="8:8">
      <c r="H4665" s="63" t="str">
        <f t="shared" si="72"/>
        <v>_</v>
      </c>
    </row>
    <row r="4666" spans="8:8">
      <c r="H4666" s="63" t="str">
        <f t="shared" si="72"/>
        <v>_</v>
      </c>
    </row>
    <row r="4667" spans="8:8">
      <c r="H4667" s="63" t="str">
        <f t="shared" si="72"/>
        <v>_</v>
      </c>
    </row>
    <row r="4668" spans="8:8">
      <c r="H4668" s="63" t="str">
        <f t="shared" si="72"/>
        <v>_</v>
      </c>
    </row>
    <row r="4669" spans="8:8">
      <c r="H4669" s="63" t="str">
        <f t="shared" si="72"/>
        <v>_</v>
      </c>
    </row>
    <row r="4670" spans="8:8">
      <c r="H4670" s="63" t="str">
        <f t="shared" si="72"/>
        <v>_</v>
      </c>
    </row>
    <row r="4671" spans="8:8">
      <c r="H4671" s="63" t="str">
        <f t="shared" si="72"/>
        <v>_</v>
      </c>
    </row>
    <row r="4672" spans="8:8">
      <c r="H4672" s="63" t="str">
        <f t="shared" si="72"/>
        <v>_</v>
      </c>
    </row>
    <row r="4673" spans="8:8">
      <c r="H4673" s="63" t="str">
        <f t="shared" si="72"/>
        <v>_</v>
      </c>
    </row>
    <row r="4674" spans="8:8">
      <c r="H4674" s="63" t="str">
        <f t="shared" si="72"/>
        <v>_</v>
      </c>
    </row>
    <row r="4675" spans="8:8">
      <c r="H4675" s="63" t="str">
        <f t="shared" ref="H4675:H4738" si="73">IF(OR(MID(A4675,6,10)="NASPP",MID(A4675,6,10)="RASPP"),"RNASPP",IF(OR(MID(A4675,6,10)="NSFAP",MID(A4675,6,10)="RSPOA"),"RNSPOA",IF(OR(A4675="ULGALLOC",A4675="ULSPOOL"),A4675,IF(MID(A4675,6,5)="ANSSP","ASSP1",MID(A4675,6,10)))))&amp;"_"&amp;B4675</f>
        <v>_</v>
      </c>
    </row>
    <row r="4676" spans="8:8">
      <c r="H4676" s="63" t="str">
        <f t="shared" si="73"/>
        <v>_</v>
      </c>
    </row>
    <row r="4677" spans="8:8">
      <c r="H4677" s="63" t="str">
        <f t="shared" si="73"/>
        <v>_</v>
      </c>
    </row>
    <row r="4678" spans="8:8">
      <c r="H4678" s="63" t="str">
        <f t="shared" si="73"/>
        <v>_</v>
      </c>
    </row>
    <row r="4679" spans="8:8">
      <c r="H4679" s="63" t="str">
        <f t="shared" si="73"/>
        <v>_</v>
      </c>
    </row>
    <row r="4680" spans="8:8">
      <c r="H4680" s="63" t="str">
        <f t="shared" si="73"/>
        <v>_</v>
      </c>
    </row>
    <row r="4681" spans="8:8">
      <c r="H4681" s="63" t="str">
        <f t="shared" si="73"/>
        <v>_</v>
      </c>
    </row>
    <row r="4682" spans="8:8">
      <c r="H4682" s="63" t="str">
        <f t="shared" si="73"/>
        <v>_</v>
      </c>
    </row>
    <row r="4683" spans="8:8">
      <c r="H4683" s="63" t="str">
        <f t="shared" si="73"/>
        <v>_</v>
      </c>
    </row>
    <row r="4684" spans="8:8">
      <c r="H4684" s="63" t="str">
        <f t="shared" si="73"/>
        <v>_</v>
      </c>
    </row>
    <row r="4685" spans="8:8">
      <c r="H4685" s="63" t="str">
        <f t="shared" si="73"/>
        <v>_</v>
      </c>
    </row>
    <row r="4686" spans="8:8">
      <c r="H4686" s="63" t="str">
        <f t="shared" si="73"/>
        <v>_</v>
      </c>
    </row>
    <row r="4687" spans="8:8">
      <c r="H4687" s="63" t="str">
        <f t="shared" si="73"/>
        <v>_</v>
      </c>
    </row>
    <row r="4688" spans="8:8">
      <c r="H4688" s="63" t="str">
        <f t="shared" si="73"/>
        <v>_</v>
      </c>
    </row>
    <row r="4689" spans="8:8">
      <c r="H4689" s="63" t="str">
        <f t="shared" si="73"/>
        <v>_</v>
      </c>
    </row>
    <row r="4690" spans="8:8">
      <c r="H4690" s="63" t="str">
        <f t="shared" si="73"/>
        <v>_</v>
      </c>
    </row>
    <row r="4691" spans="8:8">
      <c r="H4691" s="63" t="str">
        <f t="shared" si="73"/>
        <v>_</v>
      </c>
    </row>
    <row r="4692" spans="8:8">
      <c r="H4692" s="63" t="str">
        <f t="shared" si="73"/>
        <v>_</v>
      </c>
    </row>
    <row r="4693" spans="8:8">
      <c r="H4693" s="63" t="str">
        <f t="shared" si="73"/>
        <v>_</v>
      </c>
    </row>
    <row r="4694" spans="8:8">
      <c r="H4694" s="63" t="str">
        <f t="shared" si="73"/>
        <v>_</v>
      </c>
    </row>
    <row r="4695" spans="8:8">
      <c r="H4695" s="63" t="str">
        <f t="shared" si="73"/>
        <v>_</v>
      </c>
    </row>
    <row r="4696" spans="8:8">
      <c r="H4696" s="63" t="str">
        <f t="shared" si="73"/>
        <v>_</v>
      </c>
    </row>
    <row r="4697" spans="8:8">
      <c r="H4697" s="63" t="str">
        <f t="shared" si="73"/>
        <v>_</v>
      </c>
    </row>
    <row r="4698" spans="8:8">
      <c r="H4698" s="63" t="str">
        <f t="shared" si="73"/>
        <v>_</v>
      </c>
    </row>
    <row r="4699" spans="8:8">
      <c r="H4699" s="63" t="str">
        <f t="shared" si="73"/>
        <v>_</v>
      </c>
    </row>
    <row r="4700" spans="8:8">
      <c r="H4700" s="63" t="str">
        <f t="shared" si="73"/>
        <v>_</v>
      </c>
    </row>
    <row r="4701" spans="8:8">
      <c r="H4701" s="63" t="str">
        <f t="shared" si="73"/>
        <v>_</v>
      </c>
    </row>
    <row r="4702" spans="8:8">
      <c r="H4702" s="63" t="str">
        <f t="shared" si="73"/>
        <v>_</v>
      </c>
    </row>
    <row r="4703" spans="8:8">
      <c r="H4703" s="63" t="str">
        <f t="shared" si="73"/>
        <v>_</v>
      </c>
    </row>
    <row r="4704" spans="8:8">
      <c r="H4704" s="63" t="str">
        <f t="shared" si="73"/>
        <v>_</v>
      </c>
    </row>
    <row r="4705" spans="8:8">
      <c r="H4705" s="63" t="str">
        <f t="shared" si="73"/>
        <v>_</v>
      </c>
    </row>
    <row r="4706" spans="8:8">
      <c r="H4706" s="63" t="str">
        <f t="shared" si="73"/>
        <v>_</v>
      </c>
    </row>
    <row r="4707" spans="8:8">
      <c r="H4707" s="63" t="str">
        <f t="shared" si="73"/>
        <v>_</v>
      </c>
    </row>
    <row r="4708" spans="8:8">
      <c r="H4708" s="63" t="str">
        <f t="shared" si="73"/>
        <v>_</v>
      </c>
    </row>
    <row r="4709" spans="8:8">
      <c r="H4709" s="63" t="str">
        <f t="shared" si="73"/>
        <v>_</v>
      </c>
    </row>
    <row r="4710" spans="8:8">
      <c r="H4710" s="63" t="str">
        <f t="shared" si="73"/>
        <v>_</v>
      </c>
    </row>
    <row r="4711" spans="8:8">
      <c r="H4711" s="63" t="str">
        <f t="shared" si="73"/>
        <v>_</v>
      </c>
    </row>
    <row r="4712" spans="8:8">
      <c r="H4712" s="63" t="str">
        <f t="shared" si="73"/>
        <v>_</v>
      </c>
    </row>
    <row r="4713" spans="8:8">
      <c r="H4713" s="63" t="str">
        <f t="shared" si="73"/>
        <v>_</v>
      </c>
    </row>
    <row r="4714" spans="8:8">
      <c r="H4714" s="63" t="str">
        <f t="shared" si="73"/>
        <v>_</v>
      </c>
    </row>
    <row r="4715" spans="8:8">
      <c r="H4715" s="63" t="str">
        <f t="shared" si="73"/>
        <v>_</v>
      </c>
    </row>
    <row r="4716" spans="8:8">
      <c r="H4716" s="63" t="str">
        <f t="shared" si="73"/>
        <v>_</v>
      </c>
    </row>
    <row r="4717" spans="8:8">
      <c r="H4717" s="63" t="str">
        <f t="shared" si="73"/>
        <v>_</v>
      </c>
    </row>
    <row r="4718" spans="8:8">
      <c r="H4718" s="63" t="str">
        <f t="shared" si="73"/>
        <v>_</v>
      </c>
    </row>
    <row r="4719" spans="8:8">
      <c r="H4719" s="63" t="str">
        <f t="shared" si="73"/>
        <v>_</v>
      </c>
    </row>
    <row r="4720" spans="8:8">
      <c r="H4720" s="63" t="str">
        <f t="shared" si="73"/>
        <v>_</v>
      </c>
    </row>
    <row r="4721" spans="8:8">
      <c r="H4721" s="63" t="str">
        <f t="shared" si="73"/>
        <v>_</v>
      </c>
    </row>
    <row r="4722" spans="8:8">
      <c r="H4722" s="63" t="str">
        <f t="shared" si="73"/>
        <v>_</v>
      </c>
    </row>
    <row r="4723" spans="8:8">
      <c r="H4723" s="63" t="str">
        <f t="shared" si="73"/>
        <v>_</v>
      </c>
    </row>
    <row r="4724" spans="8:8">
      <c r="H4724" s="63" t="str">
        <f t="shared" si="73"/>
        <v>_</v>
      </c>
    </row>
    <row r="4725" spans="8:8">
      <c r="H4725" s="63" t="str">
        <f t="shared" si="73"/>
        <v>_</v>
      </c>
    </row>
    <row r="4726" spans="8:8">
      <c r="H4726" s="63" t="str">
        <f t="shared" si="73"/>
        <v>_</v>
      </c>
    </row>
    <row r="4727" spans="8:8">
      <c r="H4727" s="63" t="str">
        <f t="shared" si="73"/>
        <v>_</v>
      </c>
    </row>
    <row r="4728" spans="8:8">
      <c r="H4728" s="63" t="str">
        <f t="shared" si="73"/>
        <v>_</v>
      </c>
    </row>
    <row r="4729" spans="8:8">
      <c r="H4729" s="63" t="str">
        <f t="shared" si="73"/>
        <v>_</v>
      </c>
    </row>
    <row r="4730" spans="8:8">
      <c r="H4730" s="63" t="str">
        <f t="shared" si="73"/>
        <v>_</v>
      </c>
    </row>
    <row r="4731" spans="8:8">
      <c r="H4731" s="63" t="str">
        <f t="shared" si="73"/>
        <v>_</v>
      </c>
    </row>
    <row r="4732" spans="8:8">
      <c r="H4732" s="63" t="str">
        <f t="shared" si="73"/>
        <v>_</v>
      </c>
    </row>
    <row r="4733" spans="8:8">
      <c r="H4733" s="63" t="str">
        <f t="shared" si="73"/>
        <v>_</v>
      </c>
    </row>
    <row r="4734" spans="8:8">
      <c r="H4734" s="63" t="str">
        <f t="shared" si="73"/>
        <v>_</v>
      </c>
    </row>
    <row r="4735" spans="8:8">
      <c r="H4735" s="63" t="str">
        <f t="shared" si="73"/>
        <v>_</v>
      </c>
    </row>
    <row r="4736" spans="8:8">
      <c r="H4736" s="63" t="str">
        <f t="shared" si="73"/>
        <v>_</v>
      </c>
    </row>
    <row r="4737" spans="8:8">
      <c r="H4737" s="63" t="str">
        <f t="shared" si="73"/>
        <v>_</v>
      </c>
    </row>
    <row r="4738" spans="8:8">
      <c r="H4738" s="63" t="str">
        <f t="shared" si="73"/>
        <v>_</v>
      </c>
    </row>
    <row r="4739" spans="8:8">
      <c r="H4739" s="63" t="str">
        <f t="shared" ref="H4739:H4802" si="74">IF(OR(MID(A4739,6,10)="NASPP",MID(A4739,6,10)="RASPP"),"RNASPP",IF(OR(MID(A4739,6,10)="NSFAP",MID(A4739,6,10)="RSPOA"),"RNSPOA",IF(OR(A4739="ULGALLOC",A4739="ULSPOOL"),A4739,IF(MID(A4739,6,5)="ANSSP","ASSP1",MID(A4739,6,10)))))&amp;"_"&amp;B4739</f>
        <v>_</v>
      </c>
    </row>
    <row r="4740" spans="8:8">
      <c r="H4740" s="63" t="str">
        <f t="shared" si="74"/>
        <v>_</v>
      </c>
    </row>
    <row r="4741" spans="8:8">
      <c r="H4741" s="63" t="str">
        <f t="shared" si="74"/>
        <v>_</v>
      </c>
    </row>
    <row r="4742" spans="8:8">
      <c r="H4742" s="63" t="str">
        <f t="shared" si="74"/>
        <v>_</v>
      </c>
    </row>
    <row r="4743" spans="8:8">
      <c r="H4743" s="63" t="str">
        <f t="shared" si="74"/>
        <v>_</v>
      </c>
    </row>
    <row r="4744" spans="8:8">
      <c r="H4744" s="63" t="str">
        <f t="shared" si="74"/>
        <v>_</v>
      </c>
    </row>
    <row r="4745" spans="8:8">
      <c r="H4745" s="63" t="str">
        <f t="shared" si="74"/>
        <v>_</v>
      </c>
    </row>
    <row r="4746" spans="8:8">
      <c r="H4746" s="63" t="str">
        <f t="shared" si="74"/>
        <v>_</v>
      </c>
    </row>
    <row r="4747" spans="8:8">
      <c r="H4747" s="63" t="str">
        <f t="shared" si="74"/>
        <v>_</v>
      </c>
    </row>
    <row r="4748" spans="8:8">
      <c r="H4748" s="63" t="str">
        <f t="shared" si="74"/>
        <v>_</v>
      </c>
    </row>
    <row r="4749" spans="8:8">
      <c r="H4749" s="63" t="str">
        <f t="shared" si="74"/>
        <v>_</v>
      </c>
    </row>
    <row r="4750" spans="8:8">
      <c r="H4750" s="63" t="str">
        <f t="shared" si="74"/>
        <v>_</v>
      </c>
    </row>
    <row r="4751" spans="8:8">
      <c r="H4751" s="63" t="str">
        <f t="shared" si="74"/>
        <v>_</v>
      </c>
    </row>
    <row r="4752" spans="8:8">
      <c r="H4752" s="63" t="str">
        <f t="shared" si="74"/>
        <v>_</v>
      </c>
    </row>
    <row r="4753" spans="8:8">
      <c r="H4753" s="63" t="str">
        <f t="shared" si="74"/>
        <v>_</v>
      </c>
    </row>
    <row r="4754" spans="8:8">
      <c r="H4754" s="63" t="str">
        <f t="shared" si="74"/>
        <v>_</v>
      </c>
    </row>
    <row r="4755" spans="8:8">
      <c r="H4755" s="63" t="str">
        <f t="shared" si="74"/>
        <v>_</v>
      </c>
    </row>
    <row r="4756" spans="8:8">
      <c r="H4756" s="63" t="str">
        <f t="shared" si="74"/>
        <v>_</v>
      </c>
    </row>
    <row r="4757" spans="8:8">
      <c r="H4757" s="63" t="str">
        <f t="shared" si="74"/>
        <v>_</v>
      </c>
    </row>
    <row r="4758" spans="8:8">
      <c r="H4758" s="63" t="str">
        <f t="shared" si="74"/>
        <v>_</v>
      </c>
    </row>
    <row r="4759" spans="8:8">
      <c r="H4759" s="63" t="str">
        <f t="shared" si="74"/>
        <v>_</v>
      </c>
    </row>
    <row r="4760" spans="8:8">
      <c r="H4760" s="63" t="str">
        <f t="shared" si="74"/>
        <v>_</v>
      </c>
    </row>
    <row r="4761" spans="8:8">
      <c r="H4761" s="63" t="str">
        <f t="shared" si="74"/>
        <v>_</v>
      </c>
    </row>
    <row r="4762" spans="8:8">
      <c r="H4762" s="63" t="str">
        <f t="shared" si="74"/>
        <v>_</v>
      </c>
    </row>
    <row r="4763" spans="8:8">
      <c r="H4763" s="63" t="str">
        <f t="shared" si="74"/>
        <v>_</v>
      </c>
    </row>
    <row r="4764" spans="8:8">
      <c r="H4764" s="63" t="str">
        <f t="shared" si="74"/>
        <v>_</v>
      </c>
    </row>
    <row r="4765" spans="8:8">
      <c r="H4765" s="63" t="str">
        <f t="shared" si="74"/>
        <v>_</v>
      </c>
    </row>
    <row r="4766" spans="8:8">
      <c r="H4766" s="63" t="str">
        <f t="shared" si="74"/>
        <v>_</v>
      </c>
    </row>
    <row r="4767" spans="8:8">
      <c r="H4767" s="63" t="str">
        <f t="shared" si="74"/>
        <v>_</v>
      </c>
    </row>
    <row r="4768" spans="8:8">
      <c r="H4768" s="63" t="str">
        <f t="shared" si="74"/>
        <v>_</v>
      </c>
    </row>
    <row r="4769" spans="8:8">
      <c r="H4769" s="63" t="str">
        <f t="shared" si="74"/>
        <v>_</v>
      </c>
    </row>
    <row r="4770" spans="8:8">
      <c r="H4770" s="63" t="str">
        <f t="shared" si="74"/>
        <v>_</v>
      </c>
    </row>
    <row r="4771" spans="8:8">
      <c r="H4771" s="63" t="str">
        <f t="shared" si="74"/>
        <v>_</v>
      </c>
    </row>
    <row r="4772" spans="8:8">
      <c r="H4772" s="63" t="str">
        <f t="shared" si="74"/>
        <v>_</v>
      </c>
    </row>
    <row r="4773" spans="8:8">
      <c r="H4773" s="63" t="str">
        <f t="shared" si="74"/>
        <v>_</v>
      </c>
    </row>
    <row r="4774" spans="8:8">
      <c r="H4774" s="63" t="str">
        <f t="shared" si="74"/>
        <v>_</v>
      </c>
    </row>
    <row r="4775" spans="8:8">
      <c r="H4775" s="63" t="str">
        <f t="shared" si="74"/>
        <v>_</v>
      </c>
    </row>
    <row r="4776" spans="8:8">
      <c r="H4776" s="63" t="str">
        <f t="shared" si="74"/>
        <v>_</v>
      </c>
    </row>
    <row r="4777" spans="8:8">
      <c r="H4777" s="63" t="str">
        <f t="shared" si="74"/>
        <v>_</v>
      </c>
    </row>
    <row r="4778" spans="8:8">
      <c r="H4778" s="63" t="str">
        <f t="shared" si="74"/>
        <v>_</v>
      </c>
    </row>
    <row r="4779" spans="8:8">
      <c r="H4779" s="63" t="str">
        <f t="shared" si="74"/>
        <v>_</v>
      </c>
    </row>
    <row r="4780" spans="8:8">
      <c r="H4780" s="63" t="str">
        <f t="shared" si="74"/>
        <v>_</v>
      </c>
    </row>
    <row r="4781" spans="8:8">
      <c r="H4781" s="63" t="str">
        <f t="shared" si="74"/>
        <v>_</v>
      </c>
    </row>
    <row r="4782" spans="8:8">
      <c r="H4782" s="63" t="str">
        <f t="shared" si="74"/>
        <v>_</v>
      </c>
    </row>
    <row r="4783" spans="8:8">
      <c r="H4783" s="63" t="str">
        <f t="shared" si="74"/>
        <v>_</v>
      </c>
    </row>
    <row r="4784" spans="8:8">
      <c r="H4784" s="63" t="str">
        <f t="shared" si="74"/>
        <v>_</v>
      </c>
    </row>
    <row r="4785" spans="8:8">
      <c r="H4785" s="63" t="str">
        <f t="shared" si="74"/>
        <v>_</v>
      </c>
    </row>
    <row r="4786" spans="8:8">
      <c r="H4786" s="63" t="str">
        <f t="shared" si="74"/>
        <v>_</v>
      </c>
    </row>
    <row r="4787" spans="8:8">
      <c r="H4787" s="63" t="str">
        <f t="shared" si="74"/>
        <v>_</v>
      </c>
    </row>
    <row r="4788" spans="8:8">
      <c r="H4788" s="63" t="str">
        <f t="shared" si="74"/>
        <v>_</v>
      </c>
    </row>
    <row r="4789" spans="8:8">
      <c r="H4789" s="63" t="str">
        <f t="shared" si="74"/>
        <v>_</v>
      </c>
    </row>
    <row r="4790" spans="8:8">
      <c r="H4790" s="63" t="str">
        <f t="shared" si="74"/>
        <v>_</v>
      </c>
    </row>
    <row r="4791" spans="8:8">
      <c r="H4791" s="63" t="str">
        <f t="shared" si="74"/>
        <v>_</v>
      </c>
    </row>
    <row r="4792" spans="8:8">
      <c r="H4792" s="63" t="str">
        <f t="shared" si="74"/>
        <v>_</v>
      </c>
    </row>
    <row r="4793" spans="8:8">
      <c r="H4793" s="63" t="str">
        <f t="shared" si="74"/>
        <v>_</v>
      </c>
    </row>
    <row r="4794" spans="8:8">
      <c r="H4794" s="63" t="str">
        <f t="shared" si="74"/>
        <v>_</v>
      </c>
    </row>
    <row r="4795" spans="8:8">
      <c r="H4795" s="63" t="str">
        <f t="shared" si="74"/>
        <v>_</v>
      </c>
    </row>
    <row r="4796" spans="8:8">
      <c r="H4796" s="63" t="str">
        <f t="shared" si="74"/>
        <v>_</v>
      </c>
    </row>
    <row r="4797" spans="8:8">
      <c r="H4797" s="63" t="str">
        <f t="shared" si="74"/>
        <v>_</v>
      </c>
    </row>
    <row r="4798" spans="8:8">
      <c r="H4798" s="63" t="str">
        <f t="shared" si="74"/>
        <v>_</v>
      </c>
    </row>
    <row r="4799" spans="8:8">
      <c r="H4799" s="63" t="str">
        <f t="shared" si="74"/>
        <v>_</v>
      </c>
    </row>
    <row r="4800" spans="8:8">
      <c r="H4800" s="63" t="str">
        <f t="shared" si="74"/>
        <v>_</v>
      </c>
    </row>
    <row r="4801" spans="8:8">
      <c r="H4801" s="63" t="str">
        <f t="shared" si="74"/>
        <v>_</v>
      </c>
    </row>
    <row r="4802" spans="8:8">
      <c r="H4802" s="63" t="str">
        <f t="shared" si="74"/>
        <v>_</v>
      </c>
    </row>
    <row r="4803" spans="8:8">
      <c r="H4803" s="63" t="str">
        <f t="shared" ref="H4803:H4866" si="75">IF(OR(MID(A4803,6,10)="NASPP",MID(A4803,6,10)="RASPP"),"RNASPP",IF(OR(MID(A4803,6,10)="NSFAP",MID(A4803,6,10)="RSPOA"),"RNSPOA",IF(OR(A4803="ULGALLOC",A4803="ULSPOOL"),A4803,IF(MID(A4803,6,5)="ANSSP","ASSP1",MID(A4803,6,10)))))&amp;"_"&amp;B4803</f>
        <v>_</v>
      </c>
    </row>
    <row r="4804" spans="8:8">
      <c r="H4804" s="63" t="str">
        <f t="shared" si="75"/>
        <v>_</v>
      </c>
    </row>
    <row r="4805" spans="8:8">
      <c r="H4805" s="63" t="str">
        <f t="shared" si="75"/>
        <v>_</v>
      </c>
    </row>
    <row r="4806" spans="8:8">
      <c r="H4806" s="63" t="str">
        <f t="shared" si="75"/>
        <v>_</v>
      </c>
    </row>
    <row r="4807" spans="8:8">
      <c r="H4807" s="63" t="str">
        <f t="shared" si="75"/>
        <v>_</v>
      </c>
    </row>
    <row r="4808" spans="8:8">
      <c r="H4808" s="63" t="str">
        <f t="shared" si="75"/>
        <v>_</v>
      </c>
    </row>
    <row r="4809" spans="8:8">
      <c r="H4809" s="63" t="str">
        <f t="shared" si="75"/>
        <v>_</v>
      </c>
    </row>
    <row r="4810" spans="8:8">
      <c r="H4810" s="63" t="str">
        <f t="shared" si="75"/>
        <v>_</v>
      </c>
    </row>
    <row r="4811" spans="8:8">
      <c r="H4811" s="63" t="str">
        <f t="shared" si="75"/>
        <v>_</v>
      </c>
    </row>
    <row r="4812" spans="8:8">
      <c r="H4812" s="63" t="str">
        <f t="shared" si="75"/>
        <v>_</v>
      </c>
    </row>
    <row r="4813" spans="8:8">
      <c r="H4813" s="63" t="str">
        <f t="shared" si="75"/>
        <v>_</v>
      </c>
    </row>
    <row r="4814" spans="8:8">
      <c r="H4814" s="63" t="str">
        <f t="shared" si="75"/>
        <v>_</v>
      </c>
    </row>
    <row r="4815" spans="8:8">
      <c r="H4815" s="63" t="str">
        <f t="shared" si="75"/>
        <v>_</v>
      </c>
    </row>
    <row r="4816" spans="8:8">
      <c r="H4816" s="63" t="str">
        <f t="shared" si="75"/>
        <v>_</v>
      </c>
    </row>
    <row r="4817" spans="8:8">
      <c r="H4817" s="63" t="str">
        <f t="shared" si="75"/>
        <v>_</v>
      </c>
    </row>
    <row r="4818" spans="8:8">
      <c r="H4818" s="63" t="str">
        <f t="shared" si="75"/>
        <v>_</v>
      </c>
    </row>
    <row r="4819" spans="8:8">
      <c r="H4819" s="63" t="str">
        <f t="shared" si="75"/>
        <v>_</v>
      </c>
    </row>
    <row r="4820" spans="8:8">
      <c r="H4820" s="63" t="str">
        <f t="shared" si="75"/>
        <v>_</v>
      </c>
    </row>
    <row r="4821" spans="8:8">
      <c r="H4821" s="63" t="str">
        <f t="shared" si="75"/>
        <v>_</v>
      </c>
    </row>
    <row r="4822" spans="8:8">
      <c r="H4822" s="63" t="str">
        <f t="shared" si="75"/>
        <v>_</v>
      </c>
    </row>
    <row r="4823" spans="8:8">
      <c r="H4823" s="63" t="str">
        <f t="shared" si="75"/>
        <v>_</v>
      </c>
    </row>
    <row r="4824" spans="8:8">
      <c r="H4824" s="63" t="str">
        <f t="shared" si="75"/>
        <v>_</v>
      </c>
    </row>
    <row r="4825" spans="8:8">
      <c r="H4825" s="63" t="str">
        <f t="shared" si="75"/>
        <v>_</v>
      </c>
    </row>
    <row r="4826" spans="8:8">
      <c r="H4826" s="63" t="str">
        <f t="shared" si="75"/>
        <v>_</v>
      </c>
    </row>
    <row r="4827" spans="8:8">
      <c r="H4827" s="63" t="str">
        <f t="shared" si="75"/>
        <v>_</v>
      </c>
    </row>
    <row r="4828" spans="8:8">
      <c r="H4828" s="63" t="str">
        <f t="shared" si="75"/>
        <v>_</v>
      </c>
    </row>
    <row r="4829" spans="8:8">
      <c r="H4829" s="63" t="str">
        <f t="shared" si="75"/>
        <v>_</v>
      </c>
    </row>
    <row r="4830" spans="8:8">
      <c r="H4830" s="63" t="str">
        <f t="shared" si="75"/>
        <v>_</v>
      </c>
    </row>
    <row r="4831" spans="8:8">
      <c r="H4831" s="63" t="str">
        <f t="shared" si="75"/>
        <v>_</v>
      </c>
    </row>
    <row r="4832" spans="8:8">
      <c r="H4832" s="63" t="str">
        <f t="shared" si="75"/>
        <v>_</v>
      </c>
    </row>
    <row r="4833" spans="8:8">
      <c r="H4833" s="63" t="str">
        <f t="shared" si="75"/>
        <v>_</v>
      </c>
    </row>
    <row r="4834" spans="8:8">
      <c r="H4834" s="63" t="str">
        <f t="shared" si="75"/>
        <v>_</v>
      </c>
    </row>
    <row r="4835" spans="8:8">
      <c r="H4835" s="63" t="str">
        <f t="shared" si="75"/>
        <v>_</v>
      </c>
    </row>
    <row r="4836" spans="8:8">
      <c r="H4836" s="63" t="str">
        <f t="shared" si="75"/>
        <v>_</v>
      </c>
    </row>
    <row r="4837" spans="8:8">
      <c r="H4837" s="63" t="str">
        <f t="shared" si="75"/>
        <v>_</v>
      </c>
    </row>
    <row r="4838" spans="8:8">
      <c r="H4838" s="63" t="str">
        <f t="shared" si="75"/>
        <v>_</v>
      </c>
    </row>
    <row r="4839" spans="8:8">
      <c r="H4839" s="63" t="str">
        <f t="shared" si="75"/>
        <v>_</v>
      </c>
    </row>
    <row r="4840" spans="8:8">
      <c r="H4840" s="63" t="str">
        <f t="shared" si="75"/>
        <v>_</v>
      </c>
    </row>
    <row r="4841" spans="8:8">
      <c r="H4841" s="63" t="str">
        <f t="shared" si="75"/>
        <v>_</v>
      </c>
    </row>
    <row r="4842" spans="8:8">
      <c r="H4842" s="63" t="str">
        <f t="shared" si="75"/>
        <v>_</v>
      </c>
    </row>
    <row r="4843" spans="8:8">
      <c r="H4843" s="63" t="str">
        <f t="shared" si="75"/>
        <v>_</v>
      </c>
    </row>
    <row r="4844" spans="8:8">
      <c r="H4844" s="63" t="str">
        <f t="shared" si="75"/>
        <v>_</v>
      </c>
    </row>
    <row r="4845" spans="8:8">
      <c r="H4845" s="63" t="str">
        <f t="shared" si="75"/>
        <v>_</v>
      </c>
    </row>
    <row r="4846" spans="8:8">
      <c r="H4846" s="63" t="str">
        <f t="shared" si="75"/>
        <v>_</v>
      </c>
    </row>
    <row r="4847" spans="8:8">
      <c r="H4847" s="63" t="str">
        <f t="shared" si="75"/>
        <v>_</v>
      </c>
    </row>
    <row r="4848" spans="8:8">
      <c r="H4848" s="63" t="str">
        <f t="shared" si="75"/>
        <v>_</v>
      </c>
    </row>
    <row r="4849" spans="8:8">
      <c r="H4849" s="63" t="str">
        <f t="shared" si="75"/>
        <v>_</v>
      </c>
    </row>
    <row r="4850" spans="8:8">
      <c r="H4850" s="63" t="str">
        <f t="shared" si="75"/>
        <v>_</v>
      </c>
    </row>
    <row r="4851" spans="8:8">
      <c r="H4851" s="63" t="str">
        <f t="shared" si="75"/>
        <v>_</v>
      </c>
    </row>
    <row r="4852" spans="8:8">
      <c r="H4852" s="63" t="str">
        <f t="shared" si="75"/>
        <v>_</v>
      </c>
    </row>
    <row r="4853" spans="8:8">
      <c r="H4853" s="63" t="str">
        <f t="shared" si="75"/>
        <v>_</v>
      </c>
    </row>
    <row r="4854" spans="8:8">
      <c r="H4854" s="63" t="str">
        <f t="shared" si="75"/>
        <v>_</v>
      </c>
    </row>
    <row r="4855" spans="8:8">
      <c r="H4855" s="63" t="str">
        <f t="shared" si="75"/>
        <v>_</v>
      </c>
    </row>
    <row r="4856" spans="8:8">
      <c r="H4856" s="63" t="str">
        <f t="shared" si="75"/>
        <v>_</v>
      </c>
    </row>
    <row r="4857" spans="8:8">
      <c r="H4857" s="63" t="str">
        <f t="shared" si="75"/>
        <v>_</v>
      </c>
    </row>
    <row r="4858" spans="8:8">
      <c r="H4858" s="63" t="str">
        <f t="shared" si="75"/>
        <v>_</v>
      </c>
    </row>
    <row r="4859" spans="8:8">
      <c r="H4859" s="63" t="str">
        <f t="shared" si="75"/>
        <v>_</v>
      </c>
    </row>
    <row r="4860" spans="8:8">
      <c r="H4860" s="63" t="str">
        <f t="shared" si="75"/>
        <v>_</v>
      </c>
    </row>
    <row r="4861" spans="8:8">
      <c r="H4861" s="63" t="str">
        <f t="shared" si="75"/>
        <v>_</v>
      </c>
    </row>
    <row r="4862" spans="8:8">
      <c r="H4862" s="63" t="str">
        <f t="shared" si="75"/>
        <v>_</v>
      </c>
    </row>
    <row r="4863" spans="8:8">
      <c r="H4863" s="63" t="str">
        <f t="shared" si="75"/>
        <v>_</v>
      </c>
    </row>
    <row r="4864" spans="8:8">
      <c r="H4864" s="63" t="str">
        <f t="shared" si="75"/>
        <v>_</v>
      </c>
    </row>
    <row r="4865" spans="8:8">
      <c r="H4865" s="63" t="str">
        <f t="shared" si="75"/>
        <v>_</v>
      </c>
    </row>
    <row r="4866" spans="8:8">
      <c r="H4866" s="63" t="str">
        <f t="shared" si="75"/>
        <v>_</v>
      </c>
    </row>
    <row r="4867" spans="8:8">
      <c r="H4867" s="63" t="str">
        <f t="shared" ref="H4867:H4930" si="76">IF(OR(MID(A4867,6,10)="NASPP",MID(A4867,6,10)="RASPP"),"RNASPP",IF(OR(MID(A4867,6,10)="NSFAP",MID(A4867,6,10)="RSPOA"),"RNSPOA",IF(OR(A4867="ULGALLOC",A4867="ULSPOOL"),A4867,IF(MID(A4867,6,5)="ANSSP","ASSP1",MID(A4867,6,10)))))&amp;"_"&amp;B4867</f>
        <v>_</v>
      </c>
    </row>
    <row r="4868" spans="8:8">
      <c r="H4868" s="63" t="str">
        <f t="shared" si="76"/>
        <v>_</v>
      </c>
    </row>
    <row r="4869" spans="8:8">
      <c r="H4869" s="63" t="str">
        <f t="shared" si="76"/>
        <v>_</v>
      </c>
    </row>
    <row r="4870" spans="8:8">
      <c r="H4870" s="63" t="str">
        <f t="shared" si="76"/>
        <v>_</v>
      </c>
    </row>
    <row r="4871" spans="8:8">
      <c r="H4871" s="63" t="str">
        <f t="shared" si="76"/>
        <v>_</v>
      </c>
    </row>
    <row r="4872" spans="8:8">
      <c r="H4872" s="63" t="str">
        <f t="shared" si="76"/>
        <v>_</v>
      </c>
    </row>
    <row r="4873" spans="8:8">
      <c r="H4873" s="63" t="str">
        <f t="shared" si="76"/>
        <v>_</v>
      </c>
    </row>
    <row r="4874" spans="8:8">
      <c r="H4874" s="63" t="str">
        <f t="shared" si="76"/>
        <v>_</v>
      </c>
    </row>
    <row r="4875" spans="8:8">
      <c r="H4875" s="63" t="str">
        <f t="shared" si="76"/>
        <v>_</v>
      </c>
    </row>
    <row r="4876" spans="8:8">
      <c r="H4876" s="63" t="str">
        <f t="shared" si="76"/>
        <v>_</v>
      </c>
    </row>
    <row r="4877" spans="8:8">
      <c r="H4877" s="63" t="str">
        <f t="shared" si="76"/>
        <v>_</v>
      </c>
    </row>
    <row r="4878" spans="8:8">
      <c r="H4878" s="63" t="str">
        <f t="shared" si="76"/>
        <v>_</v>
      </c>
    </row>
    <row r="4879" spans="8:8">
      <c r="H4879" s="63" t="str">
        <f t="shared" si="76"/>
        <v>_</v>
      </c>
    </row>
    <row r="4880" spans="8:8">
      <c r="H4880" s="63" t="str">
        <f t="shared" si="76"/>
        <v>_</v>
      </c>
    </row>
    <row r="4881" spans="8:8">
      <c r="H4881" s="63" t="str">
        <f t="shared" si="76"/>
        <v>_</v>
      </c>
    </row>
    <row r="4882" spans="8:8">
      <c r="H4882" s="63" t="str">
        <f t="shared" si="76"/>
        <v>_</v>
      </c>
    </row>
    <row r="4883" spans="8:8">
      <c r="H4883" s="63" t="str">
        <f t="shared" si="76"/>
        <v>_</v>
      </c>
    </row>
    <row r="4884" spans="8:8">
      <c r="H4884" s="63" t="str">
        <f t="shared" si="76"/>
        <v>_</v>
      </c>
    </row>
    <row r="4885" spans="8:8">
      <c r="H4885" s="63" t="str">
        <f t="shared" si="76"/>
        <v>_</v>
      </c>
    </row>
    <row r="4886" spans="8:8">
      <c r="H4886" s="63" t="str">
        <f t="shared" si="76"/>
        <v>_</v>
      </c>
    </row>
    <row r="4887" spans="8:8">
      <c r="H4887" s="63" t="str">
        <f t="shared" si="76"/>
        <v>_</v>
      </c>
    </row>
    <row r="4888" spans="8:8">
      <c r="H4888" s="63" t="str">
        <f t="shared" si="76"/>
        <v>_</v>
      </c>
    </row>
    <row r="4889" spans="8:8">
      <c r="H4889" s="63" t="str">
        <f t="shared" si="76"/>
        <v>_</v>
      </c>
    </row>
    <row r="4890" spans="8:8">
      <c r="H4890" s="63" t="str">
        <f t="shared" si="76"/>
        <v>_</v>
      </c>
    </row>
    <row r="4891" spans="8:8">
      <c r="H4891" s="63" t="str">
        <f t="shared" si="76"/>
        <v>_</v>
      </c>
    </row>
    <row r="4892" spans="8:8">
      <c r="H4892" s="63" t="str">
        <f t="shared" si="76"/>
        <v>_</v>
      </c>
    </row>
    <row r="4893" spans="8:8">
      <c r="H4893" s="63" t="str">
        <f t="shared" si="76"/>
        <v>_</v>
      </c>
    </row>
    <row r="4894" spans="8:8">
      <c r="H4894" s="63" t="str">
        <f t="shared" si="76"/>
        <v>_</v>
      </c>
    </row>
    <row r="4895" spans="8:8">
      <c r="H4895" s="63" t="str">
        <f t="shared" si="76"/>
        <v>_</v>
      </c>
    </row>
    <row r="4896" spans="8:8">
      <c r="H4896" s="63" t="str">
        <f t="shared" si="76"/>
        <v>_</v>
      </c>
    </row>
    <row r="4897" spans="8:8">
      <c r="H4897" s="63" t="str">
        <f t="shared" si="76"/>
        <v>_</v>
      </c>
    </row>
    <row r="4898" spans="8:8">
      <c r="H4898" s="63" t="str">
        <f t="shared" si="76"/>
        <v>_</v>
      </c>
    </row>
    <row r="4899" spans="8:8">
      <c r="H4899" s="63" t="str">
        <f t="shared" si="76"/>
        <v>_</v>
      </c>
    </row>
    <row r="4900" spans="8:8">
      <c r="H4900" s="63" t="str">
        <f t="shared" si="76"/>
        <v>_</v>
      </c>
    </row>
    <row r="4901" spans="8:8">
      <c r="H4901" s="63" t="str">
        <f t="shared" si="76"/>
        <v>_</v>
      </c>
    </row>
    <row r="4902" spans="8:8">
      <c r="H4902" s="63" t="str">
        <f t="shared" si="76"/>
        <v>_</v>
      </c>
    </row>
    <row r="4903" spans="8:8">
      <c r="H4903" s="63" t="str">
        <f t="shared" si="76"/>
        <v>_</v>
      </c>
    </row>
    <row r="4904" spans="8:8">
      <c r="H4904" s="63" t="str">
        <f t="shared" si="76"/>
        <v>_</v>
      </c>
    </row>
    <row r="4905" spans="8:8">
      <c r="H4905" s="63" t="str">
        <f t="shared" si="76"/>
        <v>_</v>
      </c>
    </row>
    <row r="4906" spans="8:8">
      <c r="H4906" s="63" t="str">
        <f t="shared" si="76"/>
        <v>_</v>
      </c>
    </row>
    <row r="4907" spans="8:8">
      <c r="H4907" s="63" t="str">
        <f t="shared" si="76"/>
        <v>_</v>
      </c>
    </row>
    <row r="4908" spans="8:8">
      <c r="H4908" s="63" t="str">
        <f t="shared" si="76"/>
        <v>_</v>
      </c>
    </row>
    <row r="4909" spans="8:8">
      <c r="H4909" s="63" t="str">
        <f t="shared" si="76"/>
        <v>_</v>
      </c>
    </row>
    <row r="4910" spans="8:8">
      <c r="H4910" s="63" t="str">
        <f t="shared" si="76"/>
        <v>_</v>
      </c>
    </row>
    <row r="4911" spans="8:8">
      <c r="H4911" s="63" t="str">
        <f t="shared" si="76"/>
        <v>_</v>
      </c>
    </row>
    <row r="4912" spans="8:8">
      <c r="H4912" s="63" t="str">
        <f t="shared" si="76"/>
        <v>_</v>
      </c>
    </row>
    <row r="4913" spans="8:8">
      <c r="H4913" s="63" t="str">
        <f t="shared" si="76"/>
        <v>_</v>
      </c>
    </row>
    <row r="4914" spans="8:8">
      <c r="H4914" s="63" t="str">
        <f t="shared" si="76"/>
        <v>_</v>
      </c>
    </row>
    <row r="4915" spans="8:8">
      <c r="H4915" s="63" t="str">
        <f t="shared" si="76"/>
        <v>_</v>
      </c>
    </row>
    <row r="4916" spans="8:8">
      <c r="H4916" s="63" t="str">
        <f t="shared" si="76"/>
        <v>_</v>
      </c>
    </row>
    <row r="4917" spans="8:8">
      <c r="H4917" s="63" t="str">
        <f t="shared" si="76"/>
        <v>_</v>
      </c>
    </row>
    <row r="4918" spans="8:8">
      <c r="H4918" s="63" t="str">
        <f t="shared" si="76"/>
        <v>_</v>
      </c>
    </row>
    <row r="4919" spans="8:8">
      <c r="H4919" s="63" t="str">
        <f t="shared" si="76"/>
        <v>_</v>
      </c>
    </row>
    <row r="4920" spans="8:8">
      <c r="H4920" s="63" t="str">
        <f t="shared" si="76"/>
        <v>_</v>
      </c>
    </row>
    <row r="4921" spans="8:8">
      <c r="H4921" s="63" t="str">
        <f t="shared" si="76"/>
        <v>_</v>
      </c>
    </row>
    <row r="4922" spans="8:8">
      <c r="H4922" s="63" t="str">
        <f t="shared" si="76"/>
        <v>_</v>
      </c>
    </row>
    <row r="4923" spans="8:8">
      <c r="H4923" s="63" t="str">
        <f t="shared" si="76"/>
        <v>_</v>
      </c>
    </row>
    <row r="4924" spans="8:8">
      <c r="H4924" s="63" t="str">
        <f t="shared" si="76"/>
        <v>_</v>
      </c>
    </row>
    <row r="4925" spans="8:8">
      <c r="H4925" s="63" t="str">
        <f t="shared" si="76"/>
        <v>_</v>
      </c>
    </row>
    <row r="4926" spans="8:8">
      <c r="H4926" s="63" t="str">
        <f t="shared" si="76"/>
        <v>_</v>
      </c>
    </row>
    <row r="4927" spans="8:8">
      <c r="H4927" s="63" t="str">
        <f t="shared" si="76"/>
        <v>_</v>
      </c>
    </row>
    <row r="4928" spans="8:8">
      <c r="H4928" s="63" t="str">
        <f t="shared" si="76"/>
        <v>_</v>
      </c>
    </row>
    <row r="4929" spans="8:8">
      <c r="H4929" s="63" t="str">
        <f t="shared" si="76"/>
        <v>_</v>
      </c>
    </row>
    <row r="4930" spans="8:8">
      <c r="H4930" s="63" t="str">
        <f t="shared" si="76"/>
        <v>_</v>
      </c>
    </row>
    <row r="4931" spans="8:8">
      <c r="H4931" s="63" t="str">
        <f t="shared" ref="H4931:H4994" si="77">IF(OR(MID(A4931,6,10)="NASPP",MID(A4931,6,10)="RASPP"),"RNASPP",IF(OR(MID(A4931,6,10)="NSFAP",MID(A4931,6,10)="RSPOA"),"RNSPOA",IF(OR(A4931="ULGALLOC",A4931="ULSPOOL"),A4931,IF(MID(A4931,6,5)="ANSSP","ASSP1",MID(A4931,6,10)))))&amp;"_"&amp;B4931</f>
        <v>_</v>
      </c>
    </row>
    <row r="4932" spans="8:8">
      <c r="H4932" s="63" t="str">
        <f t="shared" si="77"/>
        <v>_</v>
      </c>
    </row>
    <row r="4933" spans="8:8">
      <c r="H4933" s="63" t="str">
        <f t="shared" si="77"/>
        <v>_</v>
      </c>
    </row>
    <row r="4934" spans="8:8">
      <c r="H4934" s="63" t="str">
        <f t="shared" si="77"/>
        <v>_</v>
      </c>
    </row>
    <row r="4935" spans="8:8">
      <c r="H4935" s="63" t="str">
        <f t="shared" si="77"/>
        <v>_</v>
      </c>
    </row>
    <row r="4936" spans="8:8">
      <c r="H4936" s="63" t="str">
        <f t="shared" si="77"/>
        <v>_</v>
      </c>
    </row>
    <row r="4937" spans="8:8">
      <c r="H4937" s="63" t="str">
        <f t="shared" si="77"/>
        <v>_</v>
      </c>
    </row>
    <row r="4938" spans="8:8">
      <c r="H4938" s="63" t="str">
        <f t="shared" si="77"/>
        <v>_</v>
      </c>
    </row>
    <row r="4939" spans="8:8">
      <c r="H4939" s="63" t="str">
        <f t="shared" si="77"/>
        <v>_</v>
      </c>
    </row>
    <row r="4940" spans="8:8">
      <c r="H4940" s="63" t="str">
        <f t="shared" si="77"/>
        <v>_</v>
      </c>
    </row>
    <row r="4941" spans="8:8">
      <c r="H4941" s="63" t="str">
        <f t="shared" si="77"/>
        <v>_</v>
      </c>
    </row>
    <row r="4942" spans="8:8">
      <c r="H4942" s="63" t="str">
        <f t="shared" si="77"/>
        <v>_</v>
      </c>
    </row>
    <row r="4943" spans="8:8">
      <c r="H4943" s="63" t="str">
        <f t="shared" si="77"/>
        <v>_</v>
      </c>
    </row>
    <row r="4944" spans="8:8">
      <c r="H4944" s="63" t="str">
        <f t="shared" si="77"/>
        <v>_</v>
      </c>
    </row>
    <row r="4945" spans="8:8">
      <c r="H4945" s="63" t="str">
        <f t="shared" si="77"/>
        <v>_</v>
      </c>
    </row>
    <row r="4946" spans="8:8">
      <c r="H4946" s="63" t="str">
        <f t="shared" si="77"/>
        <v>_</v>
      </c>
    </row>
    <row r="4947" spans="8:8">
      <c r="H4947" s="63" t="str">
        <f t="shared" si="77"/>
        <v>_</v>
      </c>
    </row>
    <row r="4948" spans="8:8">
      <c r="H4948" s="63" t="str">
        <f t="shared" si="77"/>
        <v>_</v>
      </c>
    </row>
    <row r="4949" spans="8:8">
      <c r="H4949" s="63" t="str">
        <f t="shared" si="77"/>
        <v>_</v>
      </c>
    </row>
    <row r="4950" spans="8:8">
      <c r="H4950" s="63" t="str">
        <f t="shared" si="77"/>
        <v>_</v>
      </c>
    </row>
    <row r="4951" spans="8:8">
      <c r="H4951" s="63" t="str">
        <f t="shared" si="77"/>
        <v>_</v>
      </c>
    </row>
    <row r="4952" spans="8:8">
      <c r="H4952" s="63" t="str">
        <f t="shared" si="77"/>
        <v>_</v>
      </c>
    </row>
    <row r="4953" spans="8:8">
      <c r="H4953" s="63" t="str">
        <f t="shared" si="77"/>
        <v>_</v>
      </c>
    </row>
    <row r="4954" spans="8:8">
      <c r="H4954" s="63" t="str">
        <f t="shared" si="77"/>
        <v>_</v>
      </c>
    </row>
    <row r="4955" spans="8:8">
      <c r="H4955" s="63" t="str">
        <f t="shared" si="77"/>
        <v>_</v>
      </c>
    </row>
    <row r="4956" spans="8:8">
      <c r="H4956" s="63" t="str">
        <f t="shared" si="77"/>
        <v>_</v>
      </c>
    </row>
    <row r="4957" spans="8:8">
      <c r="H4957" s="63" t="str">
        <f t="shared" si="77"/>
        <v>_</v>
      </c>
    </row>
    <row r="4958" spans="8:8">
      <c r="H4958" s="63" t="str">
        <f t="shared" si="77"/>
        <v>_</v>
      </c>
    </row>
    <row r="4959" spans="8:8">
      <c r="H4959" s="63" t="str">
        <f t="shared" si="77"/>
        <v>_</v>
      </c>
    </row>
    <row r="4960" spans="8:8">
      <c r="H4960" s="63" t="str">
        <f t="shared" si="77"/>
        <v>_</v>
      </c>
    </row>
    <row r="4961" spans="8:8">
      <c r="H4961" s="63" t="str">
        <f t="shared" si="77"/>
        <v>_</v>
      </c>
    </row>
    <row r="4962" spans="8:8">
      <c r="H4962" s="63" t="str">
        <f t="shared" si="77"/>
        <v>_</v>
      </c>
    </row>
    <row r="4963" spans="8:8">
      <c r="H4963" s="63" t="str">
        <f t="shared" si="77"/>
        <v>_</v>
      </c>
    </row>
    <row r="4964" spans="8:8">
      <c r="H4964" s="63" t="str">
        <f t="shared" si="77"/>
        <v>_</v>
      </c>
    </row>
    <row r="4965" spans="8:8">
      <c r="H4965" s="63" t="str">
        <f t="shared" si="77"/>
        <v>_</v>
      </c>
    </row>
    <row r="4966" spans="8:8">
      <c r="H4966" s="63" t="str">
        <f t="shared" si="77"/>
        <v>_</v>
      </c>
    </row>
    <row r="4967" spans="8:8">
      <c r="H4967" s="63" t="str">
        <f t="shared" si="77"/>
        <v>_</v>
      </c>
    </row>
    <row r="4968" spans="8:8">
      <c r="H4968" s="63" t="str">
        <f t="shared" si="77"/>
        <v>_</v>
      </c>
    </row>
    <row r="4969" spans="8:8">
      <c r="H4969" s="63" t="str">
        <f t="shared" si="77"/>
        <v>_</v>
      </c>
    </row>
    <row r="4970" spans="8:8">
      <c r="H4970" s="63" t="str">
        <f t="shared" si="77"/>
        <v>_</v>
      </c>
    </row>
    <row r="4971" spans="8:8">
      <c r="H4971" s="63" t="str">
        <f t="shared" si="77"/>
        <v>_</v>
      </c>
    </row>
    <row r="4972" spans="8:8">
      <c r="H4972" s="63" t="str">
        <f t="shared" si="77"/>
        <v>_</v>
      </c>
    </row>
    <row r="4973" spans="8:8">
      <c r="H4973" s="63" t="str">
        <f t="shared" si="77"/>
        <v>_</v>
      </c>
    </row>
    <row r="4974" spans="8:8">
      <c r="H4974" s="63" t="str">
        <f t="shared" si="77"/>
        <v>_</v>
      </c>
    </row>
    <row r="4975" spans="8:8">
      <c r="H4975" s="63" t="str">
        <f t="shared" si="77"/>
        <v>_</v>
      </c>
    </row>
    <row r="4976" spans="8:8">
      <c r="H4976" s="63" t="str">
        <f t="shared" si="77"/>
        <v>_</v>
      </c>
    </row>
    <row r="4977" spans="8:8">
      <c r="H4977" s="63" t="str">
        <f t="shared" si="77"/>
        <v>_</v>
      </c>
    </row>
    <row r="4978" spans="8:8">
      <c r="H4978" s="63" t="str">
        <f t="shared" si="77"/>
        <v>_</v>
      </c>
    </row>
    <row r="4979" spans="8:8">
      <c r="H4979" s="63" t="str">
        <f t="shared" si="77"/>
        <v>_</v>
      </c>
    </row>
    <row r="4980" spans="8:8">
      <c r="H4980" s="63" t="str">
        <f t="shared" si="77"/>
        <v>_</v>
      </c>
    </row>
    <row r="4981" spans="8:8">
      <c r="H4981" s="63" t="str">
        <f t="shared" si="77"/>
        <v>_</v>
      </c>
    </row>
    <row r="4982" spans="8:8">
      <c r="H4982" s="63" t="str">
        <f t="shared" si="77"/>
        <v>_</v>
      </c>
    </row>
    <row r="4983" spans="8:8">
      <c r="H4983" s="63" t="str">
        <f t="shared" si="77"/>
        <v>_</v>
      </c>
    </row>
    <row r="4984" spans="8:8">
      <c r="H4984" s="63" t="str">
        <f t="shared" si="77"/>
        <v>_</v>
      </c>
    </row>
    <row r="4985" spans="8:8">
      <c r="H4985" s="63" t="str">
        <f t="shared" si="77"/>
        <v>_</v>
      </c>
    </row>
    <row r="4986" spans="8:8">
      <c r="H4986" s="63" t="str">
        <f t="shared" si="77"/>
        <v>_</v>
      </c>
    </row>
    <row r="4987" spans="8:8">
      <c r="H4987" s="63" t="str">
        <f t="shared" si="77"/>
        <v>_</v>
      </c>
    </row>
    <row r="4988" spans="8:8">
      <c r="H4988" s="63" t="str">
        <f t="shared" si="77"/>
        <v>_</v>
      </c>
    </row>
    <row r="4989" spans="8:8">
      <c r="H4989" s="63" t="str">
        <f t="shared" si="77"/>
        <v>_</v>
      </c>
    </row>
    <row r="4990" spans="8:8">
      <c r="H4990" s="63" t="str">
        <f t="shared" si="77"/>
        <v>_</v>
      </c>
    </row>
    <row r="4991" spans="8:8">
      <c r="H4991" s="63" t="str">
        <f t="shared" si="77"/>
        <v>_</v>
      </c>
    </row>
    <row r="4992" spans="8:8">
      <c r="H4992" s="63" t="str">
        <f t="shared" si="77"/>
        <v>_</v>
      </c>
    </row>
    <row r="4993" spans="8:8">
      <c r="H4993" s="63" t="str">
        <f t="shared" si="77"/>
        <v>_</v>
      </c>
    </row>
    <row r="4994" spans="8:8">
      <c r="H4994" s="63" t="str">
        <f t="shared" si="77"/>
        <v>_</v>
      </c>
    </row>
    <row r="4995" spans="8:8">
      <c r="H4995" s="63" t="str">
        <f t="shared" ref="H4995:H5000" si="78">IF(OR(MID(A4995,6,10)="NASPP",MID(A4995,6,10)="RASPP"),"RNASPP",IF(OR(MID(A4995,6,10)="NSFAP",MID(A4995,6,10)="RSPOA"),"RNSPOA",IF(OR(A4995="ULGALLOC",A4995="ULSPOOL"),A4995,IF(MID(A4995,6,5)="ANSSP","ASSP1",MID(A4995,6,10)))))&amp;"_"&amp;B4995</f>
        <v>_</v>
      </c>
    </row>
    <row r="4996" spans="8:8">
      <c r="H4996" s="63" t="str">
        <f t="shared" si="78"/>
        <v>_</v>
      </c>
    </row>
    <row r="4997" spans="8:8">
      <c r="H4997" s="63" t="str">
        <f t="shared" si="78"/>
        <v>_</v>
      </c>
    </row>
    <row r="4998" spans="8:8">
      <c r="H4998" s="63" t="str">
        <f t="shared" si="78"/>
        <v>_</v>
      </c>
    </row>
    <row r="4999" spans="8:8">
      <c r="H4999" s="63" t="str">
        <f t="shared" si="78"/>
        <v>_</v>
      </c>
    </row>
    <row r="5000" spans="8:8">
      <c r="H5000" s="63" t="str">
        <f t="shared" si="78"/>
        <v>_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54508-0717-4CC5-A0CA-B881FD07ABD0}">
  <sheetPr codeName="Sheet4"/>
  <dimension ref="A1:H5000"/>
  <sheetViews>
    <sheetView zoomScale="77" workbookViewId="0">
      <selection sqref="A1:F1048576"/>
    </sheetView>
  </sheetViews>
  <sheetFormatPr defaultRowHeight="15"/>
  <cols>
    <col min="7" max="8" width="17.140625" bestFit="1" customWidth="1"/>
  </cols>
  <sheetData>
    <row r="1" spans="1:8">
      <c r="A1" t="s">
        <v>453</v>
      </c>
      <c r="B1" t="s">
        <v>581</v>
      </c>
      <c r="C1" t="s">
        <v>582</v>
      </c>
      <c r="D1" t="s">
        <v>456</v>
      </c>
      <c r="E1" t="s">
        <v>583</v>
      </c>
      <c r="G1" s="64"/>
      <c r="H1" s="64" t="s">
        <v>459</v>
      </c>
    </row>
    <row r="2" spans="1:8">
      <c r="A2" t="s">
        <v>255</v>
      </c>
      <c r="B2" t="s">
        <v>461</v>
      </c>
      <c r="C2">
        <v>138349</v>
      </c>
      <c r="D2">
        <v>0</v>
      </c>
      <c r="E2">
        <v>13530758517321</v>
      </c>
      <c r="G2" s="63" t="str">
        <f>IF(OR(A2="RID_PB77",A2="RID_PB77A3"),"WPCI77",IF(A2="RIDTCIAS","CSCI49",IF(A2="RID_HCPTM","CHCPT_",IF(LEFT(A2,1)="C",A2,MID(A2,6,LEN(A2)-5)))))</f>
        <v>CCBPC3</v>
      </c>
      <c r="H2" s="63" t="str">
        <f>IF(OR(G2="MJG1",G2="MJG2"),"MJG",G2)&amp;"_"&amp;B2</f>
        <v>CCBPC3_IDR</v>
      </c>
    </row>
    <row r="3" spans="1:8">
      <c r="A3" t="s">
        <v>274</v>
      </c>
      <c r="B3" t="s">
        <v>461</v>
      </c>
      <c r="C3">
        <v>78</v>
      </c>
      <c r="D3">
        <v>3108228863.6402001</v>
      </c>
      <c r="E3">
        <v>17786941146</v>
      </c>
      <c r="G3" s="63" t="str">
        <f t="shared" ref="G3:G66" si="0">IF(OR(A3="RID_PB77",A3="RID_PB77A3"),"WPCI77",IF(A3="RIDTCIAS","CSCI49",IF(A3="RID_HCPTM","CHCPT_",IF(LEFT(A3,1)="C",A3,MID(A3,6,LEN(A3)-5)))))</f>
        <v>CCBKP_</v>
      </c>
      <c r="H3" s="63" t="str">
        <f t="shared" ref="H3:H66" si="1">IF(OR(G3="MJG1",G3="MJG2"),"MJG",G3)&amp;"_"&amp;B3</f>
        <v>CCBKP__IDR</v>
      </c>
    </row>
    <row r="4" spans="1:8">
      <c r="A4" t="s">
        <v>283</v>
      </c>
      <c r="B4" t="s">
        <v>461</v>
      </c>
      <c r="C4">
        <v>2313</v>
      </c>
      <c r="D4">
        <v>17292368504.599998</v>
      </c>
      <c r="E4">
        <v>129649639000</v>
      </c>
      <c r="G4" s="63" t="str">
        <f t="shared" si="0"/>
        <v>CCWSR_</v>
      </c>
      <c r="H4" s="63" t="str">
        <f t="shared" si="1"/>
        <v>CCWSR__IDR</v>
      </c>
    </row>
    <row r="5" spans="1:8">
      <c r="A5" t="s">
        <v>277</v>
      </c>
      <c r="B5" t="s">
        <v>461</v>
      </c>
      <c r="C5">
        <v>125</v>
      </c>
      <c r="D5">
        <v>2643688411</v>
      </c>
      <c r="E5">
        <v>12735626656</v>
      </c>
      <c r="G5" s="63" t="str">
        <f t="shared" si="0"/>
        <v>CCBKR_</v>
      </c>
      <c r="H5" s="63" t="str">
        <f t="shared" si="1"/>
        <v>CCBKR__IDR</v>
      </c>
    </row>
    <row r="6" spans="1:8">
      <c r="A6" t="s">
        <v>261</v>
      </c>
      <c r="B6" t="s">
        <v>461</v>
      </c>
      <c r="C6">
        <v>7064</v>
      </c>
      <c r="D6">
        <v>35400817472.600403</v>
      </c>
      <c r="E6">
        <v>1430385446251</v>
      </c>
      <c r="G6" s="63" t="str">
        <f t="shared" si="0"/>
        <v>CCWSA_</v>
      </c>
      <c r="H6" s="63" t="str">
        <f t="shared" si="1"/>
        <v>CCWSA__IDR</v>
      </c>
    </row>
    <row r="7" spans="1:8">
      <c r="A7" t="s">
        <v>258</v>
      </c>
      <c r="B7" t="s">
        <v>461</v>
      </c>
      <c r="C7">
        <v>126745</v>
      </c>
      <c r="D7">
        <v>1365749213133.78</v>
      </c>
      <c r="E7">
        <v>8209689263238</v>
      </c>
      <c r="G7" s="63" t="str">
        <f t="shared" si="0"/>
        <v>CCBPCN</v>
      </c>
      <c r="H7" s="63" t="str">
        <f t="shared" si="1"/>
        <v>CCBPCN_IDR</v>
      </c>
    </row>
    <row r="8" spans="1:8">
      <c r="A8" t="s">
        <v>286</v>
      </c>
      <c r="B8" t="s">
        <v>461</v>
      </c>
      <c r="C8">
        <v>44261</v>
      </c>
      <c r="D8">
        <v>250743189660.25</v>
      </c>
      <c r="E8">
        <v>2477152385050</v>
      </c>
      <c r="G8" s="63" t="str">
        <f t="shared" si="0"/>
        <v>CCPBMT</v>
      </c>
      <c r="H8" s="63" t="str">
        <f t="shared" si="1"/>
        <v>CCPBMT_IDR</v>
      </c>
    </row>
    <row r="9" spans="1:8">
      <c r="A9" t="s">
        <v>264</v>
      </c>
      <c r="B9" t="s">
        <v>461</v>
      </c>
      <c r="C9">
        <v>87</v>
      </c>
      <c r="D9">
        <v>116978450</v>
      </c>
      <c r="E9">
        <v>11666000000</v>
      </c>
      <c r="G9" s="63" t="str">
        <f t="shared" si="0"/>
        <v>CCBKA_</v>
      </c>
      <c r="H9" s="63" t="str">
        <f t="shared" si="1"/>
        <v>CCBKA__IDR</v>
      </c>
    </row>
    <row r="10" spans="1:8">
      <c r="A10" t="s">
        <v>2306</v>
      </c>
      <c r="B10" t="s">
        <v>461</v>
      </c>
      <c r="C10">
        <v>4</v>
      </c>
      <c r="D10">
        <v>35582080</v>
      </c>
      <c r="E10">
        <v>358000000</v>
      </c>
      <c r="G10" s="63" t="str">
        <f t="shared" si="0"/>
        <v>CCMTPC</v>
      </c>
      <c r="H10" s="63" t="str">
        <f t="shared" si="1"/>
        <v>CCMTPC_IDR</v>
      </c>
    </row>
    <row r="11" spans="1:8">
      <c r="A11" t="s">
        <v>2309</v>
      </c>
      <c r="B11" t="s">
        <v>461</v>
      </c>
      <c r="C11">
        <v>10</v>
      </c>
      <c r="D11">
        <v>20836020</v>
      </c>
      <c r="E11">
        <v>1103000000</v>
      </c>
      <c r="G11" s="63" t="str">
        <f t="shared" si="0"/>
        <v>CCMBSI</v>
      </c>
      <c r="H11" s="63" t="str">
        <f t="shared" si="1"/>
        <v>CCMBSI_IDR</v>
      </c>
    </row>
    <row r="12" spans="1:8">
      <c r="A12" t="s">
        <v>2310</v>
      </c>
      <c r="B12" t="s">
        <v>461</v>
      </c>
      <c r="C12">
        <v>187</v>
      </c>
      <c r="D12">
        <v>4981517382.5248404</v>
      </c>
      <c r="E12">
        <v>20385500000</v>
      </c>
      <c r="G12" s="63" t="str">
        <f t="shared" si="0"/>
        <v>CCPBSI</v>
      </c>
      <c r="H12" s="63" t="str">
        <f t="shared" si="1"/>
        <v>CCPBSI_IDR</v>
      </c>
    </row>
    <row r="13" spans="1:8">
      <c r="A13" t="s">
        <v>347</v>
      </c>
      <c r="B13" t="s">
        <v>461</v>
      </c>
      <c r="C13">
        <v>8</v>
      </c>
      <c r="D13">
        <v>28056000</v>
      </c>
      <c r="E13">
        <v>2666000000</v>
      </c>
      <c r="G13" s="63" t="str">
        <f t="shared" si="0"/>
        <v>CCMTA_</v>
      </c>
      <c r="H13" s="63" t="str">
        <f t="shared" si="1"/>
        <v>CCMTA__IDR</v>
      </c>
    </row>
    <row r="14" spans="1:8">
      <c r="A14" t="s">
        <v>595</v>
      </c>
      <c r="B14" t="s">
        <v>461</v>
      </c>
      <c r="C14">
        <v>10865</v>
      </c>
      <c r="D14">
        <v>16842154769</v>
      </c>
      <c r="E14">
        <v>141294900000</v>
      </c>
      <c r="G14" s="63" t="str">
        <f t="shared" si="0"/>
        <v>ESP</v>
      </c>
      <c r="H14" s="63" t="str">
        <f t="shared" si="1"/>
        <v>ESP_IDR</v>
      </c>
    </row>
    <row r="15" spans="1:8">
      <c r="A15" t="s">
        <v>584</v>
      </c>
      <c r="B15" t="s">
        <v>461</v>
      </c>
      <c r="C15">
        <v>21723</v>
      </c>
      <c r="D15">
        <v>956427028852.75806</v>
      </c>
      <c r="E15">
        <v>43814571248820</v>
      </c>
      <c r="G15" s="63" t="str">
        <f t="shared" si="0"/>
        <v>AZLGC</v>
      </c>
      <c r="H15" s="63" t="str">
        <f t="shared" si="1"/>
        <v>AZLGC_IDR</v>
      </c>
    </row>
    <row r="16" spans="1:8">
      <c r="A16" t="s">
        <v>587</v>
      </c>
      <c r="B16" t="s">
        <v>461</v>
      </c>
      <c r="C16">
        <v>12629</v>
      </c>
      <c r="D16">
        <v>32170200000</v>
      </c>
      <c r="E16">
        <v>1340425000000</v>
      </c>
      <c r="G16" s="63" t="str">
        <f t="shared" si="0"/>
        <v>MJG1</v>
      </c>
      <c r="H16" s="63" t="str">
        <f t="shared" si="1"/>
        <v>MJG_IDR</v>
      </c>
    </row>
    <row r="17" spans="1:8">
      <c r="A17" t="s">
        <v>602</v>
      </c>
      <c r="B17" t="s">
        <v>461</v>
      </c>
      <c r="C17">
        <v>10772</v>
      </c>
      <c r="D17">
        <v>41097600000</v>
      </c>
      <c r="E17">
        <v>1335870000000</v>
      </c>
      <c r="G17" s="63" t="str">
        <f t="shared" si="0"/>
        <v>MPSPL</v>
      </c>
      <c r="H17" s="63" t="str">
        <f t="shared" si="1"/>
        <v>MPSPL_IDR</v>
      </c>
    </row>
    <row r="18" spans="1:8">
      <c r="A18" t="s">
        <v>604</v>
      </c>
      <c r="B18" t="s">
        <v>461</v>
      </c>
      <c r="C18">
        <v>331</v>
      </c>
      <c r="D18">
        <v>64720000000</v>
      </c>
      <c r="E18">
        <v>96864200000</v>
      </c>
      <c r="G18" s="63" t="str">
        <f t="shared" si="0"/>
        <v>GPINS</v>
      </c>
      <c r="H18" s="63" t="str">
        <f t="shared" si="1"/>
        <v>GPINS_IDR</v>
      </c>
    </row>
    <row r="19" spans="1:8">
      <c r="A19" t="s">
        <v>590</v>
      </c>
      <c r="B19" t="s">
        <v>461</v>
      </c>
      <c r="C19">
        <v>1666</v>
      </c>
      <c r="D19">
        <v>1819897334.04</v>
      </c>
      <c r="E19">
        <v>32074855358</v>
      </c>
      <c r="G19" s="63" t="str">
        <f t="shared" si="0"/>
        <v>WPCI77</v>
      </c>
      <c r="H19" s="63" t="str">
        <f t="shared" si="1"/>
        <v>WPCI77_IDR</v>
      </c>
    </row>
    <row r="20" spans="1:8">
      <c r="A20" t="s">
        <v>606</v>
      </c>
      <c r="B20" t="s">
        <v>461</v>
      </c>
      <c r="C20">
        <v>971</v>
      </c>
      <c r="D20">
        <v>43417478982.327599</v>
      </c>
      <c r="E20">
        <v>1778907180325</v>
      </c>
      <c r="G20" s="63" t="str">
        <f t="shared" si="0"/>
        <v>GLGC</v>
      </c>
      <c r="H20" s="63" t="str">
        <f t="shared" si="1"/>
        <v>GLGC_IDR</v>
      </c>
    </row>
    <row r="21" spans="1:8">
      <c r="A21" t="s">
        <v>2319</v>
      </c>
      <c r="B21" t="s">
        <v>461</v>
      </c>
      <c r="C21">
        <v>988</v>
      </c>
      <c r="D21">
        <v>122187000000</v>
      </c>
      <c r="E21">
        <v>122187000000</v>
      </c>
      <c r="G21" s="63" t="str">
        <f t="shared" si="0"/>
        <v>HIPP</v>
      </c>
      <c r="H21" s="63" t="str">
        <f t="shared" si="1"/>
        <v>HIPP_IDR</v>
      </c>
    </row>
    <row r="22" spans="1:8">
      <c r="A22" t="s">
        <v>656</v>
      </c>
      <c r="B22" t="s">
        <v>461</v>
      </c>
      <c r="C22">
        <v>611</v>
      </c>
      <c r="D22">
        <v>233126304824</v>
      </c>
      <c r="E22">
        <v>2631451900000</v>
      </c>
      <c r="G22" s="63" t="str">
        <f t="shared" si="0"/>
        <v>HPRLA</v>
      </c>
      <c r="H22" s="63" t="str">
        <f t="shared" si="1"/>
        <v>HPRLA_IDR</v>
      </c>
    </row>
    <row r="23" spans="1:8">
      <c r="A23" t="s">
        <v>586</v>
      </c>
      <c r="B23" t="s">
        <v>461</v>
      </c>
      <c r="C23">
        <v>2827</v>
      </c>
      <c r="D23">
        <v>126244506400.069</v>
      </c>
      <c r="E23">
        <v>5259612852564</v>
      </c>
      <c r="G23" s="63" t="str">
        <f t="shared" si="0"/>
        <v>MLGC</v>
      </c>
      <c r="H23" s="63" t="str">
        <f t="shared" si="1"/>
        <v>MLGC_IDR</v>
      </c>
    </row>
    <row r="24" spans="1:8">
      <c r="A24" t="s">
        <v>611</v>
      </c>
      <c r="B24" t="s">
        <v>461</v>
      </c>
      <c r="C24">
        <v>568</v>
      </c>
      <c r="D24">
        <v>28564464894.7551</v>
      </c>
      <c r="E24">
        <v>1204077020001</v>
      </c>
      <c r="G24" s="63" t="str">
        <f t="shared" si="0"/>
        <v>ALGCP</v>
      </c>
      <c r="H24" s="63" t="str">
        <f t="shared" si="1"/>
        <v>ALGCP_IDR</v>
      </c>
    </row>
    <row r="25" spans="1:8">
      <c r="A25" t="s">
        <v>611</v>
      </c>
      <c r="B25" t="s">
        <v>462</v>
      </c>
      <c r="C25">
        <v>73</v>
      </c>
      <c r="D25">
        <v>624147.96</v>
      </c>
      <c r="E25">
        <v>16627500</v>
      </c>
      <c r="G25" s="63" t="str">
        <f t="shared" si="0"/>
        <v>ALGCP</v>
      </c>
      <c r="H25" s="63" t="str">
        <f t="shared" si="1"/>
        <v>ALGCP_USD</v>
      </c>
    </row>
    <row r="26" spans="1:8">
      <c r="A26" t="s">
        <v>586</v>
      </c>
      <c r="B26" t="s">
        <v>462</v>
      </c>
      <c r="C26">
        <v>132</v>
      </c>
      <c r="D26">
        <v>1365256.23</v>
      </c>
      <c r="E26">
        <v>30525820</v>
      </c>
      <c r="G26" s="63" t="str">
        <f t="shared" si="0"/>
        <v>MLGC</v>
      </c>
      <c r="H26" s="63" t="str">
        <f t="shared" si="1"/>
        <v>MLGC_USD</v>
      </c>
    </row>
    <row r="27" spans="1:8">
      <c r="A27" t="s">
        <v>584</v>
      </c>
      <c r="B27" t="s">
        <v>462</v>
      </c>
      <c r="C27">
        <v>288</v>
      </c>
      <c r="D27">
        <v>3570837.97</v>
      </c>
      <c r="E27">
        <v>103238830</v>
      </c>
      <c r="G27" s="63" t="str">
        <f t="shared" si="0"/>
        <v>AZLGC</v>
      </c>
      <c r="H27" s="63" t="str">
        <f t="shared" si="1"/>
        <v>AZLGC_USD</v>
      </c>
    </row>
    <row r="28" spans="1:8">
      <c r="A28" t="s">
        <v>588</v>
      </c>
      <c r="B28" t="s">
        <v>461</v>
      </c>
      <c r="C28">
        <v>2408</v>
      </c>
      <c r="D28">
        <v>5885537599</v>
      </c>
      <c r="E28">
        <v>330553600000</v>
      </c>
      <c r="G28" s="63" t="str">
        <f t="shared" si="0"/>
        <v>EXP</v>
      </c>
      <c r="H28" s="63" t="str">
        <f t="shared" si="1"/>
        <v>EXP_IDR</v>
      </c>
    </row>
    <row r="29" spans="1:8">
      <c r="A29" t="s">
        <v>612</v>
      </c>
      <c r="B29" t="s">
        <v>461</v>
      </c>
      <c r="C29">
        <v>138</v>
      </c>
      <c r="D29">
        <v>73019096</v>
      </c>
      <c r="E29">
        <v>552592266</v>
      </c>
      <c r="G29" s="63" t="str">
        <f t="shared" si="0"/>
        <v>WPCI77</v>
      </c>
      <c r="H29" s="63" t="str">
        <f t="shared" si="1"/>
        <v>WPCI77_IDR</v>
      </c>
    </row>
    <row r="30" spans="1:8">
      <c r="A30" t="s">
        <v>605</v>
      </c>
      <c r="B30" t="s">
        <v>462</v>
      </c>
      <c r="C30">
        <v>410</v>
      </c>
      <c r="D30">
        <v>7739717</v>
      </c>
      <c r="E30">
        <v>10209145</v>
      </c>
      <c r="G30" s="63" t="str">
        <f t="shared" si="0"/>
        <v>MPINS</v>
      </c>
      <c r="H30" s="63" t="str">
        <f t="shared" si="1"/>
        <v>MPINS_USD</v>
      </c>
    </row>
    <row r="31" spans="1:8">
      <c r="A31" t="s">
        <v>603</v>
      </c>
      <c r="B31" t="s">
        <v>462</v>
      </c>
      <c r="C31">
        <v>155</v>
      </c>
      <c r="D31">
        <v>3447950</v>
      </c>
      <c r="E31">
        <v>4571777</v>
      </c>
      <c r="G31" s="63" t="str">
        <f t="shared" si="0"/>
        <v>HPINS</v>
      </c>
      <c r="H31" s="63" t="str">
        <f t="shared" si="1"/>
        <v>HPINS_USD</v>
      </c>
    </row>
    <row r="32" spans="1:8">
      <c r="A32" t="s">
        <v>591</v>
      </c>
      <c r="B32" t="s">
        <v>461</v>
      </c>
      <c r="C32">
        <v>1390</v>
      </c>
      <c r="D32">
        <v>3772343654</v>
      </c>
      <c r="E32">
        <v>158857200000</v>
      </c>
      <c r="G32" s="63" t="str">
        <f t="shared" si="0"/>
        <v>SX</v>
      </c>
      <c r="H32" s="63" t="str">
        <f t="shared" si="1"/>
        <v>SX_IDR</v>
      </c>
    </row>
    <row r="33" spans="1:8">
      <c r="A33" t="s">
        <v>605</v>
      </c>
      <c r="B33" t="s">
        <v>461</v>
      </c>
      <c r="C33">
        <v>383</v>
      </c>
      <c r="D33">
        <v>93700000000</v>
      </c>
      <c r="E33">
        <v>144207000000</v>
      </c>
      <c r="G33" s="63" t="str">
        <f t="shared" si="0"/>
        <v>MPINS</v>
      </c>
      <c r="H33" s="63" t="str">
        <f t="shared" si="1"/>
        <v>MPINS_IDR</v>
      </c>
    </row>
    <row r="34" spans="1:8">
      <c r="A34" t="s">
        <v>596</v>
      </c>
      <c r="B34" t="s">
        <v>461</v>
      </c>
      <c r="C34">
        <v>5436</v>
      </c>
      <c r="D34">
        <v>17451001969</v>
      </c>
      <c r="E34">
        <v>121961300000</v>
      </c>
      <c r="G34" s="63" t="str">
        <f t="shared" si="0"/>
        <v>EFP</v>
      </c>
      <c r="H34" s="63" t="str">
        <f t="shared" si="1"/>
        <v>EFP_IDR</v>
      </c>
    </row>
    <row r="35" spans="1:8">
      <c r="A35" t="s">
        <v>622</v>
      </c>
      <c r="B35" t="s">
        <v>461</v>
      </c>
      <c r="C35">
        <v>11</v>
      </c>
      <c r="D35">
        <v>16200000</v>
      </c>
      <c r="E35">
        <v>1350000000</v>
      </c>
      <c r="G35" s="63" t="str">
        <f t="shared" si="0"/>
        <v>MJS1</v>
      </c>
      <c r="H35" s="63" t="str">
        <f t="shared" si="1"/>
        <v>MJS1_IDR</v>
      </c>
    </row>
    <row r="36" spans="1:8">
      <c r="A36" t="s">
        <v>598</v>
      </c>
      <c r="B36" t="s">
        <v>462</v>
      </c>
      <c r="C36">
        <v>5</v>
      </c>
      <c r="D36">
        <v>52112.75</v>
      </c>
      <c r="E36">
        <v>145000</v>
      </c>
      <c r="G36" s="63" t="str">
        <f t="shared" si="0"/>
        <v>MYF50</v>
      </c>
      <c r="H36" s="63" t="str">
        <f t="shared" si="1"/>
        <v>MYF50_USD</v>
      </c>
    </row>
    <row r="37" spans="1:8">
      <c r="A37" t="s">
        <v>617</v>
      </c>
      <c r="B37" t="s">
        <v>461</v>
      </c>
      <c r="C37">
        <v>44</v>
      </c>
      <c r="D37">
        <v>12400000000</v>
      </c>
      <c r="E37">
        <v>19073100000</v>
      </c>
      <c r="G37" s="63" t="str">
        <f t="shared" si="0"/>
        <v>APINS</v>
      </c>
      <c r="H37" s="63" t="str">
        <f t="shared" si="1"/>
        <v>APINS_IDR</v>
      </c>
    </row>
    <row r="38" spans="1:8">
      <c r="A38" t="s">
        <v>603</v>
      </c>
      <c r="B38" t="s">
        <v>461</v>
      </c>
      <c r="C38">
        <v>120</v>
      </c>
      <c r="D38">
        <v>34570000000</v>
      </c>
      <c r="E38">
        <v>50452900000</v>
      </c>
      <c r="G38" s="63" t="str">
        <f t="shared" si="0"/>
        <v>HPINS</v>
      </c>
      <c r="H38" s="63" t="str">
        <f t="shared" si="1"/>
        <v>HPINS_IDR</v>
      </c>
    </row>
    <row r="39" spans="1:8">
      <c r="A39" t="s">
        <v>592</v>
      </c>
      <c r="B39" t="s">
        <v>461</v>
      </c>
      <c r="C39">
        <v>272</v>
      </c>
      <c r="D39">
        <v>676596489</v>
      </c>
      <c r="E39">
        <v>23574000000</v>
      </c>
      <c r="G39" s="63" t="str">
        <f t="shared" si="0"/>
        <v>EWP</v>
      </c>
      <c r="H39" s="63" t="str">
        <f t="shared" si="1"/>
        <v>EWP_IDR</v>
      </c>
    </row>
    <row r="40" spans="1:8">
      <c r="A40" t="s">
        <v>589</v>
      </c>
      <c r="B40" t="s">
        <v>461</v>
      </c>
      <c r="C40">
        <v>3682</v>
      </c>
      <c r="D40">
        <v>7151513119</v>
      </c>
      <c r="E40">
        <v>59142200000</v>
      </c>
      <c r="G40" s="63" t="str">
        <f t="shared" si="0"/>
        <v>ECP</v>
      </c>
      <c r="H40" s="63" t="str">
        <f t="shared" si="1"/>
        <v>ECP_IDR</v>
      </c>
    </row>
    <row r="41" spans="1:8">
      <c r="A41" t="s">
        <v>608</v>
      </c>
      <c r="B41" t="s">
        <v>461</v>
      </c>
      <c r="C41">
        <v>944</v>
      </c>
      <c r="D41">
        <v>2760600000</v>
      </c>
      <c r="E41">
        <v>115025000000</v>
      </c>
      <c r="G41" s="63" t="str">
        <f t="shared" si="0"/>
        <v>MJG2</v>
      </c>
      <c r="H41" s="63" t="str">
        <f t="shared" si="1"/>
        <v>MJG_IDR</v>
      </c>
    </row>
    <row r="42" spans="1:8">
      <c r="A42" t="s">
        <v>604</v>
      </c>
      <c r="B42" t="s">
        <v>462</v>
      </c>
      <c r="C42">
        <v>66</v>
      </c>
      <c r="D42">
        <v>1400500</v>
      </c>
      <c r="E42">
        <v>1840165</v>
      </c>
      <c r="G42" s="63" t="str">
        <f t="shared" si="0"/>
        <v>GPINS</v>
      </c>
      <c r="H42" s="63" t="str">
        <f t="shared" si="1"/>
        <v>GPINS_USD</v>
      </c>
    </row>
    <row r="43" spans="1:8">
      <c r="A43" t="s">
        <v>615</v>
      </c>
      <c r="B43" t="s">
        <v>461</v>
      </c>
      <c r="C43">
        <v>2976</v>
      </c>
      <c r="D43">
        <v>78589778620</v>
      </c>
      <c r="E43">
        <v>1326353587394</v>
      </c>
      <c r="G43" s="63" t="str">
        <f t="shared" si="0"/>
        <v>AZPST</v>
      </c>
      <c r="H43" s="63" t="str">
        <f t="shared" si="1"/>
        <v>AZPST_IDR</v>
      </c>
    </row>
    <row r="44" spans="1:8">
      <c r="A44" t="s">
        <v>596</v>
      </c>
      <c r="B44" t="s">
        <v>462</v>
      </c>
      <c r="C44">
        <v>221</v>
      </c>
      <c r="D44">
        <v>580760.56000000006</v>
      </c>
      <c r="E44">
        <v>2805120</v>
      </c>
      <c r="G44" s="63" t="str">
        <f t="shared" si="0"/>
        <v>EFP</v>
      </c>
      <c r="H44" s="63" t="str">
        <f t="shared" si="1"/>
        <v>EFP_USD</v>
      </c>
    </row>
    <row r="45" spans="1:8">
      <c r="A45" t="s">
        <v>610</v>
      </c>
      <c r="B45" t="s">
        <v>461</v>
      </c>
      <c r="C45">
        <v>3169</v>
      </c>
      <c r="D45">
        <v>5568600000</v>
      </c>
      <c r="E45">
        <v>185355000000</v>
      </c>
      <c r="G45" s="63" t="str">
        <f t="shared" si="0"/>
        <v>EZPL</v>
      </c>
      <c r="H45" s="63" t="str">
        <f t="shared" si="1"/>
        <v>EZPL_IDR</v>
      </c>
    </row>
    <row r="46" spans="1:8">
      <c r="A46" t="s">
        <v>606</v>
      </c>
      <c r="B46" t="s">
        <v>462</v>
      </c>
      <c r="C46">
        <v>25</v>
      </c>
      <c r="D46">
        <v>144671</v>
      </c>
      <c r="E46">
        <v>3884020</v>
      </c>
      <c r="G46" s="63" t="str">
        <f t="shared" si="0"/>
        <v>GLGC</v>
      </c>
      <c r="H46" s="63" t="str">
        <f t="shared" si="1"/>
        <v>GLGC_USD</v>
      </c>
    </row>
    <row r="47" spans="1:8">
      <c r="A47" t="s">
        <v>609</v>
      </c>
      <c r="B47" t="s">
        <v>461</v>
      </c>
      <c r="C47">
        <v>9</v>
      </c>
      <c r="D47">
        <v>278930000</v>
      </c>
      <c r="E47">
        <v>56000000000</v>
      </c>
      <c r="G47" s="63" t="str">
        <f t="shared" si="0"/>
        <v>HPLA</v>
      </c>
      <c r="H47" s="63" t="str">
        <f t="shared" si="1"/>
        <v>HPLA_IDR</v>
      </c>
    </row>
    <row r="48" spans="1:8">
      <c r="A48" t="s">
        <v>593</v>
      </c>
      <c r="B48" t="s">
        <v>461</v>
      </c>
      <c r="C48">
        <v>1196</v>
      </c>
      <c r="D48">
        <v>3742658337</v>
      </c>
      <c r="E48">
        <v>105503071873</v>
      </c>
      <c r="G48" s="63" t="str">
        <f t="shared" si="0"/>
        <v>MYPRO</v>
      </c>
      <c r="H48" s="63" t="str">
        <f t="shared" si="1"/>
        <v>MYPRO_IDR</v>
      </c>
    </row>
    <row r="49" spans="1:8">
      <c r="A49" t="s">
        <v>599</v>
      </c>
      <c r="B49" t="s">
        <v>461</v>
      </c>
      <c r="C49">
        <v>2736</v>
      </c>
      <c r="D49">
        <v>8466689687</v>
      </c>
      <c r="E49">
        <v>46944200000</v>
      </c>
      <c r="G49" s="63" t="str">
        <f t="shared" si="0"/>
        <v>EUP</v>
      </c>
      <c r="H49" s="63" t="str">
        <f t="shared" si="1"/>
        <v>EUP_IDR</v>
      </c>
    </row>
    <row r="50" spans="1:8">
      <c r="A50" t="s">
        <v>613</v>
      </c>
      <c r="B50" t="s">
        <v>461</v>
      </c>
      <c r="C50">
        <v>557</v>
      </c>
      <c r="D50">
        <v>69290135346</v>
      </c>
      <c r="E50">
        <v>226435645226</v>
      </c>
      <c r="G50" s="63" t="str">
        <f t="shared" si="0"/>
        <v>CLLGC</v>
      </c>
      <c r="H50" s="63" t="str">
        <f t="shared" si="1"/>
        <v>CLLGC_IDR</v>
      </c>
    </row>
    <row r="51" spans="1:8">
      <c r="A51" t="s">
        <v>594</v>
      </c>
      <c r="B51" t="s">
        <v>461</v>
      </c>
      <c r="C51">
        <v>530</v>
      </c>
      <c r="D51">
        <v>2701797335</v>
      </c>
      <c r="E51">
        <v>21524500000</v>
      </c>
      <c r="G51" s="63" t="str">
        <f t="shared" si="0"/>
        <v>FR55</v>
      </c>
      <c r="H51" s="63" t="str">
        <f t="shared" si="1"/>
        <v>FR55_IDR</v>
      </c>
    </row>
    <row r="52" spans="1:8">
      <c r="A52" t="s">
        <v>2298</v>
      </c>
      <c r="B52" t="s">
        <v>461</v>
      </c>
      <c r="C52">
        <v>31</v>
      </c>
      <c r="D52">
        <v>93200000</v>
      </c>
      <c r="E52">
        <v>3487500000</v>
      </c>
      <c r="G52" s="63" t="str">
        <f t="shared" si="0"/>
        <v>EZPLD</v>
      </c>
      <c r="H52" s="63" t="str">
        <f t="shared" si="1"/>
        <v>EZPLD_IDR</v>
      </c>
    </row>
    <row r="53" spans="1:8">
      <c r="A53" t="s">
        <v>593</v>
      </c>
      <c r="B53" t="s">
        <v>462</v>
      </c>
      <c r="C53">
        <v>19</v>
      </c>
      <c r="D53">
        <v>46671.8</v>
      </c>
      <c r="E53">
        <v>717000</v>
      </c>
      <c r="G53" s="63" t="str">
        <f t="shared" si="0"/>
        <v>MYPRO</v>
      </c>
      <c r="H53" s="63" t="str">
        <f t="shared" si="1"/>
        <v>MYPRO_USD</v>
      </c>
    </row>
    <row r="54" spans="1:8">
      <c r="A54" t="s">
        <v>607</v>
      </c>
      <c r="B54" t="s">
        <v>461</v>
      </c>
      <c r="C54">
        <v>4</v>
      </c>
      <c r="D54">
        <v>30000000</v>
      </c>
      <c r="E54">
        <v>2068000000</v>
      </c>
      <c r="G54" s="63" t="str">
        <f t="shared" si="0"/>
        <v>JLIFE</v>
      </c>
      <c r="H54" s="63" t="str">
        <f t="shared" si="1"/>
        <v>JLIFE_IDR</v>
      </c>
    </row>
    <row r="55" spans="1:8">
      <c r="A55" t="s">
        <v>595</v>
      </c>
      <c r="B55" t="s">
        <v>462</v>
      </c>
      <c r="C55">
        <v>117</v>
      </c>
      <c r="D55">
        <v>138926.24</v>
      </c>
      <c r="E55">
        <v>789800</v>
      </c>
      <c r="G55" s="63" t="str">
        <f t="shared" si="0"/>
        <v>ESP</v>
      </c>
      <c r="H55" s="63" t="str">
        <f t="shared" si="1"/>
        <v>ESP_USD</v>
      </c>
    </row>
    <row r="56" spans="1:8">
      <c r="A56" t="s">
        <v>617</v>
      </c>
      <c r="B56" t="s">
        <v>462</v>
      </c>
      <c r="C56">
        <v>20</v>
      </c>
      <c r="D56">
        <v>756000</v>
      </c>
      <c r="E56">
        <v>1011060</v>
      </c>
      <c r="G56" s="63" t="str">
        <f t="shared" si="0"/>
        <v>APINS</v>
      </c>
      <c r="H56" s="63" t="str">
        <f t="shared" si="1"/>
        <v>APINS_USD</v>
      </c>
    </row>
    <row r="57" spans="1:8">
      <c r="A57" t="s">
        <v>598</v>
      </c>
      <c r="B57" t="s">
        <v>461</v>
      </c>
      <c r="C57">
        <v>192</v>
      </c>
      <c r="D57">
        <v>1403592494</v>
      </c>
      <c r="E57">
        <v>10422100000</v>
      </c>
      <c r="G57" s="63" t="str">
        <f t="shared" si="0"/>
        <v>MYF50</v>
      </c>
      <c r="H57" s="63" t="str">
        <f t="shared" si="1"/>
        <v>MYF50_IDR</v>
      </c>
    </row>
    <row r="58" spans="1:8">
      <c r="A58" t="s">
        <v>2500</v>
      </c>
      <c r="B58" t="s">
        <v>461</v>
      </c>
      <c r="C58">
        <v>36</v>
      </c>
      <c r="D58">
        <v>12413472950</v>
      </c>
      <c r="E58">
        <v>147760000000</v>
      </c>
      <c r="G58" s="63" t="str">
        <f t="shared" si="0"/>
        <v>MYFUT</v>
      </c>
      <c r="H58" s="63" t="str">
        <f t="shared" si="1"/>
        <v>MYFUT_IDR</v>
      </c>
    </row>
    <row r="59" spans="1:8">
      <c r="A59" t="s">
        <v>588</v>
      </c>
      <c r="B59" t="s">
        <v>462</v>
      </c>
      <c r="C59">
        <v>151</v>
      </c>
      <c r="D59">
        <v>208360.24</v>
      </c>
      <c r="E59">
        <v>4519400</v>
      </c>
      <c r="G59" s="63" t="str">
        <f t="shared" si="0"/>
        <v>EXP</v>
      </c>
      <c r="H59" s="63" t="str">
        <f t="shared" si="1"/>
        <v>EXP_USD</v>
      </c>
    </row>
    <row r="60" spans="1:8">
      <c r="A60" t="s">
        <v>591</v>
      </c>
      <c r="B60" t="s">
        <v>462</v>
      </c>
      <c r="C60">
        <v>53</v>
      </c>
      <c r="D60">
        <v>102566.26</v>
      </c>
      <c r="E60">
        <v>1559500</v>
      </c>
      <c r="G60" s="63" t="str">
        <f t="shared" si="0"/>
        <v>SX</v>
      </c>
      <c r="H60" s="63" t="str">
        <f t="shared" si="1"/>
        <v>SX_USD</v>
      </c>
    </row>
    <row r="61" spans="1:8">
      <c r="A61" t="s">
        <v>614</v>
      </c>
      <c r="B61" t="s">
        <v>461</v>
      </c>
      <c r="C61">
        <v>46</v>
      </c>
      <c r="D61">
        <v>100883624</v>
      </c>
      <c r="E61">
        <v>4299000000</v>
      </c>
      <c r="G61" s="63" t="str">
        <f t="shared" si="0"/>
        <v>PSX</v>
      </c>
      <c r="H61" s="63" t="str">
        <f t="shared" si="1"/>
        <v>PSX_IDR</v>
      </c>
    </row>
    <row r="62" spans="1:8">
      <c r="A62" t="s">
        <v>599</v>
      </c>
      <c r="B62" t="s">
        <v>462</v>
      </c>
      <c r="C62">
        <v>96</v>
      </c>
      <c r="D62">
        <v>209310.34</v>
      </c>
      <c r="E62">
        <v>782800</v>
      </c>
      <c r="G62" s="63" t="str">
        <f t="shared" si="0"/>
        <v>EUP</v>
      </c>
      <c r="H62" s="63" t="str">
        <f t="shared" si="1"/>
        <v>EUP_USD</v>
      </c>
    </row>
    <row r="63" spans="1:8">
      <c r="A63" t="s">
        <v>620</v>
      </c>
      <c r="B63" t="s">
        <v>461</v>
      </c>
      <c r="C63">
        <v>425</v>
      </c>
      <c r="D63">
        <v>1697797769</v>
      </c>
      <c r="E63">
        <v>12574700000</v>
      </c>
      <c r="G63" s="63" t="str">
        <f t="shared" si="0"/>
        <v>SF</v>
      </c>
      <c r="H63" s="63" t="str">
        <f t="shared" si="1"/>
        <v>SF_IDR</v>
      </c>
    </row>
    <row r="64" spans="1:8">
      <c r="A64" t="s">
        <v>624</v>
      </c>
      <c r="B64" t="s">
        <v>461</v>
      </c>
      <c r="C64">
        <v>1082</v>
      </c>
      <c r="D64">
        <v>5196368965.9099998</v>
      </c>
      <c r="E64">
        <v>28367660886</v>
      </c>
      <c r="G64" s="63" t="str">
        <f t="shared" si="0"/>
        <v>MYEDU</v>
      </c>
      <c r="H64" s="63" t="str">
        <f t="shared" si="1"/>
        <v>MYEDU_IDR</v>
      </c>
    </row>
    <row r="65" spans="1:8">
      <c r="A65" t="s">
        <v>626</v>
      </c>
      <c r="B65" t="s">
        <v>461</v>
      </c>
      <c r="C65">
        <v>36</v>
      </c>
      <c r="D65">
        <v>239277223</v>
      </c>
      <c r="E65">
        <v>1190212855</v>
      </c>
      <c r="G65" s="63" t="str">
        <f t="shared" si="0"/>
        <v>MYF60</v>
      </c>
      <c r="H65" s="63" t="str">
        <f t="shared" si="1"/>
        <v>MYF60_IDR</v>
      </c>
    </row>
    <row r="66" spans="1:8">
      <c r="A66" t="s">
        <v>585</v>
      </c>
      <c r="B66" t="s">
        <v>461</v>
      </c>
      <c r="C66">
        <v>159</v>
      </c>
      <c r="D66">
        <v>20741131990</v>
      </c>
      <c r="E66">
        <v>120203000000</v>
      </c>
      <c r="G66" s="63" t="str">
        <f t="shared" si="0"/>
        <v>FRC50</v>
      </c>
      <c r="H66" s="63" t="str">
        <f t="shared" si="1"/>
        <v>FRC50_IDR</v>
      </c>
    </row>
    <row r="67" spans="1:8">
      <c r="A67" t="s">
        <v>597</v>
      </c>
      <c r="B67" t="s">
        <v>461</v>
      </c>
      <c r="C67">
        <v>1361</v>
      </c>
      <c r="D67">
        <v>5832637458</v>
      </c>
      <c r="E67">
        <v>55454125000</v>
      </c>
      <c r="G67" s="63" t="str">
        <f t="shared" ref="G67:G130" si="2">IF(OR(A67="RID_PB77",A67="RID_PB77A3"),"WPCI77",IF(A67="RIDTCIAS","CSCI49",IF(A67="RID_HCPTM","CHCPT_",IF(LEFT(A67,1)="C",A67,MID(A67,6,LEN(A67)-5)))))</f>
        <v>FR50</v>
      </c>
      <c r="H67" s="63" t="str">
        <f t="shared" ref="H67:H130" si="3">IF(OR(G67="MJG1",G67="MJG2"),"MJG",G67)&amp;"_"&amp;B67</f>
        <v>FR50_IDR</v>
      </c>
    </row>
    <row r="68" spans="1:8">
      <c r="A68" t="s">
        <v>620</v>
      </c>
      <c r="B68" t="s">
        <v>462</v>
      </c>
      <c r="C68">
        <v>10</v>
      </c>
      <c r="D68">
        <v>26048.75</v>
      </c>
      <c r="E68">
        <v>124600</v>
      </c>
      <c r="G68" s="63" t="str">
        <f t="shared" si="2"/>
        <v>SF</v>
      </c>
      <c r="H68" s="63" t="str">
        <f t="shared" si="3"/>
        <v>SF_USD</v>
      </c>
    </row>
    <row r="69" spans="1:8">
      <c r="A69" t="s">
        <v>639</v>
      </c>
      <c r="B69" t="s">
        <v>462</v>
      </c>
      <c r="C69">
        <v>6</v>
      </c>
      <c r="D69">
        <v>14295.99</v>
      </c>
      <c r="E69">
        <v>46500</v>
      </c>
      <c r="G69" s="63" t="str">
        <f t="shared" si="2"/>
        <v>SU</v>
      </c>
      <c r="H69" s="63" t="str">
        <f t="shared" si="3"/>
        <v>SU_USD</v>
      </c>
    </row>
    <row r="70" spans="1:8">
      <c r="A70" t="s">
        <v>594</v>
      </c>
      <c r="B70" t="s">
        <v>462</v>
      </c>
      <c r="C70">
        <v>27</v>
      </c>
      <c r="D70">
        <v>84415.16</v>
      </c>
      <c r="E70">
        <v>298700</v>
      </c>
      <c r="G70" s="63" t="str">
        <f t="shared" si="2"/>
        <v>FR55</v>
      </c>
      <c r="H70" s="63" t="str">
        <f t="shared" si="3"/>
        <v>FR55_USD</v>
      </c>
    </row>
    <row r="71" spans="1:8">
      <c r="A71" t="s">
        <v>625</v>
      </c>
      <c r="B71" t="s">
        <v>461</v>
      </c>
      <c r="C71">
        <v>24</v>
      </c>
      <c r="D71">
        <v>989405200</v>
      </c>
      <c r="E71">
        <v>6657880815</v>
      </c>
      <c r="G71" s="63" t="str">
        <f t="shared" si="2"/>
        <v>MWKU</v>
      </c>
      <c r="H71" s="63" t="str">
        <f t="shared" si="3"/>
        <v>MWKU_IDR</v>
      </c>
    </row>
    <row r="72" spans="1:8">
      <c r="A72" t="s">
        <v>628</v>
      </c>
      <c r="B72" t="s">
        <v>462</v>
      </c>
      <c r="C72">
        <v>4</v>
      </c>
      <c r="D72">
        <v>16534.439999999999</v>
      </c>
      <c r="E72">
        <v>118000</v>
      </c>
      <c r="G72" s="63" t="str">
        <f t="shared" si="2"/>
        <v>PSF</v>
      </c>
      <c r="H72" s="63" t="str">
        <f t="shared" si="3"/>
        <v>PSF_USD</v>
      </c>
    </row>
    <row r="73" spans="1:8">
      <c r="A73" t="s">
        <v>618</v>
      </c>
      <c r="B73" t="s">
        <v>461</v>
      </c>
      <c r="C73">
        <v>377</v>
      </c>
      <c r="D73">
        <v>900416040</v>
      </c>
      <c r="E73">
        <v>8135500000</v>
      </c>
      <c r="G73" s="63" t="str">
        <f t="shared" si="2"/>
        <v>SE</v>
      </c>
      <c r="H73" s="63" t="str">
        <f t="shared" si="3"/>
        <v>SE_IDR</v>
      </c>
    </row>
    <row r="74" spans="1:8">
      <c r="A74" t="s">
        <v>589</v>
      </c>
      <c r="B74" t="s">
        <v>462</v>
      </c>
      <c r="C74">
        <v>84</v>
      </c>
      <c r="D74">
        <v>201031.5</v>
      </c>
      <c r="E74">
        <v>868000</v>
      </c>
      <c r="G74" s="63" t="str">
        <f t="shared" si="2"/>
        <v>ECP</v>
      </c>
      <c r="H74" s="63" t="str">
        <f t="shared" si="3"/>
        <v>ECP_USD</v>
      </c>
    </row>
    <row r="75" spans="1:8">
      <c r="A75" t="s">
        <v>619</v>
      </c>
      <c r="B75" t="s">
        <v>461</v>
      </c>
      <c r="C75">
        <v>180</v>
      </c>
      <c r="D75">
        <v>1252931207</v>
      </c>
      <c r="E75">
        <v>7250599051</v>
      </c>
      <c r="G75" s="63" t="str">
        <f t="shared" si="2"/>
        <v>MYF55</v>
      </c>
      <c r="H75" s="63" t="str">
        <f t="shared" si="3"/>
        <v>MYF55_IDR</v>
      </c>
    </row>
    <row r="76" spans="1:8">
      <c r="A76" t="s">
        <v>631</v>
      </c>
      <c r="B76" t="s">
        <v>461</v>
      </c>
      <c r="C76">
        <v>2522</v>
      </c>
      <c r="D76">
        <v>473749855</v>
      </c>
      <c r="E76">
        <v>5338900000</v>
      </c>
      <c r="G76" s="63" t="str">
        <f t="shared" si="2"/>
        <v>PL</v>
      </c>
      <c r="H76" s="63" t="str">
        <f t="shared" si="3"/>
        <v>PL_IDR</v>
      </c>
    </row>
    <row r="77" spans="1:8">
      <c r="A77" t="s">
        <v>630</v>
      </c>
      <c r="B77" t="s">
        <v>461</v>
      </c>
      <c r="C77">
        <v>9916</v>
      </c>
      <c r="D77">
        <v>4277120293</v>
      </c>
      <c r="E77">
        <v>40759850000</v>
      </c>
      <c r="G77" s="63" t="str">
        <f t="shared" si="2"/>
        <v>BSA</v>
      </c>
      <c r="H77" s="63" t="str">
        <f t="shared" si="3"/>
        <v>BSA_IDR</v>
      </c>
    </row>
    <row r="78" spans="1:8">
      <c r="A78" t="s">
        <v>632</v>
      </c>
      <c r="B78" t="s">
        <v>461</v>
      </c>
      <c r="C78">
        <v>553</v>
      </c>
      <c r="D78">
        <v>964336373</v>
      </c>
      <c r="E78">
        <v>7283100000</v>
      </c>
      <c r="G78" s="63" t="str">
        <f t="shared" si="2"/>
        <v>SS</v>
      </c>
      <c r="H78" s="63" t="str">
        <f t="shared" si="3"/>
        <v>SS_IDR</v>
      </c>
    </row>
    <row r="79" spans="1:8">
      <c r="A79" t="s">
        <v>642</v>
      </c>
      <c r="B79" t="s">
        <v>461</v>
      </c>
      <c r="C79">
        <v>89</v>
      </c>
      <c r="D79">
        <v>423754256</v>
      </c>
      <c r="E79">
        <v>3438200000</v>
      </c>
      <c r="G79" s="63" t="str">
        <f t="shared" si="2"/>
        <v>FR60</v>
      </c>
      <c r="H79" s="63" t="str">
        <f t="shared" si="3"/>
        <v>FR60_IDR</v>
      </c>
    </row>
    <row r="80" spans="1:8">
      <c r="A80" t="s">
        <v>629</v>
      </c>
      <c r="B80" t="s">
        <v>461</v>
      </c>
      <c r="C80">
        <v>3353</v>
      </c>
      <c r="D80">
        <v>1586885620</v>
      </c>
      <c r="E80">
        <v>16747600000</v>
      </c>
      <c r="G80" s="63" t="str">
        <f t="shared" si="2"/>
        <v>BEA</v>
      </c>
      <c r="H80" s="63" t="str">
        <f t="shared" si="3"/>
        <v>BEA_IDR</v>
      </c>
    </row>
    <row r="81" spans="1:8">
      <c r="A81" t="s">
        <v>600</v>
      </c>
      <c r="B81" t="s">
        <v>461</v>
      </c>
      <c r="C81">
        <v>1146</v>
      </c>
      <c r="D81">
        <v>94135724830</v>
      </c>
      <c r="E81">
        <v>805485227644</v>
      </c>
      <c r="G81" s="63" t="str">
        <f t="shared" si="2"/>
        <v>HPST</v>
      </c>
      <c r="H81" s="63" t="str">
        <f t="shared" si="3"/>
        <v>HPST_IDR</v>
      </c>
    </row>
    <row r="82" spans="1:8">
      <c r="A82" t="s">
        <v>640</v>
      </c>
      <c r="B82" t="s">
        <v>461</v>
      </c>
      <c r="C82">
        <v>49</v>
      </c>
      <c r="D82">
        <v>95573888</v>
      </c>
      <c r="E82">
        <v>625000000</v>
      </c>
      <c r="G82" s="63" t="str">
        <f t="shared" si="2"/>
        <v>PSU</v>
      </c>
      <c r="H82" s="63" t="str">
        <f t="shared" si="3"/>
        <v>PSU_IDR</v>
      </c>
    </row>
    <row r="83" spans="1:8">
      <c r="A83" t="s">
        <v>633</v>
      </c>
      <c r="B83" t="s">
        <v>461</v>
      </c>
      <c r="C83">
        <v>179</v>
      </c>
      <c r="D83">
        <v>5353981630</v>
      </c>
      <c r="E83">
        <v>69111000000</v>
      </c>
      <c r="G83" s="63" t="str">
        <f t="shared" si="2"/>
        <v>ALSP</v>
      </c>
      <c r="H83" s="63" t="str">
        <f t="shared" si="3"/>
        <v>ALSP_IDR</v>
      </c>
    </row>
    <row r="84" spans="1:8">
      <c r="A84" t="s">
        <v>641</v>
      </c>
      <c r="B84" t="s">
        <v>461</v>
      </c>
      <c r="C84">
        <v>171</v>
      </c>
      <c r="D84">
        <v>57802068</v>
      </c>
      <c r="E84">
        <v>919500000</v>
      </c>
      <c r="G84" s="63" t="str">
        <f t="shared" si="2"/>
        <v>PLA</v>
      </c>
      <c r="H84" s="63" t="str">
        <f t="shared" si="3"/>
        <v>PLA_IDR</v>
      </c>
    </row>
    <row r="85" spans="1:8">
      <c r="A85" t="s">
        <v>639</v>
      </c>
      <c r="B85" t="s">
        <v>461</v>
      </c>
      <c r="C85">
        <v>198</v>
      </c>
      <c r="D85">
        <v>800711566</v>
      </c>
      <c r="E85">
        <v>4108700000</v>
      </c>
      <c r="G85" s="63" t="str">
        <f t="shared" si="2"/>
        <v>SU</v>
      </c>
      <c r="H85" s="63" t="str">
        <f t="shared" si="3"/>
        <v>SU_IDR</v>
      </c>
    </row>
    <row r="86" spans="1:8">
      <c r="A86" t="s">
        <v>623</v>
      </c>
      <c r="B86" t="s">
        <v>461</v>
      </c>
      <c r="C86">
        <v>372</v>
      </c>
      <c r="D86">
        <v>11628546780</v>
      </c>
      <c r="E86">
        <v>135971883687</v>
      </c>
      <c r="G86" s="63" t="str">
        <f t="shared" si="2"/>
        <v>MYPST</v>
      </c>
      <c r="H86" s="63" t="str">
        <f t="shared" si="3"/>
        <v>MYPST_IDR</v>
      </c>
    </row>
    <row r="87" spans="1:8">
      <c r="A87" t="s">
        <v>631</v>
      </c>
      <c r="B87" t="s">
        <v>462</v>
      </c>
      <c r="C87">
        <v>31</v>
      </c>
      <c r="D87">
        <v>49441.2</v>
      </c>
      <c r="E87">
        <v>134670</v>
      </c>
      <c r="G87" s="63" t="str">
        <f t="shared" si="2"/>
        <v>PL</v>
      </c>
      <c r="H87" s="63" t="str">
        <f t="shared" si="3"/>
        <v>PL_USD</v>
      </c>
    </row>
    <row r="88" spans="1:8">
      <c r="A88" t="s">
        <v>638</v>
      </c>
      <c r="B88" t="s">
        <v>461</v>
      </c>
      <c r="C88">
        <v>268</v>
      </c>
      <c r="D88">
        <v>453617054</v>
      </c>
      <c r="E88">
        <v>3226000000</v>
      </c>
      <c r="G88" s="63" t="str">
        <f t="shared" si="2"/>
        <v>PSS</v>
      </c>
      <c r="H88" s="63" t="str">
        <f t="shared" si="3"/>
        <v>PSS_IDR</v>
      </c>
    </row>
    <row r="89" spans="1:8">
      <c r="A89" t="s">
        <v>630</v>
      </c>
      <c r="B89" t="s">
        <v>462</v>
      </c>
      <c r="C89">
        <v>56</v>
      </c>
      <c r="D89">
        <v>29628.5</v>
      </c>
      <c r="E89">
        <v>182600</v>
      </c>
      <c r="G89" s="63" t="str">
        <f t="shared" si="2"/>
        <v>BSA</v>
      </c>
      <c r="H89" s="63" t="str">
        <f t="shared" si="3"/>
        <v>BSA_USD</v>
      </c>
    </row>
    <row r="90" spans="1:8">
      <c r="A90" t="s">
        <v>637</v>
      </c>
      <c r="B90" t="s">
        <v>461</v>
      </c>
      <c r="C90">
        <v>265</v>
      </c>
      <c r="D90">
        <v>8419795191</v>
      </c>
      <c r="E90">
        <v>90413454121</v>
      </c>
      <c r="G90" s="63" t="str">
        <f t="shared" si="2"/>
        <v>GUPST</v>
      </c>
      <c r="H90" s="63" t="str">
        <f t="shared" si="3"/>
        <v>GUPST_IDR</v>
      </c>
    </row>
    <row r="91" spans="1:8">
      <c r="A91" t="s">
        <v>616</v>
      </c>
      <c r="B91" t="s">
        <v>461</v>
      </c>
      <c r="C91">
        <v>69</v>
      </c>
      <c r="D91">
        <v>8667702535</v>
      </c>
      <c r="E91">
        <v>40213500000</v>
      </c>
      <c r="G91" s="63" t="str">
        <f t="shared" si="2"/>
        <v>FRC55</v>
      </c>
      <c r="H91" s="63" t="str">
        <f t="shared" si="3"/>
        <v>FRC55_IDR</v>
      </c>
    </row>
    <row r="92" spans="1:8">
      <c r="A92" t="s">
        <v>635</v>
      </c>
      <c r="B92" t="s">
        <v>461</v>
      </c>
      <c r="C92">
        <v>86</v>
      </c>
      <c r="D92">
        <v>179280000</v>
      </c>
      <c r="E92">
        <v>11200000000</v>
      </c>
      <c r="G92" s="63" t="str">
        <f t="shared" si="2"/>
        <v>CICP</v>
      </c>
      <c r="H92" s="63" t="str">
        <f t="shared" si="3"/>
        <v>CICP_IDR</v>
      </c>
    </row>
    <row r="93" spans="1:8">
      <c r="A93" t="s">
        <v>627</v>
      </c>
      <c r="B93" t="s">
        <v>461</v>
      </c>
      <c r="C93">
        <v>58</v>
      </c>
      <c r="D93">
        <v>6916514658</v>
      </c>
      <c r="E93">
        <v>41259000000</v>
      </c>
      <c r="G93" s="63" t="str">
        <f t="shared" si="2"/>
        <v>FRC60</v>
      </c>
      <c r="H93" s="63" t="str">
        <f t="shared" si="3"/>
        <v>FRC60_IDR</v>
      </c>
    </row>
    <row r="94" spans="1:8">
      <c r="A94" t="s">
        <v>618</v>
      </c>
      <c r="B94" t="s">
        <v>462</v>
      </c>
      <c r="C94">
        <v>3</v>
      </c>
      <c r="D94">
        <v>2795.5</v>
      </c>
      <c r="E94">
        <v>20000</v>
      </c>
      <c r="G94" s="63" t="str">
        <f t="shared" si="2"/>
        <v>SE</v>
      </c>
      <c r="H94" s="63" t="str">
        <f t="shared" si="3"/>
        <v>SE_USD</v>
      </c>
    </row>
    <row r="95" spans="1:8">
      <c r="A95" t="s">
        <v>632</v>
      </c>
      <c r="B95" t="s">
        <v>462</v>
      </c>
      <c r="C95">
        <v>5</v>
      </c>
      <c r="D95">
        <v>13389.08</v>
      </c>
      <c r="E95">
        <v>63500</v>
      </c>
      <c r="G95" s="63" t="str">
        <f t="shared" si="2"/>
        <v>SS</v>
      </c>
      <c r="H95" s="63" t="str">
        <f t="shared" si="3"/>
        <v>SS_USD</v>
      </c>
    </row>
    <row r="96" spans="1:8">
      <c r="A96" t="s">
        <v>601</v>
      </c>
      <c r="B96" t="s">
        <v>462</v>
      </c>
      <c r="C96">
        <v>3</v>
      </c>
      <c r="D96">
        <v>3000</v>
      </c>
      <c r="E96">
        <v>15500</v>
      </c>
      <c r="G96" s="63" t="str">
        <f t="shared" si="2"/>
        <v>SC</v>
      </c>
      <c r="H96" s="63" t="str">
        <f t="shared" si="3"/>
        <v>SC_USD</v>
      </c>
    </row>
    <row r="97" spans="1:8">
      <c r="A97" t="s">
        <v>597</v>
      </c>
      <c r="B97" t="s">
        <v>462</v>
      </c>
      <c r="C97">
        <v>77</v>
      </c>
      <c r="D97">
        <v>194187.9</v>
      </c>
      <c r="E97">
        <v>571600</v>
      </c>
      <c r="G97" s="63" t="str">
        <f t="shared" si="2"/>
        <v>FR50</v>
      </c>
      <c r="H97" s="63" t="str">
        <f t="shared" si="3"/>
        <v>FR50_USD</v>
      </c>
    </row>
    <row r="98" spans="1:8">
      <c r="A98" t="s">
        <v>636</v>
      </c>
      <c r="B98" t="s">
        <v>461</v>
      </c>
      <c r="C98">
        <v>125</v>
      </c>
      <c r="D98">
        <v>202826400</v>
      </c>
      <c r="E98">
        <v>15900000000</v>
      </c>
      <c r="G98" s="63" t="str">
        <f t="shared" si="2"/>
        <v>TP</v>
      </c>
      <c r="H98" s="63" t="str">
        <f t="shared" si="3"/>
        <v>TP_IDR</v>
      </c>
    </row>
    <row r="99" spans="1:8">
      <c r="A99" t="s">
        <v>634</v>
      </c>
      <c r="B99" t="s">
        <v>461</v>
      </c>
      <c r="C99">
        <v>205</v>
      </c>
      <c r="D99">
        <v>1546220546</v>
      </c>
      <c r="E99">
        <v>49300154044</v>
      </c>
      <c r="G99" s="63" t="str">
        <f t="shared" si="2"/>
        <v>AZPS3</v>
      </c>
      <c r="H99" s="63" t="str">
        <f t="shared" si="3"/>
        <v>AZPS3_IDR</v>
      </c>
    </row>
    <row r="100" spans="1:8">
      <c r="A100" t="s">
        <v>646</v>
      </c>
      <c r="B100" t="s">
        <v>461</v>
      </c>
      <c r="C100">
        <v>70</v>
      </c>
      <c r="D100">
        <v>14717366</v>
      </c>
      <c r="E100">
        <v>125300000</v>
      </c>
      <c r="G100" s="63" t="str">
        <f t="shared" si="2"/>
        <v>HT</v>
      </c>
      <c r="H100" s="63" t="str">
        <f t="shared" si="3"/>
        <v>HT_IDR</v>
      </c>
    </row>
    <row r="101" spans="1:8">
      <c r="A101" t="s">
        <v>648</v>
      </c>
      <c r="B101" t="s">
        <v>461</v>
      </c>
      <c r="C101">
        <v>21</v>
      </c>
      <c r="D101">
        <v>540568650</v>
      </c>
      <c r="E101">
        <v>1701000000</v>
      </c>
      <c r="G101" s="63" t="str">
        <f t="shared" si="2"/>
        <v>MFP55</v>
      </c>
      <c r="H101" s="63" t="str">
        <f t="shared" si="3"/>
        <v>MFP55_IDR</v>
      </c>
    </row>
    <row r="102" spans="1:8">
      <c r="A102" t="s">
        <v>601</v>
      </c>
      <c r="B102" t="s">
        <v>461</v>
      </c>
      <c r="C102">
        <v>83</v>
      </c>
      <c r="D102">
        <v>287121200</v>
      </c>
      <c r="E102">
        <v>1702000000</v>
      </c>
      <c r="G102" s="63" t="str">
        <f t="shared" si="2"/>
        <v>SC</v>
      </c>
      <c r="H102" s="63" t="str">
        <f t="shared" si="3"/>
        <v>SC_IDR</v>
      </c>
    </row>
    <row r="103" spans="1:8">
      <c r="A103" t="s">
        <v>649</v>
      </c>
      <c r="B103" t="s">
        <v>461</v>
      </c>
      <c r="C103">
        <v>40</v>
      </c>
      <c r="D103">
        <v>1635309760</v>
      </c>
      <c r="E103">
        <v>16435306375</v>
      </c>
      <c r="G103" s="63" t="str">
        <f t="shared" si="2"/>
        <v>FLPST</v>
      </c>
      <c r="H103" s="63" t="str">
        <f t="shared" si="3"/>
        <v>FLPST_IDR</v>
      </c>
    </row>
    <row r="104" spans="1:8">
      <c r="A104" t="s">
        <v>645</v>
      </c>
      <c r="B104" t="s">
        <v>461</v>
      </c>
      <c r="C104">
        <v>6</v>
      </c>
      <c r="D104">
        <v>0</v>
      </c>
      <c r="E104">
        <v>39175032</v>
      </c>
      <c r="G104" s="63" t="str">
        <f t="shared" si="2"/>
        <v>NA_X</v>
      </c>
      <c r="H104" s="63" t="str">
        <f t="shared" si="3"/>
        <v>NA_X_IDR</v>
      </c>
    </row>
    <row r="105" spans="1:8">
      <c r="A105" t="s">
        <v>628</v>
      </c>
      <c r="B105" t="s">
        <v>461</v>
      </c>
      <c r="C105">
        <v>54</v>
      </c>
      <c r="D105">
        <v>95096264</v>
      </c>
      <c r="E105">
        <v>663000000</v>
      </c>
      <c r="G105" s="63" t="str">
        <f t="shared" si="2"/>
        <v>PSF</v>
      </c>
      <c r="H105" s="63" t="str">
        <f t="shared" si="3"/>
        <v>PSF_IDR</v>
      </c>
    </row>
    <row r="106" spans="1:8">
      <c r="A106" t="s">
        <v>644</v>
      </c>
      <c r="B106" t="s">
        <v>461</v>
      </c>
      <c r="C106">
        <v>35</v>
      </c>
      <c r="D106">
        <v>66299960</v>
      </c>
      <c r="E106">
        <v>7582127530</v>
      </c>
      <c r="G106" s="63" t="str">
        <f t="shared" si="2"/>
        <v>SL</v>
      </c>
      <c r="H106" s="63" t="str">
        <f t="shared" si="3"/>
        <v>SL_IDR</v>
      </c>
    </row>
    <row r="107" spans="1:8">
      <c r="A107" t="s">
        <v>624</v>
      </c>
      <c r="B107" t="s">
        <v>462</v>
      </c>
      <c r="C107">
        <v>10</v>
      </c>
      <c r="D107">
        <v>96206.03</v>
      </c>
      <c r="E107">
        <v>104500</v>
      </c>
      <c r="G107" s="63" t="str">
        <f t="shared" si="2"/>
        <v>MYEDU</v>
      </c>
      <c r="H107" s="63" t="str">
        <f t="shared" si="3"/>
        <v>MYEDU_USD</v>
      </c>
    </row>
    <row r="108" spans="1:8">
      <c r="A108" t="s">
        <v>629</v>
      </c>
      <c r="B108" t="s">
        <v>462</v>
      </c>
      <c r="C108">
        <v>32</v>
      </c>
      <c r="D108">
        <v>18259.689999999999</v>
      </c>
      <c r="E108">
        <v>100100</v>
      </c>
      <c r="G108" s="63" t="str">
        <f t="shared" si="2"/>
        <v>BEA</v>
      </c>
      <c r="H108" s="63" t="str">
        <f t="shared" si="3"/>
        <v>BEA_USD</v>
      </c>
    </row>
    <row r="109" spans="1:8">
      <c r="A109" t="s">
        <v>647</v>
      </c>
      <c r="B109" t="s">
        <v>461</v>
      </c>
      <c r="C109">
        <v>27</v>
      </c>
      <c r="D109">
        <v>42134380</v>
      </c>
      <c r="E109">
        <v>382000000</v>
      </c>
      <c r="G109" s="63" t="str">
        <f t="shared" si="2"/>
        <v>PSE</v>
      </c>
      <c r="H109" s="63" t="str">
        <f t="shared" si="3"/>
        <v>PSE_IDR</v>
      </c>
    </row>
    <row r="110" spans="1:8">
      <c r="A110" t="s">
        <v>651</v>
      </c>
      <c r="B110" t="s">
        <v>461</v>
      </c>
      <c r="C110">
        <v>9</v>
      </c>
      <c r="D110">
        <v>53647250</v>
      </c>
      <c r="E110">
        <v>250000000</v>
      </c>
      <c r="G110" s="63" t="str">
        <f t="shared" si="2"/>
        <v>MFP60</v>
      </c>
      <c r="H110" s="63" t="str">
        <f t="shared" si="3"/>
        <v>MFP60_IDR</v>
      </c>
    </row>
    <row r="111" spans="1:8">
      <c r="A111" t="s">
        <v>652</v>
      </c>
      <c r="B111" t="s">
        <v>461</v>
      </c>
      <c r="C111">
        <v>8</v>
      </c>
      <c r="D111">
        <v>686335930</v>
      </c>
      <c r="E111">
        <v>1882000000</v>
      </c>
      <c r="G111" s="63" t="str">
        <f t="shared" si="2"/>
        <v>MFP50</v>
      </c>
      <c r="H111" s="63" t="str">
        <f t="shared" si="3"/>
        <v>MFP50_IDR</v>
      </c>
    </row>
    <row r="112" spans="1:8">
      <c r="A112" t="s">
        <v>653</v>
      </c>
      <c r="B112" t="s">
        <v>461</v>
      </c>
      <c r="C112">
        <v>31</v>
      </c>
      <c r="D112">
        <v>57426480</v>
      </c>
      <c r="E112">
        <v>456000000</v>
      </c>
      <c r="G112" s="63" t="str">
        <f t="shared" si="2"/>
        <v>PSC</v>
      </c>
      <c r="H112" s="63" t="str">
        <f t="shared" si="3"/>
        <v>PSC_IDR</v>
      </c>
    </row>
    <row r="113" spans="1:8">
      <c r="A113" t="s">
        <v>638</v>
      </c>
      <c r="B113" t="s">
        <v>462</v>
      </c>
      <c r="C113">
        <v>2</v>
      </c>
      <c r="D113">
        <v>3677.16</v>
      </c>
      <c r="E113">
        <v>23000</v>
      </c>
      <c r="G113" s="63" t="str">
        <f t="shared" si="2"/>
        <v>PSS</v>
      </c>
      <c r="H113" s="63" t="str">
        <f t="shared" si="3"/>
        <v>PSS_USD</v>
      </c>
    </row>
    <row r="114" spans="1:8">
      <c r="A114" t="s">
        <v>642</v>
      </c>
      <c r="B114" t="s">
        <v>462</v>
      </c>
      <c r="C114">
        <v>4</v>
      </c>
      <c r="D114">
        <v>7029</v>
      </c>
      <c r="E114">
        <v>45000</v>
      </c>
      <c r="G114" s="63" t="str">
        <f t="shared" si="2"/>
        <v>FR60</v>
      </c>
      <c r="H114" s="63" t="str">
        <f t="shared" si="3"/>
        <v>FR60_USD</v>
      </c>
    </row>
    <row r="115" spans="1:8">
      <c r="A115" t="s">
        <v>650</v>
      </c>
      <c r="B115" t="s">
        <v>461</v>
      </c>
      <c r="C115">
        <v>5</v>
      </c>
      <c r="D115">
        <v>6508400</v>
      </c>
      <c r="E115">
        <v>300000000</v>
      </c>
      <c r="G115" s="63" t="str">
        <f t="shared" si="2"/>
        <v>EEP</v>
      </c>
      <c r="H115" s="63" t="str">
        <f t="shared" si="3"/>
        <v>EEP_IDR</v>
      </c>
    </row>
    <row r="116" spans="1:8">
      <c r="A116" t="s">
        <v>640</v>
      </c>
      <c r="B116" t="s">
        <v>462</v>
      </c>
      <c r="C116">
        <v>1</v>
      </c>
      <c r="D116">
        <v>1560</v>
      </c>
      <c r="E116">
        <v>10000</v>
      </c>
      <c r="G116" s="63" t="str">
        <f t="shared" si="2"/>
        <v>PSU</v>
      </c>
      <c r="H116" s="63" t="str">
        <f t="shared" si="3"/>
        <v>PSU_USD</v>
      </c>
    </row>
    <row r="117" spans="1:8">
      <c r="A117" t="s">
        <v>621</v>
      </c>
      <c r="B117" t="s">
        <v>461</v>
      </c>
      <c r="C117">
        <v>3</v>
      </c>
      <c r="D117">
        <v>5811000</v>
      </c>
      <c r="E117">
        <v>65000000</v>
      </c>
      <c r="G117" s="63" t="str">
        <f t="shared" si="2"/>
        <v>EDU</v>
      </c>
      <c r="H117" s="63" t="str">
        <f t="shared" si="3"/>
        <v>EDU_IDR</v>
      </c>
    </row>
    <row r="118" spans="1:8">
      <c r="A118" t="s">
        <v>654</v>
      </c>
      <c r="B118" t="s">
        <v>462</v>
      </c>
      <c r="C118">
        <v>1</v>
      </c>
      <c r="D118">
        <v>4938</v>
      </c>
      <c r="E118">
        <v>120000</v>
      </c>
      <c r="G118" s="63" t="str">
        <f t="shared" si="2"/>
        <v>SD</v>
      </c>
      <c r="H118" s="63" t="str">
        <f t="shared" si="3"/>
        <v>SD_USD</v>
      </c>
    </row>
    <row r="119" spans="1:8">
      <c r="A119" t="s">
        <v>655</v>
      </c>
      <c r="B119" t="s">
        <v>461</v>
      </c>
      <c r="C119">
        <v>4</v>
      </c>
      <c r="D119">
        <v>0</v>
      </c>
      <c r="E119">
        <v>133041793</v>
      </c>
      <c r="G119" s="63" t="str">
        <f t="shared" si="2"/>
        <v>NA_O</v>
      </c>
      <c r="H119" s="63" t="str">
        <f t="shared" si="3"/>
        <v>NA_O_IDR</v>
      </c>
    </row>
    <row r="120" spans="1:8">
      <c r="A120" t="s">
        <v>654</v>
      </c>
      <c r="B120" t="s">
        <v>461</v>
      </c>
      <c r="C120">
        <v>1</v>
      </c>
      <c r="D120">
        <v>505750</v>
      </c>
      <c r="E120">
        <v>25000000</v>
      </c>
      <c r="G120" s="63" t="str">
        <f t="shared" si="2"/>
        <v>SD</v>
      </c>
      <c r="H120" s="63" t="str">
        <f t="shared" si="3"/>
        <v>SD_IDR</v>
      </c>
    </row>
    <row r="121" spans="1:8">
      <c r="A121" t="s">
        <v>626</v>
      </c>
      <c r="B121" t="s">
        <v>462</v>
      </c>
      <c r="C121">
        <v>1</v>
      </c>
      <c r="D121">
        <v>1356.35</v>
      </c>
      <c r="E121">
        <v>5000</v>
      </c>
      <c r="G121" s="63" t="str">
        <f t="shared" si="2"/>
        <v>MYF60</v>
      </c>
      <c r="H121" s="63" t="str">
        <f t="shared" si="3"/>
        <v>MYF60_USD</v>
      </c>
    </row>
    <row r="122" spans="1:8">
      <c r="A122" t="s">
        <v>643</v>
      </c>
      <c r="B122" t="s">
        <v>461</v>
      </c>
      <c r="C122">
        <v>3</v>
      </c>
      <c r="D122">
        <v>16356000</v>
      </c>
      <c r="E122">
        <v>1600000</v>
      </c>
      <c r="G122" s="63" t="str">
        <f t="shared" si="2"/>
        <v>CHCPT_</v>
      </c>
      <c r="H122" s="63" t="str">
        <f t="shared" si="3"/>
        <v>CHCPT__IDR</v>
      </c>
    </row>
    <row r="123" spans="1:8">
      <c r="A123" t="s">
        <v>619</v>
      </c>
      <c r="B123" t="s">
        <v>462</v>
      </c>
      <c r="C123">
        <v>2</v>
      </c>
      <c r="D123">
        <v>3097.3</v>
      </c>
      <c r="E123">
        <v>10000</v>
      </c>
      <c r="G123" s="63" t="str">
        <f t="shared" si="2"/>
        <v>MYF55</v>
      </c>
      <c r="H123" s="63" t="str">
        <f t="shared" si="3"/>
        <v>MYF55_USD</v>
      </c>
    </row>
    <row r="124" spans="1:8">
      <c r="A124" t="s">
        <v>592</v>
      </c>
      <c r="B124" t="s">
        <v>462</v>
      </c>
      <c r="C124">
        <v>1</v>
      </c>
      <c r="D124">
        <v>546</v>
      </c>
      <c r="E124">
        <v>15000</v>
      </c>
      <c r="G124" s="63" t="str">
        <f t="shared" si="2"/>
        <v>EWP</v>
      </c>
      <c r="H124" s="63" t="str">
        <f t="shared" si="3"/>
        <v>EWP_USD</v>
      </c>
    </row>
    <row r="125" spans="1:8">
      <c r="A125" t="s">
        <v>2512</v>
      </c>
      <c r="B125" t="s">
        <v>461</v>
      </c>
      <c r="C125">
        <v>254</v>
      </c>
      <c r="D125">
        <v>7318610000</v>
      </c>
      <c r="E125">
        <v>147526332300</v>
      </c>
      <c r="G125" s="63" t="str">
        <f t="shared" si="2"/>
        <v>AZCP</v>
      </c>
      <c r="H125" s="63" t="str">
        <f t="shared" si="3"/>
        <v>AZCP_IDR</v>
      </c>
    </row>
    <row r="126" spans="1:8">
      <c r="A126" t="s">
        <v>657</v>
      </c>
      <c r="B126" t="s">
        <v>461</v>
      </c>
      <c r="C126">
        <v>2450</v>
      </c>
      <c r="D126">
        <v>11191961279</v>
      </c>
      <c r="E126">
        <v>1183362145702</v>
      </c>
      <c r="G126" s="63" t="str">
        <f t="shared" si="2"/>
        <v>ASHDL</v>
      </c>
      <c r="H126" s="63" t="str">
        <f t="shared" si="3"/>
        <v>ASHDL_IDR</v>
      </c>
    </row>
    <row r="127" spans="1:8">
      <c r="A127" t="s">
        <v>659</v>
      </c>
      <c r="B127" t="s">
        <v>461</v>
      </c>
      <c r="C127">
        <v>2872</v>
      </c>
      <c r="D127">
        <v>123985867045.371</v>
      </c>
      <c r="E127">
        <v>4448001112421</v>
      </c>
      <c r="G127" s="63" t="str">
        <f t="shared" si="2"/>
        <v>ASLGM</v>
      </c>
      <c r="H127" s="63" t="str">
        <f t="shared" si="3"/>
        <v>ASLGM_IDR</v>
      </c>
    </row>
    <row r="128" spans="1:8">
      <c r="A128" t="s">
        <v>658</v>
      </c>
      <c r="B128" t="s">
        <v>461</v>
      </c>
      <c r="C128">
        <v>2446</v>
      </c>
      <c r="D128">
        <v>6847337164</v>
      </c>
      <c r="E128">
        <v>1180105777702</v>
      </c>
      <c r="G128" s="63" t="str">
        <f t="shared" si="2"/>
        <v>CSCI49</v>
      </c>
      <c r="H128" s="63" t="str">
        <f t="shared" si="3"/>
        <v>CSCI49_IDR</v>
      </c>
    </row>
    <row r="129" spans="7:8">
      <c r="G129" s="63" t="e">
        <f t="shared" si="2"/>
        <v>#VALUE!</v>
      </c>
      <c r="H129" s="63" t="e">
        <f t="shared" si="3"/>
        <v>#VALUE!</v>
      </c>
    </row>
    <row r="130" spans="7:8">
      <c r="G130" s="63" t="e">
        <f t="shared" si="2"/>
        <v>#VALUE!</v>
      </c>
      <c r="H130" s="63" t="e">
        <f t="shared" si="3"/>
        <v>#VALUE!</v>
      </c>
    </row>
    <row r="131" spans="7:8">
      <c r="G131" s="63" t="e">
        <f t="shared" ref="G131:G194" si="4">IF(OR(A131="RID_PB77",A131="RID_PB77A3"),"WPCI77",IF(A131="RIDTCIAS","CSCI49",IF(A131="RID_HCPTM","CHCPT_",IF(LEFT(A131,1)="C",A131,MID(A131,6,LEN(A131)-5)))))</f>
        <v>#VALUE!</v>
      </c>
      <c r="H131" s="63" t="e">
        <f t="shared" ref="H131:H194" si="5">IF(OR(G131="MJG1",G131="MJG2"),"MJG",G131)&amp;"_"&amp;B131</f>
        <v>#VALUE!</v>
      </c>
    </row>
    <row r="132" spans="7:8">
      <c r="G132" s="63" t="e">
        <f t="shared" si="4"/>
        <v>#VALUE!</v>
      </c>
      <c r="H132" s="63" t="e">
        <f t="shared" si="5"/>
        <v>#VALUE!</v>
      </c>
    </row>
    <row r="133" spans="7:8">
      <c r="G133" s="63" t="e">
        <f t="shared" si="4"/>
        <v>#VALUE!</v>
      </c>
      <c r="H133" s="63" t="e">
        <f t="shared" si="5"/>
        <v>#VALUE!</v>
      </c>
    </row>
    <row r="134" spans="7:8">
      <c r="G134" s="63" t="e">
        <f t="shared" si="4"/>
        <v>#VALUE!</v>
      </c>
      <c r="H134" s="63" t="e">
        <f t="shared" si="5"/>
        <v>#VALUE!</v>
      </c>
    </row>
    <row r="135" spans="7:8">
      <c r="G135" s="63" t="e">
        <f t="shared" si="4"/>
        <v>#VALUE!</v>
      </c>
      <c r="H135" s="63" t="e">
        <f t="shared" si="5"/>
        <v>#VALUE!</v>
      </c>
    </row>
    <row r="136" spans="7:8">
      <c r="G136" s="63" t="e">
        <f t="shared" si="4"/>
        <v>#VALUE!</v>
      </c>
      <c r="H136" s="63" t="e">
        <f t="shared" si="5"/>
        <v>#VALUE!</v>
      </c>
    </row>
    <row r="137" spans="7:8">
      <c r="G137" s="63" t="e">
        <f t="shared" si="4"/>
        <v>#VALUE!</v>
      </c>
      <c r="H137" s="63" t="e">
        <f t="shared" si="5"/>
        <v>#VALUE!</v>
      </c>
    </row>
    <row r="138" spans="7:8">
      <c r="G138" s="63" t="e">
        <f t="shared" si="4"/>
        <v>#VALUE!</v>
      </c>
      <c r="H138" s="63" t="e">
        <f t="shared" si="5"/>
        <v>#VALUE!</v>
      </c>
    </row>
    <row r="139" spans="7:8">
      <c r="G139" s="63" t="e">
        <f t="shared" si="4"/>
        <v>#VALUE!</v>
      </c>
      <c r="H139" s="63" t="e">
        <f t="shared" si="5"/>
        <v>#VALUE!</v>
      </c>
    </row>
    <row r="140" spans="7:8">
      <c r="G140" s="63" t="e">
        <f t="shared" si="4"/>
        <v>#VALUE!</v>
      </c>
      <c r="H140" s="63" t="e">
        <f t="shared" si="5"/>
        <v>#VALUE!</v>
      </c>
    </row>
    <row r="141" spans="7:8">
      <c r="G141" s="63" t="e">
        <f t="shared" si="4"/>
        <v>#VALUE!</v>
      </c>
      <c r="H141" s="63" t="e">
        <f t="shared" si="5"/>
        <v>#VALUE!</v>
      </c>
    </row>
    <row r="142" spans="7:8">
      <c r="G142" s="63" t="e">
        <f t="shared" si="4"/>
        <v>#VALUE!</v>
      </c>
      <c r="H142" s="63" t="e">
        <f t="shared" si="5"/>
        <v>#VALUE!</v>
      </c>
    </row>
    <row r="143" spans="7:8">
      <c r="G143" s="63" t="e">
        <f t="shared" si="4"/>
        <v>#VALUE!</v>
      </c>
      <c r="H143" s="63" t="e">
        <f t="shared" si="5"/>
        <v>#VALUE!</v>
      </c>
    </row>
    <row r="144" spans="7:8">
      <c r="G144" s="63" t="e">
        <f t="shared" si="4"/>
        <v>#VALUE!</v>
      </c>
      <c r="H144" s="63" t="e">
        <f t="shared" si="5"/>
        <v>#VALUE!</v>
      </c>
    </row>
    <row r="145" spans="7:8">
      <c r="G145" s="63" t="e">
        <f t="shared" si="4"/>
        <v>#VALUE!</v>
      </c>
      <c r="H145" s="63" t="e">
        <f t="shared" si="5"/>
        <v>#VALUE!</v>
      </c>
    </row>
    <row r="146" spans="7:8">
      <c r="G146" s="63" t="e">
        <f t="shared" si="4"/>
        <v>#VALUE!</v>
      </c>
      <c r="H146" s="63" t="e">
        <f t="shared" si="5"/>
        <v>#VALUE!</v>
      </c>
    </row>
    <row r="147" spans="7:8">
      <c r="G147" s="63" t="e">
        <f t="shared" si="4"/>
        <v>#VALUE!</v>
      </c>
      <c r="H147" s="63" t="e">
        <f t="shared" si="5"/>
        <v>#VALUE!</v>
      </c>
    </row>
    <row r="148" spans="7:8">
      <c r="G148" s="63" t="e">
        <f t="shared" si="4"/>
        <v>#VALUE!</v>
      </c>
      <c r="H148" s="63" t="e">
        <f t="shared" si="5"/>
        <v>#VALUE!</v>
      </c>
    </row>
    <row r="149" spans="7:8">
      <c r="G149" s="63" t="e">
        <f t="shared" si="4"/>
        <v>#VALUE!</v>
      </c>
      <c r="H149" s="63" t="e">
        <f t="shared" si="5"/>
        <v>#VALUE!</v>
      </c>
    </row>
    <row r="150" spans="7:8">
      <c r="G150" s="63" t="e">
        <f t="shared" si="4"/>
        <v>#VALUE!</v>
      </c>
      <c r="H150" s="63" t="e">
        <f t="shared" si="5"/>
        <v>#VALUE!</v>
      </c>
    </row>
    <row r="151" spans="7:8">
      <c r="G151" s="63" t="e">
        <f t="shared" si="4"/>
        <v>#VALUE!</v>
      </c>
      <c r="H151" s="63" t="e">
        <f t="shared" si="5"/>
        <v>#VALUE!</v>
      </c>
    </row>
    <row r="152" spans="7:8">
      <c r="G152" s="63" t="e">
        <f t="shared" si="4"/>
        <v>#VALUE!</v>
      </c>
      <c r="H152" s="63" t="e">
        <f t="shared" si="5"/>
        <v>#VALUE!</v>
      </c>
    </row>
    <row r="153" spans="7:8">
      <c r="G153" s="63" t="e">
        <f t="shared" si="4"/>
        <v>#VALUE!</v>
      </c>
      <c r="H153" s="63" t="e">
        <f t="shared" si="5"/>
        <v>#VALUE!</v>
      </c>
    </row>
    <row r="154" spans="7:8">
      <c r="G154" s="63" t="e">
        <f t="shared" si="4"/>
        <v>#VALUE!</v>
      </c>
      <c r="H154" s="63" t="e">
        <f t="shared" si="5"/>
        <v>#VALUE!</v>
      </c>
    </row>
    <row r="155" spans="7:8">
      <c r="G155" s="63" t="e">
        <f t="shared" si="4"/>
        <v>#VALUE!</v>
      </c>
      <c r="H155" s="63" t="e">
        <f t="shared" si="5"/>
        <v>#VALUE!</v>
      </c>
    </row>
    <row r="156" spans="7:8">
      <c r="G156" s="63" t="e">
        <f t="shared" si="4"/>
        <v>#VALUE!</v>
      </c>
      <c r="H156" s="63" t="e">
        <f t="shared" si="5"/>
        <v>#VALUE!</v>
      </c>
    </row>
    <row r="157" spans="7:8">
      <c r="G157" s="63" t="e">
        <f t="shared" si="4"/>
        <v>#VALUE!</v>
      </c>
      <c r="H157" s="63" t="e">
        <f t="shared" si="5"/>
        <v>#VALUE!</v>
      </c>
    </row>
    <row r="158" spans="7:8">
      <c r="G158" s="63" t="e">
        <f t="shared" si="4"/>
        <v>#VALUE!</v>
      </c>
      <c r="H158" s="63" t="e">
        <f t="shared" si="5"/>
        <v>#VALUE!</v>
      </c>
    </row>
    <row r="159" spans="7:8">
      <c r="G159" s="63" t="e">
        <f t="shared" si="4"/>
        <v>#VALUE!</v>
      </c>
      <c r="H159" s="63" t="e">
        <f t="shared" si="5"/>
        <v>#VALUE!</v>
      </c>
    </row>
    <row r="160" spans="7:8">
      <c r="G160" s="63" t="e">
        <f t="shared" si="4"/>
        <v>#VALUE!</v>
      </c>
      <c r="H160" s="63" t="e">
        <f t="shared" si="5"/>
        <v>#VALUE!</v>
      </c>
    </row>
    <row r="161" spans="7:8">
      <c r="G161" s="63" t="e">
        <f t="shared" si="4"/>
        <v>#VALUE!</v>
      </c>
      <c r="H161" s="63" t="e">
        <f t="shared" si="5"/>
        <v>#VALUE!</v>
      </c>
    </row>
    <row r="162" spans="7:8">
      <c r="G162" s="63" t="e">
        <f t="shared" si="4"/>
        <v>#VALUE!</v>
      </c>
      <c r="H162" s="63" t="e">
        <f t="shared" si="5"/>
        <v>#VALUE!</v>
      </c>
    </row>
    <row r="163" spans="7:8">
      <c r="G163" s="63" t="e">
        <f t="shared" si="4"/>
        <v>#VALUE!</v>
      </c>
      <c r="H163" s="63" t="e">
        <f t="shared" si="5"/>
        <v>#VALUE!</v>
      </c>
    </row>
    <row r="164" spans="7:8">
      <c r="G164" s="63" t="e">
        <f t="shared" si="4"/>
        <v>#VALUE!</v>
      </c>
      <c r="H164" s="63" t="e">
        <f t="shared" si="5"/>
        <v>#VALUE!</v>
      </c>
    </row>
    <row r="165" spans="7:8">
      <c r="G165" s="63" t="e">
        <f t="shared" si="4"/>
        <v>#VALUE!</v>
      </c>
      <c r="H165" s="63" t="e">
        <f t="shared" si="5"/>
        <v>#VALUE!</v>
      </c>
    </row>
    <row r="166" spans="7:8">
      <c r="G166" s="63" t="e">
        <f t="shared" si="4"/>
        <v>#VALUE!</v>
      </c>
      <c r="H166" s="63" t="e">
        <f t="shared" si="5"/>
        <v>#VALUE!</v>
      </c>
    </row>
    <row r="167" spans="7:8">
      <c r="G167" s="63" t="e">
        <f t="shared" si="4"/>
        <v>#VALUE!</v>
      </c>
      <c r="H167" s="63" t="e">
        <f t="shared" si="5"/>
        <v>#VALUE!</v>
      </c>
    </row>
    <row r="168" spans="7:8">
      <c r="G168" s="63" t="e">
        <f t="shared" si="4"/>
        <v>#VALUE!</v>
      </c>
      <c r="H168" s="63" t="e">
        <f t="shared" si="5"/>
        <v>#VALUE!</v>
      </c>
    </row>
    <row r="169" spans="7:8">
      <c r="G169" s="63" t="e">
        <f t="shared" si="4"/>
        <v>#VALUE!</v>
      </c>
      <c r="H169" s="63" t="e">
        <f t="shared" si="5"/>
        <v>#VALUE!</v>
      </c>
    </row>
    <row r="170" spans="7:8">
      <c r="G170" s="63" t="e">
        <f t="shared" si="4"/>
        <v>#VALUE!</v>
      </c>
      <c r="H170" s="63" t="e">
        <f t="shared" si="5"/>
        <v>#VALUE!</v>
      </c>
    </row>
    <row r="171" spans="7:8">
      <c r="G171" s="63" t="e">
        <f t="shared" si="4"/>
        <v>#VALUE!</v>
      </c>
      <c r="H171" s="63" t="e">
        <f t="shared" si="5"/>
        <v>#VALUE!</v>
      </c>
    </row>
    <row r="172" spans="7:8">
      <c r="G172" s="63" t="e">
        <f t="shared" si="4"/>
        <v>#VALUE!</v>
      </c>
      <c r="H172" s="63" t="e">
        <f t="shared" si="5"/>
        <v>#VALUE!</v>
      </c>
    </row>
    <row r="173" spans="7:8">
      <c r="G173" s="63" t="e">
        <f t="shared" si="4"/>
        <v>#VALUE!</v>
      </c>
      <c r="H173" s="63" t="e">
        <f t="shared" si="5"/>
        <v>#VALUE!</v>
      </c>
    </row>
    <row r="174" spans="7:8">
      <c r="G174" s="63" t="e">
        <f t="shared" si="4"/>
        <v>#VALUE!</v>
      </c>
      <c r="H174" s="63" t="e">
        <f t="shared" si="5"/>
        <v>#VALUE!</v>
      </c>
    </row>
    <row r="175" spans="7:8">
      <c r="G175" s="63" t="e">
        <f t="shared" si="4"/>
        <v>#VALUE!</v>
      </c>
      <c r="H175" s="63" t="e">
        <f t="shared" si="5"/>
        <v>#VALUE!</v>
      </c>
    </row>
    <row r="176" spans="7:8">
      <c r="G176" s="63" t="e">
        <f t="shared" si="4"/>
        <v>#VALUE!</v>
      </c>
      <c r="H176" s="63" t="e">
        <f t="shared" si="5"/>
        <v>#VALUE!</v>
      </c>
    </row>
    <row r="177" spans="7:8">
      <c r="G177" s="63" t="e">
        <f t="shared" si="4"/>
        <v>#VALUE!</v>
      </c>
      <c r="H177" s="63" t="e">
        <f t="shared" si="5"/>
        <v>#VALUE!</v>
      </c>
    </row>
    <row r="178" spans="7:8">
      <c r="G178" s="63" t="e">
        <f t="shared" si="4"/>
        <v>#VALUE!</v>
      </c>
      <c r="H178" s="63" t="e">
        <f t="shared" si="5"/>
        <v>#VALUE!</v>
      </c>
    </row>
    <row r="179" spans="7:8">
      <c r="G179" s="63" t="e">
        <f t="shared" si="4"/>
        <v>#VALUE!</v>
      </c>
      <c r="H179" s="63" t="e">
        <f t="shared" si="5"/>
        <v>#VALUE!</v>
      </c>
    </row>
    <row r="180" spans="7:8">
      <c r="G180" s="63" t="e">
        <f t="shared" si="4"/>
        <v>#VALUE!</v>
      </c>
      <c r="H180" s="63" t="e">
        <f t="shared" si="5"/>
        <v>#VALUE!</v>
      </c>
    </row>
    <row r="181" spans="7:8">
      <c r="G181" s="63" t="e">
        <f t="shared" si="4"/>
        <v>#VALUE!</v>
      </c>
      <c r="H181" s="63" t="e">
        <f t="shared" si="5"/>
        <v>#VALUE!</v>
      </c>
    </row>
    <row r="182" spans="7:8">
      <c r="G182" s="63" t="e">
        <f t="shared" si="4"/>
        <v>#VALUE!</v>
      </c>
      <c r="H182" s="63" t="e">
        <f t="shared" si="5"/>
        <v>#VALUE!</v>
      </c>
    </row>
    <row r="183" spans="7:8">
      <c r="G183" s="63" t="e">
        <f t="shared" si="4"/>
        <v>#VALUE!</v>
      </c>
      <c r="H183" s="63" t="e">
        <f t="shared" si="5"/>
        <v>#VALUE!</v>
      </c>
    </row>
    <row r="184" spans="7:8">
      <c r="G184" s="63" t="e">
        <f t="shared" si="4"/>
        <v>#VALUE!</v>
      </c>
      <c r="H184" s="63" t="e">
        <f t="shared" si="5"/>
        <v>#VALUE!</v>
      </c>
    </row>
    <row r="185" spans="7:8">
      <c r="G185" s="63" t="e">
        <f t="shared" si="4"/>
        <v>#VALUE!</v>
      </c>
      <c r="H185" s="63" t="e">
        <f t="shared" si="5"/>
        <v>#VALUE!</v>
      </c>
    </row>
    <row r="186" spans="7:8">
      <c r="G186" s="63" t="e">
        <f t="shared" si="4"/>
        <v>#VALUE!</v>
      </c>
      <c r="H186" s="63" t="e">
        <f t="shared" si="5"/>
        <v>#VALUE!</v>
      </c>
    </row>
    <row r="187" spans="7:8">
      <c r="G187" s="63" t="e">
        <f t="shared" si="4"/>
        <v>#VALUE!</v>
      </c>
      <c r="H187" s="63" t="e">
        <f t="shared" si="5"/>
        <v>#VALUE!</v>
      </c>
    </row>
    <row r="188" spans="7:8">
      <c r="G188" s="63" t="e">
        <f t="shared" si="4"/>
        <v>#VALUE!</v>
      </c>
      <c r="H188" s="63" t="e">
        <f t="shared" si="5"/>
        <v>#VALUE!</v>
      </c>
    </row>
    <row r="189" spans="7:8">
      <c r="G189" s="63" t="e">
        <f t="shared" si="4"/>
        <v>#VALUE!</v>
      </c>
      <c r="H189" s="63" t="e">
        <f t="shared" si="5"/>
        <v>#VALUE!</v>
      </c>
    </row>
    <row r="190" spans="7:8">
      <c r="G190" s="63" t="e">
        <f t="shared" si="4"/>
        <v>#VALUE!</v>
      </c>
      <c r="H190" s="63" t="e">
        <f t="shared" si="5"/>
        <v>#VALUE!</v>
      </c>
    </row>
    <row r="191" spans="7:8">
      <c r="G191" s="63" t="e">
        <f t="shared" si="4"/>
        <v>#VALUE!</v>
      </c>
      <c r="H191" s="63" t="e">
        <f t="shared" si="5"/>
        <v>#VALUE!</v>
      </c>
    </row>
    <row r="192" spans="7:8">
      <c r="G192" s="63" t="e">
        <f t="shared" si="4"/>
        <v>#VALUE!</v>
      </c>
      <c r="H192" s="63" t="e">
        <f t="shared" si="5"/>
        <v>#VALUE!</v>
      </c>
    </row>
    <row r="193" spans="7:8">
      <c r="G193" s="63" t="e">
        <f t="shared" si="4"/>
        <v>#VALUE!</v>
      </c>
      <c r="H193" s="63" t="e">
        <f t="shared" si="5"/>
        <v>#VALUE!</v>
      </c>
    </row>
    <row r="194" spans="7:8">
      <c r="G194" s="63" t="e">
        <f t="shared" si="4"/>
        <v>#VALUE!</v>
      </c>
      <c r="H194" s="63" t="e">
        <f t="shared" si="5"/>
        <v>#VALUE!</v>
      </c>
    </row>
    <row r="195" spans="7:8">
      <c r="G195" s="63" t="e">
        <f t="shared" ref="G195:G258" si="6">IF(OR(A195="RID_PB77",A195="RID_PB77A3"),"WPCI77",IF(A195="RIDTCIAS","CSCI49",IF(A195="RID_HCPTM","CHCPT_",IF(LEFT(A195,1)="C",A195,MID(A195,6,LEN(A195)-5)))))</f>
        <v>#VALUE!</v>
      </c>
      <c r="H195" s="63" t="e">
        <f t="shared" ref="H195:H258" si="7">IF(OR(G195="MJG1",G195="MJG2"),"MJG",G195)&amp;"_"&amp;B195</f>
        <v>#VALUE!</v>
      </c>
    </row>
    <row r="196" spans="7:8">
      <c r="G196" s="63" t="e">
        <f t="shared" si="6"/>
        <v>#VALUE!</v>
      </c>
      <c r="H196" s="63" t="e">
        <f t="shared" si="7"/>
        <v>#VALUE!</v>
      </c>
    </row>
    <row r="197" spans="7:8">
      <c r="G197" s="63" t="e">
        <f t="shared" si="6"/>
        <v>#VALUE!</v>
      </c>
      <c r="H197" s="63" t="e">
        <f t="shared" si="7"/>
        <v>#VALUE!</v>
      </c>
    </row>
    <row r="198" spans="7:8">
      <c r="G198" s="63" t="e">
        <f t="shared" si="6"/>
        <v>#VALUE!</v>
      </c>
      <c r="H198" s="63" t="e">
        <f t="shared" si="7"/>
        <v>#VALUE!</v>
      </c>
    </row>
    <row r="199" spans="7:8">
      <c r="G199" s="63" t="e">
        <f t="shared" si="6"/>
        <v>#VALUE!</v>
      </c>
      <c r="H199" s="63" t="e">
        <f t="shared" si="7"/>
        <v>#VALUE!</v>
      </c>
    </row>
    <row r="200" spans="7:8">
      <c r="G200" s="63" t="e">
        <f t="shared" si="6"/>
        <v>#VALUE!</v>
      </c>
      <c r="H200" s="63" t="e">
        <f t="shared" si="7"/>
        <v>#VALUE!</v>
      </c>
    </row>
    <row r="201" spans="7:8">
      <c r="G201" s="63" t="e">
        <f t="shared" si="6"/>
        <v>#VALUE!</v>
      </c>
      <c r="H201" s="63" t="e">
        <f t="shared" si="7"/>
        <v>#VALUE!</v>
      </c>
    </row>
    <row r="202" spans="7:8">
      <c r="G202" s="63" t="e">
        <f t="shared" si="6"/>
        <v>#VALUE!</v>
      </c>
      <c r="H202" s="63" t="e">
        <f t="shared" si="7"/>
        <v>#VALUE!</v>
      </c>
    </row>
    <row r="203" spans="7:8">
      <c r="G203" s="63" t="e">
        <f t="shared" si="6"/>
        <v>#VALUE!</v>
      </c>
      <c r="H203" s="63" t="e">
        <f t="shared" si="7"/>
        <v>#VALUE!</v>
      </c>
    </row>
    <row r="204" spans="7:8">
      <c r="G204" s="63" t="e">
        <f t="shared" si="6"/>
        <v>#VALUE!</v>
      </c>
      <c r="H204" s="63" t="e">
        <f t="shared" si="7"/>
        <v>#VALUE!</v>
      </c>
    </row>
    <row r="205" spans="7:8">
      <c r="G205" s="63" t="e">
        <f t="shared" si="6"/>
        <v>#VALUE!</v>
      </c>
      <c r="H205" s="63" t="e">
        <f t="shared" si="7"/>
        <v>#VALUE!</v>
      </c>
    </row>
    <row r="206" spans="7:8">
      <c r="G206" s="63" t="e">
        <f t="shared" si="6"/>
        <v>#VALUE!</v>
      </c>
      <c r="H206" s="63" t="e">
        <f t="shared" si="7"/>
        <v>#VALUE!</v>
      </c>
    </row>
    <row r="207" spans="7:8">
      <c r="G207" s="63" t="e">
        <f t="shared" si="6"/>
        <v>#VALUE!</v>
      </c>
      <c r="H207" s="63" t="e">
        <f t="shared" si="7"/>
        <v>#VALUE!</v>
      </c>
    </row>
    <row r="208" spans="7:8">
      <c r="G208" s="63" t="e">
        <f t="shared" si="6"/>
        <v>#VALUE!</v>
      </c>
      <c r="H208" s="63" t="e">
        <f t="shared" si="7"/>
        <v>#VALUE!</v>
      </c>
    </row>
    <row r="209" spans="7:8">
      <c r="G209" s="63" t="e">
        <f t="shared" si="6"/>
        <v>#VALUE!</v>
      </c>
      <c r="H209" s="63" t="e">
        <f t="shared" si="7"/>
        <v>#VALUE!</v>
      </c>
    </row>
    <row r="210" spans="7:8">
      <c r="G210" s="63" t="e">
        <f t="shared" si="6"/>
        <v>#VALUE!</v>
      </c>
      <c r="H210" s="63" t="e">
        <f t="shared" si="7"/>
        <v>#VALUE!</v>
      </c>
    </row>
    <row r="211" spans="7:8">
      <c r="G211" s="63" t="e">
        <f t="shared" si="6"/>
        <v>#VALUE!</v>
      </c>
      <c r="H211" s="63" t="e">
        <f t="shared" si="7"/>
        <v>#VALUE!</v>
      </c>
    </row>
    <row r="212" spans="7:8">
      <c r="G212" s="63" t="e">
        <f t="shared" si="6"/>
        <v>#VALUE!</v>
      </c>
      <c r="H212" s="63" t="e">
        <f t="shared" si="7"/>
        <v>#VALUE!</v>
      </c>
    </row>
    <row r="213" spans="7:8">
      <c r="G213" s="63" t="e">
        <f t="shared" si="6"/>
        <v>#VALUE!</v>
      </c>
      <c r="H213" s="63" t="e">
        <f t="shared" si="7"/>
        <v>#VALUE!</v>
      </c>
    </row>
    <row r="214" spans="7:8">
      <c r="G214" s="63" t="e">
        <f t="shared" si="6"/>
        <v>#VALUE!</v>
      </c>
      <c r="H214" s="63" t="e">
        <f t="shared" si="7"/>
        <v>#VALUE!</v>
      </c>
    </row>
    <row r="215" spans="7:8">
      <c r="G215" s="63" t="e">
        <f t="shared" si="6"/>
        <v>#VALUE!</v>
      </c>
      <c r="H215" s="63" t="e">
        <f t="shared" si="7"/>
        <v>#VALUE!</v>
      </c>
    </row>
    <row r="216" spans="7:8">
      <c r="G216" s="63" t="e">
        <f t="shared" si="6"/>
        <v>#VALUE!</v>
      </c>
      <c r="H216" s="63" t="e">
        <f t="shared" si="7"/>
        <v>#VALUE!</v>
      </c>
    </row>
    <row r="217" spans="7:8">
      <c r="G217" s="63" t="e">
        <f t="shared" si="6"/>
        <v>#VALUE!</v>
      </c>
      <c r="H217" s="63" t="e">
        <f t="shared" si="7"/>
        <v>#VALUE!</v>
      </c>
    </row>
    <row r="218" spans="7:8">
      <c r="G218" s="63" t="e">
        <f t="shared" si="6"/>
        <v>#VALUE!</v>
      </c>
      <c r="H218" s="63" t="e">
        <f t="shared" si="7"/>
        <v>#VALUE!</v>
      </c>
    </row>
    <row r="219" spans="7:8">
      <c r="G219" s="63" t="e">
        <f t="shared" si="6"/>
        <v>#VALUE!</v>
      </c>
      <c r="H219" s="63" t="e">
        <f t="shared" si="7"/>
        <v>#VALUE!</v>
      </c>
    </row>
    <row r="220" spans="7:8">
      <c r="G220" s="63" t="e">
        <f t="shared" si="6"/>
        <v>#VALUE!</v>
      </c>
      <c r="H220" s="63" t="e">
        <f t="shared" si="7"/>
        <v>#VALUE!</v>
      </c>
    </row>
    <row r="221" spans="7:8">
      <c r="G221" s="63" t="e">
        <f t="shared" si="6"/>
        <v>#VALUE!</v>
      </c>
      <c r="H221" s="63" t="e">
        <f t="shared" si="7"/>
        <v>#VALUE!</v>
      </c>
    </row>
    <row r="222" spans="7:8">
      <c r="G222" s="63" t="e">
        <f t="shared" si="6"/>
        <v>#VALUE!</v>
      </c>
      <c r="H222" s="63" t="e">
        <f t="shared" si="7"/>
        <v>#VALUE!</v>
      </c>
    </row>
    <row r="223" spans="7:8">
      <c r="G223" s="63" t="e">
        <f t="shared" si="6"/>
        <v>#VALUE!</v>
      </c>
      <c r="H223" s="63" t="e">
        <f t="shared" si="7"/>
        <v>#VALUE!</v>
      </c>
    </row>
    <row r="224" spans="7:8">
      <c r="G224" s="63" t="e">
        <f t="shared" si="6"/>
        <v>#VALUE!</v>
      </c>
      <c r="H224" s="63" t="e">
        <f t="shared" si="7"/>
        <v>#VALUE!</v>
      </c>
    </row>
    <row r="225" spans="7:8">
      <c r="G225" s="63" t="e">
        <f t="shared" si="6"/>
        <v>#VALUE!</v>
      </c>
      <c r="H225" s="63" t="e">
        <f t="shared" si="7"/>
        <v>#VALUE!</v>
      </c>
    </row>
    <row r="226" spans="7:8">
      <c r="G226" s="63" t="e">
        <f t="shared" si="6"/>
        <v>#VALUE!</v>
      </c>
      <c r="H226" s="63" t="e">
        <f t="shared" si="7"/>
        <v>#VALUE!</v>
      </c>
    </row>
    <row r="227" spans="7:8">
      <c r="G227" s="63" t="e">
        <f t="shared" si="6"/>
        <v>#VALUE!</v>
      </c>
      <c r="H227" s="63" t="e">
        <f t="shared" si="7"/>
        <v>#VALUE!</v>
      </c>
    </row>
    <row r="228" spans="7:8">
      <c r="G228" s="63" t="e">
        <f t="shared" si="6"/>
        <v>#VALUE!</v>
      </c>
      <c r="H228" s="63" t="e">
        <f t="shared" si="7"/>
        <v>#VALUE!</v>
      </c>
    </row>
    <row r="229" spans="7:8">
      <c r="G229" s="63" t="e">
        <f t="shared" si="6"/>
        <v>#VALUE!</v>
      </c>
      <c r="H229" s="63" t="e">
        <f t="shared" si="7"/>
        <v>#VALUE!</v>
      </c>
    </row>
    <row r="230" spans="7:8">
      <c r="G230" s="63" t="e">
        <f t="shared" si="6"/>
        <v>#VALUE!</v>
      </c>
      <c r="H230" s="63" t="e">
        <f t="shared" si="7"/>
        <v>#VALUE!</v>
      </c>
    </row>
    <row r="231" spans="7:8">
      <c r="G231" s="63" t="e">
        <f t="shared" si="6"/>
        <v>#VALUE!</v>
      </c>
      <c r="H231" s="63" t="e">
        <f t="shared" si="7"/>
        <v>#VALUE!</v>
      </c>
    </row>
    <row r="232" spans="7:8">
      <c r="G232" s="63" t="e">
        <f t="shared" si="6"/>
        <v>#VALUE!</v>
      </c>
      <c r="H232" s="63" t="e">
        <f t="shared" si="7"/>
        <v>#VALUE!</v>
      </c>
    </row>
    <row r="233" spans="7:8">
      <c r="G233" s="63" t="e">
        <f t="shared" si="6"/>
        <v>#VALUE!</v>
      </c>
      <c r="H233" s="63" t="e">
        <f t="shared" si="7"/>
        <v>#VALUE!</v>
      </c>
    </row>
    <row r="234" spans="7:8">
      <c r="G234" s="63" t="e">
        <f t="shared" si="6"/>
        <v>#VALUE!</v>
      </c>
      <c r="H234" s="63" t="e">
        <f t="shared" si="7"/>
        <v>#VALUE!</v>
      </c>
    </row>
    <row r="235" spans="7:8">
      <c r="G235" s="63" t="e">
        <f t="shared" si="6"/>
        <v>#VALUE!</v>
      </c>
      <c r="H235" s="63" t="e">
        <f t="shared" si="7"/>
        <v>#VALUE!</v>
      </c>
    </row>
    <row r="236" spans="7:8">
      <c r="G236" s="63" t="e">
        <f t="shared" si="6"/>
        <v>#VALUE!</v>
      </c>
      <c r="H236" s="63" t="e">
        <f t="shared" si="7"/>
        <v>#VALUE!</v>
      </c>
    </row>
    <row r="237" spans="7:8">
      <c r="G237" s="63" t="e">
        <f t="shared" si="6"/>
        <v>#VALUE!</v>
      </c>
      <c r="H237" s="63" t="e">
        <f t="shared" si="7"/>
        <v>#VALUE!</v>
      </c>
    </row>
    <row r="238" spans="7:8">
      <c r="G238" s="63" t="e">
        <f t="shared" si="6"/>
        <v>#VALUE!</v>
      </c>
      <c r="H238" s="63" t="e">
        <f t="shared" si="7"/>
        <v>#VALUE!</v>
      </c>
    </row>
    <row r="239" spans="7:8">
      <c r="G239" s="63" t="e">
        <f t="shared" si="6"/>
        <v>#VALUE!</v>
      </c>
      <c r="H239" s="63" t="e">
        <f t="shared" si="7"/>
        <v>#VALUE!</v>
      </c>
    </row>
    <row r="240" spans="7:8">
      <c r="G240" s="63" t="e">
        <f t="shared" si="6"/>
        <v>#VALUE!</v>
      </c>
      <c r="H240" s="63" t="e">
        <f t="shared" si="7"/>
        <v>#VALUE!</v>
      </c>
    </row>
    <row r="241" spans="7:8">
      <c r="G241" s="63" t="e">
        <f t="shared" si="6"/>
        <v>#VALUE!</v>
      </c>
      <c r="H241" s="63" t="e">
        <f t="shared" si="7"/>
        <v>#VALUE!</v>
      </c>
    </row>
    <row r="242" spans="7:8">
      <c r="G242" s="63" t="e">
        <f t="shared" si="6"/>
        <v>#VALUE!</v>
      </c>
      <c r="H242" s="63" t="e">
        <f t="shared" si="7"/>
        <v>#VALUE!</v>
      </c>
    </row>
    <row r="243" spans="7:8">
      <c r="G243" s="63" t="e">
        <f t="shared" si="6"/>
        <v>#VALUE!</v>
      </c>
      <c r="H243" s="63" t="e">
        <f t="shared" si="7"/>
        <v>#VALUE!</v>
      </c>
    </row>
    <row r="244" spans="7:8">
      <c r="G244" s="63" t="e">
        <f t="shared" si="6"/>
        <v>#VALUE!</v>
      </c>
      <c r="H244" s="63" t="e">
        <f t="shared" si="7"/>
        <v>#VALUE!</v>
      </c>
    </row>
    <row r="245" spans="7:8">
      <c r="G245" s="63" t="e">
        <f t="shared" si="6"/>
        <v>#VALUE!</v>
      </c>
      <c r="H245" s="63" t="e">
        <f t="shared" si="7"/>
        <v>#VALUE!</v>
      </c>
    </row>
    <row r="246" spans="7:8">
      <c r="G246" s="63" t="e">
        <f t="shared" si="6"/>
        <v>#VALUE!</v>
      </c>
      <c r="H246" s="63" t="e">
        <f t="shared" si="7"/>
        <v>#VALUE!</v>
      </c>
    </row>
    <row r="247" spans="7:8">
      <c r="G247" s="63" t="e">
        <f t="shared" si="6"/>
        <v>#VALUE!</v>
      </c>
      <c r="H247" s="63" t="e">
        <f t="shared" si="7"/>
        <v>#VALUE!</v>
      </c>
    </row>
    <row r="248" spans="7:8">
      <c r="G248" s="63" t="e">
        <f t="shared" si="6"/>
        <v>#VALUE!</v>
      </c>
      <c r="H248" s="63" t="e">
        <f t="shared" si="7"/>
        <v>#VALUE!</v>
      </c>
    </row>
    <row r="249" spans="7:8">
      <c r="G249" s="63" t="e">
        <f t="shared" si="6"/>
        <v>#VALUE!</v>
      </c>
      <c r="H249" s="63" t="e">
        <f t="shared" si="7"/>
        <v>#VALUE!</v>
      </c>
    </row>
    <row r="250" spans="7:8">
      <c r="G250" s="63" t="e">
        <f t="shared" si="6"/>
        <v>#VALUE!</v>
      </c>
      <c r="H250" s="63" t="e">
        <f t="shared" si="7"/>
        <v>#VALUE!</v>
      </c>
    </row>
    <row r="251" spans="7:8">
      <c r="G251" s="63" t="e">
        <f t="shared" si="6"/>
        <v>#VALUE!</v>
      </c>
      <c r="H251" s="63" t="e">
        <f t="shared" si="7"/>
        <v>#VALUE!</v>
      </c>
    </row>
    <row r="252" spans="7:8">
      <c r="G252" s="63" t="e">
        <f t="shared" si="6"/>
        <v>#VALUE!</v>
      </c>
      <c r="H252" s="63" t="e">
        <f t="shared" si="7"/>
        <v>#VALUE!</v>
      </c>
    </row>
    <row r="253" spans="7:8">
      <c r="G253" s="63" t="e">
        <f t="shared" si="6"/>
        <v>#VALUE!</v>
      </c>
      <c r="H253" s="63" t="e">
        <f t="shared" si="7"/>
        <v>#VALUE!</v>
      </c>
    </row>
    <row r="254" spans="7:8">
      <c r="G254" s="63" t="e">
        <f t="shared" si="6"/>
        <v>#VALUE!</v>
      </c>
      <c r="H254" s="63" t="e">
        <f t="shared" si="7"/>
        <v>#VALUE!</v>
      </c>
    </row>
    <row r="255" spans="7:8">
      <c r="G255" s="63" t="e">
        <f t="shared" si="6"/>
        <v>#VALUE!</v>
      </c>
      <c r="H255" s="63" t="e">
        <f t="shared" si="7"/>
        <v>#VALUE!</v>
      </c>
    </row>
    <row r="256" spans="7:8">
      <c r="G256" s="63" t="e">
        <f t="shared" si="6"/>
        <v>#VALUE!</v>
      </c>
      <c r="H256" s="63" t="e">
        <f t="shared" si="7"/>
        <v>#VALUE!</v>
      </c>
    </row>
    <row r="257" spans="7:8">
      <c r="G257" s="63" t="e">
        <f t="shared" si="6"/>
        <v>#VALUE!</v>
      </c>
      <c r="H257" s="63" t="e">
        <f t="shared" si="7"/>
        <v>#VALUE!</v>
      </c>
    </row>
    <row r="258" spans="7:8">
      <c r="G258" s="63" t="e">
        <f t="shared" si="6"/>
        <v>#VALUE!</v>
      </c>
      <c r="H258" s="63" t="e">
        <f t="shared" si="7"/>
        <v>#VALUE!</v>
      </c>
    </row>
    <row r="259" spans="7:8">
      <c r="G259" s="63" t="e">
        <f t="shared" ref="G259:G322" si="8">IF(OR(A259="RID_PB77",A259="RID_PB77A3"),"WPCI77",IF(A259="RIDTCIAS","CSCI49",IF(A259="RID_HCPTM","CHCPT_",IF(LEFT(A259,1)="C",A259,MID(A259,6,LEN(A259)-5)))))</f>
        <v>#VALUE!</v>
      </c>
      <c r="H259" s="63" t="e">
        <f t="shared" ref="H259:H322" si="9">IF(OR(G259="MJG1",G259="MJG2"),"MJG",G259)&amp;"_"&amp;B259</f>
        <v>#VALUE!</v>
      </c>
    </row>
    <row r="260" spans="7:8">
      <c r="G260" s="63" t="e">
        <f t="shared" si="8"/>
        <v>#VALUE!</v>
      </c>
      <c r="H260" s="63" t="e">
        <f t="shared" si="9"/>
        <v>#VALUE!</v>
      </c>
    </row>
    <row r="261" spans="7:8">
      <c r="G261" s="63" t="e">
        <f t="shared" si="8"/>
        <v>#VALUE!</v>
      </c>
      <c r="H261" s="63" t="e">
        <f t="shared" si="9"/>
        <v>#VALUE!</v>
      </c>
    </row>
    <row r="262" spans="7:8">
      <c r="G262" s="63" t="e">
        <f t="shared" si="8"/>
        <v>#VALUE!</v>
      </c>
      <c r="H262" s="63" t="e">
        <f t="shared" si="9"/>
        <v>#VALUE!</v>
      </c>
    </row>
    <row r="263" spans="7:8">
      <c r="G263" s="63" t="e">
        <f t="shared" si="8"/>
        <v>#VALUE!</v>
      </c>
      <c r="H263" s="63" t="e">
        <f t="shared" si="9"/>
        <v>#VALUE!</v>
      </c>
    </row>
    <row r="264" spans="7:8">
      <c r="G264" s="63" t="e">
        <f t="shared" si="8"/>
        <v>#VALUE!</v>
      </c>
      <c r="H264" s="63" t="e">
        <f t="shared" si="9"/>
        <v>#VALUE!</v>
      </c>
    </row>
    <row r="265" spans="7:8">
      <c r="G265" s="63" t="e">
        <f t="shared" si="8"/>
        <v>#VALUE!</v>
      </c>
      <c r="H265" s="63" t="e">
        <f t="shared" si="9"/>
        <v>#VALUE!</v>
      </c>
    </row>
    <row r="266" spans="7:8">
      <c r="G266" s="63" t="e">
        <f t="shared" si="8"/>
        <v>#VALUE!</v>
      </c>
      <c r="H266" s="63" t="e">
        <f t="shared" si="9"/>
        <v>#VALUE!</v>
      </c>
    </row>
    <row r="267" spans="7:8">
      <c r="G267" s="63" t="e">
        <f t="shared" si="8"/>
        <v>#VALUE!</v>
      </c>
      <c r="H267" s="63" t="e">
        <f t="shared" si="9"/>
        <v>#VALUE!</v>
      </c>
    </row>
    <row r="268" spans="7:8">
      <c r="G268" s="63" t="e">
        <f t="shared" si="8"/>
        <v>#VALUE!</v>
      </c>
      <c r="H268" s="63" t="e">
        <f t="shared" si="9"/>
        <v>#VALUE!</v>
      </c>
    </row>
    <row r="269" spans="7:8">
      <c r="G269" s="63" t="e">
        <f t="shared" si="8"/>
        <v>#VALUE!</v>
      </c>
      <c r="H269" s="63" t="e">
        <f t="shared" si="9"/>
        <v>#VALUE!</v>
      </c>
    </row>
    <row r="270" spans="7:8">
      <c r="G270" s="63" t="e">
        <f t="shared" si="8"/>
        <v>#VALUE!</v>
      </c>
      <c r="H270" s="63" t="e">
        <f t="shared" si="9"/>
        <v>#VALUE!</v>
      </c>
    </row>
    <row r="271" spans="7:8">
      <c r="G271" s="63" t="e">
        <f t="shared" si="8"/>
        <v>#VALUE!</v>
      </c>
      <c r="H271" s="63" t="e">
        <f t="shared" si="9"/>
        <v>#VALUE!</v>
      </c>
    </row>
    <row r="272" spans="7:8">
      <c r="G272" s="63" t="e">
        <f t="shared" si="8"/>
        <v>#VALUE!</v>
      </c>
      <c r="H272" s="63" t="e">
        <f t="shared" si="9"/>
        <v>#VALUE!</v>
      </c>
    </row>
    <row r="273" spans="7:8">
      <c r="G273" s="63" t="e">
        <f t="shared" si="8"/>
        <v>#VALUE!</v>
      </c>
      <c r="H273" s="63" t="e">
        <f t="shared" si="9"/>
        <v>#VALUE!</v>
      </c>
    </row>
    <row r="274" spans="7:8">
      <c r="G274" s="63" t="e">
        <f t="shared" si="8"/>
        <v>#VALUE!</v>
      </c>
      <c r="H274" s="63" t="e">
        <f t="shared" si="9"/>
        <v>#VALUE!</v>
      </c>
    </row>
    <row r="275" spans="7:8">
      <c r="G275" s="63" t="e">
        <f t="shared" si="8"/>
        <v>#VALUE!</v>
      </c>
      <c r="H275" s="63" t="e">
        <f t="shared" si="9"/>
        <v>#VALUE!</v>
      </c>
    </row>
    <row r="276" spans="7:8">
      <c r="G276" s="63" t="e">
        <f t="shared" si="8"/>
        <v>#VALUE!</v>
      </c>
      <c r="H276" s="63" t="e">
        <f t="shared" si="9"/>
        <v>#VALUE!</v>
      </c>
    </row>
    <row r="277" spans="7:8">
      <c r="G277" s="63" t="e">
        <f t="shared" si="8"/>
        <v>#VALUE!</v>
      </c>
      <c r="H277" s="63" t="e">
        <f t="shared" si="9"/>
        <v>#VALUE!</v>
      </c>
    </row>
    <row r="278" spans="7:8">
      <c r="G278" s="63" t="e">
        <f t="shared" si="8"/>
        <v>#VALUE!</v>
      </c>
      <c r="H278" s="63" t="e">
        <f t="shared" si="9"/>
        <v>#VALUE!</v>
      </c>
    </row>
    <row r="279" spans="7:8">
      <c r="G279" s="63" t="e">
        <f t="shared" si="8"/>
        <v>#VALUE!</v>
      </c>
      <c r="H279" s="63" t="e">
        <f t="shared" si="9"/>
        <v>#VALUE!</v>
      </c>
    </row>
    <row r="280" spans="7:8">
      <c r="G280" s="63" t="e">
        <f t="shared" si="8"/>
        <v>#VALUE!</v>
      </c>
      <c r="H280" s="63" t="e">
        <f t="shared" si="9"/>
        <v>#VALUE!</v>
      </c>
    </row>
    <row r="281" spans="7:8">
      <c r="G281" s="63" t="e">
        <f t="shared" si="8"/>
        <v>#VALUE!</v>
      </c>
      <c r="H281" s="63" t="e">
        <f t="shared" si="9"/>
        <v>#VALUE!</v>
      </c>
    </row>
    <row r="282" spans="7:8">
      <c r="G282" s="63" t="e">
        <f t="shared" si="8"/>
        <v>#VALUE!</v>
      </c>
      <c r="H282" s="63" t="e">
        <f t="shared" si="9"/>
        <v>#VALUE!</v>
      </c>
    </row>
    <row r="283" spans="7:8">
      <c r="G283" s="63" t="e">
        <f t="shared" si="8"/>
        <v>#VALUE!</v>
      </c>
      <c r="H283" s="63" t="e">
        <f t="shared" si="9"/>
        <v>#VALUE!</v>
      </c>
    </row>
    <row r="284" spans="7:8">
      <c r="G284" s="63" t="e">
        <f t="shared" si="8"/>
        <v>#VALUE!</v>
      </c>
      <c r="H284" s="63" t="e">
        <f t="shared" si="9"/>
        <v>#VALUE!</v>
      </c>
    </row>
    <row r="285" spans="7:8">
      <c r="G285" s="63" t="e">
        <f t="shared" si="8"/>
        <v>#VALUE!</v>
      </c>
      <c r="H285" s="63" t="e">
        <f t="shared" si="9"/>
        <v>#VALUE!</v>
      </c>
    </row>
    <row r="286" spans="7:8">
      <c r="G286" s="63" t="e">
        <f t="shared" si="8"/>
        <v>#VALUE!</v>
      </c>
      <c r="H286" s="63" t="e">
        <f t="shared" si="9"/>
        <v>#VALUE!</v>
      </c>
    </row>
    <row r="287" spans="7:8">
      <c r="G287" s="63" t="e">
        <f t="shared" si="8"/>
        <v>#VALUE!</v>
      </c>
      <c r="H287" s="63" t="e">
        <f t="shared" si="9"/>
        <v>#VALUE!</v>
      </c>
    </row>
    <row r="288" spans="7:8">
      <c r="G288" s="63" t="e">
        <f t="shared" si="8"/>
        <v>#VALUE!</v>
      </c>
      <c r="H288" s="63" t="e">
        <f t="shared" si="9"/>
        <v>#VALUE!</v>
      </c>
    </row>
    <row r="289" spans="7:8">
      <c r="G289" s="63" t="e">
        <f t="shared" si="8"/>
        <v>#VALUE!</v>
      </c>
      <c r="H289" s="63" t="e">
        <f t="shared" si="9"/>
        <v>#VALUE!</v>
      </c>
    </row>
    <row r="290" spans="7:8">
      <c r="G290" s="63" t="e">
        <f t="shared" si="8"/>
        <v>#VALUE!</v>
      </c>
      <c r="H290" s="63" t="e">
        <f t="shared" si="9"/>
        <v>#VALUE!</v>
      </c>
    </row>
    <row r="291" spans="7:8">
      <c r="G291" s="63" t="e">
        <f t="shared" si="8"/>
        <v>#VALUE!</v>
      </c>
      <c r="H291" s="63" t="e">
        <f t="shared" si="9"/>
        <v>#VALUE!</v>
      </c>
    </row>
    <row r="292" spans="7:8">
      <c r="G292" s="63" t="e">
        <f t="shared" si="8"/>
        <v>#VALUE!</v>
      </c>
      <c r="H292" s="63" t="e">
        <f t="shared" si="9"/>
        <v>#VALUE!</v>
      </c>
    </row>
    <row r="293" spans="7:8">
      <c r="G293" s="63" t="e">
        <f t="shared" si="8"/>
        <v>#VALUE!</v>
      </c>
      <c r="H293" s="63" t="e">
        <f t="shared" si="9"/>
        <v>#VALUE!</v>
      </c>
    </row>
    <row r="294" spans="7:8">
      <c r="G294" s="63" t="e">
        <f t="shared" si="8"/>
        <v>#VALUE!</v>
      </c>
      <c r="H294" s="63" t="e">
        <f t="shared" si="9"/>
        <v>#VALUE!</v>
      </c>
    </row>
    <row r="295" spans="7:8">
      <c r="G295" s="63" t="e">
        <f t="shared" si="8"/>
        <v>#VALUE!</v>
      </c>
      <c r="H295" s="63" t="e">
        <f t="shared" si="9"/>
        <v>#VALUE!</v>
      </c>
    </row>
    <row r="296" spans="7:8">
      <c r="G296" s="63" t="e">
        <f t="shared" si="8"/>
        <v>#VALUE!</v>
      </c>
      <c r="H296" s="63" t="e">
        <f t="shared" si="9"/>
        <v>#VALUE!</v>
      </c>
    </row>
    <row r="297" spans="7:8">
      <c r="G297" s="63" t="e">
        <f t="shared" si="8"/>
        <v>#VALUE!</v>
      </c>
      <c r="H297" s="63" t="e">
        <f t="shared" si="9"/>
        <v>#VALUE!</v>
      </c>
    </row>
    <row r="298" spans="7:8">
      <c r="G298" s="63" t="e">
        <f t="shared" si="8"/>
        <v>#VALUE!</v>
      </c>
      <c r="H298" s="63" t="e">
        <f t="shared" si="9"/>
        <v>#VALUE!</v>
      </c>
    </row>
    <row r="299" spans="7:8">
      <c r="G299" s="63" t="e">
        <f t="shared" si="8"/>
        <v>#VALUE!</v>
      </c>
      <c r="H299" s="63" t="e">
        <f t="shared" si="9"/>
        <v>#VALUE!</v>
      </c>
    </row>
    <row r="300" spans="7:8">
      <c r="G300" s="63" t="e">
        <f t="shared" si="8"/>
        <v>#VALUE!</v>
      </c>
      <c r="H300" s="63" t="e">
        <f t="shared" si="9"/>
        <v>#VALUE!</v>
      </c>
    </row>
    <row r="301" spans="7:8">
      <c r="G301" s="63" t="e">
        <f t="shared" si="8"/>
        <v>#VALUE!</v>
      </c>
      <c r="H301" s="63" t="e">
        <f t="shared" si="9"/>
        <v>#VALUE!</v>
      </c>
    </row>
    <row r="302" spans="7:8">
      <c r="G302" s="63" t="e">
        <f t="shared" si="8"/>
        <v>#VALUE!</v>
      </c>
      <c r="H302" s="63" t="e">
        <f t="shared" si="9"/>
        <v>#VALUE!</v>
      </c>
    </row>
    <row r="303" spans="7:8">
      <c r="G303" s="63" t="e">
        <f t="shared" si="8"/>
        <v>#VALUE!</v>
      </c>
      <c r="H303" s="63" t="e">
        <f t="shared" si="9"/>
        <v>#VALUE!</v>
      </c>
    </row>
    <row r="304" spans="7:8">
      <c r="G304" s="63" t="e">
        <f t="shared" si="8"/>
        <v>#VALUE!</v>
      </c>
      <c r="H304" s="63" t="e">
        <f t="shared" si="9"/>
        <v>#VALUE!</v>
      </c>
    </row>
    <row r="305" spans="7:8">
      <c r="G305" s="63" t="e">
        <f t="shared" si="8"/>
        <v>#VALUE!</v>
      </c>
      <c r="H305" s="63" t="e">
        <f t="shared" si="9"/>
        <v>#VALUE!</v>
      </c>
    </row>
    <row r="306" spans="7:8">
      <c r="G306" s="63" t="e">
        <f t="shared" si="8"/>
        <v>#VALUE!</v>
      </c>
      <c r="H306" s="63" t="e">
        <f t="shared" si="9"/>
        <v>#VALUE!</v>
      </c>
    </row>
    <row r="307" spans="7:8">
      <c r="G307" s="63" t="e">
        <f t="shared" si="8"/>
        <v>#VALUE!</v>
      </c>
      <c r="H307" s="63" t="e">
        <f t="shared" si="9"/>
        <v>#VALUE!</v>
      </c>
    </row>
    <row r="308" spans="7:8">
      <c r="G308" s="63" t="e">
        <f t="shared" si="8"/>
        <v>#VALUE!</v>
      </c>
      <c r="H308" s="63" t="e">
        <f t="shared" si="9"/>
        <v>#VALUE!</v>
      </c>
    </row>
    <row r="309" spans="7:8">
      <c r="G309" s="63" t="e">
        <f t="shared" si="8"/>
        <v>#VALUE!</v>
      </c>
      <c r="H309" s="63" t="e">
        <f t="shared" si="9"/>
        <v>#VALUE!</v>
      </c>
    </row>
    <row r="310" spans="7:8">
      <c r="G310" s="63" t="e">
        <f t="shared" si="8"/>
        <v>#VALUE!</v>
      </c>
      <c r="H310" s="63" t="e">
        <f t="shared" si="9"/>
        <v>#VALUE!</v>
      </c>
    </row>
    <row r="311" spans="7:8">
      <c r="G311" s="63" t="e">
        <f t="shared" si="8"/>
        <v>#VALUE!</v>
      </c>
      <c r="H311" s="63" t="e">
        <f t="shared" si="9"/>
        <v>#VALUE!</v>
      </c>
    </row>
    <row r="312" spans="7:8">
      <c r="G312" s="63" t="e">
        <f t="shared" si="8"/>
        <v>#VALUE!</v>
      </c>
      <c r="H312" s="63" t="e">
        <f t="shared" si="9"/>
        <v>#VALUE!</v>
      </c>
    </row>
    <row r="313" spans="7:8">
      <c r="G313" s="63" t="e">
        <f t="shared" si="8"/>
        <v>#VALUE!</v>
      </c>
      <c r="H313" s="63" t="e">
        <f t="shared" si="9"/>
        <v>#VALUE!</v>
      </c>
    </row>
    <row r="314" spans="7:8">
      <c r="G314" s="63" t="e">
        <f t="shared" si="8"/>
        <v>#VALUE!</v>
      </c>
      <c r="H314" s="63" t="e">
        <f t="shared" si="9"/>
        <v>#VALUE!</v>
      </c>
    </row>
    <row r="315" spans="7:8">
      <c r="G315" s="63" t="e">
        <f t="shared" si="8"/>
        <v>#VALUE!</v>
      </c>
      <c r="H315" s="63" t="e">
        <f t="shared" si="9"/>
        <v>#VALUE!</v>
      </c>
    </row>
    <row r="316" spans="7:8">
      <c r="G316" s="63" t="e">
        <f t="shared" si="8"/>
        <v>#VALUE!</v>
      </c>
      <c r="H316" s="63" t="e">
        <f t="shared" si="9"/>
        <v>#VALUE!</v>
      </c>
    </row>
    <row r="317" spans="7:8">
      <c r="G317" s="63" t="e">
        <f t="shared" si="8"/>
        <v>#VALUE!</v>
      </c>
      <c r="H317" s="63" t="e">
        <f t="shared" si="9"/>
        <v>#VALUE!</v>
      </c>
    </row>
    <row r="318" spans="7:8">
      <c r="G318" s="63" t="e">
        <f t="shared" si="8"/>
        <v>#VALUE!</v>
      </c>
      <c r="H318" s="63" t="e">
        <f t="shared" si="9"/>
        <v>#VALUE!</v>
      </c>
    </row>
    <row r="319" spans="7:8">
      <c r="G319" s="63" t="e">
        <f t="shared" si="8"/>
        <v>#VALUE!</v>
      </c>
      <c r="H319" s="63" t="e">
        <f t="shared" si="9"/>
        <v>#VALUE!</v>
      </c>
    </row>
    <row r="320" spans="7:8">
      <c r="G320" s="63" t="e">
        <f t="shared" si="8"/>
        <v>#VALUE!</v>
      </c>
      <c r="H320" s="63" t="e">
        <f t="shared" si="9"/>
        <v>#VALUE!</v>
      </c>
    </row>
    <row r="321" spans="7:8">
      <c r="G321" s="63" t="e">
        <f t="shared" si="8"/>
        <v>#VALUE!</v>
      </c>
      <c r="H321" s="63" t="e">
        <f t="shared" si="9"/>
        <v>#VALUE!</v>
      </c>
    </row>
    <row r="322" spans="7:8">
      <c r="G322" s="63" t="e">
        <f t="shared" si="8"/>
        <v>#VALUE!</v>
      </c>
      <c r="H322" s="63" t="e">
        <f t="shared" si="9"/>
        <v>#VALUE!</v>
      </c>
    </row>
    <row r="323" spans="7:8">
      <c r="G323" s="63" t="e">
        <f t="shared" ref="G323:G386" si="10">IF(OR(A323="RID_PB77",A323="RID_PB77A3"),"WPCI77",IF(A323="RIDTCIAS","CSCI49",IF(A323="RID_HCPTM","CHCPT_",IF(LEFT(A323,1)="C",A323,MID(A323,6,LEN(A323)-5)))))</f>
        <v>#VALUE!</v>
      </c>
      <c r="H323" s="63" t="e">
        <f t="shared" ref="H323:H386" si="11">IF(OR(G323="MJG1",G323="MJG2"),"MJG",G323)&amp;"_"&amp;B323</f>
        <v>#VALUE!</v>
      </c>
    </row>
    <row r="324" spans="7:8">
      <c r="G324" s="63" t="e">
        <f t="shared" si="10"/>
        <v>#VALUE!</v>
      </c>
      <c r="H324" s="63" t="e">
        <f t="shared" si="11"/>
        <v>#VALUE!</v>
      </c>
    </row>
    <row r="325" spans="7:8">
      <c r="G325" s="63" t="e">
        <f t="shared" si="10"/>
        <v>#VALUE!</v>
      </c>
      <c r="H325" s="63" t="e">
        <f t="shared" si="11"/>
        <v>#VALUE!</v>
      </c>
    </row>
    <row r="326" spans="7:8">
      <c r="G326" s="63" t="e">
        <f t="shared" si="10"/>
        <v>#VALUE!</v>
      </c>
      <c r="H326" s="63" t="e">
        <f t="shared" si="11"/>
        <v>#VALUE!</v>
      </c>
    </row>
    <row r="327" spans="7:8">
      <c r="G327" s="63" t="e">
        <f t="shared" si="10"/>
        <v>#VALUE!</v>
      </c>
      <c r="H327" s="63" t="e">
        <f t="shared" si="11"/>
        <v>#VALUE!</v>
      </c>
    </row>
    <row r="328" spans="7:8">
      <c r="G328" s="63" t="e">
        <f t="shared" si="10"/>
        <v>#VALUE!</v>
      </c>
      <c r="H328" s="63" t="e">
        <f t="shared" si="11"/>
        <v>#VALUE!</v>
      </c>
    </row>
    <row r="329" spans="7:8">
      <c r="G329" s="63" t="e">
        <f t="shared" si="10"/>
        <v>#VALUE!</v>
      </c>
      <c r="H329" s="63" t="e">
        <f t="shared" si="11"/>
        <v>#VALUE!</v>
      </c>
    </row>
    <row r="330" spans="7:8">
      <c r="G330" s="63" t="e">
        <f t="shared" si="10"/>
        <v>#VALUE!</v>
      </c>
      <c r="H330" s="63" t="e">
        <f t="shared" si="11"/>
        <v>#VALUE!</v>
      </c>
    </row>
    <row r="331" spans="7:8">
      <c r="G331" s="63" t="e">
        <f t="shared" si="10"/>
        <v>#VALUE!</v>
      </c>
      <c r="H331" s="63" t="e">
        <f t="shared" si="11"/>
        <v>#VALUE!</v>
      </c>
    </row>
    <row r="332" spans="7:8">
      <c r="G332" s="63" t="e">
        <f t="shared" si="10"/>
        <v>#VALUE!</v>
      </c>
      <c r="H332" s="63" t="e">
        <f t="shared" si="11"/>
        <v>#VALUE!</v>
      </c>
    </row>
    <row r="333" spans="7:8">
      <c r="G333" s="63" t="e">
        <f t="shared" si="10"/>
        <v>#VALUE!</v>
      </c>
      <c r="H333" s="63" t="e">
        <f t="shared" si="11"/>
        <v>#VALUE!</v>
      </c>
    </row>
    <row r="334" spans="7:8">
      <c r="G334" s="63" t="e">
        <f t="shared" si="10"/>
        <v>#VALUE!</v>
      </c>
      <c r="H334" s="63" t="e">
        <f t="shared" si="11"/>
        <v>#VALUE!</v>
      </c>
    </row>
    <row r="335" spans="7:8">
      <c r="G335" s="63" t="e">
        <f t="shared" si="10"/>
        <v>#VALUE!</v>
      </c>
      <c r="H335" s="63" t="e">
        <f t="shared" si="11"/>
        <v>#VALUE!</v>
      </c>
    </row>
    <row r="336" spans="7:8">
      <c r="G336" s="63" t="e">
        <f t="shared" si="10"/>
        <v>#VALUE!</v>
      </c>
      <c r="H336" s="63" t="e">
        <f t="shared" si="11"/>
        <v>#VALUE!</v>
      </c>
    </row>
    <row r="337" spans="7:8">
      <c r="G337" s="63" t="e">
        <f t="shared" si="10"/>
        <v>#VALUE!</v>
      </c>
      <c r="H337" s="63" t="e">
        <f t="shared" si="11"/>
        <v>#VALUE!</v>
      </c>
    </row>
    <row r="338" spans="7:8">
      <c r="G338" s="63" t="e">
        <f t="shared" si="10"/>
        <v>#VALUE!</v>
      </c>
      <c r="H338" s="63" t="e">
        <f t="shared" si="11"/>
        <v>#VALUE!</v>
      </c>
    </row>
    <row r="339" spans="7:8">
      <c r="G339" s="63" t="e">
        <f t="shared" si="10"/>
        <v>#VALUE!</v>
      </c>
      <c r="H339" s="63" t="e">
        <f t="shared" si="11"/>
        <v>#VALUE!</v>
      </c>
    </row>
    <row r="340" spans="7:8">
      <c r="G340" s="63" t="e">
        <f t="shared" si="10"/>
        <v>#VALUE!</v>
      </c>
      <c r="H340" s="63" t="e">
        <f t="shared" si="11"/>
        <v>#VALUE!</v>
      </c>
    </row>
    <row r="341" spans="7:8">
      <c r="G341" s="63" t="e">
        <f t="shared" si="10"/>
        <v>#VALUE!</v>
      </c>
      <c r="H341" s="63" t="e">
        <f t="shared" si="11"/>
        <v>#VALUE!</v>
      </c>
    </row>
    <row r="342" spans="7:8">
      <c r="G342" s="63" t="e">
        <f t="shared" si="10"/>
        <v>#VALUE!</v>
      </c>
      <c r="H342" s="63" t="e">
        <f t="shared" si="11"/>
        <v>#VALUE!</v>
      </c>
    </row>
    <row r="343" spans="7:8">
      <c r="G343" s="63" t="e">
        <f t="shared" si="10"/>
        <v>#VALUE!</v>
      </c>
      <c r="H343" s="63" t="e">
        <f t="shared" si="11"/>
        <v>#VALUE!</v>
      </c>
    </row>
    <row r="344" spans="7:8">
      <c r="G344" s="63" t="e">
        <f t="shared" si="10"/>
        <v>#VALUE!</v>
      </c>
      <c r="H344" s="63" t="e">
        <f t="shared" si="11"/>
        <v>#VALUE!</v>
      </c>
    </row>
    <row r="345" spans="7:8">
      <c r="G345" s="63" t="e">
        <f t="shared" si="10"/>
        <v>#VALUE!</v>
      </c>
      <c r="H345" s="63" t="e">
        <f t="shared" si="11"/>
        <v>#VALUE!</v>
      </c>
    </row>
    <row r="346" spans="7:8">
      <c r="G346" s="63" t="e">
        <f t="shared" si="10"/>
        <v>#VALUE!</v>
      </c>
      <c r="H346" s="63" t="e">
        <f t="shared" si="11"/>
        <v>#VALUE!</v>
      </c>
    </row>
    <row r="347" spans="7:8">
      <c r="G347" s="63" t="e">
        <f t="shared" si="10"/>
        <v>#VALUE!</v>
      </c>
      <c r="H347" s="63" t="e">
        <f t="shared" si="11"/>
        <v>#VALUE!</v>
      </c>
    </row>
    <row r="348" spans="7:8">
      <c r="G348" s="63" t="e">
        <f t="shared" si="10"/>
        <v>#VALUE!</v>
      </c>
      <c r="H348" s="63" t="e">
        <f t="shared" si="11"/>
        <v>#VALUE!</v>
      </c>
    </row>
    <row r="349" spans="7:8">
      <c r="G349" s="63" t="e">
        <f t="shared" si="10"/>
        <v>#VALUE!</v>
      </c>
      <c r="H349" s="63" t="e">
        <f t="shared" si="11"/>
        <v>#VALUE!</v>
      </c>
    </row>
    <row r="350" spans="7:8">
      <c r="G350" s="63" t="e">
        <f t="shared" si="10"/>
        <v>#VALUE!</v>
      </c>
      <c r="H350" s="63" t="e">
        <f t="shared" si="11"/>
        <v>#VALUE!</v>
      </c>
    </row>
    <row r="351" spans="7:8">
      <c r="G351" s="63" t="e">
        <f t="shared" si="10"/>
        <v>#VALUE!</v>
      </c>
      <c r="H351" s="63" t="e">
        <f t="shared" si="11"/>
        <v>#VALUE!</v>
      </c>
    </row>
    <row r="352" spans="7:8">
      <c r="G352" s="63" t="e">
        <f t="shared" si="10"/>
        <v>#VALUE!</v>
      </c>
      <c r="H352" s="63" t="e">
        <f t="shared" si="11"/>
        <v>#VALUE!</v>
      </c>
    </row>
    <row r="353" spans="7:8">
      <c r="G353" s="63" t="e">
        <f t="shared" si="10"/>
        <v>#VALUE!</v>
      </c>
      <c r="H353" s="63" t="e">
        <f t="shared" si="11"/>
        <v>#VALUE!</v>
      </c>
    </row>
    <row r="354" spans="7:8">
      <c r="G354" s="63" t="e">
        <f t="shared" si="10"/>
        <v>#VALUE!</v>
      </c>
      <c r="H354" s="63" t="e">
        <f t="shared" si="11"/>
        <v>#VALUE!</v>
      </c>
    </row>
    <row r="355" spans="7:8">
      <c r="G355" s="63" t="e">
        <f t="shared" si="10"/>
        <v>#VALUE!</v>
      </c>
      <c r="H355" s="63" t="e">
        <f t="shared" si="11"/>
        <v>#VALUE!</v>
      </c>
    </row>
    <row r="356" spans="7:8">
      <c r="G356" s="63" t="e">
        <f t="shared" si="10"/>
        <v>#VALUE!</v>
      </c>
      <c r="H356" s="63" t="e">
        <f t="shared" si="11"/>
        <v>#VALUE!</v>
      </c>
    </row>
    <row r="357" spans="7:8">
      <c r="G357" s="63" t="e">
        <f t="shared" si="10"/>
        <v>#VALUE!</v>
      </c>
      <c r="H357" s="63" t="e">
        <f t="shared" si="11"/>
        <v>#VALUE!</v>
      </c>
    </row>
    <row r="358" spans="7:8">
      <c r="G358" s="63" t="e">
        <f t="shared" si="10"/>
        <v>#VALUE!</v>
      </c>
      <c r="H358" s="63" t="e">
        <f t="shared" si="11"/>
        <v>#VALUE!</v>
      </c>
    </row>
    <row r="359" spans="7:8">
      <c r="G359" s="63" t="e">
        <f t="shared" si="10"/>
        <v>#VALUE!</v>
      </c>
      <c r="H359" s="63" t="e">
        <f t="shared" si="11"/>
        <v>#VALUE!</v>
      </c>
    </row>
    <row r="360" spans="7:8">
      <c r="G360" s="63" t="e">
        <f t="shared" si="10"/>
        <v>#VALUE!</v>
      </c>
      <c r="H360" s="63" t="e">
        <f t="shared" si="11"/>
        <v>#VALUE!</v>
      </c>
    </row>
    <row r="361" spans="7:8">
      <c r="G361" s="63" t="e">
        <f t="shared" si="10"/>
        <v>#VALUE!</v>
      </c>
      <c r="H361" s="63" t="e">
        <f t="shared" si="11"/>
        <v>#VALUE!</v>
      </c>
    </row>
    <row r="362" spans="7:8">
      <c r="G362" s="63" t="e">
        <f t="shared" si="10"/>
        <v>#VALUE!</v>
      </c>
      <c r="H362" s="63" t="e">
        <f t="shared" si="11"/>
        <v>#VALUE!</v>
      </c>
    </row>
    <row r="363" spans="7:8">
      <c r="G363" s="63" t="e">
        <f t="shared" si="10"/>
        <v>#VALUE!</v>
      </c>
      <c r="H363" s="63" t="e">
        <f t="shared" si="11"/>
        <v>#VALUE!</v>
      </c>
    </row>
    <row r="364" spans="7:8">
      <c r="G364" s="63" t="e">
        <f t="shared" si="10"/>
        <v>#VALUE!</v>
      </c>
      <c r="H364" s="63" t="e">
        <f t="shared" si="11"/>
        <v>#VALUE!</v>
      </c>
    </row>
    <row r="365" spans="7:8">
      <c r="G365" s="63" t="e">
        <f t="shared" si="10"/>
        <v>#VALUE!</v>
      </c>
      <c r="H365" s="63" t="e">
        <f t="shared" si="11"/>
        <v>#VALUE!</v>
      </c>
    </row>
    <row r="366" spans="7:8">
      <c r="G366" s="63" t="e">
        <f t="shared" si="10"/>
        <v>#VALUE!</v>
      </c>
      <c r="H366" s="63" t="e">
        <f t="shared" si="11"/>
        <v>#VALUE!</v>
      </c>
    </row>
    <row r="367" spans="7:8">
      <c r="G367" s="63" t="e">
        <f t="shared" si="10"/>
        <v>#VALUE!</v>
      </c>
      <c r="H367" s="63" t="e">
        <f t="shared" si="11"/>
        <v>#VALUE!</v>
      </c>
    </row>
    <row r="368" spans="7:8">
      <c r="G368" s="63" t="e">
        <f t="shared" si="10"/>
        <v>#VALUE!</v>
      </c>
      <c r="H368" s="63" t="e">
        <f t="shared" si="11"/>
        <v>#VALUE!</v>
      </c>
    </row>
    <row r="369" spans="7:8">
      <c r="G369" s="63" t="e">
        <f t="shared" si="10"/>
        <v>#VALUE!</v>
      </c>
      <c r="H369" s="63" t="e">
        <f t="shared" si="11"/>
        <v>#VALUE!</v>
      </c>
    </row>
    <row r="370" spans="7:8">
      <c r="G370" s="63" t="e">
        <f t="shared" si="10"/>
        <v>#VALUE!</v>
      </c>
      <c r="H370" s="63" t="e">
        <f t="shared" si="11"/>
        <v>#VALUE!</v>
      </c>
    </row>
    <row r="371" spans="7:8">
      <c r="G371" s="63" t="e">
        <f t="shared" si="10"/>
        <v>#VALUE!</v>
      </c>
      <c r="H371" s="63" t="e">
        <f t="shared" si="11"/>
        <v>#VALUE!</v>
      </c>
    </row>
    <row r="372" spans="7:8">
      <c r="G372" s="63" t="e">
        <f t="shared" si="10"/>
        <v>#VALUE!</v>
      </c>
      <c r="H372" s="63" t="e">
        <f t="shared" si="11"/>
        <v>#VALUE!</v>
      </c>
    </row>
    <row r="373" spans="7:8">
      <c r="G373" s="63" t="e">
        <f t="shared" si="10"/>
        <v>#VALUE!</v>
      </c>
      <c r="H373" s="63" t="e">
        <f t="shared" si="11"/>
        <v>#VALUE!</v>
      </c>
    </row>
    <row r="374" spans="7:8">
      <c r="G374" s="63" t="e">
        <f t="shared" si="10"/>
        <v>#VALUE!</v>
      </c>
      <c r="H374" s="63" t="e">
        <f t="shared" si="11"/>
        <v>#VALUE!</v>
      </c>
    </row>
    <row r="375" spans="7:8">
      <c r="G375" s="63" t="e">
        <f t="shared" si="10"/>
        <v>#VALUE!</v>
      </c>
      <c r="H375" s="63" t="e">
        <f t="shared" si="11"/>
        <v>#VALUE!</v>
      </c>
    </row>
    <row r="376" spans="7:8">
      <c r="G376" s="63" t="e">
        <f t="shared" si="10"/>
        <v>#VALUE!</v>
      </c>
      <c r="H376" s="63" t="e">
        <f t="shared" si="11"/>
        <v>#VALUE!</v>
      </c>
    </row>
    <row r="377" spans="7:8">
      <c r="G377" s="63" t="e">
        <f t="shared" si="10"/>
        <v>#VALUE!</v>
      </c>
      <c r="H377" s="63" t="e">
        <f t="shared" si="11"/>
        <v>#VALUE!</v>
      </c>
    </row>
    <row r="378" spans="7:8">
      <c r="G378" s="63" t="e">
        <f t="shared" si="10"/>
        <v>#VALUE!</v>
      </c>
      <c r="H378" s="63" t="e">
        <f t="shared" si="11"/>
        <v>#VALUE!</v>
      </c>
    </row>
    <row r="379" spans="7:8">
      <c r="G379" s="63" t="e">
        <f t="shared" si="10"/>
        <v>#VALUE!</v>
      </c>
      <c r="H379" s="63" t="e">
        <f t="shared" si="11"/>
        <v>#VALUE!</v>
      </c>
    </row>
    <row r="380" spans="7:8">
      <c r="G380" s="63" t="e">
        <f t="shared" si="10"/>
        <v>#VALUE!</v>
      </c>
      <c r="H380" s="63" t="e">
        <f t="shared" si="11"/>
        <v>#VALUE!</v>
      </c>
    </row>
    <row r="381" spans="7:8">
      <c r="G381" s="63" t="e">
        <f t="shared" si="10"/>
        <v>#VALUE!</v>
      </c>
      <c r="H381" s="63" t="e">
        <f t="shared" si="11"/>
        <v>#VALUE!</v>
      </c>
    </row>
    <row r="382" spans="7:8">
      <c r="G382" s="63" t="e">
        <f t="shared" si="10"/>
        <v>#VALUE!</v>
      </c>
      <c r="H382" s="63" t="e">
        <f t="shared" si="11"/>
        <v>#VALUE!</v>
      </c>
    </row>
    <row r="383" spans="7:8">
      <c r="G383" s="63" t="e">
        <f t="shared" si="10"/>
        <v>#VALUE!</v>
      </c>
      <c r="H383" s="63" t="e">
        <f t="shared" si="11"/>
        <v>#VALUE!</v>
      </c>
    </row>
    <row r="384" spans="7:8">
      <c r="G384" s="63" t="e">
        <f t="shared" si="10"/>
        <v>#VALUE!</v>
      </c>
      <c r="H384" s="63" t="e">
        <f t="shared" si="11"/>
        <v>#VALUE!</v>
      </c>
    </row>
    <row r="385" spans="7:8">
      <c r="G385" s="63" t="e">
        <f t="shared" si="10"/>
        <v>#VALUE!</v>
      </c>
      <c r="H385" s="63" t="e">
        <f t="shared" si="11"/>
        <v>#VALUE!</v>
      </c>
    </row>
    <row r="386" spans="7:8">
      <c r="G386" s="63" t="e">
        <f t="shared" si="10"/>
        <v>#VALUE!</v>
      </c>
      <c r="H386" s="63" t="e">
        <f t="shared" si="11"/>
        <v>#VALUE!</v>
      </c>
    </row>
    <row r="387" spans="7:8">
      <c r="G387" s="63" t="e">
        <f t="shared" ref="G387:G450" si="12">IF(OR(A387="RID_PB77",A387="RID_PB77A3"),"WPCI77",IF(A387="RIDTCIAS","CSCI49",IF(A387="RID_HCPTM","CHCPT_",IF(LEFT(A387,1)="C",A387,MID(A387,6,LEN(A387)-5)))))</f>
        <v>#VALUE!</v>
      </c>
      <c r="H387" s="63" t="e">
        <f t="shared" ref="H387:H450" si="13">IF(OR(G387="MJG1",G387="MJG2"),"MJG",G387)&amp;"_"&amp;B387</f>
        <v>#VALUE!</v>
      </c>
    </row>
    <row r="388" spans="7:8">
      <c r="G388" s="63" t="e">
        <f t="shared" si="12"/>
        <v>#VALUE!</v>
      </c>
      <c r="H388" s="63" t="e">
        <f t="shared" si="13"/>
        <v>#VALUE!</v>
      </c>
    </row>
    <row r="389" spans="7:8">
      <c r="G389" s="63" t="e">
        <f t="shared" si="12"/>
        <v>#VALUE!</v>
      </c>
      <c r="H389" s="63" t="e">
        <f t="shared" si="13"/>
        <v>#VALUE!</v>
      </c>
    </row>
    <row r="390" spans="7:8">
      <c r="G390" s="63" t="e">
        <f t="shared" si="12"/>
        <v>#VALUE!</v>
      </c>
      <c r="H390" s="63" t="e">
        <f t="shared" si="13"/>
        <v>#VALUE!</v>
      </c>
    </row>
    <row r="391" spans="7:8">
      <c r="G391" s="63" t="e">
        <f t="shared" si="12"/>
        <v>#VALUE!</v>
      </c>
      <c r="H391" s="63" t="e">
        <f t="shared" si="13"/>
        <v>#VALUE!</v>
      </c>
    </row>
    <row r="392" spans="7:8">
      <c r="G392" s="63" t="e">
        <f t="shared" si="12"/>
        <v>#VALUE!</v>
      </c>
      <c r="H392" s="63" t="e">
        <f t="shared" si="13"/>
        <v>#VALUE!</v>
      </c>
    </row>
    <row r="393" spans="7:8">
      <c r="G393" s="63" t="e">
        <f t="shared" si="12"/>
        <v>#VALUE!</v>
      </c>
      <c r="H393" s="63" t="e">
        <f t="shared" si="13"/>
        <v>#VALUE!</v>
      </c>
    </row>
    <row r="394" spans="7:8">
      <c r="G394" s="63" t="e">
        <f t="shared" si="12"/>
        <v>#VALUE!</v>
      </c>
      <c r="H394" s="63" t="e">
        <f t="shared" si="13"/>
        <v>#VALUE!</v>
      </c>
    </row>
    <row r="395" spans="7:8">
      <c r="G395" s="63" t="e">
        <f t="shared" si="12"/>
        <v>#VALUE!</v>
      </c>
      <c r="H395" s="63" t="e">
        <f t="shared" si="13"/>
        <v>#VALUE!</v>
      </c>
    </row>
    <row r="396" spans="7:8">
      <c r="G396" s="63" t="e">
        <f t="shared" si="12"/>
        <v>#VALUE!</v>
      </c>
      <c r="H396" s="63" t="e">
        <f t="shared" si="13"/>
        <v>#VALUE!</v>
      </c>
    </row>
    <row r="397" spans="7:8">
      <c r="G397" s="63" t="e">
        <f t="shared" si="12"/>
        <v>#VALUE!</v>
      </c>
      <c r="H397" s="63" t="e">
        <f t="shared" si="13"/>
        <v>#VALUE!</v>
      </c>
    </row>
    <row r="398" spans="7:8">
      <c r="G398" s="63" t="e">
        <f t="shared" si="12"/>
        <v>#VALUE!</v>
      </c>
      <c r="H398" s="63" t="e">
        <f t="shared" si="13"/>
        <v>#VALUE!</v>
      </c>
    </row>
    <row r="399" spans="7:8">
      <c r="G399" s="63" t="e">
        <f t="shared" si="12"/>
        <v>#VALUE!</v>
      </c>
      <c r="H399" s="63" t="e">
        <f t="shared" si="13"/>
        <v>#VALUE!</v>
      </c>
    </row>
    <row r="400" spans="7:8">
      <c r="G400" s="63" t="e">
        <f t="shared" si="12"/>
        <v>#VALUE!</v>
      </c>
      <c r="H400" s="63" t="e">
        <f t="shared" si="13"/>
        <v>#VALUE!</v>
      </c>
    </row>
    <row r="401" spans="7:8">
      <c r="G401" s="63" t="e">
        <f t="shared" si="12"/>
        <v>#VALUE!</v>
      </c>
      <c r="H401" s="63" t="e">
        <f t="shared" si="13"/>
        <v>#VALUE!</v>
      </c>
    </row>
    <row r="402" spans="7:8">
      <c r="G402" s="63" t="e">
        <f t="shared" si="12"/>
        <v>#VALUE!</v>
      </c>
      <c r="H402" s="63" t="e">
        <f t="shared" si="13"/>
        <v>#VALUE!</v>
      </c>
    </row>
    <row r="403" spans="7:8">
      <c r="G403" s="63" t="e">
        <f t="shared" si="12"/>
        <v>#VALUE!</v>
      </c>
      <c r="H403" s="63" t="e">
        <f t="shared" si="13"/>
        <v>#VALUE!</v>
      </c>
    </row>
    <row r="404" spans="7:8">
      <c r="G404" s="63" t="e">
        <f t="shared" si="12"/>
        <v>#VALUE!</v>
      </c>
      <c r="H404" s="63" t="e">
        <f t="shared" si="13"/>
        <v>#VALUE!</v>
      </c>
    </row>
    <row r="405" spans="7:8">
      <c r="G405" s="63" t="e">
        <f t="shared" si="12"/>
        <v>#VALUE!</v>
      </c>
      <c r="H405" s="63" t="e">
        <f t="shared" si="13"/>
        <v>#VALUE!</v>
      </c>
    </row>
    <row r="406" spans="7:8">
      <c r="G406" s="63" t="e">
        <f t="shared" si="12"/>
        <v>#VALUE!</v>
      </c>
      <c r="H406" s="63" t="e">
        <f t="shared" si="13"/>
        <v>#VALUE!</v>
      </c>
    </row>
    <row r="407" spans="7:8">
      <c r="G407" s="63" t="e">
        <f t="shared" si="12"/>
        <v>#VALUE!</v>
      </c>
      <c r="H407" s="63" t="e">
        <f t="shared" si="13"/>
        <v>#VALUE!</v>
      </c>
    </row>
    <row r="408" spans="7:8">
      <c r="G408" s="63" t="e">
        <f t="shared" si="12"/>
        <v>#VALUE!</v>
      </c>
      <c r="H408" s="63" t="e">
        <f t="shared" si="13"/>
        <v>#VALUE!</v>
      </c>
    </row>
    <row r="409" spans="7:8">
      <c r="G409" s="63" t="e">
        <f t="shared" si="12"/>
        <v>#VALUE!</v>
      </c>
      <c r="H409" s="63" t="e">
        <f t="shared" si="13"/>
        <v>#VALUE!</v>
      </c>
    </row>
    <row r="410" spans="7:8">
      <c r="G410" s="63" t="e">
        <f t="shared" si="12"/>
        <v>#VALUE!</v>
      </c>
      <c r="H410" s="63" t="e">
        <f t="shared" si="13"/>
        <v>#VALUE!</v>
      </c>
    </row>
    <row r="411" spans="7:8">
      <c r="G411" s="63" t="e">
        <f t="shared" si="12"/>
        <v>#VALUE!</v>
      </c>
      <c r="H411" s="63" t="e">
        <f t="shared" si="13"/>
        <v>#VALUE!</v>
      </c>
    </row>
    <row r="412" spans="7:8">
      <c r="G412" s="63" t="e">
        <f t="shared" si="12"/>
        <v>#VALUE!</v>
      </c>
      <c r="H412" s="63" t="e">
        <f t="shared" si="13"/>
        <v>#VALUE!</v>
      </c>
    </row>
    <row r="413" spans="7:8">
      <c r="G413" s="63" t="e">
        <f t="shared" si="12"/>
        <v>#VALUE!</v>
      </c>
      <c r="H413" s="63" t="e">
        <f t="shared" si="13"/>
        <v>#VALUE!</v>
      </c>
    </row>
    <row r="414" spans="7:8">
      <c r="G414" s="63" t="e">
        <f t="shared" si="12"/>
        <v>#VALUE!</v>
      </c>
      <c r="H414" s="63" t="e">
        <f t="shared" si="13"/>
        <v>#VALUE!</v>
      </c>
    </row>
    <row r="415" spans="7:8">
      <c r="G415" s="63" t="e">
        <f t="shared" si="12"/>
        <v>#VALUE!</v>
      </c>
      <c r="H415" s="63" t="e">
        <f t="shared" si="13"/>
        <v>#VALUE!</v>
      </c>
    </row>
    <row r="416" spans="7:8">
      <c r="G416" s="63" t="e">
        <f t="shared" si="12"/>
        <v>#VALUE!</v>
      </c>
      <c r="H416" s="63" t="e">
        <f t="shared" si="13"/>
        <v>#VALUE!</v>
      </c>
    </row>
    <row r="417" spans="7:8">
      <c r="G417" s="63" t="e">
        <f t="shared" si="12"/>
        <v>#VALUE!</v>
      </c>
      <c r="H417" s="63" t="e">
        <f t="shared" si="13"/>
        <v>#VALUE!</v>
      </c>
    </row>
    <row r="418" spans="7:8">
      <c r="G418" s="63" t="e">
        <f t="shared" si="12"/>
        <v>#VALUE!</v>
      </c>
      <c r="H418" s="63" t="e">
        <f t="shared" si="13"/>
        <v>#VALUE!</v>
      </c>
    </row>
    <row r="419" spans="7:8">
      <c r="G419" s="63" t="e">
        <f t="shared" si="12"/>
        <v>#VALUE!</v>
      </c>
      <c r="H419" s="63" t="e">
        <f t="shared" si="13"/>
        <v>#VALUE!</v>
      </c>
    </row>
    <row r="420" spans="7:8">
      <c r="G420" s="63" t="e">
        <f t="shared" si="12"/>
        <v>#VALUE!</v>
      </c>
      <c r="H420" s="63" t="e">
        <f t="shared" si="13"/>
        <v>#VALUE!</v>
      </c>
    </row>
    <row r="421" spans="7:8">
      <c r="G421" s="63" t="e">
        <f t="shared" si="12"/>
        <v>#VALUE!</v>
      </c>
      <c r="H421" s="63" t="e">
        <f t="shared" si="13"/>
        <v>#VALUE!</v>
      </c>
    </row>
    <row r="422" spans="7:8">
      <c r="G422" s="63" t="e">
        <f t="shared" si="12"/>
        <v>#VALUE!</v>
      </c>
      <c r="H422" s="63" t="e">
        <f t="shared" si="13"/>
        <v>#VALUE!</v>
      </c>
    </row>
    <row r="423" spans="7:8">
      <c r="G423" s="63" t="e">
        <f t="shared" si="12"/>
        <v>#VALUE!</v>
      </c>
      <c r="H423" s="63" t="e">
        <f t="shared" si="13"/>
        <v>#VALUE!</v>
      </c>
    </row>
    <row r="424" spans="7:8">
      <c r="G424" s="63" t="e">
        <f t="shared" si="12"/>
        <v>#VALUE!</v>
      </c>
      <c r="H424" s="63" t="e">
        <f t="shared" si="13"/>
        <v>#VALUE!</v>
      </c>
    </row>
    <row r="425" spans="7:8">
      <c r="G425" s="63" t="e">
        <f t="shared" si="12"/>
        <v>#VALUE!</v>
      </c>
      <c r="H425" s="63" t="e">
        <f t="shared" si="13"/>
        <v>#VALUE!</v>
      </c>
    </row>
    <row r="426" spans="7:8">
      <c r="G426" s="63" t="e">
        <f t="shared" si="12"/>
        <v>#VALUE!</v>
      </c>
      <c r="H426" s="63" t="e">
        <f t="shared" si="13"/>
        <v>#VALUE!</v>
      </c>
    </row>
    <row r="427" spans="7:8">
      <c r="G427" s="63" t="e">
        <f t="shared" si="12"/>
        <v>#VALUE!</v>
      </c>
      <c r="H427" s="63" t="e">
        <f t="shared" si="13"/>
        <v>#VALUE!</v>
      </c>
    </row>
    <row r="428" spans="7:8">
      <c r="G428" s="63" t="e">
        <f t="shared" si="12"/>
        <v>#VALUE!</v>
      </c>
      <c r="H428" s="63" t="e">
        <f t="shared" si="13"/>
        <v>#VALUE!</v>
      </c>
    </row>
    <row r="429" spans="7:8">
      <c r="G429" s="63" t="e">
        <f t="shared" si="12"/>
        <v>#VALUE!</v>
      </c>
      <c r="H429" s="63" t="e">
        <f t="shared" si="13"/>
        <v>#VALUE!</v>
      </c>
    </row>
    <row r="430" spans="7:8">
      <c r="G430" s="63" t="e">
        <f t="shared" si="12"/>
        <v>#VALUE!</v>
      </c>
      <c r="H430" s="63" t="e">
        <f t="shared" si="13"/>
        <v>#VALUE!</v>
      </c>
    </row>
    <row r="431" spans="7:8">
      <c r="G431" s="63" t="e">
        <f t="shared" si="12"/>
        <v>#VALUE!</v>
      </c>
      <c r="H431" s="63" t="e">
        <f t="shared" si="13"/>
        <v>#VALUE!</v>
      </c>
    </row>
    <row r="432" spans="7:8">
      <c r="G432" s="63" t="e">
        <f t="shared" si="12"/>
        <v>#VALUE!</v>
      </c>
      <c r="H432" s="63" t="e">
        <f t="shared" si="13"/>
        <v>#VALUE!</v>
      </c>
    </row>
    <row r="433" spans="7:8">
      <c r="G433" s="63" t="e">
        <f t="shared" si="12"/>
        <v>#VALUE!</v>
      </c>
      <c r="H433" s="63" t="e">
        <f t="shared" si="13"/>
        <v>#VALUE!</v>
      </c>
    </row>
    <row r="434" spans="7:8">
      <c r="G434" s="63" t="e">
        <f t="shared" si="12"/>
        <v>#VALUE!</v>
      </c>
      <c r="H434" s="63" t="e">
        <f t="shared" si="13"/>
        <v>#VALUE!</v>
      </c>
    </row>
    <row r="435" spans="7:8">
      <c r="G435" s="63" t="e">
        <f t="shared" si="12"/>
        <v>#VALUE!</v>
      </c>
      <c r="H435" s="63" t="e">
        <f t="shared" si="13"/>
        <v>#VALUE!</v>
      </c>
    </row>
    <row r="436" spans="7:8">
      <c r="G436" s="63" t="e">
        <f t="shared" si="12"/>
        <v>#VALUE!</v>
      </c>
      <c r="H436" s="63" t="e">
        <f t="shared" si="13"/>
        <v>#VALUE!</v>
      </c>
    </row>
    <row r="437" spans="7:8">
      <c r="G437" s="63" t="e">
        <f t="shared" si="12"/>
        <v>#VALUE!</v>
      </c>
      <c r="H437" s="63" t="e">
        <f t="shared" si="13"/>
        <v>#VALUE!</v>
      </c>
    </row>
    <row r="438" spans="7:8">
      <c r="G438" s="63" t="e">
        <f t="shared" si="12"/>
        <v>#VALUE!</v>
      </c>
      <c r="H438" s="63" t="e">
        <f t="shared" si="13"/>
        <v>#VALUE!</v>
      </c>
    </row>
    <row r="439" spans="7:8">
      <c r="G439" s="63" t="e">
        <f t="shared" si="12"/>
        <v>#VALUE!</v>
      </c>
      <c r="H439" s="63" t="e">
        <f t="shared" si="13"/>
        <v>#VALUE!</v>
      </c>
    </row>
    <row r="440" spans="7:8">
      <c r="G440" s="63" t="e">
        <f t="shared" si="12"/>
        <v>#VALUE!</v>
      </c>
      <c r="H440" s="63" t="e">
        <f t="shared" si="13"/>
        <v>#VALUE!</v>
      </c>
    </row>
    <row r="441" spans="7:8">
      <c r="G441" s="63" t="e">
        <f t="shared" si="12"/>
        <v>#VALUE!</v>
      </c>
      <c r="H441" s="63" t="e">
        <f t="shared" si="13"/>
        <v>#VALUE!</v>
      </c>
    </row>
    <row r="442" spans="7:8">
      <c r="G442" s="63" t="e">
        <f t="shared" si="12"/>
        <v>#VALUE!</v>
      </c>
      <c r="H442" s="63" t="e">
        <f t="shared" si="13"/>
        <v>#VALUE!</v>
      </c>
    </row>
    <row r="443" spans="7:8">
      <c r="G443" s="63" t="e">
        <f t="shared" si="12"/>
        <v>#VALUE!</v>
      </c>
      <c r="H443" s="63" t="e">
        <f t="shared" si="13"/>
        <v>#VALUE!</v>
      </c>
    </row>
    <row r="444" spans="7:8">
      <c r="G444" s="63" t="e">
        <f t="shared" si="12"/>
        <v>#VALUE!</v>
      </c>
      <c r="H444" s="63" t="e">
        <f t="shared" si="13"/>
        <v>#VALUE!</v>
      </c>
    </row>
    <row r="445" spans="7:8">
      <c r="G445" s="63" t="e">
        <f t="shared" si="12"/>
        <v>#VALUE!</v>
      </c>
      <c r="H445" s="63" t="e">
        <f t="shared" si="13"/>
        <v>#VALUE!</v>
      </c>
    </row>
    <row r="446" spans="7:8">
      <c r="G446" s="63" t="e">
        <f t="shared" si="12"/>
        <v>#VALUE!</v>
      </c>
      <c r="H446" s="63" t="e">
        <f t="shared" si="13"/>
        <v>#VALUE!</v>
      </c>
    </row>
    <row r="447" spans="7:8">
      <c r="G447" s="63" t="e">
        <f t="shared" si="12"/>
        <v>#VALUE!</v>
      </c>
      <c r="H447" s="63" t="e">
        <f t="shared" si="13"/>
        <v>#VALUE!</v>
      </c>
    </row>
    <row r="448" spans="7:8">
      <c r="G448" s="63" t="e">
        <f t="shared" si="12"/>
        <v>#VALUE!</v>
      </c>
      <c r="H448" s="63" t="e">
        <f t="shared" si="13"/>
        <v>#VALUE!</v>
      </c>
    </row>
    <row r="449" spans="7:8">
      <c r="G449" s="63" t="e">
        <f t="shared" si="12"/>
        <v>#VALUE!</v>
      </c>
      <c r="H449" s="63" t="e">
        <f t="shared" si="13"/>
        <v>#VALUE!</v>
      </c>
    </row>
    <row r="450" spans="7:8">
      <c r="G450" s="63" t="e">
        <f t="shared" si="12"/>
        <v>#VALUE!</v>
      </c>
      <c r="H450" s="63" t="e">
        <f t="shared" si="13"/>
        <v>#VALUE!</v>
      </c>
    </row>
    <row r="451" spans="7:8">
      <c r="G451" s="63" t="e">
        <f t="shared" ref="G451:G514" si="14">IF(OR(A451="RID_PB77",A451="RID_PB77A3"),"WPCI77",IF(A451="RIDTCIAS","CSCI49",IF(A451="RID_HCPTM","CHCPT_",IF(LEFT(A451,1)="C",A451,MID(A451,6,LEN(A451)-5)))))</f>
        <v>#VALUE!</v>
      </c>
      <c r="H451" s="63" t="e">
        <f t="shared" ref="H451:H514" si="15">IF(OR(G451="MJG1",G451="MJG2"),"MJG",G451)&amp;"_"&amp;B451</f>
        <v>#VALUE!</v>
      </c>
    </row>
    <row r="452" spans="7:8">
      <c r="G452" s="63" t="e">
        <f t="shared" si="14"/>
        <v>#VALUE!</v>
      </c>
      <c r="H452" s="63" t="e">
        <f t="shared" si="15"/>
        <v>#VALUE!</v>
      </c>
    </row>
    <row r="453" spans="7:8">
      <c r="G453" s="63" t="e">
        <f t="shared" si="14"/>
        <v>#VALUE!</v>
      </c>
      <c r="H453" s="63" t="e">
        <f t="shared" si="15"/>
        <v>#VALUE!</v>
      </c>
    </row>
    <row r="454" spans="7:8">
      <c r="G454" s="63" t="e">
        <f t="shared" si="14"/>
        <v>#VALUE!</v>
      </c>
      <c r="H454" s="63" t="e">
        <f t="shared" si="15"/>
        <v>#VALUE!</v>
      </c>
    </row>
    <row r="455" spans="7:8">
      <c r="G455" s="63" t="e">
        <f t="shared" si="14"/>
        <v>#VALUE!</v>
      </c>
      <c r="H455" s="63" t="e">
        <f t="shared" si="15"/>
        <v>#VALUE!</v>
      </c>
    </row>
    <row r="456" spans="7:8">
      <c r="G456" s="63" t="e">
        <f t="shared" si="14"/>
        <v>#VALUE!</v>
      </c>
      <c r="H456" s="63" t="e">
        <f t="shared" si="15"/>
        <v>#VALUE!</v>
      </c>
    </row>
    <row r="457" spans="7:8">
      <c r="G457" s="63" t="e">
        <f t="shared" si="14"/>
        <v>#VALUE!</v>
      </c>
      <c r="H457" s="63" t="e">
        <f t="shared" si="15"/>
        <v>#VALUE!</v>
      </c>
    </row>
    <row r="458" spans="7:8">
      <c r="G458" s="63" t="e">
        <f t="shared" si="14"/>
        <v>#VALUE!</v>
      </c>
      <c r="H458" s="63" t="e">
        <f t="shared" si="15"/>
        <v>#VALUE!</v>
      </c>
    </row>
    <row r="459" spans="7:8">
      <c r="G459" s="63" t="e">
        <f t="shared" si="14"/>
        <v>#VALUE!</v>
      </c>
      <c r="H459" s="63" t="e">
        <f t="shared" si="15"/>
        <v>#VALUE!</v>
      </c>
    </row>
    <row r="460" spans="7:8">
      <c r="G460" s="63" t="e">
        <f t="shared" si="14"/>
        <v>#VALUE!</v>
      </c>
      <c r="H460" s="63" t="e">
        <f t="shared" si="15"/>
        <v>#VALUE!</v>
      </c>
    </row>
    <row r="461" spans="7:8">
      <c r="G461" s="63" t="e">
        <f t="shared" si="14"/>
        <v>#VALUE!</v>
      </c>
      <c r="H461" s="63" t="e">
        <f t="shared" si="15"/>
        <v>#VALUE!</v>
      </c>
    </row>
    <row r="462" spans="7:8">
      <c r="G462" s="63" t="e">
        <f t="shared" si="14"/>
        <v>#VALUE!</v>
      </c>
      <c r="H462" s="63" t="e">
        <f t="shared" si="15"/>
        <v>#VALUE!</v>
      </c>
    </row>
    <row r="463" spans="7:8">
      <c r="G463" s="63" t="e">
        <f t="shared" si="14"/>
        <v>#VALUE!</v>
      </c>
      <c r="H463" s="63" t="e">
        <f t="shared" si="15"/>
        <v>#VALUE!</v>
      </c>
    </row>
    <row r="464" spans="7:8">
      <c r="G464" s="63" t="e">
        <f t="shared" si="14"/>
        <v>#VALUE!</v>
      </c>
      <c r="H464" s="63" t="e">
        <f t="shared" si="15"/>
        <v>#VALUE!</v>
      </c>
    </row>
    <row r="465" spans="7:8">
      <c r="G465" s="63" t="e">
        <f t="shared" si="14"/>
        <v>#VALUE!</v>
      </c>
      <c r="H465" s="63" t="e">
        <f t="shared" si="15"/>
        <v>#VALUE!</v>
      </c>
    </row>
    <row r="466" spans="7:8">
      <c r="G466" s="63" t="e">
        <f t="shared" si="14"/>
        <v>#VALUE!</v>
      </c>
      <c r="H466" s="63" t="e">
        <f t="shared" si="15"/>
        <v>#VALUE!</v>
      </c>
    </row>
    <row r="467" spans="7:8">
      <c r="G467" s="63" t="e">
        <f t="shared" si="14"/>
        <v>#VALUE!</v>
      </c>
      <c r="H467" s="63" t="e">
        <f t="shared" si="15"/>
        <v>#VALUE!</v>
      </c>
    </row>
    <row r="468" spans="7:8">
      <c r="G468" s="63" t="e">
        <f t="shared" si="14"/>
        <v>#VALUE!</v>
      </c>
      <c r="H468" s="63" t="e">
        <f t="shared" si="15"/>
        <v>#VALUE!</v>
      </c>
    </row>
    <row r="469" spans="7:8">
      <c r="G469" s="63" t="e">
        <f t="shared" si="14"/>
        <v>#VALUE!</v>
      </c>
      <c r="H469" s="63" t="e">
        <f t="shared" si="15"/>
        <v>#VALUE!</v>
      </c>
    </row>
    <row r="470" spans="7:8">
      <c r="G470" s="63" t="e">
        <f t="shared" si="14"/>
        <v>#VALUE!</v>
      </c>
      <c r="H470" s="63" t="e">
        <f t="shared" si="15"/>
        <v>#VALUE!</v>
      </c>
    </row>
    <row r="471" spans="7:8">
      <c r="G471" s="63" t="e">
        <f t="shared" si="14"/>
        <v>#VALUE!</v>
      </c>
      <c r="H471" s="63" t="e">
        <f t="shared" si="15"/>
        <v>#VALUE!</v>
      </c>
    </row>
    <row r="472" spans="7:8">
      <c r="G472" s="63" t="e">
        <f t="shared" si="14"/>
        <v>#VALUE!</v>
      </c>
      <c r="H472" s="63" t="e">
        <f t="shared" si="15"/>
        <v>#VALUE!</v>
      </c>
    </row>
    <row r="473" spans="7:8">
      <c r="G473" s="63" t="e">
        <f t="shared" si="14"/>
        <v>#VALUE!</v>
      </c>
      <c r="H473" s="63" t="e">
        <f t="shared" si="15"/>
        <v>#VALUE!</v>
      </c>
    </row>
    <row r="474" spans="7:8">
      <c r="G474" s="63" t="e">
        <f t="shared" si="14"/>
        <v>#VALUE!</v>
      </c>
      <c r="H474" s="63" t="e">
        <f t="shared" si="15"/>
        <v>#VALUE!</v>
      </c>
    </row>
    <row r="475" spans="7:8">
      <c r="G475" s="63" t="e">
        <f t="shared" si="14"/>
        <v>#VALUE!</v>
      </c>
      <c r="H475" s="63" t="e">
        <f t="shared" si="15"/>
        <v>#VALUE!</v>
      </c>
    </row>
    <row r="476" spans="7:8">
      <c r="G476" s="63" t="e">
        <f t="shared" si="14"/>
        <v>#VALUE!</v>
      </c>
      <c r="H476" s="63" t="e">
        <f t="shared" si="15"/>
        <v>#VALUE!</v>
      </c>
    </row>
    <row r="477" spans="7:8">
      <c r="G477" s="63" t="e">
        <f t="shared" si="14"/>
        <v>#VALUE!</v>
      </c>
      <c r="H477" s="63" t="e">
        <f t="shared" si="15"/>
        <v>#VALUE!</v>
      </c>
    </row>
    <row r="478" spans="7:8">
      <c r="G478" s="63" t="e">
        <f t="shared" si="14"/>
        <v>#VALUE!</v>
      </c>
      <c r="H478" s="63" t="e">
        <f t="shared" si="15"/>
        <v>#VALUE!</v>
      </c>
    </row>
    <row r="479" spans="7:8">
      <c r="G479" s="63" t="e">
        <f t="shared" si="14"/>
        <v>#VALUE!</v>
      </c>
      <c r="H479" s="63" t="e">
        <f t="shared" si="15"/>
        <v>#VALUE!</v>
      </c>
    </row>
    <row r="480" spans="7:8">
      <c r="G480" s="63" t="e">
        <f t="shared" si="14"/>
        <v>#VALUE!</v>
      </c>
      <c r="H480" s="63" t="e">
        <f t="shared" si="15"/>
        <v>#VALUE!</v>
      </c>
    </row>
    <row r="481" spans="7:8">
      <c r="G481" s="63" t="e">
        <f t="shared" si="14"/>
        <v>#VALUE!</v>
      </c>
      <c r="H481" s="63" t="e">
        <f t="shared" si="15"/>
        <v>#VALUE!</v>
      </c>
    </row>
    <row r="482" spans="7:8">
      <c r="G482" s="63" t="e">
        <f t="shared" si="14"/>
        <v>#VALUE!</v>
      </c>
      <c r="H482" s="63" t="e">
        <f t="shared" si="15"/>
        <v>#VALUE!</v>
      </c>
    </row>
    <row r="483" spans="7:8">
      <c r="G483" s="63" t="e">
        <f t="shared" si="14"/>
        <v>#VALUE!</v>
      </c>
      <c r="H483" s="63" t="e">
        <f t="shared" si="15"/>
        <v>#VALUE!</v>
      </c>
    </row>
    <row r="484" spans="7:8">
      <c r="G484" s="63" t="e">
        <f t="shared" si="14"/>
        <v>#VALUE!</v>
      </c>
      <c r="H484" s="63" t="e">
        <f t="shared" si="15"/>
        <v>#VALUE!</v>
      </c>
    </row>
    <row r="485" spans="7:8">
      <c r="G485" s="63" t="e">
        <f t="shared" si="14"/>
        <v>#VALUE!</v>
      </c>
      <c r="H485" s="63" t="e">
        <f t="shared" si="15"/>
        <v>#VALUE!</v>
      </c>
    </row>
    <row r="486" spans="7:8">
      <c r="G486" s="63" t="e">
        <f t="shared" si="14"/>
        <v>#VALUE!</v>
      </c>
      <c r="H486" s="63" t="e">
        <f t="shared" si="15"/>
        <v>#VALUE!</v>
      </c>
    </row>
    <row r="487" spans="7:8">
      <c r="G487" s="63" t="e">
        <f t="shared" si="14"/>
        <v>#VALUE!</v>
      </c>
      <c r="H487" s="63" t="e">
        <f t="shared" si="15"/>
        <v>#VALUE!</v>
      </c>
    </row>
    <row r="488" spans="7:8">
      <c r="G488" s="63" t="e">
        <f t="shared" si="14"/>
        <v>#VALUE!</v>
      </c>
      <c r="H488" s="63" t="e">
        <f t="shared" si="15"/>
        <v>#VALUE!</v>
      </c>
    </row>
    <row r="489" spans="7:8">
      <c r="G489" s="63" t="e">
        <f t="shared" si="14"/>
        <v>#VALUE!</v>
      </c>
      <c r="H489" s="63" t="e">
        <f t="shared" si="15"/>
        <v>#VALUE!</v>
      </c>
    </row>
    <row r="490" spans="7:8">
      <c r="G490" s="63" t="e">
        <f t="shared" si="14"/>
        <v>#VALUE!</v>
      </c>
      <c r="H490" s="63" t="e">
        <f t="shared" si="15"/>
        <v>#VALUE!</v>
      </c>
    </row>
    <row r="491" spans="7:8">
      <c r="G491" s="63" t="e">
        <f t="shared" si="14"/>
        <v>#VALUE!</v>
      </c>
      <c r="H491" s="63" t="e">
        <f t="shared" si="15"/>
        <v>#VALUE!</v>
      </c>
    </row>
    <row r="492" spans="7:8">
      <c r="G492" s="63" t="e">
        <f t="shared" si="14"/>
        <v>#VALUE!</v>
      </c>
      <c r="H492" s="63" t="e">
        <f t="shared" si="15"/>
        <v>#VALUE!</v>
      </c>
    </row>
    <row r="493" spans="7:8">
      <c r="G493" s="63" t="e">
        <f t="shared" si="14"/>
        <v>#VALUE!</v>
      </c>
      <c r="H493" s="63" t="e">
        <f t="shared" si="15"/>
        <v>#VALUE!</v>
      </c>
    </row>
    <row r="494" spans="7:8">
      <c r="G494" s="63" t="e">
        <f t="shared" si="14"/>
        <v>#VALUE!</v>
      </c>
      <c r="H494" s="63" t="e">
        <f t="shared" si="15"/>
        <v>#VALUE!</v>
      </c>
    </row>
    <row r="495" spans="7:8">
      <c r="G495" s="63" t="e">
        <f t="shared" si="14"/>
        <v>#VALUE!</v>
      </c>
      <c r="H495" s="63" t="e">
        <f t="shared" si="15"/>
        <v>#VALUE!</v>
      </c>
    </row>
    <row r="496" spans="7:8">
      <c r="G496" s="63" t="e">
        <f t="shared" si="14"/>
        <v>#VALUE!</v>
      </c>
      <c r="H496" s="63" t="e">
        <f t="shared" si="15"/>
        <v>#VALUE!</v>
      </c>
    </row>
    <row r="497" spans="7:8">
      <c r="G497" s="63" t="e">
        <f t="shared" si="14"/>
        <v>#VALUE!</v>
      </c>
      <c r="H497" s="63" t="e">
        <f t="shared" si="15"/>
        <v>#VALUE!</v>
      </c>
    </row>
    <row r="498" spans="7:8">
      <c r="G498" s="63" t="e">
        <f t="shared" si="14"/>
        <v>#VALUE!</v>
      </c>
      <c r="H498" s="63" t="e">
        <f t="shared" si="15"/>
        <v>#VALUE!</v>
      </c>
    </row>
    <row r="499" spans="7:8">
      <c r="G499" s="63" t="e">
        <f t="shared" si="14"/>
        <v>#VALUE!</v>
      </c>
      <c r="H499" s="63" t="e">
        <f t="shared" si="15"/>
        <v>#VALUE!</v>
      </c>
    </row>
    <row r="500" spans="7:8">
      <c r="G500" s="63" t="e">
        <f t="shared" si="14"/>
        <v>#VALUE!</v>
      </c>
      <c r="H500" s="63" t="e">
        <f t="shared" si="15"/>
        <v>#VALUE!</v>
      </c>
    </row>
    <row r="501" spans="7:8">
      <c r="G501" s="63" t="e">
        <f t="shared" si="14"/>
        <v>#VALUE!</v>
      </c>
      <c r="H501" s="63" t="e">
        <f t="shared" si="15"/>
        <v>#VALUE!</v>
      </c>
    </row>
    <row r="502" spans="7:8">
      <c r="G502" s="63" t="e">
        <f t="shared" si="14"/>
        <v>#VALUE!</v>
      </c>
      <c r="H502" s="63" t="e">
        <f t="shared" si="15"/>
        <v>#VALUE!</v>
      </c>
    </row>
    <row r="503" spans="7:8">
      <c r="G503" s="63" t="e">
        <f t="shared" si="14"/>
        <v>#VALUE!</v>
      </c>
      <c r="H503" s="63" t="e">
        <f t="shared" si="15"/>
        <v>#VALUE!</v>
      </c>
    </row>
    <row r="504" spans="7:8">
      <c r="G504" s="63" t="e">
        <f t="shared" si="14"/>
        <v>#VALUE!</v>
      </c>
      <c r="H504" s="63" t="e">
        <f t="shared" si="15"/>
        <v>#VALUE!</v>
      </c>
    </row>
    <row r="505" spans="7:8">
      <c r="G505" s="63" t="e">
        <f t="shared" si="14"/>
        <v>#VALUE!</v>
      </c>
      <c r="H505" s="63" t="e">
        <f t="shared" si="15"/>
        <v>#VALUE!</v>
      </c>
    </row>
    <row r="506" spans="7:8">
      <c r="G506" s="63" t="e">
        <f t="shared" si="14"/>
        <v>#VALUE!</v>
      </c>
      <c r="H506" s="63" t="e">
        <f t="shared" si="15"/>
        <v>#VALUE!</v>
      </c>
    </row>
    <row r="507" spans="7:8">
      <c r="G507" s="63" t="e">
        <f t="shared" si="14"/>
        <v>#VALUE!</v>
      </c>
      <c r="H507" s="63" t="e">
        <f t="shared" si="15"/>
        <v>#VALUE!</v>
      </c>
    </row>
    <row r="508" spans="7:8">
      <c r="G508" s="63" t="e">
        <f t="shared" si="14"/>
        <v>#VALUE!</v>
      </c>
      <c r="H508" s="63" t="e">
        <f t="shared" si="15"/>
        <v>#VALUE!</v>
      </c>
    </row>
    <row r="509" spans="7:8">
      <c r="G509" s="63" t="e">
        <f t="shared" si="14"/>
        <v>#VALUE!</v>
      </c>
      <c r="H509" s="63" t="e">
        <f t="shared" si="15"/>
        <v>#VALUE!</v>
      </c>
    </row>
    <row r="510" spans="7:8">
      <c r="G510" s="63" t="e">
        <f t="shared" si="14"/>
        <v>#VALUE!</v>
      </c>
      <c r="H510" s="63" t="e">
        <f t="shared" si="15"/>
        <v>#VALUE!</v>
      </c>
    </row>
    <row r="511" spans="7:8">
      <c r="G511" s="63" t="e">
        <f t="shared" si="14"/>
        <v>#VALUE!</v>
      </c>
      <c r="H511" s="63" t="e">
        <f t="shared" si="15"/>
        <v>#VALUE!</v>
      </c>
    </row>
    <row r="512" spans="7:8">
      <c r="G512" s="63" t="e">
        <f t="shared" si="14"/>
        <v>#VALUE!</v>
      </c>
      <c r="H512" s="63" t="e">
        <f t="shared" si="15"/>
        <v>#VALUE!</v>
      </c>
    </row>
    <row r="513" spans="7:8">
      <c r="G513" s="63" t="e">
        <f t="shared" si="14"/>
        <v>#VALUE!</v>
      </c>
      <c r="H513" s="63" t="e">
        <f t="shared" si="15"/>
        <v>#VALUE!</v>
      </c>
    </row>
    <row r="514" spans="7:8">
      <c r="G514" s="63" t="e">
        <f t="shared" si="14"/>
        <v>#VALUE!</v>
      </c>
      <c r="H514" s="63" t="e">
        <f t="shared" si="15"/>
        <v>#VALUE!</v>
      </c>
    </row>
    <row r="515" spans="7:8">
      <c r="G515" s="63" t="e">
        <f t="shared" ref="G515:G578" si="16">IF(OR(A515="RID_PB77",A515="RID_PB77A3"),"WPCI77",IF(A515="RIDTCIAS","CSCI49",IF(A515="RID_HCPTM","CHCPT_",IF(LEFT(A515,1)="C",A515,MID(A515,6,LEN(A515)-5)))))</f>
        <v>#VALUE!</v>
      </c>
      <c r="H515" s="63" t="e">
        <f t="shared" ref="H515:H578" si="17">IF(OR(G515="MJG1",G515="MJG2"),"MJG",G515)&amp;"_"&amp;B515</f>
        <v>#VALUE!</v>
      </c>
    </row>
    <row r="516" spans="7:8">
      <c r="G516" s="63" t="e">
        <f t="shared" si="16"/>
        <v>#VALUE!</v>
      </c>
      <c r="H516" s="63" t="e">
        <f t="shared" si="17"/>
        <v>#VALUE!</v>
      </c>
    </row>
    <row r="517" spans="7:8">
      <c r="G517" s="63" t="e">
        <f t="shared" si="16"/>
        <v>#VALUE!</v>
      </c>
      <c r="H517" s="63" t="e">
        <f t="shared" si="17"/>
        <v>#VALUE!</v>
      </c>
    </row>
    <row r="518" spans="7:8">
      <c r="G518" s="63" t="e">
        <f t="shared" si="16"/>
        <v>#VALUE!</v>
      </c>
      <c r="H518" s="63" t="e">
        <f t="shared" si="17"/>
        <v>#VALUE!</v>
      </c>
    </row>
    <row r="519" spans="7:8">
      <c r="G519" s="63" t="e">
        <f t="shared" si="16"/>
        <v>#VALUE!</v>
      </c>
      <c r="H519" s="63" t="e">
        <f t="shared" si="17"/>
        <v>#VALUE!</v>
      </c>
    </row>
    <row r="520" spans="7:8">
      <c r="G520" s="63" t="e">
        <f t="shared" si="16"/>
        <v>#VALUE!</v>
      </c>
      <c r="H520" s="63" t="e">
        <f t="shared" si="17"/>
        <v>#VALUE!</v>
      </c>
    </row>
    <row r="521" spans="7:8">
      <c r="G521" s="63" t="e">
        <f t="shared" si="16"/>
        <v>#VALUE!</v>
      </c>
      <c r="H521" s="63" t="e">
        <f t="shared" si="17"/>
        <v>#VALUE!</v>
      </c>
    </row>
    <row r="522" spans="7:8">
      <c r="G522" s="63" t="e">
        <f t="shared" si="16"/>
        <v>#VALUE!</v>
      </c>
      <c r="H522" s="63" t="e">
        <f t="shared" si="17"/>
        <v>#VALUE!</v>
      </c>
    </row>
    <row r="523" spans="7:8">
      <c r="G523" s="63" t="e">
        <f t="shared" si="16"/>
        <v>#VALUE!</v>
      </c>
      <c r="H523" s="63" t="e">
        <f t="shared" si="17"/>
        <v>#VALUE!</v>
      </c>
    </row>
    <row r="524" spans="7:8">
      <c r="G524" s="63" t="e">
        <f t="shared" si="16"/>
        <v>#VALUE!</v>
      </c>
      <c r="H524" s="63" t="e">
        <f t="shared" si="17"/>
        <v>#VALUE!</v>
      </c>
    </row>
    <row r="525" spans="7:8">
      <c r="G525" s="63" t="e">
        <f t="shared" si="16"/>
        <v>#VALUE!</v>
      </c>
      <c r="H525" s="63" t="e">
        <f t="shared" si="17"/>
        <v>#VALUE!</v>
      </c>
    </row>
    <row r="526" spans="7:8">
      <c r="G526" s="63" t="e">
        <f t="shared" si="16"/>
        <v>#VALUE!</v>
      </c>
      <c r="H526" s="63" t="e">
        <f t="shared" si="17"/>
        <v>#VALUE!</v>
      </c>
    </row>
    <row r="527" spans="7:8">
      <c r="G527" s="63" t="e">
        <f t="shared" si="16"/>
        <v>#VALUE!</v>
      </c>
      <c r="H527" s="63" t="e">
        <f t="shared" si="17"/>
        <v>#VALUE!</v>
      </c>
    </row>
    <row r="528" spans="7:8">
      <c r="G528" s="63" t="e">
        <f t="shared" si="16"/>
        <v>#VALUE!</v>
      </c>
      <c r="H528" s="63" t="e">
        <f t="shared" si="17"/>
        <v>#VALUE!</v>
      </c>
    </row>
    <row r="529" spans="7:8">
      <c r="G529" s="63" t="e">
        <f t="shared" si="16"/>
        <v>#VALUE!</v>
      </c>
      <c r="H529" s="63" t="e">
        <f t="shared" si="17"/>
        <v>#VALUE!</v>
      </c>
    </row>
    <row r="530" spans="7:8">
      <c r="G530" s="63" t="e">
        <f t="shared" si="16"/>
        <v>#VALUE!</v>
      </c>
      <c r="H530" s="63" t="e">
        <f t="shared" si="17"/>
        <v>#VALUE!</v>
      </c>
    </row>
    <row r="531" spans="7:8">
      <c r="G531" s="63" t="e">
        <f t="shared" si="16"/>
        <v>#VALUE!</v>
      </c>
      <c r="H531" s="63" t="e">
        <f t="shared" si="17"/>
        <v>#VALUE!</v>
      </c>
    </row>
    <row r="532" spans="7:8">
      <c r="G532" s="63" t="e">
        <f t="shared" si="16"/>
        <v>#VALUE!</v>
      </c>
      <c r="H532" s="63" t="e">
        <f t="shared" si="17"/>
        <v>#VALUE!</v>
      </c>
    </row>
    <row r="533" spans="7:8">
      <c r="G533" s="63" t="e">
        <f t="shared" si="16"/>
        <v>#VALUE!</v>
      </c>
      <c r="H533" s="63" t="e">
        <f t="shared" si="17"/>
        <v>#VALUE!</v>
      </c>
    </row>
    <row r="534" spans="7:8">
      <c r="G534" s="63" t="e">
        <f t="shared" si="16"/>
        <v>#VALUE!</v>
      </c>
      <c r="H534" s="63" t="e">
        <f t="shared" si="17"/>
        <v>#VALUE!</v>
      </c>
    </row>
    <row r="535" spans="7:8">
      <c r="G535" s="63" t="e">
        <f t="shared" si="16"/>
        <v>#VALUE!</v>
      </c>
      <c r="H535" s="63" t="e">
        <f t="shared" si="17"/>
        <v>#VALUE!</v>
      </c>
    </row>
    <row r="536" spans="7:8">
      <c r="G536" s="63" t="e">
        <f t="shared" si="16"/>
        <v>#VALUE!</v>
      </c>
      <c r="H536" s="63" t="e">
        <f t="shared" si="17"/>
        <v>#VALUE!</v>
      </c>
    </row>
    <row r="537" spans="7:8">
      <c r="G537" s="63" t="e">
        <f t="shared" si="16"/>
        <v>#VALUE!</v>
      </c>
      <c r="H537" s="63" t="e">
        <f t="shared" si="17"/>
        <v>#VALUE!</v>
      </c>
    </row>
    <row r="538" spans="7:8">
      <c r="G538" s="63" t="e">
        <f t="shared" si="16"/>
        <v>#VALUE!</v>
      </c>
      <c r="H538" s="63" t="e">
        <f t="shared" si="17"/>
        <v>#VALUE!</v>
      </c>
    </row>
    <row r="539" spans="7:8">
      <c r="G539" s="63" t="e">
        <f t="shared" si="16"/>
        <v>#VALUE!</v>
      </c>
      <c r="H539" s="63" t="e">
        <f t="shared" si="17"/>
        <v>#VALUE!</v>
      </c>
    </row>
    <row r="540" spans="7:8">
      <c r="G540" s="63" t="e">
        <f t="shared" si="16"/>
        <v>#VALUE!</v>
      </c>
      <c r="H540" s="63" t="e">
        <f t="shared" si="17"/>
        <v>#VALUE!</v>
      </c>
    </row>
    <row r="541" spans="7:8">
      <c r="G541" s="63" t="e">
        <f t="shared" si="16"/>
        <v>#VALUE!</v>
      </c>
      <c r="H541" s="63" t="e">
        <f t="shared" si="17"/>
        <v>#VALUE!</v>
      </c>
    </row>
    <row r="542" spans="7:8">
      <c r="G542" s="63" t="e">
        <f t="shared" si="16"/>
        <v>#VALUE!</v>
      </c>
      <c r="H542" s="63" t="e">
        <f t="shared" si="17"/>
        <v>#VALUE!</v>
      </c>
    </row>
    <row r="543" spans="7:8">
      <c r="G543" s="63" t="e">
        <f t="shared" si="16"/>
        <v>#VALUE!</v>
      </c>
      <c r="H543" s="63" t="e">
        <f t="shared" si="17"/>
        <v>#VALUE!</v>
      </c>
    </row>
    <row r="544" spans="7:8">
      <c r="G544" s="63" t="e">
        <f t="shared" si="16"/>
        <v>#VALUE!</v>
      </c>
      <c r="H544" s="63" t="e">
        <f t="shared" si="17"/>
        <v>#VALUE!</v>
      </c>
    </row>
    <row r="545" spans="7:8">
      <c r="G545" s="63" t="e">
        <f t="shared" si="16"/>
        <v>#VALUE!</v>
      </c>
      <c r="H545" s="63" t="e">
        <f t="shared" si="17"/>
        <v>#VALUE!</v>
      </c>
    </row>
    <row r="546" spans="7:8">
      <c r="G546" s="63" t="e">
        <f t="shared" si="16"/>
        <v>#VALUE!</v>
      </c>
      <c r="H546" s="63" t="e">
        <f t="shared" si="17"/>
        <v>#VALUE!</v>
      </c>
    </row>
    <row r="547" spans="7:8">
      <c r="G547" s="63" t="e">
        <f t="shared" si="16"/>
        <v>#VALUE!</v>
      </c>
      <c r="H547" s="63" t="e">
        <f t="shared" si="17"/>
        <v>#VALUE!</v>
      </c>
    </row>
    <row r="548" spans="7:8">
      <c r="G548" s="63" t="e">
        <f t="shared" si="16"/>
        <v>#VALUE!</v>
      </c>
      <c r="H548" s="63" t="e">
        <f t="shared" si="17"/>
        <v>#VALUE!</v>
      </c>
    </row>
    <row r="549" spans="7:8">
      <c r="G549" s="63" t="e">
        <f t="shared" si="16"/>
        <v>#VALUE!</v>
      </c>
      <c r="H549" s="63" t="e">
        <f t="shared" si="17"/>
        <v>#VALUE!</v>
      </c>
    </row>
    <row r="550" spans="7:8">
      <c r="G550" s="63" t="e">
        <f t="shared" si="16"/>
        <v>#VALUE!</v>
      </c>
      <c r="H550" s="63" t="e">
        <f t="shared" si="17"/>
        <v>#VALUE!</v>
      </c>
    </row>
    <row r="551" spans="7:8">
      <c r="G551" s="63" t="e">
        <f t="shared" si="16"/>
        <v>#VALUE!</v>
      </c>
      <c r="H551" s="63" t="e">
        <f t="shared" si="17"/>
        <v>#VALUE!</v>
      </c>
    </row>
    <row r="552" spans="7:8">
      <c r="G552" s="63" t="e">
        <f t="shared" si="16"/>
        <v>#VALUE!</v>
      </c>
      <c r="H552" s="63" t="e">
        <f t="shared" si="17"/>
        <v>#VALUE!</v>
      </c>
    </row>
    <row r="553" spans="7:8">
      <c r="G553" s="63" t="e">
        <f t="shared" si="16"/>
        <v>#VALUE!</v>
      </c>
      <c r="H553" s="63" t="e">
        <f t="shared" si="17"/>
        <v>#VALUE!</v>
      </c>
    </row>
    <row r="554" spans="7:8">
      <c r="G554" s="63" t="e">
        <f t="shared" si="16"/>
        <v>#VALUE!</v>
      </c>
      <c r="H554" s="63" t="e">
        <f t="shared" si="17"/>
        <v>#VALUE!</v>
      </c>
    </row>
    <row r="555" spans="7:8">
      <c r="G555" s="63" t="e">
        <f t="shared" si="16"/>
        <v>#VALUE!</v>
      </c>
      <c r="H555" s="63" t="e">
        <f t="shared" si="17"/>
        <v>#VALUE!</v>
      </c>
    </row>
    <row r="556" spans="7:8">
      <c r="G556" s="63" t="e">
        <f t="shared" si="16"/>
        <v>#VALUE!</v>
      </c>
      <c r="H556" s="63" t="e">
        <f t="shared" si="17"/>
        <v>#VALUE!</v>
      </c>
    </row>
    <row r="557" spans="7:8">
      <c r="G557" s="63" t="e">
        <f t="shared" si="16"/>
        <v>#VALUE!</v>
      </c>
      <c r="H557" s="63" t="e">
        <f t="shared" si="17"/>
        <v>#VALUE!</v>
      </c>
    </row>
    <row r="558" spans="7:8">
      <c r="G558" s="63" t="e">
        <f t="shared" si="16"/>
        <v>#VALUE!</v>
      </c>
      <c r="H558" s="63" t="e">
        <f t="shared" si="17"/>
        <v>#VALUE!</v>
      </c>
    </row>
    <row r="559" spans="7:8">
      <c r="G559" s="63" t="e">
        <f t="shared" si="16"/>
        <v>#VALUE!</v>
      </c>
      <c r="H559" s="63" t="e">
        <f t="shared" si="17"/>
        <v>#VALUE!</v>
      </c>
    </row>
    <row r="560" spans="7:8">
      <c r="G560" s="63" t="e">
        <f t="shared" si="16"/>
        <v>#VALUE!</v>
      </c>
      <c r="H560" s="63" t="e">
        <f t="shared" si="17"/>
        <v>#VALUE!</v>
      </c>
    </row>
    <row r="561" spans="7:8">
      <c r="G561" s="63" t="e">
        <f t="shared" si="16"/>
        <v>#VALUE!</v>
      </c>
      <c r="H561" s="63" t="e">
        <f t="shared" si="17"/>
        <v>#VALUE!</v>
      </c>
    </row>
    <row r="562" spans="7:8">
      <c r="G562" s="63" t="e">
        <f t="shared" si="16"/>
        <v>#VALUE!</v>
      </c>
      <c r="H562" s="63" t="e">
        <f t="shared" si="17"/>
        <v>#VALUE!</v>
      </c>
    </row>
    <row r="563" spans="7:8">
      <c r="G563" s="63" t="e">
        <f t="shared" si="16"/>
        <v>#VALUE!</v>
      </c>
      <c r="H563" s="63" t="e">
        <f t="shared" si="17"/>
        <v>#VALUE!</v>
      </c>
    </row>
    <row r="564" spans="7:8">
      <c r="G564" s="63" t="e">
        <f t="shared" si="16"/>
        <v>#VALUE!</v>
      </c>
      <c r="H564" s="63" t="e">
        <f t="shared" si="17"/>
        <v>#VALUE!</v>
      </c>
    </row>
    <row r="565" spans="7:8">
      <c r="G565" s="63" t="e">
        <f t="shared" si="16"/>
        <v>#VALUE!</v>
      </c>
      <c r="H565" s="63" t="e">
        <f t="shared" si="17"/>
        <v>#VALUE!</v>
      </c>
    </row>
    <row r="566" spans="7:8">
      <c r="G566" s="63" t="e">
        <f t="shared" si="16"/>
        <v>#VALUE!</v>
      </c>
      <c r="H566" s="63" t="e">
        <f t="shared" si="17"/>
        <v>#VALUE!</v>
      </c>
    </row>
    <row r="567" spans="7:8">
      <c r="G567" s="63" t="e">
        <f t="shared" si="16"/>
        <v>#VALUE!</v>
      </c>
      <c r="H567" s="63" t="e">
        <f t="shared" si="17"/>
        <v>#VALUE!</v>
      </c>
    </row>
    <row r="568" spans="7:8">
      <c r="G568" s="63" t="e">
        <f t="shared" si="16"/>
        <v>#VALUE!</v>
      </c>
      <c r="H568" s="63" t="e">
        <f t="shared" si="17"/>
        <v>#VALUE!</v>
      </c>
    </row>
    <row r="569" spans="7:8">
      <c r="G569" s="63" t="e">
        <f t="shared" si="16"/>
        <v>#VALUE!</v>
      </c>
      <c r="H569" s="63" t="e">
        <f t="shared" si="17"/>
        <v>#VALUE!</v>
      </c>
    </row>
    <row r="570" spans="7:8">
      <c r="G570" s="63" t="e">
        <f t="shared" si="16"/>
        <v>#VALUE!</v>
      </c>
      <c r="H570" s="63" t="e">
        <f t="shared" si="17"/>
        <v>#VALUE!</v>
      </c>
    </row>
    <row r="571" spans="7:8">
      <c r="G571" s="63" t="e">
        <f t="shared" si="16"/>
        <v>#VALUE!</v>
      </c>
      <c r="H571" s="63" t="e">
        <f t="shared" si="17"/>
        <v>#VALUE!</v>
      </c>
    </row>
    <row r="572" spans="7:8">
      <c r="G572" s="63" t="e">
        <f t="shared" si="16"/>
        <v>#VALUE!</v>
      </c>
      <c r="H572" s="63" t="e">
        <f t="shared" si="17"/>
        <v>#VALUE!</v>
      </c>
    </row>
    <row r="573" spans="7:8">
      <c r="G573" s="63" t="e">
        <f t="shared" si="16"/>
        <v>#VALUE!</v>
      </c>
      <c r="H573" s="63" t="e">
        <f t="shared" si="17"/>
        <v>#VALUE!</v>
      </c>
    </row>
    <row r="574" spans="7:8">
      <c r="G574" s="63" t="e">
        <f t="shared" si="16"/>
        <v>#VALUE!</v>
      </c>
      <c r="H574" s="63" t="e">
        <f t="shared" si="17"/>
        <v>#VALUE!</v>
      </c>
    </row>
    <row r="575" spans="7:8">
      <c r="G575" s="63" t="e">
        <f t="shared" si="16"/>
        <v>#VALUE!</v>
      </c>
      <c r="H575" s="63" t="e">
        <f t="shared" si="17"/>
        <v>#VALUE!</v>
      </c>
    </row>
    <row r="576" spans="7:8">
      <c r="G576" s="63" t="e">
        <f t="shared" si="16"/>
        <v>#VALUE!</v>
      </c>
      <c r="H576" s="63" t="e">
        <f t="shared" si="17"/>
        <v>#VALUE!</v>
      </c>
    </row>
    <row r="577" spans="7:8">
      <c r="G577" s="63" t="e">
        <f t="shared" si="16"/>
        <v>#VALUE!</v>
      </c>
      <c r="H577" s="63" t="e">
        <f t="shared" si="17"/>
        <v>#VALUE!</v>
      </c>
    </row>
    <row r="578" spans="7:8">
      <c r="G578" s="63" t="e">
        <f t="shared" si="16"/>
        <v>#VALUE!</v>
      </c>
      <c r="H578" s="63" t="e">
        <f t="shared" si="17"/>
        <v>#VALUE!</v>
      </c>
    </row>
    <row r="579" spans="7:8">
      <c r="G579" s="63" t="e">
        <f t="shared" ref="G579:G642" si="18">IF(OR(A579="RID_PB77",A579="RID_PB77A3"),"WPCI77",IF(A579="RIDTCIAS","CSCI49",IF(A579="RID_HCPTM","CHCPT_",IF(LEFT(A579,1)="C",A579,MID(A579,6,LEN(A579)-5)))))</f>
        <v>#VALUE!</v>
      </c>
      <c r="H579" s="63" t="e">
        <f t="shared" ref="H579:H642" si="19">IF(OR(G579="MJG1",G579="MJG2"),"MJG",G579)&amp;"_"&amp;B579</f>
        <v>#VALUE!</v>
      </c>
    </row>
    <row r="580" spans="7:8">
      <c r="G580" s="63" t="e">
        <f t="shared" si="18"/>
        <v>#VALUE!</v>
      </c>
      <c r="H580" s="63" t="e">
        <f t="shared" si="19"/>
        <v>#VALUE!</v>
      </c>
    </row>
    <row r="581" spans="7:8">
      <c r="G581" s="63" t="e">
        <f t="shared" si="18"/>
        <v>#VALUE!</v>
      </c>
      <c r="H581" s="63" t="e">
        <f t="shared" si="19"/>
        <v>#VALUE!</v>
      </c>
    </row>
    <row r="582" spans="7:8">
      <c r="G582" s="63" t="e">
        <f t="shared" si="18"/>
        <v>#VALUE!</v>
      </c>
      <c r="H582" s="63" t="e">
        <f t="shared" si="19"/>
        <v>#VALUE!</v>
      </c>
    </row>
    <row r="583" spans="7:8">
      <c r="G583" s="63" t="e">
        <f t="shared" si="18"/>
        <v>#VALUE!</v>
      </c>
      <c r="H583" s="63" t="e">
        <f t="shared" si="19"/>
        <v>#VALUE!</v>
      </c>
    </row>
    <row r="584" spans="7:8">
      <c r="G584" s="63" t="e">
        <f t="shared" si="18"/>
        <v>#VALUE!</v>
      </c>
      <c r="H584" s="63" t="e">
        <f t="shared" si="19"/>
        <v>#VALUE!</v>
      </c>
    </row>
    <row r="585" spans="7:8">
      <c r="G585" s="63" t="e">
        <f t="shared" si="18"/>
        <v>#VALUE!</v>
      </c>
      <c r="H585" s="63" t="e">
        <f t="shared" si="19"/>
        <v>#VALUE!</v>
      </c>
    </row>
    <row r="586" spans="7:8">
      <c r="G586" s="63" t="e">
        <f t="shared" si="18"/>
        <v>#VALUE!</v>
      </c>
      <c r="H586" s="63" t="e">
        <f t="shared" si="19"/>
        <v>#VALUE!</v>
      </c>
    </row>
    <row r="587" spans="7:8">
      <c r="G587" s="63" t="e">
        <f t="shared" si="18"/>
        <v>#VALUE!</v>
      </c>
      <c r="H587" s="63" t="e">
        <f t="shared" si="19"/>
        <v>#VALUE!</v>
      </c>
    </row>
    <row r="588" spans="7:8">
      <c r="G588" s="63" t="e">
        <f t="shared" si="18"/>
        <v>#VALUE!</v>
      </c>
      <c r="H588" s="63" t="e">
        <f t="shared" si="19"/>
        <v>#VALUE!</v>
      </c>
    </row>
    <row r="589" spans="7:8">
      <c r="G589" s="63" t="e">
        <f t="shared" si="18"/>
        <v>#VALUE!</v>
      </c>
      <c r="H589" s="63" t="e">
        <f t="shared" si="19"/>
        <v>#VALUE!</v>
      </c>
    </row>
    <row r="590" spans="7:8">
      <c r="G590" s="63" t="e">
        <f t="shared" si="18"/>
        <v>#VALUE!</v>
      </c>
      <c r="H590" s="63" t="e">
        <f t="shared" si="19"/>
        <v>#VALUE!</v>
      </c>
    </row>
    <row r="591" spans="7:8">
      <c r="G591" s="63" t="e">
        <f t="shared" si="18"/>
        <v>#VALUE!</v>
      </c>
      <c r="H591" s="63" t="e">
        <f t="shared" si="19"/>
        <v>#VALUE!</v>
      </c>
    </row>
    <row r="592" spans="7:8">
      <c r="G592" s="63" t="e">
        <f t="shared" si="18"/>
        <v>#VALUE!</v>
      </c>
      <c r="H592" s="63" t="e">
        <f t="shared" si="19"/>
        <v>#VALUE!</v>
      </c>
    </row>
    <row r="593" spans="7:8">
      <c r="G593" s="63" t="e">
        <f t="shared" si="18"/>
        <v>#VALUE!</v>
      </c>
      <c r="H593" s="63" t="e">
        <f t="shared" si="19"/>
        <v>#VALUE!</v>
      </c>
    </row>
    <row r="594" spans="7:8">
      <c r="G594" s="63" t="e">
        <f t="shared" si="18"/>
        <v>#VALUE!</v>
      </c>
      <c r="H594" s="63" t="e">
        <f t="shared" si="19"/>
        <v>#VALUE!</v>
      </c>
    </row>
    <row r="595" spans="7:8">
      <c r="G595" s="63" t="e">
        <f t="shared" si="18"/>
        <v>#VALUE!</v>
      </c>
      <c r="H595" s="63" t="e">
        <f t="shared" si="19"/>
        <v>#VALUE!</v>
      </c>
    </row>
    <row r="596" spans="7:8">
      <c r="G596" s="63" t="e">
        <f t="shared" si="18"/>
        <v>#VALUE!</v>
      </c>
      <c r="H596" s="63" t="e">
        <f t="shared" si="19"/>
        <v>#VALUE!</v>
      </c>
    </row>
    <row r="597" spans="7:8">
      <c r="G597" s="63" t="e">
        <f t="shared" si="18"/>
        <v>#VALUE!</v>
      </c>
      <c r="H597" s="63" t="e">
        <f t="shared" si="19"/>
        <v>#VALUE!</v>
      </c>
    </row>
    <row r="598" spans="7:8">
      <c r="G598" s="63" t="e">
        <f t="shared" si="18"/>
        <v>#VALUE!</v>
      </c>
      <c r="H598" s="63" t="e">
        <f t="shared" si="19"/>
        <v>#VALUE!</v>
      </c>
    </row>
    <row r="599" spans="7:8">
      <c r="G599" s="63" t="e">
        <f t="shared" si="18"/>
        <v>#VALUE!</v>
      </c>
      <c r="H599" s="63" t="e">
        <f t="shared" si="19"/>
        <v>#VALUE!</v>
      </c>
    </row>
    <row r="600" spans="7:8">
      <c r="G600" s="63" t="e">
        <f t="shared" si="18"/>
        <v>#VALUE!</v>
      </c>
      <c r="H600" s="63" t="e">
        <f t="shared" si="19"/>
        <v>#VALUE!</v>
      </c>
    </row>
    <row r="601" spans="7:8">
      <c r="G601" s="63" t="e">
        <f t="shared" si="18"/>
        <v>#VALUE!</v>
      </c>
      <c r="H601" s="63" t="e">
        <f t="shared" si="19"/>
        <v>#VALUE!</v>
      </c>
    </row>
    <row r="602" spans="7:8">
      <c r="G602" s="63" t="e">
        <f t="shared" si="18"/>
        <v>#VALUE!</v>
      </c>
      <c r="H602" s="63" t="e">
        <f t="shared" si="19"/>
        <v>#VALUE!</v>
      </c>
    </row>
    <row r="603" spans="7:8">
      <c r="G603" s="63" t="e">
        <f t="shared" si="18"/>
        <v>#VALUE!</v>
      </c>
      <c r="H603" s="63" t="e">
        <f t="shared" si="19"/>
        <v>#VALUE!</v>
      </c>
    </row>
    <row r="604" spans="7:8">
      <c r="G604" s="63" t="e">
        <f t="shared" si="18"/>
        <v>#VALUE!</v>
      </c>
      <c r="H604" s="63" t="e">
        <f t="shared" si="19"/>
        <v>#VALUE!</v>
      </c>
    </row>
    <row r="605" spans="7:8">
      <c r="G605" s="63" t="e">
        <f t="shared" si="18"/>
        <v>#VALUE!</v>
      </c>
      <c r="H605" s="63" t="e">
        <f t="shared" si="19"/>
        <v>#VALUE!</v>
      </c>
    </row>
    <row r="606" spans="7:8">
      <c r="G606" s="63" t="e">
        <f t="shared" si="18"/>
        <v>#VALUE!</v>
      </c>
      <c r="H606" s="63" t="e">
        <f t="shared" si="19"/>
        <v>#VALUE!</v>
      </c>
    </row>
    <row r="607" spans="7:8">
      <c r="G607" s="63" t="e">
        <f t="shared" si="18"/>
        <v>#VALUE!</v>
      </c>
      <c r="H607" s="63" t="e">
        <f t="shared" si="19"/>
        <v>#VALUE!</v>
      </c>
    </row>
    <row r="608" spans="7:8">
      <c r="G608" s="63" t="e">
        <f t="shared" si="18"/>
        <v>#VALUE!</v>
      </c>
      <c r="H608" s="63" t="e">
        <f t="shared" si="19"/>
        <v>#VALUE!</v>
      </c>
    </row>
    <row r="609" spans="7:8">
      <c r="G609" s="63" t="e">
        <f t="shared" si="18"/>
        <v>#VALUE!</v>
      </c>
      <c r="H609" s="63" t="e">
        <f t="shared" si="19"/>
        <v>#VALUE!</v>
      </c>
    </row>
    <row r="610" spans="7:8">
      <c r="G610" s="63" t="e">
        <f t="shared" si="18"/>
        <v>#VALUE!</v>
      </c>
      <c r="H610" s="63" t="e">
        <f t="shared" si="19"/>
        <v>#VALUE!</v>
      </c>
    </row>
    <row r="611" spans="7:8">
      <c r="G611" s="63" t="e">
        <f t="shared" si="18"/>
        <v>#VALUE!</v>
      </c>
      <c r="H611" s="63" t="e">
        <f t="shared" si="19"/>
        <v>#VALUE!</v>
      </c>
    </row>
    <row r="612" spans="7:8">
      <c r="G612" s="63" t="e">
        <f t="shared" si="18"/>
        <v>#VALUE!</v>
      </c>
      <c r="H612" s="63" t="e">
        <f t="shared" si="19"/>
        <v>#VALUE!</v>
      </c>
    </row>
    <row r="613" spans="7:8">
      <c r="G613" s="63" t="e">
        <f t="shared" si="18"/>
        <v>#VALUE!</v>
      </c>
      <c r="H613" s="63" t="e">
        <f t="shared" si="19"/>
        <v>#VALUE!</v>
      </c>
    </row>
    <row r="614" spans="7:8">
      <c r="G614" s="63" t="e">
        <f t="shared" si="18"/>
        <v>#VALUE!</v>
      </c>
      <c r="H614" s="63" t="e">
        <f t="shared" si="19"/>
        <v>#VALUE!</v>
      </c>
    </row>
    <row r="615" spans="7:8">
      <c r="G615" s="63" t="e">
        <f t="shared" si="18"/>
        <v>#VALUE!</v>
      </c>
      <c r="H615" s="63" t="e">
        <f t="shared" si="19"/>
        <v>#VALUE!</v>
      </c>
    </row>
    <row r="616" spans="7:8">
      <c r="G616" s="63" t="e">
        <f t="shared" si="18"/>
        <v>#VALUE!</v>
      </c>
      <c r="H616" s="63" t="e">
        <f t="shared" si="19"/>
        <v>#VALUE!</v>
      </c>
    </row>
    <row r="617" spans="7:8">
      <c r="G617" s="63" t="e">
        <f t="shared" si="18"/>
        <v>#VALUE!</v>
      </c>
      <c r="H617" s="63" t="e">
        <f t="shared" si="19"/>
        <v>#VALUE!</v>
      </c>
    </row>
    <row r="618" spans="7:8">
      <c r="G618" s="63" t="e">
        <f t="shared" si="18"/>
        <v>#VALUE!</v>
      </c>
      <c r="H618" s="63" t="e">
        <f t="shared" si="19"/>
        <v>#VALUE!</v>
      </c>
    </row>
    <row r="619" spans="7:8">
      <c r="G619" s="63" t="e">
        <f t="shared" si="18"/>
        <v>#VALUE!</v>
      </c>
      <c r="H619" s="63" t="e">
        <f t="shared" si="19"/>
        <v>#VALUE!</v>
      </c>
    </row>
    <row r="620" spans="7:8">
      <c r="G620" s="63" t="e">
        <f t="shared" si="18"/>
        <v>#VALUE!</v>
      </c>
      <c r="H620" s="63" t="e">
        <f t="shared" si="19"/>
        <v>#VALUE!</v>
      </c>
    </row>
    <row r="621" spans="7:8">
      <c r="G621" s="63" t="e">
        <f t="shared" si="18"/>
        <v>#VALUE!</v>
      </c>
      <c r="H621" s="63" t="e">
        <f t="shared" si="19"/>
        <v>#VALUE!</v>
      </c>
    </row>
    <row r="622" spans="7:8">
      <c r="G622" s="63" t="e">
        <f t="shared" si="18"/>
        <v>#VALUE!</v>
      </c>
      <c r="H622" s="63" t="e">
        <f t="shared" si="19"/>
        <v>#VALUE!</v>
      </c>
    </row>
    <row r="623" spans="7:8">
      <c r="G623" s="63" t="e">
        <f t="shared" si="18"/>
        <v>#VALUE!</v>
      </c>
      <c r="H623" s="63" t="e">
        <f t="shared" si="19"/>
        <v>#VALUE!</v>
      </c>
    </row>
    <row r="624" spans="7:8">
      <c r="G624" s="63" t="e">
        <f t="shared" si="18"/>
        <v>#VALUE!</v>
      </c>
      <c r="H624" s="63" t="e">
        <f t="shared" si="19"/>
        <v>#VALUE!</v>
      </c>
    </row>
    <row r="625" spans="7:8">
      <c r="G625" s="63" t="e">
        <f t="shared" si="18"/>
        <v>#VALUE!</v>
      </c>
      <c r="H625" s="63" t="e">
        <f t="shared" si="19"/>
        <v>#VALUE!</v>
      </c>
    </row>
    <row r="626" spans="7:8">
      <c r="G626" s="63" t="e">
        <f t="shared" si="18"/>
        <v>#VALUE!</v>
      </c>
      <c r="H626" s="63" t="e">
        <f t="shared" si="19"/>
        <v>#VALUE!</v>
      </c>
    </row>
    <row r="627" spans="7:8">
      <c r="G627" s="63" t="e">
        <f t="shared" si="18"/>
        <v>#VALUE!</v>
      </c>
      <c r="H627" s="63" t="e">
        <f t="shared" si="19"/>
        <v>#VALUE!</v>
      </c>
    </row>
    <row r="628" spans="7:8">
      <c r="G628" s="63" t="e">
        <f t="shared" si="18"/>
        <v>#VALUE!</v>
      </c>
      <c r="H628" s="63" t="e">
        <f t="shared" si="19"/>
        <v>#VALUE!</v>
      </c>
    </row>
    <row r="629" spans="7:8">
      <c r="G629" s="63" t="e">
        <f t="shared" si="18"/>
        <v>#VALUE!</v>
      </c>
      <c r="H629" s="63" t="e">
        <f t="shared" si="19"/>
        <v>#VALUE!</v>
      </c>
    </row>
    <row r="630" spans="7:8">
      <c r="G630" s="63" t="e">
        <f t="shared" si="18"/>
        <v>#VALUE!</v>
      </c>
      <c r="H630" s="63" t="e">
        <f t="shared" si="19"/>
        <v>#VALUE!</v>
      </c>
    </row>
    <row r="631" spans="7:8">
      <c r="G631" s="63" t="e">
        <f t="shared" si="18"/>
        <v>#VALUE!</v>
      </c>
      <c r="H631" s="63" t="e">
        <f t="shared" si="19"/>
        <v>#VALUE!</v>
      </c>
    </row>
    <row r="632" spans="7:8">
      <c r="G632" s="63" t="e">
        <f t="shared" si="18"/>
        <v>#VALUE!</v>
      </c>
      <c r="H632" s="63" t="e">
        <f t="shared" si="19"/>
        <v>#VALUE!</v>
      </c>
    </row>
    <row r="633" spans="7:8">
      <c r="G633" s="63" t="e">
        <f t="shared" si="18"/>
        <v>#VALUE!</v>
      </c>
      <c r="H633" s="63" t="e">
        <f t="shared" si="19"/>
        <v>#VALUE!</v>
      </c>
    </row>
    <row r="634" spans="7:8">
      <c r="G634" s="63" t="e">
        <f t="shared" si="18"/>
        <v>#VALUE!</v>
      </c>
      <c r="H634" s="63" t="e">
        <f t="shared" si="19"/>
        <v>#VALUE!</v>
      </c>
    </row>
    <row r="635" spans="7:8">
      <c r="G635" s="63" t="e">
        <f t="shared" si="18"/>
        <v>#VALUE!</v>
      </c>
      <c r="H635" s="63" t="e">
        <f t="shared" si="19"/>
        <v>#VALUE!</v>
      </c>
    </row>
    <row r="636" spans="7:8">
      <c r="G636" s="63" t="e">
        <f t="shared" si="18"/>
        <v>#VALUE!</v>
      </c>
      <c r="H636" s="63" t="e">
        <f t="shared" si="19"/>
        <v>#VALUE!</v>
      </c>
    </row>
    <row r="637" spans="7:8">
      <c r="G637" s="63" t="e">
        <f t="shared" si="18"/>
        <v>#VALUE!</v>
      </c>
      <c r="H637" s="63" t="e">
        <f t="shared" si="19"/>
        <v>#VALUE!</v>
      </c>
    </row>
    <row r="638" spans="7:8">
      <c r="G638" s="63" t="e">
        <f t="shared" si="18"/>
        <v>#VALUE!</v>
      </c>
      <c r="H638" s="63" t="e">
        <f t="shared" si="19"/>
        <v>#VALUE!</v>
      </c>
    </row>
    <row r="639" spans="7:8">
      <c r="G639" s="63" t="e">
        <f t="shared" si="18"/>
        <v>#VALUE!</v>
      </c>
      <c r="H639" s="63" t="e">
        <f t="shared" si="19"/>
        <v>#VALUE!</v>
      </c>
    </row>
    <row r="640" spans="7:8">
      <c r="G640" s="63" t="e">
        <f t="shared" si="18"/>
        <v>#VALUE!</v>
      </c>
      <c r="H640" s="63" t="e">
        <f t="shared" si="19"/>
        <v>#VALUE!</v>
      </c>
    </row>
    <row r="641" spans="7:8">
      <c r="G641" s="63" t="e">
        <f t="shared" si="18"/>
        <v>#VALUE!</v>
      </c>
      <c r="H641" s="63" t="e">
        <f t="shared" si="19"/>
        <v>#VALUE!</v>
      </c>
    </row>
    <row r="642" spans="7:8">
      <c r="G642" s="63" t="e">
        <f t="shared" si="18"/>
        <v>#VALUE!</v>
      </c>
      <c r="H642" s="63" t="e">
        <f t="shared" si="19"/>
        <v>#VALUE!</v>
      </c>
    </row>
    <row r="643" spans="7:8">
      <c r="G643" s="63" t="e">
        <f t="shared" ref="G643:G706" si="20">IF(OR(A643="RID_PB77",A643="RID_PB77A3"),"WPCI77",IF(A643="RIDTCIAS","CSCI49",IF(A643="RID_HCPTM","CHCPT_",IF(LEFT(A643,1)="C",A643,MID(A643,6,LEN(A643)-5)))))</f>
        <v>#VALUE!</v>
      </c>
      <c r="H643" s="63" t="e">
        <f t="shared" ref="H643:H706" si="21">IF(OR(G643="MJG1",G643="MJG2"),"MJG",G643)&amp;"_"&amp;B643</f>
        <v>#VALUE!</v>
      </c>
    </row>
    <row r="644" spans="7:8">
      <c r="G644" s="63" t="e">
        <f t="shared" si="20"/>
        <v>#VALUE!</v>
      </c>
      <c r="H644" s="63" t="e">
        <f t="shared" si="21"/>
        <v>#VALUE!</v>
      </c>
    </row>
    <row r="645" spans="7:8">
      <c r="G645" s="63" t="e">
        <f t="shared" si="20"/>
        <v>#VALUE!</v>
      </c>
      <c r="H645" s="63" t="e">
        <f t="shared" si="21"/>
        <v>#VALUE!</v>
      </c>
    </row>
    <row r="646" spans="7:8">
      <c r="G646" s="63" t="e">
        <f t="shared" si="20"/>
        <v>#VALUE!</v>
      </c>
      <c r="H646" s="63" t="e">
        <f t="shared" si="21"/>
        <v>#VALUE!</v>
      </c>
    </row>
    <row r="647" spans="7:8">
      <c r="G647" s="63" t="e">
        <f t="shared" si="20"/>
        <v>#VALUE!</v>
      </c>
      <c r="H647" s="63" t="e">
        <f t="shared" si="21"/>
        <v>#VALUE!</v>
      </c>
    </row>
    <row r="648" spans="7:8">
      <c r="G648" s="63" t="e">
        <f t="shared" si="20"/>
        <v>#VALUE!</v>
      </c>
      <c r="H648" s="63" t="e">
        <f t="shared" si="21"/>
        <v>#VALUE!</v>
      </c>
    </row>
    <row r="649" spans="7:8">
      <c r="G649" s="63" t="e">
        <f t="shared" si="20"/>
        <v>#VALUE!</v>
      </c>
      <c r="H649" s="63" t="e">
        <f t="shared" si="21"/>
        <v>#VALUE!</v>
      </c>
    </row>
    <row r="650" spans="7:8">
      <c r="G650" s="63" t="e">
        <f t="shared" si="20"/>
        <v>#VALUE!</v>
      </c>
      <c r="H650" s="63" t="e">
        <f t="shared" si="21"/>
        <v>#VALUE!</v>
      </c>
    </row>
    <row r="651" spans="7:8">
      <c r="G651" s="63" t="e">
        <f t="shared" si="20"/>
        <v>#VALUE!</v>
      </c>
      <c r="H651" s="63" t="e">
        <f t="shared" si="21"/>
        <v>#VALUE!</v>
      </c>
    </row>
    <row r="652" spans="7:8">
      <c r="G652" s="63" t="e">
        <f t="shared" si="20"/>
        <v>#VALUE!</v>
      </c>
      <c r="H652" s="63" t="e">
        <f t="shared" si="21"/>
        <v>#VALUE!</v>
      </c>
    </row>
    <row r="653" spans="7:8">
      <c r="G653" s="63" t="e">
        <f t="shared" si="20"/>
        <v>#VALUE!</v>
      </c>
      <c r="H653" s="63" t="e">
        <f t="shared" si="21"/>
        <v>#VALUE!</v>
      </c>
    </row>
    <row r="654" spans="7:8">
      <c r="G654" s="63" t="e">
        <f t="shared" si="20"/>
        <v>#VALUE!</v>
      </c>
      <c r="H654" s="63" t="e">
        <f t="shared" si="21"/>
        <v>#VALUE!</v>
      </c>
    </row>
    <row r="655" spans="7:8">
      <c r="G655" s="63" t="e">
        <f t="shared" si="20"/>
        <v>#VALUE!</v>
      </c>
      <c r="H655" s="63" t="e">
        <f t="shared" si="21"/>
        <v>#VALUE!</v>
      </c>
    </row>
    <row r="656" spans="7:8">
      <c r="G656" s="63" t="e">
        <f t="shared" si="20"/>
        <v>#VALUE!</v>
      </c>
      <c r="H656" s="63" t="e">
        <f t="shared" si="21"/>
        <v>#VALUE!</v>
      </c>
    </row>
    <row r="657" spans="7:8">
      <c r="G657" s="63" t="e">
        <f t="shared" si="20"/>
        <v>#VALUE!</v>
      </c>
      <c r="H657" s="63" t="e">
        <f t="shared" si="21"/>
        <v>#VALUE!</v>
      </c>
    </row>
    <row r="658" spans="7:8">
      <c r="G658" s="63" t="e">
        <f t="shared" si="20"/>
        <v>#VALUE!</v>
      </c>
      <c r="H658" s="63" t="e">
        <f t="shared" si="21"/>
        <v>#VALUE!</v>
      </c>
    </row>
    <row r="659" spans="7:8">
      <c r="G659" s="63" t="e">
        <f t="shared" si="20"/>
        <v>#VALUE!</v>
      </c>
      <c r="H659" s="63" t="e">
        <f t="shared" si="21"/>
        <v>#VALUE!</v>
      </c>
    </row>
    <row r="660" spans="7:8">
      <c r="G660" s="63" t="e">
        <f t="shared" si="20"/>
        <v>#VALUE!</v>
      </c>
      <c r="H660" s="63" t="e">
        <f t="shared" si="21"/>
        <v>#VALUE!</v>
      </c>
    </row>
    <row r="661" spans="7:8">
      <c r="G661" s="63" t="e">
        <f t="shared" si="20"/>
        <v>#VALUE!</v>
      </c>
      <c r="H661" s="63" t="e">
        <f t="shared" si="21"/>
        <v>#VALUE!</v>
      </c>
    </row>
    <row r="662" spans="7:8">
      <c r="G662" s="63" t="e">
        <f t="shared" si="20"/>
        <v>#VALUE!</v>
      </c>
      <c r="H662" s="63" t="e">
        <f t="shared" si="21"/>
        <v>#VALUE!</v>
      </c>
    </row>
    <row r="663" spans="7:8">
      <c r="G663" s="63" t="e">
        <f t="shared" si="20"/>
        <v>#VALUE!</v>
      </c>
      <c r="H663" s="63" t="e">
        <f t="shared" si="21"/>
        <v>#VALUE!</v>
      </c>
    </row>
    <row r="664" spans="7:8">
      <c r="G664" s="63" t="e">
        <f t="shared" si="20"/>
        <v>#VALUE!</v>
      </c>
      <c r="H664" s="63" t="e">
        <f t="shared" si="21"/>
        <v>#VALUE!</v>
      </c>
    </row>
    <row r="665" spans="7:8">
      <c r="G665" s="63" t="e">
        <f t="shared" si="20"/>
        <v>#VALUE!</v>
      </c>
      <c r="H665" s="63" t="e">
        <f t="shared" si="21"/>
        <v>#VALUE!</v>
      </c>
    </row>
    <row r="666" spans="7:8">
      <c r="G666" s="63" t="e">
        <f t="shared" si="20"/>
        <v>#VALUE!</v>
      </c>
      <c r="H666" s="63" t="e">
        <f t="shared" si="21"/>
        <v>#VALUE!</v>
      </c>
    </row>
    <row r="667" spans="7:8">
      <c r="G667" s="63" t="e">
        <f t="shared" si="20"/>
        <v>#VALUE!</v>
      </c>
      <c r="H667" s="63" t="e">
        <f t="shared" si="21"/>
        <v>#VALUE!</v>
      </c>
    </row>
    <row r="668" spans="7:8">
      <c r="G668" s="63" t="e">
        <f t="shared" si="20"/>
        <v>#VALUE!</v>
      </c>
      <c r="H668" s="63" t="e">
        <f t="shared" si="21"/>
        <v>#VALUE!</v>
      </c>
    </row>
    <row r="669" spans="7:8">
      <c r="G669" s="63" t="e">
        <f t="shared" si="20"/>
        <v>#VALUE!</v>
      </c>
      <c r="H669" s="63" t="e">
        <f t="shared" si="21"/>
        <v>#VALUE!</v>
      </c>
    </row>
    <row r="670" spans="7:8">
      <c r="G670" s="63" t="e">
        <f t="shared" si="20"/>
        <v>#VALUE!</v>
      </c>
      <c r="H670" s="63" t="e">
        <f t="shared" si="21"/>
        <v>#VALUE!</v>
      </c>
    </row>
    <row r="671" spans="7:8">
      <c r="G671" s="63" t="e">
        <f t="shared" si="20"/>
        <v>#VALUE!</v>
      </c>
      <c r="H671" s="63" t="e">
        <f t="shared" si="21"/>
        <v>#VALUE!</v>
      </c>
    </row>
    <row r="672" spans="7:8">
      <c r="G672" s="63" t="e">
        <f t="shared" si="20"/>
        <v>#VALUE!</v>
      </c>
      <c r="H672" s="63" t="e">
        <f t="shared" si="21"/>
        <v>#VALUE!</v>
      </c>
    </row>
    <row r="673" spans="7:8">
      <c r="G673" s="63" t="e">
        <f t="shared" si="20"/>
        <v>#VALUE!</v>
      </c>
      <c r="H673" s="63" t="e">
        <f t="shared" si="21"/>
        <v>#VALUE!</v>
      </c>
    </row>
    <row r="674" spans="7:8">
      <c r="G674" s="63" t="e">
        <f t="shared" si="20"/>
        <v>#VALUE!</v>
      </c>
      <c r="H674" s="63" t="e">
        <f t="shared" si="21"/>
        <v>#VALUE!</v>
      </c>
    </row>
    <row r="675" spans="7:8">
      <c r="G675" s="63" t="e">
        <f t="shared" si="20"/>
        <v>#VALUE!</v>
      </c>
      <c r="H675" s="63" t="e">
        <f t="shared" si="21"/>
        <v>#VALUE!</v>
      </c>
    </row>
    <row r="676" spans="7:8">
      <c r="G676" s="63" t="e">
        <f t="shared" si="20"/>
        <v>#VALUE!</v>
      </c>
      <c r="H676" s="63" t="e">
        <f t="shared" si="21"/>
        <v>#VALUE!</v>
      </c>
    </row>
    <row r="677" spans="7:8">
      <c r="G677" s="63" t="e">
        <f t="shared" si="20"/>
        <v>#VALUE!</v>
      </c>
      <c r="H677" s="63" t="e">
        <f t="shared" si="21"/>
        <v>#VALUE!</v>
      </c>
    </row>
    <row r="678" spans="7:8">
      <c r="G678" s="63" t="e">
        <f t="shared" si="20"/>
        <v>#VALUE!</v>
      </c>
      <c r="H678" s="63" t="e">
        <f t="shared" si="21"/>
        <v>#VALUE!</v>
      </c>
    </row>
    <row r="679" spans="7:8">
      <c r="G679" s="63" t="e">
        <f t="shared" si="20"/>
        <v>#VALUE!</v>
      </c>
      <c r="H679" s="63" t="e">
        <f t="shared" si="21"/>
        <v>#VALUE!</v>
      </c>
    </row>
    <row r="680" spans="7:8">
      <c r="G680" s="63" t="e">
        <f t="shared" si="20"/>
        <v>#VALUE!</v>
      </c>
      <c r="H680" s="63" t="e">
        <f t="shared" si="21"/>
        <v>#VALUE!</v>
      </c>
    </row>
    <row r="681" spans="7:8">
      <c r="G681" s="63" t="e">
        <f t="shared" si="20"/>
        <v>#VALUE!</v>
      </c>
      <c r="H681" s="63" t="e">
        <f t="shared" si="21"/>
        <v>#VALUE!</v>
      </c>
    </row>
    <row r="682" spans="7:8">
      <c r="G682" s="63" t="e">
        <f t="shared" si="20"/>
        <v>#VALUE!</v>
      </c>
      <c r="H682" s="63" t="e">
        <f t="shared" si="21"/>
        <v>#VALUE!</v>
      </c>
    </row>
    <row r="683" spans="7:8">
      <c r="G683" s="63" t="e">
        <f t="shared" si="20"/>
        <v>#VALUE!</v>
      </c>
      <c r="H683" s="63" t="e">
        <f t="shared" si="21"/>
        <v>#VALUE!</v>
      </c>
    </row>
    <row r="684" spans="7:8">
      <c r="G684" s="63" t="e">
        <f t="shared" si="20"/>
        <v>#VALUE!</v>
      </c>
      <c r="H684" s="63" t="e">
        <f t="shared" si="21"/>
        <v>#VALUE!</v>
      </c>
    </row>
    <row r="685" spans="7:8">
      <c r="G685" s="63" t="e">
        <f t="shared" si="20"/>
        <v>#VALUE!</v>
      </c>
      <c r="H685" s="63" t="e">
        <f t="shared" si="21"/>
        <v>#VALUE!</v>
      </c>
    </row>
    <row r="686" spans="7:8">
      <c r="G686" s="63" t="e">
        <f t="shared" si="20"/>
        <v>#VALUE!</v>
      </c>
      <c r="H686" s="63" t="e">
        <f t="shared" si="21"/>
        <v>#VALUE!</v>
      </c>
    </row>
    <row r="687" spans="7:8">
      <c r="G687" s="63" t="e">
        <f t="shared" si="20"/>
        <v>#VALUE!</v>
      </c>
      <c r="H687" s="63" t="e">
        <f t="shared" si="21"/>
        <v>#VALUE!</v>
      </c>
    </row>
    <row r="688" spans="7:8">
      <c r="G688" s="63" t="e">
        <f t="shared" si="20"/>
        <v>#VALUE!</v>
      </c>
      <c r="H688" s="63" t="e">
        <f t="shared" si="21"/>
        <v>#VALUE!</v>
      </c>
    </row>
    <row r="689" spans="7:8">
      <c r="G689" s="63" t="e">
        <f t="shared" si="20"/>
        <v>#VALUE!</v>
      </c>
      <c r="H689" s="63" t="e">
        <f t="shared" si="21"/>
        <v>#VALUE!</v>
      </c>
    </row>
    <row r="690" spans="7:8">
      <c r="G690" s="63" t="e">
        <f t="shared" si="20"/>
        <v>#VALUE!</v>
      </c>
      <c r="H690" s="63" t="e">
        <f t="shared" si="21"/>
        <v>#VALUE!</v>
      </c>
    </row>
    <row r="691" spans="7:8">
      <c r="G691" s="63" t="e">
        <f t="shared" si="20"/>
        <v>#VALUE!</v>
      </c>
      <c r="H691" s="63" t="e">
        <f t="shared" si="21"/>
        <v>#VALUE!</v>
      </c>
    </row>
    <row r="692" spans="7:8">
      <c r="G692" s="63" t="e">
        <f t="shared" si="20"/>
        <v>#VALUE!</v>
      </c>
      <c r="H692" s="63" t="e">
        <f t="shared" si="21"/>
        <v>#VALUE!</v>
      </c>
    </row>
    <row r="693" spans="7:8">
      <c r="G693" s="63" t="e">
        <f t="shared" si="20"/>
        <v>#VALUE!</v>
      </c>
      <c r="H693" s="63" t="e">
        <f t="shared" si="21"/>
        <v>#VALUE!</v>
      </c>
    </row>
    <row r="694" spans="7:8">
      <c r="G694" s="63" t="e">
        <f t="shared" si="20"/>
        <v>#VALUE!</v>
      </c>
      <c r="H694" s="63" t="e">
        <f t="shared" si="21"/>
        <v>#VALUE!</v>
      </c>
    </row>
    <row r="695" spans="7:8">
      <c r="G695" s="63" t="e">
        <f t="shared" si="20"/>
        <v>#VALUE!</v>
      </c>
      <c r="H695" s="63" t="e">
        <f t="shared" si="21"/>
        <v>#VALUE!</v>
      </c>
    </row>
    <row r="696" spans="7:8">
      <c r="G696" s="63" t="e">
        <f t="shared" si="20"/>
        <v>#VALUE!</v>
      </c>
      <c r="H696" s="63" t="e">
        <f t="shared" si="21"/>
        <v>#VALUE!</v>
      </c>
    </row>
    <row r="697" spans="7:8">
      <c r="G697" s="63" t="e">
        <f t="shared" si="20"/>
        <v>#VALUE!</v>
      </c>
      <c r="H697" s="63" t="e">
        <f t="shared" si="21"/>
        <v>#VALUE!</v>
      </c>
    </row>
    <row r="698" spans="7:8">
      <c r="G698" s="63" t="e">
        <f t="shared" si="20"/>
        <v>#VALUE!</v>
      </c>
      <c r="H698" s="63" t="e">
        <f t="shared" si="21"/>
        <v>#VALUE!</v>
      </c>
    </row>
    <row r="699" spans="7:8">
      <c r="G699" s="63" t="e">
        <f t="shared" si="20"/>
        <v>#VALUE!</v>
      </c>
      <c r="H699" s="63" t="e">
        <f t="shared" si="21"/>
        <v>#VALUE!</v>
      </c>
    </row>
    <row r="700" spans="7:8">
      <c r="G700" s="63" t="e">
        <f t="shared" si="20"/>
        <v>#VALUE!</v>
      </c>
      <c r="H700" s="63" t="e">
        <f t="shared" si="21"/>
        <v>#VALUE!</v>
      </c>
    </row>
    <row r="701" spans="7:8">
      <c r="G701" s="63" t="e">
        <f t="shared" si="20"/>
        <v>#VALUE!</v>
      </c>
      <c r="H701" s="63" t="e">
        <f t="shared" si="21"/>
        <v>#VALUE!</v>
      </c>
    </row>
    <row r="702" spans="7:8">
      <c r="G702" s="63" t="e">
        <f t="shared" si="20"/>
        <v>#VALUE!</v>
      </c>
      <c r="H702" s="63" t="e">
        <f t="shared" si="21"/>
        <v>#VALUE!</v>
      </c>
    </row>
    <row r="703" spans="7:8">
      <c r="G703" s="63" t="e">
        <f t="shared" si="20"/>
        <v>#VALUE!</v>
      </c>
      <c r="H703" s="63" t="e">
        <f t="shared" si="21"/>
        <v>#VALUE!</v>
      </c>
    </row>
    <row r="704" spans="7:8">
      <c r="G704" s="63" t="e">
        <f t="shared" si="20"/>
        <v>#VALUE!</v>
      </c>
      <c r="H704" s="63" t="e">
        <f t="shared" si="21"/>
        <v>#VALUE!</v>
      </c>
    </row>
    <row r="705" spans="7:8">
      <c r="G705" s="63" t="e">
        <f t="shared" si="20"/>
        <v>#VALUE!</v>
      </c>
      <c r="H705" s="63" t="e">
        <f t="shared" si="21"/>
        <v>#VALUE!</v>
      </c>
    </row>
    <row r="706" spans="7:8">
      <c r="G706" s="63" t="e">
        <f t="shared" si="20"/>
        <v>#VALUE!</v>
      </c>
      <c r="H706" s="63" t="e">
        <f t="shared" si="21"/>
        <v>#VALUE!</v>
      </c>
    </row>
    <row r="707" spans="7:8">
      <c r="G707" s="63" t="e">
        <f t="shared" ref="G707:G770" si="22">IF(OR(A707="RID_PB77",A707="RID_PB77A3"),"WPCI77",IF(A707="RIDTCIAS","CSCI49",IF(A707="RID_HCPTM","CHCPT_",IF(LEFT(A707,1)="C",A707,MID(A707,6,LEN(A707)-5)))))</f>
        <v>#VALUE!</v>
      </c>
      <c r="H707" s="63" t="e">
        <f t="shared" ref="H707:H770" si="23">IF(OR(G707="MJG1",G707="MJG2"),"MJG",G707)&amp;"_"&amp;B707</f>
        <v>#VALUE!</v>
      </c>
    </row>
    <row r="708" spans="7:8">
      <c r="G708" s="63" t="e">
        <f t="shared" si="22"/>
        <v>#VALUE!</v>
      </c>
      <c r="H708" s="63" t="e">
        <f t="shared" si="23"/>
        <v>#VALUE!</v>
      </c>
    </row>
    <row r="709" spans="7:8">
      <c r="G709" s="63" t="e">
        <f t="shared" si="22"/>
        <v>#VALUE!</v>
      </c>
      <c r="H709" s="63" t="e">
        <f t="shared" si="23"/>
        <v>#VALUE!</v>
      </c>
    </row>
    <row r="710" spans="7:8">
      <c r="G710" s="63" t="e">
        <f t="shared" si="22"/>
        <v>#VALUE!</v>
      </c>
      <c r="H710" s="63" t="e">
        <f t="shared" si="23"/>
        <v>#VALUE!</v>
      </c>
    </row>
    <row r="711" spans="7:8">
      <c r="G711" s="63" t="e">
        <f t="shared" si="22"/>
        <v>#VALUE!</v>
      </c>
      <c r="H711" s="63" t="e">
        <f t="shared" si="23"/>
        <v>#VALUE!</v>
      </c>
    </row>
    <row r="712" spans="7:8">
      <c r="G712" s="63" t="e">
        <f t="shared" si="22"/>
        <v>#VALUE!</v>
      </c>
      <c r="H712" s="63" t="e">
        <f t="shared" si="23"/>
        <v>#VALUE!</v>
      </c>
    </row>
    <row r="713" spans="7:8">
      <c r="G713" s="63" t="e">
        <f t="shared" si="22"/>
        <v>#VALUE!</v>
      </c>
      <c r="H713" s="63" t="e">
        <f t="shared" si="23"/>
        <v>#VALUE!</v>
      </c>
    </row>
    <row r="714" spans="7:8">
      <c r="G714" s="63" t="e">
        <f t="shared" si="22"/>
        <v>#VALUE!</v>
      </c>
      <c r="H714" s="63" t="e">
        <f t="shared" si="23"/>
        <v>#VALUE!</v>
      </c>
    </row>
    <row r="715" spans="7:8">
      <c r="G715" s="63" t="e">
        <f t="shared" si="22"/>
        <v>#VALUE!</v>
      </c>
      <c r="H715" s="63" t="e">
        <f t="shared" si="23"/>
        <v>#VALUE!</v>
      </c>
    </row>
    <row r="716" spans="7:8">
      <c r="G716" s="63" t="e">
        <f t="shared" si="22"/>
        <v>#VALUE!</v>
      </c>
      <c r="H716" s="63" t="e">
        <f t="shared" si="23"/>
        <v>#VALUE!</v>
      </c>
    </row>
    <row r="717" spans="7:8">
      <c r="G717" s="63" t="e">
        <f t="shared" si="22"/>
        <v>#VALUE!</v>
      </c>
      <c r="H717" s="63" t="e">
        <f t="shared" si="23"/>
        <v>#VALUE!</v>
      </c>
    </row>
    <row r="718" spans="7:8">
      <c r="G718" s="63" t="e">
        <f t="shared" si="22"/>
        <v>#VALUE!</v>
      </c>
      <c r="H718" s="63" t="e">
        <f t="shared" si="23"/>
        <v>#VALUE!</v>
      </c>
    </row>
    <row r="719" spans="7:8">
      <c r="G719" s="63" t="e">
        <f t="shared" si="22"/>
        <v>#VALUE!</v>
      </c>
      <c r="H719" s="63" t="e">
        <f t="shared" si="23"/>
        <v>#VALUE!</v>
      </c>
    </row>
    <row r="720" spans="7:8">
      <c r="G720" s="63" t="e">
        <f t="shared" si="22"/>
        <v>#VALUE!</v>
      </c>
      <c r="H720" s="63" t="e">
        <f t="shared" si="23"/>
        <v>#VALUE!</v>
      </c>
    </row>
    <row r="721" spans="7:8">
      <c r="G721" s="63" t="e">
        <f t="shared" si="22"/>
        <v>#VALUE!</v>
      </c>
      <c r="H721" s="63" t="e">
        <f t="shared" si="23"/>
        <v>#VALUE!</v>
      </c>
    </row>
    <row r="722" spans="7:8">
      <c r="G722" s="63" t="e">
        <f t="shared" si="22"/>
        <v>#VALUE!</v>
      </c>
      <c r="H722" s="63" t="e">
        <f t="shared" si="23"/>
        <v>#VALUE!</v>
      </c>
    </row>
    <row r="723" spans="7:8">
      <c r="G723" s="63" t="e">
        <f t="shared" si="22"/>
        <v>#VALUE!</v>
      </c>
      <c r="H723" s="63" t="e">
        <f t="shared" si="23"/>
        <v>#VALUE!</v>
      </c>
    </row>
    <row r="724" spans="7:8">
      <c r="G724" s="63" t="e">
        <f t="shared" si="22"/>
        <v>#VALUE!</v>
      </c>
      <c r="H724" s="63" t="e">
        <f t="shared" si="23"/>
        <v>#VALUE!</v>
      </c>
    </row>
    <row r="725" spans="7:8">
      <c r="G725" s="63" t="e">
        <f t="shared" si="22"/>
        <v>#VALUE!</v>
      </c>
      <c r="H725" s="63" t="e">
        <f t="shared" si="23"/>
        <v>#VALUE!</v>
      </c>
    </row>
    <row r="726" spans="7:8">
      <c r="G726" s="63" t="e">
        <f t="shared" si="22"/>
        <v>#VALUE!</v>
      </c>
      <c r="H726" s="63" t="e">
        <f t="shared" si="23"/>
        <v>#VALUE!</v>
      </c>
    </row>
    <row r="727" spans="7:8">
      <c r="G727" s="63" t="e">
        <f t="shared" si="22"/>
        <v>#VALUE!</v>
      </c>
      <c r="H727" s="63" t="e">
        <f t="shared" si="23"/>
        <v>#VALUE!</v>
      </c>
    </row>
    <row r="728" spans="7:8">
      <c r="G728" s="63" t="e">
        <f t="shared" si="22"/>
        <v>#VALUE!</v>
      </c>
      <c r="H728" s="63" t="e">
        <f t="shared" si="23"/>
        <v>#VALUE!</v>
      </c>
    </row>
    <row r="729" spans="7:8">
      <c r="G729" s="63" t="e">
        <f t="shared" si="22"/>
        <v>#VALUE!</v>
      </c>
      <c r="H729" s="63" t="e">
        <f t="shared" si="23"/>
        <v>#VALUE!</v>
      </c>
    </row>
    <row r="730" spans="7:8">
      <c r="G730" s="63" t="e">
        <f t="shared" si="22"/>
        <v>#VALUE!</v>
      </c>
      <c r="H730" s="63" t="e">
        <f t="shared" si="23"/>
        <v>#VALUE!</v>
      </c>
    </row>
    <row r="731" spans="7:8">
      <c r="G731" s="63" t="e">
        <f t="shared" si="22"/>
        <v>#VALUE!</v>
      </c>
      <c r="H731" s="63" t="e">
        <f t="shared" si="23"/>
        <v>#VALUE!</v>
      </c>
    </row>
    <row r="732" spans="7:8">
      <c r="G732" s="63" t="e">
        <f t="shared" si="22"/>
        <v>#VALUE!</v>
      </c>
      <c r="H732" s="63" t="e">
        <f t="shared" si="23"/>
        <v>#VALUE!</v>
      </c>
    </row>
    <row r="733" spans="7:8">
      <c r="G733" s="63" t="e">
        <f t="shared" si="22"/>
        <v>#VALUE!</v>
      </c>
      <c r="H733" s="63" t="e">
        <f t="shared" si="23"/>
        <v>#VALUE!</v>
      </c>
    </row>
    <row r="734" spans="7:8">
      <c r="G734" s="63" t="e">
        <f t="shared" si="22"/>
        <v>#VALUE!</v>
      </c>
      <c r="H734" s="63" t="e">
        <f t="shared" si="23"/>
        <v>#VALUE!</v>
      </c>
    </row>
    <row r="735" spans="7:8">
      <c r="G735" s="63" t="e">
        <f t="shared" si="22"/>
        <v>#VALUE!</v>
      </c>
      <c r="H735" s="63" t="e">
        <f t="shared" si="23"/>
        <v>#VALUE!</v>
      </c>
    </row>
    <row r="736" spans="7:8">
      <c r="G736" s="63" t="e">
        <f t="shared" si="22"/>
        <v>#VALUE!</v>
      </c>
      <c r="H736" s="63" t="e">
        <f t="shared" si="23"/>
        <v>#VALUE!</v>
      </c>
    </row>
    <row r="737" spans="7:8">
      <c r="G737" s="63" t="e">
        <f t="shared" si="22"/>
        <v>#VALUE!</v>
      </c>
      <c r="H737" s="63" t="e">
        <f t="shared" si="23"/>
        <v>#VALUE!</v>
      </c>
    </row>
    <row r="738" spans="7:8">
      <c r="G738" s="63" t="e">
        <f t="shared" si="22"/>
        <v>#VALUE!</v>
      </c>
      <c r="H738" s="63" t="e">
        <f t="shared" si="23"/>
        <v>#VALUE!</v>
      </c>
    </row>
    <row r="739" spans="7:8">
      <c r="G739" s="63" t="e">
        <f t="shared" si="22"/>
        <v>#VALUE!</v>
      </c>
      <c r="H739" s="63" t="e">
        <f t="shared" si="23"/>
        <v>#VALUE!</v>
      </c>
    </row>
    <row r="740" spans="7:8">
      <c r="G740" s="63" t="e">
        <f t="shared" si="22"/>
        <v>#VALUE!</v>
      </c>
      <c r="H740" s="63" t="e">
        <f t="shared" si="23"/>
        <v>#VALUE!</v>
      </c>
    </row>
    <row r="741" spans="7:8">
      <c r="G741" s="63" t="e">
        <f t="shared" si="22"/>
        <v>#VALUE!</v>
      </c>
      <c r="H741" s="63" t="e">
        <f t="shared" si="23"/>
        <v>#VALUE!</v>
      </c>
    </row>
    <row r="742" spans="7:8">
      <c r="G742" s="63" t="e">
        <f t="shared" si="22"/>
        <v>#VALUE!</v>
      </c>
      <c r="H742" s="63" t="e">
        <f t="shared" si="23"/>
        <v>#VALUE!</v>
      </c>
    </row>
    <row r="743" spans="7:8">
      <c r="G743" s="63" t="e">
        <f t="shared" si="22"/>
        <v>#VALUE!</v>
      </c>
      <c r="H743" s="63" t="e">
        <f t="shared" si="23"/>
        <v>#VALUE!</v>
      </c>
    </row>
    <row r="744" spans="7:8">
      <c r="G744" s="63" t="e">
        <f t="shared" si="22"/>
        <v>#VALUE!</v>
      </c>
      <c r="H744" s="63" t="e">
        <f t="shared" si="23"/>
        <v>#VALUE!</v>
      </c>
    </row>
    <row r="745" spans="7:8">
      <c r="G745" s="63" t="e">
        <f t="shared" si="22"/>
        <v>#VALUE!</v>
      </c>
      <c r="H745" s="63" t="e">
        <f t="shared" si="23"/>
        <v>#VALUE!</v>
      </c>
    </row>
    <row r="746" spans="7:8">
      <c r="G746" s="63" t="e">
        <f t="shared" si="22"/>
        <v>#VALUE!</v>
      </c>
      <c r="H746" s="63" t="e">
        <f t="shared" si="23"/>
        <v>#VALUE!</v>
      </c>
    </row>
    <row r="747" spans="7:8">
      <c r="G747" s="63" t="e">
        <f t="shared" si="22"/>
        <v>#VALUE!</v>
      </c>
      <c r="H747" s="63" t="e">
        <f t="shared" si="23"/>
        <v>#VALUE!</v>
      </c>
    </row>
    <row r="748" spans="7:8">
      <c r="G748" s="63" t="e">
        <f t="shared" si="22"/>
        <v>#VALUE!</v>
      </c>
      <c r="H748" s="63" t="e">
        <f t="shared" si="23"/>
        <v>#VALUE!</v>
      </c>
    </row>
    <row r="749" spans="7:8">
      <c r="G749" s="63" t="e">
        <f t="shared" si="22"/>
        <v>#VALUE!</v>
      </c>
      <c r="H749" s="63" t="e">
        <f t="shared" si="23"/>
        <v>#VALUE!</v>
      </c>
    </row>
    <row r="750" spans="7:8">
      <c r="G750" s="63" t="e">
        <f t="shared" si="22"/>
        <v>#VALUE!</v>
      </c>
      <c r="H750" s="63" t="e">
        <f t="shared" si="23"/>
        <v>#VALUE!</v>
      </c>
    </row>
    <row r="751" spans="7:8">
      <c r="G751" s="63" t="e">
        <f t="shared" si="22"/>
        <v>#VALUE!</v>
      </c>
      <c r="H751" s="63" t="e">
        <f t="shared" si="23"/>
        <v>#VALUE!</v>
      </c>
    </row>
    <row r="752" spans="7:8">
      <c r="G752" s="63" t="e">
        <f t="shared" si="22"/>
        <v>#VALUE!</v>
      </c>
      <c r="H752" s="63" t="e">
        <f t="shared" si="23"/>
        <v>#VALUE!</v>
      </c>
    </row>
    <row r="753" spans="7:8">
      <c r="G753" s="63" t="e">
        <f t="shared" si="22"/>
        <v>#VALUE!</v>
      </c>
      <c r="H753" s="63" t="e">
        <f t="shared" si="23"/>
        <v>#VALUE!</v>
      </c>
    </row>
    <row r="754" spans="7:8">
      <c r="G754" s="63" t="e">
        <f t="shared" si="22"/>
        <v>#VALUE!</v>
      </c>
      <c r="H754" s="63" t="e">
        <f t="shared" si="23"/>
        <v>#VALUE!</v>
      </c>
    </row>
    <row r="755" spans="7:8">
      <c r="G755" s="63" t="e">
        <f t="shared" si="22"/>
        <v>#VALUE!</v>
      </c>
      <c r="H755" s="63" t="e">
        <f t="shared" si="23"/>
        <v>#VALUE!</v>
      </c>
    </row>
    <row r="756" spans="7:8">
      <c r="G756" s="63" t="e">
        <f t="shared" si="22"/>
        <v>#VALUE!</v>
      </c>
      <c r="H756" s="63" t="e">
        <f t="shared" si="23"/>
        <v>#VALUE!</v>
      </c>
    </row>
    <row r="757" spans="7:8">
      <c r="G757" s="63" t="e">
        <f t="shared" si="22"/>
        <v>#VALUE!</v>
      </c>
      <c r="H757" s="63" t="e">
        <f t="shared" si="23"/>
        <v>#VALUE!</v>
      </c>
    </row>
    <row r="758" spans="7:8">
      <c r="G758" s="63" t="e">
        <f t="shared" si="22"/>
        <v>#VALUE!</v>
      </c>
      <c r="H758" s="63" t="e">
        <f t="shared" si="23"/>
        <v>#VALUE!</v>
      </c>
    </row>
    <row r="759" spans="7:8">
      <c r="G759" s="63" t="e">
        <f t="shared" si="22"/>
        <v>#VALUE!</v>
      </c>
      <c r="H759" s="63" t="e">
        <f t="shared" si="23"/>
        <v>#VALUE!</v>
      </c>
    </row>
    <row r="760" spans="7:8">
      <c r="G760" s="63" t="e">
        <f t="shared" si="22"/>
        <v>#VALUE!</v>
      </c>
      <c r="H760" s="63" t="e">
        <f t="shared" si="23"/>
        <v>#VALUE!</v>
      </c>
    </row>
    <row r="761" spans="7:8">
      <c r="G761" s="63" t="e">
        <f t="shared" si="22"/>
        <v>#VALUE!</v>
      </c>
      <c r="H761" s="63" t="e">
        <f t="shared" si="23"/>
        <v>#VALUE!</v>
      </c>
    </row>
    <row r="762" spans="7:8">
      <c r="G762" s="63" t="e">
        <f t="shared" si="22"/>
        <v>#VALUE!</v>
      </c>
      <c r="H762" s="63" t="e">
        <f t="shared" si="23"/>
        <v>#VALUE!</v>
      </c>
    </row>
    <row r="763" spans="7:8">
      <c r="G763" s="63" t="e">
        <f t="shared" si="22"/>
        <v>#VALUE!</v>
      </c>
      <c r="H763" s="63" t="e">
        <f t="shared" si="23"/>
        <v>#VALUE!</v>
      </c>
    </row>
    <row r="764" spans="7:8">
      <c r="G764" s="63" t="e">
        <f t="shared" si="22"/>
        <v>#VALUE!</v>
      </c>
      <c r="H764" s="63" t="e">
        <f t="shared" si="23"/>
        <v>#VALUE!</v>
      </c>
    </row>
    <row r="765" spans="7:8">
      <c r="G765" s="63" t="e">
        <f t="shared" si="22"/>
        <v>#VALUE!</v>
      </c>
      <c r="H765" s="63" t="e">
        <f t="shared" si="23"/>
        <v>#VALUE!</v>
      </c>
    </row>
    <row r="766" spans="7:8">
      <c r="G766" s="63" t="e">
        <f t="shared" si="22"/>
        <v>#VALUE!</v>
      </c>
      <c r="H766" s="63" t="e">
        <f t="shared" si="23"/>
        <v>#VALUE!</v>
      </c>
    </row>
    <row r="767" spans="7:8">
      <c r="G767" s="63" t="e">
        <f t="shared" si="22"/>
        <v>#VALUE!</v>
      </c>
      <c r="H767" s="63" t="e">
        <f t="shared" si="23"/>
        <v>#VALUE!</v>
      </c>
    </row>
    <row r="768" spans="7:8">
      <c r="G768" s="63" t="e">
        <f t="shared" si="22"/>
        <v>#VALUE!</v>
      </c>
      <c r="H768" s="63" t="e">
        <f t="shared" si="23"/>
        <v>#VALUE!</v>
      </c>
    </row>
    <row r="769" spans="7:8">
      <c r="G769" s="63" t="e">
        <f t="shared" si="22"/>
        <v>#VALUE!</v>
      </c>
      <c r="H769" s="63" t="e">
        <f t="shared" si="23"/>
        <v>#VALUE!</v>
      </c>
    </row>
    <row r="770" spans="7:8">
      <c r="G770" s="63" t="e">
        <f t="shared" si="22"/>
        <v>#VALUE!</v>
      </c>
      <c r="H770" s="63" t="e">
        <f t="shared" si="23"/>
        <v>#VALUE!</v>
      </c>
    </row>
    <row r="771" spans="7:8">
      <c r="G771" s="63" t="e">
        <f t="shared" ref="G771:G834" si="24">IF(OR(A771="RID_PB77",A771="RID_PB77A3"),"WPCI77",IF(A771="RIDTCIAS","CSCI49",IF(A771="RID_HCPTM","CHCPT_",IF(LEFT(A771,1)="C",A771,MID(A771,6,LEN(A771)-5)))))</f>
        <v>#VALUE!</v>
      </c>
      <c r="H771" s="63" t="e">
        <f t="shared" ref="H771:H834" si="25">IF(OR(G771="MJG1",G771="MJG2"),"MJG",G771)&amp;"_"&amp;B771</f>
        <v>#VALUE!</v>
      </c>
    </row>
    <row r="772" spans="7:8">
      <c r="G772" s="63" t="e">
        <f t="shared" si="24"/>
        <v>#VALUE!</v>
      </c>
      <c r="H772" s="63" t="e">
        <f t="shared" si="25"/>
        <v>#VALUE!</v>
      </c>
    </row>
    <row r="773" spans="7:8">
      <c r="G773" s="63" t="e">
        <f t="shared" si="24"/>
        <v>#VALUE!</v>
      </c>
      <c r="H773" s="63" t="e">
        <f t="shared" si="25"/>
        <v>#VALUE!</v>
      </c>
    </row>
    <row r="774" spans="7:8">
      <c r="G774" s="63" t="e">
        <f t="shared" si="24"/>
        <v>#VALUE!</v>
      </c>
      <c r="H774" s="63" t="e">
        <f t="shared" si="25"/>
        <v>#VALUE!</v>
      </c>
    </row>
    <row r="775" spans="7:8">
      <c r="G775" s="63" t="e">
        <f t="shared" si="24"/>
        <v>#VALUE!</v>
      </c>
      <c r="H775" s="63" t="e">
        <f t="shared" si="25"/>
        <v>#VALUE!</v>
      </c>
    </row>
    <row r="776" spans="7:8">
      <c r="G776" s="63" t="e">
        <f t="shared" si="24"/>
        <v>#VALUE!</v>
      </c>
      <c r="H776" s="63" t="e">
        <f t="shared" si="25"/>
        <v>#VALUE!</v>
      </c>
    </row>
    <row r="777" spans="7:8">
      <c r="G777" s="63" t="e">
        <f t="shared" si="24"/>
        <v>#VALUE!</v>
      </c>
      <c r="H777" s="63" t="e">
        <f t="shared" si="25"/>
        <v>#VALUE!</v>
      </c>
    </row>
    <row r="778" spans="7:8">
      <c r="G778" s="63" t="e">
        <f t="shared" si="24"/>
        <v>#VALUE!</v>
      </c>
      <c r="H778" s="63" t="e">
        <f t="shared" si="25"/>
        <v>#VALUE!</v>
      </c>
    </row>
    <row r="779" spans="7:8">
      <c r="G779" s="63" t="e">
        <f t="shared" si="24"/>
        <v>#VALUE!</v>
      </c>
      <c r="H779" s="63" t="e">
        <f t="shared" si="25"/>
        <v>#VALUE!</v>
      </c>
    </row>
    <row r="780" spans="7:8">
      <c r="G780" s="63" t="e">
        <f t="shared" si="24"/>
        <v>#VALUE!</v>
      </c>
      <c r="H780" s="63" t="e">
        <f t="shared" si="25"/>
        <v>#VALUE!</v>
      </c>
    </row>
    <row r="781" spans="7:8">
      <c r="G781" s="63" t="e">
        <f t="shared" si="24"/>
        <v>#VALUE!</v>
      </c>
      <c r="H781" s="63" t="e">
        <f t="shared" si="25"/>
        <v>#VALUE!</v>
      </c>
    </row>
    <row r="782" spans="7:8">
      <c r="G782" s="63" t="e">
        <f t="shared" si="24"/>
        <v>#VALUE!</v>
      </c>
      <c r="H782" s="63" t="e">
        <f t="shared" si="25"/>
        <v>#VALUE!</v>
      </c>
    </row>
    <row r="783" spans="7:8">
      <c r="G783" s="63" t="e">
        <f t="shared" si="24"/>
        <v>#VALUE!</v>
      </c>
      <c r="H783" s="63" t="e">
        <f t="shared" si="25"/>
        <v>#VALUE!</v>
      </c>
    </row>
    <row r="784" spans="7:8">
      <c r="G784" s="63" t="e">
        <f t="shared" si="24"/>
        <v>#VALUE!</v>
      </c>
      <c r="H784" s="63" t="e">
        <f t="shared" si="25"/>
        <v>#VALUE!</v>
      </c>
    </row>
    <row r="785" spans="7:8">
      <c r="G785" s="63" t="e">
        <f t="shared" si="24"/>
        <v>#VALUE!</v>
      </c>
      <c r="H785" s="63" t="e">
        <f t="shared" si="25"/>
        <v>#VALUE!</v>
      </c>
    </row>
    <row r="786" spans="7:8">
      <c r="G786" s="63" t="e">
        <f t="shared" si="24"/>
        <v>#VALUE!</v>
      </c>
      <c r="H786" s="63" t="e">
        <f t="shared" si="25"/>
        <v>#VALUE!</v>
      </c>
    </row>
    <row r="787" spans="7:8">
      <c r="G787" s="63" t="e">
        <f t="shared" si="24"/>
        <v>#VALUE!</v>
      </c>
      <c r="H787" s="63" t="e">
        <f t="shared" si="25"/>
        <v>#VALUE!</v>
      </c>
    </row>
    <row r="788" spans="7:8">
      <c r="G788" s="63" t="e">
        <f t="shared" si="24"/>
        <v>#VALUE!</v>
      </c>
      <c r="H788" s="63" t="e">
        <f t="shared" si="25"/>
        <v>#VALUE!</v>
      </c>
    </row>
    <row r="789" spans="7:8">
      <c r="G789" s="63" t="e">
        <f t="shared" si="24"/>
        <v>#VALUE!</v>
      </c>
      <c r="H789" s="63" t="e">
        <f t="shared" si="25"/>
        <v>#VALUE!</v>
      </c>
    </row>
    <row r="790" spans="7:8">
      <c r="G790" s="63" t="e">
        <f t="shared" si="24"/>
        <v>#VALUE!</v>
      </c>
      <c r="H790" s="63" t="e">
        <f t="shared" si="25"/>
        <v>#VALUE!</v>
      </c>
    </row>
    <row r="791" spans="7:8">
      <c r="G791" s="63" t="e">
        <f t="shared" si="24"/>
        <v>#VALUE!</v>
      </c>
      <c r="H791" s="63" t="e">
        <f t="shared" si="25"/>
        <v>#VALUE!</v>
      </c>
    </row>
    <row r="792" spans="7:8">
      <c r="G792" s="63" t="e">
        <f t="shared" si="24"/>
        <v>#VALUE!</v>
      </c>
      <c r="H792" s="63" t="e">
        <f t="shared" si="25"/>
        <v>#VALUE!</v>
      </c>
    </row>
    <row r="793" spans="7:8">
      <c r="G793" s="63" t="e">
        <f t="shared" si="24"/>
        <v>#VALUE!</v>
      </c>
      <c r="H793" s="63" t="e">
        <f t="shared" si="25"/>
        <v>#VALUE!</v>
      </c>
    </row>
    <row r="794" spans="7:8">
      <c r="G794" s="63" t="e">
        <f t="shared" si="24"/>
        <v>#VALUE!</v>
      </c>
      <c r="H794" s="63" t="e">
        <f t="shared" si="25"/>
        <v>#VALUE!</v>
      </c>
    </row>
    <row r="795" spans="7:8">
      <c r="G795" s="63" t="e">
        <f t="shared" si="24"/>
        <v>#VALUE!</v>
      </c>
      <c r="H795" s="63" t="e">
        <f t="shared" si="25"/>
        <v>#VALUE!</v>
      </c>
    </row>
    <row r="796" spans="7:8">
      <c r="G796" s="63" t="e">
        <f t="shared" si="24"/>
        <v>#VALUE!</v>
      </c>
      <c r="H796" s="63" t="e">
        <f t="shared" si="25"/>
        <v>#VALUE!</v>
      </c>
    </row>
    <row r="797" spans="7:8">
      <c r="G797" s="63" t="e">
        <f t="shared" si="24"/>
        <v>#VALUE!</v>
      </c>
      <c r="H797" s="63" t="e">
        <f t="shared" si="25"/>
        <v>#VALUE!</v>
      </c>
    </row>
    <row r="798" spans="7:8">
      <c r="G798" s="63" t="e">
        <f t="shared" si="24"/>
        <v>#VALUE!</v>
      </c>
      <c r="H798" s="63" t="e">
        <f t="shared" si="25"/>
        <v>#VALUE!</v>
      </c>
    </row>
    <row r="799" spans="7:8">
      <c r="G799" s="63" t="e">
        <f t="shared" si="24"/>
        <v>#VALUE!</v>
      </c>
      <c r="H799" s="63" t="e">
        <f t="shared" si="25"/>
        <v>#VALUE!</v>
      </c>
    </row>
    <row r="800" spans="7:8">
      <c r="G800" s="63" t="e">
        <f t="shared" si="24"/>
        <v>#VALUE!</v>
      </c>
      <c r="H800" s="63" t="e">
        <f t="shared" si="25"/>
        <v>#VALUE!</v>
      </c>
    </row>
    <row r="801" spans="7:8">
      <c r="G801" s="63" t="e">
        <f t="shared" si="24"/>
        <v>#VALUE!</v>
      </c>
      <c r="H801" s="63" t="e">
        <f t="shared" si="25"/>
        <v>#VALUE!</v>
      </c>
    </row>
    <row r="802" spans="7:8">
      <c r="G802" s="63" t="e">
        <f t="shared" si="24"/>
        <v>#VALUE!</v>
      </c>
      <c r="H802" s="63" t="e">
        <f t="shared" si="25"/>
        <v>#VALUE!</v>
      </c>
    </row>
    <row r="803" spans="7:8">
      <c r="G803" s="63" t="e">
        <f t="shared" si="24"/>
        <v>#VALUE!</v>
      </c>
      <c r="H803" s="63" t="e">
        <f t="shared" si="25"/>
        <v>#VALUE!</v>
      </c>
    </row>
    <row r="804" spans="7:8">
      <c r="G804" s="63" t="e">
        <f t="shared" si="24"/>
        <v>#VALUE!</v>
      </c>
      <c r="H804" s="63" t="e">
        <f t="shared" si="25"/>
        <v>#VALUE!</v>
      </c>
    </row>
    <row r="805" spans="7:8">
      <c r="G805" s="63" t="e">
        <f t="shared" si="24"/>
        <v>#VALUE!</v>
      </c>
      <c r="H805" s="63" t="e">
        <f t="shared" si="25"/>
        <v>#VALUE!</v>
      </c>
    </row>
    <row r="806" spans="7:8">
      <c r="G806" s="63" t="e">
        <f t="shared" si="24"/>
        <v>#VALUE!</v>
      </c>
      <c r="H806" s="63" t="e">
        <f t="shared" si="25"/>
        <v>#VALUE!</v>
      </c>
    </row>
    <row r="807" spans="7:8">
      <c r="G807" s="63" t="e">
        <f t="shared" si="24"/>
        <v>#VALUE!</v>
      </c>
      <c r="H807" s="63" t="e">
        <f t="shared" si="25"/>
        <v>#VALUE!</v>
      </c>
    </row>
    <row r="808" spans="7:8">
      <c r="G808" s="63" t="e">
        <f t="shared" si="24"/>
        <v>#VALUE!</v>
      </c>
      <c r="H808" s="63" t="e">
        <f t="shared" si="25"/>
        <v>#VALUE!</v>
      </c>
    </row>
    <row r="809" spans="7:8">
      <c r="G809" s="63" t="e">
        <f t="shared" si="24"/>
        <v>#VALUE!</v>
      </c>
      <c r="H809" s="63" t="e">
        <f t="shared" si="25"/>
        <v>#VALUE!</v>
      </c>
    </row>
    <row r="810" spans="7:8">
      <c r="G810" s="63" t="e">
        <f t="shared" si="24"/>
        <v>#VALUE!</v>
      </c>
      <c r="H810" s="63" t="e">
        <f t="shared" si="25"/>
        <v>#VALUE!</v>
      </c>
    </row>
    <row r="811" spans="7:8">
      <c r="G811" s="63" t="e">
        <f t="shared" si="24"/>
        <v>#VALUE!</v>
      </c>
      <c r="H811" s="63" t="e">
        <f t="shared" si="25"/>
        <v>#VALUE!</v>
      </c>
    </row>
    <row r="812" spans="7:8">
      <c r="G812" s="63" t="e">
        <f t="shared" si="24"/>
        <v>#VALUE!</v>
      </c>
      <c r="H812" s="63" t="e">
        <f t="shared" si="25"/>
        <v>#VALUE!</v>
      </c>
    </row>
    <row r="813" spans="7:8">
      <c r="G813" s="63" t="e">
        <f t="shared" si="24"/>
        <v>#VALUE!</v>
      </c>
      <c r="H813" s="63" t="e">
        <f t="shared" si="25"/>
        <v>#VALUE!</v>
      </c>
    </row>
    <row r="814" spans="7:8">
      <c r="G814" s="63" t="e">
        <f t="shared" si="24"/>
        <v>#VALUE!</v>
      </c>
      <c r="H814" s="63" t="e">
        <f t="shared" si="25"/>
        <v>#VALUE!</v>
      </c>
    </row>
    <row r="815" spans="7:8">
      <c r="G815" s="63" t="e">
        <f t="shared" si="24"/>
        <v>#VALUE!</v>
      </c>
      <c r="H815" s="63" t="e">
        <f t="shared" si="25"/>
        <v>#VALUE!</v>
      </c>
    </row>
    <row r="816" spans="7:8">
      <c r="G816" s="63" t="e">
        <f t="shared" si="24"/>
        <v>#VALUE!</v>
      </c>
      <c r="H816" s="63" t="e">
        <f t="shared" si="25"/>
        <v>#VALUE!</v>
      </c>
    </row>
    <row r="817" spans="7:8">
      <c r="G817" s="63" t="e">
        <f t="shared" si="24"/>
        <v>#VALUE!</v>
      </c>
      <c r="H817" s="63" t="e">
        <f t="shared" si="25"/>
        <v>#VALUE!</v>
      </c>
    </row>
    <row r="818" spans="7:8">
      <c r="G818" s="63" t="e">
        <f t="shared" si="24"/>
        <v>#VALUE!</v>
      </c>
      <c r="H818" s="63" t="e">
        <f t="shared" si="25"/>
        <v>#VALUE!</v>
      </c>
    </row>
    <row r="819" spans="7:8">
      <c r="G819" s="63" t="e">
        <f t="shared" si="24"/>
        <v>#VALUE!</v>
      </c>
      <c r="H819" s="63" t="e">
        <f t="shared" si="25"/>
        <v>#VALUE!</v>
      </c>
    </row>
    <row r="820" spans="7:8">
      <c r="G820" s="63" t="e">
        <f t="shared" si="24"/>
        <v>#VALUE!</v>
      </c>
      <c r="H820" s="63" t="e">
        <f t="shared" si="25"/>
        <v>#VALUE!</v>
      </c>
    </row>
    <row r="821" spans="7:8">
      <c r="G821" s="63" t="e">
        <f t="shared" si="24"/>
        <v>#VALUE!</v>
      </c>
      <c r="H821" s="63" t="e">
        <f t="shared" si="25"/>
        <v>#VALUE!</v>
      </c>
    </row>
    <row r="822" spans="7:8">
      <c r="G822" s="63" t="e">
        <f t="shared" si="24"/>
        <v>#VALUE!</v>
      </c>
      <c r="H822" s="63" t="e">
        <f t="shared" si="25"/>
        <v>#VALUE!</v>
      </c>
    </row>
    <row r="823" spans="7:8">
      <c r="G823" s="63" t="e">
        <f t="shared" si="24"/>
        <v>#VALUE!</v>
      </c>
      <c r="H823" s="63" t="e">
        <f t="shared" si="25"/>
        <v>#VALUE!</v>
      </c>
    </row>
    <row r="824" spans="7:8">
      <c r="G824" s="63" t="e">
        <f t="shared" si="24"/>
        <v>#VALUE!</v>
      </c>
      <c r="H824" s="63" t="e">
        <f t="shared" si="25"/>
        <v>#VALUE!</v>
      </c>
    </row>
    <row r="825" spans="7:8">
      <c r="G825" s="63" t="e">
        <f t="shared" si="24"/>
        <v>#VALUE!</v>
      </c>
      <c r="H825" s="63" t="e">
        <f t="shared" si="25"/>
        <v>#VALUE!</v>
      </c>
    </row>
    <row r="826" spans="7:8">
      <c r="G826" s="63" t="e">
        <f t="shared" si="24"/>
        <v>#VALUE!</v>
      </c>
      <c r="H826" s="63" t="e">
        <f t="shared" si="25"/>
        <v>#VALUE!</v>
      </c>
    </row>
    <row r="827" spans="7:8">
      <c r="G827" s="63" t="e">
        <f t="shared" si="24"/>
        <v>#VALUE!</v>
      </c>
      <c r="H827" s="63" t="e">
        <f t="shared" si="25"/>
        <v>#VALUE!</v>
      </c>
    </row>
    <row r="828" spans="7:8">
      <c r="G828" s="63" t="e">
        <f t="shared" si="24"/>
        <v>#VALUE!</v>
      </c>
      <c r="H828" s="63" t="e">
        <f t="shared" si="25"/>
        <v>#VALUE!</v>
      </c>
    </row>
    <row r="829" spans="7:8">
      <c r="G829" s="63" t="e">
        <f t="shared" si="24"/>
        <v>#VALUE!</v>
      </c>
      <c r="H829" s="63" t="e">
        <f t="shared" si="25"/>
        <v>#VALUE!</v>
      </c>
    </row>
    <row r="830" spans="7:8">
      <c r="G830" s="63" t="e">
        <f t="shared" si="24"/>
        <v>#VALUE!</v>
      </c>
      <c r="H830" s="63" t="e">
        <f t="shared" si="25"/>
        <v>#VALUE!</v>
      </c>
    </row>
    <row r="831" spans="7:8">
      <c r="G831" s="63" t="e">
        <f t="shared" si="24"/>
        <v>#VALUE!</v>
      </c>
      <c r="H831" s="63" t="e">
        <f t="shared" si="25"/>
        <v>#VALUE!</v>
      </c>
    </row>
    <row r="832" spans="7:8">
      <c r="G832" s="63" t="e">
        <f t="shared" si="24"/>
        <v>#VALUE!</v>
      </c>
      <c r="H832" s="63" t="e">
        <f t="shared" si="25"/>
        <v>#VALUE!</v>
      </c>
    </row>
    <row r="833" spans="7:8">
      <c r="G833" s="63" t="e">
        <f t="shared" si="24"/>
        <v>#VALUE!</v>
      </c>
      <c r="H833" s="63" t="e">
        <f t="shared" si="25"/>
        <v>#VALUE!</v>
      </c>
    </row>
    <row r="834" spans="7:8">
      <c r="G834" s="63" t="e">
        <f t="shared" si="24"/>
        <v>#VALUE!</v>
      </c>
      <c r="H834" s="63" t="e">
        <f t="shared" si="25"/>
        <v>#VALUE!</v>
      </c>
    </row>
    <row r="835" spans="7:8">
      <c r="G835" s="63" t="e">
        <f t="shared" ref="G835:G898" si="26">IF(OR(A835="RID_PB77",A835="RID_PB77A3"),"WPCI77",IF(A835="RIDTCIAS","CSCI49",IF(A835="RID_HCPTM","CHCPT_",IF(LEFT(A835,1)="C",A835,MID(A835,6,LEN(A835)-5)))))</f>
        <v>#VALUE!</v>
      </c>
      <c r="H835" s="63" t="e">
        <f t="shared" ref="H835:H898" si="27">IF(OR(G835="MJG1",G835="MJG2"),"MJG",G835)&amp;"_"&amp;B835</f>
        <v>#VALUE!</v>
      </c>
    </row>
    <row r="836" spans="7:8">
      <c r="G836" s="63" t="e">
        <f t="shared" si="26"/>
        <v>#VALUE!</v>
      </c>
      <c r="H836" s="63" t="e">
        <f t="shared" si="27"/>
        <v>#VALUE!</v>
      </c>
    </row>
    <row r="837" spans="7:8">
      <c r="G837" s="63" t="e">
        <f t="shared" si="26"/>
        <v>#VALUE!</v>
      </c>
      <c r="H837" s="63" t="e">
        <f t="shared" si="27"/>
        <v>#VALUE!</v>
      </c>
    </row>
    <row r="838" spans="7:8">
      <c r="G838" s="63" t="e">
        <f t="shared" si="26"/>
        <v>#VALUE!</v>
      </c>
      <c r="H838" s="63" t="e">
        <f t="shared" si="27"/>
        <v>#VALUE!</v>
      </c>
    </row>
    <row r="839" spans="7:8">
      <c r="G839" s="63" t="e">
        <f t="shared" si="26"/>
        <v>#VALUE!</v>
      </c>
      <c r="H839" s="63" t="e">
        <f t="shared" si="27"/>
        <v>#VALUE!</v>
      </c>
    </row>
    <row r="840" spans="7:8">
      <c r="G840" s="63" t="e">
        <f t="shared" si="26"/>
        <v>#VALUE!</v>
      </c>
      <c r="H840" s="63" t="e">
        <f t="shared" si="27"/>
        <v>#VALUE!</v>
      </c>
    </row>
    <row r="841" spans="7:8">
      <c r="G841" s="63" t="e">
        <f t="shared" si="26"/>
        <v>#VALUE!</v>
      </c>
      <c r="H841" s="63" t="e">
        <f t="shared" si="27"/>
        <v>#VALUE!</v>
      </c>
    </row>
    <row r="842" spans="7:8">
      <c r="G842" s="63" t="e">
        <f t="shared" si="26"/>
        <v>#VALUE!</v>
      </c>
      <c r="H842" s="63" t="e">
        <f t="shared" si="27"/>
        <v>#VALUE!</v>
      </c>
    </row>
    <row r="843" spans="7:8">
      <c r="G843" s="63" t="e">
        <f t="shared" si="26"/>
        <v>#VALUE!</v>
      </c>
      <c r="H843" s="63" t="e">
        <f t="shared" si="27"/>
        <v>#VALUE!</v>
      </c>
    </row>
    <row r="844" spans="7:8">
      <c r="G844" s="63" t="e">
        <f t="shared" si="26"/>
        <v>#VALUE!</v>
      </c>
      <c r="H844" s="63" t="e">
        <f t="shared" si="27"/>
        <v>#VALUE!</v>
      </c>
    </row>
    <row r="845" spans="7:8">
      <c r="G845" s="63" t="e">
        <f t="shared" si="26"/>
        <v>#VALUE!</v>
      </c>
      <c r="H845" s="63" t="e">
        <f t="shared" si="27"/>
        <v>#VALUE!</v>
      </c>
    </row>
    <row r="846" spans="7:8">
      <c r="G846" s="63" t="e">
        <f t="shared" si="26"/>
        <v>#VALUE!</v>
      </c>
      <c r="H846" s="63" t="e">
        <f t="shared" si="27"/>
        <v>#VALUE!</v>
      </c>
    </row>
    <row r="847" spans="7:8">
      <c r="G847" s="63" t="e">
        <f t="shared" si="26"/>
        <v>#VALUE!</v>
      </c>
      <c r="H847" s="63" t="e">
        <f t="shared" si="27"/>
        <v>#VALUE!</v>
      </c>
    </row>
    <row r="848" spans="7:8">
      <c r="G848" s="63" t="e">
        <f t="shared" si="26"/>
        <v>#VALUE!</v>
      </c>
      <c r="H848" s="63" t="e">
        <f t="shared" si="27"/>
        <v>#VALUE!</v>
      </c>
    </row>
    <row r="849" spans="7:8">
      <c r="G849" s="63" t="e">
        <f t="shared" si="26"/>
        <v>#VALUE!</v>
      </c>
      <c r="H849" s="63" t="e">
        <f t="shared" si="27"/>
        <v>#VALUE!</v>
      </c>
    </row>
    <row r="850" spans="7:8">
      <c r="G850" s="63" t="e">
        <f t="shared" si="26"/>
        <v>#VALUE!</v>
      </c>
      <c r="H850" s="63" t="e">
        <f t="shared" si="27"/>
        <v>#VALUE!</v>
      </c>
    </row>
    <row r="851" spans="7:8">
      <c r="G851" s="63" t="e">
        <f t="shared" si="26"/>
        <v>#VALUE!</v>
      </c>
      <c r="H851" s="63" t="e">
        <f t="shared" si="27"/>
        <v>#VALUE!</v>
      </c>
    </row>
    <row r="852" spans="7:8">
      <c r="G852" s="63" t="e">
        <f t="shared" si="26"/>
        <v>#VALUE!</v>
      </c>
      <c r="H852" s="63" t="e">
        <f t="shared" si="27"/>
        <v>#VALUE!</v>
      </c>
    </row>
    <row r="853" spans="7:8">
      <c r="G853" s="63" t="e">
        <f t="shared" si="26"/>
        <v>#VALUE!</v>
      </c>
      <c r="H853" s="63" t="e">
        <f t="shared" si="27"/>
        <v>#VALUE!</v>
      </c>
    </row>
    <row r="854" spans="7:8">
      <c r="G854" s="63" t="e">
        <f t="shared" si="26"/>
        <v>#VALUE!</v>
      </c>
      <c r="H854" s="63" t="e">
        <f t="shared" si="27"/>
        <v>#VALUE!</v>
      </c>
    </row>
    <row r="855" spans="7:8">
      <c r="G855" s="63" t="e">
        <f t="shared" si="26"/>
        <v>#VALUE!</v>
      </c>
      <c r="H855" s="63" t="e">
        <f t="shared" si="27"/>
        <v>#VALUE!</v>
      </c>
    </row>
    <row r="856" spans="7:8">
      <c r="G856" s="63" t="e">
        <f t="shared" si="26"/>
        <v>#VALUE!</v>
      </c>
      <c r="H856" s="63" t="e">
        <f t="shared" si="27"/>
        <v>#VALUE!</v>
      </c>
    </row>
    <row r="857" spans="7:8">
      <c r="G857" s="63" t="e">
        <f t="shared" si="26"/>
        <v>#VALUE!</v>
      </c>
      <c r="H857" s="63" t="e">
        <f t="shared" si="27"/>
        <v>#VALUE!</v>
      </c>
    </row>
    <row r="858" spans="7:8">
      <c r="G858" s="63" t="e">
        <f t="shared" si="26"/>
        <v>#VALUE!</v>
      </c>
      <c r="H858" s="63" t="e">
        <f t="shared" si="27"/>
        <v>#VALUE!</v>
      </c>
    </row>
    <row r="859" spans="7:8">
      <c r="G859" s="63" t="e">
        <f t="shared" si="26"/>
        <v>#VALUE!</v>
      </c>
      <c r="H859" s="63" t="e">
        <f t="shared" si="27"/>
        <v>#VALUE!</v>
      </c>
    </row>
    <row r="860" spans="7:8">
      <c r="G860" s="63" t="e">
        <f t="shared" si="26"/>
        <v>#VALUE!</v>
      </c>
      <c r="H860" s="63" t="e">
        <f t="shared" si="27"/>
        <v>#VALUE!</v>
      </c>
    </row>
    <row r="861" spans="7:8">
      <c r="G861" s="63" t="e">
        <f t="shared" si="26"/>
        <v>#VALUE!</v>
      </c>
      <c r="H861" s="63" t="e">
        <f t="shared" si="27"/>
        <v>#VALUE!</v>
      </c>
    </row>
    <row r="862" spans="7:8">
      <c r="G862" s="63" t="e">
        <f t="shared" si="26"/>
        <v>#VALUE!</v>
      </c>
      <c r="H862" s="63" t="e">
        <f t="shared" si="27"/>
        <v>#VALUE!</v>
      </c>
    </row>
    <row r="863" spans="7:8">
      <c r="G863" s="63" t="e">
        <f t="shared" si="26"/>
        <v>#VALUE!</v>
      </c>
      <c r="H863" s="63" t="e">
        <f t="shared" si="27"/>
        <v>#VALUE!</v>
      </c>
    </row>
    <row r="864" spans="7:8">
      <c r="G864" s="63" t="e">
        <f t="shared" si="26"/>
        <v>#VALUE!</v>
      </c>
      <c r="H864" s="63" t="e">
        <f t="shared" si="27"/>
        <v>#VALUE!</v>
      </c>
    </row>
    <row r="865" spans="7:8">
      <c r="G865" s="63" t="e">
        <f t="shared" si="26"/>
        <v>#VALUE!</v>
      </c>
      <c r="H865" s="63" t="e">
        <f t="shared" si="27"/>
        <v>#VALUE!</v>
      </c>
    </row>
    <row r="866" spans="7:8">
      <c r="G866" s="63" t="e">
        <f t="shared" si="26"/>
        <v>#VALUE!</v>
      </c>
      <c r="H866" s="63" t="e">
        <f t="shared" si="27"/>
        <v>#VALUE!</v>
      </c>
    </row>
    <row r="867" spans="7:8">
      <c r="G867" s="63" t="e">
        <f t="shared" si="26"/>
        <v>#VALUE!</v>
      </c>
      <c r="H867" s="63" t="e">
        <f t="shared" si="27"/>
        <v>#VALUE!</v>
      </c>
    </row>
    <row r="868" spans="7:8">
      <c r="G868" s="63" t="e">
        <f t="shared" si="26"/>
        <v>#VALUE!</v>
      </c>
      <c r="H868" s="63" t="e">
        <f t="shared" si="27"/>
        <v>#VALUE!</v>
      </c>
    </row>
    <row r="869" spans="7:8">
      <c r="G869" s="63" t="e">
        <f t="shared" si="26"/>
        <v>#VALUE!</v>
      </c>
      <c r="H869" s="63" t="e">
        <f t="shared" si="27"/>
        <v>#VALUE!</v>
      </c>
    </row>
    <row r="870" spans="7:8">
      <c r="G870" s="63" t="e">
        <f t="shared" si="26"/>
        <v>#VALUE!</v>
      </c>
      <c r="H870" s="63" t="e">
        <f t="shared" si="27"/>
        <v>#VALUE!</v>
      </c>
    </row>
    <row r="871" spans="7:8">
      <c r="G871" s="63" t="e">
        <f t="shared" si="26"/>
        <v>#VALUE!</v>
      </c>
      <c r="H871" s="63" t="e">
        <f t="shared" si="27"/>
        <v>#VALUE!</v>
      </c>
    </row>
    <row r="872" spans="7:8">
      <c r="G872" s="63" t="e">
        <f t="shared" si="26"/>
        <v>#VALUE!</v>
      </c>
      <c r="H872" s="63" t="e">
        <f t="shared" si="27"/>
        <v>#VALUE!</v>
      </c>
    </row>
    <row r="873" spans="7:8">
      <c r="G873" s="63" t="e">
        <f t="shared" si="26"/>
        <v>#VALUE!</v>
      </c>
      <c r="H873" s="63" t="e">
        <f t="shared" si="27"/>
        <v>#VALUE!</v>
      </c>
    </row>
    <row r="874" spans="7:8">
      <c r="G874" s="63" t="e">
        <f t="shared" si="26"/>
        <v>#VALUE!</v>
      </c>
      <c r="H874" s="63" t="e">
        <f t="shared" si="27"/>
        <v>#VALUE!</v>
      </c>
    </row>
    <row r="875" spans="7:8">
      <c r="G875" s="63" t="e">
        <f t="shared" si="26"/>
        <v>#VALUE!</v>
      </c>
      <c r="H875" s="63" t="e">
        <f t="shared" si="27"/>
        <v>#VALUE!</v>
      </c>
    </row>
    <row r="876" spans="7:8">
      <c r="G876" s="63" t="e">
        <f t="shared" si="26"/>
        <v>#VALUE!</v>
      </c>
      <c r="H876" s="63" t="e">
        <f t="shared" si="27"/>
        <v>#VALUE!</v>
      </c>
    </row>
    <row r="877" spans="7:8">
      <c r="G877" s="63" t="e">
        <f t="shared" si="26"/>
        <v>#VALUE!</v>
      </c>
      <c r="H877" s="63" t="e">
        <f t="shared" si="27"/>
        <v>#VALUE!</v>
      </c>
    </row>
    <row r="878" spans="7:8">
      <c r="G878" s="63" t="e">
        <f t="shared" si="26"/>
        <v>#VALUE!</v>
      </c>
      <c r="H878" s="63" t="e">
        <f t="shared" si="27"/>
        <v>#VALUE!</v>
      </c>
    </row>
    <row r="879" spans="7:8">
      <c r="G879" s="63" t="e">
        <f t="shared" si="26"/>
        <v>#VALUE!</v>
      </c>
      <c r="H879" s="63" t="e">
        <f t="shared" si="27"/>
        <v>#VALUE!</v>
      </c>
    </row>
    <row r="880" spans="7:8">
      <c r="G880" s="63" t="e">
        <f t="shared" si="26"/>
        <v>#VALUE!</v>
      </c>
      <c r="H880" s="63" t="e">
        <f t="shared" si="27"/>
        <v>#VALUE!</v>
      </c>
    </row>
    <row r="881" spans="7:8">
      <c r="G881" s="63" t="e">
        <f t="shared" si="26"/>
        <v>#VALUE!</v>
      </c>
      <c r="H881" s="63" t="e">
        <f t="shared" si="27"/>
        <v>#VALUE!</v>
      </c>
    </row>
    <row r="882" spans="7:8">
      <c r="G882" s="63" t="e">
        <f t="shared" si="26"/>
        <v>#VALUE!</v>
      </c>
      <c r="H882" s="63" t="e">
        <f t="shared" si="27"/>
        <v>#VALUE!</v>
      </c>
    </row>
    <row r="883" spans="7:8">
      <c r="G883" s="63" t="e">
        <f t="shared" si="26"/>
        <v>#VALUE!</v>
      </c>
      <c r="H883" s="63" t="e">
        <f t="shared" si="27"/>
        <v>#VALUE!</v>
      </c>
    </row>
    <row r="884" spans="7:8">
      <c r="G884" s="63" t="e">
        <f t="shared" si="26"/>
        <v>#VALUE!</v>
      </c>
      <c r="H884" s="63" t="e">
        <f t="shared" si="27"/>
        <v>#VALUE!</v>
      </c>
    </row>
    <row r="885" spans="7:8">
      <c r="G885" s="63" t="e">
        <f t="shared" si="26"/>
        <v>#VALUE!</v>
      </c>
      <c r="H885" s="63" t="e">
        <f t="shared" si="27"/>
        <v>#VALUE!</v>
      </c>
    </row>
    <row r="886" spans="7:8">
      <c r="G886" s="63" t="e">
        <f t="shared" si="26"/>
        <v>#VALUE!</v>
      </c>
      <c r="H886" s="63" t="e">
        <f t="shared" si="27"/>
        <v>#VALUE!</v>
      </c>
    </row>
    <row r="887" spans="7:8">
      <c r="G887" s="63" t="e">
        <f t="shared" si="26"/>
        <v>#VALUE!</v>
      </c>
      <c r="H887" s="63" t="e">
        <f t="shared" si="27"/>
        <v>#VALUE!</v>
      </c>
    </row>
    <row r="888" spans="7:8">
      <c r="G888" s="63" t="e">
        <f t="shared" si="26"/>
        <v>#VALUE!</v>
      </c>
      <c r="H888" s="63" t="e">
        <f t="shared" si="27"/>
        <v>#VALUE!</v>
      </c>
    </row>
    <row r="889" spans="7:8">
      <c r="G889" s="63" t="e">
        <f t="shared" si="26"/>
        <v>#VALUE!</v>
      </c>
      <c r="H889" s="63" t="e">
        <f t="shared" si="27"/>
        <v>#VALUE!</v>
      </c>
    </row>
    <row r="890" spans="7:8">
      <c r="G890" s="63" t="e">
        <f t="shared" si="26"/>
        <v>#VALUE!</v>
      </c>
      <c r="H890" s="63" t="e">
        <f t="shared" si="27"/>
        <v>#VALUE!</v>
      </c>
    </row>
    <row r="891" spans="7:8">
      <c r="G891" s="63" t="e">
        <f t="shared" si="26"/>
        <v>#VALUE!</v>
      </c>
      <c r="H891" s="63" t="e">
        <f t="shared" si="27"/>
        <v>#VALUE!</v>
      </c>
    </row>
    <row r="892" spans="7:8">
      <c r="G892" s="63" t="e">
        <f t="shared" si="26"/>
        <v>#VALUE!</v>
      </c>
      <c r="H892" s="63" t="e">
        <f t="shared" si="27"/>
        <v>#VALUE!</v>
      </c>
    </row>
    <row r="893" spans="7:8">
      <c r="G893" s="63" t="e">
        <f t="shared" si="26"/>
        <v>#VALUE!</v>
      </c>
      <c r="H893" s="63" t="e">
        <f t="shared" si="27"/>
        <v>#VALUE!</v>
      </c>
    </row>
    <row r="894" spans="7:8">
      <c r="G894" s="63" t="e">
        <f t="shared" si="26"/>
        <v>#VALUE!</v>
      </c>
      <c r="H894" s="63" t="e">
        <f t="shared" si="27"/>
        <v>#VALUE!</v>
      </c>
    </row>
    <row r="895" spans="7:8">
      <c r="G895" s="63" t="e">
        <f t="shared" si="26"/>
        <v>#VALUE!</v>
      </c>
      <c r="H895" s="63" t="e">
        <f t="shared" si="27"/>
        <v>#VALUE!</v>
      </c>
    </row>
    <row r="896" spans="7:8">
      <c r="G896" s="63" t="e">
        <f t="shared" si="26"/>
        <v>#VALUE!</v>
      </c>
      <c r="H896" s="63" t="e">
        <f t="shared" si="27"/>
        <v>#VALUE!</v>
      </c>
    </row>
    <row r="897" spans="7:8">
      <c r="G897" s="63" t="e">
        <f t="shared" si="26"/>
        <v>#VALUE!</v>
      </c>
      <c r="H897" s="63" t="e">
        <f t="shared" si="27"/>
        <v>#VALUE!</v>
      </c>
    </row>
    <row r="898" spans="7:8">
      <c r="G898" s="63" t="e">
        <f t="shared" si="26"/>
        <v>#VALUE!</v>
      </c>
      <c r="H898" s="63" t="e">
        <f t="shared" si="27"/>
        <v>#VALUE!</v>
      </c>
    </row>
    <row r="899" spans="7:8">
      <c r="G899" s="63" t="e">
        <f t="shared" ref="G899:G962" si="28">IF(OR(A899="RID_PB77",A899="RID_PB77A3"),"WPCI77",IF(A899="RIDTCIAS","CSCI49",IF(A899="RID_HCPTM","CHCPT_",IF(LEFT(A899,1)="C",A899,MID(A899,6,LEN(A899)-5)))))</f>
        <v>#VALUE!</v>
      </c>
      <c r="H899" s="63" t="e">
        <f t="shared" ref="H899:H962" si="29">IF(OR(G899="MJG1",G899="MJG2"),"MJG",G899)&amp;"_"&amp;B899</f>
        <v>#VALUE!</v>
      </c>
    </row>
    <row r="900" spans="7:8">
      <c r="G900" s="63" t="e">
        <f t="shared" si="28"/>
        <v>#VALUE!</v>
      </c>
      <c r="H900" s="63" t="e">
        <f t="shared" si="29"/>
        <v>#VALUE!</v>
      </c>
    </row>
    <row r="901" spans="7:8">
      <c r="G901" s="63" t="e">
        <f t="shared" si="28"/>
        <v>#VALUE!</v>
      </c>
      <c r="H901" s="63" t="e">
        <f t="shared" si="29"/>
        <v>#VALUE!</v>
      </c>
    </row>
    <row r="902" spans="7:8">
      <c r="G902" s="63" t="e">
        <f t="shared" si="28"/>
        <v>#VALUE!</v>
      </c>
      <c r="H902" s="63" t="e">
        <f t="shared" si="29"/>
        <v>#VALUE!</v>
      </c>
    </row>
    <row r="903" spans="7:8">
      <c r="G903" s="63" t="e">
        <f t="shared" si="28"/>
        <v>#VALUE!</v>
      </c>
      <c r="H903" s="63" t="e">
        <f t="shared" si="29"/>
        <v>#VALUE!</v>
      </c>
    </row>
    <row r="904" spans="7:8">
      <c r="G904" s="63" t="e">
        <f t="shared" si="28"/>
        <v>#VALUE!</v>
      </c>
      <c r="H904" s="63" t="e">
        <f t="shared" si="29"/>
        <v>#VALUE!</v>
      </c>
    </row>
    <row r="905" spans="7:8">
      <c r="G905" s="63" t="e">
        <f t="shared" si="28"/>
        <v>#VALUE!</v>
      </c>
      <c r="H905" s="63" t="e">
        <f t="shared" si="29"/>
        <v>#VALUE!</v>
      </c>
    </row>
    <row r="906" spans="7:8">
      <c r="G906" s="63" t="e">
        <f t="shared" si="28"/>
        <v>#VALUE!</v>
      </c>
      <c r="H906" s="63" t="e">
        <f t="shared" si="29"/>
        <v>#VALUE!</v>
      </c>
    </row>
    <row r="907" spans="7:8">
      <c r="G907" s="63" t="e">
        <f t="shared" si="28"/>
        <v>#VALUE!</v>
      </c>
      <c r="H907" s="63" t="e">
        <f t="shared" si="29"/>
        <v>#VALUE!</v>
      </c>
    </row>
    <row r="908" spans="7:8">
      <c r="G908" s="63" t="e">
        <f t="shared" si="28"/>
        <v>#VALUE!</v>
      </c>
      <c r="H908" s="63" t="e">
        <f t="shared" si="29"/>
        <v>#VALUE!</v>
      </c>
    </row>
    <row r="909" spans="7:8">
      <c r="G909" s="63" t="e">
        <f t="shared" si="28"/>
        <v>#VALUE!</v>
      </c>
      <c r="H909" s="63" t="e">
        <f t="shared" si="29"/>
        <v>#VALUE!</v>
      </c>
    </row>
    <row r="910" spans="7:8">
      <c r="G910" s="63" t="e">
        <f t="shared" si="28"/>
        <v>#VALUE!</v>
      </c>
      <c r="H910" s="63" t="e">
        <f t="shared" si="29"/>
        <v>#VALUE!</v>
      </c>
    </row>
    <row r="911" spans="7:8">
      <c r="G911" s="63" t="e">
        <f t="shared" si="28"/>
        <v>#VALUE!</v>
      </c>
      <c r="H911" s="63" t="e">
        <f t="shared" si="29"/>
        <v>#VALUE!</v>
      </c>
    </row>
    <row r="912" spans="7:8">
      <c r="G912" s="63" t="e">
        <f t="shared" si="28"/>
        <v>#VALUE!</v>
      </c>
      <c r="H912" s="63" t="e">
        <f t="shared" si="29"/>
        <v>#VALUE!</v>
      </c>
    </row>
    <row r="913" spans="7:8">
      <c r="G913" s="63" t="e">
        <f t="shared" si="28"/>
        <v>#VALUE!</v>
      </c>
      <c r="H913" s="63" t="e">
        <f t="shared" si="29"/>
        <v>#VALUE!</v>
      </c>
    </row>
    <row r="914" spans="7:8">
      <c r="G914" s="63" t="e">
        <f t="shared" si="28"/>
        <v>#VALUE!</v>
      </c>
      <c r="H914" s="63" t="e">
        <f t="shared" si="29"/>
        <v>#VALUE!</v>
      </c>
    </row>
    <row r="915" spans="7:8">
      <c r="G915" s="63" t="e">
        <f t="shared" si="28"/>
        <v>#VALUE!</v>
      </c>
      <c r="H915" s="63" t="e">
        <f t="shared" si="29"/>
        <v>#VALUE!</v>
      </c>
    </row>
    <row r="916" spans="7:8">
      <c r="G916" s="63" t="e">
        <f t="shared" si="28"/>
        <v>#VALUE!</v>
      </c>
      <c r="H916" s="63" t="e">
        <f t="shared" si="29"/>
        <v>#VALUE!</v>
      </c>
    </row>
    <row r="917" spans="7:8">
      <c r="G917" s="63" t="e">
        <f t="shared" si="28"/>
        <v>#VALUE!</v>
      </c>
      <c r="H917" s="63" t="e">
        <f t="shared" si="29"/>
        <v>#VALUE!</v>
      </c>
    </row>
    <row r="918" spans="7:8">
      <c r="G918" s="63" t="e">
        <f t="shared" si="28"/>
        <v>#VALUE!</v>
      </c>
      <c r="H918" s="63" t="e">
        <f t="shared" si="29"/>
        <v>#VALUE!</v>
      </c>
    </row>
    <row r="919" spans="7:8">
      <c r="G919" s="63" t="e">
        <f t="shared" si="28"/>
        <v>#VALUE!</v>
      </c>
      <c r="H919" s="63" t="e">
        <f t="shared" si="29"/>
        <v>#VALUE!</v>
      </c>
    </row>
    <row r="920" spans="7:8">
      <c r="G920" s="63" t="e">
        <f t="shared" si="28"/>
        <v>#VALUE!</v>
      </c>
      <c r="H920" s="63" t="e">
        <f t="shared" si="29"/>
        <v>#VALUE!</v>
      </c>
    </row>
    <row r="921" spans="7:8">
      <c r="G921" s="63" t="e">
        <f t="shared" si="28"/>
        <v>#VALUE!</v>
      </c>
      <c r="H921" s="63" t="e">
        <f t="shared" si="29"/>
        <v>#VALUE!</v>
      </c>
    </row>
    <row r="922" spans="7:8">
      <c r="G922" s="63" t="e">
        <f t="shared" si="28"/>
        <v>#VALUE!</v>
      </c>
      <c r="H922" s="63" t="e">
        <f t="shared" si="29"/>
        <v>#VALUE!</v>
      </c>
    </row>
    <row r="923" spans="7:8">
      <c r="G923" s="63" t="e">
        <f t="shared" si="28"/>
        <v>#VALUE!</v>
      </c>
      <c r="H923" s="63" t="e">
        <f t="shared" si="29"/>
        <v>#VALUE!</v>
      </c>
    </row>
    <row r="924" spans="7:8">
      <c r="G924" s="63" t="e">
        <f t="shared" si="28"/>
        <v>#VALUE!</v>
      </c>
      <c r="H924" s="63" t="e">
        <f t="shared" si="29"/>
        <v>#VALUE!</v>
      </c>
    </row>
    <row r="925" spans="7:8">
      <c r="G925" s="63" t="e">
        <f t="shared" si="28"/>
        <v>#VALUE!</v>
      </c>
      <c r="H925" s="63" t="e">
        <f t="shared" si="29"/>
        <v>#VALUE!</v>
      </c>
    </row>
    <row r="926" spans="7:8">
      <c r="G926" s="63" t="e">
        <f t="shared" si="28"/>
        <v>#VALUE!</v>
      </c>
      <c r="H926" s="63" t="e">
        <f t="shared" si="29"/>
        <v>#VALUE!</v>
      </c>
    </row>
    <row r="927" spans="7:8">
      <c r="G927" s="63" t="e">
        <f t="shared" si="28"/>
        <v>#VALUE!</v>
      </c>
      <c r="H927" s="63" t="e">
        <f t="shared" si="29"/>
        <v>#VALUE!</v>
      </c>
    </row>
    <row r="928" spans="7:8">
      <c r="G928" s="63" t="e">
        <f t="shared" si="28"/>
        <v>#VALUE!</v>
      </c>
      <c r="H928" s="63" t="e">
        <f t="shared" si="29"/>
        <v>#VALUE!</v>
      </c>
    </row>
    <row r="929" spans="7:8">
      <c r="G929" s="63" t="e">
        <f t="shared" si="28"/>
        <v>#VALUE!</v>
      </c>
      <c r="H929" s="63" t="e">
        <f t="shared" si="29"/>
        <v>#VALUE!</v>
      </c>
    </row>
    <row r="930" spans="7:8">
      <c r="G930" s="63" t="e">
        <f t="shared" si="28"/>
        <v>#VALUE!</v>
      </c>
      <c r="H930" s="63" t="e">
        <f t="shared" si="29"/>
        <v>#VALUE!</v>
      </c>
    </row>
    <row r="931" spans="7:8">
      <c r="G931" s="63" t="e">
        <f t="shared" si="28"/>
        <v>#VALUE!</v>
      </c>
      <c r="H931" s="63" t="e">
        <f t="shared" si="29"/>
        <v>#VALUE!</v>
      </c>
    </row>
    <row r="932" spans="7:8">
      <c r="G932" s="63" t="e">
        <f t="shared" si="28"/>
        <v>#VALUE!</v>
      </c>
      <c r="H932" s="63" t="e">
        <f t="shared" si="29"/>
        <v>#VALUE!</v>
      </c>
    </row>
    <row r="933" spans="7:8">
      <c r="G933" s="63" t="e">
        <f t="shared" si="28"/>
        <v>#VALUE!</v>
      </c>
      <c r="H933" s="63" t="e">
        <f t="shared" si="29"/>
        <v>#VALUE!</v>
      </c>
    </row>
    <row r="934" spans="7:8">
      <c r="G934" s="63" t="e">
        <f t="shared" si="28"/>
        <v>#VALUE!</v>
      </c>
      <c r="H934" s="63" t="e">
        <f t="shared" si="29"/>
        <v>#VALUE!</v>
      </c>
    </row>
    <row r="935" spans="7:8">
      <c r="G935" s="63" t="e">
        <f t="shared" si="28"/>
        <v>#VALUE!</v>
      </c>
      <c r="H935" s="63" t="e">
        <f t="shared" si="29"/>
        <v>#VALUE!</v>
      </c>
    </row>
    <row r="936" spans="7:8">
      <c r="G936" s="63" t="e">
        <f t="shared" si="28"/>
        <v>#VALUE!</v>
      </c>
      <c r="H936" s="63" t="e">
        <f t="shared" si="29"/>
        <v>#VALUE!</v>
      </c>
    </row>
    <row r="937" spans="7:8">
      <c r="G937" s="63" t="e">
        <f t="shared" si="28"/>
        <v>#VALUE!</v>
      </c>
      <c r="H937" s="63" t="e">
        <f t="shared" si="29"/>
        <v>#VALUE!</v>
      </c>
    </row>
    <row r="938" spans="7:8">
      <c r="G938" s="63" t="e">
        <f t="shared" si="28"/>
        <v>#VALUE!</v>
      </c>
      <c r="H938" s="63" t="e">
        <f t="shared" si="29"/>
        <v>#VALUE!</v>
      </c>
    </row>
    <row r="939" spans="7:8">
      <c r="G939" s="63" t="e">
        <f t="shared" si="28"/>
        <v>#VALUE!</v>
      </c>
      <c r="H939" s="63" t="e">
        <f t="shared" si="29"/>
        <v>#VALUE!</v>
      </c>
    </row>
    <row r="940" spans="7:8">
      <c r="G940" s="63" t="e">
        <f t="shared" si="28"/>
        <v>#VALUE!</v>
      </c>
      <c r="H940" s="63" t="e">
        <f t="shared" si="29"/>
        <v>#VALUE!</v>
      </c>
    </row>
    <row r="941" spans="7:8">
      <c r="G941" s="63" t="e">
        <f t="shared" si="28"/>
        <v>#VALUE!</v>
      </c>
      <c r="H941" s="63" t="e">
        <f t="shared" si="29"/>
        <v>#VALUE!</v>
      </c>
    </row>
    <row r="942" spans="7:8">
      <c r="G942" s="63" t="e">
        <f t="shared" si="28"/>
        <v>#VALUE!</v>
      </c>
      <c r="H942" s="63" t="e">
        <f t="shared" si="29"/>
        <v>#VALUE!</v>
      </c>
    </row>
    <row r="943" spans="7:8">
      <c r="G943" s="63" t="e">
        <f t="shared" si="28"/>
        <v>#VALUE!</v>
      </c>
      <c r="H943" s="63" t="e">
        <f t="shared" si="29"/>
        <v>#VALUE!</v>
      </c>
    </row>
    <row r="944" spans="7:8">
      <c r="G944" s="63" t="e">
        <f t="shared" si="28"/>
        <v>#VALUE!</v>
      </c>
      <c r="H944" s="63" t="e">
        <f t="shared" si="29"/>
        <v>#VALUE!</v>
      </c>
    </row>
    <row r="945" spans="7:8">
      <c r="G945" s="63" t="e">
        <f t="shared" si="28"/>
        <v>#VALUE!</v>
      </c>
      <c r="H945" s="63" t="e">
        <f t="shared" si="29"/>
        <v>#VALUE!</v>
      </c>
    </row>
    <row r="946" spans="7:8">
      <c r="G946" s="63" t="e">
        <f t="shared" si="28"/>
        <v>#VALUE!</v>
      </c>
      <c r="H946" s="63" t="e">
        <f t="shared" si="29"/>
        <v>#VALUE!</v>
      </c>
    </row>
    <row r="947" spans="7:8">
      <c r="G947" s="63" t="e">
        <f t="shared" si="28"/>
        <v>#VALUE!</v>
      </c>
      <c r="H947" s="63" t="e">
        <f t="shared" si="29"/>
        <v>#VALUE!</v>
      </c>
    </row>
    <row r="948" spans="7:8">
      <c r="G948" s="63" t="e">
        <f t="shared" si="28"/>
        <v>#VALUE!</v>
      </c>
      <c r="H948" s="63" t="e">
        <f t="shared" si="29"/>
        <v>#VALUE!</v>
      </c>
    </row>
    <row r="949" spans="7:8">
      <c r="G949" s="63" t="e">
        <f t="shared" si="28"/>
        <v>#VALUE!</v>
      </c>
      <c r="H949" s="63" t="e">
        <f t="shared" si="29"/>
        <v>#VALUE!</v>
      </c>
    </row>
    <row r="950" spans="7:8">
      <c r="G950" s="63" t="e">
        <f t="shared" si="28"/>
        <v>#VALUE!</v>
      </c>
      <c r="H950" s="63" t="e">
        <f t="shared" si="29"/>
        <v>#VALUE!</v>
      </c>
    </row>
    <row r="951" spans="7:8">
      <c r="G951" s="63" t="e">
        <f t="shared" si="28"/>
        <v>#VALUE!</v>
      </c>
      <c r="H951" s="63" t="e">
        <f t="shared" si="29"/>
        <v>#VALUE!</v>
      </c>
    </row>
    <row r="952" spans="7:8">
      <c r="G952" s="63" t="e">
        <f t="shared" si="28"/>
        <v>#VALUE!</v>
      </c>
      <c r="H952" s="63" t="e">
        <f t="shared" si="29"/>
        <v>#VALUE!</v>
      </c>
    </row>
    <row r="953" spans="7:8">
      <c r="G953" s="63" t="e">
        <f t="shared" si="28"/>
        <v>#VALUE!</v>
      </c>
      <c r="H953" s="63" t="e">
        <f t="shared" si="29"/>
        <v>#VALUE!</v>
      </c>
    </row>
    <row r="954" spans="7:8">
      <c r="G954" s="63" t="e">
        <f t="shared" si="28"/>
        <v>#VALUE!</v>
      </c>
      <c r="H954" s="63" t="e">
        <f t="shared" si="29"/>
        <v>#VALUE!</v>
      </c>
    </row>
    <row r="955" spans="7:8">
      <c r="G955" s="63" t="e">
        <f t="shared" si="28"/>
        <v>#VALUE!</v>
      </c>
      <c r="H955" s="63" t="e">
        <f t="shared" si="29"/>
        <v>#VALUE!</v>
      </c>
    </row>
    <row r="956" spans="7:8">
      <c r="G956" s="63" t="e">
        <f t="shared" si="28"/>
        <v>#VALUE!</v>
      </c>
      <c r="H956" s="63" t="e">
        <f t="shared" si="29"/>
        <v>#VALUE!</v>
      </c>
    </row>
    <row r="957" spans="7:8">
      <c r="G957" s="63" t="e">
        <f t="shared" si="28"/>
        <v>#VALUE!</v>
      </c>
      <c r="H957" s="63" t="e">
        <f t="shared" si="29"/>
        <v>#VALUE!</v>
      </c>
    </row>
    <row r="958" spans="7:8">
      <c r="G958" s="63" t="e">
        <f t="shared" si="28"/>
        <v>#VALUE!</v>
      </c>
      <c r="H958" s="63" t="e">
        <f t="shared" si="29"/>
        <v>#VALUE!</v>
      </c>
    </row>
    <row r="959" spans="7:8">
      <c r="G959" s="63" t="e">
        <f t="shared" si="28"/>
        <v>#VALUE!</v>
      </c>
      <c r="H959" s="63" t="e">
        <f t="shared" si="29"/>
        <v>#VALUE!</v>
      </c>
    </row>
    <row r="960" spans="7:8">
      <c r="G960" s="63" t="e">
        <f t="shared" si="28"/>
        <v>#VALUE!</v>
      </c>
      <c r="H960" s="63" t="e">
        <f t="shared" si="29"/>
        <v>#VALUE!</v>
      </c>
    </row>
    <row r="961" spans="7:8">
      <c r="G961" s="63" t="e">
        <f t="shared" si="28"/>
        <v>#VALUE!</v>
      </c>
      <c r="H961" s="63" t="e">
        <f t="shared" si="29"/>
        <v>#VALUE!</v>
      </c>
    </row>
    <row r="962" spans="7:8">
      <c r="G962" s="63" t="e">
        <f t="shared" si="28"/>
        <v>#VALUE!</v>
      </c>
      <c r="H962" s="63" t="e">
        <f t="shared" si="29"/>
        <v>#VALUE!</v>
      </c>
    </row>
    <row r="963" spans="7:8">
      <c r="G963" s="63" t="e">
        <f t="shared" ref="G963:G1026" si="30">IF(OR(A963="RID_PB77",A963="RID_PB77A3"),"WPCI77",IF(A963="RIDTCIAS","CSCI49",IF(A963="RID_HCPTM","CHCPT_",IF(LEFT(A963,1)="C",A963,MID(A963,6,LEN(A963)-5)))))</f>
        <v>#VALUE!</v>
      </c>
      <c r="H963" s="63" t="e">
        <f t="shared" ref="H963:H1026" si="31">IF(OR(G963="MJG1",G963="MJG2"),"MJG",G963)&amp;"_"&amp;B963</f>
        <v>#VALUE!</v>
      </c>
    </row>
    <row r="964" spans="7:8">
      <c r="G964" s="63" t="e">
        <f t="shared" si="30"/>
        <v>#VALUE!</v>
      </c>
      <c r="H964" s="63" t="e">
        <f t="shared" si="31"/>
        <v>#VALUE!</v>
      </c>
    </row>
    <row r="965" spans="7:8">
      <c r="G965" s="63" t="e">
        <f t="shared" si="30"/>
        <v>#VALUE!</v>
      </c>
      <c r="H965" s="63" t="e">
        <f t="shared" si="31"/>
        <v>#VALUE!</v>
      </c>
    </row>
    <row r="966" spans="7:8">
      <c r="G966" s="63" t="e">
        <f t="shared" si="30"/>
        <v>#VALUE!</v>
      </c>
      <c r="H966" s="63" t="e">
        <f t="shared" si="31"/>
        <v>#VALUE!</v>
      </c>
    </row>
    <row r="967" spans="7:8">
      <c r="G967" s="63" t="e">
        <f t="shared" si="30"/>
        <v>#VALUE!</v>
      </c>
      <c r="H967" s="63" t="e">
        <f t="shared" si="31"/>
        <v>#VALUE!</v>
      </c>
    </row>
    <row r="968" spans="7:8">
      <c r="G968" s="63" t="e">
        <f t="shared" si="30"/>
        <v>#VALUE!</v>
      </c>
      <c r="H968" s="63" t="e">
        <f t="shared" si="31"/>
        <v>#VALUE!</v>
      </c>
    </row>
    <row r="969" spans="7:8">
      <c r="G969" s="63" t="e">
        <f t="shared" si="30"/>
        <v>#VALUE!</v>
      </c>
      <c r="H969" s="63" t="e">
        <f t="shared" si="31"/>
        <v>#VALUE!</v>
      </c>
    </row>
    <row r="970" spans="7:8">
      <c r="G970" s="63" t="e">
        <f t="shared" si="30"/>
        <v>#VALUE!</v>
      </c>
      <c r="H970" s="63" t="e">
        <f t="shared" si="31"/>
        <v>#VALUE!</v>
      </c>
    </row>
    <row r="971" spans="7:8">
      <c r="G971" s="63" t="e">
        <f t="shared" si="30"/>
        <v>#VALUE!</v>
      </c>
      <c r="H971" s="63" t="e">
        <f t="shared" si="31"/>
        <v>#VALUE!</v>
      </c>
    </row>
    <row r="972" spans="7:8">
      <c r="G972" s="63" t="e">
        <f t="shared" si="30"/>
        <v>#VALUE!</v>
      </c>
      <c r="H972" s="63" t="e">
        <f t="shared" si="31"/>
        <v>#VALUE!</v>
      </c>
    </row>
    <row r="973" spans="7:8">
      <c r="G973" s="63" t="e">
        <f t="shared" si="30"/>
        <v>#VALUE!</v>
      </c>
      <c r="H973" s="63" t="e">
        <f t="shared" si="31"/>
        <v>#VALUE!</v>
      </c>
    </row>
    <row r="974" spans="7:8">
      <c r="G974" s="63" t="e">
        <f t="shared" si="30"/>
        <v>#VALUE!</v>
      </c>
      <c r="H974" s="63" t="e">
        <f t="shared" si="31"/>
        <v>#VALUE!</v>
      </c>
    </row>
    <row r="975" spans="7:8">
      <c r="G975" s="63" t="e">
        <f t="shared" si="30"/>
        <v>#VALUE!</v>
      </c>
      <c r="H975" s="63" t="e">
        <f t="shared" si="31"/>
        <v>#VALUE!</v>
      </c>
    </row>
    <row r="976" spans="7:8">
      <c r="G976" s="63" t="e">
        <f t="shared" si="30"/>
        <v>#VALUE!</v>
      </c>
      <c r="H976" s="63" t="e">
        <f t="shared" si="31"/>
        <v>#VALUE!</v>
      </c>
    </row>
    <row r="977" spans="7:8">
      <c r="G977" s="63" t="e">
        <f t="shared" si="30"/>
        <v>#VALUE!</v>
      </c>
      <c r="H977" s="63" t="e">
        <f t="shared" si="31"/>
        <v>#VALUE!</v>
      </c>
    </row>
    <row r="978" spans="7:8">
      <c r="G978" s="63" t="e">
        <f t="shared" si="30"/>
        <v>#VALUE!</v>
      </c>
      <c r="H978" s="63" t="e">
        <f t="shared" si="31"/>
        <v>#VALUE!</v>
      </c>
    </row>
    <row r="979" spans="7:8">
      <c r="G979" s="63" t="e">
        <f t="shared" si="30"/>
        <v>#VALUE!</v>
      </c>
      <c r="H979" s="63" t="e">
        <f t="shared" si="31"/>
        <v>#VALUE!</v>
      </c>
    </row>
    <row r="980" spans="7:8">
      <c r="G980" s="63" t="e">
        <f t="shared" si="30"/>
        <v>#VALUE!</v>
      </c>
      <c r="H980" s="63" t="e">
        <f t="shared" si="31"/>
        <v>#VALUE!</v>
      </c>
    </row>
    <row r="981" spans="7:8">
      <c r="G981" s="63" t="e">
        <f t="shared" si="30"/>
        <v>#VALUE!</v>
      </c>
      <c r="H981" s="63" t="e">
        <f t="shared" si="31"/>
        <v>#VALUE!</v>
      </c>
    </row>
    <row r="982" spans="7:8">
      <c r="G982" s="63" t="e">
        <f t="shared" si="30"/>
        <v>#VALUE!</v>
      </c>
      <c r="H982" s="63" t="e">
        <f t="shared" si="31"/>
        <v>#VALUE!</v>
      </c>
    </row>
    <row r="983" spans="7:8">
      <c r="G983" s="63" t="e">
        <f t="shared" si="30"/>
        <v>#VALUE!</v>
      </c>
      <c r="H983" s="63" t="e">
        <f t="shared" si="31"/>
        <v>#VALUE!</v>
      </c>
    </row>
    <row r="984" spans="7:8">
      <c r="G984" s="63" t="e">
        <f t="shared" si="30"/>
        <v>#VALUE!</v>
      </c>
      <c r="H984" s="63" t="e">
        <f t="shared" si="31"/>
        <v>#VALUE!</v>
      </c>
    </row>
    <row r="985" spans="7:8">
      <c r="G985" s="63" t="e">
        <f t="shared" si="30"/>
        <v>#VALUE!</v>
      </c>
      <c r="H985" s="63" t="e">
        <f t="shared" si="31"/>
        <v>#VALUE!</v>
      </c>
    </row>
    <row r="986" spans="7:8">
      <c r="G986" s="63" t="e">
        <f t="shared" si="30"/>
        <v>#VALUE!</v>
      </c>
      <c r="H986" s="63" t="e">
        <f t="shared" si="31"/>
        <v>#VALUE!</v>
      </c>
    </row>
    <row r="987" spans="7:8">
      <c r="G987" s="63" t="e">
        <f t="shared" si="30"/>
        <v>#VALUE!</v>
      </c>
      <c r="H987" s="63" t="e">
        <f t="shared" si="31"/>
        <v>#VALUE!</v>
      </c>
    </row>
    <row r="988" spans="7:8">
      <c r="G988" s="63" t="e">
        <f t="shared" si="30"/>
        <v>#VALUE!</v>
      </c>
      <c r="H988" s="63" t="e">
        <f t="shared" si="31"/>
        <v>#VALUE!</v>
      </c>
    </row>
    <row r="989" spans="7:8">
      <c r="G989" s="63" t="e">
        <f t="shared" si="30"/>
        <v>#VALUE!</v>
      </c>
      <c r="H989" s="63" t="e">
        <f t="shared" si="31"/>
        <v>#VALUE!</v>
      </c>
    </row>
    <row r="990" spans="7:8">
      <c r="G990" s="63" t="e">
        <f t="shared" si="30"/>
        <v>#VALUE!</v>
      </c>
      <c r="H990" s="63" t="e">
        <f t="shared" si="31"/>
        <v>#VALUE!</v>
      </c>
    </row>
    <row r="991" spans="7:8">
      <c r="G991" s="63" t="e">
        <f t="shared" si="30"/>
        <v>#VALUE!</v>
      </c>
      <c r="H991" s="63" t="e">
        <f t="shared" si="31"/>
        <v>#VALUE!</v>
      </c>
    </row>
    <row r="992" spans="7:8">
      <c r="G992" s="63" t="e">
        <f t="shared" si="30"/>
        <v>#VALUE!</v>
      </c>
      <c r="H992" s="63" t="e">
        <f t="shared" si="31"/>
        <v>#VALUE!</v>
      </c>
    </row>
    <row r="993" spans="7:8">
      <c r="G993" s="63" t="e">
        <f t="shared" si="30"/>
        <v>#VALUE!</v>
      </c>
      <c r="H993" s="63" t="e">
        <f t="shared" si="31"/>
        <v>#VALUE!</v>
      </c>
    </row>
    <row r="994" spans="7:8">
      <c r="G994" s="63" t="e">
        <f t="shared" si="30"/>
        <v>#VALUE!</v>
      </c>
      <c r="H994" s="63" t="e">
        <f t="shared" si="31"/>
        <v>#VALUE!</v>
      </c>
    </row>
    <row r="995" spans="7:8">
      <c r="G995" s="63" t="e">
        <f t="shared" si="30"/>
        <v>#VALUE!</v>
      </c>
      <c r="H995" s="63" t="e">
        <f t="shared" si="31"/>
        <v>#VALUE!</v>
      </c>
    </row>
    <row r="996" spans="7:8">
      <c r="G996" s="63" t="e">
        <f t="shared" si="30"/>
        <v>#VALUE!</v>
      </c>
      <c r="H996" s="63" t="e">
        <f t="shared" si="31"/>
        <v>#VALUE!</v>
      </c>
    </row>
    <row r="997" spans="7:8">
      <c r="G997" s="63" t="e">
        <f t="shared" si="30"/>
        <v>#VALUE!</v>
      </c>
      <c r="H997" s="63" t="e">
        <f t="shared" si="31"/>
        <v>#VALUE!</v>
      </c>
    </row>
    <row r="998" spans="7:8">
      <c r="G998" s="63" t="e">
        <f t="shared" si="30"/>
        <v>#VALUE!</v>
      </c>
      <c r="H998" s="63" t="e">
        <f t="shared" si="31"/>
        <v>#VALUE!</v>
      </c>
    </row>
    <row r="999" spans="7:8">
      <c r="G999" s="63" t="e">
        <f t="shared" si="30"/>
        <v>#VALUE!</v>
      </c>
      <c r="H999" s="63" t="e">
        <f t="shared" si="31"/>
        <v>#VALUE!</v>
      </c>
    </row>
    <row r="1000" spans="7:8">
      <c r="G1000" s="63" t="e">
        <f t="shared" si="30"/>
        <v>#VALUE!</v>
      </c>
      <c r="H1000" s="63" t="e">
        <f t="shared" si="31"/>
        <v>#VALUE!</v>
      </c>
    </row>
    <row r="1001" spans="7:8">
      <c r="G1001" s="63" t="e">
        <f t="shared" si="30"/>
        <v>#VALUE!</v>
      </c>
      <c r="H1001" s="63" t="e">
        <f t="shared" si="31"/>
        <v>#VALUE!</v>
      </c>
    </row>
    <row r="1002" spans="7:8">
      <c r="G1002" s="63" t="e">
        <f t="shared" si="30"/>
        <v>#VALUE!</v>
      </c>
      <c r="H1002" s="63" t="e">
        <f t="shared" si="31"/>
        <v>#VALUE!</v>
      </c>
    </row>
    <row r="1003" spans="7:8">
      <c r="G1003" s="63" t="e">
        <f t="shared" si="30"/>
        <v>#VALUE!</v>
      </c>
      <c r="H1003" s="63" t="e">
        <f t="shared" si="31"/>
        <v>#VALUE!</v>
      </c>
    </row>
    <row r="1004" spans="7:8">
      <c r="G1004" s="63" t="e">
        <f t="shared" si="30"/>
        <v>#VALUE!</v>
      </c>
      <c r="H1004" s="63" t="e">
        <f t="shared" si="31"/>
        <v>#VALUE!</v>
      </c>
    </row>
    <row r="1005" spans="7:8">
      <c r="G1005" s="63" t="e">
        <f t="shared" si="30"/>
        <v>#VALUE!</v>
      </c>
      <c r="H1005" s="63" t="e">
        <f t="shared" si="31"/>
        <v>#VALUE!</v>
      </c>
    </row>
    <row r="1006" spans="7:8">
      <c r="G1006" s="63" t="e">
        <f t="shared" si="30"/>
        <v>#VALUE!</v>
      </c>
      <c r="H1006" s="63" t="e">
        <f t="shared" si="31"/>
        <v>#VALUE!</v>
      </c>
    </row>
    <row r="1007" spans="7:8">
      <c r="G1007" s="63" t="e">
        <f t="shared" si="30"/>
        <v>#VALUE!</v>
      </c>
      <c r="H1007" s="63" t="e">
        <f t="shared" si="31"/>
        <v>#VALUE!</v>
      </c>
    </row>
    <row r="1008" spans="7:8">
      <c r="G1008" s="63" t="e">
        <f t="shared" si="30"/>
        <v>#VALUE!</v>
      </c>
      <c r="H1008" s="63" t="e">
        <f t="shared" si="31"/>
        <v>#VALUE!</v>
      </c>
    </row>
    <row r="1009" spans="7:8">
      <c r="G1009" s="63" t="e">
        <f t="shared" si="30"/>
        <v>#VALUE!</v>
      </c>
      <c r="H1009" s="63" t="e">
        <f t="shared" si="31"/>
        <v>#VALUE!</v>
      </c>
    </row>
    <row r="1010" spans="7:8">
      <c r="G1010" s="63" t="e">
        <f t="shared" si="30"/>
        <v>#VALUE!</v>
      </c>
      <c r="H1010" s="63" t="e">
        <f t="shared" si="31"/>
        <v>#VALUE!</v>
      </c>
    </row>
    <row r="1011" spans="7:8">
      <c r="G1011" s="63" t="e">
        <f t="shared" si="30"/>
        <v>#VALUE!</v>
      </c>
      <c r="H1011" s="63" t="e">
        <f t="shared" si="31"/>
        <v>#VALUE!</v>
      </c>
    </row>
    <row r="1012" spans="7:8">
      <c r="G1012" s="63" t="e">
        <f t="shared" si="30"/>
        <v>#VALUE!</v>
      </c>
      <c r="H1012" s="63" t="e">
        <f t="shared" si="31"/>
        <v>#VALUE!</v>
      </c>
    </row>
    <row r="1013" spans="7:8">
      <c r="G1013" s="63" t="e">
        <f t="shared" si="30"/>
        <v>#VALUE!</v>
      </c>
      <c r="H1013" s="63" t="e">
        <f t="shared" si="31"/>
        <v>#VALUE!</v>
      </c>
    </row>
    <row r="1014" spans="7:8">
      <c r="G1014" s="63" t="e">
        <f t="shared" si="30"/>
        <v>#VALUE!</v>
      </c>
      <c r="H1014" s="63" t="e">
        <f t="shared" si="31"/>
        <v>#VALUE!</v>
      </c>
    </row>
    <row r="1015" spans="7:8">
      <c r="G1015" s="63" t="e">
        <f t="shared" si="30"/>
        <v>#VALUE!</v>
      </c>
      <c r="H1015" s="63" t="e">
        <f t="shared" si="31"/>
        <v>#VALUE!</v>
      </c>
    </row>
    <row r="1016" spans="7:8">
      <c r="G1016" s="63" t="e">
        <f t="shared" si="30"/>
        <v>#VALUE!</v>
      </c>
      <c r="H1016" s="63" t="e">
        <f t="shared" si="31"/>
        <v>#VALUE!</v>
      </c>
    </row>
    <row r="1017" spans="7:8">
      <c r="G1017" s="63" t="e">
        <f t="shared" si="30"/>
        <v>#VALUE!</v>
      </c>
      <c r="H1017" s="63" t="e">
        <f t="shared" si="31"/>
        <v>#VALUE!</v>
      </c>
    </row>
    <row r="1018" spans="7:8">
      <c r="G1018" s="63" t="e">
        <f t="shared" si="30"/>
        <v>#VALUE!</v>
      </c>
      <c r="H1018" s="63" t="e">
        <f t="shared" si="31"/>
        <v>#VALUE!</v>
      </c>
    </row>
    <row r="1019" spans="7:8">
      <c r="G1019" s="63" t="e">
        <f t="shared" si="30"/>
        <v>#VALUE!</v>
      </c>
      <c r="H1019" s="63" t="e">
        <f t="shared" si="31"/>
        <v>#VALUE!</v>
      </c>
    </row>
    <row r="1020" spans="7:8">
      <c r="G1020" s="63" t="e">
        <f t="shared" si="30"/>
        <v>#VALUE!</v>
      </c>
      <c r="H1020" s="63" t="e">
        <f t="shared" si="31"/>
        <v>#VALUE!</v>
      </c>
    </row>
    <row r="1021" spans="7:8">
      <c r="G1021" s="63" t="e">
        <f t="shared" si="30"/>
        <v>#VALUE!</v>
      </c>
      <c r="H1021" s="63" t="e">
        <f t="shared" si="31"/>
        <v>#VALUE!</v>
      </c>
    </row>
    <row r="1022" spans="7:8">
      <c r="G1022" s="63" t="e">
        <f t="shared" si="30"/>
        <v>#VALUE!</v>
      </c>
      <c r="H1022" s="63" t="e">
        <f t="shared" si="31"/>
        <v>#VALUE!</v>
      </c>
    </row>
    <row r="1023" spans="7:8">
      <c r="G1023" s="63" t="e">
        <f t="shared" si="30"/>
        <v>#VALUE!</v>
      </c>
      <c r="H1023" s="63" t="e">
        <f t="shared" si="31"/>
        <v>#VALUE!</v>
      </c>
    </row>
    <row r="1024" spans="7:8">
      <c r="G1024" s="63" t="e">
        <f t="shared" si="30"/>
        <v>#VALUE!</v>
      </c>
      <c r="H1024" s="63" t="e">
        <f t="shared" si="31"/>
        <v>#VALUE!</v>
      </c>
    </row>
    <row r="1025" spans="7:8">
      <c r="G1025" s="63" t="e">
        <f t="shared" si="30"/>
        <v>#VALUE!</v>
      </c>
      <c r="H1025" s="63" t="e">
        <f t="shared" si="31"/>
        <v>#VALUE!</v>
      </c>
    </row>
    <row r="1026" spans="7:8">
      <c r="G1026" s="63" t="e">
        <f t="shared" si="30"/>
        <v>#VALUE!</v>
      </c>
      <c r="H1026" s="63" t="e">
        <f t="shared" si="31"/>
        <v>#VALUE!</v>
      </c>
    </row>
    <row r="1027" spans="7:8">
      <c r="G1027" s="63" t="e">
        <f t="shared" ref="G1027:G1090" si="32">IF(OR(A1027="RID_PB77",A1027="RID_PB77A3"),"WPCI77",IF(A1027="RIDTCIAS","CSCI49",IF(A1027="RID_HCPTM","CHCPT_",IF(LEFT(A1027,1)="C",A1027,MID(A1027,6,LEN(A1027)-5)))))</f>
        <v>#VALUE!</v>
      </c>
      <c r="H1027" s="63" t="e">
        <f t="shared" ref="H1027:H1090" si="33">IF(OR(G1027="MJG1",G1027="MJG2"),"MJG",G1027)&amp;"_"&amp;B1027</f>
        <v>#VALUE!</v>
      </c>
    </row>
    <row r="1028" spans="7:8">
      <c r="G1028" s="63" t="e">
        <f t="shared" si="32"/>
        <v>#VALUE!</v>
      </c>
      <c r="H1028" s="63" t="e">
        <f t="shared" si="33"/>
        <v>#VALUE!</v>
      </c>
    </row>
    <row r="1029" spans="7:8">
      <c r="G1029" s="63" t="e">
        <f t="shared" si="32"/>
        <v>#VALUE!</v>
      </c>
      <c r="H1029" s="63" t="e">
        <f t="shared" si="33"/>
        <v>#VALUE!</v>
      </c>
    </row>
    <row r="1030" spans="7:8">
      <c r="G1030" s="63" t="e">
        <f t="shared" si="32"/>
        <v>#VALUE!</v>
      </c>
      <c r="H1030" s="63" t="e">
        <f t="shared" si="33"/>
        <v>#VALUE!</v>
      </c>
    </row>
    <row r="1031" spans="7:8">
      <c r="G1031" s="63" t="e">
        <f t="shared" si="32"/>
        <v>#VALUE!</v>
      </c>
      <c r="H1031" s="63" t="e">
        <f t="shared" si="33"/>
        <v>#VALUE!</v>
      </c>
    </row>
    <row r="1032" spans="7:8">
      <c r="G1032" s="63" t="e">
        <f t="shared" si="32"/>
        <v>#VALUE!</v>
      </c>
      <c r="H1032" s="63" t="e">
        <f t="shared" si="33"/>
        <v>#VALUE!</v>
      </c>
    </row>
    <row r="1033" spans="7:8">
      <c r="G1033" s="63" t="e">
        <f t="shared" si="32"/>
        <v>#VALUE!</v>
      </c>
      <c r="H1033" s="63" t="e">
        <f t="shared" si="33"/>
        <v>#VALUE!</v>
      </c>
    </row>
    <row r="1034" spans="7:8">
      <c r="G1034" s="63" t="e">
        <f t="shared" si="32"/>
        <v>#VALUE!</v>
      </c>
      <c r="H1034" s="63" t="e">
        <f t="shared" si="33"/>
        <v>#VALUE!</v>
      </c>
    </row>
    <row r="1035" spans="7:8">
      <c r="G1035" s="63" t="e">
        <f t="shared" si="32"/>
        <v>#VALUE!</v>
      </c>
      <c r="H1035" s="63" t="e">
        <f t="shared" si="33"/>
        <v>#VALUE!</v>
      </c>
    </row>
    <row r="1036" spans="7:8">
      <c r="G1036" s="63" t="e">
        <f t="shared" si="32"/>
        <v>#VALUE!</v>
      </c>
      <c r="H1036" s="63" t="e">
        <f t="shared" si="33"/>
        <v>#VALUE!</v>
      </c>
    </row>
    <row r="1037" spans="7:8">
      <c r="G1037" s="63" t="e">
        <f t="shared" si="32"/>
        <v>#VALUE!</v>
      </c>
      <c r="H1037" s="63" t="e">
        <f t="shared" si="33"/>
        <v>#VALUE!</v>
      </c>
    </row>
    <row r="1038" spans="7:8">
      <c r="G1038" s="63" t="e">
        <f t="shared" si="32"/>
        <v>#VALUE!</v>
      </c>
      <c r="H1038" s="63" t="e">
        <f t="shared" si="33"/>
        <v>#VALUE!</v>
      </c>
    </row>
    <row r="1039" spans="7:8">
      <c r="G1039" s="63" t="e">
        <f t="shared" si="32"/>
        <v>#VALUE!</v>
      </c>
      <c r="H1039" s="63" t="e">
        <f t="shared" si="33"/>
        <v>#VALUE!</v>
      </c>
    </row>
    <row r="1040" spans="7:8">
      <c r="G1040" s="63" t="e">
        <f t="shared" si="32"/>
        <v>#VALUE!</v>
      </c>
      <c r="H1040" s="63" t="e">
        <f t="shared" si="33"/>
        <v>#VALUE!</v>
      </c>
    </row>
    <row r="1041" spans="7:8">
      <c r="G1041" s="63" t="e">
        <f t="shared" si="32"/>
        <v>#VALUE!</v>
      </c>
      <c r="H1041" s="63" t="e">
        <f t="shared" si="33"/>
        <v>#VALUE!</v>
      </c>
    </row>
    <row r="1042" spans="7:8">
      <c r="G1042" s="63" t="e">
        <f t="shared" si="32"/>
        <v>#VALUE!</v>
      </c>
      <c r="H1042" s="63" t="e">
        <f t="shared" si="33"/>
        <v>#VALUE!</v>
      </c>
    </row>
    <row r="1043" spans="7:8">
      <c r="G1043" s="63" t="e">
        <f t="shared" si="32"/>
        <v>#VALUE!</v>
      </c>
      <c r="H1043" s="63" t="e">
        <f t="shared" si="33"/>
        <v>#VALUE!</v>
      </c>
    </row>
    <row r="1044" spans="7:8">
      <c r="G1044" s="63" t="e">
        <f t="shared" si="32"/>
        <v>#VALUE!</v>
      </c>
      <c r="H1044" s="63" t="e">
        <f t="shared" si="33"/>
        <v>#VALUE!</v>
      </c>
    </row>
    <row r="1045" spans="7:8">
      <c r="G1045" s="63" t="e">
        <f t="shared" si="32"/>
        <v>#VALUE!</v>
      </c>
      <c r="H1045" s="63" t="e">
        <f t="shared" si="33"/>
        <v>#VALUE!</v>
      </c>
    </row>
    <row r="1046" spans="7:8">
      <c r="G1046" s="63" t="e">
        <f t="shared" si="32"/>
        <v>#VALUE!</v>
      </c>
      <c r="H1046" s="63" t="e">
        <f t="shared" si="33"/>
        <v>#VALUE!</v>
      </c>
    </row>
    <row r="1047" spans="7:8">
      <c r="G1047" s="63" t="e">
        <f t="shared" si="32"/>
        <v>#VALUE!</v>
      </c>
      <c r="H1047" s="63" t="e">
        <f t="shared" si="33"/>
        <v>#VALUE!</v>
      </c>
    </row>
    <row r="1048" spans="7:8">
      <c r="G1048" s="63" t="e">
        <f t="shared" si="32"/>
        <v>#VALUE!</v>
      </c>
      <c r="H1048" s="63" t="e">
        <f t="shared" si="33"/>
        <v>#VALUE!</v>
      </c>
    </row>
    <row r="1049" spans="7:8">
      <c r="G1049" s="63" t="e">
        <f t="shared" si="32"/>
        <v>#VALUE!</v>
      </c>
      <c r="H1049" s="63" t="e">
        <f t="shared" si="33"/>
        <v>#VALUE!</v>
      </c>
    </row>
    <row r="1050" spans="7:8">
      <c r="G1050" s="63" t="e">
        <f t="shared" si="32"/>
        <v>#VALUE!</v>
      </c>
      <c r="H1050" s="63" t="e">
        <f t="shared" si="33"/>
        <v>#VALUE!</v>
      </c>
    </row>
    <row r="1051" spans="7:8">
      <c r="G1051" s="63" t="e">
        <f t="shared" si="32"/>
        <v>#VALUE!</v>
      </c>
      <c r="H1051" s="63" t="e">
        <f t="shared" si="33"/>
        <v>#VALUE!</v>
      </c>
    </row>
    <row r="1052" spans="7:8">
      <c r="G1052" s="63" t="e">
        <f t="shared" si="32"/>
        <v>#VALUE!</v>
      </c>
      <c r="H1052" s="63" t="e">
        <f t="shared" si="33"/>
        <v>#VALUE!</v>
      </c>
    </row>
    <row r="1053" spans="7:8">
      <c r="G1053" s="63" t="e">
        <f t="shared" si="32"/>
        <v>#VALUE!</v>
      </c>
      <c r="H1053" s="63" t="e">
        <f t="shared" si="33"/>
        <v>#VALUE!</v>
      </c>
    </row>
    <row r="1054" spans="7:8">
      <c r="G1054" s="63" t="e">
        <f t="shared" si="32"/>
        <v>#VALUE!</v>
      </c>
      <c r="H1054" s="63" t="e">
        <f t="shared" si="33"/>
        <v>#VALUE!</v>
      </c>
    </row>
    <row r="1055" spans="7:8">
      <c r="G1055" s="63" t="e">
        <f t="shared" si="32"/>
        <v>#VALUE!</v>
      </c>
      <c r="H1055" s="63" t="e">
        <f t="shared" si="33"/>
        <v>#VALUE!</v>
      </c>
    </row>
    <row r="1056" spans="7:8">
      <c r="G1056" s="63" t="e">
        <f t="shared" si="32"/>
        <v>#VALUE!</v>
      </c>
      <c r="H1056" s="63" t="e">
        <f t="shared" si="33"/>
        <v>#VALUE!</v>
      </c>
    </row>
    <row r="1057" spans="7:8">
      <c r="G1057" s="63" t="e">
        <f t="shared" si="32"/>
        <v>#VALUE!</v>
      </c>
      <c r="H1057" s="63" t="e">
        <f t="shared" si="33"/>
        <v>#VALUE!</v>
      </c>
    </row>
    <row r="1058" spans="7:8">
      <c r="G1058" s="63" t="e">
        <f t="shared" si="32"/>
        <v>#VALUE!</v>
      </c>
      <c r="H1058" s="63" t="e">
        <f t="shared" si="33"/>
        <v>#VALUE!</v>
      </c>
    </row>
    <row r="1059" spans="7:8">
      <c r="G1059" s="63" t="e">
        <f t="shared" si="32"/>
        <v>#VALUE!</v>
      </c>
      <c r="H1059" s="63" t="e">
        <f t="shared" si="33"/>
        <v>#VALUE!</v>
      </c>
    </row>
    <row r="1060" spans="7:8">
      <c r="G1060" s="63" t="e">
        <f t="shared" si="32"/>
        <v>#VALUE!</v>
      </c>
      <c r="H1060" s="63" t="e">
        <f t="shared" si="33"/>
        <v>#VALUE!</v>
      </c>
    </row>
    <row r="1061" spans="7:8">
      <c r="G1061" s="63" t="e">
        <f t="shared" si="32"/>
        <v>#VALUE!</v>
      </c>
      <c r="H1061" s="63" t="e">
        <f t="shared" si="33"/>
        <v>#VALUE!</v>
      </c>
    </row>
    <row r="1062" spans="7:8">
      <c r="G1062" s="63" t="e">
        <f t="shared" si="32"/>
        <v>#VALUE!</v>
      </c>
      <c r="H1062" s="63" t="e">
        <f t="shared" si="33"/>
        <v>#VALUE!</v>
      </c>
    </row>
    <row r="1063" spans="7:8">
      <c r="G1063" s="63" t="e">
        <f t="shared" si="32"/>
        <v>#VALUE!</v>
      </c>
      <c r="H1063" s="63" t="e">
        <f t="shared" si="33"/>
        <v>#VALUE!</v>
      </c>
    </row>
    <row r="1064" spans="7:8">
      <c r="G1064" s="63" t="e">
        <f t="shared" si="32"/>
        <v>#VALUE!</v>
      </c>
      <c r="H1064" s="63" t="e">
        <f t="shared" si="33"/>
        <v>#VALUE!</v>
      </c>
    </row>
    <row r="1065" spans="7:8">
      <c r="G1065" s="63" t="e">
        <f t="shared" si="32"/>
        <v>#VALUE!</v>
      </c>
      <c r="H1065" s="63" t="e">
        <f t="shared" si="33"/>
        <v>#VALUE!</v>
      </c>
    </row>
    <row r="1066" spans="7:8">
      <c r="G1066" s="63" t="e">
        <f t="shared" si="32"/>
        <v>#VALUE!</v>
      </c>
      <c r="H1066" s="63" t="e">
        <f t="shared" si="33"/>
        <v>#VALUE!</v>
      </c>
    </row>
    <row r="1067" spans="7:8">
      <c r="G1067" s="63" t="e">
        <f t="shared" si="32"/>
        <v>#VALUE!</v>
      </c>
      <c r="H1067" s="63" t="e">
        <f t="shared" si="33"/>
        <v>#VALUE!</v>
      </c>
    </row>
    <row r="1068" spans="7:8">
      <c r="G1068" s="63" t="e">
        <f t="shared" si="32"/>
        <v>#VALUE!</v>
      </c>
      <c r="H1068" s="63" t="e">
        <f t="shared" si="33"/>
        <v>#VALUE!</v>
      </c>
    </row>
    <row r="1069" spans="7:8">
      <c r="G1069" s="63" t="e">
        <f t="shared" si="32"/>
        <v>#VALUE!</v>
      </c>
      <c r="H1069" s="63" t="e">
        <f t="shared" si="33"/>
        <v>#VALUE!</v>
      </c>
    </row>
    <row r="1070" spans="7:8">
      <c r="G1070" s="63" t="e">
        <f t="shared" si="32"/>
        <v>#VALUE!</v>
      </c>
      <c r="H1070" s="63" t="e">
        <f t="shared" si="33"/>
        <v>#VALUE!</v>
      </c>
    </row>
    <row r="1071" spans="7:8">
      <c r="G1071" s="63" t="e">
        <f t="shared" si="32"/>
        <v>#VALUE!</v>
      </c>
      <c r="H1071" s="63" t="e">
        <f t="shared" si="33"/>
        <v>#VALUE!</v>
      </c>
    </row>
    <row r="1072" spans="7:8">
      <c r="G1072" s="63" t="e">
        <f t="shared" si="32"/>
        <v>#VALUE!</v>
      </c>
      <c r="H1072" s="63" t="e">
        <f t="shared" si="33"/>
        <v>#VALUE!</v>
      </c>
    </row>
    <row r="1073" spans="7:8">
      <c r="G1073" s="63" t="e">
        <f t="shared" si="32"/>
        <v>#VALUE!</v>
      </c>
      <c r="H1073" s="63" t="e">
        <f t="shared" si="33"/>
        <v>#VALUE!</v>
      </c>
    </row>
    <row r="1074" spans="7:8">
      <c r="G1074" s="63" t="e">
        <f t="shared" si="32"/>
        <v>#VALUE!</v>
      </c>
      <c r="H1074" s="63" t="e">
        <f t="shared" si="33"/>
        <v>#VALUE!</v>
      </c>
    </row>
    <row r="1075" spans="7:8">
      <c r="G1075" s="63" t="e">
        <f t="shared" si="32"/>
        <v>#VALUE!</v>
      </c>
      <c r="H1075" s="63" t="e">
        <f t="shared" si="33"/>
        <v>#VALUE!</v>
      </c>
    </row>
    <row r="1076" spans="7:8">
      <c r="G1076" s="63" t="e">
        <f t="shared" si="32"/>
        <v>#VALUE!</v>
      </c>
      <c r="H1076" s="63" t="e">
        <f t="shared" si="33"/>
        <v>#VALUE!</v>
      </c>
    </row>
    <row r="1077" spans="7:8">
      <c r="G1077" s="63" t="e">
        <f t="shared" si="32"/>
        <v>#VALUE!</v>
      </c>
      <c r="H1077" s="63" t="e">
        <f t="shared" si="33"/>
        <v>#VALUE!</v>
      </c>
    </row>
    <row r="1078" spans="7:8">
      <c r="G1078" s="63" t="e">
        <f t="shared" si="32"/>
        <v>#VALUE!</v>
      </c>
      <c r="H1078" s="63" t="e">
        <f t="shared" si="33"/>
        <v>#VALUE!</v>
      </c>
    </row>
    <row r="1079" spans="7:8">
      <c r="G1079" s="63" t="e">
        <f t="shared" si="32"/>
        <v>#VALUE!</v>
      </c>
      <c r="H1079" s="63" t="e">
        <f t="shared" si="33"/>
        <v>#VALUE!</v>
      </c>
    </row>
    <row r="1080" spans="7:8">
      <c r="G1080" s="63" t="e">
        <f t="shared" si="32"/>
        <v>#VALUE!</v>
      </c>
      <c r="H1080" s="63" t="e">
        <f t="shared" si="33"/>
        <v>#VALUE!</v>
      </c>
    </row>
    <row r="1081" spans="7:8">
      <c r="G1081" s="63" t="e">
        <f t="shared" si="32"/>
        <v>#VALUE!</v>
      </c>
      <c r="H1081" s="63" t="e">
        <f t="shared" si="33"/>
        <v>#VALUE!</v>
      </c>
    </row>
    <row r="1082" spans="7:8">
      <c r="G1082" s="63" t="e">
        <f t="shared" si="32"/>
        <v>#VALUE!</v>
      </c>
      <c r="H1082" s="63" t="e">
        <f t="shared" si="33"/>
        <v>#VALUE!</v>
      </c>
    </row>
    <row r="1083" spans="7:8">
      <c r="G1083" s="63" t="e">
        <f t="shared" si="32"/>
        <v>#VALUE!</v>
      </c>
      <c r="H1083" s="63" t="e">
        <f t="shared" si="33"/>
        <v>#VALUE!</v>
      </c>
    </row>
    <row r="1084" spans="7:8">
      <c r="G1084" s="63" t="e">
        <f t="shared" si="32"/>
        <v>#VALUE!</v>
      </c>
      <c r="H1084" s="63" t="e">
        <f t="shared" si="33"/>
        <v>#VALUE!</v>
      </c>
    </row>
    <row r="1085" spans="7:8">
      <c r="G1085" s="63" t="e">
        <f t="shared" si="32"/>
        <v>#VALUE!</v>
      </c>
      <c r="H1085" s="63" t="e">
        <f t="shared" si="33"/>
        <v>#VALUE!</v>
      </c>
    </row>
    <row r="1086" spans="7:8">
      <c r="G1086" s="63" t="e">
        <f t="shared" si="32"/>
        <v>#VALUE!</v>
      </c>
      <c r="H1086" s="63" t="e">
        <f t="shared" si="33"/>
        <v>#VALUE!</v>
      </c>
    </row>
    <row r="1087" spans="7:8">
      <c r="G1087" s="63" t="e">
        <f t="shared" si="32"/>
        <v>#VALUE!</v>
      </c>
      <c r="H1087" s="63" t="e">
        <f t="shared" si="33"/>
        <v>#VALUE!</v>
      </c>
    </row>
    <row r="1088" spans="7:8">
      <c r="G1088" s="63" t="e">
        <f t="shared" si="32"/>
        <v>#VALUE!</v>
      </c>
      <c r="H1088" s="63" t="e">
        <f t="shared" si="33"/>
        <v>#VALUE!</v>
      </c>
    </row>
    <row r="1089" spans="7:8">
      <c r="G1089" s="63" t="e">
        <f t="shared" si="32"/>
        <v>#VALUE!</v>
      </c>
      <c r="H1089" s="63" t="e">
        <f t="shared" si="33"/>
        <v>#VALUE!</v>
      </c>
    </row>
    <row r="1090" spans="7:8">
      <c r="G1090" s="63" t="e">
        <f t="shared" si="32"/>
        <v>#VALUE!</v>
      </c>
      <c r="H1090" s="63" t="e">
        <f t="shared" si="33"/>
        <v>#VALUE!</v>
      </c>
    </row>
    <row r="1091" spans="7:8">
      <c r="G1091" s="63" t="e">
        <f t="shared" ref="G1091:G1154" si="34">IF(OR(A1091="RID_PB77",A1091="RID_PB77A3"),"WPCI77",IF(A1091="RIDTCIAS","CSCI49",IF(A1091="RID_HCPTM","CHCPT_",IF(LEFT(A1091,1)="C",A1091,MID(A1091,6,LEN(A1091)-5)))))</f>
        <v>#VALUE!</v>
      </c>
      <c r="H1091" s="63" t="e">
        <f t="shared" ref="H1091:H1154" si="35">IF(OR(G1091="MJG1",G1091="MJG2"),"MJG",G1091)&amp;"_"&amp;B1091</f>
        <v>#VALUE!</v>
      </c>
    </row>
    <row r="1092" spans="7:8">
      <c r="G1092" s="63" t="e">
        <f t="shared" si="34"/>
        <v>#VALUE!</v>
      </c>
      <c r="H1092" s="63" t="e">
        <f t="shared" si="35"/>
        <v>#VALUE!</v>
      </c>
    </row>
    <row r="1093" spans="7:8">
      <c r="G1093" s="63" t="e">
        <f t="shared" si="34"/>
        <v>#VALUE!</v>
      </c>
      <c r="H1093" s="63" t="e">
        <f t="shared" si="35"/>
        <v>#VALUE!</v>
      </c>
    </row>
    <row r="1094" spans="7:8">
      <c r="G1094" s="63" t="e">
        <f t="shared" si="34"/>
        <v>#VALUE!</v>
      </c>
      <c r="H1094" s="63" t="e">
        <f t="shared" si="35"/>
        <v>#VALUE!</v>
      </c>
    </row>
    <row r="1095" spans="7:8">
      <c r="G1095" s="63" t="e">
        <f t="shared" si="34"/>
        <v>#VALUE!</v>
      </c>
      <c r="H1095" s="63" t="e">
        <f t="shared" si="35"/>
        <v>#VALUE!</v>
      </c>
    </row>
    <row r="1096" spans="7:8">
      <c r="G1096" s="63" t="e">
        <f t="shared" si="34"/>
        <v>#VALUE!</v>
      </c>
      <c r="H1096" s="63" t="e">
        <f t="shared" si="35"/>
        <v>#VALUE!</v>
      </c>
    </row>
    <row r="1097" spans="7:8">
      <c r="G1097" s="63" t="e">
        <f t="shared" si="34"/>
        <v>#VALUE!</v>
      </c>
      <c r="H1097" s="63" t="e">
        <f t="shared" si="35"/>
        <v>#VALUE!</v>
      </c>
    </row>
    <row r="1098" spans="7:8">
      <c r="G1098" s="63" t="e">
        <f t="shared" si="34"/>
        <v>#VALUE!</v>
      </c>
      <c r="H1098" s="63" t="e">
        <f t="shared" si="35"/>
        <v>#VALUE!</v>
      </c>
    </row>
    <row r="1099" spans="7:8">
      <c r="G1099" s="63" t="e">
        <f t="shared" si="34"/>
        <v>#VALUE!</v>
      </c>
      <c r="H1099" s="63" t="e">
        <f t="shared" si="35"/>
        <v>#VALUE!</v>
      </c>
    </row>
    <row r="1100" spans="7:8">
      <c r="G1100" s="63" t="e">
        <f t="shared" si="34"/>
        <v>#VALUE!</v>
      </c>
      <c r="H1100" s="63" t="e">
        <f t="shared" si="35"/>
        <v>#VALUE!</v>
      </c>
    </row>
    <row r="1101" spans="7:8">
      <c r="G1101" s="63" t="e">
        <f t="shared" si="34"/>
        <v>#VALUE!</v>
      </c>
      <c r="H1101" s="63" t="e">
        <f t="shared" si="35"/>
        <v>#VALUE!</v>
      </c>
    </row>
    <row r="1102" spans="7:8">
      <c r="G1102" s="63" t="e">
        <f t="shared" si="34"/>
        <v>#VALUE!</v>
      </c>
      <c r="H1102" s="63" t="e">
        <f t="shared" si="35"/>
        <v>#VALUE!</v>
      </c>
    </row>
    <row r="1103" spans="7:8">
      <c r="G1103" s="63" t="e">
        <f t="shared" si="34"/>
        <v>#VALUE!</v>
      </c>
      <c r="H1103" s="63" t="e">
        <f t="shared" si="35"/>
        <v>#VALUE!</v>
      </c>
    </row>
    <row r="1104" spans="7:8">
      <c r="G1104" s="63" t="e">
        <f t="shared" si="34"/>
        <v>#VALUE!</v>
      </c>
      <c r="H1104" s="63" t="e">
        <f t="shared" si="35"/>
        <v>#VALUE!</v>
      </c>
    </row>
    <row r="1105" spans="7:8">
      <c r="G1105" s="63" t="e">
        <f t="shared" si="34"/>
        <v>#VALUE!</v>
      </c>
      <c r="H1105" s="63" t="e">
        <f t="shared" si="35"/>
        <v>#VALUE!</v>
      </c>
    </row>
    <row r="1106" spans="7:8">
      <c r="G1106" s="63" t="e">
        <f t="shared" si="34"/>
        <v>#VALUE!</v>
      </c>
      <c r="H1106" s="63" t="e">
        <f t="shared" si="35"/>
        <v>#VALUE!</v>
      </c>
    </row>
    <row r="1107" spans="7:8">
      <c r="G1107" s="63" t="e">
        <f t="shared" si="34"/>
        <v>#VALUE!</v>
      </c>
      <c r="H1107" s="63" t="e">
        <f t="shared" si="35"/>
        <v>#VALUE!</v>
      </c>
    </row>
    <row r="1108" spans="7:8">
      <c r="G1108" s="63" t="e">
        <f t="shared" si="34"/>
        <v>#VALUE!</v>
      </c>
      <c r="H1108" s="63" t="e">
        <f t="shared" si="35"/>
        <v>#VALUE!</v>
      </c>
    </row>
    <row r="1109" spans="7:8">
      <c r="G1109" s="63" t="e">
        <f t="shared" si="34"/>
        <v>#VALUE!</v>
      </c>
      <c r="H1109" s="63" t="e">
        <f t="shared" si="35"/>
        <v>#VALUE!</v>
      </c>
    </row>
    <row r="1110" spans="7:8">
      <c r="G1110" s="63" t="e">
        <f t="shared" si="34"/>
        <v>#VALUE!</v>
      </c>
      <c r="H1110" s="63" t="e">
        <f t="shared" si="35"/>
        <v>#VALUE!</v>
      </c>
    </row>
    <row r="1111" spans="7:8">
      <c r="G1111" s="63" t="e">
        <f t="shared" si="34"/>
        <v>#VALUE!</v>
      </c>
      <c r="H1111" s="63" t="e">
        <f t="shared" si="35"/>
        <v>#VALUE!</v>
      </c>
    </row>
    <row r="1112" spans="7:8">
      <c r="G1112" s="63" t="e">
        <f t="shared" si="34"/>
        <v>#VALUE!</v>
      </c>
      <c r="H1112" s="63" t="e">
        <f t="shared" si="35"/>
        <v>#VALUE!</v>
      </c>
    </row>
    <row r="1113" spans="7:8">
      <c r="G1113" s="63" t="e">
        <f t="shared" si="34"/>
        <v>#VALUE!</v>
      </c>
      <c r="H1113" s="63" t="e">
        <f t="shared" si="35"/>
        <v>#VALUE!</v>
      </c>
    </row>
    <row r="1114" spans="7:8">
      <c r="G1114" s="63" t="e">
        <f t="shared" si="34"/>
        <v>#VALUE!</v>
      </c>
      <c r="H1114" s="63" t="e">
        <f t="shared" si="35"/>
        <v>#VALUE!</v>
      </c>
    </row>
    <row r="1115" spans="7:8">
      <c r="G1115" s="63" t="e">
        <f t="shared" si="34"/>
        <v>#VALUE!</v>
      </c>
      <c r="H1115" s="63" t="e">
        <f t="shared" si="35"/>
        <v>#VALUE!</v>
      </c>
    </row>
    <row r="1116" spans="7:8">
      <c r="G1116" s="63" t="e">
        <f t="shared" si="34"/>
        <v>#VALUE!</v>
      </c>
      <c r="H1116" s="63" t="e">
        <f t="shared" si="35"/>
        <v>#VALUE!</v>
      </c>
    </row>
    <row r="1117" spans="7:8">
      <c r="G1117" s="63" t="e">
        <f t="shared" si="34"/>
        <v>#VALUE!</v>
      </c>
      <c r="H1117" s="63" t="e">
        <f t="shared" si="35"/>
        <v>#VALUE!</v>
      </c>
    </row>
    <row r="1118" spans="7:8">
      <c r="G1118" s="63" t="e">
        <f t="shared" si="34"/>
        <v>#VALUE!</v>
      </c>
      <c r="H1118" s="63" t="e">
        <f t="shared" si="35"/>
        <v>#VALUE!</v>
      </c>
    </row>
    <row r="1119" spans="7:8">
      <c r="G1119" s="63" t="e">
        <f t="shared" si="34"/>
        <v>#VALUE!</v>
      </c>
      <c r="H1119" s="63" t="e">
        <f t="shared" si="35"/>
        <v>#VALUE!</v>
      </c>
    </row>
    <row r="1120" spans="7:8">
      <c r="G1120" s="63" t="e">
        <f t="shared" si="34"/>
        <v>#VALUE!</v>
      </c>
      <c r="H1120" s="63" t="e">
        <f t="shared" si="35"/>
        <v>#VALUE!</v>
      </c>
    </row>
    <row r="1121" spans="7:8">
      <c r="G1121" s="63" t="e">
        <f t="shared" si="34"/>
        <v>#VALUE!</v>
      </c>
      <c r="H1121" s="63" t="e">
        <f t="shared" si="35"/>
        <v>#VALUE!</v>
      </c>
    </row>
    <row r="1122" spans="7:8">
      <c r="G1122" s="63" t="e">
        <f t="shared" si="34"/>
        <v>#VALUE!</v>
      </c>
      <c r="H1122" s="63" t="e">
        <f t="shared" si="35"/>
        <v>#VALUE!</v>
      </c>
    </row>
    <row r="1123" spans="7:8">
      <c r="G1123" s="63" t="e">
        <f t="shared" si="34"/>
        <v>#VALUE!</v>
      </c>
      <c r="H1123" s="63" t="e">
        <f t="shared" si="35"/>
        <v>#VALUE!</v>
      </c>
    </row>
    <row r="1124" spans="7:8">
      <c r="G1124" s="63" t="e">
        <f t="shared" si="34"/>
        <v>#VALUE!</v>
      </c>
      <c r="H1124" s="63" t="e">
        <f t="shared" si="35"/>
        <v>#VALUE!</v>
      </c>
    </row>
    <row r="1125" spans="7:8">
      <c r="G1125" s="63" t="e">
        <f t="shared" si="34"/>
        <v>#VALUE!</v>
      </c>
      <c r="H1125" s="63" t="e">
        <f t="shared" si="35"/>
        <v>#VALUE!</v>
      </c>
    </row>
    <row r="1126" spans="7:8">
      <c r="G1126" s="63" t="e">
        <f t="shared" si="34"/>
        <v>#VALUE!</v>
      </c>
      <c r="H1126" s="63" t="e">
        <f t="shared" si="35"/>
        <v>#VALUE!</v>
      </c>
    </row>
    <row r="1127" spans="7:8">
      <c r="G1127" s="63" t="e">
        <f t="shared" si="34"/>
        <v>#VALUE!</v>
      </c>
      <c r="H1127" s="63" t="e">
        <f t="shared" si="35"/>
        <v>#VALUE!</v>
      </c>
    </row>
    <row r="1128" spans="7:8">
      <c r="G1128" s="63" t="e">
        <f t="shared" si="34"/>
        <v>#VALUE!</v>
      </c>
      <c r="H1128" s="63" t="e">
        <f t="shared" si="35"/>
        <v>#VALUE!</v>
      </c>
    </row>
    <row r="1129" spans="7:8">
      <c r="G1129" s="63" t="e">
        <f t="shared" si="34"/>
        <v>#VALUE!</v>
      </c>
      <c r="H1129" s="63" t="e">
        <f t="shared" si="35"/>
        <v>#VALUE!</v>
      </c>
    </row>
    <row r="1130" spans="7:8">
      <c r="G1130" s="63" t="e">
        <f t="shared" si="34"/>
        <v>#VALUE!</v>
      </c>
      <c r="H1130" s="63" t="e">
        <f t="shared" si="35"/>
        <v>#VALUE!</v>
      </c>
    </row>
    <row r="1131" spans="7:8">
      <c r="G1131" s="63" t="e">
        <f t="shared" si="34"/>
        <v>#VALUE!</v>
      </c>
      <c r="H1131" s="63" t="e">
        <f t="shared" si="35"/>
        <v>#VALUE!</v>
      </c>
    </row>
    <row r="1132" spans="7:8">
      <c r="G1132" s="63" t="e">
        <f t="shared" si="34"/>
        <v>#VALUE!</v>
      </c>
      <c r="H1132" s="63" t="e">
        <f t="shared" si="35"/>
        <v>#VALUE!</v>
      </c>
    </row>
    <row r="1133" spans="7:8">
      <c r="G1133" s="63" t="e">
        <f t="shared" si="34"/>
        <v>#VALUE!</v>
      </c>
      <c r="H1133" s="63" t="e">
        <f t="shared" si="35"/>
        <v>#VALUE!</v>
      </c>
    </row>
    <row r="1134" spans="7:8">
      <c r="G1134" s="63" t="e">
        <f t="shared" si="34"/>
        <v>#VALUE!</v>
      </c>
      <c r="H1134" s="63" t="e">
        <f t="shared" si="35"/>
        <v>#VALUE!</v>
      </c>
    </row>
    <row r="1135" spans="7:8">
      <c r="G1135" s="63" t="e">
        <f t="shared" si="34"/>
        <v>#VALUE!</v>
      </c>
      <c r="H1135" s="63" t="e">
        <f t="shared" si="35"/>
        <v>#VALUE!</v>
      </c>
    </row>
    <row r="1136" spans="7:8">
      <c r="G1136" s="63" t="e">
        <f t="shared" si="34"/>
        <v>#VALUE!</v>
      </c>
      <c r="H1136" s="63" t="e">
        <f t="shared" si="35"/>
        <v>#VALUE!</v>
      </c>
    </row>
    <row r="1137" spans="7:8">
      <c r="G1137" s="63" t="e">
        <f t="shared" si="34"/>
        <v>#VALUE!</v>
      </c>
      <c r="H1137" s="63" t="e">
        <f t="shared" si="35"/>
        <v>#VALUE!</v>
      </c>
    </row>
    <row r="1138" spans="7:8">
      <c r="G1138" s="63" t="e">
        <f t="shared" si="34"/>
        <v>#VALUE!</v>
      </c>
      <c r="H1138" s="63" t="e">
        <f t="shared" si="35"/>
        <v>#VALUE!</v>
      </c>
    </row>
    <row r="1139" spans="7:8">
      <c r="G1139" s="63" t="e">
        <f t="shared" si="34"/>
        <v>#VALUE!</v>
      </c>
      <c r="H1139" s="63" t="e">
        <f t="shared" si="35"/>
        <v>#VALUE!</v>
      </c>
    </row>
    <row r="1140" spans="7:8">
      <c r="G1140" s="63" t="e">
        <f t="shared" si="34"/>
        <v>#VALUE!</v>
      </c>
      <c r="H1140" s="63" t="e">
        <f t="shared" si="35"/>
        <v>#VALUE!</v>
      </c>
    </row>
    <row r="1141" spans="7:8">
      <c r="G1141" s="63" t="e">
        <f t="shared" si="34"/>
        <v>#VALUE!</v>
      </c>
      <c r="H1141" s="63" t="e">
        <f t="shared" si="35"/>
        <v>#VALUE!</v>
      </c>
    </row>
    <row r="1142" spans="7:8">
      <c r="G1142" s="63" t="e">
        <f t="shared" si="34"/>
        <v>#VALUE!</v>
      </c>
      <c r="H1142" s="63" t="e">
        <f t="shared" si="35"/>
        <v>#VALUE!</v>
      </c>
    </row>
    <row r="1143" spans="7:8">
      <c r="G1143" s="63" t="e">
        <f t="shared" si="34"/>
        <v>#VALUE!</v>
      </c>
      <c r="H1143" s="63" t="e">
        <f t="shared" si="35"/>
        <v>#VALUE!</v>
      </c>
    </row>
    <row r="1144" spans="7:8">
      <c r="G1144" s="63" t="e">
        <f t="shared" si="34"/>
        <v>#VALUE!</v>
      </c>
      <c r="H1144" s="63" t="e">
        <f t="shared" si="35"/>
        <v>#VALUE!</v>
      </c>
    </row>
    <row r="1145" spans="7:8">
      <c r="G1145" s="63" t="e">
        <f t="shared" si="34"/>
        <v>#VALUE!</v>
      </c>
      <c r="H1145" s="63" t="e">
        <f t="shared" si="35"/>
        <v>#VALUE!</v>
      </c>
    </row>
    <row r="1146" spans="7:8">
      <c r="G1146" s="63" t="e">
        <f t="shared" si="34"/>
        <v>#VALUE!</v>
      </c>
      <c r="H1146" s="63" t="e">
        <f t="shared" si="35"/>
        <v>#VALUE!</v>
      </c>
    </row>
    <row r="1147" spans="7:8">
      <c r="G1147" s="63" t="e">
        <f t="shared" si="34"/>
        <v>#VALUE!</v>
      </c>
      <c r="H1147" s="63" t="e">
        <f t="shared" si="35"/>
        <v>#VALUE!</v>
      </c>
    </row>
    <row r="1148" spans="7:8">
      <c r="G1148" s="63" t="e">
        <f t="shared" si="34"/>
        <v>#VALUE!</v>
      </c>
      <c r="H1148" s="63" t="e">
        <f t="shared" si="35"/>
        <v>#VALUE!</v>
      </c>
    </row>
    <row r="1149" spans="7:8">
      <c r="G1149" s="63" t="e">
        <f t="shared" si="34"/>
        <v>#VALUE!</v>
      </c>
      <c r="H1149" s="63" t="e">
        <f t="shared" si="35"/>
        <v>#VALUE!</v>
      </c>
    </row>
    <row r="1150" spans="7:8">
      <c r="G1150" s="63" t="e">
        <f t="shared" si="34"/>
        <v>#VALUE!</v>
      </c>
      <c r="H1150" s="63" t="e">
        <f t="shared" si="35"/>
        <v>#VALUE!</v>
      </c>
    </row>
    <row r="1151" spans="7:8">
      <c r="G1151" s="63" t="e">
        <f t="shared" si="34"/>
        <v>#VALUE!</v>
      </c>
      <c r="H1151" s="63" t="e">
        <f t="shared" si="35"/>
        <v>#VALUE!</v>
      </c>
    </row>
    <row r="1152" spans="7:8">
      <c r="G1152" s="63" t="e">
        <f t="shared" si="34"/>
        <v>#VALUE!</v>
      </c>
      <c r="H1152" s="63" t="e">
        <f t="shared" si="35"/>
        <v>#VALUE!</v>
      </c>
    </row>
    <row r="1153" spans="7:8">
      <c r="G1153" s="63" t="e">
        <f t="shared" si="34"/>
        <v>#VALUE!</v>
      </c>
      <c r="H1153" s="63" t="e">
        <f t="shared" si="35"/>
        <v>#VALUE!</v>
      </c>
    </row>
    <row r="1154" spans="7:8">
      <c r="G1154" s="63" t="e">
        <f t="shared" si="34"/>
        <v>#VALUE!</v>
      </c>
      <c r="H1154" s="63" t="e">
        <f t="shared" si="35"/>
        <v>#VALUE!</v>
      </c>
    </row>
    <row r="1155" spans="7:8">
      <c r="G1155" s="63" t="e">
        <f t="shared" ref="G1155:G1218" si="36">IF(OR(A1155="RID_PB77",A1155="RID_PB77A3"),"WPCI77",IF(A1155="RIDTCIAS","CSCI49",IF(A1155="RID_HCPTM","CHCPT_",IF(LEFT(A1155,1)="C",A1155,MID(A1155,6,LEN(A1155)-5)))))</f>
        <v>#VALUE!</v>
      </c>
      <c r="H1155" s="63" t="e">
        <f t="shared" ref="H1155:H1218" si="37">IF(OR(G1155="MJG1",G1155="MJG2"),"MJG",G1155)&amp;"_"&amp;B1155</f>
        <v>#VALUE!</v>
      </c>
    </row>
    <row r="1156" spans="7:8">
      <c r="G1156" s="63" t="e">
        <f t="shared" si="36"/>
        <v>#VALUE!</v>
      </c>
      <c r="H1156" s="63" t="e">
        <f t="shared" si="37"/>
        <v>#VALUE!</v>
      </c>
    </row>
    <row r="1157" spans="7:8">
      <c r="G1157" s="63" t="e">
        <f t="shared" si="36"/>
        <v>#VALUE!</v>
      </c>
      <c r="H1157" s="63" t="e">
        <f t="shared" si="37"/>
        <v>#VALUE!</v>
      </c>
    </row>
    <row r="1158" spans="7:8">
      <c r="G1158" s="63" t="e">
        <f t="shared" si="36"/>
        <v>#VALUE!</v>
      </c>
      <c r="H1158" s="63" t="e">
        <f t="shared" si="37"/>
        <v>#VALUE!</v>
      </c>
    </row>
    <row r="1159" spans="7:8">
      <c r="G1159" s="63" t="e">
        <f t="shared" si="36"/>
        <v>#VALUE!</v>
      </c>
      <c r="H1159" s="63" t="e">
        <f t="shared" si="37"/>
        <v>#VALUE!</v>
      </c>
    </row>
    <row r="1160" spans="7:8">
      <c r="G1160" s="63" t="e">
        <f t="shared" si="36"/>
        <v>#VALUE!</v>
      </c>
      <c r="H1160" s="63" t="e">
        <f t="shared" si="37"/>
        <v>#VALUE!</v>
      </c>
    </row>
    <row r="1161" spans="7:8">
      <c r="G1161" s="63" t="e">
        <f t="shared" si="36"/>
        <v>#VALUE!</v>
      </c>
      <c r="H1161" s="63" t="e">
        <f t="shared" si="37"/>
        <v>#VALUE!</v>
      </c>
    </row>
    <row r="1162" spans="7:8">
      <c r="G1162" s="63" t="e">
        <f t="shared" si="36"/>
        <v>#VALUE!</v>
      </c>
      <c r="H1162" s="63" t="e">
        <f t="shared" si="37"/>
        <v>#VALUE!</v>
      </c>
    </row>
    <row r="1163" spans="7:8">
      <c r="G1163" s="63" t="e">
        <f t="shared" si="36"/>
        <v>#VALUE!</v>
      </c>
      <c r="H1163" s="63" t="e">
        <f t="shared" si="37"/>
        <v>#VALUE!</v>
      </c>
    </row>
    <row r="1164" spans="7:8">
      <c r="G1164" s="63" t="e">
        <f t="shared" si="36"/>
        <v>#VALUE!</v>
      </c>
      <c r="H1164" s="63" t="e">
        <f t="shared" si="37"/>
        <v>#VALUE!</v>
      </c>
    </row>
    <row r="1165" spans="7:8">
      <c r="G1165" s="63" t="e">
        <f t="shared" si="36"/>
        <v>#VALUE!</v>
      </c>
      <c r="H1165" s="63" t="e">
        <f t="shared" si="37"/>
        <v>#VALUE!</v>
      </c>
    </row>
    <row r="1166" spans="7:8">
      <c r="G1166" s="63" t="e">
        <f t="shared" si="36"/>
        <v>#VALUE!</v>
      </c>
      <c r="H1166" s="63" t="e">
        <f t="shared" si="37"/>
        <v>#VALUE!</v>
      </c>
    </row>
    <row r="1167" spans="7:8">
      <c r="G1167" s="63" t="e">
        <f t="shared" si="36"/>
        <v>#VALUE!</v>
      </c>
      <c r="H1167" s="63" t="e">
        <f t="shared" si="37"/>
        <v>#VALUE!</v>
      </c>
    </row>
    <row r="1168" spans="7:8">
      <c r="G1168" s="63" t="e">
        <f t="shared" si="36"/>
        <v>#VALUE!</v>
      </c>
      <c r="H1168" s="63" t="e">
        <f t="shared" si="37"/>
        <v>#VALUE!</v>
      </c>
    </row>
    <row r="1169" spans="7:8">
      <c r="G1169" s="63" t="e">
        <f t="shared" si="36"/>
        <v>#VALUE!</v>
      </c>
      <c r="H1169" s="63" t="e">
        <f t="shared" si="37"/>
        <v>#VALUE!</v>
      </c>
    </row>
    <row r="1170" spans="7:8">
      <c r="G1170" s="63" t="e">
        <f t="shared" si="36"/>
        <v>#VALUE!</v>
      </c>
      <c r="H1170" s="63" t="e">
        <f t="shared" si="37"/>
        <v>#VALUE!</v>
      </c>
    </row>
    <row r="1171" spans="7:8">
      <c r="G1171" s="63" t="e">
        <f t="shared" si="36"/>
        <v>#VALUE!</v>
      </c>
      <c r="H1171" s="63" t="e">
        <f t="shared" si="37"/>
        <v>#VALUE!</v>
      </c>
    </row>
    <row r="1172" spans="7:8">
      <c r="G1172" s="63" t="e">
        <f t="shared" si="36"/>
        <v>#VALUE!</v>
      </c>
      <c r="H1172" s="63" t="e">
        <f t="shared" si="37"/>
        <v>#VALUE!</v>
      </c>
    </row>
    <row r="1173" spans="7:8">
      <c r="G1173" s="63" t="e">
        <f t="shared" si="36"/>
        <v>#VALUE!</v>
      </c>
      <c r="H1173" s="63" t="e">
        <f t="shared" si="37"/>
        <v>#VALUE!</v>
      </c>
    </row>
    <row r="1174" spans="7:8">
      <c r="G1174" s="63" t="e">
        <f t="shared" si="36"/>
        <v>#VALUE!</v>
      </c>
      <c r="H1174" s="63" t="e">
        <f t="shared" si="37"/>
        <v>#VALUE!</v>
      </c>
    </row>
    <row r="1175" spans="7:8">
      <c r="G1175" s="63" t="e">
        <f t="shared" si="36"/>
        <v>#VALUE!</v>
      </c>
      <c r="H1175" s="63" t="e">
        <f t="shared" si="37"/>
        <v>#VALUE!</v>
      </c>
    </row>
    <row r="1176" spans="7:8">
      <c r="G1176" s="63" t="e">
        <f t="shared" si="36"/>
        <v>#VALUE!</v>
      </c>
      <c r="H1176" s="63" t="e">
        <f t="shared" si="37"/>
        <v>#VALUE!</v>
      </c>
    </row>
    <row r="1177" spans="7:8">
      <c r="G1177" s="63" t="e">
        <f t="shared" si="36"/>
        <v>#VALUE!</v>
      </c>
      <c r="H1177" s="63" t="e">
        <f t="shared" si="37"/>
        <v>#VALUE!</v>
      </c>
    </row>
    <row r="1178" spans="7:8">
      <c r="G1178" s="63" t="e">
        <f t="shared" si="36"/>
        <v>#VALUE!</v>
      </c>
      <c r="H1178" s="63" t="e">
        <f t="shared" si="37"/>
        <v>#VALUE!</v>
      </c>
    </row>
    <row r="1179" spans="7:8">
      <c r="G1179" s="63" t="e">
        <f t="shared" si="36"/>
        <v>#VALUE!</v>
      </c>
      <c r="H1179" s="63" t="e">
        <f t="shared" si="37"/>
        <v>#VALUE!</v>
      </c>
    </row>
    <row r="1180" spans="7:8">
      <c r="G1180" s="63" t="e">
        <f t="shared" si="36"/>
        <v>#VALUE!</v>
      </c>
      <c r="H1180" s="63" t="e">
        <f t="shared" si="37"/>
        <v>#VALUE!</v>
      </c>
    </row>
    <row r="1181" spans="7:8">
      <c r="G1181" s="63" t="e">
        <f t="shared" si="36"/>
        <v>#VALUE!</v>
      </c>
      <c r="H1181" s="63" t="e">
        <f t="shared" si="37"/>
        <v>#VALUE!</v>
      </c>
    </row>
    <row r="1182" spans="7:8">
      <c r="G1182" s="63" t="e">
        <f t="shared" si="36"/>
        <v>#VALUE!</v>
      </c>
      <c r="H1182" s="63" t="e">
        <f t="shared" si="37"/>
        <v>#VALUE!</v>
      </c>
    </row>
    <row r="1183" spans="7:8">
      <c r="G1183" s="63" t="e">
        <f t="shared" si="36"/>
        <v>#VALUE!</v>
      </c>
      <c r="H1183" s="63" t="e">
        <f t="shared" si="37"/>
        <v>#VALUE!</v>
      </c>
    </row>
    <row r="1184" spans="7:8">
      <c r="G1184" s="63" t="e">
        <f t="shared" si="36"/>
        <v>#VALUE!</v>
      </c>
      <c r="H1184" s="63" t="e">
        <f t="shared" si="37"/>
        <v>#VALUE!</v>
      </c>
    </row>
    <row r="1185" spans="7:8">
      <c r="G1185" s="63" t="e">
        <f t="shared" si="36"/>
        <v>#VALUE!</v>
      </c>
      <c r="H1185" s="63" t="e">
        <f t="shared" si="37"/>
        <v>#VALUE!</v>
      </c>
    </row>
    <row r="1186" spans="7:8">
      <c r="G1186" s="63" t="e">
        <f t="shared" si="36"/>
        <v>#VALUE!</v>
      </c>
      <c r="H1186" s="63" t="e">
        <f t="shared" si="37"/>
        <v>#VALUE!</v>
      </c>
    </row>
    <row r="1187" spans="7:8">
      <c r="G1187" s="63" t="e">
        <f t="shared" si="36"/>
        <v>#VALUE!</v>
      </c>
      <c r="H1187" s="63" t="e">
        <f t="shared" si="37"/>
        <v>#VALUE!</v>
      </c>
    </row>
    <row r="1188" spans="7:8">
      <c r="G1188" s="63" t="e">
        <f t="shared" si="36"/>
        <v>#VALUE!</v>
      </c>
      <c r="H1188" s="63" t="e">
        <f t="shared" si="37"/>
        <v>#VALUE!</v>
      </c>
    </row>
    <row r="1189" spans="7:8">
      <c r="G1189" s="63" t="e">
        <f t="shared" si="36"/>
        <v>#VALUE!</v>
      </c>
      <c r="H1189" s="63" t="e">
        <f t="shared" si="37"/>
        <v>#VALUE!</v>
      </c>
    </row>
    <row r="1190" spans="7:8">
      <c r="G1190" s="63" t="e">
        <f t="shared" si="36"/>
        <v>#VALUE!</v>
      </c>
      <c r="H1190" s="63" t="e">
        <f t="shared" si="37"/>
        <v>#VALUE!</v>
      </c>
    </row>
    <row r="1191" spans="7:8">
      <c r="G1191" s="63" t="e">
        <f t="shared" si="36"/>
        <v>#VALUE!</v>
      </c>
      <c r="H1191" s="63" t="e">
        <f t="shared" si="37"/>
        <v>#VALUE!</v>
      </c>
    </row>
    <row r="1192" spans="7:8">
      <c r="G1192" s="63" t="e">
        <f t="shared" si="36"/>
        <v>#VALUE!</v>
      </c>
      <c r="H1192" s="63" t="e">
        <f t="shared" si="37"/>
        <v>#VALUE!</v>
      </c>
    </row>
    <row r="1193" spans="7:8">
      <c r="G1193" s="63" t="e">
        <f t="shared" si="36"/>
        <v>#VALUE!</v>
      </c>
      <c r="H1193" s="63" t="e">
        <f t="shared" si="37"/>
        <v>#VALUE!</v>
      </c>
    </row>
    <row r="1194" spans="7:8">
      <c r="G1194" s="63" t="e">
        <f t="shared" si="36"/>
        <v>#VALUE!</v>
      </c>
      <c r="H1194" s="63" t="e">
        <f t="shared" si="37"/>
        <v>#VALUE!</v>
      </c>
    </row>
    <row r="1195" spans="7:8">
      <c r="G1195" s="63" t="e">
        <f t="shared" si="36"/>
        <v>#VALUE!</v>
      </c>
      <c r="H1195" s="63" t="e">
        <f t="shared" si="37"/>
        <v>#VALUE!</v>
      </c>
    </row>
    <row r="1196" spans="7:8">
      <c r="G1196" s="63" t="e">
        <f t="shared" si="36"/>
        <v>#VALUE!</v>
      </c>
      <c r="H1196" s="63" t="e">
        <f t="shared" si="37"/>
        <v>#VALUE!</v>
      </c>
    </row>
    <row r="1197" spans="7:8">
      <c r="G1197" s="63" t="e">
        <f t="shared" si="36"/>
        <v>#VALUE!</v>
      </c>
      <c r="H1197" s="63" t="e">
        <f t="shared" si="37"/>
        <v>#VALUE!</v>
      </c>
    </row>
    <row r="1198" spans="7:8">
      <c r="G1198" s="63" t="e">
        <f t="shared" si="36"/>
        <v>#VALUE!</v>
      </c>
      <c r="H1198" s="63" t="e">
        <f t="shared" si="37"/>
        <v>#VALUE!</v>
      </c>
    </row>
    <row r="1199" spans="7:8">
      <c r="G1199" s="63" t="e">
        <f t="shared" si="36"/>
        <v>#VALUE!</v>
      </c>
      <c r="H1199" s="63" t="e">
        <f t="shared" si="37"/>
        <v>#VALUE!</v>
      </c>
    </row>
    <row r="1200" spans="7:8">
      <c r="G1200" s="63" t="e">
        <f t="shared" si="36"/>
        <v>#VALUE!</v>
      </c>
      <c r="H1200" s="63" t="e">
        <f t="shared" si="37"/>
        <v>#VALUE!</v>
      </c>
    </row>
    <row r="1201" spans="7:8">
      <c r="G1201" s="63" t="e">
        <f t="shared" si="36"/>
        <v>#VALUE!</v>
      </c>
      <c r="H1201" s="63" t="e">
        <f t="shared" si="37"/>
        <v>#VALUE!</v>
      </c>
    </row>
    <row r="1202" spans="7:8">
      <c r="G1202" s="63" t="e">
        <f t="shared" si="36"/>
        <v>#VALUE!</v>
      </c>
      <c r="H1202" s="63" t="e">
        <f t="shared" si="37"/>
        <v>#VALUE!</v>
      </c>
    </row>
    <row r="1203" spans="7:8">
      <c r="G1203" s="63" t="e">
        <f t="shared" si="36"/>
        <v>#VALUE!</v>
      </c>
      <c r="H1203" s="63" t="e">
        <f t="shared" si="37"/>
        <v>#VALUE!</v>
      </c>
    </row>
    <row r="1204" spans="7:8">
      <c r="G1204" s="63" t="e">
        <f t="shared" si="36"/>
        <v>#VALUE!</v>
      </c>
      <c r="H1204" s="63" t="e">
        <f t="shared" si="37"/>
        <v>#VALUE!</v>
      </c>
    </row>
    <row r="1205" spans="7:8">
      <c r="G1205" s="63" t="e">
        <f t="shared" si="36"/>
        <v>#VALUE!</v>
      </c>
      <c r="H1205" s="63" t="e">
        <f t="shared" si="37"/>
        <v>#VALUE!</v>
      </c>
    </row>
    <row r="1206" spans="7:8">
      <c r="G1206" s="63" t="e">
        <f t="shared" si="36"/>
        <v>#VALUE!</v>
      </c>
      <c r="H1206" s="63" t="e">
        <f t="shared" si="37"/>
        <v>#VALUE!</v>
      </c>
    </row>
    <row r="1207" spans="7:8">
      <c r="G1207" s="63" t="e">
        <f t="shared" si="36"/>
        <v>#VALUE!</v>
      </c>
      <c r="H1207" s="63" t="e">
        <f t="shared" si="37"/>
        <v>#VALUE!</v>
      </c>
    </row>
    <row r="1208" spans="7:8">
      <c r="G1208" s="63" t="e">
        <f t="shared" si="36"/>
        <v>#VALUE!</v>
      </c>
      <c r="H1208" s="63" t="e">
        <f t="shared" si="37"/>
        <v>#VALUE!</v>
      </c>
    </row>
    <row r="1209" spans="7:8">
      <c r="G1209" s="63" t="e">
        <f t="shared" si="36"/>
        <v>#VALUE!</v>
      </c>
      <c r="H1209" s="63" t="e">
        <f t="shared" si="37"/>
        <v>#VALUE!</v>
      </c>
    </row>
    <row r="1210" spans="7:8">
      <c r="G1210" s="63" t="e">
        <f t="shared" si="36"/>
        <v>#VALUE!</v>
      </c>
      <c r="H1210" s="63" t="e">
        <f t="shared" si="37"/>
        <v>#VALUE!</v>
      </c>
    </row>
    <row r="1211" spans="7:8">
      <c r="G1211" s="63" t="e">
        <f t="shared" si="36"/>
        <v>#VALUE!</v>
      </c>
      <c r="H1211" s="63" t="e">
        <f t="shared" si="37"/>
        <v>#VALUE!</v>
      </c>
    </row>
    <row r="1212" spans="7:8">
      <c r="G1212" s="63" t="e">
        <f t="shared" si="36"/>
        <v>#VALUE!</v>
      </c>
      <c r="H1212" s="63" t="e">
        <f t="shared" si="37"/>
        <v>#VALUE!</v>
      </c>
    </row>
    <row r="1213" spans="7:8">
      <c r="G1213" s="63" t="e">
        <f t="shared" si="36"/>
        <v>#VALUE!</v>
      </c>
      <c r="H1213" s="63" t="e">
        <f t="shared" si="37"/>
        <v>#VALUE!</v>
      </c>
    </row>
    <row r="1214" spans="7:8">
      <c r="G1214" s="63" t="e">
        <f t="shared" si="36"/>
        <v>#VALUE!</v>
      </c>
      <c r="H1214" s="63" t="e">
        <f t="shared" si="37"/>
        <v>#VALUE!</v>
      </c>
    </row>
    <row r="1215" spans="7:8">
      <c r="G1215" s="63" t="e">
        <f t="shared" si="36"/>
        <v>#VALUE!</v>
      </c>
      <c r="H1215" s="63" t="e">
        <f t="shared" si="37"/>
        <v>#VALUE!</v>
      </c>
    </row>
    <row r="1216" spans="7:8">
      <c r="G1216" s="63" t="e">
        <f t="shared" si="36"/>
        <v>#VALUE!</v>
      </c>
      <c r="H1216" s="63" t="e">
        <f t="shared" si="37"/>
        <v>#VALUE!</v>
      </c>
    </row>
    <row r="1217" spans="7:8">
      <c r="G1217" s="63" t="e">
        <f t="shared" si="36"/>
        <v>#VALUE!</v>
      </c>
      <c r="H1217" s="63" t="e">
        <f t="shared" si="37"/>
        <v>#VALUE!</v>
      </c>
    </row>
    <row r="1218" spans="7:8">
      <c r="G1218" s="63" t="e">
        <f t="shared" si="36"/>
        <v>#VALUE!</v>
      </c>
      <c r="H1218" s="63" t="e">
        <f t="shared" si="37"/>
        <v>#VALUE!</v>
      </c>
    </row>
    <row r="1219" spans="7:8">
      <c r="G1219" s="63" t="e">
        <f t="shared" ref="G1219:G1282" si="38">IF(OR(A1219="RID_PB77",A1219="RID_PB77A3"),"WPCI77",IF(A1219="RIDTCIAS","CSCI49",IF(A1219="RID_HCPTM","CHCPT_",IF(LEFT(A1219,1)="C",A1219,MID(A1219,6,LEN(A1219)-5)))))</f>
        <v>#VALUE!</v>
      </c>
      <c r="H1219" s="63" t="e">
        <f t="shared" ref="H1219:H1282" si="39">IF(OR(G1219="MJG1",G1219="MJG2"),"MJG",G1219)&amp;"_"&amp;B1219</f>
        <v>#VALUE!</v>
      </c>
    </row>
    <row r="1220" spans="7:8">
      <c r="G1220" s="63" t="e">
        <f t="shared" si="38"/>
        <v>#VALUE!</v>
      </c>
      <c r="H1220" s="63" t="e">
        <f t="shared" si="39"/>
        <v>#VALUE!</v>
      </c>
    </row>
    <row r="1221" spans="7:8">
      <c r="G1221" s="63" t="e">
        <f t="shared" si="38"/>
        <v>#VALUE!</v>
      </c>
      <c r="H1221" s="63" t="e">
        <f t="shared" si="39"/>
        <v>#VALUE!</v>
      </c>
    </row>
    <row r="1222" spans="7:8">
      <c r="G1222" s="63" t="e">
        <f t="shared" si="38"/>
        <v>#VALUE!</v>
      </c>
      <c r="H1222" s="63" t="e">
        <f t="shared" si="39"/>
        <v>#VALUE!</v>
      </c>
    </row>
    <row r="1223" spans="7:8">
      <c r="G1223" s="63" t="e">
        <f t="shared" si="38"/>
        <v>#VALUE!</v>
      </c>
      <c r="H1223" s="63" t="e">
        <f t="shared" si="39"/>
        <v>#VALUE!</v>
      </c>
    </row>
    <row r="1224" spans="7:8">
      <c r="G1224" s="63" t="e">
        <f t="shared" si="38"/>
        <v>#VALUE!</v>
      </c>
      <c r="H1224" s="63" t="e">
        <f t="shared" si="39"/>
        <v>#VALUE!</v>
      </c>
    </row>
    <row r="1225" spans="7:8">
      <c r="G1225" s="63" t="e">
        <f t="shared" si="38"/>
        <v>#VALUE!</v>
      </c>
      <c r="H1225" s="63" t="e">
        <f t="shared" si="39"/>
        <v>#VALUE!</v>
      </c>
    </row>
    <row r="1226" spans="7:8">
      <c r="G1226" s="63" t="e">
        <f t="shared" si="38"/>
        <v>#VALUE!</v>
      </c>
      <c r="H1226" s="63" t="e">
        <f t="shared" si="39"/>
        <v>#VALUE!</v>
      </c>
    </row>
    <row r="1227" spans="7:8">
      <c r="G1227" s="63" t="e">
        <f t="shared" si="38"/>
        <v>#VALUE!</v>
      </c>
      <c r="H1227" s="63" t="e">
        <f t="shared" si="39"/>
        <v>#VALUE!</v>
      </c>
    </row>
    <row r="1228" spans="7:8">
      <c r="G1228" s="63" t="e">
        <f t="shared" si="38"/>
        <v>#VALUE!</v>
      </c>
      <c r="H1228" s="63" t="e">
        <f t="shared" si="39"/>
        <v>#VALUE!</v>
      </c>
    </row>
    <row r="1229" spans="7:8">
      <c r="G1229" s="63" t="e">
        <f t="shared" si="38"/>
        <v>#VALUE!</v>
      </c>
      <c r="H1229" s="63" t="e">
        <f t="shared" si="39"/>
        <v>#VALUE!</v>
      </c>
    </row>
    <row r="1230" spans="7:8">
      <c r="G1230" s="63" t="e">
        <f t="shared" si="38"/>
        <v>#VALUE!</v>
      </c>
      <c r="H1230" s="63" t="e">
        <f t="shared" si="39"/>
        <v>#VALUE!</v>
      </c>
    </row>
    <row r="1231" spans="7:8">
      <c r="G1231" s="63" t="e">
        <f t="shared" si="38"/>
        <v>#VALUE!</v>
      </c>
      <c r="H1231" s="63" t="e">
        <f t="shared" si="39"/>
        <v>#VALUE!</v>
      </c>
    </row>
    <row r="1232" spans="7:8">
      <c r="G1232" s="63" t="e">
        <f t="shared" si="38"/>
        <v>#VALUE!</v>
      </c>
      <c r="H1232" s="63" t="e">
        <f t="shared" si="39"/>
        <v>#VALUE!</v>
      </c>
    </row>
    <row r="1233" spans="7:8">
      <c r="G1233" s="63" t="e">
        <f t="shared" si="38"/>
        <v>#VALUE!</v>
      </c>
      <c r="H1233" s="63" t="e">
        <f t="shared" si="39"/>
        <v>#VALUE!</v>
      </c>
    </row>
    <row r="1234" spans="7:8">
      <c r="G1234" s="63" t="e">
        <f t="shared" si="38"/>
        <v>#VALUE!</v>
      </c>
      <c r="H1234" s="63" t="e">
        <f t="shared" si="39"/>
        <v>#VALUE!</v>
      </c>
    </row>
    <row r="1235" spans="7:8">
      <c r="G1235" s="63" t="e">
        <f t="shared" si="38"/>
        <v>#VALUE!</v>
      </c>
      <c r="H1235" s="63" t="e">
        <f t="shared" si="39"/>
        <v>#VALUE!</v>
      </c>
    </row>
    <row r="1236" spans="7:8">
      <c r="G1236" s="63" t="e">
        <f t="shared" si="38"/>
        <v>#VALUE!</v>
      </c>
      <c r="H1236" s="63" t="e">
        <f t="shared" si="39"/>
        <v>#VALUE!</v>
      </c>
    </row>
    <row r="1237" spans="7:8">
      <c r="G1237" s="63" t="e">
        <f t="shared" si="38"/>
        <v>#VALUE!</v>
      </c>
      <c r="H1237" s="63" t="e">
        <f t="shared" si="39"/>
        <v>#VALUE!</v>
      </c>
    </row>
    <row r="1238" spans="7:8">
      <c r="G1238" s="63" t="e">
        <f t="shared" si="38"/>
        <v>#VALUE!</v>
      </c>
      <c r="H1238" s="63" t="e">
        <f t="shared" si="39"/>
        <v>#VALUE!</v>
      </c>
    </row>
    <row r="1239" spans="7:8">
      <c r="G1239" s="63" t="e">
        <f t="shared" si="38"/>
        <v>#VALUE!</v>
      </c>
      <c r="H1239" s="63" t="e">
        <f t="shared" si="39"/>
        <v>#VALUE!</v>
      </c>
    </row>
    <row r="1240" spans="7:8">
      <c r="G1240" s="63" t="e">
        <f t="shared" si="38"/>
        <v>#VALUE!</v>
      </c>
      <c r="H1240" s="63" t="e">
        <f t="shared" si="39"/>
        <v>#VALUE!</v>
      </c>
    </row>
    <row r="1241" spans="7:8">
      <c r="G1241" s="63" t="e">
        <f t="shared" si="38"/>
        <v>#VALUE!</v>
      </c>
      <c r="H1241" s="63" t="e">
        <f t="shared" si="39"/>
        <v>#VALUE!</v>
      </c>
    </row>
    <row r="1242" spans="7:8">
      <c r="G1242" s="63" t="e">
        <f t="shared" si="38"/>
        <v>#VALUE!</v>
      </c>
      <c r="H1242" s="63" t="e">
        <f t="shared" si="39"/>
        <v>#VALUE!</v>
      </c>
    </row>
    <row r="1243" spans="7:8">
      <c r="G1243" s="63" t="e">
        <f t="shared" si="38"/>
        <v>#VALUE!</v>
      </c>
      <c r="H1243" s="63" t="e">
        <f t="shared" si="39"/>
        <v>#VALUE!</v>
      </c>
    </row>
    <row r="1244" spans="7:8">
      <c r="G1244" s="63" t="e">
        <f t="shared" si="38"/>
        <v>#VALUE!</v>
      </c>
      <c r="H1244" s="63" t="e">
        <f t="shared" si="39"/>
        <v>#VALUE!</v>
      </c>
    </row>
    <row r="1245" spans="7:8">
      <c r="G1245" s="63" t="e">
        <f t="shared" si="38"/>
        <v>#VALUE!</v>
      </c>
      <c r="H1245" s="63" t="e">
        <f t="shared" si="39"/>
        <v>#VALUE!</v>
      </c>
    </row>
    <row r="1246" spans="7:8">
      <c r="G1246" s="63" t="e">
        <f t="shared" si="38"/>
        <v>#VALUE!</v>
      </c>
      <c r="H1246" s="63" t="e">
        <f t="shared" si="39"/>
        <v>#VALUE!</v>
      </c>
    </row>
    <row r="1247" spans="7:8">
      <c r="G1247" s="63" t="e">
        <f t="shared" si="38"/>
        <v>#VALUE!</v>
      </c>
      <c r="H1247" s="63" t="e">
        <f t="shared" si="39"/>
        <v>#VALUE!</v>
      </c>
    </row>
    <row r="1248" spans="7:8">
      <c r="G1248" s="63" t="e">
        <f t="shared" si="38"/>
        <v>#VALUE!</v>
      </c>
      <c r="H1248" s="63" t="e">
        <f t="shared" si="39"/>
        <v>#VALUE!</v>
      </c>
    </row>
    <row r="1249" spans="7:8">
      <c r="G1249" s="63" t="e">
        <f t="shared" si="38"/>
        <v>#VALUE!</v>
      </c>
      <c r="H1249" s="63" t="e">
        <f t="shared" si="39"/>
        <v>#VALUE!</v>
      </c>
    </row>
    <row r="1250" spans="7:8">
      <c r="G1250" s="63" t="e">
        <f t="shared" si="38"/>
        <v>#VALUE!</v>
      </c>
      <c r="H1250" s="63" t="e">
        <f t="shared" si="39"/>
        <v>#VALUE!</v>
      </c>
    </row>
    <row r="1251" spans="7:8">
      <c r="G1251" s="63" t="e">
        <f t="shared" si="38"/>
        <v>#VALUE!</v>
      </c>
      <c r="H1251" s="63" t="e">
        <f t="shared" si="39"/>
        <v>#VALUE!</v>
      </c>
    </row>
    <row r="1252" spans="7:8">
      <c r="G1252" s="63" t="e">
        <f t="shared" si="38"/>
        <v>#VALUE!</v>
      </c>
      <c r="H1252" s="63" t="e">
        <f t="shared" si="39"/>
        <v>#VALUE!</v>
      </c>
    </row>
    <row r="1253" spans="7:8">
      <c r="G1253" s="63" t="e">
        <f t="shared" si="38"/>
        <v>#VALUE!</v>
      </c>
      <c r="H1253" s="63" t="e">
        <f t="shared" si="39"/>
        <v>#VALUE!</v>
      </c>
    </row>
    <row r="1254" spans="7:8">
      <c r="G1254" s="63" t="e">
        <f t="shared" si="38"/>
        <v>#VALUE!</v>
      </c>
      <c r="H1254" s="63" t="e">
        <f t="shared" si="39"/>
        <v>#VALUE!</v>
      </c>
    </row>
    <row r="1255" spans="7:8">
      <c r="G1255" s="63" t="e">
        <f t="shared" si="38"/>
        <v>#VALUE!</v>
      </c>
      <c r="H1255" s="63" t="e">
        <f t="shared" si="39"/>
        <v>#VALUE!</v>
      </c>
    </row>
    <row r="1256" spans="7:8">
      <c r="G1256" s="63" t="e">
        <f t="shared" si="38"/>
        <v>#VALUE!</v>
      </c>
      <c r="H1256" s="63" t="e">
        <f t="shared" si="39"/>
        <v>#VALUE!</v>
      </c>
    </row>
    <row r="1257" spans="7:8">
      <c r="G1257" s="63" t="e">
        <f t="shared" si="38"/>
        <v>#VALUE!</v>
      </c>
      <c r="H1257" s="63" t="e">
        <f t="shared" si="39"/>
        <v>#VALUE!</v>
      </c>
    </row>
    <row r="1258" spans="7:8">
      <c r="G1258" s="63" t="e">
        <f t="shared" si="38"/>
        <v>#VALUE!</v>
      </c>
      <c r="H1258" s="63" t="e">
        <f t="shared" si="39"/>
        <v>#VALUE!</v>
      </c>
    </row>
    <row r="1259" spans="7:8">
      <c r="G1259" s="63" t="e">
        <f t="shared" si="38"/>
        <v>#VALUE!</v>
      </c>
      <c r="H1259" s="63" t="e">
        <f t="shared" si="39"/>
        <v>#VALUE!</v>
      </c>
    </row>
    <row r="1260" spans="7:8">
      <c r="G1260" s="63" t="e">
        <f t="shared" si="38"/>
        <v>#VALUE!</v>
      </c>
      <c r="H1260" s="63" t="e">
        <f t="shared" si="39"/>
        <v>#VALUE!</v>
      </c>
    </row>
    <row r="1261" spans="7:8">
      <c r="G1261" s="63" t="e">
        <f t="shared" si="38"/>
        <v>#VALUE!</v>
      </c>
      <c r="H1261" s="63" t="e">
        <f t="shared" si="39"/>
        <v>#VALUE!</v>
      </c>
    </row>
    <row r="1262" spans="7:8">
      <c r="G1262" s="63" t="e">
        <f t="shared" si="38"/>
        <v>#VALUE!</v>
      </c>
      <c r="H1262" s="63" t="e">
        <f t="shared" si="39"/>
        <v>#VALUE!</v>
      </c>
    </row>
    <row r="1263" spans="7:8">
      <c r="G1263" s="63" t="e">
        <f t="shared" si="38"/>
        <v>#VALUE!</v>
      </c>
      <c r="H1263" s="63" t="e">
        <f t="shared" si="39"/>
        <v>#VALUE!</v>
      </c>
    </row>
    <row r="1264" spans="7:8">
      <c r="G1264" s="63" t="e">
        <f t="shared" si="38"/>
        <v>#VALUE!</v>
      </c>
      <c r="H1264" s="63" t="e">
        <f t="shared" si="39"/>
        <v>#VALUE!</v>
      </c>
    </row>
    <row r="1265" spans="7:8">
      <c r="G1265" s="63" t="e">
        <f t="shared" si="38"/>
        <v>#VALUE!</v>
      </c>
      <c r="H1265" s="63" t="e">
        <f t="shared" si="39"/>
        <v>#VALUE!</v>
      </c>
    </row>
    <row r="1266" spans="7:8">
      <c r="G1266" s="63" t="e">
        <f t="shared" si="38"/>
        <v>#VALUE!</v>
      </c>
      <c r="H1266" s="63" t="e">
        <f t="shared" si="39"/>
        <v>#VALUE!</v>
      </c>
    </row>
    <row r="1267" spans="7:8">
      <c r="G1267" s="63" t="e">
        <f t="shared" si="38"/>
        <v>#VALUE!</v>
      </c>
      <c r="H1267" s="63" t="e">
        <f t="shared" si="39"/>
        <v>#VALUE!</v>
      </c>
    </row>
    <row r="1268" spans="7:8">
      <c r="G1268" s="63" t="e">
        <f t="shared" si="38"/>
        <v>#VALUE!</v>
      </c>
      <c r="H1268" s="63" t="e">
        <f t="shared" si="39"/>
        <v>#VALUE!</v>
      </c>
    </row>
    <row r="1269" spans="7:8">
      <c r="G1269" s="63" t="e">
        <f t="shared" si="38"/>
        <v>#VALUE!</v>
      </c>
      <c r="H1269" s="63" t="e">
        <f t="shared" si="39"/>
        <v>#VALUE!</v>
      </c>
    </row>
    <row r="1270" spans="7:8">
      <c r="G1270" s="63" t="e">
        <f t="shared" si="38"/>
        <v>#VALUE!</v>
      </c>
      <c r="H1270" s="63" t="e">
        <f t="shared" si="39"/>
        <v>#VALUE!</v>
      </c>
    </row>
    <row r="1271" spans="7:8">
      <c r="G1271" s="63" t="e">
        <f t="shared" si="38"/>
        <v>#VALUE!</v>
      </c>
      <c r="H1271" s="63" t="e">
        <f t="shared" si="39"/>
        <v>#VALUE!</v>
      </c>
    </row>
    <row r="1272" spans="7:8">
      <c r="G1272" s="63" t="e">
        <f t="shared" si="38"/>
        <v>#VALUE!</v>
      </c>
      <c r="H1272" s="63" t="e">
        <f t="shared" si="39"/>
        <v>#VALUE!</v>
      </c>
    </row>
    <row r="1273" spans="7:8">
      <c r="G1273" s="63" t="e">
        <f t="shared" si="38"/>
        <v>#VALUE!</v>
      </c>
      <c r="H1273" s="63" t="e">
        <f t="shared" si="39"/>
        <v>#VALUE!</v>
      </c>
    </row>
    <row r="1274" spans="7:8">
      <c r="G1274" s="63" t="e">
        <f t="shared" si="38"/>
        <v>#VALUE!</v>
      </c>
      <c r="H1274" s="63" t="e">
        <f t="shared" si="39"/>
        <v>#VALUE!</v>
      </c>
    </row>
    <row r="1275" spans="7:8">
      <c r="G1275" s="63" t="e">
        <f t="shared" si="38"/>
        <v>#VALUE!</v>
      </c>
      <c r="H1275" s="63" t="e">
        <f t="shared" si="39"/>
        <v>#VALUE!</v>
      </c>
    </row>
    <row r="1276" spans="7:8">
      <c r="G1276" s="63" t="e">
        <f t="shared" si="38"/>
        <v>#VALUE!</v>
      </c>
      <c r="H1276" s="63" t="e">
        <f t="shared" si="39"/>
        <v>#VALUE!</v>
      </c>
    </row>
    <row r="1277" spans="7:8">
      <c r="G1277" s="63" t="e">
        <f t="shared" si="38"/>
        <v>#VALUE!</v>
      </c>
      <c r="H1277" s="63" t="e">
        <f t="shared" si="39"/>
        <v>#VALUE!</v>
      </c>
    </row>
    <row r="1278" spans="7:8">
      <c r="G1278" s="63" t="e">
        <f t="shared" si="38"/>
        <v>#VALUE!</v>
      </c>
      <c r="H1278" s="63" t="e">
        <f t="shared" si="39"/>
        <v>#VALUE!</v>
      </c>
    </row>
    <row r="1279" spans="7:8">
      <c r="G1279" s="63" t="e">
        <f t="shared" si="38"/>
        <v>#VALUE!</v>
      </c>
      <c r="H1279" s="63" t="e">
        <f t="shared" si="39"/>
        <v>#VALUE!</v>
      </c>
    </row>
    <row r="1280" spans="7:8">
      <c r="G1280" s="63" t="e">
        <f t="shared" si="38"/>
        <v>#VALUE!</v>
      </c>
      <c r="H1280" s="63" t="e">
        <f t="shared" si="39"/>
        <v>#VALUE!</v>
      </c>
    </row>
    <row r="1281" spans="7:8">
      <c r="G1281" s="63" t="e">
        <f t="shared" si="38"/>
        <v>#VALUE!</v>
      </c>
      <c r="H1281" s="63" t="e">
        <f t="shared" si="39"/>
        <v>#VALUE!</v>
      </c>
    </row>
    <row r="1282" spans="7:8">
      <c r="G1282" s="63" t="e">
        <f t="shared" si="38"/>
        <v>#VALUE!</v>
      </c>
      <c r="H1282" s="63" t="e">
        <f t="shared" si="39"/>
        <v>#VALUE!</v>
      </c>
    </row>
    <row r="1283" spans="7:8">
      <c r="G1283" s="63" t="e">
        <f t="shared" ref="G1283:G1346" si="40">IF(OR(A1283="RID_PB77",A1283="RID_PB77A3"),"WPCI77",IF(A1283="RIDTCIAS","CSCI49",IF(A1283="RID_HCPTM","CHCPT_",IF(LEFT(A1283,1)="C",A1283,MID(A1283,6,LEN(A1283)-5)))))</f>
        <v>#VALUE!</v>
      </c>
      <c r="H1283" s="63" t="e">
        <f t="shared" ref="H1283:H1346" si="41">IF(OR(G1283="MJG1",G1283="MJG2"),"MJG",G1283)&amp;"_"&amp;B1283</f>
        <v>#VALUE!</v>
      </c>
    </row>
    <row r="1284" spans="7:8">
      <c r="G1284" s="63" t="e">
        <f t="shared" si="40"/>
        <v>#VALUE!</v>
      </c>
      <c r="H1284" s="63" t="e">
        <f t="shared" si="41"/>
        <v>#VALUE!</v>
      </c>
    </row>
    <row r="1285" spans="7:8">
      <c r="G1285" s="63" t="e">
        <f t="shared" si="40"/>
        <v>#VALUE!</v>
      </c>
      <c r="H1285" s="63" t="e">
        <f t="shared" si="41"/>
        <v>#VALUE!</v>
      </c>
    </row>
    <row r="1286" spans="7:8">
      <c r="G1286" s="63" t="e">
        <f t="shared" si="40"/>
        <v>#VALUE!</v>
      </c>
      <c r="H1286" s="63" t="e">
        <f t="shared" si="41"/>
        <v>#VALUE!</v>
      </c>
    </row>
    <row r="1287" spans="7:8">
      <c r="G1287" s="63" t="e">
        <f t="shared" si="40"/>
        <v>#VALUE!</v>
      </c>
      <c r="H1287" s="63" t="e">
        <f t="shared" si="41"/>
        <v>#VALUE!</v>
      </c>
    </row>
    <row r="1288" spans="7:8">
      <c r="G1288" s="63" t="e">
        <f t="shared" si="40"/>
        <v>#VALUE!</v>
      </c>
      <c r="H1288" s="63" t="e">
        <f t="shared" si="41"/>
        <v>#VALUE!</v>
      </c>
    </row>
    <row r="1289" spans="7:8">
      <c r="G1289" s="63" t="e">
        <f t="shared" si="40"/>
        <v>#VALUE!</v>
      </c>
      <c r="H1289" s="63" t="e">
        <f t="shared" si="41"/>
        <v>#VALUE!</v>
      </c>
    </row>
    <row r="1290" spans="7:8">
      <c r="G1290" s="63" t="e">
        <f t="shared" si="40"/>
        <v>#VALUE!</v>
      </c>
      <c r="H1290" s="63" t="e">
        <f t="shared" si="41"/>
        <v>#VALUE!</v>
      </c>
    </row>
    <row r="1291" spans="7:8">
      <c r="G1291" s="63" t="e">
        <f t="shared" si="40"/>
        <v>#VALUE!</v>
      </c>
      <c r="H1291" s="63" t="e">
        <f t="shared" si="41"/>
        <v>#VALUE!</v>
      </c>
    </row>
    <row r="1292" spans="7:8">
      <c r="G1292" s="63" t="e">
        <f t="shared" si="40"/>
        <v>#VALUE!</v>
      </c>
      <c r="H1292" s="63" t="e">
        <f t="shared" si="41"/>
        <v>#VALUE!</v>
      </c>
    </row>
    <row r="1293" spans="7:8">
      <c r="G1293" s="63" t="e">
        <f t="shared" si="40"/>
        <v>#VALUE!</v>
      </c>
      <c r="H1293" s="63" t="e">
        <f t="shared" si="41"/>
        <v>#VALUE!</v>
      </c>
    </row>
    <row r="1294" spans="7:8">
      <c r="G1294" s="63" t="e">
        <f t="shared" si="40"/>
        <v>#VALUE!</v>
      </c>
      <c r="H1294" s="63" t="e">
        <f t="shared" si="41"/>
        <v>#VALUE!</v>
      </c>
    </row>
    <row r="1295" spans="7:8">
      <c r="G1295" s="63" t="e">
        <f t="shared" si="40"/>
        <v>#VALUE!</v>
      </c>
      <c r="H1295" s="63" t="e">
        <f t="shared" si="41"/>
        <v>#VALUE!</v>
      </c>
    </row>
    <row r="1296" spans="7:8">
      <c r="G1296" s="63" t="e">
        <f t="shared" si="40"/>
        <v>#VALUE!</v>
      </c>
      <c r="H1296" s="63" t="e">
        <f t="shared" si="41"/>
        <v>#VALUE!</v>
      </c>
    </row>
    <row r="1297" spans="7:8">
      <c r="G1297" s="63" t="e">
        <f t="shared" si="40"/>
        <v>#VALUE!</v>
      </c>
      <c r="H1297" s="63" t="e">
        <f t="shared" si="41"/>
        <v>#VALUE!</v>
      </c>
    </row>
    <row r="1298" spans="7:8">
      <c r="G1298" s="63" t="e">
        <f t="shared" si="40"/>
        <v>#VALUE!</v>
      </c>
      <c r="H1298" s="63" t="e">
        <f t="shared" si="41"/>
        <v>#VALUE!</v>
      </c>
    </row>
    <row r="1299" spans="7:8">
      <c r="G1299" s="63" t="e">
        <f t="shared" si="40"/>
        <v>#VALUE!</v>
      </c>
      <c r="H1299" s="63" t="e">
        <f t="shared" si="41"/>
        <v>#VALUE!</v>
      </c>
    </row>
    <row r="1300" spans="7:8">
      <c r="G1300" s="63" t="e">
        <f t="shared" si="40"/>
        <v>#VALUE!</v>
      </c>
      <c r="H1300" s="63" t="e">
        <f t="shared" si="41"/>
        <v>#VALUE!</v>
      </c>
    </row>
    <row r="1301" spans="7:8">
      <c r="G1301" s="63" t="e">
        <f t="shared" si="40"/>
        <v>#VALUE!</v>
      </c>
      <c r="H1301" s="63" t="e">
        <f t="shared" si="41"/>
        <v>#VALUE!</v>
      </c>
    </row>
    <row r="1302" spans="7:8">
      <c r="G1302" s="63" t="e">
        <f t="shared" si="40"/>
        <v>#VALUE!</v>
      </c>
      <c r="H1302" s="63" t="e">
        <f t="shared" si="41"/>
        <v>#VALUE!</v>
      </c>
    </row>
    <row r="1303" spans="7:8">
      <c r="G1303" s="63" t="e">
        <f t="shared" si="40"/>
        <v>#VALUE!</v>
      </c>
      <c r="H1303" s="63" t="e">
        <f t="shared" si="41"/>
        <v>#VALUE!</v>
      </c>
    </row>
    <row r="1304" spans="7:8">
      <c r="G1304" s="63" t="e">
        <f t="shared" si="40"/>
        <v>#VALUE!</v>
      </c>
      <c r="H1304" s="63" t="e">
        <f t="shared" si="41"/>
        <v>#VALUE!</v>
      </c>
    </row>
    <row r="1305" spans="7:8">
      <c r="G1305" s="63" t="e">
        <f t="shared" si="40"/>
        <v>#VALUE!</v>
      </c>
      <c r="H1305" s="63" t="e">
        <f t="shared" si="41"/>
        <v>#VALUE!</v>
      </c>
    </row>
    <row r="1306" spans="7:8">
      <c r="G1306" s="63" t="e">
        <f t="shared" si="40"/>
        <v>#VALUE!</v>
      </c>
      <c r="H1306" s="63" t="e">
        <f t="shared" si="41"/>
        <v>#VALUE!</v>
      </c>
    </row>
    <row r="1307" spans="7:8">
      <c r="G1307" s="63" t="e">
        <f t="shared" si="40"/>
        <v>#VALUE!</v>
      </c>
      <c r="H1307" s="63" t="e">
        <f t="shared" si="41"/>
        <v>#VALUE!</v>
      </c>
    </row>
    <row r="1308" spans="7:8">
      <c r="G1308" s="63" t="e">
        <f t="shared" si="40"/>
        <v>#VALUE!</v>
      </c>
      <c r="H1308" s="63" t="e">
        <f t="shared" si="41"/>
        <v>#VALUE!</v>
      </c>
    </row>
    <row r="1309" spans="7:8">
      <c r="G1309" s="63" t="e">
        <f t="shared" si="40"/>
        <v>#VALUE!</v>
      </c>
      <c r="H1309" s="63" t="e">
        <f t="shared" si="41"/>
        <v>#VALUE!</v>
      </c>
    </row>
    <row r="1310" spans="7:8">
      <c r="G1310" s="63" t="e">
        <f t="shared" si="40"/>
        <v>#VALUE!</v>
      </c>
      <c r="H1310" s="63" t="e">
        <f t="shared" si="41"/>
        <v>#VALUE!</v>
      </c>
    </row>
    <row r="1311" spans="7:8">
      <c r="G1311" s="63" t="e">
        <f t="shared" si="40"/>
        <v>#VALUE!</v>
      </c>
      <c r="H1311" s="63" t="e">
        <f t="shared" si="41"/>
        <v>#VALUE!</v>
      </c>
    </row>
    <row r="1312" spans="7:8">
      <c r="G1312" s="63" t="e">
        <f t="shared" si="40"/>
        <v>#VALUE!</v>
      </c>
      <c r="H1312" s="63" t="e">
        <f t="shared" si="41"/>
        <v>#VALUE!</v>
      </c>
    </row>
    <row r="1313" spans="7:8">
      <c r="G1313" s="63" t="e">
        <f t="shared" si="40"/>
        <v>#VALUE!</v>
      </c>
      <c r="H1313" s="63" t="e">
        <f t="shared" si="41"/>
        <v>#VALUE!</v>
      </c>
    </row>
    <row r="1314" spans="7:8">
      <c r="G1314" s="63" t="e">
        <f t="shared" si="40"/>
        <v>#VALUE!</v>
      </c>
      <c r="H1314" s="63" t="e">
        <f t="shared" si="41"/>
        <v>#VALUE!</v>
      </c>
    </row>
    <row r="1315" spans="7:8">
      <c r="G1315" s="63" t="e">
        <f t="shared" si="40"/>
        <v>#VALUE!</v>
      </c>
      <c r="H1315" s="63" t="e">
        <f t="shared" si="41"/>
        <v>#VALUE!</v>
      </c>
    </row>
    <row r="1316" spans="7:8">
      <c r="G1316" s="63" t="e">
        <f t="shared" si="40"/>
        <v>#VALUE!</v>
      </c>
      <c r="H1316" s="63" t="e">
        <f t="shared" si="41"/>
        <v>#VALUE!</v>
      </c>
    </row>
    <row r="1317" spans="7:8">
      <c r="G1317" s="63" t="e">
        <f t="shared" si="40"/>
        <v>#VALUE!</v>
      </c>
      <c r="H1317" s="63" t="e">
        <f t="shared" si="41"/>
        <v>#VALUE!</v>
      </c>
    </row>
    <row r="1318" spans="7:8">
      <c r="G1318" s="63" t="e">
        <f t="shared" si="40"/>
        <v>#VALUE!</v>
      </c>
      <c r="H1318" s="63" t="e">
        <f t="shared" si="41"/>
        <v>#VALUE!</v>
      </c>
    </row>
    <row r="1319" spans="7:8">
      <c r="G1319" s="63" t="e">
        <f t="shared" si="40"/>
        <v>#VALUE!</v>
      </c>
      <c r="H1319" s="63" t="e">
        <f t="shared" si="41"/>
        <v>#VALUE!</v>
      </c>
    </row>
    <row r="1320" spans="7:8">
      <c r="G1320" s="63" t="e">
        <f t="shared" si="40"/>
        <v>#VALUE!</v>
      </c>
      <c r="H1320" s="63" t="e">
        <f t="shared" si="41"/>
        <v>#VALUE!</v>
      </c>
    </row>
    <row r="1321" spans="7:8">
      <c r="G1321" s="63" t="e">
        <f t="shared" si="40"/>
        <v>#VALUE!</v>
      </c>
      <c r="H1321" s="63" t="e">
        <f t="shared" si="41"/>
        <v>#VALUE!</v>
      </c>
    </row>
    <row r="1322" spans="7:8">
      <c r="G1322" s="63" t="e">
        <f t="shared" si="40"/>
        <v>#VALUE!</v>
      </c>
      <c r="H1322" s="63" t="e">
        <f t="shared" si="41"/>
        <v>#VALUE!</v>
      </c>
    </row>
    <row r="1323" spans="7:8">
      <c r="G1323" s="63" t="e">
        <f t="shared" si="40"/>
        <v>#VALUE!</v>
      </c>
      <c r="H1323" s="63" t="e">
        <f t="shared" si="41"/>
        <v>#VALUE!</v>
      </c>
    </row>
    <row r="1324" spans="7:8">
      <c r="G1324" s="63" t="e">
        <f t="shared" si="40"/>
        <v>#VALUE!</v>
      </c>
      <c r="H1324" s="63" t="e">
        <f t="shared" si="41"/>
        <v>#VALUE!</v>
      </c>
    </row>
    <row r="1325" spans="7:8">
      <c r="G1325" s="63" t="e">
        <f t="shared" si="40"/>
        <v>#VALUE!</v>
      </c>
      <c r="H1325" s="63" t="e">
        <f t="shared" si="41"/>
        <v>#VALUE!</v>
      </c>
    </row>
    <row r="1326" spans="7:8">
      <c r="G1326" s="63" t="e">
        <f t="shared" si="40"/>
        <v>#VALUE!</v>
      </c>
      <c r="H1326" s="63" t="e">
        <f t="shared" si="41"/>
        <v>#VALUE!</v>
      </c>
    </row>
    <row r="1327" spans="7:8">
      <c r="G1327" s="63" t="e">
        <f t="shared" si="40"/>
        <v>#VALUE!</v>
      </c>
      <c r="H1327" s="63" t="e">
        <f t="shared" si="41"/>
        <v>#VALUE!</v>
      </c>
    </row>
    <row r="1328" spans="7:8">
      <c r="G1328" s="63" t="e">
        <f t="shared" si="40"/>
        <v>#VALUE!</v>
      </c>
      <c r="H1328" s="63" t="e">
        <f t="shared" si="41"/>
        <v>#VALUE!</v>
      </c>
    </row>
    <row r="1329" spans="7:8">
      <c r="G1329" s="63" t="e">
        <f t="shared" si="40"/>
        <v>#VALUE!</v>
      </c>
      <c r="H1329" s="63" t="e">
        <f t="shared" si="41"/>
        <v>#VALUE!</v>
      </c>
    </row>
    <row r="1330" spans="7:8">
      <c r="G1330" s="63" t="e">
        <f t="shared" si="40"/>
        <v>#VALUE!</v>
      </c>
      <c r="H1330" s="63" t="e">
        <f t="shared" si="41"/>
        <v>#VALUE!</v>
      </c>
    </row>
    <row r="1331" spans="7:8">
      <c r="G1331" s="63" t="e">
        <f t="shared" si="40"/>
        <v>#VALUE!</v>
      </c>
      <c r="H1331" s="63" t="e">
        <f t="shared" si="41"/>
        <v>#VALUE!</v>
      </c>
    </row>
    <row r="1332" spans="7:8">
      <c r="G1332" s="63" t="e">
        <f t="shared" si="40"/>
        <v>#VALUE!</v>
      </c>
      <c r="H1332" s="63" t="e">
        <f t="shared" si="41"/>
        <v>#VALUE!</v>
      </c>
    </row>
    <row r="1333" spans="7:8">
      <c r="G1333" s="63" t="e">
        <f t="shared" si="40"/>
        <v>#VALUE!</v>
      </c>
      <c r="H1333" s="63" t="e">
        <f t="shared" si="41"/>
        <v>#VALUE!</v>
      </c>
    </row>
    <row r="1334" spans="7:8">
      <c r="G1334" s="63" t="e">
        <f t="shared" si="40"/>
        <v>#VALUE!</v>
      </c>
      <c r="H1334" s="63" t="e">
        <f t="shared" si="41"/>
        <v>#VALUE!</v>
      </c>
    </row>
    <row r="1335" spans="7:8">
      <c r="G1335" s="63" t="e">
        <f t="shared" si="40"/>
        <v>#VALUE!</v>
      </c>
      <c r="H1335" s="63" t="e">
        <f t="shared" si="41"/>
        <v>#VALUE!</v>
      </c>
    </row>
    <row r="1336" spans="7:8">
      <c r="G1336" s="63" t="e">
        <f t="shared" si="40"/>
        <v>#VALUE!</v>
      </c>
      <c r="H1336" s="63" t="e">
        <f t="shared" si="41"/>
        <v>#VALUE!</v>
      </c>
    </row>
    <row r="1337" spans="7:8">
      <c r="G1337" s="63" t="e">
        <f t="shared" si="40"/>
        <v>#VALUE!</v>
      </c>
      <c r="H1337" s="63" t="e">
        <f t="shared" si="41"/>
        <v>#VALUE!</v>
      </c>
    </row>
    <row r="1338" spans="7:8">
      <c r="G1338" s="63" t="e">
        <f t="shared" si="40"/>
        <v>#VALUE!</v>
      </c>
      <c r="H1338" s="63" t="e">
        <f t="shared" si="41"/>
        <v>#VALUE!</v>
      </c>
    </row>
    <row r="1339" spans="7:8">
      <c r="G1339" s="63" t="e">
        <f t="shared" si="40"/>
        <v>#VALUE!</v>
      </c>
      <c r="H1339" s="63" t="e">
        <f t="shared" si="41"/>
        <v>#VALUE!</v>
      </c>
    </row>
    <row r="1340" spans="7:8">
      <c r="G1340" s="63" t="e">
        <f t="shared" si="40"/>
        <v>#VALUE!</v>
      </c>
      <c r="H1340" s="63" t="e">
        <f t="shared" si="41"/>
        <v>#VALUE!</v>
      </c>
    </row>
    <row r="1341" spans="7:8">
      <c r="G1341" s="63" t="e">
        <f t="shared" si="40"/>
        <v>#VALUE!</v>
      </c>
      <c r="H1341" s="63" t="e">
        <f t="shared" si="41"/>
        <v>#VALUE!</v>
      </c>
    </row>
    <row r="1342" spans="7:8">
      <c r="G1342" s="63" t="e">
        <f t="shared" si="40"/>
        <v>#VALUE!</v>
      </c>
      <c r="H1342" s="63" t="e">
        <f t="shared" si="41"/>
        <v>#VALUE!</v>
      </c>
    </row>
    <row r="1343" spans="7:8">
      <c r="G1343" s="63" t="e">
        <f t="shared" si="40"/>
        <v>#VALUE!</v>
      </c>
      <c r="H1343" s="63" t="e">
        <f t="shared" si="41"/>
        <v>#VALUE!</v>
      </c>
    </row>
    <row r="1344" spans="7:8">
      <c r="G1344" s="63" t="e">
        <f t="shared" si="40"/>
        <v>#VALUE!</v>
      </c>
      <c r="H1344" s="63" t="e">
        <f t="shared" si="41"/>
        <v>#VALUE!</v>
      </c>
    </row>
    <row r="1345" spans="7:8">
      <c r="G1345" s="63" t="e">
        <f t="shared" si="40"/>
        <v>#VALUE!</v>
      </c>
      <c r="H1345" s="63" t="e">
        <f t="shared" si="41"/>
        <v>#VALUE!</v>
      </c>
    </row>
    <row r="1346" spans="7:8">
      <c r="G1346" s="63" t="e">
        <f t="shared" si="40"/>
        <v>#VALUE!</v>
      </c>
      <c r="H1346" s="63" t="e">
        <f t="shared" si="41"/>
        <v>#VALUE!</v>
      </c>
    </row>
    <row r="1347" spans="7:8">
      <c r="G1347" s="63" t="e">
        <f t="shared" ref="G1347:G1410" si="42">IF(OR(A1347="RID_PB77",A1347="RID_PB77A3"),"WPCI77",IF(A1347="RIDTCIAS","CSCI49",IF(A1347="RID_HCPTM","CHCPT_",IF(LEFT(A1347,1)="C",A1347,MID(A1347,6,LEN(A1347)-5)))))</f>
        <v>#VALUE!</v>
      </c>
      <c r="H1347" s="63" t="e">
        <f t="shared" ref="H1347:H1410" si="43">IF(OR(G1347="MJG1",G1347="MJG2"),"MJG",G1347)&amp;"_"&amp;B1347</f>
        <v>#VALUE!</v>
      </c>
    </row>
    <row r="1348" spans="7:8">
      <c r="G1348" s="63" t="e">
        <f t="shared" si="42"/>
        <v>#VALUE!</v>
      </c>
      <c r="H1348" s="63" t="e">
        <f t="shared" si="43"/>
        <v>#VALUE!</v>
      </c>
    </row>
    <row r="1349" spans="7:8">
      <c r="G1349" s="63" t="e">
        <f t="shared" si="42"/>
        <v>#VALUE!</v>
      </c>
      <c r="H1349" s="63" t="e">
        <f t="shared" si="43"/>
        <v>#VALUE!</v>
      </c>
    </row>
    <row r="1350" spans="7:8">
      <c r="G1350" s="63" t="e">
        <f t="shared" si="42"/>
        <v>#VALUE!</v>
      </c>
      <c r="H1350" s="63" t="e">
        <f t="shared" si="43"/>
        <v>#VALUE!</v>
      </c>
    </row>
    <row r="1351" spans="7:8">
      <c r="G1351" s="63" t="e">
        <f t="shared" si="42"/>
        <v>#VALUE!</v>
      </c>
      <c r="H1351" s="63" t="e">
        <f t="shared" si="43"/>
        <v>#VALUE!</v>
      </c>
    </row>
    <row r="1352" spans="7:8">
      <c r="G1352" s="63" t="e">
        <f t="shared" si="42"/>
        <v>#VALUE!</v>
      </c>
      <c r="H1352" s="63" t="e">
        <f t="shared" si="43"/>
        <v>#VALUE!</v>
      </c>
    </row>
    <row r="1353" spans="7:8">
      <c r="G1353" s="63" t="e">
        <f t="shared" si="42"/>
        <v>#VALUE!</v>
      </c>
      <c r="H1353" s="63" t="e">
        <f t="shared" si="43"/>
        <v>#VALUE!</v>
      </c>
    </row>
    <row r="1354" spans="7:8">
      <c r="G1354" s="63" t="e">
        <f t="shared" si="42"/>
        <v>#VALUE!</v>
      </c>
      <c r="H1354" s="63" t="e">
        <f t="shared" si="43"/>
        <v>#VALUE!</v>
      </c>
    </row>
    <row r="1355" spans="7:8">
      <c r="G1355" s="63" t="e">
        <f t="shared" si="42"/>
        <v>#VALUE!</v>
      </c>
      <c r="H1355" s="63" t="e">
        <f t="shared" si="43"/>
        <v>#VALUE!</v>
      </c>
    </row>
    <row r="1356" spans="7:8">
      <c r="G1356" s="63" t="e">
        <f t="shared" si="42"/>
        <v>#VALUE!</v>
      </c>
      <c r="H1356" s="63" t="e">
        <f t="shared" si="43"/>
        <v>#VALUE!</v>
      </c>
    </row>
    <row r="1357" spans="7:8">
      <c r="G1357" s="63" t="e">
        <f t="shared" si="42"/>
        <v>#VALUE!</v>
      </c>
      <c r="H1357" s="63" t="e">
        <f t="shared" si="43"/>
        <v>#VALUE!</v>
      </c>
    </row>
    <row r="1358" spans="7:8">
      <c r="G1358" s="63" t="e">
        <f t="shared" si="42"/>
        <v>#VALUE!</v>
      </c>
      <c r="H1358" s="63" t="e">
        <f t="shared" si="43"/>
        <v>#VALUE!</v>
      </c>
    </row>
    <row r="1359" spans="7:8">
      <c r="G1359" s="63" t="e">
        <f t="shared" si="42"/>
        <v>#VALUE!</v>
      </c>
      <c r="H1359" s="63" t="e">
        <f t="shared" si="43"/>
        <v>#VALUE!</v>
      </c>
    </row>
    <row r="1360" spans="7:8">
      <c r="G1360" s="63" t="e">
        <f t="shared" si="42"/>
        <v>#VALUE!</v>
      </c>
      <c r="H1360" s="63" t="e">
        <f t="shared" si="43"/>
        <v>#VALUE!</v>
      </c>
    </row>
    <row r="1361" spans="7:8">
      <c r="G1361" s="63" t="e">
        <f t="shared" si="42"/>
        <v>#VALUE!</v>
      </c>
      <c r="H1361" s="63" t="e">
        <f t="shared" si="43"/>
        <v>#VALUE!</v>
      </c>
    </row>
    <row r="1362" spans="7:8">
      <c r="G1362" s="63" t="e">
        <f t="shared" si="42"/>
        <v>#VALUE!</v>
      </c>
      <c r="H1362" s="63" t="e">
        <f t="shared" si="43"/>
        <v>#VALUE!</v>
      </c>
    </row>
    <row r="1363" spans="7:8">
      <c r="G1363" s="63" t="e">
        <f t="shared" si="42"/>
        <v>#VALUE!</v>
      </c>
      <c r="H1363" s="63" t="e">
        <f t="shared" si="43"/>
        <v>#VALUE!</v>
      </c>
    </row>
    <row r="1364" spans="7:8">
      <c r="G1364" s="63" t="e">
        <f t="shared" si="42"/>
        <v>#VALUE!</v>
      </c>
      <c r="H1364" s="63" t="e">
        <f t="shared" si="43"/>
        <v>#VALUE!</v>
      </c>
    </row>
    <row r="1365" spans="7:8">
      <c r="G1365" s="63" t="e">
        <f t="shared" si="42"/>
        <v>#VALUE!</v>
      </c>
      <c r="H1365" s="63" t="e">
        <f t="shared" si="43"/>
        <v>#VALUE!</v>
      </c>
    </row>
    <row r="1366" spans="7:8">
      <c r="G1366" s="63" t="e">
        <f t="shared" si="42"/>
        <v>#VALUE!</v>
      </c>
      <c r="H1366" s="63" t="e">
        <f t="shared" si="43"/>
        <v>#VALUE!</v>
      </c>
    </row>
    <row r="1367" spans="7:8">
      <c r="G1367" s="63" t="e">
        <f t="shared" si="42"/>
        <v>#VALUE!</v>
      </c>
      <c r="H1367" s="63" t="e">
        <f t="shared" si="43"/>
        <v>#VALUE!</v>
      </c>
    </row>
    <row r="1368" spans="7:8">
      <c r="G1368" s="63" t="e">
        <f t="shared" si="42"/>
        <v>#VALUE!</v>
      </c>
      <c r="H1368" s="63" t="e">
        <f t="shared" si="43"/>
        <v>#VALUE!</v>
      </c>
    </row>
    <row r="1369" spans="7:8">
      <c r="G1369" s="63" t="e">
        <f t="shared" si="42"/>
        <v>#VALUE!</v>
      </c>
      <c r="H1369" s="63" t="e">
        <f t="shared" si="43"/>
        <v>#VALUE!</v>
      </c>
    </row>
    <row r="1370" spans="7:8">
      <c r="G1370" s="63" t="e">
        <f t="shared" si="42"/>
        <v>#VALUE!</v>
      </c>
      <c r="H1370" s="63" t="e">
        <f t="shared" si="43"/>
        <v>#VALUE!</v>
      </c>
    </row>
    <row r="1371" spans="7:8">
      <c r="G1371" s="63" t="e">
        <f t="shared" si="42"/>
        <v>#VALUE!</v>
      </c>
      <c r="H1371" s="63" t="e">
        <f t="shared" si="43"/>
        <v>#VALUE!</v>
      </c>
    </row>
    <row r="1372" spans="7:8">
      <c r="G1372" s="63" t="e">
        <f t="shared" si="42"/>
        <v>#VALUE!</v>
      </c>
      <c r="H1372" s="63" t="e">
        <f t="shared" si="43"/>
        <v>#VALUE!</v>
      </c>
    </row>
    <row r="1373" spans="7:8">
      <c r="G1373" s="63" t="e">
        <f t="shared" si="42"/>
        <v>#VALUE!</v>
      </c>
      <c r="H1373" s="63" t="e">
        <f t="shared" si="43"/>
        <v>#VALUE!</v>
      </c>
    </row>
    <row r="1374" spans="7:8">
      <c r="G1374" s="63" t="e">
        <f t="shared" si="42"/>
        <v>#VALUE!</v>
      </c>
      <c r="H1374" s="63" t="e">
        <f t="shared" si="43"/>
        <v>#VALUE!</v>
      </c>
    </row>
    <row r="1375" spans="7:8">
      <c r="G1375" s="63" t="e">
        <f t="shared" si="42"/>
        <v>#VALUE!</v>
      </c>
      <c r="H1375" s="63" t="e">
        <f t="shared" si="43"/>
        <v>#VALUE!</v>
      </c>
    </row>
    <row r="1376" spans="7:8">
      <c r="G1376" s="63" t="e">
        <f t="shared" si="42"/>
        <v>#VALUE!</v>
      </c>
      <c r="H1376" s="63" t="e">
        <f t="shared" si="43"/>
        <v>#VALUE!</v>
      </c>
    </row>
    <row r="1377" spans="7:8">
      <c r="G1377" s="63" t="e">
        <f t="shared" si="42"/>
        <v>#VALUE!</v>
      </c>
      <c r="H1377" s="63" t="e">
        <f t="shared" si="43"/>
        <v>#VALUE!</v>
      </c>
    </row>
    <row r="1378" spans="7:8">
      <c r="G1378" s="63" t="e">
        <f t="shared" si="42"/>
        <v>#VALUE!</v>
      </c>
      <c r="H1378" s="63" t="e">
        <f t="shared" si="43"/>
        <v>#VALUE!</v>
      </c>
    </row>
    <row r="1379" spans="7:8">
      <c r="G1379" s="63" t="e">
        <f t="shared" si="42"/>
        <v>#VALUE!</v>
      </c>
      <c r="H1379" s="63" t="e">
        <f t="shared" si="43"/>
        <v>#VALUE!</v>
      </c>
    </row>
    <row r="1380" spans="7:8">
      <c r="G1380" s="63" t="e">
        <f t="shared" si="42"/>
        <v>#VALUE!</v>
      </c>
      <c r="H1380" s="63" t="e">
        <f t="shared" si="43"/>
        <v>#VALUE!</v>
      </c>
    </row>
    <row r="1381" spans="7:8">
      <c r="G1381" s="63" t="e">
        <f t="shared" si="42"/>
        <v>#VALUE!</v>
      </c>
      <c r="H1381" s="63" t="e">
        <f t="shared" si="43"/>
        <v>#VALUE!</v>
      </c>
    </row>
    <row r="1382" spans="7:8">
      <c r="G1382" s="63" t="e">
        <f t="shared" si="42"/>
        <v>#VALUE!</v>
      </c>
      <c r="H1382" s="63" t="e">
        <f t="shared" si="43"/>
        <v>#VALUE!</v>
      </c>
    </row>
    <row r="1383" spans="7:8">
      <c r="G1383" s="63" t="e">
        <f t="shared" si="42"/>
        <v>#VALUE!</v>
      </c>
      <c r="H1383" s="63" t="e">
        <f t="shared" si="43"/>
        <v>#VALUE!</v>
      </c>
    </row>
    <row r="1384" spans="7:8">
      <c r="G1384" s="63" t="e">
        <f t="shared" si="42"/>
        <v>#VALUE!</v>
      </c>
      <c r="H1384" s="63" t="e">
        <f t="shared" si="43"/>
        <v>#VALUE!</v>
      </c>
    </row>
    <row r="1385" spans="7:8">
      <c r="G1385" s="63" t="e">
        <f t="shared" si="42"/>
        <v>#VALUE!</v>
      </c>
      <c r="H1385" s="63" t="e">
        <f t="shared" si="43"/>
        <v>#VALUE!</v>
      </c>
    </row>
    <row r="1386" spans="7:8">
      <c r="G1386" s="63" t="e">
        <f t="shared" si="42"/>
        <v>#VALUE!</v>
      </c>
      <c r="H1386" s="63" t="e">
        <f t="shared" si="43"/>
        <v>#VALUE!</v>
      </c>
    </row>
    <row r="1387" spans="7:8">
      <c r="G1387" s="63" t="e">
        <f t="shared" si="42"/>
        <v>#VALUE!</v>
      </c>
      <c r="H1387" s="63" t="e">
        <f t="shared" si="43"/>
        <v>#VALUE!</v>
      </c>
    </row>
    <row r="1388" spans="7:8">
      <c r="G1388" s="63" t="e">
        <f t="shared" si="42"/>
        <v>#VALUE!</v>
      </c>
      <c r="H1388" s="63" t="e">
        <f t="shared" si="43"/>
        <v>#VALUE!</v>
      </c>
    </row>
    <row r="1389" spans="7:8">
      <c r="G1389" s="63" t="e">
        <f t="shared" si="42"/>
        <v>#VALUE!</v>
      </c>
      <c r="H1389" s="63" t="e">
        <f t="shared" si="43"/>
        <v>#VALUE!</v>
      </c>
    </row>
    <row r="1390" spans="7:8">
      <c r="G1390" s="63" t="e">
        <f t="shared" si="42"/>
        <v>#VALUE!</v>
      </c>
      <c r="H1390" s="63" t="e">
        <f t="shared" si="43"/>
        <v>#VALUE!</v>
      </c>
    </row>
    <row r="1391" spans="7:8">
      <c r="G1391" s="63" t="e">
        <f t="shared" si="42"/>
        <v>#VALUE!</v>
      </c>
      <c r="H1391" s="63" t="e">
        <f t="shared" si="43"/>
        <v>#VALUE!</v>
      </c>
    </row>
    <row r="1392" spans="7:8">
      <c r="G1392" s="63" t="e">
        <f t="shared" si="42"/>
        <v>#VALUE!</v>
      </c>
      <c r="H1392" s="63" t="e">
        <f t="shared" si="43"/>
        <v>#VALUE!</v>
      </c>
    </row>
    <row r="1393" spans="7:8">
      <c r="G1393" s="63" t="e">
        <f t="shared" si="42"/>
        <v>#VALUE!</v>
      </c>
      <c r="H1393" s="63" t="e">
        <f t="shared" si="43"/>
        <v>#VALUE!</v>
      </c>
    </row>
    <row r="1394" spans="7:8">
      <c r="G1394" s="63" t="e">
        <f t="shared" si="42"/>
        <v>#VALUE!</v>
      </c>
      <c r="H1394" s="63" t="e">
        <f t="shared" si="43"/>
        <v>#VALUE!</v>
      </c>
    </row>
    <row r="1395" spans="7:8">
      <c r="G1395" s="63" t="e">
        <f t="shared" si="42"/>
        <v>#VALUE!</v>
      </c>
      <c r="H1395" s="63" t="e">
        <f t="shared" si="43"/>
        <v>#VALUE!</v>
      </c>
    </row>
    <row r="1396" spans="7:8">
      <c r="G1396" s="63" t="e">
        <f t="shared" si="42"/>
        <v>#VALUE!</v>
      </c>
      <c r="H1396" s="63" t="e">
        <f t="shared" si="43"/>
        <v>#VALUE!</v>
      </c>
    </row>
    <row r="1397" spans="7:8">
      <c r="G1397" s="63" t="e">
        <f t="shared" si="42"/>
        <v>#VALUE!</v>
      </c>
      <c r="H1397" s="63" t="e">
        <f t="shared" si="43"/>
        <v>#VALUE!</v>
      </c>
    </row>
    <row r="1398" spans="7:8">
      <c r="G1398" s="63" t="e">
        <f t="shared" si="42"/>
        <v>#VALUE!</v>
      </c>
      <c r="H1398" s="63" t="e">
        <f t="shared" si="43"/>
        <v>#VALUE!</v>
      </c>
    </row>
    <row r="1399" spans="7:8">
      <c r="G1399" s="63" t="e">
        <f t="shared" si="42"/>
        <v>#VALUE!</v>
      </c>
      <c r="H1399" s="63" t="e">
        <f t="shared" si="43"/>
        <v>#VALUE!</v>
      </c>
    </row>
    <row r="1400" spans="7:8">
      <c r="G1400" s="63" t="e">
        <f t="shared" si="42"/>
        <v>#VALUE!</v>
      </c>
      <c r="H1400" s="63" t="e">
        <f t="shared" si="43"/>
        <v>#VALUE!</v>
      </c>
    </row>
    <row r="1401" spans="7:8">
      <c r="G1401" s="63" t="e">
        <f t="shared" si="42"/>
        <v>#VALUE!</v>
      </c>
      <c r="H1401" s="63" t="e">
        <f t="shared" si="43"/>
        <v>#VALUE!</v>
      </c>
    </row>
    <row r="1402" spans="7:8">
      <c r="G1402" s="63" t="e">
        <f t="shared" si="42"/>
        <v>#VALUE!</v>
      </c>
      <c r="H1402" s="63" t="e">
        <f t="shared" si="43"/>
        <v>#VALUE!</v>
      </c>
    </row>
    <row r="1403" spans="7:8">
      <c r="G1403" s="63" t="e">
        <f t="shared" si="42"/>
        <v>#VALUE!</v>
      </c>
      <c r="H1403" s="63" t="e">
        <f t="shared" si="43"/>
        <v>#VALUE!</v>
      </c>
    </row>
    <row r="1404" spans="7:8">
      <c r="G1404" s="63" t="e">
        <f t="shared" si="42"/>
        <v>#VALUE!</v>
      </c>
      <c r="H1404" s="63" t="e">
        <f t="shared" si="43"/>
        <v>#VALUE!</v>
      </c>
    </row>
    <row r="1405" spans="7:8">
      <c r="G1405" s="63" t="e">
        <f t="shared" si="42"/>
        <v>#VALUE!</v>
      </c>
      <c r="H1405" s="63" t="e">
        <f t="shared" si="43"/>
        <v>#VALUE!</v>
      </c>
    </row>
    <row r="1406" spans="7:8">
      <c r="G1406" s="63" t="e">
        <f t="shared" si="42"/>
        <v>#VALUE!</v>
      </c>
      <c r="H1406" s="63" t="e">
        <f t="shared" si="43"/>
        <v>#VALUE!</v>
      </c>
    </row>
    <row r="1407" spans="7:8">
      <c r="G1407" s="63" t="e">
        <f t="shared" si="42"/>
        <v>#VALUE!</v>
      </c>
      <c r="H1407" s="63" t="e">
        <f t="shared" si="43"/>
        <v>#VALUE!</v>
      </c>
    </row>
    <row r="1408" spans="7:8">
      <c r="G1408" s="63" t="e">
        <f t="shared" si="42"/>
        <v>#VALUE!</v>
      </c>
      <c r="H1408" s="63" t="e">
        <f t="shared" si="43"/>
        <v>#VALUE!</v>
      </c>
    </row>
    <row r="1409" spans="7:8">
      <c r="G1409" s="63" t="e">
        <f t="shared" si="42"/>
        <v>#VALUE!</v>
      </c>
      <c r="H1409" s="63" t="e">
        <f t="shared" si="43"/>
        <v>#VALUE!</v>
      </c>
    </row>
    <row r="1410" spans="7:8">
      <c r="G1410" s="63" t="e">
        <f t="shared" si="42"/>
        <v>#VALUE!</v>
      </c>
      <c r="H1410" s="63" t="e">
        <f t="shared" si="43"/>
        <v>#VALUE!</v>
      </c>
    </row>
    <row r="1411" spans="7:8">
      <c r="G1411" s="63" t="e">
        <f t="shared" ref="G1411:G1474" si="44">IF(OR(A1411="RID_PB77",A1411="RID_PB77A3"),"WPCI77",IF(A1411="RIDTCIAS","CSCI49",IF(A1411="RID_HCPTM","CHCPT_",IF(LEFT(A1411,1)="C",A1411,MID(A1411,6,LEN(A1411)-5)))))</f>
        <v>#VALUE!</v>
      </c>
      <c r="H1411" s="63" t="e">
        <f t="shared" ref="H1411:H1474" si="45">IF(OR(G1411="MJG1",G1411="MJG2"),"MJG",G1411)&amp;"_"&amp;B1411</f>
        <v>#VALUE!</v>
      </c>
    </row>
    <row r="1412" spans="7:8">
      <c r="G1412" s="63" t="e">
        <f t="shared" si="44"/>
        <v>#VALUE!</v>
      </c>
      <c r="H1412" s="63" t="e">
        <f t="shared" si="45"/>
        <v>#VALUE!</v>
      </c>
    </row>
    <row r="1413" spans="7:8">
      <c r="G1413" s="63" t="e">
        <f t="shared" si="44"/>
        <v>#VALUE!</v>
      </c>
      <c r="H1413" s="63" t="e">
        <f t="shared" si="45"/>
        <v>#VALUE!</v>
      </c>
    </row>
    <row r="1414" spans="7:8">
      <c r="G1414" s="63" t="e">
        <f t="shared" si="44"/>
        <v>#VALUE!</v>
      </c>
      <c r="H1414" s="63" t="e">
        <f t="shared" si="45"/>
        <v>#VALUE!</v>
      </c>
    </row>
    <row r="1415" spans="7:8">
      <c r="G1415" s="63" t="e">
        <f t="shared" si="44"/>
        <v>#VALUE!</v>
      </c>
      <c r="H1415" s="63" t="e">
        <f t="shared" si="45"/>
        <v>#VALUE!</v>
      </c>
    </row>
    <row r="1416" spans="7:8">
      <c r="G1416" s="63" t="e">
        <f t="shared" si="44"/>
        <v>#VALUE!</v>
      </c>
      <c r="H1416" s="63" t="e">
        <f t="shared" si="45"/>
        <v>#VALUE!</v>
      </c>
    </row>
    <row r="1417" spans="7:8">
      <c r="G1417" s="63" t="e">
        <f t="shared" si="44"/>
        <v>#VALUE!</v>
      </c>
      <c r="H1417" s="63" t="e">
        <f t="shared" si="45"/>
        <v>#VALUE!</v>
      </c>
    </row>
    <row r="1418" spans="7:8">
      <c r="G1418" s="63" t="e">
        <f t="shared" si="44"/>
        <v>#VALUE!</v>
      </c>
      <c r="H1418" s="63" t="e">
        <f t="shared" si="45"/>
        <v>#VALUE!</v>
      </c>
    </row>
    <row r="1419" spans="7:8">
      <c r="G1419" s="63" t="e">
        <f t="shared" si="44"/>
        <v>#VALUE!</v>
      </c>
      <c r="H1419" s="63" t="e">
        <f t="shared" si="45"/>
        <v>#VALUE!</v>
      </c>
    </row>
    <row r="1420" spans="7:8">
      <c r="G1420" s="63" t="e">
        <f t="shared" si="44"/>
        <v>#VALUE!</v>
      </c>
      <c r="H1420" s="63" t="e">
        <f t="shared" si="45"/>
        <v>#VALUE!</v>
      </c>
    </row>
    <row r="1421" spans="7:8">
      <c r="G1421" s="63" t="e">
        <f t="shared" si="44"/>
        <v>#VALUE!</v>
      </c>
      <c r="H1421" s="63" t="e">
        <f t="shared" si="45"/>
        <v>#VALUE!</v>
      </c>
    </row>
    <row r="1422" spans="7:8">
      <c r="G1422" s="63" t="e">
        <f t="shared" si="44"/>
        <v>#VALUE!</v>
      </c>
      <c r="H1422" s="63" t="e">
        <f t="shared" si="45"/>
        <v>#VALUE!</v>
      </c>
    </row>
    <row r="1423" spans="7:8">
      <c r="G1423" s="63" t="e">
        <f t="shared" si="44"/>
        <v>#VALUE!</v>
      </c>
      <c r="H1423" s="63" t="e">
        <f t="shared" si="45"/>
        <v>#VALUE!</v>
      </c>
    </row>
    <row r="1424" spans="7:8">
      <c r="G1424" s="63" t="e">
        <f t="shared" si="44"/>
        <v>#VALUE!</v>
      </c>
      <c r="H1424" s="63" t="e">
        <f t="shared" si="45"/>
        <v>#VALUE!</v>
      </c>
    </row>
    <row r="1425" spans="7:8">
      <c r="G1425" s="63" t="e">
        <f t="shared" si="44"/>
        <v>#VALUE!</v>
      </c>
      <c r="H1425" s="63" t="e">
        <f t="shared" si="45"/>
        <v>#VALUE!</v>
      </c>
    </row>
    <row r="1426" spans="7:8">
      <c r="G1426" s="63" t="e">
        <f t="shared" si="44"/>
        <v>#VALUE!</v>
      </c>
      <c r="H1426" s="63" t="e">
        <f t="shared" si="45"/>
        <v>#VALUE!</v>
      </c>
    </row>
    <row r="1427" spans="7:8">
      <c r="G1427" s="63" t="e">
        <f t="shared" si="44"/>
        <v>#VALUE!</v>
      </c>
      <c r="H1427" s="63" t="e">
        <f t="shared" si="45"/>
        <v>#VALUE!</v>
      </c>
    </row>
    <row r="1428" spans="7:8">
      <c r="G1428" s="63" t="e">
        <f t="shared" si="44"/>
        <v>#VALUE!</v>
      </c>
      <c r="H1428" s="63" t="e">
        <f t="shared" si="45"/>
        <v>#VALUE!</v>
      </c>
    </row>
    <row r="1429" spans="7:8">
      <c r="G1429" s="63" t="e">
        <f t="shared" si="44"/>
        <v>#VALUE!</v>
      </c>
      <c r="H1429" s="63" t="e">
        <f t="shared" si="45"/>
        <v>#VALUE!</v>
      </c>
    </row>
    <row r="1430" spans="7:8">
      <c r="G1430" s="63" t="e">
        <f t="shared" si="44"/>
        <v>#VALUE!</v>
      </c>
      <c r="H1430" s="63" t="e">
        <f t="shared" si="45"/>
        <v>#VALUE!</v>
      </c>
    </row>
    <row r="1431" spans="7:8">
      <c r="G1431" s="63" t="e">
        <f t="shared" si="44"/>
        <v>#VALUE!</v>
      </c>
      <c r="H1431" s="63" t="e">
        <f t="shared" si="45"/>
        <v>#VALUE!</v>
      </c>
    </row>
    <row r="1432" spans="7:8">
      <c r="G1432" s="63" t="e">
        <f t="shared" si="44"/>
        <v>#VALUE!</v>
      </c>
      <c r="H1432" s="63" t="e">
        <f t="shared" si="45"/>
        <v>#VALUE!</v>
      </c>
    </row>
    <row r="1433" spans="7:8">
      <c r="G1433" s="63" t="e">
        <f t="shared" si="44"/>
        <v>#VALUE!</v>
      </c>
      <c r="H1433" s="63" t="e">
        <f t="shared" si="45"/>
        <v>#VALUE!</v>
      </c>
    </row>
    <row r="1434" spans="7:8">
      <c r="G1434" s="63" t="e">
        <f t="shared" si="44"/>
        <v>#VALUE!</v>
      </c>
      <c r="H1434" s="63" t="e">
        <f t="shared" si="45"/>
        <v>#VALUE!</v>
      </c>
    </row>
    <row r="1435" spans="7:8">
      <c r="G1435" s="63" t="e">
        <f t="shared" si="44"/>
        <v>#VALUE!</v>
      </c>
      <c r="H1435" s="63" t="e">
        <f t="shared" si="45"/>
        <v>#VALUE!</v>
      </c>
    </row>
    <row r="1436" spans="7:8">
      <c r="G1436" s="63" t="e">
        <f t="shared" si="44"/>
        <v>#VALUE!</v>
      </c>
      <c r="H1436" s="63" t="e">
        <f t="shared" si="45"/>
        <v>#VALUE!</v>
      </c>
    </row>
    <row r="1437" spans="7:8">
      <c r="G1437" s="63" t="e">
        <f t="shared" si="44"/>
        <v>#VALUE!</v>
      </c>
      <c r="H1437" s="63" t="e">
        <f t="shared" si="45"/>
        <v>#VALUE!</v>
      </c>
    </row>
    <row r="1438" spans="7:8">
      <c r="G1438" s="63" t="e">
        <f t="shared" si="44"/>
        <v>#VALUE!</v>
      </c>
      <c r="H1438" s="63" t="e">
        <f t="shared" si="45"/>
        <v>#VALUE!</v>
      </c>
    </row>
    <row r="1439" spans="7:8">
      <c r="G1439" s="63" t="e">
        <f t="shared" si="44"/>
        <v>#VALUE!</v>
      </c>
      <c r="H1439" s="63" t="e">
        <f t="shared" si="45"/>
        <v>#VALUE!</v>
      </c>
    </row>
    <row r="1440" spans="7:8">
      <c r="G1440" s="63" t="e">
        <f t="shared" si="44"/>
        <v>#VALUE!</v>
      </c>
      <c r="H1440" s="63" t="e">
        <f t="shared" si="45"/>
        <v>#VALUE!</v>
      </c>
    </row>
    <row r="1441" spans="7:8">
      <c r="G1441" s="63" t="e">
        <f t="shared" si="44"/>
        <v>#VALUE!</v>
      </c>
      <c r="H1441" s="63" t="e">
        <f t="shared" si="45"/>
        <v>#VALUE!</v>
      </c>
    </row>
    <row r="1442" spans="7:8">
      <c r="G1442" s="63" t="e">
        <f t="shared" si="44"/>
        <v>#VALUE!</v>
      </c>
      <c r="H1442" s="63" t="e">
        <f t="shared" si="45"/>
        <v>#VALUE!</v>
      </c>
    </row>
    <row r="1443" spans="7:8">
      <c r="G1443" s="63" t="e">
        <f t="shared" si="44"/>
        <v>#VALUE!</v>
      </c>
      <c r="H1443" s="63" t="e">
        <f t="shared" si="45"/>
        <v>#VALUE!</v>
      </c>
    </row>
    <row r="1444" spans="7:8">
      <c r="G1444" s="63" t="e">
        <f t="shared" si="44"/>
        <v>#VALUE!</v>
      </c>
      <c r="H1444" s="63" t="e">
        <f t="shared" si="45"/>
        <v>#VALUE!</v>
      </c>
    </row>
    <row r="1445" spans="7:8">
      <c r="G1445" s="63" t="e">
        <f t="shared" si="44"/>
        <v>#VALUE!</v>
      </c>
      <c r="H1445" s="63" t="e">
        <f t="shared" si="45"/>
        <v>#VALUE!</v>
      </c>
    </row>
    <row r="1446" spans="7:8">
      <c r="G1446" s="63" t="e">
        <f t="shared" si="44"/>
        <v>#VALUE!</v>
      </c>
      <c r="H1446" s="63" t="e">
        <f t="shared" si="45"/>
        <v>#VALUE!</v>
      </c>
    </row>
    <row r="1447" spans="7:8">
      <c r="G1447" s="63" t="e">
        <f t="shared" si="44"/>
        <v>#VALUE!</v>
      </c>
      <c r="H1447" s="63" t="e">
        <f t="shared" si="45"/>
        <v>#VALUE!</v>
      </c>
    </row>
    <row r="1448" spans="7:8">
      <c r="G1448" s="63" t="e">
        <f t="shared" si="44"/>
        <v>#VALUE!</v>
      </c>
      <c r="H1448" s="63" t="e">
        <f t="shared" si="45"/>
        <v>#VALUE!</v>
      </c>
    </row>
    <row r="1449" spans="7:8">
      <c r="G1449" s="63" t="e">
        <f t="shared" si="44"/>
        <v>#VALUE!</v>
      </c>
      <c r="H1449" s="63" t="e">
        <f t="shared" si="45"/>
        <v>#VALUE!</v>
      </c>
    </row>
    <row r="1450" spans="7:8">
      <c r="G1450" s="63" t="e">
        <f t="shared" si="44"/>
        <v>#VALUE!</v>
      </c>
      <c r="H1450" s="63" t="e">
        <f t="shared" si="45"/>
        <v>#VALUE!</v>
      </c>
    </row>
    <row r="1451" spans="7:8">
      <c r="G1451" s="63" t="e">
        <f t="shared" si="44"/>
        <v>#VALUE!</v>
      </c>
      <c r="H1451" s="63" t="e">
        <f t="shared" si="45"/>
        <v>#VALUE!</v>
      </c>
    </row>
    <row r="1452" spans="7:8">
      <c r="G1452" s="63" t="e">
        <f t="shared" si="44"/>
        <v>#VALUE!</v>
      </c>
      <c r="H1452" s="63" t="e">
        <f t="shared" si="45"/>
        <v>#VALUE!</v>
      </c>
    </row>
    <row r="1453" spans="7:8">
      <c r="G1453" s="63" t="e">
        <f t="shared" si="44"/>
        <v>#VALUE!</v>
      </c>
      <c r="H1453" s="63" t="e">
        <f t="shared" si="45"/>
        <v>#VALUE!</v>
      </c>
    </row>
    <row r="1454" spans="7:8">
      <c r="G1454" s="63" t="e">
        <f t="shared" si="44"/>
        <v>#VALUE!</v>
      </c>
      <c r="H1454" s="63" t="e">
        <f t="shared" si="45"/>
        <v>#VALUE!</v>
      </c>
    </row>
    <row r="1455" spans="7:8">
      <c r="G1455" s="63" t="e">
        <f t="shared" si="44"/>
        <v>#VALUE!</v>
      </c>
      <c r="H1455" s="63" t="e">
        <f t="shared" si="45"/>
        <v>#VALUE!</v>
      </c>
    </row>
    <row r="1456" spans="7:8">
      <c r="G1456" s="63" t="e">
        <f t="shared" si="44"/>
        <v>#VALUE!</v>
      </c>
      <c r="H1456" s="63" t="e">
        <f t="shared" si="45"/>
        <v>#VALUE!</v>
      </c>
    </row>
    <row r="1457" spans="7:8">
      <c r="G1457" s="63" t="e">
        <f t="shared" si="44"/>
        <v>#VALUE!</v>
      </c>
      <c r="H1457" s="63" t="e">
        <f t="shared" si="45"/>
        <v>#VALUE!</v>
      </c>
    </row>
    <row r="1458" spans="7:8">
      <c r="G1458" s="63" t="e">
        <f t="shared" si="44"/>
        <v>#VALUE!</v>
      </c>
      <c r="H1458" s="63" t="e">
        <f t="shared" si="45"/>
        <v>#VALUE!</v>
      </c>
    </row>
    <row r="1459" spans="7:8">
      <c r="G1459" s="63" t="e">
        <f t="shared" si="44"/>
        <v>#VALUE!</v>
      </c>
      <c r="H1459" s="63" t="e">
        <f t="shared" si="45"/>
        <v>#VALUE!</v>
      </c>
    </row>
    <row r="1460" spans="7:8">
      <c r="G1460" s="63" t="e">
        <f t="shared" si="44"/>
        <v>#VALUE!</v>
      </c>
      <c r="H1460" s="63" t="e">
        <f t="shared" si="45"/>
        <v>#VALUE!</v>
      </c>
    </row>
    <row r="1461" spans="7:8">
      <c r="G1461" s="63" t="e">
        <f t="shared" si="44"/>
        <v>#VALUE!</v>
      </c>
      <c r="H1461" s="63" t="e">
        <f t="shared" si="45"/>
        <v>#VALUE!</v>
      </c>
    </row>
    <row r="1462" spans="7:8">
      <c r="G1462" s="63" t="e">
        <f t="shared" si="44"/>
        <v>#VALUE!</v>
      </c>
      <c r="H1462" s="63" t="e">
        <f t="shared" si="45"/>
        <v>#VALUE!</v>
      </c>
    </row>
    <row r="1463" spans="7:8">
      <c r="G1463" s="63" t="e">
        <f t="shared" si="44"/>
        <v>#VALUE!</v>
      </c>
      <c r="H1463" s="63" t="e">
        <f t="shared" si="45"/>
        <v>#VALUE!</v>
      </c>
    </row>
    <row r="1464" spans="7:8">
      <c r="G1464" s="63" t="e">
        <f t="shared" si="44"/>
        <v>#VALUE!</v>
      </c>
      <c r="H1464" s="63" t="e">
        <f t="shared" si="45"/>
        <v>#VALUE!</v>
      </c>
    </row>
    <row r="1465" spans="7:8">
      <c r="G1465" s="63" t="e">
        <f t="shared" si="44"/>
        <v>#VALUE!</v>
      </c>
      <c r="H1465" s="63" t="e">
        <f t="shared" si="45"/>
        <v>#VALUE!</v>
      </c>
    </row>
    <row r="1466" spans="7:8">
      <c r="G1466" s="63" t="e">
        <f t="shared" si="44"/>
        <v>#VALUE!</v>
      </c>
      <c r="H1466" s="63" t="e">
        <f t="shared" si="45"/>
        <v>#VALUE!</v>
      </c>
    </row>
    <row r="1467" spans="7:8">
      <c r="G1467" s="63" t="e">
        <f t="shared" si="44"/>
        <v>#VALUE!</v>
      </c>
      <c r="H1467" s="63" t="e">
        <f t="shared" si="45"/>
        <v>#VALUE!</v>
      </c>
    </row>
    <row r="1468" spans="7:8">
      <c r="G1468" s="63" t="e">
        <f t="shared" si="44"/>
        <v>#VALUE!</v>
      </c>
      <c r="H1468" s="63" t="e">
        <f t="shared" si="45"/>
        <v>#VALUE!</v>
      </c>
    </row>
    <row r="1469" spans="7:8">
      <c r="G1469" s="63" t="e">
        <f t="shared" si="44"/>
        <v>#VALUE!</v>
      </c>
      <c r="H1469" s="63" t="e">
        <f t="shared" si="45"/>
        <v>#VALUE!</v>
      </c>
    </row>
    <row r="1470" spans="7:8">
      <c r="G1470" s="63" t="e">
        <f t="shared" si="44"/>
        <v>#VALUE!</v>
      </c>
      <c r="H1470" s="63" t="e">
        <f t="shared" si="45"/>
        <v>#VALUE!</v>
      </c>
    </row>
    <row r="1471" spans="7:8">
      <c r="G1471" s="63" t="e">
        <f t="shared" si="44"/>
        <v>#VALUE!</v>
      </c>
      <c r="H1471" s="63" t="e">
        <f t="shared" si="45"/>
        <v>#VALUE!</v>
      </c>
    </row>
    <row r="1472" spans="7:8">
      <c r="G1472" s="63" t="e">
        <f t="shared" si="44"/>
        <v>#VALUE!</v>
      </c>
      <c r="H1472" s="63" t="e">
        <f t="shared" si="45"/>
        <v>#VALUE!</v>
      </c>
    </row>
    <row r="1473" spans="7:8">
      <c r="G1473" s="63" t="e">
        <f t="shared" si="44"/>
        <v>#VALUE!</v>
      </c>
      <c r="H1473" s="63" t="e">
        <f t="shared" si="45"/>
        <v>#VALUE!</v>
      </c>
    </row>
    <row r="1474" spans="7:8">
      <c r="G1474" s="63" t="e">
        <f t="shared" si="44"/>
        <v>#VALUE!</v>
      </c>
      <c r="H1474" s="63" t="e">
        <f t="shared" si="45"/>
        <v>#VALUE!</v>
      </c>
    </row>
    <row r="1475" spans="7:8">
      <c r="G1475" s="63" t="e">
        <f t="shared" ref="G1475:G1538" si="46">IF(OR(A1475="RID_PB77",A1475="RID_PB77A3"),"WPCI77",IF(A1475="RIDTCIAS","CSCI49",IF(A1475="RID_HCPTM","CHCPT_",IF(LEFT(A1475,1)="C",A1475,MID(A1475,6,LEN(A1475)-5)))))</f>
        <v>#VALUE!</v>
      </c>
      <c r="H1475" s="63" t="e">
        <f t="shared" ref="H1475:H1538" si="47">IF(OR(G1475="MJG1",G1475="MJG2"),"MJG",G1475)&amp;"_"&amp;B1475</f>
        <v>#VALUE!</v>
      </c>
    </row>
    <row r="1476" spans="7:8">
      <c r="G1476" s="63" t="e">
        <f t="shared" si="46"/>
        <v>#VALUE!</v>
      </c>
      <c r="H1476" s="63" t="e">
        <f t="shared" si="47"/>
        <v>#VALUE!</v>
      </c>
    </row>
    <row r="1477" spans="7:8">
      <c r="G1477" s="63" t="e">
        <f t="shared" si="46"/>
        <v>#VALUE!</v>
      </c>
      <c r="H1477" s="63" t="e">
        <f t="shared" si="47"/>
        <v>#VALUE!</v>
      </c>
    </row>
    <row r="1478" spans="7:8">
      <c r="G1478" s="63" t="e">
        <f t="shared" si="46"/>
        <v>#VALUE!</v>
      </c>
      <c r="H1478" s="63" t="e">
        <f t="shared" si="47"/>
        <v>#VALUE!</v>
      </c>
    </row>
    <row r="1479" spans="7:8">
      <c r="G1479" s="63" t="e">
        <f t="shared" si="46"/>
        <v>#VALUE!</v>
      </c>
      <c r="H1479" s="63" t="e">
        <f t="shared" si="47"/>
        <v>#VALUE!</v>
      </c>
    </row>
    <row r="1480" spans="7:8">
      <c r="G1480" s="63" t="e">
        <f t="shared" si="46"/>
        <v>#VALUE!</v>
      </c>
      <c r="H1480" s="63" t="e">
        <f t="shared" si="47"/>
        <v>#VALUE!</v>
      </c>
    </row>
    <row r="1481" spans="7:8">
      <c r="G1481" s="63" t="e">
        <f t="shared" si="46"/>
        <v>#VALUE!</v>
      </c>
      <c r="H1481" s="63" t="e">
        <f t="shared" si="47"/>
        <v>#VALUE!</v>
      </c>
    </row>
    <row r="1482" spans="7:8">
      <c r="G1482" s="63" t="e">
        <f t="shared" si="46"/>
        <v>#VALUE!</v>
      </c>
      <c r="H1482" s="63" t="e">
        <f t="shared" si="47"/>
        <v>#VALUE!</v>
      </c>
    </row>
    <row r="1483" spans="7:8">
      <c r="G1483" s="63" t="e">
        <f t="shared" si="46"/>
        <v>#VALUE!</v>
      </c>
      <c r="H1483" s="63" t="e">
        <f t="shared" si="47"/>
        <v>#VALUE!</v>
      </c>
    </row>
    <row r="1484" spans="7:8">
      <c r="G1484" s="63" t="e">
        <f t="shared" si="46"/>
        <v>#VALUE!</v>
      </c>
      <c r="H1484" s="63" t="e">
        <f t="shared" si="47"/>
        <v>#VALUE!</v>
      </c>
    </row>
    <row r="1485" spans="7:8">
      <c r="G1485" s="63" t="e">
        <f t="shared" si="46"/>
        <v>#VALUE!</v>
      </c>
      <c r="H1485" s="63" t="e">
        <f t="shared" si="47"/>
        <v>#VALUE!</v>
      </c>
    </row>
    <row r="1486" spans="7:8">
      <c r="G1486" s="63" t="e">
        <f t="shared" si="46"/>
        <v>#VALUE!</v>
      </c>
      <c r="H1486" s="63" t="e">
        <f t="shared" si="47"/>
        <v>#VALUE!</v>
      </c>
    </row>
    <row r="1487" spans="7:8">
      <c r="G1487" s="63" t="e">
        <f t="shared" si="46"/>
        <v>#VALUE!</v>
      </c>
      <c r="H1487" s="63" t="e">
        <f t="shared" si="47"/>
        <v>#VALUE!</v>
      </c>
    </row>
    <row r="1488" spans="7:8">
      <c r="G1488" s="63" t="e">
        <f t="shared" si="46"/>
        <v>#VALUE!</v>
      </c>
      <c r="H1488" s="63" t="e">
        <f t="shared" si="47"/>
        <v>#VALUE!</v>
      </c>
    </row>
    <row r="1489" spans="7:8">
      <c r="G1489" s="63" t="e">
        <f t="shared" si="46"/>
        <v>#VALUE!</v>
      </c>
      <c r="H1489" s="63" t="e">
        <f t="shared" si="47"/>
        <v>#VALUE!</v>
      </c>
    </row>
    <row r="1490" spans="7:8">
      <c r="G1490" s="63" t="e">
        <f t="shared" si="46"/>
        <v>#VALUE!</v>
      </c>
      <c r="H1490" s="63" t="e">
        <f t="shared" si="47"/>
        <v>#VALUE!</v>
      </c>
    </row>
    <row r="1491" spans="7:8">
      <c r="G1491" s="63" t="e">
        <f t="shared" si="46"/>
        <v>#VALUE!</v>
      </c>
      <c r="H1491" s="63" t="e">
        <f t="shared" si="47"/>
        <v>#VALUE!</v>
      </c>
    </row>
    <row r="1492" spans="7:8">
      <c r="G1492" s="63" t="e">
        <f t="shared" si="46"/>
        <v>#VALUE!</v>
      </c>
      <c r="H1492" s="63" t="e">
        <f t="shared" si="47"/>
        <v>#VALUE!</v>
      </c>
    </row>
    <row r="1493" spans="7:8">
      <c r="G1493" s="63" t="e">
        <f t="shared" si="46"/>
        <v>#VALUE!</v>
      </c>
      <c r="H1493" s="63" t="e">
        <f t="shared" si="47"/>
        <v>#VALUE!</v>
      </c>
    </row>
    <row r="1494" spans="7:8">
      <c r="G1494" s="63" t="e">
        <f t="shared" si="46"/>
        <v>#VALUE!</v>
      </c>
      <c r="H1494" s="63" t="e">
        <f t="shared" si="47"/>
        <v>#VALUE!</v>
      </c>
    </row>
    <row r="1495" spans="7:8">
      <c r="G1495" s="63" t="e">
        <f t="shared" si="46"/>
        <v>#VALUE!</v>
      </c>
      <c r="H1495" s="63" t="e">
        <f t="shared" si="47"/>
        <v>#VALUE!</v>
      </c>
    </row>
    <row r="1496" spans="7:8">
      <c r="G1496" s="63" t="e">
        <f t="shared" si="46"/>
        <v>#VALUE!</v>
      </c>
      <c r="H1496" s="63" t="e">
        <f t="shared" si="47"/>
        <v>#VALUE!</v>
      </c>
    </row>
    <row r="1497" spans="7:8">
      <c r="G1497" s="63" t="e">
        <f t="shared" si="46"/>
        <v>#VALUE!</v>
      </c>
      <c r="H1497" s="63" t="e">
        <f t="shared" si="47"/>
        <v>#VALUE!</v>
      </c>
    </row>
    <row r="1498" spans="7:8">
      <c r="G1498" s="63" t="e">
        <f t="shared" si="46"/>
        <v>#VALUE!</v>
      </c>
      <c r="H1498" s="63" t="e">
        <f t="shared" si="47"/>
        <v>#VALUE!</v>
      </c>
    </row>
    <row r="1499" spans="7:8">
      <c r="G1499" s="63" t="e">
        <f t="shared" si="46"/>
        <v>#VALUE!</v>
      </c>
      <c r="H1499" s="63" t="e">
        <f t="shared" si="47"/>
        <v>#VALUE!</v>
      </c>
    </row>
    <row r="1500" spans="7:8">
      <c r="G1500" s="63" t="e">
        <f t="shared" si="46"/>
        <v>#VALUE!</v>
      </c>
      <c r="H1500" s="63" t="e">
        <f t="shared" si="47"/>
        <v>#VALUE!</v>
      </c>
    </row>
    <row r="1501" spans="7:8">
      <c r="G1501" s="63" t="e">
        <f t="shared" si="46"/>
        <v>#VALUE!</v>
      </c>
      <c r="H1501" s="63" t="e">
        <f t="shared" si="47"/>
        <v>#VALUE!</v>
      </c>
    </row>
    <row r="1502" spans="7:8">
      <c r="G1502" s="63" t="e">
        <f t="shared" si="46"/>
        <v>#VALUE!</v>
      </c>
      <c r="H1502" s="63" t="e">
        <f t="shared" si="47"/>
        <v>#VALUE!</v>
      </c>
    </row>
    <row r="1503" spans="7:8">
      <c r="G1503" s="63" t="e">
        <f t="shared" si="46"/>
        <v>#VALUE!</v>
      </c>
      <c r="H1503" s="63" t="e">
        <f t="shared" si="47"/>
        <v>#VALUE!</v>
      </c>
    </row>
    <row r="1504" spans="7:8">
      <c r="G1504" s="63" t="e">
        <f t="shared" si="46"/>
        <v>#VALUE!</v>
      </c>
      <c r="H1504" s="63" t="e">
        <f t="shared" si="47"/>
        <v>#VALUE!</v>
      </c>
    </row>
    <row r="1505" spans="7:8">
      <c r="G1505" s="63" t="e">
        <f t="shared" si="46"/>
        <v>#VALUE!</v>
      </c>
      <c r="H1505" s="63" t="e">
        <f t="shared" si="47"/>
        <v>#VALUE!</v>
      </c>
    </row>
    <row r="1506" spans="7:8">
      <c r="G1506" s="63" t="e">
        <f t="shared" si="46"/>
        <v>#VALUE!</v>
      </c>
      <c r="H1506" s="63" t="e">
        <f t="shared" si="47"/>
        <v>#VALUE!</v>
      </c>
    </row>
    <row r="1507" spans="7:8">
      <c r="G1507" s="63" t="e">
        <f t="shared" si="46"/>
        <v>#VALUE!</v>
      </c>
      <c r="H1507" s="63" t="e">
        <f t="shared" si="47"/>
        <v>#VALUE!</v>
      </c>
    </row>
    <row r="1508" spans="7:8">
      <c r="G1508" s="63" t="e">
        <f t="shared" si="46"/>
        <v>#VALUE!</v>
      </c>
      <c r="H1508" s="63" t="e">
        <f t="shared" si="47"/>
        <v>#VALUE!</v>
      </c>
    </row>
    <row r="1509" spans="7:8">
      <c r="G1509" s="63" t="e">
        <f t="shared" si="46"/>
        <v>#VALUE!</v>
      </c>
      <c r="H1509" s="63" t="e">
        <f t="shared" si="47"/>
        <v>#VALUE!</v>
      </c>
    </row>
    <row r="1510" spans="7:8">
      <c r="G1510" s="63" t="e">
        <f t="shared" si="46"/>
        <v>#VALUE!</v>
      </c>
      <c r="H1510" s="63" t="e">
        <f t="shared" si="47"/>
        <v>#VALUE!</v>
      </c>
    </row>
    <row r="1511" spans="7:8">
      <c r="G1511" s="63" t="e">
        <f t="shared" si="46"/>
        <v>#VALUE!</v>
      </c>
      <c r="H1511" s="63" t="e">
        <f t="shared" si="47"/>
        <v>#VALUE!</v>
      </c>
    </row>
    <row r="1512" spans="7:8">
      <c r="G1512" s="63" t="e">
        <f t="shared" si="46"/>
        <v>#VALUE!</v>
      </c>
      <c r="H1512" s="63" t="e">
        <f t="shared" si="47"/>
        <v>#VALUE!</v>
      </c>
    </row>
    <row r="1513" spans="7:8">
      <c r="G1513" s="63" t="e">
        <f t="shared" si="46"/>
        <v>#VALUE!</v>
      </c>
      <c r="H1513" s="63" t="e">
        <f t="shared" si="47"/>
        <v>#VALUE!</v>
      </c>
    </row>
    <row r="1514" spans="7:8">
      <c r="G1514" s="63" t="e">
        <f t="shared" si="46"/>
        <v>#VALUE!</v>
      </c>
      <c r="H1514" s="63" t="e">
        <f t="shared" si="47"/>
        <v>#VALUE!</v>
      </c>
    </row>
    <row r="1515" spans="7:8">
      <c r="G1515" s="63" t="e">
        <f t="shared" si="46"/>
        <v>#VALUE!</v>
      </c>
      <c r="H1515" s="63" t="e">
        <f t="shared" si="47"/>
        <v>#VALUE!</v>
      </c>
    </row>
    <row r="1516" spans="7:8">
      <c r="G1516" s="63" t="e">
        <f t="shared" si="46"/>
        <v>#VALUE!</v>
      </c>
      <c r="H1516" s="63" t="e">
        <f t="shared" si="47"/>
        <v>#VALUE!</v>
      </c>
    </row>
    <row r="1517" spans="7:8">
      <c r="G1517" s="63" t="e">
        <f t="shared" si="46"/>
        <v>#VALUE!</v>
      </c>
      <c r="H1517" s="63" t="e">
        <f t="shared" si="47"/>
        <v>#VALUE!</v>
      </c>
    </row>
    <row r="1518" spans="7:8">
      <c r="G1518" s="63" t="e">
        <f t="shared" si="46"/>
        <v>#VALUE!</v>
      </c>
      <c r="H1518" s="63" t="e">
        <f t="shared" si="47"/>
        <v>#VALUE!</v>
      </c>
    </row>
    <row r="1519" spans="7:8">
      <c r="G1519" s="63" t="e">
        <f t="shared" si="46"/>
        <v>#VALUE!</v>
      </c>
      <c r="H1519" s="63" t="e">
        <f t="shared" si="47"/>
        <v>#VALUE!</v>
      </c>
    </row>
    <row r="1520" spans="7:8">
      <c r="G1520" s="63" t="e">
        <f t="shared" si="46"/>
        <v>#VALUE!</v>
      </c>
      <c r="H1520" s="63" t="e">
        <f t="shared" si="47"/>
        <v>#VALUE!</v>
      </c>
    </row>
    <row r="1521" spans="7:8">
      <c r="G1521" s="63" t="e">
        <f t="shared" si="46"/>
        <v>#VALUE!</v>
      </c>
      <c r="H1521" s="63" t="e">
        <f t="shared" si="47"/>
        <v>#VALUE!</v>
      </c>
    </row>
    <row r="1522" spans="7:8">
      <c r="G1522" s="63" t="e">
        <f t="shared" si="46"/>
        <v>#VALUE!</v>
      </c>
      <c r="H1522" s="63" t="e">
        <f t="shared" si="47"/>
        <v>#VALUE!</v>
      </c>
    </row>
    <row r="1523" spans="7:8">
      <c r="G1523" s="63" t="e">
        <f t="shared" si="46"/>
        <v>#VALUE!</v>
      </c>
      <c r="H1523" s="63" t="e">
        <f t="shared" si="47"/>
        <v>#VALUE!</v>
      </c>
    </row>
    <row r="1524" spans="7:8">
      <c r="G1524" s="63" t="e">
        <f t="shared" si="46"/>
        <v>#VALUE!</v>
      </c>
      <c r="H1524" s="63" t="e">
        <f t="shared" si="47"/>
        <v>#VALUE!</v>
      </c>
    </row>
    <row r="1525" spans="7:8">
      <c r="G1525" s="63" t="e">
        <f t="shared" si="46"/>
        <v>#VALUE!</v>
      </c>
      <c r="H1525" s="63" t="e">
        <f t="shared" si="47"/>
        <v>#VALUE!</v>
      </c>
    </row>
    <row r="1526" spans="7:8">
      <c r="G1526" s="63" t="e">
        <f t="shared" si="46"/>
        <v>#VALUE!</v>
      </c>
      <c r="H1526" s="63" t="e">
        <f t="shared" si="47"/>
        <v>#VALUE!</v>
      </c>
    </row>
    <row r="1527" spans="7:8">
      <c r="G1527" s="63" t="e">
        <f t="shared" si="46"/>
        <v>#VALUE!</v>
      </c>
      <c r="H1527" s="63" t="e">
        <f t="shared" si="47"/>
        <v>#VALUE!</v>
      </c>
    </row>
    <row r="1528" spans="7:8">
      <c r="G1528" s="63" t="e">
        <f t="shared" si="46"/>
        <v>#VALUE!</v>
      </c>
      <c r="H1528" s="63" t="e">
        <f t="shared" si="47"/>
        <v>#VALUE!</v>
      </c>
    </row>
    <row r="1529" spans="7:8">
      <c r="G1529" s="63" t="e">
        <f t="shared" si="46"/>
        <v>#VALUE!</v>
      </c>
      <c r="H1529" s="63" t="e">
        <f t="shared" si="47"/>
        <v>#VALUE!</v>
      </c>
    </row>
    <row r="1530" spans="7:8">
      <c r="G1530" s="63" t="e">
        <f t="shared" si="46"/>
        <v>#VALUE!</v>
      </c>
      <c r="H1530" s="63" t="e">
        <f t="shared" si="47"/>
        <v>#VALUE!</v>
      </c>
    </row>
    <row r="1531" spans="7:8">
      <c r="G1531" s="63" t="e">
        <f t="shared" si="46"/>
        <v>#VALUE!</v>
      </c>
      <c r="H1531" s="63" t="e">
        <f t="shared" si="47"/>
        <v>#VALUE!</v>
      </c>
    </row>
    <row r="1532" spans="7:8">
      <c r="G1532" s="63" t="e">
        <f t="shared" si="46"/>
        <v>#VALUE!</v>
      </c>
      <c r="H1532" s="63" t="e">
        <f t="shared" si="47"/>
        <v>#VALUE!</v>
      </c>
    </row>
    <row r="1533" spans="7:8">
      <c r="G1533" s="63" t="e">
        <f t="shared" si="46"/>
        <v>#VALUE!</v>
      </c>
      <c r="H1533" s="63" t="e">
        <f t="shared" si="47"/>
        <v>#VALUE!</v>
      </c>
    </row>
    <row r="1534" spans="7:8">
      <c r="G1534" s="63" t="e">
        <f t="shared" si="46"/>
        <v>#VALUE!</v>
      </c>
      <c r="H1534" s="63" t="e">
        <f t="shared" si="47"/>
        <v>#VALUE!</v>
      </c>
    </row>
    <row r="1535" spans="7:8">
      <c r="G1535" s="63" t="e">
        <f t="shared" si="46"/>
        <v>#VALUE!</v>
      </c>
      <c r="H1535" s="63" t="e">
        <f t="shared" si="47"/>
        <v>#VALUE!</v>
      </c>
    </row>
    <row r="1536" spans="7:8">
      <c r="G1536" s="63" t="e">
        <f t="shared" si="46"/>
        <v>#VALUE!</v>
      </c>
      <c r="H1536" s="63" t="e">
        <f t="shared" si="47"/>
        <v>#VALUE!</v>
      </c>
    </row>
    <row r="1537" spans="7:8">
      <c r="G1537" s="63" t="e">
        <f t="shared" si="46"/>
        <v>#VALUE!</v>
      </c>
      <c r="H1537" s="63" t="e">
        <f t="shared" si="47"/>
        <v>#VALUE!</v>
      </c>
    </row>
    <row r="1538" spans="7:8">
      <c r="G1538" s="63" t="e">
        <f t="shared" si="46"/>
        <v>#VALUE!</v>
      </c>
      <c r="H1538" s="63" t="e">
        <f t="shared" si="47"/>
        <v>#VALUE!</v>
      </c>
    </row>
    <row r="1539" spans="7:8">
      <c r="G1539" s="63" t="e">
        <f t="shared" ref="G1539:G1602" si="48">IF(OR(A1539="RID_PB77",A1539="RID_PB77A3"),"WPCI77",IF(A1539="RIDTCIAS","CSCI49",IF(A1539="RID_HCPTM","CHCPT_",IF(LEFT(A1539,1)="C",A1539,MID(A1539,6,LEN(A1539)-5)))))</f>
        <v>#VALUE!</v>
      </c>
      <c r="H1539" s="63" t="e">
        <f t="shared" ref="H1539:H1602" si="49">IF(OR(G1539="MJG1",G1539="MJG2"),"MJG",G1539)&amp;"_"&amp;B1539</f>
        <v>#VALUE!</v>
      </c>
    </row>
    <row r="1540" spans="7:8">
      <c r="G1540" s="63" t="e">
        <f t="shared" si="48"/>
        <v>#VALUE!</v>
      </c>
      <c r="H1540" s="63" t="e">
        <f t="shared" si="49"/>
        <v>#VALUE!</v>
      </c>
    </row>
    <row r="1541" spans="7:8">
      <c r="G1541" s="63" t="e">
        <f t="shared" si="48"/>
        <v>#VALUE!</v>
      </c>
      <c r="H1541" s="63" t="e">
        <f t="shared" si="49"/>
        <v>#VALUE!</v>
      </c>
    </row>
    <row r="1542" spans="7:8">
      <c r="G1542" s="63" t="e">
        <f t="shared" si="48"/>
        <v>#VALUE!</v>
      </c>
      <c r="H1542" s="63" t="e">
        <f t="shared" si="49"/>
        <v>#VALUE!</v>
      </c>
    </row>
    <row r="1543" spans="7:8">
      <c r="G1543" s="63" t="e">
        <f t="shared" si="48"/>
        <v>#VALUE!</v>
      </c>
      <c r="H1543" s="63" t="e">
        <f t="shared" si="49"/>
        <v>#VALUE!</v>
      </c>
    </row>
    <row r="1544" spans="7:8">
      <c r="G1544" s="63" t="e">
        <f t="shared" si="48"/>
        <v>#VALUE!</v>
      </c>
      <c r="H1544" s="63" t="e">
        <f t="shared" si="49"/>
        <v>#VALUE!</v>
      </c>
    </row>
    <row r="1545" spans="7:8">
      <c r="G1545" s="63" t="e">
        <f t="shared" si="48"/>
        <v>#VALUE!</v>
      </c>
      <c r="H1545" s="63" t="e">
        <f t="shared" si="49"/>
        <v>#VALUE!</v>
      </c>
    </row>
    <row r="1546" spans="7:8">
      <c r="G1546" s="63" t="e">
        <f t="shared" si="48"/>
        <v>#VALUE!</v>
      </c>
      <c r="H1546" s="63" t="e">
        <f t="shared" si="49"/>
        <v>#VALUE!</v>
      </c>
    </row>
    <row r="1547" spans="7:8">
      <c r="G1547" s="63" t="e">
        <f t="shared" si="48"/>
        <v>#VALUE!</v>
      </c>
      <c r="H1547" s="63" t="e">
        <f t="shared" si="49"/>
        <v>#VALUE!</v>
      </c>
    </row>
    <row r="1548" spans="7:8">
      <c r="G1548" s="63" t="e">
        <f t="shared" si="48"/>
        <v>#VALUE!</v>
      </c>
      <c r="H1548" s="63" t="e">
        <f t="shared" si="49"/>
        <v>#VALUE!</v>
      </c>
    </row>
    <row r="1549" spans="7:8">
      <c r="G1549" s="63" t="e">
        <f t="shared" si="48"/>
        <v>#VALUE!</v>
      </c>
      <c r="H1549" s="63" t="e">
        <f t="shared" si="49"/>
        <v>#VALUE!</v>
      </c>
    </row>
    <row r="1550" spans="7:8">
      <c r="G1550" s="63" t="e">
        <f t="shared" si="48"/>
        <v>#VALUE!</v>
      </c>
      <c r="H1550" s="63" t="e">
        <f t="shared" si="49"/>
        <v>#VALUE!</v>
      </c>
    </row>
    <row r="1551" spans="7:8">
      <c r="G1551" s="63" t="e">
        <f t="shared" si="48"/>
        <v>#VALUE!</v>
      </c>
      <c r="H1551" s="63" t="e">
        <f t="shared" si="49"/>
        <v>#VALUE!</v>
      </c>
    </row>
    <row r="1552" spans="7:8">
      <c r="G1552" s="63" t="e">
        <f t="shared" si="48"/>
        <v>#VALUE!</v>
      </c>
      <c r="H1552" s="63" t="e">
        <f t="shared" si="49"/>
        <v>#VALUE!</v>
      </c>
    </row>
    <row r="1553" spans="7:8">
      <c r="G1553" s="63" t="e">
        <f t="shared" si="48"/>
        <v>#VALUE!</v>
      </c>
      <c r="H1553" s="63" t="e">
        <f t="shared" si="49"/>
        <v>#VALUE!</v>
      </c>
    </row>
    <row r="1554" spans="7:8">
      <c r="G1554" s="63" t="e">
        <f t="shared" si="48"/>
        <v>#VALUE!</v>
      </c>
      <c r="H1554" s="63" t="e">
        <f t="shared" si="49"/>
        <v>#VALUE!</v>
      </c>
    </row>
    <row r="1555" spans="7:8">
      <c r="G1555" s="63" t="e">
        <f t="shared" si="48"/>
        <v>#VALUE!</v>
      </c>
      <c r="H1555" s="63" t="e">
        <f t="shared" si="49"/>
        <v>#VALUE!</v>
      </c>
    </row>
    <row r="1556" spans="7:8">
      <c r="G1556" s="63" t="e">
        <f t="shared" si="48"/>
        <v>#VALUE!</v>
      </c>
      <c r="H1556" s="63" t="e">
        <f t="shared" si="49"/>
        <v>#VALUE!</v>
      </c>
    </row>
    <row r="1557" spans="7:8">
      <c r="G1557" s="63" t="e">
        <f t="shared" si="48"/>
        <v>#VALUE!</v>
      </c>
      <c r="H1557" s="63" t="e">
        <f t="shared" si="49"/>
        <v>#VALUE!</v>
      </c>
    </row>
    <row r="1558" spans="7:8">
      <c r="G1558" s="63" t="e">
        <f t="shared" si="48"/>
        <v>#VALUE!</v>
      </c>
      <c r="H1558" s="63" t="e">
        <f t="shared" si="49"/>
        <v>#VALUE!</v>
      </c>
    </row>
    <row r="1559" spans="7:8">
      <c r="G1559" s="63" t="e">
        <f t="shared" si="48"/>
        <v>#VALUE!</v>
      </c>
      <c r="H1559" s="63" t="e">
        <f t="shared" si="49"/>
        <v>#VALUE!</v>
      </c>
    </row>
    <row r="1560" spans="7:8">
      <c r="G1560" s="63" t="e">
        <f t="shared" si="48"/>
        <v>#VALUE!</v>
      </c>
      <c r="H1560" s="63" t="e">
        <f t="shared" si="49"/>
        <v>#VALUE!</v>
      </c>
    </row>
    <row r="1561" spans="7:8">
      <c r="G1561" s="63" t="e">
        <f t="shared" si="48"/>
        <v>#VALUE!</v>
      </c>
      <c r="H1561" s="63" t="e">
        <f t="shared" si="49"/>
        <v>#VALUE!</v>
      </c>
    </row>
    <row r="1562" spans="7:8">
      <c r="G1562" s="63" t="e">
        <f t="shared" si="48"/>
        <v>#VALUE!</v>
      </c>
      <c r="H1562" s="63" t="e">
        <f t="shared" si="49"/>
        <v>#VALUE!</v>
      </c>
    </row>
    <row r="1563" spans="7:8">
      <c r="G1563" s="63" t="e">
        <f t="shared" si="48"/>
        <v>#VALUE!</v>
      </c>
      <c r="H1563" s="63" t="e">
        <f t="shared" si="49"/>
        <v>#VALUE!</v>
      </c>
    </row>
    <row r="1564" spans="7:8">
      <c r="G1564" s="63" t="e">
        <f t="shared" si="48"/>
        <v>#VALUE!</v>
      </c>
      <c r="H1564" s="63" t="e">
        <f t="shared" si="49"/>
        <v>#VALUE!</v>
      </c>
    </row>
    <row r="1565" spans="7:8">
      <c r="G1565" s="63" t="e">
        <f t="shared" si="48"/>
        <v>#VALUE!</v>
      </c>
      <c r="H1565" s="63" t="e">
        <f t="shared" si="49"/>
        <v>#VALUE!</v>
      </c>
    </row>
    <row r="1566" spans="7:8">
      <c r="G1566" s="63" t="e">
        <f t="shared" si="48"/>
        <v>#VALUE!</v>
      </c>
      <c r="H1566" s="63" t="e">
        <f t="shared" si="49"/>
        <v>#VALUE!</v>
      </c>
    </row>
    <row r="1567" spans="7:8">
      <c r="G1567" s="63" t="e">
        <f t="shared" si="48"/>
        <v>#VALUE!</v>
      </c>
      <c r="H1567" s="63" t="e">
        <f t="shared" si="49"/>
        <v>#VALUE!</v>
      </c>
    </row>
    <row r="1568" spans="7:8">
      <c r="G1568" s="63" t="e">
        <f t="shared" si="48"/>
        <v>#VALUE!</v>
      </c>
      <c r="H1568" s="63" t="e">
        <f t="shared" si="49"/>
        <v>#VALUE!</v>
      </c>
    </row>
    <row r="1569" spans="7:8">
      <c r="G1569" s="63" t="e">
        <f t="shared" si="48"/>
        <v>#VALUE!</v>
      </c>
      <c r="H1569" s="63" t="e">
        <f t="shared" si="49"/>
        <v>#VALUE!</v>
      </c>
    </row>
    <row r="1570" spans="7:8">
      <c r="G1570" s="63" t="e">
        <f t="shared" si="48"/>
        <v>#VALUE!</v>
      </c>
      <c r="H1570" s="63" t="e">
        <f t="shared" si="49"/>
        <v>#VALUE!</v>
      </c>
    </row>
    <row r="1571" spans="7:8">
      <c r="G1571" s="63" t="e">
        <f t="shared" si="48"/>
        <v>#VALUE!</v>
      </c>
      <c r="H1571" s="63" t="e">
        <f t="shared" si="49"/>
        <v>#VALUE!</v>
      </c>
    </row>
    <row r="1572" spans="7:8">
      <c r="G1572" s="63" t="e">
        <f t="shared" si="48"/>
        <v>#VALUE!</v>
      </c>
      <c r="H1572" s="63" t="e">
        <f t="shared" si="49"/>
        <v>#VALUE!</v>
      </c>
    </row>
    <row r="1573" spans="7:8">
      <c r="G1573" s="63" t="e">
        <f t="shared" si="48"/>
        <v>#VALUE!</v>
      </c>
      <c r="H1573" s="63" t="e">
        <f t="shared" si="49"/>
        <v>#VALUE!</v>
      </c>
    </row>
    <row r="1574" spans="7:8">
      <c r="G1574" s="63" t="e">
        <f t="shared" si="48"/>
        <v>#VALUE!</v>
      </c>
      <c r="H1574" s="63" t="e">
        <f t="shared" si="49"/>
        <v>#VALUE!</v>
      </c>
    </row>
    <row r="1575" spans="7:8">
      <c r="G1575" s="63" t="e">
        <f t="shared" si="48"/>
        <v>#VALUE!</v>
      </c>
      <c r="H1575" s="63" t="e">
        <f t="shared" si="49"/>
        <v>#VALUE!</v>
      </c>
    </row>
    <row r="1576" spans="7:8">
      <c r="G1576" s="63" t="e">
        <f t="shared" si="48"/>
        <v>#VALUE!</v>
      </c>
      <c r="H1576" s="63" t="e">
        <f t="shared" si="49"/>
        <v>#VALUE!</v>
      </c>
    </row>
    <row r="1577" spans="7:8">
      <c r="G1577" s="63" t="e">
        <f t="shared" si="48"/>
        <v>#VALUE!</v>
      </c>
      <c r="H1577" s="63" t="e">
        <f t="shared" si="49"/>
        <v>#VALUE!</v>
      </c>
    </row>
    <row r="1578" spans="7:8">
      <c r="G1578" s="63" t="e">
        <f t="shared" si="48"/>
        <v>#VALUE!</v>
      </c>
      <c r="H1578" s="63" t="e">
        <f t="shared" si="49"/>
        <v>#VALUE!</v>
      </c>
    </row>
    <row r="1579" spans="7:8">
      <c r="G1579" s="63" t="e">
        <f t="shared" si="48"/>
        <v>#VALUE!</v>
      </c>
      <c r="H1579" s="63" t="e">
        <f t="shared" si="49"/>
        <v>#VALUE!</v>
      </c>
    </row>
    <row r="1580" spans="7:8">
      <c r="G1580" s="63" t="e">
        <f t="shared" si="48"/>
        <v>#VALUE!</v>
      </c>
      <c r="H1580" s="63" t="e">
        <f t="shared" si="49"/>
        <v>#VALUE!</v>
      </c>
    </row>
    <row r="1581" spans="7:8">
      <c r="G1581" s="63" t="e">
        <f t="shared" si="48"/>
        <v>#VALUE!</v>
      </c>
      <c r="H1581" s="63" t="e">
        <f t="shared" si="49"/>
        <v>#VALUE!</v>
      </c>
    </row>
    <row r="1582" spans="7:8">
      <c r="G1582" s="63" t="e">
        <f t="shared" si="48"/>
        <v>#VALUE!</v>
      </c>
      <c r="H1582" s="63" t="e">
        <f t="shared" si="49"/>
        <v>#VALUE!</v>
      </c>
    </row>
    <row r="1583" spans="7:8">
      <c r="G1583" s="63" t="e">
        <f t="shared" si="48"/>
        <v>#VALUE!</v>
      </c>
      <c r="H1583" s="63" t="e">
        <f t="shared" si="49"/>
        <v>#VALUE!</v>
      </c>
    </row>
    <row r="1584" spans="7:8">
      <c r="G1584" s="63" t="e">
        <f t="shared" si="48"/>
        <v>#VALUE!</v>
      </c>
      <c r="H1584" s="63" t="e">
        <f t="shared" si="49"/>
        <v>#VALUE!</v>
      </c>
    </row>
    <row r="1585" spans="7:8">
      <c r="G1585" s="63" t="e">
        <f t="shared" si="48"/>
        <v>#VALUE!</v>
      </c>
      <c r="H1585" s="63" t="e">
        <f t="shared" si="49"/>
        <v>#VALUE!</v>
      </c>
    </row>
    <row r="1586" spans="7:8">
      <c r="G1586" s="63" t="e">
        <f t="shared" si="48"/>
        <v>#VALUE!</v>
      </c>
      <c r="H1586" s="63" t="e">
        <f t="shared" si="49"/>
        <v>#VALUE!</v>
      </c>
    </row>
    <row r="1587" spans="7:8">
      <c r="G1587" s="63" t="e">
        <f t="shared" si="48"/>
        <v>#VALUE!</v>
      </c>
      <c r="H1587" s="63" t="e">
        <f t="shared" si="49"/>
        <v>#VALUE!</v>
      </c>
    </row>
    <row r="1588" spans="7:8">
      <c r="G1588" s="63" t="e">
        <f t="shared" si="48"/>
        <v>#VALUE!</v>
      </c>
      <c r="H1588" s="63" t="e">
        <f t="shared" si="49"/>
        <v>#VALUE!</v>
      </c>
    </row>
    <row r="1589" spans="7:8">
      <c r="G1589" s="63" t="e">
        <f t="shared" si="48"/>
        <v>#VALUE!</v>
      </c>
      <c r="H1589" s="63" t="e">
        <f t="shared" si="49"/>
        <v>#VALUE!</v>
      </c>
    </row>
    <row r="1590" spans="7:8">
      <c r="G1590" s="63" t="e">
        <f t="shared" si="48"/>
        <v>#VALUE!</v>
      </c>
      <c r="H1590" s="63" t="e">
        <f t="shared" si="49"/>
        <v>#VALUE!</v>
      </c>
    </row>
    <row r="1591" spans="7:8">
      <c r="G1591" s="63" t="e">
        <f t="shared" si="48"/>
        <v>#VALUE!</v>
      </c>
      <c r="H1591" s="63" t="e">
        <f t="shared" si="49"/>
        <v>#VALUE!</v>
      </c>
    </row>
    <row r="1592" spans="7:8">
      <c r="G1592" s="63" t="e">
        <f t="shared" si="48"/>
        <v>#VALUE!</v>
      </c>
      <c r="H1592" s="63" t="e">
        <f t="shared" si="49"/>
        <v>#VALUE!</v>
      </c>
    </row>
    <row r="1593" spans="7:8">
      <c r="G1593" s="63" t="e">
        <f t="shared" si="48"/>
        <v>#VALUE!</v>
      </c>
      <c r="H1593" s="63" t="e">
        <f t="shared" si="49"/>
        <v>#VALUE!</v>
      </c>
    </row>
    <row r="1594" spans="7:8">
      <c r="G1594" s="63" t="e">
        <f t="shared" si="48"/>
        <v>#VALUE!</v>
      </c>
      <c r="H1594" s="63" t="e">
        <f t="shared" si="49"/>
        <v>#VALUE!</v>
      </c>
    </row>
    <row r="1595" spans="7:8">
      <c r="G1595" s="63" t="e">
        <f t="shared" si="48"/>
        <v>#VALUE!</v>
      </c>
      <c r="H1595" s="63" t="e">
        <f t="shared" si="49"/>
        <v>#VALUE!</v>
      </c>
    </row>
    <row r="1596" spans="7:8">
      <c r="G1596" s="63" t="e">
        <f t="shared" si="48"/>
        <v>#VALUE!</v>
      </c>
      <c r="H1596" s="63" t="e">
        <f t="shared" si="49"/>
        <v>#VALUE!</v>
      </c>
    </row>
    <row r="1597" spans="7:8">
      <c r="G1597" s="63" t="e">
        <f t="shared" si="48"/>
        <v>#VALUE!</v>
      </c>
      <c r="H1597" s="63" t="e">
        <f t="shared" si="49"/>
        <v>#VALUE!</v>
      </c>
    </row>
    <row r="1598" spans="7:8">
      <c r="G1598" s="63" t="e">
        <f t="shared" si="48"/>
        <v>#VALUE!</v>
      </c>
      <c r="H1598" s="63" t="e">
        <f t="shared" si="49"/>
        <v>#VALUE!</v>
      </c>
    </row>
    <row r="1599" spans="7:8">
      <c r="G1599" s="63" t="e">
        <f t="shared" si="48"/>
        <v>#VALUE!</v>
      </c>
      <c r="H1599" s="63" t="e">
        <f t="shared" si="49"/>
        <v>#VALUE!</v>
      </c>
    </row>
    <row r="1600" spans="7:8">
      <c r="G1600" s="63" t="e">
        <f t="shared" si="48"/>
        <v>#VALUE!</v>
      </c>
      <c r="H1600" s="63" t="e">
        <f t="shared" si="49"/>
        <v>#VALUE!</v>
      </c>
    </row>
    <row r="1601" spans="7:8">
      <c r="G1601" s="63" t="e">
        <f t="shared" si="48"/>
        <v>#VALUE!</v>
      </c>
      <c r="H1601" s="63" t="e">
        <f t="shared" si="49"/>
        <v>#VALUE!</v>
      </c>
    </row>
    <row r="1602" spans="7:8">
      <c r="G1602" s="63" t="e">
        <f t="shared" si="48"/>
        <v>#VALUE!</v>
      </c>
      <c r="H1602" s="63" t="e">
        <f t="shared" si="49"/>
        <v>#VALUE!</v>
      </c>
    </row>
    <row r="1603" spans="7:8">
      <c r="G1603" s="63" t="e">
        <f t="shared" ref="G1603:G1666" si="50">IF(OR(A1603="RID_PB77",A1603="RID_PB77A3"),"WPCI77",IF(A1603="RIDTCIAS","CSCI49",IF(A1603="RID_HCPTM","CHCPT_",IF(LEFT(A1603,1)="C",A1603,MID(A1603,6,LEN(A1603)-5)))))</f>
        <v>#VALUE!</v>
      </c>
      <c r="H1603" s="63" t="e">
        <f t="shared" ref="H1603:H1666" si="51">IF(OR(G1603="MJG1",G1603="MJG2"),"MJG",G1603)&amp;"_"&amp;B1603</f>
        <v>#VALUE!</v>
      </c>
    </row>
    <row r="1604" spans="7:8">
      <c r="G1604" s="63" t="e">
        <f t="shared" si="50"/>
        <v>#VALUE!</v>
      </c>
      <c r="H1604" s="63" t="e">
        <f t="shared" si="51"/>
        <v>#VALUE!</v>
      </c>
    </row>
    <row r="1605" spans="7:8">
      <c r="G1605" s="63" t="e">
        <f t="shared" si="50"/>
        <v>#VALUE!</v>
      </c>
      <c r="H1605" s="63" t="e">
        <f t="shared" si="51"/>
        <v>#VALUE!</v>
      </c>
    </row>
    <row r="1606" spans="7:8">
      <c r="G1606" s="63" t="e">
        <f t="shared" si="50"/>
        <v>#VALUE!</v>
      </c>
      <c r="H1606" s="63" t="e">
        <f t="shared" si="51"/>
        <v>#VALUE!</v>
      </c>
    </row>
    <row r="1607" spans="7:8">
      <c r="G1607" s="63" t="e">
        <f t="shared" si="50"/>
        <v>#VALUE!</v>
      </c>
      <c r="H1607" s="63" t="e">
        <f t="shared" si="51"/>
        <v>#VALUE!</v>
      </c>
    </row>
    <row r="1608" spans="7:8">
      <c r="G1608" s="63" t="e">
        <f t="shared" si="50"/>
        <v>#VALUE!</v>
      </c>
      <c r="H1608" s="63" t="e">
        <f t="shared" si="51"/>
        <v>#VALUE!</v>
      </c>
    </row>
    <row r="1609" spans="7:8">
      <c r="G1609" s="63" t="e">
        <f t="shared" si="50"/>
        <v>#VALUE!</v>
      </c>
      <c r="H1609" s="63" t="e">
        <f t="shared" si="51"/>
        <v>#VALUE!</v>
      </c>
    </row>
    <row r="1610" spans="7:8">
      <c r="G1610" s="63" t="e">
        <f t="shared" si="50"/>
        <v>#VALUE!</v>
      </c>
      <c r="H1610" s="63" t="e">
        <f t="shared" si="51"/>
        <v>#VALUE!</v>
      </c>
    </row>
    <row r="1611" spans="7:8">
      <c r="G1611" s="63" t="e">
        <f t="shared" si="50"/>
        <v>#VALUE!</v>
      </c>
      <c r="H1611" s="63" t="e">
        <f t="shared" si="51"/>
        <v>#VALUE!</v>
      </c>
    </row>
    <row r="1612" spans="7:8">
      <c r="G1612" s="63" t="e">
        <f t="shared" si="50"/>
        <v>#VALUE!</v>
      </c>
      <c r="H1612" s="63" t="e">
        <f t="shared" si="51"/>
        <v>#VALUE!</v>
      </c>
    </row>
    <row r="1613" spans="7:8">
      <c r="G1613" s="63" t="e">
        <f t="shared" si="50"/>
        <v>#VALUE!</v>
      </c>
      <c r="H1613" s="63" t="e">
        <f t="shared" si="51"/>
        <v>#VALUE!</v>
      </c>
    </row>
    <row r="1614" spans="7:8">
      <c r="G1614" s="63" t="e">
        <f t="shared" si="50"/>
        <v>#VALUE!</v>
      </c>
      <c r="H1614" s="63" t="e">
        <f t="shared" si="51"/>
        <v>#VALUE!</v>
      </c>
    </row>
    <row r="1615" spans="7:8">
      <c r="G1615" s="63" t="e">
        <f t="shared" si="50"/>
        <v>#VALUE!</v>
      </c>
      <c r="H1615" s="63" t="e">
        <f t="shared" si="51"/>
        <v>#VALUE!</v>
      </c>
    </row>
    <row r="1616" spans="7:8">
      <c r="G1616" s="63" t="e">
        <f t="shared" si="50"/>
        <v>#VALUE!</v>
      </c>
      <c r="H1616" s="63" t="e">
        <f t="shared" si="51"/>
        <v>#VALUE!</v>
      </c>
    </row>
    <row r="1617" spans="7:8">
      <c r="G1617" s="63" t="e">
        <f t="shared" si="50"/>
        <v>#VALUE!</v>
      </c>
      <c r="H1617" s="63" t="e">
        <f t="shared" si="51"/>
        <v>#VALUE!</v>
      </c>
    </row>
    <row r="1618" spans="7:8">
      <c r="G1618" s="63" t="e">
        <f t="shared" si="50"/>
        <v>#VALUE!</v>
      </c>
      <c r="H1618" s="63" t="e">
        <f t="shared" si="51"/>
        <v>#VALUE!</v>
      </c>
    </row>
    <row r="1619" spans="7:8">
      <c r="G1619" s="63" t="e">
        <f t="shared" si="50"/>
        <v>#VALUE!</v>
      </c>
      <c r="H1619" s="63" t="e">
        <f t="shared" si="51"/>
        <v>#VALUE!</v>
      </c>
    </row>
    <row r="1620" spans="7:8">
      <c r="G1620" s="63" t="e">
        <f t="shared" si="50"/>
        <v>#VALUE!</v>
      </c>
      <c r="H1620" s="63" t="e">
        <f t="shared" si="51"/>
        <v>#VALUE!</v>
      </c>
    </row>
    <row r="1621" spans="7:8">
      <c r="G1621" s="63" t="e">
        <f t="shared" si="50"/>
        <v>#VALUE!</v>
      </c>
      <c r="H1621" s="63" t="e">
        <f t="shared" si="51"/>
        <v>#VALUE!</v>
      </c>
    </row>
    <row r="1622" spans="7:8">
      <c r="G1622" s="63" t="e">
        <f t="shared" si="50"/>
        <v>#VALUE!</v>
      </c>
      <c r="H1622" s="63" t="e">
        <f t="shared" si="51"/>
        <v>#VALUE!</v>
      </c>
    </row>
    <row r="1623" spans="7:8">
      <c r="G1623" s="63" t="e">
        <f t="shared" si="50"/>
        <v>#VALUE!</v>
      </c>
      <c r="H1623" s="63" t="e">
        <f t="shared" si="51"/>
        <v>#VALUE!</v>
      </c>
    </row>
    <row r="1624" spans="7:8">
      <c r="G1624" s="63" t="e">
        <f t="shared" si="50"/>
        <v>#VALUE!</v>
      </c>
      <c r="H1624" s="63" t="e">
        <f t="shared" si="51"/>
        <v>#VALUE!</v>
      </c>
    </row>
    <row r="1625" spans="7:8">
      <c r="G1625" s="63" t="e">
        <f t="shared" si="50"/>
        <v>#VALUE!</v>
      </c>
      <c r="H1625" s="63" t="e">
        <f t="shared" si="51"/>
        <v>#VALUE!</v>
      </c>
    </row>
    <row r="1626" spans="7:8">
      <c r="G1626" s="63" t="e">
        <f t="shared" si="50"/>
        <v>#VALUE!</v>
      </c>
      <c r="H1626" s="63" t="e">
        <f t="shared" si="51"/>
        <v>#VALUE!</v>
      </c>
    </row>
    <row r="1627" spans="7:8">
      <c r="G1627" s="63" t="e">
        <f t="shared" si="50"/>
        <v>#VALUE!</v>
      </c>
      <c r="H1627" s="63" t="e">
        <f t="shared" si="51"/>
        <v>#VALUE!</v>
      </c>
    </row>
    <row r="1628" spans="7:8">
      <c r="G1628" s="63" t="e">
        <f t="shared" si="50"/>
        <v>#VALUE!</v>
      </c>
      <c r="H1628" s="63" t="e">
        <f t="shared" si="51"/>
        <v>#VALUE!</v>
      </c>
    </row>
    <row r="1629" spans="7:8">
      <c r="G1629" s="63" t="e">
        <f t="shared" si="50"/>
        <v>#VALUE!</v>
      </c>
      <c r="H1629" s="63" t="e">
        <f t="shared" si="51"/>
        <v>#VALUE!</v>
      </c>
    </row>
    <row r="1630" spans="7:8">
      <c r="G1630" s="63" t="e">
        <f t="shared" si="50"/>
        <v>#VALUE!</v>
      </c>
      <c r="H1630" s="63" t="e">
        <f t="shared" si="51"/>
        <v>#VALUE!</v>
      </c>
    </row>
    <row r="1631" spans="7:8">
      <c r="G1631" s="63" t="e">
        <f t="shared" si="50"/>
        <v>#VALUE!</v>
      </c>
      <c r="H1631" s="63" t="e">
        <f t="shared" si="51"/>
        <v>#VALUE!</v>
      </c>
    </row>
    <row r="1632" spans="7:8">
      <c r="G1632" s="63" t="e">
        <f t="shared" si="50"/>
        <v>#VALUE!</v>
      </c>
      <c r="H1632" s="63" t="e">
        <f t="shared" si="51"/>
        <v>#VALUE!</v>
      </c>
    </row>
    <row r="1633" spans="7:8">
      <c r="G1633" s="63" t="e">
        <f t="shared" si="50"/>
        <v>#VALUE!</v>
      </c>
      <c r="H1633" s="63" t="e">
        <f t="shared" si="51"/>
        <v>#VALUE!</v>
      </c>
    </row>
    <row r="1634" spans="7:8">
      <c r="G1634" s="63" t="e">
        <f t="shared" si="50"/>
        <v>#VALUE!</v>
      </c>
      <c r="H1634" s="63" t="e">
        <f t="shared" si="51"/>
        <v>#VALUE!</v>
      </c>
    </row>
    <row r="1635" spans="7:8">
      <c r="G1635" s="63" t="e">
        <f t="shared" si="50"/>
        <v>#VALUE!</v>
      </c>
      <c r="H1635" s="63" t="e">
        <f t="shared" si="51"/>
        <v>#VALUE!</v>
      </c>
    </row>
    <row r="1636" spans="7:8">
      <c r="G1636" s="63" t="e">
        <f t="shared" si="50"/>
        <v>#VALUE!</v>
      </c>
      <c r="H1636" s="63" t="e">
        <f t="shared" si="51"/>
        <v>#VALUE!</v>
      </c>
    </row>
    <row r="1637" spans="7:8">
      <c r="G1637" s="63" t="e">
        <f t="shared" si="50"/>
        <v>#VALUE!</v>
      </c>
      <c r="H1637" s="63" t="e">
        <f t="shared" si="51"/>
        <v>#VALUE!</v>
      </c>
    </row>
    <row r="1638" spans="7:8">
      <c r="G1638" s="63" t="e">
        <f t="shared" si="50"/>
        <v>#VALUE!</v>
      </c>
      <c r="H1638" s="63" t="e">
        <f t="shared" si="51"/>
        <v>#VALUE!</v>
      </c>
    </row>
    <row r="1639" spans="7:8">
      <c r="G1639" s="63" t="e">
        <f t="shared" si="50"/>
        <v>#VALUE!</v>
      </c>
      <c r="H1639" s="63" t="e">
        <f t="shared" si="51"/>
        <v>#VALUE!</v>
      </c>
    </row>
    <row r="1640" spans="7:8">
      <c r="G1640" s="63" t="e">
        <f t="shared" si="50"/>
        <v>#VALUE!</v>
      </c>
      <c r="H1640" s="63" t="e">
        <f t="shared" si="51"/>
        <v>#VALUE!</v>
      </c>
    </row>
    <row r="1641" spans="7:8">
      <c r="G1641" s="63" t="e">
        <f t="shared" si="50"/>
        <v>#VALUE!</v>
      </c>
      <c r="H1641" s="63" t="e">
        <f t="shared" si="51"/>
        <v>#VALUE!</v>
      </c>
    </row>
    <row r="1642" spans="7:8">
      <c r="G1642" s="63" t="e">
        <f t="shared" si="50"/>
        <v>#VALUE!</v>
      </c>
      <c r="H1642" s="63" t="e">
        <f t="shared" si="51"/>
        <v>#VALUE!</v>
      </c>
    </row>
    <row r="1643" spans="7:8">
      <c r="G1643" s="63" t="e">
        <f t="shared" si="50"/>
        <v>#VALUE!</v>
      </c>
      <c r="H1643" s="63" t="e">
        <f t="shared" si="51"/>
        <v>#VALUE!</v>
      </c>
    </row>
    <row r="1644" spans="7:8">
      <c r="G1644" s="63" t="e">
        <f t="shared" si="50"/>
        <v>#VALUE!</v>
      </c>
      <c r="H1644" s="63" t="e">
        <f t="shared" si="51"/>
        <v>#VALUE!</v>
      </c>
    </row>
    <row r="1645" spans="7:8">
      <c r="G1645" s="63" t="e">
        <f t="shared" si="50"/>
        <v>#VALUE!</v>
      </c>
      <c r="H1645" s="63" t="e">
        <f t="shared" si="51"/>
        <v>#VALUE!</v>
      </c>
    </row>
    <row r="1646" spans="7:8">
      <c r="G1646" s="63" t="e">
        <f t="shared" si="50"/>
        <v>#VALUE!</v>
      </c>
      <c r="H1646" s="63" t="e">
        <f t="shared" si="51"/>
        <v>#VALUE!</v>
      </c>
    </row>
    <row r="1647" spans="7:8">
      <c r="G1647" s="63" t="e">
        <f t="shared" si="50"/>
        <v>#VALUE!</v>
      </c>
      <c r="H1647" s="63" t="e">
        <f t="shared" si="51"/>
        <v>#VALUE!</v>
      </c>
    </row>
    <row r="1648" spans="7:8">
      <c r="G1648" s="63" t="e">
        <f t="shared" si="50"/>
        <v>#VALUE!</v>
      </c>
      <c r="H1648" s="63" t="e">
        <f t="shared" si="51"/>
        <v>#VALUE!</v>
      </c>
    </row>
    <row r="1649" spans="7:8">
      <c r="G1649" s="63" t="e">
        <f t="shared" si="50"/>
        <v>#VALUE!</v>
      </c>
      <c r="H1649" s="63" t="e">
        <f t="shared" si="51"/>
        <v>#VALUE!</v>
      </c>
    </row>
    <row r="1650" spans="7:8">
      <c r="G1650" s="63" t="e">
        <f t="shared" si="50"/>
        <v>#VALUE!</v>
      </c>
      <c r="H1650" s="63" t="e">
        <f t="shared" si="51"/>
        <v>#VALUE!</v>
      </c>
    </row>
    <row r="1651" spans="7:8">
      <c r="G1651" s="63" t="e">
        <f t="shared" si="50"/>
        <v>#VALUE!</v>
      </c>
      <c r="H1651" s="63" t="e">
        <f t="shared" si="51"/>
        <v>#VALUE!</v>
      </c>
    </row>
    <row r="1652" spans="7:8">
      <c r="G1652" s="63" t="e">
        <f t="shared" si="50"/>
        <v>#VALUE!</v>
      </c>
      <c r="H1652" s="63" t="e">
        <f t="shared" si="51"/>
        <v>#VALUE!</v>
      </c>
    </row>
    <row r="1653" spans="7:8">
      <c r="G1653" s="63" t="e">
        <f t="shared" si="50"/>
        <v>#VALUE!</v>
      </c>
      <c r="H1653" s="63" t="e">
        <f t="shared" si="51"/>
        <v>#VALUE!</v>
      </c>
    </row>
    <row r="1654" spans="7:8">
      <c r="G1654" s="63" t="e">
        <f t="shared" si="50"/>
        <v>#VALUE!</v>
      </c>
      <c r="H1654" s="63" t="e">
        <f t="shared" si="51"/>
        <v>#VALUE!</v>
      </c>
    </row>
    <row r="1655" spans="7:8">
      <c r="G1655" s="63" t="e">
        <f t="shared" si="50"/>
        <v>#VALUE!</v>
      </c>
      <c r="H1655" s="63" t="e">
        <f t="shared" si="51"/>
        <v>#VALUE!</v>
      </c>
    </row>
    <row r="1656" spans="7:8">
      <c r="G1656" s="63" t="e">
        <f t="shared" si="50"/>
        <v>#VALUE!</v>
      </c>
      <c r="H1656" s="63" t="e">
        <f t="shared" si="51"/>
        <v>#VALUE!</v>
      </c>
    </row>
    <row r="1657" spans="7:8">
      <c r="G1657" s="63" t="e">
        <f t="shared" si="50"/>
        <v>#VALUE!</v>
      </c>
      <c r="H1657" s="63" t="e">
        <f t="shared" si="51"/>
        <v>#VALUE!</v>
      </c>
    </row>
    <row r="1658" spans="7:8">
      <c r="G1658" s="63" t="e">
        <f t="shared" si="50"/>
        <v>#VALUE!</v>
      </c>
      <c r="H1658" s="63" t="e">
        <f t="shared" si="51"/>
        <v>#VALUE!</v>
      </c>
    </row>
    <row r="1659" spans="7:8">
      <c r="G1659" s="63" t="e">
        <f t="shared" si="50"/>
        <v>#VALUE!</v>
      </c>
      <c r="H1659" s="63" t="e">
        <f t="shared" si="51"/>
        <v>#VALUE!</v>
      </c>
    </row>
    <row r="1660" spans="7:8">
      <c r="G1660" s="63" t="e">
        <f t="shared" si="50"/>
        <v>#VALUE!</v>
      </c>
      <c r="H1660" s="63" t="e">
        <f t="shared" si="51"/>
        <v>#VALUE!</v>
      </c>
    </row>
    <row r="1661" spans="7:8">
      <c r="G1661" s="63" t="e">
        <f t="shared" si="50"/>
        <v>#VALUE!</v>
      </c>
      <c r="H1661" s="63" t="e">
        <f t="shared" si="51"/>
        <v>#VALUE!</v>
      </c>
    </row>
    <row r="1662" spans="7:8">
      <c r="G1662" s="63" t="e">
        <f t="shared" si="50"/>
        <v>#VALUE!</v>
      </c>
      <c r="H1662" s="63" t="e">
        <f t="shared" si="51"/>
        <v>#VALUE!</v>
      </c>
    </row>
    <row r="1663" spans="7:8">
      <c r="G1663" s="63" t="e">
        <f t="shared" si="50"/>
        <v>#VALUE!</v>
      </c>
      <c r="H1663" s="63" t="e">
        <f t="shared" si="51"/>
        <v>#VALUE!</v>
      </c>
    </row>
    <row r="1664" spans="7:8">
      <c r="G1664" s="63" t="e">
        <f t="shared" si="50"/>
        <v>#VALUE!</v>
      </c>
      <c r="H1664" s="63" t="e">
        <f t="shared" si="51"/>
        <v>#VALUE!</v>
      </c>
    </row>
    <row r="1665" spans="7:8">
      <c r="G1665" s="63" t="e">
        <f t="shared" si="50"/>
        <v>#VALUE!</v>
      </c>
      <c r="H1665" s="63" t="e">
        <f t="shared" si="51"/>
        <v>#VALUE!</v>
      </c>
    </row>
    <row r="1666" spans="7:8">
      <c r="G1666" s="63" t="e">
        <f t="shared" si="50"/>
        <v>#VALUE!</v>
      </c>
      <c r="H1666" s="63" t="e">
        <f t="shared" si="51"/>
        <v>#VALUE!</v>
      </c>
    </row>
    <row r="1667" spans="7:8">
      <c r="G1667" s="63" t="e">
        <f t="shared" ref="G1667:G1730" si="52">IF(OR(A1667="RID_PB77",A1667="RID_PB77A3"),"WPCI77",IF(A1667="RIDTCIAS","CSCI49",IF(A1667="RID_HCPTM","CHCPT_",IF(LEFT(A1667,1)="C",A1667,MID(A1667,6,LEN(A1667)-5)))))</f>
        <v>#VALUE!</v>
      </c>
      <c r="H1667" s="63" t="e">
        <f t="shared" ref="H1667:H1730" si="53">IF(OR(G1667="MJG1",G1667="MJG2"),"MJG",G1667)&amp;"_"&amp;B1667</f>
        <v>#VALUE!</v>
      </c>
    </row>
    <row r="1668" spans="7:8">
      <c r="G1668" s="63" t="e">
        <f t="shared" si="52"/>
        <v>#VALUE!</v>
      </c>
      <c r="H1668" s="63" t="e">
        <f t="shared" si="53"/>
        <v>#VALUE!</v>
      </c>
    </row>
    <row r="1669" spans="7:8">
      <c r="G1669" s="63" t="e">
        <f t="shared" si="52"/>
        <v>#VALUE!</v>
      </c>
      <c r="H1669" s="63" t="e">
        <f t="shared" si="53"/>
        <v>#VALUE!</v>
      </c>
    </row>
    <row r="1670" spans="7:8">
      <c r="G1670" s="63" t="e">
        <f t="shared" si="52"/>
        <v>#VALUE!</v>
      </c>
      <c r="H1670" s="63" t="e">
        <f t="shared" si="53"/>
        <v>#VALUE!</v>
      </c>
    </row>
    <row r="1671" spans="7:8">
      <c r="G1671" s="63" t="e">
        <f t="shared" si="52"/>
        <v>#VALUE!</v>
      </c>
      <c r="H1671" s="63" t="e">
        <f t="shared" si="53"/>
        <v>#VALUE!</v>
      </c>
    </row>
    <row r="1672" spans="7:8">
      <c r="G1672" s="63" t="e">
        <f t="shared" si="52"/>
        <v>#VALUE!</v>
      </c>
      <c r="H1672" s="63" t="e">
        <f t="shared" si="53"/>
        <v>#VALUE!</v>
      </c>
    </row>
    <row r="1673" spans="7:8">
      <c r="G1673" s="63" t="e">
        <f t="shared" si="52"/>
        <v>#VALUE!</v>
      </c>
      <c r="H1673" s="63" t="e">
        <f t="shared" si="53"/>
        <v>#VALUE!</v>
      </c>
    </row>
    <row r="1674" spans="7:8">
      <c r="G1674" s="63" t="e">
        <f t="shared" si="52"/>
        <v>#VALUE!</v>
      </c>
      <c r="H1674" s="63" t="e">
        <f t="shared" si="53"/>
        <v>#VALUE!</v>
      </c>
    </row>
    <row r="1675" spans="7:8">
      <c r="G1675" s="63" t="e">
        <f t="shared" si="52"/>
        <v>#VALUE!</v>
      </c>
      <c r="H1675" s="63" t="e">
        <f t="shared" si="53"/>
        <v>#VALUE!</v>
      </c>
    </row>
    <row r="1676" spans="7:8">
      <c r="G1676" s="63" t="e">
        <f t="shared" si="52"/>
        <v>#VALUE!</v>
      </c>
      <c r="H1676" s="63" t="e">
        <f t="shared" si="53"/>
        <v>#VALUE!</v>
      </c>
    </row>
    <row r="1677" spans="7:8">
      <c r="G1677" s="63" t="e">
        <f t="shared" si="52"/>
        <v>#VALUE!</v>
      </c>
      <c r="H1677" s="63" t="e">
        <f t="shared" si="53"/>
        <v>#VALUE!</v>
      </c>
    </row>
    <row r="1678" spans="7:8">
      <c r="G1678" s="63" t="e">
        <f t="shared" si="52"/>
        <v>#VALUE!</v>
      </c>
      <c r="H1678" s="63" t="e">
        <f t="shared" si="53"/>
        <v>#VALUE!</v>
      </c>
    </row>
    <row r="1679" spans="7:8">
      <c r="G1679" s="63" t="e">
        <f t="shared" si="52"/>
        <v>#VALUE!</v>
      </c>
      <c r="H1679" s="63" t="e">
        <f t="shared" si="53"/>
        <v>#VALUE!</v>
      </c>
    </row>
    <row r="1680" spans="7:8">
      <c r="G1680" s="63" t="e">
        <f t="shared" si="52"/>
        <v>#VALUE!</v>
      </c>
      <c r="H1680" s="63" t="e">
        <f t="shared" si="53"/>
        <v>#VALUE!</v>
      </c>
    </row>
    <row r="1681" spans="7:8">
      <c r="G1681" s="63" t="e">
        <f t="shared" si="52"/>
        <v>#VALUE!</v>
      </c>
      <c r="H1681" s="63" t="e">
        <f t="shared" si="53"/>
        <v>#VALUE!</v>
      </c>
    </row>
    <row r="1682" spans="7:8">
      <c r="G1682" s="63" t="e">
        <f t="shared" si="52"/>
        <v>#VALUE!</v>
      </c>
      <c r="H1682" s="63" t="e">
        <f t="shared" si="53"/>
        <v>#VALUE!</v>
      </c>
    </row>
    <row r="1683" spans="7:8">
      <c r="G1683" s="63" t="e">
        <f t="shared" si="52"/>
        <v>#VALUE!</v>
      </c>
      <c r="H1683" s="63" t="e">
        <f t="shared" si="53"/>
        <v>#VALUE!</v>
      </c>
    </row>
    <row r="1684" spans="7:8">
      <c r="G1684" s="63" t="e">
        <f t="shared" si="52"/>
        <v>#VALUE!</v>
      </c>
      <c r="H1684" s="63" t="e">
        <f t="shared" si="53"/>
        <v>#VALUE!</v>
      </c>
    </row>
    <row r="1685" spans="7:8">
      <c r="G1685" s="63" t="e">
        <f t="shared" si="52"/>
        <v>#VALUE!</v>
      </c>
      <c r="H1685" s="63" t="e">
        <f t="shared" si="53"/>
        <v>#VALUE!</v>
      </c>
    </row>
    <row r="1686" spans="7:8">
      <c r="G1686" s="63" t="e">
        <f t="shared" si="52"/>
        <v>#VALUE!</v>
      </c>
      <c r="H1686" s="63" t="e">
        <f t="shared" si="53"/>
        <v>#VALUE!</v>
      </c>
    </row>
    <row r="1687" spans="7:8">
      <c r="G1687" s="63" t="e">
        <f t="shared" si="52"/>
        <v>#VALUE!</v>
      </c>
      <c r="H1687" s="63" t="e">
        <f t="shared" si="53"/>
        <v>#VALUE!</v>
      </c>
    </row>
    <row r="1688" spans="7:8">
      <c r="G1688" s="63" t="e">
        <f t="shared" si="52"/>
        <v>#VALUE!</v>
      </c>
      <c r="H1688" s="63" t="e">
        <f t="shared" si="53"/>
        <v>#VALUE!</v>
      </c>
    </row>
    <row r="1689" spans="7:8">
      <c r="G1689" s="63" t="e">
        <f t="shared" si="52"/>
        <v>#VALUE!</v>
      </c>
      <c r="H1689" s="63" t="e">
        <f t="shared" si="53"/>
        <v>#VALUE!</v>
      </c>
    </row>
    <row r="1690" spans="7:8">
      <c r="G1690" s="63" t="e">
        <f t="shared" si="52"/>
        <v>#VALUE!</v>
      </c>
      <c r="H1690" s="63" t="e">
        <f t="shared" si="53"/>
        <v>#VALUE!</v>
      </c>
    </row>
    <row r="1691" spans="7:8">
      <c r="G1691" s="63" t="e">
        <f t="shared" si="52"/>
        <v>#VALUE!</v>
      </c>
      <c r="H1691" s="63" t="e">
        <f t="shared" si="53"/>
        <v>#VALUE!</v>
      </c>
    </row>
    <row r="1692" spans="7:8">
      <c r="G1692" s="63" t="e">
        <f t="shared" si="52"/>
        <v>#VALUE!</v>
      </c>
      <c r="H1692" s="63" t="e">
        <f t="shared" si="53"/>
        <v>#VALUE!</v>
      </c>
    </row>
    <row r="1693" spans="7:8">
      <c r="G1693" s="63" t="e">
        <f t="shared" si="52"/>
        <v>#VALUE!</v>
      </c>
      <c r="H1693" s="63" t="e">
        <f t="shared" si="53"/>
        <v>#VALUE!</v>
      </c>
    </row>
    <row r="1694" spans="7:8">
      <c r="G1694" s="63" t="e">
        <f t="shared" si="52"/>
        <v>#VALUE!</v>
      </c>
      <c r="H1694" s="63" t="e">
        <f t="shared" si="53"/>
        <v>#VALUE!</v>
      </c>
    </row>
    <row r="1695" spans="7:8">
      <c r="G1695" s="63" t="e">
        <f t="shared" si="52"/>
        <v>#VALUE!</v>
      </c>
      <c r="H1695" s="63" t="e">
        <f t="shared" si="53"/>
        <v>#VALUE!</v>
      </c>
    </row>
    <row r="1696" spans="7:8">
      <c r="G1696" s="63" t="e">
        <f t="shared" si="52"/>
        <v>#VALUE!</v>
      </c>
      <c r="H1696" s="63" t="e">
        <f t="shared" si="53"/>
        <v>#VALUE!</v>
      </c>
    </row>
    <row r="1697" spans="7:8">
      <c r="G1697" s="63" t="e">
        <f t="shared" si="52"/>
        <v>#VALUE!</v>
      </c>
      <c r="H1697" s="63" t="e">
        <f t="shared" si="53"/>
        <v>#VALUE!</v>
      </c>
    </row>
    <row r="1698" spans="7:8">
      <c r="G1698" s="63" t="e">
        <f t="shared" si="52"/>
        <v>#VALUE!</v>
      </c>
      <c r="H1698" s="63" t="e">
        <f t="shared" si="53"/>
        <v>#VALUE!</v>
      </c>
    </row>
    <row r="1699" spans="7:8">
      <c r="G1699" s="63" t="e">
        <f t="shared" si="52"/>
        <v>#VALUE!</v>
      </c>
      <c r="H1699" s="63" t="e">
        <f t="shared" si="53"/>
        <v>#VALUE!</v>
      </c>
    </row>
    <row r="1700" spans="7:8">
      <c r="G1700" s="63" t="e">
        <f t="shared" si="52"/>
        <v>#VALUE!</v>
      </c>
      <c r="H1700" s="63" t="e">
        <f t="shared" si="53"/>
        <v>#VALUE!</v>
      </c>
    </row>
    <row r="1701" spans="7:8">
      <c r="G1701" s="63" t="e">
        <f t="shared" si="52"/>
        <v>#VALUE!</v>
      </c>
      <c r="H1701" s="63" t="e">
        <f t="shared" si="53"/>
        <v>#VALUE!</v>
      </c>
    </row>
    <row r="1702" spans="7:8">
      <c r="G1702" s="63" t="e">
        <f t="shared" si="52"/>
        <v>#VALUE!</v>
      </c>
      <c r="H1702" s="63" t="e">
        <f t="shared" si="53"/>
        <v>#VALUE!</v>
      </c>
    </row>
    <row r="1703" spans="7:8">
      <c r="G1703" s="63" t="e">
        <f t="shared" si="52"/>
        <v>#VALUE!</v>
      </c>
      <c r="H1703" s="63" t="e">
        <f t="shared" si="53"/>
        <v>#VALUE!</v>
      </c>
    </row>
    <row r="1704" spans="7:8">
      <c r="G1704" s="63" t="e">
        <f t="shared" si="52"/>
        <v>#VALUE!</v>
      </c>
      <c r="H1704" s="63" t="e">
        <f t="shared" si="53"/>
        <v>#VALUE!</v>
      </c>
    </row>
    <row r="1705" spans="7:8">
      <c r="G1705" s="63" t="e">
        <f t="shared" si="52"/>
        <v>#VALUE!</v>
      </c>
      <c r="H1705" s="63" t="e">
        <f t="shared" si="53"/>
        <v>#VALUE!</v>
      </c>
    </row>
    <row r="1706" spans="7:8">
      <c r="G1706" s="63" t="e">
        <f t="shared" si="52"/>
        <v>#VALUE!</v>
      </c>
      <c r="H1706" s="63" t="e">
        <f t="shared" si="53"/>
        <v>#VALUE!</v>
      </c>
    </row>
    <row r="1707" spans="7:8">
      <c r="G1707" s="63" t="e">
        <f t="shared" si="52"/>
        <v>#VALUE!</v>
      </c>
      <c r="H1707" s="63" t="e">
        <f t="shared" si="53"/>
        <v>#VALUE!</v>
      </c>
    </row>
    <row r="1708" spans="7:8">
      <c r="G1708" s="63" t="e">
        <f t="shared" si="52"/>
        <v>#VALUE!</v>
      </c>
      <c r="H1708" s="63" t="e">
        <f t="shared" si="53"/>
        <v>#VALUE!</v>
      </c>
    </row>
    <row r="1709" spans="7:8">
      <c r="G1709" s="63" t="e">
        <f t="shared" si="52"/>
        <v>#VALUE!</v>
      </c>
      <c r="H1709" s="63" t="e">
        <f t="shared" si="53"/>
        <v>#VALUE!</v>
      </c>
    </row>
    <row r="1710" spans="7:8">
      <c r="G1710" s="63" t="e">
        <f t="shared" si="52"/>
        <v>#VALUE!</v>
      </c>
      <c r="H1710" s="63" t="e">
        <f t="shared" si="53"/>
        <v>#VALUE!</v>
      </c>
    </row>
    <row r="1711" spans="7:8">
      <c r="G1711" s="63" t="e">
        <f t="shared" si="52"/>
        <v>#VALUE!</v>
      </c>
      <c r="H1711" s="63" t="e">
        <f t="shared" si="53"/>
        <v>#VALUE!</v>
      </c>
    </row>
    <row r="1712" spans="7:8">
      <c r="G1712" s="63" t="e">
        <f t="shared" si="52"/>
        <v>#VALUE!</v>
      </c>
      <c r="H1712" s="63" t="e">
        <f t="shared" si="53"/>
        <v>#VALUE!</v>
      </c>
    </row>
    <row r="1713" spans="7:8">
      <c r="G1713" s="63" t="e">
        <f t="shared" si="52"/>
        <v>#VALUE!</v>
      </c>
      <c r="H1713" s="63" t="e">
        <f t="shared" si="53"/>
        <v>#VALUE!</v>
      </c>
    </row>
    <row r="1714" spans="7:8">
      <c r="G1714" s="63" t="e">
        <f t="shared" si="52"/>
        <v>#VALUE!</v>
      </c>
      <c r="H1714" s="63" t="e">
        <f t="shared" si="53"/>
        <v>#VALUE!</v>
      </c>
    </row>
    <row r="1715" spans="7:8">
      <c r="G1715" s="63" t="e">
        <f t="shared" si="52"/>
        <v>#VALUE!</v>
      </c>
      <c r="H1715" s="63" t="e">
        <f t="shared" si="53"/>
        <v>#VALUE!</v>
      </c>
    </row>
    <row r="1716" spans="7:8">
      <c r="G1716" s="63" t="e">
        <f t="shared" si="52"/>
        <v>#VALUE!</v>
      </c>
      <c r="H1716" s="63" t="e">
        <f t="shared" si="53"/>
        <v>#VALUE!</v>
      </c>
    </row>
    <row r="1717" spans="7:8">
      <c r="G1717" s="63" t="e">
        <f t="shared" si="52"/>
        <v>#VALUE!</v>
      </c>
      <c r="H1717" s="63" t="e">
        <f t="shared" si="53"/>
        <v>#VALUE!</v>
      </c>
    </row>
    <row r="1718" spans="7:8">
      <c r="G1718" s="63" t="e">
        <f t="shared" si="52"/>
        <v>#VALUE!</v>
      </c>
      <c r="H1718" s="63" t="e">
        <f t="shared" si="53"/>
        <v>#VALUE!</v>
      </c>
    </row>
    <row r="1719" spans="7:8">
      <c r="G1719" s="63" t="e">
        <f t="shared" si="52"/>
        <v>#VALUE!</v>
      </c>
      <c r="H1719" s="63" t="e">
        <f t="shared" si="53"/>
        <v>#VALUE!</v>
      </c>
    </row>
    <row r="1720" spans="7:8">
      <c r="G1720" s="63" t="e">
        <f t="shared" si="52"/>
        <v>#VALUE!</v>
      </c>
      <c r="H1720" s="63" t="e">
        <f t="shared" si="53"/>
        <v>#VALUE!</v>
      </c>
    </row>
    <row r="1721" spans="7:8">
      <c r="G1721" s="63" t="e">
        <f t="shared" si="52"/>
        <v>#VALUE!</v>
      </c>
      <c r="H1721" s="63" t="e">
        <f t="shared" si="53"/>
        <v>#VALUE!</v>
      </c>
    </row>
    <row r="1722" spans="7:8">
      <c r="G1722" s="63" t="e">
        <f t="shared" si="52"/>
        <v>#VALUE!</v>
      </c>
      <c r="H1722" s="63" t="e">
        <f t="shared" si="53"/>
        <v>#VALUE!</v>
      </c>
    </row>
    <row r="1723" spans="7:8">
      <c r="G1723" s="63" t="e">
        <f t="shared" si="52"/>
        <v>#VALUE!</v>
      </c>
      <c r="H1723" s="63" t="e">
        <f t="shared" si="53"/>
        <v>#VALUE!</v>
      </c>
    </row>
    <row r="1724" spans="7:8">
      <c r="G1724" s="63" t="e">
        <f t="shared" si="52"/>
        <v>#VALUE!</v>
      </c>
      <c r="H1724" s="63" t="e">
        <f t="shared" si="53"/>
        <v>#VALUE!</v>
      </c>
    </row>
    <row r="1725" spans="7:8">
      <c r="G1725" s="63" t="e">
        <f t="shared" si="52"/>
        <v>#VALUE!</v>
      </c>
      <c r="H1725" s="63" t="e">
        <f t="shared" si="53"/>
        <v>#VALUE!</v>
      </c>
    </row>
    <row r="1726" spans="7:8">
      <c r="G1726" s="63" t="e">
        <f t="shared" si="52"/>
        <v>#VALUE!</v>
      </c>
      <c r="H1726" s="63" t="e">
        <f t="shared" si="53"/>
        <v>#VALUE!</v>
      </c>
    </row>
    <row r="1727" spans="7:8">
      <c r="G1727" s="63" t="e">
        <f t="shared" si="52"/>
        <v>#VALUE!</v>
      </c>
      <c r="H1727" s="63" t="e">
        <f t="shared" si="53"/>
        <v>#VALUE!</v>
      </c>
    </row>
    <row r="1728" spans="7:8">
      <c r="G1728" s="63" t="e">
        <f t="shared" si="52"/>
        <v>#VALUE!</v>
      </c>
      <c r="H1728" s="63" t="e">
        <f t="shared" si="53"/>
        <v>#VALUE!</v>
      </c>
    </row>
    <row r="1729" spans="7:8">
      <c r="G1729" s="63" t="e">
        <f t="shared" si="52"/>
        <v>#VALUE!</v>
      </c>
      <c r="H1729" s="63" t="e">
        <f t="shared" si="53"/>
        <v>#VALUE!</v>
      </c>
    </row>
    <row r="1730" spans="7:8">
      <c r="G1730" s="63" t="e">
        <f t="shared" si="52"/>
        <v>#VALUE!</v>
      </c>
      <c r="H1730" s="63" t="e">
        <f t="shared" si="53"/>
        <v>#VALUE!</v>
      </c>
    </row>
    <row r="1731" spans="7:8">
      <c r="G1731" s="63" t="e">
        <f t="shared" ref="G1731:G1794" si="54">IF(OR(A1731="RID_PB77",A1731="RID_PB77A3"),"WPCI77",IF(A1731="RIDTCIAS","CSCI49",IF(A1731="RID_HCPTM","CHCPT_",IF(LEFT(A1731,1)="C",A1731,MID(A1731,6,LEN(A1731)-5)))))</f>
        <v>#VALUE!</v>
      </c>
      <c r="H1731" s="63" t="e">
        <f t="shared" ref="H1731:H1794" si="55">IF(OR(G1731="MJG1",G1731="MJG2"),"MJG",G1731)&amp;"_"&amp;B1731</f>
        <v>#VALUE!</v>
      </c>
    </row>
    <row r="1732" spans="7:8">
      <c r="G1732" s="63" t="e">
        <f t="shared" si="54"/>
        <v>#VALUE!</v>
      </c>
      <c r="H1732" s="63" t="e">
        <f t="shared" si="55"/>
        <v>#VALUE!</v>
      </c>
    </row>
    <row r="1733" spans="7:8">
      <c r="G1733" s="63" t="e">
        <f t="shared" si="54"/>
        <v>#VALUE!</v>
      </c>
      <c r="H1733" s="63" t="e">
        <f t="shared" si="55"/>
        <v>#VALUE!</v>
      </c>
    </row>
    <row r="1734" spans="7:8">
      <c r="G1734" s="63" t="e">
        <f t="shared" si="54"/>
        <v>#VALUE!</v>
      </c>
      <c r="H1734" s="63" t="e">
        <f t="shared" si="55"/>
        <v>#VALUE!</v>
      </c>
    </row>
    <row r="1735" spans="7:8">
      <c r="G1735" s="63" t="e">
        <f t="shared" si="54"/>
        <v>#VALUE!</v>
      </c>
      <c r="H1735" s="63" t="e">
        <f t="shared" si="55"/>
        <v>#VALUE!</v>
      </c>
    </row>
    <row r="1736" spans="7:8">
      <c r="G1736" s="63" t="e">
        <f t="shared" si="54"/>
        <v>#VALUE!</v>
      </c>
      <c r="H1736" s="63" t="e">
        <f t="shared" si="55"/>
        <v>#VALUE!</v>
      </c>
    </row>
    <row r="1737" spans="7:8">
      <c r="G1737" s="63" t="e">
        <f t="shared" si="54"/>
        <v>#VALUE!</v>
      </c>
      <c r="H1737" s="63" t="e">
        <f t="shared" si="55"/>
        <v>#VALUE!</v>
      </c>
    </row>
    <row r="1738" spans="7:8">
      <c r="G1738" s="63" t="e">
        <f t="shared" si="54"/>
        <v>#VALUE!</v>
      </c>
      <c r="H1738" s="63" t="e">
        <f t="shared" si="55"/>
        <v>#VALUE!</v>
      </c>
    </row>
    <row r="1739" spans="7:8">
      <c r="G1739" s="63" t="e">
        <f t="shared" si="54"/>
        <v>#VALUE!</v>
      </c>
      <c r="H1739" s="63" t="e">
        <f t="shared" si="55"/>
        <v>#VALUE!</v>
      </c>
    </row>
    <row r="1740" spans="7:8">
      <c r="G1740" s="63" t="e">
        <f t="shared" si="54"/>
        <v>#VALUE!</v>
      </c>
      <c r="H1740" s="63" t="e">
        <f t="shared" si="55"/>
        <v>#VALUE!</v>
      </c>
    </row>
    <row r="1741" spans="7:8">
      <c r="G1741" s="63" t="e">
        <f t="shared" si="54"/>
        <v>#VALUE!</v>
      </c>
      <c r="H1741" s="63" t="e">
        <f t="shared" si="55"/>
        <v>#VALUE!</v>
      </c>
    </row>
    <row r="1742" spans="7:8">
      <c r="G1742" s="63" t="e">
        <f t="shared" si="54"/>
        <v>#VALUE!</v>
      </c>
      <c r="H1742" s="63" t="e">
        <f t="shared" si="55"/>
        <v>#VALUE!</v>
      </c>
    </row>
    <row r="1743" spans="7:8">
      <c r="G1743" s="63" t="e">
        <f t="shared" si="54"/>
        <v>#VALUE!</v>
      </c>
      <c r="H1743" s="63" t="e">
        <f t="shared" si="55"/>
        <v>#VALUE!</v>
      </c>
    </row>
    <row r="1744" spans="7:8">
      <c r="G1744" s="63" t="e">
        <f t="shared" si="54"/>
        <v>#VALUE!</v>
      </c>
      <c r="H1744" s="63" t="e">
        <f t="shared" si="55"/>
        <v>#VALUE!</v>
      </c>
    </row>
    <row r="1745" spans="7:8">
      <c r="G1745" s="63" t="e">
        <f t="shared" si="54"/>
        <v>#VALUE!</v>
      </c>
      <c r="H1745" s="63" t="e">
        <f t="shared" si="55"/>
        <v>#VALUE!</v>
      </c>
    </row>
    <row r="1746" spans="7:8">
      <c r="G1746" s="63" t="e">
        <f t="shared" si="54"/>
        <v>#VALUE!</v>
      </c>
      <c r="H1746" s="63" t="e">
        <f t="shared" si="55"/>
        <v>#VALUE!</v>
      </c>
    </row>
    <row r="1747" spans="7:8">
      <c r="G1747" s="63" t="e">
        <f t="shared" si="54"/>
        <v>#VALUE!</v>
      </c>
      <c r="H1747" s="63" t="e">
        <f t="shared" si="55"/>
        <v>#VALUE!</v>
      </c>
    </row>
    <row r="1748" spans="7:8">
      <c r="G1748" s="63" t="e">
        <f t="shared" si="54"/>
        <v>#VALUE!</v>
      </c>
      <c r="H1748" s="63" t="e">
        <f t="shared" si="55"/>
        <v>#VALUE!</v>
      </c>
    </row>
    <row r="1749" spans="7:8">
      <c r="G1749" s="63" t="e">
        <f t="shared" si="54"/>
        <v>#VALUE!</v>
      </c>
      <c r="H1749" s="63" t="e">
        <f t="shared" si="55"/>
        <v>#VALUE!</v>
      </c>
    </row>
    <row r="1750" spans="7:8">
      <c r="G1750" s="63" t="e">
        <f t="shared" si="54"/>
        <v>#VALUE!</v>
      </c>
      <c r="H1750" s="63" t="e">
        <f t="shared" si="55"/>
        <v>#VALUE!</v>
      </c>
    </row>
    <row r="1751" spans="7:8">
      <c r="G1751" s="63" t="e">
        <f t="shared" si="54"/>
        <v>#VALUE!</v>
      </c>
      <c r="H1751" s="63" t="e">
        <f t="shared" si="55"/>
        <v>#VALUE!</v>
      </c>
    </row>
    <row r="1752" spans="7:8">
      <c r="G1752" s="63" t="e">
        <f t="shared" si="54"/>
        <v>#VALUE!</v>
      </c>
      <c r="H1752" s="63" t="e">
        <f t="shared" si="55"/>
        <v>#VALUE!</v>
      </c>
    </row>
    <row r="1753" spans="7:8">
      <c r="G1753" s="63" t="e">
        <f t="shared" si="54"/>
        <v>#VALUE!</v>
      </c>
      <c r="H1753" s="63" t="e">
        <f t="shared" si="55"/>
        <v>#VALUE!</v>
      </c>
    </row>
    <row r="1754" spans="7:8">
      <c r="G1754" s="63" t="e">
        <f t="shared" si="54"/>
        <v>#VALUE!</v>
      </c>
      <c r="H1754" s="63" t="e">
        <f t="shared" si="55"/>
        <v>#VALUE!</v>
      </c>
    </row>
    <row r="1755" spans="7:8">
      <c r="G1755" s="63" t="e">
        <f t="shared" si="54"/>
        <v>#VALUE!</v>
      </c>
      <c r="H1755" s="63" t="e">
        <f t="shared" si="55"/>
        <v>#VALUE!</v>
      </c>
    </row>
    <row r="1756" spans="7:8">
      <c r="G1756" s="63" t="e">
        <f t="shared" si="54"/>
        <v>#VALUE!</v>
      </c>
      <c r="H1756" s="63" t="e">
        <f t="shared" si="55"/>
        <v>#VALUE!</v>
      </c>
    </row>
    <row r="1757" spans="7:8">
      <c r="G1757" s="63" t="e">
        <f t="shared" si="54"/>
        <v>#VALUE!</v>
      </c>
      <c r="H1757" s="63" t="e">
        <f t="shared" si="55"/>
        <v>#VALUE!</v>
      </c>
    </row>
    <row r="1758" spans="7:8">
      <c r="G1758" s="63" t="e">
        <f t="shared" si="54"/>
        <v>#VALUE!</v>
      </c>
      <c r="H1758" s="63" t="e">
        <f t="shared" si="55"/>
        <v>#VALUE!</v>
      </c>
    </row>
    <row r="1759" spans="7:8">
      <c r="G1759" s="63" t="e">
        <f t="shared" si="54"/>
        <v>#VALUE!</v>
      </c>
      <c r="H1759" s="63" t="e">
        <f t="shared" si="55"/>
        <v>#VALUE!</v>
      </c>
    </row>
    <row r="1760" spans="7:8">
      <c r="G1760" s="63" t="e">
        <f t="shared" si="54"/>
        <v>#VALUE!</v>
      </c>
      <c r="H1760" s="63" t="e">
        <f t="shared" si="55"/>
        <v>#VALUE!</v>
      </c>
    </row>
    <row r="1761" spans="7:8">
      <c r="G1761" s="63" t="e">
        <f t="shared" si="54"/>
        <v>#VALUE!</v>
      </c>
      <c r="H1761" s="63" t="e">
        <f t="shared" si="55"/>
        <v>#VALUE!</v>
      </c>
    </row>
    <row r="1762" spans="7:8">
      <c r="G1762" s="63" t="e">
        <f t="shared" si="54"/>
        <v>#VALUE!</v>
      </c>
      <c r="H1762" s="63" t="e">
        <f t="shared" si="55"/>
        <v>#VALUE!</v>
      </c>
    </row>
    <row r="1763" spans="7:8">
      <c r="G1763" s="63" t="e">
        <f t="shared" si="54"/>
        <v>#VALUE!</v>
      </c>
      <c r="H1763" s="63" t="e">
        <f t="shared" si="55"/>
        <v>#VALUE!</v>
      </c>
    </row>
    <row r="1764" spans="7:8">
      <c r="G1764" s="63" t="e">
        <f t="shared" si="54"/>
        <v>#VALUE!</v>
      </c>
      <c r="H1764" s="63" t="e">
        <f t="shared" si="55"/>
        <v>#VALUE!</v>
      </c>
    </row>
    <row r="1765" spans="7:8">
      <c r="G1765" s="63" t="e">
        <f t="shared" si="54"/>
        <v>#VALUE!</v>
      </c>
      <c r="H1765" s="63" t="e">
        <f t="shared" si="55"/>
        <v>#VALUE!</v>
      </c>
    </row>
    <row r="1766" spans="7:8">
      <c r="G1766" s="63" t="e">
        <f t="shared" si="54"/>
        <v>#VALUE!</v>
      </c>
      <c r="H1766" s="63" t="e">
        <f t="shared" si="55"/>
        <v>#VALUE!</v>
      </c>
    </row>
    <row r="1767" spans="7:8">
      <c r="G1767" s="63" t="e">
        <f t="shared" si="54"/>
        <v>#VALUE!</v>
      </c>
      <c r="H1767" s="63" t="e">
        <f t="shared" si="55"/>
        <v>#VALUE!</v>
      </c>
    </row>
    <row r="1768" spans="7:8">
      <c r="G1768" s="63" t="e">
        <f t="shared" si="54"/>
        <v>#VALUE!</v>
      </c>
      <c r="H1768" s="63" t="e">
        <f t="shared" si="55"/>
        <v>#VALUE!</v>
      </c>
    </row>
    <row r="1769" spans="7:8">
      <c r="G1769" s="63" t="e">
        <f t="shared" si="54"/>
        <v>#VALUE!</v>
      </c>
      <c r="H1769" s="63" t="e">
        <f t="shared" si="55"/>
        <v>#VALUE!</v>
      </c>
    </row>
    <row r="1770" spans="7:8">
      <c r="G1770" s="63" t="e">
        <f t="shared" si="54"/>
        <v>#VALUE!</v>
      </c>
      <c r="H1770" s="63" t="e">
        <f t="shared" si="55"/>
        <v>#VALUE!</v>
      </c>
    </row>
    <row r="1771" spans="7:8">
      <c r="G1771" s="63" t="e">
        <f t="shared" si="54"/>
        <v>#VALUE!</v>
      </c>
      <c r="H1771" s="63" t="e">
        <f t="shared" si="55"/>
        <v>#VALUE!</v>
      </c>
    </row>
    <row r="1772" spans="7:8">
      <c r="G1772" s="63" t="e">
        <f t="shared" si="54"/>
        <v>#VALUE!</v>
      </c>
      <c r="H1772" s="63" t="e">
        <f t="shared" si="55"/>
        <v>#VALUE!</v>
      </c>
    </row>
    <row r="1773" spans="7:8">
      <c r="G1773" s="63" t="e">
        <f t="shared" si="54"/>
        <v>#VALUE!</v>
      </c>
      <c r="H1773" s="63" t="e">
        <f t="shared" si="55"/>
        <v>#VALUE!</v>
      </c>
    </row>
    <row r="1774" spans="7:8">
      <c r="G1774" s="63" t="e">
        <f t="shared" si="54"/>
        <v>#VALUE!</v>
      </c>
      <c r="H1774" s="63" t="e">
        <f t="shared" si="55"/>
        <v>#VALUE!</v>
      </c>
    </row>
    <row r="1775" spans="7:8">
      <c r="G1775" s="63" t="e">
        <f t="shared" si="54"/>
        <v>#VALUE!</v>
      </c>
      <c r="H1775" s="63" t="e">
        <f t="shared" si="55"/>
        <v>#VALUE!</v>
      </c>
    </row>
    <row r="1776" spans="7:8">
      <c r="G1776" s="63" t="e">
        <f t="shared" si="54"/>
        <v>#VALUE!</v>
      </c>
      <c r="H1776" s="63" t="e">
        <f t="shared" si="55"/>
        <v>#VALUE!</v>
      </c>
    </row>
    <row r="1777" spans="7:8">
      <c r="G1777" s="63" t="e">
        <f t="shared" si="54"/>
        <v>#VALUE!</v>
      </c>
      <c r="H1777" s="63" t="e">
        <f t="shared" si="55"/>
        <v>#VALUE!</v>
      </c>
    </row>
    <row r="1778" spans="7:8">
      <c r="G1778" s="63" t="e">
        <f t="shared" si="54"/>
        <v>#VALUE!</v>
      </c>
      <c r="H1778" s="63" t="e">
        <f t="shared" si="55"/>
        <v>#VALUE!</v>
      </c>
    </row>
    <row r="1779" spans="7:8">
      <c r="G1779" s="63" t="e">
        <f t="shared" si="54"/>
        <v>#VALUE!</v>
      </c>
      <c r="H1779" s="63" t="e">
        <f t="shared" si="55"/>
        <v>#VALUE!</v>
      </c>
    </row>
    <row r="1780" spans="7:8">
      <c r="G1780" s="63" t="e">
        <f t="shared" si="54"/>
        <v>#VALUE!</v>
      </c>
      <c r="H1780" s="63" t="e">
        <f t="shared" si="55"/>
        <v>#VALUE!</v>
      </c>
    </row>
    <row r="1781" spans="7:8">
      <c r="G1781" s="63" t="e">
        <f t="shared" si="54"/>
        <v>#VALUE!</v>
      </c>
      <c r="H1781" s="63" t="e">
        <f t="shared" si="55"/>
        <v>#VALUE!</v>
      </c>
    </row>
    <row r="1782" spans="7:8">
      <c r="G1782" s="63" t="e">
        <f t="shared" si="54"/>
        <v>#VALUE!</v>
      </c>
      <c r="H1782" s="63" t="e">
        <f t="shared" si="55"/>
        <v>#VALUE!</v>
      </c>
    </row>
    <row r="1783" spans="7:8">
      <c r="G1783" s="63" t="e">
        <f t="shared" si="54"/>
        <v>#VALUE!</v>
      </c>
      <c r="H1783" s="63" t="e">
        <f t="shared" si="55"/>
        <v>#VALUE!</v>
      </c>
    </row>
    <row r="1784" spans="7:8">
      <c r="G1784" s="63" t="e">
        <f t="shared" si="54"/>
        <v>#VALUE!</v>
      </c>
      <c r="H1784" s="63" t="e">
        <f t="shared" si="55"/>
        <v>#VALUE!</v>
      </c>
    </row>
    <row r="1785" spans="7:8">
      <c r="G1785" s="63" t="e">
        <f t="shared" si="54"/>
        <v>#VALUE!</v>
      </c>
      <c r="H1785" s="63" t="e">
        <f t="shared" si="55"/>
        <v>#VALUE!</v>
      </c>
    </row>
    <row r="1786" spans="7:8">
      <c r="G1786" s="63" t="e">
        <f t="shared" si="54"/>
        <v>#VALUE!</v>
      </c>
      <c r="H1786" s="63" t="e">
        <f t="shared" si="55"/>
        <v>#VALUE!</v>
      </c>
    </row>
    <row r="1787" spans="7:8">
      <c r="G1787" s="63" t="e">
        <f t="shared" si="54"/>
        <v>#VALUE!</v>
      </c>
      <c r="H1787" s="63" t="e">
        <f t="shared" si="55"/>
        <v>#VALUE!</v>
      </c>
    </row>
    <row r="1788" spans="7:8">
      <c r="G1788" s="63" t="e">
        <f t="shared" si="54"/>
        <v>#VALUE!</v>
      </c>
      <c r="H1788" s="63" t="e">
        <f t="shared" si="55"/>
        <v>#VALUE!</v>
      </c>
    </row>
    <row r="1789" spans="7:8">
      <c r="G1789" s="63" t="e">
        <f t="shared" si="54"/>
        <v>#VALUE!</v>
      </c>
      <c r="H1789" s="63" t="e">
        <f t="shared" si="55"/>
        <v>#VALUE!</v>
      </c>
    </row>
    <row r="1790" spans="7:8">
      <c r="G1790" s="63" t="e">
        <f t="shared" si="54"/>
        <v>#VALUE!</v>
      </c>
      <c r="H1790" s="63" t="e">
        <f t="shared" si="55"/>
        <v>#VALUE!</v>
      </c>
    </row>
    <row r="1791" spans="7:8">
      <c r="G1791" s="63" t="e">
        <f t="shared" si="54"/>
        <v>#VALUE!</v>
      </c>
      <c r="H1791" s="63" t="e">
        <f t="shared" si="55"/>
        <v>#VALUE!</v>
      </c>
    </row>
    <row r="1792" spans="7:8">
      <c r="G1792" s="63" t="e">
        <f t="shared" si="54"/>
        <v>#VALUE!</v>
      </c>
      <c r="H1792" s="63" t="e">
        <f t="shared" si="55"/>
        <v>#VALUE!</v>
      </c>
    </row>
    <row r="1793" spans="7:8">
      <c r="G1793" s="63" t="e">
        <f t="shared" si="54"/>
        <v>#VALUE!</v>
      </c>
      <c r="H1793" s="63" t="e">
        <f t="shared" si="55"/>
        <v>#VALUE!</v>
      </c>
    </row>
    <row r="1794" spans="7:8">
      <c r="G1794" s="63" t="e">
        <f t="shared" si="54"/>
        <v>#VALUE!</v>
      </c>
      <c r="H1794" s="63" t="e">
        <f t="shared" si="55"/>
        <v>#VALUE!</v>
      </c>
    </row>
    <row r="1795" spans="7:8">
      <c r="G1795" s="63" t="e">
        <f t="shared" ref="G1795:G1858" si="56">IF(OR(A1795="RID_PB77",A1795="RID_PB77A3"),"WPCI77",IF(A1795="RIDTCIAS","CSCI49",IF(A1795="RID_HCPTM","CHCPT_",IF(LEFT(A1795,1)="C",A1795,MID(A1795,6,LEN(A1795)-5)))))</f>
        <v>#VALUE!</v>
      </c>
      <c r="H1795" s="63" t="e">
        <f t="shared" ref="H1795:H1858" si="57">IF(OR(G1795="MJG1",G1795="MJG2"),"MJG",G1795)&amp;"_"&amp;B1795</f>
        <v>#VALUE!</v>
      </c>
    </row>
    <row r="1796" spans="7:8">
      <c r="G1796" s="63" t="e">
        <f t="shared" si="56"/>
        <v>#VALUE!</v>
      </c>
      <c r="H1796" s="63" t="e">
        <f t="shared" si="57"/>
        <v>#VALUE!</v>
      </c>
    </row>
    <row r="1797" spans="7:8">
      <c r="G1797" s="63" t="e">
        <f t="shared" si="56"/>
        <v>#VALUE!</v>
      </c>
      <c r="H1797" s="63" t="e">
        <f t="shared" si="57"/>
        <v>#VALUE!</v>
      </c>
    </row>
    <row r="1798" spans="7:8">
      <c r="G1798" s="63" t="e">
        <f t="shared" si="56"/>
        <v>#VALUE!</v>
      </c>
      <c r="H1798" s="63" t="e">
        <f t="shared" si="57"/>
        <v>#VALUE!</v>
      </c>
    </row>
    <row r="1799" spans="7:8">
      <c r="G1799" s="63" t="e">
        <f t="shared" si="56"/>
        <v>#VALUE!</v>
      </c>
      <c r="H1799" s="63" t="e">
        <f t="shared" si="57"/>
        <v>#VALUE!</v>
      </c>
    </row>
    <row r="1800" spans="7:8">
      <c r="G1800" s="63" t="e">
        <f t="shared" si="56"/>
        <v>#VALUE!</v>
      </c>
      <c r="H1800" s="63" t="e">
        <f t="shared" si="57"/>
        <v>#VALUE!</v>
      </c>
    </row>
    <row r="1801" spans="7:8">
      <c r="G1801" s="63" t="e">
        <f t="shared" si="56"/>
        <v>#VALUE!</v>
      </c>
      <c r="H1801" s="63" t="e">
        <f t="shared" si="57"/>
        <v>#VALUE!</v>
      </c>
    </row>
    <row r="1802" spans="7:8">
      <c r="G1802" s="63" t="e">
        <f t="shared" si="56"/>
        <v>#VALUE!</v>
      </c>
      <c r="H1802" s="63" t="e">
        <f t="shared" si="57"/>
        <v>#VALUE!</v>
      </c>
    </row>
    <row r="1803" spans="7:8">
      <c r="G1803" s="63" t="e">
        <f t="shared" si="56"/>
        <v>#VALUE!</v>
      </c>
      <c r="H1803" s="63" t="e">
        <f t="shared" si="57"/>
        <v>#VALUE!</v>
      </c>
    </row>
    <row r="1804" spans="7:8">
      <c r="G1804" s="63" t="e">
        <f t="shared" si="56"/>
        <v>#VALUE!</v>
      </c>
      <c r="H1804" s="63" t="e">
        <f t="shared" si="57"/>
        <v>#VALUE!</v>
      </c>
    </row>
    <row r="1805" spans="7:8">
      <c r="G1805" s="63" t="e">
        <f t="shared" si="56"/>
        <v>#VALUE!</v>
      </c>
      <c r="H1805" s="63" t="e">
        <f t="shared" si="57"/>
        <v>#VALUE!</v>
      </c>
    </row>
    <row r="1806" spans="7:8">
      <c r="G1806" s="63" t="e">
        <f t="shared" si="56"/>
        <v>#VALUE!</v>
      </c>
      <c r="H1806" s="63" t="e">
        <f t="shared" si="57"/>
        <v>#VALUE!</v>
      </c>
    </row>
    <row r="1807" spans="7:8">
      <c r="G1807" s="63" t="e">
        <f t="shared" si="56"/>
        <v>#VALUE!</v>
      </c>
      <c r="H1807" s="63" t="e">
        <f t="shared" si="57"/>
        <v>#VALUE!</v>
      </c>
    </row>
    <row r="1808" spans="7:8">
      <c r="G1808" s="63" t="e">
        <f t="shared" si="56"/>
        <v>#VALUE!</v>
      </c>
      <c r="H1808" s="63" t="e">
        <f t="shared" si="57"/>
        <v>#VALUE!</v>
      </c>
    </row>
    <row r="1809" spans="7:8">
      <c r="G1809" s="63" t="e">
        <f t="shared" si="56"/>
        <v>#VALUE!</v>
      </c>
      <c r="H1809" s="63" t="e">
        <f t="shared" si="57"/>
        <v>#VALUE!</v>
      </c>
    </row>
    <row r="1810" spans="7:8">
      <c r="G1810" s="63" t="e">
        <f t="shared" si="56"/>
        <v>#VALUE!</v>
      </c>
      <c r="H1810" s="63" t="e">
        <f t="shared" si="57"/>
        <v>#VALUE!</v>
      </c>
    </row>
    <row r="1811" spans="7:8">
      <c r="G1811" s="63" t="e">
        <f t="shared" si="56"/>
        <v>#VALUE!</v>
      </c>
      <c r="H1811" s="63" t="e">
        <f t="shared" si="57"/>
        <v>#VALUE!</v>
      </c>
    </row>
    <row r="1812" spans="7:8">
      <c r="G1812" s="63" t="e">
        <f t="shared" si="56"/>
        <v>#VALUE!</v>
      </c>
      <c r="H1812" s="63" t="e">
        <f t="shared" si="57"/>
        <v>#VALUE!</v>
      </c>
    </row>
    <row r="1813" spans="7:8">
      <c r="G1813" s="63" t="e">
        <f t="shared" si="56"/>
        <v>#VALUE!</v>
      </c>
      <c r="H1813" s="63" t="e">
        <f t="shared" si="57"/>
        <v>#VALUE!</v>
      </c>
    </row>
    <row r="1814" spans="7:8">
      <c r="G1814" s="63" t="e">
        <f t="shared" si="56"/>
        <v>#VALUE!</v>
      </c>
      <c r="H1814" s="63" t="e">
        <f t="shared" si="57"/>
        <v>#VALUE!</v>
      </c>
    </row>
    <row r="1815" spans="7:8">
      <c r="G1815" s="63" t="e">
        <f t="shared" si="56"/>
        <v>#VALUE!</v>
      </c>
      <c r="H1815" s="63" t="e">
        <f t="shared" si="57"/>
        <v>#VALUE!</v>
      </c>
    </row>
    <row r="1816" spans="7:8">
      <c r="G1816" s="63" t="e">
        <f t="shared" si="56"/>
        <v>#VALUE!</v>
      </c>
      <c r="H1816" s="63" t="e">
        <f t="shared" si="57"/>
        <v>#VALUE!</v>
      </c>
    </row>
    <row r="1817" spans="7:8">
      <c r="G1817" s="63" t="e">
        <f t="shared" si="56"/>
        <v>#VALUE!</v>
      </c>
      <c r="H1817" s="63" t="e">
        <f t="shared" si="57"/>
        <v>#VALUE!</v>
      </c>
    </row>
    <row r="1818" spans="7:8">
      <c r="G1818" s="63" t="e">
        <f t="shared" si="56"/>
        <v>#VALUE!</v>
      </c>
      <c r="H1818" s="63" t="e">
        <f t="shared" si="57"/>
        <v>#VALUE!</v>
      </c>
    </row>
    <row r="1819" spans="7:8">
      <c r="G1819" s="63" t="e">
        <f t="shared" si="56"/>
        <v>#VALUE!</v>
      </c>
      <c r="H1819" s="63" t="e">
        <f t="shared" si="57"/>
        <v>#VALUE!</v>
      </c>
    </row>
    <row r="1820" spans="7:8">
      <c r="G1820" s="63" t="e">
        <f t="shared" si="56"/>
        <v>#VALUE!</v>
      </c>
      <c r="H1820" s="63" t="e">
        <f t="shared" si="57"/>
        <v>#VALUE!</v>
      </c>
    </row>
    <row r="1821" spans="7:8">
      <c r="G1821" s="63" t="e">
        <f t="shared" si="56"/>
        <v>#VALUE!</v>
      </c>
      <c r="H1821" s="63" t="e">
        <f t="shared" si="57"/>
        <v>#VALUE!</v>
      </c>
    </row>
    <row r="1822" spans="7:8">
      <c r="G1822" s="63" t="e">
        <f t="shared" si="56"/>
        <v>#VALUE!</v>
      </c>
      <c r="H1822" s="63" t="e">
        <f t="shared" si="57"/>
        <v>#VALUE!</v>
      </c>
    </row>
    <row r="1823" spans="7:8">
      <c r="G1823" s="63" t="e">
        <f t="shared" si="56"/>
        <v>#VALUE!</v>
      </c>
      <c r="H1823" s="63" t="e">
        <f t="shared" si="57"/>
        <v>#VALUE!</v>
      </c>
    </row>
    <row r="1824" spans="7:8">
      <c r="G1824" s="63" t="e">
        <f t="shared" si="56"/>
        <v>#VALUE!</v>
      </c>
      <c r="H1824" s="63" t="e">
        <f t="shared" si="57"/>
        <v>#VALUE!</v>
      </c>
    </row>
    <row r="1825" spans="7:8">
      <c r="G1825" s="63" t="e">
        <f t="shared" si="56"/>
        <v>#VALUE!</v>
      </c>
      <c r="H1825" s="63" t="e">
        <f t="shared" si="57"/>
        <v>#VALUE!</v>
      </c>
    </row>
    <row r="1826" spans="7:8">
      <c r="G1826" s="63" t="e">
        <f t="shared" si="56"/>
        <v>#VALUE!</v>
      </c>
      <c r="H1826" s="63" t="e">
        <f t="shared" si="57"/>
        <v>#VALUE!</v>
      </c>
    </row>
    <row r="1827" spans="7:8">
      <c r="G1827" s="63" t="e">
        <f t="shared" si="56"/>
        <v>#VALUE!</v>
      </c>
      <c r="H1827" s="63" t="e">
        <f t="shared" si="57"/>
        <v>#VALUE!</v>
      </c>
    </row>
    <row r="1828" spans="7:8">
      <c r="G1828" s="63" t="e">
        <f t="shared" si="56"/>
        <v>#VALUE!</v>
      </c>
      <c r="H1828" s="63" t="e">
        <f t="shared" si="57"/>
        <v>#VALUE!</v>
      </c>
    </row>
    <row r="1829" spans="7:8">
      <c r="G1829" s="63" t="e">
        <f t="shared" si="56"/>
        <v>#VALUE!</v>
      </c>
      <c r="H1829" s="63" t="e">
        <f t="shared" si="57"/>
        <v>#VALUE!</v>
      </c>
    </row>
    <row r="1830" spans="7:8">
      <c r="G1830" s="63" t="e">
        <f t="shared" si="56"/>
        <v>#VALUE!</v>
      </c>
      <c r="H1830" s="63" t="e">
        <f t="shared" si="57"/>
        <v>#VALUE!</v>
      </c>
    </row>
    <row r="1831" spans="7:8">
      <c r="G1831" s="63" t="e">
        <f t="shared" si="56"/>
        <v>#VALUE!</v>
      </c>
      <c r="H1831" s="63" t="e">
        <f t="shared" si="57"/>
        <v>#VALUE!</v>
      </c>
    </row>
    <row r="1832" spans="7:8">
      <c r="G1832" s="63" t="e">
        <f t="shared" si="56"/>
        <v>#VALUE!</v>
      </c>
      <c r="H1832" s="63" t="e">
        <f t="shared" si="57"/>
        <v>#VALUE!</v>
      </c>
    </row>
    <row r="1833" spans="7:8">
      <c r="G1833" s="63" t="e">
        <f t="shared" si="56"/>
        <v>#VALUE!</v>
      </c>
      <c r="H1833" s="63" t="e">
        <f t="shared" si="57"/>
        <v>#VALUE!</v>
      </c>
    </row>
    <row r="1834" spans="7:8">
      <c r="G1834" s="63" t="e">
        <f t="shared" si="56"/>
        <v>#VALUE!</v>
      </c>
      <c r="H1834" s="63" t="e">
        <f t="shared" si="57"/>
        <v>#VALUE!</v>
      </c>
    </row>
    <row r="1835" spans="7:8">
      <c r="G1835" s="63" t="e">
        <f t="shared" si="56"/>
        <v>#VALUE!</v>
      </c>
      <c r="H1835" s="63" t="e">
        <f t="shared" si="57"/>
        <v>#VALUE!</v>
      </c>
    </row>
    <row r="1836" spans="7:8">
      <c r="G1836" s="63" t="e">
        <f t="shared" si="56"/>
        <v>#VALUE!</v>
      </c>
      <c r="H1836" s="63" t="e">
        <f t="shared" si="57"/>
        <v>#VALUE!</v>
      </c>
    </row>
    <row r="1837" spans="7:8">
      <c r="G1837" s="63" t="e">
        <f t="shared" si="56"/>
        <v>#VALUE!</v>
      </c>
      <c r="H1837" s="63" t="e">
        <f t="shared" si="57"/>
        <v>#VALUE!</v>
      </c>
    </row>
    <row r="1838" spans="7:8">
      <c r="G1838" s="63" t="e">
        <f t="shared" si="56"/>
        <v>#VALUE!</v>
      </c>
      <c r="H1838" s="63" t="e">
        <f t="shared" si="57"/>
        <v>#VALUE!</v>
      </c>
    </row>
    <row r="1839" spans="7:8">
      <c r="G1839" s="63" t="e">
        <f t="shared" si="56"/>
        <v>#VALUE!</v>
      </c>
      <c r="H1839" s="63" t="e">
        <f t="shared" si="57"/>
        <v>#VALUE!</v>
      </c>
    </row>
    <row r="1840" spans="7:8">
      <c r="G1840" s="63" t="e">
        <f t="shared" si="56"/>
        <v>#VALUE!</v>
      </c>
      <c r="H1840" s="63" t="e">
        <f t="shared" si="57"/>
        <v>#VALUE!</v>
      </c>
    </row>
    <row r="1841" spans="7:8">
      <c r="G1841" s="63" t="e">
        <f t="shared" si="56"/>
        <v>#VALUE!</v>
      </c>
      <c r="H1841" s="63" t="e">
        <f t="shared" si="57"/>
        <v>#VALUE!</v>
      </c>
    </row>
    <row r="1842" spans="7:8">
      <c r="G1842" s="63" t="e">
        <f t="shared" si="56"/>
        <v>#VALUE!</v>
      </c>
      <c r="H1842" s="63" t="e">
        <f t="shared" si="57"/>
        <v>#VALUE!</v>
      </c>
    </row>
    <row r="1843" spans="7:8">
      <c r="G1843" s="63" t="e">
        <f t="shared" si="56"/>
        <v>#VALUE!</v>
      </c>
      <c r="H1843" s="63" t="e">
        <f t="shared" si="57"/>
        <v>#VALUE!</v>
      </c>
    </row>
    <row r="1844" spans="7:8">
      <c r="G1844" s="63" t="e">
        <f t="shared" si="56"/>
        <v>#VALUE!</v>
      </c>
      <c r="H1844" s="63" t="e">
        <f t="shared" si="57"/>
        <v>#VALUE!</v>
      </c>
    </row>
    <row r="1845" spans="7:8">
      <c r="G1845" s="63" t="e">
        <f t="shared" si="56"/>
        <v>#VALUE!</v>
      </c>
      <c r="H1845" s="63" t="e">
        <f t="shared" si="57"/>
        <v>#VALUE!</v>
      </c>
    </row>
    <row r="1846" spans="7:8">
      <c r="G1846" s="63" t="e">
        <f t="shared" si="56"/>
        <v>#VALUE!</v>
      </c>
      <c r="H1846" s="63" t="e">
        <f t="shared" si="57"/>
        <v>#VALUE!</v>
      </c>
    </row>
    <row r="1847" spans="7:8">
      <c r="G1847" s="63" t="e">
        <f t="shared" si="56"/>
        <v>#VALUE!</v>
      </c>
      <c r="H1847" s="63" t="e">
        <f t="shared" si="57"/>
        <v>#VALUE!</v>
      </c>
    </row>
    <row r="1848" spans="7:8">
      <c r="G1848" s="63" t="e">
        <f t="shared" si="56"/>
        <v>#VALUE!</v>
      </c>
      <c r="H1848" s="63" t="e">
        <f t="shared" si="57"/>
        <v>#VALUE!</v>
      </c>
    </row>
    <row r="1849" spans="7:8">
      <c r="G1849" s="63" t="e">
        <f t="shared" si="56"/>
        <v>#VALUE!</v>
      </c>
      <c r="H1849" s="63" t="e">
        <f t="shared" si="57"/>
        <v>#VALUE!</v>
      </c>
    </row>
    <row r="1850" spans="7:8">
      <c r="G1850" s="63" t="e">
        <f t="shared" si="56"/>
        <v>#VALUE!</v>
      </c>
      <c r="H1850" s="63" t="e">
        <f t="shared" si="57"/>
        <v>#VALUE!</v>
      </c>
    </row>
    <row r="1851" spans="7:8">
      <c r="G1851" s="63" t="e">
        <f t="shared" si="56"/>
        <v>#VALUE!</v>
      </c>
      <c r="H1851" s="63" t="e">
        <f t="shared" si="57"/>
        <v>#VALUE!</v>
      </c>
    </row>
    <row r="1852" spans="7:8">
      <c r="G1852" s="63" t="e">
        <f t="shared" si="56"/>
        <v>#VALUE!</v>
      </c>
      <c r="H1852" s="63" t="e">
        <f t="shared" si="57"/>
        <v>#VALUE!</v>
      </c>
    </row>
    <row r="1853" spans="7:8">
      <c r="G1853" s="63" t="e">
        <f t="shared" si="56"/>
        <v>#VALUE!</v>
      </c>
      <c r="H1853" s="63" t="e">
        <f t="shared" si="57"/>
        <v>#VALUE!</v>
      </c>
    </row>
    <row r="1854" spans="7:8">
      <c r="G1854" s="63" t="e">
        <f t="shared" si="56"/>
        <v>#VALUE!</v>
      </c>
      <c r="H1854" s="63" t="e">
        <f t="shared" si="57"/>
        <v>#VALUE!</v>
      </c>
    </row>
    <row r="1855" spans="7:8">
      <c r="G1855" s="63" t="e">
        <f t="shared" si="56"/>
        <v>#VALUE!</v>
      </c>
      <c r="H1855" s="63" t="e">
        <f t="shared" si="57"/>
        <v>#VALUE!</v>
      </c>
    </row>
    <row r="1856" spans="7:8">
      <c r="G1856" s="63" t="e">
        <f t="shared" si="56"/>
        <v>#VALUE!</v>
      </c>
      <c r="H1856" s="63" t="e">
        <f t="shared" si="57"/>
        <v>#VALUE!</v>
      </c>
    </row>
    <row r="1857" spans="7:8">
      <c r="G1857" s="63" t="e">
        <f t="shared" si="56"/>
        <v>#VALUE!</v>
      </c>
      <c r="H1857" s="63" t="e">
        <f t="shared" si="57"/>
        <v>#VALUE!</v>
      </c>
    </row>
    <row r="1858" spans="7:8">
      <c r="G1858" s="63" t="e">
        <f t="shared" si="56"/>
        <v>#VALUE!</v>
      </c>
      <c r="H1858" s="63" t="e">
        <f t="shared" si="57"/>
        <v>#VALUE!</v>
      </c>
    </row>
    <row r="1859" spans="7:8">
      <c r="G1859" s="63" t="e">
        <f t="shared" ref="G1859:G1922" si="58">IF(OR(A1859="RID_PB77",A1859="RID_PB77A3"),"WPCI77",IF(A1859="RIDTCIAS","CSCI49",IF(A1859="RID_HCPTM","CHCPT_",IF(LEFT(A1859,1)="C",A1859,MID(A1859,6,LEN(A1859)-5)))))</f>
        <v>#VALUE!</v>
      </c>
      <c r="H1859" s="63" t="e">
        <f t="shared" ref="H1859:H1922" si="59">IF(OR(G1859="MJG1",G1859="MJG2"),"MJG",G1859)&amp;"_"&amp;B1859</f>
        <v>#VALUE!</v>
      </c>
    </row>
    <row r="1860" spans="7:8">
      <c r="G1860" s="63" t="e">
        <f t="shared" si="58"/>
        <v>#VALUE!</v>
      </c>
      <c r="H1860" s="63" t="e">
        <f t="shared" si="59"/>
        <v>#VALUE!</v>
      </c>
    </row>
    <row r="1861" spans="7:8">
      <c r="G1861" s="63" t="e">
        <f t="shared" si="58"/>
        <v>#VALUE!</v>
      </c>
      <c r="H1861" s="63" t="e">
        <f t="shared" si="59"/>
        <v>#VALUE!</v>
      </c>
    </row>
    <row r="1862" spans="7:8">
      <c r="G1862" s="63" t="e">
        <f t="shared" si="58"/>
        <v>#VALUE!</v>
      </c>
      <c r="H1862" s="63" t="e">
        <f t="shared" si="59"/>
        <v>#VALUE!</v>
      </c>
    </row>
    <row r="1863" spans="7:8">
      <c r="G1863" s="63" t="e">
        <f t="shared" si="58"/>
        <v>#VALUE!</v>
      </c>
      <c r="H1863" s="63" t="e">
        <f t="shared" si="59"/>
        <v>#VALUE!</v>
      </c>
    </row>
    <row r="1864" spans="7:8">
      <c r="G1864" s="63" t="e">
        <f t="shared" si="58"/>
        <v>#VALUE!</v>
      </c>
      <c r="H1864" s="63" t="e">
        <f t="shared" si="59"/>
        <v>#VALUE!</v>
      </c>
    </row>
    <row r="1865" spans="7:8">
      <c r="G1865" s="63" t="e">
        <f t="shared" si="58"/>
        <v>#VALUE!</v>
      </c>
      <c r="H1865" s="63" t="e">
        <f t="shared" si="59"/>
        <v>#VALUE!</v>
      </c>
    </row>
    <row r="1866" spans="7:8">
      <c r="G1866" s="63" t="e">
        <f t="shared" si="58"/>
        <v>#VALUE!</v>
      </c>
      <c r="H1866" s="63" t="e">
        <f t="shared" si="59"/>
        <v>#VALUE!</v>
      </c>
    </row>
    <row r="1867" spans="7:8">
      <c r="G1867" s="63" t="e">
        <f t="shared" si="58"/>
        <v>#VALUE!</v>
      </c>
      <c r="H1867" s="63" t="e">
        <f t="shared" si="59"/>
        <v>#VALUE!</v>
      </c>
    </row>
    <row r="1868" spans="7:8">
      <c r="G1868" s="63" t="e">
        <f t="shared" si="58"/>
        <v>#VALUE!</v>
      </c>
      <c r="H1868" s="63" t="e">
        <f t="shared" si="59"/>
        <v>#VALUE!</v>
      </c>
    </row>
    <row r="1869" spans="7:8">
      <c r="G1869" s="63" t="e">
        <f t="shared" si="58"/>
        <v>#VALUE!</v>
      </c>
      <c r="H1869" s="63" t="e">
        <f t="shared" si="59"/>
        <v>#VALUE!</v>
      </c>
    </row>
    <row r="1870" spans="7:8">
      <c r="G1870" s="63" t="e">
        <f t="shared" si="58"/>
        <v>#VALUE!</v>
      </c>
      <c r="H1870" s="63" t="e">
        <f t="shared" si="59"/>
        <v>#VALUE!</v>
      </c>
    </row>
    <row r="1871" spans="7:8">
      <c r="G1871" s="63" t="e">
        <f t="shared" si="58"/>
        <v>#VALUE!</v>
      </c>
      <c r="H1871" s="63" t="e">
        <f t="shared" si="59"/>
        <v>#VALUE!</v>
      </c>
    </row>
    <row r="1872" spans="7:8">
      <c r="G1872" s="63" t="e">
        <f t="shared" si="58"/>
        <v>#VALUE!</v>
      </c>
      <c r="H1872" s="63" t="e">
        <f t="shared" si="59"/>
        <v>#VALUE!</v>
      </c>
    </row>
    <row r="1873" spans="7:8">
      <c r="G1873" s="63" t="e">
        <f t="shared" si="58"/>
        <v>#VALUE!</v>
      </c>
      <c r="H1873" s="63" t="e">
        <f t="shared" si="59"/>
        <v>#VALUE!</v>
      </c>
    </row>
    <row r="1874" spans="7:8">
      <c r="G1874" s="63" t="e">
        <f t="shared" si="58"/>
        <v>#VALUE!</v>
      </c>
      <c r="H1874" s="63" t="e">
        <f t="shared" si="59"/>
        <v>#VALUE!</v>
      </c>
    </row>
    <row r="1875" spans="7:8">
      <c r="G1875" s="63" t="e">
        <f t="shared" si="58"/>
        <v>#VALUE!</v>
      </c>
      <c r="H1875" s="63" t="e">
        <f t="shared" si="59"/>
        <v>#VALUE!</v>
      </c>
    </row>
    <row r="1876" spans="7:8">
      <c r="G1876" s="63" t="e">
        <f t="shared" si="58"/>
        <v>#VALUE!</v>
      </c>
      <c r="H1876" s="63" t="e">
        <f t="shared" si="59"/>
        <v>#VALUE!</v>
      </c>
    </row>
    <row r="1877" spans="7:8">
      <c r="G1877" s="63" t="e">
        <f t="shared" si="58"/>
        <v>#VALUE!</v>
      </c>
      <c r="H1877" s="63" t="e">
        <f t="shared" si="59"/>
        <v>#VALUE!</v>
      </c>
    </row>
    <row r="1878" spans="7:8">
      <c r="G1878" s="63" t="e">
        <f t="shared" si="58"/>
        <v>#VALUE!</v>
      </c>
      <c r="H1878" s="63" t="e">
        <f t="shared" si="59"/>
        <v>#VALUE!</v>
      </c>
    </row>
    <row r="1879" spans="7:8">
      <c r="G1879" s="63" t="e">
        <f t="shared" si="58"/>
        <v>#VALUE!</v>
      </c>
      <c r="H1879" s="63" t="e">
        <f t="shared" si="59"/>
        <v>#VALUE!</v>
      </c>
    </row>
    <row r="1880" spans="7:8">
      <c r="G1880" s="63" t="e">
        <f t="shared" si="58"/>
        <v>#VALUE!</v>
      </c>
      <c r="H1880" s="63" t="e">
        <f t="shared" si="59"/>
        <v>#VALUE!</v>
      </c>
    </row>
    <row r="1881" spans="7:8">
      <c r="G1881" s="63" t="e">
        <f t="shared" si="58"/>
        <v>#VALUE!</v>
      </c>
      <c r="H1881" s="63" t="e">
        <f t="shared" si="59"/>
        <v>#VALUE!</v>
      </c>
    </row>
    <row r="1882" spans="7:8">
      <c r="G1882" s="63" t="e">
        <f t="shared" si="58"/>
        <v>#VALUE!</v>
      </c>
      <c r="H1882" s="63" t="e">
        <f t="shared" si="59"/>
        <v>#VALUE!</v>
      </c>
    </row>
    <row r="1883" spans="7:8">
      <c r="G1883" s="63" t="e">
        <f t="shared" si="58"/>
        <v>#VALUE!</v>
      </c>
      <c r="H1883" s="63" t="e">
        <f t="shared" si="59"/>
        <v>#VALUE!</v>
      </c>
    </row>
    <row r="1884" spans="7:8">
      <c r="G1884" s="63" t="e">
        <f t="shared" si="58"/>
        <v>#VALUE!</v>
      </c>
      <c r="H1884" s="63" t="e">
        <f t="shared" si="59"/>
        <v>#VALUE!</v>
      </c>
    </row>
    <row r="1885" spans="7:8">
      <c r="G1885" s="63" t="e">
        <f t="shared" si="58"/>
        <v>#VALUE!</v>
      </c>
      <c r="H1885" s="63" t="e">
        <f t="shared" si="59"/>
        <v>#VALUE!</v>
      </c>
    </row>
    <row r="1886" spans="7:8">
      <c r="G1886" s="63" t="e">
        <f t="shared" si="58"/>
        <v>#VALUE!</v>
      </c>
      <c r="H1886" s="63" t="e">
        <f t="shared" si="59"/>
        <v>#VALUE!</v>
      </c>
    </row>
    <row r="1887" spans="7:8">
      <c r="G1887" s="63" t="e">
        <f t="shared" si="58"/>
        <v>#VALUE!</v>
      </c>
      <c r="H1887" s="63" t="e">
        <f t="shared" si="59"/>
        <v>#VALUE!</v>
      </c>
    </row>
    <row r="1888" spans="7:8">
      <c r="G1888" s="63" t="e">
        <f t="shared" si="58"/>
        <v>#VALUE!</v>
      </c>
      <c r="H1888" s="63" t="e">
        <f t="shared" si="59"/>
        <v>#VALUE!</v>
      </c>
    </row>
    <row r="1889" spans="7:8">
      <c r="G1889" s="63" t="e">
        <f t="shared" si="58"/>
        <v>#VALUE!</v>
      </c>
      <c r="H1889" s="63" t="e">
        <f t="shared" si="59"/>
        <v>#VALUE!</v>
      </c>
    </row>
    <row r="1890" spans="7:8">
      <c r="G1890" s="63" t="e">
        <f t="shared" si="58"/>
        <v>#VALUE!</v>
      </c>
      <c r="H1890" s="63" t="e">
        <f t="shared" si="59"/>
        <v>#VALUE!</v>
      </c>
    </row>
    <row r="1891" spans="7:8">
      <c r="G1891" s="63" t="e">
        <f t="shared" si="58"/>
        <v>#VALUE!</v>
      </c>
      <c r="H1891" s="63" t="e">
        <f t="shared" si="59"/>
        <v>#VALUE!</v>
      </c>
    </row>
    <row r="1892" spans="7:8">
      <c r="G1892" s="63" t="e">
        <f t="shared" si="58"/>
        <v>#VALUE!</v>
      </c>
      <c r="H1892" s="63" t="e">
        <f t="shared" si="59"/>
        <v>#VALUE!</v>
      </c>
    </row>
    <row r="1893" spans="7:8">
      <c r="G1893" s="63" t="e">
        <f t="shared" si="58"/>
        <v>#VALUE!</v>
      </c>
      <c r="H1893" s="63" t="e">
        <f t="shared" si="59"/>
        <v>#VALUE!</v>
      </c>
    </row>
    <row r="1894" spans="7:8">
      <c r="G1894" s="63" t="e">
        <f t="shared" si="58"/>
        <v>#VALUE!</v>
      </c>
      <c r="H1894" s="63" t="e">
        <f t="shared" si="59"/>
        <v>#VALUE!</v>
      </c>
    </row>
    <row r="1895" spans="7:8">
      <c r="G1895" s="63" t="e">
        <f t="shared" si="58"/>
        <v>#VALUE!</v>
      </c>
      <c r="H1895" s="63" t="e">
        <f t="shared" si="59"/>
        <v>#VALUE!</v>
      </c>
    </row>
    <row r="1896" spans="7:8">
      <c r="G1896" s="63" t="e">
        <f t="shared" si="58"/>
        <v>#VALUE!</v>
      </c>
      <c r="H1896" s="63" t="e">
        <f t="shared" si="59"/>
        <v>#VALUE!</v>
      </c>
    </row>
    <row r="1897" spans="7:8">
      <c r="G1897" s="63" t="e">
        <f t="shared" si="58"/>
        <v>#VALUE!</v>
      </c>
      <c r="H1897" s="63" t="e">
        <f t="shared" si="59"/>
        <v>#VALUE!</v>
      </c>
    </row>
    <row r="1898" spans="7:8">
      <c r="G1898" s="63" t="e">
        <f t="shared" si="58"/>
        <v>#VALUE!</v>
      </c>
      <c r="H1898" s="63" t="e">
        <f t="shared" si="59"/>
        <v>#VALUE!</v>
      </c>
    </row>
    <row r="1899" spans="7:8">
      <c r="G1899" s="63" t="e">
        <f t="shared" si="58"/>
        <v>#VALUE!</v>
      </c>
      <c r="H1899" s="63" t="e">
        <f t="shared" si="59"/>
        <v>#VALUE!</v>
      </c>
    </row>
    <row r="1900" spans="7:8">
      <c r="G1900" s="63" t="e">
        <f t="shared" si="58"/>
        <v>#VALUE!</v>
      </c>
      <c r="H1900" s="63" t="e">
        <f t="shared" si="59"/>
        <v>#VALUE!</v>
      </c>
    </row>
    <row r="1901" spans="7:8">
      <c r="G1901" s="63" t="e">
        <f t="shared" si="58"/>
        <v>#VALUE!</v>
      </c>
      <c r="H1901" s="63" t="e">
        <f t="shared" si="59"/>
        <v>#VALUE!</v>
      </c>
    </row>
    <row r="1902" spans="7:8">
      <c r="G1902" s="63" t="e">
        <f t="shared" si="58"/>
        <v>#VALUE!</v>
      </c>
      <c r="H1902" s="63" t="e">
        <f t="shared" si="59"/>
        <v>#VALUE!</v>
      </c>
    </row>
    <row r="1903" spans="7:8">
      <c r="G1903" s="63" t="e">
        <f t="shared" si="58"/>
        <v>#VALUE!</v>
      </c>
      <c r="H1903" s="63" t="e">
        <f t="shared" si="59"/>
        <v>#VALUE!</v>
      </c>
    </row>
    <row r="1904" spans="7:8">
      <c r="G1904" s="63" t="e">
        <f t="shared" si="58"/>
        <v>#VALUE!</v>
      </c>
      <c r="H1904" s="63" t="e">
        <f t="shared" si="59"/>
        <v>#VALUE!</v>
      </c>
    </row>
    <row r="1905" spans="7:8">
      <c r="G1905" s="63" t="e">
        <f t="shared" si="58"/>
        <v>#VALUE!</v>
      </c>
      <c r="H1905" s="63" t="e">
        <f t="shared" si="59"/>
        <v>#VALUE!</v>
      </c>
    </row>
    <row r="1906" spans="7:8">
      <c r="G1906" s="63" t="e">
        <f t="shared" si="58"/>
        <v>#VALUE!</v>
      </c>
      <c r="H1906" s="63" t="e">
        <f t="shared" si="59"/>
        <v>#VALUE!</v>
      </c>
    </row>
    <row r="1907" spans="7:8">
      <c r="G1907" s="63" t="e">
        <f t="shared" si="58"/>
        <v>#VALUE!</v>
      </c>
      <c r="H1907" s="63" t="e">
        <f t="shared" si="59"/>
        <v>#VALUE!</v>
      </c>
    </row>
    <row r="1908" spans="7:8">
      <c r="G1908" s="63" t="e">
        <f t="shared" si="58"/>
        <v>#VALUE!</v>
      </c>
      <c r="H1908" s="63" t="e">
        <f t="shared" si="59"/>
        <v>#VALUE!</v>
      </c>
    </row>
    <row r="1909" spans="7:8">
      <c r="G1909" s="63" t="e">
        <f t="shared" si="58"/>
        <v>#VALUE!</v>
      </c>
      <c r="H1909" s="63" t="e">
        <f t="shared" si="59"/>
        <v>#VALUE!</v>
      </c>
    </row>
    <row r="1910" spans="7:8">
      <c r="G1910" s="63" t="e">
        <f t="shared" si="58"/>
        <v>#VALUE!</v>
      </c>
      <c r="H1910" s="63" t="e">
        <f t="shared" si="59"/>
        <v>#VALUE!</v>
      </c>
    </row>
    <row r="1911" spans="7:8">
      <c r="G1911" s="63" t="e">
        <f t="shared" si="58"/>
        <v>#VALUE!</v>
      </c>
      <c r="H1911" s="63" t="e">
        <f t="shared" si="59"/>
        <v>#VALUE!</v>
      </c>
    </row>
    <row r="1912" spans="7:8">
      <c r="G1912" s="63" t="e">
        <f t="shared" si="58"/>
        <v>#VALUE!</v>
      </c>
      <c r="H1912" s="63" t="e">
        <f t="shared" si="59"/>
        <v>#VALUE!</v>
      </c>
    </row>
    <row r="1913" spans="7:8">
      <c r="G1913" s="63" t="e">
        <f t="shared" si="58"/>
        <v>#VALUE!</v>
      </c>
      <c r="H1913" s="63" t="e">
        <f t="shared" si="59"/>
        <v>#VALUE!</v>
      </c>
    </row>
    <row r="1914" spans="7:8">
      <c r="G1914" s="63" t="e">
        <f t="shared" si="58"/>
        <v>#VALUE!</v>
      </c>
      <c r="H1914" s="63" t="e">
        <f t="shared" si="59"/>
        <v>#VALUE!</v>
      </c>
    </row>
    <row r="1915" spans="7:8">
      <c r="G1915" s="63" t="e">
        <f t="shared" si="58"/>
        <v>#VALUE!</v>
      </c>
      <c r="H1915" s="63" t="e">
        <f t="shared" si="59"/>
        <v>#VALUE!</v>
      </c>
    </row>
    <row r="1916" spans="7:8">
      <c r="G1916" s="63" t="e">
        <f t="shared" si="58"/>
        <v>#VALUE!</v>
      </c>
      <c r="H1916" s="63" t="e">
        <f t="shared" si="59"/>
        <v>#VALUE!</v>
      </c>
    </row>
    <row r="1917" spans="7:8">
      <c r="G1917" s="63" t="e">
        <f t="shared" si="58"/>
        <v>#VALUE!</v>
      </c>
      <c r="H1917" s="63" t="e">
        <f t="shared" si="59"/>
        <v>#VALUE!</v>
      </c>
    </row>
    <row r="1918" spans="7:8">
      <c r="G1918" s="63" t="e">
        <f t="shared" si="58"/>
        <v>#VALUE!</v>
      </c>
      <c r="H1918" s="63" t="e">
        <f t="shared" si="59"/>
        <v>#VALUE!</v>
      </c>
    </row>
    <row r="1919" spans="7:8">
      <c r="G1919" s="63" t="e">
        <f t="shared" si="58"/>
        <v>#VALUE!</v>
      </c>
      <c r="H1919" s="63" t="e">
        <f t="shared" si="59"/>
        <v>#VALUE!</v>
      </c>
    </row>
    <row r="1920" spans="7:8">
      <c r="G1920" s="63" t="e">
        <f t="shared" si="58"/>
        <v>#VALUE!</v>
      </c>
      <c r="H1920" s="63" t="e">
        <f t="shared" si="59"/>
        <v>#VALUE!</v>
      </c>
    </row>
    <row r="1921" spans="7:8">
      <c r="G1921" s="63" t="e">
        <f t="shared" si="58"/>
        <v>#VALUE!</v>
      </c>
      <c r="H1921" s="63" t="e">
        <f t="shared" si="59"/>
        <v>#VALUE!</v>
      </c>
    </row>
    <row r="1922" spans="7:8">
      <c r="G1922" s="63" t="e">
        <f t="shared" si="58"/>
        <v>#VALUE!</v>
      </c>
      <c r="H1922" s="63" t="e">
        <f t="shared" si="59"/>
        <v>#VALUE!</v>
      </c>
    </row>
    <row r="1923" spans="7:8">
      <c r="G1923" s="63" t="e">
        <f t="shared" ref="G1923:G1986" si="60">IF(OR(A1923="RID_PB77",A1923="RID_PB77A3"),"WPCI77",IF(A1923="RIDTCIAS","CSCI49",IF(A1923="RID_HCPTM","CHCPT_",IF(LEFT(A1923,1)="C",A1923,MID(A1923,6,LEN(A1923)-5)))))</f>
        <v>#VALUE!</v>
      </c>
      <c r="H1923" s="63" t="e">
        <f t="shared" ref="H1923:H1986" si="61">IF(OR(G1923="MJG1",G1923="MJG2"),"MJG",G1923)&amp;"_"&amp;B1923</f>
        <v>#VALUE!</v>
      </c>
    </row>
    <row r="1924" spans="7:8">
      <c r="G1924" s="63" t="e">
        <f t="shared" si="60"/>
        <v>#VALUE!</v>
      </c>
      <c r="H1924" s="63" t="e">
        <f t="shared" si="61"/>
        <v>#VALUE!</v>
      </c>
    </row>
    <row r="1925" spans="7:8">
      <c r="G1925" s="63" t="e">
        <f t="shared" si="60"/>
        <v>#VALUE!</v>
      </c>
      <c r="H1925" s="63" t="e">
        <f t="shared" si="61"/>
        <v>#VALUE!</v>
      </c>
    </row>
    <row r="1926" spans="7:8">
      <c r="G1926" s="63" t="e">
        <f t="shared" si="60"/>
        <v>#VALUE!</v>
      </c>
      <c r="H1926" s="63" t="e">
        <f t="shared" si="61"/>
        <v>#VALUE!</v>
      </c>
    </row>
    <row r="1927" spans="7:8">
      <c r="G1927" s="63" t="e">
        <f t="shared" si="60"/>
        <v>#VALUE!</v>
      </c>
      <c r="H1927" s="63" t="e">
        <f t="shared" si="61"/>
        <v>#VALUE!</v>
      </c>
    </row>
    <row r="1928" spans="7:8">
      <c r="G1928" s="63" t="e">
        <f t="shared" si="60"/>
        <v>#VALUE!</v>
      </c>
      <c r="H1928" s="63" t="e">
        <f t="shared" si="61"/>
        <v>#VALUE!</v>
      </c>
    </row>
    <row r="1929" spans="7:8">
      <c r="G1929" s="63" t="e">
        <f t="shared" si="60"/>
        <v>#VALUE!</v>
      </c>
      <c r="H1929" s="63" t="e">
        <f t="shared" si="61"/>
        <v>#VALUE!</v>
      </c>
    </row>
    <row r="1930" spans="7:8">
      <c r="G1930" s="63" t="e">
        <f t="shared" si="60"/>
        <v>#VALUE!</v>
      </c>
      <c r="H1930" s="63" t="e">
        <f t="shared" si="61"/>
        <v>#VALUE!</v>
      </c>
    </row>
    <row r="1931" spans="7:8">
      <c r="G1931" s="63" t="e">
        <f t="shared" si="60"/>
        <v>#VALUE!</v>
      </c>
      <c r="H1931" s="63" t="e">
        <f t="shared" si="61"/>
        <v>#VALUE!</v>
      </c>
    </row>
    <row r="1932" spans="7:8">
      <c r="G1932" s="63" t="e">
        <f t="shared" si="60"/>
        <v>#VALUE!</v>
      </c>
      <c r="H1932" s="63" t="e">
        <f t="shared" si="61"/>
        <v>#VALUE!</v>
      </c>
    </row>
    <row r="1933" spans="7:8">
      <c r="G1933" s="63" t="e">
        <f t="shared" si="60"/>
        <v>#VALUE!</v>
      </c>
      <c r="H1933" s="63" t="e">
        <f t="shared" si="61"/>
        <v>#VALUE!</v>
      </c>
    </row>
    <row r="1934" spans="7:8">
      <c r="G1934" s="63" t="e">
        <f t="shared" si="60"/>
        <v>#VALUE!</v>
      </c>
      <c r="H1934" s="63" t="e">
        <f t="shared" si="61"/>
        <v>#VALUE!</v>
      </c>
    </row>
    <row r="1935" spans="7:8">
      <c r="G1935" s="63" t="e">
        <f t="shared" si="60"/>
        <v>#VALUE!</v>
      </c>
      <c r="H1935" s="63" t="e">
        <f t="shared" si="61"/>
        <v>#VALUE!</v>
      </c>
    </row>
    <row r="1936" spans="7:8">
      <c r="G1936" s="63" t="e">
        <f t="shared" si="60"/>
        <v>#VALUE!</v>
      </c>
      <c r="H1936" s="63" t="e">
        <f t="shared" si="61"/>
        <v>#VALUE!</v>
      </c>
    </row>
    <row r="1937" spans="7:8">
      <c r="G1937" s="63" t="e">
        <f t="shared" si="60"/>
        <v>#VALUE!</v>
      </c>
      <c r="H1937" s="63" t="e">
        <f t="shared" si="61"/>
        <v>#VALUE!</v>
      </c>
    </row>
    <row r="1938" spans="7:8">
      <c r="G1938" s="63" t="e">
        <f t="shared" si="60"/>
        <v>#VALUE!</v>
      </c>
      <c r="H1938" s="63" t="e">
        <f t="shared" si="61"/>
        <v>#VALUE!</v>
      </c>
    </row>
    <row r="1939" spans="7:8">
      <c r="G1939" s="63" t="e">
        <f t="shared" si="60"/>
        <v>#VALUE!</v>
      </c>
      <c r="H1939" s="63" t="e">
        <f t="shared" si="61"/>
        <v>#VALUE!</v>
      </c>
    </row>
    <row r="1940" spans="7:8">
      <c r="G1940" s="63" t="e">
        <f t="shared" si="60"/>
        <v>#VALUE!</v>
      </c>
      <c r="H1940" s="63" t="e">
        <f t="shared" si="61"/>
        <v>#VALUE!</v>
      </c>
    </row>
    <row r="1941" spans="7:8">
      <c r="G1941" s="63" t="e">
        <f t="shared" si="60"/>
        <v>#VALUE!</v>
      </c>
      <c r="H1941" s="63" t="e">
        <f t="shared" si="61"/>
        <v>#VALUE!</v>
      </c>
    </row>
    <row r="1942" spans="7:8">
      <c r="G1942" s="63" t="e">
        <f t="shared" si="60"/>
        <v>#VALUE!</v>
      </c>
      <c r="H1942" s="63" t="e">
        <f t="shared" si="61"/>
        <v>#VALUE!</v>
      </c>
    </row>
    <row r="1943" spans="7:8">
      <c r="G1943" s="63" t="e">
        <f t="shared" si="60"/>
        <v>#VALUE!</v>
      </c>
      <c r="H1943" s="63" t="e">
        <f t="shared" si="61"/>
        <v>#VALUE!</v>
      </c>
    </row>
    <row r="1944" spans="7:8">
      <c r="G1944" s="63" t="e">
        <f t="shared" si="60"/>
        <v>#VALUE!</v>
      </c>
      <c r="H1944" s="63" t="e">
        <f t="shared" si="61"/>
        <v>#VALUE!</v>
      </c>
    </row>
    <row r="1945" spans="7:8">
      <c r="G1945" s="63" t="e">
        <f t="shared" si="60"/>
        <v>#VALUE!</v>
      </c>
      <c r="H1945" s="63" t="e">
        <f t="shared" si="61"/>
        <v>#VALUE!</v>
      </c>
    </row>
    <row r="1946" spans="7:8">
      <c r="G1946" s="63" t="e">
        <f t="shared" si="60"/>
        <v>#VALUE!</v>
      </c>
      <c r="H1946" s="63" t="e">
        <f t="shared" si="61"/>
        <v>#VALUE!</v>
      </c>
    </row>
    <row r="1947" spans="7:8">
      <c r="G1947" s="63" t="e">
        <f t="shared" si="60"/>
        <v>#VALUE!</v>
      </c>
      <c r="H1947" s="63" t="e">
        <f t="shared" si="61"/>
        <v>#VALUE!</v>
      </c>
    </row>
    <row r="1948" spans="7:8">
      <c r="G1948" s="63" t="e">
        <f t="shared" si="60"/>
        <v>#VALUE!</v>
      </c>
      <c r="H1948" s="63" t="e">
        <f t="shared" si="61"/>
        <v>#VALUE!</v>
      </c>
    </row>
    <row r="1949" spans="7:8">
      <c r="G1949" s="63" t="e">
        <f t="shared" si="60"/>
        <v>#VALUE!</v>
      </c>
      <c r="H1949" s="63" t="e">
        <f t="shared" si="61"/>
        <v>#VALUE!</v>
      </c>
    </row>
    <row r="1950" spans="7:8">
      <c r="G1950" s="63" t="e">
        <f t="shared" si="60"/>
        <v>#VALUE!</v>
      </c>
      <c r="H1950" s="63" t="e">
        <f t="shared" si="61"/>
        <v>#VALUE!</v>
      </c>
    </row>
    <row r="1951" spans="7:8">
      <c r="G1951" s="63" t="e">
        <f t="shared" si="60"/>
        <v>#VALUE!</v>
      </c>
      <c r="H1951" s="63" t="e">
        <f t="shared" si="61"/>
        <v>#VALUE!</v>
      </c>
    </row>
    <row r="1952" spans="7:8">
      <c r="G1952" s="63" t="e">
        <f t="shared" si="60"/>
        <v>#VALUE!</v>
      </c>
      <c r="H1952" s="63" t="e">
        <f t="shared" si="61"/>
        <v>#VALUE!</v>
      </c>
    </row>
    <row r="1953" spans="7:8">
      <c r="G1953" s="63" t="e">
        <f t="shared" si="60"/>
        <v>#VALUE!</v>
      </c>
      <c r="H1953" s="63" t="e">
        <f t="shared" si="61"/>
        <v>#VALUE!</v>
      </c>
    </row>
    <row r="1954" spans="7:8">
      <c r="G1954" s="63" t="e">
        <f t="shared" si="60"/>
        <v>#VALUE!</v>
      </c>
      <c r="H1954" s="63" t="e">
        <f t="shared" si="61"/>
        <v>#VALUE!</v>
      </c>
    </row>
    <row r="1955" spans="7:8">
      <c r="G1955" s="63" t="e">
        <f t="shared" si="60"/>
        <v>#VALUE!</v>
      </c>
      <c r="H1955" s="63" t="e">
        <f t="shared" si="61"/>
        <v>#VALUE!</v>
      </c>
    </row>
    <row r="1956" spans="7:8">
      <c r="G1956" s="63" t="e">
        <f t="shared" si="60"/>
        <v>#VALUE!</v>
      </c>
      <c r="H1956" s="63" t="e">
        <f t="shared" si="61"/>
        <v>#VALUE!</v>
      </c>
    </row>
    <row r="1957" spans="7:8">
      <c r="G1957" s="63" t="e">
        <f t="shared" si="60"/>
        <v>#VALUE!</v>
      </c>
      <c r="H1957" s="63" t="e">
        <f t="shared" si="61"/>
        <v>#VALUE!</v>
      </c>
    </row>
    <row r="1958" spans="7:8">
      <c r="G1958" s="63" t="e">
        <f t="shared" si="60"/>
        <v>#VALUE!</v>
      </c>
      <c r="H1958" s="63" t="e">
        <f t="shared" si="61"/>
        <v>#VALUE!</v>
      </c>
    </row>
    <row r="1959" spans="7:8">
      <c r="G1959" s="63" t="e">
        <f t="shared" si="60"/>
        <v>#VALUE!</v>
      </c>
      <c r="H1959" s="63" t="e">
        <f t="shared" si="61"/>
        <v>#VALUE!</v>
      </c>
    </row>
    <row r="1960" spans="7:8">
      <c r="G1960" s="63" t="e">
        <f t="shared" si="60"/>
        <v>#VALUE!</v>
      </c>
      <c r="H1960" s="63" t="e">
        <f t="shared" si="61"/>
        <v>#VALUE!</v>
      </c>
    </row>
    <row r="1961" spans="7:8">
      <c r="G1961" s="63" t="e">
        <f t="shared" si="60"/>
        <v>#VALUE!</v>
      </c>
      <c r="H1961" s="63" t="e">
        <f t="shared" si="61"/>
        <v>#VALUE!</v>
      </c>
    </row>
    <row r="1962" spans="7:8">
      <c r="G1962" s="63" t="e">
        <f t="shared" si="60"/>
        <v>#VALUE!</v>
      </c>
      <c r="H1962" s="63" t="e">
        <f t="shared" si="61"/>
        <v>#VALUE!</v>
      </c>
    </row>
    <row r="1963" spans="7:8">
      <c r="G1963" s="63" t="e">
        <f t="shared" si="60"/>
        <v>#VALUE!</v>
      </c>
      <c r="H1963" s="63" t="e">
        <f t="shared" si="61"/>
        <v>#VALUE!</v>
      </c>
    </row>
    <row r="1964" spans="7:8">
      <c r="G1964" s="63" t="e">
        <f t="shared" si="60"/>
        <v>#VALUE!</v>
      </c>
      <c r="H1964" s="63" t="e">
        <f t="shared" si="61"/>
        <v>#VALUE!</v>
      </c>
    </row>
    <row r="1965" spans="7:8">
      <c r="G1965" s="63" t="e">
        <f t="shared" si="60"/>
        <v>#VALUE!</v>
      </c>
      <c r="H1965" s="63" t="e">
        <f t="shared" si="61"/>
        <v>#VALUE!</v>
      </c>
    </row>
    <row r="1966" spans="7:8">
      <c r="G1966" s="63" t="e">
        <f t="shared" si="60"/>
        <v>#VALUE!</v>
      </c>
      <c r="H1966" s="63" t="e">
        <f t="shared" si="61"/>
        <v>#VALUE!</v>
      </c>
    </row>
    <row r="1967" spans="7:8">
      <c r="G1967" s="63" t="e">
        <f t="shared" si="60"/>
        <v>#VALUE!</v>
      </c>
      <c r="H1967" s="63" t="e">
        <f t="shared" si="61"/>
        <v>#VALUE!</v>
      </c>
    </row>
    <row r="1968" spans="7:8">
      <c r="G1968" s="63" t="e">
        <f t="shared" si="60"/>
        <v>#VALUE!</v>
      </c>
      <c r="H1968" s="63" t="e">
        <f t="shared" si="61"/>
        <v>#VALUE!</v>
      </c>
    </row>
    <row r="1969" spans="7:8">
      <c r="G1969" s="63" t="e">
        <f t="shared" si="60"/>
        <v>#VALUE!</v>
      </c>
      <c r="H1969" s="63" t="e">
        <f t="shared" si="61"/>
        <v>#VALUE!</v>
      </c>
    </row>
    <row r="1970" spans="7:8">
      <c r="G1970" s="63" t="e">
        <f t="shared" si="60"/>
        <v>#VALUE!</v>
      </c>
      <c r="H1970" s="63" t="e">
        <f t="shared" si="61"/>
        <v>#VALUE!</v>
      </c>
    </row>
    <row r="1971" spans="7:8">
      <c r="G1971" s="63" t="e">
        <f t="shared" si="60"/>
        <v>#VALUE!</v>
      </c>
      <c r="H1971" s="63" t="e">
        <f t="shared" si="61"/>
        <v>#VALUE!</v>
      </c>
    </row>
    <row r="1972" spans="7:8">
      <c r="G1972" s="63" t="e">
        <f t="shared" si="60"/>
        <v>#VALUE!</v>
      </c>
      <c r="H1972" s="63" t="e">
        <f t="shared" si="61"/>
        <v>#VALUE!</v>
      </c>
    </row>
    <row r="1973" spans="7:8">
      <c r="G1973" s="63" t="e">
        <f t="shared" si="60"/>
        <v>#VALUE!</v>
      </c>
      <c r="H1973" s="63" t="e">
        <f t="shared" si="61"/>
        <v>#VALUE!</v>
      </c>
    </row>
    <row r="1974" spans="7:8">
      <c r="G1974" s="63" t="e">
        <f t="shared" si="60"/>
        <v>#VALUE!</v>
      </c>
      <c r="H1974" s="63" t="e">
        <f t="shared" si="61"/>
        <v>#VALUE!</v>
      </c>
    </row>
    <row r="1975" spans="7:8">
      <c r="G1975" s="63" t="e">
        <f t="shared" si="60"/>
        <v>#VALUE!</v>
      </c>
      <c r="H1975" s="63" t="e">
        <f t="shared" si="61"/>
        <v>#VALUE!</v>
      </c>
    </row>
    <row r="1976" spans="7:8">
      <c r="G1976" s="63" t="e">
        <f t="shared" si="60"/>
        <v>#VALUE!</v>
      </c>
      <c r="H1976" s="63" t="e">
        <f t="shared" si="61"/>
        <v>#VALUE!</v>
      </c>
    </row>
    <row r="1977" spans="7:8">
      <c r="G1977" s="63" t="e">
        <f t="shared" si="60"/>
        <v>#VALUE!</v>
      </c>
      <c r="H1977" s="63" t="e">
        <f t="shared" si="61"/>
        <v>#VALUE!</v>
      </c>
    </row>
    <row r="1978" spans="7:8">
      <c r="G1978" s="63" t="e">
        <f t="shared" si="60"/>
        <v>#VALUE!</v>
      </c>
      <c r="H1978" s="63" t="e">
        <f t="shared" si="61"/>
        <v>#VALUE!</v>
      </c>
    </row>
    <row r="1979" spans="7:8">
      <c r="G1979" s="63" t="e">
        <f t="shared" si="60"/>
        <v>#VALUE!</v>
      </c>
      <c r="H1979" s="63" t="e">
        <f t="shared" si="61"/>
        <v>#VALUE!</v>
      </c>
    </row>
    <row r="1980" spans="7:8">
      <c r="G1980" s="63" t="e">
        <f t="shared" si="60"/>
        <v>#VALUE!</v>
      </c>
      <c r="H1980" s="63" t="e">
        <f t="shared" si="61"/>
        <v>#VALUE!</v>
      </c>
    </row>
    <row r="1981" spans="7:8">
      <c r="G1981" s="63" t="e">
        <f t="shared" si="60"/>
        <v>#VALUE!</v>
      </c>
      <c r="H1981" s="63" t="e">
        <f t="shared" si="61"/>
        <v>#VALUE!</v>
      </c>
    </row>
    <row r="1982" spans="7:8">
      <c r="G1982" s="63" t="e">
        <f t="shared" si="60"/>
        <v>#VALUE!</v>
      </c>
      <c r="H1982" s="63" t="e">
        <f t="shared" si="61"/>
        <v>#VALUE!</v>
      </c>
    </row>
    <row r="1983" spans="7:8">
      <c r="G1983" s="63" t="e">
        <f t="shared" si="60"/>
        <v>#VALUE!</v>
      </c>
      <c r="H1983" s="63" t="e">
        <f t="shared" si="61"/>
        <v>#VALUE!</v>
      </c>
    </row>
    <row r="1984" spans="7:8">
      <c r="G1984" s="63" t="e">
        <f t="shared" si="60"/>
        <v>#VALUE!</v>
      </c>
      <c r="H1984" s="63" t="e">
        <f t="shared" si="61"/>
        <v>#VALUE!</v>
      </c>
    </row>
    <row r="1985" spans="7:8">
      <c r="G1985" s="63" t="e">
        <f t="shared" si="60"/>
        <v>#VALUE!</v>
      </c>
      <c r="H1985" s="63" t="e">
        <f t="shared" si="61"/>
        <v>#VALUE!</v>
      </c>
    </row>
    <row r="1986" spans="7:8">
      <c r="G1986" s="63" t="e">
        <f t="shared" si="60"/>
        <v>#VALUE!</v>
      </c>
      <c r="H1986" s="63" t="e">
        <f t="shared" si="61"/>
        <v>#VALUE!</v>
      </c>
    </row>
    <row r="1987" spans="7:8">
      <c r="G1987" s="63" t="e">
        <f t="shared" ref="G1987:G2050" si="62">IF(OR(A1987="RID_PB77",A1987="RID_PB77A3"),"WPCI77",IF(A1987="RIDTCIAS","CSCI49",IF(A1987="RID_HCPTM","CHCPT_",IF(LEFT(A1987,1)="C",A1987,MID(A1987,6,LEN(A1987)-5)))))</f>
        <v>#VALUE!</v>
      </c>
      <c r="H1987" s="63" t="e">
        <f t="shared" ref="H1987:H2050" si="63">IF(OR(G1987="MJG1",G1987="MJG2"),"MJG",G1987)&amp;"_"&amp;B1987</f>
        <v>#VALUE!</v>
      </c>
    </row>
    <row r="1988" spans="7:8">
      <c r="G1988" s="63" t="e">
        <f t="shared" si="62"/>
        <v>#VALUE!</v>
      </c>
      <c r="H1988" s="63" t="e">
        <f t="shared" si="63"/>
        <v>#VALUE!</v>
      </c>
    </row>
    <row r="1989" spans="7:8">
      <c r="G1989" s="63" t="e">
        <f t="shared" si="62"/>
        <v>#VALUE!</v>
      </c>
      <c r="H1989" s="63" t="e">
        <f t="shared" si="63"/>
        <v>#VALUE!</v>
      </c>
    </row>
    <row r="1990" spans="7:8">
      <c r="G1990" s="63" t="e">
        <f t="shared" si="62"/>
        <v>#VALUE!</v>
      </c>
      <c r="H1990" s="63" t="e">
        <f t="shared" si="63"/>
        <v>#VALUE!</v>
      </c>
    </row>
    <row r="1991" spans="7:8">
      <c r="G1991" s="63" t="e">
        <f t="shared" si="62"/>
        <v>#VALUE!</v>
      </c>
      <c r="H1991" s="63" t="e">
        <f t="shared" si="63"/>
        <v>#VALUE!</v>
      </c>
    </row>
    <row r="1992" spans="7:8">
      <c r="G1992" s="63" t="e">
        <f t="shared" si="62"/>
        <v>#VALUE!</v>
      </c>
      <c r="H1992" s="63" t="e">
        <f t="shared" si="63"/>
        <v>#VALUE!</v>
      </c>
    </row>
    <row r="1993" spans="7:8">
      <c r="G1993" s="63" t="e">
        <f t="shared" si="62"/>
        <v>#VALUE!</v>
      </c>
      <c r="H1993" s="63" t="e">
        <f t="shared" si="63"/>
        <v>#VALUE!</v>
      </c>
    </row>
    <row r="1994" spans="7:8">
      <c r="G1994" s="63" t="e">
        <f t="shared" si="62"/>
        <v>#VALUE!</v>
      </c>
      <c r="H1994" s="63" t="e">
        <f t="shared" si="63"/>
        <v>#VALUE!</v>
      </c>
    </row>
    <row r="1995" spans="7:8">
      <c r="G1995" s="63" t="e">
        <f t="shared" si="62"/>
        <v>#VALUE!</v>
      </c>
      <c r="H1995" s="63" t="e">
        <f t="shared" si="63"/>
        <v>#VALUE!</v>
      </c>
    </row>
    <row r="1996" spans="7:8">
      <c r="G1996" s="63" t="e">
        <f t="shared" si="62"/>
        <v>#VALUE!</v>
      </c>
      <c r="H1996" s="63" t="e">
        <f t="shared" si="63"/>
        <v>#VALUE!</v>
      </c>
    </row>
    <row r="1997" spans="7:8">
      <c r="G1997" s="63" t="e">
        <f t="shared" si="62"/>
        <v>#VALUE!</v>
      </c>
      <c r="H1997" s="63" t="e">
        <f t="shared" si="63"/>
        <v>#VALUE!</v>
      </c>
    </row>
    <row r="1998" spans="7:8">
      <c r="G1998" s="63" t="e">
        <f t="shared" si="62"/>
        <v>#VALUE!</v>
      </c>
      <c r="H1998" s="63" t="e">
        <f t="shared" si="63"/>
        <v>#VALUE!</v>
      </c>
    </row>
    <row r="1999" spans="7:8">
      <c r="G1999" s="63" t="e">
        <f t="shared" si="62"/>
        <v>#VALUE!</v>
      </c>
      <c r="H1999" s="63" t="e">
        <f t="shared" si="63"/>
        <v>#VALUE!</v>
      </c>
    </row>
    <row r="2000" spans="7:8">
      <c r="G2000" s="63" t="e">
        <f t="shared" si="62"/>
        <v>#VALUE!</v>
      </c>
      <c r="H2000" s="63" t="e">
        <f t="shared" si="63"/>
        <v>#VALUE!</v>
      </c>
    </row>
    <row r="2001" spans="7:8">
      <c r="G2001" s="63" t="e">
        <f t="shared" si="62"/>
        <v>#VALUE!</v>
      </c>
      <c r="H2001" s="63" t="e">
        <f t="shared" si="63"/>
        <v>#VALUE!</v>
      </c>
    </row>
    <row r="2002" spans="7:8">
      <c r="G2002" s="63" t="e">
        <f t="shared" si="62"/>
        <v>#VALUE!</v>
      </c>
      <c r="H2002" s="63" t="e">
        <f t="shared" si="63"/>
        <v>#VALUE!</v>
      </c>
    </row>
    <row r="2003" spans="7:8">
      <c r="G2003" s="63" t="e">
        <f t="shared" si="62"/>
        <v>#VALUE!</v>
      </c>
      <c r="H2003" s="63" t="e">
        <f t="shared" si="63"/>
        <v>#VALUE!</v>
      </c>
    </row>
    <row r="2004" spans="7:8">
      <c r="G2004" s="63" t="e">
        <f t="shared" si="62"/>
        <v>#VALUE!</v>
      </c>
      <c r="H2004" s="63" t="e">
        <f t="shared" si="63"/>
        <v>#VALUE!</v>
      </c>
    </row>
    <row r="2005" spans="7:8">
      <c r="G2005" s="63" t="e">
        <f t="shared" si="62"/>
        <v>#VALUE!</v>
      </c>
      <c r="H2005" s="63" t="e">
        <f t="shared" si="63"/>
        <v>#VALUE!</v>
      </c>
    </row>
    <row r="2006" spans="7:8">
      <c r="G2006" s="63" t="e">
        <f t="shared" si="62"/>
        <v>#VALUE!</v>
      </c>
      <c r="H2006" s="63" t="e">
        <f t="shared" si="63"/>
        <v>#VALUE!</v>
      </c>
    </row>
    <row r="2007" spans="7:8">
      <c r="G2007" s="63" t="e">
        <f t="shared" si="62"/>
        <v>#VALUE!</v>
      </c>
      <c r="H2007" s="63" t="e">
        <f t="shared" si="63"/>
        <v>#VALUE!</v>
      </c>
    </row>
    <row r="2008" spans="7:8">
      <c r="G2008" s="63" t="e">
        <f t="shared" si="62"/>
        <v>#VALUE!</v>
      </c>
      <c r="H2008" s="63" t="e">
        <f t="shared" si="63"/>
        <v>#VALUE!</v>
      </c>
    </row>
    <row r="2009" spans="7:8">
      <c r="G2009" s="63" t="e">
        <f t="shared" si="62"/>
        <v>#VALUE!</v>
      </c>
      <c r="H2009" s="63" t="e">
        <f t="shared" si="63"/>
        <v>#VALUE!</v>
      </c>
    </row>
    <row r="2010" spans="7:8">
      <c r="G2010" s="63" t="e">
        <f t="shared" si="62"/>
        <v>#VALUE!</v>
      </c>
      <c r="H2010" s="63" t="e">
        <f t="shared" si="63"/>
        <v>#VALUE!</v>
      </c>
    </row>
    <row r="2011" spans="7:8">
      <c r="G2011" s="63" t="e">
        <f t="shared" si="62"/>
        <v>#VALUE!</v>
      </c>
      <c r="H2011" s="63" t="e">
        <f t="shared" si="63"/>
        <v>#VALUE!</v>
      </c>
    </row>
    <row r="2012" spans="7:8">
      <c r="G2012" s="63" t="e">
        <f t="shared" si="62"/>
        <v>#VALUE!</v>
      </c>
      <c r="H2012" s="63" t="e">
        <f t="shared" si="63"/>
        <v>#VALUE!</v>
      </c>
    </row>
    <row r="2013" spans="7:8">
      <c r="G2013" s="63" t="e">
        <f t="shared" si="62"/>
        <v>#VALUE!</v>
      </c>
      <c r="H2013" s="63" t="e">
        <f t="shared" si="63"/>
        <v>#VALUE!</v>
      </c>
    </row>
    <row r="2014" spans="7:8">
      <c r="G2014" s="63" t="e">
        <f t="shared" si="62"/>
        <v>#VALUE!</v>
      </c>
      <c r="H2014" s="63" t="e">
        <f t="shared" si="63"/>
        <v>#VALUE!</v>
      </c>
    </row>
    <row r="2015" spans="7:8">
      <c r="G2015" s="63" t="e">
        <f t="shared" si="62"/>
        <v>#VALUE!</v>
      </c>
      <c r="H2015" s="63" t="e">
        <f t="shared" si="63"/>
        <v>#VALUE!</v>
      </c>
    </row>
    <row r="2016" spans="7:8">
      <c r="G2016" s="63" t="e">
        <f t="shared" si="62"/>
        <v>#VALUE!</v>
      </c>
      <c r="H2016" s="63" t="e">
        <f t="shared" si="63"/>
        <v>#VALUE!</v>
      </c>
    </row>
    <row r="2017" spans="7:8">
      <c r="G2017" s="63" t="e">
        <f t="shared" si="62"/>
        <v>#VALUE!</v>
      </c>
      <c r="H2017" s="63" t="e">
        <f t="shared" si="63"/>
        <v>#VALUE!</v>
      </c>
    </row>
    <row r="2018" spans="7:8">
      <c r="G2018" s="63" t="e">
        <f t="shared" si="62"/>
        <v>#VALUE!</v>
      </c>
      <c r="H2018" s="63" t="e">
        <f t="shared" si="63"/>
        <v>#VALUE!</v>
      </c>
    </row>
    <row r="2019" spans="7:8">
      <c r="G2019" s="63" t="e">
        <f t="shared" si="62"/>
        <v>#VALUE!</v>
      </c>
      <c r="H2019" s="63" t="e">
        <f t="shared" si="63"/>
        <v>#VALUE!</v>
      </c>
    </row>
    <row r="2020" spans="7:8">
      <c r="G2020" s="63" t="e">
        <f t="shared" si="62"/>
        <v>#VALUE!</v>
      </c>
      <c r="H2020" s="63" t="e">
        <f t="shared" si="63"/>
        <v>#VALUE!</v>
      </c>
    </row>
    <row r="2021" spans="7:8">
      <c r="G2021" s="63" t="e">
        <f t="shared" si="62"/>
        <v>#VALUE!</v>
      </c>
      <c r="H2021" s="63" t="e">
        <f t="shared" si="63"/>
        <v>#VALUE!</v>
      </c>
    </row>
    <row r="2022" spans="7:8">
      <c r="G2022" s="63" t="e">
        <f t="shared" si="62"/>
        <v>#VALUE!</v>
      </c>
      <c r="H2022" s="63" t="e">
        <f t="shared" si="63"/>
        <v>#VALUE!</v>
      </c>
    </row>
    <row r="2023" spans="7:8">
      <c r="G2023" s="63" t="e">
        <f t="shared" si="62"/>
        <v>#VALUE!</v>
      </c>
      <c r="H2023" s="63" t="e">
        <f t="shared" si="63"/>
        <v>#VALUE!</v>
      </c>
    </row>
    <row r="2024" spans="7:8">
      <c r="G2024" s="63" t="e">
        <f t="shared" si="62"/>
        <v>#VALUE!</v>
      </c>
      <c r="H2024" s="63" t="e">
        <f t="shared" si="63"/>
        <v>#VALUE!</v>
      </c>
    </row>
    <row r="2025" spans="7:8">
      <c r="G2025" s="63" t="e">
        <f t="shared" si="62"/>
        <v>#VALUE!</v>
      </c>
      <c r="H2025" s="63" t="e">
        <f t="shared" si="63"/>
        <v>#VALUE!</v>
      </c>
    </row>
    <row r="2026" spans="7:8">
      <c r="G2026" s="63" t="e">
        <f t="shared" si="62"/>
        <v>#VALUE!</v>
      </c>
      <c r="H2026" s="63" t="e">
        <f t="shared" si="63"/>
        <v>#VALUE!</v>
      </c>
    </row>
    <row r="2027" spans="7:8">
      <c r="G2027" s="63" t="e">
        <f t="shared" si="62"/>
        <v>#VALUE!</v>
      </c>
      <c r="H2027" s="63" t="e">
        <f t="shared" si="63"/>
        <v>#VALUE!</v>
      </c>
    </row>
    <row r="2028" spans="7:8">
      <c r="G2028" s="63" t="e">
        <f t="shared" si="62"/>
        <v>#VALUE!</v>
      </c>
      <c r="H2028" s="63" t="e">
        <f t="shared" si="63"/>
        <v>#VALUE!</v>
      </c>
    </row>
    <row r="2029" spans="7:8">
      <c r="G2029" s="63" t="e">
        <f t="shared" si="62"/>
        <v>#VALUE!</v>
      </c>
      <c r="H2029" s="63" t="e">
        <f t="shared" si="63"/>
        <v>#VALUE!</v>
      </c>
    </row>
    <row r="2030" spans="7:8">
      <c r="G2030" s="63" t="e">
        <f t="shared" si="62"/>
        <v>#VALUE!</v>
      </c>
      <c r="H2030" s="63" t="e">
        <f t="shared" si="63"/>
        <v>#VALUE!</v>
      </c>
    </row>
    <row r="2031" spans="7:8">
      <c r="G2031" s="63" t="e">
        <f t="shared" si="62"/>
        <v>#VALUE!</v>
      </c>
      <c r="H2031" s="63" t="e">
        <f t="shared" si="63"/>
        <v>#VALUE!</v>
      </c>
    </row>
    <row r="2032" spans="7:8">
      <c r="G2032" s="63" t="e">
        <f t="shared" si="62"/>
        <v>#VALUE!</v>
      </c>
      <c r="H2032" s="63" t="e">
        <f t="shared" si="63"/>
        <v>#VALUE!</v>
      </c>
    </row>
    <row r="2033" spans="7:8">
      <c r="G2033" s="63" t="e">
        <f t="shared" si="62"/>
        <v>#VALUE!</v>
      </c>
      <c r="H2033" s="63" t="e">
        <f t="shared" si="63"/>
        <v>#VALUE!</v>
      </c>
    </row>
    <row r="2034" spans="7:8">
      <c r="G2034" s="63" t="e">
        <f t="shared" si="62"/>
        <v>#VALUE!</v>
      </c>
      <c r="H2034" s="63" t="e">
        <f t="shared" si="63"/>
        <v>#VALUE!</v>
      </c>
    </row>
    <row r="2035" spans="7:8">
      <c r="G2035" s="63" t="e">
        <f t="shared" si="62"/>
        <v>#VALUE!</v>
      </c>
      <c r="H2035" s="63" t="e">
        <f t="shared" si="63"/>
        <v>#VALUE!</v>
      </c>
    </row>
    <row r="2036" spans="7:8">
      <c r="G2036" s="63" t="e">
        <f t="shared" si="62"/>
        <v>#VALUE!</v>
      </c>
      <c r="H2036" s="63" t="e">
        <f t="shared" si="63"/>
        <v>#VALUE!</v>
      </c>
    </row>
    <row r="2037" spans="7:8">
      <c r="G2037" s="63" t="e">
        <f t="shared" si="62"/>
        <v>#VALUE!</v>
      </c>
      <c r="H2037" s="63" t="e">
        <f t="shared" si="63"/>
        <v>#VALUE!</v>
      </c>
    </row>
    <row r="2038" spans="7:8">
      <c r="G2038" s="63" t="e">
        <f t="shared" si="62"/>
        <v>#VALUE!</v>
      </c>
      <c r="H2038" s="63" t="e">
        <f t="shared" si="63"/>
        <v>#VALUE!</v>
      </c>
    </row>
    <row r="2039" spans="7:8">
      <c r="G2039" s="63" t="e">
        <f t="shared" si="62"/>
        <v>#VALUE!</v>
      </c>
      <c r="H2039" s="63" t="e">
        <f t="shared" si="63"/>
        <v>#VALUE!</v>
      </c>
    </row>
    <row r="2040" spans="7:8">
      <c r="G2040" s="63" t="e">
        <f t="shared" si="62"/>
        <v>#VALUE!</v>
      </c>
      <c r="H2040" s="63" t="e">
        <f t="shared" si="63"/>
        <v>#VALUE!</v>
      </c>
    </row>
    <row r="2041" spans="7:8">
      <c r="G2041" s="63" t="e">
        <f t="shared" si="62"/>
        <v>#VALUE!</v>
      </c>
      <c r="H2041" s="63" t="e">
        <f t="shared" si="63"/>
        <v>#VALUE!</v>
      </c>
    </row>
    <row r="2042" spans="7:8">
      <c r="G2042" s="63" t="e">
        <f t="shared" si="62"/>
        <v>#VALUE!</v>
      </c>
      <c r="H2042" s="63" t="e">
        <f t="shared" si="63"/>
        <v>#VALUE!</v>
      </c>
    </row>
    <row r="2043" spans="7:8">
      <c r="G2043" s="63" t="e">
        <f t="shared" si="62"/>
        <v>#VALUE!</v>
      </c>
      <c r="H2043" s="63" t="e">
        <f t="shared" si="63"/>
        <v>#VALUE!</v>
      </c>
    </row>
    <row r="2044" spans="7:8">
      <c r="G2044" s="63" t="e">
        <f t="shared" si="62"/>
        <v>#VALUE!</v>
      </c>
      <c r="H2044" s="63" t="e">
        <f t="shared" si="63"/>
        <v>#VALUE!</v>
      </c>
    </row>
    <row r="2045" spans="7:8">
      <c r="G2045" s="63" t="e">
        <f t="shared" si="62"/>
        <v>#VALUE!</v>
      </c>
      <c r="H2045" s="63" t="e">
        <f t="shared" si="63"/>
        <v>#VALUE!</v>
      </c>
    </row>
    <row r="2046" spans="7:8">
      <c r="G2046" s="63" t="e">
        <f t="shared" si="62"/>
        <v>#VALUE!</v>
      </c>
      <c r="H2046" s="63" t="e">
        <f t="shared" si="63"/>
        <v>#VALUE!</v>
      </c>
    </row>
    <row r="2047" spans="7:8">
      <c r="G2047" s="63" t="e">
        <f t="shared" si="62"/>
        <v>#VALUE!</v>
      </c>
      <c r="H2047" s="63" t="e">
        <f t="shared" si="63"/>
        <v>#VALUE!</v>
      </c>
    </row>
    <row r="2048" spans="7:8">
      <c r="G2048" s="63" t="e">
        <f t="shared" si="62"/>
        <v>#VALUE!</v>
      </c>
      <c r="H2048" s="63" t="e">
        <f t="shared" si="63"/>
        <v>#VALUE!</v>
      </c>
    </row>
    <row r="2049" spans="7:8">
      <c r="G2049" s="63" t="e">
        <f t="shared" si="62"/>
        <v>#VALUE!</v>
      </c>
      <c r="H2049" s="63" t="e">
        <f t="shared" si="63"/>
        <v>#VALUE!</v>
      </c>
    </row>
    <row r="2050" spans="7:8">
      <c r="G2050" s="63" t="e">
        <f t="shared" si="62"/>
        <v>#VALUE!</v>
      </c>
      <c r="H2050" s="63" t="e">
        <f t="shared" si="63"/>
        <v>#VALUE!</v>
      </c>
    </row>
    <row r="2051" spans="7:8">
      <c r="G2051" s="63" t="e">
        <f t="shared" ref="G2051:G2114" si="64">IF(OR(A2051="RID_PB77",A2051="RID_PB77A3"),"WPCI77",IF(A2051="RIDTCIAS","CSCI49",IF(A2051="RID_HCPTM","CHCPT_",IF(LEFT(A2051,1)="C",A2051,MID(A2051,6,LEN(A2051)-5)))))</f>
        <v>#VALUE!</v>
      </c>
      <c r="H2051" s="63" t="e">
        <f t="shared" ref="H2051:H2114" si="65">IF(OR(G2051="MJG1",G2051="MJG2"),"MJG",G2051)&amp;"_"&amp;B2051</f>
        <v>#VALUE!</v>
      </c>
    </row>
    <row r="2052" spans="7:8">
      <c r="G2052" s="63" t="e">
        <f t="shared" si="64"/>
        <v>#VALUE!</v>
      </c>
      <c r="H2052" s="63" t="e">
        <f t="shared" si="65"/>
        <v>#VALUE!</v>
      </c>
    </row>
    <row r="2053" spans="7:8">
      <c r="G2053" s="63" t="e">
        <f t="shared" si="64"/>
        <v>#VALUE!</v>
      </c>
      <c r="H2053" s="63" t="e">
        <f t="shared" si="65"/>
        <v>#VALUE!</v>
      </c>
    </row>
    <row r="2054" spans="7:8">
      <c r="G2054" s="63" t="e">
        <f t="shared" si="64"/>
        <v>#VALUE!</v>
      </c>
      <c r="H2054" s="63" t="e">
        <f t="shared" si="65"/>
        <v>#VALUE!</v>
      </c>
    </row>
    <row r="2055" spans="7:8">
      <c r="G2055" s="63" t="e">
        <f t="shared" si="64"/>
        <v>#VALUE!</v>
      </c>
      <c r="H2055" s="63" t="e">
        <f t="shared" si="65"/>
        <v>#VALUE!</v>
      </c>
    </row>
    <row r="2056" spans="7:8">
      <c r="G2056" s="63" t="e">
        <f t="shared" si="64"/>
        <v>#VALUE!</v>
      </c>
      <c r="H2056" s="63" t="e">
        <f t="shared" si="65"/>
        <v>#VALUE!</v>
      </c>
    </row>
    <row r="2057" spans="7:8">
      <c r="G2057" s="63" t="e">
        <f t="shared" si="64"/>
        <v>#VALUE!</v>
      </c>
      <c r="H2057" s="63" t="e">
        <f t="shared" si="65"/>
        <v>#VALUE!</v>
      </c>
    </row>
    <row r="2058" spans="7:8">
      <c r="G2058" s="63" t="e">
        <f t="shared" si="64"/>
        <v>#VALUE!</v>
      </c>
      <c r="H2058" s="63" t="e">
        <f t="shared" si="65"/>
        <v>#VALUE!</v>
      </c>
    </row>
    <row r="2059" spans="7:8">
      <c r="G2059" s="63" t="e">
        <f t="shared" si="64"/>
        <v>#VALUE!</v>
      </c>
      <c r="H2059" s="63" t="e">
        <f t="shared" si="65"/>
        <v>#VALUE!</v>
      </c>
    </row>
    <row r="2060" spans="7:8">
      <c r="G2060" s="63" t="e">
        <f t="shared" si="64"/>
        <v>#VALUE!</v>
      </c>
      <c r="H2060" s="63" t="e">
        <f t="shared" si="65"/>
        <v>#VALUE!</v>
      </c>
    </row>
    <row r="2061" spans="7:8">
      <c r="G2061" s="63" t="e">
        <f t="shared" si="64"/>
        <v>#VALUE!</v>
      </c>
      <c r="H2061" s="63" t="e">
        <f t="shared" si="65"/>
        <v>#VALUE!</v>
      </c>
    </row>
    <row r="2062" spans="7:8">
      <c r="G2062" s="63" t="e">
        <f t="shared" si="64"/>
        <v>#VALUE!</v>
      </c>
      <c r="H2062" s="63" t="e">
        <f t="shared" si="65"/>
        <v>#VALUE!</v>
      </c>
    </row>
    <row r="2063" spans="7:8">
      <c r="G2063" s="63" t="e">
        <f t="shared" si="64"/>
        <v>#VALUE!</v>
      </c>
      <c r="H2063" s="63" t="e">
        <f t="shared" si="65"/>
        <v>#VALUE!</v>
      </c>
    </row>
    <row r="2064" spans="7:8">
      <c r="G2064" s="63" t="e">
        <f t="shared" si="64"/>
        <v>#VALUE!</v>
      </c>
      <c r="H2064" s="63" t="e">
        <f t="shared" si="65"/>
        <v>#VALUE!</v>
      </c>
    </row>
    <row r="2065" spans="7:8">
      <c r="G2065" s="63" t="e">
        <f t="shared" si="64"/>
        <v>#VALUE!</v>
      </c>
      <c r="H2065" s="63" t="e">
        <f t="shared" si="65"/>
        <v>#VALUE!</v>
      </c>
    </row>
    <row r="2066" spans="7:8">
      <c r="G2066" s="63" t="e">
        <f t="shared" si="64"/>
        <v>#VALUE!</v>
      </c>
      <c r="H2066" s="63" t="e">
        <f t="shared" si="65"/>
        <v>#VALUE!</v>
      </c>
    </row>
    <row r="2067" spans="7:8">
      <c r="G2067" s="63" t="e">
        <f t="shared" si="64"/>
        <v>#VALUE!</v>
      </c>
      <c r="H2067" s="63" t="e">
        <f t="shared" si="65"/>
        <v>#VALUE!</v>
      </c>
    </row>
    <row r="2068" spans="7:8">
      <c r="G2068" s="63" t="e">
        <f t="shared" si="64"/>
        <v>#VALUE!</v>
      </c>
      <c r="H2068" s="63" t="e">
        <f t="shared" si="65"/>
        <v>#VALUE!</v>
      </c>
    </row>
    <row r="2069" spans="7:8">
      <c r="G2069" s="63" t="e">
        <f t="shared" si="64"/>
        <v>#VALUE!</v>
      </c>
      <c r="H2069" s="63" t="e">
        <f t="shared" si="65"/>
        <v>#VALUE!</v>
      </c>
    </row>
    <row r="2070" spans="7:8">
      <c r="G2070" s="63" t="e">
        <f t="shared" si="64"/>
        <v>#VALUE!</v>
      </c>
      <c r="H2070" s="63" t="e">
        <f t="shared" si="65"/>
        <v>#VALUE!</v>
      </c>
    </row>
    <row r="2071" spans="7:8">
      <c r="G2071" s="63" t="e">
        <f t="shared" si="64"/>
        <v>#VALUE!</v>
      </c>
      <c r="H2071" s="63" t="e">
        <f t="shared" si="65"/>
        <v>#VALUE!</v>
      </c>
    </row>
    <row r="2072" spans="7:8">
      <c r="G2072" s="63" t="e">
        <f t="shared" si="64"/>
        <v>#VALUE!</v>
      </c>
      <c r="H2072" s="63" t="e">
        <f t="shared" si="65"/>
        <v>#VALUE!</v>
      </c>
    </row>
    <row r="2073" spans="7:8">
      <c r="G2073" s="63" t="e">
        <f t="shared" si="64"/>
        <v>#VALUE!</v>
      </c>
      <c r="H2073" s="63" t="e">
        <f t="shared" si="65"/>
        <v>#VALUE!</v>
      </c>
    </row>
    <row r="2074" spans="7:8">
      <c r="G2074" s="63" t="e">
        <f t="shared" si="64"/>
        <v>#VALUE!</v>
      </c>
      <c r="H2074" s="63" t="e">
        <f t="shared" si="65"/>
        <v>#VALUE!</v>
      </c>
    </row>
    <row r="2075" spans="7:8">
      <c r="G2075" s="63" t="e">
        <f t="shared" si="64"/>
        <v>#VALUE!</v>
      </c>
      <c r="H2075" s="63" t="e">
        <f t="shared" si="65"/>
        <v>#VALUE!</v>
      </c>
    </row>
    <row r="2076" spans="7:8">
      <c r="G2076" s="63" t="e">
        <f t="shared" si="64"/>
        <v>#VALUE!</v>
      </c>
      <c r="H2076" s="63" t="e">
        <f t="shared" si="65"/>
        <v>#VALUE!</v>
      </c>
    </row>
    <row r="2077" spans="7:8">
      <c r="G2077" s="63" t="e">
        <f t="shared" si="64"/>
        <v>#VALUE!</v>
      </c>
      <c r="H2077" s="63" t="e">
        <f t="shared" si="65"/>
        <v>#VALUE!</v>
      </c>
    </row>
    <row r="2078" spans="7:8">
      <c r="G2078" s="63" t="e">
        <f t="shared" si="64"/>
        <v>#VALUE!</v>
      </c>
      <c r="H2078" s="63" t="e">
        <f t="shared" si="65"/>
        <v>#VALUE!</v>
      </c>
    </row>
    <row r="2079" spans="7:8">
      <c r="G2079" s="63" t="e">
        <f t="shared" si="64"/>
        <v>#VALUE!</v>
      </c>
      <c r="H2079" s="63" t="e">
        <f t="shared" si="65"/>
        <v>#VALUE!</v>
      </c>
    </row>
    <row r="2080" spans="7:8">
      <c r="G2080" s="63" t="e">
        <f t="shared" si="64"/>
        <v>#VALUE!</v>
      </c>
      <c r="H2080" s="63" t="e">
        <f t="shared" si="65"/>
        <v>#VALUE!</v>
      </c>
    </row>
    <row r="2081" spans="7:8">
      <c r="G2081" s="63" t="e">
        <f t="shared" si="64"/>
        <v>#VALUE!</v>
      </c>
      <c r="H2081" s="63" t="e">
        <f t="shared" si="65"/>
        <v>#VALUE!</v>
      </c>
    </row>
    <row r="2082" spans="7:8">
      <c r="G2082" s="63" t="e">
        <f t="shared" si="64"/>
        <v>#VALUE!</v>
      </c>
      <c r="H2082" s="63" t="e">
        <f t="shared" si="65"/>
        <v>#VALUE!</v>
      </c>
    </row>
    <row r="2083" spans="7:8">
      <c r="G2083" s="63" t="e">
        <f t="shared" si="64"/>
        <v>#VALUE!</v>
      </c>
      <c r="H2083" s="63" t="e">
        <f t="shared" si="65"/>
        <v>#VALUE!</v>
      </c>
    </row>
    <row r="2084" spans="7:8">
      <c r="G2084" s="63" t="e">
        <f t="shared" si="64"/>
        <v>#VALUE!</v>
      </c>
      <c r="H2084" s="63" t="e">
        <f t="shared" si="65"/>
        <v>#VALUE!</v>
      </c>
    </row>
    <row r="2085" spans="7:8">
      <c r="G2085" s="63" t="e">
        <f t="shared" si="64"/>
        <v>#VALUE!</v>
      </c>
      <c r="H2085" s="63" t="e">
        <f t="shared" si="65"/>
        <v>#VALUE!</v>
      </c>
    </row>
    <row r="2086" spans="7:8">
      <c r="G2086" s="63" t="e">
        <f t="shared" si="64"/>
        <v>#VALUE!</v>
      </c>
      <c r="H2086" s="63" t="e">
        <f t="shared" si="65"/>
        <v>#VALUE!</v>
      </c>
    </row>
    <row r="2087" spans="7:8">
      <c r="G2087" s="63" t="e">
        <f t="shared" si="64"/>
        <v>#VALUE!</v>
      </c>
      <c r="H2087" s="63" t="e">
        <f t="shared" si="65"/>
        <v>#VALUE!</v>
      </c>
    </row>
    <row r="2088" spans="7:8">
      <c r="G2088" s="63" t="e">
        <f t="shared" si="64"/>
        <v>#VALUE!</v>
      </c>
      <c r="H2088" s="63" t="e">
        <f t="shared" si="65"/>
        <v>#VALUE!</v>
      </c>
    </row>
    <row r="2089" spans="7:8">
      <c r="G2089" s="63" t="e">
        <f t="shared" si="64"/>
        <v>#VALUE!</v>
      </c>
      <c r="H2089" s="63" t="e">
        <f t="shared" si="65"/>
        <v>#VALUE!</v>
      </c>
    </row>
    <row r="2090" spans="7:8">
      <c r="G2090" s="63" t="e">
        <f t="shared" si="64"/>
        <v>#VALUE!</v>
      </c>
      <c r="H2090" s="63" t="e">
        <f t="shared" si="65"/>
        <v>#VALUE!</v>
      </c>
    </row>
    <row r="2091" spans="7:8">
      <c r="G2091" s="63" t="e">
        <f t="shared" si="64"/>
        <v>#VALUE!</v>
      </c>
      <c r="H2091" s="63" t="e">
        <f t="shared" si="65"/>
        <v>#VALUE!</v>
      </c>
    </row>
    <row r="2092" spans="7:8">
      <c r="G2092" s="63" t="e">
        <f t="shared" si="64"/>
        <v>#VALUE!</v>
      </c>
      <c r="H2092" s="63" t="e">
        <f t="shared" si="65"/>
        <v>#VALUE!</v>
      </c>
    </row>
    <row r="2093" spans="7:8">
      <c r="G2093" s="63" t="e">
        <f t="shared" si="64"/>
        <v>#VALUE!</v>
      </c>
      <c r="H2093" s="63" t="e">
        <f t="shared" si="65"/>
        <v>#VALUE!</v>
      </c>
    </row>
    <row r="2094" spans="7:8">
      <c r="G2094" s="63" t="e">
        <f t="shared" si="64"/>
        <v>#VALUE!</v>
      </c>
      <c r="H2094" s="63" t="e">
        <f t="shared" si="65"/>
        <v>#VALUE!</v>
      </c>
    </row>
    <row r="2095" spans="7:8">
      <c r="G2095" s="63" t="e">
        <f t="shared" si="64"/>
        <v>#VALUE!</v>
      </c>
      <c r="H2095" s="63" t="e">
        <f t="shared" si="65"/>
        <v>#VALUE!</v>
      </c>
    </row>
    <row r="2096" spans="7:8">
      <c r="G2096" s="63" t="e">
        <f t="shared" si="64"/>
        <v>#VALUE!</v>
      </c>
      <c r="H2096" s="63" t="e">
        <f t="shared" si="65"/>
        <v>#VALUE!</v>
      </c>
    </row>
    <row r="2097" spans="7:8">
      <c r="G2097" s="63" t="e">
        <f t="shared" si="64"/>
        <v>#VALUE!</v>
      </c>
      <c r="H2097" s="63" t="e">
        <f t="shared" si="65"/>
        <v>#VALUE!</v>
      </c>
    </row>
    <row r="2098" spans="7:8">
      <c r="G2098" s="63" t="e">
        <f t="shared" si="64"/>
        <v>#VALUE!</v>
      </c>
      <c r="H2098" s="63" t="e">
        <f t="shared" si="65"/>
        <v>#VALUE!</v>
      </c>
    </row>
    <row r="2099" spans="7:8">
      <c r="G2099" s="63" t="e">
        <f t="shared" si="64"/>
        <v>#VALUE!</v>
      </c>
      <c r="H2099" s="63" t="e">
        <f t="shared" si="65"/>
        <v>#VALUE!</v>
      </c>
    </row>
    <row r="2100" spans="7:8">
      <c r="G2100" s="63" t="e">
        <f t="shared" si="64"/>
        <v>#VALUE!</v>
      </c>
      <c r="H2100" s="63" t="e">
        <f t="shared" si="65"/>
        <v>#VALUE!</v>
      </c>
    </row>
    <row r="2101" spans="7:8">
      <c r="G2101" s="63" t="e">
        <f t="shared" si="64"/>
        <v>#VALUE!</v>
      </c>
      <c r="H2101" s="63" t="e">
        <f t="shared" si="65"/>
        <v>#VALUE!</v>
      </c>
    </row>
    <row r="2102" spans="7:8">
      <c r="G2102" s="63" t="e">
        <f t="shared" si="64"/>
        <v>#VALUE!</v>
      </c>
      <c r="H2102" s="63" t="e">
        <f t="shared" si="65"/>
        <v>#VALUE!</v>
      </c>
    </row>
    <row r="2103" spans="7:8">
      <c r="G2103" s="63" t="e">
        <f t="shared" si="64"/>
        <v>#VALUE!</v>
      </c>
      <c r="H2103" s="63" t="e">
        <f t="shared" si="65"/>
        <v>#VALUE!</v>
      </c>
    </row>
    <row r="2104" spans="7:8">
      <c r="G2104" s="63" t="e">
        <f t="shared" si="64"/>
        <v>#VALUE!</v>
      </c>
      <c r="H2104" s="63" t="e">
        <f t="shared" si="65"/>
        <v>#VALUE!</v>
      </c>
    </row>
    <row r="2105" spans="7:8">
      <c r="G2105" s="63" t="e">
        <f t="shared" si="64"/>
        <v>#VALUE!</v>
      </c>
      <c r="H2105" s="63" t="e">
        <f t="shared" si="65"/>
        <v>#VALUE!</v>
      </c>
    </row>
    <row r="2106" spans="7:8">
      <c r="G2106" s="63" t="e">
        <f t="shared" si="64"/>
        <v>#VALUE!</v>
      </c>
      <c r="H2106" s="63" t="e">
        <f t="shared" si="65"/>
        <v>#VALUE!</v>
      </c>
    </row>
    <row r="2107" spans="7:8">
      <c r="G2107" s="63" t="e">
        <f t="shared" si="64"/>
        <v>#VALUE!</v>
      </c>
      <c r="H2107" s="63" t="e">
        <f t="shared" si="65"/>
        <v>#VALUE!</v>
      </c>
    </row>
    <row r="2108" spans="7:8">
      <c r="G2108" s="63" t="e">
        <f t="shared" si="64"/>
        <v>#VALUE!</v>
      </c>
      <c r="H2108" s="63" t="e">
        <f t="shared" si="65"/>
        <v>#VALUE!</v>
      </c>
    </row>
    <row r="2109" spans="7:8">
      <c r="G2109" s="63" t="e">
        <f t="shared" si="64"/>
        <v>#VALUE!</v>
      </c>
      <c r="H2109" s="63" t="e">
        <f t="shared" si="65"/>
        <v>#VALUE!</v>
      </c>
    </row>
    <row r="2110" spans="7:8">
      <c r="G2110" s="63" t="e">
        <f t="shared" si="64"/>
        <v>#VALUE!</v>
      </c>
      <c r="H2110" s="63" t="e">
        <f t="shared" si="65"/>
        <v>#VALUE!</v>
      </c>
    </row>
    <row r="2111" spans="7:8">
      <c r="G2111" s="63" t="e">
        <f t="shared" si="64"/>
        <v>#VALUE!</v>
      </c>
      <c r="H2111" s="63" t="e">
        <f t="shared" si="65"/>
        <v>#VALUE!</v>
      </c>
    </row>
    <row r="2112" spans="7:8">
      <c r="G2112" s="63" t="e">
        <f t="shared" si="64"/>
        <v>#VALUE!</v>
      </c>
      <c r="H2112" s="63" t="e">
        <f t="shared" si="65"/>
        <v>#VALUE!</v>
      </c>
    </row>
    <row r="2113" spans="7:8">
      <c r="G2113" s="63" t="e">
        <f t="shared" si="64"/>
        <v>#VALUE!</v>
      </c>
      <c r="H2113" s="63" t="e">
        <f t="shared" si="65"/>
        <v>#VALUE!</v>
      </c>
    </row>
    <row r="2114" spans="7:8">
      <c r="G2114" s="63" t="e">
        <f t="shared" si="64"/>
        <v>#VALUE!</v>
      </c>
      <c r="H2114" s="63" t="e">
        <f t="shared" si="65"/>
        <v>#VALUE!</v>
      </c>
    </row>
    <row r="2115" spans="7:8">
      <c r="G2115" s="63" t="e">
        <f t="shared" ref="G2115:G2178" si="66">IF(OR(A2115="RID_PB77",A2115="RID_PB77A3"),"WPCI77",IF(A2115="RIDTCIAS","CSCI49",IF(A2115="RID_HCPTM","CHCPT_",IF(LEFT(A2115,1)="C",A2115,MID(A2115,6,LEN(A2115)-5)))))</f>
        <v>#VALUE!</v>
      </c>
      <c r="H2115" s="63" t="e">
        <f t="shared" ref="H2115:H2178" si="67">IF(OR(G2115="MJG1",G2115="MJG2"),"MJG",G2115)&amp;"_"&amp;B2115</f>
        <v>#VALUE!</v>
      </c>
    </row>
    <row r="2116" spans="7:8">
      <c r="G2116" s="63" t="e">
        <f t="shared" si="66"/>
        <v>#VALUE!</v>
      </c>
      <c r="H2116" s="63" t="e">
        <f t="shared" si="67"/>
        <v>#VALUE!</v>
      </c>
    </row>
    <row r="2117" spans="7:8">
      <c r="G2117" s="63" t="e">
        <f t="shared" si="66"/>
        <v>#VALUE!</v>
      </c>
      <c r="H2117" s="63" t="e">
        <f t="shared" si="67"/>
        <v>#VALUE!</v>
      </c>
    </row>
    <row r="2118" spans="7:8">
      <c r="G2118" s="63" t="e">
        <f t="shared" si="66"/>
        <v>#VALUE!</v>
      </c>
      <c r="H2118" s="63" t="e">
        <f t="shared" si="67"/>
        <v>#VALUE!</v>
      </c>
    </row>
    <row r="2119" spans="7:8">
      <c r="G2119" s="63" t="e">
        <f t="shared" si="66"/>
        <v>#VALUE!</v>
      </c>
      <c r="H2119" s="63" t="e">
        <f t="shared" si="67"/>
        <v>#VALUE!</v>
      </c>
    </row>
    <row r="2120" spans="7:8">
      <c r="G2120" s="63" t="e">
        <f t="shared" si="66"/>
        <v>#VALUE!</v>
      </c>
      <c r="H2120" s="63" t="e">
        <f t="shared" si="67"/>
        <v>#VALUE!</v>
      </c>
    </row>
    <row r="2121" spans="7:8">
      <c r="G2121" s="63" t="e">
        <f t="shared" si="66"/>
        <v>#VALUE!</v>
      </c>
      <c r="H2121" s="63" t="e">
        <f t="shared" si="67"/>
        <v>#VALUE!</v>
      </c>
    </row>
    <row r="2122" spans="7:8">
      <c r="G2122" s="63" t="e">
        <f t="shared" si="66"/>
        <v>#VALUE!</v>
      </c>
      <c r="H2122" s="63" t="e">
        <f t="shared" si="67"/>
        <v>#VALUE!</v>
      </c>
    </row>
    <row r="2123" spans="7:8">
      <c r="G2123" s="63" t="e">
        <f t="shared" si="66"/>
        <v>#VALUE!</v>
      </c>
      <c r="H2123" s="63" t="e">
        <f t="shared" si="67"/>
        <v>#VALUE!</v>
      </c>
    </row>
    <row r="2124" spans="7:8">
      <c r="G2124" s="63" t="e">
        <f t="shared" si="66"/>
        <v>#VALUE!</v>
      </c>
      <c r="H2124" s="63" t="e">
        <f t="shared" si="67"/>
        <v>#VALUE!</v>
      </c>
    </row>
    <row r="2125" spans="7:8">
      <c r="G2125" s="63" t="e">
        <f t="shared" si="66"/>
        <v>#VALUE!</v>
      </c>
      <c r="H2125" s="63" t="e">
        <f t="shared" si="67"/>
        <v>#VALUE!</v>
      </c>
    </row>
    <row r="2126" spans="7:8">
      <c r="G2126" s="63" t="e">
        <f t="shared" si="66"/>
        <v>#VALUE!</v>
      </c>
      <c r="H2126" s="63" t="e">
        <f t="shared" si="67"/>
        <v>#VALUE!</v>
      </c>
    </row>
    <row r="2127" spans="7:8">
      <c r="G2127" s="63" t="e">
        <f t="shared" si="66"/>
        <v>#VALUE!</v>
      </c>
      <c r="H2127" s="63" t="e">
        <f t="shared" si="67"/>
        <v>#VALUE!</v>
      </c>
    </row>
    <row r="2128" spans="7:8">
      <c r="G2128" s="63" t="e">
        <f t="shared" si="66"/>
        <v>#VALUE!</v>
      </c>
      <c r="H2128" s="63" t="e">
        <f t="shared" si="67"/>
        <v>#VALUE!</v>
      </c>
    </row>
    <row r="2129" spans="7:8">
      <c r="G2129" s="63" t="e">
        <f t="shared" si="66"/>
        <v>#VALUE!</v>
      </c>
      <c r="H2129" s="63" t="e">
        <f t="shared" si="67"/>
        <v>#VALUE!</v>
      </c>
    </row>
    <row r="2130" spans="7:8">
      <c r="G2130" s="63" t="e">
        <f t="shared" si="66"/>
        <v>#VALUE!</v>
      </c>
      <c r="H2130" s="63" t="e">
        <f t="shared" si="67"/>
        <v>#VALUE!</v>
      </c>
    </row>
    <row r="2131" spans="7:8">
      <c r="G2131" s="63" t="e">
        <f t="shared" si="66"/>
        <v>#VALUE!</v>
      </c>
      <c r="H2131" s="63" t="e">
        <f t="shared" si="67"/>
        <v>#VALUE!</v>
      </c>
    </row>
    <row r="2132" spans="7:8">
      <c r="G2132" s="63" t="e">
        <f t="shared" si="66"/>
        <v>#VALUE!</v>
      </c>
      <c r="H2132" s="63" t="e">
        <f t="shared" si="67"/>
        <v>#VALUE!</v>
      </c>
    </row>
    <row r="2133" spans="7:8">
      <c r="G2133" s="63" t="e">
        <f t="shared" si="66"/>
        <v>#VALUE!</v>
      </c>
      <c r="H2133" s="63" t="e">
        <f t="shared" si="67"/>
        <v>#VALUE!</v>
      </c>
    </row>
    <row r="2134" spans="7:8">
      <c r="G2134" s="63" t="e">
        <f t="shared" si="66"/>
        <v>#VALUE!</v>
      </c>
      <c r="H2134" s="63" t="e">
        <f t="shared" si="67"/>
        <v>#VALUE!</v>
      </c>
    </row>
    <row r="2135" spans="7:8">
      <c r="G2135" s="63" t="e">
        <f t="shared" si="66"/>
        <v>#VALUE!</v>
      </c>
      <c r="H2135" s="63" t="e">
        <f t="shared" si="67"/>
        <v>#VALUE!</v>
      </c>
    </row>
    <row r="2136" spans="7:8">
      <c r="G2136" s="63" t="e">
        <f t="shared" si="66"/>
        <v>#VALUE!</v>
      </c>
      <c r="H2136" s="63" t="e">
        <f t="shared" si="67"/>
        <v>#VALUE!</v>
      </c>
    </row>
    <row r="2137" spans="7:8">
      <c r="G2137" s="63" t="e">
        <f t="shared" si="66"/>
        <v>#VALUE!</v>
      </c>
      <c r="H2137" s="63" t="e">
        <f t="shared" si="67"/>
        <v>#VALUE!</v>
      </c>
    </row>
    <row r="2138" spans="7:8">
      <c r="G2138" s="63" t="e">
        <f t="shared" si="66"/>
        <v>#VALUE!</v>
      </c>
      <c r="H2138" s="63" t="e">
        <f t="shared" si="67"/>
        <v>#VALUE!</v>
      </c>
    </row>
    <row r="2139" spans="7:8">
      <c r="G2139" s="63" t="e">
        <f t="shared" si="66"/>
        <v>#VALUE!</v>
      </c>
      <c r="H2139" s="63" t="e">
        <f t="shared" si="67"/>
        <v>#VALUE!</v>
      </c>
    </row>
    <row r="2140" spans="7:8">
      <c r="G2140" s="63" t="e">
        <f t="shared" si="66"/>
        <v>#VALUE!</v>
      </c>
      <c r="H2140" s="63" t="e">
        <f t="shared" si="67"/>
        <v>#VALUE!</v>
      </c>
    </row>
    <row r="2141" spans="7:8">
      <c r="G2141" s="63" t="e">
        <f t="shared" si="66"/>
        <v>#VALUE!</v>
      </c>
      <c r="H2141" s="63" t="e">
        <f t="shared" si="67"/>
        <v>#VALUE!</v>
      </c>
    </row>
    <row r="2142" spans="7:8">
      <c r="G2142" s="63" t="e">
        <f t="shared" si="66"/>
        <v>#VALUE!</v>
      </c>
      <c r="H2142" s="63" t="e">
        <f t="shared" si="67"/>
        <v>#VALUE!</v>
      </c>
    </row>
    <row r="2143" spans="7:8">
      <c r="G2143" s="63" t="e">
        <f t="shared" si="66"/>
        <v>#VALUE!</v>
      </c>
      <c r="H2143" s="63" t="e">
        <f t="shared" si="67"/>
        <v>#VALUE!</v>
      </c>
    </row>
    <row r="2144" spans="7:8">
      <c r="G2144" s="63" t="e">
        <f t="shared" si="66"/>
        <v>#VALUE!</v>
      </c>
      <c r="H2144" s="63" t="e">
        <f t="shared" si="67"/>
        <v>#VALUE!</v>
      </c>
    </row>
    <row r="2145" spans="7:8">
      <c r="G2145" s="63" t="e">
        <f t="shared" si="66"/>
        <v>#VALUE!</v>
      </c>
      <c r="H2145" s="63" t="e">
        <f t="shared" si="67"/>
        <v>#VALUE!</v>
      </c>
    </row>
    <row r="2146" spans="7:8">
      <c r="G2146" s="63" t="e">
        <f t="shared" si="66"/>
        <v>#VALUE!</v>
      </c>
      <c r="H2146" s="63" t="e">
        <f t="shared" si="67"/>
        <v>#VALUE!</v>
      </c>
    </row>
    <row r="2147" spans="7:8">
      <c r="G2147" s="63" t="e">
        <f t="shared" si="66"/>
        <v>#VALUE!</v>
      </c>
      <c r="H2147" s="63" t="e">
        <f t="shared" si="67"/>
        <v>#VALUE!</v>
      </c>
    </row>
    <row r="2148" spans="7:8">
      <c r="G2148" s="63" t="e">
        <f t="shared" si="66"/>
        <v>#VALUE!</v>
      </c>
      <c r="H2148" s="63" t="e">
        <f t="shared" si="67"/>
        <v>#VALUE!</v>
      </c>
    </row>
    <row r="2149" spans="7:8">
      <c r="G2149" s="63" t="e">
        <f t="shared" si="66"/>
        <v>#VALUE!</v>
      </c>
      <c r="H2149" s="63" t="e">
        <f t="shared" si="67"/>
        <v>#VALUE!</v>
      </c>
    </row>
    <row r="2150" spans="7:8">
      <c r="G2150" s="63" t="e">
        <f t="shared" si="66"/>
        <v>#VALUE!</v>
      </c>
      <c r="H2150" s="63" t="e">
        <f t="shared" si="67"/>
        <v>#VALUE!</v>
      </c>
    </row>
    <row r="2151" spans="7:8">
      <c r="G2151" s="63" t="e">
        <f t="shared" si="66"/>
        <v>#VALUE!</v>
      </c>
      <c r="H2151" s="63" t="e">
        <f t="shared" si="67"/>
        <v>#VALUE!</v>
      </c>
    </row>
    <row r="2152" spans="7:8">
      <c r="G2152" s="63" t="e">
        <f t="shared" si="66"/>
        <v>#VALUE!</v>
      </c>
      <c r="H2152" s="63" t="e">
        <f t="shared" si="67"/>
        <v>#VALUE!</v>
      </c>
    </row>
    <row r="2153" spans="7:8">
      <c r="G2153" s="63" t="e">
        <f t="shared" si="66"/>
        <v>#VALUE!</v>
      </c>
      <c r="H2153" s="63" t="e">
        <f t="shared" si="67"/>
        <v>#VALUE!</v>
      </c>
    </row>
    <row r="2154" spans="7:8">
      <c r="G2154" s="63" t="e">
        <f t="shared" si="66"/>
        <v>#VALUE!</v>
      </c>
      <c r="H2154" s="63" t="e">
        <f t="shared" si="67"/>
        <v>#VALUE!</v>
      </c>
    </row>
    <row r="2155" spans="7:8">
      <c r="G2155" s="63" t="e">
        <f t="shared" si="66"/>
        <v>#VALUE!</v>
      </c>
      <c r="H2155" s="63" t="e">
        <f t="shared" si="67"/>
        <v>#VALUE!</v>
      </c>
    </row>
    <row r="2156" spans="7:8">
      <c r="G2156" s="63" t="e">
        <f t="shared" si="66"/>
        <v>#VALUE!</v>
      </c>
      <c r="H2156" s="63" t="e">
        <f t="shared" si="67"/>
        <v>#VALUE!</v>
      </c>
    </row>
    <row r="2157" spans="7:8">
      <c r="G2157" s="63" t="e">
        <f t="shared" si="66"/>
        <v>#VALUE!</v>
      </c>
      <c r="H2157" s="63" t="e">
        <f t="shared" si="67"/>
        <v>#VALUE!</v>
      </c>
    </row>
    <row r="2158" spans="7:8">
      <c r="G2158" s="63" t="e">
        <f t="shared" si="66"/>
        <v>#VALUE!</v>
      </c>
      <c r="H2158" s="63" t="e">
        <f t="shared" si="67"/>
        <v>#VALUE!</v>
      </c>
    </row>
    <row r="2159" spans="7:8">
      <c r="G2159" s="63" t="e">
        <f t="shared" si="66"/>
        <v>#VALUE!</v>
      </c>
      <c r="H2159" s="63" t="e">
        <f t="shared" si="67"/>
        <v>#VALUE!</v>
      </c>
    </row>
    <row r="2160" spans="7:8">
      <c r="G2160" s="63" t="e">
        <f t="shared" si="66"/>
        <v>#VALUE!</v>
      </c>
      <c r="H2160" s="63" t="e">
        <f t="shared" si="67"/>
        <v>#VALUE!</v>
      </c>
    </row>
    <row r="2161" spans="7:8">
      <c r="G2161" s="63" t="e">
        <f t="shared" si="66"/>
        <v>#VALUE!</v>
      </c>
      <c r="H2161" s="63" t="e">
        <f t="shared" si="67"/>
        <v>#VALUE!</v>
      </c>
    </row>
    <row r="2162" spans="7:8">
      <c r="G2162" s="63" t="e">
        <f t="shared" si="66"/>
        <v>#VALUE!</v>
      </c>
      <c r="H2162" s="63" t="e">
        <f t="shared" si="67"/>
        <v>#VALUE!</v>
      </c>
    </row>
    <row r="2163" spans="7:8">
      <c r="G2163" s="63" t="e">
        <f t="shared" si="66"/>
        <v>#VALUE!</v>
      </c>
      <c r="H2163" s="63" t="e">
        <f t="shared" si="67"/>
        <v>#VALUE!</v>
      </c>
    </row>
    <row r="2164" spans="7:8">
      <c r="G2164" s="63" t="e">
        <f t="shared" si="66"/>
        <v>#VALUE!</v>
      </c>
      <c r="H2164" s="63" t="e">
        <f t="shared" si="67"/>
        <v>#VALUE!</v>
      </c>
    </row>
    <row r="2165" spans="7:8">
      <c r="G2165" s="63" t="e">
        <f t="shared" si="66"/>
        <v>#VALUE!</v>
      </c>
      <c r="H2165" s="63" t="e">
        <f t="shared" si="67"/>
        <v>#VALUE!</v>
      </c>
    </row>
    <row r="2166" spans="7:8">
      <c r="G2166" s="63" t="e">
        <f t="shared" si="66"/>
        <v>#VALUE!</v>
      </c>
      <c r="H2166" s="63" t="e">
        <f t="shared" si="67"/>
        <v>#VALUE!</v>
      </c>
    </row>
    <row r="2167" spans="7:8">
      <c r="G2167" s="63" t="e">
        <f t="shared" si="66"/>
        <v>#VALUE!</v>
      </c>
      <c r="H2167" s="63" t="e">
        <f t="shared" si="67"/>
        <v>#VALUE!</v>
      </c>
    </row>
    <row r="2168" spans="7:8">
      <c r="G2168" s="63" t="e">
        <f t="shared" si="66"/>
        <v>#VALUE!</v>
      </c>
      <c r="H2168" s="63" t="e">
        <f t="shared" si="67"/>
        <v>#VALUE!</v>
      </c>
    </row>
    <row r="2169" spans="7:8">
      <c r="G2169" s="63" t="e">
        <f t="shared" si="66"/>
        <v>#VALUE!</v>
      </c>
      <c r="H2169" s="63" t="e">
        <f t="shared" si="67"/>
        <v>#VALUE!</v>
      </c>
    </row>
    <row r="2170" spans="7:8">
      <c r="G2170" s="63" t="e">
        <f t="shared" si="66"/>
        <v>#VALUE!</v>
      </c>
      <c r="H2170" s="63" t="e">
        <f t="shared" si="67"/>
        <v>#VALUE!</v>
      </c>
    </row>
    <row r="2171" spans="7:8">
      <c r="G2171" s="63" t="e">
        <f t="shared" si="66"/>
        <v>#VALUE!</v>
      </c>
      <c r="H2171" s="63" t="e">
        <f t="shared" si="67"/>
        <v>#VALUE!</v>
      </c>
    </row>
    <row r="2172" spans="7:8">
      <c r="G2172" s="63" t="e">
        <f t="shared" si="66"/>
        <v>#VALUE!</v>
      </c>
      <c r="H2172" s="63" t="e">
        <f t="shared" si="67"/>
        <v>#VALUE!</v>
      </c>
    </row>
    <row r="2173" spans="7:8">
      <c r="G2173" s="63" t="e">
        <f t="shared" si="66"/>
        <v>#VALUE!</v>
      </c>
      <c r="H2173" s="63" t="e">
        <f t="shared" si="67"/>
        <v>#VALUE!</v>
      </c>
    </row>
    <row r="2174" spans="7:8">
      <c r="G2174" s="63" t="e">
        <f t="shared" si="66"/>
        <v>#VALUE!</v>
      </c>
      <c r="H2174" s="63" t="e">
        <f t="shared" si="67"/>
        <v>#VALUE!</v>
      </c>
    </row>
    <row r="2175" spans="7:8">
      <c r="G2175" s="63" t="e">
        <f t="shared" si="66"/>
        <v>#VALUE!</v>
      </c>
      <c r="H2175" s="63" t="e">
        <f t="shared" si="67"/>
        <v>#VALUE!</v>
      </c>
    </row>
    <row r="2176" spans="7:8">
      <c r="G2176" s="63" t="e">
        <f t="shared" si="66"/>
        <v>#VALUE!</v>
      </c>
      <c r="H2176" s="63" t="e">
        <f t="shared" si="67"/>
        <v>#VALUE!</v>
      </c>
    </row>
    <row r="2177" spans="7:8">
      <c r="G2177" s="63" t="e">
        <f t="shared" si="66"/>
        <v>#VALUE!</v>
      </c>
      <c r="H2177" s="63" t="e">
        <f t="shared" si="67"/>
        <v>#VALUE!</v>
      </c>
    </row>
    <row r="2178" spans="7:8">
      <c r="G2178" s="63" t="e">
        <f t="shared" si="66"/>
        <v>#VALUE!</v>
      </c>
      <c r="H2178" s="63" t="e">
        <f t="shared" si="67"/>
        <v>#VALUE!</v>
      </c>
    </row>
    <row r="2179" spans="7:8">
      <c r="G2179" s="63" t="e">
        <f t="shared" ref="G2179:G2242" si="68">IF(OR(A2179="RID_PB77",A2179="RID_PB77A3"),"WPCI77",IF(A2179="RIDTCIAS","CSCI49",IF(A2179="RID_HCPTM","CHCPT_",IF(LEFT(A2179,1)="C",A2179,MID(A2179,6,LEN(A2179)-5)))))</f>
        <v>#VALUE!</v>
      </c>
      <c r="H2179" s="63" t="e">
        <f t="shared" ref="H2179:H2242" si="69">IF(OR(G2179="MJG1",G2179="MJG2"),"MJG",G2179)&amp;"_"&amp;B2179</f>
        <v>#VALUE!</v>
      </c>
    </row>
    <row r="2180" spans="7:8">
      <c r="G2180" s="63" t="e">
        <f t="shared" si="68"/>
        <v>#VALUE!</v>
      </c>
      <c r="H2180" s="63" t="e">
        <f t="shared" si="69"/>
        <v>#VALUE!</v>
      </c>
    </row>
    <row r="2181" spans="7:8">
      <c r="G2181" s="63" t="e">
        <f t="shared" si="68"/>
        <v>#VALUE!</v>
      </c>
      <c r="H2181" s="63" t="e">
        <f t="shared" si="69"/>
        <v>#VALUE!</v>
      </c>
    </row>
    <row r="2182" spans="7:8">
      <c r="G2182" s="63" t="e">
        <f t="shared" si="68"/>
        <v>#VALUE!</v>
      </c>
      <c r="H2182" s="63" t="e">
        <f t="shared" si="69"/>
        <v>#VALUE!</v>
      </c>
    </row>
    <row r="2183" spans="7:8">
      <c r="G2183" s="63" t="e">
        <f t="shared" si="68"/>
        <v>#VALUE!</v>
      </c>
      <c r="H2183" s="63" t="e">
        <f t="shared" si="69"/>
        <v>#VALUE!</v>
      </c>
    </row>
    <row r="2184" spans="7:8">
      <c r="G2184" s="63" t="e">
        <f t="shared" si="68"/>
        <v>#VALUE!</v>
      </c>
      <c r="H2184" s="63" t="e">
        <f t="shared" si="69"/>
        <v>#VALUE!</v>
      </c>
    </row>
    <row r="2185" spans="7:8">
      <c r="G2185" s="63" t="e">
        <f t="shared" si="68"/>
        <v>#VALUE!</v>
      </c>
      <c r="H2185" s="63" t="e">
        <f t="shared" si="69"/>
        <v>#VALUE!</v>
      </c>
    </row>
    <row r="2186" spans="7:8">
      <c r="G2186" s="63" t="e">
        <f t="shared" si="68"/>
        <v>#VALUE!</v>
      </c>
      <c r="H2186" s="63" t="e">
        <f t="shared" si="69"/>
        <v>#VALUE!</v>
      </c>
    </row>
    <row r="2187" spans="7:8">
      <c r="G2187" s="63" t="e">
        <f t="shared" si="68"/>
        <v>#VALUE!</v>
      </c>
      <c r="H2187" s="63" t="e">
        <f t="shared" si="69"/>
        <v>#VALUE!</v>
      </c>
    </row>
    <row r="2188" spans="7:8">
      <c r="G2188" s="63" t="e">
        <f t="shared" si="68"/>
        <v>#VALUE!</v>
      </c>
      <c r="H2188" s="63" t="e">
        <f t="shared" si="69"/>
        <v>#VALUE!</v>
      </c>
    </row>
    <row r="2189" spans="7:8">
      <c r="G2189" s="63" t="e">
        <f t="shared" si="68"/>
        <v>#VALUE!</v>
      </c>
      <c r="H2189" s="63" t="e">
        <f t="shared" si="69"/>
        <v>#VALUE!</v>
      </c>
    </row>
    <row r="2190" spans="7:8">
      <c r="G2190" s="63" t="e">
        <f t="shared" si="68"/>
        <v>#VALUE!</v>
      </c>
      <c r="H2190" s="63" t="e">
        <f t="shared" si="69"/>
        <v>#VALUE!</v>
      </c>
    </row>
    <row r="2191" spans="7:8">
      <c r="G2191" s="63" t="e">
        <f t="shared" si="68"/>
        <v>#VALUE!</v>
      </c>
      <c r="H2191" s="63" t="e">
        <f t="shared" si="69"/>
        <v>#VALUE!</v>
      </c>
    </row>
    <row r="2192" spans="7:8">
      <c r="G2192" s="63" t="e">
        <f t="shared" si="68"/>
        <v>#VALUE!</v>
      </c>
      <c r="H2192" s="63" t="e">
        <f t="shared" si="69"/>
        <v>#VALUE!</v>
      </c>
    </row>
    <row r="2193" spans="7:8">
      <c r="G2193" s="63" t="e">
        <f t="shared" si="68"/>
        <v>#VALUE!</v>
      </c>
      <c r="H2193" s="63" t="e">
        <f t="shared" si="69"/>
        <v>#VALUE!</v>
      </c>
    </row>
    <row r="2194" spans="7:8">
      <c r="G2194" s="63" t="e">
        <f t="shared" si="68"/>
        <v>#VALUE!</v>
      </c>
      <c r="H2194" s="63" t="e">
        <f t="shared" si="69"/>
        <v>#VALUE!</v>
      </c>
    </row>
    <row r="2195" spans="7:8">
      <c r="G2195" s="63" t="e">
        <f t="shared" si="68"/>
        <v>#VALUE!</v>
      </c>
      <c r="H2195" s="63" t="e">
        <f t="shared" si="69"/>
        <v>#VALUE!</v>
      </c>
    </row>
    <row r="2196" spans="7:8">
      <c r="G2196" s="63" t="e">
        <f t="shared" si="68"/>
        <v>#VALUE!</v>
      </c>
      <c r="H2196" s="63" t="e">
        <f t="shared" si="69"/>
        <v>#VALUE!</v>
      </c>
    </row>
    <row r="2197" spans="7:8">
      <c r="G2197" s="63" t="e">
        <f t="shared" si="68"/>
        <v>#VALUE!</v>
      </c>
      <c r="H2197" s="63" t="e">
        <f t="shared" si="69"/>
        <v>#VALUE!</v>
      </c>
    </row>
    <row r="2198" spans="7:8">
      <c r="G2198" s="63" t="e">
        <f t="shared" si="68"/>
        <v>#VALUE!</v>
      </c>
      <c r="H2198" s="63" t="e">
        <f t="shared" si="69"/>
        <v>#VALUE!</v>
      </c>
    </row>
    <row r="2199" spans="7:8">
      <c r="G2199" s="63" t="e">
        <f t="shared" si="68"/>
        <v>#VALUE!</v>
      </c>
      <c r="H2199" s="63" t="e">
        <f t="shared" si="69"/>
        <v>#VALUE!</v>
      </c>
    </row>
    <row r="2200" spans="7:8">
      <c r="G2200" s="63" t="e">
        <f t="shared" si="68"/>
        <v>#VALUE!</v>
      </c>
      <c r="H2200" s="63" t="e">
        <f t="shared" si="69"/>
        <v>#VALUE!</v>
      </c>
    </row>
    <row r="2201" spans="7:8">
      <c r="G2201" s="63" t="e">
        <f t="shared" si="68"/>
        <v>#VALUE!</v>
      </c>
      <c r="H2201" s="63" t="e">
        <f t="shared" si="69"/>
        <v>#VALUE!</v>
      </c>
    </row>
    <row r="2202" spans="7:8">
      <c r="G2202" s="63" t="e">
        <f t="shared" si="68"/>
        <v>#VALUE!</v>
      </c>
      <c r="H2202" s="63" t="e">
        <f t="shared" si="69"/>
        <v>#VALUE!</v>
      </c>
    </row>
    <row r="2203" spans="7:8">
      <c r="G2203" s="63" t="e">
        <f t="shared" si="68"/>
        <v>#VALUE!</v>
      </c>
      <c r="H2203" s="63" t="e">
        <f t="shared" si="69"/>
        <v>#VALUE!</v>
      </c>
    </row>
    <row r="2204" spans="7:8">
      <c r="G2204" s="63" t="e">
        <f t="shared" si="68"/>
        <v>#VALUE!</v>
      </c>
      <c r="H2204" s="63" t="e">
        <f t="shared" si="69"/>
        <v>#VALUE!</v>
      </c>
    </row>
    <row r="2205" spans="7:8">
      <c r="G2205" s="63" t="e">
        <f t="shared" si="68"/>
        <v>#VALUE!</v>
      </c>
      <c r="H2205" s="63" t="e">
        <f t="shared" si="69"/>
        <v>#VALUE!</v>
      </c>
    </row>
    <row r="2206" spans="7:8">
      <c r="G2206" s="63" t="e">
        <f t="shared" si="68"/>
        <v>#VALUE!</v>
      </c>
      <c r="H2206" s="63" t="e">
        <f t="shared" si="69"/>
        <v>#VALUE!</v>
      </c>
    </row>
    <row r="2207" spans="7:8">
      <c r="G2207" s="63" t="e">
        <f t="shared" si="68"/>
        <v>#VALUE!</v>
      </c>
      <c r="H2207" s="63" t="e">
        <f t="shared" si="69"/>
        <v>#VALUE!</v>
      </c>
    </row>
    <row r="2208" spans="7:8">
      <c r="G2208" s="63" t="e">
        <f t="shared" si="68"/>
        <v>#VALUE!</v>
      </c>
      <c r="H2208" s="63" t="e">
        <f t="shared" si="69"/>
        <v>#VALUE!</v>
      </c>
    </row>
    <row r="2209" spans="7:8">
      <c r="G2209" s="63" t="e">
        <f t="shared" si="68"/>
        <v>#VALUE!</v>
      </c>
      <c r="H2209" s="63" t="e">
        <f t="shared" si="69"/>
        <v>#VALUE!</v>
      </c>
    </row>
    <row r="2210" spans="7:8">
      <c r="G2210" s="63" t="e">
        <f t="shared" si="68"/>
        <v>#VALUE!</v>
      </c>
      <c r="H2210" s="63" t="e">
        <f t="shared" si="69"/>
        <v>#VALUE!</v>
      </c>
    </row>
    <row r="2211" spans="7:8">
      <c r="G2211" s="63" t="e">
        <f t="shared" si="68"/>
        <v>#VALUE!</v>
      </c>
      <c r="H2211" s="63" t="e">
        <f t="shared" si="69"/>
        <v>#VALUE!</v>
      </c>
    </row>
    <row r="2212" spans="7:8">
      <c r="G2212" s="63" t="e">
        <f t="shared" si="68"/>
        <v>#VALUE!</v>
      </c>
      <c r="H2212" s="63" t="e">
        <f t="shared" si="69"/>
        <v>#VALUE!</v>
      </c>
    </row>
    <row r="2213" spans="7:8">
      <c r="G2213" s="63" t="e">
        <f t="shared" si="68"/>
        <v>#VALUE!</v>
      </c>
      <c r="H2213" s="63" t="e">
        <f t="shared" si="69"/>
        <v>#VALUE!</v>
      </c>
    </row>
    <row r="2214" spans="7:8">
      <c r="G2214" s="63" t="e">
        <f t="shared" si="68"/>
        <v>#VALUE!</v>
      </c>
      <c r="H2214" s="63" t="e">
        <f t="shared" si="69"/>
        <v>#VALUE!</v>
      </c>
    </row>
    <row r="2215" spans="7:8">
      <c r="G2215" s="63" t="e">
        <f t="shared" si="68"/>
        <v>#VALUE!</v>
      </c>
      <c r="H2215" s="63" t="e">
        <f t="shared" si="69"/>
        <v>#VALUE!</v>
      </c>
    </row>
    <row r="2216" spans="7:8">
      <c r="G2216" s="63" t="e">
        <f t="shared" si="68"/>
        <v>#VALUE!</v>
      </c>
      <c r="H2216" s="63" t="e">
        <f t="shared" si="69"/>
        <v>#VALUE!</v>
      </c>
    </row>
    <row r="2217" spans="7:8">
      <c r="G2217" s="63" t="e">
        <f t="shared" si="68"/>
        <v>#VALUE!</v>
      </c>
      <c r="H2217" s="63" t="e">
        <f t="shared" si="69"/>
        <v>#VALUE!</v>
      </c>
    </row>
    <row r="2218" spans="7:8">
      <c r="G2218" s="63" t="e">
        <f t="shared" si="68"/>
        <v>#VALUE!</v>
      </c>
      <c r="H2218" s="63" t="e">
        <f t="shared" si="69"/>
        <v>#VALUE!</v>
      </c>
    </row>
    <row r="2219" spans="7:8">
      <c r="G2219" s="63" t="e">
        <f t="shared" si="68"/>
        <v>#VALUE!</v>
      </c>
      <c r="H2219" s="63" t="e">
        <f t="shared" si="69"/>
        <v>#VALUE!</v>
      </c>
    </row>
    <row r="2220" spans="7:8">
      <c r="G2220" s="63" t="e">
        <f t="shared" si="68"/>
        <v>#VALUE!</v>
      </c>
      <c r="H2220" s="63" t="e">
        <f t="shared" si="69"/>
        <v>#VALUE!</v>
      </c>
    </row>
    <row r="2221" spans="7:8">
      <c r="G2221" s="63" t="e">
        <f t="shared" si="68"/>
        <v>#VALUE!</v>
      </c>
      <c r="H2221" s="63" t="e">
        <f t="shared" si="69"/>
        <v>#VALUE!</v>
      </c>
    </row>
    <row r="2222" spans="7:8">
      <c r="G2222" s="63" t="e">
        <f t="shared" si="68"/>
        <v>#VALUE!</v>
      </c>
      <c r="H2222" s="63" t="e">
        <f t="shared" si="69"/>
        <v>#VALUE!</v>
      </c>
    </row>
    <row r="2223" spans="7:8">
      <c r="G2223" s="63" t="e">
        <f t="shared" si="68"/>
        <v>#VALUE!</v>
      </c>
      <c r="H2223" s="63" t="e">
        <f t="shared" si="69"/>
        <v>#VALUE!</v>
      </c>
    </row>
    <row r="2224" spans="7:8">
      <c r="G2224" s="63" t="e">
        <f t="shared" si="68"/>
        <v>#VALUE!</v>
      </c>
      <c r="H2224" s="63" t="e">
        <f t="shared" si="69"/>
        <v>#VALUE!</v>
      </c>
    </row>
    <row r="2225" spans="7:8">
      <c r="G2225" s="63" t="e">
        <f t="shared" si="68"/>
        <v>#VALUE!</v>
      </c>
      <c r="H2225" s="63" t="e">
        <f t="shared" si="69"/>
        <v>#VALUE!</v>
      </c>
    </row>
    <row r="2226" spans="7:8">
      <c r="G2226" s="63" t="e">
        <f t="shared" si="68"/>
        <v>#VALUE!</v>
      </c>
      <c r="H2226" s="63" t="e">
        <f t="shared" si="69"/>
        <v>#VALUE!</v>
      </c>
    </row>
    <row r="2227" spans="7:8">
      <c r="G2227" s="63" t="e">
        <f t="shared" si="68"/>
        <v>#VALUE!</v>
      </c>
      <c r="H2227" s="63" t="e">
        <f t="shared" si="69"/>
        <v>#VALUE!</v>
      </c>
    </row>
    <row r="2228" spans="7:8">
      <c r="G2228" s="63" t="e">
        <f t="shared" si="68"/>
        <v>#VALUE!</v>
      </c>
      <c r="H2228" s="63" t="e">
        <f t="shared" si="69"/>
        <v>#VALUE!</v>
      </c>
    </row>
    <row r="2229" spans="7:8">
      <c r="G2229" s="63" t="e">
        <f t="shared" si="68"/>
        <v>#VALUE!</v>
      </c>
      <c r="H2229" s="63" t="e">
        <f t="shared" si="69"/>
        <v>#VALUE!</v>
      </c>
    </row>
    <row r="2230" spans="7:8">
      <c r="G2230" s="63" t="e">
        <f t="shared" si="68"/>
        <v>#VALUE!</v>
      </c>
      <c r="H2230" s="63" t="e">
        <f t="shared" si="69"/>
        <v>#VALUE!</v>
      </c>
    </row>
    <row r="2231" spans="7:8">
      <c r="G2231" s="63" t="e">
        <f t="shared" si="68"/>
        <v>#VALUE!</v>
      </c>
      <c r="H2231" s="63" t="e">
        <f t="shared" si="69"/>
        <v>#VALUE!</v>
      </c>
    </row>
    <row r="2232" spans="7:8">
      <c r="G2232" s="63" t="e">
        <f t="shared" si="68"/>
        <v>#VALUE!</v>
      </c>
      <c r="H2232" s="63" t="e">
        <f t="shared" si="69"/>
        <v>#VALUE!</v>
      </c>
    </row>
    <row r="2233" spans="7:8">
      <c r="G2233" s="63" t="e">
        <f t="shared" si="68"/>
        <v>#VALUE!</v>
      </c>
      <c r="H2233" s="63" t="e">
        <f t="shared" si="69"/>
        <v>#VALUE!</v>
      </c>
    </row>
    <row r="2234" spans="7:8">
      <c r="G2234" s="63" t="e">
        <f t="shared" si="68"/>
        <v>#VALUE!</v>
      </c>
      <c r="H2234" s="63" t="e">
        <f t="shared" si="69"/>
        <v>#VALUE!</v>
      </c>
    </row>
    <row r="2235" spans="7:8">
      <c r="G2235" s="63" t="e">
        <f t="shared" si="68"/>
        <v>#VALUE!</v>
      </c>
      <c r="H2235" s="63" t="e">
        <f t="shared" si="69"/>
        <v>#VALUE!</v>
      </c>
    </row>
    <row r="2236" spans="7:8">
      <c r="G2236" s="63" t="e">
        <f t="shared" si="68"/>
        <v>#VALUE!</v>
      </c>
      <c r="H2236" s="63" t="e">
        <f t="shared" si="69"/>
        <v>#VALUE!</v>
      </c>
    </row>
    <row r="2237" spans="7:8">
      <c r="G2237" s="63" t="e">
        <f t="shared" si="68"/>
        <v>#VALUE!</v>
      </c>
      <c r="H2237" s="63" t="e">
        <f t="shared" si="69"/>
        <v>#VALUE!</v>
      </c>
    </row>
    <row r="2238" spans="7:8">
      <c r="G2238" s="63" t="e">
        <f t="shared" si="68"/>
        <v>#VALUE!</v>
      </c>
      <c r="H2238" s="63" t="e">
        <f t="shared" si="69"/>
        <v>#VALUE!</v>
      </c>
    </row>
    <row r="2239" spans="7:8">
      <c r="G2239" s="63" t="e">
        <f t="shared" si="68"/>
        <v>#VALUE!</v>
      </c>
      <c r="H2239" s="63" t="e">
        <f t="shared" si="69"/>
        <v>#VALUE!</v>
      </c>
    </row>
    <row r="2240" spans="7:8">
      <c r="G2240" s="63" t="e">
        <f t="shared" si="68"/>
        <v>#VALUE!</v>
      </c>
      <c r="H2240" s="63" t="e">
        <f t="shared" si="69"/>
        <v>#VALUE!</v>
      </c>
    </row>
    <row r="2241" spans="7:8">
      <c r="G2241" s="63" t="e">
        <f t="shared" si="68"/>
        <v>#VALUE!</v>
      </c>
      <c r="H2241" s="63" t="e">
        <f t="shared" si="69"/>
        <v>#VALUE!</v>
      </c>
    </row>
    <row r="2242" spans="7:8">
      <c r="G2242" s="63" t="e">
        <f t="shared" si="68"/>
        <v>#VALUE!</v>
      </c>
      <c r="H2242" s="63" t="e">
        <f t="shared" si="69"/>
        <v>#VALUE!</v>
      </c>
    </row>
    <row r="2243" spans="7:8">
      <c r="G2243" s="63" t="e">
        <f t="shared" ref="G2243:G2306" si="70">IF(OR(A2243="RID_PB77",A2243="RID_PB77A3"),"WPCI77",IF(A2243="RIDTCIAS","CSCI49",IF(A2243="RID_HCPTM","CHCPT_",IF(LEFT(A2243,1)="C",A2243,MID(A2243,6,LEN(A2243)-5)))))</f>
        <v>#VALUE!</v>
      </c>
      <c r="H2243" s="63" t="e">
        <f t="shared" ref="H2243:H2306" si="71">IF(OR(G2243="MJG1",G2243="MJG2"),"MJG",G2243)&amp;"_"&amp;B2243</f>
        <v>#VALUE!</v>
      </c>
    </row>
    <row r="2244" spans="7:8">
      <c r="G2244" s="63" t="e">
        <f t="shared" si="70"/>
        <v>#VALUE!</v>
      </c>
      <c r="H2244" s="63" t="e">
        <f t="shared" si="71"/>
        <v>#VALUE!</v>
      </c>
    </row>
    <row r="2245" spans="7:8">
      <c r="G2245" s="63" t="e">
        <f t="shared" si="70"/>
        <v>#VALUE!</v>
      </c>
      <c r="H2245" s="63" t="e">
        <f t="shared" si="71"/>
        <v>#VALUE!</v>
      </c>
    </row>
    <row r="2246" spans="7:8">
      <c r="G2246" s="63" t="e">
        <f t="shared" si="70"/>
        <v>#VALUE!</v>
      </c>
      <c r="H2246" s="63" t="e">
        <f t="shared" si="71"/>
        <v>#VALUE!</v>
      </c>
    </row>
    <row r="2247" spans="7:8">
      <c r="G2247" s="63" t="e">
        <f t="shared" si="70"/>
        <v>#VALUE!</v>
      </c>
      <c r="H2247" s="63" t="e">
        <f t="shared" si="71"/>
        <v>#VALUE!</v>
      </c>
    </row>
    <row r="2248" spans="7:8">
      <c r="G2248" s="63" t="e">
        <f t="shared" si="70"/>
        <v>#VALUE!</v>
      </c>
      <c r="H2248" s="63" t="e">
        <f t="shared" si="71"/>
        <v>#VALUE!</v>
      </c>
    </row>
    <row r="2249" spans="7:8">
      <c r="G2249" s="63" t="e">
        <f t="shared" si="70"/>
        <v>#VALUE!</v>
      </c>
      <c r="H2249" s="63" t="e">
        <f t="shared" si="71"/>
        <v>#VALUE!</v>
      </c>
    </row>
    <row r="2250" spans="7:8">
      <c r="G2250" s="63" t="e">
        <f t="shared" si="70"/>
        <v>#VALUE!</v>
      </c>
      <c r="H2250" s="63" t="e">
        <f t="shared" si="71"/>
        <v>#VALUE!</v>
      </c>
    </row>
    <row r="2251" spans="7:8">
      <c r="G2251" s="63" t="e">
        <f t="shared" si="70"/>
        <v>#VALUE!</v>
      </c>
      <c r="H2251" s="63" t="e">
        <f t="shared" si="71"/>
        <v>#VALUE!</v>
      </c>
    </row>
    <row r="2252" spans="7:8">
      <c r="G2252" s="63" t="e">
        <f t="shared" si="70"/>
        <v>#VALUE!</v>
      </c>
      <c r="H2252" s="63" t="e">
        <f t="shared" si="71"/>
        <v>#VALUE!</v>
      </c>
    </row>
    <row r="2253" spans="7:8">
      <c r="G2253" s="63" t="e">
        <f t="shared" si="70"/>
        <v>#VALUE!</v>
      </c>
      <c r="H2253" s="63" t="e">
        <f t="shared" si="71"/>
        <v>#VALUE!</v>
      </c>
    </row>
    <row r="2254" spans="7:8">
      <c r="G2254" s="63" t="e">
        <f t="shared" si="70"/>
        <v>#VALUE!</v>
      </c>
      <c r="H2254" s="63" t="e">
        <f t="shared" si="71"/>
        <v>#VALUE!</v>
      </c>
    </row>
    <row r="2255" spans="7:8">
      <c r="G2255" s="63" t="e">
        <f t="shared" si="70"/>
        <v>#VALUE!</v>
      </c>
      <c r="H2255" s="63" t="e">
        <f t="shared" si="71"/>
        <v>#VALUE!</v>
      </c>
    </row>
    <row r="2256" spans="7:8">
      <c r="G2256" s="63" t="e">
        <f t="shared" si="70"/>
        <v>#VALUE!</v>
      </c>
      <c r="H2256" s="63" t="e">
        <f t="shared" si="71"/>
        <v>#VALUE!</v>
      </c>
    </row>
    <row r="2257" spans="7:8">
      <c r="G2257" s="63" t="e">
        <f t="shared" si="70"/>
        <v>#VALUE!</v>
      </c>
      <c r="H2257" s="63" t="e">
        <f t="shared" si="71"/>
        <v>#VALUE!</v>
      </c>
    </row>
    <row r="2258" spans="7:8">
      <c r="G2258" s="63" t="e">
        <f t="shared" si="70"/>
        <v>#VALUE!</v>
      </c>
      <c r="H2258" s="63" t="e">
        <f t="shared" si="71"/>
        <v>#VALUE!</v>
      </c>
    </row>
    <row r="2259" spans="7:8">
      <c r="G2259" s="63" t="e">
        <f t="shared" si="70"/>
        <v>#VALUE!</v>
      </c>
      <c r="H2259" s="63" t="e">
        <f t="shared" si="71"/>
        <v>#VALUE!</v>
      </c>
    </row>
    <row r="2260" spans="7:8">
      <c r="G2260" s="63" t="e">
        <f t="shared" si="70"/>
        <v>#VALUE!</v>
      </c>
      <c r="H2260" s="63" t="e">
        <f t="shared" si="71"/>
        <v>#VALUE!</v>
      </c>
    </row>
    <row r="2261" spans="7:8">
      <c r="G2261" s="63" t="e">
        <f t="shared" si="70"/>
        <v>#VALUE!</v>
      </c>
      <c r="H2261" s="63" t="e">
        <f t="shared" si="71"/>
        <v>#VALUE!</v>
      </c>
    </row>
    <row r="2262" spans="7:8">
      <c r="G2262" s="63" t="e">
        <f t="shared" si="70"/>
        <v>#VALUE!</v>
      </c>
      <c r="H2262" s="63" t="e">
        <f t="shared" si="71"/>
        <v>#VALUE!</v>
      </c>
    </row>
    <row r="2263" spans="7:8">
      <c r="G2263" s="63" t="e">
        <f t="shared" si="70"/>
        <v>#VALUE!</v>
      </c>
      <c r="H2263" s="63" t="e">
        <f t="shared" si="71"/>
        <v>#VALUE!</v>
      </c>
    </row>
    <row r="2264" spans="7:8">
      <c r="G2264" s="63" t="e">
        <f t="shared" si="70"/>
        <v>#VALUE!</v>
      </c>
      <c r="H2264" s="63" t="e">
        <f t="shared" si="71"/>
        <v>#VALUE!</v>
      </c>
    </row>
    <row r="2265" spans="7:8">
      <c r="G2265" s="63" t="e">
        <f t="shared" si="70"/>
        <v>#VALUE!</v>
      </c>
      <c r="H2265" s="63" t="e">
        <f t="shared" si="71"/>
        <v>#VALUE!</v>
      </c>
    </row>
    <row r="2266" spans="7:8">
      <c r="G2266" s="63" t="e">
        <f t="shared" si="70"/>
        <v>#VALUE!</v>
      </c>
      <c r="H2266" s="63" t="e">
        <f t="shared" si="71"/>
        <v>#VALUE!</v>
      </c>
    </row>
    <row r="2267" spans="7:8">
      <c r="G2267" s="63" t="e">
        <f t="shared" si="70"/>
        <v>#VALUE!</v>
      </c>
      <c r="H2267" s="63" t="e">
        <f t="shared" si="71"/>
        <v>#VALUE!</v>
      </c>
    </row>
    <row r="2268" spans="7:8">
      <c r="G2268" s="63" t="e">
        <f t="shared" si="70"/>
        <v>#VALUE!</v>
      </c>
      <c r="H2268" s="63" t="e">
        <f t="shared" si="71"/>
        <v>#VALUE!</v>
      </c>
    </row>
    <row r="2269" spans="7:8">
      <c r="G2269" s="63" t="e">
        <f t="shared" si="70"/>
        <v>#VALUE!</v>
      </c>
      <c r="H2269" s="63" t="e">
        <f t="shared" si="71"/>
        <v>#VALUE!</v>
      </c>
    </row>
    <row r="2270" spans="7:8">
      <c r="G2270" s="63" t="e">
        <f t="shared" si="70"/>
        <v>#VALUE!</v>
      </c>
      <c r="H2270" s="63" t="e">
        <f t="shared" si="71"/>
        <v>#VALUE!</v>
      </c>
    </row>
    <row r="2271" spans="7:8">
      <c r="G2271" s="63" t="e">
        <f t="shared" si="70"/>
        <v>#VALUE!</v>
      </c>
      <c r="H2271" s="63" t="e">
        <f t="shared" si="71"/>
        <v>#VALUE!</v>
      </c>
    </row>
    <row r="2272" spans="7:8">
      <c r="G2272" s="63" t="e">
        <f t="shared" si="70"/>
        <v>#VALUE!</v>
      </c>
      <c r="H2272" s="63" t="e">
        <f t="shared" si="71"/>
        <v>#VALUE!</v>
      </c>
    </row>
    <row r="2273" spans="7:8">
      <c r="G2273" s="63" t="e">
        <f t="shared" si="70"/>
        <v>#VALUE!</v>
      </c>
      <c r="H2273" s="63" t="e">
        <f t="shared" si="71"/>
        <v>#VALUE!</v>
      </c>
    </row>
    <row r="2274" spans="7:8">
      <c r="G2274" s="63" t="e">
        <f t="shared" si="70"/>
        <v>#VALUE!</v>
      </c>
      <c r="H2274" s="63" t="e">
        <f t="shared" si="71"/>
        <v>#VALUE!</v>
      </c>
    </row>
    <row r="2275" spans="7:8">
      <c r="G2275" s="63" t="e">
        <f t="shared" si="70"/>
        <v>#VALUE!</v>
      </c>
      <c r="H2275" s="63" t="e">
        <f t="shared" si="71"/>
        <v>#VALUE!</v>
      </c>
    </row>
    <row r="2276" spans="7:8">
      <c r="G2276" s="63" t="e">
        <f t="shared" si="70"/>
        <v>#VALUE!</v>
      </c>
      <c r="H2276" s="63" t="e">
        <f t="shared" si="71"/>
        <v>#VALUE!</v>
      </c>
    </row>
    <row r="2277" spans="7:8">
      <c r="G2277" s="63" t="e">
        <f t="shared" si="70"/>
        <v>#VALUE!</v>
      </c>
      <c r="H2277" s="63" t="e">
        <f t="shared" si="71"/>
        <v>#VALUE!</v>
      </c>
    </row>
    <row r="2278" spans="7:8">
      <c r="G2278" s="63" t="e">
        <f t="shared" si="70"/>
        <v>#VALUE!</v>
      </c>
      <c r="H2278" s="63" t="e">
        <f t="shared" si="71"/>
        <v>#VALUE!</v>
      </c>
    </row>
    <row r="2279" spans="7:8">
      <c r="G2279" s="63" t="e">
        <f t="shared" si="70"/>
        <v>#VALUE!</v>
      </c>
      <c r="H2279" s="63" t="e">
        <f t="shared" si="71"/>
        <v>#VALUE!</v>
      </c>
    </row>
    <row r="2280" spans="7:8">
      <c r="G2280" s="63" t="e">
        <f t="shared" si="70"/>
        <v>#VALUE!</v>
      </c>
      <c r="H2280" s="63" t="e">
        <f t="shared" si="71"/>
        <v>#VALUE!</v>
      </c>
    </row>
    <row r="2281" spans="7:8">
      <c r="G2281" s="63" t="e">
        <f t="shared" si="70"/>
        <v>#VALUE!</v>
      </c>
      <c r="H2281" s="63" t="e">
        <f t="shared" si="71"/>
        <v>#VALUE!</v>
      </c>
    </row>
    <row r="2282" spans="7:8">
      <c r="G2282" s="63" t="e">
        <f t="shared" si="70"/>
        <v>#VALUE!</v>
      </c>
      <c r="H2282" s="63" t="e">
        <f t="shared" si="71"/>
        <v>#VALUE!</v>
      </c>
    </row>
    <row r="2283" spans="7:8">
      <c r="G2283" s="63" t="e">
        <f t="shared" si="70"/>
        <v>#VALUE!</v>
      </c>
      <c r="H2283" s="63" t="e">
        <f t="shared" si="71"/>
        <v>#VALUE!</v>
      </c>
    </row>
    <row r="2284" spans="7:8">
      <c r="G2284" s="63" t="e">
        <f t="shared" si="70"/>
        <v>#VALUE!</v>
      </c>
      <c r="H2284" s="63" t="e">
        <f t="shared" si="71"/>
        <v>#VALUE!</v>
      </c>
    </row>
    <row r="2285" spans="7:8">
      <c r="G2285" s="63" t="e">
        <f t="shared" si="70"/>
        <v>#VALUE!</v>
      </c>
      <c r="H2285" s="63" t="e">
        <f t="shared" si="71"/>
        <v>#VALUE!</v>
      </c>
    </row>
    <row r="2286" spans="7:8">
      <c r="G2286" s="63" t="e">
        <f t="shared" si="70"/>
        <v>#VALUE!</v>
      </c>
      <c r="H2286" s="63" t="e">
        <f t="shared" si="71"/>
        <v>#VALUE!</v>
      </c>
    </row>
    <row r="2287" spans="7:8">
      <c r="G2287" s="63" t="e">
        <f t="shared" si="70"/>
        <v>#VALUE!</v>
      </c>
      <c r="H2287" s="63" t="e">
        <f t="shared" si="71"/>
        <v>#VALUE!</v>
      </c>
    </row>
    <row r="2288" spans="7:8">
      <c r="G2288" s="63" t="e">
        <f t="shared" si="70"/>
        <v>#VALUE!</v>
      </c>
      <c r="H2288" s="63" t="e">
        <f t="shared" si="71"/>
        <v>#VALUE!</v>
      </c>
    </row>
    <row r="2289" spans="7:8">
      <c r="G2289" s="63" t="e">
        <f t="shared" si="70"/>
        <v>#VALUE!</v>
      </c>
      <c r="H2289" s="63" t="e">
        <f t="shared" si="71"/>
        <v>#VALUE!</v>
      </c>
    </row>
    <row r="2290" spans="7:8">
      <c r="G2290" s="63" t="e">
        <f t="shared" si="70"/>
        <v>#VALUE!</v>
      </c>
      <c r="H2290" s="63" t="e">
        <f t="shared" si="71"/>
        <v>#VALUE!</v>
      </c>
    </row>
    <row r="2291" spans="7:8">
      <c r="G2291" s="63" t="e">
        <f t="shared" si="70"/>
        <v>#VALUE!</v>
      </c>
      <c r="H2291" s="63" t="e">
        <f t="shared" si="71"/>
        <v>#VALUE!</v>
      </c>
    </row>
    <row r="2292" spans="7:8">
      <c r="G2292" s="63" t="e">
        <f t="shared" si="70"/>
        <v>#VALUE!</v>
      </c>
      <c r="H2292" s="63" t="e">
        <f t="shared" si="71"/>
        <v>#VALUE!</v>
      </c>
    </row>
    <row r="2293" spans="7:8">
      <c r="G2293" s="63" t="e">
        <f t="shared" si="70"/>
        <v>#VALUE!</v>
      </c>
      <c r="H2293" s="63" t="e">
        <f t="shared" si="71"/>
        <v>#VALUE!</v>
      </c>
    </row>
    <row r="2294" spans="7:8">
      <c r="G2294" s="63" t="e">
        <f t="shared" si="70"/>
        <v>#VALUE!</v>
      </c>
      <c r="H2294" s="63" t="e">
        <f t="shared" si="71"/>
        <v>#VALUE!</v>
      </c>
    </row>
    <row r="2295" spans="7:8">
      <c r="G2295" s="63" t="e">
        <f t="shared" si="70"/>
        <v>#VALUE!</v>
      </c>
      <c r="H2295" s="63" t="e">
        <f t="shared" si="71"/>
        <v>#VALUE!</v>
      </c>
    </row>
    <row r="2296" spans="7:8">
      <c r="G2296" s="63" t="e">
        <f t="shared" si="70"/>
        <v>#VALUE!</v>
      </c>
      <c r="H2296" s="63" t="e">
        <f t="shared" si="71"/>
        <v>#VALUE!</v>
      </c>
    </row>
    <row r="2297" spans="7:8">
      <c r="G2297" s="63" t="e">
        <f t="shared" si="70"/>
        <v>#VALUE!</v>
      </c>
      <c r="H2297" s="63" t="e">
        <f t="shared" si="71"/>
        <v>#VALUE!</v>
      </c>
    </row>
    <row r="2298" spans="7:8">
      <c r="G2298" s="63" t="e">
        <f t="shared" si="70"/>
        <v>#VALUE!</v>
      </c>
      <c r="H2298" s="63" t="e">
        <f t="shared" si="71"/>
        <v>#VALUE!</v>
      </c>
    </row>
    <row r="2299" spans="7:8">
      <c r="G2299" s="63" t="e">
        <f t="shared" si="70"/>
        <v>#VALUE!</v>
      </c>
      <c r="H2299" s="63" t="e">
        <f t="shared" si="71"/>
        <v>#VALUE!</v>
      </c>
    </row>
    <row r="2300" spans="7:8">
      <c r="G2300" s="63" t="e">
        <f t="shared" si="70"/>
        <v>#VALUE!</v>
      </c>
      <c r="H2300" s="63" t="e">
        <f t="shared" si="71"/>
        <v>#VALUE!</v>
      </c>
    </row>
    <row r="2301" spans="7:8">
      <c r="G2301" s="63" t="e">
        <f t="shared" si="70"/>
        <v>#VALUE!</v>
      </c>
      <c r="H2301" s="63" t="e">
        <f t="shared" si="71"/>
        <v>#VALUE!</v>
      </c>
    </row>
    <row r="2302" spans="7:8">
      <c r="G2302" s="63" t="e">
        <f t="shared" si="70"/>
        <v>#VALUE!</v>
      </c>
      <c r="H2302" s="63" t="e">
        <f t="shared" si="71"/>
        <v>#VALUE!</v>
      </c>
    </row>
    <row r="2303" spans="7:8">
      <c r="G2303" s="63" t="e">
        <f t="shared" si="70"/>
        <v>#VALUE!</v>
      </c>
      <c r="H2303" s="63" t="e">
        <f t="shared" si="71"/>
        <v>#VALUE!</v>
      </c>
    </row>
    <row r="2304" spans="7:8">
      <c r="G2304" s="63" t="e">
        <f t="shared" si="70"/>
        <v>#VALUE!</v>
      </c>
      <c r="H2304" s="63" t="e">
        <f t="shared" si="71"/>
        <v>#VALUE!</v>
      </c>
    </row>
    <row r="2305" spans="7:8">
      <c r="G2305" s="63" t="e">
        <f t="shared" si="70"/>
        <v>#VALUE!</v>
      </c>
      <c r="H2305" s="63" t="e">
        <f t="shared" si="71"/>
        <v>#VALUE!</v>
      </c>
    </row>
    <row r="2306" spans="7:8">
      <c r="G2306" s="63" t="e">
        <f t="shared" si="70"/>
        <v>#VALUE!</v>
      </c>
      <c r="H2306" s="63" t="e">
        <f t="shared" si="71"/>
        <v>#VALUE!</v>
      </c>
    </row>
    <row r="2307" spans="7:8">
      <c r="G2307" s="63" t="e">
        <f t="shared" ref="G2307:G2370" si="72">IF(OR(A2307="RID_PB77",A2307="RID_PB77A3"),"WPCI77",IF(A2307="RIDTCIAS","CSCI49",IF(A2307="RID_HCPTM","CHCPT_",IF(LEFT(A2307,1)="C",A2307,MID(A2307,6,LEN(A2307)-5)))))</f>
        <v>#VALUE!</v>
      </c>
      <c r="H2307" s="63" t="e">
        <f t="shared" ref="H2307:H2370" si="73">IF(OR(G2307="MJG1",G2307="MJG2"),"MJG",G2307)&amp;"_"&amp;B2307</f>
        <v>#VALUE!</v>
      </c>
    </row>
    <row r="2308" spans="7:8">
      <c r="G2308" s="63" t="e">
        <f t="shared" si="72"/>
        <v>#VALUE!</v>
      </c>
      <c r="H2308" s="63" t="e">
        <f t="shared" si="73"/>
        <v>#VALUE!</v>
      </c>
    </row>
    <row r="2309" spans="7:8">
      <c r="G2309" s="63" t="e">
        <f t="shared" si="72"/>
        <v>#VALUE!</v>
      </c>
      <c r="H2309" s="63" t="e">
        <f t="shared" si="73"/>
        <v>#VALUE!</v>
      </c>
    </row>
    <row r="2310" spans="7:8">
      <c r="G2310" s="63" t="e">
        <f t="shared" si="72"/>
        <v>#VALUE!</v>
      </c>
      <c r="H2310" s="63" t="e">
        <f t="shared" si="73"/>
        <v>#VALUE!</v>
      </c>
    </row>
    <row r="2311" spans="7:8">
      <c r="G2311" s="63" t="e">
        <f t="shared" si="72"/>
        <v>#VALUE!</v>
      </c>
      <c r="H2311" s="63" t="e">
        <f t="shared" si="73"/>
        <v>#VALUE!</v>
      </c>
    </row>
    <row r="2312" spans="7:8">
      <c r="G2312" s="63" t="e">
        <f t="shared" si="72"/>
        <v>#VALUE!</v>
      </c>
      <c r="H2312" s="63" t="e">
        <f t="shared" si="73"/>
        <v>#VALUE!</v>
      </c>
    </row>
    <row r="2313" spans="7:8">
      <c r="G2313" s="63" t="e">
        <f t="shared" si="72"/>
        <v>#VALUE!</v>
      </c>
      <c r="H2313" s="63" t="e">
        <f t="shared" si="73"/>
        <v>#VALUE!</v>
      </c>
    </row>
    <row r="2314" spans="7:8">
      <c r="G2314" s="63" t="e">
        <f t="shared" si="72"/>
        <v>#VALUE!</v>
      </c>
      <c r="H2314" s="63" t="e">
        <f t="shared" si="73"/>
        <v>#VALUE!</v>
      </c>
    </row>
    <row r="2315" spans="7:8">
      <c r="G2315" s="63" t="e">
        <f t="shared" si="72"/>
        <v>#VALUE!</v>
      </c>
      <c r="H2315" s="63" t="e">
        <f t="shared" si="73"/>
        <v>#VALUE!</v>
      </c>
    </row>
    <row r="2316" spans="7:8">
      <c r="G2316" s="63" t="e">
        <f t="shared" si="72"/>
        <v>#VALUE!</v>
      </c>
      <c r="H2316" s="63" t="e">
        <f t="shared" si="73"/>
        <v>#VALUE!</v>
      </c>
    </row>
    <row r="2317" spans="7:8">
      <c r="G2317" s="63" t="e">
        <f t="shared" si="72"/>
        <v>#VALUE!</v>
      </c>
      <c r="H2317" s="63" t="e">
        <f t="shared" si="73"/>
        <v>#VALUE!</v>
      </c>
    </row>
    <row r="2318" spans="7:8">
      <c r="G2318" s="63" t="e">
        <f t="shared" si="72"/>
        <v>#VALUE!</v>
      </c>
      <c r="H2318" s="63" t="e">
        <f t="shared" si="73"/>
        <v>#VALUE!</v>
      </c>
    </row>
    <row r="2319" spans="7:8">
      <c r="G2319" s="63" t="e">
        <f t="shared" si="72"/>
        <v>#VALUE!</v>
      </c>
      <c r="H2319" s="63" t="e">
        <f t="shared" si="73"/>
        <v>#VALUE!</v>
      </c>
    </row>
    <row r="2320" spans="7:8">
      <c r="G2320" s="63" t="e">
        <f t="shared" si="72"/>
        <v>#VALUE!</v>
      </c>
      <c r="H2320" s="63" t="e">
        <f t="shared" si="73"/>
        <v>#VALUE!</v>
      </c>
    </row>
    <row r="2321" spans="7:8">
      <c r="G2321" s="63" t="e">
        <f t="shared" si="72"/>
        <v>#VALUE!</v>
      </c>
      <c r="H2321" s="63" t="e">
        <f t="shared" si="73"/>
        <v>#VALUE!</v>
      </c>
    </row>
    <row r="2322" spans="7:8">
      <c r="G2322" s="63" t="e">
        <f t="shared" si="72"/>
        <v>#VALUE!</v>
      </c>
      <c r="H2322" s="63" t="e">
        <f t="shared" si="73"/>
        <v>#VALUE!</v>
      </c>
    </row>
    <row r="2323" spans="7:8">
      <c r="G2323" s="63" t="e">
        <f t="shared" si="72"/>
        <v>#VALUE!</v>
      </c>
      <c r="H2323" s="63" t="e">
        <f t="shared" si="73"/>
        <v>#VALUE!</v>
      </c>
    </row>
    <row r="2324" spans="7:8">
      <c r="G2324" s="63" t="e">
        <f t="shared" si="72"/>
        <v>#VALUE!</v>
      </c>
      <c r="H2324" s="63" t="e">
        <f t="shared" si="73"/>
        <v>#VALUE!</v>
      </c>
    </row>
    <row r="2325" spans="7:8">
      <c r="G2325" s="63" t="e">
        <f t="shared" si="72"/>
        <v>#VALUE!</v>
      </c>
      <c r="H2325" s="63" t="e">
        <f t="shared" si="73"/>
        <v>#VALUE!</v>
      </c>
    </row>
    <row r="2326" spans="7:8">
      <c r="G2326" s="63" t="e">
        <f t="shared" si="72"/>
        <v>#VALUE!</v>
      </c>
      <c r="H2326" s="63" t="e">
        <f t="shared" si="73"/>
        <v>#VALUE!</v>
      </c>
    </row>
    <row r="2327" spans="7:8">
      <c r="G2327" s="63" t="e">
        <f t="shared" si="72"/>
        <v>#VALUE!</v>
      </c>
      <c r="H2327" s="63" t="e">
        <f t="shared" si="73"/>
        <v>#VALUE!</v>
      </c>
    </row>
    <row r="2328" spans="7:8">
      <c r="G2328" s="63" t="e">
        <f t="shared" si="72"/>
        <v>#VALUE!</v>
      </c>
      <c r="H2328" s="63" t="e">
        <f t="shared" si="73"/>
        <v>#VALUE!</v>
      </c>
    </row>
    <row r="2329" spans="7:8">
      <c r="G2329" s="63" t="e">
        <f t="shared" si="72"/>
        <v>#VALUE!</v>
      </c>
      <c r="H2329" s="63" t="e">
        <f t="shared" si="73"/>
        <v>#VALUE!</v>
      </c>
    </row>
    <row r="2330" spans="7:8">
      <c r="G2330" s="63" t="e">
        <f t="shared" si="72"/>
        <v>#VALUE!</v>
      </c>
      <c r="H2330" s="63" t="e">
        <f t="shared" si="73"/>
        <v>#VALUE!</v>
      </c>
    </row>
    <row r="2331" spans="7:8">
      <c r="G2331" s="63" t="e">
        <f t="shared" si="72"/>
        <v>#VALUE!</v>
      </c>
      <c r="H2331" s="63" t="e">
        <f t="shared" si="73"/>
        <v>#VALUE!</v>
      </c>
    </row>
    <row r="2332" spans="7:8">
      <c r="G2332" s="63" t="e">
        <f t="shared" si="72"/>
        <v>#VALUE!</v>
      </c>
      <c r="H2332" s="63" t="e">
        <f t="shared" si="73"/>
        <v>#VALUE!</v>
      </c>
    </row>
    <row r="2333" spans="7:8">
      <c r="G2333" s="63" t="e">
        <f t="shared" si="72"/>
        <v>#VALUE!</v>
      </c>
      <c r="H2333" s="63" t="e">
        <f t="shared" si="73"/>
        <v>#VALUE!</v>
      </c>
    </row>
    <row r="2334" spans="7:8">
      <c r="G2334" s="63" t="e">
        <f t="shared" si="72"/>
        <v>#VALUE!</v>
      </c>
      <c r="H2334" s="63" t="e">
        <f t="shared" si="73"/>
        <v>#VALUE!</v>
      </c>
    </row>
    <row r="2335" spans="7:8">
      <c r="G2335" s="63" t="e">
        <f t="shared" si="72"/>
        <v>#VALUE!</v>
      </c>
      <c r="H2335" s="63" t="e">
        <f t="shared" si="73"/>
        <v>#VALUE!</v>
      </c>
    </row>
    <row r="2336" spans="7:8">
      <c r="G2336" s="63" t="e">
        <f t="shared" si="72"/>
        <v>#VALUE!</v>
      </c>
      <c r="H2336" s="63" t="e">
        <f t="shared" si="73"/>
        <v>#VALUE!</v>
      </c>
    </row>
    <row r="2337" spans="7:8">
      <c r="G2337" s="63" t="e">
        <f t="shared" si="72"/>
        <v>#VALUE!</v>
      </c>
      <c r="H2337" s="63" t="e">
        <f t="shared" si="73"/>
        <v>#VALUE!</v>
      </c>
    </row>
    <row r="2338" spans="7:8">
      <c r="G2338" s="63" t="e">
        <f t="shared" si="72"/>
        <v>#VALUE!</v>
      </c>
      <c r="H2338" s="63" t="e">
        <f t="shared" si="73"/>
        <v>#VALUE!</v>
      </c>
    </row>
    <row r="2339" spans="7:8">
      <c r="G2339" s="63" t="e">
        <f t="shared" si="72"/>
        <v>#VALUE!</v>
      </c>
      <c r="H2339" s="63" t="e">
        <f t="shared" si="73"/>
        <v>#VALUE!</v>
      </c>
    </row>
    <row r="2340" spans="7:8">
      <c r="G2340" s="63" t="e">
        <f t="shared" si="72"/>
        <v>#VALUE!</v>
      </c>
      <c r="H2340" s="63" t="e">
        <f t="shared" si="73"/>
        <v>#VALUE!</v>
      </c>
    </row>
    <row r="2341" spans="7:8">
      <c r="G2341" s="63" t="e">
        <f t="shared" si="72"/>
        <v>#VALUE!</v>
      </c>
      <c r="H2341" s="63" t="e">
        <f t="shared" si="73"/>
        <v>#VALUE!</v>
      </c>
    </row>
    <row r="2342" spans="7:8">
      <c r="G2342" s="63" t="e">
        <f t="shared" si="72"/>
        <v>#VALUE!</v>
      </c>
      <c r="H2342" s="63" t="e">
        <f t="shared" si="73"/>
        <v>#VALUE!</v>
      </c>
    </row>
    <row r="2343" spans="7:8">
      <c r="G2343" s="63" t="e">
        <f t="shared" si="72"/>
        <v>#VALUE!</v>
      </c>
      <c r="H2343" s="63" t="e">
        <f t="shared" si="73"/>
        <v>#VALUE!</v>
      </c>
    </row>
    <row r="2344" spans="7:8">
      <c r="G2344" s="63" t="e">
        <f t="shared" si="72"/>
        <v>#VALUE!</v>
      </c>
      <c r="H2344" s="63" t="e">
        <f t="shared" si="73"/>
        <v>#VALUE!</v>
      </c>
    </row>
    <row r="2345" spans="7:8">
      <c r="G2345" s="63" t="e">
        <f t="shared" si="72"/>
        <v>#VALUE!</v>
      </c>
      <c r="H2345" s="63" t="e">
        <f t="shared" si="73"/>
        <v>#VALUE!</v>
      </c>
    </row>
    <row r="2346" spans="7:8">
      <c r="G2346" s="63" t="e">
        <f t="shared" si="72"/>
        <v>#VALUE!</v>
      </c>
      <c r="H2346" s="63" t="e">
        <f t="shared" si="73"/>
        <v>#VALUE!</v>
      </c>
    </row>
    <row r="2347" spans="7:8">
      <c r="G2347" s="63" t="e">
        <f t="shared" si="72"/>
        <v>#VALUE!</v>
      </c>
      <c r="H2347" s="63" t="e">
        <f t="shared" si="73"/>
        <v>#VALUE!</v>
      </c>
    </row>
    <row r="2348" spans="7:8">
      <c r="G2348" s="63" t="e">
        <f t="shared" si="72"/>
        <v>#VALUE!</v>
      </c>
      <c r="H2348" s="63" t="e">
        <f t="shared" si="73"/>
        <v>#VALUE!</v>
      </c>
    </row>
    <row r="2349" spans="7:8">
      <c r="G2349" s="63" t="e">
        <f t="shared" si="72"/>
        <v>#VALUE!</v>
      </c>
      <c r="H2349" s="63" t="e">
        <f t="shared" si="73"/>
        <v>#VALUE!</v>
      </c>
    </row>
    <row r="2350" spans="7:8">
      <c r="G2350" s="63" t="e">
        <f t="shared" si="72"/>
        <v>#VALUE!</v>
      </c>
      <c r="H2350" s="63" t="e">
        <f t="shared" si="73"/>
        <v>#VALUE!</v>
      </c>
    </row>
    <row r="2351" spans="7:8">
      <c r="G2351" s="63" t="e">
        <f t="shared" si="72"/>
        <v>#VALUE!</v>
      </c>
      <c r="H2351" s="63" t="e">
        <f t="shared" si="73"/>
        <v>#VALUE!</v>
      </c>
    </row>
    <row r="2352" spans="7:8">
      <c r="G2352" s="63" t="e">
        <f t="shared" si="72"/>
        <v>#VALUE!</v>
      </c>
      <c r="H2352" s="63" t="e">
        <f t="shared" si="73"/>
        <v>#VALUE!</v>
      </c>
    </row>
    <row r="2353" spans="7:8">
      <c r="G2353" s="63" t="e">
        <f t="shared" si="72"/>
        <v>#VALUE!</v>
      </c>
      <c r="H2353" s="63" t="e">
        <f t="shared" si="73"/>
        <v>#VALUE!</v>
      </c>
    </row>
    <row r="2354" spans="7:8">
      <c r="G2354" s="63" t="e">
        <f t="shared" si="72"/>
        <v>#VALUE!</v>
      </c>
      <c r="H2354" s="63" t="e">
        <f t="shared" si="73"/>
        <v>#VALUE!</v>
      </c>
    </row>
    <row r="2355" spans="7:8">
      <c r="G2355" s="63" t="e">
        <f t="shared" si="72"/>
        <v>#VALUE!</v>
      </c>
      <c r="H2355" s="63" t="e">
        <f t="shared" si="73"/>
        <v>#VALUE!</v>
      </c>
    </row>
    <row r="2356" spans="7:8">
      <c r="G2356" s="63" t="e">
        <f t="shared" si="72"/>
        <v>#VALUE!</v>
      </c>
      <c r="H2356" s="63" t="e">
        <f t="shared" si="73"/>
        <v>#VALUE!</v>
      </c>
    </row>
    <row r="2357" spans="7:8">
      <c r="G2357" s="63" t="e">
        <f t="shared" si="72"/>
        <v>#VALUE!</v>
      </c>
      <c r="H2357" s="63" t="e">
        <f t="shared" si="73"/>
        <v>#VALUE!</v>
      </c>
    </row>
    <row r="2358" spans="7:8">
      <c r="G2358" s="63" t="e">
        <f t="shared" si="72"/>
        <v>#VALUE!</v>
      </c>
      <c r="H2358" s="63" t="e">
        <f t="shared" si="73"/>
        <v>#VALUE!</v>
      </c>
    </row>
    <row r="2359" spans="7:8">
      <c r="G2359" s="63" t="e">
        <f t="shared" si="72"/>
        <v>#VALUE!</v>
      </c>
      <c r="H2359" s="63" t="e">
        <f t="shared" si="73"/>
        <v>#VALUE!</v>
      </c>
    </row>
    <row r="2360" spans="7:8">
      <c r="G2360" s="63" t="e">
        <f t="shared" si="72"/>
        <v>#VALUE!</v>
      </c>
      <c r="H2360" s="63" t="e">
        <f t="shared" si="73"/>
        <v>#VALUE!</v>
      </c>
    </row>
    <row r="2361" spans="7:8">
      <c r="G2361" s="63" t="e">
        <f t="shared" si="72"/>
        <v>#VALUE!</v>
      </c>
      <c r="H2361" s="63" t="e">
        <f t="shared" si="73"/>
        <v>#VALUE!</v>
      </c>
    </row>
    <row r="2362" spans="7:8">
      <c r="G2362" s="63" t="e">
        <f t="shared" si="72"/>
        <v>#VALUE!</v>
      </c>
      <c r="H2362" s="63" t="e">
        <f t="shared" si="73"/>
        <v>#VALUE!</v>
      </c>
    </row>
    <row r="2363" spans="7:8">
      <c r="G2363" s="63" t="e">
        <f t="shared" si="72"/>
        <v>#VALUE!</v>
      </c>
      <c r="H2363" s="63" t="e">
        <f t="shared" si="73"/>
        <v>#VALUE!</v>
      </c>
    </row>
    <row r="2364" spans="7:8">
      <c r="G2364" s="63" t="e">
        <f t="shared" si="72"/>
        <v>#VALUE!</v>
      </c>
      <c r="H2364" s="63" t="e">
        <f t="shared" si="73"/>
        <v>#VALUE!</v>
      </c>
    </row>
    <row r="2365" spans="7:8">
      <c r="G2365" s="63" t="e">
        <f t="shared" si="72"/>
        <v>#VALUE!</v>
      </c>
      <c r="H2365" s="63" t="e">
        <f t="shared" si="73"/>
        <v>#VALUE!</v>
      </c>
    </row>
    <row r="2366" spans="7:8">
      <c r="G2366" s="63" t="e">
        <f t="shared" si="72"/>
        <v>#VALUE!</v>
      </c>
      <c r="H2366" s="63" t="e">
        <f t="shared" si="73"/>
        <v>#VALUE!</v>
      </c>
    </row>
    <row r="2367" spans="7:8">
      <c r="G2367" s="63" t="e">
        <f t="shared" si="72"/>
        <v>#VALUE!</v>
      </c>
      <c r="H2367" s="63" t="e">
        <f t="shared" si="73"/>
        <v>#VALUE!</v>
      </c>
    </row>
    <row r="2368" spans="7:8">
      <c r="G2368" s="63" t="e">
        <f t="shared" si="72"/>
        <v>#VALUE!</v>
      </c>
      <c r="H2368" s="63" t="e">
        <f t="shared" si="73"/>
        <v>#VALUE!</v>
      </c>
    </row>
    <row r="2369" spans="7:8">
      <c r="G2369" s="63" t="e">
        <f t="shared" si="72"/>
        <v>#VALUE!</v>
      </c>
      <c r="H2369" s="63" t="e">
        <f t="shared" si="73"/>
        <v>#VALUE!</v>
      </c>
    </row>
    <row r="2370" spans="7:8">
      <c r="G2370" s="63" t="e">
        <f t="shared" si="72"/>
        <v>#VALUE!</v>
      </c>
      <c r="H2370" s="63" t="e">
        <f t="shared" si="73"/>
        <v>#VALUE!</v>
      </c>
    </row>
    <row r="2371" spans="7:8">
      <c r="G2371" s="63" t="e">
        <f t="shared" ref="G2371:G2434" si="74">IF(OR(A2371="RID_PB77",A2371="RID_PB77A3"),"WPCI77",IF(A2371="RIDTCIAS","CSCI49",IF(A2371="RID_HCPTM","CHCPT_",IF(LEFT(A2371,1)="C",A2371,MID(A2371,6,LEN(A2371)-5)))))</f>
        <v>#VALUE!</v>
      </c>
      <c r="H2371" s="63" t="e">
        <f t="shared" ref="H2371:H2434" si="75">IF(OR(G2371="MJG1",G2371="MJG2"),"MJG",G2371)&amp;"_"&amp;B2371</f>
        <v>#VALUE!</v>
      </c>
    </row>
    <row r="2372" spans="7:8">
      <c r="G2372" s="63" t="e">
        <f t="shared" si="74"/>
        <v>#VALUE!</v>
      </c>
      <c r="H2372" s="63" t="e">
        <f t="shared" si="75"/>
        <v>#VALUE!</v>
      </c>
    </row>
    <row r="2373" spans="7:8">
      <c r="G2373" s="63" t="e">
        <f t="shared" si="74"/>
        <v>#VALUE!</v>
      </c>
      <c r="H2373" s="63" t="e">
        <f t="shared" si="75"/>
        <v>#VALUE!</v>
      </c>
    </row>
    <row r="2374" spans="7:8">
      <c r="G2374" s="63" t="e">
        <f t="shared" si="74"/>
        <v>#VALUE!</v>
      </c>
      <c r="H2374" s="63" t="e">
        <f t="shared" si="75"/>
        <v>#VALUE!</v>
      </c>
    </row>
    <row r="2375" spans="7:8">
      <c r="G2375" s="63" t="e">
        <f t="shared" si="74"/>
        <v>#VALUE!</v>
      </c>
      <c r="H2375" s="63" t="e">
        <f t="shared" si="75"/>
        <v>#VALUE!</v>
      </c>
    </row>
    <row r="2376" spans="7:8">
      <c r="G2376" s="63" t="e">
        <f t="shared" si="74"/>
        <v>#VALUE!</v>
      </c>
      <c r="H2376" s="63" t="e">
        <f t="shared" si="75"/>
        <v>#VALUE!</v>
      </c>
    </row>
    <row r="2377" spans="7:8">
      <c r="G2377" s="63" t="e">
        <f t="shared" si="74"/>
        <v>#VALUE!</v>
      </c>
      <c r="H2377" s="63" t="e">
        <f t="shared" si="75"/>
        <v>#VALUE!</v>
      </c>
    </row>
    <row r="2378" spans="7:8">
      <c r="G2378" s="63" t="e">
        <f t="shared" si="74"/>
        <v>#VALUE!</v>
      </c>
      <c r="H2378" s="63" t="e">
        <f t="shared" si="75"/>
        <v>#VALUE!</v>
      </c>
    </row>
    <row r="2379" spans="7:8">
      <c r="G2379" s="63" t="e">
        <f t="shared" si="74"/>
        <v>#VALUE!</v>
      </c>
      <c r="H2379" s="63" t="e">
        <f t="shared" si="75"/>
        <v>#VALUE!</v>
      </c>
    </row>
    <row r="2380" spans="7:8">
      <c r="G2380" s="63" t="e">
        <f t="shared" si="74"/>
        <v>#VALUE!</v>
      </c>
      <c r="H2380" s="63" t="e">
        <f t="shared" si="75"/>
        <v>#VALUE!</v>
      </c>
    </row>
    <row r="2381" spans="7:8">
      <c r="G2381" s="63" t="e">
        <f t="shared" si="74"/>
        <v>#VALUE!</v>
      </c>
      <c r="H2381" s="63" t="e">
        <f t="shared" si="75"/>
        <v>#VALUE!</v>
      </c>
    </row>
    <row r="2382" spans="7:8">
      <c r="G2382" s="63" t="e">
        <f t="shared" si="74"/>
        <v>#VALUE!</v>
      </c>
      <c r="H2382" s="63" t="e">
        <f t="shared" si="75"/>
        <v>#VALUE!</v>
      </c>
    </row>
    <row r="2383" spans="7:8">
      <c r="G2383" s="63" t="e">
        <f t="shared" si="74"/>
        <v>#VALUE!</v>
      </c>
      <c r="H2383" s="63" t="e">
        <f t="shared" si="75"/>
        <v>#VALUE!</v>
      </c>
    </row>
    <row r="2384" spans="7:8">
      <c r="G2384" s="63" t="e">
        <f t="shared" si="74"/>
        <v>#VALUE!</v>
      </c>
      <c r="H2384" s="63" t="e">
        <f t="shared" si="75"/>
        <v>#VALUE!</v>
      </c>
    </row>
    <row r="2385" spans="7:8">
      <c r="G2385" s="63" t="e">
        <f t="shared" si="74"/>
        <v>#VALUE!</v>
      </c>
      <c r="H2385" s="63" t="e">
        <f t="shared" si="75"/>
        <v>#VALUE!</v>
      </c>
    </row>
    <row r="2386" spans="7:8">
      <c r="G2386" s="63" t="e">
        <f t="shared" si="74"/>
        <v>#VALUE!</v>
      </c>
      <c r="H2386" s="63" t="e">
        <f t="shared" si="75"/>
        <v>#VALUE!</v>
      </c>
    </row>
    <row r="2387" spans="7:8">
      <c r="G2387" s="63" t="e">
        <f t="shared" si="74"/>
        <v>#VALUE!</v>
      </c>
      <c r="H2387" s="63" t="e">
        <f t="shared" si="75"/>
        <v>#VALUE!</v>
      </c>
    </row>
    <row r="2388" spans="7:8">
      <c r="G2388" s="63" t="e">
        <f t="shared" si="74"/>
        <v>#VALUE!</v>
      </c>
      <c r="H2388" s="63" t="e">
        <f t="shared" si="75"/>
        <v>#VALUE!</v>
      </c>
    </row>
    <row r="2389" spans="7:8">
      <c r="G2389" s="63" t="e">
        <f t="shared" si="74"/>
        <v>#VALUE!</v>
      </c>
      <c r="H2389" s="63" t="e">
        <f t="shared" si="75"/>
        <v>#VALUE!</v>
      </c>
    </row>
    <row r="2390" spans="7:8">
      <c r="G2390" s="63" t="e">
        <f t="shared" si="74"/>
        <v>#VALUE!</v>
      </c>
      <c r="H2390" s="63" t="e">
        <f t="shared" si="75"/>
        <v>#VALUE!</v>
      </c>
    </row>
    <row r="2391" spans="7:8">
      <c r="G2391" s="63" t="e">
        <f t="shared" si="74"/>
        <v>#VALUE!</v>
      </c>
      <c r="H2391" s="63" t="e">
        <f t="shared" si="75"/>
        <v>#VALUE!</v>
      </c>
    </row>
    <row r="2392" spans="7:8">
      <c r="G2392" s="63" t="e">
        <f t="shared" si="74"/>
        <v>#VALUE!</v>
      </c>
      <c r="H2392" s="63" t="e">
        <f t="shared" si="75"/>
        <v>#VALUE!</v>
      </c>
    </row>
    <row r="2393" spans="7:8">
      <c r="G2393" s="63" t="e">
        <f t="shared" si="74"/>
        <v>#VALUE!</v>
      </c>
      <c r="H2393" s="63" t="e">
        <f t="shared" si="75"/>
        <v>#VALUE!</v>
      </c>
    </row>
    <row r="2394" spans="7:8">
      <c r="G2394" s="63" t="e">
        <f t="shared" si="74"/>
        <v>#VALUE!</v>
      </c>
      <c r="H2394" s="63" t="e">
        <f t="shared" si="75"/>
        <v>#VALUE!</v>
      </c>
    </row>
    <row r="2395" spans="7:8">
      <c r="G2395" s="63" t="e">
        <f t="shared" si="74"/>
        <v>#VALUE!</v>
      </c>
      <c r="H2395" s="63" t="e">
        <f t="shared" si="75"/>
        <v>#VALUE!</v>
      </c>
    </row>
    <row r="2396" spans="7:8">
      <c r="G2396" s="63" t="e">
        <f t="shared" si="74"/>
        <v>#VALUE!</v>
      </c>
      <c r="H2396" s="63" t="e">
        <f t="shared" si="75"/>
        <v>#VALUE!</v>
      </c>
    </row>
    <row r="2397" spans="7:8">
      <c r="G2397" s="63" t="e">
        <f t="shared" si="74"/>
        <v>#VALUE!</v>
      </c>
      <c r="H2397" s="63" t="e">
        <f t="shared" si="75"/>
        <v>#VALUE!</v>
      </c>
    </row>
    <row r="2398" spans="7:8">
      <c r="G2398" s="63" t="e">
        <f t="shared" si="74"/>
        <v>#VALUE!</v>
      </c>
      <c r="H2398" s="63" t="e">
        <f t="shared" si="75"/>
        <v>#VALUE!</v>
      </c>
    </row>
    <row r="2399" spans="7:8">
      <c r="G2399" s="63" t="e">
        <f t="shared" si="74"/>
        <v>#VALUE!</v>
      </c>
      <c r="H2399" s="63" t="e">
        <f t="shared" si="75"/>
        <v>#VALUE!</v>
      </c>
    </row>
    <row r="2400" spans="7:8">
      <c r="G2400" s="63" t="e">
        <f t="shared" si="74"/>
        <v>#VALUE!</v>
      </c>
      <c r="H2400" s="63" t="e">
        <f t="shared" si="75"/>
        <v>#VALUE!</v>
      </c>
    </row>
    <row r="2401" spans="7:8">
      <c r="G2401" s="63" t="e">
        <f t="shared" si="74"/>
        <v>#VALUE!</v>
      </c>
      <c r="H2401" s="63" t="e">
        <f t="shared" si="75"/>
        <v>#VALUE!</v>
      </c>
    </row>
    <row r="2402" spans="7:8">
      <c r="G2402" s="63" t="e">
        <f t="shared" si="74"/>
        <v>#VALUE!</v>
      </c>
      <c r="H2402" s="63" t="e">
        <f t="shared" si="75"/>
        <v>#VALUE!</v>
      </c>
    </row>
    <row r="2403" spans="7:8">
      <c r="G2403" s="63" t="e">
        <f t="shared" si="74"/>
        <v>#VALUE!</v>
      </c>
      <c r="H2403" s="63" t="e">
        <f t="shared" si="75"/>
        <v>#VALUE!</v>
      </c>
    </row>
    <row r="2404" spans="7:8">
      <c r="G2404" s="63" t="e">
        <f t="shared" si="74"/>
        <v>#VALUE!</v>
      </c>
      <c r="H2404" s="63" t="e">
        <f t="shared" si="75"/>
        <v>#VALUE!</v>
      </c>
    </row>
    <row r="2405" spans="7:8">
      <c r="G2405" s="63" t="e">
        <f t="shared" si="74"/>
        <v>#VALUE!</v>
      </c>
      <c r="H2405" s="63" t="e">
        <f t="shared" si="75"/>
        <v>#VALUE!</v>
      </c>
    </row>
    <row r="2406" spans="7:8">
      <c r="G2406" s="63" t="e">
        <f t="shared" si="74"/>
        <v>#VALUE!</v>
      </c>
      <c r="H2406" s="63" t="e">
        <f t="shared" si="75"/>
        <v>#VALUE!</v>
      </c>
    </row>
    <row r="2407" spans="7:8">
      <c r="G2407" s="63" t="e">
        <f t="shared" si="74"/>
        <v>#VALUE!</v>
      </c>
      <c r="H2407" s="63" t="e">
        <f t="shared" si="75"/>
        <v>#VALUE!</v>
      </c>
    </row>
    <row r="2408" spans="7:8">
      <c r="G2408" s="63" t="e">
        <f t="shared" si="74"/>
        <v>#VALUE!</v>
      </c>
      <c r="H2408" s="63" t="e">
        <f t="shared" si="75"/>
        <v>#VALUE!</v>
      </c>
    </row>
    <row r="2409" spans="7:8">
      <c r="G2409" s="63" t="e">
        <f t="shared" si="74"/>
        <v>#VALUE!</v>
      </c>
      <c r="H2409" s="63" t="e">
        <f t="shared" si="75"/>
        <v>#VALUE!</v>
      </c>
    </row>
    <row r="2410" spans="7:8">
      <c r="G2410" s="63" t="e">
        <f t="shared" si="74"/>
        <v>#VALUE!</v>
      </c>
      <c r="H2410" s="63" t="e">
        <f t="shared" si="75"/>
        <v>#VALUE!</v>
      </c>
    </row>
    <row r="2411" spans="7:8">
      <c r="G2411" s="63" t="e">
        <f t="shared" si="74"/>
        <v>#VALUE!</v>
      </c>
      <c r="H2411" s="63" t="e">
        <f t="shared" si="75"/>
        <v>#VALUE!</v>
      </c>
    </row>
    <row r="2412" spans="7:8">
      <c r="G2412" s="63" t="e">
        <f t="shared" si="74"/>
        <v>#VALUE!</v>
      </c>
      <c r="H2412" s="63" t="e">
        <f t="shared" si="75"/>
        <v>#VALUE!</v>
      </c>
    </row>
    <row r="2413" spans="7:8">
      <c r="G2413" s="63" t="e">
        <f t="shared" si="74"/>
        <v>#VALUE!</v>
      </c>
      <c r="H2413" s="63" t="e">
        <f t="shared" si="75"/>
        <v>#VALUE!</v>
      </c>
    </row>
    <row r="2414" spans="7:8">
      <c r="G2414" s="63" t="e">
        <f t="shared" si="74"/>
        <v>#VALUE!</v>
      </c>
      <c r="H2414" s="63" t="e">
        <f t="shared" si="75"/>
        <v>#VALUE!</v>
      </c>
    </row>
    <row r="2415" spans="7:8">
      <c r="G2415" s="63" t="e">
        <f t="shared" si="74"/>
        <v>#VALUE!</v>
      </c>
      <c r="H2415" s="63" t="e">
        <f t="shared" si="75"/>
        <v>#VALUE!</v>
      </c>
    </row>
    <row r="2416" spans="7:8">
      <c r="G2416" s="63" t="e">
        <f t="shared" si="74"/>
        <v>#VALUE!</v>
      </c>
      <c r="H2416" s="63" t="e">
        <f t="shared" si="75"/>
        <v>#VALUE!</v>
      </c>
    </row>
    <row r="2417" spans="7:8">
      <c r="G2417" s="63" t="e">
        <f t="shared" si="74"/>
        <v>#VALUE!</v>
      </c>
      <c r="H2417" s="63" t="e">
        <f t="shared" si="75"/>
        <v>#VALUE!</v>
      </c>
    </row>
    <row r="2418" spans="7:8">
      <c r="G2418" s="63" t="e">
        <f t="shared" si="74"/>
        <v>#VALUE!</v>
      </c>
      <c r="H2418" s="63" t="e">
        <f t="shared" si="75"/>
        <v>#VALUE!</v>
      </c>
    </row>
    <row r="2419" spans="7:8">
      <c r="G2419" s="63" t="e">
        <f t="shared" si="74"/>
        <v>#VALUE!</v>
      </c>
      <c r="H2419" s="63" t="e">
        <f t="shared" si="75"/>
        <v>#VALUE!</v>
      </c>
    </row>
    <row r="2420" spans="7:8">
      <c r="G2420" s="63" t="e">
        <f t="shared" si="74"/>
        <v>#VALUE!</v>
      </c>
      <c r="H2420" s="63" t="e">
        <f t="shared" si="75"/>
        <v>#VALUE!</v>
      </c>
    </row>
    <row r="2421" spans="7:8">
      <c r="G2421" s="63" t="e">
        <f t="shared" si="74"/>
        <v>#VALUE!</v>
      </c>
      <c r="H2421" s="63" t="e">
        <f t="shared" si="75"/>
        <v>#VALUE!</v>
      </c>
    </row>
    <row r="2422" spans="7:8">
      <c r="G2422" s="63" t="e">
        <f t="shared" si="74"/>
        <v>#VALUE!</v>
      </c>
      <c r="H2422" s="63" t="e">
        <f t="shared" si="75"/>
        <v>#VALUE!</v>
      </c>
    </row>
    <row r="2423" spans="7:8">
      <c r="G2423" s="63" t="e">
        <f t="shared" si="74"/>
        <v>#VALUE!</v>
      </c>
      <c r="H2423" s="63" t="e">
        <f t="shared" si="75"/>
        <v>#VALUE!</v>
      </c>
    </row>
    <row r="2424" spans="7:8">
      <c r="G2424" s="63" t="e">
        <f t="shared" si="74"/>
        <v>#VALUE!</v>
      </c>
      <c r="H2424" s="63" t="e">
        <f t="shared" si="75"/>
        <v>#VALUE!</v>
      </c>
    </row>
    <row r="2425" spans="7:8">
      <c r="G2425" s="63" t="e">
        <f t="shared" si="74"/>
        <v>#VALUE!</v>
      </c>
      <c r="H2425" s="63" t="e">
        <f t="shared" si="75"/>
        <v>#VALUE!</v>
      </c>
    </row>
    <row r="2426" spans="7:8">
      <c r="G2426" s="63" t="e">
        <f t="shared" si="74"/>
        <v>#VALUE!</v>
      </c>
      <c r="H2426" s="63" t="e">
        <f t="shared" si="75"/>
        <v>#VALUE!</v>
      </c>
    </row>
    <row r="2427" spans="7:8">
      <c r="G2427" s="63" t="e">
        <f t="shared" si="74"/>
        <v>#VALUE!</v>
      </c>
      <c r="H2427" s="63" t="e">
        <f t="shared" si="75"/>
        <v>#VALUE!</v>
      </c>
    </row>
    <row r="2428" spans="7:8">
      <c r="G2428" s="63" t="e">
        <f t="shared" si="74"/>
        <v>#VALUE!</v>
      </c>
      <c r="H2428" s="63" t="e">
        <f t="shared" si="75"/>
        <v>#VALUE!</v>
      </c>
    </row>
    <row r="2429" spans="7:8">
      <c r="G2429" s="63" t="e">
        <f t="shared" si="74"/>
        <v>#VALUE!</v>
      </c>
      <c r="H2429" s="63" t="e">
        <f t="shared" si="75"/>
        <v>#VALUE!</v>
      </c>
    </row>
    <row r="2430" spans="7:8">
      <c r="G2430" s="63" t="e">
        <f t="shared" si="74"/>
        <v>#VALUE!</v>
      </c>
      <c r="H2430" s="63" t="e">
        <f t="shared" si="75"/>
        <v>#VALUE!</v>
      </c>
    </row>
    <row r="2431" spans="7:8">
      <c r="G2431" s="63" t="e">
        <f t="shared" si="74"/>
        <v>#VALUE!</v>
      </c>
      <c r="H2431" s="63" t="e">
        <f t="shared" si="75"/>
        <v>#VALUE!</v>
      </c>
    </row>
    <row r="2432" spans="7:8">
      <c r="G2432" s="63" t="e">
        <f t="shared" si="74"/>
        <v>#VALUE!</v>
      </c>
      <c r="H2432" s="63" t="e">
        <f t="shared" si="75"/>
        <v>#VALUE!</v>
      </c>
    </row>
    <row r="2433" spans="7:8">
      <c r="G2433" s="63" t="e">
        <f t="shared" si="74"/>
        <v>#VALUE!</v>
      </c>
      <c r="H2433" s="63" t="e">
        <f t="shared" si="75"/>
        <v>#VALUE!</v>
      </c>
    </row>
    <row r="2434" spans="7:8">
      <c r="G2434" s="63" t="e">
        <f t="shared" si="74"/>
        <v>#VALUE!</v>
      </c>
      <c r="H2434" s="63" t="e">
        <f t="shared" si="75"/>
        <v>#VALUE!</v>
      </c>
    </row>
    <row r="2435" spans="7:8">
      <c r="G2435" s="63" t="e">
        <f t="shared" ref="G2435:G2498" si="76">IF(OR(A2435="RID_PB77",A2435="RID_PB77A3"),"WPCI77",IF(A2435="RIDTCIAS","CSCI49",IF(A2435="RID_HCPTM","CHCPT_",IF(LEFT(A2435,1)="C",A2435,MID(A2435,6,LEN(A2435)-5)))))</f>
        <v>#VALUE!</v>
      </c>
      <c r="H2435" s="63" t="e">
        <f t="shared" ref="H2435:H2498" si="77">IF(OR(G2435="MJG1",G2435="MJG2"),"MJG",G2435)&amp;"_"&amp;B2435</f>
        <v>#VALUE!</v>
      </c>
    </row>
    <row r="2436" spans="7:8">
      <c r="G2436" s="63" t="e">
        <f t="shared" si="76"/>
        <v>#VALUE!</v>
      </c>
      <c r="H2436" s="63" t="e">
        <f t="shared" si="77"/>
        <v>#VALUE!</v>
      </c>
    </row>
    <row r="2437" spans="7:8">
      <c r="G2437" s="63" t="e">
        <f t="shared" si="76"/>
        <v>#VALUE!</v>
      </c>
      <c r="H2437" s="63" t="e">
        <f t="shared" si="77"/>
        <v>#VALUE!</v>
      </c>
    </row>
    <row r="2438" spans="7:8">
      <c r="G2438" s="63" t="e">
        <f t="shared" si="76"/>
        <v>#VALUE!</v>
      </c>
      <c r="H2438" s="63" t="e">
        <f t="shared" si="77"/>
        <v>#VALUE!</v>
      </c>
    </row>
    <row r="2439" spans="7:8">
      <c r="G2439" s="63" t="e">
        <f t="shared" si="76"/>
        <v>#VALUE!</v>
      </c>
      <c r="H2439" s="63" t="e">
        <f t="shared" si="77"/>
        <v>#VALUE!</v>
      </c>
    </row>
    <row r="2440" spans="7:8">
      <c r="G2440" s="63" t="e">
        <f t="shared" si="76"/>
        <v>#VALUE!</v>
      </c>
      <c r="H2440" s="63" t="e">
        <f t="shared" si="77"/>
        <v>#VALUE!</v>
      </c>
    </row>
    <row r="2441" spans="7:8">
      <c r="G2441" s="63" t="e">
        <f t="shared" si="76"/>
        <v>#VALUE!</v>
      </c>
      <c r="H2441" s="63" t="e">
        <f t="shared" si="77"/>
        <v>#VALUE!</v>
      </c>
    </row>
    <row r="2442" spans="7:8">
      <c r="G2442" s="63" t="e">
        <f t="shared" si="76"/>
        <v>#VALUE!</v>
      </c>
      <c r="H2442" s="63" t="e">
        <f t="shared" si="77"/>
        <v>#VALUE!</v>
      </c>
    </row>
    <row r="2443" spans="7:8">
      <c r="G2443" s="63" t="e">
        <f t="shared" si="76"/>
        <v>#VALUE!</v>
      </c>
      <c r="H2443" s="63" t="e">
        <f t="shared" si="77"/>
        <v>#VALUE!</v>
      </c>
    </row>
    <row r="2444" spans="7:8">
      <c r="G2444" s="63" t="e">
        <f t="shared" si="76"/>
        <v>#VALUE!</v>
      </c>
      <c r="H2444" s="63" t="e">
        <f t="shared" si="77"/>
        <v>#VALUE!</v>
      </c>
    </row>
    <row r="2445" spans="7:8">
      <c r="G2445" s="63" t="e">
        <f t="shared" si="76"/>
        <v>#VALUE!</v>
      </c>
      <c r="H2445" s="63" t="e">
        <f t="shared" si="77"/>
        <v>#VALUE!</v>
      </c>
    </row>
    <row r="2446" spans="7:8">
      <c r="G2446" s="63" t="e">
        <f t="shared" si="76"/>
        <v>#VALUE!</v>
      </c>
      <c r="H2446" s="63" t="e">
        <f t="shared" si="77"/>
        <v>#VALUE!</v>
      </c>
    </row>
    <row r="2447" spans="7:8">
      <c r="G2447" s="63" t="e">
        <f t="shared" si="76"/>
        <v>#VALUE!</v>
      </c>
      <c r="H2447" s="63" t="e">
        <f t="shared" si="77"/>
        <v>#VALUE!</v>
      </c>
    </row>
    <row r="2448" spans="7:8">
      <c r="G2448" s="63" t="e">
        <f t="shared" si="76"/>
        <v>#VALUE!</v>
      </c>
      <c r="H2448" s="63" t="e">
        <f t="shared" si="77"/>
        <v>#VALUE!</v>
      </c>
    </row>
    <row r="2449" spans="7:8">
      <c r="G2449" s="63" t="e">
        <f t="shared" si="76"/>
        <v>#VALUE!</v>
      </c>
      <c r="H2449" s="63" t="e">
        <f t="shared" si="77"/>
        <v>#VALUE!</v>
      </c>
    </row>
    <row r="2450" spans="7:8">
      <c r="G2450" s="63" t="e">
        <f t="shared" si="76"/>
        <v>#VALUE!</v>
      </c>
      <c r="H2450" s="63" t="e">
        <f t="shared" si="77"/>
        <v>#VALUE!</v>
      </c>
    </row>
    <row r="2451" spans="7:8">
      <c r="G2451" s="63" t="e">
        <f t="shared" si="76"/>
        <v>#VALUE!</v>
      </c>
      <c r="H2451" s="63" t="e">
        <f t="shared" si="77"/>
        <v>#VALUE!</v>
      </c>
    </row>
    <row r="2452" spans="7:8">
      <c r="G2452" s="63" t="e">
        <f t="shared" si="76"/>
        <v>#VALUE!</v>
      </c>
      <c r="H2452" s="63" t="e">
        <f t="shared" si="77"/>
        <v>#VALUE!</v>
      </c>
    </row>
    <row r="2453" spans="7:8">
      <c r="G2453" s="63" t="e">
        <f t="shared" si="76"/>
        <v>#VALUE!</v>
      </c>
      <c r="H2453" s="63" t="e">
        <f t="shared" si="77"/>
        <v>#VALUE!</v>
      </c>
    </row>
    <row r="2454" spans="7:8">
      <c r="G2454" s="63" t="e">
        <f t="shared" si="76"/>
        <v>#VALUE!</v>
      </c>
      <c r="H2454" s="63" t="e">
        <f t="shared" si="77"/>
        <v>#VALUE!</v>
      </c>
    </row>
    <row r="2455" spans="7:8">
      <c r="G2455" s="63" t="e">
        <f t="shared" si="76"/>
        <v>#VALUE!</v>
      </c>
      <c r="H2455" s="63" t="e">
        <f t="shared" si="77"/>
        <v>#VALUE!</v>
      </c>
    </row>
    <row r="2456" spans="7:8">
      <c r="G2456" s="63" t="e">
        <f t="shared" si="76"/>
        <v>#VALUE!</v>
      </c>
      <c r="H2456" s="63" t="e">
        <f t="shared" si="77"/>
        <v>#VALUE!</v>
      </c>
    </row>
    <row r="2457" spans="7:8">
      <c r="G2457" s="63" t="e">
        <f t="shared" si="76"/>
        <v>#VALUE!</v>
      </c>
      <c r="H2457" s="63" t="e">
        <f t="shared" si="77"/>
        <v>#VALUE!</v>
      </c>
    </row>
    <row r="2458" spans="7:8">
      <c r="G2458" s="63" t="e">
        <f t="shared" si="76"/>
        <v>#VALUE!</v>
      </c>
      <c r="H2458" s="63" t="e">
        <f t="shared" si="77"/>
        <v>#VALUE!</v>
      </c>
    </row>
    <row r="2459" spans="7:8">
      <c r="G2459" s="63" t="e">
        <f t="shared" si="76"/>
        <v>#VALUE!</v>
      </c>
      <c r="H2459" s="63" t="e">
        <f t="shared" si="77"/>
        <v>#VALUE!</v>
      </c>
    </row>
    <row r="2460" spans="7:8">
      <c r="G2460" s="63" t="e">
        <f t="shared" si="76"/>
        <v>#VALUE!</v>
      </c>
      <c r="H2460" s="63" t="e">
        <f t="shared" si="77"/>
        <v>#VALUE!</v>
      </c>
    </row>
    <row r="2461" spans="7:8">
      <c r="G2461" s="63" t="e">
        <f t="shared" si="76"/>
        <v>#VALUE!</v>
      </c>
      <c r="H2461" s="63" t="e">
        <f t="shared" si="77"/>
        <v>#VALUE!</v>
      </c>
    </row>
    <row r="2462" spans="7:8">
      <c r="G2462" s="63" t="e">
        <f t="shared" si="76"/>
        <v>#VALUE!</v>
      </c>
      <c r="H2462" s="63" t="e">
        <f t="shared" si="77"/>
        <v>#VALUE!</v>
      </c>
    </row>
    <row r="2463" spans="7:8">
      <c r="G2463" s="63" t="e">
        <f t="shared" si="76"/>
        <v>#VALUE!</v>
      </c>
      <c r="H2463" s="63" t="e">
        <f t="shared" si="77"/>
        <v>#VALUE!</v>
      </c>
    </row>
    <row r="2464" spans="7:8">
      <c r="G2464" s="63" t="e">
        <f t="shared" si="76"/>
        <v>#VALUE!</v>
      </c>
      <c r="H2464" s="63" t="e">
        <f t="shared" si="77"/>
        <v>#VALUE!</v>
      </c>
    </row>
    <row r="2465" spans="7:8">
      <c r="G2465" s="63" t="e">
        <f t="shared" si="76"/>
        <v>#VALUE!</v>
      </c>
      <c r="H2465" s="63" t="e">
        <f t="shared" si="77"/>
        <v>#VALUE!</v>
      </c>
    </row>
    <row r="2466" spans="7:8">
      <c r="G2466" s="63" t="e">
        <f t="shared" si="76"/>
        <v>#VALUE!</v>
      </c>
      <c r="H2466" s="63" t="e">
        <f t="shared" si="77"/>
        <v>#VALUE!</v>
      </c>
    </row>
    <row r="2467" spans="7:8">
      <c r="G2467" s="63" t="e">
        <f t="shared" si="76"/>
        <v>#VALUE!</v>
      </c>
      <c r="H2467" s="63" t="e">
        <f t="shared" si="77"/>
        <v>#VALUE!</v>
      </c>
    </row>
    <row r="2468" spans="7:8">
      <c r="G2468" s="63" t="e">
        <f t="shared" si="76"/>
        <v>#VALUE!</v>
      </c>
      <c r="H2468" s="63" t="e">
        <f t="shared" si="77"/>
        <v>#VALUE!</v>
      </c>
    </row>
    <row r="2469" spans="7:8">
      <c r="G2469" s="63" t="e">
        <f t="shared" si="76"/>
        <v>#VALUE!</v>
      </c>
      <c r="H2469" s="63" t="e">
        <f t="shared" si="77"/>
        <v>#VALUE!</v>
      </c>
    </row>
    <row r="2470" spans="7:8">
      <c r="G2470" s="63" t="e">
        <f t="shared" si="76"/>
        <v>#VALUE!</v>
      </c>
      <c r="H2470" s="63" t="e">
        <f t="shared" si="77"/>
        <v>#VALUE!</v>
      </c>
    </row>
    <row r="2471" spans="7:8">
      <c r="G2471" s="63" t="e">
        <f t="shared" si="76"/>
        <v>#VALUE!</v>
      </c>
      <c r="H2471" s="63" t="e">
        <f t="shared" si="77"/>
        <v>#VALUE!</v>
      </c>
    </row>
    <row r="2472" spans="7:8">
      <c r="G2472" s="63" t="e">
        <f t="shared" si="76"/>
        <v>#VALUE!</v>
      </c>
      <c r="H2472" s="63" t="e">
        <f t="shared" si="77"/>
        <v>#VALUE!</v>
      </c>
    </row>
    <row r="2473" spans="7:8">
      <c r="G2473" s="63" t="e">
        <f t="shared" si="76"/>
        <v>#VALUE!</v>
      </c>
      <c r="H2473" s="63" t="e">
        <f t="shared" si="77"/>
        <v>#VALUE!</v>
      </c>
    </row>
    <row r="2474" spans="7:8">
      <c r="G2474" s="63" t="e">
        <f t="shared" si="76"/>
        <v>#VALUE!</v>
      </c>
      <c r="H2474" s="63" t="e">
        <f t="shared" si="77"/>
        <v>#VALUE!</v>
      </c>
    </row>
    <row r="2475" spans="7:8">
      <c r="G2475" s="63" t="e">
        <f t="shared" si="76"/>
        <v>#VALUE!</v>
      </c>
      <c r="H2475" s="63" t="e">
        <f t="shared" si="77"/>
        <v>#VALUE!</v>
      </c>
    </row>
    <row r="2476" spans="7:8">
      <c r="G2476" s="63" t="e">
        <f t="shared" si="76"/>
        <v>#VALUE!</v>
      </c>
      <c r="H2476" s="63" t="e">
        <f t="shared" si="77"/>
        <v>#VALUE!</v>
      </c>
    </row>
    <row r="2477" spans="7:8">
      <c r="G2477" s="63" t="e">
        <f t="shared" si="76"/>
        <v>#VALUE!</v>
      </c>
      <c r="H2477" s="63" t="e">
        <f t="shared" si="77"/>
        <v>#VALUE!</v>
      </c>
    </row>
    <row r="2478" spans="7:8">
      <c r="G2478" s="63" t="e">
        <f t="shared" si="76"/>
        <v>#VALUE!</v>
      </c>
      <c r="H2478" s="63" t="e">
        <f t="shared" si="77"/>
        <v>#VALUE!</v>
      </c>
    </row>
    <row r="2479" spans="7:8">
      <c r="G2479" s="63" t="e">
        <f t="shared" si="76"/>
        <v>#VALUE!</v>
      </c>
      <c r="H2479" s="63" t="e">
        <f t="shared" si="77"/>
        <v>#VALUE!</v>
      </c>
    </row>
    <row r="2480" spans="7:8">
      <c r="G2480" s="63" t="e">
        <f t="shared" si="76"/>
        <v>#VALUE!</v>
      </c>
      <c r="H2480" s="63" t="e">
        <f t="shared" si="77"/>
        <v>#VALUE!</v>
      </c>
    </row>
    <row r="2481" spans="7:8">
      <c r="G2481" s="63" t="e">
        <f t="shared" si="76"/>
        <v>#VALUE!</v>
      </c>
      <c r="H2481" s="63" t="e">
        <f t="shared" si="77"/>
        <v>#VALUE!</v>
      </c>
    </row>
    <row r="2482" spans="7:8">
      <c r="G2482" s="63" t="e">
        <f t="shared" si="76"/>
        <v>#VALUE!</v>
      </c>
      <c r="H2482" s="63" t="e">
        <f t="shared" si="77"/>
        <v>#VALUE!</v>
      </c>
    </row>
    <row r="2483" spans="7:8">
      <c r="G2483" s="63" t="e">
        <f t="shared" si="76"/>
        <v>#VALUE!</v>
      </c>
      <c r="H2483" s="63" t="e">
        <f t="shared" si="77"/>
        <v>#VALUE!</v>
      </c>
    </row>
    <row r="2484" spans="7:8">
      <c r="G2484" s="63" t="e">
        <f t="shared" si="76"/>
        <v>#VALUE!</v>
      </c>
      <c r="H2484" s="63" t="e">
        <f t="shared" si="77"/>
        <v>#VALUE!</v>
      </c>
    </row>
    <row r="2485" spans="7:8">
      <c r="G2485" s="63" t="e">
        <f t="shared" si="76"/>
        <v>#VALUE!</v>
      </c>
      <c r="H2485" s="63" t="e">
        <f t="shared" si="77"/>
        <v>#VALUE!</v>
      </c>
    </row>
    <row r="2486" spans="7:8">
      <c r="G2486" s="63" t="e">
        <f t="shared" si="76"/>
        <v>#VALUE!</v>
      </c>
      <c r="H2486" s="63" t="e">
        <f t="shared" si="77"/>
        <v>#VALUE!</v>
      </c>
    </row>
    <row r="2487" spans="7:8">
      <c r="G2487" s="63" t="e">
        <f t="shared" si="76"/>
        <v>#VALUE!</v>
      </c>
      <c r="H2487" s="63" t="e">
        <f t="shared" si="77"/>
        <v>#VALUE!</v>
      </c>
    </row>
    <row r="2488" spans="7:8">
      <c r="G2488" s="63" t="e">
        <f t="shared" si="76"/>
        <v>#VALUE!</v>
      </c>
      <c r="H2488" s="63" t="e">
        <f t="shared" si="77"/>
        <v>#VALUE!</v>
      </c>
    </row>
    <row r="2489" spans="7:8">
      <c r="G2489" s="63" t="e">
        <f t="shared" si="76"/>
        <v>#VALUE!</v>
      </c>
      <c r="H2489" s="63" t="e">
        <f t="shared" si="77"/>
        <v>#VALUE!</v>
      </c>
    </row>
    <row r="2490" spans="7:8">
      <c r="G2490" s="63" t="e">
        <f t="shared" si="76"/>
        <v>#VALUE!</v>
      </c>
      <c r="H2490" s="63" t="e">
        <f t="shared" si="77"/>
        <v>#VALUE!</v>
      </c>
    </row>
    <row r="2491" spans="7:8">
      <c r="G2491" s="63" t="e">
        <f t="shared" si="76"/>
        <v>#VALUE!</v>
      </c>
      <c r="H2491" s="63" t="e">
        <f t="shared" si="77"/>
        <v>#VALUE!</v>
      </c>
    </row>
    <row r="2492" spans="7:8">
      <c r="G2492" s="63" t="e">
        <f t="shared" si="76"/>
        <v>#VALUE!</v>
      </c>
      <c r="H2492" s="63" t="e">
        <f t="shared" si="77"/>
        <v>#VALUE!</v>
      </c>
    </row>
    <row r="2493" spans="7:8">
      <c r="G2493" s="63" t="e">
        <f t="shared" si="76"/>
        <v>#VALUE!</v>
      </c>
      <c r="H2493" s="63" t="e">
        <f t="shared" si="77"/>
        <v>#VALUE!</v>
      </c>
    </row>
    <row r="2494" spans="7:8">
      <c r="G2494" s="63" t="e">
        <f t="shared" si="76"/>
        <v>#VALUE!</v>
      </c>
      <c r="H2494" s="63" t="e">
        <f t="shared" si="77"/>
        <v>#VALUE!</v>
      </c>
    </row>
    <row r="2495" spans="7:8">
      <c r="G2495" s="63" t="e">
        <f t="shared" si="76"/>
        <v>#VALUE!</v>
      </c>
      <c r="H2495" s="63" t="e">
        <f t="shared" si="77"/>
        <v>#VALUE!</v>
      </c>
    </row>
    <row r="2496" spans="7:8">
      <c r="G2496" s="63" t="e">
        <f t="shared" si="76"/>
        <v>#VALUE!</v>
      </c>
      <c r="H2496" s="63" t="e">
        <f t="shared" si="77"/>
        <v>#VALUE!</v>
      </c>
    </row>
    <row r="2497" spans="7:8">
      <c r="G2497" s="63" t="e">
        <f t="shared" si="76"/>
        <v>#VALUE!</v>
      </c>
      <c r="H2497" s="63" t="e">
        <f t="shared" si="77"/>
        <v>#VALUE!</v>
      </c>
    </row>
    <row r="2498" spans="7:8">
      <c r="G2498" s="63" t="e">
        <f t="shared" si="76"/>
        <v>#VALUE!</v>
      </c>
      <c r="H2498" s="63" t="e">
        <f t="shared" si="77"/>
        <v>#VALUE!</v>
      </c>
    </row>
    <row r="2499" spans="7:8">
      <c r="G2499" s="63" t="e">
        <f t="shared" ref="G2499:G2562" si="78">IF(OR(A2499="RID_PB77",A2499="RID_PB77A3"),"WPCI77",IF(A2499="RIDTCIAS","CSCI49",IF(A2499="RID_HCPTM","CHCPT_",IF(LEFT(A2499,1)="C",A2499,MID(A2499,6,LEN(A2499)-5)))))</f>
        <v>#VALUE!</v>
      </c>
      <c r="H2499" s="63" t="e">
        <f t="shared" ref="H2499:H2562" si="79">IF(OR(G2499="MJG1",G2499="MJG2"),"MJG",G2499)&amp;"_"&amp;B2499</f>
        <v>#VALUE!</v>
      </c>
    </row>
    <row r="2500" spans="7:8">
      <c r="G2500" s="63" t="e">
        <f t="shared" si="78"/>
        <v>#VALUE!</v>
      </c>
      <c r="H2500" s="63" t="e">
        <f t="shared" si="79"/>
        <v>#VALUE!</v>
      </c>
    </row>
    <row r="2501" spans="7:8">
      <c r="G2501" s="63" t="e">
        <f t="shared" si="78"/>
        <v>#VALUE!</v>
      </c>
      <c r="H2501" s="63" t="e">
        <f t="shared" si="79"/>
        <v>#VALUE!</v>
      </c>
    </row>
    <row r="2502" spans="7:8">
      <c r="G2502" s="63" t="e">
        <f t="shared" si="78"/>
        <v>#VALUE!</v>
      </c>
      <c r="H2502" s="63" t="e">
        <f t="shared" si="79"/>
        <v>#VALUE!</v>
      </c>
    </row>
    <row r="2503" spans="7:8">
      <c r="G2503" s="63" t="e">
        <f t="shared" si="78"/>
        <v>#VALUE!</v>
      </c>
      <c r="H2503" s="63" t="e">
        <f t="shared" si="79"/>
        <v>#VALUE!</v>
      </c>
    </row>
    <row r="2504" spans="7:8">
      <c r="G2504" s="63" t="e">
        <f t="shared" si="78"/>
        <v>#VALUE!</v>
      </c>
      <c r="H2504" s="63" t="e">
        <f t="shared" si="79"/>
        <v>#VALUE!</v>
      </c>
    </row>
    <row r="2505" spans="7:8">
      <c r="G2505" s="63" t="e">
        <f t="shared" si="78"/>
        <v>#VALUE!</v>
      </c>
      <c r="H2505" s="63" t="e">
        <f t="shared" si="79"/>
        <v>#VALUE!</v>
      </c>
    </row>
    <row r="2506" spans="7:8">
      <c r="G2506" s="63" t="e">
        <f t="shared" si="78"/>
        <v>#VALUE!</v>
      </c>
      <c r="H2506" s="63" t="e">
        <f t="shared" si="79"/>
        <v>#VALUE!</v>
      </c>
    </row>
    <row r="2507" spans="7:8">
      <c r="G2507" s="63" t="e">
        <f t="shared" si="78"/>
        <v>#VALUE!</v>
      </c>
      <c r="H2507" s="63" t="e">
        <f t="shared" si="79"/>
        <v>#VALUE!</v>
      </c>
    </row>
    <row r="2508" spans="7:8">
      <c r="G2508" s="63" t="e">
        <f t="shared" si="78"/>
        <v>#VALUE!</v>
      </c>
      <c r="H2508" s="63" t="e">
        <f t="shared" si="79"/>
        <v>#VALUE!</v>
      </c>
    </row>
    <row r="2509" spans="7:8">
      <c r="G2509" s="63" t="e">
        <f t="shared" si="78"/>
        <v>#VALUE!</v>
      </c>
      <c r="H2509" s="63" t="e">
        <f t="shared" si="79"/>
        <v>#VALUE!</v>
      </c>
    </row>
    <row r="2510" spans="7:8">
      <c r="G2510" s="63" t="e">
        <f t="shared" si="78"/>
        <v>#VALUE!</v>
      </c>
      <c r="H2510" s="63" t="e">
        <f t="shared" si="79"/>
        <v>#VALUE!</v>
      </c>
    </row>
    <row r="2511" spans="7:8">
      <c r="G2511" s="63" t="e">
        <f t="shared" si="78"/>
        <v>#VALUE!</v>
      </c>
      <c r="H2511" s="63" t="e">
        <f t="shared" si="79"/>
        <v>#VALUE!</v>
      </c>
    </row>
    <row r="2512" spans="7:8">
      <c r="G2512" s="63" t="e">
        <f t="shared" si="78"/>
        <v>#VALUE!</v>
      </c>
      <c r="H2512" s="63" t="e">
        <f t="shared" si="79"/>
        <v>#VALUE!</v>
      </c>
    </row>
    <row r="2513" spans="7:8">
      <c r="G2513" s="63" t="e">
        <f t="shared" si="78"/>
        <v>#VALUE!</v>
      </c>
      <c r="H2513" s="63" t="e">
        <f t="shared" si="79"/>
        <v>#VALUE!</v>
      </c>
    </row>
    <row r="2514" spans="7:8">
      <c r="G2514" s="63" t="e">
        <f t="shared" si="78"/>
        <v>#VALUE!</v>
      </c>
      <c r="H2514" s="63" t="e">
        <f t="shared" si="79"/>
        <v>#VALUE!</v>
      </c>
    </row>
    <row r="2515" spans="7:8">
      <c r="G2515" s="63" t="e">
        <f t="shared" si="78"/>
        <v>#VALUE!</v>
      </c>
      <c r="H2515" s="63" t="e">
        <f t="shared" si="79"/>
        <v>#VALUE!</v>
      </c>
    </row>
    <row r="2516" spans="7:8">
      <c r="G2516" s="63" t="e">
        <f t="shared" si="78"/>
        <v>#VALUE!</v>
      </c>
      <c r="H2516" s="63" t="e">
        <f t="shared" si="79"/>
        <v>#VALUE!</v>
      </c>
    </row>
    <row r="2517" spans="7:8">
      <c r="G2517" s="63" t="e">
        <f t="shared" si="78"/>
        <v>#VALUE!</v>
      </c>
      <c r="H2517" s="63" t="e">
        <f t="shared" si="79"/>
        <v>#VALUE!</v>
      </c>
    </row>
    <row r="2518" spans="7:8">
      <c r="G2518" s="63" t="e">
        <f t="shared" si="78"/>
        <v>#VALUE!</v>
      </c>
      <c r="H2518" s="63" t="e">
        <f t="shared" si="79"/>
        <v>#VALUE!</v>
      </c>
    </row>
    <row r="2519" spans="7:8">
      <c r="G2519" s="63" t="e">
        <f t="shared" si="78"/>
        <v>#VALUE!</v>
      </c>
      <c r="H2519" s="63" t="e">
        <f t="shared" si="79"/>
        <v>#VALUE!</v>
      </c>
    </row>
    <row r="2520" spans="7:8">
      <c r="G2520" s="63" t="e">
        <f t="shared" si="78"/>
        <v>#VALUE!</v>
      </c>
      <c r="H2520" s="63" t="e">
        <f t="shared" si="79"/>
        <v>#VALUE!</v>
      </c>
    </row>
    <row r="2521" spans="7:8">
      <c r="G2521" s="63" t="e">
        <f t="shared" si="78"/>
        <v>#VALUE!</v>
      </c>
      <c r="H2521" s="63" t="e">
        <f t="shared" si="79"/>
        <v>#VALUE!</v>
      </c>
    </row>
    <row r="2522" spans="7:8">
      <c r="G2522" s="63" t="e">
        <f t="shared" si="78"/>
        <v>#VALUE!</v>
      </c>
      <c r="H2522" s="63" t="e">
        <f t="shared" si="79"/>
        <v>#VALUE!</v>
      </c>
    </row>
    <row r="2523" spans="7:8">
      <c r="G2523" s="63" t="e">
        <f t="shared" si="78"/>
        <v>#VALUE!</v>
      </c>
      <c r="H2523" s="63" t="e">
        <f t="shared" si="79"/>
        <v>#VALUE!</v>
      </c>
    </row>
    <row r="2524" spans="7:8">
      <c r="G2524" s="63" t="e">
        <f t="shared" si="78"/>
        <v>#VALUE!</v>
      </c>
      <c r="H2524" s="63" t="e">
        <f t="shared" si="79"/>
        <v>#VALUE!</v>
      </c>
    </row>
    <row r="2525" spans="7:8">
      <c r="G2525" s="63" t="e">
        <f t="shared" si="78"/>
        <v>#VALUE!</v>
      </c>
      <c r="H2525" s="63" t="e">
        <f t="shared" si="79"/>
        <v>#VALUE!</v>
      </c>
    </row>
    <row r="2526" spans="7:8">
      <c r="G2526" s="63" t="e">
        <f t="shared" si="78"/>
        <v>#VALUE!</v>
      </c>
      <c r="H2526" s="63" t="e">
        <f t="shared" si="79"/>
        <v>#VALUE!</v>
      </c>
    </row>
    <row r="2527" spans="7:8">
      <c r="G2527" s="63" t="e">
        <f t="shared" si="78"/>
        <v>#VALUE!</v>
      </c>
      <c r="H2527" s="63" t="e">
        <f t="shared" si="79"/>
        <v>#VALUE!</v>
      </c>
    </row>
    <row r="2528" spans="7:8">
      <c r="G2528" s="63" t="e">
        <f t="shared" si="78"/>
        <v>#VALUE!</v>
      </c>
      <c r="H2528" s="63" t="e">
        <f t="shared" si="79"/>
        <v>#VALUE!</v>
      </c>
    </row>
    <row r="2529" spans="7:8">
      <c r="G2529" s="63" t="e">
        <f t="shared" si="78"/>
        <v>#VALUE!</v>
      </c>
      <c r="H2529" s="63" t="e">
        <f t="shared" si="79"/>
        <v>#VALUE!</v>
      </c>
    </row>
    <row r="2530" spans="7:8">
      <c r="G2530" s="63" t="e">
        <f t="shared" si="78"/>
        <v>#VALUE!</v>
      </c>
      <c r="H2530" s="63" t="e">
        <f t="shared" si="79"/>
        <v>#VALUE!</v>
      </c>
    </row>
    <row r="2531" spans="7:8">
      <c r="G2531" s="63" t="e">
        <f t="shared" si="78"/>
        <v>#VALUE!</v>
      </c>
      <c r="H2531" s="63" t="e">
        <f t="shared" si="79"/>
        <v>#VALUE!</v>
      </c>
    </row>
    <row r="2532" spans="7:8">
      <c r="G2532" s="63" t="e">
        <f t="shared" si="78"/>
        <v>#VALUE!</v>
      </c>
      <c r="H2532" s="63" t="e">
        <f t="shared" si="79"/>
        <v>#VALUE!</v>
      </c>
    </row>
    <row r="2533" spans="7:8">
      <c r="G2533" s="63" t="e">
        <f t="shared" si="78"/>
        <v>#VALUE!</v>
      </c>
      <c r="H2533" s="63" t="e">
        <f t="shared" si="79"/>
        <v>#VALUE!</v>
      </c>
    </row>
    <row r="2534" spans="7:8">
      <c r="G2534" s="63" t="e">
        <f t="shared" si="78"/>
        <v>#VALUE!</v>
      </c>
      <c r="H2534" s="63" t="e">
        <f t="shared" si="79"/>
        <v>#VALUE!</v>
      </c>
    </row>
    <row r="2535" spans="7:8">
      <c r="G2535" s="63" t="e">
        <f t="shared" si="78"/>
        <v>#VALUE!</v>
      </c>
      <c r="H2535" s="63" t="e">
        <f t="shared" si="79"/>
        <v>#VALUE!</v>
      </c>
    </row>
    <row r="2536" spans="7:8">
      <c r="G2536" s="63" t="e">
        <f t="shared" si="78"/>
        <v>#VALUE!</v>
      </c>
      <c r="H2536" s="63" t="e">
        <f t="shared" si="79"/>
        <v>#VALUE!</v>
      </c>
    </row>
    <row r="2537" spans="7:8">
      <c r="G2537" s="63" t="e">
        <f t="shared" si="78"/>
        <v>#VALUE!</v>
      </c>
      <c r="H2537" s="63" t="e">
        <f t="shared" si="79"/>
        <v>#VALUE!</v>
      </c>
    </row>
    <row r="2538" spans="7:8">
      <c r="G2538" s="63" t="e">
        <f t="shared" si="78"/>
        <v>#VALUE!</v>
      </c>
      <c r="H2538" s="63" t="e">
        <f t="shared" si="79"/>
        <v>#VALUE!</v>
      </c>
    </row>
    <row r="2539" spans="7:8">
      <c r="G2539" s="63" t="e">
        <f t="shared" si="78"/>
        <v>#VALUE!</v>
      </c>
      <c r="H2539" s="63" t="e">
        <f t="shared" si="79"/>
        <v>#VALUE!</v>
      </c>
    </row>
    <row r="2540" spans="7:8">
      <c r="G2540" s="63" t="e">
        <f t="shared" si="78"/>
        <v>#VALUE!</v>
      </c>
      <c r="H2540" s="63" t="e">
        <f t="shared" si="79"/>
        <v>#VALUE!</v>
      </c>
    </row>
    <row r="2541" spans="7:8">
      <c r="G2541" s="63" t="e">
        <f t="shared" si="78"/>
        <v>#VALUE!</v>
      </c>
      <c r="H2541" s="63" t="e">
        <f t="shared" si="79"/>
        <v>#VALUE!</v>
      </c>
    </row>
    <row r="2542" spans="7:8">
      <c r="G2542" s="63" t="e">
        <f t="shared" si="78"/>
        <v>#VALUE!</v>
      </c>
      <c r="H2542" s="63" t="e">
        <f t="shared" si="79"/>
        <v>#VALUE!</v>
      </c>
    </row>
    <row r="2543" spans="7:8">
      <c r="G2543" s="63" t="e">
        <f t="shared" si="78"/>
        <v>#VALUE!</v>
      </c>
      <c r="H2543" s="63" t="e">
        <f t="shared" si="79"/>
        <v>#VALUE!</v>
      </c>
    </row>
    <row r="2544" spans="7:8">
      <c r="G2544" s="63" t="e">
        <f t="shared" si="78"/>
        <v>#VALUE!</v>
      </c>
      <c r="H2544" s="63" t="e">
        <f t="shared" si="79"/>
        <v>#VALUE!</v>
      </c>
    </row>
    <row r="2545" spans="7:8">
      <c r="G2545" s="63" t="e">
        <f t="shared" si="78"/>
        <v>#VALUE!</v>
      </c>
      <c r="H2545" s="63" t="e">
        <f t="shared" si="79"/>
        <v>#VALUE!</v>
      </c>
    </row>
    <row r="2546" spans="7:8">
      <c r="G2546" s="63" t="e">
        <f t="shared" si="78"/>
        <v>#VALUE!</v>
      </c>
      <c r="H2546" s="63" t="e">
        <f t="shared" si="79"/>
        <v>#VALUE!</v>
      </c>
    </row>
    <row r="2547" spans="7:8">
      <c r="G2547" s="63" t="e">
        <f t="shared" si="78"/>
        <v>#VALUE!</v>
      </c>
      <c r="H2547" s="63" t="e">
        <f t="shared" si="79"/>
        <v>#VALUE!</v>
      </c>
    </row>
    <row r="2548" spans="7:8">
      <c r="G2548" s="63" t="e">
        <f t="shared" si="78"/>
        <v>#VALUE!</v>
      </c>
      <c r="H2548" s="63" t="e">
        <f t="shared" si="79"/>
        <v>#VALUE!</v>
      </c>
    </row>
    <row r="2549" spans="7:8">
      <c r="G2549" s="63" t="e">
        <f t="shared" si="78"/>
        <v>#VALUE!</v>
      </c>
      <c r="H2549" s="63" t="e">
        <f t="shared" si="79"/>
        <v>#VALUE!</v>
      </c>
    </row>
    <row r="2550" spans="7:8">
      <c r="G2550" s="63" t="e">
        <f t="shared" si="78"/>
        <v>#VALUE!</v>
      </c>
      <c r="H2550" s="63" t="e">
        <f t="shared" si="79"/>
        <v>#VALUE!</v>
      </c>
    </row>
    <row r="2551" spans="7:8">
      <c r="G2551" s="63" t="e">
        <f t="shared" si="78"/>
        <v>#VALUE!</v>
      </c>
      <c r="H2551" s="63" t="e">
        <f t="shared" si="79"/>
        <v>#VALUE!</v>
      </c>
    </row>
    <row r="2552" spans="7:8">
      <c r="G2552" s="63" t="e">
        <f t="shared" si="78"/>
        <v>#VALUE!</v>
      </c>
      <c r="H2552" s="63" t="e">
        <f t="shared" si="79"/>
        <v>#VALUE!</v>
      </c>
    </row>
    <row r="2553" spans="7:8">
      <c r="G2553" s="63" t="e">
        <f t="shared" si="78"/>
        <v>#VALUE!</v>
      </c>
      <c r="H2553" s="63" t="e">
        <f t="shared" si="79"/>
        <v>#VALUE!</v>
      </c>
    </row>
    <row r="2554" spans="7:8">
      <c r="G2554" s="63" t="e">
        <f t="shared" si="78"/>
        <v>#VALUE!</v>
      </c>
      <c r="H2554" s="63" t="e">
        <f t="shared" si="79"/>
        <v>#VALUE!</v>
      </c>
    </row>
    <row r="2555" spans="7:8">
      <c r="G2555" s="63" t="e">
        <f t="shared" si="78"/>
        <v>#VALUE!</v>
      </c>
      <c r="H2555" s="63" t="e">
        <f t="shared" si="79"/>
        <v>#VALUE!</v>
      </c>
    </row>
    <row r="2556" spans="7:8">
      <c r="G2556" s="63" t="e">
        <f t="shared" si="78"/>
        <v>#VALUE!</v>
      </c>
      <c r="H2556" s="63" t="e">
        <f t="shared" si="79"/>
        <v>#VALUE!</v>
      </c>
    </row>
    <row r="2557" spans="7:8">
      <c r="G2557" s="63" t="e">
        <f t="shared" si="78"/>
        <v>#VALUE!</v>
      </c>
      <c r="H2557" s="63" t="e">
        <f t="shared" si="79"/>
        <v>#VALUE!</v>
      </c>
    </row>
    <row r="2558" spans="7:8">
      <c r="G2558" s="63" t="e">
        <f t="shared" si="78"/>
        <v>#VALUE!</v>
      </c>
      <c r="H2558" s="63" t="e">
        <f t="shared" si="79"/>
        <v>#VALUE!</v>
      </c>
    </row>
    <row r="2559" spans="7:8">
      <c r="G2559" s="63" t="e">
        <f t="shared" si="78"/>
        <v>#VALUE!</v>
      </c>
      <c r="H2559" s="63" t="e">
        <f t="shared" si="79"/>
        <v>#VALUE!</v>
      </c>
    </row>
    <row r="2560" spans="7:8">
      <c r="G2560" s="63" t="e">
        <f t="shared" si="78"/>
        <v>#VALUE!</v>
      </c>
      <c r="H2560" s="63" t="e">
        <f t="shared" si="79"/>
        <v>#VALUE!</v>
      </c>
    </row>
    <row r="2561" spans="7:8">
      <c r="G2561" s="63" t="e">
        <f t="shared" si="78"/>
        <v>#VALUE!</v>
      </c>
      <c r="H2561" s="63" t="e">
        <f t="shared" si="79"/>
        <v>#VALUE!</v>
      </c>
    </row>
    <row r="2562" spans="7:8">
      <c r="G2562" s="63" t="e">
        <f t="shared" si="78"/>
        <v>#VALUE!</v>
      </c>
      <c r="H2562" s="63" t="e">
        <f t="shared" si="79"/>
        <v>#VALUE!</v>
      </c>
    </row>
    <row r="2563" spans="7:8">
      <c r="G2563" s="63" t="e">
        <f t="shared" ref="G2563:G2626" si="80">IF(OR(A2563="RID_PB77",A2563="RID_PB77A3"),"WPCI77",IF(A2563="RIDTCIAS","CSCI49",IF(A2563="RID_HCPTM","CHCPT_",IF(LEFT(A2563,1)="C",A2563,MID(A2563,6,LEN(A2563)-5)))))</f>
        <v>#VALUE!</v>
      </c>
      <c r="H2563" s="63" t="e">
        <f t="shared" ref="H2563:H2626" si="81">IF(OR(G2563="MJG1",G2563="MJG2"),"MJG",G2563)&amp;"_"&amp;B2563</f>
        <v>#VALUE!</v>
      </c>
    </row>
    <row r="2564" spans="7:8">
      <c r="G2564" s="63" t="e">
        <f t="shared" si="80"/>
        <v>#VALUE!</v>
      </c>
      <c r="H2564" s="63" t="e">
        <f t="shared" si="81"/>
        <v>#VALUE!</v>
      </c>
    </row>
    <row r="2565" spans="7:8">
      <c r="G2565" s="63" t="e">
        <f t="shared" si="80"/>
        <v>#VALUE!</v>
      </c>
      <c r="H2565" s="63" t="e">
        <f t="shared" si="81"/>
        <v>#VALUE!</v>
      </c>
    </row>
    <row r="2566" spans="7:8">
      <c r="G2566" s="63" t="e">
        <f t="shared" si="80"/>
        <v>#VALUE!</v>
      </c>
      <c r="H2566" s="63" t="e">
        <f t="shared" si="81"/>
        <v>#VALUE!</v>
      </c>
    </row>
    <row r="2567" spans="7:8">
      <c r="G2567" s="63" t="e">
        <f t="shared" si="80"/>
        <v>#VALUE!</v>
      </c>
      <c r="H2567" s="63" t="e">
        <f t="shared" si="81"/>
        <v>#VALUE!</v>
      </c>
    </row>
    <row r="2568" spans="7:8">
      <c r="G2568" s="63" t="e">
        <f t="shared" si="80"/>
        <v>#VALUE!</v>
      </c>
      <c r="H2568" s="63" t="e">
        <f t="shared" si="81"/>
        <v>#VALUE!</v>
      </c>
    </row>
    <row r="2569" spans="7:8">
      <c r="G2569" s="63" t="e">
        <f t="shared" si="80"/>
        <v>#VALUE!</v>
      </c>
      <c r="H2569" s="63" t="e">
        <f t="shared" si="81"/>
        <v>#VALUE!</v>
      </c>
    </row>
    <row r="2570" spans="7:8">
      <c r="G2570" s="63" t="e">
        <f t="shared" si="80"/>
        <v>#VALUE!</v>
      </c>
      <c r="H2570" s="63" t="e">
        <f t="shared" si="81"/>
        <v>#VALUE!</v>
      </c>
    </row>
    <row r="2571" spans="7:8">
      <c r="G2571" s="63" t="e">
        <f t="shared" si="80"/>
        <v>#VALUE!</v>
      </c>
      <c r="H2571" s="63" t="e">
        <f t="shared" si="81"/>
        <v>#VALUE!</v>
      </c>
    </row>
    <row r="2572" spans="7:8">
      <c r="G2572" s="63" t="e">
        <f t="shared" si="80"/>
        <v>#VALUE!</v>
      </c>
      <c r="H2572" s="63" t="e">
        <f t="shared" si="81"/>
        <v>#VALUE!</v>
      </c>
    </row>
    <row r="2573" spans="7:8">
      <c r="G2573" s="63" t="e">
        <f t="shared" si="80"/>
        <v>#VALUE!</v>
      </c>
      <c r="H2573" s="63" t="e">
        <f t="shared" si="81"/>
        <v>#VALUE!</v>
      </c>
    </row>
    <row r="2574" spans="7:8">
      <c r="G2574" s="63" t="e">
        <f t="shared" si="80"/>
        <v>#VALUE!</v>
      </c>
      <c r="H2574" s="63" t="e">
        <f t="shared" si="81"/>
        <v>#VALUE!</v>
      </c>
    </row>
    <row r="2575" spans="7:8">
      <c r="G2575" s="63" t="e">
        <f t="shared" si="80"/>
        <v>#VALUE!</v>
      </c>
      <c r="H2575" s="63" t="e">
        <f t="shared" si="81"/>
        <v>#VALUE!</v>
      </c>
    </row>
    <row r="2576" spans="7:8">
      <c r="G2576" s="63" t="e">
        <f t="shared" si="80"/>
        <v>#VALUE!</v>
      </c>
      <c r="H2576" s="63" t="e">
        <f t="shared" si="81"/>
        <v>#VALUE!</v>
      </c>
    </row>
    <row r="2577" spans="7:8">
      <c r="G2577" s="63" t="e">
        <f t="shared" si="80"/>
        <v>#VALUE!</v>
      </c>
      <c r="H2577" s="63" t="e">
        <f t="shared" si="81"/>
        <v>#VALUE!</v>
      </c>
    </row>
    <row r="2578" spans="7:8">
      <c r="G2578" s="63" t="e">
        <f t="shared" si="80"/>
        <v>#VALUE!</v>
      </c>
      <c r="H2578" s="63" t="e">
        <f t="shared" si="81"/>
        <v>#VALUE!</v>
      </c>
    </row>
    <row r="2579" spans="7:8">
      <c r="G2579" s="63" t="e">
        <f t="shared" si="80"/>
        <v>#VALUE!</v>
      </c>
      <c r="H2579" s="63" t="e">
        <f t="shared" si="81"/>
        <v>#VALUE!</v>
      </c>
    </row>
    <row r="2580" spans="7:8">
      <c r="G2580" s="63" t="e">
        <f t="shared" si="80"/>
        <v>#VALUE!</v>
      </c>
      <c r="H2580" s="63" t="e">
        <f t="shared" si="81"/>
        <v>#VALUE!</v>
      </c>
    </row>
    <row r="2581" spans="7:8">
      <c r="G2581" s="63" t="e">
        <f t="shared" si="80"/>
        <v>#VALUE!</v>
      </c>
      <c r="H2581" s="63" t="e">
        <f t="shared" si="81"/>
        <v>#VALUE!</v>
      </c>
    </row>
    <row r="2582" spans="7:8">
      <c r="G2582" s="63" t="e">
        <f t="shared" si="80"/>
        <v>#VALUE!</v>
      </c>
      <c r="H2582" s="63" t="e">
        <f t="shared" si="81"/>
        <v>#VALUE!</v>
      </c>
    </row>
    <row r="2583" spans="7:8">
      <c r="G2583" s="63" t="e">
        <f t="shared" si="80"/>
        <v>#VALUE!</v>
      </c>
      <c r="H2583" s="63" t="e">
        <f t="shared" si="81"/>
        <v>#VALUE!</v>
      </c>
    </row>
    <row r="2584" spans="7:8">
      <c r="G2584" s="63" t="e">
        <f t="shared" si="80"/>
        <v>#VALUE!</v>
      </c>
      <c r="H2584" s="63" t="e">
        <f t="shared" si="81"/>
        <v>#VALUE!</v>
      </c>
    </row>
    <row r="2585" spans="7:8">
      <c r="G2585" s="63" t="e">
        <f t="shared" si="80"/>
        <v>#VALUE!</v>
      </c>
      <c r="H2585" s="63" t="e">
        <f t="shared" si="81"/>
        <v>#VALUE!</v>
      </c>
    </row>
    <row r="2586" spans="7:8">
      <c r="G2586" s="63" t="e">
        <f t="shared" si="80"/>
        <v>#VALUE!</v>
      </c>
      <c r="H2586" s="63" t="e">
        <f t="shared" si="81"/>
        <v>#VALUE!</v>
      </c>
    </row>
    <row r="2587" spans="7:8">
      <c r="G2587" s="63" t="e">
        <f t="shared" si="80"/>
        <v>#VALUE!</v>
      </c>
      <c r="H2587" s="63" t="e">
        <f t="shared" si="81"/>
        <v>#VALUE!</v>
      </c>
    </row>
    <row r="2588" spans="7:8">
      <c r="G2588" s="63" t="e">
        <f t="shared" si="80"/>
        <v>#VALUE!</v>
      </c>
      <c r="H2588" s="63" t="e">
        <f t="shared" si="81"/>
        <v>#VALUE!</v>
      </c>
    </row>
    <row r="2589" spans="7:8">
      <c r="G2589" s="63" t="e">
        <f t="shared" si="80"/>
        <v>#VALUE!</v>
      </c>
      <c r="H2589" s="63" t="e">
        <f t="shared" si="81"/>
        <v>#VALUE!</v>
      </c>
    </row>
    <row r="2590" spans="7:8">
      <c r="G2590" s="63" t="e">
        <f t="shared" si="80"/>
        <v>#VALUE!</v>
      </c>
      <c r="H2590" s="63" t="e">
        <f t="shared" si="81"/>
        <v>#VALUE!</v>
      </c>
    </row>
    <row r="2591" spans="7:8">
      <c r="G2591" s="63" t="e">
        <f t="shared" si="80"/>
        <v>#VALUE!</v>
      </c>
      <c r="H2591" s="63" t="e">
        <f t="shared" si="81"/>
        <v>#VALUE!</v>
      </c>
    </row>
    <row r="2592" spans="7:8">
      <c r="G2592" s="63" t="e">
        <f t="shared" si="80"/>
        <v>#VALUE!</v>
      </c>
      <c r="H2592" s="63" t="e">
        <f t="shared" si="81"/>
        <v>#VALUE!</v>
      </c>
    </row>
    <row r="2593" spans="7:8">
      <c r="G2593" s="63" t="e">
        <f t="shared" si="80"/>
        <v>#VALUE!</v>
      </c>
      <c r="H2593" s="63" t="e">
        <f t="shared" si="81"/>
        <v>#VALUE!</v>
      </c>
    </row>
    <row r="2594" spans="7:8">
      <c r="G2594" s="63" t="e">
        <f t="shared" si="80"/>
        <v>#VALUE!</v>
      </c>
      <c r="H2594" s="63" t="e">
        <f t="shared" si="81"/>
        <v>#VALUE!</v>
      </c>
    </row>
    <row r="2595" spans="7:8">
      <c r="G2595" s="63" t="e">
        <f t="shared" si="80"/>
        <v>#VALUE!</v>
      </c>
      <c r="H2595" s="63" t="e">
        <f t="shared" si="81"/>
        <v>#VALUE!</v>
      </c>
    </row>
    <row r="2596" spans="7:8">
      <c r="G2596" s="63" t="e">
        <f t="shared" si="80"/>
        <v>#VALUE!</v>
      </c>
      <c r="H2596" s="63" t="e">
        <f t="shared" si="81"/>
        <v>#VALUE!</v>
      </c>
    </row>
    <row r="2597" spans="7:8">
      <c r="G2597" s="63" t="e">
        <f t="shared" si="80"/>
        <v>#VALUE!</v>
      </c>
      <c r="H2597" s="63" t="e">
        <f t="shared" si="81"/>
        <v>#VALUE!</v>
      </c>
    </row>
    <row r="2598" spans="7:8">
      <c r="G2598" s="63" t="e">
        <f t="shared" si="80"/>
        <v>#VALUE!</v>
      </c>
      <c r="H2598" s="63" t="e">
        <f t="shared" si="81"/>
        <v>#VALUE!</v>
      </c>
    </row>
    <row r="2599" spans="7:8">
      <c r="G2599" s="63" t="e">
        <f t="shared" si="80"/>
        <v>#VALUE!</v>
      </c>
      <c r="H2599" s="63" t="e">
        <f t="shared" si="81"/>
        <v>#VALUE!</v>
      </c>
    </row>
    <row r="2600" spans="7:8">
      <c r="G2600" s="63" t="e">
        <f t="shared" si="80"/>
        <v>#VALUE!</v>
      </c>
      <c r="H2600" s="63" t="e">
        <f t="shared" si="81"/>
        <v>#VALUE!</v>
      </c>
    </row>
    <row r="2601" spans="7:8">
      <c r="G2601" s="63" t="e">
        <f t="shared" si="80"/>
        <v>#VALUE!</v>
      </c>
      <c r="H2601" s="63" t="e">
        <f t="shared" si="81"/>
        <v>#VALUE!</v>
      </c>
    </row>
    <row r="2602" spans="7:8">
      <c r="G2602" s="63" t="e">
        <f t="shared" si="80"/>
        <v>#VALUE!</v>
      </c>
      <c r="H2602" s="63" t="e">
        <f t="shared" si="81"/>
        <v>#VALUE!</v>
      </c>
    </row>
    <row r="2603" spans="7:8">
      <c r="G2603" s="63" t="e">
        <f t="shared" si="80"/>
        <v>#VALUE!</v>
      </c>
      <c r="H2603" s="63" t="e">
        <f t="shared" si="81"/>
        <v>#VALUE!</v>
      </c>
    </row>
    <row r="2604" spans="7:8">
      <c r="G2604" s="63" t="e">
        <f t="shared" si="80"/>
        <v>#VALUE!</v>
      </c>
      <c r="H2604" s="63" t="e">
        <f t="shared" si="81"/>
        <v>#VALUE!</v>
      </c>
    </row>
    <row r="2605" spans="7:8">
      <c r="G2605" s="63" t="e">
        <f t="shared" si="80"/>
        <v>#VALUE!</v>
      </c>
      <c r="H2605" s="63" t="e">
        <f t="shared" si="81"/>
        <v>#VALUE!</v>
      </c>
    </row>
    <row r="2606" spans="7:8">
      <c r="G2606" s="63" t="e">
        <f t="shared" si="80"/>
        <v>#VALUE!</v>
      </c>
      <c r="H2606" s="63" t="e">
        <f t="shared" si="81"/>
        <v>#VALUE!</v>
      </c>
    </row>
    <row r="2607" spans="7:8">
      <c r="G2607" s="63" t="e">
        <f t="shared" si="80"/>
        <v>#VALUE!</v>
      </c>
      <c r="H2607" s="63" t="e">
        <f t="shared" si="81"/>
        <v>#VALUE!</v>
      </c>
    </row>
    <row r="2608" spans="7:8">
      <c r="G2608" s="63" t="e">
        <f t="shared" si="80"/>
        <v>#VALUE!</v>
      </c>
      <c r="H2608" s="63" t="e">
        <f t="shared" si="81"/>
        <v>#VALUE!</v>
      </c>
    </row>
    <row r="2609" spans="7:8">
      <c r="G2609" s="63" t="e">
        <f t="shared" si="80"/>
        <v>#VALUE!</v>
      </c>
      <c r="H2609" s="63" t="e">
        <f t="shared" si="81"/>
        <v>#VALUE!</v>
      </c>
    </row>
    <row r="2610" spans="7:8">
      <c r="G2610" s="63" t="e">
        <f t="shared" si="80"/>
        <v>#VALUE!</v>
      </c>
      <c r="H2610" s="63" t="e">
        <f t="shared" si="81"/>
        <v>#VALUE!</v>
      </c>
    </row>
    <row r="2611" spans="7:8">
      <c r="G2611" s="63" t="e">
        <f t="shared" si="80"/>
        <v>#VALUE!</v>
      </c>
      <c r="H2611" s="63" t="e">
        <f t="shared" si="81"/>
        <v>#VALUE!</v>
      </c>
    </row>
    <row r="2612" spans="7:8">
      <c r="G2612" s="63" t="e">
        <f t="shared" si="80"/>
        <v>#VALUE!</v>
      </c>
      <c r="H2612" s="63" t="e">
        <f t="shared" si="81"/>
        <v>#VALUE!</v>
      </c>
    </row>
    <row r="2613" spans="7:8">
      <c r="G2613" s="63" t="e">
        <f t="shared" si="80"/>
        <v>#VALUE!</v>
      </c>
      <c r="H2613" s="63" t="e">
        <f t="shared" si="81"/>
        <v>#VALUE!</v>
      </c>
    </row>
    <row r="2614" spans="7:8">
      <c r="G2614" s="63" t="e">
        <f t="shared" si="80"/>
        <v>#VALUE!</v>
      </c>
      <c r="H2614" s="63" t="e">
        <f t="shared" si="81"/>
        <v>#VALUE!</v>
      </c>
    </row>
    <row r="2615" spans="7:8">
      <c r="G2615" s="63" t="e">
        <f t="shared" si="80"/>
        <v>#VALUE!</v>
      </c>
      <c r="H2615" s="63" t="e">
        <f t="shared" si="81"/>
        <v>#VALUE!</v>
      </c>
    </row>
    <row r="2616" spans="7:8">
      <c r="G2616" s="63" t="e">
        <f t="shared" si="80"/>
        <v>#VALUE!</v>
      </c>
      <c r="H2616" s="63" t="e">
        <f t="shared" si="81"/>
        <v>#VALUE!</v>
      </c>
    </row>
    <row r="2617" spans="7:8">
      <c r="G2617" s="63" t="e">
        <f t="shared" si="80"/>
        <v>#VALUE!</v>
      </c>
      <c r="H2617" s="63" t="e">
        <f t="shared" si="81"/>
        <v>#VALUE!</v>
      </c>
    </row>
    <row r="2618" spans="7:8">
      <c r="G2618" s="63" t="e">
        <f t="shared" si="80"/>
        <v>#VALUE!</v>
      </c>
      <c r="H2618" s="63" t="e">
        <f t="shared" si="81"/>
        <v>#VALUE!</v>
      </c>
    </row>
    <row r="2619" spans="7:8">
      <c r="G2619" s="63" t="e">
        <f t="shared" si="80"/>
        <v>#VALUE!</v>
      </c>
      <c r="H2619" s="63" t="e">
        <f t="shared" si="81"/>
        <v>#VALUE!</v>
      </c>
    </row>
    <row r="2620" spans="7:8">
      <c r="G2620" s="63" t="e">
        <f t="shared" si="80"/>
        <v>#VALUE!</v>
      </c>
      <c r="H2620" s="63" t="e">
        <f t="shared" si="81"/>
        <v>#VALUE!</v>
      </c>
    </row>
    <row r="2621" spans="7:8">
      <c r="G2621" s="63" t="e">
        <f t="shared" si="80"/>
        <v>#VALUE!</v>
      </c>
      <c r="H2621" s="63" t="e">
        <f t="shared" si="81"/>
        <v>#VALUE!</v>
      </c>
    </row>
    <row r="2622" spans="7:8">
      <c r="G2622" s="63" t="e">
        <f t="shared" si="80"/>
        <v>#VALUE!</v>
      </c>
      <c r="H2622" s="63" t="e">
        <f t="shared" si="81"/>
        <v>#VALUE!</v>
      </c>
    </row>
    <row r="2623" spans="7:8">
      <c r="G2623" s="63" t="e">
        <f t="shared" si="80"/>
        <v>#VALUE!</v>
      </c>
      <c r="H2623" s="63" t="e">
        <f t="shared" si="81"/>
        <v>#VALUE!</v>
      </c>
    </row>
    <row r="2624" spans="7:8">
      <c r="G2624" s="63" t="e">
        <f t="shared" si="80"/>
        <v>#VALUE!</v>
      </c>
      <c r="H2624" s="63" t="e">
        <f t="shared" si="81"/>
        <v>#VALUE!</v>
      </c>
    </row>
    <row r="2625" spans="7:8">
      <c r="G2625" s="63" t="e">
        <f t="shared" si="80"/>
        <v>#VALUE!</v>
      </c>
      <c r="H2625" s="63" t="e">
        <f t="shared" si="81"/>
        <v>#VALUE!</v>
      </c>
    </row>
    <row r="2626" spans="7:8">
      <c r="G2626" s="63" t="e">
        <f t="shared" si="80"/>
        <v>#VALUE!</v>
      </c>
      <c r="H2626" s="63" t="e">
        <f t="shared" si="81"/>
        <v>#VALUE!</v>
      </c>
    </row>
    <row r="2627" spans="7:8">
      <c r="G2627" s="63" t="e">
        <f t="shared" ref="G2627:G2690" si="82">IF(OR(A2627="RID_PB77",A2627="RID_PB77A3"),"WPCI77",IF(A2627="RIDTCIAS","CSCI49",IF(A2627="RID_HCPTM","CHCPT_",IF(LEFT(A2627,1)="C",A2627,MID(A2627,6,LEN(A2627)-5)))))</f>
        <v>#VALUE!</v>
      </c>
      <c r="H2627" s="63" t="e">
        <f t="shared" ref="H2627:H2690" si="83">IF(OR(G2627="MJG1",G2627="MJG2"),"MJG",G2627)&amp;"_"&amp;B2627</f>
        <v>#VALUE!</v>
      </c>
    </row>
    <row r="2628" spans="7:8">
      <c r="G2628" s="63" t="e">
        <f t="shared" si="82"/>
        <v>#VALUE!</v>
      </c>
      <c r="H2628" s="63" t="e">
        <f t="shared" si="83"/>
        <v>#VALUE!</v>
      </c>
    </row>
    <row r="2629" spans="7:8">
      <c r="G2629" s="63" t="e">
        <f t="shared" si="82"/>
        <v>#VALUE!</v>
      </c>
      <c r="H2629" s="63" t="e">
        <f t="shared" si="83"/>
        <v>#VALUE!</v>
      </c>
    </row>
    <row r="2630" spans="7:8">
      <c r="G2630" s="63" t="e">
        <f t="shared" si="82"/>
        <v>#VALUE!</v>
      </c>
      <c r="H2630" s="63" t="e">
        <f t="shared" si="83"/>
        <v>#VALUE!</v>
      </c>
    </row>
    <row r="2631" spans="7:8">
      <c r="G2631" s="63" t="e">
        <f t="shared" si="82"/>
        <v>#VALUE!</v>
      </c>
      <c r="H2631" s="63" t="e">
        <f t="shared" si="83"/>
        <v>#VALUE!</v>
      </c>
    </row>
    <row r="2632" spans="7:8">
      <c r="G2632" s="63" t="e">
        <f t="shared" si="82"/>
        <v>#VALUE!</v>
      </c>
      <c r="H2632" s="63" t="e">
        <f t="shared" si="83"/>
        <v>#VALUE!</v>
      </c>
    </row>
    <row r="2633" spans="7:8">
      <c r="G2633" s="63" t="e">
        <f t="shared" si="82"/>
        <v>#VALUE!</v>
      </c>
      <c r="H2633" s="63" t="e">
        <f t="shared" si="83"/>
        <v>#VALUE!</v>
      </c>
    </row>
    <row r="2634" spans="7:8">
      <c r="G2634" s="63" t="e">
        <f t="shared" si="82"/>
        <v>#VALUE!</v>
      </c>
      <c r="H2634" s="63" t="e">
        <f t="shared" si="83"/>
        <v>#VALUE!</v>
      </c>
    </row>
    <row r="2635" spans="7:8">
      <c r="G2635" s="63" t="e">
        <f t="shared" si="82"/>
        <v>#VALUE!</v>
      </c>
      <c r="H2635" s="63" t="e">
        <f t="shared" si="83"/>
        <v>#VALUE!</v>
      </c>
    </row>
    <row r="2636" spans="7:8">
      <c r="G2636" s="63" t="e">
        <f t="shared" si="82"/>
        <v>#VALUE!</v>
      </c>
      <c r="H2636" s="63" t="e">
        <f t="shared" si="83"/>
        <v>#VALUE!</v>
      </c>
    </row>
    <row r="2637" spans="7:8">
      <c r="G2637" s="63" t="e">
        <f t="shared" si="82"/>
        <v>#VALUE!</v>
      </c>
      <c r="H2637" s="63" t="e">
        <f t="shared" si="83"/>
        <v>#VALUE!</v>
      </c>
    </row>
    <row r="2638" spans="7:8">
      <c r="G2638" s="63" t="e">
        <f t="shared" si="82"/>
        <v>#VALUE!</v>
      </c>
      <c r="H2638" s="63" t="e">
        <f t="shared" si="83"/>
        <v>#VALUE!</v>
      </c>
    </row>
    <row r="2639" spans="7:8">
      <c r="G2639" s="63" t="e">
        <f t="shared" si="82"/>
        <v>#VALUE!</v>
      </c>
      <c r="H2639" s="63" t="e">
        <f t="shared" si="83"/>
        <v>#VALUE!</v>
      </c>
    </row>
    <row r="2640" spans="7:8">
      <c r="G2640" s="63" t="e">
        <f t="shared" si="82"/>
        <v>#VALUE!</v>
      </c>
      <c r="H2640" s="63" t="e">
        <f t="shared" si="83"/>
        <v>#VALUE!</v>
      </c>
    </row>
    <row r="2641" spans="7:8">
      <c r="G2641" s="63" t="e">
        <f t="shared" si="82"/>
        <v>#VALUE!</v>
      </c>
      <c r="H2641" s="63" t="e">
        <f t="shared" si="83"/>
        <v>#VALUE!</v>
      </c>
    </row>
    <row r="2642" spans="7:8">
      <c r="G2642" s="63" t="e">
        <f t="shared" si="82"/>
        <v>#VALUE!</v>
      </c>
      <c r="H2642" s="63" t="e">
        <f t="shared" si="83"/>
        <v>#VALUE!</v>
      </c>
    </row>
    <row r="2643" spans="7:8">
      <c r="G2643" s="63" t="e">
        <f t="shared" si="82"/>
        <v>#VALUE!</v>
      </c>
      <c r="H2643" s="63" t="e">
        <f t="shared" si="83"/>
        <v>#VALUE!</v>
      </c>
    </row>
    <row r="2644" spans="7:8">
      <c r="G2644" s="63" t="e">
        <f t="shared" si="82"/>
        <v>#VALUE!</v>
      </c>
      <c r="H2644" s="63" t="e">
        <f t="shared" si="83"/>
        <v>#VALUE!</v>
      </c>
    </row>
    <row r="2645" spans="7:8">
      <c r="G2645" s="63" t="e">
        <f t="shared" si="82"/>
        <v>#VALUE!</v>
      </c>
      <c r="H2645" s="63" t="e">
        <f t="shared" si="83"/>
        <v>#VALUE!</v>
      </c>
    </row>
    <row r="2646" spans="7:8">
      <c r="G2646" s="63" t="e">
        <f t="shared" si="82"/>
        <v>#VALUE!</v>
      </c>
      <c r="H2646" s="63" t="e">
        <f t="shared" si="83"/>
        <v>#VALUE!</v>
      </c>
    </row>
    <row r="2647" spans="7:8">
      <c r="G2647" s="63" t="e">
        <f t="shared" si="82"/>
        <v>#VALUE!</v>
      </c>
      <c r="H2647" s="63" t="e">
        <f t="shared" si="83"/>
        <v>#VALUE!</v>
      </c>
    </row>
    <row r="2648" spans="7:8">
      <c r="G2648" s="63" t="e">
        <f t="shared" si="82"/>
        <v>#VALUE!</v>
      </c>
      <c r="H2648" s="63" t="e">
        <f t="shared" si="83"/>
        <v>#VALUE!</v>
      </c>
    </row>
    <row r="2649" spans="7:8">
      <c r="G2649" s="63" t="e">
        <f t="shared" si="82"/>
        <v>#VALUE!</v>
      </c>
      <c r="H2649" s="63" t="e">
        <f t="shared" si="83"/>
        <v>#VALUE!</v>
      </c>
    </row>
    <row r="2650" spans="7:8">
      <c r="G2650" s="63" t="e">
        <f t="shared" si="82"/>
        <v>#VALUE!</v>
      </c>
      <c r="H2650" s="63" t="e">
        <f t="shared" si="83"/>
        <v>#VALUE!</v>
      </c>
    </row>
    <row r="2651" spans="7:8">
      <c r="G2651" s="63" t="e">
        <f t="shared" si="82"/>
        <v>#VALUE!</v>
      </c>
      <c r="H2651" s="63" t="e">
        <f t="shared" si="83"/>
        <v>#VALUE!</v>
      </c>
    </row>
    <row r="2652" spans="7:8">
      <c r="G2652" s="63" t="e">
        <f t="shared" si="82"/>
        <v>#VALUE!</v>
      </c>
      <c r="H2652" s="63" t="e">
        <f t="shared" si="83"/>
        <v>#VALUE!</v>
      </c>
    </row>
    <row r="2653" spans="7:8">
      <c r="G2653" s="63" t="e">
        <f t="shared" si="82"/>
        <v>#VALUE!</v>
      </c>
      <c r="H2653" s="63" t="e">
        <f t="shared" si="83"/>
        <v>#VALUE!</v>
      </c>
    </row>
    <row r="2654" spans="7:8">
      <c r="G2654" s="63" t="e">
        <f t="shared" si="82"/>
        <v>#VALUE!</v>
      </c>
      <c r="H2654" s="63" t="e">
        <f t="shared" si="83"/>
        <v>#VALUE!</v>
      </c>
    </row>
    <row r="2655" spans="7:8">
      <c r="G2655" s="63" t="e">
        <f t="shared" si="82"/>
        <v>#VALUE!</v>
      </c>
      <c r="H2655" s="63" t="e">
        <f t="shared" si="83"/>
        <v>#VALUE!</v>
      </c>
    </row>
    <row r="2656" spans="7:8">
      <c r="G2656" s="63" t="e">
        <f t="shared" si="82"/>
        <v>#VALUE!</v>
      </c>
      <c r="H2656" s="63" t="e">
        <f t="shared" si="83"/>
        <v>#VALUE!</v>
      </c>
    </row>
    <row r="2657" spans="7:8">
      <c r="G2657" s="63" t="e">
        <f t="shared" si="82"/>
        <v>#VALUE!</v>
      </c>
      <c r="H2657" s="63" t="e">
        <f t="shared" si="83"/>
        <v>#VALUE!</v>
      </c>
    </row>
    <row r="2658" spans="7:8">
      <c r="G2658" s="63" t="e">
        <f t="shared" si="82"/>
        <v>#VALUE!</v>
      </c>
      <c r="H2658" s="63" t="e">
        <f t="shared" si="83"/>
        <v>#VALUE!</v>
      </c>
    </row>
    <row r="2659" spans="7:8">
      <c r="G2659" s="63" t="e">
        <f t="shared" si="82"/>
        <v>#VALUE!</v>
      </c>
      <c r="H2659" s="63" t="e">
        <f t="shared" si="83"/>
        <v>#VALUE!</v>
      </c>
    </row>
    <row r="2660" spans="7:8">
      <c r="G2660" s="63" t="e">
        <f t="shared" si="82"/>
        <v>#VALUE!</v>
      </c>
      <c r="H2660" s="63" t="e">
        <f t="shared" si="83"/>
        <v>#VALUE!</v>
      </c>
    </row>
    <row r="2661" spans="7:8">
      <c r="G2661" s="63" t="e">
        <f t="shared" si="82"/>
        <v>#VALUE!</v>
      </c>
      <c r="H2661" s="63" t="e">
        <f t="shared" si="83"/>
        <v>#VALUE!</v>
      </c>
    </row>
    <row r="2662" spans="7:8">
      <c r="G2662" s="63" t="e">
        <f t="shared" si="82"/>
        <v>#VALUE!</v>
      </c>
      <c r="H2662" s="63" t="e">
        <f t="shared" si="83"/>
        <v>#VALUE!</v>
      </c>
    </row>
    <row r="2663" spans="7:8">
      <c r="G2663" s="63" t="e">
        <f t="shared" si="82"/>
        <v>#VALUE!</v>
      </c>
      <c r="H2663" s="63" t="e">
        <f t="shared" si="83"/>
        <v>#VALUE!</v>
      </c>
    </row>
    <row r="2664" spans="7:8">
      <c r="G2664" s="63" t="e">
        <f t="shared" si="82"/>
        <v>#VALUE!</v>
      </c>
      <c r="H2664" s="63" t="e">
        <f t="shared" si="83"/>
        <v>#VALUE!</v>
      </c>
    </row>
    <row r="2665" spans="7:8">
      <c r="G2665" s="63" t="e">
        <f t="shared" si="82"/>
        <v>#VALUE!</v>
      </c>
      <c r="H2665" s="63" t="e">
        <f t="shared" si="83"/>
        <v>#VALUE!</v>
      </c>
    </row>
    <row r="2666" spans="7:8">
      <c r="G2666" s="63" t="e">
        <f t="shared" si="82"/>
        <v>#VALUE!</v>
      </c>
      <c r="H2666" s="63" t="e">
        <f t="shared" si="83"/>
        <v>#VALUE!</v>
      </c>
    </row>
    <row r="2667" spans="7:8">
      <c r="G2667" s="63" t="e">
        <f t="shared" si="82"/>
        <v>#VALUE!</v>
      </c>
      <c r="H2667" s="63" t="e">
        <f t="shared" si="83"/>
        <v>#VALUE!</v>
      </c>
    </row>
    <row r="2668" spans="7:8">
      <c r="G2668" s="63" t="e">
        <f t="shared" si="82"/>
        <v>#VALUE!</v>
      </c>
      <c r="H2668" s="63" t="e">
        <f t="shared" si="83"/>
        <v>#VALUE!</v>
      </c>
    </row>
    <row r="2669" spans="7:8">
      <c r="G2669" s="63" t="e">
        <f t="shared" si="82"/>
        <v>#VALUE!</v>
      </c>
      <c r="H2669" s="63" t="e">
        <f t="shared" si="83"/>
        <v>#VALUE!</v>
      </c>
    </row>
    <row r="2670" spans="7:8">
      <c r="G2670" s="63" t="e">
        <f t="shared" si="82"/>
        <v>#VALUE!</v>
      </c>
      <c r="H2670" s="63" t="e">
        <f t="shared" si="83"/>
        <v>#VALUE!</v>
      </c>
    </row>
    <row r="2671" spans="7:8">
      <c r="G2671" s="63" t="e">
        <f t="shared" si="82"/>
        <v>#VALUE!</v>
      </c>
      <c r="H2671" s="63" t="e">
        <f t="shared" si="83"/>
        <v>#VALUE!</v>
      </c>
    </row>
    <row r="2672" spans="7:8">
      <c r="G2672" s="63" t="e">
        <f t="shared" si="82"/>
        <v>#VALUE!</v>
      </c>
      <c r="H2672" s="63" t="e">
        <f t="shared" si="83"/>
        <v>#VALUE!</v>
      </c>
    </row>
    <row r="2673" spans="7:8">
      <c r="G2673" s="63" t="e">
        <f t="shared" si="82"/>
        <v>#VALUE!</v>
      </c>
      <c r="H2673" s="63" t="e">
        <f t="shared" si="83"/>
        <v>#VALUE!</v>
      </c>
    </row>
    <row r="2674" spans="7:8">
      <c r="G2674" s="63" t="e">
        <f t="shared" si="82"/>
        <v>#VALUE!</v>
      </c>
      <c r="H2674" s="63" t="e">
        <f t="shared" si="83"/>
        <v>#VALUE!</v>
      </c>
    </row>
    <row r="2675" spans="7:8">
      <c r="G2675" s="63" t="e">
        <f t="shared" si="82"/>
        <v>#VALUE!</v>
      </c>
      <c r="H2675" s="63" t="e">
        <f t="shared" si="83"/>
        <v>#VALUE!</v>
      </c>
    </row>
    <row r="2676" spans="7:8">
      <c r="G2676" s="63" t="e">
        <f t="shared" si="82"/>
        <v>#VALUE!</v>
      </c>
      <c r="H2676" s="63" t="e">
        <f t="shared" si="83"/>
        <v>#VALUE!</v>
      </c>
    </row>
    <row r="2677" spans="7:8">
      <c r="G2677" s="63" t="e">
        <f t="shared" si="82"/>
        <v>#VALUE!</v>
      </c>
      <c r="H2677" s="63" t="e">
        <f t="shared" si="83"/>
        <v>#VALUE!</v>
      </c>
    </row>
    <row r="2678" spans="7:8">
      <c r="G2678" s="63" t="e">
        <f t="shared" si="82"/>
        <v>#VALUE!</v>
      </c>
      <c r="H2678" s="63" t="e">
        <f t="shared" si="83"/>
        <v>#VALUE!</v>
      </c>
    </row>
    <row r="2679" spans="7:8">
      <c r="G2679" s="63" t="e">
        <f t="shared" si="82"/>
        <v>#VALUE!</v>
      </c>
      <c r="H2679" s="63" t="e">
        <f t="shared" si="83"/>
        <v>#VALUE!</v>
      </c>
    </row>
    <row r="2680" spans="7:8">
      <c r="G2680" s="63" t="e">
        <f t="shared" si="82"/>
        <v>#VALUE!</v>
      </c>
      <c r="H2680" s="63" t="e">
        <f t="shared" si="83"/>
        <v>#VALUE!</v>
      </c>
    </row>
    <row r="2681" spans="7:8">
      <c r="G2681" s="63" t="e">
        <f t="shared" si="82"/>
        <v>#VALUE!</v>
      </c>
      <c r="H2681" s="63" t="e">
        <f t="shared" si="83"/>
        <v>#VALUE!</v>
      </c>
    </row>
    <row r="2682" spans="7:8">
      <c r="G2682" s="63" t="e">
        <f t="shared" si="82"/>
        <v>#VALUE!</v>
      </c>
      <c r="H2682" s="63" t="e">
        <f t="shared" si="83"/>
        <v>#VALUE!</v>
      </c>
    </row>
    <row r="2683" spans="7:8">
      <c r="G2683" s="63" t="e">
        <f t="shared" si="82"/>
        <v>#VALUE!</v>
      </c>
      <c r="H2683" s="63" t="e">
        <f t="shared" si="83"/>
        <v>#VALUE!</v>
      </c>
    </row>
    <row r="2684" spans="7:8">
      <c r="G2684" s="63" t="e">
        <f t="shared" si="82"/>
        <v>#VALUE!</v>
      </c>
      <c r="H2684" s="63" t="e">
        <f t="shared" si="83"/>
        <v>#VALUE!</v>
      </c>
    </row>
    <row r="2685" spans="7:8">
      <c r="G2685" s="63" t="e">
        <f t="shared" si="82"/>
        <v>#VALUE!</v>
      </c>
      <c r="H2685" s="63" t="e">
        <f t="shared" si="83"/>
        <v>#VALUE!</v>
      </c>
    </row>
    <row r="2686" spans="7:8">
      <c r="G2686" s="63" t="e">
        <f t="shared" si="82"/>
        <v>#VALUE!</v>
      </c>
      <c r="H2686" s="63" t="e">
        <f t="shared" si="83"/>
        <v>#VALUE!</v>
      </c>
    </row>
    <row r="2687" spans="7:8">
      <c r="G2687" s="63" t="e">
        <f t="shared" si="82"/>
        <v>#VALUE!</v>
      </c>
      <c r="H2687" s="63" t="e">
        <f t="shared" si="83"/>
        <v>#VALUE!</v>
      </c>
    </row>
    <row r="2688" spans="7:8">
      <c r="G2688" s="63" t="e">
        <f t="shared" si="82"/>
        <v>#VALUE!</v>
      </c>
      <c r="H2688" s="63" t="e">
        <f t="shared" si="83"/>
        <v>#VALUE!</v>
      </c>
    </row>
    <row r="2689" spans="7:8">
      <c r="G2689" s="63" t="e">
        <f t="shared" si="82"/>
        <v>#VALUE!</v>
      </c>
      <c r="H2689" s="63" t="e">
        <f t="shared" si="83"/>
        <v>#VALUE!</v>
      </c>
    </row>
    <row r="2690" spans="7:8">
      <c r="G2690" s="63" t="e">
        <f t="shared" si="82"/>
        <v>#VALUE!</v>
      </c>
      <c r="H2690" s="63" t="e">
        <f t="shared" si="83"/>
        <v>#VALUE!</v>
      </c>
    </row>
    <row r="2691" spans="7:8">
      <c r="G2691" s="63" t="e">
        <f t="shared" ref="G2691:G2754" si="84">IF(OR(A2691="RID_PB77",A2691="RID_PB77A3"),"WPCI77",IF(A2691="RIDTCIAS","CSCI49",IF(A2691="RID_HCPTM","CHCPT_",IF(LEFT(A2691,1)="C",A2691,MID(A2691,6,LEN(A2691)-5)))))</f>
        <v>#VALUE!</v>
      </c>
      <c r="H2691" s="63" t="e">
        <f t="shared" ref="H2691:H2754" si="85">IF(OR(G2691="MJG1",G2691="MJG2"),"MJG",G2691)&amp;"_"&amp;B2691</f>
        <v>#VALUE!</v>
      </c>
    </row>
    <row r="2692" spans="7:8">
      <c r="G2692" s="63" t="e">
        <f t="shared" si="84"/>
        <v>#VALUE!</v>
      </c>
      <c r="H2692" s="63" t="e">
        <f t="shared" si="85"/>
        <v>#VALUE!</v>
      </c>
    </row>
    <row r="2693" spans="7:8">
      <c r="G2693" s="63" t="e">
        <f t="shared" si="84"/>
        <v>#VALUE!</v>
      </c>
      <c r="H2693" s="63" t="e">
        <f t="shared" si="85"/>
        <v>#VALUE!</v>
      </c>
    </row>
    <row r="2694" spans="7:8">
      <c r="G2694" s="63" t="e">
        <f t="shared" si="84"/>
        <v>#VALUE!</v>
      </c>
      <c r="H2694" s="63" t="e">
        <f t="shared" si="85"/>
        <v>#VALUE!</v>
      </c>
    </row>
    <row r="2695" spans="7:8">
      <c r="G2695" s="63" t="e">
        <f t="shared" si="84"/>
        <v>#VALUE!</v>
      </c>
      <c r="H2695" s="63" t="e">
        <f t="shared" si="85"/>
        <v>#VALUE!</v>
      </c>
    </row>
    <row r="2696" spans="7:8">
      <c r="G2696" s="63" t="e">
        <f t="shared" si="84"/>
        <v>#VALUE!</v>
      </c>
      <c r="H2696" s="63" t="e">
        <f t="shared" si="85"/>
        <v>#VALUE!</v>
      </c>
    </row>
    <row r="2697" spans="7:8">
      <c r="G2697" s="63" t="e">
        <f t="shared" si="84"/>
        <v>#VALUE!</v>
      </c>
      <c r="H2697" s="63" t="e">
        <f t="shared" si="85"/>
        <v>#VALUE!</v>
      </c>
    </row>
    <row r="2698" spans="7:8">
      <c r="G2698" s="63" t="e">
        <f t="shared" si="84"/>
        <v>#VALUE!</v>
      </c>
      <c r="H2698" s="63" t="e">
        <f t="shared" si="85"/>
        <v>#VALUE!</v>
      </c>
    </row>
    <row r="2699" spans="7:8">
      <c r="G2699" s="63" t="e">
        <f t="shared" si="84"/>
        <v>#VALUE!</v>
      </c>
      <c r="H2699" s="63" t="e">
        <f t="shared" si="85"/>
        <v>#VALUE!</v>
      </c>
    </row>
    <row r="2700" spans="7:8">
      <c r="G2700" s="63" t="e">
        <f t="shared" si="84"/>
        <v>#VALUE!</v>
      </c>
      <c r="H2700" s="63" t="e">
        <f t="shared" si="85"/>
        <v>#VALUE!</v>
      </c>
    </row>
    <row r="2701" spans="7:8">
      <c r="G2701" s="63" t="e">
        <f t="shared" si="84"/>
        <v>#VALUE!</v>
      </c>
      <c r="H2701" s="63" t="e">
        <f t="shared" si="85"/>
        <v>#VALUE!</v>
      </c>
    </row>
    <row r="2702" spans="7:8">
      <c r="G2702" s="63" t="e">
        <f t="shared" si="84"/>
        <v>#VALUE!</v>
      </c>
      <c r="H2702" s="63" t="e">
        <f t="shared" si="85"/>
        <v>#VALUE!</v>
      </c>
    </row>
    <row r="2703" spans="7:8">
      <c r="G2703" s="63" t="e">
        <f t="shared" si="84"/>
        <v>#VALUE!</v>
      </c>
      <c r="H2703" s="63" t="e">
        <f t="shared" si="85"/>
        <v>#VALUE!</v>
      </c>
    </row>
    <row r="2704" spans="7:8">
      <c r="G2704" s="63" t="e">
        <f t="shared" si="84"/>
        <v>#VALUE!</v>
      </c>
      <c r="H2704" s="63" t="e">
        <f t="shared" si="85"/>
        <v>#VALUE!</v>
      </c>
    </row>
    <row r="2705" spans="7:8">
      <c r="G2705" s="63" t="e">
        <f t="shared" si="84"/>
        <v>#VALUE!</v>
      </c>
      <c r="H2705" s="63" t="e">
        <f t="shared" si="85"/>
        <v>#VALUE!</v>
      </c>
    </row>
    <row r="2706" spans="7:8">
      <c r="G2706" s="63" t="e">
        <f t="shared" si="84"/>
        <v>#VALUE!</v>
      </c>
      <c r="H2706" s="63" t="e">
        <f t="shared" si="85"/>
        <v>#VALUE!</v>
      </c>
    </row>
    <row r="2707" spans="7:8">
      <c r="G2707" s="63" t="e">
        <f t="shared" si="84"/>
        <v>#VALUE!</v>
      </c>
      <c r="H2707" s="63" t="e">
        <f t="shared" si="85"/>
        <v>#VALUE!</v>
      </c>
    </row>
    <row r="2708" spans="7:8">
      <c r="G2708" s="63" t="e">
        <f t="shared" si="84"/>
        <v>#VALUE!</v>
      </c>
      <c r="H2708" s="63" t="e">
        <f t="shared" si="85"/>
        <v>#VALUE!</v>
      </c>
    </row>
    <row r="2709" spans="7:8">
      <c r="G2709" s="63" t="e">
        <f t="shared" si="84"/>
        <v>#VALUE!</v>
      </c>
      <c r="H2709" s="63" t="e">
        <f t="shared" si="85"/>
        <v>#VALUE!</v>
      </c>
    </row>
    <row r="2710" spans="7:8">
      <c r="G2710" s="63" t="e">
        <f t="shared" si="84"/>
        <v>#VALUE!</v>
      </c>
      <c r="H2710" s="63" t="e">
        <f t="shared" si="85"/>
        <v>#VALUE!</v>
      </c>
    </row>
    <row r="2711" spans="7:8">
      <c r="G2711" s="63" t="e">
        <f t="shared" si="84"/>
        <v>#VALUE!</v>
      </c>
      <c r="H2711" s="63" t="e">
        <f t="shared" si="85"/>
        <v>#VALUE!</v>
      </c>
    </row>
    <row r="2712" spans="7:8">
      <c r="G2712" s="63" t="e">
        <f t="shared" si="84"/>
        <v>#VALUE!</v>
      </c>
      <c r="H2712" s="63" t="e">
        <f t="shared" si="85"/>
        <v>#VALUE!</v>
      </c>
    </row>
    <row r="2713" spans="7:8">
      <c r="G2713" s="63" t="e">
        <f t="shared" si="84"/>
        <v>#VALUE!</v>
      </c>
      <c r="H2713" s="63" t="e">
        <f t="shared" si="85"/>
        <v>#VALUE!</v>
      </c>
    </row>
    <row r="2714" spans="7:8">
      <c r="G2714" s="63" t="e">
        <f t="shared" si="84"/>
        <v>#VALUE!</v>
      </c>
      <c r="H2714" s="63" t="e">
        <f t="shared" si="85"/>
        <v>#VALUE!</v>
      </c>
    </row>
    <row r="2715" spans="7:8">
      <c r="G2715" s="63" t="e">
        <f t="shared" si="84"/>
        <v>#VALUE!</v>
      </c>
      <c r="H2715" s="63" t="e">
        <f t="shared" si="85"/>
        <v>#VALUE!</v>
      </c>
    </row>
    <row r="2716" spans="7:8">
      <c r="G2716" s="63" t="e">
        <f t="shared" si="84"/>
        <v>#VALUE!</v>
      </c>
      <c r="H2716" s="63" t="e">
        <f t="shared" si="85"/>
        <v>#VALUE!</v>
      </c>
    </row>
    <row r="2717" spans="7:8">
      <c r="G2717" s="63" t="e">
        <f t="shared" si="84"/>
        <v>#VALUE!</v>
      </c>
      <c r="H2717" s="63" t="e">
        <f t="shared" si="85"/>
        <v>#VALUE!</v>
      </c>
    </row>
    <row r="2718" spans="7:8">
      <c r="G2718" s="63" t="e">
        <f t="shared" si="84"/>
        <v>#VALUE!</v>
      </c>
      <c r="H2718" s="63" t="e">
        <f t="shared" si="85"/>
        <v>#VALUE!</v>
      </c>
    </row>
    <row r="2719" spans="7:8">
      <c r="G2719" s="63" t="e">
        <f t="shared" si="84"/>
        <v>#VALUE!</v>
      </c>
      <c r="H2719" s="63" t="e">
        <f t="shared" si="85"/>
        <v>#VALUE!</v>
      </c>
    </row>
    <row r="2720" spans="7:8">
      <c r="G2720" s="63" t="e">
        <f t="shared" si="84"/>
        <v>#VALUE!</v>
      </c>
      <c r="H2720" s="63" t="e">
        <f t="shared" si="85"/>
        <v>#VALUE!</v>
      </c>
    </row>
    <row r="2721" spans="7:8">
      <c r="G2721" s="63" t="e">
        <f t="shared" si="84"/>
        <v>#VALUE!</v>
      </c>
      <c r="H2721" s="63" t="e">
        <f t="shared" si="85"/>
        <v>#VALUE!</v>
      </c>
    </row>
    <row r="2722" spans="7:8">
      <c r="G2722" s="63" t="e">
        <f t="shared" si="84"/>
        <v>#VALUE!</v>
      </c>
      <c r="H2722" s="63" t="e">
        <f t="shared" si="85"/>
        <v>#VALUE!</v>
      </c>
    </row>
    <row r="2723" spans="7:8">
      <c r="G2723" s="63" t="e">
        <f t="shared" si="84"/>
        <v>#VALUE!</v>
      </c>
      <c r="H2723" s="63" t="e">
        <f t="shared" si="85"/>
        <v>#VALUE!</v>
      </c>
    </row>
    <row r="2724" spans="7:8">
      <c r="G2724" s="63" t="e">
        <f t="shared" si="84"/>
        <v>#VALUE!</v>
      </c>
      <c r="H2724" s="63" t="e">
        <f t="shared" si="85"/>
        <v>#VALUE!</v>
      </c>
    </row>
    <row r="2725" spans="7:8">
      <c r="G2725" s="63" t="e">
        <f t="shared" si="84"/>
        <v>#VALUE!</v>
      </c>
      <c r="H2725" s="63" t="e">
        <f t="shared" si="85"/>
        <v>#VALUE!</v>
      </c>
    </row>
    <row r="2726" spans="7:8">
      <c r="G2726" s="63" t="e">
        <f t="shared" si="84"/>
        <v>#VALUE!</v>
      </c>
      <c r="H2726" s="63" t="e">
        <f t="shared" si="85"/>
        <v>#VALUE!</v>
      </c>
    </row>
    <row r="2727" spans="7:8">
      <c r="G2727" s="63" t="e">
        <f t="shared" si="84"/>
        <v>#VALUE!</v>
      </c>
      <c r="H2727" s="63" t="e">
        <f t="shared" si="85"/>
        <v>#VALUE!</v>
      </c>
    </row>
    <row r="2728" spans="7:8">
      <c r="G2728" s="63" t="e">
        <f t="shared" si="84"/>
        <v>#VALUE!</v>
      </c>
      <c r="H2728" s="63" t="e">
        <f t="shared" si="85"/>
        <v>#VALUE!</v>
      </c>
    </row>
    <row r="2729" spans="7:8">
      <c r="G2729" s="63" t="e">
        <f t="shared" si="84"/>
        <v>#VALUE!</v>
      </c>
      <c r="H2729" s="63" t="e">
        <f t="shared" si="85"/>
        <v>#VALUE!</v>
      </c>
    </row>
    <row r="2730" spans="7:8">
      <c r="G2730" s="63" t="e">
        <f t="shared" si="84"/>
        <v>#VALUE!</v>
      </c>
      <c r="H2730" s="63" t="e">
        <f t="shared" si="85"/>
        <v>#VALUE!</v>
      </c>
    </row>
    <row r="2731" spans="7:8">
      <c r="G2731" s="63" t="e">
        <f t="shared" si="84"/>
        <v>#VALUE!</v>
      </c>
      <c r="H2731" s="63" t="e">
        <f t="shared" si="85"/>
        <v>#VALUE!</v>
      </c>
    </row>
    <row r="2732" spans="7:8">
      <c r="G2732" s="63" t="e">
        <f t="shared" si="84"/>
        <v>#VALUE!</v>
      </c>
      <c r="H2732" s="63" t="e">
        <f t="shared" si="85"/>
        <v>#VALUE!</v>
      </c>
    </row>
    <row r="2733" spans="7:8">
      <c r="G2733" s="63" t="e">
        <f t="shared" si="84"/>
        <v>#VALUE!</v>
      </c>
      <c r="H2733" s="63" t="e">
        <f t="shared" si="85"/>
        <v>#VALUE!</v>
      </c>
    </row>
    <row r="2734" spans="7:8">
      <c r="G2734" s="63" t="e">
        <f t="shared" si="84"/>
        <v>#VALUE!</v>
      </c>
      <c r="H2734" s="63" t="e">
        <f t="shared" si="85"/>
        <v>#VALUE!</v>
      </c>
    </row>
    <row r="2735" spans="7:8">
      <c r="G2735" s="63" t="e">
        <f t="shared" si="84"/>
        <v>#VALUE!</v>
      </c>
      <c r="H2735" s="63" t="e">
        <f t="shared" si="85"/>
        <v>#VALUE!</v>
      </c>
    </row>
    <row r="2736" spans="7:8">
      <c r="G2736" s="63" t="e">
        <f t="shared" si="84"/>
        <v>#VALUE!</v>
      </c>
      <c r="H2736" s="63" t="e">
        <f t="shared" si="85"/>
        <v>#VALUE!</v>
      </c>
    </row>
    <row r="2737" spans="7:8">
      <c r="G2737" s="63" t="e">
        <f t="shared" si="84"/>
        <v>#VALUE!</v>
      </c>
      <c r="H2737" s="63" t="e">
        <f t="shared" si="85"/>
        <v>#VALUE!</v>
      </c>
    </row>
    <row r="2738" spans="7:8">
      <c r="G2738" s="63" t="e">
        <f t="shared" si="84"/>
        <v>#VALUE!</v>
      </c>
      <c r="H2738" s="63" t="e">
        <f t="shared" si="85"/>
        <v>#VALUE!</v>
      </c>
    </row>
    <row r="2739" spans="7:8">
      <c r="G2739" s="63" t="e">
        <f t="shared" si="84"/>
        <v>#VALUE!</v>
      </c>
      <c r="H2739" s="63" t="e">
        <f t="shared" si="85"/>
        <v>#VALUE!</v>
      </c>
    </row>
    <row r="2740" spans="7:8">
      <c r="G2740" s="63" t="e">
        <f t="shared" si="84"/>
        <v>#VALUE!</v>
      </c>
      <c r="H2740" s="63" t="e">
        <f t="shared" si="85"/>
        <v>#VALUE!</v>
      </c>
    </row>
    <row r="2741" spans="7:8">
      <c r="G2741" s="63" t="e">
        <f t="shared" si="84"/>
        <v>#VALUE!</v>
      </c>
      <c r="H2741" s="63" t="e">
        <f t="shared" si="85"/>
        <v>#VALUE!</v>
      </c>
    </row>
    <row r="2742" spans="7:8">
      <c r="G2742" s="63" t="e">
        <f t="shared" si="84"/>
        <v>#VALUE!</v>
      </c>
      <c r="H2742" s="63" t="e">
        <f t="shared" si="85"/>
        <v>#VALUE!</v>
      </c>
    </row>
    <row r="2743" spans="7:8">
      <c r="G2743" s="63" t="e">
        <f t="shared" si="84"/>
        <v>#VALUE!</v>
      </c>
      <c r="H2743" s="63" t="e">
        <f t="shared" si="85"/>
        <v>#VALUE!</v>
      </c>
    </row>
    <row r="2744" spans="7:8">
      <c r="G2744" s="63" t="e">
        <f t="shared" si="84"/>
        <v>#VALUE!</v>
      </c>
      <c r="H2744" s="63" t="e">
        <f t="shared" si="85"/>
        <v>#VALUE!</v>
      </c>
    </row>
    <row r="2745" spans="7:8">
      <c r="G2745" s="63" t="e">
        <f t="shared" si="84"/>
        <v>#VALUE!</v>
      </c>
      <c r="H2745" s="63" t="e">
        <f t="shared" si="85"/>
        <v>#VALUE!</v>
      </c>
    </row>
    <row r="2746" spans="7:8">
      <c r="G2746" s="63" t="e">
        <f t="shared" si="84"/>
        <v>#VALUE!</v>
      </c>
      <c r="H2746" s="63" t="e">
        <f t="shared" si="85"/>
        <v>#VALUE!</v>
      </c>
    </row>
    <row r="2747" spans="7:8">
      <c r="G2747" s="63" t="e">
        <f t="shared" si="84"/>
        <v>#VALUE!</v>
      </c>
      <c r="H2747" s="63" t="e">
        <f t="shared" si="85"/>
        <v>#VALUE!</v>
      </c>
    </row>
    <row r="2748" spans="7:8">
      <c r="G2748" s="63" t="e">
        <f t="shared" si="84"/>
        <v>#VALUE!</v>
      </c>
      <c r="H2748" s="63" t="e">
        <f t="shared" si="85"/>
        <v>#VALUE!</v>
      </c>
    </row>
    <row r="2749" spans="7:8">
      <c r="G2749" s="63" t="e">
        <f t="shared" si="84"/>
        <v>#VALUE!</v>
      </c>
      <c r="H2749" s="63" t="e">
        <f t="shared" si="85"/>
        <v>#VALUE!</v>
      </c>
    </row>
    <row r="2750" spans="7:8">
      <c r="G2750" s="63" t="e">
        <f t="shared" si="84"/>
        <v>#VALUE!</v>
      </c>
      <c r="H2750" s="63" t="e">
        <f t="shared" si="85"/>
        <v>#VALUE!</v>
      </c>
    </row>
    <row r="2751" spans="7:8">
      <c r="G2751" s="63" t="e">
        <f t="shared" si="84"/>
        <v>#VALUE!</v>
      </c>
      <c r="H2751" s="63" t="e">
        <f t="shared" si="85"/>
        <v>#VALUE!</v>
      </c>
    </row>
    <row r="2752" spans="7:8">
      <c r="G2752" s="63" t="e">
        <f t="shared" si="84"/>
        <v>#VALUE!</v>
      </c>
      <c r="H2752" s="63" t="e">
        <f t="shared" si="85"/>
        <v>#VALUE!</v>
      </c>
    </row>
    <row r="2753" spans="7:8">
      <c r="G2753" s="63" t="e">
        <f t="shared" si="84"/>
        <v>#VALUE!</v>
      </c>
      <c r="H2753" s="63" t="e">
        <f t="shared" si="85"/>
        <v>#VALUE!</v>
      </c>
    </row>
    <row r="2754" spans="7:8">
      <c r="G2754" s="63" t="e">
        <f t="shared" si="84"/>
        <v>#VALUE!</v>
      </c>
      <c r="H2754" s="63" t="e">
        <f t="shared" si="85"/>
        <v>#VALUE!</v>
      </c>
    </row>
    <row r="2755" spans="7:8">
      <c r="G2755" s="63" t="e">
        <f t="shared" ref="G2755:G2818" si="86">IF(OR(A2755="RID_PB77",A2755="RID_PB77A3"),"WPCI77",IF(A2755="RIDTCIAS","CSCI49",IF(A2755="RID_HCPTM","CHCPT_",IF(LEFT(A2755,1)="C",A2755,MID(A2755,6,LEN(A2755)-5)))))</f>
        <v>#VALUE!</v>
      </c>
      <c r="H2755" s="63" t="e">
        <f t="shared" ref="H2755:H2818" si="87">IF(OR(G2755="MJG1",G2755="MJG2"),"MJG",G2755)&amp;"_"&amp;B2755</f>
        <v>#VALUE!</v>
      </c>
    </row>
    <row r="2756" spans="7:8">
      <c r="G2756" s="63" t="e">
        <f t="shared" si="86"/>
        <v>#VALUE!</v>
      </c>
      <c r="H2756" s="63" t="e">
        <f t="shared" si="87"/>
        <v>#VALUE!</v>
      </c>
    </row>
    <row r="2757" spans="7:8">
      <c r="G2757" s="63" t="e">
        <f t="shared" si="86"/>
        <v>#VALUE!</v>
      </c>
      <c r="H2757" s="63" t="e">
        <f t="shared" si="87"/>
        <v>#VALUE!</v>
      </c>
    </row>
    <row r="2758" spans="7:8">
      <c r="G2758" s="63" t="e">
        <f t="shared" si="86"/>
        <v>#VALUE!</v>
      </c>
      <c r="H2758" s="63" t="e">
        <f t="shared" si="87"/>
        <v>#VALUE!</v>
      </c>
    </row>
    <row r="2759" spans="7:8">
      <c r="G2759" s="63" t="e">
        <f t="shared" si="86"/>
        <v>#VALUE!</v>
      </c>
      <c r="H2759" s="63" t="e">
        <f t="shared" si="87"/>
        <v>#VALUE!</v>
      </c>
    </row>
    <row r="2760" spans="7:8">
      <c r="G2760" s="63" t="e">
        <f t="shared" si="86"/>
        <v>#VALUE!</v>
      </c>
      <c r="H2760" s="63" t="e">
        <f t="shared" si="87"/>
        <v>#VALUE!</v>
      </c>
    </row>
    <row r="2761" spans="7:8">
      <c r="G2761" s="63" t="e">
        <f t="shared" si="86"/>
        <v>#VALUE!</v>
      </c>
      <c r="H2761" s="63" t="e">
        <f t="shared" si="87"/>
        <v>#VALUE!</v>
      </c>
    </row>
    <row r="2762" spans="7:8">
      <c r="G2762" s="63" t="e">
        <f t="shared" si="86"/>
        <v>#VALUE!</v>
      </c>
      <c r="H2762" s="63" t="e">
        <f t="shared" si="87"/>
        <v>#VALUE!</v>
      </c>
    </row>
    <row r="2763" spans="7:8">
      <c r="G2763" s="63" t="e">
        <f t="shared" si="86"/>
        <v>#VALUE!</v>
      </c>
      <c r="H2763" s="63" t="e">
        <f t="shared" si="87"/>
        <v>#VALUE!</v>
      </c>
    </row>
    <row r="2764" spans="7:8">
      <c r="G2764" s="63" t="e">
        <f t="shared" si="86"/>
        <v>#VALUE!</v>
      </c>
      <c r="H2764" s="63" t="e">
        <f t="shared" si="87"/>
        <v>#VALUE!</v>
      </c>
    </row>
    <row r="2765" spans="7:8">
      <c r="G2765" s="63" t="e">
        <f t="shared" si="86"/>
        <v>#VALUE!</v>
      </c>
      <c r="H2765" s="63" t="e">
        <f t="shared" si="87"/>
        <v>#VALUE!</v>
      </c>
    </row>
    <row r="2766" spans="7:8">
      <c r="G2766" s="63" t="e">
        <f t="shared" si="86"/>
        <v>#VALUE!</v>
      </c>
      <c r="H2766" s="63" t="e">
        <f t="shared" si="87"/>
        <v>#VALUE!</v>
      </c>
    </row>
    <row r="2767" spans="7:8">
      <c r="G2767" s="63" t="e">
        <f t="shared" si="86"/>
        <v>#VALUE!</v>
      </c>
      <c r="H2767" s="63" t="e">
        <f t="shared" si="87"/>
        <v>#VALUE!</v>
      </c>
    </row>
    <row r="2768" spans="7:8">
      <c r="G2768" s="63" t="e">
        <f t="shared" si="86"/>
        <v>#VALUE!</v>
      </c>
      <c r="H2768" s="63" t="e">
        <f t="shared" si="87"/>
        <v>#VALUE!</v>
      </c>
    </row>
    <row r="2769" spans="7:8">
      <c r="G2769" s="63" t="e">
        <f t="shared" si="86"/>
        <v>#VALUE!</v>
      </c>
      <c r="H2769" s="63" t="e">
        <f t="shared" si="87"/>
        <v>#VALUE!</v>
      </c>
    </row>
    <row r="2770" spans="7:8">
      <c r="G2770" s="63" t="e">
        <f t="shared" si="86"/>
        <v>#VALUE!</v>
      </c>
      <c r="H2770" s="63" t="e">
        <f t="shared" si="87"/>
        <v>#VALUE!</v>
      </c>
    </row>
    <row r="2771" spans="7:8">
      <c r="G2771" s="63" t="e">
        <f t="shared" si="86"/>
        <v>#VALUE!</v>
      </c>
      <c r="H2771" s="63" t="e">
        <f t="shared" si="87"/>
        <v>#VALUE!</v>
      </c>
    </row>
    <row r="2772" spans="7:8">
      <c r="G2772" s="63" t="e">
        <f t="shared" si="86"/>
        <v>#VALUE!</v>
      </c>
      <c r="H2772" s="63" t="e">
        <f t="shared" si="87"/>
        <v>#VALUE!</v>
      </c>
    </row>
    <row r="2773" spans="7:8">
      <c r="G2773" s="63" t="e">
        <f t="shared" si="86"/>
        <v>#VALUE!</v>
      </c>
      <c r="H2773" s="63" t="e">
        <f t="shared" si="87"/>
        <v>#VALUE!</v>
      </c>
    </row>
    <row r="2774" spans="7:8">
      <c r="G2774" s="63" t="e">
        <f t="shared" si="86"/>
        <v>#VALUE!</v>
      </c>
      <c r="H2774" s="63" t="e">
        <f t="shared" si="87"/>
        <v>#VALUE!</v>
      </c>
    </row>
    <row r="2775" spans="7:8">
      <c r="G2775" s="63" t="e">
        <f t="shared" si="86"/>
        <v>#VALUE!</v>
      </c>
      <c r="H2775" s="63" t="e">
        <f t="shared" si="87"/>
        <v>#VALUE!</v>
      </c>
    </row>
    <row r="2776" spans="7:8">
      <c r="G2776" s="63" t="e">
        <f t="shared" si="86"/>
        <v>#VALUE!</v>
      </c>
      <c r="H2776" s="63" t="e">
        <f t="shared" si="87"/>
        <v>#VALUE!</v>
      </c>
    </row>
    <row r="2777" spans="7:8">
      <c r="G2777" s="63" t="e">
        <f t="shared" si="86"/>
        <v>#VALUE!</v>
      </c>
      <c r="H2777" s="63" t="e">
        <f t="shared" si="87"/>
        <v>#VALUE!</v>
      </c>
    </row>
    <row r="2778" spans="7:8">
      <c r="G2778" s="63" t="e">
        <f t="shared" si="86"/>
        <v>#VALUE!</v>
      </c>
      <c r="H2778" s="63" t="e">
        <f t="shared" si="87"/>
        <v>#VALUE!</v>
      </c>
    </row>
    <row r="2779" spans="7:8">
      <c r="G2779" s="63" t="e">
        <f t="shared" si="86"/>
        <v>#VALUE!</v>
      </c>
      <c r="H2779" s="63" t="e">
        <f t="shared" si="87"/>
        <v>#VALUE!</v>
      </c>
    </row>
    <row r="2780" spans="7:8">
      <c r="G2780" s="63" t="e">
        <f t="shared" si="86"/>
        <v>#VALUE!</v>
      </c>
      <c r="H2780" s="63" t="e">
        <f t="shared" si="87"/>
        <v>#VALUE!</v>
      </c>
    </row>
    <row r="2781" spans="7:8">
      <c r="G2781" s="63" t="e">
        <f t="shared" si="86"/>
        <v>#VALUE!</v>
      </c>
      <c r="H2781" s="63" t="e">
        <f t="shared" si="87"/>
        <v>#VALUE!</v>
      </c>
    </row>
    <row r="2782" spans="7:8">
      <c r="G2782" s="63" t="e">
        <f t="shared" si="86"/>
        <v>#VALUE!</v>
      </c>
      <c r="H2782" s="63" t="e">
        <f t="shared" si="87"/>
        <v>#VALUE!</v>
      </c>
    </row>
    <row r="2783" spans="7:8">
      <c r="G2783" s="63" t="e">
        <f t="shared" si="86"/>
        <v>#VALUE!</v>
      </c>
      <c r="H2783" s="63" t="e">
        <f t="shared" si="87"/>
        <v>#VALUE!</v>
      </c>
    </row>
    <row r="2784" spans="7:8">
      <c r="G2784" s="63" t="e">
        <f t="shared" si="86"/>
        <v>#VALUE!</v>
      </c>
      <c r="H2784" s="63" t="e">
        <f t="shared" si="87"/>
        <v>#VALUE!</v>
      </c>
    </row>
    <row r="2785" spans="7:8">
      <c r="G2785" s="63" t="e">
        <f t="shared" si="86"/>
        <v>#VALUE!</v>
      </c>
      <c r="H2785" s="63" t="e">
        <f t="shared" si="87"/>
        <v>#VALUE!</v>
      </c>
    </row>
    <row r="2786" spans="7:8">
      <c r="G2786" s="63" t="e">
        <f t="shared" si="86"/>
        <v>#VALUE!</v>
      </c>
      <c r="H2786" s="63" t="e">
        <f t="shared" si="87"/>
        <v>#VALUE!</v>
      </c>
    </row>
    <row r="2787" spans="7:8">
      <c r="G2787" s="63" t="e">
        <f t="shared" si="86"/>
        <v>#VALUE!</v>
      </c>
      <c r="H2787" s="63" t="e">
        <f t="shared" si="87"/>
        <v>#VALUE!</v>
      </c>
    </row>
    <row r="2788" spans="7:8">
      <c r="G2788" s="63" t="e">
        <f t="shared" si="86"/>
        <v>#VALUE!</v>
      </c>
      <c r="H2788" s="63" t="e">
        <f t="shared" si="87"/>
        <v>#VALUE!</v>
      </c>
    </row>
    <row r="2789" spans="7:8">
      <c r="G2789" s="63" t="e">
        <f t="shared" si="86"/>
        <v>#VALUE!</v>
      </c>
      <c r="H2789" s="63" t="e">
        <f t="shared" si="87"/>
        <v>#VALUE!</v>
      </c>
    </row>
    <row r="2790" spans="7:8">
      <c r="G2790" s="63" t="e">
        <f t="shared" si="86"/>
        <v>#VALUE!</v>
      </c>
      <c r="H2790" s="63" t="e">
        <f t="shared" si="87"/>
        <v>#VALUE!</v>
      </c>
    </row>
    <row r="2791" spans="7:8">
      <c r="G2791" s="63" t="e">
        <f t="shared" si="86"/>
        <v>#VALUE!</v>
      </c>
      <c r="H2791" s="63" t="e">
        <f t="shared" si="87"/>
        <v>#VALUE!</v>
      </c>
    </row>
    <row r="2792" spans="7:8">
      <c r="G2792" s="63" t="e">
        <f t="shared" si="86"/>
        <v>#VALUE!</v>
      </c>
      <c r="H2792" s="63" t="e">
        <f t="shared" si="87"/>
        <v>#VALUE!</v>
      </c>
    </row>
    <row r="2793" spans="7:8">
      <c r="G2793" s="63" t="e">
        <f t="shared" si="86"/>
        <v>#VALUE!</v>
      </c>
      <c r="H2793" s="63" t="e">
        <f t="shared" si="87"/>
        <v>#VALUE!</v>
      </c>
    </row>
    <row r="2794" spans="7:8">
      <c r="G2794" s="63" t="e">
        <f t="shared" si="86"/>
        <v>#VALUE!</v>
      </c>
      <c r="H2794" s="63" t="e">
        <f t="shared" si="87"/>
        <v>#VALUE!</v>
      </c>
    </row>
    <row r="2795" spans="7:8">
      <c r="G2795" s="63" t="e">
        <f t="shared" si="86"/>
        <v>#VALUE!</v>
      </c>
      <c r="H2795" s="63" t="e">
        <f t="shared" si="87"/>
        <v>#VALUE!</v>
      </c>
    </row>
    <row r="2796" spans="7:8">
      <c r="G2796" s="63" t="e">
        <f t="shared" si="86"/>
        <v>#VALUE!</v>
      </c>
      <c r="H2796" s="63" t="e">
        <f t="shared" si="87"/>
        <v>#VALUE!</v>
      </c>
    </row>
    <row r="2797" spans="7:8">
      <c r="G2797" s="63" t="e">
        <f t="shared" si="86"/>
        <v>#VALUE!</v>
      </c>
      <c r="H2797" s="63" t="e">
        <f t="shared" si="87"/>
        <v>#VALUE!</v>
      </c>
    </row>
    <row r="2798" spans="7:8">
      <c r="G2798" s="63" t="e">
        <f t="shared" si="86"/>
        <v>#VALUE!</v>
      </c>
      <c r="H2798" s="63" t="e">
        <f t="shared" si="87"/>
        <v>#VALUE!</v>
      </c>
    </row>
    <row r="2799" spans="7:8">
      <c r="G2799" s="63" t="e">
        <f t="shared" si="86"/>
        <v>#VALUE!</v>
      </c>
      <c r="H2799" s="63" t="e">
        <f t="shared" si="87"/>
        <v>#VALUE!</v>
      </c>
    </row>
    <row r="2800" spans="7:8">
      <c r="G2800" s="63" t="e">
        <f t="shared" si="86"/>
        <v>#VALUE!</v>
      </c>
      <c r="H2800" s="63" t="e">
        <f t="shared" si="87"/>
        <v>#VALUE!</v>
      </c>
    </row>
    <row r="2801" spans="7:8">
      <c r="G2801" s="63" t="e">
        <f t="shared" si="86"/>
        <v>#VALUE!</v>
      </c>
      <c r="H2801" s="63" t="e">
        <f t="shared" si="87"/>
        <v>#VALUE!</v>
      </c>
    </row>
    <row r="2802" spans="7:8">
      <c r="G2802" s="63" t="e">
        <f t="shared" si="86"/>
        <v>#VALUE!</v>
      </c>
      <c r="H2802" s="63" t="e">
        <f t="shared" si="87"/>
        <v>#VALUE!</v>
      </c>
    </row>
    <row r="2803" spans="7:8">
      <c r="G2803" s="63" t="e">
        <f t="shared" si="86"/>
        <v>#VALUE!</v>
      </c>
      <c r="H2803" s="63" t="e">
        <f t="shared" si="87"/>
        <v>#VALUE!</v>
      </c>
    </row>
    <row r="2804" spans="7:8">
      <c r="G2804" s="63" t="e">
        <f t="shared" si="86"/>
        <v>#VALUE!</v>
      </c>
      <c r="H2804" s="63" t="e">
        <f t="shared" si="87"/>
        <v>#VALUE!</v>
      </c>
    </row>
    <row r="2805" spans="7:8">
      <c r="G2805" s="63" t="e">
        <f t="shared" si="86"/>
        <v>#VALUE!</v>
      </c>
      <c r="H2805" s="63" t="e">
        <f t="shared" si="87"/>
        <v>#VALUE!</v>
      </c>
    </row>
    <row r="2806" spans="7:8">
      <c r="G2806" s="63" t="e">
        <f t="shared" si="86"/>
        <v>#VALUE!</v>
      </c>
      <c r="H2806" s="63" t="e">
        <f t="shared" si="87"/>
        <v>#VALUE!</v>
      </c>
    </row>
    <row r="2807" spans="7:8">
      <c r="G2807" s="63" t="e">
        <f t="shared" si="86"/>
        <v>#VALUE!</v>
      </c>
      <c r="H2807" s="63" t="e">
        <f t="shared" si="87"/>
        <v>#VALUE!</v>
      </c>
    </row>
    <row r="2808" spans="7:8">
      <c r="G2808" s="63" t="e">
        <f t="shared" si="86"/>
        <v>#VALUE!</v>
      </c>
      <c r="H2808" s="63" t="e">
        <f t="shared" si="87"/>
        <v>#VALUE!</v>
      </c>
    </row>
    <row r="2809" spans="7:8">
      <c r="G2809" s="63" t="e">
        <f t="shared" si="86"/>
        <v>#VALUE!</v>
      </c>
      <c r="H2809" s="63" t="e">
        <f t="shared" si="87"/>
        <v>#VALUE!</v>
      </c>
    </row>
    <row r="2810" spans="7:8">
      <c r="G2810" s="63" t="e">
        <f t="shared" si="86"/>
        <v>#VALUE!</v>
      </c>
      <c r="H2810" s="63" t="e">
        <f t="shared" si="87"/>
        <v>#VALUE!</v>
      </c>
    </row>
    <row r="2811" spans="7:8">
      <c r="G2811" s="63" t="e">
        <f t="shared" si="86"/>
        <v>#VALUE!</v>
      </c>
      <c r="H2811" s="63" t="e">
        <f t="shared" si="87"/>
        <v>#VALUE!</v>
      </c>
    </row>
    <row r="2812" spans="7:8">
      <c r="G2812" s="63" t="e">
        <f t="shared" si="86"/>
        <v>#VALUE!</v>
      </c>
      <c r="H2812" s="63" t="e">
        <f t="shared" si="87"/>
        <v>#VALUE!</v>
      </c>
    </row>
    <row r="2813" spans="7:8">
      <c r="G2813" s="63" t="e">
        <f t="shared" si="86"/>
        <v>#VALUE!</v>
      </c>
      <c r="H2813" s="63" t="e">
        <f t="shared" si="87"/>
        <v>#VALUE!</v>
      </c>
    </row>
    <row r="2814" spans="7:8">
      <c r="G2814" s="63" t="e">
        <f t="shared" si="86"/>
        <v>#VALUE!</v>
      </c>
      <c r="H2814" s="63" t="e">
        <f t="shared" si="87"/>
        <v>#VALUE!</v>
      </c>
    </row>
    <row r="2815" spans="7:8">
      <c r="G2815" s="63" t="e">
        <f t="shared" si="86"/>
        <v>#VALUE!</v>
      </c>
      <c r="H2815" s="63" t="e">
        <f t="shared" si="87"/>
        <v>#VALUE!</v>
      </c>
    </row>
    <row r="2816" spans="7:8">
      <c r="G2816" s="63" t="e">
        <f t="shared" si="86"/>
        <v>#VALUE!</v>
      </c>
      <c r="H2816" s="63" t="e">
        <f t="shared" si="87"/>
        <v>#VALUE!</v>
      </c>
    </row>
    <row r="2817" spans="7:8">
      <c r="G2817" s="63" t="e">
        <f t="shared" si="86"/>
        <v>#VALUE!</v>
      </c>
      <c r="H2817" s="63" t="e">
        <f t="shared" si="87"/>
        <v>#VALUE!</v>
      </c>
    </row>
    <row r="2818" spans="7:8">
      <c r="G2818" s="63" t="e">
        <f t="shared" si="86"/>
        <v>#VALUE!</v>
      </c>
      <c r="H2818" s="63" t="e">
        <f t="shared" si="87"/>
        <v>#VALUE!</v>
      </c>
    </row>
    <row r="2819" spans="7:8">
      <c r="G2819" s="63" t="e">
        <f t="shared" ref="G2819:G2882" si="88">IF(OR(A2819="RID_PB77",A2819="RID_PB77A3"),"WPCI77",IF(A2819="RIDTCIAS","CSCI49",IF(A2819="RID_HCPTM","CHCPT_",IF(LEFT(A2819,1)="C",A2819,MID(A2819,6,LEN(A2819)-5)))))</f>
        <v>#VALUE!</v>
      </c>
      <c r="H2819" s="63" t="e">
        <f t="shared" ref="H2819:H2882" si="89">IF(OR(G2819="MJG1",G2819="MJG2"),"MJG",G2819)&amp;"_"&amp;B2819</f>
        <v>#VALUE!</v>
      </c>
    </row>
    <row r="2820" spans="7:8">
      <c r="G2820" s="63" t="e">
        <f t="shared" si="88"/>
        <v>#VALUE!</v>
      </c>
      <c r="H2820" s="63" t="e">
        <f t="shared" si="89"/>
        <v>#VALUE!</v>
      </c>
    </row>
    <row r="2821" spans="7:8">
      <c r="G2821" s="63" t="e">
        <f t="shared" si="88"/>
        <v>#VALUE!</v>
      </c>
      <c r="H2821" s="63" t="e">
        <f t="shared" si="89"/>
        <v>#VALUE!</v>
      </c>
    </row>
    <row r="2822" spans="7:8">
      <c r="G2822" s="63" t="e">
        <f t="shared" si="88"/>
        <v>#VALUE!</v>
      </c>
      <c r="H2822" s="63" t="e">
        <f t="shared" si="89"/>
        <v>#VALUE!</v>
      </c>
    </row>
    <row r="2823" spans="7:8">
      <c r="G2823" s="63" t="e">
        <f t="shared" si="88"/>
        <v>#VALUE!</v>
      </c>
      <c r="H2823" s="63" t="e">
        <f t="shared" si="89"/>
        <v>#VALUE!</v>
      </c>
    </row>
    <row r="2824" spans="7:8">
      <c r="G2824" s="63" t="e">
        <f t="shared" si="88"/>
        <v>#VALUE!</v>
      </c>
      <c r="H2824" s="63" t="e">
        <f t="shared" si="89"/>
        <v>#VALUE!</v>
      </c>
    </row>
    <row r="2825" spans="7:8">
      <c r="G2825" s="63" t="e">
        <f t="shared" si="88"/>
        <v>#VALUE!</v>
      </c>
      <c r="H2825" s="63" t="e">
        <f t="shared" si="89"/>
        <v>#VALUE!</v>
      </c>
    </row>
    <row r="2826" spans="7:8">
      <c r="G2826" s="63" t="e">
        <f t="shared" si="88"/>
        <v>#VALUE!</v>
      </c>
      <c r="H2826" s="63" t="e">
        <f t="shared" si="89"/>
        <v>#VALUE!</v>
      </c>
    </row>
    <row r="2827" spans="7:8">
      <c r="G2827" s="63" t="e">
        <f t="shared" si="88"/>
        <v>#VALUE!</v>
      </c>
      <c r="H2827" s="63" t="e">
        <f t="shared" si="89"/>
        <v>#VALUE!</v>
      </c>
    </row>
    <row r="2828" spans="7:8">
      <c r="G2828" s="63" t="e">
        <f t="shared" si="88"/>
        <v>#VALUE!</v>
      </c>
      <c r="H2828" s="63" t="e">
        <f t="shared" si="89"/>
        <v>#VALUE!</v>
      </c>
    </row>
    <row r="2829" spans="7:8">
      <c r="G2829" s="63" t="e">
        <f t="shared" si="88"/>
        <v>#VALUE!</v>
      </c>
      <c r="H2829" s="63" t="e">
        <f t="shared" si="89"/>
        <v>#VALUE!</v>
      </c>
    </row>
    <row r="2830" spans="7:8">
      <c r="G2830" s="63" t="e">
        <f t="shared" si="88"/>
        <v>#VALUE!</v>
      </c>
      <c r="H2830" s="63" t="e">
        <f t="shared" si="89"/>
        <v>#VALUE!</v>
      </c>
    </row>
    <row r="2831" spans="7:8">
      <c r="G2831" s="63" t="e">
        <f t="shared" si="88"/>
        <v>#VALUE!</v>
      </c>
      <c r="H2831" s="63" t="e">
        <f t="shared" si="89"/>
        <v>#VALUE!</v>
      </c>
    </row>
    <row r="2832" spans="7:8">
      <c r="G2832" s="63" t="e">
        <f t="shared" si="88"/>
        <v>#VALUE!</v>
      </c>
      <c r="H2832" s="63" t="e">
        <f t="shared" si="89"/>
        <v>#VALUE!</v>
      </c>
    </row>
    <row r="2833" spans="7:8">
      <c r="G2833" s="63" t="e">
        <f t="shared" si="88"/>
        <v>#VALUE!</v>
      </c>
      <c r="H2833" s="63" t="e">
        <f t="shared" si="89"/>
        <v>#VALUE!</v>
      </c>
    </row>
    <row r="2834" spans="7:8">
      <c r="G2834" s="63" t="e">
        <f t="shared" si="88"/>
        <v>#VALUE!</v>
      </c>
      <c r="H2834" s="63" t="e">
        <f t="shared" si="89"/>
        <v>#VALUE!</v>
      </c>
    </row>
    <row r="2835" spans="7:8">
      <c r="G2835" s="63" t="e">
        <f t="shared" si="88"/>
        <v>#VALUE!</v>
      </c>
      <c r="H2835" s="63" t="e">
        <f t="shared" si="89"/>
        <v>#VALUE!</v>
      </c>
    </row>
    <row r="2836" spans="7:8">
      <c r="G2836" s="63" t="e">
        <f t="shared" si="88"/>
        <v>#VALUE!</v>
      </c>
      <c r="H2836" s="63" t="e">
        <f t="shared" si="89"/>
        <v>#VALUE!</v>
      </c>
    </row>
    <row r="2837" spans="7:8">
      <c r="G2837" s="63" t="e">
        <f t="shared" si="88"/>
        <v>#VALUE!</v>
      </c>
      <c r="H2837" s="63" t="e">
        <f t="shared" si="89"/>
        <v>#VALUE!</v>
      </c>
    </row>
    <row r="2838" spans="7:8">
      <c r="G2838" s="63" t="e">
        <f t="shared" si="88"/>
        <v>#VALUE!</v>
      </c>
      <c r="H2838" s="63" t="e">
        <f t="shared" si="89"/>
        <v>#VALUE!</v>
      </c>
    </row>
    <row r="2839" spans="7:8">
      <c r="G2839" s="63" t="e">
        <f t="shared" si="88"/>
        <v>#VALUE!</v>
      </c>
      <c r="H2839" s="63" t="e">
        <f t="shared" si="89"/>
        <v>#VALUE!</v>
      </c>
    </row>
    <row r="2840" spans="7:8">
      <c r="G2840" s="63" t="e">
        <f t="shared" si="88"/>
        <v>#VALUE!</v>
      </c>
      <c r="H2840" s="63" t="e">
        <f t="shared" si="89"/>
        <v>#VALUE!</v>
      </c>
    </row>
    <row r="2841" spans="7:8">
      <c r="G2841" s="63" t="e">
        <f t="shared" si="88"/>
        <v>#VALUE!</v>
      </c>
      <c r="H2841" s="63" t="e">
        <f t="shared" si="89"/>
        <v>#VALUE!</v>
      </c>
    </row>
    <row r="2842" spans="7:8">
      <c r="G2842" s="63" t="e">
        <f t="shared" si="88"/>
        <v>#VALUE!</v>
      </c>
      <c r="H2842" s="63" t="e">
        <f t="shared" si="89"/>
        <v>#VALUE!</v>
      </c>
    </row>
    <row r="2843" spans="7:8">
      <c r="G2843" s="63" t="e">
        <f t="shared" si="88"/>
        <v>#VALUE!</v>
      </c>
      <c r="H2843" s="63" t="e">
        <f t="shared" si="89"/>
        <v>#VALUE!</v>
      </c>
    </row>
    <row r="2844" spans="7:8">
      <c r="G2844" s="63" t="e">
        <f t="shared" si="88"/>
        <v>#VALUE!</v>
      </c>
      <c r="H2844" s="63" t="e">
        <f t="shared" si="89"/>
        <v>#VALUE!</v>
      </c>
    </row>
    <row r="2845" spans="7:8">
      <c r="G2845" s="63" t="e">
        <f t="shared" si="88"/>
        <v>#VALUE!</v>
      </c>
      <c r="H2845" s="63" t="e">
        <f t="shared" si="89"/>
        <v>#VALUE!</v>
      </c>
    </row>
    <row r="2846" spans="7:8">
      <c r="G2846" s="63" t="e">
        <f t="shared" si="88"/>
        <v>#VALUE!</v>
      </c>
      <c r="H2846" s="63" t="e">
        <f t="shared" si="89"/>
        <v>#VALUE!</v>
      </c>
    </row>
    <row r="2847" spans="7:8">
      <c r="G2847" s="63" t="e">
        <f t="shared" si="88"/>
        <v>#VALUE!</v>
      </c>
      <c r="H2847" s="63" t="e">
        <f t="shared" si="89"/>
        <v>#VALUE!</v>
      </c>
    </row>
    <row r="2848" spans="7:8">
      <c r="G2848" s="63" t="e">
        <f t="shared" si="88"/>
        <v>#VALUE!</v>
      </c>
      <c r="H2848" s="63" t="e">
        <f t="shared" si="89"/>
        <v>#VALUE!</v>
      </c>
    </row>
    <row r="2849" spans="7:8">
      <c r="G2849" s="63" t="e">
        <f t="shared" si="88"/>
        <v>#VALUE!</v>
      </c>
      <c r="H2849" s="63" t="e">
        <f t="shared" si="89"/>
        <v>#VALUE!</v>
      </c>
    </row>
    <row r="2850" spans="7:8">
      <c r="G2850" s="63" t="e">
        <f t="shared" si="88"/>
        <v>#VALUE!</v>
      </c>
      <c r="H2850" s="63" t="e">
        <f t="shared" si="89"/>
        <v>#VALUE!</v>
      </c>
    </row>
    <row r="2851" spans="7:8">
      <c r="G2851" s="63" t="e">
        <f t="shared" si="88"/>
        <v>#VALUE!</v>
      </c>
      <c r="H2851" s="63" t="e">
        <f t="shared" si="89"/>
        <v>#VALUE!</v>
      </c>
    </row>
    <row r="2852" spans="7:8">
      <c r="G2852" s="63" t="e">
        <f t="shared" si="88"/>
        <v>#VALUE!</v>
      </c>
      <c r="H2852" s="63" t="e">
        <f t="shared" si="89"/>
        <v>#VALUE!</v>
      </c>
    </row>
    <row r="2853" spans="7:8">
      <c r="G2853" s="63" t="e">
        <f t="shared" si="88"/>
        <v>#VALUE!</v>
      </c>
      <c r="H2853" s="63" t="e">
        <f t="shared" si="89"/>
        <v>#VALUE!</v>
      </c>
    </row>
    <row r="2854" spans="7:8">
      <c r="G2854" s="63" t="e">
        <f t="shared" si="88"/>
        <v>#VALUE!</v>
      </c>
      <c r="H2854" s="63" t="e">
        <f t="shared" si="89"/>
        <v>#VALUE!</v>
      </c>
    </row>
    <row r="2855" spans="7:8">
      <c r="G2855" s="63" t="e">
        <f t="shared" si="88"/>
        <v>#VALUE!</v>
      </c>
      <c r="H2855" s="63" t="e">
        <f t="shared" si="89"/>
        <v>#VALUE!</v>
      </c>
    </row>
    <row r="2856" spans="7:8">
      <c r="G2856" s="63" t="e">
        <f t="shared" si="88"/>
        <v>#VALUE!</v>
      </c>
      <c r="H2856" s="63" t="e">
        <f t="shared" si="89"/>
        <v>#VALUE!</v>
      </c>
    </row>
    <row r="2857" spans="7:8">
      <c r="G2857" s="63" t="e">
        <f t="shared" si="88"/>
        <v>#VALUE!</v>
      </c>
      <c r="H2857" s="63" t="e">
        <f t="shared" si="89"/>
        <v>#VALUE!</v>
      </c>
    </row>
    <row r="2858" spans="7:8">
      <c r="G2858" s="63" t="e">
        <f t="shared" si="88"/>
        <v>#VALUE!</v>
      </c>
      <c r="H2858" s="63" t="e">
        <f t="shared" si="89"/>
        <v>#VALUE!</v>
      </c>
    </row>
    <row r="2859" spans="7:8">
      <c r="G2859" s="63" t="e">
        <f t="shared" si="88"/>
        <v>#VALUE!</v>
      </c>
      <c r="H2859" s="63" t="e">
        <f t="shared" si="89"/>
        <v>#VALUE!</v>
      </c>
    </row>
    <row r="2860" spans="7:8">
      <c r="G2860" s="63" t="e">
        <f t="shared" si="88"/>
        <v>#VALUE!</v>
      </c>
      <c r="H2860" s="63" t="e">
        <f t="shared" si="89"/>
        <v>#VALUE!</v>
      </c>
    </row>
    <row r="2861" spans="7:8">
      <c r="G2861" s="63" t="e">
        <f t="shared" si="88"/>
        <v>#VALUE!</v>
      </c>
      <c r="H2861" s="63" t="e">
        <f t="shared" si="89"/>
        <v>#VALUE!</v>
      </c>
    </row>
    <row r="2862" spans="7:8">
      <c r="G2862" s="63" t="e">
        <f t="shared" si="88"/>
        <v>#VALUE!</v>
      </c>
      <c r="H2862" s="63" t="e">
        <f t="shared" si="89"/>
        <v>#VALUE!</v>
      </c>
    </row>
    <row r="2863" spans="7:8">
      <c r="G2863" s="63" t="e">
        <f t="shared" si="88"/>
        <v>#VALUE!</v>
      </c>
      <c r="H2863" s="63" t="e">
        <f t="shared" si="89"/>
        <v>#VALUE!</v>
      </c>
    </row>
    <row r="2864" spans="7:8">
      <c r="G2864" s="63" t="e">
        <f t="shared" si="88"/>
        <v>#VALUE!</v>
      </c>
      <c r="H2864" s="63" t="e">
        <f t="shared" si="89"/>
        <v>#VALUE!</v>
      </c>
    </row>
    <row r="2865" spans="7:8">
      <c r="G2865" s="63" t="e">
        <f t="shared" si="88"/>
        <v>#VALUE!</v>
      </c>
      <c r="H2865" s="63" t="e">
        <f t="shared" si="89"/>
        <v>#VALUE!</v>
      </c>
    </row>
    <row r="2866" spans="7:8">
      <c r="G2866" s="63" t="e">
        <f t="shared" si="88"/>
        <v>#VALUE!</v>
      </c>
      <c r="H2866" s="63" t="e">
        <f t="shared" si="89"/>
        <v>#VALUE!</v>
      </c>
    </row>
    <row r="2867" spans="7:8">
      <c r="G2867" s="63" t="e">
        <f t="shared" si="88"/>
        <v>#VALUE!</v>
      </c>
      <c r="H2867" s="63" t="e">
        <f t="shared" si="89"/>
        <v>#VALUE!</v>
      </c>
    </row>
    <row r="2868" spans="7:8">
      <c r="G2868" s="63" t="e">
        <f t="shared" si="88"/>
        <v>#VALUE!</v>
      </c>
      <c r="H2868" s="63" t="e">
        <f t="shared" si="89"/>
        <v>#VALUE!</v>
      </c>
    </row>
    <row r="2869" spans="7:8">
      <c r="G2869" s="63" t="e">
        <f t="shared" si="88"/>
        <v>#VALUE!</v>
      </c>
      <c r="H2869" s="63" t="e">
        <f t="shared" si="89"/>
        <v>#VALUE!</v>
      </c>
    </row>
    <row r="2870" spans="7:8">
      <c r="G2870" s="63" t="e">
        <f t="shared" si="88"/>
        <v>#VALUE!</v>
      </c>
      <c r="H2870" s="63" t="e">
        <f t="shared" si="89"/>
        <v>#VALUE!</v>
      </c>
    </row>
    <row r="2871" spans="7:8">
      <c r="G2871" s="63" t="e">
        <f t="shared" si="88"/>
        <v>#VALUE!</v>
      </c>
      <c r="H2871" s="63" t="e">
        <f t="shared" si="89"/>
        <v>#VALUE!</v>
      </c>
    </row>
    <row r="2872" spans="7:8">
      <c r="G2872" s="63" t="e">
        <f t="shared" si="88"/>
        <v>#VALUE!</v>
      </c>
      <c r="H2872" s="63" t="e">
        <f t="shared" si="89"/>
        <v>#VALUE!</v>
      </c>
    </row>
    <row r="2873" spans="7:8">
      <c r="G2873" s="63" t="e">
        <f t="shared" si="88"/>
        <v>#VALUE!</v>
      </c>
      <c r="H2873" s="63" t="e">
        <f t="shared" si="89"/>
        <v>#VALUE!</v>
      </c>
    </row>
    <row r="2874" spans="7:8">
      <c r="G2874" s="63" t="e">
        <f t="shared" si="88"/>
        <v>#VALUE!</v>
      </c>
      <c r="H2874" s="63" t="e">
        <f t="shared" si="89"/>
        <v>#VALUE!</v>
      </c>
    </row>
    <row r="2875" spans="7:8">
      <c r="G2875" s="63" t="e">
        <f t="shared" si="88"/>
        <v>#VALUE!</v>
      </c>
      <c r="H2875" s="63" t="e">
        <f t="shared" si="89"/>
        <v>#VALUE!</v>
      </c>
    </row>
    <row r="2876" spans="7:8">
      <c r="G2876" s="63" t="e">
        <f t="shared" si="88"/>
        <v>#VALUE!</v>
      </c>
      <c r="H2876" s="63" t="e">
        <f t="shared" si="89"/>
        <v>#VALUE!</v>
      </c>
    </row>
    <row r="2877" spans="7:8">
      <c r="G2877" s="63" t="e">
        <f t="shared" si="88"/>
        <v>#VALUE!</v>
      </c>
      <c r="H2877" s="63" t="e">
        <f t="shared" si="89"/>
        <v>#VALUE!</v>
      </c>
    </row>
    <row r="2878" spans="7:8">
      <c r="G2878" s="63" t="e">
        <f t="shared" si="88"/>
        <v>#VALUE!</v>
      </c>
      <c r="H2878" s="63" t="e">
        <f t="shared" si="89"/>
        <v>#VALUE!</v>
      </c>
    </row>
    <row r="2879" spans="7:8">
      <c r="G2879" s="63" t="e">
        <f t="shared" si="88"/>
        <v>#VALUE!</v>
      </c>
      <c r="H2879" s="63" t="e">
        <f t="shared" si="89"/>
        <v>#VALUE!</v>
      </c>
    </row>
    <row r="2880" spans="7:8">
      <c r="G2880" s="63" t="e">
        <f t="shared" si="88"/>
        <v>#VALUE!</v>
      </c>
      <c r="H2880" s="63" t="e">
        <f t="shared" si="89"/>
        <v>#VALUE!</v>
      </c>
    </row>
    <row r="2881" spans="7:8">
      <c r="G2881" s="63" t="e">
        <f t="shared" si="88"/>
        <v>#VALUE!</v>
      </c>
      <c r="H2881" s="63" t="e">
        <f t="shared" si="89"/>
        <v>#VALUE!</v>
      </c>
    </row>
    <row r="2882" spans="7:8">
      <c r="G2882" s="63" t="e">
        <f t="shared" si="88"/>
        <v>#VALUE!</v>
      </c>
      <c r="H2882" s="63" t="e">
        <f t="shared" si="89"/>
        <v>#VALUE!</v>
      </c>
    </row>
    <row r="2883" spans="7:8">
      <c r="G2883" s="63" t="e">
        <f t="shared" ref="G2883:G2946" si="90">IF(OR(A2883="RID_PB77",A2883="RID_PB77A3"),"WPCI77",IF(A2883="RIDTCIAS","CSCI49",IF(A2883="RID_HCPTM","CHCPT_",IF(LEFT(A2883,1)="C",A2883,MID(A2883,6,LEN(A2883)-5)))))</f>
        <v>#VALUE!</v>
      </c>
      <c r="H2883" s="63" t="e">
        <f t="shared" ref="H2883:H2946" si="91">IF(OR(G2883="MJG1",G2883="MJG2"),"MJG",G2883)&amp;"_"&amp;B2883</f>
        <v>#VALUE!</v>
      </c>
    </row>
    <row r="2884" spans="7:8">
      <c r="G2884" s="63" t="e">
        <f t="shared" si="90"/>
        <v>#VALUE!</v>
      </c>
      <c r="H2884" s="63" t="e">
        <f t="shared" si="91"/>
        <v>#VALUE!</v>
      </c>
    </row>
    <row r="2885" spans="7:8">
      <c r="G2885" s="63" t="e">
        <f t="shared" si="90"/>
        <v>#VALUE!</v>
      </c>
      <c r="H2885" s="63" t="e">
        <f t="shared" si="91"/>
        <v>#VALUE!</v>
      </c>
    </row>
    <row r="2886" spans="7:8">
      <c r="G2886" s="63" t="e">
        <f t="shared" si="90"/>
        <v>#VALUE!</v>
      </c>
      <c r="H2886" s="63" t="e">
        <f t="shared" si="91"/>
        <v>#VALUE!</v>
      </c>
    </row>
    <row r="2887" spans="7:8">
      <c r="G2887" s="63" t="e">
        <f t="shared" si="90"/>
        <v>#VALUE!</v>
      </c>
      <c r="H2887" s="63" t="e">
        <f t="shared" si="91"/>
        <v>#VALUE!</v>
      </c>
    </row>
    <row r="2888" spans="7:8">
      <c r="G2888" s="63" t="e">
        <f t="shared" si="90"/>
        <v>#VALUE!</v>
      </c>
      <c r="H2888" s="63" t="e">
        <f t="shared" si="91"/>
        <v>#VALUE!</v>
      </c>
    </row>
    <row r="2889" spans="7:8">
      <c r="G2889" s="63" t="e">
        <f t="shared" si="90"/>
        <v>#VALUE!</v>
      </c>
      <c r="H2889" s="63" t="e">
        <f t="shared" si="91"/>
        <v>#VALUE!</v>
      </c>
    </row>
    <row r="2890" spans="7:8">
      <c r="G2890" s="63" t="e">
        <f t="shared" si="90"/>
        <v>#VALUE!</v>
      </c>
      <c r="H2890" s="63" t="e">
        <f t="shared" si="91"/>
        <v>#VALUE!</v>
      </c>
    </row>
    <row r="2891" spans="7:8">
      <c r="G2891" s="63" t="e">
        <f t="shared" si="90"/>
        <v>#VALUE!</v>
      </c>
      <c r="H2891" s="63" t="e">
        <f t="shared" si="91"/>
        <v>#VALUE!</v>
      </c>
    </row>
    <row r="2892" spans="7:8">
      <c r="G2892" s="63" t="e">
        <f t="shared" si="90"/>
        <v>#VALUE!</v>
      </c>
      <c r="H2892" s="63" t="e">
        <f t="shared" si="91"/>
        <v>#VALUE!</v>
      </c>
    </row>
    <row r="2893" spans="7:8">
      <c r="G2893" s="63" t="e">
        <f t="shared" si="90"/>
        <v>#VALUE!</v>
      </c>
      <c r="H2893" s="63" t="e">
        <f t="shared" si="91"/>
        <v>#VALUE!</v>
      </c>
    </row>
    <row r="2894" spans="7:8">
      <c r="G2894" s="63" t="e">
        <f t="shared" si="90"/>
        <v>#VALUE!</v>
      </c>
      <c r="H2894" s="63" t="e">
        <f t="shared" si="91"/>
        <v>#VALUE!</v>
      </c>
    </row>
    <row r="2895" spans="7:8">
      <c r="G2895" s="63" t="e">
        <f t="shared" si="90"/>
        <v>#VALUE!</v>
      </c>
      <c r="H2895" s="63" t="e">
        <f t="shared" si="91"/>
        <v>#VALUE!</v>
      </c>
    </row>
    <row r="2896" spans="7:8">
      <c r="G2896" s="63" t="e">
        <f t="shared" si="90"/>
        <v>#VALUE!</v>
      </c>
      <c r="H2896" s="63" t="e">
        <f t="shared" si="91"/>
        <v>#VALUE!</v>
      </c>
    </row>
    <row r="2897" spans="7:8">
      <c r="G2897" s="63" t="e">
        <f t="shared" si="90"/>
        <v>#VALUE!</v>
      </c>
      <c r="H2897" s="63" t="e">
        <f t="shared" si="91"/>
        <v>#VALUE!</v>
      </c>
    </row>
    <row r="2898" spans="7:8">
      <c r="G2898" s="63" t="e">
        <f t="shared" si="90"/>
        <v>#VALUE!</v>
      </c>
      <c r="H2898" s="63" t="e">
        <f t="shared" si="91"/>
        <v>#VALUE!</v>
      </c>
    </row>
    <row r="2899" spans="7:8">
      <c r="G2899" s="63" t="e">
        <f t="shared" si="90"/>
        <v>#VALUE!</v>
      </c>
      <c r="H2899" s="63" t="e">
        <f t="shared" si="91"/>
        <v>#VALUE!</v>
      </c>
    </row>
    <row r="2900" spans="7:8">
      <c r="G2900" s="63" t="e">
        <f t="shared" si="90"/>
        <v>#VALUE!</v>
      </c>
      <c r="H2900" s="63" t="e">
        <f t="shared" si="91"/>
        <v>#VALUE!</v>
      </c>
    </row>
    <row r="2901" spans="7:8">
      <c r="G2901" s="63" t="e">
        <f t="shared" si="90"/>
        <v>#VALUE!</v>
      </c>
      <c r="H2901" s="63" t="e">
        <f t="shared" si="91"/>
        <v>#VALUE!</v>
      </c>
    </row>
    <row r="2902" spans="7:8">
      <c r="G2902" s="63" t="e">
        <f t="shared" si="90"/>
        <v>#VALUE!</v>
      </c>
      <c r="H2902" s="63" t="e">
        <f t="shared" si="91"/>
        <v>#VALUE!</v>
      </c>
    </row>
    <row r="2903" spans="7:8">
      <c r="G2903" s="63" t="e">
        <f t="shared" si="90"/>
        <v>#VALUE!</v>
      </c>
      <c r="H2903" s="63" t="e">
        <f t="shared" si="91"/>
        <v>#VALUE!</v>
      </c>
    </row>
    <row r="2904" spans="7:8">
      <c r="G2904" s="63" t="e">
        <f t="shared" si="90"/>
        <v>#VALUE!</v>
      </c>
      <c r="H2904" s="63" t="e">
        <f t="shared" si="91"/>
        <v>#VALUE!</v>
      </c>
    </row>
    <row r="2905" spans="7:8">
      <c r="G2905" s="63" t="e">
        <f t="shared" si="90"/>
        <v>#VALUE!</v>
      </c>
      <c r="H2905" s="63" t="e">
        <f t="shared" si="91"/>
        <v>#VALUE!</v>
      </c>
    </row>
    <row r="2906" spans="7:8">
      <c r="G2906" s="63" t="e">
        <f t="shared" si="90"/>
        <v>#VALUE!</v>
      </c>
      <c r="H2906" s="63" t="e">
        <f t="shared" si="91"/>
        <v>#VALUE!</v>
      </c>
    </row>
    <row r="2907" spans="7:8">
      <c r="G2907" s="63" t="e">
        <f t="shared" si="90"/>
        <v>#VALUE!</v>
      </c>
      <c r="H2907" s="63" t="e">
        <f t="shared" si="91"/>
        <v>#VALUE!</v>
      </c>
    </row>
    <row r="2908" spans="7:8">
      <c r="G2908" s="63" t="e">
        <f t="shared" si="90"/>
        <v>#VALUE!</v>
      </c>
      <c r="H2908" s="63" t="e">
        <f t="shared" si="91"/>
        <v>#VALUE!</v>
      </c>
    </row>
    <row r="2909" spans="7:8">
      <c r="G2909" s="63" t="e">
        <f t="shared" si="90"/>
        <v>#VALUE!</v>
      </c>
      <c r="H2909" s="63" t="e">
        <f t="shared" si="91"/>
        <v>#VALUE!</v>
      </c>
    </row>
    <row r="2910" spans="7:8">
      <c r="G2910" s="63" t="e">
        <f t="shared" si="90"/>
        <v>#VALUE!</v>
      </c>
      <c r="H2910" s="63" t="e">
        <f t="shared" si="91"/>
        <v>#VALUE!</v>
      </c>
    </row>
    <row r="2911" spans="7:8">
      <c r="G2911" s="63" t="e">
        <f t="shared" si="90"/>
        <v>#VALUE!</v>
      </c>
      <c r="H2911" s="63" t="e">
        <f t="shared" si="91"/>
        <v>#VALUE!</v>
      </c>
    </row>
    <row r="2912" spans="7:8">
      <c r="G2912" s="63" t="e">
        <f t="shared" si="90"/>
        <v>#VALUE!</v>
      </c>
      <c r="H2912" s="63" t="e">
        <f t="shared" si="91"/>
        <v>#VALUE!</v>
      </c>
    </row>
    <row r="2913" spans="7:8">
      <c r="G2913" s="63" t="e">
        <f t="shared" si="90"/>
        <v>#VALUE!</v>
      </c>
      <c r="H2913" s="63" t="e">
        <f t="shared" si="91"/>
        <v>#VALUE!</v>
      </c>
    </row>
    <row r="2914" spans="7:8">
      <c r="G2914" s="63" t="e">
        <f t="shared" si="90"/>
        <v>#VALUE!</v>
      </c>
      <c r="H2914" s="63" t="e">
        <f t="shared" si="91"/>
        <v>#VALUE!</v>
      </c>
    </row>
    <row r="2915" spans="7:8">
      <c r="G2915" s="63" t="e">
        <f t="shared" si="90"/>
        <v>#VALUE!</v>
      </c>
      <c r="H2915" s="63" t="e">
        <f t="shared" si="91"/>
        <v>#VALUE!</v>
      </c>
    </row>
    <row r="2916" spans="7:8">
      <c r="G2916" s="63" t="e">
        <f t="shared" si="90"/>
        <v>#VALUE!</v>
      </c>
      <c r="H2916" s="63" t="e">
        <f t="shared" si="91"/>
        <v>#VALUE!</v>
      </c>
    </row>
    <row r="2917" spans="7:8">
      <c r="G2917" s="63" t="e">
        <f t="shared" si="90"/>
        <v>#VALUE!</v>
      </c>
      <c r="H2917" s="63" t="e">
        <f t="shared" si="91"/>
        <v>#VALUE!</v>
      </c>
    </row>
    <row r="2918" spans="7:8">
      <c r="G2918" s="63" t="e">
        <f t="shared" si="90"/>
        <v>#VALUE!</v>
      </c>
      <c r="H2918" s="63" t="e">
        <f t="shared" si="91"/>
        <v>#VALUE!</v>
      </c>
    </row>
    <row r="2919" spans="7:8">
      <c r="G2919" s="63" t="e">
        <f t="shared" si="90"/>
        <v>#VALUE!</v>
      </c>
      <c r="H2919" s="63" t="e">
        <f t="shared" si="91"/>
        <v>#VALUE!</v>
      </c>
    </row>
    <row r="2920" spans="7:8">
      <c r="G2920" s="63" t="e">
        <f t="shared" si="90"/>
        <v>#VALUE!</v>
      </c>
      <c r="H2920" s="63" t="e">
        <f t="shared" si="91"/>
        <v>#VALUE!</v>
      </c>
    </row>
    <row r="2921" spans="7:8">
      <c r="G2921" s="63" t="e">
        <f t="shared" si="90"/>
        <v>#VALUE!</v>
      </c>
      <c r="H2921" s="63" t="e">
        <f t="shared" si="91"/>
        <v>#VALUE!</v>
      </c>
    </row>
    <row r="2922" spans="7:8">
      <c r="G2922" s="63" t="e">
        <f t="shared" si="90"/>
        <v>#VALUE!</v>
      </c>
      <c r="H2922" s="63" t="e">
        <f t="shared" si="91"/>
        <v>#VALUE!</v>
      </c>
    </row>
    <row r="2923" spans="7:8">
      <c r="G2923" s="63" t="e">
        <f t="shared" si="90"/>
        <v>#VALUE!</v>
      </c>
      <c r="H2923" s="63" t="e">
        <f t="shared" si="91"/>
        <v>#VALUE!</v>
      </c>
    </row>
    <row r="2924" spans="7:8">
      <c r="G2924" s="63" t="e">
        <f t="shared" si="90"/>
        <v>#VALUE!</v>
      </c>
      <c r="H2924" s="63" t="e">
        <f t="shared" si="91"/>
        <v>#VALUE!</v>
      </c>
    </row>
    <row r="2925" spans="7:8">
      <c r="G2925" s="63" t="e">
        <f t="shared" si="90"/>
        <v>#VALUE!</v>
      </c>
      <c r="H2925" s="63" t="e">
        <f t="shared" si="91"/>
        <v>#VALUE!</v>
      </c>
    </row>
    <row r="2926" spans="7:8">
      <c r="G2926" s="63" t="e">
        <f t="shared" si="90"/>
        <v>#VALUE!</v>
      </c>
      <c r="H2926" s="63" t="e">
        <f t="shared" si="91"/>
        <v>#VALUE!</v>
      </c>
    </row>
    <row r="2927" spans="7:8">
      <c r="G2927" s="63" t="e">
        <f t="shared" si="90"/>
        <v>#VALUE!</v>
      </c>
      <c r="H2927" s="63" t="e">
        <f t="shared" si="91"/>
        <v>#VALUE!</v>
      </c>
    </row>
    <row r="2928" spans="7:8">
      <c r="G2928" s="63" t="e">
        <f t="shared" si="90"/>
        <v>#VALUE!</v>
      </c>
      <c r="H2928" s="63" t="e">
        <f t="shared" si="91"/>
        <v>#VALUE!</v>
      </c>
    </row>
    <row r="2929" spans="7:8">
      <c r="G2929" s="63" t="e">
        <f t="shared" si="90"/>
        <v>#VALUE!</v>
      </c>
      <c r="H2929" s="63" t="e">
        <f t="shared" si="91"/>
        <v>#VALUE!</v>
      </c>
    </row>
    <row r="2930" spans="7:8">
      <c r="G2930" s="63" t="e">
        <f t="shared" si="90"/>
        <v>#VALUE!</v>
      </c>
      <c r="H2930" s="63" t="e">
        <f t="shared" si="91"/>
        <v>#VALUE!</v>
      </c>
    </row>
    <row r="2931" spans="7:8">
      <c r="G2931" s="63" t="e">
        <f t="shared" si="90"/>
        <v>#VALUE!</v>
      </c>
      <c r="H2931" s="63" t="e">
        <f t="shared" si="91"/>
        <v>#VALUE!</v>
      </c>
    </row>
    <row r="2932" spans="7:8">
      <c r="G2932" s="63" t="e">
        <f t="shared" si="90"/>
        <v>#VALUE!</v>
      </c>
      <c r="H2932" s="63" t="e">
        <f t="shared" si="91"/>
        <v>#VALUE!</v>
      </c>
    </row>
    <row r="2933" spans="7:8">
      <c r="G2933" s="63" t="e">
        <f t="shared" si="90"/>
        <v>#VALUE!</v>
      </c>
      <c r="H2933" s="63" t="e">
        <f t="shared" si="91"/>
        <v>#VALUE!</v>
      </c>
    </row>
    <row r="2934" spans="7:8">
      <c r="G2934" s="63" t="e">
        <f t="shared" si="90"/>
        <v>#VALUE!</v>
      </c>
      <c r="H2934" s="63" t="e">
        <f t="shared" si="91"/>
        <v>#VALUE!</v>
      </c>
    </row>
    <row r="2935" spans="7:8">
      <c r="G2935" s="63" t="e">
        <f t="shared" si="90"/>
        <v>#VALUE!</v>
      </c>
      <c r="H2935" s="63" t="e">
        <f t="shared" si="91"/>
        <v>#VALUE!</v>
      </c>
    </row>
    <row r="2936" spans="7:8">
      <c r="G2936" s="63" t="e">
        <f t="shared" si="90"/>
        <v>#VALUE!</v>
      </c>
      <c r="H2936" s="63" t="e">
        <f t="shared" si="91"/>
        <v>#VALUE!</v>
      </c>
    </row>
    <row r="2937" spans="7:8">
      <c r="G2937" s="63" t="e">
        <f t="shared" si="90"/>
        <v>#VALUE!</v>
      </c>
      <c r="H2937" s="63" t="e">
        <f t="shared" si="91"/>
        <v>#VALUE!</v>
      </c>
    </row>
    <row r="2938" spans="7:8">
      <c r="G2938" s="63" t="e">
        <f t="shared" si="90"/>
        <v>#VALUE!</v>
      </c>
      <c r="H2938" s="63" t="e">
        <f t="shared" si="91"/>
        <v>#VALUE!</v>
      </c>
    </row>
    <row r="2939" spans="7:8">
      <c r="G2939" s="63" t="e">
        <f t="shared" si="90"/>
        <v>#VALUE!</v>
      </c>
      <c r="H2939" s="63" t="e">
        <f t="shared" si="91"/>
        <v>#VALUE!</v>
      </c>
    </row>
    <row r="2940" spans="7:8">
      <c r="G2940" s="63" t="e">
        <f t="shared" si="90"/>
        <v>#VALUE!</v>
      </c>
      <c r="H2940" s="63" t="e">
        <f t="shared" si="91"/>
        <v>#VALUE!</v>
      </c>
    </row>
    <row r="2941" spans="7:8">
      <c r="G2941" s="63" t="e">
        <f t="shared" si="90"/>
        <v>#VALUE!</v>
      </c>
      <c r="H2941" s="63" t="e">
        <f t="shared" si="91"/>
        <v>#VALUE!</v>
      </c>
    </row>
    <row r="2942" spans="7:8">
      <c r="G2942" s="63" t="e">
        <f t="shared" si="90"/>
        <v>#VALUE!</v>
      </c>
      <c r="H2942" s="63" t="e">
        <f t="shared" si="91"/>
        <v>#VALUE!</v>
      </c>
    </row>
    <row r="2943" spans="7:8">
      <c r="G2943" s="63" t="e">
        <f t="shared" si="90"/>
        <v>#VALUE!</v>
      </c>
      <c r="H2943" s="63" t="e">
        <f t="shared" si="91"/>
        <v>#VALUE!</v>
      </c>
    </row>
    <row r="2944" spans="7:8">
      <c r="G2944" s="63" t="e">
        <f t="shared" si="90"/>
        <v>#VALUE!</v>
      </c>
      <c r="H2944" s="63" t="e">
        <f t="shared" si="91"/>
        <v>#VALUE!</v>
      </c>
    </row>
    <row r="2945" spans="7:8">
      <c r="G2945" s="63" t="e">
        <f t="shared" si="90"/>
        <v>#VALUE!</v>
      </c>
      <c r="H2945" s="63" t="e">
        <f t="shared" si="91"/>
        <v>#VALUE!</v>
      </c>
    </row>
    <row r="2946" spans="7:8">
      <c r="G2946" s="63" t="e">
        <f t="shared" si="90"/>
        <v>#VALUE!</v>
      </c>
      <c r="H2946" s="63" t="e">
        <f t="shared" si="91"/>
        <v>#VALUE!</v>
      </c>
    </row>
    <row r="2947" spans="7:8">
      <c r="G2947" s="63" t="e">
        <f t="shared" ref="G2947:G3010" si="92">IF(OR(A2947="RID_PB77",A2947="RID_PB77A3"),"WPCI77",IF(A2947="RIDTCIAS","CSCI49",IF(A2947="RID_HCPTM","CHCPT_",IF(LEFT(A2947,1)="C",A2947,MID(A2947,6,LEN(A2947)-5)))))</f>
        <v>#VALUE!</v>
      </c>
      <c r="H2947" s="63" t="e">
        <f t="shared" ref="H2947:H3010" si="93">IF(OR(G2947="MJG1",G2947="MJG2"),"MJG",G2947)&amp;"_"&amp;B2947</f>
        <v>#VALUE!</v>
      </c>
    </row>
    <row r="2948" spans="7:8">
      <c r="G2948" s="63" t="e">
        <f t="shared" si="92"/>
        <v>#VALUE!</v>
      </c>
      <c r="H2948" s="63" t="e">
        <f t="shared" si="93"/>
        <v>#VALUE!</v>
      </c>
    </row>
    <row r="2949" spans="7:8">
      <c r="G2949" s="63" t="e">
        <f t="shared" si="92"/>
        <v>#VALUE!</v>
      </c>
      <c r="H2949" s="63" t="e">
        <f t="shared" si="93"/>
        <v>#VALUE!</v>
      </c>
    </row>
    <row r="2950" spans="7:8">
      <c r="G2950" s="63" t="e">
        <f t="shared" si="92"/>
        <v>#VALUE!</v>
      </c>
      <c r="H2950" s="63" t="e">
        <f t="shared" si="93"/>
        <v>#VALUE!</v>
      </c>
    </row>
    <row r="2951" spans="7:8">
      <c r="G2951" s="63" t="e">
        <f t="shared" si="92"/>
        <v>#VALUE!</v>
      </c>
      <c r="H2951" s="63" t="e">
        <f t="shared" si="93"/>
        <v>#VALUE!</v>
      </c>
    </row>
    <row r="2952" spans="7:8">
      <c r="G2952" s="63" t="e">
        <f t="shared" si="92"/>
        <v>#VALUE!</v>
      </c>
      <c r="H2952" s="63" t="e">
        <f t="shared" si="93"/>
        <v>#VALUE!</v>
      </c>
    </row>
    <row r="2953" spans="7:8">
      <c r="G2953" s="63" t="e">
        <f t="shared" si="92"/>
        <v>#VALUE!</v>
      </c>
      <c r="H2953" s="63" t="e">
        <f t="shared" si="93"/>
        <v>#VALUE!</v>
      </c>
    </row>
    <row r="2954" spans="7:8">
      <c r="G2954" s="63" t="e">
        <f t="shared" si="92"/>
        <v>#VALUE!</v>
      </c>
      <c r="H2954" s="63" t="e">
        <f t="shared" si="93"/>
        <v>#VALUE!</v>
      </c>
    </row>
    <row r="2955" spans="7:8">
      <c r="G2955" s="63" t="e">
        <f t="shared" si="92"/>
        <v>#VALUE!</v>
      </c>
      <c r="H2955" s="63" t="e">
        <f t="shared" si="93"/>
        <v>#VALUE!</v>
      </c>
    </row>
    <row r="2956" spans="7:8">
      <c r="G2956" s="63" t="e">
        <f t="shared" si="92"/>
        <v>#VALUE!</v>
      </c>
      <c r="H2956" s="63" t="e">
        <f t="shared" si="93"/>
        <v>#VALUE!</v>
      </c>
    </row>
    <row r="2957" spans="7:8">
      <c r="G2957" s="63" t="e">
        <f t="shared" si="92"/>
        <v>#VALUE!</v>
      </c>
      <c r="H2957" s="63" t="e">
        <f t="shared" si="93"/>
        <v>#VALUE!</v>
      </c>
    </row>
    <row r="2958" spans="7:8">
      <c r="G2958" s="63" t="e">
        <f t="shared" si="92"/>
        <v>#VALUE!</v>
      </c>
      <c r="H2958" s="63" t="e">
        <f t="shared" si="93"/>
        <v>#VALUE!</v>
      </c>
    </row>
    <row r="2959" spans="7:8">
      <c r="G2959" s="63" t="e">
        <f t="shared" si="92"/>
        <v>#VALUE!</v>
      </c>
      <c r="H2959" s="63" t="e">
        <f t="shared" si="93"/>
        <v>#VALUE!</v>
      </c>
    </row>
    <row r="2960" spans="7:8">
      <c r="G2960" s="63" t="e">
        <f t="shared" si="92"/>
        <v>#VALUE!</v>
      </c>
      <c r="H2960" s="63" t="e">
        <f t="shared" si="93"/>
        <v>#VALUE!</v>
      </c>
    </row>
    <row r="2961" spans="7:8">
      <c r="G2961" s="63" t="e">
        <f t="shared" si="92"/>
        <v>#VALUE!</v>
      </c>
      <c r="H2961" s="63" t="e">
        <f t="shared" si="93"/>
        <v>#VALUE!</v>
      </c>
    </row>
    <row r="2962" spans="7:8">
      <c r="G2962" s="63" t="e">
        <f t="shared" si="92"/>
        <v>#VALUE!</v>
      </c>
      <c r="H2962" s="63" t="e">
        <f t="shared" si="93"/>
        <v>#VALUE!</v>
      </c>
    </row>
    <row r="2963" spans="7:8">
      <c r="G2963" s="63" t="e">
        <f t="shared" si="92"/>
        <v>#VALUE!</v>
      </c>
      <c r="H2963" s="63" t="e">
        <f t="shared" si="93"/>
        <v>#VALUE!</v>
      </c>
    </row>
    <row r="2964" spans="7:8">
      <c r="G2964" s="63" t="e">
        <f t="shared" si="92"/>
        <v>#VALUE!</v>
      </c>
      <c r="H2964" s="63" t="e">
        <f t="shared" si="93"/>
        <v>#VALUE!</v>
      </c>
    </row>
    <row r="2965" spans="7:8">
      <c r="G2965" s="63" t="e">
        <f t="shared" si="92"/>
        <v>#VALUE!</v>
      </c>
      <c r="H2965" s="63" t="e">
        <f t="shared" si="93"/>
        <v>#VALUE!</v>
      </c>
    </row>
    <row r="2966" spans="7:8">
      <c r="G2966" s="63" t="e">
        <f t="shared" si="92"/>
        <v>#VALUE!</v>
      </c>
      <c r="H2966" s="63" t="e">
        <f t="shared" si="93"/>
        <v>#VALUE!</v>
      </c>
    </row>
    <row r="2967" spans="7:8">
      <c r="G2967" s="63" t="e">
        <f t="shared" si="92"/>
        <v>#VALUE!</v>
      </c>
      <c r="H2967" s="63" t="e">
        <f t="shared" si="93"/>
        <v>#VALUE!</v>
      </c>
    </row>
    <row r="2968" spans="7:8">
      <c r="G2968" s="63" t="e">
        <f t="shared" si="92"/>
        <v>#VALUE!</v>
      </c>
      <c r="H2968" s="63" t="e">
        <f t="shared" si="93"/>
        <v>#VALUE!</v>
      </c>
    </row>
    <row r="2969" spans="7:8">
      <c r="G2969" s="63" t="e">
        <f t="shared" si="92"/>
        <v>#VALUE!</v>
      </c>
      <c r="H2969" s="63" t="e">
        <f t="shared" si="93"/>
        <v>#VALUE!</v>
      </c>
    </row>
    <row r="2970" spans="7:8">
      <c r="G2970" s="63" t="e">
        <f t="shared" si="92"/>
        <v>#VALUE!</v>
      </c>
      <c r="H2970" s="63" t="e">
        <f t="shared" si="93"/>
        <v>#VALUE!</v>
      </c>
    </row>
    <row r="2971" spans="7:8">
      <c r="G2971" s="63" t="e">
        <f t="shared" si="92"/>
        <v>#VALUE!</v>
      </c>
      <c r="H2971" s="63" t="e">
        <f t="shared" si="93"/>
        <v>#VALUE!</v>
      </c>
    </row>
    <row r="2972" spans="7:8">
      <c r="G2972" s="63" t="e">
        <f t="shared" si="92"/>
        <v>#VALUE!</v>
      </c>
      <c r="H2972" s="63" t="e">
        <f t="shared" si="93"/>
        <v>#VALUE!</v>
      </c>
    </row>
    <row r="2973" spans="7:8">
      <c r="G2973" s="63" t="e">
        <f t="shared" si="92"/>
        <v>#VALUE!</v>
      </c>
      <c r="H2973" s="63" t="e">
        <f t="shared" si="93"/>
        <v>#VALUE!</v>
      </c>
    </row>
    <row r="2974" spans="7:8">
      <c r="G2974" s="63" t="e">
        <f t="shared" si="92"/>
        <v>#VALUE!</v>
      </c>
      <c r="H2974" s="63" t="e">
        <f t="shared" si="93"/>
        <v>#VALUE!</v>
      </c>
    </row>
    <row r="2975" spans="7:8">
      <c r="G2975" s="63" t="e">
        <f t="shared" si="92"/>
        <v>#VALUE!</v>
      </c>
      <c r="H2975" s="63" t="e">
        <f t="shared" si="93"/>
        <v>#VALUE!</v>
      </c>
    </row>
    <row r="2976" spans="7:8">
      <c r="G2976" s="63" t="e">
        <f t="shared" si="92"/>
        <v>#VALUE!</v>
      </c>
      <c r="H2976" s="63" t="e">
        <f t="shared" si="93"/>
        <v>#VALUE!</v>
      </c>
    </row>
    <row r="2977" spans="7:8">
      <c r="G2977" s="63" t="e">
        <f t="shared" si="92"/>
        <v>#VALUE!</v>
      </c>
      <c r="H2977" s="63" t="e">
        <f t="shared" si="93"/>
        <v>#VALUE!</v>
      </c>
    </row>
    <row r="2978" spans="7:8">
      <c r="G2978" s="63" t="e">
        <f t="shared" si="92"/>
        <v>#VALUE!</v>
      </c>
      <c r="H2978" s="63" t="e">
        <f t="shared" si="93"/>
        <v>#VALUE!</v>
      </c>
    </row>
    <row r="2979" spans="7:8">
      <c r="G2979" s="63" t="e">
        <f t="shared" si="92"/>
        <v>#VALUE!</v>
      </c>
      <c r="H2979" s="63" t="e">
        <f t="shared" si="93"/>
        <v>#VALUE!</v>
      </c>
    </row>
    <row r="2980" spans="7:8">
      <c r="G2980" s="63" t="e">
        <f t="shared" si="92"/>
        <v>#VALUE!</v>
      </c>
      <c r="H2980" s="63" t="e">
        <f t="shared" si="93"/>
        <v>#VALUE!</v>
      </c>
    </row>
    <row r="2981" spans="7:8">
      <c r="G2981" s="63" t="e">
        <f t="shared" si="92"/>
        <v>#VALUE!</v>
      </c>
      <c r="H2981" s="63" t="e">
        <f t="shared" si="93"/>
        <v>#VALUE!</v>
      </c>
    </row>
    <row r="2982" spans="7:8">
      <c r="G2982" s="63" t="e">
        <f t="shared" si="92"/>
        <v>#VALUE!</v>
      </c>
      <c r="H2982" s="63" t="e">
        <f t="shared" si="93"/>
        <v>#VALUE!</v>
      </c>
    </row>
    <row r="2983" spans="7:8">
      <c r="G2983" s="63" t="e">
        <f t="shared" si="92"/>
        <v>#VALUE!</v>
      </c>
      <c r="H2983" s="63" t="e">
        <f t="shared" si="93"/>
        <v>#VALUE!</v>
      </c>
    </row>
    <row r="2984" spans="7:8">
      <c r="G2984" s="63" t="e">
        <f t="shared" si="92"/>
        <v>#VALUE!</v>
      </c>
      <c r="H2984" s="63" t="e">
        <f t="shared" si="93"/>
        <v>#VALUE!</v>
      </c>
    </row>
    <row r="2985" spans="7:8">
      <c r="G2985" s="63" t="e">
        <f t="shared" si="92"/>
        <v>#VALUE!</v>
      </c>
      <c r="H2985" s="63" t="e">
        <f t="shared" si="93"/>
        <v>#VALUE!</v>
      </c>
    </row>
    <row r="2986" spans="7:8">
      <c r="G2986" s="63" t="e">
        <f t="shared" si="92"/>
        <v>#VALUE!</v>
      </c>
      <c r="H2986" s="63" t="e">
        <f t="shared" si="93"/>
        <v>#VALUE!</v>
      </c>
    </row>
    <row r="2987" spans="7:8">
      <c r="G2987" s="63" t="e">
        <f t="shared" si="92"/>
        <v>#VALUE!</v>
      </c>
      <c r="H2987" s="63" t="e">
        <f t="shared" si="93"/>
        <v>#VALUE!</v>
      </c>
    </row>
    <row r="2988" spans="7:8">
      <c r="G2988" s="63" t="e">
        <f t="shared" si="92"/>
        <v>#VALUE!</v>
      </c>
      <c r="H2988" s="63" t="e">
        <f t="shared" si="93"/>
        <v>#VALUE!</v>
      </c>
    </row>
    <row r="2989" spans="7:8">
      <c r="G2989" s="63" t="e">
        <f t="shared" si="92"/>
        <v>#VALUE!</v>
      </c>
      <c r="H2989" s="63" t="e">
        <f t="shared" si="93"/>
        <v>#VALUE!</v>
      </c>
    </row>
    <row r="2990" spans="7:8">
      <c r="G2990" s="63" t="e">
        <f t="shared" si="92"/>
        <v>#VALUE!</v>
      </c>
      <c r="H2990" s="63" t="e">
        <f t="shared" si="93"/>
        <v>#VALUE!</v>
      </c>
    </row>
    <row r="2991" spans="7:8">
      <c r="G2991" s="63" t="e">
        <f t="shared" si="92"/>
        <v>#VALUE!</v>
      </c>
      <c r="H2991" s="63" t="e">
        <f t="shared" si="93"/>
        <v>#VALUE!</v>
      </c>
    </row>
    <row r="2992" spans="7:8">
      <c r="G2992" s="63" t="e">
        <f t="shared" si="92"/>
        <v>#VALUE!</v>
      </c>
      <c r="H2992" s="63" t="e">
        <f t="shared" si="93"/>
        <v>#VALUE!</v>
      </c>
    </row>
    <row r="2993" spans="7:8">
      <c r="G2993" s="63" t="e">
        <f t="shared" si="92"/>
        <v>#VALUE!</v>
      </c>
      <c r="H2993" s="63" t="e">
        <f t="shared" si="93"/>
        <v>#VALUE!</v>
      </c>
    </row>
    <row r="2994" spans="7:8">
      <c r="G2994" s="63" t="e">
        <f t="shared" si="92"/>
        <v>#VALUE!</v>
      </c>
      <c r="H2994" s="63" t="e">
        <f t="shared" si="93"/>
        <v>#VALUE!</v>
      </c>
    </row>
    <row r="2995" spans="7:8">
      <c r="G2995" s="63" t="e">
        <f t="shared" si="92"/>
        <v>#VALUE!</v>
      </c>
      <c r="H2995" s="63" t="e">
        <f t="shared" si="93"/>
        <v>#VALUE!</v>
      </c>
    </row>
    <row r="2996" spans="7:8">
      <c r="G2996" s="63" t="e">
        <f t="shared" si="92"/>
        <v>#VALUE!</v>
      </c>
      <c r="H2996" s="63" t="e">
        <f t="shared" si="93"/>
        <v>#VALUE!</v>
      </c>
    </row>
    <row r="2997" spans="7:8">
      <c r="G2997" s="63" t="e">
        <f t="shared" si="92"/>
        <v>#VALUE!</v>
      </c>
      <c r="H2997" s="63" t="e">
        <f t="shared" si="93"/>
        <v>#VALUE!</v>
      </c>
    </row>
    <row r="2998" spans="7:8">
      <c r="G2998" s="63" t="e">
        <f t="shared" si="92"/>
        <v>#VALUE!</v>
      </c>
      <c r="H2998" s="63" t="e">
        <f t="shared" si="93"/>
        <v>#VALUE!</v>
      </c>
    </row>
    <row r="2999" spans="7:8">
      <c r="G2999" s="63" t="e">
        <f t="shared" si="92"/>
        <v>#VALUE!</v>
      </c>
      <c r="H2999" s="63" t="e">
        <f t="shared" si="93"/>
        <v>#VALUE!</v>
      </c>
    </row>
    <row r="3000" spans="7:8">
      <c r="G3000" s="63" t="e">
        <f t="shared" si="92"/>
        <v>#VALUE!</v>
      </c>
      <c r="H3000" s="63" t="e">
        <f t="shared" si="93"/>
        <v>#VALUE!</v>
      </c>
    </row>
    <row r="3001" spans="7:8">
      <c r="G3001" s="63" t="e">
        <f t="shared" si="92"/>
        <v>#VALUE!</v>
      </c>
      <c r="H3001" s="63" t="e">
        <f t="shared" si="93"/>
        <v>#VALUE!</v>
      </c>
    </row>
    <row r="3002" spans="7:8">
      <c r="G3002" s="63" t="e">
        <f t="shared" si="92"/>
        <v>#VALUE!</v>
      </c>
      <c r="H3002" s="63" t="e">
        <f t="shared" si="93"/>
        <v>#VALUE!</v>
      </c>
    </row>
    <row r="3003" spans="7:8">
      <c r="G3003" s="63" t="e">
        <f t="shared" si="92"/>
        <v>#VALUE!</v>
      </c>
      <c r="H3003" s="63" t="e">
        <f t="shared" si="93"/>
        <v>#VALUE!</v>
      </c>
    </row>
    <row r="3004" spans="7:8">
      <c r="G3004" s="63" t="e">
        <f t="shared" si="92"/>
        <v>#VALUE!</v>
      </c>
      <c r="H3004" s="63" t="e">
        <f t="shared" si="93"/>
        <v>#VALUE!</v>
      </c>
    </row>
    <row r="3005" spans="7:8">
      <c r="G3005" s="63" t="e">
        <f t="shared" si="92"/>
        <v>#VALUE!</v>
      </c>
      <c r="H3005" s="63" t="e">
        <f t="shared" si="93"/>
        <v>#VALUE!</v>
      </c>
    </row>
    <row r="3006" spans="7:8">
      <c r="G3006" s="63" t="e">
        <f t="shared" si="92"/>
        <v>#VALUE!</v>
      </c>
      <c r="H3006" s="63" t="e">
        <f t="shared" si="93"/>
        <v>#VALUE!</v>
      </c>
    </row>
    <row r="3007" spans="7:8">
      <c r="G3007" s="63" t="e">
        <f t="shared" si="92"/>
        <v>#VALUE!</v>
      </c>
      <c r="H3007" s="63" t="e">
        <f t="shared" si="93"/>
        <v>#VALUE!</v>
      </c>
    </row>
    <row r="3008" spans="7:8">
      <c r="G3008" s="63" t="e">
        <f t="shared" si="92"/>
        <v>#VALUE!</v>
      </c>
      <c r="H3008" s="63" t="e">
        <f t="shared" si="93"/>
        <v>#VALUE!</v>
      </c>
    </row>
    <row r="3009" spans="7:8">
      <c r="G3009" s="63" t="e">
        <f t="shared" si="92"/>
        <v>#VALUE!</v>
      </c>
      <c r="H3009" s="63" t="e">
        <f t="shared" si="93"/>
        <v>#VALUE!</v>
      </c>
    </row>
    <row r="3010" spans="7:8">
      <c r="G3010" s="63" t="e">
        <f t="shared" si="92"/>
        <v>#VALUE!</v>
      </c>
      <c r="H3010" s="63" t="e">
        <f t="shared" si="93"/>
        <v>#VALUE!</v>
      </c>
    </row>
    <row r="3011" spans="7:8">
      <c r="G3011" s="63" t="e">
        <f t="shared" ref="G3011:G3074" si="94">IF(OR(A3011="RID_PB77",A3011="RID_PB77A3"),"WPCI77",IF(A3011="RIDTCIAS","CSCI49",IF(A3011="RID_HCPTM","CHCPT_",IF(LEFT(A3011,1)="C",A3011,MID(A3011,6,LEN(A3011)-5)))))</f>
        <v>#VALUE!</v>
      </c>
      <c r="H3011" s="63" t="e">
        <f t="shared" ref="H3011:H3074" si="95">IF(OR(G3011="MJG1",G3011="MJG2"),"MJG",G3011)&amp;"_"&amp;B3011</f>
        <v>#VALUE!</v>
      </c>
    </row>
    <row r="3012" spans="7:8">
      <c r="G3012" s="63" t="e">
        <f t="shared" si="94"/>
        <v>#VALUE!</v>
      </c>
      <c r="H3012" s="63" t="e">
        <f t="shared" si="95"/>
        <v>#VALUE!</v>
      </c>
    </row>
    <row r="3013" spans="7:8">
      <c r="G3013" s="63" t="e">
        <f t="shared" si="94"/>
        <v>#VALUE!</v>
      </c>
      <c r="H3013" s="63" t="e">
        <f t="shared" si="95"/>
        <v>#VALUE!</v>
      </c>
    </row>
    <row r="3014" spans="7:8">
      <c r="G3014" s="63" t="e">
        <f t="shared" si="94"/>
        <v>#VALUE!</v>
      </c>
      <c r="H3014" s="63" t="e">
        <f t="shared" si="95"/>
        <v>#VALUE!</v>
      </c>
    </row>
    <row r="3015" spans="7:8">
      <c r="G3015" s="63" t="e">
        <f t="shared" si="94"/>
        <v>#VALUE!</v>
      </c>
      <c r="H3015" s="63" t="e">
        <f t="shared" si="95"/>
        <v>#VALUE!</v>
      </c>
    </row>
    <row r="3016" spans="7:8">
      <c r="G3016" s="63" t="e">
        <f t="shared" si="94"/>
        <v>#VALUE!</v>
      </c>
      <c r="H3016" s="63" t="e">
        <f t="shared" si="95"/>
        <v>#VALUE!</v>
      </c>
    </row>
    <row r="3017" spans="7:8">
      <c r="G3017" s="63" t="e">
        <f t="shared" si="94"/>
        <v>#VALUE!</v>
      </c>
      <c r="H3017" s="63" t="e">
        <f t="shared" si="95"/>
        <v>#VALUE!</v>
      </c>
    </row>
    <row r="3018" spans="7:8">
      <c r="G3018" s="63" t="e">
        <f t="shared" si="94"/>
        <v>#VALUE!</v>
      </c>
      <c r="H3018" s="63" t="e">
        <f t="shared" si="95"/>
        <v>#VALUE!</v>
      </c>
    </row>
    <row r="3019" spans="7:8">
      <c r="G3019" s="63" t="e">
        <f t="shared" si="94"/>
        <v>#VALUE!</v>
      </c>
      <c r="H3019" s="63" t="e">
        <f t="shared" si="95"/>
        <v>#VALUE!</v>
      </c>
    </row>
    <row r="3020" spans="7:8">
      <c r="G3020" s="63" t="e">
        <f t="shared" si="94"/>
        <v>#VALUE!</v>
      </c>
      <c r="H3020" s="63" t="e">
        <f t="shared" si="95"/>
        <v>#VALUE!</v>
      </c>
    </row>
    <row r="3021" spans="7:8">
      <c r="G3021" s="63" t="e">
        <f t="shared" si="94"/>
        <v>#VALUE!</v>
      </c>
      <c r="H3021" s="63" t="e">
        <f t="shared" si="95"/>
        <v>#VALUE!</v>
      </c>
    </row>
    <row r="3022" spans="7:8">
      <c r="G3022" s="63" t="e">
        <f t="shared" si="94"/>
        <v>#VALUE!</v>
      </c>
      <c r="H3022" s="63" t="e">
        <f t="shared" si="95"/>
        <v>#VALUE!</v>
      </c>
    </row>
    <row r="3023" spans="7:8">
      <c r="G3023" s="63" t="e">
        <f t="shared" si="94"/>
        <v>#VALUE!</v>
      </c>
      <c r="H3023" s="63" t="e">
        <f t="shared" si="95"/>
        <v>#VALUE!</v>
      </c>
    </row>
    <row r="3024" spans="7:8">
      <c r="G3024" s="63" t="e">
        <f t="shared" si="94"/>
        <v>#VALUE!</v>
      </c>
      <c r="H3024" s="63" t="e">
        <f t="shared" si="95"/>
        <v>#VALUE!</v>
      </c>
    </row>
    <row r="3025" spans="7:8">
      <c r="G3025" s="63" t="e">
        <f t="shared" si="94"/>
        <v>#VALUE!</v>
      </c>
      <c r="H3025" s="63" t="e">
        <f t="shared" si="95"/>
        <v>#VALUE!</v>
      </c>
    </row>
    <row r="3026" spans="7:8">
      <c r="G3026" s="63" t="e">
        <f t="shared" si="94"/>
        <v>#VALUE!</v>
      </c>
      <c r="H3026" s="63" t="e">
        <f t="shared" si="95"/>
        <v>#VALUE!</v>
      </c>
    </row>
    <row r="3027" spans="7:8">
      <c r="G3027" s="63" t="e">
        <f t="shared" si="94"/>
        <v>#VALUE!</v>
      </c>
      <c r="H3027" s="63" t="e">
        <f t="shared" si="95"/>
        <v>#VALUE!</v>
      </c>
    </row>
    <row r="3028" spans="7:8">
      <c r="G3028" s="63" t="e">
        <f t="shared" si="94"/>
        <v>#VALUE!</v>
      </c>
      <c r="H3028" s="63" t="e">
        <f t="shared" si="95"/>
        <v>#VALUE!</v>
      </c>
    </row>
    <row r="3029" spans="7:8">
      <c r="G3029" s="63" t="e">
        <f t="shared" si="94"/>
        <v>#VALUE!</v>
      </c>
      <c r="H3029" s="63" t="e">
        <f t="shared" si="95"/>
        <v>#VALUE!</v>
      </c>
    </row>
    <row r="3030" spans="7:8">
      <c r="G3030" s="63" t="e">
        <f t="shared" si="94"/>
        <v>#VALUE!</v>
      </c>
      <c r="H3030" s="63" t="e">
        <f t="shared" si="95"/>
        <v>#VALUE!</v>
      </c>
    </row>
    <row r="3031" spans="7:8">
      <c r="G3031" s="63" t="e">
        <f t="shared" si="94"/>
        <v>#VALUE!</v>
      </c>
      <c r="H3031" s="63" t="e">
        <f t="shared" si="95"/>
        <v>#VALUE!</v>
      </c>
    </row>
    <row r="3032" spans="7:8">
      <c r="G3032" s="63" t="e">
        <f t="shared" si="94"/>
        <v>#VALUE!</v>
      </c>
      <c r="H3032" s="63" t="e">
        <f t="shared" si="95"/>
        <v>#VALUE!</v>
      </c>
    </row>
    <row r="3033" spans="7:8">
      <c r="G3033" s="63" t="e">
        <f t="shared" si="94"/>
        <v>#VALUE!</v>
      </c>
      <c r="H3033" s="63" t="e">
        <f t="shared" si="95"/>
        <v>#VALUE!</v>
      </c>
    </row>
    <row r="3034" spans="7:8">
      <c r="G3034" s="63" t="e">
        <f t="shared" si="94"/>
        <v>#VALUE!</v>
      </c>
      <c r="H3034" s="63" t="e">
        <f t="shared" si="95"/>
        <v>#VALUE!</v>
      </c>
    </row>
    <row r="3035" spans="7:8">
      <c r="G3035" s="63" t="e">
        <f t="shared" si="94"/>
        <v>#VALUE!</v>
      </c>
      <c r="H3035" s="63" t="e">
        <f t="shared" si="95"/>
        <v>#VALUE!</v>
      </c>
    </row>
    <row r="3036" spans="7:8">
      <c r="G3036" s="63" t="e">
        <f t="shared" si="94"/>
        <v>#VALUE!</v>
      </c>
      <c r="H3036" s="63" t="e">
        <f t="shared" si="95"/>
        <v>#VALUE!</v>
      </c>
    </row>
    <row r="3037" spans="7:8">
      <c r="G3037" s="63" t="e">
        <f t="shared" si="94"/>
        <v>#VALUE!</v>
      </c>
      <c r="H3037" s="63" t="e">
        <f t="shared" si="95"/>
        <v>#VALUE!</v>
      </c>
    </row>
    <row r="3038" spans="7:8">
      <c r="G3038" s="63" t="e">
        <f t="shared" si="94"/>
        <v>#VALUE!</v>
      </c>
      <c r="H3038" s="63" t="e">
        <f t="shared" si="95"/>
        <v>#VALUE!</v>
      </c>
    </row>
    <row r="3039" spans="7:8">
      <c r="G3039" s="63" t="e">
        <f t="shared" si="94"/>
        <v>#VALUE!</v>
      </c>
      <c r="H3039" s="63" t="e">
        <f t="shared" si="95"/>
        <v>#VALUE!</v>
      </c>
    </row>
    <row r="3040" spans="7:8">
      <c r="G3040" s="63" t="e">
        <f t="shared" si="94"/>
        <v>#VALUE!</v>
      </c>
      <c r="H3040" s="63" t="e">
        <f t="shared" si="95"/>
        <v>#VALUE!</v>
      </c>
    </row>
    <row r="3041" spans="7:8">
      <c r="G3041" s="63" t="e">
        <f t="shared" si="94"/>
        <v>#VALUE!</v>
      </c>
      <c r="H3041" s="63" t="e">
        <f t="shared" si="95"/>
        <v>#VALUE!</v>
      </c>
    </row>
    <row r="3042" spans="7:8">
      <c r="G3042" s="63" t="e">
        <f t="shared" si="94"/>
        <v>#VALUE!</v>
      </c>
      <c r="H3042" s="63" t="e">
        <f t="shared" si="95"/>
        <v>#VALUE!</v>
      </c>
    </row>
    <row r="3043" spans="7:8">
      <c r="G3043" s="63" t="e">
        <f t="shared" si="94"/>
        <v>#VALUE!</v>
      </c>
      <c r="H3043" s="63" t="e">
        <f t="shared" si="95"/>
        <v>#VALUE!</v>
      </c>
    </row>
    <row r="3044" spans="7:8">
      <c r="G3044" s="63" t="e">
        <f t="shared" si="94"/>
        <v>#VALUE!</v>
      </c>
      <c r="H3044" s="63" t="e">
        <f t="shared" si="95"/>
        <v>#VALUE!</v>
      </c>
    </row>
    <row r="3045" spans="7:8">
      <c r="G3045" s="63" t="e">
        <f t="shared" si="94"/>
        <v>#VALUE!</v>
      </c>
      <c r="H3045" s="63" t="e">
        <f t="shared" si="95"/>
        <v>#VALUE!</v>
      </c>
    </row>
    <row r="3046" spans="7:8">
      <c r="G3046" s="63" t="e">
        <f t="shared" si="94"/>
        <v>#VALUE!</v>
      </c>
      <c r="H3046" s="63" t="e">
        <f t="shared" si="95"/>
        <v>#VALUE!</v>
      </c>
    </row>
    <row r="3047" spans="7:8">
      <c r="G3047" s="63" t="e">
        <f t="shared" si="94"/>
        <v>#VALUE!</v>
      </c>
      <c r="H3047" s="63" t="e">
        <f t="shared" si="95"/>
        <v>#VALUE!</v>
      </c>
    </row>
    <row r="3048" spans="7:8">
      <c r="G3048" s="63" t="e">
        <f t="shared" si="94"/>
        <v>#VALUE!</v>
      </c>
      <c r="H3048" s="63" t="e">
        <f t="shared" si="95"/>
        <v>#VALUE!</v>
      </c>
    </row>
    <row r="3049" spans="7:8">
      <c r="G3049" s="63" t="e">
        <f t="shared" si="94"/>
        <v>#VALUE!</v>
      </c>
      <c r="H3049" s="63" t="e">
        <f t="shared" si="95"/>
        <v>#VALUE!</v>
      </c>
    </row>
    <row r="3050" spans="7:8">
      <c r="G3050" s="63" t="e">
        <f t="shared" si="94"/>
        <v>#VALUE!</v>
      </c>
      <c r="H3050" s="63" t="e">
        <f t="shared" si="95"/>
        <v>#VALUE!</v>
      </c>
    </row>
    <row r="3051" spans="7:8">
      <c r="G3051" s="63" t="e">
        <f t="shared" si="94"/>
        <v>#VALUE!</v>
      </c>
      <c r="H3051" s="63" t="e">
        <f t="shared" si="95"/>
        <v>#VALUE!</v>
      </c>
    </row>
    <row r="3052" spans="7:8">
      <c r="G3052" s="63" t="e">
        <f t="shared" si="94"/>
        <v>#VALUE!</v>
      </c>
      <c r="H3052" s="63" t="e">
        <f t="shared" si="95"/>
        <v>#VALUE!</v>
      </c>
    </row>
    <row r="3053" spans="7:8">
      <c r="G3053" s="63" t="e">
        <f t="shared" si="94"/>
        <v>#VALUE!</v>
      </c>
      <c r="H3053" s="63" t="e">
        <f t="shared" si="95"/>
        <v>#VALUE!</v>
      </c>
    </row>
    <row r="3054" spans="7:8">
      <c r="G3054" s="63" t="e">
        <f t="shared" si="94"/>
        <v>#VALUE!</v>
      </c>
      <c r="H3054" s="63" t="e">
        <f t="shared" si="95"/>
        <v>#VALUE!</v>
      </c>
    </row>
    <row r="3055" spans="7:8">
      <c r="G3055" s="63" t="e">
        <f t="shared" si="94"/>
        <v>#VALUE!</v>
      </c>
      <c r="H3055" s="63" t="e">
        <f t="shared" si="95"/>
        <v>#VALUE!</v>
      </c>
    </row>
    <row r="3056" spans="7:8">
      <c r="G3056" s="63" t="e">
        <f t="shared" si="94"/>
        <v>#VALUE!</v>
      </c>
      <c r="H3056" s="63" t="e">
        <f t="shared" si="95"/>
        <v>#VALUE!</v>
      </c>
    </row>
    <row r="3057" spans="7:8">
      <c r="G3057" s="63" t="e">
        <f t="shared" si="94"/>
        <v>#VALUE!</v>
      </c>
      <c r="H3057" s="63" t="e">
        <f t="shared" si="95"/>
        <v>#VALUE!</v>
      </c>
    </row>
    <row r="3058" spans="7:8">
      <c r="G3058" s="63" t="e">
        <f t="shared" si="94"/>
        <v>#VALUE!</v>
      </c>
      <c r="H3058" s="63" t="e">
        <f t="shared" si="95"/>
        <v>#VALUE!</v>
      </c>
    </row>
    <row r="3059" spans="7:8">
      <c r="G3059" s="63" t="e">
        <f t="shared" si="94"/>
        <v>#VALUE!</v>
      </c>
      <c r="H3059" s="63" t="e">
        <f t="shared" si="95"/>
        <v>#VALUE!</v>
      </c>
    </row>
    <row r="3060" spans="7:8">
      <c r="G3060" s="63" t="e">
        <f t="shared" si="94"/>
        <v>#VALUE!</v>
      </c>
      <c r="H3060" s="63" t="e">
        <f t="shared" si="95"/>
        <v>#VALUE!</v>
      </c>
    </row>
    <row r="3061" spans="7:8">
      <c r="G3061" s="63" t="e">
        <f t="shared" si="94"/>
        <v>#VALUE!</v>
      </c>
      <c r="H3061" s="63" t="e">
        <f t="shared" si="95"/>
        <v>#VALUE!</v>
      </c>
    </row>
    <row r="3062" spans="7:8">
      <c r="G3062" s="63" t="e">
        <f t="shared" si="94"/>
        <v>#VALUE!</v>
      </c>
      <c r="H3062" s="63" t="e">
        <f t="shared" si="95"/>
        <v>#VALUE!</v>
      </c>
    </row>
    <row r="3063" spans="7:8">
      <c r="G3063" s="63" t="e">
        <f t="shared" si="94"/>
        <v>#VALUE!</v>
      </c>
      <c r="H3063" s="63" t="e">
        <f t="shared" si="95"/>
        <v>#VALUE!</v>
      </c>
    </row>
    <row r="3064" spans="7:8">
      <c r="G3064" s="63" t="e">
        <f t="shared" si="94"/>
        <v>#VALUE!</v>
      </c>
      <c r="H3064" s="63" t="e">
        <f t="shared" si="95"/>
        <v>#VALUE!</v>
      </c>
    </row>
    <row r="3065" spans="7:8">
      <c r="G3065" s="63" t="e">
        <f t="shared" si="94"/>
        <v>#VALUE!</v>
      </c>
      <c r="H3065" s="63" t="e">
        <f t="shared" si="95"/>
        <v>#VALUE!</v>
      </c>
    </row>
    <row r="3066" spans="7:8">
      <c r="G3066" s="63" t="e">
        <f t="shared" si="94"/>
        <v>#VALUE!</v>
      </c>
      <c r="H3066" s="63" t="e">
        <f t="shared" si="95"/>
        <v>#VALUE!</v>
      </c>
    </row>
    <row r="3067" spans="7:8">
      <c r="G3067" s="63" t="e">
        <f t="shared" si="94"/>
        <v>#VALUE!</v>
      </c>
      <c r="H3067" s="63" t="e">
        <f t="shared" si="95"/>
        <v>#VALUE!</v>
      </c>
    </row>
    <row r="3068" spans="7:8">
      <c r="G3068" s="63" t="e">
        <f t="shared" si="94"/>
        <v>#VALUE!</v>
      </c>
      <c r="H3068" s="63" t="e">
        <f t="shared" si="95"/>
        <v>#VALUE!</v>
      </c>
    </row>
    <row r="3069" spans="7:8">
      <c r="G3069" s="63" t="e">
        <f t="shared" si="94"/>
        <v>#VALUE!</v>
      </c>
      <c r="H3069" s="63" t="e">
        <f t="shared" si="95"/>
        <v>#VALUE!</v>
      </c>
    </row>
    <row r="3070" spans="7:8">
      <c r="G3070" s="63" t="e">
        <f t="shared" si="94"/>
        <v>#VALUE!</v>
      </c>
      <c r="H3070" s="63" t="e">
        <f t="shared" si="95"/>
        <v>#VALUE!</v>
      </c>
    </row>
    <row r="3071" spans="7:8">
      <c r="G3071" s="63" t="e">
        <f t="shared" si="94"/>
        <v>#VALUE!</v>
      </c>
      <c r="H3071" s="63" t="e">
        <f t="shared" si="95"/>
        <v>#VALUE!</v>
      </c>
    </row>
    <row r="3072" spans="7:8">
      <c r="G3072" s="63" t="e">
        <f t="shared" si="94"/>
        <v>#VALUE!</v>
      </c>
      <c r="H3072" s="63" t="e">
        <f t="shared" si="95"/>
        <v>#VALUE!</v>
      </c>
    </row>
    <row r="3073" spans="7:8">
      <c r="G3073" s="63" t="e">
        <f t="shared" si="94"/>
        <v>#VALUE!</v>
      </c>
      <c r="H3073" s="63" t="e">
        <f t="shared" si="95"/>
        <v>#VALUE!</v>
      </c>
    </row>
    <row r="3074" spans="7:8">
      <c r="G3074" s="63" t="e">
        <f t="shared" si="94"/>
        <v>#VALUE!</v>
      </c>
      <c r="H3074" s="63" t="e">
        <f t="shared" si="95"/>
        <v>#VALUE!</v>
      </c>
    </row>
    <row r="3075" spans="7:8">
      <c r="G3075" s="63" t="e">
        <f t="shared" ref="G3075:G3138" si="96">IF(OR(A3075="RID_PB77",A3075="RID_PB77A3"),"WPCI77",IF(A3075="RIDTCIAS","CSCI49",IF(A3075="RID_HCPTM","CHCPT_",IF(LEFT(A3075,1)="C",A3075,MID(A3075,6,LEN(A3075)-5)))))</f>
        <v>#VALUE!</v>
      </c>
      <c r="H3075" s="63" t="e">
        <f t="shared" ref="H3075:H3138" si="97">IF(OR(G3075="MJG1",G3075="MJG2"),"MJG",G3075)&amp;"_"&amp;B3075</f>
        <v>#VALUE!</v>
      </c>
    </row>
    <row r="3076" spans="7:8">
      <c r="G3076" s="63" t="e">
        <f t="shared" si="96"/>
        <v>#VALUE!</v>
      </c>
      <c r="H3076" s="63" t="e">
        <f t="shared" si="97"/>
        <v>#VALUE!</v>
      </c>
    </row>
    <row r="3077" spans="7:8">
      <c r="G3077" s="63" t="e">
        <f t="shared" si="96"/>
        <v>#VALUE!</v>
      </c>
      <c r="H3077" s="63" t="e">
        <f t="shared" si="97"/>
        <v>#VALUE!</v>
      </c>
    </row>
    <row r="3078" spans="7:8">
      <c r="G3078" s="63" t="e">
        <f t="shared" si="96"/>
        <v>#VALUE!</v>
      </c>
      <c r="H3078" s="63" t="e">
        <f t="shared" si="97"/>
        <v>#VALUE!</v>
      </c>
    </row>
    <row r="3079" spans="7:8">
      <c r="G3079" s="63" t="e">
        <f t="shared" si="96"/>
        <v>#VALUE!</v>
      </c>
      <c r="H3079" s="63" t="e">
        <f t="shared" si="97"/>
        <v>#VALUE!</v>
      </c>
    </row>
    <row r="3080" spans="7:8">
      <c r="G3080" s="63" t="e">
        <f t="shared" si="96"/>
        <v>#VALUE!</v>
      </c>
      <c r="H3080" s="63" t="e">
        <f t="shared" si="97"/>
        <v>#VALUE!</v>
      </c>
    </row>
    <row r="3081" spans="7:8">
      <c r="G3081" s="63" t="e">
        <f t="shared" si="96"/>
        <v>#VALUE!</v>
      </c>
      <c r="H3081" s="63" t="e">
        <f t="shared" si="97"/>
        <v>#VALUE!</v>
      </c>
    </row>
    <row r="3082" spans="7:8">
      <c r="G3082" s="63" t="e">
        <f t="shared" si="96"/>
        <v>#VALUE!</v>
      </c>
      <c r="H3082" s="63" t="e">
        <f t="shared" si="97"/>
        <v>#VALUE!</v>
      </c>
    </row>
    <row r="3083" spans="7:8">
      <c r="G3083" s="63" t="e">
        <f t="shared" si="96"/>
        <v>#VALUE!</v>
      </c>
      <c r="H3083" s="63" t="e">
        <f t="shared" si="97"/>
        <v>#VALUE!</v>
      </c>
    </row>
    <row r="3084" spans="7:8">
      <c r="G3084" s="63" t="e">
        <f t="shared" si="96"/>
        <v>#VALUE!</v>
      </c>
      <c r="H3084" s="63" t="e">
        <f t="shared" si="97"/>
        <v>#VALUE!</v>
      </c>
    </row>
    <row r="3085" spans="7:8">
      <c r="G3085" s="63" t="e">
        <f t="shared" si="96"/>
        <v>#VALUE!</v>
      </c>
      <c r="H3085" s="63" t="e">
        <f t="shared" si="97"/>
        <v>#VALUE!</v>
      </c>
    </row>
    <row r="3086" spans="7:8">
      <c r="G3086" s="63" t="e">
        <f t="shared" si="96"/>
        <v>#VALUE!</v>
      </c>
      <c r="H3086" s="63" t="e">
        <f t="shared" si="97"/>
        <v>#VALUE!</v>
      </c>
    </row>
    <row r="3087" spans="7:8">
      <c r="G3087" s="63" t="e">
        <f t="shared" si="96"/>
        <v>#VALUE!</v>
      </c>
      <c r="H3087" s="63" t="e">
        <f t="shared" si="97"/>
        <v>#VALUE!</v>
      </c>
    </row>
    <row r="3088" spans="7:8">
      <c r="G3088" s="63" t="e">
        <f t="shared" si="96"/>
        <v>#VALUE!</v>
      </c>
      <c r="H3088" s="63" t="e">
        <f t="shared" si="97"/>
        <v>#VALUE!</v>
      </c>
    </row>
    <row r="3089" spans="7:8">
      <c r="G3089" s="63" t="e">
        <f t="shared" si="96"/>
        <v>#VALUE!</v>
      </c>
      <c r="H3089" s="63" t="e">
        <f t="shared" si="97"/>
        <v>#VALUE!</v>
      </c>
    </row>
    <row r="3090" spans="7:8">
      <c r="G3090" s="63" t="e">
        <f t="shared" si="96"/>
        <v>#VALUE!</v>
      </c>
      <c r="H3090" s="63" t="e">
        <f t="shared" si="97"/>
        <v>#VALUE!</v>
      </c>
    </row>
    <row r="3091" spans="7:8">
      <c r="G3091" s="63" t="e">
        <f t="shared" si="96"/>
        <v>#VALUE!</v>
      </c>
      <c r="H3091" s="63" t="e">
        <f t="shared" si="97"/>
        <v>#VALUE!</v>
      </c>
    </row>
    <row r="3092" spans="7:8">
      <c r="G3092" s="63" t="e">
        <f t="shared" si="96"/>
        <v>#VALUE!</v>
      </c>
      <c r="H3092" s="63" t="e">
        <f t="shared" si="97"/>
        <v>#VALUE!</v>
      </c>
    </row>
    <row r="3093" spans="7:8">
      <c r="G3093" s="63" t="e">
        <f t="shared" si="96"/>
        <v>#VALUE!</v>
      </c>
      <c r="H3093" s="63" t="e">
        <f t="shared" si="97"/>
        <v>#VALUE!</v>
      </c>
    </row>
    <row r="3094" spans="7:8">
      <c r="G3094" s="63" t="e">
        <f t="shared" si="96"/>
        <v>#VALUE!</v>
      </c>
      <c r="H3094" s="63" t="e">
        <f t="shared" si="97"/>
        <v>#VALUE!</v>
      </c>
    </row>
    <row r="3095" spans="7:8">
      <c r="G3095" s="63" t="e">
        <f t="shared" si="96"/>
        <v>#VALUE!</v>
      </c>
      <c r="H3095" s="63" t="e">
        <f t="shared" si="97"/>
        <v>#VALUE!</v>
      </c>
    </row>
    <row r="3096" spans="7:8">
      <c r="G3096" s="63" t="e">
        <f t="shared" si="96"/>
        <v>#VALUE!</v>
      </c>
      <c r="H3096" s="63" t="e">
        <f t="shared" si="97"/>
        <v>#VALUE!</v>
      </c>
    </row>
    <row r="3097" spans="7:8">
      <c r="G3097" s="63" t="e">
        <f t="shared" si="96"/>
        <v>#VALUE!</v>
      </c>
      <c r="H3097" s="63" t="e">
        <f t="shared" si="97"/>
        <v>#VALUE!</v>
      </c>
    </row>
    <row r="3098" spans="7:8">
      <c r="G3098" s="63" t="e">
        <f t="shared" si="96"/>
        <v>#VALUE!</v>
      </c>
      <c r="H3098" s="63" t="e">
        <f t="shared" si="97"/>
        <v>#VALUE!</v>
      </c>
    </row>
    <row r="3099" spans="7:8">
      <c r="G3099" s="63" t="e">
        <f t="shared" si="96"/>
        <v>#VALUE!</v>
      </c>
      <c r="H3099" s="63" t="e">
        <f t="shared" si="97"/>
        <v>#VALUE!</v>
      </c>
    </row>
    <row r="3100" spans="7:8">
      <c r="G3100" s="63" t="e">
        <f t="shared" si="96"/>
        <v>#VALUE!</v>
      </c>
      <c r="H3100" s="63" t="e">
        <f t="shared" si="97"/>
        <v>#VALUE!</v>
      </c>
    </row>
    <row r="3101" spans="7:8">
      <c r="G3101" s="63" t="e">
        <f t="shared" si="96"/>
        <v>#VALUE!</v>
      </c>
      <c r="H3101" s="63" t="e">
        <f t="shared" si="97"/>
        <v>#VALUE!</v>
      </c>
    </row>
    <row r="3102" spans="7:8">
      <c r="G3102" s="63" t="e">
        <f t="shared" si="96"/>
        <v>#VALUE!</v>
      </c>
      <c r="H3102" s="63" t="e">
        <f t="shared" si="97"/>
        <v>#VALUE!</v>
      </c>
    </row>
    <row r="3103" spans="7:8">
      <c r="G3103" s="63" t="e">
        <f t="shared" si="96"/>
        <v>#VALUE!</v>
      </c>
      <c r="H3103" s="63" t="e">
        <f t="shared" si="97"/>
        <v>#VALUE!</v>
      </c>
    </row>
    <row r="3104" spans="7:8">
      <c r="G3104" s="63" t="e">
        <f t="shared" si="96"/>
        <v>#VALUE!</v>
      </c>
      <c r="H3104" s="63" t="e">
        <f t="shared" si="97"/>
        <v>#VALUE!</v>
      </c>
    </row>
    <row r="3105" spans="7:8">
      <c r="G3105" s="63" t="e">
        <f t="shared" si="96"/>
        <v>#VALUE!</v>
      </c>
      <c r="H3105" s="63" t="e">
        <f t="shared" si="97"/>
        <v>#VALUE!</v>
      </c>
    </row>
    <row r="3106" spans="7:8">
      <c r="G3106" s="63" t="e">
        <f t="shared" si="96"/>
        <v>#VALUE!</v>
      </c>
      <c r="H3106" s="63" t="e">
        <f t="shared" si="97"/>
        <v>#VALUE!</v>
      </c>
    </row>
    <row r="3107" spans="7:8">
      <c r="G3107" s="63" t="e">
        <f t="shared" si="96"/>
        <v>#VALUE!</v>
      </c>
      <c r="H3107" s="63" t="e">
        <f t="shared" si="97"/>
        <v>#VALUE!</v>
      </c>
    </row>
    <row r="3108" spans="7:8">
      <c r="G3108" s="63" t="e">
        <f t="shared" si="96"/>
        <v>#VALUE!</v>
      </c>
      <c r="H3108" s="63" t="e">
        <f t="shared" si="97"/>
        <v>#VALUE!</v>
      </c>
    </row>
    <row r="3109" spans="7:8">
      <c r="G3109" s="63" t="e">
        <f t="shared" si="96"/>
        <v>#VALUE!</v>
      </c>
      <c r="H3109" s="63" t="e">
        <f t="shared" si="97"/>
        <v>#VALUE!</v>
      </c>
    </row>
    <row r="3110" spans="7:8">
      <c r="G3110" s="63" t="e">
        <f t="shared" si="96"/>
        <v>#VALUE!</v>
      </c>
      <c r="H3110" s="63" t="e">
        <f t="shared" si="97"/>
        <v>#VALUE!</v>
      </c>
    </row>
    <row r="3111" spans="7:8">
      <c r="G3111" s="63" t="e">
        <f t="shared" si="96"/>
        <v>#VALUE!</v>
      </c>
      <c r="H3111" s="63" t="e">
        <f t="shared" si="97"/>
        <v>#VALUE!</v>
      </c>
    </row>
    <row r="3112" spans="7:8">
      <c r="G3112" s="63" t="e">
        <f t="shared" si="96"/>
        <v>#VALUE!</v>
      </c>
      <c r="H3112" s="63" t="e">
        <f t="shared" si="97"/>
        <v>#VALUE!</v>
      </c>
    </row>
    <row r="3113" spans="7:8">
      <c r="G3113" s="63" t="e">
        <f t="shared" si="96"/>
        <v>#VALUE!</v>
      </c>
      <c r="H3113" s="63" t="e">
        <f t="shared" si="97"/>
        <v>#VALUE!</v>
      </c>
    </row>
    <row r="3114" spans="7:8">
      <c r="G3114" s="63" t="e">
        <f t="shared" si="96"/>
        <v>#VALUE!</v>
      </c>
      <c r="H3114" s="63" t="e">
        <f t="shared" si="97"/>
        <v>#VALUE!</v>
      </c>
    </row>
    <row r="3115" spans="7:8">
      <c r="G3115" s="63" t="e">
        <f t="shared" si="96"/>
        <v>#VALUE!</v>
      </c>
      <c r="H3115" s="63" t="e">
        <f t="shared" si="97"/>
        <v>#VALUE!</v>
      </c>
    </row>
    <row r="3116" spans="7:8">
      <c r="G3116" s="63" t="e">
        <f t="shared" si="96"/>
        <v>#VALUE!</v>
      </c>
      <c r="H3116" s="63" t="e">
        <f t="shared" si="97"/>
        <v>#VALUE!</v>
      </c>
    </row>
    <row r="3117" spans="7:8">
      <c r="G3117" s="63" t="e">
        <f t="shared" si="96"/>
        <v>#VALUE!</v>
      </c>
      <c r="H3117" s="63" t="e">
        <f t="shared" si="97"/>
        <v>#VALUE!</v>
      </c>
    </row>
    <row r="3118" spans="7:8">
      <c r="G3118" s="63" t="e">
        <f t="shared" si="96"/>
        <v>#VALUE!</v>
      </c>
      <c r="H3118" s="63" t="e">
        <f t="shared" si="97"/>
        <v>#VALUE!</v>
      </c>
    </row>
    <row r="3119" spans="7:8">
      <c r="G3119" s="63" t="e">
        <f t="shared" si="96"/>
        <v>#VALUE!</v>
      </c>
      <c r="H3119" s="63" t="e">
        <f t="shared" si="97"/>
        <v>#VALUE!</v>
      </c>
    </row>
    <row r="3120" spans="7:8">
      <c r="G3120" s="63" t="e">
        <f t="shared" si="96"/>
        <v>#VALUE!</v>
      </c>
      <c r="H3120" s="63" t="e">
        <f t="shared" si="97"/>
        <v>#VALUE!</v>
      </c>
    </row>
    <row r="3121" spans="7:8">
      <c r="G3121" s="63" t="e">
        <f t="shared" si="96"/>
        <v>#VALUE!</v>
      </c>
      <c r="H3121" s="63" t="e">
        <f t="shared" si="97"/>
        <v>#VALUE!</v>
      </c>
    </row>
    <row r="3122" spans="7:8">
      <c r="G3122" s="63" t="e">
        <f t="shared" si="96"/>
        <v>#VALUE!</v>
      </c>
      <c r="H3122" s="63" t="e">
        <f t="shared" si="97"/>
        <v>#VALUE!</v>
      </c>
    </row>
    <row r="3123" spans="7:8">
      <c r="G3123" s="63" t="e">
        <f t="shared" si="96"/>
        <v>#VALUE!</v>
      </c>
      <c r="H3123" s="63" t="e">
        <f t="shared" si="97"/>
        <v>#VALUE!</v>
      </c>
    </row>
    <row r="3124" spans="7:8">
      <c r="G3124" s="63" t="e">
        <f t="shared" si="96"/>
        <v>#VALUE!</v>
      </c>
      <c r="H3124" s="63" t="e">
        <f t="shared" si="97"/>
        <v>#VALUE!</v>
      </c>
    </row>
    <row r="3125" spans="7:8">
      <c r="G3125" s="63" t="e">
        <f t="shared" si="96"/>
        <v>#VALUE!</v>
      </c>
      <c r="H3125" s="63" t="e">
        <f t="shared" si="97"/>
        <v>#VALUE!</v>
      </c>
    </row>
    <row r="3126" spans="7:8">
      <c r="G3126" s="63" t="e">
        <f t="shared" si="96"/>
        <v>#VALUE!</v>
      </c>
      <c r="H3126" s="63" t="e">
        <f t="shared" si="97"/>
        <v>#VALUE!</v>
      </c>
    </row>
    <row r="3127" spans="7:8">
      <c r="G3127" s="63" t="e">
        <f t="shared" si="96"/>
        <v>#VALUE!</v>
      </c>
      <c r="H3127" s="63" t="e">
        <f t="shared" si="97"/>
        <v>#VALUE!</v>
      </c>
    </row>
    <row r="3128" spans="7:8">
      <c r="G3128" s="63" t="e">
        <f t="shared" si="96"/>
        <v>#VALUE!</v>
      </c>
      <c r="H3128" s="63" t="e">
        <f t="shared" si="97"/>
        <v>#VALUE!</v>
      </c>
    </row>
    <row r="3129" spans="7:8">
      <c r="G3129" s="63" t="e">
        <f t="shared" si="96"/>
        <v>#VALUE!</v>
      </c>
      <c r="H3129" s="63" t="e">
        <f t="shared" si="97"/>
        <v>#VALUE!</v>
      </c>
    </row>
    <row r="3130" spans="7:8">
      <c r="G3130" s="63" t="e">
        <f t="shared" si="96"/>
        <v>#VALUE!</v>
      </c>
      <c r="H3130" s="63" t="e">
        <f t="shared" si="97"/>
        <v>#VALUE!</v>
      </c>
    </row>
    <row r="3131" spans="7:8">
      <c r="G3131" s="63" t="e">
        <f t="shared" si="96"/>
        <v>#VALUE!</v>
      </c>
      <c r="H3131" s="63" t="e">
        <f t="shared" si="97"/>
        <v>#VALUE!</v>
      </c>
    </row>
    <row r="3132" spans="7:8">
      <c r="G3132" s="63" t="e">
        <f t="shared" si="96"/>
        <v>#VALUE!</v>
      </c>
      <c r="H3132" s="63" t="e">
        <f t="shared" si="97"/>
        <v>#VALUE!</v>
      </c>
    </row>
    <row r="3133" spans="7:8">
      <c r="G3133" s="63" t="e">
        <f t="shared" si="96"/>
        <v>#VALUE!</v>
      </c>
      <c r="H3133" s="63" t="e">
        <f t="shared" si="97"/>
        <v>#VALUE!</v>
      </c>
    </row>
    <row r="3134" spans="7:8">
      <c r="G3134" s="63" t="e">
        <f t="shared" si="96"/>
        <v>#VALUE!</v>
      </c>
      <c r="H3134" s="63" t="e">
        <f t="shared" si="97"/>
        <v>#VALUE!</v>
      </c>
    </row>
    <row r="3135" spans="7:8">
      <c r="G3135" s="63" t="e">
        <f t="shared" si="96"/>
        <v>#VALUE!</v>
      </c>
      <c r="H3135" s="63" t="e">
        <f t="shared" si="97"/>
        <v>#VALUE!</v>
      </c>
    </row>
    <row r="3136" spans="7:8">
      <c r="G3136" s="63" t="e">
        <f t="shared" si="96"/>
        <v>#VALUE!</v>
      </c>
      <c r="H3136" s="63" t="e">
        <f t="shared" si="97"/>
        <v>#VALUE!</v>
      </c>
    </row>
    <row r="3137" spans="7:8">
      <c r="G3137" s="63" t="e">
        <f t="shared" si="96"/>
        <v>#VALUE!</v>
      </c>
      <c r="H3137" s="63" t="e">
        <f t="shared" si="97"/>
        <v>#VALUE!</v>
      </c>
    </row>
    <row r="3138" spans="7:8">
      <c r="G3138" s="63" t="e">
        <f t="shared" si="96"/>
        <v>#VALUE!</v>
      </c>
      <c r="H3138" s="63" t="e">
        <f t="shared" si="97"/>
        <v>#VALUE!</v>
      </c>
    </row>
    <row r="3139" spans="7:8">
      <c r="G3139" s="63" t="e">
        <f t="shared" ref="G3139:G3202" si="98">IF(OR(A3139="RID_PB77",A3139="RID_PB77A3"),"WPCI77",IF(A3139="RIDTCIAS","CSCI49",IF(A3139="RID_HCPTM","CHCPT_",IF(LEFT(A3139,1)="C",A3139,MID(A3139,6,LEN(A3139)-5)))))</f>
        <v>#VALUE!</v>
      </c>
      <c r="H3139" s="63" t="e">
        <f t="shared" ref="H3139:H3202" si="99">IF(OR(G3139="MJG1",G3139="MJG2"),"MJG",G3139)&amp;"_"&amp;B3139</f>
        <v>#VALUE!</v>
      </c>
    </row>
    <row r="3140" spans="7:8">
      <c r="G3140" s="63" t="e">
        <f t="shared" si="98"/>
        <v>#VALUE!</v>
      </c>
      <c r="H3140" s="63" t="e">
        <f t="shared" si="99"/>
        <v>#VALUE!</v>
      </c>
    </row>
    <row r="3141" spans="7:8">
      <c r="G3141" s="63" t="e">
        <f t="shared" si="98"/>
        <v>#VALUE!</v>
      </c>
      <c r="H3141" s="63" t="e">
        <f t="shared" si="99"/>
        <v>#VALUE!</v>
      </c>
    </row>
    <row r="3142" spans="7:8">
      <c r="G3142" s="63" t="e">
        <f t="shared" si="98"/>
        <v>#VALUE!</v>
      </c>
      <c r="H3142" s="63" t="e">
        <f t="shared" si="99"/>
        <v>#VALUE!</v>
      </c>
    </row>
    <row r="3143" spans="7:8">
      <c r="G3143" s="63" t="e">
        <f t="shared" si="98"/>
        <v>#VALUE!</v>
      </c>
      <c r="H3143" s="63" t="e">
        <f t="shared" si="99"/>
        <v>#VALUE!</v>
      </c>
    </row>
    <row r="3144" spans="7:8">
      <c r="G3144" s="63" t="e">
        <f t="shared" si="98"/>
        <v>#VALUE!</v>
      </c>
      <c r="H3144" s="63" t="e">
        <f t="shared" si="99"/>
        <v>#VALUE!</v>
      </c>
    </row>
    <row r="3145" spans="7:8">
      <c r="G3145" s="63" t="e">
        <f t="shared" si="98"/>
        <v>#VALUE!</v>
      </c>
      <c r="H3145" s="63" t="e">
        <f t="shared" si="99"/>
        <v>#VALUE!</v>
      </c>
    </row>
    <row r="3146" spans="7:8">
      <c r="G3146" s="63" t="e">
        <f t="shared" si="98"/>
        <v>#VALUE!</v>
      </c>
      <c r="H3146" s="63" t="e">
        <f t="shared" si="99"/>
        <v>#VALUE!</v>
      </c>
    </row>
    <row r="3147" spans="7:8">
      <c r="G3147" s="63" t="e">
        <f t="shared" si="98"/>
        <v>#VALUE!</v>
      </c>
      <c r="H3147" s="63" t="e">
        <f t="shared" si="99"/>
        <v>#VALUE!</v>
      </c>
    </row>
    <row r="3148" spans="7:8">
      <c r="G3148" s="63" t="e">
        <f t="shared" si="98"/>
        <v>#VALUE!</v>
      </c>
      <c r="H3148" s="63" t="e">
        <f t="shared" si="99"/>
        <v>#VALUE!</v>
      </c>
    </row>
    <row r="3149" spans="7:8">
      <c r="G3149" s="63" t="e">
        <f t="shared" si="98"/>
        <v>#VALUE!</v>
      </c>
      <c r="H3149" s="63" t="e">
        <f t="shared" si="99"/>
        <v>#VALUE!</v>
      </c>
    </row>
    <row r="3150" spans="7:8">
      <c r="G3150" s="63" t="e">
        <f t="shared" si="98"/>
        <v>#VALUE!</v>
      </c>
      <c r="H3150" s="63" t="e">
        <f t="shared" si="99"/>
        <v>#VALUE!</v>
      </c>
    </row>
    <row r="3151" spans="7:8">
      <c r="G3151" s="63" t="e">
        <f t="shared" si="98"/>
        <v>#VALUE!</v>
      </c>
      <c r="H3151" s="63" t="e">
        <f t="shared" si="99"/>
        <v>#VALUE!</v>
      </c>
    </row>
    <row r="3152" spans="7:8">
      <c r="G3152" s="63" t="e">
        <f t="shared" si="98"/>
        <v>#VALUE!</v>
      </c>
      <c r="H3152" s="63" t="e">
        <f t="shared" si="99"/>
        <v>#VALUE!</v>
      </c>
    </row>
    <row r="3153" spans="7:8">
      <c r="G3153" s="63" t="e">
        <f t="shared" si="98"/>
        <v>#VALUE!</v>
      </c>
      <c r="H3153" s="63" t="e">
        <f t="shared" si="99"/>
        <v>#VALUE!</v>
      </c>
    </row>
    <row r="3154" spans="7:8">
      <c r="G3154" s="63" t="e">
        <f t="shared" si="98"/>
        <v>#VALUE!</v>
      </c>
      <c r="H3154" s="63" t="e">
        <f t="shared" si="99"/>
        <v>#VALUE!</v>
      </c>
    </row>
    <row r="3155" spans="7:8">
      <c r="G3155" s="63" t="e">
        <f t="shared" si="98"/>
        <v>#VALUE!</v>
      </c>
      <c r="H3155" s="63" t="e">
        <f t="shared" si="99"/>
        <v>#VALUE!</v>
      </c>
    </row>
    <row r="3156" spans="7:8">
      <c r="G3156" s="63" t="e">
        <f t="shared" si="98"/>
        <v>#VALUE!</v>
      </c>
      <c r="H3156" s="63" t="e">
        <f t="shared" si="99"/>
        <v>#VALUE!</v>
      </c>
    </row>
    <row r="3157" spans="7:8">
      <c r="G3157" s="63" t="e">
        <f t="shared" si="98"/>
        <v>#VALUE!</v>
      </c>
      <c r="H3157" s="63" t="e">
        <f t="shared" si="99"/>
        <v>#VALUE!</v>
      </c>
    </row>
    <row r="3158" spans="7:8">
      <c r="G3158" s="63" t="e">
        <f t="shared" si="98"/>
        <v>#VALUE!</v>
      </c>
      <c r="H3158" s="63" t="e">
        <f t="shared" si="99"/>
        <v>#VALUE!</v>
      </c>
    </row>
    <row r="3159" spans="7:8">
      <c r="G3159" s="63" t="e">
        <f t="shared" si="98"/>
        <v>#VALUE!</v>
      </c>
      <c r="H3159" s="63" t="e">
        <f t="shared" si="99"/>
        <v>#VALUE!</v>
      </c>
    </row>
    <row r="3160" spans="7:8">
      <c r="G3160" s="63" t="e">
        <f t="shared" si="98"/>
        <v>#VALUE!</v>
      </c>
      <c r="H3160" s="63" t="e">
        <f t="shared" si="99"/>
        <v>#VALUE!</v>
      </c>
    </row>
    <row r="3161" spans="7:8">
      <c r="G3161" s="63" t="e">
        <f t="shared" si="98"/>
        <v>#VALUE!</v>
      </c>
      <c r="H3161" s="63" t="e">
        <f t="shared" si="99"/>
        <v>#VALUE!</v>
      </c>
    </row>
    <row r="3162" spans="7:8">
      <c r="G3162" s="63" t="e">
        <f t="shared" si="98"/>
        <v>#VALUE!</v>
      </c>
      <c r="H3162" s="63" t="e">
        <f t="shared" si="99"/>
        <v>#VALUE!</v>
      </c>
    </row>
    <row r="3163" spans="7:8">
      <c r="G3163" s="63" t="e">
        <f t="shared" si="98"/>
        <v>#VALUE!</v>
      </c>
      <c r="H3163" s="63" t="e">
        <f t="shared" si="99"/>
        <v>#VALUE!</v>
      </c>
    </row>
    <row r="3164" spans="7:8">
      <c r="G3164" s="63" t="e">
        <f t="shared" si="98"/>
        <v>#VALUE!</v>
      </c>
      <c r="H3164" s="63" t="e">
        <f t="shared" si="99"/>
        <v>#VALUE!</v>
      </c>
    </row>
    <row r="3165" spans="7:8">
      <c r="G3165" s="63" t="e">
        <f t="shared" si="98"/>
        <v>#VALUE!</v>
      </c>
      <c r="H3165" s="63" t="e">
        <f t="shared" si="99"/>
        <v>#VALUE!</v>
      </c>
    </row>
    <row r="3166" spans="7:8">
      <c r="G3166" s="63" t="e">
        <f t="shared" si="98"/>
        <v>#VALUE!</v>
      </c>
      <c r="H3166" s="63" t="e">
        <f t="shared" si="99"/>
        <v>#VALUE!</v>
      </c>
    </row>
    <row r="3167" spans="7:8">
      <c r="G3167" s="63" t="e">
        <f t="shared" si="98"/>
        <v>#VALUE!</v>
      </c>
      <c r="H3167" s="63" t="e">
        <f t="shared" si="99"/>
        <v>#VALUE!</v>
      </c>
    </row>
    <row r="3168" spans="7:8">
      <c r="G3168" s="63" t="e">
        <f t="shared" si="98"/>
        <v>#VALUE!</v>
      </c>
      <c r="H3168" s="63" t="e">
        <f t="shared" si="99"/>
        <v>#VALUE!</v>
      </c>
    </row>
    <row r="3169" spans="7:8">
      <c r="G3169" s="63" t="e">
        <f t="shared" si="98"/>
        <v>#VALUE!</v>
      </c>
      <c r="H3169" s="63" t="e">
        <f t="shared" si="99"/>
        <v>#VALUE!</v>
      </c>
    </row>
    <row r="3170" spans="7:8">
      <c r="G3170" s="63" t="e">
        <f t="shared" si="98"/>
        <v>#VALUE!</v>
      </c>
      <c r="H3170" s="63" t="e">
        <f t="shared" si="99"/>
        <v>#VALUE!</v>
      </c>
    </row>
    <row r="3171" spans="7:8">
      <c r="G3171" s="63" t="e">
        <f t="shared" si="98"/>
        <v>#VALUE!</v>
      </c>
      <c r="H3171" s="63" t="e">
        <f t="shared" si="99"/>
        <v>#VALUE!</v>
      </c>
    </row>
    <row r="3172" spans="7:8">
      <c r="G3172" s="63" t="e">
        <f t="shared" si="98"/>
        <v>#VALUE!</v>
      </c>
      <c r="H3172" s="63" t="e">
        <f t="shared" si="99"/>
        <v>#VALUE!</v>
      </c>
    </row>
    <row r="3173" spans="7:8">
      <c r="G3173" s="63" t="e">
        <f t="shared" si="98"/>
        <v>#VALUE!</v>
      </c>
      <c r="H3173" s="63" t="e">
        <f t="shared" si="99"/>
        <v>#VALUE!</v>
      </c>
    </row>
    <row r="3174" spans="7:8">
      <c r="G3174" s="63" t="e">
        <f t="shared" si="98"/>
        <v>#VALUE!</v>
      </c>
      <c r="H3174" s="63" t="e">
        <f t="shared" si="99"/>
        <v>#VALUE!</v>
      </c>
    </row>
    <row r="3175" spans="7:8">
      <c r="G3175" s="63" t="e">
        <f t="shared" si="98"/>
        <v>#VALUE!</v>
      </c>
      <c r="H3175" s="63" t="e">
        <f t="shared" si="99"/>
        <v>#VALUE!</v>
      </c>
    </row>
    <row r="3176" spans="7:8">
      <c r="G3176" s="63" t="e">
        <f t="shared" si="98"/>
        <v>#VALUE!</v>
      </c>
      <c r="H3176" s="63" t="e">
        <f t="shared" si="99"/>
        <v>#VALUE!</v>
      </c>
    </row>
    <row r="3177" spans="7:8">
      <c r="G3177" s="63" t="e">
        <f t="shared" si="98"/>
        <v>#VALUE!</v>
      </c>
      <c r="H3177" s="63" t="e">
        <f t="shared" si="99"/>
        <v>#VALUE!</v>
      </c>
    </row>
    <row r="3178" spans="7:8">
      <c r="G3178" s="63" t="e">
        <f t="shared" si="98"/>
        <v>#VALUE!</v>
      </c>
      <c r="H3178" s="63" t="e">
        <f t="shared" si="99"/>
        <v>#VALUE!</v>
      </c>
    </row>
    <row r="3179" spans="7:8">
      <c r="G3179" s="63" t="e">
        <f t="shared" si="98"/>
        <v>#VALUE!</v>
      </c>
      <c r="H3179" s="63" t="e">
        <f t="shared" si="99"/>
        <v>#VALUE!</v>
      </c>
    </row>
    <row r="3180" spans="7:8">
      <c r="G3180" s="63" t="e">
        <f t="shared" si="98"/>
        <v>#VALUE!</v>
      </c>
      <c r="H3180" s="63" t="e">
        <f t="shared" si="99"/>
        <v>#VALUE!</v>
      </c>
    </row>
    <row r="3181" spans="7:8">
      <c r="G3181" s="63" t="e">
        <f t="shared" si="98"/>
        <v>#VALUE!</v>
      </c>
      <c r="H3181" s="63" t="e">
        <f t="shared" si="99"/>
        <v>#VALUE!</v>
      </c>
    </row>
    <row r="3182" spans="7:8">
      <c r="G3182" s="63" t="e">
        <f t="shared" si="98"/>
        <v>#VALUE!</v>
      </c>
      <c r="H3182" s="63" t="e">
        <f t="shared" si="99"/>
        <v>#VALUE!</v>
      </c>
    </row>
    <row r="3183" spans="7:8">
      <c r="G3183" s="63" t="e">
        <f t="shared" si="98"/>
        <v>#VALUE!</v>
      </c>
      <c r="H3183" s="63" t="e">
        <f t="shared" si="99"/>
        <v>#VALUE!</v>
      </c>
    </row>
    <row r="3184" spans="7:8">
      <c r="G3184" s="63" t="e">
        <f t="shared" si="98"/>
        <v>#VALUE!</v>
      </c>
      <c r="H3184" s="63" t="e">
        <f t="shared" si="99"/>
        <v>#VALUE!</v>
      </c>
    </row>
    <row r="3185" spans="7:8">
      <c r="G3185" s="63" t="e">
        <f t="shared" si="98"/>
        <v>#VALUE!</v>
      </c>
      <c r="H3185" s="63" t="e">
        <f t="shared" si="99"/>
        <v>#VALUE!</v>
      </c>
    </row>
    <row r="3186" spans="7:8">
      <c r="G3186" s="63" t="e">
        <f t="shared" si="98"/>
        <v>#VALUE!</v>
      </c>
      <c r="H3186" s="63" t="e">
        <f t="shared" si="99"/>
        <v>#VALUE!</v>
      </c>
    </row>
    <row r="3187" spans="7:8">
      <c r="G3187" s="63" t="e">
        <f t="shared" si="98"/>
        <v>#VALUE!</v>
      </c>
      <c r="H3187" s="63" t="e">
        <f t="shared" si="99"/>
        <v>#VALUE!</v>
      </c>
    </row>
    <row r="3188" spans="7:8">
      <c r="G3188" s="63" t="e">
        <f t="shared" si="98"/>
        <v>#VALUE!</v>
      </c>
      <c r="H3188" s="63" t="e">
        <f t="shared" si="99"/>
        <v>#VALUE!</v>
      </c>
    </row>
    <row r="3189" spans="7:8">
      <c r="G3189" s="63" t="e">
        <f t="shared" si="98"/>
        <v>#VALUE!</v>
      </c>
      <c r="H3189" s="63" t="e">
        <f t="shared" si="99"/>
        <v>#VALUE!</v>
      </c>
    </row>
    <row r="3190" spans="7:8">
      <c r="G3190" s="63" t="e">
        <f t="shared" si="98"/>
        <v>#VALUE!</v>
      </c>
      <c r="H3190" s="63" t="e">
        <f t="shared" si="99"/>
        <v>#VALUE!</v>
      </c>
    </row>
    <row r="3191" spans="7:8">
      <c r="G3191" s="63" t="e">
        <f t="shared" si="98"/>
        <v>#VALUE!</v>
      </c>
      <c r="H3191" s="63" t="e">
        <f t="shared" si="99"/>
        <v>#VALUE!</v>
      </c>
    </row>
    <row r="3192" spans="7:8">
      <c r="G3192" s="63" t="e">
        <f t="shared" si="98"/>
        <v>#VALUE!</v>
      </c>
      <c r="H3192" s="63" t="e">
        <f t="shared" si="99"/>
        <v>#VALUE!</v>
      </c>
    </row>
    <row r="3193" spans="7:8">
      <c r="G3193" s="63" t="e">
        <f t="shared" si="98"/>
        <v>#VALUE!</v>
      </c>
      <c r="H3193" s="63" t="e">
        <f t="shared" si="99"/>
        <v>#VALUE!</v>
      </c>
    </row>
    <row r="3194" spans="7:8">
      <c r="G3194" s="63" t="e">
        <f t="shared" si="98"/>
        <v>#VALUE!</v>
      </c>
      <c r="H3194" s="63" t="e">
        <f t="shared" si="99"/>
        <v>#VALUE!</v>
      </c>
    </row>
    <row r="3195" spans="7:8">
      <c r="G3195" s="63" t="e">
        <f t="shared" si="98"/>
        <v>#VALUE!</v>
      </c>
      <c r="H3195" s="63" t="e">
        <f t="shared" si="99"/>
        <v>#VALUE!</v>
      </c>
    </row>
    <row r="3196" spans="7:8">
      <c r="G3196" s="63" t="e">
        <f t="shared" si="98"/>
        <v>#VALUE!</v>
      </c>
      <c r="H3196" s="63" t="e">
        <f t="shared" si="99"/>
        <v>#VALUE!</v>
      </c>
    </row>
    <row r="3197" spans="7:8">
      <c r="G3197" s="63" t="e">
        <f t="shared" si="98"/>
        <v>#VALUE!</v>
      </c>
      <c r="H3197" s="63" t="e">
        <f t="shared" si="99"/>
        <v>#VALUE!</v>
      </c>
    </row>
    <row r="3198" spans="7:8">
      <c r="G3198" s="63" t="e">
        <f t="shared" si="98"/>
        <v>#VALUE!</v>
      </c>
      <c r="H3198" s="63" t="e">
        <f t="shared" si="99"/>
        <v>#VALUE!</v>
      </c>
    </row>
    <row r="3199" spans="7:8">
      <c r="G3199" s="63" t="e">
        <f t="shared" si="98"/>
        <v>#VALUE!</v>
      </c>
      <c r="H3199" s="63" t="e">
        <f t="shared" si="99"/>
        <v>#VALUE!</v>
      </c>
    </row>
    <row r="3200" spans="7:8">
      <c r="G3200" s="63" t="e">
        <f t="shared" si="98"/>
        <v>#VALUE!</v>
      </c>
      <c r="H3200" s="63" t="e">
        <f t="shared" si="99"/>
        <v>#VALUE!</v>
      </c>
    </row>
    <row r="3201" spans="7:8">
      <c r="G3201" s="63" t="e">
        <f t="shared" si="98"/>
        <v>#VALUE!</v>
      </c>
      <c r="H3201" s="63" t="e">
        <f t="shared" si="99"/>
        <v>#VALUE!</v>
      </c>
    </row>
    <row r="3202" spans="7:8">
      <c r="G3202" s="63" t="e">
        <f t="shared" si="98"/>
        <v>#VALUE!</v>
      </c>
      <c r="H3202" s="63" t="e">
        <f t="shared" si="99"/>
        <v>#VALUE!</v>
      </c>
    </row>
    <row r="3203" spans="7:8">
      <c r="G3203" s="63" t="e">
        <f t="shared" ref="G3203:G3266" si="100">IF(OR(A3203="RID_PB77",A3203="RID_PB77A3"),"WPCI77",IF(A3203="RIDTCIAS","CSCI49",IF(A3203="RID_HCPTM","CHCPT_",IF(LEFT(A3203,1)="C",A3203,MID(A3203,6,LEN(A3203)-5)))))</f>
        <v>#VALUE!</v>
      </c>
      <c r="H3203" s="63" t="e">
        <f t="shared" ref="H3203:H3266" si="101">IF(OR(G3203="MJG1",G3203="MJG2"),"MJG",G3203)&amp;"_"&amp;B3203</f>
        <v>#VALUE!</v>
      </c>
    </row>
    <row r="3204" spans="7:8">
      <c r="G3204" s="63" t="e">
        <f t="shared" si="100"/>
        <v>#VALUE!</v>
      </c>
      <c r="H3204" s="63" t="e">
        <f t="shared" si="101"/>
        <v>#VALUE!</v>
      </c>
    </row>
    <row r="3205" spans="7:8">
      <c r="G3205" s="63" t="e">
        <f t="shared" si="100"/>
        <v>#VALUE!</v>
      </c>
      <c r="H3205" s="63" t="e">
        <f t="shared" si="101"/>
        <v>#VALUE!</v>
      </c>
    </row>
    <row r="3206" spans="7:8">
      <c r="G3206" s="63" t="e">
        <f t="shared" si="100"/>
        <v>#VALUE!</v>
      </c>
      <c r="H3206" s="63" t="e">
        <f t="shared" si="101"/>
        <v>#VALUE!</v>
      </c>
    </row>
    <row r="3207" spans="7:8">
      <c r="G3207" s="63" t="e">
        <f t="shared" si="100"/>
        <v>#VALUE!</v>
      </c>
      <c r="H3207" s="63" t="e">
        <f t="shared" si="101"/>
        <v>#VALUE!</v>
      </c>
    </row>
    <row r="3208" spans="7:8">
      <c r="G3208" s="63" t="e">
        <f t="shared" si="100"/>
        <v>#VALUE!</v>
      </c>
      <c r="H3208" s="63" t="e">
        <f t="shared" si="101"/>
        <v>#VALUE!</v>
      </c>
    </row>
    <row r="3209" spans="7:8">
      <c r="G3209" s="63" t="e">
        <f t="shared" si="100"/>
        <v>#VALUE!</v>
      </c>
      <c r="H3209" s="63" t="e">
        <f t="shared" si="101"/>
        <v>#VALUE!</v>
      </c>
    </row>
    <row r="3210" spans="7:8">
      <c r="G3210" s="63" t="e">
        <f t="shared" si="100"/>
        <v>#VALUE!</v>
      </c>
      <c r="H3210" s="63" t="e">
        <f t="shared" si="101"/>
        <v>#VALUE!</v>
      </c>
    </row>
    <row r="3211" spans="7:8">
      <c r="G3211" s="63" t="e">
        <f t="shared" si="100"/>
        <v>#VALUE!</v>
      </c>
      <c r="H3211" s="63" t="e">
        <f t="shared" si="101"/>
        <v>#VALUE!</v>
      </c>
    </row>
    <row r="3212" spans="7:8">
      <c r="G3212" s="63" t="e">
        <f t="shared" si="100"/>
        <v>#VALUE!</v>
      </c>
      <c r="H3212" s="63" t="e">
        <f t="shared" si="101"/>
        <v>#VALUE!</v>
      </c>
    </row>
    <row r="3213" spans="7:8">
      <c r="G3213" s="63" t="e">
        <f t="shared" si="100"/>
        <v>#VALUE!</v>
      </c>
      <c r="H3213" s="63" t="e">
        <f t="shared" si="101"/>
        <v>#VALUE!</v>
      </c>
    </row>
    <row r="3214" spans="7:8">
      <c r="G3214" s="63" t="e">
        <f t="shared" si="100"/>
        <v>#VALUE!</v>
      </c>
      <c r="H3214" s="63" t="e">
        <f t="shared" si="101"/>
        <v>#VALUE!</v>
      </c>
    </row>
    <row r="3215" spans="7:8">
      <c r="G3215" s="63" t="e">
        <f t="shared" si="100"/>
        <v>#VALUE!</v>
      </c>
      <c r="H3215" s="63" t="e">
        <f t="shared" si="101"/>
        <v>#VALUE!</v>
      </c>
    </row>
    <row r="3216" spans="7:8">
      <c r="G3216" s="63" t="e">
        <f t="shared" si="100"/>
        <v>#VALUE!</v>
      </c>
      <c r="H3216" s="63" t="e">
        <f t="shared" si="101"/>
        <v>#VALUE!</v>
      </c>
    </row>
    <row r="3217" spans="7:8">
      <c r="G3217" s="63" t="e">
        <f t="shared" si="100"/>
        <v>#VALUE!</v>
      </c>
      <c r="H3217" s="63" t="e">
        <f t="shared" si="101"/>
        <v>#VALUE!</v>
      </c>
    </row>
    <row r="3218" spans="7:8">
      <c r="G3218" s="63" t="e">
        <f t="shared" si="100"/>
        <v>#VALUE!</v>
      </c>
      <c r="H3218" s="63" t="e">
        <f t="shared" si="101"/>
        <v>#VALUE!</v>
      </c>
    </row>
    <row r="3219" spans="7:8">
      <c r="G3219" s="63" t="e">
        <f t="shared" si="100"/>
        <v>#VALUE!</v>
      </c>
      <c r="H3219" s="63" t="e">
        <f t="shared" si="101"/>
        <v>#VALUE!</v>
      </c>
    </row>
    <row r="3220" spans="7:8">
      <c r="G3220" s="63" t="e">
        <f t="shared" si="100"/>
        <v>#VALUE!</v>
      </c>
      <c r="H3220" s="63" t="e">
        <f t="shared" si="101"/>
        <v>#VALUE!</v>
      </c>
    </row>
    <row r="3221" spans="7:8">
      <c r="G3221" s="63" t="e">
        <f t="shared" si="100"/>
        <v>#VALUE!</v>
      </c>
      <c r="H3221" s="63" t="e">
        <f t="shared" si="101"/>
        <v>#VALUE!</v>
      </c>
    </row>
    <row r="3222" spans="7:8">
      <c r="G3222" s="63" t="e">
        <f t="shared" si="100"/>
        <v>#VALUE!</v>
      </c>
      <c r="H3222" s="63" t="e">
        <f t="shared" si="101"/>
        <v>#VALUE!</v>
      </c>
    </row>
    <row r="3223" spans="7:8">
      <c r="G3223" s="63" t="e">
        <f t="shared" si="100"/>
        <v>#VALUE!</v>
      </c>
      <c r="H3223" s="63" t="e">
        <f t="shared" si="101"/>
        <v>#VALUE!</v>
      </c>
    </row>
    <row r="3224" spans="7:8">
      <c r="G3224" s="63" t="e">
        <f t="shared" si="100"/>
        <v>#VALUE!</v>
      </c>
      <c r="H3224" s="63" t="e">
        <f t="shared" si="101"/>
        <v>#VALUE!</v>
      </c>
    </row>
    <row r="3225" spans="7:8">
      <c r="G3225" s="63" t="e">
        <f t="shared" si="100"/>
        <v>#VALUE!</v>
      </c>
      <c r="H3225" s="63" t="e">
        <f t="shared" si="101"/>
        <v>#VALUE!</v>
      </c>
    </row>
    <row r="3226" spans="7:8">
      <c r="G3226" s="63" t="e">
        <f t="shared" si="100"/>
        <v>#VALUE!</v>
      </c>
      <c r="H3226" s="63" t="e">
        <f t="shared" si="101"/>
        <v>#VALUE!</v>
      </c>
    </row>
    <row r="3227" spans="7:8">
      <c r="G3227" s="63" t="e">
        <f t="shared" si="100"/>
        <v>#VALUE!</v>
      </c>
      <c r="H3227" s="63" t="e">
        <f t="shared" si="101"/>
        <v>#VALUE!</v>
      </c>
    </row>
    <row r="3228" spans="7:8">
      <c r="G3228" s="63" t="e">
        <f t="shared" si="100"/>
        <v>#VALUE!</v>
      </c>
      <c r="H3228" s="63" t="e">
        <f t="shared" si="101"/>
        <v>#VALUE!</v>
      </c>
    </row>
    <row r="3229" spans="7:8">
      <c r="G3229" s="63" t="e">
        <f t="shared" si="100"/>
        <v>#VALUE!</v>
      </c>
      <c r="H3229" s="63" t="e">
        <f t="shared" si="101"/>
        <v>#VALUE!</v>
      </c>
    </row>
    <row r="3230" spans="7:8">
      <c r="G3230" s="63" t="e">
        <f t="shared" si="100"/>
        <v>#VALUE!</v>
      </c>
      <c r="H3230" s="63" t="e">
        <f t="shared" si="101"/>
        <v>#VALUE!</v>
      </c>
    </row>
    <row r="3231" spans="7:8">
      <c r="G3231" s="63" t="e">
        <f t="shared" si="100"/>
        <v>#VALUE!</v>
      </c>
      <c r="H3231" s="63" t="e">
        <f t="shared" si="101"/>
        <v>#VALUE!</v>
      </c>
    </row>
    <row r="3232" spans="7:8">
      <c r="G3232" s="63" t="e">
        <f t="shared" si="100"/>
        <v>#VALUE!</v>
      </c>
      <c r="H3232" s="63" t="e">
        <f t="shared" si="101"/>
        <v>#VALUE!</v>
      </c>
    </row>
    <row r="3233" spans="7:8">
      <c r="G3233" s="63" t="e">
        <f t="shared" si="100"/>
        <v>#VALUE!</v>
      </c>
      <c r="H3233" s="63" t="e">
        <f t="shared" si="101"/>
        <v>#VALUE!</v>
      </c>
    </row>
    <row r="3234" spans="7:8">
      <c r="G3234" s="63" t="e">
        <f t="shared" si="100"/>
        <v>#VALUE!</v>
      </c>
      <c r="H3234" s="63" t="e">
        <f t="shared" si="101"/>
        <v>#VALUE!</v>
      </c>
    </row>
    <row r="3235" spans="7:8">
      <c r="G3235" s="63" t="e">
        <f t="shared" si="100"/>
        <v>#VALUE!</v>
      </c>
      <c r="H3235" s="63" t="e">
        <f t="shared" si="101"/>
        <v>#VALUE!</v>
      </c>
    </row>
    <row r="3236" spans="7:8">
      <c r="G3236" s="63" t="e">
        <f t="shared" si="100"/>
        <v>#VALUE!</v>
      </c>
      <c r="H3236" s="63" t="e">
        <f t="shared" si="101"/>
        <v>#VALUE!</v>
      </c>
    </row>
    <row r="3237" spans="7:8">
      <c r="G3237" s="63" t="e">
        <f t="shared" si="100"/>
        <v>#VALUE!</v>
      </c>
      <c r="H3237" s="63" t="e">
        <f t="shared" si="101"/>
        <v>#VALUE!</v>
      </c>
    </row>
    <row r="3238" spans="7:8">
      <c r="G3238" s="63" t="e">
        <f t="shared" si="100"/>
        <v>#VALUE!</v>
      </c>
      <c r="H3238" s="63" t="e">
        <f t="shared" si="101"/>
        <v>#VALUE!</v>
      </c>
    </row>
    <row r="3239" spans="7:8">
      <c r="G3239" s="63" t="e">
        <f t="shared" si="100"/>
        <v>#VALUE!</v>
      </c>
      <c r="H3239" s="63" t="e">
        <f t="shared" si="101"/>
        <v>#VALUE!</v>
      </c>
    </row>
    <row r="3240" spans="7:8">
      <c r="G3240" s="63" t="e">
        <f t="shared" si="100"/>
        <v>#VALUE!</v>
      </c>
      <c r="H3240" s="63" t="e">
        <f t="shared" si="101"/>
        <v>#VALUE!</v>
      </c>
    </row>
    <row r="3241" spans="7:8">
      <c r="G3241" s="63" t="e">
        <f t="shared" si="100"/>
        <v>#VALUE!</v>
      </c>
      <c r="H3241" s="63" t="e">
        <f t="shared" si="101"/>
        <v>#VALUE!</v>
      </c>
    </row>
    <row r="3242" spans="7:8">
      <c r="G3242" s="63" t="e">
        <f t="shared" si="100"/>
        <v>#VALUE!</v>
      </c>
      <c r="H3242" s="63" t="e">
        <f t="shared" si="101"/>
        <v>#VALUE!</v>
      </c>
    </row>
    <row r="3243" spans="7:8">
      <c r="G3243" s="63" t="e">
        <f t="shared" si="100"/>
        <v>#VALUE!</v>
      </c>
      <c r="H3243" s="63" t="e">
        <f t="shared" si="101"/>
        <v>#VALUE!</v>
      </c>
    </row>
    <row r="3244" spans="7:8">
      <c r="G3244" s="63" t="e">
        <f t="shared" si="100"/>
        <v>#VALUE!</v>
      </c>
      <c r="H3244" s="63" t="e">
        <f t="shared" si="101"/>
        <v>#VALUE!</v>
      </c>
    </row>
    <row r="3245" spans="7:8">
      <c r="G3245" s="63" t="e">
        <f t="shared" si="100"/>
        <v>#VALUE!</v>
      </c>
      <c r="H3245" s="63" t="e">
        <f t="shared" si="101"/>
        <v>#VALUE!</v>
      </c>
    </row>
    <row r="3246" spans="7:8">
      <c r="G3246" s="63" t="e">
        <f t="shared" si="100"/>
        <v>#VALUE!</v>
      </c>
      <c r="H3246" s="63" t="e">
        <f t="shared" si="101"/>
        <v>#VALUE!</v>
      </c>
    </row>
    <row r="3247" spans="7:8">
      <c r="G3247" s="63" t="e">
        <f t="shared" si="100"/>
        <v>#VALUE!</v>
      </c>
      <c r="H3247" s="63" t="e">
        <f t="shared" si="101"/>
        <v>#VALUE!</v>
      </c>
    </row>
    <row r="3248" spans="7:8">
      <c r="G3248" s="63" t="e">
        <f t="shared" si="100"/>
        <v>#VALUE!</v>
      </c>
      <c r="H3248" s="63" t="e">
        <f t="shared" si="101"/>
        <v>#VALUE!</v>
      </c>
    </row>
    <row r="3249" spans="7:8">
      <c r="G3249" s="63" t="e">
        <f t="shared" si="100"/>
        <v>#VALUE!</v>
      </c>
      <c r="H3249" s="63" t="e">
        <f t="shared" si="101"/>
        <v>#VALUE!</v>
      </c>
    </row>
    <row r="3250" spans="7:8">
      <c r="G3250" s="63" t="e">
        <f t="shared" si="100"/>
        <v>#VALUE!</v>
      </c>
      <c r="H3250" s="63" t="e">
        <f t="shared" si="101"/>
        <v>#VALUE!</v>
      </c>
    </row>
    <row r="3251" spans="7:8">
      <c r="G3251" s="63" t="e">
        <f t="shared" si="100"/>
        <v>#VALUE!</v>
      </c>
      <c r="H3251" s="63" t="e">
        <f t="shared" si="101"/>
        <v>#VALUE!</v>
      </c>
    </row>
    <row r="3252" spans="7:8">
      <c r="G3252" s="63" t="e">
        <f t="shared" si="100"/>
        <v>#VALUE!</v>
      </c>
      <c r="H3252" s="63" t="e">
        <f t="shared" si="101"/>
        <v>#VALUE!</v>
      </c>
    </row>
    <row r="3253" spans="7:8">
      <c r="G3253" s="63" t="e">
        <f t="shared" si="100"/>
        <v>#VALUE!</v>
      </c>
      <c r="H3253" s="63" t="e">
        <f t="shared" si="101"/>
        <v>#VALUE!</v>
      </c>
    </row>
    <row r="3254" spans="7:8">
      <c r="G3254" s="63" t="e">
        <f t="shared" si="100"/>
        <v>#VALUE!</v>
      </c>
      <c r="H3254" s="63" t="e">
        <f t="shared" si="101"/>
        <v>#VALUE!</v>
      </c>
    </row>
    <row r="3255" spans="7:8">
      <c r="G3255" s="63" t="e">
        <f t="shared" si="100"/>
        <v>#VALUE!</v>
      </c>
      <c r="H3255" s="63" t="e">
        <f t="shared" si="101"/>
        <v>#VALUE!</v>
      </c>
    </row>
    <row r="3256" spans="7:8">
      <c r="G3256" s="63" t="e">
        <f t="shared" si="100"/>
        <v>#VALUE!</v>
      </c>
      <c r="H3256" s="63" t="e">
        <f t="shared" si="101"/>
        <v>#VALUE!</v>
      </c>
    </row>
    <row r="3257" spans="7:8">
      <c r="G3257" s="63" t="e">
        <f t="shared" si="100"/>
        <v>#VALUE!</v>
      </c>
      <c r="H3257" s="63" t="e">
        <f t="shared" si="101"/>
        <v>#VALUE!</v>
      </c>
    </row>
    <row r="3258" spans="7:8">
      <c r="G3258" s="63" t="e">
        <f t="shared" si="100"/>
        <v>#VALUE!</v>
      </c>
      <c r="H3258" s="63" t="e">
        <f t="shared" si="101"/>
        <v>#VALUE!</v>
      </c>
    </row>
    <row r="3259" spans="7:8">
      <c r="G3259" s="63" t="e">
        <f t="shared" si="100"/>
        <v>#VALUE!</v>
      </c>
      <c r="H3259" s="63" t="e">
        <f t="shared" si="101"/>
        <v>#VALUE!</v>
      </c>
    </row>
    <row r="3260" spans="7:8">
      <c r="G3260" s="63" t="e">
        <f t="shared" si="100"/>
        <v>#VALUE!</v>
      </c>
      <c r="H3260" s="63" t="e">
        <f t="shared" si="101"/>
        <v>#VALUE!</v>
      </c>
    </row>
    <row r="3261" spans="7:8">
      <c r="G3261" s="63" t="e">
        <f t="shared" si="100"/>
        <v>#VALUE!</v>
      </c>
      <c r="H3261" s="63" t="e">
        <f t="shared" si="101"/>
        <v>#VALUE!</v>
      </c>
    </row>
    <row r="3262" spans="7:8">
      <c r="G3262" s="63" t="e">
        <f t="shared" si="100"/>
        <v>#VALUE!</v>
      </c>
      <c r="H3262" s="63" t="e">
        <f t="shared" si="101"/>
        <v>#VALUE!</v>
      </c>
    </row>
    <row r="3263" spans="7:8">
      <c r="G3263" s="63" t="e">
        <f t="shared" si="100"/>
        <v>#VALUE!</v>
      </c>
      <c r="H3263" s="63" t="e">
        <f t="shared" si="101"/>
        <v>#VALUE!</v>
      </c>
    </row>
    <row r="3264" spans="7:8">
      <c r="G3264" s="63" t="e">
        <f t="shared" si="100"/>
        <v>#VALUE!</v>
      </c>
      <c r="H3264" s="63" t="e">
        <f t="shared" si="101"/>
        <v>#VALUE!</v>
      </c>
    </row>
    <row r="3265" spans="7:8">
      <c r="G3265" s="63" t="e">
        <f t="shared" si="100"/>
        <v>#VALUE!</v>
      </c>
      <c r="H3265" s="63" t="e">
        <f t="shared" si="101"/>
        <v>#VALUE!</v>
      </c>
    </row>
    <row r="3266" spans="7:8">
      <c r="G3266" s="63" t="e">
        <f t="shared" si="100"/>
        <v>#VALUE!</v>
      </c>
      <c r="H3266" s="63" t="e">
        <f t="shared" si="101"/>
        <v>#VALUE!</v>
      </c>
    </row>
    <row r="3267" spans="7:8">
      <c r="G3267" s="63" t="e">
        <f t="shared" ref="G3267:G3330" si="102">IF(OR(A3267="RID_PB77",A3267="RID_PB77A3"),"WPCI77",IF(A3267="RIDTCIAS","CSCI49",IF(A3267="RID_HCPTM","CHCPT_",IF(LEFT(A3267,1)="C",A3267,MID(A3267,6,LEN(A3267)-5)))))</f>
        <v>#VALUE!</v>
      </c>
      <c r="H3267" s="63" t="e">
        <f t="shared" ref="H3267:H3330" si="103">IF(OR(G3267="MJG1",G3267="MJG2"),"MJG",G3267)&amp;"_"&amp;B3267</f>
        <v>#VALUE!</v>
      </c>
    </row>
    <row r="3268" spans="7:8">
      <c r="G3268" s="63" t="e">
        <f t="shared" si="102"/>
        <v>#VALUE!</v>
      </c>
      <c r="H3268" s="63" t="e">
        <f t="shared" si="103"/>
        <v>#VALUE!</v>
      </c>
    </row>
    <row r="3269" spans="7:8">
      <c r="G3269" s="63" t="e">
        <f t="shared" si="102"/>
        <v>#VALUE!</v>
      </c>
      <c r="H3269" s="63" t="e">
        <f t="shared" si="103"/>
        <v>#VALUE!</v>
      </c>
    </row>
    <row r="3270" spans="7:8">
      <c r="G3270" s="63" t="e">
        <f t="shared" si="102"/>
        <v>#VALUE!</v>
      </c>
      <c r="H3270" s="63" t="e">
        <f t="shared" si="103"/>
        <v>#VALUE!</v>
      </c>
    </row>
    <row r="3271" spans="7:8">
      <c r="G3271" s="63" t="e">
        <f t="shared" si="102"/>
        <v>#VALUE!</v>
      </c>
      <c r="H3271" s="63" t="e">
        <f t="shared" si="103"/>
        <v>#VALUE!</v>
      </c>
    </row>
    <row r="3272" spans="7:8">
      <c r="G3272" s="63" t="e">
        <f t="shared" si="102"/>
        <v>#VALUE!</v>
      </c>
      <c r="H3272" s="63" t="e">
        <f t="shared" si="103"/>
        <v>#VALUE!</v>
      </c>
    </row>
    <row r="3273" spans="7:8">
      <c r="G3273" s="63" t="e">
        <f t="shared" si="102"/>
        <v>#VALUE!</v>
      </c>
      <c r="H3273" s="63" t="e">
        <f t="shared" si="103"/>
        <v>#VALUE!</v>
      </c>
    </row>
    <row r="3274" spans="7:8">
      <c r="G3274" s="63" t="e">
        <f t="shared" si="102"/>
        <v>#VALUE!</v>
      </c>
      <c r="H3274" s="63" t="e">
        <f t="shared" si="103"/>
        <v>#VALUE!</v>
      </c>
    </row>
    <row r="3275" spans="7:8">
      <c r="G3275" s="63" t="e">
        <f t="shared" si="102"/>
        <v>#VALUE!</v>
      </c>
      <c r="H3275" s="63" t="e">
        <f t="shared" si="103"/>
        <v>#VALUE!</v>
      </c>
    </row>
    <row r="3276" spans="7:8">
      <c r="G3276" s="63" t="e">
        <f t="shared" si="102"/>
        <v>#VALUE!</v>
      </c>
      <c r="H3276" s="63" t="e">
        <f t="shared" si="103"/>
        <v>#VALUE!</v>
      </c>
    </row>
    <row r="3277" spans="7:8">
      <c r="G3277" s="63" t="e">
        <f t="shared" si="102"/>
        <v>#VALUE!</v>
      </c>
      <c r="H3277" s="63" t="e">
        <f t="shared" si="103"/>
        <v>#VALUE!</v>
      </c>
    </row>
    <row r="3278" spans="7:8">
      <c r="G3278" s="63" t="e">
        <f t="shared" si="102"/>
        <v>#VALUE!</v>
      </c>
      <c r="H3278" s="63" t="e">
        <f t="shared" si="103"/>
        <v>#VALUE!</v>
      </c>
    </row>
    <row r="3279" spans="7:8">
      <c r="G3279" s="63" t="e">
        <f t="shared" si="102"/>
        <v>#VALUE!</v>
      </c>
      <c r="H3279" s="63" t="e">
        <f t="shared" si="103"/>
        <v>#VALUE!</v>
      </c>
    </row>
    <row r="3280" spans="7:8">
      <c r="G3280" s="63" t="e">
        <f t="shared" si="102"/>
        <v>#VALUE!</v>
      </c>
      <c r="H3280" s="63" t="e">
        <f t="shared" si="103"/>
        <v>#VALUE!</v>
      </c>
    </row>
    <row r="3281" spans="7:8">
      <c r="G3281" s="63" t="e">
        <f t="shared" si="102"/>
        <v>#VALUE!</v>
      </c>
      <c r="H3281" s="63" t="e">
        <f t="shared" si="103"/>
        <v>#VALUE!</v>
      </c>
    </row>
    <row r="3282" spans="7:8">
      <c r="G3282" s="63" t="e">
        <f t="shared" si="102"/>
        <v>#VALUE!</v>
      </c>
      <c r="H3282" s="63" t="e">
        <f t="shared" si="103"/>
        <v>#VALUE!</v>
      </c>
    </row>
    <row r="3283" spans="7:8">
      <c r="G3283" s="63" t="e">
        <f t="shared" si="102"/>
        <v>#VALUE!</v>
      </c>
      <c r="H3283" s="63" t="e">
        <f t="shared" si="103"/>
        <v>#VALUE!</v>
      </c>
    </row>
    <row r="3284" spans="7:8">
      <c r="G3284" s="63" t="e">
        <f t="shared" si="102"/>
        <v>#VALUE!</v>
      </c>
      <c r="H3284" s="63" t="e">
        <f t="shared" si="103"/>
        <v>#VALUE!</v>
      </c>
    </row>
    <row r="3285" spans="7:8">
      <c r="G3285" s="63" t="e">
        <f t="shared" si="102"/>
        <v>#VALUE!</v>
      </c>
      <c r="H3285" s="63" t="e">
        <f t="shared" si="103"/>
        <v>#VALUE!</v>
      </c>
    </row>
    <row r="3286" spans="7:8">
      <c r="G3286" s="63" t="e">
        <f t="shared" si="102"/>
        <v>#VALUE!</v>
      </c>
      <c r="H3286" s="63" t="e">
        <f t="shared" si="103"/>
        <v>#VALUE!</v>
      </c>
    </row>
    <row r="3287" spans="7:8">
      <c r="G3287" s="63" t="e">
        <f t="shared" si="102"/>
        <v>#VALUE!</v>
      </c>
      <c r="H3287" s="63" t="e">
        <f t="shared" si="103"/>
        <v>#VALUE!</v>
      </c>
    </row>
    <row r="3288" spans="7:8">
      <c r="G3288" s="63" t="e">
        <f t="shared" si="102"/>
        <v>#VALUE!</v>
      </c>
      <c r="H3288" s="63" t="e">
        <f t="shared" si="103"/>
        <v>#VALUE!</v>
      </c>
    </row>
    <row r="3289" spans="7:8">
      <c r="G3289" s="63" t="e">
        <f t="shared" si="102"/>
        <v>#VALUE!</v>
      </c>
      <c r="H3289" s="63" t="e">
        <f t="shared" si="103"/>
        <v>#VALUE!</v>
      </c>
    </row>
    <row r="3290" spans="7:8">
      <c r="G3290" s="63" t="e">
        <f t="shared" si="102"/>
        <v>#VALUE!</v>
      </c>
      <c r="H3290" s="63" t="e">
        <f t="shared" si="103"/>
        <v>#VALUE!</v>
      </c>
    </row>
    <row r="3291" spans="7:8">
      <c r="G3291" s="63" t="e">
        <f t="shared" si="102"/>
        <v>#VALUE!</v>
      </c>
      <c r="H3291" s="63" t="e">
        <f t="shared" si="103"/>
        <v>#VALUE!</v>
      </c>
    </row>
    <row r="3292" spans="7:8">
      <c r="G3292" s="63" t="e">
        <f t="shared" si="102"/>
        <v>#VALUE!</v>
      </c>
      <c r="H3292" s="63" t="e">
        <f t="shared" si="103"/>
        <v>#VALUE!</v>
      </c>
    </row>
    <row r="3293" spans="7:8">
      <c r="G3293" s="63" t="e">
        <f t="shared" si="102"/>
        <v>#VALUE!</v>
      </c>
      <c r="H3293" s="63" t="e">
        <f t="shared" si="103"/>
        <v>#VALUE!</v>
      </c>
    </row>
    <row r="3294" spans="7:8">
      <c r="G3294" s="63" t="e">
        <f t="shared" si="102"/>
        <v>#VALUE!</v>
      </c>
      <c r="H3294" s="63" t="e">
        <f t="shared" si="103"/>
        <v>#VALUE!</v>
      </c>
    </row>
    <row r="3295" spans="7:8">
      <c r="G3295" s="63" t="e">
        <f t="shared" si="102"/>
        <v>#VALUE!</v>
      </c>
      <c r="H3295" s="63" t="e">
        <f t="shared" si="103"/>
        <v>#VALUE!</v>
      </c>
    </row>
    <row r="3296" spans="7:8">
      <c r="G3296" s="63" t="e">
        <f t="shared" si="102"/>
        <v>#VALUE!</v>
      </c>
      <c r="H3296" s="63" t="e">
        <f t="shared" si="103"/>
        <v>#VALUE!</v>
      </c>
    </row>
    <row r="3297" spans="7:8">
      <c r="G3297" s="63" t="e">
        <f t="shared" si="102"/>
        <v>#VALUE!</v>
      </c>
      <c r="H3297" s="63" t="e">
        <f t="shared" si="103"/>
        <v>#VALUE!</v>
      </c>
    </row>
    <row r="3298" spans="7:8">
      <c r="G3298" s="63" t="e">
        <f t="shared" si="102"/>
        <v>#VALUE!</v>
      </c>
      <c r="H3298" s="63" t="e">
        <f t="shared" si="103"/>
        <v>#VALUE!</v>
      </c>
    </row>
    <row r="3299" spans="7:8">
      <c r="G3299" s="63" t="e">
        <f t="shared" si="102"/>
        <v>#VALUE!</v>
      </c>
      <c r="H3299" s="63" t="e">
        <f t="shared" si="103"/>
        <v>#VALUE!</v>
      </c>
    </row>
    <row r="3300" spans="7:8">
      <c r="G3300" s="63" t="e">
        <f t="shared" si="102"/>
        <v>#VALUE!</v>
      </c>
      <c r="H3300" s="63" t="e">
        <f t="shared" si="103"/>
        <v>#VALUE!</v>
      </c>
    </row>
    <row r="3301" spans="7:8">
      <c r="G3301" s="63" t="e">
        <f t="shared" si="102"/>
        <v>#VALUE!</v>
      </c>
      <c r="H3301" s="63" t="e">
        <f t="shared" si="103"/>
        <v>#VALUE!</v>
      </c>
    </row>
    <row r="3302" spans="7:8">
      <c r="G3302" s="63" t="e">
        <f t="shared" si="102"/>
        <v>#VALUE!</v>
      </c>
      <c r="H3302" s="63" t="e">
        <f t="shared" si="103"/>
        <v>#VALUE!</v>
      </c>
    </row>
    <row r="3303" spans="7:8">
      <c r="G3303" s="63" t="e">
        <f t="shared" si="102"/>
        <v>#VALUE!</v>
      </c>
      <c r="H3303" s="63" t="e">
        <f t="shared" si="103"/>
        <v>#VALUE!</v>
      </c>
    </row>
    <row r="3304" spans="7:8">
      <c r="G3304" s="63" t="e">
        <f t="shared" si="102"/>
        <v>#VALUE!</v>
      </c>
      <c r="H3304" s="63" t="e">
        <f t="shared" si="103"/>
        <v>#VALUE!</v>
      </c>
    </row>
    <row r="3305" spans="7:8">
      <c r="G3305" s="63" t="e">
        <f t="shared" si="102"/>
        <v>#VALUE!</v>
      </c>
      <c r="H3305" s="63" t="e">
        <f t="shared" si="103"/>
        <v>#VALUE!</v>
      </c>
    </row>
    <row r="3306" spans="7:8">
      <c r="G3306" s="63" t="e">
        <f t="shared" si="102"/>
        <v>#VALUE!</v>
      </c>
      <c r="H3306" s="63" t="e">
        <f t="shared" si="103"/>
        <v>#VALUE!</v>
      </c>
    </row>
    <row r="3307" spans="7:8">
      <c r="G3307" s="63" t="e">
        <f t="shared" si="102"/>
        <v>#VALUE!</v>
      </c>
      <c r="H3307" s="63" t="e">
        <f t="shared" si="103"/>
        <v>#VALUE!</v>
      </c>
    </row>
    <row r="3308" spans="7:8">
      <c r="G3308" s="63" t="e">
        <f t="shared" si="102"/>
        <v>#VALUE!</v>
      </c>
      <c r="H3308" s="63" t="e">
        <f t="shared" si="103"/>
        <v>#VALUE!</v>
      </c>
    </row>
    <row r="3309" spans="7:8">
      <c r="G3309" s="63" t="e">
        <f t="shared" si="102"/>
        <v>#VALUE!</v>
      </c>
      <c r="H3309" s="63" t="e">
        <f t="shared" si="103"/>
        <v>#VALUE!</v>
      </c>
    </row>
    <row r="3310" spans="7:8">
      <c r="G3310" s="63" t="e">
        <f t="shared" si="102"/>
        <v>#VALUE!</v>
      </c>
      <c r="H3310" s="63" t="e">
        <f t="shared" si="103"/>
        <v>#VALUE!</v>
      </c>
    </row>
    <row r="3311" spans="7:8">
      <c r="G3311" s="63" t="e">
        <f t="shared" si="102"/>
        <v>#VALUE!</v>
      </c>
      <c r="H3311" s="63" t="e">
        <f t="shared" si="103"/>
        <v>#VALUE!</v>
      </c>
    </row>
    <row r="3312" spans="7:8">
      <c r="G3312" s="63" t="e">
        <f t="shared" si="102"/>
        <v>#VALUE!</v>
      </c>
      <c r="H3312" s="63" t="e">
        <f t="shared" si="103"/>
        <v>#VALUE!</v>
      </c>
    </row>
    <row r="3313" spans="7:8">
      <c r="G3313" s="63" t="e">
        <f t="shared" si="102"/>
        <v>#VALUE!</v>
      </c>
      <c r="H3313" s="63" t="e">
        <f t="shared" si="103"/>
        <v>#VALUE!</v>
      </c>
    </row>
    <row r="3314" spans="7:8">
      <c r="G3314" s="63" t="e">
        <f t="shared" si="102"/>
        <v>#VALUE!</v>
      </c>
      <c r="H3314" s="63" t="e">
        <f t="shared" si="103"/>
        <v>#VALUE!</v>
      </c>
    </row>
    <row r="3315" spans="7:8">
      <c r="G3315" s="63" t="e">
        <f t="shared" si="102"/>
        <v>#VALUE!</v>
      </c>
      <c r="H3315" s="63" t="e">
        <f t="shared" si="103"/>
        <v>#VALUE!</v>
      </c>
    </row>
    <row r="3316" spans="7:8">
      <c r="G3316" s="63" t="e">
        <f t="shared" si="102"/>
        <v>#VALUE!</v>
      </c>
      <c r="H3316" s="63" t="e">
        <f t="shared" si="103"/>
        <v>#VALUE!</v>
      </c>
    </row>
    <row r="3317" spans="7:8">
      <c r="G3317" s="63" t="e">
        <f t="shared" si="102"/>
        <v>#VALUE!</v>
      </c>
      <c r="H3317" s="63" t="e">
        <f t="shared" si="103"/>
        <v>#VALUE!</v>
      </c>
    </row>
    <row r="3318" spans="7:8">
      <c r="G3318" s="63" t="e">
        <f t="shared" si="102"/>
        <v>#VALUE!</v>
      </c>
      <c r="H3318" s="63" t="e">
        <f t="shared" si="103"/>
        <v>#VALUE!</v>
      </c>
    </row>
    <row r="3319" spans="7:8">
      <c r="G3319" s="63" t="e">
        <f t="shared" si="102"/>
        <v>#VALUE!</v>
      </c>
      <c r="H3319" s="63" t="e">
        <f t="shared" si="103"/>
        <v>#VALUE!</v>
      </c>
    </row>
    <row r="3320" spans="7:8">
      <c r="G3320" s="63" t="e">
        <f t="shared" si="102"/>
        <v>#VALUE!</v>
      </c>
      <c r="H3320" s="63" t="e">
        <f t="shared" si="103"/>
        <v>#VALUE!</v>
      </c>
    </row>
    <row r="3321" spans="7:8">
      <c r="G3321" s="63" t="e">
        <f t="shared" si="102"/>
        <v>#VALUE!</v>
      </c>
      <c r="H3321" s="63" t="e">
        <f t="shared" si="103"/>
        <v>#VALUE!</v>
      </c>
    </row>
    <row r="3322" spans="7:8">
      <c r="G3322" s="63" t="e">
        <f t="shared" si="102"/>
        <v>#VALUE!</v>
      </c>
      <c r="H3322" s="63" t="e">
        <f t="shared" si="103"/>
        <v>#VALUE!</v>
      </c>
    </row>
    <row r="3323" spans="7:8">
      <c r="G3323" s="63" t="e">
        <f t="shared" si="102"/>
        <v>#VALUE!</v>
      </c>
      <c r="H3323" s="63" t="e">
        <f t="shared" si="103"/>
        <v>#VALUE!</v>
      </c>
    </row>
    <row r="3324" spans="7:8">
      <c r="G3324" s="63" t="e">
        <f t="shared" si="102"/>
        <v>#VALUE!</v>
      </c>
      <c r="H3324" s="63" t="e">
        <f t="shared" si="103"/>
        <v>#VALUE!</v>
      </c>
    </row>
    <row r="3325" spans="7:8">
      <c r="G3325" s="63" t="e">
        <f t="shared" si="102"/>
        <v>#VALUE!</v>
      </c>
      <c r="H3325" s="63" t="e">
        <f t="shared" si="103"/>
        <v>#VALUE!</v>
      </c>
    </row>
    <row r="3326" spans="7:8">
      <c r="G3326" s="63" t="e">
        <f t="shared" si="102"/>
        <v>#VALUE!</v>
      </c>
      <c r="H3326" s="63" t="e">
        <f t="shared" si="103"/>
        <v>#VALUE!</v>
      </c>
    </row>
    <row r="3327" spans="7:8">
      <c r="G3327" s="63" t="e">
        <f t="shared" si="102"/>
        <v>#VALUE!</v>
      </c>
      <c r="H3327" s="63" t="e">
        <f t="shared" si="103"/>
        <v>#VALUE!</v>
      </c>
    </row>
    <row r="3328" spans="7:8">
      <c r="G3328" s="63" t="e">
        <f t="shared" si="102"/>
        <v>#VALUE!</v>
      </c>
      <c r="H3328" s="63" t="e">
        <f t="shared" si="103"/>
        <v>#VALUE!</v>
      </c>
    </row>
    <row r="3329" spans="7:8">
      <c r="G3329" s="63" t="e">
        <f t="shared" si="102"/>
        <v>#VALUE!</v>
      </c>
      <c r="H3329" s="63" t="e">
        <f t="shared" si="103"/>
        <v>#VALUE!</v>
      </c>
    </row>
    <row r="3330" spans="7:8">
      <c r="G3330" s="63" t="e">
        <f t="shared" si="102"/>
        <v>#VALUE!</v>
      </c>
      <c r="H3330" s="63" t="e">
        <f t="shared" si="103"/>
        <v>#VALUE!</v>
      </c>
    </row>
    <row r="3331" spans="7:8">
      <c r="G3331" s="63" t="e">
        <f t="shared" ref="G3331:G3394" si="104">IF(OR(A3331="RID_PB77",A3331="RID_PB77A3"),"WPCI77",IF(A3331="RIDTCIAS","CSCI49",IF(A3331="RID_HCPTM","CHCPT_",IF(LEFT(A3331,1)="C",A3331,MID(A3331,6,LEN(A3331)-5)))))</f>
        <v>#VALUE!</v>
      </c>
      <c r="H3331" s="63" t="e">
        <f t="shared" ref="H3331:H3394" si="105">IF(OR(G3331="MJG1",G3331="MJG2"),"MJG",G3331)&amp;"_"&amp;B3331</f>
        <v>#VALUE!</v>
      </c>
    </row>
    <row r="3332" spans="7:8">
      <c r="G3332" s="63" t="e">
        <f t="shared" si="104"/>
        <v>#VALUE!</v>
      </c>
      <c r="H3332" s="63" t="e">
        <f t="shared" si="105"/>
        <v>#VALUE!</v>
      </c>
    </row>
    <row r="3333" spans="7:8">
      <c r="G3333" s="63" t="e">
        <f t="shared" si="104"/>
        <v>#VALUE!</v>
      </c>
      <c r="H3333" s="63" t="e">
        <f t="shared" si="105"/>
        <v>#VALUE!</v>
      </c>
    </row>
    <row r="3334" spans="7:8">
      <c r="G3334" s="63" t="e">
        <f t="shared" si="104"/>
        <v>#VALUE!</v>
      </c>
      <c r="H3334" s="63" t="e">
        <f t="shared" si="105"/>
        <v>#VALUE!</v>
      </c>
    </row>
    <row r="3335" spans="7:8">
      <c r="G3335" s="63" t="e">
        <f t="shared" si="104"/>
        <v>#VALUE!</v>
      </c>
      <c r="H3335" s="63" t="e">
        <f t="shared" si="105"/>
        <v>#VALUE!</v>
      </c>
    </row>
    <row r="3336" spans="7:8">
      <c r="G3336" s="63" t="e">
        <f t="shared" si="104"/>
        <v>#VALUE!</v>
      </c>
      <c r="H3336" s="63" t="e">
        <f t="shared" si="105"/>
        <v>#VALUE!</v>
      </c>
    </row>
    <row r="3337" spans="7:8">
      <c r="G3337" s="63" t="e">
        <f t="shared" si="104"/>
        <v>#VALUE!</v>
      </c>
      <c r="H3337" s="63" t="e">
        <f t="shared" si="105"/>
        <v>#VALUE!</v>
      </c>
    </row>
    <row r="3338" spans="7:8">
      <c r="G3338" s="63" t="e">
        <f t="shared" si="104"/>
        <v>#VALUE!</v>
      </c>
      <c r="H3338" s="63" t="e">
        <f t="shared" si="105"/>
        <v>#VALUE!</v>
      </c>
    </row>
    <row r="3339" spans="7:8">
      <c r="G3339" s="63" t="e">
        <f t="shared" si="104"/>
        <v>#VALUE!</v>
      </c>
      <c r="H3339" s="63" t="e">
        <f t="shared" si="105"/>
        <v>#VALUE!</v>
      </c>
    </row>
    <row r="3340" spans="7:8">
      <c r="G3340" s="63" t="e">
        <f t="shared" si="104"/>
        <v>#VALUE!</v>
      </c>
      <c r="H3340" s="63" t="e">
        <f t="shared" si="105"/>
        <v>#VALUE!</v>
      </c>
    </row>
    <row r="3341" spans="7:8">
      <c r="G3341" s="63" t="e">
        <f t="shared" si="104"/>
        <v>#VALUE!</v>
      </c>
      <c r="H3341" s="63" t="e">
        <f t="shared" si="105"/>
        <v>#VALUE!</v>
      </c>
    </row>
    <row r="3342" spans="7:8">
      <c r="G3342" s="63" t="e">
        <f t="shared" si="104"/>
        <v>#VALUE!</v>
      </c>
      <c r="H3342" s="63" t="e">
        <f t="shared" si="105"/>
        <v>#VALUE!</v>
      </c>
    </row>
    <row r="3343" spans="7:8">
      <c r="G3343" s="63" t="e">
        <f t="shared" si="104"/>
        <v>#VALUE!</v>
      </c>
      <c r="H3343" s="63" t="e">
        <f t="shared" si="105"/>
        <v>#VALUE!</v>
      </c>
    </row>
    <row r="3344" spans="7:8">
      <c r="G3344" s="63" t="e">
        <f t="shared" si="104"/>
        <v>#VALUE!</v>
      </c>
      <c r="H3344" s="63" t="e">
        <f t="shared" si="105"/>
        <v>#VALUE!</v>
      </c>
    </row>
    <row r="3345" spans="7:8">
      <c r="G3345" s="63" t="e">
        <f t="shared" si="104"/>
        <v>#VALUE!</v>
      </c>
      <c r="H3345" s="63" t="e">
        <f t="shared" si="105"/>
        <v>#VALUE!</v>
      </c>
    </row>
    <row r="3346" spans="7:8">
      <c r="G3346" s="63" t="e">
        <f t="shared" si="104"/>
        <v>#VALUE!</v>
      </c>
      <c r="H3346" s="63" t="e">
        <f t="shared" si="105"/>
        <v>#VALUE!</v>
      </c>
    </row>
    <row r="3347" spans="7:8">
      <c r="G3347" s="63" t="e">
        <f t="shared" si="104"/>
        <v>#VALUE!</v>
      </c>
      <c r="H3347" s="63" t="e">
        <f t="shared" si="105"/>
        <v>#VALUE!</v>
      </c>
    </row>
    <row r="3348" spans="7:8">
      <c r="G3348" s="63" t="e">
        <f t="shared" si="104"/>
        <v>#VALUE!</v>
      </c>
      <c r="H3348" s="63" t="e">
        <f t="shared" si="105"/>
        <v>#VALUE!</v>
      </c>
    </row>
    <row r="3349" spans="7:8">
      <c r="G3349" s="63" t="e">
        <f t="shared" si="104"/>
        <v>#VALUE!</v>
      </c>
      <c r="H3349" s="63" t="e">
        <f t="shared" si="105"/>
        <v>#VALUE!</v>
      </c>
    </row>
    <row r="3350" spans="7:8">
      <c r="G3350" s="63" t="e">
        <f t="shared" si="104"/>
        <v>#VALUE!</v>
      </c>
      <c r="H3350" s="63" t="e">
        <f t="shared" si="105"/>
        <v>#VALUE!</v>
      </c>
    </row>
    <row r="3351" spans="7:8">
      <c r="G3351" s="63" t="e">
        <f t="shared" si="104"/>
        <v>#VALUE!</v>
      </c>
      <c r="H3351" s="63" t="e">
        <f t="shared" si="105"/>
        <v>#VALUE!</v>
      </c>
    </row>
    <row r="3352" spans="7:8">
      <c r="G3352" s="63" t="e">
        <f t="shared" si="104"/>
        <v>#VALUE!</v>
      </c>
      <c r="H3352" s="63" t="e">
        <f t="shared" si="105"/>
        <v>#VALUE!</v>
      </c>
    </row>
    <row r="3353" spans="7:8">
      <c r="G3353" s="63" t="e">
        <f t="shared" si="104"/>
        <v>#VALUE!</v>
      </c>
      <c r="H3353" s="63" t="e">
        <f t="shared" si="105"/>
        <v>#VALUE!</v>
      </c>
    </row>
    <row r="3354" spans="7:8">
      <c r="G3354" s="63" t="e">
        <f t="shared" si="104"/>
        <v>#VALUE!</v>
      </c>
      <c r="H3354" s="63" t="e">
        <f t="shared" si="105"/>
        <v>#VALUE!</v>
      </c>
    </row>
    <row r="3355" spans="7:8">
      <c r="G3355" s="63" t="e">
        <f t="shared" si="104"/>
        <v>#VALUE!</v>
      </c>
      <c r="H3355" s="63" t="e">
        <f t="shared" si="105"/>
        <v>#VALUE!</v>
      </c>
    </row>
    <row r="3356" spans="7:8">
      <c r="G3356" s="63" t="e">
        <f t="shared" si="104"/>
        <v>#VALUE!</v>
      </c>
      <c r="H3356" s="63" t="e">
        <f t="shared" si="105"/>
        <v>#VALUE!</v>
      </c>
    </row>
    <row r="3357" spans="7:8">
      <c r="G3357" s="63" t="e">
        <f t="shared" si="104"/>
        <v>#VALUE!</v>
      </c>
      <c r="H3357" s="63" t="e">
        <f t="shared" si="105"/>
        <v>#VALUE!</v>
      </c>
    </row>
    <row r="3358" spans="7:8">
      <c r="G3358" s="63" t="e">
        <f t="shared" si="104"/>
        <v>#VALUE!</v>
      </c>
      <c r="H3358" s="63" t="e">
        <f t="shared" si="105"/>
        <v>#VALUE!</v>
      </c>
    </row>
    <row r="3359" spans="7:8">
      <c r="G3359" s="63" t="e">
        <f t="shared" si="104"/>
        <v>#VALUE!</v>
      </c>
      <c r="H3359" s="63" t="e">
        <f t="shared" si="105"/>
        <v>#VALUE!</v>
      </c>
    </row>
    <row r="3360" spans="7:8">
      <c r="G3360" s="63" t="e">
        <f t="shared" si="104"/>
        <v>#VALUE!</v>
      </c>
      <c r="H3360" s="63" t="e">
        <f t="shared" si="105"/>
        <v>#VALUE!</v>
      </c>
    </row>
    <row r="3361" spans="7:8">
      <c r="G3361" s="63" t="e">
        <f t="shared" si="104"/>
        <v>#VALUE!</v>
      </c>
      <c r="H3361" s="63" t="e">
        <f t="shared" si="105"/>
        <v>#VALUE!</v>
      </c>
    </row>
    <row r="3362" spans="7:8">
      <c r="G3362" s="63" t="e">
        <f t="shared" si="104"/>
        <v>#VALUE!</v>
      </c>
      <c r="H3362" s="63" t="e">
        <f t="shared" si="105"/>
        <v>#VALUE!</v>
      </c>
    </row>
    <row r="3363" spans="7:8">
      <c r="G3363" s="63" t="e">
        <f t="shared" si="104"/>
        <v>#VALUE!</v>
      </c>
      <c r="H3363" s="63" t="e">
        <f t="shared" si="105"/>
        <v>#VALUE!</v>
      </c>
    </row>
    <row r="3364" spans="7:8">
      <c r="G3364" s="63" t="e">
        <f t="shared" si="104"/>
        <v>#VALUE!</v>
      </c>
      <c r="H3364" s="63" t="e">
        <f t="shared" si="105"/>
        <v>#VALUE!</v>
      </c>
    </row>
    <row r="3365" spans="7:8">
      <c r="G3365" s="63" t="e">
        <f t="shared" si="104"/>
        <v>#VALUE!</v>
      </c>
      <c r="H3365" s="63" t="e">
        <f t="shared" si="105"/>
        <v>#VALUE!</v>
      </c>
    </row>
    <row r="3366" spans="7:8">
      <c r="G3366" s="63" t="e">
        <f t="shared" si="104"/>
        <v>#VALUE!</v>
      </c>
      <c r="H3366" s="63" t="e">
        <f t="shared" si="105"/>
        <v>#VALUE!</v>
      </c>
    </row>
    <row r="3367" spans="7:8">
      <c r="G3367" s="63" t="e">
        <f t="shared" si="104"/>
        <v>#VALUE!</v>
      </c>
      <c r="H3367" s="63" t="e">
        <f t="shared" si="105"/>
        <v>#VALUE!</v>
      </c>
    </row>
    <row r="3368" spans="7:8">
      <c r="G3368" s="63" t="e">
        <f t="shared" si="104"/>
        <v>#VALUE!</v>
      </c>
      <c r="H3368" s="63" t="e">
        <f t="shared" si="105"/>
        <v>#VALUE!</v>
      </c>
    </row>
    <row r="3369" spans="7:8">
      <c r="G3369" s="63" t="e">
        <f t="shared" si="104"/>
        <v>#VALUE!</v>
      </c>
      <c r="H3369" s="63" t="e">
        <f t="shared" si="105"/>
        <v>#VALUE!</v>
      </c>
    </row>
    <row r="3370" spans="7:8">
      <c r="G3370" s="63" t="e">
        <f t="shared" si="104"/>
        <v>#VALUE!</v>
      </c>
      <c r="H3370" s="63" t="e">
        <f t="shared" si="105"/>
        <v>#VALUE!</v>
      </c>
    </row>
    <row r="3371" spans="7:8">
      <c r="G3371" s="63" t="e">
        <f t="shared" si="104"/>
        <v>#VALUE!</v>
      </c>
      <c r="H3371" s="63" t="e">
        <f t="shared" si="105"/>
        <v>#VALUE!</v>
      </c>
    </row>
    <row r="3372" spans="7:8">
      <c r="G3372" s="63" t="e">
        <f t="shared" si="104"/>
        <v>#VALUE!</v>
      </c>
      <c r="H3372" s="63" t="e">
        <f t="shared" si="105"/>
        <v>#VALUE!</v>
      </c>
    </row>
    <row r="3373" spans="7:8">
      <c r="G3373" s="63" t="e">
        <f t="shared" si="104"/>
        <v>#VALUE!</v>
      </c>
      <c r="H3373" s="63" t="e">
        <f t="shared" si="105"/>
        <v>#VALUE!</v>
      </c>
    </row>
    <row r="3374" spans="7:8">
      <c r="G3374" s="63" t="e">
        <f t="shared" si="104"/>
        <v>#VALUE!</v>
      </c>
      <c r="H3374" s="63" t="e">
        <f t="shared" si="105"/>
        <v>#VALUE!</v>
      </c>
    </row>
    <row r="3375" spans="7:8">
      <c r="G3375" s="63" t="e">
        <f t="shared" si="104"/>
        <v>#VALUE!</v>
      </c>
      <c r="H3375" s="63" t="e">
        <f t="shared" si="105"/>
        <v>#VALUE!</v>
      </c>
    </row>
    <row r="3376" spans="7:8">
      <c r="G3376" s="63" t="e">
        <f t="shared" si="104"/>
        <v>#VALUE!</v>
      </c>
      <c r="H3376" s="63" t="e">
        <f t="shared" si="105"/>
        <v>#VALUE!</v>
      </c>
    </row>
    <row r="3377" spans="7:8">
      <c r="G3377" s="63" t="e">
        <f t="shared" si="104"/>
        <v>#VALUE!</v>
      </c>
      <c r="H3377" s="63" t="e">
        <f t="shared" si="105"/>
        <v>#VALUE!</v>
      </c>
    </row>
    <row r="3378" spans="7:8">
      <c r="G3378" s="63" t="e">
        <f t="shared" si="104"/>
        <v>#VALUE!</v>
      </c>
      <c r="H3378" s="63" t="e">
        <f t="shared" si="105"/>
        <v>#VALUE!</v>
      </c>
    </row>
    <row r="3379" spans="7:8">
      <c r="G3379" s="63" t="e">
        <f t="shared" si="104"/>
        <v>#VALUE!</v>
      </c>
      <c r="H3379" s="63" t="e">
        <f t="shared" si="105"/>
        <v>#VALUE!</v>
      </c>
    </row>
    <row r="3380" spans="7:8">
      <c r="G3380" s="63" t="e">
        <f t="shared" si="104"/>
        <v>#VALUE!</v>
      </c>
      <c r="H3380" s="63" t="e">
        <f t="shared" si="105"/>
        <v>#VALUE!</v>
      </c>
    </row>
    <row r="3381" spans="7:8">
      <c r="G3381" s="63" t="e">
        <f t="shared" si="104"/>
        <v>#VALUE!</v>
      </c>
      <c r="H3381" s="63" t="e">
        <f t="shared" si="105"/>
        <v>#VALUE!</v>
      </c>
    </row>
    <row r="3382" spans="7:8">
      <c r="G3382" s="63" t="e">
        <f t="shared" si="104"/>
        <v>#VALUE!</v>
      </c>
      <c r="H3382" s="63" t="e">
        <f t="shared" si="105"/>
        <v>#VALUE!</v>
      </c>
    </row>
    <row r="3383" spans="7:8">
      <c r="G3383" s="63" t="e">
        <f t="shared" si="104"/>
        <v>#VALUE!</v>
      </c>
      <c r="H3383" s="63" t="e">
        <f t="shared" si="105"/>
        <v>#VALUE!</v>
      </c>
    </row>
    <row r="3384" spans="7:8">
      <c r="G3384" s="63" t="e">
        <f t="shared" si="104"/>
        <v>#VALUE!</v>
      </c>
      <c r="H3384" s="63" t="e">
        <f t="shared" si="105"/>
        <v>#VALUE!</v>
      </c>
    </row>
    <row r="3385" spans="7:8">
      <c r="G3385" s="63" t="e">
        <f t="shared" si="104"/>
        <v>#VALUE!</v>
      </c>
      <c r="H3385" s="63" t="e">
        <f t="shared" si="105"/>
        <v>#VALUE!</v>
      </c>
    </row>
    <row r="3386" spans="7:8">
      <c r="G3386" s="63" t="e">
        <f t="shared" si="104"/>
        <v>#VALUE!</v>
      </c>
      <c r="H3386" s="63" t="e">
        <f t="shared" si="105"/>
        <v>#VALUE!</v>
      </c>
    </row>
    <row r="3387" spans="7:8">
      <c r="G3387" s="63" t="e">
        <f t="shared" si="104"/>
        <v>#VALUE!</v>
      </c>
      <c r="H3387" s="63" t="e">
        <f t="shared" si="105"/>
        <v>#VALUE!</v>
      </c>
    </row>
    <row r="3388" spans="7:8">
      <c r="G3388" s="63" t="e">
        <f t="shared" si="104"/>
        <v>#VALUE!</v>
      </c>
      <c r="H3388" s="63" t="e">
        <f t="shared" si="105"/>
        <v>#VALUE!</v>
      </c>
    </row>
    <row r="3389" spans="7:8">
      <c r="G3389" s="63" t="e">
        <f t="shared" si="104"/>
        <v>#VALUE!</v>
      </c>
      <c r="H3389" s="63" t="e">
        <f t="shared" si="105"/>
        <v>#VALUE!</v>
      </c>
    </row>
    <row r="3390" spans="7:8">
      <c r="G3390" s="63" t="e">
        <f t="shared" si="104"/>
        <v>#VALUE!</v>
      </c>
      <c r="H3390" s="63" t="e">
        <f t="shared" si="105"/>
        <v>#VALUE!</v>
      </c>
    </row>
    <row r="3391" spans="7:8">
      <c r="G3391" s="63" t="e">
        <f t="shared" si="104"/>
        <v>#VALUE!</v>
      </c>
      <c r="H3391" s="63" t="e">
        <f t="shared" si="105"/>
        <v>#VALUE!</v>
      </c>
    </row>
    <row r="3392" spans="7:8">
      <c r="G3392" s="63" t="e">
        <f t="shared" si="104"/>
        <v>#VALUE!</v>
      </c>
      <c r="H3392" s="63" t="e">
        <f t="shared" si="105"/>
        <v>#VALUE!</v>
      </c>
    </row>
    <row r="3393" spans="7:8">
      <c r="G3393" s="63" t="e">
        <f t="shared" si="104"/>
        <v>#VALUE!</v>
      </c>
      <c r="H3393" s="63" t="e">
        <f t="shared" si="105"/>
        <v>#VALUE!</v>
      </c>
    </row>
    <row r="3394" spans="7:8">
      <c r="G3394" s="63" t="e">
        <f t="shared" si="104"/>
        <v>#VALUE!</v>
      </c>
      <c r="H3394" s="63" t="e">
        <f t="shared" si="105"/>
        <v>#VALUE!</v>
      </c>
    </row>
    <row r="3395" spans="7:8">
      <c r="G3395" s="63" t="e">
        <f t="shared" ref="G3395:G3458" si="106">IF(OR(A3395="RID_PB77",A3395="RID_PB77A3"),"WPCI77",IF(A3395="RIDTCIAS","CSCI49",IF(A3395="RID_HCPTM","CHCPT_",IF(LEFT(A3395,1)="C",A3395,MID(A3395,6,LEN(A3395)-5)))))</f>
        <v>#VALUE!</v>
      </c>
      <c r="H3395" s="63" t="e">
        <f t="shared" ref="H3395:H3458" si="107">IF(OR(G3395="MJG1",G3395="MJG2"),"MJG",G3395)&amp;"_"&amp;B3395</f>
        <v>#VALUE!</v>
      </c>
    </row>
    <row r="3396" spans="7:8">
      <c r="G3396" s="63" t="e">
        <f t="shared" si="106"/>
        <v>#VALUE!</v>
      </c>
      <c r="H3396" s="63" t="e">
        <f t="shared" si="107"/>
        <v>#VALUE!</v>
      </c>
    </row>
    <row r="3397" spans="7:8">
      <c r="G3397" s="63" t="e">
        <f t="shared" si="106"/>
        <v>#VALUE!</v>
      </c>
      <c r="H3397" s="63" t="e">
        <f t="shared" si="107"/>
        <v>#VALUE!</v>
      </c>
    </row>
    <row r="3398" spans="7:8">
      <c r="G3398" s="63" t="e">
        <f t="shared" si="106"/>
        <v>#VALUE!</v>
      </c>
      <c r="H3398" s="63" t="e">
        <f t="shared" si="107"/>
        <v>#VALUE!</v>
      </c>
    </row>
    <row r="3399" spans="7:8">
      <c r="G3399" s="63" t="e">
        <f t="shared" si="106"/>
        <v>#VALUE!</v>
      </c>
      <c r="H3399" s="63" t="e">
        <f t="shared" si="107"/>
        <v>#VALUE!</v>
      </c>
    </row>
    <row r="3400" spans="7:8">
      <c r="G3400" s="63" t="e">
        <f t="shared" si="106"/>
        <v>#VALUE!</v>
      </c>
      <c r="H3400" s="63" t="e">
        <f t="shared" si="107"/>
        <v>#VALUE!</v>
      </c>
    </row>
    <row r="3401" spans="7:8">
      <c r="G3401" s="63" t="e">
        <f t="shared" si="106"/>
        <v>#VALUE!</v>
      </c>
      <c r="H3401" s="63" t="e">
        <f t="shared" si="107"/>
        <v>#VALUE!</v>
      </c>
    </row>
    <row r="3402" spans="7:8">
      <c r="G3402" s="63" t="e">
        <f t="shared" si="106"/>
        <v>#VALUE!</v>
      </c>
      <c r="H3402" s="63" t="e">
        <f t="shared" si="107"/>
        <v>#VALUE!</v>
      </c>
    </row>
    <row r="3403" spans="7:8">
      <c r="G3403" s="63" t="e">
        <f t="shared" si="106"/>
        <v>#VALUE!</v>
      </c>
      <c r="H3403" s="63" t="e">
        <f t="shared" si="107"/>
        <v>#VALUE!</v>
      </c>
    </row>
    <row r="3404" spans="7:8">
      <c r="G3404" s="63" t="e">
        <f t="shared" si="106"/>
        <v>#VALUE!</v>
      </c>
      <c r="H3404" s="63" t="e">
        <f t="shared" si="107"/>
        <v>#VALUE!</v>
      </c>
    </row>
    <row r="3405" spans="7:8">
      <c r="G3405" s="63" t="e">
        <f t="shared" si="106"/>
        <v>#VALUE!</v>
      </c>
      <c r="H3405" s="63" t="e">
        <f t="shared" si="107"/>
        <v>#VALUE!</v>
      </c>
    </row>
    <row r="3406" spans="7:8">
      <c r="G3406" s="63" t="e">
        <f t="shared" si="106"/>
        <v>#VALUE!</v>
      </c>
      <c r="H3406" s="63" t="e">
        <f t="shared" si="107"/>
        <v>#VALUE!</v>
      </c>
    </row>
    <row r="3407" spans="7:8">
      <c r="G3407" s="63" t="e">
        <f t="shared" si="106"/>
        <v>#VALUE!</v>
      </c>
      <c r="H3407" s="63" t="e">
        <f t="shared" si="107"/>
        <v>#VALUE!</v>
      </c>
    </row>
    <row r="3408" spans="7:8">
      <c r="G3408" s="63" t="e">
        <f t="shared" si="106"/>
        <v>#VALUE!</v>
      </c>
      <c r="H3408" s="63" t="e">
        <f t="shared" si="107"/>
        <v>#VALUE!</v>
      </c>
    </row>
    <row r="3409" spans="7:8">
      <c r="G3409" s="63" t="e">
        <f t="shared" si="106"/>
        <v>#VALUE!</v>
      </c>
      <c r="H3409" s="63" t="e">
        <f t="shared" si="107"/>
        <v>#VALUE!</v>
      </c>
    </row>
    <row r="3410" spans="7:8">
      <c r="G3410" s="63" t="e">
        <f t="shared" si="106"/>
        <v>#VALUE!</v>
      </c>
      <c r="H3410" s="63" t="e">
        <f t="shared" si="107"/>
        <v>#VALUE!</v>
      </c>
    </row>
    <row r="3411" spans="7:8">
      <c r="G3411" s="63" t="e">
        <f t="shared" si="106"/>
        <v>#VALUE!</v>
      </c>
      <c r="H3411" s="63" t="e">
        <f t="shared" si="107"/>
        <v>#VALUE!</v>
      </c>
    </row>
    <row r="3412" spans="7:8">
      <c r="G3412" s="63" t="e">
        <f t="shared" si="106"/>
        <v>#VALUE!</v>
      </c>
      <c r="H3412" s="63" t="e">
        <f t="shared" si="107"/>
        <v>#VALUE!</v>
      </c>
    </row>
    <row r="3413" spans="7:8">
      <c r="G3413" s="63" t="e">
        <f t="shared" si="106"/>
        <v>#VALUE!</v>
      </c>
      <c r="H3413" s="63" t="e">
        <f t="shared" si="107"/>
        <v>#VALUE!</v>
      </c>
    </row>
    <row r="3414" spans="7:8">
      <c r="G3414" s="63" t="e">
        <f t="shared" si="106"/>
        <v>#VALUE!</v>
      </c>
      <c r="H3414" s="63" t="e">
        <f t="shared" si="107"/>
        <v>#VALUE!</v>
      </c>
    </row>
    <row r="3415" spans="7:8">
      <c r="G3415" s="63" t="e">
        <f t="shared" si="106"/>
        <v>#VALUE!</v>
      </c>
      <c r="H3415" s="63" t="e">
        <f t="shared" si="107"/>
        <v>#VALUE!</v>
      </c>
    </row>
    <row r="3416" spans="7:8">
      <c r="G3416" s="63" t="e">
        <f t="shared" si="106"/>
        <v>#VALUE!</v>
      </c>
      <c r="H3416" s="63" t="e">
        <f t="shared" si="107"/>
        <v>#VALUE!</v>
      </c>
    </row>
    <row r="3417" spans="7:8">
      <c r="G3417" s="63" t="e">
        <f t="shared" si="106"/>
        <v>#VALUE!</v>
      </c>
      <c r="H3417" s="63" t="e">
        <f t="shared" si="107"/>
        <v>#VALUE!</v>
      </c>
    </row>
    <row r="3418" spans="7:8">
      <c r="G3418" s="63" t="e">
        <f t="shared" si="106"/>
        <v>#VALUE!</v>
      </c>
      <c r="H3418" s="63" t="e">
        <f t="shared" si="107"/>
        <v>#VALUE!</v>
      </c>
    </row>
    <row r="3419" spans="7:8">
      <c r="G3419" s="63" t="e">
        <f t="shared" si="106"/>
        <v>#VALUE!</v>
      </c>
      <c r="H3419" s="63" t="e">
        <f t="shared" si="107"/>
        <v>#VALUE!</v>
      </c>
    </row>
    <row r="3420" spans="7:8">
      <c r="G3420" s="63" t="e">
        <f t="shared" si="106"/>
        <v>#VALUE!</v>
      </c>
      <c r="H3420" s="63" t="e">
        <f t="shared" si="107"/>
        <v>#VALUE!</v>
      </c>
    </row>
    <row r="3421" spans="7:8">
      <c r="G3421" s="63" t="e">
        <f t="shared" si="106"/>
        <v>#VALUE!</v>
      </c>
      <c r="H3421" s="63" t="e">
        <f t="shared" si="107"/>
        <v>#VALUE!</v>
      </c>
    </row>
    <row r="3422" spans="7:8">
      <c r="G3422" s="63" t="e">
        <f t="shared" si="106"/>
        <v>#VALUE!</v>
      </c>
      <c r="H3422" s="63" t="e">
        <f t="shared" si="107"/>
        <v>#VALUE!</v>
      </c>
    </row>
    <row r="3423" spans="7:8">
      <c r="G3423" s="63" t="e">
        <f t="shared" si="106"/>
        <v>#VALUE!</v>
      </c>
      <c r="H3423" s="63" t="e">
        <f t="shared" si="107"/>
        <v>#VALUE!</v>
      </c>
    </row>
    <row r="3424" spans="7:8">
      <c r="G3424" s="63" t="e">
        <f t="shared" si="106"/>
        <v>#VALUE!</v>
      </c>
      <c r="H3424" s="63" t="e">
        <f t="shared" si="107"/>
        <v>#VALUE!</v>
      </c>
    </row>
    <row r="3425" spans="7:8">
      <c r="G3425" s="63" t="e">
        <f t="shared" si="106"/>
        <v>#VALUE!</v>
      </c>
      <c r="H3425" s="63" t="e">
        <f t="shared" si="107"/>
        <v>#VALUE!</v>
      </c>
    </row>
    <row r="3426" spans="7:8">
      <c r="G3426" s="63" t="e">
        <f t="shared" si="106"/>
        <v>#VALUE!</v>
      </c>
      <c r="H3426" s="63" t="e">
        <f t="shared" si="107"/>
        <v>#VALUE!</v>
      </c>
    </row>
    <row r="3427" spans="7:8">
      <c r="G3427" s="63" t="e">
        <f t="shared" si="106"/>
        <v>#VALUE!</v>
      </c>
      <c r="H3427" s="63" t="e">
        <f t="shared" si="107"/>
        <v>#VALUE!</v>
      </c>
    </row>
    <row r="3428" spans="7:8">
      <c r="G3428" s="63" t="e">
        <f t="shared" si="106"/>
        <v>#VALUE!</v>
      </c>
      <c r="H3428" s="63" t="e">
        <f t="shared" si="107"/>
        <v>#VALUE!</v>
      </c>
    </row>
    <row r="3429" spans="7:8">
      <c r="G3429" s="63" t="e">
        <f t="shared" si="106"/>
        <v>#VALUE!</v>
      </c>
      <c r="H3429" s="63" t="e">
        <f t="shared" si="107"/>
        <v>#VALUE!</v>
      </c>
    </row>
    <row r="3430" spans="7:8">
      <c r="G3430" s="63" t="e">
        <f t="shared" si="106"/>
        <v>#VALUE!</v>
      </c>
      <c r="H3430" s="63" t="e">
        <f t="shared" si="107"/>
        <v>#VALUE!</v>
      </c>
    </row>
    <row r="3431" spans="7:8">
      <c r="G3431" s="63" t="e">
        <f t="shared" si="106"/>
        <v>#VALUE!</v>
      </c>
      <c r="H3431" s="63" t="e">
        <f t="shared" si="107"/>
        <v>#VALUE!</v>
      </c>
    </row>
    <row r="3432" spans="7:8">
      <c r="G3432" s="63" t="e">
        <f t="shared" si="106"/>
        <v>#VALUE!</v>
      </c>
      <c r="H3432" s="63" t="e">
        <f t="shared" si="107"/>
        <v>#VALUE!</v>
      </c>
    </row>
    <row r="3433" spans="7:8">
      <c r="G3433" s="63" t="e">
        <f t="shared" si="106"/>
        <v>#VALUE!</v>
      </c>
      <c r="H3433" s="63" t="e">
        <f t="shared" si="107"/>
        <v>#VALUE!</v>
      </c>
    </row>
    <row r="3434" spans="7:8">
      <c r="G3434" s="63" t="e">
        <f t="shared" si="106"/>
        <v>#VALUE!</v>
      </c>
      <c r="H3434" s="63" t="e">
        <f t="shared" si="107"/>
        <v>#VALUE!</v>
      </c>
    </row>
    <row r="3435" spans="7:8">
      <c r="G3435" s="63" t="e">
        <f t="shared" si="106"/>
        <v>#VALUE!</v>
      </c>
      <c r="H3435" s="63" t="e">
        <f t="shared" si="107"/>
        <v>#VALUE!</v>
      </c>
    </row>
    <row r="3436" spans="7:8">
      <c r="G3436" s="63" t="e">
        <f t="shared" si="106"/>
        <v>#VALUE!</v>
      </c>
      <c r="H3436" s="63" t="e">
        <f t="shared" si="107"/>
        <v>#VALUE!</v>
      </c>
    </row>
    <row r="3437" spans="7:8">
      <c r="G3437" s="63" t="e">
        <f t="shared" si="106"/>
        <v>#VALUE!</v>
      </c>
      <c r="H3437" s="63" t="e">
        <f t="shared" si="107"/>
        <v>#VALUE!</v>
      </c>
    </row>
    <row r="3438" spans="7:8">
      <c r="G3438" s="63" t="e">
        <f t="shared" si="106"/>
        <v>#VALUE!</v>
      </c>
      <c r="H3438" s="63" t="e">
        <f t="shared" si="107"/>
        <v>#VALUE!</v>
      </c>
    </row>
    <row r="3439" spans="7:8">
      <c r="G3439" s="63" t="e">
        <f t="shared" si="106"/>
        <v>#VALUE!</v>
      </c>
      <c r="H3439" s="63" t="e">
        <f t="shared" si="107"/>
        <v>#VALUE!</v>
      </c>
    </row>
    <row r="3440" spans="7:8">
      <c r="G3440" s="63" t="e">
        <f t="shared" si="106"/>
        <v>#VALUE!</v>
      </c>
      <c r="H3440" s="63" t="e">
        <f t="shared" si="107"/>
        <v>#VALUE!</v>
      </c>
    </row>
    <row r="3441" spans="7:8">
      <c r="G3441" s="63" t="e">
        <f t="shared" si="106"/>
        <v>#VALUE!</v>
      </c>
      <c r="H3441" s="63" t="e">
        <f t="shared" si="107"/>
        <v>#VALUE!</v>
      </c>
    </row>
    <row r="3442" spans="7:8">
      <c r="G3442" s="63" t="e">
        <f t="shared" si="106"/>
        <v>#VALUE!</v>
      </c>
      <c r="H3442" s="63" t="e">
        <f t="shared" si="107"/>
        <v>#VALUE!</v>
      </c>
    </row>
    <row r="3443" spans="7:8">
      <c r="G3443" s="63" t="e">
        <f t="shared" si="106"/>
        <v>#VALUE!</v>
      </c>
      <c r="H3443" s="63" t="e">
        <f t="shared" si="107"/>
        <v>#VALUE!</v>
      </c>
    </row>
    <row r="3444" spans="7:8">
      <c r="G3444" s="63" t="e">
        <f t="shared" si="106"/>
        <v>#VALUE!</v>
      </c>
      <c r="H3444" s="63" t="e">
        <f t="shared" si="107"/>
        <v>#VALUE!</v>
      </c>
    </row>
    <row r="3445" spans="7:8">
      <c r="G3445" s="63" t="e">
        <f t="shared" si="106"/>
        <v>#VALUE!</v>
      </c>
      <c r="H3445" s="63" t="e">
        <f t="shared" si="107"/>
        <v>#VALUE!</v>
      </c>
    </row>
    <row r="3446" spans="7:8">
      <c r="G3446" s="63" t="e">
        <f t="shared" si="106"/>
        <v>#VALUE!</v>
      </c>
      <c r="H3446" s="63" t="e">
        <f t="shared" si="107"/>
        <v>#VALUE!</v>
      </c>
    </row>
    <row r="3447" spans="7:8">
      <c r="G3447" s="63" t="e">
        <f t="shared" si="106"/>
        <v>#VALUE!</v>
      </c>
      <c r="H3447" s="63" t="e">
        <f t="shared" si="107"/>
        <v>#VALUE!</v>
      </c>
    </row>
    <row r="3448" spans="7:8">
      <c r="G3448" s="63" t="e">
        <f t="shared" si="106"/>
        <v>#VALUE!</v>
      </c>
      <c r="H3448" s="63" t="e">
        <f t="shared" si="107"/>
        <v>#VALUE!</v>
      </c>
    </row>
    <row r="3449" spans="7:8">
      <c r="G3449" s="63" t="e">
        <f t="shared" si="106"/>
        <v>#VALUE!</v>
      </c>
      <c r="H3449" s="63" t="e">
        <f t="shared" si="107"/>
        <v>#VALUE!</v>
      </c>
    </row>
    <row r="3450" spans="7:8">
      <c r="G3450" s="63" t="e">
        <f t="shared" si="106"/>
        <v>#VALUE!</v>
      </c>
      <c r="H3450" s="63" t="e">
        <f t="shared" si="107"/>
        <v>#VALUE!</v>
      </c>
    </row>
    <row r="3451" spans="7:8">
      <c r="G3451" s="63" t="e">
        <f t="shared" si="106"/>
        <v>#VALUE!</v>
      </c>
      <c r="H3451" s="63" t="e">
        <f t="shared" si="107"/>
        <v>#VALUE!</v>
      </c>
    </row>
    <row r="3452" spans="7:8">
      <c r="G3452" s="63" t="e">
        <f t="shared" si="106"/>
        <v>#VALUE!</v>
      </c>
      <c r="H3452" s="63" t="e">
        <f t="shared" si="107"/>
        <v>#VALUE!</v>
      </c>
    </row>
    <row r="3453" spans="7:8">
      <c r="G3453" s="63" t="e">
        <f t="shared" si="106"/>
        <v>#VALUE!</v>
      </c>
      <c r="H3453" s="63" t="e">
        <f t="shared" si="107"/>
        <v>#VALUE!</v>
      </c>
    </row>
    <row r="3454" spans="7:8">
      <c r="G3454" s="63" t="e">
        <f t="shared" si="106"/>
        <v>#VALUE!</v>
      </c>
      <c r="H3454" s="63" t="e">
        <f t="shared" si="107"/>
        <v>#VALUE!</v>
      </c>
    </row>
    <row r="3455" spans="7:8">
      <c r="G3455" s="63" t="e">
        <f t="shared" si="106"/>
        <v>#VALUE!</v>
      </c>
      <c r="H3455" s="63" t="e">
        <f t="shared" si="107"/>
        <v>#VALUE!</v>
      </c>
    </row>
    <row r="3456" spans="7:8">
      <c r="G3456" s="63" t="e">
        <f t="shared" si="106"/>
        <v>#VALUE!</v>
      </c>
      <c r="H3456" s="63" t="e">
        <f t="shared" si="107"/>
        <v>#VALUE!</v>
      </c>
    </row>
    <row r="3457" spans="7:8">
      <c r="G3457" s="63" t="e">
        <f t="shared" si="106"/>
        <v>#VALUE!</v>
      </c>
      <c r="H3457" s="63" t="e">
        <f t="shared" si="107"/>
        <v>#VALUE!</v>
      </c>
    </row>
    <row r="3458" spans="7:8">
      <c r="G3458" s="63" t="e">
        <f t="shared" si="106"/>
        <v>#VALUE!</v>
      </c>
      <c r="H3458" s="63" t="e">
        <f t="shared" si="107"/>
        <v>#VALUE!</v>
      </c>
    </row>
    <row r="3459" spans="7:8">
      <c r="G3459" s="63" t="e">
        <f t="shared" ref="G3459:G3522" si="108">IF(OR(A3459="RID_PB77",A3459="RID_PB77A3"),"WPCI77",IF(A3459="RIDTCIAS","CSCI49",IF(A3459="RID_HCPTM","CHCPT_",IF(LEFT(A3459,1)="C",A3459,MID(A3459,6,LEN(A3459)-5)))))</f>
        <v>#VALUE!</v>
      </c>
      <c r="H3459" s="63" t="e">
        <f t="shared" ref="H3459:H3522" si="109">IF(OR(G3459="MJG1",G3459="MJG2"),"MJG",G3459)&amp;"_"&amp;B3459</f>
        <v>#VALUE!</v>
      </c>
    </row>
    <row r="3460" spans="7:8">
      <c r="G3460" s="63" t="e">
        <f t="shared" si="108"/>
        <v>#VALUE!</v>
      </c>
      <c r="H3460" s="63" t="e">
        <f t="shared" si="109"/>
        <v>#VALUE!</v>
      </c>
    </row>
    <row r="3461" spans="7:8">
      <c r="G3461" s="63" t="e">
        <f t="shared" si="108"/>
        <v>#VALUE!</v>
      </c>
      <c r="H3461" s="63" t="e">
        <f t="shared" si="109"/>
        <v>#VALUE!</v>
      </c>
    </row>
    <row r="3462" spans="7:8">
      <c r="G3462" s="63" t="e">
        <f t="shared" si="108"/>
        <v>#VALUE!</v>
      </c>
      <c r="H3462" s="63" t="e">
        <f t="shared" si="109"/>
        <v>#VALUE!</v>
      </c>
    </row>
    <row r="3463" spans="7:8">
      <c r="G3463" s="63" t="e">
        <f t="shared" si="108"/>
        <v>#VALUE!</v>
      </c>
      <c r="H3463" s="63" t="e">
        <f t="shared" si="109"/>
        <v>#VALUE!</v>
      </c>
    </row>
    <row r="3464" spans="7:8">
      <c r="G3464" s="63" t="e">
        <f t="shared" si="108"/>
        <v>#VALUE!</v>
      </c>
      <c r="H3464" s="63" t="e">
        <f t="shared" si="109"/>
        <v>#VALUE!</v>
      </c>
    </row>
    <row r="3465" spans="7:8">
      <c r="G3465" s="63" t="e">
        <f t="shared" si="108"/>
        <v>#VALUE!</v>
      </c>
      <c r="H3465" s="63" t="e">
        <f t="shared" si="109"/>
        <v>#VALUE!</v>
      </c>
    </row>
    <row r="3466" spans="7:8">
      <c r="G3466" s="63" t="e">
        <f t="shared" si="108"/>
        <v>#VALUE!</v>
      </c>
      <c r="H3466" s="63" t="e">
        <f t="shared" si="109"/>
        <v>#VALUE!</v>
      </c>
    </row>
    <row r="3467" spans="7:8">
      <c r="G3467" s="63" t="e">
        <f t="shared" si="108"/>
        <v>#VALUE!</v>
      </c>
      <c r="H3467" s="63" t="e">
        <f t="shared" si="109"/>
        <v>#VALUE!</v>
      </c>
    </row>
    <row r="3468" spans="7:8">
      <c r="G3468" s="63" t="e">
        <f t="shared" si="108"/>
        <v>#VALUE!</v>
      </c>
      <c r="H3468" s="63" t="e">
        <f t="shared" si="109"/>
        <v>#VALUE!</v>
      </c>
    </row>
    <row r="3469" spans="7:8">
      <c r="G3469" s="63" t="e">
        <f t="shared" si="108"/>
        <v>#VALUE!</v>
      </c>
      <c r="H3469" s="63" t="e">
        <f t="shared" si="109"/>
        <v>#VALUE!</v>
      </c>
    </row>
    <row r="3470" spans="7:8">
      <c r="G3470" s="63" t="e">
        <f t="shared" si="108"/>
        <v>#VALUE!</v>
      </c>
      <c r="H3470" s="63" t="e">
        <f t="shared" si="109"/>
        <v>#VALUE!</v>
      </c>
    </row>
    <row r="3471" spans="7:8">
      <c r="G3471" s="63" t="e">
        <f t="shared" si="108"/>
        <v>#VALUE!</v>
      </c>
      <c r="H3471" s="63" t="e">
        <f t="shared" si="109"/>
        <v>#VALUE!</v>
      </c>
    </row>
    <row r="3472" spans="7:8">
      <c r="G3472" s="63" t="e">
        <f t="shared" si="108"/>
        <v>#VALUE!</v>
      </c>
      <c r="H3472" s="63" t="e">
        <f t="shared" si="109"/>
        <v>#VALUE!</v>
      </c>
    </row>
    <row r="3473" spans="7:8">
      <c r="G3473" s="63" t="e">
        <f t="shared" si="108"/>
        <v>#VALUE!</v>
      </c>
      <c r="H3473" s="63" t="e">
        <f t="shared" si="109"/>
        <v>#VALUE!</v>
      </c>
    </row>
    <row r="3474" spans="7:8">
      <c r="G3474" s="63" t="e">
        <f t="shared" si="108"/>
        <v>#VALUE!</v>
      </c>
      <c r="H3474" s="63" t="e">
        <f t="shared" si="109"/>
        <v>#VALUE!</v>
      </c>
    </row>
    <row r="3475" spans="7:8">
      <c r="G3475" s="63" t="e">
        <f t="shared" si="108"/>
        <v>#VALUE!</v>
      </c>
      <c r="H3475" s="63" t="e">
        <f t="shared" si="109"/>
        <v>#VALUE!</v>
      </c>
    </row>
    <row r="3476" spans="7:8">
      <c r="G3476" s="63" t="e">
        <f t="shared" si="108"/>
        <v>#VALUE!</v>
      </c>
      <c r="H3476" s="63" t="e">
        <f t="shared" si="109"/>
        <v>#VALUE!</v>
      </c>
    </row>
    <row r="3477" spans="7:8">
      <c r="G3477" s="63" t="e">
        <f t="shared" si="108"/>
        <v>#VALUE!</v>
      </c>
      <c r="H3477" s="63" t="e">
        <f t="shared" si="109"/>
        <v>#VALUE!</v>
      </c>
    </row>
    <row r="3478" spans="7:8">
      <c r="G3478" s="63" t="e">
        <f t="shared" si="108"/>
        <v>#VALUE!</v>
      </c>
      <c r="H3478" s="63" t="e">
        <f t="shared" si="109"/>
        <v>#VALUE!</v>
      </c>
    </row>
    <row r="3479" spans="7:8">
      <c r="G3479" s="63" t="e">
        <f t="shared" si="108"/>
        <v>#VALUE!</v>
      </c>
      <c r="H3479" s="63" t="e">
        <f t="shared" si="109"/>
        <v>#VALUE!</v>
      </c>
    </row>
    <row r="3480" spans="7:8">
      <c r="G3480" s="63" t="e">
        <f t="shared" si="108"/>
        <v>#VALUE!</v>
      </c>
      <c r="H3480" s="63" t="e">
        <f t="shared" si="109"/>
        <v>#VALUE!</v>
      </c>
    </row>
    <row r="3481" spans="7:8">
      <c r="G3481" s="63" t="e">
        <f t="shared" si="108"/>
        <v>#VALUE!</v>
      </c>
      <c r="H3481" s="63" t="e">
        <f t="shared" si="109"/>
        <v>#VALUE!</v>
      </c>
    </row>
    <row r="3482" spans="7:8">
      <c r="G3482" s="63" t="e">
        <f t="shared" si="108"/>
        <v>#VALUE!</v>
      </c>
      <c r="H3482" s="63" t="e">
        <f t="shared" si="109"/>
        <v>#VALUE!</v>
      </c>
    </row>
    <row r="3483" spans="7:8">
      <c r="G3483" s="63" t="e">
        <f t="shared" si="108"/>
        <v>#VALUE!</v>
      </c>
      <c r="H3483" s="63" t="e">
        <f t="shared" si="109"/>
        <v>#VALUE!</v>
      </c>
    </row>
    <row r="3484" spans="7:8">
      <c r="G3484" s="63" t="e">
        <f t="shared" si="108"/>
        <v>#VALUE!</v>
      </c>
      <c r="H3484" s="63" t="e">
        <f t="shared" si="109"/>
        <v>#VALUE!</v>
      </c>
    </row>
    <row r="3485" spans="7:8">
      <c r="G3485" s="63" t="e">
        <f t="shared" si="108"/>
        <v>#VALUE!</v>
      </c>
      <c r="H3485" s="63" t="e">
        <f t="shared" si="109"/>
        <v>#VALUE!</v>
      </c>
    </row>
    <row r="3486" spans="7:8">
      <c r="G3486" s="63" t="e">
        <f t="shared" si="108"/>
        <v>#VALUE!</v>
      </c>
      <c r="H3486" s="63" t="e">
        <f t="shared" si="109"/>
        <v>#VALUE!</v>
      </c>
    </row>
    <row r="3487" spans="7:8">
      <c r="G3487" s="63" t="e">
        <f t="shared" si="108"/>
        <v>#VALUE!</v>
      </c>
      <c r="H3487" s="63" t="e">
        <f t="shared" si="109"/>
        <v>#VALUE!</v>
      </c>
    </row>
    <row r="3488" spans="7:8">
      <c r="G3488" s="63" t="e">
        <f t="shared" si="108"/>
        <v>#VALUE!</v>
      </c>
      <c r="H3488" s="63" t="e">
        <f t="shared" si="109"/>
        <v>#VALUE!</v>
      </c>
    </row>
    <row r="3489" spans="7:8">
      <c r="G3489" s="63" t="e">
        <f t="shared" si="108"/>
        <v>#VALUE!</v>
      </c>
      <c r="H3489" s="63" t="e">
        <f t="shared" si="109"/>
        <v>#VALUE!</v>
      </c>
    </row>
    <row r="3490" spans="7:8">
      <c r="G3490" s="63" t="e">
        <f t="shared" si="108"/>
        <v>#VALUE!</v>
      </c>
      <c r="H3490" s="63" t="e">
        <f t="shared" si="109"/>
        <v>#VALUE!</v>
      </c>
    </row>
    <row r="3491" spans="7:8">
      <c r="G3491" s="63" t="e">
        <f t="shared" si="108"/>
        <v>#VALUE!</v>
      </c>
      <c r="H3491" s="63" t="e">
        <f t="shared" si="109"/>
        <v>#VALUE!</v>
      </c>
    </row>
    <row r="3492" spans="7:8">
      <c r="G3492" s="63" t="e">
        <f t="shared" si="108"/>
        <v>#VALUE!</v>
      </c>
      <c r="H3492" s="63" t="e">
        <f t="shared" si="109"/>
        <v>#VALUE!</v>
      </c>
    </row>
    <row r="3493" spans="7:8">
      <c r="G3493" s="63" t="e">
        <f t="shared" si="108"/>
        <v>#VALUE!</v>
      </c>
      <c r="H3493" s="63" t="e">
        <f t="shared" si="109"/>
        <v>#VALUE!</v>
      </c>
    </row>
    <row r="3494" spans="7:8">
      <c r="G3494" s="63" t="e">
        <f t="shared" si="108"/>
        <v>#VALUE!</v>
      </c>
      <c r="H3494" s="63" t="e">
        <f t="shared" si="109"/>
        <v>#VALUE!</v>
      </c>
    </row>
    <row r="3495" spans="7:8">
      <c r="G3495" s="63" t="e">
        <f t="shared" si="108"/>
        <v>#VALUE!</v>
      </c>
      <c r="H3495" s="63" t="e">
        <f t="shared" si="109"/>
        <v>#VALUE!</v>
      </c>
    </row>
    <row r="3496" spans="7:8">
      <c r="G3496" s="63" t="e">
        <f t="shared" si="108"/>
        <v>#VALUE!</v>
      </c>
      <c r="H3496" s="63" t="e">
        <f t="shared" si="109"/>
        <v>#VALUE!</v>
      </c>
    </row>
    <row r="3497" spans="7:8">
      <c r="G3497" s="63" t="e">
        <f t="shared" si="108"/>
        <v>#VALUE!</v>
      </c>
      <c r="H3497" s="63" t="e">
        <f t="shared" si="109"/>
        <v>#VALUE!</v>
      </c>
    </row>
    <row r="3498" spans="7:8">
      <c r="G3498" s="63" t="e">
        <f t="shared" si="108"/>
        <v>#VALUE!</v>
      </c>
      <c r="H3498" s="63" t="e">
        <f t="shared" si="109"/>
        <v>#VALUE!</v>
      </c>
    </row>
    <row r="3499" spans="7:8">
      <c r="G3499" s="63" t="e">
        <f t="shared" si="108"/>
        <v>#VALUE!</v>
      </c>
      <c r="H3499" s="63" t="e">
        <f t="shared" si="109"/>
        <v>#VALUE!</v>
      </c>
    </row>
    <row r="3500" spans="7:8">
      <c r="G3500" s="63" t="e">
        <f t="shared" si="108"/>
        <v>#VALUE!</v>
      </c>
      <c r="H3500" s="63" t="e">
        <f t="shared" si="109"/>
        <v>#VALUE!</v>
      </c>
    </row>
    <row r="3501" spans="7:8">
      <c r="G3501" s="63" t="e">
        <f t="shared" si="108"/>
        <v>#VALUE!</v>
      </c>
      <c r="H3501" s="63" t="e">
        <f t="shared" si="109"/>
        <v>#VALUE!</v>
      </c>
    </row>
    <row r="3502" spans="7:8">
      <c r="G3502" s="63" t="e">
        <f t="shared" si="108"/>
        <v>#VALUE!</v>
      </c>
      <c r="H3502" s="63" t="e">
        <f t="shared" si="109"/>
        <v>#VALUE!</v>
      </c>
    </row>
    <row r="3503" spans="7:8">
      <c r="G3503" s="63" t="e">
        <f t="shared" si="108"/>
        <v>#VALUE!</v>
      </c>
      <c r="H3503" s="63" t="e">
        <f t="shared" si="109"/>
        <v>#VALUE!</v>
      </c>
    </row>
    <row r="3504" spans="7:8">
      <c r="G3504" s="63" t="e">
        <f t="shared" si="108"/>
        <v>#VALUE!</v>
      </c>
      <c r="H3504" s="63" t="e">
        <f t="shared" si="109"/>
        <v>#VALUE!</v>
      </c>
    </row>
    <row r="3505" spans="7:8">
      <c r="G3505" s="63" t="e">
        <f t="shared" si="108"/>
        <v>#VALUE!</v>
      </c>
      <c r="H3505" s="63" t="e">
        <f t="shared" si="109"/>
        <v>#VALUE!</v>
      </c>
    </row>
    <row r="3506" spans="7:8">
      <c r="G3506" s="63" t="e">
        <f t="shared" si="108"/>
        <v>#VALUE!</v>
      </c>
      <c r="H3506" s="63" t="e">
        <f t="shared" si="109"/>
        <v>#VALUE!</v>
      </c>
    </row>
    <row r="3507" spans="7:8">
      <c r="G3507" s="63" t="e">
        <f t="shared" si="108"/>
        <v>#VALUE!</v>
      </c>
      <c r="H3507" s="63" t="e">
        <f t="shared" si="109"/>
        <v>#VALUE!</v>
      </c>
    </row>
    <row r="3508" spans="7:8">
      <c r="G3508" s="63" t="e">
        <f t="shared" si="108"/>
        <v>#VALUE!</v>
      </c>
      <c r="H3508" s="63" t="e">
        <f t="shared" si="109"/>
        <v>#VALUE!</v>
      </c>
    </row>
    <row r="3509" spans="7:8">
      <c r="G3509" s="63" t="e">
        <f t="shared" si="108"/>
        <v>#VALUE!</v>
      </c>
      <c r="H3509" s="63" t="e">
        <f t="shared" si="109"/>
        <v>#VALUE!</v>
      </c>
    </row>
    <row r="3510" spans="7:8">
      <c r="G3510" s="63" t="e">
        <f t="shared" si="108"/>
        <v>#VALUE!</v>
      </c>
      <c r="H3510" s="63" t="e">
        <f t="shared" si="109"/>
        <v>#VALUE!</v>
      </c>
    </row>
    <row r="3511" spans="7:8">
      <c r="G3511" s="63" t="e">
        <f t="shared" si="108"/>
        <v>#VALUE!</v>
      </c>
      <c r="H3511" s="63" t="e">
        <f t="shared" si="109"/>
        <v>#VALUE!</v>
      </c>
    </row>
    <row r="3512" spans="7:8">
      <c r="G3512" s="63" t="e">
        <f t="shared" si="108"/>
        <v>#VALUE!</v>
      </c>
      <c r="H3512" s="63" t="e">
        <f t="shared" si="109"/>
        <v>#VALUE!</v>
      </c>
    </row>
    <row r="3513" spans="7:8">
      <c r="G3513" s="63" t="e">
        <f t="shared" si="108"/>
        <v>#VALUE!</v>
      </c>
      <c r="H3513" s="63" t="e">
        <f t="shared" si="109"/>
        <v>#VALUE!</v>
      </c>
    </row>
    <row r="3514" spans="7:8">
      <c r="G3514" s="63" t="e">
        <f t="shared" si="108"/>
        <v>#VALUE!</v>
      </c>
      <c r="H3514" s="63" t="e">
        <f t="shared" si="109"/>
        <v>#VALUE!</v>
      </c>
    </row>
    <row r="3515" spans="7:8">
      <c r="G3515" s="63" t="e">
        <f t="shared" si="108"/>
        <v>#VALUE!</v>
      </c>
      <c r="H3515" s="63" t="e">
        <f t="shared" si="109"/>
        <v>#VALUE!</v>
      </c>
    </row>
    <row r="3516" spans="7:8">
      <c r="G3516" s="63" t="e">
        <f t="shared" si="108"/>
        <v>#VALUE!</v>
      </c>
      <c r="H3516" s="63" t="e">
        <f t="shared" si="109"/>
        <v>#VALUE!</v>
      </c>
    </row>
    <row r="3517" spans="7:8">
      <c r="G3517" s="63" t="e">
        <f t="shared" si="108"/>
        <v>#VALUE!</v>
      </c>
      <c r="H3517" s="63" t="e">
        <f t="shared" si="109"/>
        <v>#VALUE!</v>
      </c>
    </row>
    <row r="3518" spans="7:8">
      <c r="G3518" s="63" t="e">
        <f t="shared" si="108"/>
        <v>#VALUE!</v>
      </c>
      <c r="H3518" s="63" t="e">
        <f t="shared" si="109"/>
        <v>#VALUE!</v>
      </c>
    </row>
    <row r="3519" spans="7:8">
      <c r="G3519" s="63" t="e">
        <f t="shared" si="108"/>
        <v>#VALUE!</v>
      </c>
      <c r="H3519" s="63" t="e">
        <f t="shared" si="109"/>
        <v>#VALUE!</v>
      </c>
    </row>
    <row r="3520" spans="7:8">
      <c r="G3520" s="63" t="e">
        <f t="shared" si="108"/>
        <v>#VALUE!</v>
      </c>
      <c r="H3520" s="63" t="e">
        <f t="shared" si="109"/>
        <v>#VALUE!</v>
      </c>
    </row>
    <row r="3521" spans="7:8">
      <c r="G3521" s="63" t="e">
        <f t="shared" si="108"/>
        <v>#VALUE!</v>
      </c>
      <c r="H3521" s="63" t="e">
        <f t="shared" si="109"/>
        <v>#VALUE!</v>
      </c>
    </row>
    <row r="3522" spans="7:8">
      <c r="G3522" s="63" t="e">
        <f t="shared" si="108"/>
        <v>#VALUE!</v>
      </c>
      <c r="H3522" s="63" t="e">
        <f t="shared" si="109"/>
        <v>#VALUE!</v>
      </c>
    </row>
    <row r="3523" spans="7:8">
      <c r="G3523" s="63" t="e">
        <f t="shared" ref="G3523:G3586" si="110">IF(OR(A3523="RID_PB77",A3523="RID_PB77A3"),"WPCI77",IF(A3523="RIDTCIAS","CSCI49",IF(A3523="RID_HCPTM","CHCPT_",IF(LEFT(A3523,1)="C",A3523,MID(A3523,6,LEN(A3523)-5)))))</f>
        <v>#VALUE!</v>
      </c>
      <c r="H3523" s="63" t="e">
        <f t="shared" ref="H3523:H3586" si="111">IF(OR(G3523="MJG1",G3523="MJG2"),"MJG",G3523)&amp;"_"&amp;B3523</f>
        <v>#VALUE!</v>
      </c>
    </row>
    <row r="3524" spans="7:8">
      <c r="G3524" s="63" t="e">
        <f t="shared" si="110"/>
        <v>#VALUE!</v>
      </c>
      <c r="H3524" s="63" t="e">
        <f t="shared" si="111"/>
        <v>#VALUE!</v>
      </c>
    </row>
    <row r="3525" spans="7:8">
      <c r="G3525" s="63" t="e">
        <f t="shared" si="110"/>
        <v>#VALUE!</v>
      </c>
      <c r="H3525" s="63" t="e">
        <f t="shared" si="111"/>
        <v>#VALUE!</v>
      </c>
    </row>
    <row r="3526" spans="7:8">
      <c r="G3526" s="63" t="e">
        <f t="shared" si="110"/>
        <v>#VALUE!</v>
      </c>
      <c r="H3526" s="63" t="e">
        <f t="shared" si="111"/>
        <v>#VALUE!</v>
      </c>
    </row>
    <row r="3527" spans="7:8">
      <c r="G3527" s="63" t="e">
        <f t="shared" si="110"/>
        <v>#VALUE!</v>
      </c>
      <c r="H3527" s="63" t="e">
        <f t="shared" si="111"/>
        <v>#VALUE!</v>
      </c>
    </row>
    <row r="3528" spans="7:8">
      <c r="G3528" s="63" t="e">
        <f t="shared" si="110"/>
        <v>#VALUE!</v>
      </c>
      <c r="H3528" s="63" t="e">
        <f t="shared" si="111"/>
        <v>#VALUE!</v>
      </c>
    </row>
    <row r="3529" spans="7:8">
      <c r="G3529" s="63" t="e">
        <f t="shared" si="110"/>
        <v>#VALUE!</v>
      </c>
      <c r="H3529" s="63" t="e">
        <f t="shared" si="111"/>
        <v>#VALUE!</v>
      </c>
    </row>
    <row r="3530" spans="7:8">
      <c r="G3530" s="63" t="e">
        <f t="shared" si="110"/>
        <v>#VALUE!</v>
      </c>
      <c r="H3530" s="63" t="e">
        <f t="shared" si="111"/>
        <v>#VALUE!</v>
      </c>
    </row>
    <row r="3531" spans="7:8">
      <c r="G3531" s="63" t="e">
        <f t="shared" si="110"/>
        <v>#VALUE!</v>
      </c>
      <c r="H3531" s="63" t="e">
        <f t="shared" si="111"/>
        <v>#VALUE!</v>
      </c>
    </row>
    <row r="3532" spans="7:8">
      <c r="G3532" s="63" t="e">
        <f t="shared" si="110"/>
        <v>#VALUE!</v>
      </c>
      <c r="H3532" s="63" t="e">
        <f t="shared" si="111"/>
        <v>#VALUE!</v>
      </c>
    </row>
    <row r="3533" spans="7:8">
      <c r="G3533" s="63" t="e">
        <f t="shared" si="110"/>
        <v>#VALUE!</v>
      </c>
      <c r="H3533" s="63" t="e">
        <f t="shared" si="111"/>
        <v>#VALUE!</v>
      </c>
    </row>
    <row r="3534" spans="7:8">
      <c r="G3534" s="63" t="e">
        <f t="shared" si="110"/>
        <v>#VALUE!</v>
      </c>
      <c r="H3534" s="63" t="e">
        <f t="shared" si="111"/>
        <v>#VALUE!</v>
      </c>
    </row>
    <row r="3535" spans="7:8">
      <c r="G3535" s="63" t="e">
        <f t="shared" si="110"/>
        <v>#VALUE!</v>
      </c>
      <c r="H3535" s="63" t="e">
        <f t="shared" si="111"/>
        <v>#VALUE!</v>
      </c>
    </row>
    <row r="3536" spans="7:8">
      <c r="G3536" s="63" t="e">
        <f t="shared" si="110"/>
        <v>#VALUE!</v>
      </c>
      <c r="H3536" s="63" t="e">
        <f t="shared" si="111"/>
        <v>#VALUE!</v>
      </c>
    </row>
    <row r="3537" spans="7:8">
      <c r="G3537" s="63" t="e">
        <f t="shared" si="110"/>
        <v>#VALUE!</v>
      </c>
      <c r="H3537" s="63" t="e">
        <f t="shared" si="111"/>
        <v>#VALUE!</v>
      </c>
    </row>
    <row r="3538" spans="7:8">
      <c r="G3538" s="63" t="e">
        <f t="shared" si="110"/>
        <v>#VALUE!</v>
      </c>
      <c r="H3538" s="63" t="e">
        <f t="shared" si="111"/>
        <v>#VALUE!</v>
      </c>
    </row>
    <row r="3539" spans="7:8">
      <c r="G3539" s="63" t="e">
        <f t="shared" si="110"/>
        <v>#VALUE!</v>
      </c>
      <c r="H3539" s="63" t="e">
        <f t="shared" si="111"/>
        <v>#VALUE!</v>
      </c>
    </row>
    <row r="3540" spans="7:8">
      <c r="G3540" s="63" t="e">
        <f t="shared" si="110"/>
        <v>#VALUE!</v>
      </c>
      <c r="H3540" s="63" t="e">
        <f t="shared" si="111"/>
        <v>#VALUE!</v>
      </c>
    </row>
    <row r="3541" spans="7:8">
      <c r="G3541" s="63" t="e">
        <f t="shared" si="110"/>
        <v>#VALUE!</v>
      </c>
      <c r="H3541" s="63" t="e">
        <f t="shared" si="111"/>
        <v>#VALUE!</v>
      </c>
    </row>
    <row r="3542" spans="7:8">
      <c r="G3542" s="63" t="e">
        <f t="shared" si="110"/>
        <v>#VALUE!</v>
      </c>
      <c r="H3542" s="63" t="e">
        <f t="shared" si="111"/>
        <v>#VALUE!</v>
      </c>
    </row>
    <row r="3543" spans="7:8">
      <c r="G3543" s="63" t="e">
        <f t="shared" si="110"/>
        <v>#VALUE!</v>
      </c>
      <c r="H3543" s="63" t="e">
        <f t="shared" si="111"/>
        <v>#VALUE!</v>
      </c>
    </row>
    <row r="3544" spans="7:8">
      <c r="G3544" s="63" t="e">
        <f t="shared" si="110"/>
        <v>#VALUE!</v>
      </c>
      <c r="H3544" s="63" t="e">
        <f t="shared" si="111"/>
        <v>#VALUE!</v>
      </c>
    </row>
    <row r="3545" spans="7:8">
      <c r="G3545" s="63" t="e">
        <f t="shared" si="110"/>
        <v>#VALUE!</v>
      </c>
      <c r="H3545" s="63" t="e">
        <f t="shared" si="111"/>
        <v>#VALUE!</v>
      </c>
    </row>
    <row r="3546" spans="7:8">
      <c r="G3546" s="63" t="e">
        <f t="shared" si="110"/>
        <v>#VALUE!</v>
      </c>
      <c r="H3546" s="63" t="e">
        <f t="shared" si="111"/>
        <v>#VALUE!</v>
      </c>
    </row>
    <row r="3547" spans="7:8">
      <c r="G3547" s="63" t="e">
        <f t="shared" si="110"/>
        <v>#VALUE!</v>
      </c>
      <c r="H3547" s="63" t="e">
        <f t="shared" si="111"/>
        <v>#VALUE!</v>
      </c>
    </row>
    <row r="3548" spans="7:8">
      <c r="G3548" s="63" t="e">
        <f t="shared" si="110"/>
        <v>#VALUE!</v>
      </c>
      <c r="H3548" s="63" t="e">
        <f t="shared" si="111"/>
        <v>#VALUE!</v>
      </c>
    </row>
    <row r="3549" spans="7:8">
      <c r="G3549" s="63" t="e">
        <f t="shared" si="110"/>
        <v>#VALUE!</v>
      </c>
      <c r="H3549" s="63" t="e">
        <f t="shared" si="111"/>
        <v>#VALUE!</v>
      </c>
    </row>
    <row r="3550" spans="7:8">
      <c r="G3550" s="63" t="e">
        <f t="shared" si="110"/>
        <v>#VALUE!</v>
      </c>
      <c r="H3550" s="63" t="e">
        <f t="shared" si="111"/>
        <v>#VALUE!</v>
      </c>
    </row>
    <row r="3551" spans="7:8">
      <c r="G3551" s="63" t="e">
        <f t="shared" si="110"/>
        <v>#VALUE!</v>
      </c>
      <c r="H3551" s="63" t="e">
        <f t="shared" si="111"/>
        <v>#VALUE!</v>
      </c>
    </row>
    <row r="3552" spans="7:8">
      <c r="G3552" s="63" t="e">
        <f t="shared" si="110"/>
        <v>#VALUE!</v>
      </c>
      <c r="H3552" s="63" t="e">
        <f t="shared" si="111"/>
        <v>#VALUE!</v>
      </c>
    </row>
    <row r="3553" spans="7:8">
      <c r="G3553" s="63" t="e">
        <f t="shared" si="110"/>
        <v>#VALUE!</v>
      </c>
      <c r="H3553" s="63" t="e">
        <f t="shared" si="111"/>
        <v>#VALUE!</v>
      </c>
    </row>
    <row r="3554" spans="7:8">
      <c r="G3554" s="63" t="e">
        <f t="shared" si="110"/>
        <v>#VALUE!</v>
      </c>
      <c r="H3554" s="63" t="e">
        <f t="shared" si="111"/>
        <v>#VALUE!</v>
      </c>
    </row>
    <row r="3555" spans="7:8">
      <c r="G3555" s="63" t="e">
        <f t="shared" si="110"/>
        <v>#VALUE!</v>
      </c>
      <c r="H3555" s="63" t="e">
        <f t="shared" si="111"/>
        <v>#VALUE!</v>
      </c>
    </row>
    <row r="3556" spans="7:8">
      <c r="G3556" s="63" t="e">
        <f t="shared" si="110"/>
        <v>#VALUE!</v>
      </c>
      <c r="H3556" s="63" t="e">
        <f t="shared" si="111"/>
        <v>#VALUE!</v>
      </c>
    </row>
    <row r="3557" spans="7:8">
      <c r="G3557" s="63" t="e">
        <f t="shared" si="110"/>
        <v>#VALUE!</v>
      </c>
      <c r="H3557" s="63" t="e">
        <f t="shared" si="111"/>
        <v>#VALUE!</v>
      </c>
    </row>
    <row r="3558" spans="7:8">
      <c r="G3558" s="63" t="e">
        <f t="shared" si="110"/>
        <v>#VALUE!</v>
      </c>
      <c r="H3558" s="63" t="e">
        <f t="shared" si="111"/>
        <v>#VALUE!</v>
      </c>
    </row>
    <row r="3559" spans="7:8">
      <c r="G3559" s="63" t="e">
        <f t="shared" si="110"/>
        <v>#VALUE!</v>
      </c>
      <c r="H3559" s="63" t="e">
        <f t="shared" si="111"/>
        <v>#VALUE!</v>
      </c>
    </row>
    <row r="3560" spans="7:8">
      <c r="G3560" s="63" t="e">
        <f t="shared" si="110"/>
        <v>#VALUE!</v>
      </c>
      <c r="H3560" s="63" t="e">
        <f t="shared" si="111"/>
        <v>#VALUE!</v>
      </c>
    </row>
    <row r="3561" spans="7:8">
      <c r="G3561" s="63" t="e">
        <f t="shared" si="110"/>
        <v>#VALUE!</v>
      </c>
      <c r="H3561" s="63" t="e">
        <f t="shared" si="111"/>
        <v>#VALUE!</v>
      </c>
    </row>
    <row r="3562" spans="7:8">
      <c r="G3562" s="63" t="e">
        <f t="shared" si="110"/>
        <v>#VALUE!</v>
      </c>
      <c r="H3562" s="63" t="e">
        <f t="shared" si="111"/>
        <v>#VALUE!</v>
      </c>
    </row>
    <row r="3563" spans="7:8">
      <c r="G3563" s="63" t="e">
        <f t="shared" si="110"/>
        <v>#VALUE!</v>
      </c>
      <c r="H3563" s="63" t="e">
        <f t="shared" si="111"/>
        <v>#VALUE!</v>
      </c>
    </row>
    <row r="3564" spans="7:8">
      <c r="G3564" s="63" t="e">
        <f t="shared" si="110"/>
        <v>#VALUE!</v>
      </c>
      <c r="H3564" s="63" t="e">
        <f t="shared" si="111"/>
        <v>#VALUE!</v>
      </c>
    </row>
    <row r="3565" spans="7:8">
      <c r="G3565" s="63" t="e">
        <f t="shared" si="110"/>
        <v>#VALUE!</v>
      </c>
      <c r="H3565" s="63" t="e">
        <f t="shared" si="111"/>
        <v>#VALUE!</v>
      </c>
    </row>
    <row r="3566" spans="7:8">
      <c r="G3566" s="63" t="e">
        <f t="shared" si="110"/>
        <v>#VALUE!</v>
      </c>
      <c r="H3566" s="63" t="e">
        <f t="shared" si="111"/>
        <v>#VALUE!</v>
      </c>
    </row>
    <row r="3567" spans="7:8">
      <c r="G3567" s="63" t="e">
        <f t="shared" si="110"/>
        <v>#VALUE!</v>
      </c>
      <c r="H3567" s="63" t="e">
        <f t="shared" si="111"/>
        <v>#VALUE!</v>
      </c>
    </row>
    <row r="3568" spans="7:8">
      <c r="G3568" s="63" t="e">
        <f t="shared" si="110"/>
        <v>#VALUE!</v>
      </c>
      <c r="H3568" s="63" t="e">
        <f t="shared" si="111"/>
        <v>#VALUE!</v>
      </c>
    </row>
    <row r="3569" spans="7:8">
      <c r="G3569" s="63" t="e">
        <f t="shared" si="110"/>
        <v>#VALUE!</v>
      </c>
      <c r="H3569" s="63" t="e">
        <f t="shared" si="111"/>
        <v>#VALUE!</v>
      </c>
    </row>
    <row r="3570" spans="7:8">
      <c r="G3570" s="63" t="e">
        <f t="shared" si="110"/>
        <v>#VALUE!</v>
      </c>
      <c r="H3570" s="63" t="e">
        <f t="shared" si="111"/>
        <v>#VALUE!</v>
      </c>
    </row>
    <row r="3571" spans="7:8">
      <c r="G3571" s="63" t="e">
        <f t="shared" si="110"/>
        <v>#VALUE!</v>
      </c>
      <c r="H3571" s="63" t="e">
        <f t="shared" si="111"/>
        <v>#VALUE!</v>
      </c>
    </row>
    <row r="3572" spans="7:8">
      <c r="G3572" s="63" t="e">
        <f t="shared" si="110"/>
        <v>#VALUE!</v>
      </c>
      <c r="H3572" s="63" t="e">
        <f t="shared" si="111"/>
        <v>#VALUE!</v>
      </c>
    </row>
    <row r="3573" spans="7:8">
      <c r="G3573" s="63" t="e">
        <f t="shared" si="110"/>
        <v>#VALUE!</v>
      </c>
      <c r="H3573" s="63" t="e">
        <f t="shared" si="111"/>
        <v>#VALUE!</v>
      </c>
    </row>
    <row r="3574" spans="7:8">
      <c r="G3574" s="63" t="e">
        <f t="shared" si="110"/>
        <v>#VALUE!</v>
      </c>
      <c r="H3574" s="63" t="e">
        <f t="shared" si="111"/>
        <v>#VALUE!</v>
      </c>
    </row>
    <row r="3575" spans="7:8">
      <c r="G3575" s="63" t="e">
        <f t="shared" si="110"/>
        <v>#VALUE!</v>
      </c>
      <c r="H3575" s="63" t="e">
        <f t="shared" si="111"/>
        <v>#VALUE!</v>
      </c>
    </row>
    <row r="3576" spans="7:8">
      <c r="G3576" s="63" t="e">
        <f t="shared" si="110"/>
        <v>#VALUE!</v>
      </c>
      <c r="H3576" s="63" t="e">
        <f t="shared" si="111"/>
        <v>#VALUE!</v>
      </c>
    </row>
    <row r="3577" spans="7:8">
      <c r="G3577" s="63" t="e">
        <f t="shared" si="110"/>
        <v>#VALUE!</v>
      </c>
      <c r="H3577" s="63" t="e">
        <f t="shared" si="111"/>
        <v>#VALUE!</v>
      </c>
    </row>
    <row r="3578" spans="7:8">
      <c r="G3578" s="63" t="e">
        <f t="shared" si="110"/>
        <v>#VALUE!</v>
      </c>
      <c r="H3578" s="63" t="e">
        <f t="shared" si="111"/>
        <v>#VALUE!</v>
      </c>
    </row>
    <row r="3579" spans="7:8">
      <c r="G3579" s="63" t="e">
        <f t="shared" si="110"/>
        <v>#VALUE!</v>
      </c>
      <c r="H3579" s="63" t="e">
        <f t="shared" si="111"/>
        <v>#VALUE!</v>
      </c>
    </row>
    <row r="3580" spans="7:8">
      <c r="G3580" s="63" t="e">
        <f t="shared" si="110"/>
        <v>#VALUE!</v>
      </c>
      <c r="H3580" s="63" t="e">
        <f t="shared" si="111"/>
        <v>#VALUE!</v>
      </c>
    </row>
    <row r="3581" spans="7:8">
      <c r="G3581" s="63" t="e">
        <f t="shared" si="110"/>
        <v>#VALUE!</v>
      </c>
      <c r="H3581" s="63" t="e">
        <f t="shared" si="111"/>
        <v>#VALUE!</v>
      </c>
    </row>
    <row r="3582" spans="7:8">
      <c r="G3582" s="63" t="e">
        <f t="shared" si="110"/>
        <v>#VALUE!</v>
      </c>
      <c r="H3582" s="63" t="e">
        <f t="shared" si="111"/>
        <v>#VALUE!</v>
      </c>
    </row>
    <row r="3583" spans="7:8">
      <c r="G3583" s="63" t="e">
        <f t="shared" si="110"/>
        <v>#VALUE!</v>
      </c>
      <c r="H3583" s="63" t="e">
        <f t="shared" si="111"/>
        <v>#VALUE!</v>
      </c>
    </row>
    <row r="3584" spans="7:8">
      <c r="G3584" s="63" t="e">
        <f t="shared" si="110"/>
        <v>#VALUE!</v>
      </c>
      <c r="H3584" s="63" t="e">
        <f t="shared" si="111"/>
        <v>#VALUE!</v>
      </c>
    </row>
    <row r="3585" spans="7:8">
      <c r="G3585" s="63" t="e">
        <f t="shared" si="110"/>
        <v>#VALUE!</v>
      </c>
      <c r="H3585" s="63" t="e">
        <f t="shared" si="111"/>
        <v>#VALUE!</v>
      </c>
    </row>
    <row r="3586" spans="7:8">
      <c r="G3586" s="63" t="e">
        <f t="shared" si="110"/>
        <v>#VALUE!</v>
      </c>
      <c r="H3586" s="63" t="e">
        <f t="shared" si="111"/>
        <v>#VALUE!</v>
      </c>
    </row>
    <row r="3587" spans="7:8">
      <c r="G3587" s="63" t="e">
        <f t="shared" ref="G3587:G3650" si="112">IF(OR(A3587="RID_PB77",A3587="RID_PB77A3"),"WPCI77",IF(A3587="RIDTCIAS","CSCI49",IF(A3587="RID_HCPTM","CHCPT_",IF(LEFT(A3587,1)="C",A3587,MID(A3587,6,LEN(A3587)-5)))))</f>
        <v>#VALUE!</v>
      </c>
      <c r="H3587" s="63" t="e">
        <f t="shared" ref="H3587:H3650" si="113">IF(OR(G3587="MJG1",G3587="MJG2"),"MJG",G3587)&amp;"_"&amp;B3587</f>
        <v>#VALUE!</v>
      </c>
    </row>
    <row r="3588" spans="7:8">
      <c r="G3588" s="63" t="e">
        <f t="shared" si="112"/>
        <v>#VALUE!</v>
      </c>
      <c r="H3588" s="63" t="e">
        <f t="shared" si="113"/>
        <v>#VALUE!</v>
      </c>
    </row>
    <row r="3589" spans="7:8">
      <c r="G3589" s="63" t="e">
        <f t="shared" si="112"/>
        <v>#VALUE!</v>
      </c>
      <c r="H3589" s="63" t="e">
        <f t="shared" si="113"/>
        <v>#VALUE!</v>
      </c>
    </row>
    <row r="3590" spans="7:8">
      <c r="G3590" s="63" t="e">
        <f t="shared" si="112"/>
        <v>#VALUE!</v>
      </c>
      <c r="H3590" s="63" t="e">
        <f t="shared" si="113"/>
        <v>#VALUE!</v>
      </c>
    </row>
    <row r="3591" spans="7:8">
      <c r="G3591" s="63" t="e">
        <f t="shared" si="112"/>
        <v>#VALUE!</v>
      </c>
      <c r="H3591" s="63" t="e">
        <f t="shared" si="113"/>
        <v>#VALUE!</v>
      </c>
    </row>
    <row r="3592" spans="7:8">
      <c r="G3592" s="63" t="e">
        <f t="shared" si="112"/>
        <v>#VALUE!</v>
      </c>
      <c r="H3592" s="63" t="e">
        <f t="shared" si="113"/>
        <v>#VALUE!</v>
      </c>
    </row>
    <row r="3593" spans="7:8">
      <c r="G3593" s="63" t="e">
        <f t="shared" si="112"/>
        <v>#VALUE!</v>
      </c>
      <c r="H3593" s="63" t="e">
        <f t="shared" si="113"/>
        <v>#VALUE!</v>
      </c>
    </row>
    <row r="3594" spans="7:8">
      <c r="G3594" s="63" t="e">
        <f t="shared" si="112"/>
        <v>#VALUE!</v>
      </c>
      <c r="H3594" s="63" t="e">
        <f t="shared" si="113"/>
        <v>#VALUE!</v>
      </c>
    </row>
    <row r="3595" spans="7:8">
      <c r="G3595" s="63" t="e">
        <f t="shared" si="112"/>
        <v>#VALUE!</v>
      </c>
      <c r="H3595" s="63" t="e">
        <f t="shared" si="113"/>
        <v>#VALUE!</v>
      </c>
    </row>
    <row r="3596" spans="7:8">
      <c r="G3596" s="63" t="e">
        <f t="shared" si="112"/>
        <v>#VALUE!</v>
      </c>
      <c r="H3596" s="63" t="e">
        <f t="shared" si="113"/>
        <v>#VALUE!</v>
      </c>
    </row>
    <row r="3597" spans="7:8">
      <c r="G3597" s="63" t="e">
        <f t="shared" si="112"/>
        <v>#VALUE!</v>
      </c>
      <c r="H3597" s="63" t="e">
        <f t="shared" si="113"/>
        <v>#VALUE!</v>
      </c>
    </row>
    <row r="3598" spans="7:8">
      <c r="G3598" s="63" t="e">
        <f t="shared" si="112"/>
        <v>#VALUE!</v>
      </c>
      <c r="H3598" s="63" t="e">
        <f t="shared" si="113"/>
        <v>#VALUE!</v>
      </c>
    </row>
    <row r="3599" spans="7:8">
      <c r="G3599" s="63" t="e">
        <f t="shared" si="112"/>
        <v>#VALUE!</v>
      </c>
      <c r="H3599" s="63" t="e">
        <f t="shared" si="113"/>
        <v>#VALUE!</v>
      </c>
    </row>
    <row r="3600" spans="7:8">
      <c r="G3600" s="63" t="e">
        <f t="shared" si="112"/>
        <v>#VALUE!</v>
      </c>
      <c r="H3600" s="63" t="e">
        <f t="shared" si="113"/>
        <v>#VALUE!</v>
      </c>
    </row>
    <row r="3601" spans="7:8">
      <c r="G3601" s="63" t="e">
        <f t="shared" si="112"/>
        <v>#VALUE!</v>
      </c>
      <c r="H3601" s="63" t="e">
        <f t="shared" si="113"/>
        <v>#VALUE!</v>
      </c>
    </row>
    <row r="3602" spans="7:8">
      <c r="G3602" s="63" t="e">
        <f t="shared" si="112"/>
        <v>#VALUE!</v>
      </c>
      <c r="H3602" s="63" t="e">
        <f t="shared" si="113"/>
        <v>#VALUE!</v>
      </c>
    </row>
    <row r="3603" spans="7:8">
      <c r="G3603" s="63" t="e">
        <f t="shared" si="112"/>
        <v>#VALUE!</v>
      </c>
      <c r="H3603" s="63" t="e">
        <f t="shared" si="113"/>
        <v>#VALUE!</v>
      </c>
    </row>
    <row r="3604" spans="7:8">
      <c r="G3604" s="63" t="e">
        <f t="shared" si="112"/>
        <v>#VALUE!</v>
      </c>
      <c r="H3604" s="63" t="e">
        <f t="shared" si="113"/>
        <v>#VALUE!</v>
      </c>
    </row>
    <row r="3605" spans="7:8">
      <c r="G3605" s="63" t="e">
        <f t="shared" si="112"/>
        <v>#VALUE!</v>
      </c>
      <c r="H3605" s="63" t="e">
        <f t="shared" si="113"/>
        <v>#VALUE!</v>
      </c>
    </row>
    <row r="3606" spans="7:8">
      <c r="G3606" s="63" t="e">
        <f t="shared" si="112"/>
        <v>#VALUE!</v>
      </c>
      <c r="H3606" s="63" t="e">
        <f t="shared" si="113"/>
        <v>#VALUE!</v>
      </c>
    </row>
    <row r="3607" spans="7:8">
      <c r="G3607" s="63" t="e">
        <f t="shared" si="112"/>
        <v>#VALUE!</v>
      </c>
      <c r="H3607" s="63" t="e">
        <f t="shared" si="113"/>
        <v>#VALUE!</v>
      </c>
    </row>
    <row r="3608" spans="7:8">
      <c r="G3608" s="63" t="e">
        <f t="shared" si="112"/>
        <v>#VALUE!</v>
      </c>
      <c r="H3608" s="63" t="e">
        <f t="shared" si="113"/>
        <v>#VALUE!</v>
      </c>
    </row>
    <row r="3609" spans="7:8">
      <c r="G3609" s="63" t="e">
        <f t="shared" si="112"/>
        <v>#VALUE!</v>
      </c>
      <c r="H3609" s="63" t="e">
        <f t="shared" si="113"/>
        <v>#VALUE!</v>
      </c>
    </row>
    <row r="3610" spans="7:8">
      <c r="G3610" s="63" t="e">
        <f t="shared" si="112"/>
        <v>#VALUE!</v>
      </c>
      <c r="H3610" s="63" t="e">
        <f t="shared" si="113"/>
        <v>#VALUE!</v>
      </c>
    </row>
    <row r="3611" spans="7:8">
      <c r="G3611" s="63" t="e">
        <f t="shared" si="112"/>
        <v>#VALUE!</v>
      </c>
      <c r="H3611" s="63" t="e">
        <f t="shared" si="113"/>
        <v>#VALUE!</v>
      </c>
    </row>
    <row r="3612" spans="7:8">
      <c r="G3612" s="63" t="e">
        <f t="shared" si="112"/>
        <v>#VALUE!</v>
      </c>
      <c r="H3612" s="63" t="e">
        <f t="shared" si="113"/>
        <v>#VALUE!</v>
      </c>
    </row>
    <row r="3613" spans="7:8">
      <c r="G3613" s="63" t="e">
        <f t="shared" si="112"/>
        <v>#VALUE!</v>
      </c>
      <c r="H3613" s="63" t="e">
        <f t="shared" si="113"/>
        <v>#VALUE!</v>
      </c>
    </row>
    <row r="3614" spans="7:8">
      <c r="G3614" s="63" t="e">
        <f t="shared" si="112"/>
        <v>#VALUE!</v>
      </c>
      <c r="H3614" s="63" t="e">
        <f t="shared" si="113"/>
        <v>#VALUE!</v>
      </c>
    </row>
    <row r="3615" spans="7:8">
      <c r="G3615" s="63" t="e">
        <f t="shared" si="112"/>
        <v>#VALUE!</v>
      </c>
      <c r="H3615" s="63" t="e">
        <f t="shared" si="113"/>
        <v>#VALUE!</v>
      </c>
    </row>
    <row r="3616" spans="7:8">
      <c r="G3616" s="63" t="e">
        <f t="shared" si="112"/>
        <v>#VALUE!</v>
      </c>
      <c r="H3616" s="63" t="e">
        <f t="shared" si="113"/>
        <v>#VALUE!</v>
      </c>
    </row>
    <row r="3617" spans="7:8">
      <c r="G3617" s="63" t="e">
        <f t="shared" si="112"/>
        <v>#VALUE!</v>
      </c>
      <c r="H3617" s="63" t="e">
        <f t="shared" si="113"/>
        <v>#VALUE!</v>
      </c>
    </row>
    <row r="3618" spans="7:8">
      <c r="G3618" s="63" t="e">
        <f t="shared" si="112"/>
        <v>#VALUE!</v>
      </c>
      <c r="H3618" s="63" t="e">
        <f t="shared" si="113"/>
        <v>#VALUE!</v>
      </c>
    </row>
    <row r="3619" spans="7:8">
      <c r="G3619" s="63" t="e">
        <f t="shared" si="112"/>
        <v>#VALUE!</v>
      </c>
      <c r="H3619" s="63" t="e">
        <f t="shared" si="113"/>
        <v>#VALUE!</v>
      </c>
    </row>
    <row r="3620" spans="7:8">
      <c r="G3620" s="63" t="e">
        <f t="shared" si="112"/>
        <v>#VALUE!</v>
      </c>
      <c r="H3620" s="63" t="e">
        <f t="shared" si="113"/>
        <v>#VALUE!</v>
      </c>
    </row>
    <row r="3621" spans="7:8">
      <c r="G3621" s="63" t="e">
        <f t="shared" si="112"/>
        <v>#VALUE!</v>
      </c>
      <c r="H3621" s="63" t="e">
        <f t="shared" si="113"/>
        <v>#VALUE!</v>
      </c>
    </row>
    <row r="3622" spans="7:8">
      <c r="G3622" s="63" t="e">
        <f t="shared" si="112"/>
        <v>#VALUE!</v>
      </c>
      <c r="H3622" s="63" t="e">
        <f t="shared" si="113"/>
        <v>#VALUE!</v>
      </c>
    </row>
    <row r="3623" spans="7:8">
      <c r="G3623" s="63" t="e">
        <f t="shared" si="112"/>
        <v>#VALUE!</v>
      </c>
      <c r="H3623" s="63" t="e">
        <f t="shared" si="113"/>
        <v>#VALUE!</v>
      </c>
    </row>
    <row r="3624" spans="7:8">
      <c r="G3624" s="63" t="e">
        <f t="shared" si="112"/>
        <v>#VALUE!</v>
      </c>
      <c r="H3624" s="63" t="e">
        <f t="shared" si="113"/>
        <v>#VALUE!</v>
      </c>
    </row>
    <row r="3625" spans="7:8">
      <c r="G3625" s="63" t="e">
        <f t="shared" si="112"/>
        <v>#VALUE!</v>
      </c>
      <c r="H3625" s="63" t="e">
        <f t="shared" si="113"/>
        <v>#VALUE!</v>
      </c>
    </row>
    <row r="3626" spans="7:8">
      <c r="G3626" s="63" t="e">
        <f t="shared" si="112"/>
        <v>#VALUE!</v>
      </c>
      <c r="H3626" s="63" t="e">
        <f t="shared" si="113"/>
        <v>#VALUE!</v>
      </c>
    </row>
    <row r="3627" spans="7:8">
      <c r="G3627" s="63" t="e">
        <f t="shared" si="112"/>
        <v>#VALUE!</v>
      </c>
      <c r="H3627" s="63" t="e">
        <f t="shared" si="113"/>
        <v>#VALUE!</v>
      </c>
    </row>
    <row r="3628" spans="7:8">
      <c r="G3628" s="63" t="e">
        <f t="shared" si="112"/>
        <v>#VALUE!</v>
      </c>
      <c r="H3628" s="63" t="e">
        <f t="shared" si="113"/>
        <v>#VALUE!</v>
      </c>
    </row>
    <row r="3629" spans="7:8">
      <c r="G3629" s="63" t="e">
        <f t="shared" si="112"/>
        <v>#VALUE!</v>
      </c>
      <c r="H3629" s="63" t="e">
        <f t="shared" si="113"/>
        <v>#VALUE!</v>
      </c>
    </row>
    <row r="3630" spans="7:8">
      <c r="G3630" s="63" t="e">
        <f t="shared" si="112"/>
        <v>#VALUE!</v>
      </c>
      <c r="H3630" s="63" t="e">
        <f t="shared" si="113"/>
        <v>#VALUE!</v>
      </c>
    </row>
    <row r="3631" spans="7:8">
      <c r="G3631" s="63" t="e">
        <f t="shared" si="112"/>
        <v>#VALUE!</v>
      </c>
      <c r="H3631" s="63" t="e">
        <f t="shared" si="113"/>
        <v>#VALUE!</v>
      </c>
    </row>
    <row r="3632" spans="7:8">
      <c r="G3632" s="63" t="e">
        <f t="shared" si="112"/>
        <v>#VALUE!</v>
      </c>
      <c r="H3632" s="63" t="e">
        <f t="shared" si="113"/>
        <v>#VALUE!</v>
      </c>
    </row>
    <row r="3633" spans="7:8">
      <c r="G3633" s="63" t="e">
        <f t="shared" si="112"/>
        <v>#VALUE!</v>
      </c>
      <c r="H3633" s="63" t="e">
        <f t="shared" si="113"/>
        <v>#VALUE!</v>
      </c>
    </row>
    <row r="3634" spans="7:8">
      <c r="G3634" s="63" t="e">
        <f t="shared" si="112"/>
        <v>#VALUE!</v>
      </c>
      <c r="H3634" s="63" t="e">
        <f t="shared" si="113"/>
        <v>#VALUE!</v>
      </c>
    </row>
    <row r="3635" spans="7:8">
      <c r="G3635" s="63" t="e">
        <f t="shared" si="112"/>
        <v>#VALUE!</v>
      </c>
      <c r="H3635" s="63" t="e">
        <f t="shared" si="113"/>
        <v>#VALUE!</v>
      </c>
    </row>
    <row r="3636" spans="7:8">
      <c r="G3636" s="63" t="e">
        <f t="shared" si="112"/>
        <v>#VALUE!</v>
      </c>
      <c r="H3636" s="63" t="e">
        <f t="shared" si="113"/>
        <v>#VALUE!</v>
      </c>
    </row>
    <row r="3637" spans="7:8">
      <c r="G3637" s="63" t="e">
        <f t="shared" si="112"/>
        <v>#VALUE!</v>
      </c>
      <c r="H3637" s="63" t="e">
        <f t="shared" si="113"/>
        <v>#VALUE!</v>
      </c>
    </row>
    <row r="3638" spans="7:8">
      <c r="G3638" s="63" t="e">
        <f t="shared" si="112"/>
        <v>#VALUE!</v>
      </c>
      <c r="H3638" s="63" t="e">
        <f t="shared" si="113"/>
        <v>#VALUE!</v>
      </c>
    </row>
    <row r="3639" spans="7:8">
      <c r="G3639" s="63" t="e">
        <f t="shared" si="112"/>
        <v>#VALUE!</v>
      </c>
      <c r="H3639" s="63" t="e">
        <f t="shared" si="113"/>
        <v>#VALUE!</v>
      </c>
    </row>
    <row r="3640" spans="7:8">
      <c r="G3640" s="63" t="e">
        <f t="shared" si="112"/>
        <v>#VALUE!</v>
      </c>
      <c r="H3640" s="63" t="e">
        <f t="shared" si="113"/>
        <v>#VALUE!</v>
      </c>
    </row>
    <row r="3641" spans="7:8">
      <c r="G3641" s="63" t="e">
        <f t="shared" si="112"/>
        <v>#VALUE!</v>
      </c>
      <c r="H3641" s="63" t="e">
        <f t="shared" si="113"/>
        <v>#VALUE!</v>
      </c>
    </row>
    <row r="3642" spans="7:8">
      <c r="G3642" s="63" t="e">
        <f t="shared" si="112"/>
        <v>#VALUE!</v>
      </c>
      <c r="H3642" s="63" t="e">
        <f t="shared" si="113"/>
        <v>#VALUE!</v>
      </c>
    </row>
    <row r="3643" spans="7:8">
      <c r="G3643" s="63" t="e">
        <f t="shared" si="112"/>
        <v>#VALUE!</v>
      </c>
      <c r="H3643" s="63" t="e">
        <f t="shared" si="113"/>
        <v>#VALUE!</v>
      </c>
    </row>
    <row r="3644" spans="7:8">
      <c r="G3644" s="63" t="e">
        <f t="shared" si="112"/>
        <v>#VALUE!</v>
      </c>
      <c r="H3644" s="63" t="e">
        <f t="shared" si="113"/>
        <v>#VALUE!</v>
      </c>
    </row>
    <row r="3645" spans="7:8">
      <c r="G3645" s="63" t="e">
        <f t="shared" si="112"/>
        <v>#VALUE!</v>
      </c>
      <c r="H3645" s="63" t="e">
        <f t="shared" si="113"/>
        <v>#VALUE!</v>
      </c>
    </row>
    <row r="3646" spans="7:8">
      <c r="G3646" s="63" t="e">
        <f t="shared" si="112"/>
        <v>#VALUE!</v>
      </c>
      <c r="H3646" s="63" t="e">
        <f t="shared" si="113"/>
        <v>#VALUE!</v>
      </c>
    </row>
    <row r="3647" spans="7:8">
      <c r="G3647" s="63" t="e">
        <f t="shared" si="112"/>
        <v>#VALUE!</v>
      </c>
      <c r="H3647" s="63" t="e">
        <f t="shared" si="113"/>
        <v>#VALUE!</v>
      </c>
    </row>
    <row r="3648" spans="7:8">
      <c r="G3648" s="63" t="e">
        <f t="shared" si="112"/>
        <v>#VALUE!</v>
      </c>
      <c r="H3648" s="63" t="e">
        <f t="shared" si="113"/>
        <v>#VALUE!</v>
      </c>
    </row>
    <row r="3649" spans="7:8">
      <c r="G3649" s="63" t="e">
        <f t="shared" si="112"/>
        <v>#VALUE!</v>
      </c>
      <c r="H3649" s="63" t="e">
        <f t="shared" si="113"/>
        <v>#VALUE!</v>
      </c>
    </row>
    <row r="3650" spans="7:8">
      <c r="G3650" s="63" t="e">
        <f t="shared" si="112"/>
        <v>#VALUE!</v>
      </c>
      <c r="H3650" s="63" t="e">
        <f t="shared" si="113"/>
        <v>#VALUE!</v>
      </c>
    </row>
    <row r="3651" spans="7:8">
      <c r="G3651" s="63" t="e">
        <f t="shared" ref="G3651:G3714" si="114">IF(OR(A3651="RID_PB77",A3651="RID_PB77A3"),"WPCI77",IF(A3651="RIDTCIAS","CSCI49",IF(A3651="RID_HCPTM","CHCPT_",IF(LEFT(A3651,1)="C",A3651,MID(A3651,6,LEN(A3651)-5)))))</f>
        <v>#VALUE!</v>
      </c>
      <c r="H3651" s="63" t="e">
        <f t="shared" ref="H3651:H3714" si="115">IF(OR(G3651="MJG1",G3651="MJG2"),"MJG",G3651)&amp;"_"&amp;B3651</f>
        <v>#VALUE!</v>
      </c>
    </row>
    <row r="3652" spans="7:8">
      <c r="G3652" s="63" t="e">
        <f t="shared" si="114"/>
        <v>#VALUE!</v>
      </c>
      <c r="H3652" s="63" t="e">
        <f t="shared" si="115"/>
        <v>#VALUE!</v>
      </c>
    </row>
    <row r="3653" spans="7:8">
      <c r="G3653" s="63" t="e">
        <f t="shared" si="114"/>
        <v>#VALUE!</v>
      </c>
      <c r="H3653" s="63" t="e">
        <f t="shared" si="115"/>
        <v>#VALUE!</v>
      </c>
    </row>
    <row r="3654" spans="7:8">
      <c r="G3654" s="63" t="e">
        <f t="shared" si="114"/>
        <v>#VALUE!</v>
      </c>
      <c r="H3654" s="63" t="e">
        <f t="shared" si="115"/>
        <v>#VALUE!</v>
      </c>
    </row>
    <row r="3655" spans="7:8">
      <c r="G3655" s="63" t="e">
        <f t="shared" si="114"/>
        <v>#VALUE!</v>
      </c>
      <c r="H3655" s="63" t="e">
        <f t="shared" si="115"/>
        <v>#VALUE!</v>
      </c>
    </row>
    <row r="3656" spans="7:8">
      <c r="G3656" s="63" t="e">
        <f t="shared" si="114"/>
        <v>#VALUE!</v>
      </c>
      <c r="H3656" s="63" t="e">
        <f t="shared" si="115"/>
        <v>#VALUE!</v>
      </c>
    </row>
    <row r="3657" spans="7:8">
      <c r="G3657" s="63" t="e">
        <f t="shared" si="114"/>
        <v>#VALUE!</v>
      </c>
      <c r="H3657" s="63" t="e">
        <f t="shared" si="115"/>
        <v>#VALUE!</v>
      </c>
    </row>
    <row r="3658" spans="7:8">
      <c r="G3658" s="63" t="e">
        <f t="shared" si="114"/>
        <v>#VALUE!</v>
      </c>
      <c r="H3658" s="63" t="e">
        <f t="shared" si="115"/>
        <v>#VALUE!</v>
      </c>
    </row>
    <row r="3659" spans="7:8">
      <c r="G3659" s="63" t="e">
        <f t="shared" si="114"/>
        <v>#VALUE!</v>
      </c>
      <c r="H3659" s="63" t="e">
        <f t="shared" si="115"/>
        <v>#VALUE!</v>
      </c>
    </row>
    <row r="3660" spans="7:8">
      <c r="G3660" s="63" t="e">
        <f t="shared" si="114"/>
        <v>#VALUE!</v>
      </c>
      <c r="H3660" s="63" t="e">
        <f t="shared" si="115"/>
        <v>#VALUE!</v>
      </c>
    </row>
    <row r="3661" spans="7:8">
      <c r="G3661" s="63" t="e">
        <f t="shared" si="114"/>
        <v>#VALUE!</v>
      </c>
      <c r="H3661" s="63" t="e">
        <f t="shared" si="115"/>
        <v>#VALUE!</v>
      </c>
    </row>
    <row r="3662" spans="7:8">
      <c r="G3662" s="63" t="e">
        <f t="shared" si="114"/>
        <v>#VALUE!</v>
      </c>
      <c r="H3662" s="63" t="e">
        <f t="shared" si="115"/>
        <v>#VALUE!</v>
      </c>
    </row>
    <row r="3663" spans="7:8">
      <c r="G3663" s="63" t="e">
        <f t="shared" si="114"/>
        <v>#VALUE!</v>
      </c>
      <c r="H3663" s="63" t="e">
        <f t="shared" si="115"/>
        <v>#VALUE!</v>
      </c>
    </row>
    <row r="3664" spans="7:8">
      <c r="G3664" s="63" t="e">
        <f t="shared" si="114"/>
        <v>#VALUE!</v>
      </c>
      <c r="H3664" s="63" t="e">
        <f t="shared" si="115"/>
        <v>#VALUE!</v>
      </c>
    </row>
    <row r="3665" spans="7:8">
      <c r="G3665" s="63" t="e">
        <f t="shared" si="114"/>
        <v>#VALUE!</v>
      </c>
      <c r="H3665" s="63" t="e">
        <f t="shared" si="115"/>
        <v>#VALUE!</v>
      </c>
    </row>
    <row r="3666" spans="7:8">
      <c r="G3666" s="63" t="e">
        <f t="shared" si="114"/>
        <v>#VALUE!</v>
      </c>
      <c r="H3666" s="63" t="e">
        <f t="shared" si="115"/>
        <v>#VALUE!</v>
      </c>
    </row>
    <row r="3667" spans="7:8">
      <c r="G3667" s="63" t="e">
        <f t="shared" si="114"/>
        <v>#VALUE!</v>
      </c>
      <c r="H3667" s="63" t="e">
        <f t="shared" si="115"/>
        <v>#VALUE!</v>
      </c>
    </row>
    <row r="3668" spans="7:8">
      <c r="G3668" s="63" t="e">
        <f t="shared" si="114"/>
        <v>#VALUE!</v>
      </c>
      <c r="H3668" s="63" t="e">
        <f t="shared" si="115"/>
        <v>#VALUE!</v>
      </c>
    </row>
    <row r="3669" spans="7:8">
      <c r="G3669" s="63" t="e">
        <f t="shared" si="114"/>
        <v>#VALUE!</v>
      </c>
      <c r="H3669" s="63" t="e">
        <f t="shared" si="115"/>
        <v>#VALUE!</v>
      </c>
    </row>
    <row r="3670" spans="7:8">
      <c r="G3670" s="63" t="e">
        <f t="shared" si="114"/>
        <v>#VALUE!</v>
      </c>
      <c r="H3670" s="63" t="e">
        <f t="shared" si="115"/>
        <v>#VALUE!</v>
      </c>
    </row>
    <row r="3671" spans="7:8">
      <c r="G3671" s="63" t="e">
        <f t="shared" si="114"/>
        <v>#VALUE!</v>
      </c>
      <c r="H3671" s="63" t="e">
        <f t="shared" si="115"/>
        <v>#VALUE!</v>
      </c>
    </row>
    <row r="3672" spans="7:8">
      <c r="G3672" s="63" t="e">
        <f t="shared" si="114"/>
        <v>#VALUE!</v>
      </c>
      <c r="H3672" s="63" t="e">
        <f t="shared" si="115"/>
        <v>#VALUE!</v>
      </c>
    </row>
    <row r="3673" spans="7:8">
      <c r="G3673" s="63" t="e">
        <f t="shared" si="114"/>
        <v>#VALUE!</v>
      </c>
      <c r="H3673" s="63" t="e">
        <f t="shared" si="115"/>
        <v>#VALUE!</v>
      </c>
    </row>
    <row r="3674" spans="7:8">
      <c r="G3674" s="63" t="e">
        <f t="shared" si="114"/>
        <v>#VALUE!</v>
      </c>
      <c r="H3674" s="63" t="e">
        <f t="shared" si="115"/>
        <v>#VALUE!</v>
      </c>
    </row>
    <row r="3675" spans="7:8">
      <c r="G3675" s="63" t="e">
        <f t="shared" si="114"/>
        <v>#VALUE!</v>
      </c>
      <c r="H3675" s="63" t="e">
        <f t="shared" si="115"/>
        <v>#VALUE!</v>
      </c>
    </row>
    <row r="3676" spans="7:8">
      <c r="G3676" s="63" t="e">
        <f t="shared" si="114"/>
        <v>#VALUE!</v>
      </c>
      <c r="H3676" s="63" t="e">
        <f t="shared" si="115"/>
        <v>#VALUE!</v>
      </c>
    </row>
    <row r="3677" spans="7:8">
      <c r="G3677" s="63" t="e">
        <f t="shared" si="114"/>
        <v>#VALUE!</v>
      </c>
      <c r="H3677" s="63" t="e">
        <f t="shared" si="115"/>
        <v>#VALUE!</v>
      </c>
    </row>
    <row r="3678" spans="7:8">
      <c r="G3678" s="63" t="e">
        <f t="shared" si="114"/>
        <v>#VALUE!</v>
      </c>
      <c r="H3678" s="63" t="e">
        <f t="shared" si="115"/>
        <v>#VALUE!</v>
      </c>
    </row>
    <row r="3679" spans="7:8">
      <c r="G3679" s="63" t="e">
        <f t="shared" si="114"/>
        <v>#VALUE!</v>
      </c>
      <c r="H3679" s="63" t="e">
        <f t="shared" si="115"/>
        <v>#VALUE!</v>
      </c>
    </row>
    <row r="3680" spans="7:8">
      <c r="G3680" s="63" t="e">
        <f t="shared" si="114"/>
        <v>#VALUE!</v>
      </c>
      <c r="H3680" s="63" t="e">
        <f t="shared" si="115"/>
        <v>#VALUE!</v>
      </c>
    </row>
    <row r="3681" spans="7:8">
      <c r="G3681" s="63" t="e">
        <f t="shared" si="114"/>
        <v>#VALUE!</v>
      </c>
      <c r="H3681" s="63" t="e">
        <f t="shared" si="115"/>
        <v>#VALUE!</v>
      </c>
    </row>
    <row r="3682" spans="7:8">
      <c r="G3682" s="63" t="e">
        <f t="shared" si="114"/>
        <v>#VALUE!</v>
      </c>
      <c r="H3682" s="63" t="e">
        <f t="shared" si="115"/>
        <v>#VALUE!</v>
      </c>
    </row>
    <row r="3683" spans="7:8">
      <c r="G3683" s="63" t="e">
        <f t="shared" si="114"/>
        <v>#VALUE!</v>
      </c>
      <c r="H3683" s="63" t="e">
        <f t="shared" si="115"/>
        <v>#VALUE!</v>
      </c>
    </row>
    <row r="3684" spans="7:8">
      <c r="G3684" s="63" t="e">
        <f t="shared" si="114"/>
        <v>#VALUE!</v>
      </c>
      <c r="H3684" s="63" t="e">
        <f t="shared" si="115"/>
        <v>#VALUE!</v>
      </c>
    </row>
    <row r="3685" spans="7:8">
      <c r="G3685" s="63" t="e">
        <f t="shared" si="114"/>
        <v>#VALUE!</v>
      </c>
      <c r="H3685" s="63" t="e">
        <f t="shared" si="115"/>
        <v>#VALUE!</v>
      </c>
    </row>
    <row r="3686" spans="7:8">
      <c r="G3686" s="63" t="e">
        <f t="shared" si="114"/>
        <v>#VALUE!</v>
      </c>
      <c r="H3686" s="63" t="e">
        <f t="shared" si="115"/>
        <v>#VALUE!</v>
      </c>
    </row>
    <row r="3687" spans="7:8">
      <c r="G3687" s="63" t="e">
        <f t="shared" si="114"/>
        <v>#VALUE!</v>
      </c>
      <c r="H3687" s="63" t="e">
        <f t="shared" si="115"/>
        <v>#VALUE!</v>
      </c>
    </row>
    <row r="3688" spans="7:8">
      <c r="G3688" s="63" t="e">
        <f t="shared" si="114"/>
        <v>#VALUE!</v>
      </c>
      <c r="H3688" s="63" t="e">
        <f t="shared" si="115"/>
        <v>#VALUE!</v>
      </c>
    </row>
    <row r="3689" spans="7:8">
      <c r="G3689" s="63" t="e">
        <f t="shared" si="114"/>
        <v>#VALUE!</v>
      </c>
      <c r="H3689" s="63" t="e">
        <f t="shared" si="115"/>
        <v>#VALUE!</v>
      </c>
    </row>
    <row r="3690" spans="7:8">
      <c r="G3690" s="63" t="e">
        <f t="shared" si="114"/>
        <v>#VALUE!</v>
      </c>
      <c r="H3690" s="63" t="e">
        <f t="shared" si="115"/>
        <v>#VALUE!</v>
      </c>
    </row>
    <row r="3691" spans="7:8">
      <c r="G3691" s="63" t="e">
        <f t="shared" si="114"/>
        <v>#VALUE!</v>
      </c>
      <c r="H3691" s="63" t="e">
        <f t="shared" si="115"/>
        <v>#VALUE!</v>
      </c>
    </row>
    <row r="3692" spans="7:8">
      <c r="G3692" s="63" t="e">
        <f t="shared" si="114"/>
        <v>#VALUE!</v>
      </c>
      <c r="H3692" s="63" t="e">
        <f t="shared" si="115"/>
        <v>#VALUE!</v>
      </c>
    </row>
    <row r="3693" spans="7:8">
      <c r="G3693" s="63" t="e">
        <f t="shared" si="114"/>
        <v>#VALUE!</v>
      </c>
      <c r="H3693" s="63" t="e">
        <f t="shared" si="115"/>
        <v>#VALUE!</v>
      </c>
    </row>
    <row r="3694" spans="7:8">
      <c r="G3694" s="63" t="e">
        <f t="shared" si="114"/>
        <v>#VALUE!</v>
      </c>
      <c r="H3694" s="63" t="e">
        <f t="shared" si="115"/>
        <v>#VALUE!</v>
      </c>
    </row>
    <row r="3695" spans="7:8">
      <c r="G3695" s="63" t="e">
        <f t="shared" si="114"/>
        <v>#VALUE!</v>
      </c>
      <c r="H3695" s="63" t="e">
        <f t="shared" si="115"/>
        <v>#VALUE!</v>
      </c>
    </row>
    <row r="3696" spans="7:8">
      <c r="G3696" s="63" t="e">
        <f t="shared" si="114"/>
        <v>#VALUE!</v>
      </c>
      <c r="H3696" s="63" t="e">
        <f t="shared" si="115"/>
        <v>#VALUE!</v>
      </c>
    </row>
    <row r="3697" spans="7:8">
      <c r="G3697" s="63" t="e">
        <f t="shared" si="114"/>
        <v>#VALUE!</v>
      </c>
      <c r="H3697" s="63" t="e">
        <f t="shared" si="115"/>
        <v>#VALUE!</v>
      </c>
    </row>
    <row r="3698" spans="7:8">
      <c r="G3698" s="63" t="e">
        <f t="shared" si="114"/>
        <v>#VALUE!</v>
      </c>
      <c r="H3698" s="63" t="e">
        <f t="shared" si="115"/>
        <v>#VALUE!</v>
      </c>
    </row>
    <row r="3699" spans="7:8">
      <c r="G3699" s="63" t="e">
        <f t="shared" si="114"/>
        <v>#VALUE!</v>
      </c>
      <c r="H3699" s="63" t="e">
        <f t="shared" si="115"/>
        <v>#VALUE!</v>
      </c>
    </row>
    <row r="3700" spans="7:8">
      <c r="G3700" s="63" t="e">
        <f t="shared" si="114"/>
        <v>#VALUE!</v>
      </c>
      <c r="H3700" s="63" t="e">
        <f t="shared" si="115"/>
        <v>#VALUE!</v>
      </c>
    </row>
    <row r="3701" spans="7:8">
      <c r="G3701" s="63" t="e">
        <f t="shared" si="114"/>
        <v>#VALUE!</v>
      </c>
      <c r="H3701" s="63" t="e">
        <f t="shared" si="115"/>
        <v>#VALUE!</v>
      </c>
    </row>
    <row r="3702" spans="7:8">
      <c r="G3702" s="63" t="e">
        <f t="shared" si="114"/>
        <v>#VALUE!</v>
      </c>
      <c r="H3702" s="63" t="e">
        <f t="shared" si="115"/>
        <v>#VALUE!</v>
      </c>
    </row>
    <row r="3703" spans="7:8">
      <c r="G3703" s="63" t="e">
        <f t="shared" si="114"/>
        <v>#VALUE!</v>
      </c>
      <c r="H3703" s="63" t="e">
        <f t="shared" si="115"/>
        <v>#VALUE!</v>
      </c>
    </row>
    <row r="3704" spans="7:8">
      <c r="G3704" s="63" t="e">
        <f t="shared" si="114"/>
        <v>#VALUE!</v>
      </c>
      <c r="H3704" s="63" t="e">
        <f t="shared" si="115"/>
        <v>#VALUE!</v>
      </c>
    </row>
    <row r="3705" spans="7:8">
      <c r="G3705" s="63" t="e">
        <f t="shared" si="114"/>
        <v>#VALUE!</v>
      </c>
      <c r="H3705" s="63" t="e">
        <f t="shared" si="115"/>
        <v>#VALUE!</v>
      </c>
    </row>
    <row r="3706" spans="7:8">
      <c r="G3706" s="63" t="e">
        <f t="shared" si="114"/>
        <v>#VALUE!</v>
      </c>
      <c r="H3706" s="63" t="e">
        <f t="shared" si="115"/>
        <v>#VALUE!</v>
      </c>
    </row>
    <row r="3707" spans="7:8">
      <c r="G3707" s="63" t="e">
        <f t="shared" si="114"/>
        <v>#VALUE!</v>
      </c>
      <c r="H3707" s="63" t="e">
        <f t="shared" si="115"/>
        <v>#VALUE!</v>
      </c>
    </row>
    <row r="3708" spans="7:8">
      <c r="G3708" s="63" t="e">
        <f t="shared" si="114"/>
        <v>#VALUE!</v>
      </c>
      <c r="H3708" s="63" t="e">
        <f t="shared" si="115"/>
        <v>#VALUE!</v>
      </c>
    </row>
    <row r="3709" spans="7:8">
      <c r="G3709" s="63" t="e">
        <f t="shared" si="114"/>
        <v>#VALUE!</v>
      </c>
      <c r="H3709" s="63" t="e">
        <f t="shared" si="115"/>
        <v>#VALUE!</v>
      </c>
    </row>
    <row r="3710" spans="7:8">
      <c r="G3710" s="63" t="e">
        <f t="shared" si="114"/>
        <v>#VALUE!</v>
      </c>
      <c r="H3710" s="63" t="e">
        <f t="shared" si="115"/>
        <v>#VALUE!</v>
      </c>
    </row>
    <row r="3711" spans="7:8">
      <c r="G3711" s="63" t="e">
        <f t="shared" si="114"/>
        <v>#VALUE!</v>
      </c>
      <c r="H3711" s="63" t="e">
        <f t="shared" si="115"/>
        <v>#VALUE!</v>
      </c>
    </row>
    <row r="3712" spans="7:8">
      <c r="G3712" s="63" t="e">
        <f t="shared" si="114"/>
        <v>#VALUE!</v>
      </c>
      <c r="H3712" s="63" t="e">
        <f t="shared" si="115"/>
        <v>#VALUE!</v>
      </c>
    </row>
    <row r="3713" spans="7:8">
      <c r="G3713" s="63" t="e">
        <f t="shared" si="114"/>
        <v>#VALUE!</v>
      </c>
      <c r="H3713" s="63" t="e">
        <f t="shared" si="115"/>
        <v>#VALUE!</v>
      </c>
    </row>
    <row r="3714" spans="7:8">
      <c r="G3714" s="63" t="e">
        <f t="shared" si="114"/>
        <v>#VALUE!</v>
      </c>
      <c r="H3714" s="63" t="e">
        <f t="shared" si="115"/>
        <v>#VALUE!</v>
      </c>
    </row>
    <row r="3715" spans="7:8">
      <c r="G3715" s="63" t="e">
        <f t="shared" ref="G3715:G3778" si="116">IF(OR(A3715="RID_PB77",A3715="RID_PB77A3"),"WPCI77",IF(A3715="RIDTCIAS","CSCI49",IF(A3715="RID_HCPTM","CHCPT_",IF(LEFT(A3715,1)="C",A3715,MID(A3715,6,LEN(A3715)-5)))))</f>
        <v>#VALUE!</v>
      </c>
      <c r="H3715" s="63" t="e">
        <f t="shared" ref="H3715:H3778" si="117">IF(OR(G3715="MJG1",G3715="MJG2"),"MJG",G3715)&amp;"_"&amp;B3715</f>
        <v>#VALUE!</v>
      </c>
    </row>
    <row r="3716" spans="7:8">
      <c r="G3716" s="63" t="e">
        <f t="shared" si="116"/>
        <v>#VALUE!</v>
      </c>
      <c r="H3716" s="63" t="e">
        <f t="shared" si="117"/>
        <v>#VALUE!</v>
      </c>
    </row>
    <row r="3717" spans="7:8">
      <c r="G3717" s="63" t="e">
        <f t="shared" si="116"/>
        <v>#VALUE!</v>
      </c>
      <c r="H3717" s="63" t="e">
        <f t="shared" si="117"/>
        <v>#VALUE!</v>
      </c>
    </row>
    <row r="3718" spans="7:8">
      <c r="G3718" s="63" t="e">
        <f t="shared" si="116"/>
        <v>#VALUE!</v>
      </c>
      <c r="H3718" s="63" t="e">
        <f t="shared" si="117"/>
        <v>#VALUE!</v>
      </c>
    </row>
    <row r="3719" spans="7:8">
      <c r="G3719" s="63" t="e">
        <f t="shared" si="116"/>
        <v>#VALUE!</v>
      </c>
      <c r="H3719" s="63" t="e">
        <f t="shared" si="117"/>
        <v>#VALUE!</v>
      </c>
    </row>
    <row r="3720" spans="7:8">
      <c r="G3720" s="63" t="e">
        <f t="shared" si="116"/>
        <v>#VALUE!</v>
      </c>
      <c r="H3720" s="63" t="e">
        <f t="shared" si="117"/>
        <v>#VALUE!</v>
      </c>
    </row>
    <row r="3721" spans="7:8">
      <c r="G3721" s="63" t="e">
        <f t="shared" si="116"/>
        <v>#VALUE!</v>
      </c>
      <c r="H3721" s="63" t="e">
        <f t="shared" si="117"/>
        <v>#VALUE!</v>
      </c>
    </row>
    <row r="3722" spans="7:8">
      <c r="G3722" s="63" t="e">
        <f t="shared" si="116"/>
        <v>#VALUE!</v>
      </c>
      <c r="H3722" s="63" t="e">
        <f t="shared" si="117"/>
        <v>#VALUE!</v>
      </c>
    </row>
    <row r="3723" spans="7:8">
      <c r="G3723" s="63" t="e">
        <f t="shared" si="116"/>
        <v>#VALUE!</v>
      </c>
      <c r="H3723" s="63" t="e">
        <f t="shared" si="117"/>
        <v>#VALUE!</v>
      </c>
    </row>
    <row r="3724" spans="7:8">
      <c r="G3724" s="63" t="e">
        <f t="shared" si="116"/>
        <v>#VALUE!</v>
      </c>
      <c r="H3724" s="63" t="e">
        <f t="shared" si="117"/>
        <v>#VALUE!</v>
      </c>
    </row>
    <row r="3725" spans="7:8">
      <c r="G3725" s="63" t="e">
        <f t="shared" si="116"/>
        <v>#VALUE!</v>
      </c>
      <c r="H3725" s="63" t="e">
        <f t="shared" si="117"/>
        <v>#VALUE!</v>
      </c>
    </row>
    <row r="3726" spans="7:8">
      <c r="G3726" s="63" t="e">
        <f t="shared" si="116"/>
        <v>#VALUE!</v>
      </c>
      <c r="H3726" s="63" t="e">
        <f t="shared" si="117"/>
        <v>#VALUE!</v>
      </c>
    </row>
    <row r="3727" spans="7:8">
      <c r="G3727" s="63" t="e">
        <f t="shared" si="116"/>
        <v>#VALUE!</v>
      </c>
      <c r="H3727" s="63" t="e">
        <f t="shared" si="117"/>
        <v>#VALUE!</v>
      </c>
    </row>
    <row r="3728" spans="7:8">
      <c r="G3728" s="63" t="e">
        <f t="shared" si="116"/>
        <v>#VALUE!</v>
      </c>
      <c r="H3728" s="63" t="e">
        <f t="shared" si="117"/>
        <v>#VALUE!</v>
      </c>
    </row>
    <row r="3729" spans="7:8">
      <c r="G3729" s="63" t="e">
        <f t="shared" si="116"/>
        <v>#VALUE!</v>
      </c>
      <c r="H3729" s="63" t="e">
        <f t="shared" si="117"/>
        <v>#VALUE!</v>
      </c>
    </row>
    <row r="3730" spans="7:8">
      <c r="G3730" s="63" t="e">
        <f t="shared" si="116"/>
        <v>#VALUE!</v>
      </c>
      <c r="H3730" s="63" t="e">
        <f t="shared" si="117"/>
        <v>#VALUE!</v>
      </c>
    </row>
    <row r="3731" spans="7:8">
      <c r="G3731" s="63" t="e">
        <f t="shared" si="116"/>
        <v>#VALUE!</v>
      </c>
      <c r="H3731" s="63" t="e">
        <f t="shared" si="117"/>
        <v>#VALUE!</v>
      </c>
    </row>
    <row r="3732" spans="7:8">
      <c r="G3732" s="63" t="e">
        <f t="shared" si="116"/>
        <v>#VALUE!</v>
      </c>
      <c r="H3732" s="63" t="e">
        <f t="shared" si="117"/>
        <v>#VALUE!</v>
      </c>
    </row>
    <row r="3733" spans="7:8">
      <c r="G3733" s="63" t="e">
        <f t="shared" si="116"/>
        <v>#VALUE!</v>
      </c>
      <c r="H3733" s="63" t="e">
        <f t="shared" si="117"/>
        <v>#VALUE!</v>
      </c>
    </row>
    <row r="3734" spans="7:8">
      <c r="G3734" s="63" t="e">
        <f t="shared" si="116"/>
        <v>#VALUE!</v>
      </c>
      <c r="H3734" s="63" t="e">
        <f t="shared" si="117"/>
        <v>#VALUE!</v>
      </c>
    </row>
    <row r="3735" spans="7:8">
      <c r="G3735" s="63" t="e">
        <f t="shared" si="116"/>
        <v>#VALUE!</v>
      </c>
      <c r="H3735" s="63" t="e">
        <f t="shared" si="117"/>
        <v>#VALUE!</v>
      </c>
    </row>
    <row r="3736" spans="7:8">
      <c r="G3736" s="63" t="e">
        <f t="shared" si="116"/>
        <v>#VALUE!</v>
      </c>
      <c r="H3736" s="63" t="e">
        <f t="shared" si="117"/>
        <v>#VALUE!</v>
      </c>
    </row>
    <row r="3737" spans="7:8">
      <c r="G3737" s="63" t="e">
        <f t="shared" si="116"/>
        <v>#VALUE!</v>
      </c>
      <c r="H3737" s="63" t="e">
        <f t="shared" si="117"/>
        <v>#VALUE!</v>
      </c>
    </row>
    <row r="3738" spans="7:8">
      <c r="G3738" s="63" t="e">
        <f t="shared" si="116"/>
        <v>#VALUE!</v>
      </c>
      <c r="H3738" s="63" t="e">
        <f t="shared" si="117"/>
        <v>#VALUE!</v>
      </c>
    </row>
    <row r="3739" spans="7:8">
      <c r="G3739" s="63" t="e">
        <f t="shared" si="116"/>
        <v>#VALUE!</v>
      </c>
      <c r="H3739" s="63" t="e">
        <f t="shared" si="117"/>
        <v>#VALUE!</v>
      </c>
    </row>
    <row r="3740" spans="7:8">
      <c r="G3740" s="63" t="e">
        <f t="shared" si="116"/>
        <v>#VALUE!</v>
      </c>
      <c r="H3740" s="63" t="e">
        <f t="shared" si="117"/>
        <v>#VALUE!</v>
      </c>
    </row>
    <row r="3741" spans="7:8">
      <c r="G3741" s="63" t="e">
        <f t="shared" si="116"/>
        <v>#VALUE!</v>
      </c>
      <c r="H3741" s="63" t="e">
        <f t="shared" si="117"/>
        <v>#VALUE!</v>
      </c>
    </row>
    <row r="3742" spans="7:8">
      <c r="G3742" s="63" t="e">
        <f t="shared" si="116"/>
        <v>#VALUE!</v>
      </c>
      <c r="H3742" s="63" t="e">
        <f t="shared" si="117"/>
        <v>#VALUE!</v>
      </c>
    </row>
    <row r="3743" spans="7:8">
      <c r="G3743" s="63" t="e">
        <f t="shared" si="116"/>
        <v>#VALUE!</v>
      </c>
      <c r="H3743" s="63" t="e">
        <f t="shared" si="117"/>
        <v>#VALUE!</v>
      </c>
    </row>
    <row r="3744" spans="7:8">
      <c r="G3744" s="63" t="e">
        <f t="shared" si="116"/>
        <v>#VALUE!</v>
      </c>
      <c r="H3744" s="63" t="e">
        <f t="shared" si="117"/>
        <v>#VALUE!</v>
      </c>
    </row>
    <row r="3745" spans="7:8">
      <c r="G3745" s="63" t="e">
        <f t="shared" si="116"/>
        <v>#VALUE!</v>
      </c>
      <c r="H3745" s="63" t="e">
        <f t="shared" si="117"/>
        <v>#VALUE!</v>
      </c>
    </row>
    <row r="3746" spans="7:8">
      <c r="G3746" s="63" t="e">
        <f t="shared" si="116"/>
        <v>#VALUE!</v>
      </c>
      <c r="H3746" s="63" t="e">
        <f t="shared" si="117"/>
        <v>#VALUE!</v>
      </c>
    </row>
    <row r="3747" spans="7:8">
      <c r="G3747" s="63" t="e">
        <f t="shared" si="116"/>
        <v>#VALUE!</v>
      </c>
      <c r="H3747" s="63" t="e">
        <f t="shared" si="117"/>
        <v>#VALUE!</v>
      </c>
    </row>
    <row r="3748" spans="7:8">
      <c r="G3748" s="63" t="e">
        <f t="shared" si="116"/>
        <v>#VALUE!</v>
      </c>
      <c r="H3748" s="63" t="e">
        <f t="shared" si="117"/>
        <v>#VALUE!</v>
      </c>
    </row>
    <row r="3749" spans="7:8">
      <c r="G3749" s="63" t="e">
        <f t="shared" si="116"/>
        <v>#VALUE!</v>
      </c>
      <c r="H3749" s="63" t="e">
        <f t="shared" si="117"/>
        <v>#VALUE!</v>
      </c>
    </row>
    <row r="3750" spans="7:8">
      <c r="G3750" s="63" t="e">
        <f t="shared" si="116"/>
        <v>#VALUE!</v>
      </c>
      <c r="H3750" s="63" t="e">
        <f t="shared" si="117"/>
        <v>#VALUE!</v>
      </c>
    </row>
    <row r="3751" spans="7:8">
      <c r="G3751" s="63" t="e">
        <f t="shared" si="116"/>
        <v>#VALUE!</v>
      </c>
      <c r="H3751" s="63" t="e">
        <f t="shared" si="117"/>
        <v>#VALUE!</v>
      </c>
    </row>
    <row r="3752" spans="7:8">
      <c r="G3752" s="63" t="e">
        <f t="shared" si="116"/>
        <v>#VALUE!</v>
      </c>
      <c r="H3752" s="63" t="e">
        <f t="shared" si="117"/>
        <v>#VALUE!</v>
      </c>
    </row>
    <row r="3753" spans="7:8">
      <c r="G3753" s="63" t="e">
        <f t="shared" si="116"/>
        <v>#VALUE!</v>
      </c>
      <c r="H3753" s="63" t="e">
        <f t="shared" si="117"/>
        <v>#VALUE!</v>
      </c>
    </row>
    <row r="3754" spans="7:8">
      <c r="G3754" s="63" t="e">
        <f t="shared" si="116"/>
        <v>#VALUE!</v>
      </c>
      <c r="H3754" s="63" t="e">
        <f t="shared" si="117"/>
        <v>#VALUE!</v>
      </c>
    </row>
    <row r="3755" spans="7:8">
      <c r="G3755" s="63" t="e">
        <f t="shared" si="116"/>
        <v>#VALUE!</v>
      </c>
      <c r="H3755" s="63" t="e">
        <f t="shared" si="117"/>
        <v>#VALUE!</v>
      </c>
    </row>
    <row r="3756" spans="7:8">
      <c r="G3756" s="63" t="e">
        <f t="shared" si="116"/>
        <v>#VALUE!</v>
      </c>
      <c r="H3756" s="63" t="e">
        <f t="shared" si="117"/>
        <v>#VALUE!</v>
      </c>
    </row>
    <row r="3757" spans="7:8">
      <c r="G3757" s="63" t="e">
        <f t="shared" si="116"/>
        <v>#VALUE!</v>
      </c>
      <c r="H3757" s="63" t="e">
        <f t="shared" si="117"/>
        <v>#VALUE!</v>
      </c>
    </row>
    <row r="3758" spans="7:8">
      <c r="G3758" s="63" t="e">
        <f t="shared" si="116"/>
        <v>#VALUE!</v>
      </c>
      <c r="H3758" s="63" t="e">
        <f t="shared" si="117"/>
        <v>#VALUE!</v>
      </c>
    </row>
    <row r="3759" spans="7:8">
      <c r="G3759" s="63" t="e">
        <f t="shared" si="116"/>
        <v>#VALUE!</v>
      </c>
      <c r="H3759" s="63" t="e">
        <f t="shared" si="117"/>
        <v>#VALUE!</v>
      </c>
    </row>
    <row r="3760" spans="7:8">
      <c r="G3760" s="63" t="e">
        <f t="shared" si="116"/>
        <v>#VALUE!</v>
      </c>
      <c r="H3760" s="63" t="e">
        <f t="shared" si="117"/>
        <v>#VALUE!</v>
      </c>
    </row>
    <row r="3761" spans="7:8">
      <c r="G3761" s="63" t="e">
        <f t="shared" si="116"/>
        <v>#VALUE!</v>
      </c>
      <c r="H3761" s="63" t="e">
        <f t="shared" si="117"/>
        <v>#VALUE!</v>
      </c>
    </row>
    <row r="3762" spans="7:8">
      <c r="G3762" s="63" t="e">
        <f t="shared" si="116"/>
        <v>#VALUE!</v>
      </c>
      <c r="H3762" s="63" t="e">
        <f t="shared" si="117"/>
        <v>#VALUE!</v>
      </c>
    </row>
    <row r="3763" spans="7:8">
      <c r="G3763" s="63" t="e">
        <f t="shared" si="116"/>
        <v>#VALUE!</v>
      </c>
      <c r="H3763" s="63" t="e">
        <f t="shared" si="117"/>
        <v>#VALUE!</v>
      </c>
    </row>
    <row r="3764" spans="7:8">
      <c r="G3764" s="63" t="e">
        <f t="shared" si="116"/>
        <v>#VALUE!</v>
      </c>
      <c r="H3764" s="63" t="e">
        <f t="shared" si="117"/>
        <v>#VALUE!</v>
      </c>
    </row>
    <row r="3765" spans="7:8">
      <c r="G3765" s="63" t="e">
        <f t="shared" si="116"/>
        <v>#VALUE!</v>
      </c>
      <c r="H3765" s="63" t="e">
        <f t="shared" si="117"/>
        <v>#VALUE!</v>
      </c>
    </row>
    <row r="3766" spans="7:8">
      <c r="G3766" s="63" t="e">
        <f t="shared" si="116"/>
        <v>#VALUE!</v>
      </c>
      <c r="H3766" s="63" t="e">
        <f t="shared" si="117"/>
        <v>#VALUE!</v>
      </c>
    </row>
    <row r="3767" spans="7:8">
      <c r="G3767" s="63" t="e">
        <f t="shared" si="116"/>
        <v>#VALUE!</v>
      </c>
      <c r="H3767" s="63" t="e">
        <f t="shared" si="117"/>
        <v>#VALUE!</v>
      </c>
    </row>
    <row r="3768" spans="7:8">
      <c r="G3768" s="63" t="e">
        <f t="shared" si="116"/>
        <v>#VALUE!</v>
      </c>
      <c r="H3768" s="63" t="e">
        <f t="shared" si="117"/>
        <v>#VALUE!</v>
      </c>
    </row>
    <row r="3769" spans="7:8">
      <c r="G3769" s="63" t="e">
        <f t="shared" si="116"/>
        <v>#VALUE!</v>
      </c>
      <c r="H3769" s="63" t="e">
        <f t="shared" si="117"/>
        <v>#VALUE!</v>
      </c>
    </row>
    <row r="3770" spans="7:8">
      <c r="G3770" s="63" t="e">
        <f t="shared" si="116"/>
        <v>#VALUE!</v>
      </c>
      <c r="H3770" s="63" t="e">
        <f t="shared" si="117"/>
        <v>#VALUE!</v>
      </c>
    </row>
    <row r="3771" spans="7:8">
      <c r="G3771" s="63" t="e">
        <f t="shared" si="116"/>
        <v>#VALUE!</v>
      </c>
      <c r="H3771" s="63" t="e">
        <f t="shared" si="117"/>
        <v>#VALUE!</v>
      </c>
    </row>
    <row r="3772" spans="7:8">
      <c r="G3772" s="63" t="e">
        <f t="shared" si="116"/>
        <v>#VALUE!</v>
      </c>
      <c r="H3772" s="63" t="e">
        <f t="shared" si="117"/>
        <v>#VALUE!</v>
      </c>
    </row>
    <row r="3773" spans="7:8">
      <c r="G3773" s="63" t="e">
        <f t="shared" si="116"/>
        <v>#VALUE!</v>
      </c>
      <c r="H3773" s="63" t="e">
        <f t="shared" si="117"/>
        <v>#VALUE!</v>
      </c>
    </row>
    <row r="3774" spans="7:8">
      <c r="G3774" s="63" t="e">
        <f t="shared" si="116"/>
        <v>#VALUE!</v>
      </c>
      <c r="H3774" s="63" t="e">
        <f t="shared" si="117"/>
        <v>#VALUE!</v>
      </c>
    </row>
    <row r="3775" spans="7:8">
      <c r="G3775" s="63" t="e">
        <f t="shared" si="116"/>
        <v>#VALUE!</v>
      </c>
      <c r="H3775" s="63" t="e">
        <f t="shared" si="117"/>
        <v>#VALUE!</v>
      </c>
    </row>
    <row r="3776" spans="7:8">
      <c r="G3776" s="63" t="e">
        <f t="shared" si="116"/>
        <v>#VALUE!</v>
      </c>
      <c r="H3776" s="63" t="e">
        <f t="shared" si="117"/>
        <v>#VALUE!</v>
      </c>
    </row>
    <row r="3777" spans="7:8">
      <c r="G3777" s="63" t="e">
        <f t="shared" si="116"/>
        <v>#VALUE!</v>
      </c>
      <c r="H3777" s="63" t="e">
        <f t="shared" si="117"/>
        <v>#VALUE!</v>
      </c>
    </row>
    <row r="3778" spans="7:8">
      <c r="G3778" s="63" t="e">
        <f t="shared" si="116"/>
        <v>#VALUE!</v>
      </c>
      <c r="H3778" s="63" t="e">
        <f t="shared" si="117"/>
        <v>#VALUE!</v>
      </c>
    </row>
    <row r="3779" spans="7:8">
      <c r="G3779" s="63" t="e">
        <f t="shared" ref="G3779:G3842" si="118">IF(OR(A3779="RID_PB77",A3779="RID_PB77A3"),"WPCI77",IF(A3779="RIDTCIAS","CSCI49",IF(A3779="RID_HCPTM","CHCPT_",IF(LEFT(A3779,1)="C",A3779,MID(A3779,6,LEN(A3779)-5)))))</f>
        <v>#VALUE!</v>
      </c>
      <c r="H3779" s="63" t="e">
        <f t="shared" ref="H3779:H3842" si="119">IF(OR(G3779="MJG1",G3779="MJG2"),"MJG",G3779)&amp;"_"&amp;B3779</f>
        <v>#VALUE!</v>
      </c>
    </row>
    <row r="3780" spans="7:8">
      <c r="G3780" s="63" t="e">
        <f t="shared" si="118"/>
        <v>#VALUE!</v>
      </c>
      <c r="H3780" s="63" t="e">
        <f t="shared" si="119"/>
        <v>#VALUE!</v>
      </c>
    </row>
    <row r="3781" spans="7:8">
      <c r="G3781" s="63" t="e">
        <f t="shared" si="118"/>
        <v>#VALUE!</v>
      </c>
      <c r="H3781" s="63" t="e">
        <f t="shared" si="119"/>
        <v>#VALUE!</v>
      </c>
    </row>
    <row r="3782" spans="7:8">
      <c r="G3782" s="63" t="e">
        <f t="shared" si="118"/>
        <v>#VALUE!</v>
      </c>
      <c r="H3782" s="63" t="e">
        <f t="shared" si="119"/>
        <v>#VALUE!</v>
      </c>
    </row>
    <row r="3783" spans="7:8">
      <c r="G3783" s="63" t="e">
        <f t="shared" si="118"/>
        <v>#VALUE!</v>
      </c>
      <c r="H3783" s="63" t="e">
        <f t="shared" si="119"/>
        <v>#VALUE!</v>
      </c>
    </row>
    <row r="3784" spans="7:8">
      <c r="G3784" s="63" t="e">
        <f t="shared" si="118"/>
        <v>#VALUE!</v>
      </c>
      <c r="H3784" s="63" t="e">
        <f t="shared" si="119"/>
        <v>#VALUE!</v>
      </c>
    </row>
    <row r="3785" spans="7:8">
      <c r="G3785" s="63" t="e">
        <f t="shared" si="118"/>
        <v>#VALUE!</v>
      </c>
      <c r="H3785" s="63" t="e">
        <f t="shared" si="119"/>
        <v>#VALUE!</v>
      </c>
    </row>
    <row r="3786" spans="7:8">
      <c r="G3786" s="63" t="e">
        <f t="shared" si="118"/>
        <v>#VALUE!</v>
      </c>
      <c r="H3786" s="63" t="e">
        <f t="shared" si="119"/>
        <v>#VALUE!</v>
      </c>
    </row>
    <row r="3787" spans="7:8">
      <c r="G3787" s="63" t="e">
        <f t="shared" si="118"/>
        <v>#VALUE!</v>
      </c>
      <c r="H3787" s="63" t="e">
        <f t="shared" si="119"/>
        <v>#VALUE!</v>
      </c>
    </row>
    <row r="3788" spans="7:8">
      <c r="G3788" s="63" t="e">
        <f t="shared" si="118"/>
        <v>#VALUE!</v>
      </c>
      <c r="H3788" s="63" t="e">
        <f t="shared" si="119"/>
        <v>#VALUE!</v>
      </c>
    </row>
    <row r="3789" spans="7:8">
      <c r="G3789" s="63" t="e">
        <f t="shared" si="118"/>
        <v>#VALUE!</v>
      </c>
      <c r="H3789" s="63" t="e">
        <f t="shared" si="119"/>
        <v>#VALUE!</v>
      </c>
    </row>
    <row r="3790" spans="7:8">
      <c r="G3790" s="63" t="e">
        <f t="shared" si="118"/>
        <v>#VALUE!</v>
      </c>
      <c r="H3790" s="63" t="e">
        <f t="shared" si="119"/>
        <v>#VALUE!</v>
      </c>
    </row>
    <row r="3791" spans="7:8">
      <c r="G3791" s="63" t="e">
        <f t="shared" si="118"/>
        <v>#VALUE!</v>
      </c>
      <c r="H3791" s="63" t="e">
        <f t="shared" si="119"/>
        <v>#VALUE!</v>
      </c>
    </row>
    <row r="3792" spans="7:8">
      <c r="G3792" s="63" t="e">
        <f t="shared" si="118"/>
        <v>#VALUE!</v>
      </c>
      <c r="H3792" s="63" t="e">
        <f t="shared" si="119"/>
        <v>#VALUE!</v>
      </c>
    </row>
    <row r="3793" spans="7:8">
      <c r="G3793" s="63" t="e">
        <f t="shared" si="118"/>
        <v>#VALUE!</v>
      </c>
      <c r="H3793" s="63" t="e">
        <f t="shared" si="119"/>
        <v>#VALUE!</v>
      </c>
    </row>
    <row r="3794" spans="7:8">
      <c r="G3794" s="63" t="e">
        <f t="shared" si="118"/>
        <v>#VALUE!</v>
      </c>
      <c r="H3794" s="63" t="e">
        <f t="shared" si="119"/>
        <v>#VALUE!</v>
      </c>
    </row>
    <row r="3795" spans="7:8">
      <c r="G3795" s="63" t="e">
        <f t="shared" si="118"/>
        <v>#VALUE!</v>
      </c>
      <c r="H3795" s="63" t="e">
        <f t="shared" si="119"/>
        <v>#VALUE!</v>
      </c>
    </row>
    <row r="3796" spans="7:8">
      <c r="G3796" s="63" t="e">
        <f t="shared" si="118"/>
        <v>#VALUE!</v>
      </c>
      <c r="H3796" s="63" t="e">
        <f t="shared" si="119"/>
        <v>#VALUE!</v>
      </c>
    </row>
    <row r="3797" spans="7:8">
      <c r="G3797" s="63" t="e">
        <f t="shared" si="118"/>
        <v>#VALUE!</v>
      </c>
      <c r="H3797" s="63" t="e">
        <f t="shared" si="119"/>
        <v>#VALUE!</v>
      </c>
    </row>
    <row r="3798" spans="7:8">
      <c r="G3798" s="63" t="e">
        <f t="shared" si="118"/>
        <v>#VALUE!</v>
      </c>
      <c r="H3798" s="63" t="e">
        <f t="shared" si="119"/>
        <v>#VALUE!</v>
      </c>
    </row>
    <row r="3799" spans="7:8">
      <c r="G3799" s="63" t="e">
        <f t="shared" si="118"/>
        <v>#VALUE!</v>
      </c>
      <c r="H3799" s="63" t="e">
        <f t="shared" si="119"/>
        <v>#VALUE!</v>
      </c>
    </row>
    <row r="3800" spans="7:8">
      <c r="G3800" s="63" t="e">
        <f t="shared" si="118"/>
        <v>#VALUE!</v>
      </c>
      <c r="H3800" s="63" t="e">
        <f t="shared" si="119"/>
        <v>#VALUE!</v>
      </c>
    </row>
    <row r="3801" spans="7:8">
      <c r="G3801" s="63" t="e">
        <f t="shared" si="118"/>
        <v>#VALUE!</v>
      </c>
      <c r="H3801" s="63" t="e">
        <f t="shared" si="119"/>
        <v>#VALUE!</v>
      </c>
    </row>
    <row r="3802" spans="7:8">
      <c r="G3802" s="63" t="e">
        <f t="shared" si="118"/>
        <v>#VALUE!</v>
      </c>
      <c r="H3802" s="63" t="e">
        <f t="shared" si="119"/>
        <v>#VALUE!</v>
      </c>
    </row>
    <row r="3803" spans="7:8">
      <c r="G3803" s="63" t="e">
        <f t="shared" si="118"/>
        <v>#VALUE!</v>
      </c>
      <c r="H3803" s="63" t="e">
        <f t="shared" si="119"/>
        <v>#VALUE!</v>
      </c>
    </row>
    <row r="3804" spans="7:8">
      <c r="G3804" s="63" t="e">
        <f t="shared" si="118"/>
        <v>#VALUE!</v>
      </c>
      <c r="H3804" s="63" t="e">
        <f t="shared" si="119"/>
        <v>#VALUE!</v>
      </c>
    </row>
    <row r="3805" spans="7:8">
      <c r="G3805" s="63" t="e">
        <f t="shared" si="118"/>
        <v>#VALUE!</v>
      </c>
      <c r="H3805" s="63" t="e">
        <f t="shared" si="119"/>
        <v>#VALUE!</v>
      </c>
    </row>
    <row r="3806" spans="7:8">
      <c r="G3806" s="63" t="e">
        <f t="shared" si="118"/>
        <v>#VALUE!</v>
      </c>
      <c r="H3806" s="63" t="e">
        <f t="shared" si="119"/>
        <v>#VALUE!</v>
      </c>
    </row>
    <row r="3807" spans="7:8">
      <c r="G3807" s="63" t="e">
        <f t="shared" si="118"/>
        <v>#VALUE!</v>
      </c>
      <c r="H3807" s="63" t="e">
        <f t="shared" si="119"/>
        <v>#VALUE!</v>
      </c>
    </row>
    <row r="3808" spans="7:8">
      <c r="G3808" s="63" t="e">
        <f t="shared" si="118"/>
        <v>#VALUE!</v>
      </c>
      <c r="H3808" s="63" t="e">
        <f t="shared" si="119"/>
        <v>#VALUE!</v>
      </c>
    </row>
    <row r="3809" spans="7:8">
      <c r="G3809" s="63" t="e">
        <f t="shared" si="118"/>
        <v>#VALUE!</v>
      </c>
      <c r="H3809" s="63" t="e">
        <f t="shared" si="119"/>
        <v>#VALUE!</v>
      </c>
    </row>
    <row r="3810" spans="7:8">
      <c r="G3810" s="63" t="e">
        <f t="shared" si="118"/>
        <v>#VALUE!</v>
      </c>
      <c r="H3810" s="63" t="e">
        <f t="shared" si="119"/>
        <v>#VALUE!</v>
      </c>
    </row>
    <row r="3811" spans="7:8">
      <c r="G3811" s="63" t="e">
        <f t="shared" si="118"/>
        <v>#VALUE!</v>
      </c>
      <c r="H3811" s="63" t="e">
        <f t="shared" si="119"/>
        <v>#VALUE!</v>
      </c>
    </row>
    <row r="3812" spans="7:8">
      <c r="G3812" s="63" t="e">
        <f t="shared" si="118"/>
        <v>#VALUE!</v>
      </c>
      <c r="H3812" s="63" t="e">
        <f t="shared" si="119"/>
        <v>#VALUE!</v>
      </c>
    </row>
    <row r="3813" spans="7:8">
      <c r="G3813" s="63" t="e">
        <f t="shared" si="118"/>
        <v>#VALUE!</v>
      </c>
      <c r="H3813" s="63" t="e">
        <f t="shared" si="119"/>
        <v>#VALUE!</v>
      </c>
    </row>
    <row r="3814" spans="7:8">
      <c r="G3814" s="63" t="e">
        <f t="shared" si="118"/>
        <v>#VALUE!</v>
      </c>
      <c r="H3814" s="63" t="e">
        <f t="shared" si="119"/>
        <v>#VALUE!</v>
      </c>
    </row>
    <row r="3815" spans="7:8">
      <c r="G3815" s="63" t="e">
        <f t="shared" si="118"/>
        <v>#VALUE!</v>
      </c>
      <c r="H3815" s="63" t="e">
        <f t="shared" si="119"/>
        <v>#VALUE!</v>
      </c>
    </row>
    <row r="3816" spans="7:8">
      <c r="G3816" s="63" t="e">
        <f t="shared" si="118"/>
        <v>#VALUE!</v>
      </c>
      <c r="H3816" s="63" t="e">
        <f t="shared" si="119"/>
        <v>#VALUE!</v>
      </c>
    </row>
    <row r="3817" spans="7:8">
      <c r="G3817" s="63" t="e">
        <f t="shared" si="118"/>
        <v>#VALUE!</v>
      </c>
      <c r="H3817" s="63" t="e">
        <f t="shared" si="119"/>
        <v>#VALUE!</v>
      </c>
    </row>
    <row r="3818" spans="7:8">
      <c r="G3818" s="63" t="e">
        <f t="shared" si="118"/>
        <v>#VALUE!</v>
      </c>
      <c r="H3818" s="63" t="e">
        <f t="shared" si="119"/>
        <v>#VALUE!</v>
      </c>
    </row>
    <row r="3819" spans="7:8">
      <c r="G3819" s="63" t="e">
        <f t="shared" si="118"/>
        <v>#VALUE!</v>
      </c>
      <c r="H3819" s="63" t="e">
        <f t="shared" si="119"/>
        <v>#VALUE!</v>
      </c>
    </row>
    <row r="3820" spans="7:8">
      <c r="G3820" s="63" t="e">
        <f t="shared" si="118"/>
        <v>#VALUE!</v>
      </c>
      <c r="H3820" s="63" t="e">
        <f t="shared" si="119"/>
        <v>#VALUE!</v>
      </c>
    </row>
    <row r="3821" spans="7:8">
      <c r="G3821" s="63" t="e">
        <f t="shared" si="118"/>
        <v>#VALUE!</v>
      </c>
      <c r="H3821" s="63" t="e">
        <f t="shared" si="119"/>
        <v>#VALUE!</v>
      </c>
    </row>
    <row r="3822" spans="7:8">
      <c r="G3822" s="63" t="e">
        <f t="shared" si="118"/>
        <v>#VALUE!</v>
      </c>
      <c r="H3822" s="63" t="e">
        <f t="shared" si="119"/>
        <v>#VALUE!</v>
      </c>
    </row>
    <row r="3823" spans="7:8">
      <c r="G3823" s="63" t="e">
        <f t="shared" si="118"/>
        <v>#VALUE!</v>
      </c>
      <c r="H3823" s="63" t="e">
        <f t="shared" si="119"/>
        <v>#VALUE!</v>
      </c>
    </row>
    <row r="3824" spans="7:8">
      <c r="G3824" s="63" t="e">
        <f t="shared" si="118"/>
        <v>#VALUE!</v>
      </c>
      <c r="H3824" s="63" t="e">
        <f t="shared" si="119"/>
        <v>#VALUE!</v>
      </c>
    </row>
    <row r="3825" spans="7:8">
      <c r="G3825" s="63" t="e">
        <f t="shared" si="118"/>
        <v>#VALUE!</v>
      </c>
      <c r="H3825" s="63" t="e">
        <f t="shared" si="119"/>
        <v>#VALUE!</v>
      </c>
    </row>
    <row r="3826" spans="7:8">
      <c r="G3826" s="63" t="e">
        <f t="shared" si="118"/>
        <v>#VALUE!</v>
      </c>
      <c r="H3826" s="63" t="e">
        <f t="shared" si="119"/>
        <v>#VALUE!</v>
      </c>
    </row>
    <row r="3827" spans="7:8">
      <c r="G3827" s="63" t="e">
        <f t="shared" si="118"/>
        <v>#VALUE!</v>
      </c>
      <c r="H3827" s="63" t="e">
        <f t="shared" si="119"/>
        <v>#VALUE!</v>
      </c>
    </row>
    <row r="3828" spans="7:8">
      <c r="G3828" s="63" t="e">
        <f t="shared" si="118"/>
        <v>#VALUE!</v>
      </c>
      <c r="H3828" s="63" t="e">
        <f t="shared" si="119"/>
        <v>#VALUE!</v>
      </c>
    </row>
    <row r="3829" spans="7:8">
      <c r="G3829" s="63" t="e">
        <f t="shared" si="118"/>
        <v>#VALUE!</v>
      </c>
      <c r="H3829" s="63" t="e">
        <f t="shared" si="119"/>
        <v>#VALUE!</v>
      </c>
    </row>
    <row r="3830" spans="7:8">
      <c r="G3830" s="63" t="e">
        <f t="shared" si="118"/>
        <v>#VALUE!</v>
      </c>
      <c r="H3830" s="63" t="e">
        <f t="shared" si="119"/>
        <v>#VALUE!</v>
      </c>
    </row>
    <row r="3831" spans="7:8">
      <c r="G3831" s="63" t="e">
        <f t="shared" si="118"/>
        <v>#VALUE!</v>
      </c>
      <c r="H3831" s="63" t="e">
        <f t="shared" si="119"/>
        <v>#VALUE!</v>
      </c>
    </row>
    <row r="3832" spans="7:8">
      <c r="G3832" s="63" t="e">
        <f t="shared" si="118"/>
        <v>#VALUE!</v>
      </c>
      <c r="H3832" s="63" t="e">
        <f t="shared" si="119"/>
        <v>#VALUE!</v>
      </c>
    </row>
    <row r="3833" spans="7:8">
      <c r="G3833" s="63" t="e">
        <f t="shared" si="118"/>
        <v>#VALUE!</v>
      </c>
      <c r="H3833" s="63" t="e">
        <f t="shared" si="119"/>
        <v>#VALUE!</v>
      </c>
    </row>
    <row r="3834" spans="7:8">
      <c r="G3834" s="63" t="e">
        <f t="shared" si="118"/>
        <v>#VALUE!</v>
      </c>
      <c r="H3834" s="63" t="e">
        <f t="shared" si="119"/>
        <v>#VALUE!</v>
      </c>
    </row>
    <row r="3835" spans="7:8">
      <c r="G3835" s="63" t="e">
        <f t="shared" si="118"/>
        <v>#VALUE!</v>
      </c>
      <c r="H3835" s="63" t="e">
        <f t="shared" si="119"/>
        <v>#VALUE!</v>
      </c>
    </row>
    <row r="3836" spans="7:8">
      <c r="G3836" s="63" t="e">
        <f t="shared" si="118"/>
        <v>#VALUE!</v>
      </c>
      <c r="H3836" s="63" t="e">
        <f t="shared" si="119"/>
        <v>#VALUE!</v>
      </c>
    </row>
    <row r="3837" spans="7:8">
      <c r="G3837" s="63" t="e">
        <f t="shared" si="118"/>
        <v>#VALUE!</v>
      </c>
      <c r="H3837" s="63" t="e">
        <f t="shared" si="119"/>
        <v>#VALUE!</v>
      </c>
    </row>
    <row r="3838" spans="7:8">
      <c r="G3838" s="63" t="e">
        <f t="shared" si="118"/>
        <v>#VALUE!</v>
      </c>
      <c r="H3838" s="63" t="e">
        <f t="shared" si="119"/>
        <v>#VALUE!</v>
      </c>
    </row>
    <row r="3839" spans="7:8">
      <c r="G3839" s="63" t="e">
        <f t="shared" si="118"/>
        <v>#VALUE!</v>
      </c>
      <c r="H3839" s="63" t="e">
        <f t="shared" si="119"/>
        <v>#VALUE!</v>
      </c>
    </row>
    <row r="3840" spans="7:8">
      <c r="G3840" s="63" t="e">
        <f t="shared" si="118"/>
        <v>#VALUE!</v>
      </c>
      <c r="H3840" s="63" t="e">
        <f t="shared" si="119"/>
        <v>#VALUE!</v>
      </c>
    </row>
    <row r="3841" spans="7:8">
      <c r="G3841" s="63" t="e">
        <f t="shared" si="118"/>
        <v>#VALUE!</v>
      </c>
      <c r="H3841" s="63" t="e">
        <f t="shared" si="119"/>
        <v>#VALUE!</v>
      </c>
    </row>
    <row r="3842" spans="7:8">
      <c r="G3842" s="63" t="e">
        <f t="shared" si="118"/>
        <v>#VALUE!</v>
      </c>
      <c r="H3842" s="63" t="e">
        <f t="shared" si="119"/>
        <v>#VALUE!</v>
      </c>
    </row>
    <row r="3843" spans="7:8">
      <c r="G3843" s="63" t="e">
        <f t="shared" ref="G3843:G3906" si="120">IF(OR(A3843="RID_PB77",A3843="RID_PB77A3"),"WPCI77",IF(A3843="RIDTCIAS","CSCI49",IF(A3843="RID_HCPTM","CHCPT_",IF(LEFT(A3843,1)="C",A3843,MID(A3843,6,LEN(A3843)-5)))))</f>
        <v>#VALUE!</v>
      </c>
      <c r="H3843" s="63" t="e">
        <f t="shared" ref="H3843:H3906" si="121">IF(OR(G3843="MJG1",G3843="MJG2"),"MJG",G3843)&amp;"_"&amp;B3843</f>
        <v>#VALUE!</v>
      </c>
    </row>
    <row r="3844" spans="7:8">
      <c r="G3844" s="63" t="e">
        <f t="shared" si="120"/>
        <v>#VALUE!</v>
      </c>
      <c r="H3844" s="63" t="e">
        <f t="shared" si="121"/>
        <v>#VALUE!</v>
      </c>
    </row>
    <row r="3845" spans="7:8">
      <c r="G3845" s="63" t="e">
        <f t="shared" si="120"/>
        <v>#VALUE!</v>
      </c>
      <c r="H3845" s="63" t="e">
        <f t="shared" si="121"/>
        <v>#VALUE!</v>
      </c>
    </row>
    <row r="3846" spans="7:8">
      <c r="G3846" s="63" t="e">
        <f t="shared" si="120"/>
        <v>#VALUE!</v>
      </c>
      <c r="H3846" s="63" t="e">
        <f t="shared" si="121"/>
        <v>#VALUE!</v>
      </c>
    </row>
    <row r="3847" spans="7:8">
      <c r="G3847" s="63" t="e">
        <f t="shared" si="120"/>
        <v>#VALUE!</v>
      </c>
      <c r="H3847" s="63" t="e">
        <f t="shared" si="121"/>
        <v>#VALUE!</v>
      </c>
    </row>
    <row r="3848" spans="7:8">
      <c r="G3848" s="63" t="e">
        <f t="shared" si="120"/>
        <v>#VALUE!</v>
      </c>
      <c r="H3848" s="63" t="e">
        <f t="shared" si="121"/>
        <v>#VALUE!</v>
      </c>
    </row>
    <row r="3849" spans="7:8">
      <c r="G3849" s="63" t="e">
        <f t="shared" si="120"/>
        <v>#VALUE!</v>
      </c>
      <c r="H3849" s="63" t="e">
        <f t="shared" si="121"/>
        <v>#VALUE!</v>
      </c>
    </row>
    <row r="3850" spans="7:8">
      <c r="G3850" s="63" t="e">
        <f t="shared" si="120"/>
        <v>#VALUE!</v>
      </c>
      <c r="H3850" s="63" t="e">
        <f t="shared" si="121"/>
        <v>#VALUE!</v>
      </c>
    </row>
    <row r="3851" spans="7:8">
      <c r="G3851" s="63" t="e">
        <f t="shared" si="120"/>
        <v>#VALUE!</v>
      </c>
      <c r="H3851" s="63" t="e">
        <f t="shared" si="121"/>
        <v>#VALUE!</v>
      </c>
    </row>
    <row r="3852" spans="7:8">
      <c r="G3852" s="63" t="e">
        <f t="shared" si="120"/>
        <v>#VALUE!</v>
      </c>
      <c r="H3852" s="63" t="e">
        <f t="shared" si="121"/>
        <v>#VALUE!</v>
      </c>
    </row>
    <row r="3853" spans="7:8">
      <c r="G3853" s="63" t="e">
        <f t="shared" si="120"/>
        <v>#VALUE!</v>
      </c>
      <c r="H3853" s="63" t="e">
        <f t="shared" si="121"/>
        <v>#VALUE!</v>
      </c>
    </row>
    <row r="3854" spans="7:8">
      <c r="G3854" s="63" t="e">
        <f t="shared" si="120"/>
        <v>#VALUE!</v>
      </c>
      <c r="H3854" s="63" t="e">
        <f t="shared" si="121"/>
        <v>#VALUE!</v>
      </c>
    </row>
    <row r="3855" spans="7:8">
      <c r="G3855" s="63" t="e">
        <f t="shared" si="120"/>
        <v>#VALUE!</v>
      </c>
      <c r="H3855" s="63" t="e">
        <f t="shared" si="121"/>
        <v>#VALUE!</v>
      </c>
    </row>
    <row r="3856" spans="7:8">
      <c r="G3856" s="63" t="e">
        <f t="shared" si="120"/>
        <v>#VALUE!</v>
      </c>
      <c r="H3856" s="63" t="e">
        <f t="shared" si="121"/>
        <v>#VALUE!</v>
      </c>
    </row>
    <row r="3857" spans="7:8">
      <c r="G3857" s="63" t="e">
        <f t="shared" si="120"/>
        <v>#VALUE!</v>
      </c>
      <c r="H3857" s="63" t="e">
        <f t="shared" si="121"/>
        <v>#VALUE!</v>
      </c>
    </row>
    <row r="3858" spans="7:8">
      <c r="G3858" s="63" t="e">
        <f t="shared" si="120"/>
        <v>#VALUE!</v>
      </c>
      <c r="H3858" s="63" t="e">
        <f t="shared" si="121"/>
        <v>#VALUE!</v>
      </c>
    </row>
    <row r="3859" spans="7:8">
      <c r="G3859" s="63" t="e">
        <f t="shared" si="120"/>
        <v>#VALUE!</v>
      </c>
      <c r="H3859" s="63" t="e">
        <f t="shared" si="121"/>
        <v>#VALUE!</v>
      </c>
    </row>
    <row r="3860" spans="7:8">
      <c r="G3860" s="63" t="e">
        <f t="shared" si="120"/>
        <v>#VALUE!</v>
      </c>
      <c r="H3860" s="63" t="e">
        <f t="shared" si="121"/>
        <v>#VALUE!</v>
      </c>
    </row>
    <row r="3861" spans="7:8">
      <c r="G3861" s="63" t="e">
        <f t="shared" si="120"/>
        <v>#VALUE!</v>
      </c>
      <c r="H3861" s="63" t="e">
        <f t="shared" si="121"/>
        <v>#VALUE!</v>
      </c>
    </row>
    <row r="3862" spans="7:8">
      <c r="G3862" s="63" t="e">
        <f t="shared" si="120"/>
        <v>#VALUE!</v>
      </c>
      <c r="H3862" s="63" t="e">
        <f t="shared" si="121"/>
        <v>#VALUE!</v>
      </c>
    </row>
    <row r="3863" spans="7:8">
      <c r="G3863" s="63" t="e">
        <f t="shared" si="120"/>
        <v>#VALUE!</v>
      </c>
      <c r="H3863" s="63" t="e">
        <f t="shared" si="121"/>
        <v>#VALUE!</v>
      </c>
    </row>
    <row r="3864" spans="7:8">
      <c r="G3864" s="63" t="e">
        <f t="shared" si="120"/>
        <v>#VALUE!</v>
      </c>
      <c r="H3864" s="63" t="e">
        <f t="shared" si="121"/>
        <v>#VALUE!</v>
      </c>
    </row>
    <row r="3865" spans="7:8">
      <c r="G3865" s="63" t="e">
        <f t="shared" si="120"/>
        <v>#VALUE!</v>
      </c>
      <c r="H3865" s="63" t="e">
        <f t="shared" si="121"/>
        <v>#VALUE!</v>
      </c>
    </row>
    <row r="3866" spans="7:8">
      <c r="G3866" s="63" t="e">
        <f t="shared" si="120"/>
        <v>#VALUE!</v>
      </c>
      <c r="H3866" s="63" t="e">
        <f t="shared" si="121"/>
        <v>#VALUE!</v>
      </c>
    </row>
    <row r="3867" spans="7:8">
      <c r="G3867" s="63" t="e">
        <f t="shared" si="120"/>
        <v>#VALUE!</v>
      </c>
      <c r="H3867" s="63" t="e">
        <f t="shared" si="121"/>
        <v>#VALUE!</v>
      </c>
    </row>
    <row r="3868" spans="7:8">
      <c r="G3868" s="63" t="e">
        <f t="shared" si="120"/>
        <v>#VALUE!</v>
      </c>
      <c r="H3868" s="63" t="e">
        <f t="shared" si="121"/>
        <v>#VALUE!</v>
      </c>
    </row>
    <row r="3869" spans="7:8">
      <c r="G3869" s="63" t="e">
        <f t="shared" si="120"/>
        <v>#VALUE!</v>
      </c>
      <c r="H3869" s="63" t="e">
        <f t="shared" si="121"/>
        <v>#VALUE!</v>
      </c>
    </row>
    <row r="3870" spans="7:8">
      <c r="G3870" s="63" t="e">
        <f t="shared" si="120"/>
        <v>#VALUE!</v>
      </c>
      <c r="H3870" s="63" t="e">
        <f t="shared" si="121"/>
        <v>#VALUE!</v>
      </c>
    </row>
    <row r="3871" spans="7:8">
      <c r="G3871" s="63" t="e">
        <f t="shared" si="120"/>
        <v>#VALUE!</v>
      </c>
      <c r="H3871" s="63" t="e">
        <f t="shared" si="121"/>
        <v>#VALUE!</v>
      </c>
    </row>
    <row r="3872" spans="7:8">
      <c r="G3872" s="63" t="e">
        <f t="shared" si="120"/>
        <v>#VALUE!</v>
      </c>
      <c r="H3872" s="63" t="e">
        <f t="shared" si="121"/>
        <v>#VALUE!</v>
      </c>
    </row>
    <row r="3873" spans="7:8">
      <c r="G3873" s="63" t="e">
        <f t="shared" si="120"/>
        <v>#VALUE!</v>
      </c>
      <c r="H3873" s="63" t="e">
        <f t="shared" si="121"/>
        <v>#VALUE!</v>
      </c>
    </row>
    <row r="3874" spans="7:8">
      <c r="G3874" s="63" t="e">
        <f t="shared" si="120"/>
        <v>#VALUE!</v>
      </c>
      <c r="H3874" s="63" t="e">
        <f t="shared" si="121"/>
        <v>#VALUE!</v>
      </c>
    </row>
    <row r="3875" spans="7:8">
      <c r="G3875" s="63" t="e">
        <f t="shared" si="120"/>
        <v>#VALUE!</v>
      </c>
      <c r="H3875" s="63" t="e">
        <f t="shared" si="121"/>
        <v>#VALUE!</v>
      </c>
    </row>
    <row r="3876" spans="7:8">
      <c r="G3876" s="63" t="e">
        <f t="shared" si="120"/>
        <v>#VALUE!</v>
      </c>
      <c r="H3876" s="63" t="e">
        <f t="shared" si="121"/>
        <v>#VALUE!</v>
      </c>
    </row>
    <row r="3877" spans="7:8">
      <c r="G3877" s="63" t="e">
        <f t="shared" si="120"/>
        <v>#VALUE!</v>
      </c>
      <c r="H3877" s="63" t="e">
        <f t="shared" si="121"/>
        <v>#VALUE!</v>
      </c>
    </row>
    <row r="3878" spans="7:8">
      <c r="G3878" s="63" t="e">
        <f t="shared" si="120"/>
        <v>#VALUE!</v>
      </c>
      <c r="H3878" s="63" t="e">
        <f t="shared" si="121"/>
        <v>#VALUE!</v>
      </c>
    </row>
    <row r="3879" spans="7:8">
      <c r="G3879" s="63" t="e">
        <f t="shared" si="120"/>
        <v>#VALUE!</v>
      </c>
      <c r="H3879" s="63" t="e">
        <f t="shared" si="121"/>
        <v>#VALUE!</v>
      </c>
    </row>
    <row r="3880" spans="7:8">
      <c r="G3880" s="63" t="e">
        <f t="shared" si="120"/>
        <v>#VALUE!</v>
      </c>
      <c r="H3880" s="63" t="e">
        <f t="shared" si="121"/>
        <v>#VALUE!</v>
      </c>
    </row>
    <row r="3881" spans="7:8">
      <c r="G3881" s="63" t="e">
        <f t="shared" si="120"/>
        <v>#VALUE!</v>
      </c>
      <c r="H3881" s="63" t="e">
        <f t="shared" si="121"/>
        <v>#VALUE!</v>
      </c>
    </row>
    <row r="3882" spans="7:8">
      <c r="G3882" s="63" t="e">
        <f t="shared" si="120"/>
        <v>#VALUE!</v>
      </c>
      <c r="H3882" s="63" t="e">
        <f t="shared" si="121"/>
        <v>#VALUE!</v>
      </c>
    </row>
    <row r="3883" spans="7:8">
      <c r="G3883" s="63" t="e">
        <f t="shared" si="120"/>
        <v>#VALUE!</v>
      </c>
      <c r="H3883" s="63" t="e">
        <f t="shared" si="121"/>
        <v>#VALUE!</v>
      </c>
    </row>
    <row r="3884" spans="7:8">
      <c r="G3884" s="63" t="e">
        <f t="shared" si="120"/>
        <v>#VALUE!</v>
      </c>
      <c r="H3884" s="63" t="e">
        <f t="shared" si="121"/>
        <v>#VALUE!</v>
      </c>
    </row>
    <row r="3885" spans="7:8">
      <c r="G3885" s="63" t="e">
        <f t="shared" si="120"/>
        <v>#VALUE!</v>
      </c>
      <c r="H3885" s="63" t="e">
        <f t="shared" si="121"/>
        <v>#VALUE!</v>
      </c>
    </row>
    <row r="3886" spans="7:8">
      <c r="G3886" s="63" t="e">
        <f t="shared" si="120"/>
        <v>#VALUE!</v>
      </c>
      <c r="H3886" s="63" t="e">
        <f t="shared" si="121"/>
        <v>#VALUE!</v>
      </c>
    </row>
    <row r="3887" spans="7:8">
      <c r="G3887" s="63" t="e">
        <f t="shared" si="120"/>
        <v>#VALUE!</v>
      </c>
      <c r="H3887" s="63" t="e">
        <f t="shared" si="121"/>
        <v>#VALUE!</v>
      </c>
    </row>
    <row r="3888" spans="7:8">
      <c r="G3888" s="63" t="e">
        <f t="shared" si="120"/>
        <v>#VALUE!</v>
      </c>
      <c r="H3888" s="63" t="e">
        <f t="shared" si="121"/>
        <v>#VALUE!</v>
      </c>
    </row>
    <row r="3889" spans="7:8">
      <c r="G3889" s="63" t="e">
        <f t="shared" si="120"/>
        <v>#VALUE!</v>
      </c>
      <c r="H3889" s="63" t="e">
        <f t="shared" si="121"/>
        <v>#VALUE!</v>
      </c>
    </row>
    <row r="3890" spans="7:8">
      <c r="G3890" s="63" t="e">
        <f t="shared" si="120"/>
        <v>#VALUE!</v>
      </c>
      <c r="H3890" s="63" t="e">
        <f t="shared" si="121"/>
        <v>#VALUE!</v>
      </c>
    </row>
    <row r="3891" spans="7:8">
      <c r="G3891" s="63" t="e">
        <f t="shared" si="120"/>
        <v>#VALUE!</v>
      </c>
      <c r="H3891" s="63" t="e">
        <f t="shared" si="121"/>
        <v>#VALUE!</v>
      </c>
    </row>
    <row r="3892" spans="7:8">
      <c r="G3892" s="63" t="e">
        <f t="shared" si="120"/>
        <v>#VALUE!</v>
      </c>
      <c r="H3892" s="63" t="e">
        <f t="shared" si="121"/>
        <v>#VALUE!</v>
      </c>
    </row>
    <row r="3893" spans="7:8">
      <c r="G3893" s="63" t="e">
        <f t="shared" si="120"/>
        <v>#VALUE!</v>
      </c>
      <c r="H3893" s="63" t="e">
        <f t="shared" si="121"/>
        <v>#VALUE!</v>
      </c>
    </row>
    <row r="3894" spans="7:8">
      <c r="G3894" s="63" t="e">
        <f t="shared" si="120"/>
        <v>#VALUE!</v>
      </c>
      <c r="H3894" s="63" t="e">
        <f t="shared" si="121"/>
        <v>#VALUE!</v>
      </c>
    </row>
    <row r="3895" spans="7:8">
      <c r="G3895" s="63" t="e">
        <f t="shared" si="120"/>
        <v>#VALUE!</v>
      </c>
      <c r="H3895" s="63" t="e">
        <f t="shared" si="121"/>
        <v>#VALUE!</v>
      </c>
    </row>
    <row r="3896" spans="7:8">
      <c r="G3896" s="63" t="e">
        <f t="shared" si="120"/>
        <v>#VALUE!</v>
      </c>
      <c r="H3896" s="63" t="e">
        <f t="shared" si="121"/>
        <v>#VALUE!</v>
      </c>
    </row>
    <row r="3897" spans="7:8">
      <c r="G3897" s="63" t="e">
        <f t="shared" si="120"/>
        <v>#VALUE!</v>
      </c>
      <c r="H3897" s="63" t="e">
        <f t="shared" si="121"/>
        <v>#VALUE!</v>
      </c>
    </row>
    <row r="3898" spans="7:8">
      <c r="G3898" s="63" t="e">
        <f t="shared" si="120"/>
        <v>#VALUE!</v>
      </c>
      <c r="H3898" s="63" t="e">
        <f t="shared" si="121"/>
        <v>#VALUE!</v>
      </c>
    </row>
    <row r="3899" spans="7:8">
      <c r="G3899" s="63" t="e">
        <f t="shared" si="120"/>
        <v>#VALUE!</v>
      </c>
      <c r="H3899" s="63" t="e">
        <f t="shared" si="121"/>
        <v>#VALUE!</v>
      </c>
    </row>
    <row r="3900" spans="7:8">
      <c r="G3900" s="63" t="e">
        <f t="shared" si="120"/>
        <v>#VALUE!</v>
      </c>
      <c r="H3900" s="63" t="e">
        <f t="shared" si="121"/>
        <v>#VALUE!</v>
      </c>
    </row>
    <row r="3901" spans="7:8">
      <c r="G3901" s="63" t="e">
        <f t="shared" si="120"/>
        <v>#VALUE!</v>
      </c>
      <c r="H3901" s="63" t="e">
        <f t="shared" si="121"/>
        <v>#VALUE!</v>
      </c>
    </row>
    <row r="3902" spans="7:8">
      <c r="G3902" s="63" t="e">
        <f t="shared" si="120"/>
        <v>#VALUE!</v>
      </c>
      <c r="H3902" s="63" t="e">
        <f t="shared" si="121"/>
        <v>#VALUE!</v>
      </c>
    </row>
    <row r="3903" spans="7:8">
      <c r="G3903" s="63" t="e">
        <f t="shared" si="120"/>
        <v>#VALUE!</v>
      </c>
      <c r="H3903" s="63" t="e">
        <f t="shared" si="121"/>
        <v>#VALUE!</v>
      </c>
    </row>
    <row r="3904" spans="7:8">
      <c r="G3904" s="63" t="e">
        <f t="shared" si="120"/>
        <v>#VALUE!</v>
      </c>
      <c r="H3904" s="63" t="e">
        <f t="shared" si="121"/>
        <v>#VALUE!</v>
      </c>
    </row>
    <row r="3905" spans="7:8">
      <c r="G3905" s="63" t="e">
        <f t="shared" si="120"/>
        <v>#VALUE!</v>
      </c>
      <c r="H3905" s="63" t="e">
        <f t="shared" si="121"/>
        <v>#VALUE!</v>
      </c>
    </row>
    <row r="3906" spans="7:8">
      <c r="G3906" s="63" t="e">
        <f t="shared" si="120"/>
        <v>#VALUE!</v>
      </c>
      <c r="H3906" s="63" t="e">
        <f t="shared" si="121"/>
        <v>#VALUE!</v>
      </c>
    </row>
    <row r="3907" spans="7:8">
      <c r="G3907" s="63" t="e">
        <f t="shared" ref="G3907:G3970" si="122">IF(OR(A3907="RID_PB77",A3907="RID_PB77A3"),"WPCI77",IF(A3907="RIDTCIAS","CSCI49",IF(A3907="RID_HCPTM","CHCPT_",IF(LEFT(A3907,1)="C",A3907,MID(A3907,6,LEN(A3907)-5)))))</f>
        <v>#VALUE!</v>
      </c>
      <c r="H3907" s="63" t="e">
        <f t="shared" ref="H3907:H3970" si="123">IF(OR(G3907="MJG1",G3907="MJG2"),"MJG",G3907)&amp;"_"&amp;B3907</f>
        <v>#VALUE!</v>
      </c>
    </row>
    <row r="3908" spans="7:8">
      <c r="G3908" s="63" t="e">
        <f t="shared" si="122"/>
        <v>#VALUE!</v>
      </c>
      <c r="H3908" s="63" t="e">
        <f t="shared" si="123"/>
        <v>#VALUE!</v>
      </c>
    </row>
    <row r="3909" spans="7:8">
      <c r="G3909" s="63" t="e">
        <f t="shared" si="122"/>
        <v>#VALUE!</v>
      </c>
      <c r="H3909" s="63" t="e">
        <f t="shared" si="123"/>
        <v>#VALUE!</v>
      </c>
    </row>
    <row r="3910" spans="7:8">
      <c r="G3910" s="63" t="e">
        <f t="shared" si="122"/>
        <v>#VALUE!</v>
      </c>
      <c r="H3910" s="63" t="e">
        <f t="shared" si="123"/>
        <v>#VALUE!</v>
      </c>
    </row>
    <row r="3911" spans="7:8">
      <c r="G3911" s="63" t="e">
        <f t="shared" si="122"/>
        <v>#VALUE!</v>
      </c>
      <c r="H3911" s="63" t="e">
        <f t="shared" si="123"/>
        <v>#VALUE!</v>
      </c>
    </row>
    <row r="3912" spans="7:8">
      <c r="G3912" s="63" t="e">
        <f t="shared" si="122"/>
        <v>#VALUE!</v>
      </c>
      <c r="H3912" s="63" t="e">
        <f t="shared" si="123"/>
        <v>#VALUE!</v>
      </c>
    </row>
    <row r="3913" spans="7:8">
      <c r="G3913" s="63" t="e">
        <f t="shared" si="122"/>
        <v>#VALUE!</v>
      </c>
      <c r="H3913" s="63" t="e">
        <f t="shared" si="123"/>
        <v>#VALUE!</v>
      </c>
    </row>
    <row r="3914" spans="7:8">
      <c r="G3914" s="63" t="e">
        <f t="shared" si="122"/>
        <v>#VALUE!</v>
      </c>
      <c r="H3914" s="63" t="e">
        <f t="shared" si="123"/>
        <v>#VALUE!</v>
      </c>
    </row>
    <row r="3915" spans="7:8">
      <c r="G3915" s="63" t="e">
        <f t="shared" si="122"/>
        <v>#VALUE!</v>
      </c>
      <c r="H3915" s="63" t="e">
        <f t="shared" si="123"/>
        <v>#VALUE!</v>
      </c>
    </row>
    <row r="3916" spans="7:8">
      <c r="G3916" s="63" t="e">
        <f t="shared" si="122"/>
        <v>#VALUE!</v>
      </c>
      <c r="H3916" s="63" t="e">
        <f t="shared" si="123"/>
        <v>#VALUE!</v>
      </c>
    </row>
    <row r="3917" spans="7:8">
      <c r="G3917" s="63" t="e">
        <f t="shared" si="122"/>
        <v>#VALUE!</v>
      </c>
      <c r="H3917" s="63" t="e">
        <f t="shared" si="123"/>
        <v>#VALUE!</v>
      </c>
    </row>
    <row r="3918" spans="7:8">
      <c r="G3918" s="63" t="e">
        <f t="shared" si="122"/>
        <v>#VALUE!</v>
      </c>
      <c r="H3918" s="63" t="e">
        <f t="shared" si="123"/>
        <v>#VALUE!</v>
      </c>
    </row>
    <row r="3919" spans="7:8">
      <c r="G3919" s="63" t="e">
        <f t="shared" si="122"/>
        <v>#VALUE!</v>
      </c>
      <c r="H3919" s="63" t="e">
        <f t="shared" si="123"/>
        <v>#VALUE!</v>
      </c>
    </row>
    <row r="3920" spans="7:8">
      <c r="G3920" s="63" t="e">
        <f t="shared" si="122"/>
        <v>#VALUE!</v>
      </c>
      <c r="H3920" s="63" t="e">
        <f t="shared" si="123"/>
        <v>#VALUE!</v>
      </c>
    </row>
    <row r="3921" spans="7:8">
      <c r="G3921" s="63" t="e">
        <f t="shared" si="122"/>
        <v>#VALUE!</v>
      </c>
      <c r="H3921" s="63" t="e">
        <f t="shared" si="123"/>
        <v>#VALUE!</v>
      </c>
    </row>
    <row r="3922" spans="7:8">
      <c r="G3922" s="63" t="e">
        <f t="shared" si="122"/>
        <v>#VALUE!</v>
      </c>
      <c r="H3922" s="63" t="e">
        <f t="shared" si="123"/>
        <v>#VALUE!</v>
      </c>
    </row>
    <row r="3923" spans="7:8">
      <c r="G3923" s="63" t="e">
        <f t="shared" si="122"/>
        <v>#VALUE!</v>
      </c>
      <c r="H3923" s="63" t="e">
        <f t="shared" si="123"/>
        <v>#VALUE!</v>
      </c>
    </row>
    <row r="3924" spans="7:8">
      <c r="G3924" s="63" t="e">
        <f t="shared" si="122"/>
        <v>#VALUE!</v>
      </c>
      <c r="H3924" s="63" t="e">
        <f t="shared" si="123"/>
        <v>#VALUE!</v>
      </c>
    </row>
    <row r="3925" spans="7:8">
      <c r="G3925" s="63" t="e">
        <f t="shared" si="122"/>
        <v>#VALUE!</v>
      </c>
      <c r="H3925" s="63" t="e">
        <f t="shared" si="123"/>
        <v>#VALUE!</v>
      </c>
    </row>
    <row r="3926" spans="7:8">
      <c r="G3926" s="63" t="e">
        <f t="shared" si="122"/>
        <v>#VALUE!</v>
      </c>
      <c r="H3926" s="63" t="e">
        <f t="shared" si="123"/>
        <v>#VALUE!</v>
      </c>
    </row>
    <row r="3927" spans="7:8">
      <c r="G3927" s="63" t="e">
        <f t="shared" si="122"/>
        <v>#VALUE!</v>
      </c>
      <c r="H3927" s="63" t="e">
        <f t="shared" si="123"/>
        <v>#VALUE!</v>
      </c>
    </row>
    <row r="3928" spans="7:8">
      <c r="G3928" s="63" t="e">
        <f t="shared" si="122"/>
        <v>#VALUE!</v>
      </c>
      <c r="H3928" s="63" t="e">
        <f t="shared" si="123"/>
        <v>#VALUE!</v>
      </c>
    </row>
    <row r="3929" spans="7:8">
      <c r="G3929" s="63" t="e">
        <f t="shared" si="122"/>
        <v>#VALUE!</v>
      </c>
      <c r="H3929" s="63" t="e">
        <f t="shared" si="123"/>
        <v>#VALUE!</v>
      </c>
    </row>
    <row r="3930" spans="7:8">
      <c r="G3930" s="63" t="e">
        <f t="shared" si="122"/>
        <v>#VALUE!</v>
      </c>
      <c r="H3930" s="63" t="e">
        <f t="shared" si="123"/>
        <v>#VALUE!</v>
      </c>
    </row>
    <row r="3931" spans="7:8">
      <c r="G3931" s="63" t="e">
        <f t="shared" si="122"/>
        <v>#VALUE!</v>
      </c>
      <c r="H3931" s="63" t="e">
        <f t="shared" si="123"/>
        <v>#VALUE!</v>
      </c>
    </row>
    <row r="3932" spans="7:8">
      <c r="G3932" s="63" t="e">
        <f t="shared" si="122"/>
        <v>#VALUE!</v>
      </c>
      <c r="H3932" s="63" t="e">
        <f t="shared" si="123"/>
        <v>#VALUE!</v>
      </c>
    </row>
    <row r="3933" spans="7:8">
      <c r="G3933" s="63" t="e">
        <f t="shared" si="122"/>
        <v>#VALUE!</v>
      </c>
      <c r="H3933" s="63" t="e">
        <f t="shared" si="123"/>
        <v>#VALUE!</v>
      </c>
    </row>
    <row r="3934" spans="7:8">
      <c r="G3934" s="63" t="e">
        <f t="shared" si="122"/>
        <v>#VALUE!</v>
      </c>
      <c r="H3934" s="63" t="e">
        <f t="shared" si="123"/>
        <v>#VALUE!</v>
      </c>
    </row>
    <row r="3935" spans="7:8">
      <c r="G3935" s="63" t="e">
        <f t="shared" si="122"/>
        <v>#VALUE!</v>
      </c>
      <c r="H3935" s="63" t="e">
        <f t="shared" si="123"/>
        <v>#VALUE!</v>
      </c>
    </row>
    <row r="3936" spans="7:8">
      <c r="G3936" s="63" t="e">
        <f t="shared" si="122"/>
        <v>#VALUE!</v>
      </c>
      <c r="H3936" s="63" t="e">
        <f t="shared" si="123"/>
        <v>#VALUE!</v>
      </c>
    </row>
    <row r="3937" spans="7:8">
      <c r="G3937" s="63" t="e">
        <f t="shared" si="122"/>
        <v>#VALUE!</v>
      </c>
      <c r="H3937" s="63" t="e">
        <f t="shared" si="123"/>
        <v>#VALUE!</v>
      </c>
    </row>
    <row r="3938" spans="7:8">
      <c r="G3938" s="63" t="e">
        <f t="shared" si="122"/>
        <v>#VALUE!</v>
      </c>
      <c r="H3938" s="63" t="e">
        <f t="shared" si="123"/>
        <v>#VALUE!</v>
      </c>
    </row>
    <row r="3939" spans="7:8">
      <c r="G3939" s="63" t="e">
        <f t="shared" si="122"/>
        <v>#VALUE!</v>
      </c>
      <c r="H3939" s="63" t="e">
        <f t="shared" si="123"/>
        <v>#VALUE!</v>
      </c>
    </row>
    <row r="3940" spans="7:8">
      <c r="G3940" s="63" t="e">
        <f t="shared" si="122"/>
        <v>#VALUE!</v>
      </c>
      <c r="H3940" s="63" t="e">
        <f t="shared" si="123"/>
        <v>#VALUE!</v>
      </c>
    </row>
    <row r="3941" spans="7:8">
      <c r="G3941" s="63" t="e">
        <f t="shared" si="122"/>
        <v>#VALUE!</v>
      </c>
      <c r="H3941" s="63" t="e">
        <f t="shared" si="123"/>
        <v>#VALUE!</v>
      </c>
    </row>
    <row r="3942" spans="7:8">
      <c r="G3942" s="63" t="e">
        <f t="shared" si="122"/>
        <v>#VALUE!</v>
      </c>
      <c r="H3942" s="63" t="e">
        <f t="shared" si="123"/>
        <v>#VALUE!</v>
      </c>
    </row>
    <row r="3943" spans="7:8">
      <c r="G3943" s="63" t="e">
        <f t="shared" si="122"/>
        <v>#VALUE!</v>
      </c>
      <c r="H3943" s="63" t="e">
        <f t="shared" si="123"/>
        <v>#VALUE!</v>
      </c>
    </row>
    <row r="3944" spans="7:8">
      <c r="G3944" s="63" t="e">
        <f t="shared" si="122"/>
        <v>#VALUE!</v>
      </c>
      <c r="H3944" s="63" t="e">
        <f t="shared" si="123"/>
        <v>#VALUE!</v>
      </c>
    </row>
    <row r="3945" spans="7:8">
      <c r="G3945" s="63" t="e">
        <f t="shared" si="122"/>
        <v>#VALUE!</v>
      </c>
      <c r="H3945" s="63" t="e">
        <f t="shared" si="123"/>
        <v>#VALUE!</v>
      </c>
    </row>
    <row r="3946" spans="7:8">
      <c r="G3946" s="63" t="e">
        <f t="shared" si="122"/>
        <v>#VALUE!</v>
      </c>
      <c r="H3946" s="63" t="e">
        <f t="shared" si="123"/>
        <v>#VALUE!</v>
      </c>
    </row>
    <row r="3947" spans="7:8">
      <c r="G3947" s="63" t="e">
        <f t="shared" si="122"/>
        <v>#VALUE!</v>
      </c>
      <c r="H3947" s="63" t="e">
        <f t="shared" si="123"/>
        <v>#VALUE!</v>
      </c>
    </row>
    <row r="3948" spans="7:8">
      <c r="G3948" s="63" t="e">
        <f t="shared" si="122"/>
        <v>#VALUE!</v>
      </c>
      <c r="H3948" s="63" t="e">
        <f t="shared" si="123"/>
        <v>#VALUE!</v>
      </c>
    </row>
    <row r="3949" spans="7:8">
      <c r="G3949" s="63" t="e">
        <f t="shared" si="122"/>
        <v>#VALUE!</v>
      </c>
      <c r="H3949" s="63" t="e">
        <f t="shared" si="123"/>
        <v>#VALUE!</v>
      </c>
    </row>
    <row r="3950" spans="7:8">
      <c r="G3950" s="63" t="e">
        <f t="shared" si="122"/>
        <v>#VALUE!</v>
      </c>
      <c r="H3950" s="63" t="e">
        <f t="shared" si="123"/>
        <v>#VALUE!</v>
      </c>
    </row>
    <row r="3951" spans="7:8">
      <c r="G3951" s="63" t="e">
        <f t="shared" si="122"/>
        <v>#VALUE!</v>
      </c>
      <c r="H3951" s="63" t="e">
        <f t="shared" si="123"/>
        <v>#VALUE!</v>
      </c>
    </row>
    <row r="3952" spans="7:8">
      <c r="G3952" s="63" t="e">
        <f t="shared" si="122"/>
        <v>#VALUE!</v>
      </c>
      <c r="H3952" s="63" t="e">
        <f t="shared" si="123"/>
        <v>#VALUE!</v>
      </c>
    </row>
    <row r="3953" spans="7:8">
      <c r="G3953" s="63" t="e">
        <f t="shared" si="122"/>
        <v>#VALUE!</v>
      </c>
      <c r="H3953" s="63" t="e">
        <f t="shared" si="123"/>
        <v>#VALUE!</v>
      </c>
    </row>
    <row r="3954" spans="7:8">
      <c r="G3954" s="63" t="e">
        <f t="shared" si="122"/>
        <v>#VALUE!</v>
      </c>
      <c r="H3954" s="63" t="e">
        <f t="shared" si="123"/>
        <v>#VALUE!</v>
      </c>
    </row>
    <row r="3955" spans="7:8">
      <c r="G3955" s="63" t="e">
        <f t="shared" si="122"/>
        <v>#VALUE!</v>
      </c>
      <c r="H3955" s="63" t="e">
        <f t="shared" si="123"/>
        <v>#VALUE!</v>
      </c>
    </row>
    <row r="3956" spans="7:8">
      <c r="G3956" s="63" t="e">
        <f t="shared" si="122"/>
        <v>#VALUE!</v>
      </c>
      <c r="H3956" s="63" t="e">
        <f t="shared" si="123"/>
        <v>#VALUE!</v>
      </c>
    </row>
    <row r="3957" spans="7:8">
      <c r="G3957" s="63" t="e">
        <f t="shared" si="122"/>
        <v>#VALUE!</v>
      </c>
      <c r="H3957" s="63" t="e">
        <f t="shared" si="123"/>
        <v>#VALUE!</v>
      </c>
    </row>
    <row r="3958" spans="7:8">
      <c r="G3958" s="63" t="e">
        <f t="shared" si="122"/>
        <v>#VALUE!</v>
      </c>
      <c r="H3958" s="63" t="e">
        <f t="shared" si="123"/>
        <v>#VALUE!</v>
      </c>
    </row>
    <row r="3959" spans="7:8">
      <c r="G3959" s="63" t="e">
        <f t="shared" si="122"/>
        <v>#VALUE!</v>
      </c>
      <c r="H3959" s="63" t="e">
        <f t="shared" si="123"/>
        <v>#VALUE!</v>
      </c>
    </row>
    <row r="3960" spans="7:8">
      <c r="G3960" s="63" t="e">
        <f t="shared" si="122"/>
        <v>#VALUE!</v>
      </c>
      <c r="H3960" s="63" t="e">
        <f t="shared" si="123"/>
        <v>#VALUE!</v>
      </c>
    </row>
    <row r="3961" spans="7:8">
      <c r="G3961" s="63" t="e">
        <f t="shared" si="122"/>
        <v>#VALUE!</v>
      </c>
      <c r="H3961" s="63" t="e">
        <f t="shared" si="123"/>
        <v>#VALUE!</v>
      </c>
    </row>
    <row r="3962" spans="7:8">
      <c r="G3962" s="63" t="e">
        <f t="shared" si="122"/>
        <v>#VALUE!</v>
      </c>
      <c r="H3962" s="63" t="e">
        <f t="shared" si="123"/>
        <v>#VALUE!</v>
      </c>
    </row>
    <row r="3963" spans="7:8">
      <c r="G3963" s="63" t="e">
        <f t="shared" si="122"/>
        <v>#VALUE!</v>
      </c>
      <c r="H3963" s="63" t="e">
        <f t="shared" si="123"/>
        <v>#VALUE!</v>
      </c>
    </row>
    <row r="3964" spans="7:8">
      <c r="G3964" s="63" t="e">
        <f t="shared" si="122"/>
        <v>#VALUE!</v>
      </c>
      <c r="H3964" s="63" t="e">
        <f t="shared" si="123"/>
        <v>#VALUE!</v>
      </c>
    </row>
    <row r="3965" spans="7:8">
      <c r="G3965" s="63" t="e">
        <f t="shared" si="122"/>
        <v>#VALUE!</v>
      </c>
      <c r="H3965" s="63" t="e">
        <f t="shared" si="123"/>
        <v>#VALUE!</v>
      </c>
    </row>
    <row r="3966" spans="7:8">
      <c r="G3966" s="63" t="e">
        <f t="shared" si="122"/>
        <v>#VALUE!</v>
      </c>
      <c r="H3966" s="63" t="e">
        <f t="shared" si="123"/>
        <v>#VALUE!</v>
      </c>
    </row>
    <row r="3967" spans="7:8">
      <c r="G3967" s="63" t="e">
        <f t="shared" si="122"/>
        <v>#VALUE!</v>
      </c>
      <c r="H3967" s="63" t="e">
        <f t="shared" si="123"/>
        <v>#VALUE!</v>
      </c>
    </row>
    <row r="3968" spans="7:8">
      <c r="G3968" s="63" t="e">
        <f t="shared" si="122"/>
        <v>#VALUE!</v>
      </c>
      <c r="H3968" s="63" t="e">
        <f t="shared" si="123"/>
        <v>#VALUE!</v>
      </c>
    </row>
    <row r="3969" spans="7:8">
      <c r="G3969" s="63" t="e">
        <f t="shared" si="122"/>
        <v>#VALUE!</v>
      </c>
      <c r="H3969" s="63" t="e">
        <f t="shared" si="123"/>
        <v>#VALUE!</v>
      </c>
    </row>
    <row r="3970" spans="7:8">
      <c r="G3970" s="63" t="e">
        <f t="shared" si="122"/>
        <v>#VALUE!</v>
      </c>
      <c r="H3970" s="63" t="e">
        <f t="shared" si="123"/>
        <v>#VALUE!</v>
      </c>
    </row>
    <row r="3971" spans="7:8">
      <c r="G3971" s="63" t="e">
        <f t="shared" ref="G3971:G4034" si="124">IF(OR(A3971="RID_PB77",A3971="RID_PB77A3"),"WPCI77",IF(A3971="RIDTCIAS","CSCI49",IF(A3971="RID_HCPTM","CHCPT_",IF(LEFT(A3971,1)="C",A3971,MID(A3971,6,LEN(A3971)-5)))))</f>
        <v>#VALUE!</v>
      </c>
      <c r="H3971" s="63" t="e">
        <f t="shared" ref="H3971:H4034" si="125">IF(OR(G3971="MJG1",G3971="MJG2"),"MJG",G3971)&amp;"_"&amp;B3971</f>
        <v>#VALUE!</v>
      </c>
    </row>
    <row r="3972" spans="7:8">
      <c r="G3972" s="63" t="e">
        <f t="shared" si="124"/>
        <v>#VALUE!</v>
      </c>
      <c r="H3972" s="63" t="e">
        <f t="shared" si="125"/>
        <v>#VALUE!</v>
      </c>
    </row>
    <row r="3973" spans="7:8">
      <c r="G3973" s="63" t="e">
        <f t="shared" si="124"/>
        <v>#VALUE!</v>
      </c>
      <c r="H3973" s="63" t="e">
        <f t="shared" si="125"/>
        <v>#VALUE!</v>
      </c>
    </row>
    <row r="3974" spans="7:8">
      <c r="G3974" s="63" t="e">
        <f t="shared" si="124"/>
        <v>#VALUE!</v>
      </c>
      <c r="H3974" s="63" t="e">
        <f t="shared" si="125"/>
        <v>#VALUE!</v>
      </c>
    </row>
    <row r="3975" spans="7:8">
      <c r="G3975" s="63" t="e">
        <f t="shared" si="124"/>
        <v>#VALUE!</v>
      </c>
      <c r="H3975" s="63" t="e">
        <f t="shared" si="125"/>
        <v>#VALUE!</v>
      </c>
    </row>
    <row r="3976" spans="7:8">
      <c r="G3976" s="63" t="e">
        <f t="shared" si="124"/>
        <v>#VALUE!</v>
      </c>
      <c r="H3976" s="63" t="e">
        <f t="shared" si="125"/>
        <v>#VALUE!</v>
      </c>
    </row>
    <row r="3977" spans="7:8">
      <c r="G3977" s="63" t="e">
        <f t="shared" si="124"/>
        <v>#VALUE!</v>
      </c>
      <c r="H3977" s="63" t="e">
        <f t="shared" si="125"/>
        <v>#VALUE!</v>
      </c>
    </row>
    <row r="3978" spans="7:8">
      <c r="G3978" s="63" t="e">
        <f t="shared" si="124"/>
        <v>#VALUE!</v>
      </c>
      <c r="H3978" s="63" t="e">
        <f t="shared" si="125"/>
        <v>#VALUE!</v>
      </c>
    </row>
    <row r="3979" spans="7:8">
      <c r="G3979" s="63" t="e">
        <f t="shared" si="124"/>
        <v>#VALUE!</v>
      </c>
      <c r="H3979" s="63" t="e">
        <f t="shared" si="125"/>
        <v>#VALUE!</v>
      </c>
    </row>
    <row r="3980" spans="7:8">
      <c r="G3980" s="63" t="e">
        <f t="shared" si="124"/>
        <v>#VALUE!</v>
      </c>
      <c r="H3980" s="63" t="e">
        <f t="shared" si="125"/>
        <v>#VALUE!</v>
      </c>
    </row>
    <row r="3981" spans="7:8">
      <c r="G3981" s="63" t="e">
        <f t="shared" si="124"/>
        <v>#VALUE!</v>
      </c>
      <c r="H3981" s="63" t="e">
        <f t="shared" si="125"/>
        <v>#VALUE!</v>
      </c>
    </row>
    <row r="3982" spans="7:8">
      <c r="G3982" s="63" t="e">
        <f t="shared" si="124"/>
        <v>#VALUE!</v>
      </c>
      <c r="H3982" s="63" t="e">
        <f t="shared" si="125"/>
        <v>#VALUE!</v>
      </c>
    </row>
    <row r="3983" spans="7:8">
      <c r="G3983" s="63" t="e">
        <f t="shared" si="124"/>
        <v>#VALUE!</v>
      </c>
      <c r="H3983" s="63" t="e">
        <f t="shared" si="125"/>
        <v>#VALUE!</v>
      </c>
    </row>
    <row r="3984" spans="7:8">
      <c r="G3984" s="63" t="e">
        <f t="shared" si="124"/>
        <v>#VALUE!</v>
      </c>
      <c r="H3984" s="63" t="e">
        <f t="shared" si="125"/>
        <v>#VALUE!</v>
      </c>
    </row>
    <row r="3985" spans="7:8">
      <c r="G3985" s="63" t="e">
        <f t="shared" si="124"/>
        <v>#VALUE!</v>
      </c>
      <c r="H3985" s="63" t="e">
        <f t="shared" si="125"/>
        <v>#VALUE!</v>
      </c>
    </row>
    <row r="3986" spans="7:8">
      <c r="G3986" s="63" t="e">
        <f t="shared" si="124"/>
        <v>#VALUE!</v>
      </c>
      <c r="H3986" s="63" t="e">
        <f t="shared" si="125"/>
        <v>#VALUE!</v>
      </c>
    </row>
    <row r="3987" spans="7:8">
      <c r="G3987" s="63" t="e">
        <f t="shared" si="124"/>
        <v>#VALUE!</v>
      </c>
      <c r="H3987" s="63" t="e">
        <f t="shared" si="125"/>
        <v>#VALUE!</v>
      </c>
    </row>
    <row r="3988" spans="7:8">
      <c r="G3988" s="63" t="e">
        <f t="shared" si="124"/>
        <v>#VALUE!</v>
      </c>
      <c r="H3988" s="63" t="e">
        <f t="shared" si="125"/>
        <v>#VALUE!</v>
      </c>
    </row>
    <row r="3989" spans="7:8">
      <c r="G3989" s="63" t="e">
        <f t="shared" si="124"/>
        <v>#VALUE!</v>
      </c>
      <c r="H3989" s="63" t="e">
        <f t="shared" si="125"/>
        <v>#VALUE!</v>
      </c>
    </row>
    <row r="3990" spans="7:8">
      <c r="G3990" s="63" t="e">
        <f t="shared" si="124"/>
        <v>#VALUE!</v>
      </c>
      <c r="H3990" s="63" t="e">
        <f t="shared" si="125"/>
        <v>#VALUE!</v>
      </c>
    </row>
    <row r="3991" spans="7:8">
      <c r="G3991" s="63" t="e">
        <f t="shared" si="124"/>
        <v>#VALUE!</v>
      </c>
      <c r="H3991" s="63" t="e">
        <f t="shared" si="125"/>
        <v>#VALUE!</v>
      </c>
    </row>
    <row r="3992" spans="7:8">
      <c r="G3992" s="63" t="e">
        <f t="shared" si="124"/>
        <v>#VALUE!</v>
      </c>
      <c r="H3992" s="63" t="e">
        <f t="shared" si="125"/>
        <v>#VALUE!</v>
      </c>
    </row>
    <row r="3993" spans="7:8">
      <c r="G3993" s="63" t="e">
        <f t="shared" si="124"/>
        <v>#VALUE!</v>
      </c>
      <c r="H3993" s="63" t="e">
        <f t="shared" si="125"/>
        <v>#VALUE!</v>
      </c>
    </row>
    <row r="3994" spans="7:8">
      <c r="G3994" s="63" t="e">
        <f t="shared" si="124"/>
        <v>#VALUE!</v>
      </c>
      <c r="H3994" s="63" t="e">
        <f t="shared" si="125"/>
        <v>#VALUE!</v>
      </c>
    </row>
    <row r="3995" spans="7:8">
      <c r="G3995" s="63" t="e">
        <f t="shared" si="124"/>
        <v>#VALUE!</v>
      </c>
      <c r="H3995" s="63" t="e">
        <f t="shared" si="125"/>
        <v>#VALUE!</v>
      </c>
    </row>
    <row r="3996" spans="7:8">
      <c r="G3996" s="63" t="e">
        <f t="shared" si="124"/>
        <v>#VALUE!</v>
      </c>
      <c r="H3996" s="63" t="e">
        <f t="shared" si="125"/>
        <v>#VALUE!</v>
      </c>
    </row>
    <row r="3997" spans="7:8">
      <c r="G3997" s="63" t="e">
        <f t="shared" si="124"/>
        <v>#VALUE!</v>
      </c>
      <c r="H3997" s="63" t="e">
        <f t="shared" si="125"/>
        <v>#VALUE!</v>
      </c>
    </row>
    <row r="3998" spans="7:8">
      <c r="G3998" s="63" t="e">
        <f t="shared" si="124"/>
        <v>#VALUE!</v>
      </c>
      <c r="H3998" s="63" t="e">
        <f t="shared" si="125"/>
        <v>#VALUE!</v>
      </c>
    </row>
    <row r="3999" spans="7:8">
      <c r="G3999" s="63" t="e">
        <f t="shared" si="124"/>
        <v>#VALUE!</v>
      </c>
      <c r="H3999" s="63" t="e">
        <f t="shared" si="125"/>
        <v>#VALUE!</v>
      </c>
    </row>
    <row r="4000" spans="7:8">
      <c r="G4000" s="63" t="e">
        <f t="shared" si="124"/>
        <v>#VALUE!</v>
      </c>
      <c r="H4000" s="63" t="e">
        <f t="shared" si="125"/>
        <v>#VALUE!</v>
      </c>
    </row>
    <row r="4001" spans="7:8">
      <c r="G4001" s="63" t="e">
        <f t="shared" si="124"/>
        <v>#VALUE!</v>
      </c>
      <c r="H4001" s="63" t="e">
        <f t="shared" si="125"/>
        <v>#VALUE!</v>
      </c>
    </row>
    <row r="4002" spans="7:8">
      <c r="G4002" s="63" t="e">
        <f t="shared" si="124"/>
        <v>#VALUE!</v>
      </c>
      <c r="H4002" s="63" t="e">
        <f t="shared" si="125"/>
        <v>#VALUE!</v>
      </c>
    </row>
    <row r="4003" spans="7:8">
      <c r="G4003" s="63" t="e">
        <f t="shared" si="124"/>
        <v>#VALUE!</v>
      </c>
      <c r="H4003" s="63" t="e">
        <f t="shared" si="125"/>
        <v>#VALUE!</v>
      </c>
    </row>
    <row r="4004" spans="7:8">
      <c r="G4004" s="63" t="e">
        <f t="shared" si="124"/>
        <v>#VALUE!</v>
      </c>
      <c r="H4004" s="63" t="e">
        <f t="shared" si="125"/>
        <v>#VALUE!</v>
      </c>
    </row>
    <row r="4005" spans="7:8">
      <c r="G4005" s="63" t="e">
        <f t="shared" si="124"/>
        <v>#VALUE!</v>
      </c>
      <c r="H4005" s="63" t="e">
        <f t="shared" si="125"/>
        <v>#VALUE!</v>
      </c>
    </row>
    <row r="4006" spans="7:8">
      <c r="G4006" s="63" t="e">
        <f t="shared" si="124"/>
        <v>#VALUE!</v>
      </c>
      <c r="H4006" s="63" t="e">
        <f t="shared" si="125"/>
        <v>#VALUE!</v>
      </c>
    </row>
    <row r="4007" spans="7:8">
      <c r="G4007" s="63" t="e">
        <f t="shared" si="124"/>
        <v>#VALUE!</v>
      </c>
      <c r="H4007" s="63" t="e">
        <f t="shared" si="125"/>
        <v>#VALUE!</v>
      </c>
    </row>
    <row r="4008" spans="7:8">
      <c r="G4008" s="63" t="e">
        <f t="shared" si="124"/>
        <v>#VALUE!</v>
      </c>
      <c r="H4008" s="63" t="e">
        <f t="shared" si="125"/>
        <v>#VALUE!</v>
      </c>
    </row>
    <row r="4009" spans="7:8">
      <c r="G4009" s="63" t="e">
        <f t="shared" si="124"/>
        <v>#VALUE!</v>
      </c>
      <c r="H4009" s="63" t="e">
        <f t="shared" si="125"/>
        <v>#VALUE!</v>
      </c>
    </row>
    <row r="4010" spans="7:8">
      <c r="G4010" s="63" t="e">
        <f t="shared" si="124"/>
        <v>#VALUE!</v>
      </c>
      <c r="H4010" s="63" t="e">
        <f t="shared" si="125"/>
        <v>#VALUE!</v>
      </c>
    </row>
    <row r="4011" spans="7:8">
      <c r="G4011" s="63" t="e">
        <f t="shared" si="124"/>
        <v>#VALUE!</v>
      </c>
      <c r="H4011" s="63" t="e">
        <f t="shared" si="125"/>
        <v>#VALUE!</v>
      </c>
    </row>
    <row r="4012" spans="7:8">
      <c r="G4012" s="63" t="e">
        <f t="shared" si="124"/>
        <v>#VALUE!</v>
      </c>
      <c r="H4012" s="63" t="e">
        <f t="shared" si="125"/>
        <v>#VALUE!</v>
      </c>
    </row>
    <row r="4013" spans="7:8">
      <c r="G4013" s="63" t="e">
        <f t="shared" si="124"/>
        <v>#VALUE!</v>
      </c>
      <c r="H4013" s="63" t="e">
        <f t="shared" si="125"/>
        <v>#VALUE!</v>
      </c>
    </row>
    <row r="4014" spans="7:8">
      <c r="G4014" s="63" t="e">
        <f t="shared" si="124"/>
        <v>#VALUE!</v>
      </c>
      <c r="H4014" s="63" t="e">
        <f t="shared" si="125"/>
        <v>#VALUE!</v>
      </c>
    </row>
    <row r="4015" spans="7:8">
      <c r="G4015" s="63" t="e">
        <f t="shared" si="124"/>
        <v>#VALUE!</v>
      </c>
      <c r="H4015" s="63" t="e">
        <f t="shared" si="125"/>
        <v>#VALUE!</v>
      </c>
    </row>
    <row r="4016" spans="7:8">
      <c r="G4016" s="63" t="e">
        <f t="shared" si="124"/>
        <v>#VALUE!</v>
      </c>
      <c r="H4016" s="63" t="e">
        <f t="shared" si="125"/>
        <v>#VALUE!</v>
      </c>
    </row>
    <row r="4017" spans="7:8">
      <c r="G4017" s="63" t="e">
        <f t="shared" si="124"/>
        <v>#VALUE!</v>
      </c>
      <c r="H4017" s="63" t="e">
        <f t="shared" si="125"/>
        <v>#VALUE!</v>
      </c>
    </row>
    <row r="4018" spans="7:8">
      <c r="G4018" s="63" t="e">
        <f t="shared" si="124"/>
        <v>#VALUE!</v>
      </c>
      <c r="H4018" s="63" t="e">
        <f t="shared" si="125"/>
        <v>#VALUE!</v>
      </c>
    </row>
    <row r="4019" spans="7:8">
      <c r="G4019" s="63" t="e">
        <f t="shared" si="124"/>
        <v>#VALUE!</v>
      </c>
      <c r="H4019" s="63" t="e">
        <f t="shared" si="125"/>
        <v>#VALUE!</v>
      </c>
    </row>
    <row r="4020" spans="7:8">
      <c r="G4020" s="63" t="e">
        <f t="shared" si="124"/>
        <v>#VALUE!</v>
      </c>
      <c r="H4020" s="63" t="e">
        <f t="shared" si="125"/>
        <v>#VALUE!</v>
      </c>
    </row>
    <row r="4021" spans="7:8">
      <c r="G4021" s="63" t="e">
        <f t="shared" si="124"/>
        <v>#VALUE!</v>
      </c>
      <c r="H4021" s="63" t="e">
        <f t="shared" si="125"/>
        <v>#VALUE!</v>
      </c>
    </row>
    <row r="4022" spans="7:8">
      <c r="G4022" s="63" t="e">
        <f t="shared" si="124"/>
        <v>#VALUE!</v>
      </c>
      <c r="H4022" s="63" t="e">
        <f t="shared" si="125"/>
        <v>#VALUE!</v>
      </c>
    </row>
    <row r="4023" spans="7:8">
      <c r="G4023" s="63" t="e">
        <f t="shared" si="124"/>
        <v>#VALUE!</v>
      </c>
      <c r="H4023" s="63" t="e">
        <f t="shared" si="125"/>
        <v>#VALUE!</v>
      </c>
    </row>
    <row r="4024" spans="7:8">
      <c r="G4024" s="63" t="e">
        <f t="shared" si="124"/>
        <v>#VALUE!</v>
      </c>
      <c r="H4024" s="63" t="e">
        <f t="shared" si="125"/>
        <v>#VALUE!</v>
      </c>
    </row>
    <row r="4025" spans="7:8">
      <c r="G4025" s="63" t="e">
        <f t="shared" si="124"/>
        <v>#VALUE!</v>
      </c>
      <c r="H4025" s="63" t="e">
        <f t="shared" si="125"/>
        <v>#VALUE!</v>
      </c>
    </row>
    <row r="4026" spans="7:8">
      <c r="G4026" s="63" t="e">
        <f t="shared" si="124"/>
        <v>#VALUE!</v>
      </c>
      <c r="H4026" s="63" t="e">
        <f t="shared" si="125"/>
        <v>#VALUE!</v>
      </c>
    </row>
    <row r="4027" spans="7:8">
      <c r="G4027" s="63" t="e">
        <f t="shared" si="124"/>
        <v>#VALUE!</v>
      </c>
      <c r="H4027" s="63" t="e">
        <f t="shared" si="125"/>
        <v>#VALUE!</v>
      </c>
    </row>
    <row r="4028" spans="7:8">
      <c r="G4028" s="63" t="e">
        <f t="shared" si="124"/>
        <v>#VALUE!</v>
      </c>
      <c r="H4028" s="63" t="e">
        <f t="shared" si="125"/>
        <v>#VALUE!</v>
      </c>
    </row>
    <row r="4029" spans="7:8">
      <c r="G4029" s="63" t="e">
        <f t="shared" si="124"/>
        <v>#VALUE!</v>
      </c>
      <c r="H4029" s="63" t="e">
        <f t="shared" si="125"/>
        <v>#VALUE!</v>
      </c>
    </row>
    <row r="4030" spans="7:8">
      <c r="G4030" s="63" t="e">
        <f t="shared" si="124"/>
        <v>#VALUE!</v>
      </c>
      <c r="H4030" s="63" t="e">
        <f t="shared" si="125"/>
        <v>#VALUE!</v>
      </c>
    </row>
    <row r="4031" spans="7:8">
      <c r="G4031" s="63" t="e">
        <f t="shared" si="124"/>
        <v>#VALUE!</v>
      </c>
      <c r="H4031" s="63" t="e">
        <f t="shared" si="125"/>
        <v>#VALUE!</v>
      </c>
    </row>
    <row r="4032" spans="7:8">
      <c r="G4032" s="63" t="e">
        <f t="shared" si="124"/>
        <v>#VALUE!</v>
      </c>
      <c r="H4032" s="63" t="e">
        <f t="shared" si="125"/>
        <v>#VALUE!</v>
      </c>
    </row>
    <row r="4033" spans="7:8">
      <c r="G4033" s="63" t="e">
        <f t="shared" si="124"/>
        <v>#VALUE!</v>
      </c>
      <c r="H4033" s="63" t="e">
        <f t="shared" si="125"/>
        <v>#VALUE!</v>
      </c>
    </row>
    <row r="4034" spans="7:8">
      <c r="G4034" s="63" t="e">
        <f t="shared" si="124"/>
        <v>#VALUE!</v>
      </c>
      <c r="H4034" s="63" t="e">
        <f t="shared" si="125"/>
        <v>#VALUE!</v>
      </c>
    </row>
    <row r="4035" spans="7:8">
      <c r="G4035" s="63" t="e">
        <f t="shared" ref="G4035:G4098" si="126">IF(OR(A4035="RID_PB77",A4035="RID_PB77A3"),"WPCI77",IF(A4035="RIDTCIAS","CSCI49",IF(A4035="RID_HCPTM","CHCPT_",IF(LEFT(A4035,1)="C",A4035,MID(A4035,6,LEN(A4035)-5)))))</f>
        <v>#VALUE!</v>
      </c>
      <c r="H4035" s="63" t="e">
        <f t="shared" ref="H4035:H4098" si="127">IF(OR(G4035="MJG1",G4035="MJG2"),"MJG",G4035)&amp;"_"&amp;B4035</f>
        <v>#VALUE!</v>
      </c>
    </row>
    <row r="4036" spans="7:8">
      <c r="G4036" s="63" t="e">
        <f t="shared" si="126"/>
        <v>#VALUE!</v>
      </c>
      <c r="H4036" s="63" t="e">
        <f t="shared" si="127"/>
        <v>#VALUE!</v>
      </c>
    </row>
    <row r="4037" spans="7:8">
      <c r="G4037" s="63" t="e">
        <f t="shared" si="126"/>
        <v>#VALUE!</v>
      </c>
      <c r="H4037" s="63" t="e">
        <f t="shared" si="127"/>
        <v>#VALUE!</v>
      </c>
    </row>
    <row r="4038" spans="7:8">
      <c r="G4038" s="63" t="e">
        <f t="shared" si="126"/>
        <v>#VALUE!</v>
      </c>
      <c r="H4038" s="63" t="e">
        <f t="shared" si="127"/>
        <v>#VALUE!</v>
      </c>
    </row>
    <row r="4039" spans="7:8">
      <c r="G4039" s="63" t="e">
        <f t="shared" si="126"/>
        <v>#VALUE!</v>
      </c>
      <c r="H4039" s="63" t="e">
        <f t="shared" si="127"/>
        <v>#VALUE!</v>
      </c>
    </row>
    <row r="4040" spans="7:8">
      <c r="G4040" s="63" t="e">
        <f t="shared" si="126"/>
        <v>#VALUE!</v>
      </c>
      <c r="H4040" s="63" t="e">
        <f t="shared" si="127"/>
        <v>#VALUE!</v>
      </c>
    </row>
    <row r="4041" spans="7:8">
      <c r="G4041" s="63" t="e">
        <f t="shared" si="126"/>
        <v>#VALUE!</v>
      </c>
      <c r="H4041" s="63" t="e">
        <f t="shared" si="127"/>
        <v>#VALUE!</v>
      </c>
    </row>
    <row r="4042" spans="7:8">
      <c r="G4042" s="63" t="e">
        <f t="shared" si="126"/>
        <v>#VALUE!</v>
      </c>
      <c r="H4042" s="63" t="e">
        <f t="shared" si="127"/>
        <v>#VALUE!</v>
      </c>
    </row>
    <row r="4043" spans="7:8">
      <c r="G4043" s="63" t="e">
        <f t="shared" si="126"/>
        <v>#VALUE!</v>
      </c>
      <c r="H4043" s="63" t="e">
        <f t="shared" si="127"/>
        <v>#VALUE!</v>
      </c>
    </row>
    <row r="4044" spans="7:8">
      <c r="G4044" s="63" t="e">
        <f t="shared" si="126"/>
        <v>#VALUE!</v>
      </c>
      <c r="H4044" s="63" t="e">
        <f t="shared" si="127"/>
        <v>#VALUE!</v>
      </c>
    </row>
    <row r="4045" spans="7:8">
      <c r="G4045" s="63" t="e">
        <f t="shared" si="126"/>
        <v>#VALUE!</v>
      </c>
      <c r="H4045" s="63" t="e">
        <f t="shared" si="127"/>
        <v>#VALUE!</v>
      </c>
    </row>
    <row r="4046" spans="7:8">
      <c r="G4046" s="63" t="e">
        <f t="shared" si="126"/>
        <v>#VALUE!</v>
      </c>
      <c r="H4046" s="63" t="e">
        <f t="shared" si="127"/>
        <v>#VALUE!</v>
      </c>
    </row>
    <row r="4047" spans="7:8">
      <c r="G4047" s="63" t="e">
        <f t="shared" si="126"/>
        <v>#VALUE!</v>
      </c>
      <c r="H4047" s="63" t="e">
        <f t="shared" si="127"/>
        <v>#VALUE!</v>
      </c>
    </row>
    <row r="4048" spans="7:8">
      <c r="G4048" s="63" t="e">
        <f t="shared" si="126"/>
        <v>#VALUE!</v>
      </c>
      <c r="H4048" s="63" t="e">
        <f t="shared" si="127"/>
        <v>#VALUE!</v>
      </c>
    </row>
    <row r="4049" spans="7:8">
      <c r="G4049" s="63" t="e">
        <f t="shared" si="126"/>
        <v>#VALUE!</v>
      </c>
      <c r="H4049" s="63" t="e">
        <f t="shared" si="127"/>
        <v>#VALUE!</v>
      </c>
    </row>
    <row r="4050" spans="7:8">
      <c r="G4050" s="63" t="e">
        <f t="shared" si="126"/>
        <v>#VALUE!</v>
      </c>
      <c r="H4050" s="63" t="e">
        <f t="shared" si="127"/>
        <v>#VALUE!</v>
      </c>
    </row>
    <row r="4051" spans="7:8">
      <c r="G4051" s="63" t="e">
        <f t="shared" si="126"/>
        <v>#VALUE!</v>
      </c>
      <c r="H4051" s="63" t="e">
        <f t="shared" si="127"/>
        <v>#VALUE!</v>
      </c>
    </row>
    <row r="4052" spans="7:8">
      <c r="G4052" s="63" t="e">
        <f t="shared" si="126"/>
        <v>#VALUE!</v>
      </c>
      <c r="H4052" s="63" t="e">
        <f t="shared" si="127"/>
        <v>#VALUE!</v>
      </c>
    </row>
    <row r="4053" spans="7:8">
      <c r="G4053" s="63" t="e">
        <f t="shared" si="126"/>
        <v>#VALUE!</v>
      </c>
      <c r="H4053" s="63" t="e">
        <f t="shared" si="127"/>
        <v>#VALUE!</v>
      </c>
    </row>
    <row r="4054" spans="7:8">
      <c r="G4054" s="63" t="e">
        <f t="shared" si="126"/>
        <v>#VALUE!</v>
      </c>
      <c r="H4054" s="63" t="e">
        <f t="shared" si="127"/>
        <v>#VALUE!</v>
      </c>
    </row>
    <row r="4055" spans="7:8">
      <c r="G4055" s="63" t="e">
        <f t="shared" si="126"/>
        <v>#VALUE!</v>
      </c>
      <c r="H4055" s="63" t="e">
        <f t="shared" si="127"/>
        <v>#VALUE!</v>
      </c>
    </row>
    <row r="4056" spans="7:8">
      <c r="G4056" s="63" t="e">
        <f t="shared" si="126"/>
        <v>#VALUE!</v>
      </c>
      <c r="H4056" s="63" t="e">
        <f t="shared" si="127"/>
        <v>#VALUE!</v>
      </c>
    </row>
    <row r="4057" spans="7:8">
      <c r="G4057" s="63" t="e">
        <f t="shared" si="126"/>
        <v>#VALUE!</v>
      </c>
      <c r="H4057" s="63" t="e">
        <f t="shared" si="127"/>
        <v>#VALUE!</v>
      </c>
    </row>
    <row r="4058" spans="7:8">
      <c r="G4058" s="63" t="e">
        <f t="shared" si="126"/>
        <v>#VALUE!</v>
      </c>
      <c r="H4058" s="63" t="e">
        <f t="shared" si="127"/>
        <v>#VALUE!</v>
      </c>
    </row>
    <row r="4059" spans="7:8">
      <c r="G4059" s="63" t="e">
        <f t="shared" si="126"/>
        <v>#VALUE!</v>
      </c>
      <c r="H4059" s="63" t="e">
        <f t="shared" si="127"/>
        <v>#VALUE!</v>
      </c>
    </row>
    <row r="4060" spans="7:8">
      <c r="G4060" s="63" t="e">
        <f t="shared" si="126"/>
        <v>#VALUE!</v>
      </c>
      <c r="H4060" s="63" t="e">
        <f t="shared" si="127"/>
        <v>#VALUE!</v>
      </c>
    </row>
    <row r="4061" spans="7:8">
      <c r="G4061" s="63" t="e">
        <f t="shared" si="126"/>
        <v>#VALUE!</v>
      </c>
      <c r="H4061" s="63" t="e">
        <f t="shared" si="127"/>
        <v>#VALUE!</v>
      </c>
    </row>
    <row r="4062" spans="7:8">
      <c r="G4062" s="63" t="e">
        <f t="shared" si="126"/>
        <v>#VALUE!</v>
      </c>
      <c r="H4062" s="63" t="e">
        <f t="shared" si="127"/>
        <v>#VALUE!</v>
      </c>
    </row>
    <row r="4063" spans="7:8">
      <c r="G4063" s="63" t="e">
        <f t="shared" si="126"/>
        <v>#VALUE!</v>
      </c>
      <c r="H4063" s="63" t="e">
        <f t="shared" si="127"/>
        <v>#VALUE!</v>
      </c>
    </row>
    <row r="4064" spans="7:8">
      <c r="G4064" s="63" t="e">
        <f t="shared" si="126"/>
        <v>#VALUE!</v>
      </c>
      <c r="H4064" s="63" t="e">
        <f t="shared" si="127"/>
        <v>#VALUE!</v>
      </c>
    </row>
    <row r="4065" spans="7:8">
      <c r="G4065" s="63" t="e">
        <f t="shared" si="126"/>
        <v>#VALUE!</v>
      </c>
      <c r="H4065" s="63" t="e">
        <f t="shared" si="127"/>
        <v>#VALUE!</v>
      </c>
    </row>
    <row r="4066" spans="7:8">
      <c r="G4066" s="63" t="e">
        <f t="shared" si="126"/>
        <v>#VALUE!</v>
      </c>
      <c r="H4066" s="63" t="e">
        <f t="shared" si="127"/>
        <v>#VALUE!</v>
      </c>
    </row>
    <row r="4067" spans="7:8">
      <c r="G4067" s="63" t="e">
        <f t="shared" si="126"/>
        <v>#VALUE!</v>
      </c>
      <c r="H4067" s="63" t="e">
        <f t="shared" si="127"/>
        <v>#VALUE!</v>
      </c>
    </row>
    <row r="4068" spans="7:8">
      <c r="G4068" s="63" t="e">
        <f t="shared" si="126"/>
        <v>#VALUE!</v>
      </c>
      <c r="H4068" s="63" t="e">
        <f t="shared" si="127"/>
        <v>#VALUE!</v>
      </c>
    </row>
    <row r="4069" spans="7:8">
      <c r="G4069" s="63" t="e">
        <f t="shared" si="126"/>
        <v>#VALUE!</v>
      </c>
      <c r="H4069" s="63" t="e">
        <f t="shared" si="127"/>
        <v>#VALUE!</v>
      </c>
    </row>
    <row r="4070" spans="7:8">
      <c r="G4070" s="63" t="e">
        <f t="shared" si="126"/>
        <v>#VALUE!</v>
      </c>
      <c r="H4070" s="63" t="e">
        <f t="shared" si="127"/>
        <v>#VALUE!</v>
      </c>
    </row>
    <row r="4071" spans="7:8">
      <c r="G4071" s="63" t="e">
        <f t="shared" si="126"/>
        <v>#VALUE!</v>
      </c>
      <c r="H4071" s="63" t="e">
        <f t="shared" si="127"/>
        <v>#VALUE!</v>
      </c>
    </row>
    <row r="4072" spans="7:8">
      <c r="G4072" s="63" t="e">
        <f t="shared" si="126"/>
        <v>#VALUE!</v>
      </c>
      <c r="H4072" s="63" t="e">
        <f t="shared" si="127"/>
        <v>#VALUE!</v>
      </c>
    </row>
    <row r="4073" spans="7:8">
      <c r="G4073" s="63" t="e">
        <f t="shared" si="126"/>
        <v>#VALUE!</v>
      </c>
      <c r="H4073" s="63" t="e">
        <f t="shared" si="127"/>
        <v>#VALUE!</v>
      </c>
    </row>
    <row r="4074" spans="7:8">
      <c r="G4074" s="63" t="e">
        <f t="shared" si="126"/>
        <v>#VALUE!</v>
      </c>
      <c r="H4074" s="63" t="e">
        <f t="shared" si="127"/>
        <v>#VALUE!</v>
      </c>
    </row>
    <row r="4075" spans="7:8">
      <c r="G4075" s="63" t="e">
        <f t="shared" si="126"/>
        <v>#VALUE!</v>
      </c>
      <c r="H4075" s="63" t="e">
        <f t="shared" si="127"/>
        <v>#VALUE!</v>
      </c>
    </row>
    <row r="4076" spans="7:8">
      <c r="G4076" s="63" t="e">
        <f t="shared" si="126"/>
        <v>#VALUE!</v>
      </c>
      <c r="H4076" s="63" t="e">
        <f t="shared" si="127"/>
        <v>#VALUE!</v>
      </c>
    </row>
    <row r="4077" spans="7:8">
      <c r="G4077" s="63" t="e">
        <f t="shared" si="126"/>
        <v>#VALUE!</v>
      </c>
      <c r="H4077" s="63" t="e">
        <f t="shared" si="127"/>
        <v>#VALUE!</v>
      </c>
    </row>
    <row r="4078" spans="7:8">
      <c r="G4078" s="63" t="e">
        <f t="shared" si="126"/>
        <v>#VALUE!</v>
      </c>
      <c r="H4078" s="63" t="e">
        <f t="shared" si="127"/>
        <v>#VALUE!</v>
      </c>
    </row>
    <row r="4079" spans="7:8">
      <c r="G4079" s="63" t="e">
        <f t="shared" si="126"/>
        <v>#VALUE!</v>
      </c>
      <c r="H4079" s="63" t="e">
        <f t="shared" si="127"/>
        <v>#VALUE!</v>
      </c>
    </row>
    <row r="4080" spans="7:8">
      <c r="G4080" s="63" t="e">
        <f t="shared" si="126"/>
        <v>#VALUE!</v>
      </c>
      <c r="H4080" s="63" t="e">
        <f t="shared" si="127"/>
        <v>#VALUE!</v>
      </c>
    </row>
    <row r="4081" spans="7:8">
      <c r="G4081" s="63" t="e">
        <f t="shared" si="126"/>
        <v>#VALUE!</v>
      </c>
      <c r="H4081" s="63" t="e">
        <f t="shared" si="127"/>
        <v>#VALUE!</v>
      </c>
    </row>
    <row r="4082" spans="7:8">
      <c r="G4082" s="63" t="e">
        <f t="shared" si="126"/>
        <v>#VALUE!</v>
      </c>
      <c r="H4082" s="63" t="e">
        <f t="shared" si="127"/>
        <v>#VALUE!</v>
      </c>
    </row>
    <row r="4083" spans="7:8">
      <c r="G4083" s="63" t="e">
        <f t="shared" si="126"/>
        <v>#VALUE!</v>
      </c>
      <c r="H4083" s="63" t="e">
        <f t="shared" si="127"/>
        <v>#VALUE!</v>
      </c>
    </row>
    <row r="4084" spans="7:8">
      <c r="G4084" s="63" t="e">
        <f t="shared" si="126"/>
        <v>#VALUE!</v>
      </c>
      <c r="H4084" s="63" t="e">
        <f t="shared" si="127"/>
        <v>#VALUE!</v>
      </c>
    </row>
    <row r="4085" spans="7:8">
      <c r="G4085" s="63" t="e">
        <f t="shared" si="126"/>
        <v>#VALUE!</v>
      </c>
      <c r="H4085" s="63" t="e">
        <f t="shared" si="127"/>
        <v>#VALUE!</v>
      </c>
    </row>
    <row r="4086" spans="7:8">
      <c r="G4086" s="63" t="e">
        <f t="shared" si="126"/>
        <v>#VALUE!</v>
      </c>
      <c r="H4086" s="63" t="e">
        <f t="shared" si="127"/>
        <v>#VALUE!</v>
      </c>
    </row>
    <row r="4087" spans="7:8">
      <c r="G4087" s="63" t="e">
        <f t="shared" si="126"/>
        <v>#VALUE!</v>
      </c>
      <c r="H4087" s="63" t="e">
        <f t="shared" si="127"/>
        <v>#VALUE!</v>
      </c>
    </row>
    <row r="4088" spans="7:8">
      <c r="G4088" s="63" t="e">
        <f t="shared" si="126"/>
        <v>#VALUE!</v>
      </c>
      <c r="H4088" s="63" t="e">
        <f t="shared" si="127"/>
        <v>#VALUE!</v>
      </c>
    </row>
    <row r="4089" spans="7:8">
      <c r="G4089" s="63" t="e">
        <f t="shared" si="126"/>
        <v>#VALUE!</v>
      </c>
      <c r="H4089" s="63" t="e">
        <f t="shared" si="127"/>
        <v>#VALUE!</v>
      </c>
    </row>
    <row r="4090" spans="7:8">
      <c r="G4090" s="63" t="e">
        <f t="shared" si="126"/>
        <v>#VALUE!</v>
      </c>
      <c r="H4090" s="63" t="e">
        <f t="shared" si="127"/>
        <v>#VALUE!</v>
      </c>
    </row>
    <row r="4091" spans="7:8">
      <c r="G4091" s="63" t="e">
        <f t="shared" si="126"/>
        <v>#VALUE!</v>
      </c>
      <c r="H4091" s="63" t="e">
        <f t="shared" si="127"/>
        <v>#VALUE!</v>
      </c>
    </row>
    <row r="4092" spans="7:8">
      <c r="G4092" s="63" t="e">
        <f t="shared" si="126"/>
        <v>#VALUE!</v>
      </c>
      <c r="H4092" s="63" t="e">
        <f t="shared" si="127"/>
        <v>#VALUE!</v>
      </c>
    </row>
    <row r="4093" spans="7:8">
      <c r="G4093" s="63" t="e">
        <f t="shared" si="126"/>
        <v>#VALUE!</v>
      </c>
      <c r="H4093" s="63" t="e">
        <f t="shared" si="127"/>
        <v>#VALUE!</v>
      </c>
    </row>
    <row r="4094" spans="7:8">
      <c r="G4094" s="63" t="e">
        <f t="shared" si="126"/>
        <v>#VALUE!</v>
      </c>
      <c r="H4094" s="63" t="e">
        <f t="shared" si="127"/>
        <v>#VALUE!</v>
      </c>
    </row>
    <row r="4095" spans="7:8">
      <c r="G4095" s="63" t="e">
        <f t="shared" si="126"/>
        <v>#VALUE!</v>
      </c>
      <c r="H4095" s="63" t="e">
        <f t="shared" si="127"/>
        <v>#VALUE!</v>
      </c>
    </row>
    <row r="4096" spans="7:8">
      <c r="G4096" s="63" t="e">
        <f t="shared" si="126"/>
        <v>#VALUE!</v>
      </c>
      <c r="H4096" s="63" t="e">
        <f t="shared" si="127"/>
        <v>#VALUE!</v>
      </c>
    </row>
    <row r="4097" spans="7:8">
      <c r="G4097" s="63" t="e">
        <f t="shared" si="126"/>
        <v>#VALUE!</v>
      </c>
      <c r="H4097" s="63" t="e">
        <f t="shared" si="127"/>
        <v>#VALUE!</v>
      </c>
    </row>
    <row r="4098" spans="7:8">
      <c r="G4098" s="63" t="e">
        <f t="shared" si="126"/>
        <v>#VALUE!</v>
      </c>
      <c r="H4098" s="63" t="e">
        <f t="shared" si="127"/>
        <v>#VALUE!</v>
      </c>
    </row>
    <row r="4099" spans="7:8">
      <c r="G4099" s="63" t="e">
        <f t="shared" ref="G4099:G4162" si="128">IF(OR(A4099="RID_PB77",A4099="RID_PB77A3"),"WPCI77",IF(A4099="RIDTCIAS","CSCI49",IF(A4099="RID_HCPTM","CHCPT_",IF(LEFT(A4099,1)="C",A4099,MID(A4099,6,LEN(A4099)-5)))))</f>
        <v>#VALUE!</v>
      </c>
      <c r="H4099" s="63" t="e">
        <f t="shared" ref="H4099:H4162" si="129">IF(OR(G4099="MJG1",G4099="MJG2"),"MJG",G4099)&amp;"_"&amp;B4099</f>
        <v>#VALUE!</v>
      </c>
    </row>
    <row r="4100" spans="7:8">
      <c r="G4100" s="63" t="e">
        <f t="shared" si="128"/>
        <v>#VALUE!</v>
      </c>
      <c r="H4100" s="63" t="e">
        <f t="shared" si="129"/>
        <v>#VALUE!</v>
      </c>
    </row>
    <row r="4101" spans="7:8">
      <c r="G4101" s="63" t="e">
        <f t="shared" si="128"/>
        <v>#VALUE!</v>
      </c>
      <c r="H4101" s="63" t="e">
        <f t="shared" si="129"/>
        <v>#VALUE!</v>
      </c>
    </row>
    <row r="4102" spans="7:8">
      <c r="G4102" s="63" t="e">
        <f t="shared" si="128"/>
        <v>#VALUE!</v>
      </c>
      <c r="H4102" s="63" t="e">
        <f t="shared" si="129"/>
        <v>#VALUE!</v>
      </c>
    </row>
    <row r="4103" spans="7:8">
      <c r="G4103" s="63" t="e">
        <f t="shared" si="128"/>
        <v>#VALUE!</v>
      </c>
      <c r="H4103" s="63" t="e">
        <f t="shared" si="129"/>
        <v>#VALUE!</v>
      </c>
    </row>
    <row r="4104" spans="7:8">
      <c r="G4104" s="63" t="e">
        <f t="shared" si="128"/>
        <v>#VALUE!</v>
      </c>
      <c r="H4104" s="63" t="e">
        <f t="shared" si="129"/>
        <v>#VALUE!</v>
      </c>
    </row>
    <row r="4105" spans="7:8">
      <c r="G4105" s="63" t="e">
        <f t="shared" si="128"/>
        <v>#VALUE!</v>
      </c>
      <c r="H4105" s="63" t="e">
        <f t="shared" si="129"/>
        <v>#VALUE!</v>
      </c>
    </row>
    <row r="4106" spans="7:8">
      <c r="G4106" s="63" t="e">
        <f t="shared" si="128"/>
        <v>#VALUE!</v>
      </c>
      <c r="H4106" s="63" t="e">
        <f t="shared" si="129"/>
        <v>#VALUE!</v>
      </c>
    </row>
    <row r="4107" spans="7:8">
      <c r="G4107" s="63" t="e">
        <f t="shared" si="128"/>
        <v>#VALUE!</v>
      </c>
      <c r="H4107" s="63" t="e">
        <f t="shared" si="129"/>
        <v>#VALUE!</v>
      </c>
    </row>
    <row r="4108" spans="7:8">
      <c r="G4108" s="63" t="e">
        <f t="shared" si="128"/>
        <v>#VALUE!</v>
      </c>
      <c r="H4108" s="63" t="e">
        <f t="shared" si="129"/>
        <v>#VALUE!</v>
      </c>
    </row>
    <row r="4109" spans="7:8">
      <c r="G4109" s="63" t="e">
        <f t="shared" si="128"/>
        <v>#VALUE!</v>
      </c>
      <c r="H4109" s="63" t="e">
        <f t="shared" si="129"/>
        <v>#VALUE!</v>
      </c>
    </row>
    <row r="4110" spans="7:8">
      <c r="G4110" s="63" t="e">
        <f t="shared" si="128"/>
        <v>#VALUE!</v>
      </c>
      <c r="H4110" s="63" t="e">
        <f t="shared" si="129"/>
        <v>#VALUE!</v>
      </c>
    </row>
    <row r="4111" spans="7:8">
      <c r="G4111" s="63" t="e">
        <f t="shared" si="128"/>
        <v>#VALUE!</v>
      </c>
      <c r="H4111" s="63" t="e">
        <f t="shared" si="129"/>
        <v>#VALUE!</v>
      </c>
    </row>
    <row r="4112" spans="7:8">
      <c r="G4112" s="63" t="e">
        <f t="shared" si="128"/>
        <v>#VALUE!</v>
      </c>
      <c r="H4112" s="63" t="e">
        <f t="shared" si="129"/>
        <v>#VALUE!</v>
      </c>
    </row>
    <row r="4113" spans="7:8">
      <c r="G4113" s="63" t="e">
        <f t="shared" si="128"/>
        <v>#VALUE!</v>
      </c>
      <c r="H4113" s="63" t="e">
        <f t="shared" si="129"/>
        <v>#VALUE!</v>
      </c>
    </row>
    <row r="4114" spans="7:8">
      <c r="G4114" s="63" t="e">
        <f t="shared" si="128"/>
        <v>#VALUE!</v>
      </c>
      <c r="H4114" s="63" t="e">
        <f t="shared" si="129"/>
        <v>#VALUE!</v>
      </c>
    </row>
    <row r="4115" spans="7:8">
      <c r="G4115" s="63" t="e">
        <f t="shared" si="128"/>
        <v>#VALUE!</v>
      </c>
      <c r="H4115" s="63" t="e">
        <f t="shared" si="129"/>
        <v>#VALUE!</v>
      </c>
    </row>
    <row r="4116" spans="7:8">
      <c r="G4116" s="63" t="e">
        <f t="shared" si="128"/>
        <v>#VALUE!</v>
      </c>
      <c r="H4116" s="63" t="e">
        <f t="shared" si="129"/>
        <v>#VALUE!</v>
      </c>
    </row>
    <row r="4117" spans="7:8">
      <c r="G4117" s="63" t="e">
        <f t="shared" si="128"/>
        <v>#VALUE!</v>
      </c>
      <c r="H4117" s="63" t="e">
        <f t="shared" si="129"/>
        <v>#VALUE!</v>
      </c>
    </row>
    <row r="4118" spans="7:8">
      <c r="G4118" s="63" t="e">
        <f t="shared" si="128"/>
        <v>#VALUE!</v>
      </c>
      <c r="H4118" s="63" t="e">
        <f t="shared" si="129"/>
        <v>#VALUE!</v>
      </c>
    </row>
    <row r="4119" spans="7:8">
      <c r="G4119" s="63" t="e">
        <f t="shared" si="128"/>
        <v>#VALUE!</v>
      </c>
      <c r="H4119" s="63" t="e">
        <f t="shared" si="129"/>
        <v>#VALUE!</v>
      </c>
    </row>
    <row r="4120" spans="7:8">
      <c r="G4120" s="63" t="e">
        <f t="shared" si="128"/>
        <v>#VALUE!</v>
      </c>
      <c r="H4120" s="63" t="e">
        <f t="shared" si="129"/>
        <v>#VALUE!</v>
      </c>
    </row>
    <row r="4121" spans="7:8">
      <c r="G4121" s="63" t="e">
        <f t="shared" si="128"/>
        <v>#VALUE!</v>
      </c>
      <c r="H4121" s="63" t="e">
        <f t="shared" si="129"/>
        <v>#VALUE!</v>
      </c>
    </row>
    <row r="4122" spans="7:8">
      <c r="G4122" s="63" t="e">
        <f t="shared" si="128"/>
        <v>#VALUE!</v>
      </c>
      <c r="H4122" s="63" t="e">
        <f t="shared" si="129"/>
        <v>#VALUE!</v>
      </c>
    </row>
    <row r="4123" spans="7:8">
      <c r="G4123" s="63" t="e">
        <f t="shared" si="128"/>
        <v>#VALUE!</v>
      </c>
      <c r="H4123" s="63" t="e">
        <f t="shared" si="129"/>
        <v>#VALUE!</v>
      </c>
    </row>
    <row r="4124" spans="7:8">
      <c r="G4124" s="63" t="e">
        <f t="shared" si="128"/>
        <v>#VALUE!</v>
      </c>
      <c r="H4124" s="63" t="e">
        <f t="shared" si="129"/>
        <v>#VALUE!</v>
      </c>
    </row>
    <row r="4125" spans="7:8">
      <c r="G4125" s="63" t="e">
        <f t="shared" si="128"/>
        <v>#VALUE!</v>
      </c>
      <c r="H4125" s="63" t="e">
        <f t="shared" si="129"/>
        <v>#VALUE!</v>
      </c>
    </row>
    <row r="4126" spans="7:8">
      <c r="G4126" s="63" t="e">
        <f t="shared" si="128"/>
        <v>#VALUE!</v>
      </c>
      <c r="H4126" s="63" t="e">
        <f t="shared" si="129"/>
        <v>#VALUE!</v>
      </c>
    </row>
    <row r="4127" spans="7:8">
      <c r="G4127" s="63" t="e">
        <f t="shared" si="128"/>
        <v>#VALUE!</v>
      </c>
      <c r="H4127" s="63" t="e">
        <f t="shared" si="129"/>
        <v>#VALUE!</v>
      </c>
    </row>
    <row r="4128" spans="7:8">
      <c r="G4128" s="63" t="e">
        <f t="shared" si="128"/>
        <v>#VALUE!</v>
      </c>
      <c r="H4128" s="63" t="e">
        <f t="shared" si="129"/>
        <v>#VALUE!</v>
      </c>
    </row>
    <row r="4129" spans="7:8">
      <c r="G4129" s="63" t="e">
        <f t="shared" si="128"/>
        <v>#VALUE!</v>
      </c>
      <c r="H4129" s="63" t="e">
        <f t="shared" si="129"/>
        <v>#VALUE!</v>
      </c>
    </row>
    <row r="4130" spans="7:8">
      <c r="G4130" s="63" t="e">
        <f t="shared" si="128"/>
        <v>#VALUE!</v>
      </c>
      <c r="H4130" s="63" t="e">
        <f t="shared" si="129"/>
        <v>#VALUE!</v>
      </c>
    </row>
    <row r="4131" spans="7:8">
      <c r="G4131" s="63" t="e">
        <f t="shared" si="128"/>
        <v>#VALUE!</v>
      </c>
      <c r="H4131" s="63" t="e">
        <f t="shared" si="129"/>
        <v>#VALUE!</v>
      </c>
    </row>
    <row r="4132" spans="7:8">
      <c r="G4132" s="63" t="e">
        <f t="shared" si="128"/>
        <v>#VALUE!</v>
      </c>
      <c r="H4132" s="63" t="e">
        <f t="shared" si="129"/>
        <v>#VALUE!</v>
      </c>
    </row>
    <row r="4133" spans="7:8">
      <c r="G4133" s="63" t="e">
        <f t="shared" si="128"/>
        <v>#VALUE!</v>
      </c>
      <c r="H4133" s="63" t="e">
        <f t="shared" si="129"/>
        <v>#VALUE!</v>
      </c>
    </row>
    <row r="4134" spans="7:8">
      <c r="G4134" s="63" t="e">
        <f t="shared" si="128"/>
        <v>#VALUE!</v>
      </c>
      <c r="H4134" s="63" t="e">
        <f t="shared" si="129"/>
        <v>#VALUE!</v>
      </c>
    </row>
    <row r="4135" spans="7:8">
      <c r="G4135" s="63" t="e">
        <f t="shared" si="128"/>
        <v>#VALUE!</v>
      </c>
      <c r="H4135" s="63" t="e">
        <f t="shared" si="129"/>
        <v>#VALUE!</v>
      </c>
    </row>
    <row r="4136" spans="7:8">
      <c r="G4136" s="63" t="e">
        <f t="shared" si="128"/>
        <v>#VALUE!</v>
      </c>
      <c r="H4136" s="63" t="e">
        <f t="shared" si="129"/>
        <v>#VALUE!</v>
      </c>
    </row>
    <row r="4137" spans="7:8">
      <c r="G4137" s="63" t="e">
        <f t="shared" si="128"/>
        <v>#VALUE!</v>
      </c>
      <c r="H4137" s="63" t="e">
        <f t="shared" si="129"/>
        <v>#VALUE!</v>
      </c>
    </row>
    <row r="4138" spans="7:8">
      <c r="G4138" s="63" t="e">
        <f t="shared" si="128"/>
        <v>#VALUE!</v>
      </c>
      <c r="H4138" s="63" t="e">
        <f t="shared" si="129"/>
        <v>#VALUE!</v>
      </c>
    </row>
    <row r="4139" spans="7:8">
      <c r="G4139" s="63" t="e">
        <f t="shared" si="128"/>
        <v>#VALUE!</v>
      </c>
      <c r="H4139" s="63" t="e">
        <f t="shared" si="129"/>
        <v>#VALUE!</v>
      </c>
    </row>
    <row r="4140" spans="7:8">
      <c r="G4140" s="63" t="e">
        <f t="shared" si="128"/>
        <v>#VALUE!</v>
      </c>
      <c r="H4140" s="63" t="e">
        <f t="shared" si="129"/>
        <v>#VALUE!</v>
      </c>
    </row>
    <row r="4141" spans="7:8">
      <c r="G4141" s="63" t="e">
        <f t="shared" si="128"/>
        <v>#VALUE!</v>
      </c>
      <c r="H4141" s="63" t="e">
        <f t="shared" si="129"/>
        <v>#VALUE!</v>
      </c>
    </row>
    <row r="4142" spans="7:8">
      <c r="G4142" s="63" t="e">
        <f t="shared" si="128"/>
        <v>#VALUE!</v>
      </c>
      <c r="H4142" s="63" t="e">
        <f t="shared" si="129"/>
        <v>#VALUE!</v>
      </c>
    </row>
    <row r="4143" spans="7:8">
      <c r="G4143" s="63" t="e">
        <f t="shared" si="128"/>
        <v>#VALUE!</v>
      </c>
      <c r="H4143" s="63" t="e">
        <f t="shared" si="129"/>
        <v>#VALUE!</v>
      </c>
    </row>
    <row r="4144" spans="7:8">
      <c r="G4144" s="63" t="e">
        <f t="shared" si="128"/>
        <v>#VALUE!</v>
      </c>
      <c r="H4144" s="63" t="e">
        <f t="shared" si="129"/>
        <v>#VALUE!</v>
      </c>
    </row>
    <row r="4145" spans="7:8">
      <c r="G4145" s="63" t="e">
        <f t="shared" si="128"/>
        <v>#VALUE!</v>
      </c>
      <c r="H4145" s="63" t="e">
        <f t="shared" si="129"/>
        <v>#VALUE!</v>
      </c>
    </row>
    <row r="4146" spans="7:8">
      <c r="G4146" s="63" t="e">
        <f t="shared" si="128"/>
        <v>#VALUE!</v>
      </c>
      <c r="H4146" s="63" t="e">
        <f t="shared" si="129"/>
        <v>#VALUE!</v>
      </c>
    </row>
    <row r="4147" spans="7:8">
      <c r="G4147" s="63" t="e">
        <f t="shared" si="128"/>
        <v>#VALUE!</v>
      </c>
      <c r="H4147" s="63" t="e">
        <f t="shared" si="129"/>
        <v>#VALUE!</v>
      </c>
    </row>
    <row r="4148" spans="7:8">
      <c r="G4148" s="63" t="e">
        <f t="shared" si="128"/>
        <v>#VALUE!</v>
      </c>
      <c r="H4148" s="63" t="e">
        <f t="shared" si="129"/>
        <v>#VALUE!</v>
      </c>
    </row>
    <row r="4149" spans="7:8">
      <c r="G4149" s="63" t="e">
        <f t="shared" si="128"/>
        <v>#VALUE!</v>
      </c>
      <c r="H4149" s="63" t="e">
        <f t="shared" si="129"/>
        <v>#VALUE!</v>
      </c>
    </row>
    <row r="4150" spans="7:8">
      <c r="G4150" s="63" t="e">
        <f t="shared" si="128"/>
        <v>#VALUE!</v>
      </c>
      <c r="H4150" s="63" t="e">
        <f t="shared" si="129"/>
        <v>#VALUE!</v>
      </c>
    </row>
    <row r="4151" spans="7:8">
      <c r="G4151" s="63" t="e">
        <f t="shared" si="128"/>
        <v>#VALUE!</v>
      </c>
      <c r="H4151" s="63" t="e">
        <f t="shared" si="129"/>
        <v>#VALUE!</v>
      </c>
    </row>
    <row r="4152" spans="7:8">
      <c r="G4152" s="63" t="e">
        <f t="shared" si="128"/>
        <v>#VALUE!</v>
      </c>
      <c r="H4152" s="63" t="e">
        <f t="shared" si="129"/>
        <v>#VALUE!</v>
      </c>
    </row>
    <row r="4153" spans="7:8">
      <c r="G4153" s="63" t="e">
        <f t="shared" si="128"/>
        <v>#VALUE!</v>
      </c>
      <c r="H4153" s="63" t="e">
        <f t="shared" si="129"/>
        <v>#VALUE!</v>
      </c>
    </row>
    <row r="4154" spans="7:8">
      <c r="G4154" s="63" t="e">
        <f t="shared" si="128"/>
        <v>#VALUE!</v>
      </c>
      <c r="H4154" s="63" t="e">
        <f t="shared" si="129"/>
        <v>#VALUE!</v>
      </c>
    </row>
    <row r="4155" spans="7:8">
      <c r="G4155" s="63" t="e">
        <f t="shared" si="128"/>
        <v>#VALUE!</v>
      </c>
      <c r="H4155" s="63" t="e">
        <f t="shared" si="129"/>
        <v>#VALUE!</v>
      </c>
    </row>
    <row r="4156" spans="7:8">
      <c r="G4156" s="63" t="e">
        <f t="shared" si="128"/>
        <v>#VALUE!</v>
      </c>
      <c r="H4156" s="63" t="e">
        <f t="shared" si="129"/>
        <v>#VALUE!</v>
      </c>
    </row>
    <row r="4157" spans="7:8">
      <c r="G4157" s="63" t="e">
        <f t="shared" si="128"/>
        <v>#VALUE!</v>
      </c>
      <c r="H4157" s="63" t="e">
        <f t="shared" si="129"/>
        <v>#VALUE!</v>
      </c>
    </row>
    <row r="4158" spans="7:8">
      <c r="G4158" s="63" t="e">
        <f t="shared" si="128"/>
        <v>#VALUE!</v>
      </c>
      <c r="H4158" s="63" t="e">
        <f t="shared" si="129"/>
        <v>#VALUE!</v>
      </c>
    </row>
    <row r="4159" spans="7:8">
      <c r="G4159" s="63" t="e">
        <f t="shared" si="128"/>
        <v>#VALUE!</v>
      </c>
      <c r="H4159" s="63" t="e">
        <f t="shared" si="129"/>
        <v>#VALUE!</v>
      </c>
    </row>
    <row r="4160" spans="7:8">
      <c r="G4160" s="63" t="e">
        <f t="shared" si="128"/>
        <v>#VALUE!</v>
      </c>
      <c r="H4160" s="63" t="e">
        <f t="shared" si="129"/>
        <v>#VALUE!</v>
      </c>
    </row>
    <row r="4161" spans="7:8">
      <c r="G4161" s="63" t="e">
        <f t="shared" si="128"/>
        <v>#VALUE!</v>
      </c>
      <c r="H4161" s="63" t="e">
        <f t="shared" si="129"/>
        <v>#VALUE!</v>
      </c>
    </row>
    <row r="4162" spans="7:8">
      <c r="G4162" s="63" t="e">
        <f t="shared" si="128"/>
        <v>#VALUE!</v>
      </c>
      <c r="H4162" s="63" t="e">
        <f t="shared" si="129"/>
        <v>#VALUE!</v>
      </c>
    </row>
    <row r="4163" spans="7:8">
      <c r="G4163" s="63" t="e">
        <f t="shared" ref="G4163:G4226" si="130">IF(OR(A4163="RID_PB77",A4163="RID_PB77A3"),"WPCI77",IF(A4163="RIDTCIAS","CSCI49",IF(A4163="RID_HCPTM","CHCPT_",IF(LEFT(A4163,1)="C",A4163,MID(A4163,6,LEN(A4163)-5)))))</f>
        <v>#VALUE!</v>
      </c>
      <c r="H4163" s="63" t="e">
        <f t="shared" ref="H4163:H4226" si="131">IF(OR(G4163="MJG1",G4163="MJG2"),"MJG",G4163)&amp;"_"&amp;B4163</f>
        <v>#VALUE!</v>
      </c>
    </row>
    <row r="4164" spans="7:8">
      <c r="G4164" s="63" t="e">
        <f t="shared" si="130"/>
        <v>#VALUE!</v>
      </c>
      <c r="H4164" s="63" t="e">
        <f t="shared" si="131"/>
        <v>#VALUE!</v>
      </c>
    </row>
    <row r="4165" spans="7:8">
      <c r="G4165" s="63" t="e">
        <f t="shared" si="130"/>
        <v>#VALUE!</v>
      </c>
      <c r="H4165" s="63" t="e">
        <f t="shared" si="131"/>
        <v>#VALUE!</v>
      </c>
    </row>
    <row r="4166" spans="7:8">
      <c r="G4166" s="63" t="e">
        <f t="shared" si="130"/>
        <v>#VALUE!</v>
      </c>
      <c r="H4166" s="63" t="e">
        <f t="shared" si="131"/>
        <v>#VALUE!</v>
      </c>
    </row>
    <row r="4167" spans="7:8">
      <c r="G4167" s="63" t="e">
        <f t="shared" si="130"/>
        <v>#VALUE!</v>
      </c>
      <c r="H4167" s="63" t="e">
        <f t="shared" si="131"/>
        <v>#VALUE!</v>
      </c>
    </row>
    <row r="4168" spans="7:8">
      <c r="G4168" s="63" t="e">
        <f t="shared" si="130"/>
        <v>#VALUE!</v>
      </c>
      <c r="H4168" s="63" t="e">
        <f t="shared" si="131"/>
        <v>#VALUE!</v>
      </c>
    </row>
    <row r="4169" spans="7:8">
      <c r="G4169" s="63" t="e">
        <f t="shared" si="130"/>
        <v>#VALUE!</v>
      </c>
      <c r="H4169" s="63" t="e">
        <f t="shared" si="131"/>
        <v>#VALUE!</v>
      </c>
    </row>
    <row r="4170" spans="7:8">
      <c r="G4170" s="63" t="e">
        <f t="shared" si="130"/>
        <v>#VALUE!</v>
      </c>
      <c r="H4170" s="63" t="e">
        <f t="shared" si="131"/>
        <v>#VALUE!</v>
      </c>
    </row>
    <row r="4171" spans="7:8">
      <c r="G4171" s="63" t="e">
        <f t="shared" si="130"/>
        <v>#VALUE!</v>
      </c>
      <c r="H4171" s="63" t="e">
        <f t="shared" si="131"/>
        <v>#VALUE!</v>
      </c>
    </row>
    <row r="4172" spans="7:8">
      <c r="G4172" s="63" t="e">
        <f t="shared" si="130"/>
        <v>#VALUE!</v>
      </c>
      <c r="H4172" s="63" t="e">
        <f t="shared" si="131"/>
        <v>#VALUE!</v>
      </c>
    </row>
    <row r="4173" spans="7:8">
      <c r="G4173" s="63" t="e">
        <f t="shared" si="130"/>
        <v>#VALUE!</v>
      </c>
      <c r="H4173" s="63" t="e">
        <f t="shared" si="131"/>
        <v>#VALUE!</v>
      </c>
    </row>
    <row r="4174" spans="7:8">
      <c r="G4174" s="63" t="e">
        <f t="shared" si="130"/>
        <v>#VALUE!</v>
      </c>
      <c r="H4174" s="63" t="e">
        <f t="shared" si="131"/>
        <v>#VALUE!</v>
      </c>
    </row>
    <row r="4175" spans="7:8">
      <c r="G4175" s="63" t="e">
        <f t="shared" si="130"/>
        <v>#VALUE!</v>
      </c>
      <c r="H4175" s="63" t="e">
        <f t="shared" si="131"/>
        <v>#VALUE!</v>
      </c>
    </row>
    <row r="4176" spans="7:8">
      <c r="G4176" s="63" t="e">
        <f t="shared" si="130"/>
        <v>#VALUE!</v>
      </c>
      <c r="H4176" s="63" t="e">
        <f t="shared" si="131"/>
        <v>#VALUE!</v>
      </c>
    </row>
    <row r="4177" spans="7:8">
      <c r="G4177" s="63" t="e">
        <f t="shared" si="130"/>
        <v>#VALUE!</v>
      </c>
      <c r="H4177" s="63" t="e">
        <f t="shared" si="131"/>
        <v>#VALUE!</v>
      </c>
    </row>
    <row r="4178" spans="7:8">
      <c r="G4178" s="63" t="e">
        <f t="shared" si="130"/>
        <v>#VALUE!</v>
      </c>
      <c r="H4178" s="63" t="e">
        <f t="shared" si="131"/>
        <v>#VALUE!</v>
      </c>
    </row>
    <row r="4179" spans="7:8">
      <c r="G4179" s="63" t="e">
        <f t="shared" si="130"/>
        <v>#VALUE!</v>
      </c>
      <c r="H4179" s="63" t="e">
        <f t="shared" si="131"/>
        <v>#VALUE!</v>
      </c>
    </row>
    <row r="4180" spans="7:8">
      <c r="G4180" s="63" t="e">
        <f t="shared" si="130"/>
        <v>#VALUE!</v>
      </c>
      <c r="H4180" s="63" t="e">
        <f t="shared" si="131"/>
        <v>#VALUE!</v>
      </c>
    </row>
    <row r="4181" spans="7:8">
      <c r="G4181" s="63" t="e">
        <f t="shared" si="130"/>
        <v>#VALUE!</v>
      </c>
      <c r="H4181" s="63" t="e">
        <f t="shared" si="131"/>
        <v>#VALUE!</v>
      </c>
    </row>
    <row r="4182" spans="7:8">
      <c r="G4182" s="63" t="e">
        <f t="shared" si="130"/>
        <v>#VALUE!</v>
      </c>
      <c r="H4182" s="63" t="e">
        <f t="shared" si="131"/>
        <v>#VALUE!</v>
      </c>
    </row>
    <row r="4183" spans="7:8">
      <c r="G4183" s="63" t="e">
        <f t="shared" si="130"/>
        <v>#VALUE!</v>
      </c>
      <c r="H4183" s="63" t="e">
        <f t="shared" si="131"/>
        <v>#VALUE!</v>
      </c>
    </row>
    <row r="4184" spans="7:8">
      <c r="G4184" s="63" t="e">
        <f t="shared" si="130"/>
        <v>#VALUE!</v>
      </c>
      <c r="H4184" s="63" t="e">
        <f t="shared" si="131"/>
        <v>#VALUE!</v>
      </c>
    </row>
    <row r="4185" spans="7:8">
      <c r="G4185" s="63" t="e">
        <f t="shared" si="130"/>
        <v>#VALUE!</v>
      </c>
      <c r="H4185" s="63" t="e">
        <f t="shared" si="131"/>
        <v>#VALUE!</v>
      </c>
    </row>
    <row r="4186" spans="7:8">
      <c r="G4186" s="63" t="e">
        <f t="shared" si="130"/>
        <v>#VALUE!</v>
      </c>
      <c r="H4186" s="63" t="e">
        <f t="shared" si="131"/>
        <v>#VALUE!</v>
      </c>
    </row>
    <row r="4187" spans="7:8">
      <c r="G4187" s="63" t="e">
        <f t="shared" si="130"/>
        <v>#VALUE!</v>
      </c>
      <c r="H4187" s="63" t="e">
        <f t="shared" si="131"/>
        <v>#VALUE!</v>
      </c>
    </row>
    <row r="4188" spans="7:8">
      <c r="G4188" s="63" t="e">
        <f t="shared" si="130"/>
        <v>#VALUE!</v>
      </c>
      <c r="H4188" s="63" t="e">
        <f t="shared" si="131"/>
        <v>#VALUE!</v>
      </c>
    </row>
    <row r="4189" spans="7:8">
      <c r="G4189" s="63" t="e">
        <f t="shared" si="130"/>
        <v>#VALUE!</v>
      </c>
      <c r="H4189" s="63" t="e">
        <f t="shared" si="131"/>
        <v>#VALUE!</v>
      </c>
    </row>
    <row r="4190" spans="7:8">
      <c r="G4190" s="63" t="e">
        <f t="shared" si="130"/>
        <v>#VALUE!</v>
      </c>
      <c r="H4190" s="63" t="e">
        <f t="shared" si="131"/>
        <v>#VALUE!</v>
      </c>
    </row>
    <row r="4191" spans="7:8">
      <c r="G4191" s="63" t="e">
        <f t="shared" si="130"/>
        <v>#VALUE!</v>
      </c>
      <c r="H4191" s="63" t="e">
        <f t="shared" si="131"/>
        <v>#VALUE!</v>
      </c>
    </row>
    <row r="4192" spans="7:8">
      <c r="G4192" s="63" t="e">
        <f t="shared" si="130"/>
        <v>#VALUE!</v>
      </c>
      <c r="H4192" s="63" t="e">
        <f t="shared" si="131"/>
        <v>#VALUE!</v>
      </c>
    </row>
    <row r="4193" spans="7:8">
      <c r="G4193" s="63" t="e">
        <f t="shared" si="130"/>
        <v>#VALUE!</v>
      </c>
      <c r="H4193" s="63" t="e">
        <f t="shared" si="131"/>
        <v>#VALUE!</v>
      </c>
    </row>
    <row r="4194" spans="7:8">
      <c r="G4194" s="63" t="e">
        <f t="shared" si="130"/>
        <v>#VALUE!</v>
      </c>
      <c r="H4194" s="63" t="e">
        <f t="shared" si="131"/>
        <v>#VALUE!</v>
      </c>
    </row>
    <row r="4195" spans="7:8">
      <c r="G4195" s="63" t="e">
        <f t="shared" si="130"/>
        <v>#VALUE!</v>
      </c>
      <c r="H4195" s="63" t="e">
        <f t="shared" si="131"/>
        <v>#VALUE!</v>
      </c>
    </row>
    <row r="4196" spans="7:8">
      <c r="G4196" s="63" t="e">
        <f t="shared" si="130"/>
        <v>#VALUE!</v>
      </c>
      <c r="H4196" s="63" t="e">
        <f t="shared" si="131"/>
        <v>#VALUE!</v>
      </c>
    </row>
    <row r="4197" spans="7:8">
      <c r="G4197" s="63" t="e">
        <f t="shared" si="130"/>
        <v>#VALUE!</v>
      </c>
      <c r="H4197" s="63" t="e">
        <f t="shared" si="131"/>
        <v>#VALUE!</v>
      </c>
    </row>
    <row r="4198" spans="7:8">
      <c r="G4198" s="63" t="e">
        <f t="shared" si="130"/>
        <v>#VALUE!</v>
      </c>
      <c r="H4198" s="63" t="e">
        <f t="shared" si="131"/>
        <v>#VALUE!</v>
      </c>
    </row>
    <row r="4199" spans="7:8">
      <c r="G4199" s="63" t="e">
        <f t="shared" si="130"/>
        <v>#VALUE!</v>
      </c>
      <c r="H4199" s="63" t="e">
        <f t="shared" si="131"/>
        <v>#VALUE!</v>
      </c>
    </row>
    <row r="4200" spans="7:8">
      <c r="G4200" s="63" t="e">
        <f t="shared" si="130"/>
        <v>#VALUE!</v>
      </c>
      <c r="H4200" s="63" t="e">
        <f t="shared" si="131"/>
        <v>#VALUE!</v>
      </c>
    </row>
    <row r="4201" spans="7:8">
      <c r="G4201" s="63" t="e">
        <f t="shared" si="130"/>
        <v>#VALUE!</v>
      </c>
      <c r="H4201" s="63" t="e">
        <f t="shared" si="131"/>
        <v>#VALUE!</v>
      </c>
    </row>
    <row r="4202" spans="7:8">
      <c r="G4202" s="63" t="e">
        <f t="shared" si="130"/>
        <v>#VALUE!</v>
      </c>
      <c r="H4202" s="63" t="e">
        <f t="shared" si="131"/>
        <v>#VALUE!</v>
      </c>
    </row>
    <row r="4203" spans="7:8">
      <c r="G4203" s="63" t="e">
        <f t="shared" si="130"/>
        <v>#VALUE!</v>
      </c>
      <c r="H4203" s="63" t="e">
        <f t="shared" si="131"/>
        <v>#VALUE!</v>
      </c>
    </row>
    <row r="4204" spans="7:8">
      <c r="G4204" s="63" t="e">
        <f t="shared" si="130"/>
        <v>#VALUE!</v>
      </c>
      <c r="H4204" s="63" t="e">
        <f t="shared" si="131"/>
        <v>#VALUE!</v>
      </c>
    </row>
    <row r="4205" spans="7:8">
      <c r="G4205" s="63" t="e">
        <f t="shared" si="130"/>
        <v>#VALUE!</v>
      </c>
      <c r="H4205" s="63" t="e">
        <f t="shared" si="131"/>
        <v>#VALUE!</v>
      </c>
    </row>
    <row r="4206" spans="7:8">
      <c r="G4206" s="63" t="e">
        <f t="shared" si="130"/>
        <v>#VALUE!</v>
      </c>
      <c r="H4206" s="63" t="e">
        <f t="shared" si="131"/>
        <v>#VALUE!</v>
      </c>
    </row>
    <row r="4207" spans="7:8">
      <c r="G4207" s="63" t="e">
        <f t="shared" si="130"/>
        <v>#VALUE!</v>
      </c>
      <c r="H4207" s="63" t="e">
        <f t="shared" si="131"/>
        <v>#VALUE!</v>
      </c>
    </row>
    <row r="4208" spans="7:8">
      <c r="G4208" s="63" t="e">
        <f t="shared" si="130"/>
        <v>#VALUE!</v>
      </c>
      <c r="H4208" s="63" t="e">
        <f t="shared" si="131"/>
        <v>#VALUE!</v>
      </c>
    </row>
    <row r="4209" spans="7:8">
      <c r="G4209" s="63" t="e">
        <f t="shared" si="130"/>
        <v>#VALUE!</v>
      </c>
      <c r="H4209" s="63" t="e">
        <f t="shared" si="131"/>
        <v>#VALUE!</v>
      </c>
    </row>
    <row r="4210" spans="7:8">
      <c r="G4210" s="63" t="e">
        <f t="shared" si="130"/>
        <v>#VALUE!</v>
      </c>
      <c r="H4210" s="63" t="e">
        <f t="shared" si="131"/>
        <v>#VALUE!</v>
      </c>
    </row>
    <row r="4211" spans="7:8">
      <c r="G4211" s="63" t="e">
        <f t="shared" si="130"/>
        <v>#VALUE!</v>
      </c>
      <c r="H4211" s="63" t="e">
        <f t="shared" si="131"/>
        <v>#VALUE!</v>
      </c>
    </row>
    <row r="4212" spans="7:8">
      <c r="G4212" s="63" t="e">
        <f t="shared" si="130"/>
        <v>#VALUE!</v>
      </c>
      <c r="H4212" s="63" t="e">
        <f t="shared" si="131"/>
        <v>#VALUE!</v>
      </c>
    </row>
    <row r="4213" spans="7:8">
      <c r="G4213" s="63" t="e">
        <f t="shared" si="130"/>
        <v>#VALUE!</v>
      </c>
      <c r="H4213" s="63" t="e">
        <f t="shared" si="131"/>
        <v>#VALUE!</v>
      </c>
    </row>
    <row r="4214" spans="7:8">
      <c r="G4214" s="63" t="e">
        <f t="shared" si="130"/>
        <v>#VALUE!</v>
      </c>
      <c r="H4214" s="63" t="e">
        <f t="shared" si="131"/>
        <v>#VALUE!</v>
      </c>
    </row>
    <row r="4215" spans="7:8">
      <c r="G4215" s="63" t="e">
        <f t="shared" si="130"/>
        <v>#VALUE!</v>
      </c>
      <c r="H4215" s="63" t="e">
        <f t="shared" si="131"/>
        <v>#VALUE!</v>
      </c>
    </row>
    <row r="4216" spans="7:8">
      <c r="G4216" s="63" t="e">
        <f t="shared" si="130"/>
        <v>#VALUE!</v>
      </c>
      <c r="H4216" s="63" t="e">
        <f t="shared" si="131"/>
        <v>#VALUE!</v>
      </c>
    </row>
    <row r="4217" spans="7:8">
      <c r="G4217" s="63" t="e">
        <f t="shared" si="130"/>
        <v>#VALUE!</v>
      </c>
      <c r="H4217" s="63" t="e">
        <f t="shared" si="131"/>
        <v>#VALUE!</v>
      </c>
    </row>
    <row r="4218" spans="7:8">
      <c r="G4218" s="63" t="e">
        <f t="shared" si="130"/>
        <v>#VALUE!</v>
      </c>
      <c r="H4218" s="63" t="e">
        <f t="shared" si="131"/>
        <v>#VALUE!</v>
      </c>
    </row>
    <row r="4219" spans="7:8">
      <c r="G4219" s="63" t="e">
        <f t="shared" si="130"/>
        <v>#VALUE!</v>
      </c>
      <c r="H4219" s="63" t="e">
        <f t="shared" si="131"/>
        <v>#VALUE!</v>
      </c>
    </row>
    <row r="4220" spans="7:8">
      <c r="G4220" s="63" t="e">
        <f t="shared" si="130"/>
        <v>#VALUE!</v>
      </c>
      <c r="H4220" s="63" t="e">
        <f t="shared" si="131"/>
        <v>#VALUE!</v>
      </c>
    </row>
    <row r="4221" spans="7:8">
      <c r="G4221" s="63" t="e">
        <f t="shared" si="130"/>
        <v>#VALUE!</v>
      </c>
      <c r="H4221" s="63" t="e">
        <f t="shared" si="131"/>
        <v>#VALUE!</v>
      </c>
    </row>
    <row r="4222" spans="7:8">
      <c r="G4222" s="63" t="e">
        <f t="shared" si="130"/>
        <v>#VALUE!</v>
      </c>
      <c r="H4222" s="63" t="e">
        <f t="shared" si="131"/>
        <v>#VALUE!</v>
      </c>
    </row>
    <row r="4223" spans="7:8">
      <c r="G4223" s="63" t="e">
        <f t="shared" si="130"/>
        <v>#VALUE!</v>
      </c>
      <c r="H4223" s="63" t="e">
        <f t="shared" si="131"/>
        <v>#VALUE!</v>
      </c>
    </row>
    <row r="4224" spans="7:8">
      <c r="G4224" s="63" t="e">
        <f t="shared" si="130"/>
        <v>#VALUE!</v>
      </c>
      <c r="H4224" s="63" t="e">
        <f t="shared" si="131"/>
        <v>#VALUE!</v>
      </c>
    </row>
    <row r="4225" spans="7:8">
      <c r="G4225" s="63" t="e">
        <f t="shared" si="130"/>
        <v>#VALUE!</v>
      </c>
      <c r="H4225" s="63" t="e">
        <f t="shared" si="131"/>
        <v>#VALUE!</v>
      </c>
    </row>
    <row r="4226" spans="7:8">
      <c r="G4226" s="63" t="e">
        <f t="shared" si="130"/>
        <v>#VALUE!</v>
      </c>
      <c r="H4226" s="63" t="e">
        <f t="shared" si="131"/>
        <v>#VALUE!</v>
      </c>
    </row>
    <row r="4227" spans="7:8">
      <c r="G4227" s="63" t="e">
        <f t="shared" ref="G4227:G4290" si="132">IF(OR(A4227="RID_PB77",A4227="RID_PB77A3"),"WPCI77",IF(A4227="RIDTCIAS","CSCI49",IF(A4227="RID_HCPTM","CHCPT_",IF(LEFT(A4227,1)="C",A4227,MID(A4227,6,LEN(A4227)-5)))))</f>
        <v>#VALUE!</v>
      </c>
      <c r="H4227" s="63" t="e">
        <f t="shared" ref="H4227:H4290" si="133">IF(OR(G4227="MJG1",G4227="MJG2"),"MJG",G4227)&amp;"_"&amp;B4227</f>
        <v>#VALUE!</v>
      </c>
    </row>
    <row r="4228" spans="7:8">
      <c r="G4228" s="63" t="e">
        <f t="shared" si="132"/>
        <v>#VALUE!</v>
      </c>
      <c r="H4228" s="63" t="e">
        <f t="shared" si="133"/>
        <v>#VALUE!</v>
      </c>
    </row>
    <row r="4229" spans="7:8">
      <c r="G4229" s="63" t="e">
        <f t="shared" si="132"/>
        <v>#VALUE!</v>
      </c>
      <c r="H4229" s="63" t="e">
        <f t="shared" si="133"/>
        <v>#VALUE!</v>
      </c>
    </row>
    <row r="4230" spans="7:8">
      <c r="G4230" s="63" t="e">
        <f t="shared" si="132"/>
        <v>#VALUE!</v>
      </c>
      <c r="H4230" s="63" t="e">
        <f t="shared" si="133"/>
        <v>#VALUE!</v>
      </c>
    </row>
    <row r="4231" spans="7:8">
      <c r="G4231" s="63" t="e">
        <f t="shared" si="132"/>
        <v>#VALUE!</v>
      </c>
      <c r="H4231" s="63" t="e">
        <f t="shared" si="133"/>
        <v>#VALUE!</v>
      </c>
    </row>
    <row r="4232" spans="7:8">
      <c r="G4232" s="63" t="e">
        <f t="shared" si="132"/>
        <v>#VALUE!</v>
      </c>
      <c r="H4232" s="63" t="e">
        <f t="shared" si="133"/>
        <v>#VALUE!</v>
      </c>
    </row>
    <row r="4233" spans="7:8">
      <c r="G4233" s="63" t="e">
        <f t="shared" si="132"/>
        <v>#VALUE!</v>
      </c>
      <c r="H4233" s="63" t="e">
        <f t="shared" si="133"/>
        <v>#VALUE!</v>
      </c>
    </row>
    <row r="4234" spans="7:8">
      <c r="G4234" s="63" t="e">
        <f t="shared" si="132"/>
        <v>#VALUE!</v>
      </c>
      <c r="H4234" s="63" t="e">
        <f t="shared" si="133"/>
        <v>#VALUE!</v>
      </c>
    </row>
    <row r="4235" spans="7:8">
      <c r="G4235" s="63" t="e">
        <f t="shared" si="132"/>
        <v>#VALUE!</v>
      </c>
      <c r="H4235" s="63" t="e">
        <f t="shared" si="133"/>
        <v>#VALUE!</v>
      </c>
    </row>
    <row r="4236" spans="7:8">
      <c r="G4236" s="63" t="e">
        <f t="shared" si="132"/>
        <v>#VALUE!</v>
      </c>
      <c r="H4236" s="63" t="e">
        <f t="shared" si="133"/>
        <v>#VALUE!</v>
      </c>
    </row>
    <row r="4237" spans="7:8">
      <c r="G4237" s="63" t="e">
        <f t="shared" si="132"/>
        <v>#VALUE!</v>
      </c>
      <c r="H4237" s="63" t="e">
        <f t="shared" si="133"/>
        <v>#VALUE!</v>
      </c>
    </row>
    <row r="4238" spans="7:8">
      <c r="G4238" s="63" t="e">
        <f t="shared" si="132"/>
        <v>#VALUE!</v>
      </c>
      <c r="H4238" s="63" t="e">
        <f t="shared" si="133"/>
        <v>#VALUE!</v>
      </c>
    </row>
    <row r="4239" spans="7:8">
      <c r="G4239" s="63" t="e">
        <f t="shared" si="132"/>
        <v>#VALUE!</v>
      </c>
      <c r="H4239" s="63" t="e">
        <f t="shared" si="133"/>
        <v>#VALUE!</v>
      </c>
    </row>
    <row r="4240" spans="7:8">
      <c r="G4240" s="63" t="e">
        <f t="shared" si="132"/>
        <v>#VALUE!</v>
      </c>
      <c r="H4240" s="63" t="e">
        <f t="shared" si="133"/>
        <v>#VALUE!</v>
      </c>
    </row>
    <row r="4241" spans="7:8">
      <c r="G4241" s="63" t="e">
        <f t="shared" si="132"/>
        <v>#VALUE!</v>
      </c>
      <c r="H4241" s="63" t="e">
        <f t="shared" si="133"/>
        <v>#VALUE!</v>
      </c>
    </row>
    <row r="4242" spans="7:8">
      <c r="G4242" s="63" t="e">
        <f t="shared" si="132"/>
        <v>#VALUE!</v>
      </c>
      <c r="H4242" s="63" t="e">
        <f t="shared" si="133"/>
        <v>#VALUE!</v>
      </c>
    </row>
    <row r="4243" spans="7:8">
      <c r="G4243" s="63" t="e">
        <f t="shared" si="132"/>
        <v>#VALUE!</v>
      </c>
      <c r="H4243" s="63" t="e">
        <f t="shared" si="133"/>
        <v>#VALUE!</v>
      </c>
    </row>
    <row r="4244" spans="7:8">
      <c r="G4244" s="63" t="e">
        <f t="shared" si="132"/>
        <v>#VALUE!</v>
      </c>
      <c r="H4244" s="63" t="e">
        <f t="shared" si="133"/>
        <v>#VALUE!</v>
      </c>
    </row>
    <row r="4245" spans="7:8">
      <c r="G4245" s="63" t="e">
        <f t="shared" si="132"/>
        <v>#VALUE!</v>
      </c>
      <c r="H4245" s="63" t="e">
        <f t="shared" si="133"/>
        <v>#VALUE!</v>
      </c>
    </row>
    <row r="4246" spans="7:8">
      <c r="G4246" s="63" t="e">
        <f t="shared" si="132"/>
        <v>#VALUE!</v>
      </c>
      <c r="H4246" s="63" t="e">
        <f t="shared" si="133"/>
        <v>#VALUE!</v>
      </c>
    </row>
    <row r="4247" spans="7:8">
      <c r="G4247" s="63" t="e">
        <f t="shared" si="132"/>
        <v>#VALUE!</v>
      </c>
      <c r="H4247" s="63" t="e">
        <f t="shared" si="133"/>
        <v>#VALUE!</v>
      </c>
    </row>
    <row r="4248" spans="7:8">
      <c r="G4248" s="63" t="e">
        <f t="shared" si="132"/>
        <v>#VALUE!</v>
      </c>
      <c r="H4248" s="63" t="e">
        <f t="shared" si="133"/>
        <v>#VALUE!</v>
      </c>
    </row>
    <row r="4249" spans="7:8">
      <c r="G4249" s="63" t="e">
        <f t="shared" si="132"/>
        <v>#VALUE!</v>
      </c>
      <c r="H4249" s="63" t="e">
        <f t="shared" si="133"/>
        <v>#VALUE!</v>
      </c>
    </row>
    <row r="4250" spans="7:8">
      <c r="G4250" s="63" t="e">
        <f t="shared" si="132"/>
        <v>#VALUE!</v>
      </c>
      <c r="H4250" s="63" t="e">
        <f t="shared" si="133"/>
        <v>#VALUE!</v>
      </c>
    </row>
    <row r="4251" spans="7:8">
      <c r="G4251" s="63" t="e">
        <f t="shared" si="132"/>
        <v>#VALUE!</v>
      </c>
      <c r="H4251" s="63" t="e">
        <f t="shared" si="133"/>
        <v>#VALUE!</v>
      </c>
    </row>
    <row r="4252" spans="7:8">
      <c r="G4252" s="63" t="e">
        <f t="shared" si="132"/>
        <v>#VALUE!</v>
      </c>
      <c r="H4252" s="63" t="e">
        <f t="shared" si="133"/>
        <v>#VALUE!</v>
      </c>
    </row>
    <row r="4253" spans="7:8">
      <c r="G4253" s="63" t="e">
        <f t="shared" si="132"/>
        <v>#VALUE!</v>
      </c>
      <c r="H4253" s="63" t="e">
        <f t="shared" si="133"/>
        <v>#VALUE!</v>
      </c>
    </row>
    <row r="4254" spans="7:8">
      <c r="G4254" s="63" t="e">
        <f t="shared" si="132"/>
        <v>#VALUE!</v>
      </c>
      <c r="H4254" s="63" t="e">
        <f t="shared" si="133"/>
        <v>#VALUE!</v>
      </c>
    </row>
    <row r="4255" spans="7:8">
      <c r="G4255" s="63" t="e">
        <f t="shared" si="132"/>
        <v>#VALUE!</v>
      </c>
      <c r="H4255" s="63" t="e">
        <f t="shared" si="133"/>
        <v>#VALUE!</v>
      </c>
    </row>
    <row r="4256" spans="7:8">
      <c r="G4256" s="63" t="e">
        <f t="shared" si="132"/>
        <v>#VALUE!</v>
      </c>
      <c r="H4256" s="63" t="e">
        <f t="shared" si="133"/>
        <v>#VALUE!</v>
      </c>
    </row>
    <row r="4257" spans="7:8">
      <c r="G4257" s="63" t="e">
        <f t="shared" si="132"/>
        <v>#VALUE!</v>
      </c>
      <c r="H4257" s="63" t="e">
        <f t="shared" si="133"/>
        <v>#VALUE!</v>
      </c>
    </row>
    <row r="4258" spans="7:8">
      <c r="G4258" s="63" t="e">
        <f t="shared" si="132"/>
        <v>#VALUE!</v>
      </c>
      <c r="H4258" s="63" t="e">
        <f t="shared" si="133"/>
        <v>#VALUE!</v>
      </c>
    </row>
    <row r="4259" spans="7:8">
      <c r="G4259" s="63" t="e">
        <f t="shared" si="132"/>
        <v>#VALUE!</v>
      </c>
      <c r="H4259" s="63" t="e">
        <f t="shared" si="133"/>
        <v>#VALUE!</v>
      </c>
    </row>
    <row r="4260" spans="7:8">
      <c r="G4260" s="63" t="e">
        <f t="shared" si="132"/>
        <v>#VALUE!</v>
      </c>
      <c r="H4260" s="63" t="e">
        <f t="shared" si="133"/>
        <v>#VALUE!</v>
      </c>
    </row>
    <row r="4261" spans="7:8">
      <c r="G4261" s="63" t="e">
        <f t="shared" si="132"/>
        <v>#VALUE!</v>
      </c>
      <c r="H4261" s="63" t="e">
        <f t="shared" si="133"/>
        <v>#VALUE!</v>
      </c>
    </row>
    <row r="4262" spans="7:8">
      <c r="G4262" s="63" t="e">
        <f t="shared" si="132"/>
        <v>#VALUE!</v>
      </c>
      <c r="H4262" s="63" t="e">
        <f t="shared" si="133"/>
        <v>#VALUE!</v>
      </c>
    </row>
    <row r="4263" spans="7:8">
      <c r="G4263" s="63" t="e">
        <f t="shared" si="132"/>
        <v>#VALUE!</v>
      </c>
      <c r="H4263" s="63" t="e">
        <f t="shared" si="133"/>
        <v>#VALUE!</v>
      </c>
    </row>
    <row r="4264" spans="7:8">
      <c r="G4264" s="63" t="e">
        <f t="shared" si="132"/>
        <v>#VALUE!</v>
      </c>
      <c r="H4264" s="63" t="e">
        <f t="shared" si="133"/>
        <v>#VALUE!</v>
      </c>
    </row>
    <row r="4265" spans="7:8">
      <c r="G4265" s="63" t="e">
        <f t="shared" si="132"/>
        <v>#VALUE!</v>
      </c>
      <c r="H4265" s="63" t="e">
        <f t="shared" si="133"/>
        <v>#VALUE!</v>
      </c>
    </row>
    <row r="4266" spans="7:8">
      <c r="G4266" s="63" t="e">
        <f t="shared" si="132"/>
        <v>#VALUE!</v>
      </c>
      <c r="H4266" s="63" t="e">
        <f t="shared" si="133"/>
        <v>#VALUE!</v>
      </c>
    </row>
    <row r="4267" spans="7:8">
      <c r="G4267" s="63" t="e">
        <f t="shared" si="132"/>
        <v>#VALUE!</v>
      </c>
      <c r="H4267" s="63" t="e">
        <f t="shared" si="133"/>
        <v>#VALUE!</v>
      </c>
    </row>
    <row r="4268" spans="7:8">
      <c r="G4268" s="63" t="e">
        <f t="shared" si="132"/>
        <v>#VALUE!</v>
      </c>
      <c r="H4268" s="63" t="e">
        <f t="shared" si="133"/>
        <v>#VALUE!</v>
      </c>
    </row>
    <row r="4269" spans="7:8">
      <c r="G4269" s="63" t="e">
        <f t="shared" si="132"/>
        <v>#VALUE!</v>
      </c>
      <c r="H4269" s="63" t="e">
        <f t="shared" si="133"/>
        <v>#VALUE!</v>
      </c>
    </row>
    <row r="4270" spans="7:8">
      <c r="G4270" s="63" t="e">
        <f t="shared" si="132"/>
        <v>#VALUE!</v>
      </c>
      <c r="H4270" s="63" t="e">
        <f t="shared" si="133"/>
        <v>#VALUE!</v>
      </c>
    </row>
    <row r="4271" spans="7:8">
      <c r="G4271" s="63" t="e">
        <f t="shared" si="132"/>
        <v>#VALUE!</v>
      </c>
      <c r="H4271" s="63" t="e">
        <f t="shared" si="133"/>
        <v>#VALUE!</v>
      </c>
    </row>
    <row r="4272" spans="7:8">
      <c r="G4272" s="63" t="e">
        <f t="shared" si="132"/>
        <v>#VALUE!</v>
      </c>
      <c r="H4272" s="63" t="e">
        <f t="shared" si="133"/>
        <v>#VALUE!</v>
      </c>
    </row>
    <row r="4273" spans="7:8">
      <c r="G4273" s="63" t="e">
        <f t="shared" si="132"/>
        <v>#VALUE!</v>
      </c>
      <c r="H4273" s="63" t="e">
        <f t="shared" si="133"/>
        <v>#VALUE!</v>
      </c>
    </row>
    <row r="4274" spans="7:8">
      <c r="G4274" s="63" t="e">
        <f t="shared" si="132"/>
        <v>#VALUE!</v>
      </c>
      <c r="H4274" s="63" t="e">
        <f t="shared" si="133"/>
        <v>#VALUE!</v>
      </c>
    </row>
    <row r="4275" spans="7:8">
      <c r="G4275" s="63" t="e">
        <f t="shared" si="132"/>
        <v>#VALUE!</v>
      </c>
      <c r="H4275" s="63" t="e">
        <f t="shared" si="133"/>
        <v>#VALUE!</v>
      </c>
    </row>
    <row r="4276" spans="7:8">
      <c r="G4276" s="63" t="e">
        <f t="shared" si="132"/>
        <v>#VALUE!</v>
      </c>
      <c r="H4276" s="63" t="e">
        <f t="shared" si="133"/>
        <v>#VALUE!</v>
      </c>
    </row>
    <row r="4277" spans="7:8">
      <c r="G4277" s="63" t="e">
        <f t="shared" si="132"/>
        <v>#VALUE!</v>
      </c>
      <c r="H4277" s="63" t="e">
        <f t="shared" si="133"/>
        <v>#VALUE!</v>
      </c>
    </row>
    <row r="4278" spans="7:8">
      <c r="G4278" s="63" t="e">
        <f t="shared" si="132"/>
        <v>#VALUE!</v>
      </c>
      <c r="H4278" s="63" t="e">
        <f t="shared" si="133"/>
        <v>#VALUE!</v>
      </c>
    </row>
    <row r="4279" spans="7:8">
      <c r="G4279" s="63" t="e">
        <f t="shared" si="132"/>
        <v>#VALUE!</v>
      </c>
      <c r="H4279" s="63" t="e">
        <f t="shared" si="133"/>
        <v>#VALUE!</v>
      </c>
    </row>
    <row r="4280" spans="7:8">
      <c r="G4280" s="63" t="e">
        <f t="shared" si="132"/>
        <v>#VALUE!</v>
      </c>
      <c r="H4280" s="63" t="e">
        <f t="shared" si="133"/>
        <v>#VALUE!</v>
      </c>
    </row>
    <row r="4281" spans="7:8">
      <c r="G4281" s="63" t="e">
        <f t="shared" si="132"/>
        <v>#VALUE!</v>
      </c>
      <c r="H4281" s="63" t="e">
        <f t="shared" si="133"/>
        <v>#VALUE!</v>
      </c>
    </row>
    <row r="4282" spans="7:8">
      <c r="G4282" s="63" t="e">
        <f t="shared" si="132"/>
        <v>#VALUE!</v>
      </c>
      <c r="H4282" s="63" t="e">
        <f t="shared" si="133"/>
        <v>#VALUE!</v>
      </c>
    </row>
    <row r="4283" spans="7:8">
      <c r="G4283" s="63" t="e">
        <f t="shared" si="132"/>
        <v>#VALUE!</v>
      </c>
      <c r="H4283" s="63" t="e">
        <f t="shared" si="133"/>
        <v>#VALUE!</v>
      </c>
    </row>
    <row r="4284" spans="7:8">
      <c r="G4284" s="63" t="e">
        <f t="shared" si="132"/>
        <v>#VALUE!</v>
      </c>
      <c r="H4284" s="63" t="e">
        <f t="shared" si="133"/>
        <v>#VALUE!</v>
      </c>
    </row>
    <row r="4285" spans="7:8">
      <c r="G4285" s="63" t="e">
        <f t="shared" si="132"/>
        <v>#VALUE!</v>
      </c>
      <c r="H4285" s="63" t="e">
        <f t="shared" si="133"/>
        <v>#VALUE!</v>
      </c>
    </row>
    <row r="4286" spans="7:8">
      <c r="G4286" s="63" t="e">
        <f t="shared" si="132"/>
        <v>#VALUE!</v>
      </c>
      <c r="H4286" s="63" t="e">
        <f t="shared" si="133"/>
        <v>#VALUE!</v>
      </c>
    </row>
    <row r="4287" spans="7:8">
      <c r="G4287" s="63" t="e">
        <f t="shared" si="132"/>
        <v>#VALUE!</v>
      </c>
      <c r="H4287" s="63" t="e">
        <f t="shared" si="133"/>
        <v>#VALUE!</v>
      </c>
    </row>
    <row r="4288" spans="7:8">
      <c r="G4288" s="63" t="e">
        <f t="shared" si="132"/>
        <v>#VALUE!</v>
      </c>
      <c r="H4288" s="63" t="e">
        <f t="shared" si="133"/>
        <v>#VALUE!</v>
      </c>
    </row>
    <row r="4289" spans="7:8">
      <c r="G4289" s="63" t="e">
        <f t="shared" si="132"/>
        <v>#VALUE!</v>
      </c>
      <c r="H4289" s="63" t="e">
        <f t="shared" si="133"/>
        <v>#VALUE!</v>
      </c>
    </row>
    <row r="4290" spans="7:8">
      <c r="G4290" s="63" t="e">
        <f t="shared" si="132"/>
        <v>#VALUE!</v>
      </c>
      <c r="H4290" s="63" t="e">
        <f t="shared" si="133"/>
        <v>#VALUE!</v>
      </c>
    </row>
    <row r="4291" spans="7:8">
      <c r="G4291" s="63" t="e">
        <f t="shared" ref="G4291:G4354" si="134">IF(OR(A4291="RID_PB77",A4291="RID_PB77A3"),"WPCI77",IF(A4291="RIDTCIAS","CSCI49",IF(A4291="RID_HCPTM","CHCPT_",IF(LEFT(A4291,1)="C",A4291,MID(A4291,6,LEN(A4291)-5)))))</f>
        <v>#VALUE!</v>
      </c>
      <c r="H4291" s="63" t="e">
        <f t="shared" ref="H4291:H4354" si="135">IF(OR(G4291="MJG1",G4291="MJG2"),"MJG",G4291)&amp;"_"&amp;B4291</f>
        <v>#VALUE!</v>
      </c>
    </row>
    <row r="4292" spans="7:8">
      <c r="G4292" s="63" t="e">
        <f t="shared" si="134"/>
        <v>#VALUE!</v>
      </c>
      <c r="H4292" s="63" t="e">
        <f t="shared" si="135"/>
        <v>#VALUE!</v>
      </c>
    </row>
    <row r="4293" spans="7:8">
      <c r="G4293" s="63" t="e">
        <f t="shared" si="134"/>
        <v>#VALUE!</v>
      </c>
      <c r="H4293" s="63" t="e">
        <f t="shared" si="135"/>
        <v>#VALUE!</v>
      </c>
    </row>
    <row r="4294" spans="7:8">
      <c r="G4294" s="63" t="e">
        <f t="shared" si="134"/>
        <v>#VALUE!</v>
      </c>
      <c r="H4294" s="63" t="e">
        <f t="shared" si="135"/>
        <v>#VALUE!</v>
      </c>
    </row>
    <row r="4295" spans="7:8">
      <c r="G4295" s="63" t="e">
        <f t="shared" si="134"/>
        <v>#VALUE!</v>
      </c>
      <c r="H4295" s="63" t="e">
        <f t="shared" si="135"/>
        <v>#VALUE!</v>
      </c>
    </row>
    <row r="4296" spans="7:8">
      <c r="G4296" s="63" t="e">
        <f t="shared" si="134"/>
        <v>#VALUE!</v>
      </c>
      <c r="H4296" s="63" t="e">
        <f t="shared" si="135"/>
        <v>#VALUE!</v>
      </c>
    </row>
    <row r="4297" spans="7:8">
      <c r="G4297" s="63" t="e">
        <f t="shared" si="134"/>
        <v>#VALUE!</v>
      </c>
      <c r="H4297" s="63" t="e">
        <f t="shared" si="135"/>
        <v>#VALUE!</v>
      </c>
    </row>
    <row r="4298" spans="7:8">
      <c r="G4298" s="63" t="e">
        <f t="shared" si="134"/>
        <v>#VALUE!</v>
      </c>
      <c r="H4298" s="63" t="e">
        <f t="shared" si="135"/>
        <v>#VALUE!</v>
      </c>
    </row>
    <row r="4299" spans="7:8">
      <c r="G4299" s="63" t="e">
        <f t="shared" si="134"/>
        <v>#VALUE!</v>
      </c>
      <c r="H4299" s="63" t="e">
        <f t="shared" si="135"/>
        <v>#VALUE!</v>
      </c>
    </row>
    <row r="4300" spans="7:8">
      <c r="G4300" s="63" t="e">
        <f t="shared" si="134"/>
        <v>#VALUE!</v>
      </c>
      <c r="H4300" s="63" t="e">
        <f t="shared" si="135"/>
        <v>#VALUE!</v>
      </c>
    </row>
    <row r="4301" spans="7:8">
      <c r="G4301" s="63" t="e">
        <f t="shared" si="134"/>
        <v>#VALUE!</v>
      </c>
      <c r="H4301" s="63" t="e">
        <f t="shared" si="135"/>
        <v>#VALUE!</v>
      </c>
    </row>
    <row r="4302" spans="7:8">
      <c r="G4302" s="63" t="e">
        <f t="shared" si="134"/>
        <v>#VALUE!</v>
      </c>
      <c r="H4302" s="63" t="e">
        <f t="shared" si="135"/>
        <v>#VALUE!</v>
      </c>
    </row>
    <row r="4303" spans="7:8">
      <c r="G4303" s="63" t="e">
        <f t="shared" si="134"/>
        <v>#VALUE!</v>
      </c>
      <c r="H4303" s="63" t="e">
        <f t="shared" si="135"/>
        <v>#VALUE!</v>
      </c>
    </row>
    <row r="4304" spans="7:8">
      <c r="G4304" s="63" t="e">
        <f t="shared" si="134"/>
        <v>#VALUE!</v>
      </c>
      <c r="H4304" s="63" t="e">
        <f t="shared" si="135"/>
        <v>#VALUE!</v>
      </c>
    </row>
    <row r="4305" spans="7:8">
      <c r="G4305" s="63" t="e">
        <f t="shared" si="134"/>
        <v>#VALUE!</v>
      </c>
      <c r="H4305" s="63" t="e">
        <f t="shared" si="135"/>
        <v>#VALUE!</v>
      </c>
    </row>
    <row r="4306" spans="7:8">
      <c r="G4306" s="63" t="e">
        <f t="shared" si="134"/>
        <v>#VALUE!</v>
      </c>
      <c r="H4306" s="63" t="e">
        <f t="shared" si="135"/>
        <v>#VALUE!</v>
      </c>
    </row>
    <row r="4307" spans="7:8">
      <c r="G4307" s="63" t="e">
        <f t="shared" si="134"/>
        <v>#VALUE!</v>
      </c>
      <c r="H4307" s="63" t="e">
        <f t="shared" si="135"/>
        <v>#VALUE!</v>
      </c>
    </row>
    <row r="4308" spans="7:8">
      <c r="G4308" s="63" t="e">
        <f t="shared" si="134"/>
        <v>#VALUE!</v>
      </c>
      <c r="H4308" s="63" t="e">
        <f t="shared" si="135"/>
        <v>#VALUE!</v>
      </c>
    </row>
    <row r="4309" spans="7:8">
      <c r="G4309" s="63" t="e">
        <f t="shared" si="134"/>
        <v>#VALUE!</v>
      </c>
      <c r="H4309" s="63" t="e">
        <f t="shared" si="135"/>
        <v>#VALUE!</v>
      </c>
    </row>
    <row r="4310" spans="7:8">
      <c r="G4310" s="63" t="e">
        <f t="shared" si="134"/>
        <v>#VALUE!</v>
      </c>
      <c r="H4310" s="63" t="e">
        <f t="shared" si="135"/>
        <v>#VALUE!</v>
      </c>
    </row>
    <row r="4311" spans="7:8">
      <c r="G4311" s="63" t="e">
        <f t="shared" si="134"/>
        <v>#VALUE!</v>
      </c>
      <c r="H4311" s="63" t="e">
        <f t="shared" si="135"/>
        <v>#VALUE!</v>
      </c>
    </row>
    <row r="4312" spans="7:8">
      <c r="G4312" s="63" t="e">
        <f t="shared" si="134"/>
        <v>#VALUE!</v>
      </c>
      <c r="H4312" s="63" t="e">
        <f t="shared" si="135"/>
        <v>#VALUE!</v>
      </c>
    </row>
    <row r="4313" spans="7:8">
      <c r="G4313" s="63" t="e">
        <f t="shared" si="134"/>
        <v>#VALUE!</v>
      </c>
      <c r="H4313" s="63" t="e">
        <f t="shared" si="135"/>
        <v>#VALUE!</v>
      </c>
    </row>
    <row r="4314" spans="7:8">
      <c r="G4314" s="63" t="e">
        <f t="shared" si="134"/>
        <v>#VALUE!</v>
      </c>
      <c r="H4314" s="63" t="e">
        <f t="shared" si="135"/>
        <v>#VALUE!</v>
      </c>
    </row>
    <row r="4315" spans="7:8">
      <c r="G4315" s="63" t="e">
        <f t="shared" si="134"/>
        <v>#VALUE!</v>
      </c>
      <c r="H4315" s="63" t="e">
        <f t="shared" si="135"/>
        <v>#VALUE!</v>
      </c>
    </row>
    <row r="4316" spans="7:8">
      <c r="G4316" s="63" t="e">
        <f t="shared" si="134"/>
        <v>#VALUE!</v>
      </c>
      <c r="H4316" s="63" t="e">
        <f t="shared" si="135"/>
        <v>#VALUE!</v>
      </c>
    </row>
    <row r="4317" spans="7:8">
      <c r="G4317" s="63" t="e">
        <f t="shared" si="134"/>
        <v>#VALUE!</v>
      </c>
      <c r="H4317" s="63" t="e">
        <f t="shared" si="135"/>
        <v>#VALUE!</v>
      </c>
    </row>
    <row r="4318" spans="7:8">
      <c r="G4318" s="63" t="e">
        <f t="shared" si="134"/>
        <v>#VALUE!</v>
      </c>
      <c r="H4318" s="63" t="e">
        <f t="shared" si="135"/>
        <v>#VALUE!</v>
      </c>
    </row>
    <row r="4319" spans="7:8">
      <c r="G4319" s="63" t="e">
        <f t="shared" si="134"/>
        <v>#VALUE!</v>
      </c>
      <c r="H4319" s="63" t="e">
        <f t="shared" si="135"/>
        <v>#VALUE!</v>
      </c>
    </row>
    <row r="4320" spans="7:8">
      <c r="G4320" s="63" t="e">
        <f t="shared" si="134"/>
        <v>#VALUE!</v>
      </c>
      <c r="H4320" s="63" t="e">
        <f t="shared" si="135"/>
        <v>#VALUE!</v>
      </c>
    </row>
    <row r="4321" spans="7:8">
      <c r="G4321" s="63" t="e">
        <f t="shared" si="134"/>
        <v>#VALUE!</v>
      </c>
      <c r="H4321" s="63" t="e">
        <f t="shared" si="135"/>
        <v>#VALUE!</v>
      </c>
    </row>
    <row r="4322" spans="7:8">
      <c r="G4322" s="63" t="e">
        <f t="shared" si="134"/>
        <v>#VALUE!</v>
      </c>
      <c r="H4322" s="63" t="e">
        <f t="shared" si="135"/>
        <v>#VALUE!</v>
      </c>
    </row>
    <row r="4323" spans="7:8">
      <c r="G4323" s="63" t="e">
        <f t="shared" si="134"/>
        <v>#VALUE!</v>
      </c>
      <c r="H4323" s="63" t="e">
        <f t="shared" si="135"/>
        <v>#VALUE!</v>
      </c>
    </row>
    <row r="4324" spans="7:8">
      <c r="G4324" s="63" t="e">
        <f t="shared" si="134"/>
        <v>#VALUE!</v>
      </c>
      <c r="H4324" s="63" t="e">
        <f t="shared" si="135"/>
        <v>#VALUE!</v>
      </c>
    </row>
    <row r="4325" spans="7:8">
      <c r="G4325" s="63" t="e">
        <f t="shared" si="134"/>
        <v>#VALUE!</v>
      </c>
      <c r="H4325" s="63" t="e">
        <f t="shared" si="135"/>
        <v>#VALUE!</v>
      </c>
    </row>
    <row r="4326" spans="7:8">
      <c r="G4326" s="63" t="e">
        <f t="shared" si="134"/>
        <v>#VALUE!</v>
      </c>
      <c r="H4326" s="63" t="e">
        <f t="shared" si="135"/>
        <v>#VALUE!</v>
      </c>
    </row>
    <row r="4327" spans="7:8">
      <c r="G4327" s="63" t="e">
        <f t="shared" si="134"/>
        <v>#VALUE!</v>
      </c>
      <c r="H4327" s="63" t="e">
        <f t="shared" si="135"/>
        <v>#VALUE!</v>
      </c>
    </row>
    <row r="4328" spans="7:8">
      <c r="G4328" s="63" t="e">
        <f t="shared" si="134"/>
        <v>#VALUE!</v>
      </c>
      <c r="H4328" s="63" t="e">
        <f t="shared" si="135"/>
        <v>#VALUE!</v>
      </c>
    </row>
    <row r="4329" spans="7:8">
      <c r="G4329" s="63" t="e">
        <f t="shared" si="134"/>
        <v>#VALUE!</v>
      </c>
      <c r="H4329" s="63" t="e">
        <f t="shared" si="135"/>
        <v>#VALUE!</v>
      </c>
    </row>
    <row r="4330" spans="7:8">
      <c r="G4330" s="63" t="e">
        <f t="shared" si="134"/>
        <v>#VALUE!</v>
      </c>
      <c r="H4330" s="63" t="e">
        <f t="shared" si="135"/>
        <v>#VALUE!</v>
      </c>
    </row>
    <row r="4331" spans="7:8">
      <c r="G4331" s="63" t="e">
        <f t="shared" si="134"/>
        <v>#VALUE!</v>
      </c>
      <c r="H4331" s="63" t="e">
        <f t="shared" si="135"/>
        <v>#VALUE!</v>
      </c>
    </row>
    <row r="4332" spans="7:8">
      <c r="G4332" s="63" t="e">
        <f t="shared" si="134"/>
        <v>#VALUE!</v>
      </c>
      <c r="H4332" s="63" t="e">
        <f t="shared" si="135"/>
        <v>#VALUE!</v>
      </c>
    </row>
    <row r="4333" spans="7:8">
      <c r="G4333" s="63" t="e">
        <f t="shared" si="134"/>
        <v>#VALUE!</v>
      </c>
      <c r="H4333" s="63" t="e">
        <f t="shared" si="135"/>
        <v>#VALUE!</v>
      </c>
    </row>
    <row r="4334" spans="7:8">
      <c r="G4334" s="63" t="e">
        <f t="shared" si="134"/>
        <v>#VALUE!</v>
      </c>
      <c r="H4334" s="63" t="e">
        <f t="shared" si="135"/>
        <v>#VALUE!</v>
      </c>
    </row>
    <row r="4335" spans="7:8">
      <c r="G4335" s="63" t="e">
        <f t="shared" si="134"/>
        <v>#VALUE!</v>
      </c>
      <c r="H4335" s="63" t="e">
        <f t="shared" si="135"/>
        <v>#VALUE!</v>
      </c>
    </row>
    <row r="4336" spans="7:8">
      <c r="G4336" s="63" t="e">
        <f t="shared" si="134"/>
        <v>#VALUE!</v>
      </c>
      <c r="H4336" s="63" t="e">
        <f t="shared" si="135"/>
        <v>#VALUE!</v>
      </c>
    </row>
    <row r="4337" spans="7:8">
      <c r="G4337" s="63" t="e">
        <f t="shared" si="134"/>
        <v>#VALUE!</v>
      </c>
      <c r="H4337" s="63" t="e">
        <f t="shared" si="135"/>
        <v>#VALUE!</v>
      </c>
    </row>
    <row r="4338" spans="7:8">
      <c r="G4338" s="63" t="e">
        <f t="shared" si="134"/>
        <v>#VALUE!</v>
      </c>
      <c r="H4338" s="63" t="e">
        <f t="shared" si="135"/>
        <v>#VALUE!</v>
      </c>
    </row>
    <row r="4339" spans="7:8">
      <c r="G4339" s="63" t="e">
        <f t="shared" si="134"/>
        <v>#VALUE!</v>
      </c>
      <c r="H4339" s="63" t="e">
        <f t="shared" si="135"/>
        <v>#VALUE!</v>
      </c>
    </row>
    <row r="4340" spans="7:8">
      <c r="G4340" s="63" t="e">
        <f t="shared" si="134"/>
        <v>#VALUE!</v>
      </c>
      <c r="H4340" s="63" t="e">
        <f t="shared" si="135"/>
        <v>#VALUE!</v>
      </c>
    </row>
    <row r="4341" spans="7:8">
      <c r="G4341" s="63" t="e">
        <f t="shared" si="134"/>
        <v>#VALUE!</v>
      </c>
      <c r="H4341" s="63" t="e">
        <f t="shared" si="135"/>
        <v>#VALUE!</v>
      </c>
    </row>
    <row r="4342" spans="7:8">
      <c r="G4342" s="63" t="e">
        <f t="shared" si="134"/>
        <v>#VALUE!</v>
      </c>
      <c r="H4342" s="63" t="e">
        <f t="shared" si="135"/>
        <v>#VALUE!</v>
      </c>
    </row>
    <row r="4343" spans="7:8">
      <c r="G4343" s="63" t="e">
        <f t="shared" si="134"/>
        <v>#VALUE!</v>
      </c>
      <c r="H4343" s="63" t="e">
        <f t="shared" si="135"/>
        <v>#VALUE!</v>
      </c>
    </row>
    <row r="4344" spans="7:8">
      <c r="G4344" s="63" t="e">
        <f t="shared" si="134"/>
        <v>#VALUE!</v>
      </c>
      <c r="H4344" s="63" t="e">
        <f t="shared" si="135"/>
        <v>#VALUE!</v>
      </c>
    </row>
    <row r="4345" spans="7:8">
      <c r="G4345" s="63" t="e">
        <f t="shared" si="134"/>
        <v>#VALUE!</v>
      </c>
      <c r="H4345" s="63" t="e">
        <f t="shared" si="135"/>
        <v>#VALUE!</v>
      </c>
    </row>
    <row r="4346" spans="7:8">
      <c r="G4346" s="63" t="e">
        <f t="shared" si="134"/>
        <v>#VALUE!</v>
      </c>
      <c r="H4346" s="63" t="e">
        <f t="shared" si="135"/>
        <v>#VALUE!</v>
      </c>
    </row>
    <row r="4347" spans="7:8">
      <c r="G4347" s="63" t="e">
        <f t="shared" si="134"/>
        <v>#VALUE!</v>
      </c>
      <c r="H4347" s="63" t="e">
        <f t="shared" si="135"/>
        <v>#VALUE!</v>
      </c>
    </row>
    <row r="4348" spans="7:8">
      <c r="G4348" s="63" t="e">
        <f t="shared" si="134"/>
        <v>#VALUE!</v>
      </c>
      <c r="H4348" s="63" t="e">
        <f t="shared" si="135"/>
        <v>#VALUE!</v>
      </c>
    </row>
    <row r="4349" spans="7:8">
      <c r="G4349" s="63" t="e">
        <f t="shared" si="134"/>
        <v>#VALUE!</v>
      </c>
      <c r="H4349" s="63" t="e">
        <f t="shared" si="135"/>
        <v>#VALUE!</v>
      </c>
    </row>
    <row r="4350" spans="7:8">
      <c r="G4350" s="63" t="e">
        <f t="shared" si="134"/>
        <v>#VALUE!</v>
      </c>
      <c r="H4350" s="63" t="e">
        <f t="shared" si="135"/>
        <v>#VALUE!</v>
      </c>
    </row>
    <row r="4351" spans="7:8">
      <c r="G4351" s="63" t="e">
        <f t="shared" si="134"/>
        <v>#VALUE!</v>
      </c>
      <c r="H4351" s="63" t="e">
        <f t="shared" si="135"/>
        <v>#VALUE!</v>
      </c>
    </row>
    <row r="4352" spans="7:8">
      <c r="G4352" s="63" t="e">
        <f t="shared" si="134"/>
        <v>#VALUE!</v>
      </c>
      <c r="H4352" s="63" t="e">
        <f t="shared" si="135"/>
        <v>#VALUE!</v>
      </c>
    </row>
    <row r="4353" spans="7:8">
      <c r="G4353" s="63" t="e">
        <f t="shared" si="134"/>
        <v>#VALUE!</v>
      </c>
      <c r="H4353" s="63" t="e">
        <f t="shared" si="135"/>
        <v>#VALUE!</v>
      </c>
    </row>
    <row r="4354" spans="7:8">
      <c r="G4354" s="63" t="e">
        <f t="shared" si="134"/>
        <v>#VALUE!</v>
      </c>
      <c r="H4354" s="63" t="e">
        <f t="shared" si="135"/>
        <v>#VALUE!</v>
      </c>
    </row>
    <row r="4355" spans="7:8">
      <c r="G4355" s="63" t="e">
        <f t="shared" ref="G4355:G4418" si="136">IF(OR(A4355="RID_PB77",A4355="RID_PB77A3"),"WPCI77",IF(A4355="RIDTCIAS","CSCI49",IF(A4355="RID_HCPTM","CHCPT_",IF(LEFT(A4355,1)="C",A4355,MID(A4355,6,LEN(A4355)-5)))))</f>
        <v>#VALUE!</v>
      </c>
      <c r="H4355" s="63" t="e">
        <f t="shared" ref="H4355:H4418" si="137">IF(OR(G4355="MJG1",G4355="MJG2"),"MJG",G4355)&amp;"_"&amp;B4355</f>
        <v>#VALUE!</v>
      </c>
    </row>
    <row r="4356" spans="7:8">
      <c r="G4356" s="63" t="e">
        <f t="shared" si="136"/>
        <v>#VALUE!</v>
      </c>
      <c r="H4356" s="63" t="e">
        <f t="shared" si="137"/>
        <v>#VALUE!</v>
      </c>
    </row>
    <row r="4357" spans="7:8">
      <c r="G4357" s="63" t="e">
        <f t="shared" si="136"/>
        <v>#VALUE!</v>
      </c>
      <c r="H4357" s="63" t="e">
        <f t="shared" si="137"/>
        <v>#VALUE!</v>
      </c>
    </row>
    <row r="4358" spans="7:8">
      <c r="G4358" s="63" t="e">
        <f t="shared" si="136"/>
        <v>#VALUE!</v>
      </c>
      <c r="H4358" s="63" t="e">
        <f t="shared" si="137"/>
        <v>#VALUE!</v>
      </c>
    </row>
    <row r="4359" spans="7:8">
      <c r="G4359" s="63" t="e">
        <f t="shared" si="136"/>
        <v>#VALUE!</v>
      </c>
      <c r="H4359" s="63" t="e">
        <f t="shared" si="137"/>
        <v>#VALUE!</v>
      </c>
    </row>
    <row r="4360" spans="7:8">
      <c r="G4360" s="63" t="e">
        <f t="shared" si="136"/>
        <v>#VALUE!</v>
      </c>
      <c r="H4360" s="63" t="e">
        <f t="shared" si="137"/>
        <v>#VALUE!</v>
      </c>
    </row>
    <row r="4361" spans="7:8">
      <c r="G4361" s="63" t="e">
        <f t="shared" si="136"/>
        <v>#VALUE!</v>
      </c>
      <c r="H4361" s="63" t="e">
        <f t="shared" si="137"/>
        <v>#VALUE!</v>
      </c>
    </row>
    <row r="4362" spans="7:8">
      <c r="G4362" s="63" t="e">
        <f t="shared" si="136"/>
        <v>#VALUE!</v>
      </c>
      <c r="H4362" s="63" t="e">
        <f t="shared" si="137"/>
        <v>#VALUE!</v>
      </c>
    </row>
    <row r="4363" spans="7:8">
      <c r="G4363" s="63" t="e">
        <f t="shared" si="136"/>
        <v>#VALUE!</v>
      </c>
      <c r="H4363" s="63" t="e">
        <f t="shared" si="137"/>
        <v>#VALUE!</v>
      </c>
    </row>
    <row r="4364" spans="7:8">
      <c r="G4364" s="63" t="e">
        <f t="shared" si="136"/>
        <v>#VALUE!</v>
      </c>
      <c r="H4364" s="63" t="e">
        <f t="shared" si="137"/>
        <v>#VALUE!</v>
      </c>
    </row>
    <row r="4365" spans="7:8">
      <c r="G4365" s="63" t="e">
        <f t="shared" si="136"/>
        <v>#VALUE!</v>
      </c>
      <c r="H4365" s="63" t="e">
        <f t="shared" si="137"/>
        <v>#VALUE!</v>
      </c>
    </row>
    <row r="4366" spans="7:8">
      <c r="G4366" s="63" t="e">
        <f t="shared" si="136"/>
        <v>#VALUE!</v>
      </c>
      <c r="H4366" s="63" t="e">
        <f t="shared" si="137"/>
        <v>#VALUE!</v>
      </c>
    </row>
    <row r="4367" spans="7:8">
      <c r="G4367" s="63" t="e">
        <f t="shared" si="136"/>
        <v>#VALUE!</v>
      </c>
      <c r="H4367" s="63" t="e">
        <f t="shared" si="137"/>
        <v>#VALUE!</v>
      </c>
    </row>
    <row r="4368" spans="7:8">
      <c r="G4368" s="63" t="e">
        <f t="shared" si="136"/>
        <v>#VALUE!</v>
      </c>
      <c r="H4368" s="63" t="e">
        <f t="shared" si="137"/>
        <v>#VALUE!</v>
      </c>
    </row>
    <row r="4369" spans="7:8">
      <c r="G4369" s="63" t="e">
        <f t="shared" si="136"/>
        <v>#VALUE!</v>
      </c>
      <c r="H4369" s="63" t="e">
        <f t="shared" si="137"/>
        <v>#VALUE!</v>
      </c>
    </row>
    <row r="4370" spans="7:8">
      <c r="G4370" s="63" t="e">
        <f t="shared" si="136"/>
        <v>#VALUE!</v>
      </c>
      <c r="H4370" s="63" t="e">
        <f t="shared" si="137"/>
        <v>#VALUE!</v>
      </c>
    </row>
    <row r="4371" spans="7:8">
      <c r="G4371" s="63" t="e">
        <f t="shared" si="136"/>
        <v>#VALUE!</v>
      </c>
      <c r="H4371" s="63" t="e">
        <f t="shared" si="137"/>
        <v>#VALUE!</v>
      </c>
    </row>
    <row r="4372" spans="7:8">
      <c r="G4372" s="63" t="e">
        <f t="shared" si="136"/>
        <v>#VALUE!</v>
      </c>
      <c r="H4372" s="63" t="e">
        <f t="shared" si="137"/>
        <v>#VALUE!</v>
      </c>
    </row>
    <row r="4373" spans="7:8">
      <c r="G4373" s="63" t="e">
        <f t="shared" si="136"/>
        <v>#VALUE!</v>
      </c>
      <c r="H4373" s="63" t="e">
        <f t="shared" si="137"/>
        <v>#VALUE!</v>
      </c>
    </row>
    <row r="4374" spans="7:8">
      <c r="G4374" s="63" t="e">
        <f t="shared" si="136"/>
        <v>#VALUE!</v>
      </c>
      <c r="H4374" s="63" t="e">
        <f t="shared" si="137"/>
        <v>#VALUE!</v>
      </c>
    </row>
    <row r="4375" spans="7:8">
      <c r="G4375" s="63" t="e">
        <f t="shared" si="136"/>
        <v>#VALUE!</v>
      </c>
      <c r="H4375" s="63" t="e">
        <f t="shared" si="137"/>
        <v>#VALUE!</v>
      </c>
    </row>
    <row r="4376" spans="7:8">
      <c r="G4376" s="63" t="e">
        <f t="shared" si="136"/>
        <v>#VALUE!</v>
      </c>
      <c r="H4376" s="63" t="e">
        <f t="shared" si="137"/>
        <v>#VALUE!</v>
      </c>
    </row>
    <row r="4377" spans="7:8">
      <c r="G4377" s="63" t="e">
        <f t="shared" si="136"/>
        <v>#VALUE!</v>
      </c>
      <c r="H4377" s="63" t="e">
        <f t="shared" si="137"/>
        <v>#VALUE!</v>
      </c>
    </row>
    <row r="4378" spans="7:8">
      <c r="G4378" s="63" t="e">
        <f t="shared" si="136"/>
        <v>#VALUE!</v>
      </c>
      <c r="H4378" s="63" t="e">
        <f t="shared" si="137"/>
        <v>#VALUE!</v>
      </c>
    </row>
    <row r="4379" spans="7:8">
      <c r="G4379" s="63" t="e">
        <f t="shared" si="136"/>
        <v>#VALUE!</v>
      </c>
      <c r="H4379" s="63" t="e">
        <f t="shared" si="137"/>
        <v>#VALUE!</v>
      </c>
    </row>
    <row r="4380" spans="7:8">
      <c r="G4380" s="63" t="e">
        <f t="shared" si="136"/>
        <v>#VALUE!</v>
      </c>
      <c r="H4380" s="63" t="e">
        <f t="shared" si="137"/>
        <v>#VALUE!</v>
      </c>
    </row>
    <row r="4381" spans="7:8">
      <c r="G4381" s="63" t="e">
        <f t="shared" si="136"/>
        <v>#VALUE!</v>
      </c>
      <c r="H4381" s="63" t="e">
        <f t="shared" si="137"/>
        <v>#VALUE!</v>
      </c>
    </row>
    <row r="4382" spans="7:8">
      <c r="G4382" s="63" t="e">
        <f t="shared" si="136"/>
        <v>#VALUE!</v>
      </c>
      <c r="H4382" s="63" t="e">
        <f t="shared" si="137"/>
        <v>#VALUE!</v>
      </c>
    </row>
    <row r="4383" spans="7:8">
      <c r="G4383" s="63" t="e">
        <f t="shared" si="136"/>
        <v>#VALUE!</v>
      </c>
      <c r="H4383" s="63" t="e">
        <f t="shared" si="137"/>
        <v>#VALUE!</v>
      </c>
    </row>
    <row r="4384" spans="7:8">
      <c r="G4384" s="63" t="e">
        <f t="shared" si="136"/>
        <v>#VALUE!</v>
      </c>
      <c r="H4384" s="63" t="e">
        <f t="shared" si="137"/>
        <v>#VALUE!</v>
      </c>
    </row>
    <row r="4385" spans="7:8">
      <c r="G4385" s="63" t="e">
        <f t="shared" si="136"/>
        <v>#VALUE!</v>
      </c>
      <c r="H4385" s="63" t="e">
        <f t="shared" si="137"/>
        <v>#VALUE!</v>
      </c>
    </row>
    <row r="4386" spans="7:8">
      <c r="G4386" s="63" t="e">
        <f t="shared" si="136"/>
        <v>#VALUE!</v>
      </c>
      <c r="H4386" s="63" t="e">
        <f t="shared" si="137"/>
        <v>#VALUE!</v>
      </c>
    </row>
    <row r="4387" spans="7:8">
      <c r="G4387" s="63" t="e">
        <f t="shared" si="136"/>
        <v>#VALUE!</v>
      </c>
      <c r="H4387" s="63" t="e">
        <f t="shared" si="137"/>
        <v>#VALUE!</v>
      </c>
    </row>
    <row r="4388" spans="7:8">
      <c r="G4388" s="63" t="e">
        <f t="shared" si="136"/>
        <v>#VALUE!</v>
      </c>
      <c r="H4388" s="63" t="e">
        <f t="shared" si="137"/>
        <v>#VALUE!</v>
      </c>
    </row>
    <row r="4389" spans="7:8">
      <c r="G4389" s="63" t="e">
        <f t="shared" si="136"/>
        <v>#VALUE!</v>
      </c>
      <c r="H4389" s="63" t="e">
        <f t="shared" si="137"/>
        <v>#VALUE!</v>
      </c>
    </row>
    <row r="4390" spans="7:8">
      <c r="G4390" s="63" t="e">
        <f t="shared" si="136"/>
        <v>#VALUE!</v>
      </c>
      <c r="H4390" s="63" t="e">
        <f t="shared" si="137"/>
        <v>#VALUE!</v>
      </c>
    </row>
    <row r="4391" spans="7:8">
      <c r="G4391" s="63" t="e">
        <f t="shared" si="136"/>
        <v>#VALUE!</v>
      </c>
      <c r="H4391" s="63" t="e">
        <f t="shared" si="137"/>
        <v>#VALUE!</v>
      </c>
    </row>
    <row r="4392" spans="7:8">
      <c r="G4392" s="63" t="e">
        <f t="shared" si="136"/>
        <v>#VALUE!</v>
      </c>
      <c r="H4392" s="63" t="e">
        <f t="shared" si="137"/>
        <v>#VALUE!</v>
      </c>
    </row>
    <row r="4393" spans="7:8">
      <c r="G4393" s="63" t="e">
        <f t="shared" si="136"/>
        <v>#VALUE!</v>
      </c>
      <c r="H4393" s="63" t="e">
        <f t="shared" si="137"/>
        <v>#VALUE!</v>
      </c>
    </row>
    <row r="4394" spans="7:8">
      <c r="G4394" s="63" t="e">
        <f t="shared" si="136"/>
        <v>#VALUE!</v>
      </c>
      <c r="H4394" s="63" t="e">
        <f t="shared" si="137"/>
        <v>#VALUE!</v>
      </c>
    </row>
    <row r="4395" spans="7:8">
      <c r="G4395" s="63" t="e">
        <f t="shared" si="136"/>
        <v>#VALUE!</v>
      </c>
      <c r="H4395" s="63" t="e">
        <f t="shared" si="137"/>
        <v>#VALUE!</v>
      </c>
    </row>
    <row r="4396" spans="7:8">
      <c r="G4396" s="63" t="e">
        <f t="shared" si="136"/>
        <v>#VALUE!</v>
      </c>
      <c r="H4396" s="63" t="e">
        <f t="shared" si="137"/>
        <v>#VALUE!</v>
      </c>
    </row>
    <row r="4397" spans="7:8">
      <c r="G4397" s="63" t="e">
        <f t="shared" si="136"/>
        <v>#VALUE!</v>
      </c>
      <c r="H4397" s="63" t="e">
        <f t="shared" si="137"/>
        <v>#VALUE!</v>
      </c>
    </row>
    <row r="4398" spans="7:8">
      <c r="G4398" s="63" t="e">
        <f t="shared" si="136"/>
        <v>#VALUE!</v>
      </c>
      <c r="H4398" s="63" t="e">
        <f t="shared" si="137"/>
        <v>#VALUE!</v>
      </c>
    </row>
    <row r="4399" spans="7:8">
      <c r="G4399" s="63" t="e">
        <f t="shared" si="136"/>
        <v>#VALUE!</v>
      </c>
      <c r="H4399" s="63" t="e">
        <f t="shared" si="137"/>
        <v>#VALUE!</v>
      </c>
    </row>
    <row r="4400" spans="7:8">
      <c r="G4400" s="63" t="e">
        <f t="shared" si="136"/>
        <v>#VALUE!</v>
      </c>
      <c r="H4400" s="63" t="e">
        <f t="shared" si="137"/>
        <v>#VALUE!</v>
      </c>
    </row>
    <row r="4401" spans="7:8">
      <c r="G4401" s="63" t="e">
        <f t="shared" si="136"/>
        <v>#VALUE!</v>
      </c>
      <c r="H4401" s="63" t="e">
        <f t="shared" si="137"/>
        <v>#VALUE!</v>
      </c>
    </row>
    <row r="4402" spans="7:8">
      <c r="G4402" s="63" t="e">
        <f t="shared" si="136"/>
        <v>#VALUE!</v>
      </c>
      <c r="H4402" s="63" t="e">
        <f t="shared" si="137"/>
        <v>#VALUE!</v>
      </c>
    </row>
    <row r="4403" spans="7:8">
      <c r="G4403" s="63" t="e">
        <f t="shared" si="136"/>
        <v>#VALUE!</v>
      </c>
      <c r="H4403" s="63" t="e">
        <f t="shared" si="137"/>
        <v>#VALUE!</v>
      </c>
    </row>
    <row r="4404" spans="7:8">
      <c r="G4404" s="63" t="e">
        <f t="shared" si="136"/>
        <v>#VALUE!</v>
      </c>
      <c r="H4404" s="63" t="e">
        <f t="shared" si="137"/>
        <v>#VALUE!</v>
      </c>
    </row>
    <row r="4405" spans="7:8">
      <c r="G4405" s="63" t="e">
        <f t="shared" si="136"/>
        <v>#VALUE!</v>
      </c>
      <c r="H4405" s="63" t="e">
        <f t="shared" si="137"/>
        <v>#VALUE!</v>
      </c>
    </row>
    <row r="4406" spans="7:8">
      <c r="G4406" s="63" t="e">
        <f t="shared" si="136"/>
        <v>#VALUE!</v>
      </c>
      <c r="H4406" s="63" t="e">
        <f t="shared" si="137"/>
        <v>#VALUE!</v>
      </c>
    </row>
    <row r="4407" spans="7:8">
      <c r="G4407" s="63" t="e">
        <f t="shared" si="136"/>
        <v>#VALUE!</v>
      </c>
      <c r="H4407" s="63" t="e">
        <f t="shared" si="137"/>
        <v>#VALUE!</v>
      </c>
    </row>
    <row r="4408" spans="7:8">
      <c r="G4408" s="63" t="e">
        <f t="shared" si="136"/>
        <v>#VALUE!</v>
      </c>
      <c r="H4408" s="63" t="e">
        <f t="shared" si="137"/>
        <v>#VALUE!</v>
      </c>
    </row>
    <row r="4409" spans="7:8">
      <c r="G4409" s="63" t="e">
        <f t="shared" si="136"/>
        <v>#VALUE!</v>
      </c>
      <c r="H4409" s="63" t="e">
        <f t="shared" si="137"/>
        <v>#VALUE!</v>
      </c>
    </row>
    <row r="4410" spans="7:8">
      <c r="G4410" s="63" t="e">
        <f t="shared" si="136"/>
        <v>#VALUE!</v>
      </c>
      <c r="H4410" s="63" t="e">
        <f t="shared" si="137"/>
        <v>#VALUE!</v>
      </c>
    </row>
    <row r="4411" spans="7:8">
      <c r="G4411" s="63" t="e">
        <f t="shared" si="136"/>
        <v>#VALUE!</v>
      </c>
      <c r="H4411" s="63" t="e">
        <f t="shared" si="137"/>
        <v>#VALUE!</v>
      </c>
    </row>
    <row r="4412" spans="7:8">
      <c r="G4412" s="63" t="e">
        <f t="shared" si="136"/>
        <v>#VALUE!</v>
      </c>
      <c r="H4412" s="63" t="e">
        <f t="shared" si="137"/>
        <v>#VALUE!</v>
      </c>
    </row>
    <row r="4413" spans="7:8">
      <c r="G4413" s="63" t="e">
        <f t="shared" si="136"/>
        <v>#VALUE!</v>
      </c>
      <c r="H4413" s="63" t="e">
        <f t="shared" si="137"/>
        <v>#VALUE!</v>
      </c>
    </row>
    <row r="4414" spans="7:8">
      <c r="G4414" s="63" t="e">
        <f t="shared" si="136"/>
        <v>#VALUE!</v>
      </c>
      <c r="H4414" s="63" t="e">
        <f t="shared" si="137"/>
        <v>#VALUE!</v>
      </c>
    </row>
    <row r="4415" spans="7:8">
      <c r="G4415" s="63" t="e">
        <f t="shared" si="136"/>
        <v>#VALUE!</v>
      </c>
      <c r="H4415" s="63" t="e">
        <f t="shared" si="137"/>
        <v>#VALUE!</v>
      </c>
    </row>
    <row r="4416" spans="7:8">
      <c r="G4416" s="63" t="e">
        <f t="shared" si="136"/>
        <v>#VALUE!</v>
      </c>
      <c r="H4416" s="63" t="e">
        <f t="shared" si="137"/>
        <v>#VALUE!</v>
      </c>
    </row>
    <row r="4417" spans="7:8">
      <c r="G4417" s="63" t="e">
        <f t="shared" si="136"/>
        <v>#VALUE!</v>
      </c>
      <c r="H4417" s="63" t="e">
        <f t="shared" si="137"/>
        <v>#VALUE!</v>
      </c>
    </row>
    <row r="4418" spans="7:8">
      <c r="G4418" s="63" t="e">
        <f t="shared" si="136"/>
        <v>#VALUE!</v>
      </c>
      <c r="H4418" s="63" t="e">
        <f t="shared" si="137"/>
        <v>#VALUE!</v>
      </c>
    </row>
    <row r="4419" spans="7:8">
      <c r="G4419" s="63" t="e">
        <f t="shared" ref="G4419:G4482" si="138">IF(OR(A4419="RID_PB77",A4419="RID_PB77A3"),"WPCI77",IF(A4419="RIDTCIAS","CSCI49",IF(A4419="RID_HCPTM","CHCPT_",IF(LEFT(A4419,1)="C",A4419,MID(A4419,6,LEN(A4419)-5)))))</f>
        <v>#VALUE!</v>
      </c>
      <c r="H4419" s="63" t="e">
        <f t="shared" ref="H4419:H4482" si="139">IF(OR(G4419="MJG1",G4419="MJG2"),"MJG",G4419)&amp;"_"&amp;B4419</f>
        <v>#VALUE!</v>
      </c>
    </row>
    <row r="4420" spans="7:8">
      <c r="G4420" s="63" t="e">
        <f t="shared" si="138"/>
        <v>#VALUE!</v>
      </c>
      <c r="H4420" s="63" t="e">
        <f t="shared" si="139"/>
        <v>#VALUE!</v>
      </c>
    </row>
    <row r="4421" spans="7:8">
      <c r="G4421" s="63" t="e">
        <f t="shared" si="138"/>
        <v>#VALUE!</v>
      </c>
      <c r="H4421" s="63" t="e">
        <f t="shared" si="139"/>
        <v>#VALUE!</v>
      </c>
    </row>
    <row r="4422" spans="7:8">
      <c r="G4422" s="63" t="e">
        <f t="shared" si="138"/>
        <v>#VALUE!</v>
      </c>
      <c r="H4422" s="63" t="e">
        <f t="shared" si="139"/>
        <v>#VALUE!</v>
      </c>
    </row>
    <row r="4423" spans="7:8">
      <c r="G4423" s="63" t="e">
        <f t="shared" si="138"/>
        <v>#VALUE!</v>
      </c>
      <c r="H4423" s="63" t="e">
        <f t="shared" si="139"/>
        <v>#VALUE!</v>
      </c>
    </row>
    <row r="4424" spans="7:8">
      <c r="G4424" s="63" t="e">
        <f t="shared" si="138"/>
        <v>#VALUE!</v>
      </c>
      <c r="H4424" s="63" t="e">
        <f t="shared" si="139"/>
        <v>#VALUE!</v>
      </c>
    </row>
    <row r="4425" spans="7:8">
      <c r="G4425" s="63" t="e">
        <f t="shared" si="138"/>
        <v>#VALUE!</v>
      </c>
      <c r="H4425" s="63" t="e">
        <f t="shared" si="139"/>
        <v>#VALUE!</v>
      </c>
    </row>
    <row r="4426" spans="7:8">
      <c r="G4426" s="63" t="e">
        <f t="shared" si="138"/>
        <v>#VALUE!</v>
      </c>
      <c r="H4426" s="63" t="e">
        <f t="shared" si="139"/>
        <v>#VALUE!</v>
      </c>
    </row>
    <row r="4427" spans="7:8">
      <c r="G4427" s="63" t="e">
        <f t="shared" si="138"/>
        <v>#VALUE!</v>
      </c>
      <c r="H4427" s="63" t="e">
        <f t="shared" si="139"/>
        <v>#VALUE!</v>
      </c>
    </row>
    <row r="4428" spans="7:8">
      <c r="G4428" s="63" t="e">
        <f t="shared" si="138"/>
        <v>#VALUE!</v>
      </c>
      <c r="H4428" s="63" t="e">
        <f t="shared" si="139"/>
        <v>#VALUE!</v>
      </c>
    </row>
    <row r="4429" spans="7:8">
      <c r="G4429" s="63" t="e">
        <f t="shared" si="138"/>
        <v>#VALUE!</v>
      </c>
      <c r="H4429" s="63" t="e">
        <f t="shared" si="139"/>
        <v>#VALUE!</v>
      </c>
    </row>
    <row r="4430" spans="7:8">
      <c r="G4430" s="63" t="e">
        <f t="shared" si="138"/>
        <v>#VALUE!</v>
      </c>
      <c r="H4430" s="63" t="e">
        <f t="shared" si="139"/>
        <v>#VALUE!</v>
      </c>
    </row>
    <row r="4431" spans="7:8">
      <c r="G4431" s="63" t="e">
        <f t="shared" si="138"/>
        <v>#VALUE!</v>
      </c>
      <c r="H4431" s="63" t="e">
        <f t="shared" si="139"/>
        <v>#VALUE!</v>
      </c>
    </row>
    <row r="4432" spans="7:8">
      <c r="G4432" s="63" t="e">
        <f t="shared" si="138"/>
        <v>#VALUE!</v>
      </c>
      <c r="H4432" s="63" t="e">
        <f t="shared" si="139"/>
        <v>#VALUE!</v>
      </c>
    </row>
    <row r="4433" spans="7:8">
      <c r="G4433" s="63" t="e">
        <f t="shared" si="138"/>
        <v>#VALUE!</v>
      </c>
      <c r="H4433" s="63" t="e">
        <f t="shared" si="139"/>
        <v>#VALUE!</v>
      </c>
    </row>
    <row r="4434" spans="7:8">
      <c r="G4434" s="63" t="e">
        <f t="shared" si="138"/>
        <v>#VALUE!</v>
      </c>
      <c r="H4434" s="63" t="e">
        <f t="shared" si="139"/>
        <v>#VALUE!</v>
      </c>
    </row>
    <row r="4435" spans="7:8">
      <c r="G4435" s="63" t="e">
        <f t="shared" si="138"/>
        <v>#VALUE!</v>
      </c>
      <c r="H4435" s="63" t="e">
        <f t="shared" si="139"/>
        <v>#VALUE!</v>
      </c>
    </row>
    <row r="4436" spans="7:8">
      <c r="G4436" s="63" t="e">
        <f t="shared" si="138"/>
        <v>#VALUE!</v>
      </c>
      <c r="H4436" s="63" t="e">
        <f t="shared" si="139"/>
        <v>#VALUE!</v>
      </c>
    </row>
    <row r="4437" spans="7:8">
      <c r="G4437" s="63" t="e">
        <f t="shared" si="138"/>
        <v>#VALUE!</v>
      </c>
      <c r="H4437" s="63" t="e">
        <f t="shared" si="139"/>
        <v>#VALUE!</v>
      </c>
    </row>
    <row r="4438" spans="7:8">
      <c r="G4438" s="63" t="e">
        <f t="shared" si="138"/>
        <v>#VALUE!</v>
      </c>
      <c r="H4438" s="63" t="e">
        <f t="shared" si="139"/>
        <v>#VALUE!</v>
      </c>
    </row>
    <row r="4439" spans="7:8">
      <c r="G4439" s="63" t="e">
        <f t="shared" si="138"/>
        <v>#VALUE!</v>
      </c>
      <c r="H4439" s="63" t="e">
        <f t="shared" si="139"/>
        <v>#VALUE!</v>
      </c>
    </row>
    <row r="4440" spans="7:8">
      <c r="G4440" s="63" t="e">
        <f t="shared" si="138"/>
        <v>#VALUE!</v>
      </c>
      <c r="H4440" s="63" t="e">
        <f t="shared" si="139"/>
        <v>#VALUE!</v>
      </c>
    </row>
    <row r="4441" spans="7:8">
      <c r="G4441" s="63" t="e">
        <f t="shared" si="138"/>
        <v>#VALUE!</v>
      </c>
      <c r="H4441" s="63" t="e">
        <f t="shared" si="139"/>
        <v>#VALUE!</v>
      </c>
    </row>
    <row r="4442" spans="7:8">
      <c r="G4442" s="63" t="e">
        <f t="shared" si="138"/>
        <v>#VALUE!</v>
      </c>
      <c r="H4442" s="63" t="e">
        <f t="shared" si="139"/>
        <v>#VALUE!</v>
      </c>
    </row>
    <row r="4443" spans="7:8">
      <c r="G4443" s="63" t="e">
        <f t="shared" si="138"/>
        <v>#VALUE!</v>
      </c>
      <c r="H4443" s="63" t="e">
        <f t="shared" si="139"/>
        <v>#VALUE!</v>
      </c>
    </row>
    <row r="4444" spans="7:8">
      <c r="G4444" s="63" t="e">
        <f t="shared" si="138"/>
        <v>#VALUE!</v>
      </c>
      <c r="H4444" s="63" t="e">
        <f t="shared" si="139"/>
        <v>#VALUE!</v>
      </c>
    </row>
    <row r="4445" spans="7:8">
      <c r="G4445" s="63" t="e">
        <f t="shared" si="138"/>
        <v>#VALUE!</v>
      </c>
      <c r="H4445" s="63" t="e">
        <f t="shared" si="139"/>
        <v>#VALUE!</v>
      </c>
    </row>
    <row r="4446" spans="7:8">
      <c r="G4446" s="63" t="e">
        <f t="shared" si="138"/>
        <v>#VALUE!</v>
      </c>
      <c r="H4446" s="63" t="e">
        <f t="shared" si="139"/>
        <v>#VALUE!</v>
      </c>
    </row>
    <row r="4447" spans="7:8">
      <c r="G4447" s="63" t="e">
        <f t="shared" si="138"/>
        <v>#VALUE!</v>
      </c>
      <c r="H4447" s="63" t="e">
        <f t="shared" si="139"/>
        <v>#VALUE!</v>
      </c>
    </row>
    <row r="4448" spans="7:8">
      <c r="G4448" s="63" t="e">
        <f t="shared" si="138"/>
        <v>#VALUE!</v>
      </c>
      <c r="H4448" s="63" t="e">
        <f t="shared" si="139"/>
        <v>#VALUE!</v>
      </c>
    </row>
    <row r="4449" spans="7:8">
      <c r="G4449" s="63" t="e">
        <f t="shared" si="138"/>
        <v>#VALUE!</v>
      </c>
      <c r="H4449" s="63" t="e">
        <f t="shared" si="139"/>
        <v>#VALUE!</v>
      </c>
    </row>
    <row r="4450" spans="7:8">
      <c r="G4450" s="63" t="e">
        <f t="shared" si="138"/>
        <v>#VALUE!</v>
      </c>
      <c r="H4450" s="63" t="e">
        <f t="shared" si="139"/>
        <v>#VALUE!</v>
      </c>
    </row>
    <row r="4451" spans="7:8">
      <c r="G4451" s="63" t="e">
        <f t="shared" si="138"/>
        <v>#VALUE!</v>
      </c>
      <c r="H4451" s="63" t="e">
        <f t="shared" si="139"/>
        <v>#VALUE!</v>
      </c>
    </row>
    <row r="4452" spans="7:8">
      <c r="G4452" s="63" t="e">
        <f t="shared" si="138"/>
        <v>#VALUE!</v>
      </c>
      <c r="H4452" s="63" t="e">
        <f t="shared" si="139"/>
        <v>#VALUE!</v>
      </c>
    </row>
    <row r="4453" spans="7:8">
      <c r="G4453" s="63" t="e">
        <f t="shared" si="138"/>
        <v>#VALUE!</v>
      </c>
      <c r="H4453" s="63" t="e">
        <f t="shared" si="139"/>
        <v>#VALUE!</v>
      </c>
    </row>
    <row r="4454" spans="7:8">
      <c r="G4454" s="63" t="e">
        <f t="shared" si="138"/>
        <v>#VALUE!</v>
      </c>
      <c r="H4454" s="63" t="e">
        <f t="shared" si="139"/>
        <v>#VALUE!</v>
      </c>
    </row>
    <row r="4455" spans="7:8">
      <c r="G4455" s="63" t="e">
        <f t="shared" si="138"/>
        <v>#VALUE!</v>
      </c>
      <c r="H4455" s="63" t="e">
        <f t="shared" si="139"/>
        <v>#VALUE!</v>
      </c>
    </row>
    <row r="4456" spans="7:8">
      <c r="G4456" s="63" t="e">
        <f t="shared" si="138"/>
        <v>#VALUE!</v>
      </c>
      <c r="H4456" s="63" t="e">
        <f t="shared" si="139"/>
        <v>#VALUE!</v>
      </c>
    </row>
    <row r="4457" spans="7:8">
      <c r="G4457" s="63" t="e">
        <f t="shared" si="138"/>
        <v>#VALUE!</v>
      </c>
      <c r="H4457" s="63" t="e">
        <f t="shared" si="139"/>
        <v>#VALUE!</v>
      </c>
    </row>
    <row r="4458" spans="7:8">
      <c r="G4458" s="63" t="e">
        <f t="shared" si="138"/>
        <v>#VALUE!</v>
      </c>
      <c r="H4458" s="63" t="e">
        <f t="shared" si="139"/>
        <v>#VALUE!</v>
      </c>
    </row>
    <row r="4459" spans="7:8">
      <c r="G4459" s="63" t="e">
        <f t="shared" si="138"/>
        <v>#VALUE!</v>
      </c>
      <c r="H4459" s="63" t="e">
        <f t="shared" si="139"/>
        <v>#VALUE!</v>
      </c>
    </row>
    <row r="4460" spans="7:8">
      <c r="G4460" s="63" t="e">
        <f t="shared" si="138"/>
        <v>#VALUE!</v>
      </c>
      <c r="H4460" s="63" t="e">
        <f t="shared" si="139"/>
        <v>#VALUE!</v>
      </c>
    </row>
    <row r="4461" spans="7:8">
      <c r="G4461" s="63" t="e">
        <f t="shared" si="138"/>
        <v>#VALUE!</v>
      </c>
      <c r="H4461" s="63" t="e">
        <f t="shared" si="139"/>
        <v>#VALUE!</v>
      </c>
    </row>
    <row r="4462" spans="7:8">
      <c r="G4462" s="63" t="e">
        <f t="shared" si="138"/>
        <v>#VALUE!</v>
      </c>
      <c r="H4462" s="63" t="e">
        <f t="shared" si="139"/>
        <v>#VALUE!</v>
      </c>
    </row>
    <row r="4463" spans="7:8">
      <c r="G4463" s="63" t="e">
        <f t="shared" si="138"/>
        <v>#VALUE!</v>
      </c>
      <c r="H4463" s="63" t="e">
        <f t="shared" si="139"/>
        <v>#VALUE!</v>
      </c>
    </row>
    <row r="4464" spans="7:8">
      <c r="G4464" s="63" t="e">
        <f t="shared" si="138"/>
        <v>#VALUE!</v>
      </c>
      <c r="H4464" s="63" t="e">
        <f t="shared" si="139"/>
        <v>#VALUE!</v>
      </c>
    </row>
    <row r="4465" spans="7:8">
      <c r="G4465" s="63" t="e">
        <f t="shared" si="138"/>
        <v>#VALUE!</v>
      </c>
      <c r="H4465" s="63" t="e">
        <f t="shared" si="139"/>
        <v>#VALUE!</v>
      </c>
    </row>
    <row r="4466" spans="7:8">
      <c r="G4466" s="63" t="e">
        <f t="shared" si="138"/>
        <v>#VALUE!</v>
      </c>
      <c r="H4466" s="63" t="e">
        <f t="shared" si="139"/>
        <v>#VALUE!</v>
      </c>
    </row>
    <row r="4467" spans="7:8">
      <c r="G4467" s="63" t="e">
        <f t="shared" si="138"/>
        <v>#VALUE!</v>
      </c>
      <c r="H4467" s="63" t="e">
        <f t="shared" si="139"/>
        <v>#VALUE!</v>
      </c>
    </row>
    <row r="4468" spans="7:8">
      <c r="G4468" s="63" t="e">
        <f t="shared" si="138"/>
        <v>#VALUE!</v>
      </c>
      <c r="H4468" s="63" t="e">
        <f t="shared" si="139"/>
        <v>#VALUE!</v>
      </c>
    </row>
    <row r="4469" spans="7:8">
      <c r="G4469" s="63" t="e">
        <f t="shared" si="138"/>
        <v>#VALUE!</v>
      </c>
      <c r="H4469" s="63" t="e">
        <f t="shared" si="139"/>
        <v>#VALUE!</v>
      </c>
    </row>
    <row r="4470" spans="7:8">
      <c r="G4470" s="63" t="e">
        <f t="shared" si="138"/>
        <v>#VALUE!</v>
      </c>
      <c r="H4470" s="63" t="e">
        <f t="shared" si="139"/>
        <v>#VALUE!</v>
      </c>
    </row>
    <row r="4471" spans="7:8">
      <c r="G4471" s="63" t="e">
        <f t="shared" si="138"/>
        <v>#VALUE!</v>
      </c>
      <c r="H4471" s="63" t="e">
        <f t="shared" si="139"/>
        <v>#VALUE!</v>
      </c>
    </row>
    <row r="4472" spans="7:8">
      <c r="G4472" s="63" t="e">
        <f t="shared" si="138"/>
        <v>#VALUE!</v>
      </c>
      <c r="H4472" s="63" t="e">
        <f t="shared" si="139"/>
        <v>#VALUE!</v>
      </c>
    </row>
    <row r="4473" spans="7:8">
      <c r="G4473" s="63" t="e">
        <f t="shared" si="138"/>
        <v>#VALUE!</v>
      </c>
      <c r="H4473" s="63" t="e">
        <f t="shared" si="139"/>
        <v>#VALUE!</v>
      </c>
    </row>
    <row r="4474" spans="7:8">
      <c r="G4474" s="63" t="e">
        <f t="shared" si="138"/>
        <v>#VALUE!</v>
      </c>
      <c r="H4474" s="63" t="e">
        <f t="shared" si="139"/>
        <v>#VALUE!</v>
      </c>
    </row>
    <row r="4475" spans="7:8">
      <c r="G4475" s="63" t="e">
        <f t="shared" si="138"/>
        <v>#VALUE!</v>
      </c>
      <c r="H4475" s="63" t="e">
        <f t="shared" si="139"/>
        <v>#VALUE!</v>
      </c>
    </row>
    <row r="4476" spans="7:8">
      <c r="G4476" s="63" t="e">
        <f t="shared" si="138"/>
        <v>#VALUE!</v>
      </c>
      <c r="H4476" s="63" t="e">
        <f t="shared" si="139"/>
        <v>#VALUE!</v>
      </c>
    </row>
    <row r="4477" spans="7:8">
      <c r="G4477" s="63" t="e">
        <f t="shared" si="138"/>
        <v>#VALUE!</v>
      </c>
      <c r="H4477" s="63" t="e">
        <f t="shared" si="139"/>
        <v>#VALUE!</v>
      </c>
    </row>
    <row r="4478" spans="7:8">
      <c r="G4478" s="63" t="e">
        <f t="shared" si="138"/>
        <v>#VALUE!</v>
      </c>
      <c r="H4478" s="63" t="e">
        <f t="shared" si="139"/>
        <v>#VALUE!</v>
      </c>
    </row>
    <row r="4479" spans="7:8">
      <c r="G4479" s="63" t="e">
        <f t="shared" si="138"/>
        <v>#VALUE!</v>
      </c>
      <c r="H4479" s="63" t="e">
        <f t="shared" si="139"/>
        <v>#VALUE!</v>
      </c>
    </row>
    <row r="4480" spans="7:8">
      <c r="G4480" s="63" t="e">
        <f t="shared" si="138"/>
        <v>#VALUE!</v>
      </c>
      <c r="H4480" s="63" t="e">
        <f t="shared" si="139"/>
        <v>#VALUE!</v>
      </c>
    </row>
    <row r="4481" spans="7:8">
      <c r="G4481" s="63" t="e">
        <f t="shared" si="138"/>
        <v>#VALUE!</v>
      </c>
      <c r="H4481" s="63" t="e">
        <f t="shared" si="139"/>
        <v>#VALUE!</v>
      </c>
    </row>
    <row r="4482" spans="7:8">
      <c r="G4482" s="63" t="e">
        <f t="shared" si="138"/>
        <v>#VALUE!</v>
      </c>
      <c r="H4482" s="63" t="e">
        <f t="shared" si="139"/>
        <v>#VALUE!</v>
      </c>
    </row>
    <row r="4483" spans="7:8">
      <c r="G4483" s="63" t="e">
        <f t="shared" ref="G4483:G4546" si="140">IF(OR(A4483="RID_PB77",A4483="RID_PB77A3"),"WPCI77",IF(A4483="RIDTCIAS","CSCI49",IF(A4483="RID_HCPTM","CHCPT_",IF(LEFT(A4483,1)="C",A4483,MID(A4483,6,LEN(A4483)-5)))))</f>
        <v>#VALUE!</v>
      </c>
      <c r="H4483" s="63" t="e">
        <f t="shared" ref="H4483:H4546" si="141">IF(OR(G4483="MJG1",G4483="MJG2"),"MJG",G4483)&amp;"_"&amp;B4483</f>
        <v>#VALUE!</v>
      </c>
    </row>
    <row r="4484" spans="7:8">
      <c r="G4484" s="63" t="e">
        <f t="shared" si="140"/>
        <v>#VALUE!</v>
      </c>
      <c r="H4484" s="63" t="e">
        <f t="shared" si="141"/>
        <v>#VALUE!</v>
      </c>
    </row>
    <row r="4485" spans="7:8">
      <c r="G4485" s="63" t="e">
        <f t="shared" si="140"/>
        <v>#VALUE!</v>
      </c>
      <c r="H4485" s="63" t="e">
        <f t="shared" si="141"/>
        <v>#VALUE!</v>
      </c>
    </row>
    <row r="4486" spans="7:8">
      <c r="G4486" s="63" t="e">
        <f t="shared" si="140"/>
        <v>#VALUE!</v>
      </c>
      <c r="H4486" s="63" t="e">
        <f t="shared" si="141"/>
        <v>#VALUE!</v>
      </c>
    </row>
    <row r="4487" spans="7:8">
      <c r="G4487" s="63" t="e">
        <f t="shared" si="140"/>
        <v>#VALUE!</v>
      </c>
      <c r="H4487" s="63" t="e">
        <f t="shared" si="141"/>
        <v>#VALUE!</v>
      </c>
    </row>
    <row r="4488" spans="7:8">
      <c r="G4488" s="63" t="e">
        <f t="shared" si="140"/>
        <v>#VALUE!</v>
      </c>
      <c r="H4488" s="63" t="e">
        <f t="shared" si="141"/>
        <v>#VALUE!</v>
      </c>
    </row>
    <row r="4489" spans="7:8">
      <c r="G4489" s="63" t="e">
        <f t="shared" si="140"/>
        <v>#VALUE!</v>
      </c>
      <c r="H4489" s="63" t="e">
        <f t="shared" si="141"/>
        <v>#VALUE!</v>
      </c>
    </row>
    <row r="4490" spans="7:8">
      <c r="G4490" s="63" t="e">
        <f t="shared" si="140"/>
        <v>#VALUE!</v>
      </c>
      <c r="H4490" s="63" t="e">
        <f t="shared" si="141"/>
        <v>#VALUE!</v>
      </c>
    </row>
    <row r="4491" spans="7:8">
      <c r="G4491" s="63" t="e">
        <f t="shared" si="140"/>
        <v>#VALUE!</v>
      </c>
      <c r="H4491" s="63" t="e">
        <f t="shared" si="141"/>
        <v>#VALUE!</v>
      </c>
    </row>
    <row r="4492" spans="7:8">
      <c r="G4492" s="63" t="e">
        <f t="shared" si="140"/>
        <v>#VALUE!</v>
      </c>
      <c r="H4492" s="63" t="e">
        <f t="shared" si="141"/>
        <v>#VALUE!</v>
      </c>
    </row>
    <row r="4493" spans="7:8">
      <c r="G4493" s="63" t="e">
        <f t="shared" si="140"/>
        <v>#VALUE!</v>
      </c>
      <c r="H4493" s="63" t="e">
        <f t="shared" si="141"/>
        <v>#VALUE!</v>
      </c>
    </row>
    <row r="4494" spans="7:8">
      <c r="G4494" s="63" t="e">
        <f t="shared" si="140"/>
        <v>#VALUE!</v>
      </c>
      <c r="H4494" s="63" t="e">
        <f t="shared" si="141"/>
        <v>#VALUE!</v>
      </c>
    </row>
    <row r="4495" spans="7:8">
      <c r="G4495" s="63" t="e">
        <f t="shared" si="140"/>
        <v>#VALUE!</v>
      </c>
      <c r="H4495" s="63" t="e">
        <f t="shared" si="141"/>
        <v>#VALUE!</v>
      </c>
    </row>
    <row r="4496" spans="7:8">
      <c r="G4496" s="63" t="e">
        <f t="shared" si="140"/>
        <v>#VALUE!</v>
      </c>
      <c r="H4496" s="63" t="e">
        <f t="shared" si="141"/>
        <v>#VALUE!</v>
      </c>
    </row>
    <row r="4497" spans="7:8">
      <c r="G4497" s="63" t="e">
        <f t="shared" si="140"/>
        <v>#VALUE!</v>
      </c>
      <c r="H4497" s="63" t="e">
        <f t="shared" si="141"/>
        <v>#VALUE!</v>
      </c>
    </row>
    <row r="4498" spans="7:8">
      <c r="G4498" s="63" t="e">
        <f t="shared" si="140"/>
        <v>#VALUE!</v>
      </c>
      <c r="H4498" s="63" t="e">
        <f t="shared" si="141"/>
        <v>#VALUE!</v>
      </c>
    </row>
    <row r="4499" spans="7:8">
      <c r="G4499" s="63" t="e">
        <f t="shared" si="140"/>
        <v>#VALUE!</v>
      </c>
      <c r="H4499" s="63" t="e">
        <f t="shared" si="141"/>
        <v>#VALUE!</v>
      </c>
    </row>
    <row r="4500" spans="7:8">
      <c r="G4500" s="63" t="e">
        <f t="shared" si="140"/>
        <v>#VALUE!</v>
      </c>
      <c r="H4500" s="63" t="e">
        <f t="shared" si="141"/>
        <v>#VALUE!</v>
      </c>
    </row>
    <row r="4501" spans="7:8">
      <c r="G4501" s="63" t="e">
        <f t="shared" si="140"/>
        <v>#VALUE!</v>
      </c>
      <c r="H4501" s="63" t="e">
        <f t="shared" si="141"/>
        <v>#VALUE!</v>
      </c>
    </row>
    <row r="4502" spans="7:8">
      <c r="G4502" s="63" t="e">
        <f t="shared" si="140"/>
        <v>#VALUE!</v>
      </c>
      <c r="H4502" s="63" t="e">
        <f t="shared" si="141"/>
        <v>#VALUE!</v>
      </c>
    </row>
    <row r="4503" spans="7:8">
      <c r="G4503" s="63" t="e">
        <f t="shared" si="140"/>
        <v>#VALUE!</v>
      </c>
      <c r="H4503" s="63" t="e">
        <f t="shared" si="141"/>
        <v>#VALUE!</v>
      </c>
    </row>
    <row r="4504" spans="7:8">
      <c r="G4504" s="63" t="e">
        <f t="shared" si="140"/>
        <v>#VALUE!</v>
      </c>
      <c r="H4504" s="63" t="e">
        <f t="shared" si="141"/>
        <v>#VALUE!</v>
      </c>
    </row>
    <row r="4505" spans="7:8">
      <c r="G4505" s="63" t="e">
        <f t="shared" si="140"/>
        <v>#VALUE!</v>
      </c>
      <c r="H4505" s="63" t="e">
        <f t="shared" si="141"/>
        <v>#VALUE!</v>
      </c>
    </row>
    <row r="4506" spans="7:8">
      <c r="G4506" s="63" t="e">
        <f t="shared" si="140"/>
        <v>#VALUE!</v>
      </c>
      <c r="H4506" s="63" t="e">
        <f t="shared" si="141"/>
        <v>#VALUE!</v>
      </c>
    </row>
    <row r="4507" spans="7:8">
      <c r="G4507" s="63" t="e">
        <f t="shared" si="140"/>
        <v>#VALUE!</v>
      </c>
      <c r="H4507" s="63" t="e">
        <f t="shared" si="141"/>
        <v>#VALUE!</v>
      </c>
    </row>
    <row r="4508" spans="7:8">
      <c r="G4508" s="63" t="e">
        <f t="shared" si="140"/>
        <v>#VALUE!</v>
      </c>
      <c r="H4508" s="63" t="e">
        <f t="shared" si="141"/>
        <v>#VALUE!</v>
      </c>
    </row>
    <row r="4509" spans="7:8">
      <c r="G4509" s="63" t="e">
        <f t="shared" si="140"/>
        <v>#VALUE!</v>
      </c>
      <c r="H4509" s="63" t="e">
        <f t="shared" si="141"/>
        <v>#VALUE!</v>
      </c>
    </row>
    <row r="4510" spans="7:8">
      <c r="G4510" s="63" t="e">
        <f t="shared" si="140"/>
        <v>#VALUE!</v>
      </c>
      <c r="H4510" s="63" t="e">
        <f t="shared" si="141"/>
        <v>#VALUE!</v>
      </c>
    </row>
    <row r="4511" spans="7:8">
      <c r="G4511" s="63" t="e">
        <f t="shared" si="140"/>
        <v>#VALUE!</v>
      </c>
      <c r="H4511" s="63" t="e">
        <f t="shared" si="141"/>
        <v>#VALUE!</v>
      </c>
    </row>
    <row r="4512" spans="7:8">
      <c r="G4512" s="63" t="e">
        <f t="shared" si="140"/>
        <v>#VALUE!</v>
      </c>
      <c r="H4512" s="63" t="e">
        <f t="shared" si="141"/>
        <v>#VALUE!</v>
      </c>
    </row>
    <row r="4513" spans="7:8">
      <c r="G4513" s="63" t="e">
        <f t="shared" si="140"/>
        <v>#VALUE!</v>
      </c>
      <c r="H4513" s="63" t="e">
        <f t="shared" si="141"/>
        <v>#VALUE!</v>
      </c>
    </row>
    <row r="4514" spans="7:8">
      <c r="G4514" s="63" t="e">
        <f t="shared" si="140"/>
        <v>#VALUE!</v>
      </c>
      <c r="H4514" s="63" t="e">
        <f t="shared" si="141"/>
        <v>#VALUE!</v>
      </c>
    </row>
    <row r="4515" spans="7:8">
      <c r="G4515" s="63" t="e">
        <f t="shared" si="140"/>
        <v>#VALUE!</v>
      </c>
      <c r="H4515" s="63" t="e">
        <f t="shared" si="141"/>
        <v>#VALUE!</v>
      </c>
    </row>
    <row r="4516" spans="7:8">
      <c r="G4516" s="63" t="e">
        <f t="shared" si="140"/>
        <v>#VALUE!</v>
      </c>
      <c r="H4516" s="63" t="e">
        <f t="shared" si="141"/>
        <v>#VALUE!</v>
      </c>
    </row>
    <row r="4517" spans="7:8">
      <c r="G4517" s="63" t="e">
        <f t="shared" si="140"/>
        <v>#VALUE!</v>
      </c>
      <c r="H4517" s="63" t="e">
        <f t="shared" si="141"/>
        <v>#VALUE!</v>
      </c>
    </row>
    <row r="4518" spans="7:8">
      <c r="G4518" s="63" t="e">
        <f t="shared" si="140"/>
        <v>#VALUE!</v>
      </c>
      <c r="H4518" s="63" t="e">
        <f t="shared" si="141"/>
        <v>#VALUE!</v>
      </c>
    </row>
    <row r="4519" spans="7:8">
      <c r="G4519" s="63" t="e">
        <f t="shared" si="140"/>
        <v>#VALUE!</v>
      </c>
      <c r="H4519" s="63" t="e">
        <f t="shared" si="141"/>
        <v>#VALUE!</v>
      </c>
    </row>
    <row r="4520" spans="7:8">
      <c r="G4520" s="63" t="e">
        <f t="shared" si="140"/>
        <v>#VALUE!</v>
      </c>
      <c r="H4520" s="63" t="e">
        <f t="shared" si="141"/>
        <v>#VALUE!</v>
      </c>
    </row>
    <row r="4521" spans="7:8">
      <c r="G4521" s="63" t="e">
        <f t="shared" si="140"/>
        <v>#VALUE!</v>
      </c>
      <c r="H4521" s="63" t="e">
        <f t="shared" si="141"/>
        <v>#VALUE!</v>
      </c>
    </row>
    <row r="4522" spans="7:8">
      <c r="G4522" s="63" t="e">
        <f t="shared" si="140"/>
        <v>#VALUE!</v>
      </c>
      <c r="H4522" s="63" t="e">
        <f t="shared" si="141"/>
        <v>#VALUE!</v>
      </c>
    </row>
    <row r="4523" spans="7:8">
      <c r="G4523" s="63" t="e">
        <f t="shared" si="140"/>
        <v>#VALUE!</v>
      </c>
      <c r="H4523" s="63" t="e">
        <f t="shared" si="141"/>
        <v>#VALUE!</v>
      </c>
    </row>
    <row r="4524" spans="7:8">
      <c r="G4524" s="63" t="e">
        <f t="shared" si="140"/>
        <v>#VALUE!</v>
      </c>
      <c r="H4524" s="63" t="e">
        <f t="shared" si="141"/>
        <v>#VALUE!</v>
      </c>
    </row>
    <row r="4525" spans="7:8">
      <c r="G4525" s="63" t="e">
        <f t="shared" si="140"/>
        <v>#VALUE!</v>
      </c>
      <c r="H4525" s="63" t="e">
        <f t="shared" si="141"/>
        <v>#VALUE!</v>
      </c>
    </row>
    <row r="4526" spans="7:8">
      <c r="G4526" s="63" t="e">
        <f t="shared" si="140"/>
        <v>#VALUE!</v>
      </c>
      <c r="H4526" s="63" t="e">
        <f t="shared" si="141"/>
        <v>#VALUE!</v>
      </c>
    </row>
    <row r="4527" spans="7:8">
      <c r="G4527" s="63" t="e">
        <f t="shared" si="140"/>
        <v>#VALUE!</v>
      </c>
      <c r="H4527" s="63" t="e">
        <f t="shared" si="141"/>
        <v>#VALUE!</v>
      </c>
    </row>
    <row r="4528" spans="7:8">
      <c r="G4528" s="63" t="e">
        <f t="shared" si="140"/>
        <v>#VALUE!</v>
      </c>
      <c r="H4528" s="63" t="e">
        <f t="shared" si="141"/>
        <v>#VALUE!</v>
      </c>
    </row>
    <row r="4529" spans="7:8">
      <c r="G4529" s="63" t="e">
        <f t="shared" si="140"/>
        <v>#VALUE!</v>
      </c>
      <c r="H4529" s="63" t="e">
        <f t="shared" si="141"/>
        <v>#VALUE!</v>
      </c>
    </row>
    <row r="4530" spans="7:8">
      <c r="G4530" s="63" t="e">
        <f t="shared" si="140"/>
        <v>#VALUE!</v>
      </c>
      <c r="H4530" s="63" t="e">
        <f t="shared" si="141"/>
        <v>#VALUE!</v>
      </c>
    </row>
    <row r="4531" spans="7:8">
      <c r="G4531" s="63" t="e">
        <f t="shared" si="140"/>
        <v>#VALUE!</v>
      </c>
      <c r="H4531" s="63" t="e">
        <f t="shared" si="141"/>
        <v>#VALUE!</v>
      </c>
    </row>
    <row r="4532" spans="7:8">
      <c r="G4532" s="63" t="e">
        <f t="shared" si="140"/>
        <v>#VALUE!</v>
      </c>
      <c r="H4532" s="63" t="e">
        <f t="shared" si="141"/>
        <v>#VALUE!</v>
      </c>
    </row>
    <row r="4533" spans="7:8">
      <c r="G4533" s="63" t="e">
        <f t="shared" si="140"/>
        <v>#VALUE!</v>
      </c>
      <c r="H4533" s="63" t="e">
        <f t="shared" si="141"/>
        <v>#VALUE!</v>
      </c>
    </row>
    <row r="4534" spans="7:8">
      <c r="G4534" s="63" t="e">
        <f t="shared" si="140"/>
        <v>#VALUE!</v>
      </c>
      <c r="H4534" s="63" t="e">
        <f t="shared" si="141"/>
        <v>#VALUE!</v>
      </c>
    </row>
    <row r="4535" spans="7:8">
      <c r="G4535" s="63" t="e">
        <f t="shared" si="140"/>
        <v>#VALUE!</v>
      </c>
      <c r="H4535" s="63" t="e">
        <f t="shared" si="141"/>
        <v>#VALUE!</v>
      </c>
    </row>
    <row r="4536" spans="7:8">
      <c r="G4536" s="63" t="e">
        <f t="shared" si="140"/>
        <v>#VALUE!</v>
      </c>
      <c r="H4536" s="63" t="e">
        <f t="shared" si="141"/>
        <v>#VALUE!</v>
      </c>
    </row>
    <row r="4537" spans="7:8">
      <c r="G4537" s="63" t="e">
        <f t="shared" si="140"/>
        <v>#VALUE!</v>
      </c>
      <c r="H4537" s="63" t="e">
        <f t="shared" si="141"/>
        <v>#VALUE!</v>
      </c>
    </row>
    <row r="4538" spans="7:8">
      <c r="G4538" s="63" t="e">
        <f t="shared" si="140"/>
        <v>#VALUE!</v>
      </c>
      <c r="H4538" s="63" t="e">
        <f t="shared" si="141"/>
        <v>#VALUE!</v>
      </c>
    </row>
    <row r="4539" spans="7:8">
      <c r="G4539" s="63" t="e">
        <f t="shared" si="140"/>
        <v>#VALUE!</v>
      </c>
      <c r="H4539" s="63" t="e">
        <f t="shared" si="141"/>
        <v>#VALUE!</v>
      </c>
    </row>
    <row r="4540" spans="7:8">
      <c r="G4540" s="63" t="e">
        <f t="shared" si="140"/>
        <v>#VALUE!</v>
      </c>
      <c r="H4540" s="63" t="e">
        <f t="shared" si="141"/>
        <v>#VALUE!</v>
      </c>
    </row>
    <row r="4541" spans="7:8">
      <c r="G4541" s="63" t="e">
        <f t="shared" si="140"/>
        <v>#VALUE!</v>
      </c>
      <c r="H4541" s="63" t="e">
        <f t="shared" si="141"/>
        <v>#VALUE!</v>
      </c>
    </row>
    <row r="4542" spans="7:8">
      <c r="G4542" s="63" t="e">
        <f t="shared" si="140"/>
        <v>#VALUE!</v>
      </c>
      <c r="H4542" s="63" t="e">
        <f t="shared" si="141"/>
        <v>#VALUE!</v>
      </c>
    </row>
    <row r="4543" spans="7:8">
      <c r="G4543" s="63" t="e">
        <f t="shared" si="140"/>
        <v>#VALUE!</v>
      </c>
      <c r="H4543" s="63" t="e">
        <f t="shared" si="141"/>
        <v>#VALUE!</v>
      </c>
    </row>
    <row r="4544" spans="7:8">
      <c r="G4544" s="63" t="e">
        <f t="shared" si="140"/>
        <v>#VALUE!</v>
      </c>
      <c r="H4544" s="63" t="e">
        <f t="shared" si="141"/>
        <v>#VALUE!</v>
      </c>
    </row>
    <row r="4545" spans="7:8">
      <c r="G4545" s="63" t="e">
        <f t="shared" si="140"/>
        <v>#VALUE!</v>
      </c>
      <c r="H4545" s="63" t="e">
        <f t="shared" si="141"/>
        <v>#VALUE!</v>
      </c>
    </row>
    <row r="4546" spans="7:8">
      <c r="G4546" s="63" t="e">
        <f t="shared" si="140"/>
        <v>#VALUE!</v>
      </c>
      <c r="H4546" s="63" t="e">
        <f t="shared" si="141"/>
        <v>#VALUE!</v>
      </c>
    </row>
    <row r="4547" spans="7:8">
      <c r="G4547" s="63" t="e">
        <f t="shared" ref="G4547:G4610" si="142">IF(OR(A4547="RID_PB77",A4547="RID_PB77A3"),"WPCI77",IF(A4547="RIDTCIAS","CSCI49",IF(A4547="RID_HCPTM","CHCPT_",IF(LEFT(A4547,1)="C",A4547,MID(A4547,6,LEN(A4547)-5)))))</f>
        <v>#VALUE!</v>
      </c>
      <c r="H4547" s="63" t="e">
        <f t="shared" ref="H4547:H4610" si="143">IF(OR(G4547="MJG1",G4547="MJG2"),"MJG",G4547)&amp;"_"&amp;B4547</f>
        <v>#VALUE!</v>
      </c>
    </row>
    <row r="4548" spans="7:8">
      <c r="G4548" s="63" t="e">
        <f t="shared" si="142"/>
        <v>#VALUE!</v>
      </c>
      <c r="H4548" s="63" t="e">
        <f t="shared" si="143"/>
        <v>#VALUE!</v>
      </c>
    </row>
    <row r="4549" spans="7:8">
      <c r="G4549" s="63" t="e">
        <f t="shared" si="142"/>
        <v>#VALUE!</v>
      </c>
      <c r="H4549" s="63" t="e">
        <f t="shared" si="143"/>
        <v>#VALUE!</v>
      </c>
    </row>
    <row r="4550" spans="7:8">
      <c r="G4550" s="63" t="e">
        <f t="shared" si="142"/>
        <v>#VALUE!</v>
      </c>
      <c r="H4550" s="63" t="e">
        <f t="shared" si="143"/>
        <v>#VALUE!</v>
      </c>
    </row>
    <row r="4551" spans="7:8">
      <c r="G4551" s="63" t="e">
        <f t="shared" si="142"/>
        <v>#VALUE!</v>
      </c>
      <c r="H4551" s="63" t="e">
        <f t="shared" si="143"/>
        <v>#VALUE!</v>
      </c>
    </row>
    <row r="4552" spans="7:8">
      <c r="G4552" s="63" t="e">
        <f t="shared" si="142"/>
        <v>#VALUE!</v>
      </c>
      <c r="H4552" s="63" t="e">
        <f t="shared" si="143"/>
        <v>#VALUE!</v>
      </c>
    </row>
    <row r="4553" spans="7:8">
      <c r="G4553" s="63" t="e">
        <f t="shared" si="142"/>
        <v>#VALUE!</v>
      </c>
      <c r="H4553" s="63" t="e">
        <f t="shared" si="143"/>
        <v>#VALUE!</v>
      </c>
    </row>
    <row r="4554" spans="7:8">
      <c r="G4554" s="63" t="e">
        <f t="shared" si="142"/>
        <v>#VALUE!</v>
      </c>
      <c r="H4554" s="63" t="e">
        <f t="shared" si="143"/>
        <v>#VALUE!</v>
      </c>
    </row>
    <row r="4555" spans="7:8">
      <c r="G4555" s="63" t="e">
        <f t="shared" si="142"/>
        <v>#VALUE!</v>
      </c>
      <c r="H4555" s="63" t="e">
        <f t="shared" si="143"/>
        <v>#VALUE!</v>
      </c>
    </row>
    <row r="4556" spans="7:8">
      <c r="G4556" s="63" t="e">
        <f t="shared" si="142"/>
        <v>#VALUE!</v>
      </c>
      <c r="H4556" s="63" t="e">
        <f t="shared" si="143"/>
        <v>#VALUE!</v>
      </c>
    </row>
    <row r="4557" spans="7:8">
      <c r="G4557" s="63" t="e">
        <f t="shared" si="142"/>
        <v>#VALUE!</v>
      </c>
      <c r="H4557" s="63" t="e">
        <f t="shared" si="143"/>
        <v>#VALUE!</v>
      </c>
    </row>
    <row r="4558" spans="7:8">
      <c r="G4558" s="63" t="e">
        <f t="shared" si="142"/>
        <v>#VALUE!</v>
      </c>
      <c r="H4558" s="63" t="e">
        <f t="shared" si="143"/>
        <v>#VALUE!</v>
      </c>
    </row>
    <row r="4559" spans="7:8">
      <c r="G4559" s="63" t="e">
        <f t="shared" si="142"/>
        <v>#VALUE!</v>
      </c>
      <c r="H4559" s="63" t="e">
        <f t="shared" si="143"/>
        <v>#VALUE!</v>
      </c>
    </row>
    <row r="4560" spans="7:8">
      <c r="G4560" s="63" t="e">
        <f t="shared" si="142"/>
        <v>#VALUE!</v>
      </c>
      <c r="H4560" s="63" t="e">
        <f t="shared" si="143"/>
        <v>#VALUE!</v>
      </c>
    </row>
    <row r="4561" spans="7:8">
      <c r="G4561" s="63" t="e">
        <f t="shared" si="142"/>
        <v>#VALUE!</v>
      </c>
      <c r="H4561" s="63" t="e">
        <f t="shared" si="143"/>
        <v>#VALUE!</v>
      </c>
    </row>
    <row r="4562" spans="7:8">
      <c r="G4562" s="63" t="e">
        <f t="shared" si="142"/>
        <v>#VALUE!</v>
      </c>
      <c r="H4562" s="63" t="e">
        <f t="shared" si="143"/>
        <v>#VALUE!</v>
      </c>
    </row>
    <row r="4563" spans="7:8">
      <c r="G4563" s="63" t="e">
        <f t="shared" si="142"/>
        <v>#VALUE!</v>
      </c>
      <c r="H4563" s="63" t="e">
        <f t="shared" si="143"/>
        <v>#VALUE!</v>
      </c>
    </row>
    <row r="4564" spans="7:8">
      <c r="G4564" s="63" t="e">
        <f t="shared" si="142"/>
        <v>#VALUE!</v>
      </c>
      <c r="H4564" s="63" t="e">
        <f t="shared" si="143"/>
        <v>#VALUE!</v>
      </c>
    </row>
    <row r="4565" spans="7:8">
      <c r="G4565" s="63" t="e">
        <f t="shared" si="142"/>
        <v>#VALUE!</v>
      </c>
      <c r="H4565" s="63" t="e">
        <f t="shared" si="143"/>
        <v>#VALUE!</v>
      </c>
    </row>
    <row r="4566" spans="7:8">
      <c r="G4566" s="63" t="e">
        <f t="shared" si="142"/>
        <v>#VALUE!</v>
      </c>
      <c r="H4566" s="63" t="e">
        <f t="shared" si="143"/>
        <v>#VALUE!</v>
      </c>
    </row>
    <row r="4567" spans="7:8">
      <c r="G4567" s="63" t="e">
        <f t="shared" si="142"/>
        <v>#VALUE!</v>
      </c>
      <c r="H4567" s="63" t="e">
        <f t="shared" si="143"/>
        <v>#VALUE!</v>
      </c>
    </row>
    <row r="4568" spans="7:8">
      <c r="G4568" s="63" t="e">
        <f t="shared" si="142"/>
        <v>#VALUE!</v>
      </c>
      <c r="H4568" s="63" t="e">
        <f t="shared" si="143"/>
        <v>#VALUE!</v>
      </c>
    </row>
    <row r="4569" spans="7:8">
      <c r="G4569" s="63" t="e">
        <f t="shared" si="142"/>
        <v>#VALUE!</v>
      </c>
      <c r="H4569" s="63" t="e">
        <f t="shared" si="143"/>
        <v>#VALUE!</v>
      </c>
    </row>
    <row r="4570" spans="7:8">
      <c r="G4570" s="63" t="e">
        <f t="shared" si="142"/>
        <v>#VALUE!</v>
      </c>
      <c r="H4570" s="63" t="e">
        <f t="shared" si="143"/>
        <v>#VALUE!</v>
      </c>
    </row>
    <row r="4571" spans="7:8">
      <c r="G4571" s="63" t="e">
        <f t="shared" si="142"/>
        <v>#VALUE!</v>
      </c>
      <c r="H4571" s="63" t="e">
        <f t="shared" si="143"/>
        <v>#VALUE!</v>
      </c>
    </row>
    <row r="4572" spans="7:8">
      <c r="G4572" s="63" t="e">
        <f t="shared" si="142"/>
        <v>#VALUE!</v>
      </c>
      <c r="H4572" s="63" t="e">
        <f t="shared" si="143"/>
        <v>#VALUE!</v>
      </c>
    </row>
    <row r="4573" spans="7:8">
      <c r="G4573" s="63" t="e">
        <f t="shared" si="142"/>
        <v>#VALUE!</v>
      </c>
      <c r="H4573" s="63" t="e">
        <f t="shared" si="143"/>
        <v>#VALUE!</v>
      </c>
    </row>
    <row r="4574" spans="7:8">
      <c r="G4574" s="63" t="e">
        <f t="shared" si="142"/>
        <v>#VALUE!</v>
      </c>
      <c r="H4574" s="63" t="e">
        <f t="shared" si="143"/>
        <v>#VALUE!</v>
      </c>
    </row>
    <row r="4575" spans="7:8">
      <c r="G4575" s="63" t="e">
        <f t="shared" si="142"/>
        <v>#VALUE!</v>
      </c>
      <c r="H4575" s="63" t="e">
        <f t="shared" si="143"/>
        <v>#VALUE!</v>
      </c>
    </row>
    <row r="4576" spans="7:8">
      <c r="G4576" s="63" t="e">
        <f t="shared" si="142"/>
        <v>#VALUE!</v>
      </c>
      <c r="H4576" s="63" t="e">
        <f t="shared" si="143"/>
        <v>#VALUE!</v>
      </c>
    </row>
    <row r="4577" spans="7:8">
      <c r="G4577" s="63" t="e">
        <f t="shared" si="142"/>
        <v>#VALUE!</v>
      </c>
      <c r="H4577" s="63" t="e">
        <f t="shared" si="143"/>
        <v>#VALUE!</v>
      </c>
    </row>
    <row r="4578" spans="7:8">
      <c r="G4578" s="63" t="e">
        <f t="shared" si="142"/>
        <v>#VALUE!</v>
      </c>
      <c r="H4578" s="63" t="e">
        <f t="shared" si="143"/>
        <v>#VALUE!</v>
      </c>
    </row>
    <row r="4579" spans="7:8">
      <c r="G4579" s="63" t="e">
        <f t="shared" si="142"/>
        <v>#VALUE!</v>
      </c>
      <c r="H4579" s="63" t="e">
        <f t="shared" si="143"/>
        <v>#VALUE!</v>
      </c>
    </row>
    <row r="4580" spans="7:8">
      <c r="G4580" s="63" t="e">
        <f t="shared" si="142"/>
        <v>#VALUE!</v>
      </c>
      <c r="H4580" s="63" t="e">
        <f t="shared" si="143"/>
        <v>#VALUE!</v>
      </c>
    </row>
    <row r="4581" spans="7:8">
      <c r="G4581" s="63" t="e">
        <f t="shared" si="142"/>
        <v>#VALUE!</v>
      </c>
      <c r="H4581" s="63" t="e">
        <f t="shared" si="143"/>
        <v>#VALUE!</v>
      </c>
    </row>
    <row r="4582" spans="7:8">
      <c r="G4582" s="63" t="e">
        <f t="shared" si="142"/>
        <v>#VALUE!</v>
      </c>
      <c r="H4582" s="63" t="e">
        <f t="shared" si="143"/>
        <v>#VALUE!</v>
      </c>
    </row>
    <row r="4583" spans="7:8">
      <c r="G4583" s="63" t="e">
        <f t="shared" si="142"/>
        <v>#VALUE!</v>
      </c>
      <c r="H4583" s="63" t="e">
        <f t="shared" si="143"/>
        <v>#VALUE!</v>
      </c>
    </row>
    <row r="4584" spans="7:8">
      <c r="G4584" s="63" t="e">
        <f t="shared" si="142"/>
        <v>#VALUE!</v>
      </c>
      <c r="H4584" s="63" t="e">
        <f t="shared" si="143"/>
        <v>#VALUE!</v>
      </c>
    </row>
    <row r="4585" spans="7:8">
      <c r="G4585" s="63" t="e">
        <f t="shared" si="142"/>
        <v>#VALUE!</v>
      </c>
      <c r="H4585" s="63" t="e">
        <f t="shared" si="143"/>
        <v>#VALUE!</v>
      </c>
    </row>
    <row r="4586" spans="7:8">
      <c r="G4586" s="63" t="e">
        <f t="shared" si="142"/>
        <v>#VALUE!</v>
      </c>
      <c r="H4586" s="63" t="e">
        <f t="shared" si="143"/>
        <v>#VALUE!</v>
      </c>
    </row>
    <row r="4587" spans="7:8">
      <c r="G4587" s="63" t="e">
        <f t="shared" si="142"/>
        <v>#VALUE!</v>
      </c>
      <c r="H4587" s="63" t="e">
        <f t="shared" si="143"/>
        <v>#VALUE!</v>
      </c>
    </row>
    <row r="4588" spans="7:8">
      <c r="G4588" s="63" t="e">
        <f t="shared" si="142"/>
        <v>#VALUE!</v>
      </c>
      <c r="H4588" s="63" t="e">
        <f t="shared" si="143"/>
        <v>#VALUE!</v>
      </c>
    </row>
    <row r="4589" spans="7:8">
      <c r="G4589" s="63" t="e">
        <f t="shared" si="142"/>
        <v>#VALUE!</v>
      </c>
      <c r="H4589" s="63" t="e">
        <f t="shared" si="143"/>
        <v>#VALUE!</v>
      </c>
    </row>
    <row r="4590" spans="7:8">
      <c r="G4590" s="63" t="e">
        <f t="shared" si="142"/>
        <v>#VALUE!</v>
      </c>
      <c r="H4590" s="63" t="e">
        <f t="shared" si="143"/>
        <v>#VALUE!</v>
      </c>
    </row>
    <row r="4591" spans="7:8">
      <c r="G4591" s="63" t="e">
        <f t="shared" si="142"/>
        <v>#VALUE!</v>
      </c>
      <c r="H4591" s="63" t="e">
        <f t="shared" si="143"/>
        <v>#VALUE!</v>
      </c>
    </row>
    <row r="4592" spans="7:8">
      <c r="G4592" s="63" t="e">
        <f t="shared" si="142"/>
        <v>#VALUE!</v>
      </c>
      <c r="H4592" s="63" t="e">
        <f t="shared" si="143"/>
        <v>#VALUE!</v>
      </c>
    </row>
    <row r="4593" spans="7:8">
      <c r="G4593" s="63" t="e">
        <f t="shared" si="142"/>
        <v>#VALUE!</v>
      </c>
      <c r="H4593" s="63" t="e">
        <f t="shared" si="143"/>
        <v>#VALUE!</v>
      </c>
    </row>
    <row r="4594" spans="7:8">
      <c r="G4594" s="63" t="e">
        <f t="shared" si="142"/>
        <v>#VALUE!</v>
      </c>
      <c r="H4594" s="63" t="e">
        <f t="shared" si="143"/>
        <v>#VALUE!</v>
      </c>
    </row>
    <row r="4595" spans="7:8">
      <c r="G4595" s="63" t="e">
        <f t="shared" si="142"/>
        <v>#VALUE!</v>
      </c>
      <c r="H4595" s="63" t="e">
        <f t="shared" si="143"/>
        <v>#VALUE!</v>
      </c>
    </row>
    <row r="4596" spans="7:8">
      <c r="G4596" s="63" t="e">
        <f t="shared" si="142"/>
        <v>#VALUE!</v>
      </c>
      <c r="H4596" s="63" t="e">
        <f t="shared" si="143"/>
        <v>#VALUE!</v>
      </c>
    </row>
    <row r="4597" spans="7:8">
      <c r="G4597" s="63" t="e">
        <f t="shared" si="142"/>
        <v>#VALUE!</v>
      </c>
      <c r="H4597" s="63" t="e">
        <f t="shared" si="143"/>
        <v>#VALUE!</v>
      </c>
    </row>
    <row r="4598" spans="7:8">
      <c r="G4598" s="63" t="e">
        <f t="shared" si="142"/>
        <v>#VALUE!</v>
      </c>
      <c r="H4598" s="63" t="e">
        <f t="shared" si="143"/>
        <v>#VALUE!</v>
      </c>
    </row>
    <row r="4599" spans="7:8">
      <c r="G4599" s="63" t="e">
        <f t="shared" si="142"/>
        <v>#VALUE!</v>
      </c>
      <c r="H4599" s="63" t="e">
        <f t="shared" si="143"/>
        <v>#VALUE!</v>
      </c>
    </row>
    <row r="4600" spans="7:8">
      <c r="G4600" s="63" t="e">
        <f t="shared" si="142"/>
        <v>#VALUE!</v>
      </c>
      <c r="H4600" s="63" t="e">
        <f t="shared" si="143"/>
        <v>#VALUE!</v>
      </c>
    </row>
    <row r="4601" spans="7:8">
      <c r="G4601" s="63" t="e">
        <f t="shared" si="142"/>
        <v>#VALUE!</v>
      </c>
      <c r="H4601" s="63" t="e">
        <f t="shared" si="143"/>
        <v>#VALUE!</v>
      </c>
    </row>
    <row r="4602" spans="7:8">
      <c r="G4602" s="63" t="e">
        <f t="shared" si="142"/>
        <v>#VALUE!</v>
      </c>
      <c r="H4602" s="63" t="e">
        <f t="shared" si="143"/>
        <v>#VALUE!</v>
      </c>
    </row>
    <row r="4603" spans="7:8">
      <c r="G4603" s="63" t="e">
        <f t="shared" si="142"/>
        <v>#VALUE!</v>
      </c>
      <c r="H4603" s="63" t="e">
        <f t="shared" si="143"/>
        <v>#VALUE!</v>
      </c>
    </row>
    <row r="4604" spans="7:8">
      <c r="G4604" s="63" t="e">
        <f t="shared" si="142"/>
        <v>#VALUE!</v>
      </c>
      <c r="H4604" s="63" t="e">
        <f t="shared" si="143"/>
        <v>#VALUE!</v>
      </c>
    </row>
    <row r="4605" spans="7:8">
      <c r="G4605" s="63" t="e">
        <f t="shared" si="142"/>
        <v>#VALUE!</v>
      </c>
      <c r="H4605" s="63" t="e">
        <f t="shared" si="143"/>
        <v>#VALUE!</v>
      </c>
    </row>
    <row r="4606" spans="7:8">
      <c r="G4606" s="63" t="e">
        <f t="shared" si="142"/>
        <v>#VALUE!</v>
      </c>
      <c r="H4606" s="63" t="e">
        <f t="shared" si="143"/>
        <v>#VALUE!</v>
      </c>
    </row>
    <row r="4607" spans="7:8">
      <c r="G4607" s="63" t="e">
        <f t="shared" si="142"/>
        <v>#VALUE!</v>
      </c>
      <c r="H4607" s="63" t="e">
        <f t="shared" si="143"/>
        <v>#VALUE!</v>
      </c>
    </row>
    <row r="4608" spans="7:8">
      <c r="G4608" s="63" t="e">
        <f t="shared" si="142"/>
        <v>#VALUE!</v>
      </c>
      <c r="H4608" s="63" t="e">
        <f t="shared" si="143"/>
        <v>#VALUE!</v>
      </c>
    </row>
    <row r="4609" spans="7:8">
      <c r="G4609" s="63" t="e">
        <f t="shared" si="142"/>
        <v>#VALUE!</v>
      </c>
      <c r="H4609" s="63" t="e">
        <f t="shared" si="143"/>
        <v>#VALUE!</v>
      </c>
    </row>
    <row r="4610" spans="7:8">
      <c r="G4610" s="63" t="e">
        <f t="shared" si="142"/>
        <v>#VALUE!</v>
      </c>
      <c r="H4610" s="63" t="e">
        <f t="shared" si="143"/>
        <v>#VALUE!</v>
      </c>
    </row>
    <row r="4611" spans="7:8">
      <c r="G4611" s="63" t="e">
        <f t="shared" ref="G4611:G4674" si="144">IF(OR(A4611="RID_PB77",A4611="RID_PB77A3"),"WPCI77",IF(A4611="RIDTCIAS","CSCI49",IF(A4611="RID_HCPTM","CHCPT_",IF(LEFT(A4611,1)="C",A4611,MID(A4611,6,LEN(A4611)-5)))))</f>
        <v>#VALUE!</v>
      </c>
      <c r="H4611" s="63" t="e">
        <f t="shared" ref="H4611:H4674" si="145">IF(OR(G4611="MJG1",G4611="MJG2"),"MJG",G4611)&amp;"_"&amp;B4611</f>
        <v>#VALUE!</v>
      </c>
    </row>
    <row r="4612" spans="7:8">
      <c r="G4612" s="63" t="e">
        <f t="shared" si="144"/>
        <v>#VALUE!</v>
      </c>
      <c r="H4612" s="63" t="e">
        <f t="shared" si="145"/>
        <v>#VALUE!</v>
      </c>
    </row>
    <row r="4613" spans="7:8">
      <c r="G4613" s="63" t="e">
        <f t="shared" si="144"/>
        <v>#VALUE!</v>
      </c>
      <c r="H4613" s="63" t="e">
        <f t="shared" si="145"/>
        <v>#VALUE!</v>
      </c>
    </row>
    <row r="4614" spans="7:8">
      <c r="G4614" s="63" t="e">
        <f t="shared" si="144"/>
        <v>#VALUE!</v>
      </c>
      <c r="H4614" s="63" t="e">
        <f t="shared" si="145"/>
        <v>#VALUE!</v>
      </c>
    </row>
    <row r="4615" spans="7:8">
      <c r="G4615" s="63" t="e">
        <f t="shared" si="144"/>
        <v>#VALUE!</v>
      </c>
      <c r="H4615" s="63" t="e">
        <f t="shared" si="145"/>
        <v>#VALUE!</v>
      </c>
    </row>
    <row r="4616" spans="7:8">
      <c r="G4616" s="63" t="e">
        <f t="shared" si="144"/>
        <v>#VALUE!</v>
      </c>
      <c r="H4616" s="63" t="e">
        <f t="shared" si="145"/>
        <v>#VALUE!</v>
      </c>
    </row>
    <row r="4617" spans="7:8">
      <c r="G4617" s="63" t="e">
        <f t="shared" si="144"/>
        <v>#VALUE!</v>
      </c>
      <c r="H4617" s="63" t="e">
        <f t="shared" si="145"/>
        <v>#VALUE!</v>
      </c>
    </row>
    <row r="4618" spans="7:8">
      <c r="G4618" s="63" t="e">
        <f t="shared" si="144"/>
        <v>#VALUE!</v>
      </c>
      <c r="H4618" s="63" t="e">
        <f t="shared" si="145"/>
        <v>#VALUE!</v>
      </c>
    </row>
    <row r="4619" spans="7:8">
      <c r="G4619" s="63" t="e">
        <f t="shared" si="144"/>
        <v>#VALUE!</v>
      </c>
      <c r="H4619" s="63" t="e">
        <f t="shared" si="145"/>
        <v>#VALUE!</v>
      </c>
    </row>
    <row r="4620" spans="7:8">
      <c r="G4620" s="63" t="e">
        <f t="shared" si="144"/>
        <v>#VALUE!</v>
      </c>
      <c r="H4620" s="63" t="e">
        <f t="shared" si="145"/>
        <v>#VALUE!</v>
      </c>
    </row>
    <row r="4621" spans="7:8">
      <c r="G4621" s="63" t="e">
        <f t="shared" si="144"/>
        <v>#VALUE!</v>
      </c>
      <c r="H4621" s="63" t="e">
        <f t="shared" si="145"/>
        <v>#VALUE!</v>
      </c>
    </row>
    <row r="4622" spans="7:8">
      <c r="G4622" s="63" t="e">
        <f t="shared" si="144"/>
        <v>#VALUE!</v>
      </c>
      <c r="H4622" s="63" t="e">
        <f t="shared" si="145"/>
        <v>#VALUE!</v>
      </c>
    </row>
    <row r="4623" spans="7:8">
      <c r="G4623" s="63" t="e">
        <f t="shared" si="144"/>
        <v>#VALUE!</v>
      </c>
      <c r="H4623" s="63" t="e">
        <f t="shared" si="145"/>
        <v>#VALUE!</v>
      </c>
    </row>
    <row r="4624" spans="7:8">
      <c r="G4624" s="63" t="e">
        <f t="shared" si="144"/>
        <v>#VALUE!</v>
      </c>
      <c r="H4624" s="63" t="e">
        <f t="shared" si="145"/>
        <v>#VALUE!</v>
      </c>
    </row>
    <row r="4625" spans="7:8">
      <c r="G4625" s="63" t="e">
        <f t="shared" si="144"/>
        <v>#VALUE!</v>
      </c>
      <c r="H4625" s="63" t="e">
        <f t="shared" si="145"/>
        <v>#VALUE!</v>
      </c>
    </row>
    <row r="4626" spans="7:8">
      <c r="G4626" s="63" t="e">
        <f t="shared" si="144"/>
        <v>#VALUE!</v>
      </c>
      <c r="H4626" s="63" t="e">
        <f t="shared" si="145"/>
        <v>#VALUE!</v>
      </c>
    </row>
    <row r="4627" spans="7:8">
      <c r="G4627" s="63" t="e">
        <f t="shared" si="144"/>
        <v>#VALUE!</v>
      </c>
      <c r="H4627" s="63" t="e">
        <f t="shared" si="145"/>
        <v>#VALUE!</v>
      </c>
    </row>
    <row r="4628" spans="7:8">
      <c r="G4628" s="63" t="e">
        <f t="shared" si="144"/>
        <v>#VALUE!</v>
      </c>
      <c r="H4628" s="63" t="e">
        <f t="shared" si="145"/>
        <v>#VALUE!</v>
      </c>
    </row>
    <row r="4629" spans="7:8">
      <c r="G4629" s="63" t="e">
        <f t="shared" si="144"/>
        <v>#VALUE!</v>
      </c>
      <c r="H4629" s="63" t="e">
        <f t="shared" si="145"/>
        <v>#VALUE!</v>
      </c>
    </row>
    <row r="4630" spans="7:8">
      <c r="G4630" s="63" t="e">
        <f t="shared" si="144"/>
        <v>#VALUE!</v>
      </c>
      <c r="H4630" s="63" t="e">
        <f t="shared" si="145"/>
        <v>#VALUE!</v>
      </c>
    </row>
    <row r="4631" spans="7:8">
      <c r="G4631" s="63" t="e">
        <f t="shared" si="144"/>
        <v>#VALUE!</v>
      </c>
      <c r="H4631" s="63" t="e">
        <f t="shared" si="145"/>
        <v>#VALUE!</v>
      </c>
    </row>
    <row r="4632" spans="7:8">
      <c r="G4632" s="63" t="e">
        <f t="shared" si="144"/>
        <v>#VALUE!</v>
      </c>
      <c r="H4632" s="63" t="e">
        <f t="shared" si="145"/>
        <v>#VALUE!</v>
      </c>
    </row>
    <row r="4633" spans="7:8">
      <c r="G4633" s="63" t="e">
        <f t="shared" si="144"/>
        <v>#VALUE!</v>
      </c>
      <c r="H4633" s="63" t="e">
        <f t="shared" si="145"/>
        <v>#VALUE!</v>
      </c>
    </row>
    <row r="4634" spans="7:8">
      <c r="G4634" s="63" t="e">
        <f t="shared" si="144"/>
        <v>#VALUE!</v>
      </c>
      <c r="H4634" s="63" t="e">
        <f t="shared" si="145"/>
        <v>#VALUE!</v>
      </c>
    </row>
    <row r="4635" spans="7:8">
      <c r="G4635" s="63" t="e">
        <f t="shared" si="144"/>
        <v>#VALUE!</v>
      </c>
      <c r="H4635" s="63" t="e">
        <f t="shared" si="145"/>
        <v>#VALUE!</v>
      </c>
    </row>
    <row r="4636" spans="7:8">
      <c r="G4636" s="63" t="e">
        <f t="shared" si="144"/>
        <v>#VALUE!</v>
      </c>
      <c r="H4636" s="63" t="e">
        <f t="shared" si="145"/>
        <v>#VALUE!</v>
      </c>
    </row>
    <row r="4637" spans="7:8">
      <c r="G4637" s="63" t="e">
        <f t="shared" si="144"/>
        <v>#VALUE!</v>
      </c>
      <c r="H4637" s="63" t="e">
        <f t="shared" si="145"/>
        <v>#VALUE!</v>
      </c>
    </row>
    <row r="4638" spans="7:8">
      <c r="G4638" s="63" t="e">
        <f t="shared" si="144"/>
        <v>#VALUE!</v>
      </c>
      <c r="H4638" s="63" t="e">
        <f t="shared" si="145"/>
        <v>#VALUE!</v>
      </c>
    </row>
    <row r="4639" spans="7:8">
      <c r="G4639" s="63" t="e">
        <f t="shared" si="144"/>
        <v>#VALUE!</v>
      </c>
      <c r="H4639" s="63" t="e">
        <f t="shared" si="145"/>
        <v>#VALUE!</v>
      </c>
    </row>
    <row r="4640" spans="7:8">
      <c r="G4640" s="63" t="e">
        <f t="shared" si="144"/>
        <v>#VALUE!</v>
      </c>
      <c r="H4640" s="63" t="e">
        <f t="shared" si="145"/>
        <v>#VALUE!</v>
      </c>
    </row>
    <row r="4641" spans="7:8">
      <c r="G4641" s="63" t="e">
        <f t="shared" si="144"/>
        <v>#VALUE!</v>
      </c>
      <c r="H4641" s="63" t="e">
        <f t="shared" si="145"/>
        <v>#VALUE!</v>
      </c>
    </row>
    <row r="4642" spans="7:8">
      <c r="G4642" s="63" t="e">
        <f t="shared" si="144"/>
        <v>#VALUE!</v>
      </c>
      <c r="H4642" s="63" t="e">
        <f t="shared" si="145"/>
        <v>#VALUE!</v>
      </c>
    </row>
    <row r="4643" spans="7:8">
      <c r="G4643" s="63" t="e">
        <f t="shared" si="144"/>
        <v>#VALUE!</v>
      </c>
      <c r="H4643" s="63" t="e">
        <f t="shared" si="145"/>
        <v>#VALUE!</v>
      </c>
    </row>
    <row r="4644" spans="7:8">
      <c r="G4644" s="63" t="e">
        <f t="shared" si="144"/>
        <v>#VALUE!</v>
      </c>
      <c r="H4644" s="63" t="e">
        <f t="shared" si="145"/>
        <v>#VALUE!</v>
      </c>
    </row>
    <row r="4645" spans="7:8">
      <c r="G4645" s="63" t="e">
        <f t="shared" si="144"/>
        <v>#VALUE!</v>
      </c>
      <c r="H4645" s="63" t="e">
        <f t="shared" si="145"/>
        <v>#VALUE!</v>
      </c>
    </row>
    <row r="4646" spans="7:8">
      <c r="G4646" s="63" t="e">
        <f t="shared" si="144"/>
        <v>#VALUE!</v>
      </c>
      <c r="H4646" s="63" t="e">
        <f t="shared" si="145"/>
        <v>#VALUE!</v>
      </c>
    </row>
    <row r="4647" spans="7:8">
      <c r="G4647" s="63" t="e">
        <f t="shared" si="144"/>
        <v>#VALUE!</v>
      </c>
      <c r="H4647" s="63" t="e">
        <f t="shared" si="145"/>
        <v>#VALUE!</v>
      </c>
    </row>
    <row r="4648" spans="7:8">
      <c r="G4648" s="63" t="e">
        <f t="shared" si="144"/>
        <v>#VALUE!</v>
      </c>
      <c r="H4648" s="63" t="e">
        <f t="shared" si="145"/>
        <v>#VALUE!</v>
      </c>
    </row>
    <row r="4649" spans="7:8">
      <c r="G4649" s="63" t="e">
        <f t="shared" si="144"/>
        <v>#VALUE!</v>
      </c>
      <c r="H4649" s="63" t="e">
        <f t="shared" si="145"/>
        <v>#VALUE!</v>
      </c>
    </row>
    <row r="4650" spans="7:8">
      <c r="G4650" s="63" t="e">
        <f t="shared" si="144"/>
        <v>#VALUE!</v>
      </c>
      <c r="H4650" s="63" t="e">
        <f t="shared" si="145"/>
        <v>#VALUE!</v>
      </c>
    </row>
    <row r="4651" spans="7:8">
      <c r="G4651" s="63" t="e">
        <f t="shared" si="144"/>
        <v>#VALUE!</v>
      </c>
      <c r="H4651" s="63" t="e">
        <f t="shared" si="145"/>
        <v>#VALUE!</v>
      </c>
    </row>
    <row r="4652" spans="7:8">
      <c r="G4652" s="63" t="e">
        <f t="shared" si="144"/>
        <v>#VALUE!</v>
      </c>
      <c r="H4652" s="63" t="e">
        <f t="shared" si="145"/>
        <v>#VALUE!</v>
      </c>
    </row>
    <row r="4653" spans="7:8">
      <c r="G4653" s="63" t="e">
        <f t="shared" si="144"/>
        <v>#VALUE!</v>
      </c>
      <c r="H4653" s="63" t="e">
        <f t="shared" si="145"/>
        <v>#VALUE!</v>
      </c>
    </row>
    <row r="4654" spans="7:8">
      <c r="G4654" s="63" t="e">
        <f t="shared" si="144"/>
        <v>#VALUE!</v>
      </c>
      <c r="H4654" s="63" t="e">
        <f t="shared" si="145"/>
        <v>#VALUE!</v>
      </c>
    </row>
    <row r="4655" spans="7:8">
      <c r="G4655" s="63" t="e">
        <f t="shared" si="144"/>
        <v>#VALUE!</v>
      </c>
      <c r="H4655" s="63" t="e">
        <f t="shared" si="145"/>
        <v>#VALUE!</v>
      </c>
    </row>
    <row r="4656" spans="7:8">
      <c r="G4656" s="63" t="e">
        <f t="shared" si="144"/>
        <v>#VALUE!</v>
      </c>
      <c r="H4656" s="63" t="e">
        <f t="shared" si="145"/>
        <v>#VALUE!</v>
      </c>
    </row>
    <row r="4657" spans="7:8">
      <c r="G4657" s="63" t="e">
        <f t="shared" si="144"/>
        <v>#VALUE!</v>
      </c>
      <c r="H4657" s="63" t="e">
        <f t="shared" si="145"/>
        <v>#VALUE!</v>
      </c>
    </row>
    <row r="4658" spans="7:8">
      <c r="G4658" s="63" t="e">
        <f t="shared" si="144"/>
        <v>#VALUE!</v>
      </c>
      <c r="H4658" s="63" t="e">
        <f t="shared" si="145"/>
        <v>#VALUE!</v>
      </c>
    </row>
    <row r="4659" spans="7:8">
      <c r="G4659" s="63" t="e">
        <f t="shared" si="144"/>
        <v>#VALUE!</v>
      </c>
      <c r="H4659" s="63" t="e">
        <f t="shared" si="145"/>
        <v>#VALUE!</v>
      </c>
    </row>
    <row r="4660" spans="7:8">
      <c r="G4660" s="63" t="e">
        <f t="shared" si="144"/>
        <v>#VALUE!</v>
      </c>
      <c r="H4660" s="63" t="e">
        <f t="shared" si="145"/>
        <v>#VALUE!</v>
      </c>
    </row>
    <row r="4661" spans="7:8">
      <c r="G4661" s="63" t="e">
        <f t="shared" si="144"/>
        <v>#VALUE!</v>
      </c>
      <c r="H4661" s="63" t="e">
        <f t="shared" si="145"/>
        <v>#VALUE!</v>
      </c>
    </row>
    <row r="4662" spans="7:8">
      <c r="G4662" s="63" t="e">
        <f t="shared" si="144"/>
        <v>#VALUE!</v>
      </c>
      <c r="H4662" s="63" t="e">
        <f t="shared" si="145"/>
        <v>#VALUE!</v>
      </c>
    </row>
    <row r="4663" spans="7:8">
      <c r="G4663" s="63" t="e">
        <f t="shared" si="144"/>
        <v>#VALUE!</v>
      </c>
      <c r="H4663" s="63" t="e">
        <f t="shared" si="145"/>
        <v>#VALUE!</v>
      </c>
    </row>
    <row r="4664" spans="7:8">
      <c r="G4664" s="63" t="e">
        <f t="shared" si="144"/>
        <v>#VALUE!</v>
      </c>
      <c r="H4664" s="63" t="e">
        <f t="shared" si="145"/>
        <v>#VALUE!</v>
      </c>
    </row>
    <row r="4665" spans="7:8">
      <c r="G4665" s="63" t="e">
        <f t="shared" si="144"/>
        <v>#VALUE!</v>
      </c>
      <c r="H4665" s="63" t="e">
        <f t="shared" si="145"/>
        <v>#VALUE!</v>
      </c>
    </row>
    <row r="4666" spans="7:8">
      <c r="G4666" s="63" t="e">
        <f t="shared" si="144"/>
        <v>#VALUE!</v>
      </c>
      <c r="H4666" s="63" t="e">
        <f t="shared" si="145"/>
        <v>#VALUE!</v>
      </c>
    </row>
    <row r="4667" spans="7:8">
      <c r="G4667" s="63" t="e">
        <f t="shared" si="144"/>
        <v>#VALUE!</v>
      </c>
      <c r="H4667" s="63" t="e">
        <f t="shared" si="145"/>
        <v>#VALUE!</v>
      </c>
    </row>
    <row r="4668" spans="7:8">
      <c r="G4668" s="63" t="e">
        <f t="shared" si="144"/>
        <v>#VALUE!</v>
      </c>
      <c r="H4668" s="63" t="e">
        <f t="shared" si="145"/>
        <v>#VALUE!</v>
      </c>
    </row>
    <row r="4669" spans="7:8">
      <c r="G4669" s="63" t="e">
        <f t="shared" si="144"/>
        <v>#VALUE!</v>
      </c>
      <c r="H4669" s="63" t="e">
        <f t="shared" si="145"/>
        <v>#VALUE!</v>
      </c>
    </row>
    <row r="4670" spans="7:8">
      <c r="G4670" s="63" t="e">
        <f t="shared" si="144"/>
        <v>#VALUE!</v>
      </c>
      <c r="H4670" s="63" t="e">
        <f t="shared" si="145"/>
        <v>#VALUE!</v>
      </c>
    </row>
    <row r="4671" spans="7:8">
      <c r="G4671" s="63" t="e">
        <f t="shared" si="144"/>
        <v>#VALUE!</v>
      </c>
      <c r="H4671" s="63" t="e">
        <f t="shared" si="145"/>
        <v>#VALUE!</v>
      </c>
    </row>
    <row r="4672" spans="7:8">
      <c r="G4672" s="63" t="e">
        <f t="shared" si="144"/>
        <v>#VALUE!</v>
      </c>
      <c r="H4672" s="63" t="e">
        <f t="shared" si="145"/>
        <v>#VALUE!</v>
      </c>
    </row>
    <row r="4673" spans="7:8">
      <c r="G4673" s="63" t="e">
        <f t="shared" si="144"/>
        <v>#VALUE!</v>
      </c>
      <c r="H4673" s="63" t="e">
        <f t="shared" si="145"/>
        <v>#VALUE!</v>
      </c>
    </row>
    <row r="4674" spans="7:8">
      <c r="G4674" s="63" t="e">
        <f t="shared" si="144"/>
        <v>#VALUE!</v>
      </c>
      <c r="H4674" s="63" t="e">
        <f t="shared" si="145"/>
        <v>#VALUE!</v>
      </c>
    </row>
    <row r="4675" spans="7:8">
      <c r="G4675" s="63" t="e">
        <f t="shared" ref="G4675:G4738" si="146">IF(OR(A4675="RID_PB77",A4675="RID_PB77A3"),"WPCI77",IF(A4675="RIDTCIAS","CSCI49",IF(A4675="RID_HCPTM","CHCPT_",IF(LEFT(A4675,1)="C",A4675,MID(A4675,6,LEN(A4675)-5)))))</f>
        <v>#VALUE!</v>
      </c>
      <c r="H4675" s="63" t="e">
        <f t="shared" ref="H4675:H4738" si="147">IF(OR(G4675="MJG1",G4675="MJG2"),"MJG",G4675)&amp;"_"&amp;B4675</f>
        <v>#VALUE!</v>
      </c>
    </row>
    <row r="4676" spans="7:8">
      <c r="G4676" s="63" t="e">
        <f t="shared" si="146"/>
        <v>#VALUE!</v>
      </c>
      <c r="H4676" s="63" t="e">
        <f t="shared" si="147"/>
        <v>#VALUE!</v>
      </c>
    </row>
    <row r="4677" spans="7:8">
      <c r="G4677" s="63" t="e">
        <f t="shared" si="146"/>
        <v>#VALUE!</v>
      </c>
      <c r="H4677" s="63" t="e">
        <f t="shared" si="147"/>
        <v>#VALUE!</v>
      </c>
    </row>
    <row r="4678" spans="7:8">
      <c r="G4678" s="63" t="e">
        <f t="shared" si="146"/>
        <v>#VALUE!</v>
      </c>
      <c r="H4678" s="63" t="e">
        <f t="shared" si="147"/>
        <v>#VALUE!</v>
      </c>
    </row>
    <row r="4679" spans="7:8">
      <c r="G4679" s="63" t="e">
        <f t="shared" si="146"/>
        <v>#VALUE!</v>
      </c>
      <c r="H4679" s="63" t="e">
        <f t="shared" si="147"/>
        <v>#VALUE!</v>
      </c>
    </row>
    <row r="4680" spans="7:8">
      <c r="G4680" s="63" t="e">
        <f t="shared" si="146"/>
        <v>#VALUE!</v>
      </c>
      <c r="H4680" s="63" t="e">
        <f t="shared" si="147"/>
        <v>#VALUE!</v>
      </c>
    </row>
    <row r="4681" spans="7:8">
      <c r="G4681" s="63" t="e">
        <f t="shared" si="146"/>
        <v>#VALUE!</v>
      </c>
      <c r="H4681" s="63" t="e">
        <f t="shared" si="147"/>
        <v>#VALUE!</v>
      </c>
    </row>
    <row r="4682" spans="7:8">
      <c r="G4682" s="63" t="e">
        <f t="shared" si="146"/>
        <v>#VALUE!</v>
      </c>
      <c r="H4682" s="63" t="e">
        <f t="shared" si="147"/>
        <v>#VALUE!</v>
      </c>
    </row>
    <row r="4683" spans="7:8">
      <c r="G4683" s="63" t="e">
        <f t="shared" si="146"/>
        <v>#VALUE!</v>
      </c>
      <c r="H4683" s="63" t="e">
        <f t="shared" si="147"/>
        <v>#VALUE!</v>
      </c>
    </row>
    <row r="4684" spans="7:8">
      <c r="G4684" s="63" t="e">
        <f t="shared" si="146"/>
        <v>#VALUE!</v>
      </c>
      <c r="H4684" s="63" t="e">
        <f t="shared" si="147"/>
        <v>#VALUE!</v>
      </c>
    </row>
    <row r="4685" spans="7:8">
      <c r="G4685" s="63" t="e">
        <f t="shared" si="146"/>
        <v>#VALUE!</v>
      </c>
      <c r="H4685" s="63" t="e">
        <f t="shared" si="147"/>
        <v>#VALUE!</v>
      </c>
    </row>
    <row r="4686" spans="7:8">
      <c r="G4686" s="63" t="e">
        <f t="shared" si="146"/>
        <v>#VALUE!</v>
      </c>
      <c r="H4686" s="63" t="e">
        <f t="shared" si="147"/>
        <v>#VALUE!</v>
      </c>
    </row>
    <row r="4687" spans="7:8">
      <c r="G4687" s="63" t="e">
        <f t="shared" si="146"/>
        <v>#VALUE!</v>
      </c>
      <c r="H4687" s="63" t="e">
        <f t="shared" si="147"/>
        <v>#VALUE!</v>
      </c>
    </row>
    <row r="4688" spans="7:8">
      <c r="G4688" s="63" t="e">
        <f t="shared" si="146"/>
        <v>#VALUE!</v>
      </c>
      <c r="H4688" s="63" t="e">
        <f t="shared" si="147"/>
        <v>#VALUE!</v>
      </c>
    </row>
    <row r="4689" spans="7:8">
      <c r="G4689" s="63" t="e">
        <f t="shared" si="146"/>
        <v>#VALUE!</v>
      </c>
      <c r="H4689" s="63" t="e">
        <f t="shared" si="147"/>
        <v>#VALUE!</v>
      </c>
    </row>
    <row r="4690" spans="7:8">
      <c r="G4690" s="63" t="e">
        <f t="shared" si="146"/>
        <v>#VALUE!</v>
      </c>
      <c r="H4690" s="63" t="e">
        <f t="shared" si="147"/>
        <v>#VALUE!</v>
      </c>
    </row>
    <row r="4691" spans="7:8">
      <c r="G4691" s="63" t="e">
        <f t="shared" si="146"/>
        <v>#VALUE!</v>
      </c>
      <c r="H4691" s="63" t="e">
        <f t="shared" si="147"/>
        <v>#VALUE!</v>
      </c>
    </row>
    <row r="4692" spans="7:8">
      <c r="G4692" s="63" t="e">
        <f t="shared" si="146"/>
        <v>#VALUE!</v>
      </c>
      <c r="H4692" s="63" t="e">
        <f t="shared" si="147"/>
        <v>#VALUE!</v>
      </c>
    </row>
    <row r="4693" spans="7:8">
      <c r="G4693" s="63" t="e">
        <f t="shared" si="146"/>
        <v>#VALUE!</v>
      </c>
      <c r="H4693" s="63" t="e">
        <f t="shared" si="147"/>
        <v>#VALUE!</v>
      </c>
    </row>
    <row r="4694" spans="7:8">
      <c r="G4694" s="63" t="e">
        <f t="shared" si="146"/>
        <v>#VALUE!</v>
      </c>
      <c r="H4694" s="63" t="e">
        <f t="shared" si="147"/>
        <v>#VALUE!</v>
      </c>
    </row>
    <row r="4695" spans="7:8">
      <c r="G4695" s="63" t="e">
        <f t="shared" si="146"/>
        <v>#VALUE!</v>
      </c>
      <c r="H4695" s="63" t="e">
        <f t="shared" si="147"/>
        <v>#VALUE!</v>
      </c>
    </row>
    <row r="4696" spans="7:8">
      <c r="G4696" s="63" t="e">
        <f t="shared" si="146"/>
        <v>#VALUE!</v>
      </c>
      <c r="H4696" s="63" t="e">
        <f t="shared" si="147"/>
        <v>#VALUE!</v>
      </c>
    </row>
    <row r="4697" spans="7:8">
      <c r="G4697" s="63" t="e">
        <f t="shared" si="146"/>
        <v>#VALUE!</v>
      </c>
      <c r="H4697" s="63" t="e">
        <f t="shared" si="147"/>
        <v>#VALUE!</v>
      </c>
    </row>
    <row r="4698" spans="7:8">
      <c r="G4698" s="63" t="e">
        <f t="shared" si="146"/>
        <v>#VALUE!</v>
      </c>
      <c r="H4698" s="63" t="e">
        <f t="shared" si="147"/>
        <v>#VALUE!</v>
      </c>
    </row>
    <row r="4699" spans="7:8">
      <c r="G4699" s="63" t="e">
        <f t="shared" si="146"/>
        <v>#VALUE!</v>
      </c>
      <c r="H4699" s="63" t="e">
        <f t="shared" si="147"/>
        <v>#VALUE!</v>
      </c>
    </row>
    <row r="4700" spans="7:8">
      <c r="G4700" s="63" t="e">
        <f t="shared" si="146"/>
        <v>#VALUE!</v>
      </c>
      <c r="H4700" s="63" t="e">
        <f t="shared" si="147"/>
        <v>#VALUE!</v>
      </c>
    </row>
    <row r="4701" spans="7:8">
      <c r="G4701" s="63" t="e">
        <f t="shared" si="146"/>
        <v>#VALUE!</v>
      </c>
      <c r="H4701" s="63" t="e">
        <f t="shared" si="147"/>
        <v>#VALUE!</v>
      </c>
    </row>
    <row r="4702" spans="7:8">
      <c r="G4702" s="63" t="e">
        <f t="shared" si="146"/>
        <v>#VALUE!</v>
      </c>
      <c r="H4702" s="63" t="e">
        <f t="shared" si="147"/>
        <v>#VALUE!</v>
      </c>
    </row>
    <row r="4703" spans="7:8">
      <c r="G4703" s="63" t="e">
        <f t="shared" si="146"/>
        <v>#VALUE!</v>
      </c>
      <c r="H4703" s="63" t="e">
        <f t="shared" si="147"/>
        <v>#VALUE!</v>
      </c>
    </row>
    <row r="4704" spans="7:8">
      <c r="G4704" s="63" t="e">
        <f t="shared" si="146"/>
        <v>#VALUE!</v>
      </c>
      <c r="H4704" s="63" t="e">
        <f t="shared" si="147"/>
        <v>#VALUE!</v>
      </c>
    </row>
    <row r="4705" spans="7:8">
      <c r="G4705" s="63" t="e">
        <f t="shared" si="146"/>
        <v>#VALUE!</v>
      </c>
      <c r="H4705" s="63" t="e">
        <f t="shared" si="147"/>
        <v>#VALUE!</v>
      </c>
    </row>
    <row r="4706" spans="7:8">
      <c r="G4706" s="63" t="e">
        <f t="shared" si="146"/>
        <v>#VALUE!</v>
      </c>
      <c r="H4706" s="63" t="e">
        <f t="shared" si="147"/>
        <v>#VALUE!</v>
      </c>
    </row>
    <row r="4707" spans="7:8">
      <c r="G4707" s="63" t="e">
        <f t="shared" si="146"/>
        <v>#VALUE!</v>
      </c>
      <c r="H4707" s="63" t="e">
        <f t="shared" si="147"/>
        <v>#VALUE!</v>
      </c>
    </row>
    <row r="4708" spans="7:8">
      <c r="G4708" s="63" t="e">
        <f t="shared" si="146"/>
        <v>#VALUE!</v>
      </c>
      <c r="H4708" s="63" t="e">
        <f t="shared" si="147"/>
        <v>#VALUE!</v>
      </c>
    </row>
    <row r="4709" spans="7:8">
      <c r="G4709" s="63" t="e">
        <f t="shared" si="146"/>
        <v>#VALUE!</v>
      </c>
      <c r="H4709" s="63" t="e">
        <f t="shared" si="147"/>
        <v>#VALUE!</v>
      </c>
    </row>
    <row r="4710" spans="7:8">
      <c r="G4710" s="63" t="e">
        <f t="shared" si="146"/>
        <v>#VALUE!</v>
      </c>
      <c r="H4710" s="63" t="e">
        <f t="shared" si="147"/>
        <v>#VALUE!</v>
      </c>
    </row>
    <row r="4711" spans="7:8">
      <c r="G4711" s="63" t="e">
        <f t="shared" si="146"/>
        <v>#VALUE!</v>
      </c>
      <c r="H4711" s="63" t="e">
        <f t="shared" si="147"/>
        <v>#VALUE!</v>
      </c>
    </row>
    <row r="4712" spans="7:8">
      <c r="G4712" s="63" t="e">
        <f t="shared" si="146"/>
        <v>#VALUE!</v>
      </c>
      <c r="H4712" s="63" t="e">
        <f t="shared" si="147"/>
        <v>#VALUE!</v>
      </c>
    </row>
    <row r="4713" spans="7:8">
      <c r="G4713" s="63" t="e">
        <f t="shared" si="146"/>
        <v>#VALUE!</v>
      </c>
      <c r="H4713" s="63" t="e">
        <f t="shared" si="147"/>
        <v>#VALUE!</v>
      </c>
    </row>
    <row r="4714" spans="7:8">
      <c r="G4714" s="63" t="e">
        <f t="shared" si="146"/>
        <v>#VALUE!</v>
      </c>
      <c r="H4714" s="63" t="e">
        <f t="shared" si="147"/>
        <v>#VALUE!</v>
      </c>
    </row>
    <row r="4715" spans="7:8">
      <c r="G4715" s="63" t="e">
        <f t="shared" si="146"/>
        <v>#VALUE!</v>
      </c>
      <c r="H4715" s="63" t="e">
        <f t="shared" si="147"/>
        <v>#VALUE!</v>
      </c>
    </row>
    <row r="4716" spans="7:8">
      <c r="G4716" s="63" t="e">
        <f t="shared" si="146"/>
        <v>#VALUE!</v>
      </c>
      <c r="H4716" s="63" t="e">
        <f t="shared" si="147"/>
        <v>#VALUE!</v>
      </c>
    </row>
    <row r="4717" spans="7:8">
      <c r="G4717" s="63" t="e">
        <f t="shared" si="146"/>
        <v>#VALUE!</v>
      </c>
      <c r="H4717" s="63" t="e">
        <f t="shared" si="147"/>
        <v>#VALUE!</v>
      </c>
    </row>
    <row r="4718" spans="7:8">
      <c r="G4718" s="63" t="e">
        <f t="shared" si="146"/>
        <v>#VALUE!</v>
      </c>
      <c r="H4718" s="63" t="e">
        <f t="shared" si="147"/>
        <v>#VALUE!</v>
      </c>
    </row>
    <row r="4719" spans="7:8">
      <c r="G4719" s="63" t="e">
        <f t="shared" si="146"/>
        <v>#VALUE!</v>
      </c>
      <c r="H4719" s="63" t="e">
        <f t="shared" si="147"/>
        <v>#VALUE!</v>
      </c>
    </row>
    <row r="4720" spans="7:8">
      <c r="G4720" s="63" t="e">
        <f t="shared" si="146"/>
        <v>#VALUE!</v>
      </c>
      <c r="H4720" s="63" t="e">
        <f t="shared" si="147"/>
        <v>#VALUE!</v>
      </c>
    </row>
    <row r="4721" spans="7:8">
      <c r="G4721" s="63" t="e">
        <f t="shared" si="146"/>
        <v>#VALUE!</v>
      </c>
      <c r="H4721" s="63" t="e">
        <f t="shared" si="147"/>
        <v>#VALUE!</v>
      </c>
    </row>
    <row r="4722" spans="7:8">
      <c r="G4722" s="63" t="e">
        <f t="shared" si="146"/>
        <v>#VALUE!</v>
      </c>
      <c r="H4722" s="63" t="e">
        <f t="shared" si="147"/>
        <v>#VALUE!</v>
      </c>
    </row>
    <row r="4723" spans="7:8">
      <c r="G4723" s="63" t="e">
        <f t="shared" si="146"/>
        <v>#VALUE!</v>
      </c>
      <c r="H4723" s="63" t="e">
        <f t="shared" si="147"/>
        <v>#VALUE!</v>
      </c>
    </row>
    <row r="4724" spans="7:8">
      <c r="G4724" s="63" t="e">
        <f t="shared" si="146"/>
        <v>#VALUE!</v>
      </c>
      <c r="H4724" s="63" t="e">
        <f t="shared" si="147"/>
        <v>#VALUE!</v>
      </c>
    </row>
    <row r="4725" spans="7:8">
      <c r="G4725" s="63" t="e">
        <f t="shared" si="146"/>
        <v>#VALUE!</v>
      </c>
      <c r="H4725" s="63" t="e">
        <f t="shared" si="147"/>
        <v>#VALUE!</v>
      </c>
    </row>
    <row r="4726" spans="7:8">
      <c r="G4726" s="63" t="e">
        <f t="shared" si="146"/>
        <v>#VALUE!</v>
      </c>
      <c r="H4726" s="63" t="e">
        <f t="shared" si="147"/>
        <v>#VALUE!</v>
      </c>
    </row>
    <row r="4727" spans="7:8">
      <c r="G4727" s="63" t="e">
        <f t="shared" si="146"/>
        <v>#VALUE!</v>
      </c>
      <c r="H4727" s="63" t="e">
        <f t="shared" si="147"/>
        <v>#VALUE!</v>
      </c>
    </row>
    <row r="4728" spans="7:8">
      <c r="G4728" s="63" t="e">
        <f t="shared" si="146"/>
        <v>#VALUE!</v>
      </c>
      <c r="H4728" s="63" t="e">
        <f t="shared" si="147"/>
        <v>#VALUE!</v>
      </c>
    </row>
    <row r="4729" spans="7:8">
      <c r="G4729" s="63" t="e">
        <f t="shared" si="146"/>
        <v>#VALUE!</v>
      </c>
      <c r="H4729" s="63" t="e">
        <f t="shared" si="147"/>
        <v>#VALUE!</v>
      </c>
    </row>
    <row r="4730" spans="7:8">
      <c r="G4730" s="63" t="e">
        <f t="shared" si="146"/>
        <v>#VALUE!</v>
      </c>
      <c r="H4730" s="63" t="e">
        <f t="shared" si="147"/>
        <v>#VALUE!</v>
      </c>
    </row>
    <row r="4731" spans="7:8">
      <c r="G4731" s="63" t="e">
        <f t="shared" si="146"/>
        <v>#VALUE!</v>
      </c>
      <c r="H4731" s="63" t="e">
        <f t="shared" si="147"/>
        <v>#VALUE!</v>
      </c>
    </row>
    <row r="4732" spans="7:8">
      <c r="G4732" s="63" t="e">
        <f t="shared" si="146"/>
        <v>#VALUE!</v>
      </c>
      <c r="H4732" s="63" t="e">
        <f t="shared" si="147"/>
        <v>#VALUE!</v>
      </c>
    </row>
    <row r="4733" spans="7:8">
      <c r="G4733" s="63" t="e">
        <f t="shared" si="146"/>
        <v>#VALUE!</v>
      </c>
      <c r="H4733" s="63" t="e">
        <f t="shared" si="147"/>
        <v>#VALUE!</v>
      </c>
    </row>
    <row r="4734" spans="7:8">
      <c r="G4734" s="63" t="e">
        <f t="shared" si="146"/>
        <v>#VALUE!</v>
      </c>
      <c r="H4734" s="63" t="e">
        <f t="shared" si="147"/>
        <v>#VALUE!</v>
      </c>
    </row>
    <row r="4735" spans="7:8">
      <c r="G4735" s="63" t="e">
        <f t="shared" si="146"/>
        <v>#VALUE!</v>
      </c>
      <c r="H4735" s="63" t="e">
        <f t="shared" si="147"/>
        <v>#VALUE!</v>
      </c>
    </row>
    <row r="4736" spans="7:8">
      <c r="G4736" s="63" t="e">
        <f t="shared" si="146"/>
        <v>#VALUE!</v>
      </c>
      <c r="H4736" s="63" t="e">
        <f t="shared" si="147"/>
        <v>#VALUE!</v>
      </c>
    </row>
    <row r="4737" spans="7:8">
      <c r="G4737" s="63" t="e">
        <f t="shared" si="146"/>
        <v>#VALUE!</v>
      </c>
      <c r="H4737" s="63" t="e">
        <f t="shared" si="147"/>
        <v>#VALUE!</v>
      </c>
    </row>
    <row r="4738" spans="7:8">
      <c r="G4738" s="63" t="e">
        <f t="shared" si="146"/>
        <v>#VALUE!</v>
      </c>
      <c r="H4738" s="63" t="e">
        <f t="shared" si="147"/>
        <v>#VALUE!</v>
      </c>
    </row>
    <row r="4739" spans="7:8">
      <c r="G4739" s="63" t="e">
        <f t="shared" ref="G4739:G4802" si="148">IF(OR(A4739="RID_PB77",A4739="RID_PB77A3"),"WPCI77",IF(A4739="RIDTCIAS","CSCI49",IF(A4739="RID_HCPTM","CHCPT_",IF(LEFT(A4739,1)="C",A4739,MID(A4739,6,LEN(A4739)-5)))))</f>
        <v>#VALUE!</v>
      </c>
      <c r="H4739" s="63" t="e">
        <f t="shared" ref="H4739:H4802" si="149">IF(OR(G4739="MJG1",G4739="MJG2"),"MJG",G4739)&amp;"_"&amp;B4739</f>
        <v>#VALUE!</v>
      </c>
    </row>
    <row r="4740" spans="7:8">
      <c r="G4740" s="63" t="e">
        <f t="shared" si="148"/>
        <v>#VALUE!</v>
      </c>
      <c r="H4740" s="63" t="e">
        <f t="shared" si="149"/>
        <v>#VALUE!</v>
      </c>
    </row>
    <row r="4741" spans="7:8">
      <c r="G4741" s="63" t="e">
        <f t="shared" si="148"/>
        <v>#VALUE!</v>
      </c>
      <c r="H4741" s="63" t="e">
        <f t="shared" si="149"/>
        <v>#VALUE!</v>
      </c>
    </row>
    <row r="4742" spans="7:8">
      <c r="G4742" s="63" t="e">
        <f t="shared" si="148"/>
        <v>#VALUE!</v>
      </c>
      <c r="H4742" s="63" t="e">
        <f t="shared" si="149"/>
        <v>#VALUE!</v>
      </c>
    </row>
    <row r="4743" spans="7:8">
      <c r="G4743" s="63" t="e">
        <f t="shared" si="148"/>
        <v>#VALUE!</v>
      </c>
      <c r="H4743" s="63" t="e">
        <f t="shared" si="149"/>
        <v>#VALUE!</v>
      </c>
    </row>
    <row r="4744" spans="7:8">
      <c r="G4744" s="63" t="e">
        <f t="shared" si="148"/>
        <v>#VALUE!</v>
      </c>
      <c r="H4744" s="63" t="e">
        <f t="shared" si="149"/>
        <v>#VALUE!</v>
      </c>
    </row>
    <row r="4745" spans="7:8">
      <c r="G4745" s="63" t="e">
        <f t="shared" si="148"/>
        <v>#VALUE!</v>
      </c>
      <c r="H4745" s="63" t="e">
        <f t="shared" si="149"/>
        <v>#VALUE!</v>
      </c>
    </row>
    <row r="4746" spans="7:8">
      <c r="G4746" s="63" t="e">
        <f t="shared" si="148"/>
        <v>#VALUE!</v>
      </c>
      <c r="H4746" s="63" t="e">
        <f t="shared" si="149"/>
        <v>#VALUE!</v>
      </c>
    </row>
    <row r="4747" spans="7:8">
      <c r="G4747" s="63" t="e">
        <f t="shared" si="148"/>
        <v>#VALUE!</v>
      </c>
      <c r="H4747" s="63" t="e">
        <f t="shared" si="149"/>
        <v>#VALUE!</v>
      </c>
    </row>
    <row r="4748" spans="7:8">
      <c r="G4748" s="63" t="e">
        <f t="shared" si="148"/>
        <v>#VALUE!</v>
      </c>
      <c r="H4748" s="63" t="e">
        <f t="shared" si="149"/>
        <v>#VALUE!</v>
      </c>
    </row>
    <row r="4749" spans="7:8">
      <c r="G4749" s="63" t="e">
        <f t="shared" si="148"/>
        <v>#VALUE!</v>
      </c>
      <c r="H4749" s="63" t="e">
        <f t="shared" si="149"/>
        <v>#VALUE!</v>
      </c>
    </row>
    <row r="4750" spans="7:8">
      <c r="G4750" s="63" t="e">
        <f t="shared" si="148"/>
        <v>#VALUE!</v>
      </c>
      <c r="H4750" s="63" t="e">
        <f t="shared" si="149"/>
        <v>#VALUE!</v>
      </c>
    </row>
    <row r="4751" spans="7:8">
      <c r="G4751" s="63" t="e">
        <f t="shared" si="148"/>
        <v>#VALUE!</v>
      </c>
      <c r="H4751" s="63" t="e">
        <f t="shared" si="149"/>
        <v>#VALUE!</v>
      </c>
    </row>
    <row r="4752" spans="7:8">
      <c r="G4752" s="63" t="e">
        <f t="shared" si="148"/>
        <v>#VALUE!</v>
      </c>
      <c r="H4752" s="63" t="e">
        <f t="shared" si="149"/>
        <v>#VALUE!</v>
      </c>
    </row>
    <row r="4753" spans="7:8">
      <c r="G4753" s="63" t="e">
        <f t="shared" si="148"/>
        <v>#VALUE!</v>
      </c>
      <c r="H4753" s="63" t="e">
        <f t="shared" si="149"/>
        <v>#VALUE!</v>
      </c>
    </row>
    <row r="4754" spans="7:8">
      <c r="G4754" s="63" t="e">
        <f t="shared" si="148"/>
        <v>#VALUE!</v>
      </c>
      <c r="H4754" s="63" t="e">
        <f t="shared" si="149"/>
        <v>#VALUE!</v>
      </c>
    </row>
    <row r="4755" spans="7:8">
      <c r="G4755" s="63" t="e">
        <f t="shared" si="148"/>
        <v>#VALUE!</v>
      </c>
      <c r="H4755" s="63" t="e">
        <f t="shared" si="149"/>
        <v>#VALUE!</v>
      </c>
    </row>
    <row r="4756" spans="7:8">
      <c r="G4756" s="63" t="e">
        <f t="shared" si="148"/>
        <v>#VALUE!</v>
      </c>
      <c r="H4756" s="63" t="e">
        <f t="shared" si="149"/>
        <v>#VALUE!</v>
      </c>
    </row>
    <row r="4757" spans="7:8">
      <c r="G4757" s="63" t="e">
        <f t="shared" si="148"/>
        <v>#VALUE!</v>
      </c>
      <c r="H4757" s="63" t="e">
        <f t="shared" si="149"/>
        <v>#VALUE!</v>
      </c>
    </row>
    <row r="4758" spans="7:8">
      <c r="G4758" s="63" t="e">
        <f t="shared" si="148"/>
        <v>#VALUE!</v>
      </c>
      <c r="H4758" s="63" t="e">
        <f t="shared" si="149"/>
        <v>#VALUE!</v>
      </c>
    </row>
    <row r="4759" spans="7:8">
      <c r="G4759" s="63" t="e">
        <f t="shared" si="148"/>
        <v>#VALUE!</v>
      </c>
      <c r="H4759" s="63" t="e">
        <f t="shared" si="149"/>
        <v>#VALUE!</v>
      </c>
    </row>
    <row r="4760" spans="7:8">
      <c r="G4760" s="63" t="e">
        <f t="shared" si="148"/>
        <v>#VALUE!</v>
      </c>
      <c r="H4760" s="63" t="e">
        <f t="shared" si="149"/>
        <v>#VALUE!</v>
      </c>
    </row>
    <row r="4761" spans="7:8">
      <c r="G4761" s="63" t="e">
        <f t="shared" si="148"/>
        <v>#VALUE!</v>
      </c>
      <c r="H4761" s="63" t="e">
        <f t="shared" si="149"/>
        <v>#VALUE!</v>
      </c>
    </row>
    <row r="4762" spans="7:8">
      <c r="G4762" s="63" t="e">
        <f t="shared" si="148"/>
        <v>#VALUE!</v>
      </c>
      <c r="H4762" s="63" t="e">
        <f t="shared" si="149"/>
        <v>#VALUE!</v>
      </c>
    </row>
    <row r="4763" spans="7:8">
      <c r="G4763" s="63" t="e">
        <f t="shared" si="148"/>
        <v>#VALUE!</v>
      </c>
      <c r="H4763" s="63" t="e">
        <f t="shared" si="149"/>
        <v>#VALUE!</v>
      </c>
    </row>
    <row r="4764" spans="7:8">
      <c r="G4764" s="63" t="e">
        <f t="shared" si="148"/>
        <v>#VALUE!</v>
      </c>
      <c r="H4764" s="63" t="e">
        <f t="shared" si="149"/>
        <v>#VALUE!</v>
      </c>
    </row>
    <row r="4765" spans="7:8">
      <c r="G4765" s="63" t="e">
        <f t="shared" si="148"/>
        <v>#VALUE!</v>
      </c>
      <c r="H4765" s="63" t="e">
        <f t="shared" si="149"/>
        <v>#VALUE!</v>
      </c>
    </row>
    <row r="4766" spans="7:8">
      <c r="G4766" s="63" t="e">
        <f t="shared" si="148"/>
        <v>#VALUE!</v>
      </c>
      <c r="H4766" s="63" t="e">
        <f t="shared" si="149"/>
        <v>#VALUE!</v>
      </c>
    </row>
    <row r="4767" spans="7:8">
      <c r="G4767" s="63" t="e">
        <f t="shared" si="148"/>
        <v>#VALUE!</v>
      </c>
      <c r="H4767" s="63" t="e">
        <f t="shared" si="149"/>
        <v>#VALUE!</v>
      </c>
    </row>
    <row r="4768" spans="7:8">
      <c r="G4768" s="63" t="e">
        <f t="shared" si="148"/>
        <v>#VALUE!</v>
      </c>
      <c r="H4768" s="63" t="e">
        <f t="shared" si="149"/>
        <v>#VALUE!</v>
      </c>
    </row>
    <row r="4769" spans="7:8">
      <c r="G4769" s="63" t="e">
        <f t="shared" si="148"/>
        <v>#VALUE!</v>
      </c>
      <c r="H4769" s="63" t="e">
        <f t="shared" si="149"/>
        <v>#VALUE!</v>
      </c>
    </row>
    <row r="4770" spans="7:8">
      <c r="G4770" s="63" t="e">
        <f t="shared" si="148"/>
        <v>#VALUE!</v>
      </c>
      <c r="H4770" s="63" t="e">
        <f t="shared" si="149"/>
        <v>#VALUE!</v>
      </c>
    </row>
    <row r="4771" spans="7:8">
      <c r="G4771" s="63" t="e">
        <f t="shared" si="148"/>
        <v>#VALUE!</v>
      </c>
      <c r="H4771" s="63" t="e">
        <f t="shared" si="149"/>
        <v>#VALUE!</v>
      </c>
    </row>
    <row r="4772" spans="7:8">
      <c r="G4772" s="63" t="e">
        <f t="shared" si="148"/>
        <v>#VALUE!</v>
      </c>
      <c r="H4772" s="63" t="e">
        <f t="shared" si="149"/>
        <v>#VALUE!</v>
      </c>
    </row>
    <row r="4773" spans="7:8">
      <c r="G4773" s="63" t="e">
        <f t="shared" si="148"/>
        <v>#VALUE!</v>
      </c>
      <c r="H4773" s="63" t="e">
        <f t="shared" si="149"/>
        <v>#VALUE!</v>
      </c>
    </row>
    <row r="4774" spans="7:8">
      <c r="G4774" s="63" t="e">
        <f t="shared" si="148"/>
        <v>#VALUE!</v>
      </c>
      <c r="H4774" s="63" t="e">
        <f t="shared" si="149"/>
        <v>#VALUE!</v>
      </c>
    </row>
    <row r="4775" spans="7:8">
      <c r="G4775" s="63" t="e">
        <f t="shared" si="148"/>
        <v>#VALUE!</v>
      </c>
      <c r="H4775" s="63" t="e">
        <f t="shared" si="149"/>
        <v>#VALUE!</v>
      </c>
    </row>
    <row r="4776" spans="7:8">
      <c r="G4776" s="63" t="e">
        <f t="shared" si="148"/>
        <v>#VALUE!</v>
      </c>
      <c r="H4776" s="63" t="e">
        <f t="shared" si="149"/>
        <v>#VALUE!</v>
      </c>
    </row>
    <row r="4777" spans="7:8">
      <c r="G4777" s="63" t="e">
        <f t="shared" si="148"/>
        <v>#VALUE!</v>
      </c>
      <c r="H4777" s="63" t="e">
        <f t="shared" si="149"/>
        <v>#VALUE!</v>
      </c>
    </row>
    <row r="4778" spans="7:8">
      <c r="G4778" s="63" t="e">
        <f t="shared" si="148"/>
        <v>#VALUE!</v>
      </c>
      <c r="H4778" s="63" t="e">
        <f t="shared" si="149"/>
        <v>#VALUE!</v>
      </c>
    </row>
    <row r="4779" spans="7:8">
      <c r="G4779" s="63" t="e">
        <f t="shared" si="148"/>
        <v>#VALUE!</v>
      </c>
      <c r="H4779" s="63" t="e">
        <f t="shared" si="149"/>
        <v>#VALUE!</v>
      </c>
    </row>
    <row r="4780" spans="7:8">
      <c r="G4780" s="63" t="e">
        <f t="shared" si="148"/>
        <v>#VALUE!</v>
      </c>
      <c r="H4780" s="63" t="e">
        <f t="shared" si="149"/>
        <v>#VALUE!</v>
      </c>
    </row>
    <row r="4781" spans="7:8">
      <c r="G4781" s="63" t="e">
        <f t="shared" si="148"/>
        <v>#VALUE!</v>
      </c>
      <c r="H4781" s="63" t="e">
        <f t="shared" si="149"/>
        <v>#VALUE!</v>
      </c>
    </row>
    <row r="4782" spans="7:8">
      <c r="G4782" s="63" t="e">
        <f t="shared" si="148"/>
        <v>#VALUE!</v>
      </c>
      <c r="H4782" s="63" t="e">
        <f t="shared" si="149"/>
        <v>#VALUE!</v>
      </c>
    </row>
    <row r="4783" spans="7:8">
      <c r="G4783" s="63" t="e">
        <f t="shared" si="148"/>
        <v>#VALUE!</v>
      </c>
      <c r="H4783" s="63" t="e">
        <f t="shared" si="149"/>
        <v>#VALUE!</v>
      </c>
    </row>
    <row r="4784" spans="7:8">
      <c r="G4784" s="63" t="e">
        <f t="shared" si="148"/>
        <v>#VALUE!</v>
      </c>
      <c r="H4784" s="63" t="e">
        <f t="shared" si="149"/>
        <v>#VALUE!</v>
      </c>
    </row>
    <row r="4785" spans="7:8">
      <c r="G4785" s="63" t="e">
        <f t="shared" si="148"/>
        <v>#VALUE!</v>
      </c>
      <c r="H4785" s="63" t="e">
        <f t="shared" si="149"/>
        <v>#VALUE!</v>
      </c>
    </row>
    <row r="4786" spans="7:8">
      <c r="G4786" s="63" t="e">
        <f t="shared" si="148"/>
        <v>#VALUE!</v>
      </c>
      <c r="H4786" s="63" t="e">
        <f t="shared" si="149"/>
        <v>#VALUE!</v>
      </c>
    </row>
    <row r="4787" spans="7:8">
      <c r="G4787" s="63" t="e">
        <f t="shared" si="148"/>
        <v>#VALUE!</v>
      </c>
      <c r="H4787" s="63" t="e">
        <f t="shared" si="149"/>
        <v>#VALUE!</v>
      </c>
    </row>
    <row r="4788" spans="7:8">
      <c r="G4788" s="63" t="e">
        <f t="shared" si="148"/>
        <v>#VALUE!</v>
      </c>
      <c r="H4788" s="63" t="e">
        <f t="shared" si="149"/>
        <v>#VALUE!</v>
      </c>
    </row>
    <row r="4789" spans="7:8">
      <c r="G4789" s="63" t="e">
        <f t="shared" si="148"/>
        <v>#VALUE!</v>
      </c>
      <c r="H4789" s="63" t="e">
        <f t="shared" si="149"/>
        <v>#VALUE!</v>
      </c>
    </row>
    <row r="4790" spans="7:8">
      <c r="G4790" s="63" t="e">
        <f t="shared" si="148"/>
        <v>#VALUE!</v>
      </c>
      <c r="H4790" s="63" t="e">
        <f t="shared" si="149"/>
        <v>#VALUE!</v>
      </c>
    </row>
    <row r="4791" spans="7:8">
      <c r="G4791" s="63" t="e">
        <f t="shared" si="148"/>
        <v>#VALUE!</v>
      </c>
      <c r="H4791" s="63" t="e">
        <f t="shared" si="149"/>
        <v>#VALUE!</v>
      </c>
    </row>
    <row r="4792" spans="7:8">
      <c r="G4792" s="63" t="e">
        <f t="shared" si="148"/>
        <v>#VALUE!</v>
      </c>
      <c r="H4792" s="63" t="e">
        <f t="shared" si="149"/>
        <v>#VALUE!</v>
      </c>
    </row>
    <row r="4793" spans="7:8">
      <c r="G4793" s="63" t="e">
        <f t="shared" si="148"/>
        <v>#VALUE!</v>
      </c>
      <c r="H4793" s="63" t="e">
        <f t="shared" si="149"/>
        <v>#VALUE!</v>
      </c>
    </row>
    <row r="4794" spans="7:8">
      <c r="G4794" s="63" t="e">
        <f t="shared" si="148"/>
        <v>#VALUE!</v>
      </c>
      <c r="H4794" s="63" t="e">
        <f t="shared" si="149"/>
        <v>#VALUE!</v>
      </c>
    </row>
    <row r="4795" spans="7:8">
      <c r="G4795" s="63" t="e">
        <f t="shared" si="148"/>
        <v>#VALUE!</v>
      </c>
      <c r="H4795" s="63" t="e">
        <f t="shared" si="149"/>
        <v>#VALUE!</v>
      </c>
    </row>
    <row r="4796" spans="7:8">
      <c r="G4796" s="63" t="e">
        <f t="shared" si="148"/>
        <v>#VALUE!</v>
      </c>
      <c r="H4796" s="63" t="e">
        <f t="shared" si="149"/>
        <v>#VALUE!</v>
      </c>
    </row>
    <row r="4797" spans="7:8">
      <c r="G4797" s="63" t="e">
        <f t="shared" si="148"/>
        <v>#VALUE!</v>
      </c>
      <c r="H4797" s="63" t="e">
        <f t="shared" si="149"/>
        <v>#VALUE!</v>
      </c>
    </row>
    <row r="4798" spans="7:8">
      <c r="G4798" s="63" t="e">
        <f t="shared" si="148"/>
        <v>#VALUE!</v>
      </c>
      <c r="H4798" s="63" t="e">
        <f t="shared" si="149"/>
        <v>#VALUE!</v>
      </c>
    </row>
    <row r="4799" spans="7:8">
      <c r="G4799" s="63" t="e">
        <f t="shared" si="148"/>
        <v>#VALUE!</v>
      </c>
      <c r="H4799" s="63" t="e">
        <f t="shared" si="149"/>
        <v>#VALUE!</v>
      </c>
    </row>
    <row r="4800" spans="7:8">
      <c r="G4800" s="63" t="e">
        <f t="shared" si="148"/>
        <v>#VALUE!</v>
      </c>
      <c r="H4800" s="63" t="e">
        <f t="shared" si="149"/>
        <v>#VALUE!</v>
      </c>
    </row>
    <row r="4801" spans="7:8">
      <c r="G4801" s="63" t="e">
        <f t="shared" si="148"/>
        <v>#VALUE!</v>
      </c>
      <c r="H4801" s="63" t="e">
        <f t="shared" si="149"/>
        <v>#VALUE!</v>
      </c>
    </row>
    <row r="4802" spans="7:8">
      <c r="G4802" s="63" t="e">
        <f t="shared" si="148"/>
        <v>#VALUE!</v>
      </c>
      <c r="H4802" s="63" t="e">
        <f t="shared" si="149"/>
        <v>#VALUE!</v>
      </c>
    </row>
    <row r="4803" spans="7:8">
      <c r="G4803" s="63" t="e">
        <f t="shared" ref="G4803:G4866" si="150">IF(OR(A4803="RID_PB77",A4803="RID_PB77A3"),"WPCI77",IF(A4803="RIDTCIAS","CSCI49",IF(A4803="RID_HCPTM","CHCPT_",IF(LEFT(A4803,1)="C",A4803,MID(A4803,6,LEN(A4803)-5)))))</f>
        <v>#VALUE!</v>
      </c>
      <c r="H4803" s="63" t="e">
        <f t="shared" ref="H4803:H4866" si="151">IF(OR(G4803="MJG1",G4803="MJG2"),"MJG",G4803)&amp;"_"&amp;B4803</f>
        <v>#VALUE!</v>
      </c>
    </row>
    <row r="4804" spans="7:8">
      <c r="G4804" s="63" t="e">
        <f t="shared" si="150"/>
        <v>#VALUE!</v>
      </c>
      <c r="H4804" s="63" t="e">
        <f t="shared" si="151"/>
        <v>#VALUE!</v>
      </c>
    </row>
    <row r="4805" spans="7:8">
      <c r="G4805" s="63" t="e">
        <f t="shared" si="150"/>
        <v>#VALUE!</v>
      </c>
      <c r="H4805" s="63" t="e">
        <f t="shared" si="151"/>
        <v>#VALUE!</v>
      </c>
    </row>
    <row r="4806" spans="7:8">
      <c r="G4806" s="63" t="e">
        <f t="shared" si="150"/>
        <v>#VALUE!</v>
      </c>
      <c r="H4806" s="63" t="e">
        <f t="shared" si="151"/>
        <v>#VALUE!</v>
      </c>
    </row>
    <row r="4807" spans="7:8">
      <c r="G4807" s="63" t="e">
        <f t="shared" si="150"/>
        <v>#VALUE!</v>
      </c>
      <c r="H4807" s="63" t="e">
        <f t="shared" si="151"/>
        <v>#VALUE!</v>
      </c>
    </row>
    <row r="4808" spans="7:8">
      <c r="G4808" s="63" t="e">
        <f t="shared" si="150"/>
        <v>#VALUE!</v>
      </c>
      <c r="H4808" s="63" t="e">
        <f t="shared" si="151"/>
        <v>#VALUE!</v>
      </c>
    </row>
    <row r="4809" spans="7:8">
      <c r="G4809" s="63" t="e">
        <f t="shared" si="150"/>
        <v>#VALUE!</v>
      </c>
      <c r="H4809" s="63" t="e">
        <f t="shared" si="151"/>
        <v>#VALUE!</v>
      </c>
    </row>
    <row r="4810" spans="7:8">
      <c r="G4810" s="63" t="e">
        <f t="shared" si="150"/>
        <v>#VALUE!</v>
      </c>
      <c r="H4810" s="63" t="e">
        <f t="shared" si="151"/>
        <v>#VALUE!</v>
      </c>
    </row>
    <row r="4811" spans="7:8">
      <c r="G4811" s="63" t="e">
        <f t="shared" si="150"/>
        <v>#VALUE!</v>
      </c>
      <c r="H4811" s="63" t="e">
        <f t="shared" si="151"/>
        <v>#VALUE!</v>
      </c>
    </row>
    <row r="4812" spans="7:8">
      <c r="G4812" s="63" t="e">
        <f t="shared" si="150"/>
        <v>#VALUE!</v>
      </c>
      <c r="H4812" s="63" t="e">
        <f t="shared" si="151"/>
        <v>#VALUE!</v>
      </c>
    </row>
    <row r="4813" spans="7:8">
      <c r="G4813" s="63" t="e">
        <f t="shared" si="150"/>
        <v>#VALUE!</v>
      </c>
      <c r="H4813" s="63" t="e">
        <f t="shared" si="151"/>
        <v>#VALUE!</v>
      </c>
    </row>
    <row r="4814" spans="7:8">
      <c r="G4814" s="63" t="e">
        <f t="shared" si="150"/>
        <v>#VALUE!</v>
      </c>
      <c r="H4814" s="63" t="e">
        <f t="shared" si="151"/>
        <v>#VALUE!</v>
      </c>
    </row>
    <row r="4815" spans="7:8">
      <c r="G4815" s="63" t="e">
        <f t="shared" si="150"/>
        <v>#VALUE!</v>
      </c>
      <c r="H4815" s="63" t="e">
        <f t="shared" si="151"/>
        <v>#VALUE!</v>
      </c>
    </row>
    <row r="4816" spans="7:8">
      <c r="G4816" s="63" t="e">
        <f t="shared" si="150"/>
        <v>#VALUE!</v>
      </c>
      <c r="H4816" s="63" t="e">
        <f t="shared" si="151"/>
        <v>#VALUE!</v>
      </c>
    </row>
    <row r="4817" spans="7:8">
      <c r="G4817" s="63" t="e">
        <f t="shared" si="150"/>
        <v>#VALUE!</v>
      </c>
      <c r="H4817" s="63" t="e">
        <f t="shared" si="151"/>
        <v>#VALUE!</v>
      </c>
    </row>
    <row r="4818" spans="7:8">
      <c r="G4818" s="63" t="e">
        <f t="shared" si="150"/>
        <v>#VALUE!</v>
      </c>
      <c r="H4818" s="63" t="e">
        <f t="shared" si="151"/>
        <v>#VALUE!</v>
      </c>
    </row>
    <row r="4819" spans="7:8">
      <c r="G4819" s="63" t="e">
        <f t="shared" si="150"/>
        <v>#VALUE!</v>
      </c>
      <c r="H4819" s="63" t="e">
        <f t="shared" si="151"/>
        <v>#VALUE!</v>
      </c>
    </row>
    <row r="4820" spans="7:8">
      <c r="G4820" s="63" t="e">
        <f t="shared" si="150"/>
        <v>#VALUE!</v>
      </c>
      <c r="H4820" s="63" t="e">
        <f t="shared" si="151"/>
        <v>#VALUE!</v>
      </c>
    </row>
    <row r="4821" spans="7:8">
      <c r="G4821" s="63" t="e">
        <f t="shared" si="150"/>
        <v>#VALUE!</v>
      </c>
      <c r="H4821" s="63" t="e">
        <f t="shared" si="151"/>
        <v>#VALUE!</v>
      </c>
    </row>
    <row r="4822" spans="7:8">
      <c r="G4822" s="63" t="e">
        <f t="shared" si="150"/>
        <v>#VALUE!</v>
      </c>
      <c r="H4822" s="63" t="e">
        <f t="shared" si="151"/>
        <v>#VALUE!</v>
      </c>
    </row>
    <row r="4823" spans="7:8">
      <c r="G4823" s="63" t="e">
        <f t="shared" si="150"/>
        <v>#VALUE!</v>
      </c>
      <c r="H4823" s="63" t="e">
        <f t="shared" si="151"/>
        <v>#VALUE!</v>
      </c>
    </row>
    <row r="4824" spans="7:8">
      <c r="G4824" s="63" t="e">
        <f t="shared" si="150"/>
        <v>#VALUE!</v>
      </c>
      <c r="H4824" s="63" t="e">
        <f t="shared" si="151"/>
        <v>#VALUE!</v>
      </c>
    </row>
    <row r="4825" spans="7:8">
      <c r="G4825" s="63" t="e">
        <f t="shared" si="150"/>
        <v>#VALUE!</v>
      </c>
      <c r="H4825" s="63" t="e">
        <f t="shared" si="151"/>
        <v>#VALUE!</v>
      </c>
    </row>
    <row r="4826" spans="7:8">
      <c r="G4826" s="63" t="e">
        <f t="shared" si="150"/>
        <v>#VALUE!</v>
      </c>
      <c r="H4826" s="63" t="e">
        <f t="shared" si="151"/>
        <v>#VALUE!</v>
      </c>
    </row>
    <row r="4827" spans="7:8">
      <c r="G4827" s="63" t="e">
        <f t="shared" si="150"/>
        <v>#VALUE!</v>
      </c>
      <c r="H4827" s="63" t="e">
        <f t="shared" si="151"/>
        <v>#VALUE!</v>
      </c>
    </row>
    <row r="4828" spans="7:8">
      <c r="G4828" s="63" t="e">
        <f t="shared" si="150"/>
        <v>#VALUE!</v>
      </c>
      <c r="H4828" s="63" t="e">
        <f t="shared" si="151"/>
        <v>#VALUE!</v>
      </c>
    </row>
    <row r="4829" spans="7:8">
      <c r="G4829" s="63" t="e">
        <f t="shared" si="150"/>
        <v>#VALUE!</v>
      </c>
      <c r="H4829" s="63" t="e">
        <f t="shared" si="151"/>
        <v>#VALUE!</v>
      </c>
    </row>
    <row r="4830" spans="7:8">
      <c r="G4830" s="63" t="e">
        <f t="shared" si="150"/>
        <v>#VALUE!</v>
      </c>
      <c r="H4830" s="63" t="e">
        <f t="shared" si="151"/>
        <v>#VALUE!</v>
      </c>
    </row>
    <row r="4831" spans="7:8">
      <c r="G4831" s="63" t="e">
        <f t="shared" si="150"/>
        <v>#VALUE!</v>
      </c>
      <c r="H4831" s="63" t="e">
        <f t="shared" si="151"/>
        <v>#VALUE!</v>
      </c>
    </row>
    <row r="4832" spans="7:8">
      <c r="G4832" s="63" t="e">
        <f t="shared" si="150"/>
        <v>#VALUE!</v>
      </c>
      <c r="H4832" s="63" t="e">
        <f t="shared" si="151"/>
        <v>#VALUE!</v>
      </c>
    </row>
    <row r="4833" spans="7:8">
      <c r="G4833" s="63" t="e">
        <f t="shared" si="150"/>
        <v>#VALUE!</v>
      </c>
      <c r="H4833" s="63" t="e">
        <f t="shared" si="151"/>
        <v>#VALUE!</v>
      </c>
    </row>
    <row r="4834" spans="7:8">
      <c r="G4834" s="63" t="e">
        <f t="shared" si="150"/>
        <v>#VALUE!</v>
      </c>
      <c r="H4834" s="63" t="e">
        <f t="shared" si="151"/>
        <v>#VALUE!</v>
      </c>
    </row>
    <row r="4835" spans="7:8">
      <c r="G4835" s="63" t="e">
        <f t="shared" si="150"/>
        <v>#VALUE!</v>
      </c>
      <c r="H4835" s="63" t="e">
        <f t="shared" si="151"/>
        <v>#VALUE!</v>
      </c>
    </row>
    <row r="4836" spans="7:8">
      <c r="G4836" s="63" t="e">
        <f t="shared" si="150"/>
        <v>#VALUE!</v>
      </c>
      <c r="H4836" s="63" t="e">
        <f t="shared" si="151"/>
        <v>#VALUE!</v>
      </c>
    </row>
    <row r="4837" spans="7:8">
      <c r="G4837" s="63" t="e">
        <f t="shared" si="150"/>
        <v>#VALUE!</v>
      </c>
      <c r="H4837" s="63" t="e">
        <f t="shared" si="151"/>
        <v>#VALUE!</v>
      </c>
    </row>
    <row r="4838" spans="7:8">
      <c r="G4838" s="63" t="e">
        <f t="shared" si="150"/>
        <v>#VALUE!</v>
      </c>
      <c r="H4838" s="63" t="e">
        <f t="shared" si="151"/>
        <v>#VALUE!</v>
      </c>
    </row>
    <row r="4839" spans="7:8">
      <c r="G4839" s="63" t="e">
        <f t="shared" si="150"/>
        <v>#VALUE!</v>
      </c>
      <c r="H4839" s="63" t="e">
        <f t="shared" si="151"/>
        <v>#VALUE!</v>
      </c>
    </row>
    <row r="4840" spans="7:8">
      <c r="G4840" s="63" t="e">
        <f t="shared" si="150"/>
        <v>#VALUE!</v>
      </c>
      <c r="H4840" s="63" t="e">
        <f t="shared" si="151"/>
        <v>#VALUE!</v>
      </c>
    </row>
    <row r="4841" spans="7:8">
      <c r="G4841" s="63" t="e">
        <f t="shared" si="150"/>
        <v>#VALUE!</v>
      </c>
      <c r="H4841" s="63" t="e">
        <f t="shared" si="151"/>
        <v>#VALUE!</v>
      </c>
    </row>
    <row r="4842" spans="7:8">
      <c r="G4842" s="63" t="e">
        <f t="shared" si="150"/>
        <v>#VALUE!</v>
      </c>
      <c r="H4842" s="63" t="e">
        <f t="shared" si="151"/>
        <v>#VALUE!</v>
      </c>
    </row>
    <row r="4843" spans="7:8">
      <c r="G4843" s="63" t="e">
        <f t="shared" si="150"/>
        <v>#VALUE!</v>
      </c>
      <c r="H4843" s="63" t="e">
        <f t="shared" si="151"/>
        <v>#VALUE!</v>
      </c>
    </row>
    <row r="4844" spans="7:8">
      <c r="G4844" s="63" t="e">
        <f t="shared" si="150"/>
        <v>#VALUE!</v>
      </c>
      <c r="H4844" s="63" t="e">
        <f t="shared" si="151"/>
        <v>#VALUE!</v>
      </c>
    </row>
    <row r="4845" spans="7:8">
      <c r="G4845" s="63" t="e">
        <f t="shared" si="150"/>
        <v>#VALUE!</v>
      </c>
      <c r="H4845" s="63" t="e">
        <f t="shared" si="151"/>
        <v>#VALUE!</v>
      </c>
    </row>
    <row r="4846" spans="7:8">
      <c r="G4846" s="63" t="e">
        <f t="shared" si="150"/>
        <v>#VALUE!</v>
      </c>
      <c r="H4846" s="63" t="e">
        <f t="shared" si="151"/>
        <v>#VALUE!</v>
      </c>
    </row>
    <row r="4847" spans="7:8">
      <c r="G4847" s="63" t="e">
        <f t="shared" si="150"/>
        <v>#VALUE!</v>
      </c>
      <c r="H4847" s="63" t="e">
        <f t="shared" si="151"/>
        <v>#VALUE!</v>
      </c>
    </row>
    <row r="4848" spans="7:8">
      <c r="G4848" s="63" t="e">
        <f t="shared" si="150"/>
        <v>#VALUE!</v>
      </c>
      <c r="H4848" s="63" t="e">
        <f t="shared" si="151"/>
        <v>#VALUE!</v>
      </c>
    </row>
    <row r="4849" spans="7:8">
      <c r="G4849" s="63" t="e">
        <f t="shared" si="150"/>
        <v>#VALUE!</v>
      </c>
      <c r="H4849" s="63" t="e">
        <f t="shared" si="151"/>
        <v>#VALUE!</v>
      </c>
    </row>
    <row r="4850" spans="7:8">
      <c r="G4850" s="63" t="e">
        <f t="shared" si="150"/>
        <v>#VALUE!</v>
      </c>
      <c r="H4850" s="63" t="e">
        <f t="shared" si="151"/>
        <v>#VALUE!</v>
      </c>
    </row>
    <row r="4851" spans="7:8">
      <c r="G4851" s="63" t="e">
        <f t="shared" si="150"/>
        <v>#VALUE!</v>
      </c>
      <c r="H4851" s="63" t="e">
        <f t="shared" si="151"/>
        <v>#VALUE!</v>
      </c>
    </row>
    <row r="4852" spans="7:8">
      <c r="G4852" s="63" t="e">
        <f t="shared" si="150"/>
        <v>#VALUE!</v>
      </c>
      <c r="H4852" s="63" t="e">
        <f t="shared" si="151"/>
        <v>#VALUE!</v>
      </c>
    </row>
    <row r="4853" spans="7:8">
      <c r="G4853" s="63" t="e">
        <f t="shared" si="150"/>
        <v>#VALUE!</v>
      </c>
      <c r="H4853" s="63" t="e">
        <f t="shared" si="151"/>
        <v>#VALUE!</v>
      </c>
    </row>
    <row r="4854" spans="7:8">
      <c r="G4854" s="63" t="e">
        <f t="shared" si="150"/>
        <v>#VALUE!</v>
      </c>
      <c r="H4854" s="63" t="e">
        <f t="shared" si="151"/>
        <v>#VALUE!</v>
      </c>
    </row>
    <row r="4855" spans="7:8">
      <c r="G4855" s="63" t="e">
        <f t="shared" si="150"/>
        <v>#VALUE!</v>
      </c>
      <c r="H4855" s="63" t="e">
        <f t="shared" si="151"/>
        <v>#VALUE!</v>
      </c>
    </row>
    <row r="4856" spans="7:8">
      <c r="G4856" s="63" t="e">
        <f t="shared" si="150"/>
        <v>#VALUE!</v>
      </c>
      <c r="H4856" s="63" t="e">
        <f t="shared" si="151"/>
        <v>#VALUE!</v>
      </c>
    </row>
    <row r="4857" spans="7:8">
      <c r="G4857" s="63" t="e">
        <f t="shared" si="150"/>
        <v>#VALUE!</v>
      </c>
      <c r="H4857" s="63" t="e">
        <f t="shared" si="151"/>
        <v>#VALUE!</v>
      </c>
    </row>
    <row r="4858" spans="7:8">
      <c r="G4858" s="63" t="e">
        <f t="shared" si="150"/>
        <v>#VALUE!</v>
      </c>
      <c r="H4858" s="63" t="e">
        <f t="shared" si="151"/>
        <v>#VALUE!</v>
      </c>
    </row>
    <row r="4859" spans="7:8">
      <c r="G4859" s="63" t="e">
        <f t="shared" si="150"/>
        <v>#VALUE!</v>
      </c>
      <c r="H4859" s="63" t="e">
        <f t="shared" si="151"/>
        <v>#VALUE!</v>
      </c>
    </row>
    <row r="4860" spans="7:8">
      <c r="G4860" s="63" t="e">
        <f t="shared" si="150"/>
        <v>#VALUE!</v>
      </c>
      <c r="H4860" s="63" t="e">
        <f t="shared" si="151"/>
        <v>#VALUE!</v>
      </c>
    </row>
    <row r="4861" spans="7:8">
      <c r="G4861" s="63" t="e">
        <f t="shared" si="150"/>
        <v>#VALUE!</v>
      </c>
      <c r="H4861" s="63" t="e">
        <f t="shared" si="151"/>
        <v>#VALUE!</v>
      </c>
    </row>
    <row r="4862" spans="7:8">
      <c r="G4862" s="63" t="e">
        <f t="shared" si="150"/>
        <v>#VALUE!</v>
      </c>
      <c r="H4862" s="63" t="e">
        <f t="shared" si="151"/>
        <v>#VALUE!</v>
      </c>
    </row>
    <row r="4863" spans="7:8">
      <c r="G4863" s="63" t="e">
        <f t="shared" si="150"/>
        <v>#VALUE!</v>
      </c>
      <c r="H4863" s="63" t="e">
        <f t="shared" si="151"/>
        <v>#VALUE!</v>
      </c>
    </row>
    <row r="4864" spans="7:8">
      <c r="G4864" s="63" t="e">
        <f t="shared" si="150"/>
        <v>#VALUE!</v>
      </c>
      <c r="H4864" s="63" t="e">
        <f t="shared" si="151"/>
        <v>#VALUE!</v>
      </c>
    </row>
    <row r="4865" spans="7:8">
      <c r="G4865" s="63" t="e">
        <f t="shared" si="150"/>
        <v>#VALUE!</v>
      </c>
      <c r="H4865" s="63" t="e">
        <f t="shared" si="151"/>
        <v>#VALUE!</v>
      </c>
    </row>
    <row r="4866" spans="7:8">
      <c r="G4866" s="63" t="e">
        <f t="shared" si="150"/>
        <v>#VALUE!</v>
      </c>
      <c r="H4866" s="63" t="e">
        <f t="shared" si="151"/>
        <v>#VALUE!</v>
      </c>
    </row>
    <row r="4867" spans="7:8">
      <c r="G4867" s="63" t="e">
        <f t="shared" ref="G4867:G4930" si="152">IF(OR(A4867="RID_PB77",A4867="RID_PB77A3"),"WPCI77",IF(A4867="RIDTCIAS","CSCI49",IF(A4867="RID_HCPTM","CHCPT_",IF(LEFT(A4867,1)="C",A4867,MID(A4867,6,LEN(A4867)-5)))))</f>
        <v>#VALUE!</v>
      </c>
      <c r="H4867" s="63" t="e">
        <f t="shared" ref="H4867:H4930" si="153">IF(OR(G4867="MJG1",G4867="MJG2"),"MJG",G4867)&amp;"_"&amp;B4867</f>
        <v>#VALUE!</v>
      </c>
    </row>
    <row r="4868" spans="7:8">
      <c r="G4868" s="63" t="e">
        <f t="shared" si="152"/>
        <v>#VALUE!</v>
      </c>
      <c r="H4868" s="63" t="e">
        <f t="shared" si="153"/>
        <v>#VALUE!</v>
      </c>
    </row>
    <row r="4869" spans="7:8">
      <c r="G4869" s="63" t="e">
        <f t="shared" si="152"/>
        <v>#VALUE!</v>
      </c>
      <c r="H4869" s="63" t="e">
        <f t="shared" si="153"/>
        <v>#VALUE!</v>
      </c>
    </row>
    <row r="4870" spans="7:8">
      <c r="G4870" s="63" t="e">
        <f t="shared" si="152"/>
        <v>#VALUE!</v>
      </c>
      <c r="H4870" s="63" t="e">
        <f t="shared" si="153"/>
        <v>#VALUE!</v>
      </c>
    </row>
    <row r="4871" spans="7:8">
      <c r="G4871" s="63" t="e">
        <f t="shared" si="152"/>
        <v>#VALUE!</v>
      </c>
      <c r="H4871" s="63" t="e">
        <f t="shared" si="153"/>
        <v>#VALUE!</v>
      </c>
    </row>
    <row r="4872" spans="7:8">
      <c r="G4872" s="63" t="e">
        <f t="shared" si="152"/>
        <v>#VALUE!</v>
      </c>
      <c r="H4872" s="63" t="e">
        <f t="shared" si="153"/>
        <v>#VALUE!</v>
      </c>
    </row>
    <row r="4873" spans="7:8">
      <c r="G4873" s="63" t="e">
        <f t="shared" si="152"/>
        <v>#VALUE!</v>
      </c>
      <c r="H4873" s="63" t="e">
        <f t="shared" si="153"/>
        <v>#VALUE!</v>
      </c>
    </row>
    <row r="4874" spans="7:8">
      <c r="G4874" s="63" t="e">
        <f t="shared" si="152"/>
        <v>#VALUE!</v>
      </c>
      <c r="H4874" s="63" t="e">
        <f t="shared" si="153"/>
        <v>#VALUE!</v>
      </c>
    </row>
    <row r="4875" spans="7:8">
      <c r="G4875" s="63" t="e">
        <f t="shared" si="152"/>
        <v>#VALUE!</v>
      </c>
      <c r="H4875" s="63" t="e">
        <f t="shared" si="153"/>
        <v>#VALUE!</v>
      </c>
    </row>
    <row r="4876" spans="7:8">
      <c r="G4876" s="63" t="e">
        <f t="shared" si="152"/>
        <v>#VALUE!</v>
      </c>
      <c r="H4876" s="63" t="e">
        <f t="shared" si="153"/>
        <v>#VALUE!</v>
      </c>
    </row>
    <row r="4877" spans="7:8">
      <c r="G4877" s="63" t="e">
        <f t="shared" si="152"/>
        <v>#VALUE!</v>
      </c>
      <c r="H4877" s="63" t="e">
        <f t="shared" si="153"/>
        <v>#VALUE!</v>
      </c>
    </row>
    <row r="4878" spans="7:8">
      <c r="G4878" s="63" t="e">
        <f t="shared" si="152"/>
        <v>#VALUE!</v>
      </c>
      <c r="H4878" s="63" t="e">
        <f t="shared" si="153"/>
        <v>#VALUE!</v>
      </c>
    </row>
    <row r="4879" spans="7:8">
      <c r="G4879" s="63" t="e">
        <f t="shared" si="152"/>
        <v>#VALUE!</v>
      </c>
      <c r="H4879" s="63" t="e">
        <f t="shared" si="153"/>
        <v>#VALUE!</v>
      </c>
    </row>
    <row r="4880" spans="7:8">
      <c r="G4880" s="63" t="e">
        <f t="shared" si="152"/>
        <v>#VALUE!</v>
      </c>
      <c r="H4880" s="63" t="e">
        <f t="shared" si="153"/>
        <v>#VALUE!</v>
      </c>
    </row>
    <row r="4881" spans="7:8">
      <c r="G4881" s="63" t="e">
        <f t="shared" si="152"/>
        <v>#VALUE!</v>
      </c>
      <c r="H4881" s="63" t="e">
        <f t="shared" si="153"/>
        <v>#VALUE!</v>
      </c>
    </row>
    <row r="4882" spans="7:8">
      <c r="G4882" s="63" t="e">
        <f t="shared" si="152"/>
        <v>#VALUE!</v>
      </c>
      <c r="H4882" s="63" t="e">
        <f t="shared" si="153"/>
        <v>#VALUE!</v>
      </c>
    </row>
    <row r="4883" spans="7:8">
      <c r="G4883" s="63" t="e">
        <f t="shared" si="152"/>
        <v>#VALUE!</v>
      </c>
      <c r="H4883" s="63" t="e">
        <f t="shared" si="153"/>
        <v>#VALUE!</v>
      </c>
    </row>
    <row r="4884" spans="7:8">
      <c r="G4884" s="63" t="e">
        <f t="shared" si="152"/>
        <v>#VALUE!</v>
      </c>
      <c r="H4884" s="63" t="e">
        <f t="shared" si="153"/>
        <v>#VALUE!</v>
      </c>
    </row>
    <row r="4885" spans="7:8">
      <c r="G4885" s="63" t="e">
        <f t="shared" si="152"/>
        <v>#VALUE!</v>
      </c>
      <c r="H4885" s="63" t="e">
        <f t="shared" si="153"/>
        <v>#VALUE!</v>
      </c>
    </row>
    <row r="4886" spans="7:8">
      <c r="G4886" s="63" t="e">
        <f t="shared" si="152"/>
        <v>#VALUE!</v>
      </c>
      <c r="H4886" s="63" t="e">
        <f t="shared" si="153"/>
        <v>#VALUE!</v>
      </c>
    </row>
    <row r="4887" spans="7:8">
      <c r="G4887" s="63" t="e">
        <f t="shared" si="152"/>
        <v>#VALUE!</v>
      </c>
      <c r="H4887" s="63" t="e">
        <f t="shared" si="153"/>
        <v>#VALUE!</v>
      </c>
    </row>
    <row r="4888" spans="7:8">
      <c r="G4888" s="63" t="e">
        <f t="shared" si="152"/>
        <v>#VALUE!</v>
      </c>
      <c r="H4888" s="63" t="e">
        <f t="shared" si="153"/>
        <v>#VALUE!</v>
      </c>
    </row>
    <row r="4889" spans="7:8">
      <c r="G4889" s="63" t="e">
        <f t="shared" si="152"/>
        <v>#VALUE!</v>
      </c>
      <c r="H4889" s="63" t="e">
        <f t="shared" si="153"/>
        <v>#VALUE!</v>
      </c>
    </row>
    <row r="4890" spans="7:8">
      <c r="G4890" s="63" t="e">
        <f t="shared" si="152"/>
        <v>#VALUE!</v>
      </c>
      <c r="H4890" s="63" t="e">
        <f t="shared" si="153"/>
        <v>#VALUE!</v>
      </c>
    </row>
    <row r="4891" spans="7:8">
      <c r="G4891" s="63" t="e">
        <f t="shared" si="152"/>
        <v>#VALUE!</v>
      </c>
      <c r="H4891" s="63" t="e">
        <f t="shared" si="153"/>
        <v>#VALUE!</v>
      </c>
    </row>
    <row r="4892" spans="7:8">
      <c r="G4892" s="63" t="e">
        <f t="shared" si="152"/>
        <v>#VALUE!</v>
      </c>
      <c r="H4892" s="63" t="e">
        <f t="shared" si="153"/>
        <v>#VALUE!</v>
      </c>
    </row>
    <row r="4893" spans="7:8">
      <c r="G4893" s="63" t="e">
        <f t="shared" si="152"/>
        <v>#VALUE!</v>
      </c>
      <c r="H4893" s="63" t="e">
        <f t="shared" si="153"/>
        <v>#VALUE!</v>
      </c>
    </row>
    <row r="4894" spans="7:8">
      <c r="G4894" s="63" t="e">
        <f t="shared" si="152"/>
        <v>#VALUE!</v>
      </c>
      <c r="H4894" s="63" t="e">
        <f t="shared" si="153"/>
        <v>#VALUE!</v>
      </c>
    </row>
    <row r="4895" spans="7:8">
      <c r="G4895" s="63" t="e">
        <f t="shared" si="152"/>
        <v>#VALUE!</v>
      </c>
      <c r="H4895" s="63" t="e">
        <f t="shared" si="153"/>
        <v>#VALUE!</v>
      </c>
    </row>
    <row r="4896" spans="7:8">
      <c r="G4896" s="63" t="e">
        <f t="shared" si="152"/>
        <v>#VALUE!</v>
      </c>
      <c r="H4896" s="63" t="e">
        <f t="shared" si="153"/>
        <v>#VALUE!</v>
      </c>
    </row>
    <row r="4897" spans="7:8">
      <c r="G4897" s="63" t="e">
        <f t="shared" si="152"/>
        <v>#VALUE!</v>
      </c>
      <c r="H4897" s="63" t="e">
        <f t="shared" si="153"/>
        <v>#VALUE!</v>
      </c>
    </row>
    <row r="4898" spans="7:8">
      <c r="G4898" s="63" t="e">
        <f t="shared" si="152"/>
        <v>#VALUE!</v>
      </c>
      <c r="H4898" s="63" t="e">
        <f t="shared" si="153"/>
        <v>#VALUE!</v>
      </c>
    </row>
    <row r="4899" spans="7:8">
      <c r="G4899" s="63" t="e">
        <f t="shared" si="152"/>
        <v>#VALUE!</v>
      </c>
      <c r="H4899" s="63" t="e">
        <f t="shared" si="153"/>
        <v>#VALUE!</v>
      </c>
    </row>
    <row r="4900" spans="7:8">
      <c r="G4900" s="63" t="e">
        <f t="shared" si="152"/>
        <v>#VALUE!</v>
      </c>
      <c r="H4900" s="63" t="e">
        <f t="shared" si="153"/>
        <v>#VALUE!</v>
      </c>
    </row>
    <row r="4901" spans="7:8">
      <c r="G4901" s="63" t="e">
        <f t="shared" si="152"/>
        <v>#VALUE!</v>
      </c>
      <c r="H4901" s="63" t="e">
        <f t="shared" si="153"/>
        <v>#VALUE!</v>
      </c>
    </row>
    <row r="4902" spans="7:8">
      <c r="G4902" s="63" t="e">
        <f t="shared" si="152"/>
        <v>#VALUE!</v>
      </c>
      <c r="H4902" s="63" t="e">
        <f t="shared" si="153"/>
        <v>#VALUE!</v>
      </c>
    </row>
    <row r="4903" spans="7:8">
      <c r="G4903" s="63" t="e">
        <f t="shared" si="152"/>
        <v>#VALUE!</v>
      </c>
      <c r="H4903" s="63" t="e">
        <f t="shared" si="153"/>
        <v>#VALUE!</v>
      </c>
    </row>
    <row r="4904" spans="7:8">
      <c r="G4904" s="63" t="e">
        <f t="shared" si="152"/>
        <v>#VALUE!</v>
      </c>
      <c r="H4904" s="63" t="e">
        <f t="shared" si="153"/>
        <v>#VALUE!</v>
      </c>
    </row>
    <row r="4905" spans="7:8">
      <c r="G4905" s="63" t="e">
        <f t="shared" si="152"/>
        <v>#VALUE!</v>
      </c>
      <c r="H4905" s="63" t="e">
        <f t="shared" si="153"/>
        <v>#VALUE!</v>
      </c>
    </row>
    <row r="4906" spans="7:8">
      <c r="G4906" s="63" t="e">
        <f t="shared" si="152"/>
        <v>#VALUE!</v>
      </c>
      <c r="H4906" s="63" t="e">
        <f t="shared" si="153"/>
        <v>#VALUE!</v>
      </c>
    </row>
    <row r="4907" spans="7:8">
      <c r="G4907" s="63" t="e">
        <f t="shared" si="152"/>
        <v>#VALUE!</v>
      </c>
      <c r="H4907" s="63" t="e">
        <f t="shared" si="153"/>
        <v>#VALUE!</v>
      </c>
    </row>
    <row r="4908" spans="7:8">
      <c r="G4908" s="63" t="e">
        <f t="shared" si="152"/>
        <v>#VALUE!</v>
      </c>
      <c r="H4908" s="63" t="e">
        <f t="shared" si="153"/>
        <v>#VALUE!</v>
      </c>
    </row>
    <row r="4909" spans="7:8">
      <c r="G4909" s="63" t="e">
        <f t="shared" si="152"/>
        <v>#VALUE!</v>
      </c>
      <c r="H4909" s="63" t="e">
        <f t="shared" si="153"/>
        <v>#VALUE!</v>
      </c>
    </row>
    <row r="4910" spans="7:8">
      <c r="G4910" s="63" t="e">
        <f t="shared" si="152"/>
        <v>#VALUE!</v>
      </c>
      <c r="H4910" s="63" t="e">
        <f t="shared" si="153"/>
        <v>#VALUE!</v>
      </c>
    </row>
    <row r="4911" spans="7:8">
      <c r="G4911" s="63" t="e">
        <f t="shared" si="152"/>
        <v>#VALUE!</v>
      </c>
      <c r="H4911" s="63" t="e">
        <f t="shared" si="153"/>
        <v>#VALUE!</v>
      </c>
    </row>
    <row r="4912" spans="7:8">
      <c r="G4912" s="63" t="e">
        <f t="shared" si="152"/>
        <v>#VALUE!</v>
      </c>
      <c r="H4912" s="63" t="e">
        <f t="shared" si="153"/>
        <v>#VALUE!</v>
      </c>
    </row>
    <row r="4913" spans="7:8">
      <c r="G4913" s="63" t="e">
        <f t="shared" si="152"/>
        <v>#VALUE!</v>
      </c>
      <c r="H4913" s="63" t="e">
        <f t="shared" si="153"/>
        <v>#VALUE!</v>
      </c>
    </row>
    <row r="4914" spans="7:8">
      <c r="G4914" s="63" t="e">
        <f t="shared" si="152"/>
        <v>#VALUE!</v>
      </c>
      <c r="H4914" s="63" t="e">
        <f t="shared" si="153"/>
        <v>#VALUE!</v>
      </c>
    </row>
    <row r="4915" spans="7:8">
      <c r="G4915" s="63" t="e">
        <f t="shared" si="152"/>
        <v>#VALUE!</v>
      </c>
      <c r="H4915" s="63" t="e">
        <f t="shared" si="153"/>
        <v>#VALUE!</v>
      </c>
    </row>
    <row r="4916" spans="7:8">
      <c r="G4916" s="63" t="e">
        <f t="shared" si="152"/>
        <v>#VALUE!</v>
      </c>
      <c r="H4916" s="63" t="e">
        <f t="shared" si="153"/>
        <v>#VALUE!</v>
      </c>
    </row>
    <row r="4917" spans="7:8">
      <c r="G4917" s="63" t="e">
        <f t="shared" si="152"/>
        <v>#VALUE!</v>
      </c>
      <c r="H4917" s="63" t="e">
        <f t="shared" si="153"/>
        <v>#VALUE!</v>
      </c>
    </row>
    <row r="4918" spans="7:8">
      <c r="G4918" s="63" t="e">
        <f t="shared" si="152"/>
        <v>#VALUE!</v>
      </c>
      <c r="H4918" s="63" t="e">
        <f t="shared" si="153"/>
        <v>#VALUE!</v>
      </c>
    </row>
    <row r="4919" spans="7:8">
      <c r="G4919" s="63" t="e">
        <f t="shared" si="152"/>
        <v>#VALUE!</v>
      </c>
      <c r="H4919" s="63" t="e">
        <f t="shared" si="153"/>
        <v>#VALUE!</v>
      </c>
    </row>
    <row r="4920" spans="7:8">
      <c r="G4920" s="63" t="e">
        <f t="shared" si="152"/>
        <v>#VALUE!</v>
      </c>
      <c r="H4920" s="63" t="e">
        <f t="shared" si="153"/>
        <v>#VALUE!</v>
      </c>
    </row>
    <row r="4921" spans="7:8">
      <c r="G4921" s="63" t="e">
        <f t="shared" si="152"/>
        <v>#VALUE!</v>
      </c>
      <c r="H4921" s="63" t="e">
        <f t="shared" si="153"/>
        <v>#VALUE!</v>
      </c>
    </row>
    <row r="4922" spans="7:8">
      <c r="G4922" s="63" t="e">
        <f t="shared" si="152"/>
        <v>#VALUE!</v>
      </c>
      <c r="H4922" s="63" t="e">
        <f t="shared" si="153"/>
        <v>#VALUE!</v>
      </c>
    </row>
    <row r="4923" spans="7:8">
      <c r="G4923" s="63" t="e">
        <f t="shared" si="152"/>
        <v>#VALUE!</v>
      </c>
      <c r="H4923" s="63" t="e">
        <f t="shared" si="153"/>
        <v>#VALUE!</v>
      </c>
    </row>
    <row r="4924" spans="7:8">
      <c r="G4924" s="63" t="e">
        <f t="shared" si="152"/>
        <v>#VALUE!</v>
      </c>
      <c r="H4924" s="63" t="e">
        <f t="shared" si="153"/>
        <v>#VALUE!</v>
      </c>
    </row>
    <row r="4925" spans="7:8">
      <c r="G4925" s="63" t="e">
        <f t="shared" si="152"/>
        <v>#VALUE!</v>
      </c>
      <c r="H4925" s="63" t="e">
        <f t="shared" si="153"/>
        <v>#VALUE!</v>
      </c>
    </row>
    <row r="4926" spans="7:8">
      <c r="G4926" s="63" t="e">
        <f t="shared" si="152"/>
        <v>#VALUE!</v>
      </c>
      <c r="H4926" s="63" t="e">
        <f t="shared" si="153"/>
        <v>#VALUE!</v>
      </c>
    </row>
    <row r="4927" spans="7:8">
      <c r="G4927" s="63" t="e">
        <f t="shared" si="152"/>
        <v>#VALUE!</v>
      </c>
      <c r="H4927" s="63" t="e">
        <f t="shared" si="153"/>
        <v>#VALUE!</v>
      </c>
    </row>
    <row r="4928" spans="7:8">
      <c r="G4928" s="63" t="e">
        <f t="shared" si="152"/>
        <v>#VALUE!</v>
      </c>
      <c r="H4928" s="63" t="e">
        <f t="shared" si="153"/>
        <v>#VALUE!</v>
      </c>
    </row>
    <row r="4929" spans="7:8">
      <c r="G4929" s="63" t="e">
        <f t="shared" si="152"/>
        <v>#VALUE!</v>
      </c>
      <c r="H4929" s="63" t="e">
        <f t="shared" si="153"/>
        <v>#VALUE!</v>
      </c>
    </row>
    <row r="4930" spans="7:8">
      <c r="G4930" s="63" t="e">
        <f t="shared" si="152"/>
        <v>#VALUE!</v>
      </c>
      <c r="H4930" s="63" t="e">
        <f t="shared" si="153"/>
        <v>#VALUE!</v>
      </c>
    </row>
    <row r="4931" spans="7:8">
      <c r="G4931" s="63" t="e">
        <f t="shared" ref="G4931:G4994" si="154">IF(OR(A4931="RID_PB77",A4931="RID_PB77A3"),"WPCI77",IF(A4931="RIDTCIAS","CSCI49",IF(A4931="RID_HCPTM","CHCPT_",IF(LEFT(A4931,1)="C",A4931,MID(A4931,6,LEN(A4931)-5)))))</f>
        <v>#VALUE!</v>
      </c>
      <c r="H4931" s="63" t="e">
        <f t="shared" ref="H4931:H4994" si="155">IF(OR(G4931="MJG1",G4931="MJG2"),"MJG",G4931)&amp;"_"&amp;B4931</f>
        <v>#VALUE!</v>
      </c>
    </row>
    <row r="4932" spans="7:8">
      <c r="G4932" s="63" t="e">
        <f t="shared" si="154"/>
        <v>#VALUE!</v>
      </c>
      <c r="H4932" s="63" t="e">
        <f t="shared" si="155"/>
        <v>#VALUE!</v>
      </c>
    </row>
    <row r="4933" spans="7:8">
      <c r="G4933" s="63" t="e">
        <f t="shared" si="154"/>
        <v>#VALUE!</v>
      </c>
      <c r="H4933" s="63" t="e">
        <f t="shared" si="155"/>
        <v>#VALUE!</v>
      </c>
    </row>
    <row r="4934" spans="7:8">
      <c r="G4934" s="63" t="e">
        <f t="shared" si="154"/>
        <v>#VALUE!</v>
      </c>
      <c r="H4934" s="63" t="e">
        <f t="shared" si="155"/>
        <v>#VALUE!</v>
      </c>
    </row>
    <row r="4935" spans="7:8">
      <c r="G4935" s="63" t="e">
        <f t="shared" si="154"/>
        <v>#VALUE!</v>
      </c>
      <c r="H4935" s="63" t="e">
        <f t="shared" si="155"/>
        <v>#VALUE!</v>
      </c>
    </row>
    <row r="4936" spans="7:8">
      <c r="G4936" s="63" t="e">
        <f t="shared" si="154"/>
        <v>#VALUE!</v>
      </c>
      <c r="H4936" s="63" t="e">
        <f t="shared" si="155"/>
        <v>#VALUE!</v>
      </c>
    </row>
    <row r="4937" spans="7:8">
      <c r="G4937" s="63" t="e">
        <f t="shared" si="154"/>
        <v>#VALUE!</v>
      </c>
      <c r="H4937" s="63" t="e">
        <f t="shared" si="155"/>
        <v>#VALUE!</v>
      </c>
    </row>
    <row r="4938" spans="7:8">
      <c r="G4938" s="63" t="e">
        <f t="shared" si="154"/>
        <v>#VALUE!</v>
      </c>
      <c r="H4938" s="63" t="e">
        <f t="shared" si="155"/>
        <v>#VALUE!</v>
      </c>
    </row>
    <row r="4939" spans="7:8">
      <c r="G4939" s="63" t="e">
        <f t="shared" si="154"/>
        <v>#VALUE!</v>
      </c>
      <c r="H4939" s="63" t="e">
        <f t="shared" si="155"/>
        <v>#VALUE!</v>
      </c>
    </row>
    <row r="4940" spans="7:8">
      <c r="G4940" s="63" t="e">
        <f t="shared" si="154"/>
        <v>#VALUE!</v>
      </c>
      <c r="H4940" s="63" t="e">
        <f t="shared" si="155"/>
        <v>#VALUE!</v>
      </c>
    </row>
    <row r="4941" spans="7:8">
      <c r="G4941" s="63" t="e">
        <f t="shared" si="154"/>
        <v>#VALUE!</v>
      </c>
      <c r="H4941" s="63" t="e">
        <f t="shared" si="155"/>
        <v>#VALUE!</v>
      </c>
    </row>
    <row r="4942" spans="7:8">
      <c r="G4942" s="63" t="e">
        <f t="shared" si="154"/>
        <v>#VALUE!</v>
      </c>
      <c r="H4942" s="63" t="e">
        <f t="shared" si="155"/>
        <v>#VALUE!</v>
      </c>
    </row>
    <row r="4943" spans="7:8">
      <c r="G4943" s="63" t="e">
        <f t="shared" si="154"/>
        <v>#VALUE!</v>
      </c>
      <c r="H4943" s="63" t="e">
        <f t="shared" si="155"/>
        <v>#VALUE!</v>
      </c>
    </row>
    <row r="4944" spans="7:8">
      <c r="G4944" s="63" t="e">
        <f t="shared" si="154"/>
        <v>#VALUE!</v>
      </c>
      <c r="H4944" s="63" t="e">
        <f t="shared" si="155"/>
        <v>#VALUE!</v>
      </c>
    </row>
    <row r="4945" spans="7:8">
      <c r="G4945" s="63" t="e">
        <f t="shared" si="154"/>
        <v>#VALUE!</v>
      </c>
      <c r="H4945" s="63" t="e">
        <f t="shared" si="155"/>
        <v>#VALUE!</v>
      </c>
    </row>
    <row r="4946" spans="7:8">
      <c r="G4946" s="63" t="e">
        <f t="shared" si="154"/>
        <v>#VALUE!</v>
      </c>
      <c r="H4946" s="63" t="e">
        <f t="shared" si="155"/>
        <v>#VALUE!</v>
      </c>
    </row>
    <row r="4947" spans="7:8">
      <c r="G4947" s="63" t="e">
        <f t="shared" si="154"/>
        <v>#VALUE!</v>
      </c>
      <c r="H4947" s="63" t="e">
        <f t="shared" si="155"/>
        <v>#VALUE!</v>
      </c>
    </row>
    <row r="4948" spans="7:8">
      <c r="G4948" s="63" t="e">
        <f t="shared" si="154"/>
        <v>#VALUE!</v>
      </c>
      <c r="H4948" s="63" t="e">
        <f t="shared" si="155"/>
        <v>#VALUE!</v>
      </c>
    </row>
    <row r="4949" spans="7:8">
      <c r="G4949" s="63" t="e">
        <f t="shared" si="154"/>
        <v>#VALUE!</v>
      </c>
      <c r="H4949" s="63" t="e">
        <f t="shared" si="155"/>
        <v>#VALUE!</v>
      </c>
    </row>
    <row r="4950" spans="7:8">
      <c r="G4950" s="63" t="e">
        <f t="shared" si="154"/>
        <v>#VALUE!</v>
      </c>
      <c r="H4950" s="63" t="e">
        <f t="shared" si="155"/>
        <v>#VALUE!</v>
      </c>
    </row>
    <row r="4951" spans="7:8">
      <c r="G4951" s="63" t="e">
        <f t="shared" si="154"/>
        <v>#VALUE!</v>
      </c>
      <c r="H4951" s="63" t="e">
        <f t="shared" si="155"/>
        <v>#VALUE!</v>
      </c>
    </row>
    <row r="4952" spans="7:8">
      <c r="G4952" s="63" t="e">
        <f t="shared" si="154"/>
        <v>#VALUE!</v>
      </c>
      <c r="H4952" s="63" t="e">
        <f t="shared" si="155"/>
        <v>#VALUE!</v>
      </c>
    </row>
    <row r="4953" spans="7:8">
      <c r="G4953" s="63" t="e">
        <f t="shared" si="154"/>
        <v>#VALUE!</v>
      </c>
      <c r="H4953" s="63" t="e">
        <f t="shared" si="155"/>
        <v>#VALUE!</v>
      </c>
    </row>
    <row r="4954" spans="7:8">
      <c r="G4954" s="63" t="e">
        <f t="shared" si="154"/>
        <v>#VALUE!</v>
      </c>
      <c r="H4954" s="63" t="e">
        <f t="shared" si="155"/>
        <v>#VALUE!</v>
      </c>
    </row>
    <row r="4955" spans="7:8">
      <c r="G4955" s="63" t="e">
        <f t="shared" si="154"/>
        <v>#VALUE!</v>
      </c>
      <c r="H4955" s="63" t="e">
        <f t="shared" si="155"/>
        <v>#VALUE!</v>
      </c>
    </row>
    <row r="4956" spans="7:8">
      <c r="G4956" s="63" t="e">
        <f t="shared" si="154"/>
        <v>#VALUE!</v>
      </c>
      <c r="H4956" s="63" t="e">
        <f t="shared" si="155"/>
        <v>#VALUE!</v>
      </c>
    </row>
    <row r="4957" spans="7:8">
      <c r="G4957" s="63" t="e">
        <f t="shared" si="154"/>
        <v>#VALUE!</v>
      </c>
      <c r="H4957" s="63" t="e">
        <f t="shared" si="155"/>
        <v>#VALUE!</v>
      </c>
    </row>
    <row r="4958" spans="7:8">
      <c r="G4958" s="63" t="e">
        <f t="shared" si="154"/>
        <v>#VALUE!</v>
      </c>
      <c r="H4958" s="63" t="e">
        <f t="shared" si="155"/>
        <v>#VALUE!</v>
      </c>
    </row>
    <row r="4959" spans="7:8">
      <c r="G4959" s="63" t="e">
        <f t="shared" si="154"/>
        <v>#VALUE!</v>
      </c>
      <c r="H4959" s="63" t="e">
        <f t="shared" si="155"/>
        <v>#VALUE!</v>
      </c>
    </row>
    <row r="4960" spans="7:8">
      <c r="G4960" s="63" t="e">
        <f t="shared" si="154"/>
        <v>#VALUE!</v>
      </c>
      <c r="H4960" s="63" t="e">
        <f t="shared" si="155"/>
        <v>#VALUE!</v>
      </c>
    </row>
    <row r="4961" spans="7:8">
      <c r="G4961" s="63" t="e">
        <f t="shared" si="154"/>
        <v>#VALUE!</v>
      </c>
      <c r="H4961" s="63" t="e">
        <f t="shared" si="155"/>
        <v>#VALUE!</v>
      </c>
    </row>
    <row r="4962" spans="7:8">
      <c r="G4962" s="63" t="e">
        <f t="shared" si="154"/>
        <v>#VALUE!</v>
      </c>
      <c r="H4962" s="63" t="e">
        <f t="shared" si="155"/>
        <v>#VALUE!</v>
      </c>
    </row>
    <row r="4963" spans="7:8">
      <c r="G4963" s="63" t="e">
        <f t="shared" si="154"/>
        <v>#VALUE!</v>
      </c>
      <c r="H4963" s="63" t="e">
        <f t="shared" si="155"/>
        <v>#VALUE!</v>
      </c>
    </row>
    <row r="4964" spans="7:8">
      <c r="G4964" s="63" t="e">
        <f t="shared" si="154"/>
        <v>#VALUE!</v>
      </c>
      <c r="H4964" s="63" t="e">
        <f t="shared" si="155"/>
        <v>#VALUE!</v>
      </c>
    </row>
    <row r="4965" spans="7:8">
      <c r="G4965" s="63" t="e">
        <f t="shared" si="154"/>
        <v>#VALUE!</v>
      </c>
      <c r="H4965" s="63" t="e">
        <f t="shared" si="155"/>
        <v>#VALUE!</v>
      </c>
    </row>
    <row r="4966" spans="7:8">
      <c r="G4966" s="63" t="e">
        <f t="shared" si="154"/>
        <v>#VALUE!</v>
      </c>
      <c r="H4966" s="63" t="e">
        <f t="shared" si="155"/>
        <v>#VALUE!</v>
      </c>
    </row>
    <row r="4967" spans="7:8">
      <c r="G4967" s="63" t="e">
        <f t="shared" si="154"/>
        <v>#VALUE!</v>
      </c>
      <c r="H4967" s="63" t="e">
        <f t="shared" si="155"/>
        <v>#VALUE!</v>
      </c>
    </row>
    <row r="4968" spans="7:8">
      <c r="G4968" s="63" t="e">
        <f t="shared" si="154"/>
        <v>#VALUE!</v>
      </c>
      <c r="H4968" s="63" t="e">
        <f t="shared" si="155"/>
        <v>#VALUE!</v>
      </c>
    </row>
    <row r="4969" spans="7:8">
      <c r="G4969" s="63" t="e">
        <f t="shared" si="154"/>
        <v>#VALUE!</v>
      </c>
      <c r="H4969" s="63" t="e">
        <f t="shared" si="155"/>
        <v>#VALUE!</v>
      </c>
    </row>
    <row r="4970" spans="7:8">
      <c r="G4970" s="63" t="e">
        <f t="shared" si="154"/>
        <v>#VALUE!</v>
      </c>
      <c r="H4970" s="63" t="e">
        <f t="shared" si="155"/>
        <v>#VALUE!</v>
      </c>
    </row>
    <row r="4971" spans="7:8">
      <c r="G4971" s="63" t="e">
        <f t="shared" si="154"/>
        <v>#VALUE!</v>
      </c>
      <c r="H4971" s="63" t="e">
        <f t="shared" si="155"/>
        <v>#VALUE!</v>
      </c>
    </row>
    <row r="4972" spans="7:8">
      <c r="G4972" s="63" t="e">
        <f t="shared" si="154"/>
        <v>#VALUE!</v>
      </c>
      <c r="H4972" s="63" t="e">
        <f t="shared" si="155"/>
        <v>#VALUE!</v>
      </c>
    </row>
    <row r="4973" spans="7:8">
      <c r="G4973" s="63" t="e">
        <f t="shared" si="154"/>
        <v>#VALUE!</v>
      </c>
      <c r="H4973" s="63" t="e">
        <f t="shared" si="155"/>
        <v>#VALUE!</v>
      </c>
    </row>
    <row r="4974" spans="7:8">
      <c r="G4974" s="63" t="e">
        <f t="shared" si="154"/>
        <v>#VALUE!</v>
      </c>
      <c r="H4974" s="63" t="e">
        <f t="shared" si="155"/>
        <v>#VALUE!</v>
      </c>
    </row>
    <row r="4975" spans="7:8">
      <c r="G4975" s="63" t="e">
        <f t="shared" si="154"/>
        <v>#VALUE!</v>
      </c>
      <c r="H4975" s="63" t="e">
        <f t="shared" si="155"/>
        <v>#VALUE!</v>
      </c>
    </row>
    <row r="4976" spans="7:8">
      <c r="G4976" s="63" t="e">
        <f t="shared" si="154"/>
        <v>#VALUE!</v>
      </c>
      <c r="H4976" s="63" t="e">
        <f t="shared" si="155"/>
        <v>#VALUE!</v>
      </c>
    </row>
    <row r="4977" spans="7:8">
      <c r="G4977" s="63" t="e">
        <f t="shared" si="154"/>
        <v>#VALUE!</v>
      </c>
      <c r="H4977" s="63" t="e">
        <f t="shared" si="155"/>
        <v>#VALUE!</v>
      </c>
    </row>
    <row r="4978" spans="7:8">
      <c r="G4978" s="63" t="e">
        <f t="shared" si="154"/>
        <v>#VALUE!</v>
      </c>
      <c r="H4978" s="63" t="e">
        <f t="shared" si="155"/>
        <v>#VALUE!</v>
      </c>
    </row>
    <row r="4979" spans="7:8">
      <c r="G4979" s="63" t="e">
        <f t="shared" si="154"/>
        <v>#VALUE!</v>
      </c>
      <c r="H4979" s="63" t="e">
        <f t="shared" si="155"/>
        <v>#VALUE!</v>
      </c>
    </row>
    <row r="4980" spans="7:8">
      <c r="G4980" s="63" t="e">
        <f t="shared" si="154"/>
        <v>#VALUE!</v>
      </c>
      <c r="H4980" s="63" t="e">
        <f t="shared" si="155"/>
        <v>#VALUE!</v>
      </c>
    </row>
    <row r="4981" spans="7:8">
      <c r="G4981" s="63" t="e">
        <f t="shared" si="154"/>
        <v>#VALUE!</v>
      </c>
      <c r="H4981" s="63" t="e">
        <f t="shared" si="155"/>
        <v>#VALUE!</v>
      </c>
    </row>
    <row r="4982" spans="7:8">
      <c r="G4982" s="63" t="e">
        <f t="shared" si="154"/>
        <v>#VALUE!</v>
      </c>
      <c r="H4982" s="63" t="e">
        <f t="shared" si="155"/>
        <v>#VALUE!</v>
      </c>
    </row>
    <row r="4983" spans="7:8">
      <c r="G4983" s="63" t="e">
        <f t="shared" si="154"/>
        <v>#VALUE!</v>
      </c>
      <c r="H4983" s="63" t="e">
        <f t="shared" si="155"/>
        <v>#VALUE!</v>
      </c>
    </row>
    <row r="4984" spans="7:8">
      <c r="G4984" s="63" t="e">
        <f t="shared" si="154"/>
        <v>#VALUE!</v>
      </c>
      <c r="H4984" s="63" t="e">
        <f t="shared" si="155"/>
        <v>#VALUE!</v>
      </c>
    </row>
    <row r="4985" spans="7:8">
      <c r="G4985" s="63" t="e">
        <f t="shared" si="154"/>
        <v>#VALUE!</v>
      </c>
      <c r="H4985" s="63" t="e">
        <f t="shared" si="155"/>
        <v>#VALUE!</v>
      </c>
    </row>
    <row r="4986" spans="7:8">
      <c r="G4986" s="63" t="e">
        <f t="shared" si="154"/>
        <v>#VALUE!</v>
      </c>
      <c r="H4986" s="63" t="e">
        <f t="shared" si="155"/>
        <v>#VALUE!</v>
      </c>
    </row>
    <row r="4987" spans="7:8">
      <c r="G4987" s="63" t="e">
        <f t="shared" si="154"/>
        <v>#VALUE!</v>
      </c>
      <c r="H4987" s="63" t="e">
        <f t="shared" si="155"/>
        <v>#VALUE!</v>
      </c>
    </row>
    <row r="4988" spans="7:8">
      <c r="G4988" s="63" t="e">
        <f t="shared" si="154"/>
        <v>#VALUE!</v>
      </c>
      <c r="H4988" s="63" t="e">
        <f t="shared" si="155"/>
        <v>#VALUE!</v>
      </c>
    </row>
    <row r="4989" spans="7:8">
      <c r="G4989" s="63" t="e">
        <f t="shared" si="154"/>
        <v>#VALUE!</v>
      </c>
      <c r="H4989" s="63" t="e">
        <f t="shared" si="155"/>
        <v>#VALUE!</v>
      </c>
    </row>
    <row r="4990" spans="7:8">
      <c r="G4990" s="63" t="e">
        <f t="shared" si="154"/>
        <v>#VALUE!</v>
      </c>
      <c r="H4990" s="63" t="e">
        <f t="shared" si="155"/>
        <v>#VALUE!</v>
      </c>
    </row>
    <row r="4991" spans="7:8">
      <c r="G4991" s="63" t="e">
        <f t="shared" si="154"/>
        <v>#VALUE!</v>
      </c>
      <c r="H4991" s="63" t="e">
        <f t="shared" si="155"/>
        <v>#VALUE!</v>
      </c>
    </row>
    <row r="4992" spans="7:8">
      <c r="G4992" s="63" t="e">
        <f t="shared" si="154"/>
        <v>#VALUE!</v>
      </c>
      <c r="H4992" s="63" t="e">
        <f t="shared" si="155"/>
        <v>#VALUE!</v>
      </c>
    </row>
    <row r="4993" spans="7:8">
      <c r="G4993" s="63" t="e">
        <f t="shared" si="154"/>
        <v>#VALUE!</v>
      </c>
      <c r="H4993" s="63" t="e">
        <f t="shared" si="155"/>
        <v>#VALUE!</v>
      </c>
    </row>
    <row r="4994" spans="7:8">
      <c r="G4994" s="63" t="e">
        <f t="shared" si="154"/>
        <v>#VALUE!</v>
      </c>
      <c r="H4994" s="63" t="e">
        <f t="shared" si="155"/>
        <v>#VALUE!</v>
      </c>
    </row>
    <row r="4995" spans="7:8">
      <c r="G4995" s="63" t="e">
        <f t="shared" ref="G4995:G5000" si="156">IF(OR(A4995="RID_PB77",A4995="RID_PB77A3"),"WPCI77",IF(A4995="RIDTCIAS","CSCI49",IF(A4995="RID_HCPTM","CHCPT_",IF(LEFT(A4995,1)="C",A4995,MID(A4995,6,LEN(A4995)-5)))))</f>
        <v>#VALUE!</v>
      </c>
      <c r="H4995" s="63" t="e">
        <f t="shared" ref="H4995:H5000" si="157">IF(OR(G4995="MJG1",G4995="MJG2"),"MJG",G4995)&amp;"_"&amp;B4995</f>
        <v>#VALUE!</v>
      </c>
    </row>
    <row r="4996" spans="7:8">
      <c r="G4996" s="63" t="e">
        <f t="shared" si="156"/>
        <v>#VALUE!</v>
      </c>
      <c r="H4996" s="63" t="e">
        <f t="shared" si="157"/>
        <v>#VALUE!</v>
      </c>
    </row>
    <row r="4997" spans="7:8">
      <c r="G4997" s="63" t="e">
        <f t="shared" si="156"/>
        <v>#VALUE!</v>
      </c>
      <c r="H4997" s="63" t="e">
        <f t="shared" si="157"/>
        <v>#VALUE!</v>
      </c>
    </row>
    <row r="4998" spans="7:8">
      <c r="G4998" s="63" t="e">
        <f t="shared" si="156"/>
        <v>#VALUE!</v>
      </c>
      <c r="H4998" s="63" t="e">
        <f t="shared" si="157"/>
        <v>#VALUE!</v>
      </c>
    </row>
    <row r="4999" spans="7:8">
      <c r="G4999" s="63" t="e">
        <f t="shared" si="156"/>
        <v>#VALUE!</v>
      </c>
      <c r="H4999" s="63" t="e">
        <f t="shared" si="157"/>
        <v>#VALUE!</v>
      </c>
    </row>
    <row r="5000" spans="7:8">
      <c r="G5000" s="63" t="e">
        <f t="shared" si="156"/>
        <v>#VALUE!</v>
      </c>
      <c r="H5000" s="63" t="e">
        <f t="shared" si="157"/>
        <v>#VALUE!</v>
      </c>
    </row>
  </sheetData>
  <autoFilter ref="A1:H128" xr:uid="{45354508-0717-4CC5-A0CA-B881FD07ABD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F3931-B3D6-4295-9484-34DE407EB97D}">
  <sheetPr codeName="Sheet9"/>
  <dimension ref="A1:H38"/>
  <sheetViews>
    <sheetView zoomScale="80" workbookViewId="0">
      <selection sqref="A1:E1048576"/>
    </sheetView>
  </sheetViews>
  <sheetFormatPr defaultRowHeight="15"/>
  <sheetData>
    <row r="1" spans="1:8">
      <c r="A1" t="s">
        <v>660</v>
      </c>
      <c r="B1" t="s">
        <v>661</v>
      </c>
      <c r="C1" t="s">
        <v>662</v>
      </c>
      <c r="D1" t="s">
        <v>456</v>
      </c>
      <c r="E1" t="s">
        <v>583</v>
      </c>
      <c r="G1" s="64"/>
      <c r="H1" s="64" t="s">
        <v>459</v>
      </c>
    </row>
    <row r="2" spans="1:8">
      <c r="A2" t="s">
        <v>2304</v>
      </c>
      <c r="B2" t="s">
        <v>461</v>
      </c>
      <c r="C2">
        <v>873</v>
      </c>
      <c r="D2">
        <v>10185152000</v>
      </c>
      <c r="E2">
        <v>21825000000</v>
      </c>
      <c r="G2" s="63" t="str">
        <f>IF(OR(A2="RID_PB77",A2="RID_PB77A3"),"WPCI77",IF(A2="RIDTCIAS","CSCI49",IF(A2="RID_HCPTM","CHCPT_",IF(LEFT(A2,1)="C",A2,MID(A2,6,LEN(A2)-5)))))</f>
        <v>CASFM_</v>
      </c>
      <c r="H2" s="63" t="str">
        <f>IF(OR(G2="MJG1",G2="MJG2"),"MJG",G2)&amp;"_"&amp;B2</f>
        <v>CASFM__IDR</v>
      </c>
    </row>
    <row r="3" spans="1:8">
      <c r="A3" t="s">
        <v>2304</v>
      </c>
      <c r="B3" t="s">
        <v>461</v>
      </c>
      <c r="C3">
        <v>188</v>
      </c>
      <c r="D3">
        <v>2139167000</v>
      </c>
      <c r="E3">
        <v>4700000000</v>
      </c>
      <c r="G3" s="63" t="str">
        <f t="shared" ref="G3:G22" si="0">IF(OR(A3="RID_PB77",A3="RID_PB77A3"),"WPCI77",IF(A3="RIDTCIAS","CSCI49",IF(A3="RID_HCPTM","CHCPT_",IF(LEFT(A3,1)="C",A3,MID(A3,6,LEN(A3)-5)))))</f>
        <v>CASFM_</v>
      </c>
      <c r="H3" s="63" t="str">
        <f t="shared" ref="H3:H16" si="1">IF(OR(G3="MJG1",G3="MJG2"),"MJG",G3)&amp;"_"&amp;B3</f>
        <v>CASFM__IDR</v>
      </c>
    </row>
    <row r="4" spans="1:8">
      <c r="A4" t="s">
        <v>2304</v>
      </c>
      <c r="B4" t="s">
        <v>461</v>
      </c>
      <c r="C4">
        <v>805</v>
      </c>
      <c r="D4">
        <v>8705971000</v>
      </c>
      <c r="E4">
        <v>20125000000</v>
      </c>
      <c r="G4" s="63" t="str">
        <f t="shared" si="0"/>
        <v>CASFM_</v>
      </c>
      <c r="H4" s="63" t="str">
        <f t="shared" si="1"/>
        <v>CASFM__IDR</v>
      </c>
    </row>
    <row r="5" spans="1:8">
      <c r="A5" t="s">
        <v>2304</v>
      </c>
      <c r="B5" t="s">
        <v>461</v>
      </c>
      <c r="C5">
        <v>100</v>
      </c>
      <c r="D5">
        <v>984599000</v>
      </c>
      <c r="E5">
        <v>2500000000</v>
      </c>
      <c r="G5" s="63" t="str">
        <f t="shared" si="0"/>
        <v>CASFM_</v>
      </c>
      <c r="H5" s="63" t="str">
        <f t="shared" si="1"/>
        <v>CASFM__IDR</v>
      </c>
    </row>
    <row r="6" spans="1:8">
      <c r="A6" t="s">
        <v>2304</v>
      </c>
      <c r="B6" t="s">
        <v>461</v>
      </c>
      <c r="C6">
        <v>162</v>
      </c>
      <c r="D6">
        <v>1718834000</v>
      </c>
      <c r="E6">
        <v>4050000000</v>
      </c>
      <c r="G6" s="63" t="str">
        <f t="shared" si="0"/>
        <v>CASFM_</v>
      </c>
      <c r="H6" s="63" t="str">
        <f t="shared" si="1"/>
        <v>CASFM__IDR</v>
      </c>
    </row>
    <row r="7" spans="1:8">
      <c r="A7" t="s">
        <v>2303</v>
      </c>
      <c r="B7" t="s">
        <v>461</v>
      </c>
      <c r="C7">
        <v>4238</v>
      </c>
      <c r="D7">
        <v>55278971000</v>
      </c>
      <c r="E7">
        <v>105950000000</v>
      </c>
      <c r="G7" s="63" t="str">
        <f t="shared" si="0"/>
        <v>CALFM_</v>
      </c>
      <c r="H7" s="63" t="str">
        <f t="shared" si="1"/>
        <v>CALFM__IDR</v>
      </c>
    </row>
    <row r="8" spans="1:8">
      <c r="A8" t="s">
        <v>2303</v>
      </c>
      <c r="B8" t="s">
        <v>461</v>
      </c>
      <c r="C8">
        <v>269</v>
      </c>
      <c r="D8">
        <v>3449332000</v>
      </c>
      <c r="E8">
        <v>6725000000</v>
      </c>
      <c r="G8" s="63" t="str">
        <f t="shared" si="0"/>
        <v>CALFM_</v>
      </c>
      <c r="H8" s="63" t="str">
        <f t="shared" si="1"/>
        <v>CALFM__IDR</v>
      </c>
    </row>
    <row r="9" spans="1:8">
      <c r="A9" t="s">
        <v>2303</v>
      </c>
      <c r="B9" t="s">
        <v>461</v>
      </c>
      <c r="C9">
        <v>1545</v>
      </c>
      <c r="D9">
        <v>18016820000</v>
      </c>
      <c r="E9">
        <v>38625000000</v>
      </c>
      <c r="G9" s="63" t="str">
        <f t="shared" si="0"/>
        <v>CALFM_</v>
      </c>
      <c r="H9" s="63" t="str">
        <f t="shared" si="1"/>
        <v>CALFM__IDR</v>
      </c>
    </row>
    <row r="10" spans="1:8">
      <c r="A10" t="s">
        <v>2303</v>
      </c>
      <c r="B10" t="s">
        <v>461</v>
      </c>
      <c r="C10">
        <v>3569</v>
      </c>
      <c r="D10">
        <v>41436629000</v>
      </c>
      <c r="E10">
        <v>89225000000</v>
      </c>
      <c r="G10" s="63" t="str">
        <f t="shared" si="0"/>
        <v>CALFM_</v>
      </c>
      <c r="H10" s="63" t="str">
        <f t="shared" si="1"/>
        <v>CALFM__IDR</v>
      </c>
    </row>
    <row r="11" spans="1:8">
      <c r="A11" t="s">
        <v>2303</v>
      </c>
      <c r="B11" t="s">
        <v>461</v>
      </c>
      <c r="C11">
        <v>1605</v>
      </c>
      <c r="D11">
        <v>17717653000</v>
      </c>
      <c r="E11">
        <v>40125000000</v>
      </c>
      <c r="G11" s="63" t="str">
        <f t="shared" si="0"/>
        <v>CALFM_</v>
      </c>
      <c r="H11" s="63" t="str">
        <f t="shared" si="1"/>
        <v>CALFM__IDR</v>
      </c>
    </row>
    <row r="12" spans="1:8">
      <c r="A12" t="s">
        <v>2303</v>
      </c>
      <c r="B12" t="s">
        <v>461</v>
      </c>
      <c r="C12">
        <v>331</v>
      </c>
      <c r="D12">
        <v>3786976000</v>
      </c>
      <c r="E12">
        <v>8275000000</v>
      </c>
      <c r="G12" s="63" t="str">
        <f t="shared" si="0"/>
        <v>CALFM_</v>
      </c>
      <c r="H12" s="63" t="str">
        <f t="shared" si="1"/>
        <v>CALFM__IDR</v>
      </c>
    </row>
    <row r="13" spans="1:8">
      <c r="A13" t="s">
        <v>2304</v>
      </c>
      <c r="B13" t="s">
        <v>461</v>
      </c>
      <c r="C13">
        <v>84</v>
      </c>
      <c r="D13">
        <v>874140000</v>
      </c>
      <c r="E13">
        <v>2100000000</v>
      </c>
      <c r="G13" s="63" t="str">
        <f t="shared" si="0"/>
        <v>CASFM_</v>
      </c>
      <c r="H13" s="63" t="str">
        <f t="shared" si="1"/>
        <v>CASFM__IDR</v>
      </c>
    </row>
    <row r="14" spans="1:8">
      <c r="A14" t="s">
        <v>289</v>
      </c>
      <c r="B14" t="s">
        <v>461</v>
      </c>
      <c r="C14">
        <v>2966</v>
      </c>
      <c r="D14">
        <v>33605970000</v>
      </c>
      <c r="E14">
        <v>0</v>
      </c>
      <c r="G14" s="63" t="str">
        <f t="shared" si="0"/>
        <v>CSHCPP</v>
      </c>
      <c r="H14" s="63" t="str">
        <f t="shared" si="1"/>
        <v>CSHCPP_IDR</v>
      </c>
    </row>
    <row r="15" spans="1:8">
      <c r="A15" t="s">
        <v>289</v>
      </c>
      <c r="B15" t="s">
        <v>461</v>
      </c>
      <c r="C15">
        <v>1050</v>
      </c>
      <c r="D15">
        <v>11777756100</v>
      </c>
      <c r="E15">
        <v>0</v>
      </c>
      <c r="G15" s="63" t="str">
        <f t="shared" si="0"/>
        <v>CSHCPP</v>
      </c>
      <c r="H15" s="63" t="str">
        <f t="shared" si="1"/>
        <v>CSHCPP_IDR</v>
      </c>
    </row>
    <row r="16" spans="1:8">
      <c r="A16" t="s">
        <v>289</v>
      </c>
      <c r="B16" t="s">
        <v>461</v>
      </c>
      <c r="C16">
        <v>2485</v>
      </c>
      <c r="D16">
        <v>27598834600</v>
      </c>
      <c r="E16">
        <v>0</v>
      </c>
      <c r="G16" s="63" t="str">
        <f t="shared" si="0"/>
        <v>CSHCPP</v>
      </c>
      <c r="H16" s="63" t="str">
        <f t="shared" si="1"/>
        <v>CSHCPP_IDR</v>
      </c>
    </row>
    <row r="17" spans="1:8">
      <c r="A17" t="s">
        <v>289</v>
      </c>
      <c r="B17" t="s">
        <v>461</v>
      </c>
      <c r="C17">
        <v>32</v>
      </c>
      <c r="D17">
        <v>332403600</v>
      </c>
      <c r="E17">
        <v>0</v>
      </c>
      <c r="G17" s="63" t="str">
        <f t="shared" si="0"/>
        <v>CSHCPP</v>
      </c>
      <c r="H17" s="63" t="str">
        <f t="shared" ref="H17:H22" si="2">IF(OR(G17="MJG1",G17="MJG2"),"MJG",G17)&amp;"_"&amp;B17</f>
        <v>CSHCPP_IDR</v>
      </c>
    </row>
    <row r="18" spans="1:8">
      <c r="A18" t="s">
        <v>289</v>
      </c>
      <c r="B18" t="s">
        <v>461</v>
      </c>
      <c r="C18">
        <v>659</v>
      </c>
      <c r="D18">
        <v>7945401000.1199999</v>
      </c>
      <c r="E18">
        <v>0</v>
      </c>
      <c r="G18" s="63" t="str">
        <f t="shared" si="0"/>
        <v>CSHCPP</v>
      </c>
      <c r="H18" s="63" t="str">
        <f t="shared" si="2"/>
        <v>CSHCPP_IDR</v>
      </c>
    </row>
    <row r="19" spans="1:8">
      <c r="A19" t="s">
        <v>289</v>
      </c>
      <c r="B19" t="s">
        <v>461</v>
      </c>
      <c r="C19">
        <v>407</v>
      </c>
      <c r="D19">
        <v>5017923800</v>
      </c>
      <c r="E19">
        <v>0</v>
      </c>
      <c r="G19" s="63" t="str">
        <f t="shared" si="0"/>
        <v>CSHCPP</v>
      </c>
      <c r="H19" s="63" t="str">
        <f t="shared" si="2"/>
        <v>CSHCPP_IDR</v>
      </c>
    </row>
    <row r="20" spans="1:8">
      <c r="A20" t="s">
        <v>289</v>
      </c>
      <c r="B20" t="s">
        <v>461</v>
      </c>
      <c r="C20">
        <v>199</v>
      </c>
      <c r="D20">
        <v>1967872050</v>
      </c>
      <c r="E20">
        <v>0</v>
      </c>
      <c r="G20" s="63" t="str">
        <f t="shared" si="0"/>
        <v>CSHCPP</v>
      </c>
      <c r="H20" s="63" t="str">
        <f t="shared" si="2"/>
        <v>CSHCPP_IDR</v>
      </c>
    </row>
    <row r="21" spans="1:8">
      <c r="A21" t="s">
        <v>289</v>
      </c>
      <c r="B21" t="s">
        <v>461</v>
      </c>
      <c r="C21">
        <v>109</v>
      </c>
      <c r="D21">
        <v>1211578200</v>
      </c>
      <c r="E21">
        <v>0</v>
      </c>
      <c r="G21" s="63" t="str">
        <f t="shared" si="0"/>
        <v>CSHCPP</v>
      </c>
      <c r="H21" s="63" t="str">
        <f t="shared" si="2"/>
        <v>CSHCPP_IDR</v>
      </c>
    </row>
    <row r="22" spans="1:8">
      <c r="A22" t="s">
        <v>289</v>
      </c>
      <c r="B22" t="s">
        <v>461</v>
      </c>
      <c r="C22">
        <v>95</v>
      </c>
      <c r="D22">
        <v>1045286100</v>
      </c>
      <c r="E22">
        <v>0</v>
      </c>
      <c r="G22" s="63" t="str">
        <f t="shared" si="0"/>
        <v>CSHCPP</v>
      </c>
      <c r="H22" s="63" t="str">
        <f t="shared" si="2"/>
        <v>CSHCPP_IDR</v>
      </c>
    </row>
    <row r="23" spans="1:8">
      <c r="A23" t="s">
        <v>289</v>
      </c>
      <c r="B23" t="s">
        <v>461</v>
      </c>
      <c r="C23">
        <v>14</v>
      </c>
      <c r="D23">
        <v>157421400</v>
      </c>
      <c r="E23">
        <v>0</v>
      </c>
      <c r="G23" s="63" t="str">
        <f t="shared" ref="G23:G27" si="3">IF(OR(A23="RID_PB77",A23="RID_PB77A3"),"WPCI77",IF(A23="RIDTCIAS","CSCI49",IF(A23="RID_HCPTM","CHCPT_",IF(LEFT(A23,1)="C",A23,MID(A23,6,LEN(A23)-5)))))</f>
        <v>CSHCPP</v>
      </c>
      <c r="H23" s="63" t="str">
        <f t="shared" ref="H23:H27" si="4">IF(OR(G23="MJG1",G23="MJG2"),"MJG",G23)&amp;"_"&amp;B23</f>
        <v>CSHCPP_IDR</v>
      </c>
    </row>
    <row r="24" spans="1:8">
      <c r="A24" t="s">
        <v>289</v>
      </c>
      <c r="B24" t="s">
        <v>461</v>
      </c>
      <c r="C24">
        <v>40</v>
      </c>
      <c r="D24">
        <v>552185500</v>
      </c>
      <c r="E24">
        <v>0</v>
      </c>
      <c r="G24" s="63" t="str">
        <f t="shared" si="3"/>
        <v>CSHCPP</v>
      </c>
      <c r="H24" s="63" t="str">
        <f t="shared" si="4"/>
        <v>CSHCPP_IDR</v>
      </c>
    </row>
    <row r="25" spans="1:8">
      <c r="A25" t="s">
        <v>289</v>
      </c>
      <c r="B25" t="s">
        <v>461</v>
      </c>
      <c r="C25">
        <v>53</v>
      </c>
      <c r="D25">
        <v>585814200</v>
      </c>
      <c r="E25">
        <v>0</v>
      </c>
      <c r="G25" s="63" t="str">
        <f t="shared" si="3"/>
        <v>CSHCPP</v>
      </c>
      <c r="H25" s="63" t="str">
        <f t="shared" si="4"/>
        <v>CSHCPP_IDR</v>
      </c>
    </row>
    <row r="26" spans="1:8">
      <c r="A26" t="s">
        <v>289</v>
      </c>
      <c r="B26" t="s">
        <v>461</v>
      </c>
      <c r="C26">
        <v>12</v>
      </c>
      <c r="D26">
        <v>142737000</v>
      </c>
      <c r="E26">
        <v>0</v>
      </c>
      <c r="G26" s="63" t="str">
        <f t="shared" si="3"/>
        <v>CSHCPP</v>
      </c>
      <c r="H26" s="63" t="str">
        <f t="shared" si="4"/>
        <v>CSHCPP_IDR</v>
      </c>
    </row>
    <row r="27" spans="1:8">
      <c r="A27" t="s">
        <v>289</v>
      </c>
      <c r="B27" t="s">
        <v>461</v>
      </c>
      <c r="C27">
        <v>11</v>
      </c>
      <c r="D27">
        <v>133568400</v>
      </c>
      <c r="E27">
        <v>0</v>
      </c>
      <c r="G27" s="63" t="str">
        <f t="shared" si="3"/>
        <v>CSHCPP</v>
      </c>
      <c r="H27" s="63" t="str">
        <f t="shared" si="4"/>
        <v>CSHCPP_IDR</v>
      </c>
    </row>
    <row r="28" spans="1:8">
      <c r="A28" t="s">
        <v>289</v>
      </c>
      <c r="B28" t="s">
        <v>461</v>
      </c>
      <c r="C28">
        <v>2</v>
      </c>
      <c r="D28">
        <v>10812000</v>
      </c>
      <c r="E28">
        <v>0</v>
      </c>
      <c r="G28" s="63" t="str">
        <f t="shared" ref="G28" si="5">IF(OR(A28="RID_PB77",A28="RID_PB77A3"),"WPCI77",IF(A28="RIDTCIAS","CSCI49",IF(A28="RID_HCPTM","CHCPT_",IF(LEFT(A28,1)="C",A28,MID(A28,6,LEN(A28)-5)))))</f>
        <v>CSHCPP</v>
      </c>
      <c r="H28" s="63" t="str">
        <f t="shared" ref="H28" si="6">IF(OR(G28="MJG1",G28="MJG2"),"MJG",G28)&amp;"_"&amp;B28</f>
        <v>CSHCPP_IDR</v>
      </c>
    </row>
    <row r="29" spans="1:8">
      <c r="A29" t="s">
        <v>327</v>
      </c>
      <c r="B29" t="s">
        <v>461</v>
      </c>
      <c r="C29">
        <v>11</v>
      </c>
      <c r="D29">
        <v>15390000</v>
      </c>
      <c r="E29">
        <v>618889</v>
      </c>
      <c r="G29" s="63" t="str">
        <f t="shared" ref="G29:G38" si="7">IF(OR(A29="RID_PB77",A29="RID_PB77A3"),"WPCI77",IF(A29="RIDTCIAS","CSCI49",IF(A29="RID_HCPTM","CHCPT_",IF(LEFT(A29,1)="C",A29,MID(A29,6,LEN(A29)-5)))))</f>
        <v>CHEAZH</v>
      </c>
      <c r="H29" s="63" t="str">
        <f t="shared" ref="H29:H38" si="8">IF(OR(G29="MJG1",G29="MJG2"),"MJG",G29)&amp;"_"&amp;B29</f>
        <v>CHEAZH_IDR</v>
      </c>
    </row>
    <row r="30" spans="1:8">
      <c r="A30" t="s">
        <v>327</v>
      </c>
      <c r="B30" t="s">
        <v>461</v>
      </c>
      <c r="C30">
        <v>7</v>
      </c>
      <c r="D30">
        <v>9099000</v>
      </c>
      <c r="E30">
        <v>389435</v>
      </c>
      <c r="G30" s="63" t="str">
        <f t="shared" si="7"/>
        <v>CHEAZH</v>
      </c>
      <c r="H30" s="63" t="str">
        <f t="shared" si="8"/>
        <v>CHEAZH_IDR</v>
      </c>
    </row>
    <row r="31" spans="1:8">
      <c r="A31" t="s">
        <v>292</v>
      </c>
      <c r="B31" t="s">
        <v>461</v>
      </c>
      <c r="C31">
        <v>560</v>
      </c>
      <c r="D31">
        <v>2341881600</v>
      </c>
      <c r="E31">
        <v>285400000</v>
      </c>
      <c r="G31" s="63" t="str">
        <f t="shared" si="7"/>
        <v>CHEAZY</v>
      </c>
      <c r="H31" s="63" t="str">
        <f t="shared" si="8"/>
        <v>CHEAZY_IDR</v>
      </c>
    </row>
    <row r="32" spans="1:8">
      <c r="A32" t="s">
        <v>292</v>
      </c>
      <c r="B32" t="s">
        <v>461</v>
      </c>
      <c r="C32">
        <v>16</v>
      </c>
      <c r="D32">
        <v>52348800</v>
      </c>
      <c r="E32">
        <v>6000000</v>
      </c>
      <c r="G32" s="63" t="str">
        <f t="shared" si="7"/>
        <v>CHEAZY</v>
      </c>
      <c r="H32" s="63" t="str">
        <f t="shared" si="8"/>
        <v>CHEAZY_IDR</v>
      </c>
    </row>
    <row r="33" spans="1:8">
      <c r="A33" t="s">
        <v>292</v>
      </c>
      <c r="B33" t="s">
        <v>461</v>
      </c>
      <c r="C33">
        <v>1067</v>
      </c>
      <c r="D33">
        <v>3739795200</v>
      </c>
      <c r="E33">
        <v>333200000</v>
      </c>
      <c r="G33" s="63" t="str">
        <f t="shared" si="7"/>
        <v>CHEAZY</v>
      </c>
      <c r="H33" s="63" t="str">
        <f t="shared" si="8"/>
        <v>CHEAZY_IDR</v>
      </c>
    </row>
    <row r="34" spans="1:8">
      <c r="A34" t="s">
        <v>292</v>
      </c>
      <c r="B34" t="s">
        <v>461</v>
      </c>
      <c r="C34">
        <v>133</v>
      </c>
      <c r="D34">
        <v>618506400</v>
      </c>
      <c r="E34">
        <v>74400000</v>
      </c>
      <c r="G34" s="63" t="str">
        <f t="shared" si="7"/>
        <v>CHEAZY</v>
      </c>
      <c r="H34" s="63" t="str">
        <f t="shared" si="8"/>
        <v>CHEAZY_IDR</v>
      </c>
    </row>
    <row r="35" spans="1:8">
      <c r="A35" t="s">
        <v>292</v>
      </c>
      <c r="B35" t="s">
        <v>461</v>
      </c>
      <c r="C35">
        <v>78</v>
      </c>
      <c r="D35">
        <v>273914400</v>
      </c>
      <c r="E35">
        <v>25000000</v>
      </c>
      <c r="G35" s="63" t="str">
        <f t="shared" si="7"/>
        <v>CHEAZY</v>
      </c>
      <c r="H35" s="63" t="str">
        <f t="shared" si="8"/>
        <v>CHEAZY_IDR</v>
      </c>
    </row>
    <row r="36" spans="1:8">
      <c r="A36" t="s">
        <v>292</v>
      </c>
      <c r="B36" t="s">
        <v>461</v>
      </c>
      <c r="C36">
        <v>179</v>
      </c>
      <c r="D36">
        <v>809241600</v>
      </c>
      <c r="E36">
        <v>86400000</v>
      </c>
      <c r="G36" s="63" t="str">
        <f t="shared" si="7"/>
        <v>CHEAZY</v>
      </c>
      <c r="H36" s="63" t="str">
        <f t="shared" si="8"/>
        <v>CHEAZY_IDR</v>
      </c>
    </row>
    <row r="37" spans="1:8">
      <c r="A37" t="s">
        <v>292</v>
      </c>
      <c r="B37" t="s">
        <v>461</v>
      </c>
      <c r="C37">
        <v>26</v>
      </c>
      <c r="D37">
        <v>97079000</v>
      </c>
      <c r="E37">
        <v>10900000</v>
      </c>
      <c r="G37" s="63" t="str">
        <f t="shared" si="7"/>
        <v>CHEAZY</v>
      </c>
      <c r="H37" s="63" t="str">
        <f t="shared" si="8"/>
        <v>CHEAZY_IDR</v>
      </c>
    </row>
    <row r="38" spans="1:8">
      <c r="A38" t="s">
        <v>292</v>
      </c>
      <c r="B38" t="s">
        <v>461</v>
      </c>
      <c r="C38">
        <v>25</v>
      </c>
      <c r="D38">
        <v>86833200</v>
      </c>
      <c r="E38">
        <v>8100000</v>
      </c>
      <c r="G38" s="63" t="str">
        <f t="shared" si="7"/>
        <v>CHEAZY</v>
      </c>
      <c r="H38" s="63" t="str">
        <f t="shared" si="8"/>
        <v>CHEAZY_IDR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B9367-9E91-4604-A002-415C7BE02ABB}">
  <sheetPr codeName="Sheet5"/>
  <dimension ref="A1:L5000"/>
  <sheetViews>
    <sheetView topLeftCell="A458" zoomScale="80" zoomScaleNormal="80" workbookViewId="0">
      <selection activeCell="H479" sqref="H479:H480"/>
    </sheetView>
  </sheetViews>
  <sheetFormatPr defaultRowHeight="15"/>
  <cols>
    <col min="8" max="8" width="16.85546875" customWidth="1"/>
    <col min="9" max="9" width="14.5703125" bestFit="1" customWidth="1"/>
  </cols>
  <sheetData>
    <row r="1" spans="1:12">
      <c r="A1" t="s">
        <v>663</v>
      </c>
      <c r="B1" t="s">
        <v>664</v>
      </c>
      <c r="C1" t="s">
        <v>665</v>
      </c>
      <c r="D1" t="s">
        <v>666</v>
      </c>
      <c r="E1" t="s">
        <v>667</v>
      </c>
      <c r="F1" t="s">
        <v>668</v>
      </c>
      <c r="H1" s="65" t="s">
        <v>459</v>
      </c>
      <c r="I1" s="66"/>
    </row>
    <row r="2" spans="1:12">
      <c r="A2" t="s">
        <v>670</v>
      </c>
      <c r="B2" t="s">
        <v>671</v>
      </c>
      <c r="C2">
        <v>23</v>
      </c>
      <c r="D2">
        <v>197648000</v>
      </c>
      <c r="E2">
        <v>1500000000</v>
      </c>
      <c r="F2">
        <v>798462549</v>
      </c>
      <c r="H2" s="66" t="str">
        <f>IF(OR(LEFT(B2,FIND("_",B2,1)-1)="ULGALLOC",LEFT(B2,FIND("_",B2,1)-1)="ULSPOOL"),LEFT(B2,FIND("_",B2,1)-1),VLOOKUP(LEFT(A2,6),'Code Library'!$D$3:$E$200,2,0))&amp;"_"&amp;RIGHT(A2,3)</f>
        <v>ATSBH_IDR</v>
      </c>
      <c r="I2" s="66" t="str">
        <f>A2</f>
        <v>UEATSB_IDR</v>
      </c>
      <c r="L2" t="e">
        <v>#N/A</v>
      </c>
    </row>
    <row r="3" spans="1:12">
      <c r="A3" t="s">
        <v>670</v>
      </c>
      <c r="B3" t="s">
        <v>672</v>
      </c>
      <c r="C3">
        <v>13</v>
      </c>
      <c r="D3">
        <v>112706000</v>
      </c>
      <c r="E3">
        <v>1315000000</v>
      </c>
      <c r="F3">
        <v>693618831</v>
      </c>
      <c r="H3" s="66" t="str">
        <f>IF(OR(LEFT(B3,FIND("_",B3,1)-1)="ULGALLOC",LEFT(B3,FIND("_",B3,1)-1)="ULSPOOL"),LEFT(B3,FIND("_",B3,1)-1),VLOOKUP(LEFT(A3,6),'Code Library'!$D$3:$E$200,2,0))&amp;"_"&amp;RIGHT(A3,3)</f>
        <v>ATSBH_IDR</v>
      </c>
      <c r="I3" s="66" t="str">
        <f t="shared" ref="I3:I66" si="0">A3</f>
        <v>UEATSB_IDR</v>
      </c>
      <c r="L3" t="s">
        <v>1919</v>
      </c>
    </row>
    <row r="4" spans="1:12">
      <c r="A4" t="s">
        <v>670</v>
      </c>
      <c r="B4" t="s">
        <v>673</v>
      </c>
      <c r="C4">
        <v>13</v>
      </c>
      <c r="D4">
        <v>87598200</v>
      </c>
      <c r="E4">
        <v>843000000</v>
      </c>
      <c r="F4">
        <v>307490757</v>
      </c>
      <c r="H4" s="66" t="str">
        <f>IF(OR(LEFT(B4,FIND("_",B4,1)-1)="ULGALLOC",LEFT(B4,FIND("_",B4,1)-1)="ULSPOOL"),LEFT(B4,FIND("_",B4,1)-1),VLOOKUP(LEFT(A4,6),'Code Library'!$D$3:$E$200,2,0))&amp;"_"&amp;RIGHT(A4,3)</f>
        <v>ATSBH_IDR</v>
      </c>
      <c r="I4" s="66" t="str">
        <f t="shared" si="0"/>
        <v>UEATSB_IDR</v>
      </c>
      <c r="L4" t="s">
        <v>1920</v>
      </c>
    </row>
    <row r="5" spans="1:12">
      <c r="A5" t="s">
        <v>670</v>
      </c>
      <c r="B5" t="s">
        <v>674</v>
      </c>
      <c r="C5">
        <v>6</v>
      </c>
      <c r="D5">
        <v>158726400</v>
      </c>
      <c r="E5">
        <v>708000000</v>
      </c>
      <c r="F5">
        <v>310283852</v>
      </c>
      <c r="H5" s="66" t="str">
        <f>IF(OR(LEFT(B5,FIND("_",B5,1)-1)="ULGALLOC",LEFT(B5,FIND("_",B5,1)-1)="ULSPOOL"),LEFT(B5,FIND("_",B5,1)-1),VLOOKUP(LEFT(A5,6),'Code Library'!$D$3:$E$200,2,0))&amp;"_"&amp;RIGHT(A5,3)</f>
        <v>ATSBH_IDR</v>
      </c>
      <c r="I5" s="66" t="str">
        <f t="shared" si="0"/>
        <v>UEATSB_IDR</v>
      </c>
      <c r="L5" t="s">
        <v>1921</v>
      </c>
    </row>
    <row r="6" spans="1:12">
      <c r="A6" t="s">
        <v>670</v>
      </c>
      <c r="B6" t="s">
        <v>675</v>
      </c>
      <c r="C6">
        <v>4</v>
      </c>
      <c r="D6">
        <v>145206000</v>
      </c>
      <c r="E6">
        <v>1650000000</v>
      </c>
      <c r="F6">
        <v>1248406551</v>
      </c>
      <c r="H6" s="66" t="str">
        <f>IF(OR(LEFT(B6,FIND("_",B6,1)-1)="ULGALLOC",LEFT(B6,FIND("_",B6,1)-1)="ULSPOOL"),LEFT(B6,FIND("_",B6,1)-1),VLOOKUP(LEFT(A6,6),'Code Library'!$D$3:$E$200,2,0))&amp;"_"&amp;RIGHT(A6,3)</f>
        <v>ATSBH_IDR</v>
      </c>
      <c r="I6" s="66" t="str">
        <f t="shared" si="0"/>
        <v>UEATSB_IDR</v>
      </c>
      <c r="L6" t="s">
        <v>1922</v>
      </c>
    </row>
    <row r="7" spans="1:12">
      <c r="A7" t="s">
        <v>670</v>
      </c>
      <c r="B7" t="s">
        <v>676</v>
      </c>
      <c r="C7">
        <v>16</v>
      </c>
      <c r="D7">
        <v>158728000</v>
      </c>
      <c r="E7">
        <v>1141000000</v>
      </c>
      <c r="F7">
        <v>738009241</v>
      </c>
      <c r="H7" s="66" t="str">
        <f>IF(OR(LEFT(B7,FIND("_",B7,1)-1)="ULGALLOC",LEFT(B7,FIND("_",B7,1)-1)="ULSPOOL"),LEFT(B7,FIND("_",B7,1)-1),VLOOKUP(LEFT(A7,6),'Code Library'!$D$3:$E$200,2,0))&amp;"_"&amp;RIGHT(A7,3)</f>
        <v>ATSBH_IDR</v>
      </c>
      <c r="I7" s="66" t="str">
        <f t="shared" si="0"/>
        <v>UEATSB_IDR</v>
      </c>
      <c r="L7" t="s">
        <v>1923</v>
      </c>
    </row>
    <row r="8" spans="1:12">
      <c r="A8" t="s">
        <v>670</v>
      </c>
      <c r="B8" t="s">
        <v>677</v>
      </c>
      <c r="C8">
        <v>7</v>
      </c>
      <c r="D8">
        <v>112518000</v>
      </c>
      <c r="E8">
        <v>590000000</v>
      </c>
      <c r="F8">
        <v>223019701</v>
      </c>
      <c r="H8" s="66" t="str">
        <f>IF(OR(LEFT(B8,FIND("_",B8,1)-1)="ULGALLOC",LEFT(B8,FIND("_",B8,1)-1)="ULSPOOL"),LEFT(B8,FIND("_",B8,1)-1),VLOOKUP(LEFT(A8,6),'Code Library'!$D$3:$E$200,2,0))&amp;"_"&amp;RIGHT(A8,3)</f>
        <v>ATSBH_IDR</v>
      </c>
      <c r="I8" s="66" t="str">
        <f t="shared" si="0"/>
        <v>UEATSB_IDR</v>
      </c>
      <c r="L8" t="s">
        <v>1924</v>
      </c>
    </row>
    <row r="9" spans="1:12">
      <c r="A9" t="s">
        <v>670</v>
      </c>
      <c r="B9" t="s">
        <v>678</v>
      </c>
      <c r="C9">
        <v>14</v>
      </c>
      <c r="D9">
        <v>122308000</v>
      </c>
      <c r="E9">
        <v>760000000</v>
      </c>
      <c r="F9">
        <v>333991037</v>
      </c>
      <c r="H9" s="66" t="str">
        <f>IF(OR(LEFT(B9,FIND("_",B9,1)-1)="ULGALLOC",LEFT(B9,FIND("_",B9,1)-1)="ULSPOOL"),LEFT(B9,FIND("_",B9,1)-1),VLOOKUP(LEFT(A9,6),'Code Library'!$D$3:$E$200,2,0))&amp;"_"&amp;RIGHT(A9,3)</f>
        <v>ATSBH_IDR</v>
      </c>
      <c r="I9" s="66" t="str">
        <f t="shared" si="0"/>
        <v>UEATSB_IDR</v>
      </c>
      <c r="L9" t="s">
        <v>1925</v>
      </c>
    </row>
    <row r="10" spans="1:12">
      <c r="A10" t="s">
        <v>670</v>
      </c>
      <c r="B10" t="s">
        <v>679</v>
      </c>
      <c r="C10">
        <v>8</v>
      </c>
      <c r="D10">
        <v>82680000</v>
      </c>
      <c r="E10">
        <v>455000000</v>
      </c>
      <c r="F10">
        <v>203461422</v>
      </c>
      <c r="H10" s="66" t="str">
        <f>IF(OR(LEFT(B10,FIND("_",B10,1)-1)="ULGALLOC",LEFT(B10,FIND("_",B10,1)-1)="ULSPOOL"),LEFT(B10,FIND("_",B10,1)-1),VLOOKUP(LEFT(A10,6),'Code Library'!$D$3:$E$200,2,0))&amp;"_"&amp;RIGHT(A10,3)</f>
        <v>ATSBH_IDR</v>
      </c>
      <c r="I10" s="66" t="str">
        <f t="shared" si="0"/>
        <v>UEATSB_IDR</v>
      </c>
      <c r="L10" t="s">
        <v>1926</v>
      </c>
    </row>
    <row r="11" spans="1:12">
      <c r="A11" t="s">
        <v>670</v>
      </c>
      <c r="B11" t="s">
        <v>680</v>
      </c>
      <c r="C11">
        <v>4</v>
      </c>
      <c r="D11">
        <v>26520000</v>
      </c>
      <c r="E11">
        <v>200000000</v>
      </c>
      <c r="F11">
        <v>74838002</v>
      </c>
      <c r="H11" s="66" t="str">
        <f>IF(OR(LEFT(B11,FIND("_",B11,1)-1)="ULGALLOC",LEFT(B11,FIND("_",B11,1)-1)="ULSPOOL"),LEFT(B11,FIND("_",B11,1)-1),VLOOKUP(LEFT(A11,6),'Code Library'!$D$3:$E$200,2,0))&amp;"_"&amp;RIGHT(A11,3)</f>
        <v>ATSBH_IDR</v>
      </c>
      <c r="I11" s="66" t="str">
        <f t="shared" si="0"/>
        <v>UEATSB_IDR</v>
      </c>
      <c r="L11" t="s">
        <v>1927</v>
      </c>
    </row>
    <row r="12" spans="1:12">
      <c r="A12" t="s">
        <v>670</v>
      </c>
      <c r="B12" t="s">
        <v>681</v>
      </c>
      <c r="C12">
        <v>18</v>
      </c>
      <c r="D12">
        <v>152713800</v>
      </c>
      <c r="E12">
        <v>1035000000</v>
      </c>
      <c r="F12">
        <v>596230674</v>
      </c>
      <c r="H12" s="66" t="str">
        <f>IF(OR(LEFT(B12,FIND("_",B12,1)-1)="ULGALLOC",LEFT(B12,FIND("_",B12,1)-1)="ULSPOOL"),LEFT(B12,FIND("_",B12,1)-1),VLOOKUP(LEFT(A12,6),'Code Library'!$D$3:$E$200,2,0))&amp;"_"&amp;RIGHT(A12,3)</f>
        <v>ATSBH_IDR</v>
      </c>
      <c r="I12" s="66" t="str">
        <f t="shared" si="0"/>
        <v>UEATSB_IDR</v>
      </c>
      <c r="L12" t="s">
        <v>1928</v>
      </c>
    </row>
    <row r="13" spans="1:12">
      <c r="A13" t="s">
        <v>670</v>
      </c>
      <c r="B13" t="s">
        <v>682</v>
      </c>
      <c r="C13">
        <v>1</v>
      </c>
      <c r="D13">
        <v>5220000</v>
      </c>
      <c r="E13">
        <v>50000000</v>
      </c>
      <c r="F13">
        <v>34693192</v>
      </c>
      <c r="H13" s="66" t="str">
        <f>IF(OR(LEFT(B13,FIND("_",B13,1)-1)="ULGALLOC",LEFT(B13,FIND("_",B13,1)-1)="ULSPOOL"),LEFT(B13,FIND("_",B13,1)-1),VLOOKUP(LEFT(A13,6),'Code Library'!$D$3:$E$200,2,0))&amp;"_"&amp;RIGHT(A13,3)</f>
        <v>ATSBH_IDR</v>
      </c>
      <c r="I13" s="66" t="str">
        <f t="shared" si="0"/>
        <v>UEATSB_IDR</v>
      </c>
      <c r="L13" t="s">
        <v>1929</v>
      </c>
    </row>
    <row r="14" spans="1:12">
      <c r="A14" t="s">
        <v>670</v>
      </c>
      <c r="B14" t="s">
        <v>683</v>
      </c>
      <c r="C14">
        <v>1</v>
      </c>
      <c r="D14">
        <v>15014400</v>
      </c>
      <c r="E14">
        <v>68000000</v>
      </c>
      <c r="F14">
        <v>27890137</v>
      </c>
      <c r="H14" s="66" t="str">
        <f>IF(OR(LEFT(B14,FIND("_",B14,1)-1)="ULGALLOC",LEFT(B14,FIND("_",B14,1)-1)="ULSPOOL"),LEFT(B14,FIND("_",B14,1)-1),VLOOKUP(LEFT(A14,6),'Code Library'!$D$3:$E$200,2,0))&amp;"_"&amp;RIGHT(A14,3)</f>
        <v>ATSBH_IDR</v>
      </c>
      <c r="I14" s="66" t="str">
        <f t="shared" si="0"/>
        <v>UEATSB_IDR</v>
      </c>
      <c r="L14" t="s">
        <v>1930</v>
      </c>
    </row>
    <row r="15" spans="1:12">
      <c r="A15" t="s">
        <v>670</v>
      </c>
      <c r="B15" t="s">
        <v>684</v>
      </c>
      <c r="C15">
        <v>1</v>
      </c>
      <c r="D15">
        <v>22800000</v>
      </c>
      <c r="E15">
        <v>100000000</v>
      </c>
      <c r="F15">
        <v>41790101</v>
      </c>
      <c r="H15" s="66" t="str">
        <f>IF(OR(LEFT(B15,FIND("_",B15,1)-1)="ULGALLOC",LEFT(B15,FIND("_",B15,1)-1)="ULSPOOL"),LEFT(B15,FIND("_",B15,1)-1),VLOOKUP(LEFT(A15,6),'Code Library'!$D$3:$E$200,2,0))&amp;"_"&amp;RIGHT(A15,3)</f>
        <v>ATSBH_IDR</v>
      </c>
      <c r="I15" s="66" t="str">
        <f t="shared" si="0"/>
        <v>UEATSB_IDR</v>
      </c>
      <c r="L15" t="s">
        <v>1931</v>
      </c>
    </row>
    <row r="16" spans="1:12">
      <c r="A16" t="s">
        <v>685</v>
      </c>
      <c r="B16" t="s">
        <v>686</v>
      </c>
      <c r="C16">
        <v>2</v>
      </c>
      <c r="D16">
        <v>80592000</v>
      </c>
      <c r="E16">
        <v>365000000</v>
      </c>
      <c r="F16">
        <v>277628227</v>
      </c>
      <c r="H16" s="66" t="str">
        <f>IF(OR(LEFT(B16,FIND("_",B16,1)-1)="ULGALLOC",LEFT(B16,FIND("_",B16,1)-1)="ULSPOOL"),LEFT(B16,FIND("_",B16,1)-1),VLOOKUP(LEFT(A16,6),'Code Library'!$D$3:$E$200,2,0))&amp;"_"&amp;RIGHT(A16,3)</f>
        <v>ATSBH_IDR</v>
      </c>
      <c r="I16" s="66" t="str">
        <f t="shared" si="0"/>
        <v>UEATSBA_IDR</v>
      </c>
      <c r="L16" t="s">
        <v>1932</v>
      </c>
    </row>
    <row r="17" spans="1:12">
      <c r="A17" t="s">
        <v>685</v>
      </c>
      <c r="B17" t="s">
        <v>687</v>
      </c>
      <c r="C17">
        <v>3</v>
      </c>
      <c r="D17">
        <v>43542000</v>
      </c>
      <c r="E17">
        <v>255000000</v>
      </c>
      <c r="F17">
        <v>95669031</v>
      </c>
      <c r="H17" s="66" t="str">
        <f>IF(OR(LEFT(B17,FIND("_",B17,1)-1)="ULGALLOC",LEFT(B17,FIND("_",B17,1)-1)="ULSPOOL"),LEFT(B17,FIND("_",B17,1)-1),VLOOKUP(LEFT(A17,6),'Code Library'!$D$3:$E$200,2,0))&amp;"_"&amp;RIGHT(A17,3)</f>
        <v>ATSBH_IDR</v>
      </c>
      <c r="I17" s="66" t="str">
        <f t="shared" si="0"/>
        <v>UEATSBA_IDR</v>
      </c>
      <c r="L17" t="s">
        <v>1933</v>
      </c>
    </row>
    <row r="18" spans="1:12">
      <c r="A18" t="s">
        <v>685</v>
      </c>
      <c r="B18" t="s">
        <v>688</v>
      </c>
      <c r="C18">
        <v>6</v>
      </c>
      <c r="D18">
        <v>71798400</v>
      </c>
      <c r="E18">
        <v>522000000</v>
      </c>
      <c r="F18">
        <v>89250715</v>
      </c>
      <c r="H18" s="66" t="str">
        <f>IF(OR(LEFT(B18,FIND("_",B18,1)-1)="ULGALLOC",LEFT(B18,FIND("_",B18,1)-1)="ULSPOOL"),LEFT(B18,FIND("_",B18,1)-1),VLOOKUP(LEFT(A18,6),'Code Library'!$D$3:$E$200,2,0))&amp;"_"&amp;RIGHT(A18,3)</f>
        <v>ATSBH_IDR</v>
      </c>
      <c r="I18" s="66" t="str">
        <f t="shared" si="0"/>
        <v>UEATSBA_IDR</v>
      </c>
      <c r="L18" t="s">
        <v>1935</v>
      </c>
    </row>
    <row r="19" spans="1:12">
      <c r="A19" t="s">
        <v>685</v>
      </c>
      <c r="B19" t="s">
        <v>2201</v>
      </c>
      <c r="C19">
        <v>15</v>
      </c>
      <c r="D19">
        <v>404191200</v>
      </c>
      <c r="E19">
        <v>2888000000</v>
      </c>
      <c r="F19">
        <v>270200416</v>
      </c>
      <c r="H19" s="66" t="str">
        <f>IF(OR(LEFT(B19,FIND("_",B19,1)-1)="ULGALLOC",LEFT(B19,FIND("_",B19,1)-1)="ULSPOOL"),LEFT(B19,FIND("_",B19,1)-1),VLOOKUP(LEFT(A19,6),'Code Library'!$D$3:$E$200,2,0))&amp;"_"&amp;RIGHT(A19,3)</f>
        <v>ATSBH_IDR</v>
      </c>
      <c r="I19" s="66" t="str">
        <f t="shared" si="0"/>
        <v>UEATSBA_IDR</v>
      </c>
      <c r="L19" t="s">
        <v>1936</v>
      </c>
    </row>
    <row r="20" spans="1:12">
      <c r="A20" t="s">
        <v>685</v>
      </c>
      <c r="B20" t="s">
        <v>2541</v>
      </c>
      <c r="C20">
        <v>76</v>
      </c>
      <c r="D20">
        <v>1986088600</v>
      </c>
      <c r="E20">
        <v>12120000000</v>
      </c>
      <c r="F20">
        <v>401750089</v>
      </c>
      <c r="H20" s="66" t="str">
        <f>IF(OR(LEFT(B20,FIND("_",B20,1)-1)="ULGALLOC",LEFT(B20,FIND("_",B20,1)-1)="ULSPOOL"),LEFT(B20,FIND("_",B20,1)-1),VLOOKUP(LEFT(A20,6),'Code Library'!$D$3:$E$200,2,0))&amp;"_"&amp;RIGHT(A20,3)</f>
        <v>ATSBH_IDR</v>
      </c>
      <c r="I20" s="66" t="str">
        <f t="shared" si="0"/>
        <v>UEATSBA_IDR</v>
      </c>
      <c r="L20" t="s">
        <v>1937</v>
      </c>
    </row>
    <row r="21" spans="1:12">
      <c r="A21" t="s">
        <v>685</v>
      </c>
      <c r="B21" t="s">
        <v>2542</v>
      </c>
      <c r="C21">
        <v>19</v>
      </c>
      <c r="D21">
        <v>369944000</v>
      </c>
      <c r="E21">
        <v>2730000000</v>
      </c>
      <c r="F21">
        <v>80674903</v>
      </c>
      <c r="H21" s="66" t="str">
        <f>IF(OR(LEFT(B21,FIND("_",B21,1)-1)="ULGALLOC",LEFT(B21,FIND("_",B21,1)-1)="ULSPOOL"),LEFT(B21,FIND("_",B21,1)-1),VLOOKUP(LEFT(A21,6),'Code Library'!$D$3:$E$200,2,0))&amp;"_"&amp;RIGHT(A21,3)</f>
        <v>ATSBH_IDR</v>
      </c>
      <c r="I21" s="66" t="str">
        <f t="shared" si="0"/>
        <v>UEATSBA_IDR</v>
      </c>
      <c r="L21" t="s">
        <v>1938</v>
      </c>
    </row>
    <row r="22" spans="1:12">
      <c r="A22" t="s">
        <v>685</v>
      </c>
      <c r="B22" t="s">
        <v>689</v>
      </c>
      <c r="C22">
        <v>5</v>
      </c>
      <c r="D22">
        <v>97930800</v>
      </c>
      <c r="E22">
        <v>535000000</v>
      </c>
      <c r="F22">
        <v>334639437</v>
      </c>
      <c r="H22" s="66" t="str">
        <f>IF(OR(LEFT(B22,FIND("_",B22,1)-1)="ULGALLOC",LEFT(B22,FIND("_",B22,1)-1)="ULSPOOL"),LEFT(B22,FIND("_",B22,1)-1),VLOOKUP(LEFT(A22,6),'Code Library'!$D$3:$E$200,2,0))&amp;"_"&amp;RIGHT(A22,3)</f>
        <v>ATSBH_IDR</v>
      </c>
      <c r="I22" s="66" t="str">
        <f t="shared" si="0"/>
        <v>UEATSBA_IDR</v>
      </c>
      <c r="L22" t="s">
        <v>1939</v>
      </c>
    </row>
    <row r="23" spans="1:12">
      <c r="A23" t="s">
        <v>685</v>
      </c>
      <c r="B23" t="s">
        <v>690</v>
      </c>
      <c r="C23">
        <v>12</v>
      </c>
      <c r="D23">
        <v>188446800</v>
      </c>
      <c r="E23">
        <v>1365000000</v>
      </c>
      <c r="F23">
        <v>524864429</v>
      </c>
      <c r="H23" s="66" t="str">
        <f>IF(OR(LEFT(B23,FIND("_",B23,1)-1)="ULGALLOC",LEFT(B23,FIND("_",B23,1)-1)="ULSPOOL"),LEFT(B23,FIND("_",B23,1)-1),VLOOKUP(LEFT(A23,6),'Code Library'!$D$3:$E$200,2,0))&amp;"_"&amp;RIGHT(A23,3)</f>
        <v>ATSBH_IDR</v>
      </c>
      <c r="I23" s="66" t="str">
        <f t="shared" si="0"/>
        <v>UEATSBA_IDR</v>
      </c>
      <c r="L23" t="s">
        <v>1940</v>
      </c>
    </row>
    <row r="24" spans="1:12">
      <c r="A24" t="s">
        <v>685</v>
      </c>
      <c r="B24" t="s">
        <v>691</v>
      </c>
      <c r="C24">
        <v>8</v>
      </c>
      <c r="D24">
        <v>222989600</v>
      </c>
      <c r="E24">
        <v>1035000000</v>
      </c>
      <c r="F24">
        <v>344824285</v>
      </c>
      <c r="H24" s="66" t="str">
        <f>IF(OR(LEFT(B24,FIND("_",B24,1)-1)="ULGALLOC",LEFT(B24,FIND("_",B24,1)-1)="ULSPOOL"),LEFT(B24,FIND("_",B24,1)-1),VLOOKUP(LEFT(A24,6),'Code Library'!$D$3:$E$200,2,0))&amp;"_"&amp;RIGHT(A24,3)</f>
        <v>ATSBH_IDR</v>
      </c>
      <c r="I24" s="66" t="str">
        <f t="shared" si="0"/>
        <v>UEATSBA_IDR</v>
      </c>
      <c r="L24" t="s">
        <v>1941</v>
      </c>
    </row>
    <row r="25" spans="1:12">
      <c r="A25" t="s">
        <v>685</v>
      </c>
      <c r="B25" t="s">
        <v>2202</v>
      </c>
      <c r="C25">
        <v>374</v>
      </c>
      <c r="D25">
        <v>14866570000</v>
      </c>
      <c r="E25">
        <v>89677000000</v>
      </c>
      <c r="F25">
        <v>9271097955</v>
      </c>
      <c r="H25" s="66" t="str">
        <f>IF(OR(LEFT(B25,FIND("_",B25,1)-1)="ULGALLOC",LEFT(B25,FIND("_",B25,1)-1)="ULSPOOL"),LEFT(B25,FIND("_",B25,1)-1),VLOOKUP(LEFT(A25,6),'Code Library'!$D$3:$E$200,2,0))&amp;"_"&amp;RIGHT(A25,3)</f>
        <v>ATSBH_IDR</v>
      </c>
      <c r="I25" s="66" t="str">
        <f t="shared" si="0"/>
        <v>UEATSBA_IDR</v>
      </c>
      <c r="L25" t="s">
        <v>1942</v>
      </c>
    </row>
    <row r="26" spans="1:12">
      <c r="A26" t="s">
        <v>685</v>
      </c>
      <c r="B26" t="s">
        <v>2543</v>
      </c>
      <c r="C26">
        <v>897</v>
      </c>
      <c r="D26">
        <v>22012565080</v>
      </c>
      <c r="E26">
        <v>137714000000</v>
      </c>
      <c r="F26">
        <v>5808935198</v>
      </c>
      <c r="H26" s="66" t="str">
        <f>IF(OR(LEFT(B26,FIND("_",B26,1)-1)="ULGALLOC",LEFT(B26,FIND("_",B26,1)-1)="ULSPOOL"),LEFT(B26,FIND("_",B26,1)-1),VLOOKUP(LEFT(A26,6),'Code Library'!$D$3:$E$200,2,0))&amp;"_"&amp;RIGHT(A26,3)</f>
        <v>ATSBH_IDR</v>
      </c>
      <c r="I26" s="66" t="str">
        <f t="shared" si="0"/>
        <v>UEATSBA_IDR</v>
      </c>
      <c r="L26" t="s">
        <v>1943</v>
      </c>
    </row>
    <row r="27" spans="1:12">
      <c r="A27" t="s">
        <v>685</v>
      </c>
      <c r="B27" t="s">
        <v>2544</v>
      </c>
      <c r="C27">
        <v>225</v>
      </c>
      <c r="D27">
        <v>4668658400</v>
      </c>
      <c r="E27">
        <v>30650000000</v>
      </c>
      <c r="F27">
        <v>520485165</v>
      </c>
      <c r="H27" s="66" t="str">
        <f>IF(OR(LEFT(B27,FIND("_",B27,1)-1)="ULGALLOC",LEFT(B27,FIND("_",B27,1)-1)="ULSPOOL"),LEFT(B27,FIND("_",B27,1)-1),VLOOKUP(LEFT(A27,6),'Code Library'!$D$3:$E$200,2,0))&amp;"_"&amp;RIGHT(A27,3)</f>
        <v>ATSBH_IDR</v>
      </c>
      <c r="I27" s="66" t="str">
        <f t="shared" si="0"/>
        <v>UEATSBA_IDR</v>
      </c>
      <c r="L27" t="s">
        <v>1944</v>
      </c>
    </row>
    <row r="28" spans="1:12">
      <c r="A28" t="s">
        <v>685</v>
      </c>
      <c r="B28" t="s">
        <v>692</v>
      </c>
      <c r="C28">
        <v>2</v>
      </c>
      <c r="D28">
        <v>12384000</v>
      </c>
      <c r="E28">
        <v>120000000</v>
      </c>
      <c r="F28">
        <v>32145748</v>
      </c>
      <c r="H28" s="66" t="str">
        <f>IF(OR(LEFT(B28,FIND("_",B28,1)-1)="ULGALLOC",LEFT(B28,FIND("_",B28,1)-1)="ULSPOOL"),LEFT(B28,FIND("_",B28,1)-1),VLOOKUP(LEFT(A28,6),'Code Library'!$D$3:$E$200,2,0))&amp;"_"&amp;RIGHT(A28,3)</f>
        <v>ATSBH_IDR</v>
      </c>
      <c r="I28" s="66" t="str">
        <f t="shared" si="0"/>
        <v>UEATSBA_IDR</v>
      </c>
      <c r="L28" t="s">
        <v>1945</v>
      </c>
    </row>
    <row r="29" spans="1:12">
      <c r="A29" t="s">
        <v>685</v>
      </c>
      <c r="B29" t="s">
        <v>693</v>
      </c>
      <c r="C29">
        <v>2</v>
      </c>
      <c r="D29">
        <v>19770000</v>
      </c>
      <c r="E29">
        <v>115000000</v>
      </c>
      <c r="F29">
        <v>44993178</v>
      </c>
      <c r="H29" s="66" t="str">
        <f>IF(OR(LEFT(B29,FIND("_",B29,1)-1)="ULGALLOC",LEFT(B29,FIND("_",B29,1)-1)="ULSPOOL"),LEFT(B29,FIND("_",B29,1)-1),VLOOKUP(LEFT(A29,6),'Code Library'!$D$3:$E$200,2,0))&amp;"_"&amp;RIGHT(A29,3)</f>
        <v>ATSBH_IDR</v>
      </c>
      <c r="I29" s="66" t="str">
        <f t="shared" si="0"/>
        <v>UEATSBA_IDR</v>
      </c>
      <c r="L29" t="s">
        <v>1946</v>
      </c>
    </row>
    <row r="30" spans="1:12">
      <c r="A30" t="s">
        <v>685</v>
      </c>
      <c r="B30" t="s">
        <v>694</v>
      </c>
      <c r="C30">
        <v>6</v>
      </c>
      <c r="D30">
        <v>60251200</v>
      </c>
      <c r="E30">
        <v>337000000</v>
      </c>
      <c r="F30">
        <v>99656059</v>
      </c>
      <c r="H30" s="66" t="str">
        <f>IF(OR(LEFT(B30,FIND("_",B30,1)-1)="ULGALLOC",LEFT(B30,FIND("_",B30,1)-1)="ULSPOOL"),LEFT(B30,FIND("_",B30,1)-1),VLOOKUP(LEFT(A30,6),'Code Library'!$D$3:$E$200,2,0))&amp;"_"&amp;RIGHT(A30,3)</f>
        <v>ATSBH_IDR</v>
      </c>
      <c r="I30" s="66" t="str">
        <f t="shared" si="0"/>
        <v>UEATSBA_IDR</v>
      </c>
      <c r="L30" t="s">
        <v>1947</v>
      </c>
    </row>
    <row r="31" spans="1:12">
      <c r="A31" t="s">
        <v>685</v>
      </c>
      <c r="B31" t="s">
        <v>2203</v>
      </c>
      <c r="C31">
        <v>41</v>
      </c>
      <c r="D31">
        <v>1212228800</v>
      </c>
      <c r="E31">
        <v>6731000000</v>
      </c>
      <c r="F31">
        <v>864866720</v>
      </c>
      <c r="H31" s="66" t="str">
        <f>IF(OR(LEFT(B31,FIND("_",B31,1)-1)="ULGALLOC",LEFT(B31,FIND("_",B31,1)-1)="ULSPOOL"),LEFT(B31,FIND("_",B31,1)-1),VLOOKUP(LEFT(A31,6),'Code Library'!$D$3:$E$200,2,0))&amp;"_"&amp;RIGHT(A31,3)</f>
        <v>ATSBH_IDR</v>
      </c>
      <c r="I31" s="66" t="str">
        <f t="shared" si="0"/>
        <v>UEATSBA_IDR</v>
      </c>
      <c r="L31" t="s">
        <v>1948</v>
      </c>
    </row>
    <row r="32" spans="1:12">
      <c r="A32" t="s">
        <v>685</v>
      </c>
      <c r="B32" t="s">
        <v>2545</v>
      </c>
      <c r="C32">
        <v>123</v>
      </c>
      <c r="D32">
        <v>3002620600</v>
      </c>
      <c r="E32">
        <v>20146000000</v>
      </c>
      <c r="F32">
        <v>930634210</v>
      </c>
      <c r="H32" s="66" t="str">
        <f>IF(OR(LEFT(B32,FIND("_",B32,1)-1)="ULGALLOC",LEFT(B32,FIND("_",B32,1)-1)="ULSPOOL"),LEFT(B32,FIND("_",B32,1)-1),VLOOKUP(LEFT(A32,6),'Code Library'!$D$3:$E$200,2,0))&amp;"_"&amp;RIGHT(A32,3)</f>
        <v>ATSBH_IDR</v>
      </c>
      <c r="I32" s="66" t="str">
        <f t="shared" si="0"/>
        <v>UEATSBA_IDR</v>
      </c>
      <c r="L32" t="s">
        <v>1949</v>
      </c>
    </row>
    <row r="33" spans="1:12">
      <c r="A33" t="s">
        <v>685</v>
      </c>
      <c r="B33" t="s">
        <v>2546</v>
      </c>
      <c r="C33">
        <v>30</v>
      </c>
      <c r="D33">
        <v>674054400</v>
      </c>
      <c r="E33">
        <v>3462000000</v>
      </c>
      <c r="F33">
        <v>55619088</v>
      </c>
      <c r="H33" s="66" t="str">
        <f>IF(OR(LEFT(B33,FIND("_",B33,1)-1)="ULGALLOC",LEFT(B33,FIND("_",B33,1)-1)="ULSPOOL"),LEFT(B33,FIND("_",B33,1)-1),VLOOKUP(LEFT(A33,6),'Code Library'!$D$3:$E$200,2,0))&amp;"_"&amp;RIGHT(A33,3)</f>
        <v>ATSBH_IDR</v>
      </c>
      <c r="I33" s="66" t="str">
        <f t="shared" si="0"/>
        <v>UEATSBA_IDR</v>
      </c>
      <c r="L33" t="s">
        <v>1950</v>
      </c>
    </row>
    <row r="34" spans="1:12">
      <c r="A34" t="s">
        <v>695</v>
      </c>
      <c r="B34" t="s">
        <v>696</v>
      </c>
      <c r="C34">
        <v>4</v>
      </c>
      <c r="D34">
        <v>200000000</v>
      </c>
      <c r="E34">
        <v>300000000</v>
      </c>
      <c r="F34">
        <v>307278294.35337102</v>
      </c>
      <c r="H34" s="66" t="str">
        <f>IF(OR(LEFT(B34,FIND("_",B34,1)-1)="ULGALLOC",LEFT(B34,FIND("_",B34,1)-1)="ULSPOOL"),LEFT(B34,FIND("_",B34,1)-1),VLOOKUP(LEFT(A34,6),'Code Library'!$D$3:$E$200,2,0))&amp;"_"&amp;RIGHT(A34,3)</f>
        <v>AALM_IDR</v>
      </c>
      <c r="I34" s="66" t="str">
        <f t="shared" si="0"/>
        <v>ULAALM_IDR</v>
      </c>
      <c r="L34" t="s">
        <v>1951</v>
      </c>
    </row>
    <row r="35" spans="1:12">
      <c r="A35" t="s">
        <v>695</v>
      </c>
      <c r="B35" t="s">
        <v>697</v>
      </c>
      <c r="C35">
        <v>24</v>
      </c>
      <c r="D35">
        <v>1200000000</v>
      </c>
      <c r="E35">
        <v>1800000000</v>
      </c>
      <c r="F35">
        <v>5566021885.5079699</v>
      </c>
      <c r="H35" s="66" t="str">
        <f>IF(OR(LEFT(B35,FIND("_",B35,1)-1)="ULGALLOC",LEFT(B35,FIND("_",B35,1)-1)="ULSPOOL"),LEFT(B35,FIND("_",B35,1)-1),VLOOKUP(LEFT(A35,6),'Code Library'!$D$3:$E$200,2,0))&amp;"_"&amp;RIGHT(A35,3)</f>
        <v>AALM_IDR</v>
      </c>
      <c r="I35" s="66" t="str">
        <f t="shared" si="0"/>
        <v>ULAALM_IDR</v>
      </c>
      <c r="L35" t="s">
        <v>1952</v>
      </c>
    </row>
    <row r="36" spans="1:12">
      <c r="A36" t="s">
        <v>695</v>
      </c>
      <c r="B36" t="s">
        <v>2204</v>
      </c>
      <c r="C36">
        <v>1</v>
      </c>
      <c r="D36">
        <v>50000000</v>
      </c>
      <c r="E36">
        <v>75000000</v>
      </c>
      <c r="F36">
        <v>115409003.93756901</v>
      </c>
      <c r="G36" s="55"/>
      <c r="H36" s="66" t="str">
        <f>IF(OR(LEFT(B36,FIND("_",B36,1)-1)="ULGALLOC",LEFT(B36,FIND("_",B36,1)-1)="ULSPOOL"),LEFT(B36,FIND("_",B36,1)-1),VLOOKUP(LEFT(A36,6),'Code Library'!$D$3:$E$200,2,0))&amp;"_"&amp;RIGHT(A36,3)</f>
        <v>AALM_IDR</v>
      </c>
      <c r="I36" s="66" t="str">
        <f t="shared" si="0"/>
        <v>ULAALM_IDR</v>
      </c>
      <c r="L36" t="s">
        <v>1953</v>
      </c>
    </row>
    <row r="37" spans="1:12">
      <c r="A37" t="s">
        <v>698</v>
      </c>
      <c r="B37" t="s">
        <v>699</v>
      </c>
      <c r="C37">
        <v>5</v>
      </c>
      <c r="D37">
        <v>25000</v>
      </c>
      <c r="E37">
        <v>37500</v>
      </c>
      <c r="F37">
        <v>111492.29292932</v>
      </c>
      <c r="H37" s="66" t="str">
        <f>IF(OR(LEFT(B37,FIND("_",B37,1)-1)="ULGALLOC",LEFT(B37,FIND("_",B37,1)-1)="ULSPOOL"),LEFT(B37,FIND("_",B37,1)-1),VLOOKUP(LEFT(A37,6),'Code Library'!$D$3:$E$200,2,0))&amp;"_"&amp;RIGHT(A37,3)</f>
        <v>AALM_USD</v>
      </c>
      <c r="I37" s="66" t="str">
        <f t="shared" si="0"/>
        <v>ULAALM_USD</v>
      </c>
      <c r="L37" t="s">
        <v>1954</v>
      </c>
    </row>
    <row r="38" spans="1:12">
      <c r="A38" t="s">
        <v>698</v>
      </c>
      <c r="B38" t="s">
        <v>700</v>
      </c>
      <c r="C38">
        <v>10</v>
      </c>
      <c r="D38">
        <v>50000</v>
      </c>
      <c r="E38">
        <v>75000</v>
      </c>
      <c r="F38">
        <v>303891.16089121997</v>
      </c>
      <c r="H38" s="66" t="str">
        <f>IF(OR(LEFT(B38,FIND("_",B38,1)-1)="ULGALLOC",LEFT(B38,FIND("_",B38,1)-1)="ULSPOOL"),LEFT(B38,FIND("_",B38,1)-1),VLOOKUP(LEFT(A38,6),'Code Library'!$D$3:$E$200,2,0))&amp;"_"&amp;RIGHT(A38,3)</f>
        <v>AALM_USD</v>
      </c>
      <c r="I38" s="66" t="str">
        <f t="shared" si="0"/>
        <v>ULAALM_USD</v>
      </c>
      <c r="L38" t="s">
        <v>1955</v>
      </c>
    </row>
    <row r="39" spans="1:12">
      <c r="A39" t="s">
        <v>698</v>
      </c>
      <c r="B39" t="s">
        <v>2205</v>
      </c>
      <c r="C39">
        <v>1</v>
      </c>
      <c r="D39">
        <v>5000</v>
      </c>
      <c r="E39">
        <v>7500</v>
      </c>
      <c r="F39">
        <v>33507.384482740003</v>
      </c>
      <c r="H39" s="66" t="str">
        <f>IF(OR(LEFT(B39,FIND("_",B39,1)-1)="ULGALLOC",LEFT(B39,FIND("_",B39,1)-1)="ULSPOOL"),LEFT(B39,FIND("_",B39,1)-1),VLOOKUP(LEFT(A39,6),'Code Library'!$D$3:$E$200,2,0))&amp;"_"&amp;RIGHT(A39,3)</f>
        <v>AALM_USD</v>
      </c>
      <c r="I39" s="66" t="str">
        <f t="shared" si="0"/>
        <v>ULAALM_USD</v>
      </c>
      <c r="L39" t="s">
        <v>1956</v>
      </c>
    </row>
    <row r="40" spans="1:12">
      <c r="A40" t="s">
        <v>695</v>
      </c>
      <c r="B40" t="s">
        <v>701</v>
      </c>
      <c r="C40">
        <v>14</v>
      </c>
      <c r="D40">
        <v>760000000</v>
      </c>
      <c r="E40">
        <v>1140000000</v>
      </c>
      <c r="F40">
        <v>1280166047.8076</v>
      </c>
      <c r="H40" s="66" t="str">
        <f>IF(OR(LEFT(B40,FIND("_",B40,1)-1)="ULGALLOC",LEFT(B40,FIND("_",B40,1)-1)="ULSPOOL"),LEFT(B40,FIND("_",B40,1)-1),VLOOKUP(LEFT(A40,6),'Code Library'!$D$3:$E$200,2,0))&amp;"_"&amp;RIGHT(A40,3)</f>
        <v>AALM_IDR</v>
      </c>
      <c r="I40" s="66" t="str">
        <f t="shared" si="0"/>
        <v>ULAALM_IDR</v>
      </c>
      <c r="L40" t="s">
        <v>1957</v>
      </c>
    </row>
    <row r="41" spans="1:12">
      <c r="A41" t="s">
        <v>695</v>
      </c>
      <c r="B41" t="s">
        <v>702</v>
      </c>
      <c r="C41">
        <v>16</v>
      </c>
      <c r="D41">
        <v>850000000</v>
      </c>
      <c r="E41">
        <v>1275000000</v>
      </c>
      <c r="F41">
        <v>2267785451.8731999</v>
      </c>
      <c r="G41" s="55"/>
      <c r="H41" s="66" t="str">
        <f>IF(OR(LEFT(B41,FIND("_",B41,1)-1)="ULGALLOC",LEFT(B41,FIND("_",B41,1)-1)="ULSPOOL"),LEFT(B41,FIND("_",B41,1)-1),VLOOKUP(LEFT(A41,6),'Code Library'!$D$3:$E$200,2,0))&amp;"_"&amp;RIGHT(A41,3)</f>
        <v>AALM_IDR</v>
      </c>
      <c r="I41" s="66" t="str">
        <f t="shared" si="0"/>
        <v>ULAALM_IDR</v>
      </c>
      <c r="L41" t="s">
        <v>1958</v>
      </c>
    </row>
    <row r="42" spans="1:12">
      <c r="A42" t="s">
        <v>698</v>
      </c>
      <c r="B42" t="s">
        <v>703</v>
      </c>
      <c r="C42">
        <v>27</v>
      </c>
      <c r="D42">
        <v>140000</v>
      </c>
      <c r="E42">
        <v>210000</v>
      </c>
      <c r="F42">
        <v>228599.69992788101</v>
      </c>
      <c r="G42" s="55"/>
      <c r="H42" s="66" t="str">
        <f>IF(OR(LEFT(B42,FIND("_",B42,1)-1)="ULGALLOC",LEFT(B42,FIND("_",B42,1)-1)="ULSPOOL"),LEFT(B42,FIND("_",B42,1)-1),VLOOKUP(LEFT(A42,6),'Code Library'!$D$3:$E$200,2,0))&amp;"_"&amp;RIGHT(A42,3)</f>
        <v>AALM_USD</v>
      </c>
      <c r="I42" s="66" t="str">
        <f t="shared" si="0"/>
        <v>ULAALM_USD</v>
      </c>
      <c r="L42" t="s">
        <v>1959</v>
      </c>
    </row>
    <row r="43" spans="1:12">
      <c r="A43" t="s">
        <v>698</v>
      </c>
      <c r="B43" t="s">
        <v>704</v>
      </c>
      <c r="C43">
        <v>3</v>
      </c>
      <c r="D43">
        <v>15000</v>
      </c>
      <c r="E43">
        <v>22500</v>
      </c>
      <c r="F43">
        <v>16303.51798766</v>
      </c>
      <c r="G43" s="55"/>
      <c r="H43" s="66" t="str">
        <f>IF(OR(LEFT(B43,FIND("_",B43,1)-1)="ULGALLOC",LEFT(B43,FIND("_",B43,1)-1)="ULSPOOL"),LEFT(B43,FIND("_",B43,1)-1),VLOOKUP(LEFT(A43,6),'Code Library'!$D$3:$E$200,2,0))&amp;"_"&amp;RIGHT(A43,3)</f>
        <v>AALM_USD</v>
      </c>
      <c r="I43" s="66" t="str">
        <f t="shared" si="0"/>
        <v>ULAALM_USD</v>
      </c>
      <c r="L43" t="s">
        <v>1960</v>
      </c>
    </row>
    <row r="44" spans="1:12">
      <c r="A44" t="s">
        <v>695</v>
      </c>
      <c r="B44" t="s">
        <v>705</v>
      </c>
      <c r="C44">
        <v>2</v>
      </c>
      <c r="D44">
        <v>100000000</v>
      </c>
      <c r="E44">
        <v>150000000</v>
      </c>
      <c r="F44">
        <v>292950452.43060899</v>
      </c>
      <c r="H44" s="66" t="str">
        <f>IF(OR(LEFT(B44,FIND("_",B44,1)-1)="ULGALLOC",LEFT(B44,FIND("_",B44,1)-1)="ULSPOOL"),LEFT(B44,FIND("_",B44,1)-1),VLOOKUP(LEFT(A44,6),'Code Library'!$D$3:$E$200,2,0))&amp;"_"&amp;RIGHT(A44,3)</f>
        <v>AALM_IDR</v>
      </c>
      <c r="I44" s="66" t="str">
        <f t="shared" si="0"/>
        <v>ULAALM_IDR</v>
      </c>
      <c r="L44" t="s">
        <v>1961</v>
      </c>
    </row>
    <row r="45" spans="1:12">
      <c r="A45" t="s">
        <v>698</v>
      </c>
      <c r="B45" t="s">
        <v>706</v>
      </c>
      <c r="C45">
        <v>4</v>
      </c>
      <c r="D45">
        <v>20000</v>
      </c>
      <c r="E45">
        <v>30000</v>
      </c>
      <c r="F45">
        <v>63119.753598399999</v>
      </c>
      <c r="H45" s="66" t="str">
        <f>IF(OR(LEFT(B45,FIND("_",B45,1)-1)="ULGALLOC",LEFT(B45,FIND("_",B45,1)-1)="ULSPOOL"),LEFT(B45,FIND("_",B45,1)-1),VLOOKUP(LEFT(A45,6),'Code Library'!$D$3:$E$200,2,0))&amp;"_"&amp;RIGHT(A45,3)</f>
        <v>AALM_USD</v>
      </c>
      <c r="I45" s="66" t="str">
        <f t="shared" si="0"/>
        <v>ULAALM_USD</v>
      </c>
      <c r="L45" t="s">
        <v>1962</v>
      </c>
    </row>
    <row r="46" spans="1:12">
      <c r="A46" t="s">
        <v>707</v>
      </c>
      <c r="B46" t="s">
        <v>2206</v>
      </c>
      <c r="C46">
        <v>3</v>
      </c>
      <c r="D46">
        <v>150000000</v>
      </c>
      <c r="E46">
        <v>300000000</v>
      </c>
      <c r="F46">
        <v>638616298.53353798</v>
      </c>
      <c r="H46" s="66" t="str">
        <f>IF(OR(LEFT(B46,FIND("_",B46,1)-1)="ULGALLOC",LEFT(B46,FIND("_",B46,1)-1)="ULSPOOL"),LEFT(B46,FIND("_",B46,1)-1),VLOOKUP(LEFT(A46,6),'Code Library'!$D$3:$E$200,2,0))&amp;"_"&amp;RIGHT(A46,3)</f>
        <v>AAOP_IDR</v>
      </c>
      <c r="I46" s="66" t="str">
        <f t="shared" si="0"/>
        <v>ULAAOP_IDR</v>
      </c>
      <c r="L46" t="s">
        <v>1963</v>
      </c>
    </row>
    <row r="47" spans="1:12">
      <c r="A47" t="s">
        <v>707</v>
      </c>
      <c r="B47" t="s">
        <v>2547</v>
      </c>
      <c r="C47">
        <v>9</v>
      </c>
      <c r="D47">
        <v>450000000</v>
      </c>
      <c r="E47">
        <v>900000000</v>
      </c>
      <c r="F47">
        <v>2503604678.2581902</v>
      </c>
      <c r="H47" s="66" t="str">
        <f>IF(OR(LEFT(B47,FIND("_",B47,1)-1)="ULGALLOC",LEFT(B47,FIND("_",B47,1)-1)="ULSPOOL"),LEFT(B47,FIND("_",B47,1)-1),VLOOKUP(LEFT(A47,6),'Code Library'!$D$3:$E$200,2,0))&amp;"_"&amp;RIGHT(A47,3)</f>
        <v>AAOP_IDR</v>
      </c>
      <c r="I47" s="66" t="str">
        <f t="shared" si="0"/>
        <v>ULAAOP_IDR</v>
      </c>
      <c r="L47" t="s">
        <v>1964</v>
      </c>
    </row>
    <row r="48" spans="1:12">
      <c r="A48" t="s">
        <v>707</v>
      </c>
      <c r="B48" t="s">
        <v>2548</v>
      </c>
      <c r="C48">
        <v>4</v>
      </c>
      <c r="D48">
        <v>250000000</v>
      </c>
      <c r="E48">
        <v>500000000</v>
      </c>
      <c r="F48">
        <v>547044716.34554601</v>
      </c>
      <c r="G48" s="55"/>
      <c r="H48" s="66" t="str">
        <f>IF(OR(LEFT(B48,FIND("_",B48,1)-1)="ULGALLOC",LEFT(B48,FIND("_",B48,1)-1)="ULSPOOL"),LEFT(B48,FIND("_",B48,1)-1),VLOOKUP(LEFT(A48,6),'Code Library'!$D$3:$E$200,2,0))&amp;"_"&amp;RIGHT(A48,3)</f>
        <v>AAOP_IDR</v>
      </c>
      <c r="I48" s="66" t="str">
        <f t="shared" si="0"/>
        <v>ULAAOP_IDR</v>
      </c>
      <c r="L48" t="s">
        <v>1965</v>
      </c>
    </row>
    <row r="49" spans="1:12">
      <c r="A49" t="s">
        <v>708</v>
      </c>
      <c r="B49" t="s">
        <v>2549</v>
      </c>
      <c r="C49">
        <v>2</v>
      </c>
      <c r="D49">
        <v>36000</v>
      </c>
      <c r="E49">
        <v>72000</v>
      </c>
      <c r="F49">
        <v>163490.8585068</v>
      </c>
      <c r="G49" s="55"/>
      <c r="H49" s="66" t="str">
        <f>IF(OR(LEFT(B49,FIND("_",B49,1)-1)="ULGALLOC",LEFT(B49,FIND("_",B49,1)-1)="ULSPOOL"),LEFT(B49,FIND("_",B49,1)-1),VLOOKUP(LEFT(A49,6),'Code Library'!$D$3:$E$200,2,0))&amp;"_"&amp;RIGHT(A49,3)</f>
        <v>AAOP_USD</v>
      </c>
      <c r="I49" s="66" t="str">
        <f t="shared" si="0"/>
        <v>ULAAOP_USD</v>
      </c>
      <c r="L49" t="s">
        <v>1966</v>
      </c>
    </row>
    <row r="50" spans="1:12">
      <c r="A50" t="s">
        <v>707</v>
      </c>
      <c r="B50" t="s">
        <v>2207</v>
      </c>
      <c r="C50">
        <v>81</v>
      </c>
      <c r="D50">
        <v>4650000000</v>
      </c>
      <c r="E50">
        <v>9300000000</v>
      </c>
      <c r="F50">
        <v>25431687594.5275</v>
      </c>
      <c r="G50" s="55"/>
      <c r="H50" s="66" t="str">
        <f>IF(OR(LEFT(B50,FIND("_",B50,1)-1)="ULGALLOC",LEFT(B50,FIND("_",B50,1)-1)="ULSPOOL"),LEFT(B50,FIND("_",B50,1)-1),VLOOKUP(LEFT(A50,6),'Code Library'!$D$3:$E$200,2,0))&amp;"_"&amp;RIGHT(A50,3)</f>
        <v>AAOP_IDR</v>
      </c>
      <c r="I50" s="66" t="str">
        <f t="shared" si="0"/>
        <v>ULAAOP_IDR</v>
      </c>
      <c r="L50" t="s">
        <v>1967</v>
      </c>
    </row>
    <row r="51" spans="1:12">
      <c r="A51" t="s">
        <v>707</v>
      </c>
      <c r="B51" t="s">
        <v>2550</v>
      </c>
      <c r="C51">
        <v>63</v>
      </c>
      <c r="D51">
        <v>3220000000</v>
      </c>
      <c r="E51">
        <v>6440000000</v>
      </c>
      <c r="F51">
        <v>25395178001.006302</v>
      </c>
      <c r="H51" s="66" t="str">
        <f>IF(OR(LEFT(B51,FIND("_",B51,1)-1)="ULGALLOC",LEFT(B51,FIND("_",B51,1)-1)="ULSPOOL"),LEFT(B51,FIND("_",B51,1)-1),VLOOKUP(LEFT(A51,6),'Code Library'!$D$3:$E$200,2,0))&amp;"_"&amp;RIGHT(A51,3)</f>
        <v>AAOP_IDR</v>
      </c>
      <c r="I51" s="66" t="str">
        <f t="shared" si="0"/>
        <v>ULAAOP_IDR</v>
      </c>
      <c r="L51" t="s">
        <v>1968</v>
      </c>
    </row>
    <row r="52" spans="1:12">
      <c r="A52" t="s">
        <v>707</v>
      </c>
      <c r="B52" t="s">
        <v>2551</v>
      </c>
      <c r="C52">
        <v>9</v>
      </c>
      <c r="D52">
        <v>450000000</v>
      </c>
      <c r="E52">
        <v>900000000</v>
      </c>
      <c r="F52">
        <v>2235187710.2020502</v>
      </c>
      <c r="H52" s="66" t="str">
        <f>IF(OR(LEFT(B52,FIND("_",B52,1)-1)="ULGALLOC",LEFT(B52,FIND("_",B52,1)-1)="ULSPOOL"),LEFT(B52,FIND("_",B52,1)-1),VLOOKUP(LEFT(A52,6),'Code Library'!$D$3:$E$200,2,0))&amp;"_"&amp;RIGHT(A52,3)</f>
        <v>AAOP_IDR</v>
      </c>
      <c r="I52" s="66" t="str">
        <f t="shared" si="0"/>
        <v>ULAAOP_IDR</v>
      </c>
      <c r="L52" t="s">
        <v>1969</v>
      </c>
    </row>
    <row r="53" spans="1:12">
      <c r="A53" t="s">
        <v>708</v>
      </c>
      <c r="B53" t="s">
        <v>2208</v>
      </c>
      <c r="C53">
        <v>19</v>
      </c>
      <c r="D53">
        <v>366000</v>
      </c>
      <c r="E53">
        <v>732000</v>
      </c>
      <c r="F53">
        <v>2601507.5110778199</v>
      </c>
      <c r="H53" s="66" t="str">
        <f>IF(OR(LEFT(B53,FIND("_",B53,1)-1)="ULGALLOC",LEFT(B53,FIND("_",B53,1)-1)="ULSPOOL"),LEFT(B53,FIND("_",B53,1)-1),VLOOKUP(LEFT(A53,6),'Code Library'!$D$3:$E$200,2,0))&amp;"_"&amp;RIGHT(A53,3)</f>
        <v>AAOP_USD</v>
      </c>
      <c r="I53" s="66" t="str">
        <f t="shared" si="0"/>
        <v>ULAAOP_USD</v>
      </c>
      <c r="L53" t="s">
        <v>1970</v>
      </c>
    </row>
    <row r="54" spans="1:12">
      <c r="A54" t="s">
        <v>708</v>
      </c>
      <c r="B54" t="s">
        <v>2552</v>
      </c>
      <c r="C54">
        <v>43</v>
      </c>
      <c r="D54">
        <v>786000</v>
      </c>
      <c r="E54">
        <v>1572000</v>
      </c>
      <c r="F54">
        <v>1981547.77509708</v>
      </c>
      <c r="G54" s="55"/>
      <c r="H54" s="66" t="str">
        <f>IF(OR(LEFT(B54,FIND("_",B54,1)-1)="ULGALLOC",LEFT(B54,FIND("_",B54,1)-1)="ULSPOOL"),LEFT(B54,FIND("_",B54,1)-1),VLOOKUP(LEFT(A54,6),'Code Library'!$D$3:$E$200,2,0))&amp;"_"&amp;RIGHT(A54,3)</f>
        <v>AAOP_USD</v>
      </c>
      <c r="I54" s="66" t="str">
        <f t="shared" si="0"/>
        <v>ULAAOP_USD</v>
      </c>
      <c r="L54" t="s">
        <v>1971</v>
      </c>
    </row>
    <row r="55" spans="1:12">
      <c r="A55" t="s">
        <v>708</v>
      </c>
      <c r="B55" t="s">
        <v>2553</v>
      </c>
      <c r="C55">
        <v>8</v>
      </c>
      <c r="D55">
        <v>144000</v>
      </c>
      <c r="E55">
        <v>288000</v>
      </c>
      <c r="F55">
        <v>469726.13013906998</v>
      </c>
      <c r="G55" s="55"/>
      <c r="H55" s="66" t="str">
        <f>IF(OR(LEFT(B55,FIND("_",B55,1)-1)="ULGALLOC",LEFT(B55,FIND("_",B55,1)-1)="ULSPOOL"),LEFT(B55,FIND("_",B55,1)-1),VLOOKUP(LEFT(A55,6),'Code Library'!$D$3:$E$200,2,0))&amp;"_"&amp;RIGHT(A55,3)</f>
        <v>AAOP_USD</v>
      </c>
      <c r="I55" s="66" t="str">
        <f t="shared" si="0"/>
        <v>ULAAOP_USD</v>
      </c>
      <c r="L55" t="s">
        <v>1972</v>
      </c>
    </row>
    <row r="56" spans="1:12">
      <c r="A56" t="s">
        <v>707</v>
      </c>
      <c r="B56" t="s">
        <v>2209</v>
      </c>
      <c r="C56">
        <v>23</v>
      </c>
      <c r="D56">
        <v>1800000000</v>
      </c>
      <c r="E56">
        <v>3600000000</v>
      </c>
      <c r="F56">
        <v>6542260696.9954901</v>
      </c>
      <c r="H56" s="66" t="str">
        <f>IF(OR(LEFT(B56,FIND("_",B56,1)-1)="ULGALLOC",LEFT(B56,FIND("_",B56,1)-1)="ULSPOOL"),LEFT(B56,FIND("_",B56,1)-1),VLOOKUP(LEFT(A56,6),'Code Library'!$D$3:$E$200,2,0))&amp;"_"&amp;RIGHT(A56,3)</f>
        <v>AAOP_IDR</v>
      </c>
      <c r="I56" s="66" t="str">
        <f t="shared" si="0"/>
        <v>ULAAOP_IDR</v>
      </c>
      <c r="L56" t="s">
        <v>1973</v>
      </c>
    </row>
    <row r="57" spans="1:12">
      <c r="A57" t="s">
        <v>707</v>
      </c>
      <c r="B57" t="s">
        <v>2554</v>
      </c>
      <c r="C57">
        <v>1</v>
      </c>
      <c r="D57">
        <v>50000000</v>
      </c>
      <c r="E57">
        <v>100000000</v>
      </c>
      <c r="F57">
        <v>55908836</v>
      </c>
      <c r="H57" s="66" t="str">
        <f>IF(OR(LEFT(B57,FIND("_",B57,1)-1)="ULGALLOC",LEFT(B57,FIND("_",B57,1)-1)="ULSPOOL"),LEFT(B57,FIND("_",B57,1)-1),VLOOKUP(LEFT(A57,6),'Code Library'!$D$3:$E$200,2,0))&amp;"_"&amp;RIGHT(A57,3)</f>
        <v>AAOP_IDR</v>
      </c>
      <c r="I57" s="66" t="str">
        <f t="shared" si="0"/>
        <v>ULAAOP_IDR</v>
      </c>
      <c r="L57" t="s">
        <v>1974</v>
      </c>
    </row>
    <row r="58" spans="1:12">
      <c r="A58" t="s">
        <v>708</v>
      </c>
      <c r="B58" t="s">
        <v>2555</v>
      </c>
      <c r="C58">
        <v>2</v>
      </c>
      <c r="D58">
        <v>36000</v>
      </c>
      <c r="E58">
        <v>72000</v>
      </c>
      <c r="F58">
        <v>36100</v>
      </c>
      <c r="G58" s="55"/>
      <c r="H58" s="66" t="str">
        <f>IF(OR(LEFT(B58,FIND("_",B58,1)-1)="ULGALLOC",LEFT(B58,FIND("_",B58,1)-1)="ULSPOOL"),LEFT(B58,FIND("_",B58,1)-1),VLOOKUP(LEFT(A58,6),'Code Library'!$D$3:$E$200,2,0))&amp;"_"&amp;RIGHT(A58,3)</f>
        <v>AAOP_USD</v>
      </c>
      <c r="I58" s="66" t="str">
        <f t="shared" si="0"/>
        <v>ULAAOP_USD</v>
      </c>
      <c r="L58" t="s">
        <v>1975</v>
      </c>
    </row>
    <row r="59" spans="1:12">
      <c r="A59" t="s">
        <v>709</v>
      </c>
      <c r="B59" t="s">
        <v>710</v>
      </c>
      <c r="C59">
        <v>390</v>
      </c>
      <c r="D59">
        <v>630168000</v>
      </c>
      <c r="E59">
        <v>20621800000</v>
      </c>
      <c r="F59">
        <v>4369224347.8467503</v>
      </c>
      <c r="H59" s="66" t="str">
        <f>IF(OR(LEFT(B59,FIND("_",B59,1)-1)="ULGALLOC",LEFT(B59,FIND("_",B59,1)-1)="ULSPOOL"),LEFT(B59,FIND("_",B59,1)-1),VLOOKUP(LEFT(A59,6),'Code Library'!$D$3:$E$200,2,0))&amp;"_"&amp;RIGHT(A59,3)</f>
        <v>ASBA_IDR</v>
      </c>
      <c r="I59" s="66" t="str">
        <f t="shared" si="0"/>
        <v>ULABA__IDR</v>
      </c>
      <c r="L59" t="s">
        <v>1976</v>
      </c>
    </row>
    <row r="60" spans="1:12">
      <c r="A60" t="s">
        <v>709</v>
      </c>
      <c r="B60" t="s">
        <v>711</v>
      </c>
      <c r="C60">
        <v>12</v>
      </c>
      <c r="D60">
        <v>27000000</v>
      </c>
      <c r="E60">
        <v>1040000000</v>
      </c>
      <c r="F60">
        <v>65257770.790409997</v>
      </c>
      <c r="G60" s="55"/>
      <c r="H60" s="66" t="str">
        <f>IF(OR(LEFT(B60,FIND("_",B60,1)-1)="ULGALLOC",LEFT(B60,FIND("_",B60,1)-1)="ULSPOOL"),LEFT(B60,FIND("_",B60,1)-1),VLOOKUP(LEFT(A60,6),'Code Library'!$D$3:$E$200,2,0))&amp;"_"&amp;RIGHT(A60,3)</f>
        <v>ASBA_IDR</v>
      </c>
      <c r="I60" s="66" t="str">
        <f t="shared" si="0"/>
        <v>ULABA__IDR</v>
      </c>
      <c r="L60" t="s">
        <v>1977</v>
      </c>
    </row>
    <row r="61" spans="1:12">
      <c r="A61" t="s">
        <v>712</v>
      </c>
      <c r="B61" t="s">
        <v>713</v>
      </c>
      <c r="C61">
        <v>62</v>
      </c>
      <c r="D61">
        <v>2243000000</v>
      </c>
      <c r="E61">
        <v>3737250000</v>
      </c>
      <c r="F61">
        <v>1757226965.52543</v>
      </c>
      <c r="H61" s="66" t="str">
        <f>IF(OR(LEFT(B61,FIND("_",B61,1)-1)="ULGALLOC",LEFT(B61,FIND("_",B61,1)-1)="ULSPOOL"),LEFT(B61,FIND("_",B61,1)-1),VLOOKUP(LEFT(A61,6),'Code Library'!$D$3:$E$200,2,0))&amp;"_"&amp;RIGHT(A61,3)</f>
        <v>ASI_IDR</v>
      </c>
      <c r="I61" s="66" t="str">
        <f t="shared" si="0"/>
        <v>ULAI___IDR</v>
      </c>
      <c r="L61" t="s">
        <v>1978</v>
      </c>
    </row>
    <row r="62" spans="1:12">
      <c r="A62" t="s">
        <v>712</v>
      </c>
      <c r="B62" t="s">
        <v>714</v>
      </c>
      <c r="C62">
        <v>1</v>
      </c>
      <c r="D62">
        <v>15000000</v>
      </c>
      <c r="E62">
        <v>18750000</v>
      </c>
      <c r="F62">
        <v>110092200.613975</v>
      </c>
      <c r="H62" s="66" t="str">
        <f>IF(OR(LEFT(B62,FIND("_",B62,1)-1)="ULGALLOC",LEFT(B62,FIND("_",B62,1)-1)="ULSPOOL"),LEFT(B62,FIND("_",B62,1)-1),VLOOKUP(LEFT(A62,6),'Code Library'!$D$3:$E$200,2,0))&amp;"_"&amp;RIGHT(A62,3)</f>
        <v>ASI_IDR</v>
      </c>
      <c r="I62" s="66" t="str">
        <f t="shared" si="0"/>
        <v>ULAI___IDR</v>
      </c>
      <c r="L62" t="s">
        <v>1979</v>
      </c>
    </row>
    <row r="63" spans="1:12">
      <c r="A63" t="s">
        <v>715</v>
      </c>
      <c r="B63" t="s">
        <v>716</v>
      </c>
      <c r="C63">
        <v>7</v>
      </c>
      <c r="D63">
        <v>224000000</v>
      </c>
      <c r="E63">
        <v>344500000</v>
      </c>
      <c r="F63">
        <v>88506434.068287</v>
      </c>
      <c r="H63" s="66" t="str">
        <f>IF(OR(LEFT(B63,FIND("_",B63,1)-1)="ULGALLOC",LEFT(B63,FIND("_",B63,1)-1)="ULSPOOL"),LEFT(B63,FIND("_",B63,1)-1),VLOOKUP(LEFT(A63,6),'Code Library'!$D$3:$E$200,2,0))&amp;"_"&amp;RIGHT(A63,3)</f>
        <v>ASMAP_IDR</v>
      </c>
      <c r="I63" s="66" t="str">
        <f t="shared" si="0"/>
        <v>ULAMAP_IDR</v>
      </c>
      <c r="L63" t="s">
        <v>1980</v>
      </c>
    </row>
    <row r="64" spans="1:12">
      <c r="A64" t="s">
        <v>717</v>
      </c>
      <c r="B64" t="s">
        <v>718</v>
      </c>
      <c r="C64">
        <v>1</v>
      </c>
      <c r="D64">
        <v>20000000</v>
      </c>
      <c r="E64">
        <v>50000000</v>
      </c>
      <c r="F64">
        <v>1410592</v>
      </c>
      <c r="H64" s="66" t="str">
        <f>IF(OR(LEFT(B64,FIND("_",B64,1)-1)="ULGALLOC",LEFT(B64,FIND("_",B64,1)-1)="ULSPOOL"),LEFT(B64,FIND("_",B64,1)-1),VLOOKUP(LEFT(A64,6),'Code Library'!$D$3:$E$200,2,0))&amp;"_"&amp;RIGHT(A64,3)</f>
        <v>ASMFP_IDR</v>
      </c>
      <c r="I64" s="66" t="str">
        <f t="shared" si="0"/>
        <v>ULAMF2_IDR</v>
      </c>
      <c r="L64" t="s">
        <v>1981</v>
      </c>
    </row>
    <row r="65" spans="1:12">
      <c r="A65" t="s">
        <v>717</v>
      </c>
      <c r="B65" t="s">
        <v>719</v>
      </c>
      <c r="C65">
        <v>2</v>
      </c>
      <c r="D65">
        <v>87000000</v>
      </c>
      <c r="E65">
        <v>108750000</v>
      </c>
      <c r="F65">
        <v>71402066.359834999</v>
      </c>
      <c r="H65" s="66" t="str">
        <f>IF(OR(LEFT(B65,FIND("_",B65,1)-1)="ULGALLOC",LEFT(B65,FIND("_",B65,1)-1)="ULSPOOL"),LEFT(B65,FIND("_",B65,1)-1),VLOOKUP(LEFT(A65,6),'Code Library'!$D$3:$E$200,2,0))&amp;"_"&amp;RIGHT(A65,3)</f>
        <v>ASMFP_IDR</v>
      </c>
      <c r="I65" s="66" t="str">
        <f t="shared" si="0"/>
        <v>ULAMF2_IDR</v>
      </c>
      <c r="L65" t="s">
        <v>1982</v>
      </c>
    </row>
    <row r="66" spans="1:12">
      <c r="A66" t="s">
        <v>717</v>
      </c>
      <c r="B66" t="s">
        <v>720</v>
      </c>
      <c r="C66">
        <v>12</v>
      </c>
      <c r="D66">
        <v>375850000</v>
      </c>
      <c r="E66">
        <v>651250000</v>
      </c>
      <c r="F66">
        <v>174438193.61346099</v>
      </c>
      <c r="H66" s="66" t="str">
        <f>IF(OR(LEFT(B66,FIND("_",B66,1)-1)="ULGALLOC",LEFT(B66,FIND("_",B66,1)-1)="ULSPOOL"),LEFT(B66,FIND("_",B66,1)-1),VLOOKUP(LEFT(A66,6),'Code Library'!$D$3:$E$200,2,0))&amp;"_"&amp;RIGHT(A66,3)</f>
        <v>ASMFP_IDR</v>
      </c>
      <c r="I66" s="66" t="str">
        <f t="shared" si="0"/>
        <v>ULAMF2_IDR</v>
      </c>
      <c r="L66" t="s">
        <v>1983</v>
      </c>
    </row>
    <row r="67" spans="1:12">
      <c r="A67" t="s">
        <v>717</v>
      </c>
      <c r="B67" t="s">
        <v>721</v>
      </c>
      <c r="C67">
        <v>20</v>
      </c>
      <c r="D67">
        <v>777000000</v>
      </c>
      <c r="E67">
        <v>1297500000</v>
      </c>
      <c r="F67">
        <v>473858948.90395498</v>
      </c>
      <c r="H67" s="66" t="str">
        <f>IF(OR(LEFT(B67,FIND("_",B67,1)-1)="ULGALLOC",LEFT(B67,FIND("_",B67,1)-1)="ULSPOOL"),LEFT(B67,FIND("_",B67,1)-1),VLOOKUP(LEFT(A67,6),'Code Library'!$D$3:$E$200,2,0))&amp;"_"&amp;RIGHT(A67,3)</f>
        <v>ASMFP_IDR</v>
      </c>
      <c r="I67" s="66" t="str">
        <f t="shared" ref="I67:I130" si="1">A67</f>
        <v>ULAMF2_IDR</v>
      </c>
      <c r="L67" t="s">
        <v>1984</v>
      </c>
    </row>
    <row r="68" spans="1:12">
      <c r="A68" t="s">
        <v>717</v>
      </c>
      <c r="B68" t="s">
        <v>722</v>
      </c>
      <c r="C68">
        <v>9</v>
      </c>
      <c r="D68">
        <v>1165000000</v>
      </c>
      <c r="E68">
        <v>1493750000</v>
      </c>
      <c r="F68">
        <v>365203140</v>
      </c>
      <c r="H68" s="66" t="str">
        <f>IF(OR(LEFT(B68,FIND("_",B68,1)-1)="ULGALLOC",LEFT(B68,FIND("_",B68,1)-1)="ULSPOOL"),LEFT(B68,FIND("_",B68,1)-1),VLOOKUP(LEFT(A68,6),'Code Library'!$D$3:$E$200,2,0))&amp;"_"&amp;RIGHT(A68,3)</f>
        <v>ASMFP_IDR</v>
      </c>
      <c r="I68" s="66" t="str">
        <f t="shared" si="1"/>
        <v>ULAMF2_IDR</v>
      </c>
      <c r="L68" t="s">
        <v>1985</v>
      </c>
    </row>
    <row r="69" spans="1:12">
      <c r="A69" t="s">
        <v>717</v>
      </c>
      <c r="B69" t="s">
        <v>723</v>
      </c>
      <c r="C69">
        <v>3</v>
      </c>
      <c r="D69">
        <v>95000000</v>
      </c>
      <c r="E69">
        <v>220000000</v>
      </c>
      <c r="F69">
        <v>26078300</v>
      </c>
      <c r="H69" s="66" t="str">
        <f>IF(OR(LEFT(B69,FIND("_",B69,1)-1)="ULGALLOC",LEFT(B69,FIND("_",B69,1)-1)="ULSPOOL"),LEFT(B69,FIND("_",B69,1)-1),VLOOKUP(LEFT(A69,6),'Code Library'!$D$3:$E$200,2,0))&amp;"_"&amp;RIGHT(A69,3)</f>
        <v>ASMFP_IDR</v>
      </c>
      <c r="I69" s="66" t="str">
        <f t="shared" si="1"/>
        <v>ULAMF2_IDR</v>
      </c>
      <c r="L69" t="s">
        <v>1986</v>
      </c>
    </row>
    <row r="70" spans="1:12">
      <c r="A70" t="s">
        <v>717</v>
      </c>
      <c r="B70" t="s">
        <v>724</v>
      </c>
      <c r="C70">
        <v>9</v>
      </c>
      <c r="D70">
        <v>709275000</v>
      </c>
      <c r="E70">
        <v>1458250000</v>
      </c>
      <c r="F70">
        <v>86052595</v>
      </c>
      <c r="H70" s="66" t="str">
        <f>IF(OR(LEFT(B70,FIND("_",B70,1)-1)="ULGALLOC",LEFT(B70,FIND("_",B70,1)-1)="ULSPOOL"),LEFT(B70,FIND("_",B70,1)-1),VLOOKUP(LEFT(A70,6),'Code Library'!$D$3:$E$200,2,0))&amp;"_"&amp;RIGHT(A70,3)</f>
        <v>ASMFP_IDR</v>
      </c>
      <c r="I70" s="66" t="str">
        <f t="shared" si="1"/>
        <v>ULAMF2_IDR</v>
      </c>
      <c r="L70" t="s">
        <v>1987</v>
      </c>
    </row>
    <row r="71" spans="1:12">
      <c r="A71" t="s">
        <v>717</v>
      </c>
      <c r="B71" t="s">
        <v>725</v>
      </c>
      <c r="C71">
        <v>13</v>
      </c>
      <c r="D71">
        <v>667000000</v>
      </c>
      <c r="E71">
        <v>1420000000</v>
      </c>
      <c r="F71">
        <v>401108931</v>
      </c>
      <c r="H71" s="66" t="str">
        <f>IF(OR(LEFT(B71,FIND("_",B71,1)-1)="ULGALLOC",LEFT(B71,FIND("_",B71,1)-1)="ULSPOOL"),LEFT(B71,FIND("_",B71,1)-1),VLOOKUP(LEFT(A71,6),'Code Library'!$D$3:$E$200,2,0))&amp;"_"&amp;RIGHT(A71,3)</f>
        <v>ASMFP_IDR</v>
      </c>
      <c r="I71" s="66" t="str">
        <f t="shared" si="1"/>
        <v>ULAMF2_IDR</v>
      </c>
      <c r="L71" t="s">
        <v>1988</v>
      </c>
    </row>
    <row r="72" spans="1:12">
      <c r="A72" t="s">
        <v>717</v>
      </c>
      <c r="B72" t="s">
        <v>726</v>
      </c>
      <c r="C72">
        <v>5</v>
      </c>
      <c r="D72">
        <v>174000000</v>
      </c>
      <c r="E72">
        <v>424500000</v>
      </c>
      <c r="F72">
        <v>144884660</v>
      </c>
      <c r="H72" s="66" t="str">
        <f>IF(OR(LEFT(B72,FIND("_",B72,1)-1)="ULGALLOC",LEFT(B72,FIND("_",B72,1)-1)="ULSPOOL"),LEFT(B72,FIND("_",B72,1)-1),VLOOKUP(LEFT(A72,6),'Code Library'!$D$3:$E$200,2,0))&amp;"_"&amp;RIGHT(A72,3)</f>
        <v>ASMFP_IDR</v>
      </c>
      <c r="I72" s="66" t="str">
        <f t="shared" si="1"/>
        <v>ULAMF2_IDR</v>
      </c>
      <c r="L72" t="s">
        <v>1989</v>
      </c>
    </row>
    <row r="73" spans="1:12">
      <c r="A73" t="s">
        <v>717</v>
      </c>
      <c r="B73" t="s">
        <v>727</v>
      </c>
      <c r="C73">
        <v>5</v>
      </c>
      <c r="D73">
        <v>85000000</v>
      </c>
      <c r="E73">
        <v>106250000</v>
      </c>
      <c r="F73">
        <v>82694341</v>
      </c>
      <c r="H73" s="66" t="str">
        <f>IF(OR(LEFT(B73,FIND("_",B73,1)-1)="ULGALLOC",LEFT(B73,FIND("_",B73,1)-1)="ULSPOOL"),LEFT(B73,FIND("_",B73,1)-1),VLOOKUP(LEFT(A73,6),'Code Library'!$D$3:$E$200,2,0))&amp;"_"&amp;RIGHT(A73,3)</f>
        <v>ASMFP_IDR</v>
      </c>
      <c r="I73" s="66" t="str">
        <f t="shared" si="1"/>
        <v>ULAMF2_IDR</v>
      </c>
      <c r="L73" t="s">
        <v>1990</v>
      </c>
    </row>
    <row r="74" spans="1:12">
      <c r="A74" t="s">
        <v>717</v>
      </c>
      <c r="B74" t="s">
        <v>728</v>
      </c>
      <c r="C74">
        <v>1</v>
      </c>
      <c r="D74">
        <v>12000000</v>
      </c>
      <c r="E74">
        <v>15000000</v>
      </c>
      <c r="F74">
        <v>9285636.2807899993</v>
      </c>
      <c r="H74" s="66" t="str">
        <f>IF(OR(LEFT(B74,FIND("_",B74,1)-1)="ULGALLOC",LEFT(B74,FIND("_",B74,1)-1)="ULSPOOL"),LEFT(B74,FIND("_",B74,1)-1),VLOOKUP(LEFT(A74,6),'Code Library'!$D$3:$E$200,2,0))&amp;"_"&amp;RIGHT(A74,3)</f>
        <v>ASMFP_IDR</v>
      </c>
      <c r="I74" s="66" t="str">
        <f t="shared" si="1"/>
        <v>ULAMF2_IDR</v>
      </c>
      <c r="L74" t="s">
        <v>1991</v>
      </c>
    </row>
    <row r="75" spans="1:12">
      <c r="A75" t="s">
        <v>717</v>
      </c>
      <c r="B75" t="s">
        <v>729</v>
      </c>
      <c r="C75">
        <v>5</v>
      </c>
      <c r="D75">
        <v>216000000</v>
      </c>
      <c r="E75">
        <v>357500000</v>
      </c>
      <c r="F75">
        <v>114081408.097783</v>
      </c>
      <c r="H75" s="66" t="str">
        <f>IF(OR(LEFT(B75,FIND("_",B75,1)-1)="ULGALLOC",LEFT(B75,FIND("_",B75,1)-1)="ULSPOOL"),LEFT(B75,FIND("_",B75,1)-1),VLOOKUP(LEFT(A75,6),'Code Library'!$D$3:$E$200,2,0))&amp;"_"&amp;RIGHT(A75,3)</f>
        <v>ASMFP_IDR</v>
      </c>
      <c r="I75" s="66" t="str">
        <f t="shared" si="1"/>
        <v>ULAMF2_IDR</v>
      </c>
      <c r="L75" t="s">
        <v>1992</v>
      </c>
    </row>
    <row r="76" spans="1:12">
      <c r="A76" t="s">
        <v>717</v>
      </c>
      <c r="B76" t="s">
        <v>730</v>
      </c>
      <c r="C76">
        <v>3</v>
      </c>
      <c r="D76">
        <v>325000000</v>
      </c>
      <c r="E76">
        <v>406250000</v>
      </c>
      <c r="F76">
        <v>332156783</v>
      </c>
      <c r="H76" s="66" t="str">
        <f>IF(OR(LEFT(B76,FIND("_",B76,1)-1)="ULGALLOC",LEFT(B76,FIND("_",B76,1)-1)="ULSPOOL"),LEFT(B76,FIND("_",B76,1)-1),VLOOKUP(LEFT(A76,6),'Code Library'!$D$3:$E$200,2,0))&amp;"_"&amp;RIGHT(A76,3)</f>
        <v>ASMFP_IDR</v>
      </c>
      <c r="I76" s="66" t="str">
        <f t="shared" si="1"/>
        <v>ULAMF2_IDR</v>
      </c>
      <c r="L76" t="s">
        <v>1993</v>
      </c>
    </row>
    <row r="77" spans="1:12">
      <c r="A77" t="s">
        <v>717</v>
      </c>
      <c r="B77" t="s">
        <v>731</v>
      </c>
      <c r="C77">
        <v>4</v>
      </c>
      <c r="D77">
        <v>54000000</v>
      </c>
      <c r="E77">
        <v>80000000</v>
      </c>
      <c r="F77">
        <v>31203053</v>
      </c>
      <c r="H77" s="66" t="str">
        <f>IF(OR(LEFT(B77,FIND("_",B77,1)-1)="ULGALLOC",LEFT(B77,FIND("_",B77,1)-1)="ULSPOOL"),LEFT(B77,FIND("_",B77,1)-1),VLOOKUP(LEFT(A77,6),'Code Library'!$D$3:$E$200,2,0))&amp;"_"&amp;RIGHT(A77,3)</f>
        <v>ASMFP_IDR</v>
      </c>
      <c r="I77" s="66" t="str">
        <f t="shared" si="1"/>
        <v>ULAMF2_IDR</v>
      </c>
      <c r="L77" t="s">
        <v>1994</v>
      </c>
    </row>
    <row r="78" spans="1:12">
      <c r="A78" t="s">
        <v>717</v>
      </c>
      <c r="B78" t="s">
        <v>732</v>
      </c>
      <c r="C78">
        <v>1</v>
      </c>
      <c r="D78">
        <v>50000000</v>
      </c>
      <c r="E78">
        <v>62500000</v>
      </c>
      <c r="F78">
        <v>56554886</v>
      </c>
      <c r="H78" s="66" t="str">
        <f>IF(OR(LEFT(B78,FIND("_",B78,1)-1)="ULGALLOC",LEFT(B78,FIND("_",B78,1)-1)="ULSPOOL"),LEFT(B78,FIND("_",B78,1)-1),VLOOKUP(LEFT(A78,6),'Code Library'!$D$3:$E$200,2,0))&amp;"_"&amp;RIGHT(A78,3)</f>
        <v>ASMFP_IDR</v>
      </c>
      <c r="I78" s="66" t="str">
        <f t="shared" si="1"/>
        <v>ULAMF2_IDR</v>
      </c>
      <c r="L78" t="s">
        <v>1995</v>
      </c>
    </row>
    <row r="79" spans="1:12">
      <c r="A79" t="s">
        <v>733</v>
      </c>
      <c r="B79" t="s">
        <v>734</v>
      </c>
      <c r="C79">
        <v>4</v>
      </c>
      <c r="D79">
        <v>130000000</v>
      </c>
      <c r="E79">
        <v>325000000</v>
      </c>
      <c r="F79">
        <v>37027021</v>
      </c>
      <c r="H79" s="66" t="str">
        <f>IF(OR(LEFT(B79,FIND("_",B79,1)-1)="ULGALLOC",LEFT(B79,FIND("_",B79,1)-1)="ULSPOOL"),LEFT(B79,FIND("_",B79,1)-1),VLOOKUP(LEFT(A79,6),'Code Library'!$D$3:$E$200,2,0))&amp;"_"&amp;RIGHT(A79,3)</f>
        <v>ASMFP_IDR</v>
      </c>
      <c r="I79" s="66" t="str">
        <f t="shared" si="1"/>
        <v>ULAMF2A_IDR</v>
      </c>
      <c r="L79" t="s">
        <v>1996</v>
      </c>
    </row>
    <row r="80" spans="1:12">
      <c r="A80" t="s">
        <v>733</v>
      </c>
      <c r="B80" t="s">
        <v>735</v>
      </c>
      <c r="C80">
        <v>8</v>
      </c>
      <c r="D80">
        <v>150000000</v>
      </c>
      <c r="E80">
        <v>227500000</v>
      </c>
      <c r="F80">
        <v>119797353</v>
      </c>
      <c r="H80" s="66" t="str">
        <f>IF(OR(LEFT(B80,FIND("_",B80,1)-1)="ULGALLOC",LEFT(B80,FIND("_",B80,1)-1)="ULSPOOL"),LEFT(B80,FIND("_",B80,1)-1),VLOOKUP(LEFT(A80,6),'Code Library'!$D$3:$E$200,2,0))&amp;"_"&amp;RIGHT(A80,3)</f>
        <v>ASMFP_IDR</v>
      </c>
      <c r="I80" s="66" t="str">
        <f t="shared" si="1"/>
        <v>ULAMF2A_IDR</v>
      </c>
      <c r="L80" t="s">
        <v>1997</v>
      </c>
    </row>
    <row r="81" spans="1:12">
      <c r="A81" t="s">
        <v>733</v>
      </c>
      <c r="B81" t="s">
        <v>736</v>
      </c>
      <c r="C81">
        <v>10</v>
      </c>
      <c r="D81">
        <v>195000000</v>
      </c>
      <c r="E81">
        <v>380000000</v>
      </c>
      <c r="F81">
        <v>163582588</v>
      </c>
      <c r="H81" s="66" t="str">
        <f>IF(OR(LEFT(B81,FIND("_",B81,1)-1)="ULGALLOC",LEFT(B81,FIND("_",B81,1)-1)="ULSPOOL"),LEFT(B81,FIND("_",B81,1)-1),VLOOKUP(LEFT(A81,6),'Code Library'!$D$3:$E$200,2,0))&amp;"_"&amp;RIGHT(A81,3)</f>
        <v>ASMFP_IDR</v>
      </c>
      <c r="I81" s="66" t="str">
        <f t="shared" si="1"/>
        <v>ULAMF2A_IDR</v>
      </c>
      <c r="L81" t="s">
        <v>1998</v>
      </c>
    </row>
    <row r="82" spans="1:12">
      <c r="A82" t="s">
        <v>733</v>
      </c>
      <c r="B82" t="s">
        <v>2210</v>
      </c>
      <c r="C82">
        <v>4</v>
      </c>
      <c r="D82">
        <v>57000000</v>
      </c>
      <c r="E82">
        <v>90000000</v>
      </c>
      <c r="F82">
        <v>49540069</v>
      </c>
      <c r="H82" s="66" t="str">
        <f>IF(OR(LEFT(B82,FIND("_",B82,1)-1)="ULGALLOC",LEFT(B82,FIND("_",B82,1)-1)="ULSPOOL"),LEFT(B82,FIND("_",B82,1)-1),VLOOKUP(LEFT(A82,6),'Code Library'!$D$3:$E$200,2,0))&amp;"_"&amp;RIGHT(A82,3)</f>
        <v>ASMFP_IDR</v>
      </c>
      <c r="I82" s="66" t="str">
        <f t="shared" si="1"/>
        <v>ULAMF2A_IDR</v>
      </c>
      <c r="L82" t="s">
        <v>1999</v>
      </c>
    </row>
    <row r="83" spans="1:12">
      <c r="A83" t="s">
        <v>733</v>
      </c>
      <c r="B83" t="s">
        <v>737</v>
      </c>
      <c r="C83">
        <v>1</v>
      </c>
      <c r="D83">
        <v>12000000</v>
      </c>
      <c r="E83">
        <v>15000000</v>
      </c>
      <c r="F83">
        <v>12498499</v>
      </c>
      <c r="H83" s="66" t="str">
        <f>IF(OR(LEFT(B83,FIND("_",B83,1)-1)="ULGALLOC",LEFT(B83,FIND("_",B83,1)-1)="ULSPOOL"),LEFT(B83,FIND("_",B83,1)-1),VLOOKUP(LEFT(A83,6),'Code Library'!$D$3:$E$200,2,0))&amp;"_"&amp;RIGHT(A83,3)</f>
        <v>ASMFP_IDR</v>
      </c>
      <c r="I83" s="66" t="str">
        <f t="shared" si="1"/>
        <v>ULAMF2A_IDR</v>
      </c>
      <c r="L83" t="s">
        <v>2000</v>
      </c>
    </row>
    <row r="84" spans="1:12">
      <c r="A84" t="s">
        <v>733</v>
      </c>
      <c r="B84" t="s">
        <v>738</v>
      </c>
      <c r="C84">
        <v>9</v>
      </c>
      <c r="D84">
        <v>495000000</v>
      </c>
      <c r="E84">
        <v>725000000</v>
      </c>
      <c r="F84">
        <v>245364749.414408</v>
      </c>
      <c r="H84" s="66" t="str">
        <f>IF(OR(LEFT(B84,FIND("_",B84,1)-1)="ULGALLOC",LEFT(B84,FIND("_",B84,1)-1)="ULSPOOL"),LEFT(B84,FIND("_",B84,1)-1),VLOOKUP(LEFT(A84,6),'Code Library'!$D$3:$E$200,2,0))&amp;"_"&amp;RIGHT(A84,3)</f>
        <v>ASMFP_IDR</v>
      </c>
      <c r="I84" s="66" t="str">
        <f t="shared" si="1"/>
        <v>ULAMF2A_IDR</v>
      </c>
      <c r="L84" t="s">
        <v>2001</v>
      </c>
    </row>
    <row r="85" spans="1:12">
      <c r="A85" t="s">
        <v>733</v>
      </c>
      <c r="B85" t="s">
        <v>739</v>
      </c>
      <c r="C85">
        <v>11</v>
      </c>
      <c r="D85">
        <v>776091045</v>
      </c>
      <c r="E85">
        <v>970163807</v>
      </c>
      <c r="F85">
        <v>460223285.67079902</v>
      </c>
      <c r="H85" s="66" t="str">
        <f>IF(OR(LEFT(B85,FIND("_",B85,1)-1)="ULGALLOC",LEFT(B85,FIND("_",B85,1)-1)="ULSPOOL"),LEFT(B85,FIND("_",B85,1)-1),VLOOKUP(LEFT(A85,6),'Code Library'!$D$3:$E$200,2,0))&amp;"_"&amp;RIGHT(A85,3)</f>
        <v>ASMFP_IDR</v>
      </c>
      <c r="I85" s="66" t="str">
        <f t="shared" si="1"/>
        <v>ULAMF2A_IDR</v>
      </c>
      <c r="L85" t="s">
        <v>2002</v>
      </c>
    </row>
    <row r="86" spans="1:12">
      <c r="A86" t="s">
        <v>733</v>
      </c>
      <c r="B86" t="s">
        <v>2211</v>
      </c>
      <c r="C86">
        <v>1</v>
      </c>
      <c r="D86">
        <v>12000000</v>
      </c>
      <c r="E86">
        <v>42000000</v>
      </c>
      <c r="F86">
        <v>33470263.357432</v>
      </c>
      <c r="H86" s="66" t="str">
        <f>IF(OR(LEFT(B86,FIND("_",B86,1)-1)="ULGALLOC",LEFT(B86,FIND("_",B86,1)-1)="ULSPOOL"),LEFT(B86,FIND("_",B86,1)-1),VLOOKUP(LEFT(A86,6),'Code Library'!$D$3:$E$200,2,0))&amp;"_"&amp;RIGHT(A86,3)</f>
        <v>ASMFP_IDR</v>
      </c>
      <c r="I86" s="66" t="str">
        <f t="shared" si="1"/>
        <v>ULAMF2A_IDR</v>
      </c>
      <c r="L86" t="s">
        <v>2003</v>
      </c>
    </row>
    <row r="87" spans="1:12">
      <c r="A87" t="s">
        <v>733</v>
      </c>
      <c r="B87" t="s">
        <v>740</v>
      </c>
      <c r="C87">
        <v>2</v>
      </c>
      <c r="D87">
        <v>87000000</v>
      </c>
      <c r="E87">
        <v>215000000</v>
      </c>
      <c r="F87">
        <v>54676354</v>
      </c>
      <c r="H87" s="66" t="str">
        <f>IF(OR(LEFT(B87,FIND("_",B87,1)-1)="ULGALLOC",LEFT(B87,FIND("_",B87,1)-1)="ULSPOOL"),LEFT(B87,FIND("_",B87,1)-1),VLOOKUP(LEFT(A87,6),'Code Library'!$D$3:$E$200,2,0))&amp;"_"&amp;RIGHT(A87,3)</f>
        <v>ASMFP_IDR</v>
      </c>
      <c r="I87" s="66" t="str">
        <f t="shared" si="1"/>
        <v>ULAMF2A_IDR</v>
      </c>
      <c r="L87" t="s">
        <v>2004</v>
      </c>
    </row>
    <row r="88" spans="1:12">
      <c r="A88" t="s">
        <v>733</v>
      </c>
      <c r="B88" t="s">
        <v>741</v>
      </c>
      <c r="C88">
        <v>1</v>
      </c>
      <c r="D88">
        <v>30000000</v>
      </c>
      <c r="E88">
        <v>100000000</v>
      </c>
      <c r="F88">
        <v>275461762.42169601</v>
      </c>
      <c r="H88" s="66" t="str">
        <f>IF(OR(LEFT(B88,FIND("_",B88,1)-1)="ULGALLOC",LEFT(B88,FIND("_",B88,1)-1)="ULSPOOL"),LEFT(B88,FIND("_",B88,1)-1),VLOOKUP(LEFT(A88,6),'Code Library'!$D$3:$E$200,2,0))&amp;"_"&amp;RIGHT(A88,3)</f>
        <v>ASMFP_IDR</v>
      </c>
      <c r="I88" s="66" t="str">
        <f t="shared" si="1"/>
        <v>ULAMF2A_IDR</v>
      </c>
      <c r="L88" t="s">
        <v>2005</v>
      </c>
    </row>
    <row r="89" spans="1:12">
      <c r="A89" t="s">
        <v>742</v>
      </c>
      <c r="B89" t="s">
        <v>743</v>
      </c>
      <c r="C89">
        <v>19</v>
      </c>
      <c r="D89">
        <v>985000000</v>
      </c>
      <c r="E89">
        <v>1816250000</v>
      </c>
      <c r="F89">
        <v>481488870.43104202</v>
      </c>
      <c r="H89" s="66" t="str">
        <f>IF(OR(LEFT(B89,FIND("_",B89,1)-1)="ULGALLOC",LEFT(B89,FIND("_",B89,1)-1)="ULSPOOL"),LEFT(B89,FIND("_",B89,1)-1),VLOOKUP(LEFT(A89,6),'Code Library'!$D$3:$E$200,2,0))&amp;"_"&amp;RIGHT(A89,3)</f>
        <v>ASMFP_IDR</v>
      </c>
      <c r="I89" s="66" t="str">
        <f t="shared" si="1"/>
        <v>ULAMFP_IDR</v>
      </c>
      <c r="L89" t="s">
        <v>2006</v>
      </c>
    </row>
    <row r="90" spans="1:12">
      <c r="A90" t="s">
        <v>742</v>
      </c>
      <c r="B90" t="s">
        <v>744</v>
      </c>
      <c r="C90">
        <v>6</v>
      </c>
      <c r="D90">
        <v>110500000</v>
      </c>
      <c r="E90">
        <v>175625000</v>
      </c>
      <c r="F90">
        <v>45429735</v>
      </c>
      <c r="H90" s="66" t="str">
        <f>IF(OR(LEFT(B90,FIND("_",B90,1)-1)="ULGALLOC",LEFT(B90,FIND("_",B90,1)-1)="ULSPOOL"),LEFT(B90,FIND("_",B90,1)-1),VLOOKUP(LEFT(A90,6),'Code Library'!$D$3:$E$200,2,0))&amp;"_"&amp;RIGHT(A90,3)</f>
        <v>ASMFP_IDR</v>
      </c>
      <c r="I90" s="66" t="str">
        <f t="shared" si="1"/>
        <v>ULAMFP_IDR</v>
      </c>
      <c r="L90" t="s">
        <v>2007</v>
      </c>
    </row>
    <row r="91" spans="1:12">
      <c r="A91" t="s">
        <v>742</v>
      </c>
      <c r="B91" t="s">
        <v>745</v>
      </c>
      <c r="C91">
        <v>4</v>
      </c>
      <c r="D91">
        <v>64000000</v>
      </c>
      <c r="E91">
        <v>106250000</v>
      </c>
      <c r="F91">
        <v>28234324.065368</v>
      </c>
      <c r="G91" s="55"/>
      <c r="H91" s="66" t="str">
        <f>IF(OR(LEFT(B91,FIND("_",B91,1)-1)="ULGALLOC",LEFT(B91,FIND("_",B91,1)-1)="ULSPOOL"),LEFT(B91,FIND("_",B91,1)-1),VLOOKUP(LEFT(A91,6),'Code Library'!$D$3:$E$200,2,0))&amp;"_"&amp;RIGHT(A91,3)</f>
        <v>ASMFP_IDR</v>
      </c>
      <c r="I91" s="66" t="str">
        <f t="shared" si="1"/>
        <v>ULAMFP_IDR</v>
      </c>
      <c r="L91" t="s">
        <v>2008</v>
      </c>
    </row>
    <row r="92" spans="1:12">
      <c r="A92" t="s">
        <v>746</v>
      </c>
      <c r="B92" t="s">
        <v>747</v>
      </c>
      <c r="C92">
        <v>47</v>
      </c>
      <c r="D92">
        <v>328499996</v>
      </c>
      <c r="E92">
        <v>9544000000</v>
      </c>
      <c r="F92">
        <v>1509394243.43064</v>
      </c>
      <c r="H92" s="66" t="str">
        <f>IF(OR(LEFT(B92,FIND("_",B92,1)-1)="ULGALLOC",LEFT(B92,FIND("_",B92,1)-1)="ULSPOOL"),LEFT(B92,FIND("_",B92,1)-1),VLOOKUP(LEFT(A92,6),'Code Library'!$D$3:$E$200,2,0))&amp;"_"&amp;RIGHT(A92,3)</f>
        <v>ASP_IDR</v>
      </c>
      <c r="I92" s="66" t="str">
        <f t="shared" si="1"/>
        <v>ULAP___IDR</v>
      </c>
      <c r="L92" t="s">
        <v>2009</v>
      </c>
    </row>
    <row r="93" spans="1:12">
      <c r="A93" t="s">
        <v>746</v>
      </c>
      <c r="B93" t="s">
        <v>748</v>
      </c>
      <c r="C93">
        <v>14</v>
      </c>
      <c r="D93">
        <v>47860000</v>
      </c>
      <c r="E93">
        <v>2073000000</v>
      </c>
      <c r="F93">
        <v>220668284.02539599</v>
      </c>
      <c r="G93" s="55"/>
      <c r="H93" s="66" t="str">
        <f>IF(OR(LEFT(B93,FIND("_",B93,1)-1)="ULGALLOC",LEFT(B93,FIND("_",B93,1)-1)="ULSPOOL"),LEFT(B93,FIND("_",B93,1)-1),VLOOKUP(LEFT(A93,6),'Code Library'!$D$3:$E$200,2,0))&amp;"_"&amp;RIGHT(A93,3)</f>
        <v>ASP_IDR</v>
      </c>
      <c r="I93" s="66" t="str">
        <f t="shared" si="1"/>
        <v>ULAP___IDR</v>
      </c>
      <c r="L93" t="s">
        <v>2010</v>
      </c>
    </row>
    <row r="94" spans="1:12">
      <c r="A94" t="s">
        <v>749</v>
      </c>
      <c r="B94" t="s">
        <v>750</v>
      </c>
      <c r="C94">
        <v>3579</v>
      </c>
      <c r="D94">
        <v>21364985936</v>
      </c>
      <c r="E94">
        <v>748778556900</v>
      </c>
      <c r="F94">
        <v>56713875350.032799</v>
      </c>
      <c r="G94" s="55"/>
      <c r="H94" s="66" t="str">
        <f>IF(OR(LEFT(B94,FIND("_",B94,1)-1)="ULGALLOC",LEFT(B94,FIND("_",B94,1)-1)="ULSPOOL"),LEFT(B94,FIND("_",B94,1)-1),VLOOKUP(LEFT(A94,6),'Code Library'!$D$3:$E$200,2,0))&amp;"_"&amp;RIGHT(A94,3)</f>
        <v>ASPOA_IDR</v>
      </c>
      <c r="I94" s="66" t="str">
        <f t="shared" si="1"/>
        <v>ULAPO1_IDR</v>
      </c>
      <c r="L94" t="s">
        <v>2011</v>
      </c>
    </row>
    <row r="95" spans="1:12">
      <c r="A95" t="s">
        <v>749</v>
      </c>
      <c r="B95" t="s">
        <v>751</v>
      </c>
      <c r="C95">
        <v>569</v>
      </c>
      <c r="D95">
        <v>2882096000</v>
      </c>
      <c r="E95">
        <v>115239000000</v>
      </c>
      <c r="F95">
        <v>7618596362.8054895</v>
      </c>
      <c r="G95" s="55"/>
      <c r="H95" s="66" t="str">
        <f>IF(OR(LEFT(B95,FIND("_",B95,1)-1)="ULGALLOC",LEFT(B95,FIND("_",B95,1)-1)="ULSPOOL"),LEFT(B95,FIND("_",B95,1)-1),VLOOKUP(LEFT(A95,6),'Code Library'!$D$3:$E$200,2,0))&amp;"_"&amp;RIGHT(A95,3)</f>
        <v>ASPOA_IDR</v>
      </c>
      <c r="I95" s="66" t="str">
        <f t="shared" si="1"/>
        <v>ULAPO1_IDR</v>
      </c>
      <c r="L95" t="s">
        <v>2012</v>
      </c>
    </row>
    <row r="96" spans="1:12">
      <c r="A96" t="s">
        <v>749</v>
      </c>
      <c r="B96" t="s">
        <v>752</v>
      </c>
      <c r="C96">
        <v>4145</v>
      </c>
      <c r="D96">
        <v>31791647404</v>
      </c>
      <c r="E96">
        <v>1509725120350</v>
      </c>
      <c r="F96">
        <v>76893419978.018295</v>
      </c>
      <c r="G96" s="55"/>
      <c r="H96" s="66" t="str">
        <f>IF(OR(LEFT(B96,FIND("_",B96,1)-1)="ULGALLOC",LEFT(B96,FIND("_",B96,1)-1)="ULSPOOL"),LEFT(B96,FIND("_",B96,1)-1),VLOOKUP(LEFT(A96,6),'Code Library'!$D$3:$E$200,2,0))&amp;"_"&amp;RIGHT(A96,3)</f>
        <v>ASPOA_IDR</v>
      </c>
      <c r="I96" s="66" t="str">
        <f t="shared" si="1"/>
        <v>ULAPO1_IDR</v>
      </c>
      <c r="L96" t="s">
        <v>2013</v>
      </c>
    </row>
    <row r="97" spans="1:12">
      <c r="A97" t="s">
        <v>749</v>
      </c>
      <c r="B97" t="s">
        <v>753</v>
      </c>
      <c r="C97">
        <v>565</v>
      </c>
      <c r="D97">
        <v>4404056696</v>
      </c>
      <c r="E97">
        <v>227027200900</v>
      </c>
      <c r="F97">
        <v>9545318204.9602108</v>
      </c>
      <c r="H97" s="66" t="str">
        <f>IF(OR(LEFT(B97,FIND("_",B97,1)-1)="ULGALLOC",LEFT(B97,FIND("_",B97,1)-1)="ULSPOOL"),LEFT(B97,FIND("_",B97,1)-1),VLOOKUP(LEFT(A97,6),'Code Library'!$D$3:$E$200,2,0))&amp;"_"&amp;RIGHT(A97,3)</f>
        <v>ASPOA_IDR</v>
      </c>
      <c r="I97" s="66" t="str">
        <f t="shared" si="1"/>
        <v>ULAPO1_IDR</v>
      </c>
      <c r="L97" t="s">
        <v>2014</v>
      </c>
    </row>
    <row r="98" spans="1:12">
      <c r="A98" t="s">
        <v>749</v>
      </c>
      <c r="B98" t="s">
        <v>754</v>
      </c>
      <c r="C98">
        <v>5</v>
      </c>
      <c r="D98">
        <v>18000000</v>
      </c>
      <c r="E98">
        <v>1150000000</v>
      </c>
      <c r="F98">
        <v>66396874.416606002</v>
      </c>
      <c r="G98" s="55"/>
      <c r="H98" s="66" t="str">
        <f>IF(OR(LEFT(B98,FIND("_",B98,1)-1)="ULGALLOC",LEFT(B98,FIND("_",B98,1)-1)="ULSPOOL"),LEFT(B98,FIND("_",B98,1)-1),VLOOKUP(LEFT(A98,6),'Code Library'!$D$3:$E$200,2,0))&amp;"_"&amp;RIGHT(A98,3)</f>
        <v>ASPOA_IDR</v>
      </c>
      <c r="I98" s="66" t="str">
        <f t="shared" si="1"/>
        <v>ULAPO1_IDR</v>
      </c>
      <c r="L98" t="s">
        <v>2015</v>
      </c>
    </row>
    <row r="99" spans="1:12">
      <c r="A99" t="s">
        <v>755</v>
      </c>
      <c r="B99" t="s">
        <v>756</v>
      </c>
      <c r="C99">
        <v>2847</v>
      </c>
      <c r="D99">
        <v>36343081308</v>
      </c>
      <c r="E99">
        <v>893657345000</v>
      </c>
      <c r="F99">
        <v>62517828856.997498</v>
      </c>
      <c r="G99" s="55"/>
      <c r="H99" s="66" t="str">
        <f>IF(OR(LEFT(B99,FIND("_",B99,1)-1)="ULGALLOC",LEFT(B99,FIND("_",B99,1)-1)="ULSPOOL"),LEFT(B99,FIND("_",B99,1)-1),VLOOKUP(LEFT(A99,6),'Code Library'!$D$3:$E$200,2,0))&amp;"_"&amp;RIGHT(A99,3)</f>
        <v>ASPOA_IDR</v>
      </c>
      <c r="I99" s="66" t="str">
        <f t="shared" si="1"/>
        <v>ULAPO2_IDR</v>
      </c>
      <c r="L99" t="s">
        <v>2016</v>
      </c>
    </row>
    <row r="100" spans="1:12">
      <c r="A100" t="s">
        <v>755</v>
      </c>
      <c r="B100" t="s">
        <v>757</v>
      </c>
      <c r="C100">
        <v>352</v>
      </c>
      <c r="D100">
        <v>4237160000</v>
      </c>
      <c r="E100">
        <v>98990300000</v>
      </c>
      <c r="F100">
        <v>7175897874.8051996</v>
      </c>
      <c r="G100" s="55"/>
      <c r="H100" s="66" t="str">
        <f>IF(OR(LEFT(B100,FIND("_",B100,1)-1)="ULGALLOC",LEFT(B100,FIND("_",B100,1)-1)="ULSPOOL"),LEFT(B100,FIND("_",B100,1)-1),VLOOKUP(LEFT(A100,6),'Code Library'!$D$3:$E$200,2,0))&amp;"_"&amp;RIGHT(A100,3)</f>
        <v>ASPOA_IDR</v>
      </c>
      <c r="I100" s="66" t="str">
        <f t="shared" si="1"/>
        <v>ULAPO2_IDR</v>
      </c>
      <c r="L100" t="s">
        <v>2017</v>
      </c>
    </row>
    <row r="101" spans="1:12">
      <c r="A101" t="s">
        <v>755</v>
      </c>
      <c r="B101" t="s">
        <v>758</v>
      </c>
      <c r="C101">
        <v>3381</v>
      </c>
      <c r="D101">
        <v>55177876304</v>
      </c>
      <c r="E101">
        <v>1491119400000</v>
      </c>
      <c r="F101">
        <v>90004865257.880295</v>
      </c>
      <c r="G101" s="55"/>
      <c r="H101" s="66" t="str">
        <f>IF(OR(LEFT(B101,FIND("_",B101,1)-1)="ULGALLOC",LEFT(B101,FIND("_",B101,1)-1)="ULSPOOL"),LEFT(B101,FIND("_",B101,1)-1),VLOOKUP(LEFT(A101,6),'Code Library'!$D$3:$E$200,2,0))&amp;"_"&amp;RIGHT(A101,3)</f>
        <v>ASPOA_IDR</v>
      </c>
      <c r="I101" s="66" t="str">
        <f t="shared" si="1"/>
        <v>ULAPO2_IDR</v>
      </c>
      <c r="L101" t="s">
        <v>2018</v>
      </c>
    </row>
    <row r="102" spans="1:12">
      <c r="A102" t="s">
        <v>755</v>
      </c>
      <c r="B102" t="s">
        <v>759</v>
      </c>
      <c r="C102">
        <v>477</v>
      </c>
      <c r="D102">
        <v>6561444000</v>
      </c>
      <c r="E102">
        <v>185378600000</v>
      </c>
      <c r="F102">
        <v>9252825054.2124004</v>
      </c>
      <c r="H102" s="66" t="str">
        <f>IF(OR(LEFT(B102,FIND("_",B102,1)-1)="ULGALLOC",LEFT(B102,FIND("_",B102,1)-1)="ULSPOOL"),LEFT(B102,FIND("_",B102,1)-1),VLOOKUP(LEFT(A102,6),'Code Library'!$D$3:$E$200,2,0))&amp;"_"&amp;RIGHT(A102,3)</f>
        <v>ASPOA_IDR</v>
      </c>
      <c r="I102" s="66" t="str">
        <f t="shared" si="1"/>
        <v>ULAPO2_IDR</v>
      </c>
      <c r="L102" t="s">
        <v>2019</v>
      </c>
    </row>
    <row r="103" spans="1:12">
      <c r="A103" t="s">
        <v>755</v>
      </c>
      <c r="B103" t="s">
        <v>760</v>
      </c>
      <c r="C103">
        <v>3</v>
      </c>
      <c r="D103">
        <v>16800000</v>
      </c>
      <c r="E103">
        <v>750000000</v>
      </c>
      <c r="F103">
        <v>44999499.101828001</v>
      </c>
      <c r="G103" s="55"/>
      <c r="H103" s="66" t="str">
        <f>IF(OR(LEFT(B103,FIND("_",B103,1)-1)="ULGALLOC",LEFT(B103,FIND("_",B103,1)-1)="ULSPOOL"),LEFT(B103,FIND("_",B103,1)-1),VLOOKUP(LEFT(A103,6),'Code Library'!$D$3:$E$200,2,0))&amp;"_"&amp;RIGHT(A103,3)</f>
        <v>ASPOA_IDR</v>
      </c>
      <c r="I103" s="66" t="str">
        <f t="shared" si="1"/>
        <v>ULAPO2_IDR</v>
      </c>
      <c r="L103" t="s">
        <v>2020</v>
      </c>
    </row>
    <row r="104" spans="1:12">
      <c r="A104" t="s">
        <v>761</v>
      </c>
      <c r="B104" t="s">
        <v>762</v>
      </c>
      <c r="C104">
        <v>266</v>
      </c>
      <c r="D104">
        <v>1884576000</v>
      </c>
      <c r="E104">
        <v>75385000000</v>
      </c>
      <c r="F104">
        <v>6100966358.4734001</v>
      </c>
      <c r="G104" s="55"/>
      <c r="H104" s="66" t="str">
        <f>IF(OR(LEFT(B104,FIND("_",B104,1)-1)="ULGALLOC",LEFT(B104,FIND("_",B104,1)-1)="ULSPOOL"),LEFT(B104,FIND("_",B104,1)-1),VLOOKUP(LEFT(A104,6),'Code Library'!$D$3:$E$200,2,0))&amp;"_"&amp;RIGHT(A104,3)</f>
        <v>ASPOA_IDR</v>
      </c>
      <c r="I104" s="66" t="str">
        <f t="shared" si="1"/>
        <v>ULAPO3_IDR</v>
      </c>
      <c r="L104" t="s">
        <v>2021</v>
      </c>
    </row>
    <row r="105" spans="1:12">
      <c r="A105" t="s">
        <v>761</v>
      </c>
      <c r="B105" t="s">
        <v>763</v>
      </c>
      <c r="C105">
        <v>633</v>
      </c>
      <c r="D105">
        <v>4375562532</v>
      </c>
      <c r="E105">
        <v>181325700000</v>
      </c>
      <c r="F105">
        <v>9220473699.6925602</v>
      </c>
      <c r="G105" s="55"/>
      <c r="H105" s="66" t="str">
        <f>IF(OR(LEFT(B105,FIND("_",B105,1)-1)="ULGALLOC",LEFT(B105,FIND("_",B105,1)-1)="ULSPOOL"),LEFT(B105,FIND("_",B105,1)-1),VLOOKUP(LEFT(A105,6),'Code Library'!$D$3:$E$200,2,0))&amp;"_"&amp;RIGHT(A105,3)</f>
        <v>ASPOA_IDR</v>
      </c>
      <c r="I105" s="66" t="str">
        <f t="shared" si="1"/>
        <v>ULAPO3_IDR</v>
      </c>
      <c r="L105" t="s">
        <v>2022</v>
      </c>
    </row>
    <row r="106" spans="1:12">
      <c r="A106" t="s">
        <v>761</v>
      </c>
      <c r="B106" t="s">
        <v>764</v>
      </c>
      <c r="C106">
        <v>597</v>
      </c>
      <c r="D106">
        <v>4263363331.7140398</v>
      </c>
      <c r="E106">
        <v>178867000000</v>
      </c>
      <c r="F106">
        <v>7392926859.6989002</v>
      </c>
      <c r="G106" s="55"/>
      <c r="H106" s="66" t="str">
        <f>IF(OR(LEFT(B106,FIND("_",B106,1)-1)="ULGALLOC",LEFT(B106,FIND("_",B106,1)-1)="ULSPOOL"),LEFT(B106,FIND("_",B106,1)-1),VLOOKUP(LEFT(A106,6),'Code Library'!$D$3:$E$200,2,0))&amp;"_"&amp;RIGHT(A106,3)</f>
        <v>ASPOA_IDR</v>
      </c>
      <c r="I106" s="66" t="str">
        <f t="shared" si="1"/>
        <v>ULAPO3_IDR</v>
      </c>
      <c r="L106" t="s">
        <v>2023</v>
      </c>
    </row>
    <row r="107" spans="1:12">
      <c r="A107" t="s">
        <v>761</v>
      </c>
      <c r="B107" t="s">
        <v>765</v>
      </c>
      <c r="C107">
        <v>467</v>
      </c>
      <c r="D107">
        <v>4480434596</v>
      </c>
      <c r="E107">
        <v>138446500000</v>
      </c>
      <c r="F107">
        <v>7229708042.90065</v>
      </c>
      <c r="G107" s="55"/>
      <c r="H107" s="66" t="str">
        <f>IF(OR(LEFT(B107,FIND("_",B107,1)-1)="ULGALLOC",LEFT(B107,FIND("_",B107,1)-1)="ULSPOOL"),LEFT(B107,FIND("_",B107,1)-1),VLOOKUP(LEFT(A107,6),'Code Library'!$D$3:$E$200,2,0))&amp;"_"&amp;RIGHT(A107,3)</f>
        <v>ASPOA_IDR</v>
      </c>
      <c r="I107" s="66" t="str">
        <f t="shared" si="1"/>
        <v>ULAPO3_IDR</v>
      </c>
      <c r="L107" t="s">
        <v>2024</v>
      </c>
    </row>
    <row r="108" spans="1:12">
      <c r="A108" t="s">
        <v>761</v>
      </c>
      <c r="B108" t="s">
        <v>766</v>
      </c>
      <c r="C108">
        <v>65</v>
      </c>
      <c r="D108">
        <v>659236000</v>
      </c>
      <c r="E108">
        <v>18505000000</v>
      </c>
      <c r="F108">
        <v>824733144.40897</v>
      </c>
      <c r="G108" s="55"/>
      <c r="H108" s="66" t="str">
        <f>IF(OR(LEFT(B108,FIND("_",B108,1)-1)="ULGALLOC",LEFT(B108,FIND("_",B108,1)-1)="ULSPOOL"),LEFT(B108,FIND("_",B108,1)-1),VLOOKUP(LEFT(A108,6),'Code Library'!$D$3:$E$200,2,0))&amp;"_"&amp;RIGHT(A108,3)</f>
        <v>ASPOA_IDR</v>
      </c>
      <c r="I108" s="66" t="str">
        <f t="shared" si="1"/>
        <v>ULAPO3_IDR</v>
      </c>
      <c r="L108" t="s">
        <v>2025</v>
      </c>
    </row>
    <row r="109" spans="1:12">
      <c r="A109" t="s">
        <v>761</v>
      </c>
      <c r="B109" t="s">
        <v>767</v>
      </c>
      <c r="C109">
        <v>65</v>
      </c>
      <c r="D109">
        <v>598940000</v>
      </c>
      <c r="E109">
        <v>17314000000</v>
      </c>
      <c r="F109">
        <v>1183766897.03773</v>
      </c>
      <c r="G109" s="55"/>
      <c r="H109" s="66" t="str">
        <f>IF(OR(LEFT(B109,FIND("_",B109,1)-1)="ULGALLOC",LEFT(B109,FIND("_",B109,1)-1)="ULSPOOL"),LEFT(B109,FIND("_",B109,1)-1),VLOOKUP(LEFT(A109,6),'Code Library'!$D$3:$E$200,2,0))&amp;"_"&amp;RIGHT(A109,3)</f>
        <v>ASPOA_IDR</v>
      </c>
      <c r="I109" s="66" t="str">
        <f t="shared" si="1"/>
        <v>ULAPO3_IDR</v>
      </c>
      <c r="L109" t="s">
        <v>2026</v>
      </c>
    </row>
    <row r="110" spans="1:12">
      <c r="A110" t="s">
        <v>761</v>
      </c>
      <c r="B110" t="s">
        <v>768</v>
      </c>
      <c r="C110">
        <v>889</v>
      </c>
      <c r="D110">
        <v>7374747988</v>
      </c>
      <c r="E110">
        <v>273090000000</v>
      </c>
      <c r="F110">
        <v>14358636042.520901</v>
      </c>
      <c r="G110" s="55"/>
      <c r="H110" s="66" t="str">
        <f>IF(OR(LEFT(B110,FIND("_",B110,1)-1)="ULGALLOC",LEFT(B110,FIND("_",B110,1)-1)="ULSPOOL"),LEFT(B110,FIND("_",B110,1)-1),VLOOKUP(LEFT(A110,6),'Code Library'!$D$3:$E$200,2,0))&amp;"_"&amp;RIGHT(A110,3)</f>
        <v>ASPOA_IDR</v>
      </c>
      <c r="I110" s="66" t="str">
        <f t="shared" si="1"/>
        <v>ULAPO3_IDR</v>
      </c>
      <c r="L110" t="s">
        <v>2027</v>
      </c>
    </row>
    <row r="111" spans="1:12">
      <c r="A111" t="s">
        <v>761</v>
      </c>
      <c r="B111" t="s">
        <v>769</v>
      </c>
      <c r="C111">
        <v>1435</v>
      </c>
      <c r="D111">
        <v>12876300366.0658</v>
      </c>
      <c r="E111">
        <v>470914332152</v>
      </c>
      <c r="F111">
        <v>20150481423.643299</v>
      </c>
      <c r="G111" s="55"/>
      <c r="H111" s="66" t="str">
        <f>IF(OR(LEFT(B111,FIND("_",B111,1)-1)="ULGALLOC",LEFT(B111,FIND("_",B111,1)-1)="ULSPOOL"),LEFT(B111,FIND("_",B111,1)-1),VLOOKUP(LEFT(A111,6),'Code Library'!$D$3:$E$200,2,0))&amp;"_"&amp;RIGHT(A111,3)</f>
        <v>ASPOA_IDR</v>
      </c>
      <c r="I111" s="66" t="str">
        <f t="shared" si="1"/>
        <v>ULAPO3_IDR</v>
      </c>
      <c r="L111" t="s">
        <v>2028</v>
      </c>
    </row>
    <row r="112" spans="1:12">
      <c r="A112" t="s">
        <v>761</v>
      </c>
      <c r="B112" t="s">
        <v>770</v>
      </c>
      <c r="C112">
        <v>1672</v>
      </c>
      <c r="D112">
        <v>14977722239.2271</v>
      </c>
      <c r="E112">
        <v>475702780500</v>
      </c>
      <c r="F112">
        <v>22994229924.512402</v>
      </c>
      <c r="H112" s="66" t="str">
        <f>IF(OR(LEFT(B112,FIND("_",B112,1)-1)="ULGALLOC",LEFT(B112,FIND("_",B112,1)-1)="ULSPOOL"),LEFT(B112,FIND("_",B112,1)-1),VLOOKUP(LEFT(A112,6),'Code Library'!$D$3:$E$200,2,0))&amp;"_"&amp;RIGHT(A112,3)</f>
        <v>ASPOA_IDR</v>
      </c>
      <c r="I112" s="66" t="str">
        <f t="shared" si="1"/>
        <v>ULAPO3_IDR</v>
      </c>
      <c r="L112" t="s">
        <v>2029</v>
      </c>
    </row>
    <row r="113" spans="1:12">
      <c r="A113" t="s">
        <v>761</v>
      </c>
      <c r="B113" t="s">
        <v>771</v>
      </c>
      <c r="C113">
        <v>143</v>
      </c>
      <c r="D113">
        <v>1212624000</v>
      </c>
      <c r="E113">
        <v>33657500000</v>
      </c>
      <c r="F113">
        <v>1608978007.6317301</v>
      </c>
      <c r="G113" s="55"/>
      <c r="H113" s="66" t="str">
        <f>IF(OR(LEFT(B113,FIND("_",B113,1)-1)="ULGALLOC",LEFT(B113,FIND("_",B113,1)-1)="ULSPOOL"),LEFT(B113,FIND("_",B113,1)-1),VLOOKUP(LEFT(A113,6),'Code Library'!$D$3:$E$200,2,0))&amp;"_"&amp;RIGHT(A113,3)</f>
        <v>ASPOA_IDR</v>
      </c>
      <c r="I113" s="66" t="str">
        <f t="shared" si="1"/>
        <v>ULAPO3_IDR</v>
      </c>
      <c r="L113" t="s">
        <v>2030</v>
      </c>
    </row>
    <row r="114" spans="1:12">
      <c r="A114" t="s">
        <v>761</v>
      </c>
      <c r="B114" t="s">
        <v>772</v>
      </c>
      <c r="C114">
        <v>392</v>
      </c>
      <c r="D114">
        <v>3217490012</v>
      </c>
      <c r="E114">
        <v>155114840000</v>
      </c>
      <c r="F114">
        <v>6406331526.45121</v>
      </c>
      <c r="G114" s="55"/>
      <c r="H114" s="66" t="str">
        <f>IF(OR(LEFT(B114,FIND("_",B114,1)-1)="ULGALLOC",LEFT(B114,FIND("_",B114,1)-1)="ULSPOOL"),LEFT(B114,FIND("_",B114,1)-1),VLOOKUP(LEFT(A114,6),'Code Library'!$D$3:$E$200,2,0))&amp;"_"&amp;RIGHT(A114,3)</f>
        <v>ASPOA_IDR</v>
      </c>
      <c r="I114" s="66" t="str">
        <f t="shared" si="1"/>
        <v>ULAPO3_IDR</v>
      </c>
      <c r="L114" t="s">
        <v>2031</v>
      </c>
    </row>
    <row r="115" spans="1:12">
      <c r="A115" t="s">
        <v>761</v>
      </c>
      <c r="B115" t="s">
        <v>773</v>
      </c>
      <c r="C115">
        <v>954</v>
      </c>
      <c r="D115">
        <v>7822158280</v>
      </c>
      <c r="E115">
        <v>394749779199</v>
      </c>
      <c r="F115">
        <v>14113767647.1047</v>
      </c>
      <c r="G115" s="55"/>
      <c r="H115" s="66" t="str">
        <f>IF(OR(LEFT(B115,FIND("_",B115,1)-1)="ULGALLOC",LEFT(B115,FIND("_",B115,1)-1)="ULSPOOL"),LEFT(B115,FIND("_",B115,1)-1),VLOOKUP(LEFT(A115,6),'Code Library'!$D$3:$E$200,2,0))&amp;"_"&amp;RIGHT(A115,3)</f>
        <v>ASPOA_IDR</v>
      </c>
      <c r="I115" s="66" t="str">
        <f t="shared" si="1"/>
        <v>ULAPO3_IDR</v>
      </c>
      <c r="L115" t="s">
        <v>2032</v>
      </c>
    </row>
    <row r="116" spans="1:12">
      <c r="A116" t="s">
        <v>761</v>
      </c>
      <c r="B116" t="s">
        <v>774</v>
      </c>
      <c r="C116">
        <v>955</v>
      </c>
      <c r="D116">
        <v>7534966420</v>
      </c>
      <c r="E116">
        <v>359145400000</v>
      </c>
      <c r="F116">
        <v>13051341309.4457</v>
      </c>
      <c r="G116" s="55"/>
      <c r="H116" s="66" t="str">
        <f>IF(OR(LEFT(B116,FIND("_",B116,1)-1)="ULGALLOC",LEFT(B116,FIND("_",B116,1)-1)="ULSPOOL"),LEFT(B116,FIND("_",B116,1)-1),VLOOKUP(LEFT(A116,6),'Code Library'!$D$3:$E$200,2,0))&amp;"_"&amp;RIGHT(A116,3)</f>
        <v>ASPOA_IDR</v>
      </c>
      <c r="I116" s="66" t="str">
        <f t="shared" si="1"/>
        <v>ULAPO3_IDR</v>
      </c>
      <c r="L116" t="s">
        <v>2033</v>
      </c>
    </row>
    <row r="117" spans="1:12">
      <c r="A117" t="s">
        <v>761</v>
      </c>
      <c r="B117" t="s">
        <v>775</v>
      </c>
      <c r="C117">
        <v>724</v>
      </c>
      <c r="D117">
        <v>5829956000</v>
      </c>
      <c r="E117">
        <v>290134200000</v>
      </c>
      <c r="F117">
        <v>9665495431.7963696</v>
      </c>
      <c r="H117" s="66" t="str">
        <f>IF(OR(LEFT(B117,FIND("_",B117,1)-1)="ULGALLOC",LEFT(B117,FIND("_",B117,1)-1)="ULSPOOL"),LEFT(B117,FIND("_",B117,1)-1),VLOOKUP(LEFT(A117,6),'Code Library'!$D$3:$E$200,2,0))&amp;"_"&amp;RIGHT(A117,3)</f>
        <v>ASPOA_IDR</v>
      </c>
      <c r="I117" s="66" t="str">
        <f t="shared" si="1"/>
        <v>ULAPO3_IDR</v>
      </c>
      <c r="L117" t="s">
        <v>2034</v>
      </c>
    </row>
    <row r="118" spans="1:12">
      <c r="A118" t="s">
        <v>761</v>
      </c>
      <c r="B118" t="s">
        <v>776</v>
      </c>
      <c r="C118">
        <v>51</v>
      </c>
      <c r="D118">
        <v>469644000</v>
      </c>
      <c r="E118">
        <v>17607000000</v>
      </c>
      <c r="F118">
        <v>550667362.241256</v>
      </c>
      <c r="H118" s="66" t="str">
        <f>IF(OR(LEFT(B118,FIND("_",B118,1)-1)="ULGALLOC",LEFT(B118,FIND("_",B118,1)-1)="ULSPOOL"),LEFT(B118,FIND("_",B118,1)-1),VLOOKUP(LEFT(A118,6),'Code Library'!$D$3:$E$200,2,0))&amp;"_"&amp;RIGHT(A118,3)</f>
        <v>ASPOA_IDR</v>
      </c>
      <c r="I118" s="66" t="str">
        <f t="shared" si="1"/>
        <v>ULAPO3_IDR</v>
      </c>
      <c r="L118" t="s">
        <v>2035</v>
      </c>
    </row>
    <row r="119" spans="1:12">
      <c r="A119" t="s">
        <v>777</v>
      </c>
      <c r="B119" t="s">
        <v>778</v>
      </c>
      <c r="C119">
        <v>2</v>
      </c>
      <c r="D119">
        <v>9881760</v>
      </c>
      <c r="E119">
        <v>325000000</v>
      </c>
      <c r="F119">
        <v>12018933.698666999</v>
      </c>
      <c r="H119" s="66" t="str">
        <f>IF(OR(LEFT(B119,FIND("_",B119,1)-1)="ULGALLOC",LEFT(B119,FIND("_",B119,1)-1)="ULSPOOL"),LEFT(B119,FIND("_",B119,1)-1),VLOOKUP(LEFT(A119,6),'Code Library'!$D$3:$E$200,2,0))&amp;"_"&amp;RIGHT(A119,3)</f>
        <v>ASPOA_IDR</v>
      </c>
      <c r="I119" s="66" t="str">
        <f t="shared" si="1"/>
        <v>ULAPO3A_IDR</v>
      </c>
      <c r="L119" t="s">
        <v>2036</v>
      </c>
    </row>
    <row r="120" spans="1:12">
      <c r="A120" t="s">
        <v>779</v>
      </c>
      <c r="B120" t="s">
        <v>780</v>
      </c>
      <c r="C120">
        <v>225</v>
      </c>
      <c r="D120">
        <v>3390269992</v>
      </c>
      <c r="E120">
        <v>70155400000</v>
      </c>
      <c r="F120">
        <v>5284626972.1764202</v>
      </c>
      <c r="G120" s="55"/>
      <c r="H120" s="66" t="str">
        <f>IF(OR(LEFT(B120,FIND("_",B120,1)-1)="ULGALLOC",LEFT(B120,FIND("_",B120,1)-1)="ULSPOOL"),LEFT(B120,FIND("_",B120,1)-1),VLOOKUP(LEFT(A120,6),'Code Library'!$D$3:$E$200,2,0))&amp;"_"&amp;RIGHT(A120,3)</f>
        <v>ASPOA_IDR</v>
      </c>
      <c r="I120" s="66" t="str">
        <f t="shared" si="1"/>
        <v>ULAPO4_IDR</v>
      </c>
      <c r="L120" t="s">
        <v>2037</v>
      </c>
    </row>
    <row r="121" spans="1:12">
      <c r="A121" t="s">
        <v>779</v>
      </c>
      <c r="B121" t="s">
        <v>781</v>
      </c>
      <c r="C121">
        <v>559</v>
      </c>
      <c r="D121">
        <v>7635736648</v>
      </c>
      <c r="E121">
        <v>196983800000</v>
      </c>
      <c r="F121">
        <v>11251899288.7561</v>
      </c>
      <c r="G121" s="55"/>
      <c r="H121" s="66" t="str">
        <f>IF(OR(LEFT(B121,FIND("_",B121,1)-1)="ULGALLOC",LEFT(B121,FIND("_",B121,1)-1)="ULSPOOL"),LEFT(B121,FIND("_",B121,1)-1),VLOOKUP(LEFT(A121,6),'Code Library'!$D$3:$E$200,2,0))&amp;"_"&amp;RIGHT(A121,3)</f>
        <v>ASPOA_IDR</v>
      </c>
      <c r="I121" s="66" t="str">
        <f t="shared" si="1"/>
        <v>ULAPO4_IDR</v>
      </c>
      <c r="L121" t="s">
        <v>2038</v>
      </c>
    </row>
    <row r="122" spans="1:12">
      <c r="A122" t="s">
        <v>779</v>
      </c>
      <c r="B122" t="s">
        <v>782</v>
      </c>
      <c r="C122">
        <v>517</v>
      </c>
      <c r="D122">
        <v>7260305426.52314</v>
      </c>
      <c r="E122">
        <v>173940000000</v>
      </c>
      <c r="F122">
        <v>9921562499.8828201</v>
      </c>
      <c r="G122" s="55"/>
      <c r="H122" s="66" t="str">
        <f>IF(OR(LEFT(B122,FIND("_",B122,1)-1)="ULGALLOC",LEFT(B122,FIND("_",B122,1)-1)="ULSPOOL"),LEFT(B122,FIND("_",B122,1)-1),VLOOKUP(LEFT(A122,6),'Code Library'!$D$3:$E$200,2,0))&amp;"_"&amp;RIGHT(A122,3)</f>
        <v>ASPOA_IDR</v>
      </c>
      <c r="I122" s="66" t="str">
        <f t="shared" si="1"/>
        <v>ULAPO4_IDR</v>
      </c>
      <c r="L122" t="s">
        <v>2039</v>
      </c>
    </row>
    <row r="123" spans="1:12">
      <c r="A123" t="s">
        <v>779</v>
      </c>
      <c r="B123" t="s">
        <v>783</v>
      </c>
      <c r="C123">
        <v>436</v>
      </c>
      <c r="D123">
        <v>6917514000</v>
      </c>
      <c r="E123">
        <v>144832300000</v>
      </c>
      <c r="F123">
        <v>8373955660.3253002</v>
      </c>
      <c r="G123" s="55"/>
      <c r="H123" s="66" t="str">
        <f>IF(OR(LEFT(B123,FIND("_",B123,1)-1)="ULGALLOC",LEFT(B123,FIND("_",B123,1)-1)="ULSPOOL"),LEFT(B123,FIND("_",B123,1)-1),VLOOKUP(LEFT(A123,6),'Code Library'!$D$3:$E$200,2,0))&amp;"_"&amp;RIGHT(A123,3)</f>
        <v>ASPOA_IDR</v>
      </c>
      <c r="I123" s="66" t="str">
        <f t="shared" si="1"/>
        <v>ULAPO4_IDR</v>
      </c>
      <c r="L123" t="s">
        <v>2040</v>
      </c>
    </row>
    <row r="124" spans="1:12">
      <c r="A124" t="s">
        <v>779</v>
      </c>
      <c r="B124" t="s">
        <v>784</v>
      </c>
      <c r="C124">
        <v>61</v>
      </c>
      <c r="D124">
        <v>738768000</v>
      </c>
      <c r="E124">
        <v>12465000000</v>
      </c>
      <c r="F124">
        <v>669634508.96498096</v>
      </c>
      <c r="H124" s="66" t="str">
        <f>IF(OR(LEFT(B124,FIND("_",B124,1)-1)="ULGALLOC",LEFT(B124,FIND("_",B124,1)-1)="ULSPOOL"),LEFT(B124,FIND("_",B124,1)-1),VLOOKUP(LEFT(A124,6),'Code Library'!$D$3:$E$200,2,0))&amp;"_"&amp;RIGHT(A124,3)</f>
        <v>ASPOA_IDR</v>
      </c>
      <c r="I124" s="66" t="str">
        <f t="shared" si="1"/>
        <v>ULAPO4_IDR</v>
      </c>
      <c r="L124" t="s">
        <v>2041</v>
      </c>
    </row>
    <row r="125" spans="1:12">
      <c r="A125" t="s">
        <v>779</v>
      </c>
      <c r="B125" t="s">
        <v>785</v>
      </c>
      <c r="C125">
        <v>51</v>
      </c>
      <c r="D125">
        <v>876920000</v>
      </c>
      <c r="E125">
        <v>18430600000</v>
      </c>
      <c r="F125">
        <v>1331409577.4301901</v>
      </c>
      <c r="G125" s="55"/>
      <c r="H125" s="66" t="str">
        <f>IF(OR(LEFT(B125,FIND("_",B125,1)-1)="ULGALLOC",LEFT(B125,FIND("_",B125,1)-1)="ULSPOOL"),LEFT(B125,FIND("_",B125,1)-1),VLOOKUP(LEFT(A125,6),'Code Library'!$D$3:$E$200,2,0))&amp;"_"&amp;RIGHT(A125,3)</f>
        <v>ASPOA_IDR</v>
      </c>
      <c r="I125" s="66" t="str">
        <f t="shared" si="1"/>
        <v>ULAPO4_IDR</v>
      </c>
      <c r="L125" t="s">
        <v>2042</v>
      </c>
    </row>
    <row r="126" spans="1:12">
      <c r="A126" t="s">
        <v>779</v>
      </c>
      <c r="B126" t="s">
        <v>786</v>
      </c>
      <c r="C126">
        <v>744</v>
      </c>
      <c r="D126">
        <v>11825697188.8442</v>
      </c>
      <c r="E126">
        <v>296583100000</v>
      </c>
      <c r="F126">
        <v>17093747921.090099</v>
      </c>
      <c r="G126" s="55"/>
      <c r="H126" s="66" t="str">
        <f>IF(OR(LEFT(B126,FIND("_",B126,1)-1)="ULGALLOC",LEFT(B126,FIND("_",B126,1)-1)="ULSPOOL"),LEFT(B126,FIND("_",B126,1)-1),VLOOKUP(LEFT(A126,6),'Code Library'!$D$3:$E$200,2,0))&amp;"_"&amp;RIGHT(A126,3)</f>
        <v>ASPOA_IDR</v>
      </c>
      <c r="I126" s="66" t="str">
        <f t="shared" si="1"/>
        <v>ULAPO4_IDR</v>
      </c>
      <c r="L126" t="s">
        <v>2043</v>
      </c>
    </row>
    <row r="127" spans="1:12">
      <c r="A127" t="s">
        <v>779</v>
      </c>
      <c r="B127" t="s">
        <v>787</v>
      </c>
      <c r="C127">
        <v>1278</v>
      </c>
      <c r="D127">
        <v>20170144732</v>
      </c>
      <c r="E127">
        <v>427128108000</v>
      </c>
      <c r="F127">
        <v>25909175925.258701</v>
      </c>
      <c r="G127" s="55"/>
      <c r="H127" s="66" t="str">
        <f>IF(OR(LEFT(B127,FIND("_",B127,1)-1)="ULGALLOC",LEFT(B127,FIND("_",B127,1)-1)="ULSPOOL"),LEFT(B127,FIND("_",B127,1)-1),VLOOKUP(LEFT(A127,6),'Code Library'!$D$3:$E$200,2,0))&amp;"_"&amp;RIGHT(A127,3)</f>
        <v>ASPOA_IDR</v>
      </c>
      <c r="I127" s="66" t="str">
        <f t="shared" si="1"/>
        <v>ULAPO4_IDR</v>
      </c>
      <c r="L127" t="s">
        <v>2044</v>
      </c>
    </row>
    <row r="128" spans="1:12">
      <c r="A128" t="s">
        <v>779</v>
      </c>
      <c r="B128" t="s">
        <v>788</v>
      </c>
      <c r="C128">
        <v>1432</v>
      </c>
      <c r="D128">
        <v>23146427204</v>
      </c>
      <c r="E128">
        <v>474063870000</v>
      </c>
      <c r="F128">
        <v>28427600204.318802</v>
      </c>
      <c r="G128" s="55"/>
      <c r="H128" s="66" t="str">
        <f>IF(OR(LEFT(B128,FIND("_",B128,1)-1)="ULGALLOC",LEFT(B128,FIND("_",B128,1)-1)="ULSPOOL"),LEFT(B128,FIND("_",B128,1)-1),VLOOKUP(LEFT(A128,6),'Code Library'!$D$3:$E$200,2,0))&amp;"_"&amp;RIGHT(A128,3)</f>
        <v>ASPOA_IDR</v>
      </c>
      <c r="I128" s="66" t="str">
        <f t="shared" si="1"/>
        <v>ULAPO4_IDR</v>
      </c>
      <c r="L128" t="s">
        <v>2045</v>
      </c>
    </row>
    <row r="129" spans="1:12">
      <c r="A129" t="s">
        <v>779</v>
      </c>
      <c r="B129" t="s">
        <v>789</v>
      </c>
      <c r="C129">
        <v>114</v>
      </c>
      <c r="D129">
        <v>1468300000</v>
      </c>
      <c r="E129">
        <v>27173400000</v>
      </c>
      <c r="F129">
        <v>1589891308.86286</v>
      </c>
      <c r="G129" s="55"/>
      <c r="H129" s="66" t="str">
        <f>IF(OR(LEFT(B129,FIND("_",B129,1)-1)="ULGALLOC",LEFT(B129,FIND("_",B129,1)-1)="ULSPOOL"),LEFT(B129,FIND("_",B129,1)-1),VLOOKUP(LEFT(A129,6),'Code Library'!$D$3:$E$200,2,0))&amp;"_"&amp;RIGHT(A129,3)</f>
        <v>ASPOA_IDR</v>
      </c>
      <c r="I129" s="66" t="str">
        <f t="shared" si="1"/>
        <v>ULAPO4_IDR</v>
      </c>
      <c r="L129" t="s">
        <v>2046</v>
      </c>
    </row>
    <row r="130" spans="1:12">
      <c r="A130" t="s">
        <v>779</v>
      </c>
      <c r="B130" t="s">
        <v>790</v>
      </c>
      <c r="C130">
        <v>342</v>
      </c>
      <c r="D130">
        <v>5845947136</v>
      </c>
      <c r="E130">
        <v>153026200000</v>
      </c>
      <c r="F130">
        <v>8616812473.0434704</v>
      </c>
      <c r="G130" s="55"/>
      <c r="H130" s="66" t="str">
        <f>IF(OR(LEFT(B130,FIND("_",B130,1)-1)="ULGALLOC",LEFT(B130,FIND("_",B130,1)-1)="ULSPOOL"),LEFT(B130,FIND("_",B130,1)-1),VLOOKUP(LEFT(A130,6),'Code Library'!$D$3:$E$200,2,0))&amp;"_"&amp;RIGHT(A130,3)</f>
        <v>ASPOA_IDR</v>
      </c>
      <c r="I130" s="66" t="str">
        <f t="shared" si="1"/>
        <v>ULAPO4_IDR</v>
      </c>
      <c r="L130" t="s">
        <v>2047</v>
      </c>
    </row>
    <row r="131" spans="1:12">
      <c r="A131" t="s">
        <v>779</v>
      </c>
      <c r="B131" t="s">
        <v>791</v>
      </c>
      <c r="C131">
        <v>905</v>
      </c>
      <c r="D131">
        <v>15797677996</v>
      </c>
      <c r="E131">
        <v>453839550000</v>
      </c>
      <c r="F131">
        <v>24702280756.001701</v>
      </c>
      <c r="G131" s="55"/>
      <c r="H131" s="66" t="str">
        <f>IF(OR(LEFT(B131,FIND("_",B131,1)-1)="ULGALLOC",LEFT(B131,FIND("_",B131,1)-1)="ULSPOOL"),LEFT(B131,FIND("_",B131,1)-1),VLOOKUP(LEFT(A131,6),'Code Library'!$D$3:$E$200,2,0))&amp;"_"&amp;RIGHT(A131,3)</f>
        <v>ASPOA_IDR</v>
      </c>
      <c r="I131" s="66" t="str">
        <f t="shared" ref="I131:I194" si="2">A131</f>
        <v>ULAPO4_IDR</v>
      </c>
      <c r="L131" t="s">
        <v>2048</v>
      </c>
    </row>
    <row r="132" spans="1:12">
      <c r="A132" t="s">
        <v>779</v>
      </c>
      <c r="B132" t="s">
        <v>792</v>
      </c>
      <c r="C132">
        <v>947</v>
      </c>
      <c r="D132">
        <v>15584672000</v>
      </c>
      <c r="E132">
        <v>401927600000</v>
      </c>
      <c r="F132">
        <v>21987598109.627899</v>
      </c>
      <c r="G132" s="55"/>
      <c r="H132" s="66" t="str">
        <f>IF(OR(LEFT(B132,FIND("_",B132,1)-1)="ULGALLOC",LEFT(B132,FIND("_",B132,1)-1)="ULSPOOL"),LEFT(B132,FIND("_",B132,1)-1),VLOOKUP(LEFT(A132,6),'Code Library'!$D$3:$E$200,2,0))&amp;"_"&amp;RIGHT(A132,3)</f>
        <v>ASPOA_IDR</v>
      </c>
      <c r="I132" s="66" t="str">
        <f t="shared" si="2"/>
        <v>ULAPO4_IDR</v>
      </c>
      <c r="L132" t="s">
        <v>2049</v>
      </c>
    </row>
    <row r="133" spans="1:12">
      <c r="A133" t="s">
        <v>779</v>
      </c>
      <c r="B133" t="s">
        <v>793</v>
      </c>
      <c r="C133">
        <v>727</v>
      </c>
      <c r="D133">
        <v>12018452000</v>
      </c>
      <c r="E133">
        <v>301448599999</v>
      </c>
      <c r="F133">
        <v>13640925081.891399</v>
      </c>
      <c r="G133" s="55"/>
      <c r="H133" s="66" t="str">
        <f>IF(OR(LEFT(B133,FIND("_",B133,1)-1)="ULGALLOC",LEFT(B133,FIND("_",B133,1)-1)="ULSPOOL"),LEFT(B133,FIND("_",B133,1)-1),VLOOKUP(LEFT(A133,6),'Code Library'!$D$3:$E$200,2,0))&amp;"_"&amp;RIGHT(A133,3)</f>
        <v>ASPOA_IDR</v>
      </c>
      <c r="I133" s="66" t="str">
        <f t="shared" si="2"/>
        <v>ULAPO4_IDR</v>
      </c>
      <c r="L133" t="s">
        <v>2051</v>
      </c>
    </row>
    <row r="134" spans="1:12">
      <c r="A134" t="s">
        <v>779</v>
      </c>
      <c r="B134" t="s">
        <v>794</v>
      </c>
      <c r="C134">
        <v>62</v>
      </c>
      <c r="D134">
        <v>806540000</v>
      </c>
      <c r="E134">
        <v>17303000000</v>
      </c>
      <c r="F134">
        <v>982076043.87543201</v>
      </c>
      <c r="H134" s="66" t="str">
        <f>IF(OR(LEFT(B134,FIND("_",B134,1)-1)="ULGALLOC",LEFT(B134,FIND("_",B134,1)-1)="ULSPOOL"),LEFT(B134,FIND("_",B134,1)-1),VLOOKUP(LEFT(A134,6),'Code Library'!$D$3:$E$200,2,0))&amp;"_"&amp;RIGHT(A134,3)</f>
        <v>ASPOA_IDR</v>
      </c>
      <c r="I134" s="66" t="str">
        <f t="shared" si="2"/>
        <v>ULAPO4_IDR</v>
      </c>
      <c r="L134" t="s">
        <v>2053</v>
      </c>
    </row>
    <row r="135" spans="1:12">
      <c r="A135" t="s">
        <v>795</v>
      </c>
      <c r="B135" t="s">
        <v>796</v>
      </c>
      <c r="C135">
        <v>1</v>
      </c>
      <c r="D135">
        <v>33600000</v>
      </c>
      <c r="E135">
        <v>500000000</v>
      </c>
      <c r="F135">
        <v>10951558</v>
      </c>
      <c r="H135" s="66" t="str">
        <f>IF(OR(LEFT(B135,FIND("_",B135,1)-1)="ULGALLOC",LEFT(B135,FIND("_",B135,1)-1)="ULSPOOL"),LEFT(B135,FIND("_",B135,1)-1),VLOOKUP(LEFT(A135,6),'Code Library'!$D$3:$E$200,2,0))&amp;"_"&amp;RIGHT(A135,3)</f>
        <v>ASPOA_IDR</v>
      </c>
      <c r="I135" s="66" t="str">
        <f t="shared" si="2"/>
        <v>ULAPO4A_IDR</v>
      </c>
      <c r="L135" t="s">
        <v>2054</v>
      </c>
    </row>
    <row r="136" spans="1:12">
      <c r="A136" t="s">
        <v>797</v>
      </c>
      <c r="B136" t="s">
        <v>798</v>
      </c>
      <c r="C136">
        <v>1320</v>
      </c>
      <c r="D136">
        <v>6670317804</v>
      </c>
      <c r="E136">
        <v>237811000000</v>
      </c>
      <c r="F136">
        <v>27079666893.875599</v>
      </c>
      <c r="G136" s="55"/>
      <c r="H136" s="66" t="str">
        <f>IF(OR(LEFT(B136,FIND("_",B136,1)-1)="ULGALLOC",LEFT(B136,FIND("_",B136,1)-1)="ULSPOOL"),LEFT(B136,FIND("_",B136,1)-1),VLOOKUP(LEFT(A136,6),'Code Library'!$D$3:$E$200,2,0))&amp;"_"&amp;RIGHT(A136,3)</f>
        <v>RASP_IDR</v>
      </c>
      <c r="I136" s="66" t="str">
        <f t="shared" si="2"/>
        <v>ULAPR__IDR</v>
      </c>
      <c r="L136" t="s">
        <v>2055</v>
      </c>
    </row>
    <row r="137" spans="1:12">
      <c r="A137" t="s">
        <v>797</v>
      </c>
      <c r="B137" t="s">
        <v>2556</v>
      </c>
      <c r="C137">
        <v>1</v>
      </c>
      <c r="D137">
        <v>4200000</v>
      </c>
      <c r="E137">
        <v>250000000</v>
      </c>
      <c r="F137">
        <v>10346126.388592999</v>
      </c>
      <c r="G137" s="55"/>
      <c r="H137" s="66" t="str">
        <f>IF(OR(LEFT(B137,FIND("_",B137,1)-1)="ULGALLOC",LEFT(B137,FIND("_",B137,1)-1)="ULSPOOL"),LEFT(B137,FIND("_",B137,1)-1),VLOOKUP(LEFT(A137,6),'Code Library'!$D$3:$E$200,2,0))&amp;"_"&amp;RIGHT(A137,3)</f>
        <v>RASP_IDR</v>
      </c>
      <c r="I137" s="66" t="str">
        <f t="shared" si="2"/>
        <v>ULAPR__IDR</v>
      </c>
      <c r="L137" t="s">
        <v>2056</v>
      </c>
    </row>
    <row r="138" spans="1:12">
      <c r="A138" t="s">
        <v>797</v>
      </c>
      <c r="B138" t="s">
        <v>799</v>
      </c>
      <c r="C138">
        <v>1091</v>
      </c>
      <c r="D138">
        <v>5117549988</v>
      </c>
      <c r="E138">
        <v>217495100000</v>
      </c>
      <c r="F138">
        <v>22948047409.5774</v>
      </c>
      <c r="H138" s="66" t="str">
        <f>IF(OR(LEFT(B138,FIND("_",B138,1)-1)="ULGALLOC",LEFT(B138,FIND("_",B138,1)-1)="ULSPOOL"),LEFT(B138,FIND("_",B138,1)-1),VLOOKUP(LEFT(A138,6),'Code Library'!$D$3:$E$200,2,0))&amp;"_"&amp;RIGHT(A138,3)</f>
        <v>RASP_IDR</v>
      </c>
      <c r="I138" s="66" t="str">
        <f t="shared" si="2"/>
        <v>ULAPR__IDR</v>
      </c>
      <c r="L138" t="s">
        <v>2057</v>
      </c>
    </row>
    <row r="139" spans="1:12">
      <c r="A139" t="s">
        <v>800</v>
      </c>
      <c r="B139" t="s">
        <v>801</v>
      </c>
      <c r="C139">
        <v>8</v>
      </c>
      <c r="D139">
        <v>14400000</v>
      </c>
      <c r="E139">
        <v>393000000</v>
      </c>
      <c r="F139">
        <v>213627305.69828299</v>
      </c>
      <c r="G139" s="55"/>
      <c r="H139" s="66" t="str">
        <f>IF(OR(LEFT(B139,FIND("_",B139,1)-1)="ULGALLOC",LEFT(B139,FIND("_",B139,1)-1)="ULSPOOL"),LEFT(B139,FIND("_",B139,1)-1),VLOOKUP(LEFT(A139,6),'Code Library'!$D$3:$E$200,2,0))&amp;"_"&amp;RIGHT(A139,3)</f>
        <v>ASRKP_IDR</v>
      </c>
      <c r="I139" s="66" t="str">
        <f t="shared" si="2"/>
        <v>ULARK__IDR</v>
      </c>
      <c r="L139" t="s">
        <v>2058</v>
      </c>
    </row>
    <row r="140" spans="1:12">
      <c r="A140" t="s">
        <v>802</v>
      </c>
      <c r="B140" t="s">
        <v>803</v>
      </c>
      <c r="C140">
        <v>268</v>
      </c>
      <c r="D140">
        <v>3260100000</v>
      </c>
      <c r="E140">
        <v>133234000000</v>
      </c>
      <c r="F140">
        <v>7967323072.4166203</v>
      </c>
      <c r="H140" s="66" t="str">
        <f>IF(OR(LEFT(B140,FIND("_",B140,1)-1)="ULGALLOC",LEFT(B140,FIND("_",B140,1)-1)="ULSPOOL"),LEFT(B140,FIND("_",B140,1)-1),VLOOKUP(LEFT(A140,6),'Code Library'!$D$3:$E$200,2,0))&amp;"_"&amp;RIGHT(A140,3)</f>
        <v>MARLK_IDR</v>
      </c>
      <c r="I140" s="66" t="str">
        <f t="shared" si="2"/>
        <v>ULARLK_IDR</v>
      </c>
      <c r="L140" t="s">
        <v>2059</v>
      </c>
    </row>
    <row r="141" spans="1:12">
      <c r="A141" t="s">
        <v>802</v>
      </c>
      <c r="B141" t="s">
        <v>804</v>
      </c>
      <c r="C141">
        <v>24</v>
      </c>
      <c r="D141">
        <v>264400000</v>
      </c>
      <c r="E141">
        <v>6710000000</v>
      </c>
      <c r="F141">
        <v>636393505.33170199</v>
      </c>
      <c r="G141" s="55"/>
      <c r="H141" s="66" t="str">
        <f>IF(OR(LEFT(B141,FIND("_",B141,1)-1)="ULGALLOC",LEFT(B141,FIND("_",B141,1)-1)="ULSPOOL"),LEFT(B141,FIND("_",B141,1)-1),VLOOKUP(LEFT(A141,6),'Code Library'!$D$3:$E$200,2,0))&amp;"_"&amp;RIGHT(A141,3)</f>
        <v>MARLK_IDR</v>
      </c>
      <c r="I141" s="66" t="str">
        <f t="shared" si="2"/>
        <v>ULARLK_IDR</v>
      </c>
      <c r="L141" t="s">
        <v>2060</v>
      </c>
    </row>
    <row r="142" spans="1:12">
      <c r="A142" t="s">
        <v>805</v>
      </c>
      <c r="B142" t="s">
        <v>806</v>
      </c>
      <c r="C142">
        <v>18</v>
      </c>
      <c r="D142">
        <v>2757000004</v>
      </c>
      <c r="E142">
        <v>41050000000</v>
      </c>
      <c r="F142">
        <v>2730945256.82128</v>
      </c>
      <c r="G142" s="55"/>
      <c r="H142" s="66" t="str">
        <f>IF(OR(LEFT(B142,FIND("_",B142,1)-1)="ULGALLOC",LEFT(B142,FIND("_",B142,1)-1)="ULSPOOL"),LEFT(B142,FIND("_",B142,1)-1),VLOOKUP(LEFT(A142,6),'Code Library'!$D$3:$E$200,2,0))&amp;"_"&amp;RIGHT(A142,3)</f>
        <v>ARPL__IDR</v>
      </c>
      <c r="I142" s="66" t="str">
        <f t="shared" si="2"/>
        <v>ULARP2_IDR</v>
      </c>
      <c r="L142" t="s">
        <v>2061</v>
      </c>
    </row>
    <row r="143" spans="1:12">
      <c r="A143" t="s">
        <v>805</v>
      </c>
      <c r="B143" t="s">
        <v>807</v>
      </c>
      <c r="C143">
        <v>16</v>
      </c>
      <c r="D143">
        <v>989800000</v>
      </c>
      <c r="E143">
        <v>33450000000</v>
      </c>
      <c r="F143">
        <v>1413554350.26278</v>
      </c>
      <c r="G143" s="55"/>
      <c r="H143" s="66" t="str">
        <f>IF(OR(LEFT(B143,FIND("_",B143,1)-1)="ULGALLOC",LEFT(B143,FIND("_",B143,1)-1)="ULSPOOL"),LEFT(B143,FIND("_",B143,1)-1),VLOOKUP(LEFT(A143,6),'Code Library'!$D$3:$E$200,2,0))&amp;"_"&amp;RIGHT(A143,3)</f>
        <v>ARPL__IDR</v>
      </c>
      <c r="I143" s="66" t="str">
        <f t="shared" si="2"/>
        <v>ULARP2_IDR</v>
      </c>
      <c r="L143" t="s">
        <v>2062</v>
      </c>
    </row>
    <row r="144" spans="1:12">
      <c r="A144" t="s">
        <v>808</v>
      </c>
      <c r="B144" t="s">
        <v>809</v>
      </c>
      <c r="C144">
        <v>168</v>
      </c>
      <c r="D144">
        <v>7222499988</v>
      </c>
      <c r="E144">
        <v>101270000000</v>
      </c>
      <c r="F144">
        <v>10007227035.571899</v>
      </c>
      <c r="G144" s="55"/>
      <c r="H144" s="66" t="str">
        <f>IF(OR(LEFT(B144,FIND("_",B144,1)-1)="ULGALLOC",LEFT(B144,FIND("_",B144,1)-1)="ULSPOOL"),LEFT(B144,FIND("_",B144,1)-1),VLOOKUP(LEFT(A144,6),'Code Library'!$D$3:$E$200,2,0))&amp;"_"&amp;RIGHT(A144,3)</f>
        <v>ARPL_IDR</v>
      </c>
      <c r="I144" s="66" t="str">
        <f t="shared" si="2"/>
        <v>ULARPL_IDR</v>
      </c>
      <c r="L144" t="s">
        <v>2063</v>
      </c>
    </row>
    <row r="145" spans="1:12">
      <c r="A145" t="s">
        <v>808</v>
      </c>
      <c r="B145" t="s">
        <v>810</v>
      </c>
      <c r="C145">
        <v>22</v>
      </c>
      <c r="D145">
        <v>1005000004</v>
      </c>
      <c r="E145">
        <v>25375000000</v>
      </c>
      <c r="F145">
        <v>854473606.27278495</v>
      </c>
      <c r="H145" s="66" t="str">
        <f>IF(OR(LEFT(B145,FIND("_",B145,1)-1)="ULGALLOC",LEFT(B145,FIND("_",B145,1)-1)="ULSPOOL"),LEFT(B145,FIND("_",B145,1)-1),VLOOKUP(LEFT(A145,6),'Code Library'!$D$3:$E$200,2,0))&amp;"_"&amp;RIGHT(A145,3)</f>
        <v>ARPL_IDR</v>
      </c>
      <c r="I145" s="66" t="str">
        <f t="shared" si="2"/>
        <v>ULARPL_IDR</v>
      </c>
      <c r="L145" t="s">
        <v>2064</v>
      </c>
    </row>
    <row r="146" spans="1:12">
      <c r="A146" t="s">
        <v>808</v>
      </c>
      <c r="B146" t="s">
        <v>811</v>
      </c>
      <c r="C146">
        <v>11</v>
      </c>
      <c r="D146">
        <v>273500000</v>
      </c>
      <c r="E146">
        <v>4475000000</v>
      </c>
      <c r="F146">
        <v>241144335</v>
      </c>
      <c r="H146" s="66" t="str">
        <f>IF(OR(LEFT(B146,FIND("_",B146,1)-1)="ULGALLOC",LEFT(B146,FIND("_",B146,1)-1)="ULSPOOL"),LEFT(B146,FIND("_",B146,1)-1),VLOOKUP(LEFT(A146,6),'Code Library'!$D$3:$E$200,2,0))&amp;"_"&amp;RIGHT(A146,3)</f>
        <v>ARPL_IDR</v>
      </c>
      <c r="I146" s="66" t="str">
        <f t="shared" si="2"/>
        <v>ULARPL_IDR</v>
      </c>
      <c r="L146" t="s">
        <v>2065</v>
      </c>
    </row>
    <row r="147" spans="1:12">
      <c r="A147" t="s">
        <v>812</v>
      </c>
      <c r="B147" t="s">
        <v>813</v>
      </c>
      <c r="C147">
        <v>4</v>
      </c>
      <c r="D147">
        <v>307500000</v>
      </c>
      <c r="E147">
        <v>13500000000</v>
      </c>
      <c r="F147">
        <v>125688192.204822</v>
      </c>
      <c r="G147" s="55"/>
      <c r="H147" s="66" t="str">
        <f>IF(OR(LEFT(B147,FIND("_",B147,1)-1)="ULGALLOC",LEFT(B147,FIND("_",B147,1)-1)="ULSPOOL"),LEFT(B147,FIND("_",B147,1)-1),VLOOKUP(LEFT(A147,6),'Code Library'!$D$3:$E$200,2,0))&amp;"_"&amp;RIGHT(A147,3)</f>
        <v>ARPL2_IDR</v>
      </c>
      <c r="I147" s="66" t="str">
        <f t="shared" si="2"/>
        <v>ULARPN_IDR</v>
      </c>
      <c r="L147" t="s">
        <v>2066</v>
      </c>
    </row>
    <row r="148" spans="1:12">
      <c r="A148" t="s">
        <v>814</v>
      </c>
      <c r="B148" t="s">
        <v>815</v>
      </c>
      <c r="C148">
        <v>14</v>
      </c>
      <c r="D148">
        <v>2625000000</v>
      </c>
      <c r="E148">
        <v>5250000000</v>
      </c>
      <c r="F148">
        <v>874698204.773458</v>
      </c>
      <c r="H148" s="66" t="str">
        <f>IF(OR(LEFT(B148,FIND("_",B148,1)-1)="ULGALLOC",LEFT(B148,FIND("_",B148,1)-1)="ULSPOOL"),LEFT(B148,FIND("_",B148,1)-1),VLOOKUP(LEFT(A148,6),'Code Library'!$D$3:$E$200,2,0))&amp;"_"&amp;RIGHT(A148,3)</f>
        <v>ASFA_IDR</v>
      </c>
      <c r="I148" s="66" t="str">
        <f t="shared" si="2"/>
        <v>ULASFA_IDR</v>
      </c>
      <c r="L148" t="s">
        <v>2067</v>
      </c>
    </row>
    <row r="149" spans="1:12">
      <c r="A149" t="s">
        <v>816</v>
      </c>
      <c r="B149" t="s">
        <v>2212</v>
      </c>
      <c r="C149">
        <v>933</v>
      </c>
      <c r="D149">
        <v>13603133136</v>
      </c>
      <c r="E149">
        <v>255235630000</v>
      </c>
      <c r="F149">
        <v>3464299073.74369</v>
      </c>
      <c r="H149" s="66" t="str">
        <f>IF(OR(LEFT(B149,FIND("_",B149,1)-1)="ULGALLOC",LEFT(B149,FIND("_",B149,1)-1)="ULSPOOL"),LEFT(B149,FIND("_",B149,1)-1),VLOOKUP(LEFT(A149,6),'Code Library'!$D$3:$E$200,2,0))&amp;"_"&amp;RIGHT(A149,3)</f>
        <v>ASPLF_IDR</v>
      </c>
      <c r="I149" s="66" t="str">
        <f t="shared" si="2"/>
        <v>ULASLF_IDR</v>
      </c>
      <c r="L149" t="s">
        <v>2068</v>
      </c>
    </row>
    <row r="150" spans="1:12">
      <c r="A150" t="s">
        <v>816</v>
      </c>
      <c r="B150" t="s">
        <v>2557</v>
      </c>
      <c r="C150">
        <v>878</v>
      </c>
      <c r="D150">
        <v>12324654592</v>
      </c>
      <c r="E150">
        <v>248271920000</v>
      </c>
      <c r="F150">
        <v>4230068218.8850799</v>
      </c>
      <c r="H150" s="66" t="str">
        <f>IF(OR(LEFT(B150,FIND("_",B150,1)-1)="ULGALLOC",LEFT(B150,FIND("_",B150,1)-1)="ULSPOOL"),LEFT(B150,FIND("_",B150,1)-1),VLOOKUP(LEFT(A150,6),'Code Library'!$D$3:$E$200,2,0))&amp;"_"&amp;RIGHT(A150,3)</f>
        <v>ASPLF_IDR</v>
      </c>
      <c r="I150" s="66" t="str">
        <f t="shared" si="2"/>
        <v>ULASLF_IDR</v>
      </c>
      <c r="L150" t="s">
        <v>2069</v>
      </c>
    </row>
    <row r="151" spans="1:12">
      <c r="A151" t="s">
        <v>816</v>
      </c>
      <c r="B151" t="s">
        <v>2558</v>
      </c>
      <c r="C151">
        <v>155</v>
      </c>
      <c r="D151">
        <v>1545680000</v>
      </c>
      <c r="E151">
        <v>35984000000</v>
      </c>
      <c r="F151">
        <v>292284934.19973397</v>
      </c>
      <c r="H151" s="66" t="str">
        <f>IF(OR(LEFT(B151,FIND("_",B151,1)-1)="ULGALLOC",LEFT(B151,FIND("_",B151,1)-1)="ULSPOOL"),LEFT(B151,FIND("_",B151,1)-1),VLOOKUP(LEFT(A151,6),'Code Library'!$D$3:$E$200,2,0))&amp;"_"&amp;RIGHT(A151,3)</f>
        <v>ASPLF_IDR</v>
      </c>
      <c r="I151" s="66" t="str">
        <f t="shared" si="2"/>
        <v>ULASLF_IDR</v>
      </c>
      <c r="L151" t="s">
        <v>2070</v>
      </c>
    </row>
    <row r="152" spans="1:12">
      <c r="A152" t="s">
        <v>816</v>
      </c>
      <c r="B152" t="s">
        <v>2213</v>
      </c>
      <c r="C152">
        <v>3</v>
      </c>
      <c r="D152">
        <v>52200000</v>
      </c>
      <c r="E152">
        <v>2150000000</v>
      </c>
      <c r="F152">
        <v>37176207.375724003</v>
      </c>
      <c r="H152" s="66" t="str">
        <f>IF(OR(LEFT(B152,FIND("_",B152,1)-1)="ULGALLOC",LEFT(B152,FIND("_",B152,1)-1)="ULSPOOL"),LEFT(B152,FIND("_",B152,1)-1),VLOOKUP(LEFT(A152,6),'Code Library'!$D$3:$E$200,2,0))&amp;"_"&amp;RIGHT(A152,3)</f>
        <v>ASPLF_IDR</v>
      </c>
      <c r="I152" s="66" t="str">
        <f t="shared" si="2"/>
        <v>ULASLF_IDR</v>
      </c>
      <c r="L152" t="s">
        <v>2072</v>
      </c>
    </row>
    <row r="153" spans="1:12">
      <c r="A153" t="s">
        <v>816</v>
      </c>
      <c r="B153" t="s">
        <v>2559</v>
      </c>
      <c r="C153">
        <v>3</v>
      </c>
      <c r="D153">
        <v>48000000</v>
      </c>
      <c r="E153">
        <v>1306000000</v>
      </c>
      <c r="F153">
        <v>10401532.67835</v>
      </c>
      <c r="H153" s="66" t="str">
        <f>IF(OR(LEFT(B153,FIND("_",B153,1)-1)="ULGALLOC",LEFT(B153,FIND("_",B153,1)-1)="ULSPOOL"),LEFT(B153,FIND("_",B153,1)-1),VLOOKUP(LEFT(A153,6),'Code Library'!$D$3:$E$200,2,0))&amp;"_"&amp;RIGHT(A153,3)</f>
        <v>ASPLF_IDR</v>
      </c>
      <c r="I153" s="66" t="str">
        <f t="shared" si="2"/>
        <v>ULASLF_IDR</v>
      </c>
      <c r="L153" t="s">
        <v>2073</v>
      </c>
    </row>
    <row r="154" spans="1:12">
      <c r="A154" t="s">
        <v>816</v>
      </c>
      <c r="B154" t="s">
        <v>2214</v>
      </c>
      <c r="C154">
        <v>12666</v>
      </c>
      <c r="D154">
        <v>226579816548</v>
      </c>
      <c r="E154">
        <v>3312254766258</v>
      </c>
      <c r="F154">
        <v>37012914937.172897</v>
      </c>
      <c r="G154" s="55"/>
      <c r="H154" s="66" t="str">
        <f>IF(OR(LEFT(B154,FIND("_",B154,1)-1)="ULGALLOC",LEFT(B154,FIND("_",B154,1)-1)="ULSPOOL"),LEFT(B154,FIND("_",B154,1)-1),VLOOKUP(LEFT(A154,6),'Code Library'!$D$3:$E$200,2,0))&amp;"_"&amp;RIGHT(A154,3)</f>
        <v>ASPLF_IDR</v>
      </c>
      <c r="I154" s="66" t="str">
        <f t="shared" si="2"/>
        <v>ULASLF_IDR</v>
      </c>
      <c r="L154" t="s">
        <v>2074</v>
      </c>
    </row>
    <row r="155" spans="1:12">
      <c r="A155" t="s">
        <v>816</v>
      </c>
      <c r="B155" t="s">
        <v>2560</v>
      </c>
      <c r="C155">
        <v>13964</v>
      </c>
      <c r="D155">
        <v>249834775160</v>
      </c>
      <c r="E155">
        <v>3330475491001</v>
      </c>
      <c r="F155">
        <v>28522134215.227901</v>
      </c>
      <c r="G155" s="55"/>
      <c r="H155" s="66" t="str">
        <f>IF(OR(LEFT(B155,FIND("_",B155,1)-1)="ULGALLOC",LEFT(B155,FIND("_",B155,1)-1)="ULSPOOL"),LEFT(B155,FIND("_",B155,1)-1),VLOOKUP(LEFT(A155,6),'Code Library'!$D$3:$E$200,2,0))&amp;"_"&amp;RIGHT(A155,3)</f>
        <v>ASPLF_IDR</v>
      </c>
      <c r="I155" s="66" t="str">
        <f t="shared" si="2"/>
        <v>ULASLF_IDR</v>
      </c>
      <c r="L155" t="s">
        <v>2075</v>
      </c>
    </row>
    <row r="156" spans="1:12">
      <c r="A156" t="s">
        <v>816</v>
      </c>
      <c r="B156" t="s">
        <v>2561</v>
      </c>
      <c r="C156">
        <v>1733</v>
      </c>
      <c r="D156">
        <v>28745625000</v>
      </c>
      <c r="E156">
        <v>414528400000</v>
      </c>
      <c r="F156">
        <v>2301356604.4882998</v>
      </c>
      <c r="G156" s="55"/>
      <c r="H156" s="66" t="str">
        <f>IF(OR(LEFT(B156,FIND("_",B156,1)-1)="ULGALLOC",LEFT(B156,FIND("_",B156,1)-1)="ULSPOOL"),LEFT(B156,FIND("_",B156,1)-1),VLOOKUP(LEFT(A156,6),'Code Library'!$D$3:$E$200,2,0))&amp;"_"&amp;RIGHT(A156,3)</f>
        <v>ASPLF_IDR</v>
      </c>
      <c r="I156" s="66" t="str">
        <f t="shared" si="2"/>
        <v>ULASLF_IDR</v>
      </c>
      <c r="L156" t="s">
        <v>2076</v>
      </c>
    </row>
    <row r="157" spans="1:12">
      <c r="A157" t="s">
        <v>816</v>
      </c>
      <c r="B157" t="s">
        <v>2215</v>
      </c>
      <c r="C157">
        <v>1685</v>
      </c>
      <c r="D157">
        <v>33047306992</v>
      </c>
      <c r="E157">
        <v>486833959980</v>
      </c>
      <c r="F157">
        <v>6880782930.2979097</v>
      </c>
      <c r="G157" s="55"/>
      <c r="H157" s="66" t="str">
        <f>IF(OR(LEFT(B157,FIND("_",B157,1)-1)="ULGALLOC",LEFT(B157,FIND("_",B157,1)-1)="ULSPOOL"),LEFT(B157,FIND("_",B157,1)-1),VLOOKUP(LEFT(A157,6),'Code Library'!$D$3:$E$200,2,0))&amp;"_"&amp;RIGHT(A157,3)</f>
        <v>ASPLF_IDR</v>
      </c>
      <c r="I157" s="66" t="str">
        <f t="shared" si="2"/>
        <v>ULASLF_IDR</v>
      </c>
      <c r="L157" t="s">
        <v>2077</v>
      </c>
    </row>
    <row r="158" spans="1:12">
      <c r="A158" t="s">
        <v>816</v>
      </c>
      <c r="B158" t="s">
        <v>2562</v>
      </c>
      <c r="C158">
        <v>1346</v>
      </c>
      <c r="D158">
        <v>25011539004</v>
      </c>
      <c r="E158">
        <v>370660851000</v>
      </c>
      <c r="F158">
        <v>3272033584.52424</v>
      </c>
      <c r="H158" s="66" t="str">
        <f>IF(OR(LEFT(B158,FIND("_",B158,1)-1)="ULGALLOC",LEFT(B158,FIND("_",B158,1)-1)="ULSPOOL"),LEFT(B158,FIND("_",B158,1)-1),VLOOKUP(LEFT(A158,6),'Code Library'!$D$3:$E$200,2,0))&amp;"_"&amp;RIGHT(A158,3)</f>
        <v>ASPLF_IDR</v>
      </c>
      <c r="I158" s="66" t="str">
        <f t="shared" si="2"/>
        <v>ULASLF_IDR</v>
      </c>
      <c r="L158" t="s">
        <v>2078</v>
      </c>
    </row>
    <row r="159" spans="1:12">
      <c r="A159" t="s">
        <v>816</v>
      </c>
      <c r="B159" t="s">
        <v>2563</v>
      </c>
      <c r="C159">
        <v>196</v>
      </c>
      <c r="D159">
        <v>3221809996</v>
      </c>
      <c r="E159">
        <v>59521300000</v>
      </c>
      <c r="F159">
        <v>489660379.27996802</v>
      </c>
      <c r="H159" s="66" t="str">
        <f>IF(OR(LEFT(B159,FIND("_",B159,1)-1)="ULGALLOC",LEFT(B159,FIND("_",B159,1)-1)="ULSPOOL"),LEFT(B159,FIND("_",B159,1)-1),VLOOKUP(LEFT(A159,6),'Code Library'!$D$3:$E$200,2,0))&amp;"_"&amp;RIGHT(A159,3)</f>
        <v>ASPLF_IDR</v>
      </c>
      <c r="I159" s="66" t="str">
        <f t="shared" si="2"/>
        <v>ULASLF_IDR</v>
      </c>
      <c r="L159" t="s">
        <v>2079</v>
      </c>
    </row>
    <row r="160" spans="1:12">
      <c r="A160" t="s">
        <v>817</v>
      </c>
      <c r="B160" t="s">
        <v>818</v>
      </c>
      <c r="C160">
        <v>9</v>
      </c>
      <c r="D160">
        <v>149645400</v>
      </c>
      <c r="E160">
        <v>2200000000</v>
      </c>
      <c r="F160">
        <v>66242478</v>
      </c>
      <c r="G160" s="55"/>
      <c r="H160" s="66" t="str">
        <f>IF(OR(LEFT(B160,FIND("_",B160,1)-1)="ULGALLOC",LEFT(B160,FIND("_",B160,1)-1)="ULSPOOL"),LEFT(B160,FIND("_",B160,1)-1),VLOOKUP(LEFT(A160,6),'Code Library'!$D$3:$E$200,2,0))&amp;"_"&amp;RIGHT(A160,3)</f>
        <v>ASAMN_IDR</v>
      </c>
      <c r="I160" s="66" t="str">
        <f t="shared" si="2"/>
        <v>ULASMN_IDR</v>
      </c>
      <c r="L160" t="s">
        <v>2080</v>
      </c>
    </row>
    <row r="161" spans="1:12">
      <c r="A161" t="s">
        <v>817</v>
      </c>
      <c r="B161" t="s">
        <v>819</v>
      </c>
      <c r="C161">
        <v>40</v>
      </c>
      <c r="D161">
        <v>1211105340</v>
      </c>
      <c r="E161">
        <v>10985000000</v>
      </c>
      <c r="F161">
        <v>476056660</v>
      </c>
      <c r="G161" s="55"/>
      <c r="H161" s="66" t="str">
        <f>IF(OR(LEFT(B161,FIND("_",B161,1)-1)="ULGALLOC",LEFT(B161,FIND("_",B161,1)-1)="ULSPOOL"),LEFT(B161,FIND("_",B161,1)-1),VLOOKUP(LEFT(A161,6),'Code Library'!$D$3:$E$200,2,0))&amp;"_"&amp;RIGHT(A161,3)</f>
        <v>ASAMN_IDR</v>
      </c>
      <c r="I161" s="66" t="str">
        <f t="shared" si="2"/>
        <v>ULASMN_IDR</v>
      </c>
      <c r="L161" t="s">
        <v>2081</v>
      </c>
    </row>
    <row r="162" spans="1:12">
      <c r="A162" t="s">
        <v>817</v>
      </c>
      <c r="B162" t="s">
        <v>820</v>
      </c>
      <c r="C162">
        <v>37</v>
      </c>
      <c r="D162">
        <v>906985700</v>
      </c>
      <c r="E162">
        <v>13625000000</v>
      </c>
      <c r="F162">
        <v>512304996</v>
      </c>
      <c r="H162" s="66" t="str">
        <f>IF(OR(LEFT(B162,FIND("_",B162,1)-1)="ULGALLOC",LEFT(B162,FIND("_",B162,1)-1)="ULSPOOL"),LEFT(B162,FIND("_",B162,1)-1),VLOOKUP(LEFT(A162,6),'Code Library'!$D$3:$E$200,2,0))&amp;"_"&amp;RIGHT(A162,3)</f>
        <v>ASAMN_IDR</v>
      </c>
      <c r="I162" s="66" t="str">
        <f t="shared" si="2"/>
        <v>ULASMN_IDR</v>
      </c>
      <c r="L162" t="s">
        <v>2082</v>
      </c>
    </row>
    <row r="163" spans="1:12">
      <c r="A163" t="s">
        <v>817</v>
      </c>
      <c r="B163" t="s">
        <v>821</v>
      </c>
      <c r="C163">
        <v>52</v>
      </c>
      <c r="D163">
        <v>1628250320</v>
      </c>
      <c r="E163">
        <v>21352953900</v>
      </c>
      <c r="F163">
        <v>665766419</v>
      </c>
      <c r="H163" s="66" t="str">
        <f>IF(OR(LEFT(B163,FIND("_",B163,1)-1)="ULGALLOC",LEFT(B163,FIND("_",B163,1)-1)="ULSPOOL"),LEFT(B163,FIND("_",B163,1)-1),VLOOKUP(LEFT(A163,6),'Code Library'!$D$3:$E$200,2,0))&amp;"_"&amp;RIGHT(A163,3)</f>
        <v>ASAMN_IDR</v>
      </c>
      <c r="I163" s="66" t="str">
        <f t="shared" si="2"/>
        <v>ULASMN_IDR</v>
      </c>
      <c r="L163" t="s">
        <v>2083</v>
      </c>
    </row>
    <row r="164" spans="1:12">
      <c r="A164" t="s">
        <v>817</v>
      </c>
      <c r="B164" t="s">
        <v>822</v>
      </c>
      <c r="C164">
        <v>16</v>
      </c>
      <c r="D164">
        <v>507070100</v>
      </c>
      <c r="E164">
        <v>10025000000</v>
      </c>
      <c r="F164">
        <v>217962599</v>
      </c>
      <c r="H164" s="66" t="str">
        <f>IF(OR(LEFT(B164,FIND("_",B164,1)-1)="ULGALLOC",LEFT(B164,FIND("_",B164,1)-1)="ULSPOOL"),LEFT(B164,FIND("_",B164,1)-1),VLOOKUP(LEFT(A164,6),'Code Library'!$D$3:$E$200,2,0))&amp;"_"&amp;RIGHT(A164,3)</f>
        <v>ASAMN_IDR</v>
      </c>
      <c r="I164" s="66" t="str">
        <f t="shared" si="2"/>
        <v>ULASMN_IDR</v>
      </c>
      <c r="L164" t="s">
        <v>2084</v>
      </c>
    </row>
    <row r="165" spans="1:12">
      <c r="A165" t="s">
        <v>817</v>
      </c>
      <c r="B165" t="s">
        <v>823</v>
      </c>
      <c r="C165">
        <v>62</v>
      </c>
      <c r="D165">
        <v>1450758516</v>
      </c>
      <c r="E165">
        <v>33336135000</v>
      </c>
      <c r="F165">
        <v>410547758</v>
      </c>
      <c r="H165" s="66" t="str">
        <f>IF(OR(LEFT(B165,FIND("_",B165,1)-1)="ULGALLOC",LEFT(B165,FIND("_",B165,1)-1)="ULSPOOL"),LEFT(B165,FIND("_",B165,1)-1),VLOOKUP(LEFT(A165,6),'Code Library'!$D$3:$E$200,2,0))&amp;"_"&amp;RIGHT(A165,3)</f>
        <v>ASAMN_IDR</v>
      </c>
      <c r="I165" s="66" t="str">
        <f t="shared" si="2"/>
        <v>ULASMN_IDR</v>
      </c>
      <c r="L165" t="s">
        <v>2085</v>
      </c>
    </row>
    <row r="166" spans="1:12">
      <c r="A166" t="s">
        <v>824</v>
      </c>
      <c r="B166" t="s">
        <v>825</v>
      </c>
      <c r="C166">
        <v>156</v>
      </c>
      <c r="D166">
        <v>2019220000</v>
      </c>
      <c r="E166">
        <v>58561500000</v>
      </c>
      <c r="F166">
        <v>1884876463.17309</v>
      </c>
      <c r="H166" s="66" t="str">
        <f>IF(OR(LEFT(B166,FIND("_",B166,1)-1)="ULGALLOC",LEFT(B166,FIND("_",B166,1)-1)="ULSPOOL"),LEFT(B166,FIND("_",B166,1)-1),VLOOKUP(LEFT(A166,6),'Code Library'!$D$3:$E$200,2,0))&amp;"_"&amp;RIGHT(A166,3)</f>
        <v>RAPOA_IDR</v>
      </c>
      <c r="I166" s="66" t="str">
        <f t="shared" si="2"/>
        <v>ULASPO_IDR</v>
      </c>
      <c r="L166" t="s">
        <v>2296</v>
      </c>
    </row>
    <row r="167" spans="1:12">
      <c r="A167" t="s">
        <v>824</v>
      </c>
      <c r="B167" t="s">
        <v>826</v>
      </c>
      <c r="C167">
        <v>53</v>
      </c>
      <c r="D167">
        <v>734880000</v>
      </c>
      <c r="E167">
        <v>20588000000</v>
      </c>
      <c r="F167">
        <v>805726667.99223602</v>
      </c>
      <c r="H167" s="66" t="str">
        <f>IF(OR(LEFT(B167,FIND("_",B167,1)-1)="ULGALLOC",LEFT(B167,FIND("_",B167,1)-1)="ULSPOOL"),LEFT(B167,FIND("_",B167,1)-1),VLOOKUP(LEFT(A167,6),'Code Library'!$D$3:$E$200,2,0))&amp;"_"&amp;RIGHT(A167,3)</f>
        <v>RAPOA_IDR</v>
      </c>
      <c r="I167" s="66" t="str">
        <f t="shared" si="2"/>
        <v>ULASPO_IDR</v>
      </c>
      <c r="L167" t="s">
        <v>2086</v>
      </c>
    </row>
    <row r="168" spans="1:12">
      <c r="A168" t="s">
        <v>824</v>
      </c>
      <c r="B168" t="s">
        <v>827</v>
      </c>
      <c r="C168">
        <v>471</v>
      </c>
      <c r="D168">
        <v>6687577000</v>
      </c>
      <c r="E168">
        <v>169488600000</v>
      </c>
      <c r="F168">
        <v>6887261805.9998798</v>
      </c>
      <c r="H168" s="66" t="str">
        <f>IF(OR(LEFT(B168,FIND("_",B168,1)-1)="ULGALLOC",LEFT(B168,FIND("_",B168,1)-1)="ULSPOOL"),LEFT(B168,FIND("_",B168,1)-1),VLOOKUP(LEFT(A168,6),'Code Library'!$D$3:$E$200,2,0))&amp;"_"&amp;RIGHT(A168,3)</f>
        <v>RAPOA_IDR</v>
      </c>
      <c r="I168" s="66" t="str">
        <f t="shared" si="2"/>
        <v>ULASPO_IDR</v>
      </c>
      <c r="L168" t="s">
        <v>2088</v>
      </c>
    </row>
    <row r="169" spans="1:12">
      <c r="A169" t="s">
        <v>824</v>
      </c>
      <c r="B169" t="s">
        <v>828</v>
      </c>
      <c r="C169">
        <v>124</v>
      </c>
      <c r="D169">
        <v>1334196000</v>
      </c>
      <c r="E169">
        <v>36191000000</v>
      </c>
      <c r="F169">
        <v>1455831732.0870299</v>
      </c>
      <c r="H169" s="66" t="str">
        <f>IF(OR(LEFT(B169,FIND("_",B169,1)-1)="ULGALLOC",LEFT(B169,FIND("_",B169,1)-1)="ULSPOOL"),LEFT(B169,FIND("_",B169,1)-1),VLOOKUP(LEFT(A169,6),'Code Library'!$D$3:$E$200,2,0))&amp;"_"&amp;RIGHT(A169,3)</f>
        <v>RAPOA_IDR</v>
      </c>
      <c r="I169" s="66" t="str">
        <f t="shared" si="2"/>
        <v>ULASPO_IDR</v>
      </c>
      <c r="L169" t="s">
        <v>2089</v>
      </c>
    </row>
    <row r="170" spans="1:12">
      <c r="A170" t="s">
        <v>824</v>
      </c>
      <c r="B170" t="s">
        <v>829</v>
      </c>
      <c r="C170">
        <v>265</v>
      </c>
      <c r="D170">
        <v>4196044000</v>
      </c>
      <c r="E170">
        <v>143353800000</v>
      </c>
      <c r="F170">
        <v>5007994195.5230398</v>
      </c>
      <c r="G170" s="55"/>
      <c r="H170" s="66" t="str">
        <f>IF(OR(LEFT(B170,FIND("_",B170,1)-1)="ULGALLOC",LEFT(B170,FIND("_",B170,1)-1)="ULSPOOL"),LEFT(B170,FIND("_",B170,1)-1),VLOOKUP(LEFT(A170,6),'Code Library'!$D$3:$E$200,2,0))&amp;"_"&amp;RIGHT(A170,3)</f>
        <v>RAPOA_IDR</v>
      </c>
      <c r="I170" s="66" t="str">
        <f t="shared" si="2"/>
        <v>ULASPO_IDR</v>
      </c>
      <c r="L170" t="s">
        <v>2090</v>
      </c>
    </row>
    <row r="171" spans="1:12">
      <c r="A171" t="s">
        <v>824</v>
      </c>
      <c r="B171" t="s">
        <v>830</v>
      </c>
      <c r="C171">
        <v>97</v>
      </c>
      <c r="D171">
        <v>1111425400</v>
      </c>
      <c r="E171">
        <v>37038000000</v>
      </c>
      <c r="F171">
        <v>1114864539.6689999</v>
      </c>
      <c r="G171" s="55"/>
      <c r="H171" s="66" t="str">
        <f>IF(OR(LEFT(B171,FIND("_",B171,1)-1)="ULGALLOC",LEFT(B171,FIND("_",B171,1)-1)="ULSPOOL"),LEFT(B171,FIND("_",B171,1)-1),VLOOKUP(LEFT(A171,6),'Code Library'!$D$3:$E$200,2,0))&amp;"_"&amp;RIGHT(A171,3)</f>
        <v>RAPOA_IDR</v>
      </c>
      <c r="I171" s="66" t="str">
        <f t="shared" si="2"/>
        <v>ULASPO_IDR</v>
      </c>
      <c r="L171" t="s">
        <v>2091</v>
      </c>
    </row>
    <row r="172" spans="1:12">
      <c r="A172" t="s">
        <v>831</v>
      </c>
      <c r="B172" t="s">
        <v>832</v>
      </c>
      <c r="C172">
        <v>1113</v>
      </c>
      <c r="D172">
        <v>19385230108.441399</v>
      </c>
      <c r="E172">
        <v>366906855000</v>
      </c>
      <c r="F172">
        <v>15856370335.0242</v>
      </c>
      <c r="G172" s="55"/>
      <c r="H172" s="66" t="str">
        <f>IF(OR(LEFT(B172,FIND("_",B172,1)-1)="ULGALLOC",LEFT(B172,FIND("_",B172,1)-1)="ULSPOOL"),LEFT(B172,FIND("_",B172,1)-1),VLOOKUP(LEFT(A172,6),'Code Library'!$D$3:$E$200,2,0))&amp;"_"&amp;RIGHT(A172,3)</f>
        <v>RNASPP_IDR</v>
      </c>
      <c r="I172" s="66" t="str">
        <f t="shared" si="2"/>
        <v>ULASPP_IDR</v>
      </c>
    </row>
    <row r="173" spans="1:12">
      <c r="A173" t="s">
        <v>831</v>
      </c>
      <c r="B173" t="s">
        <v>833</v>
      </c>
      <c r="C173">
        <v>788</v>
      </c>
      <c r="D173">
        <v>11994233438.732401</v>
      </c>
      <c r="E173">
        <v>208522200000</v>
      </c>
      <c r="F173">
        <v>10847979300.624901</v>
      </c>
      <c r="G173" s="55"/>
      <c r="H173" s="66" t="str">
        <f>IF(OR(LEFT(B173,FIND("_",B173,1)-1)="ULGALLOC",LEFT(B173,FIND("_",B173,1)-1)="ULSPOOL"),LEFT(B173,FIND("_",B173,1)-1),VLOOKUP(LEFT(A173,6),'Code Library'!$D$3:$E$200,2,0))&amp;"_"&amp;RIGHT(A173,3)</f>
        <v>RNASPP_IDR</v>
      </c>
      <c r="I173" s="66" t="str">
        <f t="shared" si="2"/>
        <v>ULASPP_IDR</v>
      </c>
    </row>
    <row r="174" spans="1:12">
      <c r="A174" t="s">
        <v>831</v>
      </c>
      <c r="B174" t="s">
        <v>834</v>
      </c>
      <c r="C174">
        <v>4429</v>
      </c>
      <c r="D174">
        <v>79305358917.221405</v>
      </c>
      <c r="E174">
        <v>1440975658690</v>
      </c>
      <c r="F174">
        <v>62481115157.019302</v>
      </c>
      <c r="G174" s="55"/>
      <c r="H174" s="66" t="str">
        <f>IF(OR(LEFT(B174,FIND("_",B174,1)-1)="ULGALLOC",LEFT(B174,FIND("_",B174,1)-1)="ULSPOOL"),LEFT(B174,FIND("_",B174,1)-1),VLOOKUP(LEFT(A174,6),'Code Library'!$D$3:$E$200,2,0))&amp;"_"&amp;RIGHT(A174,3)</f>
        <v>RNASPP_IDR</v>
      </c>
      <c r="I174" s="66" t="str">
        <f t="shared" si="2"/>
        <v>ULASPP_IDR</v>
      </c>
    </row>
    <row r="175" spans="1:12">
      <c r="A175" t="s">
        <v>831</v>
      </c>
      <c r="B175" t="s">
        <v>835</v>
      </c>
      <c r="C175">
        <v>3261</v>
      </c>
      <c r="D175">
        <v>55096638653.9282</v>
      </c>
      <c r="E175">
        <v>896015442000</v>
      </c>
      <c r="F175">
        <v>36422072469.907303</v>
      </c>
      <c r="G175" s="55"/>
      <c r="H175" s="66" t="str">
        <f>IF(OR(LEFT(B175,FIND("_",B175,1)-1)="ULGALLOC",LEFT(B175,FIND("_",B175,1)-1)="ULSPOOL"),LEFT(B175,FIND("_",B175,1)-1),VLOOKUP(LEFT(A175,6),'Code Library'!$D$3:$E$200,2,0))&amp;"_"&amp;RIGHT(A175,3)</f>
        <v>RNASPP_IDR</v>
      </c>
      <c r="I175" s="66" t="str">
        <f t="shared" si="2"/>
        <v>ULASPP_IDR</v>
      </c>
    </row>
    <row r="176" spans="1:12">
      <c r="A176" t="s">
        <v>831</v>
      </c>
      <c r="B176" t="s">
        <v>836</v>
      </c>
      <c r="C176">
        <v>1762</v>
      </c>
      <c r="D176">
        <v>32084227933.928799</v>
      </c>
      <c r="E176">
        <v>678277040369</v>
      </c>
      <c r="F176">
        <v>26090194521.321499</v>
      </c>
      <c r="G176" s="55"/>
      <c r="H176" s="66" t="str">
        <f>IF(OR(LEFT(B176,FIND("_",B176,1)-1)="ULGALLOC",LEFT(B176,FIND("_",B176,1)-1)="ULSPOOL"),LEFT(B176,FIND("_",B176,1)-1),VLOOKUP(LEFT(A176,6),'Code Library'!$D$3:$E$200,2,0))&amp;"_"&amp;RIGHT(A176,3)</f>
        <v>RNASPP_IDR</v>
      </c>
      <c r="I176" s="66" t="str">
        <f t="shared" si="2"/>
        <v>ULASPP_IDR</v>
      </c>
    </row>
    <row r="177" spans="1:9">
      <c r="A177" t="s">
        <v>831</v>
      </c>
      <c r="B177" t="s">
        <v>837</v>
      </c>
      <c r="C177">
        <v>1053</v>
      </c>
      <c r="D177">
        <v>17047291805.9011</v>
      </c>
      <c r="E177">
        <v>327619431187</v>
      </c>
      <c r="F177">
        <v>10826610989.558201</v>
      </c>
      <c r="G177" s="55"/>
      <c r="H177" s="66" t="str">
        <f>IF(OR(LEFT(B177,FIND("_",B177,1)-1)="ULGALLOC",LEFT(B177,FIND("_",B177,1)-1)="ULSPOOL"),LEFT(B177,FIND("_",B177,1)-1),VLOOKUP(LEFT(A177,6),'Code Library'!$D$3:$E$200,2,0))&amp;"_"&amp;RIGHT(A177,3)</f>
        <v>RNASPP_IDR</v>
      </c>
      <c r="I177" s="66" t="str">
        <f t="shared" si="2"/>
        <v>ULASPP_IDR</v>
      </c>
    </row>
    <row r="178" spans="1:9">
      <c r="A178" t="s">
        <v>838</v>
      </c>
      <c r="B178" t="s">
        <v>839</v>
      </c>
      <c r="C178">
        <v>622</v>
      </c>
      <c r="D178">
        <v>9905118688.5459995</v>
      </c>
      <c r="E178">
        <v>162986625000</v>
      </c>
      <c r="F178">
        <v>5326761933.6122999</v>
      </c>
      <c r="G178" s="55"/>
      <c r="H178" s="66" t="str">
        <f>IF(OR(LEFT(B178,FIND("_",B178,1)-1)="ULGALLOC",LEFT(B178,FIND("_",B178,1)-1)="ULSPOOL"),LEFT(B178,FIND("_",B178,1)-1),VLOOKUP(LEFT(A178,6),'Code Library'!$D$3:$E$200,2,0))&amp;"_"&amp;RIGHT(A178,3)</f>
        <v>RNASPP_IDR</v>
      </c>
      <c r="I178" s="66" t="str">
        <f t="shared" si="2"/>
        <v>ULASPPA_IDR</v>
      </c>
    </row>
    <row r="179" spans="1:9">
      <c r="A179" t="s">
        <v>838</v>
      </c>
      <c r="B179" t="s">
        <v>840</v>
      </c>
      <c r="C179">
        <v>1506</v>
      </c>
      <c r="D179">
        <v>21410442520.260399</v>
      </c>
      <c r="E179">
        <v>385245534500</v>
      </c>
      <c r="F179">
        <v>9900211088.1350307</v>
      </c>
      <c r="G179" s="55"/>
      <c r="H179" s="66" t="str">
        <f>IF(OR(LEFT(B179,FIND("_",B179,1)-1)="ULGALLOC",LEFT(B179,FIND("_",B179,1)-1)="ULSPOOL"),LEFT(B179,FIND("_",B179,1)-1),VLOOKUP(LEFT(A179,6),'Code Library'!$D$3:$E$200,2,0))&amp;"_"&amp;RIGHT(A179,3)</f>
        <v>RNASPP_IDR</v>
      </c>
      <c r="I179" s="66" t="str">
        <f t="shared" si="2"/>
        <v>ULASPPA_IDR</v>
      </c>
    </row>
    <row r="180" spans="1:9">
      <c r="A180" t="s">
        <v>838</v>
      </c>
      <c r="B180" t="s">
        <v>841</v>
      </c>
      <c r="C180">
        <v>1689</v>
      </c>
      <c r="D180">
        <v>22981902860</v>
      </c>
      <c r="E180">
        <v>388942100000</v>
      </c>
      <c r="F180">
        <v>5722586864.2901697</v>
      </c>
      <c r="G180" s="55"/>
      <c r="H180" s="66" t="str">
        <f>IF(OR(LEFT(B180,FIND("_",B180,1)-1)="ULGALLOC",LEFT(B180,FIND("_",B180,1)-1)="ULSPOOL"),LEFT(B180,FIND("_",B180,1)-1),VLOOKUP(LEFT(A180,6),'Code Library'!$D$3:$E$200,2,0))&amp;"_"&amp;RIGHT(A180,3)</f>
        <v>RNASPP_IDR</v>
      </c>
      <c r="I180" s="66" t="str">
        <f t="shared" si="2"/>
        <v>ULASPPA_IDR</v>
      </c>
    </row>
    <row r="181" spans="1:9">
      <c r="A181" t="s">
        <v>838</v>
      </c>
      <c r="B181" t="s">
        <v>2216</v>
      </c>
      <c r="C181">
        <v>494</v>
      </c>
      <c r="D181">
        <v>6925916972</v>
      </c>
      <c r="E181">
        <v>93891000000</v>
      </c>
      <c r="F181">
        <v>948982972.16156995</v>
      </c>
      <c r="G181" s="55"/>
      <c r="H181" s="66" t="str">
        <f>IF(OR(LEFT(B181,FIND("_",B181,1)-1)="ULGALLOC",LEFT(B181,FIND("_",B181,1)-1)="ULSPOOL"),LEFT(B181,FIND("_",B181,1)-1),VLOOKUP(LEFT(A181,6),'Code Library'!$D$3:$E$200,2,0))&amp;"_"&amp;RIGHT(A181,3)</f>
        <v>RNASPP_IDR</v>
      </c>
      <c r="I181" s="66" t="str">
        <f t="shared" si="2"/>
        <v>ULASPPA_IDR</v>
      </c>
    </row>
    <row r="182" spans="1:9">
      <c r="A182" t="s">
        <v>838</v>
      </c>
      <c r="B182" t="s">
        <v>842</v>
      </c>
      <c r="C182">
        <v>2810</v>
      </c>
      <c r="D182">
        <v>46265227366.2612</v>
      </c>
      <c r="E182">
        <v>771083618121</v>
      </c>
      <c r="F182">
        <v>27368380903.874901</v>
      </c>
      <c r="G182" s="55"/>
      <c r="H182" s="66" t="str">
        <f>IF(OR(LEFT(B182,FIND("_",B182,1)-1)="ULGALLOC",LEFT(B182,FIND("_",B182,1)-1)="ULSPOOL"),LEFT(B182,FIND("_",B182,1)-1),VLOOKUP(LEFT(A182,6),'Code Library'!$D$3:$E$200,2,0))&amp;"_"&amp;RIGHT(A182,3)</f>
        <v>RNASPP_IDR</v>
      </c>
      <c r="I182" s="66" t="str">
        <f t="shared" si="2"/>
        <v>ULASPPA_IDR</v>
      </c>
    </row>
    <row r="183" spans="1:9">
      <c r="A183" t="s">
        <v>838</v>
      </c>
      <c r="B183" t="s">
        <v>843</v>
      </c>
      <c r="C183">
        <v>9435</v>
      </c>
      <c r="D183">
        <v>153344479436.72101</v>
      </c>
      <c r="E183">
        <v>2399862530845</v>
      </c>
      <c r="F183">
        <v>53072624287.768898</v>
      </c>
      <c r="G183" s="55"/>
      <c r="H183" s="66" t="str">
        <f>IF(OR(LEFT(B183,FIND("_",B183,1)-1)="ULGALLOC",LEFT(B183,FIND("_",B183,1)-1)="ULSPOOL"),LEFT(B183,FIND("_",B183,1)-1),VLOOKUP(LEFT(A183,6),'Code Library'!$D$3:$E$200,2,0))&amp;"_"&amp;RIGHT(A183,3)</f>
        <v>RNASPP_IDR</v>
      </c>
      <c r="I183" s="66" t="str">
        <f t="shared" si="2"/>
        <v>ULASPPA_IDR</v>
      </c>
    </row>
    <row r="184" spans="1:9">
      <c r="A184" t="s">
        <v>838</v>
      </c>
      <c r="B184" t="s">
        <v>844</v>
      </c>
      <c r="C184">
        <v>13437</v>
      </c>
      <c r="D184">
        <v>231136828846</v>
      </c>
      <c r="E184">
        <v>3248669041888.9902</v>
      </c>
      <c r="F184">
        <v>39835098611.622704</v>
      </c>
      <c r="G184" s="55"/>
      <c r="H184" s="66" t="str">
        <f>IF(OR(LEFT(B184,FIND("_",B184,1)-1)="ULGALLOC",LEFT(B184,FIND("_",B184,1)-1)="ULSPOOL"),LEFT(B184,FIND("_",B184,1)-1),VLOOKUP(LEFT(A184,6),'Code Library'!$D$3:$E$200,2,0))&amp;"_"&amp;RIGHT(A184,3)</f>
        <v>RNASPP_IDR</v>
      </c>
      <c r="I184" s="66" t="str">
        <f t="shared" si="2"/>
        <v>ULASPPA_IDR</v>
      </c>
    </row>
    <row r="185" spans="1:9">
      <c r="A185" t="s">
        <v>838</v>
      </c>
      <c r="B185" t="s">
        <v>2217</v>
      </c>
      <c r="C185">
        <v>7685</v>
      </c>
      <c r="D185">
        <v>137585774376</v>
      </c>
      <c r="E185">
        <v>1689730749008</v>
      </c>
      <c r="F185">
        <v>15608252475.511299</v>
      </c>
      <c r="G185" s="55"/>
      <c r="H185" s="66" t="str">
        <f>IF(OR(LEFT(B185,FIND("_",B185,1)-1)="ULGALLOC",LEFT(B185,FIND("_",B185,1)-1)="ULSPOOL"),LEFT(B185,FIND("_",B185,1)-1),VLOOKUP(LEFT(A185,6),'Code Library'!$D$3:$E$200,2,0))&amp;"_"&amp;RIGHT(A185,3)</f>
        <v>RNASPP_IDR</v>
      </c>
      <c r="I185" s="66" t="str">
        <f t="shared" si="2"/>
        <v>ULASPPA_IDR</v>
      </c>
    </row>
    <row r="186" spans="1:9">
      <c r="A186" t="s">
        <v>838</v>
      </c>
      <c r="B186" t="s">
        <v>845</v>
      </c>
      <c r="C186">
        <v>844</v>
      </c>
      <c r="D186">
        <v>13493115363.177299</v>
      </c>
      <c r="E186">
        <v>288849849100</v>
      </c>
      <c r="F186">
        <v>7627264333.7356596</v>
      </c>
      <c r="G186" s="55"/>
      <c r="H186" s="66" t="str">
        <f>IF(OR(LEFT(B186,FIND("_",B186,1)-1)="ULGALLOC",LEFT(B186,FIND("_",B186,1)-1)="ULSPOOL"),LEFT(B186,FIND("_",B186,1)-1),VLOOKUP(LEFT(A186,6),'Code Library'!$D$3:$E$200,2,0))&amp;"_"&amp;RIGHT(A186,3)</f>
        <v>RNASPP_IDR</v>
      </c>
      <c r="I186" s="66" t="str">
        <f t="shared" si="2"/>
        <v>ULASPPA_IDR</v>
      </c>
    </row>
    <row r="187" spans="1:9">
      <c r="A187" t="s">
        <v>838</v>
      </c>
      <c r="B187" t="s">
        <v>846</v>
      </c>
      <c r="C187">
        <v>2394</v>
      </c>
      <c r="D187">
        <v>35845791843.661903</v>
      </c>
      <c r="E187">
        <v>635538295000</v>
      </c>
      <c r="F187">
        <v>14024037042.299801</v>
      </c>
      <c r="G187" s="55"/>
      <c r="H187" s="66" t="str">
        <f>IF(OR(LEFT(B187,FIND("_",B187,1)-1)="ULGALLOC",LEFT(B187,FIND("_",B187,1)-1)="ULSPOOL"),LEFT(B187,FIND("_",B187,1)-1),VLOOKUP(LEFT(A187,6),'Code Library'!$D$3:$E$200,2,0))&amp;"_"&amp;RIGHT(A187,3)</f>
        <v>RNASPP_IDR</v>
      </c>
      <c r="I187" s="66" t="str">
        <f t="shared" si="2"/>
        <v>ULASPPA_IDR</v>
      </c>
    </row>
    <row r="188" spans="1:9">
      <c r="A188" t="s">
        <v>838</v>
      </c>
      <c r="B188" t="s">
        <v>847</v>
      </c>
      <c r="C188">
        <v>2808</v>
      </c>
      <c r="D188">
        <v>49027567762.068901</v>
      </c>
      <c r="E188">
        <v>810683652722.99902</v>
      </c>
      <c r="F188">
        <v>12074806514.483101</v>
      </c>
      <c r="H188" s="66" t="str">
        <f>IF(OR(LEFT(B188,FIND("_",B188,1)-1)="ULGALLOC",LEFT(B188,FIND("_",B188,1)-1)="ULSPOOL"),LEFT(B188,FIND("_",B188,1)-1),VLOOKUP(LEFT(A188,6),'Code Library'!$D$3:$E$200,2,0))&amp;"_"&amp;RIGHT(A188,3)</f>
        <v>RNASPP_IDR</v>
      </c>
      <c r="I188" s="66" t="str">
        <f t="shared" si="2"/>
        <v>ULASPPA_IDR</v>
      </c>
    </row>
    <row r="189" spans="1:9">
      <c r="A189" t="s">
        <v>838</v>
      </c>
      <c r="B189" t="s">
        <v>2218</v>
      </c>
      <c r="C189">
        <v>1165</v>
      </c>
      <c r="D189">
        <v>21062472000</v>
      </c>
      <c r="E189">
        <v>282750600000</v>
      </c>
      <c r="F189">
        <v>3377754165.7912598</v>
      </c>
      <c r="G189" s="55"/>
      <c r="H189" s="66" t="str">
        <f>IF(OR(LEFT(B189,FIND("_",B189,1)-1)="ULGALLOC",LEFT(B189,FIND("_",B189,1)-1)="ULSPOOL"),LEFT(B189,FIND("_",B189,1)-1),VLOOKUP(LEFT(A189,6),'Code Library'!$D$3:$E$200,2,0))&amp;"_"&amp;RIGHT(A189,3)</f>
        <v>RNASPP_IDR</v>
      </c>
      <c r="I189" s="66" t="str">
        <f t="shared" si="2"/>
        <v>ULASPPA_IDR</v>
      </c>
    </row>
    <row r="190" spans="1:9">
      <c r="A190" t="s">
        <v>848</v>
      </c>
      <c r="B190" t="s">
        <v>849</v>
      </c>
      <c r="C190">
        <v>85</v>
      </c>
      <c r="D190">
        <v>463800000</v>
      </c>
      <c r="E190">
        <v>13997000000</v>
      </c>
      <c r="F190">
        <v>1926216797.1382401</v>
      </c>
      <c r="G190" s="55"/>
      <c r="H190" s="66" t="str">
        <f>IF(OR(LEFT(B190,FIND("_",B190,1)-1)="ULGALLOC",LEFT(B190,FIND("_",B190,1)-1)="ULSPOOL"),LEFT(B190,FIND("_",B190,1)-1),VLOOKUP(LEFT(A190,6),'Code Library'!$D$3:$E$200,2,0))&amp;"_"&amp;RIGHT(A190,3)</f>
        <v>ASLSS_IDR</v>
      </c>
      <c r="I190" s="66" t="str">
        <f t="shared" si="2"/>
        <v>ULASS__IDR</v>
      </c>
    </row>
    <row r="191" spans="1:9">
      <c r="A191" t="s">
        <v>850</v>
      </c>
      <c r="B191" t="s">
        <v>851</v>
      </c>
      <c r="C191">
        <v>1</v>
      </c>
      <c r="D191">
        <v>125000000</v>
      </c>
      <c r="E191">
        <v>5000000000</v>
      </c>
      <c r="F191">
        <v>229627578</v>
      </c>
      <c r="G191" s="55"/>
      <c r="H191" s="66" t="str">
        <f>IF(OR(LEFT(B191,FIND("_",B191,1)-1)="ULGALLOC",LEFT(B191,FIND("_",B191,1)-1)="ULSPOOL"),LEFT(B191,FIND("_",B191,1)-1),VLOOKUP(LEFT(A191,6),'Code Library'!$D$3:$E$200,2,0))&amp;"_"&amp;RIGHT(A191,3)</f>
        <v>AWPL_IDR</v>
      </c>
      <c r="I191" s="66" t="str">
        <f t="shared" si="2"/>
        <v>ULAWPL_IDR</v>
      </c>
    </row>
    <row r="192" spans="1:9">
      <c r="A192" t="s">
        <v>850</v>
      </c>
      <c r="B192" t="s">
        <v>852</v>
      </c>
      <c r="C192">
        <v>2</v>
      </c>
      <c r="D192">
        <v>250000000</v>
      </c>
      <c r="E192">
        <v>10000000000</v>
      </c>
      <c r="F192">
        <v>508741617</v>
      </c>
      <c r="G192" s="55"/>
      <c r="H192" s="66" t="str">
        <f>IF(OR(LEFT(B192,FIND("_",B192,1)-1)="ULGALLOC",LEFT(B192,FIND("_",B192,1)-1)="ULSPOOL"),LEFT(B192,FIND("_",B192,1)-1),VLOOKUP(LEFT(A192,6),'Code Library'!$D$3:$E$200,2,0))&amp;"_"&amp;RIGHT(A192,3)</f>
        <v>AWPL_IDR</v>
      </c>
      <c r="I192" s="66" t="str">
        <f t="shared" si="2"/>
        <v>ULAWPL_IDR</v>
      </c>
    </row>
    <row r="193" spans="1:9">
      <c r="A193" t="s">
        <v>853</v>
      </c>
      <c r="B193" t="s">
        <v>854</v>
      </c>
      <c r="C193">
        <v>2</v>
      </c>
      <c r="D193">
        <v>45000</v>
      </c>
      <c r="E193">
        <v>760000</v>
      </c>
      <c r="F193">
        <v>123649</v>
      </c>
      <c r="G193" s="55"/>
      <c r="H193" s="66" t="str">
        <f>IF(OR(LEFT(B193,FIND("_",B193,1)-1)="ULGALLOC",LEFT(B193,FIND("_",B193,1)-1)="ULSPOOL"),LEFT(B193,FIND("_",B193,1)-1),VLOOKUP(LEFT(A193,6),'Code Library'!$D$3:$E$200,2,0))&amp;"_"&amp;RIGHT(A193,3)</f>
        <v>AWPL_USD</v>
      </c>
      <c r="I193" s="66" t="str">
        <f t="shared" si="2"/>
        <v>ULAWPL_USD</v>
      </c>
    </row>
    <row r="194" spans="1:9">
      <c r="A194" t="s">
        <v>850</v>
      </c>
      <c r="B194" t="s">
        <v>855</v>
      </c>
      <c r="C194">
        <v>3</v>
      </c>
      <c r="D194">
        <v>575000004</v>
      </c>
      <c r="E194">
        <v>24000000000</v>
      </c>
      <c r="F194">
        <v>795517280.13753104</v>
      </c>
      <c r="H194" s="66" t="str">
        <f>IF(OR(LEFT(B194,FIND("_",B194,1)-1)="ULGALLOC",LEFT(B194,FIND("_",B194,1)-1)="ULSPOOL"),LEFT(B194,FIND("_",B194,1)-1),VLOOKUP(LEFT(A194,6),'Code Library'!$D$3:$E$200,2,0))&amp;"_"&amp;RIGHT(A194,3)</f>
        <v>AWPL_IDR</v>
      </c>
      <c r="I194" s="66" t="str">
        <f t="shared" si="2"/>
        <v>ULAWPL_IDR</v>
      </c>
    </row>
    <row r="195" spans="1:9">
      <c r="A195" t="s">
        <v>850</v>
      </c>
      <c r="B195" t="s">
        <v>856</v>
      </c>
      <c r="C195">
        <v>13</v>
      </c>
      <c r="D195">
        <v>2450000000</v>
      </c>
      <c r="E195">
        <v>85500000000</v>
      </c>
      <c r="F195">
        <v>4383198881</v>
      </c>
      <c r="H195" s="66" t="str">
        <f>IF(OR(LEFT(B195,FIND("_",B195,1)-1)="ULGALLOC",LEFT(B195,FIND("_",B195,1)-1)="ULSPOOL"),LEFT(B195,FIND("_",B195,1)-1),VLOOKUP(LEFT(A195,6),'Code Library'!$D$3:$E$200,2,0))&amp;"_"&amp;RIGHT(A195,3)</f>
        <v>AWPL_IDR</v>
      </c>
      <c r="I195" s="66" t="str">
        <f t="shared" ref="I195:I258" si="3">A195</f>
        <v>ULAWPL_IDR</v>
      </c>
    </row>
    <row r="196" spans="1:9">
      <c r="A196" t="s">
        <v>850</v>
      </c>
      <c r="B196" t="s">
        <v>2219</v>
      </c>
      <c r="C196">
        <v>9</v>
      </c>
      <c r="D196">
        <v>1275000000</v>
      </c>
      <c r="E196">
        <v>47000000000</v>
      </c>
      <c r="F196">
        <v>2291638552</v>
      </c>
      <c r="H196" s="66" t="str">
        <f>IF(OR(LEFT(B196,FIND("_",B196,1)-1)="ULGALLOC",LEFT(B196,FIND("_",B196,1)-1)="ULSPOOL"),LEFT(B196,FIND("_",B196,1)-1),VLOOKUP(LEFT(A196,6),'Code Library'!$D$3:$E$200,2,0))&amp;"_"&amp;RIGHT(A196,3)</f>
        <v>AWPL_IDR</v>
      </c>
      <c r="I196" s="66" t="str">
        <f t="shared" si="3"/>
        <v>ULAWPL_IDR</v>
      </c>
    </row>
    <row r="197" spans="1:9">
      <c r="A197" t="s">
        <v>853</v>
      </c>
      <c r="B197" t="s">
        <v>857</v>
      </c>
      <c r="C197">
        <v>1</v>
      </c>
      <c r="D197">
        <v>20000</v>
      </c>
      <c r="E197">
        <v>380000</v>
      </c>
      <c r="F197">
        <v>63251</v>
      </c>
      <c r="H197" s="66" t="str">
        <f>IF(OR(LEFT(B197,FIND("_",B197,1)-1)="ULGALLOC",LEFT(B197,FIND("_",B197,1)-1)="ULSPOOL"),LEFT(B197,FIND("_",B197,1)-1),VLOOKUP(LEFT(A197,6),'Code Library'!$D$3:$E$200,2,0))&amp;"_"&amp;RIGHT(A197,3)</f>
        <v>AWPL_USD</v>
      </c>
      <c r="I197" s="66" t="str">
        <f t="shared" si="3"/>
        <v>ULAWPL_USD</v>
      </c>
    </row>
    <row r="198" spans="1:9">
      <c r="A198" t="s">
        <v>853</v>
      </c>
      <c r="B198" t="s">
        <v>858</v>
      </c>
      <c r="C198">
        <v>32</v>
      </c>
      <c r="D198">
        <v>615996</v>
      </c>
      <c r="E198">
        <v>13486000</v>
      </c>
      <c r="F198">
        <v>1538087.55596214</v>
      </c>
      <c r="H198" s="66" t="str">
        <f>IF(OR(LEFT(B198,FIND("_",B198,1)-1)="ULGALLOC",LEFT(B198,FIND("_",B198,1)-1)="ULSPOOL"),LEFT(B198,FIND("_",B198,1)-1),VLOOKUP(LEFT(A198,6),'Code Library'!$D$3:$E$200,2,0))&amp;"_"&amp;RIGHT(A198,3)</f>
        <v>AWPL_USD</v>
      </c>
      <c r="I198" s="66" t="str">
        <f t="shared" si="3"/>
        <v>ULAWPL_USD</v>
      </c>
    </row>
    <row r="199" spans="1:9">
      <c r="A199" t="s">
        <v>853</v>
      </c>
      <c r="B199" t="s">
        <v>2220</v>
      </c>
      <c r="C199">
        <v>14</v>
      </c>
      <c r="D199">
        <v>224004</v>
      </c>
      <c r="E199">
        <v>5480000</v>
      </c>
      <c r="F199">
        <v>613655.44633603003</v>
      </c>
      <c r="H199" s="66" t="str">
        <f>IF(OR(LEFT(B199,FIND("_",B199,1)-1)="ULGALLOC",LEFT(B199,FIND("_",B199,1)-1)="ULSPOOL"),LEFT(B199,FIND("_",B199,1)-1),VLOOKUP(LEFT(A199,6),'Code Library'!$D$3:$E$200,2,0))&amp;"_"&amp;RIGHT(A199,3)</f>
        <v>AWPL_USD</v>
      </c>
      <c r="I199" s="66" t="str">
        <f t="shared" si="3"/>
        <v>ULAWPL_USD</v>
      </c>
    </row>
    <row r="200" spans="1:9">
      <c r="A200" t="s">
        <v>850</v>
      </c>
      <c r="B200" t="s">
        <v>859</v>
      </c>
      <c r="C200">
        <v>25</v>
      </c>
      <c r="D200">
        <v>4166000000</v>
      </c>
      <c r="E200">
        <v>160000000000</v>
      </c>
      <c r="F200">
        <v>10764176195.873199</v>
      </c>
      <c r="H200" s="66" t="str">
        <f>IF(OR(LEFT(B200,FIND("_",B200,1)-1)="ULGALLOC",LEFT(B200,FIND("_",B200,1)-1)="ULSPOOL"),LEFT(B200,FIND("_",B200,1)-1),VLOOKUP(LEFT(A200,6),'Code Library'!$D$3:$E$200,2,0))&amp;"_"&amp;RIGHT(A200,3)</f>
        <v>AWPL_IDR</v>
      </c>
      <c r="I200" s="66" t="str">
        <f t="shared" si="3"/>
        <v>ULAWPL_IDR</v>
      </c>
    </row>
    <row r="201" spans="1:9">
      <c r="A201" t="s">
        <v>850</v>
      </c>
      <c r="B201" t="s">
        <v>2221</v>
      </c>
      <c r="C201">
        <v>1</v>
      </c>
      <c r="D201">
        <v>200000000</v>
      </c>
      <c r="E201">
        <v>7000000000</v>
      </c>
      <c r="F201">
        <v>659986948.73143995</v>
      </c>
      <c r="H201" s="66" t="str">
        <f>IF(OR(LEFT(B201,FIND("_",B201,1)-1)="ULGALLOC",LEFT(B201,FIND("_",B201,1)-1)="ULSPOOL"),LEFT(B201,FIND("_",B201,1)-1),VLOOKUP(LEFT(A201,6),'Code Library'!$D$3:$E$200,2,0))&amp;"_"&amp;RIGHT(A201,3)</f>
        <v>AWPL_IDR</v>
      </c>
      <c r="I201" s="66" t="str">
        <f t="shared" si="3"/>
        <v>ULAWPL_IDR</v>
      </c>
    </row>
    <row r="202" spans="1:9">
      <c r="A202" t="s">
        <v>853</v>
      </c>
      <c r="B202" t="s">
        <v>860</v>
      </c>
      <c r="C202">
        <v>7</v>
      </c>
      <c r="D202">
        <v>109000</v>
      </c>
      <c r="E202">
        <v>2780000</v>
      </c>
      <c r="F202">
        <v>303609.31796105002</v>
      </c>
      <c r="H202" s="66" t="str">
        <f>IF(OR(LEFT(B202,FIND("_",B202,1)-1)="ULGALLOC",LEFT(B202,FIND("_",B202,1)-1)="ULSPOOL"),LEFT(B202,FIND("_",B202,1)-1),VLOOKUP(LEFT(A202,6),'Code Library'!$D$3:$E$200,2,0))&amp;"_"&amp;RIGHT(A202,3)</f>
        <v>AWPL_USD</v>
      </c>
      <c r="I202" s="66" t="str">
        <f t="shared" si="3"/>
        <v>ULAWPL_USD</v>
      </c>
    </row>
    <row r="203" spans="1:9">
      <c r="A203" t="s">
        <v>853</v>
      </c>
      <c r="B203" t="s">
        <v>2222</v>
      </c>
      <c r="C203">
        <v>1</v>
      </c>
      <c r="D203">
        <v>15000</v>
      </c>
      <c r="E203">
        <v>750000</v>
      </c>
      <c r="F203">
        <v>60349.81493416</v>
      </c>
      <c r="G203" s="55"/>
      <c r="H203" s="66" t="str">
        <f>IF(OR(LEFT(B203,FIND("_",B203,1)-1)="ULGALLOC",LEFT(B203,FIND("_",B203,1)-1)="ULSPOOL"),LEFT(B203,FIND("_",B203,1)-1),VLOOKUP(LEFT(A203,6),'Code Library'!$D$3:$E$200,2,0))&amp;"_"&amp;RIGHT(A203,3)</f>
        <v>AWPL_USD</v>
      </c>
      <c r="I203" s="66" t="str">
        <f t="shared" si="3"/>
        <v>ULAWPL_USD</v>
      </c>
    </row>
    <row r="204" spans="1:9">
      <c r="A204" t="s">
        <v>861</v>
      </c>
      <c r="B204" t="s">
        <v>862</v>
      </c>
      <c r="C204">
        <v>1</v>
      </c>
      <c r="D204">
        <v>25000000</v>
      </c>
      <c r="E204">
        <v>125000000</v>
      </c>
      <c r="F204">
        <v>286380299.55785102</v>
      </c>
      <c r="H204" s="66" t="str">
        <f>IF(OR(LEFT(B204,FIND("_",B204,1)-1)="ULGALLOC",LEFT(B204,FIND("_",B204,1)-1)="ULSPOOL"),LEFT(B204,FIND("_",B204,1)-1),VLOOKUP(LEFT(A204,6),'Code Library'!$D$3:$E$200,2,0))&amp;"_"&amp;RIGHT(A204,3)</f>
        <v>AWPF_IDR</v>
      </c>
      <c r="I204" s="66" t="str">
        <f t="shared" si="3"/>
        <v>ULAWPR_IDR</v>
      </c>
    </row>
    <row r="205" spans="1:9">
      <c r="A205" t="s">
        <v>861</v>
      </c>
      <c r="B205" t="s">
        <v>863</v>
      </c>
      <c r="C205">
        <v>26</v>
      </c>
      <c r="D205">
        <v>1177000004</v>
      </c>
      <c r="E205">
        <v>17415000000</v>
      </c>
      <c r="F205">
        <v>2625216009.8976002</v>
      </c>
      <c r="H205" s="66" t="str">
        <f>IF(OR(LEFT(B205,FIND("_",B205,1)-1)="ULGALLOC",LEFT(B205,FIND("_",B205,1)-1)="ULSPOOL"),LEFT(B205,FIND("_",B205,1)-1),VLOOKUP(LEFT(A205,6),'Code Library'!$D$3:$E$200,2,0))&amp;"_"&amp;RIGHT(A205,3)</f>
        <v>AWPF_IDR</v>
      </c>
      <c r="I205" s="66" t="str">
        <f t="shared" si="3"/>
        <v>ULAWPR_IDR</v>
      </c>
    </row>
    <row r="206" spans="1:9">
      <c r="A206" t="s">
        <v>861</v>
      </c>
      <c r="B206" t="s">
        <v>2223</v>
      </c>
      <c r="C206">
        <v>3</v>
      </c>
      <c r="D206">
        <v>112500000</v>
      </c>
      <c r="E206">
        <v>2300000000</v>
      </c>
      <c r="F206">
        <v>169585757.89520401</v>
      </c>
      <c r="H206" s="66" t="str">
        <f>IF(OR(LEFT(B206,FIND("_",B206,1)-1)="ULGALLOC",LEFT(B206,FIND("_",B206,1)-1)="ULSPOOL"),LEFT(B206,FIND("_",B206,1)-1),VLOOKUP(LEFT(A206,6),'Code Library'!$D$3:$E$200,2,0))&amp;"_"&amp;RIGHT(A206,3)</f>
        <v>AWPF_IDR</v>
      </c>
      <c r="I206" s="66" t="str">
        <f t="shared" si="3"/>
        <v>ULAWPR_IDR</v>
      </c>
    </row>
    <row r="207" spans="1:9">
      <c r="A207" t="s">
        <v>864</v>
      </c>
      <c r="B207" t="s">
        <v>865</v>
      </c>
      <c r="C207">
        <v>1</v>
      </c>
      <c r="D207">
        <v>2500</v>
      </c>
      <c r="E207">
        <v>12500</v>
      </c>
      <c r="F207">
        <v>2370</v>
      </c>
      <c r="H207" s="66" t="str">
        <f>IF(OR(LEFT(B207,FIND("_",B207,1)-1)="ULGALLOC",LEFT(B207,FIND("_",B207,1)-1)="ULSPOOL"),LEFT(B207,FIND("_",B207,1)-1),VLOOKUP(LEFT(A207,6),'Code Library'!$D$3:$E$200,2,0))&amp;"_"&amp;RIGHT(A207,3)</f>
        <v>AWPF_USD</v>
      </c>
      <c r="I207" s="66" t="str">
        <f t="shared" si="3"/>
        <v>ULAWPR_USD</v>
      </c>
    </row>
    <row r="208" spans="1:9">
      <c r="A208" t="s">
        <v>864</v>
      </c>
      <c r="B208" t="s">
        <v>866</v>
      </c>
      <c r="C208">
        <v>1</v>
      </c>
      <c r="D208">
        <v>2500</v>
      </c>
      <c r="E208">
        <v>12500</v>
      </c>
      <c r="F208">
        <v>13988.62679056</v>
      </c>
      <c r="G208" s="55"/>
      <c r="H208" s="66" t="str">
        <f>IF(OR(LEFT(B208,FIND("_",B208,1)-1)="ULGALLOC",LEFT(B208,FIND("_",B208,1)-1)="ULSPOOL"),LEFT(B208,FIND("_",B208,1)-1),VLOOKUP(LEFT(A208,6),'Code Library'!$D$3:$E$200,2,0))&amp;"_"&amp;RIGHT(A208,3)</f>
        <v>AWPF_USD</v>
      </c>
      <c r="I208" s="66" t="str">
        <f t="shared" si="3"/>
        <v>ULAWPR_USD</v>
      </c>
    </row>
    <row r="209" spans="1:9">
      <c r="A209" t="s">
        <v>861</v>
      </c>
      <c r="B209" t="s">
        <v>867</v>
      </c>
      <c r="C209">
        <v>11</v>
      </c>
      <c r="D209">
        <v>685000000</v>
      </c>
      <c r="E209">
        <v>9475000000</v>
      </c>
      <c r="F209">
        <v>1270186744.11538</v>
      </c>
      <c r="H209" s="66" t="str">
        <f>IF(OR(LEFT(B209,FIND("_",B209,1)-1)="ULGALLOC",LEFT(B209,FIND("_",B209,1)-1)="ULSPOOL"),LEFT(B209,FIND("_",B209,1)-1),VLOOKUP(LEFT(A209,6),'Code Library'!$D$3:$E$200,2,0))&amp;"_"&amp;RIGHT(A209,3)</f>
        <v>AWPF_IDR</v>
      </c>
      <c r="I209" s="66" t="str">
        <f t="shared" si="3"/>
        <v>ULAWPR_IDR</v>
      </c>
    </row>
    <row r="210" spans="1:9">
      <c r="A210" t="s">
        <v>861</v>
      </c>
      <c r="B210" t="s">
        <v>2224</v>
      </c>
      <c r="C210">
        <v>1</v>
      </c>
      <c r="D210">
        <v>25000000</v>
      </c>
      <c r="E210">
        <v>1000000000</v>
      </c>
      <c r="F210">
        <v>27854042</v>
      </c>
      <c r="H210" s="66" t="str">
        <f>IF(OR(LEFT(B210,FIND("_",B210,1)-1)="ULGALLOC",LEFT(B210,FIND("_",B210,1)-1)="ULSPOOL"),LEFT(B210,FIND("_",B210,1)-1),VLOOKUP(LEFT(A210,6),'Code Library'!$D$3:$E$200,2,0))&amp;"_"&amp;RIGHT(A210,3)</f>
        <v>AWPF_IDR</v>
      </c>
      <c r="I210" s="66" t="str">
        <f t="shared" si="3"/>
        <v>ULAWPR_IDR</v>
      </c>
    </row>
    <row r="211" spans="1:9">
      <c r="A211" t="s">
        <v>868</v>
      </c>
      <c r="B211" t="s">
        <v>869</v>
      </c>
      <c r="C211">
        <v>7</v>
      </c>
      <c r="D211">
        <v>400000000</v>
      </c>
      <c r="E211">
        <v>600000000</v>
      </c>
      <c r="F211">
        <v>1805896120.92735</v>
      </c>
      <c r="H211" s="66" t="str">
        <f>IF(OR(LEFT(B211,FIND("_",B211,1)-1)="ULGALLOC",LEFT(B211,FIND("_",B211,1)-1)="ULSPOOL"),LEFT(B211,FIND("_",B211,1)-1),VLOOKUP(LEFT(A211,6),'Code Library'!$D$3:$E$200,2,0))&amp;"_"&amp;RIGHT(A211,3)</f>
        <v>BJPMC_IDR</v>
      </c>
      <c r="I211" s="66" t="str">
        <f t="shared" si="3"/>
        <v>ULBPMC_IDR</v>
      </c>
    </row>
    <row r="212" spans="1:9">
      <c r="A212" t="s">
        <v>868</v>
      </c>
      <c r="B212" t="s">
        <v>870</v>
      </c>
      <c r="C212">
        <v>4</v>
      </c>
      <c r="D212">
        <v>200000000</v>
      </c>
      <c r="E212">
        <v>300000000</v>
      </c>
      <c r="F212">
        <v>5974338844.3699799</v>
      </c>
      <c r="G212" s="55"/>
      <c r="H212" s="66" t="str">
        <f>IF(OR(LEFT(B212,FIND("_",B212,1)-1)="ULGALLOC",LEFT(B212,FIND("_",B212,1)-1)="ULSPOOL"),LEFT(B212,FIND("_",B212,1)-1),VLOOKUP(LEFT(A212,6),'Code Library'!$D$3:$E$200,2,0))&amp;"_"&amp;RIGHT(A212,3)</f>
        <v>BJPMC_IDR</v>
      </c>
      <c r="I212" s="66" t="str">
        <f t="shared" si="3"/>
        <v>ULBPMC_IDR</v>
      </c>
    </row>
    <row r="213" spans="1:9">
      <c r="A213" t="s">
        <v>868</v>
      </c>
      <c r="B213" t="s">
        <v>2225</v>
      </c>
      <c r="C213">
        <v>1</v>
      </c>
      <c r="D213">
        <v>50000000</v>
      </c>
      <c r="E213">
        <v>75000000</v>
      </c>
      <c r="F213">
        <v>50971369</v>
      </c>
      <c r="H213" s="66" t="str">
        <f>IF(OR(LEFT(B213,FIND("_",B213,1)-1)="ULGALLOC",LEFT(B213,FIND("_",B213,1)-1)="ULSPOOL"),LEFT(B213,FIND("_",B213,1)-1),VLOOKUP(LEFT(A213,6),'Code Library'!$D$3:$E$200,2,0))&amp;"_"&amp;RIGHT(A213,3)</f>
        <v>BJPMC_IDR</v>
      </c>
      <c r="I213" s="66" t="str">
        <f t="shared" si="3"/>
        <v>ULBPMC_IDR</v>
      </c>
    </row>
    <row r="214" spans="1:9">
      <c r="A214" t="s">
        <v>871</v>
      </c>
      <c r="B214" t="s">
        <v>872</v>
      </c>
      <c r="C214">
        <v>40</v>
      </c>
      <c r="D214">
        <v>200000</v>
      </c>
      <c r="E214">
        <v>300000</v>
      </c>
      <c r="F214">
        <v>1472689.98025712</v>
      </c>
      <c r="H214" s="66" t="str">
        <f>IF(OR(LEFT(B214,FIND("_",B214,1)-1)="ULGALLOC",LEFT(B214,FIND("_",B214,1)-1)="ULSPOOL"),LEFT(B214,FIND("_",B214,1)-1),VLOOKUP(LEFT(A214,6),'Code Library'!$D$3:$E$200,2,0))&amp;"_"&amp;RIGHT(A214,3)</f>
        <v>BJPMC_USD</v>
      </c>
      <c r="I214" s="66" t="str">
        <f t="shared" si="3"/>
        <v>ULBPMC_USD</v>
      </c>
    </row>
    <row r="215" spans="1:9">
      <c r="A215" t="s">
        <v>871</v>
      </c>
      <c r="B215" t="s">
        <v>873</v>
      </c>
      <c r="C215">
        <v>6</v>
      </c>
      <c r="D215">
        <v>30000</v>
      </c>
      <c r="E215">
        <v>45000</v>
      </c>
      <c r="F215">
        <v>303288.65922815999</v>
      </c>
      <c r="H215" s="66" t="str">
        <f>IF(OR(LEFT(B215,FIND("_",B215,1)-1)="ULGALLOC",LEFT(B215,FIND("_",B215,1)-1)="ULSPOOL"),LEFT(B215,FIND("_",B215,1)-1),VLOOKUP(LEFT(A215,6),'Code Library'!$D$3:$E$200,2,0))&amp;"_"&amp;RIGHT(A215,3)</f>
        <v>BJPMC_USD</v>
      </c>
      <c r="I215" s="66" t="str">
        <f t="shared" si="3"/>
        <v>ULBPMC_USD</v>
      </c>
    </row>
    <row r="216" spans="1:9">
      <c r="A216" t="s">
        <v>871</v>
      </c>
      <c r="B216" t="s">
        <v>2226</v>
      </c>
      <c r="C216">
        <v>1</v>
      </c>
      <c r="D216">
        <v>5000</v>
      </c>
      <c r="E216">
        <v>7500</v>
      </c>
      <c r="F216">
        <v>5128</v>
      </c>
      <c r="G216" s="55"/>
      <c r="H216" s="66" t="str">
        <f>IF(OR(LEFT(B216,FIND("_",B216,1)-1)="ULGALLOC",LEFT(B216,FIND("_",B216,1)-1)="ULSPOOL"),LEFT(B216,FIND("_",B216,1)-1),VLOOKUP(LEFT(A216,6),'Code Library'!$D$3:$E$200,2,0))&amp;"_"&amp;RIGHT(A216,3)</f>
        <v>BJPMC_USD</v>
      </c>
      <c r="I216" s="66" t="str">
        <f t="shared" si="3"/>
        <v>ULBPMC_USD</v>
      </c>
    </row>
    <row r="217" spans="1:9">
      <c r="A217" t="s">
        <v>874</v>
      </c>
      <c r="B217" t="s">
        <v>875</v>
      </c>
      <c r="C217">
        <v>7</v>
      </c>
      <c r="D217">
        <v>66000000</v>
      </c>
      <c r="E217">
        <v>6146000000</v>
      </c>
      <c r="F217">
        <v>151130645.827824</v>
      </c>
      <c r="H217" s="66" t="str">
        <f>IF(OR(LEFT(B217,FIND("_",B217,1)-1)="ULGALLOC",LEFT(B217,FIND("_",B217,1)-1)="ULSPOOL"),LEFT(B217,FIND("_",B217,1)-1),VLOOKUP(LEFT(A217,6),'Code Library'!$D$3:$E$200,2,0))&amp;"_"&amp;RIGHT(A217,3)</f>
        <v>BJPOC_IDR</v>
      </c>
      <c r="I217" s="66" t="str">
        <f t="shared" si="3"/>
        <v>ULBPOC_IDR</v>
      </c>
    </row>
    <row r="218" spans="1:9">
      <c r="A218" t="s">
        <v>874</v>
      </c>
      <c r="B218" t="s">
        <v>876</v>
      </c>
      <c r="C218">
        <v>47</v>
      </c>
      <c r="D218">
        <v>517000000</v>
      </c>
      <c r="E218">
        <v>29569000000</v>
      </c>
      <c r="F218">
        <v>923662749.00637305</v>
      </c>
      <c r="H218" s="66" t="str">
        <f>IF(OR(LEFT(B218,FIND("_",B218,1)-1)="ULGALLOC",LEFT(B218,FIND("_",B218,1)-1)="ULSPOOL"),LEFT(B218,FIND("_",B218,1)-1),VLOOKUP(LEFT(A218,6),'Code Library'!$D$3:$E$200,2,0))&amp;"_"&amp;RIGHT(A218,3)</f>
        <v>BJPOC_IDR</v>
      </c>
      <c r="I218" s="66" t="str">
        <f t="shared" si="3"/>
        <v>ULBPOC_IDR</v>
      </c>
    </row>
    <row r="219" spans="1:9">
      <c r="A219" t="s">
        <v>874</v>
      </c>
      <c r="B219" t="s">
        <v>2227</v>
      </c>
      <c r="C219">
        <v>8</v>
      </c>
      <c r="D219">
        <v>58000000</v>
      </c>
      <c r="E219">
        <v>3558000000</v>
      </c>
      <c r="F219">
        <v>30660932.959229998</v>
      </c>
      <c r="H219" s="66" t="str">
        <f>IF(OR(LEFT(B219,FIND("_",B219,1)-1)="ULGALLOC",LEFT(B219,FIND("_",B219,1)-1)="ULSPOOL"),LEFT(B219,FIND("_",B219,1)-1),VLOOKUP(LEFT(A219,6),'Code Library'!$D$3:$E$200,2,0))&amp;"_"&amp;RIGHT(A219,3)</f>
        <v>BJPOC_IDR</v>
      </c>
      <c r="I219" s="66" t="str">
        <f t="shared" si="3"/>
        <v>ULBPOC_IDR</v>
      </c>
    </row>
    <row r="220" spans="1:9">
      <c r="A220" t="s">
        <v>877</v>
      </c>
      <c r="B220" t="s">
        <v>878</v>
      </c>
      <c r="C220">
        <v>251</v>
      </c>
      <c r="D220">
        <v>21503999980</v>
      </c>
      <c r="E220">
        <v>377392000000</v>
      </c>
      <c r="F220">
        <v>62814789941.738297</v>
      </c>
      <c r="H220" s="66" t="str">
        <f>IF(OR(LEFT(B220,FIND("_",B220,1)-1)="ULGALLOC",LEFT(B220,FIND("_",B220,1)-1)="ULSPOOL"),LEFT(B220,FIND("_",B220,1)-1),VLOOKUP(LEFT(A220,6),'Code Library'!$D$3:$E$200,2,0))&amp;"_"&amp;RIGHT(A220,3)</f>
        <v>HSCIP_IDR</v>
      </c>
      <c r="I220" s="66" t="str">
        <f t="shared" si="3"/>
        <v>ULCIP__IDR</v>
      </c>
    </row>
    <row r="221" spans="1:9">
      <c r="A221" t="s">
        <v>877</v>
      </c>
      <c r="B221" t="s">
        <v>879</v>
      </c>
      <c r="C221">
        <v>334</v>
      </c>
      <c r="D221">
        <v>21284999916</v>
      </c>
      <c r="E221">
        <v>424364000000</v>
      </c>
      <c r="F221">
        <v>72908188389.498093</v>
      </c>
      <c r="H221" s="66" t="str">
        <f>IF(OR(LEFT(B221,FIND("_",B221,1)-1)="ULGALLOC",LEFT(B221,FIND("_",B221,1)-1)="ULSPOOL"),LEFT(B221,FIND("_",B221,1)-1),VLOOKUP(LEFT(A221,6),'Code Library'!$D$3:$E$200,2,0))&amp;"_"&amp;RIGHT(A221,3)</f>
        <v>HSCIP_IDR</v>
      </c>
      <c r="I221" s="66" t="str">
        <f t="shared" si="3"/>
        <v>ULCIP__IDR</v>
      </c>
    </row>
    <row r="222" spans="1:9">
      <c r="A222" t="s">
        <v>877</v>
      </c>
      <c r="B222" t="s">
        <v>880</v>
      </c>
      <c r="C222">
        <v>336</v>
      </c>
      <c r="D222">
        <v>20637199960</v>
      </c>
      <c r="E222">
        <v>355641500000</v>
      </c>
      <c r="F222">
        <v>64553823995.679604</v>
      </c>
      <c r="G222" s="55"/>
      <c r="H222" s="66" t="str">
        <f>IF(OR(LEFT(B222,FIND("_",B222,1)-1)="ULGALLOC",LEFT(B222,FIND("_",B222,1)-1)="ULSPOOL"),LEFT(B222,FIND("_",B222,1)-1),VLOOKUP(LEFT(A222,6),'Code Library'!$D$3:$E$200,2,0))&amp;"_"&amp;RIGHT(A222,3)</f>
        <v>HSCIP_IDR</v>
      </c>
      <c r="I222" s="66" t="str">
        <f t="shared" si="3"/>
        <v>ULCIP__IDR</v>
      </c>
    </row>
    <row r="223" spans="1:9">
      <c r="A223" t="s">
        <v>877</v>
      </c>
      <c r="B223" t="s">
        <v>881</v>
      </c>
      <c r="C223">
        <v>335</v>
      </c>
      <c r="D223">
        <v>19425999988</v>
      </c>
      <c r="E223">
        <v>332803500080</v>
      </c>
      <c r="F223">
        <v>83336967110.197098</v>
      </c>
      <c r="H223" s="66" t="str">
        <f>IF(OR(LEFT(B223,FIND("_",B223,1)-1)="ULGALLOC",LEFT(B223,FIND("_",B223,1)-1)="ULSPOOL"),LEFT(B223,FIND("_",B223,1)-1),VLOOKUP(LEFT(A223,6),'Code Library'!$D$3:$E$200,2,0))&amp;"_"&amp;RIGHT(A223,3)</f>
        <v>HSCIP_IDR</v>
      </c>
      <c r="I223" s="66" t="str">
        <f t="shared" si="3"/>
        <v>ULCIP__IDR</v>
      </c>
    </row>
    <row r="224" spans="1:9">
      <c r="A224" t="s">
        <v>877</v>
      </c>
      <c r="B224" t="s">
        <v>882</v>
      </c>
      <c r="C224">
        <v>172</v>
      </c>
      <c r="D224">
        <v>8350175988</v>
      </c>
      <c r="E224">
        <v>153024200000</v>
      </c>
      <c r="F224">
        <v>36867169910.742203</v>
      </c>
      <c r="G224" s="55"/>
      <c r="H224" s="66" t="str">
        <f>IF(OR(LEFT(B224,FIND("_",B224,1)-1)="ULGALLOC",LEFT(B224,FIND("_",B224,1)-1)="ULSPOOL"),LEFT(B224,FIND("_",B224,1)-1),VLOOKUP(LEFT(A224,6),'Code Library'!$D$3:$E$200,2,0))&amp;"_"&amp;RIGHT(A224,3)</f>
        <v>HSCIP_IDR</v>
      </c>
      <c r="I224" s="66" t="str">
        <f t="shared" si="3"/>
        <v>ULCIP__IDR</v>
      </c>
    </row>
    <row r="225" spans="1:9">
      <c r="A225" t="s">
        <v>877</v>
      </c>
      <c r="B225" t="s">
        <v>883</v>
      </c>
      <c r="C225">
        <v>239</v>
      </c>
      <c r="D225">
        <v>11858224012</v>
      </c>
      <c r="E225">
        <v>168110000040</v>
      </c>
      <c r="F225">
        <v>36311217624.116302</v>
      </c>
      <c r="G225" s="55"/>
      <c r="H225" s="66" t="str">
        <f>IF(OR(LEFT(B225,FIND("_",B225,1)-1)="ULGALLOC",LEFT(B225,FIND("_",B225,1)-1)="ULSPOOL"),LEFT(B225,FIND("_",B225,1)-1),VLOOKUP(LEFT(A225,6),'Code Library'!$D$3:$E$200,2,0))&amp;"_"&amp;RIGHT(A225,3)</f>
        <v>HSCIP_IDR</v>
      </c>
      <c r="I225" s="66" t="str">
        <f t="shared" si="3"/>
        <v>ULCIP__IDR</v>
      </c>
    </row>
    <row r="226" spans="1:9">
      <c r="A226" t="s">
        <v>877</v>
      </c>
      <c r="B226" t="s">
        <v>884</v>
      </c>
      <c r="C226">
        <v>742</v>
      </c>
      <c r="D226">
        <v>45792139948</v>
      </c>
      <c r="E226">
        <v>567899899880</v>
      </c>
      <c r="F226">
        <v>121547009541.97</v>
      </c>
      <c r="G226" s="55"/>
      <c r="H226" s="66" t="str">
        <f>IF(OR(LEFT(B226,FIND("_",B226,1)-1)="ULGALLOC",LEFT(B226,FIND("_",B226,1)-1)="ULSPOOL"),LEFT(B226,FIND("_",B226,1)-1),VLOOKUP(LEFT(A226,6),'Code Library'!$D$3:$E$200,2,0))&amp;"_"&amp;RIGHT(A226,3)</f>
        <v>HSCIP_IDR</v>
      </c>
      <c r="I226" s="66" t="str">
        <f t="shared" si="3"/>
        <v>ULCIP__IDR</v>
      </c>
    </row>
    <row r="227" spans="1:9">
      <c r="A227" t="s">
        <v>877</v>
      </c>
      <c r="B227" t="s">
        <v>2228</v>
      </c>
      <c r="C227">
        <v>50</v>
      </c>
      <c r="D227">
        <v>3584500008</v>
      </c>
      <c r="E227">
        <v>43350000000</v>
      </c>
      <c r="F227">
        <v>9621211676.6026192</v>
      </c>
      <c r="G227" s="55"/>
      <c r="H227" s="66" t="str">
        <f>IF(OR(LEFT(B227,FIND("_",B227,1)-1)="ULGALLOC",LEFT(B227,FIND("_",B227,1)-1)="ULSPOOL"),LEFT(B227,FIND("_",B227,1)-1),VLOOKUP(LEFT(A227,6),'Code Library'!$D$3:$E$200,2,0))&amp;"_"&amp;RIGHT(A227,3)</f>
        <v>HSCIP_IDR</v>
      </c>
      <c r="I227" s="66" t="str">
        <f t="shared" si="3"/>
        <v>ULCIP__IDR</v>
      </c>
    </row>
    <row r="228" spans="1:9">
      <c r="A228" t="s">
        <v>885</v>
      </c>
      <c r="B228" t="s">
        <v>886</v>
      </c>
      <c r="C228">
        <v>83</v>
      </c>
      <c r="D228">
        <v>726100</v>
      </c>
      <c r="E228">
        <v>9315000</v>
      </c>
      <c r="F228">
        <v>3702868.9356842302</v>
      </c>
      <c r="G228" s="55"/>
      <c r="H228" s="66" t="str">
        <f>IF(OR(LEFT(B228,FIND("_",B228,1)-1)="ULGALLOC",LEFT(B228,FIND("_",B228,1)-1)="ULSPOOL"),LEFT(B228,FIND("_",B228,1)-1),VLOOKUP(LEFT(A228,6),'Code Library'!$D$3:$E$200,2,0))&amp;"_"&amp;RIGHT(A228,3)</f>
        <v>HSCIP_USD</v>
      </c>
      <c r="I228" s="66" t="str">
        <f t="shared" si="3"/>
        <v>ULCIP__USD</v>
      </c>
    </row>
    <row r="229" spans="1:9">
      <c r="A229" t="s">
        <v>885</v>
      </c>
      <c r="B229" t="s">
        <v>887</v>
      </c>
      <c r="C229">
        <v>92</v>
      </c>
      <c r="D229">
        <v>997992</v>
      </c>
      <c r="E229">
        <v>15182500</v>
      </c>
      <c r="F229">
        <v>4133321.3735243501</v>
      </c>
      <c r="G229" s="55"/>
      <c r="H229" s="66" t="str">
        <f>IF(OR(LEFT(B229,FIND("_",B229,1)-1)="ULGALLOC",LEFT(B229,FIND("_",B229,1)-1)="ULSPOOL"),LEFT(B229,FIND("_",B229,1)-1),VLOOKUP(LEFT(A229,6),'Code Library'!$D$3:$E$200,2,0))&amp;"_"&amp;RIGHT(A229,3)</f>
        <v>HSCIP_USD</v>
      </c>
      <c r="I229" s="66" t="str">
        <f t="shared" si="3"/>
        <v>ULCIP__USD</v>
      </c>
    </row>
    <row r="230" spans="1:9">
      <c r="A230" t="s">
        <v>885</v>
      </c>
      <c r="B230" t="s">
        <v>888</v>
      </c>
      <c r="C230">
        <v>188</v>
      </c>
      <c r="D230">
        <v>1611052</v>
      </c>
      <c r="E230">
        <v>21488300</v>
      </c>
      <c r="F230">
        <v>7701501.6872045398</v>
      </c>
      <c r="G230" s="55"/>
      <c r="H230" s="66" t="str">
        <f>IF(OR(LEFT(B230,FIND("_",B230,1)-1)="ULGALLOC",LEFT(B230,FIND("_",B230,1)-1)="ULSPOOL"),LEFT(B230,FIND("_",B230,1)-1),VLOOKUP(LEFT(A230,6),'Code Library'!$D$3:$E$200,2,0))&amp;"_"&amp;RIGHT(A230,3)</f>
        <v>HSCIP_USD</v>
      </c>
      <c r="I230" s="66" t="str">
        <f t="shared" si="3"/>
        <v>ULCIP__USD</v>
      </c>
    </row>
    <row r="231" spans="1:9">
      <c r="A231" t="s">
        <v>885</v>
      </c>
      <c r="B231" t="s">
        <v>889</v>
      </c>
      <c r="C231">
        <v>227</v>
      </c>
      <c r="D231">
        <v>1489512</v>
      </c>
      <c r="E231">
        <v>21203290</v>
      </c>
      <c r="F231">
        <v>9735734.8402125891</v>
      </c>
      <c r="G231" s="55"/>
      <c r="H231" s="66" t="str">
        <f>IF(OR(LEFT(B231,FIND("_",B231,1)-1)="ULGALLOC",LEFT(B231,FIND("_",B231,1)-1)="ULSPOOL"),LEFT(B231,FIND("_",B231,1)-1),VLOOKUP(LEFT(A231,6),'Code Library'!$D$3:$E$200,2,0))&amp;"_"&amp;RIGHT(A231,3)</f>
        <v>HSCIP_USD</v>
      </c>
      <c r="I231" s="66" t="str">
        <f t="shared" si="3"/>
        <v>ULCIP__USD</v>
      </c>
    </row>
    <row r="232" spans="1:9">
      <c r="A232" t="s">
        <v>885</v>
      </c>
      <c r="B232" t="s">
        <v>890</v>
      </c>
      <c r="C232">
        <v>468</v>
      </c>
      <c r="D232">
        <v>2130842</v>
      </c>
      <c r="E232">
        <v>24732370</v>
      </c>
      <c r="F232">
        <v>13140610.269111199</v>
      </c>
      <c r="G232" s="55"/>
      <c r="H232" s="66" t="str">
        <f>IF(OR(LEFT(B232,FIND("_",B232,1)-1)="ULGALLOC",LEFT(B232,FIND("_",B232,1)-1)="ULSPOOL"),LEFT(B232,FIND("_",B232,1)-1),VLOOKUP(LEFT(A232,6),'Code Library'!$D$3:$E$200,2,0))&amp;"_"&amp;RIGHT(A232,3)</f>
        <v>HSCIP_USD</v>
      </c>
      <c r="I232" s="66" t="str">
        <f t="shared" si="3"/>
        <v>ULCIP__USD</v>
      </c>
    </row>
    <row r="233" spans="1:9">
      <c r="A233" t="s">
        <v>885</v>
      </c>
      <c r="B233" t="s">
        <v>891</v>
      </c>
      <c r="C233">
        <v>767</v>
      </c>
      <c r="D233">
        <v>4014820</v>
      </c>
      <c r="E233">
        <v>46344480</v>
      </c>
      <c r="F233">
        <v>17438751.299921799</v>
      </c>
      <c r="G233" s="55"/>
      <c r="H233" s="66" t="str">
        <f>IF(OR(LEFT(B233,FIND("_",B233,1)-1)="ULGALLOC",LEFT(B233,FIND("_",B233,1)-1)="ULSPOOL"),LEFT(B233,FIND("_",B233,1)-1),VLOOKUP(LEFT(A233,6),'Code Library'!$D$3:$E$200,2,0))&amp;"_"&amp;RIGHT(A233,3)</f>
        <v>HSCIP_USD</v>
      </c>
      <c r="I233" s="66" t="str">
        <f t="shared" si="3"/>
        <v>ULCIP__USD</v>
      </c>
    </row>
    <row r="234" spans="1:9">
      <c r="A234" t="s">
        <v>885</v>
      </c>
      <c r="B234" t="s">
        <v>892</v>
      </c>
      <c r="C234">
        <v>309</v>
      </c>
      <c r="D234">
        <v>1693308</v>
      </c>
      <c r="E234">
        <v>18659160</v>
      </c>
      <c r="F234">
        <v>5900448.8807264296</v>
      </c>
      <c r="G234" s="55"/>
      <c r="H234" s="66" t="str">
        <f>IF(OR(LEFT(B234,FIND("_",B234,1)-1)="ULGALLOC",LEFT(B234,FIND("_",B234,1)-1)="ULSPOOL"),LEFT(B234,FIND("_",B234,1)-1),VLOOKUP(LEFT(A234,6),'Code Library'!$D$3:$E$200,2,0))&amp;"_"&amp;RIGHT(A234,3)</f>
        <v>HSCIP_USD</v>
      </c>
      <c r="I234" s="66" t="str">
        <f t="shared" si="3"/>
        <v>ULCIP__USD</v>
      </c>
    </row>
    <row r="235" spans="1:9">
      <c r="A235" t="s">
        <v>885</v>
      </c>
      <c r="B235" t="s">
        <v>2229</v>
      </c>
      <c r="C235">
        <v>65</v>
      </c>
      <c r="D235">
        <v>375804</v>
      </c>
      <c r="E235">
        <v>3758000</v>
      </c>
      <c r="F235">
        <v>1376615.3333799599</v>
      </c>
      <c r="G235" s="55"/>
      <c r="H235" s="66" t="str">
        <f>IF(OR(LEFT(B235,FIND("_",B235,1)-1)="ULGALLOC",LEFT(B235,FIND("_",B235,1)-1)="ULSPOOL"),LEFT(B235,FIND("_",B235,1)-1),VLOOKUP(LEFT(A235,6),'Code Library'!$D$3:$E$200,2,0))&amp;"_"&amp;RIGHT(A235,3)</f>
        <v>HSCIP_USD</v>
      </c>
      <c r="I235" s="66" t="str">
        <f t="shared" si="3"/>
        <v>ULCIP__USD</v>
      </c>
    </row>
    <row r="236" spans="1:9">
      <c r="A236" t="s">
        <v>893</v>
      </c>
      <c r="B236" t="s">
        <v>894</v>
      </c>
      <c r="C236">
        <v>20</v>
      </c>
      <c r="D236">
        <v>258000000</v>
      </c>
      <c r="E236">
        <v>7390000000</v>
      </c>
      <c r="F236">
        <v>648491396.09788597</v>
      </c>
      <c r="G236" s="55"/>
      <c r="H236" s="66" t="str">
        <f>IF(OR(LEFT(B236,FIND("_",B236,1)-1)="ULGALLOC",LEFT(B236,FIND("_",B236,1)-1)="ULSPOOL"),LEFT(B236,FIND("_",B236,1)-1),VLOOKUP(LEFT(A236,6),'Code Library'!$D$3:$E$200,2,0))&amp;"_"&amp;RIGHT(A236,3)</f>
        <v>HCIPA_IDR</v>
      </c>
      <c r="I236" s="66" t="str">
        <f t="shared" si="3"/>
        <v>ULCIPA_IDR</v>
      </c>
    </row>
    <row r="237" spans="1:9">
      <c r="A237" t="s">
        <v>893</v>
      </c>
      <c r="B237" t="s">
        <v>895</v>
      </c>
      <c r="C237">
        <v>61</v>
      </c>
      <c r="D237">
        <v>784400008</v>
      </c>
      <c r="E237">
        <v>24106000000</v>
      </c>
      <c r="F237">
        <v>2476498002.1930599</v>
      </c>
      <c r="G237" s="55"/>
      <c r="H237" s="66" t="str">
        <f>IF(OR(LEFT(B237,FIND("_",B237,1)-1)="ULGALLOC",LEFT(B237,FIND("_",B237,1)-1)="ULSPOOL"),LEFT(B237,FIND("_",B237,1)-1),VLOOKUP(LEFT(A237,6),'Code Library'!$D$3:$E$200,2,0))&amp;"_"&amp;RIGHT(A237,3)</f>
        <v>HCIPA_IDR</v>
      </c>
      <c r="I237" s="66" t="str">
        <f t="shared" si="3"/>
        <v>ULCIPA_IDR</v>
      </c>
    </row>
    <row r="238" spans="1:9">
      <c r="A238" t="s">
        <v>893</v>
      </c>
      <c r="B238" t="s">
        <v>896</v>
      </c>
      <c r="C238">
        <v>60</v>
      </c>
      <c r="D238">
        <v>735000000</v>
      </c>
      <c r="E238">
        <v>21649000000</v>
      </c>
      <c r="F238">
        <v>2165279621.8125501</v>
      </c>
      <c r="H238" s="66" t="str">
        <f>IF(OR(LEFT(B238,FIND("_",B238,1)-1)="ULGALLOC",LEFT(B238,FIND("_",B238,1)-1)="ULSPOOL"),LEFT(B238,FIND("_",B238,1)-1),VLOOKUP(LEFT(A238,6),'Code Library'!$D$3:$E$200,2,0))&amp;"_"&amp;RIGHT(A238,3)</f>
        <v>HCIPA_IDR</v>
      </c>
      <c r="I238" s="66" t="str">
        <f t="shared" si="3"/>
        <v>ULCIPA_IDR</v>
      </c>
    </row>
    <row r="239" spans="1:9">
      <c r="A239" t="s">
        <v>893</v>
      </c>
      <c r="B239" t="s">
        <v>897</v>
      </c>
      <c r="C239">
        <v>35</v>
      </c>
      <c r="D239">
        <v>458000004</v>
      </c>
      <c r="E239">
        <v>12922000000</v>
      </c>
      <c r="F239">
        <v>1034544536.0584199</v>
      </c>
      <c r="H239" s="66" t="str">
        <f>IF(OR(LEFT(B239,FIND("_",B239,1)-1)="ULGALLOC",LEFT(B239,FIND("_",B239,1)-1)="ULSPOOL"),LEFT(B239,FIND("_",B239,1)-1),VLOOKUP(LEFT(A239,6),'Code Library'!$D$3:$E$200,2,0))&amp;"_"&amp;RIGHT(A239,3)</f>
        <v>HCIPA_IDR</v>
      </c>
      <c r="I239" s="66" t="str">
        <f t="shared" si="3"/>
        <v>ULCIPA_IDR</v>
      </c>
    </row>
    <row r="240" spans="1:9">
      <c r="A240" t="s">
        <v>893</v>
      </c>
      <c r="B240" t="s">
        <v>898</v>
      </c>
      <c r="C240">
        <v>24</v>
      </c>
      <c r="D240">
        <v>307500000</v>
      </c>
      <c r="E240">
        <v>8696000000</v>
      </c>
      <c r="F240">
        <v>678116665.88128603</v>
      </c>
      <c r="G240" s="55"/>
      <c r="H240" s="66" t="str">
        <f>IF(OR(LEFT(B240,FIND("_",B240,1)-1)="ULGALLOC",LEFT(B240,FIND("_",B240,1)-1)="ULSPOOL"),LEFT(B240,FIND("_",B240,1)-1),VLOOKUP(LEFT(A240,6),'Code Library'!$D$3:$E$200,2,0))&amp;"_"&amp;RIGHT(A240,3)</f>
        <v>HCIPA_IDR</v>
      </c>
      <c r="I240" s="66" t="str">
        <f t="shared" si="3"/>
        <v>ULCIPA_IDR</v>
      </c>
    </row>
    <row r="241" spans="1:9">
      <c r="A241" t="s">
        <v>899</v>
      </c>
      <c r="B241" t="s">
        <v>900</v>
      </c>
      <c r="C241">
        <v>58</v>
      </c>
      <c r="D241">
        <v>448200000</v>
      </c>
      <c r="E241">
        <v>12980000000</v>
      </c>
      <c r="F241">
        <v>1765300534.5283999</v>
      </c>
      <c r="G241" s="55"/>
      <c r="H241" s="66" t="str">
        <f>IF(OR(LEFT(B241,FIND("_",B241,1)-1)="ULGALLOC",LEFT(B241,FIND("_",B241,1)-1)="ULSPOOL"),LEFT(B241,FIND("_",B241,1)-1),VLOOKUP(LEFT(A241,6),'Code Library'!$D$3:$E$200,2,0))&amp;"_"&amp;RIGHT(A241,3)</f>
        <v>SHCP_IDR</v>
      </c>
      <c r="I241" s="66" t="str">
        <f t="shared" si="3"/>
        <v>ULCP___IDR</v>
      </c>
    </row>
    <row r="242" spans="1:9">
      <c r="A242" t="s">
        <v>901</v>
      </c>
      <c r="B242" t="s">
        <v>902</v>
      </c>
      <c r="C242">
        <v>41</v>
      </c>
      <c r="D242">
        <v>325999996</v>
      </c>
      <c r="E242">
        <v>12755000000</v>
      </c>
      <c r="F242">
        <v>796030943.58639395</v>
      </c>
      <c r="H242" s="66" t="str">
        <f>IF(OR(LEFT(B242,FIND("_",B242,1)-1)="ULGALLOC",LEFT(B242,FIND("_",B242,1)-1)="ULSPOOL"),LEFT(B242,FIND("_",B242,1)-1),VLOOKUP(LEFT(A242,6),'Code Library'!$D$3:$E$200,2,0))&amp;"_"&amp;RIGHT(A242,3)</f>
        <v>SHCP_IDR</v>
      </c>
      <c r="I242" s="66" t="str">
        <f t="shared" si="3"/>
        <v>ULCPK__IDR</v>
      </c>
    </row>
    <row r="243" spans="1:9">
      <c r="A243" t="s">
        <v>901</v>
      </c>
      <c r="B243" t="s">
        <v>903</v>
      </c>
      <c r="C243">
        <v>15</v>
      </c>
      <c r="D243">
        <v>120200000</v>
      </c>
      <c r="E243">
        <v>3700000000</v>
      </c>
      <c r="F243">
        <v>248553628.26815799</v>
      </c>
      <c r="G243" s="55"/>
      <c r="H243" s="66" t="str">
        <f>IF(OR(LEFT(B243,FIND("_",B243,1)-1)="ULGALLOC",LEFT(B243,FIND("_",B243,1)-1)="ULSPOOL"),LEFT(B243,FIND("_",B243,1)-1),VLOOKUP(LEFT(A243,6),'Code Library'!$D$3:$E$200,2,0))&amp;"_"&amp;RIGHT(A243,3)</f>
        <v>SHCP_IDR</v>
      </c>
      <c r="I243" s="66" t="str">
        <f t="shared" si="3"/>
        <v>ULCPK__IDR</v>
      </c>
    </row>
    <row r="244" spans="1:9">
      <c r="A244" t="s">
        <v>901</v>
      </c>
      <c r="B244" t="s">
        <v>904</v>
      </c>
      <c r="C244">
        <v>8</v>
      </c>
      <c r="D244">
        <v>99000000</v>
      </c>
      <c r="E244">
        <v>6900000000</v>
      </c>
      <c r="F244">
        <v>139443718.49481899</v>
      </c>
      <c r="H244" s="66" t="str">
        <f>IF(OR(LEFT(B244,FIND("_",B244,1)-1)="ULGALLOC",LEFT(B244,FIND("_",B244,1)-1)="ULSPOOL"),LEFT(B244,FIND("_",B244,1)-1),VLOOKUP(LEFT(A244,6),'Code Library'!$D$3:$E$200,2,0))&amp;"_"&amp;RIGHT(A244,3)</f>
        <v>SHCP_IDR</v>
      </c>
      <c r="I244" s="66" t="str">
        <f t="shared" si="3"/>
        <v>ULCPK__IDR</v>
      </c>
    </row>
    <row r="245" spans="1:9">
      <c r="A245" t="s">
        <v>901</v>
      </c>
      <c r="B245" t="s">
        <v>905</v>
      </c>
      <c r="C245">
        <v>1</v>
      </c>
      <c r="D245">
        <v>7800000</v>
      </c>
      <c r="E245">
        <v>100000000</v>
      </c>
      <c r="F245">
        <v>9802454.1834210008</v>
      </c>
      <c r="H245" s="66" t="str">
        <f>IF(OR(LEFT(B245,FIND("_",B245,1)-1)="ULGALLOC",LEFT(B245,FIND("_",B245,1)-1)="ULSPOOL"),LEFT(B245,FIND("_",B245,1)-1),VLOOKUP(LEFT(A245,6),'Code Library'!$D$3:$E$200,2,0))&amp;"_"&amp;RIGHT(A245,3)</f>
        <v>SHCP_IDR</v>
      </c>
      <c r="I245" s="66" t="str">
        <f t="shared" si="3"/>
        <v>ULCPK__IDR</v>
      </c>
    </row>
    <row r="246" spans="1:9">
      <c r="A246" t="s">
        <v>906</v>
      </c>
      <c r="B246" t="s">
        <v>907</v>
      </c>
      <c r="C246">
        <v>2</v>
      </c>
      <c r="D246">
        <v>150000000</v>
      </c>
      <c r="E246">
        <v>1000000000</v>
      </c>
      <c r="F246">
        <v>20472186.404442001</v>
      </c>
      <c r="G246" s="55"/>
      <c r="H246" s="66" t="str">
        <f>IF(OR(LEFT(B246,FIND("_",B246,1)-1)="ULGALLOC",LEFT(B246,FIND("_",B246,1)-1)="ULSPOOL"),LEFT(B246,FIND("_",B246,1)-1),VLOOKUP(LEFT(A246,6),'Code Library'!$D$3:$E$200,2,0))&amp;"_"&amp;RIGHT(A246,3)</f>
        <v>CPRA_IDR</v>
      </c>
      <c r="I246" s="66" t="str">
        <f t="shared" si="3"/>
        <v>ULCPRA_IDR</v>
      </c>
    </row>
    <row r="247" spans="1:9">
      <c r="A247" t="s">
        <v>908</v>
      </c>
      <c r="B247" t="s">
        <v>909</v>
      </c>
      <c r="C247">
        <v>743</v>
      </c>
      <c r="D247">
        <v>2926355972</v>
      </c>
      <c r="E247">
        <v>134000900000</v>
      </c>
      <c r="F247">
        <v>21533274312.672901</v>
      </c>
      <c r="G247" s="55"/>
      <c r="H247" s="66" t="str">
        <f>IF(OR(LEFT(B247,FIND("_",B247,1)-1)="ULGALLOC",LEFT(B247,FIND("_",B247,1)-1)="ULSPOOL"),LEFT(B247,FIND("_",B247,1)-1),VLOOKUP(LEFT(A247,6),'Code Library'!$D$3:$E$200,2,0))&amp;"_"&amp;RIGHT(A247,3)</f>
        <v>DMSA_IDR</v>
      </c>
      <c r="I247" s="66" t="str">
        <f t="shared" si="3"/>
        <v>ULDMSA_IDR</v>
      </c>
    </row>
    <row r="248" spans="1:9">
      <c r="A248" t="s">
        <v>910</v>
      </c>
      <c r="B248" t="s">
        <v>911</v>
      </c>
      <c r="C248">
        <v>9</v>
      </c>
      <c r="D248">
        <v>49300000</v>
      </c>
      <c r="E248">
        <v>1950000000</v>
      </c>
      <c r="F248">
        <v>327196937.25291002</v>
      </c>
      <c r="H248" s="66" t="str">
        <f>IF(OR(LEFT(B248,FIND("_",B248,1)-1)="ULGALLOC",LEFT(B248,FIND("_",B248,1)-1)="ULSPOOL"),LEFT(B248,FIND("_",B248,1)-1),VLOOKUP(LEFT(A248,6),'Code Library'!$D$3:$E$200,2,0))&amp;"_"&amp;RIGHT(A248,3)</f>
        <v>DRKU_IDR</v>
      </c>
      <c r="I248" s="66" t="str">
        <f t="shared" si="3"/>
        <v>ULDRK__IDR</v>
      </c>
    </row>
    <row r="249" spans="1:9">
      <c r="A249" t="s">
        <v>912</v>
      </c>
      <c r="B249" t="s">
        <v>913</v>
      </c>
      <c r="C249">
        <v>518</v>
      </c>
      <c r="D249">
        <v>4347539996</v>
      </c>
      <c r="E249">
        <v>128687000000</v>
      </c>
      <c r="F249">
        <v>31043163342.178101</v>
      </c>
      <c r="H249" s="66" t="str">
        <f>IF(OR(LEFT(B249,FIND("_",B249,1)-1)="ULGALLOC",LEFT(B249,FIND("_",B249,1)-1)="ULSPOOL"),LEFT(B249,FIND("_",B249,1)-1),VLOOKUP(LEFT(A249,6),'Code Library'!$D$3:$E$200,2,0))&amp;"_"&amp;RIGHT(A249,3)</f>
        <v>DRKUA_IDR</v>
      </c>
      <c r="I249" s="66" t="str">
        <f t="shared" si="3"/>
        <v>ULDRKA_IDR</v>
      </c>
    </row>
    <row r="250" spans="1:9">
      <c r="A250" t="s">
        <v>914</v>
      </c>
      <c r="B250" t="s">
        <v>915</v>
      </c>
      <c r="C250">
        <v>1</v>
      </c>
      <c r="D250">
        <v>1250</v>
      </c>
      <c r="E250">
        <v>20000</v>
      </c>
      <c r="F250">
        <v>5285.0109048000004</v>
      </c>
      <c r="H250" s="66" t="str">
        <f>IF(OR(LEFT(B250,FIND("_",B250,1)-1)="ULGALLOC",LEFT(B250,FIND("_",B250,1)-1)="ULSPOOL"),LEFT(B250,FIND("_",B250,1)-1),VLOOKUP(LEFT(A250,6),'Code Library'!$D$3:$E$200,2,0))&amp;"_"&amp;RIGHT(A250,3)</f>
        <v>DRKUA_USD</v>
      </c>
      <c r="I250" s="66" t="str">
        <f t="shared" si="3"/>
        <v>ULDRKA_USD</v>
      </c>
    </row>
    <row r="251" spans="1:9">
      <c r="A251" t="s">
        <v>916</v>
      </c>
      <c r="B251" t="s">
        <v>917</v>
      </c>
      <c r="C251">
        <v>3628</v>
      </c>
      <c r="D251">
        <v>23069599979.999901</v>
      </c>
      <c r="E251">
        <v>710550000000</v>
      </c>
      <c r="F251">
        <v>167431753978.15799</v>
      </c>
      <c r="H251" s="66" t="str">
        <f>IF(OR(LEFT(B251,FIND("_",B251,1)-1)="ULGALLOC",LEFT(B251,FIND("_",B251,1)-1)="ULSPOOL"),LEFT(B251,FIND("_",B251,1)-1),VLOOKUP(LEFT(A251,6),'Code Library'!$D$3:$E$200,2,0))&amp;"_"&amp;RIGHT(A251,3)</f>
        <v>DRKFS_IDR</v>
      </c>
      <c r="I251" s="66" t="str">
        <f t="shared" si="3"/>
        <v>ULDRKS_IDR</v>
      </c>
    </row>
    <row r="252" spans="1:9">
      <c r="A252" t="s">
        <v>918</v>
      </c>
      <c r="B252" t="s">
        <v>919</v>
      </c>
      <c r="C252">
        <v>71</v>
      </c>
      <c r="D252">
        <v>115715</v>
      </c>
      <c r="E252">
        <v>1808150</v>
      </c>
      <c r="F252">
        <v>887418.9264616</v>
      </c>
      <c r="G252" s="55"/>
      <c r="H252" s="66" t="str">
        <f>IF(OR(LEFT(B252,FIND("_",B252,1)-1)="ULGALLOC",LEFT(B252,FIND("_",B252,1)-1)="ULSPOOL"),LEFT(B252,FIND("_",B252,1)-1),VLOOKUP(LEFT(A252,6),'Code Library'!$D$3:$E$200,2,0))&amp;"_"&amp;RIGHT(A252,3)</f>
        <v>DRKFS_USD</v>
      </c>
      <c r="I252" s="66" t="str">
        <f t="shared" si="3"/>
        <v>ULDRKS_USD</v>
      </c>
    </row>
    <row r="253" spans="1:9">
      <c r="A253" t="s">
        <v>920</v>
      </c>
      <c r="B253" t="s">
        <v>921</v>
      </c>
      <c r="C253">
        <v>1</v>
      </c>
      <c r="D253">
        <v>15000000</v>
      </c>
      <c r="E253">
        <v>300000000</v>
      </c>
      <c r="F253">
        <v>56795458.352840997</v>
      </c>
      <c r="H253" s="66" t="str">
        <f>IF(OR(LEFT(B253,FIND("_",B253,1)-1)="ULGALLOC",LEFT(B253,FIND("_",B253,1)-1)="ULSPOOL"),LEFT(B253,FIND("_",B253,1)-1),VLOOKUP(LEFT(A253,6),'Code Library'!$D$3:$E$200,2,0))&amp;"_"&amp;RIGHT(A253,3)</f>
        <v>DRKPS_IDR</v>
      </c>
      <c r="I253" s="66" t="str">
        <f t="shared" si="3"/>
        <v>ULDRP__IDR</v>
      </c>
    </row>
    <row r="254" spans="1:9">
      <c r="A254" t="s">
        <v>922</v>
      </c>
      <c r="B254" t="s">
        <v>923</v>
      </c>
      <c r="C254">
        <v>7</v>
      </c>
      <c r="D254">
        <v>425000000</v>
      </c>
      <c r="E254">
        <v>4250000000</v>
      </c>
      <c r="F254">
        <v>599140978</v>
      </c>
      <c r="G254" s="55"/>
      <c r="H254" s="66" t="str">
        <f>IF(OR(LEFT(B254,FIND("_",B254,1)-1)="ULGALLOC",LEFT(B254,FIND("_",B254,1)-1)="ULSPOOL"),LEFT(B254,FIND("_",B254,1)-1),VLOOKUP(LEFT(A254,6),'Code Library'!$D$3:$E$200,2,0))&amp;"_"&amp;RIGHT(A254,3)</f>
        <v>SHFC_IDR</v>
      </c>
      <c r="I254" s="66" t="str">
        <f t="shared" si="3"/>
        <v>ULFC___IDR</v>
      </c>
    </row>
    <row r="255" spans="1:9">
      <c r="A255" t="s">
        <v>924</v>
      </c>
      <c r="B255" t="s">
        <v>925</v>
      </c>
      <c r="C255">
        <v>3</v>
      </c>
      <c r="D255">
        <v>7500</v>
      </c>
      <c r="E255">
        <v>210000</v>
      </c>
      <c r="F255">
        <v>13198</v>
      </c>
      <c r="H255" s="66" t="str">
        <f>IF(OR(LEFT(B255,FIND("_",B255,1)-1)="ULGALLOC",LEFT(B255,FIND("_",B255,1)-1)="ULSPOOL"),LEFT(B255,FIND("_",B255,1)-1),VLOOKUP(LEFT(A255,6),'Code Library'!$D$3:$E$200,2,0))&amp;"_"&amp;RIGHT(A255,3)</f>
        <v>SHFC_USD</v>
      </c>
      <c r="I255" s="66" t="str">
        <f t="shared" si="3"/>
        <v>ULFCK__USD</v>
      </c>
    </row>
    <row r="256" spans="1:9">
      <c r="A256" t="s">
        <v>926</v>
      </c>
      <c r="B256" t="s">
        <v>927</v>
      </c>
      <c r="C256">
        <v>17</v>
      </c>
      <c r="D256">
        <v>850000000</v>
      </c>
      <c r="E256">
        <v>1275000000</v>
      </c>
      <c r="F256">
        <v>6544006666.3389301</v>
      </c>
      <c r="G256" s="55"/>
      <c r="H256" s="66" t="str">
        <f>IF(OR(LEFT(B256,FIND("_",B256,1)-1)="ULGALLOC",LEFT(B256,FIND("_",B256,1)-1)="ULSPOOL"),LEFT(B256,FIND("_",B256,1)-1),VLOOKUP(LEFT(A256,6),'Code Library'!$D$3:$E$200,2,0))&amp;"_"&amp;RIGHT(A256,3)</f>
        <v>FIVS_IDR</v>
      </c>
      <c r="I256" s="66" t="str">
        <f t="shared" si="3"/>
        <v>ULFIVS_IDR</v>
      </c>
    </row>
    <row r="257" spans="1:9">
      <c r="A257" t="s">
        <v>926</v>
      </c>
      <c r="B257" t="s">
        <v>928</v>
      </c>
      <c r="C257">
        <v>24</v>
      </c>
      <c r="D257">
        <v>1200000000</v>
      </c>
      <c r="E257">
        <v>1800000000</v>
      </c>
      <c r="F257">
        <v>4873830237.3579597</v>
      </c>
      <c r="H257" s="66" t="str">
        <f>IF(OR(LEFT(B257,FIND("_",B257,1)-1)="ULGALLOC",LEFT(B257,FIND("_",B257,1)-1)="ULSPOOL"),LEFT(B257,FIND("_",B257,1)-1),VLOOKUP(LEFT(A257,6),'Code Library'!$D$3:$E$200,2,0))&amp;"_"&amp;RIGHT(A257,3)</f>
        <v>FIVS_IDR</v>
      </c>
      <c r="I257" s="66" t="str">
        <f t="shared" si="3"/>
        <v>ULFIVS_IDR</v>
      </c>
    </row>
    <row r="258" spans="1:9">
      <c r="A258" t="s">
        <v>926</v>
      </c>
      <c r="B258" t="s">
        <v>929</v>
      </c>
      <c r="C258">
        <v>17</v>
      </c>
      <c r="D258">
        <v>850000000</v>
      </c>
      <c r="E258">
        <v>1275000000</v>
      </c>
      <c r="F258">
        <v>5582237006.51194</v>
      </c>
      <c r="H258" s="66" t="str">
        <f>IF(OR(LEFT(B258,FIND("_",B258,1)-1)="ULGALLOC",LEFT(B258,FIND("_",B258,1)-1)="ULSPOOL"),LEFT(B258,FIND("_",B258,1)-1),VLOOKUP(LEFT(A258,6),'Code Library'!$D$3:$E$200,2,0))&amp;"_"&amp;RIGHT(A258,3)</f>
        <v>FIVS_IDR</v>
      </c>
      <c r="I258" s="66" t="str">
        <f t="shared" si="3"/>
        <v>ULFIVS_IDR</v>
      </c>
    </row>
    <row r="259" spans="1:9">
      <c r="A259" t="s">
        <v>926</v>
      </c>
      <c r="B259" t="s">
        <v>2230</v>
      </c>
      <c r="C259">
        <v>2</v>
      </c>
      <c r="D259">
        <v>100000000</v>
      </c>
      <c r="E259">
        <v>150000000</v>
      </c>
      <c r="F259">
        <v>628370836.38481295</v>
      </c>
      <c r="H259" s="66" t="str">
        <f>IF(OR(LEFT(B259,FIND("_",B259,1)-1)="ULGALLOC",LEFT(B259,FIND("_",B259,1)-1)="ULSPOOL"),LEFT(B259,FIND("_",B259,1)-1),VLOOKUP(LEFT(A259,6),'Code Library'!$D$3:$E$200,2,0))&amp;"_"&amp;RIGHT(A259,3)</f>
        <v>FIVS_IDR</v>
      </c>
      <c r="I259" s="66" t="str">
        <f t="shared" ref="I259:I322" si="4">A259</f>
        <v>ULFIVS_IDR</v>
      </c>
    </row>
    <row r="260" spans="1:9">
      <c r="A260" t="s">
        <v>930</v>
      </c>
      <c r="B260" t="s">
        <v>931</v>
      </c>
      <c r="C260">
        <v>31</v>
      </c>
      <c r="D260">
        <v>166500</v>
      </c>
      <c r="E260">
        <v>249750</v>
      </c>
      <c r="F260">
        <v>565198.37159285496</v>
      </c>
      <c r="H260" s="66" t="str">
        <f>IF(OR(LEFT(B260,FIND("_",B260,1)-1)="ULGALLOC",LEFT(B260,FIND("_",B260,1)-1)="ULSPOOL"),LEFT(B260,FIND("_",B260,1)-1),VLOOKUP(LEFT(A260,6),'Code Library'!$D$3:$E$200,2,0))&amp;"_"&amp;RIGHT(A260,3)</f>
        <v>FIVS_USD</v>
      </c>
      <c r="I260" s="66" t="str">
        <f t="shared" si="4"/>
        <v>ULFIVS_USD</v>
      </c>
    </row>
    <row r="261" spans="1:9">
      <c r="A261" t="s">
        <v>930</v>
      </c>
      <c r="B261" t="s">
        <v>932</v>
      </c>
      <c r="C261">
        <v>42</v>
      </c>
      <c r="D261">
        <v>210000</v>
      </c>
      <c r="E261">
        <v>315000</v>
      </c>
      <c r="F261">
        <v>868213.0784924</v>
      </c>
      <c r="G261" s="55"/>
      <c r="H261" s="66" t="str">
        <f>IF(OR(LEFT(B261,FIND("_",B261,1)-1)="ULGALLOC",LEFT(B261,FIND("_",B261,1)-1)="ULSPOOL"),LEFT(B261,FIND("_",B261,1)-1),VLOOKUP(LEFT(A261,6),'Code Library'!$D$3:$E$200,2,0))&amp;"_"&amp;RIGHT(A261,3)</f>
        <v>FIVS_USD</v>
      </c>
      <c r="I261" s="66" t="str">
        <f t="shared" si="4"/>
        <v>ULFIVS_USD</v>
      </c>
    </row>
    <row r="262" spans="1:9">
      <c r="A262" t="s">
        <v>930</v>
      </c>
      <c r="B262" t="s">
        <v>933</v>
      </c>
      <c r="C262">
        <v>3</v>
      </c>
      <c r="D262">
        <v>15000</v>
      </c>
      <c r="E262">
        <v>22500</v>
      </c>
      <c r="F262">
        <v>15511.3943184</v>
      </c>
      <c r="G262" s="55"/>
      <c r="H262" s="66" t="str">
        <f>IF(OR(LEFT(B262,FIND("_",B262,1)-1)="ULGALLOC",LEFT(B262,FIND("_",B262,1)-1)="ULSPOOL"),LEFT(B262,FIND("_",B262,1)-1),VLOOKUP(LEFT(A262,6),'Code Library'!$D$3:$E$200,2,0))&amp;"_"&amp;RIGHT(A262,3)</f>
        <v>FIVS_USD</v>
      </c>
      <c r="I262" s="66" t="str">
        <f t="shared" si="4"/>
        <v>ULFIVS_USD</v>
      </c>
    </row>
    <row r="263" spans="1:9">
      <c r="A263" t="s">
        <v>930</v>
      </c>
      <c r="B263" t="s">
        <v>2231</v>
      </c>
      <c r="C263">
        <v>1</v>
      </c>
      <c r="D263">
        <v>5000</v>
      </c>
      <c r="E263">
        <v>7500</v>
      </c>
      <c r="F263">
        <v>31704.3135086</v>
      </c>
      <c r="G263" s="55"/>
      <c r="H263" s="66" t="str">
        <f>IF(OR(LEFT(B263,FIND("_",B263,1)-1)="ULGALLOC",LEFT(B263,FIND("_",B263,1)-1)="ULSPOOL"),LEFT(B263,FIND("_",B263,1)-1),VLOOKUP(LEFT(A263,6),'Code Library'!$D$3:$E$200,2,0))&amp;"_"&amp;RIGHT(A263,3)</f>
        <v>FIVS_USD</v>
      </c>
      <c r="I263" s="66" t="str">
        <f t="shared" si="4"/>
        <v>ULFIVS_USD</v>
      </c>
    </row>
    <row r="264" spans="1:9">
      <c r="A264" t="s">
        <v>934</v>
      </c>
      <c r="B264" t="s">
        <v>935</v>
      </c>
      <c r="C264">
        <v>57</v>
      </c>
      <c r="D264">
        <v>2270000000</v>
      </c>
      <c r="E264">
        <v>50295000000</v>
      </c>
      <c r="F264">
        <v>5151116566.8422499</v>
      </c>
      <c r="H264" s="66" t="str">
        <f>IF(OR(LEFT(B264,FIND("_",B264,1)-1)="ULGALLOC",LEFT(B264,FIND("_",B264,1)-1)="ULSPOOL"),LEFT(B264,FIND("_",B264,1)-1),VLOOKUP(LEFT(A264,6),'Code Library'!$D$3:$E$200,2,0))&amp;"_"&amp;RIGHT(A264,3)</f>
        <v>FLFS_IDR</v>
      </c>
      <c r="I264" s="66" t="str">
        <f t="shared" si="4"/>
        <v>ULFLFS_IDR</v>
      </c>
    </row>
    <row r="265" spans="1:9">
      <c r="A265" t="s">
        <v>934</v>
      </c>
      <c r="B265" t="s">
        <v>936</v>
      </c>
      <c r="C265">
        <v>52</v>
      </c>
      <c r="D265">
        <v>2149000000</v>
      </c>
      <c r="E265">
        <v>35100000000</v>
      </c>
      <c r="F265">
        <v>8756243662.9565792</v>
      </c>
      <c r="G265" s="55"/>
      <c r="H265" s="66" t="str">
        <f>IF(OR(LEFT(B265,FIND("_",B265,1)-1)="ULGALLOC",LEFT(B265,FIND("_",B265,1)-1)="ULSPOOL"),LEFT(B265,FIND("_",B265,1)-1),VLOOKUP(LEFT(A265,6),'Code Library'!$D$3:$E$200,2,0))&amp;"_"&amp;RIGHT(A265,3)</f>
        <v>FLFS_IDR</v>
      </c>
      <c r="I265" s="66" t="str">
        <f t="shared" si="4"/>
        <v>ULFLFS_IDR</v>
      </c>
    </row>
    <row r="266" spans="1:9">
      <c r="A266" t="s">
        <v>934</v>
      </c>
      <c r="B266" t="s">
        <v>937</v>
      </c>
      <c r="C266">
        <v>44</v>
      </c>
      <c r="D266">
        <v>2310000000</v>
      </c>
      <c r="E266">
        <v>25685000000</v>
      </c>
      <c r="F266">
        <v>6379374062.7256804</v>
      </c>
      <c r="G266" s="55"/>
      <c r="H266" s="66" t="str">
        <f>IF(OR(LEFT(B266,FIND("_",B266,1)-1)="ULGALLOC",LEFT(B266,FIND("_",B266,1)-1)="ULSPOOL"),LEFT(B266,FIND("_",B266,1)-1),VLOOKUP(LEFT(A266,6),'Code Library'!$D$3:$E$200,2,0))&amp;"_"&amp;RIGHT(A266,3)</f>
        <v>FLFS_IDR</v>
      </c>
      <c r="I266" s="66" t="str">
        <f t="shared" si="4"/>
        <v>ULFLFS_IDR</v>
      </c>
    </row>
    <row r="267" spans="1:9">
      <c r="A267" t="s">
        <v>934</v>
      </c>
      <c r="B267" t="s">
        <v>2232</v>
      </c>
      <c r="C267">
        <v>1</v>
      </c>
      <c r="D267">
        <v>30000000</v>
      </c>
      <c r="E267">
        <v>750000000</v>
      </c>
      <c r="F267">
        <v>31793799</v>
      </c>
      <c r="G267" s="55"/>
      <c r="H267" s="66" t="str">
        <f>IF(OR(LEFT(B267,FIND("_",B267,1)-1)="ULGALLOC",LEFT(B267,FIND("_",B267,1)-1)="ULSPOOL"),LEFT(B267,FIND("_",B267,1)-1),VLOOKUP(LEFT(A267,6),'Code Library'!$D$3:$E$200,2,0))&amp;"_"&amp;RIGHT(A267,3)</f>
        <v>FLFS_IDR</v>
      </c>
      <c r="I267" s="66" t="str">
        <f t="shared" si="4"/>
        <v>ULFLFS_IDR</v>
      </c>
    </row>
    <row r="268" spans="1:9">
      <c r="A268" t="s">
        <v>938</v>
      </c>
      <c r="B268" t="s">
        <v>939</v>
      </c>
      <c r="C268">
        <v>27</v>
      </c>
      <c r="D268">
        <v>102000</v>
      </c>
      <c r="E268">
        <v>1142000</v>
      </c>
      <c r="F268">
        <v>345922.12477803999</v>
      </c>
      <c r="H268" s="66" t="str">
        <f>IF(OR(LEFT(B268,FIND("_",B268,1)-1)="ULGALLOC",LEFT(B268,FIND("_",B268,1)-1)="ULSPOOL"),LEFT(B268,FIND("_",B268,1)-1),VLOOKUP(LEFT(A268,6),'Code Library'!$D$3:$E$200,2,0))&amp;"_"&amp;RIGHT(A268,3)</f>
        <v>FLFS_USD</v>
      </c>
      <c r="I268" s="66" t="str">
        <f t="shared" si="4"/>
        <v>ULFLFS_USD</v>
      </c>
    </row>
    <row r="269" spans="1:9">
      <c r="A269" t="s">
        <v>938</v>
      </c>
      <c r="B269" t="s">
        <v>940</v>
      </c>
      <c r="C269">
        <v>22</v>
      </c>
      <c r="D269">
        <v>65000</v>
      </c>
      <c r="E269">
        <v>326000</v>
      </c>
      <c r="F269">
        <v>342373.60777184</v>
      </c>
      <c r="G269" s="55"/>
      <c r="H269" s="66" t="str">
        <f>IF(OR(LEFT(B269,FIND("_",B269,1)-1)="ULGALLOC",LEFT(B269,FIND("_",B269,1)-1)="ULSPOOL"),LEFT(B269,FIND("_",B269,1)-1),VLOOKUP(LEFT(A269,6),'Code Library'!$D$3:$E$200,2,0))&amp;"_"&amp;RIGHT(A269,3)</f>
        <v>FLFS_USD</v>
      </c>
      <c r="I269" s="66" t="str">
        <f t="shared" si="4"/>
        <v>ULFLFS_USD</v>
      </c>
    </row>
    <row r="270" spans="1:9">
      <c r="A270" t="s">
        <v>941</v>
      </c>
      <c r="B270" t="s">
        <v>942</v>
      </c>
      <c r="C270">
        <v>88</v>
      </c>
      <c r="D270">
        <v>1726999996</v>
      </c>
      <c r="E270">
        <v>41348500000</v>
      </c>
      <c r="F270">
        <v>5503152634.0286102</v>
      </c>
      <c r="G270" s="55"/>
      <c r="H270" s="66" t="str">
        <f>IF(OR(LEFT(B270,FIND("_",B270,1)-1)="ULGALLOC",LEFT(B270,FIND("_",B270,1)-1)="ULSPOOL"),LEFT(B270,FIND("_",B270,1)-1),VLOOKUP(LEFT(A270,6),'Code Library'!$D$3:$E$200,2,0))&amp;"_"&amp;RIGHT(A270,3)</f>
        <v>SLFS_IDR</v>
      </c>
      <c r="I270" s="66" t="str">
        <f t="shared" si="4"/>
        <v>ULFS___IDR</v>
      </c>
    </row>
    <row r="271" spans="1:9">
      <c r="A271" t="s">
        <v>943</v>
      </c>
      <c r="B271" t="s">
        <v>944</v>
      </c>
      <c r="C271">
        <v>5</v>
      </c>
      <c r="D271">
        <v>17500</v>
      </c>
      <c r="E271">
        <v>180500</v>
      </c>
      <c r="F271">
        <v>31946.713656799999</v>
      </c>
      <c r="G271" s="55"/>
      <c r="H271" s="66" t="str">
        <f>IF(OR(LEFT(B271,FIND("_",B271,1)-1)="ULGALLOC",LEFT(B271,FIND("_",B271,1)-1)="ULSPOOL"),LEFT(B271,FIND("_",B271,1)-1),VLOOKUP(LEFT(A271,6),'Code Library'!$D$3:$E$200,2,0))&amp;"_"&amp;RIGHT(A271,3)</f>
        <v>SLFS_USD</v>
      </c>
      <c r="I271" s="66" t="str">
        <f t="shared" si="4"/>
        <v>ULFS___USD</v>
      </c>
    </row>
    <row r="272" spans="1:9">
      <c r="A272" t="s">
        <v>945</v>
      </c>
      <c r="B272" t="s">
        <v>946</v>
      </c>
      <c r="C272">
        <v>22</v>
      </c>
      <c r="D272">
        <v>88300000</v>
      </c>
      <c r="E272">
        <v>5075000000</v>
      </c>
      <c r="F272">
        <v>413385170.14604598</v>
      </c>
      <c r="G272" s="55"/>
      <c r="H272" s="66" t="str">
        <f>IF(OR(LEFT(B272,FIND("_",B272,1)-1)="ULGALLOC",LEFT(B272,FIND("_",B272,1)-1)="ULSPOOL"),LEFT(B272,FIND("_",B272,1)-1),VLOOKUP(LEFT(A272,6),'Code Library'!$D$3:$E$200,2,0))&amp;"_"&amp;RIGHT(A272,3)</f>
        <v>SCFT_IDR</v>
      </c>
      <c r="I272" s="66" t="str">
        <f t="shared" si="4"/>
        <v>ULFT___IDR</v>
      </c>
    </row>
    <row r="273" spans="1:9">
      <c r="A273" t="s">
        <v>947</v>
      </c>
      <c r="B273" t="s">
        <v>948</v>
      </c>
      <c r="C273">
        <v>29</v>
      </c>
      <c r="D273">
        <v>435000000</v>
      </c>
      <c r="E273">
        <v>543750000</v>
      </c>
      <c r="F273">
        <v>968112855.13045704</v>
      </c>
      <c r="G273" s="55"/>
      <c r="H273" s="66" t="str">
        <f>IF(OR(LEFT(B273,FIND("_",B273,1)-1)="ULGALLOC",LEFT(B273,FIND("_",B273,1)-1)="ULSPOOL"),LEFT(B273,FIND("_",B273,1)-1),VLOOKUP(LEFT(A273,6),'Code Library'!$D$3:$E$200,2,0))&amp;"_"&amp;RIGHT(A273,3)</f>
        <v>GI1B_IDR</v>
      </c>
      <c r="I273" s="66" t="str">
        <f t="shared" si="4"/>
        <v>ULGI1__IDR</v>
      </c>
    </row>
    <row r="274" spans="1:9">
      <c r="A274" t="s">
        <v>947</v>
      </c>
      <c r="B274" t="s">
        <v>949</v>
      </c>
      <c r="C274">
        <v>19</v>
      </c>
      <c r="D274">
        <v>285000000</v>
      </c>
      <c r="E274">
        <v>356250000</v>
      </c>
      <c r="F274">
        <v>895670774.61825597</v>
      </c>
      <c r="G274" s="55"/>
      <c r="H274" s="66" t="str">
        <f>IF(OR(LEFT(B274,FIND("_",B274,1)-1)="ULGALLOC",LEFT(B274,FIND("_",B274,1)-1)="ULSPOOL"),LEFT(B274,FIND("_",B274,1)-1),VLOOKUP(LEFT(A274,6),'Code Library'!$D$3:$E$200,2,0))&amp;"_"&amp;RIGHT(A274,3)</f>
        <v>GI1B_IDR</v>
      </c>
      <c r="I274" s="66" t="str">
        <f t="shared" si="4"/>
        <v>ULGI1__IDR</v>
      </c>
    </row>
    <row r="275" spans="1:9">
      <c r="A275" t="s">
        <v>947</v>
      </c>
      <c r="B275" t="s">
        <v>950</v>
      </c>
      <c r="C275">
        <v>36</v>
      </c>
      <c r="D275">
        <v>540000000</v>
      </c>
      <c r="E275">
        <v>675000000</v>
      </c>
      <c r="F275">
        <v>2345463346.1505599</v>
      </c>
      <c r="H275" s="66" t="str">
        <f>IF(OR(LEFT(B275,FIND("_",B275,1)-1)="ULGALLOC",LEFT(B275,FIND("_",B275,1)-1)="ULSPOOL"),LEFT(B275,FIND("_",B275,1)-1),VLOOKUP(LEFT(A275,6),'Code Library'!$D$3:$E$200,2,0))&amp;"_"&amp;RIGHT(A275,3)</f>
        <v>GI1B_IDR</v>
      </c>
      <c r="I275" s="66" t="str">
        <f t="shared" si="4"/>
        <v>ULGI1__IDR</v>
      </c>
    </row>
    <row r="276" spans="1:9">
      <c r="A276" t="s">
        <v>947</v>
      </c>
      <c r="B276" t="s">
        <v>951</v>
      </c>
      <c r="C276">
        <v>73</v>
      </c>
      <c r="D276">
        <v>1095000000</v>
      </c>
      <c r="E276">
        <v>1368750000</v>
      </c>
      <c r="F276">
        <v>9561852926.7324409</v>
      </c>
      <c r="G276" s="55"/>
      <c r="H276" s="66" t="str">
        <f>IF(OR(LEFT(B276,FIND("_",B276,1)-1)="ULGALLOC",LEFT(B276,FIND("_",B276,1)-1)="ULSPOOL"),LEFT(B276,FIND("_",B276,1)-1),VLOOKUP(LEFT(A276,6),'Code Library'!$D$3:$E$200,2,0))&amp;"_"&amp;RIGHT(A276,3)</f>
        <v>GI1B_IDR</v>
      </c>
      <c r="I276" s="66" t="str">
        <f t="shared" si="4"/>
        <v>ULGI1__IDR</v>
      </c>
    </row>
    <row r="277" spans="1:9">
      <c r="A277" t="s">
        <v>947</v>
      </c>
      <c r="B277" t="s">
        <v>952</v>
      </c>
      <c r="C277">
        <v>43</v>
      </c>
      <c r="D277">
        <v>790000000</v>
      </c>
      <c r="E277">
        <v>987500000</v>
      </c>
      <c r="F277">
        <v>3590162259.4018202</v>
      </c>
      <c r="H277" s="66" t="str">
        <f>IF(OR(LEFT(B277,FIND("_",B277,1)-1)="ULGALLOC",LEFT(B277,FIND("_",B277,1)-1)="ULSPOOL"),LEFT(B277,FIND("_",B277,1)-1),VLOOKUP(LEFT(A277,6),'Code Library'!$D$3:$E$200,2,0))&amp;"_"&amp;RIGHT(A277,3)</f>
        <v>GI1B_IDR</v>
      </c>
      <c r="I277" s="66" t="str">
        <f t="shared" si="4"/>
        <v>ULGI1__IDR</v>
      </c>
    </row>
    <row r="278" spans="1:9">
      <c r="A278" t="s">
        <v>947</v>
      </c>
      <c r="B278" t="s">
        <v>953</v>
      </c>
      <c r="C278">
        <v>31</v>
      </c>
      <c r="D278">
        <v>530000000</v>
      </c>
      <c r="E278">
        <v>662500000</v>
      </c>
      <c r="F278">
        <v>4641888257.1028404</v>
      </c>
      <c r="H278" s="66" t="str">
        <f>IF(OR(LEFT(B278,FIND("_",B278,1)-1)="ULGALLOC",LEFT(B278,FIND("_",B278,1)-1)="ULSPOOL"),LEFT(B278,FIND("_",B278,1)-1),VLOOKUP(LEFT(A278,6),'Code Library'!$D$3:$E$200,2,0))&amp;"_"&amp;RIGHT(A278,3)</f>
        <v>GI1B_IDR</v>
      </c>
      <c r="I278" s="66" t="str">
        <f t="shared" si="4"/>
        <v>ULGI1__IDR</v>
      </c>
    </row>
    <row r="279" spans="1:9">
      <c r="A279" t="s">
        <v>954</v>
      </c>
      <c r="B279" t="s">
        <v>955</v>
      </c>
      <c r="C279">
        <v>47</v>
      </c>
      <c r="D279">
        <v>3120000000</v>
      </c>
      <c r="E279">
        <v>99491647585</v>
      </c>
      <c r="F279">
        <v>8569262107.9267797</v>
      </c>
      <c r="G279" s="55"/>
      <c r="H279" s="66" t="str">
        <f>IF(OR(LEFT(B279,FIND("_",B279,1)-1)="ULGALLOC",LEFT(B279,FIND("_",B279,1)-1)="ULSPOOL"),LEFT(B279,FIND("_",B279,1)-1),VLOOKUP(LEFT(A279,6),'Code Library'!$D$3:$E$200,2,0))&amp;"_"&amp;RIGHT(A279,3)</f>
        <v>GSL_IDR</v>
      </c>
      <c r="I279" s="66" t="str">
        <f t="shared" si="4"/>
        <v>ULGSU__IDR</v>
      </c>
    </row>
    <row r="280" spans="1:9">
      <c r="A280" t="s">
        <v>954</v>
      </c>
      <c r="B280" t="s">
        <v>956</v>
      </c>
      <c r="C280">
        <v>95</v>
      </c>
      <c r="D280">
        <v>6159000000</v>
      </c>
      <c r="E280">
        <v>197000000000</v>
      </c>
      <c r="F280">
        <v>22336316925.714199</v>
      </c>
      <c r="G280" s="55"/>
      <c r="H280" s="66" t="str">
        <f>IF(OR(LEFT(B280,FIND("_",B280,1)-1)="ULGALLOC",LEFT(B280,FIND("_",B280,1)-1)="ULSPOOL"),LEFT(B280,FIND("_",B280,1)-1),VLOOKUP(LEFT(A280,6),'Code Library'!$D$3:$E$200,2,0))&amp;"_"&amp;RIGHT(A280,3)</f>
        <v>GSL_IDR</v>
      </c>
      <c r="I280" s="66" t="str">
        <f t="shared" si="4"/>
        <v>ULGSU__IDR</v>
      </c>
    </row>
    <row r="281" spans="1:9">
      <c r="A281" t="s">
        <v>957</v>
      </c>
      <c r="B281" t="s">
        <v>958</v>
      </c>
      <c r="C281">
        <v>22</v>
      </c>
      <c r="D281">
        <v>136600</v>
      </c>
      <c r="E281">
        <v>3780000</v>
      </c>
      <c r="F281">
        <v>451229.12051063997</v>
      </c>
      <c r="G281" s="55"/>
      <c r="H281" s="66" t="str">
        <f>IF(OR(LEFT(B281,FIND("_",B281,1)-1)="ULGALLOC",LEFT(B281,FIND("_",B281,1)-1)="ULSPOOL"),LEFT(B281,FIND("_",B281,1)-1),VLOOKUP(LEFT(A281,6),'Code Library'!$D$3:$E$200,2,0))&amp;"_"&amp;RIGHT(A281,3)</f>
        <v>GSL_USD</v>
      </c>
      <c r="I281" s="66" t="str">
        <f t="shared" si="4"/>
        <v>ULGSU__USD</v>
      </c>
    </row>
    <row r="282" spans="1:9">
      <c r="A282" t="s">
        <v>957</v>
      </c>
      <c r="B282" t="s">
        <v>959</v>
      </c>
      <c r="C282">
        <v>19</v>
      </c>
      <c r="D282">
        <v>121000</v>
      </c>
      <c r="E282">
        <v>3414743.75</v>
      </c>
      <c r="F282">
        <v>324637.11018009001</v>
      </c>
      <c r="G282" s="55"/>
      <c r="H282" s="66" t="str">
        <f>IF(OR(LEFT(B282,FIND("_",B282,1)-1)="ULGALLOC",LEFT(B282,FIND("_",B282,1)-1)="ULSPOOL"),LEFT(B282,FIND("_",B282,1)-1),VLOOKUP(LEFT(A282,6),'Code Library'!$D$3:$E$200,2,0))&amp;"_"&amp;RIGHT(A282,3)</f>
        <v>GSL_USD</v>
      </c>
      <c r="I282" s="66" t="str">
        <f t="shared" si="4"/>
        <v>ULGSU__USD</v>
      </c>
    </row>
    <row r="283" spans="1:9">
      <c r="A283" t="s">
        <v>960</v>
      </c>
      <c r="B283" t="s">
        <v>961</v>
      </c>
      <c r="C283">
        <v>7</v>
      </c>
      <c r="D283">
        <v>500000000</v>
      </c>
      <c r="E283">
        <v>15500000000</v>
      </c>
      <c r="F283">
        <v>1551886842.37464</v>
      </c>
      <c r="G283" s="55"/>
      <c r="H283" s="66" t="str">
        <f>IF(OR(LEFT(B283,FIND("_",B283,1)-1)="ULGALLOC",LEFT(B283,FIND("_",B283,1)-1)="ULSPOOL"),LEFT(B283,FIND("_",B283,1)-1),VLOOKUP(LEFT(A283,6),'Code Library'!$D$3:$E$200,2,0))&amp;"_"&amp;RIGHT(A283,3)</f>
        <v>GUMA_IDR</v>
      </c>
      <c r="I283" s="66" t="str">
        <f t="shared" si="4"/>
        <v>ULGUMA_IDR</v>
      </c>
    </row>
    <row r="284" spans="1:9">
      <c r="A284" t="s">
        <v>960</v>
      </c>
      <c r="B284" t="s">
        <v>2233</v>
      </c>
      <c r="C284">
        <v>41</v>
      </c>
      <c r="D284">
        <v>2825000000</v>
      </c>
      <c r="E284">
        <v>92275000000</v>
      </c>
      <c r="F284">
        <v>13108567777.4713</v>
      </c>
      <c r="G284" s="55"/>
      <c r="H284" s="66" t="str">
        <f>IF(OR(LEFT(B284,FIND("_",B284,1)-1)="ULGALLOC",LEFT(B284,FIND("_",B284,1)-1)="ULSPOOL"),LEFT(B284,FIND("_",B284,1)-1),VLOOKUP(LEFT(A284,6),'Code Library'!$D$3:$E$200,2,0))&amp;"_"&amp;RIGHT(A284,3)</f>
        <v>GUMA_IDR</v>
      </c>
      <c r="I284" s="66" t="str">
        <f t="shared" si="4"/>
        <v>ULGUMA_IDR</v>
      </c>
    </row>
    <row r="285" spans="1:9">
      <c r="A285" t="s">
        <v>960</v>
      </c>
      <c r="B285" t="s">
        <v>2564</v>
      </c>
      <c r="C285">
        <v>16</v>
      </c>
      <c r="D285">
        <v>1130000000</v>
      </c>
      <c r="E285">
        <v>33500000000</v>
      </c>
      <c r="F285">
        <v>1162802967.1621699</v>
      </c>
      <c r="G285" s="55"/>
      <c r="H285" s="66" t="str">
        <f>IF(OR(LEFT(B285,FIND("_",B285,1)-1)="ULGALLOC",LEFT(B285,FIND("_",B285,1)-1)="ULSPOOL"),LEFT(B285,FIND("_",B285,1)-1),VLOOKUP(LEFT(A285,6),'Code Library'!$D$3:$E$200,2,0))&amp;"_"&amp;RIGHT(A285,3)</f>
        <v>GUMA_IDR</v>
      </c>
      <c r="I285" s="66" t="str">
        <f t="shared" si="4"/>
        <v>ULGUMA_IDR</v>
      </c>
    </row>
    <row r="286" spans="1:9">
      <c r="A286" t="s">
        <v>960</v>
      </c>
      <c r="B286" t="s">
        <v>2565</v>
      </c>
      <c r="C286">
        <v>1</v>
      </c>
      <c r="D286">
        <v>60000000</v>
      </c>
      <c r="E286">
        <v>2000000000</v>
      </c>
      <c r="F286">
        <v>35652855</v>
      </c>
      <c r="G286" s="55"/>
      <c r="H286" s="66" t="str">
        <f>IF(OR(LEFT(B286,FIND("_",B286,1)-1)="ULGALLOC",LEFT(B286,FIND("_",B286,1)-1)="ULSPOOL"),LEFT(B286,FIND("_",B286,1)-1),VLOOKUP(LEFT(A286,6),'Code Library'!$D$3:$E$200,2,0))&amp;"_"&amp;RIGHT(A286,3)</f>
        <v>GUMA_IDR</v>
      </c>
      <c r="I286" s="66" t="str">
        <f t="shared" si="4"/>
        <v>ULGUMA_IDR</v>
      </c>
    </row>
    <row r="287" spans="1:9">
      <c r="A287" t="s">
        <v>962</v>
      </c>
      <c r="B287" t="s">
        <v>963</v>
      </c>
      <c r="C287">
        <v>2</v>
      </c>
      <c r="D287">
        <v>15000</v>
      </c>
      <c r="E287">
        <v>377500</v>
      </c>
      <c r="F287">
        <v>47828.564318650002</v>
      </c>
      <c r="H287" s="66" t="str">
        <f>IF(OR(LEFT(B287,FIND("_",B287,1)-1)="ULGALLOC",LEFT(B287,FIND("_",B287,1)-1)="ULSPOOL"),LEFT(B287,FIND("_",B287,1)-1),VLOOKUP(LEFT(A287,6),'Code Library'!$D$3:$E$200,2,0))&amp;"_"&amp;RIGHT(A287,3)</f>
        <v>GUMA_USD</v>
      </c>
      <c r="I287" s="66" t="str">
        <f t="shared" si="4"/>
        <v>ULGUMA_USD</v>
      </c>
    </row>
    <row r="288" spans="1:9">
      <c r="A288" t="s">
        <v>962</v>
      </c>
      <c r="B288" t="s">
        <v>2234</v>
      </c>
      <c r="C288">
        <v>4</v>
      </c>
      <c r="D288">
        <v>30500</v>
      </c>
      <c r="E288">
        <v>782500</v>
      </c>
      <c r="F288">
        <v>92968.829312720001</v>
      </c>
      <c r="H288" s="66" t="str">
        <f>IF(OR(LEFT(B288,FIND("_",B288,1)-1)="ULGALLOC",LEFT(B288,FIND("_",B288,1)-1)="ULSPOOL"),LEFT(B288,FIND("_",B288,1)-1),VLOOKUP(LEFT(A288,6),'Code Library'!$D$3:$E$200,2,0))&amp;"_"&amp;RIGHT(A288,3)</f>
        <v>GUMA_USD</v>
      </c>
      <c r="I288" s="66" t="str">
        <f t="shared" si="4"/>
        <v>ULGUMA_USD</v>
      </c>
    </row>
    <row r="289" spans="1:9">
      <c r="A289" t="s">
        <v>962</v>
      </c>
      <c r="B289" t="s">
        <v>2566</v>
      </c>
      <c r="C289">
        <v>4</v>
      </c>
      <c r="D289">
        <v>29200</v>
      </c>
      <c r="E289">
        <v>740000</v>
      </c>
      <c r="F289">
        <v>19871.633004800002</v>
      </c>
      <c r="G289" s="55"/>
      <c r="H289" s="66" t="str">
        <f>IF(OR(LEFT(B289,FIND("_",B289,1)-1)="ULGALLOC",LEFT(B289,FIND("_",B289,1)-1)="ULSPOOL"),LEFT(B289,FIND("_",B289,1)-1),VLOOKUP(LEFT(A289,6),'Code Library'!$D$3:$E$200,2,0))&amp;"_"&amp;RIGHT(A289,3)</f>
        <v>GUMA_USD</v>
      </c>
      <c r="I289" s="66" t="str">
        <f t="shared" si="4"/>
        <v>ULGUMA_USD</v>
      </c>
    </row>
    <row r="290" spans="1:9">
      <c r="A290" t="s">
        <v>962</v>
      </c>
      <c r="B290" t="s">
        <v>2567</v>
      </c>
      <c r="C290">
        <v>3</v>
      </c>
      <c r="D290">
        <v>18000</v>
      </c>
      <c r="E290">
        <v>480000</v>
      </c>
      <c r="F290">
        <v>60523.710290149997</v>
      </c>
      <c r="G290" s="55"/>
      <c r="H290" s="66" t="str">
        <f>IF(OR(LEFT(B290,FIND("_",B290,1)-1)="ULGALLOC",LEFT(B290,FIND("_",B290,1)-1)="ULSPOOL"),LEFT(B290,FIND("_",B290,1)-1),VLOOKUP(LEFT(A290,6),'Code Library'!$D$3:$E$200,2,0))&amp;"_"&amp;RIGHT(A290,3)</f>
        <v>GUMA_USD</v>
      </c>
      <c r="I290" s="66" t="str">
        <f t="shared" si="4"/>
        <v>ULGUMA_USD</v>
      </c>
    </row>
    <row r="291" spans="1:9">
      <c r="A291" t="s">
        <v>964</v>
      </c>
      <c r="B291" t="s">
        <v>2235</v>
      </c>
      <c r="C291">
        <v>199</v>
      </c>
      <c r="D291">
        <v>12517000000</v>
      </c>
      <c r="E291">
        <v>25034000000</v>
      </c>
      <c r="F291">
        <v>79206394349.878998</v>
      </c>
      <c r="G291" s="55"/>
      <c r="H291" s="66" t="str">
        <f>IF(OR(LEFT(B291,FIND("_",B291,1)-1)="ULGALLOC",LEFT(B291,FIND("_",B291,1)-1)="ULSPOOL"),LEFT(B291,FIND("_",B291,1)-1),VLOOKUP(LEFT(A291,6),'Code Library'!$D$3:$E$200,2,0))&amp;"_"&amp;RIGHT(A291,3)</f>
        <v>GUOP_IDR</v>
      </c>
      <c r="I291" s="66" t="str">
        <f t="shared" si="4"/>
        <v>ULGUOP_IDR</v>
      </c>
    </row>
    <row r="292" spans="1:9">
      <c r="A292" t="s">
        <v>964</v>
      </c>
      <c r="B292" t="s">
        <v>2568</v>
      </c>
      <c r="C292">
        <v>354</v>
      </c>
      <c r="D292">
        <v>18310000000</v>
      </c>
      <c r="E292">
        <v>36620000000</v>
      </c>
      <c r="F292">
        <v>109851223870.282</v>
      </c>
      <c r="H292" s="66" t="str">
        <f>IF(OR(LEFT(B292,FIND("_",B292,1)-1)="ULGALLOC",LEFT(B292,FIND("_",B292,1)-1)="ULSPOOL"),LEFT(B292,FIND("_",B292,1)-1),VLOOKUP(LEFT(A292,6),'Code Library'!$D$3:$E$200,2,0))&amp;"_"&amp;RIGHT(A292,3)</f>
        <v>GUOP_IDR</v>
      </c>
      <c r="I292" s="66" t="str">
        <f t="shared" si="4"/>
        <v>ULGUOP_IDR</v>
      </c>
    </row>
    <row r="293" spans="1:9">
      <c r="A293" t="s">
        <v>964</v>
      </c>
      <c r="B293" t="s">
        <v>2569</v>
      </c>
      <c r="C293">
        <v>59</v>
      </c>
      <c r="D293">
        <v>3240000000</v>
      </c>
      <c r="E293">
        <v>6480000000</v>
      </c>
      <c r="F293">
        <v>14122365500.1294</v>
      </c>
      <c r="H293" s="66" t="str">
        <f>IF(OR(LEFT(B293,FIND("_",B293,1)-1)="ULGALLOC",LEFT(B293,FIND("_",B293,1)-1)="ULSPOOL"),LEFT(B293,FIND("_",B293,1)-1),VLOOKUP(LEFT(A293,6),'Code Library'!$D$3:$E$200,2,0))&amp;"_"&amp;RIGHT(A293,3)</f>
        <v>GUOP_IDR</v>
      </c>
      <c r="I293" s="66" t="str">
        <f t="shared" si="4"/>
        <v>ULGUOP_IDR</v>
      </c>
    </row>
    <row r="294" spans="1:9">
      <c r="A294" t="s">
        <v>965</v>
      </c>
      <c r="B294" t="s">
        <v>2236</v>
      </c>
      <c r="C294">
        <v>5</v>
      </c>
      <c r="D294">
        <v>92000</v>
      </c>
      <c r="E294">
        <v>184000</v>
      </c>
      <c r="F294">
        <v>222012.82808713999</v>
      </c>
      <c r="H294" s="66" t="str">
        <f>IF(OR(LEFT(B294,FIND("_",B294,1)-1)="ULGALLOC",LEFT(B294,FIND("_",B294,1)-1)="ULSPOOL"),LEFT(B294,FIND("_",B294,1)-1),VLOOKUP(LEFT(A294,6),'Code Library'!$D$3:$E$200,2,0))&amp;"_"&amp;RIGHT(A294,3)</f>
        <v>GUOP_USD</v>
      </c>
      <c r="I294" s="66" t="str">
        <f t="shared" si="4"/>
        <v>ULGUOP_USD</v>
      </c>
    </row>
    <row r="295" spans="1:9">
      <c r="A295" t="s">
        <v>965</v>
      </c>
      <c r="B295" t="s">
        <v>2570</v>
      </c>
      <c r="C295">
        <v>30</v>
      </c>
      <c r="D295">
        <v>540000</v>
      </c>
      <c r="E295">
        <v>1080000</v>
      </c>
      <c r="F295">
        <v>1377869.1145082701</v>
      </c>
      <c r="H295" s="66" t="str">
        <f>IF(OR(LEFT(B295,FIND("_",B295,1)-1)="ULGALLOC",LEFT(B295,FIND("_",B295,1)-1)="ULSPOOL"),LEFT(B295,FIND("_",B295,1)-1),VLOOKUP(LEFT(A295,6),'Code Library'!$D$3:$E$200,2,0))&amp;"_"&amp;RIGHT(A295,3)</f>
        <v>GUOP_USD</v>
      </c>
      <c r="I295" s="66" t="str">
        <f t="shared" si="4"/>
        <v>ULGUOP_USD</v>
      </c>
    </row>
    <row r="296" spans="1:9">
      <c r="A296" t="s">
        <v>965</v>
      </c>
      <c r="B296" t="s">
        <v>2571</v>
      </c>
      <c r="C296">
        <v>6</v>
      </c>
      <c r="D296">
        <v>108000</v>
      </c>
      <c r="E296">
        <v>216000</v>
      </c>
      <c r="F296">
        <v>157971.09435294999</v>
      </c>
      <c r="H296" s="66" t="str">
        <f>IF(OR(LEFT(B296,FIND("_",B296,1)-1)="ULGALLOC",LEFT(B296,FIND("_",B296,1)-1)="ULSPOOL"),LEFT(B296,FIND("_",B296,1)-1),VLOOKUP(LEFT(A296,6),'Code Library'!$D$3:$E$200,2,0))&amp;"_"&amp;RIGHT(A296,3)</f>
        <v>GUOP_USD</v>
      </c>
      <c r="I296" s="66" t="str">
        <f t="shared" si="4"/>
        <v>ULGUOP_USD</v>
      </c>
    </row>
    <row r="297" spans="1:9">
      <c r="A297" t="s">
        <v>966</v>
      </c>
      <c r="B297" t="s">
        <v>967</v>
      </c>
      <c r="C297">
        <v>410</v>
      </c>
      <c r="D297">
        <v>16112800004</v>
      </c>
      <c r="E297">
        <v>291162000000</v>
      </c>
      <c r="F297">
        <v>39226353070.533501</v>
      </c>
      <c r="G297" s="55"/>
      <c r="H297" s="66" t="str">
        <f>IF(OR(LEFT(B297,FIND("_",B297,1)-1)="ULGALLOC",LEFT(B297,FIND("_",B297,1)-1)="ULSPOOL"),LEFT(B297,FIND("_",B297,1)-1),VLOOKUP(LEFT(A297,6),'Code Library'!$D$3:$E$200,2,0))&amp;"_"&amp;RIGHT(A297,3)</f>
        <v>GUPR_IDR</v>
      </c>
      <c r="I297" s="66" t="str">
        <f t="shared" si="4"/>
        <v>ULGUP__IDR</v>
      </c>
    </row>
    <row r="298" spans="1:9">
      <c r="A298" t="s">
        <v>966</v>
      </c>
      <c r="B298" t="s">
        <v>968</v>
      </c>
      <c r="C298">
        <v>454</v>
      </c>
      <c r="D298">
        <v>20048350008</v>
      </c>
      <c r="E298">
        <v>398765500000</v>
      </c>
      <c r="F298">
        <v>50547875720.915001</v>
      </c>
      <c r="G298" s="55"/>
      <c r="H298" s="66" t="str">
        <f>IF(OR(LEFT(B298,FIND("_",B298,1)-1)="ULGALLOC",LEFT(B298,FIND("_",B298,1)-1)="ULSPOOL"),LEFT(B298,FIND("_",B298,1)-1),VLOOKUP(LEFT(A298,6),'Code Library'!$D$3:$E$200,2,0))&amp;"_"&amp;RIGHT(A298,3)</f>
        <v>GUPR_IDR</v>
      </c>
      <c r="I298" s="66" t="str">
        <f t="shared" si="4"/>
        <v>ULGUP__IDR</v>
      </c>
    </row>
    <row r="299" spans="1:9">
      <c r="A299" t="s">
        <v>966</v>
      </c>
      <c r="B299" t="s">
        <v>969</v>
      </c>
      <c r="C299">
        <v>509</v>
      </c>
      <c r="D299">
        <v>17332999988</v>
      </c>
      <c r="E299">
        <v>341985000000</v>
      </c>
      <c r="F299">
        <v>46175241688.309502</v>
      </c>
      <c r="G299" s="55"/>
      <c r="H299" s="66" t="str">
        <f>IF(OR(LEFT(B299,FIND("_",B299,1)-1)="ULGALLOC",LEFT(B299,FIND("_",B299,1)-1)="ULSPOOL"),LEFT(B299,FIND("_",B299,1)-1),VLOOKUP(LEFT(A299,6),'Code Library'!$D$3:$E$200,2,0))&amp;"_"&amp;RIGHT(A299,3)</f>
        <v>GUPR_IDR</v>
      </c>
      <c r="I299" s="66" t="str">
        <f t="shared" si="4"/>
        <v>ULGUP__IDR</v>
      </c>
    </row>
    <row r="300" spans="1:9">
      <c r="A300" t="s">
        <v>966</v>
      </c>
      <c r="B300" t="s">
        <v>970</v>
      </c>
      <c r="C300">
        <v>306</v>
      </c>
      <c r="D300">
        <v>11973500012</v>
      </c>
      <c r="E300">
        <v>247406250000</v>
      </c>
      <c r="F300">
        <v>46842249346.928398</v>
      </c>
      <c r="H300" s="66" t="str">
        <f>IF(OR(LEFT(B300,FIND("_",B300,1)-1)="ULGALLOC",LEFT(B300,FIND("_",B300,1)-1)="ULSPOOL"),LEFT(B300,FIND("_",B300,1)-1),VLOOKUP(LEFT(A300,6),'Code Library'!$D$3:$E$200,2,0))&amp;"_"&amp;RIGHT(A300,3)</f>
        <v>GUPR_IDR</v>
      </c>
      <c r="I300" s="66" t="str">
        <f t="shared" si="4"/>
        <v>ULGUP__IDR</v>
      </c>
    </row>
    <row r="301" spans="1:9">
      <c r="A301" t="s">
        <v>966</v>
      </c>
      <c r="B301" t="s">
        <v>971</v>
      </c>
      <c r="C301">
        <v>240</v>
      </c>
      <c r="D301">
        <v>11009008008</v>
      </c>
      <c r="E301">
        <v>188720000000</v>
      </c>
      <c r="F301">
        <v>25553259395.507301</v>
      </c>
      <c r="H301" s="66" t="str">
        <f>IF(OR(LEFT(B301,FIND("_",B301,1)-1)="ULGALLOC",LEFT(B301,FIND("_",B301,1)-1)="ULSPOOL"),LEFT(B301,FIND("_",B301,1)-1),VLOOKUP(LEFT(A301,6),'Code Library'!$D$3:$E$200,2,0))&amp;"_"&amp;RIGHT(A301,3)</f>
        <v>GUPR_IDR</v>
      </c>
      <c r="I301" s="66" t="str">
        <f t="shared" si="4"/>
        <v>ULGUP__IDR</v>
      </c>
    </row>
    <row r="302" spans="1:9">
      <c r="A302" t="s">
        <v>966</v>
      </c>
      <c r="B302" t="s">
        <v>972</v>
      </c>
      <c r="C302">
        <v>292</v>
      </c>
      <c r="D302">
        <v>14581400020</v>
      </c>
      <c r="E302">
        <v>217940000000</v>
      </c>
      <c r="F302">
        <v>33218056985.7486</v>
      </c>
      <c r="H302" s="66" t="str">
        <f>IF(OR(LEFT(B302,FIND("_",B302,1)-1)="ULGALLOC",LEFT(B302,FIND("_",B302,1)-1)="ULSPOOL"),LEFT(B302,FIND("_",B302,1)-1),VLOOKUP(LEFT(A302,6),'Code Library'!$D$3:$E$200,2,0))&amp;"_"&amp;RIGHT(A302,3)</f>
        <v>GUPR_IDR</v>
      </c>
      <c r="I302" s="66" t="str">
        <f t="shared" si="4"/>
        <v>ULGUP__IDR</v>
      </c>
    </row>
    <row r="303" spans="1:9">
      <c r="A303" t="s">
        <v>966</v>
      </c>
      <c r="B303" t="s">
        <v>973</v>
      </c>
      <c r="C303">
        <v>167</v>
      </c>
      <c r="D303">
        <v>7292204004</v>
      </c>
      <c r="E303">
        <v>97389000000</v>
      </c>
      <c r="F303">
        <v>23944366463.998001</v>
      </c>
      <c r="G303" s="55"/>
      <c r="H303" s="66" t="str">
        <f>IF(OR(LEFT(B303,FIND("_",B303,1)-1)="ULGALLOC",LEFT(B303,FIND("_",B303,1)-1)="ULSPOOL"),LEFT(B303,FIND("_",B303,1)-1),VLOOKUP(LEFT(A303,6),'Code Library'!$D$3:$E$200,2,0))&amp;"_"&amp;RIGHT(A303,3)</f>
        <v>GUPR_IDR</v>
      </c>
      <c r="I303" s="66" t="str">
        <f t="shared" si="4"/>
        <v>ULGUP__IDR</v>
      </c>
    </row>
    <row r="304" spans="1:9">
      <c r="A304" t="s">
        <v>966</v>
      </c>
      <c r="B304" t="s">
        <v>974</v>
      </c>
      <c r="C304">
        <v>253</v>
      </c>
      <c r="D304">
        <v>10136100020</v>
      </c>
      <c r="E304">
        <v>117404000000</v>
      </c>
      <c r="F304">
        <v>23779091585.4175</v>
      </c>
      <c r="G304" s="55"/>
      <c r="H304" s="66" t="str">
        <f>IF(OR(LEFT(B304,FIND("_",B304,1)-1)="ULGALLOC",LEFT(B304,FIND("_",B304,1)-1)="ULSPOOL"),LEFT(B304,FIND("_",B304,1)-1),VLOOKUP(LEFT(A304,6),'Code Library'!$D$3:$E$200,2,0))&amp;"_"&amp;RIGHT(A304,3)</f>
        <v>GUPR_IDR</v>
      </c>
      <c r="I304" s="66" t="str">
        <f t="shared" si="4"/>
        <v>ULGUP__IDR</v>
      </c>
    </row>
    <row r="305" spans="1:9">
      <c r="A305" t="s">
        <v>966</v>
      </c>
      <c r="B305" t="s">
        <v>975</v>
      </c>
      <c r="C305">
        <v>264</v>
      </c>
      <c r="D305">
        <v>11445500004</v>
      </c>
      <c r="E305">
        <v>130695500000</v>
      </c>
      <c r="F305">
        <v>26697145520.2929</v>
      </c>
      <c r="G305" s="55"/>
      <c r="H305" s="66" t="str">
        <f>IF(OR(LEFT(B305,FIND("_",B305,1)-1)="ULGALLOC",LEFT(B305,FIND("_",B305,1)-1)="ULSPOOL"),LEFT(B305,FIND("_",B305,1)-1),VLOOKUP(LEFT(A305,6),'Code Library'!$D$3:$E$200,2,0))&amp;"_"&amp;RIGHT(A305,3)</f>
        <v>GUPR_IDR</v>
      </c>
      <c r="I305" s="66" t="str">
        <f t="shared" si="4"/>
        <v>ULGUP__IDR</v>
      </c>
    </row>
    <row r="306" spans="1:9">
      <c r="A306" t="s">
        <v>966</v>
      </c>
      <c r="B306" t="s">
        <v>2237</v>
      </c>
      <c r="C306">
        <v>25</v>
      </c>
      <c r="D306">
        <v>1218000000</v>
      </c>
      <c r="E306">
        <v>18795000000</v>
      </c>
      <c r="F306">
        <v>1776727572.09554</v>
      </c>
      <c r="G306" s="55"/>
      <c r="H306" s="66" t="str">
        <f>IF(OR(LEFT(B306,FIND("_",B306,1)-1)="ULGALLOC",LEFT(B306,FIND("_",B306,1)-1)="ULSPOOL"),LEFT(B306,FIND("_",B306,1)-1),VLOOKUP(LEFT(A306,6),'Code Library'!$D$3:$E$200,2,0))&amp;"_"&amp;RIGHT(A306,3)</f>
        <v>GUPR_IDR</v>
      </c>
      <c r="I306" s="66" t="str">
        <f t="shared" si="4"/>
        <v>ULGUP__IDR</v>
      </c>
    </row>
    <row r="307" spans="1:9">
      <c r="A307" t="s">
        <v>976</v>
      </c>
      <c r="B307" t="s">
        <v>2238</v>
      </c>
      <c r="C307">
        <v>248</v>
      </c>
      <c r="D307">
        <v>14262600012</v>
      </c>
      <c r="E307">
        <v>156705000000</v>
      </c>
      <c r="F307">
        <v>45325737513.691597</v>
      </c>
      <c r="G307" s="55"/>
      <c r="H307" s="66" t="str">
        <f>IF(OR(LEFT(B307,FIND("_",B307,1)-1)="ULGALLOC",LEFT(B307,FIND("_",B307,1)-1)="ULSPOOL"),LEFT(B307,FIND("_",B307,1)-1),VLOOKUP(LEFT(A307,6),'Code Library'!$D$3:$E$200,2,0))&amp;"_"&amp;RIGHT(A307,3)</f>
        <v>GUPM_IDR</v>
      </c>
      <c r="I307" s="66" t="str">
        <f t="shared" si="4"/>
        <v>ULGUPM_IDR</v>
      </c>
    </row>
    <row r="308" spans="1:9">
      <c r="A308" t="s">
        <v>976</v>
      </c>
      <c r="B308" t="s">
        <v>2572</v>
      </c>
      <c r="C308">
        <v>340</v>
      </c>
      <c r="D308">
        <v>20812100000</v>
      </c>
      <c r="E308">
        <v>178555500000</v>
      </c>
      <c r="F308">
        <v>29547622678.037498</v>
      </c>
      <c r="G308" s="55"/>
      <c r="H308" s="66" t="str">
        <f>IF(OR(LEFT(B308,FIND("_",B308,1)-1)="ULGALLOC",LEFT(B308,FIND("_",B308,1)-1)="ULSPOOL"),LEFT(B308,FIND("_",B308,1)-1),VLOOKUP(LEFT(A308,6),'Code Library'!$D$3:$E$200,2,0))&amp;"_"&amp;RIGHT(A308,3)</f>
        <v>GUPM_IDR</v>
      </c>
      <c r="I308" s="66" t="str">
        <f t="shared" si="4"/>
        <v>ULGUPM_IDR</v>
      </c>
    </row>
    <row r="309" spans="1:9">
      <c r="A309" t="s">
        <v>976</v>
      </c>
      <c r="B309" t="s">
        <v>2573</v>
      </c>
      <c r="C309">
        <v>47</v>
      </c>
      <c r="D309">
        <v>2929000000</v>
      </c>
      <c r="E309">
        <v>24650000000</v>
      </c>
      <c r="F309">
        <v>4756605204.5769396</v>
      </c>
      <c r="G309" s="55"/>
      <c r="H309" s="66" t="str">
        <f>IF(OR(LEFT(B309,FIND("_",B309,1)-1)="ULGALLOC",LEFT(B309,FIND("_",B309,1)-1)="ULSPOOL"),LEFT(B309,FIND("_",B309,1)-1),VLOOKUP(LEFT(A309,6),'Code Library'!$D$3:$E$200,2,0))&amp;"_"&amp;RIGHT(A309,3)</f>
        <v>GUPM_IDR</v>
      </c>
      <c r="I309" s="66" t="str">
        <f t="shared" si="4"/>
        <v>ULGUPM_IDR</v>
      </c>
    </row>
    <row r="310" spans="1:9">
      <c r="A310" t="s">
        <v>977</v>
      </c>
      <c r="B310" t="s">
        <v>2239</v>
      </c>
      <c r="C310">
        <v>2</v>
      </c>
      <c r="D310">
        <v>10300</v>
      </c>
      <c r="E310">
        <v>236000</v>
      </c>
      <c r="F310">
        <v>19023.76062868</v>
      </c>
      <c r="G310" s="55"/>
      <c r="H310" s="66" t="str">
        <f>IF(OR(LEFT(B310,FIND("_",B310,1)-1)="ULGALLOC",LEFT(B310,FIND("_",B310,1)-1)="ULSPOOL"),LEFT(B310,FIND("_",B310,1)-1),VLOOKUP(LEFT(A310,6),'Code Library'!$D$3:$E$200,2,0))&amp;"_"&amp;RIGHT(A310,3)</f>
        <v>GUPM_USD</v>
      </c>
      <c r="I310" s="66" t="str">
        <f t="shared" si="4"/>
        <v>ULGUPM_USD</v>
      </c>
    </row>
    <row r="311" spans="1:9">
      <c r="A311" t="s">
        <v>977</v>
      </c>
      <c r="B311" t="s">
        <v>2574</v>
      </c>
      <c r="C311">
        <v>49</v>
      </c>
      <c r="D311">
        <v>342700</v>
      </c>
      <c r="E311">
        <v>2592000</v>
      </c>
      <c r="F311">
        <v>772354.50559714006</v>
      </c>
      <c r="G311" s="55"/>
      <c r="H311" s="66" t="str">
        <f>IF(OR(LEFT(B311,FIND("_",B311,1)-1)="ULGALLOC",LEFT(B311,FIND("_",B311,1)-1)="ULSPOOL"),LEFT(B311,FIND("_",B311,1)-1),VLOOKUP(LEFT(A311,6),'Code Library'!$D$3:$E$200,2,0))&amp;"_"&amp;RIGHT(A311,3)</f>
        <v>GUPM_USD</v>
      </c>
      <c r="I311" s="66" t="str">
        <f t="shared" si="4"/>
        <v>ULGUPM_USD</v>
      </c>
    </row>
    <row r="312" spans="1:9">
      <c r="A312" t="s">
        <v>977</v>
      </c>
      <c r="B312" t="s">
        <v>2575</v>
      </c>
      <c r="C312">
        <v>7</v>
      </c>
      <c r="D312">
        <v>51000</v>
      </c>
      <c r="E312">
        <v>364000</v>
      </c>
      <c r="F312">
        <v>81196.821319299997</v>
      </c>
      <c r="G312" s="55"/>
      <c r="H312" s="66" t="str">
        <f>IF(OR(LEFT(B312,FIND("_",B312,1)-1)="ULGALLOC",LEFT(B312,FIND("_",B312,1)-1)="ULSPOOL"),LEFT(B312,FIND("_",B312,1)-1),VLOOKUP(LEFT(A312,6),'Code Library'!$D$3:$E$200,2,0))&amp;"_"&amp;RIGHT(A312,3)</f>
        <v>GUPM_USD</v>
      </c>
      <c r="I312" s="66" t="str">
        <f t="shared" si="4"/>
        <v>ULGUPM_USD</v>
      </c>
    </row>
    <row r="313" spans="1:9">
      <c r="A313" t="s">
        <v>978</v>
      </c>
      <c r="B313" t="s">
        <v>979</v>
      </c>
      <c r="C313">
        <v>71</v>
      </c>
      <c r="D313">
        <v>10576999996</v>
      </c>
      <c r="E313">
        <v>461863270979</v>
      </c>
      <c r="F313">
        <v>32495656513.769798</v>
      </c>
      <c r="G313" s="55"/>
      <c r="H313" s="66" t="str">
        <f>IF(OR(LEFT(B313,FIND("_",B313,1)-1)="ULGALLOC",LEFT(B313,FIND("_",B313,1)-1)="ULSPOOL"),LEFT(B313,FIND("_",B313,1)-1),VLOOKUP(LEFT(A313,6),'Code Library'!$D$3:$E$200,2,0))&amp;"_"&amp;RIGHT(A313,3)</f>
        <v>GUSI_IDR</v>
      </c>
      <c r="I313" s="66" t="str">
        <f t="shared" si="4"/>
        <v>ULGUSI_IDR</v>
      </c>
    </row>
    <row r="314" spans="1:9">
      <c r="A314" t="s">
        <v>978</v>
      </c>
      <c r="B314" t="s">
        <v>980</v>
      </c>
      <c r="C314">
        <v>40</v>
      </c>
      <c r="D314">
        <v>6410000000</v>
      </c>
      <c r="E314">
        <v>213429940399</v>
      </c>
      <c r="F314">
        <v>16428165966.981001</v>
      </c>
      <c r="G314" s="55"/>
      <c r="H314" s="66" t="str">
        <f>IF(OR(LEFT(B314,FIND("_",B314,1)-1)="ULGALLOC",LEFT(B314,FIND("_",B314,1)-1)="ULSPOOL"),LEFT(B314,FIND("_",B314,1)-1),VLOOKUP(LEFT(A314,6),'Code Library'!$D$3:$E$200,2,0))&amp;"_"&amp;RIGHT(A314,3)</f>
        <v>GUSI_IDR</v>
      </c>
      <c r="I314" s="66" t="str">
        <f t="shared" si="4"/>
        <v>ULGUSI_IDR</v>
      </c>
    </row>
    <row r="315" spans="1:9">
      <c r="A315" t="s">
        <v>978</v>
      </c>
      <c r="B315" t="s">
        <v>981</v>
      </c>
      <c r="C315">
        <v>51</v>
      </c>
      <c r="D315">
        <v>10353000000</v>
      </c>
      <c r="E315">
        <v>322750000000</v>
      </c>
      <c r="F315">
        <v>31806898981.873901</v>
      </c>
      <c r="G315" s="55"/>
      <c r="H315" s="66" t="str">
        <f>IF(OR(LEFT(B315,FIND("_",B315,1)-1)="ULGALLOC",LEFT(B315,FIND("_",B315,1)-1)="ULSPOOL"),LEFT(B315,FIND("_",B315,1)-1),VLOOKUP(LEFT(A315,6),'Code Library'!$D$3:$E$200,2,0))&amp;"_"&amp;RIGHT(A315,3)</f>
        <v>GUSI_IDR</v>
      </c>
      <c r="I315" s="66" t="str">
        <f t="shared" si="4"/>
        <v>ULGUSI_IDR</v>
      </c>
    </row>
    <row r="316" spans="1:9">
      <c r="A316" t="s">
        <v>978</v>
      </c>
      <c r="B316" t="s">
        <v>2240</v>
      </c>
      <c r="C316">
        <v>11</v>
      </c>
      <c r="D316">
        <v>1910000000</v>
      </c>
      <c r="E316">
        <v>69250000000</v>
      </c>
      <c r="F316">
        <v>4880634072.5307503</v>
      </c>
      <c r="G316" s="55"/>
      <c r="H316" s="66" t="str">
        <f>IF(OR(LEFT(B316,FIND("_",B316,1)-1)="ULGALLOC",LEFT(B316,FIND("_",B316,1)-1)="ULSPOOL"),LEFT(B316,FIND("_",B316,1)-1),VLOOKUP(LEFT(A316,6),'Code Library'!$D$3:$E$200,2,0))&amp;"_"&amp;RIGHT(A316,3)</f>
        <v>GUSI_IDR</v>
      </c>
      <c r="I316" s="66" t="str">
        <f t="shared" si="4"/>
        <v>ULGUSI_IDR</v>
      </c>
    </row>
    <row r="317" spans="1:9">
      <c r="A317" t="s">
        <v>982</v>
      </c>
      <c r="B317" t="s">
        <v>983</v>
      </c>
      <c r="C317">
        <v>33</v>
      </c>
      <c r="D317">
        <v>457500</v>
      </c>
      <c r="E317">
        <v>13980000</v>
      </c>
      <c r="F317">
        <v>1461330.65319459</v>
      </c>
      <c r="H317" s="66" t="str">
        <f>IF(OR(LEFT(B317,FIND("_",B317,1)-1)="ULGALLOC",LEFT(B317,FIND("_",B317,1)-1)="ULSPOOL"),LEFT(B317,FIND("_",B317,1)-1),VLOOKUP(LEFT(A317,6),'Code Library'!$D$3:$E$200,2,0))&amp;"_"&amp;RIGHT(A317,3)</f>
        <v>GUSI_USD</v>
      </c>
      <c r="I317" s="66" t="str">
        <f t="shared" si="4"/>
        <v>ULGUSI_USD</v>
      </c>
    </row>
    <row r="318" spans="1:9">
      <c r="A318" t="s">
        <v>982</v>
      </c>
      <c r="B318" t="s">
        <v>984</v>
      </c>
      <c r="C318">
        <v>47</v>
      </c>
      <c r="D318">
        <v>685500</v>
      </c>
      <c r="E318">
        <v>18923060</v>
      </c>
      <c r="F318">
        <v>2139941.74922683</v>
      </c>
      <c r="H318" s="66" t="str">
        <f>IF(OR(LEFT(B318,FIND("_",B318,1)-1)="ULGALLOC",LEFT(B318,FIND("_",B318,1)-1)="ULSPOOL"),LEFT(B318,FIND("_",B318,1)-1),VLOOKUP(LEFT(A318,6),'Code Library'!$D$3:$E$200,2,0))&amp;"_"&amp;RIGHT(A318,3)</f>
        <v>GUSI_USD</v>
      </c>
      <c r="I318" s="66" t="str">
        <f t="shared" si="4"/>
        <v>ULGUSI_USD</v>
      </c>
    </row>
    <row r="319" spans="1:9">
      <c r="A319" t="s">
        <v>982</v>
      </c>
      <c r="B319" t="s">
        <v>985</v>
      </c>
      <c r="C319">
        <v>3</v>
      </c>
      <c r="D319">
        <v>44000</v>
      </c>
      <c r="E319">
        <v>1140000</v>
      </c>
      <c r="F319">
        <v>202946.00545679999</v>
      </c>
      <c r="G319" s="55"/>
      <c r="H319" s="66" t="str">
        <f>IF(OR(LEFT(B319,FIND("_",B319,1)-1)="ULGALLOC",LEFT(B319,FIND("_",B319,1)-1)="ULSPOOL"),LEFT(B319,FIND("_",B319,1)-1),VLOOKUP(LEFT(A319,6),'Code Library'!$D$3:$E$200,2,0))&amp;"_"&amp;RIGHT(A319,3)</f>
        <v>GUSI_USD</v>
      </c>
      <c r="I319" s="66" t="str">
        <f t="shared" si="4"/>
        <v>ULGUSI_USD</v>
      </c>
    </row>
    <row r="320" spans="1:9">
      <c r="A320" t="s">
        <v>982</v>
      </c>
      <c r="B320" t="s">
        <v>2241</v>
      </c>
      <c r="C320">
        <v>2</v>
      </c>
      <c r="D320">
        <v>35000</v>
      </c>
      <c r="E320">
        <v>760000</v>
      </c>
      <c r="F320">
        <v>72650.961050619997</v>
      </c>
      <c r="G320" s="55"/>
      <c r="H320" s="66" t="str">
        <f>IF(OR(LEFT(B320,FIND("_",B320,1)-1)="ULGALLOC",LEFT(B320,FIND("_",B320,1)-1)="ULSPOOL"),LEFT(B320,FIND("_",B320,1)-1),VLOOKUP(LEFT(A320,6),'Code Library'!$D$3:$E$200,2,0))&amp;"_"&amp;RIGHT(A320,3)</f>
        <v>GUSI_USD</v>
      </c>
      <c r="I320" s="66" t="str">
        <f t="shared" si="4"/>
        <v>ULGUSI_USD</v>
      </c>
    </row>
    <row r="321" spans="1:9">
      <c r="A321" t="s">
        <v>986</v>
      </c>
      <c r="B321" t="s">
        <v>2242</v>
      </c>
      <c r="C321">
        <v>15</v>
      </c>
      <c r="D321">
        <v>2835000000</v>
      </c>
      <c r="E321">
        <v>91360000000</v>
      </c>
      <c r="F321">
        <v>8864678322.1795998</v>
      </c>
      <c r="G321" s="55"/>
      <c r="H321" s="66" t="str">
        <f>IF(OR(LEFT(B321,FIND("_",B321,1)-1)="ULGALLOC",LEFT(B321,FIND("_",B321,1)-1)="ULSPOOL"),LEFT(B321,FIND("_",B321,1)-1),VLOOKUP(LEFT(A321,6),'Code Library'!$D$3:$E$200,2,0))&amp;"_"&amp;RIGHT(A321,3)</f>
        <v>GUTI_IDR</v>
      </c>
      <c r="I321" s="66" t="str">
        <f t="shared" si="4"/>
        <v>ULGUTI_IDR</v>
      </c>
    </row>
    <row r="322" spans="1:9">
      <c r="A322" t="s">
        <v>986</v>
      </c>
      <c r="B322" t="s">
        <v>2576</v>
      </c>
      <c r="C322">
        <v>23</v>
      </c>
      <c r="D322">
        <v>3728000000</v>
      </c>
      <c r="E322">
        <v>125000000000</v>
      </c>
      <c r="F322">
        <v>8158054087.4483099</v>
      </c>
      <c r="H322" s="66" t="str">
        <f>IF(OR(LEFT(B322,FIND("_",B322,1)-1)="ULGALLOC",LEFT(B322,FIND("_",B322,1)-1)="ULSPOOL"),LEFT(B322,FIND("_",B322,1)-1),VLOOKUP(LEFT(A322,6),'Code Library'!$D$3:$E$200,2,0))&amp;"_"&amp;RIGHT(A322,3)</f>
        <v>GUTI_IDR</v>
      </c>
      <c r="I322" s="66" t="str">
        <f t="shared" si="4"/>
        <v>ULGUTI_IDR</v>
      </c>
    </row>
    <row r="323" spans="1:9">
      <c r="A323" t="s">
        <v>986</v>
      </c>
      <c r="B323" t="s">
        <v>2577</v>
      </c>
      <c r="C323">
        <v>2</v>
      </c>
      <c r="D323">
        <v>270000000</v>
      </c>
      <c r="E323">
        <v>10650000000</v>
      </c>
      <c r="F323">
        <v>2073355315.3519599</v>
      </c>
      <c r="H323" s="66" t="str">
        <f>IF(OR(LEFT(B323,FIND("_",B323,1)-1)="ULGALLOC",LEFT(B323,FIND("_",B323,1)-1)="ULSPOOL"),LEFT(B323,FIND("_",B323,1)-1),VLOOKUP(LEFT(A323,6),'Code Library'!$D$3:$E$200,2,0))&amp;"_"&amp;RIGHT(A323,3)</f>
        <v>GUTI_IDR</v>
      </c>
      <c r="I323" s="66" t="str">
        <f t="shared" ref="I323:I386" si="5">A323</f>
        <v>ULGUTI_IDR</v>
      </c>
    </row>
    <row r="324" spans="1:9">
      <c r="A324" t="s">
        <v>987</v>
      </c>
      <c r="B324" t="s">
        <v>2243</v>
      </c>
      <c r="C324">
        <v>2</v>
      </c>
      <c r="D324">
        <v>25000</v>
      </c>
      <c r="E324">
        <v>880000</v>
      </c>
      <c r="F324">
        <v>38235</v>
      </c>
      <c r="G324" s="55"/>
      <c r="H324" s="66" t="str">
        <f>IF(OR(LEFT(B324,FIND("_",B324,1)-1)="ULGALLOC",LEFT(B324,FIND("_",B324,1)-1)="ULSPOOL"),LEFT(B324,FIND("_",B324,1)-1),VLOOKUP(LEFT(A324,6),'Code Library'!$D$3:$E$200,2,0))&amp;"_"&amp;RIGHT(A324,3)</f>
        <v>GUTI_USD</v>
      </c>
      <c r="I324" s="66" t="str">
        <f t="shared" si="5"/>
        <v>ULGUTI_USD</v>
      </c>
    </row>
    <row r="325" spans="1:9">
      <c r="A325" t="s">
        <v>987</v>
      </c>
      <c r="B325" t="s">
        <v>2578</v>
      </c>
      <c r="C325">
        <v>5</v>
      </c>
      <c r="D325">
        <v>63000</v>
      </c>
      <c r="E325">
        <v>1960000</v>
      </c>
      <c r="F325">
        <v>38562</v>
      </c>
      <c r="H325" s="66" t="str">
        <f>IF(OR(LEFT(B325,FIND("_",B325,1)-1)="ULGALLOC",LEFT(B325,FIND("_",B325,1)-1)="ULSPOOL"),LEFT(B325,FIND("_",B325,1)-1),VLOOKUP(LEFT(A325,6),'Code Library'!$D$3:$E$200,2,0))&amp;"_"&amp;RIGHT(A325,3)</f>
        <v>GUTI_USD</v>
      </c>
      <c r="I325" s="66" t="str">
        <f t="shared" si="5"/>
        <v>ULGUTI_USD</v>
      </c>
    </row>
    <row r="326" spans="1:9">
      <c r="A326" t="s">
        <v>988</v>
      </c>
      <c r="B326" t="s">
        <v>989</v>
      </c>
      <c r="C326">
        <v>28</v>
      </c>
      <c r="D326">
        <v>1135000000</v>
      </c>
      <c r="E326">
        <v>1506250000</v>
      </c>
      <c r="F326">
        <v>6502996250.7640696</v>
      </c>
      <c r="H326" s="66" t="str">
        <f>IF(OR(LEFT(B326,FIND("_",B326,1)-1)="ULGALLOC",LEFT(B326,FIND("_",B326,1)-1)="ULSPOOL"),LEFT(B326,FIND("_",B326,1)-1),VLOOKUP(LEFT(A326,6),'Code Library'!$D$3:$E$200,2,0))&amp;"_"&amp;RIGHT(A326,3)</f>
        <v>GWL_IDR</v>
      </c>
      <c r="I326" s="66" t="str">
        <f t="shared" si="5"/>
        <v>ULGW___IDR</v>
      </c>
    </row>
    <row r="327" spans="1:9">
      <c r="A327" t="s">
        <v>988</v>
      </c>
      <c r="B327" t="s">
        <v>990</v>
      </c>
      <c r="C327">
        <v>82</v>
      </c>
      <c r="D327">
        <v>3626000000</v>
      </c>
      <c r="E327">
        <v>5332750000</v>
      </c>
      <c r="F327">
        <v>25970131555.226398</v>
      </c>
      <c r="G327" s="55"/>
      <c r="H327" s="66" t="str">
        <f>IF(OR(LEFT(B327,FIND("_",B327,1)-1)="ULGALLOC",LEFT(B327,FIND("_",B327,1)-1)="ULSPOOL"),LEFT(B327,FIND("_",B327,1)-1),VLOOKUP(LEFT(A327,6),'Code Library'!$D$3:$E$200,2,0))&amp;"_"&amp;RIGHT(A327,3)</f>
        <v>GWL_IDR</v>
      </c>
      <c r="I327" s="66" t="str">
        <f t="shared" si="5"/>
        <v>ULGW___IDR</v>
      </c>
    </row>
    <row r="328" spans="1:9">
      <c r="A328" t="s">
        <v>988</v>
      </c>
      <c r="B328" t="s">
        <v>991</v>
      </c>
      <c r="C328">
        <v>302</v>
      </c>
      <c r="D328">
        <v>16208666667</v>
      </c>
      <c r="E328">
        <v>24313000000</v>
      </c>
      <c r="F328">
        <v>95972722508.702698</v>
      </c>
      <c r="H328" s="66" t="str">
        <f>IF(OR(LEFT(B328,FIND("_",B328,1)-1)="ULGALLOC",LEFT(B328,FIND("_",B328,1)-1)="ULSPOOL"),LEFT(B328,FIND("_",B328,1)-1),VLOOKUP(LEFT(A328,6),'Code Library'!$D$3:$E$200,2,0))&amp;"_"&amp;RIGHT(A328,3)</f>
        <v>GWL_IDR</v>
      </c>
      <c r="I328" s="66" t="str">
        <f t="shared" si="5"/>
        <v>ULGW___IDR</v>
      </c>
    </row>
    <row r="329" spans="1:9">
      <c r="A329" t="s">
        <v>988</v>
      </c>
      <c r="B329" t="s">
        <v>992</v>
      </c>
      <c r="C329">
        <v>427</v>
      </c>
      <c r="D329">
        <v>22479000000</v>
      </c>
      <c r="E329">
        <v>33718500000</v>
      </c>
      <c r="F329">
        <v>169445374161.81799</v>
      </c>
      <c r="H329" s="66" t="str">
        <f>IF(OR(LEFT(B329,FIND("_",B329,1)-1)="ULGALLOC",LEFT(B329,FIND("_",B329,1)-1)="ULSPOOL"),LEFT(B329,FIND("_",B329,1)-1),VLOOKUP(LEFT(A329,6),'Code Library'!$D$3:$E$200,2,0))&amp;"_"&amp;RIGHT(A329,3)</f>
        <v>GWL_IDR</v>
      </c>
      <c r="I329" s="66" t="str">
        <f t="shared" si="5"/>
        <v>ULGW___IDR</v>
      </c>
    </row>
    <row r="330" spans="1:9">
      <c r="A330" t="s">
        <v>988</v>
      </c>
      <c r="B330" t="s">
        <v>2244</v>
      </c>
      <c r="C330">
        <v>74</v>
      </c>
      <c r="D330">
        <v>3830000000</v>
      </c>
      <c r="E330">
        <v>5745000000</v>
      </c>
      <c r="F330">
        <v>24238769318.296501</v>
      </c>
      <c r="H330" s="66" t="str">
        <f>IF(OR(LEFT(B330,FIND("_",B330,1)-1)="ULGALLOC",LEFT(B330,FIND("_",B330,1)-1)="ULSPOOL"),LEFT(B330,FIND("_",B330,1)-1),VLOOKUP(LEFT(A330,6),'Code Library'!$D$3:$E$200,2,0))&amp;"_"&amp;RIGHT(A330,3)</f>
        <v>GWL_IDR</v>
      </c>
      <c r="I330" s="66" t="str">
        <f t="shared" si="5"/>
        <v>ULGW___IDR</v>
      </c>
    </row>
    <row r="331" spans="1:9">
      <c r="A331" t="s">
        <v>993</v>
      </c>
      <c r="B331" t="s">
        <v>994</v>
      </c>
      <c r="C331">
        <v>19</v>
      </c>
      <c r="D331">
        <v>78500</v>
      </c>
      <c r="E331">
        <v>100625</v>
      </c>
      <c r="F331">
        <v>523234.01898984</v>
      </c>
      <c r="H331" s="66" t="str">
        <f>IF(OR(LEFT(B331,FIND("_",B331,1)-1)="ULGALLOC",LEFT(B331,FIND("_",B331,1)-1)="ULSPOOL"),LEFT(B331,FIND("_",B331,1)-1),VLOOKUP(LEFT(A331,6),'Code Library'!$D$3:$E$200,2,0))&amp;"_"&amp;RIGHT(A331,3)</f>
        <v>GWL_USD</v>
      </c>
      <c r="I331" s="66" t="str">
        <f t="shared" si="5"/>
        <v>ULGW___USD</v>
      </c>
    </row>
    <row r="332" spans="1:9">
      <c r="A332" t="s">
        <v>993</v>
      </c>
      <c r="B332" t="s">
        <v>995</v>
      </c>
      <c r="C332">
        <v>71</v>
      </c>
      <c r="D332">
        <v>425000</v>
      </c>
      <c r="E332">
        <v>616875</v>
      </c>
      <c r="F332">
        <v>1549240.7960740901</v>
      </c>
      <c r="H332" s="66" t="str">
        <f>IF(OR(LEFT(B332,FIND("_",B332,1)-1)="ULGALLOC",LEFT(B332,FIND("_",B332,1)-1)="ULSPOOL"),LEFT(B332,FIND("_",B332,1)-1),VLOOKUP(LEFT(A332,6),'Code Library'!$D$3:$E$200,2,0))&amp;"_"&amp;RIGHT(A332,3)</f>
        <v>GWL_USD</v>
      </c>
      <c r="I332" s="66" t="str">
        <f t="shared" si="5"/>
        <v>ULGW___USD</v>
      </c>
    </row>
    <row r="333" spans="1:9">
      <c r="A333" t="s">
        <v>993</v>
      </c>
      <c r="B333" t="s">
        <v>996</v>
      </c>
      <c r="C333">
        <v>156</v>
      </c>
      <c r="D333">
        <v>1188000</v>
      </c>
      <c r="E333">
        <v>1782000</v>
      </c>
      <c r="F333">
        <v>2478690.6539750299</v>
      </c>
      <c r="G333" s="55"/>
      <c r="H333" s="66" t="str">
        <f>IF(OR(LEFT(B333,FIND("_",B333,1)-1)="ULGALLOC",LEFT(B333,FIND("_",B333,1)-1)="ULSPOOL"),LEFT(B333,FIND("_",B333,1)-1),VLOOKUP(LEFT(A333,6),'Code Library'!$D$3:$E$200,2,0))&amp;"_"&amp;RIGHT(A333,3)</f>
        <v>GWL_USD</v>
      </c>
      <c r="I333" s="66" t="str">
        <f t="shared" si="5"/>
        <v>ULGW___USD</v>
      </c>
    </row>
    <row r="334" spans="1:9">
      <c r="A334" t="s">
        <v>993</v>
      </c>
      <c r="B334" t="s">
        <v>997</v>
      </c>
      <c r="C334">
        <v>18</v>
      </c>
      <c r="D334">
        <v>135000</v>
      </c>
      <c r="E334">
        <v>202500</v>
      </c>
      <c r="F334">
        <v>303075.03843593999</v>
      </c>
      <c r="G334" s="55"/>
      <c r="H334" s="66" t="str">
        <f>IF(OR(LEFT(B334,FIND("_",B334,1)-1)="ULGALLOC",LEFT(B334,FIND("_",B334,1)-1)="ULSPOOL"),LEFT(B334,FIND("_",B334,1)-1),VLOOKUP(LEFT(A334,6),'Code Library'!$D$3:$E$200,2,0))&amp;"_"&amp;RIGHT(A334,3)</f>
        <v>GWL_USD</v>
      </c>
      <c r="I334" s="66" t="str">
        <f t="shared" si="5"/>
        <v>ULGW___USD</v>
      </c>
    </row>
    <row r="335" spans="1:9">
      <c r="A335" t="s">
        <v>993</v>
      </c>
      <c r="B335" t="s">
        <v>2245</v>
      </c>
      <c r="C335">
        <v>11</v>
      </c>
      <c r="D335">
        <v>82500</v>
      </c>
      <c r="E335">
        <v>123750</v>
      </c>
      <c r="F335">
        <v>201051.53560454</v>
      </c>
      <c r="G335" s="55"/>
      <c r="H335" s="66" t="str">
        <f>IF(OR(LEFT(B335,FIND("_",B335,1)-1)="ULGALLOC",LEFT(B335,FIND("_",B335,1)-1)="ULSPOOL"),LEFT(B335,FIND("_",B335,1)-1),VLOOKUP(LEFT(A335,6),'Code Library'!$D$3:$E$200,2,0))&amp;"_"&amp;RIGHT(A335,3)</f>
        <v>GWL_USD</v>
      </c>
      <c r="I335" s="66" t="str">
        <f t="shared" si="5"/>
        <v>ULGW___USD</v>
      </c>
    </row>
    <row r="336" spans="1:9">
      <c r="A336" t="s">
        <v>998</v>
      </c>
      <c r="B336" t="s">
        <v>2246</v>
      </c>
      <c r="C336">
        <v>567</v>
      </c>
      <c r="D336">
        <v>39234706678</v>
      </c>
      <c r="E336">
        <v>475911666666</v>
      </c>
      <c r="F336">
        <v>83184944359.378098</v>
      </c>
      <c r="G336" s="55"/>
      <c r="H336" s="66" t="str">
        <f>IF(OR(LEFT(B336,FIND("_",B336,1)-1)="ULGALLOC",LEFT(B336,FIND("_",B336,1)-1)="ULSPOOL"),LEFT(B336,FIND("_",B336,1)-1),VLOOKUP(LEFT(A336,6),'Code Library'!$D$3:$E$200,2,0))&amp;"_"&amp;RIGHT(A336,3)</f>
        <v>HPIP_IDR</v>
      </c>
      <c r="I336" s="66" t="str">
        <f t="shared" si="5"/>
        <v>ULHPIP_IDR</v>
      </c>
    </row>
    <row r="337" spans="1:9">
      <c r="A337" t="s">
        <v>998</v>
      </c>
      <c r="B337" t="s">
        <v>2579</v>
      </c>
      <c r="C337">
        <v>548</v>
      </c>
      <c r="D337">
        <v>45942480012</v>
      </c>
      <c r="E337">
        <v>509720000000</v>
      </c>
      <c r="F337">
        <v>76384378710.026306</v>
      </c>
      <c r="G337" s="55"/>
      <c r="H337" s="66" t="str">
        <f>IF(OR(LEFT(B337,FIND("_",B337,1)-1)="ULGALLOC",LEFT(B337,FIND("_",B337,1)-1)="ULSPOOL"),LEFT(B337,FIND("_",B337,1)-1),VLOOKUP(LEFT(A337,6),'Code Library'!$D$3:$E$200,2,0))&amp;"_"&amp;RIGHT(A337,3)</f>
        <v>HPIP_IDR</v>
      </c>
      <c r="I337" s="66" t="str">
        <f t="shared" si="5"/>
        <v>ULHPIP_IDR</v>
      </c>
    </row>
    <row r="338" spans="1:9">
      <c r="A338" t="s">
        <v>998</v>
      </c>
      <c r="B338" t="s">
        <v>2580</v>
      </c>
      <c r="C338">
        <v>56</v>
      </c>
      <c r="D338">
        <v>5031000000</v>
      </c>
      <c r="E338">
        <v>51320000000</v>
      </c>
      <c r="F338">
        <v>4776751380.5632401</v>
      </c>
      <c r="H338" s="66" t="str">
        <f>IF(OR(LEFT(B338,FIND("_",B338,1)-1)="ULGALLOC",LEFT(B338,FIND("_",B338,1)-1)="ULSPOOL"),LEFT(B338,FIND("_",B338,1)-1),VLOOKUP(LEFT(A338,6),'Code Library'!$D$3:$E$200,2,0))&amp;"_"&amp;RIGHT(A338,3)</f>
        <v>HPIP_IDR</v>
      </c>
      <c r="I338" s="66" t="str">
        <f t="shared" si="5"/>
        <v>ULHPIP_IDR</v>
      </c>
    </row>
    <row r="339" spans="1:9">
      <c r="A339" t="s">
        <v>999</v>
      </c>
      <c r="B339" t="s">
        <v>2247</v>
      </c>
      <c r="C339">
        <v>326</v>
      </c>
      <c r="D339">
        <v>2130284</v>
      </c>
      <c r="E339">
        <v>24025540</v>
      </c>
      <c r="F339">
        <v>6162559.7681740597</v>
      </c>
      <c r="H339" s="66" t="str">
        <f>IF(OR(LEFT(B339,FIND("_",B339,1)-1)="ULGALLOC",LEFT(B339,FIND("_",B339,1)-1)="ULSPOOL"),LEFT(B339,FIND("_",B339,1)-1),VLOOKUP(LEFT(A339,6),'Code Library'!$D$3:$E$200,2,0))&amp;"_"&amp;RIGHT(A339,3)</f>
        <v>HPIP_USD</v>
      </c>
      <c r="I339" s="66" t="str">
        <f t="shared" si="5"/>
        <v>ULHPIP_USD</v>
      </c>
    </row>
    <row r="340" spans="1:9">
      <c r="A340" t="s">
        <v>999</v>
      </c>
      <c r="B340" t="s">
        <v>2581</v>
      </c>
      <c r="C340">
        <v>402</v>
      </c>
      <c r="D340">
        <v>3181988</v>
      </c>
      <c r="E340">
        <v>34280000</v>
      </c>
      <c r="F340">
        <v>5497620.8642103504</v>
      </c>
      <c r="H340" s="66" t="str">
        <f>IF(OR(LEFT(B340,FIND("_",B340,1)-1)="ULGALLOC",LEFT(B340,FIND("_",B340,1)-1)="ULSPOOL"),LEFT(B340,FIND("_",B340,1)-1),VLOOKUP(LEFT(A340,6),'Code Library'!$D$3:$E$200,2,0))&amp;"_"&amp;RIGHT(A340,3)</f>
        <v>HPIP_USD</v>
      </c>
      <c r="I340" s="66" t="str">
        <f t="shared" si="5"/>
        <v>ULHPIP_USD</v>
      </c>
    </row>
    <row r="341" spans="1:9">
      <c r="A341" t="s">
        <v>999</v>
      </c>
      <c r="B341" t="s">
        <v>2582</v>
      </c>
      <c r="C341">
        <v>61</v>
      </c>
      <c r="D341">
        <v>422900</v>
      </c>
      <c r="E341">
        <v>4706000</v>
      </c>
      <c r="F341">
        <v>559426.01786343998</v>
      </c>
      <c r="H341" s="66" t="str">
        <f>IF(OR(LEFT(B341,FIND("_",B341,1)-1)="ULGALLOC",LEFT(B341,FIND("_",B341,1)-1)="ULSPOOL"),LEFT(B341,FIND("_",B341,1)-1),VLOOKUP(LEFT(A341,6),'Code Library'!$D$3:$E$200,2,0))&amp;"_"&amp;RIGHT(A341,3)</f>
        <v>HPIP_USD</v>
      </c>
      <c r="I341" s="66" t="str">
        <f t="shared" si="5"/>
        <v>ULHPIP_USD</v>
      </c>
    </row>
    <row r="342" spans="1:9">
      <c r="A342" t="s">
        <v>1000</v>
      </c>
      <c r="B342" t="s">
        <v>1001</v>
      </c>
      <c r="C342">
        <v>133</v>
      </c>
      <c r="D342">
        <v>21276008008</v>
      </c>
      <c r="E342">
        <v>779310475556</v>
      </c>
      <c r="F342">
        <v>66606498803.402802</v>
      </c>
      <c r="H342" s="66" t="str">
        <f>IF(OR(LEFT(B342,FIND("_",B342,1)-1)="ULGALLOC",LEFT(B342,FIND("_",B342,1)-1)="ULSPOOL"),LEFT(B342,FIND("_",B342,1)-1),VLOOKUP(LEFT(A342,6),'Code Library'!$D$3:$E$200,2,0))&amp;"_"&amp;RIGHT(A342,3)</f>
        <v>HPWA_IDR</v>
      </c>
      <c r="I342" s="66" t="str">
        <f t="shared" si="5"/>
        <v>ULHPWA_IDR</v>
      </c>
    </row>
    <row r="343" spans="1:9">
      <c r="A343" t="s">
        <v>1000</v>
      </c>
      <c r="B343" t="s">
        <v>1002</v>
      </c>
      <c r="C343">
        <v>144</v>
      </c>
      <c r="D343">
        <v>28028001216</v>
      </c>
      <c r="E343">
        <v>938246034949</v>
      </c>
      <c r="F343">
        <v>78096558427.369202</v>
      </c>
      <c r="G343" s="55"/>
      <c r="H343" s="66" t="str">
        <f>IF(OR(LEFT(B343,FIND("_",B343,1)-1)="ULGALLOC",LEFT(B343,FIND("_",B343,1)-1)="ULSPOOL"),LEFT(B343,FIND("_",B343,1)-1),VLOOKUP(LEFT(A343,6),'Code Library'!$D$3:$E$200,2,0))&amp;"_"&amp;RIGHT(A343,3)</f>
        <v>HPWA_IDR</v>
      </c>
      <c r="I343" s="66" t="str">
        <f t="shared" si="5"/>
        <v>ULHPWA_IDR</v>
      </c>
    </row>
    <row r="344" spans="1:9">
      <c r="A344" t="s">
        <v>1000</v>
      </c>
      <c r="B344" t="s">
        <v>1003</v>
      </c>
      <c r="C344">
        <v>298</v>
      </c>
      <c r="D344">
        <v>49678040024</v>
      </c>
      <c r="E344">
        <v>1662268756637</v>
      </c>
      <c r="F344">
        <v>128436064017.57001</v>
      </c>
      <c r="G344" s="55"/>
      <c r="H344" s="66" t="str">
        <f>IF(OR(LEFT(B344,FIND("_",B344,1)-1)="ULGALLOC",LEFT(B344,FIND("_",B344,1)-1)="ULSPOOL"),LEFT(B344,FIND("_",B344,1)-1),VLOOKUP(LEFT(A344,6),'Code Library'!$D$3:$E$200,2,0))&amp;"_"&amp;RIGHT(A344,3)</f>
        <v>HPWA_IDR</v>
      </c>
      <c r="I344" s="66" t="str">
        <f t="shared" si="5"/>
        <v>ULHPWA_IDR</v>
      </c>
    </row>
    <row r="345" spans="1:9">
      <c r="A345" t="s">
        <v>1000</v>
      </c>
      <c r="B345" t="s">
        <v>2248</v>
      </c>
      <c r="C345">
        <v>33</v>
      </c>
      <c r="D345">
        <v>5104999996</v>
      </c>
      <c r="E345">
        <v>176500000000</v>
      </c>
      <c r="F345">
        <v>9562264199.8416595</v>
      </c>
      <c r="G345" s="55"/>
      <c r="H345" s="66" t="str">
        <f>IF(OR(LEFT(B345,FIND("_",B345,1)-1)="ULGALLOC",LEFT(B345,FIND("_",B345,1)-1)="ULSPOOL"),LEFT(B345,FIND("_",B345,1)-1),VLOOKUP(LEFT(A345,6),'Code Library'!$D$3:$E$200,2,0))&amp;"_"&amp;RIGHT(A345,3)</f>
        <v>HPWA_IDR</v>
      </c>
      <c r="I345" s="66" t="str">
        <f t="shared" si="5"/>
        <v>ULHPWA_IDR</v>
      </c>
    </row>
    <row r="346" spans="1:9">
      <c r="A346" t="s">
        <v>1004</v>
      </c>
      <c r="B346" t="s">
        <v>1005</v>
      </c>
      <c r="C346">
        <v>175</v>
      </c>
      <c r="D346">
        <v>2828744</v>
      </c>
      <c r="E346">
        <v>86609988.088</v>
      </c>
      <c r="F346">
        <v>10067507.348753</v>
      </c>
      <c r="G346" s="55"/>
      <c r="H346" s="66" t="str">
        <f>IF(OR(LEFT(B346,FIND("_",B346,1)-1)="ULGALLOC",LEFT(B346,FIND("_",B346,1)-1)="ULSPOOL"),LEFT(B346,FIND("_",B346,1)-1),VLOOKUP(LEFT(A346,6),'Code Library'!$D$3:$E$200,2,0))&amp;"_"&amp;RIGHT(A346,3)</f>
        <v>HPWA_USD</v>
      </c>
      <c r="I346" s="66" t="str">
        <f t="shared" si="5"/>
        <v>ULHPWA_USD</v>
      </c>
    </row>
    <row r="347" spans="1:9">
      <c r="A347" t="s">
        <v>1004</v>
      </c>
      <c r="B347" t="s">
        <v>1006</v>
      </c>
      <c r="C347">
        <v>250</v>
      </c>
      <c r="D347">
        <v>3989732</v>
      </c>
      <c r="E347">
        <v>110537927.40000001</v>
      </c>
      <c r="F347">
        <v>13415460.601536</v>
      </c>
      <c r="H347" s="66" t="str">
        <f>IF(OR(LEFT(B347,FIND("_",B347,1)-1)="ULGALLOC",LEFT(B347,FIND("_",B347,1)-1)="ULSPOOL"),LEFT(B347,FIND("_",B347,1)-1),VLOOKUP(LEFT(A347,6),'Code Library'!$D$3:$E$200,2,0))&amp;"_"&amp;RIGHT(A347,3)</f>
        <v>HPWA_USD</v>
      </c>
      <c r="I347" s="66" t="str">
        <f t="shared" si="5"/>
        <v>ULHPWA_USD</v>
      </c>
    </row>
    <row r="348" spans="1:9">
      <c r="A348" t="s">
        <v>1004</v>
      </c>
      <c r="B348" t="s">
        <v>1007</v>
      </c>
      <c r="C348">
        <v>92</v>
      </c>
      <c r="D348">
        <v>1540004</v>
      </c>
      <c r="E348">
        <v>41835000</v>
      </c>
      <c r="F348">
        <v>4356514.17260045</v>
      </c>
      <c r="H348" s="66" t="str">
        <f>IF(OR(LEFT(B348,FIND("_",B348,1)-1)="ULGALLOC",LEFT(B348,FIND("_",B348,1)-1)="ULSPOOL"),LEFT(B348,FIND("_",B348,1)-1),VLOOKUP(LEFT(A348,6),'Code Library'!$D$3:$E$200,2,0))&amp;"_"&amp;RIGHT(A348,3)</f>
        <v>HPWA_USD</v>
      </c>
      <c r="I348" s="66" t="str">
        <f t="shared" si="5"/>
        <v>ULHPWA_USD</v>
      </c>
    </row>
    <row r="349" spans="1:9">
      <c r="A349" t="s">
        <v>1004</v>
      </c>
      <c r="B349" t="s">
        <v>2249</v>
      </c>
      <c r="C349">
        <v>19</v>
      </c>
      <c r="D349">
        <v>319000</v>
      </c>
      <c r="E349">
        <v>8004000</v>
      </c>
      <c r="F349">
        <v>1413041.9488613601</v>
      </c>
      <c r="H349" s="66" t="str">
        <f>IF(OR(LEFT(B349,FIND("_",B349,1)-1)="ULGALLOC",LEFT(B349,FIND("_",B349,1)-1)="ULSPOOL"),LEFT(B349,FIND("_",B349,1)-1),VLOOKUP(LEFT(A349,6),'Code Library'!$D$3:$E$200,2,0))&amp;"_"&amp;RIGHT(A349,3)</f>
        <v>HPWA_USD</v>
      </c>
      <c r="I349" s="66" t="str">
        <f t="shared" si="5"/>
        <v>ULHPWA_USD</v>
      </c>
    </row>
    <row r="350" spans="1:9">
      <c r="A350" t="s">
        <v>1008</v>
      </c>
      <c r="B350" t="s">
        <v>2250</v>
      </c>
      <c r="C350">
        <v>82</v>
      </c>
      <c r="D350">
        <v>14151999984</v>
      </c>
      <c r="E350">
        <v>475180000000</v>
      </c>
      <c r="F350">
        <v>25102266418.845901</v>
      </c>
      <c r="H350" s="66" t="str">
        <f>IF(OR(LEFT(B350,FIND("_",B350,1)-1)="ULGALLOC",LEFT(B350,FIND("_",B350,1)-1)="ULSPOOL"),LEFT(B350,FIND("_",B350,1)-1),VLOOKUP(LEFT(A350,6),'Code Library'!$D$3:$E$200,2,0))&amp;"_"&amp;RIGHT(A350,3)</f>
        <v>HSWA_IDR</v>
      </c>
      <c r="I350" s="66" t="str">
        <f t="shared" si="5"/>
        <v>ULHSWA_IDR</v>
      </c>
    </row>
    <row r="351" spans="1:9">
      <c r="A351" t="s">
        <v>1008</v>
      </c>
      <c r="B351" t="s">
        <v>2583</v>
      </c>
      <c r="C351">
        <v>61</v>
      </c>
      <c r="D351">
        <v>13998000004</v>
      </c>
      <c r="E351">
        <v>365500000000</v>
      </c>
      <c r="F351">
        <v>19095704433.881901</v>
      </c>
      <c r="G351" s="55"/>
      <c r="H351" s="66" t="str">
        <f>IF(OR(LEFT(B351,FIND("_",B351,1)-1)="ULGALLOC",LEFT(B351,FIND("_",B351,1)-1)="ULSPOOL"),LEFT(B351,FIND("_",B351,1)-1),VLOOKUP(LEFT(A351,6),'Code Library'!$D$3:$E$200,2,0))&amp;"_"&amp;RIGHT(A351,3)</f>
        <v>HSWA_IDR</v>
      </c>
      <c r="I351" s="66" t="str">
        <f t="shared" si="5"/>
        <v>ULHSWA_IDR</v>
      </c>
    </row>
    <row r="352" spans="1:9">
      <c r="A352" t="s">
        <v>1008</v>
      </c>
      <c r="B352" t="s">
        <v>2584</v>
      </c>
      <c r="C352">
        <v>7</v>
      </c>
      <c r="D352">
        <v>1180000000</v>
      </c>
      <c r="E352">
        <v>41400000000</v>
      </c>
      <c r="F352">
        <v>781249417</v>
      </c>
      <c r="G352" s="55"/>
      <c r="H352" s="66" t="str">
        <f>IF(OR(LEFT(B352,FIND("_",B352,1)-1)="ULGALLOC",LEFT(B352,FIND("_",B352,1)-1)="ULSPOOL"),LEFT(B352,FIND("_",B352,1)-1),VLOOKUP(LEFT(A352,6),'Code Library'!$D$3:$E$200,2,0))&amp;"_"&amp;RIGHT(A352,3)</f>
        <v>HSWA_IDR</v>
      </c>
      <c r="I352" s="66" t="str">
        <f t="shared" si="5"/>
        <v>ULHSWA_IDR</v>
      </c>
    </row>
    <row r="353" spans="1:9">
      <c r="A353" t="s">
        <v>1009</v>
      </c>
      <c r="B353" t="s">
        <v>2251</v>
      </c>
      <c r="C353">
        <v>47</v>
      </c>
      <c r="D353">
        <v>791008</v>
      </c>
      <c r="E353">
        <v>22085000</v>
      </c>
      <c r="F353">
        <v>1217960.45655954</v>
      </c>
      <c r="G353" s="55"/>
      <c r="H353" s="66" t="str">
        <f>IF(OR(LEFT(B353,FIND("_",B353,1)-1)="ULGALLOC",LEFT(B353,FIND("_",B353,1)-1)="ULSPOOL"),LEFT(B353,FIND("_",B353,1)-1),VLOOKUP(LEFT(A353,6),'Code Library'!$D$3:$E$200,2,0))&amp;"_"&amp;RIGHT(A353,3)</f>
        <v>HSWA_USD</v>
      </c>
      <c r="I353" s="66" t="str">
        <f t="shared" si="5"/>
        <v>ULHSWA_USD</v>
      </c>
    </row>
    <row r="354" spans="1:9">
      <c r="A354" t="s">
        <v>1009</v>
      </c>
      <c r="B354" t="s">
        <v>2585</v>
      </c>
      <c r="C354">
        <v>55</v>
      </c>
      <c r="D354">
        <v>1128008</v>
      </c>
      <c r="E354">
        <v>24485000</v>
      </c>
      <c r="F354">
        <v>2064593.0124801099</v>
      </c>
      <c r="G354" s="55"/>
      <c r="H354" s="66" t="str">
        <f>IF(OR(LEFT(B354,FIND("_",B354,1)-1)="ULGALLOC",LEFT(B354,FIND("_",B354,1)-1)="ULSPOOL"),LEFT(B354,FIND("_",B354,1)-1),VLOOKUP(LEFT(A354,6),'Code Library'!$D$3:$E$200,2,0))&amp;"_"&amp;RIGHT(A354,3)</f>
        <v>HSWA_USD</v>
      </c>
      <c r="I354" s="66" t="str">
        <f t="shared" si="5"/>
        <v>ULHSWA_USD</v>
      </c>
    </row>
    <row r="355" spans="1:9">
      <c r="A355" t="s">
        <v>1009</v>
      </c>
      <c r="B355" t="s">
        <v>2586</v>
      </c>
      <c r="C355">
        <v>3</v>
      </c>
      <c r="D355">
        <v>52000</v>
      </c>
      <c r="E355">
        <v>1140000</v>
      </c>
      <c r="F355">
        <v>35067</v>
      </c>
      <c r="G355" s="55"/>
      <c r="H355" s="66" t="str">
        <f>IF(OR(LEFT(B355,FIND("_",B355,1)-1)="ULGALLOC",LEFT(B355,FIND("_",B355,1)-1)="ULSPOOL"),LEFT(B355,FIND("_",B355,1)-1),VLOOKUP(LEFT(A355,6),'Code Library'!$D$3:$E$200,2,0))&amp;"_"&amp;RIGHT(A355,3)</f>
        <v>HSWA_USD</v>
      </c>
      <c r="I355" s="66" t="str">
        <f t="shared" si="5"/>
        <v>ULHSWA_USD</v>
      </c>
    </row>
    <row r="356" spans="1:9">
      <c r="A356" t="s">
        <v>1010</v>
      </c>
      <c r="B356" t="s">
        <v>1011</v>
      </c>
      <c r="C356">
        <v>7</v>
      </c>
      <c r="D356">
        <v>860000000</v>
      </c>
      <c r="E356">
        <v>1075000000</v>
      </c>
      <c r="F356">
        <v>884190274</v>
      </c>
      <c r="H356" s="66" t="str">
        <f>IF(OR(LEFT(B356,FIND("_",B356,1)-1)="ULGALLOC",LEFT(B356,FIND("_",B356,1)-1)="ULSPOOL"),LEFT(B356,FIND("_",B356,1)-1),VLOOKUP(LEFT(A356,6),'Code Library'!$D$3:$E$200,2,0))&amp;"_"&amp;RIGHT(A356,3)</f>
        <v>HTK_G_IDR</v>
      </c>
      <c r="I356" s="66" t="str">
        <f t="shared" si="5"/>
        <v>ULHTKG_IDR</v>
      </c>
    </row>
    <row r="357" spans="1:9">
      <c r="A357" t="s">
        <v>1012</v>
      </c>
      <c r="B357" t="s">
        <v>1013</v>
      </c>
      <c r="C357">
        <v>3</v>
      </c>
      <c r="D357">
        <v>1200000000</v>
      </c>
      <c r="E357">
        <v>1500000000</v>
      </c>
      <c r="F357">
        <v>81687683</v>
      </c>
      <c r="H357" s="66" t="str">
        <f>IF(OR(LEFT(B357,FIND("_",B357,1)-1)="ULGALLOC",LEFT(B357,FIND("_",B357,1)-1)="ULSPOOL"),LEFT(B357,FIND("_",B357,1)-1),VLOOKUP(LEFT(A357,6),'Code Library'!$D$3:$E$200,2,0))&amp;"_"&amp;RIGHT(A357,3)</f>
        <v>HTK_P_IDR</v>
      </c>
      <c r="I357" s="66" t="str">
        <f t="shared" si="5"/>
        <v>ULHTKP_IDR</v>
      </c>
    </row>
    <row r="358" spans="1:9">
      <c r="A358" t="s">
        <v>1014</v>
      </c>
      <c r="B358" t="s">
        <v>1015</v>
      </c>
      <c r="C358">
        <v>6</v>
      </c>
      <c r="D358">
        <v>200000000</v>
      </c>
      <c r="E358">
        <v>250000000</v>
      </c>
      <c r="F358">
        <v>272297686</v>
      </c>
      <c r="H358" s="66" t="str">
        <f>IF(OR(LEFT(B358,FIND("_",B358,1)-1)="ULGALLOC",LEFT(B358,FIND("_",B358,1)-1)="ULSPOOL"),LEFT(B358,FIND("_",B358,1)-1),VLOOKUP(LEFT(A358,6),'Code Library'!$D$3:$E$200,2,0))&amp;"_"&amp;RIGHT(A358,3)</f>
        <v>HTK_S_IDR</v>
      </c>
      <c r="I358" s="66" t="str">
        <f t="shared" si="5"/>
        <v>ULHTKS_IDR</v>
      </c>
    </row>
    <row r="359" spans="1:9">
      <c r="A359" t="s">
        <v>1016</v>
      </c>
      <c r="B359" t="s">
        <v>2252</v>
      </c>
      <c r="C359">
        <v>80</v>
      </c>
      <c r="D359">
        <v>4100000000</v>
      </c>
      <c r="E359">
        <v>8200000000</v>
      </c>
      <c r="F359">
        <v>47041370374.285698</v>
      </c>
      <c r="G359" s="55"/>
      <c r="H359" s="66" t="str">
        <f>IF(OR(LEFT(B359,FIND("_",B359,1)-1)="ULGALLOC",LEFT(B359,FIND("_",B359,1)-1)="ULSPOOL"),LEFT(B359,FIND("_",B359,1)-1),VLOOKUP(LEFT(A359,6),'Code Library'!$D$3:$E$200,2,0))&amp;"_"&amp;RIGHT(A359,3)</f>
        <v>HUWA_IDR</v>
      </c>
      <c r="I359" s="66" t="str">
        <f t="shared" si="5"/>
        <v>ULHUWA_IDR</v>
      </c>
    </row>
    <row r="360" spans="1:9">
      <c r="A360" t="s">
        <v>1016</v>
      </c>
      <c r="B360" t="s">
        <v>2587</v>
      </c>
      <c r="C360">
        <v>88</v>
      </c>
      <c r="D360">
        <v>5200000000</v>
      </c>
      <c r="E360">
        <v>10400000000</v>
      </c>
      <c r="F360">
        <v>28654867449.134998</v>
      </c>
      <c r="G360" s="55"/>
      <c r="H360" s="66" t="str">
        <f>IF(OR(LEFT(B360,FIND("_",B360,1)-1)="ULGALLOC",LEFT(B360,FIND("_",B360,1)-1)="ULSPOOL"),LEFT(B360,FIND("_",B360,1)-1),VLOOKUP(LEFT(A360,6),'Code Library'!$D$3:$E$200,2,0))&amp;"_"&amp;RIGHT(A360,3)</f>
        <v>HUWA_IDR</v>
      </c>
      <c r="I360" s="66" t="str">
        <f t="shared" si="5"/>
        <v>ULHUWA_IDR</v>
      </c>
    </row>
    <row r="361" spans="1:9">
      <c r="A361" t="s">
        <v>1016</v>
      </c>
      <c r="B361" t="s">
        <v>2588</v>
      </c>
      <c r="C361">
        <v>8</v>
      </c>
      <c r="D361">
        <v>400000000</v>
      </c>
      <c r="E361">
        <v>800000000</v>
      </c>
      <c r="F361">
        <v>9014111938.1045208</v>
      </c>
      <c r="G361" s="55"/>
      <c r="H361" s="66" t="str">
        <f>IF(OR(LEFT(B361,FIND("_",B361,1)-1)="ULGALLOC",LEFT(B361,FIND("_",B361,1)-1)="ULSPOOL"),LEFT(B361,FIND("_",B361,1)-1),VLOOKUP(LEFT(A361,6),'Code Library'!$D$3:$E$200,2,0))&amp;"_"&amp;RIGHT(A361,3)</f>
        <v>HUWA_IDR</v>
      </c>
      <c r="I361" s="66" t="str">
        <f t="shared" si="5"/>
        <v>ULHUWA_IDR</v>
      </c>
    </row>
    <row r="362" spans="1:9">
      <c r="A362" t="s">
        <v>1017</v>
      </c>
      <c r="B362" t="s">
        <v>1018</v>
      </c>
      <c r="C362">
        <v>508</v>
      </c>
      <c r="D362">
        <v>2540000</v>
      </c>
      <c r="E362">
        <v>5080000</v>
      </c>
      <c r="F362">
        <v>21061766.825327601</v>
      </c>
      <c r="G362" s="55"/>
      <c r="H362" s="66" t="str">
        <f>IF(OR(LEFT(B362,FIND("_",B362,1)-1)="ULGALLOC",LEFT(B362,FIND("_",B362,1)-1)="ULSPOOL"),LEFT(B362,FIND("_",B362,1)-1),VLOOKUP(LEFT(A362,6),'Code Library'!$D$3:$E$200,2,0))&amp;"_"&amp;RIGHT(A362,3)</f>
        <v>HUWA_USD</v>
      </c>
      <c r="I362" s="66" t="str">
        <f t="shared" si="5"/>
        <v>ULHUWA_USD</v>
      </c>
    </row>
    <row r="363" spans="1:9">
      <c r="A363" t="s">
        <v>1017</v>
      </c>
      <c r="B363" t="s">
        <v>1019</v>
      </c>
      <c r="C363">
        <v>21</v>
      </c>
      <c r="D363">
        <v>105000</v>
      </c>
      <c r="E363">
        <v>210000</v>
      </c>
      <c r="F363">
        <v>268118.37686150998</v>
      </c>
      <c r="H363" s="66" t="str">
        <f>IF(OR(LEFT(B363,FIND("_",B363,1)-1)="ULGALLOC",LEFT(B363,FIND("_",B363,1)-1)="ULSPOOL"),LEFT(B363,FIND("_",B363,1)-1),VLOOKUP(LEFT(A363,6),'Code Library'!$D$3:$E$200,2,0))&amp;"_"&amp;RIGHT(A363,3)</f>
        <v>HUWA_USD</v>
      </c>
      <c r="I363" s="66" t="str">
        <f t="shared" si="5"/>
        <v>ULHUWA_USD</v>
      </c>
    </row>
    <row r="364" spans="1:9">
      <c r="A364" t="s">
        <v>1017</v>
      </c>
      <c r="B364" t="s">
        <v>2253</v>
      </c>
      <c r="C364">
        <v>31</v>
      </c>
      <c r="D364">
        <v>155000</v>
      </c>
      <c r="E364">
        <v>960000</v>
      </c>
      <c r="F364">
        <v>906847.77298936003</v>
      </c>
      <c r="H364" s="66" t="str">
        <f>IF(OR(LEFT(B364,FIND("_",B364,1)-1)="ULGALLOC",LEFT(B364,FIND("_",B364,1)-1)="ULSPOOL"),LEFT(B364,FIND("_",B364,1)-1),VLOOKUP(LEFT(A364,6),'Code Library'!$D$3:$E$200,2,0))&amp;"_"&amp;RIGHT(A364,3)</f>
        <v>HUWA_USD</v>
      </c>
      <c r="I364" s="66" t="str">
        <f t="shared" si="5"/>
        <v>ULHUWA_USD</v>
      </c>
    </row>
    <row r="365" spans="1:9">
      <c r="A365" t="s">
        <v>1017</v>
      </c>
      <c r="B365" t="s">
        <v>2589</v>
      </c>
      <c r="C365">
        <v>311</v>
      </c>
      <c r="D365">
        <v>1694000</v>
      </c>
      <c r="E365">
        <v>11298000</v>
      </c>
      <c r="F365">
        <v>14981103.1191431</v>
      </c>
      <c r="H365" s="66" t="str">
        <f>IF(OR(LEFT(B365,FIND("_",B365,1)-1)="ULGALLOC",LEFT(B365,FIND("_",B365,1)-1)="ULSPOOL"),LEFT(B365,FIND("_",B365,1)-1),VLOOKUP(LEFT(A365,6),'Code Library'!$D$3:$E$200,2,0))&amp;"_"&amp;RIGHT(A365,3)</f>
        <v>HUWA_USD</v>
      </c>
      <c r="I365" s="66" t="str">
        <f t="shared" si="5"/>
        <v>ULHUWA_USD</v>
      </c>
    </row>
    <row r="366" spans="1:9">
      <c r="A366" t="s">
        <v>1017</v>
      </c>
      <c r="B366" t="s">
        <v>2590</v>
      </c>
      <c r="C366">
        <v>87</v>
      </c>
      <c r="D366">
        <v>435000</v>
      </c>
      <c r="E366">
        <v>3132000</v>
      </c>
      <c r="F366">
        <v>4071910.19524014</v>
      </c>
      <c r="H366" s="66" t="str">
        <f>IF(OR(LEFT(B366,FIND("_",B366,1)-1)="ULGALLOC",LEFT(B366,FIND("_",B366,1)-1)="ULSPOOL"),LEFT(B366,FIND("_",B366,1)-1),VLOOKUP(LEFT(A366,6),'Code Library'!$D$3:$E$200,2,0))&amp;"_"&amp;RIGHT(A366,3)</f>
        <v>HUWA_USD</v>
      </c>
      <c r="I366" s="66" t="str">
        <f t="shared" si="5"/>
        <v>ULHUWA_USD</v>
      </c>
    </row>
    <row r="367" spans="1:9">
      <c r="A367" t="s">
        <v>1020</v>
      </c>
      <c r="B367" t="s">
        <v>1021</v>
      </c>
      <c r="C367">
        <v>543</v>
      </c>
      <c r="D367">
        <v>25966183030</v>
      </c>
      <c r="E367">
        <v>39172884023</v>
      </c>
      <c r="F367">
        <v>24385776397.547901</v>
      </c>
      <c r="H367" s="66" t="str">
        <f>IF(OR(LEFT(B367,FIND("_",B367,1)-1)="ULGALLOC",LEFT(B367,FIND("_",B367,1)-1)="ULSPOOL"),LEFT(B367,FIND("_",B367,1)-1),VLOOKUP(LEFT(A367,6),'Code Library'!$D$3:$E$200,2,0))&amp;"_"&amp;RIGHT(A367,3)</f>
        <v>SLMA_IDR</v>
      </c>
      <c r="I367" s="66" t="str">
        <f t="shared" si="5"/>
        <v>ULMA___IDR</v>
      </c>
    </row>
    <row r="368" spans="1:9">
      <c r="A368" t="s">
        <v>1022</v>
      </c>
      <c r="B368" t="s">
        <v>1023</v>
      </c>
      <c r="C368">
        <v>66</v>
      </c>
      <c r="D368">
        <v>526900</v>
      </c>
      <c r="E368">
        <v>695325</v>
      </c>
      <c r="F368">
        <v>644414.94177559996</v>
      </c>
      <c r="H368" s="66" t="str">
        <f>IF(OR(LEFT(B368,FIND("_",B368,1)-1)="ULGALLOC",LEFT(B368,FIND("_",B368,1)-1)="ULSPOOL"),LEFT(B368,FIND("_",B368,1)-1),VLOOKUP(LEFT(A368,6),'Code Library'!$D$3:$E$200,2,0))&amp;"_"&amp;RIGHT(A368,3)</f>
        <v>SLMA_USD</v>
      </c>
      <c r="I368" s="66" t="str">
        <f t="shared" si="5"/>
        <v>ULMA___USD</v>
      </c>
    </row>
    <row r="369" spans="1:9">
      <c r="A369" t="s">
        <v>1024</v>
      </c>
      <c r="B369" t="s">
        <v>1025</v>
      </c>
      <c r="C369">
        <v>82</v>
      </c>
      <c r="D369">
        <v>4590300000</v>
      </c>
      <c r="E369">
        <v>7430875000</v>
      </c>
      <c r="F369">
        <v>7652757926.9150496</v>
      </c>
      <c r="H369" s="66" t="str">
        <f>IF(OR(LEFT(B369,FIND("_",B369,1)-1)="ULGALLOC",LEFT(B369,FIND("_",B369,1)-1)="ULSPOOL"),LEFT(B369,FIND("_",B369,1)-1),VLOOKUP(LEFT(A369,6),'Code Library'!$D$3:$E$200,2,0))&amp;"_"&amp;RIGHT(A369,3)</f>
        <v>SLMAP_IDR</v>
      </c>
      <c r="I369" s="66" t="str">
        <f t="shared" si="5"/>
        <v>ULMAP__IDR</v>
      </c>
    </row>
    <row r="370" spans="1:9">
      <c r="A370" t="s">
        <v>1026</v>
      </c>
      <c r="B370" t="s">
        <v>1027</v>
      </c>
      <c r="C370">
        <v>16</v>
      </c>
      <c r="D370">
        <v>167650</v>
      </c>
      <c r="E370">
        <v>227925</v>
      </c>
      <c r="F370">
        <v>413080.9777928</v>
      </c>
      <c r="H370" s="66" t="str">
        <f>IF(OR(LEFT(B370,FIND("_",B370,1)-1)="ULGALLOC",LEFT(B370,FIND("_",B370,1)-1)="ULSPOOL"),LEFT(B370,FIND("_",B370,1)-1),VLOOKUP(LEFT(A370,6),'Code Library'!$D$3:$E$200,2,0))&amp;"_"&amp;RIGHT(A370,3)</f>
        <v>SLMAP_USD</v>
      </c>
      <c r="I370" s="66" t="str">
        <f t="shared" si="5"/>
        <v>ULMAP__USD</v>
      </c>
    </row>
    <row r="371" spans="1:9">
      <c r="A371" t="s">
        <v>1028</v>
      </c>
      <c r="B371" t="s">
        <v>1029</v>
      </c>
      <c r="C371">
        <v>7</v>
      </c>
      <c r="D371">
        <v>22000000</v>
      </c>
      <c r="E371">
        <v>550000000</v>
      </c>
      <c r="F371">
        <v>310278277.41378498</v>
      </c>
      <c r="G371" s="55"/>
      <c r="H371" s="66" t="str">
        <f>IF(OR(LEFT(B371,FIND("_",B371,1)-1)="ULGALLOC",LEFT(B371,FIND("_",B371,1)-1)="ULSPOOL"),LEFT(B371,FIND("_",B371,1)-1),VLOOKUP(LEFT(A371,6),'Code Library'!$D$3:$E$200,2,0))&amp;"_"&amp;RIGHT(A371,3)</f>
        <v>SLME_IDR</v>
      </c>
      <c r="I371" s="66" t="str">
        <f t="shared" si="5"/>
        <v>ULME___IDR</v>
      </c>
    </row>
    <row r="372" spans="1:9">
      <c r="A372" t="s">
        <v>1030</v>
      </c>
      <c r="B372" t="s">
        <v>1031</v>
      </c>
      <c r="C372">
        <v>71</v>
      </c>
      <c r="D372">
        <v>274000000</v>
      </c>
      <c r="E372">
        <v>9160000000</v>
      </c>
      <c r="F372">
        <v>3415683027.7275701</v>
      </c>
      <c r="G372" s="55"/>
      <c r="H372" s="66" t="str">
        <f>IF(OR(LEFT(B372,FIND("_",B372,1)-1)="ULGALLOC",LEFT(B372,FIND("_",B372,1)-1)="ULSPOOL"),LEFT(B372,FIND("_",B372,1)-1),VLOOKUP(LEFT(A372,6),'Code Library'!$D$3:$E$200,2,0))&amp;"_"&amp;RIGHT(A372,3)</f>
        <v>SLML_IDR</v>
      </c>
      <c r="I372" s="66" t="str">
        <f t="shared" si="5"/>
        <v>ULML___IDR</v>
      </c>
    </row>
    <row r="373" spans="1:9">
      <c r="A373" t="s">
        <v>1032</v>
      </c>
      <c r="B373" t="s">
        <v>1033</v>
      </c>
      <c r="C373">
        <v>50</v>
      </c>
      <c r="D373">
        <v>2881999996</v>
      </c>
      <c r="E373">
        <v>44805000000</v>
      </c>
      <c r="F373">
        <v>5148080834.75037</v>
      </c>
      <c r="G373" s="55"/>
      <c r="H373" s="66" t="str">
        <f>IF(OR(LEFT(B373,FIND("_",B373,1)-1)="ULGALLOC",LEFT(B373,FIND("_",B373,1)-1)="ULSPOOL"),LEFT(B373,FIND("_",B373,1)-1),VLOOKUP(LEFT(A373,6),'Code Library'!$D$3:$E$200,2,0))&amp;"_"&amp;RIGHT(A373,3)</f>
        <v>MSMPB_IDR</v>
      </c>
      <c r="I373" s="66" t="str">
        <f t="shared" si="5"/>
        <v>ULMPB__IDR</v>
      </c>
    </row>
    <row r="374" spans="1:9">
      <c r="A374" t="s">
        <v>1032</v>
      </c>
      <c r="B374" t="s">
        <v>1034</v>
      </c>
      <c r="C374">
        <v>92</v>
      </c>
      <c r="D374">
        <v>4958999980</v>
      </c>
      <c r="E374">
        <v>51592000000</v>
      </c>
      <c r="F374">
        <v>13728166710.2757</v>
      </c>
      <c r="G374" s="55"/>
      <c r="H374" s="66" t="str">
        <f>IF(OR(LEFT(B374,FIND("_",B374,1)-1)="ULGALLOC",LEFT(B374,FIND("_",B374,1)-1)="ULSPOOL"),LEFT(B374,FIND("_",B374,1)-1),VLOOKUP(LEFT(A374,6),'Code Library'!$D$3:$E$200,2,0))&amp;"_"&amp;RIGHT(A374,3)</f>
        <v>MSMPB_IDR</v>
      </c>
      <c r="I374" s="66" t="str">
        <f t="shared" si="5"/>
        <v>ULMPB__IDR</v>
      </c>
    </row>
    <row r="375" spans="1:9">
      <c r="A375" t="s">
        <v>1032</v>
      </c>
      <c r="B375" t="s">
        <v>1035</v>
      </c>
      <c r="C375">
        <v>182</v>
      </c>
      <c r="D375">
        <v>9561199980</v>
      </c>
      <c r="E375">
        <v>104755000000</v>
      </c>
      <c r="F375">
        <v>27291482968.203201</v>
      </c>
      <c r="H375" s="66" t="str">
        <f>IF(OR(LEFT(B375,FIND("_",B375,1)-1)="ULGALLOC",LEFT(B375,FIND("_",B375,1)-1)="ULSPOOL"),LEFT(B375,FIND("_",B375,1)-1),VLOOKUP(LEFT(A375,6),'Code Library'!$D$3:$E$200,2,0))&amp;"_"&amp;RIGHT(A375,3)</f>
        <v>MSMPB_IDR</v>
      </c>
      <c r="I375" s="66" t="str">
        <f t="shared" si="5"/>
        <v>ULMPB__IDR</v>
      </c>
    </row>
    <row r="376" spans="1:9">
      <c r="A376" t="s">
        <v>1032</v>
      </c>
      <c r="B376" t="s">
        <v>1036</v>
      </c>
      <c r="C376">
        <v>171</v>
      </c>
      <c r="D376">
        <v>8986900004</v>
      </c>
      <c r="E376">
        <v>118935000000</v>
      </c>
      <c r="F376">
        <v>26412752725.219398</v>
      </c>
      <c r="H376" s="66" t="str">
        <f>IF(OR(LEFT(B376,FIND("_",B376,1)-1)="ULGALLOC",LEFT(B376,FIND("_",B376,1)-1)="ULSPOOL"),LEFT(B376,FIND("_",B376,1)-1),VLOOKUP(LEFT(A376,6),'Code Library'!$D$3:$E$200,2,0))&amp;"_"&amp;RIGHT(A376,3)</f>
        <v>MSMPB_IDR</v>
      </c>
      <c r="I376" s="66" t="str">
        <f t="shared" si="5"/>
        <v>ULMPB__IDR</v>
      </c>
    </row>
    <row r="377" spans="1:9">
      <c r="A377" t="s">
        <v>1032</v>
      </c>
      <c r="B377" t="s">
        <v>1037</v>
      </c>
      <c r="C377">
        <v>242</v>
      </c>
      <c r="D377">
        <v>9396999992</v>
      </c>
      <c r="E377">
        <v>118049000000</v>
      </c>
      <c r="F377">
        <v>35272601599.2836</v>
      </c>
      <c r="H377" s="66" t="str">
        <f>IF(OR(LEFT(B377,FIND("_",B377,1)-1)="ULGALLOC",LEFT(B377,FIND("_",B377,1)-1)="ULSPOOL"),LEFT(B377,FIND("_",B377,1)-1),VLOOKUP(LEFT(A377,6),'Code Library'!$D$3:$E$200,2,0))&amp;"_"&amp;RIGHT(A377,3)</f>
        <v>MSMPB_IDR</v>
      </c>
      <c r="I377" s="66" t="str">
        <f t="shared" si="5"/>
        <v>ULMPB__IDR</v>
      </c>
    </row>
    <row r="378" spans="1:9">
      <c r="A378" t="s">
        <v>1032</v>
      </c>
      <c r="B378" t="s">
        <v>1038</v>
      </c>
      <c r="C378">
        <v>356</v>
      </c>
      <c r="D378">
        <v>12995999996</v>
      </c>
      <c r="E378">
        <v>143220000000</v>
      </c>
      <c r="F378">
        <v>38663383956.778603</v>
      </c>
      <c r="H378" s="66" t="str">
        <f>IF(OR(LEFT(B378,FIND("_",B378,1)-1)="ULGALLOC",LEFT(B378,FIND("_",B378,1)-1)="ULSPOOL"),LEFT(B378,FIND("_",B378,1)-1),VLOOKUP(LEFT(A378,6),'Code Library'!$D$3:$E$200,2,0))&amp;"_"&amp;RIGHT(A378,3)</f>
        <v>MSMPB_IDR</v>
      </c>
      <c r="I378" s="66" t="str">
        <f t="shared" si="5"/>
        <v>ULMPB__IDR</v>
      </c>
    </row>
    <row r="379" spans="1:9">
      <c r="A379" t="s">
        <v>1032</v>
      </c>
      <c r="B379" t="s">
        <v>1039</v>
      </c>
      <c r="C379">
        <v>582</v>
      </c>
      <c r="D379">
        <v>27586999988</v>
      </c>
      <c r="E379">
        <v>303770000000</v>
      </c>
      <c r="F379">
        <v>80794275445.224106</v>
      </c>
      <c r="H379" s="66" t="str">
        <f>IF(OR(LEFT(B379,FIND("_",B379,1)-1)="ULGALLOC",LEFT(B379,FIND("_",B379,1)-1)="ULSPOOL"),LEFT(B379,FIND("_",B379,1)-1),VLOOKUP(LEFT(A379,6),'Code Library'!$D$3:$E$200,2,0))&amp;"_"&amp;RIGHT(A379,3)</f>
        <v>MSMPB_IDR</v>
      </c>
      <c r="I379" s="66" t="str">
        <f t="shared" si="5"/>
        <v>ULMPB__IDR</v>
      </c>
    </row>
    <row r="380" spans="1:9">
      <c r="A380" t="s">
        <v>1032</v>
      </c>
      <c r="B380" t="s">
        <v>2254</v>
      </c>
      <c r="C380">
        <v>150</v>
      </c>
      <c r="D380">
        <v>8144050000</v>
      </c>
      <c r="E380">
        <v>71630250000</v>
      </c>
      <c r="F380">
        <v>20300500320.2243</v>
      </c>
      <c r="G380" s="55"/>
      <c r="H380" s="66" t="str">
        <f>IF(OR(LEFT(B380,FIND("_",B380,1)-1)="ULGALLOC",LEFT(B380,FIND("_",B380,1)-1)="ULSPOOL"),LEFT(B380,FIND("_",B380,1)-1),VLOOKUP(LEFT(A380,6),'Code Library'!$D$3:$E$200,2,0))&amp;"_"&amp;RIGHT(A380,3)</f>
        <v>MSMPB_IDR</v>
      </c>
      <c r="I380" s="66" t="str">
        <f t="shared" si="5"/>
        <v>ULMPB__IDR</v>
      </c>
    </row>
    <row r="381" spans="1:9">
      <c r="A381" t="s">
        <v>1040</v>
      </c>
      <c r="B381" t="s">
        <v>2255</v>
      </c>
      <c r="C381">
        <v>516</v>
      </c>
      <c r="D381">
        <v>27128354996</v>
      </c>
      <c r="E381">
        <v>242623274980</v>
      </c>
      <c r="F381">
        <v>58399085333.071503</v>
      </c>
      <c r="H381" s="66" t="str">
        <f>IF(OR(LEFT(B381,FIND("_",B381,1)-1)="ULGALLOC",LEFT(B381,FIND("_",B381,1)-1)="ULSPOOL"),LEFT(B381,FIND("_",B381,1)-1),VLOOKUP(LEFT(A381,6),'Code Library'!$D$3:$E$200,2,0))&amp;"_"&amp;RIGHT(A381,3)</f>
        <v>MSPB2_IDR</v>
      </c>
      <c r="I381" s="66" t="str">
        <f t="shared" si="5"/>
        <v>ULMPB2_IDR</v>
      </c>
    </row>
    <row r="382" spans="1:9">
      <c r="A382" t="s">
        <v>1040</v>
      </c>
      <c r="B382" t="s">
        <v>2591</v>
      </c>
      <c r="C382">
        <v>451</v>
      </c>
      <c r="D382">
        <v>30043000008</v>
      </c>
      <c r="E382">
        <v>205080000000</v>
      </c>
      <c r="F382">
        <v>41784942136.6175</v>
      </c>
      <c r="H382" s="66" t="str">
        <f>IF(OR(LEFT(B382,FIND("_",B382,1)-1)="ULGALLOC",LEFT(B382,FIND("_",B382,1)-1)="ULSPOOL"),LEFT(B382,FIND("_",B382,1)-1),VLOOKUP(LEFT(A382,6),'Code Library'!$D$3:$E$200,2,0))&amp;"_"&amp;RIGHT(A382,3)</f>
        <v>MSPB2_IDR</v>
      </c>
      <c r="I382" s="66" t="str">
        <f t="shared" si="5"/>
        <v>ULMPB2_IDR</v>
      </c>
    </row>
    <row r="383" spans="1:9">
      <c r="A383" t="s">
        <v>1040</v>
      </c>
      <c r="B383" t="s">
        <v>2592</v>
      </c>
      <c r="C383">
        <v>27</v>
      </c>
      <c r="D383">
        <v>1898000000</v>
      </c>
      <c r="E383">
        <v>12375000000</v>
      </c>
      <c r="F383">
        <v>3338884302.3320298</v>
      </c>
      <c r="H383" s="66" t="str">
        <f>IF(OR(LEFT(B383,FIND("_",B383,1)-1)="ULGALLOC",LEFT(B383,FIND("_",B383,1)-1)="ULSPOOL"),LEFT(B383,FIND("_",B383,1)-1),VLOOKUP(LEFT(A383,6),'Code Library'!$D$3:$E$200,2,0))&amp;"_"&amp;RIGHT(A383,3)</f>
        <v>MSPB2_IDR</v>
      </c>
      <c r="I383" s="66" t="str">
        <f t="shared" si="5"/>
        <v>ULMPB2_IDR</v>
      </c>
    </row>
    <row r="384" spans="1:9">
      <c r="A384" t="s">
        <v>1041</v>
      </c>
      <c r="B384" t="s">
        <v>1042</v>
      </c>
      <c r="C384">
        <v>14</v>
      </c>
      <c r="D384">
        <v>370000000</v>
      </c>
      <c r="E384">
        <v>555000000</v>
      </c>
      <c r="F384">
        <v>3393635425.7176199</v>
      </c>
      <c r="H384" s="66" t="str">
        <f>IF(OR(LEFT(B384,FIND("_",B384,1)-1)="ULGALLOC",LEFT(B384,FIND("_",B384,1)-1)="ULSPOOL"),LEFT(B384,FIND("_",B384,1)-1),VLOOKUP(LEFT(A384,6),'Code Library'!$D$3:$E$200,2,0))&amp;"_"&amp;RIGHT(A384,3)</f>
        <v>MYPI_IDR</v>
      </c>
      <c r="I384" s="66" t="str">
        <f t="shared" si="5"/>
        <v>ULMPI__IDR</v>
      </c>
    </row>
    <row r="385" spans="1:9">
      <c r="A385" t="s">
        <v>1041</v>
      </c>
      <c r="B385" t="s">
        <v>1043</v>
      </c>
      <c r="C385">
        <v>41</v>
      </c>
      <c r="D385">
        <v>1236000000</v>
      </c>
      <c r="E385">
        <v>1854000000</v>
      </c>
      <c r="F385">
        <v>3216608499.2129998</v>
      </c>
      <c r="G385" s="55"/>
      <c r="H385" s="66" t="str">
        <f>IF(OR(LEFT(B385,FIND("_",B385,1)-1)="ULGALLOC",LEFT(B385,FIND("_",B385,1)-1)="ULSPOOL"),LEFT(B385,FIND("_",B385,1)-1),VLOOKUP(LEFT(A385,6),'Code Library'!$D$3:$E$200,2,0))&amp;"_"&amp;RIGHT(A385,3)</f>
        <v>MYPI_IDR</v>
      </c>
      <c r="I385" s="66" t="str">
        <f t="shared" si="5"/>
        <v>ULMPI__IDR</v>
      </c>
    </row>
    <row r="386" spans="1:9">
      <c r="A386" t="s">
        <v>1041</v>
      </c>
      <c r="B386" t="s">
        <v>1044</v>
      </c>
      <c r="C386">
        <v>49</v>
      </c>
      <c r="D386">
        <v>1069350000</v>
      </c>
      <c r="E386">
        <v>1604025000</v>
      </c>
      <c r="F386">
        <v>6594192635.6432695</v>
      </c>
      <c r="G386" s="55"/>
      <c r="H386" s="66" t="str">
        <f>IF(OR(LEFT(B386,FIND("_",B386,1)-1)="ULGALLOC",LEFT(B386,FIND("_",B386,1)-1)="ULSPOOL"),LEFT(B386,FIND("_",B386,1)-1),VLOOKUP(LEFT(A386,6),'Code Library'!$D$3:$E$200,2,0))&amp;"_"&amp;RIGHT(A386,3)</f>
        <v>MYPI_IDR</v>
      </c>
      <c r="I386" s="66" t="str">
        <f t="shared" si="5"/>
        <v>ULMPI__IDR</v>
      </c>
    </row>
    <row r="387" spans="1:9">
      <c r="A387" t="s">
        <v>1041</v>
      </c>
      <c r="B387" t="s">
        <v>1045</v>
      </c>
      <c r="C387">
        <v>109</v>
      </c>
      <c r="D387">
        <v>2705000000</v>
      </c>
      <c r="E387">
        <v>4057500000</v>
      </c>
      <c r="F387">
        <v>15952282637.152901</v>
      </c>
      <c r="G387" s="55"/>
      <c r="H387" s="66" t="str">
        <f>IF(OR(LEFT(B387,FIND("_",B387,1)-1)="ULGALLOC",LEFT(B387,FIND("_",B387,1)-1)="ULSPOOL"),LEFT(B387,FIND("_",B387,1)-1),VLOOKUP(LEFT(A387,6),'Code Library'!$D$3:$E$200,2,0))&amp;"_"&amp;RIGHT(A387,3)</f>
        <v>MYPI_IDR</v>
      </c>
      <c r="I387" s="66" t="str">
        <f t="shared" ref="I387:I450" si="6">A387</f>
        <v>ULMPI__IDR</v>
      </c>
    </row>
    <row r="388" spans="1:9">
      <c r="A388" t="s">
        <v>1041</v>
      </c>
      <c r="B388" t="s">
        <v>1046</v>
      </c>
      <c r="C388">
        <v>180</v>
      </c>
      <c r="D388">
        <v>3596000000</v>
      </c>
      <c r="E388">
        <v>5394000000</v>
      </c>
      <c r="F388">
        <v>32701629266.6035</v>
      </c>
      <c r="G388" s="55"/>
      <c r="H388" s="66" t="str">
        <f>IF(OR(LEFT(B388,FIND("_",B388,1)-1)="ULGALLOC",LEFT(B388,FIND("_",B388,1)-1)="ULSPOOL"),LEFT(B388,FIND("_",B388,1)-1),VLOOKUP(LEFT(A388,6),'Code Library'!$D$3:$E$200,2,0))&amp;"_"&amp;RIGHT(A388,3)</f>
        <v>MYPI_IDR</v>
      </c>
      <c r="I388" s="66" t="str">
        <f t="shared" si="6"/>
        <v>ULMPI__IDR</v>
      </c>
    </row>
    <row r="389" spans="1:9">
      <c r="A389" t="s">
        <v>1041</v>
      </c>
      <c r="B389" t="s">
        <v>1047</v>
      </c>
      <c r="C389">
        <v>297</v>
      </c>
      <c r="D389">
        <v>3793000000</v>
      </c>
      <c r="E389">
        <v>5689500000</v>
      </c>
      <c r="F389">
        <v>65841300339.893204</v>
      </c>
      <c r="G389" s="55"/>
      <c r="H389" s="66" t="str">
        <f>IF(OR(LEFT(B389,FIND("_",B389,1)-1)="ULGALLOC",LEFT(B389,FIND("_",B389,1)-1)="ULSPOOL"),LEFT(B389,FIND("_",B389,1)-1),VLOOKUP(LEFT(A389,6),'Code Library'!$D$3:$E$200,2,0))&amp;"_"&amp;RIGHT(A389,3)</f>
        <v>MYPI_IDR</v>
      </c>
      <c r="I389" s="66" t="str">
        <f t="shared" si="6"/>
        <v>ULMPI__IDR</v>
      </c>
    </row>
    <row r="390" spans="1:9">
      <c r="A390" t="s">
        <v>1041</v>
      </c>
      <c r="B390" t="s">
        <v>1048</v>
      </c>
      <c r="C390">
        <v>311</v>
      </c>
      <c r="D390">
        <v>4144500000</v>
      </c>
      <c r="E390">
        <v>6216750000</v>
      </c>
      <c r="F390">
        <v>78528233106.126495</v>
      </c>
      <c r="G390" s="55"/>
      <c r="H390" s="66" t="str">
        <f>IF(OR(LEFT(B390,FIND("_",B390,1)-1)="ULGALLOC",LEFT(B390,FIND("_",B390,1)-1)="ULSPOOL"),LEFT(B390,FIND("_",B390,1)-1),VLOOKUP(LEFT(A390,6),'Code Library'!$D$3:$E$200,2,0))&amp;"_"&amp;RIGHT(A390,3)</f>
        <v>MYPI_IDR</v>
      </c>
      <c r="I390" s="66" t="str">
        <f t="shared" si="6"/>
        <v>ULMPI__IDR</v>
      </c>
    </row>
    <row r="391" spans="1:9">
      <c r="A391" t="s">
        <v>1041</v>
      </c>
      <c r="B391" t="s">
        <v>2256</v>
      </c>
      <c r="C391">
        <v>37</v>
      </c>
      <c r="D391">
        <v>444000000</v>
      </c>
      <c r="E391">
        <v>666000000</v>
      </c>
      <c r="F391">
        <v>24311419514.560299</v>
      </c>
      <c r="G391" s="55"/>
      <c r="H391" s="66" t="str">
        <f>IF(OR(LEFT(B391,FIND("_",B391,1)-1)="ULGALLOC",LEFT(B391,FIND("_",B391,1)-1)="ULSPOOL"),LEFT(B391,FIND("_",B391,1)-1),VLOOKUP(LEFT(A391,6),'Code Library'!$D$3:$E$200,2,0))&amp;"_"&amp;RIGHT(A391,3)</f>
        <v>MYPI_IDR</v>
      </c>
      <c r="I391" s="66" t="str">
        <f t="shared" si="6"/>
        <v>ULMPI__IDR</v>
      </c>
    </row>
    <row r="392" spans="1:9">
      <c r="A392" t="s">
        <v>1049</v>
      </c>
      <c r="B392" t="s">
        <v>1050</v>
      </c>
      <c r="C392">
        <v>2</v>
      </c>
      <c r="D392">
        <v>2400</v>
      </c>
      <c r="E392">
        <v>3600</v>
      </c>
      <c r="F392">
        <v>14752.335268000001</v>
      </c>
      <c r="G392" s="55"/>
      <c r="H392" s="66" t="str">
        <f>IF(OR(LEFT(B392,FIND("_",B392,1)-1)="ULGALLOC",LEFT(B392,FIND("_",B392,1)-1)="ULSPOOL"),LEFT(B392,FIND("_",B392,1)-1),VLOOKUP(LEFT(A392,6),'Code Library'!$D$3:$E$200,2,0))&amp;"_"&amp;RIGHT(A392,3)</f>
        <v>MYPI_USD</v>
      </c>
      <c r="I392" s="66" t="str">
        <f t="shared" si="6"/>
        <v>ULMPI__USD</v>
      </c>
    </row>
    <row r="393" spans="1:9">
      <c r="A393" t="s">
        <v>1049</v>
      </c>
      <c r="B393" t="s">
        <v>1051</v>
      </c>
      <c r="C393">
        <v>13</v>
      </c>
      <c r="D393">
        <v>39000</v>
      </c>
      <c r="E393">
        <v>58500</v>
      </c>
      <c r="F393">
        <v>336308.58813653397</v>
      </c>
      <c r="G393" s="55"/>
      <c r="H393" s="66" t="str">
        <f>IF(OR(LEFT(B393,FIND("_",B393,1)-1)="ULGALLOC",LEFT(B393,FIND("_",B393,1)-1)="ULSPOOL"),LEFT(B393,FIND("_",B393,1)-1),VLOOKUP(LEFT(A393,6),'Code Library'!$D$3:$E$200,2,0))&amp;"_"&amp;RIGHT(A393,3)</f>
        <v>MYPI_USD</v>
      </c>
      <c r="I393" s="66" t="str">
        <f t="shared" si="6"/>
        <v>ULMPI__USD</v>
      </c>
    </row>
    <row r="394" spans="1:9">
      <c r="A394" t="s">
        <v>1049</v>
      </c>
      <c r="B394" t="s">
        <v>1052</v>
      </c>
      <c r="C394">
        <v>9</v>
      </c>
      <c r="D394">
        <v>33400</v>
      </c>
      <c r="E394">
        <v>50100</v>
      </c>
      <c r="F394">
        <v>165522.66057073799</v>
      </c>
      <c r="G394" s="55"/>
      <c r="H394" s="66" t="str">
        <f>IF(OR(LEFT(B394,FIND("_",B394,1)-1)="ULGALLOC",LEFT(B394,FIND("_",B394,1)-1)="ULSPOOL"),LEFT(B394,FIND("_",B394,1)-1),VLOOKUP(LEFT(A394,6),'Code Library'!$D$3:$E$200,2,0))&amp;"_"&amp;RIGHT(A394,3)</f>
        <v>MYPI_USD</v>
      </c>
      <c r="I394" s="66" t="str">
        <f t="shared" si="6"/>
        <v>ULMPI__USD</v>
      </c>
    </row>
    <row r="395" spans="1:9">
      <c r="A395" t="s">
        <v>1049</v>
      </c>
      <c r="B395" t="s">
        <v>1053</v>
      </c>
      <c r="C395">
        <v>59</v>
      </c>
      <c r="D395">
        <v>164400</v>
      </c>
      <c r="E395">
        <v>246600</v>
      </c>
      <c r="F395">
        <v>1229567.4081977601</v>
      </c>
      <c r="G395" s="55"/>
      <c r="H395" s="66" t="str">
        <f>IF(OR(LEFT(B395,FIND("_",B395,1)-1)="ULGALLOC",LEFT(B395,FIND("_",B395,1)-1)="ULSPOOL"),LEFT(B395,FIND("_",B395,1)-1),VLOOKUP(LEFT(A395,6),'Code Library'!$D$3:$E$200,2,0))&amp;"_"&amp;RIGHT(A395,3)</f>
        <v>MYPI_USD</v>
      </c>
      <c r="I395" s="66" t="str">
        <f t="shared" si="6"/>
        <v>ULMPI__USD</v>
      </c>
    </row>
    <row r="396" spans="1:9">
      <c r="A396" t="s">
        <v>1049</v>
      </c>
      <c r="B396" t="s">
        <v>1054</v>
      </c>
      <c r="C396">
        <v>181</v>
      </c>
      <c r="D396">
        <v>255400</v>
      </c>
      <c r="E396">
        <v>383100</v>
      </c>
      <c r="F396">
        <v>4506239.8847210901</v>
      </c>
      <c r="G396" s="55"/>
      <c r="H396" s="66" t="str">
        <f>IF(OR(LEFT(B396,FIND("_",B396,1)-1)="ULGALLOC",LEFT(B396,FIND("_",B396,1)-1)="ULSPOOL"),LEFT(B396,FIND("_",B396,1)-1),VLOOKUP(LEFT(A396,6),'Code Library'!$D$3:$E$200,2,0))&amp;"_"&amp;RIGHT(A396,3)</f>
        <v>MYPI_USD</v>
      </c>
      <c r="I396" s="66" t="str">
        <f t="shared" si="6"/>
        <v>ULMPI__USD</v>
      </c>
    </row>
    <row r="397" spans="1:9">
      <c r="A397" t="s">
        <v>1049</v>
      </c>
      <c r="B397" t="s">
        <v>1055</v>
      </c>
      <c r="C397">
        <v>290</v>
      </c>
      <c r="D397">
        <v>361900</v>
      </c>
      <c r="E397">
        <v>542850</v>
      </c>
      <c r="F397">
        <v>3390715.63124394</v>
      </c>
      <c r="G397" s="55"/>
      <c r="H397" s="66" t="str">
        <f>IF(OR(LEFT(B397,FIND("_",B397,1)-1)="ULGALLOC",LEFT(B397,FIND("_",B397,1)-1)="ULSPOOL"),LEFT(B397,FIND("_",B397,1)-1),VLOOKUP(LEFT(A397,6),'Code Library'!$D$3:$E$200,2,0))&amp;"_"&amp;RIGHT(A397,3)</f>
        <v>MYPI_USD</v>
      </c>
      <c r="I397" s="66" t="str">
        <f t="shared" si="6"/>
        <v>ULMPI__USD</v>
      </c>
    </row>
    <row r="398" spans="1:9">
      <c r="A398" t="s">
        <v>1049</v>
      </c>
      <c r="B398" t="s">
        <v>1056</v>
      </c>
      <c r="C398">
        <v>48</v>
      </c>
      <c r="D398">
        <v>57600</v>
      </c>
      <c r="E398">
        <v>86400</v>
      </c>
      <c r="F398">
        <v>613889.54309917998</v>
      </c>
      <c r="G398" s="55"/>
      <c r="H398" s="66" t="str">
        <f>IF(OR(LEFT(B398,FIND("_",B398,1)-1)="ULGALLOC",LEFT(B398,FIND("_",B398,1)-1)="ULSPOOL"),LEFT(B398,FIND("_",B398,1)-1),VLOOKUP(LEFT(A398,6),'Code Library'!$D$3:$E$200,2,0))&amp;"_"&amp;RIGHT(A398,3)</f>
        <v>MYPI_USD</v>
      </c>
      <c r="I398" s="66" t="str">
        <f t="shared" si="6"/>
        <v>ULMPI__USD</v>
      </c>
    </row>
    <row r="399" spans="1:9">
      <c r="A399" t="s">
        <v>1049</v>
      </c>
      <c r="B399" t="s">
        <v>2257</v>
      </c>
      <c r="C399">
        <v>7</v>
      </c>
      <c r="D399">
        <v>8400</v>
      </c>
      <c r="E399">
        <v>12600</v>
      </c>
      <c r="F399">
        <v>153184.47917471</v>
      </c>
      <c r="G399" s="55"/>
      <c r="H399" s="66" t="str">
        <f>IF(OR(LEFT(B399,FIND("_",B399,1)-1)="ULGALLOC",LEFT(B399,FIND("_",B399,1)-1)="ULSPOOL"),LEFT(B399,FIND("_",B399,1)-1),VLOOKUP(LEFT(A399,6),'Code Library'!$D$3:$E$200,2,0))&amp;"_"&amp;RIGHT(A399,3)</f>
        <v>MYPI_USD</v>
      </c>
      <c r="I399" s="66" t="str">
        <f t="shared" si="6"/>
        <v>ULMPI__USD</v>
      </c>
    </row>
    <row r="400" spans="1:9">
      <c r="A400" t="s">
        <v>1057</v>
      </c>
      <c r="B400" t="s">
        <v>2258</v>
      </c>
      <c r="C400">
        <v>218</v>
      </c>
      <c r="D400">
        <v>11650000000</v>
      </c>
      <c r="E400">
        <v>23300000000</v>
      </c>
      <c r="F400">
        <v>106800163518.159</v>
      </c>
      <c r="G400" s="55"/>
      <c r="H400" s="66" t="str">
        <f>IF(OR(LEFT(B400,FIND("_",B400,1)-1)="ULGALLOC",LEFT(B400,FIND("_",B400,1)-1)="ULSPOOL"),LEFT(B400,FIND("_",B400,1)-1),VLOOKUP(LEFT(A400,6),'Code Library'!$D$3:$E$200,2,0))&amp;"_"&amp;RIGHT(A400,3)</f>
        <v>MYPI2_IDR</v>
      </c>
      <c r="I400" s="66" t="str">
        <f t="shared" si="6"/>
        <v>ULMPI2_IDR</v>
      </c>
    </row>
    <row r="401" spans="1:9">
      <c r="A401" t="s">
        <v>1057</v>
      </c>
      <c r="B401" t="s">
        <v>2593</v>
      </c>
      <c r="C401">
        <v>230</v>
      </c>
      <c r="D401">
        <v>12500000000</v>
      </c>
      <c r="E401">
        <v>25000000000</v>
      </c>
      <c r="F401">
        <v>127326282986.02699</v>
      </c>
      <c r="G401" s="55"/>
      <c r="H401" s="66" t="str">
        <f>IF(OR(LEFT(B401,FIND("_",B401,1)-1)="ULGALLOC",LEFT(B401,FIND("_",B401,1)-1)="ULSPOOL"),LEFT(B401,FIND("_",B401,1)-1),VLOOKUP(LEFT(A401,6),'Code Library'!$D$3:$E$200,2,0))&amp;"_"&amp;RIGHT(A401,3)</f>
        <v>MYPI2_IDR</v>
      </c>
      <c r="I401" s="66" t="str">
        <f t="shared" si="6"/>
        <v>ULMPI2_IDR</v>
      </c>
    </row>
    <row r="402" spans="1:9">
      <c r="A402" t="s">
        <v>1057</v>
      </c>
      <c r="B402" t="s">
        <v>2594</v>
      </c>
      <c r="C402">
        <v>51</v>
      </c>
      <c r="D402">
        <v>2552000000</v>
      </c>
      <c r="E402">
        <v>5104000000</v>
      </c>
      <c r="F402">
        <v>23353720186.486099</v>
      </c>
      <c r="G402" s="55"/>
      <c r="H402" s="66" t="str">
        <f>IF(OR(LEFT(B402,FIND("_",B402,1)-1)="ULGALLOC",LEFT(B402,FIND("_",B402,1)-1)="ULSPOOL"),LEFT(B402,FIND("_",B402,1)-1),VLOOKUP(LEFT(A402,6),'Code Library'!$D$3:$E$200,2,0))&amp;"_"&amp;RIGHT(A402,3)</f>
        <v>MYPI2_IDR</v>
      </c>
      <c r="I402" s="66" t="str">
        <f t="shared" si="6"/>
        <v>ULMPI2_IDR</v>
      </c>
    </row>
    <row r="403" spans="1:9">
      <c r="A403" t="s">
        <v>1058</v>
      </c>
      <c r="B403" t="s">
        <v>2259</v>
      </c>
      <c r="C403">
        <v>8</v>
      </c>
      <c r="D403">
        <v>146000</v>
      </c>
      <c r="E403">
        <v>292000</v>
      </c>
      <c r="F403">
        <v>655634.10612720996</v>
      </c>
      <c r="G403" s="55"/>
      <c r="H403" s="66" t="str">
        <f>IF(OR(LEFT(B403,FIND("_",B403,1)-1)="ULGALLOC",LEFT(B403,FIND("_",B403,1)-1)="ULSPOOL"),LEFT(B403,FIND("_",B403,1)-1),VLOOKUP(LEFT(A403,6),'Code Library'!$D$3:$E$200,2,0))&amp;"_"&amp;RIGHT(A403,3)</f>
        <v>MYPI2_USD</v>
      </c>
      <c r="I403" s="66" t="str">
        <f t="shared" si="6"/>
        <v>ULMPI2_USD</v>
      </c>
    </row>
    <row r="404" spans="1:9">
      <c r="A404" t="s">
        <v>1058</v>
      </c>
      <c r="B404" t="s">
        <v>2595</v>
      </c>
      <c r="C404">
        <v>236</v>
      </c>
      <c r="D404">
        <v>4259000</v>
      </c>
      <c r="E404">
        <v>8518000</v>
      </c>
      <c r="F404">
        <v>13857876.3752416</v>
      </c>
      <c r="G404" s="55"/>
      <c r="H404" s="66" t="str">
        <f>IF(OR(LEFT(B404,FIND("_",B404,1)-1)="ULGALLOC",LEFT(B404,FIND("_",B404,1)-1)="ULSPOOL"),LEFT(B404,FIND("_",B404,1)-1),VLOOKUP(LEFT(A404,6),'Code Library'!$D$3:$E$200,2,0))&amp;"_"&amp;RIGHT(A404,3)</f>
        <v>MYPI2_USD</v>
      </c>
      <c r="I404" s="66" t="str">
        <f t="shared" si="6"/>
        <v>ULMPI2_USD</v>
      </c>
    </row>
    <row r="405" spans="1:9">
      <c r="A405" t="s">
        <v>1058</v>
      </c>
      <c r="B405" t="s">
        <v>2596</v>
      </c>
      <c r="C405">
        <v>48</v>
      </c>
      <c r="D405">
        <v>881000</v>
      </c>
      <c r="E405">
        <v>1762000</v>
      </c>
      <c r="F405">
        <v>2822440.6928168698</v>
      </c>
      <c r="G405" s="55"/>
      <c r="H405" s="66" t="str">
        <f>IF(OR(LEFT(B405,FIND("_",B405,1)-1)="ULGALLOC",LEFT(B405,FIND("_",B405,1)-1)="ULSPOOL"),LEFT(B405,FIND("_",B405,1)-1),VLOOKUP(LEFT(A405,6),'Code Library'!$D$3:$E$200,2,0))&amp;"_"&amp;RIGHT(A405,3)</f>
        <v>MYPI2_USD</v>
      </c>
      <c r="I405" s="66" t="str">
        <f t="shared" si="6"/>
        <v>ULMPI2_USD</v>
      </c>
    </row>
    <row r="406" spans="1:9">
      <c r="A406" t="s">
        <v>1059</v>
      </c>
      <c r="B406" t="s">
        <v>1060</v>
      </c>
      <c r="C406">
        <v>217</v>
      </c>
      <c r="D406">
        <v>34438000004</v>
      </c>
      <c r="E406">
        <v>1304795220012</v>
      </c>
      <c r="F406">
        <v>121049303165.65601</v>
      </c>
      <c r="G406" s="55"/>
      <c r="H406" s="66" t="str">
        <f>IF(OR(LEFT(B406,FIND("_",B406,1)-1)="ULGALLOC",LEFT(B406,FIND("_",B406,1)-1)="ULSPOOL"),LEFT(B406,FIND("_",B406,1)-1),VLOOKUP(LEFT(A406,6),'Code Library'!$D$3:$E$200,2,0))&amp;"_"&amp;RIGHT(A406,3)</f>
        <v>MPINF_IDR</v>
      </c>
      <c r="I406" s="66" t="str">
        <f t="shared" si="6"/>
        <v>ULMPIN_IDR</v>
      </c>
    </row>
    <row r="407" spans="1:9">
      <c r="A407" t="s">
        <v>1059</v>
      </c>
      <c r="B407" t="s">
        <v>1061</v>
      </c>
      <c r="C407">
        <v>143</v>
      </c>
      <c r="D407">
        <v>24037000000</v>
      </c>
      <c r="E407">
        <v>839020102213.19995</v>
      </c>
      <c r="F407">
        <v>82554757306.735001</v>
      </c>
      <c r="G407" s="55"/>
      <c r="H407" s="66" t="str">
        <f>IF(OR(LEFT(B407,FIND("_",B407,1)-1)="ULGALLOC",LEFT(B407,FIND("_",B407,1)-1)="ULSPOOL"),LEFT(B407,FIND("_",B407,1)-1),VLOOKUP(LEFT(A407,6),'Code Library'!$D$3:$E$200,2,0))&amp;"_"&amp;RIGHT(A407,3)</f>
        <v>MPINF_IDR</v>
      </c>
      <c r="I407" s="66" t="str">
        <f t="shared" si="6"/>
        <v>ULMPIN_IDR</v>
      </c>
    </row>
    <row r="408" spans="1:9">
      <c r="A408" t="s">
        <v>1059</v>
      </c>
      <c r="B408" t="s">
        <v>1062</v>
      </c>
      <c r="C408">
        <v>137</v>
      </c>
      <c r="D408">
        <v>23476999996</v>
      </c>
      <c r="E408">
        <v>761749997836</v>
      </c>
      <c r="F408">
        <v>67153342282.187103</v>
      </c>
      <c r="G408" s="55"/>
      <c r="H408" s="66" t="str">
        <f>IF(OR(LEFT(B408,FIND("_",B408,1)-1)="ULGALLOC",LEFT(B408,FIND("_",B408,1)-1)="ULSPOOL"),LEFT(B408,FIND("_",B408,1)-1),VLOOKUP(LEFT(A408,6),'Code Library'!$D$3:$E$200,2,0))&amp;"_"&amp;RIGHT(A408,3)</f>
        <v>MPINF_IDR</v>
      </c>
      <c r="I408" s="66" t="str">
        <f t="shared" si="6"/>
        <v>ULMPIN_IDR</v>
      </c>
    </row>
    <row r="409" spans="1:9">
      <c r="A409" t="s">
        <v>1059</v>
      </c>
      <c r="B409" t="s">
        <v>2260</v>
      </c>
      <c r="C409">
        <v>23</v>
      </c>
      <c r="D409">
        <v>4294999996</v>
      </c>
      <c r="E409">
        <v>144000000000</v>
      </c>
      <c r="F409">
        <v>9115759871.4591503</v>
      </c>
      <c r="G409" s="55"/>
      <c r="H409" s="66" t="str">
        <f>IF(OR(LEFT(B409,FIND("_",B409,1)-1)="ULGALLOC",LEFT(B409,FIND("_",B409,1)-1)="ULSPOOL"),LEFT(B409,FIND("_",B409,1)-1),VLOOKUP(LEFT(A409,6),'Code Library'!$D$3:$E$200,2,0))&amp;"_"&amp;RIGHT(A409,3)</f>
        <v>MPINF_IDR</v>
      </c>
      <c r="I409" s="66" t="str">
        <f t="shared" si="6"/>
        <v>ULMPIN_IDR</v>
      </c>
    </row>
    <row r="410" spans="1:9">
      <c r="A410" t="s">
        <v>1063</v>
      </c>
      <c r="B410" t="s">
        <v>1064</v>
      </c>
      <c r="C410">
        <v>141</v>
      </c>
      <c r="D410">
        <v>2190050</v>
      </c>
      <c r="E410">
        <v>59053903.004000001</v>
      </c>
      <c r="F410">
        <v>8426015.3753252793</v>
      </c>
      <c r="G410" s="55"/>
      <c r="H410" s="66" t="str">
        <f>IF(OR(LEFT(B410,FIND("_",B410,1)-1)="ULGALLOC",LEFT(B410,FIND("_",B410,1)-1)="ULSPOOL"),LEFT(B410,FIND("_",B410,1)-1),VLOOKUP(LEFT(A410,6),'Code Library'!$D$3:$E$200,2,0))&amp;"_"&amp;RIGHT(A410,3)</f>
        <v>MPINF_USD</v>
      </c>
      <c r="I410" s="66" t="str">
        <f t="shared" si="6"/>
        <v>ULMPIN_USD</v>
      </c>
    </row>
    <row r="411" spans="1:9">
      <c r="A411" t="s">
        <v>1063</v>
      </c>
      <c r="B411" t="s">
        <v>1065</v>
      </c>
      <c r="C411">
        <v>98</v>
      </c>
      <c r="D411">
        <v>1652004</v>
      </c>
      <c r="E411">
        <v>38512559.104000002</v>
      </c>
      <c r="F411">
        <v>6070830.8732986301</v>
      </c>
      <c r="G411" s="55"/>
      <c r="H411" s="66" t="str">
        <f>IF(OR(LEFT(B411,FIND("_",B411,1)-1)="ULGALLOC",LEFT(B411,FIND("_",B411,1)-1)="ULSPOOL"),LEFT(B411,FIND("_",B411,1)-1),VLOOKUP(LEFT(A411,6),'Code Library'!$D$3:$E$200,2,0))&amp;"_"&amp;RIGHT(A411,3)</f>
        <v>MPINF_USD</v>
      </c>
      <c r="I411" s="66" t="str">
        <f t="shared" si="6"/>
        <v>ULMPIN_USD</v>
      </c>
    </row>
    <row r="412" spans="1:9">
      <c r="A412" t="s">
        <v>1063</v>
      </c>
      <c r="B412" t="s">
        <v>1066</v>
      </c>
      <c r="C412">
        <v>25</v>
      </c>
      <c r="D412">
        <v>530304</v>
      </c>
      <c r="E412">
        <v>12501872.449999999</v>
      </c>
      <c r="F412">
        <v>2492404.4043914601</v>
      </c>
      <c r="H412" s="66" t="str">
        <f>IF(OR(LEFT(B412,FIND("_",B412,1)-1)="ULGALLOC",LEFT(B412,FIND("_",B412,1)-1)="ULSPOOL"),LEFT(B412,FIND("_",B412,1)-1),VLOOKUP(LEFT(A412,6),'Code Library'!$D$3:$E$200,2,0))&amp;"_"&amp;RIGHT(A412,3)</f>
        <v>MPINF_USD</v>
      </c>
      <c r="I412" s="66" t="str">
        <f t="shared" si="6"/>
        <v>ULMPIN_USD</v>
      </c>
    </row>
    <row r="413" spans="1:9">
      <c r="A413" t="s">
        <v>1063</v>
      </c>
      <c r="B413" t="s">
        <v>2261</v>
      </c>
      <c r="C413">
        <v>5</v>
      </c>
      <c r="D413">
        <v>112000</v>
      </c>
      <c r="E413">
        <v>1900000</v>
      </c>
      <c r="F413">
        <v>278789.48723570001</v>
      </c>
      <c r="H413" s="66" t="str">
        <f>IF(OR(LEFT(B413,FIND("_",B413,1)-1)="ULGALLOC",LEFT(B413,FIND("_",B413,1)-1)="ULSPOOL"),LEFT(B413,FIND("_",B413,1)-1),VLOOKUP(LEFT(A413,6),'Code Library'!$D$3:$E$200,2,0))&amp;"_"&amp;RIGHT(A413,3)</f>
        <v>MPINF_USD</v>
      </c>
      <c r="I413" s="66" t="str">
        <f t="shared" si="6"/>
        <v>ULMPIN_USD</v>
      </c>
    </row>
    <row r="414" spans="1:9">
      <c r="A414" t="s">
        <v>1067</v>
      </c>
      <c r="B414" t="s">
        <v>2262</v>
      </c>
      <c r="C414">
        <v>54</v>
      </c>
      <c r="D414">
        <v>10870000000</v>
      </c>
      <c r="E414">
        <v>331688305012</v>
      </c>
      <c r="F414">
        <v>23782472135.684299</v>
      </c>
      <c r="G414" s="55"/>
      <c r="H414" s="66" t="str">
        <f>IF(OR(LEFT(B414,FIND("_",B414,1)-1)="ULGALLOC",LEFT(B414,FIND("_",B414,1)-1)="ULSPOOL"),LEFT(B414,FIND("_",B414,1)-1),VLOOKUP(LEFT(A414,6),'Code Library'!$D$3:$E$200,2,0))&amp;"_"&amp;RIGHT(A414,3)</f>
        <v>MPIN2_IDR</v>
      </c>
      <c r="I414" s="66" t="str">
        <f t="shared" si="6"/>
        <v>ULMPN2_IDR</v>
      </c>
    </row>
    <row r="415" spans="1:9">
      <c r="A415" t="s">
        <v>1067</v>
      </c>
      <c r="B415" t="s">
        <v>2597</v>
      </c>
      <c r="C415">
        <v>19</v>
      </c>
      <c r="D415">
        <v>2900000000</v>
      </c>
      <c r="E415">
        <v>124000000000</v>
      </c>
      <c r="F415">
        <v>2936549140.83534</v>
      </c>
      <c r="G415" s="55"/>
      <c r="H415" s="66" t="str">
        <f>IF(OR(LEFT(B415,FIND("_",B415,1)-1)="ULGALLOC",LEFT(B415,FIND("_",B415,1)-1)="ULSPOOL"),LEFT(B415,FIND("_",B415,1)-1),VLOOKUP(LEFT(A415,6),'Code Library'!$D$3:$E$200,2,0))&amp;"_"&amp;RIGHT(A415,3)</f>
        <v>MPIN2_IDR</v>
      </c>
      <c r="I415" s="66" t="str">
        <f t="shared" si="6"/>
        <v>ULMPN2_IDR</v>
      </c>
    </row>
    <row r="416" spans="1:9">
      <c r="A416" t="s">
        <v>1067</v>
      </c>
      <c r="B416" t="s">
        <v>2598</v>
      </c>
      <c r="C416">
        <v>1</v>
      </c>
      <c r="D416">
        <v>120000000</v>
      </c>
      <c r="E416">
        <v>5000000000</v>
      </c>
      <c r="F416">
        <v>81318540</v>
      </c>
      <c r="G416" s="55"/>
      <c r="H416" s="66" t="str">
        <f>IF(OR(LEFT(B416,FIND("_",B416,1)-1)="ULGALLOC",LEFT(B416,FIND("_",B416,1)-1)="ULSPOOL"),LEFT(B416,FIND("_",B416,1)-1),VLOOKUP(LEFT(A416,6),'Code Library'!$D$3:$E$200,2,0))&amp;"_"&amp;RIGHT(A416,3)</f>
        <v>MPIN2_IDR</v>
      </c>
      <c r="I416" s="66" t="str">
        <f t="shared" si="6"/>
        <v>ULMPN2_IDR</v>
      </c>
    </row>
    <row r="417" spans="1:9">
      <c r="A417" t="s">
        <v>1068</v>
      </c>
      <c r="B417" t="s">
        <v>2263</v>
      </c>
      <c r="C417">
        <v>9</v>
      </c>
      <c r="D417">
        <v>155000</v>
      </c>
      <c r="E417">
        <v>3420000</v>
      </c>
      <c r="F417">
        <v>352808.26532533998</v>
      </c>
      <c r="H417" s="66" t="str">
        <f>IF(OR(LEFT(B417,FIND("_",B417,1)-1)="ULGALLOC",LEFT(B417,FIND("_",B417,1)-1)="ULSPOOL"),LEFT(B417,FIND("_",B417,1)-1),VLOOKUP(LEFT(A417,6),'Code Library'!$D$3:$E$200,2,0))&amp;"_"&amp;RIGHT(A417,3)</f>
        <v>MPIN2_USD</v>
      </c>
      <c r="I417" s="66" t="str">
        <f t="shared" si="6"/>
        <v>ULMPN2_USD</v>
      </c>
    </row>
    <row r="418" spans="1:9">
      <c r="A418" t="s">
        <v>1068</v>
      </c>
      <c r="B418" t="s">
        <v>2599</v>
      </c>
      <c r="C418">
        <v>4</v>
      </c>
      <c r="D418">
        <v>51000</v>
      </c>
      <c r="E418">
        <v>1740000</v>
      </c>
      <c r="F418">
        <v>26786</v>
      </c>
      <c r="H418" s="66" t="str">
        <f>IF(OR(LEFT(B418,FIND("_",B418,1)-1)="ULGALLOC",LEFT(B418,FIND("_",B418,1)-1)="ULSPOOL"),LEFT(B418,FIND("_",B418,1)-1),VLOOKUP(LEFT(A418,6),'Code Library'!$D$3:$E$200,2,0))&amp;"_"&amp;RIGHT(A418,3)</f>
        <v>MPIN2_USD</v>
      </c>
      <c r="I418" s="66" t="str">
        <f t="shared" si="6"/>
        <v>ULMPN2_USD</v>
      </c>
    </row>
    <row r="419" spans="1:9">
      <c r="A419" t="s">
        <v>1069</v>
      </c>
      <c r="B419" t="s">
        <v>1070</v>
      </c>
      <c r="C419">
        <v>197</v>
      </c>
      <c r="D419">
        <v>11172000996</v>
      </c>
      <c r="E419">
        <v>205940000000</v>
      </c>
      <c r="F419">
        <v>28610986219.210701</v>
      </c>
      <c r="H419" s="66" t="str">
        <f>IF(OR(LEFT(B419,FIND("_",B419,1)-1)="ULGALLOC",LEFT(B419,FIND("_",B419,1)-1)="ULSPOOL"),LEFT(B419,FIND("_",B419,1)-1),VLOOKUP(LEFT(A419,6),'Code Library'!$D$3:$E$200,2,0))&amp;"_"&amp;RIGHT(A419,3)</f>
        <v>MYMPP_IDR</v>
      </c>
      <c r="I419" s="66" t="str">
        <f t="shared" si="6"/>
        <v>ULMPP__IDR</v>
      </c>
    </row>
    <row r="420" spans="1:9">
      <c r="A420" t="s">
        <v>1069</v>
      </c>
      <c r="B420" t="s">
        <v>1071</v>
      </c>
      <c r="C420">
        <v>477</v>
      </c>
      <c r="D420">
        <v>26554519928</v>
      </c>
      <c r="E420">
        <v>406541000000</v>
      </c>
      <c r="F420">
        <v>76007104648.709702</v>
      </c>
      <c r="G420" s="55"/>
      <c r="H420" s="66" t="str">
        <f>IF(OR(LEFT(B420,FIND("_",B420,1)-1)="ULGALLOC",LEFT(B420,FIND("_",B420,1)-1)="ULSPOOL"),LEFT(B420,FIND("_",B420,1)-1),VLOOKUP(LEFT(A420,6),'Code Library'!$D$3:$E$200,2,0))&amp;"_"&amp;RIGHT(A420,3)</f>
        <v>MYMPP_IDR</v>
      </c>
      <c r="I420" s="66" t="str">
        <f t="shared" si="6"/>
        <v>ULMPP__IDR</v>
      </c>
    </row>
    <row r="421" spans="1:9">
      <c r="A421" t="s">
        <v>1069</v>
      </c>
      <c r="B421" t="s">
        <v>1072</v>
      </c>
      <c r="C421">
        <v>597</v>
      </c>
      <c r="D421">
        <v>27207899864</v>
      </c>
      <c r="E421">
        <v>471462000000</v>
      </c>
      <c r="F421">
        <v>113390964530.729</v>
      </c>
      <c r="G421" s="55"/>
      <c r="H421" s="66" t="str">
        <f>IF(OR(LEFT(B421,FIND("_",B421,1)-1)="ULGALLOC",LEFT(B421,FIND("_",B421,1)-1)="ULSPOOL"),LEFT(B421,FIND("_",B421,1)-1),VLOOKUP(LEFT(A421,6),'Code Library'!$D$3:$E$200,2,0))&amp;"_"&amp;RIGHT(A421,3)</f>
        <v>MYMPP_IDR</v>
      </c>
      <c r="I421" s="66" t="str">
        <f t="shared" si="6"/>
        <v>ULMPP__IDR</v>
      </c>
    </row>
    <row r="422" spans="1:9">
      <c r="A422" t="s">
        <v>1069</v>
      </c>
      <c r="B422" t="s">
        <v>1073</v>
      </c>
      <c r="C422">
        <v>772</v>
      </c>
      <c r="D422">
        <v>35277000024</v>
      </c>
      <c r="E422">
        <v>628070000020</v>
      </c>
      <c r="F422">
        <v>101515975677.61501</v>
      </c>
      <c r="G422" s="55"/>
      <c r="H422" s="66" t="str">
        <f>IF(OR(LEFT(B422,FIND("_",B422,1)-1)="ULGALLOC",LEFT(B422,FIND("_",B422,1)-1)="ULSPOOL"),LEFT(B422,FIND("_",B422,1)-1),VLOOKUP(LEFT(A422,6),'Code Library'!$D$3:$E$200,2,0))&amp;"_"&amp;RIGHT(A422,3)</f>
        <v>MYMPP_IDR</v>
      </c>
      <c r="I422" s="66" t="str">
        <f t="shared" si="6"/>
        <v>ULMPP__IDR</v>
      </c>
    </row>
    <row r="423" spans="1:9">
      <c r="A423" t="s">
        <v>1069</v>
      </c>
      <c r="B423" t="s">
        <v>1074</v>
      </c>
      <c r="C423">
        <v>653</v>
      </c>
      <c r="D423">
        <v>26635699968</v>
      </c>
      <c r="E423">
        <v>378490000000</v>
      </c>
      <c r="F423">
        <v>86276481740.584396</v>
      </c>
      <c r="H423" s="66" t="str">
        <f>IF(OR(LEFT(B423,FIND("_",B423,1)-1)="ULGALLOC",LEFT(B423,FIND("_",B423,1)-1)="ULSPOOL"),LEFT(B423,FIND("_",B423,1)-1),VLOOKUP(LEFT(A423,6),'Code Library'!$D$3:$E$200,2,0))&amp;"_"&amp;RIGHT(A423,3)</f>
        <v>MYMPP_IDR</v>
      </c>
      <c r="I423" s="66" t="str">
        <f t="shared" si="6"/>
        <v>ULMPP__IDR</v>
      </c>
    </row>
    <row r="424" spans="1:9">
      <c r="A424" t="s">
        <v>1069</v>
      </c>
      <c r="B424" t="s">
        <v>1075</v>
      </c>
      <c r="C424">
        <v>854</v>
      </c>
      <c r="D424">
        <v>33928307944</v>
      </c>
      <c r="E424">
        <v>437140000000</v>
      </c>
      <c r="F424">
        <v>116503879727.821</v>
      </c>
      <c r="H424" s="66" t="str">
        <f>IF(OR(LEFT(B424,FIND("_",B424,1)-1)="ULGALLOC",LEFT(B424,FIND("_",B424,1)-1)="ULSPOOL"),LEFT(B424,FIND("_",B424,1)-1),VLOOKUP(LEFT(A424,6),'Code Library'!$D$3:$E$200,2,0))&amp;"_"&amp;RIGHT(A424,3)</f>
        <v>MYMPP_IDR</v>
      </c>
      <c r="I424" s="66" t="str">
        <f t="shared" si="6"/>
        <v>ULMPP__IDR</v>
      </c>
    </row>
    <row r="425" spans="1:9">
      <c r="A425" t="s">
        <v>1069</v>
      </c>
      <c r="B425" t="s">
        <v>1076</v>
      </c>
      <c r="C425">
        <v>637</v>
      </c>
      <c r="D425">
        <v>27922499936</v>
      </c>
      <c r="E425">
        <v>380794000000</v>
      </c>
      <c r="F425">
        <v>108761580066.644</v>
      </c>
      <c r="G425" s="55"/>
      <c r="H425" s="66" t="str">
        <f>IF(OR(LEFT(B425,FIND("_",B425,1)-1)="ULGALLOC",LEFT(B425,FIND("_",B425,1)-1)="ULSPOOL"),LEFT(B425,FIND("_",B425,1)-1),VLOOKUP(LEFT(A425,6),'Code Library'!$D$3:$E$200,2,0))&amp;"_"&amp;RIGHT(A425,3)</f>
        <v>MYMPP_IDR</v>
      </c>
      <c r="I425" s="66" t="str">
        <f t="shared" si="6"/>
        <v>ULMPP__IDR</v>
      </c>
    </row>
    <row r="426" spans="1:9">
      <c r="A426" t="s">
        <v>1069</v>
      </c>
      <c r="B426" t="s">
        <v>2264</v>
      </c>
      <c r="C426">
        <v>78</v>
      </c>
      <c r="D426">
        <v>3718100004</v>
      </c>
      <c r="E426">
        <v>51970000000</v>
      </c>
      <c r="F426">
        <v>5194812678.4907398</v>
      </c>
      <c r="H426" s="66" t="str">
        <f>IF(OR(LEFT(B426,FIND("_",B426,1)-1)="ULGALLOC",LEFT(B426,FIND("_",B426,1)-1)="ULSPOOL"),LEFT(B426,FIND("_",B426,1)-1),VLOOKUP(LEFT(A426,6),'Code Library'!$D$3:$E$200,2,0))&amp;"_"&amp;RIGHT(A426,3)</f>
        <v>MYMPP_IDR</v>
      </c>
      <c r="I426" s="66" t="str">
        <f t="shared" si="6"/>
        <v>ULMPP__IDR</v>
      </c>
    </row>
    <row r="427" spans="1:9">
      <c r="A427" t="s">
        <v>1077</v>
      </c>
      <c r="B427" t="s">
        <v>1078</v>
      </c>
      <c r="C427">
        <v>13</v>
      </c>
      <c r="D427">
        <v>114996</v>
      </c>
      <c r="E427">
        <v>1330000</v>
      </c>
      <c r="F427">
        <v>309701.94864598499</v>
      </c>
      <c r="H427" s="66" t="str">
        <f>IF(OR(LEFT(B427,FIND("_",B427,1)-1)="ULGALLOC",LEFT(B427,FIND("_",B427,1)-1)="ULSPOOL"),LEFT(B427,FIND("_",B427,1)-1),VLOOKUP(LEFT(A427,6),'Code Library'!$D$3:$E$200,2,0))&amp;"_"&amp;RIGHT(A427,3)</f>
        <v>MYMPP_USD</v>
      </c>
      <c r="I427" s="66" t="str">
        <f t="shared" si="6"/>
        <v>ULMPP__USD</v>
      </c>
    </row>
    <row r="428" spans="1:9">
      <c r="A428" t="s">
        <v>1077</v>
      </c>
      <c r="B428" t="s">
        <v>1079</v>
      </c>
      <c r="C428">
        <v>28</v>
      </c>
      <c r="D428">
        <v>160992</v>
      </c>
      <c r="E428">
        <v>1275000</v>
      </c>
      <c r="F428">
        <v>630484.31104120903</v>
      </c>
      <c r="G428" s="55"/>
      <c r="H428" s="66" t="str">
        <f>IF(OR(LEFT(B428,FIND("_",B428,1)-1)="ULGALLOC",LEFT(B428,FIND("_",B428,1)-1)="ULSPOOL"),LEFT(B428,FIND("_",B428,1)-1),VLOOKUP(LEFT(A428,6),'Code Library'!$D$3:$E$200,2,0))&amp;"_"&amp;RIGHT(A428,3)</f>
        <v>MYMPP_USD</v>
      </c>
      <c r="I428" s="66" t="str">
        <f t="shared" si="6"/>
        <v>ULMPP__USD</v>
      </c>
    </row>
    <row r="429" spans="1:9">
      <c r="A429" t="s">
        <v>1077</v>
      </c>
      <c r="B429" t="s">
        <v>1080</v>
      </c>
      <c r="C429">
        <v>27</v>
      </c>
      <c r="D429">
        <v>125500</v>
      </c>
      <c r="E429">
        <v>759000</v>
      </c>
      <c r="F429">
        <v>716264.60921639099</v>
      </c>
      <c r="G429" s="55"/>
      <c r="H429" s="66" t="str">
        <f>IF(OR(LEFT(B429,FIND("_",B429,1)-1)="ULGALLOC",LEFT(B429,FIND("_",B429,1)-1)="ULSPOOL"),LEFT(B429,FIND("_",B429,1)-1),VLOOKUP(LEFT(A429,6),'Code Library'!$D$3:$E$200,2,0))&amp;"_"&amp;RIGHT(A429,3)</f>
        <v>MYMPP_USD</v>
      </c>
      <c r="I429" s="66" t="str">
        <f t="shared" si="6"/>
        <v>ULMPP__USD</v>
      </c>
    </row>
    <row r="430" spans="1:9">
      <c r="A430" t="s">
        <v>1077</v>
      </c>
      <c r="B430" t="s">
        <v>1081</v>
      </c>
      <c r="C430">
        <v>67</v>
      </c>
      <c r="D430">
        <v>407500</v>
      </c>
      <c r="E430">
        <v>2715000</v>
      </c>
      <c r="F430">
        <v>1543128.5207525699</v>
      </c>
      <c r="G430" s="55"/>
      <c r="H430" s="66" t="str">
        <f>IF(OR(LEFT(B430,FIND("_",B430,1)-1)="ULGALLOC",LEFT(B430,FIND("_",B430,1)-1)="ULSPOOL"),LEFT(B430,FIND("_",B430,1)-1),VLOOKUP(LEFT(A430,6),'Code Library'!$D$3:$E$200,2,0))&amp;"_"&amp;RIGHT(A430,3)</f>
        <v>MYMPP_USD</v>
      </c>
      <c r="I430" s="66" t="str">
        <f t="shared" si="6"/>
        <v>ULMPP__USD</v>
      </c>
    </row>
    <row r="431" spans="1:9">
      <c r="A431" t="s">
        <v>1077</v>
      </c>
      <c r="B431" t="s">
        <v>1082</v>
      </c>
      <c r="C431">
        <v>171</v>
      </c>
      <c r="D431">
        <v>671300</v>
      </c>
      <c r="E431">
        <v>4798500</v>
      </c>
      <c r="F431">
        <v>2589578.8693630002</v>
      </c>
      <c r="H431" s="66" t="str">
        <f>IF(OR(LEFT(B431,FIND("_",B431,1)-1)="ULGALLOC",LEFT(B431,FIND("_",B431,1)-1)="ULSPOOL"),LEFT(B431,FIND("_",B431,1)-1),VLOOKUP(LEFT(A431,6),'Code Library'!$D$3:$E$200,2,0))&amp;"_"&amp;RIGHT(A431,3)</f>
        <v>MYMPP_USD</v>
      </c>
      <c r="I431" s="66" t="str">
        <f t="shared" si="6"/>
        <v>ULMPP__USD</v>
      </c>
    </row>
    <row r="432" spans="1:9">
      <c r="A432" t="s">
        <v>1077</v>
      </c>
      <c r="B432" t="s">
        <v>1083</v>
      </c>
      <c r="C432">
        <v>290</v>
      </c>
      <c r="D432">
        <v>1090792</v>
      </c>
      <c r="E432">
        <v>7699500</v>
      </c>
      <c r="F432">
        <v>4429853.1727334401</v>
      </c>
      <c r="H432" s="66" t="str">
        <f>IF(OR(LEFT(B432,FIND("_",B432,1)-1)="ULGALLOC",LEFT(B432,FIND("_",B432,1)-1)="ULSPOOL"),LEFT(B432,FIND("_",B432,1)-1),VLOOKUP(LEFT(A432,6),'Code Library'!$D$3:$E$200,2,0))&amp;"_"&amp;RIGHT(A432,3)</f>
        <v>MYMPP_USD</v>
      </c>
      <c r="I432" s="66" t="str">
        <f t="shared" si="6"/>
        <v>ULMPP__USD</v>
      </c>
    </row>
    <row r="433" spans="1:9">
      <c r="A433" t="s">
        <v>1077</v>
      </c>
      <c r="B433" t="s">
        <v>1084</v>
      </c>
      <c r="C433">
        <v>40</v>
      </c>
      <c r="D433">
        <v>179800</v>
      </c>
      <c r="E433">
        <v>1200000</v>
      </c>
      <c r="F433">
        <v>711696.49561073002</v>
      </c>
      <c r="H433" s="66" t="str">
        <f>IF(OR(LEFT(B433,FIND("_",B433,1)-1)="ULGALLOC",LEFT(B433,FIND("_",B433,1)-1)="ULSPOOL"),LEFT(B433,FIND("_",B433,1)-1),VLOOKUP(LEFT(A433,6),'Code Library'!$D$3:$E$200,2,0))&amp;"_"&amp;RIGHT(A433,3)</f>
        <v>MYMPP_USD</v>
      </c>
      <c r="I433" s="66" t="str">
        <f t="shared" si="6"/>
        <v>ULMPP__USD</v>
      </c>
    </row>
    <row r="434" spans="1:9">
      <c r="A434" t="s">
        <v>1077</v>
      </c>
      <c r="B434" t="s">
        <v>2265</v>
      </c>
      <c r="C434">
        <v>5</v>
      </c>
      <c r="D434">
        <v>33000</v>
      </c>
      <c r="E434">
        <v>590000</v>
      </c>
      <c r="F434">
        <v>63432.026905600003</v>
      </c>
      <c r="H434" s="66" t="str">
        <f>IF(OR(LEFT(B434,FIND("_",B434,1)-1)="ULGALLOC",LEFT(B434,FIND("_",B434,1)-1)="ULSPOOL"),LEFT(B434,FIND("_",B434,1)-1),VLOOKUP(LEFT(A434,6),'Code Library'!$D$3:$E$200,2,0))&amp;"_"&amp;RIGHT(A434,3)</f>
        <v>MYMPP_USD</v>
      </c>
      <c r="I434" s="66" t="str">
        <f t="shared" si="6"/>
        <v>ULMPP__USD</v>
      </c>
    </row>
    <row r="435" spans="1:9">
      <c r="A435" t="s">
        <v>1085</v>
      </c>
      <c r="B435" t="s">
        <v>2266</v>
      </c>
      <c r="C435">
        <v>437</v>
      </c>
      <c r="D435">
        <v>20249449980</v>
      </c>
      <c r="E435">
        <v>242925250000</v>
      </c>
      <c r="F435">
        <v>88012918701.871704</v>
      </c>
      <c r="H435" s="66" t="str">
        <f>IF(OR(LEFT(B435,FIND("_",B435,1)-1)="ULGALLOC",LEFT(B435,FIND("_",B435,1)-1)="ULSPOOL"),LEFT(B435,FIND("_",B435,1)-1),VLOOKUP(LEFT(A435,6),'Code Library'!$D$3:$E$200,2,0))&amp;"_"&amp;RIGHT(A435,3)</f>
        <v>MYMP2_IDR</v>
      </c>
      <c r="I435" s="66" t="str">
        <f t="shared" si="6"/>
        <v>ULMPP2_IDR</v>
      </c>
    </row>
    <row r="436" spans="1:9">
      <c r="A436" t="s">
        <v>1085</v>
      </c>
      <c r="B436" t="s">
        <v>2600</v>
      </c>
      <c r="C436">
        <v>553</v>
      </c>
      <c r="D436">
        <v>31173754988</v>
      </c>
      <c r="E436">
        <v>320367845448</v>
      </c>
      <c r="F436">
        <v>57639407290.174202</v>
      </c>
      <c r="G436" s="55"/>
      <c r="H436" s="66" t="str">
        <f>IF(OR(LEFT(B436,FIND("_",B436,1)-1)="ULGALLOC",LEFT(B436,FIND("_",B436,1)-1)="ULSPOOL"),LEFT(B436,FIND("_",B436,1)-1),VLOOKUP(LEFT(A436,6),'Code Library'!$D$3:$E$200,2,0))&amp;"_"&amp;RIGHT(A436,3)</f>
        <v>MYMP2_IDR</v>
      </c>
      <c r="I436" s="66" t="str">
        <f t="shared" si="6"/>
        <v>ULMPP2_IDR</v>
      </c>
    </row>
    <row r="437" spans="1:9">
      <c r="A437" t="s">
        <v>1085</v>
      </c>
      <c r="B437" t="s">
        <v>2601</v>
      </c>
      <c r="C437">
        <v>105</v>
      </c>
      <c r="D437">
        <v>4818000000</v>
      </c>
      <c r="E437">
        <v>53523694210</v>
      </c>
      <c r="F437">
        <v>4049497349.6554298</v>
      </c>
      <c r="G437" s="55"/>
      <c r="H437" s="66" t="str">
        <f>IF(OR(LEFT(B437,FIND("_",B437,1)-1)="ULGALLOC",LEFT(B437,FIND("_",B437,1)-1)="ULSPOOL"),LEFT(B437,FIND("_",B437,1)-1),VLOOKUP(LEFT(A437,6),'Code Library'!$D$3:$E$200,2,0))&amp;"_"&amp;RIGHT(A437,3)</f>
        <v>MYMP2_IDR</v>
      </c>
      <c r="I437" s="66" t="str">
        <f t="shared" si="6"/>
        <v>ULMPP2_IDR</v>
      </c>
    </row>
    <row r="438" spans="1:9">
      <c r="A438" t="s">
        <v>1086</v>
      </c>
      <c r="B438" t="s">
        <v>2267</v>
      </c>
      <c r="C438">
        <v>31</v>
      </c>
      <c r="D438">
        <v>141796</v>
      </c>
      <c r="E438">
        <v>1437500</v>
      </c>
      <c r="F438">
        <v>397175.78781615</v>
      </c>
      <c r="G438" s="55"/>
      <c r="H438" s="66" t="str">
        <f>IF(OR(LEFT(B438,FIND("_",B438,1)-1)="ULGALLOC",LEFT(B438,FIND("_",B438,1)-1)="ULSPOOL"),LEFT(B438,FIND("_",B438,1)-1),VLOOKUP(LEFT(A438,6),'Code Library'!$D$3:$E$200,2,0))&amp;"_"&amp;RIGHT(A438,3)</f>
        <v>MYMP2_USD</v>
      </c>
      <c r="I438" s="66" t="str">
        <f t="shared" si="6"/>
        <v>ULMPP2_USD</v>
      </c>
    </row>
    <row r="439" spans="1:9">
      <c r="A439" t="s">
        <v>1086</v>
      </c>
      <c r="B439" t="s">
        <v>2602</v>
      </c>
      <c r="C439">
        <v>37</v>
      </c>
      <c r="D439">
        <v>237700</v>
      </c>
      <c r="E439">
        <v>1982000</v>
      </c>
      <c r="F439">
        <v>955279.71230704</v>
      </c>
      <c r="G439" s="55"/>
      <c r="H439" s="66" t="str">
        <f>IF(OR(LEFT(B439,FIND("_",B439,1)-1)="ULGALLOC",LEFT(B439,FIND("_",B439,1)-1)="ULSPOOL"),LEFT(B439,FIND("_",B439,1)-1),VLOOKUP(LEFT(A439,6),'Code Library'!$D$3:$E$200,2,0))&amp;"_"&amp;RIGHT(A439,3)</f>
        <v>MYMP2_USD</v>
      </c>
      <c r="I439" s="66" t="str">
        <f t="shared" si="6"/>
        <v>ULMPP2_USD</v>
      </c>
    </row>
    <row r="440" spans="1:9">
      <c r="A440" t="s">
        <v>1086</v>
      </c>
      <c r="B440" t="s">
        <v>2603</v>
      </c>
      <c r="C440">
        <v>7</v>
      </c>
      <c r="D440">
        <v>39600</v>
      </c>
      <c r="E440">
        <v>291000</v>
      </c>
      <c r="F440">
        <v>109464.61221738</v>
      </c>
      <c r="G440" s="55"/>
      <c r="H440" s="66" t="str">
        <f>IF(OR(LEFT(B440,FIND("_",B440,1)-1)="ULGALLOC",LEFT(B440,FIND("_",B440,1)-1)="ULSPOOL"),LEFT(B440,FIND("_",B440,1)-1),VLOOKUP(LEFT(A440,6),'Code Library'!$D$3:$E$200,2,0))&amp;"_"&amp;RIGHT(A440,3)</f>
        <v>MYMP2_USD</v>
      </c>
      <c r="I440" s="66" t="str">
        <f t="shared" si="6"/>
        <v>ULMPP2_USD</v>
      </c>
    </row>
    <row r="441" spans="1:9">
      <c r="A441" t="s">
        <v>1087</v>
      </c>
      <c r="B441" t="s">
        <v>1088</v>
      </c>
      <c r="C441">
        <v>421</v>
      </c>
      <c r="D441">
        <v>3747449984</v>
      </c>
      <c r="E441">
        <v>246877820000</v>
      </c>
      <c r="F441">
        <v>6583219197.3643398</v>
      </c>
      <c r="G441" s="55"/>
      <c r="H441" s="66" t="str">
        <f>IF(OR(LEFT(B441,FIND("_",B441,1)-1)="ULGALLOC",LEFT(B441,FIND("_",B441,1)-1)="ULSPOOL"),LEFT(B441,FIND("_",B441,1)-1),VLOOKUP(LEFT(A441,6),'Code Library'!$D$3:$E$200,2,0))&amp;"_"&amp;RIGHT(A441,3)</f>
        <v>MYMPS_IDR</v>
      </c>
      <c r="I441" s="66" t="str">
        <f t="shared" si="6"/>
        <v>ULMPS__IDR</v>
      </c>
    </row>
    <row r="442" spans="1:9">
      <c r="A442" t="s">
        <v>1087</v>
      </c>
      <c r="B442" t="s">
        <v>1089</v>
      </c>
      <c r="C442">
        <v>379</v>
      </c>
      <c r="D442">
        <v>3294193996</v>
      </c>
      <c r="E442">
        <v>224402280000</v>
      </c>
      <c r="F442">
        <v>5559582148.4256697</v>
      </c>
      <c r="G442" s="55"/>
      <c r="H442" s="66" t="str">
        <f>IF(OR(LEFT(B442,FIND("_",B442,1)-1)="ULGALLOC",LEFT(B442,FIND("_",B442,1)-1)="ULSPOOL"),LEFT(B442,FIND("_",B442,1)-1),VLOOKUP(LEFT(A442,6),'Code Library'!$D$3:$E$200,2,0))&amp;"_"&amp;RIGHT(A442,3)</f>
        <v>MYMPS_IDR</v>
      </c>
      <c r="I442" s="66" t="str">
        <f t="shared" si="6"/>
        <v>ULMPS__IDR</v>
      </c>
    </row>
    <row r="443" spans="1:9">
      <c r="A443" t="s">
        <v>1087</v>
      </c>
      <c r="B443" t="s">
        <v>1090</v>
      </c>
      <c r="C443">
        <v>361</v>
      </c>
      <c r="D443">
        <v>3483499968</v>
      </c>
      <c r="E443">
        <v>224278865000</v>
      </c>
      <c r="F443">
        <v>4157853321.1582999</v>
      </c>
      <c r="G443" s="55"/>
      <c r="H443" s="66" t="str">
        <f>IF(OR(LEFT(B443,FIND("_",B443,1)-1)="ULGALLOC",LEFT(B443,FIND("_",B443,1)-1)="ULSPOOL"),LEFT(B443,FIND("_",B443,1)-1),VLOOKUP(LEFT(A443,6),'Code Library'!$D$3:$E$200,2,0))&amp;"_"&amp;RIGHT(A443,3)</f>
        <v>MYMPS_IDR</v>
      </c>
      <c r="I443" s="66" t="str">
        <f t="shared" si="6"/>
        <v>ULMPS__IDR</v>
      </c>
    </row>
    <row r="444" spans="1:9">
      <c r="A444" t="s">
        <v>1087</v>
      </c>
      <c r="B444" t="s">
        <v>1091</v>
      </c>
      <c r="C444">
        <v>327</v>
      </c>
      <c r="D444">
        <v>3497938984</v>
      </c>
      <c r="E444">
        <v>213665700000</v>
      </c>
      <c r="F444">
        <v>2751774404.8494501</v>
      </c>
      <c r="G444" s="55"/>
      <c r="H444" s="66" t="str">
        <f>IF(OR(LEFT(B444,FIND("_",B444,1)-1)="ULGALLOC",LEFT(B444,FIND("_",B444,1)-1)="ULSPOOL"),LEFT(B444,FIND("_",B444,1)-1),VLOOKUP(LEFT(A444,6),'Code Library'!$D$3:$E$200,2,0))&amp;"_"&amp;RIGHT(A444,3)</f>
        <v>MYMPS_IDR</v>
      </c>
      <c r="I444" s="66" t="str">
        <f t="shared" si="6"/>
        <v>ULMPS__IDR</v>
      </c>
    </row>
    <row r="445" spans="1:9">
      <c r="A445" t="s">
        <v>1087</v>
      </c>
      <c r="B445" t="s">
        <v>2268</v>
      </c>
      <c r="C445">
        <v>68</v>
      </c>
      <c r="D445">
        <v>878349996</v>
      </c>
      <c r="E445">
        <v>51794500000</v>
      </c>
      <c r="F445">
        <v>493361260.590056</v>
      </c>
      <c r="G445" s="55"/>
      <c r="H445" s="66" t="str">
        <f>IF(OR(LEFT(B445,FIND("_",B445,1)-1)="ULGALLOC",LEFT(B445,FIND("_",B445,1)-1)="ULSPOOL"),LEFT(B445,FIND("_",B445,1)-1),VLOOKUP(LEFT(A445,6),'Code Library'!$D$3:$E$200,2,0))&amp;"_"&amp;RIGHT(A445,3)</f>
        <v>MYMPS_IDR</v>
      </c>
      <c r="I445" s="66" t="str">
        <f t="shared" si="6"/>
        <v>ULMPS__IDR</v>
      </c>
    </row>
    <row r="446" spans="1:9">
      <c r="A446" t="s">
        <v>1092</v>
      </c>
      <c r="B446" t="s">
        <v>1093</v>
      </c>
      <c r="C446">
        <v>112</v>
      </c>
      <c r="D446">
        <v>8179000004</v>
      </c>
      <c r="E446">
        <v>251000000000</v>
      </c>
      <c r="F446">
        <v>22596657922.924301</v>
      </c>
      <c r="G446" s="55"/>
      <c r="H446" s="66" t="str">
        <f>IF(OR(LEFT(B446,FIND("_",B446,1)-1)="ULGALLOC",LEFT(B446,FIND("_",B446,1)-1)="ULSPOOL"),LEFT(B446,FIND("_",B446,1)-1),VLOOKUP(LEFT(A446,6),'Code Library'!$D$3:$E$200,2,0))&amp;"_"&amp;RIGHT(A446,3)</f>
        <v>MYSU_IDR</v>
      </c>
      <c r="I446" s="66" t="str">
        <f t="shared" si="6"/>
        <v>ULMSU__IDR</v>
      </c>
    </row>
    <row r="447" spans="1:9">
      <c r="A447" t="s">
        <v>1092</v>
      </c>
      <c r="B447" t="s">
        <v>1094</v>
      </c>
      <c r="C447">
        <v>90</v>
      </c>
      <c r="D447">
        <v>6808399996</v>
      </c>
      <c r="E447">
        <v>224200000000</v>
      </c>
      <c r="F447">
        <v>16994311727.7523</v>
      </c>
      <c r="G447" s="55"/>
      <c r="H447" s="66" t="str">
        <f>IF(OR(LEFT(B447,FIND("_",B447,1)-1)="ULGALLOC",LEFT(B447,FIND("_",B447,1)-1)="ULSPOOL"),LEFT(B447,FIND("_",B447,1)-1),VLOOKUP(LEFT(A447,6),'Code Library'!$D$3:$E$200,2,0))&amp;"_"&amp;RIGHT(A447,3)</f>
        <v>MYSU_IDR</v>
      </c>
      <c r="I447" s="66" t="str">
        <f t="shared" si="6"/>
        <v>ULMSU__IDR</v>
      </c>
    </row>
    <row r="448" spans="1:9">
      <c r="A448" t="s">
        <v>1095</v>
      </c>
      <c r="B448" t="s">
        <v>1096</v>
      </c>
      <c r="C448">
        <v>26</v>
      </c>
      <c r="D448">
        <v>195400</v>
      </c>
      <c r="E448">
        <v>5054999.82</v>
      </c>
      <c r="F448">
        <v>877233.17466950999</v>
      </c>
      <c r="G448" s="55"/>
      <c r="H448" s="66" t="str">
        <f>IF(OR(LEFT(B448,FIND("_",B448,1)-1)="ULGALLOC",LEFT(B448,FIND("_",B448,1)-1)="ULSPOOL"),LEFT(B448,FIND("_",B448,1)-1),VLOOKUP(LEFT(A448,6),'Code Library'!$D$3:$E$200,2,0))&amp;"_"&amp;RIGHT(A448,3)</f>
        <v>MYSU_USD</v>
      </c>
      <c r="I448" s="66" t="str">
        <f t="shared" si="6"/>
        <v>ULMSU__USD</v>
      </c>
    </row>
    <row r="449" spans="1:9">
      <c r="A449" t="s">
        <v>1095</v>
      </c>
      <c r="B449" t="s">
        <v>1097</v>
      </c>
      <c r="C449">
        <v>14</v>
      </c>
      <c r="D449">
        <v>109500</v>
      </c>
      <c r="E449">
        <v>2798000</v>
      </c>
      <c r="F449">
        <v>365144.00655669998</v>
      </c>
      <c r="G449" s="55"/>
      <c r="H449" s="66" t="str">
        <f>IF(OR(LEFT(B449,FIND("_",B449,1)-1)="ULGALLOC",LEFT(B449,FIND("_",B449,1)-1)="ULSPOOL"),LEFT(B449,FIND("_",B449,1)-1),VLOOKUP(LEFT(A449,6),'Code Library'!$D$3:$E$200,2,0))&amp;"_"&amp;RIGHT(A449,3)</f>
        <v>MYSU_USD</v>
      </c>
      <c r="I449" s="66" t="str">
        <f t="shared" si="6"/>
        <v>ULMSU__USD</v>
      </c>
    </row>
    <row r="450" spans="1:9">
      <c r="A450" t="s">
        <v>1098</v>
      </c>
      <c r="B450" t="s">
        <v>1099</v>
      </c>
      <c r="C450">
        <v>2</v>
      </c>
      <c r="D450">
        <v>130000000</v>
      </c>
      <c r="E450">
        <v>4000000000</v>
      </c>
      <c r="F450">
        <v>258013845</v>
      </c>
      <c r="H450" s="66" t="str">
        <f>IF(OR(LEFT(B450,FIND("_",B450,1)-1)="ULGALLOC",LEFT(B450,FIND("_",B450,1)-1)="ULSPOOL"),LEFT(B450,FIND("_",B450,1)-1),VLOOKUP(LEFT(A450,6),'Code Library'!$D$3:$E$200,2,0))&amp;"_"&amp;RIGHT(A450,3)</f>
        <v>MYSU2_IDR</v>
      </c>
      <c r="I450" s="66" t="str">
        <f t="shared" si="6"/>
        <v>ULMSU2_IDR</v>
      </c>
    </row>
    <row r="451" spans="1:9">
      <c r="A451" t="s">
        <v>1098</v>
      </c>
      <c r="B451" t="s">
        <v>2269</v>
      </c>
      <c r="C451">
        <v>32</v>
      </c>
      <c r="D451">
        <v>2305000000</v>
      </c>
      <c r="E451">
        <v>71000000000</v>
      </c>
      <c r="F451">
        <v>3468076684.7041302</v>
      </c>
      <c r="H451" s="66" t="str">
        <f>IF(OR(LEFT(B451,FIND("_",B451,1)-1)="ULGALLOC",LEFT(B451,FIND("_",B451,1)-1)="ULSPOOL"),LEFT(B451,FIND("_",B451,1)-1),VLOOKUP(LEFT(A451,6),'Code Library'!$D$3:$E$200,2,0))&amp;"_"&amp;RIGHT(A451,3)</f>
        <v>MYSU2_IDR</v>
      </c>
      <c r="I451" s="66" t="str">
        <f t="shared" ref="I451:I514" si="7">A451</f>
        <v>ULMSU2_IDR</v>
      </c>
    </row>
    <row r="452" spans="1:9">
      <c r="A452" t="s">
        <v>1098</v>
      </c>
      <c r="B452" t="s">
        <v>2604</v>
      </c>
      <c r="C452">
        <v>11</v>
      </c>
      <c r="D452">
        <v>790015000</v>
      </c>
      <c r="E452">
        <v>27125000000</v>
      </c>
      <c r="F452">
        <v>447452177.01048303</v>
      </c>
      <c r="G452" s="55"/>
      <c r="H452" s="66" t="str">
        <f>IF(OR(LEFT(B452,FIND("_",B452,1)-1)="ULGALLOC",LEFT(B452,FIND("_",B452,1)-1)="ULSPOOL"),LEFT(B452,FIND("_",B452,1)-1),VLOOKUP(LEFT(A452,6),'Code Library'!$D$3:$E$200,2,0))&amp;"_"&amp;RIGHT(A452,3)</f>
        <v>MYSU2_IDR</v>
      </c>
      <c r="I452" s="66" t="str">
        <f t="shared" si="7"/>
        <v>ULMSU2_IDR</v>
      </c>
    </row>
    <row r="453" spans="1:9">
      <c r="A453" t="s">
        <v>1098</v>
      </c>
      <c r="B453" t="s">
        <v>2605</v>
      </c>
      <c r="C453">
        <v>2</v>
      </c>
      <c r="D453">
        <v>200100000</v>
      </c>
      <c r="E453">
        <v>5002500000</v>
      </c>
      <c r="F453">
        <v>115896300</v>
      </c>
      <c r="G453" s="55"/>
      <c r="H453" s="66" t="str">
        <f>IF(OR(LEFT(B453,FIND("_",B453,1)-1)="ULGALLOC",LEFT(B453,FIND("_",B453,1)-1)="ULSPOOL"),LEFT(B453,FIND("_",B453,1)-1),VLOOKUP(LEFT(A453,6),'Code Library'!$D$3:$E$200,2,0))&amp;"_"&amp;RIGHT(A453,3)</f>
        <v>MYSU2_IDR</v>
      </c>
      <c r="I453" s="66" t="str">
        <f t="shared" si="7"/>
        <v>ULMSU2_IDR</v>
      </c>
    </row>
    <row r="454" spans="1:9">
      <c r="A454" t="s">
        <v>1100</v>
      </c>
      <c r="B454" t="s">
        <v>1101</v>
      </c>
      <c r="C454">
        <v>1</v>
      </c>
      <c r="D454">
        <v>7001</v>
      </c>
      <c r="E454">
        <v>175025</v>
      </c>
      <c r="F454">
        <v>16506</v>
      </c>
      <c r="G454" s="55"/>
      <c r="H454" s="66" t="str">
        <f>IF(OR(LEFT(B454,FIND("_",B454,1)-1)="ULGALLOC",LEFT(B454,FIND("_",B454,1)-1)="ULSPOOL"),LEFT(B454,FIND("_",B454,1)-1),VLOOKUP(LEFT(A454,6),'Code Library'!$D$3:$E$200,2,0))&amp;"_"&amp;RIGHT(A454,3)</f>
        <v>MYSU2_USD</v>
      </c>
      <c r="I454" s="66" t="str">
        <f t="shared" si="7"/>
        <v>ULMSU2_USD</v>
      </c>
    </row>
    <row r="455" spans="1:9">
      <c r="A455" t="s">
        <v>1100</v>
      </c>
      <c r="B455" t="s">
        <v>2270</v>
      </c>
      <c r="C455">
        <v>7</v>
      </c>
      <c r="D455">
        <v>54496</v>
      </c>
      <c r="E455">
        <v>1492500</v>
      </c>
      <c r="F455">
        <v>93208.18894367</v>
      </c>
      <c r="G455" s="55"/>
      <c r="H455" s="66" t="str">
        <f>IF(OR(LEFT(B455,FIND("_",B455,1)-1)="ULGALLOC",LEFT(B455,FIND("_",B455,1)-1)="ULSPOOL"),LEFT(B455,FIND("_",B455,1)-1),VLOOKUP(LEFT(A455,6),'Code Library'!$D$3:$E$200,2,0))&amp;"_"&amp;RIGHT(A455,3)</f>
        <v>MYSU2_USD</v>
      </c>
      <c r="I455" s="66" t="str">
        <f t="shared" si="7"/>
        <v>ULMSU2_USD</v>
      </c>
    </row>
    <row r="456" spans="1:9">
      <c r="A456" t="s">
        <v>1100</v>
      </c>
      <c r="B456" t="s">
        <v>2606</v>
      </c>
      <c r="C456">
        <v>8</v>
      </c>
      <c r="D456">
        <v>56000</v>
      </c>
      <c r="E456">
        <v>1500000</v>
      </c>
      <c r="F456">
        <v>46583.779920200002</v>
      </c>
      <c r="H456" s="66" t="str">
        <f>IF(OR(LEFT(B456,FIND("_",B456,1)-1)="ULGALLOC",LEFT(B456,FIND("_",B456,1)-1)="ULSPOOL"),LEFT(B456,FIND("_",B456,1)-1),VLOOKUP(LEFT(A456,6),'Code Library'!$D$3:$E$200,2,0))&amp;"_"&amp;RIGHT(A456,3)</f>
        <v>MYSU2_USD</v>
      </c>
      <c r="I456" s="66" t="str">
        <f t="shared" si="7"/>
        <v>ULMSU2_USD</v>
      </c>
    </row>
    <row r="457" spans="1:9">
      <c r="A457" t="s">
        <v>1100</v>
      </c>
      <c r="B457" t="s">
        <v>2607</v>
      </c>
      <c r="C457">
        <v>1</v>
      </c>
      <c r="D457">
        <v>6000</v>
      </c>
      <c r="E457">
        <v>160000</v>
      </c>
      <c r="F457">
        <v>3485</v>
      </c>
      <c r="H457" s="66" t="str">
        <f>IF(OR(LEFT(B457,FIND("_",B457,1)-1)="ULGALLOC",LEFT(B457,FIND("_",B457,1)-1)="ULSPOOL"),LEFT(B457,FIND("_",B457,1)-1),VLOOKUP(LEFT(A457,6),'Code Library'!$D$3:$E$200,2,0))&amp;"_"&amp;RIGHT(A457,3)</f>
        <v>MYSU2_USD</v>
      </c>
      <c r="I457" s="66" t="str">
        <f t="shared" si="7"/>
        <v>ULMSU2_USD</v>
      </c>
    </row>
    <row r="458" spans="1:9">
      <c r="A458" t="s">
        <v>1102</v>
      </c>
      <c r="B458" t="s">
        <v>1103</v>
      </c>
      <c r="C458">
        <v>303</v>
      </c>
      <c r="D458">
        <v>3030000000</v>
      </c>
      <c r="E458">
        <v>4545000000</v>
      </c>
      <c r="F458">
        <v>10401027770.2995</v>
      </c>
      <c r="H458" s="66" t="str">
        <f>IF(OR(LEFT(B458,FIND("_",B458,1)-1)="ULGALLOC",LEFT(B458,FIND("_",B458,1)-1)="ULSPOOL"),LEFT(B458,FIND("_",B458,1)-1),VLOOKUP(LEFT(A458,6),'Code Library'!$D$3:$E$200,2,0))&amp;"_"&amp;RIGHT(A458,3)</f>
        <v>NHM1_IDR</v>
      </c>
      <c r="I458" s="66" t="str">
        <f t="shared" si="7"/>
        <v>ULNHM1_IDR</v>
      </c>
    </row>
    <row r="459" spans="1:9">
      <c r="A459" t="s">
        <v>1104</v>
      </c>
      <c r="B459" t="s">
        <v>1105</v>
      </c>
      <c r="C459">
        <v>104</v>
      </c>
      <c r="D459">
        <v>1040000000</v>
      </c>
      <c r="E459">
        <v>1560000000</v>
      </c>
      <c r="F459">
        <v>12075517337.630501</v>
      </c>
      <c r="H459" s="66" t="str">
        <f>IF(OR(LEFT(B459,FIND("_",B459,1)-1)="ULGALLOC",LEFT(B459,FIND("_",B459,1)-1)="ULSPOOL"),LEFT(B459,FIND("_",B459,1)-1),VLOOKUP(LEFT(A459,6),'Code Library'!$D$3:$E$200,2,0))&amp;"_"&amp;RIGHT(A459,3)</f>
        <v>NHM2_IDR</v>
      </c>
      <c r="I459" s="66" t="str">
        <f t="shared" si="7"/>
        <v>ULNHM2_IDR</v>
      </c>
    </row>
    <row r="460" spans="1:9">
      <c r="A460" t="s">
        <v>1106</v>
      </c>
      <c r="B460" t="s">
        <v>1107</v>
      </c>
      <c r="C460">
        <v>61</v>
      </c>
      <c r="D460">
        <v>610000000</v>
      </c>
      <c r="E460">
        <v>915000000</v>
      </c>
      <c r="F460">
        <v>21104278485.5499</v>
      </c>
      <c r="G460" s="55"/>
      <c r="H460" s="66" t="str">
        <f>IF(OR(LEFT(B460,FIND("_",B460,1)-1)="ULGALLOC",LEFT(B460,FIND("_",B460,1)-1)="ULSPOOL"),LEFT(B460,FIND("_",B460,1)-1),VLOOKUP(LEFT(A460,6),'Code Library'!$D$3:$E$200,2,0))&amp;"_"&amp;RIGHT(A460,3)</f>
        <v>NHM3_IDR</v>
      </c>
      <c r="I460" s="66" t="str">
        <f t="shared" si="7"/>
        <v>ULNHM3_IDR</v>
      </c>
    </row>
    <row r="461" spans="1:9">
      <c r="A461" t="s">
        <v>1108</v>
      </c>
      <c r="B461" t="s">
        <v>1109</v>
      </c>
      <c r="C461">
        <v>46</v>
      </c>
      <c r="D461">
        <v>552000000</v>
      </c>
      <c r="E461">
        <v>828000000</v>
      </c>
      <c r="F461">
        <v>7888028133.7140903</v>
      </c>
      <c r="G461" s="55"/>
      <c r="H461" s="66" t="str">
        <f>IF(OR(LEFT(B461,FIND("_",B461,1)-1)="ULGALLOC",LEFT(B461,FIND("_",B461,1)-1)="ULSPOOL"),LEFT(B461,FIND("_",B461,1)-1),VLOOKUP(LEFT(A461,6),'Code Library'!$D$3:$E$200,2,0))&amp;"_"&amp;RIGHT(A461,3)</f>
        <v>OPCI_IDR</v>
      </c>
      <c r="I461" s="66" t="str">
        <f t="shared" si="7"/>
        <v>ULOC___IDR</v>
      </c>
    </row>
    <row r="462" spans="1:9">
      <c r="A462" t="s">
        <v>1108</v>
      </c>
      <c r="B462" t="s">
        <v>1110</v>
      </c>
      <c r="C462">
        <v>6</v>
      </c>
      <c r="D462">
        <v>72000000</v>
      </c>
      <c r="E462">
        <v>108000000</v>
      </c>
      <c r="F462">
        <v>2104974157.57077</v>
      </c>
      <c r="G462" s="55"/>
      <c r="H462" s="66" t="str">
        <f>IF(OR(LEFT(B462,FIND("_",B462,1)-1)="ULGALLOC",LEFT(B462,FIND("_",B462,1)-1)="ULSPOOL"),LEFT(B462,FIND("_",B462,1)-1),VLOOKUP(LEFT(A462,6),'Code Library'!$D$3:$E$200,2,0))&amp;"_"&amp;RIGHT(A462,3)</f>
        <v>OPCI_IDR</v>
      </c>
      <c r="I462" s="66" t="str">
        <f t="shared" si="7"/>
        <v>ULOC___IDR</v>
      </c>
    </row>
    <row r="463" spans="1:9">
      <c r="A463" t="s">
        <v>1108</v>
      </c>
      <c r="B463" t="s">
        <v>1111</v>
      </c>
      <c r="C463">
        <v>1</v>
      </c>
      <c r="D463">
        <v>12000000</v>
      </c>
      <c r="E463">
        <v>18000000</v>
      </c>
      <c r="F463">
        <v>50000467.239813</v>
      </c>
      <c r="G463" s="55"/>
      <c r="H463" s="66" t="str">
        <f>IF(OR(LEFT(B463,FIND("_",B463,1)-1)="ULGALLOC",LEFT(B463,FIND("_",B463,1)-1)="ULSPOOL"),LEFT(B463,FIND("_",B463,1)-1),VLOOKUP(LEFT(A463,6),'Code Library'!$D$3:$E$200,2,0))&amp;"_"&amp;RIGHT(A463,3)</f>
        <v>OPCI_IDR</v>
      </c>
      <c r="I463" s="66" t="str">
        <f t="shared" si="7"/>
        <v>ULOC___IDR</v>
      </c>
    </row>
    <row r="464" spans="1:9">
      <c r="A464" t="s">
        <v>1108</v>
      </c>
      <c r="B464" t="s">
        <v>1112</v>
      </c>
      <c r="C464">
        <v>17</v>
      </c>
      <c r="D464">
        <v>204000000</v>
      </c>
      <c r="E464">
        <v>306000000</v>
      </c>
      <c r="F464">
        <v>5085436434.5864801</v>
      </c>
      <c r="H464" s="66" t="str">
        <f>IF(OR(LEFT(B464,FIND("_",B464,1)-1)="ULGALLOC",LEFT(B464,FIND("_",B464,1)-1)="ULSPOOL"),LEFT(B464,FIND("_",B464,1)-1),VLOOKUP(LEFT(A464,6),'Code Library'!$D$3:$E$200,2,0))&amp;"_"&amp;RIGHT(A464,3)</f>
        <v>OPCI_IDR</v>
      </c>
      <c r="I464" s="66" t="str">
        <f t="shared" si="7"/>
        <v>ULOC___IDR</v>
      </c>
    </row>
    <row r="465" spans="1:9">
      <c r="A465" t="s">
        <v>1108</v>
      </c>
      <c r="B465" t="s">
        <v>1113</v>
      </c>
      <c r="C465">
        <v>33</v>
      </c>
      <c r="D465">
        <v>484000000</v>
      </c>
      <c r="E465">
        <v>726000000</v>
      </c>
      <c r="F465">
        <v>6825140318.1181803</v>
      </c>
      <c r="G465" s="55"/>
      <c r="H465" s="66" t="str">
        <f>IF(OR(LEFT(B465,FIND("_",B465,1)-1)="ULGALLOC",LEFT(B465,FIND("_",B465,1)-1)="ULSPOOL"),LEFT(B465,FIND("_",B465,1)-1),VLOOKUP(LEFT(A465,6),'Code Library'!$D$3:$E$200,2,0))&amp;"_"&amp;RIGHT(A465,3)</f>
        <v>OPCI_IDR</v>
      </c>
      <c r="I465" s="66" t="str">
        <f t="shared" si="7"/>
        <v>ULOC___IDR</v>
      </c>
    </row>
    <row r="466" spans="1:9">
      <c r="A466" t="s">
        <v>1108</v>
      </c>
      <c r="B466" t="s">
        <v>1114</v>
      </c>
      <c r="C466">
        <v>77</v>
      </c>
      <c r="D466">
        <v>970000000</v>
      </c>
      <c r="E466">
        <v>1455000000</v>
      </c>
      <c r="F466">
        <v>24390929113.301998</v>
      </c>
      <c r="G466" s="55"/>
      <c r="H466" s="66" t="str">
        <f>IF(OR(LEFT(B466,FIND("_",B466,1)-1)="ULGALLOC",LEFT(B466,FIND("_",B466,1)-1)="ULSPOOL"),LEFT(B466,FIND("_",B466,1)-1),VLOOKUP(LEFT(A466,6),'Code Library'!$D$3:$E$200,2,0))&amp;"_"&amp;RIGHT(A466,3)</f>
        <v>OPCI_IDR</v>
      </c>
      <c r="I466" s="66" t="str">
        <f t="shared" si="7"/>
        <v>ULOC___IDR</v>
      </c>
    </row>
    <row r="467" spans="1:9">
      <c r="A467" t="s">
        <v>1108</v>
      </c>
      <c r="B467" t="s">
        <v>1115</v>
      </c>
      <c r="C467">
        <v>44</v>
      </c>
      <c r="D467">
        <v>686000000</v>
      </c>
      <c r="E467">
        <v>1029000000</v>
      </c>
      <c r="F467">
        <v>13711281676.0054</v>
      </c>
      <c r="H467" s="66" t="str">
        <f>IF(OR(LEFT(B467,FIND("_",B467,1)-1)="ULGALLOC",LEFT(B467,FIND("_",B467,1)-1)="ULSPOOL"),LEFT(B467,FIND("_",B467,1)-1),VLOOKUP(LEFT(A467,6),'Code Library'!$D$3:$E$200,2,0))&amp;"_"&amp;RIGHT(A467,3)</f>
        <v>OPCI_IDR</v>
      </c>
      <c r="I467" s="66" t="str">
        <f t="shared" si="7"/>
        <v>ULOC___IDR</v>
      </c>
    </row>
    <row r="468" spans="1:9">
      <c r="A468" t="s">
        <v>1108</v>
      </c>
      <c r="B468" t="s">
        <v>1116</v>
      </c>
      <c r="C468">
        <v>43</v>
      </c>
      <c r="D468">
        <v>516000000</v>
      </c>
      <c r="E468">
        <v>774000000</v>
      </c>
      <c r="F468">
        <v>10009154634.3337</v>
      </c>
      <c r="H468" s="66" t="str">
        <f>IF(OR(LEFT(B468,FIND("_",B468,1)-1)="ULGALLOC",LEFT(B468,FIND("_",B468,1)-1)="ULSPOOL"),LEFT(B468,FIND("_",B468,1)-1),VLOOKUP(LEFT(A468,6),'Code Library'!$D$3:$E$200,2,0))&amp;"_"&amp;RIGHT(A468,3)</f>
        <v>OPCI_IDR</v>
      </c>
      <c r="I468" s="66" t="str">
        <f t="shared" si="7"/>
        <v>ULOC___IDR</v>
      </c>
    </row>
    <row r="469" spans="1:9">
      <c r="A469" t="s">
        <v>1108</v>
      </c>
      <c r="B469" t="s">
        <v>1117</v>
      </c>
      <c r="C469">
        <v>109</v>
      </c>
      <c r="D469">
        <v>1346000000</v>
      </c>
      <c r="E469">
        <v>2019000000</v>
      </c>
      <c r="F469">
        <v>28016971868.3405</v>
      </c>
      <c r="H469" s="66" t="str">
        <f>IF(OR(LEFT(B469,FIND("_",B469,1)-1)="ULGALLOC",LEFT(B469,FIND("_",B469,1)-1)="ULSPOOL"),LEFT(B469,FIND("_",B469,1)-1),VLOOKUP(LEFT(A469,6),'Code Library'!$D$3:$E$200,2,0))&amp;"_"&amp;RIGHT(A469,3)</f>
        <v>OPCI_IDR</v>
      </c>
      <c r="I469" s="66" t="str">
        <f t="shared" si="7"/>
        <v>ULOC___IDR</v>
      </c>
    </row>
    <row r="470" spans="1:9">
      <c r="A470" t="s">
        <v>1108</v>
      </c>
      <c r="B470" t="s">
        <v>2271</v>
      </c>
      <c r="C470">
        <v>5</v>
      </c>
      <c r="D470">
        <v>60000000</v>
      </c>
      <c r="E470">
        <v>90000000</v>
      </c>
      <c r="F470">
        <v>1033611830.64678</v>
      </c>
      <c r="H470" s="66" t="str">
        <f>IF(OR(LEFT(B470,FIND("_",B470,1)-1)="ULGALLOC",LEFT(B470,FIND("_",B470,1)-1)="ULSPOOL"),LEFT(B470,FIND("_",B470,1)-1),VLOOKUP(LEFT(A470,6),'Code Library'!$D$3:$E$200,2,0))&amp;"_"&amp;RIGHT(A470,3)</f>
        <v>OPCI_IDR</v>
      </c>
      <c r="I470" s="66" t="str">
        <f t="shared" si="7"/>
        <v>ULOC___IDR</v>
      </c>
    </row>
    <row r="471" spans="1:9">
      <c r="A471" t="s">
        <v>1118</v>
      </c>
      <c r="B471" t="s">
        <v>1119</v>
      </c>
      <c r="C471">
        <v>13</v>
      </c>
      <c r="D471">
        <v>15600</v>
      </c>
      <c r="E471">
        <v>23400</v>
      </c>
      <c r="F471">
        <v>204381.877379782</v>
      </c>
      <c r="H471" s="66" t="str">
        <f>IF(OR(LEFT(B471,FIND("_",B471,1)-1)="ULGALLOC",LEFT(B471,FIND("_",B471,1)-1)="ULSPOOL"),LEFT(B471,FIND("_",B471,1)-1),VLOOKUP(LEFT(A471,6),'Code Library'!$D$3:$E$200,2,0))&amp;"_"&amp;RIGHT(A471,3)</f>
        <v>OPCI_USD</v>
      </c>
      <c r="I471" s="66" t="str">
        <f t="shared" si="7"/>
        <v>ULOC___USD</v>
      </c>
    </row>
    <row r="472" spans="1:9">
      <c r="A472" t="s">
        <v>1118</v>
      </c>
      <c r="B472" t="s">
        <v>1120</v>
      </c>
      <c r="C472">
        <v>1</v>
      </c>
      <c r="D472">
        <v>1200</v>
      </c>
      <c r="E472">
        <v>1800</v>
      </c>
      <c r="F472">
        <v>2174.7064123199998</v>
      </c>
      <c r="H472" s="66" t="str">
        <f>IF(OR(LEFT(B472,FIND("_",B472,1)-1)="ULGALLOC",LEFT(B472,FIND("_",B472,1)-1)="ULSPOOL"),LEFT(B472,FIND("_",B472,1)-1),VLOOKUP(LEFT(A472,6),'Code Library'!$D$3:$E$200,2,0))&amp;"_"&amp;RIGHT(A472,3)</f>
        <v>OPCI_USD</v>
      </c>
      <c r="I472" s="66" t="str">
        <f t="shared" si="7"/>
        <v>ULOC___USD</v>
      </c>
    </row>
    <row r="473" spans="1:9">
      <c r="A473" t="s">
        <v>1118</v>
      </c>
      <c r="B473" t="s">
        <v>1121</v>
      </c>
      <c r="C473">
        <v>28</v>
      </c>
      <c r="D473">
        <v>60067</v>
      </c>
      <c r="E473">
        <v>90100.5</v>
      </c>
      <c r="F473">
        <v>723470.91743367095</v>
      </c>
      <c r="H473" s="66" t="str">
        <f>IF(OR(LEFT(B473,FIND("_",B473,1)-1)="ULGALLOC",LEFT(B473,FIND("_",B473,1)-1)="ULSPOOL"),LEFT(B473,FIND("_",B473,1)-1),VLOOKUP(LEFT(A473,6),'Code Library'!$D$3:$E$200,2,0))&amp;"_"&amp;RIGHT(A473,3)</f>
        <v>OPCI_USD</v>
      </c>
      <c r="I473" s="66" t="str">
        <f t="shared" si="7"/>
        <v>ULOC___USD</v>
      </c>
    </row>
    <row r="474" spans="1:9">
      <c r="A474" t="s">
        <v>1118</v>
      </c>
      <c r="B474" t="s">
        <v>1122</v>
      </c>
      <c r="C474">
        <v>75</v>
      </c>
      <c r="D474">
        <v>108150</v>
      </c>
      <c r="E474">
        <v>162225</v>
      </c>
      <c r="F474">
        <v>7792424.4836069103</v>
      </c>
      <c r="H474" s="66" t="str">
        <f>IF(OR(LEFT(B474,FIND("_",B474,1)-1)="ULGALLOC",LEFT(B474,FIND("_",B474,1)-1)="ULSPOOL"),LEFT(B474,FIND("_",B474,1)-1),VLOOKUP(LEFT(A474,6),'Code Library'!$D$3:$E$200,2,0))&amp;"_"&amp;RIGHT(A474,3)</f>
        <v>OPCI_USD</v>
      </c>
      <c r="I474" s="66" t="str">
        <f t="shared" si="7"/>
        <v>ULOC___USD</v>
      </c>
    </row>
    <row r="475" spans="1:9">
      <c r="A475" t="s">
        <v>1118</v>
      </c>
      <c r="B475" t="s">
        <v>1123</v>
      </c>
      <c r="C475">
        <v>355</v>
      </c>
      <c r="D475">
        <v>438100</v>
      </c>
      <c r="E475">
        <v>657150</v>
      </c>
      <c r="F475">
        <v>10738284.0100738</v>
      </c>
      <c r="H475" s="66" t="str">
        <f>IF(OR(LEFT(B475,FIND("_",B475,1)-1)="ULGALLOC",LEFT(B475,FIND("_",B475,1)-1)="ULSPOOL"),LEFT(B475,FIND("_",B475,1)-1),VLOOKUP(LEFT(A475,6),'Code Library'!$D$3:$E$200,2,0))&amp;"_"&amp;RIGHT(A475,3)</f>
        <v>OPCI_USD</v>
      </c>
      <c r="I475" s="66" t="str">
        <f t="shared" si="7"/>
        <v>ULOC___USD</v>
      </c>
    </row>
    <row r="476" spans="1:9">
      <c r="A476" t="s">
        <v>1118</v>
      </c>
      <c r="B476" t="s">
        <v>1124</v>
      </c>
      <c r="C476">
        <v>310</v>
      </c>
      <c r="D476">
        <v>378400</v>
      </c>
      <c r="E476">
        <v>567600</v>
      </c>
      <c r="F476">
        <v>3700734.82639152</v>
      </c>
      <c r="H476" s="66" t="str">
        <f>IF(OR(LEFT(B476,FIND("_",B476,1)-1)="ULGALLOC",LEFT(B476,FIND("_",B476,1)-1)="ULSPOOL"),LEFT(B476,FIND("_",B476,1)-1),VLOOKUP(LEFT(A476,6),'Code Library'!$D$3:$E$200,2,0))&amp;"_"&amp;RIGHT(A476,3)</f>
        <v>OPCI_USD</v>
      </c>
      <c r="I476" s="66" t="str">
        <f t="shared" si="7"/>
        <v>ULOC___USD</v>
      </c>
    </row>
    <row r="477" spans="1:9">
      <c r="A477" t="s">
        <v>1118</v>
      </c>
      <c r="B477" t="s">
        <v>1125</v>
      </c>
      <c r="C477">
        <v>53</v>
      </c>
      <c r="D477">
        <v>63600</v>
      </c>
      <c r="E477">
        <v>95400</v>
      </c>
      <c r="F477">
        <v>2031952.2613722701</v>
      </c>
      <c r="H477" s="66" t="str">
        <f>IF(OR(LEFT(B477,FIND("_",B477,1)-1)="ULGALLOC",LEFT(B477,FIND("_",B477,1)-1)="ULSPOOL"),LEFT(B477,FIND("_",B477,1)-1),VLOOKUP(LEFT(A477,6),'Code Library'!$D$3:$E$200,2,0))&amp;"_"&amp;RIGHT(A477,3)</f>
        <v>OPCI_USD</v>
      </c>
      <c r="I477" s="66" t="str">
        <f t="shared" si="7"/>
        <v>ULOC___USD</v>
      </c>
    </row>
    <row r="478" spans="1:9">
      <c r="A478" t="s">
        <v>1118</v>
      </c>
      <c r="B478" t="s">
        <v>2272</v>
      </c>
      <c r="C478">
        <v>53</v>
      </c>
      <c r="D478">
        <v>74980</v>
      </c>
      <c r="E478">
        <v>112470</v>
      </c>
      <c r="F478">
        <v>1141274.1568585101</v>
      </c>
      <c r="H478" s="66" t="str">
        <f>IF(OR(LEFT(B478,FIND("_",B478,1)-1)="ULGALLOC",LEFT(B478,FIND("_",B478,1)-1)="ULSPOOL"),LEFT(B478,FIND("_",B478,1)-1),VLOOKUP(LEFT(A478,6),'Code Library'!$D$3:$E$200,2,0))&amp;"_"&amp;RIGHT(A478,3)</f>
        <v>OPCI_USD</v>
      </c>
      <c r="I478" s="66" t="str">
        <f t="shared" si="7"/>
        <v>ULOC___USD</v>
      </c>
    </row>
    <row r="479" spans="1:9">
      <c r="A479" t="s">
        <v>2608</v>
      </c>
      <c r="B479" t="s">
        <v>2609</v>
      </c>
      <c r="C479">
        <v>32</v>
      </c>
      <c r="D479">
        <v>986000000</v>
      </c>
      <c r="E479">
        <v>5105000000</v>
      </c>
      <c r="F479">
        <v>9326870883.83288</v>
      </c>
      <c r="G479" s="55"/>
      <c r="H479" s="66" t="str">
        <f>IF(OR(LEFT(B479,FIND("_",B479,1)-1)="ULGALLOC",LEFT(B479,FIND("_",B479,1)-1)="ULSPOOL"),LEFT(B479,FIND("_",B479,1)-1),VLOOKUP(LEFT(A479,6),'Code Library'!$D$3:$E$200,2,0))&amp;"_"&amp;RIGHT(A479,3)</f>
        <v>HPPA_IDR</v>
      </c>
      <c r="I479" s="66" t="str">
        <f t="shared" si="7"/>
        <v>ULPIPX_IDR</v>
      </c>
    </row>
    <row r="480" spans="1:9">
      <c r="A480" t="s">
        <v>2610</v>
      </c>
      <c r="B480" t="s">
        <v>2611</v>
      </c>
      <c r="C480">
        <v>44</v>
      </c>
      <c r="D480">
        <v>119900</v>
      </c>
      <c r="E480">
        <v>2200000</v>
      </c>
      <c r="F480">
        <v>1035949.55371793</v>
      </c>
      <c r="G480" s="55"/>
      <c r="H480" s="66" t="str">
        <f>IF(OR(LEFT(B480,FIND("_",B480,1)-1)="ULGALLOC",LEFT(B480,FIND("_",B480,1)-1)="ULSPOOL"),LEFT(B480,FIND("_",B480,1)-1),VLOOKUP(LEFT(A480,6),'Code Library'!$D$3:$E$200,2,0))&amp;"_"&amp;RIGHT(A480,3)</f>
        <v>HPPA_USD</v>
      </c>
      <c r="I480" s="66" t="str">
        <f t="shared" si="7"/>
        <v>ULPIPX_USD</v>
      </c>
    </row>
    <row r="481" spans="1:9">
      <c r="A481" t="s">
        <v>1126</v>
      </c>
      <c r="B481" t="s">
        <v>1127</v>
      </c>
      <c r="C481">
        <v>67</v>
      </c>
      <c r="D481">
        <v>356600000</v>
      </c>
      <c r="E481">
        <v>9660000000</v>
      </c>
      <c r="F481">
        <v>4367269118.9012003</v>
      </c>
      <c r="G481" s="55"/>
      <c r="H481" s="66" t="str">
        <f>IF(OR(LEFT(B481,FIND("_",B481,1)-1)="ULGALLOC",LEFT(B481,FIND("_",B481,1)-1)="ULSPOOL"),LEFT(B481,FIND("_",B481,1)-1),VLOOKUP(LEFT(A481,6),'Code Library'!$D$3:$E$200,2,0))&amp;"_"&amp;RIGHT(A481,3)</f>
        <v>SLPPN_IDR</v>
      </c>
      <c r="I481" s="66" t="str">
        <f t="shared" si="7"/>
        <v>ULPPN__IDR</v>
      </c>
    </row>
    <row r="482" spans="1:9">
      <c r="A482" t="s">
        <v>1128</v>
      </c>
      <c r="B482" t="s">
        <v>1129</v>
      </c>
      <c r="C482">
        <v>121</v>
      </c>
      <c r="D482">
        <v>614000004</v>
      </c>
      <c r="E482">
        <v>18504000000</v>
      </c>
      <c r="F482">
        <v>5075761191.0419397</v>
      </c>
      <c r="G482" s="55"/>
      <c r="H482" s="66" t="str">
        <f>IF(OR(LEFT(B482,FIND("_",B482,1)-1)="ULGALLOC",LEFT(B482,FIND("_",B482,1)-1)="ULSPOOL"),LEFT(B482,FIND("_",B482,1)-1),VLOOKUP(LEFT(A482,6),'Code Library'!$D$3:$E$200,2,0))&amp;"_"&amp;RIGHT(A482,3)</f>
        <v>RLPPN_IDR</v>
      </c>
      <c r="I482" s="66" t="str">
        <f t="shared" si="7"/>
        <v>ULPPNR_IDR</v>
      </c>
    </row>
    <row r="483" spans="1:9">
      <c r="A483" t="s">
        <v>1130</v>
      </c>
      <c r="B483" t="s">
        <v>1131</v>
      </c>
      <c r="C483">
        <v>253</v>
      </c>
      <c r="D483">
        <v>7005749996</v>
      </c>
      <c r="E483">
        <v>80633500000</v>
      </c>
      <c r="F483">
        <v>22388190728.925999</v>
      </c>
      <c r="G483" s="55"/>
      <c r="H483" s="66" t="str">
        <f>IF(OR(LEFT(B483,FIND("_",B483,1)-1)="ULGALLOC",LEFT(B483,FIND("_",B483,1)-1)="ULSPOOL"),LEFT(B483,FIND("_",B483,1)-1),VLOOKUP(LEFT(A483,6),'Code Library'!$D$3:$E$200,2,0))&amp;"_"&amp;RIGHT(A483,3)</f>
        <v>SLPS_IDR</v>
      </c>
      <c r="I483" s="66" t="str">
        <f t="shared" si="7"/>
        <v>ULPS___IDR</v>
      </c>
    </row>
    <row r="484" spans="1:9">
      <c r="A484" t="s">
        <v>1132</v>
      </c>
      <c r="B484" t="s">
        <v>1133</v>
      </c>
      <c r="C484">
        <v>176</v>
      </c>
      <c r="D484">
        <v>11879200012</v>
      </c>
      <c r="E484">
        <v>85565000000</v>
      </c>
      <c r="F484">
        <v>23542689928.300301</v>
      </c>
      <c r="H484" s="66" t="str">
        <f>IF(OR(LEFT(B484,FIND("_",B484,1)-1)="ULGALLOC",LEFT(B484,FIND("_",B484,1)-1)="ULSPOOL"),LEFT(B484,FIND("_",B484,1)-1),VLOOKUP(LEFT(A484,6),'Code Library'!$D$3:$E$200,2,0))&amp;"_"&amp;RIGHT(A484,3)</f>
        <v>RSLPS_IDR</v>
      </c>
      <c r="I484" s="66" t="str">
        <f t="shared" si="7"/>
        <v>ULPSR__IDR</v>
      </c>
    </row>
    <row r="485" spans="1:9">
      <c r="A485" t="s">
        <v>1134</v>
      </c>
      <c r="B485" t="s">
        <v>1135</v>
      </c>
      <c r="C485">
        <v>3</v>
      </c>
      <c r="D485">
        <v>125000000</v>
      </c>
      <c r="E485">
        <v>1250000000</v>
      </c>
      <c r="F485">
        <v>321384433</v>
      </c>
      <c r="G485" s="55"/>
      <c r="H485" s="66" t="str">
        <f>IF(OR(LEFT(B485,FIND("_",B485,1)-1)="ULGALLOC",LEFT(B485,FIND("_",B485,1)-1)="ULSPOOL"),LEFT(B485,FIND("_",B485,1)-1),VLOOKUP(LEFT(A485,6),'Code Library'!$D$3:$E$200,2,0))&amp;"_"&amp;RIGHT(A485,3)</f>
        <v>SHRE_IDR</v>
      </c>
      <c r="I485" s="66" t="str">
        <f t="shared" si="7"/>
        <v>ULRC___IDR</v>
      </c>
    </row>
    <row r="486" spans="1:9">
      <c r="A486" t="s">
        <v>1136</v>
      </c>
      <c r="B486" t="s">
        <v>1137</v>
      </c>
      <c r="C486">
        <v>1</v>
      </c>
      <c r="D486">
        <v>100000000</v>
      </c>
      <c r="E486">
        <v>700000000</v>
      </c>
      <c r="F486">
        <v>297777322</v>
      </c>
      <c r="G486" s="55"/>
      <c r="H486" s="66" t="str">
        <f>IF(OR(LEFT(B486,FIND("_",B486,1)-1)="ULGALLOC",LEFT(B486,FIND("_",B486,1)-1)="ULSPOOL"),LEFT(B486,FIND("_",B486,1)-1),VLOOKUP(LEFT(A486,6),'Code Library'!$D$3:$E$200,2,0))&amp;"_"&amp;RIGHT(A486,3)</f>
        <v>SHRE_IDR</v>
      </c>
      <c r="I486" s="66" t="str">
        <f t="shared" si="7"/>
        <v>ULRCK__IDR</v>
      </c>
    </row>
    <row r="487" spans="1:9">
      <c r="A487" t="s">
        <v>1138</v>
      </c>
      <c r="B487" t="s">
        <v>2273</v>
      </c>
      <c r="C487">
        <v>1255</v>
      </c>
      <c r="D487">
        <v>20187887776</v>
      </c>
      <c r="E487">
        <v>328978468960</v>
      </c>
      <c r="F487">
        <v>7872533926.0710402</v>
      </c>
      <c r="G487" s="55"/>
      <c r="H487" s="66" t="str">
        <f>IF(OR(LEFT(B487,FIND("_",B487,1)-1)="ULGALLOC",LEFT(B487,FIND("_",B487,1)-1)="ULSPOOL"),LEFT(B487,FIND("_",B487,1)-1),VLOOKUP(LEFT(A487,6),'Code Library'!$D$3:$E$200,2,0))&amp;"_"&amp;RIGHT(A487,3)</f>
        <v>SLPLF_IDR</v>
      </c>
      <c r="I487" s="66" t="str">
        <f t="shared" si="7"/>
        <v>ULRPLF_IDR</v>
      </c>
    </row>
    <row r="488" spans="1:9">
      <c r="A488" t="s">
        <v>1138</v>
      </c>
      <c r="B488" t="s">
        <v>2612</v>
      </c>
      <c r="C488">
        <v>1586</v>
      </c>
      <c r="D488">
        <v>23727642052</v>
      </c>
      <c r="E488">
        <v>401224235120</v>
      </c>
      <c r="F488">
        <v>6187524693.6511497</v>
      </c>
      <c r="G488" s="55"/>
      <c r="H488" s="66" t="str">
        <f>IF(OR(LEFT(B488,FIND("_",B488,1)-1)="ULGALLOC",LEFT(B488,FIND("_",B488,1)-1)="ULSPOOL"),LEFT(B488,FIND("_",B488,1)-1),VLOOKUP(LEFT(A488,6),'Code Library'!$D$3:$E$200,2,0))&amp;"_"&amp;RIGHT(A488,3)</f>
        <v>SLPLF_IDR</v>
      </c>
      <c r="I488" s="66" t="str">
        <f t="shared" si="7"/>
        <v>ULRPLF_IDR</v>
      </c>
    </row>
    <row r="489" spans="1:9">
      <c r="A489" t="s">
        <v>1138</v>
      </c>
      <c r="B489" t="s">
        <v>2613</v>
      </c>
      <c r="C489">
        <v>357</v>
      </c>
      <c r="D489">
        <v>4272446000</v>
      </c>
      <c r="E489">
        <v>90610800000</v>
      </c>
      <c r="F489">
        <v>752326132.05966496</v>
      </c>
      <c r="G489" s="55"/>
      <c r="H489" s="66" t="str">
        <f>IF(OR(LEFT(B489,FIND("_",B489,1)-1)="ULGALLOC",LEFT(B489,FIND("_",B489,1)-1)="ULSPOOL"),LEFT(B489,FIND("_",B489,1)-1),VLOOKUP(LEFT(A489,6),'Code Library'!$D$3:$E$200,2,0))&amp;"_"&amp;RIGHT(A489,3)</f>
        <v>SLPLF_IDR</v>
      </c>
      <c r="I489" s="66" t="str">
        <f t="shared" si="7"/>
        <v>ULRPLF_IDR</v>
      </c>
    </row>
    <row r="490" spans="1:9">
      <c r="A490" t="s">
        <v>1138</v>
      </c>
      <c r="B490" t="s">
        <v>2274</v>
      </c>
      <c r="C490">
        <v>11</v>
      </c>
      <c r="D490">
        <v>144740000</v>
      </c>
      <c r="E490">
        <v>4342000000</v>
      </c>
      <c r="F490">
        <v>105586492.514311</v>
      </c>
      <c r="G490" s="55"/>
      <c r="H490" s="66" t="str">
        <f>IF(OR(LEFT(B490,FIND("_",B490,1)-1)="ULGALLOC",LEFT(B490,FIND("_",B490,1)-1)="ULSPOOL"),LEFT(B490,FIND("_",B490,1)-1),VLOOKUP(LEFT(A490,6),'Code Library'!$D$3:$E$200,2,0))&amp;"_"&amp;RIGHT(A490,3)</f>
        <v>SLPLF_IDR</v>
      </c>
      <c r="I490" s="66" t="str">
        <f t="shared" si="7"/>
        <v>ULRPLF_IDR</v>
      </c>
    </row>
    <row r="491" spans="1:9">
      <c r="A491" t="s">
        <v>1138</v>
      </c>
      <c r="B491" t="s">
        <v>2614</v>
      </c>
      <c r="C491">
        <v>7</v>
      </c>
      <c r="D491">
        <v>44360000</v>
      </c>
      <c r="E491">
        <v>1750000000</v>
      </c>
      <c r="F491">
        <v>25547076.713796001</v>
      </c>
      <c r="G491" s="55"/>
      <c r="H491" s="66" t="str">
        <f>IF(OR(LEFT(B491,FIND("_",B491,1)-1)="ULGALLOC",LEFT(B491,FIND("_",B491,1)-1)="ULSPOOL"),LEFT(B491,FIND("_",B491,1)-1),VLOOKUP(LEFT(A491,6),'Code Library'!$D$3:$E$200,2,0))&amp;"_"&amp;RIGHT(A491,3)</f>
        <v>SLPLF_IDR</v>
      </c>
      <c r="I491" s="66" t="str">
        <f t="shared" si="7"/>
        <v>ULRPLF_IDR</v>
      </c>
    </row>
    <row r="492" spans="1:9">
      <c r="A492" t="s">
        <v>1138</v>
      </c>
      <c r="B492" t="s">
        <v>2275</v>
      </c>
      <c r="C492">
        <v>23865</v>
      </c>
      <c r="D492">
        <v>491077937812</v>
      </c>
      <c r="E492">
        <v>6330980133431</v>
      </c>
      <c r="F492">
        <v>67116706116.919998</v>
      </c>
      <c r="G492" s="55"/>
      <c r="H492" s="66" t="str">
        <f>IF(OR(LEFT(B492,FIND("_",B492,1)-1)="ULGALLOC",LEFT(B492,FIND("_",B492,1)-1)="ULSPOOL"),LEFT(B492,FIND("_",B492,1)-1),VLOOKUP(LEFT(A492,6),'Code Library'!$D$3:$E$200,2,0))&amp;"_"&amp;RIGHT(A492,3)</f>
        <v>SLPLF_IDR</v>
      </c>
      <c r="I492" s="66" t="str">
        <f t="shared" si="7"/>
        <v>ULRPLF_IDR</v>
      </c>
    </row>
    <row r="493" spans="1:9">
      <c r="A493" t="s">
        <v>1138</v>
      </c>
      <c r="B493" t="s">
        <v>2615</v>
      </c>
      <c r="C493">
        <v>30017</v>
      </c>
      <c r="D493">
        <v>601767425988</v>
      </c>
      <c r="E493">
        <v>7233483595812</v>
      </c>
      <c r="F493">
        <v>61895262713.958099</v>
      </c>
      <c r="G493" s="55"/>
      <c r="H493" s="66" t="str">
        <f>IF(OR(LEFT(B493,FIND("_",B493,1)-1)="ULGALLOC",LEFT(B493,FIND("_",B493,1)-1)="ULSPOOL"),LEFT(B493,FIND("_",B493,1)-1),VLOOKUP(LEFT(A493,6),'Code Library'!$D$3:$E$200,2,0))&amp;"_"&amp;RIGHT(A493,3)</f>
        <v>SLPLF_IDR</v>
      </c>
      <c r="I493" s="66" t="str">
        <f t="shared" si="7"/>
        <v>ULRPLF_IDR</v>
      </c>
    </row>
    <row r="494" spans="1:9">
      <c r="A494" t="s">
        <v>1138</v>
      </c>
      <c r="B494" t="s">
        <v>2616</v>
      </c>
      <c r="C494">
        <v>4548</v>
      </c>
      <c r="D494">
        <v>85794353588</v>
      </c>
      <c r="E494">
        <v>1042637283408</v>
      </c>
      <c r="F494">
        <v>5803642528.7804604</v>
      </c>
      <c r="G494" s="55"/>
      <c r="H494" s="66" t="str">
        <f>IF(OR(LEFT(B494,FIND("_",B494,1)-1)="ULGALLOC",LEFT(B494,FIND("_",B494,1)-1)="ULSPOOL"),LEFT(B494,FIND("_",B494,1)-1),VLOOKUP(LEFT(A494,6),'Code Library'!$D$3:$E$200,2,0))&amp;"_"&amp;RIGHT(A494,3)</f>
        <v>SLPLF_IDR</v>
      </c>
      <c r="I494" s="66" t="str">
        <f t="shared" si="7"/>
        <v>ULRPLF_IDR</v>
      </c>
    </row>
    <row r="495" spans="1:9">
      <c r="A495" t="s">
        <v>1138</v>
      </c>
      <c r="B495" t="s">
        <v>2276</v>
      </c>
      <c r="C495">
        <v>5779</v>
      </c>
      <c r="D495">
        <v>100000770996</v>
      </c>
      <c r="E495">
        <v>1498020783560</v>
      </c>
      <c r="F495">
        <v>19110679499.038898</v>
      </c>
      <c r="G495" s="55"/>
      <c r="H495" s="66" t="str">
        <f>IF(OR(LEFT(B495,FIND("_",B495,1)-1)="ULGALLOC",LEFT(B495,FIND("_",B495,1)-1)="ULSPOOL"),LEFT(B495,FIND("_",B495,1)-1),VLOOKUP(LEFT(A495,6),'Code Library'!$D$3:$E$200,2,0))&amp;"_"&amp;RIGHT(A495,3)</f>
        <v>SLPLF_IDR</v>
      </c>
      <c r="I495" s="66" t="str">
        <f t="shared" si="7"/>
        <v>ULRPLF_IDR</v>
      </c>
    </row>
    <row r="496" spans="1:9">
      <c r="A496" t="s">
        <v>1138</v>
      </c>
      <c r="B496" t="s">
        <v>2617</v>
      </c>
      <c r="C496">
        <v>6497</v>
      </c>
      <c r="D496">
        <v>102058636876</v>
      </c>
      <c r="E496">
        <v>1560983987721</v>
      </c>
      <c r="F496">
        <v>12930677879.696501</v>
      </c>
      <c r="G496" s="55"/>
      <c r="H496" s="66" t="str">
        <f>IF(OR(LEFT(B496,FIND("_",B496,1)-1)="ULGALLOC",LEFT(B496,FIND("_",B496,1)-1)="ULSPOOL"),LEFT(B496,FIND("_",B496,1)-1),VLOOKUP(LEFT(A496,6),'Code Library'!$D$3:$E$200,2,0))&amp;"_"&amp;RIGHT(A496,3)</f>
        <v>SLPLF_IDR</v>
      </c>
      <c r="I496" s="66" t="str">
        <f t="shared" si="7"/>
        <v>ULRPLF_IDR</v>
      </c>
    </row>
    <row r="497" spans="1:9">
      <c r="A497" t="s">
        <v>1138</v>
      </c>
      <c r="B497" t="s">
        <v>2618</v>
      </c>
      <c r="C497">
        <v>1079</v>
      </c>
      <c r="D497">
        <v>13395529600</v>
      </c>
      <c r="E497">
        <v>252033980000</v>
      </c>
      <c r="F497">
        <v>1277694301.0710599</v>
      </c>
      <c r="G497" s="55"/>
      <c r="H497" s="66" t="str">
        <f>IF(OR(LEFT(B497,FIND("_",B497,1)-1)="ULGALLOC",LEFT(B497,FIND("_",B497,1)-1)="ULSPOOL"),LEFT(B497,FIND("_",B497,1)-1),VLOOKUP(LEFT(A497,6),'Code Library'!$D$3:$E$200,2,0))&amp;"_"&amp;RIGHT(A497,3)</f>
        <v>SLPLF_IDR</v>
      </c>
      <c r="I497" s="66" t="str">
        <f t="shared" si="7"/>
        <v>ULRPLF_IDR</v>
      </c>
    </row>
    <row r="498" spans="1:9">
      <c r="A498" t="s">
        <v>1139</v>
      </c>
      <c r="B498" t="s">
        <v>1140</v>
      </c>
      <c r="C498">
        <v>894</v>
      </c>
      <c r="D498">
        <v>12552630400</v>
      </c>
      <c r="E498">
        <v>365646588000</v>
      </c>
      <c r="F498">
        <v>15496665078.915899</v>
      </c>
      <c r="G498" s="55"/>
      <c r="H498" s="66" t="str">
        <f>IF(OR(LEFT(B498,FIND("_",B498,1)-1)="ULGALLOC",LEFT(B498,FIND("_",B498,1)-1)="ULSPOOL"),LEFT(B498,FIND("_",B498,1)-1),VLOOKUP(LEFT(A498,6),'Code Library'!$D$3:$E$200,2,0))&amp;"_"&amp;RIGHT(A498,3)</f>
        <v>RNSPOA_IDR</v>
      </c>
      <c r="I498" s="66" t="str">
        <f t="shared" si="7"/>
        <v>ULRPOA_IDR</v>
      </c>
    </row>
    <row r="499" spans="1:9">
      <c r="A499" t="s">
        <v>1139</v>
      </c>
      <c r="B499" t="s">
        <v>1141</v>
      </c>
      <c r="C499">
        <v>4293</v>
      </c>
      <c r="D499">
        <v>71666216521.652496</v>
      </c>
      <c r="E499">
        <v>1370300670514</v>
      </c>
      <c r="F499">
        <v>70827943311.628098</v>
      </c>
      <c r="H499" s="66" t="str">
        <f>IF(OR(LEFT(B499,FIND("_",B499,1)-1)="ULGALLOC",LEFT(B499,FIND("_",B499,1)-1)="ULSPOOL"),LEFT(B499,FIND("_",B499,1)-1),VLOOKUP(LEFT(A499,6),'Code Library'!$D$3:$E$200,2,0))&amp;"_"&amp;RIGHT(A499,3)</f>
        <v>RNSPOA_IDR</v>
      </c>
      <c r="I499" s="66" t="str">
        <f t="shared" si="7"/>
        <v>ULRPOA_IDR</v>
      </c>
    </row>
    <row r="500" spans="1:9">
      <c r="A500" t="s">
        <v>1139</v>
      </c>
      <c r="B500" t="s">
        <v>1142</v>
      </c>
      <c r="C500">
        <v>2452</v>
      </c>
      <c r="D500">
        <v>37891683728.501602</v>
      </c>
      <c r="E500">
        <v>633673970500</v>
      </c>
      <c r="F500">
        <v>31740020722.603699</v>
      </c>
      <c r="H500" s="66" t="str">
        <f>IF(OR(LEFT(B500,FIND("_",B500,1)-1)="ULGALLOC",LEFT(B500,FIND("_",B500,1)-1)="ULSPOOL"),LEFT(B500,FIND("_",B500,1)-1),VLOOKUP(LEFT(A500,6),'Code Library'!$D$3:$E$200,2,0))&amp;"_"&amp;RIGHT(A500,3)</f>
        <v>RNSPOA_IDR</v>
      </c>
      <c r="I500" s="66" t="str">
        <f t="shared" si="7"/>
        <v>ULRPOA_IDR</v>
      </c>
    </row>
    <row r="501" spans="1:9">
      <c r="A501" t="s">
        <v>1139</v>
      </c>
      <c r="B501" t="s">
        <v>1143</v>
      </c>
      <c r="C501">
        <v>3292</v>
      </c>
      <c r="D501">
        <v>60579012911.905998</v>
      </c>
      <c r="E501">
        <v>1365417726888</v>
      </c>
      <c r="F501">
        <v>64211473101.7351</v>
      </c>
      <c r="G501" s="55"/>
      <c r="H501" s="66" t="str">
        <f>IF(OR(LEFT(B501,FIND("_",B501,1)-1)="ULGALLOC",LEFT(B501,FIND("_",B501,1)-1)="ULSPOOL"),LEFT(B501,FIND("_",B501,1)-1),VLOOKUP(LEFT(A501,6),'Code Library'!$D$3:$E$200,2,0))&amp;"_"&amp;RIGHT(A501,3)</f>
        <v>RNSPOA_IDR</v>
      </c>
      <c r="I501" s="66" t="str">
        <f t="shared" si="7"/>
        <v>ULRPOA_IDR</v>
      </c>
    </row>
    <row r="502" spans="1:9">
      <c r="A502" t="s">
        <v>1139</v>
      </c>
      <c r="B502" t="s">
        <v>1144</v>
      </c>
      <c r="C502">
        <v>19974</v>
      </c>
      <c r="D502">
        <v>449823657356.47699</v>
      </c>
      <c r="E502">
        <v>7217751038392.9902</v>
      </c>
      <c r="F502">
        <v>342160416081.133</v>
      </c>
      <c r="H502" s="66" t="str">
        <f>IF(OR(LEFT(B502,FIND("_",B502,1)-1)="ULGALLOC",LEFT(B502,FIND("_",B502,1)-1)="ULSPOOL"),LEFT(B502,FIND("_",B502,1)-1),VLOOKUP(LEFT(A502,6),'Code Library'!$D$3:$E$200,2,0))&amp;"_"&amp;RIGHT(A502,3)</f>
        <v>RNSPOA_IDR</v>
      </c>
      <c r="I502" s="66" t="str">
        <f t="shared" si="7"/>
        <v>ULRPOA_IDR</v>
      </c>
    </row>
    <row r="503" spans="1:9">
      <c r="A503" t="s">
        <v>1139</v>
      </c>
      <c r="B503" t="s">
        <v>1145</v>
      </c>
      <c r="C503">
        <v>16628</v>
      </c>
      <c r="D503">
        <v>341819439393.84601</v>
      </c>
      <c r="E503">
        <v>4501467402150</v>
      </c>
      <c r="F503">
        <v>193298338350.43201</v>
      </c>
      <c r="G503" s="55"/>
      <c r="H503" s="66" t="str">
        <f>IF(OR(LEFT(B503,FIND("_",B503,1)-1)="ULGALLOC",LEFT(B503,FIND("_",B503,1)-1)="ULSPOOL"),LEFT(B503,FIND("_",B503,1)-1),VLOOKUP(LEFT(A503,6),'Code Library'!$D$3:$E$200,2,0))&amp;"_"&amp;RIGHT(A503,3)</f>
        <v>RNSPOA_IDR</v>
      </c>
      <c r="I503" s="66" t="str">
        <f t="shared" si="7"/>
        <v>ULRPOA_IDR</v>
      </c>
    </row>
    <row r="504" spans="1:9">
      <c r="A504" t="s">
        <v>1139</v>
      </c>
      <c r="B504" t="s">
        <v>1146</v>
      </c>
      <c r="C504">
        <v>3928</v>
      </c>
      <c r="D504">
        <v>56327129545.5494</v>
      </c>
      <c r="E504">
        <v>1767412648928</v>
      </c>
      <c r="F504">
        <v>72759162190.713104</v>
      </c>
      <c r="G504" s="55"/>
      <c r="H504" s="66" t="str">
        <f>IF(OR(LEFT(B504,FIND("_",B504,1)-1)="ULGALLOC",LEFT(B504,FIND("_",B504,1)-1)="ULSPOOL"),LEFT(B504,FIND("_",B504,1)-1),VLOOKUP(LEFT(A504,6),'Code Library'!$D$3:$E$200,2,0))&amp;"_"&amp;RIGHT(A504,3)</f>
        <v>RNSPOA_IDR</v>
      </c>
      <c r="I504" s="66" t="str">
        <f t="shared" si="7"/>
        <v>ULRPOA_IDR</v>
      </c>
    </row>
    <row r="505" spans="1:9">
      <c r="A505" t="s">
        <v>1139</v>
      </c>
      <c r="B505" t="s">
        <v>1147</v>
      </c>
      <c r="C505">
        <v>18075</v>
      </c>
      <c r="D505">
        <v>323888458139.81097</v>
      </c>
      <c r="E505">
        <v>6254619218313</v>
      </c>
      <c r="F505">
        <v>282070105010.59998</v>
      </c>
      <c r="H505" s="66" t="str">
        <f>IF(OR(LEFT(B505,FIND("_",B505,1)-1)="ULGALLOC",LEFT(B505,FIND("_",B505,1)-1)="ULSPOOL"),LEFT(B505,FIND("_",B505,1)-1),VLOOKUP(LEFT(A505,6),'Code Library'!$D$3:$E$200,2,0))&amp;"_"&amp;RIGHT(A505,3)</f>
        <v>RNSPOA_IDR</v>
      </c>
      <c r="I505" s="66" t="str">
        <f t="shared" si="7"/>
        <v>ULRPOA_IDR</v>
      </c>
    </row>
    <row r="506" spans="1:9">
      <c r="A506" t="s">
        <v>1139</v>
      </c>
      <c r="B506" t="s">
        <v>1148</v>
      </c>
      <c r="C506">
        <v>11973</v>
      </c>
      <c r="D506">
        <v>201740473213.96301</v>
      </c>
      <c r="E506">
        <v>3133425302501</v>
      </c>
      <c r="F506">
        <v>134848036143.534</v>
      </c>
      <c r="H506" s="66" t="str">
        <f>IF(OR(LEFT(B506,FIND("_",B506,1)-1)="ULGALLOC",LEFT(B506,FIND("_",B506,1)-1)="ULSPOOL"),LEFT(B506,FIND("_",B506,1)-1),VLOOKUP(LEFT(A506,6),'Code Library'!$D$3:$E$200,2,0))&amp;"_"&amp;RIGHT(A506,3)</f>
        <v>RNSPOA_IDR</v>
      </c>
      <c r="I506" s="66" t="str">
        <f t="shared" si="7"/>
        <v>ULRPOA_IDR</v>
      </c>
    </row>
    <row r="507" spans="1:9">
      <c r="A507" t="s">
        <v>1149</v>
      </c>
      <c r="B507" t="s">
        <v>1150</v>
      </c>
      <c r="C507">
        <v>1957</v>
      </c>
      <c r="D507">
        <v>24784171927.1418</v>
      </c>
      <c r="E507">
        <v>429112950000</v>
      </c>
      <c r="F507">
        <v>15136773242.8894</v>
      </c>
      <c r="H507" s="66" t="str">
        <f>IF(OR(LEFT(B507,FIND("_",B507,1)-1)="ULGALLOC",LEFT(B507,FIND("_",B507,1)-1)="ULSPOOL"),LEFT(B507,FIND("_",B507,1)-1),VLOOKUP(LEFT(A507,6),'Code Library'!$D$3:$E$200,2,0))&amp;"_"&amp;RIGHT(A507,3)</f>
        <v>RNSPOA_IDR</v>
      </c>
      <c r="I507" s="66" t="str">
        <f t="shared" si="7"/>
        <v>ULRPOAA_IDR</v>
      </c>
    </row>
    <row r="508" spans="1:9">
      <c r="A508" t="s">
        <v>1149</v>
      </c>
      <c r="B508" t="s">
        <v>1151</v>
      </c>
      <c r="C508">
        <v>4749</v>
      </c>
      <c r="D508">
        <v>60649206124.731003</v>
      </c>
      <c r="E508">
        <v>985075775317</v>
      </c>
      <c r="F508">
        <v>27383870740.045601</v>
      </c>
      <c r="G508" s="55"/>
      <c r="H508" s="66" t="str">
        <f>IF(OR(LEFT(B508,FIND("_",B508,1)-1)="ULGALLOC",LEFT(B508,FIND("_",B508,1)-1)="ULSPOOL"),LEFT(B508,FIND("_",B508,1)-1),VLOOKUP(LEFT(A508,6),'Code Library'!$D$3:$E$200,2,0))&amp;"_"&amp;RIGHT(A508,3)</f>
        <v>RNSPOA_IDR</v>
      </c>
      <c r="I508" s="66" t="str">
        <f t="shared" si="7"/>
        <v>ULRPOAA_IDR</v>
      </c>
    </row>
    <row r="509" spans="1:9">
      <c r="A509" t="s">
        <v>1149</v>
      </c>
      <c r="B509" t="s">
        <v>1152</v>
      </c>
      <c r="C509">
        <v>3503</v>
      </c>
      <c r="D509">
        <v>51816690340</v>
      </c>
      <c r="E509">
        <v>852445495123.99902</v>
      </c>
      <c r="F509">
        <v>12749484232.3339</v>
      </c>
      <c r="G509" s="55"/>
      <c r="H509" s="66" t="str">
        <f>IF(OR(LEFT(B509,FIND("_",B509,1)-1)="ULGALLOC",LEFT(B509,FIND("_",B509,1)-1)="ULSPOOL"),LEFT(B509,FIND("_",B509,1)-1),VLOOKUP(LEFT(A509,6),'Code Library'!$D$3:$E$200,2,0))&amp;"_"&amp;RIGHT(A509,3)</f>
        <v>RNSPOA_IDR</v>
      </c>
      <c r="I509" s="66" t="str">
        <f t="shared" si="7"/>
        <v>ULRPOAA_IDR</v>
      </c>
    </row>
    <row r="510" spans="1:9">
      <c r="A510" t="s">
        <v>1149</v>
      </c>
      <c r="B510" t="s">
        <v>2277</v>
      </c>
      <c r="C510">
        <v>705</v>
      </c>
      <c r="D510">
        <v>11058723004</v>
      </c>
      <c r="E510">
        <v>144411400000</v>
      </c>
      <c r="F510">
        <v>1642884517.3731599</v>
      </c>
      <c r="G510" s="55"/>
      <c r="H510" s="66" t="str">
        <f>IF(OR(LEFT(B510,FIND("_",B510,1)-1)="ULGALLOC",LEFT(B510,FIND("_",B510,1)-1)="ULSPOOL"),LEFT(B510,FIND("_",B510,1)-1),VLOOKUP(LEFT(A510,6),'Code Library'!$D$3:$E$200,2,0))&amp;"_"&amp;RIGHT(A510,3)</f>
        <v>RNSPOA_IDR</v>
      </c>
      <c r="I510" s="66" t="str">
        <f t="shared" si="7"/>
        <v>ULRPOAA_IDR</v>
      </c>
    </row>
    <row r="511" spans="1:9">
      <c r="A511" t="s">
        <v>1149</v>
      </c>
      <c r="B511" t="s">
        <v>1153</v>
      </c>
      <c r="C511">
        <v>14834</v>
      </c>
      <c r="D511">
        <v>298519924658.10303</v>
      </c>
      <c r="E511">
        <v>3844895254349</v>
      </c>
      <c r="F511">
        <v>142630936221.823</v>
      </c>
      <c r="H511" s="66" t="str">
        <f>IF(OR(LEFT(B511,FIND("_",B511,1)-1)="ULGALLOC",LEFT(B511,FIND("_",B511,1)-1)="ULSPOOL"),LEFT(B511,FIND("_",B511,1)-1),VLOOKUP(LEFT(A511,6),'Code Library'!$D$3:$E$200,2,0))&amp;"_"&amp;RIGHT(A511,3)</f>
        <v>RNSPOA_IDR</v>
      </c>
      <c r="I511" s="66" t="str">
        <f t="shared" si="7"/>
        <v>ULRPOAA_IDR</v>
      </c>
    </row>
    <row r="512" spans="1:9">
      <c r="A512" t="s">
        <v>1149</v>
      </c>
      <c r="B512" t="s">
        <v>1154</v>
      </c>
      <c r="C512">
        <v>38880</v>
      </c>
      <c r="D512">
        <v>758408964484.28296</v>
      </c>
      <c r="E512">
        <v>9483106368426.9902</v>
      </c>
      <c r="F512">
        <v>221020017683.905</v>
      </c>
      <c r="H512" s="66" t="str">
        <f>IF(OR(LEFT(B512,FIND("_",B512,1)-1)="ULGALLOC",LEFT(B512,FIND("_",B512,1)-1)="ULSPOOL"),LEFT(B512,FIND("_",B512,1)-1),VLOOKUP(LEFT(A512,6),'Code Library'!$D$3:$E$200,2,0))&amp;"_"&amp;RIGHT(A512,3)</f>
        <v>RNSPOA_IDR</v>
      </c>
      <c r="I512" s="66" t="str">
        <f t="shared" si="7"/>
        <v>ULRPOAA_IDR</v>
      </c>
    </row>
    <row r="513" spans="1:9">
      <c r="A513" t="s">
        <v>1149</v>
      </c>
      <c r="B513" t="s">
        <v>1155</v>
      </c>
      <c r="C513">
        <v>36737</v>
      </c>
      <c r="D513">
        <v>739430100482.43201</v>
      </c>
      <c r="E513">
        <v>8791777137521</v>
      </c>
      <c r="F513">
        <v>98468747629.475204</v>
      </c>
      <c r="H513" s="66" t="str">
        <f>IF(OR(LEFT(B513,FIND("_",B513,1)-1)="ULGALLOC",LEFT(B513,FIND("_",B513,1)-1)="ULSPOOL"),LEFT(B513,FIND("_",B513,1)-1),VLOOKUP(LEFT(A513,6),'Code Library'!$D$3:$E$200,2,0))&amp;"_"&amp;RIGHT(A513,3)</f>
        <v>RNSPOA_IDR</v>
      </c>
      <c r="I513" s="66" t="str">
        <f t="shared" si="7"/>
        <v>ULRPOAA_IDR</v>
      </c>
    </row>
    <row r="514" spans="1:9">
      <c r="A514" t="s">
        <v>1149</v>
      </c>
      <c r="B514" t="s">
        <v>2278</v>
      </c>
      <c r="C514">
        <v>8528</v>
      </c>
      <c r="D514">
        <v>164254256976</v>
      </c>
      <c r="E514">
        <v>1764469352000</v>
      </c>
      <c r="F514">
        <v>18196864965.968899</v>
      </c>
      <c r="G514" s="55"/>
      <c r="H514" s="66" t="str">
        <f>IF(OR(LEFT(B514,FIND("_",B514,1)-1)="ULGALLOC",LEFT(B514,FIND("_",B514,1)-1)="ULSPOOL"),LEFT(B514,FIND("_",B514,1)-1),VLOOKUP(LEFT(A514,6),'Code Library'!$D$3:$E$200,2,0))&amp;"_"&amp;RIGHT(A514,3)</f>
        <v>RNSPOA_IDR</v>
      </c>
      <c r="I514" s="66" t="str">
        <f t="shared" si="7"/>
        <v>ULRPOAA_IDR</v>
      </c>
    </row>
    <row r="515" spans="1:9">
      <c r="A515" t="s">
        <v>1149</v>
      </c>
      <c r="B515" t="s">
        <v>1156</v>
      </c>
      <c r="C515">
        <v>9069</v>
      </c>
      <c r="D515">
        <v>141025931388.16901</v>
      </c>
      <c r="E515">
        <v>2160550314446.99</v>
      </c>
      <c r="F515">
        <v>75162265641.091904</v>
      </c>
      <c r="G515" s="55"/>
      <c r="H515" s="66" t="str">
        <f>IF(OR(LEFT(B515,FIND("_",B515,1)-1)="ULGALLOC",LEFT(B515,FIND("_",B515,1)-1)="ULSPOOL"),LEFT(B515,FIND("_",B515,1)-1),VLOOKUP(LEFT(A515,6),'Code Library'!$D$3:$E$200,2,0))&amp;"_"&amp;RIGHT(A515,3)</f>
        <v>RNSPOA_IDR</v>
      </c>
      <c r="I515" s="66" t="str">
        <f t="shared" ref="I515:I578" si="8">A515</f>
        <v>ULRPOAA_IDR</v>
      </c>
    </row>
    <row r="516" spans="1:9">
      <c r="A516" t="s">
        <v>1149</v>
      </c>
      <c r="B516" t="s">
        <v>1157</v>
      </c>
      <c r="C516">
        <v>21873</v>
      </c>
      <c r="D516">
        <v>332269809494.53802</v>
      </c>
      <c r="E516">
        <v>4796767605886</v>
      </c>
      <c r="F516">
        <v>114865266434.12</v>
      </c>
      <c r="G516" s="55"/>
      <c r="H516" s="66" t="str">
        <f>IF(OR(LEFT(B516,FIND("_",B516,1)-1)="ULGALLOC",LEFT(B516,FIND("_",B516,1)-1)="ULSPOOL"),LEFT(B516,FIND("_",B516,1)-1),VLOOKUP(LEFT(A516,6),'Code Library'!$D$3:$E$200,2,0))&amp;"_"&amp;RIGHT(A516,3)</f>
        <v>RNSPOA_IDR</v>
      </c>
      <c r="I516" s="66" t="str">
        <f t="shared" si="8"/>
        <v>ULRPOAA_IDR</v>
      </c>
    </row>
    <row r="517" spans="1:9">
      <c r="A517" t="s">
        <v>1149</v>
      </c>
      <c r="B517" t="s">
        <v>1158</v>
      </c>
      <c r="C517">
        <v>16009</v>
      </c>
      <c r="D517">
        <v>264958449182.80399</v>
      </c>
      <c r="E517">
        <v>3669475901310</v>
      </c>
      <c r="F517">
        <v>44993030866.415001</v>
      </c>
      <c r="G517" s="55"/>
      <c r="H517" s="66" t="str">
        <f>IF(OR(LEFT(B517,FIND("_",B517,1)-1)="ULGALLOC",LEFT(B517,FIND("_",B517,1)-1)="ULSPOOL"),LEFT(B517,FIND("_",B517,1)-1),VLOOKUP(LEFT(A517,6),'Code Library'!$D$3:$E$200,2,0))&amp;"_"&amp;RIGHT(A517,3)</f>
        <v>RNSPOA_IDR</v>
      </c>
      <c r="I517" s="66" t="str">
        <f t="shared" si="8"/>
        <v>ULRPOAA_IDR</v>
      </c>
    </row>
    <row r="518" spans="1:9">
      <c r="A518" t="s">
        <v>1149</v>
      </c>
      <c r="B518" t="s">
        <v>2279</v>
      </c>
      <c r="C518">
        <v>3157</v>
      </c>
      <c r="D518">
        <v>55485184050</v>
      </c>
      <c r="E518">
        <v>681497750000</v>
      </c>
      <c r="F518">
        <v>6932359528.9683199</v>
      </c>
      <c r="H518" s="66" t="str">
        <f>IF(OR(LEFT(B518,FIND("_",B518,1)-1)="ULGALLOC",LEFT(B518,FIND("_",B518,1)-1)="ULSPOOL"),LEFT(B518,FIND("_",B518,1)-1),VLOOKUP(LEFT(A518,6),'Code Library'!$D$3:$E$200,2,0))&amp;"_"&amp;RIGHT(A518,3)</f>
        <v>RNSPOA_IDR</v>
      </c>
      <c r="I518" s="66" t="str">
        <f t="shared" si="8"/>
        <v>ULRPOAA_IDR</v>
      </c>
    </row>
    <row r="519" spans="1:9">
      <c r="A519" t="s">
        <v>1159</v>
      </c>
      <c r="B519" t="s">
        <v>1160</v>
      </c>
      <c r="C519">
        <v>72</v>
      </c>
      <c r="D519">
        <v>132900000</v>
      </c>
      <c r="E519">
        <v>3641500000</v>
      </c>
      <c r="F519">
        <v>2617526264.83634</v>
      </c>
      <c r="G519" s="55"/>
      <c r="H519" s="66" t="str">
        <f>IF(OR(LEFT(B519,FIND("_",B519,1)-1)="ULGALLOC",LEFT(B519,FIND("_",B519,1)-1)="ULSPOOL"),LEFT(B519,FIND("_",B519,1)-1),VLOOKUP(LEFT(A519,6),'Code Library'!$D$3:$E$200,2,0))&amp;"_"&amp;RIGHT(A519,3)</f>
        <v>SLBA_IDR</v>
      </c>
      <c r="I519" s="66" t="str">
        <f t="shared" si="8"/>
        <v>ULSBA__IDR</v>
      </c>
    </row>
    <row r="520" spans="1:9">
      <c r="A520" t="s">
        <v>1159</v>
      </c>
      <c r="B520" t="s">
        <v>1161</v>
      </c>
      <c r="C520">
        <v>73</v>
      </c>
      <c r="D520">
        <v>163200000</v>
      </c>
      <c r="E520">
        <v>7325000000</v>
      </c>
      <c r="F520">
        <v>1708133104.28757</v>
      </c>
      <c r="G520" s="55"/>
      <c r="H520" s="66" t="str">
        <f>IF(OR(LEFT(B520,FIND("_",B520,1)-1)="ULGALLOC",LEFT(B520,FIND("_",B520,1)-1)="ULSPOOL"),LEFT(B520,FIND("_",B520,1)-1),VLOOKUP(LEFT(A520,6),'Code Library'!$D$3:$E$200,2,0))&amp;"_"&amp;RIGHT(A520,3)</f>
        <v>SLBA_IDR</v>
      </c>
      <c r="I520" s="66" t="str">
        <f t="shared" si="8"/>
        <v>ULSBA__IDR</v>
      </c>
    </row>
    <row r="521" spans="1:9">
      <c r="A521" t="s">
        <v>1162</v>
      </c>
      <c r="B521" t="s">
        <v>1163</v>
      </c>
      <c r="C521">
        <v>665</v>
      </c>
      <c r="D521">
        <v>1431895560</v>
      </c>
      <c r="E521">
        <v>32877500000</v>
      </c>
      <c r="F521">
        <v>11119466717.653099</v>
      </c>
      <c r="G521" s="55"/>
      <c r="H521" s="66" t="str">
        <f>IF(OR(LEFT(B521,FIND("_",B521,1)-1)="ULGALLOC",LEFT(B521,FIND("_",B521,1)-1)="ULSPOOL"),LEFT(B521,FIND("_",B521,1)-1),VLOOKUP(LEFT(A521,6),'Code Library'!$D$3:$E$200,2,0))&amp;"_"&amp;RIGHT(A521,3)</f>
        <v>RSLBA_IDR</v>
      </c>
      <c r="I521" s="66" t="str">
        <f t="shared" si="8"/>
        <v>ULSBAR_IDR</v>
      </c>
    </row>
    <row r="522" spans="1:9">
      <c r="A522" t="s">
        <v>1162</v>
      </c>
      <c r="B522" t="s">
        <v>1164</v>
      </c>
      <c r="C522">
        <v>150</v>
      </c>
      <c r="D522">
        <v>260340000</v>
      </c>
      <c r="E522">
        <v>11226000001</v>
      </c>
      <c r="F522">
        <v>1461329401.7678499</v>
      </c>
      <c r="G522" s="55"/>
      <c r="H522" s="66" t="str">
        <f>IF(OR(LEFT(B522,FIND("_",B522,1)-1)="ULGALLOC",LEFT(B522,FIND("_",B522,1)-1)="ULSPOOL"),LEFT(B522,FIND("_",B522,1)-1),VLOOKUP(LEFT(A522,6),'Code Library'!$D$3:$E$200,2,0))&amp;"_"&amp;RIGHT(A522,3)</f>
        <v>RSLBA_IDR</v>
      </c>
      <c r="I522" s="66" t="str">
        <f t="shared" si="8"/>
        <v>ULSBAR_IDR</v>
      </c>
    </row>
    <row r="523" spans="1:9">
      <c r="A523" t="s">
        <v>1165</v>
      </c>
      <c r="B523" t="s">
        <v>1166</v>
      </c>
      <c r="C523">
        <v>3</v>
      </c>
      <c r="D523">
        <v>225000</v>
      </c>
      <c r="E523">
        <v>450000</v>
      </c>
      <c r="F523">
        <v>65829</v>
      </c>
      <c r="G523" s="55"/>
      <c r="H523" s="66" t="str">
        <f>IF(OR(LEFT(B523,FIND("_",B523,1)-1)="ULGALLOC",LEFT(B523,FIND("_",B523,1)-1)="ULSPOOL"),LEFT(B523,FIND("_",B523,1)-1),VLOOKUP(LEFT(A523,6),'Code Library'!$D$3:$E$200,2,0))&amp;"_"&amp;RIGHT(A523,3)</f>
        <v>SLDIP_USD</v>
      </c>
      <c r="I523" s="66" t="str">
        <f t="shared" si="8"/>
        <v>ULSDIP_USD</v>
      </c>
    </row>
    <row r="524" spans="1:9">
      <c r="A524" t="s">
        <v>1167</v>
      </c>
      <c r="B524" t="s">
        <v>1168</v>
      </c>
      <c r="C524">
        <v>63</v>
      </c>
      <c r="D524">
        <v>339700000</v>
      </c>
      <c r="E524">
        <v>20073000000</v>
      </c>
      <c r="F524">
        <v>2479949930.2483902</v>
      </c>
      <c r="G524" s="55"/>
      <c r="H524" s="66" t="str">
        <f>IF(OR(LEFT(B524,FIND("_",B524,1)-1)="ULGALLOC",LEFT(B524,FIND("_",B524,1)-1)="ULSPOOL"),LEFT(B524,FIND("_",B524,1)-1),VLOOKUP(LEFT(A524,6),'Code Library'!$D$3:$E$200,2,0))&amp;"_"&amp;RIGHT(A524,3)</f>
        <v>SLEXP_IDR</v>
      </c>
      <c r="I524" s="66" t="str">
        <f t="shared" si="8"/>
        <v>ULSEXP_IDR</v>
      </c>
    </row>
    <row r="525" spans="1:9">
      <c r="A525" t="s">
        <v>1169</v>
      </c>
      <c r="B525" t="s">
        <v>1170</v>
      </c>
      <c r="C525">
        <v>1188</v>
      </c>
      <c r="D525">
        <v>6657943580</v>
      </c>
      <c r="E525">
        <v>146100093700</v>
      </c>
      <c r="F525">
        <v>44482511727.0867</v>
      </c>
      <c r="G525" s="55"/>
      <c r="H525" s="66" t="str">
        <f>IF(OR(LEFT(B525,FIND("_",B525,1)-1)="ULGALLOC",LEFT(B525,FIND("_",B525,1)-1)="ULSPOOL"),LEFT(B525,FIND("_",B525,1)-1),VLOOKUP(LEFT(A525,6),'Code Library'!$D$3:$E$200,2,0))&amp;"_"&amp;RIGHT(A525,3)</f>
        <v>SLFA_IDR</v>
      </c>
      <c r="I525" s="66" t="str">
        <f t="shared" si="8"/>
        <v>ULSFA__IDR</v>
      </c>
    </row>
    <row r="526" spans="1:9">
      <c r="A526" t="s">
        <v>1169</v>
      </c>
      <c r="B526" t="s">
        <v>1171</v>
      </c>
      <c r="C526">
        <v>6</v>
      </c>
      <c r="D526">
        <v>32749992</v>
      </c>
      <c r="E526">
        <v>1150000000</v>
      </c>
      <c r="F526">
        <v>401875469.29930598</v>
      </c>
      <c r="G526" s="55"/>
      <c r="H526" s="66" t="str">
        <f>IF(OR(LEFT(B526,FIND("_",B526,1)-1)="ULGALLOC",LEFT(B526,FIND("_",B526,1)-1)="ULSPOOL"),LEFT(B526,FIND("_",B526,1)-1),VLOOKUP(LEFT(A526,6),'Code Library'!$D$3:$E$200,2,0))&amp;"_"&amp;RIGHT(A526,3)</f>
        <v>SLFA_IDR</v>
      </c>
      <c r="I526" s="66" t="str">
        <f t="shared" si="8"/>
        <v>ULSFA__IDR</v>
      </c>
    </row>
    <row r="527" spans="1:9">
      <c r="A527" t="s">
        <v>1172</v>
      </c>
      <c r="B527" t="s">
        <v>1173</v>
      </c>
      <c r="C527">
        <v>117</v>
      </c>
      <c r="D527">
        <v>4989111652</v>
      </c>
      <c r="E527">
        <v>10016375000</v>
      </c>
      <c r="F527">
        <v>4840137182.0199404</v>
      </c>
      <c r="G527" s="55"/>
      <c r="H527" s="66" t="str">
        <f>IF(OR(LEFT(B527,FIND("_",B527,1)-1)="ULGALLOC",LEFT(B527,FIND("_",B527,1)-1)="ULSPOOL"),LEFT(B527,FIND("_",B527,1)-1),VLOOKUP(LEFT(A527,6),'Code Library'!$D$3:$E$200,2,0))&amp;"_"&amp;RIGHT(A527,3)</f>
        <v>SLMFP_IDR</v>
      </c>
      <c r="I527" s="66" t="str">
        <f t="shared" si="8"/>
        <v>ULSMFP_IDR</v>
      </c>
    </row>
    <row r="528" spans="1:9">
      <c r="A528" t="s">
        <v>1172</v>
      </c>
      <c r="B528" t="s">
        <v>1174</v>
      </c>
      <c r="C528">
        <v>18</v>
      </c>
      <c r="D528">
        <v>632000000</v>
      </c>
      <c r="E528">
        <v>1408750000</v>
      </c>
      <c r="F528">
        <v>619982551.47611904</v>
      </c>
      <c r="G528" s="55"/>
      <c r="H528" s="66" t="str">
        <f>IF(OR(LEFT(B528,FIND("_",B528,1)-1)="ULGALLOC",LEFT(B528,FIND("_",B528,1)-1)="ULSPOOL"),LEFT(B528,FIND("_",B528,1)-1),VLOOKUP(LEFT(A528,6),'Code Library'!$D$3:$E$200,2,0))&amp;"_"&amp;RIGHT(A528,3)</f>
        <v>SLMFP_IDR</v>
      </c>
      <c r="I528" s="66" t="str">
        <f t="shared" si="8"/>
        <v>ULSMFP_IDR</v>
      </c>
    </row>
    <row r="529" spans="1:9">
      <c r="A529" t="s">
        <v>1172</v>
      </c>
      <c r="B529" t="s">
        <v>1175</v>
      </c>
      <c r="C529">
        <v>12</v>
      </c>
      <c r="D529">
        <v>490000000</v>
      </c>
      <c r="E529">
        <v>1190000000</v>
      </c>
      <c r="F529">
        <v>228324214.33319601</v>
      </c>
      <c r="G529" s="55"/>
      <c r="H529" s="66" t="str">
        <f>IF(OR(LEFT(B529,FIND("_",B529,1)-1)="ULGALLOC",LEFT(B529,FIND("_",B529,1)-1)="ULSPOOL"),LEFT(B529,FIND("_",B529,1)-1),VLOOKUP(LEFT(A529,6),'Code Library'!$D$3:$E$200,2,0))&amp;"_"&amp;RIGHT(A529,3)</f>
        <v>SLMFP_IDR</v>
      </c>
      <c r="I529" s="66" t="str">
        <f t="shared" si="8"/>
        <v>ULSMFP_IDR</v>
      </c>
    </row>
    <row r="530" spans="1:9">
      <c r="A530" t="s">
        <v>1172</v>
      </c>
      <c r="B530" t="s">
        <v>1176</v>
      </c>
      <c r="C530">
        <v>3</v>
      </c>
      <c r="D530">
        <v>180000000</v>
      </c>
      <c r="E530">
        <v>585000000</v>
      </c>
      <c r="F530">
        <v>29833679.396334998</v>
      </c>
      <c r="G530" s="55"/>
      <c r="H530" s="66" t="str">
        <f>IF(OR(LEFT(B530,FIND("_",B530,1)-1)="ULGALLOC",LEFT(B530,FIND("_",B530,1)-1)="ULSPOOL"),LEFT(B530,FIND("_",B530,1)-1),VLOOKUP(LEFT(A530,6),'Code Library'!$D$3:$E$200,2,0))&amp;"_"&amp;RIGHT(A530,3)</f>
        <v>SLMFP_IDR</v>
      </c>
      <c r="I530" s="66" t="str">
        <f t="shared" si="8"/>
        <v>ULSMFP_IDR</v>
      </c>
    </row>
    <row r="531" spans="1:9">
      <c r="A531" t="s">
        <v>1177</v>
      </c>
      <c r="B531" t="s">
        <v>1178</v>
      </c>
      <c r="C531">
        <v>22</v>
      </c>
      <c r="D531">
        <v>302900</v>
      </c>
      <c r="E531">
        <v>509875</v>
      </c>
      <c r="F531">
        <v>221911.77826560001</v>
      </c>
      <c r="G531" s="55"/>
      <c r="H531" s="66" t="str">
        <f>IF(OR(LEFT(B531,FIND("_",B531,1)-1)="ULGALLOC",LEFT(B531,FIND("_",B531,1)-1)="ULSPOOL"),LEFT(B531,FIND("_",B531,1)-1),VLOOKUP(LEFT(A531,6),'Code Library'!$D$3:$E$200,2,0))&amp;"_"&amp;RIGHT(A531,3)</f>
        <v>SLMFP_USD</v>
      </c>
      <c r="I531" s="66" t="str">
        <f t="shared" si="8"/>
        <v>ULSMFP_USD</v>
      </c>
    </row>
    <row r="532" spans="1:9">
      <c r="A532" t="s">
        <v>1177</v>
      </c>
      <c r="B532" t="s">
        <v>1179</v>
      </c>
      <c r="C532">
        <v>3</v>
      </c>
      <c r="D532">
        <v>5200</v>
      </c>
      <c r="E532">
        <v>6625</v>
      </c>
      <c r="F532">
        <v>61496.335838400002</v>
      </c>
      <c r="G532" s="55"/>
      <c r="H532" s="66" t="str">
        <f>IF(OR(LEFT(B532,FIND("_",B532,1)-1)="ULGALLOC",LEFT(B532,FIND("_",B532,1)-1)="ULSPOOL"),LEFT(B532,FIND("_",B532,1)-1),VLOOKUP(LEFT(A532,6),'Code Library'!$D$3:$E$200,2,0))&amp;"_"&amp;RIGHT(A532,3)</f>
        <v>SLMFP_USD</v>
      </c>
      <c r="I532" s="66" t="str">
        <f t="shared" si="8"/>
        <v>ULSMFP_USD</v>
      </c>
    </row>
    <row r="533" spans="1:9">
      <c r="A533" t="s">
        <v>1172</v>
      </c>
      <c r="B533" t="s">
        <v>1180</v>
      </c>
      <c r="C533">
        <v>1</v>
      </c>
      <c r="D533">
        <v>20000000</v>
      </c>
      <c r="E533">
        <v>25000000</v>
      </c>
      <c r="F533">
        <v>18161004</v>
      </c>
      <c r="G533" s="55"/>
      <c r="H533" s="66" t="str">
        <f>IF(OR(LEFT(B533,FIND("_",B533,1)-1)="ULGALLOC",LEFT(B533,FIND("_",B533,1)-1)="ULSPOOL"),LEFT(B533,FIND("_",B533,1)-1),VLOOKUP(LEFT(A533,6),'Code Library'!$D$3:$E$200,2,0))&amp;"_"&amp;RIGHT(A533,3)</f>
        <v>SLMFP_IDR</v>
      </c>
      <c r="I533" s="66" t="str">
        <f t="shared" si="8"/>
        <v>ULSMFP_IDR</v>
      </c>
    </row>
    <row r="534" spans="1:9">
      <c r="A534" t="s">
        <v>1172</v>
      </c>
      <c r="B534" t="s">
        <v>1181</v>
      </c>
      <c r="C534">
        <v>17</v>
      </c>
      <c r="D534">
        <v>1082750000</v>
      </c>
      <c r="E534">
        <v>2138437500</v>
      </c>
      <c r="F534">
        <v>637067972.66119599</v>
      </c>
      <c r="G534" s="55"/>
      <c r="H534" s="66" t="str">
        <f>IF(OR(LEFT(B534,FIND("_",B534,1)-1)="ULGALLOC",LEFT(B534,FIND("_",B534,1)-1)="ULSPOOL"),LEFT(B534,FIND("_",B534,1)-1),VLOOKUP(LEFT(A534,6),'Code Library'!$D$3:$E$200,2,0))&amp;"_"&amp;RIGHT(A534,3)</f>
        <v>SLMFP_IDR</v>
      </c>
      <c r="I534" s="66" t="str">
        <f t="shared" si="8"/>
        <v>ULSMFP_IDR</v>
      </c>
    </row>
    <row r="535" spans="1:9">
      <c r="A535" t="s">
        <v>1172</v>
      </c>
      <c r="B535" t="s">
        <v>1182</v>
      </c>
      <c r="C535">
        <v>5</v>
      </c>
      <c r="D535">
        <v>94500000</v>
      </c>
      <c r="E535">
        <v>191250000</v>
      </c>
      <c r="F535">
        <v>1749383367.3996501</v>
      </c>
      <c r="G535" s="55"/>
      <c r="H535" s="66" t="str">
        <f>IF(OR(LEFT(B535,FIND("_",B535,1)-1)="ULGALLOC",LEFT(B535,FIND("_",B535,1)-1)="ULSPOOL"),LEFT(B535,FIND("_",B535,1)-1),VLOOKUP(LEFT(A535,6),'Code Library'!$D$3:$E$200,2,0))&amp;"_"&amp;RIGHT(A535,3)</f>
        <v>SLMFP_IDR</v>
      </c>
      <c r="I535" s="66" t="str">
        <f t="shared" si="8"/>
        <v>ULSMFP_IDR</v>
      </c>
    </row>
    <row r="536" spans="1:9">
      <c r="A536" t="s">
        <v>1177</v>
      </c>
      <c r="B536" t="s">
        <v>1183</v>
      </c>
      <c r="C536">
        <v>1</v>
      </c>
      <c r="D536">
        <v>2500</v>
      </c>
      <c r="E536">
        <v>3125</v>
      </c>
      <c r="F536">
        <v>2728</v>
      </c>
      <c r="G536" s="55"/>
      <c r="H536" s="66" t="str">
        <f>IF(OR(LEFT(B536,FIND("_",B536,1)-1)="ULGALLOC",LEFT(B536,FIND("_",B536,1)-1)="ULSPOOL"),LEFT(B536,FIND("_",B536,1)-1),VLOOKUP(LEFT(A536,6),'Code Library'!$D$3:$E$200,2,0))&amp;"_"&amp;RIGHT(A536,3)</f>
        <v>SLMFP_USD</v>
      </c>
      <c r="I536" s="66" t="str">
        <f t="shared" si="8"/>
        <v>ULSMFP_USD</v>
      </c>
    </row>
    <row r="537" spans="1:9">
      <c r="A537" t="s">
        <v>1177</v>
      </c>
      <c r="B537" t="s">
        <v>1184</v>
      </c>
      <c r="C537">
        <v>1</v>
      </c>
      <c r="D537">
        <v>1200</v>
      </c>
      <c r="E537">
        <v>1500</v>
      </c>
      <c r="F537">
        <v>9930.6616400000003</v>
      </c>
      <c r="G537" s="55"/>
      <c r="H537" s="66" t="str">
        <f>IF(OR(LEFT(B537,FIND("_",B537,1)-1)="ULGALLOC",LEFT(B537,FIND("_",B537,1)-1)="ULSPOOL"),LEFT(B537,FIND("_",B537,1)-1),VLOOKUP(LEFT(A537,6),'Code Library'!$D$3:$E$200,2,0))&amp;"_"&amp;RIGHT(A537,3)</f>
        <v>SLMFP_USD</v>
      </c>
      <c r="I537" s="66" t="str">
        <f t="shared" si="8"/>
        <v>ULSMFP_USD</v>
      </c>
    </row>
    <row r="538" spans="1:9">
      <c r="A538" t="s">
        <v>1177</v>
      </c>
      <c r="B538" t="s">
        <v>1185</v>
      </c>
      <c r="C538">
        <v>1</v>
      </c>
      <c r="D538">
        <v>3000</v>
      </c>
      <c r="E538">
        <v>3750</v>
      </c>
      <c r="F538">
        <v>2093</v>
      </c>
      <c r="G538" s="55"/>
      <c r="H538" s="66" t="str">
        <f>IF(OR(LEFT(B538,FIND("_",B538,1)-1)="ULGALLOC",LEFT(B538,FIND("_",B538,1)-1)="ULSPOOL"),LEFT(B538,FIND("_",B538,1)-1),VLOOKUP(LEFT(A538,6),'Code Library'!$D$3:$E$200,2,0))&amp;"_"&amp;RIGHT(A538,3)</f>
        <v>SLMFP_USD</v>
      </c>
      <c r="I538" s="66" t="str">
        <f t="shared" si="8"/>
        <v>ULSMFP_USD</v>
      </c>
    </row>
    <row r="539" spans="1:9">
      <c r="A539" t="s">
        <v>1172</v>
      </c>
      <c r="B539" t="s">
        <v>1186</v>
      </c>
      <c r="C539">
        <v>33</v>
      </c>
      <c r="D539">
        <v>1588590000</v>
      </c>
      <c r="E539">
        <v>2180237500</v>
      </c>
      <c r="F539">
        <v>1102558666.70474</v>
      </c>
      <c r="G539" s="55"/>
      <c r="H539" s="66" t="str">
        <f>IF(OR(LEFT(B539,FIND("_",B539,1)-1)="ULGALLOC",LEFT(B539,FIND("_",B539,1)-1)="ULSPOOL"),LEFT(B539,FIND("_",B539,1)-1),VLOOKUP(LEFT(A539,6),'Code Library'!$D$3:$E$200,2,0))&amp;"_"&amp;RIGHT(A539,3)</f>
        <v>SLMFP_IDR</v>
      </c>
      <c r="I539" s="66" t="str">
        <f t="shared" si="8"/>
        <v>ULSMFP_IDR</v>
      </c>
    </row>
    <row r="540" spans="1:9">
      <c r="A540" t="s">
        <v>1172</v>
      </c>
      <c r="B540" t="s">
        <v>1187</v>
      </c>
      <c r="C540">
        <v>7</v>
      </c>
      <c r="D540">
        <v>1340000000</v>
      </c>
      <c r="E540">
        <v>1975000000</v>
      </c>
      <c r="F540">
        <v>522631258</v>
      </c>
      <c r="G540" s="55"/>
      <c r="H540" s="66" t="str">
        <f>IF(OR(LEFT(B540,FIND("_",B540,1)-1)="ULGALLOC",LEFT(B540,FIND("_",B540,1)-1)="ULSPOOL"),LEFT(B540,FIND("_",B540,1)-1),VLOOKUP(LEFT(A540,6),'Code Library'!$D$3:$E$200,2,0))&amp;"_"&amp;RIGHT(A540,3)</f>
        <v>SLMFP_IDR</v>
      </c>
      <c r="I540" s="66" t="str">
        <f t="shared" si="8"/>
        <v>ULSMFP_IDR</v>
      </c>
    </row>
    <row r="541" spans="1:9">
      <c r="A541" t="s">
        <v>1172</v>
      </c>
      <c r="B541" t="s">
        <v>1188</v>
      </c>
      <c r="C541">
        <v>3</v>
      </c>
      <c r="D541">
        <v>424000000</v>
      </c>
      <c r="E541">
        <v>530000000</v>
      </c>
      <c r="F541">
        <v>832383174.51811099</v>
      </c>
      <c r="G541" s="55"/>
      <c r="H541" s="66" t="str">
        <f>IF(OR(LEFT(B541,FIND("_",B541,1)-1)="ULGALLOC",LEFT(B541,FIND("_",B541,1)-1)="ULSPOOL"),LEFT(B541,FIND("_",B541,1)-1),VLOOKUP(LEFT(A541,6),'Code Library'!$D$3:$E$200,2,0))&amp;"_"&amp;RIGHT(A541,3)</f>
        <v>SLMFP_IDR</v>
      </c>
      <c r="I541" s="66" t="str">
        <f t="shared" si="8"/>
        <v>ULSMFP_IDR</v>
      </c>
    </row>
    <row r="542" spans="1:9">
      <c r="A542" t="s">
        <v>1172</v>
      </c>
      <c r="B542" t="s">
        <v>1189</v>
      </c>
      <c r="C542">
        <v>2</v>
      </c>
      <c r="D542">
        <v>220000000</v>
      </c>
      <c r="E542">
        <v>275000000</v>
      </c>
      <c r="F542">
        <v>41465986.195367001</v>
      </c>
      <c r="G542" s="55"/>
      <c r="H542" s="66" t="str">
        <f>IF(OR(LEFT(B542,FIND("_",B542,1)-1)="ULGALLOC",LEFT(B542,FIND("_",B542,1)-1)="ULSPOOL"),LEFT(B542,FIND("_",B542,1)-1),VLOOKUP(LEFT(A542,6),'Code Library'!$D$3:$E$200,2,0))&amp;"_"&amp;RIGHT(A542,3)</f>
        <v>SLMFP_IDR</v>
      </c>
      <c r="I542" s="66" t="str">
        <f t="shared" si="8"/>
        <v>ULSMFP_IDR</v>
      </c>
    </row>
    <row r="543" spans="1:9">
      <c r="A543" t="s">
        <v>1177</v>
      </c>
      <c r="B543" t="s">
        <v>1190</v>
      </c>
      <c r="C543">
        <v>10</v>
      </c>
      <c r="D543">
        <v>323500</v>
      </c>
      <c r="E543">
        <v>627375</v>
      </c>
      <c r="F543">
        <v>407928.56254200003</v>
      </c>
      <c r="H543" s="66" t="str">
        <f>IF(OR(LEFT(B543,FIND("_",B543,1)-1)="ULGALLOC",LEFT(B543,FIND("_",B543,1)-1)="ULSPOOL"),LEFT(B543,FIND("_",B543,1)-1),VLOOKUP(LEFT(A543,6),'Code Library'!$D$3:$E$200,2,0))&amp;"_"&amp;RIGHT(A543,3)</f>
        <v>SLMFP_USD</v>
      </c>
      <c r="I543" s="66" t="str">
        <f t="shared" si="8"/>
        <v>ULSMFP_USD</v>
      </c>
    </row>
    <row r="544" spans="1:9">
      <c r="A544" t="s">
        <v>1191</v>
      </c>
      <c r="B544" t="s">
        <v>1192</v>
      </c>
      <c r="C544">
        <v>1</v>
      </c>
      <c r="D544">
        <v>1200</v>
      </c>
      <c r="E544">
        <v>1500</v>
      </c>
      <c r="F544">
        <v>2632.0226103999998</v>
      </c>
      <c r="G544" s="55"/>
      <c r="H544" s="66" t="str">
        <f>IF(OR(LEFT(B544,FIND("_",B544,1)-1)="ULGALLOC",LEFT(B544,FIND("_",B544,1)-1)="ULSPOOL"),LEFT(B544,FIND("_",B544,1)-1),VLOOKUP(LEFT(A544,6),'Code Library'!$D$3:$E$200,2,0))&amp;"_"&amp;RIGHT(A544,3)</f>
        <v>SLMFP_USD</v>
      </c>
      <c r="I544" s="66" t="str">
        <f t="shared" si="8"/>
        <v>ULSMFPA_USD</v>
      </c>
    </row>
    <row r="545" spans="1:9">
      <c r="A545" t="s">
        <v>1193</v>
      </c>
      <c r="B545" t="s">
        <v>1194</v>
      </c>
      <c r="C545">
        <v>156</v>
      </c>
      <c r="D545">
        <v>2400000000</v>
      </c>
      <c r="E545">
        <v>3000000000</v>
      </c>
      <c r="F545">
        <v>25419394754.5424</v>
      </c>
      <c r="G545" s="55"/>
      <c r="H545" s="66" t="str">
        <f>IF(OR(LEFT(B545,FIND("_",B545,1)-1)="ULGALLOC",LEFT(B545,FIND("_",B545,1)-1)="ULSPOOL"),LEFT(B545,FIND("_",B545,1)-1),VLOOKUP(LEFT(A545,6),'Code Library'!$D$3:$E$200,2,0))&amp;"_"&amp;RIGHT(A545,3)</f>
        <v>SLMP1_IDR</v>
      </c>
      <c r="I545" s="66" t="str">
        <f t="shared" si="8"/>
        <v>ULSMP1_IDR</v>
      </c>
    </row>
    <row r="546" spans="1:9">
      <c r="A546" t="s">
        <v>1193</v>
      </c>
      <c r="B546" t="s">
        <v>1195</v>
      </c>
      <c r="C546">
        <v>3</v>
      </c>
      <c r="D546">
        <v>45000000</v>
      </c>
      <c r="E546">
        <v>56250000</v>
      </c>
      <c r="F546">
        <v>947370831.33213603</v>
      </c>
      <c r="G546" s="55"/>
      <c r="H546" s="66" t="str">
        <f>IF(OR(LEFT(B546,FIND("_",B546,1)-1)="ULGALLOC",LEFT(B546,FIND("_",B546,1)-1)="ULSPOOL"),LEFT(B546,FIND("_",B546,1)-1),VLOOKUP(LEFT(A546,6),'Code Library'!$D$3:$E$200,2,0))&amp;"_"&amp;RIGHT(A546,3)</f>
        <v>SLMP1_IDR</v>
      </c>
      <c r="I546" s="66" t="str">
        <f t="shared" si="8"/>
        <v>ULSMP1_IDR</v>
      </c>
    </row>
    <row r="547" spans="1:9">
      <c r="A547" t="s">
        <v>1196</v>
      </c>
      <c r="B547" t="s">
        <v>1197</v>
      </c>
      <c r="C547">
        <v>4</v>
      </c>
      <c r="D547">
        <v>500000000</v>
      </c>
      <c r="E547">
        <v>625000000</v>
      </c>
      <c r="F547">
        <v>577093355.61795998</v>
      </c>
      <c r="H547" s="66" t="str">
        <f>IF(OR(LEFT(B547,FIND("_",B547,1)-1)="ULGALLOC",LEFT(B547,FIND("_",B547,1)-1)="ULSPOOL"),LEFT(B547,FIND("_",B547,1)-1),VLOOKUP(LEFT(A547,6),'Code Library'!$D$3:$E$200,2,0))&amp;"_"&amp;RIGHT(A547,3)</f>
        <v>SLMP2_IDR</v>
      </c>
      <c r="I547" s="66" t="str">
        <f t="shared" si="8"/>
        <v>ULSMP2_IDR</v>
      </c>
    </row>
    <row r="548" spans="1:9">
      <c r="A548" t="s">
        <v>1198</v>
      </c>
      <c r="B548" t="s">
        <v>1199</v>
      </c>
      <c r="C548">
        <v>39</v>
      </c>
      <c r="D548">
        <v>780000000</v>
      </c>
      <c r="E548">
        <v>975000000</v>
      </c>
      <c r="F548">
        <v>1803535712.18659</v>
      </c>
      <c r="G548" s="55"/>
      <c r="H548" s="66" t="str">
        <f>IF(OR(LEFT(B548,FIND("_",B548,1)-1)="ULGALLOC",LEFT(B548,FIND("_",B548,1)-1)="ULSPOOL"),LEFT(B548,FIND("_",B548,1)-1),VLOOKUP(LEFT(A548,6),'Code Library'!$D$3:$E$200,2,0))&amp;"_"&amp;RIGHT(A548,3)</f>
        <v>SMP1B_IDR</v>
      </c>
      <c r="I548" s="66" t="str">
        <f t="shared" si="8"/>
        <v>ULSMP4_IDR</v>
      </c>
    </row>
    <row r="549" spans="1:9">
      <c r="A549" t="s">
        <v>1198</v>
      </c>
      <c r="B549" t="s">
        <v>1200</v>
      </c>
      <c r="C549">
        <v>1</v>
      </c>
      <c r="D549">
        <v>20000000</v>
      </c>
      <c r="E549">
        <v>25000000</v>
      </c>
      <c r="F549">
        <v>24761031</v>
      </c>
      <c r="G549" s="55"/>
      <c r="H549" s="66" t="str">
        <f>IF(OR(LEFT(B549,FIND("_",B549,1)-1)="ULGALLOC",LEFT(B549,FIND("_",B549,1)-1)="ULSPOOL"),LEFT(B549,FIND("_",B549,1)-1),VLOOKUP(LEFT(A549,6),'Code Library'!$D$3:$E$200,2,0))&amp;"_"&amp;RIGHT(A549,3)</f>
        <v>SMP1B_IDR</v>
      </c>
      <c r="I549" s="66" t="str">
        <f t="shared" si="8"/>
        <v>ULSMP4_IDR</v>
      </c>
    </row>
    <row r="550" spans="1:9">
      <c r="A550" t="s">
        <v>1198</v>
      </c>
      <c r="B550" t="s">
        <v>1201</v>
      </c>
      <c r="C550">
        <v>2</v>
      </c>
      <c r="D550">
        <v>40000000</v>
      </c>
      <c r="E550">
        <v>50000000</v>
      </c>
      <c r="F550">
        <v>38963917.158961996</v>
      </c>
      <c r="H550" s="66" t="str">
        <f>IF(OR(LEFT(B550,FIND("_",B550,1)-1)="ULGALLOC",LEFT(B550,FIND("_",B550,1)-1)="ULSPOOL"),LEFT(B550,FIND("_",B550,1)-1),VLOOKUP(LEFT(A550,6),'Code Library'!$D$3:$E$200,2,0))&amp;"_"&amp;RIGHT(A550,3)</f>
        <v>SMP1B_IDR</v>
      </c>
      <c r="I550" s="66" t="str">
        <f t="shared" si="8"/>
        <v>ULSMP4_IDR</v>
      </c>
    </row>
    <row r="551" spans="1:9">
      <c r="A551" t="s">
        <v>1198</v>
      </c>
      <c r="B551" t="s">
        <v>1202</v>
      </c>
      <c r="C551">
        <v>1</v>
      </c>
      <c r="D551">
        <v>20000000</v>
      </c>
      <c r="E551">
        <v>25000000</v>
      </c>
      <c r="F551">
        <v>16259359</v>
      </c>
      <c r="H551" s="66" t="str">
        <f>IF(OR(LEFT(B551,FIND("_",B551,1)-1)="ULGALLOC",LEFT(B551,FIND("_",B551,1)-1)="ULSPOOL"),LEFT(B551,FIND("_",B551,1)-1),VLOOKUP(LEFT(A551,6),'Code Library'!$D$3:$E$200,2,0))&amp;"_"&amp;RIGHT(A551,3)</f>
        <v>SMP1B_IDR</v>
      </c>
      <c r="I551" s="66" t="str">
        <f t="shared" si="8"/>
        <v>ULSMP4_IDR</v>
      </c>
    </row>
    <row r="552" spans="1:9">
      <c r="A552" t="s">
        <v>1198</v>
      </c>
      <c r="B552" t="s">
        <v>1203</v>
      </c>
      <c r="C552">
        <v>6</v>
      </c>
      <c r="D552">
        <v>120000000</v>
      </c>
      <c r="E552">
        <v>150000000</v>
      </c>
      <c r="F552">
        <v>4032334922.1659498</v>
      </c>
      <c r="H552" s="66" t="str">
        <f>IF(OR(LEFT(B552,FIND("_",B552,1)-1)="ULGALLOC",LEFT(B552,FIND("_",B552,1)-1)="ULSPOOL"),LEFT(B552,FIND("_",B552,1)-1),VLOOKUP(LEFT(A552,6),'Code Library'!$D$3:$E$200,2,0))&amp;"_"&amp;RIGHT(A552,3)</f>
        <v>SMP1B_IDR</v>
      </c>
      <c r="I552" s="66" t="str">
        <f t="shared" si="8"/>
        <v>ULSMP4_IDR</v>
      </c>
    </row>
    <row r="553" spans="1:9">
      <c r="A553" t="s">
        <v>1198</v>
      </c>
      <c r="B553" t="s">
        <v>1204</v>
      </c>
      <c r="C553">
        <v>1</v>
      </c>
      <c r="D553">
        <v>20000000</v>
      </c>
      <c r="E553">
        <v>25000000</v>
      </c>
      <c r="F553">
        <v>16550225</v>
      </c>
      <c r="H553" s="66" t="str">
        <f>IF(OR(LEFT(B553,FIND("_",B553,1)-1)="ULGALLOC",LEFT(B553,FIND("_",B553,1)-1)="ULSPOOL"),LEFT(B553,FIND("_",B553,1)-1),VLOOKUP(LEFT(A553,6),'Code Library'!$D$3:$E$200,2,0))&amp;"_"&amp;RIGHT(A553,3)</f>
        <v>SMP1B_IDR</v>
      </c>
      <c r="I553" s="66" t="str">
        <f t="shared" si="8"/>
        <v>ULSMP4_IDR</v>
      </c>
    </row>
    <row r="554" spans="1:9">
      <c r="A554" t="s">
        <v>1205</v>
      </c>
      <c r="B554" t="s">
        <v>1206</v>
      </c>
      <c r="C554">
        <v>15</v>
      </c>
      <c r="D554">
        <v>300000000</v>
      </c>
      <c r="E554">
        <v>375000000</v>
      </c>
      <c r="F554">
        <v>2334185363.6532698</v>
      </c>
      <c r="H554" s="66" t="str">
        <f>IF(OR(LEFT(B554,FIND("_",B554,1)-1)="ULGALLOC",LEFT(B554,FIND("_",B554,1)-1)="ULSPOOL"),LEFT(B554,FIND("_",B554,1)-1),VLOOKUP(LEFT(A554,6),'Code Library'!$D$3:$E$200,2,0))&amp;"_"&amp;RIGHT(A554,3)</f>
        <v>SMP2B_IDR</v>
      </c>
      <c r="I554" s="66" t="str">
        <f t="shared" si="8"/>
        <v>ULSMP5_IDR</v>
      </c>
    </row>
    <row r="555" spans="1:9">
      <c r="A555" t="s">
        <v>1205</v>
      </c>
      <c r="B555" t="s">
        <v>1207</v>
      </c>
      <c r="C555">
        <v>1</v>
      </c>
      <c r="D555">
        <v>20000000</v>
      </c>
      <c r="E555">
        <v>25000000</v>
      </c>
      <c r="F555">
        <v>624623286.27078199</v>
      </c>
      <c r="H555" s="66" t="str">
        <f>IF(OR(LEFT(B555,FIND("_",B555,1)-1)="ULGALLOC",LEFT(B555,FIND("_",B555,1)-1)="ULSPOOL"),LEFT(B555,FIND("_",B555,1)-1),VLOOKUP(LEFT(A555,6),'Code Library'!$D$3:$E$200,2,0))&amp;"_"&amp;RIGHT(A555,3)</f>
        <v>SMP2B_IDR</v>
      </c>
      <c r="I555" s="66" t="str">
        <f t="shared" si="8"/>
        <v>ULSMP5_IDR</v>
      </c>
    </row>
    <row r="556" spans="1:9">
      <c r="A556" t="s">
        <v>1205</v>
      </c>
      <c r="B556" t="s">
        <v>1208</v>
      </c>
      <c r="C556">
        <v>2</v>
      </c>
      <c r="D556">
        <v>40000000</v>
      </c>
      <c r="E556">
        <v>50000000</v>
      </c>
      <c r="F556">
        <v>478138364.575095</v>
      </c>
      <c r="H556" s="66" t="str">
        <f>IF(OR(LEFT(B556,FIND("_",B556,1)-1)="ULGALLOC",LEFT(B556,FIND("_",B556,1)-1)="ULSPOOL"),LEFT(B556,FIND("_",B556,1)-1),VLOOKUP(LEFT(A556,6),'Code Library'!$D$3:$E$200,2,0))&amp;"_"&amp;RIGHT(A556,3)</f>
        <v>SMP2B_IDR</v>
      </c>
      <c r="I556" s="66" t="str">
        <f t="shared" si="8"/>
        <v>ULSMP5_IDR</v>
      </c>
    </row>
    <row r="557" spans="1:9">
      <c r="A557" t="s">
        <v>1209</v>
      </c>
      <c r="B557" t="s">
        <v>1210</v>
      </c>
      <c r="C557">
        <v>11</v>
      </c>
      <c r="D557">
        <v>220000000</v>
      </c>
      <c r="E557">
        <v>275000000</v>
      </c>
      <c r="F557">
        <v>3088868433.1152802</v>
      </c>
      <c r="H557" s="66" t="str">
        <f>IF(OR(LEFT(B557,FIND("_",B557,1)-1)="ULGALLOC",LEFT(B557,FIND("_",B557,1)-1)="ULSPOOL"),LEFT(B557,FIND("_",B557,1)-1),VLOOKUP(LEFT(A557,6),'Code Library'!$D$3:$E$200,2,0))&amp;"_"&amp;RIGHT(A557,3)</f>
        <v>SMP3B_IDR</v>
      </c>
      <c r="I557" s="66" t="str">
        <f t="shared" si="8"/>
        <v>ULSMP6_IDR</v>
      </c>
    </row>
    <row r="558" spans="1:9">
      <c r="A558" t="s">
        <v>1209</v>
      </c>
      <c r="B558" t="s">
        <v>1211</v>
      </c>
      <c r="C558">
        <v>2</v>
      </c>
      <c r="D558">
        <v>40000000</v>
      </c>
      <c r="E558">
        <v>50000000</v>
      </c>
      <c r="F558">
        <v>66998377.822789997</v>
      </c>
      <c r="H558" s="66" t="str">
        <f>IF(OR(LEFT(B558,FIND("_",B558,1)-1)="ULGALLOC",LEFT(B558,FIND("_",B558,1)-1)="ULSPOOL"),LEFT(B558,FIND("_",B558,1)-1),VLOOKUP(LEFT(A558,6),'Code Library'!$D$3:$E$200,2,0))&amp;"_"&amp;RIGHT(A558,3)</f>
        <v>SMP3B_IDR</v>
      </c>
      <c r="I558" s="66" t="str">
        <f t="shared" si="8"/>
        <v>ULSMP6_IDR</v>
      </c>
    </row>
    <row r="559" spans="1:9">
      <c r="A559" t="s">
        <v>1212</v>
      </c>
      <c r="B559" t="s">
        <v>1213</v>
      </c>
      <c r="C559">
        <v>3</v>
      </c>
      <c r="D559">
        <v>18000000</v>
      </c>
      <c r="E559">
        <v>550000000</v>
      </c>
      <c r="F559">
        <v>92473567.415160999</v>
      </c>
      <c r="H559" s="66" t="str">
        <f>IF(OR(LEFT(B559,FIND("_",B559,1)-1)="ULGALLOC",LEFT(B559,FIND("_",B559,1)-1)="ULSPOOL"),LEFT(B559,FIND("_",B559,1)-1),VLOOKUP(LEFT(A559,6),'Code Library'!$D$3:$E$200,2,0))&amp;"_"&amp;RIGHT(A559,3)</f>
        <v>SMPV_IDR</v>
      </c>
      <c r="I559" s="66" t="str">
        <f t="shared" si="8"/>
        <v>ULSMPV_IDR</v>
      </c>
    </row>
    <row r="560" spans="1:9">
      <c r="A560" t="s">
        <v>1214</v>
      </c>
      <c r="B560" t="s">
        <v>1215</v>
      </c>
      <c r="C560">
        <v>1072</v>
      </c>
      <c r="D560">
        <v>5499099987.9988003</v>
      </c>
      <c r="E560">
        <v>157986500000</v>
      </c>
      <c r="F560">
        <v>38345023248.417999</v>
      </c>
      <c r="G560" s="55"/>
      <c r="H560" s="66" t="str">
        <f>IF(OR(LEFT(B560,FIND("_",B560,1)-1)="ULGALLOC",LEFT(B560,FIND("_",B560,1)-1)="ULSPOOL"),LEFT(B560,FIND("_",B560,1)-1),VLOOKUP(LEFT(A560,6),'Code Library'!$D$3:$E$200,2,0))&amp;"_"&amp;RIGHT(A560,3)</f>
        <v>SLNF2_IDR</v>
      </c>
      <c r="I560" s="66" t="str">
        <f t="shared" si="8"/>
        <v>ULSNF2_IDR</v>
      </c>
    </row>
    <row r="561" spans="1:9">
      <c r="A561" t="s">
        <v>1216</v>
      </c>
      <c r="B561" t="s">
        <v>1217</v>
      </c>
      <c r="C561">
        <v>18</v>
      </c>
      <c r="D561">
        <v>29121</v>
      </c>
      <c r="E561">
        <v>538500</v>
      </c>
      <c r="F561">
        <v>130616.563498</v>
      </c>
      <c r="G561" s="55"/>
      <c r="H561" s="66" t="str">
        <f>IF(OR(LEFT(B561,FIND("_",B561,1)-1)="ULGALLOC",LEFT(B561,FIND("_",B561,1)-1)="ULSPOOL"),LEFT(B561,FIND("_",B561,1)-1),VLOOKUP(LEFT(A561,6),'Code Library'!$D$3:$E$200,2,0))&amp;"_"&amp;RIGHT(A561,3)</f>
        <v>SLNF2_USD</v>
      </c>
      <c r="I561" s="66" t="str">
        <f t="shared" si="8"/>
        <v>ULSNF2_USD</v>
      </c>
    </row>
    <row r="562" spans="1:9">
      <c r="A562" t="s">
        <v>1214</v>
      </c>
      <c r="B562" t="s">
        <v>1218</v>
      </c>
      <c r="C562">
        <v>1527</v>
      </c>
      <c r="D562">
        <v>8686247603.9991894</v>
      </c>
      <c r="E562">
        <v>435320000000</v>
      </c>
      <c r="F562">
        <v>71205338541.186996</v>
      </c>
      <c r="H562" s="66" t="str">
        <f>IF(OR(LEFT(B562,FIND("_",B562,1)-1)="ULGALLOC",LEFT(B562,FIND("_",B562,1)-1)="ULSPOOL"),LEFT(B562,FIND("_",B562,1)-1),VLOOKUP(LEFT(A562,6),'Code Library'!$D$3:$E$200,2,0))&amp;"_"&amp;RIGHT(A562,3)</f>
        <v>SLNF2_IDR</v>
      </c>
      <c r="I562" s="66" t="str">
        <f t="shared" si="8"/>
        <v>ULSNF2_IDR</v>
      </c>
    </row>
    <row r="563" spans="1:9">
      <c r="A563" t="s">
        <v>1216</v>
      </c>
      <c r="B563" t="s">
        <v>1219</v>
      </c>
      <c r="C563">
        <v>10</v>
      </c>
      <c r="D563">
        <v>24640</v>
      </c>
      <c r="E563">
        <v>500000</v>
      </c>
      <c r="F563">
        <v>526561.94642359996</v>
      </c>
      <c r="H563" s="66" t="str">
        <f>IF(OR(LEFT(B563,FIND("_",B563,1)-1)="ULGALLOC",LEFT(B563,FIND("_",B563,1)-1)="ULSPOOL"),LEFT(B563,FIND("_",B563,1)-1),VLOOKUP(LEFT(A563,6),'Code Library'!$D$3:$E$200,2,0))&amp;"_"&amp;RIGHT(A563,3)</f>
        <v>SLNF2_USD</v>
      </c>
      <c r="I563" s="66" t="str">
        <f t="shared" si="8"/>
        <v>ULSNF2_USD</v>
      </c>
    </row>
    <row r="564" spans="1:9">
      <c r="A564" t="s">
        <v>1220</v>
      </c>
      <c r="B564" t="s">
        <v>1221</v>
      </c>
      <c r="C564">
        <v>3598</v>
      </c>
      <c r="D564">
        <v>17409236677.959999</v>
      </c>
      <c r="E564">
        <v>443388550000</v>
      </c>
      <c r="F564">
        <v>136405342812.09399</v>
      </c>
      <c r="H564" s="66" t="str">
        <f>IF(OR(LEFT(B564,FIND("_",B564,1)-1)="ULGALLOC",LEFT(B564,FIND("_",B564,1)-1)="ULSPOOL"),LEFT(B564,FIND("_",B564,1)-1),VLOOKUP(LEFT(A564,6),'Code Library'!$D$3:$E$200,2,0))&amp;"_"&amp;RIGHT(A564,3)</f>
        <v>SLNFA_IDR</v>
      </c>
      <c r="I564" s="66" t="str">
        <f t="shared" si="8"/>
        <v>ULSNFA_IDR</v>
      </c>
    </row>
    <row r="565" spans="1:9">
      <c r="A565" t="s">
        <v>1222</v>
      </c>
      <c r="B565" t="s">
        <v>1223</v>
      </c>
      <c r="C565">
        <v>56</v>
      </c>
      <c r="D565">
        <v>124350</v>
      </c>
      <c r="E565">
        <v>1815500</v>
      </c>
      <c r="F565">
        <v>912039.535684</v>
      </c>
      <c r="H565" s="66" t="str">
        <f>IF(OR(LEFT(B565,FIND("_",B565,1)-1)="ULGALLOC",LEFT(B565,FIND("_",B565,1)-1)="ULSPOOL"),LEFT(B565,FIND("_",B565,1)-1),VLOOKUP(LEFT(A565,6),'Code Library'!$D$3:$E$200,2,0))&amp;"_"&amp;RIGHT(A565,3)</f>
        <v>SLNFA_USD</v>
      </c>
      <c r="I565" s="66" t="str">
        <f t="shared" si="8"/>
        <v>ULSNFA_USD</v>
      </c>
    </row>
    <row r="566" spans="1:9">
      <c r="A566" t="s">
        <v>1220</v>
      </c>
      <c r="B566" t="s">
        <v>1224</v>
      </c>
      <c r="C566">
        <v>1</v>
      </c>
      <c r="D566">
        <v>12000000</v>
      </c>
      <c r="E566">
        <v>1000000000</v>
      </c>
      <c r="F566">
        <v>154944324.41920501</v>
      </c>
      <c r="H566" s="66" t="str">
        <f>IF(OR(LEFT(B566,FIND("_",B566,1)-1)="ULGALLOC",LEFT(B566,FIND("_",B566,1)-1)="ULSPOOL"),LEFT(B566,FIND("_",B566,1)-1),VLOOKUP(LEFT(A566,6),'Code Library'!$D$3:$E$200,2,0))&amp;"_"&amp;RIGHT(A566,3)</f>
        <v>SLNFA_IDR</v>
      </c>
      <c r="I566" s="66" t="str">
        <f t="shared" si="8"/>
        <v>ULSNFA_IDR</v>
      </c>
    </row>
    <row r="567" spans="1:9">
      <c r="A567" t="s">
        <v>1220</v>
      </c>
      <c r="B567" t="s">
        <v>1225</v>
      </c>
      <c r="C567">
        <v>912</v>
      </c>
      <c r="D567">
        <v>5765352763.9583998</v>
      </c>
      <c r="E567">
        <v>298826800000</v>
      </c>
      <c r="F567">
        <v>46079660276.376602</v>
      </c>
      <c r="G567" s="55"/>
      <c r="H567" s="66" t="str">
        <f>IF(OR(LEFT(B567,FIND("_",B567,1)-1)="ULGALLOC",LEFT(B567,FIND("_",B567,1)-1)="ULSPOOL"),LEFT(B567,FIND("_",B567,1)-1),VLOOKUP(LEFT(A567,6),'Code Library'!$D$3:$E$200,2,0))&amp;"_"&amp;RIGHT(A567,3)</f>
        <v>SLNFA_IDR</v>
      </c>
      <c r="I567" s="66" t="str">
        <f t="shared" si="8"/>
        <v>ULSNFA_IDR</v>
      </c>
    </row>
    <row r="568" spans="1:9">
      <c r="A568" t="s">
        <v>1222</v>
      </c>
      <c r="B568" t="s">
        <v>1226</v>
      </c>
      <c r="C568">
        <v>6</v>
      </c>
      <c r="D568">
        <v>9100</v>
      </c>
      <c r="E568">
        <v>370000</v>
      </c>
      <c r="F568">
        <v>128010.02185</v>
      </c>
      <c r="H568" s="66" t="str">
        <f>IF(OR(LEFT(B568,FIND("_",B568,1)-1)="ULGALLOC",LEFT(B568,FIND("_",B568,1)-1)="ULSPOOL"),LEFT(B568,FIND("_",B568,1)-1),VLOOKUP(LEFT(A568,6),'Code Library'!$D$3:$E$200,2,0))&amp;"_"&amp;RIGHT(A568,3)</f>
        <v>SLNFA_USD</v>
      </c>
      <c r="I568" s="66" t="str">
        <f t="shared" si="8"/>
        <v>ULSNFA_USD</v>
      </c>
    </row>
    <row r="569" spans="1:9">
      <c r="A569" t="s">
        <v>1227</v>
      </c>
      <c r="B569" t="s">
        <v>1228</v>
      </c>
      <c r="C569">
        <v>4686</v>
      </c>
      <c r="D569">
        <v>24410729409.84</v>
      </c>
      <c r="E569">
        <v>827573000000</v>
      </c>
      <c r="F569">
        <v>152148068160.142</v>
      </c>
      <c r="H569" s="66" t="str">
        <f>IF(OR(LEFT(B569,FIND("_",B569,1)-1)="ULGALLOC",LEFT(B569,FIND("_",B569,1)-1)="ULSPOOL"),LEFT(B569,FIND("_",B569,1)-1),VLOOKUP(LEFT(A569,6),'Code Library'!$D$3:$E$200,2,0))&amp;"_"&amp;RIGHT(A569,3)</f>
        <v>RLNFA_IDR</v>
      </c>
      <c r="I569" s="66" t="str">
        <f t="shared" si="8"/>
        <v>ULSNFR_IDR</v>
      </c>
    </row>
    <row r="570" spans="1:9">
      <c r="A570" t="s">
        <v>1227</v>
      </c>
      <c r="B570" t="s">
        <v>1229</v>
      </c>
      <c r="C570">
        <v>13</v>
      </c>
      <c r="D570">
        <v>69600000</v>
      </c>
      <c r="E570">
        <v>1947500000</v>
      </c>
      <c r="F570">
        <v>423405156.924411</v>
      </c>
      <c r="H570" s="66" t="str">
        <f>IF(OR(LEFT(B570,FIND("_",B570,1)-1)="ULGALLOC",LEFT(B570,FIND("_",B570,1)-1)="ULSPOOL"),LEFT(B570,FIND("_",B570,1)-1),VLOOKUP(LEFT(A570,6),'Code Library'!$D$3:$E$200,2,0))&amp;"_"&amp;RIGHT(A570,3)</f>
        <v>RLNFA_IDR</v>
      </c>
      <c r="I570" s="66" t="str">
        <f t="shared" si="8"/>
        <v>ULSNFR_IDR</v>
      </c>
    </row>
    <row r="571" spans="1:9">
      <c r="A571" t="s">
        <v>1227</v>
      </c>
      <c r="B571" t="s">
        <v>1230</v>
      </c>
      <c r="C571">
        <v>7</v>
      </c>
      <c r="D571">
        <v>26400000</v>
      </c>
      <c r="E571">
        <v>1315000000</v>
      </c>
      <c r="F571">
        <v>151336421.73034701</v>
      </c>
      <c r="G571" s="55"/>
      <c r="H571" s="66" t="str">
        <f>IF(OR(LEFT(B571,FIND("_",B571,1)-1)="ULGALLOC",LEFT(B571,FIND("_",B571,1)-1)="ULSPOOL"),LEFT(B571,FIND("_",B571,1)-1),VLOOKUP(LEFT(A571,6),'Code Library'!$D$3:$E$200,2,0))&amp;"_"&amp;RIGHT(A571,3)</f>
        <v>RLNFA_IDR</v>
      </c>
      <c r="I571" s="66" t="str">
        <f t="shared" si="8"/>
        <v>ULSNFR_IDR</v>
      </c>
    </row>
    <row r="572" spans="1:9">
      <c r="A572" t="s">
        <v>1227</v>
      </c>
      <c r="B572" t="s">
        <v>1231</v>
      </c>
      <c r="C572">
        <v>10</v>
      </c>
      <c r="D572">
        <v>43800000</v>
      </c>
      <c r="E572">
        <v>1220000000</v>
      </c>
      <c r="F572">
        <v>68392666.509744003</v>
      </c>
      <c r="G572" s="55"/>
      <c r="H572" s="66" t="str">
        <f>IF(OR(LEFT(B572,FIND("_",B572,1)-1)="ULGALLOC",LEFT(B572,FIND("_",B572,1)-1)="ULSPOOL"),LEFT(B572,FIND("_",B572,1)-1),VLOOKUP(LEFT(A572,6),'Code Library'!$D$3:$E$200,2,0))&amp;"_"&amp;RIGHT(A572,3)</f>
        <v>RLNFA_IDR</v>
      </c>
      <c r="I572" s="66" t="str">
        <f t="shared" si="8"/>
        <v>ULSNFR_IDR</v>
      </c>
    </row>
    <row r="573" spans="1:9">
      <c r="A573" t="s">
        <v>1227</v>
      </c>
      <c r="B573" t="s">
        <v>1232</v>
      </c>
      <c r="C573">
        <v>29</v>
      </c>
      <c r="D573">
        <v>159800000</v>
      </c>
      <c r="E573">
        <v>5175000000</v>
      </c>
      <c r="F573">
        <v>297235022.10232598</v>
      </c>
      <c r="H573" s="66" t="str">
        <f>IF(OR(LEFT(B573,FIND("_",B573,1)-1)="ULGALLOC",LEFT(B573,FIND("_",B573,1)-1)="ULSPOOL"),LEFT(B573,FIND("_",B573,1)-1),VLOOKUP(LEFT(A573,6),'Code Library'!$D$3:$E$200,2,0))&amp;"_"&amp;RIGHT(A573,3)</f>
        <v>RLNFA_IDR</v>
      </c>
      <c r="I573" s="66" t="str">
        <f t="shared" si="8"/>
        <v>ULSNFR_IDR</v>
      </c>
    </row>
    <row r="574" spans="1:9">
      <c r="A574" t="s">
        <v>1227</v>
      </c>
      <c r="B574" t="s">
        <v>1233</v>
      </c>
      <c r="C574">
        <v>29</v>
      </c>
      <c r="D574">
        <v>156200000</v>
      </c>
      <c r="E574">
        <v>4850000000</v>
      </c>
      <c r="F574">
        <v>209306273.94864601</v>
      </c>
      <c r="G574" s="55"/>
      <c r="H574" s="66" t="str">
        <f>IF(OR(LEFT(B574,FIND("_",B574,1)-1)="ULGALLOC",LEFT(B574,FIND("_",B574,1)-1)="ULSPOOL"),LEFT(B574,FIND("_",B574,1)-1),VLOOKUP(LEFT(A574,6),'Code Library'!$D$3:$E$200,2,0))&amp;"_"&amp;RIGHT(A574,3)</f>
        <v>RLNFA_IDR</v>
      </c>
      <c r="I574" s="66" t="str">
        <f t="shared" si="8"/>
        <v>ULSNFR_IDR</v>
      </c>
    </row>
    <row r="575" spans="1:9">
      <c r="A575" t="s">
        <v>1227</v>
      </c>
      <c r="B575" t="s">
        <v>1234</v>
      </c>
      <c r="C575">
        <v>9</v>
      </c>
      <c r="D575">
        <v>43200000</v>
      </c>
      <c r="E575">
        <v>1125000000</v>
      </c>
      <c r="F575">
        <v>51526646</v>
      </c>
      <c r="H575" s="66" t="str">
        <f>IF(OR(LEFT(B575,FIND("_",B575,1)-1)="ULGALLOC",LEFT(B575,FIND("_",B575,1)-1)="ULSPOOL"),LEFT(B575,FIND("_",B575,1)-1),VLOOKUP(LEFT(A575,6),'Code Library'!$D$3:$E$200,2,0))&amp;"_"&amp;RIGHT(A575,3)</f>
        <v>RLNFA_IDR</v>
      </c>
      <c r="I575" s="66" t="str">
        <f t="shared" si="8"/>
        <v>ULSNFR_IDR</v>
      </c>
    </row>
    <row r="576" spans="1:9">
      <c r="A576" t="s">
        <v>1235</v>
      </c>
      <c r="B576" t="s">
        <v>1236</v>
      </c>
      <c r="C576">
        <v>74</v>
      </c>
      <c r="D576">
        <v>182677</v>
      </c>
      <c r="E576">
        <v>4048500</v>
      </c>
      <c r="F576">
        <v>1542672.3081304</v>
      </c>
      <c r="H576" s="66" t="str">
        <f>IF(OR(LEFT(B576,FIND("_",B576,1)-1)="ULGALLOC",LEFT(B576,FIND("_",B576,1)-1)="ULSPOOL"),LEFT(B576,FIND("_",B576,1)-1),VLOOKUP(LEFT(A576,6),'Code Library'!$D$3:$E$200,2,0))&amp;"_"&amp;RIGHT(A576,3)</f>
        <v>RLNFA_USD</v>
      </c>
      <c r="I576" s="66" t="str">
        <f t="shared" si="8"/>
        <v>ULSNFR_USD</v>
      </c>
    </row>
    <row r="577" spans="1:9">
      <c r="A577" t="s">
        <v>1235</v>
      </c>
      <c r="B577" t="s">
        <v>1237</v>
      </c>
      <c r="C577">
        <v>3</v>
      </c>
      <c r="D577">
        <v>3600</v>
      </c>
      <c r="E577">
        <v>150000</v>
      </c>
      <c r="F577">
        <v>12841.229375999999</v>
      </c>
      <c r="H577" s="66" t="str">
        <f>IF(OR(LEFT(B577,FIND("_",B577,1)-1)="ULGALLOC",LEFT(B577,FIND("_",B577,1)-1)="ULSPOOL"),LEFT(B577,FIND("_",B577,1)-1),VLOOKUP(LEFT(A577,6),'Code Library'!$D$3:$E$200,2,0))&amp;"_"&amp;RIGHT(A577,3)</f>
        <v>RLNFA_USD</v>
      </c>
      <c r="I577" s="66" t="str">
        <f t="shared" si="8"/>
        <v>ULSNFR_USD</v>
      </c>
    </row>
    <row r="578" spans="1:9">
      <c r="A578" t="s">
        <v>1235</v>
      </c>
      <c r="B578" t="s">
        <v>1238</v>
      </c>
      <c r="C578">
        <v>3</v>
      </c>
      <c r="D578">
        <v>11250</v>
      </c>
      <c r="E578">
        <v>450000</v>
      </c>
      <c r="F578">
        <v>182637.0247452</v>
      </c>
      <c r="G578" s="55"/>
      <c r="H578" s="66" t="str">
        <f>IF(OR(LEFT(B578,FIND("_",B578,1)-1)="ULGALLOC",LEFT(B578,FIND("_",B578,1)-1)="ULSPOOL"),LEFT(B578,FIND("_",B578,1)-1),VLOOKUP(LEFT(A578,6),'Code Library'!$D$3:$E$200,2,0))&amp;"_"&amp;RIGHT(A578,3)</f>
        <v>RLNFA_USD</v>
      </c>
      <c r="I578" s="66" t="str">
        <f t="shared" si="8"/>
        <v>ULSNFR_USD</v>
      </c>
    </row>
    <row r="579" spans="1:9">
      <c r="A579" t="s">
        <v>1227</v>
      </c>
      <c r="B579" t="s">
        <v>1239</v>
      </c>
      <c r="C579">
        <v>1</v>
      </c>
      <c r="D579">
        <v>7200000</v>
      </c>
      <c r="E579">
        <v>200000000</v>
      </c>
      <c r="F579">
        <v>177683488.64412299</v>
      </c>
      <c r="H579" s="66" t="str">
        <f>IF(OR(LEFT(B579,FIND("_",B579,1)-1)="ULGALLOC",LEFT(B579,FIND("_",B579,1)-1)="ULSPOOL"),LEFT(B579,FIND("_",B579,1)-1),VLOOKUP(LEFT(A579,6),'Code Library'!$D$3:$E$200,2,0))&amp;"_"&amp;RIGHT(A579,3)</f>
        <v>RLNFA_IDR</v>
      </c>
      <c r="I579" s="66" t="str">
        <f t="shared" ref="I579:I642" si="9">A579</f>
        <v>ULSNFR_IDR</v>
      </c>
    </row>
    <row r="580" spans="1:9">
      <c r="A580" t="s">
        <v>1227</v>
      </c>
      <c r="B580" t="s">
        <v>1240</v>
      </c>
      <c r="C580">
        <v>3</v>
      </c>
      <c r="D580">
        <v>34600000</v>
      </c>
      <c r="E580">
        <v>1170000000</v>
      </c>
      <c r="F580">
        <v>62908583.142904997</v>
      </c>
      <c r="G580" s="55"/>
      <c r="H580" s="66" t="str">
        <f>IF(OR(LEFT(B580,FIND("_",B580,1)-1)="ULGALLOC",LEFT(B580,FIND("_",B580,1)-1)="ULSPOOL"),LEFT(B580,FIND("_",B580,1)-1),VLOOKUP(LEFT(A580,6),'Code Library'!$D$3:$E$200,2,0))&amp;"_"&amp;RIGHT(A580,3)</f>
        <v>RLNFA_IDR</v>
      </c>
      <c r="I580" s="66" t="str">
        <f t="shared" si="9"/>
        <v>ULSNFR_IDR</v>
      </c>
    </row>
    <row r="581" spans="1:9">
      <c r="A581" t="s">
        <v>1227</v>
      </c>
      <c r="B581" t="s">
        <v>1241</v>
      </c>
      <c r="C581">
        <v>24</v>
      </c>
      <c r="D581">
        <v>174000004</v>
      </c>
      <c r="E581">
        <v>9599000000</v>
      </c>
      <c r="F581">
        <v>449218290.30902302</v>
      </c>
      <c r="H581" s="66" t="str">
        <f>IF(OR(LEFT(B581,FIND("_",B581,1)-1)="ULGALLOC",LEFT(B581,FIND("_",B581,1)-1)="ULSPOOL"),LEFT(B581,FIND("_",B581,1)-1),VLOOKUP(LEFT(A581,6),'Code Library'!$D$3:$E$200,2,0))&amp;"_"&amp;RIGHT(A581,3)</f>
        <v>RLNFA_IDR</v>
      </c>
      <c r="I581" s="66" t="str">
        <f t="shared" si="9"/>
        <v>ULSNFR_IDR</v>
      </c>
    </row>
    <row r="582" spans="1:9">
      <c r="A582" t="s">
        <v>1227</v>
      </c>
      <c r="B582" t="s">
        <v>1242</v>
      </c>
      <c r="C582">
        <v>13</v>
      </c>
      <c r="D582">
        <v>73200000</v>
      </c>
      <c r="E582">
        <v>3100000000</v>
      </c>
      <c r="F582">
        <v>124409087.727613</v>
      </c>
      <c r="H582" s="66" t="str">
        <f>IF(OR(LEFT(B582,FIND("_",B582,1)-1)="ULGALLOC",LEFT(B582,FIND("_",B582,1)-1)="ULSPOOL"),LEFT(B582,FIND("_",B582,1)-1),VLOOKUP(LEFT(A582,6),'Code Library'!$D$3:$E$200,2,0))&amp;"_"&amp;RIGHT(A582,3)</f>
        <v>RLNFA_IDR</v>
      </c>
      <c r="I582" s="66" t="str">
        <f t="shared" si="9"/>
        <v>ULSNFR_IDR</v>
      </c>
    </row>
    <row r="583" spans="1:9">
      <c r="A583" t="s">
        <v>1227</v>
      </c>
      <c r="B583" t="s">
        <v>1243</v>
      </c>
      <c r="C583">
        <v>3</v>
      </c>
      <c r="D583">
        <v>17200000</v>
      </c>
      <c r="E583">
        <v>865000000</v>
      </c>
      <c r="F583">
        <v>75461727.828274995</v>
      </c>
      <c r="G583" s="55"/>
      <c r="H583" s="66" t="str">
        <f>IF(OR(LEFT(B583,FIND("_",B583,1)-1)="ULGALLOC",LEFT(B583,FIND("_",B583,1)-1)="ULSPOOL"),LEFT(B583,FIND("_",B583,1)-1),VLOOKUP(LEFT(A583,6),'Code Library'!$D$3:$E$200,2,0))&amp;"_"&amp;RIGHT(A583,3)</f>
        <v>RLNFA_IDR</v>
      </c>
      <c r="I583" s="66" t="str">
        <f t="shared" si="9"/>
        <v>ULSNFR_IDR</v>
      </c>
    </row>
    <row r="584" spans="1:9">
      <c r="A584" t="s">
        <v>1227</v>
      </c>
      <c r="B584" t="s">
        <v>1244</v>
      </c>
      <c r="C584">
        <v>14</v>
      </c>
      <c r="D584">
        <v>154100000</v>
      </c>
      <c r="E584">
        <v>2587000000</v>
      </c>
      <c r="F584">
        <v>247011289.93404999</v>
      </c>
      <c r="H584" s="66" t="str">
        <f>IF(OR(LEFT(B584,FIND("_",B584,1)-1)="ULGALLOC",LEFT(B584,FIND("_",B584,1)-1)="ULSPOOL"),LEFT(B584,FIND("_",B584,1)-1),VLOOKUP(LEFT(A584,6),'Code Library'!$D$3:$E$200,2,0))&amp;"_"&amp;RIGHT(A584,3)</f>
        <v>RLNFA_IDR</v>
      </c>
      <c r="I584" s="66" t="str">
        <f t="shared" si="9"/>
        <v>ULSNFR_IDR</v>
      </c>
    </row>
    <row r="585" spans="1:9">
      <c r="A585" t="s">
        <v>1227</v>
      </c>
      <c r="B585" t="s">
        <v>1245</v>
      </c>
      <c r="C585">
        <v>32</v>
      </c>
      <c r="D585">
        <v>218300000</v>
      </c>
      <c r="E585">
        <v>5140000000</v>
      </c>
      <c r="F585">
        <v>632278660.65619504</v>
      </c>
      <c r="G585" s="55"/>
      <c r="H585" s="66" t="str">
        <f>IF(OR(LEFT(B585,FIND("_",B585,1)-1)="ULGALLOC",LEFT(B585,FIND("_",B585,1)-1)="ULSPOOL"),LEFT(B585,FIND("_",B585,1)-1),VLOOKUP(LEFT(A585,6),'Code Library'!$D$3:$E$200,2,0))&amp;"_"&amp;RIGHT(A585,3)</f>
        <v>RLNFA_IDR</v>
      </c>
      <c r="I585" s="66" t="str">
        <f t="shared" si="9"/>
        <v>ULSNFR_IDR</v>
      </c>
    </row>
    <row r="586" spans="1:9">
      <c r="A586" t="s">
        <v>1235</v>
      </c>
      <c r="B586" t="s">
        <v>1246</v>
      </c>
      <c r="C586">
        <v>1</v>
      </c>
      <c r="D586">
        <v>7000</v>
      </c>
      <c r="E586">
        <v>40000</v>
      </c>
      <c r="F586">
        <v>18674.723274</v>
      </c>
      <c r="H586" s="66" t="str">
        <f>IF(OR(LEFT(B586,FIND("_",B586,1)-1)="ULGALLOC",LEFT(B586,FIND("_",B586,1)-1)="ULSPOOL"),LEFT(B586,FIND("_",B586,1)-1),VLOOKUP(LEFT(A586,6),'Code Library'!$D$3:$E$200,2,0))&amp;"_"&amp;RIGHT(A586,3)</f>
        <v>RLNFA_USD</v>
      </c>
      <c r="I586" s="66" t="str">
        <f t="shared" si="9"/>
        <v>ULSNFR_USD</v>
      </c>
    </row>
    <row r="587" spans="1:9">
      <c r="A587" t="s">
        <v>1235</v>
      </c>
      <c r="B587" t="s">
        <v>1247</v>
      </c>
      <c r="C587">
        <v>6</v>
      </c>
      <c r="D587">
        <v>34625</v>
      </c>
      <c r="E587">
        <v>1595000</v>
      </c>
      <c r="F587">
        <v>53659.544144799998</v>
      </c>
      <c r="G587" s="55"/>
      <c r="H587" s="66" t="str">
        <f>IF(OR(LEFT(B587,FIND("_",B587,1)-1)="ULGALLOC",LEFT(B587,FIND("_",B587,1)-1)="ULSPOOL"),LEFT(B587,FIND("_",B587,1)-1),VLOOKUP(LEFT(A587,6),'Code Library'!$D$3:$E$200,2,0))&amp;"_"&amp;RIGHT(A587,3)</f>
        <v>RLNFA_USD</v>
      </c>
      <c r="I587" s="66" t="str">
        <f t="shared" si="9"/>
        <v>ULSNFR_USD</v>
      </c>
    </row>
    <row r="588" spans="1:9">
      <c r="A588" t="s">
        <v>1235</v>
      </c>
      <c r="B588" t="s">
        <v>1248</v>
      </c>
      <c r="C588">
        <v>7</v>
      </c>
      <c r="D588">
        <v>41200</v>
      </c>
      <c r="E588">
        <v>1520000</v>
      </c>
      <c r="F588">
        <v>586469.03870000003</v>
      </c>
      <c r="H588" s="66" t="str">
        <f>IF(OR(LEFT(B588,FIND("_",B588,1)-1)="ULGALLOC",LEFT(B588,FIND("_",B588,1)-1)="ULSPOOL"),LEFT(B588,FIND("_",B588,1)-1),VLOOKUP(LEFT(A588,6),'Code Library'!$D$3:$E$200,2,0))&amp;"_"&amp;RIGHT(A588,3)</f>
        <v>RLNFA_USD</v>
      </c>
      <c r="I588" s="66" t="str">
        <f t="shared" si="9"/>
        <v>ULSNFR_USD</v>
      </c>
    </row>
    <row r="589" spans="1:9">
      <c r="A589" t="s">
        <v>1235</v>
      </c>
      <c r="B589" t="s">
        <v>1249</v>
      </c>
      <c r="C589">
        <v>6</v>
      </c>
      <c r="D589">
        <v>13440</v>
      </c>
      <c r="E589">
        <v>325000</v>
      </c>
      <c r="F589">
        <v>83275.245391599994</v>
      </c>
      <c r="G589" s="55"/>
      <c r="H589" s="66" t="str">
        <f>IF(OR(LEFT(B589,FIND("_",B589,1)-1)="ULGALLOC",LEFT(B589,FIND("_",B589,1)-1)="ULSPOOL"),LEFT(B589,FIND("_",B589,1)-1),VLOOKUP(LEFT(A589,6),'Code Library'!$D$3:$E$200,2,0))&amp;"_"&amp;RIGHT(A589,3)</f>
        <v>RLNFA_USD</v>
      </c>
      <c r="I589" s="66" t="str">
        <f t="shared" si="9"/>
        <v>ULSNFR_USD</v>
      </c>
    </row>
    <row r="590" spans="1:9">
      <c r="A590" t="s">
        <v>1235</v>
      </c>
      <c r="B590" t="s">
        <v>1250</v>
      </c>
      <c r="C590">
        <v>5</v>
      </c>
      <c r="D590">
        <v>14115</v>
      </c>
      <c r="E590">
        <v>405000</v>
      </c>
      <c r="F590">
        <v>107550.4243064</v>
      </c>
      <c r="H590" s="66" t="str">
        <f>IF(OR(LEFT(B590,FIND("_",B590,1)-1)="ULGALLOC",LEFT(B590,FIND("_",B590,1)-1)="ULSPOOL"),LEFT(B590,FIND("_",B590,1)-1),VLOOKUP(LEFT(A590,6),'Code Library'!$D$3:$E$200,2,0))&amp;"_"&amp;RIGHT(A590,3)</f>
        <v>RLNFA_USD</v>
      </c>
      <c r="I590" s="66" t="str">
        <f t="shared" si="9"/>
        <v>ULSNFR_USD</v>
      </c>
    </row>
    <row r="591" spans="1:9">
      <c r="A591" t="s">
        <v>1235</v>
      </c>
      <c r="B591" t="s">
        <v>1251</v>
      </c>
      <c r="C591">
        <v>1</v>
      </c>
      <c r="D591">
        <v>5160</v>
      </c>
      <c r="E591">
        <v>80000</v>
      </c>
      <c r="F591">
        <v>3403.0491132000002</v>
      </c>
      <c r="G591" s="55"/>
      <c r="H591" s="66" t="str">
        <f>IF(OR(LEFT(B591,FIND("_",B591,1)-1)="ULGALLOC",LEFT(B591,FIND("_",B591,1)-1)="ULSPOOL"),LEFT(B591,FIND("_",B591,1)-1),VLOOKUP(LEFT(A591,6),'Code Library'!$D$3:$E$200,2,0))&amp;"_"&amp;RIGHT(A591,3)</f>
        <v>RLNFA_USD</v>
      </c>
      <c r="I591" s="66" t="str">
        <f t="shared" si="9"/>
        <v>ULSNFR_USD</v>
      </c>
    </row>
    <row r="592" spans="1:9">
      <c r="A592" t="s">
        <v>1227</v>
      </c>
      <c r="B592" t="s">
        <v>1252</v>
      </c>
      <c r="C592">
        <v>7019</v>
      </c>
      <c r="D592">
        <v>38123701516</v>
      </c>
      <c r="E592">
        <v>1720942096000</v>
      </c>
      <c r="F592">
        <v>252595177601.39099</v>
      </c>
      <c r="H592" s="66" t="str">
        <f>IF(OR(LEFT(B592,FIND("_",B592,1)-1)="ULGALLOC",LEFT(B592,FIND("_",B592,1)-1)="ULSPOOL"),LEFT(B592,FIND("_",B592,1)-1),VLOOKUP(LEFT(A592,6),'Code Library'!$D$3:$E$200,2,0))&amp;"_"&amp;RIGHT(A592,3)</f>
        <v>RLNFA_IDR</v>
      </c>
      <c r="I592" s="66" t="str">
        <f t="shared" si="9"/>
        <v>ULSNFR_IDR</v>
      </c>
    </row>
    <row r="593" spans="1:9">
      <c r="A593" t="s">
        <v>1227</v>
      </c>
      <c r="B593" t="s">
        <v>1253</v>
      </c>
      <c r="C593">
        <v>9</v>
      </c>
      <c r="D593">
        <v>42280000</v>
      </c>
      <c r="E593">
        <v>1782000000</v>
      </c>
      <c r="F593">
        <v>204046597.81764901</v>
      </c>
      <c r="H593" s="66" t="str">
        <f>IF(OR(LEFT(B593,FIND("_",B593,1)-1)="ULGALLOC",LEFT(B593,FIND("_",B593,1)-1)="ULSPOOL"),LEFT(B593,FIND("_",B593,1)-1),VLOOKUP(LEFT(A593,6),'Code Library'!$D$3:$E$200,2,0))&amp;"_"&amp;RIGHT(A593,3)</f>
        <v>RLNFA_IDR</v>
      </c>
      <c r="I593" s="66" t="str">
        <f t="shared" si="9"/>
        <v>ULSNFR_IDR</v>
      </c>
    </row>
    <row r="594" spans="1:9">
      <c r="A594" t="s">
        <v>1227</v>
      </c>
      <c r="B594" t="s">
        <v>1254</v>
      </c>
      <c r="C594">
        <v>40</v>
      </c>
      <c r="D594">
        <v>121200000</v>
      </c>
      <c r="E594">
        <v>4929500000</v>
      </c>
      <c r="F594">
        <v>303415970.78939402</v>
      </c>
      <c r="G594" s="55"/>
      <c r="H594" s="66" t="str">
        <f>IF(OR(LEFT(B594,FIND("_",B594,1)-1)="ULGALLOC",LEFT(B594,FIND("_",B594,1)-1)="ULSPOOL"),LEFT(B594,FIND("_",B594,1)-1),VLOOKUP(LEFT(A594,6),'Code Library'!$D$3:$E$200,2,0))&amp;"_"&amp;RIGHT(A594,3)</f>
        <v>RLNFA_IDR</v>
      </c>
      <c r="I594" s="66" t="str">
        <f t="shared" si="9"/>
        <v>ULSNFR_IDR</v>
      </c>
    </row>
    <row r="595" spans="1:9">
      <c r="A595" t="s">
        <v>1227</v>
      </c>
      <c r="B595" t="s">
        <v>1255</v>
      </c>
      <c r="C595">
        <v>12</v>
      </c>
      <c r="D595">
        <v>68400000</v>
      </c>
      <c r="E595">
        <v>2629000000</v>
      </c>
      <c r="F595">
        <v>143897400.551649</v>
      </c>
      <c r="H595" s="66" t="str">
        <f>IF(OR(LEFT(B595,FIND("_",B595,1)-1)="ULGALLOC",LEFT(B595,FIND("_",B595,1)-1)="ULSPOOL"),LEFT(B595,FIND("_",B595,1)-1),VLOOKUP(LEFT(A595,6),'Code Library'!$D$3:$E$200,2,0))&amp;"_"&amp;RIGHT(A595,3)</f>
        <v>RLNFA_IDR</v>
      </c>
      <c r="I595" s="66" t="str">
        <f t="shared" si="9"/>
        <v>ULSNFR_IDR</v>
      </c>
    </row>
    <row r="596" spans="1:9">
      <c r="A596" t="s">
        <v>1227</v>
      </c>
      <c r="B596" t="s">
        <v>1256</v>
      </c>
      <c r="C596">
        <v>7</v>
      </c>
      <c r="D596">
        <v>52600000</v>
      </c>
      <c r="E596">
        <v>1104000000</v>
      </c>
      <c r="F596">
        <v>69340483.382859007</v>
      </c>
      <c r="G596" s="55"/>
      <c r="H596" s="66" t="str">
        <f>IF(OR(LEFT(B596,FIND("_",B596,1)-1)="ULGALLOC",LEFT(B596,FIND("_",B596,1)-1)="ULSPOOL"),LEFT(B596,FIND("_",B596,1)-1),VLOOKUP(LEFT(A596,6),'Code Library'!$D$3:$E$200,2,0))&amp;"_"&amp;RIGHT(A596,3)</f>
        <v>RLNFA_IDR</v>
      </c>
      <c r="I596" s="66" t="str">
        <f t="shared" si="9"/>
        <v>ULSNFR_IDR</v>
      </c>
    </row>
    <row r="597" spans="1:9">
      <c r="A597" t="s">
        <v>1227</v>
      </c>
      <c r="B597" t="s">
        <v>1257</v>
      </c>
      <c r="C597">
        <v>32</v>
      </c>
      <c r="D597">
        <v>121200000</v>
      </c>
      <c r="E597">
        <v>3015000000</v>
      </c>
      <c r="F597">
        <v>305521200.89892501</v>
      </c>
      <c r="H597" s="66" t="str">
        <f>IF(OR(LEFT(B597,FIND("_",B597,1)-1)="ULGALLOC",LEFT(B597,FIND("_",B597,1)-1)="ULSPOOL"),LEFT(B597,FIND("_",B597,1)-1),VLOOKUP(LEFT(A597,6),'Code Library'!$D$3:$E$200,2,0))&amp;"_"&amp;RIGHT(A597,3)</f>
        <v>RLNFA_IDR</v>
      </c>
      <c r="I597" s="66" t="str">
        <f t="shared" si="9"/>
        <v>ULSNFR_IDR</v>
      </c>
    </row>
    <row r="598" spans="1:9">
      <c r="A598" t="s">
        <v>1227</v>
      </c>
      <c r="B598" t="s">
        <v>1258</v>
      </c>
      <c r="C598">
        <v>5</v>
      </c>
      <c r="D598">
        <v>24600000</v>
      </c>
      <c r="E598">
        <v>1395000000</v>
      </c>
      <c r="F598">
        <v>35766759.777240001</v>
      </c>
      <c r="H598" s="66" t="str">
        <f>IF(OR(LEFT(B598,FIND("_",B598,1)-1)="ULGALLOC",LEFT(B598,FIND("_",B598,1)-1)="ULSPOOL"),LEFT(B598,FIND("_",B598,1)-1),VLOOKUP(LEFT(A598,6),'Code Library'!$D$3:$E$200,2,0))&amp;"_"&amp;RIGHT(A598,3)</f>
        <v>RLNFA_IDR</v>
      </c>
      <c r="I598" s="66" t="str">
        <f t="shared" si="9"/>
        <v>ULSNFR_IDR</v>
      </c>
    </row>
    <row r="599" spans="1:9">
      <c r="A599" t="s">
        <v>1235</v>
      </c>
      <c r="B599" t="s">
        <v>1259</v>
      </c>
      <c r="C599">
        <v>69</v>
      </c>
      <c r="D599">
        <v>236766</v>
      </c>
      <c r="E599">
        <v>6304000</v>
      </c>
      <c r="F599">
        <v>908283.62841400004</v>
      </c>
      <c r="H599" s="66" t="str">
        <f>IF(OR(LEFT(B599,FIND("_",B599,1)-1)="ULGALLOC",LEFT(B599,FIND("_",B599,1)-1)="ULSPOOL"),LEFT(B599,FIND("_",B599,1)-1),VLOOKUP(LEFT(A599,6),'Code Library'!$D$3:$E$200,2,0))&amp;"_"&amp;RIGHT(A599,3)</f>
        <v>RLNFA_USD</v>
      </c>
      <c r="I599" s="66" t="str">
        <f t="shared" si="9"/>
        <v>ULSNFR_USD</v>
      </c>
    </row>
    <row r="600" spans="1:9">
      <c r="A600" t="s">
        <v>1235</v>
      </c>
      <c r="B600" t="s">
        <v>1260</v>
      </c>
      <c r="C600">
        <v>4</v>
      </c>
      <c r="D600">
        <v>12100</v>
      </c>
      <c r="E600">
        <v>600000</v>
      </c>
      <c r="F600">
        <v>62231.985913600001</v>
      </c>
      <c r="H600" s="66" t="str">
        <f>IF(OR(LEFT(B600,FIND("_",B600,1)-1)="ULGALLOC",LEFT(B600,FIND("_",B600,1)-1)="ULSPOOL"),LEFT(B600,FIND("_",B600,1)-1),VLOOKUP(LEFT(A600,6),'Code Library'!$D$3:$E$200,2,0))&amp;"_"&amp;RIGHT(A600,3)</f>
        <v>RLNFA_USD</v>
      </c>
      <c r="I600" s="66" t="str">
        <f t="shared" si="9"/>
        <v>ULSNFR_USD</v>
      </c>
    </row>
    <row r="601" spans="1:9">
      <c r="A601" t="s">
        <v>1235</v>
      </c>
      <c r="B601" t="s">
        <v>1261</v>
      </c>
      <c r="C601">
        <v>3</v>
      </c>
      <c r="D601">
        <v>13932</v>
      </c>
      <c r="E601">
        <v>330000</v>
      </c>
      <c r="F601">
        <v>41160.686854</v>
      </c>
      <c r="H601" s="66" t="str">
        <f>IF(OR(LEFT(B601,FIND("_",B601,1)-1)="ULGALLOC",LEFT(B601,FIND("_",B601,1)-1)="ULSPOOL"),LEFT(B601,FIND("_",B601,1)-1),VLOOKUP(LEFT(A601,6),'Code Library'!$D$3:$E$200,2,0))&amp;"_"&amp;RIGHT(A601,3)</f>
        <v>RLNFA_USD</v>
      </c>
      <c r="I601" s="66" t="str">
        <f t="shared" si="9"/>
        <v>ULSNFR_USD</v>
      </c>
    </row>
    <row r="602" spans="1:9">
      <c r="A602" t="s">
        <v>1235</v>
      </c>
      <c r="B602" t="s">
        <v>1262</v>
      </c>
      <c r="C602">
        <v>4</v>
      </c>
      <c r="D602">
        <v>9520</v>
      </c>
      <c r="E602">
        <v>300000</v>
      </c>
      <c r="F602">
        <v>72986.818032399999</v>
      </c>
      <c r="H602" s="66" t="str">
        <f>IF(OR(LEFT(B602,FIND("_",B602,1)-1)="ULGALLOC",LEFT(B602,FIND("_",B602,1)-1)="ULSPOOL"),LEFT(B602,FIND("_",B602,1)-1),VLOOKUP(LEFT(A602,6),'Code Library'!$D$3:$E$200,2,0))&amp;"_"&amp;RIGHT(A602,3)</f>
        <v>RLNFA_USD</v>
      </c>
      <c r="I602" s="66" t="str">
        <f t="shared" si="9"/>
        <v>ULSNFR_USD</v>
      </c>
    </row>
    <row r="603" spans="1:9">
      <c r="A603" t="s">
        <v>1235</v>
      </c>
      <c r="B603" t="s">
        <v>1263</v>
      </c>
      <c r="C603">
        <v>10</v>
      </c>
      <c r="D603">
        <v>28600</v>
      </c>
      <c r="E603">
        <v>549400</v>
      </c>
      <c r="F603">
        <v>37996.04017</v>
      </c>
      <c r="H603" s="66" t="str">
        <f>IF(OR(LEFT(B603,FIND("_",B603,1)-1)="ULGALLOC",LEFT(B603,FIND("_",B603,1)-1)="ULSPOOL"),LEFT(B603,FIND("_",B603,1)-1),VLOOKUP(LEFT(A603,6),'Code Library'!$D$3:$E$200,2,0))&amp;"_"&amp;RIGHT(A603,3)</f>
        <v>RLNFA_USD</v>
      </c>
      <c r="I603" s="66" t="str">
        <f t="shared" si="9"/>
        <v>ULSNFR_USD</v>
      </c>
    </row>
    <row r="604" spans="1:9">
      <c r="A604" t="s">
        <v>1235</v>
      </c>
      <c r="B604" t="s">
        <v>1264</v>
      </c>
      <c r="C604">
        <v>6</v>
      </c>
      <c r="D604">
        <v>24884</v>
      </c>
      <c r="E604">
        <v>1075120</v>
      </c>
      <c r="F604">
        <v>83354.4614592</v>
      </c>
      <c r="H604" s="66" t="str">
        <f>IF(OR(LEFT(B604,FIND("_",B604,1)-1)="ULGALLOC",LEFT(B604,FIND("_",B604,1)-1)="ULSPOOL"),LEFT(B604,FIND("_",B604,1)-1),VLOOKUP(LEFT(A604,6),'Code Library'!$D$3:$E$200,2,0))&amp;"_"&amp;RIGHT(A604,3)</f>
        <v>RLNFA_USD</v>
      </c>
      <c r="I604" s="66" t="str">
        <f t="shared" si="9"/>
        <v>ULSNFR_USD</v>
      </c>
    </row>
    <row r="605" spans="1:9">
      <c r="A605" t="s">
        <v>1235</v>
      </c>
      <c r="B605" t="s">
        <v>1265</v>
      </c>
      <c r="C605">
        <v>1</v>
      </c>
      <c r="D605">
        <v>1000</v>
      </c>
      <c r="E605">
        <v>50000</v>
      </c>
      <c r="F605">
        <v>20861.334964000001</v>
      </c>
      <c r="H605" s="66" t="str">
        <f>IF(OR(LEFT(B605,FIND("_",B605,1)-1)="ULGALLOC",LEFT(B605,FIND("_",B605,1)-1)="ULSPOOL"),LEFT(B605,FIND("_",B605,1)-1),VLOOKUP(LEFT(A605,6),'Code Library'!$D$3:$E$200,2,0))&amp;"_"&amp;RIGHT(A605,3)</f>
        <v>RLNFA_USD</v>
      </c>
      <c r="I605" s="66" t="str">
        <f t="shared" si="9"/>
        <v>ULSNFR_USD</v>
      </c>
    </row>
    <row r="606" spans="1:9">
      <c r="A606" t="s">
        <v>1266</v>
      </c>
      <c r="B606" t="s">
        <v>1267</v>
      </c>
      <c r="C606">
        <v>11</v>
      </c>
      <c r="D606">
        <v>171000000</v>
      </c>
      <c r="E606">
        <v>3430000000</v>
      </c>
      <c r="F606">
        <v>2210891958.4794202</v>
      </c>
      <c r="H606" s="66" t="str">
        <f>IF(OR(LEFT(B606,FIND("_",B606,1)-1)="ULGALLOC",LEFT(B606,FIND("_",B606,1)-1)="ULSPOOL"),LEFT(B606,FIND("_",B606,1)-1),VLOOKUP(LEFT(A606,6),'Code Library'!$D$3:$E$200,2,0))&amp;"_"&amp;RIGHT(A606,3)</f>
        <v>RLNFA_IDR</v>
      </c>
      <c r="I606" s="66" t="str">
        <f t="shared" si="9"/>
        <v>ULSNFRA_IDR</v>
      </c>
    </row>
    <row r="607" spans="1:9">
      <c r="A607" t="s">
        <v>1266</v>
      </c>
      <c r="B607" t="s">
        <v>1268</v>
      </c>
      <c r="C607">
        <v>7</v>
      </c>
      <c r="D607">
        <v>19600000</v>
      </c>
      <c r="E607">
        <v>634000000</v>
      </c>
      <c r="F607">
        <v>36142903.533984996</v>
      </c>
      <c r="H607" s="66" t="str">
        <f>IF(OR(LEFT(B607,FIND("_",B607,1)-1)="ULGALLOC",LEFT(B607,FIND("_",B607,1)-1)="ULSPOOL"),LEFT(B607,FIND("_",B607,1)-1),VLOOKUP(LEFT(A607,6),'Code Library'!$D$3:$E$200,2,0))&amp;"_"&amp;RIGHT(A607,3)</f>
        <v>RLNFA_IDR</v>
      </c>
      <c r="I607" s="66" t="str">
        <f t="shared" si="9"/>
        <v>ULSNFRA_IDR</v>
      </c>
    </row>
    <row r="608" spans="1:9">
      <c r="A608" t="s">
        <v>1266</v>
      </c>
      <c r="B608" t="s">
        <v>1269</v>
      </c>
      <c r="C608">
        <v>13</v>
      </c>
      <c r="D608">
        <v>77600000</v>
      </c>
      <c r="E608">
        <v>2250000000</v>
      </c>
      <c r="F608">
        <v>34938677</v>
      </c>
      <c r="H608" s="66" t="str">
        <f>IF(OR(LEFT(B608,FIND("_",B608,1)-1)="ULGALLOC",LEFT(B608,FIND("_",B608,1)-1)="ULSPOOL"),LEFT(B608,FIND("_",B608,1)-1),VLOOKUP(LEFT(A608,6),'Code Library'!$D$3:$E$200,2,0))&amp;"_"&amp;RIGHT(A608,3)</f>
        <v>RLNFA_IDR</v>
      </c>
      <c r="I608" s="66" t="str">
        <f t="shared" si="9"/>
        <v>ULSNFRA_IDR</v>
      </c>
    </row>
    <row r="609" spans="1:9">
      <c r="A609" t="s">
        <v>1266</v>
      </c>
      <c r="B609" t="s">
        <v>2280</v>
      </c>
      <c r="C609">
        <v>7</v>
      </c>
      <c r="D609">
        <v>46200000</v>
      </c>
      <c r="E609">
        <v>860000000</v>
      </c>
      <c r="F609">
        <v>10629793</v>
      </c>
      <c r="H609" s="66" t="str">
        <f>IF(OR(LEFT(B609,FIND("_",B609,1)-1)="ULGALLOC",LEFT(B609,FIND("_",B609,1)-1)="ULSPOOL"),LEFT(B609,FIND("_",B609,1)-1),VLOOKUP(LEFT(A609,6),'Code Library'!$D$3:$E$200,2,0))&amp;"_"&amp;RIGHT(A609,3)</f>
        <v>RLNFA_IDR</v>
      </c>
      <c r="I609" s="66" t="str">
        <f t="shared" si="9"/>
        <v>ULSNFRA_IDR</v>
      </c>
    </row>
    <row r="610" spans="1:9">
      <c r="A610" t="s">
        <v>1270</v>
      </c>
      <c r="B610" t="s">
        <v>1271</v>
      </c>
      <c r="C610">
        <v>3</v>
      </c>
      <c r="D610">
        <v>1500</v>
      </c>
      <c r="E610">
        <v>15000</v>
      </c>
      <c r="F610">
        <v>3411</v>
      </c>
      <c r="H610" s="66" t="str">
        <f>IF(OR(LEFT(B610,FIND("_",B610,1)-1)="ULGALLOC",LEFT(B610,FIND("_",B610,1)-1)="ULSPOOL"),LEFT(B610,FIND("_",B610,1)-1),VLOOKUP(LEFT(A610,6),'Code Library'!$D$3:$E$200,2,0))&amp;"_"&amp;RIGHT(A610,3)</f>
        <v>RLNFA_USD</v>
      </c>
      <c r="I610" s="66" t="str">
        <f t="shared" si="9"/>
        <v>ULSNFRA_USD</v>
      </c>
    </row>
    <row r="611" spans="1:9">
      <c r="A611" t="s">
        <v>1270</v>
      </c>
      <c r="B611" t="s">
        <v>1272</v>
      </c>
      <c r="C611">
        <v>3</v>
      </c>
      <c r="D611">
        <v>10200</v>
      </c>
      <c r="E611">
        <v>307000</v>
      </c>
      <c r="F611">
        <v>9551.8171208000003</v>
      </c>
      <c r="H611" s="66" t="str">
        <f>IF(OR(LEFT(B611,FIND("_",B611,1)-1)="ULGALLOC",LEFT(B611,FIND("_",B611,1)-1)="ULSPOOL"),LEFT(B611,FIND("_",B611,1)-1),VLOOKUP(LEFT(A611,6),'Code Library'!$D$3:$E$200,2,0))&amp;"_"&amp;RIGHT(A611,3)</f>
        <v>RLNFA_USD</v>
      </c>
      <c r="I611" s="66" t="str">
        <f t="shared" si="9"/>
        <v>ULSNFRA_USD</v>
      </c>
    </row>
    <row r="612" spans="1:9">
      <c r="A612" t="s">
        <v>1270</v>
      </c>
      <c r="B612" t="s">
        <v>2281</v>
      </c>
      <c r="C612">
        <v>1</v>
      </c>
      <c r="D612">
        <v>3600</v>
      </c>
      <c r="E612">
        <v>90000</v>
      </c>
      <c r="F612">
        <v>1746</v>
      </c>
      <c r="H612" s="66" t="str">
        <f>IF(OR(LEFT(B612,FIND("_",B612,1)-1)="ULGALLOC",LEFT(B612,FIND("_",B612,1)-1)="ULSPOOL"),LEFT(B612,FIND("_",B612,1)-1),VLOOKUP(LEFT(A612,6),'Code Library'!$D$3:$E$200,2,0))&amp;"_"&amp;RIGHT(A612,3)</f>
        <v>RLNFA_USD</v>
      </c>
      <c r="I612" s="66" t="str">
        <f t="shared" si="9"/>
        <v>ULSNFRA_USD</v>
      </c>
    </row>
    <row r="613" spans="1:9">
      <c r="A613" t="s">
        <v>1266</v>
      </c>
      <c r="B613" t="s">
        <v>1273</v>
      </c>
      <c r="C613">
        <v>69</v>
      </c>
      <c r="D613">
        <v>819220000</v>
      </c>
      <c r="E613">
        <v>12987200000</v>
      </c>
      <c r="F613">
        <v>2189760040.6567998</v>
      </c>
      <c r="H613" s="66" t="str">
        <f>IF(OR(LEFT(B613,FIND("_",B613,1)-1)="ULGALLOC",LEFT(B613,FIND("_",B613,1)-1)="ULSPOOL"),LEFT(B613,FIND("_",B613,1)-1),VLOOKUP(LEFT(A613,6),'Code Library'!$D$3:$E$200,2,0))&amp;"_"&amp;RIGHT(A613,3)</f>
        <v>RLNFA_IDR</v>
      </c>
      <c r="I613" s="66" t="str">
        <f t="shared" si="9"/>
        <v>ULSNFRA_IDR</v>
      </c>
    </row>
    <row r="614" spans="1:9">
      <c r="A614" t="s">
        <v>1266</v>
      </c>
      <c r="B614" t="s">
        <v>1274</v>
      </c>
      <c r="C614">
        <v>126</v>
      </c>
      <c r="D614">
        <v>1517498000</v>
      </c>
      <c r="E614">
        <v>26268000000</v>
      </c>
      <c r="F614">
        <v>4634468500.9706402</v>
      </c>
      <c r="H614" s="66" t="str">
        <f>IF(OR(LEFT(B614,FIND("_",B614,1)-1)="ULGALLOC",LEFT(B614,FIND("_",B614,1)-1)="ULSPOOL"),LEFT(B614,FIND("_",B614,1)-1),VLOOKUP(LEFT(A614,6),'Code Library'!$D$3:$E$200,2,0))&amp;"_"&amp;RIGHT(A614,3)</f>
        <v>RLNFA_IDR</v>
      </c>
      <c r="I614" s="66" t="str">
        <f t="shared" si="9"/>
        <v>ULSNFRA_IDR</v>
      </c>
    </row>
    <row r="615" spans="1:9">
      <c r="A615" t="s">
        <v>1266</v>
      </c>
      <c r="B615" t="s">
        <v>1275</v>
      </c>
      <c r="C615">
        <v>213</v>
      </c>
      <c r="D615">
        <v>2052443996</v>
      </c>
      <c r="E615">
        <v>39029080000</v>
      </c>
      <c r="F615">
        <v>2711310486.8345699</v>
      </c>
      <c r="H615" s="66" t="str">
        <f>IF(OR(LEFT(B615,FIND("_",B615,1)-1)="ULGALLOC",LEFT(B615,FIND("_",B615,1)-1)="ULSPOOL"),LEFT(B615,FIND("_",B615,1)-1),VLOOKUP(LEFT(A615,6),'Code Library'!$D$3:$E$200,2,0))&amp;"_"&amp;RIGHT(A615,3)</f>
        <v>RLNFA_IDR</v>
      </c>
      <c r="I615" s="66" t="str">
        <f t="shared" si="9"/>
        <v>ULSNFRA_IDR</v>
      </c>
    </row>
    <row r="616" spans="1:9">
      <c r="A616" t="s">
        <v>1266</v>
      </c>
      <c r="B616" t="s">
        <v>2282</v>
      </c>
      <c r="C616">
        <v>23</v>
      </c>
      <c r="D616">
        <v>233600000</v>
      </c>
      <c r="E616">
        <v>3676000000</v>
      </c>
      <c r="F616">
        <v>313474182.00941098</v>
      </c>
      <c r="H616" s="66" t="str">
        <f>IF(OR(LEFT(B616,FIND("_",B616,1)-1)="ULGALLOC",LEFT(B616,FIND("_",B616,1)-1)="ULSPOOL"),LEFT(B616,FIND("_",B616,1)-1),VLOOKUP(LEFT(A616,6),'Code Library'!$D$3:$E$200,2,0))&amp;"_"&amp;RIGHT(A616,3)</f>
        <v>RLNFA_IDR</v>
      </c>
      <c r="I616" s="66" t="str">
        <f t="shared" si="9"/>
        <v>ULSNFRA_IDR</v>
      </c>
    </row>
    <row r="617" spans="1:9">
      <c r="A617" t="s">
        <v>1270</v>
      </c>
      <c r="B617" t="s">
        <v>1276</v>
      </c>
      <c r="C617">
        <v>1</v>
      </c>
      <c r="D617">
        <v>3132</v>
      </c>
      <c r="E617">
        <v>50000</v>
      </c>
      <c r="F617">
        <v>2291.5696584000002</v>
      </c>
      <c r="H617" s="66" t="str">
        <f>IF(OR(LEFT(B617,FIND("_",B617,1)-1)="ULGALLOC",LEFT(B617,FIND("_",B617,1)-1)="ULSPOOL"),LEFT(B617,FIND("_",B617,1)-1),VLOOKUP(LEFT(A617,6),'Code Library'!$D$3:$E$200,2,0))&amp;"_"&amp;RIGHT(A617,3)</f>
        <v>RLNFA_USD</v>
      </c>
      <c r="I617" s="66" t="str">
        <f t="shared" si="9"/>
        <v>ULSNFRA_USD</v>
      </c>
    </row>
    <row r="618" spans="1:9">
      <c r="A618" t="s">
        <v>1270</v>
      </c>
      <c r="B618" t="s">
        <v>1277</v>
      </c>
      <c r="C618">
        <v>6</v>
      </c>
      <c r="D618">
        <v>20900</v>
      </c>
      <c r="E618">
        <v>245000</v>
      </c>
      <c r="F618">
        <v>142184.8414568</v>
      </c>
      <c r="H618" s="66" t="str">
        <f>IF(OR(LEFT(B618,FIND("_",B618,1)-1)="ULGALLOC",LEFT(B618,FIND("_",B618,1)-1)="ULSPOOL"),LEFT(B618,FIND("_",B618,1)-1),VLOOKUP(LEFT(A618,6),'Code Library'!$D$3:$E$200,2,0))&amp;"_"&amp;RIGHT(A618,3)</f>
        <v>RLNFA_USD</v>
      </c>
      <c r="I618" s="66" t="str">
        <f t="shared" si="9"/>
        <v>ULSNFRA_USD</v>
      </c>
    </row>
    <row r="619" spans="1:9">
      <c r="A619" t="s">
        <v>1270</v>
      </c>
      <c r="B619" t="s">
        <v>1278</v>
      </c>
      <c r="C619">
        <v>6</v>
      </c>
      <c r="D619">
        <v>14132</v>
      </c>
      <c r="E619">
        <v>1150000</v>
      </c>
      <c r="F619">
        <v>22326.4978056</v>
      </c>
      <c r="H619" s="66" t="str">
        <f>IF(OR(LEFT(B619,FIND("_",B619,1)-1)="ULGALLOC",LEFT(B619,FIND("_",B619,1)-1)="ULSPOOL"),LEFT(B619,FIND("_",B619,1)-1),VLOOKUP(LEFT(A619,6),'Code Library'!$D$3:$E$200,2,0))&amp;"_"&amp;RIGHT(A619,3)</f>
        <v>RLNFA_USD</v>
      </c>
      <c r="I619" s="66" t="str">
        <f t="shared" si="9"/>
        <v>ULSNFRA_USD</v>
      </c>
    </row>
    <row r="620" spans="1:9">
      <c r="A620" t="s">
        <v>1266</v>
      </c>
      <c r="B620" t="s">
        <v>1279</v>
      </c>
      <c r="C620">
        <v>4</v>
      </c>
      <c r="D620">
        <v>15600000</v>
      </c>
      <c r="E620">
        <v>550000000</v>
      </c>
      <c r="F620">
        <v>25556419.649875998</v>
      </c>
      <c r="H620" s="66" t="str">
        <f>IF(OR(LEFT(B620,FIND("_",B620,1)-1)="ULGALLOC",LEFT(B620,FIND("_",B620,1)-1)="ULSPOOL"),LEFT(B620,FIND("_",B620,1)-1),VLOOKUP(LEFT(A620,6),'Code Library'!$D$3:$E$200,2,0))&amp;"_"&amp;RIGHT(A620,3)</f>
        <v>RLNFA_IDR</v>
      </c>
      <c r="I620" s="66" t="str">
        <f t="shared" si="9"/>
        <v>ULSNFRA_IDR</v>
      </c>
    </row>
    <row r="621" spans="1:9">
      <c r="A621" t="s">
        <v>1266</v>
      </c>
      <c r="B621" t="s">
        <v>1280</v>
      </c>
      <c r="C621">
        <v>7</v>
      </c>
      <c r="D621">
        <v>27600000</v>
      </c>
      <c r="E621">
        <v>1017600000</v>
      </c>
      <c r="F621">
        <v>29729309.514060002</v>
      </c>
      <c r="G621" s="55"/>
      <c r="H621" s="66" t="str">
        <f>IF(OR(LEFT(B621,FIND("_",B621,1)-1)="ULGALLOC",LEFT(B621,FIND("_",B621,1)-1)="ULSPOOL"),LEFT(B621,FIND("_",B621,1)-1),VLOOKUP(LEFT(A621,6),'Code Library'!$D$3:$E$200,2,0))&amp;"_"&amp;RIGHT(A621,3)</f>
        <v>RLNFA_IDR</v>
      </c>
      <c r="I621" s="66" t="str">
        <f t="shared" si="9"/>
        <v>ULSNFRA_IDR</v>
      </c>
    </row>
    <row r="622" spans="1:9">
      <c r="A622" t="s">
        <v>1266</v>
      </c>
      <c r="B622" t="s">
        <v>1281</v>
      </c>
      <c r="C622">
        <v>11</v>
      </c>
      <c r="D622">
        <v>95700000</v>
      </c>
      <c r="E622">
        <v>2680000000</v>
      </c>
      <c r="F622">
        <v>67189186.562803</v>
      </c>
      <c r="H622" s="66" t="str">
        <f>IF(OR(LEFT(B622,FIND("_",B622,1)-1)="ULGALLOC",LEFT(B622,FIND("_",B622,1)-1)="ULSPOOL"),LEFT(B622,FIND("_",B622,1)-1),VLOOKUP(LEFT(A622,6),'Code Library'!$D$3:$E$200,2,0))&amp;"_"&amp;RIGHT(A622,3)</f>
        <v>RLNFA_IDR</v>
      </c>
      <c r="I622" s="66" t="str">
        <f t="shared" si="9"/>
        <v>ULSNFRA_IDR</v>
      </c>
    </row>
    <row r="623" spans="1:9">
      <c r="A623" t="s">
        <v>1266</v>
      </c>
      <c r="B623" t="s">
        <v>2283</v>
      </c>
      <c r="C623">
        <v>4</v>
      </c>
      <c r="D623">
        <v>13800000</v>
      </c>
      <c r="E623">
        <v>400000000</v>
      </c>
      <c r="F623">
        <v>7007556.6684100004</v>
      </c>
      <c r="H623" s="66" t="str">
        <f>IF(OR(LEFT(B623,FIND("_",B623,1)-1)="ULGALLOC",LEFT(B623,FIND("_",B623,1)-1)="ULSPOOL"),LEFT(B623,FIND("_",B623,1)-1),VLOOKUP(LEFT(A623,6),'Code Library'!$D$3:$E$200,2,0))&amp;"_"&amp;RIGHT(A623,3)</f>
        <v>RLNFA_IDR</v>
      </c>
      <c r="I623" s="66" t="str">
        <f t="shared" si="9"/>
        <v>ULSNFRA_IDR</v>
      </c>
    </row>
    <row r="624" spans="1:9">
      <c r="A624" t="s">
        <v>1270</v>
      </c>
      <c r="B624" t="s">
        <v>1282</v>
      </c>
      <c r="C624">
        <v>3</v>
      </c>
      <c r="D624">
        <v>3200</v>
      </c>
      <c r="E624">
        <v>168500</v>
      </c>
      <c r="F624">
        <v>30769.994035200001</v>
      </c>
      <c r="H624" s="66" t="str">
        <f>IF(OR(LEFT(B624,FIND("_",B624,1)-1)="ULGALLOC",LEFT(B624,FIND("_",B624,1)-1)="ULSPOOL"),LEFT(B624,FIND("_",B624,1)-1),VLOOKUP(LEFT(A624,6),'Code Library'!$D$3:$E$200,2,0))&amp;"_"&amp;RIGHT(A624,3)</f>
        <v>RLNFA_USD</v>
      </c>
      <c r="I624" s="66" t="str">
        <f t="shared" si="9"/>
        <v>ULSNFRA_USD</v>
      </c>
    </row>
    <row r="625" spans="1:9">
      <c r="A625" t="s">
        <v>1270</v>
      </c>
      <c r="B625" t="s">
        <v>1283</v>
      </c>
      <c r="C625">
        <v>1</v>
      </c>
      <c r="D625">
        <v>1200</v>
      </c>
      <c r="E625">
        <v>80000</v>
      </c>
      <c r="F625">
        <v>1513</v>
      </c>
      <c r="H625" s="66" t="str">
        <f>IF(OR(LEFT(B625,FIND("_",B625,1)-1)="ULGALLOC",LEFT(B625,FIND("_",B625,1)-1)="ULSPOOL"),LEFT(B625,FIND("_",B625,1)-1),VLOOKUP(LEFT(A625,6),'Code Library'!$D$3:$E$200,2,0))&amp;"_"&amp;RIGHT(A625,3)</f>
        <v>RLNFA_USD</v>
      </c>
      <c r="I625" s="66" t="str">
        <f t="shared" si="9"/>
        <v>ULSNFRA_USD</v>
      </c>
    </row>
    <row r="626" spans="1:9">
      <c r="A626" t="s">
        <v>1270</v>
      </c>
      <c r="B626" t="s">
        <v>2284</v>
      </c>
      <c r="C626">
        <v>2</v>
      </c>
      <c r="D626">
        <v>12000</v>
      </c>
      <c r="E626">
        <v>230000</v>
      </c>
      <c r="F626">
        <v>4553.2487107999996</v>
      </c>
      <c r="H626" s="66" t="str">
        <f>IF(OR(LEFT(B626,FIND("_",B626,1)-1)="ULGALLOC",LEFT(B626,FIND("_",B626,1)-1)="ULSPOOL"),LEFT(B626,FIND("_",B626,1)-1),VLOOKUP(LEFT(A626,6),'Code Library'!$D$3:$E$200,2,0))&amp;"_"&amp;RIGHT(A626,3)</f>
        <v>RLNFA_USD</v>
      </c>
      <c r="I626" s="66" t="str">
        <f t="shared" si="9"/>
        <v>ULSNFRA_USD</v>
      </c>
    </row>
    <row r="627" spans="1:9">
      <c r="A627" t="s">
        <v>1284</v>
      </c>
      <c r="B627" t="s">
        <v>1285</v>
      </c>
      <c r="C627">
        <v>1210</v>
      </c>
      <c r="D627">
        <v>72704441157</v>
      </c>
      <c r="E627">
        <v>759110000000</v>
      </c>
      <c r="F627">
        <v>166176128564.49701</v>
      </c>
      <c r="H627" s="66" t="str">
        <f>IF(OR(LEFT(B627,FIND("_",B627,1)-1)="ULGALLOC",LEFT(B627,FIND("_",B627,1)-1)="ULSPOOL"),LEFT(B627,FIND("_",B627,1)-1),VLOOKUP(LEFT(A627,6),'Code Library'!$D$3:$E$200,2,0))&amp;"_"&amp;RIGHT(A627,3)</f>
        <v>SHSNW_IDR</v>
      </c>
      <c r="I627" s="66" t="str">
        <f t="shared" si="9"/>
        <v>ULSNW__IDR</v>
      </c>
    </row>
    <row r="628" spans="1:9">
      <c r="A628" t="s">
        <v>1286</v>
      </c>
      <c r="B628" t="s">
        <v>1287</v>
      </c>
      <c r="C628">
        <v>45</v>
      </c>
      <c r="D628">
        <v>282000</v>
      </c>
      <c r="E628">
        <v>2745500</v>
      </c>
      <c r="F628">
        <v>1044227.43692534</v>
      </c>
      <c r="H628" s="66" t="str">
        <f>IF(OR(LEFT(B628,FIND("_",B628,1)-1)="ULGALLOC",LEFT(B628,FIND("_",B628,1)-1)="ULSPOOL"),LEFT(B628,FIND("_",B628,1)-1),VLOOKUP(LEFT(A628,6),'Code Library'!$D$3:$E$200,2,0))&amp;"_"&amp;RIGHT(A628,3)</f>
        <v>SHSNW_USD</v>
      </c>
      <c r="I628" s="66" t="str">
        <f t="shared" si="9"/>
        <v>ULSNW__USD</v>
      </c>
    </row>
    <row r="629" spans="1:9">
      <c r="A629" t="s">
        <v>1288</v>
      </c>
      <c r="B629" t="s">
        <v>1289</v>
      </c>
      <c r="C629">
        <v>606</v>
      </c>
      <c r="D629">
        <v>39321749948</v>
      </c>
      <c r="E629">
        <v>569666000000</v>
      </c>
      <c r="F629">
        <v>91579232896.682693</v>
      </c>
      <c r="H629" s="66" t="str">
        <f>IF(OR(LEFT(B629,FIND("_",B629,1)-1)="ULGALLOC",LEFT(B629,FIND("_",B629,1)-1)="ULSPOOL"),LEFT(B629,FIND("_",B629,1)-1),VLOOKUP(LEFT(A629,6),'Code Library'!$D$3:$E$200,2,0))&amp;"_"&amp;RIGHT(A629,3)</f>
        <v>SHSNW_IDR</v>
      </c>
      <c r="I629" s="66" t="str">
        <f t="shared" si="9"/>
        <v>ULSNWK_IDR</v>
      </c>
    </row>
    <row r="630" spans="1:9">
      <c r="A630" t="s">
        <v>1288</v>
      </c>
      <c r="B630" t="s">
        <v>1290</v>
      </c>
      <c r="C630">
        <v>404</v>
      </c>
      <c r="D630">
        <v>39009399992</v>
      </c>
      <c r="E630">
        <v>676497000001</v>
      </c>
      <c r="F630">
        <v>72338562004.1548</v>
      </c>
      <c r="H630" s="66" t="str">
        <f>IF(OR(LEFT(B630,FIND("_",B630,1)-1)="ULGALLOC",LEFT(B630,FIND("_",B630,1)-1)="ULSPOOL"),LEFT(B630,FIND("_",B630,1)-1),VLOOKUP(LEFT(A630,6),'Code Library'!$D$3:$E$200,2,0))&amp;"_"&amp;RIGHT(A630,3)</f>
        <v>SHSNW_IDR</v>
      </c>
      <c r="I630" s="66" t="str">
        <f t="shared" si="9"/>
        <v>ULSNWK_IDR</v>
      </c>
    </row>
    <row r="631" spans="1:9">
      <c r="A631" t="s">
        <v>1288</v>
      </c>
      <c r="B631" t="s">
        <v>1291</v>
      </c>
      <c r="C631">
        <v>46</v>
      </c>
      <c r="D631">
        <v>2509000000</v>
      </c>
      <c r="E631">
        <v>50945000000</v>
      </c>
      <c r="F631">
        <v>5054975361.9503698</v>
      </c>
      <c r="H631" s="66" t="str">
        <f>IF(OR(LEFT(B631,FIND("_",B631,1)-1)="ULGALLOC",LEFT(B631,FIND("_",B631,1)-1)="ULSPOOL"),LEFT(B631,FIND("_",B631,1)-1),VLOOKUP(LEFT(A631,6),'Code Library'!$D$3:$E$200,2,0))&amp;"_"&amp;RIGHT(A631,3)</f>
        <v>SHSNW_IDR</v>
      </c>
      <c r="I631" s="66" t="str">
        <f t="shared" si="9"/>
        <v>ULSNWK_IDR</v>
      </c>
    </row>
    <row r="632" spans="1:9">
      <c r="A632" t="s">
        <v>1288</v>
      </c>
      <c r="B632" t="s">
        <v>1292</v>
      </c>
      <c r="C632">
        <v>2</v>
      </c>
      <c r="D632">
        <v>100000000</v>
      </c>
      <c r="E632">
        <v>750000000</v>
      </c>
      <c r="F632">
        <v>275125373</v>
      </c>
      <c r="H632" s="66" t="str">
        <f>IF(OR(LEFT(B632,FIND("_",B632,1)-1)="ULGALLOC",LEFT(B632,FIND("_",B632,1)-1)="ULSPOOL"),LEFT(B632,FIND("_",B632,1)-1),VLOOKUP(LEFT(A632,6),'Code Library'!$D$3:$E$200,2,0))&amp;"_"&amp;RIGHT(A632,3)</f>
        <v>SHSNW_IDR</v>
      </c>
      <c r="I632" s="66" t="str">
        <f t="shared" si="9"/>
        <v>ULSNWK_IDR</v>
      </c>
    </row>
    <row r="633" spans="1:9">
      <c r="A633" t="s">
        <v>1293</v>
      </c>
      <c r="B633" t="s">
        <v>1294</v>
      </c>
      <c r="C633">
        <v>96</v>
      </c>
      <c r="D633">
        <v>685000</v>
      </c>
      <c r="E633">
        <v>7751250</v>
      </c>
      <c r="F633">
        <v>1621159.3679519999</v>
      </c>
      <c r="H633" s="66" t="str">
        <f>IF(OR(LEFT(B633,FIND("_",B633,1)-1)="ULGALLOC",LEFT(B633,FIND("_",B633,1)-1)="ULSPOOL"),LEFT(B633,FIND("_",B633,1)-1),VLOOKUP(LEFT(A633,6),'Code Library'!$D$3:$E$200,2,0))&amp;"_"&amp;RIGHT(A633,3)</f>
        <v>SHSNW_USD</v>
      </c>
      <c r="I633" s="66" t="str">
        <f t="shared" si="9"/>
        <v>ULSNWK_USD</v>
      </c>
    </row>
    <row r="634" spans="1:9">
      <c r="A634" t="s">
        <v>1293</v>
      </c>
      <c r="B634" t="s">
        <v>1295</v>
      </c>
      <c r="C634">
        <v>54</v>
      </c>
      <c r="D634">
        <v>714000</v>
      </c>
      <c r="E634">
        <v>9084375</v>
      </c>
      <c r="F634">
        <v>1762688.1900560199</v>
      </c>
      <c r="H634" s="66" t="str">
        <f>IF(OR(LEFT(B634,FIND("_",B634,1)-1)="ULGALLOC",LEFT(B634,FIND("_",B634,1)-1)="ULSPOOL"),LEFT(B634,FIND("_",B634,1)-1),VLOOKUP(LEFT(A634,6),'Code Library'!$D$3:$E$200,2,0))&amp;"_"&amp;RIGHT(A634,3)</f>
        <v>SHSNW_USD</v>
      </c>
      <c r="I634" s="66" t="str">
        <f t="shared" si="9"/>
        <v>ULSNWK_USD</v>
      </c>
    </row>
    <row r="635" spans="1:9">
      <c r="A635" t="s">
        <v>1296</v>
      </c>
      <c r="B635" t="s">
        <v>1297</v>
      </c>
      <c r="C635">
        <v>42</v>
      </c>
      <c r="D635">
        <v>42240000</v>
      </c>
      <c r="E635">
        <v>1056000000</v>
      </c>
      <c r="F635">
        <v>913848887.00624704</v>
      </c>
      <c r="G635" s="55"/>
      <c r="H635" s="66" t="str">
        <f>IF(OR(LEFT(B635,FIND("_",B635,1)-1)="ULGALLOC",LEFT(B635,FIND("_",B635,1)-1)="ULSPOOL"),LEFT(B635,FIND("_",B635,1)-1),VLOOKUP(LEFT(A635,6),'Code Library'!$D$3:$E$200,2,0))&amp;"_"&amp;RIGHT(A635,3)</f>
        <v>SLPN1_IDR</v>
      </c>
      <c r="I635" s="66" t="str">
        <f t="shared" si="9"/>
        <v>ULSPN1_IDR</v>
      </c>
    </row>
    <row r="636" spans="1:9">
      <c r="A636" t="s">
        <v>1298</v>
      </c>
      <c r="B636" t="s">
        <v>1299</v>
      </c>
      <c r="C636">
        <v>16</v>
      </c>
      <c r="D636">
        <v>14640000</v>
      </c>
      <c r="E636">
        <v>366000000</v>
      </c>
      <c r="F636">
        <v>906301443.94114399</v>
      </c>
      <c r="H636" s="66" t="str">
        <f>IF(OR(LEFT(B636,FIND("_",B636,1)-1)="ULGALLOC",LEFT(B636,FIND("_",B636,1)-1)="ULSPOOL"),LEFT(B636,FIND("_",B636,1)-1),VLOOKUP(LEFT(A636,6),'Code Library'!$D$3:$E$200,2,0))&amp;"_"&amp;RIGHT(A636,3)</f>
        <v>SLPN2_IDR</v>
      </c>
      <c r="I636" s="66" t="str">
        <f t="shared" si="9"/>
        <v>ULSPN2_IDR</v>
      </c>
    </row>
    <row r="637" spans="1:9">
      <c r="A637" t="s">
        <v>1300</v>
      </c>
      <c r="B637" t="s">
        <v>1301</v>
      </c>
      <c r="C637">
        <v>3017</v>
      </c>
      <c r="D637">
        <v>16132280792</v>
      </c>
      <c r="E637">
        <v>596062690000</v>
      </c>
      <c r="F637">
        <v>70563337127.216705</v>
      </c>
      <c r="H637" s="66" t="str">
        <f>IF(OR(LEFT(B637,FIND("_",B637,1)-1)="ULGALLOC",LEFT(B637,FIND("_",B637,1)-1)="ULSPOOL"),LEFT(B637,FIND("_",B637,1)-1),VLOOKUP(LEFT(A637,6),'Code Library'!$D$3:$E$200,2,0))&amp;"_"&amp;RIGHT(A637,3)</f>
        <v>SLPOA_IDR</v>
      </c>
      <c r="I637" s="66" t="str">
        <f t="shared" si="9"/>
        <v>ULSPO1_IDR</v>
      </c>
    </row>
    <row r="638" spans="1:9">
      <c r="A638" t="s">
        <v>1300</v>
      </c>
      <c r="B638" t="s">
        <v>1302</v>
      </c>
      <c r="C638">
        <v>567</v>
      </c>
      <c r="D638">
        <v>3313135996</v>
      </c>
      <c r="E638">
        <v>127728600000</v>
      </c>
      <c r="F638">
        <v>10013288940.209499</v>
      </c>
      <c r="H638" s="66" t="str">
        <f>IF(OR(LEFT(B638,FIND("_",B638,1)-1)="ULGALLOC",LEFT(B638,FIND("_",B638,1)-1)="ULSPOOL"),LEFT(B638,FIND("_",B638,1)-1),VLOOKUP(LEFT(A638,6),'Code Library'!$D$3:$E$200,2,0))&amp;"_"&amp;RIGHT(A638,3)</f>
        <v>SLPOA_IDR</v>
      </c>
      <c r="I638" s="66" t="str">
        <f t="shared" si="9"/>
        <v>ULSPO1_IDR</v>
      </c>
    </row>
    <row r="639" spans="1:9">
      <c r="A639" t="s">
        <v>1300</v>
      </c>
      <c r="B639" t="s">
        <v>1303</v>
      </c>
      <c r="C639">
        <v>463</v>
      </c>
      <c r="D639">
        <v>2718028000</v>
      </c>
      <c r="E639">
        <v>106845700000</v>
      </c>
      <c r="F639">
        <v>8581247019.7313404</v>
      </c>
      <c r="H639" s="66" t="str">
        <f>IF(OR(LEFT(B639,FIND("_",B639,1)-1)="ULGALLOC",LEFT(B639,FIND("_",B639,1)-1)="ULSPOOL"),LEFT(B639,FIND("_",B639,1)-1),VLOOKUP(LEFT(A639,6),'Code Library'!$D$3:$E$200,2,0))&amp;"_"&amp;RIGHT(A639,3)</f>
        <v>SLPOA_IDR</v>
      </c>
      <c r="I639" s="66" t="str">
        <f t="shared" si="9"/>
        <v>ULSPO1_IDR</v>
      </c>
    </row>
    <row r="640" spans="1:9">
      <c r="A640" t="s">
        <v>1300</v>
      </c>
      <c r="B640" t="s">
        <v>1304</v>
      </c>
      <c r="C640">
        <v>483</v>
      </c>
      <c r="D640">
        <v>3208484000</v>
      </c>
      <c r="E640">
        <v>114498000000</v>
      </c>
      <c r="F640">
        <v>7746293458.5476999</v>
      </c>
      <c r="H640" s="66" t="str">
        <f>IF(OR(LEFT(B640,FIND("_",B640,1)-1)="ULGALLOC",LEFT(B640,FIND("_",B640,1)-1)="ULSPOOL"),LEFT(B640,FIND("_",B640,1)-1),VLOOKUP(LEFT(A640,6),'Code Library'!$D$3:$E$200,2,0))&amp;"_"&amp;RIGHT(A640,3)</f>
        <v>SLPOA_IDR</v>
      </c>
      <c r="I640" s="66" t="str">
        <f t="shared" si="9"/>
        <v>ULSPO1_IDR</v>
      </c>
    </row>
    <row r="641" spans="1:9">
      <c r="A641" t="s">
        <v>1300</v>
      </c>
      <c r="B641" t="s">
        <v>1305</v>
      </c>
      <c r="C641">
        <v>340</v>
      </c>
      <c r="D641">
        <v>2144430000</v>
      </c>
      <c r="E641">
        <v>77116500000</v>
      </c>
      <c r="F641">
        <v>4920478270.0502596</v>
      </c>
      <c r="H641" s="66" t="str">
        <f>IF(OR(LEFT(B641,FIND("_",B641,1)-1)="ULGALLOC",LEFT(B641,FIND("_",B641,1)-1)="ULSPOOL"),LEFT(B641,FIND("_",B641,1)-1),VLOOKUP(LEFT(A641,6),'Code Library'!$D$3:$E$200,2,0))&amp;"_"&amp;RIGHT(A641,3)</f>
        <v>SLPOA_IDR</v>
      </c>
      <c r="I641" s="66" t="str">
        <f t="shared" si="9"/>
        <v>ULSPO1_IDR</v>
      </c>
    </row>
    <row r="642" spans="1:9">
      <c r="A642" t="s">
        <v>1300</v>
      </c>
      <c r="B642" t="s">
        <v>1306</v>
      </c>
      <c r="C642">
        <v>29</v>
      </c>
      <c r="D642">
        <v>142800000</v>
      </c>
      <c r="E642">
        <v>3846000000</v>
      </c>
      <c r="F642">
        <v>256100646.15967199</v>
      </c>
      <c r="H642" s="66" t="str">
        <f>IF(OR(LEFT(B642,FIND("_",B642,1)-1)="ULGALLOC",LEFT(B642,FIND("_",B642,1)-1)="ULSPOOL"),LEFT(B642,FIND("_",B642,1)-1),VLOOKUP(LEFT(A642,6),'Code Library'!$D$3:$E$200,2,0))&amp;"_"&amp;RIGHT(A642,3)</f>
        <v>SLPOA_IDR</v>
      </c>
      <c r="I642" s="66" t="str">
        <f t="shared" si="9"/>
        <v>ULSPO1_IDR</v>
      </c>
    </row>
    <row r="643" spans="1:9">
      <c r="A643" t="s">
        <v>1300</v>
      </c>
      <c r="B643" t="s">
        <v>1307</v>
      </c>
      <c r="C643">
        <v>163</v>
      </c>
      <c r="D643">
        <v>1566289000</v>
      </c>
      <c r="E643">
        <v>38297325000</v>
      </c>
      <c r="F643">
        <v>2902428707.9931102</v>
      </c>
      <c r="G643" s="55"/>
      <c r="H643" s="66" t="str">
        <f>IF(OR(LEFT(B643,FIND("_",B643,1)-1)="ULGALLOC",LEFT(B643,FIND("_",B643,1)-1)="ULSPOOL"),LEFT(B643,FIND("_",B643,1)-1),VLOOKUP(LEFT(A643,6),'Code Library'!$D$3:$E$200,2,0))&amp;"_"&amp;RIGHT(A643,3)</f>
        <v>SLPOA_IDR</v>
      </c>
      <c r="I643" s="66" t="str">
        <f t="shared" ref="I643:I706" si="10">A643</f>
        <v>ULSPO1_IDR</v>
      </c>
    </row>
    <row r="644" spans="1:9">
      <c r="A644" t="s">
        <v>1300</v>
      </c>
      <c r="B644" t="s">
        <v>1308</v>
      </c>
      <c r="C644">
        <v>1374</v>
      </c>
      <c r="D644">
        <v>11238267419.6262</v>
      </c>
      <c r="E644">
        <v>354937440000</v>
      </c>
      <c r="F644">
        <v>24727192824.505402</v>
      </c>
      <c r="G644" s="55"/>
      <c r="H644" s="66" t="str">
        <f>IF(OR(LEFT(B644,FIND("_",B644,1)-1)="ULGALLOC",LEFT(B644,FIND("_",B644,1)-1)="ULSPOOL"),LEFT(B644,FIND("_",B644,1)-1),VLOOKUP(LEFT(A644,6),'Code Library'!$D$3:$E$200,2,0))&amp;"_"&amp;RIGHT(A644,3)</f>
        <v>SLPOA_IDR</v>
      </c>
      <c r="I644" s="66" t="str">
        <f t="shared" si="10"/>
        <v>ULSPO1_IDR</v>
      </c>
    </row>
    <row r="645" spans="1:9">
      <c r="A645" t="s">
        <v>1300</v>
      </c>
      <c r="B645" t="s">
        <v>1309</v>
      </c>
      <c r="C645">
        <v>1704</v>
      </c>
      <c r="D645">
        <v>14546396592</v>
      </c>
      <c r="E645">
        <v>429311115000</v>
      </c>
      <c r="F645">
        <v>28006677500.307999</v>
      </c>
      <c r="G645" s="55"/>
      <c r="H645" s="66" t="str">
        <f>IF(OR(LEFT(B645,FIND("_",B645,1)-1)="ULGALLOC",LEFT(B645,FIND("_",B645,1)-1)="ULSPOOL"),LEFT(B645,FIND("_",B645,1)-1),VLOOKUP(LEFT(A645,6),'Code Library'!$D$3:$E$200,2,0))&amp;"_"&amp;RIGHT(A645,3)</f>
        <v>SLPOA_IDR</v>
      </c>
      <c r="I645" s="66" t="str">
        <f t="shared" si="10"/>
        <v>ULSPO1_IDR</v>
      </c>
    </row>
    <row r="646" spans="1:9">
      <c r="A646" t="s">
        <v>1300</v>
      </c>
      <c r="B646" t="s">
        <v>1310</v>
      </c>
      <c r="C646">
        <v>1457</v>
      </c>
      <c r="D646">
        <v>12998530738.256201</v>
      </c>
      <c r="E646">
        <v>373376660500</v>
      </c>
      <c r="F646">
        <v>18558275111.6091</v>
      </c>
      <c r="H646" s="66" t="str">
        <f>IF(OR(LEFT(B646,FIND("_",B646,1)-1)="ULGALLOC",LEFT(B646,FIND("_",B646,1)-1)="ULSPOOL"),LEFT(B646,FIND("_",B646,1)-1),VLOOKUP(LEFT(A646,6),'Code Library'!$D$3:$E$200,2,0))&amp;"_"&amp;RIGHT(A646,3)</f>
        <v>SLPOA_IDR</v>
      </c>
      <c r="I646" s="66" t="str">
        <f t="shared" si="10"/>
        <v>ULSPO1_IDR</v>
      </c>
    </row>
    <row r="647" spans="1:9">
      <c r="A647" t="s">
        <v>1300</v>
      </c>
      <c r="B647" t="s">
        <v>1311</v>
      </c>
      <c r="C647">
        <v>95</v>
      </c>
      <c r="D647">
        <v>814096000</v>
      </c>
      <c r="E647">
        <v>25307000000</v>
      </c>
      <c r="F647">
        <v>967295178.97801304</v>
      </c>
      <c r="H647" s="66" t="str">
        <f>IF(OR(LEFT(B647,FIND("_",B647,1)-1)="ULGALLOC",LEFT(B647,FIND("_",B647,1)-1)="ULSPOOL"),LEFT(B647,FIND("_",B647,1)-1),VLOOKUP(LEFT(A647,6),'Code Library'!$D$3:$E$200,2,0))&amp;"_"&amp;RIGHT(A647,3)</f>
        <v>SLPOA_IDR</v>
      </c>
      <c r="I647" s="66" t="str">
        <f t="shared" si="10"/>
        <v>ULSPO1_IDR</v>
      </c>
    </row>
    <row r="648" spans="1:9">
      <c r="A648" t="s">
        <v>1300</v>
      </c>
      <c r="B648" t="s">
        <v>1312</v>
      </c>
      <c r="C648">
        <v>6980</v>
      </c>
      <c r="D648">
        <v>41750939004</v>
      </c>
      <c r="E648">
        <v>1959319185000</v>
      </c>
      <c r="F648">
        <v>168737854946.436</v>
      </c>
      <c r="H648" s="66" t="str">
        <f>IF(OR(LEFT(B648,FIND("_",B648,1)-1)="ULGALLOC",LEFT(B648,FIND("_",B648,1)-1)="ULSPOOL"),LEFT(B648,FIND("_",B648,1)-1),VLOOKUP(LEFT(A648,6),'Code Library'!$D$3:$E$200,2,0))&amp;"_"&amp;RIGHT(A648,3)</f>
        <v>SLPOA_IDR</v>
      </c>
      <c r="I648" s="66" t="str">
        <f t="shared" si="10"/>
        <v>ULSPO1_IDR</v>
      </c>
    </row>
    <row r="649" spans="1:9">
      <c r="A649" t="s">
        <v>1300</v>
      </c>
      <c r="B649" t="s">
        <v>1313</v>
      </c>
      <c r="C649">
        <v>2020</v>
      </c>
      <c r="D649">
        <v>12654790956</v>
      </c>
      <c r="E649">
        <v>623572867500</v>
      </c>
      <c r="F649">
        <v>40293900667.9804</v>
      </c>
      <c r="H649" s="66" t="str">
        <f>IF(OR(LEFT(B649,FIND("_",B649,1)-1)="ULGALLOC",LEFT(B649,FIND("_",B649,1)-1)="ULSPOOL"),LEFT(B649,FIND("_",B649,1)-1),VLOOKUP(LEFT(A649,6),'Code Library'!$D$3:$E$200,2,0))&amp;"_"&amp;RIGHT(A649,3)</f>
        <v>SLPOA_IDR</v>
      </c>
      <c r="I649" s="66" t="str">
        <f t="shared" si="10"/>
        <v>ULSPO1_IDR</v>
      </c>
    </row>
    <row r="650" spans="1:9">
      <c r="A650" t="s">
        <v>1300</v>
      </c>
      <c r="B650" t="s">
        <v>1314</v>
      </c>
      <c r="C650">
        <v>1944</v>
      </c>
      <c r="D650">
        <v>13137189232</v>
      </c>
      <c r="E650">
        <v>589580177503</v>
      </c>
      <c r="F650">
        <v>35868996993.7537</v>
      </c>
      <c r="H650" s="66" t="str">
        <f>IF(OR(LEFT(B650,FIND("_",B650,1)-1)="ULGALLOC",LEFT(B650,FIND("_",B650,1)-1)="ULSPOOL"),LEFT(B650,FIND("_",B650,1)-1),VLOOKUP(LEFT(A650,6),'Code Library'!$D$3:$E$200,2,0))&amp;"_"&amp;RIGHT(A650,3)</f>
        <v>SLPOA_IDR</v>
      </c>
      <c r="I650" s="66" t="str">
        <f t="shared" si="10"/>
        <v>ULSPO1_IDR</v>
      </c>
    </row>
    <row r="651" spans="1:9">
      <c r="A651" t="s">
        <v>1300</v>
      </c>
      <c r="B651" t="s">
        <v>1315</v>
      </c>
      <c r="C651">
        <v>1985</v>
      </c>
      <c r="D651">
        <v>13816595480</v>
      </c>
      <c r="E651">
        <v>581761627001</v>
      </c>
      <c r="F651">
        <v>31999087664.417</v>
      </c>
      <c r="H651" s="66" t="str">
        <f>IF(OR(LEFT(B651,FIND("_",B651,1)-1)="ULGALLOC",LEFT(B651,FIND("_",B651,1)-1)="ULSPOOL"),LEFT(B651,FIND("_",B651,1)-1),VLOOKUP(LEFT(A651,6),'Code Library'!$D$3:$E$200,2,0))&amp;"_"&amp;RIGHT(A651,3)</f>
        <v>SLPOA_IDR</v>
      </c>
      <c r="I651" s="66" t="str">
        <f t="shared" si="10"/>
        <v>ULSPO1_IDR</v>
      </c>
    </row>
    <row r="652" spans="1:9">
      <c r="A652" t="s">
        <v>1300</v>
      </c>
      <c r="B652" t="s">
        <v>1316</v>
      </c>
      <c r="C652">
        <v>1425</v>
      </c>
      <c r="D652">
        <v>9923039039.7185192</v>
      </c>
      <c r="E652">
        <v>402940930000</v>
      </c>
      <c r="F652">
        <v>19519617587.192101</v>
      </c>
      <c r="H652" s="66" t="str">
        <f>IF(OR(LEFT(B652,FIND("_",B652,1)-1)="ULGALLOC",LEFT(B652,FIND("_",B652,1)-1)="ULSPOOL"),LEFT(B652,FIND("_",B652,1)-1),VLOOKUP(LEFT(A652,6),'Code Library'!$D$3:$E$200,2,0))&amp;"_"&amp;RIGHT(A652,3)</f>
        <v>SLPOA_IDR</v>
      </c>
      <c r="I652" s="66" t="str">
        <f t="shared" si="10"/>
        <v>ULSPO1_IDR</v>
      </c>
    </row>
    <row r="653" spans="1:9">
      <c r="A653" t="s">
        <v>1300</v>
      </c>
      <c r="B653" t="s">
        <v>1317</v>
      </c>
      <c r="C653">
        <v>85</v>
      </c>
      <c r="D653">
        <v>656284000</v>
      </c>
      <c r="E653">
        <v>25157900000</v>
      </c>
      <c r="F653">
        <v>1755015013.3787701</v>
      </c>
      <c r="H653" s="66" t="str">
        <f>IF(OR(LEFT(B653,FIND("_",B653,1)-1)="ULGALLOC",LEFT(B653,FIND("_",B653,1)-1)="ULSPOOL"),LEFT(B653,FIND("_",B653,1)-1),VLOOKUP(LEFT(A653,6),'Code Library'!$D$3:$E$200,2,0))&amp;"_"&amp;RIGHT(A653,3)</f>
        <v>SLPOA_IDR</v>
      </c>
      <c r="I653" s="66" t="str">
        <f t="shared" si="10"/>
        <v>ULSPO1_IDR</v>
      </c>
    </row>
    <row r="654" spans="1:9">
      <c r="A654" t="s">
        <v>1318</v>
      </c>
      <c r="B654" t="s">
        <v>1319</v>
      </c>
      <c r="C654">
        <v>2799</v>
      </c>
      <c r="D654">
        <v>18451564158</v>
      </c>
      <c r="E654">
        <v>729581700000</v>
      </c>
      <c r="F654">
        <v>64059155131.079597</v>
      </c>
      <c r="H654" s="66" t="str">
        <f>IF(OR(LEFT(B654,FIND("_",B654,1)-1)="ULGALLOC",LEFT(B654,FIND("_",B654,1)-1)="ULSPOOL"),LEFT(B654,FIND("_",B654,1)-1),VLOOKUP(LEFT(A654,6),'Code Library'!$D$3:$E$200,2,0))&amp;"_"&amp;RIGHT(A654,3)</f>
        <v>SLPOA_IDR</v>
      </c>
      <c r="I654" s="66" t="str">
        <f t="shared" si="10"/>
        <v>ULSPO2_IDR</v>
      </c>
    </row>
    <row r="655" spans="1:9">
      <c r="A655" t="s">
        <v>1318</v>
      </c>
      <c r="B655" t="s">
        <v>1320</v>
      </c>
      <c r="C655">
        <v>632</v>
      </c>
      <c r="D655">
        <v>4569563596</v>
      </c>
      <c r="E655">
        <v>194508600000</v>
      </c>
      <c r="F655">
        <v>11709484458.4632</v>
      </c>
      <c r="H655" s="66" t="str">
        <f>IF(OR(LEFT(B655,FIND("_",B655,1)-1)="ULGALLOC",LEFT(B655,FIND("_",B655,1)-1)="ULSPOOL"),LEFT(B655,FIND("_",B655,1)-1),VLOOKUP(LEFT(A655,6),'Code Library'!$D$3:$E$200,2,0))&amp;"_"&amp;RIGHT(A655,3)</f>
        <v>SLPOA_IDR</v>
      </c>
      <c r="I655" s="66" t="str">
        <f t="shared" si="10"/>
        <v>ULSPO2_IDR</v>
      </c>
    </row>
    <row r="656" spans="1:9">
      <c r="A656" t="s">
        <v>1318</v>
      </c>
      <c r="B656" t="s">
        <v>1321</v>
      </c>
      <c r="C656">
        <v>470</v>
      </c>
      <c r="D656">
        <v>3352811864</v>
      </c>
      <c r="E656">
        <v>142072000000</v>
      </c>
      <c r="F656">
        <v>7449271116.8620501</v>
      </c>
      <c r="H656" s="66" t="str">
        <f>IF(OR(LEFT(B656,FIND("_",B656,1)-1)="ULGALLOC",LEFT(B656,FIND("_",B656,1)-1)="ULSPOOL"),LEFT(B656,FIND("_",B656,1)-1),VLOOKUP(LEFT(A656,6),'Code Library'!$D$3:$E$200,2,0))&amp;"_"&amp;RIGHT(A656,3)</f>
        <v>SLPOA_IDR</v>
      </c>
      <c r="I656" s="66" t="str">
        <f t="shared" si="10"/>
        <v>ULSPO2_IDR</v>
      </c>
    </row>
    <row r="657" spans="1:9">
      <c r="A657" t="s">
        <v>1318</v>
      </c>
      <c r="B657" t="s">
        <v>1322</v>
      </c>
      <c r="C657">
        <v>512</v>
      </c>
      <c r="D657">
        <v>3696707504</v>
      </c>
      <c r="E657">
        <v>154513040000</v>
      </c>
      <c r="F657">
        <v>7468133986.8802404</v>
      </c>
      <c r="G657" s="55"/>
      <c r="H657" s="66" t="str">
        <f>IF(OR(LEFT(B657,FIND("_",B657,1)-1)="ULGALLOC",LEFT(B657,FIND("_",B657,1)-1)="ULSPOOL"),LEFT(B657,FIND("_",B657,1)-1),VLOOKUP(LEFT(A657,6),'Code Library'!$D$3:$E$200,2,0))&amp;"_"&amp;RIGHT(A657,3)</f>
        <v>SLPOA_IDR</v>
      </c>
      <c r="I657" s="66" t="str">
        <f t="shared" si="10"/>
        <v>ULSPO2_IDR</v>
      </c>
    </row>
    <row r="658" spans="1:9">
      <c r="A658" t="s">
        <v>1318</v>
      </c>
      <c r="B658" t="s">
        <v>1323</v>
      </c>
      <c r="C658">
        <v>340</v>
      </c>
      <c r="D658">
        <v>3102528952</v>
      </c>
      <c r="E658">
        <v>106686410000</v>
      </c>
      <c r="F658">
        <v>4947712827.7831402</v>
      </c>
      <c r="G658" s="55"/>
      <c r="H658" s="66" t="str">
        <f>IF(OR(LEFT(B658,FIND("_",B658,1)-1)="ULGALLOC",LEFT(B658,FIND("_",B658,1)-1)="ULSPOOL"),LEFT(B658,FIND("_",B658,1)-1),VLOOKUP(LEFT(A658,6),'Code Library'!$D$3:$E$200,2,0))&amp;"_"&amp;RIGHT(A658,3)</f>
        <v>SLPOA_IDR</v>
      </c>
      <c r="I658" s="66" t="str">
        <f t="shared" si="10"/>
        <v>ULSPO2_IDR</v>
      </c>
    </row>
    <row r="659" spans="1:9">
      <c r="A659" t="s">
        <v>1318</v>
      </c>
      <c r="B659" t="s">
        <v>1324</v>
      </c>
      <c r="C659">
        <v>30</v>
      </c>
      <c r="D659">
        <v>259650000</v>
      </c>
      <c r="E659">
        <v>7636000000</v>
      </c>
      <c r="F659">
        <v>443287564.71820199</v>
      </c>
      <c r="G659" s="55"/>
      <c r="H659" s="66" t="str">
        <f>IF(OR(LEFT(B659,FIND("_",B659,1)-1)="ULGALLOC",LEFT(B659,FIND("_",B659,1)-1)="ULSPOOL"),LEFT(B659,FIND("_",B659,1)-1),VLOOKUP(LEFT(A659,6),'Code Library'!$D$3:$E$200,2,0))&amp;"_"&amp;RIGHT(A659,3)</f>
        <v>SLPOA_IDR</v>
      </c>
      <c r="I659" s="66" t="str">
        <f t="shared" si="10"/>
        <v>ULSPO2_IDR</v>
      </c>
    </row>
    <row r="660" spans="1:9">
      <c r="A660" t="s">
        <v>1318</v>
      </c>
      <c r="B660" t="s">
        <v>1325</v>
      </c>
      <c r="C660">
        <v>1</v>
      </c>
      <c r="D660">
        <v>3600000</v>
      </c>
      <c r="E660">
        <v>100000000</v>
      </c>
      <c r="F660">
        <v>14683834</v>
      </c>
      <c r="G660" s="55"/>
      <c r="H660" s="66" t="str">
        <f>IF(OR(LEFT(B660,FIND("_",B660,1)-1)="ULGALLOC",LEFT(B660,FIND("_",B660,1)-1)="ULSPOOL"),LEFT(B660,FIND("_",B660,1)-1),VLOOKUP(LEFT(A660,6),'Code Library'!$D$3:$E$200,2,0))&amp;"_"&amp;RIGHT(A660,3)</f>
        <v>SLPOA_IDR</v>
      </c>
      <c r="I660" s="66" t="str">
        <f t="shared" si="10"/>
        <v>ULSPO2_IDR</v>
      </c>
    </row>
    <row r="661" spans="1:9">
      <c r="A661" t="s">
        <v>1318</v>
      </c>
      <c r="B661" t="s">
        <v>1326</v>
      </c>
      <c r="C661">
        <v>118</v>
      </c>
      <c r="D661">
        <v>1353672000</v>
      </c>
      <c r="E661">
        <v>44163800000</v>
      </c>
      <c r="F661">
        <v>2135500988.8998699</v>
      </c>
      <c r="G661" s="55"/>
      <c r="H661" s="66" t="str">
        <f>IF(OR(LEFT(B661,FIND("_",B661,1)-1)="ULGALLOC",LEFT(B661,FIND("_",B661,1)-1)="ULSPOOL"),LEFT(B661,FIND("_",B661,1)-1),VLOOKUP(LEFT(A661,6),'Code Library'!$D$3:$E$200,2,0))&amp;"_"&amp;RIGHT(A661,3)</f>
        <v>SLPOA_IDR</v>
      </c>
      <c r="I661" s="66" t="str">
        <f t="shared" si="10"/>
        <v>ULSPO2_IDR</v>
      </c>
    </row>
    <row r="662" spans="1:9">
      <c r="A662" t="s">
        <v>1318</v>
      </c>
      <c r="B662" t="s">
        <v>1327</v>
      </c>
      <c r="C662">
        <v>1092</v>
      </c>
      <c r="D662">
        <v>12137597916</v>
      </c>
      <c r="E662">
        <v>404045400000</v>
      </c>
      <c r="F662">
        <v>22593728366.4828</v>
      </c>
      <c r="H662" s="66" t="str">
        <f>IF(OR(LEFT(B662,FIND("_",B662,1)-1)="ULGALLOC",LEFT(B662,FIND("_",B662,1)-1)="ULSPOOL"),LEFT(B662,FIND("_",B662,1)-1),VLOOKUP(LEFT(A662,6),'Code Library'!$D$3:$E$200,2,0))&amp;"_"&amp;RIGHT(A662,3)</f>
        <v>SLPOA_IDR</v>
      </c>
      <c r="I662" s="66" t="str">
        <f t="shared" si="10"/>
        <v>ULSPO2_IDR</v>
      </c>
    </row>
    <row r="663" spans="1:9">
      <c r="A663" t="s">
        <v>1318</v>
      </c>
      <c r="B663" t="s">
        <v>1328</v>
      </c>
      <c r="C663">
        <v>1519</v>
      </c>
      <c r="D663">
        <v>17011155730.7428</v>
      </c>
      <c r="E663">
        <v>525700560000</v>
      </c>
      <c r="F663">
        <v>26625320153.924301</v>
      </c>
      <c r="G663" s="55"/>
      <c r="H663" s="66" t="str">
        <f>IF(OR(LEFT(B663,FIND("_",B663,1)-1)="ULGALLOC",LEFT(B663,FIND("_",B663,1)-1)="ULSPOOL"),LEFT(B663,FIND("_",B663,1)-1),VLOOKUP(LEFT(A663,6),'Code Library'!$D$3:$E$200,2,0))&amp;"_"&amp;RIGHT(A663,3)</f>
        <v>SLPOA_IDR</v>
      </c>
      <c r="I663" s="66" t="str">
        <f t="shared" si="10"/>
        <v>ULSPO2_IDR</v>
      </c>
    </row>
    <row r="664" spans="1:9">
      <c r="A664" t="s">
        <v>1318</v>
      </c>
      <c r="B664" t="s">
        <v>1329</v>
      </c>
      <c r="C664">
        <v>1537</v>
      </c>
      <c r="D664">
        <v>16646863821.0096</v>
      </c>
      <c r="E664">
        <v>470141870000</v>
      </c>
      <c r="F664">
        <v>22467843783.818699</v>
      </c>
      <c r="G664" s="55"/>
      <c r="H664" s="66" t="str">
        <f>IF(OR(LEFT(B664,FIND("_",B664,1)-1)="ULGALLOC",LEFT(B664,FIND("_",B664,1)-1)="ULSPOOL"),LEFT(B664,FIND("_",B664,1)-1),VLOOKUP(LEFT(A664,6),'Code Library'!$D$3:$E$200,2,0))&amp;"_"&amp;RIGHT(A664,3)</f>
        <v>SLPOA_IDR</v>
      </c>
      <c r="I664" s="66" t="str">
        <f t="shared" si="10"/>
        <v>ULSPO2_IDR</v>
      </c>
    </row>
    <row r="665" spans="1:9">
      <c r="A665" t="s">
        <v>1318</v>
      </c>
      <c r="B665" t="s">
        <v>1330</v>
      </c>
      <c r="C665">
        <v>76</v>
      </c>
      <c r="D665">
        <v>724092000</v>
      </c>
      <c r="E665">
        <v>18459800000</v>
      </c>
      <c r="F665">
        <v>754472069.53297603</v>
      </c>
      <c r="H665" s="66" t="str">
        <f>IF(OR(LEFT(B665,FIND("_",B665,1)-1)="ULGALLOC",LEFT(B665,FIND("_",B665,1)-1)="ULSPOOL"),LEFT(B665,FIND("_",B665,1)-1),VLOOKUP(LEFT(A665,6),'Code Library'!$D$3:$E$200,2,0))&amp;"_"&amp;RIGHT(A665,3)</f>
        <v>SLPOA_IDR</v>
      </c>
      <c r="I665" s="66" t="str">
        <f t="shared" si="10"/>
        <v>ULSPO2_IDR</v>
      </c>
    </row>
    <row r="666" spans="1:9">
      <c r="A666" t="s">
        <v>1318</v>
      </c>
      <c r="B666" t="s">
        <v>1331</v>
      </c>
      <c r="C666">
        <v>9998</v>
      </c>
      <c r="D666">
        <v>67558619655.0084</v>
      </c>
      <c r="E666">
        <v>3772529130002</v>
      </c>
      <c r="F666">
        <v>202854369193.39899</v>
      </c>
      <c r="H666" s="66" t="str">
        <f>IF(OR(LEFT(B666,FIND("_",B666,1)-1)="ULGALLOC",LEFT(B666,FIND("_",B666,1)-1)="ULSPOOL"),LEFT(B666,FIND("_",B666,1)-1),VLOOKUP(LEFT(A666,6),'Code Library'!$D$3:$E$200,2,0))&amp;"_"&amp;RIGHT(A666,3)</f>
        <v>SLPOA_IDR</v>
      </c>
      <c r="I666" s="66" t="str">
        <f t="shared" si="10"/>
        <v>ULSPO2_IDR</v>
      </c>
    </row>
    <row r="667" spans="1:9">
      <c r="A667" t="s">
        <v>1318</v>
      </c>
      <c r="B667" t="s">
        <v>1332</v>
      </c>
      <c r="C667">
        <v>2317</v>
      </c>
      <c r="D667">
        <v>16753383446.7027</v>
      </c>
      <c r="E667">
        <v>935486020000</v>
      </c>
      <c r="F667">
        <v>41350627166.095596</v>
      </c>
      <c r="G667" s="55"/>
      <c r="H667" s="66" t="str">
        <f>IF(OR(LEFT(B667,FIND("_",B667,1)-1)="ULGALLOC",LEFT(B667,FIND("_",B667,1)-1)="ULSPOOL"),LEFT(B667,FIND("_",B667,1)-1),VLOOKUP(LEFT(A667,6),'Code Library'!$D$3:$E$200,2,0))&amp;"_"&amp;RIGHT(A667,3)</f>
        <v>SLPOA_IDR</v>
      </c>
      <c r="I667" s="66" t="str">
        <f t="shared" si="10"/>
        <v>ULSPO2_IDR</v>
      </c>
    </row>
    <row r="668" spans="1:9">
      <c r="A668" t="s">
        <v>1318</v>
      </c>
      <c r="B668" t="s">
        <v>1333</v>
      </c>
      <c r="C668">
        <v>2095</v>
      </c>
      <c r="D668">
        <v>16206029627.3295</v>
      </c>
      <c r="E668">
        <v>866110170000</v>
      </c>
      <c r="F668">
        <v>34159087507.950699</v>
      </c>
      <c r="G668" s="55"/>
      <c r="H668" s="66" t="str">
        <f>IF(OR(LEFT(B668,FIND("_",B668,1)-1)="ULGALLOC",LEFT(B668,FIND("_",B668,1)-1)="ULSPOOL"),LEFT(B668,FIND("_",B668,1)-1),VLOOKUP(LEFT(A668,6),'Code Library'!$D$3:$E$200,2,0))&amp;"_"&amp;RIGHT(A668,3)</f>
        <v>SLPOA_IDR</v>
      </c>
      <c r="I668" s="66" t="str">
        <f t="shared" si="10"/>
        <v>ULSPO2_IDR</v>
      </c>
    </row>
    <row r="669" spans="1:9">
      <c r="A669" t="s">
        <v>1318</v>
      </c>
      <c r="B669" t="s">
        <v>1334</v>
      </c>
      <c r="C669">
        <v>2264</v>
      </c>
      <c r="D669">
        <v>18437544095.801399</v>
      </c>
      <c r="E669">
        <v>902553360001</v>
      </c>
      <c r="F669">
        <v>33636495208.971901</v>
      </c>
      <c r="G669" s="55"/>
      <c r="H669" s="66" t="str">
        <f>IF(OR(LEFT(B669,FIND("_",B669,1)-1)="ULGALLOC",LEFT(B669,FIND("_",B669,1)-1)="ULSPOOL"),LEFT(B669,FIND("_",B669,1)-1),VLOOKUP(LEFT(A669,6),'Code Library'!$D$3:$E$200,2,0))&amp;"_"&amp;RIGHT(A669,3)</f>
        <v>SLPOA_IDR</v>
      </c>
      <c r="I669" s="66" t="str">
        <f t="shared" si="10"/>
        <v>ULSPO2_IDR</v>
      </c>
    </row>
    <row r="670" spans="1:9">
      <c r="A670" t="s">
        <v>1318</v>
      </c>
      <c r="B670" t="s">
        <v>1335</v>
      </c>
      <c r="C670">
        <v>1564</v>
      </c>
      <c r="D670">
        <v>13762865300</v>
      </c>
      <c r="E670">
        <v>634996360000</v>
      </c>
      <c r="F670">
        <v>21289862110.7701</v>
      </c>
      <c r="G670" s="55"/>
      <c r="H670" s="66" t="str">
        <f>IF(OR(LEFT(B670,FIND("_",B670,1)-1)="ULGALLOC",LEFT(B670,FIND("_",B670,1)-1)="ULSPOOL"),LEFT(B670,FIND("_",B670,1)-1),VLOOKUP(LEFT(A670,6),'Code Library'!$D$3:$E$200,2,0))&amp;"_"&amp;RIGHT(A670,3)</f>
        <v>SLPOA_IDR</v>
      </c>
      <c r="I670" s="66" t="str">
        <f t="shared" si="10"/>
        <v>ULSPO2_IDR</v>
      </c>
    </row>
    <row r="671" spans="1:9">
      <c r="A671" t="s">
        <v>1318</v>
      </c>
      <c r="B671" t="s">
        <v>1336</v>
      </c>
      <c r="C671">
        <v>93</v>
      </c>
      <c r="D671">
        <v>751052000</v>
      </c>
      <c r="E671">
        <v>32318000000</v>
      </c>
      <c r="F671">
        <v>943747602.57911503</v>
      </c>
      <c r="G671" s="55"/>
      <c r="H671" s="66" t="str">
        <f>IF(OR(LEFT(B671,FIND("_",B671,1)-1)="ULGALLOC",LEFT(B671,FIND("_",B671,1)-1)="ULSPOOL"),LEFT(B671,FIND("_",B671,1)-1),VLOOKUP(LEFT(A671,6),'Code Library'!$D$3:$E$200,2,0))&amp;"_"&amp;RIGHT(A671,3)</f>
        <v>SLPOA_IDR</v>
      </c>
      <c r="I671" s="66" t="str">
        <f t="shared" si="10"/>
        <v>ULSPO2_IDR</v>
      </c>
    </row>
    <row r="672" spans="1:9">
      <c r="A672" t="s">
        <v>1337</v>
      </c>
      <c r="B672" t="s">
        <v>1338</v>
      </c>
      <c r="C672">
        <v>2080</v>
      </c>
      <c r="D672">
        <v>13527674984</v>
      </c>
      <c r="E672">
        <v>588786000000</v>
      </c>
      <c r="F672">
        <v>43567497483.226501</v>
      </c>
      <c r="H672" s="66" t="str">
        <f>IF(OR(LEFT(B672,FIND("_",B672,1)-1)="ULGALLOC",LEFT(B672,FIND("_",B672,1)-1)="ULSPOOL"),LEFT(B672,FIND("_",B672,1)-1),VLOOKUP(LEFT(A672,6),'Code Library'!$D$3:$E$200,2,0))&amp;"_"&amp;RIGHT(A672,3)</f>
        <v>SLPOA_IDR</v>
      </c>
      <c r="I672" s="66" t="str">
        <f t="shared" si="10"/>
        <v>ULSPO3_IDR</v>
      </c>
    </row>
    <row r="673" spans="1:9">
      <c r="A673" t="s">
        <v>1337</v>
      </c>
      <c r="B673" t="s">
        <v>1339</v>
      </c>
      <c r="C673">
        <v>387</v>
      </c>
      <c r="D673">
        <v>2836894900</v>
      </c>
      <c r="E673">
        <v>126986000000</v>
      </c>
      <c r="F673">
        <v>6528125194.6964197</v>
      </c>
      <c r="G673" s="55"/>
      <c r="H673" s="66" t="str">
        <f>IF(OR(LEFT(B673,FIND("_",B673,1)-1)="ULGALLOC",LEFT(B673,FIND("_",B673,1)-1)="ULSPOOL"),LEFT(B673,FIND("_",B673,1)-1),VLOOKUP(LEFT(A673,6),'Code Library'!$D$3:$E$200,2,0))&amp;"_"&amp;RIGHT(A673,3)</f>
        <v>SLPOA_IDR</v>
      </c>
      <c r="I673" s="66" t="str">
        <f t="shared" si="10"/>
        <v>ULSPO3_IDR</v>
      </c>
    </row>
    <row r="674" spans="1:9">
      <c r="A674" t="s">
        <v>1337</v>
      </c>
      <c r="B674" t="s">
        <v>1340</v>
      </c>
      <c r="C674">
        <v>283</v>
      </c>
      <c r="D674">
        <v>2117212368</v>
      </c>
      <c r="E674">
        <v>105148000000</v>
      </c>
      <c r="F674">
        <v>4049633165.9749098</v>
      </c>
      <c r="G674" s="55"/>
      <c r="H674" s="66" t="str">
        <f>IF(OR(LEFT(B674,FIND("_",B674,1)-1)="ULGALLOC",LEFT(B674,FIND("_",B674,1)-1)="ULSPOOL"),LEFT(B674,FIND("_",B674,1)-1),VLOOKUP(LEFT(A674,6),'Code Library'!$D$3:$E$200,2,0))&amp;"_"&amp;RIGHT(A674,3)</f>
        <v>SLPOA_IDR</v>
      </c>
      <c r="I674" s="66" t="str">
        <f t="shared" si="10"/>
        <v>ULSPO3_IDR</v>
      </c>
    </row>
    <row r="675" spans="1:9">
      <c r="A675" t="s">
        <v>1337</v>
      </c>
      <c r="B675" t="s">
        <v>1341</v>
      </c>
      <c r="C675">
        <v>297</v>
      </c>
      <c r="D675">
        <v>2607084296</v>
      </c>
      <c r="E675">
        <v>100211000000</v>
      </c>
      <c r="F675">
        <v>5311105339.1602297</v>
      </c>
      <c r="G675" s="55"/>
      <c r="H675" s="66" t="str">
        <f>IF(OR(LEFT(B675,FIND("_",B675,1)-1)="ULGALLOC",LEFT(B675,FIND("_",B675,1)-1)="ULSPOOL"),LEFT(B675,FIND("_",B675,1)-1),VLOOKUP(LEFT(A675,6),'Code Library'!$D$3:$E$200,2,0))&amp;"_"&amp;RIGHT(A675,3)</f>
        <v>SLPOA_IDR</v>
      </c>
      <c r="I675" s="66" t="str">
        <f t="shared" si="10"/>
        <v>ULSPO3_IDR</v>
      </c>
    </row>
    <row r="676" spans="1:9">
      <c r="A676" t="s">
        <v>1337</v>
      </c>
      <c r="B676" t="s">
        <v>1342</v>
      </c>
      <c r="C676">
        <v>228</v>
      </c>
      <c r="D676">
        <v>2280407416</v>
      </c>
      <c r="E676">
        <v>80100000000</v>
      </c>
      <c r="F676">
        <v>4309554799.6835299</v>
      </c>
      <c r="G676" s="55"/>
      <c r="H676" s="66" t="str">
        <f>IF(OR(LEFT(B676,FIND("_",B676,1)-1)="ULGALLOC",LEFT(B676,FIND("_",B676,1)-1)="ULSPOOL"),LEFT(B676,FIND("_",B676,1)-1),VLOOKUP(LEFT(A676,6),'Code Library'!$D$3:$E$200,2,0))&amp;"_"&amp;RIGHT(A676,3)</f>
        <v>SLPOA_IDR</v>
      </c>
      <c r="I676" s="66" t="str">
        <f t="shared" si="10"/>
        <v>ULSPO3_IDR</v>
      </c>
    </row>
    <row r="677" spans="1:9">
      <c r="A677" t="s">
        <v>1337</v>
      </c>
      <c r="B677" t="s">
        <v>1343</v>
      </c>
      <c r="C677">
        <v>13</v>
      </c>
      <c r="D677">
        <v>119200000</v>
      </c>
      <c r="E677">
        <v>3840000000</v>
      </c>
      <c r="F677">
        <v>267821952.902688</v>
      </c>
      <c r="H677" s="66" t="str">
        <f>IF(OR(LEFT(B677,FIND("_",B677,1)-1)="ULGALLOC",LEFT(B677,FIND("_",B677,1)-1)="ULSPOOL"),LEFT(B677,FIND("_",B677,1)-1),VLOOKUP(LEFT(A677,6),'Code Library'!$D$3:$E$200,2,0))&amp;"_"&amp;RIGHT(A677,3)</f>
        <v>SLPOA_IDR</v>
      </c>
      <c r="I677" s="66" t="str">
        <f t="shared" si="10"/>
        <v>ULSPO3_IDR</v>
      </c>
    </row>
    <row r="678" spans="1:9">
      <c r="A678" t="s">
        <v>1337</v>
      </c>
      <c r="B678" t="s">
        <v>1344</v>
      </c>
      <c r="C678">
        <v>119</v>
      </c>
      <c r="D678">
        <v>1445178000</v>
      </c>
      <c r="E678">
        <v>52138500000</v>
      </c>
      <c r="F678">
        <v>2862809664.8737502</v>
      </c>
      <c r="G678" s="55"/>
      <c r="H678" s="66" t="str">
        <f>IF(OR(LEFT(B678,FIND("_",B678,1)-1)="ULGALLOC",LEFT(B678,FIND("_",B678,1)-1)="ULSPOOL"),LEFT(B678,FIND("_",B678,1)-1),VLOOKUP(LEFT(A678,6),'Code Library'!$D$3:$E$200,2,0))&amp;"_"&amp;RIGHT(A678,3)</f>
        <v>SLPOA_IDR</v>
      </c>
      <c r="I678" s="66" t="str">
        <f t="shared" si="10"/>
        <v>ULSPO3_IDR</v>
      </c>
    </row>
    <row r="679" spans="1:9">
      <c r="A679" t="s">
        <v>1337</v>
      </c>
      <c r="B679" t="s">
        <v>1345</v>
      </c>
      <c r="C679">
        <v>943</v>
      </c>
      <c r="D679">
        <v>11824575769.556</v>
      </c>
      <c r="E679">
        <v>437508650003</v>
      </c>
      <c r="F679">
        <v>19136789618.6936</v>
      </c>
      <c r="G679" s="55"/>
      <c r="H679" s="66" t="str">
        <f>IF(OR(LEFT(B679,FIND("_",B679,1)-1)="ULGALLOC",LEFT(B679,FIND("_",B679,1)-1)="ULSPOOL"),LEFT(B679,FIND("_",B679,1)-1),VLOOKUP(LEFT(A679,6),'Code Library'!$D$3:$E$200,2,0))&amp;"_"&amp;RIGHT(A679,3)</f>
        <v>SLPOA_IDR</v>
      </c>
      <c r="I679" s="66" t="str">
        <f t="shared" si="10"/>
        <v>ULSPO3_IDR</v>
      </c>
    </row>
    <row r="680" spans="1:9">
      <c r="A680" t="s">
        <v>1337</v>
      </c>
      <c r="B680" t="s">
        <v>1346</v>
      </c>
      <c r="C680">
        <v>1152</v>
      </c>
      <c r="D680">
        <v>14769278156.766701</v>
      </c>
      <c r="E680">
        <v>518528640000</v>
      </c>
      <c r="F680">
        <v>22260105846.534199</v>
      </c>
      <c r="G680" s="55"/>
      <c r="H680" s="66" t="str">
        <f>IF(OR(LEFT(B680,FIND("_",B680,1)-1)="ULGALLOC",LEFT(B680,FIND("_",B680,1)-1)="ULSPOOL"),LEFT(B680,FIND("_",B680,1)-1),VLOOKUP(LEFT(A680,6),'Code Library'!$D$3:$E$200,2,0))&amp;"_"&amp;RIGHT(A680,3)</f>
        <v>SLPOA_IDR</v>
      </c>
      <c r="I680" s="66" t="str">
        <f t="shared" si="10"/>
        <v>ULSPO3_IDR</v>
      </c>
    </row>
    <row r="681" spans="1:9">
      <c r="A681" t="s">
        <v>1337</v>
      </c>
      <c r="B681" t="s">
        <v>1347</v>
      </c>
      <c r="C681">
        <v>1117</v>
      </c>
      <c r="D681">
        <v>13624022658.322399</v>
      </c>
      <c r="E681">
        <v>439733960000</v>
      </c>
      <c r="F681">
        <v>16729316128.146299</v>
      </c>
      <c r="G681" s="55"/>
      <c r="H681" s="66" t="str">
        <f>IF(OR(LEFT(B681,FIND("_",B681,1)-1)="ULGALLOC",LEFT(B681,FIND("_",B681,1)-1)="ULSPOOL"),LEFT(B681,FIND("_",B681,1)-1),VLOOKUP(LEFT(A681,6),'Code Library'!$D$3:$E$200,2,0))&amp;"_"&amp;RIGHT(A681,3)</f>
        <v>SLPOA_IDR</v>
      </c>
      <c r="I681" s="66" t="str">
        <f t="shared" si="10"/>
        <v>ULSPO3_IDR</v>
      </c>
    </row>
    <row r="682" spans="1:9">
      <c r="A682" t="s">
        <v>1337</v>
      </c>
      <c r="B682" t="s">
        <v>1348</v>
      </c>
      <c r="C682">
        <v>55</v>
      </c>
      <c r="D682">
        <v>593276000</v>
      </c>
      <c r="E682">
        <v>17988000000</v>
      </c>
      <c r="F682">
        <v>646151663.88787794</v>
      </c>
      <c r="G682" s="55"/>
      <c r="H682" s="66" t="str">
        <f>IF(OR(LEFT(B682,FIND("_",B682,1)-1)="ULGALLOC",LEFT(B682,FIND("_",B682,1)-1)="ULSPOOL"),LEFT(B682,FIND("_",B682,1)-1),VLOOKUP(LEFT(A682,6),'Code Library'!$D$3:$E$200,2,0))&amp;"_"&amp;RIGHT(A682,3)</f>
        <v>SLPOA_IDR</v>
      </c>
      <c r="I682" s="66" t="str">
        <f t="shared" si="10"/>
        <v>ULSPO3_IDR</v>
      </c>
    </row>
    <row r="683" spans="1:9">
      <c r="A683" t="s">
        <v>1337</v>
      </c>
      <c r="B683" t="s">
        <v>1349</v>
      </c>
      <c r="C683">
        <v>7939</v>
      </c>
      <c r="D683">
        <v>61463812192</v>
      </c>
      <c r="E683">
        <v>3313000914000</v>
      </c>
      <c r="F683">
        <v>164782626993.67801</v>
      </c>
      <c r="H683" s="66" t="str">
        <f>IF(OR(LEFT(B683,FIND("_",B683,1)-1)="ULGALLOC",LEFT(B683,FIND("_",B683,1)-1)="ULSPOOL"),LEFT(B683,FIND("_",B683,1)-1),VLOOKUP(LEFT(A683,6),'Code Library'!$D$3:$E$200,2,0))&amp;"_"&amp;RIGHT(A683,3)</f>
        <v>SLPOA_IDR</v>
      </c>
      <c r="I683" s="66" t="str">
        <f t="shared" si="10"/>
        <v>ULSPO3_IDR</v>
      </c>
    </row>
    <row r="684" spans="1:9">
      <c r="A684" t="s">
        <v>1337</v>
      </c>
      <c r="B684" t="s">
        <v>1350</v>
      </c>
      <c r="C684">
        <v>1914</v>
      </c>
      <c r="D684">
        <v>16879480986.998301</v>
      </c>
      <c r="E684">
        <v>896632720000</v>
      </c>
      <c r="F684">
        <v>38343492356.220497</v>
      </c>
      <c r="G684" s="55"/>
      <c r="H684" s="66" t="str">
        <f>IF(OR(LEFT(B684,FIND("_",B684,1)-1)="ULGALLOC",LEFT(B684,FIND("_",B684,1)-1)="ULSPOOL"),LEFT(B684,FIND("_",B684,1)-1),VLOOKUP(LEFT(A684,6),'Code Library'!$D$3:$E$200,2,0))&amp;"_"&amp;RIGHT(A684,3)</f>
        <v>SLPOA_IDR</v>
      </c>
      <c r="I684" s="66" t="str">
        <f t="shared" si="10"/>
        <v>ULSPO3_IDR</v>
      </c>
    </row>
    <row r="685" spans="1:9">
      <c r="A685" t="s">
        <v>1337</v>
      </c>
      <c r="B685" t="s">
        <v>1351</v>
      </c>
      <c r="C685">
        <v>1721</v>
      </c>
      <c r="D685">
        <v>15986400482.2806</v>
      </c>
      <c r="E685">
        <v>862811105000</v>
      </c>
      <c r="F685">
        <v>33415530963.1474</v>
      </c>
      <c r="G685" s="55"/>
      <c r="H685" s="66" t="str">
        <f>IF(OR(LEFT(B685,FIND("_",B685,1)-1)="ULGALLOC",LEFT(B685,FIND("_",B685,1)-1)="ULSPOOL"),LEFT(B685,FIND("_",B685,1)-1),VLOOKUP(LEFT(A685,6),'Code Library'!$D$3:$E$200,2,0))&amp;"_"&amp;RIGHT(A685,3)</f>
        <v>SLPOA_IDR</v>
      </c>
      <c r="I685" s="66" t="str">
        <f t="shared" si="10"/>
        <v>ULSPO3_IDR</v>
      </c>
    </row>
    <row r="686" spans="1:9">
      <c r="A686" t="s">
        <v>1337</v>
      </c>
      <c r="B686" t="s">
        <v>1352</v>
      </c>
      <c r="C686">
        <v>1736</v>
      </c>
      <c r="D686">
        <v>16723108602.391701</v>
      </c>
      <c r="E686">
        <v>793382700050</v>
      </c>
      <c r="F686">
        <v>29314629805.300701</v>
      </c>
      <c r="G686" s="55"/>
      <c r="H686" s="66" t="str">
        <f>IF(OR(LEFT(B686,FIND("_",B686,1)-1)="ULGALLOC",LEFT(B686,FIND("_",B686,1)-1)="ULSPOOL"),LEFT(B686,FIND("_",B686,1)-1),VLOOKUP(LEFT(A686,6),'Code Library'!$D$3:$E$200,2,0))&amp;"_"&amp;RIGHT(A686,3)</f>
        <v>SLPOA_IDR</v>
      </c>
      <c r="I686" s="66" t="str">
        <f t="shared" si="10"/>
        <v>ULSPO3_IDR</v>
      </c>
    </row>
    <row r="687" spans="1:9">
      <c r="A687" t="s">
        <v>1337</v>
      </c>
      <c r="B687" t="s">
        <v>1353</v>
      </c>
      <c r="C687">
        <v>1188</v>
      </c>
      <c r="D687">
        <v>11291481984</v>
      </c>
      <c r="E687">
        <v>535601360000</v>
      </c>
      <c r="F687">
        <v>16735587238.5634</v>
      </c>
      <c r="G687" s="55"/>
      <c r="H687" s="66" t="str">
        <f>IF(OR(LEFT(B687,FIND("_",B687,1)-1)="ULGALLOC",LEFT(B687,FIND("_",B687,1)-1)="ULSPOOL"),LEFT(B687,FIND("_",B687,1)-1),VLOOKUP(LEFT(A687,6),'Code Library'!$D$3:$E$200,2,0))&amp;"_"&amp;RIGHT(A687,3)</f>
        <v>SLPOA_IDR</v>
      </c>
      <c r="I687" s="66" t="str">
        <f t="shared" si="10"/>
        <v>ULSPO3_IDR</v>
      </c>
    </row>
    <row r="688" spans="1:9">
      <c r="A688" t="s">
        <v>1337</v>
      </c>
      <c r="B688" t="s">
        <v>1354</v>
      </c>
      <c r="C688">
        <v>52</v>
      </c>
      <c r="D688">
        <v>542328000</v>
      </c>
      <c r="E688">
        <v>24080000000</v>
      </c>
      <c r="F688">
        <v>674248886.21749699</v>
      </c>
      <c r="G688" s="55"/>
      <c r="H688" s="66" t="str">
        <f>IF(OR(LEFT(B688,FIND("_",B688,1)-1)="ULGALLOC",LEFT(B688,FIND("_",B688,1)-1)="ULSPOOL"),LEFT(B688,FIND("_",B688,1)-1),VLOOKUP(LEFT(A688,6),'Code Library'!$D$3:$E$200,2,0))&amp;"_"&amp;RIGHT(A688,3)</f>
        <v>SLPOA_IDR</v>
      </c>
      <c r="I688" s="66" t="str">
        <f t="shared" si="10"/>
        <v>ULSPO3_IDR</v>
      </c>
    </row>
    <row r="689" spans="1:9">
      <c r="A689" t="s">
        <v>1355</v>
      </c>
      <c r="B689" t="s">
        <v>1356</v>
      </c>
      <c r="C689">
        <v>2518</v>
      </c>
      <c r="D689">
        <v>19673251785.654499</v>
      </c>
      <c r="E689">
        <v>837320471684</v>
      </c>
      <c r="F689">
        <v>62635905453.657204</v>
      </c>
      <c r="H689" s="66" t="str">
        <f>IF(OR(LEFT(B689,FIND("_",B689,1)-1)="ULGALLOC",LEFT(B689,FIND("_",B689,1)-1)="ULSPOOL"),LEFT(B689,FIND("_",B689,1)-1),VLOOKUP(LEFT(A689,6),'Code Library'!$D$3:$E$200,2,0))&amp;"_"&amp;RIGHT(A689,3)</f>
        <v>SLPOA_IDR</v>
      </c>
      <c r="I689" s="66" t="str">
        <f t="shared" si="10"/>
        <v>ULSPO4_IDR</v>
      </c>
    </row>
    <row r="690" spans="1:9">
      <c r="A690" t="s">
        <v>1355</v>
      </c>
      <c r="B690" t="s">
        <v>1357</v>
      </c>
      <c r="C690">
        <v>500</v>
      </c>
      <c r="D690">
        <v>4947522780</v>
      </c>
      <c r="E690">
        <v>190202000000</v>
      </c>
      <c r="F690">
        <v>12406220333.4737</v>
      </c>
      <c r="H690" s="66" t="str">
        <f>IF(OR(LEFT(B690,FIND("_",B690,1)-1)="ULGALLOC",LEFT(B690,FIND("_",B690,1)-1)="ULSPOOL"),LEFT(B690,FIND("_",B690,1)-1),VLOOKUP(LEFT(A690,6),'Code Library'!$D$3:$E$200,2,0))&amp;"_"&amp;RIGHT(A690,3)</f>
        <v>SLPOA_IDR</v>
      </c>
      <c r="I690" s="66" t="str">
        <f t="shared" si="10"/>
        <v>ULSPO4_IDR</v>
      </c>
    </row>
    <row r="691" spans="1:9">
      <c r="A691" t="s">
        <v>1355</v>
      </c>
      <c r="B691" t="s">
        <v>1358</v>
      </c>
      <c r="C691">
        <v>389</v>
      </c>
      <c r="D691">
        <v>3739315996</v>
      </c>
      <c r="E691">
        <v>158799950000</v>
      </c>
      <c r="F691">
        <v>8557858497.0422297</v>
      </c>
      <c r="G691" s="55"/>
      <c r="H691" s="66" t="str">
        <f>IF(OR(LEFT(B691,FIND("_",B691,1)-1)="ULGALLOC",LEFT(B691,FIND("_",B691,1)-1)="ULSPOOL"),LEFT(B691,FIND("_",B691,1)-1),VLOOKUP(LEFT(A691,6),'Code Library'!$D$3:$E$200,2,0))&amp;"_"&amp;RIGHT(A691,3)</f>
        <v>SLPOA_IDR</v>
      </c>
      <c r="I691" s="66" t="str">
        <f t="shared" si="10"/>
        <v>ULSPO4_IDR</v>
      </c>
    </row>
    <row r="692" spans="1:9">
      <c r="A692" t="s">
        <v>1355</v>
      </c>
      <c r="B692" t="s">
        <v>1359</v>
      </c>
      <c r="C692">
        <v>423</v>
      </c>
      <c r="D692">
        <v>3969694408</v>
      </c>
      <c r="E692">
        <v>154580450000</v>
      </c>
      <c r="F692">
        <v>8190369984.1759796</v>
      </c>
      <c r="G692" s="55"/>
      <c r="H692" s="66" t="str">
        <f>IF(OR(LEFT(B692,FIND("_",B692,1)-1)="ULGALLOC",LEFT(B692,FIND("_",B692,1)-1)="ULSPOOL"),LEFT(B692,FIND("_",B692,1)-1),VLOOKUP(LEFT(A692,6),'Code Library'!$D$3:$E$200,2,0))&amp;"_"&amp;RIGHT(A692,3)</f>
        <v>SLPOA_IDR</v>
      </c>
      <c r="I692" s="66" t="str">
        <f t="shared" si="10"/>
        <v>ULSPO4_IDR</v>
      </c>
    </row>
    <row r="693" spans="1:9">
      <c r="A693" t="s">
        <v>1355</v>
      </c>
      <c r="B693" t="s">
        <v>1360</v>
      </c>
      <c r="C693">
        <v>243</v>
      </c>
      <c r="D693">
        <v>2521472000</v>
      </c>
      <c r="E693">
        <v>88523040000</v>
      </c>
      <c r="F693">
        <v>4358785358.0899</v>
      </c>
      <c r="G693" s="55"/>
      <c r="H693" s="66" t="str">
        <f>IF(OR(LEFT(B693,FIND("_",B693,1)-1)="ULGALLOC",LEFT(B693,FIND("_",B693,1)-1)="ULSPOOL"),LEFT(B693,FIND("_",B693,1)-1),VLOOKUP(LEFT(A693,6),'Code Library'!$D$3:$E$200,2,0))&amp;"_"&amp;RIGHT(A693,3)</f>
        <v>SLPOA_IDR</v>
      </c>
      <c r="I693" s="66" t="str">
        <f t="shared" si="10"/>
        <v>ULSPO4_IDR</v>
      </c>
    </row>
    <row r="694" spans="1:9">
      <c r="A694" t="s">
        <v>1355</v>
      </c>
      <c r="B694" t="s">
        <v>1361</v>
      </c>
      <c r="C694">
        <v>20</v>
      </c>
      <c r="D694">
        <v>148852000</v>
      </c>
      <c r="E694">
        <v>3800000000</v>
      </c>
      <c r="F694">
        <v>314303302.63308102</v>
      </c>
      <c r="G694" s="55"/>
      <c r="H694" s="66" t="str">
        <f>IF(OR(LEFT(B694,FIND("_",B694,1)-1)="ULGALLOC",LEFT(B694,FIND("_",B694,1)-1)="ULSPOOL"),LEFT(B694,FIND("_",B694,1)-1),VLOOKUP(LEFT(A694,6),'Code Library'!$D$3:$E$200,2,0))&amp;"_"&amp;RIGHT(A694,3)</f>
        <v>SLPOA_IDR</v>
      </c>
      <c r="I694" s="66" t="str">
        <f t="shared" si="10"/>
        <v>ULSPO4_IDR</v>
      </c>
    </row>
    <row r="695" spans="1:9">
      <c r="A695" t="s">
        <v>1355</v>
      </c>
      <c r="B695" t="s">
        <v>1362</v>
      </c>
      <c r="C695">
        <v>2</v>
      </c>
      <c r="D695">
        <v>55200000</v>
      </c>
      <c r="E695">
        <v>2000000000</v>
      </c>
      <c r="F695">
        <v>8606658.8743089996</v>
      </c>
      <c r="H695" s="66" t="str">
        <f>IF(OR(LEFT(B695,FIND("_",B695,1)-1)="ULGALLOC",LEFT(B695,FIND("_",B695,1)-1)="ULSPOOL"),LEFT(B695,FIND("_",B695,1)-1),VLOOKUP(LEFT(A695,6),'Code Library'!$D$3:$E$200,2,0))&amp;"_"&amp;RIGHT(A695,3)</f>
        <v>SLPOA_IDR</v>
      </c>
      <c r="I695" s="66" t="str">
        <f t="shared" si="10"/>
        <v>ULSPO4_IDR</v>
      </c>
    </row>
    <row r="696" spans="1:9">
      <c r="A696" t="s">
        <v>1355</v>
      </c>
      <c r="B696" t="s">
        <v>1363</v>
      </c>
      <c r="C696">
        <v>120</v>
      </c>
      <c r="D696">
        <v>2154666000</v>
      </c>
      <c r="E696">
        <v>63650600000</v>
      </c>
      <c r="F696">
        <v>3016807131.1009898</v>
      </c>
      <c r="G696" s="55"/>
      <c r="H696" s="66" t="str">
        <f>IF(OR(LEFT(B696,FIND("_",B696,1)-1)="ULGALLOC",LEFT(B696,FIND("_",B696,1)-1)="ULSPOOL"),LEFT(B696,FIND("_",B696,1)-1),VLOOKUP(LEFT(A696,6),'Code Library'!$D$3:$E$200,2,0))&amp;"_"&amp;RIGHT(A696,3)</f>
        <v>SLPOA_IDR</v>
      </c>
      <c r="I696" s="66" t="str">
        <f t="shared" si="10"/>
        <v>ULSPO4_IDR</v>
      </c>
    </row>
    <row r="697" spans="1:9">
      <c r="A697" t="s">
        <v>1355</v>
      </c>
      <c r="B697" t="s">
        <v>1364</v>
      </c>
      <c r="C697">
        <v>1110</v>
      </c>
      <c r="D697">
        <v>16097904483.6968</v>
      </c>
      <c r="E697">
        <v>633876990000</v>
      </c>
      <c r="F697">
        <v>27626543816.374901</v>
      </c>
      <c r="G697" s="55"/>
      <c r="H697" s="66" t="str">
        <f>IF(OR(LEFT(B697,FIND("_",B697,1)-1)="ULGALLOC",LEFT(B697,FIND("_",B697,1)-1)="ULSPOOL"),LEFT(B697,FIND("_",B697,1)-1),VLOOKUP(LEFT(A697,6),'Code Library'!$D$3:$E$200,2,0))&amp;"_"&amp;RIGHT(A697,3)</f>
        <v>SLPOA_IDR</v>
      </c>
      <c r="I697" s="66" t="str">
        <f t="shared" si="10"/>
        <v>ULSPO4_IDR</v>
      </c>
    </row>
    <row r="698" spans="1:9">
      <c r="A698" t="s">
        <v>1355</v>
      </c>
      <c r="B698" t="s">
        <v>1365</v>
      </c>
      <c r="C698">
        <v>1438</v>
      </c>
      <c r="D698">
        <v>19644544488.593201</v>
      </c>
      <c r="E698">
        <v>705212397000</v>
      </c>
      <c r="F698">
        <v>27488218261.3367</v>
      </c>
      <c r="G698" s="55"/>
      <c r="H698" s="66" t="str">
        <f>IF(OR(LEFT(B698,FIND("_",B698,1)-1)="ULGALLOC",LEFT(B698,FIND("_",B698,1)-1)="ULSPOOL"),LEFT(B698,FIND("_",B698,1)-1),VLOOKUP(LEFT(A698,6),'Code Library'!$D$3:$E$200,2,0))&amp;"_"&amp;RIGHT(A698,3)</f>
        <v>SLPOA_IDR</v>
      </c>
      <c r="I698" s="66" t="str">
        <f t="shared" si="10"/>
        <v>ULSPO4_IDR</v>
      </c>
    </row>
    <row r="699" spans="1:9">
      <c r="A699" t="s">
        <v>1355</v>
      </c>
      <c r="B699" t="s">
        <v>1366</v>
      </c>
      <c r="C699">
        <v>1313</v>
      </c>
      <c r="D699">
        <v>17210192067.760201</v>
      </c>
      <c r="E699">
        <v>570423540000</v>
      </c>
      <c r="F699">
        <v>21609041900.392399</v>
      </c>
      <c r="G699" s="55"/>
      <c r="H699" s="66" t="str">
        <f>IF(OR(LEFT(B699,FIND("_",B699,1)-1)="ULGALLOC",LEFT(B699,FIND("_",B699,1)-1)="ULSPOOL"),LEFT(B699,FIND("_",B699,1)-1),VLOOKUP(LEFT(A699,6),'Code Library'!$D$3:$E$200,2,0))&amp;"_"&amp;RIGHT(A699,3)</f>
        <v>SLPOA_IDR</v>
      </c>
      <c r="I699" s="66" t="str">
        <f t="shared" si="10"/>
        <v>ULSPO4_IDR</v>
      </c>
    </row>
    <row r="700" spans="1:9">
      <c r="A700" t="s">
        <v>1355</v>
      </c>
      <c r="B700" t="s">
        <v>1367</v>
      </c>
      <c r="C700">
        <v>80</v>
      </c>
      <c r="D700">
        <v>893444000</v>
      </c>
      <c r="E700">
        <v>24219000000</v>
      </c>
      <c r="F700">
        <v>790893572.56140494</v>
      </c>
      <c r="G700" s="55"/>
      <c r="H700" s="66" t="str">
        <f>IF(OR(LEFT(B700,FIND("_",B700,1)-1)="ULGALLOC",LEFT(B700,FIND("_",B700,1)-1)="ULSPOOL"),LEFT(B700,FIND("_",B700,1)-1),VLOOKUP(LEFT(A700,6),'Code Library'!$D$3:$E$200,2,0))&amp;"_"&amp;RIGHT(A700,3)</f>
        <v>SLPOA_IDR</v>
      </c>
      <c r="I700" s="66" t="str">
        <f t="shared" si="10"/>
        <v>ULSPO4_IDR</v>
      </c>
    </row>
    <row r="701" spans="1:9">
      <c r="A701" t="s">
        <v>1355</v>
      </c>
      <c r="B701" t="s">
        <v>1368</v>
      </c>
      <c r="C701">
        <v>8160</v>
      </c>
      <c r="D701">
        <v>75296798840</v>
      </c>
      <c r="E701">
        <v>3595662310910</v>
      </c>
      <c r="F701">
        <v>192246585374.86899</v>
      </c>
      <c r="H701" s="66" t="str">
        <f>IF(OR(LEFT(B701,FIND("_",B701,1)-1)="ULGALLOC",LEFT(B701,FIND("_",B701,1)-1)="ULSPOOL"),LEFT(B701,FIND("_",B701,1)-1),VLOOKUP(LEFT(A701,6),'Code Library'!$D$3:$E$200,2,0))&amp;"_"&amp;RIGHT(A701,3)</f>
        <v>SLPOA_IDR</v>
      </c>
      <c r="I701" s="66" t="str">
        <f t="shared" si="10"/>
        <v>ULSPO4_IDR</v>
      </c>
    </row>
    <row r="702" spans="1:9">
      <c r="A702" t="s">
        <v>1355</v>
      </c>
      <c r="B702" t="s">
        <v>1369</v>
      </c>
      <c r="C702">
        <v>2113</v>
      </c>
      <c r="D702">
        <v>21703150364.727299</v>
      </c>
      <c r="E702">
        <v>1051528250000</v>
      </c>
      <c r="F702">
        <v>49655038141.273201</v>
      </c>
      <c r="H702" s="66" t="str">
        <f>IF(OR(LEFT(B702,FIND("_",B702,1)-1)="ULGALLOC",LEFT(B702,FIND("_",B702,1)-1)="ULSPOOL"),LEFT(B702,FIND("_",B702,1)-1),VLOOKUP(LEFT(A702,6),'Code Library'!$D$3:$E$200,2,0))&amp;"_"&amp;RIGHT(A702,3)</f>
        <v>SLPOA_IDR</v>
      </c>
      <c r="I702" s="66" t="str">
        <f t="shared" si="10"/>
        <v>ULSPO4_IDR</v>
      </c>
    </row>
    <row r="703" spans="1:9">
      <c r="A703" t="s">
        <v>1355</v>
      </c>
      <c r="B703" t="s">
        <v>1370</v>
      </c>
      <c r="C703">
        <v>2116</v>
      </c>
      <c r="D703">
        <v>22541013609.2673</v>
      </c>
      <c r="E703">
        <v>1091252260000</v>
      </c>
      <c r="F703">
        <v>44392403602.664597</v>
      </c>
      <c r="G703" s="55"/>
      <c r="H703" s="66" t="str">
        <f>IF(OR(LEFT(B703,FIND("_",B703,1)-1)="ULGALLOC",LEFT(B703,FIND("_",B703,1)-1)="ULSPOOL"),LEFT(B703,FIND("_",B703,1)-1),VLOOKUP(LEFT(A703,6),'Code Library'!$D$3:$E$200,2,0))&amp;"_"&amp;RIGHT(A703,3)</f>
        <v>SLPOA_IDR</v>
      </c>
      <c r="I703" s="66" t="str">
        <f t="shared" si="10"/>
        <v>ULSPO4_IDR</v>
      </c>
    </row>
    <row r="704" spans="1:9">
      <c r="A704" t="s">
        <v>1355</v>
      </c>
      <c r="B704" t="s">
        <v>1371</v>
      </c>
      <c r="C704">
        <v>2101</v>
      </c>
      <c r="D704">
        <v>22841034274.535599</v>
      </c>
      <c r="E704">
        <v>1032173820000</v>
      </c>
      <c r="F704">
        <v>39989371292.857903</v>
      </c>
      <c r="G704" s="55"/>
      <c r="H704" s="66" t="str">
        <f>IF(OR(LEFT(B704,FIND("_",B704,1)-1)="ULGALLOC",LEFT(B704,FIND("_",B704,1)-1)="ULSPOOL"),LEFT(B704,FIND("_",B704,1)-1),VLOOKUP(LEFT(A704,6),'Code Library'!$D$3:$E$200,2,0))&amp;"_"&amp;RIGHT(A704,3)</f>
        <v>SLPOA_IDR</v>
      </c>
      <c r="I704" s="66" t="str">
        <f t="shared" si="10"/>
        <v>ULSPO4_IDR</v>
      </c>
    </row>
    <row r="705" spans="1:9">
      <c r="A705" t="s">
        <v>1355</v>
      </c>
      <c r="B705" t="s">
        <v>1372</v>
      </c>
      <c r="C705">
        <v>1477</v>
      </c>
      <c r="D705">
        <v>16085691536.063801</v>
      </c>
      <c r="E705">
        <v>681355130000</v>
      </c>
      <c r="F705">
        <v>24616900559.3783</v>
      </c>
      <c r="G705" s="55"/>
      <c r="H705" s="66" t="str">
        <f>IF(OR(LEFT(B705,FIND("_",B705,1)-1)="ULGALLOC",LEFT(B705,FIND("_",B705,1)-1)="ULSPOOL"),LEFT(B705,FIND("_",B705,1)-1),VLOOKUP(LEFT(A705,6),'Code Library'!$D$3:$E$200,2,0))&amp;"_"&amp;RIGHT(A705,3)</f>
        <v>SLPOA_IDR</v>
      </c>
      <c r="I705" s="66" t="str">
        <f t="shared" si="10"/>
        <v>ULSPO4_IDR</v>
      </c>
    </row>
    <row r="706" spans="1:9">
      <c r="A706" t="s">
        <v>1355</v>
      </c>
      <c r="B706" t="s">
        <v>1373</v>
      </c>
      <c r="C706">
        <v>68</v>
      </c>
      <c r="D706">
        <v>557304000</v>
      </c>
      <c r="E706">
        <v>23675000000</v>
      </c>
      <c r="F706">
        <v>682083230.07493997</v>
      </c>
      <c r="G706" s="55"/>
      <c r="H706" s="66" t="str">
        <f>IF(OR(LEFT(B706,FIND("_",B706,1)-1)="ULGALLOC",LEFT(B706,FIND("_",B706,1)-1)="ULSPOOL"),LEFT(B706,FIND("_",B706,1)-1),VLOOKUP(LEFT(A706,6),'Code Library'!$D$3:$E$200,2,0))&amp;"_"&amp;RIGHT(A706,3)</f>
        <v>SLPOA_IDR</v>
      </c>
      <c r="I706" s="66" t="str">
        <f t="shared" si="10"/>
        <v>ULSPO4_IDR</v>
      </c>
    </row>
    <row r="707" spans="1:9">
      <c r="A707" t="s">
        <v>2327</v>
      </c>
      <c r="B707" t="s">
        <v>2328</v>
      </c>
      <c r="C707">
        <v>1</v>
      </c>
      <c r="D707">
        <v>11700000</v>
      </c>
      <c r="E707">
        <v>20000000</v>
      </c>
      <c r="F707">
        <v>286770</v>
      </c>
      <c r="G707" s="55"/>
      <c r="H707" s="66" t="str">
        <f>IF(OR(LEFT(B707,FIND("_",B707,1)-1)="ULGALLOC",LEFT(B707,FIND("_",B707,1)-1)="ULSPOOL"),LEFT(B707,FIND("_",B707,1)-1),VLOOKUP(LEFT(A707,6),'Code Library'!$D$3:$E$200,2,0))&amp;"_"&amp;RIGHT(A707,3)</f>
        <v>SLPOA_IDR</v>
      </c>
      <c r="I707" s="66" t="str">
        <f t="shared" ref="I707:I770" si="11">A707</f>
        <v>ULSPO4A_IDR</v>
      </c>
    </row>
    <row r="708" spans="1:9">
      <c r="A708" t="s">
        <v>1374</v>
      </c>
      <c r="B708" t="s">
        <v>1375</v>
      </c>
      <c r="C708">
        <v>2725</v>
      </c>
      <c r="D708">
        <v>24560013670</v>
      </c>
      <c r="E708">
        <v>869187200000</v>
      </c>
      <c r="F708">
        <v>67420868781.630997</v>
      </c>
      <c r="H708" s="66" t="str">
        <f>IF(OR(LEFT(B708,FIND("_",B708,1)-1)="ULGALLOC",LEFT(B708,FIND("_",B708,1)-1)="ULSPOOL"),LEFT(B708,FIND("_",B708,1)-1),VLOOKUP(LEFT(A708,6),'Code Library'!$D$3:$E$200,2,0))&amp;"_"&amp;RIGHT(A708,3)</f>
        <v>SLPOA_IDR</v>
      </c>
      <c r="I708" s="66" t="str">
        <f t="shared" si="11"/>
        <v>ULSPO5_IDR</v>
      </c>
    </row>
    <row r="709" spans="1:9">
      <c r="A709" t="s">
        <v>1374</v>
      </c>
      <c r="B709" t="s">
        <v>1376</v>
      </c>
      <c r="C709">
        <v>457</v>
      </c>
      <c r="D709">
        <v>5019800000</v>
      </c>
      <c r="E709">
        <v>165168000000</v>
      </c>
      <c r="F709">
        <v>11246788608.458099</v>
      </c>
      <c r="G709" s="55"/>
      <c r="H709" s="66" t="str">
        <f>IF(OR(LEFT(B709,FIND("_",B709,1)-1)="ULGALLOC",LEFT(B709,FIND("_",B709,1)-1)="ULSPOOL"),LEFT(B709,FIND("_",B709,1)-1),VLOOKUP(LEFT(A709,6),'Code Library'!$D$3:$E$200,2,0))&amp;"_"&amp;RIGHT(A709,3)</f>
        <v>SLPOA_IDR</v>
      </c>
      <c r="I709" s="66" t="str">
        <f t="shared" si="11"/>
        <v>ULSPO5_IDR</v>
      </c>
    </row>
    <row r="710" spans="1:9">
      <c r="A710" t="s">
        <v>1374</v>
      </c>
      <c r="B710" t="s">
        <v>1377</v>
      </c>
      <c r="C710">
        <v>403</v>
      </c>
      <c r="D710">
        <v>4414867372</v>
      </c>
      <c r="E710">
        <v>161761500000</v>
      </c>
      <c r="F710">
        <v>8330609924.1883698</v>
      </c>
      <c r="G710" s="55"/>
      <c r="H710" s="66" t="str">
        <f>IF(OR(LEFT(B710,FIND("_",B710,1)-1)="ULGALLOC",LEFT(B710,FIND("_",B710,1)-1)="ULSPOOL"),LEFT(B710,FIND("_",B710,1)-1),VLOOKUP(LEFT(A710,6),'Code Library'!$D$3:$E$200,2,0))&amp;"_"&amp;RIGHT(A710,3)</f>
        <v>SLPOA_IDR</v>
      </c>
      <c r="I710" s="66" t="str">
        <f t="shared" si="11"/>
        <v>ULSPO5_IDR</v>
      </c>
    </row>
    <row r="711" spans="1:9">
      <c r="A711" t="s">
        <v>1374</v>
      </c>
      <c r="B711" t="s">
        <v>1378</v>
      </c>
      <c r="C711">
        <v>408</v>
      </c>
      <c r="D711">
        <v>4981132004</v>
      </c>
      <c r="E711">
        <v>168809500000</v>
      </c>
      <c r="F711">
        <v>8757215843.4393597</v>
      </c>
      <c r="G711" s="55"/>
      <c r="H711" s="66" t="str">
        <f>IF(OR(LEFT(B711,FIND("_",B711,1)-1)="ULGALLOC",LEFT(B711,FIND("_",B711,1)-1)="ULSPOOL"),LEFT(B711,FIND("_",B711,1)-1),VLOOKUP(LEFT(A711,6),'Code Library'!$D$3:$E$200,2,0))&amp;"_"&amp;RIGHT(A711,3)</f>
        <v>SLPOA_IDR</v>
      </c>
      <c r="I711" s="66" t="str">
        <f t="shared" si="11"/>
        <v>ULSPO5_IDR</v>
      </c>
    </row>
    <row r="712" spans="1:9">
      <c r="A712" t="s">
        <v>1374</v>
      </c>
      <c r="B712" t="s">
        <v>1379</v>
      </c>
      <c r="C712">
        <v>336</v>
      </c>
      <c r="D712">
        <v>4558424216</v>
      </c>
      <c r="E712">
        <v>155777280000</v>
      </c>
      <c r="F712">
        <v>8033926961.9043703</v>
      </c>
      <c r="G712" s="55"/>
      <c r="H712" s="66" t="str">
        <f>IF(OR(LEFT(B712,FIND("_",B712,1)-1)="ULGALLOC",LEFT(B712,FIND("_",B712,1)-1)="ULSPOOL"),LEFT(B712,FIND("_",B712,1)-1),VLOOKUP(LEFT(A712,6),'Code Library'!$D$3:$E$200,2,0))&amp;"_"&amp;RIGHT(A712,3)</f>
        <v>SLPOA_IDR</v>
      </c>
      <c r="I712" s="66" t="str">
        <f t="shared" si="11"/>
        <v>ULSPO5_IDR</v>
      </c>
    </row>
    <row r="713" spans="1:9">
      <c r="A713" t="s">
        <v>1374</v>
      </c>
      <c r="B713" t="s">
        <v>1380</v>
      </c>
      <c r="C713">
        <v>17</v>
      </c>
      <c r="D713">
        <v>177360000</v>
      </c>
      <c r="E713">
        <v>3815000000</v>
      </c>
      <c r="F713">
        <v>254645185.877691</v>
      </c>
      <c r="H713" s="66" t="str">
        <f>IF(OR(LEFT(B713,FIND("_",B713,1)-1)="ULGALLOC",LEFT(B713,FIND("_",B713,1)-1)="ULSPOOL"),LEFT(B713,FIND("_",B713,1)-1),VLOOKUP(LEFT(A713,6),'Code Library'!$D$3:$E$200,2,0))&amp;"_"&amp;RIGHT(A713,3)</f>
        <v>SLPOA_IDR</v>
      </c>
      <c r="I713" s="66" t="str">
        <f t="shared" si="11"/>
        <v>ULSPO5_IDR</v>
      </c>
    </row>
    <row r="714" spans="1:9">
      <c r="A714" t="s">
        <v>1374</v>
      </c>
      <c r="B714" t="s">
        <v>1381</v>
      </c>
      <c r="C714">
        <v>3</v>
      </c>
      <c r="D714">
        <v>70883987.016082793</v>
      </c>
      <c r="E714">
        <v>1735000000</v>
      </c>
      <c r="F714">
        <v>80736977.857324004</v>
      </c>
      <c r="G714" s="55"/>
      <c r="H714" s="66" t="str">
        <f>IF(OR(LEFT(B714,FIND("_",B714,1)-1)="ULGALLOC",LEFT(B714,FIND("_",B714,1)-1)="ULSPOOL"),LEFT(B714,FIND("_",B714,1)-1),VLOOKUP(LEFT(A714,6),'Code Library'!$D$3:$E$200,2,0))&amp;"_"&amp;RIGHT(A714,3)</f>
        <v>SLPOA_IDR</v>
      </c>
      <c r="I714" s="66" t="str">
        <f t="shared" si="11"/>
        <v>ULSPO5_IDR</v>
      </c>
    </row>
    <row r="715" spans="1:9">
      <c r="A715" t="s">
        <v>1374</v>
      </c>
      <c r="B715" t="s">
        <v>1382</v>
      </c>
      <c r="C715">
        <v>107</v>
      </c>
      <c r="D715">
        <v>1988682000</v>
      </c>
      <c r="E715">
        <v>56385000000</v>
      </c>
      <c r="F715">
        <v>3596136743.6420798</v>
      </c>
      <c r="G715" s="55"/>
      <c r="H715" s="66" t="str">
        <f>IF(OR(LEFT(B715,FIND("_",B715,1)-1)="ULGALLOC",LEFT(B715,FIND("_",B715,1)-1)="ULSPOOL"),LEFT(B715,FIND("_",B715,1)-1),VLOOKUP(LEFT(A715,6),'Code Library'!$D$3:$E$200,2,0))&amp;"_"&amp;RIGHT(A715,3)</f>
        <v>SLPOA_IDR</v>
      </c>
      <c r="I715" s="66" t="str">
        <f t="shared" si="11"/>
        <v>ULSPO5_IDR</v>
      </c>
    </row>
    <row r="716" spans="1:9">
      <c r="A716" t="s">
        <v>1374</v>
      </c>
      <c r="B716" t="s">
        <v>1383</v>
      </c>
      <c r="C716">
        <v>1033</v>
      </c>
      <c r="D716">
        <v>17775525012</v>
      </c>
      <c r="E716">
        <v>599281600000</v>
      </c>
      <c r="F716">
        <v>26558385120.181198</v>
      </c>
      <c r="G716" s="55"/>
      <c r="H716" s="66" t="str">
        <f>IF(OR(LEFT(B716,FIND("_",B716,1)-1)="ULGALLOC",LEFT(B716,FIND("_",B716,1)-1)="ULSPOOL"),LEFT(B716,FIND("_",B716,1)-1),VLOOKUP(LEFT(A716,6),'Code Library'!$D$3:$E$200,2,0))&amp;"_"&amp;RIGHT(A716,3)</f>
        <v>SLPOA_IDR</v>
      </c>
      <c r="I716" s="66" t="str">
        <f t="shared" si="11"/>
        <v>ULSPO5_IDR</v>
      </c>
    </row>
    <row r="717" spans="1:9">
      <c r="A717" t="s">
        <v>1374</v>
      </c>
      <c r="B717" t="s">
        <v>1384</v>
      </c>
      <c r="C717">
        <v>1387</v>
      </c>
      <c r="D717">
        <v>23917110050.452202</v>
      </c>
      <c r="E717">
        <v>718838525000</v>
      </c>
      <c r="F717">
        <v>33607321567.921398</v>
      </c>
      <c r="G717" s="55"/>
      <c r="H717" s="66" t="str">
        <f>IF(OR(LEFT(B717,FIND("_",B717,1)-1)="ULGALLOC",LEFT(B717,FIND("_",B717,1)-1)="ULSPOOL"),LEFT(B717,FIND("_",B717,1)-1),VLOOKUP(LEFT(A717,6),'Code Library'!$D$3:$E$200,2,0))&amp;"_"&amp;RIGHT(A717,3)</f>
        <v>SLPOA_IDR</v>
      </c>
      <c r="I717" s="66" t="str">
        <f t="shared" si="11"/>
        <v>ULSPO5_IDR</v>
      </c>
    </row>
    <row r="718" spans="1:9">
      <c r="A718" t="s">
        <v>1374</v>
      </c>
      <c r="B718" t="s">
        <v>1385</v>
      </c>
      <c r="C718">
        <v>1282</v>
      </c>
      <c r="D718">
        <v>19897677990.204399</v>
      </c>
      <c r="E718">
        <v>614416140000</v>
      </c>
      <c r="F718">
        <v>24770560070.342098</v>
      </c>
      <c r="G718" s="55"/>
      <c r="H718" s="66" t="str">
        <f>IF(OR(LEFT(B718,FIND("_",B718,1)-1)="ULGALLOC",LEFT(B718,FIND("_",B718,1)-1)="ULSPOOL"),LEFT(B718,FIND("_",B718,1)-1),VLOOKUP(LEFT(A718,6),'Code Library'!$D$3:$E$200,2,0))&amp;"_"&amp;RIGHT(A718,3)</f>
        <v>SLPOA_IDR</v>
      </c>
      <c r="I718" s="66" t="str">
        <f t="shared" si="11"/>
        <v>ULSPO5_IDR</v>
      </c>
    </row>
    <row r="719" spans="1:9">
      <c r="A719" t="s">
        <v>1374</v>
      </c>
      <c r="B719" t="s">
        <v>1386</v>
      </c>
      <c r="C719">
        <v>81</v>
      </c>
      <c r="D719">
        <v>1236054324</v>
      </c>
      <c r="E719">
        <v>47781400000</v>
      </c>
      <c r="F719">
        <v>1702422938.86344</v>
      </c>
      <c r="H719" s="66" t="str">
        <f>IF(OR(LEFT(B719,FIND("_",B719,1)-1)="ULGALLOC",LEFT(B719,FIND("_",B719,1)-1)="ULSPOOL"),LEFT(B719,FIND("_",B719,1)-1),VLOOKUP(LEFT(A719,6),'Code Library'!$D$3:$E$200,2,0))&amp;"_"&amp;RIGHT(A719,3)</f>
        <v>SLPOA_IDR</v>
      </c>
      <c r="I719" s="66" t="str">
        <f t="shared" si="11"/>
        <v>ULSPO5_IDR</v>
      </c>
    </row>
    <row r="720" spans="1:9">
      <c r="A720" t="s">
        <v>1374</v>
      </c>
      <c r="B720" t="s">
        <v>1387</v>
      </c>
      <c r="C720">
        <v>7083</v>
      </c>
      <c r="D720">
        <v>84258514500</v>
      </c>
      <c r="E720">
        <v>3168835604002</v>
      </c>
      <c r="F720">
        <v>203303193278.336</v>
      </c>
      <c r="G720" s="55"/>
      <c r="H720" s="66" t="str">
        <f>IF(OR(LEFT(B720,FIND("_",B720,1)-1)="ULGALLOC",LEFT(B720,FIND("_",B720,1)-1)="ULSPOOL"),LEFT(B720,FIND("_",B720,1)-1),VLOOKUP(LEFT(A720,6),'Code Library'!$D$3:$E$200,2,0))&amp;"_"&amp;RIGHT(A720,3)</f>
        <v>SLPOA_IDR</v>
      </c>
      <c r="I720" s="66" t="str">
        <f t="shared" si="11"/>
        <v>ULSPO5_IDR</v>
      </c>
    </row>
    <row r="721" spans="1:9">
      <c r="A721" t="s">
        <v>1374</v>
      </c>
      <c r="B721" t="s">
        <v>1388</v>
      </c>
      <c r="C721">
        <v>1872</v>
      </c>
      <c r="D721">
        <v>24345892080</v>
      </c>
      <c r="E721">
        <v>963632800000</v>
      </c>
      <c r="F721">
        <v>49110827676.495598</v>
      </c>
      <c r="G721" s="55"/>
      <c r="H721" s="66" t="str">
        <f>IF(OR(LEFT(B721,FIND("_",B721,1)-1)="ULGALLOC",LEFT(B721,FIND("_",B721,1)-1)="ULSPOOL"),LEFT(B721,FIND("_",B721,1)-1),VLOOKUP(LEFT(A721,6),'Code Library'!$D$3:$E$200,2,0))&amp;"_"&amp;RIGHT(A721,3)</f>
        <v>SLPOA_IDR</v>
      </c>
      <c r="I721" s="66" t="str">
        <f t="shared" si="11"/>
        <v>ULSPO5_IDR</v>
      </c>
    </row>
    <row r="722" spans="1:9">
      <c r="A722" t="s">
        <v>1374</v>
      </c>
      <c r="B722" t="s">
        <v>1389</v>
      </c>
      <c r="C722">
        <v>1890</v>
      </c>
      <c r="D722">
        <v>24109092559.546501</v>
      </c>
      <c r="E722">
        <v>972820120000</v>
      </c>
      <c r="F722">
        <v>46741112864.013603</v>
      </c>
      <c r="G722" s="55"/>
      <c r="H722" s="66" t="str">
        <f>IF(OR(LEFT(B722,FIND("_",B722,1)-1)="ULGALLOC",LEFT(B722,FIND("_",B722,1)-1)="ULSPOOL"),LEFT(B722,FIND("_",B722,1)-1),VLOOKUP(LEFT(A722,6),'Code Library'!$D$3:$E$200,2,0))&amp;"_"&amp;RIGHT(A722,3)</f>
        <v>SLPOA_IDR</v>
      </c>
      <c r="I722" s="66" t="str">
        <f t="shared" si="11"/>
        <v>ULSPO5_IDR</v>
      </c>
    </row>
    <row r="723" spans="1:9">
      <c r="A723" t="s">
        <v>1374</v>
      </c>
      <c r="B723" t="s">
        <v>1390</v>
      </c>
      <c r="C723">
        <v>2000</v>
      </c>
      <c r="D723">
        <v>26471032708</v>
      </c>
      <c r="E723">
        <v>914131540001</v>
      </c>
      <c r="F723">
        <v>45006512510.319603</v>
      </c>
      <c r="G723" s="55"/>
      <c r="H723" s="66" t="str">
        <f>IF(OR(LEFT(B723,FIND("_",B723,1)-1)="ULGALLOC",LEFT(B723,FIND("_",B723,1)-1)="ULSPOOL"),LEFT(B723,FIND("_",B723,1)-1),VLOOKUP(LEFT(A723,6),'Code Library'!$D$3:$E$200,2,0))&amp;"_"&amp;RIGHT(A723,3)</f>
        <v>SLPOA_IDR</v>
      </c>
      <c r="I723" s="66" t="str">
        <f t="shared" si="11"/>
        <v>ULSPO5_IDR</v>
      </c>
    </row>
    <row r="724" spans="1:9">
      <c r="A724" t="s">
        <v>1374</v>
      </c>
      <c r="B724" t="s">
        <v>1391</v>
      </c>
      <c r="C724">
        <v>1403</v>
      </c>
      <c r="D724">
        <v>18001521984</v>
      </c>
      <c r="E724">
        <v>625388000000</v>
      </c>
      <c r="F724">
        <v>25707382976.386799</v>
      </c>
      <c r="G724" s="55"/>
      <c r="H724" s="66" t="str">
        <f>IF(OR(LEFT(B724,FIND("_",B724,1)-1)="ULGALLOC",LEFT(B724,FIND("_",B724,1)-1)="ULSPOOL"),LEFT(B724,FIND("_",B724,1)-1),VLOOKUP(LEFT(A724,6),'Code Library'!$D$3:$E$200,2,0))&amp;"_"&amp;RIGHT(A724,3)</f>
        <v>SLPOA_IDR</v>
      </c>
      <c r="I724" s="66" t="str">
        <f t="shared" si="11"/>
        <v>ULSPO5_IDR</v>
      </c>
    </row>
    <row r="725" spans="1:9">
      <c r="A725" t="s">
        <v>1374</v>
      </c>
      <c r="B725" t="s">
        <v>1392</v>
      </c>
      <c r="C725">
        <v>61</v>
      </c>
      <c r="D725">
        <v>675016000</v>
      </c>
      <c r="E725">
        <v>18870000000</v>
      </c>
      <c r="F725">
        <v>860670378.59010696</v>
      </c>
      <c r="H725" s="66" t="str">
        <f>IF(OR(LEFT(B725,FIND("_",B725,1)-1)="ULGALLOC",LEFT(B725,FIND("_",B725,1)-1)="ULSPOOL"),LEFT(B725,FIND("_",B725,1)-1),VLOOKUP(LEFT(A725,6),'Code Library'!$D$3:$E$200,2,0))&amp;"_"&amp;RIGHT(A725,3)</f>
        <v>SLPOA_IDR</v>
      </c>
      <c r="I725" s="66" t="str">
        <f t="shared" si="11"/>
        <v>ULSPO5_IDR</v>
      </c>
    </row>
    <row r="726" spans="1:9">
      <c r="A726" t="s">
        <v>1393</v>
      </c>
      <c r="B726" t="s">
        <v>1394</v>
      </c>
      <c r="C726">
        <v>4513</v>
      </c>
      <c r="D726">
        <v>60923709096.071198</v>
      </c>
      <c r="E726">
        <v>1609496500022</v>
      </c>
      <c r="F726">
        <v>124569395495.86501</v>
      </c>
      <c r="H726" s="66" t="str">
        <f>IF(OR(LEFT(B726,FIND("_",B726,1)-1)="ULGALLOC",LEFT(B726,FIND("_",B726,1)-1)="ULSPOOL"),LEFT(B726,FIND("_",B726,1)-1),VLOOKUP(LEFT(A726,6),'Code Library'!$D$3:$E$200,2,0))&amp;"_"&amp;RIGHT(A726,3)</f>
        <v>SLPOA_IDR</v>
      </c>
      <c r="I726" s="66" t="str">
        <f t="shared" si="11"/>
        <v>ULSPO6_IDR</v>
      </c>
    </row>
    <row r="727" spans="1:9">
      <c r="A727" t="s">
        <v>1393</v>
      </c>
      <c r="B727" t="s">
        <v>1395</v>
      </c>
      <c r="C727">
        <v>864</v>
      </c>
      <c r="D727">
        <v>10922753992</v>
      </c>
      <c r="E727">
        <v>264996750000</v>
      </c>
      <c r="F727">
        <v>22221421273.5994</v>
      </c>
      <c r="G727" s="55"/>
      <c r="H727" s="66" t="str">
        <f>IF(OR(LEFT(B727,FIND("_",B727,1)-1)="ULGALLOC",LEFT(B727,FIND("_",B727,1)-1)="ULSPOOL"),LEFT(B727,FIND("_",B727,1)-1),VLOOKUP(LEFT(A727,6),'Code Library'!$D$3:$E$200,2,0))&amp;"_"&amp;RIGHT(A727,3)</f>
        <v>SLPOA_IDR</v>
      </c>
      <c r="I727" s="66" t="str">
        <f t="shared" si="11"/>
        <v>ULSPO6_IDR</v>
      </c>
    </row>
    <row r="728" spans="1:9">
      <c r="A728" t="s">
        <v>1393</v>
      </c>
      <c r="B728" t="s">
        <v>1396</v>
      </c>
      <c r="C728">
        <v>775</v>
      </c>
      <c r="D728">
        <v>10847647984</v>
      </c>
      <c r="E728">
        <v>300076550000</v>
      </c>
      <c r="F728">
        <v>21005533488.7211</v>
      </c>
      <c r="G728" s="55"/>
      <c r="H728" s="66" t="str">
        <f>IF(OR(LEFT(B728,FIND("_",B728,1)-1)="ULGALLOC",LEFT(B728,FIND("_",B728,1)-1)="ULSPOOL"),LEFT(B728,FIND("_",B728,1)-1),VLOOKUP(LEFT(A728,6),'Code Library'!$D$3:$E$200,2,0))&amp;"_"&amp;RIGHT(A728,3)</f>
        <v>SLPOA_IDR</v>
      </c>
      <c r="I728" s="66" t="str">
        <f t="shared" si="11"/>
        <v>ULSPO6_IDR</v>
      </c>
    </row>
    <row r="729" spans="1:9">
      <c r="A729" t="s">
        <v>1393</v>
      </c>
      <c r="B729" t="s">
        <v>1397</v>
      </c>
      <c r="C729">
        <v>781</v>
      </c>
      <c r="D729">
        <v>11562487616.936701</v>
      </c>
      <c r="E729">
        <v>298615500000</v>
      </c>
      <c r="F729">
        <v>20117930377.172901</v>
      </c>
      <c r="G729" s="55"/>
      <c r="H729" s="66" t="str">
        <f>IF(OR(LEFT(B729,FIND("_",B729,1)-1)="ULGALLOC",LEFT(B729,FIND("_",B729,1)-1)="ULSPOOL"),LEFT(B729,FIND("_",B729,1)-1),VLOOKUP(LEFT(A729,6),'Code Library'!$D$3:$E$200,2,0))&amp;"_"&amp;RIGHT(A729,3)</f>
        <v>SLPOA_IDR</v>
      </c>
      <c r="I729" s="66" t="str">
        <f t="shared" si="11"/>
        <v>ULSPO6_IDR</v>
      </c>
    </row>
    <row r="730" spans="1:9">
      <c r="A730" t="s">
        <v>1393</v>
      </c>
      <c r="B730" t="s">
        <v>1398</v>
      </c>
      <c r="C730">
        <v>573</v>
      </c>
      <c r="D730">
        <v>7640961444</v>
      </c>
      <c r="E730">
        <v>165746499870</v>
      </c>
      <c r="F730">
        <v>12217593585.408001</v>
      </c>
      <c r="H730" s="66" t="str">
        <f>IF(OR(LEFT(B730,FIND("_",B730,1)-1)="ULGALLOC",LEFT(B730,FIND("_",B730,1)-1)="ULSPOOL"),LEFT(B730,FIND("_",B730,1)-1),VLOOKUP(LEFT(A730,6),'Code Library'!$D$3:$E$200,2,0))&amp;"_"&amp;RIGHT(A730,3)</f>
        <v>SLPOA_IDR</v>
      </c>
      <c r="I730" s="66" t="str">
        <f t="shared" si="11"/>
        <v>ULSPO6_IDR</v>
      </c>
    </row>
    <row r="731" spans="1:9">
      <c r="A731" t="s">
        <v>1393</v>
      </c>
      <c r="B731" t="s">
        <v>1399</v>
      </c>
      <c r="C731">
        <v>41</v>
      </c>
      <c r="D731">
        <v>377420000</v>
      </c>
      <c r="E731">
        <v>8688000000</v>
      </c>
      <c r="F731">
        <v>736497440.47545302</v>
      </c>
      <c r="H731" s="66" t="str">
        <f>IF(OR(LEFT(B731,FIND("_",B731,1)-1)="ULGALLOC",LEFT(B731,FIND("_",B731,1)-1)="ULSPOOL"),LEFT(B731,FIND("_",B731,1)-1),VLOOKUP(LEFT(A731,6),'Code Library'!$D$3:$E$200,2,0))&amp;"_"&amp;RIGHT(A731,3)</f>
        <v>SLPOA_IDR</v>
      </c>
      <c r="I731" s="66" t="str">
        <f t="shared" si="11"/>
        <v>ULSPO6_IDR</v>
      </c>
    </row>
    <row r="732" spans="1:9">
      <c r="A732" t="s">
        <v>1393</v>
      </c>
      <c r="B732" t="s">
        <v>1400</v>
      </c>
      <c r="C732">
        <v>1</v>
      </c>
      <c r="D732">
        <v>6000000</v>
      </c>
      <c r="E732">
        <v>200000000</v>
      </c>
      <c r="F732">
        <v>25510090.978939999</v>
      </c>
      <c r="G732" s="55"/>
      <c r="H732" s="66" t="str">
        <f>IF(OR(LEFT(B732,FIND("_",B732,1)-1)="ULGALLOC",LEFT(B732,FIND("_",B732,1)-1)="ULSPOOL"),LEFT(B732,FIND("_",B732,1)-1),VLOOKUP(LEFT(A732,6),'Code Library'!$D$3:$E$200,2,0))&amp;"_"&amp;RIGHT(A732,3)</f>
        <v>SLPOA_IDR</v>
      </c>
      <c r="I732" s="66" t="str">
        <f t="shared" si="11"/>
        <v>ULSPO6_IDR</v>
      </c>
    </row>
    <row r="733" spans="1:9">
      <c r="A733" t="s">
        <v>1393</v>
      </c>
      <c r="B733" t="s">
        <v>1401</v>
      </c>
      <c r="C733">
        <v>159</v>
      </c>
      <c r="D733">
        <v>3822876000</v>
      </c>
      <c r="E733">
        <v>69457200000</v>
      </c>
      <c r="F733">
        <v>6211831096.3451204</v>
      </c>
      <c r="G733" s="55"/>
      <c r="H733" s="66" t="str">
        <f>IF(OR(LEFT(B733,FIND("_",B733,1)-1)="ULGALLOC",LEFT(B733,FIND("_",B733,1)-1)="ULSPOOL"),LEFT(B733,FIND("_",B733,1)-1),VLOOKUP(LEFT(A733,6),'Code Library'!$D$3:$E$200,2,0))&amp;"_"&amp;RIGHT(A733,3)</f>
        <v>SLPOA_IDR</v>
      </c>
      <c r="I733" s="66" t="str">
        <f t="shared" si="11"/>
        <v>ULSPO6_IDR</v>
      </c>
    </row>
    <row r="734" spans="1:9">
      <c r="A734" t="s">
        <v>1393</v>
      </c>
      <c r="B734" t="s">
        <v>1402</v>
      </c>
      <c r="C734">
        <v>1488</v>
      </c>
      <c r="D734">
        <v>29598957489.2943</v>
      </c>
      <c r="E734">
        <v>713035640006</v>
      </c>
      <c r="F734">
        <v>45128575793.115402</v>
      </c>
      <c r="G734" s="55"/>
      <c r="H734" s="66" t="str">
        <f>IF(OR(LEFT(B734,FIND("_",B734,1)-1)="ULGALLOC",LEFT(B734,FIND("_",B734,1)-1)="ULSPOOL"),LEFT(B734,FIND("_",B734,1)-1),VLOOKUP(LEFT(A734,6),'Code Library'!$D$3:$E$200,2,0))&amp;"_"&amp;RIGHT(A734,3)</f>
        <v>SLPOA_IDR</v>
      </c>
      <c r="I734" s="66" t="str">
        <f t="shared" si="11"/>
        <v>ULSPO6_IDR</v>
      </c>
    </row>
    <row r="735" spans="1:9">
      <c r="A735" t="s">
        <v>1393</v>
      </c>
      <c r="B735" t="s">
        <v>1403</v>
      </c>
      <c r="C735">
        <v>1883</v>
      </c>
      <c r="D735">
        <v>38487508019.998703</v>
      </c>
      <c r="E735">
        <v>829433686226</v>
      </c>
      <c r="F735">
        <v>50784118403.057503</v>
      </c>
      <c r="G735" s="55"/>
      <c r="H735" s="66" t="str">
        <f>IF(OR(LEFT(B735,FIND("_",B735,1)-1)="ULGALLOC",LEFT(B735,FIND("_",B735,1)-1)="ULSPOOL"),LEFT(B735,FIND("_",B735,1)-1),VLOOKUP(LEFT(A735,6),'Code Library'!$D$3:$E$200,2,0))&amp;"_"&amp;RIGHT(A735,3)</f>
        <v>SLPOA_IDR</v>
      </c>
      <c r="I735" s="66" t="str">
        <f t="shared" si="11"/>
        <v>ULSPO6_IDR</v>
      </c>
    </row>
    <row r="736" spans="1:9">
      <c r="A736" t="s">
        <v>1393</v>
      </c>
      <c r="B736" t="s">
        <v>1404</v>
      </c>
      <c r="C736">
        <v>1612</v>
      </c>
      <c r="D736">
        <v>30816656680</v>
      </c>
      <c r="E736">
        <v>636062469000</v>
      </c>
      <c r="F736">
        <v>37949925116.781502</v>
      </c>
      <c r="G736" s="55"/>
      <c r="H736" s="66" t="str">
        <f>IF(OR(LEFT(B736,FIND("_",B736,1)-1)="ULGALLOC",LEFT(B736,FIND("_",B736,1)-1)="ULSPOOL"),LEFT(B736,FIND("_",B736,1)-1),VLOOKUP(LEFT(A736,6),'Code Library'!$D$3:$E$200,2,0))&amp;"_"&amp;RIGHT(A736,3)</f>
        <v>SLPOA_IDR</v>
      </c>
      <c r="I736" s="66" t="str">
        <f t="shared" si="11"/>
        <v>ULSPO6_IDR</v>
      </c>
    </row>
    <row r="737" spans="1:9">
      <c r="A737" t="s">
        <v>1393</v>
      </c>
      <c r="B737" t="s">
        <v>1405</v>
      </c>
      <c r="C737">
        <v>104</v>
      </c>
      <c r="D737">
        <v>1491224000</v>
      </c>
      <c r="E737">
        <v>34254600000</v>
      </c>
      <c r="F737">
        <v>1351982704.66236</v>
      </c>
      <c r="H737" s="66" t="str">
        <f>IF(OR(LEFT(B737,FIND("_",B737,1)-1)="ULGALLOC",LEFT(B737,FIND("_",B737,1)-1)="ULSPOOL"),LEFT(B737,FIND("_",B737,1)-1),VLOOKUP(LEFT(A737,6),'Code Library'!$D$3:$E$200,2,0))&amp;"_"&amp;RIGHT(A737,3)</f>
        <v>SLPOA_IDR</v>
      </c>
      <c r="I737" s="66" t="str">
        <f t="shared" si="11"/>
        <v>ULSPO6_IDR</v>
      </c>
    </row>
    <row r="738" spans="1:9">
      <c r="A738" t="s">
        <v>1393</v>
      </c>
      <c r="B738" t="s">
        <v>1406</v>
      </c>
      <c r="C738">
        <v>9170</v>
      </c>
      <c r="D738">
        <v>135389408084</v>
      </c>
      <c r="E738">
        <v>3611082903000</v>
      </c>
      <c r="F738">
        <v>277435770296.76202</v>
      </c>
      <c r="H738" s="66" t="str">
        <f>IF(OR(LEFT(B738,FIND("_",B738,1)-1)="ULGALLOC",LEFT(B738,FIND("_",B738,1)-1)="ULSPOOL"),LEFT(B738,FIND("_",B738,1)-1),VLOOKUP(LEFT(A738,6),'Code Library'!$D$3:$E$200,2,0))&amp;"_"&amp;RIGHT(A738,3)</f>
        <v>SLPOA_IDR</v>
      </c>
      <c r="I738" s="66" t="str">
        <f t="shared" si="11"/>
        <v>ULSPO6_IDR</v>
      </c>
    </row>
    <row r="739" spans="1:9">
      <c r="A739" t="s">
        <v>1393</v>
      </c>
      <c r="B739" t="s">
        <v>1407</v>
      </c>
      <c r="C739">
        <v>2328</v>
      </c>
      <c r="D739">
        <v>36500716856</v>
      </c>
      <c r="E739">
        <v>982949468000</v>
      </c>
      <c r="F739">
        <v>69880062017.304993</v>
      </c>
      <c r="H739" s="66" t="str">
        <f>IF(OR(LEFT(B739,FIND("_",B739,1)-1)="ULGALLOC",LEFT(B739,FIND("_",B739,1)-1)="ULSPOOL"),LEFT(B739,FIND("_",B739,1)-1),VLOOKUP(LEFT(A739,6),'Code Library'!$D$3:$E$200,2,0))&amp;"_"&amp;RIGHT(A739,3)</f>
        <v>SLPOA_IDR</v>
      </c>
      <c r="I739" s="66" t="str">
        <f t="shared" si="11"/>
        <v>ULSPO6_IDR</v>
      </c>
    </row>
    <row r="740" spans="1:9">
      <c r="A740" t="s">
        <v>1393</v>
      </c>
      <c r="B740" t="s">
        <v>1408</v>
      </c>
      <c r="C740">
        <v>2497</v>
      </c>
      <c r="D740">
        <v>40119892687.157204</v>
      </c>
      <c r="E740">
        <v>1170438183000</v>
      </c>
      <c r="F740">
        <v>73500174474.224594</v>
      </c>
      <c r="G740" s="55"/>
      <c r="H740" s="66" t="str">
        <f>IF(OR(LEFT(B740,FIND("_",B740,1)-1)="ULGALLOC",LEFT(B740,FIND("_",B740,1)-1)="ULSPOOL"),LEFT(B740,FIND("_",B740,1)-1),VLOOKUP(LEFT(A740,6),'Code Library'!$D$3:$E$200,2,0))&amp;"_"&amp;RIGHT(A740,3)</f>
        <v>SLPOA_IDR</v>
      </c>
      <c r="I740" s="66" t="str">
        <f t="shared" si="11"/>
        <v>ULSPO6_IDR</v>
      </c>
    </row>
    <row r="741" spans="1:9">
      <c r="A741" t="s">
        <v>1393</v>
      </c>
      <c r="B741" t="s">
        <v>1409</v>
      </c>
      <c r="C741">
        <v>2721</v>
      </c>
      <c r="D741">
        <v>45542175317.062897</v>
      </c>
      <c r="E741">
        <v>1099621580001</v>
      </c>
      <c r="F741">
        <v>70325525719.0271</v>
      </c>
      <c r="G741" s="55"/>
      <c r="H741" s="66" t="str">
        <f>IF(OR(LEFT(B741,FIND("_",B741,1)-1)="ULGALLOC",LEFT(B741,FIND("_",B741,1)-1)="ULSPOOL"),LEFT(B741,FIND("_",B741,1)-1),VLOOKUP(LEFT(A741,6),'Code Library'!$D$3:$E$200,2,0))&amp;"_"&amp;RIGHT(A741,3)</f>
        <v>SLPOA_IDR</v>
      </c>
      <c r="I741" s="66" t="str">
        <f t="shared" si="11"/>
        <v>ULSPO6_IDR</v>
      </c>
    </row>
    <row r="742" spans="1:9">
      <c r="A742" t="s">
        <v>1393</v>
      </c>
      <c r="B742" t="s">
        <v>1410</v>
      </c>
      <c r="C742">
        <v>2087</v>
      </c>
      <c r="D742">
        <v>32189774877.3242</v>
      </c>
      <c r="E742">
        <v>770389000008</v>
      </c>
      <c r="F742">
        <v>44318678919.9263</v>
      </c>
      <c r="G742" s="55"/>
      <c r="H742" s="66" t="str">
        <f>IF(OR(LEFT(B742,FIND("_",B742,1)-1)="ULGALLOC",LEFT(B742,FIND("_",B742,1)-1)="ULSPOOL"),LEFT(B742,FIND("_",B742,1)-1),VLOOKUP(LEFT(A742,6),'Code Library'!$D$3:$E$200,2,0))&amp;"_"&amp;RIGHT(A742,3)</f>
        <v>SLPOA_IDR</v>
      </c>
      <c r="I742" s="66" t="str">
        <f t="shared" si="11"/>
        <v>ULSPO6_IDR</v>
      </c>
    </row>
    <row r="743" spans="1:9">
      <c r="A743" t="s">
        <v>1393</v>
      </c>
      <c r="B743" t="s">
        <v>1411</v>
      </c>
      <c r="C743">
        <v>129</v>
      </c>
      <c r="D743">
        <v>1483626000</v>
      </c>
      <c r="E743">
        <v>31348120000</v>
      </c>
      <c r="F743">
        <v>1766222150.9191</v>
      </c>
      <c r="G743" s="55"/>
      <c r="H743" s="66" t="str">
        <f>IF(OR(LEFT(B743,FIND("_",B743,1)-1)="ULGALLOC",LEFT(B743,FIND("_",B743,1)-1)="ULSPOOL"),LEFT(B743,FIND("_",B743,1)-1),VLOOKUP(LEFT(A743,6),'Code Library'!$D$3:$E$200,2,0))&amp;"_"&amp;RIGHT(A743,3)</f>
        <v>SLPOA_IDR</v>
      </c>
      <c r="I743" s="66" t="str">
        <f t="shared" si="11"/>
        <v>ULSPO6_IDR</v>
      </c>
    </row>
    <row r="744" spans="1:9">
      <c r="A744" t="s">
        <v>1412</v>
      </c>
      <c r="B744" t="s">
        <v>1413</v>
      </c>
      <c r="C744">
        <v>2</v>
      </c>
      <c r="D744">
        <v>66084000</v>
      </c>
      <c r="E744">
        <v>600000000</v>
      </c>
      <c r="F744">
        <v>24148897.864634998</v>
      </c>
      <c r="G744" s="55"/>
      <c r="H744" s="66" t="str">
        <f>IF(OR(LEFT(B744,FIND("_",B744,1)-1)="ULGALLOC",LEFT(B744,FIND("_",B744,1)-1)="ULSPOOL"),LEFT(B744,FIND("_",B744,1)-1),VLOOKUP(LEFT(A744,6),'Code Library'!$D$3:$E$200,2,0))&amp;"_"&amp;RIGHT(A744,3)</f>
        <v>SLPOA_IDR</v>
      </c>
      <c r="I744" s="66" t="str">
        <f t="shared" si="11"/>
        <v>ULSPO6A_IDR</v>
      </c>
    </row>
    <row r="745" spans="1:9">
      <c r="A745" t="s">
        <v>1414</v>
      </c>
      <c r="B745" t="s">
        <v>1415</v>
      </c>
      <c r="C745">
        <v>3042</v>
      </c>
      <c r="D745">
        <v>42288017624</v>
      </c>
      <c r="E745">
        <v>587604235000</v>
      </c>
      <c r="F745">
        <v>75724646476.570908</v>
      </c>
      <c r="H745" s="66" t="str">
        <f>IF(OR(LEFT(B745,FIND("_",B745,1)-1)="ULGALLOC",LEFT(B745,FIND("_",B745,1)-1)="ULSPOOL"),LEFT(B745,FIND("_",B745,1)-1),VLOOKUP(LEFT(A745,6),'Code Library'!$D$3:$E$200,2,0))&amp;"_"&amp;RIGHT(A745,3)</f>
        <v>SLPOA_IDR</v>
      </c>
      <c r="I745" s="66" t="str">
        <f t="shared" si="11"/>
        <v>ULSPO7_IDR</v>
      </c>
    </row>
    <row r="746" spans="1:9">
      <c r="A746" t="s">
        <v>1414</v>
      </c>
      <c r="B746" t="s">
        <v>1416</v>
      </c>
      <c r="C746">
        <v>810</v>
      </c>
      <c r="D746">
        <v>9313516000</v>
      </c>
      <c r="E746">
        <v>132587950000</v>
      </c>
      <c r="F746">
        <v>16536758069.999399</v>
      </c>
      <c r="H746" s="66" t="str">
        <f>IF(OR(LEFT(B746,FIND("_",B746,1)-1)="ULGALLOC",LEFT(B746,FIND("_",B746,1)-1)="ULSPOOL"),LEFT(B746,FIND("_",B746,1)-1),VLOOKUP(LEFT(A746,6),'Code Library'!$D$3:$E$200,2,0))&amp;"_"&amp;RIGHT(A746,3)</f>
        <v>SLPOA_IDR</v>
      </c>
      <c r="I746" s="66" t="str">
        <f t="shared" si="11"/>
        <v>ULSPO7_IDR</v>
      </c>
    </row>
    <row r="747" spans="1:9">
      <c r="A747" t="s">
        <v>1414</v>
      </c>
      <c r="B747" t="s">
        <v>1417</v>
      </c>
      <c r="C747">
        <v>939</v>
      </c>
      <c r="D747">
        <v>12574566000</v>
      </c>
      <c r="E747">
        <v>209373600020</v>
      </c>
      <c r="F747">
        <v>18079485154.635201</v>
      </c>
      <c r="G747" s="55"/>
      <c r="H747" s="66" t="str">
        <f>IF(OR(LEFT(B747,FIND("_",B747,1)-1)="ULGALLOC",LEFT(B747,FIND("_",B747,1)-1)="ULSPOOL"),LEFT(B747,FIND("_",B747,1)-1),VLOOKUP(LEFT(A747,6),'Code Library'!$D$3:$E$200,2,0))&amp;"_"&amp;RIGHT(A747,3)</f>
        <v>SLPOA_IDR</v>
      </c>
      <c r="I747" s="66" t="str">
        <f t="shared" si="11"/>
        <v>ULSPO7_IDR</v>
      </c>
    </row>
    <row r="748" spans="1:9">
      <c r="A748" t="s">
        <v>1414</v>
      </c>
      <c r="B748" t="s">
        <v>1418</v>
      </c>
      <c r="C748">
        <v>975</v>
      </c>
      <c r="D748">
        <v>10880566008</v>
      </c>
      <c r="E748">
        <v>142746600000</v>
      </c>
      <c r="F748">
        <v>16167845305.488501</v>
      </c>
      <c r="G748" s="55"/>
      <c r="H748" s="66" t="str">
        <f>IF(OR(LEFT(B748,FIND("_",B748,1)-1)="ULGALLOC",LEFT(B748,FIND("_",B748,1)-1)="ULSPOOL"),LEFT(B748,FIND("_",B748,1)-1),VLOOKUP(LEFT(A748,6),'Code Library'!$D$3:$E$200,2,0))&amp;"_"&amp;RIGHT(A748,3)</f>
        <v>SLPOA_IDR</v>
      </c>
      <c r="I748" s="66" t="str">
        <f t="shared" si="11"/>
        <v>ULSPO7_IDR</v>
      </c>
    </row>
    <row r="749" spans="1:9">
      <c r="A749" t="s">
        <v>1414</v>
      </c>
      <c r="B749" t="s">
        <v>1419</v>
      </c>
      <c r="C749">
        <v>806</v>
      </c>
      <c r="D749">
        <v>8572908001</v>
      </c>
      <c r="E749">
        <v>111602596960</v>
      </c>
      <c r="F749">
        <v>12768595919.893101</v>
      </c>
      <c r="G749" s="55"/>
      <c r="H749" s="66" t="str">
        <f>IF(OR(LEFT(B749,FIND("_",B749,1)-1)="ULGALLOC",LEFT(B749,FIND("_",B749,1)-1)="ULSPOOL"),LEFT(B749,FIND("_",B749,1)-1),VLOOKUP(LEFT(A749,6),'Code Library'!$D$3:$E$200,2,0))&amp;"_"&amp;RIGHT(A749,3)</f>
        <v>SLPOA_IDR</v>
      </c>
      <c r="I749" s="66" t="str">
        <f t="shared" si="11"/>
        <v>ULSPO7_IDR</v>
      </c>
    </row>
    <row r="750" spans="1:9">
      <c r="A750" t="s">
        <v>1414</v>
      </c>
      <c r="B750" t="s">
        <v>1420</v>
      </c>
      <c r="C750">
        <v>25</v>
      </c>
      <c r="D750">
        <v>336984000</v>
      </c>
      <c r="E750">
        <v>4170000000</v>
      </c>
      <c r="F750">
        <v>386658162.13208503</v>
      </c>
      <c r="G750" s="55"/>
      <c r="H750" s="66" t="str">
        <f>IF(OR(LEFT(B750,FIND("_",B750,1)-1)="ULGALLOC",LEFT(B750,FIND("_",B750,1)-1)="ULSPOOL"),LEFT(B750,FIND("_",B750,1)-1),VLOOKUP(LEFT(A750,6),'Code Library'!$D$3:$E$200,2,0))&amp;"_"&amp;RIGHT(A750,3)</f>
        <v>SLPOA_IDR</v>
      </c>
      <c r="I750" s="66" t="str">
        <f t="shared" si="11"/>
        <v>ULSPO7_IDR</v>
      </c>
    </row>
    <row r="751" spans="1:9">
      <c r="A751" t="s">
        <v>1414</v>
      </c>
      <c r="B751" t="s">
        <v>2619</v>
      </c>
      <c r="C751">
        <v>1</v>
      </c>
      <c r="D751">
        <v>12000000</v>
      </c>
      <c r="E751">
        <v>150000000</v>
      </c>
      <c r="F751">
        <v>45501392</v>
      </c>
      <c r="G751" s="55"/>
      <c r="H751" s="66" t="str">
        <f>IF(OR(LEFT(B751,FIND("_",B751,1)-1)="ULGALLOC",LEFT(B751,FIND("_",B751,1)-1)="ULSPOOL"),LEFT(B751,FIND("_",B751,1)-1),VLOOKUP(LEFT(A751,6),'Code Library'!$D$3:$E$200,2,0))&amp;"_"&amp;RIGHT(A751,3)</f>
        <v>SLPOA_IDR</v>
      </c>
      <c r="I751" s="66" t="str">
        <f t="shared" si="11"/>
        <v>ULSPO7_IDR</v>
      </c>
    </row>
    <row r="752" spans="1:9">
      <c r="A752" t="s">
        <v>1414</v>
      </c>
      <c r="B752" t="s">
        <v>1421</v>
      </c>
      <c r="C752">
        <v>130</v>
      </c>
      <c r="D752">
        <v>2792752000</v>
      </c>
      <c r="E752">
        <v>27173000000</v>
      </c>
      <c r="F752">
        <v>3685687491.2259798</v>
      </c>
      <c r="G752" s="55"/>
      <c r="H752" s="66" t="str">
        <f>IF(OR(LEFT(B752,FIND("_",B752,1)-1)="ULGALLOC",LEFT(B752,FIND("_",B752,1)-1)="ULSPOOL"),LEFT(B752,FIND("_",B752,1)-1),VLOOKUP(LEFT(A752,6),'Code Library'!$D$3:$E$200,2,0))&amp;"_"&amp;RIGHT(A752,3)</f>
        <v>SLPOA_IDR</v>
      </c>
      <c r="I752" s="66" t="str">
        <f t="shared" si="11"/>
        <v>ULSPO7_IDR</v>
      </c>
    </row>
    <row r="753" spans="1:9">
      <c r="A753" t="s">
        <v>1414</v>
      </c>
      <c r="B753" t="s">
        <v>1422</v>
      </c>
      <c r="C753">
        <v>1184</v>
      </c>
      <c r="D753">
        <v>23617250781.7327</v>
      </c>
      <c r="E753">
        <v>289691780022</v>
      </c>
      <c r="F753">
        <v>34965823594.924004</v>
      </c>
      <c r="G753" s="55"/>
      <c r="H753" s="66" t="str">
        <f>IF(OR(LEFT(B753,FIND("_",B753,1)-1)="ULGALLOC",LEFT(B753,FIND("_",B753,1)-1)="ULSPOOL"),LEFT(B753,FIND("_",B753,1)-1),VLOOKUP(LEFT(A753,6),'Code Library'!$D$3:$E$200,2,0))&amp;"_"&amp;RIGHT(A753,3)</f>
        <v>SLPOA_IDR</v>
      </c>
      <c r="I753" s="66" t="str">
        <f t="shared" si="11"/>
        <v>ULSPO7_IDR</v>
      </c>
    </row>
    <row r="754" spans="1:9">
      <c r="A754" t="s">
        <v>1414</v>
      </c>
      <c r="B754" t="s">
        <v>1423</v>
      </c>
      <c r="C754">
        <v>1690</v>
      </c>
      <c r="D754">
        <v>36406394616</v>
      </c>
      <c r="E754">
        <v>376936560000</v>
      </c>
      <c r="F754">
        <v>43348214434.656097</v>
      </c>
      <c r="G754" s="55"/>
      <c r="H754" s="66" t="str">
        <f>IF(OR(LEFT(B754,FIND("_",B754,1)-1)="ULGALLOC",LEFT(B754,FIND("_",B754,1)-1)="ULSPOOL"),LEFT(B754,FIND("_",B754,1)-1),VLOOKUP(LEFT(A754,6),'Code Library'!$D$3:$E$200,2,0))&amp;"_"&amp;RIGHT(A754,3)</f>
        <v>SLPOA_IDR</v>
      </c>
      <c r="I754" s="66" t="str">
        <f t="shared" si="11"/>
        <v>ULSPO7_IDR</v>
      </c>
    </row>
    <row r="755" spans="1:9">
      <c r="A755" t="s">
        <v>1414</v>
      </c>
      <c r="B755" t="s">
        <v>1424</v>
      </c>
      <c r="C755">
        <v>1733</v>
      </c>
      <c r="D755">
        <v>35065687617.971397</v>
      </c>
      <c r="E755">
        <v>343559272000</v>
      </c>
      <c r="F755">
        <v>35101370697.7369</v>
      </c>
      <c r="G755" s="55"/>
      <c r="H755" s="66" t="str">
        <f>IF(OR(LEFT(B755,FIND("_",B755,1)-1)="ULGALLOC",LEFT(B755,FIND("_",B755,1)-1)="ULSPOOL"),LEFT(B755,FIND("_",B755,1)-1),VLOOKUP(LEFT(A755,6),'Code Library'!$D$3:$E$200,2,0))&amp;"_"&amp;RIGHT(A755,3)</f>
        <v>SLPOA_IDR</v>
      </c>
      <c r="I755" s="66" t="str">
        <f t="shared" si="11"/>
        <v>ULSPO7_IDR</v>
      </c>
    </row>
    <row r="756" spans="1:9">
      <c r="A756" t="s">
        <v>1414</v>
      </c>
      <c r="B756" t="s">
        <v>1425</v>
      </c>
      <c r="C756">
        <v>137</v>
      </c>
      <c r="D756">
        <v>2113776000</v>
      </c>
      <c r="E756">
        <v>17145800000</v>
      </c>
      <c r="F756">
        <v>2214529101.0058198</v>
      </c>
      <c r="G756" s="55"/>
      <c r="H756" s="66" t="str">
        <f>IF(OR(LEFT(B756,FIND("_",B756,1)-1)="ULGALLOC",LEFT(B756,FIND("_",B756,1)-1)="ULSPOOL"),LEFT(B756,FIND("_",B756,1)-1),VLOOKUP(LEFT(A756,6),'Code Library'!$D$3:$E$200,2,0))&amp;"_"&amp;RIGHT(A756,3)</f>
        <v>SLPOA_IDR</v>
      </c>
      <c r="I756" s="66" t="str">
        <f t="shared" si="11"/>
        <v>ULSPO7_IDR</v>
      </c>
    </row>
    <row r="757" spans="1:9">
      <c r="A757" t="s">
        <v>1414</v>
      </c>
      <c r="B757" t="s">
        <v>1426</v>
      </c>
      <c r="C757">
        <v>6465</v>
      </c>
      <c r="D757">
        <v>98259041896</v>
      </c>
      <c r="E757">
        <v>1472626944002</v>
      </c>
      <c r="F757">
        <v>162765573659.84201</v>
      </c>
      <c r="H757" s="66" t="str">
        <f>IF(OR(LEFT(B757,FIND("_",B757,1)-1)="ULGALLOC",LEFT(B757,FIND("_",B757,1)-1)="ULSPOOL"),LEFT(B757,FIND("_",B757,1)-1),VLOOKUP(LEFT(A757,6),'Code Library'!$D$3:$E$200,2,0))&amp;"_"&amp;RIGHT(A757,3)</f>
        <v>SLPOA_IDR</v>
      </c>
      <c r="I757" s="66" t="str">
        <f t="shared" si="11"/>
        <v>ULSPO7_IDR</v>
      </c>
    </row>
    <row r="758" spans="1:9">
      <c r="A758" t="s">
        <v>1414</v>
      </c>
      <c r="B758" t="s">
        <v>1427</v>
      </c>
      <c r="C758">
        <v>1782</v>
      </c>
      <c r="D758">
        <v>28732301508</v>
      </c>
      <c r="E758">
        <v>415019429000</v>
      </c>
      <c r="F758">
        <v>48419706600.584099</v>
      </c>
      <c r="H758" s="66" t="str">
        <f>IF(OR(LEFT(B758,FIND("_",B758,1)-1)="ULGALLOC",LEFT(B758,FIND("_",B758,1)-1)="ULSPOOL"),LEFT(B758,FIND("_",B758,1)-1),VLOOKUP(LEFT(A758,6),'Code Library'!$D$3:$E$200,2,0))&amp;"_"&amp;RIGHT(A758,3)</f>
        <v>SLPOA_IDR</v>
      </c>
      <c r="I758" s="66" t="str">
        <f t="shared" si="11"/>
        <v>ULSPO7_IDR</v>
      </c>
    </row>
    <row r="759" spans="1:9">
      <c r="A759" t="s">
        <v>1414</v>
      </c>
      <c r="B759" t="s">
        <v>1428</v>
      </c>
      <c r="C759">
        <v>2281</v>
      </c>
      <c r="D759">
        <v>31336306822</v>
      </c>
      <c r="E759">
        <v>488959070000</v>
      </c>
      <c r="F759">
        <v>46837971088.886101</v>
      </c>
      <c r="G759" s="55"/>
      <c r="H759" s="66" t="str">
        <f>IF(OR(LEFT(B759,FIND("_",B759,1)-1)="ULGALLOC",LEFT(B759,FIND("_",B759,1)-1)="ULSPOOL"),LEFT(B759,FIND("_",B759,1)-1),VLOOKUP(LEFT(A759,6),'Code Library'!$D$3:$E$200,2,0))&amp;"_"&amp;RIGHT(A759,3)</f>
        <v>SLPOA_IDR</v>
      </c>
      <c r="I759" s="66" t="str">
        <f t="shared" si="11"/>
        <v>ULSPO7_IDR</v>
      </c>
    </row>
    <row r="760" spans="1:9">
      <c r="A760" t="s">
        <v>1414</v>
      </c>
      <c r="B760" t="s">
        <v>1429</v>
      </c>
      <c r="C760">
        <v>3009</v>
      </c>
      <c r="D760">
        <v>40615245250</v>
      </c>
      <c r="E760">
        <v>560720230000</v>
      </c>
      <c r="F760">
        <v>54394211566.6446</v>
      </c>
      <c r="G760" s="55"/>
      <c r="H760" s="66" t="str">
        <f>IF(OR(LEFT(B760,FIND("_",B760,1)-1)="ULGALLOC",LEFT(B760,FIND("_",B760,1)-1)="ULSPOOL"),LEFT(B760,FIND("_",B760,1)-1),VLOOKUP(LEFT(A760,6),'Code Library'!$D$3:$E$200,2,0))&amp;"_"&amp;RIGHT(A760,3)</f>
        <v>SLPOA_IDR</v>
      </c>
      <c r="I760" s="66" t="str">
        <f t="shared" si="11"/>
        <v>ULSPO7_IDR</v>
      </c>
    </row>
    <row r="761" spans="1:9">
      <c r="A761" t="s">
        <v>1414</v>
      </c>
      <c r="B761" t="s">
        <v>1430</v>
      </c>
      <c r="C761">
        <v>2681</v>
      </c>
      <c r="D761">
        <v>33763148262</v>
      </c>
      <c r="E761">
        <v>480655659200</v>
      </c>
      <c r="F761">
        <v>42119749328.048599</v>
      </c>
      <c r="G761" s="55"/>
      <c r="H761" s="66" t="str">
        <f>IF(OR(LEFT(B761,FIND("_",B761,1)-1)="ULGALLOC",LEFT(B761,FIND("_",B761,1)-1)="ULSPOOL"),LEFT(B761,FIND("_",B761,1)-1),VLOOKUP(LEFT(A761,6),'Code Library'!$D$3:$E$200,2,0))&amp;"_"&amp;RIGHT(A761,3)</f>
        <v>SLPOA_IDR</v>
      </c>
      <c r="I761" s="66" t="str">
        <f t="shared" si="11"/>
        <v>ULSPO7_IDR</v>
      </c>
    </row>
    <row r="762" spans="1:9">
      <c r="A762" t="s">
        <v>1414</v>
      </c>
      <c r="B762" t="s">
        <v>1431</v>
      </c>
      <c r="C762">
        <v>244</v>
      </c>
      <c r="D762">
        <v>2249260000</v>
      </c>
      <c r="E762">
        <v>33348300000</v>
      </c>
      <c r="F762">
        <v>2536328359.6709199</v>
      </c>
      <c r="G762" s="55"/>
      <c r="H762" s="66" t="str">
        <f>IF(OR(LEFT(B762,FIND("_",B762,1)-1)="ULGALLOC",LEFT(B762,FIND("_",B762,1)-1)="ULSPOOL"),LEFT(B762,FIND("_",B762,1)-1),VLOOKUP(LEFT(A762,6),'Code Library'!$D$3:$E$200,2,0))&amp;"_"&amp;RIGHT(A762,3)</f>
        <v>SLPOA_IDR</v>
      </c>
      <c r="I762" s="66" t="str">
        <f t="shared" si="11"/>
        <v>ULSPO7_IDR</v>
      </c>
    </row>
    <row r="763" spans="1:9">
      <c r="A763" t="s">
        <v>1432</v>
      </c>
      <c r="B763" t="s">
        <v>1433</v>
      </c>
      <c r="C763">
        <v>1</v>
      </c>
      <c r="D763">
        <v>12000000</v>
      </c>
      <c r="E763">
        <v>200000000</v>
      </c>
      <c r="F763">
        <v>5819103</v>
      </c>
      <c r="G763" s="55"/>
      <c r="H763" s="66" t="str">
        <f>IF(OR(LEFT(B763,FIND("_",B763,1)-1)="ULGALLOC",LEFT(B763,FIND("_",B763,1)-1)="ULSPOOL"),LEFT(B763,FIND("_",B763,1)-1),VLOOKUP(LEFT(A763,6),'Code Library'!$D$3:$E$200,2,0))&amp;"_"&amp;RIGHT(A763,3)</f>
        <v>SLPOA_IDR</v>
      </c>
      <c r="I763" s="66" t="str">
        <f t="shared" si="11"/>
        <v>ULSPO7A_IDR</v>
      </c>
    </row>
    <row r="764" spans="1:9">
      <c r="A764" t="s">
        <v>1434</v>
      </c>
      <c r="B764" t="s">
        <v>1435</v>
      </c>
      <c r="C764">
        <v>315</v>
      </c>
      <c r="D764">
        <v>4977100003.9991999</v>
      </c>
      <c r="E764">
        <v>109805000000</v>
      </c>
      <c r="F764">
        <v>24909999385.048</v>
      </c>
      <c r="H764" s="66" t="str">
        <f>IF(OR(LEFT(B764,FIND("_",B764,1)-1)="ULGALLOC",LEFT(B764,FIND("_",B764,1)-1)="ULSPOOL"),LEFT(B764,FIND("_",B764,1)-1),VLOOKUP(LEFT(A764,6),'Code Library'!$D$3:$E$200,2,0))&amp;"_"&amp;RIGHT(A764,3)</f>
        <v>SLPP_IDR</v>
      </c>
      <c r="I764" s="66" t="str">
        <f t="shared" si="11"/>
        <v>ULSPP__IDR</v>
      </c>
    </row>
    <row r="765" spans="1:9">
      <c r="A765" t="s">
        <v>1436</v>
      </c>
      <c r="B765" t="s">
        <v>1437</v>
      </c>
      <c r="C765">
        <v>23</v>
      </c>
      <c r="D765">
        <v>69700</v>
      </c>
      <c r="E765">
        <v>903500</v>
      </c>
      <c r="F765">
        <v>163479.93942760001</v>
      </c>
      <c r="H765" s="66" t="str">
        <f>IF(OR(LEFT(B765,FIND("_",B765,1)-1)="ULGALLOC",LEFT(B765,FIND("_",B765,1)-1)="ULSPOOL"),LEFT(B765,FIND("_",B765,1)-1),VLOOKUP(LEFT(A765,6),'Code Library'!$D$3:$E$200,2,0))&amp;"_"&amp;RIGHT(A765,3)</f>
        <v>SLPP_USD</v>
      </c>
      <c r="I765" s="66" t="str">
        <f t="shared" si="11"/>
        <v>ULSPP__USD</v>
      </c>
    </row>
    <row r="766" spans="1:9">
      <c r="A766" t="s">
        <v>1438</v>
      </c>
      <c r="B766" t="s">
        <v>1439</v>
      </c>
      <c r="C766">
        <v>122</v>
      </c>
      <c r="D766">
        <v>2761308004</v>
      </c>
      <c r="E766">
        <v>69415000000</v>
      </c>
      <c r="F766">
        <v>10402212285.3885</v>
      </c>
      <c r="G766" s="55"/>
      <c r="H766" s="66" t="str">
        <f>IF(OR(LEFT(B766,FIND("_",B766,1)-1)="ULGALLOC",LEFT(B766,FIND("_",B766,1)-1)="ULSPOOL"),LEFT(B766,FIND("_",B766,1)-1),VLOOKUP(LEFT(A766,6),'Code Library'!$D$3:$E$200,2,0))&amp;"_"&amp;RIGHT(A766,3)</f>
        <v>RSLPP_IDR</v>
      </c>
      <c r="I766" s="66" t="str">
        <f t="shared" si="11"/>
        <v>ULSPPR_IDR</v>
      </c>
    </row>
    <row r="767" spans="1:9">
      <c r="A767" t="s">
        <v>1440</v>
      </c>
      <c r="B767" t="s">
        <v>1441</v>
      </c>
      <c r="C767">
        <v>13</v>
      </c>
      <c r="D767">
        <v>32750</v>
      </c>
      <c r="E767">
        <v>665000</v>
      </c>
      <c r="F767">
        <v>156142.741174</v>
      </c>
      <c r="G767" s="55"/>
      <c r="H767" s="66" t="str">
        <f>IF(OR(LEFT(B767,FIND("_",B767,1)-1)="ULGALLOC",LEFT(B767,FIND("_",B767,1)-1)="ULSPOOL"),LEFT(B767,FIND("_",B767,1)-1),VLOOKUP(LEFT(A767,6),'Code Library'!$D$3:$E$200,2,0))&amp;"_"&amp;RIGHT(A767,3)</f>
        <v>RSLPP_USD</v>
      </c>
      <c r="I767" s="66" t="str">
        <f t="shared" si="11"/>
        <v>ULSPPR_USD</v>
      </c>
    </row>
    <row r="768" spans="1:9">
      <c r="A768" t="s">
        <v>1442</v>
      </c>
      <c r="B768" t="s">
        <v>1443</v>
      </c>
      <c r="C768">
        <v>176</v>
      </c>
      <c r="D768">
        <v>761559996</v>
      </c>
      <c r="E768">
        <v>24321000000</v>
      </c>
      <c r="F768">
        <v>7873781297.9971704</v>
      </c>
      <c r="G768" s="55"/>
      <c r="H768" s="66" t="str">
        <f>IF(OR(LEFT(B768,FIND("_",B768,1)-1)="ULGALLOC",LEFT(B768,FIND("_",B768,1)-1)="ULSPOOL"),LEFT(B768,FIND("_",B768,1)-1),VLOOKUP(LEFT(A768,6),'Code Library'!$D$3:$E$200,2,0))&amp;"_"&amp;RIGHT(A768,3)</f>
        <v>SLSS_IDR</v>
      </c>
      <c r="I768" s="66" t="str">
        <f t="shared" si="11"/>
        <v>ULSS___IDR</v>
      </c>
    </row>
    <row r="769" spans="1:9">
      <c r="A769" t="s">
        <v>1444</v>
      </c>
      <c r="B769" t="s">
        <v>1445</v>
      </c>
      <c r="C769">
        <v>3</v>
      </c>
      <c r="D769">
        <v>2700</v>
      </c>
      <c r="E769">
        <v>45000</v>
      </c>
      <c r="F769">
        <v>34586.810802400003</v>
      </c>
      <c r="G769" s="55"/>
      <c r="H769" s="66" t="str">
        <f>IF(OR(LEFT(B769,FIND("_",B769,1)-1)="ULGALLOC",LEFT(B769,FIND("_",B769,1)-1)="ULSPOOL"),LEFT(B769,FIND("_",B769,1)-1),VLOOKUP(LEFT(A769,6),'Code Library'!$D$3:$E$200,2,0))&amp;"_"&amp;RIGHT(A769,3)</f>
        <v>SLSS_USD</v>
      </c>
      <c r="I769" s="66" t="str">
        <f t="shared" si="11"/>
        <v>ULSS___USD</v>
      </c>
    </row>
    <row r="770" spans="1:9">
      <c r="A770" t="s">
        <v>1446</v>
      </c>
      <c r="B770" t="s">
        <v>1447</v>
      </c>
      <c r="C770">
        <v>78</v>
      </c>
      <c r="D770">
        <v>885112008.08000004</v>
      </c>
      <c r="E770">
        <v>39300000000</v>
      </c>
      <c r="F770">
        <v>5603125884.85991</v>
      </c>
      <c r="G770" s="55"/>
      <c r="H770" s="66" t="str">
        <f>IF(OR(LEFT(B770,FIND("_",B770,1)-1)="ULGALLOC",LEFT(B770,FIND("_",B770,1)-1)="ULSPOOL"),LEFT(B770,FIND("_",B770,1)-1),VLOOKUP(LEFT(A770,6),'Code Library'!$D$3:$E$200,2,0))&amp;"_"&amp;RIGHT(A770,3)</f>
        <v>SLSA_IDR</v>
      </c>
      <c r="I770" s="66" t="str">
        <f t="shared" si="11"/>
        <v>ULSSA__IDR</v>
      </c>
    </row>
    <row r="771" spans="1:9">
      <c r="A771" t="s">
        <v>1448</v>
      </c>
      <c r="B771" t="s">
        <v>1449</v>
      </c>
      <c r="C771">
        <v>357</v>
      </c>
      <c r="D771">
        <v>2242492000</v>
      </c>
      <c r="E771">
        <v>123622800000</v>
      </c>
      <c r="F771">
        <v>7568244631.0400696</v>
      </c>
      <c r="G771" s="55"/>
      <c r="H771" s="66" t="str">
        <f>IF(OR(LEFT(B771,FIND("_",B771,1)-1)="ULGALLOC",LEFT(B771,FIND("_",B771,1)-1)="ULSPOOL"),LEFT(B771,FIND("_",B771,1)-1),VLOOKUP(LEFT(A771,6),'Code Library'!$D$3:$E$200,2,0))&amp;"_"&amp;RIGHT(A771,3)</f>
        <v>SLSA2_IDR</v>
      </c>
      <c r="I771" s="66" t="str">
        <f t="shared" ref="I771:I834" si="12">A771</f>
        <v>ULSSA2_IDR</v>
      </c>
    </row>
    <row r="772" spans="1:9">
      <c r="A772" t="s">
        <v>1448</v>
      </c>
      <c r="B772" t="s">
        <v>1450</v>
      </c>
      <c r="C772">
        <v>125</v>
      </c>
      <c r="D772">
        <v>912760000</v>
      </c>
      <c r="E772">
        <v>46284000000</v>
      </c>
      <c r="F772">
        <v>3287249310.9232798</v>
      </c>
      <c r="G772" s="55"/>
      <c r="H772" s="66" t="str">
        <f>IF(OR(LEFT(B772,FIND("_",B772,1)-1)="ULGALLOC",LEFT(B772,FIND("_",B772,1)-1)="ULSPOOL"),LEFT(B772,FIND("_",B772,1)-1),VLOOKUP(LEFT(A772,6),'Code Library'!$D$3:$E$200,2,0))&amp;"_"&amp;RIGHT(A772,3)</f>
        <v>SLSA2_IDR</v>
      </c>
      <c r="I772" s="66" t="str">
        <f t="shared" si="12"/>
        <v>ULSSA2_IDR</v>
      </c>
    </row>
    <row r="773" spans="1:9">
      <c r="A773" t="s">
        <v>1448</v>
      </c>
      <c r="B773" t="s">
        <v>1451</v>
      </c>
      <c r="C773">
        <v>81</v>
      </c>
      <c r="D773">
        <v>656480000</v>
      </c>
      <c r="E773">
        <v>36117850000</v>
      </c>
      <c r="F773">
        <v>1681192896.43399</v>
      </c>
      <c r="G773" s="55"/>
      <c r="H773" s="66" t="str">
        <f>IF(OR(LEFT(B773,FIND("_",B773,1)-1)="ULGALLOC",LEFT(B773,FIND("_",B773,1)-1)="ULSPOOL"),LEFT(B773,FIND("_",B773,1)-1),VLOOKUP(LEFT(A773,6),'Code Library'!$D$3:$E$200,2,0))&amp;"_"&amp;RIGHT(A773,3)</f>
        <v>SLSA2_IDR</v>
      </c>
      <c r="I773" s="66" t="str">
        <f t="shared" si="12"/>
        <v>ULSSA2_IDR</v>
      </c>
    </row>
    <row r="774" spans="1:9">
      <c r="A774" t="s">
        <v>1448</v>
      </c>
      <c r="B774" t="s">
        <v>1452</v>
      </c>
      <c r="C774">
        <v>69</v>
      </c>
      <c r="D774">
        <v>489540000</v>
      </c>
      <c r="E774">
        <v>29062000000</v>
      </c>
      <c r="F774">
        <v>1050907164.9003299</v>
      </c>
      <c r="G774" s="55"/>
      <c r="H774" s="66" t="str">
        <f>IF(OR(LEFT(B774,FIND("_",B774,1)-1)="ULGALLOC",LEFT(B774,FIND("_",B774,1)-1)="ULSPOOL"),LEFT(B774,FIND("_",B774,1)-1),VLOOKUP(LEFT(A774,6),'Code Library'!$D$3:$E$200,2,0))&amp;"_"&amp;RIGHT(A774,3)</f>
        <v>SLSA2_IDR</v>
      </c>
      <c r="I774" s="66" t="str">
        <f t="shared" si="12"/>
        <v>ULSSA2_IDR</v>
      </c>
    </row>
    <row r="775" spans="1:9">
      <c r="A775" t="s">
        <v>1448</v>
      </c>
      <c r="B775" t="s">
        <v>1453</v>
      </c>
      <c r="C775">
        <v>62</v>
      </c>
      <c r="D775">
        <v>526999992</v>
      </c>
      <c r="E775">
        <v>32985000000</v>
      </c>
      <c r="F775">
        <v>1119390319.5690501</v>
      </c>
      <c r="G775" s="55"/>
      <c r="H775" s="66" t="str">
        <f>IF(OR(LEFT(B775,FIND("_",B775,1)-1)="ULGALLOC",LEFT(B775,FIND("_",B775,1)-1)="ULSPOOL"),LEFT(B775,FIND("_",B775,1)-1),VLOOKUP(LEFT(A775,6),'Code Library'!$D$3:$E$200,2,0))&amp;"_"&amp;RIGHT(A775,3)</f>
        <v>SLSA2_IDR</v>
      </c>
      <c r="I775" s="66" t="str">
        <f t="shared" si="12"/>
        <v>ULSSA2_IDR</v>
      </c>
    </row>
    <row r="776" spans="1:9">
      <c r="A776" t="s">
        <v>1448</v>
      </c>
      <c r="B776" t="s">
        <v>1454</v>
      </c>
      <c r="C776">
        <v>89</v>
      </c>
      <c r="D776">
        <v>751200000</v>
      </c>
      <c r="E776">
        <v>33620000000</v>
      </c>
      <c r="F776">
        <v>2398860660.48559</v>
      </c>
      <c r="H776" s="66" t="str">
        <f>IF(OR(LEFT(B776,FIND("_",B776,1)-1)="ULGALLOC",LEFT(B776,FIND("_",B776,1)-1)="ULSPOOL"),LEFT(B776,FIND("_",B776,1)-1),VLOOKUP(LEFT(A776,6),'Code Library'!$D$3:$E$200,2,0))&amp;"_"&amp;RIGHT(A776,3)</f>
        <v>SLSA2_IDR</v>
      </c>
      <c r="I776" s="66" t="str">
        <f t="shared" si="12"/>
        <v>ULSSA2_IDR</v>
      </c>
    </row>
    <row r="777" spans="1:9">
      <c r="A777" t="s">
        <v>1448</v>
      </c>
      <c r="B777" t="s">
        <v>1455</v>
      </c>
      <c r="C777">
        <v>10</v>
      </c>
      <c r="D777">
        <v>122400000</v>
      </c>
      <c r="E777">
        <v>5432000000</v>
      </c>
      <c r="F777">
        <v>174155566.26612899</v>
      </c>
      <c r="H777" s="66" t="str">
        <f>IF(OR(LEFT(B777,FIND("_",B777,1)-1)="ULGALLOC",LEFT(B777,FIND("_",B777,1)-1)="ULSPOOL"),LEFT(B777,FIND("_",B777,1)-1),VLOOKUP(LEFT(A777,6),'Code Library'!$D$3:$E$200,2,0))&amp;"_"&amp;RIGHT(A777,3)</f>
        <v>SLSA2_IDR</v>
      </c>
      <c r="I777" s="66" t="str">
        <f t="shared" si="12"/>
        <v>ULSSA2_IDR</v>
      </c>
    </row>
    <row r="778" spans="1:9">
      <c r="A778" t="s">
        <v>1456</v>
      </c>
      <c r="B778" t="s">
        <v>1457</v>
      </c>
      <c r="C778">
        <v>4</v>
      </c>
      <c r="D778">
        <v>21600000</v>
      </c>
      <c r="E778">
        <v>1375000000</v>
      </c>
      <c r="F778">
        <v>29593944.141394001</v>
      </c>
      <c r="G778" s="55"/>
      <c r="H778" s="66" t="str">
        <f>IF(OR(LEFT(B778,FIND("_",B778,1)-1)="ULGALLOC",LEFT(B778,FIND("_",B778,1)-1)="ULSPOOL"),LEFT(B778,FIND("_",B778,1)-1),VLOOKUP(LEFT(A778,6),'Code Library'!$D$3:$E$200,2,0))&amp;"_"&amp;RIGHT(A778,3)</f>
        <v>SLSA2_IDR</v>
      </c>
      <c r="I778" s="66" t="str">
        <f t="shared" si="12"/>
        <v>ULSSA2A_IDR</v>
      </c>
    </row>
    <row r="779" spans="1:9">
      <c r="A779" t="s">
        <v>1456</v>
      </c>
      <c r="B779" t="s">
        <v>1458</v>
      </c>
      <c r="C779">
        <v>26</v>
      </c>
      <c r="D779">
        <v>161700000</v>
      </c>
      <c r="E779">
        <v>8881000000</v>
      </c>
      <c r="F779">
        <v>216078703.777504</v>
      </c>
      <c r="G779" s="55"/>
      <c r="H779" s="66" t="str">
        <f>IF(OR(LEFT(B779,FIND("_",B779,1)-1)="ULGALLOC",LEFT(B779,FIND("_",B779,1)-1)="ULSPOOL"),LEFT(B779,FIND("_",B779,1)-1),VLOOKUP(LEFT(A779,6),'Code Library'!$D$3:$E$200,2,0))&amp;"_"&amp;RIGHT(A779,3)</f>
        <v>SLSA2_IDR</v>
      </c>
      <c r="I779" s="66" t="str">
        <f t="shared" si="12"/>
        <v>ULSSA2A_IDR</v>
      </c>
    </row>
    <row r="780" spans="1:9">
      <c r="A780" t="s">
        <v>1456</v>
      </c>
      <c r="B780" t="s">
        <v>1459</v>
      </c>
      <c r="C780">
        <v>35</v>
      </c>
      <c r="D780">
        <v>520400000</v>
      </c>
      <c r="E780">
        <v>20075000000</v>
      </c>
      <c r="F780">
        <v>750206753.17010295</v>
      </c>
      <c r="G780" s="55"/>
      <c r="H780" s="66" t="str">
        <f>IF(OR(LEFT(B780,FIND("_",B780,1)-1)="ULGALLOC",LEFT(B780,FIND("_",B780,1)-1)="ULSPOOL"),LEFT(B780,FIND("_",B780,1)-1),VLOOKUP(LEFT(A780,6),'Code Library'!$D$3:$E$200,2,0))&amp;"_"&amp;RIGHT(A780,3)</f>
        <v>SLSA2_IDR</v>
      </c>
      <c r="I780" s="66" t="str">
        <f t="shared" si="12"/>
        <v>ULSSA2A_IDR</v>
      </c>
    </row>
    <row r="781" spans="1:9">
      <c r="A781" t="s">
        <v>1456</v>
      </c>
      <c r="B781" t="s">
        <v>2285</v>
      </c>
      <c r="C781">
        <v>11</v>
      </c>
      <c r="D781">
        <v>47000000</v>
      </c>
      <c r="E781">
        <v>2405000000</v>
      </c>
      <c r="F781">
        <v>51869473.067385003</v>
      </c>
      <c r="G781" s="55"/>
      <c r="H781" s="66" t="str">
        <f>IF(OR(LEFT(B781,FIND("_",B781,1)-1)="ULGALLOC",LEFT(B781,FIND("_",B781,1)-1)="ULSPOOL"),LEFT(B781,FIND("_",B781,1)-1),VLOOKUP(LEFT(A781,6),'Code Library'!$D$3:$E$200,2,0))&amp;"_"&amp;RIGHT(A781,3)</f>
        <v>SLSA2_IDR</v>
      </c>
      <c r="I781" s="66" t="str">
        <f t="shared" si="12"/>
        <v>ULSSA2A_IDR</v>
      </c>
    </row>
    <row r="782" spans="1:9">
      <c r="A782" t="s">
        <v>1460</v>
      </c>
      <c r="B782" t="s">
        <v>1461</v>
      </c>
      <c r="C782">
        <v>103</v>
      </c>
      <c r="D782">
        <v>4521000000</v>
      </c>
      <c r="E782">
        <v>37075000000</v>
      </c>
      <c r="F782">
        <v>12640180771.586599</v>
      </c>
      <c r="G782" s="55"/>
      <c r="H782" s="66" t="str">
        <f>IF(OR(LEFT(B782,FIND("_",B782,1)-1)="ULGALLOC",LEFT(B782,FIND("_",B782,1)-1)="ULSPOOL"),LEFT(B782,FIND("_",B782,1)-1),VLOOKUP(LEFT(A782,6),'Code Library'!$D$3:$E$200,2,0))&amp;"_"&amp;RIGHT(A782,3)</f>
        <v>SLSSP_IDR</v>
      </c>
      <c r="I782" s="66" t="str">
        <f t="shared" si="12"/>
        <v>ULSSP__IDR</v>
      </c>
    </row>
    <row r="783" spans="1:9">
      <c r="A783" t="s">
        <v>1462</v>
      </c>
      <c r="B783" t="s">
        <v>1463</v>
      </c>
      <c r="C783">
        <v>63</v>
      </c>
      <c r="D783">
        <v>4293000000</v>
      </c>
      <c r="E783">
        <v>38290000000</v>
      </c>
      <c r="F783">
        <v>9460239589.1150894</v>
      </c>
      <c r="H783" s="66" t="str">
        <f>IF(OR(LEFT(B783,FIND("_",B783,1)-1)="ULGALLOC",LEFT(B783,FIND("_",B783,1)-1)="ULSPOOL"),LEFT(B783,FIND("_",B783,1)-1),VLOOKUP(LEFT(A783,6),'Code Library'!$D$3:$E$200,2,0))&amp;"_"&amp;RIGHT(A783,3)</f>
        <v>ASSP1_IDR</v>
      </c>
      <c r="I783" s="66" t="str">
        <f t="shared" si="12"/>
        <v>ULSSP1_IDR</v>
      </c>
    </row>
    <row r="784" spans="1:9">
      <c r="A784" t="s">
        <v>1464</v>
      </c>
      <c r="B784" t="s">
        <v>1465</v>
      </c>
      <c r="C784">
        <v>25</v>
      </c>
      <c r="D784">
        <v>1805000000</v>
      </c>
      <c r="E784">
        <v>17750000000</v>
      </c>
      <c r="F784">
        <v>4556771075.5243998</v>
      </c>
      <c r="G784" s="55"/>
      <c r="H784" s="66" t="str">
        <f>IF(OR(LEFT(B784,FIND("_",B784,1)-1)="ULGALLOC",LEFT(B784,FIND("_",B784,1)-1)="ULSPOOL"),LEFT(B784,FIND("_",B784,1)-1),VLOOKUP(LEFT(A784,6),'Code Library'!$D$3:$E$200,2,0))&amp;"_"&amp;RIGHT(A784,3)</f>
        <v>ASSP2_IDR</v>
      </c>
      <c r="I784" s="66" t="str">
        <f t="shared" si="12"/>
        <v>ULSSP2_IDR</v>
      </c>
    </row>
    <row r="785" spans="1:9">
      <c r="A785" t="s">
        <v>1464</v>
      </c>
      <c r="B785" t="s">
        <v>1466</v>
      </c>
      <c r="C785">
        <v>1</v>
      </c>
      <c r="D785">
        <v>25000000</v>
      </c>
      <c r="E785">
        <v>125000000</v>
      </c>
      <c r="F785">
        <v>104200992</v>
      </c>
      <c r="G785" s="55"/>
      <c r="H785" s="66" t="str">
        <f>IF(OR(LEFT(B785,FIND("_",B785,1)-1)="ULGALLOC",LEFT(B785,FIND("_",B785,1)-1)="ULSPOOL"),LEFT(B785,FIND("_",B785,1)-1),VLOOKUP(LEFT(A785,6),'Code Library'!$D$3:$E$200,2,0))&amp;"_"&amp;RIGHT(A785,3)</f>
        <v>ASSP2_IDR</v>
      </c>
      <c r="I785" s="66" t="str">
        <f t="shared" si="12"/>
        <v>ULSSP2_IDR</v>
      </c>
    </row>
    <row r="786" spans="1:9">
      <c r="A786" t="s">
        <v>1467</v>
      </c>
      <c r="B786" t="s">
        <v>1468</v>
      </c>
      <c r="C786">
        <v>47</v>
      </c>
      <c r="D786">
        <v>1900000000</v>
      </c>
      <c r="E786">
        <v>17900000000</v>
      </c>
      <c r="F786">
        <v>6851493656</v>
      </c>
      <c r="G786" s="55"/>
      <c r="H786" s="66" t="str">
        <f>IF(OR(LEFT(B786,FIND("_",B786,1)-1)="ULGALLOC",LEFT(B786,FIND("_",B786,1)-1)="ULSPOOL"),LEFT(B786,FIND("_",B786,1)-1),VLOOKUP(LEFT(A786,6),'Code Library'!$D$3:$E$200,2,0))&amp;"_"&amp;RIGHT(A786,3)</f>
        <v>RLSSP_IDR</v>
      </c>
      <c r="I786" s="66" t="str">
        <f t="shared" si="12"/>
        <v>ULSSPR_IDR</v>
      </c>
    </row>
    <row r="787" spans="1:9">
      <c r="A787" t="s">
        <v>1469</v>
      </c>
      <c r="B787" t="s">
        <v>1470</v>
      </c>
      <c r="C787">
        <v>2100</v>
      </c>
      <c r="D787">
        <v>10942799984</v>
      </c>
      <c r="E787">
        <v>314414200040</v>
      </c>
      <c r="F787">
        <v>95950486652.801102</v>
      </c>
      <c r="G787" s="55"/>
      <c r="H787" s="66" t="str">
        <f>IF(OR(LEFT(B787,FIND("_",B787,1)-1)="ULGALLOC",LEFT(B787,FIND("_",B787,1)-1)="ULSPOOL"),LEFT(B787,FIND("_",B787,1)-1),VLOOKUP(LEFT(A787,6),'Code Library'!$D$3:$E$200,2,0))&amp;"_"&amp;RIGHT(A787,3)</f>
        <v>RSLSS_IDR</v>
      </c>
      <c r="I787" s="66" t="str">
        <f t="shared" si="12"/>
        <v>ULSSR__IDR</v>
      </c>
    </row>
    <row r="788" spans="1:9">
      <c r="A788" t="s">
        <v>1471</v>
      </c>
      <c r="B788" t="s">
        <v>1472</v>
      </c>
      <c r="C788">
        <v>14</v>
      </c>
      <c r="D788">
        <v>13650</v>
      </c>
      <c r="E788">
        <v>462000</v>
      </c>
      <c r="F788">
        <v>210324.6436604</v>
      </c>
      <c r="G788" s="55"/>
      <c r="H788" s="66" t="str">
        <f>IF(OR(LEFT(B788,FIND("_",B788,1)-1)="ULGALLOC",LEFT(B788,FIND("_",B788,1)-1)="ULSPOOL"),LEFT(B788,FIND("_",B788,1)-1),VLOOKUP(LEFT(A788,6),'Code Library'!$D$3:$E$200,2,0))&amp;"_"&amp;RIGHT(A788,3)</f>
        <v>RSLSS_USD</v>
      </c>
      <c r="I788" s="66" t="str">
        <f t="shared" si="12"/>
        <v>ULSSR__USD</v>
      </c>
    </row>
    <row r="789" spans="1:9">
      <c r="A789" t="s">
        <v>1473</v>
      </c>
      <c r="B789" t="s">
        <v>1474</v>
      </c>
      <c r="C789">
        <v>1482</v>
      </c>
      <c r="D789">
        <v>70498872680</v>
      </c>
      <c r="E789">
        <v>993264999999</v>
      </c>
      <c r="F789">
        <v>121722167827.883</v>
      </c>
      <c r="G789" s="55"/>
      <c r="H789" s="66" t="str">
        <f>IF(OR(LEFT(B789,FIND("_",B789,1)-1)="ULGALLOC",LEFT(B789,FIND("_",B789,1)-1)="ULSPOOL"),LEFT(B789,FIND("_",B789,1)-1),VLOOKUP(LEFT(A789,6),'Code Library'!$D$3:$E$200,2,0))&amp;"_"&amp;RIGHT(A789,3)</f>
        <v>SLUS_IDR</v>
      </c>
      <c r="I789" s="66" t="str">
        <f t="shared" si="12"/>
        <v>ULSUS__IDR</v>
      </c>
    </row>
    <row r="790" spans="1:9">
      <c r="A790" t="s">
        <v>1473</v>
      </c>
      <c r="B790" t="s">
        <v>1475</v>
      </c>
      <c r="C790">
        <v>1</v>
      </c>
      <c r="D790">
        <v>50000000</v>
      </c>
      <c r="E790">
        <v>500000000</v>
      </c>
      <c r="F790">
        <v>59310527</v>
      </c>
      <c r="G790" s="55"/>
      <c r="H790" s="66" t="str">
        <f>IF(OR(LEFT(B790,FIND("_",B790,1)-1)="ULGALLOC",LEFT(B790,FIND("_",B790,1)-1)="ULSPOOL"),LEFT(B790,FIND("_",B790,1)-1),VLOOKUP(LEFT(A790,6),'Code Library'!$D$3:$E$200,2,0))&amp;"_"&amp;RIGHT(A790,3)</f>
        <v>SLUS_IDR</v>
      </c>
      <c r="I790" s="66" t="str">
        <f t="shared" si="12"/>
        <v>ULSUS__IDR</v>
      </c>
    </row>
    <row r="791" spans="1:9">
      <c r="A791" t="s">
        <v>1476</v>
      </c>
      <c r="B791" t="s">
        <v>1477</v>
      </c>
      <c r="C791">
        <v>16</v>
      </c>
      <c r="D791">
        <v>320000000</v>
      </c>
      <c r="E791">
        <v>900000000</v>
      </c>
      <c r="F791">
        <v>771251276.53955102</v>
      </c>
      <c r="G791" s="55"/>
      <c r="H791" s="66" t="str">
        <f>IF(OR(LEFT(B791,FIND("_",B791,1)-1)="ULGALLOC",LEFT(B791,FIND("_",B791,1)-1)="ULSPOOL"),LEFT(B791,FIND("_",B791,1)-1),VLOOKUP(LEFT(A791,6),'Code Library'!$D$3:$E$200,2,0))&amp;"_"&amp;RIGHT(A791,3)</f>
        <v>SLVM1_IDR</v>
      </c>
      <c r="I791" s="66" t="str">
        <f t="shared" si="12"/>
        <v>ULSVM1_IDR</v>
      </c>
    </row>
    <row r="792" spans="1:9">
      <c r="A792" t="s">
        <v>1478</v>
      </c>
      <c r="B792" t="s">
        <v>1479</v>
      </c>
      <c r="C792">
        <v>16</v>
      </c>
      <c r="D792">
        <v>320000000</v>
      </c>
      <c r="E792">
        <v>1450000000</v>
      </c>
      <c r="F792">
        <v>1533572695.54492</v>
      </c>
      <c r="G792" s="55"/>
      <c r="H792" s="66" t="str">
        <f>IF(OR(LEFT(B792,FIND("_",B792,1)-1)="ULGALLOC",LEFT(B792,FIND("_",B792,1)-1)="ULSPOOL"),LEFT(B792,FIND("_",B792,1)-1),VLOOKUP(LEFT(A792,6),'Code Library'!$D$3:$E$200,2,0))&amp;"_"&amp;RIGHT(A792,3)</f>
        <v>SLVM2_IDR</v>
      </c>
      <c r="I792" s="66" t="str">
        <f t="shared" si="12"/>
        <v>ULSVM2_IDR</v>
      </c>
    </row>
    <row r="793" spans="1:9">
      <c r="A793" t="s">
        <v>1480</v>
      </c>
      <c r="B793" t="s">
        <v>1481</v>
      </c>
      <c r="C793">
        <v>7</v>
      </c>
      <c r="D793">
        <v>140000000</v>
      </c>
      <c r="E793">
        <v>500000000</v>
      </c>
      <c r="F793">
        <v>1860261009.79581</v>
      </c>
      <c r="G793" s="55"/>
      <c r="H793" s="66" t="str">
        <f>IF(OR(LEFT(B793,FIND("_",B793,1)-1)="ULGALLOC",LEFT(B793,FIND("_",B793,1)-1)="ULSPOOL"),LEFT(B793,FIND("_",B793,1)-1),VLOOKUP(LEFT(A793,6),'Code Library'!$D$3:$E$200,2,0))&amp;"_"&amp;RIGHT(A793,3)</f>
        <v>SLVM3_IDR</v>
      </c>
      <c r="I793" s="66" t="str">
        <f t="shared" si="12"/>
        <v>ULSVM3_IDR</v>
      </c>
    </row>
    <row r="794" spans="1:9">
      <c r="A794" t="s">
        <v>1482</v>
      </c>
      <c r="B794" t="s">
        <v>1483</v>
      </c>
      <c r="C794">
        <v>165</v>
      </c>
      <c r="D794">
        <v>11889999996</v>
      </c>
      <c r="E794">
        <v>146175000000</v>
      </c>
      <c r="F794">
        <v>25952044102.870701</v>
      </c>
      <c r="G794" s="55"/>
      <c r="H794" s="66" t="str">
        <f>IF(OR(LEFT(B794,FIND("_",B794,1)-1)="ULGALLOC",LEFT(B794,FIND("_",B794,1)-1)="ULSPOOL"),LEFT(B794,FIND("_",B794,1)-1),VLOOKUP(LEFT(A794,6),'Code Library'!$D$3:$E$200,2,0))&amp;"_"&amp;RIGHT(A794,3)</f>
        <v>SLVP_IDR</v>
      </c>
      <c r="I794" s="66" t="str">
        <f t="shared" si="12"/>
        <v>ULSVP__IDR</v>
      </c>
    </row>
    <row r="795" spans="1:9">
      <c r="A795" t="s">
        <v>1484</v>
      </c>
      <c r="B795" t="s">
        <v>1485</v>
      </c>
      <c r="C795">
        <v>3</v>
      </c>
      <c r="D795">
        <v>600000000</v>
      </c>
      <c r="E795">
        <v>750000000</v>
      </c>
      <c r="F795">
        <v>1000037145</v>
      </c>
      <c r="H795" s="66" t="str">
        <f>IF(OR(LEFT(B795,FIND("_",B795,1)-1)="ULGALLOC",LEFT(B795,FIND("_",B795,1)-1)="ULSPOOL"),LEFT(B795,FIND("_",B795,1)-1),VLOOKUP(LEFT(A795,6),'Code Library'!$D$3:$E$200,2,0))&amp;"_"&amp;RIGHT(A795,3)</f>
        <v>UML_IDR</v>
      </c>
      <c r="I795" s="66" t="str">
        <f t="shared" si="12"/>
        <v>ULUML__IDR</v>
      </c>
    </row>
    <row r="796" spans="1:9">
      <c r="A796" t="s">
        <v>1486</v>
      </c>
      <c r="B796" t="s">
        <v>2286</v>
      </c>
      <c r="C796">
        <v>18</v>
      </c>
      <c r="D796">
        <v>3139999996</v>
      </c>
      <c r="E796">
        <v>93000000000</v>
      </c>
      <c r="F796">
        <v>6351234293.7552204</v>
      </c>
      <c r="G796" s="55"/>
      <c r="H796" s="66" t="str">
        <f>IF(OR(LEFT(B796,FIND("_",B796,1)-1)="ULGALLOC",LEFT(B796,FIND("_",B796,1)-1)="ULSPOOL"),LEFT(B796,FIND("_",B796,1)-1),VLOOKUP(LEFT(A796,6),'Code Library'!$D$3:$E$200,2,0))&amp;"_"&amp;RIGHT(A796,3)</f>
        <v>AWPL2_IDR</v>
      </c>
      <c r="I796" s="66" t="str">
        <f t="shared" si="12"/>
        <v>ULWPL2_IDR</v>
      </c>
    </row>
    <row r="797" spans="1:9">
      <c r="A797" t="s">
        <v>1486</v>
      </c>
      <c r="B797" t="s">
        <v>2620</v>
      </c>
      <c r="C797">
        <v>14</v>
      </c>
      <c r="D797">
        <v>2175000000</v>
      </c>
      <c r="E797">
        <v>75046735522</v>
      </c>
      <c r="F797">
        <v>1700496962</v>
      </c>
      <c r="H797" s="66" t="str">
        <f>IF(OR(LEFT(B797,FIND("_",B797,1)-1)="ULGALLOC",LEFT(B797,FIND("_",B797,1)-1)="ULSPOOL"),LEFT(B797,FIND("_",B797,1)-1),VLOOKUP(LEFT(A797,6),'Code Library'!$D$3:$E$200,2,0))&amp;"_"&amp;RIGHT(A797,3)</f>
        <v>AWPL2_IDR</v>
      </c>
      <c r="I797" s="66" t="str">
        <f t="shared" si="12"/>
        <v>ULWPL2_IDR</v>
      </c>
    </row>
    <row r="798" spans="1:9">
      <c r="A798" t="s">
        <v>1487</v>
      </c>
      <c r="B798" t="s">
        <v>2287</v>
      </c>
      <c r="C798">
        <v>9</v>
      </c>
      <c r="D798">
        <v>195400</v>
      </c>
      <c r="E798">
        <v>3846000</v>
      </c>
      <c r="F798">
        <v>442121.46865669999</v>
      </c>
      <c r="G798" s="55"/>
      <c r="H798" s="66" t="str">
        <f>IF(OR(LEFT(B798,FIND("_",B798,1)-1)="ULGALLOC",LEFT(B798,FIND("_",B798,1)-1)="ULSPOOL"),LEFT(B798,FIND("_",B798,1)-1),VLOOKUP(LEFT(A798,6),'Code Library'!$D$3:$E$200,2,0))&amp;"_"&amp;RIGHT(A798,3)</f>
        <v>AWPL2_USD</v>
      </c>
      <c r="I798" s="66" t="str">
        <f t="shared" si="12"/>
        <v>ULWPL2_USD</v>
      </c>
    </row>
    <row r="799" spans="1:9">
      <c r="A799" t="s">
        <v>1487</v>
      </c>
      <c r="B799" t="s">
        <v>2621</v>
      </c>
      <c r="C799">
        <v>9</v>
      </c>
      <c r="D799">
        <v>147000</v>
      </c>
      <c r="E799">
        <v>3420000</v>
      </c>
      <c r="F799">
        <v>106900.20661931</v>
      </c>
      <c r="H799" s="66" t="str">
        <f>IF(OR(LEFT(B799,FIND("_",B799,1)-1)="ULGALLOC",LEFT(B799,FIND("_",B799,1)-1)="ULSPOOL"),LEFT(B799,FIND("_",B799,1)-1),VLOOKUP(LEFT(A799,6),'Code Library'!$D$3:$E$200,2,0))&amp;"_"&amp;RIGHT(A799,3)</f>
        <v>AWPL2_USD</v>
      </c>
      <c r="I799" s="66" t="str">
        <f t="shared" si="12"/>
        <v>ULWPL2_USD</v>
      </c>
    </row>
    <row r="800" spans="1:9">
      <c r="A800" t="s">
        <v>1486</v>
      </c>
      <c r="B800" t="s">
        <v>2288</v>
      </c>
      <c r="C800">
        <v>5</v>
      </c>
      <c r="D800">
        <v>890000000</v>
      </c>
      <c r="E800">
        <v>34000000000</v>
      </c>
      <c r="F800">
        <v>1061364726</v>
      </c>
      <c r="G800" s="55"/>
      <c r="H800" s="66" t="str">
        <f>IF(OR(LEFT(B800,FIND("_",B800,1)-1)="ULGALLOC",LEFT(B800,FIND("_",B800,1)-1)="ULSPOOL"),LEFT(B800,FIND("_",B800,1)-1),VLOOKUP(LEFT(A800,6),'Code Library'!$D$3:$E$200,2,0))&amp;"_"&amp;RIGHT(A800,3)</f>
        <v>AWPL2_IDR</v>
      </c>
      <c r="I800" s="66" t="str">
        <f t="shared" si="12"/>
        <v>ULWPL2_IDR</v>
      </c>
    </row>
    <row r="801" spans="1:9">
      <c r="A801" t="s">
        <v>1486</v>
      </c>
      <c r="B801" t="s">
        <v>2622</v>
      </c>
      <c r="C801">
        <v>8</v>
      </c>
      <c r="D801">
        <v>1017000000</v>
      </c>
      <c r="E801">
        <v>43000000000</v>
      </c>
      <c r="F801">
        <v>652398322.95615101</v>
      </c>
      <c r="H801" s="66" t="str">
        <f>IF(OR(LEFT(B801,FIND("_",B801,1)-1)="ULGALLOC",LEFT(B801,FIND("_",B801,1)-1)="ULSPOOL"),LEFT(B801,FIND("_",B801,1)-1),VLOOKUP(LEFT(A801,6),'Code Library'!$D$3:$E$200,2,0))&amp;"_"&amp;RIGHT(A801,3)</f>
        <v>AWPL2_IDR</v>
      </c>
      <c r="I801" s="66" t="str">
        <f t="shared" si="12"/>
        <v>ULWPL2_IDR</v>
      </c>
    </row>
    <row r="802" spans="1:9">
      <c r="A802" t="s">
        <v>1486</v>
      </c>
      <c r="B802" t="s">
        <v>2623</v>
      </c>
      <c r="C802">
        <v>1</v>
      </c>
      <c r="D802">
        <v>120000000</v>
      </c>
      <c r="E802">
        <v>5000000000</v>
      </c>
      <c r="F802">
        <v>82319270</v>
      </c>
      <c r="G802" s="55"/>
      <c r="H802" s="66" t="str">
        <f>IF(OR(LEFT(B802,FIND("_",B802,1)-1)="ULGALLOC",LEFT(B802,FIND("_",B802,1)-1)="ULSPOOL"),LEFT(B802,FIND("_",B802,1)-1),VLOOKUP(LEFT(A802,6),'Code Library'!$D$3:$E$200,2,0))&amp;"_"&amp;RIGHT(A802,3)</f>
        <v>AWPL2_IDR</v>
      </c>
      <c r="I802" s="66" t="str">
        <f t="shared" si="12"/>
        <v>ULWPL2_IDR</v>
      </c>
    </row>
    <row r="803" spans="1:9">
      <c r="A803" t="s">
        <v>1487</v>
      </c>
      <c r="B803" t="s">
        <v>2624</v>
      </c>
      <c r="C803">
        <v>5</v>
      </c>
      <c r="D803">
        <v>60000</v>
      </c>
      <c r="E803">
        <v>1900000</v>
      </c>
      <c r="F803">
        <v>38079</v>
      </c>
      <c r="G803" s="55"/>
      <c r="H803" s="66" t="str">
        <f>IF(OR(LEFT(B803,FIND("_",B803,1)-1)="ULGALLOC",LEFT(B803,FIND("_",B803,1)-1)="ULSPOOL"),LEFT(B803,FIND("_",B803,1)-1),VLOOKUP(LEFT(A803,6),'Code Library'!$D$3:$E$200,2,0))&amp;"_"&amp;RIGHT(A803,3)</f>
        <v>AWPL2_USD</v>
      </c>
      <c r="I803" s="66" t="str">
        <f t="shared" si="12"/>
        <v>ULWPL2_USD</v>
      </c>
    </row>
    <row r="804" spans="1:9">
      <c r="A804" t="s">
        <v>1487</v>
      </c>
      <c r="B804" t="s">
        <v>2625</v>
      </c>
      <c r="C804">
        <v>2</v>
      </c>
      <c r="D804">
        <v>24000</v>
      </c>
      <c r="E804">
        <v>760000</v>
      </c>
      <c r="F804">
        <v>16706</v>
      </c>
      <c r="G804" s="55"/>
      <c r="H804" s="66" t="str">
        <f>IF(OR(LEFT(B804,FIND("_",B804,1)-1)="ULGALLOC",LEFT(B804,FIND("_",B804,1)-1)="ULSPOOL"),LEFT(B804,FIND("_",B804,1)-1),VLOOKUP(LEFT(A804,6),'Code Library'!$D$3:$E$200,2,0))&amp;"_"&amp;RIGHT(A804,3)</f>
        <v>AWPL2_USD</v>
      </c>
      <c r="I804" s="66" t="str">
        <f t="shared" si="12"/>
        <v>ULWPL2_USD</v>
      </c>
    </row>
    <row r="805" spans="1:9">
      <c r="A805" t="s">
        <v>1488</v>
      </c>
      <c r="B805" t="s">
        <v>2289</v>
      </c>
      <c r="C805">
        <v>7</v>
      </c>
      <c r="D805">
        <v>243000000</v>
      </c>
      <c r="E805">
        <v>5675000000</v>
      </c>
      <c r="F805">
        <v>370077859.68436098</v>
      </c>
      <c r="G805" s="55"/>
      <c r="H805" s="66" t="str">
        <f>IF(OR(LEFT(B805,FIND("_",B805,1)-1)="ULGALLOC",LEFT(B805,FIND("_",B805,1)-1)="ULSPOOL"),LEFT(B805,FIND("_",B805,1)-1),VLOOKUP(LEFT(A805,6),'Code Library'!$D$3:$E$200,2,0))&amp;"_"&amp;RIGHT(A805,3)</f>
        <v>AWPR_IDR</v>
      </c>
      <c r="I805" s="66" t="str">
        <f t="shared" si="12"/>
        <v>ULWPR2_IDR</v>
      </c>
    </row>
    <row r="806" spans="1:9">
      <c r="A806" t="s">
        <v>1488</v>
      </c>
      <c r="B806" t="s">
        <v>2626</v>
      </c>
      <c r="C806">
        <v>9</v>
      </c>
      <c r="D806">
        <v>329000000</v>
      </c>
      <c r="E806">
        <v>2185000000</v>
      </c>
      <c r="F806">
        <v>960759705.50484002</v>
      </c>
      <c r="G806" s="55"/>
      <c r="H806" s="66" t="str">
        <f>IF(OR(LEFT(B806,FIND("_",B806,1)-1)="ULGALLOC",LEFT(B806,FIND("_",B806,1)-1)="ULSPOOL"),LEFT(B806,FIND("_",B806,1)-1),VLOOKUP(LEFT(A806,6),'Code Library'!$D$3:$E$200,2,0))&amp;"_"&amp;RIGHT(A806,3)</f>
        <v>AWPR_IDR</v>
      </c>
      <c r="I806" s="66" t="str">
        <f t="shared" si="12"/>
        <v>ULWPR2_IDR</v>
      </c>
    </row>
    <row r="807" spans="1:9">
      <c r="A807" t="s">
        <v>1488</v>
      </c>
      <c r="B807" t="s">
        <v>2627</v>
      </c>
      <c r="C807">
        <v>3</v>
      </c>
      <c r="D807">
        <v>72000000</v>
      </c>
      <c r="E807">
        <v>800000000</v>
      </c>
      <c r="F807">
        <v>37978363</v>
      </c>
      <c r="G807" s="55"/>
      <c r="H807" s="66" t="str">
        <f>IF(OR(LEFT(B807,FIND("_",B807,1)-1)="ULGALLOC",LEFT(B807,FIND("_",B807,1)-1)="ULSPOOL"),LEFT(B807,FIND("_",B807,1)-1),VLOOKUP(LEFT(A807,6),'Code Library'!$D$3:$E$200,2,0))&amp;"_"&amp;RIGHT(A807,3)</f>
        <v>AWPR_IDR</v>
      </c>
      <c r="I807" s="66" t="str">
        <f t="shared" si="12"/>
        <v>ULWPR2_IDR</v>
      </c>
    </row>
    <row r="808" spans="1:9">
      <c r="A808" t="s">
        <v>1488</v>
      </c>
      <c r="B808" t="s">
        <v>2290</v>
      </c>
      <c r="C808">
        <v>5</v>
      </c>
      <c r="D808">
        <v>260000000</v>
      </c>
      <c r="E808">
        <v>2050000000</v>
      </c>
      <c r="F808">
        <v>210247326</v>
      </c>
      <c r="G808" s="55"/>
      <c r="H808" s="66" t="str">
        <f>IF(OR(LEFT(B808,FIND("_",B808,1)-1)="ULGALLOC",LEFT(B808,FIND("_",B808,1)-1)="ULSPOOL"),LEFT(B808,FIND("_",B808,1)-1),VLOOKUP(LEFT(A808,6),'Code Library'!$D$3:$E$200,2,0))&amp;"_"&amp;RIGHT(A808,3)</f>
        <v>AWPR_IDR</v>
      </c>
      <c r="I808" s="66" t="str">
        <f t="shared" si="12"/>
        <v>ULWPR2_IDR</v>
      </c>
    </row>
    <row r="809" spans="1:9">
      <c r="A809" t="s">
        <v>1488</v>
      </c>
      <c r="B809" t="s">
        <v>2628</v>
      </c>
      <c r="C809">
        <v>58</v>
      </c>
      <c r="D809">
        <v>2536000000</v>
      </c>
      <c r="E809">
        <v>61040000000</v>
      </c>
      <c r="F809">
        <v>73923429921.910706</v>
      </c>
      <c r="H809" s="66" t="str">
        <f>IF(OR(LEFT(B809,FIND("_",B809,1)-1)="ULGALLOC",LEFT(B809,FIND("_",B809,1)-1)="ULSPOOL"),LEFT(B809,FIND("_",B809,1)-1),VLOOKUP(LEFT(A809,6),'Code Library'!$D$3:$E$200,2,0))&amp;"_"&amp;RIGHT(A809,3)</f>
        <v>AWPR_IDR</v>
      </c>
      <c r="I809" s="66" t="str">
        <f t="shared" si="12"/>
        <v>ULWPR2_IDR</v>
      </c>
    </row>
    <row r="810" spans="1:9">
      <c r="A810" t="s">
        <v>1488</v>
      </c>
      <c r="B810" t="s">
        <v>2629</v>
      </c>
      <c r="C810">
        <v>6</v>
      </c>
      <c r="D810">
        <v>345000000</v>
      </c>
      <c r="E810">
        <v>4250000000</v>
      </c>
      <c r="F810">
        <v>18291362551.156502</v>
      </c>
      <c r="H810" s="66" t="str">
        <f>IF(OR(LEFT(B810,FIND("_",B810,1)-1)="ULGALLOC",LEFT(B810,FIND("_",B810,1)-1)="ULSPOOL"),LEFT(B810,FIND("_",B810,1)-1),VLOOKUP(LEFT(A810,6),'Code Library'!$D$3:$E$200,2,0))&amp;"_"&amp;RIGHT(A810,3)</f>
        <v>AWPR_IDR</v>
      </c>
      <c r="I810" s="66" t="str">
        <f t="shared" si="12"/>
        <v>ULWPR2_IDR</v>
      </c>
    </row>
    <row r="811" spans="1:9">
      <c r="A811" t="s">
        <v>1489</v>
      </c>
      <c r="B811" t="s">
        <v>2291</v>
      </c>
      <c r="C811">
        <v>1</v>
      </c>
      <c r="D811">
        <v>3500</v>
      </c>
      <c r="E811">
        <v>75000</v>
      </c>
      <c r="F811">
        <v>3379</v>
      </c>
      <c r="H811" s="66" t="str">
        <f>IF(OR(LEFT(B811,FIND("_",B811,1)-1)="ULGALLOC",LEFT(B811,FIND("_",B811,1)-1)="ULSPOOL"),LEFT(B811,FIND("_",B811,1)-1),VLOOKUP(LEFT(A811,6),'Code Library'!$D$3:$E$200,2,0))&amp;"_"&amp;RIGHT(A811,3)</f>
        <v>AWPR_USD</v>
      </c>
      <c r="I811" s="66" t="str">
        <f t="shared" si="12"/>
        <v>ULWPR2_USD</v>
      </c>
    </row>
    <row r="812" spans="1:9">
      <c r="A812" t="s">
        <v>1489</v>
      </c>
      <c r="B812" t="s">
        <v>2630</v>
      </c>
      <c r="C812">
        <v>11</v>
      </c>
      <c r="D812">
        <v>53700</v>
      </c>
      <c r="E812">
        <v>981500</v>
      </c>
      <c r="F812">
        <v>139035.81691488001</v>
      </c>
      <c r="H812" s="66" t="str">
        <f>IF(OR(LEFT(B812,FIND("_",B812,1)-1)="ULGALLOC",LEFT(B812,FIND("_",B812,1)-1)="ULSPOOL"),LEFT(B812,FIND("_",B812,1)-1),VLOOKUP(LEFT(A812,6),'Code Library'!$D$3:$E$200,2,0))&amp;"_"&amp;RIGHT(A812,3)</f>
        <v>AWPR_USD</v>
      </c>
      <c r="I812" s="66" t="str">
        <f t="shared" si="12"/>
        <v>ULWPR2_USD</v>
      </c>
    </row>
    <row r="813" spans="1:9">
      <c r="A813" t="s">
        <v>1488</v>
      </c>
      <c r="B813" t="s">
        <v>2292</v>
      </c>
      <c r="C813">
        <v>24</v>
      </c>
      <c r="D813">
        <v>1619999996</v>
      </c>
      <c r="E813">
        <v>23000000000</v>
      </c>
      <c r="F813">
        <v>3434618119.5280199</v>
      </c>
      <c r="H813" s="66" t="str">
        <f>IF(OR(LEFT(B813,FIND("_",B813,1)-1)="ULGALLOC",LEFT(B813,FIND("_",B813,1)-1)="ULSPOOL"),LEFT(B813,FIND("_",B813,1)-1),VLOOKUP(LEFT(A813,6),'Code Library'!$D$3:$E$200,2,0))&amp;"_"&amp;RIGHT(A813,3)</f>
        <v>AWPR_IDR</v>
      </c>
      <c r="I813" s="66" t="str">
        <f t="shared" si="12"/>
        <v>ULWPR2_IDR</v>
      </c>
    </row>
    <row r="814" spans="1:9">
      <c r="A814" t="s">
        <v>1488</v>
      </c>
      <c r="B814" t="s">
        <v>2631</v>
      </c>
      <c r="C814">
        <v>5</v>
      </c>
      <c r="D814">
        <v>295000000</v>
      </c>
      <c r="E814">
        <v>1475000000</v>
      </c>
      <c r="F814">
        <v>370897284.58865899</v>
      </c>
      <c r="H814" s="66" t="str">
        <f>IF(OR(LEFT(B814,FIND("_",B814,1)-1)="ULGALLOC",LEFT(B814,FIND("_",B814,1)-1)="ULSPOOL"),LEFT(B814,FIND("_",B814,1)-1),VLOOKUP(LEFT(A814,6),'Code Library'!$D$3:$E$200,2,0))&amp;"_"&amp;RIGHT(A814,3)</f>
        <v>AWPR_IDR</v>
      </c>
      <c r="I814" s="66" t="str">
        <f t="shared" si="12"/>
        <v>ULWPR2_IDR</v>
      </c>
    </row>
    <row r="815" spans="1:9">
      <c r="A815" t="s">
        <v>1488</v>
      </c>
      <c r="B815" t="s">
        <v>2632</v>
      </c>
      <c r="C815">
        <v>1</v>
      </c>
      <c r="D815">
        <v>45000000</v>
      </c>
      <c r="E815">
        <v>300000000</v>
      </c>
      <c r="F815">
        <v>25611537</v>
      </c>
      <c r="G815" s="55"/>
      <c r="H815" s="66" t="str">
        <f>IF(OR(LEFT(B815,FIND("_",B815,1)-1)="ULGALLOC",LEFT(B815,FIND("_",B815,1)-1)="ULSPOOL"),LEFT(B815,FIND("_",B815,1)-1),VLOOKUP(LEFT(A815,6),'Code Library'!$D$3:$E$200,2,0))&amp;"_"&amp;RIGHT(A815,3)</f>
        <v>AWPR_IDR</v>
      </c>
      <c r="I815" s="66" t="str">
        <f t="shared" si="12"/>
        <v>ULWPR2_IDR</v>
      </c>
    </row>
    <row r="816" spans="1:9">
      <c r="A816" t="s">
        <v>1489</v>
      </c>
      <c r="B816" t="s">
        <v>2293</v>
      </c>
      <c r="C816">
        <v>1</v>
      </c>
      <c r="D816">
        <v>2500</v>
      </c>
      <c r="E816">
        <v>50000</v>
      </c>
      <c r="F816">
        <v>2634</v>
      </c>
      <c r="H816" s="66" t="str">
        <f>IF(OR(LEFT(B816,FIND("_",B816,1)-1)="ULGALLOC",LEFT(B816,FIND("_",B816,1)-1)="ULSPOOL"),LEFT(B816,FIND("_",B816,1)-1),VLOOKUP(LEFT(A816,6),'Code Library'!$D$3:$E$200,2,0))&amp;"_"&amp;RIGHT(A816,3)</f>
        <v>AWPR_USD</v>
      </c>
      <c r="I816" s="66" t="str">
        <f t="shared" si="12"/>
        <v>ULWPR2_USD</v>
      </c>
    </row>
    <row r="817" spans="1:9">
      <c r="A817" t="s">
        <v>1489</v>
      </c>
      <c r="B817" t="s">
        <v>2633</v>
      </c>
      <c r="C817">
        <v>2</v>
      </c>
      <c r="D817">
        <v>8300</v>
      </c>
      <c r="E817">
        <v>81000</v>
      </c>
      <c r="F817">
        <v>27689.251189449998</v>
      </c>
      <c r="H817" s="66" t="str">
        <f>IF(OR(LEFT(B817,FIND("_",B817,1)-1)="ULGALLOC",LEFT(B817,FIND("_",B817,1)-1)="ULSPOOL"),LEFT(B817,FIND("_",B817,1)-1),VLOOKUP(LEFT(A817,6),'Code Library'!$D$3:$E$200,2,0))&amp;"_"&amp;RIGHT(A817,3)</f>
        <v>AWPR_USD</v>
      </c>
      <c r="I817" s="66" t="str">
        <f t="shared" si="12"/>
        <v>ULWPR2_USD</v>
      </c>
    </row>
    <row r="818" spans="1:9">
      <c r="A818" t="s">
        <v>1488</v>
      </c>
      <c r="B818" t="s">
        <v>2294</v>
      </c>
      <c r="C818">
        <v>8</v>
      </c>
      <c r="D818">
        <v>555000000</v>
      </c>
      <c r="E818">
        <v>7750000000</v>
      </c>
      <c r="F818">
        <v>589124746</v>
      </c>
      <c r="H818" s="66" t="str">
        <f>IF(OR(LEFT(B818,FIND("_",B818,1)-1)="ULGALLOC",LEFT(B818,FIND("_",B818,1)-1)="ULSPOOL"),LEFT(B818,FIND("_",B818,1)-1),VLOOKUP(LEFT(A818,6),'Code Library'!$D$3:$E$200,2,0))&amp;"_"&amp;RIGHT(A818,3)</f>
        <v>AWPR_IDR</v>
      </c>
      <c r="I818" s="66" t="str">
        <f t="shared" si="12"/>
        <v>ULWPR2_IDR</v>
      </c>
    </row>
    <row r="819" spans="1:9">
      <c r="A819" t="s">
        <v>1488</v>
      </c>
      <c r="B819" t="s">
        <v>2634</v>
      </c>
      <c r="C819">
        <v>4</v>
      </c>
      <c r="D819">
        <v>525000000</v>
      </c>
      <c r="E819">
        <v>3500000000</v>
      </c>
      <c r="F819">
        <v>219512043</v>
      </c>
      <c r="G819" s="55"/>
      <c r="H819" s="66" t="str">
        <f>IF(OR(LEFT(B819,FIND("_",B819,1)-1)="ULGALLOC",LEFT(B819,FIND("_",B819,1)-1)="ULSPOOL"),LEFT(B819,FIND("_",B819,1)-1),VLOOKUP(LEFT(A819,6),'Code Library'!$D$3:$E$200,2,0))&amp;"_"&amp;RIGHT(A819,3)</f>
        <v>AWPR_IDR</v>
      </c>
      <c r="I819" s="66" t="str">
        <f t="shared" si="12"/>
        <v>ULWPR2_IDR</v>
      </c>
    </row>
    <row r="820" spans="1:9">
      <c r="A820" t="s">
        <v>2635</v>
      </c>
      <c r="B820" t="s">
        <v>2636</v>
      </c>
      <c r="C820">
        <v>1</v>
      </c>
      <c r="D820">
        <v>80000000</v>
      </c>
      <c r="E820">
        <v>2000000000</v>
      </c>
      <c r="F820">
        <v>44204238</v>
      </c>
      <c r="H820" s="66" t="str">
        <f>IF(OR(LEFT(B820,FIND("_",B820,1)-1)="ULGALLOC",LEFT(B820,FIND("_",B820,1)-1)="ULSPOOL"),LEFT(B820,FIND("_",B820,1)-1),VLOOKUP(LEFT(A820,6),'Code Library'!$D$3:$E$200,2,0))&amp;"_"&amp;RIGHT(A820,3)</f>
        <v>AWSL_IDR</v>
      </c>
      <c r="I820" s="66" t="str">
        <f t="shared" si="12"/>
        <v>ULWSL__IDR</v>
      </c>
    </row>
    <row r="821" spans="1:9">
      <c r="A821" t="s">
        <v>2295</v>
      </c>
      <c r="B821" t="s">
        <v>2637</v>
      </c>
      <c r="C821">
        <v>1</v>
      </c>
      <c r="D821">
        <v>19250</v>
      </c>
      <c r="E821">
        <v>481250</v>
      </c>
      <c r="F821">
        <v>9885</v>
      </c>
      <c r="G821" s="55"/>
      <c r="H821" s="66" t="str">
        <f>IF(OR(LEFT(B821,FIND("_",B821,1)-1)="ULGALLOC",LEFT(B821,FIND("_",B821,1)-1)="ULSPOOL"),LEFT(B821,FIND("_",B821,1)-1),VLOOKUP(LEFT(A821,6),'Code Library'!$D$3:$E$200,2,0))&amp;"_"&amp;RIGHT(A821,3)</f>
        <v>AWSL_USD</v>
      </c>
      <c r="I821" s="66" t="str">
        <f t="shared" si="12"/>
        <v>ULWSL__USD</v>
      </c>
    </row>
    <row r="822" spans="1:9">
      <c r="A822" t="s">
        <v>1490</v>
      </c>
      <c r="B822" t="s">
        <v>1491</v>
      </c>
      <c r="C822">
        <v>4</v>
      </c>
      <c r="D822">
        <v>200690.75</v>
      </c>
      <c r="E822">
        <v>1225000</v>
      </c>
      <c r="F822">
        <v>223674</v>
      </c>
      <c r="H822" s="66" t="str">
        <f>IF(OR(LEFT(B822,FIND("_",B822,1)-1)="ULGALLOC",LEFT(B822,FIND("_",B822,1)-1)="ULSPOOL"),LEFT(B822,FIND("_",B822,1)-1),VLOOKUP(LEFT(A822,6),'Code Library'!$D$3:$E$200,2,0))&amp;"_"&amp;RIGHT(A822,3)</f>
        <v>SLP_USD</v>
      </c>
      <c r="I822" s="66" t="str">
        <f t="shared" si="12"/>
        <v>UVSG1__USD</v>
      </c>
    </row>
    <row r="823" spans="1:9">
      <c r="A823" t="s">
        <v>1490</v>
      </c>
      <c r="B823" t="s">
        <v>1492</v>
      </c>
      <c r="C823">
        <v>1</v>
      </c>
      <c r="D823">
        <v>72885</v>
      </c>
      <c r="E823">
        <v>300000</v>
      </c>
      <c r="F823">
        <v>86735</v>
      </c>
      <c r="H823" s="66" t="str">
        <f>IF(OR(LEFT(B823,FIND("_",B823,1)-1)="ULGALLOC",LEFT(B823,FIND("_",B823,1)-1)="ULSPOOL"),LEFT(B823,FIND("_",B823,1)-1),VLOOKUP(LEFT(A823,6),'Code Library'!$D$3:$E$200,2,0))&amp;"_"&amp;RIGHT(A823,3)</f>
        <v>SLP_USD</v>
      </c>
      <c r="I823" s="66" t="str">
        <f t="shared" si="12"/>
        <v>UVSG1__USD</v>
      </c>
    </row>
    <row r="824" spans="1:9">
      <c r="A824" t="s">
        <v>1493</v>
      </c>
      <c r="B824" t="s">
        <v>1494</v>
      </c>
      <c r="C824">
        <v>5</v>
      </c>
      <c r="D824">
        <v>797338</v>
      </c>
      <c r="E824">
        <v>1600000</v>
      </c>
      <c r="F824">
        <v>920893</v>
      </c>
      <c r="G824" s="55"/>
      <c r="H824" s="66" t="str">
        <f>IF(OR(LEFT(B824,FIND("_",B824,1)-1)="ULGALLOC",LEFT(B824,FIND("_",B824,1)-1)="ULSPOOL"),LEFT(B824,FIND("_",B824,1)-1),VLOOKUP(LEFT(A824,6),'Code Library'!$D$3:$E$200,2,0))&amp;"_"&amp;RIGHT(A824,3)</f>
        <v>SG_USD</v>
      </c>
      <c r="I824" s="66" t="str">
        <f t="shared" si="12"/>
        <v>UVSG2__USD</v>
      </c>
    </row>
    <row r="825" spans="1:9">
      <c r="A825" t="s">
        <v>1493</v>
      </c>
      <c r="B825" t="s">
        <v>1495</v>
      </c>
      <c r="C825">
        <v>40</v>
      </c>
      <c r="D825">
        <v>8756184.6400000006</v>
      </c>
      <c r="E825">
        <v>19280000</v>
      </c>
      <c r="F825">
        <v>10867668</v>
      </c>
      <c r="G825" s="55"/>
      <c r="H825" s="66" t="str">
        <f>IF(OR(LEFT(B825,FIND("_",B825,1)-1)="ULGALLOC",LEFT(B825,FIND("_",B825,1)-1)="ULSPOOL"),LEFT(B825,FIND("_",B825,1)-1),VLOOKUP(LEFT(A825,6),'Code Library'!$D$3:$E$200,2,0))&amp;"_"&amp;RIGHT(A825,3)</f>
        <v>SG_USD</v>
      </c>
      <c r="I825" s="66" t="str">
        <f t="shared" si="12"/>
        <v>UVSG2__USD</v>
      </c>
    </row>
    <row r="826" spans="1:9">
      <c r="A826" t="s">
        <v>1493</v>
      </c>
      <c r="B826" t="s">
        <v>1496</v>
      </c>
      <c r="C826">
        <v>1</v>
      </c>
      <c r="D826">
        <v>187713</v>
      </c>
      <c r="E826">
        <v>300000</v>
      </c>
      <c r="F826">
        <v>209039</v>
      </c>
      <c r="G826" s="55"/>
      <c r="H826" s="66" t="str">
        <f>IF(OR(LEFT(B826,FIND("_",B826,1)-1)="ULGALLOC",LEFT(B826,FIND("_",B826,1)-1)="ULSPOOL"),LEFT(B826,FIND("_",B826,1)-1),VLOOKUP(LEFT(A826,6),'Code Library'!$D$3:$E$200,2,0))&amp;"_"&amp;RIGHT(A826,3)</f>
        <v>SG_USD</v>
      </c>
      <c r="I826" s="66" t="str">
        <f t="shared" si="12"/>
        <v>UVSG2__USD</v>
      </c>
    </row>
    <row r="827" spans="1:9">
      <c r="A827" t="s">
        <v>1493</v>
      </c>
      <c r="B827" t="s">
        <v>1497</v>
      </c>
      <c r="C827">
        <v>1</v>
      </c>
      <c r="D827">
        <v>145470</v>
      </c>
      <c r="E827">
        <v>300000</v>
      </c>
      <c r="F827">
        <v>166631</v>
      </c>
      <c r="H827" s="66" t="str">
        <f>IF(OR(LEFT(B827,FIND("_",B827,1)-1)="ULGALLOC",LEFT(B827,FIND("_",B827,1)-1)="ULSPOOL"),LEFT(B827,FIND("_",B827,1)-1),VLOOKUP(LEFT(A827,6),'Code Library'!$D$3:$E$200,2,0))&amp;"_"&amp;RIGHT(A827,3)</f>
        <v>SG_USD</v>
      </c>
      <c r="I827" s="66" t="str">
        <f t="shared" si="12"/>
        <v>UVSG2__USD</v>
      </c>
    </row>
    <row r="828" spans="1:9">
      <c r="A828" t="s">
        <v>669</v>
      </c>
      <c r="B828" t="s">
        <v>1498</v>
      </c>
      <c r="C828">
        <v>4059</v>
      </c>
      <c r="D828">
        <v>19501319967.195</v>
      </c>
      <c r="E828">
        <v>13108000000</v>
      </c>
      <c r="F828">
        <v>89403480982.310806</v>
      </c>
      <c r="H828" s="66" t="str">
        <f>IF(OR(LEFT(B828,FIND("_",B828,1)-1)="ULGALLOC",LEFT(B828,FIND("_",B828,1)-1)="ULSPOOL"),LEFT(B828,FIND("_",B828,1)-1),VLOOKUP(LEFT(A828,6),'Code Library'!$D$3:$E$200,2,0))&amp;"_"&amp;RIGHT(A828,3)</f>
        <v>ULGALLOC_IDR</v>
      </c>
      <c r="I828" s="66" t="str">
        <f t="shared" si="12"/>
        <v>_IDR</v>
      </c>
    </row>
    <row r="829" spans="1:9">
      <c r="A829" t="s">
        <v>669</v>
      </c>
      <c r="B829" t="s">
        <v>1499</v>
      </c>
      <c r="C829">
        <v>5</v>
      </c>
      <c r="D829">
        <v>240000000</v>
      </c>
      <c r="E829">
        <v>5000000</v>
      </c>
      <c r="F829">
        <v>459001010.70999998</v>
      </c>
      <c r="H829" s="66" t="str">
        <f>IF(OR(LEFT(B829,FIND("_",B829,1)-1)="ULGALLOC",LEFT(B829,FIND("_",B829,1)-1)="ULSPOOL"),LEFT(B829,FIND("_",B829,1)-1),VLOOKUP(LEFT(A829,6),'Code Library'!$D$3:$E$200,2,0))&amp;"_"&amp;RIGHT(A829,3)</f>
        <v>ULGALLOC_IDR</v>
      </c>
      <c r="I829" s="66" t="str">
        <f t="shared" si="12"/>
        <v>_IDR</v>
      </c>
    </row>
    <row r="830" spans="1:9">
      <c r="A830" t="s">
        <v>669</v>
      </c>
      <c r="B830" t="s">
        <v>1500</v>
      </c>
      <c r="C830">
        <v>529</v>
      </c>
      <c r="D830">
        <v>6396404520</v>
      </c>
      <c r="E830">
        <v>538000000</v>
      </c>
      <c r="F830">
        <v>8341599027.8776999</v>
      </c>
      <c r="H830" s="66" t="str">
        <f>IF(OR(LEFT(B830,FIND("_",B830,1)-1)="ULGALLOC",LEFT(B830,FIND("_",B830,1)-1)="ULSPOOL"),LEFT(B830,FIND("_",B830,1)-1),VLOOKUP(LEFT(A830,6),'Code Library'!$D$3:$E$200,2,0))&amp;"_"&amp;RIGHT(A830,3)</f>
        <v>ULGALLOC_IDR</v>
      </c>
      <c r="I830" s="66" t="str">
        <f t="shared" si="12"/>
        <v>_IDR</v>
      </c>
    </row>
    <row r="831" spans="1:9">
      <c r="A831" t="s">
        <v>669</v>
      </c>
      <c r="B831" t="s">
        <v>1501</v>
      </c>
      <c r="C831">
        <v>5</v>
      </c>
      <c r="D831">
        <v>1783848000</v>
      </c>
      <c r="E831">
        <v>75000000</v>
      </c>
      <c r="F831">
        <v>6139844286.8999996</v>
      </c>
      <c r="H831" s="66" t="str">
        <f>IF(OR(LEFT(B831,FIND("_",B831,1)-1)="ULGALLOC",LEFT(B831,FIND("_",B831,1)-1)="ULSPOOL"),LEFT(B831,FIND("_",B831,1)-1),VLOOKUP(LEFT(A831,6),'Code Library'!$D$3:$E$200,2,0))&amp;"_"&amp;RIGHT(A831,3)</f>
        <v>ULGALLOC_IDR</v>
      </c>
      <c r="I831" s="66" t="str">
        <f t="shared" si="12"/>
        <v>_IDR</v>
      </c>
    </row>
    <row r="832" spans="1:9">
      <c r="A832" t="s">
        <v>1502</v>
      </c>
      <c r="B832" t="s">
        <v>1503</v>
      </c>
      <c r="C832">
        <v>7</v>
      </c>
      <c r="D832">
        <v>33273</v>
      </c>
      <c r="E832">
        <v>2450</v>
      </c>
      <c r="F832">
        <v>21741.493771699999</v>
      </c>
      <c r="H832" s="66" t="str">
        <f>IF(OR(LEFT(B832,FIND("_",B832,1)-1)="ULGALLOC",LEFT(B832,FIND("_",B832,1)-1)="ULSPOOL"),LEFT(B832,FIND("_",B832,1)-1),VLOOKUP(LEFT(A832,6),'Code Library'!$D$3:$E$200,2,0))&amp;"_"&amp;RIGHT(A832,3)</f>
        <v>ULGALLOC_USD</v>
      </c>
      <c r="I832" s="66" t="str">
        <f t="shared" si="12"/>
        <v>_USD</v>
      </c>
    </row>
    <row r="833" spans="1:9">
      <c r="A833" t="s">
        <v>669</v>
      </c>
      <c r="B833" t="s">
        <v>1504</v>
      </c>
      <c r="C833">
        <v>53</v>
      </c>
      <c r="D833">
        <v>2810272603.26827</v>
      </c>
      <c r="E833">
        <v>251000000</v>
      </c>
      <c r="F833">
        <v>4163051134.1403699</v>
      </c>
      <c r="H833" s="66" t="str">
        <f>IF(OR(LEFT(B833,FIND("_",B833,1)-1)="ULGALLOC",LEFT(B833,FIND("_",B833,1)-1)="ULSPOOL"),LEFT(B833,FIND("_",B833,1)-1),VLOOKUP(LEFT(A833,6),'Code Library'!$D$3:$E$200,2,0))&amp;"_"&amp;RIGHT(A833,3)</f>
        <v>ULSPOOL_IDR</v>
      </c>
      <c r="I833" s="66" t="str">
        <f t="shared" si="12"/>
        <v>_IDR</v>
      </c>
    </row>
    <row r="834" spans="1:9">
      <c r="A834" t="s">
        <v>669</v>
      </c>
      <c r="B834" t="s">
        <v>1505</v>
      </c>
      <c r="C834">
        <v>2</v>
      </c>
      <c r="D834">
        <v>843639.9497</v>
      </c>
      <c r="E834">
        <v>10000000</v>
      </c>
      <c r="F834">
        <v>104425073.634</v>
      </c>
      <c r="H834" s="66" t="str">
        <f>IF(OR(LEFT(B834,FIND("_",B834,1)-1)="ULGALLOC",LEFT(B834,FIND("_",B834,1)-1)="ULSPOOL"),LEFT(B834,FIND("_",B834,1)-1),VLOOKUP(LEFT(A834,6),'Code Library'!$D$3:$E$200,2,0))&amp;"_"&amp;RIGHT(A834,3)</f>
        <v>ULSPOOL_IDR</v>
      </c>
      <c r="I834" s="66" t="str">
        <f t="shared" si="12"/>
        <v>_IDR</v>
      </c>
    </row>
    <row r="835" spans="1:9">
      <c r="A835" t="s">
        <v>669</v>
      </c>
      <c r="B835" t="s">
        <v>1506</v>
      </c>
      <c r="C835">
        <v>3</v>
      </c>
      <c r="D835">
        <v>3348415.3500399999</v>
      </c>
      <c r="E835">
        <v>17500000</v>
      </c>
      <c r="F835">
        <v>3360004.8842000002</v>
      </c>
      <c r="H835" s="66" t="str">
        <f>IF(OR(LEFT(B835,FIND("_",B835,1)-1)="ULGALLOC",LEFT(B835,FIND("_",B835,1)-1)="ULSPOOL"),LEFT(B835,FIND("_",B835,1)-1),VLOOKUP(LEFT(A835,6),'Code Library'!$D$3:$E$200,2,0))&amp;"_"&amp;RIGHT(A835,3)</f>
        <v>ULSPOOL_IDR</v>
      </c>
      <c r="I835" s="66" t="str">
        <f t="shared" ref="I835:I898" si="13">A835</f>
        <v>_IDR</v>
      </c>
    </row>
    <row r="836" spans="1:9">
      <c r="A836" t="s">
        <v>669</v>
      </c>
      <c r="B836" t="s">
        <v>1507</v>
      </c>
      <c r="C836">
        <v>2</v>
      </c>
      <c r="D836">
        <v>5714285.7139999997</v>
      </c>
      <c r="E836">
        <v>10000000</v>
      </c>
      <c r="F836">
        <v>93802940.890000001</v>
      </c>
      <c r="G836" s="55"/>
      <c r="H836" s="66" t="str">
        <f>IF(OR(LEFT(B836,FIND("_",B836,1)-1)="ULGALLOC",LEFT(B836,FIND("_",B836,1)-1)="ULSPOOL"),LEFT(B836,FIND("_",B836,1)-1),VLOOKUP(LEFT(A836,6),'Code Library'!$D$3:$E$200,2,0))&amp;"_"&amp;RIGHT(A836,3)</f>
        <v>ULSPOOL_IDR</v>
      </c>
      <c r="I836" s="66" t="str">
        <f t="shared" si="13"/>
        <v>_IDR</v>
      </c>
    </row>
    <row r="837" spans="1:9">
      <c r="A837" t="s">
        <v>669</v>
      </c>
      <c r="B837" t="s">
        <v>1508</v>
      </c>
      <c r="C837">
        <v>8</v>
      </c>
      <c r="D837">
        <v>277629410.56999999</v>
      </c>
      <c r="E837">
        <v>40000000</v>
      </c>
      <c r="F837">
        <v>283631704.55768001</v>
      </c>
      <c r="H837" s="66" t="str">
        <f>IF(OR(LEFT(B837,FIND("_",B837,1)-1)="ULGALLOC",LEFT(B837,FIND("_",B837,1)-1)="ULSPOOL"),LEFT(B837,FIND("_",B837,1)-1),VLOOKUP(LEFT(A837,6),'Code Library'!$D$3:$E$200,2,0))&amp;"_"&amp;RIGHT(A837,3)</f>
        <v>ULSPOOL_IDR</v>
      </c>
      <c r="I837" s="66" t="str">
        <f t="shared" si="13"/>
        <v>_IDR</v>
      </c>
    </row>
    <row r="838" spans="1:9">
      <c r="A838" t="s">
        <v>669</v>
      </c>
      <c r="B838" t="s">
        <v>1509</v>
      </c>
      <c r="C838">
        <v>5</v>
      </c>
      <c r="D838">
        <v>73030228.392000005</v>
      </c>
      <c r="E838">
        <v>25000000</v>
      </c>
      <c r="F838">
        <v>267023050.84</v>
      </c>
      <c r="H838" s="66" t="str">
        <f>IF(OR(LEFT(B838,FIND("_",B838,1)-1)="ULGALLOC",LEFT(B838,FIND("_",B838,1)-1)="ULSPOOL"),LEFT(B838,FIND("_",B838,1)-1),VLOOKUP(LEFT(A838,6),'Code Library'!$D$3:$E$200,2,0))&amp;"_"&amp;RIGHT(A838,3)</f>
        <v>ULSPOOL_IDR</v>
      </c>
      <c r="I838" s="66" t="str">
        <f t="shared" si="13"/>
        <v>_IDR</v>
      </c>
    </row>
    <row r="839" spans="1:9">
      <c r="A839" t="s">
        <v>669</v>
      </c>
      <c r="B839" t="s">
        <v>1510</v>
      </c>
      <c r="C839">
        <v>4</v>
      </c>
      <c r="D839">
        <v>10165004.1624</v>
      </c>
      <c r="E839">
        <v>22500000</v>
      </c>
      <c r="F839">
        <v>29293271.2742</v>
      </c>
      <c r="G839" s="55"/>
      <c r="H839" s="66" t="str">
        <f>IF(OR(LEFT(B839,FIND("_",B839,1)-1)="ULGALLOC",LEFT(B839,FIND("_",B839,1)-1)="ULSPOOL"),LEFT(B839,FIND("_",B839,1)-1),VLOOKUP(LEFT(A839,6),'Code Library'!$D$3:$E$200,2,0))&amp;"_"&amp;RIGHT(A839,3)</f>
        <v>ULSPOOL_IDR</v>
      </c>
      <c r="I839" s="66" t="str">
        <f t="shared" si="13"/>
        <v>_IDR</v>
      </c>
    </row>
    <row r="840" spans="1:9">
      <c r="H840" s="66" t="e">
        <f>IF(OR(LEFT(B840,FIND("_",B840,1)-1)="ULGALLOC",LEFT(B840,FIND("_",B840,1)-1)="ULSPOOL"),LEFT(B840,FIND("_",B840,1)-1),VLOOKUP(LEFT(A840,6),'Code Library'!$D$3:$E$200,2,0))&amp;"_"&amp;RIGHT(A840,3)</f>
        <v>#VALUE!</v>
      </c>
      <c r="I840" s="66">
        <f t="shared" si="13"/>
        <v>0</v>
      </c>
    </row>
    <row r="841" spans="1:9">
      <c r="H841" s="66" t="e">
        <f>IF(OR(LEFT(B841,FIND("_",B841,1)-1)="ULGALLOC",LEFT(B841,FIND("_",B841,1)-1)="ULSPOOL"),LEFT(B841,FIND("_",B841,1)-1),VLOOKUP(LEFT(A841,6),'Code Library'!$D$3:$E$200,2,0))&amp;"_"&amp;RIGHT(A841,3)</f>
        <v>#VALUE!</v>
      </c>
      <c r="I841" s="66">
        <f t="shared" si="13"/>
        <v>0</v>
      </c>
    </row>
    <row r="842" spans="1:9">
      <c r="H842" s="66" t="e">
        <f>IF(OR(LEFT(B842,FIND("_",B842,1)-1)="ULGALLOC",LEFT(B842,FIND("_",B842,1)-1)="ULSPOOL"),LEFT(B842,FIND("_",B842,1)-1),VLOOKUP(LEFT(A842,6),'Code Library'!$D$3:$E$200,2,0))&amp;"_"&amp;RIGHT(A842,3)</f>
        <v>#VALUE!</v>
      </c>
      <c r="I842" s="66">
        <f t="shared" si="13"/>
        <v>0</v>
      </c>
    </row>
    <row r="843" spans="1:9">
      <c r="H843" s="66" t="e">
        <f>IF(OR(LEFT(B843,FIND("_",B843,1)-1)="ULGALLOC",LEFT(B843,FIND("_",B843,1)-1)="ULSPOOL"),LEFT(B843,FIND("_",B843,1)-1),VLOOKUP(LEFT(A843,6),'Code Library'!$D$3:$E$200,2,0))&amp;"_"&amp;RIGHT(A843,3)</f>
        <v>#VALUE!</v>
      </c>
      <c r="I843" s="66">
        <f t="shared" si="13"/>
        <v>0</v>
      </c>
    </row>
    <row r="844" spans="1:9">
      <c r="H844" s="66" t="e">
        <f>IF(OR(LEFT(B844,FIND("_",B844,1)-1)="ULGALLOC",LEFT(B844,FIND("_",B844,1)-1)="ULSPOOL"),LEFT(B844,FIND("_",B844,1)-1),VLOOKUP(LEFT(A844,6),'Code Library'!$D$3:$E$200,2,0))&amp;"_"&amp;RIGHT(A844,3)</f>
        <v>#VALUE!</v>
      </c>
      <c r="I844" s="66">
        <f t="shared" si="13"/>
        <v>0</v>
      </c>
    </row>
    <row r="845" spans="1:9">
      <c r="H845" s="66" t="e">
        <f>IF(OR(LEFT(B845,FIND("_",B845,1)-1)="ULGALLOC",LEFT(B845,FIND("_",B845,1)-1)="ULSPOOL"),LEFT(B845,FIND("_",B845,1)-1),VLOOKUP(LEFT(A845,6),'Code Library'!$D$3:$E$200,2,0))&amp;"_"&amp;RIGHT(A845,3)</f>
        <v>#VALUE!</v>
      </c>
      <c r="I845" s="66">
        <f t="shared" si="13"/>
        <v>0</v>
      </c>
    </row>
    <row r="846" spans="1:9">
      <c r="H846" s="66" t="e">
        <f>IF(OR(LEFT(B846,FIND("_",B846,1)-1)="ULGALLOC",LEFT(B846,FIND("_",B846,1)-1)="ULSPOOL"),LEFT(B846,FIND("_",B846,1)-1),VLOOKUP(LEFT(A846,6),'Code Library'!$D$3:$E$200,2,0))&amp;"_"&amp;RIGHT(A846,3)</f>
        <v>#VALUE!</v>
      </c>
      <c r="I846" s="66">
        <f t="shared" si="13"/>
        <v>0</v>
      </c>
    </row>
    <row r="847" spans="1:9">
      <c r="H847" s="66" t="e">
        <f>IF(OR(LEFT(B847,FIND("_",B847,1)-1)="ULGALLOC",LEFT(B847,FIND("_",B847,1)-1)="ULSPOOL"),LEFT(B847,FIND("_",B847,1)-1),VLOOKUP(LEFT(A847,6),'Code Library'!$D$3:$E$200,2,0))&amp;"_"&amp;RIGHT(A847,3)</f>
        <v>#VALUE!</v>
      </c>
      <c r="I847" s="66">
        <f t="shared" si="13"/>
        <v>0</v>
      </c>
    </row>
    <row r="848" spans="1:9">
      <c r="G848" s="55"/>
      <c r="H848" s="66" t="e">
        <f>IF(OR(LEFT(B848,FIND("_",B848,1)-1)="ULGALLOC",LEFT(B848,FIND("_",B848,1)-1)="ULSPOOL"),LEFT(B848,FIND("_",B848,1)-1),VLOOKUP(LEFT(A848,6),'Code Library'!$D$3:$E$200,2,0))&amp;"_"&amp;RIGHT(A848,3)</f>
        <v>#VALUE!</v>
      </c>
      <c r="I848" s="66">
        <f t="shared" si="13"/>
        <v>0</v>
      </c>
    </row>
    <row r="849" spans="7:9">
      <c r="G849" s="55"/>
      <c r="H849" s="66" t="e">
        <f>IF(OR(LEFT(B849,FIND("_",B849,1)-1)="ULGALLOC",LEFT(B849,FIND("_",B849,1)-1)="ULSPOOL"),LEFT(B849,FIND("_",B849,1)-1),VLOOKUP(LEFT(A849,6),'Code Library'!$D$3:$E$200,2,0))&amp;"_"&amp;RIGHT(A849,3)</f>
        <v>#VALUE!</v>
      </c>
      <c r="I849" s="66">
        <f t="shared" si="13"/>
        <v>0</v>
      </c>
    </row>
    <row r="850" spans="7:9">
      <c r="G850" s="55"/>
      <c r="H850" s="66" t="e">
        <f>IF(OR(LEFT(B850,FIND("_",B850,1)-1)="ULGALLOC",LEFT(B850,FIND("_",B850,1)-1)="ULSPOOL"),LEFT(B850,FIND("_",B850,1)-1),VLOOKUP(LEFT(A850,6),'Code Library'!$D$3:$E$200,2,0))&amp;"_"&amp;RIGHT(A850,3)</f>
        <v>#VALUE!</v>
      </c>
      <c r="I850" s="66">
        <f t="shared" si="13"/>
        <v>0</v>
      </c>
    </row>
    <row r="851" spans="7:9">
      <c r="G851" s="55"/>
      <c r="H851" s="66" t="e">
        <f>IF(OR(LEFT(B851,FIND("_",B851,1)-1)="ULGALLOC",LEFT(B851,FIND("_",B851,1)-1)="ULSPOOL"),LEFT(B851,FIND("_",B851,1)-1),VLOOKUP(LEFT(A851,6),'Code Library'!$D$3:$E$200,2,0))&amp;"_"&amp;RIGHT(A851,3)</f>
        <v>#VALUE!</v>
      </c>
      <c r="I851" s="66">
        <f t="shared" si="13"/>
        <v>0</v>
      </c>
    </row>
    <row r="852" spans="7:9">
      <c r="H852" s="66" t="e">
        <f>IF(OR(LEFT(B852,FIND("_",B852,1)-1)="ULGALLOC",LEFT(B852,FIND("_",B852,1)-1)="ULSPOOL"),LEFT(B852,FIND("_",B852,1)-1),VLOOKUP(LEFT(A852,6),'Code Library'!$D$3:$E$200,2,0))&amp;"_"&amp;RIGHT(A852,3)</f>
        <v>#VALUE!</v>
      </c>
      <c r="I852" s="66">
        <f t="shared" si="13"/>
        <v>0</v>
      </c>
    </row>
    <row r="853" spans="7:9">
      <c r="H853" s="66" t="e">
        <f>IF(OR(LEFT(B853,FIND("_",B853,1)-1)="ULGALLOC",LEFT(B853,FIND("_",B853,1)-1)="ULSPOOL"),LEFT(B853,FIND("_",B853,1)-1),VLOOKUP(LEFT(A853,6),'Code Library'!$D$3:$E$200,2,0))&amp;"_"&amp;RIGHT(A853,3)</f>
        <v>#VALUE!</v>
      </c>
      <c r="I853" s="66">
        <f t="shared" si="13"/>
        <v>0</v>
      </c>
    </row>
    <row r="854" spans="7:9">
      <c r="H854" s="66" t="e">
        <f>IF(OR(LEFT(B854,FIND("_",B854,1)-1)="ULGALLOC",LEFT(B854,FIND("_",B854,1)-1)="ULSPOOL"),LEFT(B854,FIND("_",B854,1)-1),VLOOKUP(LEFT(A854,6),'Code Library'!$D$3:$E$200,2,0))&amp;"_"&amp;RIGHT(A854,3)</f>
        <v>#VALUE!</v>
      </c>
      <c r="I854" s="66">
        <f t="shared" si="13"/>
        <v>0</v>
      </c>
    </row>
    <row r="855" spans="7:9">
      <c r="H855" s="66" t="e">
        <f>IF(OR(LEFT(B855,FIND("_",B855,1)-1)="ULGALLOC",LEFT(B855,FIND("_",B855,1)-1)="ULSPOOL"),LEFT(B855,FIND("_",B855,1)-1),VLOOKUP(LEFT(A855,6),'Code Library'!$D$3:$E$200,2,0))&amp;"_"&amp;RIGHT(A855,3)</f>
        <v>#VALUE!</v>
      </c>
      <c r="I855" s="66">
        <f t="shared" si="13"/>
        <v>0</v>
      </c>
    </row>
    <row r="856" spans="7:9">
      <c r="H856" s="66" t="e">
        <f>IF(OR(LEFT(B856,FIND("_",B856,1)-1)="ULGALLOC",LEFT(B856,FIND("_",B856,1)-1)="ULSPOOL"),LEFT(B856,FIND("_",B856,1)-1),VLOOKUP(LEFT(A856,6),'Code Library'!$D$3:$E$200,2,0))&amp;"_"&amp;RIGHT(A856,3)</f>
        <v>#VALUE!</v>
      </c>
      <c r="I856" s="66">
        <f t="shared" si="13"/>
        <v>0</v>
      </c>
    </row>
    <row r="857" spans="7:9">
      <c r="H857" s="66" t="e">
        <f>IF(OR(LEFT(B857,FIND("_",B857,1)-1)="ULGALLOC",LEFT(B857,FIND("_",B857,1)-1)="ULSPOOL"),LEFT(B857,FIND("_",B857,1)-1),VLOOKUP(LEFT(A857,6),'Code Library'!$D$3:$E$200,2,0))&amp;"_"&amp;RIGHT(A857,3)</f>
        <v>#VALUE!</v>
      </c>
      <c r="I857" s="66">
        <f t="shared" si="13"/>
        <v>0</v>
      </c>
    </row>
    <row r="858" spans="7:9">
      <c r="H858" s="66" t="e">
        <f>IF(OR(LEFT(B858,FIND("_",B858,1)-1)="ULGALLOC",LEFT(B858,FIND("_",B858,1)-1)="ULSPOOL"),LEFT(B858,FIND("_",B858,1)-1),VLOOKUP(LEFT(A858,6),'Code Library'!$D$3:$E$200,2,0))&amp;"_"&amp;RIGHT(A858,3)</f>
        <v>#VALUE!</v>
      </c>
      <c r="I858" s="66">
        <f t="shared" si="13"/>
        <v>0</v>
      </c>
    </row>
    <row r="859" spans="7:9">
      <c r="H859" s="66" t="e">
        <f>IF(OR(LEFT(B859,FIND("_",B859,1)-1)="ULGALLOC",LEFT(B859,FIND("_",B859,1)-1)="ULSPOOL"),LEFT(B859,FIND("_",B859,1)-1),VLOOKUP(LEFT(A859,6),'Code Library'!$D$3:$E$200,2,0))&amp;"_"&amp;RIGHT(A859,3)</f>
        <v>#VALUE!</v>
      </c>
      <c r="I859" s="66">
        <f t="shared" si="13"/>
        <v>0</v>
      </c>
    </row>
    <row r="860" spans="7:9">
      <c r="H860" s="66" t="e">
        <f>IF(OR(LEFT(B860,FIND("_",B860,1)-1)="ULGALLOC",LEFT(B860,FIND("_",B860,1)-1)="ULSPOOL"),LEFT(B860,FIND("_",B860,1)-1),VLOOKUP(LEFT(A860,6),'Code Library'!$D$3:$E$200,2,0))&amp;"_"&amp;RIGHT(A860,3)</f>
        <v>#VALUE!</v>
      </c>
      <c r="I860" s="66">
        <f t="shared" si="13"/>
        <v>0</v>
      </c>
    </row>
    <row r="861" spans="7:9">
      <c r="H861" s="66" t="e">
        <f>IF(OR(LEFT(B861,FIND("_",B861,1)-1)="ULGALLOC",LEFT(B861,FIND("_",B861,1)-1)="ULSPOOL"),LEFT(B861,FIND("_",B861,1)-1),VLOOKUP(LEFT(A861,6),'Code Library'!$D$3:$E$200,2,0))&amp;"_"&amp;RIGHT(A861,3)</f>
        <v>#VALUE!</v>
      </c>
      <c r="I861" s="66">
        <f t="shared" si="13"/>
        <v>0</v>
      </c>
    </row>
    <row r="862" spans="7:9">
      <c r="H862" s="66" t="e">
        <f>IF(OR(LEFT(B862,FIND("_",B862,1)-1)="ULGALLOC",LEFT(B862,FIND("_",B862,1)-1)="ULSPOOL"),LEFT(B862,FIND("_",B862,1)-1),VLOOKUP(LEFT(A862,6),'Code Library'!$D$3:$E$200,2,0))&amp;"_"&amp;RIGHT(A862,3)</f>
        <v>#VALUE!</v>
      </c>
      <c r="I862" s="66">
        <f t="shared" si="13"/>
        <v>0</v>
      </c>
    </row>
    <row r="863" spans="7:9">
      <c r="H863" s="66" t="e">
        <f>IF(OR(LEFT(B863,FIND("_",B863,1)-1)="ULGALLOC",LEFT(B863,FIND("_",B863,1)-1)="ULSPOOL"),LEFT(B863,FIND("_",B863,1)-1),VLOOKUP(LEFT(A863,6),'Code Library'!$D$3:$E$200,2,0))&amp;"_"&amp;RIGHT(A863,3)</f>
        <v>#VALUE!</v>
      </c>
      <c r="I863" s="66">
        <f t="shared" si="13"/>
        <v>0</v>
      </c>
    </row>
    <row r="864" spans="7:9">
      <c r="G864" s="55"/>
      <c r="H864" s="66" t="e">
        <f>IF(OR(LEFT(B864,FIND("_",B864,1)-1)="ULGALLOC",LEFT(B864,FIND("_",B864,1)-1)="ULSPOOL"),LEFT(B864,FIND("_",B864,1)-1),VLOOKUP(LEFT(A864,6),'Code Library'!$D$3:$E$200,2,0))&amp;"_"&amp;RIGHT(A864,3)</f>
        <v>#VALUE!</v>
      </c>
      <c r="I864" s="66">
        <f t="shared" si="13"/>
        <v>0</v>
      </c>
    </row>
    <row r="865" spans="7:9">
      <c r="G865" s="55"/>
      <c r="H865" s="66" t="e">
        <f>IF(OR(LEFT(B865,FIND("_",B865,1)-1)="ULGALLOC",LEFT(B865,FIND("_",B865,1)-1)="ULSPOOL"),LEFT(B865,FIND("_",B865,1)-1),VLOOKUP(LEFT(A865,6),'Code Library'!$D$3:$E$200,2,0))&amp;"_"&amp;RIGHT(A865,3)</f>
        <v>#VALUE!</v>
      </c>
      <c r="I865" s="66">
        <f t="shared" si="13"/>
        <v>0</v>
      </c>
    </row>
    <row r="866" spans="7:9">
      <c r="G866" s="55"/>
      <c r="H866" s="66" t="e">
        <f>IF(OR(LEFT(B866,FIND("_",B866,1)-1)="ULGALLOC",LEFT(B866,FIND("_",B866,1)-1)="ULSPOOL"),LEFT(B866,FIND("_",B866,1)-1),VLOOKUP(LEFT(A866,6),'Code Library'!$D$3:$E$200,2,0))&amp;"_"&amp;RIGHT(A866,3)</f>
        <v>#VALUE!</v>
      </c>
      <c r="I866" s="66">
        <f t="shared" si="13"/>
        <v>0</v>
      </c>
    </row>
    <row r="867" spans="7:9">
      <c r="G867" s="55"/>
      <c r="H867" s="66" t="e">
        <f>IF(OR(LEFT(B867,FIND("_",B867,1)-1)="ULGALLOC",LEFT(B867,FIND("_",B867,1)-1)="ULSPOOL"),LEFT(B867,FIND("_",B867,1)-1),VLOOKUP(LEFT(A867,6),'Code Library'!$D$3:$E$200,2,0))&amp;"_"&amp;RIGHT(A867,3)</f>
        <v>#VALUE!</v>
      </c>
      <c r="I867" s="66">
        <f t="shared" si="13"/>
        <v>0</v>
      </c>
    </row>
    <row r="868" spans="7:9">
      <c r="G868" s="55"/>
      <c r="H868" s="66" t="e">
        <f>IF(OR(LEFT(B868,FIND("_",B868,1)-1)="ULGALLOC",LEFT(B868,FIND("_",B868,1)-1)="ULSPOOL"),LEFT(B868,FIND("_",B868,1)-1),VLOOKUP(LEFT(A868,6),'Code Library'!$D$3:$E$200,2,0))&amp;"_"&amp;RIGHT(A868,3)</f>
        <v>#VALUE!</v>
      </c>
      <c r="I868" s="66">
        <f t="shared" si="13"/>
        <v>0</v>
      </c>
    </row>
    <row r="869" spans="7:9">
      <c r="G869" s="55"/>
      <c r="H869" s="66" t="e">
        <f>IF(OR(LEFT(B869,FIND("_",B869,1)-1)="ULGALLOC",LEFT(B869,FIND("_",B869,1)-1)="ULSPOOL"),LEFT(B869,FIND("_",B869,1)-1),VLOOKUP(LEFT(A869,6),'Code Library'!$D$3:$E$200,2,0))&amp;"_"&amp;RIGHT(A869,3)</f>
        <v>#VALUE!</v>
      </c>
      <c r="I869" s="66">
        <f t="shared" si="13"/>
        <v>0</v>
      </c>
    </row>
    <row r="870" spans="7:9">
      <c r="G870" s="55"/>
      <c r="H870" s="66" t="e">
        <f>IF(OR(LEFT(B870,FIND("_",B870,1)-1)="ULGALLOC",LEFT(B870,FIND("_",B870,1)-1)="ULSPOOL"),LEFT(B870,FIND("_",B870,1)-1),VLOOKUP(LEFT(A870,6),'Code Library'!$D$3:$E$200,2,0))&amp;"_"&amp;RIGHT(A870,3)</f>
        <v>#VALUE!</v>
      </c>
      <c r="I870" s="66">
        <f t="shared" si="13"/>
        <v>0</v>
      </c>
    </row>
    <row r="871" spans="7:9">
      <c r="G871" s="55"/>
      <c r="H871" s="66" t="e">
        <f>IF(OR(LEFT(B871,FIND("_",B871,1)-1)="ULGALLOC",LEFT(B871,FIND("_",B871,1)-1)="ULSPOOL"),LEFT(B871,FIND("_",B871,1)-1),VLOOKUP(LEFT(A871,6),'Code Library'!$D$3:$E$200,2,0))&amp;"_"&amp;RIGHT(A871,3)</f>
        <v>#VALUE!</v>
      </c>
      <c r="I871" s="66">
        <f t="shared" si="13"/>
        <v>0</v>
      </c>
    </row>
    <row r="872" spans="7:9">
      <c r="H872" s="66" t="e">
        <f>IF(OR(LEFT(B872,FIND("_",B872,1)-1)="ULGALLOC",LEFT(B872,FIND("_",B872,1)-1)="ULSPOOL"),LEFT(B872,FIND("_",B872,1)-1),VLOOKUP(LEFT(A872,6),'Code Library'!$D$3:$E$200,2,0))&amp;"_"&amp;RIGHT(A872,3)</f>
        <v>#VALUE!</v>
      </c>
      <c r="I872" s="66">
        <f t="shared" si="13"/>
        <v>0</v>
      </c>
    </row>
    <row r="873" spans="7:9">
      <c r="G873" s="55"/>
      <c r="H873" s="66" t="e">
        <f>IF(OR(LEFT(B873,FIND("_",B873,1)-1)="ULGALLOC",LEFT(B873,FIND("_",B873,1)-1)="ULSPOOL"),LEFT(B873,FIND("_",B873,1)-1),VLOOKUP(LEFT(A873,6),'Code Library'!$D$3:$E$200,2,0))&amp;"_"&amp;RIGHT(A873,3)</f>
        <v>#VALUE!</v>
      </c>
      <c r="I873" s="66">
        <f t="shared" si="13"/>
        <v>0</v>
      </c>
    </row>
    <row r="874" spans="7:9">
      <c r="G874" s="55"/>
      <c r="H874" s="66" t="e">
        <f>IF(OR(LEFT(B874,FIND("_",B874,1)-1)="ULGALLOC",LEFT(B874,FIND("_",B874,1)-1)="ULSPOOL"),LEFT(B874,FIND("_",B874,1)-1),VLOOKUP(LEFT(A874,6),'Code Library'!$D$3:$E$200,2,0))&amp;"_"&amp;RIGHT(A874,3)</f>
        <v>#VALUE!</v>
      </c>
      <c r="I874" s="66">
        <f t="shared" si="13"/>
        <v>0</v>
      </c>
    </row>
    <row r="875" spans="7:9">
      <c r="G875" s="55"/>
      <c r="H875" s="66" t="e">
        <f>IF(OR(LEFT(B875,FIND("_",B875,1)-1)="ULGALLOC",LEFT(B875,FIND("_",B875,1)-1)="ULSPOOL"),LEFT(B875,FIND("_",B875,1)-1),VLOOKUP(LEFT(A875,6),'Code Library'!$D$3:$E$200,2,0))&amp;"_"&amp;RIGHT(A875,3)</f>
        <v>#VALUE!</v>
      </c>
      <c r="I875" s="66">
        <f t="shared" si="13"/>
        <v>0</v>
      </c>
    </row>
    <row r="876" spans="7:9">
      <c r="G876" s="55"/>
      <c r="H876" s="66" t="e">
        <f>IF(OR(LEFT(B876,FIND("_",B876,1)-1)="ULGALLOC",LEFT(B876,FIND("_",B876,1)-1)="ULSPOOL"),LEFT(B876,FIND("_",B876,1)-1),VLOOKUP(LEFT(A876,6),'Code Library'!$D$3:$E$200,2,0))&amp;"_"&amp;RIGHT(A876,3)</f>
        <v>#VALUE!</v>
      </c>
      <c r="I876" s="66">
        <f t="shared" si="13"/>
        <v>0</v>
      </c>
    </row>
    <row r="877" spans="7:9">
      <c r="H877" s="66" t="e">
        <f>IF(OR(LEFT(B877,FIND("_",B877,1)-1)="ULGALLOC",LEFT(B877,FIND("_",B877,1)-1)="ULSPOOL"),LEFT(B877,FIND("_",B877,1)-1),VLOOKUP(LEFT(A877,6),'Code Library'!$D$3:$E$200,2,0))&amp;"_"&amp;RIGHT(A877,3)</f>
        <v>#VALUE!</v>
      </c>
      <c r="I877" s="66">
        <f t="shared" si="13"/>
        <v>0</v>
      </c>
    </row>
    <row r="878" spans="7:9">
      <c r="H878" s="66" t="e">
        <f>IF(OR(LEFT(B878,FIND("_",B878,1)-1)="ULGALLOC",LEFT(B878,FIND("_",B878,1)-1)="ULSPOOL"),LEFT(B878,FIND("_",B878,1)-1),VLOOKUP(LEFT(A878,6),'Code Library'!$D$3:$E$200,2,0))&amp;"_"&amp;RIGHT(A878,3)</f>
        <v>#VALUE!</v>
      </c>
      <c r="I878" s="66">
        <f t="shared" si="13"/>
        <v>0</v>
      </c>
    </row>
    <row r="879" spans="7:9">
      <c r="H879" s="66" t="e">
        <f>IF(OR(LEFT(B879,FIND("_",B879,1)-1)="ULGALLOC",LEFT(B879,FIND("_",B879,1)-1)="ULSPOOL"),LEFT(B879,FIND("_",B879,1)-1),VLOOKUP(LEFT(A879,6),'Code Library'!$D$3:$E$200,2,0))&amp;"_"&amp;RIGHT(A879,3)</f>
        <v>#VALUE!</v>
      </c>
      <c r="I879" s="66">
        <f t="shared" si="13"/>
        <v>0</v>
      </c>
    </row>
    <row r="880" spans="7:9">
      <c r="H880" s="66" t="e">
        <f>IF(OR(LEFT(B880,FIND("_",B880,1)-1)="ULGALLOC",LEFT(B880,FIND("_",B880,1)-1)="ULSPOOL"),LEFT(B880,FIND("_",B880,1)-1),VLOOKUP(LEFT(A880,6),'Code Library'!$D$3:$E$200,2,0))&amp;"_"&amp;RIGHT(A880,3)</f>
        <v>#VALUE!</v>
      </c>
      <c r="I880" s="66">
        <f t="shared" si="13"/>
        <v>0</v>
      </c>
    </row>
    <row r="881" spans="8:9">
      <c r="H881" s="66" t="e">
        <f>IF(OR(LEFT(B881,FIND("_",B881,1)-1)="ULGALLOC",LEFT(B881,FIND("_",B881,1)-1)="ULSPOOL"),LEFT(B881,FIND("_",B881,1)-1),VLOOKUP(LEFT(A881,6),'Code Library'!$D$3:$E$200,2,0))&amp;"_"&amp;RIGHT(A881,3)</f>
        <v>#VALUE!</v>
      </c>
      <c r="I881" s="66">
        <f t="shared" si="13"/>
        <v>0</v>
      </c>
    </row>
    <row r="882" spans="8:9">
      <c r="H882" s="66" t="e">
        <f>IF(OR(LEFT(B882,FIND("_",B882,1)-1)="ULGALLOC",LEFT(B882,FIND("_",B882,1)-1)="ULSPOOL"),LEFT(B882,FIND("_",B882,1)-1),VLOOKUP(LEFT(A882,6),'Code Library'!$D$3:$E$200,2,0))&amp;"_"&amp;RIGHT(A882,3)</f>
        <v>#VALUE!</v>
      </c>
      <c r="I882" s="66">
        <f t="shared" si="13"/>
        <v>0</v>
      </c>
    </row>
    <row r="883" spans="8:9">
      <c r="H883" s="66" t="e">
        <f>IF(OR(LEFT(B883,FIND("_",B883,1)-1)="ULGALLOC",LEFT(B883,FIND("_",B883,1)-1)="ULSPOOL"),LEFT(B883,FIND("_",B883,1)-1),VLOOKUP(LEFT(A883,6),'Code Library'!$D$3:$E$200,2,0))&amp;"_"&amp;RIGHT(A883,3)</f>
        <v>#VALUE!</v>
      </c>
      <c r="I883" s="66">
        <f t="shared" si="13"/>
        <v>0</v>
      </c>
    </row>
    <row r="884" spans="8:9">
      <c r="H884" s="66" t="e">
        <f>IF(OR(LEFT(B884,FIND("_",B884,1)-1)="ULGALLOC",LEFT(B884,FIND("_",B884,1)-1)="ULSPOOL"),LEFT(B884,FIND("_",B884,1)-1),VLOOKUP(LEFT(A884,6),'Code Library'!$D$3:$E$200,2,0))&amp;"_"&amp;RIGHT(A884,3)</f>
        <v>#VALUE!</v>
      </c>
      <c r="I884" s="66">
        <f t="shared" si="13"/>
        <v>0</v>
      </c>
    </row>
    <row r="885" spans="8:9">
      <c r="H885" s="66" t="e">
        <f>IF(OR(LEFT(B885,FIND("_",B885,1)-1)="ULGALLOC",LEFT(B885,FIND("_",B885,1)-1)="ULSPOOL"),LEFT(B885,FIND("_",B885,1)-1),VLOOKUP(LEFT(A885,6),'Code Library'!$D$3:$E$200,2,0))&amp;"_"&amp;RIGHT(A885,3)</f>
        <v>#VALUE!</v>
      </c>
      <c r="I885" s="66">
        <f t="shared" si="13"/>
        <v>0</v>
      </c>
    </row>
    <row r="886" spans="8:9">
      <c r="H886" s="66" t="e">
        <f>IF(OR(LEFT(B886,FIND("_",B886,1)-1)="ULGALLOC",LEFT(B886,FIND("_",B886,1)-1)="ULSPOOL"),LEFT(B886,FIND("_",B886,1)-1),VLOOKUP(LEFT(A886,6),'Code Library'!$D$3:$E$200,2,0))&amp;"_"&amp;RIGHT(A886,3)</f>
        <v>#VALUE!</v>
      </c>
      <c r="I886" s="66">
        <f t="shared" si="13"/>
        <v>0</v>
      </c>
    </row>
    <row r="887" spans="8:9">
      <c r="H887" s="66" t="e">
        <f>IF(OR(LEFT(B887,FIND("_",B887,1)-1)="ULGALLOC",LEFT(B887,FIND("_",B887,1)-1)="ULSPOOL"),LEFT(B887,FIND("_",B887,1)-1),VLOOKUP(LEFT(A887,6),'Code Library'!$D$3:$E$200,2,0))&amp;"_"&amp;RIGHT(A887,3)</f>
        <v>#VALUE!</v>
      </c>
      <c r="I887" s="66">
        <f t="shared" si="13"/>
        <v>0</v>
      </c>
    </row>
    <row r="888" spans="8:9">
      <c r="H888" s="66" t="e">
        <f>IF(OR(LEFT(B888,FIND("_",B888,1)-1)="ULGALLOC",LEFT(B888,FIND("_",B888,1)-1)="ULSPOOL"),LEFT(B888,FIND("_",B888,1)-1),VLOOKUP(LEFT(A888,6),'Code Library'!$D$3:$E$200,2,0))&amp;"_"&amp;RIGHT(A888,3)</f>
        <v>#VALUE!</v>
      </c>
      <c r="I888" s="66">
        <f t="shared" si="13"/>
        <v>0</v>
      </c>
    </row>
    <row r="889" spans="8:9">
      <c r="H889" s="66" t="e">
        <f>IF(OR(LEFT(B889,FIND("_",B889,1)-1)="ULGALLOC",LEFT(B889,FIND("_",B889,1)-1)="ULSPOOL"),LEFT(B889,FIND("_",B889,1)-1),VLOOKUP(LEFT(A889,6),'Code Library'!$D$3:$E$200,2,0))&amp;"_"&amp;RIGHT(A889,3)</f>
        <v>#VALUE!</v>
      </c>
      <c r="I889" s="66">
        <f t="shared" si="13"/>
        <v>0</v>
      </c>
    </row>
    <row r="890" spans="8:9">
      <c r="H890" s="66" t="e">
        <f>IF(OR(LEFT(B890,FIND("_",B890,1)-1)="ULGALLOC",LEFT(B890,FIND("_",B890,1)-1)="ULSPOOL"),LEFT(B890,FIND("_",B890,1)-1),VLOOKUP(LEFT(A890,6),'Code Library'!$D$3:$E$200,2,0))&amp;"_"&amp;RIGHT(A890,3)</f>
        <v>#VALUE!</v>
      </c>
      <c r="I890" s="66">
        <f t="shared" si="13"/>
        <v>0</v>
      </c>
    </row>
    <row r="891" spans="8:9">
      <c r="H891" s="66" t="e">
        <f>IF(OR(LEFT(B891,FIND("_",B891,1)-1)="ULGALLOC",LEFT(B891,FIND("_",B891,1)-1)="ULSPOOL"),LEFT(B891,FIND("_",B891,1)-1),VLOOKUP(LEFT(A891,6),'Code Library'!$D$3:$E$200,2,0))&amp;"_"&amp;RIGHT(A891,3)</f>
        <v>#VALUE!</v>
      </c>
      <c r="I891" s="66">
        <f t="shared" si="13"/>
        <v>0</v>
      </c>
    </row>
    <row r="892" spans="8:9">
      <c r="H892" s="66" t="e">
        <f>IF(OR(LEFT(B892,FIND("_",B892,1)-1)="ULGALLOC",LEFT(B892,FIND("_",B892,1)-1)="ULSPOOL"),LEFT(B892,FIND("_",B892,1)-1),VLOOKUP(LEFT(A892,6),'Code Library'!$D$3:$E$200,2,0))&amp;"_"&amp;RIGHT(A892,3)</f>
        <v>#VALUE!</v>
      </c>
      <c r="I892" s="66">
        <f t="shared" si="13"/>
        <v>0</v>
      </c>
    </row>
    <row r="893" spans="8:9">
      <c r="H893" s="66" t="e">
        <f>IF(OR(LEFT(B893,FIND("_",B893,1)-1)="ULGALLOC",LEFT(B893,FIND("_",B893,1)-1)="ULSPOOL"),LEFT(B893,FIND("_",B893,1)-1),VLOOKUP(LEFT(A893,6),'Code Library'!$D$3:$E$200,2,0))&amp;"_"&amp;RIGHT(A893,3)</f>
        <v>#VALUE!</v>
      </c>
      <c r="I893" s="66">
        <f t="shared" si="13"/>
        <v>0</v>
      </c>
    </row>
    <row r="894" spans="8:9">
      <c r="H894" s="66" t="e">
        <f>IF(OR(LEFT(B894,FIND("_",B894,1)-1)="ULGALLOC",LEFT(B894,FIND("_",B894,1)-1)="ULSPOOL"),LEFT(B894,FIND("_",B894,1)-1),VLOOKUP(LEFT(A894,6),'Code Library'!$D$3:$E$200,2,0))&amp;"_"&amp;RIGHT(A894,3)</f>
        <v>#VALUE!</v>
      </c>
      <c r="I894" s="66">
        <f t="shared" si="13"/>
        <v>0</v>
      </c>
    </row>
    <row r="895" spans="8:9">
      <c r="H895" s="66" t="e">
        <f>IF(OR(LEFT(B895,FIND("_",B895,1)-1)="ULGALLOC",LEFT(B895,FIND("_",B895,1)-1)="ULSPOOL"),LEFT(B895,FIND("_",B895,1)-1),VLOOKUP(LEFT(A895,6),'Code Library'!$D$3:$E$200,2,0))&amp;"_"&amp;RIGHT(A895,3)</f>
        <v>#VALUE!</v>
      </c>
      <c r="I895" s="66">
        <f t="shared" si="13"/>
        <v>0</v>
      </c>
    </row>
    <row r="896" spans="8:9">
      <c r="H896" s="66" t="e">
        <f>IF(OR(LEFT(B896,FIND("_",B896,1)-1)="ULGALLOC",LEFT(B896,FIND("_",B896,1)-1)="ULSPOOL"),LEFT(B896,FIND("_",B896,1)-1),VLOOKUP(LEFT(A896,6),'Code Library'!$D$3:$E$200,2,0))&amp;"_"&amp;RIGHT(A896,3)</f>
        <v>#VALUE!</v>
      </c>
      <c r="I896" s="66">
        <f t="shared" si="13"/>
        <v>0</v>
      </c>
    </row>
    <row r="897" spans="8:9">
      <c r="H897" s="66" t="e">
        <f>IF(OR(LEFT(B897,FIND("_",B897,1)-1)="ULGALLOC",LEFT(B897,FIND("_",B897,1)-1)="ULSPOOL"),LEFT(B897,FIND("_",B897,1)-1),VLOOKUP(LEFT(A897,6),'Code Library'!$D$3:$E$200,2,0))&amp;"_"&amp;RIGHT(A897,3)</f>
        <v>#VALUE!</v>
      </c>
      <c r="I897" s="66">
        <f t="shared" si="13"/>
        <v>0</v>
      </c>
    </row>
    <row r="898" spans="8:9">
      <c r="H898" s="66" t="e">
        <f>IF(OR(LEFT(B898,FIND("_",B898,1)-1)="ULGALLOC",LEFT(B898,FIND("_",B898,1)-1)="ULSPOOL"),LEFT(B898,FIND("_",B898,1)-1),VLOOKUP(LEFT(A898,6),'Code Library'!$D$3:$E$200,2,0))&amp;"_"&amp;RIGHT(A898,3)</f>
        <v>#VALUE!</v>
      </c>
      <c r="I898" s="66">
        <f t="shared" si="13"/>
        <v>0</v>
      </c>
    </row>
    <row r="899" spans="8:9">
      <c r="H899" s="66" t="e">
        <f>IF(OR(LEFT(B899,FIND("_",B899,1)-1)="ULGALLOC",LEFT(B899,FIND("_",B899,1)-1)="ULSPOOL"),LEFT(B899,FIND("_",B899,1)-1),VLOOKUP(LEFT(A899,6),'Code Library'!$D$3:$E$200,2,0))&amp;"_"&amp;RIGHT(A899,3)</f>
        <v>#VALUE!</v>
      </c>
      <c r="I899" s="66">
        <f t="shared" ref="I899:I962" si="14">A899</f>
        <v>0</v>
      </c>
    </row>
    <row r="900" spans="8:9">
      <c r="H900" s="66" t="e">
        <f>IF(OR(LEFT(B900,FIND("_",B900,1)-1)="ULGALLOC",LEFT(B900,FIND("_",B900,1)-1)="ULSPOOL"),LEFT(B900,FIND("_",B900,1)-1),VLOOKUP(LEFT(A900,6),'Code Library'!$D$3:$E$200,2,0))&amp;"_"&amp;RIGHT(A900,3)</f>
        <v>#VALUE!</v>
      </c>
      <c r="I900" s="66">
        <f t="shared" si="14"/>
        <v>0</v>
      </c>
    </row>
    <row r="901" spans="8:9">
      <c r="H901" s="66" t="e">
        <f>IF(OR(LEFT(B901,FIND("_",B901,1)-1)="ULGALLOC",LEFT(B901,FIND("_",B901,1)-1)="ULSPOOL"),LEFT(B901,FIND("_",B901,1)-1),VLOOKUP(LEFT(A901,6),'Code Library'!$D$3:$E$200,2,0))&amp;"_"&amp;RIGHT(A901,3)</f>
        <v>#VALUE!</v>
      </c>
      <c r="I901" s="66">
        <f t="shared" si="14"/>
        <v>0</v>
      </c>
    </row>
    <row r="902" spans="8:9">
      <c r="H902" s="66" t="e">
        <f>IF(OR(LEFT(B902,FIND("_",B902,1)-1)="ULGALLOC",LEFT(B902,FIND("_",B902,1)-1)="ULSPOOL"),LEFT(B902,FIND("_",B902,1)-1),VLOOKUP(LEFT(A902,6),'Code Library'!$D$3:$E$200,2,0))&amp;"_"&amp;RIGHT(A902,3)</f>
        <v>#VALUE!</v>
      </c>
      <c r="I902" s="66">
        <f t="shared" si="14"/>
        <v>0</v>
      </c>
    </row>
    <row r="903" spans="8:9">
      <c r="H903" s="66" t="e">
        <f>IF(OR(LEFT(B903,FIND("_",B903,1)-1)="ULGALLOC",LEFT(B903,FIND("_",B903,1)-1)="ULSPOOL"),LEFT(B903,FIND("_",B903,1)-1),VLOOKUP(LEFT(A903,6),'Code Library'!$D$3:$E$200,2,0))&amp;"_"&amp;RIGHT(A903,3)</f>
        <v>#VALUE!</v>
      </c>
      <c r="I903" s="66">
        <f t="shared" si="14"/>
        <v>0</v>
      </c>
    </row>
    <row r="904" spans="8:9">
      <c r="H904" s="66" t="e">
        <f>IF(OR(LEFT(B904,FIND("_",B904,1)-1)="ULGALLOC",LEFT(B904,FIND("_",B904,1)-1)="ULSPOOL"),LEFT(B904,FIND("_",B904,1)-1),VLOOKUP(LEFT(A904,6),'Code Library'!$D$3:$E$200,2,0))&amp;"_"&amp;RIGHT(A904,3)</f>
        <v>#VALUE!</v>
      </c>
      <c r="I904" s="66">
        <f t="shared" si="14"/>
        <v>0</v>
      </c>
    </row>
    <row r="905" spans="8:9">
      <c r="H905" s="66" t="e">
        <f>IF(OR(LEFT(B905,FIND("_",B905,1)-1)="ULGALLOC",LEFT(B905,FIND("_",B905,1)-1)="ULSPOOL"),LEFT(B905,FIND("_",B905,1)-1),VLOOKUP(LEFT(A905,6),'Code Library'!$D$3:$E$200,2,0))&amp;"_"&amp;RIGHT(A905,3)</f>
        <v>#VALUE!</v>
      </c>
      <c r="I905" s="66">
        <f t="shared" si="14"/>
        <v>0</v>
      </c>
    </row>
    <row r="906" spans="8:9">
      <c r="H906" s="66" t="e">
        <f>IF(OR(LEFT(B906,FIND("_",B906,1)-1)="ULGALLOC",LEFT(B906,FIND("_",B906,1)-1)="ULSPOOL"),LEFT(B906,FIND("_",B906,1)-1),VLOOKUP(LEFT(A906,6),'Code Library'!$D$3:$E$200,2,0))&amp;"_"&amp;RIGHT(A906,3)</f>
        <v>#VALUE!</v>
      </c>
      <c r="I906" s="66">
        <f t="shared" si="14"/>
        <v>0</v>
      </c>
    </row>
    <row r="907" spans="8:9">
      <c r="H907" s="66" t="e">
        <f>IF(OR(LEFT(B907,FIND("_",B907,1)-1)="ULGALLOC",LEFT(B907,FIND("_",B907,1)-1)="ULSPOOL"),LEFT(B907,FIND("_",B907,1)-1),VLOOKUP(LEFT(A907,6),'Code Library'!$D$3:$E$200,2,0))&amp;"_"&amp;RIGHT(A907,3)</f>
        <v>#VALUE!</v>
      </c>
      <c r="I907" s="66">
        <f t="shared" si="14"/>
        <v>0</v>
      </c>
    </row>
    <row r="908" spans="8:9">
      <c r="H908" s="66" t="e">
        <f>IF(OR(LEFT(B908,FIND("_",B908,1)-1)="ULGALLOC",LEFT(B908,FIND("_",B908,1)-1)="ULSPOOL"),LEFT(B908,FIND("_",B908,1)-1),VLOOKUP(LEFT(A908,6),'Code Library'!$D$3:$E$200,2,0))&amp;"_"&amp;RIGHT(A908,3)</f>
        <v>#VALUE!</v>
      </c>
      <c r="I908" s="66">
        <f t="shared" si="14"/>
        <v>0</v>
      </c>
    </row>
    <row r="909" spans="8:9">
      <c r="H909" s="66" t="e">
        <f>IF(OR(LEFT(B909,FIND("_",B909,1)-1)="ULGALLOC",LEFT(B909,FIND("_",B909,1)-1)="ULSPOOL"),LEFT(B909,FIND("_",B909,1)-1),VLOOKUP(LEFT(A909,6),'Code Library'!$D$3:$E$200,2,0))&amp;"_"&amp;RIGHT(A909,3)</f>
        <v>#VALUE!</v>
      </c>
      <c r="I909" s="66">
        <f t="shared" si="14"/>
        <v>0</v>
      </c>
    </row>
    <row r="910" spans="8:9">
      <c r="H910" s="66" t="e">
        <f>IF(OR(LEFT(B910,FIND("_",B910,1)-1)="ULGALLOC",LEFT(B910,FIND("_",B910,1)-1)="ULSPOOL"),LEFT(B910,FIND("_",B910,1)-1),VLOOKUP(LEFT(A910,6),'Code Library'!$D$3:$E$200,2,0))&amp;"_"&amp;RIGHT(A910,3)</f>
        <v>#VALUE!</v>
      </c>
      <c r="I910" s="66">
        <f t="shared" si="14"/>
        <v>0</v>
      </c>
    </row>
    <row r="911" spans="8:9">
      <c r="H911" s="66" t="e">
        <f>IF(OR(LEFT(B911,FIND("_",B911,1)-1)="ULGALLOC",LEFT(B911,FIND("_",B911,1)-1)="ULSPOOL"),LEFT(B911,FIND("_",B911,1)-1),VLOOKUP(LEFT(A911,6),'Code Library'!$D$3:$E$200,2,0))&amp;"_"&amp;RIGHT(A911,3)</f>
        <v>#VALUE!</v>
      </c>
      <c r="I911" s="66">
        <f t="shared" si="14"/>
        <v>0</v>
      </c>
    </row>
    <row r="912" spans="8:9">
      <c r="H912" s="66" t="e">
        <f>IF(OR(LEFT(B912,FIND("_",B912,1)-1)="ULGALLOC",LEFT(B912,FIND("_",B912,1)-1)="ULSPOOL"),LEFT(B912,FIND("_",B912,1)-1),VLOOKUP(LEFT(A912,6),'Code Library'!$D$3:$E$200,2,0))&amp;"_"&amp;RIGHT(A912,3)</f>
        <v>#VALUE!</v>
      </c>
      <c r="I912" s="66">
        <f t="shared" si="14"/>
        <v>0</v>
      </c>
    </row>
    <row r="913" spans="8:9">
      <c r="H913" s="66" t="e">
        <f>IF(OR(LEFT(B913,FIND("_",B913,1)-1)="ULGALLOC",LEFT(B913,FIND("_",B913,1)-1)="ULSPOOL"),LEFT(B913,FIND("_",B913,1)-1),VLOOKUP(LEFT(A913,6),'Code Library'!$D$3:$E$200,2,0))&amp;"_"&amp;RIGHT(A913,3)</f>
        <v>#VALUE!</v>
      </c>
      <c r="I913" s="66">
        <f t="shared" si="14"/>
        <v>0</v>
      </c>
    </row>
    <row r="914" spans="8:9">
      <c r="H914" s="66" t="e">
        <f>IF(OR(LEFT(B914,FIND("_",B914,1)-1)="ULGALLOC",LEFT(B914,FIND("_",B914,1)-1)="ULSPOOL"),LEFT(B914,FIND("_",B914,1)-1),VLOOKUP(LEFT(A914,6),'Code Library'!$D$3:$E$200,2,0))&amp;"_"&amp;RIGHT(A914,3)</f>
        <v>#VALUE!</v>
      </c>
      <c r="I914" s="66">
        <f t="shared" si="14"/>
        <v>0</v>
      </c>
    </row>
    <row r="915" spans="8:9">
      <c r="H915" s="66" t="e">
        <f>IF(OR(LEFT(B915,FIND("_",B915,1)-1)="ULGALLOC",LEFT(B915,FIND("_",B915,1)-1)="ULSPOOL"),LEFT(B915,FIND("_",B915,1)-1),VLOOKUP(LEFT(A915,6),'Code Library'!$D$3:$E$200,2,0))&amp;"_"&amp;RIGHT(A915,3)</f>
        <v>#VALUE!</v>
      </c>
      <c r="I915" s="66">
        <f t="shared" si="14"/>
        <v>0</v>
      </c>
    </row>
    <row r="916" spans="8:9">
      <c r="H916" s="66" t="e">
        <f>IF(OR(LEFT(B916,FIND("_",B916,1)-1)="ULGALLOC",LEFT(B916,FIND("_",B916,1)-1)="ULSPOOL"),LEFT(B916,FIND("_",B916,1)-1),VLOOKUP(LEFT(A916,6),'Code Library'!$D$3:$E$200,2,0))&amp;"_"&amp;RIGHT(A916,3)</f>
        <v>#VALUE!</v>
      </c>
      <c r="I916" s="66">
        <f t="shared" si="14"/>
        <v>0</v>
      </c>
    </row>
    <row r="917" spans="8:9">
      <c r="H917" s="66" t="e">
        <f>IF(OR(LEFT(B917,FIND("_",B917,1)-1)="ULGALLOC",LEFT(B917,FIND("_",B917,1)-1)="ULSPOOL"),LEFT(B917,FIND("_",B917,1)-1),VLOOKUP(LEFT(A917,6),'Code Library'!$D$3:$E$200,2,0))&amp;"_"&amp;RIGHT(A917,3)</f>
        <v>#VALUE!</v>
      </c>
      <c r="I917" s="66">
        <f t="shared" si="14"/>
        <v>0</v>
      </c>
    </row>
    <row r="918" spans="8:9">
      <c r="H918" s="66" t="e">
        <f>IF(OR(LEFT(B918,FIND("_",B918,1)-1)="ULGALLOC",LEFT(B918,FIND("_",B918,1)-1)="ULSPOOL"),LEFT(B918,FIND("_",B918,1)-1),VLOOKUP(LEFT(A918,6),'Code Library'!$D$3:$E$200,2,0))&amp;"_"&amp;RIGHT(A918,3)</f>
        <v>#VALUE!</v>
      </c>
      <c r="I918" s="66">
        <f t="shared" si="14"/>
        <v>0</v>
      </c>
    </row>
    <row r="919" spans="8:9">
      <c r="H919" s="66" t="e">
        <f>IF(OR(LEFT(B919,FIND("_",B919,1)-1)="ULGALLOC",LEFT(B919,FIND("_",B919,1)-1)="ULSPOOL"),LEFT(B919,FIND("_",B919,1)-1),VLOOKUP(LEFT(A919,6),'Code Library'!$D$3:$E$200,2,0))&amp;"_"&amp;RIGHT(A919,3)</f>
        <v>#VALUE!</v>
      </c>
      <c r="I919" s="66">
        <f t="shared" si="14"/>
        <v>0</v>
      </c>
    </row>
    <row r="920" spans="8:9">
      <c r="H920" s="66" t="e">
        <f>IF(OR(LEFT(B920,FIND("_",B920,1)-1)="ULGALLOC",LEFT(B920,FIND("_",B920,1)-1)="ULSPOOL"),LEFT(B920,FIND("_",B920,1)-1),VLOOKUP(LEFT(A920,6),'Code Library'!$D$3:$E$200,2,0))&amp;"_"&amp;RIGHT(A920,3)</f>
        <v>#VALUE!</v>
      </c>
      <c r="I920" s="66">
        <f t="shared" si="14"/>
        <v>0</v>
      </c>
    </row>
    <row r="921" spans="8:9">
      <c r="H921" s="66" t="e">
        <f>IF(OR(LEFT(B921,FIND("_",B921,1)-1)="ULGALLOC",LEFT(B921,FIND("_",B921,1)-1)="ULSPOOL"),LEFT(B921,FIND("_",B921,1)-1),VLOOKUP(LEFT(A921,6),'Code Library'!$D$3:$E$200,2,0))&amp;"_"&amp;RIGHT(A921,3)</f>
        <v>#VALUE!</v>
      </c>
      <c r="I921" s="66">
        <f t="shared" si="14"/>
        <v>0</v>
      </c>
    </row>
    <row r="922" spans="8:9">
      <c r="H922" s="66" t="e">
        <f>IF(OR(LEFT(B922,FIND("_",B922,1)-1)="ULGALLOC",LEFT(B922,FIND("_",B922,1)-1)="ULSPOOL"),LEFT(B922,FIND("_",B922,1)-1),VLOOKUP(LEFT(A922,6),'Code Library'!$D$3:$E$200,2,0))&amp;"_"&amp;RIGHT(A922,3)</f>
        <v>#VALUE!</v>
      </c>
      <c r="I922" s="66">
        <f t="shared" si="14"/>
        <v>0</v>
      </c>
    </row>
    <row r="923" spans="8:9">
      <c r="H923" s="66" t="e">
        <f>IF(OR(LEFT(B923,FIND("_",B923,1)-1)="ULGALLOC",LEFT(B923,FIND("_",B923,1)-1)="ULSPOOL"),LEFT(B923,FIND("_",B923,1)-1),VLOOKUP(LEFT(A923,6),'Code Library'!$D$3:$E$200,2,0))&amp;"_"&amp;RIGHT(A923,3)</f>
        <v>#VALUE!</v>
      </c>
      <c r="I923" s="66">
        <f t="shared" si="14"/>
        <v>0</v>
      </c>
    </row>
    <row r="924" spans="8:9">
      <c r="H924" s="66" t="e">
        <f>IF(OR(LEFT(B924,FIND("_",B924,1)-1)="ULGALLOC",LEFT(B924,FIND("_",B924,1)-1)="ULSPOOL"),LEFT(B924,FIND("_",B924,1)-1),VLOOKUP(LEFT(A924,6),'Code Library'!$D$3:$E$200,2,0))&amp;"_"&amp;RIGHT(A924,3)</f>
        <v>#VALUE!</v>
      </c>
      <c r="I924" s="66">
        <f t="shared" si="14"/>
        <v>0</v>
      </c>
    </row>
    <row r="925" spans="8:9">
      <c r="H925" s="66" t="e">
        <f>IF(OR(LEFT(B925,FIND("_",B925,1)-1)="ULGALLOC",LEFT(B925,FIND("_",B925,1)-1)="ULSPOOL"),LEFT(B925,FIND("_",B925,1)-1),VLOOKUP(LEFT(A925,6),'Code Library'!$D$3:$E$200,2,0))&amp;"_"&amp;RIGHT(A925,3)</f>
        <v>#VALUE!</v>
      </c>
      <c r="I925" s="66">
        <f t="shared" si="14"/>
        <v>0</v>
      </c>
    </row>
    <row r="926" spans="8:9">
      <c r="H926" s="66" t="e">
        <f>IF(OR(LEFT(B926,FIND("_",B926,1)-1)="ULGALLOC",LEFT(B926,FIND("_",B926,1)-1)="ULSPOOL"),LEFT(B926,FIND("_",B926,1)-1),VLOOKUP(LEFT(A926,6),'Code Library'!$D$3:$E$200,2,0))&amp;"_"&amp;RIGHT(A926,3)</f>
        <v>#VALUE!</v>
      </c>
      <c r="I926" s="66">
        <f t="shared" si="14"/>
        <v>0</v>
      </c>
    </row>
    <row r="927" spans="8:9">
      <c r="H927" s="66" t="e">
        <f>IF(OR(LEFT(B927,FIND("_",B927,1)-1)="ULGALLOC",LEFT(B927,FIND("_",B927,1)-1)="ULSPOOL"),LEFT(B927,FIND("_",B927,1)-1),VLOOKUP(LEFT(A927,6),'Code Library'!$D$3:$E$200,2,0))&amp;"_"&amp;RIGHT(A927,3)</f>
        <v>#VALUE!</v>
      </c>
      <c r="I927" s="66">
        <f t="shared" si="14"/>
        <v>0</v>
      </c>
    </row>
    <row r="928" spans="8:9">
      <c r="H928" s="66" t="e">
        <f>IF(OR(LEFT(B928,FIND("_",B928,1)-1)="ULGALLOC",LEFT(B928,FIND("_",B928,1)-1)="ULSPOOL"),LEFT(B928,FIND("_",B928,1)-1),VLOOKUP(LEFT(A928,6),'Code Library'!$D$3:$E$200,2,0))&amp;"_"&amp;RIGHT(A928,3)</f>
        <v>#VALUE!</v>
      </c>
      <c r="I928" s="66">
        <f t="shared" si="14"/>
        <v>0</v>
      </c>
    </row>
    <row r="929" spans="8:9">
      <c r="H929" s="66" t="e">
        <f>IF(OR(LEFT(B929,FIND("_",B929,1)-1)="ULGALLOC",LEFT(B929,FIND("_",B929,1)-1)="ULSPOOL"),LEFT(B929,FIND("_",B929,1)-1),VLOOKUP(LEFT(A929,6),'Code Library'!$D$3:$E$200,2,0))&amp;"_"&amp;RIGHT(A929,3)</f>
        <v>#VALUE!</v>
      </c>
      <c r="I929" s="66">
        <f t="shared" si="14"/>
        <v>0</v>
      </c>
    </row>
    <row r="930" spans="8:9">
      <c r="H930" s="66" t="e">
        <f>IF(OR(LEFT(B930,FIND("_",B930,1)-1)="ULGALLOC",LEFT(B930,FIND("_",B930,1)-1)="ULSPOOL"),LEFT(B930,FIND("_",B930,1)-1),VLOOKUP(LEFT(A930,6),'Code Library'!$D$3:$E$200,2,0))&amp;"_"&amp;RIGHT(A930,3)</f>
        <v>#VALUE!</v>
      </c>
      <c r="I930" s="66">
        <f t="shared" si="14"/>
        <v>0</v>
      </c>
    </row>
    <row r="931" spans="8:9">
      <c r="H931" s="66" t="e">
        <f>IF(OR(LEFT(B931,FIND("_",B931,1)-1)="ULGALLOC",LEFT(B931,FIND("_",B931,1)-1)="ULSPOOL"),LEFT(B931,FIND("_",B931,1)-1),VLOOKUP(LEFT(A931,6),'Code Library'!$D$3:$E$200,2,0))&amp;"_"&amp;RIGHT(A931,3)</f>
        <v>#VALUE!</v>
      </c>
      <c r="I931" s="66">
        <f t="shared" si="14"/>
        <v>0</v>
      </c>
    </row>
    <row r="932" spans="8:9">
      <c r="H932" s="66" t="e">
        <f>IF(OR(LEFT(B932,FIND("_",B932,1)-1)="ULGALLOC",LEFT(B932,FIND("_",B932,1)-1)="ULSPOOL"),LEFT(B932,FIND("_",B932,1)-1),VLOOKUP(LEFT(A932,6),'Code Library'!$D$3:$E$200,2,0))&amp;"_"&amp;RIGHT(A932,3)</f>
        <v>#VALUE!</v>
      </c>
      <c r="I932" s="66">
        <f t="shared" si="14"/>
        <v>0</v>
      </c>
    </row>
    <row r="933" spans="8:9">
      <c r="H933" s="66" t="e">
        <f>IF(OR(LEFT(B933,FIND("_",B933,1)-1)="ULGALLOC",LEFT(B933,FIND("_",B933,1)-1)="ULSPOOL"),LEFT(B933,FIND("_",B933,1)-1),VLOOKUP(LEFT(A933,6),'Code Library'!$D$3:$E$200,2,0))&amp;"_"&amp;RIGHT(A933,3)</f>
        <v>#VALUE!</v>
      </c>
      <c r="I933" s="66">
        <f t="shared" si="14"/>
        <v>0</v>
      </c>
    </row>
    <row r="934" spans="8:9">
      <c r="H934" s="66" t="e">
        <f>IF(OR(LEFT(B934,FIND("_",B934,1)-1)="ULGALLOC",LEFT(B934,FIND("_",B934,1)-1)="ULSPOOL"),LEFT(B934,FIND("_",B934,1)-1),VLOOKUP(LEFT(A934,6),'Code Library'!$D$3:$E$200,2,0))&amp;"_"&amp;RIGHT(A934,3)</f>
        <v>#VALUE!</v>
      </c>
      <c r="I934" s="66">
        <f t="shared" si="14"/>
        <v>0</v>
      </c>
    </row>
    <row r="935" spans="8:9">
      <c r="H935" s="66" t="e">
        <f>IF(OR(LEFT(B935,FIND("_",B935,1)-1)="ULGALLOC",LEFT(B935,FIND("_",B935,1)-1)="ULSPOOL"),LEFT(B935,FIND("_",B935,1)-1),VLOOKUP(LEFT(A935,6),'Code Library'!$D$3:$E$200,2,0))&amp;"_"&amp;RIGHT(A935,3)</f>
        <v>#VALUE!</v>
      </c>
      <c r="I935" s="66">
        <f t="shared" si="14"/>
        <v>0</v>
      </c>
    </row>
    <row r="936" spans="8:9">
      <c r="H936" s="66" t="e">
        <f>IF(OR(LEFT(B936,FIND("_",B936,1)-1)="ULGALLOC",LEFT(B936,FIND("_",B936,1)-1)="ULSPOOL"),LEFT(B936,FIND("_",B936,1)-1),VLOOKUP(LEFT(A936,6),'Code Library'!$D$3:$E$200,2,0))&amp;"_"&amp;RIGHT(A936,3)</f>
        <v>#VALUE!</v>
      </c>
      <c r="I936" s="66">
        <f t="shared" si="14"/>
        <v>0</v>
      </c>
    </row>
    <row r="937" spans="8:9">
      <c r="H937" s="66" t="e">
        <f>IF(OR(LEFT(B937,FIND("_",B937,1)-1)="ULGALLOC",LEFT(B937,FIND("_",B937,1)-1)="ULSPOOL"),LEFT(B937,FIND("_",B937,1)-1),VLOOKUP(LEFT(A937,6),'Code Library'!$D$3:$E$200,2,0))&amp;"_"&amp;RIGHT(A937,3)</f>
        <v>#VALUE!</v>
      </c>
      <c r="I937" s="66">
        <f t="shared" si="14"/>
        <v>0</v>
      </c>
    </row>
    <row r="938" spans="8:9">
      <c r="H938" s="66" t="e">
        <f>IF(OR(LEFT(B938,FIND("_",B938,1)-1)="ULGALLOC",LEFT(B938,FIND("_",B938,1)-1)="ULSPOOL"),LEFT(B938,FIND("_",B938,1)-1),VLOOKUP(LEFT(A938,6),'Code Library'!$D$3:$E$200,2,0))&amp;"_"&amp;RIGHT(A938,3)</f>
        <v>#VALUE!</v>
      </c>
      <c r="I938" s="66">
        <f t="shared" si="14"/>
        <v>0</v>
      </c>
    </row>
    <row r="939" spans="8:9">
      <c r="H939" s="66" t="e">
        <f>IF(OR(LEFT(B939,FIND("_",B939,1)-1)="ULGALLOC",LEFT(B939,FIND("_",B939,1)-1)="ULSPOOL"),LEFT(B939,FIND("_",B939,1)-1),VLOOKUP(LEFT(A939,6),'Code Library'!$D$3:$E$200,2,0))&amp;"_"&amp;RIGHT(A939,3)</f>
        <v>#VALUE!</v>
      </c>
      <c r="I939" s="66">
        <f t="shared" si="14"/>
        <v>0</v>
      </c>
    </row>
    <row r="940" spans="8:9">
      <c r="H940" s="66" t="e">
        <f>IF(OR(LEFT(B940,FIND("_",B940,1)-1)="ULGALLOC",LEFT(B940,FIND("_",B940,1)-1)="ULSPOOL"),LEFT(B940,FIND("_",B940,1)-1),VLOOKUP(LEFT(A940,6),'Code Library'!$D$3:$E$200,2,0))&amp;"_"&amp;RIGHT(A940,3)</f>
        <v>#VALUE!</v>
      </c>
      <c r="I940" s="66">
        <f t="shared" si="14"/>
        <v>0</v>
      </c>
    </row>
    <row r="941" spans="8:9">
      <c r="H941" s="66" t="e">
        <f>IF(OR(LEFT(B941,FIND("_",B941,1)-1)="ULGALLOC",LEFT(B941,FIND("_",B941,1)-1)="ULSPOOL"),LEFT(B941,FIND("_",B941,1)-1),VLOOKUP(LEFT(A941,6),'Code Library'!$D$3:$E$200,2,0))&amp;"_"&amp;RIGHT(A941,3)</f>
        <v>#VALUE!</v>
      </c>
      <c r="I941" s="66">
        <f t="shared" si="14"/>
        <v>0</v>
      </c>
    </row>
    <row r="942" spans="8:9">
      <c r="H942" s="66" t="e">
        <f>IF(OR(LEFT(B942,FIND("_",B942,1)-1)="ULGALLOC",LEFT(B942,FIND("_",B942,1)-1)="ULSPOOL"),LEFT(B942,FIND("_",B942,1)-1),VLOOKUP(LEFT(A942,6),'Code Library'!$D$3:$E$200,2,0))&amp;"_"&amp;RIGHT(A942,3)</f>
        <v>#VALUE!</v>
      </c>
      <c r="I942" s="66">
        <f t="shared" si="14"/>
        <v>0</v>
      </c>
    </row>
    <row r="943" spans="8:9">
      <c r="H943" s="66" t="e">
        <f>IF(OR(LEFT(B943,FIND("_",B943,1)-1)="ULGALLOC",LEFT(B943,FIND("_",B943,1)-1)="ULSPOOL"),LEFT(B943,FIND("_",B943,1)-1),VLOOKUP(LEFT(A943,6),'Code Library'!$D$3:$E$200,2,0))&amp;"_"&amp;RIGHT(A943,3)</f>
        <v>#VALUE!</v>
      </c>
      <c r="I943" s="66">
        <f t="shared" si="14"/>
        <v>0</v>
      </c>
    </row>
    <row r="944" spans="8:9">
      <c r="H944" s="66" t="e">
        <f>IF(OR(LEFT(B944,FIND("_",B944,1)-1)="ULGALLOC",LEFT(B944,FIND("_",B944,1)-1)="ULSPOOL"),LEFT(B944,FIND("_",B944,1)-1),VLOOKUP(LEFT(A944,6),'Code Library'!$D$3:$E$200,2,0))&amp;"_"&amp;RIGHT(A944,3)</f>
        <v>#VALUE!</v>
      </c>
      <c r="I944" s="66">
        <f t="shared" si="14"/>
        <v>0</v>
      </c>
    </row>
    <row r="945" spans="8:9">
      <c r="H945" s="66" t="e">
        <f>IF(OR(LEFT(B945,FIND("_",B945,1)-1)="ULGALLOC",LEFT(B945,FIND("_",B945,1)-1)="ULSPOOL"),LEFT(B945,FIND("_",B945,1)-1),VLOOKUP(LEFT(A945,6),'Code Library'!$D$3:$E$200,2,0))&amp;"_"&amp;RIGHT(A945,3)</f>
        <v>#VALUE!</v>
      </c>
      <c r="I945" s="66">
        <f t="shared" si="14"/>
        <v>0</v>
      </c>
    </row>
    <row r="946" spans="8:9">
      <c r="H946" s="66" t="e">
        <f>IF(OR(LEFT(B946,FIND("_",B946,1)-1)="ULGALLOC",LEFT(B946,FIND("_",B946,1)-1)="ULSPOOL"),LEFT(B946,FIND("_",B946,1)-1),VLOOKUP(LEFT(A946,6),'Code Library'!$D$3:$E$200,2,0))&amp;"_"&amp;RIGHT(A946,3)</f>
        <v>#VALUE!</v>
      </c>
      <c r="I946" s="66">
        <f t="shared" si="14"/>
        <v>0</v>
      </c>
    </row>
    <row r="947" spans="8:9">
      <c r="H947" s="66" t="e">
        <f>IF(OR(LEFT(B947,FIND("_",B947,1)-1)="ULGALLOC",LEFT(B947,FIND("_",B947,1)-1)="ULSPOOL"),LEFT(B947,FIND("_",B947,1)-1),VLOOKUP(LEFT(A947,6),'Code Library'!$D$3:$E$200,2,0))&amp;"_"&amp;RIGHT(A947,3)</f>
        <v>#VALUE!</v>
      </c>
      <c r="I947" s="66">
        <f t="shared" si="14"/>
        <v>0</v>
      </c>
    </row>
    <row r="948" spans="8:9">
      <c r="H948" s="66" t="e">
        <f>IF(OR(LEFT(B948,FIND("_",B948,1)-1)="ULGALLOC",LEFT(B948,FIND("_",B948,1)-1)="ULSPOOL"),LEFT(B948,FIND("_",B948,1)-1),VLOOKUP(LEFT(A948,6),'Code Library'!$D$3:$E$200,2,0))&amp;"_"&amp;RIGHT(A948,3)</f>
        <v>#VALUE!</v>
      </c>
      <c r="I948" s="66">
        <f t="shared" si="14"/>
        <v>0</v>
      </c>
    </row>
    <row r="949" spans="8:9">
      <c r="H949" s="66" t="e">
        <f>IF(OR(LEFT(B949,FIND("_",B949,1)-1)="ULGALLOC",LEFT(B949,FIND("_",B949,1)-1)="ULSPOOL"),LEFT(B949,FIND("_",B949,1)-1),VLOOKUP(LEFT(A949,6),'Code Library'!$D$3:$E$200,2,0))&amp;"_"&amp;RIGHT(A949,3)</f>
        <v>#VALUE!</v>
      </c>
      <c r="I949" s="66">
        <f t="shared" si="14"/>
        <v>0</v>
      </c>
    </row>
    <row r="950" spans="8:9">
      <c r="H950" s="66" t="e">
        <f>IF(OR(LEFT(B950,FIND("_",B950,1)-1)="ULGALLOC",LEFT(B950,FIND("_",B950,1)-1)="ULSPOOL"),LEFT(B950,FIND("_",B950,1)-1),VLOOKUP(LEFT(A950,6),'Code Library'!$D$3:$E$200,2,0))&amp;"_"&amp;RIGHT(A950,3)</f>
        <v>#VALUE!</v>
      </c>
      <c r="I950" s="66">
        <f t="shared" si="14"/>
        <v>0</v>
      </c>
    </row>
    <row r="951" spans="8:9">
      <c r="H951" s="66" t="e">
        <f>IF(OR(LEFT(B951,FIND("_",B951,1)-1)="ULGALLOC",LEFT(B951,FIND("_",B951,1)-1)="ULSPOOL"),LEFT(B951,FIND("_",B951,1)-1),VLOOKUP(LEFT(A951,6),'Code Library'!$D$3:$E$200,2,0))&amp;"_"&amp;RIGHT(A951,3)</f>
        <v>#VALUE!</v>
      </c>
      <c r="I951" s="66">
        <f t="shared" si="14"/>
        <v>0</v>
      </c>
    </row>
    <row r="952" spans="8:9">
      <c r="H952" s="66" t="e">
        <f>IF(OR(LEFT(B952,FIND("_",B952,1)-1)="ULGALLOC",LEFT(B952,FIND("_",B952,1)-1)="ULSPOOL"),LEFT(B952,FIND("_",B952,1)-1),VLOOKUP(LEFT(A952,6),'Code Library'!$D$3:$E$200,2,0))&amp;"_"&amp;RIGHT(A952,3)</f>
        <v>#VALUE!</v>
      </c>
      <c r="I952" s="66">
        <f t="shared" si="14"/>
        <v>0</v>
      </c>
    </row>
    <row r="953" spans="8:9">
      <c r="H953" s="66" t="e">
        <f>IF(OR(LEFT(B953,FIND("_",B953,1)-1)="ULGALLOC",LEFT(B953,FIND("_",B953,1)-1)="ULSPOOL"),LEFT(B953,FIND("_",B953,1)-1),VLOOKUP(LEFT(A953,6),'Code Library'!$D$3:$E$200,2,0))&amp;"_"&amp;RIGHT(A953,3)</f>
        <v>#VALUE!</v>
      </c>
      <c r="I953" s="66">
        <f t="shared" si="14"/>
        <v>0</v>
      </c>
    </row>
    <row r="954" spans="8:9">
      <c r="H954" s="66" t="e">
        <f>IF(OR(LEFT(B954,FIND("_",B954,1)-1)="ULGALLOC",LEFT(B954,FIND("_",B954,1)-1)="ULSPOOL"),LEFT(B954,FIND("_",B954,1)-1),VLOOKUP(LEFT(A954,6),'Code Library'!$D$3:$E$200,2,0))&amp;"_"&amp;RIGHT(A954,3)</f>
        <v>#VALUE!</v>
      </c>
      <c r="I954" s="66">
        <f t="shared" si="14"/>
        <v>0</v>
      </c>
    </row>
    <row r="955" spans="8:9">
      <c r="H955" s="66" t="e">
        <f>IF(OR(LEFT(B955,FIND("_",B955,1)-1)="ULGALLOC",LEFT(B955,FIND("_",B955,1)-1)="ULSPOOL"),LEFT(B955,FIND("_",B955,1)-1),VLOOKUP(LEFT(A955,6),'Code Library'!$D$3:$E$200,2,0))&amp;"_"&amp;RIGHT(A955,3)</f>
        <v>#VALUE!</v>
      </c>
      <c r="I955" s="66">
        <f t="shared" si="14"/>
        <v>0</v>
      </c>
    </row>
    <row r="956" spans="8:9">
      <c r="H956" s="66" t="e">
        <f>IF(OR(LEFT(B956,FIND("_",B956,1)-1)="ULGALLOC",LEFT(B956,FIND("_",B956,1)-1)="ULSPOOL"),LEFT(B956,FIND("_",B956,1)-1),VLOOKUP(LEFT(A956,6),'Code Library'!$D$3:$E$200,2,0))&amp;"_"&amp;RIGHT(A956,3)</f>
        <v>#VALUE!</v>
      </c>
      <c r="I956" s="66">
        <f t="shared" si="14"/>
        <v>0</v>
      </c>
    </row>
    <row r="957" spans="8:9">
      <c r="H957" s="66" t="e">
        <f>IF(OR(LEFT(B957,FIND("_",B957,1)-1)="ULGALLOC",LEFT(B957,FIND("_",B957,1)-1)="ULSPOOL"),LEFT(B957,FIND("_",B957,1)-1),VLOOKUP(LEFT(A957,6),'Code Library'!$D$3:$E$200,2,0))&amp;"_"&amp;RIGHT(A957,3)</f>
        <v>#VALUE!</v>
      </c>
      <c r="I957" s="66">
        <f t="shared" si="14"/>
        <v>0</v>
      </c>
    </row>
    <row r="958" spans="8:9">
      <c r="H958" s="66" t="e">
        <f>IF(OR(LEFT(B958,FIND("_",B958,1)-1)="ULGALLOC",LEFT(B958,FIND("_",B958,1)-1)="ULSPOOL"),LEFT(B958,FIND("_",B958,1)-1),VLOOKUP(LEFT(A958,6),'Code Library'!$D$3:$E$200,2,0))&amp;"_"&amp;RIGHT(A958,3)</f>
        <v>#VALUE!</v>
      </c>
      <c r="I958" s="66">
        <f t="shared" si="14"/>
        <v>0</v>
      </c>
    </row>
    <row r="959" spans="8:9">
      <c r="H959" s="66" t="e">
        <f>IF(OR(LEFT(B959,FIND("_",B959,1)-1)="ULGALLOC",LEFT(B959,FIND("_",B959,1)-1)="ULSPOOL"),LEFT(B959,FIND("_",B959,1)-1),VLOOKUP(LEFT(A959,6),'Code Library'!$D$3:$E$200,2,0))&amp;"_"&amp;RIGHT(A959,3)</f>
        <v>#VALUE!</v>
      </c>
      <c r="I959" s="66">
        <f t="shared" si="14"/>
        <v>0</v>
      </c>
    </row>
    <row r="960" spans="8:9">
      <c r="H960" s="66" t="e">
        <f>IF(OR(LEFT(B960,FIND("_",B960,1)-1)="ULGALLOC",LEFT(B960,FIND("_",B960,1)-1)="ULSPOOL"),LEFT(B960,FIND("_",B960,1)-1),VLOOKUP(LEFT(A960,6),'Code Library'!$D$3:$E$200,2,0))&amp;"_"&amp;RIGHT(A960,3)</f>
        <v>#VALUE!</v>
      </c>
      <c r="I960" s="66">
        <f t="shared" si="14"/>
        <v>0</v>
      </c>
    </row>
    <row r="961" spans="8:9">
      <c r="H961" s="66" t="e">
        <f>IF(OR(LEFT(B961,FIND("_",B961,1)-1)="ULGALLOC",LEFT(B961,FIND("_",B961,1)-1)="ULSPOOL"),LEFT(B961,FIND("_",B961,1)-1),VLOOKUP(LEFT(A961,6),'Code Library'!$D$3:$E$200,2,0))&amp;"_"&amp;RIGHT(A961,3)</f>
        <v>#VALUE!</v>
      </c>
      <c r="I961" s="66">
        <f t="shared" si="14"/>
        <v>0</v>
      </c>
    </row>
    <row r="962" spans="8:9">
      <c r="H962" s="66" t="e">
        <f>IF(OR(LEFT(B962,FIND("_",B962,1)-1)="ULGALLOC",LEFT(B962,FIND("_",B962,1)-1)="ULSPOOL"),LEFT(B962,FIND("_",B962,1)-1),VLOOKUP(LEFT(A962,6),'Code Library'!$D$3:$E$200,2,0))&amp;"_"&amp;RIGHT(A962,3)</f>
        <v>#VALUE!</v>
      </c>
      <c r="I962" s="66">
        <f t="shared" si="14"/>
        <v>0</v>
      </c>
    </row>
    <row r="963" spans="8:9">
      <c r="H963" s="66" t="e">
        <f>IF(OR(LEFT(B963,FIND("_",B963,1)-1)="ULGALLOC",LEFT(B963,FIND("_",B963,1)-1)="ULSPOOL"),LEFT(B963,FIND("_",B963,1)-1),VLOOKUP(LEFT(A963,6),'Code Library'!$D$3:$E$200,2,0))&amp;"_"&amp;RIGHT(A963,3)</f>
        <v>#VALUE!</v>
      </c>
      <c r="I963" s="66">
        <f t="shared" ref="I963:I1026" si="15">A963</f>
        <v>0</v>
      </c>
    </row>
    <row r="964" spans="8:9">
      <c r="H964" s="66" t="e">
        <f>IF(OR(LEFT(B964,FIND("_",B964,1)-1)="ULGALLOC",LEFT(B964,FIND("_",B964,1)-1)="ULSPOOL"),LEFT(B964,FIND("_",B964,1)-1),VLOOKUP(LEFT(A964,6),'Code Library'!$D$3:$E$200,2,0))&amp;"_"&amp;RIGHT(A964,3)</f>
        <v>#VALUE!</v>
      </c>
      <c r="I964" s="66">
        <f t="shared" si="15"/>
        <v>0</v>
      </c>
    </row>
    <row r="965" spans="8:9">
      <c r="H965" s="66" t="e">
        <f>IF(OR(LEFT(B965,FIND("_",B965,1)-1)="ULGALLOC",LEFT(B965,FIND("_",B965,1)-1)="ULSPOOL"),LEFT(B965,FIND("_",B965,1)-1),VLOOKUP(LEFT(A965,6),'Code Library'!$D$3:$E$200,2,0))&amp;"_"&amp;RIGHT(A965,3)</f>
        <v>#VALUE!</v>
      </c>
      <c r="I965" s="66">
        <f t="shared" si="15"/>
        <v>0</v>
      </c>
    </row>
    <row r="966" spans="8:9">
      <c r="H966" s="66" t="e">
        <f>IF(OR(LEFT(B966,FIND("_",B966,1)-1)="ULGALLOC",LEFT(B966,FIND("_",B966,1)-1)="ULSPOOL"),LEFT(B966,FIND("_",B966,1)-1),VLOOKUP(LEFT(A966,6),'Code Library'!$D$3:$E$200,2,0))&amp;"_"&amp;RIGHT(A966,3)</f>
        <v>#VALUE!</v>
      </c>
      <c r="I966" s="66">
        <f t="shared" si="15"/>
        <v>0</v>
      </c>
    </row>
    <row r="967" spans="8:9">
      <c r="H967" s="66" t="e">
        <f>IF(OR(LEFT(B967,FIND("_",B967,1)-1)="ULGALLOC",LEFT(B967,FIND("_",B967,1)-1)="ULSPOOL"),LEFT(B967,FIND("_",B967,1)-1),VLOOKUP(LEFT(A967,6),'Code Library'!$D$3:$E$200,2,0))&amp;"_"&amp;RIGHT(A967,3)</f>
        <v>#VALUE!</v>
      </c>
      <c r="I967" s="66">
        <f t="shared" si="15"/>
        <v>0</v>
      </c>
    </row>
    <row r="968" spans="8:9">
      <c r="H968" s="66" t="e">
        <f>IF(OR(LEFT(B968,FIND("_",B968,1)-1)="ULGALLOC",LEFT(B968,FIND("_",B968,1)-1)="ULSPOOL"),LEFT(B968,FIND("_",B968,1)-1),VLOOKUP(LEFT(A968,6),'Code Library'!$D$3:$E$200,2,0))&amp;"_"&amp;RIGHT(A968,3)</f>
        <v>#VALUE!</v>
      </c>
      <c r="I968" s="66">
        <f t="shared" si="15"/>
        <v>0</v>
      </c>
    </row>
    <row r="969" spans="8:9">
      <c r="H969" s="66" t="e">
        <f>IF(OR(LEFT(B969,FIND("_",B969,1)-1)="ULGALLOC",LEFT(B969,FIND("_",B969,1)-1)="ULSPOOL"),LEFT(B969,FIND("_",B969,1)-1),VLOOKUP(LEFT(A969,6),'Code Library'!$D$3:$E$200,2,0))&amp;"_"&amp;RIGHT(A969,3)</f>
        <v>#VALUE!</v>
      </c>
      <c r="I969" s="66">
        <f t="shared" si="15"/>
        <v>0</v>
      </c>
    </row>
    <row r="970" spans="8:9">
      <c r="H970" s="66" t="e">
        <f>IF(OR(LEFT(B970,FIND("_",B970,1)-1)="ULGALLOC",LEFT(B970,FIND("_",B970,1)-1)="ULSPOOL"),LEFT(B970,FIND("_",B970,1)-1),VLOOKUP(LEFT(A970,6),'Code Library'!$D$3:$E$200,2,0))&amp;"_"&amp;RIGHT(A970,3)</f>
        <v>#VALUE!</v>
      </c>
      <c r="I970" s="66">
        <f t="shared" si="15"/>
        <v>0</v>
      </c>
    </row>
    <row r="971" spans="8:9">
      <c r="H971" s="66" t="e">
        <f>IF(OR(LEFT(B971,FIND("_",B971,1)-1)="ULGALLOC",LEFT(B971,FIND("_",B971,1)-1)="ULSPOOL"),LEFT(B971,FIND("_",B971,1)-1),VLOOKUP(LEFT(A971,6),'Code Library'!$D$3:$E$200,2,0))&amp;"_"&amp;RIGHT(A971,3)</f>
        <v>#VALUE!</v>
      </c>
      <c r="I971" s="66">
        <f t="shared" si="15"/>
        <v>0</v>
      </c>
    </row>
    <row r="972" spans="8:9">
      <c r="H972" s="66" t="e">
        <f>IF(OR(LEFT(B972,FIND("_",B972,1)-1)="ULGALLOC",LEFT(B972,FIND("_",B972,1)-1)="ULSPOOL"),LEFT(B972,FIND("_",B972,1)-1),VLOOKUP(LEFT(A972,6),'Code Library'!$D$3:$E$200,2,0))&amp;"_"&amp;RIGHT(A972,3)</f>
        <v>#VALUE!</v>
      </c>
      <c r="I972" s="66">
        <f t="shared" si="15"/>
        <v>0</v>
      </c>
    </row>
    <row r="973" spans="8:9">
      <c r="H973" s="66" t="e">
        <f>IF(OR(LEFT(B973,FIND("_",B973,1)-1)="ULGALLOC",LEFT(B973,FIND("_",B973,1)-1)="ULSPOOL"),LEFT(B973,FIND("_",B973,1)-1),VLOOKUP(LEFT(A973,6),'Code Library'!$D$3:$E$200,2,0))&amp;"_"&amp;RIGHT(A973,3)</f>
        <v>#VALUE!</v>
      </c>
      <c r="I973" s="66">
        <f t="shared" si="15"/>
        <v>0</v>
      </c>
    </row>
    <row r="974" spans="8:9">
      <c r="H974" s="66" t="e">
        <f>IF(OR(LEFT(B974,FIND("_",B974,1)-1)="ULGALLOC",LEFT(B974,FIND("_",B974,1)-1)="ULSPOOL"),LEFT(B974,FIND("_",B974,1)-1),VLOOKUP(LEFT(A974,6),'Code Library'!$D$3:$E$200,2,0))&amp;"_"&amp;RIGHT(A974,3)</f>
        <v>#VALUE!</v>
      </c>
      <c r="I974" s="66">
        <f t="shared" si="15"/>
        <v>0</v>
      </c>
    </row>
    <row r="975" spans="8:9">
      <c r="H975" s="66" t="e">
        <f>IF(OR(LEFT(B975,FIND("_",B975,1)-1)="ULGALLOC",LEFT(B975,FIND("_",B975,1)-1)="ULSPOOL"),LEFT(B975,FIND("_",B975,1)-1),VLOOKUP(LEFT(A975,6),'Code Library'!$D$3:$E$200,2,0))&amp;"_"&amp;RIGHT(A975,3)</f>
        <v>#VALUE!</v>
      </c>
      <c r="I975" s="66">
        <f t="shared" si="15"/>
        <v>0</v>
      </c>
    </row>
    <row r="976" spans="8:9">
      <c r="H976" s="66" t="e">
        <f>IF(OR(LEFT(B976,FIND("_",B976,1)-1)="ULGALLOC",LEFT(B976,FIND("_",B976,1)-1)="ULSPOOL"),LEFT(B976,FIND("_",B976,1)-1),VLOOKUP(LEFT(A976,6),'Code Library'!$D$3:$E$200,2,0))&amp;"_"&amp;RIGHT(A976,3)</f>
        <v>#VALUE!</v>
      </c>
      <c r="I976" s="66">
        <f t="shared" si="15"/>
        <v>0</v>
      </c>
    </row>
    <row r="977" spans="8:9">
      <c r="H977" s="66" t="e">
        <f>IF(OR(LEFT(B977,FIND("_",B977,1)-1)="ULGALLOC",LEFT(B977,FIND("_",B977,1)-1)="ULSPOOL"),LEFT(B977,FIND("_",B977,1)-1),VLOOKUP(LEFT(A977,6),'Code Library'!$D$3:$E$200,2,0))&amp;"_"&amp;RIGHT(A977,3)</f>
        <v>#VALUE!</v>
      </c>
      <c r="I977" s="66">
        <f t="shared" si="15"/>
        <v>0</v>
      </c>
    </row>
    <row r="978" spans="8:9">
      <c r="H978" s="66" t="e">
        <f>IF(OR(LEFT(B978,FIND("_",B978,1)-1)="ULGALLOC",LEFT(B978,FIND("_",B978,1)-1)="ULSPOOL"),LEFT(B978,FIND("_",B978,1)-1),VLOOKUP(LEFT(A978,6),'Code Library'!$D$3:$E$200,2,0))&amp;"_"&amp;RIGHT(A978,3)</f>
        <v>#VALUE!</v>
      </c>
      <c r="I978" s="66">
        <f t="shared" si="15"/>
        <v>0</v>
      </c>
    </row>
    <row r="979" spans="8:9">
      <c r="H979" s="66" t="e">
        <f>IF(OR(LEFT(B979,FIND("_",B979,1)-1)="ULGALLOC",LEFT(B979,FIND("_",B979,1)-1)="ULSPOOL"),LEFT(B979,FIND("_",B979,1)-1),VLOOKUP(LEFT(A979,6),'Code Library'!$D$3:$E$200,2,0))&amp;"_"&amp;RIGHT(A979,3)</f>
        <v>#VALUE!</v>
      </c>
      <c r="I979" s="66">
        <f t="shared" si="15"/>
        <v>0</v>
      </c>
    </row>
    <row r="980" spans="8:9">
      <c r="H980" s="66" t="e">
        <f>IF(OR(LEFT(B980,FIND("_",B980,1)-1)="ULGALLOC",LEFT(B980,FIND("_",B980,1)-1)="ULSPOOL"),LEFT(B980,FIND("_",B980,1)-1),VLOOKUP(LEFT(A980,6),'Code Library'!$D$3:$E$200,2,0))&amp;"_"&amp;RIGHT(A980,3)</f>
        <v>#VALUE!</v>
      </c>
      <c r="I980" s="66">
        <f t="shared" si="15"/>
        <v>0</v>
      </c>
    </row>
    <row r="981" spans="8:9">
      <c r="H981" s="66" t="e">
        <f>IF(OR(LEFT(B981,FIND("_",B981,1)-1)="ULGALLOC",LEFT(B981,FIND("_",B981,1)-1)="ULSPOOL"),LEFT(B981,FIND("_",B981,1)-1),VLOOKUP(LEFT(A981,6),'Code Library'!$D$3:$E$200,2,0))&amp;"_"&amp;RIGHT(A981,3)</f>
        <v>#VALUE!</v>
      </c>
      <c r="I981" s="66">
        <f t="shared" si="15"/>
        <v>0</v>
      </c>
    </row>
    <row r="982" spans="8:9">
      <c r="H982" s="66" t="e">
        <f>IF(OR(LEFT(B982,FIND("_",B982,1)-1)="ULGALLOC",LEFT(B982,FIND("_",B982,1)-1)="ULSPOOL"),LEFT(B982,FIND("_",B982,1)-1),VLOOKUP(LEFT(A982,6),'Code Library'!$D$3:$E$200,2,0))&amp;"_"&amp;RIGHT(A982,3)</f>
        <v>#VALUE!</v>
      </c>
      <c r="I982" s="66">
        <f t="shared" si="15"/>
        <v>0</v>
      </c>
    </row>
    <row r="983" spans="8:9">
      <c r="H983" s="66" t="e">
        <f>IF(OR(LEFT(B983,FIND("_",B983,1)-1)="ULGALLOC",LEFT(B983,FIND("_",B983,1)-1)="ULSPOOL"),LEFT(B983,FIND("_",B983,1)-1),VLOOKUP(LEFT(A983,6),'Code Library'!$D$3:$E$200,2,0))&amp;"_"&amp;RIGHT(A983,3)</f>
        <v>#VALUE!</v>
      </c>
      <c r="I983" s="66">
        <f t="shared" si="15"/>
        <v>0</v>
      </c>
    </row>
    <row r="984" spans="8:9">
      <c r="H984" s="66" t="e">
        <f>IF(OR(LEFT(B984,FIND("_",B984,1)-1)="ULGALLOC",LEFT(B984,FIND("_",B984,1)-1)="ULSPOOL"),LEFT(B984,FIND("_",B984,1)-1),VLOOKUP(LEFT(A984,6),'Code Library'!$D$3:$E$200,2,0))&amp;"_"&amp;RIGHT(A984,3)</f>
        <v>#VALUE!</v>
      </c>
      <c r="I984" s="66">
        <f t="shared" si="15"/>
        <v>0</v>
      </c>
    </row>
    <row r="985" spans="8:9">
      <c r="H985" s="66" t="e">
        <f>IF(OR(LEFT(B985,FIND("_",B985,1)-1)="ULGALLOC",LEFT(B985,FIND("_",B985,1)-1)="ULSPOOL"),LEFT(B985,FIND("_",B985,1)-1),VLOOKUP(LEFT(A985,6),'Code Library'!$D$3:$E$200,2,0))&amp;"_"&amp;RIGHT(A985,3)</f>
        <v>#VALUE!</v>
      </c>
      <c r="I985" s="66">
        <f t="shared" si="15"/>
        <v>0</v>
      </c>
    </row>
    <row r="986" spans="8:9">
      <c r="H986" s="66" t="e">
        <f>IF(OR(LEFT(B986,FIND("_",B986,1)-1)="ULGALLOC",LEFT(B986,FIND("_",B986,1)-1)="ULSPOOL"),LEFT(B986,FIND("_",B986,1)-1),VLOOKUP(LEFT(A986,6),'Code Library'!$D$3:$E$200,2,0))&amp;"_"&amp;RIGHT(A986,3)</f>
        <v>#VALUE!</v>
      </c>
      <c r="I986" s="66">
        <f t="shared" si="15"/>
        <v>0</v>
      </c>
    </row>
    <row r="987" spans="8:9">
      <c r="H987" s="66" t="e">
        <f>IF(OR(LEFT(B987,FIND("_",B987,1)-1)="ULGALLOC",LEFT(B987,FIND("_",B987,1)-1)="ULSPOOL"),LEFT(B987,FIND("_",B987,1)-1),VLOOKUP(LEFT(A987,6),'Code Library'!$D$3:$E$200,2,0))&amp;"_"&amp;RIGHT(A987,3)</f>
        <v>#VALUE!</v>
      </c>
      <c r="I987" s="66">
        <f t="shared" si="15"/>
        <v>0</v>
      </c>
    </row>
    <row r="988" spans="8:9">
      <c r="H988" s="66" t="e">
        <f>IF(OR(LEFT(B988,FIND("_",B988,1)-1)="ULGALLOC",LEFT(B988,FIND("_",B988,1)-1)="ULSPOOL"),LEFT(B988,FIND("_",B988,1)-1),VLOOKUP(LEFT(A988,6),'Code Library'!$D$3:$E$200,2,0))&amp;"_"&amp;RIGHT(A988,3)</f>
        <v>#VALUE!</v>
      </c>
      <c r="I988" s="66">
        <f t="shared" si="15"/>
        <v>0</v>
      </c>
    </row>
    <row r="989" spans="8:9">
      <c r="H989" s="66" t="e">
        <f>IF(OR(LEFT(B989,FIND("_",B989,1)-1)="ULGALLOC",LEFT(B989,FIND("_",B989,1)-1)="ULSPOOL"),LEFT(B989,FIND("_",B989,1)-1),VLOOKUP(LEFT(A989,6),'Code Library'!$D$3:$E$200,2,0))&amp;"_"&amp;RIGHT(A989,3)</f>
        <v>#VALUE!</v>
      </c>
      <c r="I989" s="66">
        <f t="shared" si="15"/>
        <v>0</v>
      </c>
    </row>
    <row r="990" spans="8:9">
      <c r="H990" s="66" t="e">
        <f>IF(OR(LEFT(B990,FIND("_",B990,1)-1)="ULGALLOC",LEFT(B990,FIND("_",B990,1)-1)="ULSPOOL"),LEFT(B990,FIND("_",B990,1)-1),VLOOKUP(LEFT(A990,6),'Code Library'!$D$3:$E$200,2,0))&amp;"_"&amp;RIGHT(A990,3)</f>
        <v>#VALUE!</v>
      </c>
      <c r="I990" s="66">
        <f t="shared" si="15"/>
        <v>0</v>
      </c>
    </row>
    <row r="991" spans="8:9">
      <c r="H991" s="66" t="e">
        <f>IF(OR(LEFT(B991,FIND("_",B991,1)-1)="ULGALLOC",LEFT(B991,FIND("_",B991,1)-1)="ULSPOOL"),LEFT(B991,FIND("_",B991,1)-1),VLOOKUP(LEFT(A991,6),'Code Library'!$D$3:$E$200,2,0))&amp;"_"&amp;RIGHT(A991,3)</f>
        <v>#VALUE!</v>
      </c>
      <c r="I991" s="66">
        <f t="shared" si="15"/>
        <v>0</v>
      </c>
    </row>
    <row r="992" spans="8:9">
      <c r="H992" s="66" t="e">
        <f>IF(OR(LEFT(B992,FIND("_",B992,1)-1)="ULGALLOC",LEFT(B992,FIND("_",B992,1)-1)="ULSPOOL"),LEFT(B992,FIND("_",B992,1)-1),VLOOKUP(LEFT(A992,6),'Code Library'!$D$3:$E$200,2,0))&amp;"_"&amp;RIGHT(A992,3)</f>
        <v>#VALUE!</v>
      </c>
      <c r="I992" s="66">
        <f t="shared" si="15"/>
        <v>0</v>
      </c>
    </row>
    <row r="993" spans="8:9">
      <c r="H993" s="66" t="e">
        <f>IF(OR(LEFT(B993,FIND("_",B993,1)-1)="ULGALLOC",LEFT(B993,FIND("_",B993,1)-1)="ULSPOOL"),LEFT(B993,FIND("_",B993,1)-1),VLOOKUP(LEFT(A993,6),'Code Library'!$D$3:$E$200,2,0))&amp;"_"&amp;RIGHT(A993,3)</f>
        <v>#VALUE!</v>
      </c>
      <c r="I993" s="66">
        <f t="shared" si="15"/>
        <v>0</v>
      </c>
    </row>
    <row r="994" spans="8:9">
      <c r="H994" s="66" t="e">
        <f>IF(OR(LEFT(B994,FIND("_",B994,1)-1)="ULGALLOC",LEFT(B994,FIND("_",B994,1)-1)="ULSPOOL"),LEFT(B994,FIND("_",B994,1)-1),VLOOKUP(LEFT(A994,6),'Code Library'!$D$3:$E$200,2,0))&amp;"_"&amp;RIGHT(A994,3)</f>
        <v>#VALUE!</v>
      </c>
      <c r="I994" s="66">
        <f t="shared" si="15"/>
        <v>0</v>
      </c>
    </row>
    <row r="995" spans="8:9">
      <c r="H995" s="66" t="e">
        <f>IF(OR(LEFT(B995,FIND("_",B995,1)-1)="ULGALLOC",LEFT(B995,FIND("_",B995,1)-1)="ULSPOOL"),LEFT(B995,FIND("_",B995,1)-1),VLOOKUP(LEFT(A995,6),'Code Library'!$D$3:$E$200,2,0))&amp;"_"&amp;RIGHT(A995,3)</f>
        <v>#VALUE!</v>
      </c>
      <c r="I995" s="66">
        <f t="shared" si="15"/>
        <v>0</v>
      </c>
    </row>
    <row r="996" spans="8:9">
      <c r="H996" s="66" t="e">
        <f>IF(OR(LEFT(B996,FIND("_",B996,1)-1)="ULGALLOC",LEFT(B996,FIND("_",B996,1)-1)="ULSPOOL"),LEFT(B996,FIND("_",B996,1)-1),VLOOKUP(LEFT(A996,6),'Code Library'!$D$3:$E$200,2,0))&amp;"_"&amp;RIGHT(A996,3)</f>
        <v>#VALUE!</v>
      </c>
      <c r="I996" s="66">
        <f t="shared" si="15"/>
        <v>0</v>
      </c>
    </row>
    <row r="997" spans="8:9">
      <c r="H997" s="66" t="e">
        <f>IF(OR(LEFT(B997,FIND("_",B997,1)-1)="ULGALLOC",LEFT(B997,FIND("_",B997,1)-1)="ULSPOOL"),LEFT(B997,FIND("_",B997,1)-1),VLOOKUP(LEFT(A997,6),'Code Library'!$D$3:$E$200,2,0))&amp;"_"&amp;RIGHT(A997,3)</f>
        <v>#VALUE!</v>
      </c>
      <c r="I997" s="66">
        <f t="shared" si="15"/>
        <v>0</v>
      </c>
    </row>
    <row r="998" spans="8:9">
      <c r="H998" s="66" t="e">
        <f>IF(OR(LEFT(B998,FIND("_",B998,1)-1)="ULGALLOC",LEFT(B998,FIND("_",B998,1)-1)="ULSPOOL"),LEFT(B998,FIND("_",B998,1)-1),VLOOKUP(LEFT(A998,6),'Code Library'!$D$3:$E$200,2,0))&amp;"_"&amp;RIGHT(A998,3)</f>
        <v>#VALUE!</v>
      </c>
      <c r="I998" s="66">
        <f t="shared" si="15"/>
        <v>0</v>
      </c>
    </row>
    <row r="999" spans="8:9">
      <c r="H999" s="66" t="e">
        <f>IF(OR(LEFT(B999,FIND("_",B999,1)-1)="ULGALLOC",LEFT(B999,FIND("_",B999,1)-1)="ULSPOOL"),LEFT(B999,FIND("_",B999,1)-1),VLOOKUP(LEFT(A999,6),'Code Library'!$D$3:$E$200,2,0))&amp;"_"&amp;RIGHT(A999,3)</f>
        <v>#VALUE!</v>
      </c>
      <c r="I999" s="66">
        <f t="shared" si="15"/>
        <v>0</v>
      </c>
    </row>
    <row r="1000" spans="8:9">
      <c r="H1000" s="66" t="e">
        <f>IF(OR(LEFT(B1000,FIND("_",B1000,1)-1)="ULGALLOC",LEFT(B1000,FIND("_",B1000,1)-1)="ULSPOOL"),LEFT(B1000,FIND("_",B1000,1)-1),VLOOKUP(LEFT(A1000,6),'Code Library'!$D$3:$E$200,2,0))&amp;"_"&amp;RIGHT(A1000,3)</f>
        <v>#VALUE!</v>
      </c>
      <c r="I1000" s="66">
        <f t="shared" si="15"/>
        <v>0</v>
      </c>
    </row>
    <row r="1001" spans="8:9">
      <c r="H1001" s="66" t="e">
        <f>IF(OR(LEFT(B1001,FIND("_",B1001,1)-1)="ULGALLOC",LEFT(B1001,FIND("_",B1001,1)-1)="ULSPOOL"),LEFT(B1001,FIND("_",B1001,1)-1),VLOOKUP(LEFT(A1001,6),'Code Library'!$D$3:$E$200,2,0))&amp;"_"&amp;RIGHT(A1001,3)</f>
        <v>#VALUE!</v>
      </c>
      <c r="I1001" s="66">
        <f t="shared" si="15"/>
        <v>0</v>
      </c>
    </row>
    <row r="1002" spans="8:9">
      <c r="H1002" s="66" t="e">
        <f>IF(OR(LEFT(B1002,FIND("_",B1002,1)-1)="ULGALLOC",LEFT(B1002,FIND("_",B1002,1)-1)="ULSPOOL"),LEFT(B1002,FIND("_",B1002,1)-1),VLOOKUP(LEFT(A1002,6),'Code Library'!$D$3:$E$200,2,0))&amp;"_"&amp;RIGHT(A1002,3)</f>
        <v>#VALUE!</v>
      </c>
      <c r="I1002" s="66">
        <f t="shared" si="15"/>
        <v>0</v>
      </c>
    </row>
    <row r="1003" spans="8:9">
      <c r="H1003" s="66" t="e">
        <f>IF(OR(LEFT(B1003,FIND("_",B1003,1)-1)="ULGALLOC",LEFT(B1003,FIND("_",B1003,1)-1)="ULSPOOL"),LEFT(B1003,FIND("_",B1003,1)-1),VLOOKUP(LEFT(A1003,6),'Code Library'!$D$3:$E$200,2,0))&amp;"_"&amp;RIGHT(A1003,3)</f>
        <v>#VALUE!</v>
      </c>
      <c r="I1003" s="66">
        <f t="shared" si="15"/>
        <v>0</v>
      </c>
    </row>
    <row r="1004" spans="8:9">
      <c r="H1004" s="66" t="e">
        <f>IF(OR(LEFT(B1004,FIND("_",B1004,1)-1)="ULGALLOC",LEFT(B1004,FIND("_",B1004,1)-1)="ULSPOOL"),LEFT(B1004,FIND("_",B1004,1)-1),VLOOKUP(LEFT(A1004,6),'Code Library'!$D$3:$E$200,2,0))&amp;"_"&amp;RIGHT(A1004,3)</f>
        <v>#VALUE!</v>
      </c>
      <c r="I1004" s="66">
        <f t="shared" si="15"/>
        <v>0</v>
      </c>
    </row>
    <row r="1005" spans="8:9">
      <c r="H1005" s="66" t="e">
        <f>IF(OR(LEFT(B1005,FIND("_",B1005,1)-1)="ULGALLOC",LEFT(B1005,FIND("_",B1005,1)-1)="ULSPOOL"),LEFT(B1005,FIND("_",B1005,1)-1),VLOOKUP(LEFT(A1005,6),'Code Library'!$D$3:$E$200,2,0))&amp;"_"&amp;RIGHT(A1005,3)</f>
        <v>#VALUE!</v>
      </c>
      <c r="I1005" s="66">
        <f t="shared" si="15"/>
        <v>0</v>
      </c>
    </row>
    <row r="1006" spans="8:9">
      <c r="H1006" s="66" t="e">
        <f>IF(OR(LEFT(B1006,FIND("_",B1006,1)-1)="ULGALLOC",LEFT(B1006,FIND("_",B1006,1)-1)="ULSPOOL"),LEFT(B1006,FIND("_",B1006,1)-1),VLOOKUP(LEFT(A1006,6),'Code Library'!$D$3:$E$200,2,0))&amp;"_"&amp;RIGHT(A1006,3)</f>
        <v>#VALUE!</v>
      </c>
      <c r="I1006" s="66">
        <f t="shared" si="15"/>
        <v>0</v>
      </c>
    </row>
    <row r="1007" spans="8:9">
      <c r="H1007" s="66" t="e">
        <f>IF(OR(LEFT(B1007,FIND("_",B1007,1)-1)="ULGALLOC",LEFT(B1007,FIND("_",B1007,1)-1)="ULSPOOL"),LEFT(B1007,FIND("_",B1007,1)-1),VLOOKUP(LEFT(A1007,6),'Code Library'!$D$3:$E$200,2,0))&amp;"_"&amp;RIGHT(A1007,3)</f>
        <v>#VALUE!</v>
      </c>
      <c r="I1007" s="66">
        <f t="shared" si="15"/>
        <v>0</v>
      </c>
    </row>
    <row r="1008" spans="8:9">
      <c r="H1008" s="66" t="e">
        <f>IF(OR(LEFT(B1008,FIND("_",B1008,1)-1)="ULGALLOC",LEFT(B1008,FIND("_",B1008,1)-1)="ULSPOOL"),LEFT(B1008,FIND("_",B1008,1)-1),VLOOKUP(LEFT(A1008,6),'Code Library'!$D$3:$E$200,2,0))&amp;"_"&amp;RIGHT(A1008,3)</f>
        <v>#VALUE!</v>
      </c>
      <c r="I1008" s="66">
        <f t="shared" si="15"/>
        <v>0</v>
      </c>
    </row>
    <row r="1009" spans="8:9">
      <c r="H1009" s="66" t="e">
        <f>IF(OR(LEFT(B1009,FIND("_",B1009,1)-1)="ULGALLOC",LEFT(B1009,FIND("_",B1009,1)-1)="ULSPOOL"),LEFT(B1009,FIND("_",B1009,1)-1),VLOOKUP(LEFT(A1009,6),'Code Library'!$D$3:$E$200,2,0))&amp;"_"&amp;RIGHT(A1009,3)</f>
        <v>#VALUE!</v>
      </c>
      <c r="I1009" s="66">
        <f t="shared" si="15"/>
        <v>0</v>
      </c>
    </row>
    <row r="1010" spans="8:9">
      <c r="H1010" s="66" t="e">
        <f>IF(OR(LEFT(B1010,FIND("_",B1010,1)-1)="ULGALLOC",LEFT(B1010,FIND("_",B1010,1)-1)="ULSPOOL"),LEFT(B1010,FIND("_",B1010,1)-1),VLOOKUP(LEFT(A1010,6),'Code Library'!$D$3:$E$200,2,0))&amp;"_"&amp;RIGHT(A1010,3)</f>
        <v>#VALUE!</v>
      </c>
      <c r="I1010" s="66">
        <f t="shared" si="15"/>
        <v>0</v>
      </c>
    </row>
    <row r="1011" spans="8:9">
      <c r="H1011" s="66" t="e">
        <f>IF(OR(LEFT(B1011,FIND("_",B1011,1)-1)="ULGALLOC",LEFT(B1011,FIND("_",B1011,1)-1)="ULSPOOL"),LEFT(B1011,FIND("_",B1011,1)-1),VLOOKUP(LEFT(A1011,6),'Code Library'!$D$3:$E$200,2,0))&amp;"_"&amp;RIGHT(A1011,3)</f>
        <v>#VALUE!</v>
      </c>
      <c r="I1011" s="66">
        <f t="shared" si="15"/>
        <v>0</v>
      </c>
    </row>
    <row r="1012" spans="8:9">
      <c r="H1012" s="66" t="e">
        <f>IF(OR(LEFT(B1012,FIND("_",B1012,1)-1)="ULGALLOC",LEFT(B1012,FIND("_",B1012,1)-1)="ULSPOOL"),LEFT(B1012,FIND("_",B1012,1)-1),VLOOKUP(LEFT(A1012,6),'Code Library'!$D$3:$E$200,2,0))&amp;"_"&amp;RIGHT(A1012,3)</f>
        <v>#VALUE!</v>
      </c>
      <c r="I1012" s="66">
        <f t="shared" si="15"/>
        <v>0</v>
      </c>
    </row>
    <row r="1013" spans="8:9">
      <c r="H1013" s="66" t="e">
        <f>IF(OR(LEFT(B1013,FIND("_",B1013,1)-1)="ULGALLOC",LEFT(B1013,FIND("_",B1013,1)-1)="ULSPOOL"),LEFT(B1013,FIND("_",B1013,1)-1),VLOOKUP(LEFT(A1013,6),'Code Library'!$D$3:$E$200,2,0))&amp;"_"&amp;RIGHT(A1013,3)</f>
        <v>#VALUE!</v>
      </c>
      <c r="I1013" s="66">
        <f t="shared" si="15"/>
        <v>0</v>
      </c>
    </row>
    <row r="1014" spans="8:9">
      <c r="H1014" s="66" t="e">
        <f>IF(OR(LEFT(B1014,FIND("_",B1014,1)-1)="ULGALLOC",LEFT(B1014,FIND("_",B1014,1)-1)="ULSPOOL"),LEFT(B1014,FIND("_",B1014,1)-1),VLOOKUP(LEFT(A1014,6),'Code Library'!$D$3:$E$200,2,0))&amp;"_"&amp;RIGHT(A1014,3)</f>
        <v>#VALUE!</v>
      </c>
      <c r="I1014" s="66">
        <f t="shared" si="15"/>
        <v>0</v>
      </c>
    </row>
    <row r="1015" spans="8:9">
      <c r="H1015" s="66" t="e">
        <f>IF(OR(LEFT(B1015,FIND("_",B1015,1)-1)="ULGALLOC",LEFT(B1015,FIND("_",B1015,1)-1)="ULSPOOL"),LEFT(B1015,FIND("_",B1015,1)-1),VLOOKUP(LEFT(A1015,6),'Code Library'!$D$3:$E$200,2,0))&amp;"_"&amp;RIGHT(A1015,3)</f>
        <v>#VALUE!</v>
      </c>
      <c r="I1015" s="66">
        <f t="shared" si="15"/>
        <v>0</v>
      </c>
    </row>
    <row r="1016" spans="8:9">
      <c r="H1016" s="66" t="e">
        <f>IF(OR(LEFT(B1016,FIND("_",B1016,1)-1)="ULGALLOC",LEFT(B1016,FIND("_",B1016,1)-1)="ULSPOOL"),LEFT(B1016,FIND("_",B1016,1)-1),VLOOKUP(LEFT(A1016,6),'Code Library'!$D$3:$E$200,2,0))&amp;"_"&amp;RIGHT(A1016,3)</f>
        <v>#VALUE!</v>
      </c>
      <c r="I1016" s="66">
        <f t="shared" si="15"/>
        <v>0</v>
      </c>
    </row>
    <row r="1017" spans="8:9">
      <c r="H1017" s="66" t="e">
        <f>IF(OR(LEFT(B1017,FIND("_",B1017,1)-1)="ULGALLOC",LEFT(B1017,FIND("_",B1017,1)-1)="ULSPOOL"),LEFT(B1017,FIND("_",B1017,1)-1),VLOOKUP(LEFT(A1017,6),'Code Library'!$D$3:$E$200,2,0))&amp;"_"&amp;RIGHT(A1017,3)</f>
        <v>#VALUE!</v>
      </c>
      <c r="I1017" s="66">
        <f t="shared" si="15"/>
        <v>0</v>
      </c>
    </row>
    <row r="1018" spans="8:9">
      <c r="H1018" s="66" t="e">
        <f>IF(OR(LEFT(B1018,FIND("_",B1018,1)-1)="ULGALLOC",LEFT(B1018,FIND("_",B1018,1)-1)="ULSPOOL"),LEFT(B1018,FIND("_",B1018,1)-1),VLOOKUP(LEFT(A1018,6),'Code Library'!$D$3:$E$200,2,0))&amp;"_"&amp;RIGHT(A1018,3)</f>
        <v>#VALUE!</v>
      </c>
      <c r="I1018" s="66">
        <f t="shared" si="15"/>
        <v>0</v>
      </c>
    </row>
    <row r="1019" spans="8:9">
      <c r="H1019" s="66" t="e">
        <f>IF(OR(LEFT(B1019,FIND("_",B1019,1)-1)="ULGALLOC",LEFT(B1019,FIND("_",B1019,1)-1)="ULSPOOL"),LEFT(B1019,FIND("_",B1019,1)-1),VLOOKUP(LEFT(A1019,6),'Code Library'!$D$3:$E$200,2,0))&amp;"_"&amp;RIGHT(A1019,3)</f>
        <v>#VALUE!</v>
      </c>
      <c r="I1019" s="66">
        <f t="shared" si="15"/>
        <v>0</v>
      </c>
    </row>
    <row r="1020" spans="8:9">
      <c r="H1020" s="66" t="e">
        <f>IF(OR(LEFT(B1020,FIND("_",B1020,1)-1)="ULGALLOC",LEFT(B1020,FIND("_",B1020,1)-1)="ULSPOOL"),LEFT(B1020,FIND("_",B1020,1)-1),VLOOKUP(LEFT(A1020,6),'Code Library'!$D$3:$E$200,2,0))&amp;"_"&amp;RIGHT(A1020,3)</f>
        <v>#VALUE!</v>
      </c>
      <c r="I1020" s="66">
        <f t="shared" si="15"/>
        <v>0</v>
      </c>
    </row>
    <row r="1021" spans="8:9">
      <c r="H1021" s="66" t="e">
        <f>IF(OR(LEFT(B1021,FIND("_",B1021,1)-1)="ULGALLOC",LEFT(B1021,FIND("_",B1021,1)-1)="ULSPOOL"),LEFT(B1021,FIND("_",B1021,1)-1),VLOOKUP(LEFT(A1021,6),'Code Library'!$D$3:$E$200,2,0))&amp;"_"&amp;RIGHT(A1021,3)</f>
        <v>#VALUE!</v>
      </c>
      <c r="I1021" s="66">
        <f t="shared" si="15"/>
        <v>0</v>
      </c>
    </row>
    <row r="1022" spans="8:9">
      <c r="H1022" s="66" t="e">
        <f>IF(OR(LEFT(B1022,FIND("_",B1022,1)-1)="ULGALLOC",LEFT(B1022,FIND("_",B1022,1)-1)="ULSPOOL"),LEFT(B1022,FIND("_",B1022,1)-1),VLOOKUP(LEFT(A1022,6),'Code Library'!$D$3:$E$200,2,0))&amp;"_"&amp;RIGHT(A1022,3)</f>
        <v>#VALUE!</v>
      </c>
      <c r="I1022" s="66">
        <f t="shared" si="15"/>
        <v>0</v>
      </c>
    </row>
    <row r="1023" spans="8:9">
      <c r="H1023" s="66" t="e">
        <f>IF(OR(LEFT(B1023,FIND("_",B1023,1)-1)="ULGALLOC",LEFT(B1023,FIND("_",B1023,1)-1)="ULSPOOL"),LEFT(B1023,FIND("_",B1023,1)-1),VLOOKUP(LEFT(A1023,6),'Code Library'!$D$3:$E$200,2,0))&amp;"_"&amp;RIGHT(A1023,3)</f>
        <v>#VALUE!</v>
      </c>
      <c r="I1023" s="66">
        <f t="shared" si="15"/>
        <v>0</v>
      </c>
    </row>
    <row r="1024" spans="8:9">
      <c r="H1024" s="66" t="e">
        <f>IF(OR(LEFT(B1024,FIND("_",B1024,1)-1)="ULGALLOC",LEFT(B1024,FIND("_",B1024,1)-1)="ULSPOOL"),LEFT(B1024,FIND("_",B1024,1)-1),VLOOKUP(LEFT(A1024,6),'Code Library'!$D$3:$E$200,2,0))&amp;"_"&amp;RIGHT(A1024,3)</f>
        <v>#VALUE!</v>
      </c>
      <c r="I1024" s="66">
        <f t="shared" si="15"/>
        <v>0</v>
      </c>
    </row>
    <row r="1025" spans="8:9">
      <c r="H1025" s="66" t="e">
        <f>IF(OR(LEFT(B1025,FIND("_",B1025,1)-1)="ULGALLOC",LEFT(B1025,FIND("_",B1025,1)-1)="ULSPOOL"),LEFT(B1025,FIND("_",B1025,1)-1),VLOOKUP(LEFT(A1025,6),'Code Library'!$D$3:$E$200,2,0))&amp;"_"&amp;RIGHT(A1025,3)</f>
        <v>#VALUE!</v>
      </c>
      <c r="I1025" s="66">
        <f t="shared" si="15"/>
        <v>0</v>
      </c>
    </row>
    <row r="1026" spans="8:9">
      <c r="H1026" s="66" t="e">
        <f>IF(OR(LEFT(B1026,FIND("_",B1026,1)-1)="ULGALLOC",LEFT(B1026,FIND("_",B1026,1)-1)="ULSPOOL"),LEFT(B1026,FIND("_",B1026,1)-1),VLOOKUP(LEFT(A1026,6),'Code Library'!$D$3:$E$200,2,0))&amp;"_"&amp;RIGHT(A1026,3)</f>
        <v>#VALUE!</v>
      </c>
      <c r="I1026" s="66">
        <f t="shared" si="15"/>
        <v>0</v>
      </c>
    </row>
    <row r="1027" spans="8:9">
      <c r="H1027" s="66" t="e">
        <f>IF(OR(LEFT(B1027,FIND("_",B1027,1)-1)="ULGALLOC",LEFT(B1027,FIND("_",B1027,1)-1)="ULSPOOL"),LEFT(B1027,FIND("_",B1027,1)-1),VLOOKUP(LEFT(A1027,6),'Code Library'!$D$3:$E$200,2,0))&amp;"_"&amp;RIGHT(A1027,3)</f>
        <v>#VALUE!</v>
      </c>
      <c r="I1027" s="66">
        <f t="shared" ref="I1027:I1090" si="16">A1027</f>
        <v>0</v>
      </c>
    </row>
    <row r="1028" spans="8:9">
      <c r="H1028" s="66" t="e">
        <f>IF(OR(LEFT(B1028,FIND("_",B1028,1)-1)="ULGALLOC",LEFT(B1028,FIND("_",B1028,1)-1)="ULSPOOL"),LEFT(B1028,FIND("_",B1028,1)-1),VLOOKUP(LEFT(A1028,6),'Code Library'!$D$3:$E$200,2,0))&amp;"_"&amp;RIGHT(A1028,3)</f>
        <v>#VALUE!</v>
      </c>
      <c r="I1028" s="66">
        <f t="shared" si="16"/>
        <v>0</v>
      </c>
    </row>
    <row r="1029" spans="8:9">
      <c r="H1029" s="66" t="e">
        <f>IF(OR(LEFT(B1029,FIND("_",B1029,1)-1)="ULGALLOC",LEFT(B1029,FIND("_",B1029,1)-1)="ULSPOOL"),LEFT(B1029,FIND("_",B1029,1)-1),VLOOKUP(LEFT(A1029,6),'Code Library'!$D$3:$E$200,2,0))&amp;"_"&amp;RIGHT(A1029,3)</f>
        <v>#VALUE!</v>
      </c>
      <c r="I1029" s="66">
        <f t="shared" si="16"/>
        <v>0</v>
      </c>
    </row>
    <row r="1030" spans="8:9">
      <c r="H1030" s="66" t="e">
        <f>IF(OR(LEFT(B1030,FIND("_",B1030,1)-1)="ULGALLOC",LEFT(B1030,FIND("_",B1030,1)-1)="ULSPOOL"),LEFT(B1030,FIND("_",B1030,1)-1),VLOOKUP(LEFT(A1030,6),'Code Library'!$D$3:$E$200,2,0))&amp;"_"&amp;RIGHT(A1030,3)</f>
        <v>#VALUE!</v>
      </c>
      <c r="I1030" s="66">
        <f t="shared" si="16"/>
        <v>0</v>
      </c>
    </row>
    <row r="1031" spans="8:9">
      <c r="H1031" s="66" t="e">
        <f>IF(OR(LEFT(B1031,FIND("_",B1031,1)-1)="ULGALLOC",LEFT(B1031,FIND("_",B1031,1)-1)="ULSPOOL"),LEFT(B1031,FIND("_",B1031,1)-1),VLOOKUP(LEFT(A1031,6),'Code Library'!$D$3:$E$200,2,0))&amp;"_"&amp;RIGHT(A1031,3)</f>
        <v>#VALUE!</v>
      </c>
      <c r="I1031" s="66">
        <f t="shared" si="16"/>
        <v>0</v>
      </c>
    </row>
    <row r="1032" spans="8:9">
      <c r="H1032" s="66" t="e">
        <f>IF(OR(LEFT(B1032,FIND("_",B1032,1)-1)="ULGALLOC",LEFT(B1032,FIND("_",B1032,1)-1)="ULSPOOL"),LEFT(B1032,FIND("_",B1032,1)-1),VLOOKUP(LEFT(A1032,6),'Code Library'!$D$3:$E$200,2,0))&amp;"_"&amp;RIGHT(A1032,3)</f>
        <v>#VALUE!</v>
      </c>
      <c r="I1032" s="66">
        <f t="shared" si="16"/>
        <v>0</v>
      </c>
    </row>
    <row r="1033" spans="8:9">
      <c r="H1033" s="66" t="e">
        <f>IF(OR(LEFT(B1033,FIND("_",B1033,1)-1)="ULGALLOC",LEFT(B1033,FIND("_",B1033,1)-1)="ULSPOOL"),LEFT(B1033,FIND("_",B1033,1)-1),VLOOKUP(LEFT(A1033,6),'Code Library'!$D$3:$E$200,2,0))&amp;"_"&amp;RIGHT(A1033,3)</f>
        <v>#VALUE!</v>
      </c>
      <c r="I1033" s="66">
        <f t="shared" si="16"/>
        <v>0</v>
      </c>
    </row>
    <row r="1034" spans="8:9">
      <c r="H1034" s="66" t="e">
        <f>IF(OR(LEFT(B1034,FIND("_",B1034,1)-1)="ULGALLOC",LEFT(B1034,FIND("_",B1034,1)-1)="ULSPOOL"),LEFT(B1034,FIND("_",B1034,1)-1),VLOOKUP(LEFT(A1034,6),'Code Library'!$D$3:$E$200,2,0))&amp;"_"&amp;RIGHT(A1034,3)</f>
        <v>#VALUE!</v>
      </c>
      <c r="I1034" s="66">
        <f t="shared" si="16"/>
        <v>0</v>
      </c>
    </row>
    <row r="1035" spans="8:9">
      <c r="H1035" s="66" t="e">
        <f>IF(OR(LEFT(B1035,FIND("_",B1035,1)-1)="ULGALLOC",LEFT(B1035,FIND("_",B1035,1)-1)="ULSPOOL"),LEFT(B1035,FIND("_",B1035,1)-1),VLOOKUP(LEFT(A1035,6),'Code Library'!$D$3:$E$200,2,0))&amp;"_"&amp;RIGHT(A1035,3)</f>
        <v>#VALUE!</v>
      </c>
      <c r="I1035" s="66">
        <f t="shared" si="16"/>
        <v>0</v>
      </c>
    </row>
    <row r="1036" spans="8:9">
      <c r="H1036" s="66" t="e">
        <f>IF(OR(LEFT(B1036,FIND("_",B1036,1)-1)="ULGALLOC",LEFT(B1036,FIND("_",B1036,1)-1)="ULSPOOL"),LEFT(B1036,FIND("_",B1036,1)-1),VLOOKUP(LEFT(A1036,6),'Code Library'!$D$3:$E$200,2,0))&amp;"_"&amp;RIGHT(A1036,3)</f>
        <v>#VALUE!</v>
      </c>
      <c r="I1036" s="66">
        <f t="shared" si="16"/>
        <v>0</v>
      </c>
    </row>
    <row r="1037" spans="8:9">
      <c r="H1037" s="66" t="e">
        <f>IF(OR(LEFT(B1037,FIND("_",B1037,1)-1)="ULGALLOC",LEFT(B1037,FIND("_",B1037,1)-1)="ULSPOOL"),LEFT(B1037,FIND("_",B1037,1)-1),VLOOKUP(LEFT(A1037,6),'Code Library'!$D$3:$E$200,2,0))&amp;"_"&amp;RIGHT(A1037,3)</f>
        <v>#VALUE!</v>
      </c>
      <c r="I1037" s="66">
        <f t="shared" si="16"/>
        <v>0</v>
      </c>
    </row>
    <row r="1038" spans="8:9">
      <c r="H1038" s="66" t="e">
        <f>IF(OR(LEFT(B1038,FIND("_",B1038,1)-1)="ULGALLOC",LEFT(B1038,FIND("_",B1038,1)-1)="ULSPOOL"),LEFT(B1038,FIND("_",B1038,1)-1),VLOOKUP(LEFT(A1038,6),'Code Library'!$D$3:$E$200,2,0))&amp;"_"&amp;RIGHT(A1038,3)</f>
        <v>#VALUE!</v>
      </c>
      <c r="I1038" s="66">
        <f t="shared" si="16"/>
        <v>0</v>
      </c>
    </row>
    <row r="1039" spans="8:9">
      <c r="H1039" s="66" t="e">
        <f>IF(OR(LEFT(B1039,FIND("_",B1039,1)-1)="ULGALLOC",LEFT(B1039,FIND("_",B1039,1)-1)="ULSPOOL"),LEFT(B1039,FIND("_",B1039,1)-1),VLOOKUP(LEFT(A1039,6),'Code Library'!$D$3:$E$200,2,0))&amp;"_"&amp;RIGHT(A1039,3)</f>
        <v>#VALUE!</v>
      </c>
      <c r="I1039" s="66">
        <f t="shared" si="16"/>
        <v>0</v>
      </c>
    </row>
    <row r="1040" spans="8:9">
      <c r="H1040" s="66" t="e">
        <f>IF(OR(LEFT(B1040,FIND("_",B1040,1)-1)="ULGALLOC",LEFT(B1040,FIND("_",B1040,1)-1)="ULSPOOL"),LEFT(B1040,FIND("_",B1040,1)-1),VLOOKUP(LEFT(A1040,6),'Code Library'!$D$3:$E$200,2,0))&amp;"_"&amp;RIGHT(A1040,3)</f>
        <v>#VALUE!</v>
      </c>
      <c r="I1040" s="66">
        <f t="shared" si="16"/>
        <v>0</v>
      </c>
    </row>
    <row r="1041" spans="8:9">
      <c r="H1041" s="66" t="e">
        <f>IF(OR(LEFT(B1041,FIND("_",B1041,1)-1)="ULGALLOC",LEFT(B1041,FIND("_",B1041,1)-1)="ULSPOOL"),LEFT(B1041,FIND("_",B1041,1)-1),VLOOKUP(LEFT(A1041,6),'Code Library'!$D$3:$E$200,2,0))&amp;"_"&amp;RIGHT(A1041,3)</f>
        <v>#VALUE!</v>
      </c>
      <c r="I1041" s="66">
        <f t="shared" si="16"/>
        <v>0</v>
      </c>
    </row>
    <row r="1042" spans="8:9">
      <c r="H1042" s="66" t="e">
        <f>IF(OR(LEFT(B1042,FIND("_",B1042,1)-1)="ULGALLOC",LEFT(B1042,FIND("_",B1042,1)-1)="ULSPOOL"),LEFT(B1042,FIND("_",B1042,1)-1),VLOOKUP(LEFT(A1042,6),'Code Library'!$D$3:$E$200,2,0))&amp;"_"&amp;RIGHT(A1042,3)</f>
        <v>#VALUE!</v>
      </c>
      <c r="I1042" s="66">
        <f t="shared" si="16"/>
        <v>0</v>
      </c>
    </row>
    <row r="1043" spans="8:9">
      <c r="H1043" s="66" t="e">
        <f>IF(OR(LEFT(B1043,FIND("_",B1043,1)-1)="ULGALLOC",LEFT(B1043,FIND("_",B1043,1)-1)="ULSPOOL"),LEFT(B1043,FIND("_",B1043,1)-1),VLOOKUP(LEFT(A1043,6),'Code Library'!$D$3:$E$200,2,0))&amp;"_"&amp;RIGHT(A1043,3)</f>
        <v>#VALUE!</v>
      </c>
      <c r="I1043" s="66">
        <f t="shared" si="16"/>
        <v>0</v>
      </c>
    </row>
    <row r="1044" spans="8:9">
      <c r="H1044" s="66" t="e">
        <f>IF(OR(LEFT(B1044,FIND("_",B1044,1)-1)="ULGALLOC",LEFT(B1044,FIND("_",B1044,1)-1)="ULSPOOL"),LEFT(B1044,FIND("_",B1044,1)-1),VLOOKUP(LEFT(A1044,6),'Code Library'!$D$3:$E$200,2,0))&amp;"_"&amp;RIGHT(A1044,3)</f>
        <v>#VALUE!</v>
      </c>
      <c r="I1044" s="66">
        <f t="shared" si="16"/>
        <v>0</v>
      </c>
    </row>
    <row r="1045" spans="8:9">
      <c r="H1045" s="66" t="e">
        <f>IF(OR(LEFT(B1045,FIND("_",B1045,1)-1)="ULGALLOC",LEFT(B1045,FIND("_",B1045,1)-1)="ULSPOOL"),LEFT(B1045,FIND("_",B1045,1)-1),VLOOKUP(LEFT(A1045,6),'Code Library'!$D$3:$E$200,2,0))&amp;"_"&amp;RIGHT(A1045,3)</f>
        <v>#VALUE!</v>
      </c>
      <c r="I1045" s="66">
        <f t="shared" si="16"/>
        <v>0</v>
      </c>
    </row>
    <row r="1046" spans="8:9">
      <c r="H1046" s="66" t="e">
        <f>IF(OR(LEFT(B1046,FIND("_",B1046,1)-1)="ULGALLOC",LEFT(B1046,FIND("_",B1046,1)-1)="ULSPOOL"),LEFT(B1046,FIND("_",B1046,1)-1),VLOOKUP(LEFT(A1046,6),'Code Library'!$D$3:$E$200,2,0))&amp;"_"&amp;RIGHT(A1046,3)</f>
        <v>#VALUE!</v>
      </c>
      <c r="I1046" s="66">
        <f t="shared" si="16"/>
        <v>0</v>
      </c>
    </row>
    <row r="1047" spans="8:9">
      <c r="H1047" s="66" t="e">
        <f>IF(OR(LEFT(B1047,FIND("_",B1047,1)-1)="ULGALLOC",LEFT(B1047,FIND("_",B1047,1)-1)="ULSPOOL"),LEFT(B1047,FIND("_",B1047,1)-1),VLOOKUP(LEFT(A1047,6),'Code Library'!$D$3:$E$200,2,0))&amp;"_"&amp;RIGHT(A1047,3)</f>
        <v>#VALUE!</v>
      </c>
      <c r="I1047" s="66">
        <f t="shared" si="16"/>
        <v>0</v>
      </c>
    </row>
    <row r="1048" spans="8:9">
      <c r="H1048" s="66" t="e">
        <f>IF(OR(LEFT(B1048,FIND("_",B1048,1)-1)="ULGALLOC",LEFT(B1048,FIND("_",B1048,1)-1)="ULSPOOL"),LEFT(B1048,FIND("_",B1048,1)-1),VLOOKUP(LEFT(A1048,6),'Code Library'!$D$3:$E$200,2,0))&amp;"_"&amp;RIGHT(A1048,3)</f>
        <v>#VALUE!</v>
      </c>
      <c r="I1048" s="66">
        <f t="shared" si="16"/>
        <v>0</v>
      </c>
    </row>
    <row r="1049" spans="8:9">
      <c r="H1049" s="66" t="e">
        <f>IF(OR(LEFT(B1049,FIND("_",B1049,1)-1)="ULGALLOC",LEFT(B1049,FIND("_",B1049,1)-1)="ULSPOOL"),LEFT(B1049,FIND("_",B1049,1)-1),VLOOKUP(LEFT(A1049,6),'Code Library'!$D$3:$E$200,2,0))&amp;"_"&amp;RIGHT(A1049,3)</f>
        <v>#VALUE!</v>
      </c>
      <c r="I1049" s="66">
        <f t="shared" si="16"/>
        <v>0</v>
      </c>
    </row>
    <row r="1050" spans="8:9">
      <c r="H1050" s="66" t="e">
        <f>IF(OR(LEFT(B1050,FIND("_",B1050,1)-1)="ULGALLOC",LEFT(B1050,FIND("_",B1050,1)-1)="ULSPOOL"),LEFT(B1050,FIND("_",B1050,1)-1),VLOOKUP(LEFT(A1050,6),'Code Library'!$D$3:$E$200,2,0))&amp;"_"&amp;RIGHT(A1050,3)</f>
        <v>#VALUE!</v>
      </c>
      <c r="I1050" s="66">
        <f t="shared" si="16"/>
        <v>0</v>
      </c>
    </row>
    <row r="1051" spans="8:9">
      <c r="H1051" s="66" t="e">
        <f>IF(OR(LEFT(B1051,FIND("_",B1051,1)-1)="ULGALLOC",LEFT(B1051,FIND("_",B1051,1)-1)="ULSPOOL"),LEFT(B1051,FIND("_",B1051,1)-1),VLOOKUP(LEFT(A1051,6),'Code Library'!$D$3:$E$200,2,0))&amp;"_"&amp;RIGHT(A1051,3)</f>
        <v>#VALUE!</v>
      </c>
      <c r="I1051" s="66">
        <f t="shared" si="16"/>
        <v>0</v>
      </c>
    </row>
    <row r="1052" spans="8:9">
      <c r="H1052" s="66" t="e">
        <f>IF(OR(LEFT(B1052,FIND("_",B1052,1)-1)="ULGALLOC",LEFT(B1052,FIND("_",B1052,1)-1)="ULSPOOL"),LEFT(B1052,FIND("_",B1052,1)-1),VLOOKUP(LEFT(A1052,6),'Code Library'!$D$3:$E$200,2,0))&amp;"_"&amp;RIGHT(A1052,3)</f>
        <v>#VALUE!</v>
      </c>
      <c r="I1052" s="66">
        <f t="shared" si="16"/>
        <v>0</v>
      </c>
    </row>
    <row r="1053" spans="8:9">
      <c r="H1053" s="66" t="e">
        <f>IF(OR(LEFT(B1053,FIND("_",B1053,1)-1)="ULGALLOC",LEFT(B1053,FIND("_",B1053,1)-1)="ULSPOOL"),LEFT(B1053,FIND("_",B1053,1)-1),VLOOKUP(LEFT(A1053,6),'Code Library'!$D$3:$E$200,2,0))&amp;"_"&amp;RIGHT(A1053,3)</f>
        <v>#VALUE!</v>
      </c>
      <c r="I1053" s="66">
        <f t="shared" si="16"/>
        <v>0</v>
      </c>
    </row>
    <row r="1054" spans="8:9">
      <c r="H1054" s="66" t="e">
        <f>IF(OR(LEFT(B1054,FIND("_",B1054,1)-1)="ULGALLOC",LEFT(B1054,FIND("_",B1054,1)-1)="ULSPOOL"),LEFT(B1054,FIND("_",B1054,1)-1),VLOOKUP(LEFT(A1054,6),'Code Library'!$D$3:$E$200,2,0))&amp;"_"&amp;RIGHT(A1054,3)</f>
        <v>#VALUE!</v>
      </c>
      <c r="I1054" s="66">
        <f t="shared" si="16"/>
        <v>0</v>
      </c>
    </row>
    <row r="1055" spans="8:9">
      <c r="H1055" s="66" t="e">
        <f>IF(OR(LEFT(B1055,FIND("_",B1055,1)-1)="ULGALLOC",LEFT(B1055,FIND("_",B1055,1)-1)="ULSPOOL"),LEFT(B1055,FIND("_",B1055,1)-1),VLOOKUP(LEFT(A1055,6),'Code Library'!$D$3:$E$200,2,0))&amp;"_"&amp;RIGHT(A1055,3)</f>
        <v>#VALUE!</v>
      </c>
      <c r="I1055" s="66">
        <f t="shared" si="16"/>
        <v>0</v>
      </c>
    </row>
    <row r="1056" spans="8:9">
      <c r="H1056" s="66" t="e">
        <f>IF(OR(LEFT(B1056,FIND("_",B1056,1)-1)="ULGALLOC",LEFT(B1056,FIND("_",B1056,1)-1)="ULSPOOL"),LEFT(B1056,FIND("_",B1056,1)-1),VLOOKUP(LEFT(A1056,6),'Code Library'!$D$3:$E$200,2,0))&amp;"_"&amp;RIGHT(A1056,3)</f>
        <v>#VALUE!</v>
      </c>
      <c r="I1056" s="66">
        <f t="shared" si="16"/>
        <v>0</v>
      </c>
    </row>
    <row r="1057" spans="8:9">
      <c r="H1057" s="66" t="e">
        <f>IF(OR(LEFT(B1057,FIND("_",B1057,1)-1)="ULGALLOC",LEFT(B1057,FIND("_",B1057,1)-1)="ULSPOOL"),LEFT(B1057,FIND("_",B1057,1)-1),VLOOKUP(LEFT(A1057,6),'Code Library'!$D$3:$E$200,2,0))&amp;"_"&amp;RIGHT(A1057,3)</f>
        <v>#VALUE!</v>
      </c>
      <c r="I1057" s="66">
        <f t="shared" si="16"/>
        <v>0</v>
      </c>
    </row>
    <row r="1058" spans="8:9">
      <c r="H1058" s="66" t="e">
        <f>IF(OR(LEFT(B1058,FIND("_",B1058,1)-1)="ULGALLOC",LEFT(B1058,FIND("_",B1058,1)-1)="ULSPOOL"),LEFT(B1058,FIND("_",B1058,1)-1),VLOOKUP(LEFT(A1058,6),'Code Library'!$D$3:$E$200,2,0))&amp;"_"&amp;RIGHT(A1058,3)</f>
        <v>#VALUE!</v>
      </c>
      <c r="I1058" s="66">
        <f t="shared" si="16"/>
        <v>0</v>
      </c>
    </row>
    <row r="1059" spans="8:9">
      <c r="H1059" s="66" t="e">
        <f>IF(OR(LEFT(B1059,FIND("_",B1059,1)-1)="ULGALLOC",LEFT(B1059,FIND("_",B1059,1)-1)="ULSPOOL"),LEFT(B1059,FIND("_",B1059,1)-1),VLOOKUP(LEFT(A1059,6),'Code Library'!$D$3:$E$200,2,0))&amp;"_"&amp;RIGHT(A1059,3)</f>
        <v>#VALUE!</v>
      </c>
      <c r="I1059" s="66">
        <f t="shared" si="16"/>
        <v>0</v>
      </c>
    </row>
    <row r="1060" spans="8:9">
      <c r="H1060" s="66" t="e">
        <f>IF(OR(LEFT(B1060,FIND("_",B1060,1)-1)="ULGALLOC",LEFT(B1060,FIND("_",B1060,1)-1)="ULSPOOL"),LEFT(B1060,FIND("_",B1060,1)-1),VLOOKUP(LEFT(A1060,6),'Code Library'!$D$3:$E$200,2,0))&amp;"_"&amp;RIGHT(A1060,3)</f>
        <v>#VALUE!</v>
      </c>
      <c r="I1060" s="66">
        <f t="shared" si="16"/>
        <v>0</v>
      </c>
    </row>
    <row r="1061" spans="8:9">
      <c r="H1061" s="66" t="e">
        <f>IF(OR(LEFT(B1061,FIND("_",B1061,1)-1)="ULGALLOC",LEFT(B1061,FIND("_",B1061,1)-1)="ULSPOOL"),LEFT(B1061,FIND("_",B1061,1)-1),VLOOKUP(LEFT(A1061,6),'Code Library'!$D$3:$E$200,2,0))&amp;"_"&amp;RIGHT(A1061,3)</f>
        <v>#VALUE!</v>
      </c>
      <c r="I1061" s="66">
        <f t="shared" si="16"/>
        <v>0</v>
      </c>
    </row>
    <row r="1062" spans="8:9">
      <c r="H1062" s="66" t="e">
        <f>IF(OR(LEFT(B1062,FIND("_",B1062,1)-1)="ULGALLOC",LEFT(B1062,FIND("_",B1062,1)-1)="ULSPOOL"),LEFT(B1062,FIND("_",B1062,1)-1),VLOOKUP(LEFT(A1062,6),'Code Library'!$D$3:$E$200,2,0))&amp;"_"&amp;RIGHT(A1062,3)</f>
        <v>#VALUE!</v>
      </c>
      <c r="I1062" s="66">
        <f t="shared" si="16"/>
        <v>0</v>
      </c>
    </row>
    <row r="1063" spans="8:9">
      <c r="H1063" s="66" t="e">
        <f>IF(OR(LEFT(B1063,FIND("_",B1063,1)-1)="ULGALLOC",LEFT(B1063,FIND("_",B1063,1)-1)="ULSPOOL"),LEFT(B1063,FIND("_",B1063,1)-1),VLOOKUP(LEFT(A1063,6),'Code Library'!$D$3:$E$200,2,0))&amp;"_"&amp;RIGHT(A1063,3)</f>
        <v>#VALUE!</v>
      </c>
      <c r="I1063" s="66">
        <f t="shared" si="16"/>
        <v>0</v>
      </c>
    </row>
    <row r="1064" spans="8:9">
      <c r="H1064" s="66" t="e">
        <f>IF(OR(LEFT(B1064,FIND("_",B1064,1)-1)="ULGALLOC",LEFT(B1064,FIND("_",B1064,1)-1)="ULSPOOL"),LEFT(B1064,FIND("_",B1064,1)-1),VLOOKUP(LEFT(A1064,6),'Code Library'!$D$3:$E$200,2,0))&amp;"_"&amp;RIGHT(A1064,3)</f>
        <v>#VALUE!</v>
      </c>
      <c r="I1064" s="66">
        <f t="shared" si="16"/>
        <v>0</v>
      </c>
    </row>
    <row r="1065" spans="8:9">
      <c r="H1065" s="66" t="e">
        <f>IF(OR(LEFT(B1065,FIND("_",B1065,1)-1)="ULGALLOC",LEFT(B1065,FIND("_",B1065,1)-1)="ULSPOOL"),LEFT(B1065,FIND("_",B1065,1)-1),VLOOKUP(LEFT(A1065,6),'Code Library'!$D$3:$E$200,2,0))&amp;"_"&amp;RIGHT(A1065,3)</f>
        <v>#VALUE!</v>
      </c>
      <c r="I1065" s="66">
        <f t="shared" si="16"/>
        <v>0</v>
      </c>
    </row>
    <row r="1066" spans="8:9">
      <c r="H1066" s="66" t="e">
        <f>IF(OR(LEFT(B1066,FIND("_",B1066,1)-1)="ULGALLOC",LEFT(B1066,FIND("_",B1066,1)-1)="ULSPOOL"),LEFT(B1066,FIND("_",B1066,1)-1),VLOOKUP(LEFT(A1066,6),'Code Library'!$D$3:$E$200,2,0))&amp;"_"&amp;RIGHT(A1066,3)</f>
        <v>#VALUE!</v>
      </c>
      <c r="I1066" s="66">
        <f t="shared" si="16"/>
        <v>0</v>
      </c>
    </row>
    <row r="1067" spans="8:9">
      <c r="H1067" s="66" t="e">
        <f>IF(OR(LEFT(B1067,FIND("_",B1067,1)-1)="ULGALLOC",LEFT(B1067,FIND("_",B1067,1)-1)="ULSPOOL"),LEFT(B1067,FIND("_",B1067,1)-1),VLOOKUP(LEFT(A1067,6),'Code Library'!$D$3:$E$200,2,0))&amp;"_"&amp;RIGHT(A1067,3)</f>
        <v>#VALUE!</v>
      </c>
      <c r="I1067" s="66">
        <f t="shared" si="16"/>
        <v>0</v>
      </c>
    </row>
    <row r="1068" spans="8:9">
      <c r="H1068" s="66" t="e">
        <f>IF(OR(LEFT(B1068,FIND("_",B1068,1)-1)="ULGALLOC",LEFT(B1068,FIND("_",B1068,1)-1)="ULSPOOL"),LEFT(B1068,FIND("_",B1068,1)-1),VLOOKUP(LEFT(A1068,6),'Code Library'!$D$3:$E$200,2,0))&amp;"_"&amp;RIGHT(A1068,3)</f>
        <v>#VALUE!</v>
      </c>
      <c r="I1068" s="66">
        <f t="shared" si="16"/>
        <v>0</v>
      </c>
    </row>
    <row r="1069" spans="8:9">
      <c r="H1069" s="66" t="e">
        <f>IF(OR(LEFT(B1069,FIND("_",B1069,1)-1)="ULGALLOC",LEFT(B1069,FIND("_",B1069,1)-1)="ULSPOOL"),LEFT(B1069,FIND("_",B1069,1)-1),VLOOKUP(LEFT(A1069,6),'Code Library'!$D$3:$E$200,2,0))&amp;"_"&amp;RIGHT(A1069,3)</f>
        <v>#VALUE!</v>
      </c>
      <c r="I1069" s="66">
        <f t="shared" si="16"/>
        <v>0</v>
      </c>
    </row>
    <row r="1070" spans="8:9">
      <c r="H1070" s="66" t="e">
        <f>IF(OR(LEFT(B1070,FIND("_",B1070,1)-1)="ULGALLOC",LEFT(B1070,FIND("_",B1070,1)-1)="ULSPOOL"),LEFT(B1070,FIND("_",B1070,1)-1),VLOOKUP(LEFT(A1070,6),'Code Library'!$D$3:$E$200,2,0))&amp;"_"&amp;RIGHT(A1070,3)</f>
        <v>#VALUE!</v>
      </c>
      <c r="I1070" s="66">
        <f t="shared" si="16"/>
        <v>0</v>
      </c>
    </row>
    <row r="1071" spans="8:9">
      <c r="H1071" s="66" t="e">
        <f>IF(OR(LEFT(B1071,FIND("_",B1071,1)-1)="ULGALLOC",LEFT(B1071,FIND("_",B1071,1)-1)="ULSPOOL"),LEFT(B1071,FIND("_",B1071,1)-1),VLOOKUP(LEFT(A1071,6),'Code Library'!$D$3:$E$200,2,0))&amp;"_"&amp;RIGHT(A1071,3)</f>
        <v>#VALUE!</v>
      </c>
      <c r="I1071" s="66">
        <f t="shared" si="16"/>
        <v>0</v>
      </c>
    </row>
    <row r="1072" spans="8:9">
      <c r="H1072" s="66" t="e">
        <f>IF(OR(LEFT(B1072,FIND("_",B1072,1)-1)="ULGALLOC",LEFT(B1072,FIND("_",B1072,1)-1)="ULSPOOL"),LEFT(B1072,FIND("_",B1072,1)-1),VLOOKUP(LEFT(A1072,6),'Code Library'!$D$3:$E$200,2,0))&amp;"_"&amp;RIGHT(A1072,3)</f>
        <v>#VALUE!</v>
      </c>
      <c r="I1072" s="66">
        <f t="shared" si="16"/>
        <v>0</v>
      </c>
    </row>
    <row r="1073" spans="8:9">
      <c r="H1073" s="66" t="e">
        <f>IF(OR(LEFT(B1073,FIND("_",B1073,1)-1)="ULGALLOC",LEFT(B1073,FIND("_",B1073,1)-1)="ULSPOOL"),LEFT(B1073,FIND("_",B1073,1)-1),VLOOKUP(LEFT(A1073,6),'Code Library'!$D$3:$E$200,2,0))&amp;"_"&amp;RIGHT(A1073,3)</f>
        <v>#VALUE!</v>
      </c>
      <c r="I1073" s="66">
        <f t="shared" si="16"/>
        <v>0</v>
      </c>
    </row>
    <row r="1074" spans="8:9">
      <c r="H1074" s="66" t="e">
        <f>IF(OR(LEFT(B1074,FIND("_",B1074,1)-1)="ULGALLOC",LEFT(B1074,FIND("_",B1074,1)-1)="ULSPOOL"),LEFT(B1074,FIND("_",B1074,1)-1),VLOOKUP(LEFT(A1074,6),'Code Library'!$D$3:$E$200,2,0))&amp;"_"&amp;RIGHT(A1074,3)</f>
        <v>#VALUE!</v>
      </c>
      <c r="I1074" s="66">
        <f t="shared" si="16"/>
        <v>0</v>
      </c>
    </row>
    <row r="1075" spans="8:9">
      <c r="H1075" s="66" t="e">
        <f>IF(OR(LEFT(B1075,FIND("_",B1075,1)-1)="ULGALLOC",LEFT(B1075,FIND("_",B1075,1)-1)="ULSPOOL"),LEFT(B1075,FIND("_",B1075,1)-1),VLOOKUP(LEFT(A1075,6),'Code Library'!$D$3:$E$200,2,0))&amp;"_"&amp;RIGHT(A1075,3)</f>
        <v>#VALUE!</v>
      </c>
      <c r="I1075" s="66">
        <f t="shared" si="16"/>
        <v>0</v>
      </c>
    </row>
    <row r="1076" spans="8:9">
      <c r="H1076" s="66" t="e">
        <f>IF(OR(LEFT(B1076,FIND("_",B1076,1)-1)="ULGALLOC",LEFT(B1076,FIND("_",B1076,1)-1)="ULSPOOL"),LEFT(B1076,FIND("_",B1076,1)-1),VLOOKUP(LEFT(A1076,6),'Code Library'!$D$3:$E$200,2,0))&amp;"_"&amp;RIGHT(A1076,3)</f>
        <v>#VALUE!</v>
      </c>
      <c r="I1076" s="66">
        <f t="shared" si="16"/>
        <v>0</v>
      </c>
    </row>
    <row r="1077" spans="8:9">
      <c r="H1077" s="66" t="e">
        <f>IF(OR(LEFT(B1077,FIND("_",B1077,1)-1)="ULGALLOC",LEFT(B1077,FIND("_",B1077,1)-1)="ULSPOOL"),LEFT(B1077,FIND("_",B1077,1)-1),VLOOKUP(LEFT(A1077,6),'Code Library'!$D$3:$E$200,2,0))&amp;"_"&amp;RIGHT(A1077,3)</f>
        <v>#VALUE!</v>
      </c>
      <c r="I1077" s="66">
        <f t="shared" si="16"/>
        <v>0</v>
      </c>
    </row>
    <row r="1078" spans="8:9">
      <c r="H1078" s="66" t="e">
        <f>IF(OR(LEFT(B1078,FIND("_",B1078,1)-1)="ULGALLOC",LEFT(B1078,FIND("_",B1078,1)-1)="ULSPOOL"),LEFT(B1078,FIND("_",B1078,1)-1),VLOOKUP(LEFT(A1078,6),'Code Library'!$D$3:$E$200,2,0))&amp;"_"&amp;RIGHT(A1078,3)</f>
        <v>#VALUE!</v>
      </c>
      <c r="I1078" s="66">
        <f t="shared" si="16"/>
        <v>0</v>
      </c>
    </row>
    <row r="1079" spans="8:9">
      <c r="H1079" s="66" t="e">
        <f>IF(OR(LEFT(B1079,FIND("_",B1079,1)-1)="ULGALLOC",LEFT(B1079,FIND("_",B1079,1)-1)="ULSPOOL"),LEFT(B1079,FIND("_",B1079,1)-1),VLOOKUP(LEFT(A1079,6),'Code Library'!$D$3:$E$200,2,0))&amp;"_"&amp;RIGHT(A1079,3)</f>
        <v>#VALUE!</v>
      </c>
      <c r="I1079" s="66">
        <f t="shared" si="16"/>
        <v>0</v>
      </c>
    </row>
    <row r="1080" spans="8:9">
      <c r="H1080" s="66" t="e">
        <f>IF(OR(LEFT(B1080,FIND("_",B1080,1)-1)="ULGALLOC",LEFT(B1080,FIND("_",B1080,1)-1)="ULSPOOL"),LEFT(B1080,FIND("_",B1080,1)-1),VLOOKUP(LEFT(A1080,6),'Code Library'!$D$3:$E$200,2,0))&amp;"_"&amp;RIGHT(A1080,3)</f>
        <v>#VALUE!</v>
      </c>
      <c r="I1080" s="66">
        <f t="shared" si="16"/>
        <v>0</v>
      </c>
    </row>
    <row r="1081" spans="8:9">
      <c r="H1081" s="66" t="e">
        <f>IF(OR(LEFT(B1081,FIND("_",B1081,1)-1)="ULGALLOC",LEFT(B1081,FIND("_",B1081,1)-1)="ULSPOOL"),LEFT(B1081,FIND("_",B1081,1)-1),VLOOKUP(LEFT(A1081,6),'Code Library'!$D$3:$E$200,2,0))&amp;"_"&amp;RIGHT(A1081,3)</f>
        <v>#VALUE!</v>
      </c>
      <c r="I1081" s="66">
        <f t="shared" si="16"/>
        <v>0</v>
      </c>
    </row>
    <row r="1082" spans="8:9">
      <c r="H1082" s="66" t="e">
        <f>IF(OR(LEFT(B1082,FIND("_",B1082,1)-1)="ULGALLOC",LEFT(B1082,FIND("_",B1082,1)-1)="ULSPOOL"),LEFT(B1082,FIND("_",B1082,1)-1),VLOOKUP(LEFT(A1082,6),'Code Library'!$D$3:$E$200,2,0))&amp;"_"&amp;RIGHT(A1082,3)</f>
        <v>#VALUE!</v>
      </c>
      <c r="I1082" s="66">
        <f t="shared" si="16"/>
        <v>0</v>
      </c>
    </row>
    <row r="1083" spans="8:9">
      <c r="H1083" s="66" t="e">
        <f>IF(OR(LEFT(B1083,FIND("_",B1083,1)-1)="ULGALLOC",LEFT(B1083,FIND("_",B1083,1)-1)="ULSPOOL"),LEFT(B1083,FIND("_",B1083,1)-1),VLOOKUP(LEFT(A1083,6),'Code Library'!$D$3:$E$200,2,0))&amp;"_"&amp;RIGHT(A1083,3)</f>
        <v>#VALUE!</v>
      </c>
      <c r="I1083" s="66">
        <f t="shared" si="16"/>
        <v>0</v>
      </c>
    </row>
    <row r="1084" spans="8:9">
      <c r="H1084" s="66" t="e">
        <f>IF(OR(LEFT(B1084,FIND("_",B1084,1)-1)="ULGALLOC",LEFT(B1084,FIND("_",B1084,1)-1)="ULSPOOL"),LEFT(B1084,FIND("_",B1084,1)-1),VLOOKUP(LEFT(A1084,6),'Code Library'!$D$3:$E$200,2,0))&amp;"_"&amp;RIGHT(A1084,3)</f>
        <v>#VALUE!</v>
      </c>
      <c r="I1084" s="66">
        <f t="shared" si="16"/>
        <v>0</v>
      </c>
    </row>
    <row r="1085" spans="8:9">
      <c r="H1085" s="66" t="e">
        <f>IF(OR(LEFT(B1085,FIND("_",B1085,1)-1)="ULGALLOC",LEFT(B1085,FIND("_",B1085,1)-1)="ULSPOOL"),LEFT(B1085,FIND("_",B1085,1)-1),VLOOKUP(LEFT(A1085,6),'Code Library'!$D$3:$E$200,2,0))&amp;"_"&amp;RIGHT(A1085,3)</f>
        <v>#VALUE!</v>
      </c>
      <c r="I1085" s="66">
        <f t="shared" si="16"/>
        <v>0</v>
      </c>
    </row>
    <row r="1086" spans="8:9">
      <c r="H1086" s="66" t="e">
        <f>IF(OR(LEFT(B1086,FIND("_",B1086,1)-1)="ULGALLOC",LEFT(B1086,FIND("_",B1086,1)-1)="ULSPOOL"),LEFT(B1086,FIND("_",B1086,1)-1),VLOOKUP(LEFT(A1086,6),'Code Library'!$D$3:$E$200,2,0))&amp;"_"&amp;RIGHT(A1086,3)</f>
        <v>#VALUE!</v>
      </c>
      <c r="I1086" s="66">
        <f t="shared" si="16"/>
        <v>0</v>
      </c>
    </row>
    <row r="1087" spans="8:9">
      <c r="H1087" s="66" t="e">
        <f>IF(OR(LEFT(B1087,FIND("_",B1087,1)-1)="ULGALLOC",LEFT(B1087,FIND("_",B1087,1)-1)="ULSPOOL"),LEFT(B1087,FIND("_",B1087,1)-1),VLOOKUP(LEFT(A1087,6),'Code Library'!$D$3:$E$200,2,0))&amp;"_"&amp;RIGHT(A1087,3)</f>
        <v>#VALUE!</v>
      </c>
      <c r="I1087" s="66">
        <f t="shared" si="16"/>
        <v>0</v>
      </c>
    </row>
    <row r="1088" spans="8:9">
      <c r="H1088" s="66" t="e">
        <f>IF(OR(LEFT(B1088,FIND("_",B1088,1)-1)="ULGALLOC",LEFT(B1088,FIND("_",B1088,1)-1)="ULSPOOL"),LEFT(B1088,FIND("_",B1088,1)-1),VLOOKUP(LEFT(A1088,6),'Code Library'!$D$3:$E$200,2,0))&amp;"_"&amp;RIGHT(A1088,3)</f>
        <v>#VALUE!</v>
      </c>
      <c r="I1088" s="66">
        <f t="shared" si="16"/>
        <v>0</v>
      </c>
    </row>
    <row r="1089" spans="8:9">
      <c r="H1089" s="66" t="e">
        <f>IF(OR(LEFT(B1089,FIND("_",B1089,1)-1)="ULGALLOC",LEFT(B1089,FIND("_",B1089,1)-1)="ULSPOOL"),LEFT(B1089,FIND("_",B1089,1)-1),VLOOKUP(LEFT(A1089,6),'Code Library'!$D$3:$E$200,2,0))&amp;"_"&amp;RIGHT(A1089,3)</f>
        <v>#VALUE!</v>
      </c>
      <c r="I1089" s="66">
        <f t="shared" si="16"/>
        <v>0</v>
      </c>
    </row>
    <row r="1090" spans="8:9">
      <c r="H1090" s="66" t="e">
        <f>IF(OR(LEFT(B1090,FIND("_",B1090,1)-1)="ULGALLOC",LEFT(B1090,FIND("_",B1090,1)-1)="ULSPOOL"),LEFT(B1090,FIND("_",B1090,1)-1),VLOOKUP(LEFT(A1090,6),'Code Library'!$D$3:$E$200,2,0))&amp;"_"&amp;RIGHT(A1090,3)</f>
        <v>#VALUE!</v>
      </c>
      <c r="I1090" s="66">
        <f t="shared" si="16"/>
        <v>0</v>
      </c>
    </row>
    <row r="1091" spans="8:9">
      <c r="H1091" s="66" t="e">
        <f>IF(OR(LEFT(B1091,FIND("_",B1091,1)-1)="ULGALLOC",LEFT(B1091,FIND("_",B1091,1)-1)="ULSPOOL"),LEFT(B1091,FIND("_",B1091,1)-1),VLOOKUP(LEFT(A1091,6),'Code Library'!$D$3:$E$200,2,0))&amp;"_"&amp;RIGHT(A1091,3)</f>
        <v>#VALUE!</v>
      </c>
      <c r="I1091" s="66">
        <f t="shared" ref="I1091:I1154" si="17">A1091</f>
        <v>0</v>
      </c>
    </row>
    <row r="1092" spans="8:9">
      <c r="H1092" s="66" t="e">
        <f>IF(OR(LEFT(B1092,FIND("_",B1092,1)-1)="ULGALLOC",LEFT(B1092,FIND("_",B1092,1)-1)="ULSPOOL"),LEFT(B1092,FIND("_",B1092,1)-1),VLOOKUP(LEFT(A1092,6),'Code Library'!$D$3:$E$200,2,0))&amp;"_"&amp;RIGHT(A1092,3)</f>
        <v>#VALUE!</v>
      </c>
      <c r="I1092" s="66">
        <f t="shared" si="17"/>
        <v>0</v>
      </c>
    </row>
    <row r="1093" spans="8:9">
      <c r="H1093" s="66" t="e">
        <f>IF(OR(LEFT(B1093,FIND("_",B1093,1)-1)="ULGALLOC",LEFT(B1093,FIND("_",B1093,1)-1)="ULSPOOL"),LEFT(B1093,FIND("_",B1093,1)-1),VLOOKUP(LEFT(A1093,6),'Code Library'!$D$3:$E$200,2,0))&amp;"_"&amp;RIGHT(A1093,3)</f>
        <v>#VALUE!</v>
      </c>
      <c r="I1093" s="66">
        <f t="shared" si="17"/>
        <v>0</v>
      </c>
    </row>
    <row r="1094" spans="8:9">
      <c r="H1094" s="66" t="e">
        <f>IF(OR(LEFT(B1094,FIND("_",B1094,1)-1)="ULGALLOC",LEFT(B1094,FIND("_",B1094,1)-1)="ULSPOOL"),LEFT(B1094,FIND("_",B1094,1)-1),VLOOKUP(LEFT(A1094,6),'Code Library'!$D$3:$E$200,2,0))&amp;"_"&amp;RIGHT(A1094,3)</f>
        <v>#VALUE!</v>
      </c>
      <c r="I1094" s="66">
        <f t="shared" si="17"/>
        <v>0</v>
      </c>
    </row>
    <row r="1095" spans="8:9">
      <c r="H1095" s="66" t="e">
        <f>IF(OR(LEFT(B1095,FIND("_",B1095,1)-1)="ULGALLOC",LEFT(B1095,FIND("_",B1095,1)-1)="ULSPOOL"),LEFT(B1095,FIND("_",B1095,1)-1),VLOOKUP(LEFT(A1095,6),'Code Library'!$D$3:$E$200,2,0))&amp;"_"&amp;RIGHT(A1095,3)</f>
        <v>#VALUE!</v>
      </c>
      <c r="I1095" s="66">
        <f t="shared" si="17"/>
        <v>0</v>
      </c>
    </row>
    <row r="1096" spans="8:9">
      <c r="H1096" s="66" t="e">
        <f>IF(OR(LEFT(B1096,FIND("_",B1096,1)-1)="ULGALLOC",LEFT(B1096,FIND("_",B1096,1)-1)="ULSPOOL"),LEFT(B1096,FIND("_",B1096,1)-1),VLOOKUP(LEFT(A1096,6),'Code Library'!$D$3:$E$200,2,0))&amp;"_"&amp;RIGHT(A1096,3)</f>
        <v>#VALUE!</v>
      </c>
      <c r="I1096" s="66">
        <f t="shared" si="17"/>
        <v>0</v>
      </c>
    </row>
    <row r="1097" spans="8:9">
      <c r="H1097" s="66" t="e">
        <f>IF(OR(LEFT(B1097,FIND("_",B1097,1)-1)="ULGALLOC",LEFT(B1097,FIND("_",B1097,1)-1)="ULSPOOL"),LEFT(B1097,FIND("_",B1097,1)-1),VLOOKUP(LEFT(A1097,6),'Code Library'!$D$3:$E$200,2,0))&amp;"_"&amp;RIGHT(A1097,3)</f>
        <v>#VALUE!</v>
      </c>
      <c r="I1097" s="66">
        <f t="shared" si="17"/>
        <v>0</v>
      </c>
    </row>
    <row r="1098" spans="8:9">
      <c r="H1098" s="66" t="e">
        <f>IF(OR(LEFT(B1098,FIND("_",B1098,1)-1)="ULGALLOC",LEFT(B1098,FIND("_",B1098,1)-1)="ULSPOOL"),LEFT(B1098,FIND("_",B1098,1)-1),VLOOKUP(LEFT(A1098,6),'Code Library'!$D$3:$E$200,2,0))&amp;"_"&amp;RIGHT(A1098,3)</f>
        <v>#VALUE!</v>
      </c>
      <c r="I1098" s="66">
        <f t="shared" si="17"/>
        <v>0</v>
      </c>
    </row>
    <row r="1099" spans="8:9">
      <c r="H1099" s="66" t="e">
        <f>IF(OR(LEFT(B1099,FIND("_",B1099,1)-1)="ULGALLOC",LEFT(B1099,FIND("_",B1099,1)-1)="ULSPOOL"),LEFT(B1099,FIND("_",B1099,1)-1),VLOOKUP(LEFT(A1099,6),'Code Library'!$D$3:$E$200,2,0))&amp;"_"&amp;RIGHT(A1099,3)</f>
        <v>#VALUE!</v>
      </c>
      <c r="I1099" s="66">
        <f t="shared" si="17"/>
        <v>0</v>
      </c>
    </row>
    <row r="1100" spans="8:9">
      <c r="H1100" s="66" t="e">
        <f>IF(OR(LEFT(B1100,FIND("_",B1100,1)-1)="ULGALLOC",LEFT(B1100,FIND("_",B1100,1)-1)="ULSPOOL"),LEFT(B1100,FIND("_",B1100,1)-1),VLOOKUP(LEFT(A1100,6),'Code Library'!$D$3:$E$200,2,0))&amp;"_"&amp;RIGHT(A1100,3)</f>
        <v>#VALUE!</v>
      </c>
      <c r="I1100" s="66">
        <f t="shared" si="17"/>
        <v>0</v>
      </c>
    </row>
    <row r="1101" spans="8:9">
      <c r="H1101" s="66" t="e">
        <f>IF(OR(LEFT(B1101,FIND("_",B1101,1)-1)="ULGALLOC",LEFT(B1101,FIND("_",B1101,1)-1)="ULSPOOL"),LEFT(B1101,FIND("_",B1101,1)-1),VLOOKUP(LEFT(A1101,6),'Code Library'!$D$3:$E$200,2,0))&amp;"_"&amp;RIGHT(A1101,3)</f>
        <v>#VALUE!</v>
      </c>
      <c r="I1101" s="66">
        <f t="shared" si="17"/>
        <v>0</v>
      </c>
    </row>
    <row r="1102" spans="8:9">
      <c r="H1102" s="66" t="e">
        <f>IF(OR(LEFT(B1102,FIND("_",B1102,1)-1)="ULGALLOC",LEFT(B1102,FIND("_",B1102,1)-1)="ULSPOOL"),LEFT(B1102,FIND("_",B1102,1)-1),VLOOKUP(LEFT(A1102,6),'Code Library'!$D$3:$E$200,2,0))&amp;"_"&amp;RIGHT(A1102,3)</f>
        <v>#VALUE!</v>
      </c>
      <c r="I1102" s="66">
        <f t="shared" si="17"/>
        <v>0</v>
      </c>
    </row>
    <row r="1103" spans="8:9">
      <c r="H1103" s="66" t="e">
        <f>IF(OR(LEFT(B1103,FIND("_",B1103,1)-1)="ULGALLOC",LEFT(B1103,FIND("_",B1103,1)-1)="ULSPOOL"),LEFT(B1103,FIND("_",B1103,1)-1),VLOOKUP(LEFT(A1103,6),'Code Library'!$D$3:$E$200,2,0))&amp;"_"&amp;RIGHT(A1103,3)</f>
        <v>#VALUE!</v>
      </c>
      <c r="I1103" s="66">
        <f t="shared" si="17"/>
        <v>0</v>
      </c>
    </row>
    <row r="1104" spans="8:9">
      <c r="H1104" s="66" t="e">
        <f>IF(OR(LEFT(B1104,FIND("_",B1104,1)-1)="ULGALLOC",LEFT(B1104,FIND("_",B1104,1)-1)="ULSPOOL"),LEFT(B1104,FIND("_",B1104,1)-1),VLOOKUP(LEFT(A1104,6),'Code Library'!$D$3:$E$200,2,0))&amp;"_"&amp;RIGHT(A1104,3)</f>
        <v>#VALUE!</v>
      </c>
      <c r="I1104" s="66">
        <f t="shared" si="17"/>
        <v>0</v>
      </c>
    </row>
    <row r="1105" spans="8:9">
      <c r="H1105" s="66" t="e">
        <f>IF(OR(LEFT(B1105,FIND("_",B1105,1)-1)="ULGALLOC",LEFT(B1105,FIND("_",B1105,1)-1)="ULSPOOL"),LEFT(B1105,FIND("_",B1105,1)-1),VLOOKUP(LEFT(A1105,6),'Code Library'!$D$3:$E$200,2,0))&amp;"_"&amp;RIGHT(A1105,3)</f>
        <v>#VALUE!</v>
      </c>
      <c r="I1105" s="66">
        <f t="shared" si="17"/>
        <v>0</v>
      </c>
    </row>
    <row r="1106" spans="8:9">
      <c r="H1106" s="66" t="e">
        <f>IF(OR(LEFT(B1106,FIND("_",B1106,1)-1)="ULGALLOC",LEFT(B1106,FIND("_",B1106,1)-1)="ULSPOOL"),LEFT(B1106,FIND("_",B1106,1)-1),VLOOKUP(LEFT(A1106,6),'Code Library'!$D$3:$E$200,2,0))&amp;"_"&amp;RIGHT(A1106,3)</f>
        <v>#VALUE!</v>
      </c>
      <c r="I1106" s="66">
        <f t="shared" si="17"/>
        <v>0</v>
      </c>
    </row>
    <row r="1107" spans="8:9">
      <c r="H1107" s="66" t="e">
        <f>IF(OR(LEFT(B1107,FIND("_",B1107,1)-1)="ULGALLOC",LEFT(B1107,FIND("_",B1107,1)-1)="ULSPOOL"),LEFT(B1107,FIND("_",B1107,1)-1),VLOOKUP(LEFT(A1107,6),'Code Library'!$D$3:$E$200,2,0))&amp;"_"&amp;RIGHT(A1107,3)</f>
        <v>#VALUE!</v>
      </c>
      <c r="I1107" s="66">
        <f t="shared" si="17"/>
        <v>0</v>
      </c>
    </row>
    <row r="1108" spans="8:9">
      <c r="H1108" s="66" t="e">
        <f>IF(OR(LEFT(B1108,FIND("_",B1108,1)-1)="ULGALLOC",LEFT(B1108,FIND("_",B1108,1)-1)="ULSPOOL"),LEFT(B1108,FIND("_",B1108,1)-1),VLOOKUP(LEFT(A1108,6),'Code Library'!$D$3:$E$200,2,0))&amp;"_"&amp;RIGHT(A1108,3)</f>
        <v>#VALUE!</v>
      </c>
      <c r="I1108" s="66">
        <f t="shared" si="17"/>
        <v>0</v>
      </c>
    </row>
    <row r="1109" spans="8:9">
      <c r="H1109" s="66" t="e">
        <f>IF(OR(LEFT(B1109,FIND("_",B1109,1)-1)="ULGALLOC",LEFT(B1109,FIND("_",B1109,1)-1)="ULSPOOL"),LEFT(B1109,FIND("_",B1109,1)-1),VLOOKUP(LEFT(A1109,6),'Code Library'!$D$3:$E$200,2,0))&amp;"_"&amp;RIGHT(A1109,3)</f>
        <v>#VALUE!</v>
      </c>
      <c r="I1109" s="66">
        <f t="shared" si="17"/>
        <v>0</v>
      </c>
    </row>
    <row r="1110" spans="8:9">
      <c r="H1110" s="66" t="e">
        <f>IF(OR(LEFT(B1110,FIND("_",B1110,1)-1)="ULGALLOC",LEFT(B1110,FIND("_",B1110,1)-1)="ULSPOOL"),LEFT(B1110,FIND("_",B1110,1)-1),VLOOKUP(LEFT(A1110,6),'Code Library'!$D$3:$E$200,2,0))&amp;"_"&amp;RIGHT(A1110,3)</f>
        <v>#VALUE!</v>
      </c>
      <c r="I1110" s="66">
        <f t="shared" si="17"/>
        <v>0</v>
      </c>
    </row>
    <row r="1111" spans="8:9">
      <c r="H1111" s="66" t="e">
        <f>IF(OR(LEFT(B1111,FIND("_",B1111,1)-1)="ULGALLOC",LEFT(B1111,FIND("_",B1111,1)-1)="ULSPOOL"),LEFT(B1111,FIND("_",B1111,1)-1),VLOOKUP(LEFT(A1111,6),'Code Library'!$D$3:$E$200,2,0))&amp;"_"&amp;RIGHT(A1111,3)</f>
        <v>#VALUE!</v>
      </c>
      <c r="I1111" s="66">
        <f t="shared" si="17"/>
        <v>0</v>
      </c>
    </row>
    <row r="1112" spans="8:9">
      <c r="H1112" s="66" t="e">
        <f>IF(OR(LEFT(B1112,FIND("_",B1112,1)-1)="ULGALLOC",LEFT(B1112,FIND("_",B1112,1)-1)="ULSPOOL"),LEFT(B1112,FIND("_",B1112,1)-1),VLOOKUP(LEFT(A1112,6),'Code Library'!$D$3:$E$200,2,0))&amp;"_"&amp;RIGHT(A1112,3)</f>
        <v>#VALUE!</v>
      </c>
      <c r="I1112" s="66">
        <f t="shared" si="17"/>
        <v>0</v>
      </c>
    </row>
    <row r="1113" spans="8:9">
      <c r="H1113" s="66" t="e">
        <f>IF(OR(LEFT(B1113,FIND("_",B1113,1)-1)="ULGALLOC",LEFT(B1113,FIND("_",B1113,1)-1)="ULSPOOL"),LEFT(B1113,FIND("_",B1113,1)-1),VLOOKUP(LEFT(A1113,6),'Code Library'!$D$3:$E$200,2,0))&amp;"_"&amp;RIGHT(A1113,3)</f>
        <v>#VALUE!</v>
      </c>
      <c r="I1113" s="66">
        <f t="shared" si="17"/>
        <v>0</v>
      </c>
    </row>
    <row r="1114" spans="8:9">
      <c r="H1114" s="66" t="e">
        <f>IF(OR(LEFT(B1114,FIND("_",B1114,1)-1)="ULGALLOC",LEFT(B1114,FIND("_",B1114,1)-1)="ULSPOOL"),LEFT(B1114,FIND("_",B1114,1)-1),VLOOKUP(LEFT(A1114,6),'Code Library'!$D$3:$E$200,2,0))&amp;"_"&amp;RIGHT(A1114,3)</f>
        <v>#VALUE!</v>
      </c>
      <c r="I1114" s="66">
        <f t="shared" si="17"/>
        <v>0</v>
      </c>
    </row>
    <row r="1115" spans="8:9">
      <c r="H1115" s="66" t="e">
        <f>IF(OR(LEFT(B1115,FIND("_",B1115,1)-1)="ULGALLOC",LEFT(B1115,FIND("_",B1115,1)-1)="ULSPOOL"),LEFT(B1115,FIND("_",B1115,1)-1),VLOOKUP(LEFT(A1115,6),'Code Library'!$D$3:$E$200,2,0))&amp;"_"&amp;RIGHT(A1115,3)</f>
        <v>#VALUE!</v>
      </c>
      <c r="I1115" s="66">
        <f t="shared" si="17"/>
        <v>0</v>
      </c>
    </row>
    <row r="1116" spans="8:9">
      <c r="H1116" s="66" t="e">
        <f>IF(OR(LEFT(B1116,FIND("_",B1116,1)-1)="ULGALLOC",LEFT(B1116,FIND("_",B1116,1)-1)="ULSPOOL"),LEFT(B1116,FIND("_",B1116,1)-1),VLOOKUP(LEFT(A1116,6),'Code Library'!$D$3:$E$200,2,0))&amp;"_"&amp;RIGHT(A1116,3)</f>
        <v>#VALUE!</v>
      </c>
      <c r="I1116" s="66">
        <f t="shared" si="17"/>
        <v>0</v>
      </c>
    </row>
    <row r="1117" spans="8:9">
      <c r="H1117" s="66" t="e">
        <f>IF(OR(LEFT(B1117,FIND("_",B1117,1)-1)="ULGALLOC",LEFT(B1117,FIND("_",B1117,1)-1)="ULSPOOL"),LEFT(B1117,FIND("_",B1117,1)-1),VLOOKUP(LEFT(A1117,6),'Code Library'!$D$3:$E$200,2,0))&amp;"_"&amp;RIGHT(A1117,3)</f>
        <v>#VALUE!</v>
      </c>
      <c r="I1117" s="66">
        <f t="shared" si="17"/>
        <v>0</v>
      </c>
    </row>
    <row r="1118" spans="8:9">
      <c r="H1118" s="66" t="e">
        <f>IF(OR(LEFT(B1118,FIND("_",B1118,1)-1)="ULGALLOC",LEFT(B1118,FIND("_",B1118,1)-1)="ULSPOOL"),LEFT(B1118,FIND("_",B1118,1)-1),VLOOKUP(LEFT(A1118,6),'Code Library'!$D$3:$E$200,2,0))&amp;"_"&amp;RIGHT(A1118,3)</f>
        <v>#VALUE!</v>
      </c>
      <c r="I1118" s="66">
        <f t="shared" si="17"/>
        <v>0</v>
      </c>
    </row>
    <row r="1119" spans="8:9">
      <c r="H1119" s="66" t="e">
        <f>IF(OR(LEFT(B1119,FIND("_",B1119,1)-1)="ULGALLOC",LEFT(B1119,FIND("_",B1119,1)-1)="ULSPOOL"),LEFT(B1119,FIND("_",B1119,1)-1),VLOOKUP(LEFT(A1119,6),'Code Library'!$D$3:$E$200,2,0))&amp;"_"&amp;RIGHT(A1119,3)</f>
        <v>#VALUE!</v>
      </c>
      <c r="I1119" s="66">
        <f t="shared" si="17"/>
        <v>0</v>
      </c>
    </row>
    <row r="1120" spans="8:9">
      <c r="H1120" s="66" t="e">
        <f>IF(OR(LEFT(B1120,FIND("_",B1120,1)-1)="ULGALLOC",LEFT(B1120,FIND("_",B1120,1)-1)="ULSPOOL"),LEFT(B1120,FIND("_",B1120,1)-1),VLOOKUP(LEFT(A1120,6),'Code Library'!$D$3:$E$200,2,0))&amp;"_"&amp;RIGHT(A1120,3)</f>
        <v>#VALUE!</v>
      </c>
      <c r="I1120" s="66">
        <f t="shared" si="17"/>
        <v>0</v>
      </c>
    </row>
    <row r="1121" spans="8:9">
      <c r="H1121" s="66" t="e">
        <f>IF(OR(LEFT(B1121,FIND("_",B1121,1)-1)="ULGALLOC",LEFT(B1121,FIND("_",B1121,1)-1)="ULSPOOL"),LEFT(B1121,FIND("_",B1121,1)-1),VLOOKUP(LEFT(A1121,6),'Code Library'!$D$3:$E$200,2,0))&amp;"_"&amp;RIGHT(A1121,3)</f>
        <v>#VALUE!</v>
      </c>
      <c r="I1121" s="66">
        <f t="shared" si="17"/>
        <v>0</v>
      </c>
    </row>
    <row r="1122" spans="8:9">
      <c r="H1122" s="66" t="e">
        <f>IF(OR(LEFT(B1122,FIND("_",B1122,1)-1)="ULGALLOC",LEFT(B1122,FIND("_",B1122,1)-1)="ULSPOOL"),LEFT(B1122,FIND("_",B1122,1)-1),VLOOKUP(LEFT(A1122,6),'Code Library'!$D$3:$E$200,2,0))&amp;"_"&amp;RIGHT(A1122,3)</f>
        <v>#VALUE!</v>
      </c>
      <c r="I1122" s="66">
        <f t="shared" si="17"/>
        <v>0</v>
      </c>
    </row>
    <row r="1123" spans="8:9">
      <c r="H1123" s="66" t="e">
        <f>IF(OR(LEFT(B1123,FIND("_",B1123,1)-1)="ULGALLOC",LEFT(B1123,FIND("_",B1123,1)-1)="ULSPOOL"),LEFT(B1123,FIND("_",B1123,1)-1),VLOOKUP(LEFT(A1123,6),'Code Library'!$D$3:$E$200,2,0))&amp;"_"&amp;RIGHT(A1123,3)</f>
        <v>#VALUE!</v>
      </c>
      <c r="I1123" s="66">
        <f t="shared" si="17"/>
        <v>0</v>
      </c>
    </row>
    <row r="1124" spans="8:9">
      <c r="H1124" s="66" t="e">
        <f>IF(OR(LEFT(B1124,FIND("_",B1124,1)-1)="ULGALLOC",LEFT(B1124,FIND("_",B1124,1)-1)="ULSPOOL"),LEFT(B1124,FIND("_",B1124,1)-1),VLOOKUP(LEFT(A1124,6),'Code Library'!$D$3:$E$200,2,0))&amp;"_"&amp;RIGHT(A1124,3)</f>
        <v>#VALUE!</v>
      </c>
      <c r="I1124" s="66">
        <f t="shared" si="17"/>
        <v>0</v>
      </c>
    </row>
    <row r="1125" spans="8:9">
      <c r="H1125" s="66" t="e">
        <f>IF(OR(LEFT(B1125,FIND("_",B1125,1)-1)="ULGALLOC",LEFT(B1125,FIND("_",B1125,1)-1)="ULSPOOL"),LEFT(B1125,FIND("_",B1125,1)-1),VLOOKUP(LEFT(A1125,6),'Code Library'!$D$3:$E$200,2,0))&amp;"_"&amp;RIGHT(A1125,3)</f>
        <v>#VALUE!</v>
      </c>
      <c r="I1125" s="66">
        <f t="shared" si="17"/>
        <v>0</v>
      </c>
    </row>
    <row r="1126" spans="8:9">
      <c r="H1126" s="66" t="e">
        <f>IF(OR(LEFT(B1126,FIND("_",B1126,1)-1)="ULGALLOC",LEFT(B1126,FIND("_",B1126,1)-1)="ULSPOOL"),LEFT(B1126,FIND("_",B1126,1)-1),VLOOKUP(LEFT(A1126,6),'Code Library'!$D$3:$E$200,2,0))&amp;"_"&amp;RIGHT(A1126,3)</f>
        <v>#VALUE!</v>
      </c>
      <c r="I1126" s="66">
        <f t="shared" si="17"/>
        <v>0</v>
      </c>
    </row>
    <row r="1127" spans="8:9">
      <c r="H1127" s="66" t="e">
        <f>IF(OR(LEFT(B1127,FIND("_",B1127,1)-1)="ULGALLOC",LEFT(B1127,FIND("_",B1127,1)-1)="ULSPOOL"),LEFT(B1127,FIND("_",B1127,1)-1),VLOOKUP(LEFT(A1127,6),'Code Library'!$D$3:$E$200,2,0))&amp;"_"&amp;RIGHT(A1127,3)</f>
        <v>#VALUE!</v>
      </c>
      <c r="I1127" s="66">
        <f t="shared" si="17"/>
        <v>0</v>
      </c>
    </row>
    <row r="1128" spans="8:9">
      <c r="H1128" s="66" t="e">
        <f>IF(OR(LEFT(B1128,FIND("_",B1128,1)-1)="ULGALLOC",LEFT(B1128,FIND("_",B1128,1)-1)="ULSPOOL"),LEFT(B1128,FIND("_",B1128,1)-1),VLOOKUP(LEFT(A1128,6),'Code Library'!$D$3:$E$200,2,0))&amp;"_"&amp;RIGHT(A1128,3)</f>
        <v>#VALUE!</v>
      </c>
      <c r="I1128" s="66">
        <f t="shared" si="17"/>
        <v>0</v>
      </c>
    </row>
    <row r="1129" spans="8:9">
      <c r="H1129" s="66" t="e">
        <f>IF(OR(LEFT(B1129,FIND("_",B1129,1)-1)="ULGALLOC",LEFT(B1129,FIND("_",B1129,1)-1)="ULSPOOL"),LEFT(B1129,FIND("_",B1129,1)-1),VLOOKUP(LEFT(A1129,6),'Code Library'!$D$3:$E$200,2,0))&amp;"_"&amp;RIGHT(A1129,3)</f>
        <v>#VALUE!</v>
      </c>
      <c r="I1129" s="66">
        <f t="shared" si="17"/>
        <v>0</v>
      </c>
    </row>
    <row r="1130" spans="8:9">
      <c r="H1130" s="66" t="e">
        <f>IF(OR(LEFT(B1130,FIND("_",B1130,1)-1)="ULGALLOC",LEFT(B1130,FIND("_",B1130,1)-1)="ULSPOOL"),LEFT(B1130,FIND("_",B1130,1)-1),VLOOKUP(LEFT(A1130,6),'Code Library'!$D$3:$E$200,2,0))&amp;"_"&amp;RIGHT(A1130,3)</f>
        <v>#VALUE!</v>
      </c>
      <c r="I1130" s="66">
        <f t="shared" si="17"/>
        <v>0</v>
      </c>
    </row>
    <row r="1131" spans="8:9">
      <c r="H1131" s="66" t="e">
        <f>IF(OR(LEFT(B1131,FIND("_",B1131,1)-1)="ULGALLOC",LEFT(B1131,FIND("_",B1131,1)-1)="ULSPOOL"),LEFT(B1131,FIND("_",B1131,1)-1),VLOOKUP(LEFT(A1131,6),'Code Library'!$D$3:$E$200,2,0))&amp;"_"&amp;RIGHT(A1131,3)</f>
        <v>#VALUE!</v>
      </c>
      <c r="I1131" s="66">
        <f t="shared" si="17"/>
        <v>0</v>
      </c>
    </row>
    <row r="1132" spans="8:9">
      <c r="H1132" s="66" t="e">
        <f>IF(OR(LEFT(B1132,FIND("_",B1132,1)-1)="ULGALLOC",LEFT(B1132,FIND("_",B1132,1)-1)="ULSPOOL"),LEFT(B1132,FIND("_",B1132,1)-1),VLOOKUP(LEFT(A1132,6),'Code Library'!$D$3:$E$200,2,0))&amp;"_"&amp;RIGHT(A1132,3)</f>
        <v>#VALUE!</v>
      </c>
      <c r="I1132" s="66">
        <f t="shared" si="17"/>
        <v>0</v>
      </c>
    </row>
    <row r="1133" spans="8:9">
      <c r="H1133" s="66" t="e">
        <f>IF(OR(LEFT(B1133,FIND("_",B1133,1)-1)="ULGALLOC",LEFT(B1133,FIND("_",B1133,1)-1)="ULSPOOL"),LEFT(B1133,FIND("_",B1133,1)-1),VLOOKUP(LEFT(A1133,6),'Code Library'!$D$3:$E$200,2,0))&amp;"_"&amp;RIGHT(A1133,3)</f>
        <v>#VALUE!</v>
      </c>
      <c r="I1133" s="66">
        <f t="shared" si="17"/>
        <v>0</v>
      </c>
    </row>
    <row r="1134" spans="8:9">
      <c r="H1134" s="66" t="e">
        <f>IF(OR(LEFT(B1134,FIND("_",B1134,1)-1)="ULGALLOC",LEFT(B1134,FIND("_",B1134,1)-1)="ULSPOOL"),LEFT(B1134,FIND("_",B1134,1)-1),VLOOKUP(LEFT(A1134,6),'Code Library'!$D$3:$E$200,2,0))&amp;"_"&amp;RIGHT(A1134,3)</f>
        <v>#VALUE!</v>
      </c>
      <c r="I1134" s="66">
        <f t="shared" si="17"/>
        <v>0</v>
      </c>
    </row>
    <row r="1135" spans="8:9">
      <c r="H1135" s="66" t="e">
        <f>IF(OR(LEFT(B1135,FIND("_",B1135,1)-1)="ULGALLOC",LEFT(B1135,FIND("_",B1135,1)-1)="ULSPOOL"),LEFT(B1135,FIND("_",B1135,1)-1),VLOOKUP(LEFT(A1135,6),'Code Library'!$D$3:$E$200,2,0))&amp;"_"&amp;RIGHT(A1135,3)</f>
        <v>#VALUE!</v>
      </c>
      <c r="I1135" s="66">
        <f t="shared" si="17"/>
        <v>0</v>
      </c>
    </row>
    <row r="1136" spans="8:9">
      <c r="H1136" s="66" t="e">
        <f>IF(OR(LEFT(B1136,FIND("_",B1136,1)-1)="ULGALLOC",LEFT(B1136,FIND("_",B1136,1)-1)="ULSPOOL"),LEFT(B1136,FIND("_",B1136,1)-1),VLOOKUP(LEFT(A1136,6),'Code Library'!$D$3:$E$200,2,0))&amp;"_"&amp;RIGHT(A1136,3)</f>
        <v>#VALUE!</v>
      </c>
      <c r="I1136" s="66">
        <f t="shared" si="17"/>
        <v>0</v>
      </c>
    </row>
    <row r="1137" spans="8:9">
      <c r="H1137" s="66" t="e">
        <f>IF(OR(LEFT(B1137,FIND("_",B1137,1)-1)="ULGALLOC",LEFT(B1137,FIND("_",B1137,1)-1)="ULSPOOL"),LEFT(B1137,FIND("_",B1137,1)-1),VLOOKUP(LEFT(A1137,6),'Code Library'!$D$3:$E$200,2,0))&amp;"_"&amp;RIGHT(A1137,3)</f>
        <v>#VALUE!</v>
      </c>
      <c r="I1137" s="66">
        <f t="shared" si="17"/>
        <v>0</v>
      </c>
    </row>
    <row r="1138" spans="8:9">
      <c r="H1138" s="66" t="e">
        <f>IF(OR(LEFT(B1138,FIND("_",B1138,1)-1)="ULGALLOC",LEFT(B1138,FIND("_",B1138,1)-1)="ULSPOOL"),LEFT(B1138,FIND("_",B1138,1)-1),VLOOKUP(LEFT(A1138,6),'Code Library'!$D$3:$E$200,2,0))&amp;"_"&amp;RIGHT(A1138,3)</f>
        <v>#VALUE!</v>
      </c>
      <c r="I1138" s="66">
        <f t="shared" si="17"/>
        <v>0</v>
      </c>
    </row>
    <row r="1139" spans="8:9">
      <c r="H1139" s="66" t="e">
        <f>IF(OR(LEFT(B1139,FIND("_",B1139,1)-1)="ULGALLOC",LEFT(B1139,FIND("_",B1139,1)-1)="ULSPOOL"),LEFT(B1139,FIND("_",B1139,1)-1),VLOOKUP(LEFT(A1139,6),'Code Library'!$D$3:$E$200,2,0))&amp;"_"&amp;RIGHT(A1139,3)</f>
        <v>#VALUE!</v>
      </c>
      <c r="I1139" s="66">
        <f t="shared" si="17"/>
        <v>0</v>
      </c>
    </row>
    <row r="1140" spans="8:9">
      <c r="H1140" s="66" t="e">
        <f>IF(OR(LEFT(B1140,FIND("_",B1140,1)-1)="ULGALLOC",LEFT(B1140,FIND("_",B1140,1)-1)="ULSPOOL"),LEFT(B1140,FIND("_",B1140,1)-1),VLOOKUP(LEFT(A1140,6),'Code Library'!$D$3:$E$200,2,0))&amp;"_"&amp;RIGHT(A1140,3)</f>
        <v>#VALUE!</v>
      </c>
      <c r="I1140" s="66">
        <f t="shared" si="17"/>
        <v>0</v>
      </c>
    </row>
    <row r="1141" spans="8:9">
      <c r="H1141" s="66" t="e">
        <f>IF(OR(LEFT(B1141,FIND("_",B1141,1)-1)="ULGALLOC",LEFT(B1141,FIND("_",B1141,1)-1)="ULSPOOL"),LEFT(B1141,FIND("_",B1141,1)-1),VLOOKUP(LEFT(A1141,6),'Code Library'!$D$3:$E$200,2,0))&amp;"_"&amp;RIGHT(A1141,3)</f>
        <v>#VALUE!</v>
      </c>
      <c r="I1141" s="66">
        <f t="shared" si="17"/>
        <v>0</v>
      </c>
    </row>
    <row r="1142" spans="8:9">
      <c r="H1142" s="66" t="e">
        <f>IF(OR(LEFT(B1142,FIND("_",B1142,1)-1)="ULGALLOC",LEFT(B1142,FIND("_",B1142,1)-1)="ULSPOOL"),LEFT(B1142,FIND("_",B1142,1)-1),VLOOKUP(LEFT(A1142,6),'Code Library'!$D$3:$E$200,2,0))&amp;"_"&amp;RIGHT(A1142,3)</f>
        <v>#VALUE!</v>
      </c>
      <c r="I1142" s="66">
        <f t="shared" si="17"/>
        <v>0</v>
      </c>
    </row>
    <row r="1143" spans="8:9">
      <c r="H1143" s="66" t="e">
        <f>IF(OR(LEFT(B1143,FIND("_",B1143,1)-1)="ULGALLOC",LEFT(B1143,FIND("_",B1143,1)-1)="ULSPOOL"),LEFT(B1143,FIND("_",B1143,1)-1),VLOOKUP(LEFT(A1143,6),'Code Library'!$D$3:$E$200,2,0))&amp;"_"&amp;RIGHT(A1143,3)</f>
        <v>#VALUE!</v>
      </c>
      <c r="I1143" s="66">
        <f t="shared" si="17"/>
        <v>0</v>
      </c>
    </row>
    <row r="1144" spans="8:9">
      <c r="H1144" s="66" t="e">
        <f>IF(OR(LEFT(B1144,FIND("_",B1144,1)-1)="ULGALLOC",LEFT(B1144,FIND("_",B1144,1)-1)="ULSPOOL"),LEFT(B1144,FIND("_",B1144,1)-1),VLOOKUP(LEFT(A1144,6),'Code Library'!$D$3:$E$200,2,0))&amp;"_"&amp;RIGHT(A1144,3)</f>
        <v>#VALUE!</v>
      </c>
      <c r="I1144" s="66">
        <f t="shared" si="17"/>
        <v>0</v>
      </c>
    </row>
    <row r="1145" spans="8:9">
      <c r="H1145" s="66" t="e">
        <f>IF(OR(LEFT(B1145,FIND("_",B1145,1)-1)="ULGALLOC",LEFT(B1145,FIND("_",B1145,1)-1)="ULSPOOL"),LEFT(B1145,FIND("_",B1145,1)-1),VLOOKUP(LEFT(A1145,6),'Code Library'!$D$3:$E$200,2,0))&amp;"_"&amp;RIGHT(A1145,3)</f>
        <v>#VALUE!</v>
      </c>
      <c r="I1145" s="66">
        <f t="shared" si="17"/>
        <v>0</v>
      </c>
    </row>
    <row r="1146" spans="8:9">
      <c r="H1146" s="66" t="e">
        <f>IF(OR(LEFT(B1146,FIND("_",B1146,1)-1)="ULGALLOC",LEFT(B1146,FIND("_",B1146,1)-1)="ULSPOOL"),LEFT(B1146,FIND("_",B1146,1)-1),VLOOKUP(LEFT(A1146,6),'Code Library'!$D$3:$E$200,2,0))&amp;"_"&amp;RIGHT(A1146,3)</f>
        <v>#VALUE!</v>
      </c>
      <c r="I1146" s="66">
        <f t="shared" si="17"/>
        <v>0</v>
      </c>
    </row>
    <row r="1147" spans="8:9">
      <c r="H1147" s="66" t="e">
        <f>IF(OR(LEFT(B1147,FIND("_",B1147,1)-1)="ULGALLOC",LEFT(B1147,FIND("_",B1147,1)-1)="ULSPOOL"),LEFT(B1147,FIND("_",B1147,1)-1),VLOOKUP(LEFT(A1147,6),'Code Library'!$D$3:$E$200,2,0))&amp;"_"&amp;RIGHT(A1147,3)</f>
        <v>#VALUE!</v>
      </c>
      <c r="I1147" s="66">
        <f t="shared" si="17"/>
        <v>0</v>
      </c>
    </row>
    <row r="1148" spans="8:9">
      <c r="H1148" s="66" t="e">
        <f>IF(OR(LEFT(B1148,FIND("_",B1148,1)-1)="ULGALLOC",LEFT(B1148,FIND("_",B1148,1)-1)="ULSPOOL"),LEFT(B1148,FIND("_",B1148,1)-1),VLOOKUP(LEFT(A1148,6),'Code Library'!$D$3:$E$200,2,0))&amp;"_"&amp;RIGHT(A1148,3)</f>
        <v>#VALUE!</v>
      </c>
      <c r="I1148" s="66">
        <f t="shared" si="17"/>
        <v>0</v>
      </c>
    </row>
    <row r="1149" spans="8:9">
      <c r="H1149" s="66" t="e">
        <f>IF(OR(LEFT(B1149,FIND("_",B1149,1)-1)="ULGALLOC",LEFT(B1149,FIND("_",B1149,1)-1)="ULSPOOL"),LEFT(B1149,FIND("_",B1149,1)-1),VLOOKUP(LEFT(A1149,6),'Code Library'!$D$3:$E$200,2,0))&amp;"_"&amp;RIGHT(A1149,3)</f>
        <v>#VALUE!</v>
      </c>
      <c r="I1149" s="66">
        <f t="shared" si="17"/>
        <v>0</v>
      </c>
    </row>
    <row r="1150" spans="8:9">
      <c r="H1150" s="66" t="e">
        <f>IF(OR(LEFT(B1150,FIND("_",B1150,1)-1)="ULGALLOC",LEFT(B1150,FIND("_",B1150,1)-1)="ULSPOOL"),LEFT(B1150,FIND("_",B1150,1)-1),VLOOKUP(LEFT(A1150,6),'Code Library'!$D$3:$E$200,2,0))&amp;"_"&amp;RIGHT(A1150,3)</f>
        <v>#VALUE!</v>
      </c>
      <c r="I1150" s="66">
        <f t="shared" si="17"/>
        <v>0</v>
      </c>
    </row>
    <row r="1151" spans="8:9">
      <c r="H1151" s="66" t="e">
        <f>IF(OR(LEFT(B1151,FIND("_",B1151,1)-1)="ULGALLOC",LEFT(B1151,FIND("_",B1151,1)-1)="ULSPOOL"),LEFT(B1151,FIND("_",B1151,1)-1),VLOOKUP(LEFT(A1151,6),'Code Library'!$D$3:$E$200,2,0))&amp;"_"&amp;RIGHT(A1151,3)</f>
        <v>#VALUE!</v>
      </c>
      <c r="I1151" s="66">
        <f t="shared" si="17"/>
        <v>0</v>
      </c>
    </row>
    <row r="1152" spans="8:9">
      <c r="H1152" s="66" t="e">
        <f>IF(OR(LEFT(B1152,FIND("_",B1152,1)-1)="ULGALLOC",LEFT(B1152,FIND("_",B1152,1)-1)="ULSPOOL"),LEFT(B1152,FIND("_",B1152,1)-1),VLOOKUP(LEFT(A1152,6),'Code Library'!$D$3:$E$200,2,0))&amp;"_"&amp;RIGHT(A1152,3)</f>
        <v>#VALUE!</v>
      </c>
      <c r="I1152" s="66">
        <f t="shared" si="17"/>
        <v>0</v>
      </c>
    </row>
    <row r="1153" spans="8:9">
      <c r="H1153" s="66" t="e">
        <f>IF(OR(LEFT(B1153,FIND("_",B1153,1)-1)="ULGALLOC",LEFT(B1153,FIND("_",B1153,1)-1)="ULSPOOL"),LEFT(B1153,FIND("_",B1153,1)-1),VLOOKUP(LEFT(A1153,6),'Code Library'!$D$3:$E$200,2,0))&amp;"_"&amp;RIGHT(A1153,3)</f>
        <v>#VALUE!</v>
      </c>
      <c r="I1153" s="66">
        <f t="shared" si="17"/>
        <v>0</v>
      </c>
    </row>
    <row r="1154" spans="8:9">
      <c r="H1154" s="66" t="e">
        <f>IF(OR(LEFT(B1154,FIND("_",B1154,1)-1)="ULGALLOC",LEFT(B1154,FIND("_",B1154,1)-1)="ULSPOOL"),LEFT(B1154,FIND("_",B1154,1)-1),VLOOKUP(LEFT(A1154,6),'Code Library'!$D$3:$E$200,2,0))&amp;"_"&amp;RIGHT(A1154,3)</f>
        <v>#VALUE!</v>
      </c>
      <c r="I1154" s="66">
        <f t="shared" si="17"/>
        <v>0</v>
      </c>
    </row>
    <row r="1155" spans="8:9">
      <c r="H1155" s="66" t="e">
        <f>IF(OR(LEFT(B1155,FIND("_",B1155,1)-1)="ULGALLOC",LEFT(B1155,FIND("_",B1155,1)-1)="ULSPOOL"),LEFT(B1155,FIND("_",B1155,1)-1),VLOOKUP(LEFT(A1155,6),'Code Library'!$D$3:$E$200,2,0))&amp;"_"&amp;RIGHT(A1155,3)</f>
        <v>#VALUE!</v>
      </c>
      <c r="I1155" s="66">
        <f t="shared" ref="I1155:I1218" si="18">A1155</f>
        <v>0</v>
      </c>
    </row>
    <row r="1156" spans="8:9">
      <c r="H1156" s="66" t="e">
        <f>IF(OR(LEFT(B1156,FIND("_",B1156,1)-1)="ULGALLOC",LEFT(B1156,FIND("_",B1156,1)-1)="ULSPOOL"),LEFT(B1156,FIND("_",B1156,1)-1),VLOOKUP(LEFT(A1156,6),'Code Library'!$D$3:$E$200,2,0))&amp;"_"&amp;RIGHT(A1156,3)</f>
        <v>#VALUE!</v>
      </c>
      <c r="I1156" s="66">
        <f t="shared" si="18"/>
        <v>0</v>
      </c>
    </row>
    <row r="1157" spans="8:9">
      <c r="H1157" s="66" t="e">
        <f>IF(OR(LEFT(B1157,FIND("_",B1157,1)-1)="ULGALLOC",LEFT(B1157,FIND("_",B1157,1)-1)="ULSPOOL"),LEFT(B1157,FIND("_",B1157,1)-1),VLOOKUP(LEFT(A1157,6),'Code Library'!$D$3:$E$200,2,0))&amp;"_"&amp;RIGHT(A1157,3)</f>
        <v>#VALUE!</v>
      </c>
      <c r="I1157" s="66">
        <f t="shared" si="18"/>
        <v>0</v>
      </c>
    </row>
    <row r="1158" spans="8:9">
      <c r="H1158" s="66" t="e">
        <f>IF(OR(LEFT(B1158,FIND("_",B1158,1)-1)="ULGALLOC",LEFT(B1158,FIND("_",B1158,1)-1)="ULSPOOL"),LEFT(B1158,FIND("_",B1158,1)-1),VLOOKUP(LEFT(A1158,6),'Code Library'!$D$3:$E$200,2,0))&amp;"_"&amp;RIGHT(A1158,3)</f>
        <v>#VALUE!</v>
      </c>
      <c r="I1158" s="66">
        <f t="shared" si="18"/>
        <v>0</v>
      </c>
    </row>
    <row r="1159" spans="8:9">
      <c r="H1159" s="66" t="e">
        <f>IF(OR(LEFT(B1159,FIND("_",B1159,1)-1)="ULGALLOC",LEFT(B1159,FIND("_",B1159,1)-1)="ULSPOOL"),LEFT(B1159,FIND("_",B1159,1)-1),VLOOKUP(LEFT(A1159,6),'Code Library'!$D$3:$E$200,2,0))&amp;"_"&amp;RIGHT(A1159,3)</f>
        <v>#VALUE!</v>
      </c>
      <c r="I1159" s="66">
        <f t="shared" si="18"/>
        <v>0</v>
      </c>
    </row>
    <row r="1160" spans="8:9">
      <c r="H1160" s="66" t="e">
        <f>IF(OR(LEFT(B1160,FIND("_",B1160,1)-1)="ULGALLOC",LEFT(B1160,FIND("_",B1160,1)-1)="ULSPOOL"),LEFT(B1160,FIND("_",B1160,1)-1),VLOOKUP(LEFT(A1160,6),'Code Library'!$D$3:$E$200,2,0))&amp;"_"&amp;RIGHT(A1160,3)</f>
        <v>#VALUE!</v>
      </c>
      <c r="I1160" s="66">
        <f t="shared" si="18"/>
        <v>0</v>
      </c>
    </row>
    <row r="1161" spans="8:9">
      <c r="H1161" s="66" t="e">
        <f>IF(OR(LEFT(B1161,FIND("_",B1161,1)-1)="ULGALLOC",LEFT(B1161,FIND("_",B1161,1)-1)="ULSPOOL"),LEFT(B1161,FIND("_",B1161,1)-1),VLOOKUP(LEFT(A1161,6),'Code Library'!$D$3:$E$200,2,0))&amp;"_"&amp;RIGHT(A1161,3)</f>
        <v>#VALUE!</v>
      </c>
      <c r="I1161" s="66">
        <f t="shared" si="18"/>
        <v>0</v>
      </c>
    </row>
    <row r="1162" spans="8:9">
      <c r="H1162" s="66" t="e">
        <f>IF(OR(LEFT(B1162,FIND("_",B1162,1)-1)="ULGALLOC",LEFT(B1162,FIND("_",B1162,1)-1)="ULSPOOL"),LEFT(B1162,FIND("_",B1162,1)-1),VLOOKUP(LEFT(A1162,6),'Code Library'!$D$3:$E$200,2,0))&amp;"_"&amp;RIGHT(A1162,3)</f>
        <v>#VALUE!</v>
      </c>
      <c r="I1162" s="66">
        <f t="shared" si="18"/>
        <v>0</v>
      </c>
    </row>
    <row r="1163" spans="8:9">
      <c r="H1163" s="66" t="e">
        <f>IF(OR(LEFT(B1163,FIND("_",B1163,1)-1)="ULGALLOC",LEFT(B1163,FIND("_",B1163,1)-1)="ULSPOOL"),LEFT(B1163,FIND("_",B1163,1)-1),VLOOKUP(LEFT(A1163,6),'Code Library'!$D$3:$E$200,2,0))&amp;"_"&amp;RIGHT(A1163,3)</f>
        <v>#VALUE!</v>
      </c>
      <c r="I1163" s="66">
        <f t="shared" si="18"/>
        <v>0</v>
      </c>
    </row>
    <row r="1164" spans="8:9">
      <c r="H1164" s="66" t="e">
        <f>IF(OR(LEFT(B1164,FIND("_",B1164,1)-1)="ULGALLOC",LEFT(B1164,FIND("_",B1164,1)-1)="ULSPOOL"),LEFT(B1164,FIND("_",B1164,1)-1),VLOOKUP(LEFT(A1164,6),'Code Library'!$D$3:$E$200,2,0))&amp;"_"&amp;RIGHT(A1164,3)</f>
        <v>#VALUE!</v>
      </c>
      <c r="I1164" s="66">
        <f t="shared" si="18"/>
        <v>0</v>
      </c>
    </row>
    <row r="1165" spans="8:9">
      <c r="H1165" s="66" t="e">
        <f>IF(OR(LEFT(B1165,FIND("_",B1165,1)-1)="ULGALLOC",LEFT(B1165,FIND("_",B1165,1)-1)="ULSPOOL"),LEFT(B1165,FIND("_",B1165,1)-1),VLOOKUP(LEFT(A1165,6),'Code Library'!$D$3:$E$200,2,0))&amp;"_"&amp;RIGHT(A1165,3)</f>
        <v>#VALUE!</v>
      </c>
      <c r="I1165" s="66">
        <f t="shared" si="18"/>
        <v>0</v>
      </c>
    </row>
    <row r="1166" spans="8:9">
      <c r="H1166" s="66" t="e">
        <f>IF(OR(LEFT(B1166,FIND("_",B1166,1)-1)="ULGALLOC",LEFT(B1166,FIND("_",B1166,1)-1)="ULSPOOL"),LEFT(B1166,FIND("_",B1166,1)-1),VLOOKUP(LEFT(A1166,6),'Code Library'!$D$3:$E$200,2,0))&amp;"_"&amp;RIGHT(A1166,3)</f>
        <v>#VALUE!</v>
      </c>
      <c r="I1166" s="66">
        <f t="shared" si="18"/>
        <v>0</v>
      </c>
    </row>
    <row r="1167" spans="8:9">
      <c r="H1167" s="66" t="e">
        <f>IF(OR(LEFT(B1167,FIND("_",B1167,1)-1)="ULGALLOC",LEFT(B1167,FIND("_",B1167,1)-1)="ULSPOOL"),LEFT(B1167,FIND("_",B1167,1)-1),VLOOKUP(LEFT(A1167,6),'Code Library'!$D$3:$E$200,2,0))&amp;"_"&amp;RIGHT(A1167,3)</f>
        <v>#VALUE!</v>
      </c>
      <c r="I1167" s="66">
        <f t="shared" si="18"/>
        <v>0</v>
      </c>
    </row>
    <row r="1168" spans="8:9">
      <c r="H1168" s="66" t="e">
        <f>IF(OR(LEFT(B1168,FIND("_",B1168,1)-1)="ULGALLOC",LEFT(B1168,FIND("_",B1168,1)-1)="ULSPOOL"),LEFT(B1168,FIND("_",B1168,1)-1),VLOOKUP(LEFT(A1168,6),'Code Library'!$D$3:$E$200,2,0))&amp;"_"&amp;RIGHT(A1168,3)</f>
        <v>#VALUE!</v>
      </c>
      <c r="I1168" s="66">
        <f t="shared" si="18"/>
        <v>0</v>
      </c>
    </row>
    <row r="1169" spans="8:9">
      <c r="H1169" s="66" t="e">
        <f>IF(OR(LEFT(B1169,FIND("_",B1169,1)-1)="ULGALLOC",LEFT(B1169,FIND("_",B1169,1)-1)="ULSPOOL"),LEFT(B1169,FIND("_",B1169,1)-1),VLOOKUP(LEFT(A1169,6),'Code Library'!$D$3:$E$200,2,0))&amp;"_"&amp;RIGHT(A1169,3)</f>
        <v>#VALUE!</v>
      </c>
      <c r="I1169" s="66">
        <f t="shared" si="18"/>
        <v>0</v>
      </c>
    </row>
    <row r="1170" spans="8:9">
      <c r="H1170" s="66" t="e">
        <f>IF(OR(LEFT(B1170,FIND("_",B1170,1)-1)="ULGALLOC",LEFT(B1170,FIND("_",B1170,1)-1)="ULSPOOL"),LEFT(B1170,FIND("_",B1170,1)-1),VLOOKUP(LEFT(A1170,6),'Code Library'!$D$3:$E$200,2,0))&amp;"_"&amp;RIGHT(A1170,3)</f>
        <v>#VALUE!</v>
      </c>
      <c r="I1170" s="66">
        <f t="shared" si="18"/>
        <v>0</v>
      </c>
    </row>
    <row r="1171" spans="8:9">
      <c r="H1171" s="66" t="e">
        <f>IF(OR(LEFT(B1171,FIND("_",B1171,1)-1)="ULGALLOC",LEFT(B1171,FIND("_",B1171,1)-1)="ULSPOOL"),LEFT(B1171,FIND("_",B1171,1)-1),VLOOKUP(LEFT(A1171,6),'Code Library'!$D$3:$E$200,2,0))&amp;"_"&amp;RIGHT(A1171,3)</f>
        <v>#VALUE!</v>
      </c>
      <c r="I1171" s="66">
        <f t="shared" si="18"/>
        <v>0</v>
      </c>
    </row>
    <row r="1172" spans="8:9">
      <c r="H1172" s="66" t="e">
        <f>IF(OR(LEFT(B1172,FIND("_",B1172,1)-1)="ULGALLOC",LEFT(B1172,FIND("_",B1172,1)-1)="ULSPOOL"),LEFT(B1172,FIND("_",B1172,1)-1),VLOOKUP(LEFT(A1172,6),'Code Library'!$D$3:$E$200,2,0))&amp;"_"&amp;RIGHT(A1172,3)</f>
        <v>#VALUE!</v>
      </c>
      <c r="I1172" s="66">
        <f t="shared" si="18"/>
        <v>0</v>
      </c>
    </row>
    <row r="1173" spans="8:9">
      <c r="H1173" s="66" t="e">
        <f>IF(OR(LEFT(B1173,FIND("_",B1173,1)-1)="ULGALLOC",LEFT(B1173,FIND("_",B1173,1)-1)="ULSPOOL"),LEFT(B1173,FIND("_",B1173,1)-1),VLOOKUP(LEFT(A1173,6),'Code Library'!$D$3:$E$200,2,0))&amp;"_"&amp;RIGHT(A1173,3)</f>
        <v>#VALUE!</v>
      </c>
      <c r="I1173" s="66">
        <f t="shared" si="18"/>
        <v>0</v>
      </c>
    </row>
    <row r="1174" spans="8:9">
      <c r="H1174" s="66" t="e">
        <f>IF(OR(LEFT(B1174,FIND("_",B1174,1)-1)="ULGALLOC",LEFT(B1174,FIND("_",B1174,1)-1)="ULSPOOL"),LEFT(B1174,FIND("_",B1174,1)-1),VLOOKUP(LEFT(A1174,6),'Code Library'!$D$3:$E$200,2,0))&amp;"_"&amp;RIGHT(A1174,3)</f>
        <v>#VALUE!</v>
      </c>
      <c r="I1174" s="66">
        <f t="shared" si="18"/>
        <v>0</v>
      </c>
    </row>
    <row r="1175" spans="8:9">
      <c r="H1175" s="66" t="e">
        <f>IF(OR(LEFT(B1175,FIND("_",B1175,1)-1)="ULGALLOC",LEFT(B1175,FIND("_",B1175,1)-1)="ULSPOOL"),LEFT(B1175,FIND("_",B1175,1)-1),VLOOKUP(LEFT(A1175,6),'Code Library'!$D$3:$E$200,2,0))&amp;"_"&amp;RIGHT(A1175,3)</f>
        <v>#VALUE!</v>
      </c>
      <c r="I1175" s="66">
        <f t="shared" si="18"/>
        <v>0</v>
      </c>
    </row>
    <row r="1176" spans="8:9">
      <c r="H1176" s="66" t="e">
        <f>IF(OR(LEFT(B1176,FIND("_",B1176,1)-1)="ULGALLOC",LEFT(B1176,FIND("_",B1176,1)-1)="ULSPOOL"),LEFT(B1176,FIND("_",B1176,1)-1),VLOOKUP(LEFT(A1176,6),'Code Library'!$D$3:$E$200,2,0))&amp;"_"&amp;RIGHT(A1176,3)</f>
        <v>#VALUE!</v>
      </c>
      <c r="I1176" s="66">
        <f t="shared" si="18"/>
        <v>0</v>
      </c>
    </row>
    <row r="1177" spans="8:9">
      <c r="H1177" s="66" t="e">
        <f>IF(OR(LEFT(B1177,FIND("_",B1177,1)-1)="ULGALLOC",LEFT(B1177,FIND("_",B1177,1)-1)="ULSPOOL"),LEFT(B1177,FIND("_",B1177,1)-1),VLOOKUP(LEFT(A1177,6),'Code Library'!$D$3:$E$200,2,0))&amp;"_"&amp;RIGHT(A1177,3)</f>
        <v>#VALUE!</v>
      </c>
      <c r="I1177" s="66">
        <f t="shared" si="18"/>
        <v>0</v>
      </c>
    </row>
    <row r="1178" spans="8:9">
      <c r="H1178" s="66" t="e">
        <f>IF(OR(LEFT(B1178,FIND("_",B1178,1)-1)="ULGALLOC",LEFT(B1178,FIND("_",B1178,1)-1)="ULSPOOL"),LEFT(B1178,FIND("_",B1178,1)-1),VLOOKUP(LEFT(A1178,6),'Code Library'!$D$3:$E$200,2,0))&amp;"_"&amp;RIGHT(A1178,3)</f>
        <v>#VALUE!</v>
      </c>
      <c r="I1178" s="66">
        <f t="shared" si="18"/>
        <v>0</v>
      </c>
    </row>
    <row r="1179" spans="8:9">
      <c r="H1179" s="66" t="e">
        <f>IF(OR(LEFT(B1179,FIND("_",B1179,1)-1)="ULGALLOC",LEFT(B1179,FIND("_",B1179,1)-1)="ULSPOOL"),LEFT(B1179,FIND("_",B1179,1)-1),VLOOKUP(LEFT(A1179,6),'Code Library'!$D$3:$E$200,2,0))&amp;"_"&amp;RIGHT(A1179,3)</f>
        <v>#VALUE!</v>
      </c>
      <c r="I1179" s="66">
        <f t="shared" si="18"/>
        <v>0</v>
      </c>
    </row>
    <row r="1180" spans="8:9">
      <c r="H1180" s="66" t="e">
        <f>IF(OR(LEFT(B1180,FIND("_",B1180,1)-1)="ULGALLOC",LEFT(B1180,FIND("_",B1180,1)-1)="ULSPOOL"),LEFT(B1180,FIND("_",B1180,1)-1),VLOOKUP(LEFT(A1180,6),'Code Library'!$D$3:$E$200,2,0))&amp;"_"&amp;RIGHT(A1180,3)</f>
        <v>#VALUE!</v>
      </c>
      <c r="I1180" s="66">
        <f t="shared" si="18"/>
        <v>0</v>
      </c>
    </row>
    <row r="1181" spans="8:9">
      <c r="H1181" s="66" t="e">
        <f>IF(OR(LEFT(B1181,FIND("_",B1181,1)-1)="ULGALLOC",LEFT(B1181,FIND("_",B1181,1)-1)="ULSPOOL"),LEFT(B1181,FIND("_",B1181,1)-1),VLOOKUP(LEFT(A1181,6),'Code Library'!$D$3:$E$200,2,0))&amp;"_"&amp;RIGHT(A1181,3)</f>
        <v>#VALUE!</v>
      </c>
      <c r="I1181" s="66">
        <f t="shared" si="18"/>
        <v>0</v>
      </c>
    </row>
    <row r="1182" spans="8:9">
      <c r="H1182" s="66" t="e">
        <f>IF(OR(LEFT(B1182,FIND("_",B1182,1)-1)="ULGALLOC",LEFT(B1182,FIND("_",B1182,1)-1)="ULSPOOL"),LEFT(B1182,FIND("_",B1182,1)-1),VLOOKUP(LEFT(A1182,6),'Code Library'!$D$3:$E$200,2,0))&amp;"_"&amp;RIGHT(A1182,3)</f>
        <v>#VALUE!</v>
      </c>
      <c r="I1182" s="66">
        <f t="shared" si="18"/>
        <v>0</v>
      </c>
    </row>
    <row r="1183" spans="8:9">
      <c r="H1183" s="66" t="e">
        <f>IF(OR(LEFT(B1183,FIND("_",B1183,1)-1)="ULGALLOC",LEFT(B1183,FIND("_",B1183,1)-1)="ULSPOOL"),LEFT(B1183,FIND("_",B1183,1)-1),VLOOKUP(LEFT(A1183,6),'Code Library'!$D$3:$E$200,2,0))&amp;"_"&amp;RIGHT(A1183,3)</f>
        <v>#VALUE!</v>
      </c>
      <c r="I1183" s="66">
        <f t="shared" si="18"/>
        <v>0</v>
      </c>
    </row>
    <row r="1184" spans="8:9">
      <c r="H1184" s="66" t="e">
        <f>IF(OR(LEFT(B1184,FIND("_",B1184,1)-1)="ULGALLOC",LEFT(B1184,FIND("_",B1184,1)-1)="ULSPOOL"),LEFT(B1184,FIND("_",B1184,1)-1),VLOOKUP(LEFT(A1184,6),'Code Library'!$D$3:$E$200,2,0))&amp;"_"&amp;RIGHT(A1184,3)</f>
        <v>#VALUE!</v>
      </c>
      <c r="I1184" s="66">
        <f t="shared" si="18"/>
        <v>0</v>
      </c>
    </row>
    <row r="1185" spans="8:9">
      <c r="H1185" s="66" t="e">
        <f>IF(OR(LEFT(B1185,FIND("_",B1185,1)-1)="ULGALLOC",LEFT(B1185,FIND("_",B1185,1)-1)="ULSPOOL"),LEFT(B1185,FIND("_",B1185,1)-1),VLOOKUP(LEFT(A1185,6),'Code Library'!$D$3:$E$200,2,0))&amp;"_"&amp;RIGHT(A1185,3)</f>
        <v>#VALUE!</v>
      </c>
      <c r="I1185" s="66">
        <f t="shared" si="18"/>
        <v>0</v>
      </c>
    </row>
    <row r="1186" spans="8:9">
      <c r="H1186" s="66" t="e">
        <f>IF(OR(LEFT(B1186,FIND("_",B1186,1)-1)="ULGALLOC",LEFT(B1186,FIND("_",B1186,1)-1)="ULSPOOL"),LEFT(B1186,FIND("_",B1186,1)-1),VLOOKUP(LEFT(A1186,6),'Code Library'!$D$3:$E$200,2,0))&amp;"_"&amp;RIGHT(A1186,3)</f>
        <v>#VALUE!</v>
      </c>
      <c r="I1186" s="66">
        <f t="shared" si="18"/>
        <v>0</v>
      </c>
    </row>
    <row r="1187" spans="8:9">
      <c r="H1187" s="66" t="e">
        <f>IF(OR(LEFT(B1187,FIND("_",B1187,1)-1)="ULGALLOC",LEFT(B1187,FIND("_",B1187,1)-1)="ULSPOOL"),LEFT(B1187,FIND("_",B1187,1)-1),VLOOKUP(LEFT(A1187,6),'Code Library'!$D$3:$E$200,2,0))&amp;"_"&amp;RIGHT(A1187,3)</f>
        <v>#VALUE!</v>
      </c>
      <c r="I1187" s="66">
        <f t="shared" si="18"/>
        <v>0</v>
      </c>
    </row>
    <row r="1188" spans="8:9">
      <c r="H1188" s="66" t="e">
        <f>IF(OR(LEFT(B1188,FIND("_",B1188,1)-1)="ULGALLOC",LEFT(B1188,FIND("_",B1188,1)-1)="ULSPOOL"),LEFT(B1188,FIND("_",B1188,1)-1),VLOOKUP(LEFT(A1188,6),'Code Library'!$D$3:$E$200,2,0))&amp;"_"&amp;RIGHT(A1188,3)</f>
        <v>#VALUE!</v>
      </c>
      <c r="I1188" s="66">
        <f t="shared" si="18"/>
        <v>0</v>
      </c>
    </row>
    <row r="1189" spans="8:9">
      <c r="H1189" s="66" t="e">
        <f>IF(OR(LEFT(B1189,FIND("_",B1189,1)-1)="ULGALLOC",LEFT(B1189,FIND("_",B1189,1)-1)="ULSPOOL"),LEFT(B1189,FIND("_",B1189,1)-1),VLOOKUP(LEFT(A1189,6),'Code Library'!$D$3:$E$200,2,0))&amp;"_"&amp;RIGHT(A1189,3)</f>
        <v>#VALUE!</v>
      </c>
      <c r="I1189" s="66">
        <f t="shared" si="18"/>
        <v>0</v>
      </c>
    </row>
    <row r="1190" spans="8:9">
      <c r="H1190" s="66" t="e">
        <f>IF(OR(LEFT(B1190,FIND("_",B1190,1)-1)="ULGALLOC",LEFT(B1190,FIND("_",B1190,1)-1)="ULSPOOL"),LEFT(B1190,FIND("_",B1190,1)-1),VLOOKUP(LEFT(A1190,6),'Code Library'!$D$3:$E$200,2,0))&amp;"_"&amp;RIGHT(A1190,3)</f>
        <v>#VALUE!</v>
      </c>
      <c r="I1190" s="66">
        <f t="shared" si="18"/>
        <v>0</v>
      </c>
    </row>
    <row r="1191" spans="8:9">
      <c r="H1191" s="66" t="e">
        <f>IF(OR(LEFT(B1191,FIND("_",B1191,1)-1)="ULGALLOC",LEFT(B1191,FIND("_",B1191,1)-1)="ULSPOOL"),LEFT(B1191,FIND("_",B1191,1)-1),VLOOKUP(LEFT(A1191,6),'Code Library'!$D$3:$E$200,2,0))&amp;"_"&amp;RIGHT(A1191,3)</f>
        <v>#VALUE!</v>
      </c>
      <c r="I1191" s="66">
        <f t="shared" si="18"/>
        <v>0</v>
      </c>
    </row>
    <row r="1192" spans="8:9">
      <c r="H1192" s="66" t="e">
        <f>IF(OR(LEFT(B1192,FIND("_",B1192,1)-1)="ULGALLOC",LEFT(B1192,FIND("_",B1192,1)-1)="ULSPOOL"),LEFT(B1192,FIND("_",B1192,1)-1),VLOOKUP(LEFT(A1192,6),'Code Library'!$D$3:$E$200,2,0))&amp;"_"&amp;RIGHT(A1192,3)</f>
        <v>#VALUE!</v>
      </c>
      <c r="I1192" s="66">
        <f t="shared" si="18"/>
        <v>0</v>
      </c>
    </row>
    <row r="1193" spans="8:9">
      <c r="H1193" s="66" t="e">
        <f>IF(OR(LEFT(B1193,FIND("_",B1193,1)-1)="ULGALLOC",LEFT(B1193,FIND("_",B1193,1)-1)="ULSPOOL"),LEFT(B1193,FIND("_",B1193,1)-1),VLOOKUP(LEFT(A1193,6),'Code Library'!$D$3:$E$200,2,0))&amp;"_"&amp;RIGHT(A1193,3)</f>
        <v>#VALUE!</v>
      </c>
      <c r="I1193" s="66">
        <f t="shared" si="18"/>
        <v>0</v>
      </c>
    </row>
    <row r="1194" spans="8:9">
      <c r="H1194" s="66" t="e">
        <f>IF(OR(LEFT(B1194,FIND("_",B1194,1)-1)="ULGALLOC",LEFT(B1194,FIND("_",B1194,1)-1)="ULSPOOL"),LEFT(B1194,FIND("_",B1194,1)-1),VLOOKUP(LEFT(A1194,6),'Code Library'!$D$3:$E$200,2,0))&amp;"_"&amp;RIGHT(A1194,3)</f>
        <v>#VALUE!</v>
      </c>
      <c r="I1194" s="66">
        <f t="shared" si="18"/>
        <v>0</v>
      </c>
    </row>
    <row r="1195" spans="8:9">
      <c r="H1195" s="66" t="e">
        <f>IF(OR(LEFT(B1195,FIND("_",B1195,1)-1)="ULGALLOC",LEFT(B1195,FIND("_",B1195,1)-1)="ULSPOOL"),LEFT(B1195,FIND("_",B1195,1)-1),VLOOKUP(LEFT(A1195,6),'Code Library'!$D$3:$E$200,2,0))&amp;"_"&amp;RIGHT(A1195,3)</f>
        <v>#VALUE!</v>
      </c>
      <c r="I1195" s="66">
        <f t="shared" si="18"/>
        <v>0</v>
      </c>
    </row>
    <row r="1196" spans="8:9">
      <c r="H1196" s="66" t="e">
        <f>IF(OR(LEFT(B1196,FIND("_",B1196,1)-1)="ULGALLOC",LEFT(B1196,FIND("_",B1196,1)-1)="ULSPOOL"),LEFT(B1196,FIND("_",B1196,1)-1),VLOOKUP(LEFT(A1196,6),'Code Library'!$D$3:$E$200,2,0))&amp;"_"&amp;RIGHT(A1196,3)</f>
        <v>#VALUE!</v>
      </c>
      <c r="I1196" s="66">
        <f t="shared" si="18"/>
        <v>0</v>
      </c>
    </row>
    <row r="1197" spans="8:9">
      <c r="H1197" s="66" t="e">
        <f>IF(OR(LEFT(B1197,FIND("_",B1197,1)-1)="ULGALLOC",LEFT(B1197,FIND("_",B1197,1)-1)="ULSPOOL"),LEFT(B1197,FIND("_",B1197,1)-1),VLOOKUP(LEFT(A1197,6),'Code Library'!$D$3:$E$200,2,0))&amp;"_"&amp;RIGHT(A1197,3)</f>
        <v>#VALUE!</v>
      </c>
      <c r="I1197" s="66">
        <f t="shared" si="18"/>
        <v>0</v>
      </c>
    </row>
    <row r="1198" spans="8:9">
      <c r="H1198" s="66" t="e">
        <f>IF(OR(LEFT(B1198,FIND("_",B1198,1)-1)="ULGALLOC",LEFT(B1198,FIND("_",B1198,1)-1)="ULSPOOL"),LEFT(B1198,FIND("_",B1198,1)-1),VLOOKUP(LEFT(A1198,6),'Code Library'!$D$3:$E$200,2,0))&amp;"_"&amp;RIGHT(A1198,3)</f>
        <v>#VALUE!</v>
      </c>
      <c r="I1198" s="66">
        <f t="shared" si="18"/>
        <v>0</v>
      </c>
    </row>
    <row r="1199" spans="8:9">
      <c r="H1199" s="66" t="e">
        <f>IF(OR(LEFT(B1199,FIND("_",B1199,1)-1)="ULGALLOC",LEFT(B1199,FIND("_",B1199,1)-1)="ULSPOOL"),LEFT(B1199,FIND("_",B1199,1)-1),VLOOKUP(LEFT(A1199,6),'Code Library'!$D$3:$E$200,2,0))&amp;"_"&amp;RIGHT(A1199,3)</f>
        <v>#VALUE!</v>
      </c>
      <c r="I1199" s="66">
        <f t="shared" si="18"/>
        <v>0</v>
      </c>
    </row>
    <row r="1200" spans="8:9">
      <c r="H1200" s="66" t="e">
        <f>IF(OR(LEFT(B1200,FIND("_",B1200,1)-1)="ULGALLOC",LEFT(B1200,FIND("_",B1200,1)-1)="ULSPOOL"),LEFT(B1200,FIND("_",B1200,1)-1),VLOOKUP(LEFT(A1200,6),'Code Library'!$D$3:$E$200,2,0))&amp;"_"&amp;RIGHT(A1200,3)</f>
        <v>#VALUE!</v>
      </c>
      <c r="I1200" s="66">
        <f t="shared" si="18"/>
        <v>0</v>
      </c>
    </row>
    <row r="1201" spans="8:9">
      <c r="H1201" s="66" t="e">
        <f>IF(OR(LEFT(B1201,FIND("_",B1201,1)-1)="ULGALLOC",LEFT(B1201,FIND("_",B1201,1)-1)="ULSPOOL"),LEFT(B1201,FIND("_",B1201,1)-1),VLOOKUP(LEFT(A1201,6),'Code Library'!$D$3:$E$200,2,0))&amp;"_"&amp;RIGHT(A1201,3)</f>
        <v>#VALUE!</v>
      </c>
      <c r="I1201" s="66">
        <f t="shared" si="18"/>
        <v>0</v>
      </c>
    </row>
    <row r="1202" spans="8:9">
      <c r="H1202" s="66" t="e">
        <f>IF(OR(LEFT(B1202,FIND("_",B1202,1)-1)="ULGALLOC",LEFT(B1202,FIND("_",B1202,1)-1)="ULSPOOL"),LEFT(B1202,FIND("_",B1202,1)-1),VLOOKUP(LEFT(A1202,6),'Code Library'!$D$3:$E$200,2,0))&amp;"_"&amp;RIGHT(A1202,3)</f>
        <v>#VALUE!</v>
      </c>
      <c r="I1202" s="66">
        <f t="shared" si="18"/>
        <v>0</v>
      </c>
    </row>
    <row r="1203" spans="8:9">
      <c r="H1203" s="66" t="e">
        <f>IF(OR(LEFT(B1203,FIND("_",B1203,1)-1)="ULGALLOC",LEFT(B1203,FIND("_",B1203,1)-1)="ULSPOOL"),LEFT(B1203,FIND("_",B1203,1)-1),VLOOKUP(LEFT(A1203,6),'Code Library'!$D$3:$E$200,2,0))&amp;"_"&amp;RIGHT(A1203,3)</f>
        <v>#VALUE!</v>
      </c>
      <c r="I1203" s="66">
        <f t="shared" si="18"/>
        <v>0</v>
      </c>
    </row>
    <row r="1204" spans="8:9">
      <c r="H1204" s="66" t="e">
        <f>IF(OR(LEFT(B1204,FIND("_",B1204,1)-1)="ULGALLOC",LEFT(B1204,FIND("_",B1204,1)-1)="ULSPOOL"),LEFT(B1204,FIND("_",B1204,1)-1),VLOOKUP(LEFT(A1204,6),'Code Library'!$D$3:$E$200,2,0))&amp;"_"&amp;RIGHT(A1204,3)</f>
        <v>#VALUE!</v>
      </c>
      <c r="I1204" s="66">
        <f t="shared" si="18"/>
        <v>0</v>
      </c>
    </row>
    <row r="1205" spans="8:9">
      <c r="H1205" s="66" t="e">
        <f>IF(OR(LEFT(B1205,FIND("_",B1205,1)-1)="ULGALLOC",LEFT(B1205,FIND("_",B1205,1)-1)="ULSPOOL"),LEFT(B1205,FIND("_",B1205,1)-1),VLOOKUP(LEFT(A1205,6),'Code Library'!$D$3:$E$200,2,0))&amp;"_"&amp;RIGHT(A1205,3)</f>
        <v>#VALUE!</v>
      </c>
      <c r="I1205" s="66">
        <f t="shared" si="18"/>
        <v>0</v>
      </c>
    </row>
    <row r="1206" spans="8:9">
      <c r="H1206" s="66" t="e">
        <f>IF(OR(LEFT(B1206,FIND("_",B1206,1)-1)="ULGALLOC",LEFT(B1206,FIND("_",B1206,1)-1)="ULSPOOL"),LEFT(B1206,FIND("_",B1206,1)-1),VLOOKUP(LEFT(A1206,6),'Code Library'!$D$3:$E$200,2,0))&amp;"_"&amp;RIGHT(A1206,3)</f>
        <v>#VALUE!</v>
      </c>
      <c r="I1206" s="66">
        <f t="shared" si="18"/>
        <v>0</v>
      </c>
    </row>
    <row r="1207" spans="8:9">
      <c r="H1207" s="66" t="e">
        <f>IF(OR(LEFT(B1207,FIND("_",B1207,1)-1)="ULGALLOC",LEFT(B1207,FIND("_",B1207,1)-1)="ULSPOOL"),LEFT(B1207,FIND("_",B1207,1)-1),VLOOKUP(LEFT(A1207,6),'Code Library'!$D$3:$E$200,2,0))&amp;"_"&amp;RIGHT(A1207,3)</f>
        <v>#VALUE!</v>
      </c>
      <c r="I1207" s="66">
        <f t="shared" si="18"/>
        <v>0</v>
      </c>
    </row>
    <row r="1208" spans="8:9">
      <c r="H1208" s="66" t="e">
        <f>IF(OR(LEFT(B1208,FIND("_",B1208,1)-1)="ULGALLOC",LEFT(B1208,FIND("_",B1208,1)-1)="ULSPOOL"),LEFT(B1208,FIND("_",B1208,1)-1),VLOOKUP(LEFT(A1208,6),'Code Library'!$D$3:$E$200,2,0))&amp;"_"&amp;RIGHT(A1208,3)</f>
        <v>#VALUE!</v>
      </c>
      <c r="I1208" s="66">
        <f t="shared" si="18"/>
        <v>0</v>
      </c>
    </row>
    <row r="1209" spans="8:9">
      <c r="H1209" s="66" t="e">
        <f>IF(OR(LEFT(B1209,FIND("_",B1209,1)-1)="ULGALLOC",LEFT(B1209,FIND("_",B1209,1)-1)="ULSPOOL"),LEFT(B1209,FIND("_",B1209,1)-1),VLOOKUP(LEFT(A1209,6),'Code Library'!$D$3:$E$200,2,0))&amp;"_"&amp;RIGHT(A1209,3)</f>
        <v>#VALUE!</v>
      </c>
      <c r="I1209" s="66">
        <f t="shared" si="18"/>
        <v>0</v>
      </c>
    </row>
    <row r="1210" spans="8:9">
      <c r="H1210" s="66" t="e">
        <f>IF(OR(LEFT(B1210,FIND("_",B1210,1)-1)="ULGALLOC",LEFT(B1210,FIND("_",B1210,1)-1)="ULSPOOL"),LEFT(B1210,FIND("_",B1210,1)-1),VLOOKUP(LEFT(A1210,6),'Code Library'!$D$3:$E$200,2,0))&amp;"_"&amp;RIGHT(A1210,3)</f>
        <v>#VALUE!</v>
      </c>
      <c r="I1210" s="66">
        <f t="shared" si="18"/>
        <v>0</v>
      </c>
    </row>
    <row r="1211" spans="8:9">
      <c r="H1211" s="66" t="e">
        <f>IF(OR(LEFT(B1211,FIND("_",B1211,1)-1)="ULGALLOC",LEFT(B1211,FIND("_",B1211,1)-1)="ULSPOOL"),LEFT(B1211,FIND("_",B1211,1)-1),VLOOKUP(LEFT(A1211,6),'Code Library'!$D$3:$E$200,2,0))&amp;"_"&amp;RIGHT(A1211,3)</f>
        <v>#VALUE!</v>
      </c>
      <c r="I1211" s="66">
        <f t="shared" si="18"/>
        <v>0</v>
      </c>
    </row>
    <row r="1212" spans="8:9">
      <c r="H1212" s="66" t="e">
        <f>IF(OR(LEFT(B1212,FIND("_",B1212,1)-1)="ULGALLOC",LEFT(B1212,FIND("_",B1212,1)-1)="ULSPOOL"),LEFT(B1212,FIND("_",B1212,1)-1),VLOOKUP(LEFT(A1212,6),'Code Library'!$D$3:$E$200,2,0))&amp;"_"&amp;RIGHT(A1212,3)</f>
        <v>#VALUE!</v>
      </c>
      <c r="I1212" s="66">
        <f t="shared" si="18"/>
        <v>0</v>
      </c>
    </row>
    <row r="1213" spans="8:9">
      <c r="H1213" s="66" t="e">
        <f>IF(OR(LEFT(B1213,FIND("_",B1213,1)-1)="ULGALLOC",LEFT(B1213,FIND("_",B1213,1)-1)="ULSPOOL"),LEFT(B1213,FIND("_",B1213,1)-1),VLOOKUP(LEFT(A1213,6),'Code Library'!$D$3:$E$200,2,0))&amp;"_"&amp;RIGHT(A1213,3)</f>
        <v>#VALUE!</v>
      </c>
      <c r="I1213" s="66">
        <f t="shared" si="18"/>
        <v>0</v>
      </c>
    </row>
    <row r="1214" spans="8:9">
      <c r="H1214" s="66" t="e">
        <f>IF(OR(LEFT(B1214,FIND("_",B1214,1)-1)="ULGALLOC",LEFT(B1214,FIND("_",B1214,1)-1)="ULSPOOL"),LEFT(B1214,FIND("_",B1214,1)-1),VLOOKUP(LEFT(A1214,6),'Code Library'!$D$3:$E$200,2,0))&amp;"_"&amp;RIGHT(A1214,3)</f>
        <v>#VALUE!</v>
      </c>
      <c r="I1214" s="66">
        <f t="shared" si="18"/>
        <v>0</v>
      </c>
    </row>
    <row r="1215" spans="8:9">
      <c r="H1215" s="66" t="e">
        <f>IF(OR(LEFT(B1215,FIND("_",B1215,1)-1)="ULGALLOC",LEFT(B1215,FIND("_",B1215,1)-1)="ULSPOOL"),LEFT(B1215,FIND("_",B1215,1)-1),VLOOKUP(LEFT(A1215,6),'Code Library'!$D$3:$E$200,2,0))&amp;"_"&amp;RIGHT(A1215,3)</f>
        <v>#VALUE!</v>
      </c>
      <c r="I1215" s="66">
        <f t="shared" si="18"/>
        <v>0</v>
      </c>
    </row>
    <row r="1216" spans="8:9">
      <c r="H1216" s="66" t="e">
        <f>IF(OR(LEFT(B1216,FIND("_",B1216,1)-1)="ULGALLOC",LEFT(B1216,FIND("_",B1216,1)-1)="ULSPOOL"),LEFT(B1216,FIND("_",B1216,1)-1),VLOOKUP(LEFT(A1216,6),'Code Library'!$D$3:$E$200,2,0))&amp;"_"&amp;RIGHT(A1216,3)</f>
        <v>#VALUE!</v>
      </c>
      <c r="I1216" s="66">
        <f t="shared" si="18"/>
        <v>0</v>
      </c>
    </row>
    <row r="1217" spans="8:9">
      <c r="H1217" s="66" t="e">
        <f>IF(OR(LEFT(B1217,FIND("_",B1217,1)-1)="ULGALLOC",LEFT(B1217,FIND("_",B1217,1)-1)="ULSPOOL"),LEFT(B1217,FIND("_",B1217,1)-1),VLOOKUP(LEFT(A1217,6),'Code Library'!$D$3:$E$200,2,0))&amp;"_"&amp;RIGHT(A1217,3)</f>
        <v>#VALUE!</v>
      </c>
      <c r="I1217" s="66">
        <f t="shared" si="18"/>
        <v>0</v>
      </c>
    </row>
    <row r="1218" spans="8:9">
      <c r="H1218" s="66" t="e">
        <f>IF(OR(LEFT(B1218,FIND("_",B1218,1)-1)="ULGALLOC",LEFT(B1218,FIND("_",B1218,1)-1)="ULSPOOL"),LEFT(B1218,FIND("_",B1218,1)-1),VLOOKUP(LEFT(A1218,6),'Code Library'!$D$3:$E$200,2,0))&amp;"_"&amp;RIGHT(A1218,3)</f>
        <v>#VALUE!</v>
      </c>
      <c r="I1218" s="66">
        <f t="shared" si="18"/>
        <v>0</v>
      </c>
    </row>
    <row r="1219" spans="8:9">
      <c r="H1219" s="66" t="e">
        <f>IF(OR(LEFT(B1219,FIND("_",B1219,1)-1)="ULGALLOC",LEFT(B1219,FIND("_",B1219,1)-1)="ULSPOOL"),LEFT(B1219,FIND("_",B1219,1)-1),VLOOKUP(LEFT(A1219,6),'Code Library'!$D$3:$E$200,2,0))&amp;"_"&amp;RIGHT(A1219,3)</f>
        <v>#VALUE!</v>
      </c>
      <c r="I1219" s="66">
        <f t="shared" ref="I1219:I1282" si="19">A1219</f>
        <v>0</v>
      </c>
    </row>
    <row r="1220" spans="8:9">
      <c r="H1220" s="66" t="e">
        <f>IF(OR(LEFT(B1220,FIND("_",B1220,1)-1)="ULGALLOC",LEFT(B1220,FIND("_",B1220,1)-1)="ULSPOOL"),LEFT(B1220,FIND("_",B1220,1)-1),VLOOKUP(LEFT(A1220,6),'Code Library'!$D$3:$E$200,2,0))&amp;"_"&amp;RIGHT(A1220,3)</f>
        <v>#VALUE!</v>
      </c>
      <c r="I1220" s="66">
        <f t="shared" si="19"/>
        <v>0</v>
      </c>
    </row>
    <row r="1221" spans="8:9">
      <c r="H1221" s="66" t="e">
        <f>IF(OR(LEFT(B1221,FIND("_",B1221,1)-1)="ULGALLOC",LEFT(B1221,FIND("_",B1221,1)-1)="ULSPOOL"),LEFT(B1221,FIND("_",B1221,1)-1),VLOOKUP(LEFT(A1221,6),'Code Library'!$D$3:$E$200,2,0))&amp;"_"&amp;RIGHT(A1221,3)</f>
        <v>#VALUE!</v>
      </c>
      <c r="I1221" s="66">
        <f t="shared" si="19"/>
        <v>0</v>
      </c>
    </row>
    <row r="1222" spans="8:9">
      <c r="H1222" s="66" t="e">
        <f>IF(OR(LEFT(B1222,FIND("_",B1222,1)-1)="ULGALLOC",LEFT(B1222,FIND("_",B1222,1)-1)="ULSPOOL"),LEFT(B1222,FIND("_",B1222,1)-1),VLOOKUP(LEFT(A1222,6),'Code Library'!$D$3:$E$200,2,0))&amp;"_"&amp;RIGHT(A1222,3)</f>
        <v>#VALUE!</v>
      </c>
      <c r="I1222" s="66">
        <f t="shared" si="19"/>
        <v>0</v>
      </c>
    </row>
    <row r="1223" spans="8:9">
      <c r="H1223" s="66" t="e">
        <f>IF(OR(LEFT(B1223,FIND("_",B1223,1)-1)="ULGALLOC",LEFT(B1223,FIND("_",B1223,1)-1)="ULSPOOL"),LEFT(B1223,FIND("_",B1223,1)-1),VLOOKUP(LEFT(A1223,6),'Code Library'!$D$3:$E$200,2,0))&amp;"_"&amp;RIGHT(A1223,3)</f>
        <v>#VALUE!</v>
      </c>
      <c r="I1223" s="66">
        <f t="shared" si="19"/>
        <v>0</v>
      </c>
    </row>
    <row r="1224" spans="8:9">
      <c r="H1224" s="66" t="e">
        <f>IF(OR(LEFT(B1224,FIND("_",B1224,1)-1)="ULGALLOC",LEFT(B1224,FIND("_",B1224,1)-1)="ULSPOOL"),LEFT(B1224,FIND("_",B1224,1)-1),VLOOKUP(LEFT(A1224,6),'Code Library'!$D$3:$E$200,2,0))&amp;"_"&amp;RIGHT(A1224,3)</f>
        <v>#VALUE!</v>
      </c>
      <c r="I1224" s="66">
        <f t="shared" si="19"/>
        <v>0</v>
      </c>
    </row>
    <row r="1225" spans="8:9">
      <c r="H1225" s="66" t="e">
        <f>IF(OR(LEFT(B1225,FIND("_",B1225,1)-1)="ULGALLOC",LEFT(B1225,FIND("_",B1225,1)-1)="ULSPOOL"),LEFT(B1225,FIND("_",B1225,1)-1),VLOOKUP(LEFT(A1225,6),'Code Library'!$D$3:$E$200,2,0))&amp;"_"&amp;RIGHT(A1225,3)</f>
        <v>#VALUE!</v>
      </c>
      <c r="I1225" s="66">
        <f t="shared" si="19"/>
        <v>0</v>
      </c>
    </row>
    <row r="1226" spans="8:9">
      <c r="H1226" s="66" t="e">
        <f>IF(OR(LEFT(B1226,FIND("_",B1226,1)-1)="ULGALLOC",LEFT(B1226,FIND("_",B1226,1)-1)="ULSPOOL"),LEFT(B1226,FIND("_",B1226,1)-1),VLOOKUP(LEFT(A1226,6),'Code Library'!$D$3:$E$200,2,0))&amp;"_"&amp;RIGHT(A1226,3)</f>
        <v>#VALUE!</v>
      </c>
      <c r="I1226" s="66">
        <f t="shared" si="19"/>
        <v>0</v>
      </c>
    </row>
    <row r="1227" spans="8:9">
      <c r="H1227" s="66" t="e">
        <f>IF(OR(LEFT(B1227,FIND("_",B1227,1)-1)="ULGALLOC",LEFT(B1227,FIND("_",B1227,1)-1)="ULSPOOL"),LEFT(B1227,FIND("_",B1227,1)-1),VLOOKUP(LEFT(A1227,6),'Code Library'!$D$3:$E$200,2,0))&amp;"_"&amp;RIGHT(A1227,3)</f>
        <v>#VALUE!</v>
      </c>
      <c r="I1227" s="66">
        <f t="shared" si="19"/>
        <v>0</v>
      </c>
    </row>
    <row r="1228" spans="8:9">
      <c r="H1228" s="66" t="e">
        <f>IF(OR(LEFT(B1228,FIND("_",B1228,1)-1)="ULGALLOC",LEFT(B1228,FIND("_",B1228,1)-1)="ULSPOOL"),LEFT(B1228,FIND("_",B1228,1)-1),VLOOKUP(LEFT(A1228,6),'Code Library'!$D$3:$E$200,2,0))&amp;"_"&amp;RIGHT(A1228,3)</f>
        <v>#VALUE!</v>
      </c>
      <c r="I1228" s="66">
        <f t="shared" si="19"/>
        <v>0</v>
      </c>
    </row>
    <row r="1229" spans="8:9">
      <c r="H1229" s="66" t="e">
        <f>IF(OR(LEFT(B1229,FIND("_",B1229,1)-1)="ULGALLOC",LEFT(B1229,FIND("_",B1229,1)-1)="ULSPOOL"),LEFT(B1229,FIND("_",B1229,1)-1),VLOOKUP(LEFT(A1229,6),'Code Library'!$D$3:$E$200,2,0))&amp;"_"&amp;RIGHT(A1229,3)</f>
        <v>#VALUE!</v>
      </c>
      <c r="I1229" s="66">
        <f t="shared" si="19"/>
        <v>0</v>
      </c>
    </row>
    <row r="1230" spans="8:9">
      <c r="H1230" s="66" t="e">
        <f>IF(OR(LEFT(B1230,FIND("_",B1230,1)-1)="ULGALLOC",LEFT(B1230,FIND("_",B1230,1)-1)="ULSPOOL"),LEFT(B1230,FIND("_",B1230,1)-1),VLOOKUP(LEFT(A1230,6),'Code Library'!$D$3:$E$200,2,0))&amp;"_"&amp;RIGHT(A1230,3)</f>
        <v>#VALUE!</v>
      </c>
      <c r="I1230" s="66">
        <f t="shared" si="19"/>
        <v>0</v>
      </c>
    </row>
    <row r="1231" spans="8:9">
      <c r="H1231" s="66" t="e">
        <f>IF(OR(LEFT(B1231,FIND("_",B1231,1)-1)="ULGALLOC",LEFT(B1231,FIND("_",B1231,1)-1)="ULSPOOL"),LEFT(B1231,FIND("_",B1231,1)-1),VLOOKUP(LEFT(A1231,6),'Code Library'!$D$3:$E$200,2,0))&amp;"_"&amp;RIGHT(A1231,3)</f>
        <v>#VALUE!</v>
      </c>
      <c r="I1231" s="66">
        <f t="shared" si="19"/>
        <v>0</v>
      </c>
    </row>
    <row r="1232" spans="8:9">
      <c r="H1232" s="66" t="e">
        <f>IF(OR(LEFT(B1232,FIND("_",B1232,1)-1)="ULGALLOC",LEFT(B1232,FIND("_",B1232,1)-1)="ULSPOOL"),LEFT(B1232,FIND("_",B1232,1)-1),VLOOKUP(LEFT(A1232,6),'Code Library'!$D$3:$E$200,2,0))&amp;"_"&amp;RIGHT(A1232,3)</f>
        <v>#VALUE!</v>
      </c>
      <c r="I1232" s="66">
        <f t="shared" si="19"/>
        <v>0</v>
      </c>
    </row>
    <row r="1233" spans="8:9">
      <c r="H1233" s="66" t="e">
        <f>IF(OR(LEFT(B1233,FIND("_",B1233,1)-1)="ULGALLOC",LEFT(B1233,FIND("_",B1233,1)-1)="ULSPOOL"),LEFT(B1233,FIND("_",B1233,1)-1),VLOOKUP(LEFT(A1233,6),'Code Library'!$D$3:$E$200,2,0))&amp;"_"&amp;RIGHT(A1233,3)</f>
        <v>#VALUE!</v>
      </c>
      <c r="I1233" s="66">
        <f t="shared" si="19"/>
        <v>0</v>
      </c>
    </row>
    <row r="1234" spans="8:9">
      <c r="H1234" s="66" t="e">
        <f>IF(OR(LEFT(B1234,FIND("_",B1234,1)-1)="ULGALLOC",LEFT(B1234,FIND("_",B1234,1)-1)="ULSPOOL"),LEFT(B1234,FIND("_",B1234,1)-1),VLOOKUP(LEFT(A1234,6),'Code Library'!$D$3:$E$200,2,0))&amp;"_"&amp;RIGHT(A1234,3)</f>
        <v>#VALUE!</v>
      </c>
      <c r="I1234" s="66">
        <f t="shared" si="19"/>
        <v>0</v>
      </c>
    </row>
    <row r="1235" spans="8:9">
      <c r="H1235" s="66" t="e">
        <f>IF(OR(LEFT(B1235,FIND("_",B1235,1)-1)="ULGALLOC",LEFT(B1235,FIND("_",B1235,1)-1)="ULSPOOL"),LEFT(B1235,FIND("_",B1235,1)-1),VLOOKUP(LEFT(A1235,6),'Code Library'!$D$3:$E$200,2,0))&amp;"_"&amp;RIGHT(A1235,3)</f>
        <v>#VALUE!</v>
      </c>
      <c r="I1235" s="66">
        <f t="shared" si="19"/>
        <v>0</v>
      </c>
    </row>
    <row r="1236" spans="8:9">
      <c r="H1236" s="66" t="e">
        <f>IF(OR(LEFT(B1236,FIND("_",B1236,1)-1)="ULGALLOC",LEFT(B1236,FIND("_",B1236,1)-1)="ULSPOOL"),LEFT(B1236,FIND("_",B1236,1)-1),VLOOKUP(LEFT(A1236,6),'Code Library'!$D$3:$E$200,2,0))&amp;"_"&amp;RIGHT(A1236,3)</f>
        <v>#VALUE!</v>
      </c>
      <c r="I1236" s="66">
        <f t="shared" si="19"/>
        <v>0</v>
      </c>
    </row>
    <row r="1237" spans="8:9">
      <c r="H1237" s="66" t="e">
        <f>IF(OR(LEFT(B1237,FIND("_",B1237,1)-1)="ULGALLOC",LEFT(B1237,FIND("_",B1237,1)-1)="ULSPOOL"),LEFT(B1237,FIND("_",B1237,1)-1),VLOOKUP(LEFT(A1237,6),'Code Library'!$D$3:$E$200,2,0))&amp;"_"&amp;RIGHT(A1237,3)</f>
        <v>#VALUE!</v>
      </c>
      <c r="I1237" s="66">
        <f t="shared" si="19"/>
        <v>0</v>
      </c>
    </row>
    <row r="1238" spans="8:9">
      <c r="H1238" s="66" t="e">
        <f>IF(OR(LEFT(B1238,FIND("_",B1238,1)-1)="ULGALLOC",LEFT(B1238,FIND("_",B1238,1)-1)="ULSPOOL"),LEFT(B1238,FIND("_",B1238,1)-1),VLOOKUP(LEFT(A1238,6),'Code Library'!$D$3:$E$200,2,0))&amp;"_"&amp;RIGHT(A1238,3)</f>
        <v>#VALUE!</v>
      </c>
      <c r="I1238" s="66">
        <f t="shared" si="19"/>
        <v>0</v>
      </c>
    </row>
    <row r="1239" spans="8:9">
      <c r="H1239" s="66" t="e">
        <f>IF(OR(LEFT(B1239,FIND("_",B1239,1)-1)="ULGALLOC",LEFT(B1239,FIND("_",B1239,1)-1)="ULSPOOL"),LEFT(B1239,FIND("_",B1239,1)-1),VLOOKUP(LEFT(A1239,6),'Code Library'!$D$3:$E$200,2,0))&amp;"_"&amp;RIGHT(A1239,3)</f>
        <v>#VALUE!</v>
      </c>
      <c r="I1239" s="66">
        <f t="shared" si="19"/>
        <v>0</v>
      </c>
    </row>
    <row r="1240" spans="8:9">
      <c r="H1240" s="66" t="e">
        <f>IF(OR(LEFT(B1240,FIND("_",B1240,1)-1)="ULGALLOC",LEFT(B1240,FIND("_",B1240,1)-1)="ULSPOOL"),LEFT(B1240,FIND("_",B1240,1)-1),VLOOKUP(LEFT(A1240,6),'Code Library'!$D$3:$E$200,2,0))&amp;"_"&amp;RIGHT(A1240,3)</f>
        <v>#VALUE!</v>
      </c>
      <c r="I1240" s="66">
        <f t="shared" si="19"/>
        <v>0</v>
      </c>
    </row>
    <row r="1241" spans="8:9">
      <c r="H1241" s="66" t="e">
        <f>IF(OR(LEFT(B1241,FIND("_",B1241,1)-1)="ULGALLOC",LEFT(B1241,FIND("_",B1241,1)-1)="ULSPOOL"),LEFT(B1241,FIND("_",B1241,1)-1),VLOOKUP(LEFT(A1241,6),'Code Library'!$D$3:$E$200,2,0))&amp;"_"&amp;RIGHT(A1241,3)</f>
        <v>#VALUE!</v>
      </c>
      <c r="I1241" s="66">
        <f t="shared" si="19"/>
        <v>0</v>
      </c>
    </row>
    <row r="1242" spans="8:9">
      <c r="H1242" s="66" t="e">
        <f>IF(OR(LEFT(B1242,FIND("_",B1242,1)-1)="ULGALLOC",LEFT(B1242,FIND("_",B1242,1)-1)="ULSPOOL"),LEFT(B1242,FIND("_",B1242,1)-1),VLOOKUP(LEFT(A1242,6),'Code Library'!$D$3:$E$200,2,0))&amp;"_"&amp;RIGHT(A1242,3)</f>
        <v>#VALUE!</v>
      </c>
      <c r="I1242" s="66">
        <f t="shared" si="19"/>
        <v>0</v>
      </c>
    </row>
    <row r="1243" spans="8:9">
      <c r="H1243" s="66" t="e">
        <f>IF(OR(LEFT(B1243,FIND("_",B1243,1)-1)="ULGALLOC",LEFT(B1243,FIND("_",B1243,1)-1)="ULSPOOL"),LEFT(B1243,FIND("_",B1243,1)-1),VLOOKUP(LEFT(A1243,6),'Code Library'!$D$3:$E$200,2,0))&amp;"_"&amp;RIGHT(A1243,3)</f>
        <v>#VALUE!</v>
      </c>
      <c r="I1243" s="66">
        <f t="shared" si="19"/>
        <v>0</v>
      </c>
    </row>
    <row r="1244" spans="8:9">
      <c r="H1244" s="66" t="e">
        <f>IF(OR(LEFT(B1244,FIND("_",B1244,1)-1)="ULGALLOC",LEFT(B1244,FIND("_",B1244,1)-1)="ULSPOOL"),LEFT(B1244,FIND("_",B1244,1)-1),VLOOKUP(LEFT(A1244,6),'Code Library'!$D$3:$E$200,2,0))&amp;"_"&amp;RIGHT(A1244,3)</f>
        <v>#VALUE!</v>
      </c>
      <c r="I1244" s="66">
        <f t="shared" si="19"/>
        <v>0</v>
      </c>
    </row>
    <row r="1245" spans="8:9">
      <c r="H1245" s="66" t="e">
        <f>IF(OR(LEFT(B1245,FIND("_",B1245,1)-1)="ULGALLOC",LEFT(B1245,FIND("_",B1245,1)-1)="ULSPOOL"),LEFT(B1245,FIND("_",B1245,1)-1),VLOOKUP(LEFT(A1245,6),'Code Library'!$D$3:$E$200,2,0))&amp;"_"&amp;RIGHT(A1245,3)</f>
        <v>#VALUE!</v>
      </c>
      <c r="I1245" s="66">
        <f t="shared" si="19"/>
        <v>0</v>
      </c>
    </row>
    <row r="1246" spans="8:9">
      <c r="H1246" s="66" t="e">
        <f>IF(OR(LEFT(B1246,FIND("_",B1246,1)-1)="ULGALLOC",LEFT(B1246,FIND("_",B1246,1)-1)="ULSPOOL"),LEFT(B1246,FIND("_",B1246,1)-1),VLOOKUP(LEFT(A1246,6),'Code Library'!$D$3:$E$200,2,0))&amp;"_"&amp;RIGHT(A1246,3)</f>
        <v>#VALUE!</v>
      </c>
      <c r="I1246" s="66">
        <f t="shared" si="19"/>
        <v>0</v>
      </c>
    </row>
    <row r="1247" spans="8:9">
      <c r="H1247" s="66" t="e">
        <f>IF(OR(LEFT(B1247,FIND("_",B1247,1)-1)="ULGALLOC",LEFT(B1247,FIND("_",B1247,1)-1)="ULSPOOL"),LEFT(B1247,FIND("_",B1247,1)-1),VLOOKUP(LEFT(A1247,6),'Code Library'!$D$3:$E$200,2,0))&amp;"_"&amp;RIGHT(A1247,3)</f>
        <v>#VALUE!</v>
      </c>
      <c r="I1247" s="66">
        <f t="shared" si="19"/>
        <v>0</v>
      </c>
    </row>
    <row r="1248" spans="8:9">
      <c r="H1248" s="66" t="e">
        <f>IF(OR(LEFT(B1248,FIND("_",B1248,1)-1)="ULGALLOC",LEFT(B1248,FIND("_",B1248,1)-1)="ULSPOOL"),LEFT(B1248,FIND("_",B1248,1)-1),VLOOKUP(LEFT(A1248,6),'Code Library'!$D$3:$E$200,2,0))&amp;"_"&amp;RIGHT(A1248,3)</f>
        <v>#VALUE!</v>
      </c>
      <c r="I1248" s="66">
        <f t="shared" si="19"/>
        <v>0</v>
      </c>
    </row>
    <row r="1249" spans="8:9">
      <c r="H1249" s="66" t="e">
        <f>IF(OR(LEFT(B1249,FIND("_",B1249,1)-1)="ULGALLOC",LEFT(B1249,FIND("_",B1249,1)-1)="ULSPOOL"),LEFT(B1249,FIND("_",B1249,1)-1),VLOOKUP(LEFT(A1249,6),'Code Library'!$D$3:$E$200,2,0))&amp;"_"&amp;RIGHT(A1249,3)</f>
        <v>#VALUE!</v>
      </c>
      <c r="I1249" s="66">
        <f t="shared" si="19"/>
        <v>0</v>
      </c>
    </row>
    <row r="1250" spans="8:9">
      <c r="H1250" s="66" t="e">
        <f>IF(OR(LEFT(B1250,FIND("_",B1250,1)-1)="ULGALLOC",LEFT(B1250,FIND("_",B1250,1)-1)="ULSPOOL"),LEFT(B1250,FIND("_",B1250,1)-1),VLOOKUP(LEFT(A1250,6),'Code Library'!$D$3:$E$200,2,0))&amp;"_"&amp;RIGHT(A1250,3)</f>
        <v>#VALUE!</v>
      </c>
      <c r="I1250" s="66">
        <f t="shared" si="19"/>
        <v>0</v>
      </c>
    </row>
    <row r="1251" spans="8:9">
      <c r="H1251" s="66" t="e">
        <f>IF(OR(LEFT(B1251,FIND("_",B1251,1)-1)="ULGALLOC",LEFT(B1251,FIND("_",B1251,1)-1)="ULSPOOL"),LEFT(B1251,FIND("_",B1251,1)-1),VLOOKUP(LEFT(A1251,6),'Code Library'!$D$3:$E$200,2,0))&amp;"_"&amp;RIGHT(A1251,3)</f>
        <v>#VALUE!</v>
      </c>
      <c r="I1251" s="66">
        <f t="shared" si="19"/>
        <v>0</v>
      </c>
    </row>
    <row r="1252" spans="8:9">
      <c r="H1252" s="66" t="e">
        <f>IF(OR(LEFT(B1252,FIND("_",B1252,1)-1)="ULGALLOC",LEFT(B1252,FIND("_",B1252,1)-1)="ULSPOOL"),LEFT(B1252,FIND("_",B1252,1)-1),VLOOKUP(LEFT(A1252,6),'Code Library'!$D$3:$E$200,2,0))&amp;"_"&amp;RIGHT(A1252,3)</f>
        <v>#VALUE!</v>
      </c>
      <c r="I1252" s="66">
        <f t="shared" si="19"/>
        <v>0</v>
      </c>
    </row>
    <row r="1253" spans="8:9">
      <c r="H1253" s="66" t="e">
        <f>IF(OR(LEFT(B1253,FIND("_",B1253,1)-1)="ULGALLOC",LEFT(B1253,FIND("_",B1253,1)-1)="ULSPOOL"),LEFT(B1253,FIND("_",B1253,1)-1),VLOOKUP(LEFT(A1253,6),'Code Library'!$D$3:$E$200,2,0))&amp;"_"&amp;RIGHT(A1253,3)</f>
        <v>#VALUE!</v>
      </c>
      <c r="I1253" s="66">
        <f t="shared" si="19"/>
        <v>0</v>
      </c>
    </row>
    <row r="1254" spans="8:9">
      <c r="H1254" s="66" t="e">
        <f>IF(OR(LEFT(B1254,FIND("_",B1254,1)-1)="ULGALLOC",LEFT(B1254,FIND("_",B1254,1)-1)="ULSPOOL"),LEFT(B1254,FIND("_",B1254,1)-1),VLOOKUP(LEFT(A1254,6),'Code Library'!$D$3:$E$200,2,0))&amp;"_"&amp;RIGHT(A1254,3)</f>
        <v>#VALUE!</v>
      </c>
      <c r="I1254" s="66">
        <f t="shared" si="19"/>
        <v>0</v>
      </c>
    </row>
    <row r="1255" spans="8:9">
      <c r="H1255" s="66" t="e">
        <f>IF(OR(LEFT(B1255,FIND("_",B1255,1)-1)="ULGALLOC",LEFT(B1255,FIND("_",B1255,1)-1)="ULSPOOL"),LEFT(B1255,FIND("_",B1255,1)-1),VLOOKUP(LEFT(A1255,6),'Code Library'!$D$3:$E$200,2,0))&amp;"_"&amp;RIGHT(A1255,3)</f>
        <v>#VALUE!</v>
      </c>
      <c r="I1255" s="66">
        <f t="shared" si="19"/>
        <v>0</v>
      </c>
    </row>
    <row r="1256" spans="8:9">
      <c r="H1256" s="66" t="e">
        <f>IF(OR(LEFT(B1256,FIND("_",B1256,1)-1)="ULGALLOC",LEFT(B1256,FIND("_",B1256,1)-1)="ULSPOOL"),LEFT(B1256,FIND("_",B1256,1)-1),VLOOKUP(LEFT(A1256,6),'Code Library'!$D$3:$E$200,2,0))&amp;"_"&amp;RIGHT(A1256,3)</f>
        <v>#VALUE!</v>
      </c>
      <c r="I1256" s="66">
        <f t="shared" si="19"/>
        <v>0</v>
      </c>
    </row>
    <row r="1257" spans="8:9">
      <c r="H1257" s="66" t="e">
        <f>IF(OR(LEFT(B1257,FIND("_",B1257,1)-1)="ULGALLOC",LEFT(B1257,FIND("_",B1257,1)-1)="ULSPOOL"),LEFT(B1257,FIND("_",B1257,1)-1),VLOOKUP(LEFT(A1257,6),'Code Library'!$D$3:$E$200,2,0))&amp;"_"&amp;RIGHT(A1257,3)</f>
        <v>#VALUE!</v>
      </c>
      <c r="I1257" s="66">
        <f t="shared" si="19"/>
        <v>0</v>
      </c>
    </row>
    <row r="1258" spans="8:9">
      <c r="H1258" s="66" t="e">
        <f>IF(OR(LEFT(B1258,FIND("_",B1258,1)-1)="ULGALLOC",LEFT(B1258,FIND("_",B1258,1)-1)="ULSPOOL"),LEFT(B1258,FIND("_",B1258,1)-1),VLOOKUP(LEFT(A1258,6),'Code Library'!$D$3:$E$200,2,0))&amp;"_"&amp;RIGHT(A1258,3)</f>
        <v>#VALUE!</v>
      </c>
      <c r="I1258" s="66">
        <f t="shared" si="19"/>
        <v>0</v>
      </c>
    </row>
    <row r="1259" spans="8:9">
      <c r="H1259" s="66" t="e">
        <f>IF(OR(LEFT(B1259,FIND("_",B1259,1)-1)="ULGALLOC",LEFT(B1259,FIND("_",B1259,1)-1)="ULSPOOL"),LEFT(B1259,FIND("_",B1259,1)-1),VLOOKUP(LEFT(A1259,6),'Code Library'!$D$3:$E$200,2,0))&amp;"_"&amp;RIGHT(A1259,3)</f>
        <v>#VALUE!</v>
      </c>
      <c r="I1259" s="66">
        <f t="shared" si="19"/>
        <v>0</v>
      </c>
    </row>
    <row r="1260" spans="8:9">
      <c r="H1260" s="66" t="e">
        <f>IF(OR(LEFT(B1260,FIND("_",B1260,1)-1)="ULGALLOC",LEFT(B1260,FIND("_",B1260,1)-1)="ULSPOOL"),LEFT(B1260,FIND("_",B1260,1)-1),VLOOKUP(LEFT(A1260,6),'Code Library'!$D$3:$E$200,2,0))&amp;"_"&amp;RIGHT(A1260,3)</f>
        <v>#VALUE!</v>
      </c>
      <c r="I1260" s="66">
        <f t="shared" si="19"/>
        <v>0</v>
      </c>
    </row>
    <row r="1261" spans="8:9">
      <c r="H1261" s="66" t="e">
        <f>IF(OR(LEFT(B1261,FIND("_",B1261,1)-1)="ULGALLOC",LEFT(B1261,FIND("_",B1261,1)-1)="ULSPOOL"),LEFT(B1261,FIND("_",B1261,1)-1),VLOOKUP(LEFT(A1261,6),'Code Library'!$D$3:$E$200,2,0))&amp;"_"&amp;RIGHT(A1261,3)</f>
        <v>#VALUE!</v>
      </c>
      <c r="I1261" s="66">
        <f t="shared" si="19"/>
        <v>0</v>
      </c>
    </row>
    <row r="1262" spans="8:9">
      <c r="H1262" s="66" t="e">
        <f>IF(OR(LEFT(B1262,FIND("_",B1262,1)-1)="ULGALLOC",LEFT(B1262,FIND("_",B1262,1)-1)="ULSPOOL"),LEFT(B1262,FIND("_",B1262,1)-1),VLOOKUP(LEFT(A1262,6),'Code Library'!$D$3:$E$200,2,0))&amp;"_"&amp;RIGHT(A1262,3)</f>
        <v>#VALUE!</v>
      </c>
      <c r="I1262" s="66">
        <f t="shared" si="19"/>
        <v>0</v>
      </c>
    </row>
    <row r="1263" spans="8:9">
      <c r="H1263" s="66" t="e">
        <f>IF(OR(LEFT(B1263,FIND("_",B1263,1)-1)="ULGALLOC",LEFT(B1263,FIND("_",B1263,1)-1)="ULSPOOL"),LEFT(B1263,FIND("_",B1263,1)-1),VLOOKUP(LEFT(A1263,6),'Code Library'!$D$3:$E$200,2,0))&amp;"_"&amp;RIGHT(A1263,3)</f>
        <v>#VALUE!</v>
      </c>
      <c r="I1263" s="66">
        <f t="shared" si="19"/>
        <v>0</v>
      </c>
    </row>
    <row r="1264" spans="8:9">
      <c r="H1264" s="66" t="e">
        <f>IF(OR(LEFT(B1264,FIND("_",B1264,1)-1)="ULGALLOC",LEFT(B1264,FIND("_",B1264,1)-1)="ULSPOOL"),LEFT(B1264,FIND("_",B1264,1)-1),VLOOKUP(LEFT(A1264,6),'Code Library'!$D$3:$E$200,2,0))&amp;"_"&amp;RIGHT(A1264,3)</f>
        <v>#VALUE!</v>
      </c>
      <c r="I1264" s="66">
        <f t="shared" si="19"/>
        <v>0</v>
      </c>
    </row>
    <row r="1265" spans="8:9">
      <c r="H1265" s="66" t="e">
        <f>IF(OR(LEFT(B1265,FIND("_",B1265,1)-1)="ULGALLOC",LEFT(B1265,FIND("_",B1265,1)-1)="ULSPOOL"),LEFT(B1265,FIND("_",B1265,1)-1),VLOOKUP(LEFT(A1265,6),'Code Library'!$D$3:$E$200,2,0))&amp;"_"&amp;RIGHT(A1265,3)</f>
        <v>#VALUE!</v>
      </c>
      <c r="I1265" s="66">
        <f t="shared" si="19"/>
        <v>0</v>
      </c>
    </row>
    <row r="1266" spans="8:9">
      <c r="H1266" s="66" t="e">
        <f>IF(OR(LEFT(B1266,FIND("_",B1266,1)-1)="ULGALLOC",LEFT(B1266,FIND("_",B1266,1)-1)="ULSPOOL"),LEFT(B1266,FIND("_",B1266,1)-1),VLOOKUP(LEFT(A1266,6),'Code Library'!$D$3:$E$200,2,0))&amp;"_"&amp;RIGHT(A1266,3)</f>
        <v>#VALUE!</v>
      </c>
      <c r="I1266" s="66">
        <f t="shared" si="19"/>
        <v>0</v>
      </c>
    </row>
    <row r="1267" spans="8:9">
      <c r="H1267" s="66" t="e">
        <f>IF(OR(LEFT(B1267,FIND("_",B1267,1)-1)="ULGALLOC",LEFT(B1267,FIND("_",B1267,1)-1)="ULSPOOL"),LEFT(B1267,FIND("_",B1267,1)-1),VLOOKUP(LEFT(A1267,6),'Code Library'!$D$3:$E$200,2,0))&amp;"_"&amp;RIGHT(A1267,3)</f>
        <v>#VALUE!</v>
      </c>
      <c r="I1267" s="66">
        <f t="shared" si="19"/>
        <v>0</v>
      </c>
    </row>
    <row r="1268" spans="8:9">
      <c r="H1268" s="66" t="e">
        <f>IF(OR(LEFT(B1268,FIND("_",B1268,1)-1)="ULGALLOC",LEFT(B1268,FIND("_",B1268,1)-1)="ULSPOOL"),LEFT(B1268,FIND("_",B1268,1)-1),VLOOKUP(LEFT(A1268,6),'Code Library'!$D$3:$E$200,2,0))&amp;"_"&amp;RIGHT(A1268,3)</f>
        <v>#VALUE!</v>
      </c>
      <c r="I1268" s="66">
        <f t="shared" si="19"/>
        <v>0</v>
      </c>
    </row>
    <row r="1269" spans="8:9">
      <c r="H1269" s="66" t="e">
        <f>IF(OR(LEFT(B1269,FIND("_",B1269,1)-1)="ULGALLOC",LEFT(B1269,FIND("_",B1269,1)-1)="ULSPOOL"),LEFT(B1269,FIND("_",B1269,1)-1),VLOOKUP(LEFT(A1269,6),'Code Library'!$D$3:$E$200,2,0))&amp;"_"&amp;RIGHT(A1269,3)</f>
        <v>#VALUE!</v>
      </c>
      <c r="I1269" s="66">
        <f t="shared" si="19"/>
        <v>0</v>
      </c>
    </row>
    <row r="1270" spans="8:9">
      <c r="H1270" s="66" t="e">
        <f>IF(OR(LEFT(B1270,FIND("_",B1270,1)-1)="ULGALLOC",LEFT(B1270,FIND("_",B1270,1)-1)="ULSPOOL"),LEFT(B1270,FIND("_",B1270,1)-1),VLOOKUP(LEFT(A1270,6),'Code Library'!$D$3:$E$200,2,0))&amp;"_"&amp;RIGHT(A1270,3)</f>
        <v>#VALUE!</v>
      </c>
      <c r="I1270" s="66">
        <f t="shared" si="19"/>
        <v>0</v>
      </c>
    </row>
    <row r="1271" spans="8:9">
      <c r="H1271" s="66" t="e">
        <f>IF(OR(LEFT(B1271,FIND("_",B1271,1)-1)="ULGALLOC",LEFT(B1271,FIND("_",B1271,1)-1)="ULSPOOL"),LEFT(B1271,FIND("_",B1271,1)-1),VLOOKUP(LEFT(A1271,6),'Code Library'!$D$3:$E$200,2,0))&amp;"_"&amp;RIGHT(A1271,3)</f>
        <v>#VALUE!</v>
      </c>
      <c r="I1271" s="66">
        <f t="shared" si="19"/>
        <v>0</v>
      </c>
    </row>
    <row r="1272" spans="8:9">
      <c r="H1272" s="66" t="e">
        <f>IF(OR(LEFT(B1272,FIND("_",B1272,1)-1)="ULGALLOC",LEFT(B1272,FIND("_",B1272,1)-1)="ULSPOOL"),LEFT(B1272,FIND("_",B1272,1)-1),VLOOKUP(LEFT(A1272,6),'Code Library'!$D$3:$E$200,2,0))&amp;"_"&amp;RIGHT(A1272,3)</f>
        <v>#VALUE!</v>
      </c>
      <c r="I1272" s="66">
        <f t="shared" si="19"/>
        <v>0</v>
      </c>
    </row>
    <row r="1273" spans="8:9">
      <c r="H1273" s="66" t="e">
        <f>IF(OR(LEFT(B1273,FIND("_",B1273,1)-1)="ULGALLOC",LEFT(B1273,FIND("_",B1273,1)-1)="ULSPOOL"),LEFT(B1273,FIND("_",B1273,1)-1),VLOOKUP(LEFT(A1273,6),'Code Library'!$D$3:$E$200,2,0))&amp;"_"&amp;RIGHT(A1273,3)</f>
        <v>#VALUE!</v>
      </c>
      <c r="I1273" s="66">
        <f t="shared" si="19"/>
        <v>0</v>
      </c>
    </row>
    <row r="1274" spans="8:9">
      <c r="H1274" s="66" t="e">
        <f>IF(OR(LEFT(B1274,FIND("_",B1274,1)-1)="ULGALLOC",LEFT(B1274,FIND("_",B1274,1)-1)="ULSPOOL"),LEFT(B1274,FIND("_",B1274,1)-1),VLOOKUP(LEFT(A1274,6),'Code Library'!$D$3:$E$200,2,0))&amp;"_"&amp;RIGHT(A1274,3)</f>
        <v>#VALUE!</v>
      </c>
      <c r="I1274" s="66">
        <f t="shared" si="19"/>
        <v>0</v>
      </c>
    </row>
    <row r="1275" spans="8:9">
      <c r="H1275" s="66" t="e">
        <f>IF(OR(LEFT(B1275,FIND("_",B1275,1)-1)="ULGALLOC",LEFT(B1275,FIND("_",B1275,1)-1)="ULSPOOL"),LEFT(B1275,FIND("_",B1275,1)-1),VLOOKUP(LEFT(A1275,6),'Code Library'!$D$3:$E$200,2,0))&amp;"_"&amp;RIGHT(A1275,3)</f>
        <v>#VALUE!</v>
      </c>
      <c r="I1275" s="66">
        <f t="shared" si="19"/>
        <v>0</v>
      </c>
    </row>
    <row r="1276" spans="8:9">
      <c r="H1276" s="66" t="e">
        <f>IF(OR(LEFT(B1276,FIND("_",B1276,1)-1)="ULGALLOC",LEFT(B1276,FIND("_",B1276,1)-1)="ULSPOOL"),LEFT(B1276,FIND("_",B1276,1)-1),VLOOKUP(LEFT(A1276,6),'Code Library'!$D$3:$E$200,2,0))&amp;"_"&amp;RIGHT(A1276,3)</f>
        <v>#VALUE!</v>
      </c>
      <c r="I1276" s="66">
        <f t="shared" si="19"/>
        <v>0</v>
      </c>
    </row>
    <row r="1277" spans="8:9">
      <c r="H1277" s="66" t="e">
        <f>IF(OR(LEFT(B1277,FIND("_",B1277,1)-1)="ULGALLOC",LEFT(B1277,FIND("_",B1277,1)-1)="ULSPOOL"),LEFT(B1277,FIND("_",B1277,1)-1),VLOOKUP(LEFT(A1277,6),'Code Library'!$D$3:$E$200,2,0))&amp;"_"&amp;RIGHT(A1277,3)</f>
        <v>#VALUE!</v>
      </c>
      <c r="I1277" s="66">
        <f t="shared" si="19"/>
        <v>0</v>
      </c>
    </row>
    <row r="1278" spans="8:9">
      <c r="H1278" s="66" t="e">
        <f>IF(OR(LEFT(B1278,FIND("_",B1278,1)-1)="ULGALLOC",LEFT(B1278,FIND("_",B1278,1)-1)="ULSPOOL"),LEFT(B1278,FIND("_",B1278,1)-1),VLOOKUP(LEFT(A1278,6),'Code Library'!$D$3:$E$200,2,0))&amp;"_"&amp;RIGHT(A1278,3)</f>
        <v>#VALUE!</v>
      </c>
      <c r="I1278" s="66">
        <f t="shared" si="19"/>
        <v>0</v>
      </c>
    </row>
    <row r="1279" spans="8:9">
      <c r="H1279" s="66" t="e">
        <f>IF(OR(LEFT(B1279,FIND("_",B1279,1)-1)="ULGALLOC",LEFT(B1279,FIND("_",B1279,1)-1)="ULSPOOL"),LEFT(B1279,FIND("_",B1279,1)-1),VLOOKUP(LEFT(A1279,6),'Code Library'!$D$3:$E$200,2,0))&amp;"_"&amp;RIGHT(A1279,3)</f>
        <v>#VALUE!</v>
      </c>
      <c r="I1279" s="66">
        <f t="shared" si="19"/>
        <v>0</v>
      </c>
    </row>
    <row r="1280" spans="8:9">
      <c r="H1280" s="66" t="e">
        <f>IF(OR(LEFT(B1280,FIND("_",B1280,1)-1)="ULGALLOC",LEFT(B1280,FIND("_",B1280,1)-1)="ULSPOOL"),LEFT(B1280,FIND("_",B1280,1)-1),VLOOKUP(LEFT(A1280,6),'Code Library'!$D$3:$E$200,2,0))&amp;"_"&amp;RIGHT(A1280,3)</f>
        <v>#VALUE!</v>
      </c>
      <c r="I1280" s="66">
        <f t="shared" si="19"/>
        <v>0</v>
      </c>
    </row>
    <row r="1281" spans="8:9">
      <c r="H1281" s="66" t="e">
        <f>IF(OR(LEFT(B1281,FIND("_",B1281,1)-1)="ULGALLOC",LEFT(B1281,FIND("_",B1281,1)-1)="ULSPOOL"),LEFT(B1281,FIND("_",B1281,1)-1),VLOOKUP(LEFT(A1281,6),'Code Library'!$D$3:$E$200,2,0))&amp;"_"&amp;RIGHT(A1281,3)</f>
        <v>#VALUE!</v>
      </c>
      <c r="I1281" s="66">
        <f t="shared" si="19"/>
        <v>0</v>
      </c>
    </row>
    <row r="1282" spans="8:9">
      <c r="H1282" s="66" t="e">
        <f>IF(OR(LEFT(B1282,FIND("_",B1282,1)-1)="ULGALLOC",LEFT(B1282,FIND("_",B1282,1)-1)="ULSPOOL"),LEFT(B1282,FIND("_",B1282,1)-1),VLOOKUP(LEFT(A1282,6),'Code Library'!$D$3:$E$200,2,0))&amp;"_"&amp;RIGHT(A1282,3)</f>
        <v>#VALUE!</v>
      </c>
      <c r="I1282" s="66">
        <f t="shared" si="19"/>
        <v>0</v>
      </c>
    </row>
    <row r="1283" spans="8:9">
      <c r="H1283" s="66" t="e">
        <f>IF(OR(LEFT(B1283,FIND("_",B1283,1)-1)="ULGALLOC",LEFT(B1283,FIND("_",B1283,1)-1)="ULSPOOL"),LEFT(B1283,FIND("_",B1283,1)-1),VLOOKUP(LEFT(A1283,6),'Code Library'!$D$3:$E$200,2,0))&amp;"_"&amp;RIGHT(A1283,3)</f>
        <v>#VALUE!</v>
      </c>
      <c r="I1283" s="66">
        <f t="shared" ref="I1283:I1346" si="20">A1283</f>
        <v>0</v>
      </c>
    </row>
    <row r="1284" spans="8:9">
      <c r="H1284" s="66" t="e">
        <f>IF(OR(LEFT(B1284,FIND("_",B1284,1)-1)="ULGALLOC",LEFT(B1284,FIND("_",B1284,1)-1)="ULSPOOL"),LEFT(B1284,FIND("_",B1284,1)-1),VLOOKUP(LEFT(A1284,6),'Code Library'!$D$3:$E$200,2,0))&amp;"_"&amp;RIGHT(A1284,3)</f>
        <v>#VALUE!</v>
      </c>
      <c r="I1284" s="66">
        <f t="shared" si="20"/>
        <v>0</v>
      </c>
    </row>
    <row r="1285" spans="8:9">
      <c r="H1285" s="66" t="e">
        <f>IF(OR(LEFT(B1285,FIND("_",B1285,1)-1)="ULGALLOC",LEFT(B1285,FIND("_",B1285,1)-1)="ULSPOOL"),LEFT(B1285,FIND("_",B1285,1)-1),VLOOKUP(LEFT(A1285,6),'Code Library'!$D$3:$E$200,2,0))&amp;"_"&amp;RIGHT(A1285,3)</f>
        <v>#VALUE!</v>
      </c>
      <c r="I1285" s="66">
        <f t="shared" si="20"/>
        <v>0</v>
      </c>
    </row>
    <row r="1286" spans="8:9">
      <c r="H1286" s="66" t="e">
        <f>IF(OR(LEFT(B1286,FIND("_",B1286,1)-1)="ULGALLOC",LEFT(B1286,FIND("_",B1286,1)-1)="ULSPOOL"),LEFT(B1286,FIND("_",B1286,1)-1),VLOOKUP(LEFT(A1286,6),'Code Library'!$D$3:$E$200,2,0))&amp;"_"&amp;RIGHT(A1286,3)</f>
        <v>#VALUE!</v>
      </c>
      <c r="I1286" s="66">
        <f t="shared" si="20"/>
        <v>0</v>
      </c>
    </row>
    <row r="1287" spans="8:9">
      <c r="H1287" s="66" t="e">
        <f>IF(OR(LEFT(B1287,FIND("_",B1287,1)-1)="ULGALLOC",LEFT(B1287,FIND("_",B1287,1)-1)="ULSPOOL"),LEFT(B1287,FIND("_",B1287,1)-1),VLOOKUP(LEFT(A1287,6),'Code Library'!$D$3:$E$200,2,0))&amp;"_"&amp;RIGHT(A1287,3)</f>
        <v>#VALUE!</v>
      </c>
      <c r="I1287" s="66">
        <f t="shared" si="20"/>
        <v>0</v>
      </c>
    </row>
    <row r="1288" spans="8:9">
      <c r="H1288" s="66" t="e">
        <f>IF(OR(LEFT(B1288,FIND("_",B1288,1)-1)="ULGALLOC",LEFT(B1288,FIND("_",B1288,1)-1)="ULSPOOL"),LEFT(B1288,FIND("_",B1288,1)-1),VLOOKUP(LEFT(A1288,6),'Code Library'!$D$3:$E$200,2,0))&amp;"_"&amp;RIGHT(A1288,3)</f>
        <v>#VALUE!</v>
      </c>
      <c r="I1288" s="66">
        <f t="shared" si="20"/>
        <v>0</v>
      </c>
    </row>
    <row r="1289" spans="8:9">
      <c r="H1289" s="66" t="e">
        <f>IF(OR(LEFT(B1289,FIND("_",B1289,1)-1)="ULGALLOC",LEFT(B1289,FIND("_",B1289,1)-1)="ULSPOOL"),LEFT(B1289,FIND("_",B1289,1)-1),VLOOKUP(LEFT(A1289,6),'Code Library'!$D$3:$E$200,2,0))&amp;"_"&amp;RIGHT(A1289,3)</f>
        <v>#VALUE!</v>
      </c>
      <c r="I1289" s="66">
        <f t="shared" si="20"/>
        <v>0</v>
      </c>
    </row>
    <row r="1290" spans="8:9">
      <c r="H1290" s="66" t="e">
        <f>IF(OR(LEFT(B1290,FIND("_",B1290,1)-1)="ULGALLOC",LEFT(B1290,FIND("_",B1290,1)-1)="ULSPOOL"),LEFT(B1290,FIND("_",B1290,1)-1),VLOOKUP(LEFT(A1290,6),'Code Library'!$D$3:$E$200,2,0))&amp;"_"&amp;RIGHT(A1290,3)</f>
        <v>#VALUE!</v>
      </c>
      <c r="I1290" s="66">
        <f t="shared" si="20"/>
        <v>0</v>
      </c>
    </row>
    <row r="1291" spans="8:9">
      <c r="H1291" s="66" t="e">
        <f>IF(OR(LEFT(B1291,FIND("_",B1291,1)-1)="ULGALLOC",LEFT(B1291,FIND("_",B1291,1)-1)="ULSPOOL"),LEFT(B1291,FIND("_",B1291,1)-1),VLOOKUP(LEFT(A1291,6),'Code Library'!$D$3:$E$200,2,0))&amp;"_"&amp;RIGHT(A1291,3)</f>
        <v>#VALUE!</v>
      </c>
      <c r="I1291" s="66">
        <f t="shared" si="20"/>
        <v>0</v>
      </c>
    </row>
    <row r="1292" spans="8:9">
      <c r="H1292" s="66" t="e">
        <f>IF(OR(LEFT(B1292,FIND("_",B1292,1)-1)="ULGALLOC",LEFT(B1292,FIND("_",B1292,1)-1)="ULSPOOL"),LEFT(B1292,FIND("_",B1292,1)-1),VLOOKUP(LEFT(A1292,6),'Code Library'!$D$3:$E$200,2,0))&amp;"_"&amp;RIGHT(A1292,3)</f>
        <v>#VALUE!</v>
      </c>
      <c r="I1292" s="66">
        <f t="shared" si="20"/>
        <v>0</v>
      </c>
    </row>
    <row r="1293" spans="8:9">
      <c r="H1293" s="66" t="e">
        <f>IF(OR(LEFT(B1293,FIND("_",B1293,1)-1)="ULGALLOC",LEFT(B1293,FIND("_",B1293,1)-1)="ULSPOOL"),LEFT(B1293,FIND("_",B1293,1)-1),VLOOKUP(LEFT(A1293,6),'Code Library'!$D$3:$E$200,2,0))&amp;"_"&amp;RIGHT(A1293,3)</f>
        <v>#VALUE!</v>
      </c>
      <c r="I1293" s="66">
        <f t="shared" si="20"/>
        <v>0</v>
      </c>
    </row>
    <row r="1294" spans="8:9">
      <c r="H1294" s="66" t="e">
        <f>IF(OR(LEFT(B1294,FIND("_",B1294,1)-1)="ULGALLOC",LEFT(B1294,FIND("_",B1294,1)-1)="ULSPOOL"),LEFT(B1294,FIND("_",B1294,1)-1),VLOOKUP(LEFT(A1294,6),'Code Library'!$D$3:$E$200,2,0))&amp;"_"&amp;RIGHT(A1294,3)</f>
        <v>#VALUE!</v>
      </c>
      <c r="I1294" s="66">
        <f t="shared" si="20"/>
        <v>0</v>
      </c>
    </row>
    <row r="1295" spans="8:9">
      <c r="H1295" s="66" t="e">
        <f>IF(OR(LEFT(B1295,FIND("_",B1295,1)-1)="ULGALLOC",LEFT(B1295,FIND("_",B1295,1)-1)="ULSPOOL"),LEFT(B1295,FIND("_",B1295,1)-1),VLOOKUP(LEFT(A1295,6),'Code Library'!$D$3:$E$200,2,0))&amp;"_"&amp;RIGHT(A1295,3)</f>
        <v>#VALUE!</v>
      </c>
      <c r="I1295" s="66">
        <f t="shared" si="20"/>
        <v>0</v>
      </c>
    </row>
    <row r="1296" spans="8:9">
      <c r="H1296" s="66" t="e">
        <f>IF(OR(LEFT(B1296,FIND("_",B1296,1)-1)="ULGALLOC",LEFT(B1296,FIND("_",B1296,1)-1)="ULSPOOL"),LEFT(B1296,FIND("_",B1296,1)-1),VLOOKUP(LEFT(A1296,6),'Code Library'!$D$3:$E$200,2,0))&amp;"_"&amp;RIGHT(A1296,3)</f>
        <v>#VALUE!</v>
      </c>
      <c r="I1296" s="66">
        <f t="shared" si="20"/>
        <v>0</v>
      </c>
    </row>
    <row r="1297" spans="8:9">
      <c r="H1297" s="66" t="e">
        <f>IF(OR(LEFT(B1297,FIND("_",B1297,1)-1)="ULGALLOC",LEFT(B1297,FIND("_",B1297,1)-1)="ULSPOOL"),LEFT(B1297,FIND("_",B1297,1)-1),VLOOKUP(LEFT(A1297,6),'Code Library'!$D$3:$E$200,2,0))&amp;"_"&amp;RIGHT(A1297,3)</f>
        <v>#VALUE!</v>
      </c>
      <c r="I1297" s="66">
        <f t="shared" si="20"/>
        <v>0</v>
      </c>
    </row>
    <row r="1298" spans="8:9">
      <c r="H1298" s="66" t="e">
        <f>IF(OR(LEFT(B1298,FIND("_",B1298,1)-1)="ULGALLOC",LEFT(B1298,FIND("_",B1298,1)-1)="ULSPOOL"),LEFT(B1298,FIND("_",B1298,1)-1),VLOOKUP(LEFT(A1298,6),'Code Library'!$D$3:$E$200,2,0))&amp;"_"&amp;RIGHT(A1298,3)</f>
        <v>#VALUE!</v>
      </c>
      <c r="I1298" s="66">
        <f t="shared" si="20"/>
        <v>0</v>
      </c>
    </row>
    <row r="1299" spans="8:9">
      <c r="H1299" s="66" t="e">
        <f>IF(OR(LEFT(B1299,FIND("_",B1299,1)-1)="ULGALLOC",LEFT(B1299,FIND("_",B1299,1)-1)="ULSPOOL"),LEFT(B1299,FIND("_",B1299,1)-1),VLOOKUP(LEFT(A1299,6),'Code Library'!$D$3:$E$200,2,0))&amp;"_"&amp;RIGHT(A1299,3)</f>
        <v>#VALUE!</v>
      </c>
      <c r="I1299" s="66">
        <f t="shared" si="20"/>
        <v>0</v>
      </c>
    </row>
    <row r="1300" spans="8:9">
      <c r="H1300" s="66" t="e">
        <f>IF(OR(LEFT(B1300,FIND("_",B1300,1)-1)="ULGALLOC",LEFT(B1300,FIND("_",B1300,1)-1)="ULSPOOL"),LEFT(B1300,FIND("_",B1300,1)-1),VLOOKUP(LEFT(A1300,6),'Code Library'!$D$3:$E$200,2,0))&amp;"_"&amp;RIGHT(A1300,3)</f>
        <v>#VALUE!</v>
      </c>
      <c r="I1300" s="66">
        <f t="shared" si="20"/>
        <v>0</v>
      </c>
    </row>
    <row r="1301" spans="8:9">
      <c r="H1301" s="66" t="e">
        <f>IF(OR(LEFT(B1301,FIND("_",B1301,1)-1)="ULGALLOC",LEFT(B1301,FIND("_",B1301,1)-1)="ULSPOOL"),LEFT(B1301,FIND("_",B1301,1)-1),VLOOKUP(LEFT(A1301,6),'Code Library'!$D$3:$E$200,2,0))&amp;"_"&amp;RIGHT(A1301,3)</f>
        <v>#VALUE!</v>
      </c>
      <c r="I1301" s="66">
        <f t="shared" si="20"/>
        <v>0</v>
      </c>
    </row>
    <row r="1302" spans="8:9">
      <c r="H1302" s="66" t="e">
        <f>IF(OR(LEFT(B1302,FIND("_",B1302,1)-1)="ULGALLOC",LEFT(B1302,FIND("_",B1302,1)-1)="ULSPOOL"),LEFT(B1302,FIND("_",B1302,1)-1),VLOOKUP(LEFT(A1302,6),'Code Library'!$D$3:$E$200,2,0))&amp;"_"&amp;RIGHT(A1302,3)</f>
        <v>#VALUE!</v>
      </c>
      <c r="I1302" s="66">
        <f t="shared" si="20"/>
        <v>0</v>
      </c>
    </row>
    <row r="1303" spans="8:9">
      <c r="H1303" s="66" t="e">
        <f>IF(OR(LEFT(B1303,FIND("_",B1303,1)-1)="ULGALLOC",LEFT(B1303,FIND("_",B1303,1)-1)="ULSPOOL"),LEFT(B1303,FIND("_",B1303,1)-1),VLOOKUP(LEFT(A1303,6),'Code Library'!$D$3:$E$200,2,0))&amp;"_"&amp;RIGHT(A1303,3)</f>
        <v>#VALUE!</v>
      </c>
      <c r="I1303" s="66">
        <f t="shared" si="20"/>
        <v>0</v>
      </c>
    </row>
    <row r="1304" spans="8:9">
      <c r="H1304" s="66" t="e">
        <f>IF(OR(LEFT(B1304,FIND("_",B1304,1)-1)="ULGALLOC",LEFT(B1304,FIND("_",B1304,1)-1)="ULSPOOL"),LEFT(B1304,FIND("_",B1304,1)-1),VLOOKUP(LEFT(A1304,6),'Code Library'!$D$3:$E$200,2,0))&amp;"_"&amp;RIGHT(A1304,3)</f>
        <v>#VALUE!</v>
      </c>
      <c r="I1304" s="66">
        <f t="shared" si="20"/>
        <v>0</v>
      </c>
    </row>
    <row r="1305" spans="8:9">
      <c r="H1305" s="66" t="e">
        <f>IF(OR(LEFT(B1305,FIND("_",B1305,1)-1)="ULGALLOC",LEFT(B1305,FIND("_",B1305,1)-1)="ULSPOOL"),LEFT(B1305,FIND("_",B1305,1)-1),VLOOKUP(LEFT(A1305,6),'Code Library'!$D$3:$E$200,2,0))&amp;"_"&amp;RIGHT(A1305,3)</f>
        <v>#VALUE!</v>
      </c>
      <c r="I1305" s="66">
        <f t="shared" si="20"/>
        <v>0</v>
      </c>
    </row>
    <row r="1306" spans="8:9">
      <c r="H1306" s="66" t="e">
        <f>IF(OR(LEFT(B1306,FIND("_",B1306,1)-1)="ULGALLOC",LEFT(B1306,FIND("_",B1306,1)-1)="ULSPOOL"),LEFT(B1306,FIND("_",B1306,1)-1),VLOOKUP(LEFT(A1306,6),'Code Library'!$D$3:$E$200,2,0))&amp;"_"&amp;RIGHT(A1306,3)</f>
        <v>#VALUE!</v>
      </c>
      <c r="I1306" s="66">
        <f t="shared" si="20"/>
        <v>0</v>
      </c>
    </row>
    <row r="1307" spans="8:9">
      <c r="H1307" s="66" t="e">
        <f>IF(OR(LEFT(B1307,FIND("_",B1307,1)-1)="ULGALLOC",LEFT(B1307,FIND("_",B1307,1)-1)="ULSPOOL"),LEFT(B1307,FIND("_",B1307,1)-1),VLOOKUP(LEFT(A1307,6),'Code Library'!$D$3:$E$200,2,0))&amp;"_"&amp;RIGHT(A1307,3)</f>
        <v>#VALUE!</v>
      </c>
      <c r="I1307" s="66">
        <f t="shared" si="20"/>
        <v>0</v>
      </c>
    </row>
    <row r="1308" spans="8:9">
      <c r="H1308" s="66" t="e">
        <f>IF(OR(LEFT(B1308,FIND("_",B1308,1)-1)="ULGALLOC",LEFT(B1308,FIND("_",B1308,1)-1)="ULSPOOL"),LEFT(B1308,FIND("_",B1308,1)-1),VLOOKUP(LEFT(A1308,6),'Code Library'!$D$3:$E$200,2,0))&amp;"_"&amp;RIGHT(A1308,3)</f>
        <v>#VALUE!</v>
      </c>
      <c r="I1308" s="66">
        <f t="shared" si="20"/>
        <v>0</v>
      </c>
    </row>
    <row r="1309" spans="8:9">
      <c r="H1309" s="66" t="e">
        <f>IF(OR(LEFT(B1309,FIND("_",B1309,1)-1)="ULGALLOC",LEFT(B1309,FIND("_",B1309,1)-1)="ULSPOOL"),LEFT(B1309,FIND("_",B1309,1)-1),VLOOKUP(LEFT(A1309,6),'Code Library'!$D$3:$E$200,2,0))&amp;"_"&amp;RIGHT(A1309,3)</f>
        <v>#VALUE!</v>
      </c>
      <c r="I1309" s="66">
        <f t="shared" si="20"/>
        <v>0</v>
      </c>
    </row>
    <row r="1310" spans="8:9">
      <c r="H1310" s="66" t="e">
        <f>IF(OR(LEFT(B1310,FIND("_",B1310,1)-1)="ULGALLOC",LEFT(B1310,FIND("_",B1310,1)-1)="ULSPOOL"),LEFT(B1310,FIND("_",B1310,1)-1),VLOOKUP(LEFT(A1310,6),'Code Library'!$D$3:$E$200,2,0))&amp;"_"&amp;RIGHT(A1310,3)</f>
        <v>#VALUE!</v>
      </c>
      <c r="I1310" s="66">
        <f t="shared" si="20"/>
        <v>0</v>
      </c>
    </row>
    <row r="1311" spans="8:9">
      <c r="H1311" s="66" t="e">
        <f>IF(OR(LEFT(B1311,FIND("_",B1311,1)-1)="ULGALLOC",LEFT(B1311,FIND("_",B1311,1)-1)="ULSPOOL"),LEFT(B1311,FIND("_",B1311,1)-1),VLOOKUP(LEFT(A1311,6),'Code Library'!$D$3:$E$200,2,0))&amp;"_"&amp;RIGHT(A1311,3)</f>
        <v>#VALUE!</v>
      </c>
      <c r="I1311" s="66">
        <f t="shared" si="20"/>
        <v>0</v>
      </c>
    </row>
    <row r="1312" spans="8:9">
      <c r="H1312" s="66" t="e">
        <f>IF(OR(LEFT(B1312,FIND("_",B1312,1)-1)="ULGALLOC",LEFT(B1312,FIND("_",B1312,1)-1)="ULSPOOL"),LEFT(B1312,FIND("_",B1312,1)-1),VLOOKUP(LEFT(A1312,6),'Code Library'!$D$3:$E$200,2,0))&amp;"_"&amp;RIGHT(A1312,3)</f>
        <v>#VALUE!</v>
      </c>
      <c r="I1312" s="66">
        <f t="shared" si="20"/>
        <v>0</v>
      </c>
    </row>
    <row r="1313" spans="8:9">
      <c r="H1313" s="66" t="e">
        <f>IF(OR(LEFT(B1313,FIND("_",B1313,1)-1)="ULGALLOC",LEFT(B1313,FIND("_",B1313,1)-1)="ULSPOOL"),LEFT(B1313,FIND("_",B1313,1)-1),VLOOKUP(LEFT(A1313,6),'Code Library'!$D$3:$E$200,2,0))&amp;"_"&amp;RIGHT(A1313,3)</f>
        <v>#VALUE!</v>
      </c>
      <c r="I1313" s="66">
        <f t="shared" si="20"/>
        <v>0</v>
      </c>
    </row>
    <row r="1314" spans="8:9">
      <c r="H1314" s="66" t="e">
        <f>IF(OR(LEFT(B1314,FIND("_",B1314,1)-1)="ULGALLOC",LEFT(B1314,FIND("_",B1314,1)-1)="ULSPOOL"),LEFT(B1314,FIND("_",B1314,1)-1),VLOOKUP(LEFT(A1314,6),'Code Library'!$D$3:$E$200,2,0))&amp;"_"&amp;RIGHT(A1314,3)</f>
        <v>#VALUE!</v>
      </c>
      <c r="I1314" s="66">
        <f t="shared" si="20"/>
        <v>0</v>
      </c>
    </row>
    <row r="1315" spans="8:9">
      <c r="H1315" s="66" t="e">
        <f>IF(OR(LEFT(B1315,FIND("_",B1315,1)-1)="ULGALLOC",LEFT(B1315,FIND("_",B1315,1)-1)="ULSPOOL"),LEFT(B1315,FIND("_",B1315,1)-1),VLOOKUP(LEFT(A1315,6),'Code Library'!$D$3:$E$200,2,0))&amp;"_"&amp;RIGHT(A1315,3)</f>
        <v>#VALUE!</v>
      </c>
      <c r="I1315" s="66">
        <f t="shared" si="20"/>
        <v>0</v>
      </c>
    </row>
    <row r="1316" spans="8:9">
      <c r="H1316" s="66" t="e">
        <f>IF(OR(LEFT(B1316,FIND("_",B1316,1)-1)="ULGALLOC",LEFT(B1316,FIND("_",B1316,1)-1)="ULSPOOL"),LEFT(B1316,FIND("_",B1316,1)-1),VLOOKUP(LEFT(A1316,6),'Code Library'!$D$3:$E$200,2,0))&amp;"_"&amp;RIGHT(A1316,3)</f>
        <v>#VALUE!</v>
      </c>
      <c r="I1316" s="66">
        <f t="shared" si="20"/>
        <v>0</v>
      </c>
    </row>
    <row r="1317" spans="8:9">
      <c r="H1317" s="66" t="e">
        <f>IF(OR(LEFT(B1317,FIND("_",B1317,1)-1)="ULGALLOC",LEFT(B1317,FIND("_",B1317,1)-1)="ULSPOOL"),LEFT(B1317,FIND("_",B1317,1)-1),VLOOKUP(LEFT(A1317,6),'Code Library'!$D$3:$E$200,2,0))&amp;"_"&amp;RIGHT(A1317,3)</f>
        <v>#VALUE!</v>
      </c>
      <c r="I1317" s="66">
        <f t="shared" si="20"/>
        <v>0</v>
      </c>
    </row>
    <row r="1318" spans="8:9">
      <c r="H1318" s="66" t="e">
        <f>IF(OR(LEFT(B1318,FIND("_",B1318,1)-1)="ULGALLOC",LEFT(B1318,FIND("_",B1318,1)-1)="ULSPOOL"),LEFT(B1318,FIND("_",B1318,1)-1),VLOOKUP(LEFT(A1318,6),'Code Library'!$D$3:$E$200,2,0))&amp;"_"&amp;RIGHT(A1318,3)</f>
        <v>#VALUE!</v>
      </c>
      <c r="I1318" s="66">
        <f t="shared" si="20"/>
        <v>0</v>
      </c>
    </row>
    <row r="1319" spans="8:9">
      <c r="H1319" s="66" t="e">
        <f>IF(OR(LEFT(B1319,FIND("_",B1319,1)-1)="ULGALLOC",LEFT(B1319,FIND("_",B1319,1)-1)="ULSPOOL"),LEFT(B1319,FIND("_",B1319,1)-1),VLOOKUP(LEFT(A1319,6),'Code Library'!$D$3:$E$200,2,0))&amp;"_"&amp;RIGHT(A1319,3)</f>
        <v>#VALUE!</v>
      </c>
      <c r="I1319" s="66">
        <f t="shared" si="20"/>
        <v>0</v>
      </c>
    </row>
    <row r="1320" spans="8:9">
      <c r="H1320" s="66" t="e">
        <f>IF(OR(LEFT(B1320,FIND("_",B1320,1)-1)="ULGALLOC",LEFT(B1320,FIND("_",B1320,1)-1)="ULSPOOL"),LEFT(B1320,FIND("_",B1320,1)-1),VLOOKUP(LEFT(A1320,6),'Code Library'!$D$3:$E$200,2,0))&amp;"_"&amp;RIGHT(A1320,3)</f>
        <v>#VALUE!</v>
      </c>
      <c r="I1320" s="66">
        <f t="shared" si="20"/>
        <v>0</v>
      </c>
    </row>
    <row r="1321" spans="8:9">
      <c r="H1321" s="66" t="e">
        <f>IF(OR(LEFT(B1321,FIND("_",B1321,1)-1)="ULGALLOC",LEFT(B1321,FIND("_",B1321,1)-1)="ULSPOOL"),LEFT(B1321,FIND("_",B1321,1)-1),VLOOKUP(LEFT(A1321,6),'Code Library'!$D$3:$E$200,2,0))&amp;"_"&amp;RIGHT(A1321,3)</f>
        <v>#VALUE!</v>
      </c>
      <c r="I1321" s="66">
        <f t="shared" si="20"/>
        <v>0</v>
      </c>
    </row>
    <row r="1322" spans="8:9">
      <c r="H1322" s="66" t="e">
        <f>IF(OR(LEFT(B1322,FIND("_",B1322,1)-1)="ULGALLOC",LEFT(B1322,FIND("_",B1322,1)-1)="ULSPOOL"),LEFT(B1322,FIND("_",B1322,1)-1),VLOOKUP(LEFT(A1322,6),'Code Library'!$D$3:$E$200,2,0))&amp;"_"&amp;RIGHT(A1322,3)</f>
        <v>#VALUE!</v>
      </c>
      <c r="I1322" s="66">
        <f t="shared" si="20"/>
        <v>0</v>
      </c>
    </row>
    <row r="1323" spans="8:9">
      <c r="H1323" s="66" t="e">
        <f>IF(OR(LEFT(B1323,FIND("_",B1323,1)-1)="ULGALLOC",LEFT(B1323,FIND("_",B1323,1)-1)="ULSPOOL"),LEFT(B1323,FIND("_",B1323,1)-1),VLOOKUP(LEFT(A1323,6),'Code Library'!$D$3:$E$200,2,0))&amp;"_"&amp;RIGHT(A1323,3)</f>
        <v>#VALUE!</v>
      </c>
      <c r="I1323" s="66">
        <f t="shared" si="20"/>
        <v>0</v>
      </c>
    </row>
    <row r="1324" spans="8:9">
      <c r="H1324" s="66" t="e">
        <f>IF(OR(LEFT(B1324,FIND("_",B1324,1)-1)="ULGALLOC",LEFT(B1324,FIND("_",B1324,1)-1)="ULSPOOL"),LEFT(B1324,FIND("_",B1324,1)-1),VLOOKUP(LEFT(A1324,6),'Code Library'!$D$3:$E$200,2,0))&amp;"_"&amp;RIGHT(A1324,3)</f>
        <v>#VALUE!</v>
      </c>
      <c r="I1324" s="66">
        <f t="shared" si="20"/>
        <v>0</v>
      </c>
    </row>
    <row r="1325" spans="8:9">
      <c r="H1325" s="66" t="e">
        <f>IF(OR(LEFT(B1325,FIND("_",B1325,1)-1)="ULGALLOC",LEFT(B1325,FIND("_",B1325,1)-1)="ULSPOOL"),LEFT(B1325,FIND("_",B1325,1)-1),VLOOKUP(LEFT(A1325,6),'Code Library'!$D$3:$E$200,2,0))&amp;"_"&amp;RIGHT(A1325,3)</f>
        <v>#VALUE!</v>
      </c>
      <c r="I1325" s="66">
        <f t="shared" si="20"/>
        <v>0</v>
      </c>
    </row>
    <row r="1326" spans="8:9">
      <c r="H1326" s="66" t="e">
        <f>IF(OR(LEFT(B1326,FIND("_",B1326,1)-1)="ULGALLOC",LEFT(B1326,FIND("_",B1326,1)-1)="ULSPOOL"),LEFT(B1326,FIND("_",B1326,1)-1),VLOOKUP(LEFT(A1326,6),'Code Library'!$D$3:$E$200,2,0))&amp;"_"&amp;RIGHT(A1326,3)</f>
        <v>#VALUE!</v>
      </c>
      <c r="I1326" s="66">
        <f t="shared" si="20"/>
        <v>0</v>
      </c>
    </row>
    <row r="1327" spans="8:9">
      <c r="H1327" s="66" t="e">
        <f>IF(OR(LEFT(B1327,FIND("_",B1327,1)-1)="ULGALLOC",LEFT(B1327,FIND("_",B1327,1)-1)="ULSPOOL"),LEFT(B1327,FIND("_",B1327,1)-1),VLOOKUP(LEFT(A1327,6),'Code Library'!$D$3:$E$200,2,0))&amp;"_"&amp;RIGHT(A1327,3)</f>
        <v>#VALUE!</v>
      </c>
      <c r="I1327" s="66">
        <f t="shared" si="20"/>
        <v>0</v>
      </c>
    </row>
    <row r="1328" spans="8:9">
      <c r="H1328" s="66" t="e">
        <f>IF(OR(LEFT(B1328,FIND("_",B1328,1)-1)="ULGALLOC",LEFT(B1328,FIND("_",B1328,1)-1)="ULSPOOL"),LEFT(B1328,FIND("_",B1328,1)-1),VLOOKUP(LEFT(A1328,6),'Code Library'!$D$3:$E$200,2,0))&amp;"_"&amp;RIGHT(A1328,3)</f>
        <v>#VALUE!</v>
      </c>
      <c r="I1328" s="66">
        <f t="shared" si="20"/>
        <v>0</v>
      </c>
    </row>
    <row r="1329" spans="8:9">
      <c r="H1329" s="66" t="e">
        <f>IF(OR(LEFT(B1329,FIND("_",B1329,1)-1)="ULGALLOC",LEFT(B1329,FIND("_",B1329,1)-1)="ULSPOOL"),LEFT(B1329,FIND("_",B1329,1)-1),VLOOKUP(LEFT(A1329,6),'Code Library'!$D$3:$E$200,2,0))&amp;"_"&amp;RIGHT(A1329,3)</f>
        <v>#VALUE!</v>
      </c>
      <c r="I1329" s="66">
        <f t="shared" si="20"/>
        <v>0</v>
      </c>
    </row>
    <row r="1330" spans="8:9">
      <c r="H1330" s="66" t="e">
        <f>IF(OR(LEFT(B1330,FIND("_",B1330,1)-1)="ULGALLOC",LEFT(B1330,FIND("_",B1330,1)-1)="ULSPOOL"),LEFT(B1330,FIND("_",B1330,1)-1),VLOOKUP(LEFT(A1330,6),'Code Library'!$D$3:$E$200,2,0))&amp;"_"&amp;RIGHT(A1330,3)</f>
        <v>#VALUE!</v>
      </c>
      <c r="I1330" s="66">
        <f t="shared" si="20"/>
        <v>0</v>
      </c>
    </row>
    <row r="1331" spans="8:9">
      <c r="H1331" s="66" t="e">
        <f>IF(OR(LEFT(B1331,FIND("_",B1331,1)-1)="ULGALLOC",LEFT(B1331,FIND("_",B1331,1)-1)="ULSPOOL"),LEFT(B1331,FIND("_",B1331,1)-1),VLOOKUP(LEFT(A1331,6),'Code Library'!$D$3:$E$200,2,0))&amp;"_"&amp;RIGHT(A1331,3)</f>
        <v>#VALUE!</v>
      </c>
      <c r="I1331" s="66">
        <f t="shared" si="20"/>
        <v>0</v>
      </c>
    </row>
    <row r="1332" spans="8:9">
      <c r="H1332" s="66" t="e">
        <f>IF(OR(LEFT(B1332,FIND("_",B1332,1)-1)="ULGALLOC",LEFT(B1332,FIND("_",B1332,1)-1)="ULSPOOL"),LEFT(B1332,FIND("_",B1332,1)-1),VLOOKUP(LEFT(A1332,6),'Code Library'!$D$3:$E$200,2,0))&amp;"_"&amp;RIGHT(A1332,3)</f>
        <v>#VALUE!</v>
      </c>
      <c r="I1332" s="66">
        <f t="shared" si="20"/>
        <v>0</v>
      </c>
    </row>
    <row r="1333" spans="8:9">
      <c r="H1333" s="66" t="e">
        <f>IF(OR(LEFT(B1333,FIND("_",B1333,1)-1)="ULGALLOC",LEFT(B1333,FIND("_",B1333,1)-1)="ULSPOOL"),LEFT(B1333,FIND("_",B1333,1)-1),VLOOKUP(LEFT(A1333,6),'Code Library'!$D$3:$E$200,2,0))&amp;"_"&amp;RIGHT(A1333,3)</f>
        <v>#VALUE!</v>
      </c>
      <c r="I1333" s="66">
        <f t="shared" si="20"/>
        <v>0</v>
      </c>
    </row>
    <row r="1334" spans="8:9">
      <c r="H1334" s="66" t="e">
        <f>IF(OR(LEFT(B1334,FIND("_",B1334,1)-1)="ULGALLOC",LEFT(B1334,FIND("_",B1334,1)-1)="ULSPOOL"),LEFT(B1334,FIND("_",B1334,1)-1),VLOOKUP(LEFT(A1334,6),'Code Library'!$D$3:$E$200,2,0))&amp;"_"&amp;RIGHT(A1334,3)</f>
        <v>#VALUE!</v>
      </c>
      <c r="I1334" s="66">
        <f t="shared" si="20"/>
        <v>0</v>
      </c>
    </row>
    <row r="1335" spans="8:9">
      <c r="H1335" s="66" t="e">
        <f>IF(OR(LEFT(B1335,FIND("_",B1335,1)-1)="ULGALLOC",LEFT(B1335,FIND("_",B1335,1)-1)="ULSPOOL"),LEFT(B1335,FIND("_",B1335,1)-1),VLOOKUP(LEFT(A1335,6),'Code Library'!$D$3:$E$200,2,0))&amp;"_"&amp;RIGHT(A1335,3)</f>
        <v>#VALUE!</v>
      </c>
      <c r="I1335" s="66">
        <f t="shared" si="20"/>
        <v>0</v>
      </c>
    </row>
    <row r="1336" spans="8:9">
      <c r="H1336" s="66" t="e">
        <f>IF(OR(LEFT(B1336,FIND("_",B1336,1)-1)="ULGALLOC",LEFT(B1336,FIND("_",B1336,1)-1)="ULSPOOL"),LEFT(B1336,FIND("_",B1336,1)-1),VLOOKUP(LEFT(A1336,6),'Code Library'!$D$3:$E$200,2,0))&amp;"_"&amp;RIGHT(A1336,3)</f>
        <v>#VALUE!</v>
      </c>
      <c r="I1336" s="66">
        <f t="shared" si="20"/>
        <v>0</v>
      </c>
    </row>
    <row r="1337" spans="8:9">
      <c r="H1337" s="66" t="e">
        <f>IF(OR(LEFT(B1337,FIND("_",B1337,1)-1)="ULGALLOC",LEFT(B1337,FIND("_",B1337,1)-1)="ULSPOOL"),LEFT(B1337,FIND("_",B1337,1)-1),VLOOKUP(LEFT(A1337,6),'Code Library'!$D$3:$E$200,2,0))&amp;"_"&amp;RIGHT(A1337,3)</f>
        <v>#VALUE!</v>
      </c>
      <c r="I1337" s="66">
        <f t="shared" si="20"/>
        <v>0</v>
      </c>
    </row>
    <row r="1338" spans="8:9">
      <c r="H1338" s="66" t="e">
        <f>IF(OR(LEFT(B1338,FIND("_",B1338,1)-1)="ULGALLOC",LEFT(B1338,FIND("_",B1338,1)-1)="ULSPOOL"),LEFT(B1338,FIND("_",B1338,1)-1),VLOOKUP(LEFT(A1338,6),'Code Library'!$D$3:$E$200,2,0))&amp;"_"&amp;RIGHT(A1338,3)</f>
        <v>#VALUE!</v>
      </c>
      <c r="I1338" s="66">
        <f t="shared" si="20"/>
        <v>0</v>
      </c>
    </row>
    <row r="1339" spans="8:9">
      <c r="H1339" s="66" t="e">
        <f>IF(OR(LEFT(B1339,FIND("_",B1339,1)-1)="ULGALLOC",LEFT(B1339,FIND("_",B1339,1)-1)="ULSPOOL"),LEFT(B1339,FIND("_",B1339,1)-1),VLOOKUP(LEFT(A1339,6),'Code Library'!$D$3:$E$200,2,0))&amp;"_"&amp;RIGHT(A1339,3)</f>
        <v>#VALUE!</v>
      </c>
      <c r="I1339" s="66">
        <f t="shared" si="20"/>
        <v>0</v>
      </c>
    </row>
    <row r="1340" spans="8:9">
      <c r="H1340" s="66" t="e">
        <f>IF(OR(LEFT(B1340,FIND("_",B1340,1)-1)="ULGALLOC",LEFT(B1340,FIND("_",B1340,1)-1)="ULSPOOL"),LEFT(B1340,FIND("_",B1340,1)-1),VLOOKUP(LEFT(A1340,6),'Code Library'!$D$3:$E$200,2,0))&amp;"_"&amp;RIGHT(A1340,3)</f>
        <v>#VALUE!</v>
      </c>
      <c r="I1340" s="66">
        <f t="shared" si="20"/>
        <v>0</v>
      </c>
    </row>
    <row r="1341" spans="8:9">
      <c r="H1341" s="66" t="e">
        <f>IF(OR(LEFT(B1341,FIND("_",B1341,1)-1)="ULGALLOC",LEFT(B1341,FIND("_",B1341,1)-1)="ULSPOOL"),LEFT(B1341,FIND("_",B1341,1)-1),VLOOKUP(LEFT(A1341,6),'Code Library'!$D$3:$E$200,2,0))&amp;"_"&amp;RIGHT(A1341,3)</f>
        <v>#VALUE!</v>
      </c>
      <c r="I1341" s="66">
        <f t="shared" si="20"/>
        <v>0</v>
      </c>
    </row>
    <row r="1342" spans="8:9">
      <c r="H1342" s="66" t="e">
        <f>IF(OR(LEFT(B1342,FIND("_",B1342,1)-1)="ULGALLOC",LEFT(B1342,FIND("_",B1342,1)-1)="ULSPOOL"),LEFT(B1342,FIND("_",B1342,1)-1),VLOOKUP(LEFT(A1342,6),'Code Library'!$D$3:$E$200,2,0))&amp;"_"&amp;RIGHT(A1342,3)</f>
        <v>#VALUE!</v>
      </c>
      <c r="I1342" s="66">
        <f t="shared" si="20"/>
        <v>0</v>
      </c>
    </row>
    <row r="1343" spans="8:9">
      <c r="H1343" s="66" t="e">
        <f>IF(OR(LEFT(B1343,FIND("_",B1343,1)-1)="ULGALLOC",LEFT(B1343,FIND("_",B1343,1)-1)="ULSPOOL"),LEFT(B1343,FIND("_",B1343,1)-1),VLOOKUP(LEFT(A1343,6),'Code Library'!$D$3:$E$200,2,0))&amp;"_"&amp;RIGHT(A1343,3)</f>
        <v>#VALUE!</v>
      </c>
      <c r="I1343" s="66">
        <f t="shared" si="20"/>
        <v>0</v>
      </c>
    </row>
    <row r="1344" spans="8:9">
      <c r="H1344" s="66" t="e">
        <f>IF(OR(LEFT(B1344,FIND("_",B1344,1)-1)="ULGALLOC",LEFT(B1344,FIND("_",B1344,1)-1)="ULSPOOL"),LEFT(B1344,FIND("_",B1344,1)-1),VLOOKUP(LEFT(A1344,6),'Code Library'!$D$3:$E$200,2,0))&amp;"_"&amp;RIGHT(A1344,3)</f>
        <v>#VALUE!</v>
      </c>
      <c r="I1344" s="66">
        <f t="shared" si="20"/>
        <v>0</v>
      </c>
    </row>
    <row r="1345" spans="8:9">
      <c r="H1345" s="66" t="e">
        <f>IF(OR(LEFT(B1345,FIND("_",B1345,1)-1)="ULGALLOC",LEFT(B1345,FIND("_",B1345,1)-1)="ULSPOOL"),LEFT(B1345,FIND("_",B1345,1)-1),VLOOKUP(LEFT(A1345,6),'Code Library'!$D$3:$E$200,2,0))&amp;"_"&amp;RIGHT(A1345,3)</f>
        <v>#VALUE!</v>
      </c>
      <c r="I1345" s="66">
        <f t="shared" si="20"/>
        <v>0</v>
      </c>
    </row>
    <row r="1346" spans="8:9">
      <c r="H1346" s="66" t="e">
        <f>IF(OR(LEFT(B1346,FIND("_",B1346,1)-1)="ULGALLOC",LEFT(B1346,FIND("_",B1346,1)-1)="ULSPOOL"),LEFT(B1346,FIND("_",B1346,1)-1),VLOOKUP(LEFT(A1346,6),'Code Library'!$D$3:$E$200,2,0))&amp;"_"&amp;RIGHT(A1346,3)</f>
        <v>#VALUE!</v>
      </c>
      <c r="I1346" s="66">
        <f t="shared" si="20"/>
        <v>0</v>
      </c>
    </row>
    <row r="1347" spans="8:9">
      <c r="H1347" s="66" t="e">
        <f>IF(OR(LEFT(B1347,FIND("_",B1347,1)-1)="ULGALLOC",LEFT(B1347,FIND("_",B1347,1)-1)="ULSPOOL"),LEFT(B1347,FIND("_",B1347,1)-1),VLOOKUP(LEFT(A1347,6),'Code Library'!$D$3:$E$200,2,0))&amp;"_"&amp;RIGHT(A1347,3)</f>
        <v>#VALUE!</v>
      </c>
      <c r="I1347" s="66">
        <f t="shared" ref="I1347:I1410" si="21">A1347</f>
        <v>0</v>
      </c>
    </row>
    <row r="1348" spans="8:9">
      <c r="H1348" s="66" t="e">
        <f>IF(OR(LEFT(B1348,FIND("_",B1348,1)-1)="ULGALLOC",LEFT(B1348,FIND("_",B1348,1)-1)="ULSPOOL"),LEFT(B1348,FIND("_",B1348,1)-1),VLOOKUP(LEFT(A1348,6),'Code Library'!$D$3:$E$200,2,0))&amp;"_"&amp;RIGHT(A1348,3)</f>
        <v>#VALUE!</v>
      </c>
      <c r="I1348" s="66">
        <f t="shared" si="21"/>
        <v>0</v>
      </c>
    </row>
    <row r="1349" spans="8:9">
      <c r="H1349" s="66" t="e">
        <f>IF(OR(LEFT(B1349,FIND("_",B1349,1)-1)="ULGALLOC",LEFT(B1349,FIND("_",B1349,1)-1)="ULSPOOL"),LEFT(B1349,FIND("_",B1349,1)-1),VLOOKUP(LEFT(A1349,6),'Code Library'!$D$3:$E$200,2,0))&amp;"_"&amp;RIGHT(A1349,3)</f>
        <v>#VALUE!</v>
      </c>
      <c r="I1349" s="66">
        <f t="shared" si="21"/>
        <v>0</v>
      </c>
    </row>
    <row r="1350" spans="8:9">
      <c r="H1350" s="66" t="e">
        <f>IF(OR(LEFT(B1350,FIND("_",B1350,1)-1)="ULGALLOC",LEFT(B1350,FIND("_",B1350,1)-1)="ULSPOOL"),LEFT(B1350,FIND("_",B1350,1)-1),VLOOKUP(LEFT(A1350,6),'Code Library'!$D$3:$E$200,2,0))&amp;"_"&amp;RIGHT(A1350,3)</f>
        <v>#VALUE!</v>
      </c>
      <c r="I1350" s="66">
        <f t="shared" si="21"/>
        <v>0</v>
      </c>
    </row>
    <row r="1351" spans="8:9">
      <c r="H1351" s="66" t="e">
        <f>IF(OR(LEFT(B1351,FIND("_",B1351,1)-1)="ULGALLOC",LEFT(B1351,FIND("_",B1351,1)-1)="ULSPOOL"),LEFT(B1351,FIND("_",B1351,1)-1),VLOOKUP(LEFT(A1351,6),'Code Library'!$D$3:$E$200,2,0))&amp;"_"&amp;RIGHT(A1351,3)</f>
        <v>#VALUE!</v>
      </c>
      <c r="I1351" s="66">
        <f t="shared" si="21"/>
        <v>0</v>
      </c>
    </row>
    <row r="1352" spans="8:9">
      <c r="H1352" s="66" t="e">
        <f>IF(OR(LEFT(B1352,FIND("_",B1352,1)-1)="ULGALLOC",LEFT(B1352,FIND("_",B1352,1)-1)="ULSPOOL"),LEFT(B1352,FIND("_",B1352,1)-1),VLOOKUP(LEFT(A1352,6),'Code Library'!$D$3:$E$200,2,0))&amp;"_"&amp;RIGHT(A1352,3)</f>
        <v>#VALUE!</v>
      </c>
      <c r="I1352" s="66">
        <f t="shared" si="21"/>
        <v>0</v>
      </c>
    </row>
    <row r="1353" spans="8:9">
      <c r="H1353" s="66" t="e">
        <f>IF(OR(LEFT(B1353,FIND("_",B1353,1)-1)="ULGALLOC",LEFT(B1353,FIND("_",B1353,1)-1)="ULSPOOL"),LEFT(B1353,FIND("_",B1353,1)-1),VLOOKUP(LEFT(A1353,6),'Code Library'!$D$3:$E$200,2,0))&amp;"_"&amp;RIGHT(A1353,3)</f>
        <v>#VALUE!</v>
      </c>
      <c r="I1353" s="66">
        <f t="shared" si="21"/>
        <v>0</v>
      </c>
    </row>
    <row r="1354" spans="8:9">
      <c r="H1354" s="66" t="e">
        <f>IF(OR(LEFT(B1354,FIND("_",B1354,1)-1)="ULGALLOC",LEFT(B1354,FIND("_",B1354,1)-1)="ULSPOOL"),LEFT(B1354,FIND("_",B1354,1)-1),VLOOKUP(LEFT(A1354,6),'Code Library'!$D$3:$E$200,2,0))&amp;"_"&amp;RIGHT(A1354,3)</f>
        <v>#VALUE!</v>
      </c>
      <c r="I1354" s="66">
        <f t="shared" si="21"/>
        <v>0</v>
      </c>
    </row>
    <row r="1355" spans="8:9">
      <c r="H1355" s="66" t="e">
        <f>IF(OR(LEFT(B1355,FIND("_",B1355,1)-1)="ULGALLOC",LEFT(B1355,FIND("_",B1355,1)-1)="ULSPOOL"),LEFT(B1355,FIND("_",B1355,1)-1),VLOOKUP(LEFT(A1355,6),'Code Library'!$D$3:$E$200,2,0))&amp;"_"&amp;RIGHT(A1355,3)</f>
        <v>#VALUE!</v>
      </c>
      <c r="I1355" s="66">
        <f t="shared" si="21"/>
        <v>0</v>
      </c>
    </row>
    <row r="1356" spans="8:9">
      <c r="H1356" s="66" t="e">
        <f>IF(OR(LEFT(B1356,FIND("_",B1356,1)-1)="ULGALLOC",LEFT(B1356,FIND("_",B1356,1)-1)="ULSPOOL"),LEFT(B1356,FIND("_",B1356,1)-1),VLOOKUP(LEFT(A1356,6),'Code Library'!$D$3:$E$200,2,0))&amp;"_"&amp;RIGHT(A1356,3)</f>
        <v>#VALUE!</v>
      </c>
      <c r="I1356" s="66">
        <f t="shared" si="21"/>
        <v>0</v>
      </c>
    </row>
    <row r="1357" spans="8:9">
      <c r="H1357" s="66" t="e">
        <f>IF(OR(LEFT(B1357,FIND("_",B1357,1)-1)="ULGALLOC",LEFT(B1357,FIND("_",B1357,1)-1)="ULSPOOL"),LEFT(B1357,FIND("_",B1357,1)-1),VLOOKUP(LEFT(A1357,6),'Code Library'!$D$3:$E$200,2,0))&amp;"_"&amp;RIGHT(A1357,3)</f>
        <v>#VALUE!</v>
      </c>
      <c r="I1357" s="66">
        <f t="shared" si="21"/>
        <v>0</v>
      </c>
    </row>
    <row r="1358" spans="8:9">
      <c r="H1358" s="66" t="e">
        <f>IF(OR(LEFT(B1358,FIND("_",B1358,1)-1)="ULGALLOC",LEFT(B1358,FIND("_",B1358,1)-1)="ULSPOOL"),LEFT(B1358,FIND("_",B1358,1)-1),VLOOKUP(LEFT(A1358,6),'Code Library'!$D$3:$E$200,2,0))&amp;"_"&amp;RIGHT(A1358,3)</f>
        <v>#VALUE!</v>
      </c>
      <c r="I1358" s="66">
        <f t="shared" si="21"/>
        <v>0</v>
      </c>
    </row>
    <row r="1359" spans="8:9">
      <c r="H1359" s="66" t="e">
        <f>IF(OR(LEFT(B1359,FIND("_",B1359,1)-1)="ULGALLOC",LEFT(B1359,FIND("_",B1359,1)-1)="ULSPOOL"),LEFT(B1359,FIND("_",B1359,1)-1),VLOOKUP(LEFT(A1359,6),'Code Library'!$D$3:$E$200,2,0))&amp;"_"&amp;RIGHT(A1359,3)</f>
        <v>#VALUE!</v>
      </c>
      <c r="I1359" s="66">
        <f t="shared" si="21"/>
        <v>0</v>
      </c>
    </row>
    <row r="1360" spans="8:9">
      <c r="H1360" s="66" t="e">
        <f>IF(OR(LEFT(B1360,FIND("_",B1360,1)-1)="ULGALLOC",LEFT(B1360,FIND("_",B1360,1)-1)="ULSPOOL"),LEFT(B1360,FIND("_",B1360,1)-1),VLOOKUP(LEFT(A1360,6),'Code Library'!$D$3:$E$200,2,0))&amp;"_"&amp;RIGHT(A1360,3)</f>
        <v>#VALUE!</v>
      </c>
      <c r="I1360" s="66">
        <f t="shared" si="21"/>
        <v>0</v>
      </c>
    </row>
    <row r="1361" spans="8:9">
      <c r="H1361" s="66" t="e">
        <f>IF(OR(LEFT(B1361,FIND("_",B1361,1)-1)="ULGALLOC",LEFT(B1361,FIND("_",B1361,1)-1)="ULSPOOL"),LEFT(B1361,FIND("_",B1361,1)-1),VLOOKUP(LEFT(A1361,6),'Code Library'!$D$3:$E$200,2,0))&amp;"_"&amp;RIGHT(A1361,3)</f>
        <v>#VALUE!</v>
      </c>
      <c r="I1361" s="66">
        <f t="shared" si="21"/>
        <v>0</v>
      </c>
    </row>
    <row r="1362" spans="8:9">
      <c r="H1362" s="66" t="e">
        <f>IF(OR(LEFT(B1362,FIND("_",B1362,1)-1)="ULGALLOC",LEFT(B1362,FIND("_",B1362,1)-1)="ULSPOOL"),LEFT(B1362,FIND("_",B1362,1)-1),VLOOKUP(LEFT(A1362,6),'Code Library'!$D$3:$E$200,2,0))&amp;"_"&amp;RIGHT(A1362,3)</f>
        <v>#VALUE!</v>
      </c>
      <c r="I1362" s="66">
        <f t="shared" si="21"/>
        <v>0</v>
      </c>
    </row>
    <row r="1363" spans="8:9">
      <c r="H1363" s="66" t="e">
        <f>IF(OR(LEFT(B1363,FIND("_",B1363,1)-1)="ULGALLOC",LEFT(B1363,FIND("_",B1363,1)-1)="ULSPOOL"),LEFT(B1363,FIND("_",B1363,1)-1),VLOOKUP(LEFT(A1363,6),'Code Library'!$D$3:$E$200,2,0))&amp;"_"&amp;RIGHT(A1363,3)</f>
        <v>#VALUE!</v>
      </c>
      <c r="I1363" s="66">
        <f t="shared" si="21"/>
        <v>0</v>
      </c>
    </row>
    <row r="1364" spans="8:9">
      <c r="H1364" s="66" t="e">
        <f>IF(OR(LEFT(B1364,FIND("_",B1364,1)-1)="ULGALLOC",LEFT(B1364,FIND("_",B1364,1)-1)="ULSPOOL"),LEFT(B1364,FIND("_",B1364,1)-1),VLOOKUP(LEFT(A1364,6),'Code Library'!$D$3:$E$200,2,0))&amp;"_"&amp;RIGHT(A1364,3)</f>
        <v>#VALUE!</v>
      </c>
      <c r="I1364" s="66">
        <f t="shared" si="21"/>
        <v>0</v>
      </c>
    </row>
    <row r="1365" spans="8:9">
      <c r="H1365" s="66" t="e">
        <f>IF(OR(LEFT(B1365,FIND("_",B1365,1)-1)="ULGALLOC",LEFT(B1365,FIND("_",B1365,1)-1)="ULSPOOL"),LEFT(B1365,FIND("_",B1365,1)-1),VLOOKUP(LEFT(A1365,6),'Code Library'!$D$3:$E$200,2,0))&amp;"_"&amp;RIGHT(A1365,3)</f>
        <v>#VALUE!</v>
      </c>
      <c r="I1365" s="66">
        <f t="shared" si="21"/>
        <v>0</v>
      </c>
    </row>
    <row r="1366" spans="8:9">
      <c r="H1366" s="66" t="e">
        <f>IF(OR(LEFT(B1366,FIND("_",B1366,1)-1)="ULGALLOC",LEFT(B1366,FIND("_",B1366,1)-1)="ULSPOOL"),LEFT(B1366,FIND("_",B1366,1)-1),VLOOKUP(LEFT(A1366,6),'Code Library'!$D$3:$E$200,2,0))&amp;"_"&amp;RIGHT(A1366,3)</f>
        <v>#VALUE!</v>
      </c>
      <c r="I1366" s="66">
        <f t="shared" si="21"/>
        <v>0</v>
      </c>
    </row>
    <row r="1367" spans="8:9">
      <c r="H1367" s="66" t="e">
        <f>IF(OR(LEFT(B1367,FIND("_",B1367,1)-1)="ULGALLOC",LEFT(B1367,FIND("_",B1367,1)-1)="ULSPOOL"),LEFT(B1367,FIND("_",B1367,1)-1),VLOOKUP(LEFT(A1367,6),'Code Library'!$D$3:$E$200,2,0))&amp;"_"&amp;RIGHT(A1367,3)</f>
        <v>#VALUE!</v>
      </c>
      <c r="I1367" s="66">
        <f t="shared" si="21"/>
        <v>0</v>
      </c>
    </row>
    <row r="1368" spans="8:9">
      <c r="H1368" s="66" t="e">
        <f>IF(OR(LEFT(B1368,FIND("_",B1368,1)-1)="ULGALLOC",LEFT(B1368,FIND("_",B1368,1)-1)="ULSPOOL"),LEFT(B1368,FIND("_",B1368,1)-1),VLOOKUP(LEFT(A1368,6),'Code Library'!$D$3:$E$200,2,0))&amp;"_"&amp;RIGHT(A1368,3)</f>
        <v>#VALUE!</v>
      </c>
      <c r="I1368" s="66">
        <f t="shared" si="21"/>
        <v>0</v>
      </c>
    </row>
    <row r="1369" spans="8:9">
      <c r="H1369" s="66" t="e">
        <f>IF(OR(LEFT(B1369,FIND("_",B1369,1)-1)="ULGALLOC",LEFT(B1369,FIND("_",B1369,1)-1)="ULSPOOL"),LEFT(B1369,FIND("_",B1369,1)-1),VLOOKUP(LEFT(A1369,6),'Code Library'!$D$3:$E$200,2,0))&amp;"_"&amp;RIGHT(A1369,3)</f>
        <v>#VALUE!</v>
      </c>
      <c r="I1369" s="66">
        <f t="shared" si="21"/>
        <v>0</v>
      </c>
    </row>
    <row r="1370" spans="8:9">
      <c r="H1370" s="66" t="e">
        <f>IF(OR(LEFT(B1370,FIND("_",B1370,1)-1)="ULGALLOC",LEFT(B1370,FIND("_",B1370,1)-1)="ULSPOOL"),LEFT(B1370,FIND("_",B1370,1)-1),VLOOKUP(LEFT(A1370,6),'Code Library'!$D$3:$E$200,2,0))&amp;"_"&amp;RIGHT(A1370,3)</f>
        <v>#VALUE!</v>
      </c>
      <c r="I1370" s="66">
        <f t="shared" si="21"/>
        <v>0</v>
      </c>
    </row>
    <row r="1371" spans="8:9">
      <c r="H1371" s="66" t="e">
        <f>IF(OR(LEFT(B1371,FIND("_",B1371,1)-1)="ULGALLOC",LEFT(B1371,FIND("_",B1371,1)-1)="ULSPOOL"),LEFT(B1371,FIND("_",B1371,1)-1),VLOOKUP(LEFT(A1371,6),'Code Library'!$D$3:$E$200,2,0))&amp;"_"&amp;RIGHT(A1371,3)</f>
        <v>#VALUE!</v>
      </c>
      <c r="I1371" s="66">
        <f t="shared" si="21"/>
        <v>0</v>
      </c>
    </row>
    <row r="1372" spans="8:9">
      <c r="H1372" s="66" t="e">
        <f>IF(OR(LEFT(B1372,FIND("_",B1372,1)-1)="ULGALLOC",LEFT(B1372,FIND("_",B1372,1)-1)="ULSPOOL"),LEFT(B1372,FIND("_",B1372,1)-1),VLOOKUP(LEFT(A1372,6),'Code Library'!$D$3:$E$200,2,0))&amp;"_"&amp;RIGHT(A1372,3)</f>
        <v>#VALUE!</v>
      </c>
      <c r="I1372" s="66">
        <f t="shared" si="21"/>
        <v>0</v>
      </c>
    </row>
    <row r="1373" spans="8:9">
      <c r="H1373" s="66" t="e">
        <f>IF(OR(LEFT(B1373,FIND("_",B1373,1)-1)="ULGALLOC",LEFT(B1373,FIND("_",B1373,1)-1)="ULSPOOL"),LEFT(B1373,FIND("_",B1373,1)-1),VLOOKUP(LEFT(A1373,6),'Code Library'!$D$3:$E$200,2,0))&amp;"_"&amp;RIGHT(A1373,3)</f>
        <v>#VALUE!</v>
      </c>
      <c r="I1373" s="66">
        <f t="shared" si="21"/>
        <v>0</v>
      </c>
    </row>
    <row r="1374" spans="8:9">
      <c r="H1374" s="66" t="e">
        <f>IF(OR(LEFT(B1374,FIND("_",B1374,1)-1)="ULGALLOC",LEFT(B1374,FIND("_",B1374,1)-1)="ULSPOOL"),LEFT(B1374,FIND("_",B1374,1)-1),VLOOKUP(LEFT(A1374,6),'Code Library'!$D$3:$E$200,2,0))&amp;"_"&amp;RIGHT(A1374,3)</f>
        <v>#VALUE!</v>
      </c>
      <c r="I1374" s="66">
        <f t="shared" si="21"/>
        <v>0</v>
      </c>
    </row>
    <row r="1375" spans="8:9">
      <c r="H1375" s="66" t="e">
        <f>IF(OR(LEFT(B1375,FIND("_",B1375,1)-1)="ULGALLOC",LEFT(B1375,FIND("_",B1375,1)-1)="ULSPOOL"),LEFT(B1375,FIND("_",B1375,1)-1),VLOOKUP(LEFT(A1375,6),'Code Library'!$D$3:$E$200,2,0))&amp;"_"&amp;RIGHT(A1375,3)</f>
        <v>#VALUE!</v>
      </c>
      <c r="I1375" s="66">
        <f t="shared" si="21"/>
        <v>0</v>
      </c>
    </row>
    <row r="1376" spans="8:9">
      <c r="H1376" s="66" t="e">
        <f>IF(OR(LEFT(B1376,FIND("_",B1376,1)-1)="ULGALLOC",LEFT(B1376,FIND("_",B1376,1)-1)="ULSPOOL"),LEFT(B1376,FIND("_",B1376,1)-1),VLOOKUP(LEFT(A1376,6),'Code Library'!$D$3:$E$200,2,0))&amp;"_"&amp;RIGHT(A1376,3)</f>
        <v>#VALUE!</v>
      </c>
      <c r="I1376" s="66">
        <f t="shared" si="21"/>
        <v>0</v>
      </c>
    </row>
    <row r="1377" spans="8:9">
      <c r="H1377" s="66" t="e">
        <f>IF(OR(LEFT(B1377,FIND("_",B1377,1)-1)="ULGALLOC",LEFT(B1377,FIND("_",B1377,1)-1)="ULSPOOL"),LEFT(B1377,FIND("_",B1377,1)-1),VLOOKUP(LEFT(A1377,6),'Code Library'!$D$3:$E$200,2,0))&amp;"_"&amp;RIGHT(A1377,3)</f>
        <v>#VALUE!</v>
      </c>
      <c r="I1377" s="66">
        <f t="shared" si="21"/>
        <v>0</v>
      </c>
    </row>
    <row r="1378" spans="8:9">
      <c r="H1378" s="66" t="e">
        <f>IF(OR(LEFT(B1378,FIND("_",B1378,1)-1)="ULGALLOC",LEFT(B1378,FIND("_",B1378,1)-1)="ULSPOOL"),LEFT(B1378,FIND("_",B1378,1)-1),VLOOKUP(LEFT(A1378,6),'Code Library'!$D$3:$E$200,2,0))&amp;"_"&amp;RIGHT(A1378,3)</f>
        <v>#VALUE!</v>
      </c>
      <c r="I1378" s="66">
        <f t="shared" si="21"/>
        <v>0</v>
      </c>
    </row>
    <row r="1379" spans="8:9">
      <c r="H1379" s="66" t="e">
        <f>IF(OR(LEFT(B1379,FIND("_",B1379,1)-1)="ULGALLOC",LEFT(B1379,FIND("_",B1379,1)-1)="ULSPOOL"),LEFT(B1379,FIND("_",B1379,1)-1),VLOOKUP(LEFT(A1379,6),'Code Library'!$D$3:$E$200,2,0))&amp;"_"&amp;RIGHT(A1379,3)</f>
        <v>#VALUE!</v>
      </c>
      <c r="I1379" s="66">
        <f t="shared" si="21"/>
        <v>0</v>
      </c>
    </row>
    <row r="1380" spans="8:9">
      <c r="H1380" s="66" t="e">
        <f>IF(OR(LEFT(B1380,FIND("_",B1380,1)-1)="ULGALLOC",LEFT(B1380,FIND("_",B1380,1)-1)="ULSPOOL"),LEFT(B1380,FIND("_",B1380,1)-1),VLOOKUP(LEFT(A1380,6),'Code Library'!$D$3:$E$200,2,0))&amp;"_"&amp;RIGHT(A1380,3)</f>
        <v>#VALUE!</v>
      </c>
      <c r="I1380" s="66">
        <f t="shared" si="21"/>
        <v>0</v>
      </c>
    </row>
    <row r="1381" spans="8:9">
      <c r="H1381" s="66" t="e">
        <f>IF(OR(LEFT(B1381,FIND("_",B1381,1)-1)="ULGALLOC",LEFT(B1381,FIND("_",B1381,1)-1)="ULSPOOL"),LEFT(B1381,FIND("_",B1381,1)-1),VLOOKUP(LEFT(A1381,6),'Code Library'!$D$3:$E$200,2,0))&amp;"_"&amp;RIGHT(A1381,3)</f>
        <v>#VALUE!</v>
      </c>
      <c r="I1381" s="66">
        <f t="shared" si="21"/>
        <v>0</v>
      </c>
    </row>
    <row r="1382" spans="8:9">
      <c r="H1382" s="66" t="e">
        <f>IF(OR(LEFT(B1382,FIND("_",B1382,1)-1)="ULGALLOC",LEFT(B1382,FIND("_",B1382,1)-1)="ULSPOOL"),LEFT(B1382,FIND("_",B1382,1)-1),VLOOKUP(LEFT(A1382,6),'Code Library'!$D$3:$E$200,2,0))&amp;"_"&amp;RIGHT(A1382,3)</f>
        <v>#VALUE!</v>
      </c>
      <c r="I1382" s="66">
        <f t="shared" si="21"/>
        <v>0</v>
      </c>
    </row>
    <row r="1383" spans="8:9">
      <c r="H1383" s="66" t="e">
        <f>IF(OR(LEFT(B1383,FIND("_",B1383,1)-1)="ULGALLOC",LEFT(B1383,FIND("_",B1383,1)-1)="ULSPOOL"),LEFT(B1383,FIND("_",B1383,1)-1),VLOOKUP(LEFT(A1383,6),'Code Library'!$D$3:$E$200,2,0))&amp;"_"&amp;RIGHT(A1383,3)</f>
        <v>#VALUE!</v>
      </c>
      <c r="I1383" s="66">
        <f t="shared" si="21"/>
        <v>0</v>
      </c>
    </row>
    <row r="1384" spans="8:9">
      <c r="H1384" s="66" t="e">
        <f>IF(OR(LEFT(B1384,FIND("_",B1384,1)-1)="ULGALLOC",LEFT(B1384,FIND("_",B1384,1)-1)="ULSPOOL"),LEFT(B1384,FIND("_",B1384,1)-1),VLOOKUP(LEFT(A1384,6),'Code Library'!$D$3:$E$200,2,0))&amp;"_"&amp;RIGHT(A1384,3)</f>
        <v>#VALUE!</v>
      </c>
      <c r="I1384" s="66">
        <f t="shared" si="21"/>
        <v>0</v>
      </c>
    </row>
    <row r="1385" spans="8:9">
      <c r="H1385" s="66" t="e">
        <f>IF(OR(LEFT(B1385,FIND("_",B1385,1)-1)="ULGALLOC",LEFT(B1385,FIND("_",B1385,1)-1)="ULSPOOL"),LEFT(B1385,FIND("_",B1385,1)-1),VLOOKUP(LEFT(A1385,6),'Code Library'!$D$3:$E$200,2,0))&amp;"_"&amp;RIGHT(A1385,3)</f>
        <v>#VALUE!</v>
      </c>
      <c r="I1385" s="66">
        <f t="shared" si="21"/>
        <v>0</v>
      </c>
    </row>
    <row r="1386" spans="8:9">
      <c r="H1386" s="66" t="e">
        <f>IF(OR(LEFT(B1386,FIND("_",B1386,1)-1)="ULGALLOC",LEFT(B1386,FIND("_",B1386,1)-1)="ULSPOOL"),LEFT(B1386,FIND("_",B1386,1)-1),VLOOKUP(LEFT(A1386,6),'Code Library'!$D$3:$E$200,2,0))&amp;"_"&amp;RIGHT(A1386,3)</f>
        <v>#VALUE!</v>
      </c>
      <c r="I1386" s="66">
        <f t="shared" si="21"/>
        <v>0</v>
      </c>
    </row>
    <row r="1387" spans="8:9">
      <c r="H1387" s="66" t="e">
        <f>IF(OR(LEFT(B1387,FIND("_",B1387,1)-1)="ULGALLOC",LEFT(B1387,FIND("_",B1387,1)-1)="ULSPOOL"),LEFT(B1387,FIND("_",B1387,1)-1),VLOOKUP(LEFT(A1387,6),'Code Library'!$D$3:$E$200,2,0))&amp;"_"&amp;RIGHT(A1387,3)</f>
        <v>#VALUE!</v>
      </c>
      <c r="I1387" s="66">
        <f t="shared" si="21"/>
        <v>0</v>
      </c>
    </row>
    <row r="1388" spans="8:9">
      <c r="H1388" s="66" t="e">
        <f>IF(OR(LEFT(B1388,FIND("_",B1388,1)-1)="ULGALLOC",LEFT(B1388,FIND("_",B1388,1)-1)="ULSPOOL"),LEFT(B1388,FIND("_",B1388,1)-1),VLOOKUP(LEFT(A1388,6),'Code Library'!$D$3:$E$200,2,0))&amp;"_"&amp;RIGHT(A1388,3)</f>
        <v>#VALUE!</v>
      </c>
      <c r="I1388" s="66">
        <f t="shared" si="21"/>
        <v>0</v>
      </c>
    </row>
    <row r="1389" spans="8:9">
      <c r="H1389" s="66" t="e">
        <f>IF(OR(LEFT(B1389,FIND("_",B1389,1)-1)="ULGALLOC",LEFT(B1389,FIND("_",B1389,1)-1)="ULSPOOL"),LEFT(B1389,FIND("_",B1389,1)-1),VLOOKUP(LEFT(A1389,6),'Code Library'!$D$3:$E$200,2,0))&amp;"_"&amp;RIGHT(A1389,3)</f>
        <v>#VALUE!</v>
      </c>
      <c r="I1389" s="66">
        <f t="shared" si="21"/>
        <v>0</v>
      </c>
    </row>
    <row r="1390" spans="8:9">
      <c r="H1390" s="66" t="e">
        <f>IF(OR(LEFT(B1390,FIND("_",B1390,1)-1)="ULGALLOC",LEFT(B1390,FIND("_",B1390,1)-1)="ULSPOOL"),LEFT(B1390,FIND("_",B1390,1)-1),VLOOKUP(LEFT(A1390,6),'Code Library'!$D$3:$E$200,2,0))&amp;"_"&amp;RIGHT(A1390,3)</f>
        <v>#VALUE!</v>
      </c>
      <c r="I1390" s="66">
        <f t="shared" si="21"/>
        <v>0</v>
      </c>
    </row>
    <row r="1391" spans="8:9">
      <c r="H1391" s="66" t="e">
        <f>IF(OR(LEFT(B1391,FIND("_",B1391,1)-1)="ULGALLOC",LEFT(B1391,FIND("_",B1391,1)-1)="ULSPOOL"),LEFT(B1391,FIND("_",B1391,1)-1),VLOOKUP(LEFT(A1391,6),'Code Library'!$D$3:$E$200,2,0))&amp;"_"&amp;RIGHT(A1391,3)</f>
        <v>#VALUE!</v>
      </c>
      <c r="I1391" s="66">
        <f t="shared" si="21"/>
        <v>0</v>
      </c>
    </row>
    <row r="1392" spans="8:9">
      <c r="H1392" s="66" t="e">
        <f>IF(OR(LEFT(B1392,FIND("_",B1392,1)-1)="ULGALLOC",LEFT(B1392,FIND("_",B1392,1)-1)="ULSPOOL"),LEFT(B1392,FIND("_",B1392,1)-1),VLOOKUP(LEFT(A1392,6),'Code Library'!$D$3:$E$200,2,0))&amp;"_"&amp;RIGHT(A1392,3)</f>
        <v>#VALUE!</v>
      </c>
      <c r="I1392" s="66">
        <f t="shared" si="21"/>
        <v>0</v>
      </c>
    </row>
    <row r="1393" spans="8:9">
      <c r="H1393" s="66" t="e">
        <f>IF(OR(LEFT(B1393,FIND("_",B1393,1)-1)="ULGALLOC",LEFT(B1393,FIND("_",B1393,1)-1)="ULSPOOL"),LEFT(B1393,FIND("_",B1393,1)-1),VLOOKUP(LEFT(A1393,6),'Code Library'!$D$3:$E$200,2,0))&amp;"_"&amp;RIGHT(A1393,3)</f>
        <v>#VALUE!</v>
      </c>
      <c r="I1393" s="66">
        <f t="shared" si="21"/>
        <v>0</v>
      </c>
    </row>
    <row r="1394" spans="8:9">
      <c r="H1394" s="66" t="e">
        <f>IF(OR(LEFT(B1394,FIND("_",B1394,1)-1)="ULGALLOC",LEFT(B1394,FIND("_",B1394,1)-1)="ULSPOOL"),LEFT(B1394,FIND("_",B1394,1)-1),VLOOKUP(LEFT(A1394,6),'Code Library'!$D$3:$E$200,2,0))&amp;"_"&amp;RIGHT(A1394,3)</f>
        <v>#VALUE!</v>
      </c>
      <c r="I1394" s="66">
        <f t="shared" si="21"/>
        <v>0</v>
      </c>
    </row>
    <row r="1395" spans="8:9">
      <c r="H1395" s="66" t="e">
        <f>IF(OR(LEFT(B1395,FIND("_",B1395,1)-1)="ULGALLOC",LEFT(B1395,FIND("_",B1395,1)-1)="ULSPOOL"),LEFT(B1395,FIND("_",B1395,1)-1),VLOOKUP(LEFT(A1395,6),'Code Library'!$D$3:$E$200,2,0))&amp;"_"&amp;RIGHT(A1395,3)</f>
        <v>#VALUE!</v>
      </c>
      <c r="I1395" s="66">
        <f t="shared" si="21"/>
        <v>0</v>
      </c>
    </row>
    <row r="1396" spans="8:9">
      <c r="H1396" s="66" t="e">
        <f>IF(OR(LEFT(B1396,FIND("_",B1396,1)-1)="ULGALLOC",LEFT(B1396,FIND("_",B1396,1)-1)="ULSPOOL"),LEFT(B1396,FIND("_",B1396,1)-1),VLOOKUP(LEFT(A1396,6),'Code Library'!$D$3:$E$200,2,0))&amp;"_"&amp;RIGHT(A1396,3)</f>
        <v>#VALUE!</v>
      </c>
      <c r="I1396" s="66">
        <f t="shared" si="21"/>
        <v>0</v>
      </c>
    </row>
    <row r="1397" spans="8:9">
      <c r="H1397" s="66" t="e">
        <f>IF(OR(LEFT(B1397,FIND("_",B1397,1)-1)="ULGALLOC",LEFT(B1397,FIND("_",B1397,1)-1)="ULSPOOL"),LEFT(B1397,FIND("_",B1397,1)-1),VLOOKUP(LEFT(A1397,6),'Code Library'!$D$3:$E$200,2,0))&amp;"_"&amp;RIGHT(A1397,3)</f>
        <v>#VALUE!</v>
      </c>
      <c r="I1397" s="66">
        <f t="shared" si="21"/>
        <v>0</v>
      </c>
    </row>
    <row r="1398" spans="8:9">
      <c r="H1398" s="66" t="e">
        <f>IF(OR(LEFT(B1398,FIND("_",B1398,1)-1)="ULGALLOC",LEFT(B1398,FIND("_",B1398,1)-1)="ULSPOOL"),LEFT(B1398,FIND("_",B1398,1)-1),VLOOKUP(LEFT(A1398,6),'Code Library'!$D$3:$E$200,2,0))&amp;"_"&amp;RIGHT(A1398,3)</f>
        <v>#VALUE!</v>
      </c>
      <c r="I1398" s="66">
        <f t="shared" si="21"/>
        <v>0</v>
      </c>
    </row>
    <row r="1399" spans="8:9">
      <c r="H1399" s="66" t="e">
        <f>IF(OR(LEFT(B1399,FIND("_",B1399,1)-1)="ULGALLOC",LEFT(B1399,FIND("_",B1399,1)-1)="ULSPOOL"),LEFT(B1399,FIND("_",B1399,1)-1),VLOOKUP(LEFT(A1399,6),'Code Library'!$D$3:$E$200,2,0))&amp;"_"&amp;RIGHT(A1399,3)</f>
        <v>#VALUE!</v>
      </c>
      <c r="I1399" s="66">
        <f t="shared" si="21"/>
        <v>0</v>
      </c>
    </row>
    <row r="1400" spans="8:9">
      <c r="H1400" s="66" t="e">
        <f>IF(OR(LEFT(B1400,FIND("_",B1400,1)-1)="ULGALLOC",LEFT(B1400,FIND("_",B1400,1)-1)="ULSPOOL"),LEFT(B1400,FIND("_",B1400,1)-1),VLOOKUP(LEFT(A1400,6),'Code Library'!$D$3:$E$200,2,0))&amp;"_"&amp;RIGHT(A1400,3)</f>
        <v>#VALUE!</v>
      </c>
      <c r="I1400" s="66">
        <f t="shared" si="21"/>
        <v>0</v>
      </c>
    </row>
    <row r="1401" spans="8:9">
      <c r="H1401" s="66" t="e">
        <f>IF(OR(LEFT(B1401,FIND("_",B1401,1)-1)="ULGALLOC",LEFT(B1401,FIND("_",B1401,1)-1)="ULSPOOL"),LEFT(B1401,FIND("_",B1401,1)-1),VLOOKUP(LEFT(A1401,6),'Code Library'!$D$3:$E$200,2,0))&amp;"_"&amp;RIGHT(A1401,3)</f>
        <v>#VALUE!</v>
      </c>
      <c r="I1401" s="66">
        <f t="shared" si="21"/>
        <v>0</v>
      </c>
    </row>
    <row r="1402" spans="8:9">
      <c r="H1402" s="66" t="e">
        <f>IF(OR(LEFT(B1402,FIND("_",B1402,1)-1)="ULGALLOC",LEFT(B1402,FIND("_",B1402,1)-1)="ULSPOOL"),LEFT(B1402,FIND("_",B1402,1)-1),VLOOKUP(LEFT(A1402,6),'Code Library'!$D$3:$E$200,2,0))&amp;"_"&amp;RIGHT(A1402,3)</f>
        <v>#VALUE!</v>
      </c>
      <c r="I1402" s="66">
        <f t="shared" si="21"/>
        <v>0</v>
      </c>
    </row>
    <row r="1403" spans="8:9">
      <c r="H1403" s="66" t="e">
        <f>IF(OR(LEFT(B1403,FIND("_",B1403,1)-1)="ULGALLOC",LEFT(B1403,FIND("_",B1403,1)-1)="ULSPOOL"),LEFT(B1403,FIND("_",B1403,1)-1),VLOOKUP(LEFT(A1403,6),'Code Library'!$D$3:$E$200,2,0))&amp;"_"&amp;RIGHT(A1403,3)</f>
        <v>#VALUE!</v>
      </c>
      <c r="I1403" s="66">
        <f t="shared" si="21"/>
        <v>0</v>
      </c>
    </row>
    <row r="1404" spans="8:9">
      <c r="H1404" s="66" t="e">
        <f>IF(OR(LEFT(B1404,FIND("_",B1404,1)-1)="ULGALLOC",LEFT(B1404,FIND("_",B1404,1)-1)="ULSPOOL"),LEFT(B1404,FIND("_",B1404,1)-1),VLOOKUP(LEFT(A1404,6),'Code Library'!$D$3:$E$200,2,0))&amp;"_"&amp;RIGHT(A1404,3)</f>
        <v>#VALUE!</v>
      </c>
      <c r="I1404" s="66">
        <f t="shared" si="21"/>
        <v>0</v>
      </c>
    </row>
    <row r="1405" spans="8:9">
      <c r="H1405" s="66" t="e">
        <f>IF(OR(LEFT(B1405,FIND("_",B1405,1)-1)="ULGALLOC",LEFT(B1405,FIND("_",B1405,1)-1)="ULSPOOL"),LEFT(B1405,FIND("_",B1405,1)-1),VLOOKUP(LEFT(A1405,6),'Code Library'!$D$3:$E$200,2,0))&amp;"_"&amp;RIGHT(A1405,3)</f>
        <v>#VALUE!</v>
      </c>
      <c r="I1405" s="66">
        <f t="shared" si="21"/>
        <v>0</v>
      </c>
    </row>
    <row r="1406" spans="8:9">
      <c r="H1406" s="66" t="e">
        <f>IF(OR(LEFT(B1406,FIND("_",B1406,1)-1)="ULGALLOC",LEFT(B1406,FIND("_",B1406,1)-1)="ULSPOOL"),LEFT(B1406,FIND("_",B1406,1)-1),VLOOKUP(LEFT(A1406,6),'Code Library'!$D$3:$E$200,2,0))&amp;"_"&amp;RIGHT(A1406,3)</f>
        <v>#VALUE!</v>
      </c>
      <c r="I1406" s="66">
        <f t="shared" si="21"/>
        <v>0</v>
      </c>
    </row>
    <row r="1407" spans="8:9">
      <c r="H1407" s="66" t="e">
        <f>IF(OR(LEFT(B1407,FIND("_",B1407,1)-1)="ULGALLOC",LEFT(B1407,FIND("_",B1407,1)-1)="ULSPOOL"),LEFT(B1407,FIND("_",B1407,1)-1),VLOOKUP(LEFT(A1407,6),'Code Library'!$D$3:$E$200,2,0))&amp;"_"&amp;RIGHT(A1407,3)</f>
        <v>#VALUE!</v>
      </c>
      <c r="I1407" s="66">
        <f t="shared" si="21"/>
        <v>0</v>
      </c>
    </row>
    <row r="1408" spans="8:9">
      <c r="H1408" s="66" t="e">
        <f>IF(OR(LEFT(B1408,FIND("_",B1408,1)-1)="ULGALLOC",LEFT(B1408,FIND("_",B1408,1)-1)="ULSPOOL"),LEFT(B1408,FIND("_",B1408,1)-1),VLOOKUP(LEFT(A1408,6),'Code Library'!$D$3:$E$200,2,0))&amp;"_"&amp;RIGHT(A1408,3)</f>
        <v>#VALUE!</v>
      </c>
      <c r="I1408" s="66">
        <f t="shared" si="21"/>
        <v>0</v>
      </c>
    </row>
    <row r="1409" spans="8:9">
      <c r="H1409" s="66" t="e">
        <f>IF(OR(LEFT(B1409,FIND("_",B1409,1)-1)="ULGALLOC",LEFT(B1409,FIND("_",B1409,1)-1)="ULSPOOL"),LEFT(B1409,FIND("_",B1409,1)-1),VLOOKUP(LEFT(A1409,6),'Code Library'!$D$3:$E$200,2,0))&amp;"_"&amp;RIGHT(A1409,3)</f>
        <v>#VALUE!</v>
      </c>
      <c r="I1409" s="66">
        <f t="shared" si="21"/>
        <v>0</v>
      </c>
    </row>
    <row r="1410" spans="8:9">
      <c r="H1410" s="66" t="e">
        <f>IF(OR(LEFT(B1410,FIND("_",B1410,1)-1)="ULGALLOC",LEFT(B1410,FIND("_",B1410,1)-1)="ULSPOOL"),LEFT(B1410,FIND("_",B1410,1)-1),VLOOKUP(LEFT(A1410,6),'Code Library'!$D$3:$E$200,2,0))&amp;"_"&amp;RIGHT(A1410,3)</f>
        <v>#VALUE!</v>
      </c>
      <c r="I1410" s="66">
        <f t="shared" si="21"/>
        <v>0</v>
      </c>
    </row>
    <row r="1411" spans="8:9">
      <c r="H1411" s="66" t="e">
        <f>IF(OR(LEFT(B1411,FIND("_",B1411,1)-1)="ULGALLOC",LEFT(B1411,FIND("_",B1411,1)-1)="ULSPOOL"),LEFT(B1411,FIND("_",B1411,1)-1),VLOOKUP(LEFT(A1411,6),'Code Library'!$D$3:$E$200,2,0))&amp;"_"&amp;RIGHT(A1411,3)</f>
        <v>#VALUE!</v>
      </c>
      <c r="I1411" s="66">
        <f t="shared" ref="I1411:I1474" si="22">A1411</f>
        <v>0</v>
      </c>
    </row>
    <row r="1412" spans="8:9">
      <c r="H1412" s="66" t="e">
        <f>IF(OR(LEFT(B1412,FIND("_",B1412,1)-1)="ULGALLOC",LEFT(B1412,FIND("_",B1412,1)-1)="ULSPOOL"),LEFT(B1412,FIND("_",B1412,1)-1),VLOOKUP(LEFT(A1412,6),'Code Library'!$D$3:$E$200,2,0))&amp;"_"&amp;RIGHT(A1412,3)</f>
        <v>#VALUE!</v>
      </c>
      <c r="I1412" s="66">
        <f t="shared" si="22"/>
        <v>0</v>
      </c>
    </row>
    <row r="1413" spans="8:9">
      <c r="H1413" s="66" t="e">
        <f>IF(OR(LEFT(B1413,FIND("_",B1413,1)-1)="ULGALLOC",LEFT(B1413,FIND("_",B1413,1)-1)="ULSPOOL"),LEFT(B1413,FIND("_",B1413,1)-1),VLOOKUP(LEFT(A1413,6),'Code Library'!$D$3:$E$200,2,0))&amp;"_"&amp;RIGHT(A1413,3)</f>
        <v>#VALUE!</v>
      </c>
      <c r="I1413" s="66">
        <f t="shared" si="22"/>
        <v>0</v>
      </c>
    </row>
    <row r="1414" spans="8:9">
      <c r="H1414" s="66" t="e">
        <f>IF(OR(LEFT(B1414,FIND("_",B1414,1)-1)="ULGALLOC",LEFT(B1414,FIND("_",B1414,1)-1)="ULSPOOL"),LEFT(B1414,FIND("_",B1414,1)-1),VLOOKUP(LEFT(A1414,6),'Code Library'!$D$3:$E$200,2,0))&amp;"_"&amp;RIGHT(A1414,3)</f>
        <v>#VALUE!</v>
      </c>
      <c r="I1414" s="66">
        <f t="shared" si="22"/>
        <v>0</v>
      </c>
    </row>
    <row r="1415" spans="8:9">
      <c r="H1415" s="66" t="e">
        <f>IF(OR(LEFT(B1415,FIND("_",B1415,1)-1)="ULGALLOC",LEFT(B1415,FIND("_",B1415,1)-1)="ULSPOOL"),LEFT(B1415,FIND("_",B1415,1)-1),VLOOKUP(LEFT(A1415,6),'Code Library'!$D$3:$E$200,2,0))&amp;"_"&amp;RIGHT(A1415,3)</f>
        <v>#VALUE!</v>
      </c>
      <c r="I1415" s="66">
        <f t="shared" si="22"/>
        <v>0</v>
      </c>
    </row>
    <row r="1416" spans="8:9">
      <c r="H1416" s="66" t="e">
        <f>IF(OR(LEFT(B1416,FIND("_",B1416,1)-1)="ULGALLOC",LEFT(B1416,FIND("_",B1416,1)-1)="ULSPOOL"),LEFT(B1416,FIND("_",B1416,1)-1),VLOOKUP(LEFT(A1416,6),'Code Library'!$D$3:$E$200,2,0))&amp;"_"&amp;RIGHT(A1416,3)</f>
        <v>#VALUE!</v>
      </c>
      <c r="I1416" s="66">
        <f t="shared" si="22"/>
        <v>0</v>
      </c>
    </row>
    <row r="1417" spans="8:9">
      <c r="H1417" s="66" t="e">
        <f>IF(OR(LEFT(B1417,FIND("_",B1417,1)-1)="ULGALLOC",LEFT(B1417,FIND("_",B1417,1)-1)="ULSPOOL"),LEFT(B1417,FIND("_",B1417,1)-1),VLOOKUP(LEFT(A1417,6),'Code Library'!$D$3:$E$200,2,0))&amp;"_"&amp;RIGHT(A1417,3)</f>
        <v>#VALUE!</v>
      </c>
      <c r="I1417" s="66">
        <f t="shared" si="22"/>
        <v>0</v>
      </c>
    </row>
    <row r="1418" spans="8:9">
      <c r="H1418" s="66" t="e">
        <f>IF(OR(LEFT(B1418,FIND("_",B1418,1)-1)="ULGALLOC",LEFT(B1418,FIND("_",B1418,1)-1)="ULSPOOL"),LEFT(B1418,FIND("_",B1418,1)-1),VLOOKUP(LEFT(A1418,6),'Code Library'!$D$3:$E$200,2,0))&amp;"_"&amp;RIGHT(A1418,3)</f>
        <v>#VALUE!</v>
      </c>
      <c r="I1418" s="66">
        <f t="shared" si="22"/>
        <v>0</v>
      </c>
    </row>
    <row r="1419" spans="8:9">
      <c r="H1419" s="66" t="e">
        <f>IF(OR(LEFT(B1419,FIND("_",B1419,1)-1)="ULGALLOC",LEFT(B1419,FIND("_",B1419,1)-1)="ULSPOOL"),LEFT(B1419,FIND("_",B1419,1)-1),VLOOKUP(LEFT(A1419,6),'Code Library'!$D$3:$E$200,2,0))&amp;"_"&amp;RIGHT(A1419,3)</f>
        <v>#VALUE!</v>
      </c>
      <c r="I1419" s="66">
        <f t="shared" si="22"/>
        <v>0</v>
      </c>
    </row>
    <row r="1420" spans="8:9">
      <c r="H1420" s="66" t="e">
        <f>IF(OR(LEFT(B1420,FIND("_",B1420,1)-1)="ULGALLOC",LEFT(B1420,FIND("_",B1420,1)-1)="ULSPOOL"),LEFT(B1420,FIND("_",B1420,1)-1),VLOOKUP(LEFT(A1420,6),'Code Library'!$D$3:$E$200,2,0))&amp;"_"&amp;RIGHT(A1420,3)</f>
        <v>#VALUE!</v>
      </c>
      <c r="I1420" s="66">
        <f t="shared" si="22"/>
        <v>0</v>
      </c>
    </row>
    <row r="1421" spans="8:9">
      <c r="H1421" s="66" t="e">
        <f>IF(OR(LEFT(B1421,FIND("_",B1421,1)-1)="ULGALLOC",LEFT(B1421,FIND("_",B1421,1)-1)="ULSPOOL"),LEFT(B1421,FIND("_",B1421,1)-1),VLOOKUP(LEFT(A1421,6),'Code Library'!$D$3:$E$200,2,0))&amp;"_"&amp;RIGHT(A1421,3)</f>
        <v>#VALUE!</v>
      </c>
      <c r="I1421" s="66">
        <f t="shared" si="22"/>
        <v>0</v>
      </c>
    </row>
    <row r="1422" spans="8:9">
      <c r="H1422" s="66" t="e">
        <f>IF(OR(LEFT(B1422,FIND("_",B1422,1)-1)="ULGALLOC",LEFT(B1422,FIND("_",B1422,1)-1)="ULSPOOL"),LEFT(B1422,FIND("_",B1422,1)-1),VLOOKUP(LEFT(A1422,6),'Code Library'!$D$3:$E$200,2,0))&amp;"_"&amp;RIGHT(A1422,3)</f>
        <v>#VALUE!</v>
      </c>
      <c r="I1422" s="66">
        <f t="shared" si="22"/>
        <v>0</v>
      </c>
    </row>
    <row r="1423" spans="8:9">
      <c r="H1423" s="66" t="e">
        <f>IF(OR(LEFT(B1423,FIND("_",B1423,1)-1)="ULGALLOC",LEFT(B1423,FIND("_",B1423,1)-1)="ULSPOOL"),LEFT(B1423,FIND("_",B1423,1)-1),VLOOKUP(LEFT(A1423,6),'Code Library'!$D$3:$E$200,2,0))&amp;"_"&amp;RIGHT(A1423,3)</f>
        <v>#VALUE!</v>
      </c>
      <c r="I1423" s="66">
        <f t="shared" si="22"/>
        <v>0</v>
      </c>
    </row>
    <row r="1424" spans="8:9">
      <c r="H1424" s="66" t="e">
        <f>IF(OR(LEFT(B1424,FIND("_",B1424,1)-1)="ULGALLOC",LEFT(B1424,FIND("_",B1424,1)-1)="ULSPOOL"),LEFT(B1424,FIND("_",B1424,1)-1),VLOOKUP(LEFT(A1424,6),'Code Library'!$D$3:$E$200,2,0))&amp;"_"&amp;RIGHT(A1424,3)</f>
        <v>#VALUE!</v>
      </c>
      <c r="I1424" s="66">
        <f t="shared" si="22"/>
        <v>0</v>
      </c>
    </row>
    <row r="1425" spans="8:9">
      <c r="H1425" s="66" t="e">
        <f>IF(OR(LEFT(B1425,FIND("_",B1425,1)-1)="ULGALLOC",LEFT(B1425,FIND("_",B1425,1)-1)="ULSPOOL"),LEFT(B1425,FIND("_",B1425,1)-1),VLOOKUP(LEFT(A1425,6),'Code Library'!$D$3:$E$200,2,0))&amp;"_"&amp;RIGHT(A1425,3)</f>
        <v>#VALUE!</v>
      </c>
      <c r="I1425" s="66">
        <f t="shared" si="22"/>
        <v>0</v>
      </c>
    </row>
    <row r="1426" spans="8:9">
      <c r="H1426" s="66" t="e">
        <f>IF(OR(LEFT(B1426,FIND("_",B1426,1)-1)="ULGALLOC",LEFT(B1426,FIND("_",B1426,1)-1)="ULSPOOL"),LEFT(B1426,FIND("_",B1426,1)-1),VLOOKUP(LEFT(A1426,6),'Code Library'!$D$3:$E$200,2,0))&amp;"_"&amp;RIGHT(A1426,3)</f>
        <v>#VALUE!</v>
      </c>
      <c r="I1426" s="66">
        <f t="shared" si="22"/>
        <v>0</v>
      </c>
    </row>
    <row r="1427" spans="8:9">
      <c r="H1427" s="66" t="e">
        <f>IF(OR(LEFT(B1427,FIND("_",B1427,1)-1)="ULGALLOC",LEFT(B1427,FIND("_",B1427,1)-1)="ULSPOOL"),LEFT(B1427,FIND("_",B1427,1)-1),VLOOKUP(LEFT(A1427,6),'Code Library'!$D$3:$E$200,2,0))&amp;"_"&amp;RIGHT(A1427,3)</f>
        <v>#VALUE!</v>
      </c>
      <c r="I1427" s="66">
        <f t="shared" si="22"/>
        <v>0</v>
      </c>
    </row>
    <row r="1428" spans="8:9">
      <c r="H1428" s="66" t="e">
        <f>IF(OR(LEFT(B1428,FIND("_",B1428,1)-1)="ULGALLOC",LEFT(B1428,FIND("_",B1428,1)-1)="ULSPOOL"),LEFT(B1428,FIND("_",B1428,1)-1),VLOOKUP(LEFT(A1428,6),'Code Library'!$D$3:$E$200,2,0))&amp;"_"&amp;RIGHT(A1428,3)</f>
        <v>#VALUE!</v>
      </c>
      <c r="I1428" s="66">
        <f t="shared" si="22"/>
        <v>0</v>
      </c>
    </row>
    <row r="1429" spans="8:9">
      <c r="H1429" s="66" t="e">
        <f>IF(OR(LEFT(B1429,FIND("_",B1429,1)-1)="ULGALLOC",LEFT(B1429,FIND("_",B1429,1)-1)="ULSPOOL"),LEFT(B1429,FIND("_",B1429,1)-1),VLOOKUP(LEFT(A1429,6),'Code Library'!$D$3:$E$200,2,0))&amp;"_"&amp;RIGHT(A1429,3)</f>
        <v>#VALUE!</v>
      </c>
      <c r="I1429" s="66">
        <f t="shared" si="22"/>
        <v>0</v>
      </c>
    </row>
    <row r="1430" spans="8:9">
      <c r="H1430" s="66" t="e">
        <f>IF(OR(LEFT(B1430,FIND("_",B1430,1)-1)="ULGALLOC",LEFT(B1430,FIND("_",B1430,1)-1)="ULSPOOL"),LEFT(B1430,FIND("_",B1430,1)-1),VLOOKUP(LEFT(A1430,6),'Code Library'!$D$3:$E$200,2,0))&amp;"_"&amp;RIGHT(A1430,3)</f>
        <v>#VALUE!</v>
      </c>
      <c r="I1430" s="66">
        <f t="shared" si="22"/>
        <v>0</v>
      </c>
    </row>
    <row r="1431" spans="8:9">
      <c r="H1431" s="66" t="e">
        <f>IF(OR(LEFT(B1431,FIND("_",B1431,1)-1)="ULGALLOC",LEFT(B1431,FIND("_",B1431,1)-1)="ULSPOOL"),LEFT(B1431,FIND("_",B1431,1)-1),VLOOKUP(LEFT(A1431,6),'Code Library'!$D$3:$E$200,2,0))&amp;"_"&amp;RIGHT(A1431,3)</f>
        <v>#VALUE!</v>
      </c>
      <c r="I1431" s="66">
        <f t="shared" si="22"/>
        <v>0</v>
      </c>
    </row>
    <row r="1432" spans="8:9">
      <c r="H1432" s="66" t="e">
        <f>IF(OR(LEFT(B1432,FIND("_",B1432,1)-1)="ULGALLOC",LEFT(B1432,FIND("_",B1432,1)-1)="ULSPOOL"),LEFT(B1432,FIND("_",B1432,1)-1),VLOOKUP(LEFT(A1432,6),'Code Library'!$D$3:$E$200,2,0))&amp;"_"&amp;RIGHT(A1432,3)</f>
        <v>#VALUE!</v>
      </c>
      <c r="I1432" s="66">
        <f t="shared" si="22"/>
        <v>0</v>
      </c>
    </row>
    <row r="1433" spans="8:9">
      <c r="H1433" s="66" t="e">
        <f>IF(OR(LEFT(B1433,FIND("_",B1433,1)-1)="ULGALLOC",LEFT(B1433,FIND("_",B1433,1)-1)="ULSPOOL"),LEFT(B1433,FIND("_",B1433,1)-1),VLOOKUP(LEFT(A1433,6),'Code Library'!$D$3:$E$200,2,0))&amp;"_"&amp;RIGHT(A1433,3)</f>
        <v>#VALUE!</v>
      </c>
      <c r="I1433" s="66">
        <f t="shared" si="22"/>
        <v>0</v>
      </c>
    </row>
    <row r="1434" spans="8:9">
      <c r="H1434" s="66" t="e">
        <f>IF(OR(LEFT(B1434,FIND("_",B1434,1)-1)="ULGALLOC",LEFT(B1434,FIND("_",B1434,1)-1)="ULSPOOL"),LEFT(B1434,FIND("_",B1434,1)-1),VLOOKUP(LEFT(A1434,6),'Code Library'!$D$3:$E$200,2,0))&amp;"_"&amp;RIGHT(A1434,3)</f>
        <v>#VALUE!</v>
      </c>
      <c r="I1434" s="66">
        <f t="shared" si="22"/>
        <v>0</v>
      </c>
    </row>
    <row r="1435" spans="8:9">
      <c r="H1435" s="66" t="e">
        <f>IF(OR(LEFT(B1435,FIND("_",B1435,1)-1)="ULGALLOC",LEFT(B1435,FIND("_",B1435,1)-1)="ULSPOOL"),LEFT(B1435,FIND("_",B1435,1)-1),VLOOKUP(LEFT(A1435,6),'Code Library'!$D$3:$E$200,2,0))&amp;"_"&amp;RIGHT(A1435,3)</f>
        <v>#VALUE!</v>
      </c>
      <c r="I1435" s="66">
        <f t="shared" si="22"/>
        <v>0</v>
      </c>
    </row>
    <row r="1436" spans="8:9">
      <c r="H1436" s="66" t="e">
        <f>IF(OR(LEFT(B1436,FIND("_",B1436,1)-1)="ULGALLOC",LEFT(B1436,FIND("_",B1436,1)-1)="ULSPOOL"),LEFT(B1436,FIND("_",B1436,1)-1),VLOOKUP(LEFT(A1436,6),'Code Library'!$D$3:$E$200,2,0))&amp;"_"&amp;RIGHT(A1436,3)</f>
        <v>#VALUE!</v>
      </c>
      <c r="I1436" s="66">
        <f t="shared" si="22"/>
        <v>0</v>
      </c>
    </row>
    <row r="1437" spans="8:9">
      <c r="H1437" s="66" t="e">
        <f>IF(OR(LEFT(B1437,FIND("_",B1437,1)-1)="ULGALLOC",LEFT(B1437,FIND("_",B1437,1)-1)="ULSPOOL"),LEFT(B1437,FIND("_",B1437,1)-1),VLOOKUP(LEFT(A1437,6),'Code Library'!$D$3:$E$200,2,0))&amp;"_"&amp;RIGHT(A1437,3)</f>
        <v>#VALUE!</v>
      </c>
      <c r="I1437" s="66">
        <f t="shared" si="22"/>
        <v>0</v>
      </c>
    </row>
    <row r="1438" spans="8:9">
      <c r="H1438" s="66" t="e">
        <f>IF(OR(LEFT(B1438,FIND("_",B1438,1)-1)="ULGALLOC",LEFT(B1438,FIND("_",B1438,1)-1)="ULSPOOL"),LEFT(B1438,FIND("_",B1438,1)-1),VLOOKUP(LEFT(A1438,6),'Code Library'!$D$3:$E$200,2,0))&amp;"_"&amp;RIGHT(A1438,3)</f>
        <v>#VALUE!</v>
      </c>
      <c r="I1438" s="66">
        <f t="shared" si="22"/>
        <v>0</v>
      </c>
    </row>
    <row r="1439" spans="8:9">
      <c r="H1439" s="66" t="e">
        <f>IF(OR(LEFT(B1439,FIND("_",B1439,1)-1)="ULGALLOC",LEFT(B1439,FIND("_",B1439,1)-1)="ULSPOOL"),LEFT(B1439,FIND("_",B1439,1)-1),VLOOKUP(LEFT(A1439,6),'Code Library'!$D$3:$E$200,2,0))&amp;"_"&amp;RIGHT(A1439,3)</f>
        <v>#VALUE!</v>
      </c>
      <c r="I1439" s="66">
        <f t="shared" si="22"/>
        <v>0</v>
      </c>
    </row>
    <row r="1440" spans="8:9">
      <c r="H1440" s="66" t="e">
        <f>IF(OR(LEFT(B1440,FIND("_",B1440,1)-1)="ULGALLOC",LEFT(B1440,FIND("_",B1440,1)-1)="ULSPOOL"),LEFT(B1440,FIND("_",B1440,1)-1),VLOOKUP(LEFT(A1440,6),'Code Library'!$D$3:$E$200,2,0))&amp;"_"&amp;RIGHT(A1440,3)</f>
        <v>#VALUE!</v>
      </c>
      <c r="I1440" s="66">
        <f t="shared" si="22"/>
        <v>0</v>
      </c>
    </row>
    <row r="1441" spans="8:9">
      <c r="H1441" s="66" t="e">
        <f>IF(OR(LEFT(B1441,FIND("_",B1441,1)-1)="ULGALLOC",LEFT(B1441,FIND("_",B1441,1)-1)="ULSPOOL"),LEFT(B1441,FIND("_",B1441,1)-1),VLOOKUP(LEFT(A1441,6),'Code Library'!$D$3:$E$200,2,0))&amp;"_"&amp;RIGHT(A1441,3)</f>
        <v>#VALUE!</v>
      </c>
      <c r="I1441" s="66">
        <f t="shared" si="22"/>
        <v>0</v>
      </c>
    </row>
    <row r="1442" spans="8:9">
      <c r="H1442" s="66" t="e">
        <f>IF(OR(LEFT(B1442,FIND("_",B1442,1)-1)="ULGALLOC",LEFT(B1442,FIND("_",B1442,1)-1)="ULSPOOL"),LEFT(B1442,FIND("_",B1442,1)-1),VLOOKUP(LEFT(A1442,6),'Code Library'!$D$3:$E$200,2,0))&amp;"_"&amp;RIGHT(A1442,3)</f>
        <v>#VALUE!</v>
      </c>
      <c r="I1442" s="66">
        <f t="shared" si="22"/>
        <v>0</v>
      </c>
    </row>
    <row r="1443" spans="8:9">
      <c r="H1443" s="66" t="e">
        <f>IF(OR(LEFT(B1443,FIND("_",B1443,1)-1)="ULGALLOC",LEFT(B1443,FIND("_",B1443,1)-1)="ULSPOOL"),LEFT(B1443,FIND("_",B1443,1)-1),VLOOKUP(LEFT(A1443,6),'Code Library'!$D$3:$E$200,2,0))&amp;"_"&amp;RIGHT(A1443,3)</f>
        <v>#VALUE!</v>
      </c>
      <c r="I1443" s="66">
        <f t="shared" si="22"/>
        <v>0</v>
      </c>
    </row>
    <row r="1444" spans="8:9">
      <c r="H1444" s="66" t="e">
        <f>IF(OR(LEFT(B1444,FIND("_",B1444,1)-1)="ULGALLOC",LEFT(B1444,FIND("_",B1444,1)-1)="ULSPOOL"),LEFT(B1444,FIND("_",B1444,1)-1),VLOOKUP(LEFT(A1444,6),'Code Library'!$D$3:$E$200,2,0))&amp;"_"&amp;RIGHT(A1444,3)</f>
        <v>#VALUE!</v>
      </c>
      <c r="I1444" s="66">
        <f t="shared" si="22"/>
        <v>0</v>
      </c>
    </row>
    <row r="1445" spans="8:9">
      <c r="H1445" s="66" t="e">
        <f>IF(OR(LEFT(B1445,FIND("_",B1445,1)-1)="ULGALLOC",LEFT(B1445,FIND("_",B1445,1)-1)="ULSPOOL"),LEFT(B1445,FIND("_",B1445,1)-1),VLOOKUP(LEFT(A1445,6),'Code Library'!$D$3:$E$200,2,0))&amp;"_"&amp;RIGHT(A1445,3)</f>
        <v>#VALUE!</v>
      </c>
      <c r="I1445" s="66">
        <f t="shared" si="22"/>
        <v>0</v>
      </c>
    </row>
    <row r="1446" spans="8:9">
      <c r="H1446" s="66" t="e">
        <f>IF(OR(LEFT(B1446,FIND("_",B1446,1)-1)="ULGALLOC",LEFT(B1446,FIND("_",B1446,1)-1)="ULSPOOL"),LEFT(B1446,FIND("_",B1446,1)-1),VLOOKUP(LEFT(A1446,6),'Code Library'!$D$3:$E$200,2,0))&amp;"_"&amp;RIGHT(A1446,3)</f>
        <v>#VALUE!</v>
      </c>
      <c r="I1446" s="66">
        <f t="shared" si="22"/>
        <v>0</v>
      </c>
    </row>
    <row r="1447" spans="8:9">
      <c r="H1447" s="66" t="e">
        <f>IF(OR(LEFT(B1447,FIND("_",B1447,1)-1)="ULGALLOC",LEFT(B1447,FIND("_",B1447,1)-1)="ULSPOOL"),LEFT(B1447,FIND("_",B1447,1)-1),VLOOKUP(LEFT(A1447,6),'Code Library'!$D$3:$E$200,2,0))&amp;"_"&amp;RIGHT(A1447,3)</f>
        <v>#VALUE!</v>
      </c>
      <c r="I1447" s="66">
        <f t="shared" si="22"/>
        <v>0</v>
      </c>
    </row>
    <row r="1448" spans="8:9">
      <c r="H1448" s="66" t="e">
        <f>IF(OR(LEFT(B1448,FIND("_",B1448,1)-1)="ULGALLOC",LEFT(B1448,FIND("_",B1448,1)-1)="ULSPOOL"),LEFT(B1448,FIND("_",B1448,1)-1),VLOOKUP(LEFT(A1448,6),'Code Library'!$D$3:$E$200,2,0))&amp;"_"&amp;RIGHT(A1448,3)</f>
        <v>#VALUE!</v>
      </c>
      <c r="I1448" s="66">
        <f t="shared" si="22"/>
        <v>0</v>
      </c>
    </row>
    <row r="1449" spans="8:9">
      <c r="H1449" s="66" t="e">
        <f>IF(OR(LEFT(B1449,FIND("_",B1449,1)-1)="ULGALLOC",LEFT(B1449,FIND("_",B1449,1)-1)="ULSPOOL"),LEFT(B1449,FIND("_",B1449,1)-1),VLOOKUP(LEFT(A1449,6),'Code Library'!$D$3:$E$200,2,0))&amp;"_"&amp;RIGHT(A1449,3)</f>
        <v>#VALUE!</v>
      </c>
      <c r="I1449" s="66">
        <f t="shared" si="22"/>
        <v>0</v>
      </c>
    </row>
    <row r="1450" spans="8:9">
      <c r="H1450" s="66" t="e">
        <f>IF(OR(LEFT(B1450,FIND("_",B1450,1)-1)="ULGALLOC",LEFT(B1450,FIND("_",B1450,1)-1)="ULSPOOL"),LEFT(B1450,FIND("_",B1450,1)-1),VLOOKUP(LEFT(A1450,6),'Code Library'!$D$3:$E$200,2,0))&amp;"_"&amp;RIGHT(A1450,3)</f>
        <v>#VALUE!</v>
      </c>
      <c r="I1450" s="66">
        <f t="shared" si="22"/>
        <v>0</v>
      </c>
    </row>
    <row r="1451" spans="8:9">
      <c r="H1451" s="66" t="e">
        <f>IF(OR(LEFT(B1451,FIND("_",B1451,1)-1)="ULGALLOC",LEFT(B1451,FIND("_",B1451,1)-1)="ULSPOOL"),LEFT(B1451,FIND("_",B1451,1)-1),VLOOKUP(LEFT(A1451,6),'Code Library'!$D$3:$E$200,2,0))&amp;"_"&amp;RIGHT(A1451,3)</f>
        <v>#VALUE!</v>
      </c>
      <c r="I1451" s="66">
        <f t="shared" si="22"/>
        <v>0</v>
      </c>
    </row>
    <row r="1452" spans="8:9">
      <c r="H1452" s="66" t="e">
        <f>IF(OR(LEFT(B1452,FIND("_",B1452,1)-1)="ULGALLOC",LEFT(B1452,FIND("_",B1452,1)-1)="ULSPOOL"),LEFT(B1452,FIND("_",B1452,1)-1),VLOOKUP(LEFT(A1452,6),'Code Library'!$D$3:$E$200,2,0))&amp;"_"&amp;RIGHT(A1452,3)</f>
        <v>#VALUE!</v>
      </c>
      <c r="I1452" s="66">
        <f t="shared" si="22"/>
        <v>0</v>
      </c>
    </row>
    <row r="1453" spans="8:9">
      <c r="H1453" s="66" t="e">
        <f>IF(OR(LEFT(B1453,FIND("_",B1453,1)-1)="ULGALLOC",LEFT(B1453,FIND("_",B1453,1)-1)="ULSPOOL"),LEFT(B1453,FIND("_",B1453,1)-1),VLOOKUP(LEFT(A1453,6),'Code Library'!$D$3:$E$200,2,0))&amp;"_"&amp;RIGHT(A1453,3)</f>
        <v>#VALUE!</v>
      </c>
      <c r="I1453" s="66">
        <f t="shared" si="22"/>
        <v>0</v>
      </c>
    </row>
    <row r="1454" spans="8:9">
      <c r="H1454" s="66" t="e">
        <f>IF(OR(LEFT(B1454,FIND("_",B1454,1)-1)="ULGALLOC",LEFT(B1454,FIND("_",B1454,1)-1)="ULSPOOL"),LEFT(B1454,FIND("_",B1454,1)-1),VLOOKUP(LEFT(A1454,6),'Code Library'!$D$3:$E$200,2,0))&amp;"_"&amp;RIGHT(A1454,3)</f>
        <v>#VALUE!</v>
      </c>
      <c r="I1454" s="66">
        <f t="shared" si="22"/>
        <v>0</v>
      </c>
    </row>
    <row r="1455" spans="8:9">
      <c r="H1455" s="66" t="e">
        <f>IF(OR(LEFT(B1455,FIND("_",B1455,1)-1)="ULGALLOC",LEFT(B1455,FIND("_",B1455,1)-1)="ULSPOOL"),LEFT(B1455,FIND("_",B1455,1)-1),VLOOKUP(LEFT(A1455,6),'Code Library'!$D$3:$E$200,2,0))&amp;"_"&amp;RIGHT(A1455,3)</f>
        <v>#VALUE!</v>
      </c>
      <c r="I1455" s="66">
        <f t="shared" si="22"/>
        <v>0</v>
      </c>
    </row>
    <row r="1456" spans="8:9">
      <c r="H1456" s="66" t="e">
        <f>IF(OR(LEFT(B1456,FIND("_",B1456,1)-1)="ULGALLOC",LEFT(B1456,FIND("_",B1456,1)-1)="ULSPOOL"),LEFT(B1456,FIND("_",B1456,1)-1),VLOOKUP(LEFT(A1456,6),'Code Library'!$D$3:$E$200,2,0))&amp;"_"&amp;RIGHT(A1456,3)</f>
        <v>#VALUE!</v>
      </c>
      <c r="I1456" s="66">
        <f t="shared" si="22"/>
        <v>0</v>
      </c>
    </row>
    <row r="1457" spans="8:9">
      <c r="H1457" s="66" t="e">
        <f>IF(OR(LEFT(B1457,FIND("_",B1457,1)-1)="ULGALLOC",LEFT(B1457,FIND("_",B1457,1)-1)="ULSPOOL"),LEFT(B1457,FIND("_",B1457,1)-1),VLOOKUP(LEFT(A1457,6),'Code Library'!$D$3:$E$200,2,0))&amp;"_"&amp;RIGHT(A1457,3)</f>
        <v>#VALUE!</v>
      </c>
      <c r="I1457" s="66">
        <f t="shared" si="22"/>
        <v>0</v>
      </c>
    </row>
    <row r="1458" spans="8:9">
      <c r="H1458" s="66" t="e">
        <f>IF(OR(LEFT(B1458,FIND("_",B1458,1)-1)="ULGALLOC",LEFT(B1458,FIND("_",B1458,1)-1)="ULSPOOL"),LEFT(B1458,FIND("_",B1458,1)-1),VLOOKUP(LEFT(A1458,6),'Code Library'!$D$3:$E$200,2,0))&amp;"_"&amp;RIGHT(A1458,3)</f>
        <v>#VALUE!</v>
      </c>
      <c r="I1458" s="66">
        <f t="shared" si="22"/>
        <v>0</v>
      </c>
    </row>
    <row r="1459" spans="8:9">
      <c r="H1459" s="66" t="e">
        <f>IF(OR(LEFT(B1459,FIND("_",B1459,1)-1)="ULGALLOC",LEFT(B1459,FIND("_",B1459,1)-1)="ULSPOOL"),LEFT(B1459,FIND("_",B1459,1)-1),VLOOKUP(LEFT(A1459,6),'Code Library'!$D$3:$E$200,2,0))&amp;"_"&amp;RIGHT(A1459,3)</f>
        <v>#VALUE!</v>
      </c>
      <c r="I1459" s="66">
        <f t="shared" si="22"/>
        <v>0</v>
      </c>
    </row>
    <row r="1460" spans="8:9">
      <c r="H1460" s="66" t="e">
        <f>IF(OR(LEFT(B1460,FIND("_",B1460,1)-1)="ULGALLOC",LEFT(B1460,FIND("_",B1460,1)-1)="ULSPOOL"),LEFT(B1460,FIND("_",B1460,1)-1),VLOOKUP(LEFT(A1460,6),'Code Library'!$D$3:$E$200,2,0))&amp;"_"&amp;RIGHT(A1460,3)</f>
        <v>#VALUE!</v>
      </c>
      <c r="I1460" s="66">
        <f t="shared" si="22"/>
        <v>0</v>
      </c>
    </row>
    <row r="1461" spans="8:9">
      <c r="H1461" s="66" t="e">
        <f>IF(OR(LEFT(B1461,FIND("_",B1461,1)-1)="ULGALLOC",LEFT(B1461,FIND("_",B1461,1)-1)="ULSPOOL"),LEFT(B1461,FIND("_",B1461,1)-1),VLOOKUP(LEFT(A1461,6),'Code Library'!$D$3:$E$200,2,0))&amp;"_"&amp;RIGHT(A1461,3)</f>
        <v>#VALUE!</v>
      </c>
      <c r="I1461" s="66">
        <f t="shared" si="22"/>
        <v>0</v>
      </c>
    </row>
    <row r="1462" spans="8:9">
      <c r="H1462" s="66" t="e">
        <f>IF(OR(LEFT(B1462,FIND("_",B1462,1)-1)="ULGALLOC",LEFT(B1462,FIND("_",B1462,1)-1)="ULSPOOL"),LEFT(B1462,FIND("_",B1462,1)-1),VLOOKUP(LEFT(A1462,6),'Code Library'!$D$3:$E$200,2,0))&amp;"_"&amp;RIGHT(A1462,3)</f>
        <v>#VALUE!</v>
      </c>
      <c r="I1462" s="66">
        <f t="shared" si="22"/>
        <v>0</v>
      </c>
    </row>
    <row r="1463" spans="8:9">
      <c r="H1463" s="66" t="e">
        <f>IF(OR(LEFT(B1463,FIND("_",B1463,1)-1)="ULGALLOC",LEFT(B1463,FIND("_",B1463,1)-1)="ULSPOOL"),LEFT(B1463,FIND("_",B1463,1)-1),VLOOKUP(LEFT(A1463,6),'Code Library'!$D$3:$E$200,2,0))&amp;"_"&amp;RIGHT(A1463,3)</f>
        <v>#VALUE!</v>
      </c>
      <c r="I1463" s="66">
        <f t="shared" si="22"/>
        <v>0</v>
      </c>
    </row>
    <row r="1464" spans="8:9">
      <c r="H1464" s="66" t="e">
        <f>IF(OR(LEFT(B1464,FIND("_",B1464,1)-1)="ULGALLOC",LEFT(B1464,FIND("_",B1464,1)-1)="ULSPOOL"),LEFT(B1464,FIND("_",B1464,1)-1),VLOOKUP(LEFT(A1464,6),'Code Library'!$D$3:$E$200,2,0))&amp;"_"&amp;RIGHT(A1464,3)</f>
        <v>#VALUE!</v>
      </c>
      <c r="I1464" s="66">
        <f t="shared" si="22"/>
        <v>0</v>
      </c>
    </row>
    <row r="1465" spans="8:9">
      <c r="H1465" s="66" t="e">
        <f>IF(OR(LEFT(B1465,FIND("_",B1465,1)-1)="ULGALLOC",LEFT(B1465,FIND("_",B1465,1)-1)="ULSPOOL"),LEFT(B1465,FIND("_",B1465,1)-1),VLOOKUP(LEFT(A1465,6),'Code Library'!$D$3:$E$200,2,0))&amp;"_"&amp;RIGHT(A1465,3)</f>
        <v>#VALUE!</v>
      </c>
      <c r="I1465" s="66">
        <f t="shared" si="22"/>
        <v>0</v>
      </c>
    </row>
    <row r="1466" spans="8:9">
      <c r="H1466" s="66" t="e">
        <f>IF(OR(LEFT(B1466,FIND("_",B1466,1)-1)="ULGALLOC",LEFT(B1466,FIND("_",B1466,1)-1)="ULSPOOL"),LEFT(B1466,FIND("_",B1466,1)-1),VLOOKUP(LEFT(A1466,6),'Code Library'!$D$3:$E$200,2,0))&amp;"_"&amp;RIGHT(A1466,3)</f>
        <v>#VALUE!</v>
      </c>
      <c r="I1466" s="66">
        <f t="shared" si="22"/>
        <v>0</v>
      </c>
    </row>
    <row r="1467" spans="8:9">
      <c r="H1467" s="66" t="e">
        <f>IF(OR(LEFT(B1467,FIND("_",B1467,1)-1)="ULGALLOC",LEFT(B1467,FIND("_",B1467,1)-1)="ULSPOOL"),LEFT(B1467,FIND("_",B1467,1)-1),VLOOKUP(LEFT(A1467,6),'Code Library'!$D$3:$E$200,2,0))&amp;"_"&amp;RIGHT(A1467,3)</f>
        <v>#VALUE!</v>
      </c>
      <c r="I1467" s="66">
        <f t="shared" si="22"/>
        <v>0</v>
      </c>
    </row>
    <row r="1468" spans="8:9">
      <c r="H1468" s="66" t="e">
        <f>IF(OR(LEFT(B1468,FIND("_",B1468,1)-1)="ULGALLOC",LEFT(B1468,FIND("_",B1468,1)-1)="ULSPOOL"),LEFT(B1468,FIND("_",B1468,1)-1),VLOOKUP(LEFT(A1468,6),'Code Library'!$D$3:$E$200,2,0))&amp;"_"&amp;RIGHT(A1468,3)</f>
        <v>#VALUE!</v>
      </c>
      <c r="I1468" s="66">
        <f t="shared" si="22"/>
        <v>0</v>
      </c>
    </row>
    <row r="1469" spans="8:9">
      <c r="H1469" s="66" t="e">
        <f>IF(OR(LEFT(B1469,FIND("_",B1469,1)-1)="ULGALLOC",LEFT(B1469,FIND("_",B1469,1)-1)="ULSPOOL"),LEFT(B1469,FIND("_",B1469,1)-1),VLOOKUP(LEFT(A1469,6),'Code Library'!$D$3:$E$200,2,0))&amp;"_"&amp;RIGHT(A1469,3)</f>
        <v>#VALUE!</v>
      </c>
      <c r="I1469" s="66">
        <f t="shared" si="22"/>
        <v>0</v>
      </c>
    </row>
    <row r="1470" spans="8:9">
      <c r="H1470" s="66" t="e">
        <f>IF(OR(LEFT(B1470,FIND("_",B1470,1)-1)="ULGALLOC",LEFT(B1470,FIND("_",B1470,1)-1)="ULSPOOL"),LEFT(B1470,FIND("_",B1470,1)-1),VLOOKUP(LEFT(A1470,6),'Code Library'!$D$3:$E$200,2,0))&amp;"_"&amp;RIGHT(A1470,3)</f>
        <v>#VALUE!</v>
      </c>
      <c r="I1470" s="66">
        <f t="shared" si="22"/>
        <v>0</v>
      </c>
    </row>
    <row r="1471" spans="8:9">
      <c r="H1471" s="66" t="e">
        <f>IF(OR(LEFT(B1471,FIND("_",B1471,1)-1)="ULGALLOC",LEFT(B1471,FIND("_",B1471,1)-1)="ULSPOOL"),LEFT(B1471,FIND("_",B1471,1)-1),VLOOKUP(LEFT(A1471,6),'Code Library'!$D$3:$E$200,2,0))&amp;"_"&amp;RIGHT(A1471,3)</f>
        <v>#VALUE!</v>
      </c>
      <c r="I1471" s="66">
        <f t="shared" si="22"/>
        <v>0</v>
      </c>
    </row>
    <row r="1472" spans="8:9">
      <c r="H1472" s="66" t="e">
        <f>IF(OR(LEFT(B1472,FIND("_",B1472,1)-1)="ULGALLOC",LEFT(B1472,FIND("_",B1472,1)-1)="ULSPOOL"),LEFT(B1472,FIND("_",B1472,1)-1),VLOOKUP(LEFT(A1472,6),'Code Library'!$D$3:$E$200,2,0))&amp;"_"&amp;RIGHT(A1472,3)</f>
        <v>#VALUE!</v>
      </c>
      <c r="I1472" s="66">
        <f t="shared" si="22"/>
        <v>0</v>
      </c>
    </row>
    <row r="1473" spans="8:9">
      <c r="H1473" s="66" t="e">
        <f>IF(OR(LEFT(B1473,FIND("_",B1473,1)-1)="ULGALLOC",LEFT(B1473,FIND("_",B1473,1)-1)="ULSPOOL"),LEFT(B1473,FIND("_",B1473,1)-1),VLOOKUP(LEFT(A1473,6),'Code Library'!$D$3:$E$200,2,0))&amp;"_"&amp;RIGHT(A1473,3)</f>
        <v>#VALUE!</v>
      </c>
      <c r="I1473" s="66">
        <f t="shared" si="22"/>
        <v>0</v>
      </c>
    </row>
    <row r="1474" spans="8:9">
      <c r="H1474" s="66" t="e">
        <f>IF(OR(LEFT(B1474,FIND("_",B1474,1)-1)="ULGALLOC",LEFT(B1474,FIND("_",B1474,1)-1)="ULSPOOL"),LEFT(B1474,FIND("_",B1474,1)-1),VLOOKUP(LEFT(A1474,6),'Code Library'!$D$3:$E$200,2,0))&amp;"_"&amp;RIGHT(A1474,3)</f>
        <v>#VALUE!</v>
      </c>
      <c r="I1474" s="66">
        <f t="shared" si="22"/>
        <v>0</v>
      </c>
    </row>
    <row r="1475" spans="8:9">
      <c r="H1475" s="66" t="e">
        <f>IF(OR(LEFT(B1475,FIND("_",B1475,1)-1)="ULGALLOC",LEFT(B1475,FIND("_",B1475,1)-1)="ULSPOOL"),LEFT(B1475,FIND("_",B1475,1)-1),VLOOKUP(LEFT(A1475,6),'Code Library'!$D$3:$E$200,2,0))&amp;"_"&amp;RIGHT(A1475,3)</f>
        <v>#VALUE!</v>
      </c>
      <c r="I1475" s="66">
        <f t="shared" ref="I1475:I1538" si="23">A1475</f>
        <v>0</v>
      </c>
    </row>
    <row r="1476" spans="8:9">
      <c r="H1476" s="66" t="e">
        <f>IF(OR(LEFT(B1476,FIND("_",B1476,1)-1)="ULGALLOC",LEFT(B1476,FIND("_",B1476,1)-1)="ULSPOOL"),LEFT(B1476,FIND("_",B1476,1)-1),VLOOKUP(LEFT(A1476,6),'Code Library'!$D$3:$E$200,2,0))&amp;"_"&amp;RIGHT(A1476,3)</f>
        <v>#VALUE!</v>
      </c>
      <c r="I1476" s="66">
        <f t="shared" si="23"/>
        <v>0</v>
      </c>
    </row>
    <row r="1477" spans="8:9">
      <c r="H1477" s="66" t="e">
        <f>IF(OR(LEFT(B1477,FIND("_",B1477,1)-1)="ULGALLOC",LEFT(B1477,FIND("_",B1477,1)-1)="ULSPOOL"),LEFT(B1477,FIND("_",B1477,1)-1),VLOOKUP(LEFT(A1477,6),'Code Library'!$D$3:$E$200,2,0))&amp;"_"&amp;RIGHT(A1477,3)</f>
        <v>#VALUE!</v>
      </c>
      <c r="I1477" s="66">
        <f t="shared" si="23"/>
        <v>0</v>
      </c>
    </row>
    <row r="1478" spans="8:9">
      <c r="H1478" s="66" t="e">
        <f>IF(OR(LEFT(B1478,FIND("_",B1478,1)-1)="ULGALLOC",LEFT(B1478,FIND("_",B1478,1)-1)="ULSPOOL"),LEFT(B1478,FIND("_",B1478,1)-1),VLOOKUP(LEFT(A1478,6),'Code Library'!$D$3:$E$200,2,0))&amp;"_"&amp;RIGHT(A1478,3)</f>
        <v>#VALUE!</v>
      </c>
      <c r="I1478" s="66">
        <f t="shared" si="23"/>
        <v>0</v>
      </c>
    </row>
    <row r="1479" spans="8:9">
      <c r="H1479" s="66" t="e">
        <f>IF(OR(LEFT(B1479,FIND("_",B1479,1)-1)="ULGALLOC",LEFT(B1479,FIND("_",B1479,1)-1)="ULSPOOL"),LEFT(B1479,FIND("_",B1479,1)-1),VLOOKUP(LEFT(A1479,6),'Code Library'!$D$3:$E$200,2,0))&amp;"_"&amp;RIGHT(A1479,3)</f>
        <v>#VALUE!</v>
      </c>
      <c r="I1479" s="66">
        <f t="shared" si="23"/>
        <v>0</v>
      </c>
    </row>
    <row r="1480" spans="8:9">
      <c r="H1480" s="66" t="e">
        <f>IF(OR(LEFT(B1480,FIND("_",B1480,1)-1)="ULGALLOC",LEFT(B1480,FIND("_",B1480,1)-1)="ULSPOOL"),LEFT(B1480,FIND("_",B1480,1)-1),VLOOKUP(LEFT(A1480,6),'Code Library'!$D$3:$E$200,2,0))&amp;"_"&amp;RIGHT(A1480,3)</f>
        <v>#VALUE!</v>
      </c>
      <c r="I1480" s="66">
        <f t="shared" si="23"/>
        <v>0</v>
      </c>
    </row>
    <row r="1481" spans="8:9">
      <c r="H1481" s="66" t="e">
        <f>IF(OR(LEFT(B1481,FIND("_",B1481,1)-1)="ULGALLOC",LEFT(B1481,FIND("_",B1481,1)-1)="ULSPOOL"),LEFT(B1481,FIND("_",B1481,1)-1),VLOOKUP(LEFT(A1481,6),'Code Library'!$D$3:$E$200,2,0))&amp;"_"&amp;RIGHT(A1481,3)</f>
        <v>#VALUE!</v>
      </c>
      <c r="I1481" s="66">
        <f t="shared" si="23"/>
        <v>0</v>
      </c>
    </row>
    <row r="1482" spans="8:9">
      <c r="H1482" s="66" t="e">
        <f>IF(OR(LEFT(B1482,FIND("_",B1482,1)-1)="ULGALLOC",LEFT(B1482,FIND("_",B1482,1)-1)="ULSPOOL"),LEFT(B1482,FIND("_",B1482,1)-1),VLOOKUP(LEFT(A1482,6),'Code Library'!$D$3:$E$200,2,0))&amp;"_"&amp;RIGHT(A1482,3)</f>
        <v>#VALUE!</v>
      </c>
      <c r="I1482" s="66">
        <f t="shared" si="23"/>
        <v>0</v>
      </c>
    </row>
    <row r="1483" spans="8:9">
      <c r="H1483" s="66" t="e">
        <f>IF(OR(LEFT(B1483,FIND("_",B1483,1)-1)="ULGALLOC",LEFT(B1483,FIND("_",B1483,1)-1)="ULSPOOL"),LEFT(B1483,FIND("_",B1483,1)-1),VLOOKUP(LEFT(A1483,6),'Code Library'!$D$3:$E$200,2,0))&amp;"_"&amp;RIGHT(A1483,3)</f>
        <v>#VALUE!</v>
      </c>
      <c r="I1483" s="66">
        <f t="shared" si="23"/>
        <v>0</v>
      </c>
    </row>
    <row r="1484" spans="8:9">
      <c r="H1484" s="66" t="e">
        <f>IF(OR(LEFT(B1484,FIND("_",B1484,1)-1)="ULGALLOC",LEFT(B1484,FIND("_",B1484,1)-1)="ULSPOOL"),LEFT(B1484,FIND("_",B1484,1)-1),VLOOKUP(LEFT(A1484,6),'Code Library'!$D$3:$E$200,2,0))&amp;"_"&amp;RIGHT(A1484,3)</f>
        <v>#VALUE!</v>
      </c>
      <c r="I1484" s="66">
        <f t="shared" si="23"/>
        <v>0</v>
      </c>
    </row>
    <row r="1485" spans="8:9">
      <c r="H1485" s="66" t="e">
        <f>IF(OR(LEFT(B1485,FIND("_",B1485,1)-1)="ULGALLOC",LEFT(B1485,FIND("_",B1485,1)-1)="ULSPOOL"),LEFT(B1485,FIND("_",B1485,1)-1),VLOOKUP(LEFT(A1485,6),'Code Library'!$D$3:$E$200,2,0))&amp;"_"&amp;RIGHT(A1485,3)</f>
        <v>#VALUE!</v>
      </c>
      <c r="I1485" s="66">
        <f t="shared" si="23"/>
        <v>0</v>
      </c>
    </row>
    <row r="1486" spans="8:9">
      <c r="H1486" s="66" t="e">
        <f>IF(OR(LEFT(B1486,FIND("_",B1486,1)-1)="ULGALLOC",LEFT(B1486,FIND("_",B1486,1)-1)="ULSPOOL"),LEFT(B1486,FIND("_",B1486,1)-1),VLOOKUP(LEFT(A1486,6),'Code Library'!$D$3:$E$200,2,0))&amp;"_"&amp;RIGHT(A1486,3)</f>
        <v>#VALUE!</v>
      </c>
      <c r="I1486" s="66">
        <f t="shared" si="23"/>
        <v>0</v>
      </c>
    </row>
    <row r="1487" spans="8:9">
      <c r="H1487" s="66" t="e">
        <f>IF(OR(LEFT(B1487,FIND("_",B1487,1)-1)="ULGALLOC",LEFT(B1487,FIND("_",B1487,1)-1)="ULSPOOL"),LEFT(B1487,FIND("_",B1487,1)-1),VLOOKUP(LEFT(A1487,6),'Code Library'!$D$3:$E$200,2,0))&amp;"_"&amp;RIGHT(A1487,3)</f>
        <v>#VALUE!</v>
      </c>
      <c r="I1487" s="66">
        <f t="shared" si="23"/>
        <v>0</v>
      </c>
    </row>
    <row r="1488" spans="8:9">
      <c r="H1488" s="66" t="e">
        <f>IF(OR(LEFT(B1488,FIND("_",B1488,1)-1)="ULGALLOC",LEFT(B1488,FIND("_",B1488,1)-1)="ULSPOOL"),LEFT(B1488,FIND("_",B1488,1)-1),VLOOKUP(LEFT(A1488,6),'Code Library'!$D$3:$E$200,2,0))&amp;"_"&amp;RIGHT(A1488,3)</f>
        <v>#VALUE!</v>
      </c>
      <c r="I1488" s="66">
        <f t="shared" si="23"/>
        <v>0</v>
      </c>
    </row>
    <row r="1489" spans="8:9">
      <c r="H1489" s="66" t="e">
        <f>IF(OR(LEFT(B1489,FIND("_",B1489,1)-1)="ULGALLOC",LEFT(B1489,FIND("_",B1489,1)-1)="ULSPOOL"),LEFT(B1489,FIND("_",B1489,1)-1),VLOOKUP(LEFT(A1489,6),'Code Library'!$D$3:$E$200,2,0))&amp;"_"&amp;RIGHT(A1489,3)</f>
        <v>#VALUE!</v>
      </c>
      <c r="I1489" s="66">
        <f t="shared" si="23"/>
        <v>0</v>
      </c>
    </row>
    <row r="1490" spans="8:9">
      <c r="H1490" s="66" t="e">
        <f>IF(OR(LEFT(B1490,FIND("_",B1490,1)-1)="ULGALLOC",LEFT(B1490,FIND("_",B1490,1)-1)="ULSPOOL"),LEFT(B1490,FIND("_",B1490,1)-1),VLOOKUP(LEFT(A1490,6),'Code Library'!$D$3:$E$200,2,0))&amp;"_"&amp;RIGHT(A1490,3)</f>
        <v>#VALUE!</v>
      </c>
      <c r="I1490" s="66">
        <f t="shared" si="23"/>
        <v>0</v>
      </c>
    </row>
    <row r="1491" spans="8:9">
      <c r="H1491" s="66" t="e">
        <f>IF(OR(LEFT(B1491,FIND("_",B1491,1)-1)="ULGALLOC",LEFT(B1491,FIND("_",B1491,1)-1)="ULSPOOL"),LEFT(B1491,FIND("_",B1491,1)-1),VLOOKUP(LEFT(A1491,6),'Code Library'!$D$3:$E$200,2,0))&amp;"_"&amp;RIGHT(A1491,3)</f>
        <v>#VALUE!</v>
      </c>
      <c r="I1491" s="66">
        <f t="shared" si="23"/>
        <v>0</v>
      </c>
    </row>
    <row r="1492" spans="8:9">
      <c r="H1492" s="66" t="e">
        <f>IF(OR(LEFT(B1492,FIND("_",B1492,1)-1)="ULGALLOC",LEFT(B1492,FIND("_",B1492,1)-1)="ULSPOOL"),LEFT(B1492,FIND("_",B1492,1)-1),VLOOKUP(LEFT(A1492,6),'Code Library'!$D$3:$E$200,2,0))&amp;"_"&amp;RIGHT(A1492,3)</f>
        <v>#VALUE!</v>
      </c>
      <c r="I1492" s="66">
        <f t="shared" si="23"/>
        <v>0</v>
      </c>
    </row>
    <row r="1493" spans="8:9">
      <c r="H1493" s="66" t="e">
        <f>IF(OR(LEFT(B1493,FIND("_",B1493,1)-1)="ULGALLOC",LEFT(B1493,FIND("_",B1493,1)-1)="ULSPOOL"),LEFT(B1493,FIND("_",B1493,1)-1),VLOOKUP(LEFT(A1493,6),'Code Library'!$D$3:$E$200,2,0))&amp;"_"&amp;RIGHT(A1493,3)</f>
        <v>#VALUE!</v>
      </c>
      <c r="I1493" s="66">
        <f t="shared" si="23"/>
        <v>0</v>
      </c>
    </row>
    <row r="1494" spans="8:9">
      <c r="H1494" s="66" t="e">
        <f>IF(OR(LEFT(B1494,FIND("_",B1494,1)-1)="ULGALLOC",LEFT(B1494,FIND("_",B1494,1)-1)="ULSPOOL"),LEFT(B1494,FIND("_",B1494,1)-1),VLOOKUP(LEFT(A1494,6),'Code Library'!$D$3:$E$200,2,0))&amp;"_"&amp;RIGHT(A1494,3)</f>
        <v>#VALUE!</v>
      </c>
      <c r="I1494" s="66">
        <f t="shared" si="23"/>
        <v>0</v>
      </c>
    </row>
    <row r="1495" spans="8:9">
      <c r="H1495" s="66" t="e">
        <f>IF(OR(LEFT(B1495,FIND("_",B1495,1)-1)="ULGALLOC",LEFT(B1495,FIND("_",B1495,1)-1)="ULSPOOL"),LEFT(B1495,FIND("_",B1495,1)-1),VLOOKUP(LEFT(A1495,6),'Code Library'!$D$3:$E$200,2,0))&amp;"_"&amp;RIGHT(A1495,3)</f>
        <v>#VALUE!</v>
      </c>
      <c r="I1495" s="66">
        <f t="shared" si="23"/>
        <v>0</v>
      </c>
    </row>
    <row r="1496" spans="8:9">
      <c r="H1496" s="66" t="e">
        <f>IF(OR(LEFT(B1496,FIND("_",B1496,1)-1)="ULGALLOC",LEFT(B1496,FIND("_",B1496,1)-1)="ULSPOOL"),LEFT(B1496,FIND("_",B1496,1)-1),VLOOKUP(LEFT(A1496,6),'Code Library'!$D$3:$E$200,2,0))&amp;"_"&amp;RIGHT(A1496,3)</f>
        <v>#VALUE!</v>
      </c>
      <c r="I1496" s="66">
        <f t="shared" si="23"/>
        <v>0</v>
      </c>
    </row>
    <row r="1497" spans="8:9">
      <c r="H1497" s="66" t="e">
        <f>IF(OR(LEFT(B1497,FIND("_",B1497,1)-1)="ULGALLOC",LEFT(B1497,FIND("_",B1497,1)-1)="ULSPOOL"),LEFT(B1497,FIND("_",B1497,1)-1),VLOOKUP(LEFT(A1497,6),'Code Library'!$D$3:$E$200,2,0))&amp;"_"&amp;RIGHT(A1497,3)</f>
        <v>#VALUE!</v>
      </c>
      <c r="I1497" s="66">
        <f t="shared" si="23"/>
        <v>0</v>
      </c>
    </row>
    <row r="1498" spans="8:9">
      <c r="H1498" s="66" t="e">
        <f>IF(OR(LEFT(B1498,FIND("_",B1498,1)-1)="ULGALLOC",LEFT(B1498,FIND("_",B1498,1)-1)="ULSPOOL"),LEFT(B1498,FIND("_",B1498,1)-1),VLOOKUP(LEFT(A1498,6),'Code Library'!$D$3:$E$200,2,0))&amp;"_"&amp;RIGHT(A1498,3)</f>
        <v>#VALUE!</v>
      </c>
      <c r="I1498" s="66">
        <f t="shared" si="23"/>
        <v>0</v>
      </c>
    </row>
    <row r="1499" spans="8:9">
      <c r="H1499" s="66" t="e">
        <f>IF(OR(LEFT(B1499,FIND("_",B1499,1)-1)="ULGALLOC",LEFT(B1499,FIND("_",B1499,1)-1)="ULSPOOL"),LEFT(B1499,FIND("_",B1499,1)-1),VLOOKUP(LEFT(A1499,6),'Code Library'!$D$3:$E$200,2,0))&amp;"_"&amp;RIGHT(A1499,3)</f>
        <v>#VALUE!</v>
      </c>
      <c r="I1499" s="66">
        <f t="shared" si="23"/>
        <v>0</v>
      </c>
    </row>
    <row r="1500" spans="8:9">
      <c r="H1500" s="66" t="e">
        <f>IF(OR(LEFT(B1500,FIND("_",B1500,1)-1)="ULGALLOC",LEFT(B1500,FIND("_",B1500,1)-1)="ULSPOOL"),LEFT(B1500,FIND("_",B1500,1)-1),VLOOKUP(LEFT(A1500,6),'Code Library'!$D$3:$E$200,2,0))&amp;"_"&amp;RIGHT(A1500,3)</f>
        <v>#VALUE!</v>
      </c>
      <c r="I1500" s="66">
        <f t="shared" si="23"/>
        <v>0</v>
      </c>
    </row>
    <row r="1501" spans="8:9">
      <c r="H1501" s="66" t="e">
        <f>IF(OR(LEFT(B1501,FIND("_",B1501,1)-1)="ULGALLOC",LEFT(B1501,FIND("_",B1501,1)-1)="ULSPOOL"),LEFT(B1501,FIND("_",B1501,1)-1),VLOOKUP(LEFT(A1501,6),'Code Library'!$D$3:$E$200,2,0))&amp;"_"&amp;RIGHT(A1501,3)</f>
        <v>#VALUE!</v>
      </c>
      <c r="I1501" s="66">
        <f t="shared" si="23"/>
        <v>0</v>
      </c>
    </row>
    <row r="1502" spans="8:9">
      <c r="H1502" s="66" t="e">
        <f>IF(OR(LEFT(B1502,FIND("_",B1502,1)-1)="ULGALLOC",LEFT(B1502,FIND("_",B1502,1)-1)="ULSPOOL"),LEFT(B1502,FIND("_",B1502,1)-1),VLOOKUP(LEFT(A1502,6),'Code Library'!$D$3:$E$200,2,0))&amp;"_"&amp;RIGHT(A1502,3)</f>
        <v>#VALUE!</v>
      </c>
      <c r="I1502" s="66">
        <f t="shared" si="23"/>
        <v>0</v>
      </c>
    </row>
    <row r="1503" spans="8:9">
      <c r="H1503" s="66" t="e">
        <f>IF(OR(LEFT(B1503,FIND("_",B1503,1)-1)="ULGALLOC",LEFT(B1503,FIND("_",B1503,1)-1)="ULSPOOL"),LEFT(B1503,FIND("_",B1503,1)-1),VLOOKUP(LEFT(A1503,6),'Code Library'!$D$3:$E$200,2,0))&amp;"_"&amp;RIGHT(A1503,3)</f>
        <v>#VALUE!</v>
      </c>
      <c r="I1503" s="66">
        <f t="shared" si="23"/>
        <v>0</v>
      </c>
    </row>
    <row r="1504" spans="8:9">
      <c r="H1504" s="66" t="e">
        <f>IF(OR(LEFT(B1504,FIND("_",B1504,1)-1)="ULGALLOC",LEFT(B1504,FIND("_",B1504,1)-1)="ULSPOOL"),LEFT(B1504,FIND("_",B1504,1)-1),VLOOKUP(LEFT(A1504,6),'Code Library'!$D$3:$E$200,2,0))&amp;"_"&amp;RIGHT(A1504,3)</f>
        <v>#VALUE!</v>
      </c>
      <c r="I1504" s="66">
        <f t="shared" si="23"/>
        <v>0</v>
      </c>
    </row>
    <row r="1505" spans="8:9">
      <c r="H1505" s="66" t="e">
        <f>IF(OR(LEFT(B1505,FIND("_",B1505,1)-1)="ULGALLOC",LEFT(B1505,FIND("_",B1505,1)-1)="ULSPOOL"),LEFT(B1505,FIND("_",B1505,1)-1),VLOOKUP(LEFT(A1505,6),'Code Library'!$D$3:$E$200,2,0))&amp;"_"&amp;RIGHT(A1505,3)</f>
        <v>#VALUE!</v>
      </c>
      <c r="I1505" s="66">
        <f t="shared" si="23"/>
        <v>0</v>
      </c>
    </row>
    <row r="1506" spans="8:9">
      <c r="H1506" s="66" t="e">
        <f>IF(OR(LEFT(B1506,FIND("_",B1506,1)-1)="ULGALLOC",LEFT(B1506,FIND("_",B1506,1)-1)="ULSPOOL"),LEFT(B1506,FIND("_",B1506,1)-1),VLOOKUP(LEFT(A1506,6),'Code Library'!$D$3:$E$200,2,0))&amp;"_"&amp;RIGHT(A1506,3)</f>
        <v>#VALUE!</v>
      </c>
      <c r="I1506" s="66">
        <f t="shared" si="23"/>
        <v>0</v>
      </c>
    </row>
    <row r="1507" spans="8:9">
      <c r="H1507" s="66" t="e">
        <f>IF(OR(LEFT(B1507,FIND("_",B1507,1)-1)="ULGALLOC",LEFT(B1507,FIND("_",B1507,1)-1)="ULSPOOL"),LEFT(B1507,FIND("_",B1507,1)-1),VLOOKUP(LEFT(A1507,6),'Code Library'!$D$3:$E$200,2,0))&amp;"_"&amp;RIGHT(A1507,3)</f>
        <v>#VALUE!</v>
      </c>
      <c r="I1507" s="66">
        <f t="shared" si="23"/>
        <v>0</v>
      </c>
    </row>
    <row r="1508" spans="8:9">
      <c r="H1508" s="66" t="e">
        <f>IF(OR(LEFT(B1508,FIND("_",B1508,1)-1)="ULGALLOC",LEFT(B1508,FIND("_",B1508,1)-1)="ULSPOOL"),LEFT(B1508,FIND("_",B1508,1)-1),VLOOKUP(LEFT(A1508,6),'Code Library'!$D$3:$E$200,2,0))&amp;"_"&amp;RIGHT(A1508,3)</f>
        <v>#VALUE!</v>
      </c>
      <c r="I1508" s="66">
        <f t="shared" si="23"/>
        <v>0</v>
      </c>
    </row>
    <row r="1509" spans="8:9">
      <c r="H1509" s="66" t="e">
        <f>IF(OR(LEFT(B1509,FIND("_",B1509,1)-1)="ULGALLOC",LEFT(B1509,FIND("_",B1509,1)-1)="ULSPOOL"),LEFT(B1509,FIND("_",B1509,1)-1),VLOOKUP(LEFT(A1509,6),'Code Library'!$D$3:$E$200,2,0))&amp;"_"&amp;RIGHT(A1509,3)</f>
        <v>#VALUE!</v>
      </c>
      <c r="I1509" s="66">
        <f t="shared" si="23"/>
        <v>0</v>
      </c>
    </row>
    <row r="1510" spans="8:9">
      <c r="H1510" s="66" t="e">
        <f>IF(OR(LEFT(B1510,FIND("_",B1510,1)-1)="ULGALLOC",LEFT(B1510,FIND("_",B1510,1)-1)="ULSPOOL"),LEFT(B1510,FIND("_",B1510,1)-1),VLOOKUP(LEFT(A1510,6),'Code Library'!$D$3:$E$200,2,0))&amp;"_"&amp;RIGHT(A1510,3)</f>
        <v>#VALUE!</v>
      </c>
      <c r="I1510" s="66">
        <f t="shared" si="23"/>
        <v>0</v>
      </c>
    </row>
    <row r="1511" spans="8:9">
      <c r="H1511" s="66" t="e">
        <f>IF(OR(LEFT(B1511,FIND("_",B1511,1)-1)="ULGALLOC",LEFT(B1511,FIND("_",B1511,1)-1)="ULSPOOL"),LEFT(B1511,FIND("_",B1511,1)-1),VLOOKUP(LEFT(A1511,6),'Code Library'!$D$3:$E$200,2,0))&amp;"_"&amp;RIGHT(A1511,3)</f>
        <v>#VALUE!</v>
      </c>
      <c r="I1511" s="66">
        <f t="shared" si="23"/>
        <v>0</v>
      </c>
    </row>
    <row r="1512" spans="8:9">
      <c r="H1512" s="66" t="e">
        <f>IF(OR(LEFT(B1512,FIND("_",B1512,1)-1)="ULGALLOC",LEFT(B1512,FIND("_",B1512,1)-1)="ULSPOOL"),LEFT(B1512,FIND("_",B1512,1)-1),VLOOKUP(LEFT(A1512,6),'Code Library'!$D$3:$E$200,2,0))&amp;"_"&amp;RIGHT(A1512,3)</f>
        <v>#VALUE!</v>
      </c>
      <c r="I1512" s="66">
        <f t="shared" si="23"/>
        <v>0</v>
      </c>
    </row>
    <row r="1513" spans="8:9">
      <c r="H1513" s="66" t="e">
        <f>IF(OR(LEFT(B1513,FIND("_",B1513,1)-1)="ULGALLOC",LEFT(B1513,FIND("_",B1513,1)-1)="ULSPOOL"),LEFT(B1513,FIND("_",B1513,1)-1),VLOOKUP(LEFT(A1513,6),'Code Library'!$D$3:$E$200,2,0))&amp;"_"&amp;RIGHT(A1513,3)</f>
        <v>#VALUE!</v>
      </c>
      <c r="I1513" s="66">
        <f t="shared" si="23"/>
        <v>0</v>
      </c>
    </row>
    <row r="1514" spans="8:9">
      <c r="H1514" s="66" t="e">
        <f>IF(OR(LEFT(B1514,FIND("_",B1514,1)-1)="ULGALLOC",LEFT(B1514,FIND("_",B1514,1)-1)="ULSPOOL"),LEFT(B1514,FIND("_",B1514,1)-1),VLOOKUP(LEFT(A1514,6),'Code Library'!$D$3:$E$200,2,0))&amp;"_"&amp;RIGHT(A1514,3)</f>
        <v>#VALUE!</v>
      </c>
      <c r="I1514" s="66">
        <f t="shared" si="23"/>
        <v>0</v>
      </c>
    </row>
    <row r="1515" spans="8:9">
      <c r="H1515" s="66" t="e">
        <f>IF(OR(LEFT(B1515,FIND("_",B1515,1)-1)="ULGALLOC",LEFT(B1515,FIND("_",B1515,1)-1)="ULSPOOL"),LEFT(B1515,FIND("_",B1515,1)-1),VLOOKUP(LEFT(A1515,6),'Code Library'!$D$3:$E$200,2,0))&amp;"_"&amp;RIGHT(A1515,3)</f>
        <v>#VALUE!</v>
      </c>
      <c r="I1515" s="66">
        <f t="shared" si="23"/>
        <v>0</v>
      </c>
    </row>
    <row r="1516" spans="8:9">
      <c r="H1516" s="66" t="e">
        <f>IF(OR(LEFT(B1516,FIND("_",B1516,1)-1)="ULGALLOC",LEFT(B1516,FIND("_",B1516,1)-1)="ULSPOOL"),LEFT(B1516,FIND("_",B1516,1)-1),VLOOKUP(LEFT(A1516,6),'Code Library'!$D$3:$E$200,2,0))&amp;"_"&amp;RIGHT(A1516,3)</f>
        <v>#VALUE!</v>
      </c>
      <c r="I1516" s="66">
        <f t="shared" si="23"/>
        <v>0</v>
      </c>
    </row>
    <row r="1517" spans="8:9">
      <c r="H1517" s="66" t="e">
        <f>IF(OR(LEFT(B1517,FIND("_",B1517,1)-1)="ULGALLOC",LEFT(B1517,FIND("_",B1517,1)-1)="ULSPOOL"),LEFT(B1517,FIND("_",B1517,1)-1),VLOOKUP(LEFT(A1517,6),'Code Library'!$D$3:$E$200,2,0))&amp;"_"&amp;RIGHT(A1517,3)</f>
        <v>#VALUE!</v>
      </c>
      <c r="I1517" s="66">
        <f t="shared" si="23"/>
        <v>0</v>
      </c>
    </row>
    <row r="1518" spans="8:9">
      <c r="H1518" s="66" t="e">
        <f>IF(OR(LEFT(B1518,FIND("_",B1518,1)-1)="ULGALLOC",LEFT(B1518,FIND("_",B1518,1)-1)="ULSPOOL"),LEFT(B1518,FIND("_",B1518,1)-1),VLOOKUP(LEFT(A1518,6),'Code Library'!$D$3:$E$200,2,0))&amp;"_"&amp;RIGHT(A1518,3)</f>
        <v>#VALUE!</v>
      </c>
      <c r="I1518" s="66">
        <f t="shared" si="23"/>
        <v>0</v>
      </c>
    </row>
    <row r="1519" spans="8:9">
      <c r="H1519" s="66" t="e">
        <f>IF(OR(LEFT(B1519,FIND("_",B1519,1)-1)="ULGALLOC",LEFT(B1519,FIND("_",B1519,1)-1)="ULSPOOL"),LEFT(B1519,FIND("_",B1519,1)-1),VLOOKUP(LEFT(A1519,6),'Code Library'!$D$3:$E$200,2,0))&amp;"_"&amp;RIGHT(A1519,3)</f>
        <v>#VALUE!</v>
      </c>
      <c r="I1519" s="66">
        <f t="shared" si="23"/>
        <v>0</v>
      </c>
    </row>
    <row r="1520" spans="8:9">
      <c r="H1520" s="66" t="e">
        <f>IF(OR(LEFT(B1520,FIND("_",B1520,1)-1)="ULGALLOC",LEFT(B1520,FIND("_",B1520,1)-1)="ULSPOOL"),LEFT(B1520,FIND("_",B1520,1)-1),VLOOKUP(LEFT(A1520,6),'Code Library'!$D$3:$E$200,2,0))&amp;"_"&amp;RIGHT(A1520,3)</f>
        <v>#VALUE!</v>
      </c>
      <c r="I1520" s="66">
        <f t="shared" si="23"/>
        <v>0</v>
      </c>
    </row>
    <row r="1521" spans="8:9">
      <c r="H1521" s="66" t="e">
        <f>IF(OR(LEFT(B1521,FIND("_",B1521,1)-1)="ULGALLOC",LEFT(B1521,FIND("_",B1521,1)-1)="ULSPOOL"),LEFT(B1521,FIND("_",B1521,1)-1),VLOOKUP(LEFT(A1521,6),'Code Library'!$D$3:$E$200,2,0))&amp;"_"&amp;RIGHT(A1521,3)</f>
        <v>#VALUE!</v>
      </c>
      <c r="I1521" s="66">
        <f t="shared" si="23"/>
        <v>0</v>
      </c>
    </row>
    <row r="1522" spans="8:9">
      <c r="H1522" s="66" t="e">
        <f>IF(OR(LEFT(B1522,FIND("_",B1522,1)-1)="ULGALLOC",LEFT(B1522,FIND("_",B1522,1)-1)="ULSPOOL"),LEFT(B1522,FIND("_",B1522,1)-1),VLOOKUP(LEFT(A1522,6),'Code Library'!$D$3:$E$200,2,0))&amp;"_"&amp;RIGHT(A1522,3)</f>
        <v>#VALUE!</v>
      </c>
      <c r="I1522" s="66">
        <f t="shared" si="23"/>
        <v>0</v>
      </c>
    </row>
    <row r="1523" spans="8:9">
      <c r="H1523" s="66" t="e">
        <f>IF(OR(LEFT(B1523,FIND("_",B1523,1)-1)="ULGALLOC",LEFT(B1523,FIND("_",B1523,1)-1)="ULSPOOL"),LEFT(B1523,FIND("_",B1523,1)-1),VLOOKUP(LEFT(A1523,6),'Code Library'!$D$3:$E$200,2,0))&amp;"_"&amp;RIGHT(A1523,3)</f>
        <v>#VALUE!</v>
      </c>
      <c r="I1523" s="66">
        <f t="shared" si="23"/>
        <v>0</v>
      </c>
    </row>
    <row r="1524" spans="8:9">
      <c r="H1524" s="66" t="e">
        <f>IF(OR(LEFT(B1524,FIND("_",B1524,1)-1)="ULGALLOC",LEFT(B1524,FIND("_",B1524,1)-1)="ULSPOOL"),LEFT(B1524,FIND("_",B1524,1)-1),VLOOKUP(LEFT(A1524,6),'Code Library'!$D$3:$E$200,2,0))&amp;"_"&amp;RIGHT(A1524,3)</f>
        <v>#VALUE!</v>
      </c>
      <c r="I1524" s="66">
        <f t="shared" si="23"/>
        <v>0</v>
      </c>
    </row>
    <row r="1525" spans="8:9">
      <c r="H1525" s="66" t="e">
        <f>IF(OR(LEFT(B1525,FIND("_",B1525,1)-1)="ULGALLOC",LEFT(B1525,FIND("_",B1525,1)-1)="ULSPOOL"),LEFT(B1525,FIND("_",B1525,1)-1),VLOOKUP(LEFT(A1525,6),'Code Library'!$D$3:$E$200,2,0))&amp;"_"&amp;RIGHT(A1525,3)</f>
        <v>#VALUE!</v>
      </c>
      <c r="I1525" s="66">
        <f t="shared" si="23"/>
        <v>0</v>
      </c>
    </row>
    <row r="1526" spans="8:9">
      <c r="H1526" s="66" t="e">
        <f>IF(OR(LEFT(B1526,FIND("_",B1526,1)-1)="ULGALLOC",LEFT(B1526,FIND("_",B1526,1)-1)="ULSPOOL"),LEFT(B1526,FIND("_",B1526,1)-1),VLOOKUP(LEFT(A1526,6),'Code Library'!$D$3:$E$200,2,0))&amp;"_"&amp;RIGHT(A1526,3)</f>
        <v>#VALUE!</v>
      </c>
      <c r="I1526" s="66">
        <f t="shared" si="23"/>
        <v>0</v>
      </c>
    </row>
    <row r="1527" spans="8:9">
      <c r="H1527" s="66" t="e">
        <f>IF(OR(LEFT(B1527,FIND("_",B1527,1)-1)="ULGALLOC",LEFT(B1527,FIND("_",B1527,1)-1)="ULSPOOL"),LEFT(B1527,FIND("_",B1527,1)-1),VLOOKUP(LEFT(A1527,6),'Code Library'!$D$3:$E$200,2,0))&amp;"_"&amp;RIGHT(A1527,3)</f>
        <v>#VALUE!</v>
      </c>
      <c r="I1527" s="66">
        <f t="shared" si="23"/>
        <v>0</v>
      </c>
    </row>
    <row r="1528" spans="8:9">
      <c r="H1528" s="66" t="e">
        <f>IF(OR(LEFT(B1528,FIND("_",B1528,1)-1)="ULGALLOC",LEFT(B1528,FIND("_",B1528,1)-1)="ULSPOOL"),LEFT(B1528,FIND("_",B1528,1)-1),VLOOKUP(LEFT(A1528,6),'Code Library'!$D$3:$E$200,2,0))&amp;"_"&amp;RIGHT(A1528,3)</f>
        <v>#VALUE!</v>
      </c>
      <c r="I1528" s="66">
        <f t="shared" si="23"/>
        <v>0</v>
      </c>
    </row>
    <row r="1529" spans="8:9">
      <c r="H1529" s="66" t="e">
        <f>IF(OR(LEFT(B1529,FIND("_",B1529,1)-1)="ULGALLOC",LEFT(B1529,FIND("_",B1529,1)-1)="ULSPOOL"),LEFT(B1529,FIND("_",B1529,1)-1),VLOOKUP(LEFT(A1529,6),'Code Library'!$D$3:$E$200,2,0))&amp;"_"&amp;RIGHT(A1529,3)</f>
        <v>#VALUE!</v>
      </c>
      <c r="I1529" s="66">
        <f t="shared" si="23"/>
        <v>0</v>
      </c>
    </row>
    <row r="1530" spans="8:9">
      <c r="H1530" s="66" t="e">
        <f>IF(OR(LEFT(B1530,FIND("_",B1530,1)-1)="ULGALLOC",LEFT(B1530,FIND("_",B1530,1)-1)="ULSPOOL"),LEFT(B1530,FIND("_",B1530,1)-1),VLOOKUP(LEFT(A1530,6),'Code Library'!$D$3:$E$200,2,0))&amp;"_"&amp;RIGHT(A1530,3)</f>
        <v>#VALUE!</v>
      </c>
      <c r="I1530" s="66">
        <f t="shared" si="23"/>
        <v>0</v>
      </c>
    </row>
    <row r="1531" spans="8:9">
      <c r="H1531" s="66" t="e">
        <f>IF(OR(LEFT(B1531,FIND("_",B1531,1)-1)="ULGALLOC",LEFT(B1531,FIND("_",B1531,1)-1)="ULSPOOL"),LEFT(B1531,FIND("_",B1531,1)-1),VLOOKUP(LEFT(A1531,6),'Code Library'!$D$3:$E$200,2,0))&amp;"_"&amp;RIGHT(A1531,3)</f>
        <v>#VALUE!</v>
      </c>
      <c r="I1531" s="66">
        <f t="shared" si="23"/>
        <v>0</v>
      </c>
    </row>
    <row r="1532" spans="8:9">
      <c r="H1532" s="66" t="e">
        <f>IF(OR(LEFT(B1532,FIND("_",B1532,1)-1)="ULGALLOC",LEFT(B1532,FIND("_",B1532,1)-1)="ULSPOOL"),LEFT(B1532,FIND("_",B1532,1)-1),VLOOKUP(LEFT(A1532,6),'Code Library'!$D$3:$E$200,2,0))&amp;"_"&amp;RIGHT(A1532,3)</f>
        <v>#VALUE!</v>
      </c>
      <c r="I1532" s="66">
        <f t="shared" si="23"/>
        <v>0</v>
      </c>
    </row>
    <row r="1533" spans="8:9">
      <c r="H1533" s="66" t="e">
        <f>IF(OR(LEFT(B1533,FIND("_",B1533,1)-1)="ULGALLOC",LEFT(B1533,FIND("_",B1533,1)-1)="ULSPOOL"),LEFT(B1533,FIND("_",B1533,1)-1),VLOOKUP(LEFT(A1533,6),'Code Library'!$D$3:$E$200,2,0))&amp;"_"&amp;RIGHT(A1533,3)</f>
        <v>#VALUE!</v>
      </c>
      <c r="I1533" s="66">
        <f t="shared" si="23"/>
        <v>0</v>
      </c>
    </row>
    <row r="1534" spans="8:9">
      <c r="H1534" s="66" t="e">
        <f>IF(OR(LEFT(B1534,FIND("_",B1534,1)-1)="ULGALLOC",LEFT(B1534,FIND("_",B1534,1)-1)="ULSPOOL"),LEFT(B1534,FIND("_",B1534,1)-1),VLOOKUP(LEFT(A1534,6),'Code Library'!$D$3:$E$200,2,0))&amp;"_"&amp;RIGHT(A1534,3)</f>
        <v>#VALUE!</v>
      </c>
      <c r="I1534" s="66">
        <f t="shared" si="23"/>
        <v>0</v>
      </c>
    </row>
    <row r="1535" spans="8:9">
      <c r="H1535" s="66" t="e">
        <f>IF(OR(LEFT(B1535,FIND("_",B1535,1)-1)="ULGALLOC",LEFT(B1535,FIND("_",B1535,1)-1)="ULSPOOL"),LEFT(B1535,FIND("_",B1535,1)-1),VLOOKUP(LEFT(A1535,6),'Code Library'!$D$3:$E$200,2,0))&amp;"_"&amp;RIGHT(A1535,3)</f>
        <v>#VALUE!</v>
      </c>
      <c r="I1535" s="66">
        <f t="shared" si="23"/>
        <v>0</v>
      </c>
    </row>
    <row r="1536" spans="8:9">
      <c r="H1536" s="66" t="e">
        <f>IF(OR(LEFT(B1536,FIND("_",B1536,1)-1)="ULGALLOC",LEFT(B1536,FIND("_",B1536,1)-1)="ULSPOOL"),LEFT(B1536,FIND("_",B1536,1)-1),VLOOKUP(LEFT(A1536,6),'Code Library'!$D$3:$E$200,2,0))&amp;"_"&amp;RIGHT(A1536,3)</f>
        <v>#VALUE!</v>
      </c>
      <c r="I1536" s="66">
        <f t="shared" si="23"/>
        <v>0</v>
      </c>
    </row>
    <row r="1537" spans="8:9">
      <c r="H1537" s="66" t="e">
        <f>IF(OR(LEFT(B1537,FIND("_",B1537,1)-1)="ULGALLOC",LEFT(B1537,FIND("_",B1537,1)-1)="ULSPOOL"),LEFT(B1537,FIND("_",B1537,1)-1),VLOOKUP(LEFT(A1537,6),'Code Library'!$D$3:$E$200,2,0))&amp;"_"&amp;RIGHT(A1537,3)</f>
        <v>#VALUE!</v>
      </c>
      <c r="I1537" s="66">
        <f t="shared" si="23"/>
        <v>0</v>
      </c>
    </row>
    <row r="1538" spans="8:9">
      <c r="H1538" s="66" t="e">
        <f>IF(OR(LEFT(B1538,FIND("_",B1538,1)-1)="ULGALLOC",LEFT(B1538,FIND("_",B1538,1)-1)="ULSPOOL"),LEFT(B1538,FIND("_",B1538,1)-1),VLOOKUP(LEFT(A1538,6),'Code Library'!$D$3:$E$200,2,0))&amp;"_"&amp;RIGHT(A1538,3)</f>
        <v>#VALUE!</v>
      </c>
      <c r="I1538" s="66">
        <f t="shared" si="23"/>
        <v>0</v>
      </c>
    </row>
    <row r="1539" spans="8:9">
      <c r="H1539" s="66" t="e">
        <f>IF(OR(LEFT(B1539,FIND("_",B1539,1)-1)="ULGALLOC",LEFT(B1539,FIND("_",B1539,1)-1)="ULSPOOL"),LEFT(B1539,FIND("_",B1539,1)-1),VLOOKUP(LEFT(A1539,6),'Code Library'!$D$3:$E$200,2,0))&amp;"_"&amp;RIGHT(A1539,3)</f>
        <v>#VALUE!</v>
      </c>
      <c r="I1539" s="66">
        <f t="shared" ref="I1539:I1602" si="24">A1539</f>
        <v>0</v>
      </c>
    </row>
    <row r="1540" spans="8:9">
      <c r="H1540" s="66" t="e">
        <f>IF(OR(LEFT(B1540,FIND("_",B1540,1)-1)="ULGALLOC",LEFT(B1540,FIND("_",B1540,1)-1)="ULSPOOL"),LEFT(B1540,FIND("_",B1540,1)-1),VLOOKUP(LEFT(A1540,6),'Code Library'!$D$3:$E$200,2,0))&amp;"_"&amp;RIGHT(A1540,3)</f>
        <v>#VALUE!</v>
      </c>
      <c r="I1540" s="66">
        <f t="shared" si="24"/>
        <v>0</v>
      </c>
    </row>
    <row r="1541" spans="8:9">
      <c r="H1541" s="66" t="e">
        <f>IF(OR(LEFT(B1541,FIND("_",B1541,1)-1)="ULGALLOC",LEFT(B1541,FIND("_",B1541,1)-1)="ULSPOOL"),LEFT(B1541,FIND("_",B1541,1)-1),VLOOKUP(LEFT(A1541,6),'Code Library'!$D$3:$E$200,2,0))&amp;"_"&amp;RIGHT(A1541,3)</f>
        <v>#VALUE!</v>
      </c>
      <c r="I1541" s="66">
        <f t="shared" si="24"/>
        <v>0</v>
      </c>
    </row>
    <row r="1542" spans="8:9">
      <c r="H1542" s="66" t="e">
        <f>IF(OR(LEFT(B1542,FIND("_",B1542,1)-1)="ULGALLOC",LEFT(B1542,FIND("_",B1542,1)-1)="ULSPOOL"),LEFT(B1542,FIND("_",B1542,1)-1),VLOOKUP(LEFT(A1542,6),'Code Library'!$D$3:$E$200,2,0))&amp;"_"&amp;RIGHT(A1542,3)</f>
        <v>#VALUE!</v>
      </c>
      <c r="I1542" s="66">
        <f t="shared" si="24"/>
        <v>0</v>
      </c>
    </row>
    <row r="1543" spans="8:9">
      <c r="H1543" s="66" t="e">
        <f>IF(OR(LEFT(B1543,FIND("_",B1543,1)-1)="ULGALLOC",LEFT(B1543,FIND("_",B1543,1)-1)="ULSPOOL"),LEFT(B1543,FIND("_",B1543,1)-1),VLOOKUP(LEFT(A1543,6),'Code Library'!$D$3:$E$200,2,0))&amp;"_"&amp;RIGHT(A1543,3)</f>
        <v>#VALUE!</v>
      </c>
      <c r="I1543" s="66">
        <f t="shared" si="24"/>
        <v>0</v>
      </c>
    </row>
    <row r="1544" spans="8:9">
      <c r="H1544" s="66" t="e">
        <f>IF(OR(LEFT(B1544,FIND("_",B1544,1)-1)="ULGALLOC",LEFT(B1544,FIND("_",B1544,1)-1)="ULSPOOL"),LEFT(B1544,FIND("_",B1544,1)-1),VLOOKUP(LEFT(A1544,6),'Code Library'!$D$3:$E$200,2,0))&amp;"_"&amp;RIGHT(A1544,3)</f>
        <v>#VALUE!</v>
      </c>
      <c r="I1544" s="66">
        <f t="shared" si="24"/>
        <v>0</v>
      </c>
    </row>
    <row r="1545" spans="8:9">
      <c r="H1545" s="66" t="e">
        <f>IF(OR(LEFT(B1545,FIND("_",B1545,1)-1)="ULGALLOC",LEFT(B1545,FIND("_",B1545,1)-1)="ULSPOOL"),LEFT(B1545,FIND("_",B1545,1)-1),VLOOKUP(LEFT(A1545,6),'Code Library'!$D$3:$E$200,2,0))&amp;"_"&amp;RIGHT(A1545,3)</f>
        <v>#VALUE!</v>
      </c>
      <c r="I1545" s="66">
        <f t="shared" si="24"/>
        <v>0</v>
      </c>
    </row>
    <row r="1546" spans="8:9">
      <c r="H1546" s="66" t="e">
        <f>IF(OR(LEFT(B1546,FIND("_",B1546,1)-1)="ULGALLOC",LEFT(B1546,FIND("_",B1546,1)-1)="ULSPOOL"),LEFT(B1546,FIND("_",B1546,1)-1),VLOOKUP(LEFT(A1546,6),'Code Library'!$D$3:$E$200,2,0))&amp;"_"&amp;RIGHT(A1546,3)</f>
        <v>#VALUE!</v>
      </c>
      <c r="I1546" s="66">
        <f t="shared" si="24"/>
        <v>0</v>
      </c>
    </row>
    <row r="1547" spans="8:9">
      <c r="H1547" s="66" t="e">
        <f>IF(OR(LEFT(B1547,FIND("_",B1547,1)-1)="ULGALLOC",LEFT(B1547,FIND("_",B1547,1)-1)="ULSPOOL"),LEFT(B1547,FIND("_",B1547,1)-1),VLOOKUP(LEFT(A1547,6),'Code Library'!$D$3:$E$200,2,0))&amp;"_"&amp;RIGHT(A1547,3)</f>
        <v>#VALUE!</v>
      </c>
      <c r="I1547" s="66">
        <f t="shared" si="24"/>
        <v>0</v>
      </c>
    </row>
    <row r="1548" spans="8:9">
      <c r="H1548" s="66" t="e">
        <f>IF(OR(LEFT(B1548,FIND("_",B1548,1)-1)="ULGALLOC",LEFT(B1548,FIND("_",B1548,1)-1)="ULSPOOL"),LEFT(B1548,FIND("_",B1548,1)-1),VLOOKUP(LEFT(A1548,6),'Code Library'!$D$3:$E$200,2,0))&amp;"_"&amp;RIGHT(A1548,3)</f>
        <v>#VALUE!</v>
      </c>
      <c r="I1548" s="66">
        <f t="shared" si="24"/>
        <v>0</v>
      </c>
    </row>
    <row r="1549" spans="8:9">
      <c r="H1549" s="66" t="e">
        <f>IF(OR(LEFT(B1549,FIND("_",B1549,1)-1)="ULGALLOC",LEFT(B1549,FIND("_",B1549,1)-1)="ULSPOOL"),LEFT(B1549,FIND("_",B1549,1)-1),VLOOKUP(LEFT(A1549,6),'Code Library'!$D$3:$E$200,2,0))&amp;"_"&amp;RIGHT(A1549,3)</f>
        <v>#VALUE!</v>
      </c>
      <c r="I1549" s="66">
        <f t="shared" si="24"/>
        <v>0</v>
      </c>
    </row>
    <row r="1550" spans="8:9">
      <c r="H1550" s="66" t="e">
        <f>IF(OR(LEFT(B1550,FIND("_",B1550,1)-1)="ULGALLOC",LEFT(B1550,FIND("_",B1550,1)-1)="ULSPOOL"),LEFT(B1550,FIND("_",B1550,1)-1),VLOOKUP(LEFT(A1550,6),'Code Library'!$D$3:$E$200,2,0))&amp;"_"&amp;RIGHT(A1550,3)</f>
        <v>#VALUE!</v>
      </c>
      <c r="I1550" s="66">
        <f t="shared" si="24"/>
        <v>0</v>
      </c>
    </row>
    <row r="1551" spans="8:9">
      <c r="H1551" s="66" t="e">
        <f>IF(OR(LEFT(B1551,FIND("_",B1551,1)-1)="ULGALLOC",LEFT(B1551,FIND("_",B1551,1)-1)="ULSPOOL"),LEFT(B1551,FIND("_",B1551,1)-1),VLOOKUP(LEFT(A1551,6),'Code Library'!$D$3:$E$200,2,0))&amp;"_"&amp;RIGHT(A1551,3)</f>
        <v>#VALUE!</v>
      </c>
      <c r="I1551" s="66">
        <f t="shared" si="24"/>
        <v>0</v>
      </c>
    </row>
    <row r="1552" spans="8:9">
      <c r="H1552" s="66" t="e">
        <f>IF(OR(LEFT(B1552,FIND("_",B1552,1)-1)="ULGALLOC",LEFT(B1552,FIND("_",B1552,1)-1)="ULSPOOL"),LEFT(B1552,FIND("_",B1552,1)-1),VLOOKUP(LEFT(A1552,6),'Code Library'!$D$3:$E$200,2,0))&amp;"_"&amp;RIGHT(A1552,3)</f>
        <v>#VALUE!</v>
      </c>
      <c r="I1552" s="66">
        <f t="shared" si="24"/>
        <v>0</v>
      </c>
    </row>
    <row r="1553" spans="8:9">
      <c r="H1553" s="66" t="e">
        <f>IF(OR(LEFT(B1553,FIND("_",B1553,1)-1)="ULGALLOC",LEFT(B1553,FIND("_",B1553,1)-1)="ULSPOOL"),LEFT(B1553,FIND("_",B1553,1)-1),VLOOKUP(LEFT(A1553,6),'Code Library'!$D$3:$E$200,2,0))&amp;"_"&amp;RIGHT(A1553,3)</f>
        <v>#VALUE!</v>
      </c>
      <c r="I1553" s="66">
        <f t="shared" si="24"/>
        <v>0</v>
      </c>
    </row>
    <row r="1554" spans="8:9">
      <c r="H1554" s="66" t="e">
        <f>IF(OR(LEFT(B1554,FIND("_",B1554,1)-1)="ULGALLOC",LEFT(B1554,FIND("_",B1554,1)-1)="ULSPOOL"),LEFT(B1554,FIND("_",B1554,1)-1),VLOOKUP(LEFT(A1554,6),'Code Library'!$D$3:$E$200,2,0))&amp;"_"&amp;RIGHT(A1554,3)</f>
        <v>#VALUE!</v>
      </c>
      <c r="I1554" s="66">
        <f t="shared" si="24"/>
        <v>0</v>
      </c>
    </row>
    <row r="1555" spans="8:9">
      <c r="H1555" s="66" t="e">
        <f>IF(OR(LEFT(B1555,FIND("_",B1555,1)-1)="ULGALLOC",LEFT(B1555,FIND("_",B1555,1)-1)="ULSPOOL"),LEFT(B1555,FIND("_",B1555,1)-1),VLOOKUP(LEFT(A1555,6),'Code Library'!$D$3:$E$200,2,0))&amp;"_"&amp;RIGHT(A1555,3)</f>
        <v>#VALUE!</v>
      </c>
      <c r="I1555" s="66">
        <f t="shared" si="24"/>
        <v>0</v>
      </c>
    </row>
    <row r="1556" spans="8:9">
      <c r="H1556" s="66" t="e">
        <f>IF(OR(LEFT(B1556,FIND("_",B1556,1)-1)="ULGALLOC",LEFT(B1556,FIND("_",B1556,1)-1)="ULSPOOL"),LEFT(B1556,FIND("_",B1556,1)-1),VLOOKUP(LEFT(A1556,6),'Code Library'!$D$3:$E$200,2,0))&amp;"_"&amp;RIGHT(A1556,3)</f>
        <v>#VALUE!</v>
      </c>
      <c r="I1556" s="66">
        <f t="shared" si="24"/>
        <v>0</v>
      </c>
    </row>
    <row r="1557" spans="8:9">
      <c r="H1557" s="66" t="e">
        <f>IF(OR(LEFT(B1557,FIND("_",B1557,1)-1)="ULGALLOC",LEFT(B1557,FIND("_",B1557,1)-1)="ULSPOOL"),LEFT(B1557,FIND("_",B1557,1)-1),VLOOKUP(LEFT(A1557,6),'Code Library'!$D$3:$E$200,2,0))&amp;"_"&amp;RIGHT(A1557,3)</f>
        <v>#VALUE!</v>
      </c>
      <c r="I1557" s="66">
        <f t="shared" si="24"/>
        <v>0</v>
      </c>
    </row>
    <row r="1558" spans="8:9">
      <c r="H1558" s="66" t="e">
        <f>IF(OR(LEFT(B1558,FIND("_",B1558,1)-1)="ULGALLOC",LEFT(B1558,FIND("_",B1558,1)-1)="ULSPOOL"),LEFT(B1558,FIND("_",B1558,1)-1),VLOOKUP(LEFT(A1558,6),'Code Library'!$D$3:$E$200,2,0))&amp;"_"&amp;RIGHT(A1558,3)</f>
        <v>#VALUE!</v>
      </c>
      <c r="I1558" s="66">
        <f t="shared" si="24"/>
        <v>0</v>
      </c>
    </row>
    <row r="1559" spans="8:9">
      <c r="H1559" s="66" t="e">
        <f>IF(OR(LEFT(B1559,FIND("_",B1559,1)-1)="ULGALLOC",LEFT(B1559,FIND("_",B1559,1)-1)="ULSPOOL"),LEFT(B1559,FIND("_",B1559,1)-1),VLOOKUP(LEFT(A1559,6),'Code Library'!$D$3:$E$200,2,0))&amp;"_"&amp;RIGHT(A1559,3)</f>
        <v>#VALUE!</v>
      </c>
      <c r="I1559" s="66">
        <f t="shared" si="24"/>
        <v>0</v>
      </c>
    </row>
    <row r="1560" spans="8:9">
      <c r="H1560" s="66" t="e">
        <f>IF(OR(LEFT(B1560,FIND("_",B1560,1)-1)="ULGALLOC",LEFT(B1560,FIND("_",B1560,1)-1)="ULSPOOL"),LEFT(B1560,FIND("_",B1560,1)-1),VLOOKUP(LEFT(A1560,6),'Code Library'!$D$3:$E$200,2,0))&amp;"_"&amp;RIGHT(A1560,3)</f>
        <v>#VALUE!</v>
      </c>
      <c r="I1560" s="66">
        <f t="shared" si="24"/>
        <v>0</v>
      </c>
    </row>
    <row r="1561" spans="8:9">
      <c r="H1561" s="66" t="e">
        <f>IF(OR(LEFT(B1561,FIND("_",B1561,1)-1)="ULGALLOC",LEFT(B1561,FIND("_",B1561,1)-1)="ULSPOOL"),LEFT(B1561,FIND("_",B1561,1)-1),VLOOKUP(LEFT(A1561,6),'Code Library'!$D$3:$E$200,2,0))&amp;"_"&amp;RIGHT(A1561,3)</f>
        <v>#VALUE!</v>
      </c>
      <c r="I1561" s="66">
        <f t="shared" si="24"/>
        <v>0</v>
      </c>
    </row>
    <row r="1562" spans="8:9">
      <c r="H1562" s="66" t="e">
        <f>IF(OR(LEFT(B1562,FIND("_",B1562,1)-1)="ULGALLOC",LEFT(B1562,FIND("_",B1562,1)-1)="ULSPOOL"),LEFT(B1562,FIND("_",B1562,1)-1),VLOOKUP(LEFT(A1562,6),'Code Library'!$D$3:$E$200,2,0))&amp;"_"&amp;RIGHT(A1562,3)</f>
        <v>#VALUE!</v>
      </c>
      <c r="I1562" s="66">
        <f t="shared" si="24"/>
        <v>0</v>
      </c>
    </row>
    <row r="1563" spans="8:9">
      <c r="H1563" s="66" t="e">
        <f>IF(OR(LEFT(B1563,FIND("_",B1563,1)-1)="ULGALLOC",LEFT(B1563,FIND("_",B1563,1)-1)="ULSPOOL"),LEFT(B1563,FIND("_",B1563,1)-1),VLOOKUP(LEFT(A1563,6),'Code Library'!$D$3:$E$200,2,0))&amp;"_"&amp;RIGHT(A1563,3)</f>
        <v>#VALUE!</v>
      </c>
      <c r="I1563" s="66">
        <f t="shared" si="24"/>
        <v>0</v>
      </c>
    </row>
    <row r="1564" spans="8:9">
      <c r="H1564" s="66" t="e">
        <f>IF(OR(LEFT(B1564,FIND("_",B1564,1)-1)="ULGALLOC",LEFT(B1564,FIND("_",B1564,1)-1)="ULSPOOL"),LEFT(B1564,FIND("_",B1564,1)-1),VLOOKUP(LEFT(A1564,6),'Code Library'!$D$3:$E$200,2,0))&amp;"_"&amp;RIGHT(A1564,3)</f>
        <v>#VALUE!</v>
      </c>
      <c r="I1564" s="66">
        <f t="shared" si="24"/>
        <v>0</v>
      </c>
    </row>
    <row r="1565" spans="8:9">
      <c r="H1565" s="66" t="e">
        <f>IF(OR(LEFT(B1565,FIND("_",B1565,1)-1)="ULGALLOC",LEFT(B1565,FIND("_",B1565,1)-1)="ULSPOOL"),LEFT(B1565,FIND("_",B1565,1)-1),VLOOKUP(LEFT(A1565,6),'Code Library'!$D$3:$E$200,2,0))&amp;"_"&amp;RIGHT(A1565,3)</f>
        <v>#VALUE!</v>
      </c>
      <c r="I1565" s="66">
        <f t="shared" si="24"/>
        <v>0</v>
      </c>
    </row>
    <row r="1566" spans="8:9">
      <c r="H1566" s="66" t="e">
        <f>IF(OR(LEFT(B1566,FIND("_",B1566,1)-1)="ULGALLOC",LEFT(B1566,FIND("_",B1566,1)-1)="ULSPOOL"),LEFT(B1566,FIND("_",B1566,1)-1),VLOOKUP(LEFT(A1566,6),'Code Library'!$D$3:$E$200,2,0))&amp;"_"&amp;RIGHT(A1566,3)</f>
        <v>#VALUE!</v>
      </c>
      <c r="I1566" s="66">
        <f t="shared" si="24"/>
        <v>0</v>
      </c>
    </row>
    <row r="1567" spans="8:9">
      <c r="H1567" s="66" t="e">
        <f>IF(OR(LEFT(B1567,FIND("_",B1567,1)-1)="ULGALLOC",LEFT(B1567,FIND("_",B1567,1)-1)="ULSPOOL"),LEFT(B1567,FIND("_",B1567,1)-1),VLOOKUP(LEFT(A1567,6),'Code Library'!$D$3:$E$200,2,0))&amp;"_"&amp;RIGHT(A1567,3)</f>
        <v>#VALUE!</v>
      </c>
      <c r="I1567" s="66">
        <f t="shared" si="24"/>
        <v>0</v>
      </c>
    </row>
    <row r="1568" spans="8:9">
      <c r="H1568" s="66" t="e">
        <f>IF(OR(LEFT(B1568,FIND("_",B1568,1)-1)="ULGALLOC",LEFT(B1568,FIND("_",B1568,1)-1)="ULSPOOL"),LEFT(B1568,FIND("_",B1568,1)-1),VLOOKUP(LEFT(A1568,6),'Code Library'!$D$3:$E$200,2,0))&amp;"_"&amp;RIGHT(A1568,3)</f>
        <v>#VALUE!</v>
      </c>
      <c r="I1568" s="66">
        <f t="shared" si="24"/>
        <v>0</v>
      </c>
    </row>
    <row r="1569" spans="8:9">
      <c r="H1569" s="66" t="e">
        <f>IF(OR(LEFT(B1569,FIND("_",B1569,1)-1)="ULGALLOC",LEFT(B1569,FIND("_",B1569,1)-1)="ULSPOOL"),LEFT(B1569,FIND("_",B1569,1)-1),VLOOKUP(LEFT(A1569,6),'Code Library'!$D$3:$E$200,2,0))&amp;"_"&amp;RIGHT(A1569,3)</f>
        <v>#VALUE!</v>
      </c>
      <c r="I1569" s="66">
        <f t="shared" si="24"/>
        <v>0</v>
      </c>
    </row>
    <row r="1570" spans="8:9">
      <c r="H1570" s="66" t="e">
        <f>IF(OR(LEFT(B1570,FIND("_",B1570,1)-1)="ULGALLOC",LEFT(B1570,FIND("_",B1570,1)-1)="ULSPOOL"),LEFT(B1570,FIND("_",B1570,1)-1),VLOOKUP(LEFT(A1570,6),'Code Library'!$D$3:$E$200,2,0))&amp;"_"&amp;RIGHT(A1570,3)</f>
        <v>#VALUE!</v>
      </c>
      <c r="I1570" s="66">
        <f t="shared" si="24"/>
        <v>0</v>
      </c>
    </row>
    <row r="1571" spans="8:9">
      <c r="H1571" s="66" t="e">
        <f>IF(OR(LEFT(B1571,FIND("_",B1571,1)-1)="ULGALLOC",LEFT(B1571,FIND("_",B1571,1)-1)="ULSPOOL"),LEFT(B1571,FIND("_",B1571,1)-1),VLOOKUP(LEFT(A1571,6),'Code Library'!$D$3:$E$200,2,0))&amp;"_"&amp;RIGHT(A1571,3)</f>
        <v>#VALUE!</v>
      </c>
      <c r="I1571" s="66">
        <f t="shared" si="24"/>
        <v>0</v>
      </c>
    </row>
    <row r="1572" spans="8:9">
      <c r="H1572" s="66" t="e">
        <f>IF(OR(LEFT(B1572,FIND("_",B1572,1)-1)="ULGALLOC",LEFT(B1572,FIND("_",B1572,1)-1)="ULSPOOL"),LEFT(B1572,FIND("_",B1572,1)-1),VLOOKUP(LEFT(A1572,6),'Code Library'!$D$3:$E$200,2,0))&amp;"_"&amp;RIGHT(A1572,3)</f>
        <v>#VALUE!</v>
      </c>
      <c r="I1572" s="66">
        <f t="shared" si="24"/>
        <v>0</v>
      </c>
    </row>
    <row r="1573" spans="8:9">
      <c r="H1573" s="66" t="e">
        <f>IF(OR(LEFT(B1573,FIND("_",B1573,1)-1)="ULGALLOC",LEFT(B1573,FIND("_",B1573,1)-1)="ULSPOOL"),LEFT(B1573,FIND("_",B1573,1)-1),VLOOKUP(LEFT(A1573,6),'Code Library'!$D$3:$E$200,2,0))&amp;"_"&amp;RIGHT(A1573,3)</f>
        <v>#VALUE!</v>
      </c>
      <c r="I1573" s="66">
        <f t="shared" si="24"/>
        <v>0</v>
      </c>
    </row>
    <row r="1574" spans="8:9">
      <c r="H1574" s="66" t="e">
        <f>IF(OR(LEFT(B1574,FIND("_",B1574,1)-1)="ULGALLOC",LEFT(B1574,FIND("_",B1574,1)-1)="ULSPOOL"),LEFT(B1574,FIND("_",B1574,1)-1),VLOOKUP(LEFT(A1574,6),'Code Library'!$D$3:$E$200,2,0))&amp;"_"&amp;RIGHT(A1574,3)</f>
        <v>#VALUE!</v>
      </c>
      <c r="I1574" s="66">
        <f t="shared" si="24"/>
        <v>0</v>
      </c>
    </row>
    <row r="1575" spans="8:9">
      <c r="H1575" s="66" t="e">
        <f>IF(OR(LEFT(B1575,FIND("_",B1575,1)-1)="ULGALLOC",LEFT(B1575,FIND("_",B1575,1)-1)="ULSPOOL"),LEFT(B1575,FIND("_",B1575,1)-1),VLOOKUP(LEFT(A1575,6),'Code Library'!$D$3:$E$200,2,0))&amp;"_"&amp;RIGHT(A1575,3)</f>
        <v>#VALUE!</v>
      </c>
      <c r="I1575" s="66">
        <f t="shared" si="24"/>
        <v>0</v>
      </c>
    </row>
    <row r="1576" spans="8:9">
      <c r="H1576" s="66" t="e">
        <f>IF(OR(LEFT(B1576,FIND("_",B1576,1)-1)="ULGALLOC",LEFT(B1576,FIND("_",B1576,1)-1)="ULSPOOL"),LEFT(B1576,FIND("_",B1576,1)-1),VLOOKUP(LEFT(A1576,6),'Code Library'!$D$3:$E$200,2,0))&amp;"_"&amp;RIGHT(A1576,3)</f>
        <v>#VALUE!</v>
      </c>
      <c r="I1576" s="66">
        <f t="shared" si="24"/>
        <v>0</v>
      </c>
    </row>
    <row r="1577" spans="8:9">
      <c r="H1577" s="66" t="e">
        <f>IF(OR(LEFT(B1577,FIND("_",B1577,1)-1)="ULGALLOC",LEFT(B1577,FIND("_",B1577,1)-1)="ULSPOOL"),LEFT(B1577,FIND("_",B1577,1)-1),VLOOKUP(LEFT(A1577,6),'Code Library'!$D$3:$E$200,2,0))&amp;"_"&amp;RIGHT(A1577,3)</f>
        <v>#VALUE!</v>
      </c>
      <c r="I1577" s="66">
        <f t="shared" si="24"/>
        <v>0</v>
      </c>
    </row>
    <row r="1578" spans="8:9">
      <c r="H1578" s="66" t="e">
        <f>IF(OR(LEFT(B1578,FIND("_",B1578,1)-1)="ULGALLOC",LEFT(B1578,FIND("_",B1578,1)-1)="ULSPOOL"),LEFT(B1578,FIND("_",B1578,1)-1),VLOOKUP(LEFT(A1578,6),'Code Library'!$D$3:$E$200,2,0))&amp;"_"&amp;RIGHT(A1578,3)</f>
        <v>#VALUE!</v>
      </c>
      <c r="I1578" s="66">
        <f t="shared" si="24"/>
        <v>0</v>
      </c>
    </row>
    <row r="1579" spans="8:9">
      <c r="H1579" s="66" t="e">
        <f>IF(OR(LEFT(B1579,FIND("_",B1579,1)-1)="ULGALLOC",LEFT(B1579,FIND("_",B1579,1)-1)="ULSPOOL"),LEFT(B1579,FIND("_",B1579,1)-1),VLOOKUP(LEFT(A1579,6),'Code Library'!$D$3:$E$200,2,0))&amp;"_"&amp;RIGHT(A1579,3)</f>
        <v>#VALUE!</v>
      </c>
      <c r="I1579" s="66">
        <f t="shared" si="24"/>
        <v>0</v>
      </c>
    </row>
    <row r="1580" spans="8:9">
      <c r="H1580" s="66" t="e">
        <f>IF(OR(LEFT(B1580,FIND("_",B1580,1)-1)="ULGALLOC",LEFT(B1580,FIND("_",B1580,1)-1)="ULSPOOL"),LEFT(B1580,FIND("_",B1580,1)-1),VLOOKUP(LEFT(A1580,6),'Code Library'!$D$3:$E$200,2,0))&amp;"_"&amp;RIGHT(A1580,3)</f>
        <v>#VALUE!</v>
      </c>
      <c r="I1580" s="66">
        <f t="shared" si="24"/>
        <v>0</v>
      </c>
    </row>
    <row r="1581" spans="8:9">
      <c r="H1581" s="66" t="e">
        <f>IF(OR(LEFT(B1581,FIND("_",B1581,1)-1)="ULGALLOC",LEFT(B1581,FIND("_",B1581,1)-1)="ULSPOOL"),LEFT(B1581,FIND("_",B1581,1)-1),VLOOKUP(LEFT(A1581,6),'Code Library'!$D$3:$E$200,2,0))&amp;"_"&amp;RIGHT(A1581,3)</f>
        <v>#VALUE!</v>
      </c>
      <c r="I1581" s="66">
        <f t="shared" si="24"/>
        <v>0</v>
      </c>
    </row>
    <row r="1582" spans="8:9">
      <c r="H1582" s="66" t="e">
        <f>IF(OR(LEFT(B1582,FIND("_",B1582,1)-1)="ULGALLOC",LEFT(B1582,FIND("_",B1582,1)-1)="ULSPOOL"),LEFT(B1582,FIND("_",B1582,1)-1),VLOOKUP(LEFT(A1582,6),'Code Library'!$D$3:$E$200,2,0))&amp;"_"&amp;RIGHT(A1582,3)</f>
        <v>#VALUE!</v>
      </c>
      <c r="I1582" s="66">
        <f t="shared" si="24"/>
        <v>0</v>
      </c>
    </row>
    <row r="1583" spans="8:9">
      <c r="H1583" s="66" t="e">
        <f>IF(OR(LEFT(B1583,FIND("_",B1583,1)-1)="ULGALLOC",LEFT(B1583,FIND("_",B1583,1)-1)="ULSPOOL"),LEFT(B1583,FIND("_",B1583,1)-1),VLOOKUP(LEFT(A1583,6),'Code Library'!$D$3:$E$200,2,0))&amp;"_"&amp;RIGHT(A1583,3)</f>
        <v>#VALUE!</v>
      </c>
      <c r="I1583" s="66">
        <f t="shared" si="24"/>
        <v>0</v>
      </c>
    </row>
    <row r="1584" spans="8:9">
      <c r="H1584" s="66" t="e">
        <f>IF(OR(LEFT(B1584,FIND("_",B1584,1)-1)="ULGALLOC",LEFT(B1584,FIND("_",B1584,1)-1)="ULSPOOL"),LEFT(B1584,FIND("_",B1584,1)-1),VLOOKUP(LEFT(A1584,6),'Code Library'!$D$3:$E$200,2,0))&amp;"_"&amp;RIGHT(A1584,3)</f>
        <v>#VALUE!</v>
      </c>
      <c r="I1584" s="66">
        <f t="shared" si="24"/>
        <v>0</v>
      </c>
    </row>
    <row r="1585" spans="8:9">
      <c r="H1585" s="66" t="e">
        <f>IF(OR(LEFT(B1585,FIND("_",B1585,1)-1)="ULGALLOC",LEFT(B1585,FIND("_",B1585,1)-1)="ULSPOOL"),LEFT(B1585,FIND("_",B1585,1)-1),VLOOKUP(LEFT(A1585,6),'Code Library'!$D$3:$E$200,2,0))&amp;"_"&amp;RIGHT(A1585,3)</f>
        <v>#VALUE!</v>
      </c>
      <c r="I1585" s="66">
        <f t="shared" si="24"/>
        <v>0</v>
      </c>
    </row>
    <row r="1586" spans="8:9">
      <c r="H1586" s="66" t="e">
        <f>IF(OR(LEFT(B1586,FIND("_",B1586,1)-1)="ULGALLOC",LEFT(B1586,FIND("_",B1586,1)-1)="ULSPOOL"),LEFT(B1586,FIND("_",B1586,1)-1),VLOOKUP(LEFT(A1586,6),'Code Library'!$D$3:$E$200,2,0))&amp;"_"&amp;RIGHT(A1586,3)</f>
        <v>#VALUE!</v>
      </c>
      <c r="I1586" s="66">
        <f t="shared" si="24"/>
        <v>0</v>
      </c>
    </row>
    <row r="1587" spans="8:9">
      <c r="H1587" s="66" t="e">
        <f>IF(OR(LEFT(B1587,FIND("_",B1587,1)-1)="ULGALLOC",LEFT(B1587,FIND("_",B1587,1)-1)="ULSPOOL"),LEFT(B1587,FIND("_",B1587,1)-1),VLOOKUP(LEFT(A1587,6),'Code Library'!$D$3:$E$200,2,0))&amp;"_"&amp;RIGHT(A1587,3)</f>
        <v>#VALUE!</v>
      </c>
      <c r="I1587" s="66">
        <f t="shared" si="24"/>
        <v>0</v>
      </c>
    </row>
    <row r="1588" spans="8:9">
      <c r="H1588" s="66" t="e">
        <f>IF(OR(LEFT(B1588,FIND("_",B1588,1)-1)="ULGALLOC",LEFT(B1588,FIND("_",B1588,1)-1)="ULSPOOL"),LEFT(B1588,FIND("_",B1588,1)-1),VLOOKUP(LEFT(A1588,6),'Code Library'!$D$3:$E$200,2,0))&amp;"_"&amp;RIGHT(A1588,3)</f>
        <v>#VALUE!</v>
      </c>
      <c r="I1588" s="66">
        <f t="shared" si="24"/>
        <v>0</v>
      </c>
    </row>
    <row r="1589" spans="8:9">
      <c r="H1589" s="66" t="e">
        <f>IF(OR(LEFT(B1589,FIND("_",B1589,1)-1)="ULGALLOC",LEFT(B1589,FIND("_",B1589,1)-1)="ULSPOOL"),LEFT(B1589,FIND("_",B1589,1)-1),VLOOKUP(LEFT(A1589,6),'Code Library'!$D$3:$E$200,2,0))&amp;"_"&amp;RIGHT(A1589,3)</f>
        <v>#VALUE!</v>
      </c>
      <c r="I1589" s="66">
        <f t="shared" si="24"/>
        <v>0</v>
      </c>
    </row>
    <row r="1590" spans="8:9">
      <c r="H1590" s="66" t="e">
        <f>IF(OR(LEFT(B1590,FIND("_",B1590,1)-1)="ULGALLOC",LEFT(B1590,FIND("_",B1590,1)-1)="ULSPOOL"),LEFT(B1590,FIND("_",B1590,1)-1),VLOOKUP(LEFT(A1590,6),'Code Library'!$D$3:$E$200,2,0))&amp;"_"&amp;RIGHT(A1590,3)</f>
        <v>#VALUE!</v>
      </c>
      <c r="I1590" s="66">
        <f t="shared" si="24"/>
        <v>0</v>
      </c>
    </row>
    <row r="1591" spans="8:9">
      <c r="H1591" s="66" t="e">
        <f>IF(OR(LEFT(B1591,FIND("_",B1591,1)-1)="ULGALLOC",LEFT(B1591,FIND("_",B1591,1)-1)="ULSPOOL"),LEFT(B1591,FIND("_",B1591,1)-1),VLOOKUP(LEFT(A1591,6),'Code Library'!$D$3:$E$200,2,0))&amp;"_"&amp;RIGHT(A1591,3)</f>
        <v>#VALUE!</v>
      </c>
      <c r="I1591" s="66">
        <f t="shared" si="24"/>
        <v>0</v>
      </c>
    </row>
    <row r="1592" spans="8:9">
      <c r="H1592" s="66" t="e">
        <f>IF(OR(LEFT(B1592,FIND("_",B1592,1)-1)="ULGALLOC",LEFT(B1592,FIND("_",B1592,1)-1)="ULSPOOL"),LEFT(B1592,FIND("_",B1592,1)-1),VLOOKUP(LEFT(A1592,6),'Code Library'!$D$3:$E$200,2,0))&amp;"_"&amp;RIGHT(A1592,3)</f>
        <v>#VALUE!</v>
      </c>
      <c r="I1592" s="66">
        <f t="shared" si="24"/>
        <v>0</v>
      </c>
    </row>
    <row r="1593" spans="8:9">
      <c r="H1593" s="66" t="e">
        <f>IF(OR(LEFT(B1593,FIND("_",B1593,1)-1)="ULGALLOC",LEFT(B1593,FIND("_",B1593,1)-1)="ULSPOOL"),LEFT(B1593,FIND("_",B1593,1)-1),VLOOKUP(LEFT(A1593,6),'Code Library'!$D$3:$E$200,2,0))&amp;"_"&amp;RIGHT(A1593,3)</f>
        <v>#VALUE!</v>
      </c>
      <c r="I1593" s="66">
        <f t="shared" si="24"/>
        <v>0</v>
      </c>
    </row>
    <row r="1594" spans="8:9">
      <c r="H1594" s="66" t="e">
        <f>IF(OR(LEFT(B1594,FIND("_",B1594,1)-1)="ULGALLOC",LEFT(B1594,FIND("_",B1594,1)-1)="ULSPOOL"),LEFT(B1594,FIND("_",B1594,1)-1),VLOOKUP(LEFT(A1594,6),'Code Library'!$D$3:$E$200,2,0))&amp;"_"&amp;RIGHT(A1594,3)</f>
        <v>#VALUE!</v>
      </c>
      <c r="I1594" s="66">
        <f t="shared" si="24"/>
        <v>0</v>
      </c>
    </row>
    <row r="1595" spans="8:9">
      <c r="H1595" s="66" t="e">
        <f>IF(OR(LEFT(B1595,FIND("_",B1595,1)-1)="ULGALLOC",LEFT(B1595,FIND("_",B1595,1)-1)="ULSPOOL"),LEFT(B1595,FIND("_",B1595,1)-1),VLOOKUP(LEFT(A1595,6),'Code Library'!$D$3:$E$200,2,0))&amp;"_"&amp;RIGHT(A1595,3)</f>
        <v>#VALUE!</v>
      </c>
      <c r="I1595" s="66">
        <f t="shared" si="24"/>
        <v>0</v>
      </c>
    </row>
    <row r="1596" spans="8:9">
      <c r="H1596" s="66" t="e">
        <f>IF(OR(LEFT(B1596,FIND("_",B1596,1)-1)="ULGALLOC",LEFT(B1596,FIND("_",B1596,1)-1)="ULSPOOL"),LEFT(B1596,FIND("_",B1596,1)-1),VLOOKUP(LEFT(A1596,6),'Code Library'!$D$3:$E$200,2,0))&amp;"_"&amp;RIGHT(A1596,3)</f>
        <v>#VALUE!</v>
      </c>
      <c r="I1596" s="66">
        <f t="shared" si="24"/>
        <v>0</v>
      </c>
    </row>
    <row r="1597" spans="8:9">
      <c r="H1597" s="66" t="e">
        <f>IF(OR(LEFT(B1597,FIND("_",B1597,1)-1)="ULGALLOC",LEFT(B1597,FIND("_",B1597,1)-1)="ULSPOOL"),LEFT(B1597,FIND("_",B1597,1)-1),VLOOKUP(LEFT(A1597,6),'Code Library'!$D$3:$E$200,2,0))&amp;"_"&amp;RIGHT(A1597,3)</f>
        <v>#VALUE!</v>
      </c>
      <c r="I1597" s="66">
        <f t="shared" si="24"/>
        <v>0</v>
      </c>
    </row>
    <row r="1598" spans="8:9">
      <c r="H1598" s="66" t="e">
        <f>IF(OR(LEFT(B1598,FIND("_",B1598,1)-1)="ULGALLOC",LEFT(B1598,FIND("_",B1598,1)-1)="ULSPOOL"),LEFT(B1598,FIND("_",B1598,1)-1),VLOOKUP(LEFT(A1598,6),'Code Library'!$D$3:$E$200,2,0))&amp;"_"&amp;RIGHT(A1598,3)</f>
        <v>#VALUE!</v>
      </c>
      <c r="I1598" s="66">
        <f t="shared" si="24"/>
        <v>0</v>
      </c>
    </row>
    <row r="1599" spans="8:9">
      <c r="H1599" s="66" t="e">
        <f>IF(OR(LEFT(B1599,FIND("_",B1599,1)-1)="ULGALLOC",LEFT(B1599,FIND("_",B1599,1)-1)="ULSPOOL"),LEFT(B1599,FIND("_",B1599,1)-1),VLOOKUP(LEFT(A1599,6),'Code Library'!$D$3:$E$200,2,0))&amp;"_"&amp;RIGHT(A1599,3)</f>
        <v>#VALUE!</v>
      </c>
      <c r="I1599" s="66">
        <f t="shared" si="24"/>
        <v>0</v>
      </c>
    </row>
    <row r="1600" spans="8:9">
      <c r="H1600" s="66" t="e">
        <f>IF(OR(LEFT(B1600,FIND("_",B1600,1)-1)="ULGALLOC",LEFT(B1600,FIND("_",B1600,1)-1)="ULSPOOL"),LEFT(B1600,FIND("_",B1600,1)-1),VLOOKUP(LEFT(A1600,6),'Code Library'!$D$3:$E$200,2,0))&amp;"_"&amp;RIGHT(A1600,3)</f>
        <v>#VALUE!</v>
      </c>
      <c r="I1600" s="66">
        <f t="shared" si="24"/>
        <v>0</v>
      </c>
    </row>
    <row r="1601" spans="8:9">
      <c r="H1601" s="66" t="e">
        <f>IF(OR(LEFT(B1601,FIND("_",B1601,1)-1)="ULGALLOC",LEFT(B1601,FIND("_",B1601,1)-1)="ULSPOOL"),LEFT(B1601,FIND("_",B1601,1)-1),VLOOKUP(LEFT(A1601,6),'Code Library'!$D$3:$E$200,2,0))&amp;"_"&amp;RIGHT(A1601,3)</f>
        <v>#VALUE!</v>
      </c>
      <c r="I1601" s="66">
        <f t="shared" si="24"/>
        <v>0</v>
      </c>
    </row>
    <row r="1602" spans="8:9">
      <c r="H1602" s="66" t="e">
        <f>IF(OR(LEFT(B1602,FIND("_",B1602,1)-1)="ULGALLOC",LEFT(B1602,FIND("_",B1602,1)-1)="ULSPOOL"),LEFT(B1602,FIND("_",B1602,1)-1),VLOOKUP(LEFT(A1602,6),'Code Library'!$D$3:$E$200,2,0))&amp;"_"&amp;RIGHT(A1602,3)</f>
        <v>#VALUE!</v>
      </c>
      <c r="I1602" s="66">
        <f t="shared" si="24"/>
        <v>0</v>
      </c>
    </row>
    <row r="1603" spans="8:9">
      <c r="H1603" s="66" t="e">
        <f>IF(OR(LEFT(B1603,FIND("_",B1603,1)-1)="ULGALLOC",LEFT(B1603,FIND("_",B1603,1)-1)="ULSPOOL"),LEFT(B1603,FIND("_",B1603,1)-1),VLOOKUP(LEFT(A1603,6),'Code Library'!$D$3:$E$200,2,0))&amp;"_"&amp;RIGHT(A1603,3)</f>
        <v>#VALUE!</v>
      </c>
      <c r="I1603" s="66">
        <f t="shared" ref="I1603:I1666" si="25">A1603</f>
        <v>0</v>
      </c>
    </row>
    <row r="1604" spans="8:9">
      <c r="H1604" s="66" t="e">
        <f>IF(OR(LEFT(B1604,FIND("_",B1604,1)-1)="ULGALLOC",LEFT(B1604,FIND("_",B1604,1)-1)="ULSPOOL"),LEFT(B1604,FIND("_",B1604,1)-1),VLOOKUP(LEFT(A1604,6),'Code Library'!$D$3:$E$200,2,0))&amp;"_"&amp;RIGHT(A1604,3)</f>
        <v>#VALUE!</v>
      </c>
      <c r="I1604" s="66">
        <f t="shared" si="25"/>
        <v>0</v>
      </c>
    </row>
    <row r="1605" spans="8:9">
      <c r="H1605" s="66" t="e">
        <f>IF(OR(LEFT(B1605,FIND("_",B1605,1)-1)="ULGALLOC",LEFT(B1605,FIND("_",B1605,1)-1)="ULSPOOL"),LEFT(B1605,FIND("_",B1605,1)-1),VLOOKUP(LEFT(A1605,6),'Code Library'!$D$3:$E$200,2,0))&amp;"_"&amp;RIGHT(A1605,3)</f>
        <v>#VALUE!</v>
      </c>
      <c r="I1605" s="66">
        <f t="shared" si="25"/>
        <v>0</v>
      </c>
    </row>
    <row r="1606" spans="8:9">
      <c r="H1606" s="66" t="e">
        <f>IF(OR(LEFT(B1606,FIND("_",B1606,1)-1)="ULGALLOC",LEFT(B1606,FIND("_",B1606,1)-1)="ULSPOOL"),LEFT(B1606,FIND("_",B1606,1)-1),VLOOKUP(LEFT(A1606,6),'Code Library'!$D$3:$E$200,2,0))&amp;"_"&amp;RIGHT(A1606,3)</f>
        <v>#VALUE!</v>
      </c>
      <c r="I1606" s="66">
        <f t="shared" si="25"/>
        <v>0</v>
      </c>
    </row>
    <row r="1607" spans="8:9">
      <c r="H1607" s="66" t="e">
        <f>IF(OR(LEFT(B1607,FIND("_",B1607,1)-1)="ULGALLOC",LEFT(B1607,FIND("_",B1607,1)-1)="ULSPOOL"),LEFT(B1607,FIND("_",B1607,1)-1),VLOOKUP(LEFT(A1607,6),'Code Library'!$D$3:$E$200,2,0))&amp;"_"&amp;RIGHT(A1607,3)</f>
        <v>#VALUE!</v>
      </c>
      <c r="I1607" s="66">
        <f t="shared" si="25"/>
        <v>0</v>
      </c>
    </row>
    <row r="1608" spans="8:9">
      <c r="H1608" s="66" t="e">
        <f>IF(OR(LEFT(B1608,FIND("_",B1608,1)-1)="ULGALLOC",LEFT(B1608,FIND("_",B1608,1)-1)="ULSPOOL"),LEFT(B1608,FIND("_",B1608,1)-1),VLOOKUP(LEFT(A1608,6),'Code Library'!$D$3:$E$200,2,0))&amp;"_"&amp;RIGHT(A1608,3)</f>
        <v>#VALUE!</v>
      </c>
      <c r="I1608" s="66">
        <f t="shared" si="25"/>
        <v>0</v>
      </c>
    </row>
    <row r="1609" spans="8:9">
      <c r="H1609" s="66" t="e">
        <f>IF(OR(LEFT(B1609,FIND("_",B1609,1)-1)="ULGALLOC",LEFT(B1609,FIND("_",B1609,1)-1)="ULSPOOL"),LEFT(B1609,FIND("_",B1609,1)-1),VLOOKUP(LEFT(A1609,6),'Code Library'!$D$3:$E$200,2,0))&amp;"_"&amp;RIGHT(A1609,3)</f>
        <v>#VALUE!</v>
      </c>
      <c r="I1609" s="66">
        <f t="shared" si="25"/>
        <v>0</v>
      </c>
    </row>
    <row r="1610" spans="8:9">
      <c r="H1610" s="66" t="e">
        <f>IF(OR(LEFT(B1610,FIND("_",B1610,1)-1)="ULGALLOC",LEFT(B1610,FIND("_",B1610,1)-1)="ULSPOOL"),LEFT(B1610,FIND("_",B1610,1)-1),VLOOKUP(LEFT(A1610,6),'Code Library'!$D$3:$E$200,2,0))&amp;"_"&amp;RIGHT(A1610,3)</f>
        <v>#VALUE!</v>
      </c>
      <c r="I1610" s="66">
        <f t="shared" si="25"/>
        <v>0</v>
      </c>
    </row>
    <row r="1611" spans="8:9">
      <c r="H1611" s="66" t="e">
        <f>IF(OR(LEFT(B1611,FIND("_",B1611,1)-1)="ULGALLOC",LEFT(B1611,FIND("_",B1611,1)-1)="ULSPOOL"),LEFT(B1611,FIND("_",B1611,1)-1),VLOOKUP(LEFT(A1611,6),'Code Library'!$D$3:$E$200,2,0))&amp;"_"&amp;RIGHT(A1611,3)</f>
        <v>#VALUE!</v>
      </c>
      <c r="I1611" s="66">
        <f t="shared" si="25"/>
        <v>0</v>
      </c>
    </row>
    <row r="1612" spans="8:9">
      <c r="H1612" s="66" t="e">
        <f>IF(OR(LEFT(B1612,FIND("_",B1612,1)-1)="ULGALLOC",LEFT(B1612,FIND("_",B1612,1)-1)="ULSPOOL"),LEFT(B1612,FIND("_",B1612,1)-1),VLOOKUP(LEFT(A1612,6),'Code Library'!$D$3:$E$200,2,0))&amp;"_"&amp;RIGHT(A1612,3)</f>
        <v>#VALUE!</v>
      </c>
      <c r="I1612" s="66">
        <f t="shared" si="25"/>
        <v>0</v>
      </c>
    </row>
    <row r="1613" spans="8:9">
      <c r="H1613" s="66" t="e">
        <f>IF(OR(LEFT(B1613,FIND("_",B1613,1)-1)="ULGALLOC",LEFT(B1613,FIND("_",B1613,1)-1)="ULSPOOL"),LEFT(B1613,FIND("_",B1613,1)-1),VLOOKUP(LEFT(A1613,6),'Code Library'!$D$3:$E$200,2,0))&amp;"_"&amp;RIGHT(A1613,3)</f>
        <v>#VALUE!</v>
      </c>
      <c r="I1613" s="66">
        <f t="shared" si="25"/>
        <v>0</v>
      </c>
    </row>
    <row r="1614" spans="8:9">
      <c r="H1614" s="66" t="e">
        <f>IF(OR(LEFT(B1614,FIND("_",B1614,1)-1)="ULGALLOC",LEFT(B1614,FIND("_",B1614,1)-1)="ULSPOOL"),LEFT(B1614,FIND("_",B1614,1)-1),VLOOKUP(LEFT(A1614,6),'Code Library'!$D$3:$E$200,2,0))&amp;"_"&amp;RIGHT(A1614,3)</f>
        <v>#VALUE!</v>
      </c>
      <c r="I1614" s="66">
        <f t="shared" si="25"/>
        <v>0</v>
      </c>
    </row>
    <row r="1615" spans="8:9">
      <c r="H1615" s="66" t="e">
        <f>IF(OR(LEFT(B1615,FIND("_",B1615,1)-1)="ULGALLOC",LEFT(B1615,FIND("_",B1615,1)-1)="ULSPOOL"),LEFT(B1615,FIND("_",B1615,1)-1),VLOOKUP(LEFT(A1615,6),'Code Library'!$D$3:$E$200,2,0))&amp;"_"&amp;RIGHT(A1615,3)</f>
        <v>#VALUE!</v>
      </c>
      <c r="I1615" s="66">
        <f t="shared" si="25"/>
        <v>0</v>
      </c>
    </row>
    <row r="1616" spans="8:9">
      <c r="H1616" s="66" t="e">
        <f>IF(OR(LEFT(B1616,FIND("_",B1616,1)-1)="ULGALLOC",LEFT(B1616,FIND("_",B1616,1)-1)="ULSPOOL"),LEFT(B1616,FIND("_",B1616,1)-1),VLOOKUP(LEFT(A1616,6),'Code Library'!$D$3:$E$200,2,0))&amp;"_"&amp;RIGHT(A1616,3)</f>
        <v>#VALUE!</v>
      </c>
      <c r="I1616" s="66">
        <f t="shared" si="25"/>
        <v>0</v>
      </c>
    </row>
    <row r="1617" spans="8:9">
      <c r="H1617" s="66" t="e">
        <f>IF(OR(LEFT(B1617,FIND("_",B1617,1)-1)="ULGALLOC",LEFT(B1617,FIND("_",B1617,1)-1)="ULSPOOL"),LEFT(B1617,FIND("_",B1617,1)-1),VLOOKUP(LEFT(A1617,6),'Code Library'!$D$3:$E$200,2,0))&amp;"_"&amp;RIGHT(A1617,3)</f>
        <v>#VALUE!</v>
      </c>
      <c r="I1617" s="66">
        <f t="shared" si="25"/>
        <v>0</v>
      </c>
    </row>
    <row r="1618" spans="8:9">
      <c r="H1618" s="66" t="e">
        <f>IF(OR(LEFT(B1618,FIND("_",B1618,1)-1)="ULGALLOC",LEFT(B1618,FIND("_",B1618,1)-1)="ULSPOOL"),LEFT(B1618,FIND("_",B1618,1)-1),VLOOKUP(LEFT(A1618,6),'Code Library'!$D$3:$E$200,2,0))&amp;"_"&amp;RIGHT(A1618,3)</f>
        <v>#VALUE!</v>
      </c>
      <c r="I1618" s="66">
        <f t="shared" si="25"/>
        <v>0</v>
      </c>
    </row>
    <row r="1619" spans="8:9">
      <c r="H1619" s="66" t="e">
        <f>IF(OR(LEFT(B1619,FIND("_",B1619,1)-1)="ULGALLOC",LEFT(B1619,FIND("_",B1619,1)-1)="ULSPOOL"),LEFT(B1619,FIND("_",B1619,1)-1),VLOOKUP(LEFT(A1619,6),'Code Library'!$D$3:$E$200,2,0))&amp;"_"&amp;RIGHT(A1619,3)</f>
        <v>#VALUE!</v>
      </c>
      <c r="I1619" s="66">
        <f t="shared" si="25"/>
        <v>0</v>
      </c>
    </row>
    <row r="1620" spans="8:9">
      <c r="H1620" s="66" t="e">
        <f>IF(OR(LEFT(B1620,FIND("_",B1620,1)-1)="ULGALLOC",LEFT(B1620,FIND("_",B1620,1)-1)="ULSPOOL"),LEFT(B1620,FIND("_",B1620,1)-1),VLOOKUP(LEFT(A1620,6),'Code Library'!$D$3:$E$200,2,0))&amp;"_"&amp;RIGHT(A1620,3)</f>
        <v>#VALUE!</v>
      </c>
      <c r="I1620" s="66">
        <f t="shared" si="25"/>
        <v>0</v>
      </c>
    </row>
    <row r="1621" spans="8:9">
      <c r="H1621" s="66" t="e">
        <f>IF(OR(LEFT(B1621,FIND("_",B1621,1)-1)="ULGALLOC",LEFT(B1621,FIND("_",B1621,1)-1)="ULSPOOL"),LEFT(B1621,FIND("_",B1621,1)-1),VLOOKUP(LEFT(A1621,6),'Code Library'!$D$3:$E$200,2,0))&amp;"_"&amp;RIGHT(A1621,3)</f>
        <v>#VALUE!</v>
      </c>
      <c r="I1621" s="66">
        <f t="shared" si="25"/>
        <v>0</v>
      </c>
    </row>
    <row r="1622" spans="8:9">
      <c r="H1622" s="66" t="e">
        <f>IF(OR(LEFT(B1622,FIND("_",B1622,1)-1)="ULGALLOC",LEFT(B1622,FIND("_",B1622,1)-1)="ULSPOOL"),LEFT(B1622,FIND("_",B1622,1)-1),VLOOKUP(LEFT(A1622,6),'Code Library'!$D$3:$E$200,2,0))&amp;"_"&amp;RIGHT(A1622,3)</f>
        <v>#VALUE!</v>
      </c>
      <c r="I1622" s="66">
        <f t="shared" si="25"/>
        <v>0</v>
      </c>
    </row>
    <row r="1623" spans="8:9">
      <c r="H1623" s="66" t="e">
        <f>IF(OR(LEFT(B1623,FIND("_",B1623,1)-1)="ULGALLOC",LEFT(B1623,FIND("_",B1623,1)-1)="ULSPOOL"),LEFT(B1623,FIND("_",B1623,1)-1),VLOOKUP(LEFT(A1623,6),'Code Library'!$D$3:$E$200,2,0))&amp;"_"&amp;RIGHT(A1623,3)</f>
        <v>#VALUE!</v>
      </c>
      <c r="I1623" s="66">
        <f t="shared" si="25"/>
        <v>0</v>
      </c>
    </row>
    <row r="1624" spans="8:9">
      <c r="H1624" s="66" t="e">
        <f>IF(OR(LEFT(B1624,FIND("_",B1624,1)-1)="ULGALLOC",LEFT(B1624,FIND("_",B1624,1)-1)="ULSPOOL"),LEFT(B1624,FIND("_",B1624,1)-1),VLOOKUP(LEFT(A1624,6),'Code Library'!$D$3:$E$200,2,0))&amp;"_"&amp;RIGHT(A1624,3)</f>
        <v>#VALUE!</v>
      </c>
      <c r="I1624" s="66">
        <f t="shared" si="25"/>
        <v>0</v>
      </c>
    </row>
    <row r="1625" spans="8:9">
      <c r="H1625" s="66" t="e">
        <f>IF(OR(LEFT(B1625,FIND("_",B1625,1)-1)="ULGALLOC",LEFT(B1625,FIND("_",B1625,1)-1)="ULSPOOL"),LEFT(B1625,FIND("_",B1625,1)-1),VLOOKUP(LEFT(A1625,6),'Code Library'!$D$3:$E$200,2,0))&amp;"_"&amp;RIGHT(A1625,3)</f>
        <v>#VALUE!</v>
      </c>
      <c r="I1625" s="66">
        <f t="shared" si="25"/>
        <v>0</v>
      </c>
    </row>
    <row r="1626" spans="8:9">
      <c r="H1626" s="66" t="e">
        <f>IF(OR(LEFT(B1626,FIND("_",B1626,1)-1)="ULGALLOC",LEFT(B1626,FIND("_",B1626,1)-1)="ULSPOOL"),LEFT(B1626,FIND("_",B1626,1)-1),VLOOKUP(LEFT(A1626,6),'Code Library'!$D$3:$E$200,2,0))&amp;"_"&amp;RIGHT(A1626,3)</f>
        <v>#VALUE!</v>
      </c>
      <c r="I1626" s="66">
        <f t="shared" si="25"/>
        <v>0</v>
      </c>
    </row>
    <row r="1627" spans="8:9">
      <c r="H1627" s="66" t="e">
        <f>IF(OR(LEFT(B1627,FIND("_",B1627,1)-1)="ULGALLOC",LEFT(B1627,FIND("_",B1627,1)-1)="ULSPOOL"),LEFT(B1627,FIND("_",B1627,1)-1),VLOOKUP(LEFT(A1627,6),'Code Library'!$D$3:$E$200,2,0))&amp;"_"&amp;RIGHT(A1627,3)</f>
        <v>#VALUE!</v>
      </c>
      <c r="I1627" s="66">
        <f t="shared" si="25"/>
        <v>0</v>
      </c>
    </row>
    <row r="1628" spans="8:9">
      <c r="H1628" s="66" t="e">
        <f>IF(OR(LEFT(B1628,FIND("_",B1628,1)-1)="ULGALLOC",LEFT(B1628,FIND("_",B1628,1)-1)="ULSPOOL"),LEFT(B1628,FIND("_",B1628,1)-1),VLOOKUP(LEFT(A1628,6),'Code Library'!$D$3:$E$200,2,0))&amp;"_"&amp;RIGHT(A1628,3)</f>
        <v>#VALUE!</v>
      </c>
      <c r="I1628" s="66">
        <f t="shared" si="25"/>
        <v>0</v>
      </c>
    </row>
    <row r="1629" spans="8:9">
      <c r="H1629" s="66" t="e">
        <f>IF(OR(LEFT(B1629,FIND("_",B1629,1)-1)="ULGALLOC",LEFT(B1629,FIND("_",B1629,1)-1)="ULSPOOL"),LEFT(B1629,FIND("_",B1629,1)-1),VLOOKUP(LEFT(A1629,6),'Code Library'!$D$3:$E$200,2,0))&amp;"_"&amp;RIGHT(A1629,3)</f>
        <v>#VALUE!</v>
      </c>
      <c r="I1629" s="66">
        <f t="shared" si="25"/>
        <v>0</v>
      </c>
    </row>
    <row r="1630" spans="8:9">
      <c r="H1630" s="66" t="e">
        <f>IF(OR(LEFT(B1630,FIND("_",B1630,1)-1)="ULGALLOC",LEFT(B1630,FIND("_",B1630,1)-1)="ULSPOOL"),LEFT(B1630,FIND("_",B1630,1)-1),VLOOKUP(LEFT(A1630,6),'Code Library'!$D$3:$E$200,2,0))&amp;"_"&amp;RIGHT(A1630,3)</f>
        <v>#VALUE!</v>
      </c>
      <c r="I1630" s="66">
        <f t="shared" si="25"/>
        <v>0</v>
      </c>
    </row>
    <row r="1631" spans="8:9">
      <c r="H1631" s="66" t="e">
        <f>IF(OR(LEFT(B1631,FIND("_",B1631,1)-1)="ULGALLOC",LEFT(B1631,FIND("_",B1631,1)-1)="ULSPOOL"),LEFT(B1631,FIND("_",B1631,1)-1),VLOOKUP(LEFT(A1631,6),'Code Library'!$D$3:$E$200,2,0))&amp;"_"&amp;RIGHT(A1631,3)</f>
        <v>#VALUE!</v>
      </c>
      <c r="I1631" s="66">
        <f t="shared" si="25"/>
        <v>0</v>
      </c>
    </row>
    <row r="1632" spans="8:9">
      <c r="H1632" s="66" t="e">
        <f>IF(OR(LEFT(B1632,FIND("_",B1632,1)-1)="ULGALLOC",LEFT(B1632,FIND("_",B1632,1)-1)="ULSPOOL"),LEFT(B1632,FIND("_",B1632,1)-1),VLOOKUP(LEFT(A1632,6),'Code Library'!$D$3:$E$200,2,0))&amp;"_"&amp;RIGHT(A1632,3)</f>
        <v>#VALUE!</v>
      </c>
      <c r="I1632" s="66">
        <f t="shared" si="25"/>
        <v>0</v>
      </c>
    </row>
    <row r="1633" spans="8:9">
      <c r="H1633" s="66" t="e">
        <f>IF(OR(LEFT(B1633,FIND("_",B1633,1)-1)="ULGALLOC",LEFT(B1633,FIND("_",B1633,1)-1)="ULSPOOL"),LEFT(B1633,FIND("_",B1633,1)-1),VLOOKUP(LEFT(A1633,6),'Code Library'!$D$3:$E$200,2,0))&amp;"_"&amp;RIGHT(A1633,3)</f>
        <v>#VALUE!</v>
      </c>
      <c r="I1633" s="66">
        <f t="shared" si="25"/>
        <v>0</v>
      </c>
    </row>
    <row r="1634" spans="8:9">
      <c r="H1634" s="66" t="e">
        <f>IF(OR(LEFT(B1634,FIND("_",B1634,1)-1)="ULGALLOC",LEFT(B1634,FIND("_",B1634,1)-1)="ULSPOOL"),LEFT(B1634,FIND("_",B1634,1)-1),VLOOKUP(LEFT(A1634,6),'Code Library'!$D$3:$E$200,2,0))&amp;"_"&amp;RIGHT(A1634,3)</f>
        <v>#VALUE!</v>
      </c>
      <c r="I1634" s="66">
        <f t="shared" si="25"/>
        <v>0</v>
      </c>
    </row>
    <row r="1635" spans="8:9">
      <c r="H1635" s="66" t="e">
        <f>IF(OR(LEFT(B1635,FIND("_",B1635,1)-1)="ULGALLOC",LEFT(B1635,FIND("_",B1635,1)-1)="ULSPOOL"),LEFT(B1635,FIND("_",B1635,1)-1),VLOOKUP(LEFT(A1635,6),'Code Library'!$D$3:$E$200,2,0))&amp;"_"&amp;RIGHT(A1635,3)</f>
        <v>#VALUE!</v>
      </c>
      <c r="I1635" s="66">
        <f t="shared" si="25"/>
        <v>0</v>
      </c>
    </row>
    <row r="1636" spans="8:9">
      <c r="H1636" s="66" t="e">
        <f>IF(OR(LEFT(B1636,FIND("_",B1636,1)-1)="ULGALLOC",LEFT(B1636,FIND("_",B1636,1)-1)="ULSPOOL"),LEFT(B1636,FIND("_",B1636,1)-1),VLOOKUP(LEFT(A1636,6),'Code Library'!$D$3:$E$200,2,0))&amp;"_"&amp;RIGHT(A1636,3)</f>
        <v>#VALUE!</v>
      </c>
      <c r="I1636" s="66">
        <f t="shared" si="25"/>
        <v>0</v>
      </c>
    </row>
    <row r="1637" spans="8:9">
      <c r="H1637" s="66" t="e">
        <f>IF(OR(LEFT(B1637,FIND("_",B1637,1)-1)="ULGALLOC",LEFT(B1637,FIND("_",B1637,1)-1)="ULSPOOL"),LEFT(B1637,FIND("_",B1637,1)-1),VLOOKUP(LEFT(A1637,6),'Code Library'!$D$3:$E$200,2,0))&amp;"_"&amp;RIGHT(A1637,3)</f>
        <v>#VALUE!</v>
      </c>
      <c r="I1637" s="66">
        <f t="shared" si="25"/>
        <v>0</v>
      </c>
    </row>
    <row r="1638" spans="8:9">
      <c r="H1638" s="66" t="e">
        <f>IF(OR(LEFT(B1638,FIND("_",B1638,1)-1)="ULGALLOC",LEFT(B1638,FIND("_",B1638,1)-1)="ULSPOOL"),LEFT(B1638,FIND("_",B1638,1)-1),VLOOKUP(LEFT(A1638,6),'Code Library'!$D$3:$E$200,2,0))&amp;"_"&amp;RIGHT(A1638,3)</f>
        <v>#VALUE!</v>
      </c>
      <c r="I1638" s="66">
        <f t="shared" si="25"/>
        <v>0</v>
      </c>
    </row>
    <row r="1639" spans="8:9">
      <c r="H1639" s="66" t="e">
        <f>IF(OR(LEFT(B1639,FIND("_",B1639,1)-1)="ULGALLOC",LEFT(B1639,FIND("_",B1639,1)-1)="ULSPOOL"),LEFT(B1639,FIND("_",B1639,1)-1),VLOOKUP(LEFT(A1639,6),'Code Library'!$D$3:$E$200,2,0))&amp;"_"&amp;RIGHT(A1639,3)</f>
        <v>#VALUE!</v>
      </c>
      <c r="I1639" s="66">
        <f t="shared" si="25"/>
        <v>0</v>
      </c>
    </row>
    <row r="1640" spans="8:9">
      <c r="H1640" s="66" t="e">
        <f>IF(OR(LEFT(B1640,FIND("_",B1640,1)-1)="ULGALLOC",LEFT(B1640,FIND("_",B1640,1)-1)="ULSPOOL"),LEFT(B1640,FIND("_",B1640,1)-1),VLOOKUP(LEFT(A1640,6),'Code Library'!$D$3:$E$200,2,0))&amp;"_"&amp;RIGHT(A1640,3)</f>
        <v>#VALUE!</v>
      </c>
      <c r="I1640" s="66">
        <f t="shared" si="25"/>
        <v>0</v>
      </c>
    </row>
    <row r="1641" spans="8:9">
      <c r="H1641" s="66" t="e">
        <f>IF(OR(LEFT(B1641,FIND("_",B1641,1)-1)="ULGALLOC",LEFT(B1641,FIND("_",B1641,1)-1)="ULSPOOL"),LEFT(B1641,FIND("_",B1641,1)-1),VLOOKUP(LEFT(A1641,6),'Code Library'!$D$3:$E$200,2,0))&amp;"_"&amp;RIGHT(A1641,3)</f>
        <v>#VALUE!</v>
      </c>
      <c r="I1641" s="66">
        <f t="shared" si="25"/>
        <v>0</v>
      </c>
    </row>
    <row r="1642" spans="8:9">
      <c r="H1642" s="66" t="e">
        <f>IF(OR(LEFT(B1642,FIND("_",B1642,1)-1)="ULGALLOC",LEFT(B1642,FIND("_",B1642,1)-1)="ULSPOOL"),LEFT(B1642,FIND("_",B1642,1)-1),VLOOKUP(LEFT(A1642,6),'Code Library'!$D$3:$E$200,2,0))&amp;"_"&amp;RIGHT(A1642,3)</f>
        <v>#VALUE!</v>
      </c>
      <c r="I1642" s="66">
        <f t="shared" si="25"/>
        <v>0</v>
      </c>
    </row>
    <row r="1643" spans="8:9">
      <c r="H1643" s="66" t="e">
        <f>IF(OR(LEFT(B1643,FIND("_",B1643,1)-1)="ULGALLOC",LEFT(B1643,FIND("_",B1643,1)-1)="ULSPOOL"),LEFT(B1643,FIND("_",B1643,1)-1),VLOOKUP(LEFT(A1643,6),'Code Library'!$D$3:$E$200,2,0))&amp;"_"&amp;RIGHT(A1643,3)</f>
        <v>#VALUE!</v>
      </c>
      <c r="I1643" s="66">
        <f t="shared" si="25"/>
        <v>0</v>
      </c>
    </row>
    <row r="1644" spans="8:9">
      <c r="H1644" s="66" t="e">
        <f>IF(OR(LEFT(B1644,FIND("_",B1644,1)-1)="ULGALLOC",LEFT(B1644,FIND("_",B1644,1)-1)="ULSPOOL"),LEFT(B1644,FIND("_",B1644,1)-1),VLOOKUP(LEFT(A1644,6),'Code Library'!$D$3:$E$200,2,0))&amp;"_"&amp;RIGHT(A1644,3)</f>
        <v>#VALUE!</v>
      </c>
      <c r="I1644" s="66">
        <f t="shared" si="25"/>
        <v>0</v>
      </c>
    </row>
    <row r="1645" spans="8:9">
      <c r="H1645" s="66" t="e">
        <f>IF(OR(LEFT(B1645,FIND("_",B1645,1)-1)="ULGALLOC",LEFT(B1645,FIND("_",B1645,1)-1)="ULSPOOL"),LEFT(B1645,FIND("_",B1645,1)-1),VLOOKUP(LEFT(A1645,6),'Code Library'!$D$3:$E$200,2,0))&amp;"_"&amp;RIGHT(A1645,3)</f>
        <v>#VALUE!</v>
      </c>
      <c r="I1645" s="66">
        <f t="shared" si="25"/>
        <v>0</v>
      </c>
    </row>
    <row r="1646" spans="8:9">
      <c r="H1646" s="66" t="e">
        <f>IF(OR(LEFT(B1646,FIND("_",B1646,1)-1)="ULGALLOC",LEFT(B1646,FIND("_",B1646,1)-1)="ULSPOOL"),LEFT(B1646,FIND("_",B1646,1)-1),VLOOKUP(LEFT(A1646,6),'Code Library'!$D$3:$E$200,2,0))&amp;"_"&amp;RIGHT(A1646,3)</f>
        <v>#VALUE!</v>
      </c>
      <c r="I1646" s="66">
        <f t="shared" si="25"/>
        <v>0</v>
      </c>
    </row>
    <row r="1647" spans="8:9">
      <c r="H1647" s="66" t="e">
        <f>IF(OR(LEFT(B1647,FIND("_",B1647,1)-1)="ULGALLOC",LEFT(B1647,FIND("_",B1647,1)-1)="ULSPOOL"),LEFT(B1647,FIND("_",B1647,1)-1),VLOOKUP(LEFT(A1647,6),'Code Library'!$D$3:$E$200,2,0))&amp;"_"&amp;RIGHT(A1647,3)</f>
        <v>#VALUE!</v>
      </c>
      <c r="I1647" s="66">
        <f t="shared" si="25"/>
        <v>0</v>
      </c>
    </row>
    <row r="1648" spans="8:9">
      <c r="H1648" s="66" t="e">
        <f>IF(OR(LEFT(B1648,FIND("_",B1648,1)-1)="ULGALLOC",LEFT(B1648,FIND("_",B1648,1)-1)="ULSPOOL"),LEFT(B1648,FIND("_",B1648,1)-1),VLOOKUP(LEFT(A1648,6),'Code Library'!$D$3:$E$200,2,0))&amp;"_"&amp;RIGHT(A1648,3)</f>
        <v>#VALUE!</v>
      </c>
      <c r="I1648" s="66">
        <f t="shared" si="25"/>
        <v>0</v>
      </c>
    </row>
    <row r="1649" spans="8:9">
      <c r="H1649" s="66" t="e">
        <f>IF(OR(LEFT(B1649,FIND("_",B1649,1)-1)="ULGALLOC",LEFT(B1649,FIND("_",B1649,1)-1)="ULSPOOL"),LEFT(B1649,FIND("_",B1649,1)-1),VLOOKUP(LEFT(A1649,6),'Code Library'!$D$3:$E$200,2,0))&amp;"_"&amp;RIGHT(A1649,3)</f>
        <v>#VALUE!</v>
      </c>
      <c r="I1649" s="66">
        <f t="shared" si="25"/>
        <v>0</v>
      </c>
    </row>
    <row r="1650" spans="8:9">
      <c r="H1650" s="66" t="e">
        <f>IF(OR(LEFT(B1650,FIND("_",B1650,1)-1)="ULGALLOC",LEFT(B1650,FIND("_",B1650,1)-1)="ULSPOOL"),LEFT(B1650,FIND("_",B1650,1)-1),VLOOKUP(LEFT(A1650,6),'Code Library'!$D$3:$E$200,2,0))&amp;"_"&amp;RIGHT(A1650,3)</f>
        <v>#VALUE!</v>
      </c>
      <c r="I1650" s="66">
        <f t="shared" si="25"/>
        <v>0</v>
      </c>
    </row>
    <row r="1651" spans="8:9">
      <c r="H1651" s="66" t="e">
        <f>IF(OR(LEFT(B1651,FIND("_",B1651,1)-1)="ULGALLOC",LEFT(B1651,FIND("_",B1651,1)-1)="ULSPOOL"),LEFT(B1651,FIND("_",B1651,1)-1),VLOOKUP(LEFT(A1651,6),'Code Library'!$D$3:$E$200,2,0))&amp;"_"&amp;RIGHT(A1651,3)</f>
        <v>#VALUE!</v>
      </c>
      <c r="I1651" s="66">
        <f t="shared" si="25"/>
        <v>0</v>
      </c>
    </row>
    <row r="1652" spans="8:9">
      <c r="H1652" s="66" t="e">
        <f>IF(OR(LEFT(B1652,FIND("_",B1652,1)-1)="ULGALLOC",LEFT(B1652,FIND("_",B1652,1)-1)="ULSPOOL"),LEFT(B1652,FIND("_",B1652,1)-1),VLOOKUP(LEFT(A1652,6),'Code Library'!$D$3:$E$200,2,0))&amp;"_"&amp;RIGHT(A1652,3)</f>
        <v>#VALUE!</v>
      </c>
      <c r="I1652" s="66">
        <f t="shared" si="25"/>
        <v>0</v>
      </c>
    </row>
    <row r="1653" spans="8:9">
      <c r="H1653" s="66" t="e">
        <f>IF(OR(LEFT(B1653,FIND("_",B1653,1)-1)="ULGALLOC",LEFT(B1653,FIND("_",B1653,1)-1)="ULSPOOL"),LEFT(B1653,FIND("_",B1653,1)-1),VLOOKUP(LEFT(A1653,6),'Code Library'!$D$3:$E$200,2,0))&amp;"_"&amp;RIGHT(A1653,3)</f>
        <v>#VALUE!</v>
      </c>
      <c r="I1653" s="66">
        <f t="shared" si="25"/>
        <v>0</v>
      </c>
    </row>
    <row r="1654" spans="8:9">
      <c r="H1654" s="66" t="e">
        <f>IF(OR(LEFT(B1654,FIND("_",B1654,1)-1)="ULGALLOC",LEFT(B1654,FIND("_",B1654,1)-1)="ULSPOOL"),LEFT(B1654,FIND("_",B1654,1)-1),VLOOKUP(LEFT(A1654,6),'Code Library'!$D$3:$E$200,2,0))&amp;"_"&amp;RIGHT(A1654,3)</f>
        <v>#VALUE!</v>
      </c>
      <c r="I1654" s="66">
        <f t="shared" si="25"/>
        <v>0</v>
      </c>
    </row>
    <row r="1655" spans="8:9">
      <c r="H1655" s="66" t="e">
        <f>IF(OR(LEFT(B1655,FIND("_",B1655,1)-1)="ULGALLOC",LEFT(B1655,FIND("_",B1655,1)-1)="ULSPOOL"),LEFT(B1655,FIND("_",B1655,1)-1),VLOOKUP(LEFT(A1655,6),'Code Library'!$D$3:$E$200,2,0))&amp;"_"&amp;RIGHT(A1655,3)</f>
        <v>#VALUE!</v>
      </c>
      <c r="I1655" s="66">
        <f t="shared" si="25"/>
        <v>0</v>
      </c>
    </row>
    <row r="1656" spans="8:9">
      <c r="H1656" s="66" t="e">
        <f>IF(OR(LEFT(B1656,FIND("_",B1656,1)-1)="ULGALLOC",LEFT(B1656,FIND("_",B1656,1)-1)="ULSPOOL"),LEFT(B1656,FIND("_",B1656,1)-1),VLOOKUP(LEFT(A1656,6),'Code Library'!$D$3:$E$200,2,0))&amp;"_"&amp;RIGHT(A1656,3)</f>
        <v>#VALUE!</v>
      </c>
      <c r="I1656" s="66">
        <f t="shared" si="25"/>
        <v>0</v>
      </c>
    </row>
    <row r="1657" spans="8:9">
      <c r="H1657" s="66" t="e">
        <f>IF(OR(LEFT(B1657,FIND("_",B1657,1)-1)="ULGALLOC",LEFT(B1657,FIND("_",B1657,1)-1)="ULSPOOL"),LEFT(B1657,FIND("_",B1657,1)-1),VLOOKUP(LEFT(A1657,6),'Code Library'!$D$3:$E$200,2,0))&amp;"_"&amp;RIGHT(A1657,3)</f>
        <v>#VALUE!</v>
      </c>
      <c r="I1657" s="66">
        <f t="shared" si="25"/>
        <v>0</v>
      </c>
    </row>
    <row r="1658" spans="8:9">
      <c r="H1658" s="66" t="e">
        <f>IF(OR(LEFT(B1658,FIND("_",B1658,1)-1)="ULGALLOC",LEFT(B1658,FIND("_",B1658,1)-1)="ULSPOOL"),LEFT(B1658,FIND("_",B1658,1)-1),VLOOKUP(LEFT(A1658,6),'Code Library'!$D$3:$E$200,2,0))&amp;"_"&amp;RIGHT(A1658,3)</f>
        <v>#VALUE!</v>
      </c>
      <c r="I1658" s="66">
        <f t="shared" si="25"/>
        <v>0</v>
      </c>
    </row>
    <row r="1659" spans="8:9">
      <c r="H1659" s="66" t="e">
        <f>IF(OR(LEFT(B1659,FIND("_",B1659,1)-1)="ULGALLOC",LEFT(B1659,FIND("_",B1659,1)-1)="ULSPOOL"),LEFT(B1659,FIND("_",B1659,1)-1),VLOOKUP(LEFT(A1659,6),'Code Library'!$D$3:$E$200,2,0))&amp;"_"&amp;RIGHT(A1659,3)</f>
        <v>#VALUE!</v>
      </c>
      <c r="I1659" s="66">
        <f t="shared" si="25"/>
        <v>0</v>
      </c>
    </row>
    <row r="1660" spans="8:9">
      <c r="H1660" s="66" t="e">
        <f>IF(OR(LEFT(B1660,FIND("_",B1660,1)-1)="ULGALLOC",LEFT(B1660,FIND("_",B1660,1)-1)="ULSPOOL"),LEFT(B1660,FIND("_",B1660,1)-1),VLOOKUP(LEFT(A1660,6),'Code Library'!$D$3:$E$200,2,0))&amp;"_"&amp;RIGHT(A1660,3)</f>
        <v>#VALUE!</v>
      </c>
      <c r="I1660" s="66">
        <f t="shared" si="25"/>
        <v>0</v>
      </c>
    </row>
    <row r="1661" spans="8:9">
      <c r="H1661" s="66" t="e">
        <f>IF(OR(LEFT(B1661,FIND("_",B1661,1)-1)="ULGALLOC",LEFT(B1661,FIND("_",B1661,1)-1)="ULSPOOL"),LEFT(B1661,FIND("_",B1661,1)-1),VLOOKUP(LEFT(A1661,6),'Code Library'!$D$3:$E$200,2,0))&amp;"_"&amp;RIGHT(A1661,3)</f>
        <v>#VALUE!</v>
      </c>
      <c r="I1661" s="66">
        <f t="shared" si="25"/>
        <v>0</v>
      </c>
    </row>
    <row r="1662" spans="8:9">
      <c r="H1662" s="66" t="e">
        <f>IF(OR(LEFT(B1662,FIND("_",B1662,1)-1)="ULGALLOC",LEFT(B1662,FIND("_",B1662,1)-1)="ULSPOOL"),LEFT(B1662,FIND("_",B1662,1)-1),VLOOKUP(LEFT(A1662,6),'Code Library'!$D$3:$E$200,2,0))&amp;"_"&amp;RIGHT(A1662,3)</f>
        <v>#VALUE!</v>
      </c>
      <c r="I1662" s="66">
        <f t="shared" si="25"/>
        <v>0</v>
      </c>
    </row>
    <row r="1663" spans="8:9">
      <c r="H1663" s="66" t="e">
        <f>IF(OR(LEFT(B1663,FIND("_",B1663,1)-1)="ULGALLOC",LEFT(B1663,FIND("_",B1663,1)-1)="ULSPOOL"),LEFT(B1663,FIND("_",B1663,1)-1),VLOOKUP(LEFT(A1663,6),'Code Library'!$D$3:$E$200,2,0))&amp;"_"&amp;RIGHT(A1663,3)</f>
        <v>#VALUE!</v>
      </c>
      <c r="I1663" s="66">
        <f t="shared" si="25"/>
        <v>0</v>
      </c>
    </row>
    <row r="1664" spans="8:9">
      <c r="H1664" s="66" t="e">
        <f>IF(OR(LEFT(B1664,FIND("_",B1664,1)-1)="ULGALLOC",LEFT(B1664,FIND("_",B1664,1)-1)="ULSPOOL"),LEFT(B1664,FIND("_",B1664,1)-1),VLOOKUP(LEFT(A1664,6),'Code Library'!$D$3:$E$200,2,0))&amp;"_"&amp;RIGHT(A1664,3)</f>
        <v>#VALUE!</v>
      </c>
      <c r="I1664" s="66">
        <f t="shared" si="25"/>
        <v>0</v>
      </c>
    </row>
    <row r="1665" spans="8:9">
      <c r="H1665" s="66" t="e">
        <f>IF(OR(LEFT(B1665,FIND("_",B1665,1)-1)="ULGALLOC",LEFT(B1665,FIND("_",B1665,1)-1)="ULSPOOL"),LEFT(B1665,FIND("_",B1665,1)-1),VLOOKUP(LEFT(A1665,6),'Code Library'!$D$3:$E$200,2,0))&amp;"_"&amp;RIGHT(A1665,3)</f>
        <v>#VALUE!</v>
      </c>
      <c r="I1665" s="66">
        <f t="shared" si="25"/>
        <v>0</v>
      </c>
    </row>
    <row r="1666" spans="8:9">
      <c r="H1666" s="66" t="e">
        <f>IF(OR(LEFT(B1666,FIND("_",B1666,1)-1)="ULGALLOC",LEFT(B1666,FIND("_",B1666,1)-1)="ULSPOOL"),LEFT(B1666,FIND("_",B1666,1)-1),VLOOKUP(LEFT(A1666,6),'Code Library'!$D$3:$E$200,2,0))&amp;"_"&amp;RIGHT(A1666,3)</f>
        <v>#VALUE!</v>
      </c>
      <c r="I1666" s="66">
        <f t="shared" si="25"/>
        <v>0</v>
      </c>
    </row>
    <row r="1667" spans="8:9">
      <c r="H1667" s="66" t="e">
        <f>IF(OR(LEFT(B1667,FIND("_",B1667,1)-1)="ULGALLOC",LEFT(B1667,FIND("_",B1667,1)-1)="ULSPOOL"),LEFT(B1667,FIND("_",B1667,1)-1),VLOOKUP(LEFT(A1667,6),'Code Library'!$D$3:$E$200,2,0))&amp;"_"&amp;RIGHT(A1667,3)</f>
        <v>#VALUE!</v>
      </c>
      <c r="I1667" s="66">
        <f t="shared" ref="I1667:I1730" si="26">A1667</f>
        <v>0</v>
      </c>
    </row>
    <row r="1668" spans="8:9">
      <c r="H1668" s="66" t="e">
        <f>IF(OR(LEFT(B1668,FIND("_",B1668,1)-1)="ULGALLOC",LEFT(B1668,FIND("_",B1668,1)-1)="ULSPOOL"),LEFT(B1668,FIND("_",B1668,1)-1),VLOOKUP(LEFT(A1668,6),'Code Library'!$D$3:$E$200,2,0))&amp;"_"&amp;RIGHT(A1668,3)</f>
        <v>#VALUE!</v>
      </c>
      <c r="I1668" s="66">
        <f t="shared" si="26"/>
        <v>0</v>
      </c>
    </row>
    <row r="1669" spans="8:9">
      <c r="H1669" s="66" t="e">
        <f>IF(OR(LEFT(B1669,FIND("_",B1669,1)-1)="ULGALLOC",LEFT(B1669,FIND("_",B1669,1)-1)="ULSPOOL"),LEFT(B1669,FIND("_",B1669,1)-1),VLOOKUP(LEFT(A1669,6),'Code Library'!$D$3:$E$200,2,0))&amp;"_"&amp;RIGHT(A1669,3)</f>
        <v>#VALUE!</v>
      </c>
      <c r="I1669" s="66">
        <f t="shared" si="26"/>
        <v>0</v>
      </c>
    </row>
    <row r="1670" spans="8:9">
      <c r="H1670" s="66" t="e">
        <f>IF(OR(LEFT(B1670,FIND("_",B1670,1)-1)="ULGALLOC",LEFT(B1670,FIND("_",B1670,1)-1)="ULSPOOL"),LEFT(B1670,FIND("_",B1670,1)-1),VLOOKUP(LEFT(A1670,6),'Code Library'!$D$3:$E$200,2,0))&amp;"_"&amp;RIGHT(A1670,3)</f>
        <v>#VALUE!</v>
      </c>
      <c r="I1670" s="66">
        <f t="shared" si="26"/>
        <v>0</v>
      </c>
    </row>
    <row r="1671" spans="8:9">
      <c r="H1671" s="66" t="e">
        <f>IF(OR(LEFT(B1671,FIND("_",B1671,1)-1)="ULGALLOC",LEFT(B1671,FIND("_",B1671,1)-1)="ULSPOOL"),LEFT(B1671,FIND("_",B1671,1)-1),VLOOKUP(LEFT(A1671,6),'Code Library'!$D$3:$E$200,2,0))&amp;"_"&amp;RIGHT(A1671,3)</f>
        <v>#VALUE!</v>
      </c>
      <c r="I1671" s="66">
        <f t="shared" si="26"/>
        <v>0</v>
      </c>
    </row>
    <row r="1672" spans="8:9">
      <c r="H1672" s="66" t="e">
        <f>IF(OR(LEFT(B1672,FIND("_",B1672,1)-1)="ULGALLOC",LEFT(B1672,FIND("_",B1672,1)-1)="ULSPOOL"),LEFT(B1672,FIND("_",B1672,1)-1),VLOOKUP(LEFT(A1672,6),'Code Library'!$D$3:$E$200,2,0))&amp;"_"&amp;RIGHT(A1672,3)</f>
        <v>#VALUE!</v>
      </c>
      <c r="I1672" s="66">
        <f t="shared" si="26"/>
        <v>0</v>
      </c>
    </row>
    <row r="1673" spans="8:9">
      <c r="H1673" s="66" t="e">
        <f>IF(OR(LEFT(B1673,FIND("_",B1673,1)-1)="ULGALLOC",LEFT(B1673,FIND("_",B1673,1)-1)="ULSPOOL"),LEFT(B1673,FIND("_",B1673,1)-1),VLOOKUP(LEFT(A1673,6),'Code Library'!$D$3:$E$200,2,0))&amp;"_"&amp;RIGHT(A1673,3)</f>
        <v>#VALUE!</v>
      </c>
      <c r="I1673" s="66">
        <f t="shared" si="26"/>
        <v>0</v>
      </c>
    </row>
    <row r="1674" spans="8:9">
      <c r="H1674" s="66" t="e">
        <f>IF(OR(LEFT(B1674,FIND("_",B1674,1)-1)="ULGALLOC",LEFT(B1674,FIND("_",B1674,1)-1)="ULSPOOL"),LEFT(B1674,FIND("_",B1674,1)-1),VLOOKUP(LEFT(A1674,6),'Code Library'!$D$3:$E$200,2,0))&amp;"_"&amp;RIGHT(A1674,3)</f>
        <v>#VALUE!</v>
      </c>
      <c r="I1674" s="66">
        <f t="shared" si="26"/>
        <v>0</v>
      </c>
    </row>
    <row r="1675" spans="8:9">
      <c r="H1675" s="66" t="e">
        <f>IF(OR(LEFT(B1675,FIND("_",B1675,1)-1)="ULGALLOC",LEFT(B1675,FIND("_",B1675,1)-1)="ULSPOOL"),LEFT(B1675,FIND("_",B1675,1)-1),VLOOKUP(LEFT(A1675,6),'Code Library'!$D$3:$E$200,2,0))&amp;"_"&amp;RIGHT(A1675,3)</f>
        <v>#VALUE!</v>
      </c>
      <c r="I1675" s="66">
        <f t="shared" si="26"/>
        <v>0</v>
      </c>
    </row>
    <row r="1676" spans="8:9">
      <c r="H1676" s="66" t="e">
        <f>IF(OR(LEFT(B1676,FIND("_",B1676,1)-1)="ULGALLOC",LEFT(B1676,FIND("_",B1676,1)-1)="ULSPOOL"),LEFT(B1676,FIND("_",B1676,1)-1),VLOOKUP(LEFT(A1676,6),'Code Library'!$D$3:$E$200,2,0))&amp;"_"&amp;RIGHT(A1676,3)</f>
        <v>#VALUE!</v>
      </c>
      <c r="I1676" s="66">
        <f t="shared" si="26"/>
        <v>0</v>
      </c>
    </row>
    <row r="1677" spans="8:9">
      <c r="H1677" s="66" t="e">
        <f>IF(OR(LEFT(B1677,FIND("_",B1677,1)-1)="ULGALLOC",LEFT(B1677,FIND("_",B1677,1)-1)="ULSPOOL"),LEFT(B1677,FIND("_",B1677,1)-1),VLOOKUP(LEFT(A1677,6),'Code Library'!$D$3:$E$200,2,0))&amp;"_"&amp;RIGHT(A1677,3)</f>
        <v>#VALUE!</v>
      </c>
      <c r="I1677" s="66">
        <f t="shared" si="26"/>
        <v>0</v>
      </c>
    </row>
    <row r="1678" spans="8:9">
      <c r="H1678" s="66" t="e">
        <f>IF(OR(LEFT(B1678,FIND("_",B1678,1)-1)="ULGALLOC",LEFT(B1678,FIND("_",B1678,1)-1)="ULSPOOL"),LEFT(B1678,FIND("_",B1678,1)-1),VLOOKUP(LEFT(A1678,6),'Code Library'!$D$3:$E$200,2,0))&amp;"_"&amp;RIGHT(A1678,3)</f>
        <v>#VALUE!</v>
      </c>
      <c r="I1678" s="66">
        <f t="shared" si="26"/>
        <v>0</v>
      </c>
    </row>
    <row r="1679" spans="8:9">
      <c r="H1679" s="66" t="e">
        <f>IF(OR(LEFT(B1679,FIND("_",B1679,1)-1)="ULGALLOC",LEFT(B1679,FIND("_",B1679,1)-1)="ULSPOOL"),LEFT(B1679,FIND("_",B1679,1)-1),VLOOKUP(LEFT(A1679,6),'Code Library'!$D$3:$E$200,2,0))&amp;"_"&amp;RIGHT(A1679,3)</f>
        <v>#VALUE!</v>
      </c>
      <c r="I1679" s="66">
        <f t="shared" si="26"/>
        <v>0</v>
      </c>
    </row>
    <row r="1680" spans="8:9">
      <c r="H1680" s="66" t="e">
        <f>IF(OR(LEFT(B1680,FIND("_",B1680,1)-1)="ULGALLOC",LEFT(B1680,FIND("_",B1680,1)-1)="ULSPOOL"),LEFT(B1680,FIND("_",B1680,1)-1),VLOOKUP(LEFT(A1680,6),'Code Library'!$D$3:$E$200,2,0))&amp;"_"&amp;RIGHT(A1680,3)</f>
        <v>#VALUE!</v>
      </c>
      <c r="I1680" s="66">
        <f t="shared" si="26"/>
        <v>0</v>
      </c>
    </row>
    <row r="1681" spans="8:9">
      <c r="H1681" s="66" t="e">
        <f>IF(OR(LEFT(B1681,FIND("_",B1681,1)-1)="ULGALLOC",LEFT(B1681,FIND("_",B1681,1)-1)="ULSPOOL"),LEFT(B1681,FIND("_",B1681,1)-1),VLOOKUP(LEFT(A1681,6),'Code Library'!$D$3:$E$200,2,0))&amp;"_"&amp;RIGHT(A1681,3)</f>
        <v>#VALUE!</v>
      </c>
      <c r="I1681" s="66">
        <f t="shared" si="26"/>
        <v>0</v>
      </c>
    </row>
    <row r="1682" spans="8:9">
      <c r="H1682" s="66" t="e">
        <f>IF(OR(LEFT(B1682,FIND("_",B1682,1)-1)="ULGALLOC",LEFT(B1682,FIND("_",B1682,1)-1)="ULSPOOL"),LEFT(B1682,FIND("_",B1682,1)-1),VLOOKUP(LEFT(A1682,6),'Code Library'!$D$3:$E$200,2,0))&amp;"_"&amp;RIGHT(A1682,3)</f>
        <v>#VALUE!</v>
      </c>
      <c r="I1682" s="66">
        <f t="shared" si="26"/>
        <v>0</v>
      </c>
    </row>
    <row r="1683" spans="8:9">
      <c r="H1683" s="66" t="e">
        <f>IF(OR(LEFT(B1683,FIND("_",B1683,1)-1)="ULGALLOC",LEFT(B1683,FIND("_",B1683,1)-1)="ULSPOOL"),LEFT(B1683,FIND("_",B1683,1)-1),VLOOKUP(LEFT(A1683,6),'Code Library'!$D$3:$E$200,2,0))&amp;"_"&amp;RIGHT(A1683,3)</f>
        <v>#VALUE!</v>
      </c>
      <c r="I1683" s="66">
        <f t="shared" si="26"/>
        <v>0</v>
      </c>
    </row>
    <row r="1684" spans="8:9">
      <c r="H1684" s="66" t="e">
        <f>IF(OR(LEFT(B1684,FIND("_",B1684,1)-1)="ULGALLOC",LEFT(B1684,FIND("_",B1684,1)-1)="ULSPOOL"),LEFT(B1684,FIND("_",B1684,1)-1),VLOOKUP(LEFT(A1684,6),'Code Library'!$D$3:$E$200,2,0))&amp;"_"&amp;RIGHT(A1684,3)</f>
        <v>#VALUE!</v>
      </c>
      <c r="I1684" s="66">
        <f t="shared" si="26"/>
        <v>0</v>
      </c>
    </row>
    <row r="1685" spans="8:9">
      <c r="H1685" s="66" t="e">
        <f>IF(OR(LEFT(B1685,FIND("_",B1685,1)-1)="ULGALLOC",LEFT(B1685,FIND("_",B1685,1)-1)="ULSPOOL"),LEFT(B1685,FIND("_",B1685,1)-1),VLOOKUP(LEFT(A1685,6),'Code Library'!$D$3:$E$200,2,0))&amp;"_"&amp;RIGHT(A1685,3)</f>
        <v>#VALUE!</v>
      </c>
      <c r="I1685" s="66">
        <f t="shared" si="26"/>
        <v>0</v>
      </c>
    </row>
    <row r="1686" spans="8:9">
      <c r="H1686" s="66" t="e">
        <f>IF(OR(LEFT(B1686,FIND("_",B1686,1)-1)="ULGALLOC",LEFT(B1686,FIND("_",B1686,1)-1)="ULSPOOL"),LEFT(B1686,FIND("_",B1686,1)-1),VLOOKUP(LEFT(A1686,6),'Code Library'!$D$3:$E$200,2,0))&amp;"_"&amp;RIGHT(A1686,3)</f>
        <v>#VALUE!</v>
      </c>
      <c r="I1686" s="66">
        <f t="shared" si="26"/>
        <v>0</v>
      </c>
    </row>
    <row r="1687" spans="8:9">
      <c r="H1687" s="66" t="e">
        <f>IF(OR(LEFT(B1687,FIND("_",B1687,1)-1)="ULGALLOC",LEFT(B1687,FIND("_",B1687,1)-1)="ULSPOOL"),LEFT(B1687,FIND("_",B1687,1)-1),VLOOKUP(LEFT(A1687,6),'Code Library'!$D$3:$E$200,2,0))&amp;"_"&amp;RIGHT(A1687,3)</f>
        <v>#VALUE!</v>
      </c>
      <c r="I1687" s="66">
        <f t="shared" si="26"/>
        <v>0</v>
      </c>
    </row>
    <row r="1688" spans="8:9">
      <c r="H1688" s="66" t="e">
        <f>IF(OR(LEFT(B1688,FIND("_",B1688,1)-1)="ULGALLOC",LEFT(B1688,FIND("_",B1688,1)-1)="ULSPOOL"),LEFT(B1688,FIND("_",B1688,1)-1),VLOOKUP(LEFT(A1688,6),'Code Library'!$D$3:$E$200,2,0))&amp;"_"&amp;RIGHT(A1688,3)</f>
        <v>#VALUE!</v>
      </c>
      <c r="I1688" s="66">
        <f t="shared" si="26"/>
        <v>0</v>
      </c>
    </row>
    <row r="1689" spans="8:9">
      <c r="H1689" s="66" t="e">
        <f>IF(OR(LEFT(B1689,FIND("_",B1689,1)-1)="ULGALLOC",LEFT(B1689,FIND("_",B1689,1)-1)="ULSPOOL"),LEFT(B1689,FIND("_",B1689,1)-1),VLOOKUP(LEFT(A1689,6),'Code Library'!$D$3:$E$200,2,0))&amp;"_"&amp;RIGHT(A1689,3)</f>
        <v>#VALUE!</v>
      </c>
      <c r="I1689" s="66">
        <f t="shared" si="26"/>
        <v>0</v>
      </c>
    </row>
    <row r="1690" spans="8:9">
      <c r="H1690" s="66" t="e">
        <f>IF(OR(LEFT(B1690,FIND("_",B1690,1)-1)="ULGALLOC",LEFT(B1690,FIND("_",B1690,1)-1)="ULSPOOL"),LEFT(B1690,FIND("_",B1690,1)-1),VLOOKUP(LEFT(A1690,6),'Code Library'!$D$3:$E$200,2,0))&amp;"_"&amp;RIGHT(A1690,3)</f>
        <v>#VALUE!</v>
      </c>
      <c r="I1690" s="66">
        <f t="shared" si="26"/>
        <v>0</v>
      </c>
    </row>
    <row r="1691" spans="8:9">
      <c r="H1691" s="66" t="e">
        <f>IF(OR(LEFT(B1691,FIND("_",B1691,1)-1)="ULGALLOC",LEFT(B1691,FIND("_",B1691,1)-1)="ULSPOOL"),LEFT(B1691,FIND("_",B1691,1)-1),VLOOKUP(LEFT(A1691,6),'Code Library'!$D$3:$E$200,2,0))&amp;"_"&amp;RIGHT(A1691,3)</f>
        <v>#VALUE!</v>
      </c>
      <c r="I1691" s="66">
        <f t="shared" si="26"/>
        <v>0</v>
      </c>
    </row>
    <row r="1692" spans="8:9">
      <c r="H1692" s="66" t="e">
        <f>IF(OR(LEFT(B1692,FIND("_",B1692,1)-1)="ULGALLOC",LEFT(B1692,FIND("_",B1692,1)-1)="ULSPOOL"),LEFT(B1692,FIND("_",B1692,1)-1),VLOOKUP(LEFT(A1692,6),'Code Library'!$D$3:$E$200,2,0))&amp;"_"&amp;RIGHT(A1692,3)</f>
        <v>#VALUE!</v>
      </c>
      <c r="I1692" s="66">
        <f t="shared" si="26"/>
        <v>0</v>
      </c>
    </row>
    <row r="1693" spans="8:9">
      <c r="H1693" s="66" t="e">
        <f>IF(OR(LEFT(B1693,FIND("_",B1693,1)-1)="ULGALLOC",LEFT(B1693,FIND("_",B1693,1)-1)="ULSPOOL"),LEFT(B1693,FIND("_",B1693,1)-1),VLOOKUP(LEFT(A1693,6),'Code Library'!$D$3:$E$200,2,0))&amp;"_"&amp;RIGHT(A1693,3)</f>
        <v>#VALUE!</v>
      </c>
      <c r="I1693" s="66">
        <f t="shared" si="26"/>
        <v>0</v>
      </c>
    </row>
    <row r="1694" spans="8:9">
      <c r="H1694" s="66" t="e">
        <f>IF(OR(LEFT(B1694,FIND("_",B1694,1)-1)="ULGALLOC",LEFT(B1694,FIND("_",B1694,1)-1)="ULSPOOL"),LEFT(B1694,FIND("_",B1694,1)-1),VLOOKUP(LEFT(A1694,6),'Code Library'!$D$3:$E$200,2,0))&amp;"_"&amp;RIGHT(A1694,3)</f>
        <v>#VALUE!</v>
      </c>
      <c r="I1694" s="66">
        <f t="shared" si="26"/>
        <v>0</v>
      </c>
    </row>
    <row r="1695" spans="8:9">
      <c r="H1695" s="66" t="e">
        <f>IF(OR(LEFT(B1695,FIND("_",B1695,1)-1)="ULGALLOC",LEFT(B1695,FIND("_",B1695,1)-1)="ULSPOOL"),LEFT(B1695,FIND("_",B1695,1)-1),VLOOKUP(LEFT(A1695,6),'Code Library'!$D$3:$E$200,2,0))&amp;"_"&amp;RIGHT(A1695,3)</f>
        <v>#VALUE!</v>
      </c>
      <c r="I1695" s="66">
        <f t="shared" si="26"/>
        <v>0</v>
      </c>
    </row>
    <row r="1696" spans="8:9">
      <c r="H1696" s="66" t="e">
        <f>IF(OR(LEFT(B1696,FIND("_",B1696,1)-1)="ULGALLOC",LEFT(B1696,FIND("_",B1696,1)-1)="ULSPOOL"),LEFT(B1696,FIND("_",B1696,1)-1),VLOOKUP(LEFT(A1696,6),'Code Library'!$D$3:$E$200,2,0))&amp;"_"&amp;RIGHT(A1696,3)</f>
        <v>#VALUE!</v>
      </c>
      <c r="I1696" s="66">
        <f t="shared" si="26"/>
        <v>0</v>
      </c>
    </row>
    <row r="1697" spans="8:9">
      <c r="H1697" s="66" t="e">
        <f>IF(OR(LEFT(B1697,FIND("_",B1697,1)-1)="ULGALLOC",LEFT(B1697,FIND("_",B1697,1)-1)="ULSPOOL"),LEFT(B1697,FIND("_",B1697,1)-1),VLOOKUP(LEFT(A1697,6),'Code Library'!$D$3:$E$200,2,0))&amp;"_"&amp;RIGHT(A1697,3)</f>
        <v>#VALUE!</v>
      </c>
      <c r="I1697" s="66">
        <f t="shared" si="26"/>
        <v>0</v>
      </c>
    </row>
    <row r="1698" spans="8:9">
      <c r="H1698" s="66" t="e">
        <f>IF(OR(LEFT(B1698,FIND("_",B1698,1)-1)="ULGALLOC",LEFT(B1698,FIND("_",B1698,1)-1)="ULSPOOL"),LEFT(B1698,FIND("_",B1698,1)-1),VLOOKUP(LEFT(A1698,6),'Code Library'!$D$3:$E$200,2,0))&amp;"_"&amp;RIGHT(A1698,3)</f>
        <v>#VALUE!</v>
      </c>
      <c r="I1698" s="66">
        <f t="shared" si="26"/>
        <v>0</v>
      </c>
    </row>
    <row r="1699" spans="8:9">
      <c r="H1699" s="66" t="e">
        <f>IF(OR(LEFT(B1699,FIND("_",B1699,1)-1)="ULGALLOC",LEFT(B1699,FIND("_",B1699,1)-1)="ULSPOOL"),LEFT(B1699,FIND("_",B1699,1)-1),VLOOKUP(LEFT(A1699,6),'Code Library'!$D$3:$E$200,2,0))&amp;"_"&amp;RIGHT(A1699,3)</f>
        <v>#VALUE!</v>
      </c>
      <c r="I1699" s="66">
        <f t="shared" si="26"/>
        <v>0</v>
      </c>
    </row>
    <row r="1700" spans="8:9">
      <c r="H1700" s="66" t="e">
        <f>IF(OR(LEFT(B1700,FIND("_",B1700,1)-1)="ULGALLOC",LEFT(B1700,FIND("_",B1700,1)-1)="ULSPOOL"),LEFT(B1700,FIND("_",B1700,1)-1),VLOOKUP(LEFT(A1700,6),'Code Library'!$D$3:$E$200,2,0))&amp;"_"&amp;RIGHT(A1700,3)</f>
        <v>#VALUE!</v>
      </c>
      <c r="I1700" s="66">
        <f t="shared" si="26"/>
        <v>0</v>
      </c>
    </row>
    <row r="1701" spans="8:9">
      <c r="H1701" s="66" t="e">
        <f>IF(OR(LEFT(B1701,FIND("_",B1701,1)-1)="ULGALLOC",LEFT(B1701,FIND("_",B1701,1)-1)="ULSPOOL"),LEFT(B1701,FIND("_",B1701,1)-1),VLOOKUP(LEFT(A1701,6),'Code Library'!$D$3:$E$200,2,0))&amp;"_"&amp;RIGHT(A1701,3)</f>
        <v>#VALUE!</v>
      </c>
      <c r="I1701" s="66">
        <f t="shared" si="26"/>
        <v>0</v>
      </c>
    </row>
    <row r="1702" spans="8:9">
      <c r="H1702" s="66" t="e">
        <f>IF(OR(LEFT(B1702,FIND("_",B1702,1)-1)="ULGALLOC",LEFT(B1702,FIND("_",B1702,1)-1)="ULSPOOL"),LEFT(B1702,FIND("_",B1702,1)-1),VLOOKUP(LEFT(A1702,6),'Code Library'!$D$3:$E$200,2,0))&amp;"_"&amp;RIGHT(A1702,3)</f>
        <v>#VALUE!</v>
      </c>
      <c r="I1702" s="66">
        <f t="shared" si="26"/>
        <v>0</v>
      </c>
    </row>
    <row r="1703" spans="8:9">
      <c r="H1703" s="66" t="e">
        <f>IF(OR(LEFT(B1703,FIND("_",B1703,1)-1)="ULGALLOC",LEFT(B1703,FIND("_",B1703,1)-1)="ULSPOOL"),LEFT(B1703,FIND("_",B1703,1)-1),VLOOKUP(LEFT(A1703,6),'Code Library'!$D$3:$E$200,2,0))&amp;"_"&amp;RIGHT(A1703,3)</f>
        <v>#VALUE!</v>
      </c>
      <c r="I1703" s="66">
        <f t="shared" si="26"/>
        <v>0</v>
      </c>
    </row>
    <row r="1704" spans="8:9">
      <c r="H1704" s="66" t="e">
        <f>IF(OR(LEFT(B1704,FIND("_",B1704,1)-1)="ULGALLOC",LEFT(B1704,FIND("_",B1704,1)-1)="ULSPOOL"),LEFT(B1704,FIND("_",B1704,1)-1),VLOOKUP(LEFT(A1704,6),'Code Library'!$D$3:$E$200,2,0))&amp;"_"&amp;RIGHT(A1704,3)</f>
        <v>#VALUE!</v>
      </c>
      <c r="I1704" s="66">
        <f t="shared" si="26"/>
        <v>0</v>
      </c>
    </row>
    <row r="1705" spans="8:9">
      <c r="H1705" s="66" t="e">
        <f>IF(OR(LEFT(B1705,FIND("_",B1705,1)-1)="ULGALLOC",LEFT(B1705,FIND("_",B1705,1)-1)="ULSPOOL"),LEFT(B1705,FIND("_",B1705,1)-1),VLOOKUP(LEFT(A1705,6),'Code Library'!$D$3:$E$200,2,0))&amp;"_"&amp;RIGHT(A1705,3)</f>
        <v>#VALUE!</v>
      </c>
      <c r="I1705" s="66">
        <f t="shared" si="26"/>
        <v>0</v>
      </c>
    </row>
    <row r="1706" spans="8:9">
      <c r="H1706" s="66" t="e">
        <f>IF(OR(LEFT(B1706,FIND("_",B1706,1)-1)="ULGALLOC",LEFT(B1706,FIND("_",B1706,1)-1)="ULSPOOL"),LEFT(B1706,FIND("_",B1706,1)-1),VLOOKUP(LEFT(A1706,6),'Code Library'!$D$3:$E$200,2,0))&amp;"_"&amp;RIGHT(A1706,3)</f>
        <v>#VALUE!</v>
      </c>
      <c r="I1706" s="66">
        <f t="shared" si="26"/>
        <v>0</v>
      </c>
    </row>
    <row r="1707" spans="8:9">
      <c r="H1707" s="66" t="e">
        <f>IF(OR(LEFT(B1707,FIND("_",B1707,1)-1)="ULGALLOC",LEFT(B1707,FIND("_",B1707,1)-1)="ULSPOOL"),LEFT(B1707,FIND("_",B1707,1)-1),VLOOKUP(LEFT(A1707,6),'Code Library'!$D$3:$E$200,2,0))&amp;"_"&amp;RIGHT(A1707,3)</f>
        <v>#VALUE!</v>
      </c>
      <c r="I1707" s="66">
        <f t="shared" si="26"/>
        <v>0</v>
      </c>
    </row>
    <row r="1708" spans="8:9">
      <c r="H1708" s="66" t="e">
        <f>IF(OR(LEFT(B1708,FIND("_",B1708,1)-1)="ULGALLOC",LEFT(B1708,FIND("_",B1708,1)-1)="ULSPOOL"),LEFT(B1708,FIND("_",B1708,1)-1),VLOOKUP(LEFT(A1708,6),'Code Library'!$D$3:$E$200,2,0))&amp;"_"&amp;RIGHT(A1708,3)</f>
        <v>#VALUE!</v>
      </c>
      <c r="I1708" s="66">
        <f t="shared" si="26"/>
        <v>0</v>
      </c>
    </row>
    <row r="1709" spans="8:9">
      <c r="H1709" s="66" t="e">
        <f>IF(OR(LEFT(B1709,FIND("_",B1709,1)-1)="ULGALLOC",LEFT(B1709,FIND("_",B1709,1)-1)="ULSPOOL"),LEFT(B1709,FIND("_",B1709,1)-1),VLOOKUP(LEFT(A1709,6),'Code Library'!$D$3:$E$200,2,0))&amp;"_"&amp;RIGHT(A1709,3)</f>
        <v>#VALUE!</v>
      </c>
      <c r="I1709" s="66">
        <f t="shared" si="26"/>
        <v>0</v>
      </c>
    </row>
    <row r="1710" spans="8:9">
      <c r="H1710" s="66" t="e">
        <f>IF(OR(LEFT(B1710,FIND("_",B1710,1)-1)="ULGALLOC",LEFT(B1710,FIND("_",B1710,1)-1)="ULSPOOL"),LEFT(B1710,FIND("_",B1710,1)-1),VLOOKUP(LEFT(A1710,6),'Code Library'!$D$3:$E$200,2,0))&amp;"_"&amp;RIGHT(A1710,3)</f>
        <v>#VALUE!</v>
      </c>
      <c r="I1710" s="66">
        <f t="shared" si="26"/>
        <v>0</v>
      </c>
    </row>
    <row r="1711" spans="8:9">
      <c r="H1711" s="66" t="e">
        <f>IF(OR(LEFT(B1711,FIND("_",B1711,1)-1)="ULGALLOC",LEFT(B1711,FIND("_",B1711,1)-1)="ULSPOOL"),LEFT(B1711,FIND("_",B1711,1)-1),VLOOKUP(LEFT(A1711,6),'Code Library'!$D$3:$E$200,2,0))&amp;"_"&amp;RIGHT(A1711,3)</f>
        <v>#VALUE!</v>
      </c>
      <c r="I1711" s="66">
        <f t="shared" si="26"/>
        <v>0</v>
      </c>
    </row>
    <row r="1712" spans="8:9">
      <c r="H1712" s="66" t="e">
        <f>IF(OR(LEFT(B1712,FIND("_",B1712,1)-1)="ULGALLOC",LEFT(B1712,FIND("_",B1712,1)-1)="ULSPOOL"),LEFT(B1712,FIND("_",B1712,1)-1),VLOOKUP(LEFT(A1712,6),'Code Library'!$D$3:$E$200,2,0))&amp;"_"&amp;RIGHT(A1712,3)</f>
        <v>#VALUE!</v>
      </c>
      <c r="I1712" s="66">
        <f t="shared" si="26"/>
        <v>0</v>
      </c>
    </row>
    <row r="1713" spans="8:9">
      <c r="H1713" s="66" t="e">
        <f>IF(OR(LEFT(B1713,FIND("_",B1713,1)-1)="ULGALLOC",LEFT(B1713,FIND("_",B1713,1)-1)="ULSPOOL"),LEFT(B1713,FIND("_",B1713,1)-1),VLOOKUP(LEFT(A1713,6),'Code Library'!$D$3:$E$200,2,0))&amp;"_"&amp;RIGHT(A1713,3)</f>
        <v>#VALUE!</v>
      </c>
      <c r="I1713" s="66">
        <f t="shared" si="26"/>
        <v>0</v>
      </c>
    </row>
    <row r="1714" spans="8:9">
      <c r="H1714" s="66" t="e">
        <f>IF(OR(LEFT(B1714,FIND("_",B1714,1)-1)="ULGALLOC",LEFT(B1714,FIND("_",B1714,1)-1)="ULSPOOL"),LEFT(B1714,FIND("_",B1714,1)-1),VLOOKUP(LEFT(A1714,6),'Code Library'!$D$3:$E$200,2,0))&amp;"_"&amp;RIGHT(A1714,3)</f>
        <v>#VALUE!</v>
      </c>
      <c r="I1714" s="66">
        <f t="shared" si="26"/>
        <v>0</v>
      </c>
    </row>
    <row r="1715" spans="8:9">
      <c r="H1715" s="66" t="e">
        <f>IF(OR(LEFT(B1715,FIND("_",B1715,1)-1)="ULGALLOC",LEFT(B1715,FIND("_",B1715,1)-1)="ULSPOOL"),LEFT(B1715,FIND("_",B1715,1)-1),VLOOKUP(LEFT(A1715,6),'Code Library'!$D$3:$E$200,2,0))&amp;"_"&amp;RIGHT(A1715,3)</f>
        <v>#VALUE!</v>
      </c>
      <c r="I1715" s="66">
        <f t="shared" si="26"/>
        <v>0</v>
      </c>
    </row>
    <row r="1716" spans="8:9">
      <c r="H1716" s="66" t="e">
        <f>IF(OR(LEFT(B1716,FIND("_",B1716,1)-1)="ULGALLOC",LEFT(B1716,FIND("_",B1716,1)-1)="ULSPOOL"),LEFT(B1716,FIND("_",B1716,1)-1),VLOOKUP(LEFT(A1716,6),'Code Library'!$D$3:$E$200,2,0))&amp;"_"&amp;RIGHT(A1716,3)</f>
        <v>#VALUE!</v>
      </c>
      <c r="I1716" s="66">
        <f t="shared" si="26"/>
        <v>0</v>
      </c>
    </row>
    <row r="1717" spans="8:9">
      <c r="H1717" s="66" t="e">
        <f>IF(OR(LEFT(B1717,FIND("_",B1717,1)-1)="ULGALLOC",LEFT(B1717,FIND("_",B1717,1)-1)="ULSPOOL"),LEFT(B1717,FIND("_",B1717,1)-1),VLOOKUP(LEFT(A1717,6),'Code Library'!$D$3:$E$200,2,0))&amp;"_"&amp;RIGHT(A1717,3)</f>
        <v>#VALUE!</v>
      </c>
      <c r="I1717" s="66">
        <f t="shared" si="26"/>
        <v>0</v>
      </c>
    </row>
    <row r="1718" spans="8:9">
      <c r="H1718" s="66" t="e">
        <f>IF(OR(LEFT(B1718,FIND("_",B1718,1)-1)="ULGALLOC",LEFT(B1718,FIND("_",B1718,1)-1)="ULSPOOL"),LEFT(B1718,FIND("_",B1718,1)-1),VLOOKUP(LEFT(A1718,6),'Code Library'!$D$3:$E$200,2,0))&amp;"_"&amp;RIGHT(A1718,3)</f>
        <v>#VALUE!</v>
      </c>
      <c r="I1718" s="66">
        <f t="shared" si="26"/>
        <v>0</v>
      </c>
    </row>
    <row r="1719" spans="8:9">
      <c r="H1719" s="66" t="e">
        <f>IF(OR(LEFT(B1719,FIND("_",B1719,1)-1)="ULGALLOC",LEFT(B1719,FIND("_",B1719,1)-1)="ULSPOOL"),LEFT(B1719,FIND("_",B1719,1)-1),VLOOKUP(LEFT(A1719,6),'Code Library'!$D$3:$E$200,2,0))&amp;"_"&amp;RIGHT(A1719,3)</f>
        <v>#VALUE!</v>
      </c>
      <c r="I1719" s="66">
        <f t="shared" si="26"/>
        <v>0</v>
      </c>
    </row>
    <row r="1720" spans="8:9">
      <c r="H1720" s="66" t="e">
        <f>IF(OR(LEFT(B1720,FIND("_",B1720,1)-1)="ULGALLOC",LEFT(B1720,FIND("_",B1720,1)-1)="ULSPOOL"),LEFT(B1720,FIND("_",B1720,1)-1),VLOOKUP(LEFT(A1720,6),'Code Library'!$D$3:$E$200,2,0))&amp;"_"&amp;RIGHT(A1720,3)</f>
        <v>#VALUE!</v>
      </c>
      <c r="I1720" s="66">
        <f t="shared" si="26"/>
        <v>0</v>
      </c>
    </row>
    <row r="1721" spans="8:9">
      <c r="H1721" s="66" t="e">
        <f>IF(OR(LEFT(B1721,FIND("_",B1721,1)-1)="ULGALLOC",LEFT(B1721,FIND("_",B1721,1)-1)="ULSPOOL"),LEFT(B1721,FIND("_",B1721,1)-1),VLOOKUP(LEFT(A1721,6),'Code Library'!$D$3:$E$200,2,0))&amp;"_"&amp;RIGHT(A1721,3)</f>
        <v>#VALUE!</v>
      </c>
      <c r="I1721" s="66">
        <f t="shared" si="26"/>
        <v>0</v>
      </c>
    </row>
    <row r="1722" spans="8:9">
      <c r="H1722" s="66" t="e">
        <f>IF(OR(LEFT(B1722,FIND("_",B1722,1)-1)="ULGALLOC",LEFT(B1722,FIND("_",B1722,1)-1)="ULSPOOL"),LEFT(B1722,FIND("_",B1722,1)-1),VLOOKUP(LEFT(A1722,6),'Code Library'!$D$3:$E$200,2,0))&amp;"_"&amp;RIGHT(A1722,3)</f>
        <v>#VALUE!</v>
      </c>
      <c r="I1722" s="66">
        <f t="shared" si="26"/>
        <v>0</v>
      </c>
    </row>
    <row r="1723" spans="8:9">
      <c r="H1723" s="66" t="e">
        <f>IF(OR(LEFT(B1723,FIND("_",B1723,1)-1)="ULGALLOC",LEFT(B1723,FIND("_",B1723,1)-1)="ULSPOOL"),LEFT(B1723,FIND("_",B1723,1)-1),VLOOKUP(LEFT(A1723,6),'Code Library'!$D$3:$E$200,2,0))&amp;"_"&amp;RIGHT(A1723,3)</f>
        <v>#VALUE!</v>
      </c>
      <c r="I1723" s="66">
        <f t="shared" si="26"/>
        <v>0</v>
      </c>
    </row>
    <row r="1724" spans="8:9">
      <c r="H1724" s="66" t="e">
        <f>IF(OR(LEFT(B1724,FIND("_",B1724,1)-1)="ULGALLOC",LEFT(B1724,FIND("_",B1724,1)-1)="ULSPOOL"),LEFT(B1724,FIND("_",B1724,1)-1),VLOOKUP(LEFT(A1724,6),'Code Library'!$D$3:$E$200,2,0))&amp;"_"&amp;RIGHT(A1724,3)</f>
        <v>#VALUE!</v>
      </c>
      <c r="I1724" s="66">
        <f t="shared" si="26"/>
        <v>0</v>
      </c>
    </row>
    <row r="1725" spans="8:9">
      <c r="H1725" s="66" t="e">
        <f>IF(OR(LEFT(B1725,FIND("_",B1725,1)-1)="ULGALLOC",LEFT(B1725,FIND("_",B1725,1)-1)="ULSPOOL"),LEFT(B1725,FIND("_",B1725,1)-1),VLOOKUP(LEFT(A1725,6),'Code Library'!$D$3:$E$200,2,0))&amp;"_"&amp;RIGHT(A1725,3)</f>
        <v>#VALUE!</v>
      </c>
      <c r="I1725" s="66">
        <f t="shared" si="26"/>
        <v>0</v>
      </c>
    </row>
    <row r="1726" spans="8:9">
      <c r="H1726" s="66" t="e">
        <f>IF(OR(LEFT(B1726,FIND("_",B1726,1)-1)="ULGALLOC",LEFT(B1726,FIND("_",B1726,1)-1)="ULSPOOL"),LEFT(B1726,FIND("_",B1726,1)-1),VLOOKUP(LEFT(A1726,6),'Code Library'!$D$3:$E$200,2,0))&amp;"_"&amp;RIGHT(A1726,3)</f>
        <v>#VALUE!</v>
      </c>
      <c r="I1726" s="66">
        <f t="shared" si="26"/>
        <v>0</v>
      </c>
    </row>
    <row r="1727" spans="8:9">
      <c r="H1727" s="66" t="e">
        <f>IF(OR(LEFT(B1727,FIND("_",B1727,1)-1)="ULGALLOC",LEFT(B1727,FIND("_",B1727,1)-1)="ULSPOOL"),LEFT(B1727,FIND("_",B1727,1)-1),VLOOKUP(LEFT(A1727,6),'Code Library'!$D$3:$E$200,2,0))&amp;"_"&amp;RIGHT(A1727,3)</f>
        <v>#VALUE!</v>
      </c>
      <c r="I1727" s="66">
        <f t="shared" si="26"/>
        <v>0</v>
      </c>
    </row>
    <row r="1728" spans="8:9">
      <c r="H1728" s="66" t="e">
        <f>IF(OR(LEFT(B1728,FIND("_",B1728,1)-1)="ULGALLOC",LEFT(B1728,FIND("_",B1728,1)-1)="ULSPOOL"),LEFT(B1728,FIND("_",B1728,1)-1),VLOOKUP(LEFT(A1728,6),'Code Library'!$D$3:$E$200,2,0))&amp;"_"&amp;RIGHT(A1728,3)</f>
        <v>#VALUE!</v>
      </c>
      <c r="I1728" s="66">
        <f t="shared" si="26"/>
        <v>0</v>
      </c>
    </row>
    <row r="1729" spans="8:9">
      <c r="H1729" s="66" t="e">
        <f>IF(OR(LEFT(B1729,FIND("_",B1729,1)-1)="ULGALLOC",LEFT(B1729,FIND("_",B1729,1)-1)="ULSPOOL"),LEFT(B1729,FIND("_",B1729,1)-1),VLOOKUP(LEFT(A1729,6),'Code Library'!$D$3:$E$200,2,0))&amp;"_"&amp;RIGHT(A1729,3)</f>
        <v>#VALUE!</v>
      </c>
      <c r="I1729" s="66">
        <f t="shared" si="26"/>
        <v>0</v>
      </c>
    </row>
    <row r="1730" spans="8:9">
      <c r="H1730" s="66" t="e">
        <f>IF(OR(LEFT(B1730,FIND("_",B1730,1)-1)="ULGALLOC",LEFT(B1730,FIND("_",B1730,1)-1)="ULSPOOL"),LEFT(B1730,FIND("_",B1730,1)-1),VLOOKUP(LEFT(A1730,6),'Code Library'!$D$3:$E$200,2,0))&amp;"_"&amp;RIGHT(A1730,3)</f>
        <v>#VALUE!</v>
      </c>
      <c r="I1730" s="66">
        <f t="shared" si="26"/>
        <v>0</v>
      </c>
    </row>
    <row r="1731" spans="8:9">
      <c r="H1731" s="66" t="e">
        <f>IF(OR(LEFT(B1731,FIND("_",B1731,1)-1)="ULGALLOC",LEFT(B1731,FIND("_",B1731,1)-1)="ULSPOOL"),LEFT(B1731,FIND("_",B1731,1)-1),VLOOKUP(LEFT(A1731,6),'Code Library'!$D$3:$E$200,2,0))&amp;"_"&amp;RIGHT(A1731,3)</f>
        <v>#VALUE!</v>
      </c>
      <c r="I1731" s="66">
        <f t="shared" ref="I1731:I1794" si="27">A1731</f>
        <v>0</v>
      </c>
    </row>
    <row r="1732" spans="8:9">
      <c r="H1732" s="66" t="e">
        <f>IF(OR(LEFT(B1732,FIND("_",B1732,1)-1)="ULGALLOC",LEFT(B1732,FIND("_",B1732,1)-1)="ULSPOOL"),LEFT(B1732,FIND("_",B1732,1)-1),VLOOKUP(LEFT(A1732,6),'Code Library'!$D$3:$E$200,2,0))&amp;"_"&amp;RIGHT(A1732,3)</f>
        <v>#VALUE!</v>
      </c>
      <c r="I1732" s="66">
        <f t="shared" si="27"/>
        <v>0</v>
      </c>
    </row>
    <row r="1733" spans="8:9">
      <c r="H1733" s="66" t="e">
        <f>IF(OR(LEFT(B1733,FIND("_",B1733,1)-1)="ULGALLOC",LEFT(B1733,FIND("_",B1733,1)-1)="ULSPOOL"),LEFT(B1733,FIND("_",B1733,1)-1),VLOOKUP(LEFT(A1733,6),'Code Library'!$D$3:$E$200,2,0))&amp;"_"&amp;RIGHT(A1733,3)</f>
        <v>#VALUE!</v>
      </c>
      <c r="I1733" s="66">
        <f t="shared" si="27"/>
        <v>0</v>
      </c>
    </row>
    <row r="1734" spans="8:9">
      <c r="H1734" s="66" t="e">
        <f>IF(OR(LEFT(B1734,FIND("_",B1734,1)-1)="ULGALLOC",LEFT(B1734,FIND("_",B1734,1)-1)="ULSPOOL"),LEFT(B1734,FIND("_",B1734,1)-1),VLOOKUP(LEFT(A1734,6),'Code Library'!$D$3:$E$200,2,0))&amp;"_"&amp;RIGHT(A1734,3)</f>
        <v>#VALUE!</v>
      </c>
      <c r="I1734" s="66">
        <f t="shared" si="27"/>
        <v>0</v>
      </c>
    </row>
    <row r="1735" spans="8:9">
      <c r="H1735" s="66" t="e">
        <f>IF(OR(LEFT(B1735,FIND("_",B1735,1)-1)="ULGALLOC",LEFT(B1735,FIND("_",B1735,1)-1)="ULSPOOL"),LEFT(B1735,FIND("_",B1735,1)-1),VLOOKUP(LEFT(A1735,6),'Code Library'!$D$3:$E$200,2,0))&amp;"_"&amp;RIGHT(A1735,3)</f>
        <v>#VALUE!</v>
      </c>
      <c r="I1735" s="66">
        <f t="shared" si="27"/>
        <v>0</v>
      </c>
    </row>
    <row r="1736" spans="8:9">
      <c r="H1736" s="66" t="e">
        <f>IF(OR(LEFT(B1736,FIND("_",B1736,1)-1)="ULGALLOC",LEFT(B1736,FIND("_",B1736,1)-1)="ULSPOOL"),LEFT(B1736,FIND("_",B1736,1)-1),VLOOKUP(LEFT(A1736,6),'Code Library'!$D$3:$E$200,2,0))&amp;"_"&amp;RIGHT(A1736,3)</f>
        <v>#VALUE!</v>
      </c>
      <c r="I1736" s="66">
        <f t="shared" si="27"/>
        <v>0</v>
      </c>
    </row>
    <row r="1737" spans="8:9">
      <c r="H1737" s="66" t="e">
        <f>IF(OR(LEFT(B1737,FIND("_",B1737,1)-1)="ULGALLOC",LEFT(B1737,FIND("_",B1737,1)-1)="ULSPOOL"),LEFT(B1737,FIND("_",B1737,1)-1),VLOOKUP(LEFT(A1737,6),'Code Library'!$D$3:$E$200,2,0))&amp;"_"&amp;RIGHT(A1737,3)</f>
        <v>#VALUE!</v>
      </c>
      <c r="I1737" s="66">
        <f t="shared" si="27"/>
        <v>0</v>
      </c>
    </row>
    <row r="1738" spans="8:9">
      <c r="H1738" s="66" t="e">
        <f>IF(OR(LEFT(B1738,FIND("_",B1738,1)-1)="ULGALLOC",LEFT(B1738,FIND("_",B1738,1)-1)="ULSPOOL"),LEFT(B1738,FIND("_",B1738,1)-1),VLOOKUP(LEFT(A1738,6),'Code Library'!$D$3:$E$200,2,0))&amp;"_"&amp;RIGHT(A1738,3)</f>
        <v>#VALUE!</v>
      </c>
      <c r="I1738" s="66">
        <f t="shared" si="27"/>
        <v>0</v>
      </c>
    </row>
    <row r="1739" spans="8:9">
      <c r="H1739" s="66" t="e">
        <f>IF(OR(LEFT(B1739,FIND("_",B1739,1)-1)="ULGALLOC",LEFT(B1739,FIND("_",B1739,1)-1)="ULSPOOL"),LEFT(B1739,FIND("_",B1739,1)-1),VLOOKUP(LEFT(A1739,6),'Code Library'!$D$3:$E$200,2,0))&amp;"_"&amp;RIGHT(A1739,3)</f>
        <v>#VALUE!</v>
      </c>
      <c r="I1739" s="66">
        <f t="shared" si="27"/>
        <v>0</v>
      </c>
    </row>
    <row r="1740" spans="8:9">
      <c r="H1740" s="66" t="e">
        <f>IF(OR(LEFT(B1740,FIND("_",B1740,1)-1)="ULGALLOC",LEFT(B1740,FIND("_",B1740,1)-1)="ULSPOOL"),LEFT(B1740,FIND("_",B1740,1)-1),VLOOKUP(LEFT(A1740,6),'Code Library'!$D$3:$E$200,2,0))&amp;"_"&amp;RIGHT(A1740,3)</f>
        <v>#VALUE!</v>
      </c>
      <c r="I1740" s="66">
        <f t="shared" si="27"/>
        <v>0</v>
      </c>
    </row>
    <row r="1741" spans="8:9">
      <c r="H1741" s="66" t="e">
        <f>IF(OR(LEFT(B1741,FIND("_",B1741,1)-1)="ULGALLOC",LEFT(B1741,FIND("_",B1741,1)-1)="ULSPOOL"),LEFT(B1741,FIND("_",B1741,1)-1),VLOOKUP(LEFT(A1741,6),'Code Library'!$D$3:$E$200,2,0))&amp;"_"&amp;RIGHT(A1741,3)</f>
        <v>#VALUE!</v>
      </c>
      <c r="I1741" s="66">
        <f t="shared" si="27"/>
        <v>0</v>
      </c>
    </row>
    <row r="1742" spans="8:9">
      <c r="H1742" s="66" t="e">
        <f>IF(OR(LEFT(B1742,FIND("_",B1742,1)-1)="ULGALLOC",LEFT(B1742,FIND("_",B1742,1)-1)="ULSPOOL"),LEFT(B1742,FIND("_",B1742,1)-1),VLOOKUP(LEFT(A1742,6),'Code Library'!$D$3:$E$200,2,0))&amp;"_"&amp;RIGHT(A1742,3)</f>
        <v>#VALUE!</v>
      </c>
      <c r="I1742" s="66">
        <f t="shared" si="27"/>
        <v>0</v>
      </c>
    </row>
    <row r="1743" spans="8:9">
      <c r="H1743" s="66" t="e">
        <f>IF(OR(LEFT(B1743,FIND("_",B1743,1)-1)="ULGALLOC",LEFT(B1743,FIND("_",B1743,1)-1)="ULSPOOL"),LEFT(B1743,FIND("_",B1743,1)-1),VLOOKUP(LEFT(A1743,6),'Code Library'!$D$3:$E$200,2,0))&amp;"_"&amp;RIGHT(A1743,3)</f>
        <v>#VALUE!</v>
      </c>
      <c r="I1743" s="66">
        <f t="shared" si="27"/>
        <v>0</v>
      </c>
    </row>
    <row r="1744" spans="8:9">
      <c r="H1744" s="66" t="e">
        <f>IF(OR(LEFT(B1744,FIND("_",B1744,1)-1)="ULGALLOC",LEFT(B1744,FIND("_",B1744,1)-1)="ULSPOOL"),LEFT(B1744,FIND("_",B1744,1)-1),VLOOKUP(LEFT(A1744,6),'Code Library'!$D$3:$E$200,2,0))&amp;"_"&amp;RIGHT(A1744,3)</f>
        <v>#VALUE!</v>
      </c>
      <c r="I1744" s="66">
        <f t="shared" si="27"/>
        <v>0</v>
      </c>
    </row>
    <row r="1745" spans="8:9">
      <c r="H1745" s="66" t="e">
        <f>IF(OR(LEFT(B1745,FIND("_",B1745,1)-1)="ULGALLOC",LEFT(B1745,FIND("_",B1745,1)-1)="ULSPOOL"),LEFT(B1745,FIND("_",B1745,1)-1),VLOOKUP(LEFT(A1745,6),'Code Library'!$D$3:$E$200,2,0))&amp;"_"&amp;RIGHT(A1745,3)</f>
        <v>#VALUE!</v>
      </c>
      <c r="I1745" s="66">
        <f t="shared" si="27"/>
        <v>0</v>
      </c>
    </row>
    <row r="1746" spans="8:9">
      <c r="H1746" s="66" t="e">
        <f>IF(OR(LEFT(B1746,FIND("_",B1746,1)-1)="ULGALLOC",LEFT(B1746,FIND("_",B1746,1)-1)="ULSPOOL"),LEFT(B1746,FIND("_",B1746,1)-1),VLOOKUP(LEFT(A1746,6),'Code Library'!$D$3:$E$200,2,0))&amp;"_"&amp;RIGHT(A1746,3)</f>
        <v>#VALUE!</v>
      </c>
      <c r="I1746" s="66">
        <f t="shared" si="27"/>
        <v>0</v>
      </c>
    </row>
    <row r="1747" spans="8:9">
      <c r="H1747" s="66" t="e">
        <f>IF(OR(LEFT(B1747,FIND("_",B1747,1)-1)="ULGALLOC",LEFT(B1747,FIND("_",B1747,1)-1)="ULSPOOL"),LEFT(B1747,FIND("_",B1747,1)-1),VLOOKUP(LEFT(A1747,6),'Code Library'!$D$3:$E$200,2,0))&amp;"_"&amp;RIGHT(A1747,3)</f>
        <v>#VALUE!</v>
      </c>
      <c r="I1747" s="66">
        <f t="shared" si="27"/>
        <v>0</v>
      </c>
    </row>
    <row r="1748" spans="8:9">
      <c r="H1748" s="66" t="e">
        <f>IF(OR(LEFT(B1748,FIND("_",B1748,1)-1)="ULGALLOC",LEFT(B1748,FIND("_",B1748,1)-1)="ULSPOOL"),LEFT(B1748,FIND("_",B1748,1)-1),VLOOKUP(LEFT(A1748,6),'Code Library'!$D$3:$E$200,2,0))&amp;"_"&amp;RIGHT(A1748,3)</f>
        <v>#VALUE!</v>
      </c>
      <c r="I1748" s="66">
        <f t="shared" si="27"/>
        <v>0</v>
      </c>
    </row>
    <row r="1749" spans="8:9">
      <c r="H1749" s="66" t="e">
        <f>IF(OR(LEFT(B1749,FIND("_",B1749,1)-1)="ULGALLOC",LEFT(B1749,FIND("_",B1749,1)-1)="ULSPOOL"),LEFT(B1749,FIND("_",B1749,1)-1),VLOOKUP(LEFT(A1749,6),'Code Library'!$D$3:$E$200,2,0))&amp;"_"&amp;RIGHT(A1749,3)</f>
        <v>#VALUE!</v>
      </c>
      <c r="I1749" s="66">
        <f t="shared" si="27"/>
        <v>0</v>
      </c>
    </row>
    <row r="1750" spans="8:9">
      <c r="H1750" s="66" t="e">
        <f>IF(OR(LEFT(B1750,FIND("_",B1750,1)-1)="ULGALLOC",LEFT(B1750,FIND("_",B1750,1)-1)="ULSPOOL"),LEFT(B1750,FIND("_",B1750,1)-1),VLOOKUP(LEFT(A1750,6),'Code Library'!$D$3:$E$200,2,0))&amp;"_"&amp;RIGHT(A1750,3)</f>
        <v>#VALUE!</v>
      </c>
      <c r="I1750" s="66">
        <f t="shared" si="27"/>
        <v>0</v>
      </c>
    </row>
    <row r="1751" spans="8:9">
      <c r="H1751" s="66" t="e">
        <f>IF(OR(LEFT(B1751,FIND("_",B1751,1)-1)="ULGALLOC",LEFT(B1751,FIND("_",B1751,1)-1)="ULSPOOL"),LEFT(B1751,FIND("_",B1751,1)-1),VLOOKUP(LEFT(A1751,6),'Code Library'!$D$3:$E$200,2,0))&amp;"_"&amp;RIGHT(A1751,3)</f>
        <v>#VALUE!</v>
      </c>
      <c r="I1751" s="66">
        <f t="shared" si="27"/>
        <v>0</v>
      </c>
    </row>
    <row r="1752" spans="8:9">
      <c r="H1752" s="66" t="e">
        <f>IF(OR(LEFT(B1752,FIND("_",B1752,1)-1)="ULGALLOC",LEFT(B1752,FIND("_",B1752,1)-1)="ULSPOOL"),LEFT(B1752,FIND("_",B1752,1)-1),VLOOKUP(LEFT(A1752,6),'Code Library'!$D$3:$E$200,2,0))&amp;"_"&amp;RIGHT(A1752,3)</f>
        <v>#VALUE!</v>
      </c>
      <c r="I1752" s="66">
        <f t="shared" si="27"/>
        <v>0</v>
      </c>
    </row>
    <row r="1753" spans="8:9">
      <c r="H1753" s="66" t="e">
        <f>IF(OR(LEFT(B1753,FIND("_",B1753,1)-1)="ULGALLOC",LEFT(B1753,FIND("_",B1753,1)-1)="ULSPOOL"),LEFT(B1753,FIND("_",B1753,1)-1),VLOOKUP(LEFT(A1753,6),'Code Library'!$D$3:$E$200,2,0))&amp;"_"&amp;RIGHT(A1753,3)</f>
        <v>#VALUE!</v>
      </c>
      <c r="I1753" s="66">
        <f t="shared" si="27"/>
        <v>0</v>
      </c>
    </row>
    <row r="1754" spans="8:9">
      <c r="H1754" s="66" t="e">
        <f>IF(OR(LEFT(B1754,FIND("_",B1754,1)-1)="ULGALLOC",LEFT(B1754,FIND("_",B1754,1)-1)="ULSPOOL"),LEFT(B1754,FIND("_",B1754,1)-1),VLOOKUP(LEFT(A1754,6),'Code Library'!$D$3:$E$200,2,0))&amp;"_"&amp;RIGHT(A1754,3)</f>
        <v>#VALUE!</v>
      </c>
      <c r="I1754" s="66">
        <f t="shared" si="27"/>
        <v>0</v>
      </c>
    </row>
    <row r="1755" spans="8:9">
      <c r="H1755" s="66" t="e">
        <f>IF(OR(LEFT(B1755,FIND("_",B1755,1)-1)="ULGALLOC",LEFT(B1755,FIND("_",B1755,1)-1)="ULSPOOL"),LEFT(B1755,FIND("_",B1755,1)-1),VLOOKUP(LEFT(A1755,6),'Code Library'!$D$3:$E$200,2,0))&amp;"_"&amp;RIGHT(A1755,3)</f>
        <v>#VALUE!</v>
      </c>
      <c r="I1755" s="66">
        <f t="shared" si="27"/>
        <v>0</v>
      </c>
    </row>
    <row r="1756" spans="8:9">
      <c r="H1756" s="66" t="e">
        <f>IF(OR(LEFT(B1756,FIND("_",B1756,1)-1)="ULGALLOC",LEFT(B1756,FIND("_",B1756,1)-1)="ULSPOOL"),LEFT(B1756,FIND("_",B1756,1)-1),VLOOKUP(LEFT(A1756,6),'Code Library'!$D$3:$E$200,2,0))&amp;"_"&amp;RIGHT(A1756,3)</f>
        <v>#VALUE!</v>
      </c>
      <c r="I1756" s="66">
        <f t="shared" si="27"/>
        <v>0</v>
      </c>
    </row>
    <row r="1757" spans="8:9">
      <c r="H1757" s="66" t="e">
        <f>IF(OR(LEFT(B1757,FIND("_",B1757,1)-1)="ULGALLOC",LEFT(B1757,FIND("_",B1757,1)-1)="ULSPOOL"),LEFT(B1757,FIND("_",B1757,1)-1),VLOOKUP(LEFT(A1757,6),'Code Library'!$D$3:$E$200,2,0))&amp;"_"&amp;RIGHT(A1757,3)</f>
        <v>#VALUE!</v>
      </c>
      <c r="I1757" s="66">
        <f t="shared" si="27"/>
        <v>0</v>
      </c>
    </row>
    <row r="1758" spans="8:9">
      <c r="H1758" s="66" t="e">
        <f>IF(OR(LEFT(B1758,FIND("_",B1758,1)-1)="ULGALLOC",LEFT(B1758,FIND("_",B1758,1)-1)="ULSPOOL"),LEFT(B1758,FIND("_",B1758,1)-1),VLOOKUP(LEFT(A1758,6),'Code Library'!$D$3:$E$200,2,0))&amp;"_"&amp;RIGHT(A1758,3)</f>
        <v>#VALUE!</v>
      </c>
      <c r="I1758" s="66">
        <f t="shared" si="27"/>
        <v>0</v>
      </c>
    </row>
    <row r="1759" spans="8:9">
      <c r="H1759" s="66" t="e">
        <f>IF(OR(LEFT(B1759,FIND("_",B1759,1)-1)="ULGALLOC",LEFT(B1759,FIND("_",B1759,1)-1)="ULSPOOL"),LEFT(B1759,FIND("_",B1759,1)-1),VLOOKUP(LEFT(A1759,6),'Code Library'!$D$3:$E$200,2,0))&amp;"_"&amp;RIGHT(A1759,3)</f>
        <v>#VALUE!</v>
      </c>
      <c r="I1759" s="66">
        <f t="shared" si="27"/>
        <v>0</v>
      </c>
    </row>
    <row r="1760" spans="8:9">
      <c r="H1760" s="66" t="e">
        <f>IF(OR(LEFT(B1760,FIND("_",B1760,1)-1)="ULGALLOC",LEFT(B1760,FIND("_",B1760,1)-1)="ULSPOOL"),LEFT(B1760,FIND("_",B1760,1)-1),VLOOKUP(LEFT(A1760,6),'Code Library'!$D$3:$E$200,2,0))&amp;"_"&amp;RIGHT(A1760,3)</f>
        <v>#VALUE!</v>
      </c>
      <c r="I1760" s="66">
        <f t="shared" si="27"/>
        <v>0</v>
      </c>
    </row>
    <row r="1761" spans="8:9">
      <c r="H1761" s="66" t="e">
        <f>IF(OR(LEFT(B1761,FIND("_",B1761,1)-1)="ULGALLOC",LEFT(B1761,FIND("_",B1761,1)-1)="ULSPOOL"),LEFT(B1761,FIND("_",B1761,1)-1),VLOOKUP(LEFT(A1761,6),'Code Library'!$D$3:$E$200,2,0))&amp;"_"&amp;RIGHT(A1761,3)</f>
        <v>#VALUE!</v>
      </c>
      <c r="I1761" s="66">
        <f t="shared" si="27"/>
        <v>0</v>
      </c>
    </row>
    <row r="1762" spans="8:9">
      <c r="H1762" s="66" t="e">
        <f>IF(OR(LEFT(B1762,FIND("_",B1762,1)-1)="ULGALLOC",LEFT(B1762,FIND("_",B1762,1)-1)="ULSPOOL"),LEFT(B1762,FIND("_",B1762,1)-1),VLOOKUP(LEFT(A1762,6),'Code Library'!$D$3:$E$200,2,0))&amp;"_"&amp;RIGHT(A1762,3)</f>
        <v>#VALUE!</v>
      </c>
      <c r="I1762" s="66">
        <f t="shared" si="27"/>
        <v>0</v>
      </c>
    </row>
    <row r="1763" spans="8:9">
      <c r="H1763" s="66" t="e">
        <f>IF(OR(LEFT(B1763,FIND("_",B1763,1)-1)="ULGALLOC",LEFT(B1763,FIND("_",B1763,1)-1)="ULSPOOL"),LEFT(B1763,FIND("_",B1763,1)-1),VLOOKUP(LEFT(A1763,6),'Code Library'!$D$3:$E$200,2,0))&amp;"_"&amp;RIGHT(A1763,3)</f>
        <v>#VALUE!</v>
      </c>
      <c r="I1763" s="66">
        <f t="shared" si="27"/>
        <v>0</v>
      </c>
    </row>
    <row r="1764" spans="8:9">
      <c r="H1764" s="66" t="e">
        <f>IF(OR(LEFT(B1764,FIND("_",B1764,1)-1)="ULGALLOC",LEFT(B1764,FIND("_",B1764,1)-1)="ULSPOOL"),LEFT(B1764,FIND("_",B1764,1)-1),VLOOKUP(LEFT(A1764,6),'Code Library'!$D$3:$E$200,2,0))&amp;"_"&amp;RIGHT(A1764,3)</f>
        <v>#VALUE!</v>
      </c>
      <c r="I1764" s="66">
        <f t="shared" si="27"/>
        <v>0</v>
      </c>
    </row>
    <row r="1765" spans="8:9">
      <c r="H1765" s="66" t="e">
        <f>IF(OR(LEFT(B1765,FIND("_",B1765,1)-1)="ULGALLOC",LEFT(B1765,FIND("_",B1765,1)-1)="ULSPOOL"),LEFT(B1765,FIND("_",B1765,1)-1),VLOOKUP(LEFT(A1765,6),'Code Library'!$D$3:$E$200,2,0))&amp;"_"&amp;RIGHT(A1765,3)</f>
        <v>#VALUE!</v>
      </c>
      <c r="I1765" s="66">
        <f t="shared" si="27"/>
        <v>0</v>
      </c>
    </row>
    <row r="1766" spans="8:9">
      <c r="H1766" s="66" t="e">
        <f>IF(OR(LEFT(B1766,FIND("_",B1766,1)-1)="ULGALLOC",LEFT(B1766,FIND("_",B1766,1)-1)="ULSPOOL"),LEFT(B1766,FIND("_",B1766,1)-1),VLOOKUP(LEFT(A1766,6),'Code Library'!$D$3:$E$200,2,0))&amp;"_"&amp;RIGHT(A1766,3)</f>
        <v>#VALUE!</v>
      </c>
      <c r="I1766" s="66">
        <f t="shared" si="27"/>
        <v>0</v>
      </c>
    </row>
    <row r="1767" spans="8:9">
      <c r="H1767" s="66" t="e">
        <f>IF(OR(LEFT(B1767,FIND("_",B1767,1)-1)="ULGALLOC",LEFT(B1767,FIND("_",B1767,1)-1)="ULSPOOL"),LEFT(B1767,FIND("_",B1767,1)-1),VLOOKUP(LEFT(A1767,6),'Code Library'!$D$3:$E$200,2,0))&amp;"_"&amp;RIGHT(A1767,3)</f>
        <v>#VALUE!</v>
      </c>
      <c r="I1767" s="66">
        <f t="shared" si="27"/>
        <v>0</v>
      </c>
    </row>
    <row r="1768" spans="8:9">
      <c r="H1768" s="66" t="e">
        <f>IF(OR(LEFT(B1768,FIND("_",B1768,1)-1)="ULGALLOC",LEFT(B1768,FIND("_",B1768,1)-1)="ULSPOOL"),LEFT(B1768,FIND("_",B1768,1)-1),VLOOKUP(LEFT(A1768,6),'Code Library'!$D$3:$E$200,2,0))&amp;"_"&amp;RIGHT(A1768,3)</f>
        <v>#VALUE!</v>
      </c>
      <c r="I1768" s="66">
        <f t="shared" si="27"/>
        <v>0</v>
      </c>
    </row>
    <row r="1769" spans="8:9">
      <c r="H1769" s="66" t="e">
        <f>IF(OR(LEFT(B1769,FIND("_",B1769,1)-1)="ULGALLOC",LEFT(B1769,FIND("_",B1769,1)-1)="ULSPOOL"),LEFT(B1769,FIND("_",B1769,1)-1),VLOOKUP(LEFT(A1769,6),'Code Library'!$D$3:$E$200,2,0))&amp;"_"&amp;RIGHT(A1769,3)</f>
        <v>#VALUE!</v>
      </c>
      <c r="I1769" s="66">
        <f t="shared" si="27"/>
        <v>0</v>
      </c>
    </row>
    <row r="1770" spans="8:9">
      <c r="H1770" s="66" t="e">
        <f>IF(OR(LEFT(B1770,FIND("_",B1770,1)-1)="ULGALLOC",LEFT(B1770,FIND("_",B1770,1)-1)="ULSPOOL"),LEFT(B1770,FIND("_",B1770,1)-1),VLOOKUP(LEFT(A1770,6),'Code Library'!$D$3:$E$200,2,0))&amp;"_"&amp;RIGHT(A1770,3)</f>
        <v>#VALUE!</v>
      </c>
      <c r="I1770" s="66">
        <f t="shared" si="27"/>
        <v>0</v>
      </c>
    </row>
    <row r="1771" spans="8:9">
      <c r="H1771" s="66" t="e">
        <f>IF(OR(LEFT(B1771,FIND("_",B1771,1)-1)="ULGALLOC",LEFT(B1771,FIND("_",B1771,1)-1)="ULSPOOL"),LEFT(B1771,FIND("_",B1771,1)-1),VLOOKUP(LEFT(A1771,6),'Code Library'!$D$3:$E$200,2,0))&amp;"_"&amp;RIGHT(A1771,3)</f>
        <v>#VALUE!</v>
      </c>
      <c r="I1771" s="66">
        <f t="shared" si="27"/>
        <v>0</v>
      </c>
    </row>
    <row r="1772" spans="8:9">
      <c r="H1772" s="66" t="e">
        <f>IF(OR(LEFT(B1772,FIND("_",B1772,1)-1)="ULGALLOC",LEFT(B1772,FIND("_",B1772,1)-1)="ULSPOOL"),LEFT(B1772,FIND("_",B1772,1)-1),VLOOKUP(LEFT(A1772,6),'Code Library'!$D$3:$E$200,2,0))&amp;"_"&amp;RIGHT(A1772,3)</f>
        <v>#VALUE!</v>
      </c>
      <c r="I1772" s="66">
        <f t="shared" si="27"/>
        <v>0</v>
      </c>
    </row>
    <row r="1773" spans="8:9">
      <c r="H1773" s="66" t="e">
        <f>IF(OR(LEFT(B1773,FIND("_",B1773,1)-1)="ULGALLOC",LEFT(B1773,FIND("_",B1773,1)-1)="ULSPOOL"),LEFT(B1773,FIND("_",B1773,1)-1),VLOOKUP(LEFT(A1773,6),'Code Library'!$D$3:$E$200,2,0))&amp;"_"&amp;RIGHT(A1773,3)</f>
        <v>#VALUE!</v>
      </c>
      <c r="I1773" s="66">
        <f t="shared" si="27"/>
        <v>0</v>
      </c>
    </row>
    <row r="1774" spans="8:9">
      <c r="H1774" s="66" t="e">
        <f>IF(OR(LEFT(B1774,FIND("_",B1774,1)-1)="ULGALLOC",LEFT(B1774,FIND("_",B1774,1)-1)="ULSPOOL"),LEFT(B1774,FIND("_",B1774,1)-1),VLOOKUP(LEFT(A1774,6),'Code Library'!$D$3:$E$200,2,0))&amp;"_"&amp;RIGHT(A1774,3)</f>
        <v>#VALUE!</v>
      </c>
      <c r="I1774" s="66">
        <f t="shared" si="27"/>
        <v>0</v>
      </c>
    </row>
    <row r="1775" spans="8:9">
      <c r="H1775" s="66" t="e">
        <f>IF(OR(LEFT(B1775,FIND("_",B1775,1)-1)="ULGALLOC",LEFT(B1775,FIND("_",B1775,1)-1)="ULSPOOL"),LEFT(B1775,FIND("_",B1775,1)-1),VLOOKUP(LEFT(A1775,6),'Code Library'!$D$3:$E$200,2,0))&amp;"_"&amp;RIGHT(A1775,3)</f>
        <v>#VALUE!</v>
      </c>
      <c r="I1775" s="66">
        <f t="shared" si="27"/>
        <v>0</v>
      </c>
    </row>
    <row r="1776" spans="8:9">
      <c r="H1776" s="66" t="e">
        <f>IF(OR(LEFT(B1776,FIND("_",B1776,1)-1)="ULGALLOC",LEFT(B1776,FIND("_",B1776,1)-1)="ULSPOOL"),LEFT(B1776,FIND("_",B1776,1)-1),VLOOKUP(LEFT(A1776,6),'Code Library'!$D$3:$E$200,2,0))&amp;"_"&amp;RIGHT(A1776,3)</f>
        <v>#VALUE!</v>
      </c>
      <c r="I1776" s="66">
        <f t="shared" si="27"/>
        <v>0</v>
      </c>
    </row>
    <row r="1777" spans="8:9">
      <c r="H1777" s="66" t="e">
        <f>IF(OR(LEFT(B1777,FIND("_",B1777,1)-1)="ULGALLOC",LEFT(B1777,FIND("_",B1777,1)-1)="ULSPOOL"),LEFT(B1777,FIND("_",B1777,1)-1),VLOOKUP(LEFT(A1777,6),'Code Library'!$D$3:$E$200,2,0))&amp;"_"&amp;RIGHT(A1777,3)</f>
        <v>#VALUE!</v>
      </c>
      <c r="I1777" s="66">
        <f t="shared" si="27"/>
        <v>0</v>
      </c>
    </row>
    <row r="1778" spans="8:9">
      <c r="H1778" s="66" t="e">
        <f>IF(OR(LEFT(B1778,FIND("_",B1778,1)-1)="ULGALLOC",LEFT(B1778,FIND("_",B1778,1)-1)="ULSPOOL"),LEFT(B1778,FIND("_",B1778,1)-1),VLOOKUP(LEFT(A1778,6),'Code Library'!$D$3:$E$200,2,0))&amp;"_"&amp;RIGHT(A1778,3)</f>
        <v>#VALUE!</v>
      </c>
      <c r="I1778" s="66">
        <f t="shared" si="27"/>
        <v>0</v>
      </c>
    </row>
    <row r="1779" spans="8:9">
      <c r="H1779" s="66" t="e">
        <f>IF(OR(LEFT(B1779,FIND("_",B1779,1)-1)="ULGALLOC",LEFT(B1779,FIND("_",B1779,1)-1)="ULSPOOL"),LEFT(B1779,FIND("_",B1779,1)-1),VLOOKUP(LEFT(A1779,6),'Code Library'!$D$3:$E$200,2,0))&amp;"_"&amp;RIGHT(A1779,3)</f>
        <v>#VALUE!</v>
      </c>
      <c r="I1779" s="66">
        <f t="shared" si="27"/>
        <v>0</v>
      </c>
    </row>
    <row r="1780" spans="8:9">
      <c r="H1780" s="66" t="e">
        <f>IF(OR(LEFT(B1780,FIND("_",B1780,1)-1)="ULGALLOC",LEFT(B1780,FIND("_",B1780,1)-1)="ULSPOOL"),LEFT(B1780,FIND("_",B1780,1)-1),VLOOKUP(LEFT(A1780,6),'Code Library'!$D$3:$E$200,2,0))&amp;"_"&amp;RIGHT(A1780,3)</f>
        <v>#VALUE!</v>
      </c>
      <c r="I1780" s="66">
        <f t="shared" si="27"/>
        <v>0</v>
      </c>
    </row>
    <row r="1781" spans="8:9">
      <c r="H1781" s="66" t="e">
        <f>IF(OR(LEFT(B1781,FIND("_",B1781,1)-1)="ULGALLOC",LEFT(B1781,FIND("_",B1781,1)-1)="ULSPOOL"),LEFT(B1781,FIND("_",B1781,1)-1),VLOOKUP(LEFT(A1781,6),'Code Library'!$D$3:$E$200,2,0))&amp;"_"&amp;RIGHT(A1781,3)</f>
        <v>#VALUE!</v>
      </c>
      <c r="I1781" s="66">
        <f t="shared" si="27"/>
        <v>0</v>
      </c>
    </row>
    <row r="1782" spans="8:9">
      <c r="H1782" s="66" t="e">
        <f>IF(OR(LEFT(B1782,FIND("_",B1782,1)-1)="ULGALLOC",LEFT(B1782,FIND("_",B1782,1)-1)="ULSPOOL"),LEFT(B1782,FIND("_",B1782,1)-1),VLOOKUP(LEFT(A1782,6),'Code Library'!$D$3:$E$200,2,0))&amp;"_"&amp;RIGHT(A1782,3)</f>
        <v>#VALUE!</v>
      </c>
      <c r="I1782" s="66">
        <f t="shared" si="27"/>
        <v>0</v>
      </c>
    </row>
    <row r="1783" spans="8:9">
      <c r="H1783" s="66" t="e">
        <f>IF(OR(LEFT(B1783,FIND("_",B1783,1)-1)="ULGALLOC",LEFT(B1783,FIND("_",B1783,1)-1)="ULSPOOL"),LEFT(B1783,FIND("_",B1783,1)-1),VLOOKUP(LEFT(A1783,6),'Code Library'!$D$3:$E$200,2,0))&amp;"_"&amp;RIGHT(A1783,3)</f>
        <v>#VALUE!</v>
      </c>
      <c r="I1783" s="66">
        <f t="shared" si="27"/>
        <v>0</v>
      </c>
    </row>
    <row r="1784" spans="8:9">
      <c r="H1784" s="66" t="e">
        <f>IF(OR(LEFT(B1784,FIND("_",B1784,1)-1)="ULGALLOC",LEFT(B1784,FIND("_",B1784,1)-1)="ULSPOOL"),LEFT(B1784,FIND("_",B1784,1)-1),VLOOKUP(LEFT(A1784,6),'Code Library'!$D$3:$E$200,2,0))&amp;"_"&amp;RIGHT(A1784,3)</f>
        <v>#VALUE!</v>
      </c>
      <c r="I1784" s="66">
        <f t="shared" si="27"/>
        <v>0</v>
      </c>
    </row>
    <row r="1785" spans="8:9">
      <c r="H1785" s="66" t="e">
        <f>IF(OR(LEFT(B1785,FIND("_",B1785,1)-1)="ULGALLOC",LEFT(B1785,FIND("_",B1785,1)-1)="ULSPOOL"),LEFT(B1785,FIND("_",B1785,1)-1),VLOOKUP(LEFT(A1785,6),'Code Library'!$D$3:$E$200,2,0))&amp;"_"&amp;RIGHT(A1785,3)</f>
        <v>#VALUE!</v>
      </c>
      <c r="I1785" s="66">
        <f t="shared" si="27"/>
        <v>0</v>
      </c>
    </row>
    <row r="1786" spans="8:9">
      <c r="H1786" s="66" t="e">
        <f>IF(OR(LEFT(B1786,FIND("_",B1786,1)-1)="ULGALLOC",LEFT(B1786,FIND("_",B1786,1)-1)="ULSPOOL"),LEFT(B1786,FIND("_",B1786,1)-1),VLOOKUP(LEFT(A1786,6),'Code Library'!$D$3:$E$200,2,0))&amp;"_"&amp;RIGHT(A1786,3)</f>
        <v>#VALUE!</v>
      </c>
      <c r="I1786" s="66">
        <f t="shared" si="27"/>
        <v>0</v>
      </c>
    </row>
    <row r="1787" spans="8:9">
      <c r="H1787" s="66" t="e">
        <f>IF(OR(LEFT(B1787,FIND("_",B1787,1)-1)="ULGALLOC",LEFT(B1787,FIND("_",B1787,1)-1)="ULSPOOL"),LEFT(B1787,FIND("_",B1787,1)-1),VLOOKUP(LEFT(A1787,6),'Code Library'!$D$3:$E$200,2,0))&amp;"_"&amp;RIGHT(A1787,3)</f>
        <v>#VALUE!</v>
      </c>
      <c r="I1787" s="66">
        <f t="shared" si="27"/>
        <v>0</v>
      </c>
    </row>
    <row r="1788" spans="8:9">
      <c r="H1788" s="66" t="e">
        <f>IF(OR(LEFT(B1788,FIND("_",B1788,1)-1)="ULGALLOC",LEFT(B1788,FIND("_",B1788,1)-1)="ULSPOOL"),LEFT(B1788,FIND("_",B1788,1)-1),VLOOKUP(LEFT(A1788,6),'Code Library'!$D$3:$E$200,2,0))&amp;"_"&amp;RIGHT(A1788,3)</f>
        <v>#VALUE!</v>
      </c>
      <c r="I1788" s="66">
        <f t="shared" si="27"/>
        <v>0</v>
      </c>
    </row>
    <row r="1789" spans="8:9">
      <c r="H1789" s="66" t="e">
        <f>IF(OR(LEFT(B1789,FIND("_",B1789,1)-1)="ULGALLOC",LEFT(B1789,FIND("_",B1789,1)-1)="ULSPOOL"),LEFT(B1789,FIND("_",B1789,1)-1),VLOOKUP(LEFT(A1789,6),'Code Library'!$D$3:$E$200,2,0))&amp;"_"&amp;RIGHT(A1789,3)</f>
        <v>#VALUE!</v>
      </c>
      <c r="I1789" s="66">
        <f t="shared" si="27"/>
        <v>0</v>
      </c>
    </row>
    <row r="1790" spans="8:9">
      <c r="H1790" s="66" t="e">
        <f>IF(OR(LEFT(B1790,FIND("_",B1790,1)-1)="ULGALLOC",LEFT(B1790,FIND("_",B1790,1)-1)="ULSPOOL"),LEFT(B1790,FIND("_",B1790,1)-1),VLOOKUP(LEFT(A1790,6),'Code Library'!$D$3:$E$200,2,0))&amp;"_"&amp;RIGHT(A1790,3)</f>
        <v>#VALUE!</v>
      </c>
      <c r="I1790" s="66">
        <f t="shared" si="27"/>
        <v>0</v>
      </c>
    </row>
    <row r="1791" spans="8:9">
      <c r="H1791" s="66" t="e">
        <f>IF(OR(LEFT(B1791,FIND("_",B1791,1)-1)="ULGALLOC",LEFT(B1791,FIND("_",B1791,1)-1)="ULSPOOL"),LEFT(B1791,FIND("_",B1791,1)-1),VLOOKUP(LEFT(A1791,6),'Code Library'!$D$3:$E$200,2,0))&amp;"_"&amp;RIGHT(A1791,3)</f>
        <v>#VALUE!</v>
      </c>
      <c r="I1791" s="66">
        <f t="shared" si="27"/>
        <v>0</v>
      </c>
    </row>
    <row r="1792" spans="8:9">
      <c r="H1792" s="66" t="e">
        <f>IF(OR(LEFT(B1792,FIND("_",B1792,1)-1)="ULGALLOC",LEFT(B1792,FIND("_",B1792,1)-1)="ULSPOOL"),LEFT(B1792,FIND("_",B1792,1)-1),VLOOKUP(LEFT(A1792,6),'Code Library'!$D$3:$E$200,2,0))&amp;"_"&amp;RIGHT(A1792,3)</f>
        <v>#VALUE!</v>
      </c>
      <c r="I1792" s="66">
        <f t="shared" si="27"/>
        <v>0</v>
      </c>
    </row>
    <row r="1793" spans="8:9">
      <c r="H1793" s="66" t="e">
        <f>IF(OR(LEFT(B1793,FIND("_",B1793,1)-1)="ULGALLOC",LEFT(B1793,FIND("_",B1793,1)-1)="ULSPOOL"),LEFT(B1793,FIND("_",B1793,1)-1),VLOOKUP(LEFT(A1793,6),'Code Library'!$D$3:$E$200,2,0))&amp;"_"&amp;RIGHT(A1793,3)</f>
        <v>#VALUE!</v>
      </c>
      <c r="I1793" s="66">
        <f t="shared" si="27"/>
        <v>0</v>
      </c>
    </row>
    <row r="1794" spans="8:9">
      <c r="H1794" s="66" t="e">
        <f>IF(OR(LEFT(B1794,FIND("_",B1794,1)-1)="ULGALLOC",LEFT(B1794,FIND("_",B1794,1)-1)="ULSPOOL"),LEFT(B1794,FIND("_",B1794,1)-1),VLOOKUP(LEFT(A1794,6),'Code Library'!$D$3:$E$200,2,0))&amp;"_"&amp;RIGHT(A1794,3)</f>
        <v>#VALUE!</v>
      </c>
      <c r="I1794" s="66">
        <f t="shared" si="27"/>
        <v>0</v>
      </c>
    </row>
    <row r="1795" spans="8:9">
      <c r="H1795" s="66" t="e">
        <f>IF(OR(LEFT(B1795,FIND("_",B1795,1)-1)="ULGALLOC",LEFT(B1795,FIND("_",B1795,1)-1)="ULSPOOL"),LEFT(B1795,FIND("_",B1795,1)-1),VLOOKUP(LEFT(A1795,6),'Code Library'!$D$3:$E$200,2,0))&amp;"_"&amp;RIGHT(A1795,3)</f>
        <v>#VALUE!</v>
      </c>
      <c r="I1795" s="66">
        <f t="shared" ref="I1795:I1858" si="28">A1795</f>
        <v>0</v>
      </c>
    </row>
    <row r="1796" spans="8:9">
      <c r="H1796" s="66" t="e">
        <f>IF(OR(LEFT(B1796,FIND("_",B1796,1)-1)="ULGALLOC",LEFT(B1796,FIND("_",B1796,1)-1)="ULSPOOL"),LEFT(B1796,FIND("_",B1796,1)-1),VLOOKUP(LEFT(A1796,6),'Code Library'!$D$3:$E$200,2,0))&amp;"_"&amp;RIGHT(A1796,3)</f>
        <v>#VALUE!</v>
      </c>
      <c r="I1796" s="66">
        <f t="shared" si="28"/>
        <v>0</v>
      </c>
    </row>
    <row r="1797" spans="8:9">
      <c r="H1797" s="66" t="e">
        <f>IF(OR(LEFT(B1797,FIND("_",B1797,1)-1)="ULGALLOC",LEFT(B1797,FIND("_",B1797,1)-1)="ULSPOOL"),LEFT(B1797,FIND("_",B1797,1)-1),VLOOKUP(LEFT(A1797,6),'Code Library'!$D$3:$E$200,2,0))&amp;"_"&amp;RIGHT(A1797,3)</f>
        <v>#VALUE!</v>
      </c>
      <c r="I1797" s="66">
        <f t="shared" si="28"/>
        <v>0</v>
      </c>
    </row>
    <row r="1798" spans="8:9">
      <c r="H1798" s="66" t="e">
        <f>IF(OR(LEFT(B1798,FIND("_",B1798,1)-1)="ULGALLOC",LEFT(B1798,FIND("_",B1798,1)-1)="ULSPOOL"),LEFT(B1798,FIND("_",B1798,1)-1),VLOOKUP(LEFT(A1798,6),'Code Library'!$D$3:$E$200,2,0))&amp;"_"&amp;RIGHT(A1798,3)</f>
        <v>#VALUE!</v>
      </c>
      <c r="I1798" s="66">
        <f t="shared" si="28"/>
        <v>0</v>
      </c>
    </row>
    <row r="1799" spans="8:9">
      <c r="H1799" s="66" t="e">
        <f>IF(OR(LEFT(B1799,FIND("_",B1799,1)-1)="ULGALLOC",LEFT(B1799,FIND("_",B1799,1)-1)="ULSPOOL"),LEFT(B1799,FIND("_",B1799,1)-1),VLOOKUP(LEFT(A1799,6),'Code Library'!$D$3:$E$200,2,0))&amp;"_"&amp;RIGHT(A1799,3)</f>
        <v>#VALUE!</v>
      </c>
      <c r="I1799" s="66">
        <f t="shared" si="28"/>
        <v>0</v>
      </c>
    </row>
    <row r="1800" spans="8:9">
      <c r="H1800" s="66" t="e">
        <f>IF(OR(LEFT(B1800,FIND("_",B1800,1)-1)="ULGALLOC",LEFT(B1800,FIND("_",B1800,1)-1)="ULSPOOL"),LEFT(B1800,FIND("_",B1800,1)-1),VLOOKUP(LEFT(A1800,6),'Code Library'!$D$3:$E$200,2,0))&amp;"_"&amp;RIGHT(A1800,3)</f>
        <v>#VALUE!</v>
      </c>
      <c r="I1800" s="66">
        <f t="shared" si="28"/>
        <v>0</v>
      </c>
    </row>
    <row r="1801" spans="8:9">
      <c r="H1801" s="66" t="e">
        <f>IF(OR(LEFT(B1801,FIND("_",B1801,1)-1)="ULGALLOC",LEFT(B1801,FIND("_",B1801,1)-1)="ULSPOOL"),LEFT(B1801,FIND("_",B1801,1)-1),VLOOKUP(LEFT(A1801,6),'Code Library'!$D$3:$E$200,2,0))&amp;"_"&amp;RIGHT(A1801,3)</f>
        <v>#VALUE!</v>
      </c>
      <c r="I1801" s="66">
        <f t="shared" si="28"/>
        <v>0</v>
      </c>
    </row>
    <row r="1802" spans="8:9">
      <c r="H1802" s="66" t="e">
        <f>IF(OR(LEFT(B1802,FIND("_",B1802,1)-1)="ULGALLOC",LEFT(B1802,FIND("_",B1802,1)-1)="ULSPOOL"),LEFT(B1802,FIND("_",B1802,1)-1),VLOOKUP(LEFT(A1802,6),'Code Library'!$D$3:$E$200,2,0))&amp;"_"&amp;RIGHT(A1802,3)</f>
        <v>#VALUE!</v>
      </c>
      <c r="I1802" s="66">
        <f t="shared" si="28"/>
        <v>0</v>
      </c>
    </row>
    <row r="1803" spans="8:9">
      <c r="H1803" s="66" t="e">
        <f>IF(OR(LEFT(B1803,FIND("_",B1803,1)-1)="ULGALLOC",LEFT(B1803,FIND("_",B1803,1)-1)="ULSPOOL"),LEFT(B1803,FIND("_",B1803,1)-1),VLOOKUP(LEFT(A1803,6),'Code Library'!$D$3:$E$200,2,0))&amp;"_"&amp;RIGHT(A1803,3)</f>
        <v>#VALUE!</v>
      </c>
      <c r="I1803" s="66">
        <f t="shared" si="28"/>
        <v>0</v>
      </c>
    </row>
    <row r="1804" spans="8:9">
      <c r="H1804" s="66" t="e">
        <f>IF(OR(LEFT(B1804,FIND("_",B1804,1)-1)="ULGALLOC",LEFT(B1804,FIND("_",B1804,1)-1)="ULSPOOL"),LEFT(B1804,FIND("_",B1804,1)-1),VLOOKUP(LEFT(A1804,6),'Code Library'!$D$3:$E$200,2,0))&amp;"_"&amp;RIGHT(A1804,3)</f>
        <v>#VALUE!</v>
      </c>
      <c r="I1804" s="66">
        <f t="shared" si="28"/>
        <v>0</v>
      </c>
    </row>
    <row r="1805" spans="8:9">
      <c r="H1805" s="66" t="e">
        <f>IF(OR(LEFT(B1805,FIND("_",B1805,1)-1)="ULGALLOC",LEFT(B1805,FIND("_",B1805,1)-1)="ULSPOOL"),LEFT(B1805,FIND("_",B1805,1)-1),VLOOKUP(LEFT(A1805,6),'Code Library'!$D$3:$E$200,2,0))&amp;"_"&amp;RIGHT(A1805,3)</f>
        <v>#VALUE!</v>
      </c>
      <c r="I1805" s="66">
        <f t="shared" si="28"/>
        <v>0</v>
      </c>
    </row>
    <row r="1806" spans="8:9">
      <c r="H1806" s="66" t="e">
        <f>IF(OR(LEFT(B1806,FIND("_",B1806,1)-1)="ULGALLOC",LEFT(B1806,FIND("_",B1806,1)-1)="ULSPOOL"),LEFT(B1806,FIND("_",B1806,1)-1),VLOOKUP(LEFT(A1806,6),'Code Library'!$D$3:$E$200,2,0))&amp;"_"&amp;RIGHT(A1806,3)</f>
        <v>#VALUE!</v>
      </c>
      <c r="I1806" s="66">
        <f t="shared" si="28"/>
        <v>0</v>
      </c>
    </row>
    <row r="1807" spans="8:9">
      <c r="H1807" s="66" t="e">
        <f>IF(OR(LEFT(B1807,FIND("_",B1807,1)-1)="ULGALLOC",LEFT(B1807,FIND("_",B1807,1)-1)="ULSPOOL"),LEFT(B1807,FIND("_",B1807,1)-1),VLOOKUP(LEFT(A1807,6),'Code Library'!$D$3:$E$200,2,0))&amp;"_"&amp;RIGHT(A1807,3)</f>
        <v>#VALUE!</v>
      </c>
      <c r="I1807" s="66">
        <f t="shared" si="28"/>
        <v>0</v>
      </c>
    </row>
    <row r="1808" spans="8:9">
      <c r="H1808" s="66" t="e">
        <f>IF(OR(LEFT(B1808,FIND("_",B1808,1)-1)="ULGALLOC",LEFT(B1808,FIND("_",B1808,1)-1)="ULSPOOL"),LEFT(B1808,FIND("_",B1808,1)-1),VLOOKUP(LEFT(A1808,6),'Code Library'!$D$3:$E$200,2,0))&amp;"_"&amp;RIGHT(A1808,3)</f>
        <v>#VALUE!</v>
      </c>
      <c r="I1808" s="66">
        <f t="shared" si="28"/>
        <v>0</v>
      </c>
    </row>
    <row r="1809" spans="8:9">
      <c r="H1809" s="66" t="e">
        <f>IF(OR(LEFT(B1809,FIND("_",B1809,1)-1)="ULGALLOC",LEFT(B1809,FIND("_",B1809,1)-1)="ULSPOOL"),LEFT(B1809,FIND("_",B1809,1)-1),VLOOKUP(LEFT(A1809,6),'Code Library'!$D$3:$E$200,2,0))&amp;"_"&amp;RIGHT(A1809,3)</f>
        <v>#VALUE!</v>
      </c>
      <c r="I1809" s="66">
        <f t="shared" si="28"/>
        <v>0</v>
      </c>
    </row>
    <row r="1810" spans="8:9">
      <c r="H1810" s="66" t="e">
        <f>IF(OR(LEFT(B1810,FIND("_",B1810,1)-1)="ULGALLOC",LEFT(B1810,FIND("_",B1810,1)-1)="ULSPOOL"),LEFT(B1810,FIND("_",B1810,1)-1),VLOOKUP(LEFT(A1810,6),'Code Library'!$D$3:$E$200,2,0))&amp;"_"&amp;RIGHT(A1810,3)</f>
        <v>#VALUE!</v>
      </c>
      <c r="I1810" s="66">
        <f t="shared" si="28"/>
        <v>0</v>
      </c>
    </row>
    <row r="1811" spans="8:9">
      <c r="H1811" s="66" t="e">
        <f>IF(OR(LEFT(B1811,FIND("_",B1811,1)-1)="ULGALLOC",LEFT(B1811,FIND("_",B1811,1)-1)="ULSPOOL"),LEFT(B1811,FIND("_",B1811,1)-1),VLOOKUP(LEFT(A1811,6),'Code Library'!$D$3:$E$200,2,0))&amp;"_"&amp;RIGHT(A1811,3)</f>
        <v>#VALUE!</v>
      </c>
      <c r="I1811" s="66">
        <f t="shared" si="28"/>
        <v>0</v>
      </c>
    </row>
    <row r="1812" spans="8:9">
      <c r="H1812" s="66" t="e">
        <f>IF(OR(LEFT(B1812,FIND("_",B1812,1)-1)="ULGALLOC",LEFT(B1812,FIND("_",B1812,1)-1)="ULSPOOL"),LEFT(B1812,FIND("_",B1812,1)-1),VLOOKUP(LEFT(A1812,6),'Code Library'!$D$3:$E$200,2,0))&amp;"_"&amp;RIGHT(A1812,3)</f>
        <v>#VALUE!</v>
      </c>
      <c r="I1812" s="66">
        <f t="shared" si="28"/>
        <v>0</v>
      </c>
    </row>
    <row r="1813" spans="8:9">
      <c r="H1813" s="66" t="e">
        <f>IF(OR(LEFT(B1813,FIND("_",B1813,1)-1)="ULGALLOC",LEFT(B1813,FIND("_",B1813,1)-1)="ULSPOOL"),LEFT(B1813,FIND("_",B1813,1)-1),VLOOKUP(LEFT(A1813,6),'Code Library'!$D$3:$E$200,2,0))&amp;"_"&amp;RIGHT(A1813,3)</f>
        <v>#VALUE!</v>
      </c>
      <c r="I1813" s="66">
        <f t="shared" si="28"/>
        <v>0</v>
      </c>
    </row>
    <row r="1814" spans="8:9">
      <c r="H1814" s="66" t="e">
        <f>IF(OR(LEFT(B1814,FIND("_",B1814,1)-1)="ULGALLOC",LEFT(B1814,FIND("_",B1814,1)-1)="ULSPOOL"),LEFT(B1814,FIND("_",B1814,1)-1),VLOOKUP(LEFT(A1814,6),'Code Library'!$D$3:$E$200,2,0))&amp;"_"&amp;RIGHT(A1814,3)</f>
        <v>#VALUE!</v>
      </c>
      <c r="I1814" s="66">
        <f t="shared" si="28"/>
        <v>0</v>
      </c>
    </row>
    <row r="1815" spans="8:9">
      <c r="H1815" s="66" t="e">
        <f>IF(OR(LEFT(B1815,FIND("_",B1815,1)-1)="ULGALLOC",LEFT(B1815,FIND("_",B1815,1)-1)="ULSPOOL"),LEFT(B1815,FIND("_",B1815,1)-1),VLOOKUP(LEFT(A1815,6),'Code Library'!$D$3:$E$200,2,0))&amp;"_"&amp;RIGHT(A1815,3)</f>
        <v>#VALUE!</v>
      </c>
      <c r="I1815" s="66">
        <f t="shared" si="28"/>
        <v>0</v>
      </c>
    </row>
    <row r="1816" spans="8:9">
      <c r="H1816" s="66" t="e">
        <f>IF(OR(LEFT(B1816,FIND("_",B1816,1)-1)="ULGALLOC",LEFT(B1816,FIND("_",B1816,1)-1)="ULSPOOL"),LEFT(B1816,FIND("_",B1816,1)-1),VLOOKUP(LEFT(A1816,6),'Code Library'!$D$3:$E$200,2,0))&amp;"_"&amp;RIGHT(A1816,3)</f>
        <v>#VALUE!</v>
      </c>
      <c r="I1816" s="66">
        <f t="shared" si="28"/>
        <v>0</v>
      </c>
    </row>
    <row r="1817" spans="8:9">
      <c r="H1817" s="66" t="e">
        <f>IF(OR(LEFT(B1817,FIND("_",B1817,1)-1)="ULGALLOC",LEFT(B1817,FIND("_",B1817,1)-1)="ULSPOOL"),LEFT(B1817,FIND("_",B1817,1)-1),VLOOKUP(LEFT(A1817,6),'Code Library'!$D$3:$E$200,2,0))&amp;"_"&amp;RIGHT(A1817,3)</f>
        <v>#VALUE!</v>
      </c>
      <c r="I1817" s="66">
        <f t="shared" si="28"/>
        <v>0</v>
      </c>
    </row>
    <row r="1818" spans="8:9">
      <c r="H1818" s="66" t="e">
        <f>IF(OR(LEFT(B1818,FIND("_",B1818,1)-1)="ULGALLOC",LEFT(B1818,FIND("_",B1818,1)-1)="ULSPOOL"),LEFT(B1818,FIND("_",B1818,1)-1),VLOOKUP(LEFT(A1818,6),'Code Library'!$D$3:$E$200,2,0))&amp;"_"&amp;RIGHT(A1818,3)</f>
        <v>#VALUE!</v>
      </c>
      <c r="I1818" s="66">
        <f t="shared" si="28"/>
        <v>0</v>
      </c>
    </row>
    <row r="1819" spans="8:9">
      <c r="H1819" s="66" t="e">
        <f>IF(OR(LEFT(B1819,FIND("_",B1819,1)-1)="ULGALLOC",LEFT(B1819,FIND("_",B1819,1)-1)="ULSPOOL"),LEFT(B1819,FIND("_",B1819,1)-1),VLOOKUP(LEFT(A1819,6),'Code Library'!$D$3:$E$200,2,0))&amp;"_"&amp;RIGHT(A1819,3)</f>
        <v>#VALUE!</v>
      </c>
      <c r="I1819" s="66">
        <f t="shared" si="28"/>
        <v>0</v>
      </c>
    </row>
    <row r="1820" spans="8:9">
      <c r="H1820" s="66" t="e">
        <f>IF(OR(LEFT(B1820,FIND("_",B1820,1)-1)="ULGALLOC",LEFT(B1820,FIND("_",B1820,1)-1)="ULSPOOL"),LEFT(B1820,FIND("_",B1820,1)-1),VLOOKUP(LEFT(A1820,6),'Code Library'!$D$3:$E$200,2,0))&amp;"_"&amp;RIGHT(A1820,3)</f>
        <v>#VALUE!</v>
      </c>
      <c r="I1820" s="66">
        <f t="shared" si="28"/>
        <v>0</v>
      </c>
    </row>
    <row r="1821" spans="8:9">
      <c r="H1821" s="66" t="e">
        <f>IF(OR(LEFT(B1821,FIND("_",B1821,1)-1)="ULGALLOC",LEFT(B1821,FIND("_",B1821,1)-1)="ULSPOOL"),LEFT(B1821,FIND("_",B1821,1)-1),VLOOKUP(LEFT(A1821,6),'Code Library'!$D$3:$E$200,2,0))&amp;"_"&amp;RIGHT(A1821,3)</f>
        <v>#VALUE!</v>
      </c>
      <c r="I1821" s="66">
        <f t="shared" si="28"/>
        <v>0</v>
      </c>
    </row>
    <row r="1822" spans="8:9">
      <c r="H1822" s="66" t="e">
        <f>IF(OR(LEFT(B1822,FIND("_",B1822,1)-1)="ULGALLOC",LEFT(B1822,FIND("_",B1822,1)-1)="ULSPOOL"),LEFT(B1822,FIND("_",B1822,1)-1),VLOOKUP(LEFT(A1822,6),'Code Library'!$D$3:$E$200,2,0))&amp;"_"&amp;RIGHT(A1822,3)</f>
        <v>#VALUE!</v>
      </c>
      <c r="I1822" s="66">
        <f t="shared" si="28"/>
        <v>0</v>
      </c>
    </row>
    <row r="1823" spans="8:9">
      <c r="H1823" s="66" t="e">
        <f>IF(OR(LEFT(B1823,FIND("_",B1823,1)-1)="ULGALLOC",LEFT(B1823,FIND("_",B1823,1)-1)="ULSPOOL"),LEFT(B1823,FIND("_",B1823,1)-1),VLOOKUP(LEFT(A1823,6),'Code Library'!$D$3:$E$200,2,0))&amp;"_"&amp;RIGHT(A1823,3)</f>
        <v>#VALUE!</v>
      </c>
      <c r="I1823" s="66">
        <f t="shared" si="28"/>
        <v>0</v>
      </c>
    </row>
    <row r="1824" spans="8:9">
      <c r="H1824" s="66" t="e">
        <f>IF(OR(LEFT(B1824,FIND("_",B1824,1)-1)="ULGALLOC",LEFT(B1824,FIND("_",B1824,1)-1)="ULSPOOL"),LEFT(B1824,FIND("_",B1824,1)-1),VLOOKUP(LEFT(A1824,6),'Code Library'!$D$3:$E$200,2,0))&amp;"_"&amp;RIGHT(A1824,3)</f>
        <v>#VALUE!</v>
      </c>
      <c r="I1824" s="66">
        <f t="shared" si="28"/>
        <v>0</v>
      </c>
    </row>
    <row r="1825" spans="8:9">
      <c r="H1825" s="66" t="e">
        <f>IF(OR(LEFT(B1825,FIND("_",B1825,1)-1)="ULGALLOC",LEFT(B1825,FIND("_",B1825,1)-1)="ULSPOOL"),LEFT(B1825,FIND("_",B1825,1)-1),VLOOKUP(LEFT(A1825,6),'Code Library'!$D$3:$E$200,2,0))&amp;"_"&amp;RIGHT(A1825,3)</f>
        <v>#VALUE!</v>
      </c>
      <c r="I1825" s="66">
        <f t="shared" si="28"/>
        <v>0</v>
      </c>
    </row>
    <row r="1826" spans="8:9">
      <c r="H1826" s="66" t="e">
        <f>IF(OR(LEFT(B1826,FIND("_",B1826,1)-1)="ULGALLOC",LEFT(B1826,FIND("_",B1826,1)-1)="ULSPOOL"),LEFT(B1826,FIND("_",B1826,1)-1),VLOOKUP(LEFT(A1826,6),'Code Library'!$D$3:$E$200,2,0))&amp;"_"&amp;RIGHT(A1826,3)</f>
        <v>#VALUE!</v>
      </c>
      <c r="I1826" s="66">
        <f t="shared" si="28"/>
        <v>0</v>
      </c>
    </row>
    <row r="1827" spans="8:9">
      <c r="H1827" s="66" t="e">
        <f>IF(OR(LEFT(B1827,FIND("_",B1827,1)-1)="ULGALLOC",LEFT(B1827,FIND("_",B1827,1)-1)="ULSPOOL"),LEFT(B1827,FIND("_",B1827,1)-1),VLOOKUP(LEFT(A1827,6),'Code Library'!$D$3:$E$200,2,0))&amp;"_"&amp;RIGHT(A1827,3)</f>
        <v>#VALUE!</v>
      </c>
      <c r="I1827" s="66">
        <f t="shared" si="28"/>
        <v>0</v>
      </c>
    </row>
    <row r="1828" spans="8:9">
      <c r="H1828" s="66" t="e">
        <f>IF(OR(LEFT(B1828,FIND("_",B1828,1)-1)="ULGALLOC",LEFT(B1828,FIND("_",B1828,1)-1)="ULSPOOL"),LEFT(B1828,FIND("_",B1828,1)-1),VLOOKUP(LEFT(A1828,6),'Code Library'!$D$3:$E$200,2,0))&amp;"_"&amp;RIGHT(A1828,3)</f>
        <v>#VALUE!</v>
      </c>
      <c r="I1828" s="66">
        <f t="shared" si="28"/>
        <v>0</v>
      </c>
    </row>
    <row r="1829" spans="8:9">
      <c r="H1829" s="66" t="e">
        <f>IF(OR(LEFT(B1829,FIND("_",B1829,1)-1)="ULGALLOC",LEFT(B1829,FIND("_",B1829,1)-1)="ULSPOOL"),LEFT(B1829,FIND("_",B1829,1)-1),VLOOKUP(LEFT(A1829,6),'Code Library'!$D$3:$E$200,2,0))&amp;"_"&amp;RIGHT(A1829,3)</f>
        <v>#VALUE!</v>
      </c>
      <c r="I1829" s="66">
        <f t="shared" si="28"/>
        <v>0</v>
      </c>
    </row>
    <row r="1830" spans="8:9">
      <c r="H1830" s="66" t="e">
        <f>IF(OR(LEFT(B1830,FIND("_",B1830,1)-1)="ULGALLOC",LEFT(B1830,FIND("_",B1830,1)-1)="ULSPOOL"),LEFT(B1830,FIND("_",B1830,1)-1),VLOOKUP(LEFT(A1830,6),'Code Library'!$D$3:$E$200,2,0))&amp;"_"&amp;RIGHT(A1830,3)</f>
        <v>#VALUE!</v>
      </c>
      <c r="I1830" s="66">
        <f t="shared" si="28"/>
        <v>0</v>
      </c>
    </row>
    <row r="1831" spans="8:9">
      <c r="H1831" s="66" t="e">
        <f>IF(OR(LEFT(B1831,FIND("_",B1831,1)-1)="ULGALLOC",LEFT(B1831,FIND("_",B1831,1)-1)="ULSPOOL"),LEFT(B1831,FIND("_",B1831,1)-1),VLOOKUP(LEFT(A1831,6),'Code Library'!$D$3:$E$200,2,0))&amp;"_"&amp;RIGHT(A1831,3)</f>
        <v>#VALUE!</v>
      </c>
      <c r="I1831" s="66">
        <f t="shared" si="28"/>
        <v>0</v>
      </c>
    </row>
    <row r="1832" spans="8:9">
      <c r="H1832" s="66" t="e">
        <f>IF(OR(LEFT(B1832,FIND("_",B1832,1)-1)="ULGALLOC",LEFT(B1832,FIND("_",B1832,1)-1)="ULSPOOL"),LEFT(B1832,FIND("_",B1832,1)-1),VLOOKUP(LEFT(A1832,6),'Code Library'!$D$3:$E$200,2,0))&amp;"_"&amp;RIGHT(A1832,3)</f>
        <v>#VALUE!</v>
      </c>
      <c r="I1832" s="66">
        <f t="shared" si="28"/>
        <v>0</v>
      </c>
    </row>
    <row r="1833" spans="8:9">
      <c r="H1833" s="66" t="e">
        <f>IF(OR(LEFT(B1833,FIND("_",B1833,1)-1)="ULGALLOC",LEFT(B1833,FIND("_",B1833,1)-1)="ULSPOOL"),LEFT(B1833,FIND("_",B1833,1)-1),VLOOKUP(LEFT(A1833,6),'Code Library'!$D$3:$E$200,2,0))&amp;"_"&amp;RIGHT(A1833,3)</f>
        <v>#VALUE!</v>
      </c>
      <c r="I1833" s="66">
        <f t="shared" si="28"/>
        <v>0</v>
      </c>
    </row>
    <row r="1834" spans="8:9">
      <c r="H1834" s="66" t="e">
        <f>IF(OR(LEFT(B1834,FIND("_",B1834,1)-1)="ULGALLOC",LEFT(B1834,FIND("_",B1834,1)-1)="ULSPOOL"),LEFT(B1834,FIND("_",B1834,1)-1),VLOOKUP(LEFT(A1834,6),'Code Library'!$D$3:$E$200,2,0))&amp;"_"&amp;RIGHT(A1834,3)</f>
        <v>#VALUE!</v>
      </c>
      <c r="I1834" s="66">
        <f t="shared" si="28"/>
        <v>0</v>
      </c>
    </row>
    <row r="1835" spans="8:9">
      <c r="H1835" s="66" t="e">
        <f>IF(OR(LEFT(B1835,FIND("_",B1835,1)-1)="ULGALLOC",LEFT(B1835,FIND("_",B1835,1)-1)="ULSPOOL"),LEFT(B1835,FIND("_",B1835,1)-1),VLOOKUP(LEFT(A1835,6),'Code Library'!$D$3:$E$200,2,0))&amp;"_"&amp;RIGHT(A1835,3)</f>
        <v>#VALUE!</v>
      </c>
      <c r="I1835" s="66">
        <f t="shared" si="28"/>
        <v>0</v>
      </c>
    </row>
    <row r="1836" spans="8:9">
      <c r="H1836" s="66" t="e">
        <f>IF(OR(LEFT(B1836,FIND("_",B1836,1)-1)="ULGALLOC",LEFT(B1836,FIND("_",B1836,1)-1)="ULSPOOL"),LEFT(B1836,FIND("_",B1836,1)-1),VLOOKUP(LEFT(A1836,6),'Code Library'!$D$3:$E$200,2,0))&amp;"_"&amp;RIGHT(A1836,3)</f>
        <v>#VALUE!</v>
      </c>
      <c r="I1836" s="66">
        <f t="shared" si="28"/>
        <v>0</v>
      </c>
    </row>
    <row r="1837" spans="8:9">
      <c r="H1837" s="66" t="e">
        <f>IF(OR(LEFT(B1837,FIND("_",B1837,1)-1)="ULGALLOC",LEFT(B1837,FIND("_",B1837,1)-1)="ULSPOOL"),LEFT(B1837,FIND("_",B1837,1)-1),VLOOKUP(LEFT(A1837,6),'Code Library'!$D$3:$E$200,2,0))&amp;"_"&amp;RIGHT(A1837,3)</f>
        <v>#VALUE!</v>
      </c>
      <c r="I1837" s="66">
        <f t="shared" si="28"/>
        <v>0</v>
      </c>
    </row>
    <row r="1838" spans="8:9">
      <c r="H1838" s="66" t="e">
        <f>IF(OR(LEFT(B1838,FIND("_",B1838,1)-1)="ULGALLOC",LEFT(B1838,FIND("_",B1838,1)-1)="ULSPOOL"),LEFT(B1838,FIND("_",B1838,1)-1),VLOOKUP(LEFT(A1838,6),'Code Library'!$D$3:$E$200,2,0))&amp;"_"&amp;RIGHT(A1838,3)</f>
        <v>#VALUE!</v>
      </c>
      <c r="I1838" s="66">
        <f t="shared" si="28"/>
        <v>0</v>
      </c>
    </row>
    <row r="1839" spans="8:9">
      <c r="H1839" s="66" t="e">
        <f>IF(OR(LEFT(B1839,FIND("_",B1839,1)-1)="ULGALLOC",LEFT(B1839,FIND("_",B1839,1)-1)="ULSPOOL"),LEFT(B1839,FIND("_",B1839,1)-1),VLOOKUP(LEFT(A1839,6),'Code Library'!$D$3:$E$200,2,0))&amp;"_"&amp;RIGHT(A1839,3)</f>
        <v>#VALUE!</v>
      </c>
      <c r="I1839" s="66">
        <f t="shared" si="28"/>
        <v>0</v>
      </c>
    </row>
    <row r="1840" spans="8:9">
      <c r="H1840" s="66" t="e">
        <f>IF(OR(LEFT(B1840,FIND("_",B1840,1)-1)="ULGALLOC",LEFT(B1840,FIND("_",B1840,1)-1)="ULSPOOL"),LEFT(B1840,FIND("_",B1840,1)-1),VLOOKUP(LEFT(A1840,6),'Code Library'!$D$3:$E$200,2,0))&amp;"_"&amp;RIGHT(A1840,3)</f>
        <v>#VALUE!</v>
      </c>
      <c r="I1840" s="66">
        <f t="shared" si="28"/>
        <v>0</v>
      </c>
    </row>
    <row r="1841" spans="8:9">
      <c r="H1841" s="66" t="e">
        <f>IF(OR(LEFT(B1841,FIND("_",B1841,1)-1)="ULGALLOC",LEFT(B1841,FIND("_",B1841,1)-1)="ULSPOOL"),LEFT(B1841,FIND("_",B1841,1)-1),VLOOKUP(LEFT(A1841,6),'Code Library'!$D$3:$E$200,2,0))&amp;"_"&amp;RIGHT(A1841,3)</f>
        <v>#VALUE!</v>
      </c>
      <c r="I1841" s="66">
        <f t="shared" si="28"/>
        <v>0</v>
      </c>
    </row>
    <row r="1842" spans="8:9">
      <c r="H1842" s="66" t="e">
        <f>IF(OR(LEFT(B1842,FIND("_",B1842,1)-1)="ULGALLOC",LEFT(B1842,FIND("_",B1842,1)-1)="ULSPOOL"),LEFT(B1842,FIND("_",B1842,1)-1),VLOOKUP(LEFT(A1842,6),'Code Library'!$D$3:$E$200,2,0))&amp;"_"&amp;RIGHT(A1842,3)</f>
        <v>#VALUE!</v>
      </c>
      <c r="I1842" s="66">
        <f t="shared" si="28"/>
        <v>0</v>
      </c>
    </row>
    <row r="1843" spans="8:9">
      <c r="H1843" s="66" t="e">
        <f>IF(OR(LEFT(B1843,FIND("_",B1843,1)-1)="ULGALLOC",LEFT(B1843,FIND("_",B1843,1)-1)="ULSPOOL"),LEFT(B1843,FIND("_",B1843,1)-1),VLOOKUP(LEFT(A1843,6),'Code Library'!$D$3:$E$200,2,0))&amp;"_"&amp;RIGHT(A1843,3)</f>
        <v>#VALUE!</v>
      </c>
      <c r="I1843" s="66">
        <f t="shared" si="28"/>
        <v>0</v>
      </c>
    </row>
    <row r="1844" spans="8:9">
      <c r="H1844" s="66" t="e">
        <f>IF(OR(LEFT(B1844,FIND("_",B1844,1)-1)="ULGALLOC",LEFT(B1844,FIND("_",B1844,1)-1)="ULSPOOL"),LEFT(B1844,FIND("_",B1844,1)-1),VLOOKUP(LEFT(A1844,6),'Code Library'!$D$3:$E$200,2,0))&amp;"_"&amp;RIGHT(A1844,3)</f>
        <v>#VALUE!</v>
      </c>
      <c r="I1844" s="66">
        <f t="shared" si="28"/>
        <v>0</v>
      </c>
    </row>
    <row r="1845" spans="8:9">
      <c r="H1845" s="66" t="e">
        <f>IF(OR(LEFT(B1845,FIND("_",B1845,1)-1)="ULGALLOC",LEFT(B1845,FIND("_",B1845,1)-1)="ULSPOOL"),LEFT(B1845,FIND("_",B1845,1)-1),VLOOKUP(LEFT(A1845,6),'Code Library'!$D$3:$E$200,2,0))&amp;"_"&amp;RIGHT(A1845,3)</f>
        <v>#VALUE!</v>
      </c>
      <c r="I1845" s="66">
        <f t="shared" si="28"/>
        <v>0</v>
      </c>
    </row>
    <row r="1846" spans="8:9">
      <c r="H1846" s="66" t="e">
        <f>IF(OR(LEFT(B1846,FIND("_",B1846,1)-1)="ULGALLOC",LEFT(B1846,FIND("_",B1846,1)-1)="ULSPOOL"),LEFT(B1846,FIND("_",B1846,1)-1),VLOOKUP(LEFT(A1846,6),'Code Library'!$D$3:$E$200,2,0))&amp;"_"&amp;RIGHT(A1846,3)</f>
        <v>#VALUE!</v>
      </c>
      <c r="I1846" s="66">
        <f t="shared" si="28"/>
        <v>0</v>
      </c>
    </row>
    <row r="1847" spans="8:9">
      <c r="H1847" s="66" t="e">
        <f>IF(OR(LEFT(B1847,FIND("_",B1847,1)-1)="ULGALLOC",LEFT(B1847,FIND("_",B1847,1)-1)="ULSPOOL"),LEFT(B1847,FIND("_",B1847,1)-1),VLOOKUP(LEFT(A1847,6),'Code Library'!$D$3:$E$200,2,0))&amp;"_"&amp;RIGHT(A1847,3)</f>
        <v>#VALUE!</v>
      </c>
      <c r="I1847" s="66">
        <f t="shared" si="28"/>
        <v>0</v>
      </c>
    </row>
    <row r="1848" spans="8:9">
      <c r="H1848" s="66" t="e">
        <f>IF(OR(LEFT(B1848,FIND("_",B1848,1)-1)="ULGALLOC",LEFT(B1848,FIND("_",B1848,1)-1)="ULSPOOL"),LEFT(B1848,FIND("_",B1848,1)-1),VLOOKUP(LEFT(A1848,6),'Code Library'!$D$3:$E$200,2,0))&amp;"_"&amp;RIGHT(A1848,3)</f>
        <v>#VALUE!</v>
      </c>
      <c r="I1848" s="66">
        <f t="shared" si="28"/>
        <v>0</v>
      </c>
    </row>
    <row r="1849" spans="8:9">
      <c r="H1849" s="66" t="e">
        <f>IF(OR(LEFT(B1849,FIND("_",B1849,1)-1)="ULGALLOC",LEFT(B1849,FIND("_",B1849,1)-1)="ULSPOOL"),LEFT(B1849,FIND("_",B1849,1)-1),VLOOKUP(LEFT(A1849,6),'Code Library'!$D$3:$E$200,2,0))&amp;"_"&amp;RIGHT(A1849,3)</f>
        <v>#VALUE!</v>
      </c>
      <c r="I1849" s="66">
        <f t="shared" si="28"/>
        <v>0</v>
      </c>
    </row>
    <row r="1850" spans="8:9">
      <c r="H1850" s="66" t="e">
        <f>IF(OR(LEFT(B1850,FIND("_",B1850,1)-1)="ULGALLOC",LEFT(B1850,FIND("_",B1850,1)-1)="ULSPOOL"),LEFT(B1850,FIND("_",B1850,1)-1),VLOOKUP(LEFT(A1850,6),'Code Library'!$D$3:$E$200,2,0))&amp;"_"&amp;RIGHT(A1850,3)</f>
        <v>#VALUE!</v>
      </c>
      <c r="I1850" s="66">
        <f t="shared" si="28"/>
        <v>0</v>
      </c>
    </row>
    <row r="1851" spans="8:9">
      <c r="H1851" s="66" t="e">
        <f>IF(OR(LEFT(B1851,FIND("_",B1851,1)-1)="ULGALLOC",LEFT(B1851,FIND("_",B1851,1)-1)="ULSPOOL"),LEFT(B1851,FIND("_",B1851,1)-1),VLOOKUP(LEFT(A1851,6),'Code Library'!$D$3:$E$200,2,0))&amp;"_"&amp;RIGHT(A1851,3)</f>
        <v>#VALUE!</v>
      </c>
      <c r="I1851" s="66">
        <f t="shared" si="28"/>
        <v>0</v>
      </c>
    </row>
    <row r="1852" spans="8:9">
      <c r="H1852" s="66" t="e">
        <f>IF(OR(LEFT(B1852,FIND("_",B1852,1)-1)="ULGALLOC",LEFT(B1852,FIND("_",B1852,1)-1)="ULSPOOL"),LEFT(B1852,FIND("_",B1852,1)-1),VLOOKUP(LEFT(A1852,6),'Code Library'!$D$3:$E$200,2,0))&amp;"_"&amp;RIGHT(A1852,3)</f>
        <v>#VALUE!</v>
      </c>
      <c r="I1852" s="66">
        <f t="shared" si="28"/>
        <v>0</v>
      </c>
    </row>
    <row r="1853" spans="8:9">
      <c r="H1853" s="66" t="e">
        <f>IF(OR(LEFT(B1853,FIND("_",B1853,1)-1)="ULGALLOC",LEFT(B1853,FIND("_",B1853,1)-1)="ULSPOOL"),LEFT(B1853,FIND("_",B1853,1)-1),VLOOKUP(LEFT(A1853,6),'Code Library'!$D$3:$E$200,2,0))&amp;"_"&amp;RIGHT(A1853,3)</f>
        <v>#VALUE!</v>
      </c>
      <c r="I1853" s="66">
        <f t="shared" si="28"/>
        <v>0</v>
      </c>
    </row>
    <row r="1854" spans="8:9">
      <c r="H1854" s="66" t="e">
        <f>IF(OR(LEFT(B1854,FIND("_",B1854,1)-1)="ULGALLOC",LEFT(B1854,FIND("_",B1854,1)-1)="ULSPOOL"),LEFT(B1854,FIND("_",B1854,1)-1),VLOOKUP(LEFT(A1854,6),'Code Library'!$D$3:$E$200,2,0))&amp;"_"&amp;RIGHT(A1854,3)</f>
        <v>#VALUE!</v>
      </c>
      <c r="I1854" s="66">
        <f t="shared" si="28"/>
        <v>0</v>
      </c>
    </row>
    <row r="1855" spans="8:9">
      <c r="H1855" s="66" t="e">
        <f>IF(OR(LEFT(B1855,FIND("_",B1855,1)-1)="ULGALLOC",LEFT(B1855,FIND("_",B1855,1)-1)="ULSPOOL"),LEFT(B1855,FIND("_",B1855,1)-1),VLOOKUP(LEFT(A1855,6),'Code Library'!$D$3:$E$200,2,0))&amp;"_"&amp;RIGHT(A1855,3)</f>
        <v>#VALUE!</v>
      </c>
      <c r="I1855" s="66">
        <f t="shared" si="28"/>
        <v>0</v>
      </c>
    </row>
    <row r="1856" spans="8:9">
      <c r="H1856" s="66" t="e">
        <f>IF(OR(LEFT(B1856,FIND("_",B1856,1)-1)="ULGALLOC",LEFT(B1856,FIND("_",B1856,1)-1)="ULSPOOL"),LEFT(B1856,FIND("_",B1856,1)-1),VLOOKUP(LEFT(A1856,6),'Code Library'!$D$3:$E$200,2,0))&amp;"_"&amp;RIGHT(A1856,3)</f>
        <v>#VALUE!</v>
      </c>
      <c r="I1856" s="66">
        <f t="shared" si="28"/>
        <v>0</v>
      </c>
    </row>
    <row r="1857" spans="8:9">
      <c r="H1857" s="66" t="e">
        <f>IF(OR(LEFT(B1857,FIND("_",B1857,1)-1)="ULGALLOC",LEFT(B1857,FIND("_",B1857,1)-1)="ULSPOOL"),LEFT(B1857,FIND("_",B1857,1)-1),VLOOKUP(LEFT(A1857,6),'Code Library'!$D$3:$E$200,2,0))&amp;"_"&amp;RIGHT(A1857,3)</f>
        <v>#VALUE!</v>
      </c>
      <c r="I1857" s="66">
        <f t="shared" si="28"/>
        <v>0</v>
      </c>
    </row>
    <row r="1858" spans="8:9">
      <c r="H1858" s="66" t="e">
        <f>IF(OR(LEFT(B1858,FIND("_",B1858,1)-1)="ULGALLOC",LEFT(B1858,FIND("_",B1858,1)-1)="ULSPOOL"),LEFT(B1858,FIND("_",B1858,1)-1),VLOOKUP(LEFT(A1858,6),'Code Library'!$D$3:$E$200,2,0))&amp;"_"&amp;RIGHT(A1858,3)</f>
        <v>#VALUE!</v>
      </c>
      <c r="I1858" s="66">
        <f t="shared" si="28"/>
        <v>0</v>
      </c>
    </row>
    <row r="1859" spans="8:9">
      <c r="H1859" s="66" t="e">
        <f>IF(OR(LEFT(B1859,FIND("_",B1859,1)-1)="ULGALLOC",LEFT(B1859,FIND("_",B1859,1)-1)="ULSPOOL"),LEFT(B1859,FIND("_",B1859,1)-1),VLOOKUP(LEFT(A1859,6),'Code Library'!$D$3:$E$200,2,0))&amp;"_"&amp;RIGHT(A1859,3)</f>
        <v>#VALUE!</v>
      </c>
      <c r="I1859" s="66">
        <f t="shared" ref="I1859:I1922" si="29">A1859</f>
        <v>0</v>
      </c>
    </row>
    <row r="1860" spans="8:9">
      <c r="H1860" s="66" t="e">
        <f>IF(OR(LEFT(B1860,FIND("_",B1860,1)-1)="ULGALLOC",LEFT(B1860,FIND("_",B1860,1)-1)="ULSPOOL"),LEFT(B1860,FIND("_",B1860,1)-1),VLOOKUP(LEFT(A1860,6),'Code Library'!$D$3:$E$200,2,0))&amp;"_"&amp;RIGHT(A1860,3)</f>
        <v>#VALUE!</v>
      </c>
      <c r="I1860" s="66">
        <f t="shared" si="29"/>
        <v>0</v>
      </c>
    </row>
    <row r="1861" spans="8:9">
      <c r="H1861" s="66" t="e">
        <f>IF(OR(LEFT(B1861,FIND("_",B1861,1)-1)="ULGALLOC",LEFT(B1861,FIND("_",B1861,1)-1)="ULSPOOL"),LEFT(B1861,FIND("_",B1861,1)-1),VLOOKUP(LEFT(A1861,6),'Code Library'!$D$3:$E$200,2,0))&amp;"_"&amp;RIGHT(A1861,3)</f>
        <v>#VALUE!</v>
      </c>
      <c r="I1861" s="66">
        <f t="shared" si="29"/>
        <v>0</v>
      </c>
    </row>
    <row r="1862" spans="8:9">
      <c r="H1862" s="66" t="e">
        <f>IF(OR(LEFT(B1862,FIND("_",B1862,1)-1)="ULGALLOC",LEFT(B1862,FIND("_",B1862,1)-1)="ULSPOOL"),LEFT(B1862,FIND("_",B1862,1)-1),VLOOKUP(LEFT(A1862,6),'Code Library'!$D$3:$E$200,2,0))&amp;"_"&amp;RIGHT(A1862,3)</f>
        <v>#VALUE!</v>
      </c>
      <c r="I1862" s="66">
        <f t="shared" si="29"/>
        <v>0</v>
      </c>
    </row>
    <row r="1863" spans="8:9">
      <c r="H1863" s="66" t="e">
        <f>IF(OR(LEFT(B1863,FIND("_",B1863,1)-1)="ULGALLOC",LEFT(B1863,FIND("_",B1863,1)-1)="ULSPOOL"),LEFT(B1863,FIND("_",B1863,1)-1),VLOOKUP(LEFT(A1863,6),'Code Library'!$D$3:$E$200,2,0))&amp;"_"&amp;RIGHT(A1863,3)</f>
        <v>#VALUE!</v>
      </c>
      <c r="I1863" s="66">
        <f t="shared" si="29"/>
        <v>0</v>
      </c>
    </row>
    <row r="1864" spans="8:9">
      <c r="H1864" s="66" t="e">
        <f>IF(OR(LEFT(B1864,FIND("_",B1864,1)-1)="ULGALLOC",LEFT(B1864,FIND("_",B1864,1)-1)="ULSPOOL"),LEFT(B1864,FIND("_",B1864,1)-1),VLOOKUP(LEFT(A1864,6),'Code Library'!$D$3:$E$200,2,0))&amp;"_"&amp;RIGHT(A1864,3)</f>
        <v>#VALUE!</v>
      </c>
      <c r="I1864" s="66">
        <f t="shared" si="29"/>
        <v>0</v>
      </c>
    </row>
    <row r="1865" spans="8:9">
      <c r="H1865" s="66" t="e">
        <f>IF(OR(LEFT(B1865,FIND("_",B1865,1)-1)="ULGALLOC",LEFT(B1865,FIND("_",B1865,1)-1)="ULSPOOL"),LEFT(B1865,FIND("_",B1865,1)-1),VLOOKUP(LEFT(A1865,6),'Code Library'!$D$3:$E$200,2,0))&amp;"_"&amp;RIGHT(A1865,3)</f>
        <v>#VALUE!</v>
      </c>
      <c r="I1865" s="66">
        <f t="shared" si="29"/>
        <v>0</v>
      </c>
    </row>
    <row r="1866" spans="8:9">
      <c r="H1866" s="66" t="e">
        <f>IF(OR(LEFT(B1866,FIND("_",B1866,1)-1)="ULGALLOC",LEFT(B1866,FIND("_",B1866,1)-1)="ULSPOOL"),LEFT(B1866,FIND("_",B1866,1)-1),VLOOKUP(LEFT(A1866,6),'Code Library'!$D$3:$E$200,2,0))&amp;"_"&amp;RIGHT(A1866,3)</f>
        <v>#VALUE!</v>
      </c>
      <c r="I1866" s="66">
        <f t="shared" si="29"/>
        <v>0</v>
      </c>
    </row>
    <row r="1867" spans="8:9">
      <c r="H1867" s="66" t="e">
        <f>IF(OR(LEFT(B1867,FIND("_",B1867,1)-1)="ULGALLOC",LEFT(B1867,FIND("_",B1867,1)-1)="ULSPOOL"),LEFT(B1867,FIND("_",B1867,1)-1),VLOOKUP(LEFT(A1867,6),'Code Library'!$D$3:$E$200,2,0))&amp;"_"&amp;RIGHT(A1867,3)</f>
        <v>#VALUE!</v>
      </c>
      <c r="I1867" s="66">
        <f t="shared" si="29"/>
        <v>0</v>
      </c>
    </row>
    <row r="1868" spans="8:9">
      <c r="H1868" s="66" t="e">
        <f>IF(OR(LEFT(B1868,FIND("_",B1868,1)-1)="ULGALLOC",LEFT(B1868,FIND("_",B1868,1)-1)="ULSPOOL"),LEFT(B1868,FIND("_",B1868,1)-1),VLOOKUP(LEFT(A1868,6),'Code Library'!$D$3:$E$200,2,0))&amp;"_"&amp;RIGHT(A1868,3)</f>
        <v>#VALUE!</v>
      </c>
      <c r="I1868" s="66">
        <f t="shared" si="29"/>
        <v>0</v>
      </c>
    </row>
    <row r="1869" spans="8:9">
      <c r="H1869" s="66" t="e">
        <f>IF(OR(LEFT(B1869,FIND("_",B1869,1)-1)="ULGALLOC",LEFT(B1869,FIND("_",B1869,1)-1)="ULSPOOL"),LEFT(B1869,FIND("_",B1869,1)-1),VLOOKUP(LEFT(A1869,6),'Code Library'!$D$3:$E$200,2,0))&amp;"_"&amp;RIGHT(A1869,3)</f>
        <v>#VALUE!</v>
      </c>
      <c r="I1869" s="66">
        <f t="shared" si="29"/>
        <v>0</v>
      </c>
    </row>
    <row r="1870" spans="8:9">
      <c r="H1870" s="66" t="e">
        <f>IF(OR(LEFT(B1870,FIND("_",B1870,1)-1)="ULGALLOC",LEFT(B1870,FIND("_",B1870,1)-1)="ULSPOOL"),LEFT(B1870,FIND("_",B1870,1)-1),VLOOKUP(LEFT(A1870,6),'Code Library'!$D$3:$E$200,2,0))&amp;"_"&amp;RIGHT(A1870,3)</f>
        <v>#VALUE!</v>
      </c>
      <c r="I1870" s="66">
        <f t="shared" si="29"/>
        <v>0</v>
      </c>
    </row>
    <row r="1871" spans="8:9">
      <c r="H1871" s="66" t="e">
        <f>IF(OR(LEFT(B1871,FIND("_",B1871,1)-1)="ULGALLOC",LEFT(B1871,FIND("_",B1871,1)-1)="ULSPOOL"),LEFT(B1871,FIND("_",B1871,1)-1),VLOOKUP(LEFT(A1871,6),'Code Library'!$D$3:$E$200,2,0))&amp;"_"&amp;RIGHT(A1871,3)</f>
        <v>#VALUE!</v>
      </c>
      <c r="I1871" s="66">
        <f t="shared" si="29"/>
        <v>0</v>
      </c>
    </row>
    <row r="1872" spans="8:9">
      <c r="H1872" s="66" t="e">
        <f>IF(OR(LEFT(B1872,FIND("_",B1872,1)-1)="ULGALLOC",LEFT(B1872,FIND("_",B1872,1)-1)="ULSPOOL"),LEFT(B1872,FIND("_",B1872,1)-1),VLOOKUP(LEFT(A1872,6),'Code Library'!$D$3:$E$200,2,0))&amp;"_"&amp;RIGHT(A1872,3)</f>
        <v>#VALUE!</v>
      </c>
      <c r="I1872" s="66">
        <f t="shared" si="29"/>
        <v>0</v>
      </c>
    </row>
    <row r="1873" spans="8:9">
      <c r="H1873" s="66" t="e">
        <f>IF(OR(LEFT(B1873,FIND("_",B1873,1)-1)="ULGALLOC",LEFT(B1873,FIND("_",B1873,1)-1)="ULSPOOL"),LEFT(B1873,FIND("_",B1873,1)-1),VLOOKUP(LEFT(A1873,6),'Code Library'!$D$3:$E$200,2,0))&amp;"_"&amp;RIGHT(A1873,3)</f>
        <v>#VALUE!</v>
      </c>
      <c r="I1873" s="66">
        <f t="shared" si="29"/>
        <v>0</v>
      </c>
    </row>
    <row r="1874" spans="8:9">
      <c r="H1874" s="66" t="e">
        <f>IF(OR(LEFT(B1874,FIND("_",B1874,1)-1)="ULGALLOC",LEFT(B1874,FIND("_",B1874,1)-1)="ULSPOOL"),LEFT(B1874,FIND("_",B1874,1)-1),VLOOKUP(LEFT(A1874,6),'Code Library'!$D$3:$E$200,2,0))&amp;"_"&amp;RIGHT(A1874,3)</f>
        <v>#VALUE!</v>
      </c>
      <c r="I1874" s="66">
        <f t="shared" si="29"/>
        <v>0</v>
      </c>
    </row>
    <row r="1875" spans="8:9">
      <c r="H1875" s="66" t="e">
        <f>IF(OR(LEFT(B1875,FIND("_",B1875,1)-1)="ULGALLOC",LEFT(B1875,FIND("_",B1875,1)-1)="ULSPOOL"),LEFT(B1875,FIND("_",B1875,1)-1),VLOOKUP(LEFT(A1875,6),'Code Library'!$D$3:$E$200,2,0))&amp;"_"&amp;RIGHT(A1875,3)</f>
        <v>#VALUE!</v>
      </c>
      <c r="I1875" s="66">
        <f t="shared" si="29"/>
        <v>0</v>
      </c>
    </row>
    <row r="1876" spans="8:9">
      <c r="H1876" s="66" t="e">
        <f>IF(OR(LEFT(B1876,FIND("_",B1876,1)-1)="ULGALLOC",LEFT(B1876,FIND("_",B1876,1)-1)="ULSPOOL"),LEFT(B1876,FIND("_",B1876,1)-1),VLOOKUP(LEFT(A1876,6),'Code Library'!$D$3:$E$200,2,0))&amp;"_"&amp;RIGHT(A1876,3)</f>
        <v>#VALUE!</v>
      </c>
      <c r="I1876" s="66">
        <f t="shared" si="29"/>
        <v>0</v>
      </c>
    </row>
    <row r="1877" spans="8:9">
      <c r="H1877" s="66" t="e">
        <f>IF(OR(LEFT(B1877,FIND("_",B1877,1)-1)="ULGALLOC",LEFT(B1877,FIND("_",B1877,1)-1)="ULSPOOL"),LEFT(B1877,FIND("_",B1877,1)-1),VLOOKUP(LEFT(A1877,6),'Code Library'!$D$3:$E$200,2,0))&amp;"_"&amp;RIGHT(A1877,3)</f>
        <v>#VALUE!</v>
      </c>
      <c r="I1877" s="66">
        <f t="shared" si="29"/>
        <v>0</v>
      </c>
    </row>
    <row r="1878" spans="8:9">
      <c r="H1878" s="66" t="e">
        <f>IF(OR(LEFT(B1878,FIND("_",B1878,1)-1)="ULGALLOC",LEFT(B1878,FIND("_",B1878,1)-1)="ULSPOOL"),LEFT(B1878,FIND("_",B1878,1)-1),VLOOKUP(LEFT(A1878,6),'Code Library'!$D$3:$E$200,2,0))&amp;"_"&amp;RIGHT(A1878,3)</f>
        <v>#VALUE!</v>
      </c>
      <c r="I1878" s="66">
        <f t="shared" si="29"/>
        <v>0</v>
      </c>
    </row>
    <row r="1879" spans="8:9">
      <c r="H1879" s="66" t="e">
        <f>IF(OR(LEFT(B1879,FIND("_",B1879,1)-1)="ULGALLOC",LEFT(B1879,FIND("_",B1879,1)-1)="ULSPOOL"),LEFT(B1879,FIND("_",B1879,1)-1),VLOOKUP(LEFT(A1879,6),'Code Library'!$D$3:$E$200,2,0))&amp;"_"&amp;RIGHT(A1879,3)</f>
        <v>#VALUE!</v>
      </c>
      <c r="I1879" s="66">
        <f t="shared" si="29"/>
        <v>0</v>
      </c>
    </row>
    <row r="1880" spans="8:9">
      <c r="H1880" s="66" t="e">
        <f>IF(OR(LEFT(B1880,FIND("_",B1880,1)-1)="ULGALLOC",LEFT(B1880,FIND("_",B1880,1)-1)="ULSPOOL"),LEFT(B1880,FIND("_",B1880,1)-1),VLOOKUP(LEFT(A1880,6),'Code Library'!$D$3:$E$200,2,0))&amp;"_"&amp;RIGHT(A1880,3)</f>
        <v>#VALUE!</v>
      </c>
      <c r="I1880" s="66">
        <f t="shared" si="29"/>
        <v>0</v>
      </c>
    </row>
    <row r="1881" spans="8:9">
      <c r="H1881" s="66" t="e">
        <f>IF(OR(LEFT(B1881,FIND("_",B1881,1)-1)="ULGALLOC",LEFT(B1881,FIND("_",B1881,1)-1)="ULSPOOL"),LEFT(B1881,FIND("_",B1881,1)-1),VLOOKUP(LEFT(A1881,6),'Code Library'!$D$3:$E$200,2,0))&amp;"_"&amp;RIGHT(A1881,3)</f>
        <v>#VALUE!</v>
      </c>
      <c r="I1881" s="66">
        <f t="shared" si="29"/>
        <v>0</v>
      </c>
    </row>
    <row r="1882" spans="8:9">
      <c r="H1882" s="66" t="e">
        <f>IF(OR(LEFT(B1882,FIND("_",B1882,1)-1)="ULGALLOC",LEFT(B1882,FIND("_",B1882,1)-1)="ULSPOOL"),LEFT(B1882,FIND("_",B1882,1)-1),VLOOKUP(LEFT(A1882,6),'Code Library'!$D$3:$E$200,2,0))&amp;"_"&amp;RIGHT(A1882,3)</f>
        <v>#VALUE!</v>
      </c>
      <c r="I1882" s="66">
        <f t="shared" si="29"/>
        <v>0</v>
      </c>
    </row>
    <row r="1883" spans="8:9">
      <c r="H1883" s="66" t="e">
        <f>IF(OR(LEFT(B1883,FIND("_",B1883,1)-1)="ULGALLOC",LEFT(B1883,FIND("_",B1883,1)-1)="ULSPOOL"),LEFT(B1883,FIND("_",B1883,1)-1),VLOOKUP(LEFT(A1883,6),'Code Library'!$D$3:$E$200,2,0))&amp;"_"&amp;RIGHT(A1883,3)</f>
        <v>#VALUE!</v>
      </c>
      <c r="I1883" s="66">
        <f t="shared" si="29"/>
        <v>0</v>
      </c>
    </row>
    <row r="1884" spans="8:9">
      <c r="H1884" s="66" t="e">
        <f>IF(OR(LEFT(B1884,FIND("_",B1884,1)-1)="ULGALLOC",LEFT(B1884,FIND("_",B1884,1)-1)="ULSPOOL"),LEFT(B1884,FIND("_",B1884,1)-1),VLOOKUP(LEFT(A1884,6),'Code Library'!$D$3:$E$200,2,0))&amp;"_"&amp;RIGHT(A1884,3)</f>
        <v>#VALUE!</v>
      </c>
      <c r="I1884" s="66">
        <f t="shared" si="29"/>
        <v>0</v>
      </c>
    </row>
    <row r="1885" spans="8:9">
      <c r="H1885" s="66" t="e">
        <f>IF(OR(LEFT(B1885,FIND("_",B1885,1)-1)="ULGALLOC",LEFT(B1885,FIND("_",B1885,1)-1)="ULSPOOL"),LEFT(B1885,FIND("_",B1885,1)-1),VLOOKUP(LEFT(A1885,6),'Code Library'!$D$3:$E$200,2,0))&amp;"_"&amp;RIGHT(A1885,3)</f>
        <v>#VALUE!</v>
      </c>
      <c r="I1885" s="66">
        <f t="shared" si="29"/>
        <v>0</v>
      </c>
    </row>
    <row r="1886" spans="8:9">
      <c r="H1886" s="66" t="e">
        <f>IF(OR(LEFT(B1886,FIND("_",B1886,1)-1)="ULGALLOC",LEFT(B1886,FIND("_",B1886,1)-1)="ULSPOOL"),LEFT(B1886,FIND("_",B1886,1)-1),VLOOKUP(LEFT(A1886,6),'Code Library'!$D$3:$E$200,2,0))&amp;"_"&amp;RIGHT(A1886,3)</f>
        <v>#VALUE!</v>
      </c>
      <c r="I1886" s="66">
        <f t="shared" si="29"/>
        <v>0</v>
      </c>
    </row>
    <row r="1887" spans="8:9">
      <c r="H1887" s="66" t="e">
        <f>IF(OR(LEFT(B1887,FIND("_",B1887,1)-1)="ULGALLOC",LEFT(B1887,FIND("_",B1887,1)-1)="ULSPOOL"),LEFT(B1887,FIND("_",B1887,1)-1),VLOOKUP(LEFT(A1887,6),'Code Library'!$D$3:$E$200,2,0))&amp;"_"&amp;RIGHT(A1887,3)</f>
        <v>#VALUE!</v>
      </c>
      <c r="I1887" s="66">
        <f t="shared" si="29"/>
        <v>0</v>
      </c>
    </row>
    <row r="1888" spans="8:9">
      <c r="H1888" s="66" t="e">
        <f>IF(OR(LEFT(B1888,FIND("_",B1888,1)-1)="ULGALLOC",LEFT(B1888,FIND("_",B1888,1)-1)="ULSPOOL"),LEFT(B1888,FIND("_",B1888,1)-1),VLOOKUP(LEFT(A1888,6),'Code Library'!$D$3:$E$200,2,0))&amp;"_"&amp;RIGHT(A1888,3)</f>
        <v>#VALUE!</v>
      </c>
      <c r="I1888" s="66">
        <f t="shared" si="29"/>
        <v>0</v>
      </c>
    </row>
    <row r="1889" spans="8:9">
      <c r="H1889" s="66" t="e">
        <f>IF(OR(LEFT(B1889,FIND("_",B1889,1)-1)="ULGALLOC",LEFT(B1889,FIND("_",B1889,1)-1)="ULSPOOL"),LEFT(B1889,FIND("_",B1889,1)-1),VLOOKUP(LEFT(A1889,6),'Code Library'!$D$3:$E$200,2,0))&amp;"_"&amp;RIGHT(A1889,3)</f>
        <v>#VALUE!</v>
      </c>
      <c r="I1889" s="66">
        <f t="shared" si="29"/>
        <v>0</v>
      </c>
    </row>
    <row r="1890" spans="8:9">
      <c r="H1890" s="66" t="e">
        <f>IF(OR(LEFT(B1890,FIND("_",B1890,1)-1)="ULGALLOC",LEFT(B1890,FIND("_",B1890,1)-1)="ULSPOOL"),LEFT(B1890,FIND("_",B1890,1)-1),VLOOKUP(LEFT(A1890,6),'Code Library'!$D$3:$E$200,2,0))&amp;"_"&amp;RIGHT(A1890,3)</f>
        <v>#VALUE!</v>
      </c>
      <c r="I1890" s="66">
        <f t="shared" si="29"/>
        <v>0</v>
      </c>
    </row>
    <row r="1891" spans="8:9">
      <c r="H1891" s="66" t="e">
        <f>IF(OR(LEFT(B1891,FIND("_",B1891,1)-1)="ULGALLOC",LEFT(B1891,FIND("_",B1891,1)-1)="ULSPOOL"),LEFT(B1891,FIND("_",B1891,1)-1),VLOOKUP(LEFT(A1891,6),'Code Library'!$D$3:$E$200,2,0))&amp;"_"&amp;RIGHT(A1891,3)</f>
        <v>#VALUE!</v>
      </c>
      <c r="I1891" s="66">
        <f t="shared" si="29"/>
        <v>0</v>
      </c>
    </row>
    <row r="1892" spans="8:9">
      <c r="H1892" s="66" t="e">
        <f>IF(OR(LEFT(B1892,FIND("_",B1892,1)-1)="ULGALLOC",LEFT(B1892,FIND("_",B1892,1)-1)="ULSPOOL"),LEFT(B1892,FIND("_",B1892,1)-1),VLOOKUP(LEFT(A1892,6),'Code Library'!$D$3:$E$200,2,0))&amp;"_"&amp;RIGHT(A1892,3)</f>
        <v>#VALUE!</v>
      </c>
      <c r="I1892" s="66">
        <f t="shared" si="29"/>
        <v>0</v>
      </c>
    </row>
    <row r="1893" spans="8:9">
      <c r="H1893" s="66" t="e">
        <f>IF(OR(LEFT(B1893,FIND("_",B1893,1)-1)="ULGALLOC",LEFT(B1893,FIND("_",B1893,1)-1)="ULSPOOL"),LEFT(B1893,FIND("_",B1893,1)-1),VLOOKUP(LEFT(A1893,6),'Code Library'!$D$3:$E$200,2,0))&amp;"_"&amp;RIGHT(A1893,3)</f>
        <v>#VALUE!</v>
      </c>
      <c r="I1893" s="66">
        <f t="shared" si="29"/>
        <v>0</v>
      </c>
    </row>
    <row r="1894" spans="8:9">
      <c r="H1894" s="66" t="e">
        <f>IF(OR(LEFT(B1894,FIND("_",B1894,1)-1)="ULGALLOC",LEFT(B1894,FIND("_",B1894,1)-1)="ULSPOOL"),LEFT(B1894,FIND("_",B1894,1)-1),VLOOKUP(LEFT(A1894,6),'Code Library'!$D$3:$E$200,2,0))&amp;"_"&amp;RIGHT(A1894,3)</f>
        <v>#VALUE!</v>
      </c>
      <c r="I1894" s="66">
        <f t="shared" si="29"/>
        <v>0</v>
      </c>
    </row>
    <row r="1895" spans="8:9">
      <c r="H1895" s="66" t="e">
        <f>IF(OR(LEFT(B1895,FIND("_",B1895,1)-1)="ULGALLOC",LEFT(B1895,FIND("_",B1895,1)-1)="ULSPOOL"),LEFT(B1895,FIND("_",B1895,1)-1),VLOOKUP(LEFT(A1895,6),'Code Library'!$D$3:$E$200,2,0))&amp;"_"&amp;RIGHT(A1895,3)</f>
        <v>#VALUE!</v>
      </c>
      <c r="I1895" s="66">
        <f t="shared" si="29"/>
        <v>0</v>
      </c>
    </row>
    <row r="1896" spans="8:9">
      <c r="H1896" s="66" t="e">
        <f>IF(OR(LEFT(B1896,FIND("_",B1896,1)-1)="ULGALLOC",LEFT(B1896,FIND("_",B1896,1)-1)="ULSPOOL"),LEFT(B1896,FIND("_",B1896,1)-1),VLOOKUP(LEFT(A1896,6),'Code Library'!$D$3:$E$200,2,0))&amp;"_"&amp;RIGHT(A1896,3)</f>
        <v>#VALUE!</v>
      </c>
      <c r="I1896" s="66">
        <f t="shared" si="29"/>
        <v>0</v>
      </c>
    </row>
    <row r="1897" spans="8:9">
      <c r="H1897" s="66" t="e">
        <f>IF(OR(LEFT(B1897,FIND("_",B1897,1)-1)="ULGALLOC",LEFT(B1897,FIND("_",B1897,1)-1)="ULSPOOL"),LEFT(B1897,FIND("_",B1897,1)-1),VLOOKUP(LEFT(A1897,6),'Code Library'!$D$3:$E$200,2,0))&amp;"_"&amp;RIGHT(A1897,3)</f>
        <v>#VALUE!</v>
      </c>
      <c r="I1897" s="66">
        <f t="shared" si="29"/>
        <v>0</v>
      </c>
    </row>
    <row r="1898" spans="8:9">
      <c r="H1898" s="66" t="e">
        <f>IF(OR(LEFT(B1898,FIND("_",B1898,1)-1)="ULGALLOC",LEFT(B1898,FIND("_",B1898,1)-1)="ULSPOOL"),LEFT(B1898,FIND("_",B1898,1)-1),VLOOKUP(LEFT(A1898,6),'Code Library'!$D$3:$E$200,2,0))&amp;"_"&amp;RIGHT(A1898,3)</f>
        <v>#VALUE!</v>
      </c>
      <c r="I1898" s="66">
        <f t="shared" si="29"/>
        <v>0</v>
      </c>
    </row>
    <row r="1899" spans="8:9">
      <c r="H1899" s="66" t="e">
        <f>IF(OR(LEFT(B1899,FIND("_",B1899,1)-1)="ULGALLOC",LEFT(B1899,FIND("_",B1899,1)-1)="ULSPOOL"),LEFT(B1899,FIND("_",B1899,1)-1),VLOOKUP(LEFT(A1899,6),'Code Library'!$D$3:$E$200,2,0))&amp;"_"&amp;RIGHT(A1899,3)</f>
        <v>#VALUE!</v>
      </c>
      <c r="I1899" s="66">
        <f t="shared" si="29"/>
        <v>0</v>
      </c>
    </row>
    <row r="1900" spans="8:9">
      <c r="H1900" s="66" t="e">
        <f>IF(OR(LEFT(B1900,FIND("_",B1900,1)-1)="ULGALLOC",LEFT(B1900,FIND("_",B1900,1)-1)="ULSPOOL"),LEFT(B1900,FIND("_",B1900,1)-1),VLOOKUP(LEFT(A1900,6),'Code Library'!$D$3:$E$200,2,0))&amp;"_"&amp;RIGHT(A1900,3)</f>
        <v>#VALUE!</v>
      </c>
      <c r="I1900" s="66">
        <f t="shared" si="29"/>
        <v>0</v>
      </c>
    </row>
    <row r="1901" spans="8:9">
      <c r="H1901" s="66" t="e">
        <f>IF(OR(LEFT(B1901,FIND("_",B1901,1)-1)="ULGALLOC",LEFT(B1901,FIND("_",B1901,1)-1)="ULSPOOL"),LEFT(B1901,FIND("_",B1901,1)-1),VLOOKUP(LEFT(A1901,6),'Code Library'!$D$3:$E$200,2,0))&amp;"_"&amp;RIGHT(A1901,3)</f>
        <v>#VALUE!</v>
      </c>
      <c r="I1901" s="66">
        <f t="shared" si="29"/>
        <v>0</v>
      </c>
    </row>
    <row r="1902" spans="8:9">
      <c r="H1902" s="66" t="e">
        <f>IF(OR(LEFT(B1902,FIND("_",B1902,1)-1)="ULGALLOC",LEFT(B1902,FIND("_",B1902,1)-1)="ULSPOOL"),LEFT(B1902,FIND("_",B1902,1)-1),VLOOKUP(LEFT(A1902,6),'Code Library'!$D$3:$E$200,2,0))&amp;"_"&amp;RIGHT(A1902,3)</f>
        <v>#VALUE!</v>
      </c>
      <c r="I1902" s="66">
        <f t="shared" si="29"/>
        <v>0</v>
      </c>
    </row>
    <row r="1903" spans="8:9">
      <c r="H1903" s="66" t="e">
        <f>IF(OR(LEFT(B1903,FIND("_",B1903,1)-1)="ULGALLOC",LEFT(B1903,FIND("_",B1903,1)-1)="ULSPOOL"),LEFT(B1903,FIND("_",B1903,1)-1),VLOOKUP(LEFT(A1903,6),'Code Library'!$D$3:$E$200,2,0))&amp;"_"&amp;RIGHT(A1903,3)</f>
        <v>#VALUE!</v>
      </c>
      <c r="I1903" s="66">
        <f t="shared" si="29"/>
        <v>0</v>
      </c>
    </row>
    <row r="1904" spans="8:9">
      <c r="H1904" s="66" t="e">
        <f>IF(OR(LEFT(B1904,FIND("_",B1904,1)-1)="ULGALLOC",LEFT(B1904,FIND("_",B1904,1)-1)="ULSPOOL"),LEFT(B1904,FIND("_",B1904,1)-1),VLOOKUP(LEFT(A1904,6),'Code Library'!$D$3:$E$200,2,0))&amp;"_"&amp;RIGHT(A1904,3)</f>
        <v>#VALUE!</v>
      </c>
      <c r="I1904" s="66">
        <f t="shared" si="29"/>
        <v>0</v>
      </c>
    </row>
    <row r="1905" spans="8:9">
      <c r="H1905" s="66" t="e">
        <f>IF(OR(LEFT(B1905,FIND("_",B1905,1)-1)="ULGALLOC",LEFT(B1905,FIND("_",B1905,1)-1)="ULSPOOL"),LEFT(B1905,FIND("_",B1905,1)-1),VLOOKUP(LEFT(A1905,6),'Code Library'!$D$3:$E$200,2,0))&amp;"_"&amp;RIGHT(A1905,3)</f>
        <v>#VALUE!</v>
      </c>
      <c r="I1905" s="66">
        <f t="shared" si="29"/>
        <v>0</v>
      </c>
    </row>
    <row r="1906" spans="8:9">
      <c r="H1906" s="66" t="e">
        <f>IF(OR(LEFT(B1906,FIND("_",B1906,1)-1)="ULGALLOC",LEFT(B1906,FIND("_",B1906,1)-1)="ULSPOOL"),LEFT(B1906,FIND("_",B1906,1)-1),VLOOKUP(LEFT(A1906,6),'Code Library'!$D$3:$E$200,2,0))&amp;"_"&amp;RIGHT(A1906,3)</f>
        <v>#VALUE!</v>
      </c>
      <c r="I1906" s="66">
        <f t="shared" si="29"/>
        <v>0</v>
      </c>
    </row>
    <row r="1907" spans="8:9">
      <c r="H1907" s="66" t="e">
        <f>IF(OR(LEFT(B1907,FIND("_",B1907,1)-1)="ULGALLOC",LEFT(B1907,FIND("_",B1907,1)-1)="ULSPOOL"),LEFT(B1907,FIND("_",B1907,1)-1),VLOOKUP(LEFT(A1907,6),'Code Library'!$D$3:$E$200,2,0))&amp;"_"&amp;RIGHT(A1907,3)</f>
        <v>#VALUE!</v>
      </c>
      <c r="I1907" s="66">
        <f t="shared" si="29"/>
        <v>0</v>
      </c>
    </row>
    <row r="1908" spans="8:9">
      <c r="H1908" s="66" t="e">
        <f>IF(OR(LEFT(B1908,FIND("_",B1908,1)-1)="ULGALLOC",LEFT(B1908,FIND("_",B1908,1)-1)="ULSPOOL"),LEFT(B1908,FIND("_",B1908,1)-1),VLOOKUP(LEFT(A1908,6),'Code Library'!$D$3:$E$200,2,0))&amp;"_"&amp;RIGHT(A1908,3)</f>
        <v>#VALUE!</v>
      </c>
      <c r="I1908" s="66">
        <f t="shared" si="29"/>
        <v>0</v>
      </c>
    </row>
    <row r="1909" spans="8:9">
      <c r="H1909" s="66" t="e">
        <f>IF(OR(LEFT(B1909,FIND("_",B1909,1)-1)="ULGALLOC",LEFT(B1909,FIND("_",B1909,1)-1)="ULSPOOL"),LEFT(B1909,FIND("_",B1909,1)-1),VLOOKUP(LEFT(A1909,6),'Code Library'!$D$3:$E$200,2,0))&amp;"_"&amp;RIGHT(A1909,3)</f>
        <v>#VALUE!</v>
      </c>
      <c r="I1909" s="66">
        <f t="shared" si="29"/>
        <v>0</v>
      </c>
    </row>
    <row r="1910" spans="8:9">
      <c r="H1910" s="66" t="e">
        <f>IF(OR(LEFT(B1910,FIND("_",B1910,1)-1)="ULGALLOC",LEFT(B1910,FIND("_",B1910,1)-1)="ULSPOOL"),LEFT(B1910,FIND("_",B1910,1)-1),VLOOKUP(LEFT(A1910,6),'Code Library'!$D$3:$E$200,2,0))&amp;"_"&amp;RIGHT(A1910,3)</f>
        <v>#VALUE!</v>
      </c>
      <c r="I1910" s="66">
        <f t="shared" si="29"/>
        <v>0</v>
      </c>
    </row>
    <row r="1911" spans="8:9">
      <c r="H1911" s="66" t="e">
        <f>IF(OR(LEFT(B1911,FIND("_",B1911,1)-1)="ULGALLOC",LEFT(B1911,FIND("_",B1911,1)-1)="ULSPOOL"),LEFT(B1911,FIND("_",B1911,1)-1),VLOOKUP(LEFT(A1911,6),'Code Library'!$D$3:$E$200,2,0))&amp;"_"&amp;RIGHT(A1911,3)</f>
        <v>#VALUE!</v>
      </c>
      <c r="I1911" s="66">
        <f t="shared" si="29"/>
        <v>0</v>
      </c>
    </row>
    <row r="1912" spans="8:9">
      <c r="H1912" s="66" t="e">
        <f>IF(OR(LEFT(B1912,FIND("_",B1912,1)-1)="ULGALLOC",LEFT(B1912,FIND("_",B1912,1)-1)="ULSPOOL"),LEFT(B1912,FIND("_",B1912,1)-1),VLOOKUP(LEFT(A1912,6),'Code Library'!$D$3:$E$200,2,0))&amp;"_"&amp;RIGHT(A1912,3)</f>
        <v>#VALUE!</v>
      </c>
      <c r="I1912" s="66">
        <f t="shared" si="29"/>
        <v>0</v>
      </c>
    </row>
    <row r="1913" spans="8:9">
      <c r="H1913" s="66" t="e">
        <f>IF(OR(LEFT(B1913,FIND("_",B1913,1)-1)="ULGALLOC",LEFT(B1913,FIND("_",B1913,1)-1)="ULSPOOL"),LEFT(B1913,FIND("_",B1913,1)-1),VLOOKUP(LEFT(A1913,6),'Code Library'!$D$3:$E$200,2,0))&amp;"_"&amp;RIGHT(A1913,3)</f>
        <v>#VALUE!</v>
      </c>
      <c r="I1913" s="66">
        <f t="shared" si="29"/>
        <v>0</v>
      </c>
    </row>
    <row r="1914" spans="8:9">
      <c r="H1914" s="66" t="e">
        <f>IF(OR(LEFT(B1914,FIND("_",B1914,1)-1)="ULGALLOC",LEFT(B1914,FIND("_",B1914,1)-1)="ULSPOOL"),LEFT(B1914,FIND("_",B1914,1)-1),VLOOKUP(LEFT(A1914,6),'Code Library'!$D$3:$E$200,2,0))&amp;"_"&amp;RIGHT(A1914,3)</f>
        <v>#VALUE!</v>
      </c>
      <c r="I1914" s="66">
        <f t="shared" si="29"/>
        <v>0</v>
      </c>
    </row>
    <row r="1915" spans="8:9">
      <c r="H1915" s="66" t="e">
        <f>IF(OR(LEFT(B1915,FIND("_",B1915,1)-1)="ULGALLOC",LEFT(B1915,FIND("_",B1915,1)-1)="ULSPOOL"),LEFT(B1915,FIND("_",B1915,1)-1),VLOOKUP(LEFT(A1915,6),'Code Library'!$D$3:$E$200,2,0))&amp;"_"&amp;RIGHT(A1915,3)</f>
        <v>#VALUE!</v>
      </c>
      <c r="I1915" s="66">
        <f t="shared" si="29"/>
        <v>0</v>
      </c>
    </row>
    <row r="1916" spans="8:9">
      <c r="H1916" s="66" t="e">
        <f>IF(OR(LEFT(B1916,FIND("_",B1916,1)-1)="ULGALLOC",LEFT(B1916,FIND("_",B1916,1)-1)="ULSPOOL"),LEFT(B1916,FIND("_",B1916,1)-1),VLOOKUP(LEFT(A1916,6),'Code Library'!$D$3:$E$200,2,0))&amp;"_"&amp;RIGHT(A1916,3)</f>
        <v>#VALUE!</v>
      </c>
      <c r="I1916" s="66">
        <f t="shared" si="29"/>
        <v>0</v>
      </c>
    </row>
    <row r="1917" spans="8:9">
      <c r="H1917" s="66" t="e">
        <f>IF(OR(LEFT(B1917,FIND("_",B1917,1)-1)="ULGALLOC",LEFT(B1917,FIND("_",B1917,1)-1)="ULSPOOL"),LEFT(B1917,FIND("_",B1917,1)-1),VLOOKUP(LEFT(A1917,6),'Code Library'!$D$3:$E$200,2,0))&amp;"_"&amp;RIGHT(A1917,3)</f>
        <v>#VALUE!</v>
      </c>
      <c r="I1917" s="66">
        <f t="shared" si="29"/>
        <v>0</v>
      </c>
    </row>
    <row r="1918" spans="8:9">
      <c r="H1918" s="66" t="e">
        <f>IF(OR(LEFT(B1918,FIND("_",B1918,1)-1)="ULGALLOC",LEFT(B1918,FIND("_",B1918,1)-1)="ULSPOOL"),LEFT(B1918,FIND("_",B1918,1)-1),VLOOKUP(LEFT(A1918,6),'Code Library'!$D$3:$E$200,2,0))&amp;"_"&amp;RIGHT(A1918,3)</f>
        <v>#VALUE!</v>
      </c>
      <c r="I1918" s="66">
        <f t="shared" si="29"/>
        <v>0</v>
      </c>
    </row>
    <row r="1919" spans="8:9">
      <c r="H1919" s="66" t="e">
        <f>IF(OR(LEFT(B1919,FIND("_",B1919,1)-1)="ULGALLOC",LEFT(B1919,FIND("_",B1919,1)-1)="ULSPOOL"),LEFT(B1919,FIND("_",B1919,1)-1),VLOOKUP(LEFT(A1919,6),'Code Library'!$D$3:$E$200,2,0))&amp;"_"&amp;RIGHT(A1919,3)</f>
        <v>#VALUE!</v>
      </c>
      <c r="I1919" s="66">
        <f t="shared" si="29"/>
        <v>0</v>
      </c>
    </row>
    <row r="1920" spans="8:9">
      <c r="H1920" s="66" t="e">
        <f>IF(OR(LEFT(B1920,FIND("_",B1920,1)-1)="ULGALLOC",LEFT(B1920,FIND("_",B1920,1)-1)="ULSPOOL"),LEFT(B1920,FIND("_",B1920,1)-1),VLOOKUP(LEFT(A1920,6),'Code Library'!$D$3:$E$200,2,0))&amp;"_"&amp;RIGHT(A1920,3)</f>
        <v>#VALUE!</v>
      </c>
      <c r="I1920" s="66">
        <f t="shared" si="29"/>
        <v>0</v>
      </c>
    </row>
    <row r="1921" spans="8:9">
      <c r="H1921" s="66" t="e">
        <f>IF(OR(LEFT(B1921,FIND("_",B1921,1)-1)="ULGALLOC",LEFT(B1921,FIND("_",B1921,1)-1)="ULSPOOL"),LEFT(B1921,FIND("_",B1921,1)-1),VLOOKUP(LEFT(A1921,6),'Code Library'!$D$3:$E$200,2,0))&amp;"_"&amp;RIGHT(A1921,3)</f>
        <v>#VALUE!</v>
      </c>
      <c r="I1921" s="66">
        <f t="shared" si="29"/>
        <v>0</v>
      </c>
    </row>
    <row r="1922" spans="8:9">
      <c r="H1922" s="66" t="e">
        <f>IF(OR(LEFT(B1922,FIND("_",B1922,1)-1)="ULGALLOC",LEFT(B1922,FIND("_",B1922,1)-1)="ULSPOOL"),LEFT(B1922,FIND("_",B1922,1)-1),VLOOKUP(LEFT(A1922,6),'Code Library'!$D$3:$E$200,2,0))&amp;"_"&amp;RIGHT(A1922,3)</f>
        <v>#VALUE!</v>
      </c>
      <c r="I1922" s="66">
        <f t="shared" si="29"/>
        <v>0</v>
      </c>
    </row>
    <row r="1923" spans="8:9">
      <c r="H1923" s="66" t="e">
        <f>IF(OR(LEFT(B1923,FIND("_",B1923,1)-1)="ULGALLOC",LEFT(B1923,FIND("_",B1923,1)-1)="ULSPOOL"),LEFT(B1923,FIND("_",B1923,1)-1),VLOOKUP(LEFT(A1923,6),'Code Library'!$D$3:$E$200,2,0))&amp;"_"&amp;RIGHT(A1923,3)</f>
        <v>#VALUE!</v>
      </c>
      <c r="I1923" s="66">
        <f t="shared" ref="I1923:I1986" si="30">A1923</f>
        <v>0</v>
      </c>
    </row>
    <row r="1924" spans="8:9">
      <c r="H1924" s="66" t="e">
        <f>IF(OR(LEFT(B1924,FIND("_",B1924,1)-1)="ULGALLOC",LEFT(B1924,FIND("_",B1924,1)-1)="ULSPOOL"),LEFT(B1924,FIND("_",B1924,1)-1),VLOOKUP(LEFT(A1924,6),'Code Library'!$D$3:$E$200,2,0))&amp;"_"&amp;RIGHT(A1924,3)</f>
        <v>#VALUE!</v>
      </c>
      <c r="I1924" s="66">
        <f t="shared" si="30"/>
        <v>0</v>
      </c>
    </row>
    <row r="1925" spans="8:9">
      <c r="H1925" s="66" t="e">
        <f>IF(OR(LEFT(B1925,FIND("_",B1925,1)-1)="ULGALLOC",LEFT(B1925,FIND("_",B1925,1)-1)="ULSPOOL"),LEFT(B1925,FIND("_",B1925,1)-1),VLOOKUP(LEFT(A1925,6),'Code Library'!$D$3:$E$200,2,0))&amp;"_"&amp;RIGHT(A1925,3)</f>
        <v>#VALUE!</v>
      </c>
      <c r="I1925" s="66">
        <f t="shared" si="30"/>
        <v>0</v>
      </c>
    </row>
    <row r="1926" spans="8:9">
      <c r="H1926" s="66" t="e">
        <f>IF(OR(LEFT(B1926,FIND("_",B1926,1)-1)="ULGALLOC",LEFT(B1926,FIND("_",B1926,1)-1)="ULSPOOL"),LEFT(B1926,FIND("_",B1926,1)-1),VLOOKUP(LEFT(A1926,6),'Code Library'!$D$3:$E$200,2,0))&amp;"_"&amp;RIGHT(A1926,3)</f>
        <v>#VALUE!</v>
      </c>
      <c r="I1926" s="66">
        <f t="shared" si="30"/>
        <v>0</v>
      </c>
    </row>
    <row r="1927" spans="8:9">
      <c r="H1927" s="66" t="e">
        <f>IF(OR(LEFT(B1927,FIND("_",B1927,1)-1)="ULGALLOC",LEFT(B1927,FIND("_",B1927,1)-1)="ULSPOOL"),LEFT(B1927,FIND("_",B1927,1)-1),VLOOKUP(LEFT(A1927,6),'Code Library'!$D$3:$E$200,2,0))&amp;"_"&amp;RIGHT(A1927,3)</f>
        <v>#VALUE!</v>
      </c>
      <c r="I1927" s="66">
        <f t="shared" si="30"/>
        <v>0</v>
      </c>
    </row>
    <row r="1928" spans="8:9">
      <c r="H1928" s="66" t="e">
        <f>IF(OR(LEFT(B1928,FIND("_",B1928,1)-1)="ULGALLOC",LEFT(B1928,FIND("_",B1928,1)-1)="ULSPOOL"),LEFT(B1928,FIND("_",B1928,1)-1),VLOOKUP(LEFT(A1928,6),'Code Library'!$D$3:$E$200,2,0))&amp;"_"&amp;RIGHT(A1928,3)</f>
        <v>#VALUE!</v>
      </c>
      <c r="I1928" s="66">
        <f t="shared" si="30"/>
        <v>0</v>
      </c>
    </row>
    <row r="1929" spans="8:9">
      <c r="H1929" s="66" t="e">
        <f>IF(OR(LEFT(B1929,FIND("_",B1929,1)-1)="ULGALLOC",LEFT(B1929,FIND("_",B1929,1)-1)="ULSPOOL"),LEFT(B1929,FIND("_",B1929,1)-1),VLOOKUP(LEFT(A1929,6),'Code Library'!$D$3:$E$200,2,0))&amp;"_"&amp;RIGHT(A1929,3)</f>
        <v>#VALUE!</v>
      </c>
      <c r="I1929" s="66">
        <f t="shared" si="30"/>
        <v>0</v>
      </c>
    </row>
    <row r="1930" spans="8:9">
      <c r="H1930" s="66" t="e">
        <f>IF(OR(LEFT(B1930,FIND("_",B1930,1)-1)="ULGALLOC",LEFT(B1930,FIND("_",B1930,1)-1)="ULSPOOL"),LEFT(B1930,FIND("_",B1930,1)-1),VLOOKUP(LEFT(A1930,6),'Code Library'!$D$3:$E$200,2,0))&amp;"_"&amp;RIGHT(A1930,3)</f>
        <v>#VALUE!</v>
      </c>
      <c r="I1930" s="66">
        <f t="shared" si="30"/>
        <v>0</v>
      </c>
    </row>
    <row r="1931" spans="8:9">
      <c r="H1931" s="66" t="e">
        <f>IF(OR(LEFT(B1931,FIND("_",B1931,1)-1)="ULGALLOC",LEFT(B1931,FIND("_",B1931,1)-1)="ULSPOOL"),LEFT(B1931,FIND("_",B1931,1)-1),VLOOKUP(LEFT(A1931,6),'Code Library'!$D$3:$E$200,2,0))&amp;"_"&amp;RIGHT(A1931,3)</f>
        <v>#VALUE!</v>
      </c>
      <c r="I1931" s="66">
        <f t="shared" si="30"/>
        <v>0</v>
      </c>
    </row>
    <row r="1932" spans="8:9">
      <c r="H1932" s="66" t="e">
        <f>IF(OR(LEFT(B1932,FIND("_",B1932,1)-1)="ULGALLOC",LEFT(B1932,FIND("_",B1932,1)-1)="ULSPOOL"),LEFT(B1932,FIND("_",B1932,1)-1),VLOOKUP(LEFT(A1932,6),'Code Library'!$D$3:$E$200,2,0))&amp;"_"&amp;RIGHT(A1932,3)</f>
        <v>#VALUE!</v>
      </c>
      <c r="I1932" s="66">
        <f t="shared" si="30"/>
        <v>0</v>
      </c>
    </row>
    <row r="1933" spans="8:9">
      <c r="H1933" s="66" t="e">
        <f>IF(OR(LEFT(B1933,FIND("_",B1933,1)-1)="ULGALLOC",LEFT(B1933,FIND("_",B1933,1)-1)="ULSPOOL"),LEFT(B1933,FIND("_",B1933,1)-1),VLOOKUP(LEFT(A1933,6),'Code Library'!$D$3:$E$200,2,0))&amp;"_"&amp;RIGHT(A1933,3)</f>
        <v>#VALUE!</v>
      </c>
      <c r="I1933" s="66">
        <f t="shared" si="30"/>
        <v>0</v>
      </c>
    </row>
    <row r="1934" spans="8:9">
      <c r="H1934" s="66" t="e">
        <f>IF(OR(LEFT(B1934,FIND("_",B1934,1)-1)="ULGALLOC",LEFT(B1934,FIND("_",B1934,1)-1)="ULSPOOL"),LEFT(B1934,FIND("_",B1934,1)-1),VLOOKUP(LEFT(A1934,6),'Code Library'!$D$3:$E$200,2,0))&amp;"_"&amp;RIGHT(A1934,3)</f>
        <v>#VALUE!</v>
      </c>
      <c r="I1934" s="66">
        <f t="shared" si="30"/>
        <v>0</v>
      </c>
    </row>
    <row r="1935" spans="8:9">
      <c r="H1935" s="66" t="e">
        <f>IF(OR(LEFT(B1935,FIND("_",B1935,1)-1)="ULGALLOC",LEFT(B1935,FIND("_",B1935,1)-1)="ULSPOOL"),LEFT(B1935,FIND("_",B1935,1)-1),VLOOKUP(LEFT(A1935,6),'Code Library'!$D$3:$E$200,2,0))&amp;"_"&amp;RIGHT(A1935,3)</f>
        <v>#VALUE!</v>
      </c>
      <c r="I1935" s="66">
        <f t="shared" si="30"/>
        <v>0</v>
      </c>
    </row>
    <row r="1936" spans="8:9">
      <c r="H1936" s="66" t="e">
        <f>IF(OR(LEFT(B1936,FIND("_",B1936,1)-1)="ULGALLOC",LEFT(B1936,FIND("_",B1936,1)-1)="ULSPOOL"),LEFT(B1936,FIND("_",B1936,1)-1),VLOOKUP(LEFT(A1936,6),'Code Library'!$D$3:$E$200,2,0))&amp;"_"&amp;RIGHT(A1936,3)</f>
        <v>#VALUE!</v>
      </c>
      <c r="I1936" s="66">
        <f t="shared" si="30"/>
        <v>0</v>
      </c>
    </row>
    <row r="1937" spans="8:9">
      <c r="H1937" s="66" t="e">
        <f>IF(OR(LEFT(B1937,FIND("_",B1937,1)-1)="ULGALLOC",LEFT(B1937,FIND("_",B1937,1)-1)="ULSPOOL"),LEFT(B1937,FIND("_",B1937,1)-1),VLOOKUP(LEFT(A1937,6),'Code Library'!$D$3:$E$200,2,0))&amp;"_"&amp;RIGHT(A1937,3)</f>
        <v>#VALUE!</v>
      </c>
      <c r="I1937" s="66">
        <f t="shared" si="30"/>
        <v>0</v>
      </c>
    </row>
    <row r="1938" spans="8:9">
      <c r="H1938" s="66" t="e">
        <f>IF(OR(LEFT(B1938,FIND("_",B1938,1)-1)="ULGALLOC",LEFT(B1938,FIND("_",B1938,1)-1)="ULSPOOL"),LEFT(B1938,FIND("_",B1938,1)-1),VLOOKUP(LEFT(A1938,6),'Code Library'!$D$3:$E$200,2,0))&amp;"_"&amp;RIGHT(A1938,3)</f>
        <v>#VALUE!</v>
      </c>
      <c r="I1938" s="66">
        <f t="shared" si="30"/>
        <v>0</v>
      </c>
    </row>
    <row r="1939" spans="8:9">
      <c r="H1939" s="66" t="e">
        <f>IF(OR(LEFT(B1939,FIND("_",B1939,1)-1)="ULGALLOC",LEFT(B1939,FIND("_",B1939,1)-1)="ULSPOOL"),LEFT(B1939,FIND("_",B1939,1)-1),VLOOKUP(LEFT(A1939,6),'Code Library'!$D$3:$E$200,2,0))&amp;"_"&amp;RIGHT(A1939,3)</f>
        <v>#VALUE!</v>
      </c>
      <c r="I1939" s="66">
        <f t="shared" si="30"/>
        <v>0</v>
      </c>
    </row>
    <row r="1940" spans="8:9">
      <c r="H1940" s="66" t="e">
        <f>IF(OR(LEFT(B1940,FIND("_",B1940,1)-1)="ULGALLOC",LEFT(B1940,FIND("_",B1940,1)-1)="ULSPOOL"),LEFT(B1940,FIND("_",B1940,1)-1),VLOOKUP(LEFT(A1940,6),'Code Library'!$D$3:$E$200,2,0))&amp;"_"&amp;RIGHT(A1940,3)</f>
        <v>#VALUE!</v>
      </c>
      <c r="I1940" s="66">
        <f t="shared" si="30"/>
        <v>0</v>
      </c>
    </row>
    <row r="1941" spans="8:9">
      <c r="H1941" s="66" t="e">
        <f>IF(OR(LEFT(B1941,FIND("_",B1941,1)-1)="ULGALLOC",LEFT(B1941,FIND("_",B1941,1)-1)="ULSPOOL"),LEFT(B1941,FIND("_",B1941,1)-1),VLOOKUP(LEFT(A1941,6),'Code Library'!$D$3:$E$200,2,0))&amp;"_"&amp;RIGHT(A1941,3)</f>
        <v>#VALUE!</v>
      </c>
      <c r="I1941" s="66">
        <f t="shared" si="30"/>
        <v>0</v>
      </c>
    </row>
    <row r="1942" spans="8:9">
      <c r="H1942" s="66" t="e">
        <f>IF(OR(LEFT(B1942,FIND("_",B1942,1)-1)="ULGALLOC",LEFT(B1942,FIND("_",B1942,1)-1)="ULSPOOL"),LEFT(B1942,FIND("_",B1942,1)-1),VLOOKUP(LEFT(A1942,6),'Code Library'!$D$3:$E$200,2,0))&amp;"_"&amp;RIGHT(A1942,3)</f>
        <v>#VALUE!</v>
      </c>
      <c r="I1942" s="66">
        <f t="shared" si="30"/>
        <v>0</v>
      </c>
    </row>
    <row r="1943" spans="8:9">
      <c r="H1943" s="66" t="e">
        <f>IF(OR(LEFT(B1943,FIND("_",B1943,1)-1)="ULGALLOC",LEFT(B1943,FIND("_",B1943,1)-1)="ULSPOOL"),LEFT(B1943,FIND("_",B1943,1)-1),VLOOKUP(LEFT(A1943,6),'Code Library'!$D$3:$E$200,2,0))&amp;"_"&amp;RIGHT(A1943,3)</f>
        <v>#VALUE!</v>
      </c>
      <c r="I1943" s="66">
        <f t="shared" si="30"/>
        <v>0</v>
      </c>
    </row>
    <row r="1944" spans="8:9">
      <c r="H1944" s="66" t="e">
        <f>IF(OR(LEFT(B1944,FIND("_",B1944,1)-1)="ULGALLOC",LEFT(B1944,FIND("_",B1944,1)-1)="ULSPOOL"),LEFT(B1944,FIND("_",B1944,1)-1),VLOOKUP(LEFT(A1944,6),'Code Library'!$D$3:$E$200,2,0))&amp;"_"&amp;RIGHT(A1944,3)</f>
        <v>#VALUE!</v>
      </c>
      <c r="I1944" s="66">
        <f t="shared" si="30"/>
        <v>0</v>
      </c>
    </row>
    <row r="1945" spans="8:9">
      <c r="H1945" s="66" t="e">
        <f>IF(OR(LEFT(B1945,FIND("_",B1945,1)-1)="ULGALLOC",LEFT(B1945,FIND("_",B1945,1)-1)="ULSPOOL"),LEFT(B1945,FIND("_",B1945,1)-1),VLOOKUP(LEFT(A1945,6),'Code Library'!$D$3:$E$200,2,0))&amp;"_"&amp;RIGHT(A1945,3)</f>
        <v>#VALUE!</v>
      </c>
      <c r="I1945" s="66">
        <f t="shared" si="30"/>
        <v>0</v>
      </c>
    </row>
    <row r="1946" spans="8:9">
      <c r="H1946" s="66" t="e">
        <f>IF(OR(LEFT(B1946,FIND("_",B1946,1)-1)="ULGALLOC",LEFT(B1946,FIND("_",B1946,1)-1)="ULSPOOL"),LEFT(B1946,FIND("_",B1946,1)-1),VLOOKUP(LEFT(A1946,6),'Code Library'!$D$3:$E$200,2,0))&amp;"_"&amp;RIGHT(A1946,3)</f>
        <v>#VALUE!</v>
      </c>
      <c r="I1946" s="66">
        <f t="shared" si="30"/>
        <v>0</v>
      </c>
    </row>
    <row r="1947" spans="8:9">
      <c r="H1947" s="66" t="e">
        <f>IF(OR(LEFT(B1947,FIND("_",B1947,1)-1)="ULGALLOC",LEFT(B1947,FIND("_",B1947,1)-1)="ULSPOOL"),LEFT(B1947,FIND("_",B1947,1)-1),VLOOKUP(LEFT(A1947,6),'Code Library'!$D$3:$E$200,2,0))&amp;"_"&amp;RIGHT(A1947,3)</f>
        <v>#VALUE!</v>
      </c>
      <c r="I1947" s="66">
        <f t="shared" si="30"/>
        <v>0</v>
      </c>
    </row>
    <row r="1948" spans="8:9">
      <c r="H1948" s="66" t="e">
        <f>IF(OR(LEFT(B1948,FIND("_",B1948,1)-1)="ULGALLOC",LEFT(B1948,FIND("_",B1948,1)-1)="ULSPOOL"),LEFT(B1948,FIND("_",B1948,1)-1),VLOOKUP(LEFT(A1948,6),'Code Library'!$D$3:$E$200,2,0))&amp;"_"&amp;RIGHT(A1948,3)</f>
        <v>#VALUE!</v>
      </c>
      <c r="I1948" s="66">
        <f t="shared" si="30"/>
        <v>0</v>
      </c>
    </row>
    <row r="1949" spans="8:9">
      <c r="H1949" s="66" t="e">
        <f>IF(OR(LEFT(B1949,FIND("_",B1949,1)-1)="ULGALLOC",LEFT(B1949,FIND("_",B1949,1)-1)="ULSPOOL"),LEFT(B1949,FIND("_",B1949,1)-1),VLOOKUP(LEFT(A1949,6),'Code Library'!$D$3:$E$200,2,0))&amp;"_"&amp;RIGHT(A1949,3)</f>
        <v>#VALUE!</v>
      </c>
      <c r="I1949" s="66">
        <f t="shared" si="30"/>
        <v>0</v>
      </c>
    </row>
    <row r="1950" spans="8:9">
      <c r="H1950" s="66" t="e">
        <f>IF(OR(LEFT(B1950,FIND("_",B1950,1)-1)="ULGALLOC",LEFT(B1950,FIND("_",B1950,1)-1)="ULSPOOL"),LEFT(B1950,FIND("_",B1950,1)-1),VLOOKUP(LEFT(A1950,6),'Code Library'!$D$3:$E$200,2,0))&amp;"_"&amp;RIGHT(A1950,3)</f>
        <v>#VALUE!</v>
      </c>
      <c r="I1950" s="66">
        <f t="shared" si="30"/>
        <v>0</v>
      </c>
    </row>
    <row r="1951" spans="8:9">
      <c r="H1951" s="66" t="e">
        <f>IF(OR(LEFT(B1951,FIND("_",B1951,1)-1)="ULGALLOC",LEFT(B1951,FIND("_",B1951,1)-1)="ULSPOOL"),LEFT(B1951,FIND("_",B1951,1)-1),VLOOKUP(LEFT(A1951,6),'Code Library'!$D$3:$E$200,2,0))&amp;"_"&amp;RIGHT(A1951,3)</f>
        <v>#VALUE!</v>
      </c>
      <c r="I1951" s="66">
        <f t="shared" si="30"/>
        <v>0</v>
      </c>
    </row>
    <row r="1952" spans="8:9">
      <c r="H1952" s="66" t="e">
        <f>IF(OR(LEFT(B1952,FIND("_",B1952,1)-1)="ULGALLOC",LEFT(B1952,FIND("_",B1952,1)-1)="ULSPOOL"),LEFT(B1952,FIND("_",B1952,1)-1),VLOOKUP(LEFT(A1952,6),'Code Library'!$D$3:$E$200,2,0))&amp;"_"&amp;RIGHT(A1952,3)</f>
        <v>#VALUE!</v>
      </c>
      <c r="I1952" s="66">
        <f t="shared" si="30"/>
        <v>0</v>
      </c>
    </row>
    <row r="1953" spans="8:9">
      <c r="H1953" s="66" t="e">
        <f>IF(OR(LEFT(B1953,FIND("_",B1953,1)-1)="ULGALLOC",LEFT(B1953,FIND("_",B1953,1)-1)="ULSPOOL"),LEFT(B1953,FIND("_",B1953,1)-1),VLOOKUP(LEFT(A1953,6),'Code Library'!$D$3:$E$200,2,0))&amp;"_"&amp;RIGHT(A1953,3)</f>
        <v>#VALUE!</v>
      </c>
      <c r="I1953" s="66">
        <f t="shared" si="30"/>
        <v>0</v>
      </c>
    </row>
    <row r="1954" spans="8:9">
      <c r="H1954" s="66" t="e">
        <f>IF(OR(LEFT(B1954,FIND("_",B1954,1)-1)="ULGALLOC",LEFT(B1954,FIND("_",B1954,1)-1)="ULSPOOL"),LEFT(B1954,FIND("_",B1954,1)-1),VLOOKUP(LEFT(A1954,6),'Code Library'!$D$3:$E$200,2,0))&amp;"_"&amp;RIGHT(A1954,3)</f>
        <v>#VALUE!</v>
      </c>
      <c r="I1954" s="66">
        <f t="shared" si="30"/>
        <v>0</v>
      </c>
    </row>
    <row r="1955" spans="8:9">
      <c r="H1955" s="66" t="e">
        <f>IF(OR(LEFT(B1955,FIND("_",B1955,1)-1)="ULGALLOC",LEFT(B1955,FIND("_",B1955,1)-1)="ULSPOOL"),LEFT(B1955,FIND("_",B1955,1)-1),VLOOKUP(LEFT(A1955,6),'Code Library'!$D$3:$E$200,2,0))&amp;"_"&amp;RIGHT(A1955,3)</f>
        <v>#VALUE!</v>
      </c>
      <c r="I1955" s="66">
        <f t="shared" si="30"/>
        <v>0</v>
      </c>
    </row>
    <row r="1956" spans="8:9">
      <c r="H1956" s="66" t="e">
        <f>IF(OR(LEFT(B1956,FIND("_",B1956,1)-1)="ULGALLOC",LEFT(B1956,FIND("_",B1956,1)-1)="ULSPOOL"),LEFT(B1956,FIND("_",B1956,1)-1),VLOOKUP(LEFT(A1956,6),'Code Library'!$D$3:$E$200,2,0))&amp;"_"&amp;RIGHT(A1956,3)</f>
        <v>#VALUE!</v>
      </c>
      <c r="I1956" s="66">
        <f t="shared" si="30"/>
        <v>0</v>
      </c>
    </row>
    <row r="1957" spans="8:9">
      <c r="H1957" s="66" t="e">
        <f>IF(OR(LEFT(B1957,FIND("_",B1957,1)-1)="ULGALLOC",LEFT(B1957,FIND("_",B1957,1)-1)="ULSPOOL"),LEFT(B1957,FIND("_",B1957,1)-1),VLOOKUP(LEFT(A1957,6),'Code Library'!$D$3:$E$200,2,0))&amp;"_"&amp;RIGHT(A1957,3)</f>
        <v>#VALUE!</v>
      </c>
      <c r="I1957" s="66">
        <f t="shared" si="30"/>
        <v>0</v>
      </c>
    </row>
    <row r="1958" spans="8:9">
      <c r="H1958" s="66" t="e">
        <f>IF(OR(LEFT(B1958,FIND("_",B1958,1)-1)="ULGALLOC",LEFT(B1958,FIND("_",B1958,1)-1)="ULSPOOL"),LEFT(B1958,FIND("_",B1958,1)-1),VLOOKUP(LEFT(A1958,6),'Code Library'!$D$3:$E$200,2,0))&amp;"_"&amp;RIGHT(A1958,3)</f>
        <v>#VALUE!</v>
      </c>
      <c r="I1958" s="66">
        <f t="shared" si="30"/>
        <v>0</v>
      </c>
    </row>
    <row r="1959" spans="8:9">
      <c r="H1959" s="66" t="e">
        <f>IF(OR(LEFT(B1959,FIND("_",B1959,1)-1)="ULGALLOC",LEFT(B1959,FIND("_",B1959,1)-1)="ULSPOOL"),LEFT(B1959,FIND("_",B1959,1)-1),VLOOKUP(LEFT(A1959,6),'Code Library'!$D$3:$E$200,2,0))&amp;"_"&amp;RIGHT(A1959,3)</f>
        <v>#VALUE!</v>
      </c>
      <c r="I1959" s="66">
        <f t="shared" si="30"/>
        <v>0</v>
      </c>
    </row>
    <row r="1960" spans="8:9">
      <c r="H1960" s="66" t="e">
        <f>IF(OR(LEFT(B1960,FIND("_",B1960,1)-1)="ULGALLOC",LEFT(B1960,FIND("_",B1960,1)-1)="ULSPOOL"),LEFT(B1960,FIND("_",B1960,1)-1),VLOOKUP(LEFT(A1960,6),'Code Library'!$D$3:$E$200,2,0))&amp;"_"&amp;RIGHT(A1960,3)</f>
        <v>#VALUE!</v>
      </c>
      <c r="I1960" s="66">
        <f t="shared" si="30"/>
        <v>0</v>
      </c>
    </row>
    <row r="1961" spans="8:9">
      <c r="H1961" s="66" t="e">
        <f>IF(OR(LEFT(B1961,FIND("_",B1961,1)-1)="ULGALLOC",LEFT(B1961,FIND("_",B1961,1)-1)="ULSPOOL"),LEFT(B1961,FIND("_",B1961,1)-1),VLOOKUP(LEFT(A1961,6),'Code Library'!$D$3:$E$200,2,0))&amp;"_"&amp;RIGHT(A1961,3)</f>
        <v>#VALUE!</v>
      </c>
      <c r="I1961" s="66">
        <f t="shared" si="30"/>
        <v>0</v>
      </c>
    </row>
    <row r="1962" spans="8:9">
      <c r="H1962" s="66" t="e">
        <f>IF(OR(LEFT(B1962,FIND("_",B1962,1)-1)="ULGALLOC",LEFT(B1962,FIND("_",B1962,1)-1)="ULSPOOL"),LEFT(B1962,FIND("_",B1962,1)-1),VLOOKUP(LEFT(A1962,6),'Code Library'!$D$3:$E$200,2,0))&amp;"_"&amp;RIGHT(A1962,3)</f>
        <v>#VALUE!</v>
      </c>
      <c r="I1962" s="66">
        <f t="shared" si="30"/>
        <v>0</v>
      </c>
    </row>
    <row r="1963" spans="8:9">
      <c r="H1963" s="66" t="e">
        <f>IF(OR(LEFT(B1963,FIND("_",B1963,1)-1)="ULGALLOC",LEFT(B1963,FIND("_",B1963,1)-1)="ULSPOOL"),LEFT(B1963,FIND("_",B1963,1)-1),VLOOKUP(LEFT(A1963,6),'Code Library'!$D$3:$E$200,2,0))&amp;"_"&amp;RIGHT(A1963,3)</f>
        <v>#VALUE!</v>
      </c>
      <c r="I1963" s="66">
        <f t="shared" si="30"/>
        <v>0</v>
      </c>
    </row>
    <row r="1964" spans="8:9">
      <c r="H1964" s="66" t="e">
        <f>IF(OR(LEFT(B1964,FIND("_",B1964,1)-1)="ULGALLOC",LEFT(B1964,FIND("_",B1964,1)-1)="ULSPOOL"),LEFT(B1964,FIND("_",B1964,1)-1),VLOOKUP(LEFT(A1964,6),'Code Library'!$D$3:$E$200,2,0))&amp;"_"&amp;RIGHT(A1964,3)</f>
        <v>#VALUE!</v>
      </c>
      <c r="I1964" s="66">
        <f t="shared" si="30"/>
        <v>0</v>
      </c>
    </row>
    <row r="1965" spans="8:9">
      <c r="H1965" s="66" t="e">
        <f>IF(OR(LEFT(B1965,FIND("_",B1965,1)-1)="ULGALLOC",LEFT(B1965,FIND("_",B1965,1)-1)="ULSPOOL"),LEFT(B1965,FIND("_",B1965,1)-1),VLOOKUP(LEFT(A1965,6),'Code Library'!$D$3:$E$200,2,0))&amp;"_"&amp;RIGHT(A1965,3)</f>
        <v>#VALUE!</v>
      </c>
      <c r="I1965" s="66">
        <f t="shared" si="30"/>
        <v>0</v>
      </c>
    </row>
    <row r="1966" spans="8:9">
      <c r="H1966" s="66" t="e">
        <f>IF(OR(LEFT(B1966,FIND("_",B1966,1)-1)="ULGALLOC",LEFT(B1966,FIND("_",B1966,1)-1)="ULSPOOL"),LEFT(B1966,FIND("_",B1966,1)-1),VLOOKUP(LEFT(A1966,6),'Code Library'!$D$3:$E$200,2,0))&amp;"_"&amp;RIGHT(A1966,3)</f>
        <v>#VALUE!</v>
      </c>
      <c r="I1966" s="66">
        <f t="shared" si="30"/>
        <v>0</v>
      </c>
    </row>
    <row r="1967" spans="8:9">
      <c r="H1967" s="66" t="e">
        <f>IF(OR(LEFT(B1967,FIND("_",B1967,1)-1)="ULGALLOC",LEFT(B1967,FIND("_",B1967,1)-1)="ULSPOOL"),LEFT(B1967,FIND("_",B1967,1)-1),VLOOKUP(LEFT(A1967,6),'Code Library'!$D$3:$E$200,2,0))&amp;"_"&amp;RIGHT(A1967,3)</f>
        <v>#VALUE!</v>
      </c>
      <c r="I1967" s="66">
        <f t="shared" si="30"/>
        <v>0</v>
      </c>
    </row>
    <row r="1968" spans="8:9">
      <c r="H1968" s="66" t="e">
        <f>IF(OR(LEFT(B1968,FIND("_",B1968,1)-1)="ULGALLOC",LEFT(B1968,FIND("_",B1968,1)-1)="ULSPOOL"),LEFT(B1968,FIND("_",B1968,1)-1),VLOOKUP(LEFT(A1968,6),'Code Library'!$D$3:$E$200,2,0))&amp;"_"&amp;RIGHT(A1968,3)</f>
        <v>#VALUE!</v>
      </c>
      <c r="I1968" s="66">
        <f t="shared" si="30"/>
        <v>0</v>
      </c>
    </row>
    <row r="1969" spans="8:9">
      <c r="H1969" s="66" t="e">
        <f>IF(OR(LEFT(B1969,FIND("_",B1969,1)-1)="ULGALLOC",LEFT(B1969,FIND("_",B1969,1)-1)="ULSPOOL"),LEFT(B1969,FIND("_",B1969,1)-1),VLOOKUP(LEFT(A1969,6),'Code Library'!$D$3:$E$200,2,0))&amp;"_"&amp;RIGHT(A1969,3)</f>
        <v>#VALUE!</v>
      </c>
      <c r="I1969" s="66">
        <f t="shared" si="30"/>
        <v>0</v>
      </c>
    </row>
    <row r="1970" spans="8:9">
      <c r="H1970" s="66" t="e">
        <f>IF(OR(LEFT(B1970,FIND("_",B1970,1)-1)="ULGALLOC",LEFT(B1970,FIND("_",B1970,1)-1)="ULSPOOL"),LEFT(B1970,FIND("_",B1970,1)-1),VLOOKUP(LEFT(A1970,6),'Code Library'!$D$3:$E$200,2,0))&amp;"_"&amp;RIGHT(A1970,3)</f>
        <v>#VALUE!</v>
      </c>
      <c r="I1970" s="66">
        <f t="shared" si="30"/>
        <v>0</v>
      </c>
    </row>
    <row r="1971" spans="8:9">
      <c r="H1971" s="66" t="e">
        <f>IF(OR(LEFT(B1971,FIND("_",B1971,1)-1)="ULGALLOC",LEFT(B1971,FIND("_",B1971,1)-1)="ULSPOOL"),LEFT(B1971,FIND("_",B1971,1)-1),VLOOKUP(LEFT(A1971,6),'Code Library'!$D$3:$E$200,2,0))&amp;"_"&amp;RIGHT(A1971,3)</f>
        <v>#VALUE!</v>
      </c>
      <c r="I1971" s="66">
        <f t="shared" si="30"/>
        <v>0</v>
      </c>
    </row>
    <row r="1972" spans="8:9">
      <c r="H1972" s="66" t="e">
        <f>IF(OR(LEFT(B1972,FIND("_",B1972,1)-1)="ULGALLOC",LEFT(B1972,FIND("_",B1972,1)-1)="ULSPOOL"),LEFT(B1972,FIND("_",B1972,1)-1),VLOOKUP(LEFT(A1972,6),'Code Library'!$D$3:$E$200,2,0))&amp;"_"&amp;RIGHT(A1972,3)</f>
        <v>#VALUE!</v>
      </c>
      <c r="I1972" s="66">
        <f t="shared" si="30"/>
        <v>0</v>
      </c>
    </row>
    <row r="1973" spans="8:9">
      <c r="H1973" s="66" t="e">
        <f>IF(OR(LEFT(B1973,FIND("_",B1973,1)-1)="ULGALLOC",LEFT(B1973,FIND("_",B1973,1)-1)="ULSPOOL"),LEFT(B1973,FIND("_",B1973,1)-1),VLOOKUP(LEFT(A1973,6),'Code Library'!$D$3:$E$200,2,0))&amp;"_"&amp;RIGHT(A1973,3)</f>
        <v>#VALUE!</v>
      </c>
      <c r="I1973" s="66">
        <f t="shared" si="30"/>
        <v>0</v>
      </c>
    </row>
    <row r="1974" spans="8:9">
      <c r="H1974" s="66" t="e">
        <f>IF(OR(LEFT(B1974,FIND("_",B1974,1)-1)="ULGALLOC",LEFT(B1974,FIND("_",B1974,1)-1)="ULSPOOL"),LEFT(B1974,FIND("_",B1974,1)-1),VLOOKUP(LEFT(A1974,6),'Code Library'!$D$3:$E$200,2,0))&amp;"_"&amp;RIGHT(A1974,3)</f>
        <v>#VALUE!</v>
      </c>
      <c r="I1974" s="66">
        <f t="shared" si="30"/>
        <v>0</v>
      </c>
    </row>
    <row r="1975" spans="8:9">
      <c r="H1975" s="66" t="e">
        <f>IF(OR(LEFT(B1975,FIND("_",B1975,1)-1)="ULGALLOC",LEFT(B1975,FIND("_",B1975,1)-1)="ULSPOOL"),LEFT(B1975,FIND("_",B1975,1)-1),VLOOKUP(LEFT(A1975,6),'Code Library'!$D$3:$E$200,2,0))&amp;"_"&amp;RIGHT(A1975,3)</f>
        <v>#VALUE!</v>
      </c>
      <c r="I1975" s="66">
        <f t="shared" si="30"/>
        <v>0</v>
      </c>
    </row>
    <row r="1976" spans="8:9">
      <c r="H1976" s="66" t="e">
        <f>IF(OR(LEFT(B1976,FIND("_",B1976,1)-1)="ULGALLOC",LEFT(B1976,FIND("_",B1976,1)-1)="ULSPOOL"),LEFT(B1976,FIND("_",B1976,1)-1),VLOOKUP(LEFT(A1976,6),'Code Library'!$D$3:$E$200,2,0))&amp;"_"&amp;RIGHT(A1976,3)</f>
        <v>#VALUE!</v>
      </c>
      <c r="I1976" s="66">
        <f t="shared" si="30"/>
        <v>0</v>
      </c>
    </row>
    <row r="1977" spans="8:9">
      <c r="H1977" s="66" t="e">
        <f>IF(OR(LEFT(B1977,FIND("_",B1977,1)-1)="ULGALLOC",LEFT(B1977,FIND("_",B1977,1)-1)="ULSPOOL"),LEFT(B1977,FIND("_",B1977,1)-1),VLOOKUP(LEFT(A1977,6),'Code Library'!$D$3:$E$200,2,0))&amp;"_"&amp;RIGHT(A1977,3)</f>
        <v>#VALUE!</v>
      </c>
      <c r="I1977" s="66">
        <f t="shared" si="30"/>
        <v>0</v>
      </c>
    </row>
    <row r="1978" spans="8:9">
      <c r="H1978" s="66" t="e">
        <f>IF(OR(LEFT(B1978,FIND("_",B1978,1)-1)="ULGALLOC",LEFT(B1978,FIND("_",B1978,1)-1)="ULSPOOL"),LEFT(B1978,FIND("_",B1978,1)-1),VLOOKUP(LEFT(A1978,6),'Code Library'!$D$3:$E$200,2,0))&amp;"_"&amp;RIGHT(A1978,3)</f>
        <v>#VALUE!</v>
      </c>
      <c r="I1978" s="66">
        <f t="shared" si="30"/>
        <v>0</v>
      </c>
    </row>
    <row r="1979" spans="8:9">
      <c r="H1979" s="66" t="e">
        <f>IF(OR(LEFT(B1979,FIND("_",B1979,1)-1)="ULGALLOC",LEFT(B1979,FIND("_",B1979,1)-1)="ULSPOOL"),LEFT(B1979,FIND("_",B1979,1)-1),VLOOKUP(LEFT(A1979,6),'Code Library'!$D$3:$E$200,2,0))&amp;"_"&amp;RIGHT(A1979,3)</f>
        <v>#VALUE!</v>
      </c>
      <c r="I1979" s="66">
        <f t="shared" si="30"/>
        <v>0</v>
      </c>
    </row>
    <row r="1980" spans="8:9">
      <c r="H1980" s="66" t="e">
        <f>IF(OR(LEFT(B1980,FIND("_",B1980,1)-1)="ULGALLOC",LEFT(B1980,FIND("_",B1980,1)-1)="ULSPOOL"),LEFT(B1980,FIND("_",B1980,1)-1),VLOOKUP(LEFT(A1980,6),'Code Library'!$D$3:$E$200,2,0))&amp;"_"&amp;RIGHT(A1980,3)</f>
        <v>#VALUE!</v>
      </c>
      <c r="I1980" s="66">
        <f t="shared" si="30"/>
        <v>0</v>
      </c>
    </row>
    <row r="1981" spans="8:9">
      <c r="H1981" s="66" t="e">
        <f>IF(OR(LEFT(B1981,FIND("_",B1981,1)-1)="ULGALLOC",LEFT(B1981,FIND("_",B1981,1)-1)="ULSPOOL"),LEFT(B1981,FIND("_",B1981,1)-1),VLOOKUP(LEFT(A1981,6),'Code Library'!$D$3:$E$200,2,0))&amp;"_"&amp;RIGHT(A1981,3)</f>
        <v>#VALUE!</v>
      </c>
      <c r="I1981" s="66">
        <f t="shared" si="30"/>
        <v>0</v>
      </c>
    </row>
    <row r="1982" spans="8:9">
      <c r="H1982" s="66" t="e">
        <f>IF(OR(LEFT(B1982,FIND("_",B1982,1)-1)="ULGALLOC",LEFT(B1982,FIND("_",B1982,1)-1)="ULSPOOL"),LEFT(B1982,FIND("_",B1982,1)-1),VLOOKUP(LEFT(A1982,6),'Code Library'!$D$3:$E$200,2,0))&amp;"_"&amp;RIGHT(A1982,3)</f>
        <v>#VALUE!</v>
      </c>
      <c r="I1982" s="66">
        <f t="shared" si="30"/>
        <v>0</v>
      </c>
    </row>
    <row r="1983" spans="8:9">
      <c r="H1983" s="66" t="e">
        <f>IF(OR(LEFT(B1983,FIND("_",B1983,1)-1)="ULGALLOC",LEFT(B1983,FIND("_",B1983,1)-1)="ULSPOOL"),LEFT(B1983,FIND("_",B1983,1)-1),VLOOKUP(LEFT(A1983,6),'Code Library'!$D$3:$E$200,2,0))&amp;"_"&amp;RIGHT(A1983,3)</f>
        <v>#VALUE!</v>
      </c>
      <c r="I1983" s="66">
        <f t="shared" si="30"/>
        <v>0</v>
      </c>
    </row>
    <row r="1984" spans="8:9">
      <c r="H1984" s="66" t="e">
        <f>IF(OR(LEFT(B1984,FIND("_",B1984,1)-1)="ULGALLOC",LEFT(B1984,FIND("_",B1984,1)-1)="ULSPOOL"),LEFT(B1984,FIND("_",B1984,1)-1),VLOOKUP(LEFT(A1984,6),'Code Library'!$D$3:$E$200,2,0))&amp;"_"&amp;RIGHT(A1984,3)</f>
        <v>#VALUE!</v>
      </c>
      <c r="I1984" s="66">
        <f t="shared" si="30"/>
        <v>0</v>
      </c>
    </row>
    <row r="1985" spans="8:9">
      <c r="H1985" s="66" t="e">
        <f>IF(OR(LEFT(B1985,FIND("_",B1985,1)-1)="ULGALLOC",LEFT(B1985,FIND("_",B1985,1)-1)="ULSPOOL"),LEFT(B1985,FIND("_",B1985,1)-1),VLOOKUP(LEFT(A1985,6),'Code Library'!$D$3:$E$200,2,0))&amp;"_"&amp;RIGHT(A1985,3)</f>
        <v>#VALUE!</v>
      </c>
      <c r="I1985" s="66">
        <f t="shared" si="30"/>
        <v>0</v>
      </c>
    </row>
    <row r="1986" spans="8:9">
      <c r="H1986" s="66" t="e">
        <f>IF(OR(LEFT(B1986,FIND("_",B1986,1)-1)="ULGALLOC",LEFT(B1986,FIND("_",B1986,1)-1)="ULSPOOL"),LEFT(B1986,FIND("_",B1986,1)-1),VLOOKUP(LEFT(A1986,6),'Code Library'!$D$3:$E$200,2,0))&amp;"_"&amp;RIGHT(A1986,3)</f>
        <v>#VALUE!</v>
      </c>
      <c r="I1986" s="66">
        <f t="shared" si="30"/>
        <v>0</v>
      </c>
    </row>
    <row r="1987" spans="8:9">
      <c r="H1987" s="66" t="e">
        <f>IF(OR(LEFT(B1987,FIND("_",B1987,1)-1)="ULGALLOC",LEFT(B1987,FIND("_",B1987,1)-1)="ULSPOOL"),LEFT(B1987,FIND("_",B1987,1)-1),VLOOKUP(LEFT(A1987,6),'Code Library'!$D$3:$E$200,2,0))&amp;"_"&amp;RIGHT(A1987,3)</f>
        <v>#VALUE!</v>
      </c>
      <c r="I1987" s="66">
        <f t="shared" ref="I1987:I2050" si="31">A1987</f>
        <v>0</v>
      </c>
    </row>
    <row r="1988" spans="8:9">
      <c r="H1988" s="66" t="e">
        <f>IF(OR(LEFT(B1988,FIND("_",B1988,1)-1)="ULGALLOC",LEFT(B1988,FIND("_",B1988,1)-1)="ULSPOOL"),LEFT(B1988,FIND("_",B1988,1)-1),VLOOKUP(LEFT(A1988,6),'Code Library'!$D$3:$E$200,2,0))&amp;"_"&amp;RIGHT(A1988,3)</f>
        <v>#VALUE!</v>
      </c>
      <c r="I1988" s="66">
        <f t="shared" si="31"/>
        <v>0</v>
      </c>
    </row>
    <row r="1989" spans="8:9">
      <c r="H1989" s="66" t="e">
        <f>IF(OR(LEFT(B1989,FIND("_",B1989,1)-1)="ULGALLOC",LEFT(B1989,FIND("_",B1989,1)-1)="ULSPOOL"),LEFT(B1989,FIND("_",B1989,1)-1),VLOOKUP(LEFT(A1989,6),'Code Library'!$D$3:$E$200,2,0))&amp;"_"&amp;RIGHT(A1989,3)</f>
        <v>#VALUE!</v>
      </c>
      <c r="I1989" s="66">
        <f t="shared" si="31"/>
        <v>0</v>
      </c>
    </row>
    <row r="1990" spans="8:9">
      <c r="H1990" s="66" t="e">
        <f>IF(OR(LEFT(B1990,FIND("_",B1990,1)-1)="ULGALLOC",LEFT(B1990,FIND("_",B1990,1)-1)="ULSPOOL"),LEFT(B1990,FIND("_",B1990,1)-1),VLOOKUP(LEFT(A1990,6),'Code Library'!$D$3:$E$200,2,0))&amp;"_"&amp;RIGHT(A1990,3)</f>
        <v>#VALUE!</v>
      </c>
      <c r="I1990" s="66">
        <f t="shared" si="31"/>
        <v>0</v>
      </c>
    </row>
    <row r="1991" spans="8:9">
      <c r="H1991" s="66" t="e">
        <f>IF(OR(LEFT(B1991,FIND("_",B1991,1)-1)="ULGALLOC",LEFT(B1991,FIND("_",B1991,1)-1)="ULSPOOL"),LEFT(B1991,FIND("_",B1991,1)-1),VLOOKUP(LEFT(A1991,6),'Code Library'!$D$3:$E$200,2,0))&amp;"_"&amp;RIGHT(A1991,3)</f>
        <v>#VALUE!</v>
      </c>
      <c r="I1991" s="66">
        <f t="shared" si="31"/>
        <v>0</v>
      </c>
    </row>
    <row r="1992" spans="8:9">
      <c r="H1992" s="66" t="e">
        <f>IF(OR(LEFT(B1992,FIND("_",B1992,1)-1)="ULGALLOC",LEFT(B1992,FIND("_",B1992,1)-1)="ULSPOOL"),LEFT(B1992,FIND("_",B1992,1)-1),VLOOKUP(LEFT(A1992,6),'Code Library'!$D$3:$E$200,2,0))&amp;"_"&amp;RIGHT(A1992,3)</f>
        <v>#VALUE!</v>
      </c>
      <c r="I1992" s="66">
        <f t="shared" si="31"/>
        <v>0</v>
      </c>
    </row>
    <row r="1993" spans="8:9">
      <c r="H1993" s="66" t="e">
        <f>IF(OR(LEFT(B1993,FIND("_",B1993,1)-1)="ULGALLOC",LEFT(B1993,FIND("_",B1993,1)-1)="ULSPOOL"),LEFT(B1993,FIND("_",B1993,1)-1),VLOOKUP(LEFT(A1993,6),'Code Library'!$D$3:$E$200,2,0))&amp;"_"&amp;RIGHT(A1993,3)</f>
        <v>#VALUE!</v>
      </c>
      <c r="I1993" s="66">
        <f t="shared" si="31"/>
        <v>0</v>
      </c>
    </row>
    <row r="1994" spans="8:9">
      <c r="H1994" s="66" t="e">
        <f>IF(OR(LEFT(B1994,FIND("_",B1994,1)-1)="ULGALLOC",LEFT(B1994,FIND("_",B1994,1)-1)="ULSPOOL"),LEFT(B1994,FIND("_",B1994,1)-1),VLOOKUP(LEFT(A1994,6),'Code Library'!$D$3:$E$200,2,0))&amp;"_"&amp;RIGHT(A1994,3)</f>
        <v>#VALUE!</v>
      </c>
      <c r="I1994" s="66">
        <f t="shared" si="31"/>
        <v>0</v>
      </c>
    </row>
    <row r="1995" spans="8:9">
      <c r="H1995" s="66" t="e">
        <f>IF(OR(LEFT(B1995,FIND("_",B1995,1)-1)="ULGALLOC",LEFT(B1995,FIND("_",B1995,1)-1)="ULSPOOL"),LEFT(B1995,FIND("_",B1995,1)-1),VLOOKUP(LEFT(A1995,6),'Code Library'!$D$3:$E$200,2,0))&amp;"_"&amp;RIGHT(A1995,3)</f>
        <v>#VALUE!</v>
      </c>
      <c r="I1995" s="66">
        <f t="shared" si="31"/>
        <v>0</v>
      </c>
    </row>
    <row r="1996" spans="8:9">
      <c r="H1996" s="66" t="e">
        <f>IF(OR(LEFT(B1996,FIND("_",B1996,1)-1)="ULGALLOC",LEFT(B1996,FIND("_",B1996,1)-1)="ULSPOOL"),LEFT(B1996,FIND("_",B1996,1)-1),VLOOKUP(LEFT(A1996,6),'Code Library'!$D$3:$E$200,2,0))&amp;"_"&amp;RIGHT(A1996,3)</f>
        <v>#VALUE!</v>
      </c>
      <c r="I1996" s="66">
        <f t="shared" si="31"/>
        <v>0</v>
      </c>
    </row>
    <row r="1997" spans="8:9">
      <c r="H1997" s="66" t="e">
        <f>IF(OR(LEFT(B1997,FIND("_",B1997,1)-1)="ULGALLOC",LEFT(B1997,FIND("_",B1997,1)-1)="ULSPOOL"),LEFT(B1997,FIND("_",B1997,1)-1),VLOOKUP(LEFT(A1997,6),'Code Library'!$D$3:$E$200,2,0))&amp;"_"&amp;RIGHT(A1997,3)</f>
        <v>#VALUE!</v>
      </c>
      <c r="I1997" s="66">
        <f t="shared" si="31"/>
        <v>0</v>
      </c>
    </row>
    <row r="1998" spans="8:9">
      <c r="H1998" s="66" t="e">
        <f>IF(OR(LEFT(B1998,FIND("_",B1998,1)-1)="ULGALLOC",LEFT(B1998,FIND("_",B1998,1)-1)="ULSPOOL"),LEFT(B1998,FIND("_",B1998,1)-1),VLOOKUP(LEFT(A1998,6),'Code Library'!$D$3:$E$200,2,0))&amp;"_"&amp;RIGHT(A1998,3)</f>
        <v>#VALUE!</v>
      </c>
      <c r="I1998" s="66">
        <f t="shared" si="31"/>
        <v>0</v>
      </c>
    </row>
    <row r="1999" spans="8:9">
      <c r="H1999" s="66" t="e">
        <f>IF(OR(LEFT(B1999,FIND("_",B1999,1)-1)="ULGALLOC",LEFT(B1999,FIND("_",B1999,1)-1)="ULSPOOL"),LEFT(B1999,FIND("_",B1999,1)-1),VLOOKUP(LEFT(A1999,6),'Code Library'!$D$3:$E$200,2,0))&amp;"_"&amp;RIGHT(A1999,3)</f>
        <v>#VALUE!</v>
      </c>
      <c r="I1999" s="66">
        <f t="shared" si="31"/>
        <v>0</v>
      </c>
    </row>
    <row r="2000" spans="8:9">
      <c r="H2000" s="66" t="e">
        <f>IF(OR(LEFT(B2000,FIND("_",B2000,1)-1)="ULGALLOC",LEFT(B2000,FIND("_",B2000,1)-1)="ULSPOOL"),LEFT(B2000,FIND("_",B2000,1)-1),VLOOKUP(LEFT(A2000,6),'Code Library'!$D$3:$E$200,2,0))&amp;"_"&amp;RIGHT(A2000,3)</f>
        <v>#VALUE!</v>
      </c>
      <c r="I2000" s="66">
        <f t="shared" si="31"/>
        <v>0</v>
      </c>
    </row>
    <row r="2001" spans="8:9">
      <c r="H2001" s="66" t="e">
        <f>IF(OR(LEFT(B2001,FIND("_",B2001,1)-1)="ULGALLOC",LEFT(B2001,FIND("_",B2001,1)-1)="ULSPOOL"),LEFT(B2001,FIND("_",B2001,1)-1),VLOOKUP(LEFT(A2001,6),'Code Library'!$D$3:$E$200,2,0))&amp;"_"&amp;RIGHT(A2001,3)</f>
        <v>#VALUE!</v>
      </c>
      <c r="I2001" s="66">
        <f t="shared" si="31"/>
        <v>0</v>
      </c>
    </row>
    <row r="2002" spans="8:9">
      <c r="H2002" s="66" t="e">
        <f>IF(OR(LEFT(B2002,FIND("_",B2002,1)-1)="ULGALLOC",LEFT(B2002,FIND("_",B2002,1)-1)="ULSPOOL"),LEFT(B2002,FIND("_",B2002,1)-1),VLOOKUP(LEFT(A2002,6),'Code Library'!$D$3:$E$200,2,0))&amp;"_"&amp;RIGHT(A2002,3)</f>
        <v>#VALUE!</v>
      </c>
      <c r="I2002" s="66">
        <f t="shared" si="31"/>
        <v>0</v>
      </c>
    </row>
    <row r="2003" spans="8:9">
      <c r="H2003" s="66" t="e">
        <f>IF(OR(LEFT(B2003,FIND("_",B2003,1)-1)="ULGALLOC",LEFT(B2003,FIND("_",B2003,1)-1)="ULSPOOL"),LEFT(B2003,FIND("_",B2003,1)-1),VLOOKUP(LEFT(A2003,6),'Code Library'!$D$3:$E$200,2,0))&amp;"_"&amp;RIGHT(A2003,3)</f>
        <v>#VALUE!</v>
      </c>
      <c r="I2003" s="66">
        <f t="shared" si="31"/>
        <v>0</v>
      </c>
    </row>
    <row r="2004" spans="8:9">
      <c r="H2004" s="66" t="e">
        <f>IF(OR(LEFT(B2004,FIND("_",B2004,1)-1)="ULGALLOC",LEFT(B2004,FIND("_",B2004,1)-1)="ULSPOOL"),LEFT(B2004,FIND("_",B2004,1)-1),VLOOKUP(LEFT(A2004,6),'Code Library'!$D$3:$E$200,2,0))&amp;"_"&amp;RIGHT(A2004,3)</f>
        <v>#VALUE!</v>
      </c>
      <c r="I2004" s="66">
        <f t="shared" si="31"/>
        <v>0</v>
      </c>
    </row>
    <row r="2005" spans="8:9">
      <c r="H2005" s="66" t="e">
        <f>IF(OR(LEFT(B2005,FIND("_",B2005,1)-1)="ULGALLOC",LEFT(B2005,FIND("_",B2005,1)-1)="ULSPOOL"),LEFT(B2005,FIND("_",B2005,1)-1),VLOOKUP(LEFT(A2005,6),'Code Library'!$D$3:$E$200,2,0))&amp;"_"&amp;RIGHT(A2005,3)</f>
        <v>#VALUE!</v>
      </c>
      <c r="I2005" s="66">
        <f t="shared" si="31"/>
        <v>0</v>
      </c>
    </row>
    <row r="2006" spans="8:9">
      <c r="H2006" s="66" t="e">
        <f>IF(OR(LEFT(B2006,FIND("_",B2006,1)-1)="ULGALLOC",LEFT(B2006,FIND("_",B2006,1)-1)="ULSPOOL"),LEFT(B2006,FIND("_",B2006,1)-1),VLOOKUP(LEFT(A2006,6),'Code Library'!$D$3:$E$200,2,0))&amp;"_"&amp;RIGHT(A2006,3)</f>
        <v>#VALUE!</v>
      </c>
      <c r="I2006" s="66">
        <f t="shared" si="31"/>
        <v>0</v>
      </c>
    </row>
    <row r="2007" spans="8:9">
      <c r="H2007" s="66" t="e">
        <f>IF(OR(LEFT(B2007,FIND("_",B2007,1)-1)="ULGALLOC",LEFT(B2007,FIND("_",B2007,1)-1)="ULSPOOL"),LEFT(B2007,FIND("_",B2007,1)-1),VLOOKUP(LEFT(A2007,6),'Code Library'!$D$3:$E$200,2,0))&amp;"_"&amp;RIGHT(A2007,3)</f>
        <v>#VALUE!</v>
      </c>
      <c r="I2007" s="66">
        <f t="shared" si="31"/>
        <v>0</v>
      </c>
    </row>
    <row r="2008" spans="8:9">
      <c r="H2008" s="66" t="e">
        <f>IF(OR(LEFT(B2008,FIND("_",B2008,1)-1)="ULGALLOC",LEFT(B2008,FIND("_",B2008,1)-1)="ULSPOOL"),LEFT(B2008,FIND("_",B2008,1)-1),VLOOKUP(LEFT(A2008,6),'Code Library'!$D$3:$E$200,2,0))&amp;"_"&amp;RIGHT(A2008,3)</f>
        <v>#VALUE!</v>
      </c>
      <c r="I2008" s="66">
        <f t="shared" si="31"/>
        <v>0</v>
      </c>
    </row>
    <row r="2009" spans="8:9">
      <c r="H2009" s="66" t="e">
        <f>IF(OR(LEFT(B2009,FIND("_",B2009,1)-1)="ULGALLOC",LEFT(B2009,FIND("_",B2009,1)-1)="ULSPOOL"),LEFT(B2009,FIND("_",B2009,1)-1),VLOOKUP(LEFT(A2009,6),'Code Library'!$D$3:$E$200,2,0))&amp;"_"&amp;RIGHT(A2009,3)</f>
        <v>#VALUE!</v>
      </c>
      <c r="I2009" s="66">
        <f t="shared" si="31"/>
        <v>0</v>
      </c>
    </row>
    <row r="2010" spans="8:9">
      <c r="H2010" s="66" t="e">
        <f>IF(OR(LEFT(B2010,FIND("_",B2010,1)-1)="ULGALLOC",LEFT(B2010,FIND("_",B2010,1)-1)="ULSPOOL"),LEFT(B2010,FIND("_",B2010,1)-1),VLOOKUP(LEFT(A2010,6),'Code Library'!$D$3:$E$200,2,0))&amp;"_"&amp;RIGHT(A2010,3)</f>
        <v>#VALUE!</v>
      </c>
      <c r="I2010" s="66">
        <f t="shared" si="31"/>
        <v>0</v>
      </c>
    </row>
    <row r="2011" spans="8:9">
      <c r="H2011" s="66" t="e">
        <f>IF(OR(LEFT(B2011,FIND("_",B2011,1)-1)="ULGALLOC",LEFT(B2011,FIND("_",B2011,1)-1)="ULSPOOL"),LEFT(B2011,FIND("_",B2011,1)-1),VLOOKUP(LEFT(A2011,6),'Code Library'!$D$3:$E$200,2,0))&amp;"_"&amp;RIGHT(A2011,3)</f>
        <v>#VALUE!</v>
      </c>
      <c r="I2011" s="66">
        <f t="shared" si="31"/>
        <v>0</v>
      </c>
    </row>
    <row r="2012" spans="8:9">
      <c r="H2012" s="66" t="e">
        <f>IF(OR(LEFT(B2012,FIND("_",B2012,1)-1)="ULGALLOC",LEFT(B2012,FIND("_",B2012,1)-1)="ULSPOOL"),LEFT(B2012,FIND("_",B2012,1)-1),VLOOKUP(LEFT(A2012,6),'Code Library'!$D$3:$E$200,2,0))&amp;"_"&amp;RIGHT(A2012,3)</f>
        <v>#VALUE!</v>
      </c>
      <c r="I2012" s="66">
        <f t="shared" si="31"/>
        <v>0</v>
      </c>
    </row>
    <row r="2013" spans="8:9">
      <c r="H2013" s="66" t="e">
        <f>IF(OR(LEFT(B2013,FIND("_",B2013,1)-1)="ULGALLOC",LEFT(B2013,FIND("_",B2013,1)-1)="ULSPOOL"),LEFT(B2013,FIND("_",B2013,1)-1),VLOOKUP(LEFT(A2013,6),'Code Library'!$D$3:$E$200,2,0))&amp;"_"&amp;RIGHT(A2013,3)</f>
        <v>#VALUE!</v>
      </c>
      <c r="I2013" s="66">
        <f t="shared" si="31"/>
        <v>0</v>
      </c>
    </row>
    <row r="2014" spans="8:9">
      <c r="H2014" s="66" t="e">
        <f>IF(OR(LEFT(B2014,FIND("_",B2014,1)-1)="ULGALLOC",LEFT(B2014,FIND("_",B2014,1)-1)="ULSPOOL"),LEFT(B2014,FIND("_",B2014,1)-1),VLOOKUP(LEFT(A2014,6),'Code Library'!$D$3:$E$200,2,0))&amp;"_"&amp;RIGHT(A2014,3)</f>
        <v>#VALUE!</v>
      </c>
      <c r="I2014" s="66">
        <f t="shared" si="31"/>
        <v>0</v>
      </c>
    </row>
    <row r="2015" spans="8:9">
      <c r="H2015" s="66" t="e">
        <f>IF(OR(LEFT(B2015,FIND("_",B2015,1)-1)="ULGALLOC",LEFT(B2015,FIND("_",B2015,1)-1)="ULSPOOL"),LEFT(B2015,FIND("_",B2015,1)-1),VLOOKUP(LEFT(A2015,6),'Code Library'!$D$3:$E$200,2,0))&amp;"_"&amp;RIGHT(A2015,3)</f>
        <v>#VALUE!</v>
      </c>
      <c r="I2015" s="66">
        <f t="shared" si="31"/>
        <v>0</v>
      </c>
    </row>
    <row r="2016" spans="8:9">
      <c r="H2016" s="66" t="e">
        <f>IF(OR(LEFT(B2016,FIND("_",B2016,1)-1)="ULGALLOC",LEFT(B2016,FIND("_",B2016,1)-1)="ULSPOOL"),LEFT(B2016,FIND("_",B2016,1)-1),VLOOKUP(LEFT(A2016,6),'Code Library'!$D$3:$E$200,2,0))&amp;"_"&amp;RIGHT(A2016,3)</f>
        <v>#VALUE!</v>
      </c>
      <c r="I2016" s="66">
        <f t="shared" si="31"/>
        <v>0</v>
      </c>
    </row>
    <row r="2017" spans="8:9">
      <c r="H2017" s="66" t="e">
        <f>IF(OR(LEFT(B2017,FIND("_",B2017,1)-1)="ULGALLOC",LEFT(B2017,FIND("_",B2017,1)-1)="ULSPOOL"),LEFT(B2017,FIND("_",B2017,1)-1),VLOOKUP(LEFT(A2017,6),'Code Library'!$D$3:$E$200,2,0))&amp;"_"&amp;RIGHT(A2017,3)</f>
        <v>#VALUE!</v>
      </c>
      <c r="I2017" s="66">
        <f t="shared" si="31"/>
        <v>0</v>
      </c>
    </row>
    <row r="2018" spans="8:9">
      <c r="H2018" s="66" t="e">
        <f>IF(OR(LEFT(B2018,FIND("_",B2018,1)-1)="ULGALLOC",LEFT(B2018,FIND("_",B2018,1)-1)="ULSPOOL"),LEFT(B2018,FIND("_",B2018,1)-1),VLOOKUP(LEFT(A2018,6),'Code Library'!$D$3:$E$200,2,0))&amp;"_"&amp;RIGHT(A2018,3)</f>
        <v>#VALUE!</v>
      </c>
      <c r="I2018" s="66">
        <f t="shared" si="31"/>
        <v>0</v>
      </c>
    </row>
    <row r="2019" spans="8:9">
      <c r="H2019" s="66" t="e">
        <f>IF(OR(LEFT(B2019,FIND("_",B2019,1)-1)="ULGALLOC",LEFT(B2019,FIND("_",B2019,1)-1)="ULSPOOL"),LEFT(B2019,FIND("_",B2019,1)-1),VLOOKUP(LEFT(A2019,6),'Code Library'!$D$3:$E$200,2,0))&amp;"_"&amp;RIGHT(A2019,3)</f>
        <v>#VALUE!</v>
      </c>
      <c r="I2019" s="66">
        <f t="shared" si="31"/>
        <v>0</v>
      </c>
    </row>
    <row r="2020" spans="8:9">
      <c r="H2020" s="66" t="e">
        <f>IF(OR(LEFT(B2020,FIND("_",B2020,1)-1)="ULGALLOC",LEFT(B2020,FIND("_",B2020,1)-1)="ULSPOOL"),LEFT(B2020,FIND("_",B2020,1)-1),VLOOKUP(LEFT(A2020,6),'Code Library'!$D$3:$E$200,2,0))&amp;"_"&amp;RIGHT(A2020,3)</f>
        <v>#VALUE!</v>
      </c>
      <c r="I2020" s="66">
        <f t="shared" si="31"/>
        <v>0</v>
      </c>
    </row>
    <row r="2021" spans="8:9">
      <c r="H2021" s="66" t="e">
        <f>IF(OR(LEFT(B2021,FIND("_",B2021,1)-1)="ULGALLOC",LEFT(B2021,FIND("_",B2021,1)-1)="ULSPOOL"),LEFT(B2021,FIND("_",B2021,1)-1),VLOOKUP(LEFT(A2021,6),'Code Library'!$D$3:$E$200,2,0))&amp;"_"&amp;RIGHT(A2021,3)</f>
        <v>#VALUE!</v>
      </c>
      <c r="I2021" s="66">
        <f t="shared" si="31"/>
        <v>0</v>
      </c>
    </row>
    <row r="2022" spans="8:9">
      <c r="H2022" s="66" t="e">
        <f>IF(OR(LEFT(B2022,FIND("_",B2022,1)-1)="ULGALLOC",LEFT(B2022,FIND("_",B2022,1)-1)="ULSPOOL"),LEFT(B2022,FIND("_",B2022,1)-1),VLOOKUP(LEFT(A2022,6),'Code Library'!$D$3:$E$200,2,0))&amp;"_"&amp;RIGHT(A2022,3)</f>
        <v>#VALUE!</v>
      </c>
      <c r="I2022" s="66">
        <f t="shared" si="31"/>
        <v>0</v>
      </c>
    </row>
    <row r="2023" spans="8:9">
      <c r="H2023" s="66" t="e">
        <f>IF(OR(LEFT(B2023,FIND("_",B2023,1)-1)="ULGALLOC",LEFT(B2023,FIND("_",B2023,1)-1)="ULSPOOL"),LEFT(B2023,FIND("_",B2023,1)-1),VLOOKUP(LEFT(A2023,6),'Code Library'!$D$3:$E$200,2,0))&amp;"_"&amp;RIGHT(A2023,3)</f>
        <v>#VALUE!</v>
      </c>
      <c r="I2023" s="66">
        <f t="shared" si="31"/>
        <v>0</v>
      </c>
    </row>
    <row r="2024" spans="8:9">
      <c r="H2024" s="66" t="e">
        <f>IF(OR(LEFT(B2024,FIND("_",B2024,1)-1)="ULGALLOC",LEFT(B2024,FIND("_",B2024,1)-1)="ULSPOOL"),LEFT(B2024,FIND("_",B2024,1)-1),VLOOKUP(LEFT(A2024,6),'Code Library'!$D$3:$E$200,2,0))&amp;"_"&amp;RIGHT(A2024,3)</f>
        <v>#VALUE!</v>
      </c>
      <c r="I2024" s="66">
        <f t="shared" si="31"/>
        <v>0</v>
      </c>
    </row>
    <row r="2025" spans="8:9">
      <c r="H2025" s="66" t="e">
        <f>IF(OR(LEFT(B2025,FIND("_",B2025,1)-1)="ULGALLOC",LEFT(B2025,FIND("_",B2025,1)-1)="ULSPOOL"),LEFT(B2025,FIND("_",B2025,1)-1),VLOOKUP(LEFT(A2025,6),'Code Library'!$D$3:$E$200,2,0))&amp;"_"&amp;RIGHT(A2025,3)</f>
        <v>#VALUE!</v>
      </c>
      <c r="I2025" s="66">
        <f t="shared" si="31"/>
        <v>0</v>
      </c>
    </row>
    <row r="2026" spans="8:9">
      <c r="H2026" s="66" t="e">
        <f>IF(OR(LEFT(B2026,FIND("_",B2026,1)-1)="ULGALLOC",LEFT(B2026,FIND("_",B2026,1)-1)="ULSPOOL"),LEFT(B2026,FIND("_",B2026,1)-1),VLOOKUP(LEFT(A2026,6),'Code Library'!$D$3:$E$200,2,0))&amp;"_"&amp;RIGHT(A2026,3)</f>
        <v>#VALUE!</v>
      </c>
      <c r="I2026" s="66">
        <f t="shared" si="31"/>
        <v>0</v>
      </c>
    </row>
    <row r="2027" spans="8:9">
      <c r="H2027" s="66" t="e">
        <f>IF(OR(LEFT(B2027,FIND("_",B2027,1)-1)="ULGALLOC",LEFT(B2027,FIND("_",B2027,1)-1)="ULSPOOL"),LEFT(B2027,FIND("_",B2027,1)-1),VLOOKUP(LEFT(A2027,6),'Code Library'!$D$3:$E$200,2,0))&amp;"_"&amp;RIGHT(A2027,3)</f>
        <v>#VALUE!</v>
      </c>
      <c r="I2027" s="66">
        <f t="shared" si="31"/>
        <v>0</v>
      </c>
    </row>
    <row r="2028" spans="8:9">
      <c r="H2028" s="66" t="e">
        <f>IF(OR(LEFT(B2028,FIND("_",B2028,1)-1)="ULGALLOC",LEFT(B2028,FIND("_",B2028,1)-1)="ULSPOOL"),LEFT(B2028,FIND("_",B2028,1)-1),VLOOKUP(LEFT(A2028,6),'Code Library'!$D$3:$E$200,2,0))&amp;"_"&amp;RIGHT(A2028,3)</f>
        <v>#VALUE!</v>
      </c>
      <c r="I2028" s="66">
        <f t="shared" si="31"/>
        <v>0</v>
      </c>
    </row>
    <row r="2029" spans="8:9">
      <c r="H2029" s="66" t="e">
        <f>IF(OR(LEFT(B2029,FIND("_",B2029,1)-1)="ULGALLOC",LEFT(B2029,FIND("_",B2029,1)-1)="ULSPOOL"),LEFT(B2029,FIND("_",B2029,1)-1),VLOOKUP(LEFT(A2029,6),'Code Library'!$D$3:$E$200,2,0))&amp;"_"&amp;RIGHT(A2029,3)</f>
        <v>#VALUE!</v>
      </c>
      <c r="I2029" s="66">
        <f t="shared" si="31"/>
        <v>0</v>
      </c>
    </row>
    <row r="2030" spans="8:9">
      <c r="H2030" s="66" t="e">
        <f>IF(OR(LEFT(B2030,FIND("_",B2030,1)-1)="ULGALLOC",LEFT(B2030,FIND("_",B2030,1)-1)="ULSPOOL"),LEFT(B2030,FIND("_",B2030,1)-1),VLOOKUP(LEFT(A2030,6),'Code Library'!$D$3:$E$200,2,0))&amp;"_"&amp;RIGHT(A2030,3)</f>
        <v>#VALUE!</v>
      </c>
      <c r="I2030" s="66">
        <f t="shared" si="31"/>
        <v>0</v>
      </c>
    </row>
    <row r="2031" spans="8:9">
      <c r="H2031" s="66" t="e">
        <f>IF(OR(LEFT(B2031,FIND("_",B2031,1)-1)="ULGALLOC",LEFT(B2031,FIND("_",B2031,1)-1)="ULSPOOL"),LEFT(B2031,FIND("_",B2031,1)-1),VLOOKUP(LEFT(A2031,6),'Code Library'!$D$3:$E$200,2,0))&amp;"_"&amp;RIGHT(A2031,3)</f>
        <v>#VALUE!</v>
      </c>
      <c r="I2031" s="66">
        <f t="shared" si="31"/>
        <v>0</v>
      </c>
    </row>
    <row r="2032" spans="8:9">
      <c r="H2032" s="66" t="e">
        <f>IF(OR(LEFT(B2032,FIND("_",B2032,1)-1)="ULGALLOC",LEFT(B2032,FIND("_",B2032,1)-1)="ULSPOOL"),LEFT(B2032,FIND("_",B2032,1)-1),VLOOKUP(LEFT(A2032,6),'Code Library'!$D$3:$E$200,2,0))&amp;"_"&amp;RIGHT(A2032,3)</f>
        <v>#VALUE!</v>
      </c>
      <c r="I2032" s="66">
        <f t="shared" si="31"/>
        <v>0</v>
      </c>
    </row>
    <row r="2033" spans="8:9">
      <c r="H2033" s="66" t="e">
        <f>IF(OR(LEFT(B2033,FIND("_",B2033,1)-1)="ULGALLOC",LEFT(B2033,FIND("_",B2033,1)-1)="ULSPOOL"),LEFT(B2033,FIND("_",B2033,1)-1),VLOOKUP(LEFT(A2033,6),'Code Library'!$D$3:$E$200,2,0))&amp;"_"&amp;RIGHT(A2033,3)</f>
        <v>#VALUE!</v>
      </c>
      <c r="I2033" s="66">
        <f t="shared" si="31"/>
        <v>0</v>
      </c>
    </row>
    <row r="2034" spans="8:9">
      <c r="H2034" s="66" t="e">
        <f>IF(OR(LEFT(B2034,FIND("_",B2034,1)-1)="ULGALLOC",LEFT(B2034,FIND("_",B2034,1)-1)="ULSPOOL"),LEFT(B2034,FIND("_",B2034,1)-1),VLOOKUP(LEFT(A2034,6),'Code Library'!$D$3:$E$200,2,0))&amp;"_"&amp;RIGHT(A2034,3)</f>
        <v>#VALUE!</v>
      </c>
      <c r="I2034" s="66">
        <f t="shared" si="31"/>
        <v>0</v>
      </c>
    </row>
    <row r="2035" spans="8:9">
      <c r="H2035" s="66" t="e">
        <f>IF(OR(LEFT(B2035,FIND("_",B2035,1)-1)="ULGALLOC",LEFT(B2035,FIND("_",B2035,1)-1)="ULSPOOL"),LEFT(B2035,FIND("_",B2035,1)-1),VLOOKUP(LEFT(A2035,6),'Code Library'!$D$3:$E$200,2,0))&amp;"_"&amp;RIGHT(A2035,3)</f>
        <v>#VALUE!</v>
      </c>
      <c r="I2035" s="66">
        <f t="shared" si="31"/>
        <v>0</v>
      </c>
    </row>
    <row r="2036" spans="8:9">
      <c r="H2036" s="66" t="e">
        <f>IF(OR(LEFT(B2036,FIND("_",B2036,1)-1)="ULGALLOC",LEFT(B2036,FIND("_",B2036,1)-1)="ULSPOOL"),LEFT(B2036,FIND("_",B2036,1)-1),VLOOKUP(LEFT(A2036,6),'Code Library'!$D$3:$E$200,2,0))&amp;"_"&amp;RIGHT(A2036,3)</f>
        <v>#VALUE!</v>
      </c>
      <c r="I2036" s="66">
        <f t="shared" si="31"/>
        <v>0</v>
      </c>
    </row>
    <row r="2037" spans="8:9">
      <c r="H2037" s="66" t="e">
        <f>IF(OR(LEFT(B2037,FIND("_",B2037,1)-1)="ULGALLOC",LEFT(B2037,FIND("_",B2037,1)-1)="ULSPOOL"),LEFT(B2037,FIND("_",B2037,1)-1),VLOOKUP(LEFT(A2037,6),'Code Library'!$D$3:$E$200,2,0))&amp;"_"&amp;RIGHT(A2037,3)</f>
        <v>#VALUE!</v>
      </c>
      <c r="I2037" s="66">
        <f t="shared" si="31"/>
        <v>0</v>
      </c>
    </row>
    <row r="2038" spans="8:9">
      <c r="H2038" s="66" t="e">
        <f>IF(OR(LEFT(B2038,FIND("_",B2038,1)-1)="ULGALLOC",LEFT(B2038,FIND("_",B2038,1)-1)="ULSPOOL"),LEFT(B2038,FIND("_",B2038,1)-1),VLOOKUP(LEFT(A2038,6),'Code Library'!$D$3:$E$200,2,0))&amp;"_"&amp;RIGHT(A2038,3)</f>
        <v>#VALUE!</v>
      </c>
      <c r="I2038" s="66">
        <f t="shared" si="31"/>
        <v>0</v>
      </c>
    </row>
    <row r="2039" spans="8:9">
      <c r="H2039" s="66" t="e">
        <f>IF(OR(LEFT(B2039,FIND("_",B2039,1)-1)="ULGALLOC",LEFT(B2039,FIND("_",B2039,1)-1)="ULSPOOL"),LEFT(B2039,FIND("_",B2039,1)-1),VLOOKUP(LEFT(A2039,6),'Code Library'!$D$3:$E$200,2,0))&amp;"_"&amp;RIGHT(A2039,3)</f>
        <v>#VALUE!</v>
      </c>
      <c r="I2039" s="66">
        <f t="shared" si="31"/>
        <v>0</v>
      </c>
    </row>
    <row r="2040" spans="8:9">
      <c r="H2040" s="66" t="e">
        <f>IF(OR(LEFT(B2040,FIND("_",B2040,1)-1)="ULGALLOC",LEFT(B2040,FIND("_",B2040,1)-1)="ULSPOOL"),LEFT(B2040,FIND("_",B2040,1)-1),VLOOKUP(LEFT(A2040,6),'Code Library'!$D$3:$E$200,2,0))&amp;"_"&amp;RIGHT(A2040,3)</f>
        <v>#VALUE!</v>
      </c>
      <c r="I2040" s="66">
        <f t="shared" si="31"/>
        <v>0</v>
      </c>
    </row>
    <row r="2041" spans="8:9">
      <c r="H2041" s="66" t="e">
        <f>IF(OR(LEFT(B2041,FIND("_",B2041,1)-1)="ULGALLOC",LEFT(B2041,FIND("_",B2041,1)-1)="ULSPOOL"),LEFT(B2041,FIND("_",B2041,1)-1),VLOOKUP(LEFT(A2041,6),'Code Library'!$D$3:$E$200,2,0))&amp;"_"&amp;RIGHT(A2041,3)</f>
        <v>#VALUE!</v>
      </c>
      <c r="I2041" s="66">
        <f t="shared" si="31"/>
        <v>0</v>
      </c>
    </row>
    <row r="2042" spans="8:9">
      <c r="H2042" s="66" t="e">
        <f>IF(OR(LEFT(B2042,FIND("_",B2042,1)-1)="ULGALLOC",LEFT(B2042,FIND("_",B2042,1)-1)="ULSPOOL"),LEFT(B2042,FIND("_",B2042,1)-1),VLOOKUP(LEFT(A2042,6),'Code Library'!$D$3:$E$200,2,0))&amp;"_"&amp;RIGHT(A2042,3)</f>
        <v>#VALUE!</v>
      </c>
      <c r="I2042" s="66">
        <f t="shared" si="31"/>
        <v>0</v>
      </c>
    </row>
    <row r="2043" spans="8:9">
      <c r="H2043" s="66" t="e">
        <f>IF(OR(LEFT(B2043,FIND("_",B2043,1)-1)="ULGALLOC",LEFT(B2043,FIND("_",B2043,1)-1)="ULSPOOL"),LEFT(B2043,FIND("_",B2043,1)-1),VLOOKUP(LEFT(A2043,6),'Code Library'!$D$3:$E$200,2,0))&amp;"_"&amp;RIGHT(A2043,3)</f>
        <v>#VALUE!</v>
      </c>
      <c r="I2043" s="66">
        <f t="shared" si="31"/>
        <v>0</v>
      </c>
    </row>
    <row r="2044" spans="8:9">
      <c r="H2044" s="66" t="e">
        <f>IF(OR(LEFT(B2044,FIND("_",B2044,1)-1)="ULGALLOC",LEFT(B2044,FIND("_",B2044,1)-1)="ULSPOOL"),LEFT(B2044,FIND("_",B2044,1)-1),VLOOKUP(LEFT(A2044,6),'Code Library'!$D$3:$E$200,2,0))&amp;"_"&amp;RIGHT(A2044,3)</f>
        <v>#VALUE!</v>
      </c>
      <c r="I2044" s="66">
        <f t="shared" si="31"/>
        <v>0</v>
      </c>
    </row>
    <row r="2045" spans="8:9">
      <c r="H2045" s="66" t="e">
        <f>IF(OR(LEFT(B2045,FIND("_",B2045,1)-1)="ULGALLOC",LEFT(B2045,FIND("_",B2045,1)-1)="ULSPOOL"),LEFT(B2045,FIND("_",B2045,1)-1),VLOOKUP(LEFT(A2045,6),'Code Library'!$D$3:$E$200,2,0))&amp;"_"&amp;RIGHT(A2045,3)</f>
        <v>#VALUE!</v>
      </c>
      <c r="I2045" s="66">
        <f t="shared" si="31"/>
        <v>0</v>
      </c>
    </row>
    <row r="2046" spans="8:9">
      <c r="H2046" s="66" t="e">
        <f>IF(OR(LEFT(B2046,FIND("_",B2046,1)-1)="ULGALLOC",LEFT(B2046,FIND("_",B2046,1)-1)="ULSPOOL"),LEFT(B2046,FIND("_",B2046,1)-1),VLOOKUP(LEFT(A2046,6),'Code Library'!$D$3:$E$200,2,0))&amp;"_"&amp;RIGHT(A2046,3)</f>
        <v>#VALUE!</v>
      </c>
      <c r="I2046" s="66">
        <f t="shared" si="31"/>
        <v>0</v>
      </c>
    </row>
    <row r="2047" spans="8:9">
      <c r="H2047" s="66" t="e">
        <f>IF(OR(LEFT(B2047,FIND("_",B2047,1)-1)="ULGALLOC",LEFT(B2047,FIND("_",B2047,1)-1)="ULSPOOL"),LEFT(B2047,FIND("_",B2047,1)-1),VLOOKUP(LEFT(A2047,6),'Code Library'!$D$3:$E$200,2,0))&amp;"_"&amp;RIGHT(A2047,3)</f>
        <v>#VALUE!</v>
      </c>
      <c r="I2047" s="66">
        <f t="shared" si="31"/>
        <v>0</v>
      </c>
    </row>
    <row r="2048" spans="8:9">
      <c r="H2048" s="66" t="e">
        <f>IF(OR(LEFT(B2048,FIND("_",B2048,1)-1)="ULGALLOC",LEFT(B2048,FIND("_",B2048,1)-1)="ULSPOOL"),LEFT(B2048,FIND("_",B2048,1)-1),VLOOKUP(LEFT(A2048,6),'Code Library'!$D$3:$E$200,2,0))&amp;"_"&amp;RIGHT(A2048,3)</f>
        <v>#VALUE!</v>
      </c>
      <c r="I2048" s="66">
        <f t="shared" si="31"/>
        <v>0</v>
      </c>
    </row>
    <row r="2049" spans="8:9">
      <c r="H2049" s="66" t="e">
        <f>IF(OR(LEFT(B2049,FIND("_",B2049,1)-1)="ULGALLOC",LEFT(B2049,FIND("_",B2049,1)-1)="ULSPOOL"),LEFT(B2049,FIND("_",B2049,1)-1),VLOOKUP(LEFT(A2049,6),'Code Library'!$D$3:$E$200,2,0))&amp;"_"&amp;RIGHT(A2049,3)</f>
        <v>#VALUE!</v>
      </c>
      <c r="I2049" s="66">
        <f t="shared" si="31"/>
        <v>0</v>
      </c>
    </row>
    <row r="2050" spans="8:9">
      <c r="H2050" s="66" t="e">
        <f>IF(OR(LEFT(B2050,FIND("_",B2050,1)-1)="ULGALLOC",LEFT(B2050,FIND("_",B2050,1)-1)="ULSPOOL"),LEFT(B2050,FIND("_",B2050,1)-1),VLOOKUP(LEFT(A2050,6),'Code Library'!$D$3:$E$200,2,0))&amp;"_"&amp;RIGHT(A2050,3)</f>
        <v>#VALUE!</v>
      </c>
      <c r="I2050" s="66">
        <f t="shared" si="31"/>
        <v>0</v>
      </c>
    </row>
    <row r="2051" spans="8:9">
      <c r="H2051" s="66" t="e">
        <f>IF(OR(LEFT(B2051,FIND("_",B2051,1)-1)="ULGALLOC",LEFT(B2051,FIND("_",B2051,1)-1)="ULSPOOL"),LEFT(B2051,FIND("_",B2051,1)-1),VLOOKUP(LEFT(A2051,6),'Code Library'!$D$3:$E$200,2,0))&amp;"_"&amp;RIGHT(A2051,3)</f>
        <v>#VALUE!</v>
      </c>
      <c r="I2051" s="66">
        <f t="shared" ref="I2051:I2114" si="32">A2051</f>
        <v>0</v>
      </c>
    </row>
    <row r="2052" spans="8:9">
      <c r="H2052" s="66" t="e">
        <f>IF(OR(LEFT(B2052,FIND("_",B2052,1)-1)="ULGALLOC",LEFT(B2052,FIND("_",B2052,1)-1)="ULSPOOL"),LEFT(B2052,FIND("_",B2052,1)-1),VLOOKUP(LEFT(A2052,6),'Code Library'!$D$3:$E$200,2,0))&amp;"_"&amp;RIGHT(A2052,3)</f>
        <v>#VALUE!</v>
      </c>
      <c r="I2052" s="66">
        <f t="shared" si="32"/>
        <v>0</v>
      </c>
    </row>
    <row r="2053" spans="8:9">
      <c r="H2053" s="66" t="e">
        <f>IF(OR(LEFT(B2053,FIND("_",B2053,1)-1)="ULGALLOC",LEFT(B2053,FIND("_",B2053,1)-1)="ULSPOOL"),LEFT(B2053,FIND("_",B2053,1)-1),VLOOKUP(LEFT(A2053,6),'Code Library'!$D$3:$E$200,2,0))&amp;"_"&amp;RIGHT(A2053,3)</f>
        <v>#VALUE!</v>
      </c>
      <c r="I2053" s="66">
        <f t="shared" si="32"/>
        <v>0</v>
      </c>
    </row>
    <row r="2054" spans="8:9">
      <c r="H2054" s="66" t="e">
        <f>IF(OR(LEFT(B2054,FIND("_",B2054,1)-1)="ULGALLOC",LEFT(B2054,FIND("_",B2054,1)-1)="ULSPOOL"),LEFT(B2054,FIND("_",B2054,1)-1),VLOOKUP(LEFT(A2054,6),'Code Library'!$D$3:$E$200,2,0))&amp;"_"&amp;RIGHT(A2054,3)</f>
        <v>#VALUE!</v>
      </c>
      <c r="I2054" s="66">
        <f t="shared" si="32"/>
        <v>0</v>
      </c>
    </row>
    <row r="2055" spans="8:9">
      <c r="H2055" s="66" t="e">
        <f>IF(OR(LEFT(B2055,FIND("_",B2055,1)-1)="ULGALLOC",LEFT(B2055,FIND("_",B2055,1)-1)="ULSPOOL"),LEFT(B2055,FIND("_",B2055,1)-1),VLOOKUP(LEFT(A2055,6),'Code Library'!$D$3:$E$200,2,0))&amp;"_"&amp;RIGHT(A2055,3)</f>
        <v>#VALUE!</v>
      </c>
      <c r="I2055" s="66">
        <f t="shared" si="32"/>
        <v>0</v>
      </c>
    </row>
    <row r="2056" spans="8:9">
      <c r="H2056" s="66" t="e">
        <f>IF(OR(LEFT(B2056,FIND("_",B2056,1)-1)="ULGALLOC",LEFT(B2056,FIND("_",B2056,1)-1)="ULSPOOL"),LEFT(B2056,FIND("_",B2056,1)-1),VLOOKUP(LEFT(A2056,6),'Code Library'!$D$3:$E$200,2,0))&amp;"_"&amp;RIGHT(A2056,3)</f>
        <v>#VALUE!</v>
      </c>
      <c r="I2056" s="66">
        <f t="shared" si="32"/>
        <v>0</v>
      </c>
    </row>
    <row r="2057" spans="8:9">
      <c r="H2057" s="66" t="e">
        <f>IF(OR(LEFT(B2057,FIND("_",B2057,1)-1)="ULGALLOC",LEFT(B2057,FIND("_",B2057,1)-1)="ULSPOOL"),LEFT(B2057,FIND("_",B2057,1)-1),VLOOKUP(LEFT(A2057,6),'Code Library'!$D$3:$E$200,2,0))&amp;"_"&amp;RIGHT(A2057,3)</f>
        <v>#VALUE!</v>
      </c>
      <c r="I2057" s="66">
        <f t="shared" si="32"/>
        <v>0</v>
      </c>
    </row>
    <row r="2058" spans="8:9">
      <c r="H2058" s="66" t="e">
        <f>IF(OR(LEFT(B2058,FIND("_",B2058,1)-1)="ULGALLOC",LEFT(B2058,FIND("_",B2058,1)-1)="ULSPOOL"),LEFT(B2058,FIND("_",B2058,1)-1),VLOOKUP(LEFT(A2058,6),'Code Library'!$D$3:$E$200,2,0))&amp;"_"&amp;RIGHT(A2058,3)</f>
        <v>#VALUE!</v>
      </c>
      <c r="I2058" s="66">
        <f t="shared" si="32"/>
        <v>0</v>
      </c>
    </row>
    <row r="2059" spans="8:9">
      <c r="H2059" s="66" t="e">
        <f>IF(OR(LEFT(B2059,FIND("_",B2059,1)-1)="ULGALLOC",LEFT(B2059,FIND("_",B2059,1)-1)="ULSPOOL"),LEFT(B2059,FIND("_",B2059,1)-1),VLOOKUP(LEFT(A2059,6),'Code Library'!$D$3:$E$200,2,0))&amp;"_"&amp;RIGHT(A2059,3)</f>
        <v>#VALUE!</v>
      </c>
      <c r="I2059" s="66">
        <f t="shared" si="32"/>
        <v>0</v>
      </c>
    </row>
    <row r="2060" spans="8:9">
      <c r="H2060" s="66" t="e">
        <f>IF(OR(LEFT(B2060,FIND("_",B2060,1)-1)="ULGALLOC",LEFT(B2060,FIND("_",B2060,1)-1)="ULSPOOL"),LEFT(B2060,FIND("_",B2060,1)-1),VLOOKUP(LEFT(A2060,6),'Code Library'!$D$3:$E$200,2,0))&amp;"_"&amp;RIGHT(A2060,3)</f>
        <v>#VALUE!</v>
      </c>
      <c r="I2060" s="66">
        <f t="shared" si="32"/>
        <v>0</v>
      </c>
    </row>
    <row r="2061" spans="8:9">
      <c r="H2061" s="66" t="e">
        <f>IF(OR(LEFT(B2061,FIND("_",B2061,1)-1)="ULGALLOC",LEFT(B2061,FIND("_",B2061,1)-1)="ULSPOOL"),LEFT(B2061,FIND("_",B2061,1)-1),VLOOKUP(LEFT(A2061,6),'Code Library'!$D$3:$E$200,2,0))&amp;"_"&amp;RIGHT(A2061,3)</f>
        <v>#VALUE!</v>
      </c>
      <c r="I2061" s="66">
        <f t="shared" si="32"/>
        <v>0</v>
      </c>
    </row>
    <row r="2062" spans="8:9">
      <c r="H2062" s="66" t="e">
        <f>IF(OR(LEFT(B2062,FIND("_",B2062,1)-1)="ULGALLOC",LEFT(B2062,FIND("_",B2062,1)-1)="ULSPOOL"),LEFT(B2062,FIND("_",B2062,1)-1),VLOOKUP(LEFT(A2062,6),'Code Library'!$D$3:$E$200,2,0))&amp;"_"&amp;RIGHT(A2062,3)</f>
        <v>#VALUE!</v>
      </c>
      <c r="I2062" s="66">
        <f t="shared" si="32"/>
        <v>0</v>
      </c>
    </row>
    <row r="2063" spans="8:9">
      <c r="H2063" s="66" t="e">
        <f>IF(OR(LEFT(B2063,FIND("_",B2063,1)-1)="ULGALLOC",LEFT(B2063,FIND("_",B2063,1)-1)="ULSPOOL"),LEFT(B2063,FIND("_",B2063,1)-1),VLOOKUP(LEFT(A2063,6),'Code Library'!$D$3:$E$200,2,0))&amp;"_"&amp;RIGHT(A2063,3)</f>
        <v>#VALUE!</v>
      </c>
      <c r="I2063" s="66">
        <f t="shared" si="32"/>
        <v>0</v>
      </c>
    </row>
    <row r="2064" spans="8:9">
      <c r="H2064" s="66" t="e">
        <f>IF(OR(LEFT(B2064,FIND("_",B2064,1)-1)="ULGALLOC",LEFT(B2064,FIND("_",B2064,1)-1)="ULSPOOL"),LEFT(B2064,FIND("_",B2064,1)-1),VLOOKUP(LEFT(A2064,6),'Code Library'!$D$3:$E$200,2,0))&amp;"_"&amp;RIGHT(A2064,3)</f>
        <v>#VALUE!</v>
      </c>
      <c r="I2064" s="66">
        <f t="shared" si="32"/>
        <v>0</v>
      </c>
    </row>
    <row r="2065" spans="8:9">
      <c r="H2065" s="66" t="e">
        <f>IF(OR(LEFT(B2065,FIND("_",B2065,1)-1)="ULGALLOC",LEFT(B2065,FIND("_",B2065,1)-1)="ULSPOOL"),LEFT(B2065,FIND("_",B2065,1)-1),VLOOKUP(LEFT(A2065,6),'Code Library'!$D$3:$E$200,2,0))&amp;"_"&amp;RIGHT(A2065,3)</f>
        <v>#VALUE!</v>
      </c>
      <c r="I2065" s="66">
        <f t="shared" si="32"/>
        <v>0</v>
      </c>
    </row>
    <row r="2066" spans="8:9">
      <c r="H2066" s="66" t="e">
        <f>IF(OR(LEFT(B2066,FIND("_",B2066,1)-1)="ULGALLOC",LEFT(B2066,FIND("_",B2066,1)-1)="ULSPOOL"),LEFT(B2066,FIND("_",B2066,1)-1),VLOOKUP(LEFT(A2066,6),'Code Library'!$D$3:$E$200,2,0))&amp;"_"&amp;RIGHT(A2066,3)</f>
        <v>#VALUE!</v>
      </c>
      <c r="I2066" s="66">
        <f t="shared" si="32"/>
        <v>0</v>
      </c>
    </row>
    <row r="2067" spans="8:9">
      <c r="H2067" s="66" t="e">
        <f>IF(OR(LEFT(B2067,FIND("_",B2067,1)-1)="ULGALLOC",LEFT(B2067,FIND("_",B2067,1)-1)="ULSPOOL"),LEFT(B2067,FIND("_",B2067,1)-1),VLOOKUP(LEFT(A2067,6),'Code Library'!$D$3:$E$200,2,0))&amp;"_"&amp;RIGHT(A2067,3)</f>
        <v>#VALUE!</v>
      </c>
      <c r="I2067" s="66">
        <f t="shared" si="32"/>
        <v>0</v>
      </c>
    </row>
    <row r="2068" spans="8:9">
      <c r="H2068" s="66" t="e">
        <f>IF(OR(LEFT(B2068,FIND("_",B2068,1)-1)="ULGALLOC",LEFT(B2068,FIND("_",B2068,1)-1)="ULSPOOL"),LEFT(B2068,FIND("_",B2068,1)-1),VLOOKUP(LEFT(A2068,6),'Code Library'!$D$3:$E$200,2,0))&amp;"_"&amp;RIGHT(A2068,3)</f>
        <v>#VALUE!</v>
      </c>
      <c r="I2068" s="66">
        <f t="shared" si="32"/>
        <v>0</v>
      </c>
    </row>
    <row r="2069" spans="8:9">
      <c r="H2069" s="66" t="e">
        <f>IF(OR(LEFT(B2069,FIND("_",B2069,1)-1)="ULGALLOC",LEFT(B2069,FIND("_",B2069,1)-1)="ULSPOOL"),LEFT(B2069,FIND("_",B2069,1)-1),VLOOKUP(LEFT(A2069,6),'Code Library'!$D$3:$E$200,2,0))&amp;"_"&amp;RIGHT(A2069,3)</f>
        <v>#VALUE!</v>
      </c>
      <c r="I2069" s="66">
        <f t="shared" si="32"/>
        <v>0</v>
      </c>
    </row>
    <row r="2070" spans="8:9">
      <c r="H2070" s="66" t="e">
        <f>IF(OR(LEFT(B2070,FIND("_",B2070,1)-1)="ULGALLOC",LEFT(B2070,FIND("_",B2070,1)-1)="ULSPOOL"),LEFT(B2070,FIND("_",B2070,1)-1),VLOOKUP(LEFT(A2070,6),'Code Library'!$D$3:$E$200,2,0))&amp;"_"&amp;RIGHT(A2070,3)</f>
        <v>#VALUE!</v>
      </c>
      <c r="I2070" s="66">
        <f t="shared" si="32"/>
        <v>0</v>
      </c>
    </row>
    <row r="2071" spans="8:9">
      <c r="H2071" s="66" t="e">
        <f>IF(OR(LEFT(B2071,FIND("_",B2071,1)-1)="ULGALLOC",LEFT(B2071,FIND("_",B2071,1)-1)="ULSPOOL"),LEFT(B2071,FIND("_",B2071,1)-1),VLOOKUP(LEFT(A2071,6),'Code Library'!$D$3:$E$200,2,0))&amp;"_"&amp;RIGHT(A2071,3)</f>
        <v>#VALUE!</v>
      </c>
      <c r="I2071" s="66">
        <f t="shared" si="32"/>
        <v>0</v>
      </c>
    </row>
    <row r="2072" spans="8:9">
      <c r="H2072" s="66" t="e">
        <f>IF(OR(LEFT(B2072,FIND("_",B2072,1)-1)="ULGALLOC",LEFT(B2072,FIND("_",B2072,1)-1)="ULSPOOL"),LEFT(B2072,FIND("_",B2072,1)-1),VLOOKUP(LEFT(A2072,6),'Code Library'!$D$3:$E$200,2,0))&amp;"_"&amp;RIGHT(A2072,3)</f>
        <v>#VALUE!</v>
      </c>
      <c r="I2072" s="66">
        <f t="shared" si="32"/>
        <v>0</v>
      </c>
    </row>
    <row r="2073" spans="8:9">
      <c r="H2073" s="66" t="e">
        <f>IF(OR(LEFT(B2073,FIND("_",B2073,1)-1)="ULGALLOC",LEFT(B2073,FIND("_",B2073,1)-1)="ULSPOOL"),LEFT(B2073,FIND("_",B2073,1)-1),VLOOKUP(LEFT(A2073,6),'Code Library'!$D$3:$E$200,2,0))&amp;"_"&amp;RIGHT(A2073,3)</f>
        <v>#VALUE!</v>
      </c>
      <c r="I2073" s="66">
        <f t="shared" si="32"/>
        <v>0</v>
      </c>
    </row>
    <row r="2074" spans="8:9">
      <c r="H2074" s="66" t="e">
        <f>IF(OR(LEFT(B2074,FIND("_",B2074,1)-1)="ULGALLOC",LEFT(B2074,FIND("_",B2074,1)-1)="ULSPOOL"),LEFT(B2074,FIND("_",B2074,1)-1),VLOOKUP(LEFT(A2074,6),'Code Library'!$D$3:$E$200,2,0))&amp;"_"&amp;RIGHT(A2074,3)</f>
        <v>#VALUE!</v>
      </c>
      <c r="I2074" s="66">
        <f t="shared" si="32"/>
        <v>0</v>
      </c>
    </row>
    <row r="2075" spans="8:9">
      <c r="H2075" s="66" t="e">
        <f>IF(OR(LEFT(B2075,FIND("_",B2075,1)-1)="ULGALLOC",LEFT(B2075,FIND("_",B2075,1)-1)="ULSPOOL"),LEFT(B2075,FIND("_",B2075,1)-1),VLOOKUP(LEFT(A2075,6),'Code Library'!$D$3:$E$200,2,0))&amp;"_"&amp;RIGHT(A2075,3)</f>
        <v>#VALUE!</v>
      </c>
      <c r="I2075" s="66">
        <f t="shared" si="32"/>
        <v>0</v>
      </c>
    </row>
    <row r="2076" spans="8:9">
      <c r="H2076" s="66" t="e">
        <f>IF(OR(LEFT(B2076,FIND("_",B2076,1)-1)="ULGALLOC",LEFT(B2076,FIND("_",B2076,1)-1)="ULSPOOL"),LEFT(B2076,FIND("_",B2076,1)-1),VLOOKUP(LEFT(A2076,6),'Code Library'!$D$3:$E$200,2,0))&amp;"_"&amp;RIGHT(A2076,3)</f>
        <v>#VALUE!</v>
      </c>
      <c r="I2076" s="66">
        <f t="shared" si="32"/>
        <v>0</v>
      </c>
    </row>
    <row r="2077" spans="8:9">
      <c r="H2077" s="66" t="e">
        <f>IF(OR(LEFT(B2077,FIND("_",B2077,1)-1)="ULGALLOC",LEFT(B2077,FIND("_",B2077,1)-1)="ULSPOOL"),LEFT(B2077,FIND("_",B2077,1)-1),VLOOKUP(LEFT(A2077,6),'Code Library'!$D$3:$E$200,2,0))&amp;"_"&amp;RIGHT(A2077,3)</f>
        <v>#VALUE!</v>
      </c>
      <c r="I2077" s="66">
        <f t="shared" si="32"/>
        <v>0</v>
      </c>
    </row>
    <row r="2078" spans="8:9">
      <c r="H2078" s="66" t="e">
        <f>IF(OR(LEFT(B2078,FIND("_",B2078,1)-1)="ULGALLOC",LEFT(B2078,FIND("_",B2078,1)-1)="ULSPOOL"),LEFT(B2078,FIND("_",B2078,1)-1),VLOOKUP(LEFT(A2078,6),'Code Library'!$D$3:$E$200,2,0))&amp;"_"&amp;RIGHT(A2078,3)</f>
        <v>#VALUE!</v>
      </c>
      <c r="I2078" s="66">
        <f t="shared" si="32"/>
        <v>0</v>
      </c>
    </row>
    <row r="2079" spans="8:9">
      <c r="H2079" s="66" t="e">
        <f>IF(OR(LEFT(B2079,FIND("_",B2079,1)-1)="ULGALLOC",LEFT(B2079,FIND("_",B2079,1)-1)="ULSPOOL"),LEFT(B2079,FIND("_",B2079,1)-1),VLOOKUP(LEFT(A2079,6),'Code Library'!$D$3:$E$200,2,0))&amp;"_"&amp;RIGHT(A2079,3)</f>
        <v>#VALUE!</v>
      </c>
      <c r="I2079" s="66">
        <f t="shared" si="32"/>
        <v>0</v>
      </c>
    </row>
    <row r="2080" spans="8:9">
      <c r="H2080" s="66" t="e">
        <f>IF(OR(LEFT(B2080,FIND("_",B2080,1)-1)="ULGALLOC",LEFT(B2080,FIND("_",B2080,1)-1)="ULSPOOL"),LEFT(B2080,FIND("_",B2080,1)-1),VLOOKUP(LEFT(A2080,6),'Code Library'!$D$3:$E$200,2,0))&amp;"_"&amp;RIGHT(A2080,3)</f>
        <v>#VALUE!</v>
      </c>
      <c r="I2080" s="66">
        <f t="shared" si="32"/>
        <v>0</v>
      </c>
    </row>
    <row r="2081" spans="8:9">
      <c r="H2081" s="66" t="e">
        <f>IF(OR(LEFT(B2081,FIND("_",B2081,1)-1)="ULGALLOC",LEFT(B2081,FIND("_",B2081,1)-1)="ULSPOOL"),LEFT(B2081,FIND("_",B2081,1)-1),VLOOKUP(LEFT(A2081,6),'Code Library'!$D$3:$E$200,2,0))&amp;"_"&amp;RIGHT(A2081,3)</f>
        <v>#VALUE!</v>
      </c>
      <c r="I2081" s="66">
        <f t="shared" si="32"/>
        <v>0</v>
      </c>
    </row>
    <row r="2082" spans="8:9">
      <c r="H2082" s="66" t="e">
        <f>IF(OR(LEFT(B2082,FIND("_",B2082,1)-1)="ULGALLOC",LEFT(B2082,FIND("_",B2082,1)-1)="ULSPOOL"),LEFT(B2082,FIND("_",B2082,1)-1),VLOOKUP(LEFT(A2082,6),'Code Library'!$D$3:$E$200,2,0))&amp;"_"&amp;RIGHT(A2082,3)</f>
        <v>#VALUE!</v>
      </c>
      <c r="I2082" s="66">
        <f t="shared" si="32"/>
        <v>0</v>
      </c>
    </row>
    <row r="2083" spans="8:9">
      <c r="H2083" s="66" t="e">
        <f>IF(OR(LEFT(B2083,FIND("_",B2083,1)-1)="ULGALLOC",LEFT(B2083,FIND("_",B2083,1)-1)="ULSPOOL"),LEFT(B2083,FIND("_",B2083,1)-1),VLOOKUP(LEFT(A2083,6),'Code Library'!$D$3:$E$200,2,0))&amp;"_"&amp;RIGHT(A2083,3)</f>
        <v>#VALUE!</v>
      </c>
      <c r="I2083" s="66">
        <f t="shared" si="32"/>
        <v>0</v>
      </c>
    </row>
    <row r="2084" spans="8:9">
      <c r="H2084" s="66" t="e">
        <f>IF(OR(LEFT(B2084,FIND("_",B2084,1)-1)="ULGALLOC",LEFT(B2084,FIND("_",B2084,1)-1)="ULSPOOL"),LEFT(B2084,FIND("_",B2084,1)-1),VLOOKUP(LEFT(A2084,6),'Code Library'!$D$3:$E$200,2,0))&amp;"_"&amp;RIGHT(A2084,3)</f>
        <v>#VALUE!</v>
      </c>
      <c r="I2084" s="66">
        <f t="shared" si="32"/>
        <v>0</v>
      </c>
    </row>
    <row r="2085" spans="8:9">
      <c r="H2085" s="66" t="e">
        <f>IF(OR(LEFT(B2085,FIND("_",B2085,1)-1)="ULGALLOC",LEFT(B2085,FIND("_",B2085,1)-1)="ULSPOOL"),LEFT(B2085,FIND("_",B2085,1)-1),VLOOKUP(LEFT(A2085,6),'Code Library'!$D$3:$E$200,2,0))&amp;"_"&amp;RIGHT(A2085,3)</f>
        <v>#VALUE!</v>
      </c>
      <c r="I2085" s="66">
        <f t="shared" si="32"/>
        <v>0</v>
      </c>
    </row>
    <row r="2086" spans="8:9">
      <c r="H2086" s="66" t="e">
        <f>IF(OR(LEFT(B2086,FIND("_",B2086,1)-1)="ULGALLOC",LEFT(B2086,FIND("_",B2086,1)-1)="ULSPOOL"),LEFT(B2086,FIND("_",B2086,1)-1),VLOOKUP(LEFT(A2086,6),'Code Library'!$D$3:$E$200,2,0))&amp;"_"&amp;RIGHT(A2086,3)</f>
        <v>#VALUE!</v>
      </c>
      <c r="I2086" s="66">
        <f t="shared" si="32"/>
        <v>0</v>
      </c>
    </row>
    <row r="2087" spans="8:9">
      <c r="H2087" s="66" t="e">
        <f>IF(OR(LEFT(B2087,FIND("_",B2087,1)-1)="ULGALLOC",LEFT(B2087,FIND("_",B2087,1)-1)="ULSPOOL"),LEFT(B2087,FIND("_",B2087,1)-1),VLOOKUP(LEFT(A2087,6),'Code Library'!$D$3:$E$200,2,0))&amp;"_"&amp;RIGHT(A2087,3)</f>
        <v>#VALUE!</v>
      </c>
      <c r="I2087" s="66">
        <f t="shared" si="32"/>
        <v>0</v>
      </c>
    </row>
    <row r="2088" spans="8:9">
      <c r="H2088" s="66" t="e">
        <f>IF(OR(LEFT(B2088,FIND("_",B2088,1)-1)="ULGALLOC",LEFT(B2088,FIND("_",B2088,1)-1)="ULSPOOL"),LEFT(B2088,FIND("_",B2088,1)-1),VLOOKUP(LEFT(A2088,6),'Code Library'!$D$3:$E$200,2,0))&amp;"_"&amp;RIGHT(A2088,3)</f>
        <v>#VALUE!</v>
      </c>
      <c r="I2088" s="66">
        <f t="shared" si="32"/>
        <v>0</v>
      </c>
    </row>
    <row r="2089" spans="8:9">
      <c r="H2089" s="66" t="e">
        <f>IF(OR(LEFT(B2089,FIND("_",B2089,1)-1)="ULGALLOC",LEFT(B2089,FIND("_",B2089,1)-1)="ULSPOOL"),LEFT(B2089,FIND("_",B2089,1)-1),VLOOKUP(LEFT(A2089,6),'Code Library'!$D$3:$E$200,2,0))&amp;"_"&amp;RIGHT(A2089,3)</f>
        <v>#VALUE!</v>
      </c>
      <c r="I2089" s="66">
        <f t="shared" si="32"/>
        <v>0</v>
      </c>
    </row>
    <row r="2090" spans="8:9">
      <c r="H2090" s="66" t="e">
        <f>IF(OR(LEFT(B2090,FIND("_",B2090,1)-1)="ULGALLOC",LEFT(B2090,FIND("_",B2090,1)-1)="ULSPOOL"),LEFT(B2090,FIND("_",B2090,1)-1),VLOOKUP(LEFT(A2090,6),'Code Library'!$D$3:$E$200,2,0))&amp;"_"&amp;RIGHT(A2090,3)</f>
        <v>#VALUE!</v>
      </c>
      <c r="I2090" s="66">
        <f t="shared" si="32"/>
        <v>0</v>
      </c>
    </row>
    <row r="2091" spans="8:9">
      <c r="H2091" s="66" t="e">
        <f>IF(OR(LEFT(B2091,FIND("_",B2091,1)-1)="ULGALLOC",LEFT(B2091,FIND("_",B2091,1)-1)="ULSPOOL"),LEFT(B2091,FIND("_",B2091,1)-1),VLOOKUP(LEFT(A2091,6),'Code Library'!$D$3:$E$200,2,0))&amp;"_"&amp;RIGHT(A2091,3)</f>
        <v>#VALUE!</v>
      </c>
      <c r="I2091" s="66">
        <f t="shared" si="32"/>
        <v>0</v>
      </c>
    </row>
    <row r="2092" spans="8:9">
      <c r="H2092" s="66" t="e">
        <f>IF(OR(LEFT(B2092,FIND("_",B2092,1)-1)="ULGALLOC",LEFT(B2092,FIND("_",B2092,1)-1)="ULSPOOL"),LEFT(B2092,FIND("_",B2092,1)-1),VLOOKUP(LEFT(A2092,6),'Code Library'!$D$3:$E$200,2,0))&amp;"_"&amp;RIGHT(A2092,3)</f>
        <v>#VALUE!</v>
      </c>
      <c r="I2092" s="66">
        <f t="shared" si="32"/>
        <v>0</v>
      </c>
    </row>
    <row r="2093" spans="8:9">
      <c r="H2093" s="66" t="e">
        <f>IF(OR(LEFT(B2093,FIND("_",B2093,1)-1)="ULGALLOC",LEFT(B2093,FIND("_",B2093,1)-1)="ULSPOOL"),LEFT(B2093,FIND("_",B2093,1)-1),VLOOKUP(LEFT(A2093,6),'Code Library'!$D$3:$E$200,2,0))&amp;"_"&amp;RIGHT(A2093,3)</f>
        <v>#VALUE!</v>
      </c>
      <c r="I2093" s="66">
        <f t="shared" si="32"/>
        <v>0</v>
      </c>
    </row>
    <row r="2094" spans="8:9">
      <c r="H2094" s="66" t="e">
        <f>IF(OR(LEFT(B2094,FIND("_",B2094,1)-1)="ULGALLOC",LEFT(B2094,FIND("_",B2094,1)-1)="ULSPOOL"),LEFT(B2094,FIND("_",B2094,1)-1),VLOOKUP(LEFT(A2094,6),'Code Library'!$D$3:$E$200,2,0))&amp;"_"&amp;RIGHT(A2094,3)</f>
        <v>#VALUE!</v>
      </c>
      <c r="I2094" s="66">
        <f t="shared" si="32"/>
        <v>0</v>
      </c>
    </row>
    <row r="2095" spans="8:9">
      <c r="H2095" s="66" t="e">
        <f>IF(OR(LEFT(B2095,FIND("_",B2095,1)-1)="ULGALLOC",LEFT(B2095,FIND("_",B2095,1)-1)="ULSPOOL"),LEFT(B2095,FIND("_",B2095,1)-1),VLOOKUP(LEFT(A2095,6),'Code Library'!$D$3:$E$200,2,0))&amp;"_"&amp;RIGHT(A2095,3)</f>
        <v>#VALUE!</v>
      </c>
      <c r="I2095" s="66">
        <f t="shared" si="32"/>
        <v>0</v>
      </c>
    </row>
    <row r="2096" spans="8:9">
      <c r="H2096" s="66" t="e">
        <f>IF(OR(LEFT(B2096,FIND("_",B2096,1)-1)="ULGALLOC",LEFT(B2096,FIND("_",B2096,1)-1)="ULSPOOL"),LEFT(B2096,FIND("_",B2096,1)-1),VLOOKUP(LEFT(A2096,6),'Code Library'!$D$3:$E$200,2,0))&amp;"_"&amp;RIGHT(A2096,3)</f>
        <v>#VALUE!</v>
      </c>
      <c r="I2096" s="66">
        <f t="shared" si="32"/>
        <v>0</v>
      </c>
    </row>
    <row r="2097" spans="8:9">
      <c r="H2097" s="66" t="e">
        <f>IF(OR(LEFT(B2097,FIND("_",B2097,1)-1)="ULGALLOC",LEFT(B2097,FIND("_",B2097,1)-1)="ULSPOOL"),LEFT(B2097,FIND("_",B2097,1)-1),VLOOKUP(LEFT(A2097,6),'Code Library'!$D$3:$E$200,2,0))&amp;"_"&amp;RIGHT(A2097,3)</f>
        <v>#VALUE!</v>
      </c>
      <c r="I2097" s="66">
        <f t="shared" si="32"/>
        <v>0</v>
      </c>
    </row>
    <row r="2098" spans="8:9">
      <c r="H2098" s="66" t="e">
        <f>IF(OR(LEFT(B2098,FIND("_",B2098,1)-1)="ULGALLOC",LEFT(B2098,FIND("_",B2098,1)-1)="ULSPOOL"),LEFT(B2098,FIND("_",B2098,1)-1),VLOOKUP(LEFT(A2098,6),'Code Library'!$D$3:$E$200,2,0))&amp;"_"&amp;RIGHT(A2098,3)</f>
        <v>#VALUE!</v>
      </c>
      <c r="I2098" s="66">
        <f t="shared" si="32"/>
        <v>0</v>
      </c>
    </row>
    <row r="2099" spans="8:9">
      <c r="H2099" s="66" t="e">
        <f>IF(OR(LEFT(B2099,FIND("_",B2099,1)-1)="ULGALLOC",LEFT(B2099,FIND("_",B2099,1)-1)="ULSPOOL"),LEFT(B2099,FIND("_",B2099,1)-1),VLOOKUP(LEFT(A2099,6),'Code Library'!$D$3:$E$200,2,0))&amp;"_"&amp;RIGHT(A2099,3)</f>
        <v>#VALUE!</v>
      </c>
      <c r="I2099" s="66">
        <f t="shared" si="32"/>
        <v>0</v>
      </c>
    </row>
    <row r="2100" spans="8:9">
      <c r="H2100" s="66" t="e">
        <f>IF(OR(LEFT(B2100,FIND("_",B2100,1)-1)="ULGALLOC",LEFT(B2100,FIND("_",B2100,1)-1)="ULSPOOL"),LEFT(B2100,FIND("_",B2100,1)-1),VLOOKUP(LEFT(A2100,6),'Code Library'!$D$3:$E$200,2,0))&amp;"_"&amp;RIGHT(A2100,3)</f>
        <v>#VALUE!</v>
      </c>
      <c r="I2100" s="66">
        <f t="shared" si="32"/>
        <v>0</v>
      </c>
    </row>
    <row r="2101" spans="8:9">
      <c r="H2101" s="66" t="e">
        <f>IF(OR(LEFT(B2101,FIND("_",B2101,1)-1)="ULGALLOC",LEFT(B2101,FIND("_",B2101,1)-1)="ULSPOOL"),LEFT(B2101,FIND("_",B2101,1)-1),VLOOKUP(LEFT(A2101,6),'Code Library'!$D$3:$E$200,2,0))&amp;"_"&amp;RIGHT(A2101,3)</f>
        <v>#VALUE!</v>
      </c>
      <c r="I2101" s="66">
        <f t="shared" si="32"/>
        <v>0</v>
      </c>
    </row>
    <row r="2102" spans="8:9">
      <c r="H2102" s="66" t="e">
        <f>IF(OR(LEFT(B2102,FIND("_",B2102,1)-1)="ULGALLOC",LEFT(B2102,FIND("_",B2102,1)-1)="ULSPOOL"),LEFT(B2102,FIND("_",B2102,1)-1),VLOOKUP(LEFT(A2102,6),'Code Library'!$D$3:$E$200,2,0))&amp;"_"&amp;RIGHT(A2102,3)</f>
        <v>#VALUE!</v>
      </c>
      <c r="I2102" s="66">
        <f t="shared" si="32"/>
        <v>0</v>
      </c>
    </row>
    <row r="2103" spans="8:9">
      <c r="H2103" s="66" t="e">
        <f>IF(OR(LEFT(B2103,FIND("_",B2103,1)-1)="ULGALLOC",LEFT(B2103,FIND("_",B2103,1)-1)="ULSPOOL"),LEFT(B2103,FIND("_",B2103,1)-1),VLOOKUP(LEFT(A2103,6),'Code Library'!$D$3:$E$200,2,0))&amp;"_"&amp;RIGHT(A2103,3)</f>
        <v>#VALUE!</v>
      </c>
      <c r="I2103" s="66">
        <f t="shared" si="32"/>
        <v>0</v>
      </c>
    </row>
    <row r="2104" spans="8:9">
      <c r="H2104" s="66" t="e">
        <f>IF(OR(LEFT(B2104,FIND("_",B2104,1)-1)="ULGALLOC",LEFT(B2104,FIND("_",B2104,1)-1)="ULSPOOL"),LEFT(B2104,FIND("_",B2104,1)-1),VLOOKUP(LEFT(A2104,6),'Code Library'!$D$3:$E$200,2,0))&amp;"_"&amp;RIGHT(A2104,3)</f>
        <v>#VALUE!</v>
      </c>
      <c r="I2104" s="66">
        <f t="shared" si="32"/>
        <v>0</v>
      </c>
    </row>
    <row r="2105" spans="8:9">
      <c r="H2105" s="66" t="e">
        <f>IF(OR(LEFT(B2105,FIND("_",B2105,1)-1)="ULGALLOC",LEFT(B2105,FIND("_",B2105,1)-1)="ULSPOOL"),LEFT(B2105,FIND("_",B2105,1)-1),VLOOKUP(LEFT(A2105,6),'Code Library'!$D$3:$E$200,2,0))&amp;"_"&amp;RIGHT(A2105,3)</f>
        <v>#VALUE!</v>
      </c>
      <c r="I2105" s="66">
        <f t="shared" si="32"/>
        <v>0</v>
      </c>
    </row>
    <row r="2106" spans="8:9">
      <c r="H2106" s="66" t="e">
        <f>IF(OR(LEFT(B2106,FIND("_",B2106,1)-1)="ULGALLOC",LEFT(B2106,FIND("_",B2106,1)-1)="ULSPOOL"),LEFT(B2106,FIND("_",B2106,1)-1),VLOOKUP(LEFT(A2106,6),'Code Library'!$D$3:$E$200,2,0))&amp;"_"&amp;RIGHT(A2106,3)</f>
        <v>#VALUE!</v>
      </c>
      <c r="I2106" s="66">
        <f t="shared" si="32"/>
        <v>0</v>
      </c>
    </row>
    <row r="2107" spans="8:9">
      <c r="H2107" s="66" t="e">
        <f>IF(OR(LEFT(B2107,FIND("_",B2107,1)-1)="ULGALLOC",LEFT(B2107,FIND("_",B2107,1)-1)="ULSPOOL"),LEFT(B2107,FIND("_",B2107,1)-1),VLOOKUP(LEFT(A2107,6),'Code Library'!$D$3:$E$200,2,0))&amp;"_"&amp;RIGHT(A2107,3)</f>
        <v>#VALUE!</v>
      </c>
      <c r="I2107" s="66">
        <f t="shared" si="32"/>
        <v>0</v>
      </c>
    </row>
    <row r="2108" spans="8:9">
      <c r="H2108" s="66" t="e">
        <f>IF(OR(LEFT(B2108,FIND("_",B2108,1)-1)="ULGALLOC",LEFT(B2108,FIND("_",B2108,1)-1)="ULSPOOL"),LEFT(B2108,FIND("_",B2108,1)-1),VLOOKUP(LEFT(A2108,6),'Code Library'!$D$3:$E$200,2,0))&amp;"_"&amp;RIGHT(A2108,3)</f>
        <v>#VALUE!</v>
      </c>
      <c r="I2108" s="66">
        <f t="shared" si="32"/>
        <v>0</v>
      </c>
    </row>
    <row r="2109" spans="8:9">
      <c r="H2109" s="66" t="e">
        <f>IF(OR(LEFT(B2109,FIND("_",B2109,1)-1)="ULGALLOC",LEFT(B2109,FIND("_",B2109,1)-1)="ULSPOOL"),LEFT(B2109,FIND("_",B2109,1)-1),VLOOKUP(LEFT(A2109,6),'Code Library'!$D$3:$E$200,2,0))&amp;"_"&amp;RIGHT(A2109,3)</f>
        <v>#VALUE!</v>
      </c>
      <c r="I2109" s="66">
        <f t="shared" si="32"/>
        <v>0</v>
      </c>
    </row>
    <row r="2110" spans="8:9">
      <c r="H2110" s="66" t="e">
        <f>IF(OR(LEFT(B2110,FIND("_",B2110,1)-1)="ULGALLOC",LEFT(B2110,FIND("_",B2110,1)-1)="ULSPOOL"),LEFT(B2110,FIND("_",B2110,1)-1),VLOOKUP(LEFT(A2110,6),'Code Library'!$D$3:$E$200,2,0))&amp;"_"&amp;RIGHT(A2110,3)</f>
        <v>#VALUE!</v>
      </c>
      <c r="I2110" s="66">
        <f t="shared" si="32"/>
        <v>0</v>
      </c>
    </row>
    <row r="2111" spans="8:9">
      <c r="H2111" s="66" t="e">
        <f>IF(OR(LEFT(B2111,FIND("_",B2111,1)-1)="ULGALLOC",LEFT(B2111,FIND("_",B2111,1)-1)="ULSPOOL"),LEFT(B2111,FIND("_",B2111,1)-1),VLOOKUP(LEFT(A2111,6),'Code Library'!$D$3:$E$200,2,0))&amp;"_"&amp;RIGHT(A2111,3)</f>
        <v>#VALUE!</v>
      </c>
      <c r="I2111" s="66">
        <f t="shared" si="32"/>
        <v>0</v>
      </c>
    </row>
    <row r="2112" spans="8:9">
      <c r="H2112" s="66" t="e">
        <f>IF(OR(LEFT(B2112,FIND("_",B2112,1)-1)="ULGALLOC",LEFT(B2112,FIND("_",B2112,1)-1)="ULSPOOL"),LEFT(B2112,FIND("_",B2112,1)-1),VLOOKUP(LEFT(A2112,6),'Code Library'!$D$3:$E$200,2,0))&amp;"_"&amp;RIGHT(A2112,3)</f>
        <v>#VALUE!</v>
      </c>
      <c r="I2112" s="66">
        <f t="shared" si="32"/>
        <v>0</v>
      </c>
    </row>
    <row r="2113" spans="8:9">
      <c r="H2113" s="66" t="e">
        <f>IF(OR(LEFT(B2113,FIND("_",B2113,1)-1)="ULGALLOC",LEFT(B2113,FIND("_",B2113,1)-1)="ULSPOOL"),LEFT(B2113,FIND("_",B2113,1)-1),VLOOKUP(LEFT(A2113,6),'Code Library'!$D$3:$E$200,2,0))&amp;"_"&amp;RIGHT(A2113,3)</f>
        <v>#VALUE!</v>
      </c>
      <c r="I2113" s="66">
        <f t="shared" si="32"/>
        <v>0</v>
      </c>
    </row>
    <row r="2114" spans="8:9">
      <c r="H2114" s="66" t="e">
        <f>IF(OR(LEFT(B2114,FIND("_",B2114,1)-1)="ULGALLOC",LEFT(B2114,FIND("_",B2114,1)-1)="ULSPOOL"),LEFT(B2114,FIND("_",B2114,1)-1),VLOOKUP(LEFT(A2114,6),'Code Library'!$D$3:$E$200,2,0))&amp;"_"&amp;RIGHT(A2114,3)</f>
        <v>#VALUE!</v>
      </c>
      <c r="I2114" s="66">
        <f t="shared" si="32"/>
        <v>0</v>
      </c>
    </row>
    <row r="2115" spans="8:9">
      <c r="H2115" s="66" t="e">
        <f>IF(OR(LEFT(B2115,FIND("_",B2115,1)-1)="ULGALLOC",LEFT(B2115,FIND("_",B2115,1)-1)="ULSPOOL"),LEFT(B2115,FIND("_",B2115,1)-1),VLOOKUP(LEFT(A2115,6),'Code Library'!$D$3:$E$200,2,0))&amp;"_"&amp;RIGHT(A2115,3)</f>
        <v>#VALUE!</v>
      </c>
      <c r="I2115" s="66">
        <f t="shared" ref="I2115:I2178" si="33">A2115</f>
        <v>0</v>
      </c>
    </row>
    <row r="2116" spans="8:9">
      <c r="H2116" s="66" t="e">
        <f>IF(OR(LEFT(B2116,FIND("_",B2116,1)-1)="ULGALLOC",LEFT(B2116,FIND("_",B2116,1)-1)="ULSPOOL"),LEFT(B2116,FIND("_",B2116,1)-1),VLOOKUP(LEFT(A2116,6),'Code Library'!$D$3:$E$200,2,0))&amp;"_"&amp;RIGHT(A2116,3)</f>
        <v>#VALUE!</v>
      </c>
      <c r="I2116" s="66">
        <f t="shared" si="33"/>
        <v>0</v>
      </c>
    </row>
    <row r="2117" spans="8:9">
      <c r="H2117" s="66" t="e">
        <f>IF(OR(LEFT(B2117,FIND("_",B2117,1)-1)="ULGALLOC",LEFT(B2117,FIND("_",B2117,1)-1)="ULSPOOL"),LEFT(B2117,FIND("_",B2117,1)-1),VLOOKUP(LEFT(A2117,6),'Code Library'!$D$3:$E$200,2,0))&amp;"_"&amp;RIGHT(A2117,3)</f>
        <v>#VALUE!</v>
      </c>
      <c r="I2117" s="66">
        <f t="shared" si="33"/>
        <v>0</v>
      </c>
    </row>
    <row r="2118" spans="8:9">
      <c r="H2118" s="66" t="e">
        <f>IF(OR(LEFT(B2118,FIND("_",B2118,1)-1)="ULGALLOC",LEFT(B2118,FIND("_",B2118,1)-1)="ULSPOOL"),LEFT(B2118,FIND("_",B2118,1)-1),VLOOKUP(LEFT(A2118,6),'Code Library'!$D$3:$E$200,2,0))&amp;"_"&amp;RIGHT(A2118,3)</f>
        <v>#VALUE!</v>
      </c>
      <c r="I2118" s="66">
        <f t="shared" si="33"/>
        <v>0</v>
      </c>
    </row>
    <row r="2119" spans="8:9">
      <c r="H2119" s="66" t="e">
        <f>IF(OR(LEFT(B2119,FIND("_",B2119,1)-1)="ULGALLOC",LEFT(B2119,FIND("_",B2119,1)-1)="ULSPOOL"),LEFT(B2119,FIND("_",B2119,1)-1),VLOOKUP(LEFT(A2119,6),'Code Library'!$D$3:$E$200,2,0))&amp;"_"&amp;RIGHT(A2119,3)</f>
        <v>#VALUE!</v>
      </c>
      <c r="I2119" s="66">
        <f t="shared" si="33"/>
        <v>0</v>
      </c>
    </row>
    <row r="2120" spans="8:9">
      <c r="H2120" s="66" t="e">
        <f>IF(OR(LEFT(B2120,FIND("_",B2120,1)-1)="ULGALLOC",LEFT(B2120,FIND("_",B2120,1)-1)="ULSPOOL"),LEFT(B2120,FIND("_",B2120,1)-1),VLOOKUP(LEFT(A2120,6),'Code Library'!$D$3:$E$200,2,0))&amp;"_"&amp;RIGHT(A2120,3)</f>
        <v>#VALUE!</v>
      </c>
      <c r="I2120" s="66">
        <f t="shared" si="33"/>
        <v>0</v>
      </c>
    </row>
    <row r="2121" spans="8:9">
      <c r="H2121" s="66" t="e">
        <f>IF(OR(LEFT(B2121,FIND("_",B2121,1)-1)="ULGALLOC",LEFT(B2121,FIND("_",B2121,1)-1)="ULSPOOL"),LEFT(B2121,FIND("_",B2121,1)-1),VLOOKUP(LEFT(A2121,6),'Code Library'!$D$3:$E$200,2,0))&amp;"_"&amp;RIGHT(A2121,3)</f>
        <v>#VALUE!</v>
      </c>
      <c r="I2121" s="66">
        <f t="shared" si="33"/>
        <v>0</v>
      </c>
    </row>
    <row r="2122" spans="8:9">
      <c r="H2122" s="66" t="e">
        <f>IF(OR(LEFT(B2122,FIND("_",B2122,1)-1)="ULGALLOC",LEFT(B2122,FIND("_",B2122,1)-1)="ULSPOOL"),LEFT(B2122,FIND("_",B2122,1)-1),VLOOKUP(LEFT(A2122,6),'Code Library'!$D$3:$E$200,2,0))&amp;"_"&amp;RIGHT(A2122,3)</f>
        <v>#VALUE!</v>
      </c>
      <c r="I2122" s="66">
        <f t="shared" si="33"/>
        <v>0</v>
      </c>
    </row>
    <row r="2123" spans="8:9">
      <c r="H2123" s="66" t="e">
        <f>IF(OR(LEFT(B2123,FIND("_",B2123,1)-1)="ULGALLOC",LEFT(B2123,FIND("_",B2123,1)-1)="ULSPOOL"),LEFT(B2123,FIND("_",B2123,1)-1),VLOOKUP(LEFT(A2123,6),'Code Library'!$D$3:$E$200,2,0))&amp;"_"&amp;RIGHT(A2123,3)</f>
        <v>#VALUE!</v>
      </c>
      <c r="I2123" s="66">
        <f t="shared" si="33"/>
        <v>0</v>
      </c>
    </row>
    <row r="2124" spans="8:9">
      <c r="H2124" s="66" t="e">
        <f>IF(OR(LEFT(B2124,FIND("_",B2124,1)-1)="ULGALLOC",LEFT(B2124,FIND("_",B2124,1)-1)="ULSPOOL"),LEFT(B2124,FIND("_",B2124,1)-1),VLOOKUP(LEFT(A2124,6),'Code Library'!$D$3:$E$200,2,0))&amp;"_"&amp;RIGHT(A2124,3)</f>
        <v>#VALUE!</v>
      </c>
      <c r="I2124" s="66">
        <f t="shared" si="33"/>
        <v>0</v>
      </c>
    </row>
    <row r="2125" spans="8:9">
      <c r="H2125" s="66" t="e">
        <f>IF(OR(LEFT(B2125,FIND("_",B2125,1)-1)="ULGALLOC",LEFT(B2125,FIND("_",B2125,1)-1)="ULSPOOL"),LEFT(B2125,FIND("_",B2125,1)-1),VLOOKUP(LEFT(A2125,6),'Code Library'!$D$3:$E$200,2,0))&amp;"_"&amp;RIGHT(A2125,3)</f>
        <v>#VALUE!</v>
      </c>
      <c r="I2125" s="66">
        <f t="shared" si="33"/>
        <v>0</v>
      </c>
    </row>
    <row r="2126" spans="8:9">
      <c r="H2126" s="66" t="e">
        <f>IF(OR(LEFT(B2126,FIND("_",B2126,1)-1)="ULGALLOC",LEFT(B2126,FIND("_",B2126,1)-1)="ULSPOOL"),LEFT(B2126,FIND("_",B2126,1)-1),VLOOKUP(LEFT(A2126,6),'Code Library'!$D$3:$E$200,2,0))&amp;"_"&amp;RIGHT(A2126,3)</f>
        <v>#VALUE!</v>
      </c>
      <c r="I2126" s="66">
        <f t="shared" si="33"/>
        <v>0</v>
      </c>
    </row>
    <row r="2127" spans="8:9">
      <c r="H2127" s="66" t="e">
        <f>IF(OR(LEFT(B2127,FIND("_",B2127,1)-1)="ULGALLOC",LEFT(B2127,FIND("_",B2127,1)-1)="ULSPOOL"),LEFT(B2127,FIND("_",B2127,1)-1),VLOOKUP(LEFT(A2127,6),'Code Library'!$D$3:$E$200,2,0))&amp;"_"&amp;RIGHT(A2127,3)</f>
        <v>#VALUE!</v>
      </c>
      <c r="I2127" s="66">
        <f t="shared" si="33"/>
        <v>0</v>
      </c>
    </row>
    <row r="2128" spans="8:9">
      <c r="H2128" s="66" t="e">
        <f>IF(OR(LEFT(B2128,FIND("_",B2128,1)-1)="ULGALLOC",LEFT(B2128,FIND("_",B2128,1)-1)="ULSPOOL"),LEFT(B2128,FIND("_",B2128,1)-1),VLOOKUP(LEFT(A2128,6),'Code Library'!$D$3:$E$200,2,0))&amp;"_"&amp;RIGHT(A2128,3)</f>
        <v>#VALUE!</v>
      </c>
      <c r="I2128" s="66">
        <f t="shared" si="33"/>
        <v>0</v>
      </c>
    </row>
    <row r="2129" spans="8:9">
      <c r="H2129" s="66" t="e">
        <f>IF(OR(LEFT(B2129,FIND("_",B2129,1)-1)="ULGALLOC",LEFT(B2129,FIND("_",B2129,1)-1)="ULSPOOL"),LEFT(B2129,FIND("_",B2129,1)-1),VLOOKUP(LEFT(A2129,6),'Code Library'!$D$3:$E$200,2,0))&amp;"_"&amp;RIGHT(A2129,3)</f>
        <v>#VALUE!</v>
      </c>
      <c r="I2129" s="66">
        <f t="shared" si="33"/>
        <v>0</v>
      </c>
    </row>
    <row r="2130" spans="8:9">
      <c r="H2130" s="66" t="e">
        <f>IF(OR(LEFT(B2130,FIND("_",B2130,1)-1)="ULGALLOC",LEFT(B2130,FIND("_",B2130,1)-1)="ULSPOOL"),LEFT(B2130,FIND("_",B2130,1)-1),VLOOKUP(LEFT(A2130,6),'Code Library'!$D$3:$E$200,2,0))&amp;"_"&amp;RIGHT(A2130,3)</f>
        <v>#VALUE!</v>
      </c>
      <c r="I2130" s="66">
        <f t="shared" si="33"/>
        <v>0</v>
      </c>
    </row>
    <row r="2131" spans="8:9">
      <c r="H2131" s="66" t="e">
        <f>IF(OR(LEFT(B2131,FIND("_",B2131,1)-1)="ULGALLOC",LEFT(B2131,FIND("_",B2131,1)-1)="ULSPOOL"),LEFT(B2131,FIND("_",B2131,1)-1),VLOOKUP(LEFT(A2131,6),'Code Library'!$D$3:$E$200,2,0))&amp;"_"&amp;RIGHT(A2131,3)</f>
        <v>#VALUE!</v>
      </c>
      <c r="I2131" s="66">
        <f t="shared" si="33"/>
        <v>0</v>
      </c>
    </row>
    <row r="2132" spans="8:9">
      <c r="H2132" s="66" t="e">
        <f>IF(OR(LEFT(B2132,FIND("_",B2132,1)-1)="ULGALLOC",LEFT(B2132,FIND("_",B2132,1)-1)="ULSPOOL"),LEFT(B2132,FIND("_",B2132,1)-1),VLOOKUP(LEFT(A2132,6),'Code Library'!$D$3:$E$200,2,0))&amp;"_"&amp;RIGHT(A2132,3)</f>
        <v>#VALUE!</v>
      </c>
      <c r="I2132" s="66">
        <f t="shared" si="33"/>
        <v>0</v>
      </c>
    </row>
    <row r="2133" spans="8:9">
      <c r="H2133" s="66" t="e">
        <f>IF(OR(LEFT(B2133,FIND("_",B2133,1)-1)="ULGALLOC",LEFT(B2133,FIND("_",B2133,1)-1)="ULSPOOL"),LEFT(B2133,FIND("_",B2133,1)-1),VLOOKUP(LEFT(A2133,6),'Code Library'!$D$3:$E$200,2,0))&amp;"_"&amp;RIGHT(A2133,3)</f>
        <v>#VALUE!</v>
      </c>
      <c r="I2133" s="66">
        <f t="shared" si="33"/>
        <v>0</v>
      </c>
    </row>
    <row r="2134" spans="8:9">
      <c r="H2134" s="66" t="e">
        <f>IF(OR(LEFT(B2134,FIND("_",B2134,1)-1)="ULGALLOC",LEFT(B2134,FIND("_",B2134,1)-1)="ULSPOOL"),LEFT(B2134,FIND("_",B2134,1)-1),VLOOKUP(LEFT(A2134,6),'Code Library'!$D$3:$E$200,2,0))&amp;"_"&amp;RIGHT(A2134,3)</f>
        <v>#VALUE!</v>
      </c>
      <c r="I2134" s="66">
        <f t="shared" si="33"/>
        <v>0</v>
      </c>
    </row>
    <row r="2135" spans="8:9">
      <c r="H2135" s="66" t="e">
        <f>IF(OR(LEFT(B2135,FIND("_",B2135,1)-1)="ULGALLOC",LEFT(B2135,FIND("_",B2135,1)-1)="ULSPOOL"),LEFT(B2135,FIND("_",B2135,1)-1),VLOOKUP(LEFT(A2135,6),'Code Library'!$D$3:$E$200,2,0))&amp;"_"&amp;RIGHT(A2135,3)</f>
        <v>#VALUE!</v>
      </c>
      <c r="I2135" s="66">
        <f t="shared" si="33"/>
        <v>0</v>
      </c>
    </row>
    <row r="2136" spans="8:9">
      <c r="H2136" s="66" t="e">
        <f>IF(OR(LEFT(B2136,FIND("_",B2136,1)-1)="ULGALLOC",LEFT(B2136,FIND("_",B2136,1)-1)="ULSPOOL"),LEFT(B2136,FIND("_",B2136,1)-1),VLOOKUP(LEFT(A2136,6),'Code Library'!$D$3:$E$200,2,0))&amp;"_"&amp;RIGHT(A2136,3)</f>
        <v>#VALUE!</v>
      </c>
      <c r="I2136" s="66">
        <f t="shared" si="33"/>
        <v>0</v>
      </c>
    </row>
    <row r="2137" spans="8:9">
      <c r="H2137" s="66" t="e">
        <f>IF(OR(LEFT(B2137,FIND("_",B2137,1)-1)="ULGALLOC",LEFT(B2137,FIND("_",B2137,1)-1)="ULSPOOL"),LEFT(B2137,FIND("_",B2137,1)-1),VLOOKUP(LEFT(A2137,6),'Code Library'!$D$3:$E$200,2,0))&amp;"_"&amp;RIGHT(A2137,3)</f>
        <v>#VALUE!</v>
      </c>
      <c r="I2137" s="66">
        <f t="shared" si="33"/>
        <v>0</v>
      </c>
    </row>
    <row r="2138" spans="8:9">
      <c r="H2138" s="66" t="e">
        <f>IF(OR(LEFT(B2138,FIND("_",B2138,1)-1)="ULGALLOC",LEFT(B2138,FIND("_",B2138,1)-1)="ULSPOOL"),LEFT(B2138,FIND("_",B2138,1)-1),VLOOKUP(LEFT(A2138,6),'Code Library'!$D$3:$E$200,2,0))&amp;"_"&amp;RIGHT(A2138,3)</f>
        <v>#VALUE!</v>
      </c>
      <c r="I2138" s="66">
        <f t="shared" si="33"/>
        <v>0</v>
      </c>
    </row>
    <row r="2139" spans="8:9">
      <c r="H2139" s="66" t="e">
        <f>IF(OR(LEFT(B2139,FIND("_",B2139,1)-1)="ULGALLOC",LEFT(B2139,FIND("_",B2139,1)-1)="ULSPOOL"),LEFT(B2139,FIND("_",B2139,1)-1),VLOOKUP(LEFT(A2139,6),'Code Library'!$D$3:$E$200,2,0))&amp;"_"&amp;RIGHT(A2139,3)</f>
        <v>#VALUE!</v>
      </c>
      <c r="I2139" s="66">
        <f t="shared" si="33"/>
        <v>0</v>
      </c>
    </row>
    <row r="2140" spans="8:9">
      <c r="H2140" s="66" t="e">
        <f>IF(OR(LEFT(B2140,FIND("_",B2140,1)-1)="ULGALLOC",LEFT(B2140,FIND("_",B2140,1)-1)="ULSPOOL"),LEFT(B2140,FIND("_",B2140,1)-1),VLOOKUP(LEFT(A2140,6),'Code Library'!$D$3:$E$200,2,0))&amp;"_"&amp;RIGHT(A2140,3)</f>
        <v>#VALUE!</v>
      </c>
      <c r="I2140" s="66">
        <f t="shared" si="33"/>
        <v>0</v>
      </c>
    </row>
    <row r="2141" spans="8:9">
      <c r="H2141" s="66" t="e">
        <f>IF(OR(LEFT(B2141,FIND("_",B2141,1)-1)="ULGALLOC",LEFT(B2141,FIND("_",B2141,1)-1)="ULSPOOL"),LEFT(B2141,FIND("_",B2141,1)-1),VLOOKUP(LEFT(A2141,6),'Code Library'!$D$3:$E$200,2,0))&amp;"_"&amp;RIGHT(A2141,3)</f>
        <v>#VALUE!</v>
      </c>
      <c r="I2141" s="66">
        <f t="shared" si="33"/>
        <v>0</v>
      </c>
    </row>
    <row r="2142" spans="8:9">
      <c r="H2142" s="66" t="e">
        <f>IF(OR(LEFT(B2142,FIND("_",B2142,1)-1)="ULGALLOC",LEFT(B2142,FIND("_",B2142,1)-1)="ULSPOOL"),LEFT(B2142,FIND("_",B2142,1)-1),VLOOKUP(LEFT(A2142,6),'Code Library'!$D$3:$E$200,2,0))&amp;"_"&amp;RIGHT(A2142,3)</f>
        <v>#VALUE!</v>
      </c>
      <c r="I2142" s="66">
        <f t="shared" si="33"/>
        <v>0</v>
      </c>
    </row>
    <row r="2143" spans="8:9">
      <c r="H2143" s="66" t="e">
        <f>IF(OR(LEFT(B2143,FIND("_",B2143,1)-1)="ULGALLOC",LEFT(B2143,FIND("_",B2143,1)-1)="ULSPOOL"),LEFT(B2143,FIND("_",B2143,1)-1),VLOOKUP(LEFT(A2143,6),'Code Library'!$D$3:$E$200,2,0))&amp;"_"&amp;RIGHT(A2143,3)</f>
        <v>#VALUE!</v>
      </c>
      <c r="I2143" s="66">
        <f t="shared" si="33"/>
        <v>0</v>
      </c>
    </row>
    <row r="2144" spans="8:9">
      <c r="H2144" s="66" t="e">
        <f>IF(OR(LEFT(B2144,FIND("_",B2144,1)-1)="ULGALLOC",LEFT(B2144,FIND("_",B2144,1)-1)="ULSPOOL"),LEFT(B2144,FIND("_",B2144,1)-1),VLOOKUP(LEFT(A2144,6),'Code Library'!$D$3:$E$200,2,0))&amp;"_"&amp;RIGHT(A2144,3)</f>
        <v>#VALUE!</v>
      </c>
      <c r="I2144" s="66">
        <f t="shared" si="33"/>
        <v>0</v>
      </c>
    </row>
    <row r="2145" spans="8:9">
      <c r="H2145" s="66" t="e">
        <f>IF(OR(LEFT(B2145,FIND("_",B2145,1)-1)="ULGALLOC",LEFT(B2145,FIND("_",B2145,1)-1)="ULSPOOL"),LEFT(B2145,FIND("_",B2145,1)-1),VLOOKUP(LEFT(A2145,6),'Code Library'!$D$3:$E$200,2,0))&amp;"_"&amp;RIGHT(A2145,3)</f>
        <v>#VALUE!</v>
      </c>
      <c r="I2145" s="66">
        <f t="shared" si="33"/>
        <v>0</v>
      </c>
    </row>
    <row r="2146" spans="8:9">
      <c r="H2146" s="66" t="e">
        <f>IF(OR(LEFT(B2146,FIND("_",B2146,1)-1)="ULGALLOC",LEFT(B2146,FIND("_",B2146,1)-1)="ULSPOOL"),LEFT(B2146,FIND("_",B2146,1)-1),VLOOKUP(LEFT(A2146,6),'Code Library'!$D$3:$E$200,2,0))&amp;"_"&amp;RIGHT(A2146,3)</f>
        <v>#VALUE!</v>
      </c>
      <c r="I2146" s="66">
        <f t="shared" si="33"/>
        <v>0</v>
      </c>
    </row>
    <row r="2147" spans="8:9">
      <c r="H2147" s="66" t="e">
        <f>IF(OR(LEFT(B2147,FIND("_",B2147,1)-1)="ULGALLOC",LEFT(B2147,FIND("_",B2147,1)-1)="ULSPOOL"),LEFT(B2147,FIND("_",B2147,1)-1),VLOOKUP(LEFT(A2147,6),'Code Library'!$D$3:$E$200,2,0))&amp;"_"&amp;RIGHT(A2147,3)</f>
        <v>#VALUE!</v>
      </c>
      <c r="I2147" s="66">
        <f t="shared" si="33"/>
        <v>0</v>
      </c>
    </row>
    <row r="2148" spans="8:9">
      <c r="H2148" s="66" t="e">
        <f>IF(OR(LEFT(B2148,FIND("_",B2148,1)-1)="ULGALLOC",LEFT(B2148,FIND("_",B2148,1)-1)="ULSPOOL"),LEFT(B2148,FIND("_",B2148,1)-1),VLOOKUP(LEFT(A2148,6),'Code Library'!$D$3:$E$200,2,0))&amp;"_"&amp;RIGHT(A2148,3)</f>
        <v>#VALUE!</v>
      </c>
      <c r="I2148" s="66">
        <f t="shared" si="33"/>
        <v>0</v>
      </c>
    </row>
    <row r="2149" spans="8:9">
      <c r="H2149" s="66" t="e">
        <f>IF(OR(LEFT(B2149,FIND("_",B2149,1)-1)="ULGALLOC",LEFT(B2149,FIND("_",B2149,1)-1)="ULSPOOL"),LEFT(B2149,FIND("_",B2149,1)-1),VLOOKUP(LEFT(A2149,6),'Code Library'!$D$3:$E$200,2,0))&amp;"_"&amp;RIGHT(A2149,3)</f>
        <v>#VALUE!</v>
      </c>
      <c r="I2149" s="66">
        <f t="shared" si="33"/>
        <v>0</v>
      </c>
    </row>
    <row r="2150" spans="8:9">
      <c r="H2150" s="66" t="e">
        <f>IF(OR(LEFT(B2150,FIND("_",B2150,1)-1)="ULGALLOC",LEFT(B2150,FIND("_",B2150,1)-1)="ULSPOOL"),LEFT(B2150,FIND("_",B2150,1)-1),VLOOKUP(LEFT(A2150,6),'Code Library'!$D$3:$E$200,2,0))&amp;"_"&amp;RIGHT(A2150,3)</f>
        <v>#VALUE!</v>
      </c>
      <c r="I2150" s="66">
        <f t="shared" si="33"/>
        <v>0</v>
      </c>
    </row>
    <row r="2151" spans="8:9">
      <c r="H2151" s="66" t="e">
        <f>IF(OR(LEFT(B2151,FIND("_",B2151,1)-1)="ULGALLOC",LEFT(B2151,FIND("_",B2151,1)-1)="ULSPOOL"),LEFT(B2151,FIND("_",B2151,1)-1),VLOOKUP(LEFT(A2151,6),'Code Library'!$D$3:$E$200,2,0))&amp;"_"&amp;RIGHT(A2151,3)</f>
        <v>#VALUE!</v>
      </c>
      <c r="I2151" s="66">
        <f t="shared" si="33"/>
        <v>0</v>
      </c>
    </row>
    <row r="2152" spans="8:9">
      <c r="H2152" s="66" t="e">
        <f>IF(OR(LEFT(B2152,FIND("_",B2152,1)-1)="ULGALLOC",LEFT(B2152,FIND("_",B2152,1)-1)="ULSPOOL"),LEFT(B2152,FIND("_",B2152,1)-1),VLOOKUP(LEFT(A2152,6),'Code Library'!$D$3:$E$200,2,0))&amp;"_"&amp;RIGHT(A2152,3)</f>
        <v>#VALUE!</v>
      </c>
      <c r="I2152" s="66">
        <f t="shared" si="33"/>
        <v>0</v>
      </c>
    </row>
    <row r="2153" spans="8:9">
      <c r="H2153" s="66" t="e">
        <f>IF(OR(LEFT(B2153,FIND("_",B2153,1)-1)="ULGALLOC",LEFT(B2153,FIND("_",B2153,1)-1)="ULSPOOL"),LEFT(B2153,FIND("_",B2153,1)-1),VLOOKUP(LEFT(A2153,6),'Code Library'!$D$3:$E$200,2,0))&amp;"_"&amp;RIGHT(A2153,3)</f>
        <v>#VALUE!</v>
      </c>
      <c r="I2153" s="66">
        <f t="shared" si="33"/>
        <v>0</v>
      </c>
    </row>
    <row r="2154" spans="8:9">
      <c r="H2154" s="66" t="e">
        <f>IF(OR(LEFT(B2154,FIND("_",B2154,1)-1)="ULGALLOC",LEFT(B2154,FIND("_",B2154,1)-1)="ULSPOOL"),LEFT(B2154,FIND("_",B2154,1)-1),VLOOKUP(LEFT(A2154,6),'Code Library'!$D$3:$E$200,2,0))&amp;"_"&amp;RIGHT(A2154,3)</f>
        <v>#VALUE!</v>
      </c>
      <c r="I2154" s="66">
        <f t="shared" si="33"/>
        <v>0</v>
      </c>
    </row>
    <row r="2155" spans="8:9">
      <c r="H2155" s="66" t="e">
        <f>IF(OR(LEFT(B2155,FIND("_",B2155,1)-1)="ULGALLOC",LEFT(B2155,FIND("_",B2155,1)-1)="ULSPOOL"),LEFT(B2155,FIND("_",B2155,1)-1),VLOOKUP(LEFT(A2155,6),'Code Library'!$D$3:$E$200,2,0))&amp;"_"&amp;RIGHT(A2155,3)</f>
        <v>#VALUE!</v>
      </c>
      <c r="I2155" s="66">
        <f t="shared" si="33"/>
        <v>0</v>
      </c>
    </row>
    <row r="2156" spans="8:9">
      <c r="H2156" s="66" t="e">
        <f>IF(OR(LEFT(B2156,FIND("_",B2156,1)-1)="ULGALLOC",LEFT(B2156,FIND("_",B2156,1)-1)="ULSPOOL"),LEFT(B2156,FIND("_",B2156,1)-1),VLOOKUP(LEFT(A2156,6),'Code Library'!$D$3:$E$200,2,0))&amp;"_"&amp;RIGHT(A2156,3)</f>
        <v>#VALUE!</v>
      </c>
      <c r="I2156" s="66">
        <f t="shared" si="33"/>
        <v>0</v>
      </c>
    </row>
    <row r="2157" spans="8:9">
      <c r="H2157" s="66" t="e">
        <f>IF(OR(LEFT(B2157,FIND("_",B2157,1)-1)="ULGALLOC",LEFT(B2157,FIND("_",B2157,1)-1)="ULSPOOL"),LEFT(B2157,FIND("_",B2157,1)-1),VLOOKUP(LEFT(A2157,6),'Code Library'!$D$3:$E$200,2,0))&amp;"_"&amp;RIGHT(A2157,3)</f>
        <v>#VALUE!</v>
      </c>
      <c r="I2157" s="66">
        <f t="shared" si="33"/>
        <v>0</v>
      </c>
    </row>
    <row r="2158" spans="8:9">
      <c r="H2158" s="66" t="e">
        <f>IF(OR(LEFT(B2158,FIND("_",B2158,1)-1)="ULGALLOC",LEFT(B2158,FIND("_",B2158,1)-1)="ULSPOOL"),LEFT(B2158,FIND("_",B2158,1)-1),VLOOKUP(LEFT(A2158,6),'Code Library'!$D$3:$E$200,2,0))&amp;"_"&amp;RIGHT(A2158,3)</f>
        <v>#VALUE!</v>
      </c>
      <c r="I2158" s="66">
        <f t="shared" si="33"/>
        <v>0</v>
      </c>
    </row>
    <row r="2159" spans="8:9">
      <c r="H2159" s="66" t="e">
        <f>IF(OR(LEFT(B2159,FIND("_",B2159,1)-1)="ULGALLOC",LEFT(B2159,FIND("_",B2159,1)-1)="ULSPOOL"),LEFT(B2159,FIND("_",B2159,1)-1),VLOOKUP(LEFT(A2159,6),'Code Library'!$D$3:$E$200,2,0))&amp;"_"&amp;RIGHT(A2159,3)</f>
        <v>#VALUE!</v>
      </c>
      <c r="I2159" s="66">
        <f t="shared" si="33"/>
        <v>0</v>
      </c>
    </row>
    <row r="2160" spans="8:9">
      <c r="H2160" s="66" t="e">
        <f>IF(OR(LEFT(B2160,FIND("_",B2160,1)-1)="ULGALLOC",LEFT(B2160,FIND("_",B2160,1)-1)="ULSPOOL"),LEFT(B2160,FIND("_",B2160,1)-1),VLOOKUP(LEFT(A2160,6),'Code Library'!$D$3:$E$200,2,0))&amp;"_"&amp;RIGHT(A2160,3)</f>
        <v>#VALUE!</v>
      </c>
      <c r="I2160" s="66">
        <f t="shared" si="33"/>
        <v>0</v>
      </c>
    </row>
    <row r="2161" spans="8:9">
      <c r="H2161" s="66" t="e">
        <f>IF(OR(LEFT(B2161,FIND("_",B2161,1)-1)="ULGALLOC",LEFT(B2161,FIND("_",B2161,1)-1)="ULSPOOL"),LEFT(B2161,FIND("_",B2161,1)-1),VLOOKUP(LEFT(A2161,6),'Code Library'!$D$3:$E$200,2,0))&amp;"_"&amp;RIGHT(A2161,3)</f>
        <v>#VALUE!</v>
      </c>
      <c r="I2161" s="66">
        <f t="shared" si="33"/>
        <v>0</v>
      </c>
    </row>
    <row r="2162" spans="8:9">
      <c r="H2162" s="66" t="e">
        <f>IF(OR(LEFT(B2162,FIND("_",B2162,1)-1)="ULGALLOC",LEFT(B2162,FIND("_",B2162,1)-1)="ULSPOOL"),LEFT(B2162,FIND("_",B2162,1)-1),VLOOKUP(LEFT(A2162,6),'Code Library'!$D$3:$E$200,2,0))&amp;"_"&amp;RIGHT(A2162,3)</f>
        <v>#VALUE!</v>
      </c>
      <c r="I2162" s="66">
        <f t="shared" si="33"/>
        <v>0</v>
      </c>
    </row>
    <row r="2163" spans="8:9">
      <c r="H2163" s="66" t="e">
        <f>IF(OR(LEFT(B2163,FIND("_",B2163,1)-1)="ULGALLOC",LEFT(B2163,FIND("_",B2163,1)-1)="ULSPOOL"),LEFT(B2163,FIND("_",B2163,1)-1),VLOOKUP(LEFT(A2163,6),'Code Library'!$D$3:$E$200,2,0))&amp;"_"&amp;RIGHT(A2163,3)</f>
        <v>#VALUE!</v>
      </c>
      <c r="I2163" s="66">
        <f t="shared" si="33"/>
        <v>0</v>
      </c>
    </row>
    <row r="2164" spans="8:9">
      <c r="H2164" s="66" t="e">
        <f>IF(OR(LEFT(B2164,FIND("_",B2164,1)-1)="ULGALLOC",LEFT(B2164,FIND("_",B2164,1)-1)="ULSPOOL"),LEFT(B2164,FIND("_",B2164,1)-1),VLOOKUP(LEFT(A2164,6),'Code Library'!$D$3:$E$200,2,0))&amp;"_"&amp;RIGHT(A2164,3)</f>
        <v>#VALUE!</v>
      </c>
      <c r="I2164" s="66">
        <f t="shared" si="33"/>
        <v>0</v>
      </c>
    </row>
    <row r="2165" spans="8:9">
      <c r="H2165" s="66" t="e">
        <f>IF(OR(LEFT(B2165,FIND("_",B2165,1)-1)="ULGALLOC",LEFT(B2165,FIND("_",B2165,1)-1)="ULSPOOL"),LEFT(B2165,FIND("_",B2165,1)-1),VLOOKUP(LEFT(A2165,6),'Code Library'!$D$3:$E$200,2,0))&amp;"_"&amp;RIGHT(A2165,3)</f>
        <v>#VALUE!</v>
      </c>
      <c r="I2165" s="66">
        <f t="shared" si="33"/>
        <v>0</v>
      </c>
    </row>
    <row r="2166" spans="8:9">
      <c r="H2166" s="66" t="e">
        <f>IF(OR(LEFT(B2166,FIND("_",B2166,1)-1)="ULGALLOC",LEFT(B2166,FIND("_",B2166,1)-1)="ULSPOOL"),LEFT(B2166,FIND("_",B2166,1)-1),VLOOKUP(LEFT(A2166,6),'Code Library'!$D$3:$E$200,2,0))&amp;"_"&amp;RIGHT(A2166,3)</f>
        <v>#VALUE!</v>
      </c>
      <c r="I2166" s="66">
        <f t="shared" si="33"/>
        <v>0</v>
      </c>
    </row>
    <row r="2167" spans="8:9">
      <c r="H2167" s="66" t="e">
        <f>IF(OR(LEFT(B2167,FIND("_",B2167,1)-1)="ULGALLOC",LEFT(B2167,FIND("_",B2167,1)-1)="ULSPOOL"),LEFT(B2167,FIND("_",B2167,1)-1),VLOOKUP(LEFT(A2167,6),'Code Library'!$D$3:$E$200,2,0))&amp;"_"&amp;RIGHT(A2167,3)</f>
        <v>#VALUE!</v>
      </c>
      <c r="I2167" s="66">
        <f t="shared" si="33"/>
        <v>0</v>
      </c>
    </row>
    <row r="2168" spans="8:9">
      <c r="H2168" s="66" t="e">
        <f>IF(OR(LEFT(B2168,FIND("_",B2168,1)-1)="ULGALLOC",LEFT(B2168,FIND("_",B2168,1)-1)="ULSPOOL"),LEFT(B2168,FIND("_",B2168,1)-1),VLOOKUP(LEFT(A2168,6),'Code Library'!$D$3:$E$200,2,0))&amp;"_"&amp;RIGHT(A2168,3)</f>
        <v>#VALUE!</v>
      </c>
      <c r="I2168" s="66">
        <f t="shared" si="33"/>
        <v>0</v>
      </c>
    </row>
    <row r="2169" spans="8:9">
      <c r="H2169" s="66" t="e">
        <f>IF(OR(LEFT(B2169,FIND("_",B2169,1)-1)="ULGALLOC",LEFT(B2169,FIND("_",B2169,1)-1)="ULSPOOL"),LEFT(B2169,FIND("_",B2169,1)-1),VLOOKUP(LEFT(A2169,6),'Code Library'!$D$3:$E$200,2,0))&amp;"_"&amp;RIGHT(A2169,3)</f>
        <v>#VALUE!</v>
      </c>
      <c r="I2169" s="66">
        <f t="shared" si="33"/>
        <v>0</v>
      </c>
    </row>
    <row r="2170" spans="8:9">
      <c r="H2170" s="66" t="e">
        <f>IF(OR(LEFT(B2170,FIND("_",B2170,1)-1)="ULGALLOC",LEFT(B2170,FIND("_",B2170,1)-1)="ULSPOOL"),LEFT(B2170,FIND("_",B2170,1)-1),VLOOKUP(LEFT(A2170,6),'Code Library'!$D$3:$E$200,2,0))&amp;"_"&amp;RIGHT(A2170,3)</f>
        <v>#VALUE!</v>
      </c>
      <c r="I2170" s="66">
        <f t="shared" si="33"/>
        <v>0</v>
      </c>
    </row>
    <row r="2171" spans="8:9">
      <c r="H2171" s="66" t="e">
        <f>IF(OR(LEFT(B2171,FIND("_",B2171,1)-1)="ULGALLOC",LEFT(B2171,FIND("_",B2171,1)-1)="ULSPOOL"),LEFT(B2171,FIND("_",B2171,1)-1),VLOOKUP(LEFT(A2171,6),'Code Library'!$D$3:$E$200,2,0))&amp;"_"&amp;RIGHT(A2171,3)</f>
        <v>#VALUE!</v>
      </c>
      <c r="I2171" s="66">
        <f t="shared" si="33"/>
        <v>0</v>
      </c>
    </row>
    <row r="2172" spans="8:9">
      <c r="H2172" s="66" t="e">
        <f>IF(OR(LEFT(B2172,FIND("_",B2172,1)-1)="ULGALLOC",LEFT(B2172,FIND("_",B2172,1)-1)="ULSPOOL"),LEFT(B2172,FIND("_",B2172,1)-1),VLOOKUP(LEFT(A2172,6),'Code Library'!$D$3:$E$200,2,0))&amp;"_"&amp;RIGHT(A2172,3)</f>
        <v>#VALUE!</v>
      </c>
      <c r="I2172" s="66">
        <f t="shared" si="33"/>
        <v>0</v>
      </c>
    </row>
    <row r="2173" spans="8:9">
      <c r="H2173" s="66" t="e">
        <f>IF(OR(LEFT(B2173,FIND("_",B2173,1)-1)="ULGALLOC",LEFT(B2173,FIND("_",B2173,1)-1)="ULSPOOL"),LEFT(B2173,FIND("_",B2173,1)-1),VLOOKUP(LEFT(A2173,6),'Code Library'!$D$3:$E$200,2,0))&amp;"_"&amp;RIGHT(A2173,3)</f>
        <v>#VALUE!</v>
      </c>
      <c r="I2173" s="66">
        <f t="shared" si="33"/>
        <v>0</v>
      </c>
    </row>
    <row r="2174" spans="8:9">
      <c r="H2174" s="66" t="e">
        <f>IF(OR(LEFT(B2174,FIND("_",B2174,1)-1)="ULGALLOC",LEFT(B2174,FIND("_",B2174,1)-1)="ULSPOOL"),LEFT(B2174,FIND("_",B2174,1)-1),VLOOKUP(LEFT(A2174,6),'Code Library'!$D$3:$E$200,2,0))&amp;"_"&amp;RIGHT(A2174,3)</f>
        <v>#VALUE!</v>
      </c>
      <c r="I2174" s="66">
        <f t="shared" si="33"/>
        <v>0</v>
      </c>
    </row>
    <row r="2175" spans="8:9">
      <c r="H2175" s="66" t="e">
        <f>IF(OR(LEFT(B2175,FIND("_",B2175,1)-1)="ULGALLOC",LEFT(B2175,FIND("_",B2175,1)-1)="ULSPOOL"),LEFT(B2175,FIND("_",B2175,1)-1),VLOOKUP(LEFT(A2175,6),'Code Library'!$D$3:$E$200,2,0))&amp;"_"&amp;RIGHT(A2175,3)</f>
        <v>#VALUE!</v>
      </c>
      <c r="I2175" s="66">
        <f t="shared" si="33"/>
        <v>0</v>
      </c>
    </row>
    <row r="2176" spans="8:9">
      <c r="H2176" s="66" t="e">
        <f>IF(OR(LEFT(B2176,FIND("_",B2176,1)-1)="ULGALLOC",LEFT(B2176,FIND("_",B2176,1)-1)="ULSPOOL"),LEFT(B2176,FIND("_",B2176,1)-1),VLOOKUP(LEFT(A2176,6),'Code Library'!$D$3:$E$200,2,0))&amp;"_"&amp;RIGHT(A2176,3)</f>
        <v>#VALUE!</v>
      </c>
      <c r="I2176" s="66">
        <f t="shared" si="33"/>
        <v>0</v>
      </c>
    </row>
    <row r="2177" spans="8:9">
      <c r="H2177" s="66" t="e">
        <f>IF(OR(LEFT(B2177,FIND("_",B2177,1)-1)="ULGALLOC",LEFT(B2177,FIND("_",B2177,1)-1)="ULSPOOL"),LEFT(B2177,FIND("_",B2177,1)-1),VLOOKUP(LEFT(A2177,6),'Code Library'!$D$3:$E$200,2,0))&amp;"_"&amp;RIGHT(A2177,3)</f>
        <v>#VALUE!</v>
      </c>
      <c r="I2177" s="66">
        <f t="shared" si="33"/>
        <v>0</v>
      </c>
    </row>
    <row r="2178" spans="8:9">
      <c r="H2178" s="66" t="e">
        <f>IF(OR(LEFT(B2178,FIND("_",B2178,1)-1)="ULGALLOC",LEFT(B2178,FIND("_",B2178,1)-1)="ULSPOOL"),LEFT(B2178,FIND("_",B2178,1)-1),VLOOKUP(LEFT(A2178,6),'Code Library'!$D$3:$E$200,2,0))&amp;"_"&amp;RIGHT(A2178,3)</f>
        <v>#VALUE!</v>
      </c>
      <c r="I2178" s="66">
        <f t="shared" si="33"/>
        <v>0</v>
      </c>
    </row>
    <row r="2179" spans="8:9">
      <c r="H2179" s="66" t="e">
        <f>IF(OR(LEFT(B2179,FIND("_",B2179,1)-1)="ULGALLOC",LEFT(B2179,FIND("_",B2179,1)-1)="ULSPOOL"),LEFT(B2179,FIND("_",B2179,1)-1),VLOOKUP(LEFT(A2179,6),'Code Library'!$D$3:$E$200,2,0))&amp;"_"&amp;RIGHT(A2179,3)</f>
        <v>#VALUE!</v>
      </c>
      <c r="I2179" s="66">
        <f t="shared" ref="I2179:I2242" si="34">A2179</f>
        <v>0</v>
      </c>
    </row>
    <row r="2180" spans="8:9">
      <c r="H2180" s="66" t="e">
        <f>IF(OR(LEFT(B2180,FIND("_",B2180,1)-1)="ULGALLOC",LEFT(B2180,FIND("_",B2180,1)-1)="ULSPOOL"),LEFT(B2180,FIND("_",B2180,1)-1),VLOOKUP(LEFT(A2180,6),'Code Library'!$D$3:$E$200,2,0))&amp;"_"&amp;RIGHT(A2180,3)</f>
        <v>#VALUE!</v>
      </c>
      <c r="I2180" s="66">
        <f t="shared" si="34"/>
        <v>0</v>
      </c>
    </row>
    <row r="2181" spans="8:9">
      <c r="H2181" s="66" t="e">
        <f>IF(OR(LEFT(B2181,FIND("_",B2181,1)-1)="ULGALLOC",LEFT(B2181,FIND("_",B2181,1)-1)="ULSPOOL"),LEFT(B2181,FIND("_",B2181,1)-1),VLOOKUP(LEFT(A2181,6),'Code Library'!$D$3:$E$200,2,0))&amp;"_"&amp;RIGHT(A2181,3)</f>
        <v>#VALUE!</v>
      </c>
      <c r="I2181" s="66">
        <f t="shared" si="34"/>
        <v>0</v>
      </c>
    </row>
    <row r="2182" spans="8:9">
      <c r="H2182" s="66" t="e">
        <f>IF(OR(LEFT(B2182,FIND("_",B2182,1)-1)="ULGALLOC",LEFT(B2182,FIND("_",B2182,1)-1)="ULSPOOL"),LEFT(B2182,FIND("_",B2182,1)-1),VLOOKUP(LEFT(A2182,6),'Code Library'!$D$3:$E$200,2,0))&amp;"_"&amp;RIGHT(A2182,3)</f>
        <v>#VALUE!</v>
      </c>
      <c r="I2182" s="66">
        <f t="shared" si="34"/>
        <v>0</v>
      </c>
    </row>
    <row r="2183" spans="8:9">
      <c r="H2183" s="66" t="e">
        <f>IF(OR(LEFT(B2183,FIND("_",B2183,1)-1)="ULGALLOC",LEFT(B2183,FIND("_",B2183,1)-1)="ULSPOOL"),LEFT(B2183,FIND("_",B2183,1)-1),VLOOKUP(LEFT(A2183,6),'Code Library'!$D$3:$E$200,2,0))&amp;"_"&amp;RIGHT(A2183,3)</f>
        <v>#VALUE!</v>
      </c>
      <c r="I2183" s="66">
        <f t="shared" si="34"/>
        <v>0</v>
      </c>
    </row>
    <row r="2184" spans="8:9">
      <c r="H2184" s="66" t="e">
        <f>IF(OR(LEFT(B2184,FIND("_",B2184,1)-1)="ULGALLOC",LEFT(B2184,FIND("_",B2184,1)-1)="ULSPOOL"),LEFT(B2184,FIND("_",B2184,1)-1),VLOOKUP(LEFT(A2184,6),'Code Library'!$D$3:$E$200,2,0))&amp;"_"&amp;RIGHT(A2184,3)</f>
        <v>#VALUE!</v>
      </c>
      <c r="I2184" s="66">
        <f t="shared" si="34"/>
        <v>0</v>
      </c>
    </row>
    <row r="2185" spans="8:9">
      <c r="H2185" s="66" t="e">
        <f>IF(OR(LEFT(B2185,FIND("_",B2185,1)-1)="ULGALLOC",LEFT(B2185,FIND("_",B2185,1)-1)="ULSPOOL"),LEFT(B2185,FIND("_",B2185,1)-1),VLOOKUP(LEFT(A2185,6),'Code Library'!$D$3:$E$200,2,0))&amp;"_"&amp;RIGHT(A2185,3)</f>
        <v>#VALUE!</v>
      </c>
      <c r="I2185" s="66">
        <f t="shared" si="34"/>
        <v>0</v>
      </c>
    </row>
    <row r="2186" spans="8:9">
      <c r="H2186" s="66" t="e">
        <f>IF(OR(LEFT(B2186,FIND("_",B2186,1)-1)="ULGALLOC",LEFT(B2186,FIND("_",B2186,1)-1)="ULSPOOL"),LEFT(B2186,FIND("_",B2186,1)-1),VLOOKUP(LEFT(A2186,6),'Code Library'!$D$3:$E$200,2,0))&amp;"_"&amp;RIGHT(A2186,3)</f>
        <v>#VALUE!</v>
      </c>
      <c r="I2186" s="66">
        <f t="shared" si="34"/>
        <v>0</v>
      </c>
    </row>
    <row r="2187" spans="8:9">
      <c r="H2187" s="66" t="e">
        <f>IF(OR(LEFT(B2187,FIND("_",B2187,1)-1)="ULGALLOC",LEFT(B2187,FIND("_",B2187,1)-1)="ULSPOOL"),LEFT(B2187,FIND("_",B2187,1)-1),VLOOKUP(LEFT(A2187,6),'Code Library'!$D$3:$E$200,2,0))&amp;"_"&amp;RIGHT(A2187,3)</f>
        <v>#VALUE!</v>
      </c>
      <c r="I2187" s="66">
        <f t="shared" si="34"/>
        <v>0</v>
      </c>
    </row>
    <row r="2188" spans="8:9">
      <c r="H2188" s="66" t="e">
        <f>IF(OR(LEFT(B2188,FIND("_",B2188,1)-1)="ULGALLOC",LEFT(B2188,FIND("_",B2188,1)-1)="ULSPOOL"),LEFT(B2188,FIND("_",B2188,1)-1),VLOOKUP(LEFT(A2188,6),'Code Library'!$D$3:$E$200,2,0))&amp;"_"&amp;RIGHT(A2188,3)</f>
        <v>#VALUE!</v>
      </c>
      <c r="I2188" s="66">
        <f t="shared" si="34"/>
        <v>0</v>
      </c>
    </row>
    <row r="2189" spans="8:9">
      <c r="H2189" s="66" t="e">
        <f>IF(OR(LEFT(B2189,FIND("_",B2189,1)-1)="ULGALLOC",LEFT(B2189,FIND("_",B2189,1)-1)="ULSPOOL"),LEFT(B2189,FIND("_",B2189,1)-1),VLOOKUP(LEFT(A2189,6),'Code Library'!$D$3:$E$200,2,0))&amp;"_"&amp;RIGHT(A2189,3)</f>
        <v>#VALUE!</v>
      </c>
      <c r="I2189" s="66">
        <f t="shared" si="34"/>
        <v>0</v>
      </c>
    </row>
    <row r="2190" spans="8:9">
      <c r="H2190" s="66" t="e">
        <f>IF(OR(LEFT(B2190,FIND("_",B2190,1)-1)="ULGALLOC",LEFT(B2190,FIND("_",B2190,1)-1)="ULSPOOL"),LEFT(B2190,FIND("_",B2190,1)-1),VLOOKUP(LEFT(A2190,6),'Code Library'!$D$3:$E$200,2,0))&amp;"_"&amp;RIGHT(A2190,3)</f>
        <v>#VALUE!</v>
      </c>
      <c r="I2190" s="66">
        <f t="shared" si="34"/>
        <v>0</v>
      </c>
    </row>
    <row r="2191" spans="8:9">
      <c r="H2191" s="66" t="e">
        <f>IF(OR(LEFT(B2191,FIND("_",B2191,1)-1)="ULGALLOC",LEFT(B2191,FIND("_",B2191,1)-1)="ULSPOOL"),LEFT(B2191,FIND("_",B2191,1)-1),VLOOKUP(LEFT(A2191,6),'Code Library'!$D$3:$E$200,2,0))&amp;"_"&amp;RIGHT(A2191,3)</f>
        <v>#VALUE!</v>
      </c>
      <c r="I2191" s="66">
        <f t="shared" si="34"/>
        <v>0</v>
      </c>
    </row>
    <row r="2192" spans="8:9">
      <c r="H2192" s="66" t="e">
        <f>IF(OR(LEFT(B2192,FIND("_",B2192,1)-1)="ULGALLOC",LEFT(B2192,FIND("_",B2192,1)-1)="ULSPOOL"),LEFT(B2192,FIND("_",B2192,1)-1),VLOOKUP(LEFT(A2192,6),'Code Library'!$D$3:$E$200,2,0))&amp;"_"&amp;RIGHT(A2192,3)</f>
        <v>#VALUE!</v>
      </c>
      <c r="I2192" s="66">
        <f t="shared" si="34"/>
        <v>0</v>
      </c>
    </row>
    <row r="2193" spans="8:9">
      <c r="H2193" s="66" t="e">
        <f>IF(OR(LEFT(B2193,FIND("_",B2193,1)-1)="ULGALLOC",LEFT(B2193,FIND("_",B2193,1)-1)="ULSPOOL"),LEFT(B2193,FIND("_",B2193,1)-1),VLOOKUP(LEFT(A2193,6),'Code Library'!$D$3:$E$200,2,0))&amp;"_"&amp;RIGHT(A2193,3)</f>
        <v>#VALUE!</v>
      </c>
      <c r="I2193" s="66">
        <f t="shared" si="34"/>
        <v>0</v>
      </c>
    </row>
    <row r="2194" spans="8:9">
      <c r="H2194" s="66" t="e">
        <f>IF(OR(LEFT(B2194,FIND("_",B2194,1)-1)="ULGALLOC",LEFT(B2194,FIND("_",B2194,1)-1)="ULSPOOL"),LEFT(B2194,FIND("_",B2194,1)-1),VLOOKUP(LEFT(A2194,6),'Code Library'!$D$3:$E$200,2,0))&amp;"_"&amp;RIGHT(A2194,3)</f>
        <v>#VALUE!</v>
      </c>
      <c r="I2194" s="66">
        <f t="shared" si="34"/>
        <v>0</v>
      </c>
    </row>
    <row r="2195" spans="8:9">
      <c r="H2195" s="66" t="e">
        <f>IF(OR(LEFT(B2195,FIND("_",B2195,1)-1)="ULGALLOC",LEFT(B2195,FIND("_",B2195,1)-1)="ULSPOOL"),LEFT(B2195,FIND("_",B2195,1)-1),VLOOKUP(LEFT(A2195,6),'Code Library'!$D$3:$E$200,2,0))&amp;"_"&amp;RIGHT(A2195,3)</f>
        <v>#VALUE!</v>
      </c>
      <c r="I2195" s="66">
        <f t="shared" si="34"/>
        <v>0</v>
      </c>
    </row>
    <row r="2196" spans="8:9">
      <c r="H2196" s="66" t="e">
        <f>IF(OR(LEFT(B2196,FIND("_",B2196,1)-1)="ULGALLOC",LEFT(B2196,FIND("_",B2196,1)-1)="ULSPOOL"),LEFT(B2196,FIND("_",B2196,1)-1),VLOOKUP(LEFT(A2196,6),'Code Library'!$D$3:$E$200,2,0))&amp;"_"&amp;RIGHT(A2196,3)</f>
        <v>#VALUE!</v>
      </c>
      <c r="I2196" s="66">
        <f t="shared" si="34"/>
        <v>0</v>
      </c>
    </row>
    <row r="2197" spans="8:9">
      <c r="H2197" s="66" t="e">
        <f>IF(OR(LEFT(B2197,FIND("_",B2197,1)-1)="ULGALLOC",LEFT(B2197,FIND("_",B2197,1)-1)="ULSPOOL"),LEFT(B2197,FIND("_",B2197,1)-1),VLOOKUP(LEFT(A2197,6),'Code Library'!$D$3:$E$200,2,0))&amp;"_"&amp;RIGHT(A2197,3)</f>
        <v>#VALUE!</v>
      </c>
      <c r="I2197" s="66">
        <f t="shared" si="34"/>
        <v>0</v>
      </c>
    </row>
    <row r="2198" spans="8:9">
      <c r="H2198" s="66" t="e">
        <f>IF(OR(LEFT(B2198,FIND("_",B2198,1)-1)="ULGALLOC",LEFT(B2198,FIND("_",B2198,1)-1)="ULSPOOL"),LEFT(B2198,FIND("_",B2198,1)-1),VLOOKUP(LEFT(A2198,6),'Code Library'!$D$3:$E$200,2,0))&amp;"_"&amp;RIGHT(A2198,3)</f>
        <v>#VALUE!</v>
      </c>
      <c r="I2198" s="66">
        <f t="shared" si="34"/>
        <v>0</v>
      </c>
    </row>
    <row r="2199" spans="8:9">
      <c r="H2199" s="66" t="e">
        <f>IF(OR(LEFT(B2199,FIND("_",B2199,1)-1)="ULGALLOC",LEFT(B2199,FIND("_",B2199,1)-1)="ULSPOOL"),LEFT(B2199,FIND("_",B2199,1)-1),VLOOKUP(LEFT(A2199,6),'Code Library'!$D$3:$E$200,2,0))&amp;"_"&amp;RIGHT(A2199,3)</f>
        <v>#VALUE!</v>
      </c>
      <c r="I2199" s="66">
        <f t="shared" si="34"/>
        <v>0</v>
      </c>
    </row>
    <row r="2200" spans="8:9">
      <c r="H2200" s="66" t="e">
        <f>IF(OR(LEFT(B2200,FIND("_",B2200,1)-1)="ULGALLOC",LEFT(B2200,FIND("_",B2200,1)-1)="ULSPOOL"),LEFT(B2200,FIND("_",B2200,1)-1),VLOOKUP(LEFT(A2200,6),'Code Library'!$D$3:$E$200,2,0))&amp;"_"&amp;RIGHT(A2200,3)</f>
        <v>#VALUE!</v>
      </c>
      <c r="I2200" s="66">
        <f t="shared" si="34"/>
        <v>0</v>
      </c>
    </row>
    <row r="2201" spans="8:9">
      <c r="H2201" s="66" t="e">
        <f>IF(OR(LEFT(B2201,FIND("_",B2201,1)-1)="ULGALLOC",LEFT(B2201,FIND("_",B2201,1)-1)="ULSPOOL"),LEFT(B2201,FIND("_",B2201,1)-1),VLOOKUP(LEFT(A2201,6),'Code Library'!$D$3:$E$200,2,0))&amp;"_"&amp;RIGHT(A2201,3)</f>
        <v>#VALUE!</v>
      </c>
      <c r="I2201" s="66">
        <f t="shared" si="34"/>
        <v>0</v>
      </c>
    </row>
    <row r="2202" spans="8:9">
      <c r="H2202" s="66" t="e">
        <f>IF(OR(LEFT(B2202,FIND("_",B2202,1)-1)="ULGALLOC",LEFT(B2202,FIND("_",B2202,1)-1)="ULSPOOL"),LEFT(B2202,FIND("_",B2202,1)-1),VLOOKUP(LEFT(A2202,6),'Code Library'!$D$3:$E$200,2,0))&amp;"_"&amp;RIGHT(A2202,3)</f>
        <v>#VALUE!</v>
      </c>
      <c r="I2202" s="66">
        <f t="shared" si="34"/>
        <v>0</v>
      </c>
    </row>
    <row r="2203" spans="8:9">
      <c r="H2203" s="66" t="e">
        <f>IF(OR(LEFT(B2203,FIND("_",B2203,1)-1)="ULGALLOC",LEFT(B2203,FIND("_",B2203,1)-1)="ULSPOOL"),LEFT(B2203,FIND("_",B2203,1)-1),VLOOKUP(LEFT(A2203,6),'Code Library'!$D$3:$E$200,2,0))&amp;"_"&amp;RIGHT(A2203,3)</f>
        <v>#VALUE!</v>
      </c>
      <c r="I2203" s="66">
        <f t="shared" si="34"/>
        <v>0</v>
      </c>
    </row>
    <row r="2204" spans="8:9">
      <c r="H2204" s="66" t="e">
        <f>IF(OR(LEFT(B2204,FIND("_",B2204,1)-1)="ULGALLOC",LEFT(B2204,FIND("_",B2204,1)-1)="ULSPOOL"),LEFT(B2204,FIND("_",B2204,1)-1),VLOOKUP(LEFT(A2204,6),'Code Library'!$D$3:$E$200,2,0))&amp;"_"&amp;RIGHT(A2204,3)</f>
        <v>#VALUE!</v>
      </c>
      <c r="I2204" s="66">
        <f t="shared" si="34"/>
        <v>0</v>
      </c>
    </row>
    <row r="2205" spans="8:9">
      <c r="H2205" s="66" t="e">
        <f>IF(OR(LEFT(B2205,FIND("_",B2205,1)-1)="ULGALLOC",LEFT(B2205,FIND("_",B2205,1)-1)="ULSPOOL"),LEFT(B2205,FIND("_",B2205,1)-1),VLOOKUP(LEFT(A2205,6),'Code Library'!$D$3:$E$200,2,0))&amp;"_"&amp;RIGHT(A2205,3)</f>
        <v>#VALUE!</v>
      </c>
      <c r="I2205" s="66">
        <f t="shared" si="34"/>
        <v>0</v>
      </c>
    </row>
    <row r="2206" spans="8:9">
      <c r="H2206" s="66" t="e">
        <f>IF(OR(LEFT(B2206,FIND("_",B2206,1)-1)="ULGALLOC",LEFT(B2206,FIND("_",B2206,1)-1)="ULSPOOL"),LEFT(B2206,FIND("_",B2206,1)-1),VLOOKUP(LEFT(A2206,6),'Code Library'!$D$3:$E$200,2,0))&amp;"_"&amp;RIGHT(A2206,3)</f>
        <v>#VALUE!</v>
      </c>
      <c r="I2206" s="66">
        <f t="shared" si="34"/>
        <v>0</v>
      </c>
    </row>
    <row r="2207" spans="8:9">
      <c r="H2207" s="66" t="e">
        <f>IF(OR(LEFT(B2207,FIND("_",B2207,1)-1)="ULGALLOC",LEFT(B2207,FIND("_",B2207,1)-1)="ULSPOOL"),LEFT(B2207,FIND("_",B2207,1)-1),VLOOKUP(LEFT(A2207,6),'Code Library'!$D$3:$E$200,2,0))&amp;"_"&amp;RIGHT(A2207,3)</f>
        <v>#VALUE!</v>
      </c>
      <c r="I2207" s="66">
        <f t="shared" si="34"/>
        <v>0</v>
      </c>
    </row>
    <row r="2208" spans="8:9">
      <c r="H2208" s="66" t="e">
        <f>IF(OR(LEFT(B2208,FIND("_",B2208,1)-1)="ULGALLOC",LEFT(B2208,FIND("_",B2208,1)-1)="ULSPOOL"),LEFT(B2208,FIND("_",B2208,1)-1),VLOOKUP(LEFT(A2208,6),'Code Library'!$D$3:$E$200,2,0))&amp;"_"&amp;RIGHT(A2208,3)</f>
        <v>#VALUE!</v>
      </c>
      <c r="I2208" s="66">
        <f t="shared" si="34"/>
        <v>0</v>
      </c>
    </row>
    <row r="2209" spans="8:9">
      <c r="H2209" s="66" t="e">
        <f>IF(OR(LEFT(B2209,FIND("_",B2209,1)-1)="ULGALLOC",LEFT(B2209,FIND("_",B2209,1)-1)="ULSPOOL"),LEFT(B2209,FIND("_",B2209,1)-1),VLOOKUP(LEFT(A2209,6),'Code Library'!$D$3:$E$200,2,0))&amp;"_"&amp;RIGHT(A2209,3)</f>
        <v>#VALUE!</v>
      </c>
      <c r="I2209" s="66">
        <f t="shared" si="34"/>
        <v>0</v>
      </c>
    </row>
    <row r="2210" spans="8:9">
      <c r="H2210" s="66" t="e">
        <f>IF(OR(LEFT(B2210,FIND("_",B2210,1)-1)="ULGALLOC",LEFT(B2210,FIND("_",B2210,1)-1)="ULSPOOL"),LEFT(B2210,FIND("_",B2210,1)-1),VLOOKUP(LEFT(A2210,6),'Code Library'!$D$3:$E$200,2,0))&amp;"_"&amp;RIGHT(A2210,3)</f>
        <v>#VALUE!</v>
      </c>
      <c r="I2210" s="66">
        <f t="shared" si="34"/>
        <v>0</v>
      </c>
    </row>
    <row r="2211" spans="8:9">
      <c r="H2211" s="66" t="e">
        <f>IF(OR(LEFT(B2211,FIND("_",B2211,1)-1)="ULGALLOC",LEFT(B2211,FIND("_",B2211,1)-1)="ULSPOOL"),LEFT(B2211,FIND("_",B2211,1)-1),VLOOKUP(LEFT(A2211,6),'Code Library'!$D$3:$E$200,2,0))&amp;"_"&amp;RIGHT(A2211,3)</f>
        <v>#VALUE!</v>
      </c>
      <c r="I2211" s="66">
        <f t="shared" si="34"/>
        <v>0</v>
      </c>
    </row>
    <row r="2212" spans="8:9">
      <c r="H2212" s="66" t="e">
        <f>IF(OR(LEFT(B2212,FIND("_",B2212,1)-1)="ULGALLOC",LEFT(B2212,FIND("_",B2212,1)-1)="ULSPOOL"),LEFT(B2212,FIND("_",B2212,1)-1),VLOOKUP(LEFT(A2212,6),'Code Library'!$D$3:$E$200,2,0))&amp;"_"&amp;RIGHT(A2212,3)</f>
        <v>#VALUE!</v>
      </c>
      <c r="I2212" s="66">
        <f t="shared" si="34"/>
        <v>0</v>
      </c>
    </row>
    <row r="2213" spans="8:9">
      <c r="H2213" s="66" t="e">
        <f>IF(OR(LEFT(B2213,FIND("_",B2213,1)-1)="ULGALLOC",LEFT(B2213,FIND("_",B2213,1)-1)="ULSPOOL"),LEFT(B2213,FIND("_",B2213,1)-1),VLOOKUP(LEFT(A2213,6),'Code Library'!$D$3:$E$200,2,0))&amp;"_"&amp;RIGHT(A2213,3)</f>
        <v>#VALUE!</v>
      </c>
      <c r="I2213" s="66">
        <f t="shared" si="34"/>
        <v>0</v>
      </c>
    </row>
    <row r="2214" spans="8:9">
      <c r="H2214" s="66" t="e">
        <f>IF(OR(LEFT(B2214,FIND("_",B2214,1)-1)="ULGALLOC",LEFT(B2214,FIND("_",B2214,1)-1)="ULSPOOL"),LEFT(B2214,FIND("_",B2214,1)-1),VLOOKUP(LEFT(A2214,6),'Code Library'!$D$3:$E$200,2,0))&amp;"_"&amp;RIGHT(A2214,3)</f>
        <v>#VALUE!</v>
      </c>
      <c r="I2214" s="66">
        <f t="shared" si="34"/>
        <v>0</v>
      </c>
    </row>
    <row r="2215" spans="8:9">
      <c r="H2215" s="66" t="e">
        <f>IF(OR(LEFT(B2215,FIND("_",B2215,1)-1)="ULGALLOC",LEFT(B2215,FIND("_",B2215,1)-1)="ULSPOOL"),LEFT(B2215,FIND("_",B2215,1)-1),VLOOKUP(LEFT(A2215,6),'Code Library'!$D$3:$E$200,2,0))&amp;"_"&amp;RIGHT(A2215,3)</f>
        <v>#VALUE!</v>
      </c>
      <c r="I2215" s="66">
        <f t="shared" si="34"/>
        <v>0</v>
      </c>
    </row>
    <row r="2216" spans="8:9">
      <c r="H2216" s="66" t="e">
        <f>IF(OR(LEFT(B2216,FIND("_",B2216,1)-1)="ULGALLOC",LEFT(B2216,FIND("_",B2216,1)-1)="ULSPOOL"),LEFT(B2216,FIND("_",B2216,1)-1),VLOOKUP(LEFT(A2216,6),'Code Library'!$D$3:$E$200,2,0))&amp;"_"&amp;RIGHT(A2216,3)</f>
        <v>#VALUE!</v>
      </c>
      <c r="I2216" s="66">
        <f t="shared" si="34"/>
        <v>0</v>
      </c>
    </row>
    <row r="2217" spans="8:9">
      <c r="H2217" s="66" t="e">
        <f>IF(OR(LEFT(B2217,FIND("_",B2217,1)-1)="ULGALLOC",LEFT(B2217,FIND("_",B2217,1)-1)="ULSPOOL"),LEFT(B2217,FIND("_",B2217,1)-1),VLOOKUP(LEFT(A2217,6),'Code Library'!$D$3:$E$200,2,0))&amp;"_"&amp;RIGHT(A2217,3)</f>
        <v>#VALUE!</v>
      </c>
      <c r="I2217" s="66">
        <f t="shared" si="34"/>
        <v>0</v>
      </c>
    </row>
    <row r="2218" spans="8:9">
      <c r="H2218" s="66" t="e">
        <f>IF(OR(LEFT(B2218,FIND("_",B2218,1)-1)="ULGALLOC",LEFT(B2218,FIND("_",B2218,1)-1)="ULSPOOL"),LEFT(B2218,FIND("_",B2218,1)-1),VLOOKUP(LEFT(A2218,6),'Code Library'!$D$3:$E$200,2,0))&amp;"_"&amp;RIGHT(A2218,3)</f>
        <v>#VALUE!</v>
      </c>
      <c r="I2218" s="66">
        <f t="shared" si="34"/>
        <v>0</v>
      </c>
    </row>
    <row r="2219" spans="8:9">
      <c r="H2219" s="66" t="e">
        <f>IF(OR(LEFT(B2219,FIND("_",B2219,1)-1)="ULGALLOC",LEFT(B2219,FIND("_",B2219,1)-1)="ULSPOOL"),LEFT(B2219,FIND("_",B2219,1)-1),VLOOKUP(LEFT(A2219,6),'Code Library'!$D$3:$E$200,2,0))&amp;"_"&amp;RIGHT(A2219,3)</f>
        <v>#VALUE!</v>
      </c>
      <c r="I2219" s="66">
        <f t="shared" si="34"/>
        <v>0</v>
      </c>
    </row>
    <row r="2220" spans="8:9">
      <c r="H2220" s="66" t="e">
        <f>IF(OR(LEFT(B2220,FIND("_",B2220,1)-1)="ULGALLOC",LEFT(B2220,FIND("_",B2220,1)-1)="ULSPOOL"),LEFT(B2220,FIND("_",B2220,1)-1),VLOOKUP(LEFT(A2220,6),'Code Library'!$D$3:$E$200,2,0))&amp;"_"&amp;RIGHT(A2220,3)</f>
        <v>#VALUE!</v>
      </c>
      <c r="I2220" s="66">
        <f t="shared" si="34"/>
        <v>0</v>
      </c>
    </row>
    <row r="2221" spans="8:9">
      <c r="H2221" s="66" t="e">
        <f>IF(OR(LEFT(B2221,FIND("_",B2221,1)-1)="ULGALLOC",LEFT(B2221,FIND("_",B2221,1)-1)="ULSPOOL"),LEFT(B2221,FIND("_",B2221,1)-1),VLOOKUP(LEFT(A2221,6),'Code Library'!$D$3:$E$200,2,0))&amp;"_"&amp;RIGHT(A2221,3)</f>
        <v>#VALUE!</v>
      </c>
      <c r="I2221" s="66">
        <f t="shared" si="34"/>
        <v>0</v>
      </c>
    </row>
    <row r="2222" spans="8:9">
      <c r="H2222" s="66" t="e">
        <f>IF(OR(LEFT(B2222,FIND("_",B2222,1)-1)="ULGALLOC",LEFT(B2222,FIND("_",B2222,1)-1)="ULSPOOL"),LEFT(B2222,FIND("_",B2222,1)-1),VLOOKUP(LEFT(A2222,6),'Code Library'!$D$3:$E$200,2,0))&amp;"_"&amp;RIGHT(A2222,3)</f>
        <v>#VALUE!</v>
      </c>
      <c r="I2222" s="66">
        <f t="shared" si="34"/>
        <v>0</v>
      </c>
    </row>
    <row r="2223" spans="8:9">
      <c r="H2223" s="66" t="e">
        <f>IF(OR(LEFT(B2223,FIND("_",B2223,1)-1)="ULGALLOC",LEFT(B2223,FIND("_",B2223,1)-1)="ULSPOOL"),LEFT(B2223,FIND("_",B2223,1)-1),VLOOKUP(LEFT(A2223,6),'Code Library'!$D$3:$E$200,2,0))&amp;"_"&amp;RIGHT(A2223,3)</f>
        <v>#VALUE!</v>
      </c>
      <c r="I2223" s="66">
        <f t="shared" si="34"/>
        <v>0</v>
      </c>
    </row>
    <row r="2224" spans="8:9">
      <c r="H2224" s="66" t="e">
        <f>IF(OR(LEFT(B2224,FIND("_",B2224,1)-1)="ULGALLOC",LEFT(B2224,FIND("_",B2224,1)-1)="ULSPOOL"),LEFT(B2224,FIND("_",B2224,1)-1),VLOOKUP(LEFT(A2224,6),'Code Library'!$D$3:$E$200,2,0))&amp;"_"&amp;RIGHT(A2224,3)</f>
        <v>#VALUE!</v>
      </c>
      <c r="I2224" s="66">
        <f t="shared" si="34"/>
        <v>0</v>
      </c>
    </row>
    <row r="2225" spans="8:9">
      <c r="H2225" s="66" t="e">
        <f>IF(OR(LEFT(B2225,FIND("_",B2225,1)-1)="ULGALLOC",LEFT(B2225,FIND("_",B2225,1)-1)="ULSPOOL"),LEFT(B2225,FIND("_",B2225,1)-1),VLOOKUP(LEFT(A2225,6),'Code Library'!$D$3:$E$200,2,0))&amp;"_"&amp;RIGHT(A2225,3)</f>
        <v>#VALUE!</v>
      </c>
      <c r="I2225" s="66">
        <f t="shared" si="34"/>
        <v>0</v>
      </c>
    </row>
    <row r="2226" spans="8:9">
      <c r="H2226" s="66" t="e">
        <f>IF(OR(LEFT(B2226,FIND("_",B2226,1)-1)="ULGALLOC",LEFT(B2226,FIND("_",B2226,1)-1)="ULSPOOL"),LEFT(B2226,FIND("_",B2226,1)-1),VLOOKUP(LEFT(A2226,6),'Code Library'!$D$3:$E$200,2,0))&amp;"_"&amp;RIGHT(A2226,3)</f>
        <v>#VALUE!</v>
      </c>
      <c r="I2226" s="66">
        <f t="shared" si="34"/>
        <v>0</v>
      </c>
    </row>
    <row r="2227" spans="8:9">
      <c r="H2227" s="66" t="e">
        <f>IF(OR(LEFT(B2227,FIND("_",B2227,1)-1)="ULGALLOC",LEFT(B2227,FIND("_",B2227,1)-1)="ULSPOOL"),LEFT(B2227,FIND("_",B2227,1)-1),VLOOKUP(LEFT(A2227,6),'Code Library'!$D$3:$E$200,2,0))&amp;"_"&amp;RIGHT(A2227,3)</f>
        <v>#VALUE!</v>
      </c>
      <c r="I2227" s="66">
        <f t="shared" si="34"/>
        <v>0</v>
      </c>
    </row>
    <row r="2228" spans="8:9">
      <c r="H2228" s="66" t="e">
        <f>IF(OR(LEFT(B2228,FIND("_",B2228,1)-1)="ULGALLOC",LEFT(B2228,FIND("_",B2228,1)-1)="ULSPOOL"),LEFT(B2228,FIND("_",B2228,1)-1),VLOOKUP(LEFT(A2228,6),'Code Library'!$D$3:$E$200,2,0))&amp;"_"&amp;RIGHT(A2228,3)</f>
        <v>#VALUE!</v>
      </c>
      <c r="I2228" s="66">
        <f t="shared" si="34"/>
        <v>0</v>
      </c>
    </row>
    <row r="2229" spans="8:9">
      <c r="H2229" s="66" t="e">
        <f>IF(OR(LEFT(B2229,FIND("_",B2229,1)-1)="ULGALLOC",LEFT(B2229,FIND("_",B2229,1)-1)="ULSPOOL"),LEFT(B2229,FIND("_",B2229,1)-1),VLOOKUP(LEFT(A2229,6),'Code Library'!$D$3:$E$200,2,0))&amp;"_"&amp;RIGHT(A2229,3)</f>
        <v>#VALUE!</v>
      </c>
      <c r="I2229" s="66">
        <f t="shared" si="34"/>
        <v>0</v>
      </c>
    </row>
    <row r="2230" spans="8:9">
      <c r="H2230" s="66" t="e">
        <f>IF(OR(LEFT(B2230,FIND("_",B2230,1)-1)="ULGALLOC",LEFT(B2230,FIND("_",B2230,1)-1)="ULSPOOL"),LEFT(B2230,FIND("_",B2230,1)-1),VLOOKUP(LEFT(A2230,6),'Code Library'!$D$3:$E$200,2,0))&amp;"_"&amp;RIGHT(A2230,3)</f>
        <v>#VALUE!</v>
      </c>
      <c r="I2230" s="66">
        <f t="shared" si="34"/>
        <v>0</v>
      </c>
    </row>
    <row r="2231" spans="8:9">
      <c r="H2231" s="66" t="e">
        <f>IF(OR(LEFT(B2231,FIND("_",B2231,1)-1)="ULGALLOC",LEFT(B2231,FIND("_",B2231,1)-1)="ULSPOOL"),LEFT(B2231,FIND("_",B2231,1)-1),VLOOKUP(LEFT(A2231,6),'Code Library'!$D$3:$E$200,2,0))&amp;"_"&amp;RIGHT(A2231,3)</f>
        <v>#VALUE!</v>
      </c>
      <c r="I2231" s="66">
        <f t="shared" si="34"/>
        <v>0</v>
      </c>
    </row>
    <row r="2232" spans="8:9">
      <c r="H2232" s="66" t="e">
        <f>IF(OR(LEFT(B2232,FIND("_",B2232,1)-1)="ULGALLOC",LEFT(B2232,FIND("_",B2232,1)-1)="ULSPOOL"),LEFT(B2232,FIND("_",B2232,1)-1),VLOOKUP(LEFT(A2232,6),'Code Library'!$D$3:$E$200,2,0))&amp;"_"&amp;RIGHT(A2232,3)</f>
        <v>#VALUE!</v>
      </c>
      <c r="I2232" s="66">
        <f t="shared" si="34"/>
        <v>0</v>
      </c>
    </row>
    <row r="2233" spans="8:9">
      <c r="H2233" s="66" t="e">
        <f>IF(OR(LEFT(B2233,FIND("_",B2233,1)-1)="ULGALLOC",LEFT(B2233,FIND("_",B2233,1)-1)="ULSPOOL"),LEFT(B2233,FIND("_",B2233,1)-1),VLOOKUP(LEFT(A2233,6),'Code Library'!$D$3:$E$200,2,0))&amp;"_"&amp;RIGHT(A2233,3)</f>
        <v>#VALUE!</v>
      </c>
      <c r="I2233" s="66">
        <f t="shared" si="34"/>
        <v>0</v>
      </c>
    </row>
    <row r="2234" spans="8:9">
      <c r="H2234" s="66" t="e">
        <f>IF(OR(LEFT(B2234,FIND("_",B2234,1)-1)="ULGALLOC",LEFT(B2234,FIND("_",B2234,1)-1)="ULSPOOL"),LEFT(B2234,FIND("_",B2234,1)-1),VLOOKUP(LEFT(A2234,6),'Code Library'!$D$3:$E$200,2,0))&amp;"_"&amp;RIGHT(A2234,3)</f>
        <v>#VALUE!</v>
      </c>
      <c r="I2234" s="66">
        <f t="shared" si="34"/>
        <v>0</v>
      </c>
    </row>
    <row r="2235" spans="8:9">
      <c r="H2235" s="66" t="e">
        <f>IF(OR(LEFT(B2235,FIND("_",B2235,1)-1)="ULGALLOC",LEFT(B2235,FIND("_",B2235,1)-1)="ULSPOOL"),LEFT(B2235,FIND("_",B2235,1)-1),VLOOKUP(LEFT(A2235,6),'Code Library'!$D$3:$E$200,2,0))&amp;"_"&amp;RIGHT(A2235,3)</f>
        <v>#VALUE!</v>
      </c>
      <c r="I2235" s="66">
        <f t="shared" si="34"/>
        <v>0</v>
      </c>
    </row>
    <row r="2236" spans="8:9">
      <c r="H2236" s="66" t="e">
        <f>IF(OR(LEFT(B2236,FIND("_",B2236,1)-1)="ULGALLOC",LEFT(B2236,FIND("_",B2236,1)-1)="ULSPOOL"),LEFT(B2236,FIND("_",B2236,1)-1),VLOOKUP(LEFT(A2236,6),'Code Library'!$D$3:$E$200,2,0))&amp;"_"&amp;RIGHT(A2236,3)</f>
        <v>#VALUE!</v>
      </c>
      <c r="I2236" s="66">
        <f t="shared" si="34"/>
        <v>0</v>
      </c>
    </row>
    <row r="2237" spans="8:9">
      <c r="H2237" s="66" t="e">
        <f>IF(OR(LEFT(B2237,FIND("_",B2237,1)-1)="ULGALLOC",LEFT(B2237,FIND("_",B2237,1)-1)="ULSPOOL"),LEFT(B2237,FIND("_",B2237,1)-1),VLOOKUP(LEFT(A2237,6),'Code Library'!$D$3:$E$200,2,0))&amp;"_"&amp;RIGHT(A2237,3)</f>
        <v>#VALUE!</v>
      </c>
      <c r="I2237" s="66">
        <f t="shared" si="34"/>
        <v>0</v>
      </c>
    </row>
    <row r="2238" spans="8:9">
      <c r="H2238" s="66" t="e">
        <f>IF(OR(LEFT(B2238,FIND("_",B2238,1)-1)="ULGALLOC",LEFT(B2238,FIND("_",B2238,1)-1)="ULSPOOL"),LEFT(B2238,FIND("_",B2238,1)-1),VLOOKUP(LEFT(A2238,6),'Code Library'!$D$3:$E$200,2,0))&amp;"_"&amp;RIGHT(A2238,3)</f>
        <v>#VALUE!</v>
      </c>
      <c r="I2238" s="66">
        <f t="shared" si="34"/>
        <v>0</v>
      </c>
    </row>
    <row r="2239" spans="8:9">
      <c r="H2239" s="66" t="e">
        <f>IF(OR(LEFT(B2239,FIND("_",B2239,1)-1)="ULGALLOC",LEFT(B2239,FIND("_",B2239,1)-1)="ULSPOOL"),LEFT(B2239,FIND("_",B2239,1)-1),VLOOKUP(LEFT(A2239,6),'Code Library'!$D$3:$E$200,2,0))&amp;"_"&amp;RIGHT(A2239,3)</f>
        <v>#VALUE!</v>
      </c>
      <c r="I2239" s="66">
        <f t="shared" si="34"/>
        <v>0</v>
      </c>
    </row>
    <row r="2240" spans="8:9">
      <c r="H2240" s="66" t="e">
        <f>IF(OR(LEFT(B2240,FIND("_",B2240,1)-1)="ULGALLOC",LEFT(B2240,FIND("_",B2240,1)-1)="ULSPOOL"),LEFT(B2240,FIND("_",B2240,1)-1),VLOOKUP(LEFT(A2240,6),'Code Library'!$D$3:$E$200,2,0))&amp;"_"&amp;RIGHT(A2240,3)</f>
        <v>#VALUE!</v>
      </c>
      <c r="I2240" s="66">
        <f t="shared" si="34"/>
        <v>0</v>
      </c>
    </row>
    <row r="2241" spans="8:9">
      <c r="H2241" s="66" t="e">
        <f>IF(OR(LEFT(B2241,FIND("_",B2241,1)-1)="ULGALLOC",LEFT(B2241,FIND("_",B2241,1)-1)="ULSPOOL"),LEFT(B2241,FIND("_",B2241,1)-1),VLOOKUP(LEFT(A2241,6),'Code Library'!$D$3:$E$200,2,0))&amp;"_"&amp;RIGHT(A2241,3)</f>
        <v>#VALUE!</v>
      </c>
      <c r="I2241" s="66">
        <f t="shared" si="34"/>
        <v>0</v>
      </c>
    </row>
    <row r="2242" spans="8:9">
      <c r="H2242" s="66" t="e">
        <f>IF(OR(LEFT(B2242,FIND("_",B2242,1)-1)="ULGALLOC",LEFT(B2242,FIND("_",B2242,1)-1)="ULSPOOL"),LEFT(B2242,FIND("_",B2242,1)-1),VLOOKUP(LEFT(A2242,6),'Code Library'!$D$3:$E$200,2,0))&amp;"_"&amp;RIGHT(A2242,3)</f>
        <v>#VALUE!</v>
      </c>
      <c r="I2242" s="66">
        <f t="shared" si="34"/>
        <v>0</v>
      </c>
    </row>
    <row r="2243" spans="8:9">
      <c r="H2243" s="66" t="e">
        <f>IF(OR(LEFT(B2243,FIND("_",B2243,1)-1)="ULGALLOC",LEFT(B2243,FIND("_",B2243,1)-1)="ULSPOOL"),LEFT(B2243,FIND("_",B2243,1)-1),VLOOKUP(LEFT(A2243,6),'Code Library'!$D$3:$E$200,2,0))&amp;"_"&amp;RIGHT(A2243,3)</f>
        <v>#VALUE!</v>
      </c>
      <c r="I2243" s="66">
        <f t="shared" ref="I2243:I2306" si="35">A2243</f>
        <v>0</v>
      </c>
    </row>
    <row r="2244" spans="8:9">
      <c r="H2244" s="66" t="e">
        <f>IF(OR(LEFT(B2244,FIND("_",B2244,1)-1)="ULGALLOC",LEFT(B2244,FIND("_",B2244,1)-1)="ULSPOOL"),LEFT(B2244,FIND("_",B2244,1)-1),VLOOKUP(LEFT(A2244,6),'Code Library'!$D$3:$E$200,2,0))&amp;"_"&amp;RIGHT(A2244,3)</f>
        <v>#VALUE!</v>
      </c>
      <c r="I2244" s="66">
        <f t="shared" si="35"/>
        <v>0</v>
      </c>
    </row>
    <row r="2245" spans="8:9">
      <c r="H2245" s="66" t="e">
        <f>IF(OR(LEFT(B2245,FIND("_",B2245,1)-1)="ULGALLOC",LEFT(B2245,FIND("_",B2245,1)-1)="ULSPOOL"),LEFT(B2245,FIND("_",B2245,1)-1),VLOOKUP(LEFT(A2245,6),'Code Library'!$D$3:$E$200,2,0))&amp;"_"&amp;RIGHT(A2245,3)</f>
        <v>#VALUE!</v>
      </c>
      <c r="I2245" s="66">
        <f t="shared" si="35"/>
        <v>0</v>
      </c>
    </row>
    <row r="2246" spans="8:9">
      <c r="H2246" s="66" t="e">
        <f>IF(OR(LEFT(B2246,FIND("_",B2246,1)-1)="ULGALLOC",LEFT(B2246,FIND("_",B2246,1)-1)="ULSPOOL"),LEFT(B2246,FIND("_",B2246,1)-1),VLOOKUP(LEFT(A2246,6),'Code Library'!$D$3:$E$200,2,0))&amp;"_"&amp;RIGHT(A2246,3)</f>
        <v>#VALUE!</v>
      </c>
      <c r="I2246" s="66">
        <f t="shared" si="35"/>
        <v>0</v>
      </c>
    </row>
    <row r="2247" spans="8:9">
      <c r="H2247" s="66" t="e">
        <f>IF(OR(LEFT(B2247,FIND("_",B2247,1)-1)="ULGALLOC",LEFT(B2247,FIND("_",B2247,1)-1)="ULSPOOL"),LEFT(B2247,FIND("_",B2247,1)-1),VLOOKUP(LEFT(A2247,6),'Code Library'!$D$3:$E$200,2,0))&amp;"_"&amp;RIGHT(A2247,3)</f>
        <v>#VALUE!</v>
      </c>
      <c r="I2247" s="66">
        <f t="shared" si="35"/>
        <v>0</v>
      </c>
    </row>
    <row r="2248" spans="8:9">
      <c r="H2248" s="66" t="e">
        <f>IF(OR(LEFT(B2248,FIND("_",B2248,1)-1)="ULGALLOC",LEFT(B2248,FIND("_",B2248,1)-1)="ULSPOOL"),LEFT(B2248,FIND("_",B2248,1)-1),VLOOKUP(LEFT(A2248,6),'Code Library'!$D$3:$E$200,2,0))&amp;"_"&amp;RIGHT(A2248,3)</f>
        <v>#VALUE!</v>
      </c>
      <c r="I2248" s="66">
        <f t="shared" si="35"/>
        <v>0</v>
      </c>
    </row>
    <row r="2249" spans="8:9">
      <c r="H2249" s="66" t="e">
        <f>IF(OR(LEFT(B2249,FIND("_",B2249,1)-1)="ULGALLOC",LEFT(B2249,FIND("_",B2249,1)-1)="ULSPOOL"),LEFT(B2249,FIND("_",B2249,1)-1),VLOOKUP(LEFT(A2249,6),'Code Library'!$D$3:$E$200,2,0))&amp;"_"&amp;RIGHT(A2249,3)</f>
        <v>#VALUE!</v>
      </c>
      <c r="I2249" s="66">
        <f t="shared" si="35"/>
        <v>0</v>
      </c>
    </row>
    <row r="2250" spans="8:9">
      <c r="H2250" s="66" t="e">
        <f>IF(OR(LEFT(B2250,FIND("_",B2250,1)-1)="ULGALLOC",LEFT(B2250,FIND("_",B2250,1)-1)="ULSPOOL"),LEFT(B2250,FIND("_",B2250,1)-1),VLOOKUP(LEFT(A2250,6),'Code Library'!$D$3:$E$200,2,0))&amp;"_"&amp;RIGHT(A2250,3)</f>
        <v>#VALUE!</v>
      </c>
      <c r="I2250" s="66">
        <f t="shared" si="35"/>
        <v>0</v>
      </c>
    </row>
    <row r="2251" spans="8:9">
      <c r="H2251" s="66" t="e">
        <f>IF(OR(LEFT(B2251,FIND("_",B2251,1)-1)="ULGALLOC",LEFT(B2251,FIND("_",B2251,1)-1)="ULSPOOL"),LEFT(B2251,FIND("_",B2251,1)-1),VLOOKUP(LEFT(A2251,6),'Code Library'!$D$3:$E$200,2,0))&amp;"_"&amp;RIGHT(A2251,3)</f>
        <v>#VALUE!</v>
      </c>
      <c r="I2251" s="66">
        <f t="shared" si="35"/>
        <v>0</v>
      </c>
    </row>
    <row r="2252" spans="8:9">
      <c r="H2252" s="66" t="e">
        <f>IF(OR(LEFT(B2252,FIND("_",B2252,1)-1)="ULGALLOC",LEFT(B2252,FIND("_",B2252,1)-1)="ULSPOOL"),LEFT(B2252,FIND("_",B2252,1)-1),VLOOKUP(LEFT(A2252,6),'Code Library'!$D$3:$E$200,2,0))&amp;"_"&amp;RIGHT(A2252,3)</f>
        <v>#VALUE!</v>
      </c>
      <c r="I2252" s="66">
        <f t="shared" si="35"/>
        <v>0</v>
      </c>
    </row>
    <row r="2253" spans="8:9">
      <c r="H2253" s="66" t="e">
        <f>IF(OR(LEFT(B2253,FIND("_",B2253,1)-1)="ULGALLOC",LEFT(B2253,FIND("_",B2253,1)-1)="ULSPOOL"),LEFT(B2253,FIND("_",B2253,1)-1),VLOOKUP(LEFT(A2253,6),'Code Library'!$D$3:$E$200,2,0))&amp;"_"&amp;RIGHT(A2253,3)</f>
        <v>#VALUE!</v>
      </c>
      <c r="I2253" s="66">
        <f t="shared" si="35"/>
        <v>0</v>
      </c>
    </row>
    <row r="2254" spans="8:9">
      <c r="H2254" s="66" t="e">
        <f>IF(OR(LEFT(B2254,FIND("_",B2254,1)-1)="ULGALLOC",LEFT(B2254,FIND("_",B2254,1)-1)="ULSPOOL"),LEFT(B2254,FIND("_",B2254,1)-1),VLOOKUP(LEFT(A2254,6),'Code Library'!$D$3:$E$200,2,0))&amp;"_"&amp;RIGHT(A2254,3)</f>
        <v>#VALUE!</v>
      </c>
      <c r="I2254" s="66">
        <f t="shared" si="35"/>
        <v>0</v>
      </c>
    </row>
    <row r="2255" spans="8:9">
      <c r="H2255" s="66" t="e">
        <f>IF(OR(LEFT(B2255,FIND("_",B2255,1)-1)="ULGALLOC",LEFT(B2255,FIND("_",B2255,1)-1)="ULSPOOL"),LEFT(B2255,FIND("_",B2255,1)-1),VLOOKUP(LEFT(A2255,6),'Code Library'!$D$3:$E$200,2,0))&amp;"_"&amp;RIGHT(A2255,3)</f>
        <v>#VALUE!</v>
      </c>
      <c r="I2255" s="66">
        <f t="shared" si="35"/>
        <v>0</v>
      </c>
    </row>
    <row r="2256" spans="8:9">
      <c r="H2256" s="66" t="e">
        <f>IF(OR(LEFT(B2256,FIND("_",B2256,1)-1)="ULGALLOC",LEFT(B2256,FIND("_",B2256,1)-1)="ULSPOOL"),LEFT(B2256,FIND("_",B2256,1)-1),VLOOKUP(LEFT(A2256,6),'Code Library'!$D$3:$E$200,2,0))&amp;"_"&amp;RIGHT(A2256,3)</f>
        <v>#VALUE!</v>
      </c>
      <c r="I2256" s="66">
        <f t="shared" si="35"/>
        <v>0</v>
      </c>
    </row>
    <row r="2257" spans="8:9">
      <c r="H2257" s="66" t="e">
        <f>IF(OR(LEFT(B2257,FIND("_",B2257,1)-1)="ULGALLOC",LEFT(B2257,FIND("_",B2257,1)-1)="ULSPOOL"),LEFT(B2257,FIND("_",B2257,1)-1),VLOOKUP(LEFT(A2257,6),'Code Library'!$D$3:$E$200,2,0))&amp;"_"&amp;RIGHT(A2257,3)</f>
        <v>#VALUE!</v>
      </c>
      <c r="I2257" s="66">
        <f t="shared" si="35"/>
        <v>0</v>
      </c>
    </row>
    <row r="2258" spans="8:9">
      <c r="H2258" s="66" t="e">
        <f>IF(OR(LEFT(B2258,FIND("_",B2258,1)-1)="ULGALLOC",LEFT(B2258,FIND("_",B2258,1)-1)="ULSPOOL"),LEFT(B2258,FIND("_",B2258,1)-1),VLOOKUP(LEFT(A2258,6),'Code Library'!$D$3:$E$200,2,0))&amp;"_"&amp;RIGHT(A2258,3)</f>
        <v>#VALUE!</v>
      </c>
      <c r="I2258" s="66">
        <f t="shared" si="35"/>
        <v>0</v>
      </c>
    </row>
    <row r="2259" spans="8:9">
      <c r="H2259" s="66" t="e">
        <f>IF(OR(LEFT(B2259,FIND("_",B2259,1)-1)="ULGALLOC",LEFT(B2259,FIND("_",B2259,1)-1)="ULSPOOL"),LEFT(B2259,FIND("_",B2259,1)-1),VLOOKUP(LEFT(A2259,6),'Code Library'!$D$3:$E$200,2,0))&amp;"_"&amp;RIGHT(A2259,3)</f>
        <v>#VALUE!</v>
      </c>
      <c r="I2259" s="66">
        <f t="shared" si="35"/>
        <v>0</v>
      </c>
    </row>
    <row r="2260" spans="8:9">
      <c r="H2260" s="66" t="e">
        <f>IF(OR(LEFT(B2260,FIND("_",B2260,1)-1)="ULGALLOC",LEFT(B2260,FIND("_",B2260,1)-1)="ULSPOOL"),LEFT(B2260,FIND("_",B2260,1)-1),VLOOKUP(LEFT(A2260,6),'Code Library'!$D$3:$E$200,2,0))&amp;"_"&amp;RIGHT(A2260,3)</f>
        <v>#VALUE!</v>
      </c>
      <c r="I2260" s="66">
        <f t="shared" si="35"/>
        <v>0</v>
      </c>
    </row>
    <row r="2261" spans="8:9">
      <c r="H2261" s="66" t="e">
        <f>IF(OR(LEFT(B2261,FIND("_",B2261,1)-1)="ULGALLOC",LEFT(B2261,FIND("_",B2261,1)-1)="ULSPOOL"),LEFT(B2261,FIND("_",B2261,1)-1),VLOOKUP(LEFT(A2261,6),'Code Library'!$D$3:$E$200,2,0))&amp;"_"&amp;RIGHT(A2261,3)</f>
        <v>#VALUE!</v>
      </c>
      <c r="I2261" s="66">
        <f t="shared" si="35"/>
        <v>0</v>
      </c>
    </row>
    <row r="2262" spans="8:9">
      <c r="H2262" s="66" t="e">
        <f>IF(OR(LEFT(B2262,FIND("_",B2262,1)-1)="ULGALLOC",LEFT(B2262,FIND("_",B2262,1)-1)="ULSPOOL"),LEFT(B2262,FIND("_",B2262,1)-1),VLOOKUP(LEFT(A2262,6),'Code Library'!$D$3:$E$200,2,0))&amp;"_"&amp;RIGHT(A2262,3)</f>
        <v>#VALUE!</v>
      </c>
      <c r="I2262" s="66">
        <f t="shared" si="35"/>
        <v>0</v>
      </c>
    </row>
    <row r="2263" spans="8:9">
      <c r="H2263" s="66" t="e">
        <f>IF(OR(LEFT(B2263,FIND("_",B2263,1)-1)="ULGALLOC",LEFT(B2263,FIND("_",B2263,1)-1)="ULSPOOL"),LEFT(B2263,FIND("_",B2263,1)-1),VLOOKUP(LEFT(A2263,6),'Code Library'!$D$3:$E$200,2,0))&amp;"_"&amp;RIGHT(A2263,3)</f>
        <v>#VALUE!</v>
      </c>
      <c r="I2263" s="66">
        <f t="shared" si="35"/>
        <v>0</v>
      </c>
    </row>
    <row r="2264" spans="8:9">
      <c r="H2264" s="66" t="e">
        <f>IF(OR(LEFT(B2264,FIND("_",B2264,1)-1)="ULGALLOC",LEFT(B2264,FIND("_",B2264,1)-1)="ULSPOOL"),LEFT(B2264,FIND("_",B2264,1)-1),VLOOKUP(LEFT(A2264,6),'Code Library'!$D$3:$E$200,2,0))&amp;"_"&amp;RIGHT(A2264,3)</f>
        <v>#VALUE!</v>
      </c>
      <c r="I2264" s="66">
        <f t="shared" si="35"/>
        <v>0</v>
      </c>
    </row>
    <row r="2265" spans="8:9">
      <c r="H2265" s="66" t="e">
        <f>IF(OR(LEFT(B2265,FIND("_",B2265,1)-1)="ULGALLOC",LEFT(B2265,FIND("_",B2265,1)-1)="ULSPOOL"),LEFT(B2265,FIND("_",B2265,1)-1),VLOOKUP(LEFT(A2265,6),'Code Library'!$D$3:$E$200,2,0))&amp;"_"&amp;RIGHT(A2265,3)</f>
        <v>#VALUE!</v>
      </c>
      <c r="I2265" s="66">
        <f t="shared" si="35"/>
        <v>0</v>
      </c>
    </row>
    <row r="2266" spans="8:9">
      <c r="H2266" s="66" t="e">
        <f>IF(OR(LEFT(B2266,FIND("_",B2266,1)-1)="ULGALLOC",LEFT(B2266,FIND("_",B2266,1)-1)="ULSPOOL"),LEFT(B2266,FIND("_",B2266,1)-1),VLOOKUP(LEFT(A2266,6),'Code Library'!$D$3:$E$200,2,0))&amp;"_"&amp;RIGHT(A2266,3)</f>
        <v>#VALUE!</v>
      </c>
      <c r="I2266" s="66">
        <f t="shared" si="35"/>
        <v>0</v>
      </c>
    </row>
    <row r="2267" spans="8:9">
      <c r="H2267" s="66" t="e">
        <f>IF(OR(LEFT(B2267,FIND("_",B2267,1)-1)="ULGALLOC",LEFT(B2267,FIND("_",B2267,1)-1)="ULSPOOL"),LEFT(B2267,FIND("_",B2267,1)-1),VLOOKUP(LEFT(A2267,6),'Code Library'!$D$3:$E$200,2,0))&amp;"_"&amp;RIGHT(A2267,3)</f>
        <v>#VALUE!</v>
      </c>
      <c r="I2267" s="66">
        <f t="shared" si="35"/>
        <v>0</v>
      </c>
    </row>
    <row r="2268" spans="8:9">
      <c r="H2268" s="66" t="e">
        <f>IF(OR(LEFT(B2268,FIND("_",B2268,1)-1)="ULGALLOC",LEFT(B2268,FIND("_",B2268,1)-1)="ULSPOOL"),LEFT(B2268,FIND("_",B2268,1)-1),VLOOKUP(LEFT(A2268,6),'Code Library'!$D$3:$E$200,2,0))&amp;"_"&amp;RIGHT(A2268,3)</f>
        <v>#VALUE!</v>
      </c>
      <c r="I2268" s="66">
        <f t="shared" si="35"/>
        <v>0</v>
      </c>
    </row>
    <row r="2269" spans="8:9">
      <c r="H2269" s="66" t="e">
        <f>IF(OR(LEFT(B2269,FIND("_",B2269,1)-1)="ULGALLOC",LEFT(B2269,FIND("_",B2269,1)-1)="ULSPOOL"),LEFT(B2269,FIND("_",B2269,1)-1),VLOOKUP(LEFT(A2269,6),'Code Library'!$D$3:$E$200,2,0))&amp;"_"&amp;RIGHT(A2269,3)</f>
        <v>#VALUE!</v>
      </c>
      <c r="I2269" s="66">
        <f t="shared" si="35"/>
        <v>0</v>
      </c>
    </row>
    <row r="2270" spans="8:9">
      <c r="H2270" s="66" t="e">
        <f>IF(OR(LEFT(B2270,FIND("_",B2270,1)-1)="ULGALLOC",LEFT(B2270,FIND("_",B2270,1)-1)="ULSPOOL"),LEFT(B2270,FIND("_",B2270,1)-1),VLOOKUP(LEFT(A2270,6),'Code Library'!$D$3:$E$200,2,0))&amp;"_"&amp;RIGHT(A2270,3)</f>
        <v>#VALUE!</v>
      </c>
      <c r="I2270" s="66">
        <f t="shared" si="35"/>
        <v>0</v>
      </c>
    </row>
    <row r="2271" spans="8:9">
      <c r="H2271" s="66" t="e">
        <f>IF(OR(LEFT(B2271,FIND("_",B2271,1)-1)="ULGALLOC",LEFT(B2271,FIND("_",B2271,1)-1)="ULSPOOL"),LEFT(B2271,FIND("_",B2271,1)-1),VLOOKUP(LEFT(A2271,6),'Code Library'!$D$3:$E$200,2,0))&amp;"_"&amp;RIGHT(A2271,3)</f>
        <v>#VALUE!</v>
      </c>
      <c r="I2271" s="66">
        <f t="shared" si="35"/>
        <v>0</v>
      </c>
    </row>
    <row r="2272" spans="8:9">
      <c r="H2272" s="66" t="e">
        <f>IF(OR(LEFT(B2272,FIND("_",B2272,1)-1)="ULGALLOC",LEFT(B2272,FIND("_",B2272,1)-1)="ULSPOOL"),LEFT(B2272,FIND("_",B2272,1)-1),VLOOKUP(LEFT(A2272,6),'Code Library'!$D$3:$E$200,2,0))&amp;"_"&amp;RIGHT(A2272,3)</f>
        <v>#VALUE!</v>
      </c>
      <c r="I2272" s="66">
        <f t="shared" si="35"/>
        <v>0</v>
      </c>
    </row>
    <row r="2273" spans="8:9">
      <c r="H2273" s="66" t="e">
        <f>IF(OR(LEFT(B2273,FIND("_",B2273,1)-1)="ULGALLOC",LEFT(B2273,FIND("_",B2273,1)-1)="ULSPOOL"),LEFT(B2273,FIND("_",B2273,1)-1),VLOOKUP(LEFT(A2273,6),'Code Library'!$D$3:$E$200,2,0))&amp;"_"&amp;RIGHT(A2273,3)</f>
        <v>#VALUE!</v>
      </c>
      <c r="I2273" s="66">
        <f t="shared" si="35"/>
        <v>0</v>
      </c>
    </row>
    <row r="2274" spans="8:9">
      <c r="H2274" s="66" t="e">
        <f>IF(OR(LEFT(B2274,FIND("_",B2274,1)-1)="ULGALLOC",LEFT(B2274,FIND("_",B2274,1)-1)="ULSPOOL"),LEFT(B2274,FIND("_",B2274,1)-1),VLOOKUP(LEFT(A2274,6),'Code Library'!$D$3:$E$200,2,0))&amp;"_"&amp;RIGHT(A2274,3)</f>
        <v>#VALUE!</v>
      </c>
      <c r="I2274" s="66">
        <f t="shared" si="35"/>
        <v>0</v>
      </c>
    </row>
    <row r="2275" spans="8:9">
      <c r="H2275" s="66" t="e">
        <f>IF(OR(LEFT(B2275,FIND("_",B2275,1)-1)="ULGALLOC",LEFT(B2275,FIND("_",B2275,1)-1)="ULSPOOL"),LEFT(B2275,FIND("_",B2275,1)-1),VLOOKUP(LEFT(A2275,6),'Code Library'!$D$3:$E$200,2,0))&amp;"_"&amp;RIGHT(A2275,3)</f>
        <v>#VALUE!</v>
      </c>
      <c r="I2275" s="66">
        <f t="shared" si="35"/>
        <v>0</v>
      </c>
    </row>
    <row r="2276" spans="8:9">
      <c r="H2276" s="66" t="e">
        <f>IF(OR(LEFT(B2276,FIND("_",B2276,1)-1)="ULGALLOC",LEFT(B2276,FIND("_",B2276,1)-1)="ULSPOOL"),LEFT(B2276,FIND("_",B2276,1)-1),VLOOKUP(LEFT(A2276,6),'Code Library'!$D$3:$E$200,2,0))&amp;"_"&amp;RIGHT(A2276,3)</f>
        <v>#VALUE!</v>
      </c>
      <c r="I2276" s="66">
        <f t="shared" si="35"/>
        <v>0</v>
      </c>
    </row>
    <row r="2277" spans="8:9">
      <c r="H2277" s="66" t="e">
        <f>IF(OR(LEFT(B2277,FIND("_",B2277,1)-1)="ULGALLOC",LEFT(B2277,FIND("_",B2277,1)-1)="ULSPOOL"),LEFT(B2277,FIND("_",B2277,1)-1),VLOOKUP(LEFT(A2277,6),'Code Library'!$D$3:$E$200,2,0))&amp;"_"&amp;RIGHT(A2277,3)</f>
        <v>#VALUE!</v>
      </c>
      <c r="I2277" s="66">
        <f t="shared" si="35"/>
        <v>0</v>
      </c>
    </row>
    <row r="2278" spans="8:9">
      <c r="H2278" s="66" t="e">
        <f>IF(OR(LEFT(B2278,FIND("_",B2278,1)-1)="ULGALLOC",LEFT(B2278,FIND("_",B2278,1)-1)="ULSPOOL"),LEFT(B2278,FIND("_",B2278,1)-1),VLOOKUP(LEFT(A2278,6),'Code Library'!$D$3:$E$200,2,0))&amp;"_"&amp;RIGHT(A2278,3)</f>
        <v>#VALUE!</v>
      </c>
      <c r="I2278" s="66">
        <f t="shared" si="35"/>
        <v>0</v>
      </c>
    </row>
    <row r="2279" spans="8:9">
      <c r="H2279" s="66" t="e">
        <f>IF(OR(LEFT(B2279,FIND("_",B2279,1)-1)="ULGALLOC",LEFT(B2279,FIND("_",B2279,1)-1)="ULSPOOL"),LEFT(B2279,FIND("_",B2279,1)-1),VLOOKUP(LEFT(A2279,6),'Code Library'!$D$3:$E$200,2,0))&amp;"_"&amp;RIGHT(A2279,3)</f>
        <v>#VALUE!</v>
      </c>
      <c r="I2279" s="66">
        <f t="shared" si="35"/>
        <v>0</v>
      </c>
    </row>
    <row r="2280" spans="8:9">
      <c r="H2280" s="66" t="e">
        <f>IF(OR(LEFT(B2280,FIND("_",B2280,1)-1)="ULGALLOC",LEFT(B2280,FIND("_",B2280,1)-1)="ULSPOOL"),LEFT(B2280,FIND("_",B2280,1)-1),VLOOKUP(LEFT(A2280,6),'Code Library'!$D$3:$E$200,2,0))&amp;"_"&amp;RIGHT(A2280,3)</f>
        <v>#VALUE!</v>
      </c>
      <c r="I2280" s="66">
        <f t="shared" si="35"/>
        <v>0</v>
      </c>
    </row>
    <row r="2281" spans="8:9">
      <c r="H2281" s="66" t="e">
        <f>IF(OR(LEFT(B2281,FIND("_",B2281,1)-1)="ULGALLOC",LEFT(B2281,FIND("_",B2281,1)-1)="ULSPOOL"),LEFT(B2281,FIND("_",B2281,1)-1),VLOOKUP(LEFT(A2281,6),'Code Library'!$D$3:$E$200,2,0))&amp;"_"&amp;RIGHT(A2281,3)</f>
        <v>#VALUE!</v>
      </c>
      <c r="I2281" s="66">
        <f t="shared" si="35"/>
        <v>0</v>
      </c>
    </row>
    <row r="2282" spans="8:9">
      <c r="H2282" s="66" t="e">
        <f>IF(OR(LEFT(B2282,FIND("_",B2282,1)-1)="ULGALLOC",LEFT(B2282,FIND("_",B2282,1)-1)="ULSPOOL"),LEFT(B2282,FIND("_",B2282,1)-1),VLOOKUP(LEFT(A2282,6),'Code Library'!$D$3:$E$200,2,0))&amp;"_"&amp;RIGHT(A2282,3)</f>
        <v>#VALUE!</v>
      </c>
      <c r="I2282" s="66">
        <f t="shared" si="35"/>
        <v>0</v>
      </c>
    </row>
    <row r="2283" spans="8:9">
      <c r="H2283" s="66" t="e">
        <f>IF(OR(LEFT(B2283,FIND("_",B2283,1)-1)="ULGALLOC",LEFT(B2283,FIND("_",B2283,1)-1)="ULSPOOL"),LEFT(B2283,FIND("_",B2283,1)-1),VLOOKUP(LEFT(A2283,6),'Code Library'!$D$3:$E$200,2,0))&amp;"_"&amp;RIGHT(A2283,3)</f>
        <v>#VALUE!</v>
      </c>
      <c r="I2283" s="66">
        <f t="shared" si="35"/>
        <v>0</v>
      </c>
    </row>
    <row r="2284" spans="8:9">
      <c r="H2284" s="66" t="e">
        <f>IF(OR(LEFT(B2284,FIND("_",B2284,1)-1)="ULGALLOC",LEFT(B2284,FIND("_",B2284,1)-1)="ULSPOOL"),LEFT(B2284,FIND("_",B2284,1)-1),VLOOKUP(LEFT(A2284,6),'Code Library'!$D$3:$E$200,2,0))&amp;"_"&amp;RIGHT(A2284,3)</f>
        <v>#VALUE!</v>
      </c>
      <c r="I2284" s="66">
        <f t="shared" si="35"/>
        <v>0</v>
      </c>
    </row>
    <row r="2285" spans="8:9">
      <c r="H2285" s="66" t="e">
        <f>IF(OR(LEFT(B2285,FIND("_",B2285,1)-1)="ULGALLOC",LEFT(B2285,FIND("_",B2285,1)-1)="ULSPOOL"),LEFT(B2285,FIND("_",B2285,1)-1),VLOOKUP(LEFT(A2285,6),'Code Library'!$D$3:$E$200,2,0))&amp;"_"&amp;RIGHT(A2285,3)</f>
        <v>#VALUE!</v>
      </c>
      <c r="I2285" s="66">
        <f t="shared" si="35"/>
        <v>0</v>
      </c>
    </row>
    <row r="2286" spans="8:9">
      <c r="H2286" s="66" t="e">
        <f>IF(OR(LEFT(B2286,FIND("_",B2286,1)-1)="ULGALLOC",LEFT(B2286,FIND("_",B2286,1)-1)="ULSPOOL"),LEFT(B2286,FIND("_",B2286,1)-1),VLOOKUP(LEFT(A2286,6),'Code Library'!$D$3:$E$200,2,0))&amp;"_"&amp;RIGHT(A2286,3)</f>
        <v>#VALUE!</v>
      </c>
      <c r="I2286" s="66">
        <f t="shared" si="35"/>
        <v>0</v>
      </c>
    </row>
    <row r="2287" spans="8:9">
      <c r="H2287" s="66" t="e">
        <f>IF(OR(LEFT(B2287,FIND("_",B2287,1)-1)="ULGALLOC",LEFT(B2287,FIND("_",B2287,1)-1)="ULSPOOL"),LEFT(B2287,FIND("_",B2287,1)-1),VLOOKUP(LEFT(A2287,6),'Code Library'!$D$3:$E$200,2,0))&amp;"_"&amp;RIGHT(A2287,3)</f>
        <v>#VALUE!</v>
      </c>
      <c r="I2287" s="66">
        <f t="shared" si="35"/>
        <v>0</v>
      </c>
    </row>
    <row r="2288" spans="8:9">
      <c r="H2288" s="66" t="e">
        <f>IF(OR(LEFT(B2288,FIND("_",B2288,1)-1)="ULGALLOC",LEFT(B2288,FIND("_",B2288,1)-1)="ULSPOOL"),LEFT(B2288,FIND("_",B2288,1)-1),VLOOKUP(LEFT(A2288,6),'Code Library'!$D$3:$E$200,2,0))&amp;"_"&amp;RIGHT(A2288,3)</f>
        <v>#VALUE!</v>
      </c>
      <c r="I2288" s="66">
        <f t="shared" si="35"/>
        <v>0</v>
      </c>
    </row>
    <row r="2289" spans="8:9">
      <c r="H2289" s="66" t="e">
        <f>IF(OR(LEFT(B2289,FIND("_",B2289,1)-1)="ULGALLOC",LEFT(B2289,FIND("_",B2289,1)-1)="ULSPOOL"),LEFT(B2289,FIND("_",B2289,1)-1),VLOOKUP(LEFT(A2289,6),'Code Library'!$D$3:$E$200,2,0))&amp;"_"&amp;RIGHT(A2289,3)</f>
        <v>#VALUE!</v>
      </c>
      <c r="I2289" s="66">
        <f t="shared" si="35"/>
        <v>0</v>
      </c>
    </row>
    <row r="2290" spans="8:9">
      <c r="H2290" s="66" t="e">
        <f>IF(OR(LEFT(B2290,FIND("_",B2290,1)-1)="ULGALLOC",LEFT(B2290,FIND("_",B2290,1)-1)="ULSPOOL"),LEFT(B2290,FIND("_",B2290,1)-1),VLOOKUP(LEFT(A2290,6),'Code Library'!$D$3:$E$200,2,0))&amp;"_"&amp;RIGHT(A2290,3)</f>
        <v>#VALUE!</v>
      </c>
      <c r="I2290" s="66">
        <f t="shared" si="35"/>
        <v>0</v>
      </c>
    </row>
    <row r="2291" spans="8:9">
      <c r="H2291" s="66" t="e">
        <f>IF(OR(LEFT(B2291,FIND("_",B2291,1)-1)="ULGALLOC",LEFT(B2291,FIND("_",B2291,1)-1)="ULSPOOL"),LEFT(B2291,FIND("_",B2291,1)-1),VLOOKUP(LEFT(A2291,6),'Code Library'!$D$3:$E$200,2,0))&amp;"_"&amp;RIGHT(A2291,3)</f>
        <v>#VALUE!</v>
      </c>
      <c r="I2291" s="66">
        <f t="shared" si="35"/>
        <v>0</v>
      </c>
    </row>
    <row r="2292" spans="8:9">
      <c r="H2292" s="66" t="e">
        <f>IF(OR(LEFT(B2292,FIND("_",B2292,1)-1)="ULGALLOC",LEFT(B2292,FIND("_",B2292,1)-1)="ULSPOOL"),LEFT(B2292,FIND("_",B2292,1)-1),VLOOKUP(LEFT(A2292,6),'Code Library'!$D$3:$E$200,2,0))&amp;"_"&amp;RIGHT(A2292,3)</f>
        <v>#VALUE!</v>
      </c>
      <c r="I2292" s="66">
        <f t="shared" si="35"/>
        <v>0</v>
      </c>
    </row>
    <row r="2293" spans="8:9">
      <c r="H2293" s="66" t="e">
        <f>IF(OR(LEFT(B2293,FIND("_",B2293,1)-1)="ULGALLOC",LEFT(B2293,FIND("_",B2293,1)-1)="ULSPOOL"),LEFT(B2293,FIND("_",B2293,1)-1),VLOOKUP(LEFT(A2293,6),'Code Library'!$D$3:$E$200,2,0))&amp;"_"&amp;RIGHT(A2293,3)</f>
        <v>#VALUE!</v>
      </c>
      <c r="I2293" s="66">
        <f t="shared" si="35"/>
        <v>0</v>
      </c>
    </row>
    <row r="2294" spans="8:9">
      <c r="H2294" s="66" t="e">
        <f>IF(OR(LEFT(B2294,FIND("_",B2294,1)-1)="ULGALLOC",LEFT(B2294,FIND("_",B2294,1)-1)="ULSPOOL"),LEFT(B2294,FIND("_",B2294,1)-1),VLOOKUP(LEFT(A2294,6),'Code Library'!$D$3:$E$200,2,0))&amp;"_"&amp;RIGHT(A2294,3)</f>
        <v>#VALUE!</v>
      </c>
      <c r="I2294" s="66">
        <f t="shared" si="35"/>
        <v>0</v>
      </c>
    </row>
    <row r="2295" spans="8:9">
      <c r="H2295" s="66" t="e">
        <f>IF(OR(LEFT(B2295,FIND("_",B2295,1)-1)="ULGALLOC",LEFT(B2295,FIND("_",B2295,1)-1)="ULSPOOL"),LEFT(B2295,FIND("_",B2295,1)-1),VLOOKUP(LEFT(A2295,6),'Code Library'!$D$3:$E$200,2,0))&amp;"_"&amp;RIGHT(A2295,3)</f>
        <v>#VALUE!</v>
      </c>
      <c r="I2295" s="66">
        <f t="shared" si="35"/>
        <v>0</v>
      </c>
    </row>
    <row r="2296" spans="8:9">
      <c r="H2296" s="66" t="e">
        <f>IF(OR(LEFT(B2296,FIND("_",B2296,1)-1)="ULGALLOC",LEFT(B2296,FIND("_",B2296,1)-1)="ULSPOOL"),LEFT(B2296,FIND("_",B2296,1)-1),VLOOKUP(LEFT(A2296,6),'Code Library'!$D$3:$E$200,2,0))&amp;"_"&amp;RIGHT(A2296,3)</f>
        <v>#VALUE!</v>
      </c>
      <c r="I2296" s="66">
        <f t="shared" si="35"/>
        <v>0</v>
      </c>
    </row>
    <row r="2297" spans="8:9">
      <c r="H2297" s="66" t="e">
        <f>IF(OR(LEFT(B2297,FIND("_",B2297,1)-1)="ULGALLOC",LEFT(B2297,FIND("_",B2297,1)-1)="ULSPOOL"),LEFT(B2297,FIND("_",B2297,1)-1),VLOOKUP(LEFT(A2297,6),'Code Library'!$D$3:$E$200,2,0))&amp;"_"&amp;RIGHT(A2297,3)</f>
        <v>#VALUE!</v>
      </c>
      <c r="I2297" s="66">
        <f t="shared" si="35"/>
        <v>0</v>
      </c>
    </row>
    <row r="2298" spans="8:9">
      <c r="H2298" s="66" t="e">
        <f>IF(OR(LEFT(B2298,FIND("_",B2298,1)-1)="ULGALLOC",LEFT(B2298,FIND("_",B2298,1)-1)="ULSPOOL"),LEFT(B2298,FIND("_",B2298,1)-1),VLOOKUP(LEFT(A2298,6),'Code Library'!$D$3:$E$200,2,0))&amp;"_"&amp;RIGHT(A2298,3)</f>
        <v>#VALUE!</v>
      </c>
      <c r="I2298" s="66">
        <f t="shared" si="35"/>
        <v>0</v>
      </c>
    </row>
    <row r="2299" spans="8:9">
      <c r="H2299" s="66" t="e">
        <f>IF(OR(LEFT(B2299,FIND("_",B2299,1)-1)="ULGALLOC",LEFT(B2299,FIND("_",B2299,1)-1)="ULSPOOL"),LEFT(B2299,FIND("_",B2299,1)-1),VLOOKUP(LEFT(A2299,6),'Code Library'!$D$3:$E$200,2,0))&amp;"_"&amp;RIGHT(A2299,3)</f>
        <v>#VALUE!</v>
      </c>
      <c r="I2299" s="66">
        <f t="shared" si="35"/>
        <v>0</v>
      </c>
    </row>
    <row r="2300" spans="8:9">
      <c r="H2300" s="66" t="e">
        <f>IF(OR(LEFT(B2300,FIND("_",B2300,1)-1)="ULGALLOC",LEFT(B2300,FIND("_",B2300,1)-1)="ULSPOOL"),LEFT(B2300,FIND("_",B2300,1)-1),VLOOKUP(LEFT(A2300,6),'Code Library'!$D$3:$E$200,2,0))&amp;"_"&amp;RIGHT(A2300,3)</f>
        <v>#VALUE!</v>
      </c>
      <c r="I2300" s="66">
        <f t="shared" si="35"/>
        <v>0</v>
      </c>
    </row>
    <row r="2301" spans="8:9">
      <c r="H2301" s="66" t="e">
        <f>IF(OR(LEFT(B2301,FIND("_",B2301,1)-1)="ULGALLOC",LEFT(B2301,FIND("_",B2301,1)-1)="ULSPOOL"),LEFT(B2301,FIND("_",B2301,1)-1),VLOOKUP(LEFT(A2301,6),'Code Library'!$D$3:$E$200,2,0))&amp;"_"&amp;RIGHT(A2301,3)</f>
        <v>#VALUE!</v>
      </c>
      <c r="I2301" s="66">
        <f t="shared" si="35"/>
        <v>0</v>
      </c>
    </row>
    <row r="2302" spans="8:9">
      <c r="H2302" s="66" t="e">
        <f>IF(OR(LEFT(B2302,FIND("_",B2302,1)-1)="ULGALLOC",LEFT(B2302,FIND("_",B2302,1)-1)="ULSPOOL"),LEFT(B2302,FIND("_",B2302,1)-1),VLOOKUP(LEFT(A2302,6),'Code Library'!$D$3:$E$200,2,0))&amp;"_"&amp;RIGHT(A2302,3)</f>
        <v>#VALUE!</v>
      </c>
      <c r="I2302" s="66">
        <f t="shared" si="35"/>
        <v>0</v>
      </c>
    </row>
    <row r="2303" spans="8:9">
      <c r="H2303" s="66" t="e">
        <f>IF(OR(LEFT(B2303,FIND("_",B2303,1)-1)="ULGALLOC",LEFT(B2303,FIND("_",B2303,1)-1)="ULSPOOL"),LEFT(B2303,FIND("_",B2303,1)-1),VLOOKUP(LEFT(A2303,6),'Code Library'!$D$3:$E$200,2,0))&amp;"_"&amp;RIGHT(A2303,3)</f>
        <v>#VALUE!</v>
      </c>
      <c r="I2303" s="66">
        <f t="shared" si="35"/>
        <v>0</v>
      </c>
    </row>
    <row r="2304" spans="8:9">
      <c r="H2304" s="66" t="e">
        <f>IF(OR(LEFT(B2304,FIND("_",B2304,1)-1)="ULGALLOC",LEFT(B2304,FIND("_",B2304,1)-1)="ULSPOOL"),LEFT(B2304,FIND("_",B2304,1)-1),VLOOKUP(LEFT(A2304,6),'Code Library'!$D$3:$E$200,2,0))&amp;"_"&amp;RIGHT(A2304,3)</f>
        <v>#VALUE!</v>
      </c>
      <c r="I2304" s="66">
        <f t="shared" si="35"/>
        <v>0</v>
      </c>
    </row>
    <row r="2305" spans="8:9">
      <c r="H2305" s="66" t="e">
        <f>IF(OR(LEFT(B2305,FIND("_",B2305,1)-1)="ULGALLOC",LEFT(B2305,FIND("_",B2305,1)-1)="ULSPOOL"),LEFT(B2305,FIND("_",B2305,1)-1),VLOOKUP(LEFT(A2305,6),'Code Library'!$D$3:$E$200,2,0))&amp;"_"&amp;RIGHT(A2305,3)</f>
        <v>#VALUE!</v>
      </c>
      <c r="I2305" s="66">
        <f t="shared" si="35"/>
        <v>0</v>
      </c>
    </row>
    <row r="2306" spans="8:9">
      <c r="H2306" s="66" t="e">
        <f>IF(OR(LEFT(B2306,FIND("_",B2306,1)-1)="ULGALLOC",LEFT(B2306,FIND("_",B2306,1)-1)="ULSPOOL"),LEFT(B2306,FIND("_",B2306,1)-1),VLOOKUP(LEFT(A2306,6),'Code Library'!$D$3:$E$200,2,0))&amp;"_"&amp;RIGHT(A2306,3)</f>
        <v>#VALUE!</v>
      </c>
      <c r="I2306" s="66">
        <f t="shared" si="35"/>
        <v>0</v>
      </c>
    </row>
    <row r="2307" spans="8:9">
      <c r="H2307" s="66" t="e">
        <f>IF(OR(LEFT(B2307,FIND("_",B2307,1)-1)="ULGALLOC",LEFT(B2307,FIND("_",B2307,1)-1)="ULSPOOL"),LEFT(B2307,FIND("_",B2307,1)-1),VLOOKUP(LEFT(A2307,6),'Code Library'!$D$3:$E$200,2,0))&amp;"_"&amp;RIGHT(A2307,3)</f>
        <v>#VALUE!</v>
      </c>
      <c r="I2307" s="66">
        <f t="shared" ref="I2307:I2370" si="36">A2307</f>
        <v>0</v>
      </c>
    </row>
    <row r="2308" spans="8:9">
      <c r="H2308" s="66" t="e">
        <f>IF(OR(LEFT(B2308,FIND("_",B2308,1)-1)="ULGALLOC",LEFT(B2308,FIND("_",B2308,1)-1)="ULSPOOL"),LEFT(B2308,FIND("_",B2308,1)-1),VLOOKUP(LEFT(A2308,6),'Code Library'!$D$3:$E$200,2,0))&amp;"_"&amp;RIGHT(A2308,3)</f>
        <v>#VALUE!</v>
      </c>
      <c r="I2308" s="66">
        <f t="shared" si="36"/>
        <v>0</v>
      </c>
    </row>
    <row r="2309" spans="8:9">
      <c r="H2309" s="66" t="e">
        <f>IF(OR(LEFT(B2309,FIND("_",B2309,1)-1)="ULGALLOC",LEFT(B2309,FIND("_",B2309,1)-1)="ULSPOOL"),LEFT(B2309,FIND("_",B2309,1)-1),VLOOKUP(LEFT(A2309,6),'Code Library'!$D$3:$E$200,2,0))&amp;"_"&amp;RIGHT(A2309,3)</f>
        <v>#VALUE!</v>
      </c>
      <c r="I2309" s="66">
        <f t="shared" si="36"/>
        <v>0</v>
      </c>
    </row>
    <row r="2310" spans="8:9">
      <c r="H2310" s="66" t="e">
        <f>IF(OR(LEFT(B2310,FIND("_",B2310,1)-1)="ULGALLOC",LEFT(B2310,FIND("_",B2310,1)-1)="ULSPOOL"),LEFT(B2310,FIND("_",B2310,1)-1),VLOOKUP(LEFT(A2310,6),'Code Library'!$D$3:$E$200,2,0))&amp;"_"&amp;RIGHT(A2310,3)</f>
        <v>#VALUE!</v>
      </c>
      <c r="I2310" s="66">
        <f t="shared" si="36"/>
        <v>0</v>
      </c>
    </row>
    <row r="2311" spans="8:9">
      <c r="H2311" s="66" t="e">
        <f>IF(OR(LEFT(B2311,FIND("_",B2311,1)-1)="ULGALLOC",LEFT(B2311,FIND("_",B2311,1)-1)="ULSPOOL"),LEFT(B2311,FIND("_",B2311,1)-1),VLOOKUP(LEFT(A2311,6),'Code Library'!$D$3:$E$200,2,0))&amp;"_"&amp;RIGHT(A2311,3)</f>
        <v>#VALUE!</v>
      </c>
      <c r="I2311" s="66">
        <f t="shared" si="36"/>
        <v>0</v>
      </c>
    </row>
    <row r="2312" spans="8:9">
      <c r="H2312" s="66" t="e">
        <f>IF(OR(LEFT(B2312,FIND("_",B2312,1)-1)="ULGALLOC",LEFT(B2312,FIND("_",B2312,1)-1)="ULSPOOL"),LEFT(B2312,FIND("_",B2312,1)-1),VLOOKUP(LEFT(A2312,6),'Code Library'!$D$3:$E$200,2,0))&amp;"_"&amp;RIGHT(A2312,3)</f>
        <v>#VALUE!</v>
      </c>
      <c r="I2312" s="66">
        <f t="shared" si="36"/>
        <v>0</v>
      </c>
    </row>
    <row r="2313" spans="8:9">
      <c r="H2313" s="66" t="e">
        <f>IF(OR(LEFT(B2313,FIND("_",B2313,1)-1)="ULGALLOC",LEFT(B2313,FIND("_",B2313,1)-1)="ULSPOOL"),LEFT(B2313,FIND("_",B2313,1)-1),VLOOKUP(LEFT(A2313,6),'Code Library'!$D$3:$E$200,2,0))&amp;"_"&amp;RIGHT(A2313,3)</f>
        <v>#VALUE!</v>
      </c>
      <c r="I2313" s="66">
        <f t="shared" si="36"/>
        <v>0</v>
      </c>
    </row>
    <row r="2314" spans="8:9">
      <c r="H2314" s="66" t="e">
        <f>IF(OR(LEFT(B2314,FIND("_",B2314,1)-1)="ULGALLOC",LEFT(B2314,FIND("_",B2314,1)-1)="ULSPOOL"),LEFT(B2314,FIND("_",B2314,1)-1),VLOOKUP(LEFT(A2314,6),'Code Library'!$D$3:$E$200,2,0))&amp;"_"&amp;RIGHT(A2314,3)</f>
        <v>#VALUE!</v>
      </c>
      <c r="I2314" s="66">
        <f t="shared" si="36"/>
        <v>0</v>
      </c>
    </row>
    <row r="2315" spans="8:9">
      <c r="H2315" s="66" t="e">
        <f>IF(OR(LEFT(B2315,FIND("_",B2315,1)-1)="ULGALLOC",LEFT(B2315,FIND("_",B2315,1)-1)="ULSPOOL"),LEFT(B2315,FIND("_",B2315,1)-1),VLOOKUP(LEFT(A2315,6),'Code Library'!$D$3:$E$200,2,0))&amp;"_"&amp;RIGHT(A2315,3)</f>
        <v>#VALUE!</v>
      </c>
      <c r="I2315" s="66">
        <f t="shared" si="36"/>
        <v>0</v>
      </c>
    </row>
    <row r="2316" spans="8:9">
      <c r="H2316" s="66" t="e">
        <f>IF(OR(LEFT(B2316,FIND("_",B2316,1)-1)="ULGALLOC",LEFT(B2316,FIND("_",B2316,1)-1)="ULSPOOL"),LEFT(B2316,FIND("_",B2316,1)-1),VLOOKUP(LEFT(A2316,6),'Code Library'!$D$3:$E$200,2,0))&amp;"_"&amp;RIGHT(A2316,3)</f>
        <v>#VALUE!</v>
      </c>
      <c r="I2316" s="66">
        <f t="shared" si="36"/>
        <v>0</v>
      </c>
    </row>
    <row r="2317" spans="8:9">
      <c r="H2317" s="66" t="e">
        <f>IF(OR(LEFT(B2317,FIND("_",B2317,1)-1)="ULGALLOC",LEFT(B2317,FIND("_",B2317,1)-1)="ULSPOOL"),LEFT(B2317,FIND("_",B2317,1)-1),VLOOKUP(LEFT(A2317,6),'Code Library'!$D$3:$E$200,2,0))&amp;"_"&amp;RIGHT(A2317,3)</f>
        <v>#VALUE!</v>
      </c>
      <c r="I2317" s="66">
        <f t="shared" si="36"/>
        <v>0</v>
      </c>
    </row>
    <row r="2318" spans="8:9">
      <c r="H2318" s="66" t="e">
        <f>IF(OR(LEFT(B2318,FIND("_",B2318,1)-1)="ULGALLOC",LEFT(B2318,FIND("_",B2318,1)-1)="ULSPOOL"),LEFT(B2318,FIND("_",B2318,1)-1),VLOOKUP(LEFT(A2318,6),'Code Library'!$D$3:$E$200,2,0))&amp;"_"&amp;RIGHT(A2318,3)</f>
        <v>#VALUE!</v>
      </c>
      <c r="I2318" s="66">
        <f t="shared" si="36"/>
        <v>0</v>
      </c>
    </row>
    <row r="2319" spans="8:9">
      <c r="H2319" s="66" t="e">
        <f>IF(OR(LEFT(B2319,FIND("_",B2319,1)-1)="ULGALLOC",LEFT(B2319,FIND("_",B2319,1)-1)="ULSPOOL"),LEFT(B2319,FIND("_",B2319,1)-1),VLOOKUP(LEFT(A2319,6),'Code Library'!$D$3:$E$200,2,0))&amp;"_"&amp;RIGHT(A2319,3)</f>
        <v>#VALUE!</v>
      </c>
      <c r="I2319" s="66">
        <f t="shared" si="36"/>
        <v>0</v>
      </c>
    </row>
    <row r="2320" spans="8:9">
      <c r="H2320" s="66" t="e">
        <f>IF(OR(LEFT(B2320,FIND("_",B2320,1)-1)="ULGALLOC",LEFT(B2320,FIND("_",B2320,1)-1)="ULSPOOL"),LEFT(B2320,FIND("_",B2320,1)-1),VLOOKUP(LEFT(A2320,6),'Code Library'!$D$3:$E$200,2,0))&amp;"_"&amp;RIGHT(A2320,3)</f>
        <v>#VALUE!</v>
      </c>
      <c r="I2320" s="66">
        <f t="shared" si="36"/>
        <v>0</v>
      </c>
    </row>
    <row r="2321" spans="8:9">
      <c r="H2321" s="66" t="e">
        <f>IF(OR(LEFT(B2321,FIND("_",B2321,1)-1)="ULGALLOC",LEFT(B2321,FIND("_",B2321,1)-1)="ULSPOOL"),LEFT(B2321,FIND("_",B2321,1)-1),VLOOKUP(LEFT(A2321,6),'Code Library'!$D$3:$E$200,2,0))&amp;"_"&amp;RIGHT(A2321,3)</f>
        <v>#VALUE!</v>
      </c>
      <c r="I2321" s="66">
        <f t="shared" si="36"/>
        <v>0</v>
      </c>
    </row>
    <row r="2322" spans="8:9">
      <c r="H2322" s="66" t="e">
        <f>IF(OR(LEFT(B2322,FIND("_",B2322,1)-1)="ULGALLOC",LEFT(B2322,FIND("_",B2322,1)-1)="ULSPOOL"),LEFT(B2322,FIND("_",B2322,1)-1),VLOOKUP(LEFT(A2322,6),'Code Library'!$D$3:$E$200,2,0))&amp;"_"&amp;RIGHT(A2322,3)</f>
        <v>#VALUE!</v>
      </c>
      <c r="I2322" s="66">
        <f t="shared" si="36"/>
        <v>0</v>
      </c>
    </row>
    <row r="2323" spans="8:9">
      <c r="H2323" s="66" t="e">
        <f>IF(OR(LEFT(B2323,FIND("_",B2323,1)-1)="ULGALLOC",LEFT(B2323,FIND("_",B2323,1)-1)="ULSPOOL"),LEFT(B2323,FIND("_",B2323,1)-1),VLOOKUP(LEFT(A2323,6),'Code Library'!$D$3:$E$200,2,0))&amp;"_"&amp;RIGHT(A2323,3)</f>
        <v>#VALUE!</v>
      </c>
      <c r="I2323" s="66">
        <f t="shared" si="36"/>
        <v>0</v>
      </c>
    </row>
    <row r="2324" spans="8:9">
      <c r="H2324" s="66" t="e">
        <f>IF(OR(LEFT(B2324,FIND("_",B2324,1)-1)="ULGALLOC",LEFT(B2324,FIND("_",B2324,1)-1)="ULSPOOL"),LEFT(B2324,FIND("_",B2324,1)-1),VLOOKUP(LEFT(A2324,6),'Code Library'!$D$3:$E$200,2,0))&amp;"_"&amp;RIGHT(A2324,3)</f>
        <v>#VALUE!</v>
      </c>
      <c r="I2324" s="66">
        <f t="shared" si="36"/>
        <v>0</v>
      </c>
    </row>
    <row r="2325" spans="8:9">
      <c r="H2325" s="66" t="e">
        <f>IF(OR(LEFT(B2325,FIND("_",B2325,1)-1)="ULGALLOC",LEFT(B2325,FIND("_",B2325,1)-1)="ULSPOOL"),LEFT(B2325,FIND("_",B2325,1)-1),VLOOKUP(LEFT(A2325,6),'Code Library'!$D$3:$E$200,2,0))&amp;"_"&amp;RIGHT(A2325,3)</f>
        <v>#VALUE!</v>
      </c>
      <c r="I2325" s="66">
        <f t="shared" si="36"/>
        <v>0</v>
      </c>
    </row>
    <row r="2326" spans="8:9">
      <c r="H2326" s="66" t="e">
        <f>IF(OR(LEFT(B2326,FIND("_",B2326,1)-1)="ULGALLOC",LEFT(B2326,FIND("_",B2326,1)-1)="ULSPOOL"),LEFT(B2326,FIND("_",B2326,1)-1),VLOOKUP(LEFT(A2326,6),'Code Library'!$D$3:$E$200,2,0))&amp;"_"&amp;RIGHT(A2326,3)</f>
        <v>#VALUE!</v>
      </c>
      <c r="I2326" s="66">
        <f t="shared" si="36"/>
        <v>0</v>
      </c>
    </row>
    <row r="2327" spans="8:9">
      <c r="H2327" s="66" t="e">
        <f>IF(OR(LEFT(B2327,FIND("_",B2327,1)-1)="ULGALLOC",LEFT(B2327,FIND("_",B2327,1)-1)="ULSPOOL"),LEFT(B2327,FIND("_",B2327,1)-1),VLOOKUP(LEFT(A2327,6),'Code Library'!$D$3:$E$200,2,0))&amp;"_"&amp;RIGHT(A2327,3)</f>
        <v>#VALUE!</v>
      </c>
      <c r="I2327" s="66">
        <f t="shared" si="36"/>
        <v>0</v>
      </c>
    </row>
    <row r="2328" spans="8:9">
      <c r="H2328" s="66" t="e">
        <f>IF(OR(LEFT(B2328,FIND("_",B2328,1)-1)="ULGALLOC",LEFT(B2328,FIND("_",B2328,1)-1)="ULSPOOL"),LEFT(B2328,FIND("_",B2328,1)-1),VLOOKUP(LEFT(A2328,6),'Code Library'!$D$3:$E$200,2,0))&amp;"_"&amp;RIGHT(A2328,3)</f>
        <v>#VALUE!</v>
      </c>
      <c r="I2328" s="66">
        <f t="shared" si="36"/>
        <v>0</v>
      </c>
    </row>
    <row r="2329" spans="8:9">
      <c r="H2329" s="66" t="e">
        <f>IF(OR(LEFT(B2329,FIND("_",B2329,1)-1)="ULGALLOC",LEFT(B2329,FIND("_",B2329,1)-1)="ULSPOOL"),LEFT(B2329,FIND("_",B2329,1)-1),VLOOKUP(LEFT(A2329,6),'Code Library'!$D$3:$E$200,2,0))&amp;"_"&amp;RIGHT(A2329,3)</f>
        <v>#VALUE!</v>
      </c>
      <c r="I2329" s="66">
        <f t="shared" si="36"/>
        <v>0</v>
      </c>
    </row>
    <row r="2330" spans="8:9">
      <c r="H2330" s="66" t="e">
        <f>IF(OR(LEFT(B2330,FIND("_",B2330,1)-1)="ULGALLOC",LEFT(B2330,FIND("_",B2330,1)-1)="ULSPOOL"),LEFT(B2330,FIND("_",B2330,1)-1),VLOOKUP(LEFT(A2330,6),'Code Library'!$D$3:$E$200,2,0))&amp;"_"&amp;RIGHT(A2330,3)</f>
        <v>#VALUE!</v>
      </c>
      <c r="I2330" s="66">
        <f t="shared" si="36"/>
        <v>0</v>
      </c>
    </row>
    <row r="2331" spans="8:9">
      <c r="H2331" s="66" t="e">
        <f>IF(OR(LEFT(B2331,FIND("_",B2331,1)-1)="ULGALLOC",LEFT(B2331,FIND("_",B2331,1)-1)="ULSPOOL"),LEFT(B2331,FIND("_",B2331,1)-1),VLOOKUP(LEFT(A2331,6),'Code Library'!$D$3:$E$200,2,0))&amp;"_"&amp;RIGHT(A2331,3)</f>
        <v>#VALUE!</v>
      </c>
      <c r="I2331" s="66">
        <f t="shared" si="36"/>
        <v>0</v>
      </c>
    </row>
    <row r="2332" spans="8:9">
      <c r="H2332" s="66" t="e">
        <f>IF(OR(LEFT(B2332,FIND("_",B2332,1)-1)="ULGALLOC",LEFT(B2332,FIND("_",B2332,1)-1)="ULSPOOL"),LEFT(B2332,FIND("_",B2332,1)-1),VLOOKUP(LEFT(A2332,6),'Code Library'!$D$3:$E$200,2,0))&amp;"_"&amp;RIGHT(A2332,3)</f>
        <v>#VALUE!</v>
      </c>
      <c r="I2332" s="66">
        <f t="shared" si="36"/>
        <v>0</v>
      </c>
    </row>
    <row r="2333" spans="8:9">
      <c r="H2333" s="66" t="e">
        <f>IF(OR(LEFT(B2333,FIND("_",B2333,1)-1)="ULGALLOC",LEFT(B2333,FIND("_",B2333,1)-1)="ULSPOOL"),LEFT(B2333,FIND("_",B2333,1)-1),VLOOKUP(LEFT(A2333,6),'Code Library'!$D$3:$E$200,2,0))&amp;"_"&amp;RIGHT(A2333,3)</f>
        <v>#VALUE!</v>
      </c>
      <c r="I2333" s="66">
        <f t="shared" si="36"/>
        <v>0</v>
      </c>
    </row>
    <row r="2334" spans="8:9">
      <c r="H2334" s="66" t="e">
        <f>IF(OR(LEFT(B2334,FIND("_",B2334,1)-1)="ULGALLOC",LEFT(B2334,FIND("_",B2334,1)-1)="ULSPOOL"),LEFT(B2334,FIND("_",B2334,1)-1),VLOOKUP(LEFT(A2334,6),'Code Library'!$D$3:$E$200,2,0))&amp;"_"&amp;RIGHT(A2334,3)</f>
        <v>#VALUE!</v>
      </c>
      <c r="I2334" s="66">
        <f t="shared" si="36"/>
        <v>0</v>
      </c>
    </row>
    <row r="2335" spans="8:9">
      <c r="H2335" s="66" t="e">
        <f>IF(OR(LEFT(B2335,FIND("_",B2335,1)-1)="ULGALLOC",LEFT(B2335,FIND("_",B2335,1)-1)="ULSPOOL"),LEFT(B2335,FIND("_",B2335,1)-1),VLOOKUP(LEFT(A2335,6),'Code Library'!$D$3:$E$200,2,0))&amp;"_"&amp;RIGHT(A2335,3)</f>
        <v>#VALUE!</v>
      </c>
      <c r="I2335" s="66">
        <f t="shared" si="36"/>
        <v>0</v>
      </c>
    </row>
    <row r="2336" spans="8:9">
      <c r="H2336" s="66" t="e">
        <f>IF(OR(LEFT(B2336,FIND("_",B2336,1)-1)="ULGALLOC",LEFT(B2336,FIND("_",B2336,1)-1)="ULSPOOL"),LEFT(B2336,FIND("_",B2336,1)-1),VLOOKUP(LEFT(A2336,6),'Code Library'!$D$3:$E$200,2,0))&amp;"_"&amp;RIGHT(A2336,3)</f>
        <v>#VALUE!</v>
      </c>
      <c r="I2336" s="66">
        <f t="shared" si="36"/>
        <v>0</v>
      </c>
    </row>
    <row r="2337" spans="8:9">
      <c r="H2337" s="66" t="e">
        <f>IF(OR(LEFT(B2337,FIND("_",B2337,1)-1)="ULGALLOC",LEFT(B2337,FIND("_",B2337,1)-1)="ULSPOOL"),LEFT(B2337,FIND("_",B2337,1)-1),VLOOKUP(LEFT(A2337,6),'Code Library'!$D$3:$E$200,2,0))&amp;"_"&amp;RIGHT(A2337,3)</f>
        <v>#VALUE!</v>
      </c>
      <c r="I2337" s="66">
        <f t="shared" si="36"/>
        <v>0</v>
      </c>
    </row>
    <row r="2338" spans="8:9">
      <c r="H2338" s="66" t="e">
        <f>IF(OR(LEFT(B2338,FIND("_",B2338,1)-1)="ULGALLOC",LEFT(B2338,FIND("_",B2338,1)-1)="ULSPOOL"),LEFT(B2338,FIND("_",B2338,1)-1),VLOOKUP(LEFT(A2338,6),'Code Library'!$D$3:$E$200,2,0))&amp;"_"&amp;RIGHT(A2338,3)</f>
        <v>#VALUE!</v>
      </c>
      <c r="I2338" s="66">
        <f t="shared" si="36"/>
        <v>0</v>
      </c>
    </row>
    <row r="2339" spans="8:9">
      <c r="H2339" s="66" t="e">
        <f>IF(OR(LEFT(B2339,FIND("_",B2339,1)-1)="ULGALLOC",LEFT(B2339,FIND("_",B2339,1)-1)="ULSPOOL"),LEFT(B2339,FIND("_",B2339,1)-1),VLOOKUP(LEFT(A2339,6),'Code Library'!$D$3:$E$200,2,0))&amp;"_"&amp;RIGHT(A2339,3)</f>
        <v>#VALUE!</v>
      </c>
      <c r="I2339" s="66">
        <f t="shared" si="36"/>
        <v>0</v>
      </c>
    </row>
    <row r="2340" spans="8:9">
      <c r="H2340" s="66" t="e">
        <f>IF(OR(LEFT(B2340,FIND("_",B2340,1)-1)="ULGALLOC",LEFT(B2340,FIND("_",B2340,1)-1)="ULSPOOL"),LEFT(B2340,FIND("_",B2340,1)-1),VLOOKUP(LEFT(A2340,6),'Code Library'!$D$3:$E$200,2,0))&amp;"_"&amp;RIGHT(A2340,3)</f>
        <v>#VALUE!</v>
      </c>
      <c r="I2340" s="66">
        <f t="shared" si="36"/>
        <v>0</v>
      </c>
    </row>
    <row r="2341" spans="8:9">
      <c r="H2341" s="66" t="e">
        <f>IF(OR(LEFT(B2341,FIND("_",B2341,1)-1)="ULGALLOC",LEFT(B2341,FIND("_",B2341,1)-1)="ULSPOOL"),LEFT(B2341,FIND("_",B2341,1)-1),VLOOKUP(LEFT(A2341,6),'Code Library'!$D$3:$E$200,2,0))&amp;"_"&amp;RIGHT(A2341,3)</f>
        <v>#VALUE!</v>
      </c>
      <c r="I2341" s="66">
        <f t="shared" si="36"/>
        <v>0</v>
      </c>
    </row>
    <row r="2342" spans="8:9">
      <c r="H2342" s="66" t="e">
        <f>IF(OR(LEFT(B2342,FIND("_",B2342,1)-1)="ULGALLOC",LEFT(B2342,FIND("_",B2342,1)-1)="ULSPOOL"),LEFT(B2342,FIND("_",B2342,1)-1),VLOOKUP(LEFT(A2342,6),'Code Library'!$D$3:$E$200,2,0))&amp;"_"&amp;RIGHT(A2342,3)</f>
        <v>#VALUE!</v>
      </c>
      <c r="I2342" s="66">
        <f t="shared" si="36"/>
        <v>0</v>
      </c>
    </row>
    <row r="2343" spans="8:9">
      <c r="H2343" s="66" t="e">
        <f>IF(OR(LEFT(B2343,FIND("_",B2343,1)-1)="ULGALLOC",LEFT(B2343,FIND("_",B2343,1)-1)="ULSPOOL"),LEFT(B2343,FIND("_",B2343,1)-1),VLOOKUP(LEFT(A2343,6),'Code Library'!$D$3:$E$200,2,0))&amp;"_"&amp;RIGHT(A2343,3)</f>
        <v>#VALUE!</v>
      </c>
      <c r="I2343" s="66">
        <f t="shared" si="36"/>
        <v>0</v>
      </c>
    </row>
    <row r="2344" spans="8:9">
      <c r="H2344" s="66" t="e">
        <f>IF(OR(LEFT(B2344,FIND("_",B2344,1)-1)="ULGALLOC",LEFT(B2344,FIND("_",B2344,1)-1)="ULSPOOL"),LEFT(B2344,FIND("_",B2344,1)-1),VLOOKUP(LEFT(A2344,6),'Code Library'!$D$3:$E$200,2,0))&amp;"_"&amp;RIGHT(A2344,3)</f>
        <v>#VALUE!</v>
      </c>
      <c r="I2344" s="66">
        <f t="shared" si="36"/>
        <v>0</v>
      </c>
    </row>
    <row r="2345" spans="8:9">
      <c r="H2345" s="66" t="e">
        <f>IF(OR(LEFT(B2345,FIND("_",B2345,1)-1)="ULGALLOC",LEFT(B2345,FIND("_",B2345,1)-1)="ULSPOOL"),LEFT(B2345,FIND("_",B2345,1)-1),VLOOKUP(LEFT(A2345,6),'Code Library'!$D$3:$E$200,2,0))&amp;"_"&amp;RIGHT(A2345,3)</f>
        <v>#VALUE!</v>
      </c>
      <c r="I2345" s="66">
        <f t="shared" si="36"/>
        <v>0</v>
      </c>
    </row>
    <row r="2346" spans="8:9">
      <c r="H2346" s="66" t="e">
        <f>IF(OR(LEFT(B2346,FIND("_",B2346,1)-1)="ULGALLOC",LEFT(B2346,FIND("_",B2346,1)-1)="ULSPOOL"),LEFT(B2346,FIND("_",B2346,1)-1),VLOOKUP(LEFT(A2346,6),'Code Library'!$D$3:$E$200,2,0))&amp;"_"&amp;RIGHT(A2346,3)</f>
        <v>#VALUE!</v>
      </c>
      <c r="I2346" s="66">
        <f t="shared" si="36"/>
        <v>0</v>
      </c>
    </row>
    <row r="2347" spans="8:9">
      <c r="H2347" s="66" t="e">
        <f>IF(OR(LEFT(B2347,FIND("_",B2347,1)-1)="ULGALLOC",LEFT(B2347,FIND("_",B2347,1)-1)="ULSPOOL"),LEFT(B2347,FIND("_",B2347,1)-1),VLOOKUP(LEFT(A2347,6),'Code Library'!$D$3:$E$200,2,0))&amp;"_"&amp;RIGHT(A2347,3)</f>
        <v>#VALUE!</v>
      </c>
      <c r="I2347" s="66">
        <f t="shared" si="36"/>
        <v>0</v>
      </c>
    </row>
    <row r="2348" spans="8:9">
      <c r="H2348" s="66" t="e">
        <f>IF(OR(LEFT(B2348,FIND("_",B2348,1)-1)="ULGALLOC",LEFT(B2348,FIND("_",B2348,1)-1)="ULSPOOL"),LEFT(B2348,FIND("_",B2348,1)-1),VLOOKUP(LEFT(A2348,6),'Code Library'!$D$3:$E$200,2,0))&amp;"_"&amp;RIGHT(A2348,3)</f>
        <v>#VALUE!</v>
      </c>
      <c r="I2348" s="66">
        <f t="shared" si="36"/>
        <v>0</v>
      </c>
    </row>
    <row r="2349" spans="8:9">
      <c r="H2349" s="66" t="e">
        <f>IF(OR(LEFT(B2349,FIND("_",B2349,1)-1)="ULGALLOC",LEFT(B2349,FIND("_",B2349,1)-1)="ULSPOOL"),LEFT(B2349,FIND("_",B2349,1)-1),VLOOKUP(LEFT(A2349,6),'Code Library'!$D$3:$E$200,2,0))&amp;"_"&amp;RIGHT(A2349,3)</f>
        <v>#VALUE!</v>
      </c>
      <c r="I2349" s="66">
        <f t="shared" si="36"/>
        <v>0</v>
      </c>
    </row>
    <row r="2350" spans="8:9">
      <c r="H2350" s="66" t="e">
        <f>IF(OR(LEFT(B2350,FIND("_",B2350,1)-1)="ULGALLOC",LEFT(B2350,FIND("_",B2350,1)-1)="ULSPOOL"),LEFT(B2350,FIND("_",B2350,1)-1),VLOOKUP(LEFT(A2350,6),'Code Library'!$D$3:$E$200,2,0))&amp;"_"&amp;RIGHT(A2350,3)</f>
        <v>#VALUE!</v>
      </c>
      <c r="I2350" s="66">
        <f t="shared" si="36"/>
        <v>0</v>
      </c>
    </row>
    <row r="2351" spans="8:9">
      <c r="H2351" s="66" t="e">
        <f>IF(OR(LEFT(B2351,FIND("_",B2351,1)-1)="ULGALLOC",LEFT(B2351,FIND("_",B2351,1)-1)="ULSPOOL"),LEFT(B2351,FIND("_",B2351,1)-1),VLOOKUP(LEFT(A2351,6),'Code Library'!$D$3:$E$200,2,0))&amp;"_"&amp;RIGHT(A2351,3)</f>
        <v>#VALUE!</v>
      </c>
      <c r="I2351" s="66">
        <f t="shared" si="36"/>
        <v>0</v>
      </c>
    </row>
    <row r="2352" spans="8:9">
      <c r="H2352" s="66" t="e">
        <f>IF(OR(LEFT(B2352,FIND("_",B2352,1)-1)="ULGALLOC",LEFT(B2352,FIND("_",B2352,1)-1)="ULSPOOL"),LEFT(B2352,FIND("_",B2352,1)-1),VLOOKUP(LEFT(A2352,6),'Code Library'!$D$3:$E$200,2,0))&amp;"_"&amp;RIGHT(A2352,3)</f>
        <v>#VALUE!</v>
      </c>
      <c r="I2352" s="66">
        <f t="shared" si="36"/>
        <v>0</v>
      </c>
    </row>
    <row r="2353" spans="8:9">
      <c r="H2353" s="66" t="e">
        <f>IF(OR(LEFT(B2353,FIND("_",B2353,1)-1)="ULGALLOC",LEFT(B2353,FIND("_",B2353,1)-1)="ULSPOOL"),LEFT(B2353,FIND("_",B2353,1)-1),VLOOKUP(LEFT(A2353,6),'Code Library'!$D$3:$E$200,2,0))&amp;"_"&amp;RIGHT(A2353,3)</f>
        <v>#VALUE!</v>
      </c>
      <c r="I2353" s="66">
        <f t="shared" si="36"/>
        <v>0</v>
      </c>
    </row>
    <row r="2354" spans="8:9">
      <c r="H2354" s="66" t="e">
        <f>IF(OR(LEFT(B2354,FIND("_",B2354,1)-1)="ULGALLOC",LEFT(B2354,FIND("_",B2354,1)-1)="ULSPOOL"),LEFT(B2354,FIND("_",B2354,1)-1),VLOOKUP(LEFT(A2354,6),'Code Library'!$D$3:$E$200,2,0))&amp;"_"&amp;RIGHT(A2354,3)</f>
        <v>#VALUE!</v>
      </c>
      <c r="I2354" s="66">
        <f t="shared" si="36"/>
        <v>0</v>
      </c>
    </row>
    <row r="2355" spans="8:9">
      <c r="H2355" s="66" t="e">
        <f>IF(OR(LEFT(B2355,FIND("_",B2355,1)-1)="ULGALLOC",LEFT(B2355,FIND("_",B2355,1)-1)="ULSPOOL"),LEFT(B2355,FIND("_",B2355,1)-1),VLOOKUP(LEFT(A2355,6),'Code Library'!$D$3:$E$200,2,0))&amp;"_"&amp;RIGHT(A2355,3)</f>
        <v>#VALUE!</v>
      </c>
      <c r="I2355" s="66">
        <f t="shared" si="36"/>
        <v>0</v>
      </c>
    </row>
    <row r="2356" spans="8:9">
      <c r="H2356" s="66" t="e">
        <f>IF(OR(LEFT(B2356,FIND("_",B2356,1)-1)="ULGALLOC",LEFT(B2356,FIND("_",B2356,1)-1)="ULSPOOL"),LEFT(B2356,FIND("_",B2356,1)-1),VLOOKUP(LEFT(A2356,6),'Code Library'!$D$3:$E$200,2,0))&amp;"_"&amp;RIGHT(A2356,3)</f>
        <v>#VALUE!</v>
      </c>
      <c r="I2356" s="66">
        <f t="shared" si="36"/>
        <v>0</v>
      </c>
    </row>
    <row r="2357" spans="8:9">
      <c r="H2357" s="66" t="e">
        <f>IF(OR(LEFT(B2357,FIND("_",B2357,1)-1)="ULGALLOC",LEFT(B2357,FIND("_",B2357,1)-1)="ULSPOOL"),LEFT(B2357,FIND("_",B2357,1)-1),VLOOKUP(LEFT(A2357,6),'Code Library'!$D$3:$E$200,2,0))&amp;"_"&amp;RIGHT(A2357,3)</f>
        <v>#VALUE!</v>
      </c>
      <c r="I2357" s="66">
        <f t="shared" si="36"/>
        <v>0</v>
      </c>
    </row>
    <row r="2358" spans="8:9">
      <c r="H2358" s="66" t="e">
        <f>IF(OR(LEFT(B2358,FIND("_",B2358,1)-1)="ULGALLOC",LEFT(B2358,FIND("_",B2358,1)-1)="ULSPOOL"),LEFT(B2358,FIND("_",B2358,1)-1),VLOOKUP(LEFT(A2358,6),'Code Library'!$D$3:$E$200,2,0))&amp;"_"&amp;RIGHT(A2358,3)</f>
        <v>#VALUE!</v>
      </c>
      <c r="I2358" s="66">
        <f t="shared" si="36"/>
        <v>0</v>
      </c>
    </row>
    <row r="2359" spans="8:9">
      <c r="H2359" s="66" t="e">
        <f>IF(OR(LEFT(B2359,FIND("_",B2359,1)-1)="ULGALLOC",LEFT(B2359,FIND("_",B2359,1)-1)="ULSPOOL"),LEFT(B2359,FIND("_",B2359,1)-1),VLOOKUP(LEFT(A2359,6),'Code Library'!$D$3:$E$200,2,0))&amp;"_"&amp;RIGHT(A2359,3)</f>
        <v>#VALUE!</v>
      </c>
      <c r="I2359" s="66">
        <f t="shared" si="36"/>
        <v>0</v>
      </c>
    </row>
    <row r="2360" spans="8:9">
      <c r="H2360" s="66" t="e">
        <f>IF(OR(LEFT(B2360,FIND("_",B2360,1)-1)="ULGALLOC",LEFT(B2360,FIND("_",B2360,1)-1)="ULSPOOL"),LEFT(B2360,FIND("_",B2360,1)-1),VLOOKUP(LEFT(A2360,6),'Code Library'!$D$3:$E$200,2,0))&amp;"_"&amp;RIGHT(A2360,3)</f>
        <v>#VALUE!</v>
      </c>
      <c r="I2360" s="66">
        <f t="shared" si="36"/>
        <v>0</v>
      </c>
    </row>
    <row r="2361" spans="8:9">
      <c r="H2361" s="66" t="e">
        <f>IF(OR(LEFT(B2361,FIND("_",B2361,1)-1)="ULGALLOC",LEFT(B2361,FIND("_",B2361,1)-1)="ULSPOOL"),LEFT(B2361,FIND("_",B2361,1)-1),VLOOKUP(LEFT(A2361,6),'Code Library'!$D$3:$E$200,2,0))&amp;"_"&amp;RIGHT(A2361,3)</f>
        <v>#VALUE!</v>
      </c>
      <c r="I2361" s="66">
        <f t="shared" si="36"/>
        <v>0</v>
      </c>
    </row>
    <row r="2362" spans="8:9">
      <c r="H2362" s="66" t="e">
        <f>IF(OR(LEFT(B2362,FIND("_",B2362,1)-1)="ULGALLOC",LEFT(B2362,FIND("_",B2362,1)-1)="ULSPOOL"),LEFT(B2362,FIND("_",B2362,1)-1),VLOOKUP(LEFT(A2362,6),'Code Library'!$D$3:$E$200,2,0))&amp;"_"&amp;RIGHT(A2362,3)</f>
        <v>#VALUE!</v>
      </c>
      <c r="I2362" s="66">
        <f t="shared" si="36"/>
        <v>0</v>
      </c>
    </row>
    <row r="2363" spans="8:9">
      <c r="H2363" s="66" t="e">
        <f>IF(OR(LEFT(B2363,FIND("_",B2363,1)-1)="ULGALLOC",LEFT(B2363,FIND("_",B2363,1)-1)="ULSPOOL"),LEFT(B2363,FIND("_",B2363,1)-1),VLOOKUP(LEFT(A2363,6),'Code Library'!$D$3:$E$200,2,0))&amp;"_"&amp;RIGHT(A2363,3)</f>
        <v>#VALUE!</v>
      </c>
      <c r="I2363" s="66">
        <f t="shared" si="36"/>
        <v>0</v>
      </c>
    </row>
    <row r="2364" spans="8:9">
      <c r="H2364" s="66" t="e">
        <f>IF(OR(LEFT(B2364,FIND("_",B2364,1)-1)="ULGALLOC",LEFT(B2364,FIND("_",B2364,1)-1)="ULSPOOL"),LEFT(B2364,FIND("_",B2364,1)-1),VLOOKUP(LEFT(A2364,6),'Code Library'!$D$3:$E$200,2,0))&amp;"_"&amp;RIGHT(A2364,3)</f>
        <v>#VALUE!</v>
      </c>
      <c r="I2364" s="66">
        <f t="shared" si="36"/>
        <v>0</v>
      </c>
    </row>
    <row r="2365" spans="8:9">
      <c r="H2365" s="66" t="e">
        <f>IF(OR(LEFT(B2365,FIND("_",B2365,1)-1)="ULGALLOC",LEFT(B2365,FIND("_",B2365,1)-1)="ULSPOOL"),LEFT(B2365,FIND("_",B2365,1)-1),VLOOKUP(LEFT(A2365,6),'Code Library'!$D$3:$E$200,2,0))&amp;"_"&amp;RIGHT(A2365,3)</f>
        <v>#VALUE!</v>
      </c>
      <c r="I2365" s="66">
        <f t="shared" si="36"/>
        <v>0</v>
      </c>
    </row>
    <row r="2366" spans="8:9">
      <c r="H2366" s="66" t="e">
        <f>IF(OR(LEFT(B2366,FIND("_",B2366,1)-1)="ULGALLOC",LEFT(B2366,FIND("_",B2366,1)-1)="ULSPOOL"),LEFT(B2366,FIND("_",B2366,1)-1),VLOOKUP(LEFT(A2366,6),'Code Library'!$D$3:$E$200,2,0))&amp;"_"&amp;RIGHT(A2366,3)</f>
        <v>#VALUE!</v>
      </c>
      <c r="I2366" s="66">
        <f t="shared" si="36"/>
        <v>0</v>
      </c>
    </row>
    <row r="2367" spans="8:9">
      <c r="H2367" s="66" t="e">
        <f>IF(OR(LEFT(B2367,FIND("_",B2367,1)-1)="ULGALLOC",LEFT(B2367,FIND("_",B2367,1)-1)="ULSPOOL"),LEFT(B2367,FIND("_",B2367,1)-1),VLOOKUP(LEFT(A2367,6),'Code Library'!$D$3:$E$200,2,0))&amp;"_"&amp;RIGHT(A2367,3)</f>
        <v>#VALUE!</v>
      </c>
      <c r="I2367" s="66">
        <f t="shared" si="36"/>
        <v>0</v>
      </c>
    </row>
    <row r="2368" spans="8:9">
      <c r="H2368" s="66" t="e">
        <f>IF(OR(LEFT(B2368,FIND("_",B2368,1)-1)="ULGALLOC",LEFT(B2368,FIND("_",B2368,1)-1)="ULSPOOL"),LEFT(B2368,FIND("_",B2368,1)-1),VLOOKUP(LEFT(A2368,6),'Code Library'!$D$3:$E$200,2,0))&amp;"_"&amp;RIGHT(A2368,3)</f>
        <v>#VALUE!</v>
      </c>
      <c r="I2368" s="66">
        <f t="shared" si="36"/>
        <v>0</v>
      </c>
    </row>
    <row r="2369" spans="8:9">
      <c r="H2369" s="66" t="e">
        <f>IF(OR(LEFT(B2369,FIND("_",B2369,1)-1)="ULGALLOC",LEFT(B2369,FIND("_",B2369,1)-1)="ULSPOOL"),LEFT(B2369,FIND("_",B2369,1)-1),VLOOKUP(LEFT(A2369,6),'Code Library'!$D$3:$E$200,2,0))&amp;"_"&amp;RIGHT(A2369,3)</f>
        <v>#VALUE!</v>
      </c>
      <c r="I2369" s="66">
        <f t="shared" si="36"/>
        <v>0</v>
      </c>
    </row>
    <row r="2370" spans="8:9">
      <c r="H2370" s="66" t="e">
        <f>IF(OR(LEFT(B2370,FIND("_",B2370,1)-1)="ULGALLOC",LEFT(B2370,FIND("_",B2370,1)-1)="ULSPOOL"),LEFT(B2370,FIND("_",B2370,1)-1),VLOOKUP(LEFT(A2370,6),'Code Library'!$D$3:$E$200,2,0))&amp;"_"&amp;RIGHT(A2370,3)</f>
        <v>#VALUE!</v>
      </c>
      <c r="I2370" s="66">
        <f t="shared" si="36"/>
        <v>0</v>
      </c>
    </row>
    <row r="2371" spans="8:9">
      <c r="H2371" s="66" t="e">
        <f>IF(OR(LEFT(B2371,FIND("_",B2371,1)-1)="ULGALLOC",LEFT(B2371,FIND("_",B2371,1)-1)="ULSPOOL"),LEFT(B2371,FIND("_",B2371,1)-1),VLOOKUP(LEFT(A2371,6),'Code Library'!$D$3:$E$200,2,0))&amp;"_"&amp;RIGHT(A2371,3)</f>
        <v>#VALUE!</v>
      </c>
      <c r="I2371" s="66">
        <f t="shared" ref="I2371:I2434" si="37">A2371</f>
        <v>0</v>
      </c>
    </row>
    <row r="2372" spans="8:9">
      <c r="H2372" s="66" t="e">
        <f>IF(OR(LEFT(B2372,FIND("_",B2372,1)-1)="ULGALLOC",LEFT(B2372,FIND("_",B2372,1)-1)="ULSPOOL"),LEFT(B2372,FIND("_",B2372,1)-1),VLOOKUP(LEFT(A2372,6),'Code Library'!$D$3:$E$200,2,0))&amp;"_"&amp;RIGHT(A2372,3)</f>
        <v>#VALUE!</v>
      </c>
      <c r="I2372" s="66">
        <f t="shared" si="37"/>
        <v>0</v>
      </c>
    </row>
    <row r="2373" spans="8:9">
      <c r="H2373" s="66" t="e">
        <f>IF(OR(LEFT(B2373,FIND("_",B2373,1)-1)="ULGALLOC",LEFT(B2373,FIND("_",B2373,1)-1)="ULSPOOL"),LEFT(B2373,FIND("_",B2373,1)-1),VLOOKUP(LEFT(A2373,6),'Code Library'!$D$3:$E$200,2,0))&amp;"_"&amp;RIGHT(A2373,3)</f>
        <v>#VALUE!</v>
      </c>
      <c r="I2373" s="66">
        <f t="shared" si="37"/>
        <v>0</v>
      </c>
    </row>
    <row r="2374" spans="8:9">
      <c r="H2374" s="66" t="e">
        <f>IF(OR(LEFT(B2374,FIND("_",B2374,1)-1)="ULGALLOC",LEFT(B2374,FIND("_",B2374,1)-1)="ULSPOOL"),LEFT(B2374,FIND("_",B2374,1)-1),VLOOKUP(LEFT(A2374,6),'Code Library'!$D$3:$E$200,2,0))&amp;"_"&amp;RIGHT(A2374,3)</f>
        <v>#VALUE!</v>
      </c>
      <c r="I2374" s="66">
        <f t="shared" si="37"/>
        <v>0</v>
      </c>
    </row>
    <row r="2375" spans="8:9">
      <c r="H2375" s="66" t="e">
        <f>IF(OR(LEFT(B2375,FIND("_",B2375,1)-1)="ULGALLOC",LEFT(B2375,FIND("_",B2375,1)-1)="ULSPOOL"),LEFT(B2375,FIND("_",B2375,1)-1),VLOOKUP(LEFT(A2375,6),'Code Library'!$D$3:$E$200,2,0))&amp;"_"&amp;RIGHT(A2375,3)</f>
        <v>#VALUE!</v>
      </c>
      <c r="I2375" s="66">
        <f t="shared" si="37"/>
        <v>0</v>
      </c>
    </row>
    <row r="2376" spans="8:9">
      <c r="H2376" s="66" t="e">
        <f>IF(OR(LEFT(B2376,FIND("_",B2376,1)-1)="ULGALLOC",LEFT(B2376,FIND("_",B2376,1)-1)="ULSPOOL"),LEFT(B2376,FIND("_",B2376,1)-1),VLOOKUP(LEFT(A2376,6),'Code Library'!$D$3:$E$200,2,0))&amp;"_"&amp;RIGHT(A2376,3)</f>
        <v>#VALUE!</v>
      </c>
      <c r="I2376" s="66">
        <f t="shared" si="37"/>
        <v>0</v>
      </c>
    </row>
    <row r="2377" spans="8:9">
      <c r="H2377" s="66" t="e">
        <f>IF(OR(LEFT(B2377,FIND("_",B2377,1)-1)="ULGALLOC",LEFT(B2377,FIND("_",B2377,1)-1)="ULSPOOL"),LEFT(B2377,FIND("_",B2377,1)-1),VLOOKUP(LEFT(A2377,6),'Code Library'!$D$3:$E$200,2,0))&amp;"_"&amp;RIGHT(A2377,3)</f>
        <v>#VALUE!</v>
      </c>
      <c r="I2377" s="66">
        <f t="shared" si="37"/>
        <v>0</v>
      </c>
    </row>
    <row r="2378" spans="8:9">
      <c r="H2378" s="66" t="e">
        <f>IF(OR(LEFT(B2378,FIND("_",B2378,1)-1)="ULGALLOC",LEFT(B2378,FIND("_",B2378,1)-1)="ULSPOOL"),LEFT(B2378,FIND("_",B2378,1)-1),VLOOKUP(LEFT(A2378,6),'Code Library'!$D$3:$E$200,2,0))&amp;"_"&amp;RIGHT(A2378,3)</f>
        <v>#VALUE!</v>
      </c>
      <c r="I2378" s="66">
        <f t="shared" si="37"/>
        <v>0</v>
      </c>
    </row>
    <row r="2379" spans="8:9">
      <c r="H2379" s="66" t="e">
        <f>IF(OR(LEFT(B2379,FIND("_",B2379,1)-1)="ULGALLOC",LEFT(B2379,FIND("_",B2379,1)-1)="ULSPOOL"),LEFT(B2379,FIND("_",B2379,1)-1),VLOOKUP(LEFT(A2379,6),'Code Library'!$D$3:$E$200,2,0))&amp;"_"&amp;RIGHT(A2379,3)</f>
        <v>#VALUE!</v>
      </c>
      <c r="I2379" s="66">
        <f t="shared" si="37"/>
        <v>0</v>
      </c>
    </row>
    <row r="2380" spans="8:9">
      <c r="H2380" s="66" t="e">
        <f>IF(OR(LEFT(B2380,FIND("_",B2380,1)-1)="ULGALLOC",LEFT(B2380,FIND("_",B2380,1)-1)="ULSPOOL"),LEFT(B2380,FIND("_",B2380,1)-1),VLOOKUP(LEFT(A2380,6),'Code Library'!$D$3:$E$200,2,0))&amp;"_"&amp;RIGHT(A2380,3)</f>
        <v>#VALUE!</v>
      </c>
      <c r="I2380" s="66">
        <f t="shared" si="37"/>
        <v>0</v>
      </c>
    </row>
    <row r="2381" spans="8:9">
      <c r="H2381" s="66" t="e">
        <f>IF(OR(LEFT(B2381,FIND("_",B2381,1)-1)="ULGALLOC",LEFT(B2381,FIND("_",B2381,1)-1)="ULSPOOL"),LEFT(B2381,FIND("_",B2381,1)-1),VLOOKUP(LEFT(A2381,6),'Code Library'!$D$3:$E$200,2,0))&amp;"_"&amp;RIGHT(A2381,3)</f>
        <v>#VALUE!</v>
      </c>
      <c r="I2381" s="66">
        <f t="shared" si="37"/>
        <v>0</v>
      </c>
    </row>
    <row r="2382" spans="8:9">
      <c r="H2382" s="66" t="e">
        <f>IF(OR(LEFT(B2382,FIND("_",B2382,1)-1)="ULGALLOC",LEFT(B2382,FIND("_",B2382,1)-1)="ULSPOOL"),LEFT(B2382,FIND("_",B2382,1)-1),VLOOKUP(LEFT(A2382,6),'Code Library'!$D$3:$E$200,2,0))&amp;"_"&amp;RIGHT(A2382,3)</f>
        <v>#VALUE!</v>
      </c>
      <c r="I2382" s="66">
        <f t="shared" si="37"/>
        <v>0</v>
      </c>
    </row>
    <row r="2383" spans="8:9">
      <c r="H2383" s="66" t="e">
        <f>IF(OR(LEFT(B2383,FIND("_",B2383,1)-1)="ULGALLOC",LEFT(B2383,FIND("_",B2383,1)-1)="ULSPOOL"),LEFT(B2383,FIND("_",B2383,1)-1),VLOOKUP(LEFT(A2383,6),'Code Library'!$D$3:$E$200,2,0))&amp;"_"&amp;RIGHT(A2383,3)</f>
        <v>#VALUE!</v>
      </c>
      <c r="I2383" s="66">
        <f t="shared" si="37"/>
        <v>0</v>
      </c>
    </row>
    <row r="2384" spans="8:9">
      <c r="H2384" s="66" t="e">
        <f>IF(OR(LEFT(B2384,FIND("_",B2384,1)-1)="ULGALLOC",LEFT(B2384,FIND("_",B2384,1)-1)="ULSPOOL"),LEFT(B2384,FIND("_",B2384,1)-1),VLOOKUP(LEFT(A2384,6),'Code Library'!$D$3:$E$200,2,0))&amp;"_"&amp;RIGHT(A2384,3)</f>
        <v>#VALUE!</v>
      </c>
      <c r="I2384" s="66">
        <f t="shared" si="37"/>
        <v>0</v>
      </c>
    </row>
    <row r="2385" spans="8:9">
      <c r="H2385" s="66" t="e">
        <f>IF(OR(LEFT(B2385,FIND("_",B2385,1)-1)="ULGALLOC",LEFT(B2385,FIND("_",B2385,1)-1)="ULSPOOL"),LEFT(B2385,FIND("_",B2385,1)-1),VLOOKUP(LEFT(A2385,6),'Code Library'!$D$3:$E$200,2,0))&amp;"_"&amp;RIGHT(A2385,3)</f>
        <v>#VALUE!</v>
      </c>
      <c r="I2385" s="66">
        <f t="shared" si="37"/>
        <v>0</v>
      </c>
    </row>
    <row r="2386" spans="8:9">
      <c r="H2386" s="66" t="e">
        <f>IF(OR(LEFT(B2386,FIND("_",B2386,1)-1)="ULGALLOC",LEFT(B2386,FIND("_",B2386,1)-1)="ULSPOOL"),LEFT(B2386,FIND("_",B2386,1)-1),VLOOKUP(LEFT(A2386,6),'Code Library'!$D$3:$E$200,2,0))&amp;"_"&amp;RIGHT(A2386,3)</f>
        <v>#VALUE!</v>
      </c>
      <c r="I2386" s="66">
        <f t="shared" si="37"/>
        <v>0</v>
      </c>
    </row>
    <row r="2387" spans="8:9">
      <c r="H2387" s="66" t="e">
        <f>IF(OR(LEFT(B2387,FIND("_",B2387,1)-1)="ULGALLOC",LEFT(B2387,FIND("_",B2387,1)-1)="ULSPOOL"),LEFT(B2387,FIND("_",B2387,1)-1),VLOOKUP(LEFT(A2387,6),'Code Library'!$D$3:$E$200,2,0))&amp;"_"&amp;RIGHT(A2387,3)</f>
        <v>#VALUE!</v>
      </c>
      <c r="I2387" s="66">
        <f t="shared" si="37"/>
        <v>0</v>
      </c>
    </row>
    <row r="2388" spans="8:9">
      <c r="H2388" s="66" t="e">
        <f>IF(OR(LEFT(B2388,FIND("_",B2388,1)-1)="ULGALLOC",LEFT(B2388,FIND("_",B2388,1)-1)="ULSPOOL"),LEFT(B2388,FIND("_",B2388,1)-1),VLOOKUP(LEFT(A2388,6),'Code Library'!$D$3:$E$200,2,0))&amp;"_"&amp;RIGHT(A2388,3)</f>
        <v>#VALUE!</v>
      </c>
      <c r="I2388" s="66">
        <f t="shared" si="37"/>
        <v>0</v>
      </c>
    </row>
    <row r="2389" spans="8:9">
      <c r="H2389" s="66" t="e">
        <f>IF(OR(LEFT(B2389,FIND("_",B2389,1)-1)="ULGALLOC",LEFT(B2389,FIND("_",B2389,1)-1)="ULSPOOL"),LEFT(B2389,FIND("_",B2389,1)-1),VLOOKUP(LEFT(A2389,6),'Code Library'!$D$3:$E$200,2,0))&amp;"_"&amp;RIGHT(A2389,3)</f>
        <v>#VALUE!</v>
      </c>
      <c r="I2389" s="66">
        <f t="shared" si="37"/>
        <v>0</v>
      </c>
    </row>
    <row r="2390" spans="8:9">
      <c r="H2390" s="66" t="e">
        <f>IF(OR(LEFT(B2390,FIND("_",B2390,1)-1)="ULGALLOC",LEFT(B2390,FIND("_",B2390,1)-1)="ULSPOOL"),LEFT(B2390,FIND("_",B2390,1)-1),VLOOKUP(LEFT(A2390,6),'Code Library'!$D$3:$E$200,2,0))&amp;"_"&amp;RIGHT(A2390,3)</f>
        <v>#VALUE!</v>
      </c>
      <c r="I2390" s="66">
        <f t="shared" si="37"/>
        <v>0</v>
      </c>
    </row>
    <row r="2391" spans="8:9">
      <c r="H2391" s="66" t="e">
        <f>IF(OR(LEFT(B2391,FIND("_",B2391,1)-1)="ULGALLOC",LEFT(B2391,FIND("_",B2391,1)-1)="ULSPOOL"),LEFT(B2391,FIND("_",B2391,1)-1),VLOOKUP(LEFT(A2391,6),'Code Library'!$D$3:$E$200,2,0))&amp;"_"&amp;RIGHT(A2391,3)</f>
        <v>#VALUE!</v>
      </c>
      <c r="I2391" s="66">
        <f t="shared" si="37"/>
        <v>0</v>
      </c>
    </row>
    <row r="2392" spans="8:9">
      <c r="H2392" s="66" t="e">
        <f>IF(OR(LEFT(B2392,FIND("_",B2392,1)-1)="ULGALLOC",LEFT(B2392,FIND("_",B2392,1)-1)="ULSPOOL"),LEFT(B2392,FIND("_",B2392,1)-1),VLOOKUP(LEFT(A2392,6),'Code Library'!$D$3:$E$200,2,0))&amp;"_"&amp;RIGHT(A2392,3)</f>
        <v>#VALUE!</v>
      </c>
      <c r="I2392" s="66">
        <f t="shared" si="37"/>
        <v>0</v>
      </c>
    </row>
    <row r="2393" spans="8:9">
      <c r="H2393" s="66" t="e">
        <f>IF(OR(LEFT(B2393,FIND("_",B2393,1)-1)="ULGALLOC",LEFT(B2393,FIND("_",B2393,1)-1)="ULSPOOL"),LEFT(B2393,FIND("_",B2393,1)-1),VLOOKUP(LEFT(A2393,6),'Code Library'!$D$3:$E$200,2,0))&amp;"_"&amp;RIGHT(A2393,3)</f>
        <v>#VALUE!</v>
      </c>
      <c r="I2393" s="66">
        <f t="shared" si="37"/>
        <v>0</v>
      </c>
    </row>
    <row r="2394" spans="8:9">
      <c r="H2394" s="66" t="e">
        <f>IF(OR(LEFT(B2394,FIND("_",B2394,1)-1)="ULGALLOC",LEFT(B2394,FIND("_",B2394,1)-1)="ULSPOOL"),LEFT(B2394,FIND("_",B2394,1)-1),VLOOKUP(LEFT(A2394,6),'Code Library'!$D$3:$E$200,2,0))&amp;"_"&amp;RIGHT(A2394,3)</f>
        <v>#VALUE!</v>
      </c>
      <c r="I2394" s="66">
        <f t="shared" si="37"/>
        <v>0</v>
      </c>
    </row>
    <row r="2395" spans="8:9">
      <c r="H2395" s="66" t="e">
        <f>IF(OR(LEFT(B2395,FIND("_",B2395,1)-1)="ULGALLOC",LEFT(B2395,FIND("_",B2395,1)-1)="ULSPOOL"),LEFT(B2395,FIND("_",B2395,1)-1),VLOOKUP(LEFT(A2395,6),'Code Library'!$D$3:$E$200,2,0))&amp;"_"&amp;RIGHT(A2395,3)</f>
        <v>#VALUE!</v>
      </c>
      <c r="I2395" s="66">
        <f t="shared" si="37"/>
        <v>0</v>
      </c>
    </row>
    <row r="2396" spans="8:9">
      <c r="H2396" s="66" t="e">
        <f>IF(OR(LEFT(B2396,FIND("_",B2396,1)-1)="ULGALLOC",LEFT(B2396,FIND("_",B2396,1)-1)="ULSPOOL"),LEFT(B2396,FIND("_",B2396,1)-1),VLOOKUP(LEFT(A2396,6),'Code Library'!$D$3:$E$200,2,0))&amp;"_"&amp;RIGHT(A2396,3)</f>
        <v>#VALUE!</v>
      </c>
      <c r="I2396" s="66">
        <f t="shared" si="37"/>
        <v>0</v>
      </c>
    </row>
    <row r="2397" spans="8:9">
      <c r="H2397" s="66" t="e">
        <f>IF(OR(LEFT(B2397,FIND("_",B2397,1)-1)="ULGALLOC",LEFT(B2397,FIND("_",B2397,1)-1)="ULSPOOL"),LEFT(B2397,FIND("_",B2397,1)-1),VLOOKUP(LEFT(A2397,6),'Code Library'!$D$3:$E$200,2,0))&amp;"_"&amp;RIGHT(A2397,3)</f>
        <v>#VALUE!</v>
      </c>
      <c r="I2397" s="66">
        <f t="shared" si="37"/>
        <v>0</v>
      </c>
    </row>
    <row r="2398" spans="8:9">
      <c r="H2398" s="66" t="e">
        <f>IF(OR(LEFT(B2398,FIND("_",B2398,1)-1)="ULGALLOC",LEFT(B2398,FIND("_",B2398,1)-1)="ULSPOOL"),LEFT(B2398,FIND("_",B2398,1)-1),VLOOKUP(LEFT(A2398,6),'Code Library'!$D$3:$E$200,2,0))&amp;"_"&amp;RIGHT(A2398,3)</f>
        <v>#VALUE!</v>
      </c>
      <c r="I2398" s="66">
        <f t="shared" si="37"/>
        <v>0</v>
      </c>
    </row>
    <row r="2399" spans="8:9">
      <c r="H2399" s="66" t="e">
        <f>IF(OR(LEFT(B2399,FIND("_",B2399,1)-1)="ULGALLOC",LEFT(B2399,FIND("_",B2399,1)-1)="ULSPOOL"),LEFT(B2399,FIND("_",B2399,1)-1),VLOOKUP(LEFT(A2399,6),'Code Library'!$D$3:$E$200,2,0))&amp;"_"&amp;RIGHT(A2399,3)</f>
        <v>#VALUE!</v>
      </c>
      <c r="I2399" s="66">
        <f t="shared" si="37"/>
        <v>0</v>
      </c>
    </row>
    <row r="2400" spans="8:9">
      <c r="H2400" s="66" t="e">
        <f>IF(OR(LEFT(B2400,FIND("_",B2400,1)-1)="ULGALLOC",LEFT(B2400,FIND("_",B2400,1)-1)="ULSPOOL"),LEFT(B2400,FIND("_",B2400,1)-1),VLOOKUP(LEFT(A2400,6),'Code Library'!$D$3:$E$200,2,0))&amp;"_"&amp;RIGHT(A2400,3)</f>
        <v>#VALUE!</v>
      </c>
      <c r="I2400" s="66">
        <f t="shared" si="37"/>
        <v>0</v>
      </c>
    </row>
    <row r="2401" spans="8:9">
      <c r="H2401" s="66" t="e">
        <f>IF(OR(LEFT(B2401,FIND("_",B2401,1)-1)="ULGALLOC",LEFT(B2401,FIND("_",B2401,1)-1)="ULSPOOL"),LEFT(B2401,FIND("_",B2401,1)-1),VLOOKUP(LEFT(A2401,6),'Code Library'!$D$3:$E$200,2,0))&amp;"_"&amp;RIGHT(A2401,3)</f>
        <v>#VALUE!</v>
      </c>
      <c r="I2401" s="66">
        <f t="shared" si="37"/>
        <v>0</v>
      </c>
    </row>
    <row r="2402" spans="8:9">
      <c r="H2402" s="66" t="e">
        <f>IF(OR(LEFT(B2402,FIND("_",B2402,1)-1)="ULGALLOC",LEFT(B2402,FIND("_",B2402,1)-1)="ULSPOOL"),LEFT(B2402,FIND("_",B2402,1)-1),VLOOKUP(LEFT(A2402,6),'Code Library'!$D$3:$E$200,2,0))&amp;"_"&amp;RIGHT(A2402,3)</f>
        <v>#VALUE!</v>
      </c>
      <c r="I2402" s="66">
        <f t="shared" si="37"/>
        <v>0</v>
      </c>
    </row>
    <row r="2403" spans="8:9">
      <c r="H2403" s="66" t="e">
        <f>IF(OR(LEFT(B2403,FIND("_",B2403,1)-1)="ULGALLOC",LEFT(B2403,FIND("_",B2403,1)-1)="ULSPOOL"),LEFT(B2403,FIND("_",B2403,1)-1),VLOOKUP(LEFT(A2403,6),'Code Library'!$D$3:$E$200,2,0))&amp;"_"&amp;RIGHT(A2403,3)</f>
        <v>#VALUE!</v>
      </c>
      <c r="I2403" s="66">
        <f t="shared" si="37"/>
        <v>0</v>
      </c>
    </row>
    <row r="2404" spans="8:9">
      <c r="H2404" s="66" t="e">
        <f>IF(OR(LEFT(B2404,FIND("_",B2404,1)-1)="ULGALLOC",LEFT(B2404,FIND("_",B2404,1)-1)="ULSPOOL"),LEFT(B2404,FIND("_",B2404,1)-1),VLOOKUP(LEFT(A2404,6),'Code Library'!$D$3:$E$200,2,0))&amp;"_"&amp;RIGHT(A2404,3)</f>
        <v>#VALUE!</v>
      </c>
      <c r="I2404" s="66">
        <f t="shared" si="37"/>
        <v>0</v>
      </c>
    </row>
    <row r="2405" spans="8:9">
      <c r="H2405" s="66" t="e">
        <f>IF(OR(LEFT(B2405,FIND("_",B2405,1)-1)="ULGALLOC",LEFT(B2405,FIND("_",B2405,1)-1)="ULSPOOL"),LEFT(B2405,FIND("_",B2405,1)-1),VLOOKUP(LEFT(A2405,6),'Code Library'!$D$3:$E$200,2,0))&amp;"_"&amp;RIGHT(A2405,3)</f>
        <v>#VALUE!</v>
      </c>
      <c r="I2405" s="66">
        <f t="shared" si="37"/>
        <v>0</v>
      </c>
    </row>
    <row r="2406" spans="8:9">
      <c r="H2406" s="66" t="e">
        <f>IF(OR(LEFT(B2406,FIND("_",B2406,1)-1)="ULGALLOC",LEFT(B2406,FIND("_",B2406,1)-1)="ULSPOOL"),LEFT(B2406,FIND("_",B2406,1)-1),VLOOKUP(LEFT(A2406,6),'Code Library'!$D$3:$E$200,2,0))&amp;"_"&amp;RIGHT(A2406,3)</f>
        <v>#VALUE!</v>
      </c>
      <c r="I2406" s="66">
        <f t="shared" si="37"/>
        <v>0</v>
      </c>
    </row>
    <row r="2407" spans="8:9">
      <c r="H2407" s="66" t="e">
        <f>IF(OR(LEFT(B2407,FIND("_",B2407,1)-1)="ULGALLOC",LEFT(B2407,FIND("_",B2407,1)-1)="ULSPOOL"),LEFT(B2407,FIND("_",B2407,1)-1),VLOOKUP(LEFT(A2407,6),'Code Library'!$D$3:$E$200,2,0))&amp;"_"&amp;RIGHT(A2407,3)</f>
        <v>#VALUE!</v>
      </c>
      <c r="I2407" s="66">
        <f t="shared" si="37"/>
        <v>0</v>
      </c>
    </row>
    <row r="2408" spans="8:9">
      <c r="H2408" s="66" t="e">
        <f>IF(OR(LEFT(B2408,FIND("_",B2408,1)-1)="ULGALLOC",LEFT(B2408,FIND("_",B2408,1)-1)="ULSPOOL"),LEFT(B2408,FIND("_",B2408,1)-1),VLOOKUP(LEFT(A2408,6),'Code Library'!$D$3:$E$200,2,0))&amp;"_"&amp;RIGHT(A2408,3)</f>
        <v>#VALUE!</v>
      </c>
      <c r="I2408" s="66">
        <f t="shared" si="37"/>
        <v>0</v>
      </c>
    </row>
    <row r="2409" spans="8:9">
      <c r="H2409" s="66" t="e">
        <f>IF(OR(LEFT(B2409,FIND("_",B2409,1)-1)="ULGALLOC",LEFT(B2409,FIND("_",B2409,1)-1)="ULSPOOL"),LEFT(B2409,FIND("_",B2409,1)-1),VLOOKUP(LEFT(A2409,6),'Code Library'!$D$3:$E$200,2,0))&amp;"_"&amp;RIGHT(A2409,3)</f>
        <v>#VALUE!</v>
      </c>
      <c r="I2409" s="66">
        <f t="shared" si="37"/>
        <v>0</v>
      </c>
    </row>
    <row r="2410" spans="8:9">
      <c r="H2410" s="66" t="e">
        <f>IF(OR(LEFT(B2410,FIND("_",B2410,1)-1)="ULGALLOC",LEFT(B2410,FIND("_",B2410,1)-1)="ULSPOOL"),LEFT(B2410,FIND("_",B2410,1)-1),VLOOKUP(LEFT(A2410,6),'Code Library'!$D$3:$E$200,2,0))&amp;"_"&amp;RIGHT(A2410,3)</f>
        <v>#VALUE!</v>
      </c>
      <c r="I2410" s="66">
        <f t="shared" si="37"/>
        <v>0</v>
      </c>
    </row>
    <row r="2411" spans="8:9">
      <c r="H2411" s="66" t="e">
        <f>IF(OR(LEFT(B2411,FIND("_",B2411,1)-1)="ULGALLOC",LEFT(B2411,FIND("_",B2411,1)-1)="ULSPOOL"),LEFT(B2411,FIND("_",B2411,1)-1),VLOOKUP(LEFT(A2411,6),'Code Library'!$D$3:$E$200,2,0))&amp;"_"&amp;RIGHT(A2411,3)</f>
        <v>#VALUE!</v>
      </c>
      <c r="I2411" s="66">
        <f t="shared" si="37"/>
        <v>0</v>
      </c>
    </row>
    <row r="2412" spans="8:9">
      <c r="H2412" s="66" t="e">
        <f>IF(OR(LEFT(B2412,FIND("_",B2412,1)-1)="ULGALLOC",LEFT(B2412,FIND("_",B2412,1)-1)="ULSPOOL"),LEFT(B2412,FIND("_",B2412,1)-1),VLOOKUP(LEFT(A2412,6),'Code Library'!$D$3:$E$200,2,0))&amp;"_"&amp;RIGHT(A2412,3)</f>
        <v>#VALUE!</v>
      </c>
      <c r="I2412" s="66">
        <f t="shared" si="37"/>
        <v>0</v>
      </c>
    </row>
    <row r="2413" spans="8:9">
      <c r="H2413" s="66" t="e">
        <f>IF(OR(LEFT(B2413,FIND("_",B2413,1)-1)="ULGALLOC",LEFT(B2413,FIND("_",B2413,1)-1)="ULSPOOL"),LEFT(B2413,FIND("_",B2413,1)-1),VLOOKUP(LEFT(A2413,6),'Code Library'!$D$3:$E$200,2,0))&amp;"_"&amp;RIGHT(A2413,3)</f>
        <v>#VALUE!</v>
      </c>
      <c r="I2413" s="66">
        <f t="shared" si="37"/>
        <v>0</v>
      </c>
    </row>
    <row r="2414" spans="8:9">
      <c r="H2414" s="66" t="e">
        <f>IF(OR(LEFT(B2414,FIND("_",B2414,1)-1)="ULGALLOC",LEFT(B2414,FIND("_",B2414,1)-1)="ULSPOOL"),LEFT(B2414,FIND("_",B2414,1)-1),VLOOKUP(LEFT(A2414,6),'Code Library'!$D$3:$E$200,2,0))&amp;"_"&amp;RIGHT(A2414,3)</f>
        <v>#VALUE!</v>
      </c>
      <c r="I2414" s="66">
        <f t="shared" si="37"/>
        <v>0</v>
      </c>
    </row>
    <row r="2415" spans="8:9">
      <c r="H2415" s="66" t="e">
        <f>IF(OR(LEFT(B2415,FIND("_",B2415,1)-1)="ULGALLOC",LEFT(B2415,FIND("_",B2415,1)-1)="ULSPOOL"),LEFT(B2415,FIND("_",B2415,1)-1),VLOOKUP(LEFT(A2415,6),'Code Library'!$D$3:$E$200,2,0))&amp;"_"&amp;RIGHT(A2415,3)</f>
        <v>#VALUE!</v>
      </c>
      <c r="I2415" s="66">
        <f t="shared" si="37"/>
        <v>0</v>
      </c>
    </row>
    <row r="2416" spans="8:9">
      <c r="H2416" s="66" t="e">
        <f>IF(OR(LEFT(B2416,FIND("_",B2416,1)-1)="ULGALLOC",LEFT(B2416,FIND("_",B2416,1)-1)="ULSPOOL"),LEFT(B2416,FIND("_",B2416,1)-1),VLOOKUP(LEFT(A2416,6),'Code Library'!$D$3:$E$200,2,0))&amp;"_"&amp;RIGHT(A2416,3)</f>
        <v>#VALUE!</v>
      </c>
      <c r="I2416" s="66">
        <f t="shared" si="37"/>
        <v>0</v>
      </c>
    </row>
    <row r="2417" spans="8:9">
      <c r="H2417" s="66" t="e">
        <f>IF(OR(LEFT(B2417,FIND("_",B2417,1)-1)="ULGALLOC",LEFT(B2417,FIND("_",B2417,1)-1)="ULSPOOL"),LEFT(B2417,FIND("_",B2417,1)-1),VLOOKUP(LEFT(A2417,6),'Code Library'!$D$3:$E$200,2,0))&amp;"_"&amp;RIGHT(A2417,3)</f>
        <v>#VALUE!</v>
      </c>
      <c r="I2417" s="66">
        <f t="shared" si="37"/>
        <v>0</v>
      </c>
    </row>
    <row r="2418" spans="8:9">
      <c r="H2418" s="66" t="e">
        <f>IF(OR(LEFT(B2418,FIND("_",B2418,1)-1)="ULGALLOC",LEFT(B2418,FIND("_",B2418,1)-1)="ULSPOOL"),LEFT(B2418,FIND("_",B2418,1)-1),VLOOKUP(LEFT(A2418,6),'Code Library'!$D$3:$E$200,2,0))&amp;"_"&amp;RIGHT(A2418,3)</f>
        <v>#VALUE!</v>
      </c>
      <c r="I2418" s="66">
        <f t="shared" si="37"/>
        <v>0</v>
      </c>
    </row>
    <row r="2419" spans="8:9">
      <c r="H2419" s="66" t="e">
        <f>IF(OR(LEFT(B2419,FIND("_",B2419,1)-1)="ULGALLOC",LEFT(B2419,FIND("_",B2419,1)-1)="ULSPOOL"),LEFT(B2419,FIND("_",B2419,1)-1),VLOOKUP(LEFT(A2419,6),'Code Library'!$D$3:$E$200,2,0))&amp;"_"&amp;RIGHT(A2419,3)</f>
        <v>#VALUE!</v>
      </c>
      <c r="I2419" s="66">
        <f t="shared" si="37"/>
        <v>0</v>
      </c>
    </row>
    <row r="2420" spans="8:9">
      <c r="H2420" s="66" t="e">
        <f>IF(OR(LEFT(B2420,FIND("_",B2420,1)-1)="ULGALLOC",LEFT(B2420,FIND("_",B2420,1)-1)="ULSPOOL"),LEFT(B2420,FIND("_",B2420,1)-1),VLOOKUP(LEFT(A2420,6),'Code Library'!$D$3:$E$200,2,0))&amp;"_"&amp;RIGHT(A2420,3)</f>
        <v>#VALUE!</v>
      </c>
      <c r="I2420" s="66">
        <f t="shared" si="37"/>
        <v>0</v>
      </c>
    </row>
    <row r="2421" spans="8:9">
      <c r="H2421" s="66" t="e">
        <f>IF(OR(LEFT(B2421,FIND("_",B2421,1)-1)="ULGALLOC",LEFT(B2421,FIND("_",B2421,1)-1)="ULSPOOL"),LEFT(B2421,FIND("_",B2421,1)-1),VLOOKUP(LEFT(A2421,6),'Code Library'!$D$3:$E$200,2,0))&amp;"_"&amp;RIGHT(A2421,3)</f>
        <v>#VALUE!</v>
      </c>
      <c r="I2421" s="66">
        <f t="shared" si="37"/>
        <v>0</v>
      </c>
    </row>
    <row r="2422" spans="8:9">
      <c r="H2422" s="66" t="e">
        <f>IF(OR(LEFT(B2422,FIND("_",B2422,1)-1)="ULGALLOC",LEFT(B2422,FIND("_",B2422,1)-1)="ULSPOOL"),LEFT(B2422,FIND("_",B2422,1)-1),VLOOKUP(LEFT(A2422,6),'Code Library'!$D$3:$E$200,2,0))&amp;"_"&amp;RIGHT(A2422,3)</f>
        <v>#VALUE!</v>
      </c>
      <c r="I2422" s="66">
        <f t="shared" si="37"/>
        <v>0</v>
      </c>
    </row>
    <row r="2423" spans="8:9">
      <c r="H2423" s="66" t="e">
        <f>IF(OR(LEFT(B2423,FIND("_",B2423,1)-1)="ULGALLOC",LEFT(B2423,FIND("_",B2423,1)-1)="ULSPOOL"),LEFT(B2423,FIND("_",B2423,1)-1),VLOOKUP(LEFT(A2423,6),'Code Library'!$D$3:$E$200,2,0))&amp;"_"&amp;RIGHT(A2423,3)</f>
        <v>#VALUE!</v>
      </c>
      <c r="I2423" s="66">
        <f t="shared" si="37"/>
        <v>0</v>
      </c>
    </row>
    <row r="2424" spans="8:9">
      <c r="H2424" s="66" t="e">
        <f>IF(OR(LEFT(B2424,FIND("_",B2424,1)-1)="ULGALLOC",LEFT(B2424,FIND("_",B2424,1)-1)="ULSPOOL"),LEFT(B2424,FIND("_",B2424,1)-1),VLOOKUP(LEFT(A2424,6),'Code Library'!$D$3:$E$200,2,0))&amp;"_"&amp;RIGHT(A2424,3)</f>
        <v>#VALUE!</v>
      </c>
      <c r="I2424" s="66">
        <f t="shared" si="37"/>
        <v>0</v>
      </c>
    </row>
    <row r="2425" spans="8:9">
      <c r="H2425" s="66" t="e">
        <f>IF(OR(LEFT(B2425,FIND("_",B2425,1)-1)="ULGALLOC",LEFT(B2425,FIND("_",B2425,1)-1)="ULSPOOL"),LEFT(B2425,FIND("_",B2425,1)-1),VLOOKUP(LEFT(A2425,6),'Code Library'!$D$3:$E$200,2,0))&amp;"_"&amp;RIGHT(A2425,3)</f>
        <v>#VALUE!</v>
      </c>
      <c r="I2425" s="66">
        <f t="shared" si="37"/>
        <v>0</v>
      </c>
    </row>
    <row r="2426" spans="8:9">
      <c r="H2426" s="66" t="e">
        <f>IF(OR(LEFT(B2426,FIND("_",B2426,1)-1)="ULGALLOC",LEFT(B2426,FIND("_",B2426,1)-1)="ULSPOOL"),LEFT(B2426,FIND("_",B2426,1)-1),VLOOKUP(LEFT(A2426,6),'Code Library'!$D$3:$E$200,2,0))&amp;"_"&amp;RIGHT(A2426,3)</f>
        <v>#VALUE!</v>
      </c>
      <c r="I2426" s="66">
        <f t="shared" si="37"/>
        <v>0</v>
      </c>
    </row>
    <row r="2427" spans="8:9">
      <c r="H2427" s="66" t="e">
        <f>IF(OR(LEFT(B2427,FIND("_",B2427,1)-1)="ULGALLOC",LEFT(B2427,FIND("_",B2427,1)-1)="ULSPOOL"),LEFT(B2427,FIND("_",B2427,1)-1),VLOOKUP(LEFT(A2427,6),'Code Library'!$D$3:$E$200,2,0))&amp;"_"&amp;RIGHT(A2427,3)</f>
        <v>#VALUE!</v>
      </c>
      <c r="I2427" s="66">
        <f t="shared" si="37"/>
        <v>0</v>
      </c>
    </row>
    <row r="2428" spans="8:9">
      <c r="H2428" s="66" t="e">
        <f>IF(OR(LEFT(B2428,FIND("_",B2428,1)-1)="ULGALLOC",LEFT(B2428,FIND("_",B2428,1)-1)="ULSPOOL"),LEFT(B2428,FIND("_",B2428,1)-1),VLOOKUP(LEFT(A2428,6),'Code Library'!$D$3:$E$200,2,0))&amp;"_"&amp;RIGHT(A2428,3)</f>
        <v>#VALUE!</v>
      </c>
      <c r="I2428" s="66">
        <f t="shared" si="37"/>
        <v>0</v>
      </c>
    </row>
    <row r="2429" spans="8:9">
      <c r="H2429" s="66" t="e">
        <f>IF(OR(LEFT(B2429,FIND("_",B2429,1)-1)="ULGALLOC",LEFT(B2429,FIND("_",B2429,1)-1)="ULSPOOL"),LEFT(B2429,FIND("_",B2429,1)-1),VLOOKUP(LEFT(A2429,6),'Code Library'!$D$3:$E$200,2,0))&amp;"_"&amp;RIGHT(A2429,3)</f>
        <v>#VALUE!</v>
      </c>
      <c r="I2429" s="66">
        <f t="shared" si="37"/>
        <v>0</v>
      </c>
    </row>
    <row r="2430" spans="8:9">
      <c r="H2430" s="66" t="e">
        <f>IF(OR(LEFT(B2430,FIND("_",B2430,1)-1)="ULGALLOC",LEFT(B2430,FIND("_",B2430,1)-1)="ULSPOOL"),LEFT(B2430,FIND("_",B2430,1)-1),VLOOKUP(LEFT(A2430,6),'Code Library'!$D$3:$E$200,2,0))&amp;"_"&amp;RIGHT(A2430,3)</f>
        <v>#VALUE!</v>
      </c>
      <c r="I2430" s="66">
        <f t="shared" si="37"/>
        <v>0</v>
      </c>
    </row>
    <row r="2431" spans="8:9">
      <c r="H2431" s="66" t="e">
        <f>IF(OR(LEFT(B2431,FIND("_",B2431,1)-1)="ULGALLOC",LEFT(B2431,FIND("_",B2431,1)-1)="ULSPOOL"),LEFT(B2431,FIND("_",B2431,1)-1),VLOOKUP(LEFT(A2431,6),'Code Library'!$D$3:$E$200,2,0))&amp;"_"&amp;RIGHT(A2431,3)</f>
        <v>#VALUE!</v>
      </c>
      <c r="I2431" s="66">
        <f t="shared" si="37"/>
        <v>0</v>
      </c>
    </row>
    <row r="2432" spans="8:9">
      <c r="H2432" s="66" t="e">
        <f>IF(OR(LEFT(B2432,FIND("_",B2432,1)-1)="ULGALLOC",LEFT(B2432,FIND("_",B2432,1)-1)="ULSPOOL"),LEFT(B2432,FIND("_",B2432,1)-1),VLOOKUP(LEFT(A2432,6),'Code Library'!$D$3:$E$200,2,0))&amp;"_"&amp;RIGHT(A2432,3)</f>
        <v>#VALUE!</v>
      </c>
      <c r="I2432" s="66">
        <f t="shared" si="37"/>
        <v>0</v>
      </c>
    </row>
    <row r="2433" spans="8:9">
      <c r="H2433" s="66" t="e">
        <f>IF(OR(LEFT(B2433,FIND("_",B2433,1)-1)="ULGALLOC",LEFT(B2433,FIND("_",B2433,1)-1)="ULSPOOL"),LEFT(B2433,FIND("_",B2433,1)-1),VLOOKUP(LEFT(A2433,6),'Code Library'!$D$3:$E$200,2,0))&amp;"_"&amp;RIGHT(A2433,3)</f>
        <v>#VALUE!</v>
      </c>
      <c r="I2433" s="66">
        <f t="shared" si="37"/>
        <v>0</v>
      </c>
    </row>
    <row r="2434" spans="8:9">
      <c r="H2434" s="66" t="e">
        <f>IF(OR(LEFT(B2434,FIND("_",B2434,1)-1)="ULGALLOC",LEFT(B2434,FIND("_",B2434,1)-1)="ULSPOOL"),LEFT(B2434,FIND("_",B2434,1)-1),VLOOKUP(LEFT(A2434,6),'Code Library'!$D$3:$E$200,2,0))&amp;"_"&amp;RIGHT(A2434,3)</f>
        <v>#VALUE!</v>
      </c>
      <c r="I2434" s="66">
        <f t="shared" si="37"/>
        <v>0</v>
      </c>
    </row>
    <row r="2435" spans="8:9">
      <c r="H2435" s="66" t="e">
        <f>IF(OR(LEFT(B2435,FIND("_",B2435,1)-1)="ULGALLOC",LEFT(B2435,FIND("_",B2435,1)-1)="ULSPOOL"),LEFT(B2435,FIND("_",B2435,1)-1),VLOOKUP(LEFT(A2435,6),'Code Library'!$D$3:$E$200,2,0))&amp;"_"&amp;RIGHT(A2435,3)</f>
        <v>#VALUE!</v>
      </c>
      <c r="I2435" s="66">
        <f t="shared" ref="I2435:I2498" si="38">A2435</f>
        <v>0</v>
      </c>
    </row>
    <row r="2436" spans="8:9">
      <c r="H2436" s="66" t="e">
        <f>IF(OR(LEFT(B2436,FIND("_",B2436,1)-1)="ULGALLOC",LEFT(B2436,FIND("_",B2436,1)-1)="ULSPOOL"),LEFT(B2436,FIND("_",B2436,1)-1),VLOOKUP(LEFT(A2436,6),'Code Library'!$D$3:$E$200,2,0))&amp;"_"&amp;RIGHT(A2436,3)</f>
        <v>#VALUE!</v>
      </c>
      <c r="I2436" s="66">
        <f t="shared" si="38"/>
        <v>0</v>
      </c>
    </row>
    <row r="2437" spans="8:9">
      <c r="H2437" s="66" t="e">
        <f>IF(OR(LEFT(B2437,FIND("_",B2437,1)-1)="ULGALLOC",LEFT(B2437,FIND("_",B2437,1)-1)="ULSPOOL"),LEFT(B2437,FIND("_",B2437,1)-1),VLOOKUP(LEFT(A2437,6),'Code Library'!$D$3:$E$200,2,0))&amp;"_"&amp;RIGHT(A2437,3)</f>
        <v>#VALUE!</v>
      </c>
      <c r="I2437" s="66">
        <f t="shared" si="38"/>
        <v>0</v>
      </c>
    </row>
    <row r="2438" spans="8:9">
      <c r="H2438" s="66" t="e">
        <f>IF(OR(LEFT(B2438,FIND("_",B2438,1)-1)="ULGALLOC",LEFT(B2438,FIND("_",B2438,1)-1)="ULSPOOL"),LEFT(B2438,FIND("_",B2438,1)-1),VLOOKUP(LEFT(A2438,6),'Code Library'!$D$3:$E$200,2,0))&amp;"_"&amp;RIGHT(A2438,3)</f>
        <v>#VALUE!</v>
      </c>
      <c r="I2438" s="66">
        <f t="shared" si="38"/>
        <v>0</v>
      </c>
    </row>
    <row r="2439" spans="8:9">
      <c r="H2439" s="66" t="e">
        <f>IF(OR(LEFT(B2439,FIND("_",B2439,1)-1)="ULGALLOC",LEFT(B2439,FIND("_",B2439,1)-1)="ULSPOOL"),LEFT(B2439,FIND("_",B2439,1)-1),VLOOKUP(LEFT(A2439,6),'Code Library'!$D$3:$E$200,2,0))&amp;"_"&amp;RIGHT(A2439,3)</f>
        <v>#VALUE!</v>
      </c>
      <c r="I2439" s="66">
        <f t="shared" si="38"/>
        <v>0</v>
      </c>
    </row>
    <row r="2440" spans="8:9">
      <c r="H2440" s="66" t="e">
        <f>IF(OR(LEFT(B2440,FIND("_",B2440,1)-1)="ULGALLOC",LEFT(B2440,FIND("_",B2440,1)-1)="ULSPOOL"),LEFT(B2440,FIND("_",B2440,1)-1),VLOOKUP(LEFT(A2440,6),'Code Library'!$D$3:$E$200,2,0))&amp;"_"&amp;RIGHT(A2440,3)</f>
        <v>#VALUE!</v>
      </c>
      <c r="I2440" s="66">
        <f t="shared" si="38"/>
        <v>0</v>
      </c>
    </row>
    <row r="2441" spans="8:9">
      <c r="H2441" s="66" t="e">
        <f>IF(OR(LEFT(B2441,FIND("_",B2441,1)-1)="ULGALLOC",LEFT(B2441,FIND("_",B2441,1)-1)="ULSPOOL"),LEFT(B2441,FIND("_",B2441,1)-1),VLOOKUP(LEFT(A2441,6),'Code Library'!$D$3:$E$200,2,0))&amp;"_"&amp;RIGHT(A2441,3)</f>
        <v>#VALUE!</v>
      </c>
      <c r="I2441" s="66">
        <f t="shared" si="38"/>
        <v>0</v>
      </c>
    </row>
    <row r="2442" spans="8:9">
      <c r="H2442" s="66" t="e">
        <f>IF(OR(LEFT(B2442,FIND("_",B2442,1)-1)="ULGALLOC",LEFT(B2442,FIND("_",B2442,1)-1)="ULSPOOL"),LEFT(B2442,FIND("_",B2442,1)-1),VLOOKUP(LEFT(A2442,6),'Code Library'!$D$3:$E$200,2,0))&amp;"_"&amp;RIGHT(A2442,3)</f>
        <v>#VALUE!</v>
      </c>
      <c r="I2442" s="66">
        <f t="shared" si="38"/>
        <v>0</v>
      </c>
    </row>
    <row r="2443" spans="8:9">
      <c r="H2443" s="66" t="e">
        <f>IF(OR(LEFT(B2443,FIND("_",B2443,1)-1)="ULGALLOC",LEFT(B2443,FIND("_",B2443,1)-1)="ULSPOOL"),LEFT(B2443,FIND("_",B2443,1)-1),VLOOKUP(LEFT(A2443,6),'Code Library'!$D$3:$E$200,2,0))&amp;"_"&amp;RIGHT(A2443,3)</f>
        <v>#VALUE!</v>
      </c>
      <c r="I2443" s="66">
        <f t="shared" si="38"/>
        <v>0</v>
      </c>
    </row>
    <row r="2444" spans="8:9">
      <c r="H2444" s="66" t="e">
        <f>IF(OR(LEFT(B2444,FIND("_",B2444,1)-1)="ULGALLOC",LEFT(B2444,FIND("_",B2444,1)-1)="ULSPOOL"),LEFT(B2444,FIND("_",B2444,1)-1),VLOOKUP(LEFT(A2444,6),'Code Library'!$D$3:$E$200,2,0))&amp;"_"&amp;RIGHT(A2444,3)</f>
        <v>#VALUE!</v>
      </c>
      <c r="I2444" s="66">
        <f t="shared" si="38"/>
        <v>0</v>
      </c>
    </row>
    <row r="2445" spans="8:9">
      <c r="H2445" s="66" t="e">
        <f>IF(OR(LEFT(B2445,FIND("_",B2445,1)-1)="ULGALLOC",LEFT(B2445,FIND("_",B2445,1)-1)="ULSPOOL"),LEFT(B2445,FIND("_",B2445,1)-1),VLOOKUP(LEFT(A2445,6),'Code Library'!$D$3:$E$200,2,0))&amp;"_"&amp;RIGHT(A2445,3)</f>
        <v>#VALUE!</v>
      </c>
      <c r="I2445" s="66">
        <f t="shared" si="38"/>
        <v>0</v>
      </c>
    </row>
    <row r="2446" spans="8:9">
      <c r="H2446" s="66" t="e">
        <f>IF(OR(LEFT(B2446,FIND("_",B2446,1)-1)="ULGALLOC",LEFT(B2446,FIND("_",B2446,1)-1)="ULSPOOL"),LEFT(B2446,FIND("_",B2446,1)-1),VLOOKUP(LEFT(A2446,6),'Code Library'!$D$3:$E$200,2,0))&amp;"_"&amp;RIGHT(A2446,3)</f>
        <v>#VALUE!</v>
      </c>
      <c r="I2446" s="66">
        <f t="shared" si="38"/>
        <v>0</v>
      </c>
    </row>
    <row r="2447" spans="8:9">
      <c r="H2447" s="66" t="e">
        <f>IF(OR(LEFT(B2447,FIND("_",B2447,1)-1)="ULGALLOC",LEFT(B2447,FIND("_",B2447,1)-1)="ULSPOOL"),LEFT(B2447,FIND("_",B2447,1)-1),VLOOKUP(LEFT(A2447,6),'Code Library'!$D$3:$E$200,2,0))&amp;"_"&amp;RIGHT(A2447,3)</f>
        <v>#VALUE!</v>
      </c>
      <c r="I2447" s="66">
        <f t="shared" si="38"/>
        <v>0</v>
      </c>
    </row>
    <row r="2448" spans="8:9">
      <c r="H2448" s="66" t="e">
        <f>IF(OR(LEFT(B2448,FIND("_",B2448,1)-1)="ULGALLOC",LEFT(B2448,FIND("_",B2448,1)-1)="ULSPOOL"),LEFT(B2448,FIND("_",B2448,1)-1),VLOOKUP(LEFT(A2448,6),'Code Library'!$D$3:$E$200,2,0))&amp;"_"&amp;RIGHT(A2448,3)</f>
        <v>#VALUE!</v>
      </c>
      <c r="I2448" s="66">
        <f t="shared" si="38"/>
        <v>0</v>
      </c>
    </row>
    <row r="2449" spans="8:9">
      <c r="H2449" s="66" t="e">
        <f>IF(OR(LEFT(B2449,FIND("_",B2449,1)-1)="ULGALLOC",LEFT(B2449,FIND("_",B2449,1)-1)="ULSPOOL"),LEFT(B2449,FIND("_",B2449,1)-1),VLOOKUP(LEFT(A2449,6),'Code Library'!$D$3:$E$200,2,0))&amp;"_"&amp;RIGHT(A2449,3)</f>
        <v>#VALUE!</v>
      </c>
      <c r="I2449" s="66">
        <f t="shared" si="38"/>
        <v>0</v>
      </c>
    </row>
    <row r="2450" spans="8:9">
      <c r="H2450" s="66" t="e">
        <f>IF(OR(LEFT(B2450,FIND("_",B2450,1)-1)="ULGALLOC",LEFT(B2450,FIND("_",B2450,1)-1)="ULSPOOL"),LEFT(B2450,FIND("_",B2450,1)-1),VLOOKUP(LEFT(A2450,6),'Code Library'!$D$3:$E$200,2,0))&amp;"_"&amp;RIGHT(A2450,3)</f>
        <v>#VALUE!</v>
      </c>
      <c r="I2450" s="66">
        <f t="shared" si="38"/>
        <v>0</v>
      </c>
    </row>
    <row r="2451" spans="8:9">
      <c r="H2451" s="66" t="e">
        <f>IF(OR(LEFT(B2451,FIND("_",B2451,1)-1)="ULGALLOC",LEFT(B2451,FIND("_",B2451,1)-1)="ULSPOOL"),LEFT(B2451,FIND("_",B2451,1)-1),VLOOKUP(LEFT(A2451,6),'Code Library'!$D$3:$E$200,2,0))&amp;"_"&amp;RIGHT(A2451,3)</f>
        <v>#VALUE!</v>
      </c>
      <c r="I2451" s="66">
        <f t="shared" si="38"/>
        <v>0</v>
      </c>
    </row>
    <row r="2452" spans="8:9">
      <c r="H2452" s="66" t="e">
        <f>IF(OR(LEFT(B2452,FIND("_",B2452,1)-1)="ULGALLOC",LEFT(B2452,FIND("_",B2452,1)-1)="ULSPOOL"),LEFT(B2452,FIND("_",B2452,1)-1),VLOOKUP(LEFT(A2452,6),'Code Library'!$D$3:$E$200,2,0))&amp;"_"&amp;RIGHT(A2452,3)</f>
        <v>#VALUE!</v>
      </c>
      <c r="I2452" s="66">
        <f t="shared" si="38"/>
        <v>0</v>
      </c>
    </row>
    <row r="2453" spans="8:9">
      <c r="H2453" s="66" t="e">
        <f>IF(OR(LEFT(B2453,FIND("_",B2453,1)-1)="ULGALLOC",LEFT(B2453,FIND("_",B2453,1)-1)="ULSPOOL"),LEFT(B2453,FIND("_",B2453,1)-1),VLOOKUP(LEFT(A2453,6),'Code Library'!$D$3:$E$200,2,0))&amp;"_"&amp;RIGHT(A2453,3)</f>
        <v>#VALUE!</v>
      </c>
      <c r="I2453" s="66">
        <f t="shared" si="38"/>
        <v>0</v>
      </c>
    </row>
    <row r="2454" spans="8:9">
      <c r="H2454" s="66" t="e">
        <f>IF(OR(LEFT(B2454,FIND("_",B2454,1)-1)="ULGALLOC",LEFT(B2454,FIND("_",B2454,1)-1)="ULSPOOL"),LEFT(B2454,FIND("_",B2454,1)-1),VLOOKUP(LEFT(A2454,6),'Code Library'!$D$3:$E$200,2,0))&amp;"_"&amp;RIGHT(A2454,3)</f>
        <v>#VALUE!</v>
      </c>
      <c r="I2454" s="66">
        <f t="shared" si="38"/>
        <v>0</v>
      </c>
    </row>
    <row r="2455" spans="8:9">
      <c r="H2455" s="66" t="e">
        <f>IF(OR(LEFT(B2455,FIND("_",B2455,1)-1)="ULGALLOC",LEFT(B2455,FIND("_",B2455,1)-1)="ULSPOOL"),LEFT(B2455,FIND("_",B2455,1)-1),VLOOKUP(LEFT(A2455,6),'Code Library'!$D$3:$E$200,2,0))&amp;"_"&amp;RIGHT(A2455,3)</f>
        <v>#VALUE!</v>
      </c>
      <c r="I2455" s="66">
        <f t="shared" si="38"/>
        <v>0</v>
      </c>
    </row>
    <row r="2456" spans="8:9">
      <c r="H2456" s="66" t="e">
        <f>IF(OR(LEFT(B2456,FIND("_",B2456,1)-1)="ULGALLOC",LEFT(B2456,FIND("_",B2456,1)-1)="ULSPOOL"),LEFT(B2456,FIND("_",B2456,1)-1),VLOOKUP(LEFT(A2456,6),'Code Library'!$D$3:$E$200,2,0))&amp;"_"&amp;RIGHT(A2456,3)</f>
        <v>#VALUE!</v>
      </c>
      <c r="I2456" s="66">
        <f t="shared" si="38"/>
        <v>0</v>
      </c>
    </row>
    <row r="2457" spans="8:9">
      <c r="H2457" s="66" t="e">
        <f>IF(OR(LEFT(B2457,FIND("_",B2457,1)-1)="ULGALLOC",LEFT(B2457,FIND("_",B2457,1)-1)="ULSPOOL"),LEFT(B2457,FIND("_",B2457,1)-1),VLOOKUP(LEFT(A2457,6),'Code Library'!$D$3:$E$200,2,0))&amp;"_"&amp;RIGHT(A2457,3)</f>
        <v>#VALUE!</v>
      </c>
      <c r="I2457" s="66">
        <f t="shared" si="38"/>
        <v>0</v>
      </c>
    </row>
    <row r="2458" spans="8:9">
      <c r="H2458" s="66" t="e">
        <f>IF(OR(LEFT(B2458,FIND("_",B2458,1)-1)="ULGALLOC",LEFT(B2458,FIND("_",B2458,1)-1)="ULSPOOL"),LEFT(B2458,FIND("_",B2458,1)-1),VLOOKUP(LEFT(A2458,6),'Code Library'!$D$3:$E$200,2,0))&amp;"_"&amp;RIGHT(A2458,3)</f>
        <v>#VALUE!</v>
      </c>
      <c r="I2458" s="66">
        <f t="shared" si="38"/>
        <v>0</v>
      </c>
    </row>
    <row r="2459" spans="8:9">
      <c r="H2459" s="66" t="e">
        <f>IF(OR(LEFT(B2459,FIND("_",B2459,1)-1)="ULGALLOC",LEFT(B2459,FIND("_",B2459,1)-1)="ULSPOOL"),LEFT(B2459,FIND("_",B2459,1)-1),VLOOKUP(LEFT(A2459,6),'Code Library'!$D$3:$E$200,2,0))&amp;"_"&amp;RIGHT(A2459,3)</f>
        <v>#VALUE!</v>
      </c>
      <c r="I2459" s="66">
        <f t="shared" si="38"/>
        <v>0</v>
      </c>
    </row>
    <row r="2460" spans="8:9">
      <c r="H2460" s="66" t="e">
        <f>IF(OR(LEFT(B2460,FIND("_",B2460,1)-1)="ULGALLOC",LEFT(B2460,FIND("_",B2460,1)-1)="ULSPOOL"),LEFT(B2460,FIND("_",B2460,1)-1),VLOOKUP(LEFT(A2460,6),'Code Library'!$D$3:$E$200,2,0))&amp;"_"&amp;RIGHT(A2460,3)</f>
        <v>#VALUE!</v>
      </c>
      <c r="I2460" s="66">
        <f t="shared" si="38"/>
        <v>0</v>
      </c>
    </row>
    <row r="2461" spans="8:9">
      <c r="H2461" s="66" t="e">
        <f>IF(OR(LEFT(B2461,FIND("_",B2461,1)-1)="ULGALLOC",LEFT(B2461,FIND("_",B2461,1)-1)="ULSPOOL"),LEFT(B2461,FIND("_",B2461,1)-1),VLOOKUP(LEFT(A2461,6),'Code Library'!$D$3:$E$200,2,0))&amp;"_"&amp;RIGHT(A2461,3)</f>
        <v>#VALUE!</v>
      </c>
      <c r="I2461" s="66">
        <f t="shared" si="38"/>
        <v>0</v>
      </c>
    </row>
    <row r="2462" spans="8:9">
      <c r="H2462" s="66" t="e">
        <f>IF(OR(LEFT(B2462,FIND("_",B2462,1)-1)="ULGALLOC",LEFT(B2462,FIND("_",B2462,1)-1)="ULSPOOL"),LEFT(B2462,FIND("_",B2462,1)-1),VLOOKUP(LEFT(A2462,6),'Code Library'!$D$3:$E$200,2,0))&amp;"_"&amp;RIGHT(A2462,3)</f>
        <v>#VALUE!</v>
      </c>
      <c r="I2462" s="66">
        <f t="shared" si="38"/>
        <v>0</v>
      </c>
    </row>
    <row r="2463" spans="8:9">
      <c r="H2463" s="66" t="e">
        <f>IF(OR(LEFT(B2463,FIND("_",B2463,1)-1)="ULGALLOC",LEFT(B2463,FIND("_",B2463,1)-1)="ULSPOOL"),LEFT(B2463,FIND("_",B2463,1)-1),VLOOKUP(LEFT(A2463,6),'Code Library'!$D$3:$E$200,2,0))&amp;"_"&amp;RIGHT(A2463,3)</f>
        <v>#VALUE!</v>
      </c>
      <c r="I2463" s="66">
        <f t="shared" si="38"/>
        <v>0</v>
      </c>
    </row>
    <row r="2464" spans="8:9">
      <c r="H2464" s="66" t="e">
        <f>IF(OR(LEFT(B2464,FIND("_",B2464,1)-1)="ULGALLOC",LEFT(B2464,FIND("_",B2464,1)-1)="ULSPOOL"),LEFT(B2464,FIND("_",B2464,1)-1),VLOOKUP(LEFT(A2464,6),'Code Library'!$D$3:$E$200,2,0))&amp;"_"&amp;RIGHT(A2464,3)</f>
        <v>#VALUE!</v>
      </c>
      <c r="I2464" s="66">
        <f t="shared" si="38"/>
        <v>0</v>
      </c>
    </row>
    <row r="2465" spans="8:9">
      <c r="H2465" s="66" t="e">
        <f>IF(OR(LEFT(B2465,FIND("_",B2465,1)-1)="ULGALLOC",LEFT(B2465,FIND("_",B2465,1)-1)="ULSPOOL"),LEFT(B2465,FIND("_",B2465,1)-1),VLOOKUP(LEFT(A2465,6),'Code Library'!$D$3:$E$200,2,0))&amp;"_"&amp;RIGHT(A2465,3)</f>
        <v>#VALUE!</v>
      </c>
      <c r="I2465" s="66">
        <f t="shared" si="38"/>
        <v>0</v>
      </c>
    </row>
    <row r="2466" spans="8:9">
      <c r="H2466" s="66" t="e">
        <f>IF(OR(LEFT(B2466,FIND("_",B2466,1)-1)="ULGALLOC",LEFT(B2466,FIND("_",B2466,1)-1)="ULSPOOL"),LEFT(B2466,FIND("_",B2466,1)-1),VLOOKUP(LEFT(A2466,6),'Code Library'!$D$3:$E$200,2,0))&amp;"_"&amp;RIGHT(A2466,3)</f>
        <v>#VALUE!</v>
      </c>
      <c r="I2466" s="66">
        <f t="shared" si="38"/>
        <v>0</v>
      </c>
    </row>
    <row r="2467" spans="8:9">
      <c r="H2467" s="66" t="e">
        <f>IF(OR(LEFT(B2467,FIND("_",B2467,1)-1)="ULGALLOC",LEFT(B2467,FIND("_",B2467,1)-1)="ULSPOOL"),LEFT(B2467,FIND("_",B2467,1)-1),VLOOKUP(LEFT(A2467,6),'Code Library'!$D$3:$E$200,2,0))&amp;"_"&amp;RIGHT(A2467,3)</f>
        <v>#VALUE!</v>
      </c>
      <c r="I2467" s="66">
        <f t="shared" si="38"/>
        <v>0</v>
      </c>
    </row>
    <row r="2468" spans="8:9">
      <c r="H2468" s="66" t="e">
        <f>IF(OR(LEFT(B2468,FIND("_",B2468,1)-1)="ULGALLOC",LEFT(B2468,FIND("_",B2468,1)-1)="ULSPOOL"),LEFT(B2468,FIND("_",B2468,1)-1),VLOOKUP(LEFT(A2468,6),'Code Library'!$D$3:$E$200,2,0))&amp;"_"&amp;RIGHT(A2468,3)</f>
        <v>#VALUE!</v>
      </c>
      <c r="I2468" s="66">
        <f t="shared" si="38"/>
        <v>0</v>
      </c>
    </row>
    <row r="2469" spans="8:9">
      <c r="H2469" s="66" t="e">
        <f>IF(OR(LEFT(B2469,FIND("_",B2469,1)-1)="ULGALLOC",LEFT(B2469,FIND("_",B2469,1)-1)="ULSPOOL"),LEFT(B2469,FIND("_",B2469,1)-1),VLOOKUP(LEFT(A2469,6),'Code Library'!$D$3:$E$200,2,0))&amp;"_"&amp;RIGHT(A2469,3)</f>
        <v>#VALUE!</v>
      </c>
      <c r="I2469" s="66">
        <f t="shared" si="38"/>
        <v>0</v>
      </c>
    </row>
    <row r="2470" spans="8:9">
      <c r="H2470" s="66" t="e">
        <f>IF(OR(LEFT(B2470,FIND("_",B2470,1)-1)="ULGALLOC",LEFT(B2470,FIND("_",B2470,1)-1)="ULSPOOL"),LEFT(B2470,FIND("_",B2470,1)-1),VLOOKUP(LEFT(A2470,6),'Code Library'!$D$3:$E$200,2,0))&amp;"_"&amp;RIGHT(A2470,3)</f>
        <v>#VALUE!</v>
      </c>
      <c r="I2470" s="66">
        <f t="shared" si="38"/>
        <v>0</v>
      </c>
    </row>
    <row r="2471" spans="8:9">
      <c r="H2471" s="66" t="e">
        <f>IF(OR(LEFT(B2471,FIND("_",B2471,1)-1)="ULGALLOC",LEFT(B2471,FIND("_",B2471,1)-1)="ULSPOOL"),LEFT(B2471,FIND("_",B2471,1)-1),VLOOKUP(LEFT(A2471,6),'Code Library'!$D$3:$E$200,2,0))&amp;"_"&amp;RIGHT(A2471,3)</f>
        <v>#VALUE!</v>
      </c>
      <c r="I2471" s="66">
        <f t="shared" si="38"/>
        <v>0</v>
      </c>
    </row>
    <row r="2472" spans="8:9">
      <c r="H2472" s="66" t="e">
        <f>IF(OR(LEFT(B2472,FIND("_",B2472,1)-1)="ULGALLOC",LEFT(B2472,FIND("_",B2472,1)-1)="ULSPOOL"),LEFT(B2472,FIND("_",B2472,1)-1),VLOOKUP(LEFT(A2472,6),'Code Library'!$D$3:$E$200,2,0))&amp;"_"&amp;RIGHT(A2472,3)</f>
        <v>#VALUE!</v>
      </c>
      <c r="I2472" s="66">
        <f t="shared" si="38"/>
        <v>0</v>
      </c>
    </row>
    <row r="2473" spans="8:9">
      <c r="H2473" s="66" t="e">
        <f>IF(OR(LEFT(B2473,FIND("_",B2473,1)-1)="ULGALLOC",LEFT(B2473,FIND("_",B2473,1)-1)="ULSPOOL"),LEFT(B2473,FIND("_",B2473,1)-1),VLOOKUP(LEFT(A2473,6),'Code Library'!$D$3:$E$200,2,0))&amp;"_"&amp;RIGHT(A2473,3)</f>
        <v>#VALUE!</v>
      </c>
      <c r="I2473" s="66">
        <f t="shared" si="38"/>
        <v>0</v>
      </c>
    </row>
    <row r="2474" spans="8:9">
      <c r="H2474" s="66" t="e">
        <f>IF(OR(LEFT(B2474,FIND("_",B2474,1)-1)="ULGALLOC",LEFT(B2474,FIND("_",B2474,1)-1)="ULSPOOL"),LEFT(B2474,FIND("_",B2474,1)-1),VLOOKUP(LEFT(A2474,6),'Code Library'!$D$3:$E$200,2,0))&amp;"_"&amp;RIGHT(A2474,3)</f>
        <v>#VALUE!</v>
      </c>
      <c r="I2474" s="66">
        <f t="shared" si="38"/>
        <v>0</v>
      </c>
    </row>
    <row r="2475" spans="8:9">
      <c r="H2475" s="66" t="e">
        <f>IF(OR(LEFT(B2475,FIND("_",B2475,1)-1)="ULGALLOC",LEFT(B2475,FIND("_",B2475,1)-1)="ULSPOOL"),LEFT(B2475,FIND("_",B2475,1)-1),VLOOKUP(LEFT(A2475,6),'Code Library'!$D$3:$E$200,2,0))&amp;"_"&amp;RIGHT(A2475,3)</f>
        <v>#VALUE!</v>
      </c>
      <c r="I2475" s="66">
        <f t="shared" si="38"/>
        <v>0</v>
      </c>
    </row>
    <row r="2476" spans="8:9">
      <c r="H2476" s="66" t="e">
        <f>IF(OR(LEFT(B2476,FIND("_",B2476,1)-1)="ULGALLOC",LEFT(B2476,FIND("_",B2476,1)-1)="ULSPOOL"),LEFT(B2476,FIND("_",B2476,1)-1),VLOOKUP(LEFT(A2476,6),'Code Library'!$D$3:$E$200,2,0))&amp;"_"&amp;RIGHT(A2476,3)</f>
        <v>#VALUE!</v>
      </c>
      <c r="I2476" s="66">
        <f t="shared" si="38"/>
        <v>0</v>
      </c>
    </row>
    <row r="2477" spans="8:9">
      <c r="H2477" s="66" t="e">
        <f>IF(OR(LEFT(B2477,FIND("_",B2477,1)-1)="ULGALLOC",LEFT(B2477,FIND("_",B2477,1)-1)="ULSPOOL"),LEFT(B2477,FIND("_",B2477,1)-1),VLOOKUP(LEFT(A2477,6),'Code Library'!$D$3:$E$200,2,0))&amp;"_"&amp;RIGHT(A2477,3)</f>
        <v>#VALUE!</v>
      </c>
      <c r="I2477" s="66">
        <f t="shared" si="38"/>
        <v>0</v>
      </c>
    </row>
    <row r="2478" spans="8:9">
      <c r="H2478" s="66" t="e">
        <f>IF(OR(LEFT(B2478,FIND("_",B2478,1)-1)="ULGALLOC",LEFT(B2478,FIND("_",B2478,1)-1)="ULSPOOL"),LEFT(B2478,FIND("_",B2478,1)-1),VLOOKUP(LEFT(A2478,6),'Code Library'!$D$3:$E$200,2,0))&amp;"_"&amp;RIGHT(A2478,3)</f>
        <v>#VALUE!</v>
      </c>
      <c r="I2478" s="66">
        <f t="shared" si="38"/>
        <v>0</v>
      </c>
    </row>
    <row r="2479" spans="8:9">
      <c r="H2479" s="66" t="e">
        <f>IF(OR(LEFT(B2479,FIND("_",B2479,1)-1)="ULGALLOC",LEFT(B2479,FIND("_",B2479,1)-1)="ULSPOOL"),LEFT(B2479,FIND("_",B2479,1)-1),VLOOKUP(LEFT(A2479,6),'Code Library'!$D$3:$E$200,2,0))&amp;"_"&amp;RIGHT(A2479,3)</f>
        <v>#VALUE!</v>
      </c>
      <c r="I2479" s="66">
        <f t="shared" si="38"/>
        <v>0</v>
      </c>
    </row>
    <row r="2480" spans="8:9">
      <c r="H2480" s="66" t="e">
        <f>IF(OR(LEFT(B2480,FIND("_",B2480,1)-1)="ULGALLOC",LEFT(B2480,FIND("_",B2480,1)-1)="ULSPOOL"),LEFT(B2480,FIND("_",B2480,1)-1),VLOOKUP(LEFT(A2480,6),'Code Library'!$D$3:$E$200,2,0))&amp;"_"&amp;RIGHT(A2480,3)</f>
        <v>#VALUE!</v>
      </c>
      <c r="I2480" s="66">
        <f t="shared" si="38"/>
        <v>0</v>
      </c>
    </row>
    <row r="2481" spans="8:9">
      <c r="H2481" s="66" t="e">
        <f>IF(OR(LEFT(B2481,FIND("_",B2481,1)-1)="ULGALLOC",LEFT(B2481,FIND("_",B2481,1)-1)="ULSPOOL"),LEFT(B2481,FIND("_",B2481,1)-1),VLOOKUP(LEFT(A2481,6),'Code Library'!$D$3:$E$200,2,0))&amp;"_"&amp;RIGHT(A2481,3)</f>
        <v>#VALUE!</v>
      </c>
      <c r="I2481" s="66">
        <f t="shared" si="38"/>
        <v>0</v>
      </c>
    </row>
    <row r="2482" spans="8:9">
      <c r="H2482" s="66" t="e">
        <f>IF(OR(LEFT(B2482,FIND("_",B2482,1)-1)="ULGALLOC",LEFT(B2482,FIND("_",B2482,1)-1)="ULSPOOL"),LEFT(B2482,FIND("_",B2482,1)-1),VLOOKUP(LEFT(A2482,6),'Code Library'!$D$3:$E$200,2,0))&amp;"_"&amp;RIGHT(A2482,3)</f>
        <v>#VALUE!</v>
      </c>
      <c r="I2482" s="66">
        <f t="shared" si="38"/>
        <v>0</v>
      </c>
    </row>
    <row r="2483" spans="8:9">
      <c r="H2483" s="66" t="e">
        <f>IF(OR(LEFT(B2483,FIND("_",B2483,1)-1)="ULGALLOC",LEFT(B2483,FIND("_",B2483,1)-1)="ULSPOOL"),LEFT(B2483,FIND("_",B2483,1)-1),VLOOKUP(LEFT(A2483,6),'Code Library'!$D$3:$E$200,2,0))&amp;"_"&amp;RIGHT(A2483,3)</f>
        <v>#VALUE!</v>
      </c>
      <c r="I2483" s="66">
        <f t="shared" si="38"/>
        <v>0</v>
      </c>
    </row>
    <row r="2484" spans="8:9">
      <c r="H2484" s="66" t="e">
        <f>IF(OR(LEFT(B2484,FIND("_",B2484,1)-1)="ULGALLOC",LEFT(B2484,FIND("_",B2484,1)-1)="ULSPOOL"),LEFT(B2484,FIND("_",B2484,1)-1),VLOOKUP(LEFT(A2484,6),'Code Library'!$D$3:$E$200,2,0))&amp;"_"&amp;RIGHT(A2484,3)</f>
        <v>#VALUE!</v>
      </c>
      <c r="I2484" s="66">
        <f t="shared" si="38"/>
        <v>0</v>
      </c>
    </row>
    <row r="2485" spans="8:9">
      <c r="H2485" s="66" t="e">
        <f>IF(OR(LEFT(B2485,FIND("_",B2485,1)-1)="ULGALLOC",LEFT(B2485,FIND("_",B2485,1)-1)="ULSPOOL"),LEFT(B2485,FIND("_",B2485,1)-1),VLOOKUP(LEFT(A2485,6),'Code Library'!$D$3:$E$200,2,0))&amp;"_"&amp;RIGHT(A2485,3)</f>
        <v>#VALUE!</v>
      </c>
      <c r="I2485" s="66">
        <f t="shared" si="38"/>
        <v>0</v>
      </c>
    </row>
    <row r="2486" spans="8:9">
      <c r="H2486" s="66" t="e">
        <f>IF(OR(LEFT(B2486,FIND("_",B2486,1)-1)="ULGALLOC",LEFT(B2486,FIND("_",B2486,1)-1)="ULSPOOL"),LEFT(B2486,FIND("_",B2486,1)-1),VLOOKUP(LEFT(A2486,6),'Code Library'!$D$3:$E$200,2,0))&amp;"_"&amp;RIGHT(A2486,3)</f>
        <v>#VALUE!</v>
      </c>
      <c r="I2486" s="66">
        <f t="shared" si="38"/>
        <v>0</v>
      </c>
    </row>
    <row r="2487" spans="8:9">
      <c r="H2487" s="66" t="e">
        <f>IF(OR(LEFT(B2487,FIND("_",B2487,1)-1)="ULGALLOC",LEFT(B2487,FIND("_",B2487,1)-1)="ULSPOOL"),LEFT(B2487,FIND("_",B2487,1)-1),VLOOKUP(LEFT(A2487,6),'Code Library'!$D$3:$E$200,2,0))&amp;"_"&amp;RIGHT(A2487,3)</f>
        <v>#VALUE!</v>
      </c>
      <c r="I2487" s="66">
        <f t="shared" si="38"/>
        <v>0</v>
      </c>
    </row>
    <row r="2488" spans="8:9">
      <c r="H2488" s="66" t="e">
        <f>IF(OR(LEFT(B2488,FIND("_",B2488,1)-1)="ULGALLOC",LEFT(B2488,FIND("_",B2488,1)-1)="ULSPOOL"),LEFT(B2488,FIND("_",B2488,1)-1),VLOOKUP(LEFT(A2488,6),'Code Library'!$D$3:$E$200,2,0))&amp;"_"&amp;RIGHT(A2488,3)</f>
        <v>#VALUE!</v>
      </c>
      <c r="I2488" s="66">
        <f t="shared" si="38"/>
        <v>0</v>
      </c>
    </row>
    <row r="2489" spans="8:9">
      <c r="H2489" s="66" t="e">
        <f>IF(OR(LEFT(B2489,FIND("_",B2489,1)-1)="ULGALLOC",LEFT(B2489,FIND("_",B2489,1)-1)="ULSPOOL"),LEFT(B2489,FIND("_",B2489,1)-1),VLOOKUP(LEFT(A2489,6),'Code Library'!$D$3:$E$200,2,0))&amp;"_"&amp;RIGHT(A2489,3)</f>
        <v>#VALUE!</v>
      </c>
      <c r="I2489" s="66">
        <f t="shared" si="38"/>
        <v>0</v>
      </c>
    </row>
    <row r="2490" spans="8:9">
      <c r="H2490" s="66" t="e">
        <f>IF(OR(LEFT(B2490,FIND("_",B2490,1)-1)="ULGALLOC",LEFT(B2490,FIND("_",B2490,1)-1)="ULSPOOL"),LEFT(B2490,FIND("_",B2490,1)-1),VLOOKUP(LEFT(A2490,6),'Code Library'!$D$3:$E$200,2,0))&amp;"_"&amp;RIGHT(A2490,3)</f>
        <v>#VALUE!</v>
      </c>
      <c r="I2490" s="66">
        <f t="shared" si="38"/>
        <v>0</v>
      </c>
    </row>
    <row r="2491" spans="8:9">
      <c r="H2491" s="66" t="e">
        <f>IF(OR(LEFT(B2491,FIND("_",B2491,1)-1)="ULGALLOC",LEFT(B2491,FIND("_",B2491,1)-1)="ULSPOOL"),LEFT(B2491,FIND("_",B2491,1)-1),VLOOKUP(LEFT(A2491,6),'Code Library'!$D$3:$E$200,2,0))&amp;"_"&amp;RIGHT(A2491,3)</f>
        <v>#VALUE!</v>
      </c>
      <c r="I2491" s="66">
        <f t="shared" si="38"/>
        <v>0</v>
      </c>
    </row>
    <row r="2492" spans="8:9">
      <c r="H2492" s="66" t="e">
        <f>IF(OR(LEFT(B2492,FIND("_",B2492,1)-1)="ULGALLOC",LEFT(B2492,FIND("_",B2492,1)-1)="ULSPOOL"),LEFT(B2492,FIND("_",B2492,1)-1),VLOOKUP(LEFT(A2492,6),'Code Library'!$D$3:$E$200,2,0))&amp;"_"&amp;RIGHT(A2492,3)</f>
        <v>#VALUE!</v>
      </c>
      <c r="I2492" s="66">
        <f t="shared" si="38"/>
        <v>0</v>
      </c>
    </row>
    <row r="2493" spans="8:9">
      <c r="H2493" s="66" t="e">
        <f>IF(OR(LEFT(B2493,FIND("_",B2493,1)-1)="ULGALLOC",LEFT(B2493,FIND("_",B2493,1)-1)="ULSPOOL"),LEFT(B2493,FIND("_",B2493,1)-1),VLOOKUP(LEFT(A2493,6),'Code Library'!$D$3:$E$200,2,0))&amp;"_"&amp;RIGHT(A2493,3)</f>
        <v>#VALUE!</v>
      </c>
      <c r="I2493" s="66">
        <f t="shared" si="38"/>
        <v>0</v>
      </c>
    </row>
    <row r="2494" spans="8:9">
      <c r="H2494" s="66" t="e">
        <f>IF(OR(LEFT(B2494,FIND("_",B2494,1)-1)="ULGALLOC",LEFT(B2494,FIND("_",B2494,1)-1)="ULSPOOL"),LEFT(B2494,FIND("_",B2494,1)-1),VLOOKUP(LEFT(A2494,6),'Code Library'!$D$3:$E$200,2,0))&amp;"_"&amp;RIGHT(A2494,3)</f>
        <v>#VALUE!</v>
      </c>
      <c r="I2494" s="66">
        <f t="shared" si="38"/>
        <v>0</v>
      </c>
    </row>
    <row r="2495" spans="8:9">
      <c r="H2495" s="66" t="e">
        <f>IF(OR(LEFT(B2495,FIND("_",B2495,1)-1)="ULGALLOC",LEFT(B2495,FIND("_",B2495,1)-1)="ULSPOOL"),LEFT(B2495,FIND("_",B2495,1)-1),VLOOKUP(LEFT(A2495,6),'Code Library'!$D$3:$E$200,2,0))&amp;"_"&amp;RIGHT(A2495,3)</f>
        <v>#VALUE!</v>
      </c>
      <c r="I2495" s="66">
        <f t="shared" si="38"/>
        <v>0</v>
      </c>
    </row>
    <row r="2496" spans="8:9">
      <c r="H2496" s="66" t="e">
        <f>IF(OR(LEFT(B2496,FIND("_",B2496,1)-1)="ULGALLOC",LEFT(B2496,FIND("_",B2496,1)-1)="ULSPOOL"),LEFT(B2496,FIND("_",B2496,1)-1),VLOOKUP(LEFT(A2496,6),'Code Library'!$D$3:$E$200,2,0))&amp;"_"&amp;RIGHT(A2496,3)</f>
        <v>#VALUE!</v>
      </c>
      <c r="I2496" s="66">
        <f t="shared" si="38"/>
        <v>0</v>
      </c>
    </row>
    <row r="2497" spans="8:9">
      <c r="H2497" s="66" t="e">
        <f>IF(OR(LEFT(B2497,FIND("_",B2497,1)-1)="ULGALLOC",LEFT(B2497,FIND("_",B2497,1)-1)="ULSPOOL"),LEFT(B2497,FIND("_",B2497,1)-1),VLOOKUP(LEFT(A2497,6),'Code Library'!$D$3:$E$200,2,0))&amp;"_"&amp;RIGHT(A2497,3)</f>
        <v>#VALUE!</v>
      </c>
      <c r="I2497" s="66">
        <f t="shared" si="38"/>
        <v>0</v>
      </c>
    </row>
    <row r="2498" spans="8:9">
      <c r="H2498" s="66" t="e">
        <f>IF(OR(LEFT(B2498,FIND("_",B2498,1)-1)="ULGALLOC",LEFT(B2498,FIND("_",B2498,1)-1)="ULSPOOL"),LEFT(B2498,FIND("_",B2498,1)-1),VLOOKUP(LEFT(A2498,6),'Code Library'!$D$3:$E$200,2,0))&amp;"_"&amp;RIGHT(A2498,3)</f>
        <v>#VALUE!</v>
      </c>
      <c r="I2498" s="66">
        <f t="shared" si="38"/>
        <v>0</v>
      </c>
    </row>
    <row r="2499" spans="8:9">
      <c r="H2499" s="66" t="e">
        <f>IF(OR(LEFT(B2499,FIND("_",B2499,1)-1)="ULGALLOC",LEFT(B2499,FIND("_",B2499,1)-1)="ULSPOOL"),LEFT(B2499,FIND("_",B2499,1)-1),VLOOKUP(LEFT(A2499,6),'Code Library'!$D$3:$E$200,2,0))&amp;"_"&amp;RIGHT(A2499,3)</f>
        <v>#VALUE!</v>
      </c>
      <c r="I2499" s="66">
        <f t="shared" ref="I2499:I2562" si="39">A2499</f>
        <v>0</v>
      </c>
    </row>
    <row r="2500" spans="8:9">
      <c r="H2500" s="66" t="e">
        <f>IF(OR(LEFT(B2500,FIND("_",B2500,1)-1)="ULGALLOC",LEFT(B2500,FIND("_",B2500,1)-1)="ULSPOOL"),LEFT(B2500,FIND("_",B2500,1)-1),VLOOKUP(LEFT(A2500,6),'Code Library'!$D$3:$E$200,2,0))&amp;"_"&amp;RIGHT(A2500,3)</f>
        <v>#VALUE!</v>
      </c>
      <c r="I2500" s="66">
        <f t="shared" si="39"/>
        <v>0</v>
      </c>
    </row>
    <row r="2501" spans="8:9">
      <c r="H2501" s="66" t="e">
        <f>IF(OR(LEFT(B2501,FIND("_",B2501,1)-1)="ULGALLOC",LEFT(B2501,FIND("_",B2501,1)-1)="ULSPOOL"),LEFT(B2501,FIND("_",B2501,1)-1),VLOOKUP(LEFT(A2501,6),'Code Library'!$D$3:$E$200,2,0))&amp;"_"&amp;RIGHT(A2501,3)</f>
        <v>#VALUE!</v>
      </c>
      <c r="I2501" s="66">
        <f t="shared" si="39"/>
        <v>0</v>
      </c>
    </row>
    <row r="2502" spans="8:9">
      <c r="H2502" s="66" t="e">
        <f>IF(OR(LEFT(B2502,FIND("_",B2502,1)-1)="ULGALLOC",LEFT(B2502,FIND("_",B2502,1)-1)="ULSPOOL"),LEFT(B2502,FIND("_",B2502,1)-1),VLOOKUP(LEFT(A2502,6),'Code Library'!$D$3:$E$200,2,0))&amp;"_"&amp;RIGHT(A2502,3)</f>
        <v>#VALUE!</v>
      </c>
      <c r="I2502" s="66">
        <f t="shared" si="39"/>
        <v>0</v>
      </c>
    </row>
    <row r="2503" spans="8:9">
      <c r="H2503" s="66" t="e">
        <f>IF(OR(LEFT(B2503,FIND("_",B2503,1)-1)="ULGALLOC",LEFT(B2503,FIND("_",B2503,1)-1)="ULSPOOL"),LEFT(B2503,FIND("_",B2503,1)-1),VLOOKUP(LEFT(A2503,6),'Code Library'!$D$3:$E$200,2,0))&amp;"_"&amp;RIGHT(A2503,3)</f>
        <v>#VALUE!</v>
      </c>
      <c r="I2503" s="66">
        <f t="shared" si="39"/>
        <v>0</v>
      </c>
    </row>
    <row r="2504" spans="8:9">
      <c r="H2504" s="66" t="e">
        <f>IF(OR(LEFT(B2504,FIND("_",B2504,1)-1)="ULGALLOC",LEFT(B2504,FIND("_",B2504,1)-1)="ULSPOOL"),LEFT(B2504,FIND("_",B2504,1)-1),VLOOKUP(LEFT(A2504,6),'Code Library'!$D$3:$E$200,2,0))&amp;"_"&amp;RIGHT(A2504,3)</f>
        <v>#VALUE!</v>
      </c>
      <c r="I2504" s="66">
        <f t="shared" si="39"/>
        <v>0</v>
      </c>
    </row>
    <row r="2505" spans="8:9">
      <c r="H2505" s="66" t="e">
        <f>IF(OR(LEFT(B2505,FIND("_",B2505,1)-1)="ULGALLOC",LEFT(B2505,FIND("_",B2505,1)-1)="ULSPOOL"),LEFT(B2505,FIND("_",B2505,1)-1),VLOOKUP(LEFT(A2505,6),'Code Library'!$D$3:$E$200,2,0))&amp;"_"&amp;RIGHT(A2505,3)</f>
        <v>#VALUE!</v>
      </c>
      <c r="I2505" s="66">
        <f t="shared" si="39"/>
        <v>0</v>
      </c>
    </row>
    <row r="2506" spans="8:9">
      <c r="H2506" s="66" t="e">
        <f>IF(OR(LEFT(B2506,FIND("_",B2506,1)-1)="ULGALLOC",LEFT(B2506,FIND("_",B2506,1)-1)="ULSPOOL"),LEFT(B2506,FIND("_",B2506,1)-1),VLOOKUP(LEFT(A2506,6),'Code Library'!$D$3:$E$200,2,0))&amp;"_"&amp;RIGHT(A2506,3)</f>
        <v>#VALUE!</v>
      </c>
      <c r="I2506" s="66">
        <f t="shared" si="39"/>
        <v>0</v>
      </c>
    </row>
    <row r="2507" spans="8:9">
      <c r="H2507" s="66" t="e">
        <f>IF(OR(LEFT(B2507,FIND("_",B2507,1)-1)="ULGALLOC",LEFT(B2507,FIND("_",B2507,1)-1)="ULSPOOL"),LEFT(B2507,FIND("_",B2507,1)-1),VLOOKUP(LEFT(A2507,6),'Code Library'!$D$3:$E$200,2,0))&amp;"_"&amp;RIGHT(A2507,3)</f>
        <v>#VALUE!</v>
      </c>
      <c r="I2507" s="66">
        <f t="shared" si="39"/>
        <v>0</v>
      </c>
    </row>
    <row r="2508" spans="8:9">
      <c r="H2508" s="66" t="e">
        <f>IF(OR(LEFT(B2508,FIND("_",B2508,1)-1)="ULGALLOC",LEFT(B2508,FIND("_",B2508,1)-1)="ULSPOOL"),LEFT(B2508,FIND("_",B2508,1)-1),VLOOKUP(LEFT(A2508,6),'Code Library'!$D$3:$E$200,2,0))&amp;"_"&amp;RIGHT(A2508,3)</f>
        <v>#VALUE!</v>
      </c>
      <c r="I2508" s="66">
        <f t="shared" si="39"/>
        <v>0</v>
      </c>
    </row>
    <row r="2509" spans="8:9">
      <c r="H2509" s="66" t="e">
        <f>IF(OR(LEFT(B2509,FIND("_",B2509,1)-1)="ULGALLOC",LEFT(B2509,FIND("_",B2509,1)-1)="ULSPOOL"),LEFT(B2509,FIND("_",B2509,1)-1),VLOOKUP(LEFT(A2509,6),'Code Library'!$D$3:$E$200,2,0))&amp;"_"&amp;RIGHT(A2509,3)</f>
        <v>#VALUE!</v>
      </c>
      <c r="I2509" s="66">
        <f t="shared" si="39"/>
        <v>0</v>
      </c>
    </row>
    <row r="2510" spans="8:9">
      <c r="H2510" s="66" t="e">
        <f>IF(OR(LEFT(B2510,FIND("_",B2510,1)-1)="ULGALLOC",LEFT(B2510,FIND("_",B2510,1)-1)="ULSPOOL"),LEFT(B2510,FIND("_",B2510,1)-1),VLOOKUP(LEFT(A2510,6),'Code Library'!$D$3:$E$200,2,0))&amp;"_"&amp;RIGHT(A2510,3)</f>
        <v>#VALUE!</v>
      </c>
      <c r="I2510" s="66">
        <f t="shared" si="39"/>
        <v>0</v>
      </c>
    </row>
    <row r="2511" spans="8:9">
      <c r="H2511" s="66" t="e">
        <f>IF(OR(LEFT(B2511,FIND("_",B2511,1)-1)="ULGALLOC",LEFT(B2511,FIND("_",B2511,1)-1)="ULSPOOL"),LEFT(B2511,FIND("_",B2511,1)-1),VLOOKUP(LEFT(A2511,6),'Code Library'!$D$3:$E$200,2,0))&amp;"_"&amp;RIGHT(A2511,3)</f>
        <v>#VALUE!</v>
      </c>
      <c r="I2511" s="66">
        <f t="shared" si="39"/>
        <v>0</v>
      </c>
    </row>
    <row r="2512" spans="8:9">
      <c r="H2512" s="66" t="e">
        <f>IF(OR(LEFT(B2512,FIND("_",B2512,1)-1)="ULGALLOC",LEFT(B2512,FIND("_",B2512,1)-1)="ULSPOOL"),LEFT(B2512,FIND("_",B2512,1)-1),VLOOKUP(LEFT(A2512,6),'Code Library'!$D$3:$E$200,2,0))&amp;"_"&amp;RIGHT(A2512,3)</f>
        <v>#VALUE!</v>
      </c>
      <c r="I2512" s="66">
        <f t="shared" si="39"/>
        <v>0</v>
      </c>
    </row>
    <row r="2513" spans="8:9">
      <c r="H2513" s="66" t="e">
        <f>IF(OR(LEFT(B2513,FIND("_",B2513,1)-1)="ULGALLOC",LEFT(B2513,FIND("_",B2513,1)-1)="ULSPOOL"),LEFT(B2513,FIND("_",B2513,1)-1),VLOOKUP(LEFT(A2513,6),'Code Library'!$D$3:$E$200,2,0))&amp;"_"&amp;RIGHT(A2513,3)</f>
        <v>#VALUE!</v>
      </c>
      <c r="I2513" s="66">
        <f t="shared" si="39"/>
        <v>0</v>
      </c>
    </row>
    <row r="2514" spans="8:9">
      <c r="H2514" s="66" t="e">
        <f>IF(OR(LEFT(B2514,FIND("_",B2514,1)-1)="ULGALLOC",LEFT(B2514,FIND("_",B2514,1)-1)="ULSPOOL"),LEFT(B2514,FIND("_",B2514,1)-1),VLOOKUP(LEFT(A2514,6),'Code Library'!$D$3:$E$200,2,0))&amp;"_"&amp;RIGHT(A2514,3)</f>
        <v>#VALUE!</v>
      </c>
      <c r="I2514" s="66">
        <f t="shared" si="39"/>
        <v>0</v>
      </c>
    </row>
    <row r="2515" spans="8:9">
      <c r="H2515" s="66" t="e">
        <f>IF(OR(LEFT(B2515,FIND("_",B2515,1)-1)="ULGALLOC",LEFT(B2515,FIND("_",B2515,1)-1)="ULSPOOL"),LEFT(B2515,FIND("_",B2515,1)-1),VLOOKUP(LEFT(A2515,6),'Code Library'!$D$3:$E$200,2,0))&amp;"_"&amp;RIGHT(A2515,3)</f>
        <v>#VALUE!</v>
      </c>
      <c r="I2515" s="66">
        <f t="shared" si="39"/>
        <v>0</v>
      </c>
    </row>
    <row r="2516" spans="8:9">
      <c r="H2516" s="66" t="e">
        <f>IF(OR(LEFT(B2516,FIND("_",B2516,1)-1)="ULGALLOC",LEFT(B2516,FIND("_",B2516,1)-1)="ULSPOOL"),LEFT(B2516,FIND("_",B2516,1)-1),VLOOKUP(LEFT(A2516,6),'Code Library'!$D$3:$E$200,2,0))&amp;"_"&amp;RIGHT(A2516,3)</f>
        <v>#VALUE!</v>
      </c>
      <c r="I2516" s="66">
        <f t="shared" si="39"/>
        <v>0</v>
      </c>
    </row>
    <row r="2517" spans="8:9">
      <c r="H2517" s="66" t="e">
        <f>IF(OR(LEFT(B2517,FIND("_",B2517,1)-1)="ULGALLOC",LEFT(B2517,FIND("_",B2517,1)-1)="ULSPOOL"),LEFT(B2517,FIND("_",B2517,1)-1),VLOOKUP(LEFT(A2517,6),'Code Library'!$D$3:$E$200,2,0))&amp;"_"&amp;RIGHT(A2517,3)</f>
        <v>#VALUE!</v>
      </c>
      <c r="I2517" s="66">
        <f t="shared" si="39"/>
        <v>0</v>
      </c>
    </row>
    <row r="2518" spans="8:9">
      <c r="H2518" s="66" t="e">
        <f>IF(OR(LEFT(B2518,FIND("_",B2518,1)-1)="ULGALLOC",LEFT(B2518,FIND("_",B2518,1)-1)="ULSPOOL"),LEFT(B2518,FIND("_",B2518,1)-1),VLOOKUP(LEFT(A2518,6),'Code Library'!$D$3:$E$200,2,0))&amp;"_"&amp;RIGHT(A2518,3)</f>
        <v>#VALUE!</v>
      </c>
      <c r="I2518" s="66">
        <f t="shared" si="39"/>
        <v>0</v>
      </c>
    </row>
    <row r="2519" spans="8:9">
      <c r="H2519" s="66" t="e">
        <f>IF(OR(LEFT(B2519,FIND("_",B2519,1)-1)="ULGALLOC",LEFT(B2519,FIND("_",B2519,1)-1)="ULSPOOL"),LEFT(B2519,FIND("_",B2519,1)-1),VLOOKUP(LEFT(A2519,6),'Code Library'!$D$3:$E$200,2,0))&amp;"_"&amp;RIGHT(A2519,3)</f>
        <v>#VALUE!</v>
      </c>
      <c r="I2519" s="66">
        <f t="shared" si="39"/>
        <v>0</v>
      </c>
    </row>
    <row r="2520" spans="8:9">
      <c r="H2520" s="66" t="e">
        <f>IF(OR(LEFT(B2520,FIND("_",B2520,1)-1)="ULGALLOC",LEFT(B2520,FIND("_",B2520,1)-1)="ULSPOOL"),LEFT(B2520,FIND("_",B2520,1)-1),VLOOKUP(LEFT(A2520,6),'Code Library'!$D$3:$E$200,2,0))&amp;"_"&amp;RIGHT(A2520,3)</f>
        <v>#VALUE!</v>
      </c>
      <c r="I2520" s="66">
        <f t="shared" si="39"/>
        <v>0</v>
      </c>
    </row>
    <row r="2521" spans="8:9">
      <c r="H2521" s="66" t="e">
        <f>IF(OR(LEFT(B2521,FIND("_",B2521,1)-1)="ULGALLOC",LEFT(B2521,FIND("_",B2521,1)-1)="ULSPOOL"),LEFT(B2521,FIND("_",B2521,1)-1),VLOOKUP(LEFT(A2521,6),'Code Library'!$D$3:$E$200,2,0))&amp;"_"&amp;RIGHT(A2521,3)</f>
        <v>#VALUE!</v>
      </c>
      <c r="I2521" s="66">
        <f t="shared" si="39"/>
        <v>0</v>
      </c>
    </row>
    <row r="2522" spans="8:9">
      <c r="H2522" s="66" t="e">
        <f>IF(OR(LEFT(B2522,FIND("_",B2522,1)-1)="ULGALLOC",LEFT(B2522,FIND("_",B2522,1)-1)="ULSPOOL"),LEFT(B2522,FIND("_",B2522,1)-1),VLOOKUP(LEFT(A2522,6),'Code Library'!$D$3:$E$200,2,0))&amp;"_"&amp;RIGHT(A2522,3)</f>
        <v>#VALUE!</v>
      </c>
      <c r="I2522" s="66">
        <f t="shared" si="39"/>
        <v>0</v>
      </c>
    </row>
    <row r="2523" spans="8:9">
      <c r="H2523" s="66" t="e">
        <f>IF(OR(LEFT(B2523,FIND("_",B2523,1)-1)="ULGALLOC",LEFT(B2523,FIND("_",B2523,1)-1)="ULSPOOL"),LEFT(B2523,FIND("_",B2523,1)-1),VLOOKUP(LEFT(A2523,6),'Code Library'!$D$3:$E$200,2,0))&amp;"_"&amp;RIGHT(A2523,3)</f>
        <v>#VALUE!</v>
      </c>
      <c r="I2523" s="66">
        <f t="shared" si="39"/>
        <v>0</v>
      </c>
    </row>
    <row r="2524" spans="8:9">
      <c r="H2524" s="66" t="e">
        <f>IF(OR(LEFT(B2524,FIND("_",B2524,1)-1)="ULGALLOC",LEFT(B2524,FIND("_",B2524,1)-1)="ULSPOOL"),LEFT(B2524,FIND("_",B2524,1)-1),VLOOKUP(LEFT(A2524,6),'Code Library'!$D$3:$E$200,2,0))&amp;"_"&amp;RIGHT(A2524,3)</f>
        <v>#VALUE!</v>
      </c>
      <c r="I2524" s="66">
        <f t="shared" si="39"/>
        <v>0</v>
      </c>
    </row>
    <row r="2525" spans="8:9">
      <c r="H2525" s="66" t="e">
        <f>IF(OR(LEFT(B2525,FIND("_",B2525,1)-1)="ULGALLOC",LEFT(B2525,FIND("_",B2525,1)-1)="ULSPOOL"),LEFT(B2525,FIND("_",B2525,1)-1),VLOOKUP(LEFT(A2525,6),'Code Library'!$D$3:$E$200,2,0))&amp;"_"&amp;RIGHT(A2525,3)</f>
        <v>#VALUE!</v>
      </c>
      <c r="I2525" s="66">
        <f t="shared" si="39"/>
        <v>0</v>
      </c>
    </row>
    <row r="2526" spans="8:9">
      <c r="H2526" s="66" t="e">
        <f>IF(OR(LEFT(B2526,FIND("_",B2526,1)-1)="ULGALLOC",LEFT(B2526,FIND("_",B2526,1)-1)="ULSPOOL"),LEFT(B2526,FIND("_",B2526,1)-1),VLOOKUP(LEFT(A2526,6),'Code Library'!$D$3:$E$200,2,0))&amp;"_"&amp;RIGHT(A2526,3)</f>
        <v>#VALUE!</v>
      </c>
      <c r="I2526" s="66">
        <f t="shared" si="39"/>
        <v>0</v>
      </c>
    </row>
    <row r="2527" spans="8:9">
      <c r="H2527" s="66" t="e">
        <f>IF(OR(LEFT(B2527,FIND("_",B2527,1)-1)="ULGALLOC",LEFT(B2527,FIND("_",B2527,1)-1)="ULSPOOL"),LEFT(B2527,FIND("_",B2527,1)-1),VLOOKUP(LEFT(A2527,6),'Code Library'!$D$3:$E$200,2,0))&amp;"_"&amp;RIGHT(A2527,3)</f>
        <v>#VALUE!</v>
      </c>
      <c r="I2527" s="66">
        <f t="shared" si="39"/>
        <v>0</v>
      </c>
    </row>
    <row r="2528" spans="8:9">
      <c r="H2528" s="66" t="e">
        <f>IF(OR(LEFT(B2528,FIND("_",B2528,1)-1)="ULGALLOC",LEFT(B2528,FIND("_",B2528,1)-1)="ULSPOOL"),LEFT(B2528,FIND("_",B2528,1)-1),VLOOKUP(LEFT(A2528,6),'Code Library'!$D$3:$E$200,2,0))&amp;"_"&amp;RIGHT(A2528,3)</f>
        <v>#VALUE!</v>
      </c>
      <c r="I2528" s="66">
        <f t="shared" si="39"/>
        <v>0</v>
      </c>
    </row>
    <row r="2529" spans="8:9">
      <c r="H2529" s="66" t="e">
        <f>IF(OR(LEFT(B2529,FIND("_",B2529,1)-1)="ULGALLOC",LEFT(B2529,FIND("_",B2529,1)-1)="ULSPOOL"),LEFT(B2529,FIND("_",B2529,1)-1),VLOOKUP(LEFT(A2529,6),'Code Library'!$D$3:$E$200,2,0))&amp;"_"&amp;RIGHT(A2529,3)</f>
        <v>#VALUE!</v>
      </c>
      <c r="I2529" s="66">
        <f t="shared" si="39"/>
        <v>0</v>
      </c>
    </row>
    <row r="2530" spans="8:9">
      <c r="H2530" s="66" t="e">
        <f>IF(OR(LEFT(B2530,FIND("_",B2530,1)-1)="ULGALLOC",LEFT(B2530,FIND("_",B2530,1)-1)="ULSPOOL"),LEFT(B2530,FIND("_",B2530,1)-1),VLOOKUP(LEFT(A2530,6),'Code Library'!$D$3:$E$200,2,0))&amp;"_"&amp;RIGHT(A2530,3)</f>
        <v>#VALUE!</v>
      </c>
      <c r="I2530" s="66">
        <f t="shared" si="39"/>
        <v>0</v>
      </c>
    </row>
    <row r="2531" spans="8:9">
      <c r="H2531" s="66" t="e">
        <f>IF(OR(LEFT(B2531,FIND("_",B2531,1)-1)="ULGALLOC",LEFT(B2531,FIND("_",B2531,1)-1)="ULSPOOL"),LEFT(B2531,FIND("_",B2531,1)-1),VLOOKUP(LEFT(A2531,6),'Code Library'!$D$3:$E$200,2,0))&amp;"_"&amp;RIGHT(A2531,3)</f>
        <v>#VALUE!</v>
      </c>
      <c r="I2531" s="66">
        <f t="shared" si="39"/>
        <v>0</v>
      </c>
    </row>
    <row r="2532" spans="8:9">
      <c r="H2532" s="66" t="e">
        <f>IF(OR(LEFT(B2532,FIND("_",B2532,1)-1)="ULGALLOC",LEFT(B2532,FIND("_",B2532,1)-1)="ULSPOOL"),LEFT(B2532,FIND("_",B2532,1)-1),VLOOKUP(LEFT(A2532,6),'Code Library'!$D$3:$E$200,2,0))&amp;"_"&amp;RIGHT(A2532,3)</f>
        <v>#VALUE!</v>
      </c>
      <c r="I2532" s="66">
        <f t="shared" si="39"/>
        <v>0</v>
      </c>
    </row>
    <row r="2533" spans="8:9">
      <c r="H2533" s="66" t="e">
        <f>IF(OR(LEFT(B2533,FIND("_",B2533,1)-1)="ULGALLOC",LEFT(B2533,FIND("_",B2533,1)-1)="ULSPOOL"),LEFT(B2533,FIND("_",B2533,1)-1),VLOOKUP(LEFT(A2533,6),'Code Library'!$D$3:$E$200,2,0))&amp;"_"&amp;RIGHT(A2533,3)</f>
        <v>#VALUE!</v>
      </c>
      <c r="I2533" s="66">
        <f t="shared" si="39"/>
        <v>0</v>
      </c>
    </row>
    <row r="2534" spans="8:9">
      <c r="H2534" s="66" t="e">
        <f>IF(OR(LEFT(B2534,FIND("_",B2534,1)-1)="ULGALLOC",LEFT(B2534,FIND("_",B2534,1)-1)="ULSPOOL"),LEFT(B2534,FIND("_",B2534,1)-1),VLOOKUP(LEFT(A2534,6),'Code Library'!$D$3:$E$200,2,0))&amp;"_"&amp;RIGHT(A2534,3)</f>
        <v>#VALUE!</v>
      </c>
      <c r="I2534" s="66">
        <f t="shared" si="39"/>
        <v>0</v>
      </c>
    </row>
    <row r="2535" spans="8:9">
      <c r="H2535" s="66" t="e">
        <f>IF(OR(LEFT(B2535,FIND("_",B2535,1)-1)="ULGALLOC",LEFT(B2535,FIND("_",B2535,1)-1)="ULSPOOL"),LEFT(B2535,FIND("_",B2535,1)-1),VLOOKUP(LEFT(A2535,6),'Code Library'!$D$3:$E$200,2,0))&amp;"_"&amp;RIGHT(A2535,3)</f>
        <v>#VALUE!</v>
      </c>
      <c r="I2535" s="66">
        <f t="shared" si="39"/>
        <v>0</v>
      </c>
    </row>
    <row r="2536" spans="8:9">
      <c r="H2536" s="66" t="e">
        <f>IF(OR(LEFT(B2536,FIND("_",B2536,1)-1)="ULGALLOC",LEFT(B2536,FIND("_",B2536,1)-1)="ULSPOOL"),LEFT(B2536,FIND("_",B2536,1)-1),VLOOKUP(LEFT(A2536,6),'Code Library'!$D$3:$E$200,2,0))&amp;"_"&amp;RIGHT(A2536,3)</f>
        <v>#VALUE!</v>
      </c>
      <c r="I2536" s="66">
        <f t="shared" si="39"/>
        <v>0</v>
      </c>
    </row>
    <row r="2537" spans="8:9">
      <c r="H2537" s="66" t="e">
        <f>IF(OR(LEFT(B2537,FIND("_",B2537,1)-1)="ULGALLOC",LEFT(B2537,FIND("_",B2537,1)-1)="ULSPOOL"),LEFT(B2537,FIND("_",B2537,1)-1),VLOOKUP(LEFT(A2537,6),'Code Library'!$D$3:$E$200,2,0))&amp;"_"&amp;RIGHT(A2537,3)</f>
        <v>#VALUE!</v>
      </c>
      <c r="I2537" s="66">
        <f t="shared" si="39"/>
        <v>0</v>
      </c>
    </row>
    <row r="2538" spans="8:9">
      <c r="H2538" s="66" t="e">
        <f>IF(OR(LEFT(B2538,FIND("_",B2538,1)-1)="ULGALLOC",LEFT(B2538,FIND("_",B2538,1)-1)="ULSPOOL"),LEFT(B2538,FIND("_",B2538,1)-1),VLOOKUP(LEFT(A2538,6),'Code Library'!$D$3:$E$200,2,0))&amp;"_"&amp;RIGHT(A2538,3)</f>
        <v>#VALUE!</v>
      </c>
      <c r="I2538" s="66">
        <f t="shared" si="39"/>
        <v>0</v>
      </c>
    </row>
    <row r="2539" spans="8:9">
      <c r="H2539" s="66" t="e">
        <f>IF(OR(LEFT(B2539,FIND("_",B2539,1)-1)="ULGALLOC",LEFT(B2539,FIND("_",B2539,1)-1)="ULSPOOL"),LEFT(B2539,FIND("_",B2539,1)-1),VLOOKUP(LEFT(A2539,6),'Code Library'!$D$3:$E$200,2,0))&amp;"_"&amp;RIGHT(A2539,3)</f>
        <v>#VALUE!</v>
      </c>
      <c r="I2539" s="66">
        <f t="shared" si="39"/>
        <v>0</v>
      </c>
    </row>
    <row r="2540" spans="8:9">
      <c r="H2540" s="66" t="e">
        <f>IF(OR(LEFT(B2540,FIND("_",B2540,1)-1)="ULGALLOC",LEFT(B2540,FIND("_",B2540,1)-1)="ULSPOOL"),LEFT(B2540,FIND("_",B2540,1)-1),VLOOKUP(LEFT(A2540,6),'Code Library'!$D$3:$E$200,2,0))&amp;"_"&amp;RIGHT(A2540,3)</f>
        <v>#VALUE!</v>
      </c>
      <c r="I2540" s="66">
        <f t="shared" si="39"/>
        <v>0</v>
      </c>
    </row>
    <row r="2541" spans="8:9">
      <c r="H2541" s="66" t="e">
        <f>IF(OR(LEFT(B2541,FIND("_",B2541,1)-1)="ULGALLOC",LEFT(B2541,FIND("_",B2541,1)-1)="ULSPOOL"),LEFT(B2541,FIND("_",B2541,1)-1),VLOOKUP(LEFT(A2541,6),'Code Library'!$D$3:$E$200,2,0))&amp;"_"&amp;RIGHT(A2541,3)</f>
        <v>#VALUE!</v>
      </c>
      <c r="I2541" s="66">
        <f t="shared" si="39"/>
        <v>0</v>
      </c>
    </row>
    <row r="2542" spans="8:9">
      <c r="H2542" s="66" t="e">
        <f>IF(OR(LEFT(B2542,FIND("_",B2542,1)-1)="ULGALLOC",LEFT(B2542,FIND("_",B2542,1)-1)="ULSPOOL"),LEFT(B2542,FIND("_",B2542,1)-1),VLOOKUP(LEFT(A2542,6),'Code Library'!$D$3:$E$200,2,0))&amp;"_"&amp;RIGHT(A2542,3)</f>
        <v>#VALUE!</v>
      </c>
      <c r="I2542" s="66">
        <f t="shared" si="39"/>
        <v>0</v>
      </c>
    </row>
    <row r="2543" spans="8:9">
      <c r="H2543" s="66" t="e">
        <f>IF(OR(LEFT(B2543,FIND("_",B2543,1)-1)="ULGALLOC",LEFT(B2543,FIND("_",B2543,1)-1)="ULSPOOL"),LEFT(B2543,FIND("_",B2543,1)-1),VLOOKUP(LEFT(A2543,6),'Code Library'!$D$3:$E$200,2,0))&amp;"_"&amp;RIGHT(A2543,3)</f>
        <v>#VALUE!</v>
      </c>
      <c r="I2543" s="66">
        <f t="shared" si="39"/>
        <v>0</v>
      </c>
    </row>
    <row r="2544" spans="8:9">
      <c r="H2544" s="66" t="e">
        <f>IF(OR(LEFT(B2544,FIND("_",B2544,1)-1)="ULGALLOC",LEFT(B2544,FIND("_",B2544,1)-1)="ULSPOOL"),LEFT(B2544,FIND("_",B2544,1)-1),VLOOKUP(LEFT(A2544,6),'Code Library'!$D$3:$E$200,2,0))&amp;"_"&amp;RIGHT(A2544,3)</f>
        <v>#VALUE!</v>
      </c>
      <c r="I2544" s="66">
        <f t="shared" si="39"/>
        <v>0</v>
      </c>
    </row>
    <row r="2545" spans="8:9">
      <c r="H2545" s="66" t="e">
        <f>IF(OR(LEFT(B2545,FIND("_",B2545,1)-1)="ULGALLOC",LEFT(B2545,FIND("_",B2545,1)-1)="ULSPOOL"),LEFT(B2545,FIND("_",B2545,1)-1),VLOOKUP(LEFT(A2545,6),'Code Library'!$D$3:$E$200,2,0))&amp;"_"&amp;RIGHT(A2545,3)</f>
        <v>#VALUE!</v>
      </c>
      <c r="I2545" s="66">
        <f t="shared" si="39"/>
        <v>0</v>
      </c>
    </row>
    <row r="2546" spans="8:9">
      <c r="H2546" s="66" t="e">
        <f>IF(OR(LEFT(B2546,FIND("_",B2546,1)-1)="ULGALLOC",LEFT(B2546,FIND("_",B2546,1)-1)="ULSPOOL"),LEFT(B2546,FIND("_",B2546,1)-1),VLOOKUP(LEFT(A2546,6),'Code Library'!$D$3:$E$200,2,0))&amp;"_"&amp;RIGHT(A2546,3)</f>
        <v>#VALUE!</v>
      </c>
      <c r="I2546" s="66">
        <f t="shared" si="39"/>
        <v>0</v>
      </c>
    </row>
    <row r="2547" spans="8:9">
      <c r="H2547" s="66" t="e">
        <f>IF(OR(LEFT(B2547,FIND("_",B2547,1)-1)="ULGALLOC",LEFT(B2547,FIND("_",B2547,1)-1)="ULSPOOL"),LEFT(B2547,FIND("_",B2547,1)-1),VLOOKUP(LEFT(A2547,6),'Code Library'!$D$3:$E$200,2,0))&amp;"_"&amp;RIGHT(A2547,3)</f>
        <v>#VALUE!</v>
      </c>
      <c r="I2547" s="66">
        <f t="shared" si="39"/>
        <v>0</v>
      </c>
    </row>
    <row r="2548" spans="8:9">
      <c r="H2548" s="66" t="e">
        <f>IF(OR(LEFT(B2548,FIND("_",B2548,1)-1)="ULGALLOC",LEFT(B2548,FIND("_",B2548,1)-1)="ULSPOOL"),LEFT(B2548,FIND("_",B2548,1)-1),VLOOKUP(LEFT(A2548,6),'Code Library'!$D$3:$E$200,2,0))&amp;"_"&amp;RIGHT(A2548,3)</f>
        <v>#VALUE!</v>
      </c>
      <c r="I2548" s="66">
        <f t="shared" si="39"/>
        <v>0</v>
      </c>
    </row>
    <row r="2549" spans="8:9">
      <c r="H2549" s="66" t="e">
        <f>IF(OR(LEFT(B2549,FIND("_",B2549,1)-1)="ULGALLOC",LEFT(B2549,FIND("_",B2549,1)-1)="ULSPOOL"),LEFT(B2549,FIND("_",B2549,1)-1),VLOOKUP(LEFT(A2549,6),'Code Library'!$D$3:$E$200,2,0))&amp;"_"&amp;RIGHT(A2549,3)</f>
        <v>#VALUE!</v>
      </c>
      <c r="I2549" s="66">
        <f t="shared" si="39"/>
        <v>0</v>
      </c>
    </row>
    <row r="2550" spans="8:9">
      <c r="H2550" s="66" t="e">
        <f>IF(OR(LEFT(B2550,FIND("_",B2550,1)-1)="ULGALLOC",LEFT(B2550,FIND("_",B2550,1)-1)="ULSPOOL"),LEFT(B2550,FIND("_",B2550,1)-1),VLOOKUP(LEFT(A2550,6),'Code Library'!$D$3:$E$200,2,0))&amp;"_"&amp;RIGHT(A2550,3)</f>
        <v>#VALUE!</v>
      </c>
      <c r="I2550" s="66">
        <f t="shared" si="39"/>
        <v>0</v>
      </c>
    </row>
    <row r="2551" spans="8:9">
      <c r="H2551" s="66" t="e">
        <f>IF(OR(LEFT(B2551,FIND("_",B2551,1)-1)="ULGALLOC",LEFT(B2551,FIND("_",B2551,1)-1)="ULSPOOL"),LEFT(B2551,FIND("_",B2551,1)-1),VLOOKUP(LEFT(A2551,6),'Code Library'!$D$3:$E$200,2,0))&amp;"_"&amp;RIGHT(A2551,3)</f>
        <v>#VALUE!</v>
      </c>
      <c r="I2551" s="66">
        <f t="shared" si="39"/>
        <v>0</v>
      </c>
    </row>
    <row r="2552" spans="8:9">
      <c r="H2552" s="66" t="e">
        <f>IF(OR(LEFT(B2552,FIND("_",B2552,1)-1)="ULGALLOC",LEFT(B2552,FIND("_",B2552,1)-1)="ULSPOOL"),LEFT(B2552,FIND("_",B2552,1)-1),VLOOKUP(LEFT(A2552,6),'Code Library'!$D$3:$E$200,2,0))&amp;"_"&amp;RIGHT(A2552,3)</f>
        <v>#VALUE!</v>
      </c>
      <c r="I2552" s="66">
        <f t="shared" si="39"/>
        <v>0</v>
      </c>
    </row>
    <row r="2553" spans="8:9">
      <c r="H2553" s="66" t="e">
        <f>IF(OR(LEFT(B2553,FIND("_",B2553,1)-1)="ULGALLOC",LEFT(B2553,FIND("_",B2553,1)-1)="ULSPOOL"),LEFT(B2553,FIND("_",B2553,1)-1),VLOOKUP(LEFT(A2553,6),'Code Library'!$D$3:$E$200,2,0))&amp;"_"&amp;RIGHT(A2553,3)</f>
        <v>#VALUE!</v>
      </c>
      <c r="I2553" s="66">
        <f t="shared" si="39"/>
        <v>0</v>
      </c>
    </row>
    <row r="2554" spans="8:9">
      <c r="H2554" s="66" t="e">
        <f>IF(OR(LEFT(B2554,FIND("_",B2554,1)-1)="ULGALLOC",LEFT(B2554,FIND("_",B2554,1)-1)="ULSPOOL"),LEFT(B2554,FIND("_",B2554,1)-1),VLOOKUP(LEFT(A2554,6),'Code Library'!$D$3:$E$200,2,0))&amp;"_"&amp;RIGHT(A2554,3)</f>
        <v>#VALUE!</v>
      </c>
      <c r="I2554" s="66">
        <f t="shared" si="39"/>
        <v>0</v>
      </c>
    </row>
    <row r="2555" spans="8:9">
      <c r="H2555" s="66" t="e">
        <f>IF(OR(LEFT(B2555,FIND("_",B2555,1)-1)="ULGALLOC",LEFT(B2555,FIND("_",B2555,1)-1)="ULSPOOL"),LEFT(B2555,FIND("_",B2555,1)-1),VLOOKUP(LEFT(A2555,6),'Code Library'!$D$3:$E$200,2,0))&amp;"_"&amp;RIGHT(A2555,3)</f>
        <v>#VALUE!</v>
      </c>
      <c r="I2555" s="66">
        <f t="shared" si="39"/>
        <v>0</v>
      </c>
    </row>
    <row r="2556" spans="8:9">
      <c r="H2556" s="66" t="e">
        <f>IF(OR(LEFT(B2556,FIND("_",B2556,1)-1)="ULGALLOC",LEFT(B2556,FIND("_",B2556,1)-1)="ULSPOOL"),LEFT(B2556,FIND("_",B2556,1)-1),VLOOKUP(LEFT(A2556,6),'Code Library'!$D$3:$E$200,2,0))&amp;"_"&amp;RIGHT(A2556,3)</f>
        <v>#VALUE!</v>
      </c>
      <c r="I2556" s="66">
        <f t="shared" si="39"/>
        <v>0</v>
      </c>
    </row>
    <row r="2557" spans="8:9">
      <c r="H2557" s="66" t="e">
        <f>IF(OR(LEFT(B2557,FIND("_",B2557,1)-1)="ULGALLOC",LEFT(B2557,FIND("_",B2557,1)-1)="ULSPOOL"),LEFT(B2557,FIND("_",B2557,1)-1),VLOOKUP(LEFT(A2557,6),'Code Library'!$D$3:$E$200,2,0))&amp;"_"&amp;RIGHT(A2557,3)</f>
        <v>#VALUE!</v>
      </c>
      <c r="I2557" s="66">
        <f t="shared" si="39"/>
        <v>0</v>
      </c>
    </row>
    <row r="2558" spans="8:9">
      <c r="H2558" s="66" t="e">
        <f>IF(OR(LEFT(B2558,FIND("_",B2558,1)-1)="ULGALLOC",LEFT(B2558,FIND("_",B2558,1)-1)="ULSPOOL"),LEFT(B2558,FIND("_",B2558,1)-1),VLOOKUP(LEFT(A2558,6),'Code Library'!$D$3:$E$200,2,0))&amp;"_"&amp;RIGHT(A2558,3)</f>
        <v>#VALUE!</v>
      </c>
      <c r="I2558" s="66">
        <f t="shared" si="39"/>
        <v>0</v>
      </c>
    </row>
    <row r="2559" spans="8:9">
      <c r="H2559" s="66" t="e">
        <f>IF(OR(LEFT(B2559,FIND("_",B2559,1)-1)="ULGALLOC",LEFT(B2559,FIND("_",B2559,1)-1)="ULSPOOL"),LEFT(B2559,FIND("_",B2559,1)-1),VLOOKUP(LEFT(A2559,6),'Code Library'!$D$3:$E$200,2,0))&amp;"_"&amp;RIGHT(A2559,3)</f>
        <v>#VALUE!</v>
      </c>
      <c r="I2559" s="66">
        <f t="shared" si="39"/>
        <v>0</v>
      </c>
    </row>
    <row r="2560" spans="8:9">
      <c r="H2560" s="66" t="e">
        <f>IF(OR(LEFT(B2560,FIND("_",B2560,1)-1)="ULGALLOC",LEFT(B2560,FIND("_",B2560,1)-1)="ULSPOOL"),LEFT(B2560,FIND("_",B2560,1)-1),VLOOKUP(LEFT(A2560,6),'Code Library'!$D$3:$E$200,2,0))&amp;"_"&amp;RIGHT(A2560,3)</f>
        <v>#VALUE!</v>
      </c>
      <c r="I2560" s="66">
        <f t="shared" si="39"/>
        <v>0</v>
      </c>
    </row>
    <row r="2561" spans="8:9">
      <c r="H2561" s="66" t="e">
        <f>IF(OR(LEFT(B2561,FIND("_",B2561,1)-1)="ULGALLOC",LEFT(B2561,FIND("_",B2561,1)-1)="ULSPOOL"),LEFT(B2561,FIND("_",B2561,1)-1),VLOOKUP(LEFT(A2561,6),'Code Library'!$D$3:$E$200,2,0))&amp;"_"&amp;RIGHT(A2561,3)</f>
        <v>#VALUE!</v>
      </c>
      <c r="I2561" s="66">
        <f t="shared" si="39"/>
        <v>0</v>
      </c>
    </row>
    <row r="2562" spans="8:9">
      <c r="H2562" s="66" t="e">
        <f>IF(OR(LEFT(B2562,FIND("_",B2562,1)-1)="ULGALLOC",LEFT(B2562,FIND("_",B2562,1)-1)="ULSPOOL"),LEFT(B2562,FIND("_",B2562,1)-1),VLOOKUP(LEFT(A2562,6),'Code Library'!$D$3:$E$200,2,0))&amp;"_"&amp;RIGHT(A2562,3)</f>
        <v>#VALUE!</v>
      </c>
      <c r="I2562" s="66">
        <f t="shared" si="39"/>
        <v>0</v>
      </c>
    </row>
    <row r="2563" spans="8:9">
      <c r="H2563" s="66" t="e">
        <f>IF(OR(LEFT(B2563,FIND("_",B2563,1)-1)="ULGALLOC",LEFT(B2563,FIND("_",B2563,1)-1)="ULSPOOL"),LEFT(B2563,FIND("_",B2563,1)-1),VLOOKUP(LEFT(A2563,6),'Code Library'!$D$3:$E$200,2,0))&amp;"_"&amp;RIGHT(A2563,3)</f>
        <v>#VALUE!</v>
      </c>
      <c r="I2563" s="66">
        <f t="shared" ref="I2563:I2626" si="40">A2563</f>
        <v>0</v>
      </c>
    </row>
    <row r="2564" spans="8:9">
      <c r="H2564" s="66" t="e">
        <f>IF(OR(LEFT(B2564,FIND("_",B2564,1)-1)="ULGALLOC",LEFT(B2564,FIND("_",B2564,1)-1)="ULSPOOL"),LEFT(B2564,FIND("_",B2564,1)-1),VLOOKUP(LEFT(A2564,6),'Code Library'!$D$3:$E$200,2,0))&amp;"_"&amp;RIGHT(A2564,3)</f>
        <v>#VALUE!</v>
      </c>
      <c r="I2564" s="66">
        <f t="shared" si="40"/>
        <v>0</v>
      </c>
    </row>
    <row r="2565" spans="8:9">
      <c r="H2565" s="66" t="e">
        <f>IF(OR(LEFT(B2565,FIND("_",B2565,1)-1)="ULGALLOC",LEFT(B2565,FIND("_",B2565,1)-1)="ULSPOOL"),LEFT(B2565,FIND("_",B2565,1)-1),VLOOKUP(LEFT(A2565,6),'Code Library'!$D$3:$E$200,2,0))&amp;"_"&amp;RIGHT(A2565,3)</f>
        <v>#VALUE!</v>
      </c>
      <c r="I2565" s="66">
        <f t="shared" si="40"/>
        <v>0</v>
      </c>
    </row>
    <row r="2566" spans="8:9">
      <c r="H2566" s="66" t="e">
        <f>IF(OR(LEFT(B2566,FIND("_",B2566,1)-1)="ULGALLOC",LEFT(B2566,FIND("_",B2566,1)-1)="ULSPOOL"),LEFT(B2566,FIND("_",B2566,1)-1),VLOOKUP(LEFT(A2566,6),'Code Library'!$D$3:$E$200,2,0))&amp;"_"&amp;RIGHT(A2566,3)</f>
        <v>#VALUE!</v>
      </c>
      <c r="I2566" s="66">
        <f t="shared" si="40"/>
        <v>0</v>
      </c>
    </row>
    <row r="2567" spans="8:9">
      <c r="H2567" s="66" t="e">
        <f>IF(OR(LEFT(B2567,FIND("_",B2567,1)-1)="ULGALLOC",LEFT(B2567,FIND("_",B2567,1)-1)="ULSPOOL"),LEFT(B2567,FIND("_",B2567,1)-1),VLOOKUP(LEFT(A2567,6),'Code Library'!$D$3:$E$200,2,0))&amp;"_"&amp;RIGHT(A2567,3)</f>
        <v>#VALUE!</v>
      </c>
      <c r="I2567" s="66">
        <f t="shared" si="40"/>
        <v>0</v>
      </c>
    </row>
    <row r="2568" spans="8:9">
      <c r="H2568" s="66" t="e">
        <f>IF(OR(LEFT(B2568,FIND("_",B2568,1)-1)="ULGALLOC",LEFT(B2568,FIND("_",B2568,1)-1)="ULSPOOL"),LEFT(B2568,FIND("_",B2568,1)-1),VLOOKUP(LEFT(A2568,6),'Code Library'!$D$3:$E$200,2,0))&amp;"_"&amp;RIGHT(A2568,3)</f>
        <v>#VALUE!</v>
      </c>
      <c r="I2568" s="66">
        <f t="shared" si="40"/>
        <v>0</v>
      </c>
    </row>
    <row r="2569" spans="8:9">
      <c r="H2569" s="66" t="e">
        <f>IF(OR(LEFT(B2569,FIND("_",B2569,1)-1)="ULGALLOC",LEFT(B2569,FIND("_",B2569,1)-1)="ULSPOOL"),LEFT(B2569,FIND("_",B2569,1)-1),VLOOKUP(LEFT(A2569,6),'Code Library'!$D$3:$E$200,2,0))&amp;"_"&amp;RIGHT(A2569,3)</f>
        <v>#VALUE!</v>
      </c>
      <c r="I2569" s="66">
        <f t="shared" si="40"/>
        <v>0</v>
      </c>
    </row>
    <row r="2570" spans="8:9">
      <c r="H2570" s="66" t="e">
        <f>IF(OR(LEFT(B2570,FIND("_",B2570,1)-1)="ULGALLOC",LEFT(B2570,FIND("_",B2570,1)-1)="ULSPOOL"),LEFT(B2570,FIND("_",B2570,1)-1),VLOOKUP(LEFT(A2570,6),'Code Library'!$D$3:$E$200,2,0))&amp;"_"&amp;RIGHT(A2570,3)</f>
        <v>#VALUE!</v>
      </c>
      <c r="I2570" s="66">
        <f t="shared" si="40"/>
        <v>0</v>
      </c>
    </row>
    <row r="2571" spans="8:9">
      <c r="H2571" s="66" t="e">
        <f>IF(OR(LEFT(B2571,FIND("_",B2571,1)-1)="ULGALLOC",LEFT(B2571,FIND("_",B2571,1)-1)="ULSPOOL"),LEFT(B2571,FIND("_",B2571,1)-1),VLOOKUP(LEFT(A2571,6),'Code Library'!$D$3:$E$200,2,0))&amp;"_"&amp;RIGHT(A2571,3)</f>
        <v>#VALUE!</v>
      </c>
      <c r="I2571" s="66">
        <f t="shared" si="40"/>
        <v>0</v>
      </c>
    </row>
    <row r="2572" spans="8:9">
      <c r="H2572" s="66" t="e">
        <f>IF(OR(LEFT(B2572,FIND("_",B2572,1)-1)="ULGALLOC",LEFT(B2572,FIND("_",B2572,1)-1)="ULSPOOL"),LEFT(B2572,FIND("_",B2572,1)-1),VLOOKUP(LEFT(A2572,6),'Code Library'!$D$3:$E$200,2,0))&amp;"_"&amp;RIGHT(A2572,3)</f>
        <v>#VALUE!</v>
      </c>
      <c r="I2572" s="66">
        <f t="shared" si="40"/>
        <v>0</v>
      </c>
    </row>
    <row r="2573" spans="8:9">
      <c r="H2573" s="66" t="e">
        <f>IF(OR(LEFT(B2573,FIND("_",B2573,1)-1)="ULGALLOC",LEFT(B2573,FIND("_",B2573,1)-1)="ULSPOOL"),LEFT(B2573,FIND("_",B2573,1)-1),VLOOKUP(LEFT(A2573,6),'Code Library'!$D$3:$E$200,2,0))&amp;"_"&amp;RIGHT(A2573,3)</f>
        <v>#VALUE!</v>
      </c>
      <c r="I2573" s="66">
        <f t="shared" si="40"/>
        <v>0</v>
      </c>
    </row>
    <row r="2574" spans="8:9">
      <c r="H2574" s="66" t="e">
        <f>IF(OR(LEFT(B2574,FIND("_",B2574,1)-1)="ULGALLOC",LEFT(B2574,FIND("_",B2574,1)-1)="ULSPOOL"),LEFT(B2574,FIND("_",B2574,1)-1),VLOOKUP(LEFT(A2574,6),'Code Library'!$D$3:$E$200,2,0))&amp;"_"&amp;RIGHT(A2574,3)</f>
        <v>#VALUE!</v>
      </c>
      <c r="I2574" s="66">
        <f t="shared" si="40"/>
        <v>0</v>
      </c>
    </row>
    <row r="2575" spans="8:9">
      <c r="H2575" s="66" t="e">
        <f>IF(OR(LEFT(B2575,FIND("_",B2575,1)-1)="ULGALLOC",LEFT(B2575,FIND("_",B2575,1)-1)="ULSPOOL"),LEFT(B2575,FIND("_",B2575,1)-1),VLOOKUP(LEFT(A2575,6),'Code Library'!$D$3:$E$200,2,0))&amp;"_"&amp;RIGHT(A2575,3)</f>
        <v>#VALUE!</v>
      </c>
      <c r="I2575" s="66">
        <f t="shared" si="40"/>
        <v>0</v>
      </c>
    </row>
    <row r="2576" spans="8:9">
      <c r="H2576" s="66" t="e">
        <f>IF(OR(LEFT(B2576,FIND("_",B2576,1)-1)="ULGALLOC",LEFT(B2576,FIND("_",B2576,1)-1)="ULSPOOL"),LEFT(B2576,FIND("_",B2576,1)-1),VLOOKUP(LEFT(A2576,6),'Code Library'!$D$3:$E$200,2,0))&amp;"_"&amp;RIGHT(A2576,3)</f>
        <v>#VALUE!</v>
      </c>
      <c r="I2576" s="66">
        <f t="shared" si="40"/>
        <v>0</v>
      </c>
    </row>
    <row r="2577" spans="8:9">
      <c r="H2577" s="66" t="e">
        <f>IF(OR(LEFT(B2577,FIND("_",B2577,1)-1)="ULGALLOC",LEFT(B2577,FIND("_",B2577,1)-1)="ULSPOOL"),LEFT(B2577,FIND("_",B2577,1)-1),VLOOKUP(LEFT(A2577,6),'Code Library'!$D$3:$E$200,2,0))&amp;"_"&amp;RIGHT(A2577,3)</f>
        <v>#VALUE!</v>
      </c>
      <c r="I2577" s="66">
        <f t="shared" si="40"/>
        <v>0</v>
      </c>
    </row>
    <row r="2578" spans="8:9">
      <c r="H2578" s="66" t="e">
        <f>IF(OR(LEFT(B2578,FIND("_",B2578,1)-1)="ULGALLOC",LEFT(B2578,FIND("_",B2578,1)-1)="ULSPOOL"),LEFT(B2578,FIND("_",B2578,1)-1),VLOOKUP(LEFT(A2578,6),'Code Library'!$D$3:$E$200,2,0))&amp;"_"&amp;RIGHT(A2578,3)</f>
        <v>#VALUE!</v>
      </c>
      <c r="I2578" s="66">
        <f t="shared" si="40"/>
        <v>0</v>
      </c>
    </row>
    <row r="2579" spans="8:9">
      <c r="H2579" s="66" t="e">
        <f>IF(OR(LEFT(B2579,FIND("_",B2579,1)-1)="ULGALLOC",LEFT(B2579,FIND("_",B2579,1)-1)="ULSPOOL"),LEFT(B2579,FIND("_",B2579,1)-1),VLOOKUP(LEFT(A2579,6),'Code Library'!$D$3:$E$200,2,0))&amp;"_"&amp;RIGHT(A2579,3)</f>
        <v>#VALUE!</v>
      </c>
      <c r="I2579" s="66">
        <f t="shared" si="40"/>
        <v>0</v>
      </c>
    </row>
    <row r="2580" spans="8:9">
      <c r="H2580" s="66" t="e">
        <f>IF(OR(LEFT(B2580,FIND("_",B2580,1)-1)="ULGALLOC",LEFT(B2580,FIND("_",B2580,1)-1)="ULSPOOL"),LEFT(B2580,FIND("_",B2580,1)-1),VLOOKUP(LEFT(A2580,6),'Code Library'!$D$3:$E$200,2,0))&amp;"_"&amp;RIGHT(A2580,3)</f>
        <v>#VALUE!</v>
      </c>
      <c r="I2580" s="66">
        <f t="shared" si="40"/>
        <v>0</v>
      </c>
    </row>
    <row r="2581" spans="8:9">
      <c r="H2581" s="66" t="e">
        <f>IF(OR(LEFT(B2581,FIND("_",B2581,1)-1)="ULGALLOC",LEFT(B2581,FIND("_",B2581,1)-1)="ULSPOOL"),LEFT(B2581,FIND("_",B2581,1)-1),VLOOKUP(LEFT(A2581,6),'Code Library'!$D$3:$E$200,2,0))&amp;"_"&amp;RIGHT(A2581,3)</f>
        <v>#VALUE!</v>
      </c>
      <c r="I2581" s="66">
        <f t="shared" si="40"/>
        <v>0</v>
      </c>
    </row>
    <row r="2582" spans="8:9">
      <c r="H2582" s="66" t="e">
        <f>IF(OR(LEFT(B2582,FIND("_",B2582,1)-1)="ULGALLOC",LEFT(B2582,FIND("_",B2582,1)-1)="ULSPOOL"),LEFT(B2582,FIND("_",B2582,1)-1),VLOOKUP(LEFT(A2582,6),'Code Library'!$D$3:$E$200,2,0))&amp;"_"&amp;RIGHT(A2582,3)</f>
        <v>#VALUE!</v>
      </c>
      <c r="I2582" s="66">
        <f t="shared" si="40"/>
        <v>0</v>
      </c>
    </row>
    <row r="2583" spans="8:9">
      <c r="H2583" s="66" t="e">
        <f>IF(OR(LEFT(B2583,FIND("_",B2583,1)-1)="ULGALLOC",LEFT(B2583,FIND("_",B2583,1)-1)="ULSPOOL"),LEFT(B2583,FIND("_",B2583,1)-1),VLOOKUP(LEFT(A2583,6),'Code Library'!$D$3:$E$200,2,0))&amp;"_"&amp;RIGHT(A2583,3)</f>
        <v>#VALUE!</v>
      </c>
      <c r="I2583" s="66">
        <f t="shared" si="40"/>
        <v>0</v>
      </c>
    </row>
    <row r="2584" spans="8:9">
      <c r="H2584" s="66" t="e">
        <f>IF(OR(LEFT(B2584,FIND("_",B2584,1)-1)="ULGALLOC",LEFT(B2584,FIND("_",B2584,1)-1)="ULSPOOL"),LEFT(B2584,FIND("_",B2584,1)-1),VLOOKUP(LEFT(A2584,6),'Code Library'!$D$3:$E$200,2,0))&amp;"_"&amp;RIGHT(A2584,3)</f>
        <v>#VALUE!</v>
      </c>
      <c r="I2584" s="66">
        <f t="shared" si="40"/>
        <v>0</v>
      </c>
    </row>
    <row r="2585" spans="8:9">
      <c r="H2585" s="66" t="e">
        <f>IF(OR(LEFT(B2585,FIND("_",B2585,1)-1)="ULGALLOC",LEFT(B2585,FIND("_",B2585,1)-1)="ULSPOOL"),LEFT(B2585,FIND("_",B2585,1)-1),VLOOKUP(LEFT(A2585,6),'Code Library'!$D$3:$E$200,2,0))&amp;"_"&amp;RIGHT(A2585,3)</f>
        <v>#VALUE!</v>
      </c>
      <c r="I2585" s="66">
        <f t="shared" si="40"/>
        <v>0</v>
      </c>
    </row>
    <row r="2586" spans="8:9">
      <c r="H2586" s="66" t="e">
        <f>IF(OR(LEFT(B2586,FIND("_",B2586,1)-1)="ULGALLOC",LEFT(B2586,FIND("_",B2586,1)-1)="ULSPOOL"),LEFT(B2586,FIND("_",B2586,1)-1),VLOOKUP(LEFT(A2586,6),'Code Library'!$D$3:$E$200,2,0))&amp;"_"&amp;RIGHT(A2586,3)</f>
        <v>#VALUE!</v>
      </c>
      <c r="I2586" s="66">
        <f t="shared" si="40"/>
        <v>0</v>
      </c>
    </row>
    <row r="2587" spans="8:9">
      <c r="H2587" s="66" t="e">
        <f>IF(OR(LEFT(B2587,FIND("_",B2587,1)-1)="ULGALLOC",LEFT(B2587,FIND("_",B2587,1)-1)="ULSPOOL"),LEFT(B2587,FIND("_",B2587,1)-1),VLOOKUP(LEFT(A2587,6),'Code Library'!$D$3:$E$200,2,0))&amp;"_"&amp;RIGHT(A2587,3)</f>
        <v>#VALUE!</v>
      </c>
      <c r="I2587" s="66">
        <f t="shared" si="40"/>
        <v>0</v>
      </c>
    </row>
    <row r="2588" spans="8:9">
      <c r="H2588" s="66" t="e">
        <f>IF(OR(LEFT(B2588,FIND("_",B2588,1)-1)="ULGALLOC",LEFT(B2588,FIND("_",B2588,1)-1)="ULSPOOL"),LEFT(B2588,FIND("_",B2588,1)-1),VLOOKUP(LEFT(A2588,6),'Code Library'!$D$3:$E$200,2,0))&amp;"_"&amp;RIGHT(A2588,3)</f>
        <v>#VALUE!</v>
      </c>
      <c r="I2588" s="66">
        <f t="shared" si="40"/>
        <v>0</v>
      </c>
    </row>
    <row r="2589" spans="8:9">
      <c r="H2589" s="66" t="e">
        <f>IF(OR(LEFT(B2589,FIND("_",B2589,1)-1)="ULGALLOC",LEFT(B2589,FIND("_",B2589,1)-1)="ULSPOOL"),LEFT(B2589,FIND("_",B2589,1)-1),VLOOKUP(LEFT(A2589,6),'Code Library'!$D$3:$E$200,2,0))&amp;"_"&amp;RIGHT(A2589,3)</f>
        <v>#VALUE!</v>
      </c>
      <c r="I2589" s="66">
        <f t="shared" si="40"/>
        <v>0</v>
      </c>
    </row>
    <row r="2590" spans="8:9">
      <c r="H2590" s="66" t="e">
        <f>IF(OR(LEFT(B2590,FIND("_",B2590,1)-1)="ULGALLOC",LEFT(B2590,FIND("_",B2590,1)-1)="ULSPOOL"),LEFT(B2590,FIND("_",B2590,1)-1),VLOOKUP(LEFT(A2590,6),'Code Library'!$D$3:$E$200,2,0))&amp;"_"&amp;RIGHT(A2590,3)</f>
        <v>#VALUE!</v>
      </c>
      <c r="I2590" s="66">
        <f t="shared" si="40"/>
        <v>0</v>
      </c>
    </row>
    <row r="2591" spans="8:9">
      <c r="H2591" s="66" t="e">
        <f>IF(OR(LEFT(B2591,FIND("_",B2591,1)-1)="ULGALLOC",LEFT(B2591,FIND("_",B2591,1)-1)="ULSPOOL"),LEFT(B2591,FIND("_",B2591,1)-1),VLOOKUP(LEFT(A2591,6),'Code Library'!$D$3:$E$200,2,0))&amp;"_"&amp;RIGHT(A2591,3)</f>
        <v>#VALUE!</v>
      </c>
      <c r="I2591" s="66">
        <f t="shared" si="40"/>
        <v>0</v>
      </c>
    </row>
    <row r="2592" spans="8:9">
      <c r="H2592" s="66" t="e">
        <f>IF(OR(LEFT(B2592,FIND("_",B2592,1)-1)="ULGALLOC",LEFT(B2592,FIND("_",B2592,1)-1)="ULSPOOL"),LEFT(B2592,FIND("_",B2592,1)-1),VLOOKUP(LEFT(A2592,6),'Code Library'!$D$3:$E$200,2,0))&amp;"_"&amp;RIGHT(A2592,3)</f>
        <v>#VALUE!</v>
      </c>
      <c r="I2592" s="66">
        <f t="shared" si="40"/>
        <v>0</v>
      </c>
    </row>
    <row r="2593" spans="8:9">
      <c r="H2593" s="66" t="e">
        <f>IF(OR(LEFT(B2593,FIND("_",B2593,1)-1)="ULGALLOC",LEFT(B2593,FIND("_",B2593,1)-1)="ULSPOOL"),LEFT(B2593,FIND("_",B2593,1)-1),VLOOKUP(LEFT(A2593,6),'Code Library'!$D$3:$E$200,2,0))&amp;"_"&amp;RIGHT(A2593,3)</f>
        <v>#VALUE!</v>
      </c>
      <c r="I2593" s="66">
        <f t="shared" si="40"/>
        <v>0</v>
      </c>
    </row>
    <row r="2594" spans="8:9">
      <c r="H2594" s="66" t="e">
        <f>IF(OR(LEFT(B2594,FIND("_",B2594,1)-1)="ULGALLOC",LEFT(B2594,FIND("_",B2594,1)-1)="ULSPOOL"),LEFT(B2594,FIND("_",B2594,1)-1),VLOOKUP(LEFT(A2594,6),'Code Library'!$D$3:$E$200,2,0))&amp;"_"&amp;RIGHT(A2594,3)</f>
        <v>#VALUE!</v>
      </c>
      <c r="I2594" s="66">
        <f t="shared" si="40"/>
        <v>0</v>
      </c>
    </row>
    <row r="2595" spans="8:9">
      <c r="H2595" s="66" t="e">
        <f>IF(OR(LEFT(B2595,FIND("_",B2595,1)-1)="ULGALLOC",LEFT(B2595,FIND("_",B2595,1)-1)="ULSPOOL"),LEFT(B2595,FIND("_",B2595,1)-1),VLOOKUP(LEFT(A2595,6),'Code Library'!$D$3:$E$200,2,0))&amp;"_"&amp;RIGHT(A2595,3)</f>
        <v>#VALUE!</v>
      </c>
      <c r="I2595" s="66">
        <f t="shared" si="40"/>
        <v>0</v>
      </c>
    </row>
    <row r="2596" spans="8:9">
      <c r="H2596" s="66" t="e">
        <f>IF(OR(LEFT(B2596,FIND("_",B2596,1)-1)="ULGALLOC",LEFT(B2596,FIND("_",B2596,1)-1)="ULSPOOL"),LEFT(B2596,FIND("_",B2596,1)-1),VLOOKUP(LEFT(A2596,6),'Code Library'!$D$3:$E$200,2,0))&amp;"_"&amp;RIGHT(A2596,3)</f>
        <v>#VALUE!</v>
      </c>
      <c r="I2596" s="66">
        <f t="shared" si="40"/>
        <v>0</v>
      </c>
    </row>
    <row r="2597" spans="8:9">
      <c r="H2597" s="66" t="e">
        <f>IF(OR(LEFT(B2597,FIND("_",B2597,1)-1)="ULGALLOC",LEFT(B2597,FIND("_",B2597,1)-1)="ULSPOOL"),LEFT(B2597,FIND("_",B2597,1)-1),VLOOKUP(LEFT(A2597,6),'Code Library'!$D$3:$E$200,2,0))&amp;"_"&amp;RIGHT(A2597,3)</f>
        <v>#VALUE!</v>
      </c>
      <c r="I2597" s="66">
        <f t="shared" si="40"/>
        <v>0</v>
      </c>
    </row>
    <row r="2598" spans="8:9">
      <c r="H2598" s="66" t="e">
        <f>IF(OR(LEFT(B2598,FIND("_",B2598,1)-1)="ULGALLOC",LEFT(B2598,FIND("_",B2598,1)-1)="ULSPOOL"),LEFT(B2598,FIND("_",B2598,1)-1),VLOOKUP(LEFT(A2598,6),'Code Library'!$D$3:$E$200,2,0))&amp;"_"&amp;RIGHT(A2598,3)</f>
        <v>#VALUE!</v>
      </c>
      <c r="I2598" s="66">
        <f t="shared" si="40"/>
        <v>0</v>
      </c>
    </row>
    <row r="2599" spans="8:9">
      <c r="H2599" s="66" t="e">
        <f>IF(OR(LEFT(B2599,FIND("_",B2599,1)-1)="ULGALLOC",LEFT(B2599,FIND("_",B2599,1)-1)="ULSPOOL"),LEFT(B2599,FIND("_",B2599,1)-1),VLOOKUP(LEFT(A2599,6),'Code Library'!$D$3:$E$200,2,0))&amp;"_"&amp;RIGHT(A2599,3)</f>
        <v>#VALUE!</v>
      </c>
      <c r="I2599" s="66">
        <f t="shared" si="40"/>
        <v>0</v>
      </c>
    </row>
    <row r="2600" spans="8:9">
      <c r="H2600" s="66" t="e">
        <f>IF(OR(LEFT(B2600,FIND("_",B2600,1)-1)="ULGALLOC",LEFT(B2600,FIND("_",B2600,1)-1)="ULSPOOL"),LEFT(B2600,FIND("_",B2600,1)-1),VLOOKUP(LEFT(A2600,6),'Code Library'!$D$3:$E$200,2,0))&amp;"_"&amp;RIGHT(A2600,3)</f>
        <v>#VALUE!</v>
      </c>
      <c r="I2600" s="66">
        <f t="shared" si="40"/>
        <v>0</v>
      </c>
    </row>
    <row r="2601" spans="8:9">
      <c r="H2601" s="66" t="e">
        <f>IF(OR(LEFT(B2601,FIND("_",B2601,1)-1)="ULGALLOC",LEFT(B2601,FIND("_",B2601,1)-1)="ULSPOOL"),LEFT(B2601,FIND("_",B2601,1)-1),VLOOKUP(LEFT(A2601,6),'Code Library'!$D$3:$E$200,2,0))&amp;"_"&amp;RIGHT(A2601,3)</f>
        <v>#VALUE!</v>
      </c>
      <c r="I2601" s="66">
        <f t="shared" si="40"/>
        <v>0</v>
      </c>
    </row>
    <row r="2602" spans="8:9">
      <c r="H2602" s="66" t="e">
        <f>IF(OR(LEFT(B2602,FIND("_",B2602,1)-1)="ULGALLOC",LEFT(B2602,FIND("_",B2602,1)-1)="ULSPOOL"),LEFT(B2602,FIND("_",B2602,1)-1),VLOOKUP(LEFT(A2602,6),'Code Library'!$D$3:$E$200,2,0))&amp;"_"&amp;RIGHT(A2602,3)</f>
        <v>#VALUE!</v>
      </c>
      <c r="I2602" s="66">
        <f t="shared" si="40"/>
        <v>0</v>
      </c>
    </row>
    <row r="2603" spans="8:9">
      <c r="H2603" s="66" t="e">
        <f>IF(OR(LEFT(B2603,FIND("_",B2603,1)-1)="ULGALLOC",LEFT(B2603,FIND("_",B2603,1)-1)="ULSPOOL"),LEFT(B2603,FIND("_",B2603,1)-1),VLOOKUP(LEFT(A2603,6),'Code Library'!$D$3:$E$200,2,0))&amp;"_"&amp;RIGHT(A2603,3)</f>
        <v>#VALUE!</v>
      </c>
      <c r="I2603" s="66">
        <f t="shared" si="40"/>
        <v>0</v>
      </c>
    </row>
    <row r="2604" spans="8:9">
      <c r="H2604" s="66" t="e">
        <f>IF(OR(LEFT(B2604,FIND("_",B2604,1)-1)="ULGALLOC",LEFT(B2604,FIND("_",B2604,1)-1)="ULSPOOL"),LEFT(B2604,FIND("_",B2604,1)-1),VLOOKUP(LEFT(A2604,6),'Code Library'!$D$3:$E$200,2,0))&amp;"_"&amp;RIGHT(A2604,3)</f>
        <v>#VALUE!</v>
      </c>
      <c r="I2604" s="66">
        <f t="shared" si="40"/>
        <v>0</v>
      </c>
    </row>
    <row r="2605" spans="8:9">
      <c r="H2605" s="66" t="e">
        <f>IF(OR(LEFT(B2605,FIND("_",B2605,1)-1)="ULGALLOC",LEFT(B2605,FIND("_",B2605,1)-1)="ULSPOOL"),LEFT(B2605,FIND("_",B2605,1)-1),VLOOKUP(LEFT(A2605,6),'Code Library'!$D$3:$E$200,2,0))&amp;"_"&amp;RIGHT(A2605,3)</f>
        <v>#VALUE!</v>
      </c>
      <c r="I2605" s="66">
        <f t="shared" si="40"/>
        <v>0</v>
      </c>
    </row>
    <row r="2606" spans="8:9">
      <c r="H2606" s="66" t="e">
        <f>IF(OR(LEFT(B2606,FIND("_",B2606,1)-1)="ULGALLOC",LEFT(B2606,FIND("_",B2606,1)-1)="ULSPOOL"),LEFT(B2606,FIND("_",B2606,1)-1),VLOOKUP(LEFT(A2606,6),'Code Library'!$D$3:$E$200,2,0))&amp;"_"&amp;RIGHT(A2606,3)</f>
        <v>#VALUE!</v>
      </c>
      <c r="I2606" s="66">
        <f t="shared" si="40"/>
        <v>0</v>
      </c>
    </row>
    <row r="2607" spans="8:9">
      <c r="H2607" s="66" t="e">
        <f>IF(OR(LEFT(B2607,FIND("_",B2607,1)-1)="ULGALLOC",LEFT(B2607,FIND("_",B2607,1)-1)="ULSPOOL"),LEFT(B2607,FIND("_",B2607,1)-1),VLOOKUP(LEFT(A2607,6),'Code Library'!$D$3:$E$200,2,0))&amp;"_"&amp;RIGHT(A2607,3)</f>
        <v>#VALUE!</v>
      </c>
      <c r="I2607" s="66">
        <f t="shared" si="40"/>
        <v>0</v>
      </c>
    </row>
    <row r="2608" spans="8:9">
      <c r="H2608" s="66" t="e">
        <f>IF(OR(LEFT(B2608,FIND("_",B2608,1)-1)="ULGALLOC",LEFT(B2608,FIND("_",B2608,1)-1)="ULSPOOL"),LEFT(B2608,FIND("_",B2608,1)-1),VLOOKUP(LEFT(A2608,6),'Code Library'!$D$3:$E$200,2,0))&amp;"_"&amp;RIGHT(A2608,3)</f>
        <v>#VALUE!</v>
      </c>
      <c r="I2608" s="66">
        <f t="shared" si="40"/>
        <v>0</v>
      </c>
    </row>
    <row r="2609" spans="8:9">
      <c r="H2609" s="66" t="e">
        <f>IF(OR(LEFT(B2609,FIND("_",B2609,1)-1)="ULGALLOC",LEFT(B2609,FIND("_",B2609,1)-1)="ULSPOOL"),LEFT(B2609,FIND("_",B2609,1)-1),VLOOKUP(LEFT(A2609,6),'Code Library'!$D$3:$E$200,2,0))&amp;"_"&amp;RIGHT(A2609,3)</f>
        <v>#VALUE!</v>
      </c>
      <c r="I2609" s="66">
        <f t="shared" si="40"/>
        <v>0</v>
      </c>
    </row>
    <row r="2610" spans="8:9">
      <c r="H2610" s="66" t="e">
        <f>IF(OR(LEFT(B2610,FIND("_",B2610,1)-1)="ULGALLOC",LEFT(B2610,FIND("_",B2610,1)-1)="ULSPOOL"),LEFT(B2610,FIND("_",B2610,1)-1),VLOOKUP(LEFT(A2610,6),'Code Library'!$D$3:$E$200,2,0))&amp;"_"&amp;RIGHT(A2610,3)</f>
        <v>#VALUE!</v>
      </c>
      <c r="I2610" s="66">
        <f t="shared" si="40"/>
        <v>0</v>
      </c>
    </row>
    <row r="2611" spans="8:9">
      <c r="H2611" s="66" t="e">
        <f>IF(OR(LEFT(B2611,FIND("_",B2611,1)-1)="ULGALLOC",LEFT(B2611,FIND("_",B2611,1)-1)="ULSPOOL"),LEFT(B2611,FIND("_",B2611,1)-1),VLOOKUP(LEFT(A2611,6),'Code Library'!$D$3:$E$200,2,0))&amp;"_"&amp;RIGHT(A2611,3)</f>
        <v>#VALUE!</v>
      </c>
      <c r="I2611" s="66">
        <f t="shared" si="40"/>
        <v>0</v>
      </c>
    </row>
    <row r="2612" spans="8:9">
      <c r="H2612" s="66" t="e">
        <f>IF(OR(LEFT(B2612,FIND("_",B2612,1)-1)="ULGALLOC",LEFT(B2612,FIND("_",B2612,1)-1)="ULSPOOL"),LEFT(B2612,FIND("_",B2612,1)-1),VLOOKUP(LEFT(A2612,6),'Code Library'!$D$3:$E$200,2,0))&amp;"_"&amp;RIGHT(A2612,3)</f>
        <v>#VALUE!</v>
      </c>
      <c r="I2612" s="66">
        <f t="shared" si="40"/>
        <v>0</v>
      </c>
    </row>
    <row r="2613" spans="8:9">
      <c r="H2613" s="66" t="e">
        <f>IF(OR(LEFT(B2613,FIND("_",B2613,1)-1)="ULGALLOC",LEFT(B2613,FIND("_",B2613,1)-1)="ULSPOOL"),LEFT(B2613,FIND("_",B2613,1)-1),VLOOKUP(LEFT(A2613,6),'Code Library'!$D$3:$E$200,2,0))&amp;"_"&amp;RIGHT(A2613,3)</f>
        <v>#VALUE!</v>
      </c>
      <c r="I2613" s="66">
        <f t="shared" si="40"/>
        <v>0</v>
      </c>
    </row>
    <row r="2614" spans="8:9">
      <c r="H2614" s="66" t="e">
        <f>IF(OR(LEFT(B2614,FIND("_",B2614,1)-1)="ULGALLOC",LEFT(B2614,FIND("_",B2614,1)-1)="ULSPOOL"),LEFT(B2614,FIND("_",B2614,1)-1),VLOOKUP(LEFT(A2614,6),'Code Library'!$D$3:$E$200,2,0))&amp;"_"&amp;RIGHT(A2614,3)</f>
        <v>#VALUE!</v>
      </c>
      <c r="I2614" s="66">
        <f t="shared" si="40"/>
        <v>0</v>
      </c>
    </row>
    <row r="2615" spans="8:9">
      <c r="H2615" s="66" t="e">
        <f>IF(OR(LEFT(B2615,FIND("_",B2615,1)-1)="ULGALLOC",LEFT(B2615,FIND("_",B2615,1)-1)="ULSPOOL"),LEFT(B2615,FIND("_",B2615,1)-1),VLOOKUP(LEFT(A2615,6),'Code Library'!$D$3:$E$200,2,0))&amp;"_"&amp;RIGHT(A2615,3)</f>
        <v>#VALUE!</v>
      </c>
      <c r="I2615" s="66">
        <f t="shared" si="40"/>
        <v>0</v>
      </c>
    </row>
    <row r="2616" spans="8:9">
      <c r="H2616" s="66" t="e">
        <f>IF(OR(LEFT(B2616,FIND("_",B2616,1)-1)="ULGALLOC",LEFT(B2616,FIND("_",B2616,1)-1)="ULSPOOL"),LEFT(B2616,FIND("_",B2616,1)-1),VLOOKUP(LEFT(A2616,6),'Code Library'!$D$3:$E$200,2,0))&amp;"_"&amp;RIGHT(A2616,3)</f>
        <v>#VALUE!</v>
      </c>
      <c r="I2616" s="66">
        <f t="shared" si="40"/>
        <v>0</v>
      </c>
    </row>
    <row r="2617" spans="8:9">
      <c r="H2617" s="66" t="e">
        <f>IF(OR(LEFT(B2617,FIND("_",B2617,1)-1)="ULGALLOC",LEFT(B2617,FIND("_",B2617,1)-1)="ULSPOOL"),LEFT(B2617,FIND("_",B2617,1)-1),VLOOKUP(LEFT(A2617,6),'Code Library'!$D$3:$E$200,2,0))&amp;"_"&amp;RIGHT(A2617,3)</f>
        <v>#VALUE!</v>
      </c>
      <c r="I2617" s="66">
        <f t="shared" si="40"/>
        <v>0</v>
      </c>
    </row>
    <row r="2618" spans="8:9">
      <c r="H2618" s="66" t="e">
        <f>IF(OR(LEFT(B2618,FIND("_",B2618,1)-1)="ULGALLOC",LEFT(B2618,FIND("_",B2618,1)-1)="ULSPOOL"),LEFT(B2618,FIND("_",B2618,1)-1),VLOOKUP(LEFT(A2618,6),'Code Library'!$D$3:$E$200,2,0))&amp;"_"&amp;RIGHT(A2618,3)</f>
        <v>#VALUE!</v>
      </c>
      <c r="I2618" s="66">
        <f t="shared" si="40"/>
        <v>0</v>
      </c>
    </row>
    <row r="2619" spans="8:9">
      <c r="H2619" s="66" t="e">
        <f>IF(OR(LEFT(B2619,FIND("_",B2619,1)-1)="ULGALLOC",LEFT(B2619,FIND("_",B2619,1)-1)="ULSPOOL"),LEFT(B2619,FIND("_",B2619,1)-1),VLOOKUP(LEFT(A2619,6),'Code Library'!$D$3:$E$200,2,0))&amp;"_"&amp;RIGHT(A2619,3)</f>
        <v>#VALUE!</v>
      </c>
      <c r="I2619" s="66">
        <f t="shared" si="40"/>
        <v>0</v>
      </c>
    </row>
    <row r="2620" spans="8:9">
      <c r="H2620" s="66" t="e">
        <f>IF(OR(LEFT(B2620,FIND("_",B2620,1)-1)="ULGALLOC",LEFT(B2620,FIND("_",B2620,1)-1)="ULSPOOL"),LEFT(B2620,FIND("_",B2620,1)-1),VLOOKUP(LEFT(A2620,6),'Code Library'!$D$3:$E$200,2,0))&amp;"_"&amp;RIGHT(A2620,3)</f>
        <v>#VALUE!</v>
      </c>
      <c r="I2620" s="66">
        <f t="shared" si="40"/>
        <v>0</v>
      </c>
    </row>
    <row r="2621" spans="8:9">
      <c r="H2621" s="66" t="e">
        <f>IF(OR(LEFT(B2621,FIND("_",B2621,1)-1)="ULGALLOC",LEFT(B2621,FIND("_",B2621,1)-1)="ULSPOOL"),LEFT(B2621,FIND("_",B2621,1)-1),VLOOKUP(LEFT(A2621,6),'Code Library'!$D$3:$E$200,2,0))&amp;"_"&amp;RIGHT(A2621,3)</f>
        <v>#VALUE!</v>
      </c>
      <c r="I2621" s="66">
        <f t="shared" si="40"/>
        <v>0</v>
      </c>
    </row>
    <row r="2622" spans="8:9">
      <c r="H2622" s="66" t="e">
        <f>IF(OR(LEFT(B2622,FIND("_",B2622,1)-1)="ULGALLOC",LEFT(B2622,FIND("_",B2622,1)-1)="ULSPOOL"),LEFT(B2622,FIND("_",B2622,1)-1),VLOOKUP(LEFT(A2622,6),'Code Library'!$D$3:$E$200,2,0))&amp;"_"&amp;RIGHT(A2622,3)</f>
        <v>#VALUE!</v>
      </c>
      <c r="I2622" s="66">
        <f t="shared" si="40"/>
        <v>0</v>
      </c>
    </row>
    <row r="2623" spans="8:9">
      <c r="H2623" s="66" t="e">
        <f>IF(OR(LEFT(B2623,FIND("_",B2623,1)-1)="ULGALLOC",LEFT(B2623,FIND("_",B2623,1)-1)="ULSPOOL"),LEFT(B2623,FIND("_",B2623,1)-1),VLOOKUP(LEFT(A2623,6),'Code Library'!$D$3:$E$200,2,0))&amp;"_"&amp;RIGHT(A2623,3)</f>
        <v>#VALUE!</v>
      </c>
      <c r="I2623" s="66">
        <f t="shared" si="40"/>
        <v>0</v>
      </c>
    </row>
    <row r="2624" spans="8:9">
      <c r="H2624" s="66" t="e">
        <f>IF(OR(LEFT(B2624,FIND("_",B2624,1)-1)="ULGALLOC",LEFT(B2624,FIND("_",B2624,1)-1)="ULSPOOL"),LEFT(B2624,FIND("_",B2624,1)-1),VLOOKUP(LEFT(A2624,6),'Code Library'!$D$3:$E$200,2,0))&amp;"_"&amp;RIGHT(A2624,3)</f>
        <v>#VALUE!</v>
      </c>
      <c r="I2624" s="66">
        <f t="shared" si="40"/>
        <v>0</v>
      </c>
    </row>
    <row r="2625" spans="8:9">
      <c r="H2625" s="66" t="e">
        <f>IF(OR(LEFT(B2625,FIND("_",B2625,1)-1)="ULGALLOC",LEFT(B2625,FIND("_",B2625,1)-1)="ULSPOOL"),LEFT(B2625,FIND("_",B2625,1)-1),VLOOKUP(LEFT(A2625,6),'Code Library'!$D$3:$E$200,2,0))&amp;"_"&amp;RIGHT(A2625,3)</f>
        <v>#VALUE!</v>
      </c>
      <c r="I2625" s="66">
        <f t="shared" si="40"/>
        <v>0</v>
      </c>
    </row>
    <row r="2626" spans="8:9">
      <c r="H2626" s="66" t="e">
        <f>IF(OR(LEFT(B2626,FIND("_",B2626,1)-1)="ULGALLOC",LEFT(B2626,FIND("_",B2626,1)-1)="ULSPOOL"),LEFT(B2626,FIND("_",B2626,1)-1),VLOOKUP(LEFT(A2626,6),'Code Library'!$D$3:$E$200,2,0))&amp;"_"&amp;RIGHT(A2626,3)</f>
        <v>#VALUE!</v>
      </c>
      <c r="I2626" s="66">
        <f t="shared" si="40"/>
        <v>0</v>
      </c>
    </row>
    <row r="2627" spans="8:9">
      <c r="H2627" s="66" t="e">
        <f>IF(OR(LEFT(B2627,FIND("_",B2627,1)-1)="ULGALLOC",LEFT(B2627,FIND("_",B2627,1)-1)="ULSPOOL"),LEFT(B2627,FIND("_",B2627,1)-1),VLOOKUP(LEFT(A2627,6),'Code Library'!$D$3:$E$200,2,0))&amp;"_"&amp;RIGHT(A2627,3)</f>
        <v>#VALUE!</v>
      </c>
      <c r="I2627" s="66">
        <f t="shared" ref="I2627:I2690" si="41">A2627</f>
        <v>0</v>
      </c>
    </row>
    <row r="2628" spans="8:9">
      <c r="H2628" s="66" t="e">
        <f>IF(OR(LEFT(B2628,FIND("_",B2628,1)-1)="ULGALLOC",LEFT(B2628,FIND("_",B2628,1)-1)="ULSPOOL"),LEFT(B2628,FIND("_",B2628,1)-1),VLOOKUP(LEFT(A2628,6),'Code Library'!$D$3:$E$200,2,0))&amp;"_"&amp;RIGHT(A2628,3)</f>
        <v>#VALUE!</v>
      </c>
      <c r="I2628" s="66">
        <f t="shared" si="41"/>
        <v>0</v>
      </c>
    </row>
    <row r="2629" spans="8:9">
      <c r="H2629" s="66" t="e">
        <f>IF(OR(LEFT(B2629,FIND("_",B2629,1)-1)="ULGALLOC",LEFT(B2629,FIND("_",B2629,1)-1)="ULSPOOL"),LEFT(B2629,FIND("_",B2629,1)-1),VLOOKUP(LEFT(A2629,6),'Code Library'!$D$3:$E$200,2,0))&amp;"_"&amp;RIGHT(A2629,3)</f>
        <v>#VALUE!</v>
      </c>
      <c r="I2629" s="66">
        <f t="shared" si="41"/>
        <v>0</v>
      </c>
    </row>
    <row r="2630" spans="8:9">
      <c r="H2630" s="66" t="e">
        <f>IF(OR(LEFT(B2630,FIND("_",B2630,1)-1)="ULGALLOC",LEFT(B2630,FIND("_",B2630,1)-1)="ULSPOOL"),LEFT(B2630,FIND("_",B2630,1)-1),VLOOKUP(LEFT(A2630,6),'Code Library'!$D$3:$E$200,2,0))&amp;"_"&amp;RIGHT(A2630,3)</f>
        <v>#VALUE!</v>
      </c>
      <c r="I2630" s="66">
        <f t="shared" si="41"/>
        <v>0</v>
      </c>
    </row>
    <row r="2631" spans="8:9">
      <c r="H2631" s="66" t="e">
        <f>IF(OR(LEFT(B2631,FIND("_",B2631,1)-1)="ULGALLOC",LEFT(B2631,FIND("_",B2631,1)-1)="ULSPOOL"),LEFT(B2631,FIND("_",B2631,1)-1),VLOOKUP(LEFT(A2631,6),'Code Library'!$D$3:$E$200,2,0))&amp;"_"&amp;RIGHT(A2631,3)</f>
        <v>#VALUE!</v>
      </c>
      <c r="I2631" s="66">
        <f t="shared" si="41"/>
        <v>0</v>
      </c>
    </row>
    <row r="2632" spans="8:9">
      <c r="H2632" s="66" t="e">
        <f>IF(OR(LEFT(B2632,FIND("_",B2632,1)-1)="ULGALLOC",LEFT(B2632,FIND("_",B2632,1)-1)="ULSPOOL"),LEFT(B2632,FIND("_",B2632,1)-1),VLOOKUP(LEFT(A2632,6),'Code Library'!$D$3:$E$200,2,0))&amp;"_"&amp;RIGHT(A2632,3)</f>
        <v>#VALUE!</v>
      </c>
      <c r="I2632" s="66">
        <f t="shared" si="41"/>
        <v>0</v>
      </c>
    </row>
    <row r="2633" spans="8:9">
      <c r="H2633" s="66" t="e">
        <f>IF(OR(LEFT(B2633,FIND("_",B2633,1)-1)="ULGALLOC",LEFT(B2633,FIND("_",B2633,1)-1)="ULSPOOL"),LEFT(B2633,FIND("_",B2633,1)-1),VLOOKUP(LEFT(A2633,6),'Code Library'!$D$3:$E$200,2,0))&amp;"_"&amp;RIGHT(A2633,3)</f>
        <v>#VALUE!</v>
      </c>
      <c r="I2633" s="66">
        <f t="shared" si="41"/>
        <v>0</v>
      </c>
    </row>
    <row r="2634" spans="8:9">
      <c r="H2634" s="66" t="e">
        <f>IF(OR(LEFT(B2634,FIND("_",B2634,1)-1)="ULGALLOC",LEFT(B2634,FIND("_",B2634,1)-1)="ULSPOOL"),LEFT(B2634,FIND("_",B2634,1)-1),VLOOKUP(LEFT(A2634,6),'Code Library'!$D$3:$E$200,2,0))&amp;"_"&amp;RIGHT(A2634,3)</f>
        <v>#VALUE!</v>
      </c>
      <c r="I2634" s="66">
        <f t="shared" si="41"/>
        <v>0</v>
      </c>
    </row>
    <row r="2635" spans="8:9">
      <c r="H2635" s="66" t="e">
        <f>IF(OR(LEFT(B2635,FIND("_",B2635,1)-1)="ULGALLOC",LEFT(B2635,FIND("_",B2635,1)-1)="ULSPOOL"),LEFT(B2635,FIND("_",B2635,1)-1),VLOOKUP(LEFT(A2635,6),'Code Library'!$D$3:$E$200,2,0))&amp;"_"&amp;RIGHT(A2635,3)</f>
        <v>#VALUE!</v>
      </c>
      <c r="I2635" s="66">
        <f t="shared" si="41"/>
        <v>0</v>
      </c>
    </row>
    <row r="2636" spans="8:9">
      <c r="H2636" s="66" t="e">
        <f>IF(OR(LEFT(B2636,FIND("_",B2636,1)-1)="ULGALLOC",LEFT(B2636,FIND("_",B2636,1)-1)="ULSPOOL"),LEFT(B2636,FIND("_",B2636,1)-1),VLOOKUP(LEFT(A2636,6),'Code Library'!$D$3:$E$200,2,0))&amp;"_"&amp;RIGHT(A2636,3)</f>
        <v>#VALUE!</v>
      </c>
      <c r="I2636" s="66">
        <f t="shared" si="41"/>
        <v>0</v>
      </c>
    </row>
    <row r="2637" spans="8:9">
      <c r="H2637" s="66" t="e">
        <f>IF(OR(LEFT(B2637,FIND("_",B2637,1)-1)="ULGALLOC",LEFT(B2637,FIND("_",B2637,1)-1)="ULSPOOL"),LEFT(B2637,FIND("_",B2637,1)-1),VLOOKUP(LEFT(A2637,6),'Code Library'!$D$3:$E$200,2,0))&amp;"_"&amp;RIGHT(A2637,3)</f>
        <v>#VALUE!</v>
      </c>
      <c r="I2637" s="66">
        <f t="shared" si="41"/>
        <v>0</v>
      </c>
    </row>
    <row r="2638" spans="8:9">
      <c r="H2638" s="66" t="e">
        <f>IF(OR(LEFT(B2638,FIND("_",B2638,1)-1)="ULGALLOC",LEFT(B2638,FIND("_",B2638,1)-1)="ULSPOOL"),LEFT(B2638,FIND("_",B2638,1)-1),VLOOKUP(LEFT(A2638,6),'Code Library'!$D$3:$E$200,2,0))&amp;"_"&amp;RIGHT(A2638,3)</f>
        <v>#VALUE!</v>
      </c>
      <c r="I2638" s="66">
        <f t="shared" si="41"/>
        <v>0</v>
      </c>
    </row>
    <row r="2639" spans="8:9">
      <c r="H2639" s="66" t="e">
        <f>IF(OR(LEFT(B2639,FIND("_",B2639,1)-1)="ULGALLOC",LEFT(B2639,FIND("_",B2639,1)-1)="ULSPOOL"),LEFT(B2639,FIND("_",B2639,1)-1),VLOOKUP(LEFT(A2639,6),'Code Library'!$D$3:$E$200,2,0))&amp;"_"&amp;RIGHT(A2639,3)</f>
        <v>#VALUE!</v>
      </c>
      <c r="I2639" s="66">
        <f t="shared" si="41"/>
        <v>0</v>
      </c>
    </row>
    <row r="2640" spans="8:9">
      <c r="H2640" s="66" t="e">
        <f>IF(OR(LEFT(B2640,FIND("_",B2640,1)-1)="ULGALLOC",LEFT(B2640,FIND("_",B2640,1)-1)="ULSPOOL"),LEFT(B2640,FIND("_",B2640,1)-1),VLOOKUP(LEFT(A2640,6),'Code Library'!$D$3:$E$200,2,0))&amp;"_"&amp;RIGHT(A2640,3)</f>
        <v>#VALUE!</v>
      </c>
      <c r="I2640" s="66">
        <f t="shared" si="41"/>
        <v>0</v>
      </c>
    </row>
    <row r="2641" spans="8:9">
      <c r="H2641" s="66" t="e">
        <f>IF(OR(LEFT(B2641,FIND("_",B2641,1)-1)="ULGALLOC",LEFT(B2641,FIND("_",B2641,1)-1)="ULSPOOL"),LEFT(B2641,FIND("_",B2641,1)-1),VLOOKUP(LEFT(A2641,6),'Code Library'!$D$3:$E$200,2,0))&amp;"_"&amp;RIGHT(A2641,3)</f>
        <v>#VALUE!</v>
      </c>
      <c r="I2641" s="66">
        <f t="shared" si="41"/>
        <v>0</v>
      </c>
    </row>
    <row r="2642" spans="8:9">
      <c r="H2642" s="66" t="e">
        <f>IF(OR(LEFT(B2642,FIND("_",B2642,1)-1)="ULGALLOC",LEFT(B2642,FIND("_",B2642,1)-1)="ULSPOOL"),LEFT(B2642,FIND("_",B2642,1)-1),VLOOKUP(LEFT(A2642,6),'Code Library'!$D$3:$E$200,2,0))&amp;"_"&amp;RIGHT(A2642,3)</f>
        <v>#VALUE!</v>
      </c>
      <c r="I2642" s="66">
        <f t="shared" si="41"/>
        <v>0</v>
      </c>
    </row>
    <row r="2643" spans="8:9">
      <c r="H2643" s="66" t="e">
        <f>IF(OR(LEFT(B2643,FIND("_",B2643,1)-1)="ULGALLOC",LEFT(B2643,FIND("_",B2643,1)-1)="ULSPOOL"),LEFT(B2643,FIND("_",B2643,1)-1),VLOOKUP(LEFT(A2643,6),'Code Library'!$D$3:$E$200,2,0))&amp;"_"&amp;RIGHT(A2643,3)</f>
        <v>#VALUE!</v>
      </c>
      <c r="I2643" s="66">
        <f t="shared" si="41"/>
        <v>0</v>
      </c>
    </row>
    <row r="2644" spans="8:9">
      <c r="H2644" s="66" t="e">
        <f>IF(OR(LEFT(B2644,FIND("_",B2644,1)-1)="ULGALLOC",LEFT(B2644,FIND("_",B2644,1)-1)="ULSPOOL"),LEFT(B2644,FIND("_",B2644,1)-1),VLOOKUP(LEFT(A2644,6),'Code Library'!$D$3:$E$200,2,0))&amp;"_"&amp;RIGHT(A2644,3)</f>
        <v>#VALUE!</v>
      </c>
      <c r="I2644" s="66">
        <f t="shared" si="41"/>
        <v>0</v>
      </c>
    </row>
    <row r="2645" spans="8:9">
      <c r="H2645" s="66" t="e">
        <f>IF(OR(LEFT(B2645,FIND("_",B2645,1)-1)="ULGALLOC",LEFT(B2645,FIND("_",B2645,1)-1)="ULSPOOL"),LEFT(B2645,FIND("_",B2645,1)-1),VLOOKUP(LEFT(A2645,6),'Code Library'!$D$3:$E$200,2,0))&amp;"_"&amp;RIGHT(A2645,3)</f>
        <v>#VALUE!</v>
      </c>
      <c r="I2645" s="66">
        <f t="shared" si="41"/>
        <v>0</v>
      </c>
    </row>
    <row r="2646" spans="8:9">
      <c r="H2646" s="66" t="e">
        <f>IF(OR(LEFT(B2646,FIND("_",B2646,1)-1)="ULGALLOC",LEFT(B2646,FIND("_",B2646,1)-1)="ULSPOOL"),LEFT(B2646,FIND("_",B2646,1)-1),VLOOKUP(LEFT(A2646,6),'Code Library'!$D$3:$E$200,2,0))&amp;"_"&amp;RIGHT(A2646,3)</f>
        <v>#VALUE!</v>
      </c>
      <c r="I2646" s="66">
        <f t="shared" si="41"/>
        <v>0</v>
      </c>
    </row>
    <row r="2647" spans="8:9">
      <c r="H2647" s="66" t="e">
        <f>IF(OR(LEFT(B2647,FIND("_",B2647,1)-1)="ULGALLOC",LEFT(B2647,FIND("_",B2647,1)-1)="ULSPOOL"),LEFT(B2647,FIND("_",B2647,1)-1),VLOOKUP(LEFT(A2647,6),'Code Library'!$D$3:$E$200,2,0))&amp;"_"&amp;RIGHT(A2647,3)</f>
        <v>#VALUE!</v>
      </c>
      <c r="I2647" s="66">
        <f t="shared" si="41"/>
        <v>0</v>
      </c>
    </row>
    <row r="2648" spans="8:9">
      <c r="H2648" s="66" t="e">
        <f>IF(OR(LEFT(B2648,FIND("_",B2648,1)-1)="ULGALLOC",LEFT(B2648,FIND("_",B2648,1)-1)="ULSPOOL"),LEFT(B2648,FIND("_",B2648,1)-1),VLOOKUP(LEFT(A2648,6),'Code Library'!$D$3:$E$200,2,0))&amp;"_"&amp;RIGHT(A2648,3)</f>
        <v>#VALUE!</v>
      </c>
      <c r="I2648" s="66">
        <f t="shared" si="41"/>
        <v>0</v>
      </c>
    </row>
    <row r="2649" spans="8:9">
      <c r="H2649" s="66" t="e">
        <f>IF(OR(LEFT(B2649,FIND("_",B2649,1)-1)="ULGALLOC",LEFT(B2649,FIND("_",B2649,1)-1)="ULSPOOL"),LEFT(B2649,FIND("_",B2649,1)-1),VLOOKUP(LEFT(A2649,6),'Code Library'!$D$3:$E$200,2,0))&amp;"_"&amp;RIGHT(A2649,3)</f>
        <v>#VALUE!</v>
      </c>
      <c r="I2649" s="66">
        <f t="shared" si="41"/>
        <v>0</v>
      </c>
    </row>
    <row r="2650" spans="8:9">
      <c r="H2650" s="66" t="e">
        <f>IF(OR(LEFT(B2650,FIND("_",B2650,1)-1)="ULGALLOC",LEFT(B2650,FIND("_",B2650,1)-1)="ULSPOOL"),LEFT(B2650,FIND("_",B2650,1)-1),VLOOKUP(LEFT(A2650,6),'Code Library'!$D$3:$E$200,2,0))&amp;"_"&amp;RIGHT(A2650,3)</f>
        <v>#VALUE!</v>
      </c>
      <c r="I2650" s="66">
        <f t="shared" si="41"/>
        <v>0</v>
      </c>
    </row>
    <row r="2651" spans="8:9">
      <c r="H2651" s="66" t="e">
        <f>IF(OR(LEFT(B2651,FIND("_",B2651,1)-1)="ULGALLOC",LEFT(B2651,FIND("_",B2651,1)-1)="ULSPOOL"),LEFT(B2651,FIND("_",B2651,1)-1),VLOOKUP(LEFT(A2651,6),'Code Library'!$D$3:$E$200,2,0))&amp;"_"&amp;RIGHT(A2651,3)</f>
        <v>#VALUE!</v>
      </c>
      <c r="I2651" s="66">
        <f t="shared" si="41"/>
        <v>0</v>
      </c>
    </row>
    <row r="2652" spans="8:9">
      <c r="H2652" s="66" t="e">
        <f>IF(OR(LEFT(B2652,FIND("_",B2652,1)-1)="ULGALLOC",LEFT(B2652,FIND("_",B2652,1)-1)="ULSPOOL"),LEFT(B2652,FIND("_",B2652,1)-1),VLOOKUP(LEFT(A2652,6),'Code Library'!$D$3:$E$200,2,0))&amp;"_"&amp;RIGHT(A2652,3)</f>
        <v>#VALUE!</v>
      </c>
      <c r="I2652" s="66">
        <f t="shared" si="41"/>
        <v>0</v>
      </c>
    </row>
    <row r="2653" spans="8:9">
      <c r="H2653" s="66" t="e">
        <f>IF(OR(LEFT(B2653,FIND("_",B2653,1)-1)="ULGALLOC",LEFT(B2653,FIND("_",B2653,1)-1)="ULSPOOL"),LEFT(B2653,FIND("_",B2653,1)-1),VLOOKUP(LEFT(A2653,6),'Code Library'!$D$3:$E$200,2,0))&amp;"_"&amp;RIGHT(A2653,3)</f>
        <v>#VALUE!</v>
      </c>
      <c r="I2653" s="66">
        <f t="shared" si="41"/>
        <v>0</v>
      </c>
    </row>
    <row r="2654" spans="8:9">
      <c r="H2654" s="66" t="e">
        <f>IF(OR(LEFT(B2654,FIND("_",B2654,1)-1)="ULGALLOC",LEFT(B2654,FIND("_",B2654,1)-1)="ULSPOOL"),LEFT(B2654,FIND("_",B2654,1)-1),VLOOKUP(LEFT(A2654,6),'Code Library'!$D$3:$E$200,2,0))&amp;"_"&amp;RIGHT(A2654,3)</f>
        <v>#VALUE!</v>
      </c>
      <c r="I2654" s="66">
        <f t="shared" si="41"/>
        <v>0</v>
      </c>
    </row>
    <row r="2655" spans="8:9">
      <c r="H2655" s="66" t="e">
        <f>IF(OR(LEFT(B2655,FIND("_",B2655,1)-1)="ULGALLOC",LEFT(B2655,FIND("_",B2655,1)-1)="ULSPOOL"),LEFT(B2655,FIND("_",B2655,1)-1),VLOOKUP(LEFT(A2655,6),'Code Library'!$D$3:$E$200,2,0))&amp;"_"&amp;RIGHT(A2655,3)</f>
        <v>#VALUE!</v>
      </c>
      <c r="I2655" s="66">
        <f t="shared" si="41"/>
        <v>0</v>
      </c>
    </row>
    <row r="2656" spans="8:9">
      <c r="H2656" s="66" t="e">
        <f>IF(OR(LEFT(B2656,FIND("_",B2656,1)-1)="ULGALLOC",LEFT(B2656,FIND("_",B2656,1)-1)="ULSPOOL"),LEFT(B2656,FIND("_",B2656,1)-1),VLOOKUP(LEFT(A2656,6),'Code Library'!$D$3:$E$200,2,0))&amp;"_"&amp;RIGHT(A2656,3)</f>
        <v>#VALUE!</v>
      </c>
      <c r="I2656" s="66">
        <f t="shared" si="41"/>
        <v>0</v>
      </c>
    </row>
    <row r="2657" spans="8:9">
      <c r="H2657" s="66" t="e">
        <f>IF(OR(LEFT(B2657,FIND("_",B2657,1)-1)="ULGALLOC",LEFT(B2657,FIND("_",B2657,1)-1)="ULSPOOL"),LEFT(B2657,FIND("_",B2657,1)-1),VLOOKUP(LEFT(A2657,6),'Code Library'!$D$3:$E$200,2,0))&amp;"_"&amp;RIGHT(A2657,3)</f>
        <v>#VALUE!</v>
      </c>
      <c r="I2657" s="66">
        <f t="shared" si="41"/>
        <v>0</v>
      </c>
    </row>
    <row r="2658" spans="8:9">
      <c r="H2658" s="66" t="e">
        <f>IF(OR(LEFT(B2658,FIND("_",B2658,1)-1)="ULGALLOC",LEFT(B2658,FIND("_",B2658,1)-1)="ULSPOOL"),LEFT(B2658,FIND("_",B2658,1)-1),VLOOKUP(LEFT(A2658,6),'Code Library'!$D$3:$E$200,2,0))&amp;"_"&amp;RIGHT(A2658,3)</f>
        <v>#VALUE!</v>
      </c>
      <c r="I2658" s="66">
        <f t="shared" si="41"/>
        <v>0</v>
      </c>
    </row>
    <row r="2659" spans="8:9">
      <c r="H2659" s="66" t="e">
        <f>IF(OR(LEFT(B2659,FIND("_",B2659,1)-1)="ULGALLOC",LEFT(B2659,FIND("_",B2659,1)-1)="ULSPOOL"),LEFT(B2659,FIND("_",B2659,1)-1),VLOOKUP(LEFT(A2659,6),'Code Library'!$D$3:$E$200,2,0))&amp;"_"&amp;RIGHT(A2659,3)</f>
        <v>#VALUE!</v>
      </c>
      <c r="I2659" s="66">
        <f t="shared" si="41"/>
        <v>0</v>
      </c>
    </row>
    <row r="2660" spans="8:9">
      <c r="H2660" s="66" t="e">
        <f>IF(OR(LEFT(B2660,FIND("_",B2660,1)-1)="ULGALLOC",LEFT(B2660,FIND("_",B2660,1)-1)="ULSPOOL"),LEFT(B2660,FIND("_",B2660,1)-1),VLOOKUP(LEFT(A2660,6),'Code Library'!$D$3:$E$200,2,0))&amp;"_"&amp;RIGHT(A2660,3)</f>
        <v>#VALUE!</v>
      </c>
      <c r="I2660" s="66">
        <f t="shared" si="41"/>
        <v>0</v>
      </c>
    </row>
    <row r="2661" spans="8:9">
      <c r="H2661" s="66" t="e">
        <f>IF(OR(LEFT(B2661,FIND("_",B2661,1)-1)="ULGALLOC",LEFT(B2661,FIND("_",B2661,1)-1)="ULSPOOL"),LEFT(B2661,FIND("_",B2661,1)-1),VLOOKUP(LEFT(A2661,6),'Code Library'!$D$3:$E$200,2,0))&amp;"_"&amp;RIGHT(A2661,3)</f>
        <v>#VALUE!</v>
      </c>
      <c r="I2661" s="66">
        <f t="shared" si="41"/>
        <v>0</v>
      </c>
    </row>
    <row r="2662" spans="8:9">
      <c r="H2662" s="66" t="e">
        <f>IF(OR(LEFT(B2662,FIND("_",B2662,1)-1)="ULGALLOC",LEFT(B2662,FIND("_",B2662,1)-1)="ULSPOOL"),LEFT(B2662,FIND("_",B2662,1)-1),VLOOKUP(LEFT(A2662,6),'Code Library'!$D$3:$E$200,2,0))&amp;"_"&amp;RIGHT(A2662,3)</f>
        <v>#VALUE!</v>
      </c>
      <c r="I2662" s="66">
        <f t="shared" si="41"/>
        <v>0</v>
      </c>
    </row>
    <row r="2663" spans="8:9">
      <c r="H2663" s="66" t="e">
        <f>IF(OR(LEFT(B2663,FIND("_",B2663,1)-1)="ULGALLOC",LEFT(B2663,FIND("_",B2663,1)-1)="ULSPOOL"),LEFT(B2663,FIND("_",B2663,1)-1),VLOOKUP(LEFT(A2663,6),'Code Library'!$D$3:$E$200,2,0))&amp;"_"&amp;RIGHT(A2663,3)</f>
        <v>#VALUE!</v>
      </c>
      <c r="I2663" s="66">
        <f t="shared" si="41"/>
        <v>0</v>
      </c>
    </row>
    <row r="2664" spans="8:9">
      <c r="H2664" s="66" t="e">
        <f>IF(OR(LEFT(B2664,FIND("_",B2664,1)-1)="ULGALLOC",LEFT(B2664,FIND("_",B2664,1)-1)="ULSPOOL"),LEFT(B2664,FIND("_",B2664,1)-1),VLOOKUP(LEFT(A2664,6),'Code Library'!$D$3:$E$200,2,0))&amp;"_"&amp;RIGHT(A2664,3)</f>
        <v>#VALUE!</v>
      </c>
      <c r="I2664" s="66">
        <f t="shared" si="41"/>
        <v>0</v>
      </c>
    </row>
    <row r="2665" spans="8:9">
      <c r="H2665" s="66" t="e">
        <f>IF(OR(LEFT(B2665,FIND("_",B2665,1)-1)="ULGALLOC",LEFT(B2665,FIND("_",B2665,1)-1)="ULSPOOL"),LEFT(B2665,FIND("_",B2665,1)-1),VLOOKUP(LEFT(A2665,6),'Code Library'!$D$3:$E$200,2,0))&amp;"_"&amp;RIGHT(A2665,3)</f>
        <v>#VALUE!</v>
      </c>
      <c r="I2665" s="66">
        <f t="shared" si="41"/>
        <v>0</v>
      </c>
    </row>
    <row r="2666" spans="8:9">
      <c r="H2666" s="66" t="e">
        <f>IF(OR(LEFT(B2666,FIND("_",B2666,1)-1)="ULGALLOC",LEFT(B2666,FIND("_",B2666,1)-1)="ULSPOOL"),LEFT(B2666,FIND("_",B2666,1)-1),VLOOKUP(LEFT(A2666,6),'Code Library'!$D$3:$E$200,2,0))&amp;"_"&amp;RIGHT(A2666,3)</f>
        <v>#VALUE!</v>
      </c>
      <c r="I2666" s="66">
        <f t="shared" si="41"/>
        <v>0</v>
      </c>
    </row>
    <row r="2667" spans="8:9">
      <c r="H2667" s="66" t="e">
        <f>IF(OR(LEFT(B2667,FIND("_",B2667,1)-1)="ULGALLOC",LEFT(B2667,FIND("_",B2667,1)-1)="ULSPOOL"),LEFT(B2667,FIND("_",B2667,1)-1),VLOOKUP(LEFT(A2667,6),'Code Library'!$D$3:$E$200,2,0))&amp;"_"&amp;RIGHT(A2667,3)</f>
        <v>#VALUE!</v>
      </c>
      <c r="I2667" s="66">
        <f t="shared" si="41"/>
        <v>0</v>
      </c>
    </row>
    <row r="2668" spans="8:9">
      <c r="H2668" s="66" t="e">
        <f>IF(OR(LEFT(B2668,FIND("_",B2668,1)-1)="ULGALLOC",LEFT(B2668,FIND("_",B2668,1)-1)="ULSPOOL"),LEFT(B2668,FIND("_",B2668,1)-1),VLOOKUP(LEFT(A2668,6),'Code Library'!$D$3:$E$200,2,0))&amp;"_"&amp;RIGHT(A2668,3)</f>
        <v>#VALUE!</v>
      </c>
      <c r="I2668" s="66">
        <f t="shared" si="41"/>
        <v>0</v>
      </c>
    </row>
    <row r="2669" spans="8:9">
      <c r="H2669" s="66" t="e">
        <f>IF(OR(LEFT(B2669,FIND("_",B2669,1)-1)="ULGALLOC",LEFT(B2669,FIND("_",B2669,1)-1)="ULSPOOL"),LEFT(B2669,FIND("_",B2669,1)-1),VLOOKUP(LEFT(A2669,6),'Code Library'!$D$3:$E$200,2,0))&amp;"_"&amp;RIGHT(A2669,3)</f>
        <v>#VALUE!</v>
      </c>
      <c r="I2669" s="66">
        <f t="shared" si="41"/>
        <v>0</v>
      </c>
    </row>
    <row r="2670" spans="8:9">
      <c r="H2670" s="66" t="e">
        <f>IF(OR(LEFT(B2670,FIND("_",B2670,1)-1)="ULGALLOC",LEFT(B2670,FIND("_",B2670,1)-1)="ULSPOOL"),LEFT(B2670,FIND("_",B2670,1)-1),VLOOKUP(LEFT(A2670,6),'Code Library'!$D$3:$E$200,2,0))&amp;"_"&amp;RIGHT(A2670,3)</f>
        <v>#VALUE!</v>
      </c>
      <c r="I2670" s="66">
        <f t="shared" si="41"/>
        <v>0</v>
      </c>
    </row>
    <row r="2671" spans="8:9">
      <c r="H2671" s="66" t="e">
        <f>IF(OR(LEFT(B2671,FIND("_",B2671,1)-1)="ULGALLOC",LEFT(B2671,FIND("_",B2671,1)-1)="ULSPOOL"),LEFT(B2671,FIND("_",B2671,1)-1),VLOOKUP(LEFT(A2671,6),'Code Library'!$D$3:$E$200,2,0))&amp;"_"&amp;RIGHT(A2671,3)</f>
        <v>#VALUE!</v>
      </c>
      <c r="I2671" s="66">
        <f t="shared" si="41"/>
        <v>0</v>
      </c>
    </row>
    <row r="2672" spans="8:9">
      <c r="H2672" s="66" t="e">
        <f>IF(OR(LEFT(B2672,FIND("_",B2672,1)-1)="ULGALLOC",LEFT(B2672,FIND("_",B2672,1)-1)="ULSPOOL"),LEFT(B2672,FIND("_",B2672,1)-1),VLOOKUP(LEFT(A2672,6),'Code Library'!$D$3:$E$200,2,0))&amp;"_"&amp;RIGHT(A2672,3)</f>
        <v>#VALUE!</v>
      </c>
      <c r="I2672" s="66">
        <f t="shared" si="41"/>
        <v>0</v>
      </c>
    </row>
    <row r="2673" spans="8:9">
      <c r="H2673" s="66" t="e">
        <f>IF(OR(LEFT(B2673,FIND("_",B2673,1)-1)="ULGALLOC",LEFT(B2673,FIND("_",B2673,1)-1)="ULSPOOL"),LEFT(B2673,FIND("_",B2673,1)-1),VLOOKUP(LEFT(A2673,6),'Code Library'!$D$3:$E$200,2,0))&amp;"_"&amp;RIGHT(A2673,3)</f>
        <v>#VALUE!</v>
      </c>
      <c r="I2673" s="66">
        <f t="shared" si="41"/>
        <v>0</v>
      </c>
    </row>
    <row r="2674" spans="8:9">
      <c r="H2674" s="66" t="e">
        <f>IF(OR(LEFT(B2674,FIND("_",B2674,1)-1)="ULGALLOC",LEFT(B2674,FIND("_",B2674,1)-1)="ULSPOOL"),LEFT(B2674,FIND("_",B2674,1)-1),VLOOKUP(LEFT(A2674,6),'Code Library'!$D$3:$E$200,2,0))&amp;"_"&amp;RIGHT(A2674,3)</f>
        <v>#VALUE!</v>
      </c>
      <c r="I2674" s="66">
        <f t="shared" si="41"/>
        <v>0</v>
      </c>
    </row>
    <row r="2675" spans="8:9">
      <c r="H2675" s="66" t="e">
        <f>IF(OR(LEFT(B2675,FIND("_",B2675,1)-1)="ULGALLOC",LEFT(B2675,FIND("_",B2675,1)-1)="ULSPOOL"),LEFT(B2675,FIND("_",B2675,1)-1),VLOOKUP(LEFT(A2675,6),'Code Library'!$D$3:$E$200,2,0))&amp;"_"&amp;RIGHT(A2675,3)</f>
        <v>#VALUE!</v>
      </c>
      <c r="I2675" s="66">
        <f t="shared" si="41"/>
        <v>0</v>
      </c>
    </row>
    <row r="2676" spans="8:9">
      <c r="H2676" s="66" t="e">
        <f>IF(OR(LEFT(B2676,FIND("_",B2676,1)-1)="ULGALLOC",LEFT(B2676,FIND("_",B2676,1)-1)="ULSPOOL"),LEFT(B2676,FIND("_",B2676,1)-1),VLOOKUP(LEFT(A2676,6),'Code Library'!$D$3:$E$200,2,0))&amp;"_"&amp;RIGHT(A2676,3)</f>
        <v>#VALUE!</v>
      </c>
      <c r="I2676" s="66">
        <f t="shared" si="41"/>
        <v>0</v>
      </c>
    </row>
    <row r="2677" spans="8:9">
      <c r="H2677" s="66" t="e">
        <f>IF(OR(LEFT(B2677,FIND("_",B2677,1)-1)="ULGALLOC",LEFT(B2677,FIND("_",B2677,1)-1)="ULSPOOL"),LEFT(B2677,FIND("_",B2677,1)-1),VLOOKUP(LEFT(A2677,6),'Code Library'!$D$3:$E$200,2,0))&amp;"_"&amp;RIGHT(A2677,3)</f>
        <v>#VALUE!</v>
      </c>
      <c r="I2677" s="66">
        <f t="shared" si="41"/>
        <v>0</v>
      </c>
    </row>
    <row r="2678" spans="8:9">
      <c r="H2678" s="66" t="e">
        <f>IF(OR(LEFT(B2678,FIND("_",B2678,1)-1)="ULGALLOC",LEFT(B2678,FIND("_",B2678,1)-1)="ULSPOOL"),LEFT(B2678,FIND("_",B2678,1)-1),VLOOKUP(LEFT(A2678,6),'Code Library'!$D$3:$E$200,2,0))&amp;"_"&amp;RIGHT(A2678,3)</f>
        <v>#VALUE!</v>
      </c>
      <c r="I2678" s="66">
        <f t="shared" si="41"/>
        <v>0</v>
      </c>
    </row>
    <row r="2679" spans="8:9">
      <c r="H2679" s="66" t="e">
        <f>IF(OR(LEFT(B2679,FIND("_",B2679,1)-1)="ULGALLOC",LEFT(B2679,FIND("_",B2679,1)-1)="ULSPOOL"),LEFT(B2679,FIND("_",B2679,1)-1),VLOOKUP(LEFT(A2679,6),'Code Library'!$D$3:$E$200,2,0))&amp;"_"&amp;RIGHT(A2679,3)</f>
        <v>#VALUE!</v>
      </c>
      <c r="I2679" s="66">
        <f t="shared" si="41"/>
        <v>0</v>
      </c>
    </row>
    <row r="2680" spans="8:9">
      <c r="H2680" s="66" t="e">
        <f>IF(OR(LEFT(B2680,FIND("_",B2680,1)-1)="ULGALLOC",LEFT(B2680,FIND("_",B2680,1)-1)="ULSPOOL"),LEFT(B2680,FIND("_",B2680,1)-1),VLOOKUP(LEFT(A2680,6),'Code Library'!$D$3:$E$200,2,0))&amp;"_"&amp;RIGHT(A2680,3)</f>
        <v>#VALUE!</v>
      </c>
      <c r="I2680" s="66">
        <f t="shared" si="41"/>
        <v>0</v>
      </c>
    </row>
    <row r="2681" spans="8:9">
      <c r="H2681" s="66" t="e">
        <f>IF(OR(LEFT(B2681,FIND("_",B2681,1)-1)="ULGALLOC",LEFT(B2681,FIND("_",B2681,1)-1)="ULSPOOL"),LEFT(B2681,FIND("_",B2681,1)-1),VLOOKUP(LEFT(A2681,6),'Code Library'!$D$3:$E$200,2,0))&amp;"_"&amp;RIGHT(A2681,3)</f>
        <v>#VALUE!</v>
      </c>
      <c r="I2681" s="66">
        <f t="shared" si="41"/>
        <v>0</v>
      </c>
    </row>
    <row r="2682" spans="8:9">
      <c r="H2682" s="66" t="e">
        <f>IF(OR(LEFT(B2682,FIND("_",B2682,1)-1)="ULGALLOC",LEFT(B2682,FIND("_",B2682,1)-1)="ULSPOOL"),LEFT(B2682,FIND("_",B2682,1)-1),VLOOKUP(LEFT(A2682,6),'Code Library'!$D$3:$E$200,2,0))&amp;"_"&amp;RIGHT(A2682,3)</f>
        <v>#VALUE!</v>
      </c>
      <c r="I2682" s="66">
        <f t="shared" si="41"/>
        <v>0</v>
      </c>
    </row>
    <row r="2683" spans="8:9">
      <c r="H2683" s="66" t="e">
        <f>IF(OR(LEFT(B2683,FIND("_",B2683,1)-1)="ULGALLOC",LEFT(B2683,FIND("_",B2683,1)-1)="ULSPOOL"),LEFT(B2683,FIND("_",B2683,1)-1),VLOOKUP(LEFT(A2683,6),'Code Library'!$D$3:$E$200,2,0))&amp;"_"&amp;RIGHT(A2683,3)</f>
        <v>#VALUE!</v>
      </c>
      <c r="I2683" s="66">
        <f t="shared" si="41"/>
        <v>0</v>
      </c>
    </row>
    <row r="2684" spans="8:9">
      <c r="H2684" s="66" t="e">
        <f>IF(OR(LEFT(B2684,FIND("_",B2684,1)-1)="ULGALLOC",LEFT(B2684,FIND("_",B2684,1)-1)="ULSPOOL"),LEFT(B2684,FIND("_",B2684,1)-1),VLOOKUP(LEFT(A2684,6),'Code Library'!$D$3:$E$200,2,0))&amp;"_"&amp;RIGHT(A2684,3)</f>
        <v>#VALUE!</v>
      </c>
      <c r="I2684" s="66">
        <f t="shared" si="41"/>
        <v>0</v>
      </c>
    </row>
    <row r="2685" spans="8:9">
      <c r="H2685" s="66" t="e">
        <f>IF(OR(LEFT(B2685,FIND("_",B2685,1)-1)="ULGALLOC",LEFT(B2685,FIND("_",B2685,1)-1)="ULSPOOL"),LEFT(B2685,FIND("_",B2685,1)-1),VLOOKUP(LEFT(A2685,6),'Code Library'!$D$3:$E$200,2,0))&amp;"_"&amp;RIGHT(A2685,3)</f>
        <v>#VALUE!</v>
      </c>
      <c r="I2685" s="66">
        <f t="shared" si="41"/>
        <v>0</v>
      </c>
    </row>
    <row r="2686" spans="8:9">
      <c r="H2686" s="66" t="e">
        <f>IF(OR(LEFT(B2686,FIND("_",B2686,1)-1)="ULGALLOC",LEFT(B2686,FIND("_",B2686,1)-1)="ULSPOOL"),LEFT(B2686,FIND("_",B2686,1)-1),VLOOKUP(LEFT(A2686,6),'Code Library'!$D$3:$E$200,2,0))&amp;"_"&amp;RIGHT(A2686,3)</f>
        <v>#VALUE!</v>
      </c>
      <c r="I2686" s="66">
        <f t="shared" si="41"/>
        <v>0</v>
      </c>
    </row>
    <row r="2687" spans="8:9">
      <c r="H2687" s="66" t="e">
        <f>IF(OR(LEFT(B2687,FIND("_",B2687,1)-1)="ULGALLOC",LEFT(B2687,FIND("_",B2687,1)-1)="ULSPOOL"),LEFT(B2687,FIND("_",B2687,1)-1),VLOOKUP(LEFT(A2687,6),'Code Library'!$D$3:$E$200,2,0))&amp;"_"&amp;RIGHT(A2687,3)</f>
        <v>#VALUE!</v>
      </c>
      <c r="I2687" s="66">
        <f t="shared" si="41"/>
        <v>0</v>
      </c>
    </row>
    <row r="2688" spans="8:9">
      <c r="H2688" s="66" t="e">
        <f>IF(OR(LEFT(B2688,FIND("_",B2688,1)-1)="ULGALLOC",LEFT(B2688,FIND("_",B2688,1)-1)="ULSPOOL"),LEFT(B2688,FIND("_",B2688,1)-1),VLOOKUP(LEFT(A2688,6),'Code Library'!$D$3:$E$200,2,0))&amp;"_"&amp;RIGHT(A2688,3)</f>
        <v>#VALUE!</v>
      </c>
      <c r="I2688" s="66">
        <f t="shared" si="41"/>
        <v>0</v>
      </c>
    </row>
    <row r="2689" spans="8:9">
      <c r="H2689" s="66" t="e">
        <f>IF(OR(LEFT(B2689,FIND("_",B2689,1)-1)="ULGALLOC",LEFT(B2689,FIND("_",B2689,1)-1)="ULSPOOL"),LEFT(B2689,FIND("_",B2689,1)-1),VLOOKUP(LEFT(A2689,6),'Code Library'!$D$3:$E$200,2,0))&amp;"_"&amp;RIGHT(A2689,3)</f>
        <v>#VALUE!</v>
      </c>
      <c r="I2689" s="66">
        <f t="shared" si="41"/>
        <v>0</v>
      </c>
    </row>
    <row r="2690" spans="8:9">
      <c r="H2690" s="66" t="e">
        <f>IF(OR(LEFT(B2690,FIND("_",B2690,1)-1)="ULGALLOC",LEFT(B2690,FIND("_",B2690,1)-1)="ULSPOOL"),LEFT(B2690,FIND("_",B2690,1)-1),VLOOKUP(LEFT(A2690,6),'Code Library'!$D$3:$E$200,2,0))&amp;"_"&amp;RIGHT(A2690,3)</f>
        <v>#VALUE!</v>
      </c>
      <c r="I2690" s="66">
        <f t="shared" si="41"/>
        <v>0</v>
      </c>
    </row>
    <row r="2691" spans="8:9">
      <c r="H2691" s="66" t="e">
        <f>IF(OR(LEFT(B2691,FIND("_",B2691,1)-1)="ULGALLOC",LEFT(B2691,FIND("_",B2691,1)-1)="ULSPOOL"),LEFT(B2691,FIND("_",B2691,1)-1),VLOOKUP(LEFT(A2691,6),'Code Library'!$D$3:$E$200,2,0))&amp;"_"&amp;RIGHT(A2691,3)</f>
        <v>#VALUE!</v>
      </c>
      <c r="I2691" s="66">
        <f t="shared" ref="I2691:I2754" si="42">A2691</f>
        <v>0</v>
      </c>
    </row>
    <row r="2692" spans="8:9">
      <c r="H2692" s="66" t="e">
        <f>IF(OR(LEFT(B2692,FIND("_",B2692,1)-1)="ULGALLOC",LEFT(B2692,FIND("_",B2692,1)-1)="ULSPOOL"),LEFT(B2692,FIND("_",B2692,1)-1),VLOOKUP(LEFT(A2692,6),'Code Library'!$D$3:$E$200,2,0))&amp;"_"&amp;RIGHT(A2692,3)</f>
        <v>#VALUE!</v>
      </c>
      <c r="I2692" s="66">
        <f t="shared" si="42"/>
        <v>0</v>
      </c>
    </row>
    <row r="2693" spans="8:9">
      <c r="H2693" s="66" t="e">
        <f>IF(OR(LEFT(B2693,FIND("_",B2693,1)-1)="ULGALLOC",LEFT(B2693,FIND("_",B2693,1)-1)="ULSPOOL"),LEFT(B2693,FIND("_",B2693,1)-1),VLOOKUP(LEFT(A2693,6),'Code Library'!$D$3:$E$200,2,0))&amp;"_"&amp;RIGHT(A2693,3)</f>
        <v>#VALUE!</v>
      </c>
      <c r="I2693" s="66">
        <f t="shared" si="42"/>
        <v>0</v>
      </c>
    </row>
    <row r="2694" spans="8:9">
      <c r="H2694" s="66" t="e">
        <f>IF(OR(LEFT(B2694,FIND("_",B2694,1)-1)="ULGALLOC",LEFT(B2694,FIND("_",B2694,1)-1)="ULSPOOL"),LEFT(B2694,FIND("_",B2694,1)-1),VLOOKUP(LEFT(A2694,6),'Code Library'!$D$3:$E$200,2,0))&amp;"_"&amp;RIGHT(A2694,3)</f>
        <v>#VALUE!</v>
      </c>
      <c r="I2694" s="66">
        <f t="shared" si="42"/>
        <v>0</v>
      </c>
    </row>
    <row r="2695" spans="8:9">
      <c r="H2695" s="66" t="e">
        <f>IF(OR(LEFT(B2695,FIND("_",B2695,1)-1)="ULGALLOC",LEFT(B2695,FIND("_",B2695,1)-1)="ULSPOOL"),LEFT(B2695,FIND("_",B2695,1)-1),VLOOKUP(LEFT(A2695,6),'Code Library'!$D$3:$E$200,2,0))&amp;"_"&amp;RIGHT(A2695,3)</f>
        <v>#VALUE!</v>
      </c>
      <c r="I2695" s="66">
        <f t="shared" si="42"/>
        <v>0</v>
      </c>
    </row>
    <row r="2696" spans="8:9">
      <c r="H2696" s="66" t="e">
        <f>IF(OR(LEFT(B2696,FIND("_",B2696,1)-1)="ULGALLOC",LEFT(B2696,FIND("_",B2696,1)-1)="ULSPOOL"),LEFT(B2696,FIND("_",B2696,1)-1),VLOOKUP(LEFT(A2696,6),'Code Library'!$D$3:$E$200,2,0))&amp;"_"&amp;RIGHT(A2696,3)</f>
        <v>#VALUE!</v>
      </c>
      <c r="I2696" s="66">
        <f t="shared" si="42"/>
        <v>0</v>
      </c>
    </row>
    <row r="2697" spans="8:9">
      <c r="H2697" s="66" t="e">
        <f>IF(OR(LEFT(B2697,FIND("_",B2697,1)-1)="ULGALLOC",LEFT(B2697,FIND("_",B2697,1)-1)="ULSPOOL"),LEFT(B2697,FIND("_",B2697,1)-1),VLOOKUP(LEFT(A2697,6),'Code Library'!$D$3:$E$200,2,0))&amp;"_"&amp;RIGHT(A2697,3)</f>
        <v>#VALUE!</v>
      </c>
      <c r="I2697" s="66">
        <f t="shared" si="42"/>
        <v>0</v>
      </c>
    </row>
    <row r="2698" spans="8:9">
      <c r="H2698" s="66" t="e">
        <f>IF(OR(LEFT(B2698,FIND("_",B2698,1)-1)="ULGALLOC",LEFT(B2698,FIND("_",B2698,1)-1)="ULSPOOL"),LEFT(B2698,FIND("_",B2698,1)-1),VLOOKUP(LEFT(A2698,6),'Code Library'!$D$3:$E$200,2,0))&amp;"_"&amp;RIGHT(A2698,3)</f>
        <v>#VALUE!</v>
      </c>
      <c r="I2698" s="66">
        <f t="shared" si="42"/>
        <v>0</v>
      </c>
    </row>
    <row r="2699" spans="8:9">
      <c r="H2699" s="66" t="e">
        <f>IF(OR(LEFT(B2699,FIND("_",B2699,1)-1)="ULGALLOC",LEFT(B2699,FIND("_",B2699,1)-1)="ULSPOOL"),LEFT(B2699,FIND("_",B2699,1)-1),VLOOKUP(LEFT(A2699,6),'Code Library'!$D$3:$E$200,2,0))&amp;"_"&amp;RIGHT(A2699,3)</f>
        <v>#VALUE!</v>
      </c>
      <c r="I2699" s="66">
        <f t="shared" si="42"/>
        <v>0</v>
      </c>
    </row>
    <row r="2700" spans="8:9">
      <c r="H2700" s="66" t="e">
        <f>IF(OR(LEFT(B2700,FIND("_",B2700,1)-1)="ULGALLOC",LEFT(B2700,FIND("_",B2700,1)-1)="ULSPOOL"),LEFT(B2700,FIND("_",B2700,1)-1),VLOOKUP(LEFT(A2700,6),'Code Library'!$D$3:$E$200,2,0))&amp;"_"&amp;RIGHT(A2700,3)</f>
        <v>#VALUE!</v>
      </c>
      <c r="I2700" s="66">
        <f t="shared" si="42"/>
        <v>0</v>
      </c>
    </row>
    <row r="2701" spans="8:9">
      <c r="H2701" s="66" t="e">
        <f>IF(OR(LEFT(B2701,FIND("_",B2701,1)-1)="ULGALLOC",LEFT(B2701,FIND("_",B2701,1)-1)="ULSPOOL"),LEFT(B2701,FIND("_",B2701,1)-1),VLOOKUP(LEFT(A2701,6),'Code Library'!$D$3:$E$200,2,0))&amp;"_"&amp;RIGHT(A2701,3)</f>
        <v>#VALUE!</v>
      </c>
      <c r="I2701" s="66">
        <f t="shared" si="42"/>
        <v>0</v>
      </c>
    </row>
    <row r="2702" spans="8:9">
      <c r="H2702" s="66" t="e">
        <f>IF(OR(LEFT(B2702,FIND("_",B2702,1)-1)="ULGALLOC",LEFT(B2702,FIND("_",B2702,1)-1)="ULSPOOL"),LEFT(B2702,FIND("_",B2702,1)-1),VLOOKUP(LEFT(A2702,6),'Code Library'!$D$3:$E$200,2,0))&amp;"_"&amp;RIGHT(A2702,3)</f>
        <v>#VALUE!</v>
      </c>
      <c r="I2702" s="66">
        <f t="shared" si="42"/>
        <v>0</v>
      </c>
    </row>
    <row r="2703" spans="8:9">
      <c r="H2703" s="66" t="e">
        <f>IF(OR(LEFT(B2703,FIND("_",B2703,1)-1)="ULGALLOC",LEFT(B2703,FIND("_",B2703,1)-1)="ULSPOOL"),LEFT(B2703,FIND("_",B2703,1)-1),VLOOKUP(LEFT(A2703,6),'Code Library'!$D$3:$E$200,2,0))&amp;"_"&amp;RIGHT(A2703,3)</f>
        <v>#VALUE!</v>
      </c>
      <c r="I2703" s="66">
        <f t="shared" si="42"/>
        <v>0</v>
      </c>
    </row>
    <row r="2704" spans="8:9">
      <c r="H2704" s="66" t="e">
        <f>IF(OR(LEFT(B2704,FIND("_",B2704,1)-1)="ULGALLOC",LEFT(B2704,FIND("_",B2704,1)-1)="ULSPOOL"),LEFT(B2704,FIND("_",B2704,1)-1),VLOOKUP(LEFT(A2704,6),'Code Library'!$D$3:$E$200,2,0))&amp;"_"&amp;RIGHT(A2704,3)</f>
        <v>#VALUE!</v>
      </c>
      <c r="I2704" s="66">
        <f t="shared" si="42"/>
        <v>0</v>
      </c>
    </row>
    <row r="2705" spans="8:9">
      <c r="H2705" s="66" t="e">
        <f>IF(OR(LEFT(B2705,FIND("_",B2705,1)-1)="ULGALLOC",LEFT(B2705,FIND("_",B2705,1)-1)="ULSPOOL"),LEFT(B2705,FIND("_",B2705,1)-1),VLOOKUP(LEFT(A2705,6),'Code Library'!$D$3:$E$200,2,0))&amp;"_"&amp;RIGHT(A2705,3)</f>
        <v>#VALUE!</v>
      </c>
      <c r="I2705" s="66">
        <f t="shared" si="42"/>
        <v>0</v>
      </c>
    </row>
    <row r="2706" spans="8:9">
      <c r="H2706" s="66" t="e">
        <f>IF(OR(LEFT(B2706,FIND("_",B2706,1)-1)="ULGALLOC",LEFT(B2706,FIND("_",B2706,1)-1)="ULSPOOL"),LEFT(B2706,FIND("_",B2706,1)-1),VLOOKUP(LEFT(A2706,6),'Code Library'!$D$3:$E$200,2,0))&amp;"_"&amp;RIGHT(A2706,3)</f>
        <v>#VALUE!</v>
      </c>
      <c r="I2706" s="66">
        <f t="shared" si="42"/>
        <v>0</v>
      </c>
    </row>
    <row r="2707" spans="8:9">
      <c r="H2707" s="66" t="e">
        <f>IF(OR(LEFT(B2707,FIND("_",B2707,1)-1)="ULGALLOC",LEFT(B2707,FIND("_",B2707,1)-1)="ULSPOOL"),LEFT(B2707,FIND("_",B2707,1)-1),VLOOKUP(LEFT(A2707,6),'Code Library'!$D$3:$E$200,2,0))&amp;"_"&amp;RIGHT(A2707,3)</f>
        <v>#VALUE!</v>
      </c>
      <c r="I2707" s="66">
        <f t="shared" si="42"/>
        <v>0</v>
      </c>
    </row>
    <row r="2708" spans="8:9">
      <c r="H2708" s="66" t="e">
        <f>IF(OR(LEFT(B2708,FIND("_",B2708,1)-1)="ULGALLOC",LEFT(B2708,FIND("_",B2708,1)-1)="ULSPOOL"),LEFT(B2708,FIND("_",B2708,1)-1),VLOOKUP(LEFT(A2708,6),'Code Library'!$D$3:$E$200,2,0))&amp;"_"&amp;RIGHT(A2708,3)</f>
        <v>#VALUE!</v>
      </c>
      <c r="I2708" s="66">
        <f t="shared" si="42"/>
        <v>0</v>
      </c>
    </row>
    <row r="2709" spans="8:9">
      <c r="H2709" s="66" t="e">
        <f>IF(OR(LEFT(B2709,FIND("_",B2709,1)-1)="ULGALLOC",LEFT(B2709,FIND("_",B2709,1)-1)="ULSPOOL"),LEFT(B2709,FIND("_",B2709,1)-1),VLOOKUP(LEFT(A2709,6),'Code Library'!$D$3:$E$200,2,0))&amp;"_"&amp;RIGHT(A2709,3)</f>
        <v>#VALUE!</v>
      </c>
      <c r="I2709" s="66">
        <f t="shared" si="42"/>
        <v>0</v>
      </c>
    </row>
    <row r="2710" spans="8:9">
      <c r="H2710" s="66" t="e">
        <f>IF(OR(LEFT(B2710,FIND("_",B2710,1)-1)="ULGALLOC",LEFT(B2710,FIND("_",B2710,1)-1)="ULSPOOL"),LEFT(B2710,FIND("_",B2710,1)-1),VLOOKUP(LEFT(A2710,6),'Code Library'!$D$3:$E$200,2,0))&amp;"_"&amp;RIGHT(A2710,3)</f>
        <v>#VALUE!</v>
      </c>
      <c r="I2710" s="66">
        <f t="shared" si="42"/>
        <v>0</v>
      </c>
    </row>
    <row r="2711" spans="8:9">
      <c r="H2711" s="66" t="e">
        <f>IF(OR(LEFT(B2711,FIND("_",B2711,1)-1)="ULGALLOC",LEFT(B2711,FIND("_",B2711,1)-1)="ULSPOOL"),LEFT(B2711,FIND("_",B2711,1)-1),VLOOKUP(LEFT(A2711,6),'Code Library'!$D$3:$E$200,2,0))&amp;"_"&amp;RIGHT(A2711,3)</f>
        <v>#VALUE!</v>
      </c>
      <c r="I2711" s="66">
        <f t="shared" si="42"/>
        <v>0</v>
      </c>
    </row>
    <row r="2712" spans="8:9">
      <c r="H2712" s="66" t="e">
        <f>IF(OR(LEFT(B2712,FIND("_",B2712,1)-1)="ULGALLOC",LEFT(B2712,FIND("_",B2712,1)-1)="ULSPOOL"),LEFT(B2712,FIND("_",B2712,1)-1),VLOOKUP(LEFT(A2712,6),'Code Library'!$D$3:$E$200,2,0))&amp;"_"&amp;RIGHT(A2712,3)</f>
        <v>#VALUE!</v>
      </c>
      <c r="I2712" s="66">
        <f t="shared" si="42"/>
        <v>0</v>
      </c>
    </row>
    <row r="2713" spans="8:9">
      <c r="H2713" s="66" t="e">
        <f>IF(OR(LEFT(B2713,FIND("_",B2713,1)-1)="ULGALLOC",LEFT(B2713,FIND("_",B2713,1)-1)="ULSPOOL"),LEFT(B2713,FIND("_",B2713,1)-1),VLOOKUP(LEFT(A2713,6),'Code Library'!$D$3:$E$200,2,0))&amp;"_"&amp;RIGHT(A2713,3)</f>
        <v>#VALUE!</v>
      </c>
      <c r="I2713" s="66">
        <f t="shared" si="42"/>
        <v>0</v>
      </c>
    </row>
    <row r="2714" spans="8:9">
      <c r="H2714" s="66" t="e">
        <f>IF(OR(LEFT(B2714,FIND("_",B2714,1)-1)="ULGALLOC",LEFT(B2714,FIND("_",B2714,1)-1)="ULSPOOL"),LEFT(B2714,FIND("_",B2714,1)-1),VLOOKUP(LEFT(A2714,6),'Code Library'!$D$3:$E$200,2,0))&amp;"_"&amp;RIGHT(A2714,3)</f>
        <v>#VALUE!</v>
      </c>
      <c r="I2714" s="66">
        <f t="shared" si="42"/>
        <v>0</v>
      </c>
    </row>
    <row r="2715" spans="8:9">
      <c r="H2715" s="66" t="e">
        <f>IF(OR(LEFT(B2715,FIND("_",B2715,1)-1)="ULGALLOC",LEFT(B2715,FIND("_",B2715,1)-1)="ULSPOOL"),LEFT(B2715,FIND("_",B2715,1)-1),VLOOKUP(LEFT(A2715,6),'Code Library'!$D$3:$E$200,2,0))&amp;"_"&amp;RIGHT(A2715,3)</f>
        <v>#VALUE!</v>
      </c>
      <c r="I2715" s="66">
        <f t="shared" si="42"/>
        <v>0</v>
      </c>
    </row>
    <row r="2716" spans="8:9">
      <c r="H2716" s="66" t="e">
        <f>IF(OR(LEFT(B2716,FIND("_",B2716,1)-1)="ULGALLOC",LEFT(B2716,FIND("_",B2716,1)-1)="ULSPOOL"),LEFT(B2716,FIND("_",B2716,1)-1),VLOOKUP(LEFT(A2716,6),'Code Library'!$D$3:$E$200,2,0))&amp;"_"&amp;RIGHT(A2716,3)</f>
        <v>#VALUE!</v>
      </c>
      <c r="I2716" s="66">
        <f t="shared" si="42"/>
        <v>0</v>
      </c>
    </row>
    <row r="2717" spans="8:9">
      <c r="H2717" s="66" t="e">
        <f>IF(OR(LEFT(B2717,FIND("_",B2717,1)-1)="ULGALLOC",LEFT(B2717,FIND("_",B2717,1)-1)="ULSPOOL"),LEFT(B2717,FIND("_",B2717,1)-1),VLOOKUP(LEFT(A2717,6),'Code Library'!$D$3:$E$200,2,0))&amp;"_"&amp;RIGHT(A2717,3)</f>
        <v>#VALUE!</v>
      </c>
      <c r="I2717" s="66">
        <f t="shared" si="42"/>
        <v>0</v>
      </c>
    </row>
    <row r="2718" spans="8:9">
      <c r="H2718" s="66" t="e">
        <f>IF(OR(LEFT(B2718,FIND("_",B2718,1)-1)="ULGALLOC",LEFT(B2718,FIND("_",B2718,1)-1)="ULSPOOL"),LEFT(B2718,FIND("_",B2718,1)-1),VLOOKUP(LEFT(A2718,6),'Code Library'!$D$3:$E$200,2,0))&amp;"_"&amp;RIGHT(A2718,3)</f>
        <v>#VALUE!</v>
      </c>
      <c r="I2718" s="66">
        <f t="shared" si="42"/>
        <v>0</v>
      </c>
    </row>
    <row r="2719" spans="8:9">
      <c r="H2719" s="66" t="e">
        <f>IF(OR(LEFT(B2719,FIND("_",B2719,1)-1)="ULGALLOC",LEFT(B2719,FIND("_",B2719,1)-1)="ULSPOOL"),LEFT(B2719,FIND("_",B2719,1)-1),VLOOKUP(LEFT(A2719,6),'Code Library'!$D$3:$E$200,2,0))&amp;"_"&amp;RIGHT(A2719,3)</f>
        <v>#VALUE!</v>
      </c>
      <c r="I2719" s="66">
        <f t="shared" si="42"/>
        <v>0</v>
      </c>
    </row>
    <row r="2720" spans="8:9">
      <c r="H2720" s="66" t="e">
        <f>IF(OR(LEFT(B2720,FIND("_",B2720,1)-1)="ULGALLOC",LEFT(B2720,FIND("_",B2720,1)-1)="ULSPOOL"),LEFT(B2720,FIND("_",B2720,1)-1),VLOOKUP(LEFT(A2720,6),'Code Library'!$D$3:$E$200,2,0))&amp;"_"&amp;RIGHT(A2720,3)</f>
        <v>#VALUE!</v>
      </c>
      <c r="I2720" s="66">
        <f t="shared" si="42"/>
        <v>0</v>
      </c>
    </row>
    <row r="2721" spans="8:9">
      <c r="H2721" s="66" t="e">
        <f>IF(OR(LEFT(B2721,FIND("_",B2721,1)-1)="ULGALLOC",LEFT(B2721,FIND("_",B2721,1)-1)="ULSPOOL"),LEFT(B2721,FIND("_",B2721,1)-1),VLOOKUP(LEFT(A2721,6),'Code Library'!$D$3:$E$200,2,0))&amp;"_"&amp;RIGHT(A2721,3)</f>
        <v>#VALUE!</v>
      </c>
      <c r="I2721" s="66">
        <f t="shared" si="42"/>
        <v>0</v>
      </c>
    </row>
    <row r="2722" spans="8:9">
      <c r="H2722" s="66" t="e">
        <f>IF(OR(LEFT(B2722,FIND("_",B2722,1)-1)="ULGALLOC",LEFT(B2722,FIND("_",B2722,1)-1)="ULSPOOL"),LEFT(B2722,FIND("_",B2722,1)-1),VLOOKUP(LEFT(A2722,6),'Code Library'!$D$3:$E$200,2,0))&amp;"_"&amp;RIGHT(A2722,3)</f>
        <v>#VALUE!</v>
      </c>
      <c r="I2722" s="66">
        <f t="shared" si="42"/>
        <v>0</v>
      </c>
    </row>
    <row r="2723" spans="8:9">
      <c r="H2723" s="66" t="e">
        <f>IF(OR(LEFT(B2723,FIND("_",B2723,1)-1)="ULGALLOC",LEFT(B2723,FIND("_",B2723,1)-1)="ULSPOOL"),LEFT(B2723,FIND("_",B2723,1)-1),VLOOKUP(LEFT(A2723,6),'Code Library'!$D$3:$E$200,2,0))&amp;"_"&amp;RIGHT(A2723,3)</f>
        <v>#VALUE!</v>
      </c>
      <c r="I2723" s="66">
        <f t="shared" si="42"/>
        <v>0</v>
      </c>
    </row>
    <row r="2724" spans="8:9">
      <c r="H2724" s="66" t="e">
        <f>IF(OR(LEFT(B2724,FIND("_",B2724,1)-1)="ULGALLOC",LEFT(B2724,FIND("_",B2724,1)-1)="ULSPOOL"),LEFT(B2724,FIND("_",B2724,1)-1),VLOOKUP(LEFT(A2724,6),'Code Library'!$D$3:$E$200,2,0))&amp;"_"&amp;RIGHT(A2724,3)</f>
        <v>#VALUE!</v>
      </c>
      <c r="I2724" s="66">
        <f t="shared" si="42"/>
        <v>0</v>
      </c>
    </row>
    <row r="2725" spans="8:9">
      <c r="H2725" s="66" t="e">
        <f>IF(OR(LEFT(B2725,FIND("_",B2725,1)-1)="ULGALLOC",LEFT(B2725,FIND("_",B2725,1)-1)="ULSPOOL"),LEFT(B2725,FIND("_",B2725,1)-1),VLOOKUP(LEFT(A2725,6),'Code Library'!$D$3:$E$200,2,0))&amp;"_"&amp;RIGHT(A2725,3)</f>
        <v>#VALUE!</v>
      </c>
      <c r="I2725" s="66">
        <f t="shared" si="42"/>
        <v>0</v>
      </c>
    </row>
    <row r="2726" spans="8:9">
      <c r="H2726" s="66" t="e">
        <f>IF(OR(LEFT(B2726,FIND("_",B2726,1)-1)="ULGALLOC",LEFT(B2726,FIND("_",B2726,1)-1)="ULSPOOL"),LEFT(B2726,FIND("_",B2726,1)-1),VLOOKUP(LEFT(A2726,6),'Code Library'!$D$3:$E$200,2,0))&amp;"_"&amp;RIGHT(A2726,3)</f>
        <v>#VALUE!</v>
      </c>
      <c r="I2726" s="66">
        <f t="shared" si="42"/>
        <v>0</v>
      </c>
    </row>
    <row r="2727" spans="8:9">
      <c r="H2727" s="66" t="e">
        <f>IF(OR(LEFT(B2727,FIND("_",B2727,1)-1)="ULGALLOC",LEFT(B2727,FIND("_",B2727,1)-1)="ULSPOOL"),LEFT(B2727,FIND("_",B2727,1)-1),VLOOKUP(LEFT(A2727,6),'Code Library'!$D$3:$E$200,2,0))&amp;"_"&amp;RIGHT(A2727,3)</f>
        <v>#VALUE!</v>
      </c>
      <c r="I2727" s="66">
        <f t="shared" si="42"/>
        <v>0</v>
      </c>
    </row>
    <row r="2728" spans="8:9">
      <c r="H2728" s="66" t="e">
        <f>IF(OR(LEFT(B2728,FIND("_",B2728,1)-1)="ULGALLOC",LEFT(B2728,FIND("_",B2728,1)-1)="ULSPOOL"),LEFT(B2728,FIND("_",B2728,1)-1),VLOOKUP(LEFT(A2728,6),'Code Library'!$D$3:$E$200,2,0))&amp;"_"&amp;RIGHT(A2728,3)</f>
        <v>#VALUE!</v>
      </c>
      <c r="I2728" s="66">
        <f t="shared" si="42"/>
        <v>0</v>
      </c>
    </row>
    <row r="2729" spans="8:9">
      <c r="H2729" s="66" t="e">
        <f>IF(OR(LEFT(B2729,FIND("_",B2729,1)-1)="ULGALLOC",LEFT(B2729,FIND("_",B2729,1)-1)="ULSPOOL"),LEFT(B2729,FIND("_",B2729,1)-1),VLOOKUP(LEFT(A2729,6),'Code Library'!$D$3:$E$200,2,0))&amp;"_"&amp;RIGHT(A2729,3)</f>
        <v>#VALUE!</v>
      </c>
      <c r="I2729" s="66">
        <f t="shared" si="42"/>
        <v>0</v>
      </c>
    </row>
    <row r="2730" spans="8:9">
      <c r="H2730" s="66" t="e">
        <f>IF(OR(LEFT(B2730,FIND("_",B2730,1)-1)="ULGALLOC",LEFT(B2730,FIND("_",B2730,1)-1)="ULSPOOL"),LEFT(B2730,FIND("_",B2730,1)-1),VLOOKUP(LEFT(A2730,6),'Code Library'!$D$3:$E$200,2,0))&amp;"_"&amp;RIGHT(A2730,3)</f>
        <v>#VALUE!</v>
      </c>
      <c r="I2730" s="66">
        <f t="shared" si="42"/>
        <v>0</v>
      </c>
    </row>
    <row r="2731" spans="8:9">
      <c r="H2731" s="66" t="e">
        <f>IF(OR(LEFT(B2731,FIND("_",B2731,1)-1)="ULGALLOC",LEFT(B2731,FIND("_",B2731,1)-1)="ULSPOOL"),LEFT(B2731,FIND("_",B2731,1)-1),VLOOKUP(LEFT(A2731,6),'Code Library'!$D$3:$E$200,2,0))&amp;"_"&amp;RIGHT(A2731,3)</f>
        <v>#VALUE!</v>
      </c>
      <c r="I2731" s="66">
        <f t="shared" si="42"/>
        <v>0</v>
      </c>
    </row>
    <row r="2732" spans="8:9">
      <c r="H2732" s="66" t="e">
        <f>IF(OR(LEFT(B2732,FIND("_",B2732,1)-1)="ULGALLOC",LEFT(B2732,FIND("_",B2732,1)-1)="ULSPOOL"),LEFT(B2732,FIND("_",B2732,1)-1),VLOOKUP(LEFT(A2732,6),'Code Library'!$D$3:$E$200,2,0))&amp;"_"&amp;RIGHT(A2732,3)</f>
        <v>#VALUE!</v>
      </c>
      <c r="I2732" s="66">
        <f t="shared" si="42"/>
        <v>0</v>
      </c>
    </row>
    <row r="2733" spans="8:9">
      <c r="H2733" s="66" t="e">
        <f>IF(OR(LEFT(B2733,FIND("_",B2733,1)-1)="ULGALLOC",LEFT(B2733,FIND("_",B2733,1)-1)="ULSPOOL"),LEFT(B2733,FIND("_",B2733,1)-1),VLOOKUP(LEFT(A2733,6),'Code Library'!$D$3:$E$200,2,0))&amp;"_"&amp;RIGHT(A2733,3)</f>
        <v>#VALUE!</v>
      </c>
      <c r="I2733" s="66">
        <f t="shared" si="42"/>
        <v>0</v>
      </c>
    </row>
    <row r="2734" spans="8:9">
      <c r="H2734" s="66" t="e">
        <f>IF(OR(LEFT(B2734,FIND("_",B2734,1)-1)="ULGALLOC",LEFT(B2734,FIND("_",B2734,1)-1)="ULSPOOL"),LEFT(B2734,FIND("_",B2734,1)-1),VLOOKUP(LEFT(A2734,6),'Code Library'!$D$3:$E$200,2,0))&amp;"_"&amp;RIGHT(A2734,3)</f>
        <v>#VALUE!</v>
      </c>
      <c r="I2734" s="66">
        <f t="shared" si="42"/>
        <v>0</v>
      </c>
    </row>
    <row r="2735" spans="8:9">
      <c r="H2735" s="66" t="e">
        <f>IF(OR(LEFT(B2735,FIND("_",B2735,1)-1)="ULGALLOC",LEFT(B2735,FIND("_",B2735,1)-1)="ULSPOOL"),LEFT(B2735,FIND("_",B2735,1)-1),VLOOKUP(LEFT(A2735,6),'Code Library'!$D$3:$E$200,2,0))&amp;"_"&amp;RIGHT(A2735,3)</f>
        <v>#VALUE!</v>
      </c>
      <c r="I2735" s="66">
        <f t="shared" si="42"/>
        <v>0</v>
      </c>
    </row>
    <row r="2736" spans="8:9">
      <c r="H2736" s="66" t="e">
        <f>IF(OR(LEFT(B2736,FIND("_",B2736,1)-1)="ULGALLOC",LEFT(B2736,FIND("_",B2736,1)-1)="ULSPOOL"),LEFT(B2736,FIND("_",B2736,1)-1),VLOOKUP(LEFT(A2736,6),'Code Library'!$D$3:$E$200,2,0))&amp;"_"&amp;RIGHT(A2736,3)</f>
        <v>#VALUE!</v>
      </c>
      <c r="I2736" s="66">
        <f t="shared" si="42"/>
        <v>0</v>
      </c>
    </row>
    <row r="2737" spans="8:9">
      <c r="H2737" s="66" t="e">
        <f>IF(OR(LEFT(B2737,FIND("_",B2737,1)-1)="ULGALLOC",LEFT(B2737,FIND("_",B2737,1)-1)="ULSPOOL"),LEFT(B2737,FIND("_",B2737,1)-1),VLOOKUP(LEFT(A2737,6),'Code Library'!$D$3:$E$200,2,0))&amp;"_"&amp;RIGHT(A2737,3)</f>
        <v>#VALUE!</v>
      </c>
      <c r="I2737" s="66">
        <f t="shared" si="42"/>
        <v>0</v>
      </c>
    </row>
    <row r="2738" spans="8:9">
      <c r="H2738" s="66" t="e">
        <f>IF(OR(LEFT(B2738,FIND("_",B2738,1)-1)="ULGALLOC",LEFT(B2738,FIND("_",B2738,1)-1)="ULSPOOL"),LEFT(B2738,FIND("_",B2738,1)-1),VLOOKUP(LEFT(A2738,6),'Code Library'!$D$3:$E$200,2,0))&amp;"_"&amp;RIGHT(A2738,3)</f>
        <v>#VALUE!</v>
      </c>
      <c r="I2738" s="66">
        <f t="shared" si="42"/>
        <v>0</v>
      </c>
    </row>
    <row r="2739" spans="8:9">
      <c r="H2739" s="66" t="e">
        <f>IF(OR(LEFT(B2739,FIND("_",B2739,1)-1)="ULGALLOC",LEFT(B2739,FIND("_",B2739,1)-1)="ULSPOOL"),LEFT(B2739,FIND("_",B2739,1)-1),VLOOKUP(LEFT(A2739,6),'Code Library'!$D$3:$E$200,2,0))&amp;"_"&amp;RIGHT(A2739,3)</f>
        <v>#VALUE!</v>
      </c>
      <c r="I2739" s="66">
        <f t="shared" si="42"/>
        <v>0</v>
      </c>
    </row>
    <row r="2740" spans="8:9">
      <c r="H2740" s="66" t="e">
        <f>IF(OR(LEFT(B2740,FIND("_",B2740,1)-1)="ULGALLOC",LEFT(B2740,FIND("_",B2740,1)-1)="ULSPOOL"),LEFT(B2740,FIND("_",B2740,1)-1),VLOOKUP(LEFT(A2740,6),'Code Library'!$D$3:$E$200,2,0))&amp;"_"&amp;RIGHT(A2740,3)</f>
        <v>#VALUE!</v>
      </c>
      <c r="I2740" s="66">
        <f t="shared" si="42"/>
        <v>0</v>
      </c>
    </row>
    <row r="2741" spans="8:9">
      <c r="H2741" s="66" t="e">
        <f>IF(OR(LEFT(B2741,FIND("_",B2741,1)-1)="ULGALLOC",LEFT(B2741,FIND("_",B2741,1)-1)="ULSPOOL"),LEFT(B2741,FIND("_",B2741,1)-1),VLOOKUP(LEFT(A2741,6),'Code Library'!$D$3:$E$200,2,0))&amp;"_"&amp;RIGHT(A2741,3)</f>
        <v>#VALUE!</v>
      </c>
      <c r="I2741" s="66">
        <f t="shared" si="42"/>
        <v>0</v>
      </c>
    </row>
    <row r="2742" spans="8:9">
      <c r="H2742" s="66" t="e">
        <f>IF(OR(LEFT(B2742,FIND("_",B2742,1)-1)="ULGALLOC",LEFT(B2742,FIND("_",B2742,1)-1)="ULSPOOL"),LEFT(B2742,FIND("_",B2742,1)-1),VLOOKUP(LEFT(A2742,6),'Code Library'!$D$3:$E$200,2,0))&amp;"_"&amp;RIGHT(A2742,3)</f>
        <v>#VALUE!</v>
      </c>
      <c r="I2742" s="66">
        <f t="shared" si="42"/>
        <v>0</v>
      </c>
    </row>
    <row r="2743" spans="8:9">
      <c r="H2743" s="66" t="e">
        <f>IF(OR(LEFT(B2743,FIND("_",B2743,1)-1)="ULGALLOC",LEFT(B2743,FIND("_",B2743,1)-1)="ULSPOOL"),LEFT(B2743,FIND("_",B2743,1)-1),VLOOKUP(LEFT(A2743,6),'Code Library'!$D$3:$E$200,2,0))&amp;"_"&amp;RIGHT(A2743,3)</f>
        <v>#VALUE!</v>
      </c>
      <c r="I2743" s="66">
        <f t="shared" si="42"/>
        <v>0</v>
      </c>
    </row>
    <row r="2744" spans="8:9">
      <c r="H2744" s="66" t="e">
        <f>IF(OR(LEFT(B2744,FIND("_",B2744,1)-1)="ULGALLOC",LEFT(B2744,FIND("_",B2744,1)-1)="ULSPOOL"),LEFT(B2744,FIND("_",B2744,1)-1),VLOOKUP(LEFT(A2744,6),'Code Library'!$D$3:$E$200,2,0))&amp;"_"&amp;RIGHT(A2744,3)</f>
        <v>#VALUE!</v>
      </c>
      <c r="I2744" s="66">
        <f t="shared" si="42"/>
        <v>0</v>
      </c>
    </row>
    <row r="2745" spans="8:9">
      <c r="H2745" s="66" t="e">
        <f>IF(OR(LEFT(B2745,FIND("_",B2745,1)-1)="ULGALLOC",LEFT(B2745,FIND("_",B2745,1)-1)="ULSPOOL"),LEFT(B2745,FIND("_",B2745,1)-1),VLOOKUP(LEFT(A2745,6),'Code Library'!$D$3:$E$200,2,0))&amp;"_"&amp;RIGHT(A2745,3)</f>
        <v>#VALUE!</v>
      </c>
      <c r="I2745" s="66">
        <f t="shared" si="42"/>
        <v>0</v>
      </c>
    </row>
    <row r="2746" spans="8:9">
      <c r="H2746" s="66" t="e">
        <f>IF(OR(LEFT(B2746,FIND("_",B2746,1)-1)="ULGALLOC",LEFT(B2746,FIND("_",B2746,1)-1)="ULSPOOL"),LEFT(B2746,FIND("_",B2746,1)-1),VLOOKUP(LEFT(A2746,6),'Code Library'!$D$3:$E$200,2,0))&amp;"_"&amp;RIGHT(A2746,3)</f>
        <v>#VALUE!</v>
      </c>
      <c r="I2746" s="66">
        <f t="shared" si="42"/>
        <v>0</v>
      </c>
    </row>
    <row r="2747" spans="8:9">
      <c r="H2747" s="66" t="e">
        <f>IF(OR(LEFT(B2747,FIND("_",B2747,1)-1)="ULGALLOC",LEFT(B2747,FIND("_",B2747,1)-1)="ULSPOOL"),LEFT(B2747,FIND("_",B2747,1)-1),VLOOKUP(LEFT(A2747,6),'Code Library'!$D$3:$E$200,2,0))&amp;"_"&amp;RIGHT(A2747,3)</f>
        <v>#VALUE!</v>
      </c>
      <c r="I2747" s="66">
        <f t="shared" si="42"/>
        <v>0</v>
      </c>
    </row>
    <row r="2748" spans="8:9">
      <c r="H2748" s="66" t="e">
        <f>IF(OR(LEFT(B2748,FIND("_",B2748,1)-1)="ULGALLOC",LEFT(B2748,FIND("_",B2748,1)-1)="ULSPOOL"),LEFT(B2748,FIND("_",B2748,1)-1),VLOOKUP(LEFT(A2748,6),'Code Library'!$D$3:$E$200,2,0))&amp;"_"&amp;RIGHT(A2748,3)</f>
        <v>#VALUE!</v>
      </c>
      <c r="I2748" s="66">
        <f t="shared" si="42"/>
        <v>0</v>
      </c>
    </row>
    <row r="2749" spans="8:9">
      <c r="H2749" s="66" t="e">
        <f>IF(OR(LEFT(B2749,FIND("_",B2749,1)-1)="ULGALLOC",LEFT(B2749,FIND("_",B2749,1)-1)="ULSPOOL"),LEFT(B2749,FIND("_",B2749,1)-1),VLOOKUP(LEFT(A2749,6),'Code Library'!$D$3:$E$200,2,0))&amp;"_"&amp;RIGHT(A2749,3)</f>
        <v>#VALUE!</v>
      </c>
      <c r="I2749" s="66">
        <f t="shared" si="42"/>
        <v>0</v>
      </c>
    </row>
    <row r="2750" spans="8:9">
      <c r="H2750" s="66" t="e">
        <f>IF(OR(LEFT(B2750,FIND("_",B2750,1)-1)="ULGALLOC",LEFT(B2750,FIND("_",B2750,1)-1)="ULSPOOL"),LEFT(B2750,FIND("_",B2750,1)-1),VLOOKUP(LEFT(A2750,6),'Code Library'!$D$3:$E$200,2,0))&amp;"_"&amp;RIGHT(A2750,3)</f>
        <v>#VALUE!</v>
      </c>
      <c r="I2750" s="66">
        <f t="shared" si="42"/>
        <v>0</v>
      </c>
    </row>
    <row r="2751" spans="8:9">
      <c r="H2751" s="66" t="e">
        <f>IF(OR(LEFT(B2751,FIND("_",B2751,1)-1)="ULGALLOC",LEFT(B2751,FIND("_",B2751,1)-1)="ULSPOOL"),LEFT(B2751,FIND("_",B2751,1)-1),VLOOKUP(LEFT(A2751,6),'Code Library'!$D$3:$E$200,2,0))&amp;"_"&amp;RIGHT(A2751,3)</f>
        <v>#VALUE!</v>
      </c>
      <c r="I2751" s="66">
        <f t="shared" si="42"/>
        <v>0</v>
      </c>
    </row>
    <row r="2752" spans="8:9">
      <c r="H2752" s="66" t="e">
        <f>IF(OR(LEFT(B2752,FIND("_",B2752,1)-1)="ULGALLOC",LEFT(B2752,FIND("_",B2752,1)-1)="ULSPOOL"),LEFT(B2752,FIND("_",B2752,1)-1),VLOOKUP(LEFT(A2752,6),'Code Library'!$D$3:$E$200,2,0))&amp;"_"&amp;RIGHT(A2752,3)</f>
        <v>#VALUE!</v>
      </c>
      <c r="I2752" s="66">
        <f t="shared" si="42"/>
        <v>0</v>
      </c>
    </row>
    <row r="2753" spans="8:9">
      <c r="H2753" s="66" t="e">
        <f>IF(OR(LEFT(B2753,FIND("_",B2753,1)-1)="ULGALLOC",LEFT(B2753,FIND("_",B2753,1)-1)="ULSPOOL"),LEFT(B2753,FIND("_",B2753,1)-1),VLOOKUP(LEFT(A2753,6),'Code Library'!$D$3:$E$200,2,0))&amp;"_"&amp;RIGHT(A2753,3)</f>
        <v>#VALUE!</v>
      </c>
      <c r="I2753" s="66">
        <f t="shared" si="42"/>
        <v>0</v>
      </c>
    </row>
    <row r="2754" spans="8:9">
      <c r="H2754" s="66" t="e">
        <f>IF(OR(LEFT(B2754,FIND("_",B2754,1)-1)="ULGALLOC",LEFT(B2754,FIND("_",B2754,1)-1)="ULSPOOL"),LEFT(B2754,FIND("_",B2754,1)-1),VLOOKUP(LEFT(A2754,6),'Code Library'!$D$3:$E$200,2,0))&amp;"_"&amp;RIGHT(A2754,3)</f>
        <v>#VALUE!</v>
      </c>
      <c r="I2754" s="66">
        <f t="shared" si="42"/>
        <v>0</v>
      </c>
    </row>
    <row r="2755" spans="8:9">
      <c r="H2755" s="66" t="e">
        <f>IF(OR(LEFT(B2755,FIND("_",B2755,1)-1)="ULGALLOC",LEFT(B2755,FIND("_",B2755,1)-1)="ULSPOOL"),LEFT(B2755,FIND("_",B2755,1)-1),VLOOKUP(LEFT(A2755,6),'Code Library'!$D$3:$E$200,2,0))&amp;"_"&amp;RIGHT(A2755,3)</f>
        <v>#VALUE!</v>
      </c>
      <c r="I2755" s="66">
        <f t="shared" ref="I2755:I2818" si="43">A2755</f>
        <v>0</v>
      </c>
    </row>
    <row r="2756" spans="8:9">
      <c r="H2756" s="66" t="e">
        <f>IF(OR(LEFT(B2756,FIND("_",B2756,1)-1)="ULGALLOC",LEFT(B2756,FIND("_",B2756,1)-1)="ULSPOOL"),LEFT(B2756,FIND("_",B2756,1)-1),VLOOKUP(LEFT(A2756,6),'Code Library'!$D$3:$E$200,2,0))&amp;"_"&amp;RIGHT(A2756,3)</f>
        <v>#VALUE!</v>
      </c>
      <c r="I2756" s="66">
        <f t="shared" si="43"/>
        <v>0</v>
      </c>
    </row>
    <row r="2757" spans="8:9">
      <c r="H2757" s="66" t="e">
        <f>IF(OR(LEFT(B2757,FIND("_",B2757,1)-1)="ULGALLOC",LEFT(B2757,FIND("_",B2757,1)-1)="ULSPOOL"),LEFT(B2757,FIND("_",B2757,1)-1),VLOOKUP(LEFT(A2757,6),'Code Library'!$D$3:$E$200,2,0))&amp;"_"&amp;RIGHT(A2757,3)</f>
        <v>#VALUE!</v>
      </c>
      <c r="I2757" s="66">
        <f t="shared" si="43"/>
        <v>0</v>
      </c>
    </row>
    <row r="2758" spans="8:9">
      <c r="H2758" s="66" t="e">
        <f>IF(OR(LEFT(B2758,FIND("_",B2758,1)-1)="ULGALLOC",LEFT(B2758,FIND("_",B2758,1)-1)="ULSPOOL"),LEFT(B2758,FIND("_",B2758,1)-1),VLOOKUP(LEFT(A2758,6),'Code Library'!$D$3:$E$200,2,0))&amp;"_"&amp;RIGHT(A2758,3)</f>
        <v>#VALUE!</v>
      </c>
      <c r="I2758" s="66">
        <f t="shared" si="43"/>
        <v>0</v>
      </c>
    </row>
    <row r="2759" spans="8:9">
      <c r="H2759" s="66" t="e">
        <f>IF(OR(LEFT(B2759,FIND("_",B2759,1)-1)="ULGALLOC",LEFT(B2759,FIND("_",B2759,1)-1)="ULSPOOL"),LEFT(B2759,FIND("_",B2759,1)-1),VLOOKUP(LEFT(A2759,6),'Code Library'!$D$3:$E$200,2,0))&amp;"_"&amp;RIGHT(A2759,3)</f>
        <v>#VALUE!</v>
      </c>
      <c r="I2759" s="66">
        <f t="shared" si="43"/>
        <v>0</v>
      </c>
    </row>
    <row r="2760" spans="8:9">
      <c r="H2760" s="66" t="e">
        <f>IF(OR(LEFT(B2760,FIND("_",B2760,1)-1)="ULGALLOC",LEFT(B2760,FIND("_",B2760,1)-1)="ULSPOOL"),LEFT(B2760,FIND("_",B2760,1)-1),VLOOKUP(LEFT(A2760,6),'Code Library'!$D$3:$E$200,2,0))&amp;"_"&amp;RIGHT(A2760,3)</f>
        <v>#VALUE!</v>
      </c>
      <c r="I2760" s="66">
        <f t="shared" si="43"/>
        <v>0</v>
      </c>
    </row>
    <row r="2761" spans="8:9">
      <c r="H2761" s="66" t="e">
        <f>IF(OR(LEFT(B2761,FIND("_",B2761,1)-1)="ULGALLOC",LEFT(B2761,FIND("_",B2761,1)-1)="ULSPOOL"),LEFT(B2761,FIND("_",B2761,1)-1),VLOOKUP(LEFT(A2761,6),'Code Library'!$D$3:$E$200,2,0))&amp;"_"&amp;RIGHT(A2761,3)</f>
        <v>#VALUE!</v>
      </c>
      <c r="I2761" s="66">
        <f t="shared" si="43"/>
        <v>0</v>
      </c>
    </row>
    <row r="2762" spans="8:9">
      <c r="H2762" s="66" t="e">
        <f>IF(OR(LEFT(B2762,FIND("_",B2762,1)-1)="ULGALLOC",LEFT(B2762,FIND("_",B2762,1)-1)="ULSPOOL"),LEFT(B2762,FIND("_",B2762,1)-1),VLOOKUP(LEFT(A2762,6),'Code Library'!$D$3:$E$200,2,0))&amp;"_"&amp;RIGHT(A2762,3)</f>
        <v>#VALUE!</v>
      </c>
      <c r="I2762" s="66">
        <f t="shared" si="43"/>
        <v>0</v>
      </c>
    </row>
    <row r="2763" spans="8:9">
      <c r="H2763" s="66" t="e">
        <f>IF(OR(LEFT(B2763,FIND("_",B2763,1)-1)="ULGALLOC",LEFT(B2763,FIND("_",B2763,1)-1)="ULSPOOL"),LEFT(B2763,FIND("_",B2763,1)-1),VLOOKUP(LEFT(A2763,6),'Code Library'!$D$3:$E$200,2,0))&amp;"_"&amp;RIGHT(A2763,3)</f>
        <v>#VALUE!</v>
      </c>
      <c r="I2763" s="66">
        <f t="shared" si="43"/>
        <v>0</v>
      </c>
    </row>
    <row r="2764" spans="8:9">
      <c r="H2764" s="66" t="e">
        <f>IF(OR(LEFT(B2764,FIND("_",B2764,1)-1)="ULGALLOC",LEFT(B2764,FIND("_",B2764,1)-1)="ULSPOOL"),LEFT(B2764,FIND("_",B2764,1)-1),VLOOKUP(LEFT(A2764,6),'Code Library'!$D$3:$E$200,2,0))&amp;"_"&amp;RIGHT(A2764,3)</f>
        <v>#VALUE!</v>
      </c>
      <c r="I2764" s="66">
        <f t="shared" si="43"/>
        <v>0</v>
      </c>
    </row>
    <row r="2765" spans="8:9">
      <c r="H2765" s="66" t="e">
        <f>IF(OR(LEFT(B2765,FIND("_",B2765,1)-1)="ULGALLOC",LEFT(B2765,FIND("_",B2765,1)-1)="ULSPOOL"),LEFT(B2765,FIND("_",B2765,1)-1),VLOOKUP(LEFT(A2765,6),'Code Library'!$D$3:$E$200,2,0))&amp;"_"&amp;RIGHT(A2765,3)</f>
        <v>#VALUE!</v>
      </c>
      <c r="I2765" s="66">
        <f t="shared" si="43"/>
        <v>0</v>
      </c>
    </row>
    <row r="2766" spans="8:9">
      <c r="H2766" s="66" t="e">
        <f>IF(OR(LEFT(B2766,FIND("_",B2766,1)-1)="ULGALLOC",LEFT(B2766,FIND("_",B2766,1)-1)="ULSPOOL"),LEFT(B2766,FIND("_",B2766,1)-1),VLOOKUP(LEFT(A2766,6),'Code Library'!$D$3:$E$200,2,0))&amp;"_"&amp;RIGHT(A2766,3)</f>
        <v>#VALUE!</v>
      </c>
      <c r="I2766" s="66">
        <f t="shared" si="43"/>
        <v>0</v>
      </c>
    </row>
    <row r="2767" spans="8:9">
      <c r="H2767" s="66" t="e">
        <f>IF(OR(LEFT(B2767,FIND("_",B2767,1)-1)="ULGALLOC",LEFT(B2767,FIND("_",B2767,1)-1)="ULSPOOL"),LEFT(B2767,FIND("_",B2767,1)-1),VLOOKUP(LEFT(A2767,6),'Code Library'!$D$3:$E$200,2,0))&amp;"_"&amp;RIGHT(A2767,3)</f>
        <v>#VALUE!</v>
      </c>
      <c r="I2767" s="66">
        <f t="shared" si="43"/>
        <v>0</v>
      </c>
    </row>
    <row r="2768" spans="8:9">
      <c r="H2768" s="66" t="e">
        <f>IF(OR(LEFT(B2768,FIND("_",B2768,1)-1)="ULGALLOC",LEFT(B2768,FIND("_",B2768,1)-1)="ULSPOOL"),LEFT(B2768,FIND("_",B2768,1)-1),VLOOKUP(LEFT(A2768,6),'Code Library'!$D$3:$E$200,2,0))&amp;"_"&amp;RIGHT(A2768,3)</f>
        <v>#VALUE!</v>
      </c>
      <c r="I2768" s="66">
        <f t="shared" si="43"/>
        <v>0</v>
      </c>
    </row>
    <row r="2769" spans="8:9">
      <c r="H2769" s="66" t="e">
        <f>IF(OR(LEFT(B2769,FIND("_",B2769,1)-1)="ULGALLOC",LEFT(B2769,FIND("_",B2769,1)-1)="ULSPOOL"),LEFT(B2769,FIND("_",B2769,1)-1),VLOOKUP(LEFT(A2769,6),'Code Library'!$D$3:$E$200,2,0))&amp;"_"&amp;RIGHT(A2769,3)</f>
        <v>#VALUE!</v>
      </c>
      <c r="I2769" s="66">
        <f t="shared" si="43"/>
        <v>0</v>
      </c>
    </row>
    <row r="2770" spans="8:9">
      <c r="H2770" s="66" t="e">
        <f>IF(OR(LEFT(B2770,FIND("_",B2770,1)-1)="ULGALLOC",LEFT(B2770,FIND("_",B2770,1)-1)="ULSPOOL"),LEFT(B2770,FIND("_",B2770,1)-1),VLOOKUP(LEFT(A2770,6),'Code Library'!$D$3:$E$200,2,0))&amp;"_"&amp;RIGHT(A2770,3)</f>
        <v>#VALUE!</v>
      </c>
      <c r="I2770" s="66">
        <f t="shared" si="43"/>
        <v>0</v>
      </c>
    </row>
    <row r="2771" spans="8:9">
      <c r="H2771" s="66" t="e">
        <f>IF(OR(LEFT(B2771,FIND("_",B2771,1)-1)="ULGALLOC",LEFT(B2771,FIND("_",B2771,1)-1)="ULSPOOL"),LEFT(B2771,FIND("_",B2771,1)-1),VLOOKUP(LEFT(A2771,6),'Code Library'!$D$3:$E$200,2,0))&amp;"_"&amp;RIGHT(A2771,3)</f>
        <v>#VALUE!</v>
      </c>
      <c r="I2771" s="66">
        <f t="shared" si="43"/>
        <v>0</v>
      </c>
    </row>
    <row r="2772" spans="8:9">
      <c r="H2772" s="66" t="e">
        <f>IF(OR(LEFT(B2772,FIND("_",B2772,1)-1)="ULGALLOC",LEFT(B2772,FIND("_",B2772,1)-1)="ULSPOOL"),LEFT(B2772,FIND("_",B2772,1)-1),VLOOKUP(LEFT(A2772,6),'Code Library'!$D$3:$E$200,2,0))&amp;"_"&amp;RIGHT(A2772,3)</f>
        <v>#VALUE!</v>
      </c>
      <c r="I2772" s="66">
        <f t="shared" si="43"/>
        <v>0</v>
      </c>
    </row>
    <row r="2773" spans="8:9">
      <c r="H2773" s="66" t="e">
        <f>IF(OR(LEFT(B2773,FIND("_",B2773,1)-1)="ULGALLOC",LEFT(B2773,FIND("_",B2773,1)-1)="ULSPOOL"),LEFT(B2773,FIND("_",B2773,1)-1),VLOOKUP(LEFT(A2773,6),'Code Library'!$D$3:$E$200,2,0))&amp;"_"&amp;RIGHT(A2773,3)</f>
        <v>#VALUE!</v>
      </c>
      <c r="I2773" s="66">
        <f t="shared" si="43"/>
        <v>0</v>
      </c>
    </row>
    <row r="2774" spans="8:9">
      <c r="H2774" s="66" t="e">
        <f>IF(OR(LEFT(B2774,FIND("_",B2774,1)-1)="ULGALLOC",LEFT(B2774,FIND("_",B2774,1)-1)="ULSPOOL"),LEFT(B2774,FIND("_",B2774,1)-1),VLOOKUP(LEFT(A2774,6),'Code Library'!$D$3:$E$200,2,0))&amp;"_"&amp;RIGHT(A2774,3)</f>
        <v>#VALUE!</v>
      </c>
      <c r="I2774" s="66">
        <f t="shared" si="43"/>
        <v>0</v>
      </c>
    </row>
    <row r="2775" spans="8:9">
      <c r="H2775" s="66" t="e">
        <f>IF(OR(LEFT(B2775,FIND("_",B2775,1)-1)="ULGALLOC",LEFT(B2775,FIND("_",B2775,1)-1)="ULSPOOL"),LEFT(B2775,FIND("_",B2775,1)-1),VLOOKUP(LEFT(A2775,6),'Code Library'!$D$3:$E$200,2,0))&amp;"_"&amp;RIGHT(A2775,3)</f>
        <v>#VALUE!</v>
      </c>
      <c r="I2775" s="66">
        <f t="shared" si="43"/>
        <v>0</v>
      </c>
    </row>
    <row r="2776" spans="8:9">
      <c r="H2776" s="66" t="e">
        <f>IF(OR(LEFT(B2776,FIND("_",B2776,1)-1)="ULGALLOC",LEFT(B2776,FIND("_",B2776,1)-1)="ULSPOOL"),LEFT(B2776,FIND("_",B2776,1)-1),VLOOKUP(LEFT(A2776,6),'Code Library'!$D$3:$E$200,2,0))&amp;"_"&amp;RIGHT(A2776,3)</f>
        <v>#VALUE!</v>
      </c>
      <c r="I2776" s="66">
        <f t="shared" si="43"/>
        <v>0</v>
      </c>
    </row>
    <row r="2777" spans="8:9">
      <c r="H2777" s="66" t="e">
        <f>IF(OR(LEFT(B2777,FIND("_",B2777,1)-1)="ULGALLOC",LEFT(B2777,FIND("_",B2777,1)-1)="ULSPOOL"),LEFT(B2777,FIND("_",B2777,1)-1),VLOOKUP(LEFT(A2777,6),'Code Library'!$D$3:$E$200,2,0))&amp;"_"&amp;RIGHT(A2777,3)</f>
        <v>#VALUE!</v>
      </c>
      <c r="I2777" s="66">
        <f t="shared" si="43"/>
        <v>0</v>
      </c>
    </row>
    <row r="2778" spans="8:9">
      <c r="H2778" s="66" t="e">
        <f>IF(OR(LEFT(B2778,FIND("_",B2778,1)-1)="ULGALLOC",LEFT(B2778,FIND("_",B2778,1)-1)="ULSPOOL"),LEFT(B2778,FIND("_",B2778,1)-1),VLOOKUP(LEFT(A2778,6),'Code Library'!$D$3:$E$200,2,0))&amp;"_"&amp;RIGHT(A2778,3)</f>
        <v>#VALUE!</v>
      </c>
      <c r="I2778" s="66">
        <f t="shared" si="43"/>
        <v>0</v>
      </c>
    </row>
    <row r="2779" spans="8:9">
      <c r="H2779" s="66" t="e">
        <f>IF(OR(LEFT(B2779,FIND("_",B2779,1)-1)="ULGALLOC",LEFT(B2779,FIND("_",B2779,1)-1)="ULSPOOL"),LEFT(B2779,FIND("_",B2779,1)-1),VLOOKUP(LEFT(A2779,6),'Code Library'!$D$3:$E$200,2,0))&amp;"_"&amp;RIGHT(A2779,3)</f>
        <v>#VALUE!</v>
      </c>
      <c r="I2779" s="66">
        <f t="shared" si="43"/>
        <v>0</v>
      </c>
    </row>
    <row r="2780" spans="8:9">
      <c r="H2780" s="66" t="e">
        <f>IF(OR(LEFT(B2780,FIND("_",B2780,1)-1)="ULGALLOC",LEFT(B2780,FIND("_",B2780,1)-1)="ULSPOOL"),LEFT(B2780,FIND("_",B2780,1)-1),VLOOKUP(LEFT(A2780,6),'Code Library'!$D$3:$E$200,2,0))&amp;"_"&amp;RIGHT(A2780,3)</f>
        <v>#VALUE!</v>
      </c>
      <c r="I2780" s="66">
        <f t="shared" si="43"/>
        <v>0</v>
      </c>
    </row>
    <row r="2781" spans="8:9">
      <c r="H2781" s="66" t="e">
        <f>IF(OR(LEFT(B2781,FIND("_",B2781,1)-1)="ULGALLOC",LEFT(B2781,FIND("_",B2781,1)-1)="ULSPOOL"),LEFT(B2781,FIND("_",B2781,1)-1),VLOOKUP(LEFT(A2781,6),'Code Library'!$D$3:$E$200,2,0))&amp;"_"&amp;RIGHT(A2781,3)</f>
        <v>#VALUE!</v>
      </c>
      <c r="I2781" s="66">
        <f t="shared" si="43"/>
        <v>0</v>
      </c>
    </row>
    <row r="2782" spans="8:9">
      <c r="H2782" s="66" t="e">
        <f>IF(OR(LEFT(B2782,FIND("_",B2782,1)-1)="ULGALLOC",LEFT(B2782,FIND("_",B2782,1)-1)="ULSPOOL"),LEFT(B2782,FIND("_",B2782,1)-1),VLOOKUP(LEFT(A2782,6),'Code Library'!$D$3:$E$200,2,0))&amp;"_"&amp;RIGHT(A2782,3)</f>
        <v>#VALUE!</v>
      </c>
      <c r="I2782" s="66">
        <f t="shared" si="43"/>
        <v>0</v>
      </c>
    </row>
    <row r="2783" spans="8:9">
      <c r="H2783" s="66" t="e">
        <f>IF(OR(LEFT(B2783,FIND("_",B2783,1)-1)="ULGALLOC",LEFT(B2783,FIND("_",B2783,1)-1)="ULSPOOL"),LEFT(B2783,FIND("_",B2783,1)-1),VLOOKUP(LEFT(A2783,6),'Code Library'!$D$3:$E$200,2,0))&amp;"_"&amp;RIGHT(A2783,3)</f>
        <v>#VALUE!</v>
      </c>
      <c r="I2783" s="66">
        <f t="shared" si="43"/>
        <v>0</v>
      </c>
    </row>
    <row r="2784" spans="8:9">
      <c r="H2784" s="66" t="e">
        <f>IF(OR(LEFT(B2784,FIND("_",B2784,1)-1)="ULGALLOC",LEFT(B2784,FIND("_",B2784,1)-1)="ULSPOOL"),LEFT(B2784,FIND("_",B2784,1)-1),VLOOKUP(LEFT(A2784,6),'Code Library'!$D$3:$E$200,2,0))&amp;"_"&amp;RIGHT(A2784,3)</f>
        <v>#VALUE!</v>
      </c>
      <c r="I2784" s="66">
        <f t="shared" si="43"/>
        <v>0</v>
      </c>
    </row>
    <row r="2785" spans="8:9">
      <c r="H2785" s="66" t="e">
        <f>IF(OR(LEFT(B2785,FIND("_",B2785,1)-1)="ULGALLOC",LEFT(B2785,FIND("_",B2785,1)-1)="ULSPOOL"),LEFT(B2785,FIND("_",B2785,1)-1),VLOOKUP(LEFT(A2785,6),'Code Library'!$D$3:$E$200,2,0))&amp;"_"&amp;RIGHT(A2785,3)</f>
        <v>#VALUE!</v>
      </c>
      <c r="I2785" s="66">
        <f t="shared" si="43"/>
        <v>0</v>
      </c>
    </row>
    <row r="2786" spans="8:9">
      <c r="H2786" s="66" t="e">
        <f>IF(OR(LEFT(B2786,FIND("_",B2786,1)-1)="ULGALLOC",LEFT(B2786,FIND("_",B2786,1)-1)="ULSPOOL"),LEFT(B2786,FIND("_",B2786,1)-1),VLOOKUP(LEFT(A2786,6),'Code Library'!$D$3:$E$200,2,0))&amp;"_"&amp;RIGHT(A2786,3)</f>
        <v>#VALUE!</v>
      </c>
      <c r="I2786" s="66">
        <f t="shared" si="43"/>
        <v>0</v>
      </c>
    </row>
    <row r="2787" spans="8:9">
      <c r="H2787" s="66" t="e">
        <f>IF(OR(LEFT(B2787,FIND("_",B2787,1)-1)="ULGALLOC",LEFT(B2787,FIND("_",B2787,1)-1)="ULSPOOL"),LEFT(B2787,FIND("_",B2787,1)-1),VLOOKUP(LEFT(A2787,6),'Code Library'!$D$3:$E$200,2,0))&amp;"_"&amp;RIGHT(A2787,3)</f>
        <v>#VALUE!</v>
      </c>
      <c r="I2787" s="66">
        <f t="shared" si="43"/>
        <v>0</v>
      </c>
    </row>
    <row r="2788" spans="8:9">
      <c r="H2788" s="66" t="e">
        <f>IF(OR(LEFT(B2788,FIND("_",B2788,1)-1)="ULGALLOC",LEFT(B2788,FIND("_",B2788,1)-1)="ULSPOOL"),LEFT(B2788,FIND("_",B2788,1)-1),VLOOKUP(LEFT(A2788,6),'Code Library'!$D$3:$E$200,2,0))&amp;"_"&amp;RIGHT(A2788,3)</f>
        <v>#VALUE!</v>
      </c>
      <c r="I2788" s="66">
        <f t="shared" si="43"/>
        <v>0</v>
      </c>
    </row>
    <row r="2789" spans="8:9">
      <c r="H2789" s="66" t="e">
        <f>IF(OR(LEFT(B2789,FIND("_",B2789,1)-1)="ULGALLOC",LEFT(B2789,FIND("_",B2789,1)-1)="ULSPOOL"),LEFT(B2789,FIND("_",B2789,1)-1),VLOOKUP(LEFT(A2789,6),'Code Library'!$D$3:$E$200,2,0))&amp;"_"&amp;RIGHT(A2789,3)</f>
        <v>#VALUE!</v>
      </c>
      <c r="I2789" s="66">
        <f t="shared" si="43"/>
        <v>0</v>
      </c>
    </row>
    <row r="2790" spans="8:9">
      <c r="H2790" s="66" t="e">
        <f>IF(OR(LEFT(B2790,FIND("_",B2790,1)-1)="ULGALLOC",LEFT(B2790,FIND("_",B2790,1)-1)="ULSPOOL"),LEFT(B2790,FIND("_",B2790,1)-1),VLOOKUP(LEFT(A2790,6),'Code Library'!$D$3:$E$200,2,0))&amp;"_"&amp;RIGHT(A2790,3)</f>
        <v>#VALUE!</v>
      </c>
      <c r="I2790" s="66">
        <f t="shared" si="43"/>
        <v>0</v>
      </c>
    </row>
    <row r="2791" spans="8:9">
      <c r="H2791" s="66" t="e">
        <f>IF(OR(LEFT(B2791,FIND("_",B2791,1)-1)="ULGALLOC",LEFT(B2791,FIND("_",B2791,1)-1)="ULSPOOL"),LEFT(B2791,FIND("_",B2791,1)-1),VLOOKUP(LEFT(A2791,6),'Code Library'!$D$3:$E$200,2,0))&amp;"_"&amp;RIGHT(A2791,3)</f>
        <v>#VALUE!</v>
      </c>
      <c r="I2791" s="66">
        <f t="shared" si="43"/>
        <v>0</v>
      </c>
    </row>
    <row r="2792" spans="8:9">
      <c r="H2792" s="66" t="e">
        <f>IF(OR(LEFT(B2792,FIND("_",B2792,1)-1)="ULGALLOC",LEFT(B2792,FIND("_",B2792,1)-1)="ULSPOOL"),LEFT(B2792,FIND("_",B2792,1)-1),VLOOKUP(LEFT(A2792,6),'Code Library'!$D$3:$E$200,2,0))&amp;"_"&amp;RIGHT(A2792,3)</f>
        <v>#VALUE!</v>
      </c>
      <c r="I2792" s="66">
        <f t="shared" si="43"/>
        <v>0</v>
      </c>
    </row>
    <row r="2793" spans="8:9">
      <c r="H2793" s="66" t="e">
        <f>IF(OR(LEFT(B2793,FIND("_",B2793,1)-1)="ULGALLOC",LEFT(B2793,FIND("_",B2793,1)-1)="ULSPOOL"),LEFT(B2793,FIND("_",B2793,1)-1),VLOOKUP(LEFT(A2793,6),'Code Library'!$D$3:$E$200,2,0))&amp;"_"&amp;RIGHT(A2793,3)</f>
        <v>#VALUE!</v>
      </c>
      <c r="I2793" s="66">
        <f t="shared" si="43"/>
        <v>0</v>
      </c>
    </row>
    <row r="2794" spans="8:9">
      <c r="H2794" s="66" t="e">
        <f>IF(OR(LEFT(B2794,FIND("_",B2794,1)-1)="ULGALLOC",LEFT(B2794,FIND("_",B2794,1)-1)="ULSPOOL"),LEFT(B2794,FIND("_",B2794,1)-1),VLOOKUP(LEFT(A2794,6),'Code Library'!$D$3:$E$200,2,0))&amp;"_"&amp;RIGHT(A2794,3)</f>
        <v>#VALUE!</v>
      </c>
      <c r="I2794" s="66">
        <f t="shared" si="43"/>
        <v>0</v>
      </c>
    </row>
    <row r="2795" spans="8:9">
      <c r="H2795" s="66" t="e">
        <f>IF(OR(LEFT(B2795,FIND("_",B2795,1)-1)="ULGALLOC",LEFT(B2795,FIND("_",B2795,1)-1)="ULSPOOL"),LEFT(B2795,FIND("_",B2795,1)-1),VLOOKUP(LEFT(A2795,6),'Code Library'!$D$3:$E$200,2,0))&amp;"_"&amp;RIGHT(A2795,3)</f>
        <v>#VALUE!</v>
      </c>
      <c r="I2795" s="66">
        <f t="shared" si="43"/>
        <v>0</v>
      </c>
    </row>
    <row r="2796" spans="8:9">
      <c r="H2796" s="66" t="e">
        <f>IF(OR(LEFT(B2796,FIND("_",B2796,1)-1)="ULGALLOC",LEFT(B2796,FIND("_",B2796,1)-1)="ULSPOOL"),LEFT(B2796,FIND("_",B2796,1)-1),VLOOKUP(LEFT(A2796,6),'Code Library'!$D$3:$E$200,2,0))&amp;"_"&amp;RIGHT(A2796,3)</f>
        <v>#VALUE!</v>
      </c>
      <c r="I2796" s="66">
        <f t="shared" si="43"/>
        <v>0</v>
      </c>
    </row>
    <row r="2797" spans="8:9">
      <c r="H2797" s="66" t="e">
        <f>IF(OR(LEFT(B2797,FIND("_",B2797,1)-1)="ULGALLOC",LEFT(B2797,FIND("_",B2797,1)-1)="ULSPOOL"),LEFT(B2797,FIND("_",B2797,1)-1),VLOOKUP(LEFT(A2797,6),'Code Library'!$D$3:$E$200,2,0))&amp;"_"&amp;RIGHT(A2797,3)</f>
        <v>#VALUE!</v>
      </c>
      <c r="I2797" s="66">
        <f t="shared" si="43"/>
        <v>0</v>
      </c>
    </row>
    <row r="2798" spans="8:9">
      <c r="H2798" s="66" t="e">
        <f>IF(OR(LEFT(B2798,FIND("_",B2798,1)-1)="ULGALLOC",LEFT(B2798,FIND("_",B2798,1)-1)="ULSPOOL"),LEFT(B2798,FIND("_",B2798,1)-1),VLOOKUP(LEFT(A2798,6),'Code Library'!$D$3:$E$200,2,0))&amp;"_"&amp;RIGHT(A2798,3)</f>
        <v>#VALUE!</v>
      </c>
      <c r="I2798" s="66">
        <f t="shared" si="43"/>
        <v>0</v>
      </c>
    </row>
    <row r="2799" spans="8:9">
      <c r="H2799" s="66" t="e">
        <f>IF(OR(LEFT(B2799,FIND("_",B2799,1)-1)="ULGALLOC",LEFT(B2799,FIND("_",B2799,1)-1)="ULSPOOL"),LEFT(B2799,FIND("_",B2799,1)-1),VLOOKUP(LEFT(A2799,6),'Code Library'!$D$3:$E$200,2,0))&amp;"_"&amp;RIGHT(A2799,3)</f>
        <v>#VALUE!</v>
      </c>
      <c r="I2799" s="66">
        <f t="shared" si="43"/>
        <v>0</v>
      </c>
    </row>
    <row r="2800" spans="8:9">
      <c r="H2800" s="66" t="e">
        <f>IF(OR(LEFT(B2800,FIND("_",B2800,1)-1)="ULGALLOC",LEFT(B2800,FIND("_",B2800,1)-1)="ULSPOOL"),LEFT(B2800,FIND("_",B2800,1)-1),VLOOKUP(LEFT(A2800,6),'Code Library'!$D$3:$E$200,2,0))&amp;"_"&amp;RIGHT(A2800,3)</f>
        <v>#VALUE!</v>
      </c>
      <c r="I2800" s="66">
        <f t="shared" si="43"/>
        <v>0</v>
      </c>
    </row>
    <row r="2801" spans="8:9">
      <c r="H2801" s="66" t="e">
        <f>IF(OR(LEFT(B2801,FIND("_",B2801,1)-1)="ULGALLOC",LEFT(B2801,FIND("_",B2801,1)-1)="ULSPOOL"),LEFT(B2801,FIND("_",B2801,1)-1),VLOOKUP(LEFT(A2801,6),'Code Library'!$D$3:$E$200,2,0))&amp;"_"&amp;RIGHT(A2801,3)</f>
        <v>#VALUE!</v>
      </c>
      <c r="I2801" s="66">
        <f t="shared" si="43"/>
        <v>0</v>
      </c>
    </row>
    <row r="2802" spans="8:9">
      <c r="H2802" s="66" t="e">
        <f>IF(OR(LEFT(B2802,FIND("_",B2802,1)-1)="ULGALLOC",LEFT(B2802,FIND("_",B2802,1)-1)="ULSPOOL"),LEFT(B2802,FIND("_",B2802,1)-1),VLOOKUP(LEFT(A2802,6),'Code Library'!$D$3:$E$200,2,0))&amp;"_"&amp;RIGHT(A2802,3)</f>
        <v>#VALUE!</v>
      </c>
      <c r="I2802" s="66">
        <f t="shared" si="43"/>
        <v>0</v>
      </c>
    </row>
    <row r="2803" spans="8:9">
      <c r="H2803" s="66" t="e">
        <f>IF(OR(LEFT(B2803,FIND("_",B2803,1)-1)="ULGALLOC",LEFT(B2803,FIND("_",B2803,1)-1)="ULSPOOL"),LEFT(B2803,FIND("_",B2803,1)-1),VLOOKUP(LEFT(A2803,6),'Code Library'!$D$3:$E$200,2,0))&amp;"_"&amp;RIGHT(A2803,3)</f>
        <v>#VALUE!</v>
      </c>
      <c r="I2803" s="66">
        <f t="shared" si="43"/>
        <v>0</v>
      </c>
    </row>
    <row r="2804" spans="8:9">
      <c r="H2804" s="66" t="e">
        <f>IF(OR(LEFT(B2804,FIND("_",B2804,1)-1)="ULGALLOC",LEFT(B2804,FIND("_",B2804,1)-1)="ULSPOOL"),LEFT(B2804,FIND("_",B2804,1)-1),VLOOKUP(LEFT(A2804,6),'Code Library'!$D$3:$E$200,2,0))&amp;"_"&amp;RIGHT(A2804,3)</f>
        <v>#VALUE!</v>
      </c>
      <c r="I2804" s="66">
        <f t="shared" si="43"/>
        <v>0</v>
      </c>
    </row>
    <row r="2805" spans="8:9">
      <c r="H2805" s="66" t="e">
        <f>IF(OR(LEFT(B2805,FIND("_",B2805,1)-1)="ULGALLOC",LEFT(B2805,FIND("_",B2805,1)-1)="ULSPOOL"),LEFT(B2805,FIND("_",B2805,1)-1),VLOOKUP(LEFT(A2805,6),'Code Library'!$D$3:$E$200,2,0))&amp;"_"&amp;RIGHT(A2805,3)</f>
        <v>#VALUE!</v>
      </c>
      <c r="I2805" s="66">
        <f t="shared" si="43"/>
        <v>0</v>
      </c>
    </row>
    <row r="2806" spans="8:9">
      <c r="H2806" s="66" t="e">
        <f>IF(OR(LEFT(B2806,FIND("_",B2806,1)-1)="ULGALLOC",LEFT(B2806,FIND("_",B2806,1)-1)="ULSPOOL"),LEFT(B2806,FIND("_",B2806,1)-1),VLOOKUP(LEFT(A2806,6),'Code Library'!$D$3:$E$200,2,0))&amp;"_"&amp;RIGHT(A2806,3)</f>
        <v>#VALUE!</v>
      </c>
      <c r="I2806" s="66">
        <f t="shared" si="43"/>
        <v>0</v>
      </c>
    </row>
    <row r="2807" spans="8:9">
      <c r="H2807" s="66" t="e">
        <f>IF(OR(LEFT(B2807,FIND("_",B2807,1)-1)="ULGALLOC",LEFT(B2807,FIND("_",B2807,1)-1)="ULSPOOL"),LEFT(B2807,FIND("_",B2807,1)-1),VLOOKUP(LEFT(A2807,6),'Code Library'!$D$3:$E$200,2,0))&amp;"_"&amp;RIGHT(A2807,3)</f>
        <v>#VALUE!</v>
      </c>
      <c r="I2807" s="66">
        <f t="shared" si="43"/>
        <v>0</v>
      </c>
    </row>
    <row r="2808" spans="8:9">
      <c r="H2808" s="66" t="e">
        <f>IF(OR(LEFT(B2808,FIND("_",B2808,1)-1)="ULGALLOC",LEFT(B2808,FIND("_",B2808,1)-1)="ULSPOOL"),LEFT(B2808,FIND("_",B2808,1)-1),VLOOKUP(LEFT(A2808,6),'Code Library'!$D$3:$E$200,2,0))&amp;"_"&amp;RIGHT(A2808,3)</f>
        <v>#VALUE!</v>
      </c>
      <c r="I2808" s="66">
        <f t="shared" si="43"/>
        <v>0</v>
      </c>
    </row>
    <row r="2809" spans="8:9">
      <c r="H2809" s="66" t="e">
        <f>IF(OR(LEFT(B2809,FIND("_",B2809,1)-1)="ULGALLOC",LEFT(B2809,FIND("_",B2809,1)-1)="ULSPOOL"),LEFT(B2809,FIND("_",B2809,1)-1),VLOOKUP(LEFT(A2809,6),'Code Library'!$D$3:$E$200,2,0))&amp;"_"&amp;RIGHT(A2809,3)</f>
        <v>#VALUE!</v>
      </c>
      <c r="I2809" s="66">
        <f t="shared" si="43"/>
        <v>0</v>
      </c>
    </row>
    <row r="2810" spans="8:9">
      <c r="H2810" s="66" t="e">
        <f>IF(OR(LEFT(B2810,FIND("_",B2810,1)-1)="ULGALLOC",LEFT(B2810,FIND("_",B2810,1)-1)="ULSPOOL"),LEFT(B2810,FIND("_",B2810,1)-1),VLOOKUP(LEFT(A2810,6),'Code Library'!$D$3:$E$200,2,0))&amp;"_"&amp;RIGHT(A2810,3)</f>
        <v>#VALUE!</v>
      </c>
      <c r="I2810" s="66">
        <f t="shared" si="43"/>
        <v>0</v>
      </c>
    </row>
    <row r="2811" spans="8:9">
      <c r="H2811" s="66" t="e">
        <f>IF(OR(LEFT(B2811,FIND("_",B2811,1)-1)="ULGALLOC",LEFT(B2811,FIND("_",B2811,1)-1)="ULSPOOL"),LEFT(B2811,FIND("_",B2811,1)-1),VLOOKUP(LEFT(A2811,6),'Code Library'!$D$3:$E$200,2,0))&amp;"_"&amp;RIGHT(A2811,3)</f>
        <v>#VALUE!</v>
      </c>
      <c r="I2811" s="66">
        <f t="shared" si="43"/>
        <v>0</v>
      </c>
    </row>
    <row r="2812" spans="8:9">
      <c r="H2812" s="66" t="e">
        <f>IF(OR(LEFT(B2812,FIND("_",B2812,1)-1)="ULGALLOC",LEFT(B2812,FIND("_",B2812,1)-1)="ULSPOOL"),LEFT(B2812,FIND("_",B2812,1)-1),VLOOKUP(LEFT(A2812,6),'Code Library'!$D$3:$E$200,2,0))&amp;"_"&amp;RIGHT(A2812,3)</f>
        <v>#VALUE!</v>
      </c>
      <c r="I2812" s="66">
        <f t="shared" si="43"/>
        <v>0</v>
      </c>
    </row>
    <row r="2813" spans="8:9">
      <c r="H2813" s="66" t="e">
        <f>IF(OR(LEFT(B2813,FIND("_",B2813,1)-1)="ULGALLOC",LEFT(B2813,FIND("_",B2813,1)-1)="ULSPOOL"),LEFT(B2813,FIND("_",B2813,1)-1),VLOOKUP(LEFT(A2813,6),'Code Library'!$D$3:$E$200,2,0))&amp;"_"&amp;RIGHT(A2813,3)</f>
        <v>#VALUE!</v>
      </c>
      <c r="I2813" s="66">
        <f t="shared" si="43"/>
        <v>0</v>
      </c>
    </row>
    <row r="2814" spans="8:9">
      <c r="H2814" s="66" t="e">
        <f>IF(OR(LEFT(B2814,FIND("_",B2814,1)-1)="ULGALLOC",LEFT(B2814,FIND("_",B2814,1)-1)="ULSPOOL"),LEFT(B2814,FIND("_",B2814,1)-1),VLOOKUP(LEFT(A2814,6),'Code Library'!$D$3:$E$200,2,0))&amp;"_"&amp;RIGHT(A2814,3)</f>
        <v>#VALUE!</v>
      </c>
      <c r="I2814" s="66">
        <f t="shared" si="43"/>
        <v>0</v>
      </c>
    </row>
    <row r="2815" spans="8:9">
      <c r="H2815" s="66" t="e">
        <f>IF(OR(LEFT(B2815,FIND("_",B2815,1)-1)="ULGALLOC",LEFT(B2815,FIND("_",B2815,1)-1)="ULSPOOL"),LEFT(B2815,FIND("_",B2815,1)-1),VLOOKUP(LEFT(A2815,6),'Code Library'!$D$3:$E$200,2,0))&amp;"_"&amp;RIGHT(A2815,3)</f>
        <v>#VALUE!</v>
      </c>
      <c r="I2815" s="66">
        <f t="shared" si="43"/>
        <v>0</v>
      </c>
    </row>
    <row r="2816" spans="8:9">
      <c r="H2816" s="66" t="e">
        <f>IF(OR(LEFT(B2816,FIND("_",B2816,1)-1)="ULGALLOC",LEFT(B2816,FIND("_",B2816,1)-1)="ULSPOOL"),LEFT(B2816,FIND("_",B2816,1)-1),VLOOKUP(LEFT(A2816,6),'Code Library'!$D$3:$E$200,2,0))&amp;"_"&amp;RIGHT(A2816,3)</f>
        <v>#VALUE!</v>
      </c>
      <c r="I2816" s="66">
        <f t="shared" si="43"/>
        <v>0</v>
      </c>
    </row>
    <row r="2817" spans="8:9">
      <c r="H2817" s="66" t="e">
        <f>IF(OR(LEFT(B2817,FIND("_",B2817,1)-1)="ULGALLOC",LEFT(B2817,FIND("_",B2817,1)-1)="ULSPOOL"),LEFT(B2817,FIND("_",B2817,1)-1),VLOOKUP(LEFT(A2817,6),'Code Library'!$D$3:$E$200,2,0))&amp;"_"&amp;RIGHT(A2817,3)</f>
        <v>#VALUE!</v>
      </c>
      <c r="I2817" s="66">
        <f t="shared" si="43"/>
        <v>0</v>
      </c>
    </row>
    <row r="2818" spans="8:9">
      <c r="H2818" s="66" t="e">
        <f>IF(OR(LEFT(B2818,FIND("_",B2818,1)-1)="ULGALLOC",LEFT(B2818,FIND("_",B2818,1)-1)="ULSPOOL"),LEFT(B2818,FIND("_",B2818,1)-1),VLOOKUP(LEFT(A2818,6),'Code Library'!$D$3:$E$200,2,0))&amp;"_"&amp;RIGHT(A2818,3)</f>
        <v>#VALUE!</v>
      </c>
      <c r="I2818" s="66">
        <f t="shared" si="43"/>
        <v>0</v>
      </c>
    </row>
    <row r="2819" spans="8:9">
      <c r="H2819" s="66" t="e">
        <f>IF(OR(LEFT(B2819,FIND("_",B2819,1)-1)="ULGALLOC",LEFT(B2819,FIND("_",B2819,1)-1)="ULSPOOL"),LEFT(B2819,FIND("_",B2819,1)-1),VLOOKUP(LEFT(A2819,6),'Code Library'!$D$3:$E$200,2,0))&amp;"_"&amp;RIGHT(A2819,3)</f>
        <v>#VALUE!</v>
      </c>
      <c r="I2819" s="66">
        <f t="shared" ref="I2819:I2882" si="44">A2819</f>
        <v>0</v>
      </c>
    </row>
    <row r="2820" spans="8:9">
      <c r="H2820" s="66" t="e">
        <f>IF(OR(LEFT(B2820,FIND("_",B2820,1)-1)="ULGALLOC",LEFT(B2820,FIND("_",B2820,1)-1)="ULSPOOL"),LEFT(B2820,FIND("_",B2820,1)-1),VLOOKUP(LEFT(A2820,6),'Code Library'!$D$3:$E$200,2,0))&amp;"_"&amp;RIGHT(A2820,3)</f>
        <v>#VALUE!</v>
      </c>
      <c r="I2820" s="66">
        <f t="shared" si="44"/>
        <v>0</v>
      </c>
    </row>
    <row r="2821" spans="8:9">
      <c r="H2821" s="66" t="e">
        <f>IF(OR(LEFT(B2821,FIND("_",B2821,1)-1)="ULGALLOC",LEFT(B2821,FIND("_",B2821,1)-1)="ULSPOOL"),LEFT(B2821,FIND("_",B2821,1)-1),VLOOKUP(LEFT(A2821,6),'Code Library'!$D$3:$E$200,2,0))&amp;"_"&amp;RIGHT(A2821,3)</f>
        <v>#VALUE!</v>
      </c>
      <c r="I2821" s="66">
        <f t="shared" si="44"/>
        <v>0</v>
      </c>
    </row>
    <row r="2822" spans="8:9">
      <c r="H2822" s="66" t="e">
        <f>IF(OR(LEFT(B2822,FIND("_",B2822,1)-1)="ULGALLOC",LEFT(B2822,FIND("_",B2822,1)-1)="ULSPOOL"),LEFT(B2822,FIND("_",B2822,1)-1),VLOOKUP(LEFT(A2822,6),'Code Library'!$D$3:$E$200,2,0))&amp;"_"&amp;RIGHT(A2822,3)</f>
        <v>#VALUE!</v>
      </c>
      <c r="I2822" s="66">
        <f t="shared" si="44"/>
        <v>0</v>
      </c>
    </row>
    <row r="2823" spans="8:9">
      <c r="H2823" s="66" t="e">
        <f>IF(OR(LEFT(B2823,FIND("_",B2823,1)-1)="ULGALLOC",LEFT(B2823,FIND("_",B2823,1)-1)="ULSPOOL"),LEFT(B2823,FIND("_",B2823,1)-1),VLOOKUP(LEFT(A2823,6),'Code Library'!$D$3:$E$200,2,0))&amp;"_"&amp;RIGHT(A2823,3)</f>
        <v>#VALUE!</v>
      </c>
      <c r="I2823" s="66">
        <f t="shared" si="44"/>
        <v>0</v>
      </c>
    </row>
    <row r="2824" spans="8:9">
      <c r="H2824" s="66" t="e">
        <f>IF(OR(LEFT(B2824,FIND("_",B2824,1)-1)="ULGALLOC",LEFT(B2824,FIND("_",B2824,1)-1)="ULSPOOL"),LEFT(B2824,FIND("_",B2824,1)-1),VLOOKUP(LEFT(A2824,6),'Code Library'!$D$3:$E$200,2,0))&amp;"_"&amp;RIGHT(A2824,3)</f>
        <v>#VALUE!</v>
      </c>
      <c r="I2824" s="66">
        <f t="shared" si="44"/>
        <v>0</v>
      </c>
    </row>
    <row r="2825" spans="8:9">
      <c r="H2825" s="66" t="e">
        <f>IF(OR(LEFT(B2825,FIND("_",B2825,1)-1)="ULGALLOC",LEFT(B2825,FIND("_",B2825,1)-1)="ULSPOOL"),LEFT(B2825,FIND("_",B2825,1)-1),VLOOKUP(LEFT(A2825,6),'Code Library'!$D$3:$E$200,2,0))&amp;"_"&amp;RIGHT(A2825,3)</f>
        <v>#VALUE!</v>
      </c>
      <c r="I2825" s="66">
        <f t="shared" si="44"/>
        <v>0</v>
      </c>
    </row>
    <row r="2826" spans="8:9">
      <c r="H2826" s="66" t="e">
        <f>IF(OR(LEFT(B2826,FIND("_",B2826,1)-1)="ULGALLOC",LEFT(B2826,FIND("_",B2826,1)-1)="ULSPOOL"),LEFT(B2826,FIND("_",B2826,1)-1),VLOOKUP(LEFT(A2826,6),'Code Library'!$D$3:$E$200,2,0))&amp;"_"&amp;RIGHT(A2826,3)</f>
        <v>#VALUE!</v>
      </c>
      <c r="I2826" s="66">
        <f t="shared" si="44"/>
        <v>0</v>
      </c>
    </row>
    <row r="2827" spans="8:9">
      <c r="H2827" s="66" t="e">
        <f>IF(OR(LEFT(B2827,FIND("_",B2827,1)-1)="ULGALLOC",LEFT(B2827,FIND("_",B2827,1)-1)="ULSPOOL"),LEFT(B2827,FIND("_",B2827,1)-1),VLOOKUP(LEFT(A2827,6),'Code Library'!$D$3:$E$200,2,0))&amp;"_"&amp;RIGHT(A2827,3)</f>
        <v>#VALUE!</v>
      </c>
      <c r="I2827" s="66">
        <f t="shared" si="44"/>
        <v>0</v>
      </c>
    </row>
    <row r="2828" spans="8:9">
      <c r="H2828" s="66" t="e">
        <f>IF(OR(LEFT(B2828,FIND("_",B2828,1)-1)="ULGALLOC",LEFT(B2828,FIND("_",B2828,1)-1)="ULSPOOL"),LEFT(B2828,FIND("_",B2828,1)-1),VLOOKUP(LEFT(A2828,6),'Code Library'!$D$3:$E$200,2,0))&amp;"_"&amp;RIGHT(A2828,3)</f>
        <v>#VALUE!</v>
      </c>
      <c r="I2828" s="66">
        <f t="shared" si="44"/>
        <v>0</v>
      </c>
    </row>
    <row r="2829" spans="8:9">
      <c r="H2829" s="66" t="e">
        <f>IF(OR(LEFT(B2829,FIND("_",B2829,1)-1)="ULGALLOC",LEFT(B2829,FIND("_",B2829,1)-1)="ULSPOOL"),LEFT(B2829,FIND("_",B2829,1)-1),VLOOKUP(LEFT(A2829,6),'Code Library'!$D$3:$E$200,2,0))&amp;"_"&amp;RIGHT(A2829,3)</f>
        <v>#VALUE!</v>
      </c>
      <c r="I2829" s="66">
        <f t="shared" si="44"/>
        <v>0</v>
      </c>
    </row>
    <row r="2830" spans="8:9">
      <c r="H2830" s="66" t="e">
        <f>IF(OR(LEFT(B2830,FIND("_",B2830,1)-1)="ULGALLOC",LEFT(B2830,FIND("_",B2830,1)-1)="ULSPOOL"),LEFT(B2830,FIND("_",B2830,1)-1),VLOOKUP(LEFT(A2830,6),'Code Library'!$D$3:$E$200,2,0))&amp;"_"&amp;RIGHT(A2830,3)</f>
        <v>#VALUE!</v>
      </c>
      <c r="I2830" s="66">
        <f t="shared" si="44"/>
        <v>0</v>
      </c>
    </row>
    <row r="2831" spans="8:9">
      <c r="H2831" s="66" t="e">
        <f>IF(OR(LEFT(B2831,FIND("_",B2831,1)-1)="ULGALLOC",LEFT(B2831,FIND("_",B2831,1)-1)="ULSPOOL"),LEFT(B2831,FIND("_",B2831,1)-1),VLOOKUP(LEFT(A2831,6),'Code Library'!$D$3:$E$200,2,0))&amp;"_"&amp;RIGHT(A2831,3)</f>
        <v>#VALUE!</v>
      </c>
      <c r="I2831" s="66">
        <f t="shared" si="44"/>
        <v>0</v>
      </c>
    </row>
    <row r="2832" spans="8:9">
      <c r="H2832" s="66" t="e">
        <f>IF(OR(LEFT(B2832,FIND("_",B2832,1)-1)="ULGALLOC",LEFT(B2832,FIND("_",B2832,1)-1)="ULSPOOL"),LEFT(B2832,FIND("_",B2832,1)-1),VLOOKUP(LEFT(A2832,6),'Code Library'!$D$3:$E$200,2,0))&amp;"_"&amp;RIGHT(A2832,3)</f>
        <v>#VALUE!</v>
      </c>
      <c r="I2832" s="66">
        <f t="shared" si="44"/>
        <v>0</v>
      </c>
    </row>
    <row r="2833" spans="8:9">
      <c r="H2833" s="66" t="e">
        <f>IF(OR(LEFT(B2833,FIND("_",B2833,1)-1)="ULGALLOC",LEFT(B2833,FIND("_",B2833,1)-1)="ULSPOOL"),LEFT(B2833,FIND("_",B2833,1)-1),VLOOKUP(LEFT(A2833,6),'Code Library'!$D$3:$E$200,2,0))&amp;"_"&amp;RIGHT(A2833,3)</f>
        <v>#VALUE!</v>
      </c>
      <c r="I2833" s="66">
        <f t="shared" si="44"/>
        <v>0</v>
      </c>
    </row>
    <row r="2834" spans="8:9">
      <c r="H2834" s="66" t="e">
        <f>IF(OR(LEFT(B2834,FIND("_",B2834,1)-1)="ULGALLOC",LEFT(B2834,FIND("_",B2834,1)-1)="ULSPOOL"),LEFT(B2834,FIND("_",B2834,1)-1),VLOOKUP(LEFT(A2834,6),'Code Library'!$D$3:$E$200,2,0))&amp;"_"&amp;RIGHT(A2834,3)</f>
        <v>#VALUE!</v>
      </c>
      <c r="I2834" s="66">
        <f t="shared" si="44"/>
        <v>0</v>
      </c>
    </row>
    <row r="2835" spans="8:9">
      <c r="H2835" s="66" t="e">
        <f>IF(OR(LEFT(B2835,FIND("_",B2835,1)-1)="ULGALLOC",LEFT(B2835,FIND("_",B2835,1)-1)="ULSPOOL"),LEFT(B2835,FIND("_",B2835,1)-1),VLOOKUP(LEFT(A2835,6),'Code Library'!$D$3:$E$200,2,0))&amp;"_"&amp;RIGHT(A2835,3)</f>
        <v>#VALUE!</v>
      </c>
      <c r="I2835" s="66">
        <f t="shared" si="44"/>
        <v>0</v>
      </c>
    </row>
    <row r="2836" spans="8:9">
      <c r="H2836" s="66" t="e">
        <f>IF(OR(LEFT(B2836,FIND("_",B2836,1)-1)="ULGALLOC",LEFT(B2836,FIND("_",B2836,1)-1)="ULSPOOL"),LEFT(B2836,FIND("_",B2836,1)-1),VLOOKUP(LEFT(A2836,6),'Code Library'!$D$3:$E$200,2,0))&amp;"_"&amp;RIGHT(A2836,3)</f>
        <v>#VALUE!</v>
      </c>
      <c r="I2836" s="66">
        <f t="shared" si="44"/>
        <v>0</v>
      </c>
    </row>
    <row r="2837" spans="8:9">
      <c r="H2837" s="66" t="e">
        <f>IF(OR(LEFT(B2837,FIND("_",B2837,1)-1)="ULGALLOC",LEFT(B2837,FIND("_",B2837,1)-1)="ULSPOOL"),LEFT(B2837,FIND("_",B2837,1)-1),VLOOKUP(LEFT(A2837,6),'Code Library'!$D$3:$E$200,2,0))&amp;"_"&amp;RIGHT(A2837,3)</f>
        <v>#VALUE!</v>
      </c>
      <c r="I2837" s="66">
        <f t="shared" si="44"/>
        <v>0</v>
      </c>
    </row>
    <row r="2838" spans="8:9">
      <c r="H2838" s="66" t="e">
        <f>IF(OR(LEFT(B2838,FIND("_",B2838,1)-1)="ULGALLOC",LEFT(B2838,FIND("_",B2838,1)-1)="ULSPOOL"),LEFT(B2838,FIND("_",B2838,1)-1),VLOOKUP(LEFT(A2838,6),'Code Library'!$D$3:$E$200,2,0))&amp;"_"&amp;RIGHT(A2838,3)</f>
        <v>#VALUE!</v>
      </c>
      <c r="I2838" s="66">
        <f t="shared" si="44"/>
        <v>0</v>
      </c>
    </row>
    <row r="2839" spans="8:9">
      <c r="H2839" s="66" t="e">
        <f>IF(OR(LEFT(B2839,FIND("_",B2839,1)-1)="ULGALLOC",LEFT(B2839,FIND("_",B2839,1)-1)="ULSPOOL"),LEFT(B2839,FIND("_",B2839,1)-1),VLOOKUP(LEFT(A2839,6),'Code Library'!$D$3:$E$200,2,0))&amp;"_"&amp;RIGHT(A2839,3)</f>
        <v>#VALUE!</v>
      </c>
      <c r="I2839" s="66">
        <f t="shared" si="44"/>
        <v>0</v>
      </c>
    </row>
    <row r="2840" spans="8:9">
      <c r="H2840" s="66" t="e">
        <f>IF(OR(LEFT(B2840,FIND("_",B2840,1)-1)="ULGALLOC",LEFT(B2840,FIND("_",B2840,1)-1)="ULSPOOL"),LEFT(B2840,FIND("_",B2840,1)-1),VLOOKUP(LEFT(A2840,6),'Code Library'!$D$3:$E$200,2,0))&amp;"_"&amp;RIGHT(A2840,3)</f>
        <v>#VALUE!</v>
      </c>
      <c r="I2840" s="66">
        <f t="shared" si="44"/>
        <v>0</v>
      </c>
    </row>
    <row r="2841" spans="8:9">
      <c r="H2841" s="66" t="e">
        <f>IF(OR(LEFT(B2841,FIND("_",B2841,1)-1)="ULGALLOC",LEFT(B2841,FIND("_",B2841,1)-1)="ULSPOOL"),LEFT(B2841,FIND("_",B2841,1)-1),VLOOKUP(LEFT(A2841,6),'Code Library'!$D$3:$E$200,2,0))&amp;"_"&amp;RIGHT(A2841,3)</f>
        <v>#VALUE!</v>
      </c>
      <c r="I2841" s="66">
        <f t="shared" si="44"/>
        <v>0</v>
      </c>
    </row>
    <row r="2842" spans="8:9">
      <c r="H2842" s="66" t="e">
        <f>IF(OR(LEFT(B2842,FIND("_",B2842,1)-1)="ULGALLOC",LEFT(B2842,FIND("_",B2842,1)-1)="ULSPOOL"),LEFT(B2842,FIND("_",B2842,1)-1),VLOOKUP(LEFT(A2842,6),'Code Library'!$D$3:$E$200,2,0))&amp;"_"&amp;RIGHT(A2842,3)</f>
        <v>#VALUE!</v>
      </c>
      <c r="I2842" s="66">
        <f t="shared" si="44"/>
        <v>0</v>
      </c>
    </row>
    <row r="2843" spans="8:9">
      <c r="H2843" s="66" t="e">
        <f>IF(OR(LEFT(B2843,FIND("_",B2843,1)-1)="ULGALLOC",LEFT(B2843,FIND("_",B2843,1)-1)="ULSPOOL"),LEFT(B2843,FIND("_",B2843,1)-1),VLOOKUP(LEFT(A2843,6),'Code Library'!$D$3:$E$200,2,0))&amp;"_"&amp;RIGHT(A2843,3)</f>
        <v>#VALUE!</v>
      </c>
      <c r="I2843" s="66">
        <f t="shared" si="44"/>
        <v>0</v>
      </c>
    </row>
    <row r="2844" spans="8:9">
      <c r="H2844" s="66" t="e">
        <f>IF(OR(LEFT(B2844,FIND("_",B2844,1)-1)="ULGALLOC",LEFT(B2844,FIND("_",B2844,1)-1)="ULSPOOL"),LEFT(B2844,FIND("_",B2844,1)-1),VLOOKUP(LEFT(A2844,6),'Code Library'!$D$3:$E$200,2,0))&amp;"_"&amp;RIGHT(A2844,3)</f>
        <v>#VALUE!</v>
      </c>
      <c r="I2844" s="66">
        <f t="shared" si="44"/>
        <v>0</v>
      </c>
    </row>
    <row r="2845" spans="8:9">
      <c r="H2845" s="66" t="e">
        <f>IF(OR(LEFT(B2845,FIND("_",B2845,1)-1)="ULGALLOC",LEFT(B2845,FIND("_",B2845,1)-1)="ULSPOOL"),LEFT(B2845,FIND("_",B2845,1)-1),VLOOKUP(LEFT(A2845,6),'Code Library'!$D$3:$E$200,2,0))&amp;"_"&amp;RIGHT(A2845,3)</f>
        <v>#VALUE!</v>
      </c>
      <c r="I2845" s="66">
        <f t="shared" si="44"/>
        <v>0</v>
      </c>
    </row>
    <row r="2846" spans="8:9">
      <c r="H2846" s="66" t="e">
        <f>IF(OR(LEFT(B2846,FIND("_",B2846,1)-1)="ULGALLOC",LEFT(B2846,FIND("_",B2846,1)-1)="ULSPOOL"),LEFT(B2846,FIND("_",B2846,1)-1),VLOOKUP(LEFT(A2846,6),'Code Library'!$D$3:$E$200,2,0))&amp;"_"&amp;RIGHT(A2846,3)</f>
        <v>#VALUE!</v>
      </c>
      <c r="I2846" s="66">
        <f t="shared" si="44"/>
        <v>0</v>
      </c>
    </row>
    <row r="2847" spans="8:9">
      <c r="H2847" s="66" t="e">
        <f>IF(OR(LEFT(B2847,FIND("_",B2847,1)-1)="ULGALLOC",LEFT(B2847,FIND("_",B2847,1)-1)="ULSPOOL"),LEFT(B2847,FIND("_",B2847,1)-1),VLOOKUP(LEFT(A2847,6),'Code Library'!$D$3:$E$200,2,0))&amp;"_"&amp;RIGHT(A2847,3)</f>
        <v>#VALUE!</v>
      </c>
      <c r="I2847" s="66">
        <f t="shared" si="44"/>
        <v>0</v>
      </c>
    </row>
    <row r="2848" spans="8:9">
      <c r="H2848" s="66" t="e">
        <f>IF(OR(LEFT(B2848,FIND("_",B2848,1)-1)="ULGALLOC",LEFT(B2848,FIND("_",B2848,1)-1)="ULSPOOL"),LEFT(B2848,FIND("_",B2848,1)-1),VLOOKUP(LEFT(A2848,6),'Code Library'!$D$3:$E$200,2,0))&amp;"_"&amp;RIGHT(A2848,3)</f>
        <v>#VALUE!</v>
      </c>
      <c r="I2848" s="66">
        <f t="shared" si="44"/>
        <v>0</v>
      </c>
    </row>
    <row r="2849" spans="8:9">
      <c r="H2849" s="66" t="e">
        <f>IF(OR(LEFT(B2849,FIND("_",B2849,1)-1)="ULGALLOC",LEFT(B2849,FIND("_",B2849,1)-1)="ULSPOOL"),LEFT(B2849,FIND("_",B2849,1)-1),VLOOKUP(LEFT(A2849,6),'Code Library'!$D$3:$E$200,2,0))&amp;"_"&amp;RIGHT(A2849,3)</f>
        <v>#VALUE!</v>
      </c>
      <c r="I2849" s="66">
        <f t="shared" si="44"/>
        <v>0</v>
      </c>
    </row>
    <row r="2850" spans="8:9">
      <c r="H2850" s="66" t="e">
        <f>IF(OR(LEFT(B2850,FIND("_",B2850,1)-1)="ULGALLOC",LEFT(B2850,FIND("_",B2850,1)-1)="ULSPOOL"),LEFT(B2850,FIND("_",B2850,1)-1),VLOOKUP(LEFT(A2850,6),'Code Library'!$D$3:$E$200,2,0))&amp;"_"&amp;RIGHT(A2850,3)</f>
        <v>#VALUE!</v>
      </c>
      <c r="I2850" s="66">
        <f t="shared" si="44"/>
        <v>0</v>
      </c>
    </row>
    <row r="2851" spans="8:9">
      <c r="H2851" s="66" t="e">
        <f>IF(OR(LEFT(B2851,FIND("_",B2851,1)-1)="ULGALLOC",LEFT(B2851,FIND("_",B2851,1)-1)="ULSPOOL"),LEFT(B2851,FIND("_",B2851,1)-1),VLOOKUP(LEFT(A2851,6),'Code Library'!$D$3:$E$200,2,0))&amp;"_"&amp;RIGHT(A2851,3)</f>
        <v>#VALUE!</v>
      </c>
      <c r="I2851" s="66">
        <f t="shared" si="44"/>
        <v>0</v>
      </c>
    </row>
    <row r="2852" spans="8:9">
      <c r="H2852" s="66" t="e">
        <f>IF(OR(LEFT(B2852,FIND("_",B2852,1)-1)="ULGALLOC",LEFT(B2852,FIND("_",B2852,1)-1)="ULSPOOL"),LEFT(B2852,FIND("_",B2852,1)-1),VLOOKUP(LEFT(A2852,6),'Code Library'!$D$3:$E$200,2,0))&amp;"_"&amp;RIGHT(A2852,3)</f>
        <v>#VALUE!</v>
      </c>
      <c r="I2852" s="66">
        <f t="shared" si="44"/>
        <v>0</v>
      </c>
    </row>
    <row r="2853" spans="8:9">
      <c r="H2853" s="66" t="e">
        <f>IF(OR(LEFT(B2853,FIND("_",B2853,1)-1)="ULGALLOC",LEFT(B2853,FIND("_",B2853,1)-1)="ULSPOOL"),LEFT(B2853,FIND("_",B2853,1)-1),VLOOKUP(LEFT(A2853,6),'Code Library'!$D$3:$E$200,2,0))&amp;"_"&amp;RIGHT(A2853,3)</f>
        <v>#VALUE!</v>
      </c>
      <c r="I2853" s="66">
        <f t="shared" si="44"/>
        <v>0</v>
      </c>
    </row>
    <row r="2854" spans="8:9">
      <c r="H2854" s="66" t="e">
        <f>IF(OR(LEFT(B2854,FIND("_",B2854,1)-1)="ULGALLOC",LEFT(B2854,FIND("_",B2854,1)-1)="ULSPOOL"),LEFT(B2854,FIND("_",B2854,1)-1),VLOOKUP(LEFT(A2854,6),'Code Library'!$D$3:$E$200,2,0))&amp;"_"&amp;RIGHT(A2854,3)</f>
        <v>#VALUE!</v>
      </c>
      <c r="I2854" s="66">
        <f t="shared" si="44"/>
        <v>0</v>
      </c>
    </row>
    <row r="2855" spans="8:9">
      <c r="H2855" s="66" t="e">
        <f>IF(OR(LEFT(B2855,FIND("_",B2855,1)-1)="ULGALLOC",LEFT(B2855,FIND("_",B2855,1)-1)="ULSPOOL"),LEFT(B2855,FIND("_",B2855,1)-1),VLOOKUP(LEFT(A2855,6),'Code Library'!$D$3:$E$200,2,0))&amp;"_"&amp;RIGHT(A2855,3)</f>
        <v>#VALUE!</v>
      </c>
      <c r="I2855" s="66">
        <f t="shared" si="44"/>
        <v>0</v>
      </c>
    </row>
    <row r="2856" spans="8:9">
      <c r="H2856" s="66" t="e">
        <f>IF(OR(LEFT(B2856,FIND("_",B2856,1)-1)="ULGALLOC",LEFT(B2856,FIND("_",B2856,1)-1)="ULSPOOL"),LEFT(B2856,FIND("_",B2856,1)-1),VLOOKUP(LEFT(A2856,6),'Code Library'!$D$3:$E$200,2,0))&amp;"_"&amp;RIGHT(A2856,3)</f>
        <v>#VALUE!</v>
      </c>
      <c r="I2856" s="66">
        <f t="shared" si="44"/>
        <v>0</v>
      </c>
    </row>
    <row r="2857" spans="8:9">
      <c r="H2857" s="66" t="e">
        <f>IF(OR(LEFT(B2857,FIND("_",B2857,1)-1)="ULGALLOC",LEFT(B2857,FIND("_",B2857,1)-1)="ULSPOOL"),LEFT(B2857,FIND("_",B2857,1)-1),VLOOKUP(LEFT(A2857,6),'Code Library'!$D$3:$E$200,2,0))&amp;"_"&amp;RIGHT(A2857,3)</f>
        <v>#VALUE!</v>
      </c>
      <c r="I2857" s="66">
        <f t="shared" si="44"/>
        <v>0</v>
      </c>
    </row>
    <row r="2858" spans="8:9">
      <c r="H2858" s="66" t="e">
        <f>IF(OR(LEFT(B2858,FIND("_",B2858,1)-1)="ULGALLOC",LEFT(B2858,FIND("_",B2858,1)-1)="ULSPOOL"),LEFT(B2858,FIND("_",B2858,1)-1),VLOOKUP(LEFT(A2858,6),'Code Library'!$D$3:$E$200,2,0))&amp;"_"&amp;RIGHT(A2858,3)</f>
        <v>#VALUE!</v>
      </c>
      <c r="I2858" s="66">
        <f t="shared" si="44"/>
        <v>0</v>
      </c>
    </row>
    <row r="2859" spans="8:9">
      <c r="H2859" s="66" t="e">
        <f>IF(OR(LEFT(B2859,FIND("_",B2859,1)-1)="ULGALLOC",LEFT(B2859,FIND("_",B2859,1)-1)="ULSPOOL"),LEFT(B2859,FIND("_",B2859,1)-1),VLOOKUP(LEFT(A2859,6),'Code Library'!$D$3:$E$200,2,0))&amp;"_"&amp;RIGHT(A2859,3)</f>
        <v>#VALUE!</v>
      </c>
      <c r="I2859" s="66">
        <f t="shared" si="44"/>
        <v>0</v>
      </c>
    </row>
    <row r="2860" spans="8:9">
      <c r="H2860" s="66" t="e">
        <f>IF(OR(LEFT(B2860,FIND("_",B2860,1)-1)="ULGALLOC",LEFT(B2860,FIND("_",B2860,1)-1)="ULSPOOL"),LEFT(B2860,FIND("_",B2860,1)-1),VLOOKUP(LEFT(A2860,6),'Code Library'!$D$3:$E$200,2,0))&amp;"_"&amp;RIGHT(A2860,3)</f>
        <v>#VALUE!</v>
      </c>
      <c r="I2860" s="66">
        <f t="shared" si="44"/>
        <v>0</v>
      </c>
    </row>
    <row r="2861" spans="8:9">
      <c r="H2861" s="66" t="e">
        <f>IF(OR(LEFT(B2861,FIND("_",B2861,1)-1)="ULGALLOC",LEFT(B2861,FIND("_",B2861,1)-1)="ULSPOOL"),LEFT(B2861,FIND("_",B2861,1)-1),VLOOKUP(LEFT(A2861,6),'Code Library'!$D$3:$E$200,2,0))&amp;"_"&amp;RIGHT(A2861,3)</f>
        <v>#VALUE!</v>
      </c>
      <c r="I2861" s="66">
        <f t="shared" si="44"/>
        <v>0</v>
      </c>
    </row>
    <row r="2862" spans="8:9">
      <c r="H2862" s="66" t="e">
        <f>IF(OR(LEFT(B2862,FIND("_",B2862,1)-1)="ULGALLOC",LEFT(B2862,FIND("_",B2862,1)-1)="ULSPOOL"),LEFT(B2862,FIND("_",B2862,1)-1),VLOOKUP(LEFT(A2862,6),'Code Library'!$D$3:$E$200,2,0))&amp;"_"&amp;RIGHT(A2862,3)</f>
        <v>#VALUE!</v>
      </c>
      <c r="I2862" s="66">
        <f t="shared" si="44"/>
        <v>0</v>
      </c>
    </row>
    <row r="2863" spans="8:9">
      <c r="H2863" s="66" t="e">
        <f>IF(OR(LEFT(B2863,FIND("_",B2863,1)-1)="ULGALLOC",LEFT(B2863,FIND("_",B2863,1)-1)="ULSPOOL"),LEFT(B2863,FIND("_",B2863,1)-1),VLOOKUP(LEFT(A2863,6),'Code Library'!$D$3:$E$200,2,0))&amp;"_"&amp;RIGHT(A2863,3)</f>
        <v>#VALUE!</v>
      </c>
      <c r="I2863" s="66">
        <f t="shared" si="44"/>
        <v>0</v>
      </c>
    </row>
    <row r="2864" spans="8:9">
      <c r="H2864" s="66" t="e">
        <f>IF(OR(LEFT(B2864,FIND("_",B2864,1)-1)="ULGALLOC",LEFT(B2864,FIND("_",B2864,1)-1)="ULSPOOL"),LEFT(B2864,FIND("_",B2864,1)-1),VLOOKUP(LEFT(A2864,6),'Code Library'!$D$3:$E$200,2,0))&amp;"_"&amp;RIGHT(A2864,3)</f>
        <v>#VALUE!</v>
      </c>
      <c r="I2864" s="66">
        <f t="shared" si="44"/>
        <v>0</v>
      </c>
    </row>
    <row r="2865" spans="8:9">
      <c r="H2865" s="66" t="e">
        <f>IF(OR(LEFT(B2865,FIND("_",B2865,1)-1)="ULGALLOC",LEFT(B2865,FIND("_",B2865,1)-1)="ULSPOOL"),LEFT(B2865,FIND("_",B2865,1)-1),VLOOKUP(LEFT(A2865,6),'Code Library'!$D$3:$E$200,2,0))&amp;"_"&amp;RIGHT(A2865,3)</f>
        <v>#VALUE!</v>
      </c>
      <c r="I2865" s="66">
        <f t="shared" si="44"/>
        <v>0</v>
      </c>
    </row>
    <row r="2866" spans="8:9">
      <c r="H2866" s="66" t="e">
        <f>IF(OR(LEFT(B2866,FIND("_",B2866,1)-1)="ULGALLOC",LEFT(B2866,FIND("_",B2866,1)-1)="ULSPOOL"),LEFT(B2866,FIND("_",B2866,1)-1),VLOOKUP(LEFT(A2866,6),'Code Library'!$D$3:$E$200,2,0))&amp;"_"&amp;RIGHT(A2866,3)</f>
        <v>#VALUE!</v>
      </c>
      <c r="I2866" s="66">
        <f t="shared" si="44"/>
        <v>0</v>
      </c>
    </row>
    <row r="2867" spans="8:9">
      <c r="H2867" s="66" t="e">
        <f>IF(OR(LEFT(B2867,FIND("_",B2867,1)-1)="ULGALLOC",LEFT(B2867,FIND("_",B2867,1)-1)="ULSPOOL"),LEFT(B2867,FIND("_",B2867,1)-1),VLOOKUP(LEFT(A2867,6),'Code Library'!$D$3:$E$200,2,0))&amp;"_"&amp;RIGHT(A2867,3)</f>
        <v>#VALUE!</v>
      </c>
      <c r="I2867" s="66">
        <f t="shared" si="44"/>
        <v>0</v>
      </c>
    </row>
    <row r="2868" spans="8:9">
      <c r="H2868" s="66" t="e">
        <f>IF(OR(LEFT(B2868,FIND("_",B2868,1)-1)="ULGALLOC",LEFT(B2868,FIND("_",B2868,1)-1)="ULSPOOL"),LEFT(B2868,FIND("_",B2868,1)-1),VLOOKUP(LEFT(A2868,6),'Code Library'!$D$3:$E$200,2,0))&amp;"_"&amp;RIGHT(A2868,3)</f>
        <v>#VALUE!</v>
      </c>
      <c r="I2868" s="66">
        <f t="shared" si="44"/>
        <v>0</v>
      </c>
    </row>
    <row r="2869" spans="8:9">
      <c r="H2869" s="66" t="e">
        <f>IF(OR(LEFT(B2869,FIND("_",B2869,1)-1)="ULGALLOC",LEFT(B2869,FIND("_",B2869,1)-1)="ULSPOOL"),LEFT(B2869,FIND("_",B2869,1)-1),VLOOKUP(LEFT(A2869,6),'Code Library'!$D$3:$E$200,2,0))&amp;"_"&amp;RIGHT(A2869,3)</f>
        <v>#VALUE!</v>
      </c>
      <c r="I2869" s="66">
        <f t="shared" si="44"/>
        <v>0</v>
      </c>
    </row>
    <row r="2870" spans="8:9">
      <c r="H2870" s="66" t="e">
        <f>IF(OR(LEFT(B2870,FIND("_",B2870,1)-1)="ULGALLOC",LEFT(B2870,FIND("_",B2870,1)-1)="ULSPOOL"),LEFT(B2870,FIND("_",B2870,1)-1),VLOOKUP(LEFT(A2870,6),'Code Library'!$D$3:$E$200,2,0))&amp;"_"&amp;RIGHT(A2870,3)</f>
        <v>#VALUE!</v>
      </c>
      <c r="I2870" s="66">
        <f t="shared" si="44"/>
        <v>0</v>
      </c>
    </row>
    <row r="2871" spans="8:9">
      <c r="H2871" s="66" t="e">
        <f>IF(OR(LEFT(B2871,FIND("_",B2871,1)-1)="ULGALLOC",LEFT(B2871,FIND("_",B2871,1)-1)="ULSPOOL"),LEFT(B2871,FIND("_",B2871,1)-1),VLOOKUP(LEFT(A2871,6),'Code Library'!$D$3:$E$200,2,0))&amp;"_"&amp;RIGHT(A2871,3)</f>
        <v>#VALUE!</v>
      </c>
      <c r="I2871" s="66">
        <f t="shared" si="44"/>
        <v>0</v>
      </c>
    </row>
    <row r="2872" spans="8:9">
      <c r="H2872" s="66" t="e">
        <f>IF(OR(LEFT(B2872,FIND("_",B2872,1)-1)="ULGALLOC",LEFT(B2872,FIND("_",B2872,1)-1)="ULSPOOL"),LEFT(B2872,FIND("_",B2872,1)-1),VLOOKUP(LEFT(A2872,6),'Code Library'!$D$3:$E$200,2,0))&amp;"_"&amp;RIGHT(A2872,3)</f>
        <v>#VALUE!</v>
      </c>
      <c r="I2872" s="66">
        <f t="shared" si="44"/>
        <v>0</v>
      </c>
    </row>
    <row r="2873" spans="8:9">
      <c r="H2873" s="66" t="e">
        <f>IF(OR(LEFT(B2873,FIND("_",B2873,1)-1)="ULGALLOC",LEFT(B2873,FIND("_",B2873,1)-1)="ULSPOOL"),LEFT(B2873,FIND("_",B2873,1)-1),VLOOKUP(LEFT(A2873,6),'Code Library'!$D$3:$E$200,2,0))&amp;"_"&amp;RIGHT(A2873,3)</f>
        <v>#VALUE!</v>
      </c>
      <c r="I2873" s="66">
        <f t="shared" si="44"/>
        <v>0</v>
      </c>
    </row>
    <row r="2874" spans="8:9">
      <c r="H2874" s="66" t="e">
        <f>IF(OR(LEFT(B2874,FIND("_",B2874,1)-1)="ULGALLOC",LEFT(B2874,FIND("_",B2874,1)-1)="ULSPOOL"),LEFT(B2874,FIND("_",B2874,1)-1),VLOOKUP(LEFT(A2874,6),'Code Library'!$D$3:$E$200,2,0))&amp;"_"&amp;RIGHT(A2874,3)</f>
        <v>#VALUE!</v>
      </c>
      <c r="I2874" s="66">
        <f t="shared" si="44"/>
        <v>0</v>
      </c>
    </row>
    <row r="2875" spans="8:9">
      <c r="H2875" s="66" t="e">
        <f>IF(OR(LEFT(B2875,FIND("_",B2875,1)-1)="ULGALLOC",LEFT(B2875,FIND("_",B2875,1)-1)="ULSPOOL"),LEFT(B2875,FIND("_",B2875,1)-1),VLOOKUP(LEFT(A2875,6),'Code Library'!$D$3:$E$200,2,0))&amp;"_"&amp;RIGHT(A2875,3)</f>
        <v>#VALUE!</v>
      </c>
      <c r="I2875" s="66">
        <f t="shared" si="44"/>
        <v>0</v>
      </c>
    </row>
    <row r="2876" spans="8:9">
      <c r="H2876" s="66" t="e">
        <f>IF(OR(LEFT(B2876,FIND("_",B2876,1)-1)="ULGALLOC",LEFT(B2876,FIND("_",B2876,1)-1)="ULSPOOL"),LEFT(B2876,FIND("_",B2876,1)-1),VLOOKUP(LEFT(A2876,6),'Code Library'!$D$3:$E$200,2,0))&amp;"_"&amp;RIGHT(A2876,3)</f>
        <v>#VALUE!</v>
      </c>
      <c r="I2876" s="66">
        <f t="shared" si="44"/>
        <v>0</v>
      </c>
    </row>
    <row r="2877" spans="8:9">
      <c r="H2877" s="66" t="e">
        <f>IF(OR(LEFT(B2877,FIND("_",B2877,1)-1)="ULGALLOC",LEFT(B2877,FIND("_",B2877,1)-1)="ULSPOOL"),LEFT(B2877,FIND("_",B2877,1)-1),VLOOKUP(LEFT(A2877,6),'Code Library'!$D$3:$E$200,2,0))&amp;"_"&amp;RIGHT(A2877,3)</f>
        <v>#VALUE!</v>
      </c>
      <c r="I2877" s="66">
        <f t="shared" si="44"/>
        <v>0</v>
      </c>
    </row>
    <row r="2878" spans="8:9">
      <c r="H2878" s="66" t="e">
        <f>IF(OR(LEFT(B2878,FIND("_",B2878,1)-1)="ULGALLOC",LEFT(B2878,FIND("_",B2878,1)-1)="ULSPOOL"),LEFT(B2878,FIND("_",B2878,1)-1),VLOOKUP(LEFT(A2878,6),'Code Library'!$D$3:$E$200,2,0))&amp;"_"&amp;RIGHT(A2878,3)</f>
        <v>#VALUE!</v>
      </c>
      <c r="I2878" s="66">
        <f t="shared" si="44"/>
        <v>0</v>
      </c>
    </row>
    <row r="2879" spans="8:9">
      <c r="H2879" s="66" t="e">
        <f>IF(OR(LEFT(B2879,FIND("_",B2879,1)-1)="ULGALLOC",LEFT(B2879,FIND("_",B2879,1)-1)="ULSPOOL"),LEFT(B2879,FIND("_",B2879,1)-1),VLOOKUP(LEFT(A2879,6),'Code Library'!$D$3:$E$200,2,0))&amp;"_"&amp;RIGHT(A2879,3)</f>
        <v>#VALUE!</v>
      </c>
      <c r="I2879" s="66">
        <f t="shared" si="44"/>
        <v>0</v>
      </c>
    </row>
    <row r="2880" spans="8:9">
      <c r="H2880" s="66" t="e">
        <f>IF(OR(LEFT(B2880,FIND("_",B2880,1)-1)="ULGALLOC",LEFT(B2880,FIND("_",B2880,1)-1)="ULSPOOL"),LEFT(B2880,FIND("_",B2880,1)-1),VLOOKUP(LEFT(A2880,6),'Code Library'!$D$3:$E$200,2,0))&amp;"_"&amp;RIGHT(A2880,3)</f>
        <v>#VALUE!</v>
      </c>
      <c r="I2880" s="66">
        <f t="shared" si="44"/>
        <v>0</v>
      </c>
    </row>
    <row r="2881" spans="8:9">
      <c r="H2881" s="66" t="e">
        <f>IF(OR(LEFT(B2881,FIND("_",B2881,1)-1)="ULGALLOC",LEFT(B2881,FIND("_",B2881,1)-1)="ULSPOOL"),LEFT(B2881,FIND("_",B2881,1)-1),VLOOKUP(LEFT(A2881,6),'Code Library'!$D$3:$E$200,2,0))&amp;"_"&amp;RIGHT(A2881,3)</f>
        <v>#VALUE!</v>
      </c>
      <c r="I2881" s="66">
        <f t="shared" si="44"/>
        <v>0</v>
      </c>
    </row>
    <row r="2882" spans="8:9">
      <c r="H2882" s="66" t="e">
        <f>IF(OR(LEFT(B2882,FIND("_",B2882,1)-1)="ULGALLOC",LEFT(B2882,FIND("_",B2882,1)-1)="ULSPOOL"),LEFT(B2882,FIND("_",B2882,1)-1),VLOOKUP(LEFT(A2882,6),'Code Library'!$D$3:$E$200,2,0))&amp;"_"&amp;RIGHT(A2882,3)</f>
        <v>#VALUE!</v>
      </c>
      <c r="I2882" s="66">
        <f t="shared" si="44"/>
        <v>0</v>
      </c>
    </row>
    <row r="2883" spans="8:9">
      <c r="H2883" s="66" t="e">
        <f>IF(OR(LEFT(B2883,FIND("_",B2883,1)-1)="ULGALLOC",LEFT(B2883,FIND("_",B2883,1)-1)="ULSPOOL"),LEFT(B2883,FIND("_",B2883,1)-1),VLOOKUP(LEFT(A2883,6),'Code Library'!$D$3:$E$200,2,0))&amp;"_"&amp;RIGHT(A2883,3)</f>
        <v>#VALUE!</v>
      </c>
      <c r="I2883" s="66">
        <f t="shared" ref="I2883:I2946" si="45">A2883</f>
        <v>0</v>
      </c>
    </row>
    <row r="2884" spans="8:9">
      <c r="H2884" s="66" t="e">
        <f>IF(OR(LEFT(B2884,FIND("_",B2884,1)-1)="ULGALLOC",LEFT(B2884,FIND("_",B2884,1)-1)="ULSPOOL"),LEFT(B2884,FIND("_",B2884,1)-1),VLOOKUP(LEFT(A2884,6),'Code Library'!$D$3:$E$200,2,0))&amp;"_"&amp;RIGHT(A2884,3)</f>
        <v>#VALUE!</v>
      </c>
      <c r="I2884" s="66">
        <f t="shared" si="45"/>
        <v>0</v>
      </c>
    </row>
    <row r="2885" spans="8:9">
      <c r="H2885" s="66" t="e">
        <f>IF(OR(LEFT(B2885,FIND("_",B2885,1)-1)="ULGALLOC",LEFT(B2885,FIND("_",B2885,1)-1)="ULSPOOL"),LEFT(B2885,FIND("_",B2885,1)-1),VLOOKUP(LEFT(A2885,6),'Code Library'!$D$3:$E$200,2,0))&amp;"_"&amp;RIGHT(A2885,3)</f>
        <v>#VALUE!</v>
      </c>
      <c r="I2885" s="66">
        <f t="shared" si="45"/>
        <v>0</v>
      </c>
    </row>
    <row r="2886" spans="8:9">
      <c r="H2886" s="66" t="e">
        <f>IF(OR(LEFT(B2886,FIND("_",B2886,1)-1)="ULGALLOC",LEFT(B2886,FIND("_",B2886,1)-1)="ULSPOOL"),LEFT(B2886,FIND("_",B2886,1)-1),VLOOKUP(LEFT(A2886,6),'Code Library'!$D$3:$E$200,2,0))&amp;"_"&amp;RIGHT(A2886,3)</f>
        <v>#VALUE!</v>
      </c>
      <c r="I2886" s="66">
        <f t="shared" si="45"/>
        <v>0</v>
      </c>
    </row>
    <row r="2887" spans="8:9">
      <c r="H2887" s="66" t="e">
        <f>IF(OR(LEFT(B2887,FIND("_",B2887,1)-1)="ULGALLOC",LEFT(B2887,FIND("_",B2887,1)-1)="ULSPOOL"),LEFT(B2887,FIND("_",B2887,1)-1),VLOOKUP(LEFT(A2887,6),'Code Library'!$D$3:$E$200,2,0))&amp;"_"&amp;RIGHT(A2887,3)</f>
        <v>#VALUE!</v>
      </c>
      <c r="I2887" s="66">
        <f t="shared" si="45"/>
        <v>0</v>
      </c>
    </row>
    <row r="2888" spans="8:9">
      <c r="H2888" s="66" t="e">
        <f>IF(OR(LEFT(B2888,FIND("_",B2888,1)-1)="ULGALLOC",LEFT(B2888,FIND("_",B2888,1)-1)="ULSPOOL"),LEFT(B2888,FIND("_",B2888,1)-1),VLOOKUP(LEFT(A2888,6),'Code Library'!$D$3:$E$200,2,0))&amp;"_"&amp;RIGHT(A2888,3)</f>
        <v>#VALUE!</v>
      </c>
      <c r="I2888" s="66">
        <f t="shared" si="45"/>
        <v>0</v>
      </c>
    </row>
    <row r="2889" spans="8:9">
      <c r="H2889" s="66" t="e">
        <f>IF(OR(LEFT(B2889,FIND("_",B2889,1)-1)="ULGALLOC",LEFT(B2889,FIND("_",B2889,1)-1)="ULSPOOL"),LEFT(B2889,FIND("_",B2889,1)-1),VLOOKUP(LEFT(A2889,6),'Code Library'!$D$3:$E$200,2,0))&amp;"_"&amp;RIGHT(A2889,3)</f>
        <v>#VALUE!</v>
      </c>
      <c r="I2889" s="66">
        <f t="shared" si="45"/>
        <v>0</v>
      </c>
    </row>
    <row r="2890" spans="8:9">
      <c r="H2890" s="66" t="e">
        <f>IF(OR(LEFT(B2890,FIND("_",B2890,1)-1)="ULGALLOC",LEFT(B2890,FIND("_",B2890,1)-1)="ULSPOOL"),LEFT(B2890,FIND("_",B2890,1)-1),VLOOKUP(LEFT(A2890,6),'Code Library'!$D$3:$E$200,2,0))&amp;"_"&amp;RIGHT(A2890,3)</f>
        <v>#VALUE!</v>
      </c>
      <c r="I2890" s="66">
        <f t="shared" si="45"/>
        <v>0</v>
      </c>
    </row>
    <row r="2891" spans="8:9">
      <c r="H2891" s="66" t="e">
        <f>IF(OR(LEFT(B2891,FIND("_",B2891,1)-1)="ULGALLOC",LEFT(B2891,FIND("_",B2891,1)-1)="ULSPOOL"),LEFT(B2891,FIND("_",B2891,1)-1),VLOOKUP(LEFT(A2891,6),'Code Library'!$D$3:$E$200,2,0))&amp;"_"&amp;RIGHT(A2891,3)</f>
        <v>#VALUE!</v>
      </c>
      <c r="I2891" s="66">
        <f t="shared" si="45"/>
        <v>0</v>
      </c>
    </row>
    <row r="2892" spans="8:9">
      <c r="H2892" s="66" t="e">
        <f>IF(OR(LEFT(B2892,FIND("_",B2892,1)-1)="ULGALLOC",LEFT(B2892,FIND("_",B2892,1)-1)="ULSPOOL"),LEFT(B2892,FIND("_",B2892,1)-1),VLOOKUP(LEFT(A2892,6),'Code Library'!$D$3:$E$200,2,0))&amp;"_"&amp;RIGHT(A2892,3)</f>
        <v>#VALUE!</v>
      </c>
      <c r="I2892" s="66">
        <f t="shared" si="45"/>
        <v>0</v>
      </c>
    </row>
    <row r="2893" spans="8:9">
      <c r="H2893" s="66" t="e">
        <f>IF(OR(LEFT(B2893,FIND("_",B2893,1)-1)="ULGALLOC",LEFT(B2893,FIND("_",B2893,1)-1)="ULSPOOL"),LEFT(B2893,FIND("_",B2893,1)-1),VLOOKUP(LEFT(A2893,6),'Code Library'!$D$3:$E$200,2,0))&amp;"_"&amp;RIGHT(A2893,3)</f>
        <v>#VALUE!</v>
      </c>
      <c r="I2893" s="66">
        <f t="shared" si="45"/>
        <v>0</v>
      </c>
    </row>
    <row r="2894" spans="8:9">
      <c r="H2894" s="66" t="e">
        <f>IF(OR(LEFT(B2894,FIND("_",B2894,1)-1)="ULGALLOC",LEFT(B2894,FIND("_",B2894,1)-1)="ULSPOOL"),LEFT(B2894,FIND("_",B2894,1)-1),VLOOKUP(LEFT(A2894,6),'Code Library'!$D$3:$E$200,2,0))&amp;"_"&amp;RIGHT(A2894,3)</f>
        <v>#VALUE!</v>
      </c>
      <c r="I2894" s="66">
        <f t="shared" si="45"/>
        <v>0</v>
      </c>
    </row>
    <row r="2895" spans="8:9">
      <c r="H2895" s="66" t="e">
        <f>IF(OR(LEFT(B2895,FIND("_",B2895,1)-1)="ULGALLOC",LEFT(B2895,FIND("_",B2895,1)-1)="ULSPOOL"),LEFT(B2895,FIND("_",B2895,1)-1),VLOOKUP(LEFT(A2895,6),'Code Library'!$D$3:$E$200,2,0))&amp;"_"&amp;RIGHT(A2895,3)</f>
        <v>#VALUE!</v>
      </c>
      <c r="I2895" s="66">
        <f t="shared" si="45"/>
        <v>0</v>
      </c>
    </row>
    <row r="2896" spans="8:9">
      <c r="H2896" s="66" t="e">
        <f>IF(OR(LEFT(B2896,FIND("_",B2896,1)-1)="ULGALLOC",LEFT(B2896,FIND("_",B2896,1)-1)="ULSPOOL"),LEFT(B2896,FIND("_",B2896,1)-1),VLOOKUP(LEFT(A2896,6),'Code Library'!$D$3:$E$200,2,0))&amp;"_"&amp;RIGHT(A2896,3)</f>
        <v>#VALUE!</v>
      </c>
      <c r="I2896" s="66">
        <f t="shared" si="45"/>
        <v>0</v>
      </c>
    </row>
    <row r="2897" spans="8:9">
      <c r="H2897" s="66" t="e">
        <f>IF(OR(LEFT(B2897,FIND("_",B2897,1)-1)="ULGALLOC",LEFT(B2897,FIND("_",B2897,1)-1)="ULSPOOL"),LEFT(B2897,FIND("_",B2897,1)-1),VLOOKUP(LEFT(A2897,6),'Code Library'!$D$3:$E$200,2,0))&amp;"_"&amp;RIGHT(A2897,3)</f>
        <v>#VALUE!</v>
      </c>
      <c r="I2897" s="66">
        <f t="shared" si="45"/>
        <v>0</v>
      </c>
    </row>
    <row r="2898" spans="8:9">
      <c r="H2898" s="66" t="e">
        <f>IF(OR(LEFT(B2898,FIND("_",B2898,1)-1)="ULGALLOC",LEFT(B2898,FIND("_",B2898,1)-1)="ULSPOOL"),LEFT(B2898,FIND("_",B2898,1)-1),VLOOKUP(LEFT(A2898,6),'Code Library'!$D$3:$E$200,2,0))&amp;"_"&amp;RIGHT(A2898,3)</f>
        <v>#VALUE!</v>
      </c>
      <c r="I2898" s="66">
        <f t="shared" si="45"/>
        <v>0</v>
      </c>
    </row>
    <row r="2899" spans="8:9">
      <c r="H2899" s="66" t="e">
        <f>IF(OR(LEFT(B2899,FIND("_",B2899,1)-1)="ULGALLOC",LEFT(B2899,FIND("_",B2899,1)-1)="ULSPOOL"),LEFT(B2899,FIND("_",B2899,1)-1),VLOOKUP(LEFT(A2899,6),'Code Library'!$D$3:$E$200,2,0))&amp;"_"&amp;RIGHT(A2899,3)</f>
        <v>#VALUE!</v>
      </c>
      <c r="I2899" s="66">
        <f t="shared" si="45"/>
        <v>0</v>
      </c>
    </row>
    <row r="2900" spans="8:9">
      <c r="H2900" s="66" t="e">
        <f>IF(OR(LEFT(B2900,FIND("_",B2900,1)-1)="ULGALLOC",LEFT(B2900,FIND("_",B2900,1)-1)="ULSPOOL"),LEFT(B2900,FIND("_",B2900,1)-1),VLOOKUP(LEFT(A2900,6),'Code Library'!$D$3:$E$200,2,0))&amp;"_"&amp;RIGHT(A2900,3)</f>
        <v>#VALUE!</v>
      </c>
      <c r="I2900" s="66">
        <f t="shared" si="45"/>
        <v>0</v>
      </c>
    </row>
    <row r="2901" spans="8:9">
      <c r="H2901" s="66" t="e">
        <f>IF(OR(LEFT(B2901,FIND("_",B2901,1)-1)="ULGALLOC",LEFT(B2901,FIND("_",B2901,1)-1)="ULSPOOL"),LEFT(B2901,FIND("_",B2901,1)-1),VLOOKUP(LEFT(A2901,6),'Code Library'!$D$3:$E$200,2,0))&amp;"_"&amp;RIGHT(A2901,3)</f>
        <v>#VALUE!</v>
      </c>
      <c r="I2901" s="66">
        <f t="shared" si="45"/>
        <v>0</v>
      </c>
    </row>
    <row r="2902" spans="8:9">
      <c r="H2902" s="66" t="e">
        <f>IF(OR(LEFT(B2902,FIND("_",B2902,1)-1)="ULGALLOC",LEFT(B2902,FIND("_",B2902,1)-1)="ULSPOOL"),LEFT(B2902,FIND("_",B2902,1)-1),VLOOKUP(LEFT(A2902,6),'Code Library'!$D$3:$E$200,2,0))&amp;"_"&amp;RIGHT(A2902,3)</f>
        <v>#VALUE!</v>
      </c>
      <c r="I2902" s="66">
        <f t="shared" si="45"/>
        <v>0</v>
      </c>
    </row>
    <row r="2903" spans="8:9">
      <c r="H2903" s="66" t="e">
        <f>IF(OR(LEFT(B2903,FIND("_",B2903,1)-1)="ULGALLOC",LEFT(B2903,FIND("_",B2903,1)-1)="ULSPOOL"),LEFT(B2903,FIND("_",B2903,1)-1),VLOOKUP(LEFT(A2903,6),'Code Library'!$D$3:$E$200,2,0))&amp;"_"&amp;RIGHT(A2903,3)</f>
        <v>#VALUE!</v>
      </c>
      <c r="I2903" s="66">
        <f t="shared" si="45"/>
        <v>0</v>
      </c>
    </row>
    <row r="2904" spans="8:9">
      <c r="H2904" s="66" t="e">
        <f>IF(OR(LEFT(B2904,FIND("_",B2904,1)-1)="ULGALLOC",LEFT(B2904,FIND("_",B2904,1)-1)="ULSPOOL"),LEFT(B2904,FIND("_",B2904,1)-1),VLOOKUP(LEFT(A2904,6),'Code Library'!$D$3:$E$200,2,0))&amp;"_"&amp;RIGHT(A2904,3)</f>
        <v>#VALUE!</v>
      </c>
      <c r="I2904" s="66">
        <f t="shared" si="45"/>
        <v>0</v>
      </c>
    </row>
    <row r="2905" spans="8:9">
      <c r="H2905" s="66" t="e">
        <f>IF(OR(LEFT(B2905,FIND("_",B2905,1)-1)="ULGALLOC",LEFT(B2905,FIND("_",B2905,1)-1)="ULSPOOL"),LEFT(B2905,FIND("_",B2905,1)-1),VLOOKUP(LEFT(A2905,6),'Code Library'!$D$3:$E$200,2,0))&amp;"_"&amp;RIGHT(A2905,3)</f>
        <v>#VALUE!</v>
      </c>
      <c r="I2905" s="66">
        <f t="shared" si="45"/>
        <v>0</v>
      </c>
    </row>
    <row r="2906" spans="8:9">
      <c r="H2906" s="66" t="e">
        <f>IF(OR(LEFT(B2906,FIND("_",B2906,1)-1)="ULGALLOC",LEFT(B2906,FIND("_",B2906,1)-1)="ULSPOOL"),LEFT(B2906,FIND("_",B2906,1)-1),VLOOKUP(LEFT(A2906,6),'Code Library'!$D$3:$E$200,2,0))&amp;"_"&amp;RIGHT(A2906,3)</f>
        <v>#VALUE!</v>
      </c>
      <c r="I2906" s="66">
        <f t="shared" si="45"/>
        <v>0</v>
      </c>
    </row>
    <row r="2907" spans="8:9">
      <c r="H2907" s="66" t="e">
        <f>IF(OR(LEFT(B2907,FIND("_",B2907,1)-1)="ULGALLOC",LEFT(B2907,FIND("_",B2907,1)-1)="ULSPOOL"),LEFT(B2907,FIND("_",B2907,1)-1),VLOOKUP(LEFT(A2907,6),'Code Library'!$D$3:$E$200,2,0))&amp;"_"&amp;RIGHT(A2907,3)</f>
        <v>#VALUE!</v>
      </c>
      <c r="I2907" s="66">
        <f t="shared" si="45"/>
        <v>0</v>
      </c>
    </row>
    <row r="2908" spans="8:9">
      <c r="H2908" s="66" t="e">
        <f>IF(OR(LEFT(B2908,FIND("_",B2908,1)-1)="ULGALLOC",LEFT(B2908,FIND("_",B2908,1)-1)="ULSPOOL"),LEFT(B2908,FIND("_",B2908,1)-1),VLOOKUP(LEFT(A2908,6),'Code Library'!$D$3:$E$200,2,0))&amp;"_"&amp;RIGHT(A2908,3)</f>
        <v>#VALUE!</v>
      </c>
      <c r="I2908" s="66">
        <f t="shared" si="45"/>
        <v>0</v>
      </c>
    </row>
    <row r="2909" spans="8:9">
      <c r="H2909" s="66" t="e">
        <f>IF(OR(LEFT(B2909,FIND("_",B2909,1)-1)="ULGALLOC",LEFT(B2909,FIND("_",B2909,1)-1)="ULSPOOL"),LEFT(B2909,FIND("_",B2909,1)-1),VLOOKUP(LEFT(A2909,6),'Code Library'!$D$3:$E$200,2,0))&amp;"_"&amp;RIGHT(A2909,3)</f>
        <v>#VALUE!</v>
      </c>
      <c r="I2909" s="66">
        <f t="shared" si="45"/>
        <v>0</v>
      </c>
    </row>
    <row r="2910" spans="8:9">
      <c r="H2910" s="66" t="e">
        <f>IF(OR(LEFT(B2910,FIND("_",B2910,1)-1)="ULGALLOC",LEFT(B2910,FIND("_",B2910,1)-1)="ULSPOOL"),LEFT(B2910,FIND("_",B2910,1)-1),VLOOKUP(LEFT(A2910,6),'Code Library'!$D$3:$E$200,2,0))&amp;"_"&amp;RIGHT(A2910,3)</f>
        <v>#VALUE!</v>
      </c>
      <c r="I2910" s="66">
        <f t="shared" si="45"/>
        <v>0</v>
      </c>
    </row>
    <row r="2911" spans="8:9">
      <c r="H2911" s="66" t="e">
        <f>IF(OR(LEFT(B2911,FIND("_",B2911,1)-1)="ULGALLOC",LEFT(B2911,FIND("_",B2911,1)-1)="ULSPOOL"),LEFT(B2911,FIND("_",B2911,1)-1),VLOOKUP(LEFT(A2911,6),'Code Library'!$D$3:$E$200,2,0))&amp;"_"&amp;RIGHT(A2911,3)</f>
        <v>#VALUE!</v>
      </c>
      <c r="I2911" s="66">
        <f t="shared" si="45"/>
        <v>0</v>
      </c>
    </row>
    <row r="2912" spans="8:9">
      <c r="H2912" s="66" t="e">
        <f>IF(OR(LEFT(B2912,FIND("_",B2912,1)-1)="ULGALLOC",LEFT(B2912,FIND("_",B2912,1)-1)="ULSPOOL"),LEFT(B2912,FIND("_",B2912,1)-1),VLOOKUP(LEFT(A2912,6),'Code Library'!$D$3:$E$200,2,0))&amp;"_"&amp;RIGHT(A2912,3)</f>
        <v>#VALUE!</v>
      </c>
      <c r="I2912" s="66">
        <f t="shared" si="45"/>
        <v>0</v>
      </c>
    </row>
    <row r="2913" spans="8:9">
      <c r="H2913" s="66" t="e">
        <f>IF(OR(LEFT(B2913,FIND("_",B2913,1)-1)="ULGALLOC",LEFT(B2913,FIND("_",B2913,1)-1)="ULSPOOL"),LEFT(B2913,FIND("_",B2913,1)-1),VLOOKUP(LEFT(A2913,6),'Code Library'!$D$3:$E$200,2,0))&amp;"_"&amp;RIGHT(A2913,3)</f>
        <v>#VALUE!</v>
      </c>
      <c r="I2913" s="66">
        <f t="shared" si="45"/>
        <v>0</v>
      </c>
    </row>
    <row r="2914" spans="8:9">
      <c r="H2914" s="66" t="e">
        <f>IF(OR(LEFT(B2914,FIND("_",B2914,1)-1)="ULGALLOC",LEFT(B2914,FIND("_",B2914,1)-1)="ULSPOOL"),LEFT(B2914,FIND("_",B2914,1)-1),VLOOKUP(LEFT(A2914,6),'Code Library'!$D$3:$E$200,2,0))&amp;"_"&amp;RIGHT(A2914,3)</f>
        <v>#VALUE!</v>
      </c>
      <c r="I2914" s="66">
        <f t="shared" si="45"/>
        <v>0</v>
      </c>
    </row>
    <row r="2915" spans="8:9">
      <c r="H2915" s="66" t="e">
        <f>IF(OR(LEFT(B2915,FIND("_",B2915,1)-1)="ULGALLOC",LEFT(B2915,FIND("_",B2915,1)-1)="ULSPOOL"),LEFT(B2915,FIND("_",B2915,1)-1),VLOOKUP(LEFT(A2915,6),'Code Library'!$D$3:$E$200,2,0))&amp;"_"&amp;RIGHT(A2915,3)</f>
        <v>#VALUE!</v>
      </c>
      <c r="I2915" s="66">
        <f t="shared" si="45"/>
        <v>0</v>
      </c>
    </row>
    <row r="2916" spans="8:9">
      <c r="H2916" s="66" t="e">
        <f>IF(OR(LEFT(B2916,FIND("_",B2916,1)-1)="ULGALLOC",LEFT(B2916,FIND("_",B2916,1)-1)="ULSPOOL"),LEFT(B2916,FIND("_",B2916,1)-1),VLOOKUP(LEFT(A2916,6),'Code Library'!$D$3:$E$200,2,0))&amp;"_"&amp;RIGHT(A2916,3)</f>
        <v>#VALUE!</v>
      </c>
      <c r="I2916" s="66">
        <f t="shared" si="45"/>
        <v>0</v>
      </c>
    </row>
    <row r="2917" spans="8:9">
      <c r="H2917" s="66" t="e">
        <f>IF(OR(LEFT(B2917,FIND("_",B2917,1)-1)="ULGALLOC",LEFT(B2917,FIND("_",B2917,1)-1)="ULSPOOL"),LEFT(B2917,FIND("_",B2917,1)-1),VLOOKUP(LEFT(A2917,6),'Code Library'!$D$3:$E$200,2,0))&amp;"_"&amp;RIGHT(A2917,3)</f>
        <v>#VALUE!</v>
      </c>
      <c r="I2917" s="66">
        <f t="shared" si="45"/>
        <v>0</v>
      </c>
    </row>
    <row r="2918" spans="8:9">
      <c r="H2918" s="66" t="e">
        <f>IF(OR(LEFT(B2918,FIND("_",B2918,1)-1)="ULGALLOC",LEFT(B2918,FIND("_",B2918,1)-1)="ULSPOOL"),LEFT(B2918,FIND("_",B2918,1)-1),VLOOKUP(LEFT(A2918,6),'Code Library'!$D$3:$E$200,2,0))&amp;"_"&amp;RIGHT(A2918,3)</f>
        <v>#VALUE!</v>
      </c>
      <c r="I2918" s="66">
        <f t="shared" si="45"/>
        <v>0</v>
      </c>
    </row>
    <row r="2919" spans="8:9">
      <c r="H2919" s="66" t="e">
        <f>IF(OR(LEFT(B2919,FIND("_",B2919,1)-1)="ULGALLOC",LEFT(B2919,FIND("_",B2919,1)-1)="ULSPOOL"),LEFT(B2919,FIND("_",B2919,1)-1),VLOOKUP(LEFT(A2919,6),'Code Library'!$D$3:$E$200,2,0))&amp;"_"&amp;RIGHT(A2919,3)</f>
        <v>#VALUE!</v>
      </c>
      <c r="I2919" s="66">
        <f t="shared" si="45"/>
        <v>0</v>
      </c>
    </row>
    <row r="2920" spans="8:9">
      <c r="H2920" s="66" t="e">
        <f>IF(OR(LEFT(B2920,FIND("_",B2920,1)-1)="ULGALLOC",LEFT(B2920,FIND("_",B2920,1)-1)="ULSPOOL"),LEFT(B2920,FIND("_",B2920,1)-1),VLOOKUP(LEFT(A2920,6),'Code Library'!$D$3:$E$200,2,0))&amp;"_"&amp;RIGHT(A2920,3)</f>
        <v>#VALUE!</v>
      </c>
      <c r="I2920" s="66">
        <f t="shared" si="45"/>
        <v>0</v>
      </c>
    </row>
    <row r="2921" spans="8:9">
      <c r="H2921" s="66" t="e">
        <f>IF(OR(LEFT(B2921,FIND("_",B2921,1)-1)="ULGALLOC",LEFT(B2921,FIND("_",B2921,1)-1)="ULSPOOL"),LEFT(B2921,FIND("_",B2921,1)-1),VLOOKUP(LEFT(A2921,6),'Code Library'!$D$3:$E$200,2,0))&amp;"_"&amp;RIGHT(A2921,3)</f>
        <v>#VALUE!</v>
      </c>
      <c r="I2921" s="66">
        <f t="shared" si="45"/>
        <v>0</v>
      </c>
    </row>
    <row r="2922" spans="8:9">
      <c r="H2922" s="66" t="e">
        <f>IF(OR(LEFT(B2922,FIND("_",B2922,1)-1)="ULGALLOC",LEFT(B2922,FIND("_",B2922,1)-1)="ULSPOOL"),LEFT(B2922,FIND("_",B2922,1)-1),VLOOKUP(LEFT(A2922,6),'Code Library'!$D$3:$E$200,2,0))&amp;"_"&amp;RIGHT(A2922,3)</f>
        <v>#VALUE!</v>
      </c>
      <c r="I2922" s="66">
        <f t="shared" si="45"/>
        <v>0</v>
      </c>
    </row>
    <row r="2923" spans="8:9">
      <c r="H2923" s="66" t="e">
        <f>IF(OR(LEFT(B2923,FIND("_",B2923,1)-1)="ULGALLOC",LEFT(B2923,FIND("_",B2923,1)-1)="ULSPOOL"),LEFT(B2923,FIND("_",B2923,1)-1),VLOOKUP(LEFT(A2923,6),'Code Library'!$D$3:$E$200,2,0))&amp;"_"&amp;RIGHT(A2923,3)</f>
        <v>#VALUE!</v>
      </c>
      <c r="I2923" s="66">
        <f t="shared" si="45"/>
        <v>0</v>
      </c>
    </row>
    <row r="2924" spans="8:9">
      <c r="H2924" s="66" t="e">
        <f>IF(OR(LEFT(B2924,FIND("_",B2924,1)-1)="ULGALLOC",LEFT(B2924,FIND("_",B2924,1)-1)="ULSPOOL"),LEFT(B2924,FIND("_",B2924,1)-1),VLOOKUP(LEFT(A2924,6),'Code Library'!$D$3:$E$200,2,0))&amp;"_"&amp;RIGHT(A2924,3)</f>
        <v>#VALUE!</v>
      </c>
      <c r="I2924" s="66">
        <f t="shared" si="45"/>
        <v>0</v>
      </c>
    </row>
    <row r="2925" spans="8:9">
      <c r="H2925" s="66" t="e">
        <f>IF(OR(LEFT(B2925,FIND("_",B2925,1)-1)="ULGALLOC",LEFT(B2925,FIND("_",B2925,1)-1)="ULSPOOL"),LEFT(B2925,FIND("_",B2925,1)-1),VLOOKUP(LEFT(A2925,6),'Code Library'!$D$3:$E$200,2,0))&amp;"_"&amp;RIGHT(A2925,3)</f>
        <v>#VALUE!</v>
      </c>
      <c r="I2925" s="66">
        <f t="shared" si="45"/>
        <v>0</v>
      </c>
    </row>
    <row r="2926" spans="8:9">
      <c r="H2926" s="66" t="e">
        <f>IF(OR(LEFT(B2926,FIND("_",B2926,1)-1)="ULGALLOC",LEFT(B2926,FIND("_",B2926,1)-1)="ULSPOOL"),LEFT(B2926,FIND("_",B2926,1)-1),VLOOKUP(LEFT(A2926,6),'Code Library'!$D$3:$E$200,2,0))&amp;"_"&amp;RIGHT(A2926,3)</f>
        <v>#VALUE!</v>
      </c>
      <c r="I2926" s="66">
        <f t="shared" si="45"/>
        <v>0</v>
      </c>
    </row>
    <row r="2927" spans="8:9">
      <c r="H2927" s="66" t="e">
        <f>IF(OR(LEFT(B2927,FIND("_",B2927,1)-1)="ULGALLOC",LEFT(B2927,FIND("_",B2927,1)-1)="ULSPOOL"),LEFT(B2927,FIND("_",B2927,1)-1),VLOOKUP(LEFT(A2927,6),'Code Library'!$D$3:$E$200,2,0))&amp;"_"&amp;RIGHT(A2927,3)</f>
        <v>#VALUE!</v>
      </c>
      <c r="I2927" s="66">
        <f t="shared" si="45"/>
        <v>0</v>
      </c>
    </row>
    <row r="2928" spans="8:9">
      <c r="H2928" s="66" t="e">
        <f>IF(OR(LEFT(B2928,FIND("_",B2928,1)-1)="ULGALLOC",LEFT(B2928,FIND("_",B2928,1)-1)="ULSPOOL"),LEFT(B2928,FIND("_",B2928,1)-1),VLOOKUP(LEFT(A2928,6),'Code Library'!$D$3:$E$200,2,0))&amp;"_"&amp;RIGHT(A2928,3)</f>
        <v>#VALUE!</v>
      </c>
      <c r="I2928" s="66">
        <f t="shared" si="45"/>
        <v>0</v>
      </c>
    </row>
    <row r="2929" spans="8:9">
      <c r="H2929" s="66" t="e">
        <f>IF(OR(LEFT(B2929,FIND("_",B2929,1)-1)="ULGALLOC",LEFT(B2929,FIND("_",B2929,1)-1)="ULSPOOL"),LEFT(B2929,FIND("_",B2929,1)-1),VLOOKUP(LEFT(A2929,6),'Code Library'!$D$3:$E$200,2,0))&amp;"_"&amp;RIGHT(A2929,3)</f>
        <v>#VALUE!</v>
      </c>
      <c r="I2929" s="66">
        <f t="shared" si="45"/>
        <v>0</v>
      </c>
    </row>
    <row r="2930" spans="8:9">
      <c r="H2930" s="66" t="e">
        <f>IF(OR(LEFT(B2930,FIND("_",B2930,1)-1)="ULGALLOC",LEFT(B2930,FIND("_",B2930,1)-1)="ULSPOOL"),LEFT(B2930,FIND("_",B2930,1)-1),VLOOKUP(LEFT(A2930,6),'Code Library'!$D$3:$E$200,2,0))&amp;"_"&amp;RIGHT(A2930,3)</f>
        <v>#VALUE!</v>
      </c>
      <c r="I2930" s="66">
        <f t="shared" si="45"/>
        <v>0</v>
      </c>
    </row>
    <row r="2931" spans="8:9">
      <c r="H2931" s="66" t="e">
        <f>IF(OR(LEFT(B2931,FIND("_",B2931,1)-1)="ULGALLOC",LEFT(B2931,FIND("_",B2931,1)-1)="ULSPOOL"),LEFT(B2931,FIND("_",B2931,1)-1),VLOOKUP(LEFT(A2931,6),'Code Library'!$D$3:$E$200,2,0))&amp;"_"&amp;RIGHT(A2931,3)</f>
        <v>#VALUE!</v>
      </c>
      <c r="I2931" s="66">
        <f t="shared" si="45"/>
        <v>0</v>
      </c>
    </row>
    <row r="2932" spans="8:9">
      <c r="H2932" s="66" t="e">
        <f>IF(OR(LEFT(B2932,FIND("_",B2932,1)-1)="ULGALLOC",LEFT(B2932,FIND("_",B2932,1)-1)="ULSPOOL"),LEFT(B2932,FIND("_",B2932,1)-1),VLOOKUP(LEFT(A2932,6),'Code Library'!$D$3:$E$200,2,0))&amp;"_"&amp;RIGHT(A2932,3)</f>
        <v>#VALUE!</v>
      </c>
      <c r="I2932" s="66">
        <f t="shared" si="45"/>
        <v>0</v>
      </c>
    </row>
    <row r="2933" spans="8:9">
      <c r="H2933" s="66" t="e">
        <f>IF(OR(LEFT(B2933,FIND("_",B2933,1)-1)="ULGALLOC",LEFT(B2933,FIND("_",B2933,1)-1)="ULSPOOL"),LEFT(B2933,FIND("_",B2933,1)-1),VLOOKUP(LEFT(A2933,6),'Code Library'!$D$3:$E$200,2,0))&amp;"_"&amp;RIGHT(A2933,3)</f>
        <v>#VALUE!</v>
      </c>
      <c r="I2933" s="66">
        <f t="shared" si="45"/>
        <v>0</v>
      </c>
    </row>
    <row r="2934" spans="8:9">
      <c r="H2934" s="66" t="e">
        <f>IF(OR(LEFT(B2934,FIND("_",B2934,1)-1)="ULGALLOC",LEFT(B2934,FIND("_",B2934,1)-1)="ULSPOOL"),LEFT(B2934,FIND("_",B2934,1)-1),VLOOKUP(LEFT(A2934,6),'Code Library'!$D$3:$E$200,2,0))&amp;"_"&amp;RIGHT(A2934,3)</f>
        <v>#VALUE!</v>
      </c>
      <c r="I2934" s="66">
        <f t="shared" si="45"/>
        <v>0</v>
      </c>
    </row>
    <row r="2935" spans="8:9">
      <c r="H2935" s="66" t="e">
        <f>IF(OR(LEFT(B2935,FIND("_",B2935,1)-1)="ULGALLOC",LEFT(B2935,FIND("_",B2935,1)-1)="ULSPOOL"),LEFT(B2935,FIND("_",B2935,1)-1),VLOOKUP(LEFT(A2935,6),'Code Library'!$D$3:$E$200,2,0))&amp;"_"&amp;RIGHT(A2935,3)</f>
        <v>#VALUE!</v>
      </c>
      <c r="I2935" s="66">
        <f t="shared" si="45"/>
        <v>0</v>
      </c>
    </row>
    <row r="2936" spans="8:9">
      <c r="H2936" s="66" t="e">
        <f>IF(OR(LEFT(B2936,FIND("_",B2936,1)-1)="ULGALLOC",LEFT(B2936,FIND("_",B2936,1)-1)="ULSPOOL"),LEFT(B2936,FIND("_",B2936,1)-1),VLOOKUP(LEFT(A2936,6),'Code Library'!$D$3:$E$200,2,0))&amp;"_"&amp;RIGHT(A2936,3)</f>
        <v>#VALUE!</v>
      </c>
      <c r="I2936" s="66">
        <f t="shared" si="45"/>
        <v>0</v>
      </c>
    </row>
    <row r="2937" spans="8:9">
      <c r="H2937" s="66" t="e">
        <f>IF(OR(LEFT(B2937,FIND("_",B2937,1)-1)="ULGALLOC",LEFT(B2937,FIND("_",B2937,1)-1)="ULSPOOL"),LEFT(B2937,FIND("_",B2937,1)-1),VLOOKUP(LEFT(A2937,6),'Code Library'!$D$3:$E$200,2,0))&amp;"_"&amp;RIGHT(A2937,3)</f>
        <v>#VALUE!</v>
      </c>
      <c r="I2937" s="66">
        <f t="shared" si="45"/>
        <v>0</v>
      </c>
    </row>
    <row r="2938" spans="8:9">
      <c r="H2938" s="66" t="e">
        <f>IF(OR(LEFT(B2938,FIND("_",B2938,1)-1)="ULGALLOC",LEFT(B2938,FIND("_",B2938,1)-1)="ULSPOOL"),LEFT(B2938,FIND("_",B2938,1)-1),VLOOKUP(LEFT(A2938,6),'Code Library'!$D$3:$E$200,2,0))&amp;"_"&amp;RIGHT(A2938,3)</f>
        <v>#VALUE!</v>
      </c>
      <c r="I2938" s="66">
        <f t="shared" si="45"/>
        <v>0</v>
      </c>
    </row>
    <row r="2939" spans="8:9">
      <c r="H2939" s="66" t="e">
        <f>IF(OR(LEFT(B2939,FIND("_",B2939,1)-1)="ULGALLOC",LEFT(B2939,FIND("_",B2939,1)-1)="ULSPOOL"),LEFT(B2939,FIND("_",B2939,1)-1),VLOOKUP(LEFT(A2939,6),'Code Library'!$D$3:$E$200,2,0))&amp;"_"&amp;RIGHT(A2939,3)</f>
        <v>#VALUE!</v>
      </c>
      <c r="I2939" s="66">
        <f t="shared" si="45"/>
        <v>0</v>
      </c>
    </row>
    <row r="2940" spans="8:9">
      <c r="H2940" s="66" t="e">
        <f>IF(OR(LEFT(B2940,FIND("_",B2940,1)-1)="ULGALLOC",LEFT(B2940,FIND("_",B2940,1)-1)="ULSPOOL"),LEFT(B2940,FIND("_",B2940,1)-1),VLOOKUP(LEFT(A2940,6),'Code Library'!$D$3:$E$200,2,0))&amp;"_"&amp;RIGHT(A2940,3)</f>
        <v>#VALUE!</v>
      </c>
      <c r="I2940" s="66">
        <f t="shared" si="45"/>
        <v>0</v>
      </c>
    </row>
    <row r="2941" spans="8:9">
      <c r="H2941" s="66" t="e">
        <f>IF(OR(LEFT(B2941,FIND("_",B2941,1)-1)="ULGALLOC",LEFT(B2941,FIND("_",B2941,1)-1)="ULSPOOL"),LEFT(B2941,FIND("_",B2941,1)-1),VLOOKUP(LEFT(A2941,6),'Code Library'!$D$3:$E$200,2,0))&amp;"_"&amp;RIGHT(A2941,3)</f>
        <v>#VALUE!</v>
      </c>
      <c r="I2941" s="66">
        <f t="shared" si="45"/>
        <v>0</v>
      </c>
    </row>
    <row r="2942" spans="8:9">
      <c r="H2942" s="66" t="e">
        <f>IF(OR(LEFT(B2942,FIND("_",B2942,1)-1)="ULGALLOC",LEFT(B2942,FIND("_",B2942,1)-1)="ULSPOOL"),LEFT(B2942,FIND("_",B2942,1)-1),VLOOKUP(LEFT(A2942,6),'Code Library'!$D$3:$E$200,2,0))&amp;"_"&amp;RIGHT(A2942,3)</f>
        <v>#VALUE!</v>
      </c>
      <c r="I2942" s="66">
        <f t="shared" si="45"/>
        <v>0</v>
      </c>
    </row>
    <row r="2943" spans="8:9">
      <c r="H2943" s="66" t="e">
        <f>IF(OR(LEFT(B2943,FIND("_",B2943,1)-1)="ULGALLOC",LEFT(B2943,FIND("_",B2943,1)-1)="ULSPOOL"),LEFT(B2943,FIND("_",B2943,1)-1),VLOOKUP(LEFT(A2943,6),'Code Library'!$D$3:$E$200,2,0))&amp;"_"&amp;RIGHT(A2943,3)</f>
        <v>#VALUE!</v>
      </c>
      <c r="I2943" s="66">
        <f t="shared" si="45"/>
        <v>0</v>
      </c>
    </row>
    <row r="2944" spans="8:9">
      <c r="H2944" s="66" t="e">
        <f>IF(OR(LEFT(B2944,FIND("_",B2944,1)-1)="ULGALLOC",LEFT(B2944,FIND("_",B2944,1)-1)="ULSPOOL"),LEFT(B2944,FIND("_",B2944,1)-1),VLOOKUP(LEFT(A2944,6),'Code Library'!$D$3:$E$200,2,0))&amp;"_"&amp;RIGHT(A2944,3)</f>
        <v>#VALUE!</v>
      </c>
      <c r="I2944" s="66">
        <f t="shared" si="45"/>
        <v>0</v>
      </c>
    </row>
    <row r="2945" spans="8:9">
      <c r="H2945" s="66" t="e">
        <f>IF(OR(LEFT(B2945,FIND("_",B2945,1)-1)="ULGALLOC",LEFT(B2945,FIND("_",B2945,1)-1)="ULSPOOL"),LEFT(B2945,FIND("_",B2945,1)-1),VLOOKUP(LEFT(A2945,6),'Code Library'!$D$3:$E$200,2,0))&amp;"_"&amp;RIGHT(A2945,3)</f>
        <v>#VALUE!</v>
      </c>
      <c r="I2945" s="66">
        <f t="shared" si="45"/>
        <v>0</v>
      </c>
    </row>
    <row r="2946" spans="8:9">
      <c r="H2946" s="66" t="e">
        <f>IF(OR(LEFT(B2946,FIND("_",B2946,1)-1)="ULGALLOC",LEFT(B2946,FIND("_",B2946,1)-1)="ULSPOOL"),LEFT(B2946,FIND("_",B2946,1)-1),VLOOKUP(LEFT(A2946,6),'Code Library'!$D$3:$E$200,2,0))&amp;"_"&amp;RIGHT(A2946,3)</f>
        <v>#VALUE!</v>
      </c>
      <c r="I2946" s="66">
        <f t="shared" si="45"/>
        <v>0</v>
      </c>
    </row>
    <row r="2947" spans="8:9">
      <c r="H2947" s="66" t="e">
        <f>IF(OR(LEFT(B2947,FIND("_",B2947,1)-1)="ULGALLOC",LEFT(B2947,FIND("_",B2947,1)-1)="ULSPOOL"),LEFT(B2947,FIND("_",B2947,1)-1),VLOOKUP(LEFT(A2947,6),'Code Library'!$D$3:$E$200,2,0))&amp;"_"&amp;RIGHT(A2947,3)</f>
        <v>#VALUE!</v>
      </c>
      <c r="I2947" s="66">
        <f t="shared" ref="I2947:I3010" si="46">A2947</f>
        <v>0</v>
      </c>
    </row>
    <row r="2948" spans="8:9">
      <c r="H2948" s="66" t="e">
        <f>IF(OR(LEFT(B2948,FIND("_",B2948,1)-1)="ULGALLOC",LEFT(B2948,FIND("_",B2948,1)-1)="ULSPOOL"),LEFT(B2948,FIND("_",B2948,1)-1),VLOOKUP(LEFT(A2948,6),'Code Library'!$D$3:$E$200,2,0))&amp;"_"&amp;RIGHT(A2948,3)</f>
        <v>#VALUE!</v>
      </c>
      <c r="I2948" s="66">
        <f t="shared" si="46"/>
        <v>0</v>
      </c>
    </row>
    <row r="2949" spans="8:9">
      <c r="H2949" s="66" t="e">
        <f>IF(OR(LEFT(B2949,FIND("_",B2949,1)-1)="ULGALLOC",LEFT(B2949,FIND("_",B2949,1)-1)="ULSPOOL"),LEFT(B2949,FIND("_",B2949,1)-1),VLOOKUP(LEFT(A2949,6),'Code Library'!$D$3:$E$200,2,0))&amp;"_"&amp;RIGHT(A2949,3)</f>
        <v>#VALUE!</v>
      </c>
      <c r="I2949" s="66">
        <f t="shared" si="46"/>
        <v>0</v>
      </c>
    </row>
    <row r="2950" spans="8:9">
      <c r="H2950" s="66" t="e">
        <f>IF(OR(LEFT(B2950,FIND("_",B2950,1)-1)="ULGALLOC",LEFT(B2950,FIND("_",B2950,1)-1)="ULSPOOL"),LEFT(B2950,FIND("_",B2950,1)-1),VLOOKUP(LEFT(A2950,6),'Code Library'!$D$3:$E$200,2,0))&amp;"_"&amp;RIGHT(A2950,3)</f>
        <v>#VALUE!</v>
      </c>
      <c r="I2950" s="66">
        <f t="shared" si="46"/>
        <v>0</v>
      </c>
    </row>
    <row r="2951" spans="8:9">
      <c r="H2951" s="66" t="e">
        <f>IF(OR(LEFT(B2951,FIND("_",B2951,1)-1)="ULGALLOC",LEFT(B2951,FIND("_",B2951,1)-1)="ULSPOOL"),LEFT(B2951,FIND("_",B2951,1)-1),VLOOKUP(LEFT(A2951,6),'Code Library'!$D$3:$E$200,2,0))&amp;"_"&amp;RIGHT(A2951,3)</f>
        <v>#VALUE!</v>
      </c>
      <c r="I2951" s="66">
        <f t="shared" si="46"/>
        <v>0</v>
      </c>
    </row>
    <row r="2952" spans="8:9">
      <c r="H2952" s="66" t="e">
        <f>IF(OR(LEFT(B2952,FIND("_",B2952,1)-1)="ULGALLOC",LEFT(B2952,FIND("_",B2952,1)-1)="ULSPOOL"),LEFT(B2952,FIND("_",B2952,1)-1),VLOOKUP(LEFT(A2952,6),'Code Library'!$D$3:$E$200,2,0))&amp;"_"&amp;RIGHT(A2952,3)</f>
        <v>#VALUE!</v>
      </c>
      <c r="I2952" s="66">
        <f t="shared" si="46"/>
        <v>0</v>
      </c>
    </row>
    <row r="2953" spans="8:9">
      <c r="H2953" s="66" t="e">
        <f>IF(OR(LEFT(B2953,FIND("_",B2953,1)-1)="ULGALLOC",LEFT(B2953,FIND("_",B2953,1)-1)="ULSPOOL"),LEFT(B2953,FIND("_",B2953,1)-1),VLOOKUP(LEFT(A2953,6),'Code Library'!$D$3:$E$200,2,0))&amp;"_"&amp;RIGHT(A2953,3)</f>
        <v>#VALUE!</v>
      </c>
      <c r="I2953" s="66">
        <f t="shared" si="46"/>
        <v>0</v>
      </c>
    </row>
    <row r="2954" spans="8:9">
      <c r="H2954" s="66" t="e">
        <f>IF(OR(LEFT(B2954,FIND("_",B2954,1)-1)="ULGALLOC",LEFT(B2954,FIND("_",B2954,1)-1)="ULSPOOL"),LEFT(B2954,FIND("_",B2954,1)-1),VLOOKUP(LEFT(A2954,6),'Code Library'!$D$3:$E$200,2,0))&amp;"_"&amp;RIGHT(A2954,3)</f>
        <v>#VALUE!</v>
      </c>
      <c r="I2954" s="66">
        <f t="shared" si="46"/>
        <v>0</v>
      </c>
    </row>
    <row r="2955" spans="8:9">
      <c r="H2955" s="66" t="e">
        <f>IF(OR(LEFT(B2955,FIND("_",B2955,1)-1)="ULGALLOC",LEFT(B2955,FIND("_",B2955,1)-1)="ULSPOOL"),LEFT(B2955,FIND("_",B2955,1)-1),VLOOKUP(LEFT(A2955,6),'Code Library'!$D$3:$E$200,2,0))&amp;"_"&amp;RIGHT(A2955,3)</f>
        <v>#VALUE!</v>
      </c>
      <c r="I2955" s="66">
        <f t="shared" si="46"/>
        <v>0</v>
      </c>
    </row>
    <row r="2956" spans="8:9">
      <c r="H2956" s="66" t="e">
        <f>IF(OR(LEFT(B2956,FIND("_",B2956,1)-1)="ULGALLOC",LEFT(B2956,FIND("_",B2956,1)-1)="ULSPOOL"),LEFT(B2956,FIND("_",B2956,1)-1),VLOOKUP(LEFT(A2956,6),'Code Library'!$D$3:$E$200,2,0))&amp;"_"&amp;RIGHT(A2956,3)</f>
        <v>#VALUE!</v>
      </c>
      <c r="I2956" s="66">
        <f t="shared" si="46"/>
        <v>0</v>
      </c>
    </row>
    <row r="2957" spans="8:9">
      <c r="H2957" s="66" t="e">
        <f>IF(OR(LEFT(B2957,FIND("_",B2957,1)-1)="ULGALLOC",LEFT(B2957,FIND("_",B2957,1)-1)="ULSPOOL"),LEFT(B2957,FIND("_",B2957,1)-1),VLOOKUP(LEFT(A2957,6),'Code Library'!$D$3:$E$200,2,0))&amp;"_"&amp;RIGHT(A2957,3)</f>
        <v>#VALUE!</v>
      </c>
      <c r="I2957" s="66">
        <f t="shared" si="46"/>
        <v>0</v>
      </c>
    </row>
    <row r="2958" spans="8:9">
      <c r="H2958" s="66" t="e">
        <f>IF(OR(LEFT(B2958,FIND("_",B2958,1)-1)="ULGALLOC",LEFT(B2958,FIND("_",B2958,1)-1)="ULSPOOL"),LEFT(B2958,FIND("_",B2958,1)-1),VLOOKUP(LEFT(A2958,6),'Code Library'!$D$3:$E$200,2,0))&amp;"_"&amp;RIGHT(A2958,3)</f>
        <v>#VALUE!</v>
      </c>
      <c r="I2958" s="66">
        <f t="shared" si="46"/>
        <v>0</v>
      </c>
    </row>
    <row r="2959" spans="8:9">
      <c r="H2959" s="66" t="e">
        <f>IF(OR(LEFT(B2959,FIND("_",B2959,1)-1)="ULGALLOC",LEFT(B2959,FIND("_",B2959,1)-1)="ULSPOOL"),LEFT(B2959,FIND("_",B2959,1)-1),VLOOKUP(LEFT(A2959,6),'Code Library'!$D$3:$E$200,2,0))&amp;"_"&amp;RIGHT(A2959,3)</f>
        <v>#VALUE!</v>
      </c>
      <c r="I2959" s="66">
        <f t="shared" si="46"/>
        <v>0</v>
      </c>
    </row>
    <row r="2960" spans="8:9">
      <c r="H2960" s="66" t="e">
        <f>IF(OR(LEFT(B2960,FIND("_",B2960,1)-1)="ULGALLOC",LEFT(B2960,FIND("_",B2960,1)-1)="ULSPOOL"),LEFT(B2960,FIND("_",B2960,1)-1),VLOOKUP(LEFT(A2960,6),'Code Library'!$D$3:$E$200,2,0))&amp;"_"&amp;RIGHT(A2960,3)</f>
        <v>#VALUE!</v>
      </c>
      <c r="I2960" s="66">
        <f t="shared" si="46"/>
        <v>0</v>
      </c>
    </row>
    <row r="2961" spans="8:9">
      <c r="H2961" s="66" t="e">
        <f>IF(OR(LEFT(B2961,FIND("_",B2961,1)-1)="ULGALLOC",LEFT(B2961,FIND("_",B2961,1)-1)="ULSPOOL"),LEFT(B2961,FIND("_",B2961,1)-1),VLOOKUP(LEFT(A2961,6),'Code Library'!$D$3:$E$200,2,0))&amp;"_"&amp;RIGHT(A2961,3)</f>
        <v>#VALUE!</v>
      </c>
      <c r="I2961" s="66">
        <f t="shared" si="46"/>
        <v>0</v>
      </c>
    </row>
    <row r="2962" spans="8:9">
      <c r="H2962" s="66" t="e">
        <f>IF(OR(LEFT(B2962,FIND("_",B2962,1)-1)="ULGALLOC",LEFT(B2962,FIND("_",B2962,1)-1)="ULSPOOL"),LEFT(B2962,FIND("_",B2962,1)-1),VLOOKUP(LEFT(A2962,6),'Code Library'!$D$3:$E$200,2,0))&amp;"_"&amp;RIGHT(A2962,3)</f>
        <v>#VALUE!</v>
      </c>
      <c r="I2962" s="66">
        <f t="shared" si="46"/>
        <v>0</v>
      </c>
    </row>
    <row r="2963" spans="8:9">
      <c r="H2963" s="66" t="e">
        <f>IF(OR(LEFT(B2963,FIND("_",B2963,1)-1)="ULGALLOC",LEFT(B2963,FIND("_",B2963,1)-1)="ULSPOOL"),LEFT(B2963,FIND("_",B2963,1)-1),VLOOKUP(LEFT(A2963,6),'Code Library'!$D$3:$E$200,2,0))&amp;"_"&amp;RIGHT(A2963,3)</f>
        <v>#VALUE!</v>
      </c>
      <c r="I2963" s="66">
        <f t="shared" si="46"/>
        <v>0</v>
      </c>
    </row>
    <row r="2964" spans="8:9">
      <c r="H2964" s="66" t="e">
        <f>IF(OR(LEFT(B2964,FIND("_",B2964,1)-1)="ULGALLOC",LEFT(B2964,FIND("_",B2964,1)-1)="ULSPOOL"),LEFT(B2964,FIND("_",B2964,1)-1),VLOOKUP(LEFT(A2964,6),'Code Library'!$D$3:$E$200,2,0))&amp;"_"&amp;RIGHT(A2964,3)</f>
        <v>#VALUE!</v>
      </c>
      <c r="I2964" s="66">
        <f t="shared" si="46"/>
        <v>0</v>
      </c>
    </row>
    <row r="2965" spans="8:9">
      <c r="H2965" s="66" t="e">
        <f>IF(OR(LEFT(B2965,FIND("_",B2965,1)-1)="ULGALLOC",LEFT(B2965,FIND("_",B2965,1)-1)="ULSPOOL"),LEFT(B2965,FIND("_",B2965,1)-1),VLOOKUP(LEFT(A2965,6),'Code Library'!$D$3:$E$200,2,0))&amp;"_"&amp;RIGHT(A2965,3)</f>
        <v>#VALUE!</v>
      </c>
      <c r="I2965" s="66">
        <f t="shared" si="46"/>
        <v>0</v>
      </c>
    </row>
    <row r="2966" spans="8:9">
      <c r="H2966" s="66" t="e">
        <f>IF(OR(LEFT(B2966,FIND("_",B2966,1)-1)="ULGALLOC",LEFT(B2966,FIND("_",B2966,1)-1)="ULSPOOL"),LEFT(B2966,FIND("_",B2966,1)-1),VLOOKUP(LEFT(A2966,6),'Code Library'!$D$3:$E$200,2,0))&amp;"_"&amp;RIGHT(A2966,3)</f>
        <v>#VALUE!</v>
      </c>
      <c r="I2966" s="66">
        <f t="shared" si="46"/>
        <v>0</v>
      </c>
    </row>
    <row r="2967" spans="8:9">
      <c r="H2967" s="66" t="e">
        <f>IF(OR(LEFT(B2967,FIND("_",B2967,1)-1)="ULGALLOC",LEFT(B2967,FIND("_",B2967,1)-1)="ULSPOOL"),LEFT(B2967,FIND("_",B2967,1)-1),VLOOKUP(LEFT(A2967,6),'Code Library'!$D$3:$E$200,2,0))&amp;"_"&amp;RIGHT(A2967,3)</f>
        <v>#VALUE!</v>
      </c>
      <c r="I2967" s="66">
        <f t="shared" si="46"/>
        <v>0</v>
      </c>
    </row>
    <row r="2968" spans="8:9">
      <c r="H2968" s="66" t="e">
        <f>IF(OR(LEFT(B2968,FIND("_",B2968,1)-1)="ULGALLOC",LEFT(B2968,FIND("_",B2968,1)-1)="ULSPOOL"),LEFT(B2968,FIND("_",B2968,1)-1),VLOOKUP(LEFT(A2968,6),'Code Library'!$D$3:$E$200,2,0))&amp;"_"&amp;RIGHT(A2968,3)</f>
        <v>#VALUE!</v>
      </c>
      <c r="I2968" s="66">
        <f t="shared" si="46"/>
        <v>0</v>
      </c>
    </row>
    <row r="2969" spans="8:9">
      <c r="H2969" s="66" t="e">
        <f>IF(OR(LEFT(B2969,FIND("_",B2969,1)-1)="ULGALLOC",LEFT(B2969,FIND("_",B2969,1)-1)="ULSPOOL"),LEFT(B2969,FIND("_",B2969,1)-1),VLOOKUP(LEFT(A2969,6),'Code Library'!$D$3:$E$200,2,0))&amp;"_"&amp;RIGHT(A2969,3)</f>
        <v>#VALUE!</v>
      </c>
      <c r="I2969" s="66">
        <f t="shared" si="46"/>
        <v>0</v>
      </c>
    </row>
    <row r="2970" spans="8:9">
      <c r="H2970" s="66" t="e">
        <f>IF(OR(LEFT(B2970,FIND("_",B2970,1)-1)="ULGALLOC",LEFT(B2970,FIND("_",B2970,1)-1)="ULSPOOL"),LEFT(B2970,FIND("_",B2970,1)-1),VLOOKUP(LEFT(A2970,6),'Code Library'!$D$3:$E$200,2,0))&amp;"_"&amp;RIGHT(A2970,3)</f>
        <v>#VALUE!</v>
      </c>
      <c r="I2970" s="66">
        <f t="shared" si="46"/>
        <v>0</v>
      </c>
    </row>
    <row r="2971" spans="8:9">
      <c r="H2971" s="66" t="e">
        <f>IF(OR(LEFT(B2971,FIND("_",B2971,1)-1)="ULGALLOC",LEFT(B2971,FIND("_",B2971,1)-1)="ULSPOOL"),LEFT(B2971,FIND("_",B2971,1)-1),VLOOKUP(LEFT(A2971,6),'Code Library'!$D$3:$E$200,2,0))&amp;"_"&amp;RIGHT(A2971,3)</f>
        <v>#VALUE!</v>
      </c>
      <c r="I2971" s="66">
        <f t="shared" si="46"/>
        <v>0</v>
      </c>
    </row>
    <row r="2972" spans="8:9">
      <c r="H2972" s="66" t="e">
        <f>IF(OR(LEFT(B2972,FIND("_",B2972,1)-1)="ULGALLOC",LEFT(B2972,FIND("_",B2972,1)-1)="ULSPOOL"),LEFT(B2972,FIND("_",B2972,1)-1),VLOOKUP(LEFT(A2972,6),'Code Library'!$D$3:$E$200,2,0))&amp;"_"&amp;RIGHT(A2972,3)</f>
        <v>#VALUE!</v>
      </c>
      <c r="I2972" s="66">
        <f t="shared" si="46"/>
        <v>0</v>
      </c>
    </row>
    <row r="2973" spans="8:9">
      <c r="H2973" s="66" t="e">
        <f>IF(OR(LEFT(B2973,FIND("_",B2973,1)-1)="ULGALLOC",LEFT(B2973,FIND("_",B2973,1)-1)="ULSPOOL"),LEFT(B2973,FIND("_",B2973,1)-1),VLOOKUP(LEFT(A2973,6),'Code Library'!$D$3:$E$200,2,0))&amp;"_"&amp;RIGHT(A2973,3)</f>
        <v>#VALUE!</v>
      </c>
      <c r="I2973" s="66">
        <f t="shared" si="46"/>
        <v>0</v>
      </c>
    </row>
    <row r="2974" spans="8:9">
      <c r="H2974" s="66" t="e">
        <f>IF(OR(LEFT(B2974,FIND("_",B2974,1)-1)="ULGALLOC",LEFT(B2974,FIND("_",B2974,1)-1)="ULSPOOL"),LEFT(B2974,FIND("_",B2974,1)-1),VLOOKUP(LEFT(A2974,6),'Code Library'!$D$3:$E$200,2,0))&amp;"_"&amp;RIGHT(A2974,3)</f>
        <v>#VALUE!</v>
      </c>
      <c r="I2974" s="66">
        <f t="shared" si="46"/>
        <v>0</v>
      </c>
    </row>
    <row r="2975" spans="8:9">
      <c r="H2975" s="66" t="e">
        <f>IF(OR(LEFT(B2975,FIND("_",B2975,1)-1)="ULGALLOC",LEFT(B2975,FIND("_",B2975,1)-1)="ULSPOOL"),LEFT(B2975,FIND("_",B2975,1)-1),VLOOKUP(LEFT(A2975,6),'Code Library'!$D$3:$E$200,2,0))&amp;"_"&amp;RIGHT(A2975,3)</f>
        <v>#VALUE!</v>
      </c>
      <c r="I2975" s="66">
        <f t="shared" si="46"/>
        <v>0</v>
      </c>
    </row>
    <row r="2976" spans="8:9">
      <c r="H2976" s="66" t="e">
        <f>IF(OR(LEFT(B2976,FIND("_",B2976,1)-1)="ULGALLOC",LEFT(B2976,FIND("_",B2976,1)-1)="ULSPOOL"),LEFT(B2976,FIND("_",B2976,1)-1),VLOOKUP(LEFT(A2976,6),'Code Library'!$D$3:$E$200,2,0))&amp;"_"&amp;RIGHT(A2976,3)</f>
        <v>#VALUE!</v>
      </c>
      <c r="I2976" s="66">
        <f t="shared" si="46"/>
        <v>0</v>
      </c>
    </row>
    <row r="2977" spans="8:9">
      <c r="H2977" s="66" t="e">
        <f>IF(OR(LEFT(B2977,FIND("_",B2977,1)-1)="ULGALLOC",LEFT(B2977,FIND("_",B2977,1)-1)="ULSPOOL"),LEFT(B2977,FIND("_",B2977,1)-1),VLOOKUP(LEFT(A2977,6),'Code Library'!$D$3:$E$200,2,0))&amp;"_"&amp;RIGHT(A2977,3)</f>
        <v>#VALUE!</v>
      </c>
      <c r="I2977" s="66">
        <f t="shared" si="46"/>
        <v>0</v>
      </c>
    </row>
    <row r="2978" spans="8:9">
      <c r="H2978" s="66" t="e">
        <f>IF(OR(LEFT(B2978,FIND("_",B2978,1)-1)="ULGALLOC",LEFT(B2978,FIND("_",B2978,1)-1)="ULSPOOL"),LEFT(B2978,FIND("_",B2978,1)-1),VLOOKUP(LEFT(A2978,6),'Code Library'!$D$3:$E$200,2,0))&amp;"_"&amp;RIGHT(A2978,3)</f>
        <v>#VALUE!</v>
      </c>
      <c r="I2978" s="66">
        <f t="shared" si="46"/>
        <v>0</v>
      </c>
    </row>
    <row r="2979" spans="8:9">
      <c r="H2979" s="66" t="e">
        <f>IF(OR(LEFT(B2979,FIND("_",B2979,1)-1)="ULGALLOC",LEFT(B2979,FIND("_",B2979,1)-1)="ULSPOOL"),LEFT(B2979,FIND("_",B2979,1)-1),VLOOKUP(LEFT(A2979,6),'Code Library'!$D$3:$E$200,2,0))&amp;"_"&amp;RIGHT(A2979,3)</f>
        <v>#VALUE!</v>
      </c>
      <c r="I2979" s="66">
        <f t="shared" si="46"/>
        <v>0</v>
      </c>
    </row>
    <row r="2980" spans="8:9">
      <c r="H2980" s="66" t="e">
        <f>IF(OR(LEFT(B2980,FIND("_",B2980,1)-1)="ULGALLOC",LEFT(B2980,FIND("_",B2980,1)-1)="ULSPOOL"),LEFT(B2980,FIND("_",B2980,1)-1),VLOOKUP(LEFT(A2980,6),'Code Library'!$D$3:$E$200,2,0))&amp;"_"&amp;RIGHT(A2980,3)</f>
        <v>#VALUE!</v>
      </c>
      <c r="I2980" s="66">
        <f t="shared" si="46"/>
        <v>0</v>
      </c>
    </row>
    <row r="2981" spans="8:9">
      <c r="H2981" s="66" t="e">
        <f>IF(OR(LEFT(B2981,FIND("_",B2981,1)-1)="ULGALLOC",LEFT(B2981,FIND("_",B2981,1)-1)="ULSPOOL"),LEFT(B2981,FIND("_",B2981,1)-1),VLOOKUP(LEFT(A2981,6),'Code Library'!$D$3:$E$200,2,0))&amp;"_"&amp;RIGHT(A2981,3)</f>
        <v>#VALUE!</v>
      </c>
      <c r="I2981" s="66">
        <f t="shared" si="46"/>
        <v>0</v>
      </c>
    </row>
    <row r="2982" spans="8:9">
      <c r="H2982" s="66" t="e">
        <f>IF(OR(LEFT(B2982,FIND("_",B2982,1)-1)="ULGALLOC",LEFT(B2982,FIND("_",B2982,1)-1)="ULSPOOL"),LEFT(B2982,FIND("_",B2982,1)-1),VLOOKUP(LEFT(A2982,6),'Code Library'!$D$3:$E$200,2,0))&amp;"_"&amp;RIGHT(A2982,3)</f>
        <v>#VALUE!</v>
      </c>
      <c r="I2982" s="66">
        <f t="shared" si="46"/>
        <v>0</v>
      </c>
    </row>
    <row r="2983" spans="8:9">
      <c r="H2983" s="66" t="e">
        <f>IF(OR(LEFT(B2983,FIND("_",B2983,1)-1)="ULGALLOC",LEFT(B2983,FIND("_",B2983,1)-1)="ULSPOOL"),LEFT(B2983,FIND("_",B2983,1)-1),VLOOKUP(LEFT(A2983,6),'Code Library'!$D$3:$E$200,2,0))&amp;"_"&amp;RIGHT(A2983,3)</f>
        <v>#VALUE!</v>
      </c>
      <c r="I2983" s="66">
        <f t="shared" si="46"/>
        <v>0</v>
      </c>
    </row>
    <row r="2984" spans="8:9">
      <c r="H2984" s="66" t="e">
        <f>IF(OR(LEFT(B2984,FIND("_",B2984,1)-1)="ULGALLOC",LEFT(B2984,FIND("_",B2984,1)-1)="ULSPOOL"),LEFT(B2984,FIND("_",B2984,1)-1),VLOOKUP(LEFT(A2984,6),'Code Library'!$D$3:$E$200,2,0))&amp;"_"&amp;RIGHT(A2984,3)</f>
        <v>#VALUE!</v>
      </c>
      <c r="I2984" s="66">
        <f t="shared" si="46"/>
        <v>0</v>
      </c>
    </row>
    <row r="2985" spans="8:9">
      <c r="H2985" s="66" t="e">
        <f>IF(OR(LEFT(B2985,FIND("_",B2985,1)-1)="ULGALLOC",LEFT(B2985,FIND("_",B2985,1)-1)="ULSPOOL"),LEFT(B2985,FIND("_",B2985,1)-1),VLOOKUP(LEFT(A2985,6),'Code Library'!$D$3:$E$200,2,0))&amp;"_"&amp;RIGHT(A2985,3)</f>
        <v>#VALUE!</v>
      </c>
      <c r="I2985" s="66">
        <f t="shared" si="46"/>
        <v>0</v>
      </c>
    </row>
    <row r="2986" spans="8:9">
      <c r="H2986" s="66" t="e">
        <f>IF(OR(LEFT(B2986,FIND("_",B2986,1)-1)="ULGALLOC",LEFT(B2986,FIND("_",B2986,1)-1)="ULSPOOL"),LEFT(B2986,FIND("_",B2986,1)-1),VLOOKUP(LEFT(A2986,6),'Code Library'!$D$3:$E$200,2,0))&amp;"_"&amp;RIGHT(A2986,3)</f>
        <v>#VALUE!</v>
      </c>
      <c r="I2986" s="66">
        <f t="shared" si="46"/>
        <v>0</v>
      </c>
    </row>
    <row r="2987" spans="8:9">
      <c r="H2987" s="66" t="e">
        <f>IF(OR(LEFT(B2987,FIND("_",B2987,1)-1)="ULGALLOC",LEFT(B2987,FIND("_",B2987,1)-1)="ULSPOOL"),LEFT(B2987,FIND("_",B2987,1)-1),VLOOKUP(LEFT(A2987,6),'Code Library'!$D$3:$E$200,2,0))&amp;"_"&amp;RIGHT(A2987,3)</f>
        <v>#VALUE!</v>
      </c>
      <c r="I2987" s="66">
        <f t="shared" si="46"/>
        <v>0</v>
      </c>
    </row>
    <row r="2988" spans="8:9">
      <c r="H2988" s="66" t="e">
        <f>IF(OR(LEFT(B2988,FIND("_",B2988,1)-1)="ULGALLOC",LEFT(B2988,FIND("_",B2988,1)-1)="ULSPOOL"),LEFT(B2988,FIND("_",B2988,1)-1),VLOOKUP(LEFT(A2988,6),'Code Library'!$D$3:$E$200,2,0))&amp;"_"&amp;RIGHT(A2988,3)</f>
        <v>#VALUE!</v>
      </c>
      <c r="I2988" s="66">
        <f t="shared" si="46"/>
        <v>0</v>
      </c>
    </row>
    <row r="2989" spans="8:9">
      <c r="H2989" s="66" t="e">
        <f>IF(OR(LEFT(B2989,FIND("_",B2989,1)-1)="ULGALLOC",LEFT(B2989,FIND("_",B2989,1)-1)="ULSPOOL"),LEFT(B2989,FIND("_",B2989,1)-1),VLOOKUP(LEFT(A2989,6),'Code Library'!$D$3:$E$200,2,0))&amp;"_"&amp;RIGHT(A2989,3)</f>
        <v>#VALUE!</v>
      </c>
      <c r="I2989" s="66">
        <f t="shared" si="46"/>
        <v>0</v>
      </c>
    </row>
    <row r="2990" spans="8:9">
      <c r="H2990" s="66" t="e">
        <f>IF(OR(LEFT(B2990,FIND("_",B2990,1)-1)="ULGALLOC",LEFT(B2990,FIND("_",B2990,1)-1)="ULSPOOL"),LEFT(B2990,FIND("_",B2990,1)-1),VLOOKUP(LEFT(A2990,6),'Code Library'!$D$3:$E$200,2,0))&amp;"_"&amp;RIGHT(A2990,3)</f>
        <v>#VALUE!</v>
      </c>
      <c r="I2990" s="66">
        <f t="shared" si="46"/>
        <v>0</v>
      </c>
    </row>
    <row r="2991" spans="8:9">
      <c r="H2991" s="66" t="e">
        <f>IF(OR(LEFT(B2991,FIND("_",B2991,1)-1)="ULGALLOC",LEFT(B2991,FIND("_",B2991,1)-1)="ULSPOOL"),LEFT(B2991,FIND("_",B2991,1)-1),VLOOKUP(LEFT(A2991,6),'Code Library'!$D$3:$E$200,2,0))&amp;"_"&amp;RIGHT(A2991,3)</f>
        <v>#VALUE!</v>
      </c>
      <c r="I2991" s="66">
        <f t="shared" si="46"/>
        <v>0</v>
      </c>
    </row>
    <row r="2992" spans="8:9">
      <c r="H2992" s="66" t="e">
        <f>IF(OR(LEFT(B2992,FIND("_",B2992,1)-1)="ULGALLOC",LEFT(B2992,FIND("_",B2992,1)-1)="ULSPOOL"),LEFT(B2992,FIND("_",B2992,1)-1),VLOOKUP(LEFT(A2992,6),'Code Library'!$D$3:$E$200,2,0))&amp;"_"&amp;RIGHT(A2992,3)</f>
        <v>#VALUE!</v>
      </c>
      <c r="I2992" s="66">
        <f t="shared" si="46"/>
        <v>0</v>
      </c>
    </row>
    <row r="2993" spans="8:9">
      <c r="H2993" s="66" t="e">
        <f>IF(OR(LEFT(B2993,FIND("_",B2993,1)-1)="ULGALLOC",LEFT(B2993,FIND("_",B2993,1)-1)="ULSPOOL"),LEFT(B2993,FIND("_",B2993,1)-1),VLOOKUP(LEFT(A2993,6),'Code Library'!$D$3:$E$200,2,0))&amp;"_"&amp;RIGHT(A2993,3)</f>
        <v>#VALUE!</v>
      </c>
      <c r="I2993" s="66">
        <f t="shared" si="46"/>
        <v>0</v>
      </c>
    </row>
    <row r="2994" spans="8:9">
      <c r="H2994" s="66" t="e">
        <f>IF(OR(LEFT(B2994,FIND("_",B2994,1)-1)="ULGALLOC",LEFT(B2994,FIND("_",B2994,1)-1)="ULSPOOL"),LEFT(B2994,FIND("_",B2994,1)-1),VLOOKUP(LEFT(A2994,6),'Code Library'!$D$3:$E$200,2,0))&amp;"_"&amp;RIGHT(A2994,3)</f>
        <v>#VALUE!</v>
      </c>
      <c r="I2994" s="66">
        <f t="shared" si="46"/>
        <v>0</v>
      </c>
    </row>
    <row r="2995" spans="8:9">
      <c r="H2995" s="66" t="e">
        <f>IF(OR(LEFT(B2995,FIND("_",B2995,1)-1)="ULGALLOC",LEFT(B2995,FIND("_",B2995,1)-1)="ULSPOOL"),LEFT(B2995,FIND("_",B2995,1)-1),VLOOKUP(LEFT(A2995,6),'Code Library'!$D$3:$E$200,2,0))&amp;"_"&amp;RIGHT(A2995,3)</f>
        <v>#VALUE!</v>
      </c>
      <c r="I2995" s="66">
        <f t="shared" si="46"/>
        <v>0</v>
      </c>
    </row>
    <row r="2996" spans="8:9">
      <c r="H2996" s="66" t="e">
        <f>IF(OR(LEFT(B2996,FIND("_",B2996,1)-1)="ULGALLOC",LEFT(B2996,FIND("_",B2996,1)-1)="ULSPOOL"),LEFT(B2996,FIND("_",B2996,1)-1),VLOOKUP(LEFT(A2996,6),'Code Library'!$D$3:$E$200,2,0))&amp;"_"&amp;RIGHT(A2996,3)</f>
        <v>#VALUE!</v>
      </c>
      <c r="I2996" s="66">
        <f t="shared" si="46"/>
        <v>0</v>
      </c>
    </row>
    <row r="2997" spans="8:9">
      <c r="H2997" s="66" t="e">
        <f>IF(OR(LEFT(B2997,FIND("_",B2997,1)-1)="ULGALLOC",LEFT(B2997,FIND("_",B2997,1)-1)="ULSPOOL"),LEFT(B2997,FIND("_",B2997,1)-1),VLOOKUP(LEFT(A2997,6),'Code Library'!$D$3:$E$200,2,0))&amp;"_"&amp;RIGHT(A2997,3)</f>
        <v>#VALUE!</v>
      </c>
      <c r="I2997" s="66">
        <f t="shared" si="46"/>
        <v>0</v>
      </c>
    </row>
    <row r="2998" spans="8:9">
      <c r="H2998" s="66" t="e">
        <f>IF(OR(LEFT(B2998,FIND("_",B2998,1)-1)="ULGALLOC",LEFT(B2998,FIND("_",B2998,1)-1)="ULSPOOL"),LEFT(B2998,FIND("_",B2998,1)-1),VLOOKUP(LEFT(A2998,6),'Code Library'!$D$3:$E$200,2,0))&amp;"_"&amp;RIGHT(A2998,3)</f>
        <v>#VALUE!</v>
      </c>
      <c r="I2998" s="66">
        <f t="shared" si="46"/>
        <v>0</v>
      </c>
    </row>
    <row r="2999" spans="8:9">
      <c r="H2999" s="66" t="e">
        <f>IF(OR(LEFT(B2999,FIND("_",B2999,1)-1)="ULGALLOC",LEFT(B2999,FIND("_",B2999,1)-1)="ULSPOOL"),LEFT(B2999,FIND("_",B2999,1)-1),VLOOKUP(LEFT(A2999,6),'Code Library'!$D$3:$E$200,2,0))&amp;"_"&amp;RIGHT(A2999,3)</f>
        <v>#VALUE!</v>
      </c>
      <c r="I2999" s="66">
        <f t="shared" si="46"/>
        <v>0</v>
      </c>
    </row>
    <row r="3000" spans="8:9">
      <c r="H3000" s="66" t="e">
        <f>IF(OR(LEFT(B3000,FIND("_",B3000,1)-1)="ULGALLOC",LEFT(B3000,FIND("_",B3000,1)-1)="ULSPOOL"),LEFT(B3000,FIND("_",B3000,1)-1),VLOOKUP(LEFT(A3000,6),'Code Library'!$D$3:$E$200,2,0))&amp;"_"&amp;RIGHT(A3000,3)</f>
        <v>#VALUE!</v>
      </c>
      <c r="I3000" s="66">
        <f t="shared" si="46"/>
        <v>0</v>
      </c>
    </row>
    <row r="3001" spans="8:9">
      <c r="H3001" s="66" t="e">
        <f>IF(OR(LEFT(B3001,FIND("_",B3001,1)-1)="ULGALLOC",LEFT(B3001,FIND("_",B3001,1)-1)="ULSPOOL"),LEFT(B3001,FIND("_",B3001,1)-1),VLOOKUP(LEFT(A3001,6),'Code Library'!$D$3:$E$200,2,0))&amp;"_"&amp;RIGHT(A3001,3)</f>
        <v>#VALUE!</v>
      </c>
      <c r="I3001" s="66">
        <f t="shared" si="46"/>
        <v>0</v>
      </c>
    </row>
    <row r="3002" spans="8:9">
      <c r="H3002" s="66" t="e">
        <f>IF(OR(LEFT(B3002,FIND("_",B3002,1)-1)="ULGALLOC",LEFT(B3002,FIND("_",B3002,1)-1)="ULSPOOL"),LEFT(B3002,FIND("_",B3002,1)-1),VLOOKUP(LEFT(A3002,6),'Code Library'!$D$3:$E$200,2,0))&amp;"_"&amp;RIGHT(A3002,3)</f>
        <v>#VALUE!</v>
      </c>
      <c r="I3002" s="66">
        <f t="shared" si="46"/>
        <v>0</v>
      </c>
    </row>
    <row r="3003" spans="8:9">
      <c r="H3003" s="66" t="e">
        <f>IF(OR(LEFT(B3003,FIND("_",B3003,1)-1)="ULGALLOC",LEFT(B3003,FIND("_",B3003,1)-1)="ULSPOOL"),LEFT(B3003,FIND("_",B3003,1)-1),VLOOKUP(LEFT(A3003,6),'Code Library'!$D$3:$E$200,2,0))&amp;"_"&amp;RIGHT(A3003,3)</f>
        <v>#VALUE!</v>
      </c>
      <c r="I3003" s="66">
        <f t="shared" si="46"/>
        <v>0</v>
      </c>
    </row>
    <row r="3004" spans="8:9">
      <c r="H3004" s="66" t="e">
        <f>IF(OR(LEFT(B3004,FIND("_",B3004,1)-1)="ULGALLOC",LEFT(B3004,FIND("_",B3004,1)-1)="ULSPOOL"),LEFT(B3004,FIND("_",B3004,1)-1),VLOOKUP(LEFT(A3004,6),'Code Library'!$D$3:$E$200,2,0))&amp;"_"&amp;RIGHT(A3004,3)</f>
        <v>#VALUE!</v>
      </c>
      <c r="I3004" s="66">
        <f t="shared" si="46"/>
        <v>0</v>
      </c>
    </row>
    <row r="3005" spans="8:9">
      <c r="H3005" s="66" t="e">
        <f>IF(OR(LEFT(B3005,FIND("_",B3005,1)-1)="ULGALLOC",LEFT(B3005,FIND("_",B3005,1)-1)="ULSPOOL"),LEFT(B3005,FIND("_",B3005,1)-1),VLOOKUP(LEFT(A3005,6),'Code Library'!$D$3:$E$200,2,0))&amp;"_"&amp;RIGHT(A3005,3)</f>
        <v>#VALUE!</v>
      </c>
      <c r="I3005" s="66">
        <f t="shared" si="46"/>
        <v>0</v>
      </c>
    </row>
    <row r="3006" spans="8:9">
      <c r="H3006" s="66" t="e">
        <f>IF(OR(LEFT(B3006,FIND("_",B3006,1)-1)="ULGALLOC",LEFT(B3006,FIND("_",B3006,1)-1)="ULSPOOL"),LEFT(B3006,FIND("_",B3006,1)-1),VLOOKUP(LEFT(A3006,6),'Code Library'!$D$3:$E$200,2,0))&amp;"_"&amp;RIGHT(A3006,3)</f>
        <v>#VALUE!</v>
      </c>
      <c r="I3006" s="66">
        <f t="shared" si="46"/>
        <v>0</v>
      </c>
    </row>
    <row r="3007" spans="8:9">
      <c r="H3007" s="66" t="e">
        <f>IF(OR(LEFT(B3007,FIND("_",B3007,1)-1)="ULGALLOC",LEFT(B3007,FIND("_",B3007,1)-1)="ULSPOOL"),LEFT(B3007,FIND("_",B3007,1)-1),VLOOKUP(LEFT(A3007,6),'Code Library'!$D$3:$E$200,2,0))&amp;"_"&amp;RIGHT(A3007,3)</f>
        <v>#VALUE!</v>
      </c>
      <c r="I3007" s="66">
        <f t="shared" si="46"/>
        <v>0</v>
      </c>
    </row>
    <row r="3008" spans="8:9">
      <c r="H3008" s="66" t="e">
        <f>IF(OR(LEFT(B3008,FIND("_",B3008,1)-1)="ULGALLOC",LEFT(B3008,FIND("_",B3008,1)-1)="ULSPOOL"),LEFT(B3008,FIND("_",B3008,1)-1),VLOOKUP(LEFT(A3008,6),'Code Library'!$D$3:$E$200,2,0))&amp;"_"&amp;RIGHT(A3008,3)</f>
        <v>#VALUE!</v>
      </c>
      <c r="I3008" s="66">
        <f t="shared" si="46"/>
        <v>0</v>
      </c>
    </row>
    <row r="3009" spans="8:9">
      <c r="H3009" s="66" t="e">
        <f>IF(OR(LEFT(B3009,FIND("_",B3009,1)-1)="ULGALLOC",LEFT(B3009,FIND("_",B3009,1)-1)="ULSPOOL"),LEFT(B3009,FIND("_",B3009,1)-1),VLOOKUP(LEFT(A3009,6),'Code Library'!$D$3:$E$200,2,0))&amp;"_"&amp;RIGHT(A3009,3)</f>
        <v>#VALUE!</v>
      </c>
      <c r="I3009" s="66">
        <f t="shared" si="46"/>
        <v>0</v>
      </c>
    </row>
    <row r="3010" spans="8:9">
      <c r="H3010" s="66" t="e">
        <f>IF(OR(LEFT(B3010,FIND("_",B3010,1)-1)="ULGALLOC",LEFT(B3010,FIND("_",B3010,1)-1)="ULSPOOL"),LEFT(B3010,FIND("_",B3010,1)-1),VLOOKUP(LEFT(A3010,6),'Code Library'!$D$3:$E$200,2,0))&amp;"_"&amp;RIGHT(A3010,3)</f>
        <v>#VALUE!</v>
      </c>
      <c r="I3010" s="66">
        <f t="shared" si="46"/>
        <v>0</v>
      </c>
    </row>
    <row r="3011" spans="8:9">
      <c r="H3011" s="66" t="e">
        <f>IF(OR(LEFT(B3011,FIND("_",B3011,1)-1)="ULGALLOC",LEFT(B3011,FIND("_",B3011,1)-1)="ULSPOOL"),LEFT(B3011,FIND("_",B3011,1)-1),VLOOKUP(LEFT(A3011,6),'Code Library'!$D$3:$E$200,2,0))&amp;"_"&amp;RIGHT(A3011,3)</f>
        <v>#VALUE!</v>
      </c>
      <c r="I3011" s="66">
        <f t="shared" ref="I3011:I3074" si="47">A3011</f>
        <v>0</v>
      </c>
    </row>
    <row r="3012" spans="8:9">
      <c r="H3012" s="66" t="e">
        <f>IF(OR(LEFT(B3012,FIND("_",B3012,1)-1)="ULGALLOC",LEFT(B3012,FIND("_",B3012,1)-1)="ULSPOOL"),LEFT(B3012,FIND("_",B3012,1)-1),VLOOKUP(LEFT(A3012,6),'Code Library'!$D$3:$E$200,2,0))&amp;"_"&amp;RIGHT(A3012,3)</f>
        <v>#VALUE!</v>
      </c>
      <c r="I3012" s="66">
        <f t="shared" si="47"/>
        <v>0</v>
      </c>
    </row>
    <row r="3013" spans="8:9">
      <c r="H3013" s="66" t="e">
        <f>IF(OR(LEFT(B3013,FIND("_",B3013,1)-1)="ULGALLOC",LEFT(B3013,FIND("_",B3013,1)-1)="ULSPOOL"),LEFT(B3013,FIND("_",B3013,1)-1),VLOOKUP(LEFT(A3013,6),'Code Library'!$D$3:$E$200,2,0))&amp;"_"&amp;RIGHT(A3013,3)</f>
        <v>#VALUE!</v>
      </c>
      <c r="I3013" s="66">
        <f t="shared" si="47"/>
        <v>0</v>
      </c>
    </row>
    <row r="3014" spans="8:9">
      <c r="H3014" s="66" t="e">
        <f>IF(OR(LEFT(B3014,FIND("_",B3014,1)-1)="ULGALLOC",LEFT(B3014,FIND("_",B3014,1)-1)="ULSPOOL"),LEFT(B3014,FIND("_",B3014,1)-1),VLOOKUP(LEFT(A3014,6),'Code Library'!$D$3:$E$200,2,0))&amp;"_"&amp;RIGHT(A3014,3)</f>
        <v>#VALUE!</v>
      </c>
      <c r="I3014" s="66">
        <f t="shared" si="47"/>
        <v>0</v>
      </c>
    </row>
    <row r="3015" spans="8:9">
      <c r="H3015" s="66" t="e">
        <f>IF(OR(LEFT(B3015,FIND("_",B3015,1)-1)="ULGALLOC",LEFT(B3015,FIND("_",B3015,1)-1)="ULSPOOL"),LEFT(B3015,FIND("_",B3015,1)-1),VLOOKUP(LEFT(A3015,6),'Code Library'!$D$3:$E$200,2,0))&amp;"_"&amp;RIGHT(A3015,3)</f>
        <v>#VALUE!</v>
      </c>
      <c r="I3015" s="66">
        <f t="shared" si="47"/>
        <v>0</v>
      </c>
    </row>
    <row r="3016" spans="8:9">
      <c r="H3016" s="66" t="e">
        <f>IF(OR(LEFT(B3016,FIND("_",B3016,1)-1)="ULGALLOC",LEFT(B3016,FIND("_",B3016,1)-1)="ULSPOOL"),LEFT(B3016,FIND("_",B3016,1)-1),VLOOKUP(LEFT(A3016,6),'Code Library'!$D$3:$E$200,2,0))&amp;"_"&amp;RIGHT(A3016,3)</f>
        <v>#VALUE!</v>
      </c>
      <c r="I3016" s="66">
        <f t="shared" si="47"/>
        <v>0</v>
      </c>
    </row>
    <row r="3017" spans="8:9">
      <c r="H3017" s="66" t="e">
        <f>IF(OR(LEFT(B3017,FIND("_",B3017,1)-1)="ULGALLOC",LEFT(B3017,FIND("_",B3017,1)-1)="ULSPOOL"),LEFT(B3017,FIND("_",B3017,1)-1),VLOOKUP(LEFT(A3017,6),'Code Library'!$D$3:$E$200,2,0))&amp;"_"&amp;RIGHT(A3017,3)</f>
        <v>#VALUE!</v>
      </c>
      <c r="I3017" s="66">
        <f t="shared" si="47"/>
        <v>0</v>
      </c>
    </row>
    <row r="3018" spans="8:9">
      <c r="H3018" s="66" t="e">
        <f>IF(OR(LEFT(B3018,FIND("_",B3018,1)-1)="ULGALLOC",LEFT(B3018,FIND("_",B3018,1)-1)="ULSPOOL"),LEFT(B3018,FIND("_",B3018,1)-1),VLOOKUP(LEFT(A3018,6),'Code Library'!$D$3:$E$200,2,0))&amp;"_"&amp;RIGHT(A3018,3)</f>
        <v>#VALUE!</v>
      </c>
      <c r="I3018" s="66">
        <f t="shared" si="47"/>
        <v>0</v>
      </c>
    </row>
    <row r="3019" spans="8:9">
      <c r="H3019" s="66" t="e">
        <f>IF(OR(LEFT(B3019,FIND("_",B3019,1)-1)="ULGALLOC",LEFT(B3019,FIND("_",B3019,1)-1)="ULSPOOL"),LEFT(B3019,FIND("_",B3019,1)-1),VLOOKUP(LEFT(A3019,6),'Code Library'!$D$3:$E$200,2,0))&amp;"_"&amp;RIGHT(A3019,3)</f>
        <v>#VALUE!</v>
      </c>
      <c r="I3019" s="66">
        <f t="shared" si="47"/>
        <v>0</v>
      </c>
    </row>
    <row r="3020" spans="8:9">
      <c r="H3020" s="66" t="e">
        <f>IF(OR(LEFT(B3020,FIND("_",B3020,1)-1)="ULGALLOC",LEFT(B3020,FIND("_",B3020,1)-1)="ULSPOOL"),LEFT(B3020,FIND("_",B3020,1)-1),VLOOKUP(LEFT(A3020,6),'Code Library'!$D$3:$E$200,2,0))&amp;"_"&amp;RIGHT(A3020,3)</f>
        <v>#VALUE!</v>
      </c>
      <c r="I3020" s="66">
        <f t="shared" si="47"/>
        <v>0</v>
      </c>
    </row>
    <row r="3021" spans="8:9">
      <c r="H3021" s="66" t="e">
        <f>IF(OR(LEFT(B3021,FIND("_",B3021,1)-1)="ULGALLOC",LEFT(B3021,FIND("_",B3021,1)-1)="ULSPOOL"),LEFT(B3021,FIND("_",B3021,1)-1),VLOOKUP(LEFT(A3021,6),'Code Library'!$D$3:$E$200,2,0))&amp;"_"&amp;RIGHT(A3021,3)</f>
        <v>#VALUE!</v>
      </c>
      <c r="I3021" s="66">
        <f t="shared" si="47"/>
        <v>0</v>
      </c>
    </row>
    <row r="3022" spans="8:9">
      <c r="H3022" s="66" t="e">
        <f>IF(OR(LEFT(B3022,FIND("_",B3022,1)-1)="ULGALLOC",LEFT(B3022,FIND("_",B3022,1)-1)="ULSPOOL"),LEFT(B3022,FIND("_",B3022,1)-1),VLOOKUP(LEFT(A3022,6),'Code Library'!$D$3:$E$200,2,0))&amp;"_"&amp;RIGHT(A3022,3)</f>
        <v>#VALUE!</v>
      </c>
      <c r="I3022" s="66">
        <f t="shared" si="47"/>
        <v>0</v>
      </c>
    </row>
    <row r="3023" spans="8:9">
      <c r="H3023" s="66" t="e">
        <f>IF(OR(LEFT(B3023,FIND("_",B3023,1)-1)="ULGALLOC",LEFT(B3023,FIND("_",B3023,1)-1)="ULSPOOL"),LEFT(B3023,FIND("_",B3023,1)-1),VLOOKUP(LEFT(A3023,6),'Code Library'!$D$3:$E$200,2,0))&amp;"_"&amp;RIGHT(A3023,3)</f>
        <v>#VALUE!</v>
      </c>
      <c r="I3023" s="66">
        <f t="shared" si="47"/>
        <v>0</v>
      </c>
    </row>
    <row r="3024" spans="8:9">
      <c r="H3024" s="66" t="e">
        <f>IF(OR(LEFT(B3024,FIND("_",B3024,1)-1)="ULGALLOC",LEFT(B3024,FIND("_",B3024,1)-1)="ULSPOOL"),LEFT(B3024,FIND("_",B3024,1)-1),VLOOKUP(LEFT(A3024,6),'Code Library'!$D$3:$E$200,2,0))&amp;"_"&amp;RIGHT(A3024,3)</f>
        <v>#VALUE!</v>
      </c>
      <c r="I3024" s="66">
        <f t="shared" si="47"/>
        <v>0</v>
      </c>
    </row>
    <row r="3025" spans="8:9">
      <c r="H3025" s="66" t="e">
        <f>IF(OR(LEFT(B3025,FIND("_",B3025,1)-1)="ULGALLOC",LEFT(B3025,FIND("_",B3025,1)-1)="ULSPOOL"),LEFT(B3025,FIND("_",B3025,1)-1),VLOOKUP(LEFT(A3025,6),'Code Library'!$D$3:$E$200,2,0))&amp;"_"&amp;RIGHT(A3025,3)</f>
        <v>#VALUE!</v>
      </c>
      <c r="I3025" s="66">
        <f t="shared" si="47"/>
        <v>0</v>
      </c>
    </row>
    <row r="3026" spans="8:9">
      <c r="H3026" s="66" t="e">
        <f>IF(OR(LEFT(B3026,FIND("_",B3026,1)-1)="ULGALLOC",LEFT(B3026,FIND("_",B3026,1)-1)="ULSPOOL"),LEFT(B3026,FIND("_",B3026,1)-1),VLOOKUP(LEFT(A3026,6),'Code Library'!$D$3:$E$200,2,0))&amp;"_"&amp;RIGHT(A3026,3)</f>
        <v>#VALUE!</v>
      </c>
      <c r="I3026" s="66">
        <f t="shared" si="47"/>
        <v>0</v>
      </c>
    </row>
    <row r="3027" spans="8:9">
      <c r="H3027" s="66" t="e">
        <f>IF(OR(LEFT(B3027,FIND("_",B3027,1)-1)="ULGALLOC",LEFT(B3027,FIND("_",B3027,1)-1)="ULSPOOL"),LEFT(B3027,FIND("_",B3027,1)-1),VLOOKUP(LEFT(A3027,6),'Code Library'!$D$3:$E$200,2,0))&amp;"_"&amp;RIGHT(A3027,3)</f>
        <v>#VALUE!</v>
      </c>
      <c r="I3027" s="66">
        <f t="shared" si="47"/>
        <v>0</v>
      </c>
    </row>
    <row r="3028" spans="8:9">
      <c r="H3028" s="66" t="e">
        <f>IF(OR(LEFT(B3028,FIND("_",B3028,1)-1)="ULGALLOC",LEFT(B3028,FIND("_",B3028,1)-1)="ULSPOOL"),LEFT(B3028,FIND("_",B3028,1)-1),VLOOKUP(LEFT(A3028,6),'Code Library'!$D$3:$E$200,2,0))&amp;"_"&amp;RIGHT(A3028,3)</f>
        <v>#VALUE!</v>
      </c>
      <c r="I3028" s="66">
        <f t="shared" si="47"/>
        <v>0</v>
      </c>
    </row>
    <row r="3029" spans="8:9">
      <c r="H3029" s="66" t="e">
        <f>IF(OR(LEFT(B3029,FIND("_",B3029,1)-1)="ULGALLOC",LEFT(B3029,FIND("_",B3029,1)-1)="ULSPOOL"),LEFT(B3029,FIND("_",B3029,1)-1),VLOOKUP(LEFT(A3029,6),'Code Library'!$D$3:$E$200,2,0))&amp;"_"&amp;RIGHT(A3029,3)</f>
        <v>#VALUE!</v>
      </c>
      <c r="I3029" s="66">
        <f t="shared" si="47"/>
        <v>0</v>
      </c>
    </row>
    <row r="3030" spans="8:9">
      <c r="H3030" s="66" t="e">
        <f>IF(OR(LEFT(B3030,FIND("_",B3030,1)-1)="ULGALLOC",LEFT(B3030,FIND("_",B3030,1)-1)="ULSPOOL"),LEFT(B3030,FIND("_",B3030,1)-1),VLOOKUP(LEFT(A3030,6),'Code Library'!$D$3:$E$200,2,0))&amp;"_"&amp;RIGHT(A3030,3)</f>
        <v>#VALUE!</v>
      </c>
      <c r="I3030" s="66">
        <f t="shared" si="47"/>
        <v>0</v>
      </c>
    </row>
    <row r="3031" spans="8:9">
      <c r="H3031" s="66" t="e">
        <f>IF(OR(LEFT(B3031,FIND("_",B3031,1)-1)="ULGALLOC",LEFT(B3031,FIND("_",B3031,1)-1)="ULSPOOL"),LEFT(B3031,FIND("_",B3031,1)-1),VLOOKUP(LEFT(A3031,6),'Code Library'!$D$3:$E$200,2,0))&amp;"_"&amp;RIGHT(A3031,3)</f>
        <v>#VALUE!</v>
      </c>
      <c r="I3031" s="66">
        <f t="shared" si="47"/>
        <v>0</v>
      </c>
    </row>
    <row r="3032" spans="8:9">
      <c r="H3032" s="66" t="e">
        <f>IF(OR(LEFT(B3032,FIND("_",B3032,1)-1)="ULGALLOC",LEFT(B3032,FIND("_",B3032,1)-1)="ULSPOOL"),LEFT(B3032,FIND("_",B3032,1)-1),VLOOKUP(LEFT(A3032,6),'Code Library'!$D$3:$E$200,2,0))&amp;"_"&amp;RIGHT(A3032,3)</f>
        <v>#VALUE!</v>
      </c>
      <c r="I3032" s="66">
        <f t="shared" si="47"/>
        <v>0</v>
      </c>
    </row>
    <row r="3033" spans="8:9">
      <c r="H3033" s="66" t="e">
        <f>IF(OR(LEFT(B3033,FIND("_",B3033,1)-1)="ULGALLOC",LEFT(B3033,FIND("_",B3033,1)-1)="ULSPOOL"),LEFT(B3033,FIND("_",B3033,1)-1),VLOOKUP(LEFT(A3033,6),'Code Library'!$D$3:$E$200,2,0))&amp;"_"&amp;RIGHT(A3033,3)</f>
        <v>#VALUE!</v>
      </c>
      <c r="I3033" s="66">
        <f t="shared" si="47"/>
        <v>0</v>
      </c>
    </row>
    <row r="3034" spans="8:9">
      <c r="H3034" s="66" t="e">
        <f>IF(OR(LEFT(B3034,FIND("_",B3034,1)-1)="ULGALLOC",LEFT(B3034,FIND("_",B3034,1)-1)="ULSPOOL"),LEFT(B3034,FIND("_",B3034,1)-1),VLOOKUP(LEFT(A3034,6),'Code Library'!$D$3:$E$200,2,0))&amp;"_"&amp;RIGHT(A3034,3)</f>
        <v>#VALUE!</v>
      </c>
      <c r="I3034" s="66">
        <f t="shared" si="47"/>
        <v>0</v>
      </c>
    </row>
    <row r="3035" spans="8:9">
      <c r="H3035" s="66" t="e">
        <f>IF(OR(LEFT(B3035,FIND("_",B3035,1)-1)="ULGALLOC",LEFT(B3035,FIND("_",B3035,1)-1)="ULSPOOL"),LEFT(B3035,FIND("_",B3035,1)-1),VLOOKUP(LEFT(A3035,6),'Code Library'!$D$3:$E$200,2,0))&amp;"_"&amp;RIGHT(A3035,3)</f>
        <v>#VALUE!</v>
      </c>
      <c r="I3035" s="66">
        <f t="shared" si="47"/>
        <v>0</v>
      </c>
    </row>
    <row r="3036" spans="8:9">
      <c r="H3036" s="66" t="e">
        <f>IF(OR(LEFT(B3036,FIND("_",B3036,1)-1)="ULGALLOC",LEFT(B3036,FIND("_",B3036,1)-1)="ULSPOOL"),LEFT(B3036,FIND("_",B3036,1)-1),VLOOKUP(LEFT(A3036,6),'Code Library'!$D$3:$E$200,2,0))&amp;"_"&amp;RIGHT(A3036,3)</f>
        <v>#VALUE!</v>
      </c>
      <c r="I3036" s="66">
        <f t="shared" si="47"/>
        <v>0</v>
      </c>
    </row>
    <row r="3037" spans="8:9">
      <c r="H3037" s="66" t="e">
        <f>IF(OR(LEFT(B3037,FIND("_",B3037,1)-1)="ULGALLOC",LEFT(B3037,FIND("_",B3037,1)-1)="ULSPOOL"),LEFT(B3037,FIND("_",B3037,1)-1),VLOOKUP(LEFT(A3037,6),'Code Library'!$D$3:$E$200,2,0))&amp;"_"&amp;RIGHT(A3037,3)</f>
        <v>#VALUE!</v>
      </c>
      <c r="I3037" s="66">
        <f t="shared" si="47"/>
        <v>0</v>
      </c>
    </row>
    <row r="3038" spans="8:9">
      <c r="H3038" s="66" t="e">
        <f>IF(OR(LEFT(B3038,FIND("_",B3038,1)-1)="ULGALLOC",LEFT(B3038,FIND("_",B3038,1)-1)="ULSPOOL"),LEFT(B3038,FIND("_",B3038,1)-1),VLOOKUP(LEFT(A3038,6),'Code Library'!$D$3:$E$200,2,0))&amp;"_"&amp;RIGHT(A3038,3)</f>
        <v>#VALUE!</v>
      </c>
      <c r="I3038" s="66">
        <f t="shared" si="47"/>
        <v>0</v>
      </c>
    </row>
    <row r="3039" spans="8:9">
      <c r="H3039" s="66" t="e">
        <f>IF(OR(LEFT(B3039,FIND("_",B3039,1)-1)="ULGALLOC",LEFT(B3039,FIND("_",B3039,1)-1)="ULSPOOL"),LEFT(B3039,FIND("_",B3039,1)-1),VLOOKUP(LEFT(A3039,6),'Code Library'!$D$3:$E$200,2,0))&amp;"_"&amp;RIGHT(A3039,3)</f>
        <v>#VALUE!</v>
      </c>
      <c r="I3039" s="66">
        <f t="shared" si="47"/>
        <v>0</v>
      </c>
    </row>
    <row r="3040" spans="8:9">
      <c r="H3040" s="66" t="e">
        <f>IF(OR(LEFT(B3040,FIND("_",B3040,1)-1)="ULGALLOC",LEFT(B3040,FIND("_",B3040,1)-1)="ULSPOOL"),LEFT(B3040,FIND("_",B3040,1)-1),VLOOKUP(LEFT(A3040,6),'Code Library'!$D$3:$E$200,2,0))&amp;"_"&amp;RIGHT(A3040,3)</f>
        <v>#VALUE!</v>
      </c>
      <c r="I3040" s="66">
        <f t="shared" si="47"/>
        <v>0</v>
      </c>
    </row>
    <row r="3041" spans="8:9">
      <c r="H3041" s="66" t="e">
        <f>IF(OR(LEFT(B3041,FIND("_",B3041,1)-1)="ULGALLOC",LEFT(B3041,FIND("_",B3041,1)-1)="ULSPOOL"),LEFT(B3041,FIND("_",B3041,1)-1),VLOOKUP(LEFT(A3041,6),'Code Library'!$D$3:$E$200,2,0))&amp;"_"&amp;RIGHT(A3041,3)</f>
        <v>#VALUE!</v>
      </c>
      <c r="I3041" s="66">
        <f t="shared" si="47"/>
        <v>0</v>
      </c>
    </row>
    <row r="3042" spans="8:9">
      <c r="H3042" s="66" t="e">
        <f>IF(OR(LEFT(B3042,FIND("_",B3042,1)-1)="ULGALLOC",LEFT(B3042,FIND("_",B3042,1)-1)="ULSPOOL"),LEFT(B3042,FIND("_",B3042,1)-1),VLOOKUP(LEFT(A3042,6),'Code Library'!$D$3:$E$200,2,0))&amp;"_"&amp;RIGHT(A3042,3)</f>
        <v>#VALUE!</v>
      </c>
      <c r="I3042" s="66">
        <f t="shared" si="47"/>
        <v>0</v>
      </c>
    </row>
    <row r="3043" spans="8:9">
      <c r="H3043" s="66" t="e">
        <f>IF(OR(LEFT(B3043,FIND("_",B3043,1)-1)="ULGALLOC",LEFT(B3043,FIND("_",B3043,1)-1)="ULSPOOL"),LEFT(B3043,FIND("_",B3043,1)-1),VLOOKUP(LEFT(A3043,6),'Code Library'!$D$3:$E$200,2,0))&amp;"_"&amp;RIGHT(A3043,3)</f>
        <v>#VALUE!</v>
      </c>
      <c r="I3043" s="66">
        <f t="shared" si="47"/>
        <v>0</v>
      </c>
    </row>
    <row r="3044" spans="8:9">
      <c r="H3044" s="66" t="e">
        <f>IF(OR(LEFT(B3044,FIND("_",B3044,1)-1)="ULGALLOC",LEFT(B3044,FIND("_",B3044,1)-1)="ULSPOOL"),LEFT(B3044,FIND("_",B3044,1)-1),VLOOKUP(LEFT(A3044,6),'Code Library'!$D$3:$E$200,2,0))&amp;"_"&amp;RIGHT(A3044,3)</f>
        <v>#VALUE!</v>
      </c>
      <c r="I3044" s="66">
        <f t="shared" si="47"/>
        <v>0</v>
      </c>
    </row>
    <row r="3045" spans="8:9">
      <c r="H3045" s="66" t="e">
        <f>IF(OR(LEFT(B3045,FIND("_",B3045,1)-1)="ULGALLOC",LEFT(B3045,FIND("_",B3045,1)-1)="ULSPOOL"),LEFT(B3045,FIND("_",B3045,1)-1),VLOOKUP(LEFT(A3045,6),'Code Library'!$D$3:$E$200,2,0))&amp;"_"&amp;RIGHT(A3045,3)</f>
        <v>#VALUE!</v>
      </c>
      <c r="I3045" s="66">
        <f t="shared" si="47"/>
        <v>0</v>
      </c>
    </row>
    <row r="3046" spans="8:9">
      <c r="H3046" s="66" t="e">
        <f>IF(OR(LEFT(B3046,FIND("_",B3046,1)-1)="ULGALLOC",LEFT(B3046,FIND("_",B3046,1)-1)="ULSPOOL"),LEFT(B3046,FIND("_",B3046,1)-1),VLOOKUP(LEFT(A3046,6),'Code Library'!$D$3:$E$200,2,0))&amp;"_"&amp;RIGHT(A3046,3)</f>
        <v>#VALUE!</v>
      </c>
      <c r="I3046" s="66">
        <f t="shared" si="47"/>
        <v>0</v>
      </c>
    </row>
    <row r="3047" spans="8:9">
      <c r="H3047" s="66" t="e">
        <f>IF(OR(LEFT(B3047,FIND("_",B3047,1)-1)="ULGALLOC",LEFT(B3047,FIND("_",B3047,1)-1)="ULSPOOL"),LEFT(B3047,FIND("_",B3047,1)-1),VLOOKUP(LEFT(A3047,6),'Code Library'!$D$3:$E$200,2,0))&amp;"_"&amp;RIGHT(A3047,3)</f>
        <v>#VALUE!</v>
      </c>
      <c r="I3047" s="66">
        <f t="shared" si="47"/>
        <v>0</v>
      </c>
    </row>
    <row r="3048" spans="8:9">
      <c r="H3048" s="66" t="e">
        <f>IF(OR(LEFT(B3048,FIND("_",B3048,1)-1)="ULGALLOC",LEFT(B3048,FIND("_",B3048,1)-1)="ULSPOOL"),LEFT(B3048,FIND("_",B3048,1)-1),VLOOKUP(LEFT(A3048,6),'Code Library'!$D$3:$E$200,2,0))&amp;"_"&amp;RIGHT(A3048,3)</f>
        <v>#VALUE!</v>
      </c>
      <c r="I3048" s="66">
        <f t="shared" si="47"/>
        <v>0</v>
      </c>
    </row>
    <row r="3049" spans="8:9">
      <c r="H3049" s="66" t="e">
        <f>IF(OR(LEFT(B3049,FIND("_",B3049,1)-1)="ULGALLOC",LEFT(B3049,FIND("_",B3049,1)-1)="ULSPOOL"),LEFT(B3049,FIND("_",B3049,1)-1),VLOOKUP(LEFT(A3049,6),'Code Library'!$D$3:$E$200,2,0))&amp;"_"&amp;RIGHT(A3049,3)</f>
        <v>#VALUE!</v>
      </c>
      <c r="I3049" s="66">
        <f t="shared" si="47"/>
        <v>0</v>
      </c>
    </row>
    <row r="3050" spans="8:9">
      <c r="H3050" s="66" t="e">
        <f>IF(OR(LEFT(B3050,FIND("_",B3050,1)-1)="ULGALLOC",LEFT(B3050,FIND("_",B3050,1)-1)="ULSPOOL"),LEFT(B3050,FIND("_",B3050,1)-1),VLOOKUP(LEFT(A3050,6),'Code Library'!$D$3:$E$200,2,0))&amp;"_"&amp;RIGHT(A3050,3)</f>
        <v>#VALUE!</v>
      </c>
      <c r="I3050" s="66">
        <f t="shared" si="47"/>
        <v>0</v>
      </c>
    </row>
    <row r="3051" spans="8:9">
      <c r="H3051" s="66" t="e">
        <f>IF(OR(LEFT(B3051,FIND("_",B3051,1)-1)="ULGALLOC",LEFT(B3051,FIND("_",B3051,1)-1)="ULSPOOL"),LEFT(B3051,FIND("_",B3051,1)-1),VLOOKUP(LEFT(A3051,6),'Code Library'!$D$3:$E$200,2,0))&amp;"_"&amp;RIGHT(A3051,3)</f>
        <v>#VALUE!</v>
      </c>
      <c r="I3051" s="66">
        <f t="shared" si="47"/>
        <v>0</v>
      </c>
    </row>
    <row r="3052" spans="8:9">
      <c r="H3052" s="66" t="e">
        <f>IF(OR(LEFT(B3052,FIND("_",B3052,1)-1)="ULGALLOC",LEFT(B3052,FIND("_",B3052,1)-1)="ULSPOOL"),LEFT(B3052,FIND("_",B3052,1)-1),VLOOKUP(LEFT(A3052,6),'Code Library'!$D$3:$E$200,2,0))&amp;"_"&amp;RIGHT(A3052,3)</f>
        <v>#VALUE!</v>
      </c>
      <c r="I3052" s="66">
        <f t="shared" si="47"/>
        <v>0</v>
      </c>
    </row>
    <row r="3053" spans="8:9">
      <c r="H3053" s="66" t="e">
        <f>IF(OR(LEFT(B3053,FIND("_",B3053,1)-1)="ULGALLOC",LEFT(B3053,FIND("_",B3053,1)-1)="ULSPOOL"),LEFT(B3053,FIND("_",B3053,1)-1),VLOOKUP(LEFT(A3053,6),'Code Library'!$D$3:$E$200,2,0))&amp;"_"&amp;RIGHT(A3053,3)</f>
        <v>#VALUE!</v>
      </c>
      <c r="I3053" s="66">
        <f t="shared" si="47"/>
        <v>0</v>
      </c>
    </row>
    <row r="3054" spans="8:9">
      <c r="H3054" s="66" t="e">
        <f>IF(OR(LEFT(B3054,FIND("_",B3054,1)-1)="ULGALLOC",LEFT(B3054,FIND("_",B3054,1)-1)="ULSPOOL"),LEFT(B3054,FIND("_",B3054,1)-1),VLOOKUP(LEFT(A3054,6),'Code Library'!$D$3:$E$200,2,0))&amp;"_"&amp;RIGHT(A3054,3)</f>
        <v>#VALUE!</v>
      </c>
      <c r="I3054" s="66">
        <f t="shared" si="47"/>
        <v>0</v>
      </c>
    </row>
    <row r="3055" spans="8:9">
      <c r="H3055" s="66" t="e">
        <f>IF(OR(LEFT(B3055,FIND("_",B3055,1)-1)="ULGALLOC",LEFT(B3055,FIND("_",B3055,1)-1)="ULSPOOL"),LEFT(B3055,FIND("_",B3055,1)-1),VLOOKUP(LEFT(A3055,6),'Code Library'!$D$3:$E$200,2,0))&amp;"_"&amp;RIGHT(A3055,3)</f>
        <v>#VALUE!</v>
      </c>
      <c r="I3055" s="66">
        <f t="shared" si="47"/>
        <v>0</v>
      </c>
    </row>
    <row r="3056" spans="8:9">
      <c r="H3056" s="66" t="e">
        <f>IF(OR(LEFT(B3056,FIND("_",B3056,1)-1)="ULGALLOC",LEFT(B3056,FIND("_",B3056,1)-1)="ULSPOOL"),LEFT(B3056,FIND("_",B3056,1)-1),VLOOKUP(LEFT(A3056,6),'Code Library'!$D$3:$E$200,2,0))&amp;"_"&amp;RIGHT(A3056,3)</f>
        <v>#VALUE!</v>
      </c>
      <c r="I3056" s="66">
        <f t="shared" si="47"/>
        <v>0</v>
      </c>
    </row>
    <row r="3057" spans="8:9">
      <c r="H3057" s="66" t="e">
        <f>IF(OR(LEFT(B3057,FIND("_",B3057,1)-1)="ULGALLOC",LEFT(B3057,FIND("_",B3057,1)-1)="ULSPOOL"),LEFT(B3057,FIND("_",B3057,1)-1),VLOOKUP(LEFT(A3057,6),'Code Library'!$D$3:$E$200,2,0))&amp;"_"&amp;RIGHT(A3057,3)</f>
        <v>#VALUE!</v>
      </c>
      <c r="I3057" s="66">
        <f t="shared" si="47"/>
        <v>0</v>
      </c>
    </row>
    <row r="3058" spans="8:9">
      <c r="H3058" s="66" t="e">
        <f>IF(OR(LEFT(B3058,FIND("_",B3058,1)-1)="ULGALLOC",LEFT(B3058,FIND("_",B3058,1)-1)="ULSPOOL"),LEFT(B3058,FIND("_",B3058,1)-1),VLOOKUP(LEFT(A3058,6),'Code Library'!$D$3:$E$200,2,0))&amp;"_"&amp;RIGHT(A3058,3)</f>
        <v>#VALUE!</v>
      </c>
      <c r="I3058" s="66">
        <f t="shared" si="47"/>
        <v>0</v>
      </c>
    </row>
    <row r="3059" spans="8:9">
      <c r="H3059" s="66" t="e">
        <f>IF(OR(LEFT(B3059,FIND("_",B3059,1)-1)="ULGALLOC",LEFT(B3059,FIND("_",B3059,1)-1)="ULSPOOL"),LEFT(B3059,FIND("_",B3059,1)-1),VLOOKUP(LEFT(A3059,6),'Code Library'!$D$3:$E$200,2,0))&amp;"_"&amp;RIGHT(A3059,3)</f>
        <v>#VALUE!</v>
      </c>
      <c r="I3059" s="66">
        <f t="shared" si="47"/>
        <v>0</v>
      </c>
    </row>
    <row r="3060" spans="8:9">
      <c r="H3060" s="66" t="e">
        <f>IF(OR(LEFT(B3060,FIND("_",B3060,1)-1)="ULGALLOC",LEFT(B3060,FIND("_",B3060,1)-1)="ULSPOOL"),LEFT(B3060,FIND("_",B3060,1)-1),VLOOKUP(LEFT(A3060,6),'Code Library'!$D$3:$E$200,2,0))&amp;"_"&amp;RIGHT(A3060,3)</f>
        <v>#VALUE!</v>
      </c>
      <c r="I3060" s="66">
        <f t="shared" si="47"/>
        <v>0</v>
      </c>
    </row>
    <row r="3061" spans="8:9">
      <c r="H3061" s="66" t="e">
        <f>IF(OR(LEFT(B3061,FIND("_",B3061,1)-1)="ULGALLOC",LEFT(B3061,FIND("_",B3061,1)-1)="ULSPOOL"),LEFT(B3061,FIND("_",B3061,1)-1),VLOOKUP(LEFT(A3061,6),'Code Library'!$D$3:$E$200,2,0))&amp;"_"&amp;RIGHT(A3061,3)</f>
        <v>#VALUE!</v>
      </c>
      <c r="I3061" s="66">
        <f t="shared" si="47"/>
        <v>0</v>
      </c>
    </row>
    <row r="3062" spans="8:9">
      <c r="H3062" s="66" t="e">
        <f>IF(OR(LEFT(B3062,FIND("_",B3062,1)-1)="ULGALLOC",LEFT(B3062,FIND("_",B3062,1)-1)="ULSPOOL"),LEFT(B3062,FIND("_",B3062,1)-1),VLOOKUP(LEFT(A3062,6),'Code Library'!$D$3:$E$200,2,0))&amp;"_"&amp;RIGHT(A3062,3)</f>
        <v>#VALUE!</v>
      </c>
      <c r="I3062" s="66">
        <f t="shared" si="47"/>
        <v>0</v>
      </c>
    </row>
    <row r="3063" spans="8:9">
      <c r="H3063" s="66" t="e">
        <f>IF(OR(LEFT(B3063,FIND("_",B3063,1)-1)="ULGALLOC",LEFT(B3063,FIND("_",B3063,1)-1)="ULSPOOL"),LEFT(B3063,FIND("_",B3063,1)-1),VLOOKUP(LEFT(A3063,6),'Code Library'!$D$3:$E$200,2,0))&amp;"_"&amp;RIGHT(A3063,3)</f>
        <v>#VALUE!</v>
      </c>
      <c r="I3063" s="66">
        <f t="shared" si="47"/>
        <v>0</v>
      </c>
    </row>
    <row r="3064" spans="8:9">
      <c r="H3064" s="66" t="e">
        <f>IF(OR(LEFT(B3064,FIND("_",B3064,1)-1)="ULGALLOC",LEFT(B3064,FIND("_",B3064,1)-1)="ULSPOOL"),LEFT(B3064,FIND("_",B3064,1)-1),VLOOKUP(LEFT(A3064,6),'Code Library'!$D$3:$E$200,2,0))&amp;"_"&amp;RIGHT(A3064,3)</f>
        <v>#VALUE!</v>
      </c>
      <c r="I3064" s="66">
        <f t="shared" si="47"/>
        <v>0</v>
      </c>
    </row>
    <row r="3065" spans="8:9">
      <c r="H3065" s="66" t="e">
        <f>IF(OR(LEFT(B3065,FIND("_",B3065,1)-1)="ULGALLOC",LEFT(B3065,FIND("_",B3065,1)-1)="ULSPOOL"),LEFT(B3065,FIND("_",B3065,1)-1),VLOOKUP(LEFT(A3065,6),'Code Library'!$D$3:$E$200,2,0))&amp;"_"&amp;RIGHT(A3065,3)</f>
        <v>#VALUE!</v>
      </c>
      <c r="I3065" s="66">
        <f t="shared" si="47"/>
        <v>0</v>
      </c>
    </row>
    <row r="3066" spans="8:9">
      <c r="H3066" s="66" t="e">
        <f>IF(OR(LEFT(B3066,FIND("_",B3066,1)-1)="ULGALLOC",LEFT(B3066,FIND("_",B3066,1)-1)="ULSPOOL"),LEFT(B3066,FIND("_",B3066,1)-1),VLOOKUP(LEFT(A3066,6),'Code Library'!$D$3:$E$200,2,0))&amp;"_"&amp;RIGHT(A3066,3)</f>
        <v>#VALUE!</v>
      </c>
      <c r="I3066" s="66">
        <f t="shared" si="47"/>
        <v>0</v>
      </c>
    </row>
    <row r="3067" spans="8:9">
      <c r="H3067" s="66" t="e">
        <f>IF(OR(LEFT(B3067,FIND("_",B3067,1)-1)="ULGALLOC",LEFT(B3067,FIND("_",B3067,1)-1)="ULSPOOL"),LEFT(B3067,FIND("_",B3067,1)-1),VLOOKUP(LEFT(A3067,6),'Code Library'!$D$3:$E$200,2,0))&amp;"_"&amp;RIGHT(A3067,3)</f>
        <v>#VALUE!</v>
      </c>
      <c r="I3067" s="66">
        <f t="shared" si="47"/>
        <v>0</v>
      </c>
    </row>
    <row r="3068" spans="8:9">
      <c r="H3068" s="66" t="e">
        <f>IF(OR(LEFT(B3068,FIND("_",B3068,1)-1)="ULGALLOC",LEFT(B3068,FIND("_",B3068,1)-1)="ULSPOOL"),LEFT(B3068,FIND("_",B3068,1)-1),VLOOKUP(LEFT(A3068,6),'Code Library'!$D$3:$E$200,2,0))&amp;"_"&amp;RIGHT(A3068,3)</f>
        <v>#VALUE!</v>
      </c>
      <c r="I3068" s="66">
        <f t="shared" si="47"/>
        <v>0</v>
      </c>
    </row>
    <row r="3069" spans="8:9">
      <c r="H3069" s="66" t="e">
        <f>IF(OR(LEFT(B3069,FIND("_",B3069,1)-1)="ULGALLOC",LEFT(B3069,FIND("_",B3069,1)-1)="ULSPOOL"),LEFT(B3069,FIND("_",B3069,1)-1),VLOOKUP(LEFT(A3069,6),'Code Library'!$D$3:$E$200,2,0))&amp;"_"&amp;RIGHT(A3069,3)</f>
        <v>#VALUE!</v>
      </c>
      <c r="I3069" s="66">
        <f t="shared" si="47"/>
        <v>0</v>
      </c>
    </row>
    <row r="3070" spans="8:9">
      <c r="H3070" s="66" t="e">
        <f>IF(OR(LEFT(B3070,FIND("_",B3070,1)-1)="ULGALLOC",LEFT(B3070,FIND("_",B3070,1)-1)="ULSPOOL"),LEFT(B3070,FIND("_",B3070,1)-1),VLOOKUP(LEFT(A3070,6),'Code Library'!$D$3:$E$200,2,0))&amp;"_"&amp;RIGHT(A3070,3)</f>
        <v>#VALUE!</v>
      </c>
      <c r="I3070" s="66">
        <f t="shared" si="47"/>
        <v>0</v>
      </c>
    </row>
    <row r="3071" spans="8:9">
      <c r="H3071" s="66" t="e">
        <f>IF(OR(LEFT(B3071,FIND("_",B3071,1)-1)="ULGALLOC",LEFT(B3071,FIND("_",B3071,1)-1)="ULSPOOL"),LEFT(B3071,FIND("_",B3071,1)-1),VLOOKUP(LEFT(A3071,6),'Code Library'!$D$3:$E$200,2,0))&amp;"_"&amp;RIGHT(A3071,3)</f>
        <v>#VALUE!</v>
      </c>
      <c r="I3071" s="66">
        <f t="shared" si="47"/>
        <v>0</v>
      </c>
    </row>
    <row r="3072" spans="8:9">
      <c r="H3072" s="66" t="e">
        <f>IF(OR(LEFT(B3072,FIND("_",B3072,1)-1)="ULGALLOC",LEFT(B3072,FIND("_",B3072,1)-1)="ULSPOOL"),LEFT(B3072,FIND("_",B3072,1)-1),VLOOKUP(LEFT(A3072,6),'Code Library'!$D$3:$E$200,2,0))&amp;"_"&amp;RIGHT(A3072,3)</f>
        <v>#VALUE!</v>
      </c>
      <c r="I3072" s="66">
        <f t="shared" si="47"/>
        <v>0</v>
      </c>
    </row>
    <row r="3073" spans="8:9">
      <c r="H3073" s="66" t="e">
        <f>IF(OR(LEFT(B3073,FIND("_",B3073,1)-1)="ULGALLOC",LEFT(B3073,FIND("_",B3073,1)-1)="ULSPOOL"),LEFT(B3073,FIND("_",B3073,1)-1),VLOOKUP(LEFT(A3073,6),'Code Library'!$D$3:$E$200,2,0))&amp;"_"&amp;RIGHT(A3073,3)</f>
        <v>#VALUE!</v>
      </c>
      <c r="I3073" s="66">
        <f t="shared" si="47"/>
        <v>0</v>
      </c>
    </row>
    <row r="3074" spans="8:9">
      <c r="H3074" s="66" t="e">
        <f>IF(OR(LEFT(B3074,FIND("_",B3074,1)-1)="ULGALLOC",LEFT(B3074,FIND("_",B3074,1)-1)="ULSPOOL"),LEFT(B3074,FIND("_",B3074,1)-1),VLOOKUP(LEFT(A3074,6),'Code Library'!$D$3:$E$200,2,0))&amp;"_"&amp;RIGHT(A3074,3)</f>
        <v>#VALUE!</v>
      </c>
      <c r="I3074" s="66">
        <f t="shared" si="47"/>
        <v>0</v>
      </c>
    </row>
    <row r="3075" spans="8:9">
      <c r="H3075" s="66" t="e">
        <f>IF(OR(LEFT(B3075,FIND("_",B3075,1)-1)="ULGALLOC",LEFT(B3075,FIND("_",B3075,1)-1)="ULSPOOL"),LEFT(B3075,FIND("_",B3075,1)-1),VLOOKUP(LEFT(A3075,6),'Code Library'!$D$3:$E$200,2,0))&amp;"_"&amp;RIGHT(A3075,3)</f>
        <v>#VALUE!</v>
      </c>
      <c r="I3075" s="66">
        <f t="shared" ref="I3075:I3138" si="48">A3075</f>
        <v>0</v>
      </c>
    </row>
    <row r="3076" spans="8:9">
      <c r="H3076" s="66" t="e">
        <f>IF(OR(LEFT(B3076,FIND("_",B3076,1)-1)="ULGALLOC",LEFT(B3076,FIND("_",B3076,1)-1)="ULSPOOL"),LEFT(B3076,FIND("_",B3076,1)-1),VLOOKUP(LEFT(A3076,6),'Code Library'!$D$3:$E$200,2,0))&amp;"_"&amp;RIGHT(A3076,3)</f>
        <v>#VALUE!</v>
      </c>
      <c r="I3076" s="66">
        <f t="shared" si="48"/>
        <v>0</v>
      </c>
    </row>
    <row r="3077" spans="8:9">
      <c r="H3077" s="66" t="e">
        <f>IF(OR(LEFT(B3077,FIND("_",B3077,1)-1)="ULGALLOC",LEFT(B3077,FIND("_",B3077,1)-1)="ULSPOOL"),LEFT(B3077,FIND("_",B3077,1)-1),VLOOKUP(LEFT(A3077,6),'Code Library'!$D$3:$E$200,2,0))&amp;"_"&amp;RIGHT(A3077,3)</f>
        <v>#VALUE!</v>
      </c>
      <c r="I3077" s="66">
        <f t="shared" si="48"/>
        <v>0</v>
      </c>
    </row>
    <row r="3078" spans="8:9">
      <c r="H3078" s="66" t="e">
        <f>IF(OR(LEFT(B3078,FIND("_",B3078,1)-1)="ULGALLOC",LEFT(B3078,FIND("_",B3078,1)-1)="ULSPOOL"),LEFT(B3078,FIND("_",B3078,1)-1),VLOOKUP(LEFT(A3078,6),'Code Library'!$D$3:$E$200,2,0))&amp;"_"&amp;RIGHT(A3078,3)</f>
        <v>#VALUE!</v>
      </c>
      <c r="I3078" s="66">
        <f t="shared" si="48"/>
        <v>0</v>
      </c>
    </row>
    <row r="3079" spans="8:9">
      <c r="H3079" s="66" t="e">
        <f>IF(OR(LEFT(B3079,FIND("_",B3079,1)-1)="ULGALLOC",LEFT(B3079,FIND("_",B3079,1)-1)="ULSPOOL"),LEFT(B3079,FIND("_",B3079,1)-1),VLOOKUP(LEFT(A3079,6),'Code Library'!$D$3:$E$200,2,0))&amp;"_"&amp;RIGHT(A3079,3)</f>
        <v>#VALUE!</v>
      </c>
      <c r="I3079" s="66">
        <f t="shared" si="48"/>
        <v>0</v>
      </c>
    </row>
    <row r="3080" spans="8:9">
      <c r="H3080" s="66" t="e">
        <f>IF(OR(LEFT(B3080,FIND("_",B3080,1)-1)="ULGALLOC",LEFT(B3080,FIND("_",B3080,1)-1)="ULSPOOL"),LEFT(B3080,FIND("_",B3080,1)-1),VLOOKUP(LEFT(A3080,6),'Code Library'!$D$3:$E$200,2,0))&amp;"_"&amp;RIGHT(A3080,3)</f>
        <v>#VALUE!</v>
      </c>
      <c r="I3080" s="66">
        <f t="shared" si="48"/>
        <v>0</v>
      </c>
    </row>
    <row r="3081" spans="8:9">
      <c r="H3081" s="66" t="e">
        <f>IF(OR(LEFT(B3081,FIND("_",B3081,1)-1)="ULGALLOC",LEFT(B3081,FIND("_",B3081,1)-1)="ULSPOOL"),LEFT(B3081,FIND("_",B3081,1)-1),VLOOKUP(LEFT(A3081,6),'Code Library'!$D$3:$E$200,2,0))&amp;"_"&amp;RIGHT(A3081,3)</f>
        <v>#VALUE!</v>
      </c>
      <c r="I3081" s="66">
        <f t="shared" si="48"/>
        <v>0</v>
      </c>
    </row>
    <row r="3082" spans="8:9">
      <c r="H3082" s="66" t="e">
        <f>IF(OR(LEFT(B3082,FIND("_",B3082,1)-1)="ULGALLOC",LEFT(B3082,FIND("_",B3082,1)-1)="ULSPOOL"),LEFT(B3082,FIND("_",B3082,1)-1),VLOOKUP(LEFT(A3082,6),'Code Library'!$D$3:$E$200,2,0))&amp;"_"&amp;RIGHT(A3082,3)</f>
        <v>#VALUE!</v>
      </c>
      <c r="I3082" s="66">
        <f t="shared" si="48"/>
        <v>0</v>
      </c>
    </row>
    <row r="3083" spans="8:9">
      <c r="H3083" s="66" t="e">
        <f>IF(OR(LEFT(B3083,FIND("_",B3083,1)-1)="ULGALLOC",LEFT(B3083,FIND("_",B3083,1)-1)="ULSPOOL"),LEFT(B3083,FIND("_",B3083,1)-1),VLOOKUP(LEFT(A3083,6),'Code Library'!$D$3:$E$200,2,0))&amp;"_"&amp;RIGHT(A3083,3)</f>
        <v>#VALUE!</v>
      </c>
      <c r="I3083" s="66">
        <f t="shared" si="48"/>
        <v>0</v>
      </c>
    </row>
    <row r="3084" spans="8:9">
      <c r="H3084" s="66" t="e">
        <f>IF(OR(LEFT(B3084,FIND("_",B3084,1)-1)="ULGALLOC",LEFT(B3084,FIND("_",B3084,1)-1)="ULSPOOL"),LEFT(B3084,FIND("_",B3084,1)-1),VLOOKUP(LEFT(A3084,6),'Code Library'!$D$3:$E$200,2,0))&amp;"_"&amp;RIGHT(A3084,3)</f>
        <v>#VALUE!</v>
      </c>
      <c r="I3084" s="66">
        <f t="shared" si="48"/>
        <v>0</v>
      </c>
    </row>
    <row r="3085" spans="8:9">
      <c r="H3085" s="66" t="e">
        <f>IF(OR(LEFT(B3085,FIND("_",B3085,1)-1)="ULGALLOC",LEFT(B3085,FIND("_",B3085,1)-1)="ULSPOOL"),LEFT(B3085,FIND("_",B3085,1)-1),VLOOKUP(LEFT(A3085,6),'Code Library'!$D$3:$E$200,2,0))&amp;"_"&amp;RIGHT(A3085,3)</f>
        <v>#VALUE!</v>
      </c>
      <c r="I3085" s="66">
        <f t="shared" si="48"/>
        <v>0</v>
      </c>
    </row>
    <row r="3086" spans="8:9">
      <c r="H3086" s="66" t="e">
        <f>IF(OR(LEFT(B3086,FIND("_",B3086,1)-1)="ULGALLOC",LEFT(B3086,FIND("_",B3086,1)-1)="ULSPOOL"),LEFT(B3086,FIND("_",B3086,1)-1),VLOOKUP(LEFT(A3086,6),'Code Library'!$D$3:$E$200,2,0))&amp;"_"&amp;RIGHT(A3086,3)</f>
        <v>#VALUE!</v>
      </c>
      <c r="I3086" s="66">
        <f t="shared" si="48"/>
        <v>0</v>
      </c>
    </row>
    <row r="3087" spans="8:9">
      <c r="H3087" s="66" t="e">
        <f>IF(OR(LEFT(B3087,FIND("_",B3087,1)-1)="ULGALLOC",LEFT(B3087,FIND("_",B3087,1)-1)="ULSPOOL"),LEFT(B3087,FIND("_",B3087,1)-1),VLOOKUP(LEFT(A3087,6),'Code Library'!$D$3:$E$200,2,0))&amp;"_"&amp;RIGHT(A3087,3)</f>
        <v>#VALUE!</v>
      </c>
      <c r="I3087" s="66">
        <f t="shared" si="48"/>
        <v>0</v>
      </c>
    </row>
    <row r="3088" spans="8:9">
      <c r="H3088" s="66" t="e">
        <f>IF(OR(LEFT(B3088,FIND("_",B3088,1)-1)="ULGALLOC",LEFT(B3088,FIND("_",B3088,1)-1)="ULSPOOL"),LEFT(B3088,FIND("_",B3088,1)-1),VLOOKUP(LEFT(A3088,6),'Code Library'!$D$3:$E$200,2,0))&amp;"_"&amp;RIGHT(A3088,3)</f>
        <v>#VALUE!</v>
      </c>
      <c r="I3088" s="66">
        <f t="shared" si="48"/>
        <v>0</v>
      </c>
    </row>
    <row r="3089" spans="8:9">
      <c r="H3089" s="66" t="e">
        <f>IF(OR(LEFT(B3089,FIND("_",B3089,1)-1)="ULGALLOC",LEFT(B3089,FIND("_",B3089,1)-1)="ULSPOOL"),LEFT(B3089,FIND("_",B3089,1)-1),VLOOKUP(LEFT(A3089,6),'Code Library'!$D$3:$E$200,2,0))&amp;"_"&amp;RIGHT(A3089,3)</f>
        <v>#VALUE!</v>
      </c>
      <c r="I3089" s="66">
        <f t="shared" si="48"/>
        <v>0</v>
      </c>
    </row>
    <row r="3090" spans="8:9">
      <c r="H3090" s="66" t="e">
        <f>IF(OR(LEFT(B3090,FIND("_",B3090,1)-1)="ULGALLOC",LEFT(B3090,FIND("_",B3090,1)-1)="ULSPOOL"),LEFT(B3090,FIND("_",B3090,1)-1),VLOOKUP(LEFT(A3090,6),'Code Library'!$D$3:$E$200,2,0))&amp;"_"&amp;RIGHT(A3090,3)</f>
        <v>#VALUE!</v>
      </c>
      <c r="I3090" s="66">
        <f t="shared" si="48"/>
        <v>0</v>
      </c>
    </row>
    <row r="3091" spans="8:9">
      <c r="H3091" s="66" t="e">
        <f>IF(OR(LEFT(B3091,FIND("_",B3091,1)-1)="ULGALLOC",LEFT(B3091,FIND("_",B3091,1)-1)="ULSPOOL"),LEFT(B3091,FIND("_",B3091,1)-1),VLOOKUP(LEFT(A3091,6),'Code Library'!$D$3:$E$200,2,0))&amp;"_"&amp;RIGHT(A3091,3)</f>
        <v>#VALUE!</v>
      </c>
      <c r="I3091" s="66">
        <f t="shared" si="48"/>
        <v>0</v>
      </c>
    </row>
    <row r="3092" spans="8:9">
      <c r="H3092" s="66" t="e">
        <f>IF(OR(LEFT(B3092,FIND("_",B3092,1)-1)="ULGALLOC",LEFT(B3092,FIND("_",B3092,1)-1)="ULSPOOL"),LEFT(B3092,FIND("_",B3092,1)-1),VLOOKUP(LEFT(A3092,6),'Code Library'!$D$3:$E$200,2,0))&amp;"_"&amp;RIGHT(A3092,3)</f>
        <v>#VALUE!</v>
      </c>
      <c r="I3092" s="66">
        <f t="shared" si="48"/>
        <v>0</v>
      </c>
    </row>
    <row r="3093" spans="8:9">
      <c r="H3093" s="66" t="e">
        <f>IF(OR(LEFT(B3093,FIND("_",B3093,1)-1)="ULGALLOC",LEFT(B3093,FIND("_",B3093,1)-1)="ULSPOOL"),LEFT(B3093,FIND("_",B3093,1)-1),VLOOKUP(LEFT(A3093,6),'Code Library'!$D$3:$E$200,2,0))&amp;"_"&amp;RIGHT(A3093,3)</f>
        <v>#VALUE!</v>
      </c>
      <c r="I3093" s="66">
        <f t="shared" si="48"/>
        <v>0</v>
      </c>
    </row>
    <row r="3094" spans="8:9">
      <c r="H3094" s="66" t="e">
        <f>IF(OR(LEFT(B3094,FIND("_",B3094,1)-1)="ULGALLOC",LEFT(B3094,FIND("_",B3094,1)-1)="ULSPOOL"),LEFT(B3094,FIND("_",B3094,1)-1),VLOOKUP(LEFT(A3094,6),'Code Library'!$D$3:$E$200,2,0))&amp;"_"&amp;RIGHT(A3094,3)</f>
        <v>#VALUE!</v>
      </c>
      <c r="I3094" s="66">
        <f t="shared" si="48"/>
        <v>0</v>
      </c>
    </row>
    <row r="3095" spans="8:9">
      <c r="H3095" s="66" t="e">
        <f>IF(OR(LEFT(B3095,FIND("_",B3095,1)-1)="ULGALLOC",LEFT(B3095,FIND("_",B3095,1)-1)="ULSPOOL"),LEFT(B3095,FIND("_",B3095,1)-1),VLOOKUP(LEFT(A3095,6),'Code Library'!$D$3:$E$200,2,0))&amp;"_"&amp;RIGHT(A3095,3)</f>
        <v>#VALUE!</v>
      </c>
      <c r="I3095" s="66">
        <f t="shared" si="48"/>
        <v>0</v>
      </c>
    </row>
    <row r="3096" spans="8:9">
      <c r="H3096" s="66" t="e">
        <f>IF(OR(LEFT(B3096,FIND("_",B3096,1)-1)="ULGALLOC",LEFT(B3096,FIND("_",B3096,1)-1)="ULSPOOL"),LEFT(B3096,FIND("_",B3096,1)-1),VLOOKUP(LEFT(A3096,6),'Code Library'!$D$3:$E$200,2,0))&amp;"_"&amp;RIGHT(A3096,3)</f>
        <v>#VALUE!</v>
      </c>
      <c r="I3096" s="66">
        <f t="shared" si="48"/>
        <v>0</v>
      </c>
    </row>
    <row r="3097" spans="8:9">
      <c r="H3097" s="66" t="e">
        <f>IF(OR(LEFT(B3097,FIND("_",B3097,1)-1)="ULGALLOC",LEFT(B3097,FIND("_",B3097,1)-1)="ULSPOOL"),LEFT(B3097,FIND("_",B3097,1)-1),VLOOKUP(LEFT(A3097,6),'Code Library'!$D$3:$E$200,2,0))&amp;"_"&amp;RIGHT(A3097,3)</f>
        <v>#VALUE!</v>
      </c>
      <c r="I3097" s="66">
        <f t="shared" si="48"/>
        <v>0</v>
      </c>
    </row>
    <row r="3098" spans="8:9">
      <c r="H3098" s="66" t="e">
        <f>IF(OR(LEFT(B3098,FIND("_",B3098,1)-1)="ULGALLOC",LEFT(B3098,FIND("_",B3098,1)-1)="ULSPOOL"),LEFT(B3098,FIND("_",B3098,1)-1),VLOOKUP(LEFT(A3098,6),'Code Library'!$D$3:$E$200,2,0))&amp;"_"&amp;RIGHT(A3098,3)</f>
        <v>#VALUE!</v>
      </c>
      <c r="I3098" s="66">
        <f t="shared" si="48"/>
        <v>0</v>
      </c>
    </row>
    <row r="3099" spans="8:9">
      <c r="H3099" s="66" t="e">
        <f>IF(OR(LEFT(B3099,FIND("_",B3099,1)-1)="ULGALLOC",LEFT(B3099,FIND("_",B3099,1)-1)="ULSPOOL"),LEFT(B3099,FIND("_",B3099,1)-1),VLOOKUP(LEFT(A3099,6),'Code Library'!$D$3:$E$200,2,0))&amp;"_"&amp;RIGHT(A3099,3)</f>
        <v>#VALUE!</v>
      </c>
      <c r="I3099" s="66">
        <f t="shared" si="48"/>
        <v>0</v>
      </c>
    </row>
    <row r="3100" spans="8:9">
      <c r="H3100" s="66" t="e">
        <f>IF(OR(LEFT(B3100,FIND("_",B3100,1)-1)="ULGALLOC",LEFT(B3100,FIND("_",B3100,1)-1)="ULSPOOL"),LEFT(B3100,FIND("_",B3100,1)-1),VLOOKUP(LEFT(A3100,6),'Code Library'!$D$3:$E$200,2,0))&amp;"_"&amp;RIGHT(A3100,3)</f>
        <v>#VALUE!</v>
      </c>
      <c r="I3100" s="66">
        <f t="shared" si="48"/>
        <v>0</v>
      </c>
    </row>
    <row r="3101" spans="8:9">
      <c r="H3101" s="66" t="e">
        <f>IF(OR(LEFT(B3101,FIND("_",B3101,1)-1)="ULGALLOC",LEFT(B3101,FIND("_",B3101,1)-1)="ULSPOOL"),LEFT(B3101,FIND("_",B3101,1)-1),VLOOKUP(LEFT(A3101,6),'Code Library'!$D$3:$E$200,2,0))&amp;"_"&amp;RIGHT(A3101,3)</f>
        <v>#VALUE!</v>
      </c>
      <c r="I3101" s="66">
        <f t="shared" si="48"/>
        <v>0</v>
      </c>
    </row>
    <row r="3102" spans="8:9">
      <c r="H3102" s="66" t="e">
        <f>IF(OR(LEFT(B3102,FIND("_",B3102,1)-1)="ULGALLOC",LEFT(B3102,FIND("_",B3102,1)-1)="ULSPOOL"),LEFT(B3102,FIND("_",B3102,1)-1),VLOOKUP(LEFT(A3102,6),'Code Library'!$D$3:$E$200,2,0))&amp;"_"&amp;RIGHT(A3102,3)</f>
        <v>#VALUE!</v>
      </c>
      <c r="I3102" s="66">
        <f t="shared" si="48"/>
        <v>0</v>
      </c>
    </row>
    <row r="3103" spans="8:9">
      <c r="H3103" s="66" t="e">
        <f>IF(OR(LEFT(B3103,FIND("_",B3103,1)-1)="ULGALLOC",LEFT(B3103,FIND("_",B3103,1)-1)="ULSPOOL"),LEFT(B3103,FIND("_",B3103,1)-1),VLOOKUP(LEFT(A3103,6),'Code Library'!$D$3:$E$200,2,0))&amp;"_"&amp;RIGHT(A3103,3)</f>
        <v>#VALUE!</v>
      </c>
      <c r="I3103" s="66">
        <f t="shared" si="48"/>
        <v>0</v>
      </c>
    </row>
    <row r="3104" spans="8:9">
      <c r="H3104" s="66" t="e">
        <f>IF(OR(LEFT(B3104,FIND("_",B3104,1)-1)="ULGALLOC",LEFT(B3104,FIND("_",B3104,1)-1)="ULSPOOL"),LEFT(B3104,FIND("_",B3104,1)-1),VLOOKUP(LEFT(A3104,6),'Code Library'!$D$3:$E$200,2,0))&amp;"_"&amp;RIGHT(A3104,3)</f>
        <v>#VALUE!</v>
      </c>
      <c r="I3104" s="66">
        <f t="shared" si="48"/>
        <v>0</v>
      </c>
    </row>
    <row r="3105" spans="8:9">
      <c r="H3105" s="66" t="e">
        <f>IF(OR(LEFT(B3105,FIND("_",B3105,1)-1)="ULGALLOC",LEFT(B3105,FIND("_",B3105,1)-1)="ULSPOOL"),LEFT(B3105,FIND("_",B3105,1)-1),VLOOKUP(LEFT(A3105,6),'Code Library'!$D$3:$E$200,2,0))&amp;"_"&amp;RIGHT(A3105,3)</f>
        <v>#VALUE!</v>
      </c>
      <c r="I3105" s="66">
        <f t="shared" si="48"/>
        <v>0</v>
      </c>
    </row>
    <row r="3106" spans="8:9">
      <c r="H3106" s="66" t="e">
        <f>IF(OR(LEFT(B3106,FIND("_",B3106,1)-1)="ULGALLOC",LEFT(B3106,FIND("_",B3106,1)-1)="ULSPOOL"),LEFT(B3106,FIND("_",B3106,1)-1),VLOOKUP(LEFT(A3106,6),'Code Library'!$D$3:$E$200,2,0))&amp;"_"&amp;RIGHT(A3106,3)</f>
        <v>#VALUE!</v>
      </c>
      <c r="I3106" s="66">
        <f t="shared" si="48"/>
        <v>0</v>
      </c>
    </row>
    <row r="3107" spans="8:9">
      <c r="H3107" s="66" t="e">
        <f>IF(OR(LEFT(B3107,FIND("_",B3107,1)-1)="ULGALLOC",LEFT(B3107,FIND("_",B3107,1)-1)="ULSPOOL"),LEFT(B3107,FIND("_",B3107,1)-1),VLOOKUP(LEFT(A3107,6),'Code Library'!$D$3:$E$200,2,0))&amp;"_"&amp;RIGHT(A3107,3)</f>
        <v>#VALUE!</v>
      </c>
      <c r="I3107" s="66">
        <f t="shared" si="48"/>
        <v>0</v>
      </c>
    </row>
    <row r="3108" spans="8:9">
      <c r="H3108" s="66" t="e">
        <f>IF(OR(LEFT(B3108,FIND("_",B3108,1)-1)="ULGALLOC",LEFT(B3108,FIND("_",B3108,1)-1)="ULSPOOL"),LEFT(B3108,FIND("_",B3108,1)-1),VLOOKUP(LEFT(A3108,6),'Code Library'!$D$3:$E$200,2,0))&amp;"_"&amp;RIGHT(A3108,3)</f>
        <v>#VALUE!</v>
      </c>
      <c r="I3108" s="66">
        <f t="shared" si="48"/>
        <v>0</v>
      </c>
    </row>
    <row r="3109" spans="8:9">
      <c r="H3109" s="66" t="e">
        <f>IF(OR(LEFT(B3109,FIND("_",B3109,1)-1)="ULGALLOC",LEFT(B3109,FIND("_",B3109,1)-1)="ULSPOOL"),LEFT(B3109,FIND("_",B3109,1)-1),VLOOKUP(LEFT(A3109,6),'Code Library'!$D$3:$E$200,2,0))&amp;"_"&amp;RIGHT(A3109,3)</f>
        <v>#VALUE!</v>
      </c>
      <c r="I3109" s="66">
        <f t="shared" si="48"/>
        <v>0</v>
      </c>
    </row>
    <row r="3110" spans="8:9">
      <c r="H3110" s="66" t="e">
        <f>IF(OR(LEFT(B3110,FIND("_",B3110,1)-1)="ULGALLOC",LEFT(B3110,FIND("_",B3110,1)-1)="ULSPOOL"),LEFT(B3110,FIND("_",B3110,1)-1),VLOOKUP(LEFT(A3110,6),'Code Library'!$D$3:$E$200,2,0))&amp;"_"&amp;RIGHT(A3110,3)</f>
        <v>#VALUE!</v>
      </c>
      <c r="I3110" s="66">
        <f t="shared" si="48"/>
        <v>0</v>
      </c>
    </row>
    <row r="3111" spans="8:9">
      <c r="H3111" s="66" t="e">
        <f>IF(OR(LEFT(B3111,FIND("_",B3111,1)-1)="ULGALLOC",LEFT(B3111,FIND("_",B3111,1)-1)="ULSPOOL"),LEFT(B3111,FIND("_",B3111,1)-1),VLOOKUP(LEFT(A3111,6),'Code Library'!$D$3:$E$200,2,0))&amp;"_"&amp;RIGHT(A3111,3)</f>
        <v>#VALUE!</v>
      </c>
      <c r="I3111" s="66">
        <f t="shared" si="48"/>
        <v>0</v>
      </c>
    </row>
    <row r="3112" spans="8:9">
      <c r="H3112" s="66" t="e">
        <f>IF(OR(LEFT(B3112,FIND("_",B3112,1)-1)="ULGALLOC",LEFT(B3112,FIND("_",B3112,1)-1)="ULSPOOL"),LEFT(B3112,FIND("_",B3112,1)-1),VLOOKUP(LEFT(A3112,6),'Code Library'!$D$3:$E$200,2,0))&amp;"_"&amp;RIGHT(A3112,3)</f>
        <v>#VALUE!</v>
      </c>
      <c r="I3112" s="66">
        <f t="shared" si="48"/>
        <v>0</v>
      </c>
    </row>
    <row r="3113" spans="8:9">
      <c r="H3113" s="66" t="e">
        <f>IF(OR(LEFT(B3113,FIND("_",B3113,1)-1)="ULGALLOC",LEFT(B3113,FIND("_",B3113,1)-1)="ULSPOOL"),LEFT(B3113,FIND("_",B3113,1)-1),VLOOKUP(LEFT(A3113,6),'Code Library'!$D$3:$E$200,2,0))&amp;"_"&amp;RIGHT(A3113,3)</f>
        <v>#VALUE!</v>
      </c>
      <c r="I3113" s="66">
        <f t="shared" si="48"/>
        <v>0</v>
      </c>
    </row>
    <row r="3114" spans="8:9">
      <c r="H3114" s="66" t="e">
        <f>IF(OR(LEFT(B3114,FIND("_",B3114,1)-1)="ULGALLOC",LEFT(B3114,FIND("_",B3114,1)-1)="ULSPOOL"),LEFT(B3114,FIND("_",B3114,1)-1),VLOOKUP(LEFT(A3114,6),'Code Library'!$D$3:$E$200,2,0))&amp;"_"&amp;RIGHT(A3114,3)</f>
        <v>#VALUE!</v>
      </c>
      <c r="I3114" s="66">
        <f t="shared" si="48"/>
        <v>0</v>
      </c>
    </row>
    <row r="3115" spans="8:9">
      <c r="H3115" s="66" t="e">
        <f>IF(OR(LEFT(B3115,FIND("_",B3115,1)-1)="ULGALLOC",LEFT(B3115,FIND("_",B3115,1)-1)="ULSPOOL"),LEFT(B3115,FIND("_",B3115,1)-1),VLOOKUP(LEFT(A3115,6),'Code Library'!$D$3:$E$200,2,0))&amp;"_"&amp;RIGHT(A3115,3)</f>
        <v>#VALUE!</v>
      </c>
      <c r="I3115" s="66">
        <f t="shared" si="48"/>
        <v>0</v>
      </c>
    </row>
    <row r="3116" spans="8:9">
      <c r="H3116" s="66" t="e">
        <f>IF(OR(LEFT(B3116,FIND("_",B3116,1)-1)="ULGALLOC",LEFT(B3116,FIND("_",B3116,1)-1)="ULSPOOL"),LEFT(B3116,FIND("_",B3116,1)-1),VLOOKUP(LEFT(A3116,6),'Code Library'!$D$3:$E$200,2,0))&amp;"_"&amp;RIGHT(A3116,3)</f>
        <v>#VALUE!</v>
      </c>
      <c r="I3116" s="66">
        <f t="shared" si="48"/>
        <v>0</v>
      </c>
    </row>
    <row r="3117" spans="8:9">
      <c r="H3117" s="66" t="e">
        <f>IF(OR(LEFT(B3117,FIND("_",B3117,1)-1)="ULGALLOC",LEFT(B3117,FIND("_",B3117,1)-1)="ULSPOOL"),LEFT(B3117,FIND("_",B3117,1)-1),VLOOKUP(LEFT(A3117,6),'Code Library'!$D$3:$E$200,2,0))&amp;"_"&amp;RIGHT(A3117,3)</f>
        <v>#VALUE!</v>
      </c>
      <c r="I3117" s="66">
        <f t="shared" si="48"/>
        <v>0</v>
      </c>
    </row>
    <row r="3118" spans="8:9">
      <c r="H3118" s="66" t="e">
        <f>IF(OR(LEFT(B3118,FIND("_",B3118,1)-1)="ULGALLOC",LEFT(B3118,FIND("_",B3118,1)-1)="ULSPOOL"),LEFT(B3118,FIND("_",B3118,1)-1),VLOOKUP(LEFT(A3118,6),'Code Library'!$D$3:$E$200,2,0))&amp;"_"&amp;RIGHT(A3118,3)</f>
        <v>#VALUE!</v>
      </c>
      <c r="I3118" s="66">
        <f t="shared" si="48"/>
        <v>0</v>
      </c>
    </row>
    <row r="3119" spans="8:9">
      <c r="H3119" s="66" t="e">
        <f>IF(OR(LEFT(B3119,FIND("_",B3119,1)-1)="ULGALLOC",LEFT(B3119,FIND("_",B3119,1)-1)="ULSPOOL"),LEFT(B3119,FIND("_",B3119,1)-1),VLOOKUP(LEFT(A3119,6),'Code Library'!$D$3:$E$200,2,0))&amp;"_"&amp;RIGHT(A3119,3)</f>
        <v>#VALUE!</v>
      </c>
      <c r="I3119" s="66">
        <f t="shared" si="48"/>
        <v>0</v>
      </c>
    </row>
    <row r="3120" spans="8:9">
      <c r="H3120" s="66" t="e">
        <f>IF(OR(LEFT(B3120,FIND("_",B3120,1)-1)="ULGALLOC",LEFT(B3120,FIND("_",B3120,1)-1)="ULSPOOL"),LEFT(B3120,FIND("_",B3120,1)-1),VLOOKUP(LEFT(A3120,6),'Code Library'!$D$3:$E$200,2,0))&amp;"_"&amp;RIGHT(A3120,3)</f>
        <v>#VALUE!</v>
      </c>
      <c r="I3120" s="66">
        <f t="shared" si="48"/>
        <v>0</v>
      </c>
    </row>
    <row r="3121" spans="8:9">
      <c r="H3121" s="66" t="e">
        <f>IF(OR(LEFT(B3121,FIND("_",B3121,1)-1)="ULGALLOC",LEFT(B3121,FIND("_",B3121,1)-1)="ULSPOOL"),LEFT(B3121,FIND("_",B3121,1)-1),VLOOKUP(LEFT(A3121,6),'Code Library'!$D$3:$E$200,2,0))&amp;"_"&amp;RIGHT(A3121,3)</f>
        <v>#VALUE!</v>
      </c>
      <c r="I3121" s="66">
        <f t="shared" si="48"/>
        <v>0</v>
      </c>
    </row>
    <row r="3122" spans="8:9">
      <c r="H3122" s="66" t="e">
        <f>IF(OR(LEFT(B3122,FIND("_",B3122,1)-1)="ULGALLOC",LEFT(B3122,FIND("_",B3122,1)-1)="ULSPOOL"),LEFT(B3122,FIND("_",B3122,1)-1),VLOOKUP(LEFT(A3122,6),'Code Library'!$D$3:$E$200,2,0))&amp;"_"&amp;RIGHT(A3122,3)</f>
        <v>#VALUE!</v>
      </c>
      <c r="I3122" s="66">
        <f t="shared" si="48"/>
        <v>0</v>
      </c>
    </row>
    <row r="3123" spans="8:9">
      <c r="H3123" s="66" t="e">
        <f>IF(OR(LEFT(B3123,FIND("_",B3123,1)-1)="ULGALLOC",LEFT(B3123,FIND("_",B3123,1)-1)="ULSPOOL"),LEFT(B3123,FIND("_",B3123,1)-1),VLOOKUP(LEFT(A3123,6),'Code Library'!$D$3:$E$200,2,0))&amp;"_"&amp;RIGHT(A3123,3)</f>
        <v>#VALUE!</v>
      </c>
      <c r="I3123" s="66">
        <f t="shared" si="48"/>
        <v>0</v>
      </c>
    </row>
    <row r="3124" spans="8:9">
      <c r="H3124" s="66" t="e">
        <f>IF(OR(LEFT(B3124,FIND("_",B3124,1)-1)="ULGALLOC",LEFT(B3124,FIND("_",B3124,1)-1)="ULSPOOL"),LEFT(B3124,FIND("_",B3124,1)-1),VLOOKUP(LEFT(A3124,6),'Code Library'!$D$3:$E$200,2,0))&amp;"_"&amp;RIGHT(A3124,3)</f>
        <v>#VALUE!</v>
      </c>
      <c r="I3124" s="66">
        <f t="shared" si="48"/>
        <v>0</v>
      </c>
    </row>
    <row r="3125" spans="8:9">
      <c r="H3125" s="66" t="e">
        <f>IF(OR(LEFT(B3125,FIND("_",B3125,1)-1)="ULGALLOC",LEFT(B3125,FIND("_",B3125,1)-1)="ULSPOOL"),LEFT(B3125,FIND("_",B3125,1)-1),VLOOKUP(LEFT(A3125,6),'Code Library'!$D$3:$E$200,2,0))&amp;"_"&amp;RIGHT(A3125,3)</f>
        <v>#VALUE!</v>
      </c>
      <c r="I3125" s="66">
        <f t="shared" si="48"/>
        <v>0</v>
      </c>
    </row>
    <row r="3126" spans="8:9">
      <c r="H3126" s="66" t="e">
        <f>IF(OR(LEFT(B3126,FIND("_",B3126,1)-1)="ULGALLOC",LEFT(B3126,FIND("_",B3126,1)-1)="ULSPOOL"),LEFT(B3126,FIND("_",B3126,1)-1),VLOOKUP(LEFT(A3126,6),'Code Library'!$D$3:$E$200,2,0))&amp;"_"&amp;RIGHT(A3126,3)</f>
        <v>#VALUE!</v>
      </c>
      <c r="I3126" s="66">
        <f t="shared" si="48"/>
        <v>0</v>
      </c>
    </row>
    <row r="3127" spans="8:9">
      <c r="H3127" s="66" t="e">
        <f>IF(OR(LEFT(B3127,FIND("_",B3127,1)-1)="ULGALLOC",LEFT(B3127,FIND("_",B3127,1)-1)="ULSPOOL"),LEFT(B3127,FIND("_",B3127,1)-1),VLOOKUP(LEFT(A3127,6),'Code Library'!$D$3:$E$200,2,0))&amp;"_"&amp;RIGHT(A3127,3)</f>
        <v>#VALUE!</v>
      </c>
      <c r="I3127" s="66">
        <f t="shared" si="48"/>
        <v>0</v>
      </c>
    </row>
    <row r="3128" spans="8:9">
      <c r="H3128" s="66" t="e">
        <f>IF(OR(LEFT(B3128,FIND("_",B3128,1)-1)="ULGALLOC",LEFT(B3128,FIND("_",B3128,1)-1)="ULSPOOL"),LEFT(B3128,FIND("_",B3128,1)-1),VLOOKUP(LEFT(A3128,6),'Code Library'!$D$3:$E$200,2,0))&amp;"_"&amp;RIGHT(A3128,3)</f>
        <v>#VALUE!</v>
      </c>
      <c r="I3128" s="66">
        <f t="shared" si="48"/>
        <v>0</v>
      </c>
    </row>
    <row r="3129" spans="8:9">
      <c r="H3129" s="66" t="e">
        <f>IF(OR(LEFT(B3129,FIND("_",B3129,1)-1)="ULGALLOC",LEFT(B3129,FIND("_",B3129,1)-1)="ULSPOOL"),LEFT(B3129,FIND("_",B3129,1)-1),VLOOKUP(LEFT(A3129,6),'Code Library'!$D$3:$E$200,2,0))&amp;"_"&amp;RIGHT(A3129,3)</f>
        <v>#VALUE!</v>
      </c>
      <c r="I3129" s="66">
        <f t="shared" si="48"/>
        <v>0</v>
      </c>
    </row>
    <row r="3130" spans="8:9">
      <c r="H3130" s="66" t="e">
        <f>IF(OR(LEFT(B3130,FIND("_",B3130,1)-1)="ULGALLOC",LEFT(B3130,FIND("_",B3130,1)-1)="ULSPOOL"),LEFT(B3130,FIND("_",B3130,1)-1),VLOOKUP(LEFT(A3130,6),'Code Library'!$D$3:$E$200,2,0))&amp;"_"&amp;RIGHT(A3130,3)</f>
        <v>#VALUE!</v>
      </c>
      <c r="I3130" s="66">
        <f t="shared" si="48"/>
        <v>0</v>
      </c>
    </row>
    <row r="3131" spans="8:9">
      <c r="H3131" s="66" t="e">
        <f>IF(OR(LEFT(B3131,FIND("_",B3131,1)-1)="ULGALLOC",LEFT(B3131,FIND("_",B3131,1)-1)="ULSPOOL"),LEFT(B3131,FIND("_",B3131,1)-1),VLOOKUP(LEFT(A3131,6),'Code Library'!$D$3:$E$200,2,0))&amp;"_"&amp;RIGHT(A3131,3)</f>
        <v>#VALUE!</v>
      </c>
      <c r="I3131" s="66">
        <f t="shared" si="48"/>
        <v>0</v>
      </c>
    </row>
    <row r="3132" spans="8:9">
      <c r="H3132" s="66" t="e">
        <f>IF(OR(LEFT(B3132,FIND("_",B3132,1)-1)="ULGALLOC",LEFT(B3132,FIND("_",B3132,1)-1)="ULSPOOL"),LEFT(B3132,FIND("_",B3132,1)-1),VLOOKUP(LEFT(A3132,6),'Code Library'!$D$3:$E$200,2,0))&amp;"_"&amp;RIGHT(A3132,3)</f>
        <v>#VALUE!</v>
      </c>
      <c r="I3132" s="66">
        <f t="shared" si="48"/>
        <v>0</v>
      </c>
    </row>
    <row r="3133" spans="8:9">
      <c r="H3133" s="66" t="e">
        <f>IF(OR(LEFT(B3133,FIND("_",B3133,1)-1)="ULGALLOC",LEFT(B3133,FIND("_",B3133,1)-1)="ULSPOOL"),LEFT(B3133,FIND("_",B3133,1)-1),VLOOKUP(LEFT(A3133,6),'Code Library'!$D$3:$E$200,2,0))&amp;"_"&amp;RIGHT(A3133,3)</f>
        <v>#VALUE!</v>
      </c>
      <c r="I3133" s="66">
        <f t="shared" si="48"/>
        <v>0</v>
      </c>
    </row>
    <row r="3134" spans="8:9">
      <c r="H3134" s="66" t="e">
        <f>IF(OR(LEFT(B3134,FIND("_",B3134,1)-1)="ULGALLOC",LEFT(B3134,FIND("_",B3134,1)-1)="ULSPOOL"),LEFT(B3134,FIND("_",B3134,1)-1),VLOOKUP(LEFT(A3134,6),'Code Library'!$D$3:$E$200,2,0))&amp;"_"&amp;RIGHT(A3134,3)</f>
        <v>#VALUE!</v>
      </c>
      <c r="I3134" s="66">
        <f t="shared" si="48"/>
        <v>0</v>
      </c>
    </row>
    <row r="3135" spans="8:9">
      <c r="H3135" s="66" t="e">
        <f>IF(OR(LEFT(B3135,FIND("_",B3135,1)-1)="ULGALLOC",LEFT(B3135,FIND("_",B3135,1)-1)="ULSPOOL"),LEFT(B3135,FIND("_",B3135,1)-1),VLOOKUP(LEFT(A3135,6),'Code Library'!$D$3:$E$200,2,0))&amp;"_"&amp;RIGHT(A3135,3)</f>
        <v>#VALUE!</v>
      </c>
      <c r="I3135" s="66">
        <f t="shared" si="48"/>
        <v>0</v>
      </c>
    </row>
    <row r="3136" spans="8:9">
      <c r="H3136" s="66" t="e">
        <f>IF(OR(LEFT(B3136,FIND("_",B3136,1)-1)="ULGALLOC",LEFT(B3136,FIND("_",B3136,1)-1)="ULSPOOL"),LEFT(B3136,FIND("_",B3136,1)-1),VLOOKUP(LEFT(A3136,6),'Code Library'!$D$3:$E$200,2,0))&amp;"_"&amp;RIGHT(A3136,3)</f>
        <v>#VALUE!</v>
      </c>
      <c r="I3136" s="66">
        <f t="shared" si="48"/>
        <v>0</v>
      </c>
    </row>
    <row r="3137" spans="8:9">
      <c r="H3137" s="66" t="e">
        <f>IF(OR(LEFT(B3137,FIND("_",B3137,1)-1)="ULGALLOC",LEFT(B3137,FIND("_",B3137,1)-1)="ULSPOOL"),LEFT(B3137,FIND("_",B3137,1)-1),VLOOKUP(LEFT(A3137,6),'Code Library'!$D$3:$E$200,2,0))&amp;"_"&amp;RIGHT(A3137,3)</f>
        <v>#VALUE!</v>
      </c>
      <c r="I3137" s="66">
        <f t="shared" si="48"/>
        <v>0</v>
      </c>
    </row>
    <row r="3138" spans="8:9">
      <c r="H3138" s="66" t="e">
        <f>IF(OR(LEFT(B3138,FIND("_",B3138,1)-1)="ULGALLOC",LEFT(B3138,FIND("_",B3138,1)-1)="ULSPOOL"),LEFT(B3138,FIND("_",B3138,1)-1),VLOOKUP(LEFT(A3138,6),'Code Library'!$D$3:$E$200,2,0))&amp;"_"&amp;RIGHT(A3138,3)</f>
        <v>#VALUE!</v>
      </c>
      <c r="I3138" s="66">
        <f t="shared" si="48"/>
        <v>0</v>
      </c>
    </row>
    <row r="3139" spans="8:9">
      <c r="H3139" s="66" t="e">
        <f>IF(OR(LEFT(B3139,FIND("_",B3139,1)-1)="ULGALLOC",LEFT(B3139,FIND("_",B3139,1)-1)="ULSPOOL"),LEFT(B3139,FIND("_",B3139,1)-1),VLOOKUP(LEFT(A3139,6),'Code Library'!$D$3:$E$200,2,0))&amp;"_"&amp;RIGHT(A3139,3)</f>
        <v>#VALUE!</v>
      </c>
      <c r="I3139" s="66">
        <f t="shared" ref="I3139:I3202" si="49">A3139</f>
        <v>0</v>
      </c>
    </row>
    <row r="3140" spans="8:9">
      <c r="H3140" s="66" t="e">
        <f>IF(OR(LEFT(B3140,FIND("_",B3140,1)-1)="ULGALLOC",LEFT(B3140,FIND("_",B3140,1)-1)="ULSPOOL"),LEFT(B3140,FIND("_",B3140,1)-1),VLOOKUP(LEFT(A3140,6),'Code Library'!$D$3:$E$200,2,0))&amp;"_"&amp;RIGHT(A3140,3)</f>
        <v>#VALUE!</v>
      </c>
      <c r="I3140" s="66">
        <f t="shared" si="49"/>
        <v>0</v>
      </c>
    </row>
    <row r="3141" spans="8:9">
      <c r="H3141" s="66" t="e">
        <f>IF(OR(LEFT(B3141,FIND("_",B3141,1)-1)="ULGALLOC",LEFT(B3141,FIND("_",B3141,1)-1)="ULSPOOL"),LEFT(B3141,FIND("_",B3141,1)-1),VLOOKUP(LEFT(A3141,6),'Code Library'!$D$3:$E$200,2,0))&amp;"_"&amp;RIGHT(A3141,3)</f>
        <v>#VALUE!</v>
      </c>
      <c r="I3141" s="66">
        <f t="shared" si="49"/>
        <v>0</v>
      </c>
    </row>
    <row r="3142" spans="8:9">
      <c r="H3142" s="66" t="e">
        <f>IF(OR(LEFT(B3142,FIND("_",B3142,1)-1)="ULGALLOC",LEFT(B3142,FIND("_",B3142,1)-1)="ULSPOOL"),LEFT(B3142,FIND("_",B3142,1)-1),VLOOKUP(LEFT(A3142,6),'Code Library'!$D$3:$E$200,2,0))&amp;"_"&amp;RIGHT(A3142,3)</f>
        <v>#VALUE!</v>
      </c>
      <c r="I3142" s="66">
        <f t="shared" si="49"/>
        <v>0</v>
      </c>
    </row>
    <row r="3143" spans="8:9">
      <c r="H3143" s="66" t="e">
        <f>IF(OR(LEFT(B3143,FIND("_",B3143,1)-1)="ULGALLOC",LEFT(B3143,FIND("_",B3143,1)-1)="ULSPOOL"),LEFT(B3143,FIND("_",B3143,1)-1),VLOOKUP(LEFT(A3143,6),'Code Library'!$D$3:$E$200,2,0))&amp;"_"&amp;RIGHT(A3143,3)</f>
        <v>#VALUE!</v>
      </c>
      <c r="I3143" s="66">
        <f t="shared" si="49"/>
        <v>0</v>
      </c>
    </row>
    <row r="3144" spans="8:9">
      <c r="H3144" s="66" t="e">
        <f>IF(OR(LEFT(B3144,FIND("_",B3144,1)-1)="ULGALLOC",LEFT(B3144,FIND("_",B3144,1)-1)="ULSPOOL"),LEFT(B3144,FIND("_",B3144,1)-1),VLOOKUP(LEFT(A3144,6),'Code Library'!$D$3:$E$200,2,0))&amp;"_"&amp;RIGHT(A3144,3)</f>
        <v>#VALUE!</v>
      </c>
      <c r="I3144" s="66">
        <f t="shared" si="49"/>
        <v>0</v>
      </c>
    </row>
    <row r="3145" spans="8:9">
      <c r="H3145" s="66" t="e">
        <f>IF(OR(LEFT(B3145,FIND("_",B3145,1)-1)="ULGALLOC",LEFT(B3145,FIND("_",B3145,1)-1)="ULSPOOL"),LEFT(B3145,FIND("_",B3145,1)-1),VLOOKUP(LEFT(A3145,6),'Code Library'!$D$3:$E$200,2,0))&amp;"_"&amp;RIGHT(A3145,3)</f>
        <v>#VALUE!</v>
      </c>
      <c r="I3145" s="66">
        <f t="shared" si="49"/>
        <v>0</v>
      </c>
    </row>
    <row r="3146" spans="8:9">
      <c r="H3146" s="66" t="e">
        <f>IF(OR(LEFT(B3146,FIND("_",B3146,1)-1)="ULGALLOC",LEFT(B3146,FIND("_",B3146,1)-1)="ULSPOOL"),LEFT(B3146,FIND("_",B3146,1)-1),VLOOKUP(LEFT(A3146,6),'Code Library'!$D$3:$E$200,2,0))&amp;"_"&amp;RIGHT(A3146,3)</f>
        <v>#VALUE!</v>
      </c>
      <c r="I3146" s="66">
        <f t="shared" si="49"/>
        <v>0</v>
      </c>
    </row>
    <row r="3147" spans="8:9">
      <c r="H3147" s="66" t="e">
        <f>IF(OR(LEFT(B3147,FIND("_",B3147,1)-1)="ULGALLOC",LEFT(B3147,FIND("_",B3147,1)-1)="ULSPOOL"),LEFT(B3147,FIND("_",B3147,1)-1),VLOOKUP(LEFT(A3147,6),'Code Library'!$D$3:$E$200,2,0))&amp;"_"&amp;RIGHT(A3147,3)</f>
        <v>#VALUE!</v>
      </c>
      <c r="I3147" s="66">
        <f t="shared" si="49"/>
        <v>0</v>
      </c>
    </row>
    <row r="3148" spans="8:9">
      <c r="H3148" s="66" t="e">
        <f>IF(OR(LEFT(B3148,FIND("_",B3148,1)-1)="ULGALLOC",LEFT(B3148,FIND("_",B3148,1)-1)="ULSPOOL"),LEFT(B3148,FIND("_",B3148,1)-1),VLOOKUP(LEFT(A3148,6),'Code Library'!$D$3:$E$200,2,0))&amp;"_"&amp;RIGHT(A3148,3)</f>
        <v>#VALUE!</v>
      </c>
      <c r="I3148" s="66">
        <f t="shared" si="49"/>
        <v>0</v>
      </c>
    </row>
    <row r="3149" spans="8:9">
      <c r="H3149" s="66" t="e">
        <f>IF(OR(LEFT(B3149,FIND("_",B3149,1)-1)="ULGALLOC",LEFT(B3149,FIND("_",B3149,1)-1)="ULSPOOL"),LEFT(B3149,FIND("_",B3149,1)-1),VLOOKUP(LEFT(A3149,6),'Code Library'!$D$3:$E$200,2,0))&amp;"_"&amp;RIGHT(A3149,3)</f>
        <v>#VALUE!</v>
      </c>
      <c r="I3149" s="66">
        <f t="shared" si="49"/>
        <v>0</v>
      </c>
    </row>
    <row r="3150" spans="8:9">
      <c r="H3150" s="66" t="e">
        <f>IF(OR(LEFT(B3150,FIND("_",B3150,1)-1)="ULGALLOC",LEFT(B3150,FIND("_",B3150,1)-1)="ULSPOOL"),LEFT(B3150,FIND("_",B3150,1)-1),VLOOKUP(LEFT(A3150,6),'Code Library'!$D$3:$E$200,2,0))&amp;"_"&amp;RIGHT(A3150,3)</f>
        <v>#VALUE!</v>
      </c>
      <c r="I3150" s="66">
        <f t="shared" si="49"/>
        <v>0</v>
      </c>
    </row>
    <row r="3151" spans="8:9">
      <c r="H3151" s="66" t="e">
        <f>IF(OR(LEFT(B3151,FIND("_",B3151,1)-1)="ULGALLOC",LEFT(B3151,FIND("_",B3151,1)-1)="ULSPOOL"),LEFT(B3151,FIND("_",B3151,1)-1),VLOOKUP(LEFT(A3151,6),'Code Library'!$D$3:$E$200,2,0))&amp;"_"&amp;RIGHT(A3151,3)</f>
        <v>#VALUE!</v>
      </c>
      <c r="I3151" s="66">
        <f t="shared" si="49"/>
        <v>0</v>
      </c>
    </row>
    <row r="3152" spans="8:9">
      <c r="H3152" s="66" t="e">
        <f>IF(OR(LEFT(B3152,FIND("_",B3152,1)-1)="ULGALLOC",LEFT(B3152,FIND("_",B3152,1)-1)="ULSPOOL"),LEFT(B3152,FIND("_",B3152,1)-1),VLOOKUP(LEFT(A3152,6),'Code Library'!$D$3:$E$200,2,0))&amp;"_"&amp;RIGHT(A3152,3)</f>
        <v>#VALUE!</v>
      </c>
      <c r="I3152" s="66">
        <f t="shared" si="49"/>
        <v>0</v>
      </c>
    </row>
    <row r="3153" spans="8:9">
      <c r="H3153" s="66" t="e">
        <f>IF(OR(LEFT(B3153,FIND("_",B3153,1)-1)="ULGALLOC",LEFT(B3153,FIND("_",B3153,1)-1)="ULSPOOL"),LEFT(B3153,FIND("_",B3153,1)-1),VLOOKUP(LEFT(A3153,6),'Code Library'!$D$3:$E$200,2,0))&amp;"_"&amp;RIGHT(A3153,3)</f>
        <v>#VALUE!</v>
      </c>
      <c r="I3153" s="66">
        <f t="shared" si="49"/>
        <v>0</v>
      </c>
    </row>
    <row r="3154" spans="8:9">
      <c r="H3154" s="66" t="e">
        <f>IF(OR(LEFT(B3154,FIND("_",B3154,1)-1)="ULGALLOC",LEFT(B3154,FIND("_",B3154,1)-1)="ULSPOOL"),LEFT(B3154,FIND("_",B3154,1)-1),VLOOKUP(LEFT(A3154,6),'Code Library'!$D$3:$E$200,2,0))&amp;"_"&amp;RIGHT(A3154,3)</f>
        <v>#VALUE!</v>
      </c>
      <c r="I3154" s="66">
        <f t="shared" si="49"/>
        <v>0</v>
      </c>
    </row>
    <row r="3155" spans="8:9">
      <c r="H3155" s="66" t="e">
        <f>IF(OR(LEFT(B3155,FIND("_",B3155,1)-1)="ULGALLOC",LEFT(B3155,FIND("_",B3155,1)-1)="ULSPOOL"),LEFT(B3155,FIND("_",B3155,1)-1),VLOOKUP(LEFT(A3155,6),'Code Library'!$D$3:$E$200,2,0))&amp;"_"&amp;RIGHT(A3155,3)</f>
        <v>#VALUE!</v>
      </c>
      <c r="I3155" s="66">
        <f t="shared" si="49"/>
        <v>0</v>
      </c>
    </row>
    <row r="3156" spans="8:9">
      <c r="H3156" s="66" t="e">
        <f>IF(OR(LEFT(B3156,FIND("_",B3156,1)-1)="ULGALLOC",LEFT(B3156,FIND("_",B3156,1)-1)="ULSPOOL"),LEFT(B3156,FIND("_",B3156,1)-1),VLOOKUP(LEFT(A3156,6),'Code Library'!$D$3:$E$200,2,0))&amp;"_"&amp;RIGHT(A3156,3)</f>
        <v>#VALUE!</v>
      </c>
      <c r="I3156" s="66">
        <f t="shared" si="49"/>
        <v>0</v>
      </c>
    </row>
    <row r="3157" spans="8:9">
      <c r="H3157" s="66" t="e">
        <f>IF(OR(LEFT(B3157,FIND("_",B3157,1)-1)="ULGALLOC",LEFT(B3157,FIND("_",B3157,1)-1)="ULSPOOL"),LEFT(B3157,FIND("_",B3157,1)-1),VLOOKUP(LEFT(A3157,6),'Code Library'!$D$3:$E$200,2,0))&amp;"_"&amp;RIGHT(A3157,3)</f>
        <v>#VALUE!</v>
      </c>
      <c r="I3157" s="66">
        <f t="shared" si="49"/>
        <v>0</v>
      </c>
    </row>
    <row r="3158" spans="8:9">
      <c r="H3158" s="66" t="e">
        <f>IF(OR(LEFT(B3158,FIND("_",B3158,1)-1)="ULGALLOC",LEFT(B3158,FIND("_",B3158,1)-1)="ULSPOOL"),LEFT(B3158,FIND("_",B3158,1)-1),VLOOKUP(LEFT(A3158,6),'Code Library'!$D$3:$E$200,2,0))&amp;"_"&amp;RIGHT(A3158,3)</f>
        <v>#VALUE!</v>
      </c>
      <c r="I3158" s="66">
        <f t="shared" si="49"/>
        <v>0</v>
      </c>
    </row>
    <row r="3159" spans="8:9">
      <c r="H3159" s="66" t="e">
        <f>IF(OR(LEFT(B3159,FIND("_",B3159,1)-1)="ULGALLOC",LEFT(B3159,FIND("_",B3159,1)-1)="ULSPOOL"),LEFT(B3159,FIND("_",B3159,1)-1),VLOOKUP(LEFT(A3159,6),'Code Library'!$D$3:$E$200,2,0))&amp;"_"&amp;RIGHT(A3159,3)</f>
        <v>#VALUE!</v>
      </c>
      <c r="I3159" s="66">
        <f t="shared" si="49"/>
        <v>0</v>
      </c>
    </row>
    <row r="3160" spans="8:9">
      <c r="H3160" s="66" t="e">
        <f>IF(OR(LEFT(B3160,FIND("_",B3160,1)-1)="ULGALLOC",LEFT(B3160,FIND("_",B3160,1)-1)="ULSPOOL"),LEFT(B3160,FIND("_",B3160,1)-1),VLOOKUP(LEFT(A3160,6),'Code Library'!$D$3:$E$200,2,0))&amp;"_"&amp;RIGHT(A3160,3)</f>
        <v>#VALUE!</v>
      </c>
      <c r="I3160" s="66">
        <f t="shared" si="49"/>
        <v>0</v>
      </c>
    </row>
    <row r="3161" spans="8:9">
      <c r="H3161" s="66" t="e">
        <f>IF(OR(LEFT(B3161,FIND("_",B3161,1)-1)="ULGALLOC",LEFT(B3161,FIND("_",B3161,1)-1)="ULSPOOL"),LEFT(B3161,FIND("_",B3161,1)-1),VLOOKUP(LEFT(A3161,6),'Code Library'!$D$3:$E$200,2,0))&amp;"_"&amp;RIGHT(A3161,3)</f>
        <v>#VALUE!</v>
      </c>
      <c r="I3161" s="66">
        <f t="shared" si="49"/>
        <v>0</v>
      </c>
    </row>
    <row r="3162" spans="8:9">
      <c r="H3162" s="66" t="e">
        <f>IF(OR(LEFT(B3162,FIND("_",B3162,1)-1)="ULGALLOC",LEFT(B3162,FIND("_",B3162,1)-1)="ULSPOOL"),LEFT(B3162,FIND("_",B3162,1)-1),VLOOKUP(LEFT(A3162,6),'Code Library'!$D$3:$E$200,2,0))&amp;"_"&amp;RIGHT(A3162,3)</f>
        <v>#VALUE!</v>
      </c>
      <c r="I3162" s="66">
        <f t="shared" si="49"/>
        <v>0</v>
      </c>
    </row>
    <row r="3163" spans="8:9">
      <c r="H3163" s="66" t="e">
        <f>IF(OR(LEFT(B3163,FIND("_",B3163,1)-1)="ULGALLOC",LEFT(B3163,FIND("_",B3163,1)-1)="ULSPOOL"),LEFT(B3163,FIND("_",B3163,1)-1),VLOOKUP(LEFT(A3163,6),'Code Library'!$D$3:$E$200,2,0))&amp;"_"&amp;RIGHT(A3163,3)</f>
        <v>#VALUE!</v>
      </c>
      <c r="I3163" s="66">
        <f t="shared" si="49"/>
        <v>0</v>
      </c>
    </row>
    <row r="3164" spans="8:9">
      <c r="H3164" s="66" t="e">
        <f>IF(OR(LEFT(B3164,FIND("_",B3164,1)-1)="ULGALLOC",LEFT(B3164,FIND("_",B3164,1)-1)="ULSPOOL"),LEFT(B3164,FIND("_",B3164,1)-1),VLOOKUP(LEFT(A3164,6),'Code Library'!$D$3:$E$200,2,0))&amp;"_"&amp;RIGHT(A3164,3)</f>
        <v>#VALUE!</v>
      </c>
      <c r="I3164" s="66">
        <f t="shared" si="49"/>
        <v>0</v>
      </c>
    </row>
    <row r="3165" spans="8:9">
      <c r="H3165" s="66" t="e">
        <f>IF(OR(LEFT(B3165,FIND("_",B3165,1)-1)="ULGALLOC",LEFT(B3165,FIND("_",B3165,1)-1)="ULSPOOL"),LEFT(B3165,FIND("_",B3165,1)-1),VLOOKUP(LEFT(A3165,6),'Code Library'!$D$3:$E$200,2,0))&amp;"_"&amp;RIGHT(A3165,3)</f>
        <v>#VALUE!</v>
      </c>
      <c r="I3165" s="66">
        <f t="shared" si="49"/>
        <v>0</v>
      </c>
    </row>
    <row r="3166" spans="8:9">
      <c r="H3166" s="66" t="e">
        <f>IF(OR(LEFT(B3166,FIND("_",B3166,1)-1)="ULGALLOC",LEFT(B3166,FIND("_",B3166,1)-1)="ULSPOOL"),LEFT(B3166,FIND("_",B3166,1)-1),VLOOKUP(LEFT(A3166,6),'Code Library'!$D$3:$E$200,2,0))&amp;"_"&amp;RIGHT(A3166,3)</f>
        <v>#VALUE!</v>
      </c>
      <c r="I3166" s="66">
        <f t="shared" si="49"/>
        <v>0</v>
      </c>
    </row>
    <row r="3167" spans="8:9">
      <c r="H3167" s="66" t="e">
        <f>IF(OR(LEFT(B3167,FIND("_",B3167,1)-1)="ULGALLOC",LEFT(B3167,FIND("_",B3167,1)-1)="ULSPOOL"),LEFT(B3167,FIND("_",B3167,1)-1),VLOOKUP(LEFT(A3167,6),'Code Library'!$D$3:$E$200,2,0))&amp;"_"&amp;RIGHT(A3167,3)</f>
        <v>#VALUE!</v>
      </c>
      <c r="I3167" s="66">
        <f t="shared" si="49"/>
        <v>0</v>
      </c>
    </row>
    <row r="3168" spans="8:9">
      <c r="H3168" s="66" t="e">
        <f>IF(OR(LEFT(B3168,FIND("_",B3168,1)-1)="ULGALLOC",LEFT(B3168,FIND("_",B3168,1)-1)="ULSPOOL"),LEFT(B3168,FIND("_",B3168,1)-1),VLOOKUP(LEFT(A3168,6),'Code Library'!$D$3:$E$200,2,0))&amp;"_"&amp;RIGHT(A3168,3)</f>
        <v>#VALUE!</v>
      </c>
      <c r="I3168" s="66">
        <f t="shared" si="49"/>
        <v>0</v>
      </c>
    </row>
    <row r="3169" spans="8:9">
      <c r="H3169" s="66" t="e">
        <f>IF(OR(LEFT(B3169,FIND("_",B3169,1)-1)="ULGALLOC",LEFT(B3169,FIND("_",B3169,1)-1)="ULSPOOL"),LEFT(B3169,FIND("_",B3169,1)-1),VLOOKUP(LEFT(A3169,6),'Code Library'!$D$3:$E$200,2,0))&amp;"_"&amp;RIGHT(A3169,3)</f>
        <v>#VALUE!</v>
      </c>
      <c r="I3169" s="66">
        <f t="shared" si="49"/>
        <v>0</v>
      </c>
    </row>
    <row r="3170" spans="8:9">
      <c r="H3170" s="66" t="e">
        <f>IF(OR(LEFT(B3170,FIND("_",B3170,1)-1)="ULGALLOC",LEFT(B3170,FIND("_",B3170,1)-1)="ULSPOOL"),LEFT(B3170,FIND("_",B3170,1)-1),VLOOKUP(LEFT(A3170,6),'Code Library'!$D$3:$E$200,2,0))&amp;"_"&amp;RIGHT(A3170,3)</f>
        <v>#VALUE!</v>
      </c>
      <c r="I3170" s="66">
        <f t="shared" si="49"/>
        <v>0</v>
      </c>
    </row>
    <row r="3171" spans="8:9">
      <c r="H3171" s="66" t="e">
        <f>IF(OR(LEFT(B3171,FIND("_",B3171,1)-1)="ULGALLOC",LEFT(B3171,FIND("_",B3171,1)-1)="ULSPOOL"),LEFT(B3171,FIND("_",B3171,1)-1),VLOOKUP(LEFT(A3171,6),'Code Library'!$D$3:$E$200,2,0))&amp;"_"&amp;RIGHT(A3171,3)</f>
        <v>#VALUE!</v>
      </c>
      <c r="I3171" s="66">
        <f t="shared" si="49"/>
        <v>0</v>
      </c>
    </row>
    <row r="3172" spans="8:9">
      <c r="H3172" s="66" t="e">
        <f>IF(OR(LEFT(B3172,FIND("_",B3172,1)-1)="ULGALLOC",LEFT(B3172,FIND("_",B3172,1)-1)="ULSPOOL"),LEFT(B3172,FIND("_",B3172,1)-1),VLOOKUP(LEFT(A3172,6),'Code Library'!$D$3:$E$200,2,0))&amp;"_"&amp;RIGHT(A3172,3)</f>
        <v>#VALUE!</v>
      </c>
      <c r="I3172" s="66">
        <f t="shared" si="49"/>
        <v>0</v>
      </c>
    </row>
    <row r="3173" spans="8:9">
      <c r="H3173" s="66" t="e">
        <f>IF(OR(LEFT(B3173,FIND("_",B3173,1)-1)="ULGALLOC",LEFT(B3173,FIND("_",B3173,1)-1)="ULSPOOL"),LEFT(B3173,FIND("_",B3173,1)-1),VLOOKUP(LEFT(A3173,6),'Code Library'!$D$3:$E$200,2,0))&amp;"_"&amp;RIGHT(A3173,3)</f>
        <v>#VALUE!</v>
      </c>
      <c r="I3173" s="66">
        <f t="shared" si="49"/>
        <v>0</v>
      </c>
    </row>
    <row r="3174" spans="8:9">
      <c r="H3174" s="66" t="e">
        <f>IF(OR(LEFT(B3174,FIND("_",B3174,1)-1)="ULGALLOC",LEFT(B3174,FIND("_",B3174,1)-1)="ULSPOOL"),LEFT(B3174,FIND("_",B3174,1)-1),VLOOKUP(LEFT(A3174,6),'Code Library'!$D$3:$E$200,2,0))&amp;"_"&amp;RIGHT(A3174,3)</f>
        <v>#VALUE!</v>
      </c>
      <c r="I3174" s="66">
        <f t="shared" si="49"/>
        <v>0</v>
      </c>
    </row>
    <row r="3175" spans="8:9">
      <c r="H3175" s="66" t="e">
        <f>IF(OR(LEFT(B3175,FIND("_",B3175,1)-1)="ULGALLOC",LEFT(B3175,FIND("_",B3175,1)-1)="ULSPOOL"),LEFT(B3175,FIND("_",B3175,1)-1),VLOOKUP(LEFT(A3175,6),'Code Library'!$D$3:$E$200,2,0))&amp;"_"&amp;RIGHT(A3175,3)</f>
        <v>#VALUE!</v>
      </c>
      <c r="I3175" s="66">
        <f t="shared" si="49"/>
        <v>0</v>
      </c>
    </row>
    <row r="3176" spans="8:9">
      <c r="H3176" s="66" t="e">
        <f>IF(OR(LEFT(B3176,FIND("_",B3176,1)-1)="ULGALLOC",LEFT(B3176,FIND("_",B3176,1)-1)="ULSPOOL"),LEFT(B3176,FIND("_",B3176,1)-1),VLOOKUP(LEFT(A3176,6),'Code Library'!$D$3:$E$200,2,0))&amp;"_"&amp;RIGHT(A3176,3)</f>
        <v>#VALUE!</v>
      </c>
      <c r="I3176" s="66">
        <f t="shared" si="49"/>
        <v>0</v>
      </c>
    </row>
    <row r="3177" spans="8:9">
      <c r="H3177" s="66" t="e">
        <f>IF(OR(LEFT(B3177,FIND("_",B3177,1)-1)="ULGALLOC",LEFT(B3177,FIND("_",B3177,1)-1)="ULSPOOL"),LEFT(B3177,FIND("_",B3177,1)-1),VLOOKUP(LEFT(A3177,6),'Code Library'!$D$3:$E$200,2,0))&amp;"_"&amp;RIGHT(A3177,3)</f>
        <v>#VALUE!</v>
      </c>
      <c r="I3177" s="66">
        <f t="shared" si="49"/>
        <v>0</v>
      </c>
    </row>
    <row r="3178" spans="8:9">
      <c r="H3178" s="66" t="e">
        <f>IF(OR(LEFT(B3178,FIND("_",B3178,1)-1)="ULGALLOC",LEFT(B3178,FIND("_",B3178,1)-1)="ULSPOOL"),LEFT(B3178,FIND("_",B3178,1)-1),VLOOKUP(LEFT(A3178,6),'Code Library'!$D$3:$E$200,2,0))&amp;"_"&amp;RIGHT(A3178,3)</f>
        <v>#VALUE!</v>
      </c>
      <c r="I3178" s="66">
        <f t="shared" si="49"/>
        <v>0</v>
      </c>
    </row>
    <row r="3179" spans="8:9">
      <c r="H3179" s="66" t="e">
        <f>IF(OR(LEFT(B3179,FIND("_",B3179,1)-1)="ULGALLOC",LEFT(B3179,FIND("_",B3179,1)-1)="ULSPOOL"),LEFT(B3179,FIND("_",B3179,1)-1),VLOOKUP(LEFT(A3179,6),'Code Library'!$D$3:$E$200,2,0))&amp;"_"&amp;RIGHT(A3179,3)</f>
        <v>#VALUE!</v>
      </c>
      <c r="I3179" s="66">
        <f t="shared" si="49"/>
        <v>0</v>
      </c>
    </row>
    <row r="3180" spans="8:9">
      <c r="H3180" s="66" t="e">
        <f>IF(OR(LEFT(B3180,FIND("_",B3180,1)-1)="ULGALLOC",LEFT(B3180,FIND("_",B3180,1)-1)="ULSPOOL"),LEFT(B3180,FIND("_",B3180,1)-1),VLOOKUP(LEFT(A3180,6),'Code Library'!$D$3:$E$200,2,0))&amp;"_"&amp;RIGHT(A3180,3)</f>
        <v>#VALUE!</v>
      </c>
      <c r="I3180" s="66">
        <f t="shared" si="49"/>
        <v>0</v>
      </c>
    </row>
    <row r="3181" spans="8:9">
      <c r="H3181" s="66" t="e">
        <f>IF(OR(LEFT(B3181,FIND("_",B3181,1)-1)="ULGALLOC",LEFT(B3181,FIND("_",B3181,1)-1)="ULSPOOL"),LEFT(B3181,FIND("_",B3181,1)-1),VLOOKUP(LEFT(A3181,6),'Code Library'!$D$3:$E$200,2,0))&amp;"_"&amp;RIGHT(A3181,3)</f>
        <v>#VALUE!</v>
      </c>
      <c r="I3181" s="66">
        <f t="shared" si="49"/>
        <v>0</v>
      </c>
    </row>
    <row r="3182" spans="8:9">
      <c r="H3182" s="66" t="e">
        <f>IF(OR(LEFT(B3182,FIND("_",B3182,1)-1)="ULGALLOC",LEFT(B3182,FIND("_",B3182,1)-1)="ULSPOOL"),LEFT(B3182,FIND("_",B3182,1)-1),VLOOKUP(LEFT(A3182,6),'Code Library'!$D$3:$E$200,2,0))&amp;"_"&amp;RIGHT(A3182,3)</f>
        <v>#VALUE!</v>
      </c>
      <c r="I3182" s="66">
        <f t="shared" si="49"/>
        <v>0</v>
      </c>
    </row>
    <row r="3183" spans="8:9">
      <c r="H3183" s="66" t="e">
        <f>IF(OR(LEFT(B3183,FIND("_",B3183,1)-1)="ULGALLOC",LEFT(B3183,FIND("_",B3183,1)-1)="ULSPOOL"),LEFT(B3183,FIND("_",B3183,1)-1),VLOOKUP(LEFT(A3183,6),'Code Library'!$D$3:$E$200,2,0))&amp;"_"&amp;RIGHT(A3183,3)</f>
        <v>#VALUE!</v>
      </c>
      <c r="I3183" s="66">
        <f t="shared" si="49"/>
        <v>0</v>
      </c>
    </row>
    <row r="3184" spans="8:9">
      <c r="H3184" s="66" t="e">
        <f>IF(OR(LEFT(B3184,FIND("_",B3184,1)-1)="ULGALLOC",LEFT(B3184,FIND("_",B3184,1)-1)="ULSPOOL"),LEFT(B3184,FIND("_",B3184,1)-1),VLOOKUP(LEFT(A3184,6),'Code Library'!$D$3:$E$200,2,0))&amp;"_"&amp;RIGHT(A3184,3)</f>
        <v>#VALUE!</v>
      </c>
      <c r="I3184" s="66">
        <f t="shared" si="49"/>
        <v>0</v>
      </c>
    </row>
    <row r="3185" spans="8:9">
      <c r="H3185" s="66" t="e">
        <f>IF(OR(LEFT(B3185,FIND("_",B3185,1)-1)="ULGALLOC",LEFT(B3185,FIND("_",B3185,1)-1)="ULSPOOL"),LEFT(B3185,FIND("_",B3185,1)-1),VLOOKUP(LEFT(A3185,6),'Code Library'!$D$3:$E$200,2,0))&amp;"_"&amp;RIGHT(A3185,3)</f>
        <v>#VALUE!</v>
      </c>
      <c r="I3185" s="66">
        <f t="shared" si="49"/>
        <v>0</v>
      </c>
    </row>
    <row r="3186" spans="8:9">
      <c r="H3186" s="66" t="e">
        <f>IF(OR(LEFT(B3186,FIND("_",B3186,1)-1)="ULGALLOC",LEFT(B3186,FIND("_",B3186,1)-1)="ULSPOOL"),LEFT(B3186,FIND("_",B3186,1)-1),VLOOKUP(LEFT(A3186,6),'Code Library'!$D$3:$E$200,2,0))&amp;"_"&amp;RIGHT(A3186,3)</f>
        <v>#VALUE!</v>
      </c>
      <c r="I3186" s="66">
        <f t="shared" si="49"/>
        <v>0</v>
      </c>
    </row>
    <row r="3187" spans="8:9">
      <c r="H3187" s="66" t="e">
        <f>IF(OR(LEFT(B3187,FIND("_",B3187,1)-1)="ULGALLOC",LEFT(B3187,FIND("_",B3187,1)-1)="ULSPOOL"),LEFT(B3187,FIND("_",B3187,1)-1),VLOOKUP(LEFT(A3187,6),'Code Library'!$D$3:$E$200,2,0))&amp;"_"&amp;RIGHT(A3187,3)</f>
        <v>#VALUE!</v>
      </c>
      <c r="I3187" s="66">
        <f t="shared" si="49"/>
        <v>0</v>
      </c>
    </row>
    <row r="3188" spans="8:9">
      <c r="H3188" s="66" t="e">
        <f>IF(OR(LEFT(B3188,FIND("_",B3188,1)-1)="ULGALLOC",LEFT(B3188,FIND("_",B3188,1)-1)="ULSPOOL"),LEFT(B3188,FIND("_",B3188,1)-1),VLOOKUP(LEFT(A3188,6),'Code Library'!$D$3:$E$200,2,0))&amp;"_"&amp;RIGHT(A3188,3)</f>
        <v>#VALUE!</v>
      </c>
      <c r="I3188" s="66">
        <f t="shared" si="49"/>
        <v>0</v>
      </c>
    </row>
    <row r="3189" spans="8:9">
      <c r="H3189" s="66" t="e">
        <f>IF(OR(LEFT(B3189,FIND("_",B3189,1)-1)="ULGALLOC",LEFT(B3189,FIND("_",B3189,1)-1)="ULSPOOL"),LEFT(B3189,FIND("_",B3189,1)-1),VLOOKUP(LEFT(A3189,6),'Code Library'!$D$3:$E$200,2,0))&amp;"_"&amp;RIGHT(A3189,3)</f>
        <v>#VALUE!</v>
      </c>
      <c r="I3189" s="66">
        <f t="shared" si="49"/>
        <v>0</v>
      </c>
    </row>
    <row r="3190" spans="8:9">
      <c r="H3190" s="66" t="e">
        <f>IF(OR(LEFT(B3190,FIND("_",B3190,1)-1)="ULGALLOC",LEFT(B3190,FIND("_",B3190,1)-1)="ULSPOOL"),LEFT(B3190,FIND("_",B3190,1)-1),VLOOKUP(LEFT(A3190,6),'Code Library'!$D$3:$E$200,2,0))&amp;"_"&amp;RIGHT(A3190,3)</f>
        <v>#VALUE!</v>
      </c>
      <c r="I3190" s="66">
        <f t="shared" si="49"/>
        <v>0</v>
      </c>
    </row>
    <row r="3191" spans="8:9">
      <c r="H3191" s="66" t="e">
        <f>IF(OR(LEFT(B3191,FIND("_",B3191,1)-1)="ULGALLOC",LEFT(B3191,FIND("_",B3191,1)-1)="ULSPOOL"),LEFT(B3191,FIND("_",B3191,1)-1),VLOOKUP(LEFT(A3191,6),'Code Library'!$D$3:$E$200,2,0))&amp;"_"&amp;RIGHT(A3191,3)</f>
        <v>#VALUE!</v>
      </c>
      <c r="I3191" s="66">
        <f t="shared" si="49"/>
        <v>0</v>
      </c>
    </row>
    <row r="3192" spans="8:9">
      <c r="H3192" s="66" t="e">
        <f>IF(OR(LEFT(B3192,FIND("_",B3192,1)-1)="ULGALLOC",LEFT(B3192,FIND("_",B3192,1)-1)="ULSPOOL"),LEFT(B3192,FIND("_",B3192,1)-1),VLOOKUP(LEFT(A3192,6),'Code Library'!$D$3:$E$200,2,0))&amp;"_"&amp;RIGHT(A3192,3)</f>
        <v>#VALUE!</v>
      </c>
      <c r="I3192" s="66">
        <f t="shared" si="49"/>
        <v>0</v>
      </c>
    </row>
    <row r="3193" spans="8:9">
      <c r="H3193" s="66" t="e">
        <f>IF(OR(LEFT(B3193,FIND("_",B3193,1)-1)="ULGALLOC",LEFT(B3193,FIND("_",B3193,1)-1)="ULSPOOL"),LEFT(B3193,FIND("_",B3193,1)-1),VLOOKUP(LEFT(A3193,6),'Code Library'!$D$3:$E$200,2,0))&amp;"_"&amp;RIGHT(A3193,3)</f>
        <v>#VALUE!</v>
      </c>
      <c r="I3193" s="66">
        <f t="shared" si="49"/>
        <v>0</v>
      </c>
    </row>
    <row r="3194" spans="8:9">
      <c r="H3194" s="66" t="e">
        <f>IF(OR(LEFT(B3194,FIND("_",B3194,1)-1)="ULGALLOC",LEFT(B3194,FIND("_",B3194,1)-1)="ULSPOOL"),LEFT(B3194,FIND("_",B3194,1)-1),VLOOKUP(LEFT(A3194,6),'Code Library'!$D$3:$E$200,2,0))&amp;"_"&amp;RIGHT(A3194,3)</f>
        <v>#VALUE!</v>
      </c>
      <c r="I3194" s="66">
        <f t="shared" si="49"/>
        <v>0</v>
      </c>
    </row>
    <row r="3195" spans="8:9">
      <c r="H3195" s="66" t="e">
        <f>IF(OR(LEFT(B3195,FIND("_",B3195,1)-1)="ULGALLOC",LEFT(B3195,FIND("_",B3195,1)-1)="ULSPOOL"),LEFT(B3195,FIND("_",B3195,1)-1),VLOOKUP(LEFT(A3195,6),'Code Library'!$D$3:$E$200,2,0))&amp;"_"&amp;RIGHT(A3195,3)</f>
        <v>#VALUE!</v>
      </c>
      <c r="I3195" s="66">
        <f t="shared" si="49"/>
        <v>0</v>
      </c>
    </row>
    <row r="3196" spans="8:9">
      <c r="H3196" s="66" t="e">
        <f>IF(OR(LEFT(B3196,FIND("_",B3196,1)-1)="ULGALLOC",LEFT(B3196,FIND("_",B3196,1)-1)="ULSPOOL"),LEFT(B3196,FIND("_",B3196,1)-1),VLOOKUP(LEFT(A3196,6),'Code Library'!$D$3:$E$200,2,0))&amp;"_"&amp;RIGHT(A3196,3)</f>
        <v>#VALUE!</v>
      </c>
      <c r="I3196" s="66">
        <f t="shared" si="49"/>
        <v>0</v>
      </c>
    </row>
    <row r="3197" spans="8:9">
      <c r="H3197" s="66" t="e">
        <f>IF(OR(LEFT(B3197,FIND("_",B3197,1)-1)="ULGALLOC",LEFT(B3197,FIND("_",B3197,1)-1)="ULSPOOL"),LEFT(B3197,FIND("_",B3197,1)-1),VLOOKUP(LEFT(A3197,6),'Code Library'!$D$3:$E$200,2,0))&amp;"_"&amp;RIGHT(A3197,3)</f>
        <v>#VALUE!</v>
      </c>
      <c r="I3197" s="66">
        <f t="shared" si="49"/>
        <v>0</v>
      </c>
    </row>
    <row r="3198" spans="8:9">
      <c r="H3198" s="66" t="e">
        <f>IF(OR(LEFT(B3198,FIND("_",B3198,1)-1)="ULGALLOC",LEFT(B3198,FIND("_",B3198,1)-1)="ULSPOOL"),LEFT(B3198,FIND("_",B3198,1)-1),VLOOKUP(LEFT(A3198,6),'Code Library'!$D$3:$E$200,2,0))&amp;"_"&amp;RIGHT(A3198,3)</f>
        <v>#VALUE!</v>
      </c>
      <c r="I3198" s="66">
        <f t="shared" si="49"/>
        <v>0</v>
      </c>
    </row>
    <row r="3199" spans="8:9">
      <c r="H3199" s="66" t="e">
        <f>IF(OR(LEFT(B3199,FIND("_",B3199,1)-1)="ULGALLOC",LEFT(B3199,FIND("_",B3199,1)-1)="ULSPOOL"),LEFT(B3199,FIND("_",B3199,1)-1),VLOOKUP(LEFT(A3199,6),'Code Library'!$D$3:$E$200,2,0))&amp;"_"&amp;RIGHT(A3199,3)</f>
        <v>#VALUE!</v>
      </c>
      <c r="I3199" s="66">
        <f t="shared" si="49"/>
        <v>0</v>
      </c>
    </row>
    <row r="3200" spans="8:9">
      <c r="H3200" s="66" t="e">
        <f>IF(OR(LEFT(B3200,FIND("_",B3200,1)-1)="ULGALLOC",LEFT(B3200,FIND("_",B3200,1)-1)="ULSPOOL"),LEFT(B3200,FIND("_",B3200,1)-1),VLOOKUP(LEFT(A3200,6),'Code Library'!$D$3:$E$200,2,0))&amp;"_"&amp;RIGHT(A3200,3)</f>
        <v>#VALUE!</v>
      </c>
      <c r="I3200" s="66">
        <f t="shared" si="49"/>
        <v>0</v>
      </c>
    </row>
    <row r="3201" spans="8:9">
      <c r="H3201" s="66" t="e">
        <f>IF(OR(LEFT(B3201,FIND("_",B3201,1)-1)="ULGALLOC",LEFT(B3201,FIND("_",B3201,1)-1)="ULSPOOL"),LEFT(B3201,FIND("_",B3201,1)-1),VLOOKUP(LEFT(A3201,6),'Code Library'!$D$3:$E$200,2,0))&amp;"_"&amp;RIGHT(A3201,3)</f>
        <v>#VALUE!</v>
      </c>
      <c r="I3201" s="66">
        <f t="shared" si="49"/>
        <v>0</v>
      </c>
    </row>
    <row r="3202" spans="8:9">
      <c r="H3202" s="66" t="e">
        <f>IF(OR(LEFT(B3202,FIND("_",B3202,1)-1)="ULGALLOC",LEFT(B3202,FIND("_",B3202,1)-1)="ULSPOOL"),LEFT(B3202,FIND("_",B3202,1)-1),VLOOKUP(LEFT(A3202,6),'Code Library'!$D$3:$E$200,2,0))&amp;"_"&amp;RIGHT(A3202,3)</f>
        <v>#VALUE!</v>
      </c>
      <c r="I3202" s="66">
        <f t="shared" si="49"/>
        <v>0</v>
      </c>
    </row>
    <row r="3203" spans="8:9">
      <c r="H3203" s="66" t="e">
        <f>IF(OR(LEFT(B3203,FIND("_",B3203,1)-1)="ULGALLOC",LEFT(B3203,FIND("_",B3203,1)-1)="ULSPOOL"),LEFT(B3203,FIND("_",B3203,1)-1),VLOOKUP(LEFT(A3203,6),'Code Library'!$D$3:$E$200,2,0))&amp;"_"&amp;RIGHT(A3203,3)</f>
        <v>#VALUE!</v>
      </c>
      <c r="I3203" s="66">
        <f t="shared" ref="I3203:I3266" si="50">A3203</f>
        <v>0</v>
      </c>
    </row>
    <row r="3204" spans="8:9">
      <c r="H3204" s="66" t="e">
        <f>IF(OR(LEFT(B3204,FIND("_",B3204,1)-1)="ULGALLOC",LEFT(B3204,FIND("_",B3204,1)-1)="ULSPOOL"),LEFT(B3204,FIND("_",B3204,1)-1),VLOOKUP(LEFT(A3204,6),'Code Library'!$D$3:$E$200,2,0))&amp;"_"&amp;RIGHT(A3204,3)</f>
        <v>#VALUE!</v>
      </c>
      <c r="I3204" s="66">
        <f t="shared" si="50"/>
        <v>0</v>
      </c>
    </row>
    <row r="3205" spans="8:9">
      <c r="H3205" s="66" t="e">
        <f>IF(OR(LEFT(B3205,FIND("_",B3205,1)-1)="ULGALLOC",LEFT(B3205,FIND("_",B3205,1)-1)="ULSPOOL"),LEFT(B3205,FIND("_",B3205,1)-1),VLOOKUP(LEFT(A3205,6),'Code Library'!$D$3:$E$200,2,0))&amp;"_"&amp;RIGHT(A3205,3)</f>
        <v>#VALUE!</v>
      </c>
      <c r="I3205" s="66">
        <f t="shared" si="50"/>
        <v>0</v>
      </c>
    </row>
    <row r="3206" spans="8:9">
      <c r="H3206" s="66" t="e">
        <f>IF(OR(LEFT(B3206,FIND("_",B3206,1)-1)="ULGALLOC",LEFT(B3206,FIND("_",B3206,1)-1)="ULSPOOL"),LEFT(B3206,FIND("_",B3206,1)-1),VLOOKUP(LEFT(A3206,6),'Code Library'!$D$3:$E$200,2,0))&amp;"_"&amp;RIGHT(A3206,3)</f>
        <v>#VALUE!</v>
      </c>
      <c r="I3206" s="66">
        <f t="shared" si="50"/>
        <v>0</v>
      </c>
    </row>
    <row r="3207" spans="8:9">
      <c r="H3207" s="66" t="e">
        <f>IF(OR(LEFT(B3207,FIND("_",B3207,1)-1)="ULGALLOC",LEFT(B3207,FIND("_",B3207,1)-1)="ULSPOOL"),LEFT(B3207,FIND("_",B3207,1)-1),VLOOKUP(LEFT(A3207,6),'Code Library'!$D$3:$E$200,2,0))&amp;"_"&amp;RIGHT(A3207,3)</f>
        <v>#VALUE!</v>
      </c>
      <c r="I3207" s="66">
        <f t="shared" si="50"/>
        <v>0</v>
      </c>
    </row>
    <row r="3208" spans="8:9">
      <c r="H3208" s="66" t="e">
        <f>IF(OR(LEFT(B3208,FIND("_",B3208,1)-1)="ULGALLOC",LEFT(B3208,FIND("_",B3208,1)-1)="ULSPOOL"),LEFT(B3208,FIND("_",B3208,1)-1),VLOOKUP(LEFT(A3208,6),'Code Library'!$D$3:$E$200,2,0))&amp;"_"&amp;RIGHT(A3208,3)</f>
        <v>#VALUE!</v>
      </c>
      <c r="I3208" s="66">
        <f t="shared" si="50"/>
        <v>0</v>
      </c>
    </row>
    <row r="3209" spans="8:9">
      <c r="H3209" s="66" t="e">
        <f>IF(OR(LEFT(B3209,FIND("_",B3209,1)-1)="ULGALLOC",LEFT(B3209,FIND("_",B3209,1)-1)="ULSPOOL"),LEFT(B3209,FIND("_",B3209,1)-1),VLOOKUP(LEFT(A3209,6),'Code Library'!$D$3:$E$200,2,0))&amp;"_"&amp;RIGHT(A3209,3)</f>
        <v>#VALUE!</v>
      </c>
      <c r="I3209" s="66">
        <f t="shared" si="50"/>
        <v>0</v>
      </c>
    </row>
    <row r="3210" spans="8:9">
      <c r="H3210" s="66" t="e">
        <f>IF(OR(LEFT(B3210,FIND("_",B3210,1)-1)="ULGALLOC",LEFT(B3210,FIND("_",B3210,1)-1)="ULSPOOL"),LEFT(B3210,FIND("_",B3210,1)-1),VLOOKUP(LEFT(A3210,6),'Code Library'!$D$3:$E$200,2,0))&amp;"_"&amp;RIGHT(A3210,3)</f>
        <v>#VALUE!</v>
      </c>
      <c r="I3210" s="66">
        <f t="shared" si="50"/>
        <v>0</v>
      </c>
    </row>
    <row r="3211" spans="8:9">
      <c r="H3211" s="66" t="e">
        <f>IF(OR(LEFT(B3211,FIND("_",B3211,1)-1)="ULGALLOC",LEFT(B3211,FIND("_",B3211,1)-1)="ULSPOOL"),LEFT(B3211,FIND("_",B3211,1)-1),VLOOKUP(LEFT(A3211,6),'Code Library'!$D$3:$E$200,2,0))&amp;"_"&amp;RIGHT(A3211,3)</f>
        <v>#VALUE!</v>
      </c>
      <c r="I3211" s="66">
        <f t="shared" si="50"/>
        <v>0</v>
      </c>
    </row>
    <row r="3212" spans="8:9">
      <c r="H3212" s="66" t="e">
        <f>IF(OR(LEFT(B3212,FIND("_",B3212,1)-1)="ULGALLOC",LEFT(B3212,FIND("_",B3212,1)-1)="ULSPOOL"),LEFT(B3212,FIND("_",B3212,1)-1),VLOOKUP(LEFT(A3212,6),'Code Library'!$D$3:$E$200,2,0))&amp;"_"&amp;RIGHT(A3212,3)</f>
        <v>#VALUE!</v>
      </c>
      <c r="I3212" s="66">
        <f t="shared" si="50"/>
        <v>0</v>
      </c>
    </row>
    <row r="3213" spans="8:9">
      <c r="H3213" s="66" t="e">
        <f>IF(OR(LEFT(B3213,FIND("_",B3213,1)-1)="ULGALLOC",LEFT(B3213,FIND("_",B3213,1)-1)="ULSPOOL"),LEFT(B3213,FIND("_",B3213,1)-1),VLOOKUP(LEFT(A3213,6),'Code Library'!$D$3:$E$200,2,0))&amp;"_"&amp;RIGHT(A3213,3)</f>
        <v>#VALUE!</v>
      </c>
      <c r="I3213" s="66">
        <f t="shared" si="50"/>
        <v>0</v>
      </c>
    </row>
    <row r="3214" spans="8:9">
      <c r="H3214" s="66" t="e">
        <f>IF(OR(LEFT(B3214,FIND("_",B3214,1)-1)="ULGALLOC",LEFT(B3214,FIND("_",B3214,1)-1)="ULSPOOL"),LEFT(B3214,FIND("_",B3214,1)-1),VLOOKUP(LEFT(A3214,6),'Code Library'!$D$3:$E$200,2,0))&amp;"_"&amp;RIGHT(A3214,3)</f>
        <v>#VALUE!</v>
      </c>
      <c r="I3214" s="66">
        <f t="shared" si="50"/>
        <v>0</v>
      </c>
    </row>
    <row r="3215" spans="8:9">
      <c r="H3215" s="66" t="e">
        <f>IF(OR(LEFT(B3215,FIND("_",B3215,1)-1)="ULGALLOC",LEFT(B3215,FIND("_",B3215,1)-1)="ULSPOOL"),LEFT(B3215,FIND("_",B3215,1)-1),VLOOKUP(LEFT(A3215,6),'Code Library'!$D$3:$E$200,2,0))&amp;"_"&amp;RIGHT(A3215,3)</f>
        <v>#VALUE!</v>
      </c>
      <c r="I3215" s="66">
        <f t="shared" si="50"/>
        <v>0</v>
      </c>
    </row>
    <row r="3216" spans="8:9">
      <c r="H3216" s="66" t="e">
        <f>IF(OR(LEFT(B3216,FIND("_",B3216,1)-1)="ULGALLOC",LEFT(B3216,FIND("_",B3216,1)-1)="ULSPOOL"),LEFT(B3216,FIND("_",B3216,1)-1),VLOOKUP(LEFT(A3216,6),'Code Library'!$D$3:$E$200,2,0))&amp;"_"&amp;RIGHT(A3216,3)</f>
        <v>#VALUE!</v>
      </c>
      <c r="I3216" s="66">
        <f t="shared" si="50"/>
        <v>0</v>
      </c>
    </row>
    <row r="3217" spans="8:9">
      <c r="H3217" s="66" t="e">
        <f>IF(OR(LEFT(B3217,FIND("_",B3217,1)-1)="ULGALLOC",LEFT(B3217,FIND("_",B3217,1)-1)="ULSPOOL"),LEFT(B3217,FIND("_",B3217,1)-1),VLOOKUP(LEFT(A3217,6),'Code Library'!$D$3:$E$200,2,0))&amp;"_"&amp;RIGHT(A3217,3)</f>
        <v>#VALUE!</v>
      </c>
      <c r="I3217" s="66">
        <f t="shared" si="50"/>
        <v>0</v>
      </c>
    </row>
    <row r="3218" spans="8:9">
      <c r="H3218" s="66" t="e">
        <f>IF(OR(LEFT(B3218,FIND("_",B3218,1)-1)="ULGALLOC",LEFT(B3218,FIND("_",B3218,1)-1)="ULSPOOL"),LEFT(B3218,FIND("_",B3218,1)-1),VLOOKUP(LEFT(A3218,6),'Code Library'!$D$3:$E$200,2,0))&amp;"_"&amp;RIGHT(A3218,3)</f>
        <v>#VALUE!</v>
      </c>
      <c r="I3218" s="66">
        <f t="shared" si="50"/>
        <v>0</v>
      </c>
    </row>
    <row r="3219" spans="8:9">
      <c r="H3219" s="66" t="e">
        <f>IF(OR(LEFT(B3219,FIND("_",B3219,1)-1)="ULGALLOC",LEFT(B3219,FIND("_",B3219,1)-1)="ULSPOOL"),LEFT(B3219,FIND("_",B3219,1)-1),VLOOKUP(LEFT(A3219,6),'Code Library'!$D$3:$E$200,2,0))&amp;"_"&amp;RIGHT(A3219,3)</f>
        <v>#VALUE!</v>
      </c>
      <c r="I3219" s="66">
        <f t="shared" si="50"/>
        <v>0</v>
      </c>
    </row>
    <row r="3220" spans="8:9">
      <c r="H3220" s="66" t="e">
        <f>IF(OR(LEFT(B3220,FIND("_",B3220,1)-1)="ULGALLOC",LEFT(B3220,FIND("_",B3220,1)-1)="ULSPOOL"),LEFT(B3220,FIND("_",B3220,1)-1),VLOOKUP(LEFT(A3220,6),'Code Library'!$D$3:$E$200,2,0))&amp;"_"&amp;RIGHT(A3220,3)</f>
        <v>#VALUE!</v>
      </c>
      <c r="I3220" s="66">
        <f t="shared" si="50"/>
        <v>0</v>
      </c>
    </row>
    <row r="3221" spans="8:9">
      <c r="H3221" s="66" t="e">
        <f>IF(OR(LEFT(B3221,FIND("_",B3221,1)-1)="ULGALLOC",LEFT(B3221,FIND("_",B3221,1)-1)="ULSPOOL"),LEFT(B3221,FIND("_",B3221,1)-1),VLOOKUP(LEFT(A3221,6),'Code Library'!$D$3:$E$200,2,0))&amp;"_"&amp;RIGHT(A3221,3)</f>
        <v>#VALUE!</v>
      </c>
      <c r="I3221" s="66">
        <f t="shared" si="50"/>
        <v>0</v>
      </c>
    </row>
    <row r="3222" spans="8:9">
      <c r="H3222" s="66" t="e">
        <f>IF(OR(LEFT(B3222,FIND("_",B3222,1)-1)="ULGALLOC",LEFT(B3222,FIND("_",B3222,1)-1)="ULSPOOL"),LEFT(B3222,FIND("_",B3222,1)-1),VLOOKUP(LEFT(A3222,6),'Code Library'!$D$3:$E$200,2,0))&amp;"_"&amp;RIGHT(A3222,3)</f>
        <v>#VALUE!</v>
      </c>
      <c r="I3222" s="66">
        <f t="shared" si="50"/>
        <v>0</v>
      </c>
    </row>
    <row r="3223" spans="8:9">
      <c r="H3223" s="66" t="e">
        <f>IF(OR(LEFT(B3223,FIND("_",B3223,1)-1)="ULGALLOC",LEFT(B3223,FIND("_",B3223,1)-1)="ULSPOOL"),LEFT(B3223,FIND("_",B3223,1)-1),VLOOKUP(LEFT(A3223,6),'Code Library'!$D$3:$E$200,2,0))&amp;"_"&amp;RIGHT(A3223,3)</f>
        <v>#VALUE!</v>
      </c>
      <c r="I3223" s="66">
        <f t="shared" si="50"/>
        <v>0</v>
      </c>
    </row>
    <row r="3224" spans="8:9">
      <c r="H3224" s="66" t="e">
        <f>IF(OR(LEFT(B3224,FIND("_",B3224,1)-1)="ULGALLOC",LEFT(B3224,FIND("_",B3224,1)-1)="ULSPOOL"),LEFT(B3224,FIND("_",B3224,1)-1),VLOOKUP(LEFT(A3224,6),'Code Library'!$D$3:$E$200,2,0))&amp;"_"&amp;RIGHT(A3224,3)</f>
        <v>#VALUE!</v>
      </c>
      <c r="I3224" s="66">
        <f t="shared" si="50"/>
        <v>0</v>
      </c>
    </row>
    <row r="3225" spans="8:9">
      <c r="H3225" s="66" t="e">
        <f>IF(OR(LEFT(B3225,FIND("_",B3225,1)-1)="ULGALLOC",LEFT(B3225,FIND("_",B3225,1)-1)="ULSPOOL"),LEFT(B3225,FIND("_",B3225,1)-1),VLOOKUP(LEFT(A3225,6),'Code Library'!$D$3:$E$200,2,0))&amp;"_"&amp;RIGHT(A3225,3)</f>
        <v>#VALUE!</v>
      </c>
      <c r="I3225" s="66">
        <f t="shared" si="50"/>
        <v>0</v>
      </c>
    </row>
    <row r="3226" spans="8:9">
      <c r="H3226" s="66" t="e">
        <f>IF(OR(LEFT(B3226,FIND("_",B3226,1)-1)="ULGALLOC",LEFT(B3226,FIND("_",B3226,1)-1)="ULSPOOL"),LEFT(B3226,FIND("_",B3226,1)-1),VLOOKUP(LEFT(A3226,6),'Code Library'!$D$3:$E$200,2,0))&amp;"_"&amp;RIGHT(A3226,3)</f>
        <v>#VALUE!</v>
      </c>
      <c r="I3226" s="66">
        <f t="shared" si="50"/>
        <v>0</v>
      </c>
    </row>
    <row r="3227" spans="8:9">
      <c r="H3227" s="66" t="e">
        <f>IF(OR(LEFT(B3227,FIND("_",B3227,1)-1)="ULGALLOC",LEFT(B3227,FIND("_",B3227,1)-1)="ULSPOOL"),LEFT(B3227,FIND("_",B3227,1)-1),VLOOKUP(LEFT(A3227,6),'Code Library'!$D$3:$E$200,2,0))&amp;"_"&amp;RIGHT(A3227,3)</f>
        <v>#VALUE!</v>
      </c>
      <c r="I3227" s="66">
        <f t="shared" si="50"/>
        <v>0</v>
      </c>
    </row>
    <row r="3228" spans="8:9">
      <c r="H3228" s="66" t="e">
        <f>IF(OR(LEFT(B3228,FIND("_",B3228,1)-1)="ULGALLOC",LEFT(B3228,FIND("_",B3228,1)-1)="ULSPOOL"),LEFT(B3228,FIND("_",B3228,1)-1),VLOOKUP(LEFT(A3228,6),'Code Library'!$D$3:$E$200,2,0))&amp;"_"&amp;RIGHT(A3228,3)</f>
        <v>#VALUE!</v>
      </c>
      <c r="I3228" s="66">
        <f t="shared" si="50"/>
        <v>0</v>
      </c>
    </row>
    <row r="3229" spans="8:9">
      <c r="H3229" s="66" t="e">
        <f>IF(OR(LEFT(B3229,FIND("_",B3229,1)-1)="ULGALLOC",LEFT(B3229,FIND("_",B3229,1)-1)="ULSPOOL"),LEFT(B3229,FIND("_",B3229,1)-1),VLOOKUP(LEFT(A3229,6),'Code Library'!$D$3:$E$200,2,0))&amp;"_"&amp;RIGHT(A3229,3)</f>
        <v>#VALUE!</v>
      </c>
      <c r="I3229" s="66">
        <f t="shared" si="50"/>
        <v>0</v>
      </c>
    </row>
    <row r="3230" spans="8:9">
      <c r="H3230" s="66" t="e">
        <f>IF(OR(LEFT(B3230,FIND("_",B3230,1)-1)="ULGALLOC",LEFT(B3230,FIND("_",B3230,1)-1)="ULSPOOL"),LEFT(B3230,FIND("_",B3230,1)-1),VLOOKUP(LEFT(A3230,6),'Code Library'!$D$3:$E$200,2,0))&amp;"_"&amp;RIGHT(A3230,3)</f>
        <v>#VALUE!</v>
      </c>
      <c r="I3230" s="66">
        <f t="shared" si="50"/>
        <v>0</v>
      </c>
    </row>
    <row r="3231" spans="8:9">
      <c r="H3231" s="66" t="e">
        <f>IF(OR(LEFT(B3231,FIND("_",B3231,1)-1)="ULGALLOC",LEFT(B3231,FIND("_",B3231,1)-1)="ULSPOOL"),LEFT(B3231,FIND("_",B3231,1)-1),VLOOKUP(LEFT(A3231,6),'Code Library'!$D$3:$E$200,2,0))&amp;"_"&amp;RIGHT(A3231,3)</f>
        <v>#VALUE!</v>
      </c>
      <c r="I3231" s="66">
        <f t="shared" si="50"/>
        <v>0</v>
      </c>
    </row>
    <row r="3232" spans="8:9">
      <c r="H3232" s="66" t="e">
        <f>IF(OR(LEFT(B3232,FIND("_",B3232,1)-1)="ULGALLOC",LEFT(B3232,FIND("_",B3232,1)-1)="ULSPOOL"),LEFT(B3232,FIND("_",B3232,1)-1),VLOOKUP(LEFT(A3232,6),'Code Library'!$D$3:$E$200,2,0))&amp;"_"&amp;RIGHT(A3232,3)</f>
        <v>#VALUE!</v>
      </c>
      <c r="I3232" s="66">
        <f t="shared" si="50"/>
        <v>0</v>
      </c>
    </row>
    <row r="3233" spans="8:9">
      <c r="H3233" s="66" t="e">
        <f>IF(OR(LEFT(B3233,FIND("_",B3233,1)-1)="ULGALLOC",LEFT(B3233,FIND("_",B3233,1)-1)="ULSPOOL"),LEFT(B3233,FIND("_",B3233,1)-1),VLOOKUP(LEFT(A3233,6),'Code Library'!$D$3:$E$200,2,0))&amp;"_"&amp;RIGHT(A3233,3)</f>
        <v>#VALUE!</v>
      </c>
      <c r="I3233" s="66">
        <f t="shared" si="50"/>
        <v>0</v>
      </c>
    </row>
    <row r="3234" spans="8:9">
      <c r="H3234" s="66" t="e">
        <f>IF(OR(LEFT(B3234,FIND("_",B3234,1)-1)="ULGALLOC",LEFT(B3234,FIND("_",B3234,1)-1)="ULSPOOL"),LEFT(B3234,FIND("_",B3234,1)-1),VLOOKUP(LEFT(A3234,6),'Code Library'!$D$3:$E$200,2,0))&amp;"_"&amp;RIGHT(A3234,3)</f>
        <v>#VALUE!</v>
      </c>
      <c r="I3234" s="66">
        <f t="shared" si="50"/>
        <v>0</v>
      </c>
    </row>
    <row r="3235" spans="8:9">
      <c r="H3235" s="66" t="e">
        <f>IF(OR(LEFT(B3235,FIND("_",B3235,1)-1)="ULGALLOC",LEFT(B3235,FIND("_",B3235,1)-1)="ULSPOOL"),LEFT(B3235,FIND("_",B3235,1)-1),VLOOKUP(LEFT(A3235,6),'Code Library'!$D$3:$E$200,2,0))&amp;"_"&amp;RIGHT(A3235,3)</f>
        <v>#VALUE!</v>
      </c>
      <c r="I3235" s="66">
        <f t="shared" si="50"/>
        <v>0</v>
      </c>
    </row>
    <row r="3236" spans="8:9">
      <c r="H3236" s="66" t="e">
        <f>IF(OR(LEFT(B3236,FIND("_",B3236,1)-1)="ULGALLOC",LEFT(B3236,FIND("_",B3236,1)-1)="ULSPOOL"),LEFT(B3236,FIND("_",B3236,1)-1),VLOOKUP(LEFT(A3236,6),'Code Library'!$D$3:$E$200,2,0))&amp;"_"&amp;RIGHT(A3236,3)</f>
        <v>#VALUE!</v>
      </c>
      <c r="I3236" s="66">
        <f t="shared" si="50"/>
        <v>0</v>
      </c>
    </row>
    <row r="3237" spans="8:9">
      <c r="H3237" s="66" t="e">
        <f>IF(OR(LEFT(B3237,FIND("_",B3237,1)-1)="ULGALLOC",LEFT(B3237,FIND("_",B3237,1)-1)="ULSPOOL"),LEFT(B3237,FIND("_",B3237,1)-1),VLOOKUP(LEFT(A3237,6),'Code Library'!$D$3:$E$200,2,0))&amp;"_"&amp;RIGHT(A3237,3)</f>
        <v>#VALUE!</v>
      </c>
      <c r="I3237" s="66">
        <f t="shared" si="50"/>
        <v>0</v>
      </c>
    </row>
    <row r="3238" spans="8:9">
      <c r="H3238" s="66" t="e">
        <f>IF(OR(LEFT(B3238,FIND("_",B3238,1)-1)="ULGALLOC",LEFT(B3238,FIND("_",B3238,1)-1)="ULSPOOL"),LEFT(B3238,FIND("_",B3238,1)-1),VLOOKUP(LEFT(A3238,6),'Code Library'!$D$3:$E$200,2,0))&amp;"_"&amp;RIGHT(A3238,3)</f>
        <v>#VALUE!</v>
      </c>
      <c r="I3238" s="66">
        <f t="shared" si="50"/>
        <v>0</v>
      </c>
    </row>
    <row r="3239" spans="8:9">
      <c r="H3239" s="66" t="e">
        <f>IF(OR(LEFT(B3239,FIND("_",B3239,1)-1)="ULGALLOC",LEFT(B3239,FIND("_",B3239,1)-1)="ULSPOOL"),LEFT(B3239,FIND("_",B3239,1)-1),VLOOKUP(LEFT(A3239,6),'Code Library'!$D$3:$E$200,2,0))&amp;"_"&amp;RIGHT(A3239,3)</f>
        <v>#VALUE!</v>
      </c>
      <c r="I3239" s="66">
        <f t="shared" si="50"/>
        <v>0</v>
      </c>
    </row>
    <row r="3240" spans="8:9">
      <c r="H3240" s="66" t="e">
        <f>IF(OR(LEFT(B3240,FIND("_",B3240,1)-1)="ULGALLOC",LEFT(B3240,FIND("_",B3240,1)-1)="ULSPOOL"),LEFT(B3240,FIND("_",B3240,1)-1),VLOOKUP(LEFT(A3240,6),'Code Library'!$D$3:$E$200,2,0))&amp;"_"&amp;RIGHT(A3240,3)</f>
        <v>#VALUE!</v>
      </c>
      <c r="I3240" s="66">
        <f t="shared" si="50"/>
        <v>0</v>
      </c>
    </row>
    <row r="3241" spans="8:9">
      <c r="H3241" s="66" t="e">
        <f>IF(OR(LEFT(B3241,FIND("_",B3241,1)-1)="ULGALLOC",LEFT(B3241,FIND("_",B3241,1)-1)="ULSPOOL"),LEFT(B3241,FIND("_",B3241,1)-1),VLOOKUP(LEFT(A3241,6),'Code Library'!$D$3:$E$200,2,0))&amp;"_"&amp;RIGHT(A3241,3)</f>
        <v>#VALUE!</v>
      </c>
      <c r="I3241" s="66">
        <f t="shared" si="50"/>
        <v>0</v>
      </c>
    </row>
    <row r="3242" spans="8:9">
      <c r="H3242" s="66" t="e">
        <f>IF(OR(LEFT(B3242,FIND("_",B3242,1)-1)="ULGALLOC",LEFT(B3242,FIND("_",B3242,1)-1)="ULSPOOL"),LEFT(B3242,FIND("_",B3242,1)-1),VLOOKUP(LEFT(A3242,6),'Code Library'!$D$3:$E$200,2,0))&amp;"_"&amp;RIGHT(A3242,3)</f>
        <v>#VALUE!</v>
      </c>
      <c r="I3242" s="66">
        <f t="shared" si="50"/>
        <v>0</v>
      </c>
    </row>
    <row r="3243" spans="8:9">
      <c r="H3243" s="66" t="e">
        <f>IF(OR(LEFT(B3243,FIND("_",B3243,1)-1)="ULGALLOC",LEFT(B3243,FIND("_",B3243,1)-1)="ULSPOOL"),LEFT(B3243,FIND("_",B3243,1)-1),VLOOKUP(LEFT(A3243,6),'Code Library'!$D$3:$E$200,2,0))&amp;"_"&amp;RIGHT(A3243,3)</f>
        <v>#VALUE!</v>
      </c>
      <c r="I3243" s="66">
        <f t="shared" si="50"/>
        <v>0</v>
      </c>
    </row>
    <row r="3244" spans="8:9">
      <c r="H3244" s="66" t="e">
        <f>IF(OR(LEFT(B3244,FIND("_",B3244,1)-1)="ULGALLOC",LEFT(B3244,FIND("_",B3244,1)-1)="ULSPOOL"),LEFT(B3244,FIND("_",B3244,1)-1),VLOOKUP(LEFT(A3244,6),'Code Library'!$D$3:$E$200,2,0))&amp;"_"&amp;RIGHT(A3244,3)</f>
        <v>#VALUE!</v>
      </c>
      <c r="I3244" s="66">
        <f t="shared" si="50"/>
        <v>0</v>
      </c>
    </row>
    <row r="3245" spans="8:9">
      <c r="H3245" s="66" t="e">
        <f>IF(OR(LEFT(B3245,FIND("_",B3245,1)-1)="ULGALLOC",LEFT(B3245,FIND("_",B3245,1)-1)="ULSPOOL"),LEFT(B3245,FIND("_",B3245,1)-1),VLOOKUP(LEFT(A3245,6),'Code Library'!$D$3:$E$200,2,0))&amp;"_"&amp;RIGHT(A3245,3)</f>
        <v>#VALUE!</v>
      </c>
      <c r="I3245" s="66">
        <f t="shared" si="50"/>
        <v>0</v>
      </c>
    </row>
    <row r="3246" spans="8:9">
      <c r="H3246" s="66" t="e">
        <f>IF(OR(LEFT(B3246,FIND("_",B3246,1)-1)="ULGALLOC",LEFT(B3246,FIND("_",B3246,1)-1)="ULSPOOL"),LEFT(B3246,FIND("_",B3246,1)-1),VLOOKUP(LEFT(A3246,6),'Code Library'!$D$3:$E$200,2,0))&amp;"_"&amp;RIGHT(A3246,3)</f>
        <v>#VALUE!</v>
      </c>
      <c r="I3246" s="66">
        <f t="shared" si="50"/>
        <v>0</v>
      </c>
    </row>
    <row r="3247" spans="8:9">
      <c r="H3247" s="66" t="e">
        <f>IF(OR(LEFT(B3247,FIND("_",B3247,1)-1)="ULGALLOC",LEFT(B3247,FIND("_",B3247,1)-1)="ULSPOOL"),LEFT(B3247,FIND("_",B3247,1)-1),VLOOKUP(LEFT(A3247,6),'Code Library'!$D$3:$E$200,2,0))&amp;"_"&amp;RIGHT(A3247,3)</f>
        <v>#VALUE!</v>
      </c>
      <c r="I3247" s="66">
        <f t="shared" si="50"/>
        <v>0</v>
      </c>
    </row>
    <row r="3248" spans="8:9">
      <c r="H3248" s="66" t="e">
        <f>IF(OR(LEFT(B3248,FIND("_",B3248,1)-1)="ULGALLOC",LEFT(B3248,FIND("_",B3248,1)-1)="ULSPOOL"),LEFT(B3248,FIND("_",B3248,1)-1),VLOOKUP(LEFT(A3248,6),'Code Library'!$D$3:$E$200,2,0))&amp;"_"&amp;RIGHT(A3248,3)</f>
        <v>#VALUE!</v>
      </c>
      <c r="I3248" s="66">
        <f t="shared" si="50"/>
        <v>0</v>
      </c>
    </row>
    <row r="3249" spans="8:9">
      <c r="H3249" s="66" t="e">
        <f>IF(OR(LEFT(B3249,FIND("_",B3249,1)-1)="ULGALLOC",LEFT(B3249,FIND("_",B3249,1)-1)="ULSPOOL"),LEFT(B3249,FIND("_",B3249,1)-1),VLOOKUP(LEFT(A3249,6),'Code Library'!$D$3:$E$200,2,0))&amp;"_"&amp;RIGHT(A3249,3)</f>
        <v>#VALUE!</v>
      </c>
      <c r="I3249" s="66">
        <f t="shared" si="50"/>
        <v>0</v>
      </c>
    </row>
    <row r="3250" spans="8:9">
      <c r="H3250" s="66" t="e">
        <f>IF(OR(LEFT(B3250,FIND("_",B3250,1)-1)="ULGALLOC",LEFT(B3250,FIND("_",B3250,1)-1)="ULSPOOL"),LEFT(B3250,FIND("_",B3250,1)-1),VLOOKUP(LEFT(A3250,6),'Code Library'!$D$3:$E$200,2,0))&amp;"_"&amp;RIGHT(A3250,3)</f>
        <v>#VALUE!</v>
      </c>
      <c r="I3250" s="66">
        <f t="shared" si="50"/>
        <v>0</v>
      </c>
    </row>
    <row r="3251" spans="8:9">
      <c r="H3251" s="66" t="e">
        <f>IF(OR(LEFT(B3251,FIND("_",B3251,1)-1)="ULGALLOC",LEFT(B3251,FIND("_",B3251,1)-1)="ULSPOOL"),LEFT(B3251,FIND("_",B3251,1)-1),VLOOKUP(LEFT(A3251,6),'Code Library'!$D$3:$E$200,2,0))&amp;"_"&amp;RIGHT(A3251,3)</f>
        <v>#VALUE!</v>
      </c>
      <c r="I3251" s="66">
        <f t="shared" si="50"/>
        <v>0</v>
      </c>
    </row>
    <row r="3252" spans="8:9">
      <c r="H3252" s="66" t="e">
        <f>IF(OR(LEFT(B3252,FIND("_",B3252,1)-1)="ULGALLOC",LEFT(B3252,FIND("_",B3252,1)-1)="ULSPOOL"),LEFT(B3252,FIND("_",B3252,1)-1),VLOOKUP(LEFT(A3252,6),'Code Library'!$D$3:$E$200,2,0))&amp;"_"&amp;RIGHT(A3252,3)</f>
        <v>#VALUE!</v>
      </c>
      <c r="I3252" s="66">
        <f t="shared" si="50"/>
        <v>0</v>
      </c>
    </row>
    <row r="3253" spans="8:9">
      <c r="H3253" s="66" t="e">
        <f>IF(OR(LEFT(B3253,FIND("_",B3253,1)-1)="ULGALLOC",LEFT(B3253,FIND("_",B3253,1)-1)="ULSPOOL"),LEFT(B3253,FIND("_",B3253,1)-1),VLOOKUP(LEFT(A3253,6),'Code Library'!$D$3:$E$200,2,0))&amp;"_"&amp;RIGHT(A3253,3)</f>
        <v>#VALUE!</v>
      </c>
      <c r="I3253" s="66">
        <f t="shared" si="50"/>
        <v>0</v>
      </c>
    </row>
    <row r="3254" spans="8:9">
      <c r="H3254" s="66" t="e">
        <f>IF(OR(LEFT(B3254,FIND("_",B3254,1)-1)="ULGALLOC",LEFT(B3254,FIND("_",B3254,1)-1)="ULSPOOL"),LEFT(B3254,FIND("_",B3254,1)-1),VLOOKUP(LEFT(A3254,6),'Code Library'!$D$3:$E$200,2,0))&amp;"_"&amp;RIGHT(A3254,3)</f>
        <v>#VALUE!</v>
      </c>
      <c r="I3254" s="66">
        <f t="shared" si="50"/>
        <v>0</v>
      </c>
    </row>
    <row r="3255" spans="8:9">
      <c r="H3255" s="66" t="e">
        <f>IF(OR(LEFT(B3255,FIND("_",B3255,1)-1)="ULGALLOC",LEFT(B3255,FIND("_",B3255,1)-1)="ULSPOOL"),LEFT(B3255,FIND("_",B3255,1)-1),VLOOKUP(LEFT(A3255,6),'Code Library'!$D$3:$E$200,2,0))&amp;"_"&amp;RIGHT(A3255,3)</f>
        <v>#VALUE!</v>
      </c>
      <c r="I3255" s="66">
        <f t="shared" si="50"/>
        <v>0</v>
      </c>
    </row>
    <row r="3256" spans="8:9">
      <c r="H3256" s="66" t="e">
        <f>IF(OR(LEFT(B3256,FIND("_",B3256,1)-1)="ULGALLOC",LEFT(B3256,FIND("_",B3256,1)-1)="ULSPOOL"),LEFT(B3256,FIND("_",B3256,1)-1),VLOOKUP(LEFT(A3256,6),'Code Library'!$D$3:$E$200,2,0))&amp;"_"&amp;RIGHT(A3256,3)</f>
        <v>#VALUE!</v>
      </c>
      <c r="I3256" s="66">
        <f t="shared" si="50"/>
        <v>0</v>
      </c>
    </row>
    <row r="3257" spans="8:9">
      <c r="H3257" s="66" t="e">
        <f>IF(OR(LEFT(B3257,FIND("_",B3257,1)-1)="ULGALLOC",LEFT(B3257,FIND("_",B3257,1)-1)="ULSPOOL"),LEFT(B3257,FIND("_",B3257,1)-1),VLOOKUP(LEFT(A3257,6),'Code Library'!$D$3:$E$200,2,0))&amp;"_"&amp;RIGHT(A3257,3)</f>
        <v>#VALUE!</v>
      </c>
      <c r="I3257" s="66">
        <f t="shared" si="50"/>
        <v>0</v>
      </c>
    </row>
    <row r="3258" spans="8:9">
      <c r="H3258" s="66" t="e">
        <f>IF(OR(LEFT(B3258,FIND("_",B3258,1)-1)="ULGALLOC",LEFT(B3258,FIND("_",B3258,1)-1)="ULSPOOL"),LEFT(B3258,FIND("_",B3258,1)-1),VLOOKUP(LEFT(A3258,6),'Code Library'!$D$3:$E$200,2,0))&amp;"_"&amp;RIGHT(A3258,3)</f>
        <v>#VALUE!</v>
      </c>
      <c r="I3258" s="66">
        <f t="shared" si="50"/>
        <v>0</v>
      </c>
    </row>
    <row r="3259" spans="8:9">
      <c r="H3259" s="66" t="e">
        <f>IF(OR(LEFT(B3259,FIND("_",B3259,1)-1)="ULGALLOC",LEFT(B3259,FIND("_",B3259,1)-1)="ULSPOOL"),LEFT(B3259,FIND("_",B3259,1)-1),VLOOKUP(LEFT(A3259,6),'Code Library'!$D$3:$E$200,2,0))&amp;"_"&amp;RIGHT(A3259,3)</f>
        <v>#VALUE!</v>
      </c>
      <c r="I3259" s="66">
        <f t="shared" si="50"/>
        <v>0</v>
      </c>
    </row>
    <row r="3260" spans="8:9">
      <c r="H3260" s="66" t="e">
        <f>IF(OR(LEFT(B3260,FIND("_",B3260,1)-1)="ULGALLOC",LEFT(B3260,FIND("_",B3260,1)-1)="ULSPOOL"),LEFT(B3260,FIND("_",B3260,1)-1),VLOOKUP(LEFT(A3260,6),'Code Library'!$D$3:$E$200,2,0))&amp;"_"&amp;RIGHT(A3260,3)</f>
        <v>#VALUE!</v>
      </c>
      <c r="I3260" s="66">
        <f t="shared" si="50"/>
        <v>0</v>
      </c>
    </row>
    <row r="3261" spans="8:9">
      <c r="H3261" s="66" t="e">
        <f>IF(OR(LEFT(B3261,FIND("_",B3261,1)-1)="ULGALLOC",LEFT(B3261,FIND("_",B3261,1)-1)="ULSPOOL"),LEFT(B3261,FIND("_",B3261,1)-1),VLOOKUP(LEFT(A3261,6),'Code Library'!$D$3:$E$200,2,0))&amp;"_"&amp;RIGHT(A3261,3)</f>
        <v>#VALUE!</v>
      </c>
      <c r="I3261" s="66">
        <f t="shared" si="50"/>
        <v>0</v>
      </c>
    </row>
    <row r="3262" spans="8:9">
      <c r="H3262" s="66" t="e">
        <f>IF(OR(LEFT(B3262,FIND("_",B3262,1)-1)="ULGALLOC",LEFT(B3262,FIND("_",B3262,1)-1)="ULSPOOL"),LEFT(B3262,FIND("_",B3262,1)-1),VLOOKUP(LEFT(A3262,6),'Code Library'!$D$3:$E$200,2,0))&amp;"_"&amp;RIGHT(A3262,3)</f>
        <v>#VALUE!</v>
      </c>
      <c r="I3262" s="66">
        <f t="shared" si="50"/>
        <v>0</v>
      </c>
    </row>
    <row r="3263" spans="8:9">
      <c r="H3263" s="66" t="e">
        <f>IF(OR(LEFT(B3263,FIND("_",B3263,1)-1)="ULGALLOC",LEFT(B3263,FIND("_",B3263,1)-1)="ULSPOOL"),LEFT(B3263,FIND("_",B3263,1)-1),VLOOKUP(LEFT(A3263,6),'Code Library'!$D$3:$E$200,2,0))&amp;"_"&amp;RIGHT(A3263,3)</f>
        <v>#VALUE!</v>
      </c>
      <c r="I3263" s="66">
        <f t="shared" si="50"/>
        <v>0</v>
      </c>
    </row>
    <row r="3264" spans="8:9">
      <c r="H3264" s="66" t="e">
        <f>IF(OR(LEFT(B3264,FIND("_",B3264,1)-1)="ULGALLOC",LEFT(B3264,FIND("_",B3264,1)-1)="ULSPOOL"),LEFT(B3264,FIND("_",B3264,1)-1),VLOOKUP(LEFT(A3264,6),'Code Library'!$D$3:$E$200,2,0))&amp;"_"&amp;RIGHT(A3264,3)</f>
        <v>#VALUE!</v>
      </c>
      <c r="I3264" s="66">
        <f t="shared" si="50"/>
        <v>0</v>
      </c>
    </row>
    <row r="3265" spans="8:9">
      <c r="H3265" s="66" t="e">
        <f>IF(OR(LEFT(B3265,FIND("_",B3265,1)-1)="ULGALLOC",LEFT(B3265,FIND("_",B3265,1)-1)="ULSPOOL"),LEFT(B3265,FIND("_",B3265,1)-1),VLOOKUP(LEFT(A3265,6),'Code Library'!$D$3:$E$200,2,0))&amp;"_"&amp;RIGHT(A3265,3)</f>
        <v>#VALUE!</v>
      </c>
      <c r="I3265" s="66">
        <f t="shared" si="50"/>
        <v>0</v>
      </c>
    </row>
    <row r="3266" spans="8:9">
      <c r="H3266" s="66" t="e">
        <f>IF(OR(LEFT(B3266,FIND("_",B3266,1)-1)="ULGALLOC",LEFT(B3266,FIND("_",B3266,1)-1)="ULSPOOL"),LEFT(B3266,FIND("_",B3266,1)-1),VLOOKUP(LEFT(A3266,6),'Code Library'!$D$3:$E$200,2,0))&amp;"_"&amp;RIGHT(A3266,3)</f>
        <v>#VALUE!</v>
      </c>
      <c r="I3266" s="66">
        <f t="shared" si="50"/>
        <v>0</v>
      </c>
    </row>
    <row r="3267" spans="8:9">
      <c r="H3267" s="66" t="e">
        <f>IF(OR(LEFT(B3267,FIND("_",B3267,1)-1)="ULGALLOC",LEFT(B3267,FIND("_",B3267,1)-1)="ULSPOOL"),LEFT(B3267,FIND("_",B3267,1)-1),VLOOKUP(LEFT(A3267,6),'Code Library'!$D$3:$E$200,2,0))&amp;"_"&amp;RIGHT(A3267,3)</f>
        <v>#VALUE!</v>
      </c>
      <c r="I3267" s="66">
        <f t="shared" ref="I3267:I3330" si="51">A3267</f>
        <v>0</v>
      </c>
    </row>
    <row r="3268" spans="8:9">
      <c r="H3268" s="66" t="e">
        <f>IF(OR(LEFT(B3268,FIND("_",B3268,1)-1)="ULGALLOC",LEFT(B3268,FIND("_",B3268,1)-1)="ULSPOOL"),LEFT(B3268,FIND("_",B3268,1)-1),VLOOKUP(LEFT(A3268,6),'Code Library'!$D$3:$E$200,2,0))&amp;"_"&amp;RIGHT(A3268,3)</f>
        <v>#VALUE!</v>
      </c>
      <c r="I3268" s="66">
        <f t="shared" si="51"/>
        <v>0</v>
      </c>
    </row>
    <row r="3269" spans="8:9">
      <c r="H3269" s="66" t="e">
        <f>IF(OR(LEFT(B3269,FIND("_",B3269,1)-1)="ULGALLOC",LEFT(B3269,FIND("_",B3269,1)-1)="ULSPOOL"),LEFT(B3269,FIND("_",B3269,1)-1),VLOOKUP(LEFT(A3269,6),'Code Library'!$D$3:$E$200,2,0))&amp;"_"&amp;RIGHT(A3269,3)</f>
        <v>#VALUE!</v>
      </c>
      <c r="I3269" s="66">
        <f t="shared" si="51"/>
        <v>0</v>
      </c>
    </row>
    <row r="3270" spans="8:9">
      <c r="H3270" s="66" t="e">
        <f>IF(OR(LEFT(B3270,FIND("_",B3270,1)-1)="ULGALLOC",LEFT(B3270,FIND("_",B3270,1)-1)="ULSPOOL"),LEFT(B3270,FIND("_",B3270,1)-1),VLOOKUP(LEFT(A3270,6),'Code Library'!$D$3:$E$200,2,0))&amp;"_"&amp;RIGHT(A3270,3)</f>
        <v>#VALUE!</v>
      </c>
      <c r="I3270" s="66">
        <f t="shared" si="51"/>
        <v>0</v>
      </c>
    </row>
    <row r="3271" spans="8:9">
      <c r="H3271" s="66" t="e">
        <f>IF(OR(LEFT(B3271,FIND("_",B3271,1)-1)="ULGALLOC",LEFT(B3271,FIND("_",B3271,1)-1)="ULSPOOL"),LEFT(B3271,FIND("_",B3271,1)-1),VLOOKUP(LEFT(A3271,6),'Code Library'!$D$3:$E$200,2,0))&amp;"_"&amp;RIGHT(A3271,3)</f>
        <v>#VALUE!</v>
      </c>
      <c r="I3271" s="66">
        <f t="shared" si="51"/>
        <v>0</v>
      </c>
    </row>
    <row r="3272" spans="8:9">
      <c r="H3272" s="66" t="e">
        <f>IF(OR(LEFT(B3272,FIND("_",B3272,1)-1)="ULGALLOC",LEFT(B3272,FIND("_",B3272,1)-1)="ULSPOOL"),LEFT(B3272,FIND("_",B3272,1)-1),VLOOKUP(LEFT(A3272,6),'Code Library'!$D$3:$E$200,2,0))&amp;"_"&amp;RIGHT(A3272,3)</f>
        <v>#VALUE!</v>
      </c>
      <c r="I3272" s="66">
        <f t="shared" si="51"/>
        <v>0</v>
      </c>
    </row>
    <row r="3273" spans="8:9">
      <c r="H3273" s="66" t="e">
        <f>IF(OR(LEFT(B3273,FIND("_",B3273,1)-1)="ULGALLOC",LEFT(B3273,FIND("_",B3273,1)-1)="ULSPOOL"),LEFT(B3273,FIND("_",B3273,1)-1),VLOOKUP(LEFT(A3273,6),'Code Library'!$D$3:$E$200,2,0))&amp;"_"&amp;RIGHT(A3273,3)</f>
        <v>#VALUE!</v>
      </c>
      <c r="I3273" s="66">
        <f t="shared" si="51"/>
        <v>0</v>
      </c>
    </row>
    <row r="3274" spans="8:9">
      <c r="H3274" s="66" t="e">
        <f>IF(OR(LEFT(B3274,FIND("_",B3274,1)-1)="ULGALLOC",LEFT(B3274,FIND("_",B3274,1)-1)="ULSPOOL"),LEFT(B3274,FIND("_",B3274,1)-1),VLOOKUP(LEFT(A3274,6),'Code Library'!$D$3:$E$200,2,0))&amp;"_"&amp;RIGHT(A3274,3)</f>
        <v>#VALUE!</v>
      </c>
      <c r="I3274" s="66">
        <f t="shared" si="51"/>
        <v>0</v>
      </c>
    </row>
    <row r="3275" spans="8:9">
      <c r="H3275" s="66" t="e">
        <f>IF(OR(LEFT(B3275,FIND("_",B3275,1)-1)="ULGALLOC",LEFT(B3275,FIND("_",B3275,1)-1)="ULSPOOL"),LEFT(B3275,FIND("_",B3275,1)-1),VLOOKUP(LEFT(A3275,6),'Code Library'!$D$3:$E$200,2,0))&amp;"_"&amp;RIGHT(A3275,3)</f>
        <v>#VALUE!</v>
      </c>
      <c r="I3275" s="66">
        <f t="shared" si="51"/>
        <v>0</v>
      </c>
    </row>
    <row r="3276" spans="8:9">
      <c r="H3276" s="66" t="e">
        <f>IF(OR(LEFT(B3276,FIND("_",B3276,1)-1)="ULGALLOC",LEFT(B3276,FIND("_",B3276,1)-1)="ULSPOOL"),LEFT(B3276,FIND("_",B3276,1)-1),VLOOKUP(LEFT(A3276,6),'Code Library'!$D$3:$E$200,2,0))&amp;"_"&amp;RIGHT(A3276,3)</f>
        <v>#VALUE!</v>
      </c>
      <c r="I3276" s="66">
        <f t="shared" si="51"/>
        <v>0</v>
      </c>
    </row>
    <row r="3277" spans="8:9">
      <c r="H3277" s="66" t="e">
        <f>IF(OR(LEFT(B3277,FIND("_",B3277,1)-1)="ULGALLOC",LEFT(B3277,FIND("_",B3277,1)-1)="ULSPOOL"),LEFT(B3277,FIND("_",B3277,1)-1),VLOOKUP(LEFT(A3277,6),'Code Library'!$D$3:$E$200,2,0))&amp;"_"&amp;RIGHT(A3277,3)</f>
        <v>#VALUE!</v>
      </c>
      <c r="I3277" s="66">
        <f t="shared" si="51"/>
        <v>0</v>
      </c>
    </row>
    <row r="3278" spans="8:9">
      <c r="H3278" s="66" t="e">
        <f>IF(OR(LEFT(B3278,FIND("_",B3278,1)-1)="ULGALLOC",LEFT(B3278,FIND("_",B3278,1)-1)="ULSPOOL"),LEFT(B3278,FIND("_",B3278,1)-1),VLOOKUP(LEFT(A3278,6),'Code Library'!$D$3:$E$200,2,0))&amp;"_"&amp;RIGHT(A3278,3)</f>
        <v>#VALUE!</v>
      </c>
      <c r="I3278" s="66">
        <f t="shared" si="51"/>
        <v>0</v>
      </c>
    </row>
    <row r="3279" spans="8:9">
      <c r="H3279" s="66" t="e">
        <f>IF(OR(LEFT(B3279,FIND("_",B3279,1)-1)="ULGALLOC",LEFT(B3279,FIND("_",B3279,1)-1)="ULSPOOL"),LEFT(B3279,FIND("_",B3279,1)-1),VLOOKUP(LEFT(A3279,6),'Code Library'!$D$3:$E$200,2,0))&amp;"_"&amp;RIGHT(A3279,3)</f>
        <v>#VALUE!</v>
      </c>
      <c r="I3279" s="66">
        <f t="shared" si="51"/>
        <v>0</v>
      </c>
    </row>
    <row r="3280" spans="8:9">
      <c r="H3280" s="66" t="e">
        <f>IF(OR(LEFT(B3280,FIND("_",B3280,1)-1)="ULGALLOC",LEFT(B3280,FIND("_",B3280,1)-1)="ULSPOOL"),LEFT(B3280,FIND("_",B3280,1)-1),VLOOKUP(LEFT(A3280,6),'Code Library'!$D$3:$E$200,2,0))&amp;"_"&amp;RIGHT(A3280,3)</f>
        <v>#VALUE!</v>
      </c>
      <c r="I3280" s="66">
        <f t="shared" si="51"/>
        <v>0</v>
      </c>
    </row>
    <row r="3281" spans="8:9">
      <c r="H3281" s="66" t="e">
        <f>IF(OR(LEFT(B3281,FIND("_",B3281,1)-1)="ULGALLOC",LEFT(B3281,FIND("_",B3281,1)-1)="ULSPOOL"),LEFT(B3281,FIND("_",B3281,1)-1),VLOOKUP(LEFT(A3281,6),'Code Library'!$D$3:$E$200,2,0))&amp;"_"&amp;RIGHT(A3281,3)</f>
        <v>#VALUE!</v>
      </c>
      <c r="I3281" s="66">
        <f t="shared" si="51"/>
        <v>0</v>
      </c>
    </row>
    <row r="3282" spans="8:9">
      <c r="H3282" s="66" t="e">
        <f>IF(OR(LEFT(B3282,FIND("_",B3282,1)-1)="ULGALLOC",LEFT(B3282,FIND("_",B3282,1)-1)="ULSPOOL"),LEFT(B3282,FIND("_",B3282,1)-1),VLOOKUP(LEFT(A3282,6),'Code Library'!$D$3:$E$200,2,0))&amp;"_"&amp;RIGHT(A3282,3)</f>
        <v>#VALUE!</v>
      </c>
      <c r="I3282" s="66">
        <f t="shared" si="51"/>
        <v>0</v>
      </c>
    </row>
    <row r="3283" spans="8:9">
      <c r="H3283" s="66" t="e">
        <f>IF(OR(LEFT(B3283,FIND("_",B3283,1)-1)="ULGALLOC",LEFT(B3283,FIND("_",B3283,1)-1)="ULSPOOL"),LEFT(B3283,FIND("_",B3283,1)-1),VLOOKUP(LEFT(A3283,6),'Code Library'!$D$3:$E$200,2,0))&amp;"_"&amp;RIGHT(A3283,3)</f>
        <v>#VALUE!</v>
      </c>
      <c r="I3283" s="66">
        <f t="shared" si="51"/>
        <v>0</v>
      </c>
    </row>
    <row r="3284" spans="8:9">
      <c r="H3284" s="66" t="e">
        <f>IF(OR(LEFT(B3284,FIND("_",B3284,1)-1)="ULGALLOC",LEFT(B3284,FIND("_",B3284,1)-1)="ULSPOOL"),LEFT(B3284,FIND("_",B3284,1)-1),VLOOKUP(LEFT(A3284,6),'Code Library'!$D$3:$E$200,2,0))&amp;"_"&amp;RIGHT(A3284,3)</f>
        <v>#VALUE!</v>
      </c>
      <c r="I3284" s="66">
        <f t="shared" si="51"/>
        <v>0</v>
      </c>
    </row>
    <row r="3285" spans="8:9">
      <c r="H3285" s="66" t="e">
        <f>IF(OR(LEFT(B3285,FIND("_",B3285,1)-1)="ULGALLOC",LEFT(B3285,FIND("_",B3285,1)-1)="ULSPOOL"),LEFT(B3285,FIND("_",B3285,1)-1),VLOOKUP(LEFT(A3285,6),'Code Library'!$D$3:$E$200,2,0))&amp;"_"&amp;RIGHT(A3285,3)</f>
        <v>#VALUE!</v>
      </c>
      <c r="I3285" s="66">
        <f t="shared" si="51"/>
        <v>0</v>
      </c>
    </row>
    <row r="3286" spans="8:9">
      <c r="H3286" s="66" t="e">
        <f>IF(OR(LEFT(B3286,FIND("_",B3286,1)-1)="ULGALLOC",LEFT(B3286,FIND("_",B3286,1)-1)="ULSPOOL"),LEFT(B3286,FIND("_",B3286,1)-1),VLOOKUP(LEFT(A3286,6),'Code Library'!$D$3:$E$200,2,0))&amp;"_"&amp;RIGHT(A3286,3)</f>
        <v>#VALUE!</v>
      </c>
      <c r="I3286" s="66">
        <f t="shared" si="51"/>
        <v>0</v>
      </c>
    </row>
    <row r="3287" spans="8:9">
      <c r="H3287" s="66" t="e">
        <f>IF(OR(LEFT(B3287,FIND("_",B3287,1)-1)="ULGALLOC",LEFT(B3287,FIND("_",B3287,1)-1)="ULSPOOL"),LEFT(B3287,FIND("_",B3287,1)-1),VLOOKUP(LEFT(A3287,6),'Code Library'!$D$3:$E$200,2,0))&amp;"_"&amp;RIGHT(A3287,3)</f>
        <v>#VALUE!</v>
      </c>
      <c r="I3287" s="66">
        <f t="shared" si="51"/>
        <v>0</v>
      </c>
    </row>
    <row r="3288" spans="8:9">
      <c r="H3288" s="66" t="e">
        <f>IF(OR(LEFT(B3288,FIND("_",B3288,1)-1)="ULGALLOC",LEFT(B3288,FIND("_",B3288,1)-1)="ULSPOOL"),LEFT(B3288,FIND("_",B3288,1)-1),VLOOKUP(LEFT(A3288,6),'Code Library'!$D$3:$E$200,2,0))&amp;"_"&amp;RIGHT(A3288,3)</f>
        <v>#VALUE!</v>
      </c>
      <c r="I3288" s="66">
        <f t="shared" si="51"/>
        <v>0</v>
      </c>
    </row>
    <row r="3289" spans="8:9">
      <c r="H3289" s="66" t="e">
        <f>IF(OR(LEFT(B3289,FIND("_",B3289,1)-1)="ULGALLOC",LEFT(B3289,FIND("_",B3289,1)-1)="ULSPOOL"),LEFT(B3289,FIND("_",B3289,1)-1),VLOOKUP(LEFT(A3289,6),'Code Library'!$D$3:$E$200,2,0))&amp;"_"&amp;RIGHT(A3289,3)</f>
        <v>#VALUE!</v>
      </c>
      <c r="I3289" s="66">
        <f t="shared" si="51"/>
        <v>0</v>
      </c>
    </row>
    <row r="3290" spans="8:9">
      <c r="H3290" s="66" t="e">
        <f>IF(OR(LEFT(B3290,FIND("_",B3290,1)-1)="ULGALLOC",LEFT(B3290,FIND("_",B3290,1)-1)="ULSPOOL"),LEFT(B3290,FIND("_",B3290,1)-1),VLOOKUP(LEFT(A3290,6),'Code Library'!$D$3:$E$200,2,0))&amp;"_"&amp;RIGHT(A3290,3)</f>
        <v>#VALUE!</v>
      </c>
      <c r="I3290" s="66">
        <f t="shared" si="51"/>
        <v>0</v>
      </c>
    </row>
    <row r="3291" spans="8:9">
      <c r="H3291" s="66" t="e">
        <f>IF(OR(LEFT(B3291,FIND("_",B3291,1)-1)="ULGALLOC",LEFT(B3291,FIND("_",B3291,1)-1)="ULSPOOL"),LEFT(B3291,FIND("_",B3291,1)-1),VLOOKUP(LEFT(A3291,6),'Code Library'!$D$3:$E$200,2,0))&amp;"_"&amp;RIGHT(A3291,3)</f>
        <v>#VALUE!</v>
      </c>
      <c r="I3291" s="66">
        <f t="shared" si="51"/>
        <v>0</v>
      </c>
    </row>
    <row r="3292" spans="8:9">
      <c r="H3292" s="66" t="e">
        <f>IF(OR(LEFT(B3292,FIND("_",B3292,1)-1)="ULGALLOC",LEFT(B3292,FIND("_",B3292,1)-1)="ULSPOOL"),LEFT(B3292,FIND("_",B3292,1)-1),VLOOKUP(LEFT(A3292,6),'Code Library'!$D$3:$E$200,2,0))&amp;"_"&amp;RIGHT(A3292,3)</f>
        <v>#VALUE!</v>
      </c>
      <c r="I3292" s="66">
        <f t="shared" si="51"/>
        <v>0</v>
      </c>
    </row>
    <row r="3293" spans="8:9">
      <c r="H3293" s="66" t="e">
        <f>IF(OR(LEFT(B3293,FIND("_",B3293,1)-1)="ULGALLOC",LEFT(B3293,FIND("_",B3293,1)-1)="ULSPOOL"),LEFT(B3293,FIND("_",B3293,1)-1),VLOOKUP(LEFT(A3293,6),'Code Library'!$D$3:$E$200,2,0))&amp;"_"&amp;RIGHT(A3293,3)</f>
        <v>#VALUE!</v>
      </c>
      <c r="I3293" s="66">
        <f t="shared" si="51"/>
        <v>0</v>
      </c>
    </row>
    <row r="3294" spans="8:9">
      <c r="H3294" s="66" t="e">
        <f>IF(OR(LEFT(B3294,FIND("_",B3294,1)-1)="ULGALLOC",LEFT(B3294,FIND("_",B3294,1)-1)="ULSPOOL"),LEFT(B3294,FIND("_",B3294,1)-1),VLOOKUP(LEFT(A3294,6),'Code Library'!$D$3:$E$200,2,0))&amp;"_"&amp;RIGHT(A3294,3)</f>
        <v>#VALUE!</v>
      </c>
      <c r="I3294" s="66">
        <f t="shared" si="51"/>
        <v>0</v>
      </c>
    </row>
    <row r="3295" spans="8:9">
      <c r="H3295" s="66" t="e">
        <f>IF(OR(LEFT(B3295,FIND("_",B3295,1)-1)="ULGALLOC",LEFT(B3295,FIND("_",B3295,1)-1)="ULSPOOL"),LEFT(B3295,FIND("_",B3295,1)-1),VLOOKUP(LEFT(A3295,6),'Code Library'!$D$3:$E$200,2,0))&amp;"_"&amp;RIGHT(A3295,3)</f>
        <v>#VALUE!</v>
      </c>
      <c r="I3295" s="66">
        <f t="shared" si="51"/>
        <v>0</v>
      </c>
    </row>
    <row r="3296" spans="8:9">
      <c r="H3296" s="66" t="e">
        <f>IF(OR(LEFT(B3296,FIND("_",B3296,1)-1)="ULGALLOC",LEFT(B3296,FIND("_",B3296,1)-1)="ULSPOOL"),LEFT(B3296,FIND("_",B3296,1)-1),VLOOKUP(LEFT(A3296,6),'Code Library'!$D$3:$E$200,2,0))&amp;"_"&amp;RIGHT(A3296,3)</f>
        <v>#VALUE!</v>
      </c>
      <c r="I3296" s="66">
        <f t="shared" si="51"/>
        <v>0</v>
      </c>
    </row>
    <row r="3297" spans="8:9">
      <c r="H3297" s="66" t="e">
        <f>IF(OR(LEFT(B3297,FIND("_",B3297,1)-1)="ULGALLOC",LEFT(B3297,FIND("_",B3297,1)-1)="ULSPOOL"),LEFT(B3297,FIND("_",B3297,1)-1),VLOOKUP(LEFT(A3297,6),'Code Library'!$D$3:$E$200,2,0))&amp;"_"&amp;RIGHT(A3297,3)</f>
        <v>#VALUE!</v>
      </c>
      <c r="I3297" s="66">
        <f t="shared" si="51"/>
        <v>0</v>
      </c>
    </row>
    <row r="3298" spans="8:9">
      <c r="H3298" s="66" t="e">
        <f>IF(OR(LEFT(B3298,FIND("_",B3298,1)-1)="ULGALLOC",LEFT(B3298,FIND("_",B3298,1)-1)="ULSPOOL"),LEFT(B3298,FIND("_",B3298,1)-1),VLOOKUP(LEFT(A3298,6),'Code Library'!$D$3:$E$200,2,0))&amp;"_"&amp;RIGHT(A3298,3)</f>
        <v>#VALUE!</v>
      </c>
      <c r="I3298" s="66">
        <f t="shared" si="51"/>
        <v>0</v>
      </c>
    </row>
    <row r="3299" spans="8:9">
      <c r="H3299" s="66" t="e">
        <f>IF(OR(LEFT(B3299,FIND("_",B3299,1)-1)="ULGALLOC",LEFT(B3299,FIND("_",B3299,1)-1)="ULSPOOL"),LEFT(B3299,FIND("_",B3299,1)-1),VLOOKUP(LEFT(A3299,6),'Code Library'!$D$3:$E$200,2,0))&amp;"_"&amp;RIGHT(A3299,3)</f>
        <v>#VALUE!</v>
      </c>
      <c r="I3299" s="66">
        <f t="shared" si="51"/>
        <v>0</v>
      </c>
    </row>
    <row r="3300" spans="8:9">
      <c r="H3300" s="66" t="e">
        <f>IF(OR(LEFT(B3300,FIND("_",B3300,1)-1)="ULGALLOC",LEFT(B3300,FIND("_",B3300,1)-1)="ULSPOOL"),LEFT(B3300,FIND("_",B3300,1)-1),VLOOKUP(LEFT(A3300,6),'Code Library'!$D$3:$E$200,2,0))&amp;"_"&amp;RIGHT(A3300,3)</f>
        <v>#VALUE!</v>
      </c>
      <c r="I3300" s="66">
        <f t="shared" si="51"/>
        <v>0</v>
      </c>
    </row>
    <row r="3301" spans="8:9">
      <c r="H3301" s="66" t="e">
        <f>IF(OR(LEFT(B3301,FIND("_",B3301,1)-1)="ULGALLOC",LEFT(B3301,FIND("_",B3301,1)-1)="ULSPOOL"),LEFT(B3301,FIND("_",B3301,1)-1),VLOOKUP(LEFT(A3301,6),'Code Library'!$D$3:$E$200,2,0))&amp;"_"&amp;RIGHT(A3301,3)</f>
        <v>#VALUE!</v>
      </c>
      <c r="I3301" s="66">
        <f t="shared" si="51"/>
        <v>0</v>
      </c>
    </row>
    <row r="3302" spans="8:9">
      <c r="H3302" s="66" t="e">
        <f>IF(OR(LEFT(B3302,FIND("_",B3302,1)-1)="ULGALLOC",LEFT(B3302,FIND("_",B3302,1)-1)="ULSPOOL"),LEFT(B3302,FIND("_",B3302,1)-1),VLOOKUP(LEFT(A3302,6),'Code Library'!$D$3:$E$200,2,0))&amp;"_"&amp;RIGHT(A3302,3)</f>
        <v>#VALUE!</v>
      </c>
      <c r="I3302" s="66">
        <f t="shared" si="51"/>
        <v>0</v>
      </c>
    </row>
    <row r="3303" spans="8:9">
      <c r="H3303" s="66" t="e">
        <f>IF(OR(LEFT(B3303,FIND("_",B3303,1)-1)="ULGALLOC",LEFT(B3303,FIND("_",B3303,1)-1)="ULSPOOL"),LEFT(B3303,FIND("_",B3303,1)-1),VLOOKUP(LEFT(A3303,6),'Code Library'!$D$3:$E$200,2,0))&amp;"_"&amp;RIGHT(A3303,3)</f>
        <v>#VALUE!</v>
      </c>
      <c r="I3303" s="66">
        <f t="shared" si="51"/>
        <v>0</v>
      </c>
    </row>
    <row r="3304" spans="8:9">
      <c r="H3304" s="66" t="e">
        <f>IF(OR(LEFT(B3304,FIND("_",B3304,1)-1)="ULGALLOC",LEFT(B3304,FIND("_",B3304,1)-1)="ULSPOOL"),LEFT(B3304,FIND("_",B3304,1)-1),VLOOKUP(LEFT(A3304,6),'Code Library'!$D$3:$E$200,2,0))&amp;"_"&amp;RIGHT(A3304,3)</f>
        <v>#VALUE!</v>
      </c>
      <c r="I3304" s="66">
        <f t="shared" si="51"/>
        <v>0</v>
      </c>
    </row>
    <row r="3305" spans="8:9">
      <c r="H3305" s="66" t="e">
        <f>IF(OR(LEFT(B3305,FIND("_",B3305,1)-1)="ULGALLOC",LEFT(B3305,FIND("_",B3305,1)-1)="ULSPOOL"),LEFT(B3305,FIND("_",B3305,1)-1),VLOOKUP(LEFT(A3305,6),'Code Library'!$D$3:$E$200,2,0))&amp;"_"&amp;RIGHT(A3305,3)</f>
        <v>#VALUE!</v>
      </c>
      <c r="I3305" s="66">
        <f t="shared" si="51"/>
        <v>0</v>
      </c>
    </row>
    <row r="3306" spans="8:9">
      <c r="H3306" s="66" t="e">
        <f>IF(OR(LEFT(B3306,FIND("_",B3306,1)-1)="ULGALLOC",LEFT(B3306,FIND("_",B3306,1)-1)="ULSPOOL"),LEFT(B3306,FIND("_",B3306,1)-1),VLOOKUP(LEFT(A3306,6),'Code Library'!$D$3:$E$200,2,0))&amp;"_"&amp;RIGHT(A3306,3)</f>
        <v>#VALUE!</v>
      </c>
      <c r="I3306" s="66">
        <f t="shared" si="51"/>
        <v>0</v>
      </c>
    </row>
    <row r="3307" spans="8:9">
      <c r="H3307" s="66" t="e">
        <f>IF(OR(LEFT(B3307,FIND("_",B3307,1)-1)="ULGALLOC",LEFT(B3307,FIND("_",B3307,1)-1)="ULSPOOL"),LEFT(B3307,FIND("_",B3307,1)-1),VLOOKUP(LEFT(A3307,6),'Code Library'!$D$3:$E$200,2,0))&amp;"_"&amp;RIGHT(A3307,3)</f>
        <v>#VALUE!</v>
      </c>
      <c r="I3307" s="66">
        <f t="shared" si="51"/>
        <v>0</v>
      </c>
    </row>
    <row r="3308" spans="8:9">
      <c r="H3308" s="66" t="e">
        <f>IF(OR(LEFT(B3308,FIND("_",B3308,1)-1)="ULGALLOC",LEFT(B3308,FIND("_",B3308,1)-1)="ULSPOOL"),LEFT(B3308,FIND("_",B3308,1)-1),VLOOKUP(LEFT(A3308,6),'Code Library'!$D$3:$E$200,2,0))&amp;"_"&amp;RIGHT(A3308,3)</f>
        <v>#VALUE!</v>
      </c>
      <c r="I3308" s="66">
        <f t="shared" si="51"/>
        <v>0</v>
      </c>
    </row>
    <row r="3309" spans="8:9">
      <c r="H3309" s="66" t="e">
        <f>IF(OR(LEFT(B3309,FIND("_",B3309,1)-1)="ULGALLOC",LEFT(B3309,FIND("_",B3309,1)-1)="ULSPOOL"),LEFT(B3309,FIND("_",B3309,1)-1),VLOOKUP(LEFT(A3309,6),'Code Library'!$D$3:$E$200,2,0))&amp;"_"&amp;RIGHT(A3309,3)</f>
        <v>#VALUE!</v>
      </c>
      <c r="I3309" s="66">
        <f t="shared" si="51"/>
        <v>0</v>
      </c>
    </row>
    <row r="3310" spans="8:9">
      <c r="H3310" s="66" t="e">
        <f>IF(OR(LEFT(B3310,FIND("_",B3310,1)-1)="ULGALLOC",LEFT(B3310,FIND("_",B3310,1)-1)="ULSPOOL"),LEFT(B3310,FIND("_",B3310,1)-1),VLOOKUP(LEFT(A3310,6),'Code Library'!$D$3:$E$200,2,0))&amp;"_"&amp;RIGHT(A3310,3)</f>
        <v>#VALUE!</v>
      </c>
      <c r="I3310" s="66">
        <f t="shared" si="51"/>
        <v>0</v>
      </c>
    </row>
    <row r="3311" spans="8:9">
      <c r="H3311" s="66" t="e">
        <f>IF(OR(LEFT(B3311,FIND("_",B3311,1)-1)="ULGALLOC",LEFT(B3311,FIND("_",B3311,1)-1)="ULSPOOL"),LEFT(B3311,FIND("_",B3311,1)-1),VLOOKUP(LEFT(A3311,6),'Code Library'!$D$3:$E$200,2,0))&amp;"_"&amp;RIGHT(A3311,3)</f>
        <v>#VALUE!</v>
      </c>
      <c r="I3311" s="66">
        <f t="shared" si="51"/>
        <v>0</v>
      </c>
    </row>
    <row r="3312" spans="8:9">
      <c r="H3312" s="66" t="e">
        <f>IF(OR(LEFT(B3312,FIND("_",B3312,1)-1)="ULGALLOC",LEFT(B3312,FIND("_",B3312,1)-1)="ULSPOOL"),LEFT(B3312,FIND("_",B3312,1)-1),VLOOKUP(LEFT(A3312,6),'Code Library'!$D$3:$E$200,2,0))&amp;"_"&amp;RIGHT(A3312,3)</f>
        <v>#VALUE!</v>
      </c>
      <c r="I3312" s="66">
        <f t="shared" si="51"/>
        <v>0</v>
      </c>
    </row>
    <row r="3313" spans="8:9">
      <c r="H3313" s="66" t="e">
        <f>IF(OR(LEFT(B3313,FIND("_",B3313,1)-1)="ULGALLOC",LEFT(B3313,FIND("_",B3313,1)-1)="ULSPOOL"),LEFT(B3313,FIND("_",B3313,1)-1),VLOOKUP(LEFT(A3313,6),'Code Library'!$D$3:$E$200,2,0))&amp;"_"&amp;RIGHT(A3313,3)</f>
        <v>#VALUE!</v>
      </c>
      <c r="I3313" s="66">
        <f t="shared" si="51"/>
        <v>0</v>
      </c>
    </row>
    <row r="3314" spans="8:9">
      <c r="H3314" s="66" t="e">
        <f>IF(OR(LEFT(B3314,FIND("_",B3314,1)-1)="ULGALLOC",LEFT(B3314,FIND("_",B3314,1)-1)="ULSPOOL"),LEFT(B3314,FIND("_",B3314,1)-1),VLOOKUP(LEFT(A3314,6),'Code Library'!$D$3:$E$200,2,0))&amp;"_"&amp;RIGHT(A3314,3)</f>
        <v>#VALUE!</v>
      </c>
      <c r="I3314" s="66">
        <f t="shared" si="51"/>
        <v>0</v>
      </c>
    </row>
    <row r="3315" spans="8:9">
      <c r="H3315" s="66" t="e">
        <f>IF(OR(LEFT(B3315,FIND("_",B3315,1)-1)="ULGALLOC",LEFT(B3315,FIND("_",B3315,1)-1)="ULSPOOL"),LEFT(B3315,FIND("_",B3315,1)-1),VLOOKUP(LEFT(A3315,6),'Code Library'!$D$3:$E$200,2,0))&amp;"_"&amp;RIGHT(A3315,3)</f>
        <v>#VALUE!</v>
      </c>
      <c r="I3315" s="66">
        <f t="shared" si="51"/>
        <v>0</v>
      </c>
    </row>
    <row r="3316" spans="8:9">
      <c r="H3316" s="66" t="e">
        <f>IF(OR(LEFT(B3316,FIND("_",B3316,1)-1)="ULGALLOC",LEFT(B3316,FIND("_",B3316,1)-1)="ULSPOOL"),LEFT(B3316,FIND("_",B3316,1)-1),VLOOKUP(LEFT(A3316,6),'Code Library'!$D$3:$E$200,2,0))&amp;"_"&amp;RIGHT(A3316,3)</f>
        <v>#VALUE!</v>
      </c>
      <c r="I3316" s="66">
        <f t="shared" si="51"/>
        <v>0</v>
      </c>
    </row>
    <row r="3317" spans="8:9">
      <c r="H3317" s="66" t="e">
        <f>IF(OR(LEFT(B3317,FIND("_",B3317,1)-1)="ULGALLOC",LEFT(B3317,FIND("_",B3317,1)-1)="ULSPOOL"),LEFT(B3317,FIND("_",B3317,1)-1),VLOOKUP(LEFT(A3317,6),'Code Library'!$D$3:$E$200,2,0))&amp;"_"&amp;RIGHT(A3317,3)</f>
        <v>#VALUE!</v>
      </c>
      <c r="I3317" s="66">
        <f t="shared" si="51"/>
        <v>0</v>
      </c>
    </row>
    <row r="3318" spans="8:9">
      <c r="H3318" s="66" t="e">
        <f>IF(OR(LEFT(B3318,FIND("_",B3318,1)-1)="ULGALLOC",LEFT(B3318,FIND("_",B3318,1)-1)="ULSPOOL"),LEFT(B3318,FIND("_",B3318,1)-1),VLOOKUP(LEFT(A3318,6),'Code Library'!$D$3:$E$200,2,0))&amp;"_"&amp;RIGHT(A3318,3)</f>
        <v>#VALUE!</v>
      </c>
      <c r="I3318" s="66">
        <f t="shared" si="51"/>
        <v>0</v>
      </c>
    </row>
    <row r="3319" spans="8:9">
      <c r="H3319" s="66" t="e">
        <f>IF(OR(LEFT(B3319,FIND("_",B3319,1)-1)="ULGALLOC",LEFT(B3319,FIND("_",B3319,1)-1)="ULSPOOL"),LEFT(B3319,FIND("_",B3319,1)-1),VLOOKUP(LEFT(A3319,6),'Code Library'!$D$3:$E$200,2,0))&amp;"_"&amp;RIGHT(A3319,3)</f>
        <v>#VALUE!</v>
      </c>
      <c r="I3319" s="66">
        <f t="shared" si="51"/>
        <v>0</v>
      </c>
    </row>
    <row r="3320" spans="8:9">
      <c r="H3320" s="66" t="e">
        <f>IF(OR(LEFT(B3320,FIND("_",B3320,1)-1)="ULGALLOC",LEFT(B3320,FIND("_",B3320,1)-1)="ULSPOOL"),LEFT(B3320,FIND("_",B3320,1)-1),VLOOKUP(LEFT(A3320,6),'Code Library'!$D$3:$E$200,2,0))&amp;"_"&amp;RIGHT(A3320,3)</f>
        <v>#VALUE!</v>
      </c>
      <c r="I3320" s="66">
        <f t="shared" si="51"/>
        <v>0</v>
      </c>
    </row>
    <row r="3321" spans="8:9">
      <c r="H3321" s="66" t="e">
        <f>IF(OR(LEFT(B3321,FIND("_",B3321,1)-1)="ULGALLOC",LEFT(B3321,FIND("_",B3321,1)-1)="ULSPOOL"),LEFT(B3321,FIND("_",B3321,1)-1),VLOOKUP(LEFT(A3321,6),'Code Library'!$D$3:$E$200,2,0))&amp;"_"&amp;RIGHT(A3321,3)</f>
        <v>#VALUE!</v>
      </c>
      <c r="I3321" s="66">
        <f t="shared" si="51"/>
        <v>0</v>
      </c>
    </row>
    <row r="3322" spans="8:9">
      <c r="H3322" s="66" t="e">
        <f>IF(OR(LEFT(B3322,FIND("_",B3322,1)-1)="ULGALLOC",LEFT(B3322,FIND("_",B3322,1)-1)="ULSPOOL"),LEFT(B3322,FIND("_",B3322,1)-1),VLOOKUP(LEFT(A3322,6),'Code Library'!$D$3:$E$200,2,0))&amp;"_"&amp;RIGHT(A3322,3)</f>
        <v>#VALUE!</v>
      </c>
      <c r="I3322" s="66">
        <f t="shared" si="51"/>
        <v>0</v>
      </c>
    </row>
    <row r="3323" spans="8:9">
      <c r="H3323" s="66" t="e">
        <f>IF(OR(LEFT(B3323,FIND("_",B3323,1)-1)="ULGALLOC",LEFT(B3323,FIND("_",B3323,1)-1)="ULSPOOL"),LEFT(B3323,FIND("_",B3323,1)-1),VLOOKUP(LEFT(A3323,6),'Code Library'!$D$3:$E$200,2,0))&amp;"_"&amp;RIGHT(A3323,3)</f>
        <v>#VALUE!</v>
      </c>
      <c r="I3323" s="66">
        <f t="shared" si="51"/>
        <v>0</v>
      </c>
    </row>
    <row r="3324" spans="8:9">
      <c r="H3324" s="66" t="e">
        <f>IF(OR(LEFT(B3324,FIND("_",B3324,1)-1)="ULGALLOC",LEFT(B3324,FIND("_",B3324,1)-1)="ULSPOOL"),LEFT(B3324,FIND("_",B3324,1)-1),VLOOKUP(LEFT(A3324,6),'Code Library'!$D$3:$E$200,2,0))&amp;"_"&amp;RIGHT(A3324,3)</f>
        <v>#VALUE!</v>
      </c>
      <c r="I3324" s="66">
        <f t="shared" si="51"/>
        <v>0</v>
      </c>
    </row>
    <row r="3325" spans="8:9">
      <c r="H3325" s="66" t="e">
        <f>IF(OR(LEFT(B3325,FIND("_",B3325,1)-1)="ULGALLOC",LEFT(B3325,FIND("_",B3325,1)-1)="ULSPOOL"),LEFT(B3325,FIND("_",B3325,1)-1),VLOOKUP(LEFT(A3325,6),'Code Library'!$D$3:$E$200,2,0))&amp;"_"&amp;RIGHT(A3325,3)</f>
        <v>#VALUE!</v>
      </c>
      <c r="I3325" s="66">
        <f t="shared" si="51"/>
        <v>0</v>
      </c>
    </row>
    <row r="3326" spans="8:9">
      <c r="H3326" s="66" t="e">
        <f>IF(OR(LEFT(B3326,FIND("_",B3326,1)-1)="ULGALLOC",LEFT(B3326,FIND("_",B3326,1)-1)="ULSPOOL"),LEFT(B3326,FIND("_",B3326,1)-1),VLOOKUP(LEFT(A3326,6),'Code Library'!$D$3:$E$200,2,0))&amp;"_"&amp;RIGHT(A3326,3)</f>
        <v>#VALUE!</v>
      </c>
      <c r="I3326" s="66">
        <f t="shared" si="51"/>
        <v>0</v>
      </c>
    </row>
    <row r="3327" spans="8:9">
      <c r="H3327" s="66" t="e">
        <f>IF(OR(LEFT(B3327,FIND("_",B3327,1)-1)="ULGALLOC",LEFT(B3327,FIND("_",B3327,1)-1)="ULSPOOL"),LEFT(B3327,FIND("_",B3327,1)-1),VLOOKUP(LEFT(A3327,6),'Code Library'!$D$3:$E$200,2,0))&amp;"_"&amp;RIGHT(A3327,3)</f>
        <v>#VALUE!</v>
      </c>
      <c r="I3327" s="66">
        <f t="shared" si="51"/>
        <v>0</v>
      </c>
    </row>
    <row r="3328" spans="8:9">
      <c r="H3328" s="66" t="e">
        <f>IF(OR(LEFT(B3328,FIND("_",B3328,1)-1)="ULGALLOC",LEFT(B3328,FIND("_",B3328,1)-1)="ULSPOOL"),LEFT(B3328,FIND("_",B3328,1)-1),VLOOKUP(LEFT(A3328,6),'Code Library'!$D$3:$E$200,2,0))&amp;"_"&amp;RIGHT(A3328,3)</f>
        <v>#VALUE!</v>
      </c>
      <c r="I3328" s="66">
        <f t="shared" si="51"/>
        <v>0</v>
      </c>
    </row>
    <row r="3329" spans="8:9">
      <c r="H3329" s="66" t="e">
        <f>IF(OR(LEFT(B3329,FIND("_",B3329,1)-1)="ULGALLOC",LEFT(B3329,FIND("_",B3329,1)-1)="ULSPOOL"),LEFT(B3329,FIND("_",B3329,1)-1),VLOOKUP(LEFT(A3329,6),'Code Library'!$D$3:$E$200,2,0))&amp;"_"&amp;RIGHT(A3329,3)</f>
        <v>#VALUE!</v>
      </c>
      <c r="I3329" s="66">
        <f t="shared" si="51"/>
        <v>0</v>
      </c>
    </row>
    <row r="3330" spans="8:9">
      <c r="H3330" s="66" t="e">
        <f>IF(OR(LEFT(B3330,FIND("_",B3330,1)-1)="ULGALLOC",LEFT(B3330,FIND("_",B3330,1)-1)="ULSPOOL"),LEFT(B3330,FIND("_",B3330,1)-1),VLOOKUP(LEFT(A3330,6),'Code Library'!$D$3:$E$200,2,0))&amp;"_"&amp;RIGHT(A3330,3)</f>
        <v>#VALUE!</v>
      </c>
      <c r="I3330" s="66">
        <f t="shared" si="51"/>
        <v>0</v>
      </c>
    </row>
    <row r="3331" spans="8:9">
      <c r="H3331" s="66" t="e">
        <f>IF(OR(LEFT(B3331,FIND("_",B3331,1)-1)="ULGALLOC",LEFT(B3331,FIND("_",B3331,1)-1)="ULSPOOL"),LEFT(B3331,FIND("_",B3331,1)-1),VLOOKUP(LEFT(A3331,6),'Code Library'!$D$3:$E$200,2,0))&amp;"_"&amp;RIGHT(A3331,3)</f>
        <v>#VALUE!</v>
      </c>
      <c r="I3331" s="66">
        <f t="shared" ref="I3331:I3394" si="52">A3331</f>
        <v>0</v>
      </c>
    </row>
    <row r="3332" spans="8:9">
      <c r="H3332" s="66" t="e">
        <f>IF(OR(LEFT(B3332,FIND("_",B3332,1)-1)="ULGALLOC",LEFT(B3332,FIND("_",B3332,1)-1)="ULSPOOL"),LEFT(B3332,FIND("_",B3332,1)-1),VLOOKUP(LEFT(A3332,6),'Code Library'!$D$3:$E$200,2,0))&amp;"_"&amp;RIGHT(A3332,3)</f>
        <v>#VALUE!</v>
      </c>
      <c r="I3332" s="66">
        <f t="shared" si="52"/>
        <v>0</v>
      </c>
    </row>
    <row r="3333" spans="8:9">
      <c r="H3333" s="66" t="e">
        <f>IF(OR(LEFT(B3333,FIND("_",B3333,1)-1)="ULGALLOC",LEFT(B3333,FIND("_",B3333,1)-1)="ULSPOOL"),LEFT(B3333,FIND("_",B3333,1)-1),VLOOKUP(LEFT(A3333,6),'Code Library'!$D$3:$E$200,2,0))&amp;"_"&amp;RIGHT(A3333,3)</f>
        <v>#VALUE!</v>
      </c>
      <c r="I3333" s="66">
        <f t="shared" si="52"/>
        <v>0</v>
      </c>
    </row>
    <row r="3334" spans="8:9">
      <c r="H3334" s="66" t="e">
        <f>IF(OR(LEFT(B3334,FIND("_",B3334,1)-1)="ULGALLOC",LEFT(B3334,FIND("_",B3334,1)-1)="ULSPOOL"),LEFT(B3334,FIND("_",B3334,1)-1),VLOOKUP(LEFT(A3334,6),'Code Library'!$D$3:$E$200,2,0))&amp;"_"&amp;RIGHT(A3334,3)</f>
        <v>#VALUE!</v>
      </c>
      <c r="I3334" s="66">
        <f t="shared" si="52"/>
        <v>0</v>
      </c>
    </row>
    <row r="3335" spans="8:9">
      <c r="H3335" s="66" t="e">
        <f>IF(OR(LEFT(B3335,FIND("_",B3335,1)-1)="ULGALLOC",LEFT(B3335,FIND("_",B3335,1)-1)="ULSPOOL"),LEFT(B3335,FIND("_",B3335,1)-1),VLOOKUP(LEFT(A3335,6),'Code Library'!$D$3:$E$200,2,0))&amp;"_"&amp;RIGHT(A3335,3)</f>
        <v>#VALUE!</v>
      </c>
      <c r="I3335" s="66">
        <f t="shared" si="52"/>
        <v>0</v>
      </c>
    </row>
    <row r="3336" spans="8:9">
      <c r="H3336" s="66" t="e">
        <f>IF(OR(LEFT(B3336,FIND("_",B3336,1)-1)="ULGALLOC",LEFT(B3336,FIND("_",B3336,1)-1)="ULSPOOL"),LEFT(B3336,FIND("_",B3336,1)-1),VLOOKUP(LEFT(A3336,6),'Code Library'!$D$3:$E$200,2,0))&amp;"_"&amp;RIGHT(A3336,3)</f>
        <v>#VALUE!</v>
      </c>
      <c r="I3336" s="66">
        <f t="shared" si="52"/>
        <v>0</v>
      </c>
    </row>
    <row r="3337" spans="8:9">
      <c r="H3337" s="66" t="e">
        <f>IF(OR(LEFT(B3337,FIND("_",B3337,1)-1)="ULGALLOC",LEFT(B3337,FIND("_",B3337,1)-1)="ULSPOOL"),LEFT(B3337,FIND("_",B3337,1)-1),VLOOKUP(LEFT(A3337,6),'Code Library'!$D$3:$E$200,2,0))&amp;"_"&amp;RIGHT(A3337,3)</f>
        <v>#VALUE!</v>
      </c>
      <c r="I3337" s="66">
        <f t="shared" si="52"/>
        <v>0</v>
      </c>
    </row>
    <row r="3338" spans="8:9">
      <c r="H3338" s="66" t="e">
        <f>IF(OR(LEFT(B3338,FIND("_",B3338,1)-1)="ULGALLOC",LEFT(B3338,FIND("_",B3338,1)-1)="ULSPOOL"),LEFT(B3338,FIND("_",B3338,1)-1),VLOOKUP(LEFT(A3338,6),'Code Library'!$D$3:$E$200,2,0))&amp;"_"&amp;RIGHT(A3338,3)</f>
        <v>#VALUE!</v>
      </c>
      <c r="I3338" s="66">
        <f t="shared" si="52"/>
        <v>0</v>
      </c>
    </row>
    <row r="3339" spans="8:9">
      <c r="H3339" s="66" t="e">
        <f>IF(OR(LEFT(B3339,FIND("_",B3339,1)-1)="ULGALLOC",LEFT(B3339,FIND("_",B3339,1)-1)="ULSPOOL"),LEFT(B3339,FIND("_",B3339,1)-1),VLOOKUP(LEFT(A3339,6),'Code Library'!$D$3:$E$200,2,0))&amp;"_"&amp;RIGHT(A3339,3)</f>
        <v>#VALUE!</v>
      </c>
      <c r="I3339" s="66">
        <f t="shared" si="52"/>
        <v>0</v>
      </c>
    </row>
    <row r="3340" spans="8:9">
      <c r="H3340" s="66" t="e">
        <f>IF(OR(LEFT(B3340,FIND("_",B3340,1)-1)="ULGALLOC",LEFT(B3340,FIND("_",B3340,1)-1)="ULSPOOL"),LEFT(B3340,FIND("_",B3340,1)-1),VLOOKUP(LEFT(A3340,6),'Code Library'!$D$3:$E$200,2,0))&amp;"_"&amp;RIGHT(A3340,3)</f>
        <v>#VALUE!</v>
      </c>
      <c r="I3340" s="66">
        <f t="shared" si="52"/>
        <v>0</v>
      </c>
    </row>
    <row r="3341" spans="8:9">
      <c r="H3341" s="66" t="e">
        <f>IF(OR(LEFT(B3341,FIND("_",B3341,1)-1)="ULGALLOC",LEFT(B3341,FIND("_",B3341,1)-1)="ULSPOOL"),LEFT(B3341,FIND("_",B3341,1)-1),VLOOKUP(LEFT(A3341,6),'Code Library'!$D$3:$E$200,2,0))&amp;"_"&amp;RIGHT(A3341,3)</f>
        <v>#VALUE!</v>
      </c>
      <c r="I3341" s="66">
        <f t="shared" si="52"/>
        <v>0</v>
      </c>
    </row>
    <row r="3342" spans="8:9">
      <c r="H3342" s="66" t="e">
        <f>IF(OR(LEFT(B3342,FIND("_",B3342,1)-1)="ULGALLOC",LEFT(B3342,FIND("_",B3342,1)-1)="ULSPOOL"),LEFT(B3342,FIND("_",B3342,1)-1),VLOOKUP(LEFT(A3342,6),'Code Library'!$D$3:$E$200,2,0))&amp;"_"&amp;RIGHT(A3342,3)</f>
        <v>#VALUE!</v>
      </c>
      <c r="I3342" s="66">
        <f t="shared" si="52"/>
        <v>0</v>
      </c>
    </row>
    <row r="3343" spans="8:9">
      <c r="H3343" s="66" t="e">
        <f>IF(OR(LEFT(B3343,FIND("_",B3343,1)-1)="ULGALLOC",LEFT(B3343,FIND("_",B3343,1)-1)="ULSPOOL"),LEFT(B3343,FIND("_",B3343,1)-1),VLOOKUP(LEFT(A3343,6),'Code Library'!$D$3:$E$200,2,0))&amp;"_"&amp;RIGHT(A3343,3)</f>
        <v>#VALUE!</v>
      </c>
      <c r="I3343" s="66">
        <f t="shared" si="52"/>
        <v>0</v>
      </c>
    </row>
    <row r="3344" spans="8:9">
      <c r="H3344" s="66" t="e">
        <f>IF(OR(LEFT(B3344,FIND("_",B3344,1)-1)="ULGALLOC",LEFT(B3344,FIND("_",B3344,1)-1)="ULSPOOL"),LEFT(B3344,FIND("_",B3344,1)-1),VLOOKUP(LEFT(A3344,6),'Code Library'!$D$3:$E$200,2,0))&amp;"_"&amp;RIGHT(A3344,3)</f>
        <v>#VALUE!</v>
      </c>
      <c r="I3344" s="66">
        <f t="shared" si="52"/>
        <v>0</v>
      </c>
    </row>
    <row r="3345" spans="8:9">
      <c r="H3345" s="66" t="e">
        <f>IF(OR(LEFT(B3345,FIND("_",B3345,1)-1)="ULGALLOC",LEFT(B3345,FIND("_",B3345,1)-1)="ULSPOOL"),LEFT(B3345,FIND("_",B3345,1)-1),VLOOKUP(LEFT(A3345,6),'Code Library'!$D$3:$E$200,2,0))&amp;"_"&amp;RIGHT(A3345,3)</f>
        <v>#VALUE!</v>
      </c>
      <c r="I3345" s="66">
        <f t="shared" si="52"/>
        <v>0</v>
      </c>
    </row>
    <row r="3346" spans="8:9">
      <c r="H3346" s="66" t="e">
        <f>IF(OR(LEFT(B3346,FIND("_",B3346,1)-1)="ULGALLOC",LEFT(B3346,FIND("_",B3346,1)-1)="ULSPOOL"),LEFT(B3346,FIND("_",B3346,1)-1),VLOOKUP(LEFT(A3346,6),'Code Library'!$D$3:$E$200,2,0))&amp;"_"&amp;RIGHT(A3346,3)</f>
        <v>#VALUE!</v>
      </c>
      <c r="I3346" s="66">
        <f t="shared" si="52"/>
        <v>0</v>
      </c>
    </row>
    <row r="3347" spans="8:9">
      <c r="H3347" s="66" t="e">
        <f>IF(OR(LEFT(B3347,FIND("_",B3347,1)-1)="ULGALLOC",LEFT(B3347,FIND("_",B3347,1)-1)="ULSPOOL"),LEFT(B3347,FIND("_",B3347,1)-1),VLOOKUP(LEFT(A3347,6),'Code Library'!$D$3:$E$200,2,0))&amp;"_"&amp;RIGHT(A3347,3)</f>
        <v>#VALUE!</v>
      </c>
      <c r="I3347" s="66">
        <f t="shared" si="52"/>
        <v>0</v>
      </c>
    </row>
    <row r="3348" spans="8:9">
      <c r="H3348" s="66" t="e">
        <f>IF(OR(LEFT(B3348,FIND("_",B3348,1)-1)="ULGALLOC",LEFT(B3348,FIND("_",B3348,1)-1)="ULSPOOL"),LEFT(B3348,FIND("_",B3348,1)-1),VLOOKUP(LEFT(A3348,6),'Code Library'!$D$3:$E$200,2,0))&amp;"_"&amp;RIGHT(A3348,3)</f>
        <v>#VALUE!</v>
      </c>
      <c r="I3348" s="66">
        <f t="shared" si="52"/>
        <v>0</v>
      </c>
    </row>
    <row r="3349" spans="8:9">
      <c r="H3349" s="66" t="e">
        <f>IF(OR(LEFT(B3349,FIND("_",B3349,1)-1)="ULGALLOC",LEFT(B3349,FIND("_",B3349,1)-1)="ULSPOOL"),LEFT(B3349,FIND("_",B3349,1)-1),VLOOKUP(LEFT(A3349,6),'Code Library'!$D$3:$E$200,2,0))&amp;"_"&amp;RIGHT(A3349,3)</f>
        <v>#VALUE!</v>
      </c>
      <c r="I3349" s="66">
        <f t="shared" si="52"/>
        <v>0</v>
      </c>
    </row>
    <row r="3350" spans="8:9">
      <c r="H3350" s="66" t="e">
        <f>IF(OR(LEFT(B3350,FIND("_",B3350,1)-1)="ULGALLOC",LEFT(B3350,FIND("_",B3350,1)-1)="ULSPOOL"),LEFT(B3350,FIND("_",B3350,1)-1),VLOOKUP(LEFT(A3350,6),'Code Library'!$D$3:$E$200,2,0))&amp;"_"&amp;RIGHT(A3350,3)</f>
        <v>#VALUE!</v>
      </c>
      <c r="I3350" s="66">
        <f t="shared" si="52"/>
        <v>0</v>
      </c>
    </row>
    <row r="3351" spans="8:9">
      <c r="H3351" s="66" t="e">
        <f>IF(OR(LEFT(B3351,FIND("_",B3351,1)-1)="ULGALLOC",LEFT(B3351,FIND("_",B3351,1)-1)="ULSPOOL"),LEFT(B3351,FIND("_",B3351,1)-1),VLOOKUP(LEFT(A3351,6),'Code Library'!$D$3:$E$200,2,0))&amp;"_"&amp;RIGHT(A3351,3)</f>
        <v>#VALUE!</v>
      </c>
      <c r="I3351" s="66">
        <f t="shared" si="52"/>
        <v>0</v>
      </c>
    </row>
    <row r="3352" spans="8:9">
      <c r="H3352" s="66" t="e">
        <f>IF(OR(LEFT(B3352,FIND("_",B3352,1)-1)="ULGALLOC",LEFT(B3352,FIND("_",B3352,1)-1)="ULSPOOL"),LEFT(B3352,FIND("_",B3352,1)-1),VLOOKUP(LEFT(A3352,6),'Code Library'!$D$3:$E$200,2,0))&amp;"_"&amp;RIGHT(A3352,3)</f>
        <v>#VALUE!</v>
      </c>
      <c r="I3352" s="66">
        <f t="shared" si="52"/>
        <v>0</v>
      </c>
    </row>
    <row r="3353" spans="8:9">
      <c r="H3353" s="66" t="e">
        <f>IF(OR(LEFT(B3353,FIND("_",B3353,1)-1)="ULGALLOC",LEFT(B3353,FIND("_",B3353,1)-1)="ULSPOOL"),LEFT(B3353,FIND("_",B3353,1)-1),VLOOKUP(LEFT(A3353,6),'Code Library'!$D$3:$E$200,2,0))&amp;"_"&amp;RIGHT(A3353,3)</f>
        <v>#VALUE!</v>
      </c>
      <c r="I3353" s="66">
        <f t="shared" si="52"/>
        <v>0</v>
      </c>
    </row>
    <row r="3354" spans="8:9">
      <c r="H3354" s="66" t="e">
        <f>IF(OR(LEFT(B3354,FIND("_",B3354,1)-1)="ULGALLOC",LEFT(B3354,FIND("_",B3354,1)-1)="ULSPOOL"),LEFT(B3354,FIND("_",B3354,1)-1),VLOOKUP(LEFT(A3354,6),'Code Library'!$D$3:$E$200,2,0))&amp;"_"&amp;RIGHT(A3354,3)</f>
        <v>#VALUE!</v>
      </c>
      <c r="I3354" s="66">
        <f t="shared" si="52"/>
        <v>0</v>
      </c>
    </row>
    <row r="3355" spans="8:9">
      <c r="H3355" s="66" t="e">
        <f>IF(OR(LEFT(B3355,FIND("_",B3355,1)-1)="ULGALLOC",LEFT(B3355,FIND("_",B3355,1)-1)="ULSPOOL"),LEFT(B3355,FIND("_",B3355,1)-1),VLOOKUP(LEFT(A3355,6),'Code Library'!$D$3:$E$200,2,0))&amp;"_"&amp;RIGHT(A3355,3)</f>
        <v>#VALUE!</v>
      </c>
      <c r="I3355" s="66">
        <f t="shared" si="52"/>
        <v>0</v>
      </c>
    </row>
    <row r="3356" spans="8:9">
      <c r="H3356" s="66" t="e">
        <f>IF(OR(LEFT(B3356,FIND("_",B3356,1)-1)="ULGALLOC",LEFT(B3356,FIND("_",B3356,1)-1)="ULSPOOL"),LEFT(B3356,FIND("_",B3356,1)-1),VLOOKUP(LEFT(A3356,6),'Code Library'!$D$3:$E$200,2,0))&amp;"_"&amp;RIGHT(A3356,3)</f>
        <v>#VALUE!</v>
      </c>
      <c r="I3356" s="66">
        <f t="shared" si="52"/>
        <v>0</v>
      </c>
    </row>
    <row r="3357" spans="8:9">
      <c r="H3357" s="66" t="e">
        <f>IF(OR(LEFT(B3357,FIND("_",B3357,1)-1)="ULGALLOC",LEFT(B3357,FIND("_",B3357,1)-1)="ULSPOOL"),LEFT(B3357,FIND("_",B3357,1)-1),VLOOKUP(LEFT(A3357,6),'Code Library'!$D$3:$E$200,2,0))&amp;"_"&amp;RIGHT(A3357,3)</f>
        <v>#VALUE!</v>
      </c>
      <c r="I3357" s="66">
        <f t="shared" si="52"/>
        <v>0</v>
      </c>
    </row>
    <row r="3358" spans="8:9">
      <c r="H3358" s="66" t="e">
        <f>IF(OR(LEFT(B3358,FIND("_",B3358,1)-1)="ULGALLOC",LEFT(B3358,FIND("_",B3358,1)-1)="ULSPOOL"),LEFT(B3358,FIND("_",B3358,1)-1),VLOOKUP(LEFT(A3358,6),'Code Library'!$D$3:$E$200,2,0))&amp;"_"&amp;RIGHT(A3358,3)</f>
        <v>#VALUE!</v>
      </c>
      <c r="I3358" s="66">
        <f t="shared" si="52"/>
        <v>0</v>
      </c>
    </row>
    <row r="3359" spans="8:9">
      <c r="H3359" s="66" t="e">
        <f>IF(OR(LEFT(B3359,FIND("_",B3359,1)-1)="ULGALLOC",LEFT(B3359,FIND("_",B3359,1)-1)="ULSPOOL"),LEFT(B3359,FIND("_",B3359,1)-1),VLOOKUP(LEFT(A3359,6),'Code Library'!$D$3:$E$200,2,0))&amp;"_"&amp;RIGHT(A3359,3)</f>
        <v>#VALUE!</v>
      </c>
      <c r="I3359" s="66">
        <f t="shared" si="52"/>
        <v>0</v>
      </c>
    </row>
    <row r="3360" spans="8:9">
      <c r="H3360" s="66" t="e">
        <f>IF(OR(LEFT(B3360,FIND("_",B3360,1)-1)="ULGALLOC",LEFT(B3360,FIND("_",B3360,1)-1)="ULSPOOL"),LEFT(B3360,FIND("_",B3360,1)-1),VLOOKUP(LEFT(A3360,6),'Code Library'!$D$3:$E$200,2,0))&amp;"_"&amp;RIGHT(A3360,3)</f>
        <v>#VALUE!</v>
      </c>
      <c r="I3360" s="66">
        <f t="shared" si="52"/>
        <v>0</v>
      </c>
    </row>
    <row r="3361" spans="8:9">
      <c r="H3361" s="66" t="e">
        <f>IF(OR(LEFT(B3361,FIND("_",B3361,1)-1)="ULGALLOC",LEFT(B3361,FIND("_",B3361,1)-1)="ULSPOOL"),LEFT(B3361,FIND("_",B3361,1)-1),VLOOKUP(LEFT(A3361,6),'Code Library'!$D$3:$E$200,2,0))&amp;"_"&amp;RIGHT(A3361,3)</f>
        <v>#VALUE!</v>
      </c>
      <c r="I3361" s="66">
        <f t="shared" si="52"/>
        <v>0</v>
      </c>
    </row>
    <row r="3362" spans="8:9">
      <c r="H3362" s="66" t="e">
        <f>IF(OR(LEFT(B3362,FIND("_",B3362,1)-1)="ULGALLOC",LEFT(B3362,FIND("_",B3362,1)-1)="ULSPOOL"),LEFT(B3362,FIND("_",B3362,1)-1),VLOOKUP(LEFT(A3362,6),'Code Library'!$D$3:$E$200,2,0))&amp;"_"&amp;RIGHT(A3362,3)</f>
        <v>#VALUE!</v>
      </c>
      <c r="I3362" s="66">
        <f t="shared" si="52"/>
        <v>0</v>
      </c>
    </row>
    <row r="3363" spans="8:9">
      <c r="H3363" s="66" t="e">
        <f>IF(OR(LEFT(B3363,FIND("_",B3363,1)-1)="ULGALLOC",LEFT(B3363,FIND("_",B3363,1)-1)="ULSPOOL"),LEFT(B3363,FIND("_",B3363,1)-1),VLOOKUP(LEFT(A3363,6),'Code Library'!$D$3:$E$200,2,0))&amp;"_"&amp;RIGHT(A3363,3)</f>
        <v>#VALUE!</v>
      </c>
      <c r="I3363" s="66">
        <f t="shared" si="52"/>
        <v>0</v>
      </c>
    </row>
    <row r="3364" spans="8:9">
      <c r="H3364" s="66" t="e">
        <f>IF(OR(LEFT(B3364,FIND("_",B3364,1)-1)="ULGALLOC",LEFT(B3364,FIND("_",B3364,1)-1)="ULSPOOL"),LEFT(B3364,FIND("_",B3364,1)-1),VLOOKUP(LEFT(A3364,6),'Code Library'!$D$3:$E$200,2,0))&amp;"_"&amp;RIGHT(A3364,3)</f>
        <v>#VALUE!</v>
      </c>
      <c r="I3364" s="66">
        <f t="shared" si="52"/>
        <v>0</v>
      </c>
    </row>
    <row r="3365" spans="8:9">
      <c r="H3365" s="66" t="e">
        <f>IF(OR(LEFT(B3365,FIND("_",B3365,1)-1)="ULGALLOC",LEFT(B3365,FIND("_",B3365,1)-1)="ULSPOOL"),LEFT(B3365,FIND("_",B3365,1)-1),VLOOKUP(LEFT(A3365,6),'Code Library'!$D$3:$E$200,2,0))&amp;"_"&amp;RIGHT(A3365,3)</f>
        <v>#VALUE!</v>
      </c>
      <c r="I3365" s="66">
        <f t="shared" si="52"/>
        <v>0</v>
      </c>
    </row>
    <row r="3366" spans="8:9">
      <c r="H3366" s="66" t="e">
        <f>IF(OR(LEFT(B3366,FIND("_",B3366,1)-1)="ULGALLOC",LEFT(B3366,FIND("_",B3366,1)-1)="ULSPOOL"),LEFT(B3366,FIND("_",B3366,1)-1),VLOOKUP(LEFT(A3366,6),'Code Library'!$D$3:$E$200,2,0))&amp;"_"&amp;RIGHT(A3366,3)</f>
        <v>#VALUE!</v>
      </c>
      <c r="I3366" s="66">
        <f t="shared" si="52"/>
        <v>0</v>
      </c>
    </row>
    <row r="3367" spans="8:9">
      <c r="H3367" s="66" t="e">
        <f>IF(OR(LEFT(B3367,FIND("_",B3367,1)-1)="ULGALLOC",LEFT(B3367,FIND("_",B3367,1)-1)="ULSPOOL"),LEFT(B3367,FIND("_",B3367,1)-1),VLOOKUP(LEFT(A3367,6),'Code Library'!$D$3:$E$200,2,0))&amp;"_"&amp;RIGHT(A3367,3)</f>
        <v>#VALUE!</v>
      </c>
      <c r="I3367" s="66">
        <f t="shared" si="52"/>
        <v>0</v>
      </c>
    </row>
    <row r="3368" spans="8:9">
      <c r="H3368" s="66" t="e">
        <f>IF(OR(LEFT(B3368,FIND("_",B3368,1)-1)="ULGALLOC",LEFT(B3368,FIND("_",B3368,1)-1)="ULSPOOL"),LEFT(B3368,FIND("_",B3368,1)-1),VLOOKUP(LEFT(A3368,6),'Code Library'!$D$3:$E$200,2,0))&amp;"_"&amp;RIGHT(A3368,3)</f>
        <v>#VALUE!</v>
      </c>
      <c r="I3368" s="66">
        <f t="shared" si="52"/>
        <v>0</v>
      </c>
    </row>
    <row r="3369" spans="8:9">
      <c r="H3369" s="66" t="e">
        <f>IF(OR(LEFT(B3369,FIND("_",B3369,1)-1)="ULGALLOC",LEFT(B3369,FIND("_",B3369,1)-1)="ULSPOOL"),LEFT(B3369,FIND("_",B3369,1)-1),VLOOKUP(LEFT(A3369,6),'Code Library'!$D$3:$E$200,2,0))&amp;"_"&amp;RIGHT(A3369,3)</f>
        <v>#VALUE!</v>
      </c>
      <c r="I3369" s="66">
        <f t="shared" si="52"/>
        <v>0</v>
      </c>
    </row>
    <row r="3370" spans="8:9">
      <c r="H3370" s="66" t="e">
        <f>IF(OR(LEFT(B3370,FIND("_",B3370,1)-1)="ULGALLOC",LEFT(B3370,FIND("_",B3370,1)-1)="ULSPOOL"),LEFT(B3370,FIND("_",B3370,1)-1),VLOOKUP(LEFT(A3370,6),'Code Library'!$D$3:$E$200,2,0))&amp;"_"&amp;RIGHT(A3370,3)</f>
        <v>#VALUE!</v>
      </c>
      <c r="I3370" s="66">
        <f t="shared" si="52"/>
        <v>0</v>
      </c>
    </row>
    <row r="3371" spans="8:9">
      <c r="H3371" s="66" t="e">
        <f>IF(OR(LEFT(B3371,FIND("_",B3371,1)-1)="ULGALLOC",LEFT(B3371,FIND("_",B3371,1)-1)="ULSPOOL"),LEFT(B3371,FIND("_",B3371,1)-1),VLOOKUP(LEFT(A3371,6),'Code Library'!$D$3:$E$200,2,0))&amp;"_"&amp;RIGHT(A3371,3)</f>
        <v>#VALUE!</v>
      </c>
      <c r="I3371" s="66">
        <f t="shared" si="52"/>
        <v>0</v>
      </c>
    </row>
    <row r="3372" spans="8:9">
      <c r="H3372" s="66" t="e">
        <f>IF(OR(LEFT(B3372,FIND("_",B3372,1)-1)="ULGALLOC",LEFT(B3372,FIND("_",B3372,1)-1)="ULSPOOL"),LEFT(B3372,FIND("_",B3372,1)-1),VLOOKUP(LEFT(A3372,6),'Code Library'!$D$3:$E$200,2,0))&amp;"_"&amp;RIGHT(A3372,3)</f>
        <v>#VALUE!</v>
      </c>
      <c r="I3372" s="66">
        <f t="shared" si="52"/>
        <v>0</v>
      </c>
    </row>
    <row r="3373" spans="8:9">
      <c r="H3373" s="66" t="e">
        <f>IF(OR(LEFT(B3373,FIND("_",B3373,1)-1)="ULGALLOC",LEFT(B3373,FIND("_",B3373,1)-1)="ULSPOOL"),LEFT(B3373,FIND("_",B3373,1)-1),VLOOKUP(LEFT(A3373,6),'Code Library'!$D$3:$E$200,2,0))&amp;"_"&amp;RIGHT(A3373,3)</f>
        <v>#VALUE!</v>
      </c>
      <c r="I3373" s="66">
        <f t="shared" si="52"/>
        <v>0</v>
      </c>
    </row>
    <row r="3374" spans="8:9">
      <c r="H3374" s="66" t="e">
        <f>IF(OR(LEFT(B3374,FIND("_",B3374,1)-1)="ULGALLOC",LEFT(B3374,FIND("_",B3374,1)-1)="ULSPOOL"),LEFT(B3374,FIND("_",B3374,1)-1),VLOOKUP(LEFT(A3374,6),'Code Library'!$D$3:$E$200,2,0))&amp;"_"&amp;RIGHT(A3374,3)</f>
        <v>#VALUE!</v>
      </c>
      <c r="I3374" s="66">
        <f t="shared" si="52"/>
        <v>0</v>
      </c>
    </row>
    <row r="3375" spans="8:9">
      <c r="H3375" s="66" t="e">
        <f>IF(OR(LEFT(B3375,FIND("_",B3375,1)-1)="ULGALLOC",LEFT(B3375,FIND("_",B3375,1)-1)="ULSPOOL"),LEFT(B3375,FIND("_",B3375,1)-1),VLOOKUP(LEFT(A3375,6),'Code Library'!$D$3:$E$200,2,0))&amp;"_"&amp;RIGHT(A3375,3)</f>
        <v>#VALUE!</v>
      </c>
      <c r="I3375" s="66">
        <f t="shared" si="52"/>
        <v>0</v>
      </c>
    </row>
    <row r="3376" spans="8:9">
      <c r="H3376" s="66" t="e">
        <f>IF(OR(LEFT(B3376,FIND("_",B3376,1)-1)="ULGALLOC",LEFT(B3376,FIND("_",B3376,1)-1)="ULSPOOL"),LEFT(B3376,FIND("_",B3376,1)-1),VLOOKUP(LEFT(A3376,6),'Code Library'!$D$3:$E$200,2,0))&amp;"_"&amp;RIGHT(A3376,3)</f>
        <v>#VALUE!</v>
      </c>
      <c r="I3376" s="66">
        <f t="shared" si="52"/>
        <v>0</v>
      </c>
    </row>
    <row r="3377" spans="8:9">
      <c r="H3377" s="66" t="e">
        <f>IF(OR(LEFT(B3377,FIND("_",B3377,1)-1)="ULGALLOC",LEFT(B3377,FIND("_",B3377,1)-1)="ULSPOOL"),LEFT(B3377,FIND("_",B3377,1)-1),VLOOKUP(LEFT(A3377,6),'Code Library'!$D$3:$E$200,2,0))&amp;"_"&amp;RIGHT(A3377,3)</f>
        <v>#VALUE!</v>
      </c>
      <c r="I3377" s="66">
        <f t="shared" si="52"/>
        <v>0</v>
      </c>
    </row>
    <row r="3378" spans="8:9">
      <c r="H3378" s="66" t="e">
        <f>IF(OR(LEFT(B3378,FIND("_",B3378,1)-1)="ULGALLOC",LEFT(B3378,FIND("_",B3378,1)-1)="ULSPOOL"),LEFT(B3378,FIND("_",B3378,1)-1),VLOOKUP(LEFT(A3378,6),'Code Library'!$D$3:$E$200,2,0))&amp;"_"&amp;RIGHT(A3378,3)</f>
        <v>#VALUE!</v>
      </c>
      <c r="I3378" s="66">
        <f t="shared" si="52"/>
        <v>0</v>
      </c>
    </row>
    <row r="3379" spans="8:9">
      <c r="H3379" s="66" t="e">
        <f>IF(OR(LEFT(B3379,FIND("_",B3379,1)-1)="ULGALLOC",LEFT(B3379,FIND("_",B3379,1)-1)="ULSPOOL"),LEFT(B3379,FIND("_",B3379,1)-1),VLOOKUP(LEFT(A3379,6),'Code Library'!$D$3:$E$200,2,0))&amp;"_"&amp;RIGHT(A3379,3)</f>
        <v>#VALUE!</v>
      </c>
      <c r="I3379" s="66">
        <f t="shared" si="52"/>
        <v>0</v>
      </c>
    </row>
    <row r="3380" spans="8:9">
      <c r="H3380" s="66" t="e">
        <f>IF(OR(LEFT(B3380,FIND("_",B3380,1)-1)="ULGALLOC",LEFT(B3380,FIND("_",B3380,1)-1)="ULSPOOL"),LEFT(B3380,FIND("_",B3380,1)-1),VLOOKUP(LEFT(A3380,6),'Code Library'!$D$3:$E$200,2,0))&amp;"_"&amp;RIGHT(A3380,3)</f>
        <v>#VALUE!</v>
      </c>
      <c r="I3380" s="66">
        <f t="shared" si="52"/>
        <v>0</v>
      </c>
    </row>
    <row r="3381" spans="8:9">
      <c r="H3381" s="66" t="e">
        <f>IF(OR(LEFT(B3381,FIND("_",B3381,1)-1)="ULGALLOC",LEFT(B3381,FIND("_",B3381,1)-1)="ULSPOOL"),LEFT(B3381,FIND("_",B3381,1)-1),VLOOKUP(LEFT(A3381,6),'Code Library'!$D$3:$E$200,2,0))&amp;"_"&amp;RIGHT(A3381,3)</f>
        <v>#VALUE!</v>
      </c>
      <c r="I3381" s="66">
        <f t="shared" si="52"/>
        <v>0</v>
      </c>
    </row>
    <row r="3382" spans="8:9">
      <c r="H3382" s="66" t="e">
        <f>IF(OR(LEFT(B3382,FIND("_",B3382,1)-1)="ULGALLOC",LEFT(B3382,FIND("_",B3382,1)-1)="ULSPOOL"),LEFT(B3382,FIND("_",B3382,1)-1),VLOOKUP(LEFT(A3382,6),'Code Library'!$D$3:$E$200,2,0))&amp;"_"&amp;RIGHT(A3382,3)</f>
        <v>#VALUE!</v>
      </c>
      <c r="I3382" s="66">
        <f t="shared" si="52"/>
        <v>0</v>
      </c>
    </row>
    <row r="3383" spans="8:9">
      <c r="H3383" s="66" t="e">
        <f>IF(OR(LEFT(B3383,FIND("_",B3383,1)-1)="ULGALLOC",LEFT(B3383,FIND("_",B3383,1)-1)="ULSPOOL"),LEFT(B3383,FIND("_",B3383,1)-1),VLOOKUP(LEFT(A3383,6),'Code Library'!$D$3:$E$200,2,0))&amp;"_"&amp;RIGHT(A3383,3)</f>
        <v>#VALUE!</v>
      </c>
      <c r="I3383" s="66">
        <f t="shared" si="52"/>
        <v>0</v>
      </c>
    </row>
    <row r="3384" spans="8:9">
      <c r="H3384" s="66" t="e">
        <f>IF(OR(LEFT(B3384,FIND("_",B3384,1)-1)="ULGALLOC",LEFT(B3384,FIND("_",B3384,1)-1)="ULSPOOL"),LEFT(B3384,FIND("_",B3384,1)-1),VLOOKUP(LEFT(A3384,6),'Code Library'!$D$3:$E$200,2,0))&amp;"_"&amp;RIGHT(A3384,3)</f>
        <v>#VALUE!</v>
      </c>
      <c r="I3384" s="66">
        <f t="shared" si="52"/>
        <v>0</v>
      </c>
    </row>
    <row r="3385" spans="8:9">
      <c r="H3385" s="66" t="e">
        <f>IF(OR(LEFT(B3385,FIND("_",B3385,1)-1)="ULGALLOC",LEFT(B3385,FIND("_",B3385,1)-1)="ULSPOOL"),LEFT(B3385,FIND("_",B3385,1)-1),VLOOKUP(LEFT(A3385,6),'Code Library'!$D$3:$E$200,2,0))&amp;"_"&amp;RIGHT(A3385,3)</f>
        <v>#VALUE!</v>
      </c>
      <c r="I3385" s="66">
        <f t="shared" si="52"/>
        <v>0</v>
      </c>
    </row>
    <row r="3386" spans="8:9">
      <c r="H3386" s="66" t="e">
        <f>IF(OR(LEFT(B3386,FIND("_",B3386,1)-1)="ULGALLOC",LEFT(B3386,FIND("_",B3386,1)-1)="ULSPOOL"),LEFT(B3386,FIND("_",B3386,1)-1),VLOOKUP(LEFT(A3386,6),'Code Library'!$D$3:$E$200,2,0))&amp;"_"&amp;RIGHT(A3386,3)</f>
        <v>#VALUE!</v>
      </c>
      <c r="I3386" s="66">
        <f t="shared" si="52"/>
        <v>0</v>
      </c>
    </row>
    <row r="3387" spans="8:9">
      <c r="H3387" s="66" t="e">
        <f>IF(OR(LEFT(B3387,FIND("_",B3387,1)-1)="ULGALLOC",LEFT(B3387,FIND("_",B3387,1)-1)="ULSPOOL"),LEFT(B3387,FIND("_",B3387,1)-1),VLOOKUP(LEFT(A3387,6),'Code Library'!$D$3:$E$200,2,0))&amp;"_"&amp;RIGHT(A3387,3)</f>
        <v>#VALUE!</v>
      </c>
      <c r="I3387" s="66">
        <f t="shared" si="52"/>
        <v>0</v>
      </c>
    </row>
    <row r="3388" spans="8:9">
      <c r="H3388" s="66" t="e">
        <f>IF(OR(LEFT(B3388,FIND("_",B3388,1)-1)="ULGALLOC",LEFT(B3388,FIND("_",B3388,1)-1)="ULSPOOL"),LEFT(B3388,FIND("_",B3388,1)-1),VLOOKUP(LEFT(A3388,6),'Code Library'!$D$3:$E$200,2,0))&amp;"_"&amp;RIGHT(A3388,3)</f>
        <v>#VALUE!</v>
      </c>
      <c r="I3388" s="66">
        <f t="shared" si="52"/>
        <v>0</v>
      </c>
    </row>
    <row r="3389" spans="8:9">
      <c r="H3389" s="66" t="e">
        <f>IF(OR(LEFT(B3389,FIND("_",B3389,1)-1)="ULGALLOC",LEFT(B3389,FIND("_",B3389,1)-1)="ULSPOOL"),LEFT(B3389,FIND("_",B3389,1)-1),VLOOKUP(LEFT(A3389,6),'Code Library'!$D$3:$E$200,2,0))&amp;"_"&amp;RIGHT(A3389,3)</f>
        <v>#VALUE!</v>
      </c>
      <c r="I3389" s="66">
        <f t="shared" si="52"/>
        <v>0</v>
      </c>
    </row>
    <row r="3390" spans="8:9">
      <c r="H3390" s="66" t="e">
        <f>IF(OR(LEFT(B3390,FIND("_",B3390,1)-1)="ULGALLOC",LEFT(B3390,FIND("_",B3390,1)-1)="ULSPOOL"),LEFT(B3390,FIND("_",B3390,1)-1),VLOOKUP(LEFT(A3390,6),'Code Library'!$D$3:$E$200,2,0))&amp;"_"&amp;RIGHT(A3390,3)</f>
        <v>#VALUE!</v>
      </c>
      <c r="I3390" s="66">
        <f t="shared" si="52"/>
        <v>0</v>
      </c>
    </row>
    <row r="3391" spans="8:9">
      <c r="H3391" s="66" t="e">
        <f>IF(OR(LEFT(B3391,FIND("_",B3391,1)-1)="ULGALLOC",LEFT(B3391,FIND("_",B3391,1)-1)="ULSPOOL"),LEFT(B3391,FIND("_",B3391,1)-1),VLOOKUP(LEFT(A3391,6),'Code Library'!$D$3:$E$200,2,0))&amp;"_"&amp;RIGHT(A3391,3)</f>
        <v>#VALUE!</v>
      </c>
      <c r="I3391" s="66">
        <f t="shared" si="52"/>
        <v>0</v>
      </c>
    </row>
    <row r="3392" spans="8:9">
      <c r="H3392" s="66" t="e">
        <f>IF(OR(LEFT(B3392,FIND("_",B3392,1)-1)="ULGALLOC",LEFT(B3392,FIND("_",B3392,1)-1)="ULSPOOL"),LEFT(B3392,FIND("_",B3392,1)-1),VLOOKUP(LEFT(A3392,6),'Code Library'!$D$3:$E$200,2,0))&amp;"_"&amp;RIGHT(A3392,3)</f>
        <v>#VALUE!</v>
      </c>
      <c r="I3392" s="66">
        <f t="shared" si="52"/>
        <v>0</v>
      </c>
    </row>
    <row r="3393" spans="8:9">
      <c r="H3393" s="66" t="e">
        <f>IF(OR(LEFT(B3393,FIND("_",B3393,1)-1)="ULGALLOC",LEFT(B3393,FIND("_",B3393,1)-1)="ULSPOOL"),LEFT(B3393,FIND("_",B3393,1)-1),VLOOKUP(LEFT(A3393,6),'Code Library'!$D$3:$E$200,2,0))&amp;"_"&amp;RIGHT(A3393,3)</f>
        <v>#VALUE!</v>
      </c>
      <c r="I3393" s="66">
        <f t="shared" si="52"/>
        <v>0</v>
      </c>
    </row>
    <row r="3394" spans="8:9">
      <c r="H3394" s="66" t="e">
        <f>IF(OR(LEFT(B3394,FIND("_",B3394,1)-1)="ULGALLOC",LEFT(B3394,FIND("_",B3394,1)-1)="ULSPOOL"),LEFT(B3394,FIND("_",B3394,1)-1),VLOOKUP(LEFT(A3394,6),'Code Library'!$D$3:$E$200,2,0))&amp;"_"&amp;RIGHT(A3394,3)</f>
        <v>#VALUE!</v>
      </c>
      <c r="I3394" s="66">
        <f t="shared" si="52"/>
        <v>0</v>
      </c>
    </row>
    <row r="3395" spans="8:9">
      <c r="H3395" s="66" t="e">
        <f>IF(OR(LEFT(B3395,FIND("_",B3395,1)-1)="ULGALLOC",LEFT(B3395,FIND("_",B3395,1)-1)="ULSPOOL"),LEFT(B3395,FIND("_",B3395,1)-1),VLOOKUP(LEFT(A3395,6),'Code Library'!$D$3:$E$200,2,0))&amp;"_"&amp;RIGHT(A3395,3)</f>
        <v>#VALUE!</v>
      </c>
      <c r="I3395" s="66">
        <f t="shared" ref="I3395:I3458" si="53">A3395</f>
        <v>0</v>
      </c>
    </row>
    <row r="3396" spans="8:9">
      <c r="H3396" s="66" t="e">
        <f>IF(OR(LEFT(B3396,FIND("_",B3396,1)-1)="ULGALLOC",LEFT(B3396,FIND("_",B3396,1)-1)="ULSPOOL"),LEFT(B3396,FIND("_",B3396,1)-1),VLOOKUP(LEFT(A3396,6),'Code Library'!$D$3:$E$200,2,0))&amp;"_"&amp;RIGHT(A3396,3)</f>
        <v>#VALUE!</v>
      </c>
      <c r="I3396" s="66">
        <f t="shared" si="53"/>
        <v>0</v>
      </c>
    </row>
    <row r="3397" spans="8:9">
      <c r="H3397" s="66" t="e">
        <f>IF(OR(LEFT(B3397,FIND("_",B3397,1)-1)="ULGALLOC",LEFT(B3397,FIND("_",B3397,1)-1)="ULSPOOL"),LEFT(B3397,FIND("_",B3397,1)-1),VLOOKUP(LEFT(A3397,6),'Code Library'!$D$3:$E$200,2,0))&amp;"_"&amp;RIGHT(A3397,3)</f>
        <v>#VALUE!</v>
      </c>
      <c r="I3397" s="66">
        <f t="shared" si="53"/>
        <v>0</v>
      </c>
    </row>
    <row r="3398" spans="8:9">
      <c r="H3398" s="66" t="e">
        <f>IF(OR(LEFT(B3398,FIND("_",B3398,1)-1)="ULGALLOC",LEFT(B3398,FIND("_",B3398,1)-1)="ULSPOOL"),LEFT(B3398,FIND("_",B3398,1)-1),VLOOKUP(LEFT(A3398,6),'Code Library'!$D$3:$E$200,2,0))&amp;"_"&amp;RIGHT(A3398,3)</f>
        <v>#VALUE!</v>
      </c>
      <c r="I3398" s="66">
        <f t="shared" si="53"/>
        <v>0</v>
      </c>
    </row>
    <row r="3399" spans="8:9">
      <c r="H3399" s="66" t="e">
        <f>IF(OR(LEFT(B3399,FIND("_",B3399,1)-1)="ULGALLOC",LEFT(B3399,FIND("_",B3399,1)-1)="ULSPOOL"),LEFT(B3399,FIND("_",B3399,1)-1),VLOOKUP(LEFT(A3399,6),'Code Library'!$D$3:$E$200,2,0))&amp;"_"&amp;RIGHT(A3399,3)</f>
        <v>#VALUE!</v>
      </c>
      <c r="I3399" s="66">
        <f t="shared" si="53"/>
        <v>0</v>
      </c>
    </row>
    <row r="3400" spans="8:9">
      <c r="H3400" s="66" t="e">
        <f>IF(OR(LEFT(B3400,FIND("_",B3400,1)-1)="ULGALLOC",LEFT(B3400,FIND("_",B3400,1)-1)="ULSPOOL"),LEFT(B3400,FIND("_",B3400,1)-1),VLOOKUP(LEFT(A3400,6),'Code Library'!$D$3:$E$200,2,0))&amp;"_"&amp;RIGHT(A3400,3)</f>
        <v>#VALUE!</v>
      </c>
      <c r="I3400" s="66">
        <f t="shared" si="53"/>
        <v>0</v>
      </c>
    </row>
    <row r="3401" spans="8:9">
      <c r="H3401" s="66" t="e">
        <f>IF(OR(LEFT(B3401,FIND("_",B3401,1)-1)="ULGALLOC",LEFT(B3401,FIND("_",B3401,1)-1)="ULSPOOL"),LEFT(B3401,FIND("_",B3401,1)-1),VLOOKUP(LEFT(A3401,6),'Code Library'!$D$3:$E$200,2,0))&amp;"_"&amp;RIGHT(A3401,3)</f>
        <v>#VALUE!</v>
      </c>
      <c r="I3401" s="66">
        <f t="shared" si="53"/>
        <v>0</v>
      </c>
    </row>
    <row r="3402" spans="8:9">
      <c r="H3402" s="66" t="e">
        <f>IF(OR(LEFT(B3402,FIND("_",B3402,1)-1)="ULGALLOC",LEFT(B3402,FIND("_",B3402,1)-1)="ULSPOOL"),LEFT(B3402,FIND("_",B3402,1)-1),VLOOKUP(LEFT(A3402,6),'Code Library'!$D$3:$E$200,2,0))&amp;"_"&amp;RIGHT(A3402,3)</f>
        <v>#VALUE!</v>
      </c>
      <c r="I3402" s="66">
        <f t="shared" si="53"/>
        <v>0</v>
      </c>
    </row>
    <row r="3403" spans="8:9">
      <c r="H3403" s="66" t="e">
        <f>IF(OR(LEFT(B3403,FIND("_",B3403,1)-1)="ULGALLOC",LEFT(B3403,FIND("_",B3403,1)-1)="ULSPOOL"),LEFT(B3403,FIND("_",B3403,1)-1),VLOOKUP(LEFT(A3403,6),'Code Library'!$D$3:$E$200,2,0))&amp;"_"&amp;RIGHT(A3403,3)</f>
        <v>#VALUE!</v>
      </c>
      <c r="I3403" s="66">
        <f t="shared" si="53"/>
        <v>0</v>
      </c>
    </row>
    <row r="3404" spans="8:9">
      <c r="H3404" s="66" t="e">
        <f>IF(OR(LEFT(B3404,FIND("_",B3404,1)-1)="ULGALLOC",LEFT(B3404,FIND("_",B3404,1)-1)="ULSPOOL"),LEFT(B3404,FIND("_",B3404,1)-1),VLOOKUP(LEFT(A3404,6),'Code Library'!$D$3:$E$200,2,0))&amp;"_"&amp;RIGHT(A3404,3)</f>
        <v>#VALUE!</v>
      </c>
      <c r="I3404" s="66">
        <f t="shared" si="53"/>
        <v>0</v>
      </c>
    </row>
    <row r="3405" spans="8:9">
      <c r="H3405" s="66" t="e">
        <f>IF(OR(LEFT(B3405,FIND("_",B3405,1)-1)="ULGALLOC",LEFT(B3405,FIND("_",B3405,1)-1)="ULSPOOL"),LEFT(B3405,FIND("_",B3405,1)-1),VLOOKUP(LEFT(A3405,6),'Code Library'!$D$3:$E$200,2,0))&amp;"_"&amp;RIGHT(A3405,3)</f>
        <v>#VALUE!</v>
      </c>
      <c r="I3405" s="66">
        <f t="shared" si="53"/>
        <v>0</v>
      </c>
    </row>
    <row r="3406" spans="8:9">
      <c r="H3406" s="66" t="e">
        <f>IF(OR(LEFT(B3406,FIND("_",B3406,1)-1)="ULGALLOC",LEFT(B3406,FIND("_",B3406,1)-1)="ULSPOOL"),LEFT(B3406,FIND("_",B3406,1)-1),VLOOKUP(LEFT(A3406,6),'Code Library'!$D$3:$E$200,2,0))&amp;"_"&amp;RIGHT(A3406,3)</f>
        <v>#VALUE!</v>
      </c>
      <c r="I3406" s="66">
        <f t="shared" si="53"/>
        <v>0</v>
      </c>
    </row>
    <row r="3407" spans="8:9">
      <c r="H3407" s="66" t="e">
        <f>IF(OR(LEFT(B3407,FIND("_",B3407,1)-1)="ULGALLOC",LEFT(B3407,FIND("_",B3407,1)-1)="ULSPOOL"),LEFT(B3407,FIND("_",B3407,1)-1),VLOOKUP(LEFT(A3407,6),'Code Library'!$D$3:$E$200,2,0))&amp;"_"&amp;RIGHT(A3407,3)</f>
        <v>#VALUE!</v>
      </c>
      <c r="I3407" s="66">
        <f t="shared" si="53"/>
        <v>0</v>
      </c>
    </row>
    <row r="3408" spans="8:9">
      <c r="H3408" s="66" t="e">
        <f>IF(OR(LEFT(B3408,FIND("_",B3408,1)-1)="ULGALLOC",LEFT(B3408,FIND("_",B3408,1)-1)="ULSPOOL"),LEFT(B3408,FIND("_",B3408,1)-1),VLOOKUP(LEFT(A3408,6),'Code Library'!$D$3:$E$200,2,0))&amp;"_"&amp;RIGHT(A3408,3)</f>
        <v>#VALUE!</v>
      </c>
      <c r="I3408" s="66">
        <f t="shared" si="53"/>
        <v>0</v>
      </c>
    </row>
    <row r="3409" spans="8:9">
      <c r="H3409" s="66" t="e">
        <f>IF(OR(LEFT(B3409,FIND("_",B3409,1)-1)="ULGALLOC",LEFT(B3409,FIND("_",B3409,1)-1)="ULSPOOL"),LEFT(B3409,FIND("_",B3409,1)-1),VLOOKUP(LEFT(A3409,6),'Code Library'!$D$3:$E$200,2,0))&amp;"_"&amp;RIGHT(A3409,3)</f>
        <v>#VALUE!</v>
      </c>
      <c r="I3409" s="66">
        <f t="shared" si="53"/>
        <v>0</v>
      </c>
    </row>
    <row r="3410" spans="8:9">
      <c r="H3410" s="66" t="e">
        <f>IF(OR(LEFT(B3410,FIND("_",B3410,1)-1)="ULGALLOC",LEFT(B3410,FIND("_",B3410,1)-1)="ULSPOOL"),LEFT(B3410,FIND("_",B3410,1)-1),VLOOKUP(LEFT(A3410,6),'Code Library'!$D$3:$E$200,2,0))&amp;"_"&amp;RIGHT(A3410,3)</f>
        <v>#VALUE!</v>
      </c>
      <c r="I3410" s="66">
        <f t="shared" si="53"/>
        <v>0</v>
      </c>
    </row>
    <row r="3411" spans="8:9">
      <c r="H3411" s="66" t="e">
        <f>IF(OR(LEFT(B3411,FIND("_",B3411,1)-1)="ULGALLOC",LEFT(B3411,FIND("_",B3411,1)-1)="ULSPOOL"),LEFT(B3411,FIND("_",B3411,1)-1),VLOOKUP(LEFT(A3411,6),'Code Library'!$D$3:$E$200,2,0))&amp;"_"&amp;RIGHT(A3411,3)</f>
        <v>#VALUE!</v>
      </c>
      <c r="I3411" s="66">
        <f t="shared" si="53"/>
        <v>0</v>
      </c>
    </row>
    <row r="3412" spans="8:9">
      <c r="H3412" s="66" t="e">
        <f>IF(OR(LEFT(B3412,FIND("_",B3412,1)-1)="ULGALLOC",LEFT(B3412,FIND("_",B3412,1)-1)="ULSPOOL"),LEFT(B3412,FIND("_",B3412,1)-1),VLOOKUP(LEFT(A3412,6),'Code Library'!$D$3:$E$200,2,0))&amp;"_"&amp;RIGHT(A3412,3)</f>
        <v>#VALUE!</v>
      </c>
      <c r="I3412" s="66">
        <f t="shared" si="53"/>
        <v>0</v>
      </c>
    </row>
    <row r="3413" spans="8:9">
      <c r="H3413" s="66" t="e">
        <f>IF(OR(LEFT(B3413,FIND("_",B3413,1)-1)="ULGALLOC",LEFT(B3413,FIND("_",B3413,1)-1)="ULSPOOL"),LEFT(B3413,FIND("_",B3413,1)-1),VLOOKUP(LEFT(A3413,6),'Code Library'!$D$3:$E$200,2,0))&amp;"_"&amp;RIGHT(A3413,3)</f>
        <v>#VALUE!</v>
      </c>
      <c r="I3413" s="66">
        <f t="shared" si="53"/>
        <v>0</v>
      </c>
    </row>
    <row r="3414" spans="8:9">
      <c r="H3414" s="66" t="e">
        <f>IF(OR(LEFT(B3414,FIND("_",B3414,1)-1)="ULGALLOC",LEFT(B3414,FIND("_",B3414,1)-1)="ULSPOOL"),LEFT(B3414,FIND("_",B3414,1)-1),VLOOKUP(LEFT(A3414,6),'Code Library'!$D$3:$E$200,2,0))&amp;"_"&amp;RIGHT(A3414,3)</f>
        <v>#VALUE!</v>
      </c>
      <c r="I3414" s="66">
        <f t="shared" si="53"/>
        <v>0</v>
      </c>
    </row>
    <row r="3415" spans="8:9">
      <c r="H3415" s="66" t="e">
        <f>IF(OR(LEFT(B3415,FIND("_",B3415,1)-1)="ULGALLOC",LEFT(B3415,FIND("_",B3415,1)-1)="ULSPOOL"),LEFT(B3415,FIND("_",B3415,1)-1),VLOOKUP(LEFT(A3415,6),'Code Library'!$D$3:$E$200,2,0))&amp;"_"&amp;RIGHT(A3415,3)</f>
        <v>#VALUE!</v>
      </c>
      <c r="I3415" s="66">
        <f t="shared" si="53"/>
        <v>0</v>
      </c>
    </row>
    <row r="3416" spans="8:9">
      <c r="H3416" s="66" t="e">
        <f>IF(OR(LEFT(B3416,FIND("_",B3416,1)-1)="ULGALLOC",LEFT(B3416,FIND("_",B3416,1)-1)="ULSPOOL"),LEFT(B3416,FIND("_",B3416,1)-1),VLOOKUP(LEFT(A3416,6),'Code Library'!$D$3:$E$200,2,0))&amp;"_"&amp;RIGHT(A3416,3)</f>
        <v>#VALUE!</v>
      </c>
      <c r="I3416" s="66">
        <f t="shared" si="53"/>
        <v>0</v>
      </c>
    </row>
    <row r="3417" spans="8:9">
      <c r="H3417" s="66" t="e">
        <f>IF(OR(LEFT(B3417,FIND("_",B3417,1)-1)="ULGALLOC",LEFT(B3417,FIND("_",B3417,1)-1)="ULSPOOL"),LEFT(B3417,FIND("_",B3417,1)-1),VLOOKUP(LEFT(A3417,6),'Code Library'!$D$3:$E$200,2,0))&amp;"_"&amp;RIGHT(A3417,3)</f>
        <v>#VALUE!</v>
      </c>
      <c r="I3417" s="66">
        <f t="shared" si="53"/>
        <v>0</v>
      </c>
    </row>
    <row r="3418" spans="8:9">
      <c r="H3418" s="66" t="e">
        <f>IF(OR(LEFT(B3418,FIND("_",B3418,1)-1)="ULGALLOC",LEFT(B3418,FIND("_",B3418,1)-1)="ULSPOOL"),LEFT(B3418,FIND("_",B3418,1)-1),VLOOKUP(LEFT(A3418,6),'Code Library'!$D$3:$E$200,2,0))&amp;"_"&amp;RIGHT(A3418,3)</f>
        <v>#VALUE!</v>
      </c>
      <c r="I3418" s="66">
        <f t="shared" si="53"/>
        <v>0</v>
      </c>
    </row>
    <row r="3419" spans="8:9">
      <c r="H3419" s="66" t="e">
        <f>IF(OR(LEFT(B3419,FIND("_",B3419,1)-1)="ULGALLOC",LEFT(B3419,FIND("_",B3419,1)-1)="ULSPOOL"),LEFT(B3419,FIND("_",B3419,1)-1),VLOOKUP(LEFT(A3419,6),'Code Library'!$D$3:$E$200,2,0))&amp;"_"&amp;RIGHT(A3419,3)</f>
        <v>#VALUE!</v>
      </c>
      <c r="I3419" s="66">
        <f t="shared" si="53"/>
        <v>0</v>
      </c>
    </row>
    <row r="3420" spans="8:9">
      <c r="H3420" s="66" t="e">
        <f>IF(OR(LEFT(B3420,FIND("_",B3420,1)-1)="ULGALLOC",LEFT(B3420,FIND("_",B3420,1)-1)="ULSPOOL"),LEFT(B3420,FIND("_",B3420,1)-1),VLOOKUP(LEFT(A3420,6),'Code Library'!$D$3:$E$200,2,0))&amp;"_"&amp;RIGHT(A3420,3)</f>
        <v>#VALUE!</v>
      </c>
      <c r="I3420" s="66">
        <f t="shared" si="53"/>
        <v>0</v>
      </c>
    </row>
    <row r="3421" spans="8:9">
      <c r="H3421" s="66" t="e">
        <f>IF(OR(LEFT(B3421,FIND("_",B3421,1)-1)="ULGALLOC",LEFT(B3421,FIND("_",B3421,1)-1)="ULSPOOL"),LEFT(B3421,FIND("_",B3421,1)-1),VLOOKUP(LEFT(A3421,6),'Code Library'!$D$3:$E$200,2,0))&amp;"_"&amp;RIGHT(A3421,3)</f>
        <v>#VALUE!</v>
      </c>
      <c r="I3421" s="66">
        <f t="shared" si="53"/>
        <v>0</v>
      </c>
    </row>
    <row r="3422" spans="8:9">
      <c r="H3422" s="66" t="e">
        <f>IF(OR(LEFT(B3422,FIND("_",B3422,1)-1)="ULGALLOC",LEFT(B3422,FIND("_",B3422,1)-1)="ULSPOOL"),LEFT(B3422,FIND("_",B3422,1)-1),VLOOKUP(LEFT(A3422,6),'Code Library'!$D$3:$E$200,2,0))&amp;"_"&amp;RIGHT(A3422,3)</f>
        <v>#VALUE!</v>
      </c>
      <c r="I3422" s="66">
        <f t="shared" si="53"/>
        <v>0</v>
      </c>
    </row>
    <row r="3423" spans="8:9">
      <c r="H3423" s="66" t="e">
        <f>IF(OR(LEFT(B3423,FIND("_",B3423,1)-1)="ULGALLOC",LEFT(B3423,FIND("_",B3423,1)-1)="ULSPOOL"),LEFT(B3423,FIND("_",B3423,1)-1),VLOOKUP(LEFT(A3423,6),'Code Library'!$D$3:$E$200,2,0))&amp;"_"&amp;RIGHT(A3423,3)</f>
        <v>#VALUE!</v>
      </c>
      <c r="I3423" s="66">
        <f t="shared" si="53"/>
        <v>0</v>
      </c>
    </row>
    <row r="3424" spans="8:9">
      <c r="H3424" s="66" t="e">
        <f>IF(OR(LEFT(B3424,FIND("_",B3424,1)-1)="ULGALLOC",LEFT(B3424,FIND("_",B3424,1)-1)="ULSPOOL"),LEFT(B3424,FIND("_",B3424,1)-1),VLOOKUP(LEFT(A3424,6),'Code Library'!$D$3:$E$200,2,0))&amp;"_"&amp;RIGHT(A3424,3)</f>
        <v>#VALUE!</v>
      </c>
      <c r="I3424" s="66">
        <f t="shared" si="53"/>
        <v>0</v>
      </c>
    </row>
    <row r="3425" spans="8:9">
      <c r="H3425" s="66" t="e">
        <f>IF(OR(LEFT(B3425,FIND("_",B3425,1)-1)="ULGALLOC",LEFT(B3425,FIND("_",B3425,1)-1)="ULSPOOL"),LEFT(B3425,FIND("_",B3425,1)-1),VLOOKUP(LEFT(A3425,6),'Code Library'!$D$3:$E$200,2,0))&amp;"_"&amp;RIGHT(A3425,3)</f>
        <v>#VALUE!</v>
      </c>
      <c r="I3425" s="66">
        <f t="shared" si="53"/>
        <v>0</v>
      </c>
    </row>
    <row r="3426" spans="8:9">
      <c r="H3426" s="66" t="e">
        <f>IF(OR(LEFT(B3426,FIND("_",B3426,1)-1)="ULGALLOC",LEFT(B3426,FIND("_",B3426,1)-1)="ULSPOOL"),LEFT(B3426,FIND("_",B3426,1)-1),VLOOKUP(LEFT(A3426,6),'Code Library'!$D$3:$E$200,2,0))&amp;"_"&amp;RIGHT(A3426,3)</f>
        <v>#VALUE!</v>
      </c>
      <c r="I3426" s="66">
        <f t="shared" si="53"/>
        <v>0</v>
      </c>
    </row>
    <row r="3427" spans="8:9">
      <c r="H3427" s="66" t="e">
        <f>IF(OR(LEFT(B3427,FIND("_",B3427,1)-1)="ULGALLOC",LEFT(B3427,FIND("_",B3427,1)-1)="ULSPOOL"),LEFT(B3427,FIND("_",B3427,1)-1),VLOOKUP(LEFT(A3427,6),'Code Library'!$D$3:$E$200,2,0))&amp;"_"&amp;RIGHT(A3427,3)</f>
        <v>#VALUE!</v>
      </c>
      <c r="I3427" s="66">
        <f t="shared" si="53"/>
        <v>0</v>
      </c>
    </row>
    <row r="3428" spans="8:9">
      <c r="H3428" s="66" t="e">
        <f>IF(OR(LEFT(B3428,FIND("_",B3428,1)-1)="ULGALLOC",LEFT(B3428,FIND("_",B3428,1)-1)="ULSPOOL"),LEFT(B3428,FIND("_",B3428,1)-1),VLOOKUP(LEFT(A3428,6),'Code Library'!$D$3:$E$200,2,0))&amp;"_"&amp;RIGHT(A3428,3)</f>
        <v>#VALUE!</v>
      </c>
      <c r="I3428" s="66">
        <f t="shared" si="53"/>
        <v>0</v>
      </c>
    </row>
    <row r="3429" spans="8:9">
      <c r="H3429" s="66" t="e">
        <f>IF(OR(LEFT(B3429,FIND("_",B3429,1)-1)="ULGALLOC",LEFT(B3429,FIND("_",B3429,1)-1)="ULSPOOL"),LEFT(B3429,FIND("_",B3429,1)-1),VLOOKUP(LEFT(A3429,6),'Code Library'!$D$3:$E$200,2,0))&amp;"_"&amp;RIGHT(A3429,3)</f>
        <v>#VALUE!</v>
      </c>
      <c r="I3429" s="66">
        <f t="shared" si="53"/>
        <v>0</v>
      </c>
    </row>
    <row r="3430" spans="8:9">
      <c r="H3430" s="66" t="e">
        <f>IF(OR(LEFT(B3430,FIND("_",B3430,1)-1)="ULGALLOC",LEFT(B3430,FIND("_",B3430,1)-1)="ULSPOOL"),LEFT(B3430,FIND("_",B3430,1)-1),VLOOKUP(LEFT(A3430,6),'Code Library'!$D$3:$E$200,2,0))&amp;"_"&amp;RIGHT(A3430,3)</f>
        <v>#VALUE!</v>
      </c>
      <c r="I3430" s="66">
        <f t="shared" si="53"/>
        <v>0</v>
      </c>
    </row>
    <row r="3431" spans="8:9">
      <c r="H3431" s="66" t="e">
        <f>IF(OR(LEFT(B3431,FIND("_",B3431,1)-1)="ULGALLOC",LEFT(B3431,FIND("_",B3431,1)-1)="ULSPOOL"),LEFT(B3431,FIND("_",B3431,1)-1),VLOOKUP(LEFT(A3431,6),'Code Library'!$D$3:$E$200,2,0))&amp;"_"&amp;RIGHT(A3431,3)</f>
        <v>#VALUE!</v>
      </c>
      <c r="I3431" s="66">
        <f t="shared" si="53"/>
        <v>0</v>
      </c>
    </row>
    <row r="3432" spans="8:9">
      <c r="H3432" s="66" t="e">
        <f>IF(OR(LEFT(B3432,FIND("_",B3432,1)-1)="ULGALLOC",LEFT(B3432,FIND("_",B3432,1)-1)="ULSPOOL"),LEFT(B3432,FIND("_",B3432,1)-1),VLOOKUP(LEFT(A3432,6),'Code Library'!$D$3:$E$200,2,0))&amp;"_"&amp;RIGHT(A3432,3)</f>
        <v>#VALUE!</v>
      </c>
      <c r="I3432" s="66">
        <f t="shared" si="53"/>
        <v>0</v>
      </c>
    </row>
    <row r="3433" spans="8:9">
      <c r="H3433" s="66" t="e">
        <f>IF(OR(LEFT(B3433,FIND("_",B3433,1)-1)="ULGALLOC",LEFT(B3433,FIND("_",B3433,1)-1)="ULSPOOL"),LEFT(B3433,FIND("_",B3433,1)-1),VLOOKUP(LEFT(A3433,6),'Code Library'!$D$3:$E$200,2,0))&amp;"_"&amp;RIGHT(A3433,3)</f>
        <v>#VALUE!</v>
      </c>
      <c r="I3433" s="66">
        <f t="shared" si="53"/>
        <v>0</v>
      </c>
    </row>
    <row r="3434" spans="8:9">
      <c r="H3434" s="66" t="e">
        <f>IF(OR(LEFT(B3434,FIND("_",B3434,1)-1)="ULGALLOC",LEFT(B3434,FIND("_",B3434,1)-1)="ULSPOOL"),LEFT(B3434,FIND("_",B3434,1)-1),VLOOKUP(LEFT(A3434,6),'Code Library'!$D$3:$E$200,2,0))&amp;"_"&amp;RIGHT(A3434,3)</f>
        <v>#VALUE!</v>
      </c>
      <c r="I3434" s="66">
        <f t="shared" si="53"/>
        <v>0</v>
      </c>
    </row>
    <row r="3435" spans="8:9">
      <c r="H3435" s="66" t="e">
        <f>IF(OR(LEFT(B3435,FIND("_",B3435,1)-1)="ULGALLOC",LEFT(B3435,FIND("_",B3435,1)-1)="ULSPOOL"),LEFT(B3435,FIND("_",B3435,1)-1),VLOOKUP(LEFT(A3435,6),'Code Library'!$D$3:$E$200,2,0))&amp;"_"&amp;RIGHT(A3435,3)</f>
        <v>#VALUE!</v>
      </c>
      <c r="I3435" s="66">
        <f t="shared" si="53"/>
        <v>0</v>
      </c>
    </row>
    <row r="3436" spans="8:9">
      <c r="H3436" s="66" t="e">
        <f>IF(OR(LEFT(B3436,FIND("_",B3436,1)-1)="ULGALLOC",LEFT(B3436,FIND("_",B3436,1)-1)="ULSPOOL"),LEFT(B3436,FIND("_",B3436,1)-1),VLOOKUP(LEFT(A3436,6),'Code Library'!$D$3:$E$200,2,0))&amp;"_"&amp;RIGHT(A3436,3)</f>
        <v>#VALUE!</v>
      </c>
      <c r="I3436" s="66">
        <f t="shared" si="53"/>
        <v>0</v>
      </c>
    </row>
    <row r="3437" spans="8:9">
      <c r="H3437" s="66" t="e">
        <f>IF(OR(LEFT(B3437,FIND("_",B3437,1)-1)="ULGALLOC",LEFT(B3437,FIND("_",B3437,1)-1)="ULSPOOL"),LEFT(B3437,FIND("_",B3437,1)-1),VLOOKUP(LEFT(A3437,6),'Code Library'!$D$3:$E$200,2,0))&amp;"_"&amp;RIGHT(A3437,3)</f>
        <v>#VALUE!</v>
      </c>
      <c r="I3437" s="66">
        <f t="shared" si="53"/>
        <v>0</v>
      </c>
    </row>
    <row r="3438" spans="8:9">
      <c r="H3438" s="66" t="e">
        <f>IF(OR(LEFT(B3438,FIND("_",B3438,1)-1)="ULGALLOC",LEFT(B3438,FIND("_",B3438,1)-1)="ULSPOOL"),LEFT(B3438,FIND("_",B3438,1)-1),VLOOKUP(LEFT(A3438,6),'Code Library'!$D$3:$E$200,2,0))&amp;"_"&amp;RIGHT(A3438,3)</f>
        <v>#VALUE!</v>
      </c>
      <c r="I3438" s="66">
        <f t="shared" si="53"/>
        <v>0</v>
      </c>
    </row>
    <row r="3439" spans="8:9">
      <c r="H3439" s="66" t="e">
        <f>IF(OR(LEFT(B3439,FIND("_",B3439,1)-1)="ULGALLOC",LEFT(B3439,FIND("_",B3439,1)-1)="ULSPOOL"),LEFT(B3439,FIND("_",B3439,1)-1),VLOOKUP(LEFT(A3439,6),'Code Library'!$D$3:$E$200,2,0))&amp;"_"&amp;RIGHT(A3439,3)</f>
        <v>#VALUE!</v>
      </c>
      <c r="I3439" s="66">
        <f t="shared" si="53"/>
        <v>0</v>
      </c>
    </row>
    <row r="3440" spans="8:9">
      <c r="H3440" s="66" t="e">
        <f>IF(OR(LEFT(B3440,FIND("_",B3440,1)-1)="ULGALLOC",LEFT(B3440,FIND("_",B3440,1)-1)="ULSPOOL"),LEFT(B3440,FIND("_",B3440,1)-1),VLOOKUP(LEFT(A3440,6),'Code Library'!$D$3:$E$200,2,0))&amp;"_"&amp;RIGHT(A3440,3)</f>
        <v>#VALUE!</v>
      </c>
      <c r="I3440" s="66">
        <f t="shared" si="53"/>
        <v>0</v>
      </c>
    </row>
    <row r="3441" spans="8:9">
      <c r="H3441" s="66" t="e">
        <f>IF(OR(LEFT(B3441,FIND("_",B3441,1)-1)="ULGALLOC",LEFT(B3441,FIND("_",B3441,1)-1)="ULSPOOL"),LEFT(B3441,FIND("_",B3441,1)-1),VLOOKUP(LEFT(A3441,6),'Code Library'!$D$3:$E$200,2,0))&amp;"_"&amp;RIGHT(A3441,3)</f>
        <v>#VALUE!</v>
      </c>
      <c r="I3441" s="66">
        <f t="shared" si="53"/>
        <v>0</v>
      </c>
    </row>
    <row r="3442" spans="8:9">
      <c r="H3442" s="66" t="e">
        <f>IF(OR(LEFT(B3442,FIND("_",B3442,1)-1)="ULGALLOC",LEFT(B3442,FIND("_",B3442,1)-1)="ULSPOOL"),LEFT(B3442,FIND("_",B3442,1)-1),VLOOKUP(LEFT(A3442,6),'Code Library'!$D$3:$E$200,2,0))&amp;"_"&amp;RIGHT(A3442,3)</f>
        <v>#VALUE!</v>
      </c>
      <c r="I3442" s="66">
        <f t="shared" si="53"/>
        <v>0</v>
      </c>
    </row>
    <row r="3443" spans="8:9">
      <c r="H3443" s="66" t="e">
        <f>IF(OR(LEFT(B3443,FIND("_",B3443,1)-1)="ULGALLOC",LEFT(B3443,FIND("_",B3443,1)-1)="ULSPOOL"),LEFT(B3443,FIND("_",B3443,1)-1),VLOOKUP(LEFT(A3443,6),'Code Library'!$D$3:$E$200,2,0))&amp;"_"&amp;RIGHT(A3443,3)</f>
        <v>#VALUE!</v>
      </c>
      <c r="I3443" s="66">
        <f t="shared" si="53"/>
        <v>0</v>
      </c>
    </row>
    <row r="3444" spans="8:9">
      <c r="H3444" s="66" t="e">
        <f>IF(OR(LEFT(B3444,FIND("_",B3444,1)-1)="ULGALLOC",LEFT(B3444,FIND("_",B3444,1)-1)="ULSPOOL"),LEFT(B3444,FIND("_",B3444,1)-1),VLOOKUP(LEFT(A3444,6),'Code Library'!$D$3:$E$200,2,0))&amp;"_"&amp;RIGHT(A3444,3)</f>
        <v>#VALUE!</v>
      </c>
      <c r="I3444" s="66">
        <f t="shared" si="53"/>
        <v>0</v>
      </c>
    </row>
    <row r="3445" spans="8:9">
      <c r="H3445" s="66" t="e">
        <f>IF(OR(LEFT(B3445,FIND("_",B3445,1)-1)="ULGALLOC",LEFT(B3445,FIND("_",B3445,1)-1)="ULSPOOL"),LEFT(B3445,FIND("_",B3445,1)-1),VLOOKUP(LEFT(A3445,6),'Code Library'!$D$3:$E$200,2,0))&amp;"_"&amp;RIGHT(A3445,3)</f>
        <v>#VALUE!</v>
      </c>
      <c r="I3445" s="66">
        <f t="shared" si="53"/>
        <v>0</v>
      </c>
    </row>
    <row r="3446" spans="8:9">
      <c r="H3446" s="66" t="e">
        <f>IF(OR(LEFT(B3446,FIND("_",B3446,1)-1)="ULGALLOC",LEFT(B3446,FIND("_",B3446,1)-1)="ULSPOOL"),LEFT(B3446,FIND("_",B3446,1)-1),VLOOKUP(LEFT(A3446,6),'Code Library'!$D$3:$E$200,2,0))&amp;"_"&amp;RIGHT(A3446,3)</f>
        <v>#VALUE!</v>
      </c>
      <c r="I3446" s="66">
        <f t="shared" si="53"/>
        <v>0</v>
      </c>
    </row>
    <row r="3447" spans="8:9">
      <c r="H3447" s="66" t="e">
        <f>IF(OR(LEFT(B3447,FIND("_",B3447,1)-1)="ULGALLOC",LEFT(B3447,FIND("_",B3447,1)-1)="ULSPOOL"),LEFT(B3447,FIND("_",B3447,1)-1),VLOOKUP(LEFT(A3447,6),'Code Library'!$D$3:$E$200,2,0))&amp;"_"&amp;RIGHT(A3447,3)</f>
        <v>#VALUE!</v>
      </c>
      <c r="I3447" s="66">
        <f t="shared" si="53"/>
        <v>0</v>
      </c>
    </row>
    <row r="3448" spans="8:9">
      <c r="H3448" s="66" t="e">
        <f>IF(OR(LEFT(B3448,FIND("_",B3448,1)-1)="ULGALLOC",LEFT(B3448,FIND("_",B3448,1)-1)="ULSPOOL"),LEFT(B3448,FIND("_",B3448,1)-1),VLOOKUP(LEFT(A3448,6),'Code Library'!$D$3:$E$200,2,0))&amp;"_"&amp;RIGHT(A3448,3)</f>
        <v>#VALUE!</v>
      </c>
      <c r="I3448" s="66">
        <f t="shared" si="53"/>
        <v>0</v>
      </c>
    </row>
    <row r="3449" spans="8:9">
      <c r="H3449" s="66" t="e">
        <f>IF(OR(LEFT(B3449,FIND("_",B3449,1)-1)="ULGALLOC",LEFT(B3449,FIND("_",B3449,1)-1)="ULSPOOL"),LEFT(B3449,FIND("_",B3449,1)-1),VLOOKUP(LEFT(A3449,6),'Code Library'!$D$3:$E$200,2,0))&amp;"_"&amp;RIGHT(A3449,3)</f>
        <v>#VALUE!</v>
      </c>
      <c r="I3449" s="66">
        <f t="shared" si="53"/>
        <v>0</v>
      </c>
    </row>
    <row r="3450" spans="8:9">
      <c r="H3450" s="66" t="e">
        <f>IF(OR(LEFT(B3450,FIND("_",B3450,1)-1)="ULGALLOC",LEFT(B3450,FIND("_",B3450,1)-1)="ULSPOOL"),LEFT(B3450,FIND("_",B3450,1)-1),VLOOKUP(LEFT(A3450,6),'Code Library'!$D$3:$E$200,2,0))&amp;"_"&amp;RIGHT(A3450,3)</f>
        <v>#VALUE!</v>
      </c>
      <c r="I3450" s="66">
        <f t="shared" si="53"/>
        <v>0</v>
      </c>
    </row>
    <row r="3451" spans="8:9">
      <c r="H3451" s="66" t="e">
        <f>IF(OR(LEFT(B3451,FIND("_",B3451,1)-1)="ULGALLOC",LEFT(B3451,FIND("_",B3451,1)-1)="ULSPOOL"),LEFT(B3451,FIND("_",B3451,1)-1),VLOOKUP(LEFT(A3451,6),'Code Library'!$D$3:$E$200,2,0))&amp;"_"&amp;RIGHT(A3451,3)</f>
        <v>#VALUE!</v>
      </c>
      <c r="I3451" s="66">
        <f t="shared" si="53"/>
        <v>0</v>
      </c>
    </row>
    <row r="3452" spans="8:9">
      <c r="H3452" s="66" t="e">
        <f>IF(OR(LEFT(B3452,FIND("_",B3452,1)-1)="ULGALLOC",LEFT(B3452,FIND("_",B3452,1)-1)="ULSPOOL"),LEFT(B3452,FIND("_",B3452,1)-1),VLOOKUP(LEFT(A3452,6),'Code Library'!$D$3:$E$200,2,0))&amp;"_"&amp;RIGHT(A3452,3)</f>
        <v>#VALUE!</v>
      </c>
      <c r="I3452" s="66">
        <f t="shared" si="53"/>
        <v>0</v>
      </c>
    </row>
    <row r="3453" spans="8:9">
      <c r="H3453" s="66" t="e">
        <f>IF(OR(LEFT(B3453,FIND("_",B3453,1)-1)="ULGALLOC",LEFT(B3453,FIND("_",B3453,1)-1)="ULSPOOL"),LEFT(B3453,FIND("_",B3453,1)-1),VLOOKUP(LEFT(A3453,6),'Code Library'!$D$3:$E$200,2,0))&amp;"_"&amp;RIGHT(A3453,3)</f>
        <v>#VALUE!</v>
      </c>
      <c r="I3453" s="66">
        <f t="shared" si="53"/>
        <v>0</v>
      </c>
    </row>
    <row r="3454" spans="8:9">
      <c r="H3454" s="66" t="e">
        <f>IF(OR(LEFT(B3454,FIND("_",B3454,1)-1)="ULGALLOC",LEFT(B3454,FIND("_",B3454,1)-1)="ULSPOOL"),LEFT(B3454,FIND("_",B3454,1)-1),VLOOKUP(LEFT(A3454,6),'Code Library'!$D$3:$E$200,2,0))&amp;"_"&amp;RIGHT(A3454,3)</f>
        <v>#VALUE!</v>
      </c>
      <c r="I3454" s="66">
        <f t="shared" si="53"/>
        <v>0</v>
      </c>
    </row>
    <row r="3455" spans="8:9">
      <c r="H3455" s="66" t="e">
        <f>IF(OR(LEFT(B3455,FIND("_",B3455,1)-1)="ULGALLOC",LEFT(B3455,FIND("_",B3455,1)-1)="ULSPOOL"),LEFT(B3455,FIND("_",B3455,1)-1),VLOOKUP(LEFT(A3455,6),'Code Library'!$D$3:$E$200,2,0))&amp;"_"&amp;RIGHT(A3455,3)</f>
        <v>#VALUE!</v>
      </c>
      <c r="I3455" s="66">
        <f t="shared" si="53"/>
        <v>0</v>
      </c>
    </row>
    <row r="3456" spans="8:9">
      <c r="H3456" s="66" t="e">
        <f>IF(OR(LEFT(B3456,FIND("_",B3456,1)-1)="ULGALLOC",LEFT(B3456,FIND("_",B3456,1)-1)="ULSPOOL"),LEFT(B3456,FIND("_",B3456,1)-1),VLOOKUP(LEFT(A3456,6),'Code Library'!$D$3:$E$200,2,0))&amp;"_"&amp;RIGHT(A3456,3)</f>
        <v>#VALUE!</v>
      </c>
      <c r="I3456" s="66">
        <f t="shared" si="53"/>
        <v>0</v>
      </c>
    </row>
    <row r="3457" spans="8:9">
      <c r="H3457" s="66" t="e">
        <f>IF(OR(LEFT(B3457,FIND("_",B3457,1)-1)="ULGALLOC",LEFT(B3457,FIND("_",B3457,1)-1)="ULSPOOL"),LEFT(B3457,FIND("_",B3457,1)-1),VLOOKUP(LEFT(A3457,6),'Code Library'!$D$3:$E$200,2,0))&amp;"_"&amp;RIGHT(A3457,3)</f>
        <v>#VALUE!</v>
      </c>
      <c r="I3457" s="66">
        <f t="shared" si="53"/>
        <v>0</v>
      </c>
    </row>
    <row r="3458" spans="8:9">
      <c r="H3458" s="66" t="e">
        <f>IF(OR(LEFT(B3458,FIND("_",B3458,1)-1)="ULGALLOC",LEFT(B3458,FIND("_",B3458,1)-1)="ULSPOOL"),LEFT(B3458,FIND("_",B3458,1)-1),VLOOKUP(LEFT(A3458,6),'Code Library'!$D$3:$E$200,2,0))&amp;"_"&amp;RIGHT(A3458,3)</f>
        <v>#VALUE!</v>
      </c>
      <c r="I3458" s="66">
        <f t="shared" si="53"/>
        <v>0</v>
      </c>
    </row>
    <row r="3459" spans="8:9">
      <c r="H3459" s="66" t="e">
        <f>IF(OR(LEFT(B3459,FIND("_",B3459,1)-1)="ULGALLOC",LEFT(B3459,FIND("_",B3459,1)-1)="ULSPOOL"),LEFT(B3459,FIND("_",B3459,1)-1),VLOOKUP(LEFT(A3459,6),'Code Library'!$D$3:$E$200,2,0))&amp;"_"&amp;RIGHT(A3459,3)</f>
        <v>#VALUE!</v>
      </c>
      <c r="I3459" s="66">
        <f t="shared" ref="I3459:I3522" si="54">A3459</f>
        <v>0</v>
      </c>
    </row>
    <row r="3460" spans="8:9">
      <c r="H3460" s="66" t="e">
        <f>IF(OR(LEFT(B3460,FIND("_",B3460,1)-1)="ULGALLOC",LEFT(B3460,FIND("_",B3460,1)-1)="ULSPOOL"),LEFT(B3460,FIND("_",B3460,1)-1),VLOOKUP(LEFT(A3460,6),'Code Library'!$D$3:$E$200,2,0))&amp;"_"&amp;RIGHT(A3460,3)</f>
        <v>#VALUE!</v>
      </c>
      <c r="I3460" s="66">
        <f t="shared" si="54"/>
        <v>0</v>
      </c>
    </row>
    <row r="3461" spans="8:9">
      <c r="H3461" s="66" t="e">
        <f>IF(OR(LEFT(B3461,FIND("_",B3461,1)-1)="ULGALLOC",LEFT(B3461,FIND("_",B3461,1)-1)="ULSPOOL"),LEFT(B3461,FIND("_",B3461,1)-1),VLOOKUP(LEFT(A3461,6),'Code Library'!$D$3:$E$200,2,0))&amp;"_"&amp;RIGHT(A3461,3)</f>
        <v>#VALUE!</v>
      </c>
      <c r="I3461" s="66">
        <f t="shared" si="54"/>
        <v>0</v>
      </c>
    </row>
    <row r="3462" spans="8:9">
      <c r="H3462" s="66" t="e">
        <f>IF(OR(LEFT(B3462,FIND("_",B3462,1)-1)="ULGALLOC",LEFT(B3462,FIND("_",B3462,1)-1)="ULSPOOL"),LEFT(B3462,FIND("_",B3462,1)-1),VLOOKUP(LEFT(A3462,6),'Code Library'!$D$3:$E$200,2,0))&amp;"_"&amp;RIGHT(A3462,3)</f>
        <v>#VALUE!</v>
      </c>
      <c r="I3462" s="66">
        <f t="shared" si="54"/>
        <v>0</v>
      </c>
    </row>
    <row r="3463" spans="8:9">
      <c r="H3463" s="66" t="e">
        <f>IF(OR(LEFT(B3463,FIND("_",B3463,1)-1)="ULGALLOC",LEFT(B3463,FIND("_",B3463,1)-1)="ULSPOOL"),LEFT(B3463,FIND("_",B3463,1)-1),VLOOKUP(LEFT(A3463,6),'Code Library'!$D$3:$E$200,2,0))&amp;"_"&amp;RIGHT(A3463,3)</f>
        <v>#VALUE!</v>
      </c>
      <c r="I3463" s="66">
        <f t="shared" si="54"/>
        <v>0</v>
      </c>
    </row>
    <row r="3464" spans="8:9">
      <c r="H3464" s="66" t="e">
        <f>IF(OR(LEFT(B3464,FIND("_",B3464,1)-1)="ULGALLOC",LEFT(B3464,FIND("_",B3464,1)-1)="ULSPOOL"),LEFT(B3464,FIND("_",B3464,1)-1),VLOOKUP(LEFT(A3464,6),'Code Library'!$D$3:$E$200,2,0))&amp;"_"&amp;RIGHT(A3464,3)</f>
        <v>#VALUE!</v>
      </c>
      <c r="I3464" s="66">
        <f t="shared" si="54"/>
        <v>0</v>
      </c>
    </row>
    <row r="3465" spans="8:9">
      <c r="H3465" s="66" t="e">
        <f>IF(OR(LEFT(B3465,FIND("_",B3465,1)-1)="ULGALLOC",LEFT(B3465,FIND("_",B3465,1)-1)="ULSPOOL"),LEFT(B3465,FIND("_",B3465,1)-1),VLOOKUP(LEFT(A3465,6),'Code Library'!$D$3:$E$200,2,0))&amp;"_"&amp;RIGHT(A3465,3)</f>
        <v>#VALUE!</v>
      </c>
      <c r="I3465" s="66">
        <f t="shared" si="54"/>
        <v>0</v>
      </c>
    </row>
    <row r="3466" spans="8:9">
      <c r="H3466" s="66" t="e">
        <f>IF(OR(LEFT(B3466,FIND("_",B3466,1)-1)="ULGALLOC",LEFT(B3466,FIND("_",B3466,1)-1)="ULSPOOL"),LEFT(B3466,FIND("_",B3466,1)-1),VLOOKUP(LEFT(A3466,6),'Code Library'!$D$3:$E$200,2,0))&amp;"_"&amp;RIGHT(A3466,3)</f>
        <v>#VALUE!</v>
      </c>
      <c r="I3466" s="66">
        <f t="shared" si="54"/>
        <v>0</v>
      </c>
    </row>
    <row r="3467" spans="8:9">
      <c r="H3467" s="66" t="e">
        <f>IF(OR(LEFT(B3467,FIND("_",B3467,1)-1)="ULGALLOC",LEFT(B3467,FIND("_",B3467,1)-1)="ULSPOOL"),LEFT(B3467,FIND("_",B3467,1)-1),VLOOKUP(LEFT(A3467,6),'Code Library'!$D$3:$E$200,2,0))&amp;"_"&amp;RIGHT(A3467,3)</f>
        <v>#VALUE!</v>
      </c>
      <c r="I3467" s="66">
        <f t="shared" si="54"/>
        <v>0</v>
      </c>
    </row>
    <row r="3468" spans="8:9">
      <c r="H3468" s="66" t="e">
        <f>IF(OR(LEFT(B3468,FIND("_",B3468,1)-1)="ULGALLOC",LEFT(B3468,FIND("_",B3468,1)-1)="ULSPOOL"),LEFT(B3468,FIND("_",B3468,1)-1),VLOOKUP(LEFT(A3468,6),'Code Library'!$D$3:$E$200,2,0))&amp;"_"&amp;RIGHT(A3468,3)</f>
        <v>#VALUE!</v>
      </c>
      <c r="I3468" s="66">
        <f t="shared" si="54"/>
        <v>0</v>
      </c>
    </row>
    <row r="3469" spans="8:9">
      <c r="H3469" s="66" t="e">
        <f>IF(OR(LEFT(B3469,FIND("_",B3469,1)-1)="ULGALLOC",LEFT(B3469,FIND("_",B3469,1)-1)="ULSPOOL"),LEFT(B3469,FIND("_",B3469,1)-1),VLOOKUP(LEFT(A3469,6),'Code Library'!$D$3:$E$200,2,0))&amp;"_"&amp;RIGHT(A3469,3)</f>
        <v>#VALUE!</v>
      </c>
      <c r="I3469" s="66">
        <f t="shared" si="54"/>
        <v>0</v>
      </c>
    </row>
    <row r="3470" spans="8:9">
      <c r="H3470" s="66" t="e">
        <f>IF(OR(LEFT(B3470,FIND("_",B3470,1)-1)="ULGALLOC",LEFT(B3470,FIND("_",B3470,1)-1)="ULSPOOL"),LEFT(B3470,FIND("_",B3470,1)-1),VLOOKUP(LEFT(A3470,6),'Code Library'!$D$3:$E$200,2,0))&amp;"_"&amp;RIGHT(A3470,3)</f>
        <v>#VALUE!</v>
      </c>
      <c r="I3470" s="66">
        <f t="shared" si="54"/>
        <v>0</v>
      </c>
    </row>
    <row r="3471" spans="8:9">
      <c r="H3471" s="66" t="e">
        <f>IF(OR(LEFT(B3471,FIND("_",B3471,1)-1)="ULGALLOC",LEFT(B3471,FIND("_",B3471,1)-1)="ULSPOOL"),LEFT(B3471,FIND("_",B3471,1)-1),VLOOKUP(LEFT(A3471,6),'Code Library'!$D$3:$E$200,2,0))&amp;"_"&amp;RIGHT(A3471,3)</f>
        <v>#VALUE!</v>
      </c>
      <c r="I3471" s="66">
        <f t="shared" si="54"/>
        <v>0</v>
      </c>
    </row>
    <row r="3472" spans="8:9">
      <c r="H3472" s="66" t="e">
        <f>IF(OR(LEFT(B3472,FIND("_",B3472,1)-1)="ULGALLOC",LEFT(B3472,FIND("_",B3472,1)-1)="ULSPOOL"),LEFT(B3472,FIND("_",B3472,1)-1),VLOOKUP(LEFT(A3472,6),'Code Library'!$D$3:$E$200,2,0))&amp;"_"&amp;RIGHT(A3472,3)</f>
        <v>#VALUE!</v>
      </c>
      <c r="I3472" s="66">
        <f t="shared" si="54"/>
        <v>0</v>
      </c>
    </row>
    <row r="3473" spans="8:9">
      <c r="H3473" s="66" t="e">
        <f>IF(OR(LEFT(B3473,FIND("_",B3473,1)-1)="ULGALLOC",LEFT(B3473,FIND("_",B3473,1)-1)="ULSPOOL"),LEFT(B3473,FIND("_",B3473,1)-1),VLOOKUP(LEFT(A3473,6),'Code Library'!$D$3:$E$200,2,0))&amp;"_"&amp;RIGHT(A3473,3)</f>
        <v>#VALUE!</v>
      </c>
      <c r="I3473" s="66">
        <f t="shared" si="54"/>
        <v>0</v>
      </c>
    </row>
    <row r="3474" spans="8:9">
      <c r="H3474" s="66" t="e">
        <f>IF(OR(LEFT(B3474,FIND("_",B3474,1)-1)="ULGALLOC",LEFT(B3474,FIND("_",B3474,1)-1)="ULSPOOL"),LEFT(B3474,FIND("_",B3474,1)-1),VLOOKUP(LEFT(A3474,6),'Code Library'!$D$3:$E$200,2,0))&amp;"_"&amp;RIGHT(A3474,3)</f>
        <v>#VALUE!</v>
      </c>
      <c r="I3474" s="66">
        <f t="shared" si="54"/>
        <v>0</v>
      </c>
    </row>
    <row r="3475" spans="8:9">
      <c r="H3475" s="66" t="e">
        <f>IF(OR(LEFT(B3475,FIND("_",B3475,1)-1)="ULGALLOC",LEFT(B3475,FIND("_",B3475,1)-1)="ULSPOOL"),LEFT(B3475,FIND("_",B3475,1)-1),VLOOKUP(LEFT(A3475,6),'Code Library'!$D$3:$E$200,2,0))&amp;"_"&amp;RIGHT(A3475,3)</f>
        <v>#VALUE!</v>
      </c>
      <c r="I3475" s="66">
        <f t="shared" si="54"/>
        <v>0</v>
      </c>
    </row>
    <row r="3476" spans="8:9">
      <c r="H3476" s="66" t="e">
        <f>IF(OR(LEFT(B3476,FIND("_",B3476,1)-1)="ULGALLOC",LEFT(B3476,FIND("_",B3476,1)-1)="ULSPOOL"),LEFT(B3476,FIND("_",B3476,1)-1),VLOOKUP(LEFT(A3476,6),'Code Library'!$D$3:$E$200,2,0))&amp;"_"&amp;RIGHT(A3476,3)</f>
        <v>#VALUE!</v>
      </c>
      <c r="I3476" s="66">
        <f t="shared" si="54"/>
        <v>0</v>
      </c>
    </row>
    <row r="3477" spans="8:9">
      <c r="H3477" s="66" t="e">
        <f>IF(OR(LEFT(B3477,FIND("_",B3477,1)-1)="ULGALLOC",LEFT(B3477,FIND("_",B3477,1)-1)="ULSPOOL"),LEFT(B3477,FIND("_",B3477,1)-1),VLOOKUP(LEFT(A3477,6),'Code Library'!$D$3:$E$200,2,0))&amp;"_"&amp;RIGHT(A3477,3)</f>
        <v>#VALUE!</v>
      </c>
      <c r="I3477" s="66">
        <f t="shared" si="54"/>
        <v>0</v>
      </c>
    </row>
    <row r="3478" spans="8:9">
      <c r="H3478" s="66" t="e">
        <f>IF(OR(LEFT(B3478,FIND("_",B3478,1)-1)="ULGALLOC",LEFT(B3478,FIND("_",B3478,1)-1)="ULSPOOL"),LEFT(B3478,FIND("_",B3478,1)-1),VLOOKUP(LEFT(A3478,6),'Code Library'!$D$3:$E$200,2,0))&amp;"_"&amp;RIGHT(A3478,3)</f>
        <v>#VALUE!</v>
      </c>
      <c r="I3478" s="66">
        <f t="shared" si="54"/>
        <v>0</v>
      </c>
    </row>
    <row r="3479" spans="8:9">
      <c r="H3479" s="66" t="e">
        <f>IF(OR(LEFT(B3479,FIND("_",B3479,1)-1)="ULGALLOC",LEFT(B3479,FIND("_",B3479,1)-1)="ULSPOOL"),LEFT(B3479,FIND("_",B3479,1)-1),VLOOKUP(LEFT(A3479,6),'Code Library'!$D$3:$E$200,2,0))&amp;"_"&amp;RIGHT(A3479,3)</f>
        <v>#VALUE!</v>
      </c>
      <c r="I3479" s="66">
        <f t="shared" si="54"/>
        <v>0</v>
      </c>
    </row>
    <row r="3480" spans="8:9">
      <c r="H3480" s="66" t="e">
        <f>IF(OR(LEFT(B3480,FIND("_",B3480,1)-1)="ULGALLOC",LEFT(B3480,FIND("_",B3480,1)-1)="ULSPOOL"),LEFT(B3480,FIND("_",B3480,1)-1),VLOOKUP(LEFT(A3480,6),'Code Library'!$D$3:$E$200,2,0))&amp;"_"&amp;RIGHT(A3480,3)</f>
        <v>#VALUE!</v>
      </c>
      <c r="I3480" s="66">
        <f t="shared" si="54"/>
        <v>0</v>
      </c>
    </row>
    <row r="3481" spans="8:9">
      <c r="H3481" s="66" t="e">
        <f>IF(OR(LEFT(B3481,FIND("_",B3481,1)-1)="ULGALLOC",LEFT(B3481,FIND("_",B3481,1)-1)="ULSPOOL"),LEFT(B3481,FIND("_",B3481,1)-1),VLOOKUP(LEFT(A3481,6),'Code Library'!$D$3:$E$200,2,0))&amp;"_"&amp;RIGHT(A3481,3)</f>
        <v>#VALUE!</v>
      </c>
      <c r="I3481" s="66">
        <f t="shared" si="54"/>
        <v>0</v>
      </c>
    </row>
    <row r="3482" spans="8:9">
      <c r="H3482" s="66" t="e">
        <f>IF(OR(LEFT(B3482,FIND("_",B3482,1)-1)="ULGALLOC",LEFT(B3482,FIND("_",B3482,1)-1)="ULSPOOL"),LEFT(B3482,FIND("_",B3482,1)-1),VLOOKUP(LEFT(A3482,6),'Code Library'!$D$3:$E$200,2,0))&amp;"_"&amp;RIGHT(A3482,3)</f>
        <v>#VALUE!</v>
      </c>
      <c r="I3482" s="66">
        <f t="shared" si="54"/>
        <v>0</v>
      </c>
    </row>
    <row r="3483" spans="8:9">
      <c r="H3483" s="66" t="e">
        <f>IF(OR(LEFT(B3483,FIND("_",B3483,1)-1)="ULGALLOC",LEFT(B3483,FIND("_",B3483,1)-1)="ULSPOOL"),LEFT(B3483,FIND("_",B3483,1)-1),VLOOKUP(LEFT(A3483,6),'Code Library'!$D$3:$E$200,2,0))&amp;"_"&amp;RIGHT(A3483,3)</f>
        <v>#VALUE!</v>
      </c>
      <c r="I3483" s="66">
        <f t="shared" si="54"/>
        <v>0</v>
      </c>
    </row>
    <row r="3484" spans="8:9">
      <c r="H3484" s="66" t="e">
        <f>IF(OR(LEFT(B3484,FIND("_",B3484,1)-1)="ULGALLOC",LEFT(B3484,FIND("_",B3484,1)-1)="ULSPOOL"),LEFT(B3484,FIND("_",B3484,1)-1),VLOOKUP(LEFT(A3484,6),'Code Library'!$D$3:$E$200,2,0))&amp;"_"&amp;RIGHT(A3484,3)</f>
        <v>#VALUE!</v>
      </c>
      <c r="I3484" s="66">
        <f t="shared" si="54"/>
        <v>0</v>
      </c>
    </row>
    <row r="3485" spans="8:9">
      <c r="H3485" s="66" t="e">
        <f>IF(OR(LEFT(B3485,FIND("_",B3485,1)-1)="ULGALLOC",LEFT(B3485,FIND("_",B3485,1)-1)="ULSPOOL"),LEFT(B3485,FIND("_",B3485,1)-1),VLOOKUP(LEFT(A3485,6),'Code Library'!$D$3:$E$200,2,0))&amp;"_"&amp;RIGHT(A3485,3)</f>
        <v>#VALUE!</v>
      </c>
      <c r="I3485" s="66">
        <f t="shared" si="54"/>
        <v>0</v>
      </c>
    </row>
    <row r="3486" spans="8:9">
      <c r="H3486" s="66" t="e">
        <f>IF(OR(LEFT(B3486,FIND("_",B3486,1)-1)="ULGALLOC",LEFT(B3486,FIND("_",B3486,1)-1)="ULSPOOL"),LEFT(B3486,FIND("_",B3486,1)-1),VLOOKUP(LEFT(A3486,6),'Code Library'!$D$3:$E$200,2,0))&amp;"_"&amp;RIGHT(A3486,3)</f>
        <v>#VALUE!</v>
      </c>
      <c r="I3486" s="66">
        <f t="shared" si="54"/>
        <v>0</v>
      </c>
    </row>
    <row r="3487" spans="8:9">
      <c r="H3487" s="66" t="e">
        <f>IF(OR(LEFT(B3487,FIND("_",B3487,1)-1)="ULGALLOC",LEFT(B3487,FIND("_",B3487,1)-1)="ULSPOOL"),LEFT(B3487,FIND("_",B3487,1)-1),VLOOKUP(LEFT(A3487,6),'Code Library'!$D$3:$E$200,2,0))&amp;"_"&amp;RIGHT(A3487,3)</f>
        <v>#VALUE!</v>
      </c>
      <c r="I3487" s="66">
        <f t="shared" si="54"/>
        <v>0</v>
      </c>
    </row>
    <row r="3488" spans="8:9">
      <c r="H3488" s="66" t="e">
        <f>IF(OR(LEFT(B3488,FIND("_",B3488,1)-1)="ULGALLOC",LEFT(B3488,FIND("_",B3488,1)-1)="ULSPOOL"),LEFT(B3488,FIND("_",B3488,1)-1),VLOOKUP(LEFT(A3488,6),'Code Library'!$D$3:$E$200,2,0))&amp;"_"&amp;RIGHT(A3488,3)</f>
        <v>#VALUE!</v>
      </c>
      <c r="I3488" s="66">
        <f t="shared" si="54"/>
        <v>0</v>
      </c>
    </row>
    <row r="3489" spans="8:9">
      <c r="H3489" s="66" t="e">
        <f>IF(OR(LEFT(B3489,FIND("_",B3489,1)-1)="ULGALLOC",LEFT(B3489,FIND("_",B3489,1)-1)="ULSPOOL"),LEFT(B3489,FIND("_",B3489,1)-1),VLOOKUP(LEFT(A3489,6),'Code Library'!$D$3:$E$200,2,0))&amp;"_"&amp;RIGHT(A3489,3)</f>
        <v>#VALUE!</v>
      </c>
      <c r="I3489" s="66">
        <f t="shared" si="54"/>
        <v>0</v>
      </c>
    </row>
    <row r="3490" spans="8:9">
      <c r="H3490" s="66" t="e">
        <f>IF(OR(LEFT(B3490,FIND("_",B3490,1)-1)="ULGALLOC",LEFT(B3490,FIND("_",B3490,1)-1)="ULSPOOL"),LEFT(B3490,FIND("_",B3490,1)-1),VLOOKUP(LEFT(A3490,6),'Code Library'!$D$3:$E$200,2,0))&amp;"_"&amp;RIGHT(A3490,3)</f>
        <v>#VALUE!</v>
      </c>
      <c r="I3490" s="66">
        <f t="shared" si="54"/>
        <v>0</v>
      </c>
    </row>
    <row r="3491" spans="8:9">
      <c r="H3491" s="66" t="e">
        <f>IF(OR(LEFT(B3491,FIND("_",B3491,1)-1)="ULGALLOC",LEFT(B3491,FIND("_",B3491,1)-1)="ULSPOOL"),LEFT(B3491,FIND("_",B3491,1)-1),VLOOKUP(LEFT(A3491,6),'Code Library'!$D$3:$E$200,2,0))&amp;"_"&amp;RIGHT(A3491,3)</f>
        <v>#VALUE!</v>
      </c>
      <c r="I3491" s="66">
        <f t="shared" si="54"/>
        <v>0</v>
      </c>
    </row>
    <row r="3492" spans="8:9">
      <c r="H3492" s="66" t="e">
        <f>IF(OR(LEFT(B3492,FIND("_",B3492,1)-1)="ULGALLOC",LEFT(B3492,FIND("_",B3492,1)-1)="ULSPOOL"),LEFT(B3492,FIND("_",B3492,1)-1),VLOOKUP(LEFT(A3492,6),'Code Library'!$D$3:$E$200,2,0))&amp;"_"&amp;RIGHT(A3492,3)</f>
        <v>#VALUE!</v>
      </c>
      <c r="I3492" s="66">
        <f t="shared" si="54"/>
        <v>0</v>
      </c>
    </row>
    <row r="3493" spans="8:9">
      <c r="H3493" s="66" t="e">
        <f>IF(OR(LEFT(B3493,FIND("_",B3493,1)-1)="ULGALLOC",LEFT(B3493,FIND("_",B3493,1)-1)="ULSPOOL"),LEFT(B3493,FIND("_",B3493,1)-1),VLOOKUP(LEFT(A3493,6),'Code Library'!$D$3:$E$200,2,0))&amp;"_"&amp;RIGHT(A3493,3)</f>
        <v>#VALUE!</v>
      </c>
      <c r="I3493" s="66">
        <f t="shared" si="54"/>
        <v>0</v>
      </c>
    </row>
    <row r="3494" spans="8:9">
      <c r="H3494" s="66" t="e">
        <f>IF(OR(LEFT(B3494,FIND("_",B3494,1)-1)="ULGALLOC",LEFT(B3494,FIND("_",B3494,1)-1)="ULSPOOL"),LEFT(B3494,FIND("_",B3494,1)-1),VLOOKUP(LEFT(A3494,6),'Code Library'!$D$3:$E$200,2,0))&amp;"_"&amp;RIGHT(A3494,3)</f>
        <v>#VALUE!</v>
      </c>
      <c r="I3494" s="66">
        <f t="shared" si="54"/>
        <v>0</v>
      </c>
    </row>
    <row r="3495" spans="8:9">
      <c r="H3495" s="66" t="e">
        <f>IF(OR(LEFT(B3495,FIND("_",B3495,1)-1)="ULGALLOC",LEFT(B3495,FIND("_",B3495,1)-1)="ULSPOOL"),LEFT(B3495,FIND("_",B3495,1)-1),VLOOKUP(LEFT(A3495,6),'Code Library'!$D$3:$E$200,2,0))&amp;"_"&amp;RIGHT(A3495,3)</f>
        <v>#VALUE!</v>
      </c>
      <c r="I3495" s="66">
        <f t="shared" si="54"/>
        <v>0</v>
      </c>
    </row>
    <row r="3496" spans="8:9">
      <c r="H3496" s="66" t="e">
        <f>IF(OR(LEFT(B3496,FIND("_",B3496,1)-1)="ULGALLOC",LEFT(B3496,FIND("_",B3496,1)-1)="ULSPOOL"),LEFT(B3496,FIND("_",B3496,1)-1),VLOOKUP(LEFT(A3496,6),'Code Library'!$D$3:$E$200,2,0))&amp;"_"&amp;RIGHT(A3496,3)</f>
        <v>#VALUE!</v>
      </c>
      <c r="I3496" s="66">
        <f t="shared" si="54"/>
        <v>0</v>
      </c>
    </row>
    <row r="3497" spans="8:9">
      <c r="H3497" s="66" t="e">
        <f>IF(OR(LEFT(B3497,FIND("_",B3497,1)-1)="ULGALLOC",LEFT(B3497,FIND("_",B3497,1)-1)="ULSPOOL"),LEFT(B3497,FIND("_",B3497,1)-1),VLOOKUP(LEFT(A3497,6),'Code Library'!$D$3:$E$200,2,0))&amp;"_"&amp;RIGHT(A3497,3)</f>
        <v>#VALUE!</v>
      </c>
      <c r="I3497" s="66">
        <f t="shared" si="54"/>
        <v>0</v>
      </c>
    </row>
    <row r="3498" spans="8:9">
      <c r="H3498" s="66" t="e">
        <f>IF(OR(LEFT(B3498,FIND("_",B3498,1)-1)="ULGALLOC",LEFT(B3498,FIND("_",B3498,1)-1)="ULSPOOL"),LEFT(B3498,FIND("_",B3498,1)-1),VLOOKUP(LEFT(A3498,6),'Code Library'!$D$3:$E$200,2,0))&amp;"_"&amp;RIGHT(A3498,3)</f>
        <v>#VALUE!</v>
      </c>
      <c r="I3498" s="66">
        <f t="shared" si="54"/>
        <v>0</v>
      </c>
    </row>
    <row r="3499" spans="8:9">
      <c r="H3499" s="66" t="e">
        <f>IF(OR(LEFT(B3499,FIND("_",B3499,1)-1)="ULGALLOC",LEFT(B3499,FIND("_",B3499,1)-1)="ULSPOOL"),LEFT(B3499,FIND("_",B3499,1)-1),VLOOKUP(LEFT(A3499,6),'Code Library'!$D$3:$E$200,2,0))&amp;"_"&amp;RIGHT(A3499,3)</f>
        <v>#VALUE!</v>
      </c>
      <c r="I3499" s="66">
        <f t="shared" si="54"/>
        <v>0</v>
      </c>
    </row>
    <row r="3500" spans="8:9">
      <c r="H3500" s="66" t="e">
        <f>IF(OR(LEFT(B3500,FIND("_",B3500,1)-1)="ULGALLOC",LEFT(B3500,FIND("_",B3500,1)-1)="ULSPOOL"),LEFT(B3500,FIND("_",B3500,1)-1),VLOOKUP(LEFT(A3500,6),'Code Library'!$D$3:$E$200,2,0))&amp;"_"&amp;RIGHT(A3500,3)</f>
        <v>#VALUE!</v>
      </c>
      <c r="I3500" s="66">
        <f t="shared" si="54"/>
        <v>0</v>
      </c>
    </row>
    <row r="3501" spans="8:9">
      <c r="H3501" s="66" t="e">
        <f>IF(OR(LEFT(B3501,FIND("_",B3501,1)-1)="ULGALLOC",LEFT(B3501,FIND("_",B3501,1)-1)="ULSPOOL"),LEFT(B3501,FIND("_",B3501,1)-1),VLOOKUP(LEFT(A3501,6),'Code Library'!$D$3:$E$200,2,0))&amp;"_"&amp;RIGHT(A3501,3)</f>
        <v>#VALUE!</v>
      </c>
      <c r="I3501" s="66">
        <f t="shared" si="54"/>
        <v>0</v>
      </c>
    </row>
    <row r="3502" spans="8:9">
      <c r="H3502" s="66" t="e">
        <f>IF(OR(LEFT(B3502,FIND("_",B3502,1)-1)="ULGALLOC",LEFT(B3502,FIND("_",B3502,1)-1)="ULSPOOL"),LEFT(B3502,FIND("_",B3502,1)-1),VLOOKUP(LEFT(A3502,6),'Code Library'!$D$3:$E$200,2,0))&amp;"_"&amp;RIGHT(A3502,3)</f>
        <v>#VALUE!</v>
      </c>
      <c r="I3502" s="66">
        <f t="shared" si="54"/>
        <v>0</v>
      </c>
    </row>
    <row r="3503" spans="8:9">
      <c r="H3503" s="66" t="e">
        <f>IF(OR(LEFT(B3503,FIND("_",B3503,1)-1)="ULGALLOC",LEFT(B3503,FIND("_",B3503,1)-1)="ULSPOOL"),LEFT(B3503,FIND("_",B3503,1)-1),VLOOKUP(LEFT(A3503,6),'Code Library'!$D$3:$E$200,2,0))&amp;"_"&amp;RIGHT(A3503,3)</f>
        <v>#VALUE!</v>
      </c>
      <c r="I3503" s="66">
        <f t="shared" si="54"/>
        <v>0</v>
      </c>
    </row>
    <row r="3504" spans="8:9">
      <c r="H3504" s="66" t="e">
        <f>IF(OR(LEFT(B3504,FIND("_",B3504,1)-1)="ULGALLOC",LEFT(B3504,FIND("_",B3504,1)-1)="ULSPOOL"),LEFT(B3504,FIND("_",B3504,1)-1),VLOOKUP(LEFT(A3504,6),'Code Library'!$D$3:$E$200,2,0))&amp;"_"&amp;RIGHT(A3504,3)</f>
        <v>#VALUE!</v>
      </c>
      <c r="I3504" s="66">
        <f t="shared" si="54"/>
        <v>0</v>
      </c>
    </row>
    <row r="3505" spans="8:9">
      <c r="H3505" s="66" t="e">
        <f>IF(OR(LEFT(B3505,FIND("_",B3505,1)-1)="ULGALLOC",LEFT(B3505,FIND("_",B3505,1)-1)="ULSPOOL"),LEFT(B3505,FIND("_",B3505,1)-1),VLOOKUP(LEFT(A3505,6),'Code Library'!$D$3:$E$200,2,0))&amp;"_"&amp;RIGHT(A3505,3)</f>
        <v>#VALUE!</v>
      </c>
      <c r="I3505" s="66">
        <f t="shared" si="54"/>
        <v>0</v>
      </c>
    </row>
    <row r="3506" spans="8:9">
      <c r="H3506" s="66" t="e">
        <f>IF(OR(LEFT(B3506,FIND("_",B3506,1)-1)="ULGALLOC",LEFT(B3506,FIND("_",B3506,1)-1)="ULSPOOL"),LEFT(B3506,FIND("_",B3506,1)-1),VLOOKUP(LEFT(A3506,6),'Code Library'!$D$3:$E$200,2,0))&amp;"_"&amp;RIGHT(A3506,3)</f>
        <v>#VALUE!</v>
      </c>
      <c r="I3506" s="66">
        <f t="shared" si="54"/>
        <v>0</v>
      </c>
    </row>
    <row r="3507" spans="8:9">
      <c r="H3507" s="66" t="e">
        <f>IF(OR(LEFT(B3507,FIND("_",B3507,1)-1)="ULGALLOC",LEFT(B3507,FIND("_",B3507,1)-1)="ULSPOOL"),LEFT(B3507,FIND("_",B3507,1)-1),VLOOKUP(LEFT(A3507,6),'Code Library'!$D$3:$E$200,2,0))&amp;"_"&amp;RIGHT(A3507,3)</f>
        <v>#VALUE!</v>
      </c>
      <c r="I3507" s="66">
        <f t="shared" si="54"/>
        <v>0</v>
      </c>
    </row>
    <row r="3508" spans="8:9">
      <c r="H3508" s="66" t="e">
        <f>IF(OR(LEFT(B3508,FIND("_",B3508,1)-1)="ULGALLOC",LEFT(B3508,FIND("_",B3508,1)-1)="ULSPOOL"),LEFT(B3508,FIND("_",B3508,1)-1),VLOOKUP(LEFT(A3508,6),'Code Library'!$D$3:$E$200,2,0))&amp;"_"&amp;RIGHT(A3508,3)</f>
        <v>#VALUE!</v>
      </c>
      <c r="I3508" s="66">
        <f t="shared" si="54"/>
        <v>0</v>
      </c>
    </row>
    <row r="3509" spans="8:9">
      <c r="H3509" s="66" t="e">
        <f>IF(OR(LEFT(B3509,FIND("_",B3509,1)-1)="ULGALLOC",LEFT(B3509,FIND("_",B3509,1)-1)="ULSPOOL"),LEFT(B3509,FIND("_",B3509,1)-1),VLOOKUP(LEFT(A3509,6),'Code Library'!$D$3:$E$200,2,0))&amp;"_"&amp;RIGHT(A3509,3)</f>
        <v>#VALUE!</v>
      </c>
      <c r="I3509" s="66">
        <f t="shared" si="54"/>
        <v>0</v>
      </c>
    </row>
    <row r="3510" spans="8:9">
      <c r="H3510" s="66" t="e">
        <f>IF(OR(LEFT(B3510,FIND("_",B3510,1)-1)="ULGALLOC",LEFT(B3510,FIND("_",B3510,1)-1)="ULSPOOL"),LEFT(B3510,FIND("_",B3510,1)-1),VLOOKUP(LEFT(A3510,6),'Code Library'!$D$3:$E$200,2,0))&amp;"_"&amp;RIGHT(A3510,3)</f>
        <v>#VALUE!</v>
      </c>
      <c r="I3510" s="66">
        <f t="shared" si="54"/>
        <v>0</v>
      </c>
    </row>
    <row r="3511" spans="8:9">
      <c r="H3511" s="66" t="e">
        <f>IF(OR(LEFT(B3511,FIND("_",B3511,1)-1)="ULGALLOC",LEFT(B3511,FIND("_",B3511,1)-1)="ULSPOOL"),LEFT(B3511,FIND("_",B3511,1)-1),VLOOKUP(LEFT(A3511,6),'Code Library'!$D$3:$E$200,2,0))&amp;"_"&amp;RIGHT(A3511,3)</f>
        <v>#VALUE!</v>
      </c>
      <c r="I3511" s="66">
        <f t="shared" si="54"/>
        <v>0</v>
      </c>
    </row>
    <row r="3512" spans="8:9">
      <c r="H3512" s="66" t="e">
        <f>IF(OR(LEFT(B3512,FIND("_",B3512,1)-1)="ULGALLOC",LEFT(B3512,FIND("_",B3512,1)-1)="ULSPOOL"),LEFT(B3512,FIND("_",B3512,1)-1),VLOOKUP(LEFT(A3512,6),'Code Library'!$D$3:$E$200,2,0))&amp;"_"&amp;RIGHT(A3512,3)</f>
        <v>#VALUE!</v>
      </c>
      <c r="I3512" s="66">
        <f t="shared" si="54"/>
        <v>0</v>
      </c>
    </row>
    <row r="3513" spans="8:9">
      <c r="H3513" s="66" t="e">
        <f>IF(OR(LEFT(B3513,FIND("_",B3513,1)-1)="ULGALLOC",LEFT(B3513,FIND("_",B3513,1)-1)="ULSPOOL"),LEFT(B3513,FIND("_",B3513,1)-1),VLOOKUP(LEFT(A3513,6),'Code Library'!$D$3:$E$200,2,0))&amp;"_"&amp;RIGHT(A3513,3)</f>
        <v>#VALUE!</v>
      </c>
      <c r="I3513" s="66">
        <f t="shared" si="54"/>
        <v>0</v>
      </c>
    </row>
    <row r="3514" spans="8:9">
      <c r="H3514" s="66" t="e">
        <f>IF(OR(LEFT(B3514,FIND("_",B3514,1)-1)="ULGALLOC",LEFT(B3514,FIND("_",B3514,1)-1)="ULSPOOL"),LEFT(B3514,FIND("_",B3514,1)-1),VLOOKUP(LEFT(A3514,6),'Code Library'!$D$3:$E$200,2,0))&amp;"_"&amp;RIGHT(A3514,3)</f>
        <v>#VALUE!</v>
      </c>
      <c r="I3514" s="66">
        <f t="shared" si="54"/>
        <v>0</v>
      </c>
    </row>
    <row r="3515" spans="8:9">
      <c r="H3515" s="66" t="e">
        <f>IF(OR(LEFT(B3515,FIND("_",B3515,1)-1)="ULGALLOC",LEFT(B3515,FIND("_",B3515,1)-1)="ULSPOOL"),LEFT(B3515,FIND("_",B3515,1)-1),VLOOKUP(LEFT(A3515,6),'Code Library'!$D$3:$E$200,2,0))&amp;"_"&amp;RIGHT(A3515,3)</f>
        <v>#VALUE!</v>
      </c>
      <c r="I3515" s="66">
        <f t="shared" si="54"/>
        <v>0</v>
      </c>
    </row>
    <row r="3516" spans="8:9">
      <c r="H3516" s="66" t="e">
        <f>IF(OR(LEFT(B3516,FIND("_",B3516,1)-1)="ULGALLOC",LEFT(B3516,FIND("_",B3516,1)-1)="ULSPOOL"),LEFT(B3516,FIND("_",B3516,1)-1),VLOOKUP(LEFT(A3516,6),'Code Library'!$D$3:$E$200,2,0))&amp;"_"&amp;RIGHT(A3516,3)</f>
        <v>#VALUE!</v>
      </c>
      <c r="I3516" s="66">
        <f t="shared" si="54"/>
        <v>0</v>
      </c>
    </row>
    <row r="3517" spans="8:9">
      <c r="H3517" s="66" t="e">
        <f>IF(OR(LEFT(B3517,FIND("_",B3517,1)-1)="ULGALLOC",LEFT(B3517,FIND("_",B3517,1)-1)="ULSPOOL"),LEFT(B3517,FIND("_",B3517,1)-1),VLOOKUP(LEFT(A3517,6),'Code Library'!$D$3:$E$200,2,0))&amp;"_"&amp;RIGHT(A3517,3)</f>
        <v>#VALUE!</v>
      </c>
      <c r="I3517" s="66">
        <f t="shared" si="54"/>
        <v>0</v>
      </c>
    </row>
    <row r="3518" spans="8:9">
      <c r="H3518" s="66" t="e">
        <f>IF(OR(LEFT(B3518,FIND("_",B3518,1)-1)="ULGALLOC",LEFT(B3518,FIND("_",B3518,1)-1)="ULSPOOL"),LEFT(B3518,FIND("_",B3518,1)-1),VLOOKUP(LEFT(A3518,6),'Code Library'!$D$3:$E$200,2,0))&amp;"_"&amp;RIGHT(A3518,3)</f>
        <v>#VALUE!</v>
      </c>
      <c r="I3518" s="66">
        <f t="shared" si="54"/>
        <v>0</v>
      </c>
    </row>
    <row r="3519" spans="8:9">
      <c r="H3519" s="66" t="e">
        <f>IF(OR(LEFT(B3519,FIND("_",B3519,1)-1)="ULGALLOC",LEFT(B3519,FIND("_",B3519,1)-1)="ULSPOOL"),LEFT(B3519,FIND("_",B3519,1)-1),VLOOKUP(LEFT(A3519,6),'Code Library'!$D$3:$E$200,2,0))&amp;"_"&amp;RIGHT(A3519,3)</f>
        <v>#VALUE!</v>
      </c>
      <c r="I3519" s="66">
        <f t="shared" si="54"/>
        <v>0</v>
      </c>
    </row>
    <row r="3520" spans="8:9">
      <c r="H3520" s="66" t="e">
        <f>IF(OR(LEFT(B3520,FIND("_",B3520,1)-1)="ULGALLOC",LEFT(B3520,FIND("_",B3520,1)-1)="ULSPOOL"),LEFT(B3520,FIND("_",B3520,1)-1),VLOOKUP(LEFT(A3520,6),'Code Library'!$D$3:$E$200,2,0))&amp;"_"&amp;RIGHT(A3520,3)</f>
        <v>#VALUE!</v>
      </c>
      <c r="I3520" s="66">
        <f t="shared" si="54"/>
        <v>0</v>
      </c>
    </row>
    <row r="3521" spans="8:9">
      <c r="H3521" s="66" t="e">
        <f>IF(OR(LEFT(B3521,FIND("_",B3521,1)-1)="ULGALLOC",LEFT(B3521,FIND("_",B3521,1)-1)="ULSPOOL"),LEFT(B3521,FIND("_",B3521,1)-1),VLOOKUP(LEFT(A3521,6),'Code Library'!$D$3:$E$200,2,0))&amp;"_"&amp;RIGHT(A3521,3)</f>
        <v>#VALUE!</v>
      </c>
      <c r="I3521" s="66">
        <f t="shared" si="54"/>
        <v>0</v>
      </c>
    </row>
    <row r="3522" spans="8:9">
      <c r="H3522" s="66" t="e">
        <f>IF(OR(LEFT(B3522,FIND("_",B3522,1)-1)="ULGALLOC",LEFT(B3522,FIND("_",B3522,1)-1)="ULSPOOL"),LEFT(B3522,FIND("_",B3522,1)-1),VLOOKUP(LEFT(A3522,6),'Code Library'!$D$3:$E$200,2,0))&amp;"_"&amp;RIGHT(A3522,3)</f>
        <v>#VALUE!</v>
      </c>
      <c r="I3522" s="66">
        <f t="shared" si="54"/>
        <v>0</v>
      </c>
    </row>
    <row r="3523" spans="8:9">
      <c r="H3523" s="66" t="e">
        <f>IF(OR(LEFT(B3523,FIND("_",B3523,1)-1)="ULGALLOC",LEFT(B3523,FIND("_",B3523,1)-1)="ULSPOOL"),LEFT(B3523,FIND("_",B3523,1)-1),VLOOKUP(LEFT(A3523,6),'Code Library'!$D$3:$E$200,2,0))&amp;"_"&amp;RIGHT(A3523,3)</f>
        <v>#VALUE!</v>
      </c>
      <c r="I3523" s="66">
        <f t="shared" ref="I3523:I3586" si="55">A3523</f>
        <v>0</v>
      </c>
    </row>
    <row r="3524" spans="8:9">
      <c r="H3524" s="66" t="e">
        <f>IF(OR(LEFT(B3524,FIND("_",B3524,1)-1)="ULGALLOC",LEFT(B3524,FIND("_",B3524,1)-1)="ULSPOOL"),LEFT(B3524,FIND("_",B3524,1)-1),VLOOKUP(LEFT(A3524,6),'Code Library'!$D$3:$E$200,2,0))&amp;"_"&amp;RIGHT(A3524,3)</f>
        <v>#VALUE!</v>
      </c>
      <c r="I3524" s="66">
        <f t="shared" si="55"/>
        <v>0</v>
      </c>
    </row>
    <row r="3525" spans="8:9">
      <c r="H3525" s="66" t="e">
        <f>IF(OR(LEFT(B3525,FIND("_",B3525,1)-1)="ULGALLOC",LEFT(B3525,FIND("_",B3525,1)-1)="ULSPOOL"),LEFT(B3525,FIND("_",B3525,1)-1),VLOOKUP(LEFT(A3525,6),'Code Library'!$D$3:$E$200,2,0))&amp;"_"&amp;RIGHT(A3525,3)</f>
        <v>#VALUE!</v>
      </c>
      <c r="I3525" s="66">
        <f t="shared" si="55"/>
        <v>0</v>
      </c>
    </row>
    <row r="3526" spans="8:9">
      <c r="H3526" s="66" t="e">
        <f>IF(OR(LEFT(B3526,FIND("_",B3526,1)-1)="ULGALLOC",LEFT(B3526,FIND("_",B3526,1)-1)="ULSPOOL"),LEFT(B3526,FIND("_",B3526,1)-1),VLOOKUP(LEFT(A3526,6),'Code Library'!$D$3:$E$200,2,0))&amp;"_"&amp;RIGHT(A3526,3)</f>
        <v>#VALUE!</v>
      </c>
      <c r="I3526" s="66">
        <f t="shared" si="55"/>
        <v>0</v>
      </c>
    </row>
    <row r="3527" spans="8:9">
      <c r="H3527" s="66" t="e">
        <f>IF(OR(LEFT(B3527,FIND("_",B3527,1)-1)="ULGALLOC",LEFT(B3527,FIND("_",B3527,1)-1)="ULSPOOL"),LEFT(B3527,FIND("_",B3527,1)-1),VLOOKUP(LEFT(A3527,6),'Code Library'!$D$3:$E$200,2,0))&amp;"_"&amp;RIGHT(A3527,3)</f>
        <v>#VALUE!</v>
      </c>
      <c r="I3527" s="66">
        <f t="shared" si="55"/>
        <v>0</v>
      </c>
    </row>
    <row r="3528" spans="8:9">
      <c r="H3528" s="66" t="e">
        <f>IF(OR(LEFT(B3528,FIND("_",B3528,1)-1)="ULGALLOC",LEFT(B3528,FIND("_",B3528,1)-1)="ULSPOOL"),LEFT(B3528,FIND("_",B3528,1)-1),VLOOKUP(LEFT(A3528,6),'Code Library'!$D$3:$E$200,2,0))&amp;"_"&amp;RIGHT(A3528,3)</f>
        <v>#VALUE!</v>
      </c>
      <c r="I3528" s="66">
        <f t="shared" si="55"/>
        <v>0</v>
      </c>
    </row>
    <row r="3529" spans="8:9">
      <c r="H3529" s="66" t="e">
        <f>IF(OR(LEFT(B3529,FIND("_",B3529,1)-1)="ULGALLOC",LEFT(B3529,FIND("_",B3529,1)-1)="ULSPOOL"),LEFT(B3529,FIND("_",B3529,1)-1),VLOOKUP(LEFT(A3529,6),'Code Library'!$D$3:$E$200,2,0))&amp;"_"&amp;RIGHT(A3529,3)</f>
        <v>#VALUE!</v>
      </c>
      <c r="I3529" s="66">
        <f t="shared" si="55"/>
        <v>0</v>
      </c>
    </row>
    <row r="3530" spans="8:9">
      <c r="H3530" s="66" t="e">
        <f>IF(OR(LEFT(B3530,FIND("_",B3530,1)-1)="ULGALLOC",LEFT(B3530,FIND("_",B3530,1)-1)="ULSPOOL"),LEFT(B3530,FIND("_",B3530,1)-1),VLOOKUP(LEFT(A3530,6),'Code Library'!$D$3:$E$200,2,0))&amp;"_"&amp;RIGHT(A3530,3)</f>
        <v>#VALUE!</v>
      </c>
      <c r="I3530" s="66">
        <f t="shared" si="55"/>
        <v>0</v>
      </c>
    </row>
    <row r="3531" spans="8:9">
      <c r="H3531" s="66" t="e">
        <f>IF(OR(LEFT(B3531,FIND("_",B3531,1)-1)="ULGALLOC",LEFT(B3531,FIND("_",B3531,1)-1)="ULSPOOL"),LEFT(B3531,FIND("_",B3531,1)-1),VLOOKUP(LEFT(A3531,6),'Code Library'!$D$3:$E$200,2,0))&amp;"_"&amp;RIGHT(A3531,3)</f>
        <v>#VALUE!</v>
      </c>
      <c r="I3531" s="66">
        <f t="shared" si="55"/>
        <v>0</v>
      </c>
    </row>
    <row r="3532" spans="8:9">
      <c r="H3532" s="66" t="e">
        <f>IF(OR(LEFT(B3532,FIND("_",B3532,1)-1)="ULGALLOC",LEFT(B3532,FIND("_",B3532,1)-1)="ULSPOOL"),LEFT(B3532,FIND("_",B3532,1)-1),VLOOKUP(LEFT(A3532,6),'Code Library'!$D$3:$E$200,2,0))&amp;"_"&amp;RIGHT(A3532,3)</f>
        <v>#VALUE!</v>
      </c>
      <c r="I3532" s="66">
        <f t="shared" si="55"/>
        <v>0</v>
      </c>
    </row>
    <row r="3533" spans="8:9">
      <c r="H3533" s="66" t="e">
        <f>IF(OR(LEFT(B3533,FIND("_",B3533,1)-1)="ULGALLOC",LEFT(B3533,FIND("_",B3533,1)-1)="ULSPOOL"),LEFT(B3533,FIND("_",B3533,1)-1),VLOOKUP(LEFT(A3533,6),'Code Library'!$D$3:$E$200,2,0))&amp;"_"&amp;RIGHT(A3533,3)</f>
        <v>#VALUE!</v>
      </c>
      <c r="I3533" s="66">
        <f t="shared" si="55"/>
        <v>0</v>
      </c>
    </row>
    <row r="3534" spans="8:9">
      <c r="H3534" s="66" t="e">
        <f>IF(OR(LEFT(B3534,FIND("_",B3534,1)-1)="ULGALLOC",LEFT(B3534,FIND("_",B3534,1)-1)="ULSPOOL"),LEFT(B3534,FIND("_",B3534,1)-1),VLOOKUP(LEFT(A3534,6),'Code Library'!$D$3:$E$200,2,0))&amp;"_"&amp;RIGHT(A3534,3)</f>
        <v>#VALUE!</v>
      </c>
      <c r="I3534" s="66">
        <f t="shared" si="55"/>
        <v>0</v>
      </c>
    </row>
    <row r="3535" spans="8:9">
      <c r="H3535" s="66" t="e">
        <f>IF(OR(LEFT(B3535,FIND("_",B3535,1)-1)="ULGALLOC",LEFT(B3535,FIND("_",B3535,1)-1)="ULSPOOL"),LEFT(B3535,FIND("_",B3535,1)-1),VLOOKUP(LEFT(A3535,6),'Code Library'!$D$3:$E$200,2,0))&amp;"_"&amp;RIGHT(A3535,3)</f>
        <v>#VALUE!</v>
      </c>
      <c r="I3535" s="66">
        <f t="shared" si="55"/>
        <v>0</v>
      </c>
    </row>
    <row r="3536" spans="8:9">
      <c r="H3536" s="66" t="e">
        <f>IF(OR(LEFT(B3536,FIND("_",B3536,1)-1)="ULGALLOC",LEFT(B3536,FIND("_",B3536,1)-1)="ULSPOOL"),LEFT(B3536,FIND("_",B3536,1)-1),VLOOKUP(LEFT(A3536,6),'Code Library'!$D$3:$E$200,2,0))&amp;"_"&amp;RIGHT(A3536,3)</f>
        <v>#VALUE!</v>
      </c>
      <c r="I3536" s="66">
        <f t="shared" si="55"/>
        <v>0</v>
      </c>
    </row>
    <row r="3537" spans="8:9">
      <c r="H3537" s="66" t="e">
        <f>IF(OR(LEFT(B3537,FIND("_",B3537,1)-1)="ULGALLOC",LEFT(B3537,FIND("_",B3537,1)-1)="ULSPOOL"),LEFT(B3537,FIND("_",B3537,1)-1),VLOOKUP(LEFT(A3537,6),'Code Library'!$D$3:$E$200,2,0))&amp;"_"&amp;RIGHT(A3537,3)</f>
        <v>#VALUE!</v>
      </c>
      <c r="I3537" s="66">
        <f t="shared" si="55"/>
        <v>0</v>
      </c>
    </row>
    <row r="3538" spans="8:9">
      <c r="H3538" s="66" t="e">
        <f>IF(OR(LEFT(B3538,FIND("_",B3538,1)-1)="ULGALLOC",LEFT(B3538,FIND("_",B3538,1)-1)="ULSPOOL"),LEFT(B3538,FIND("_",B3538,1)-1),VLOOKUP(LEFT(A3538,6),'Code Library'!$D$3:$E$200,2,0))&amp;"_"&amp;RIGHT(A3538,3)</f>
        <v>#VALUE!</v>
      </c>
      <c r="I3538" s="66">
        <f t="shared" si="55"/>
        <v>0</v>
      </c>
    </row>
    <row r="3539" spans="8:9">
      <c r="H3539" s="66" t="e">
        <f>IF(OR(LEFT(B3539,FIND("_",B3539,1)-1)="ULGALLOC",LEFT(B3539,FIND("_",B3539,1)-1)="ULSPOOL"),LEFT(B3539,FIND("_",B3539,1)-1),VLOOKUP(LEFT(A3539,6),'Code Library'!$D$3:$E$200,2,0))&amp;"_"&amp;RIGHT(A3539,3)</f>
        <v>#VALUE!</v>
      </c>
      <c r="I3539" s="66">
        <f t="shared" si="55"/>
        <v>0</v>
      </c>
    </row>
    <row r="3540" spans="8:9">
      <c r="H3540" s="66" t="e">
        <f>IF(OR(LEFT(B3540,FIND("_",B3540,1)-1)="ULGALLOC",LEFT(B3540,FIND("_",B3540,1)-1)="ULSPOOL"),LEFT(B3540,FIND("_",B3540,1)-1),VLOOKUP(LEFT(A3540,6),'Code Library'!$D$3:$E$200,2,0))&amp;"_"&amp;RIGHT(A3540,3)</f>
        <v>#VALUE!</v>
      </c>
      <c r="I3540" s="66">
        <f t="shared" si="55"/>
        <v>0</v>
      </c>
    </row>
    <row r="3541" spans="8:9">
      <c r="H3541" s="66" t="e">
        <f>IF(OR(LEFT(B3541,FIND("_",B3541,1)-1)="ULGALLOC",LEFT(B3541,FIND("_",B3541,1)-1)="ULSPOOL"),LEFT(B3541,FIND("_",B3541,1)-1),VLOOKUP(LEFT(A3541,6),'Code Library'!$D$3:$E$200,2,0))&amp;"_"&amp;RIGHT(A3541,3)</f>
        <v>#VALUE!</v>
      </c>
      <c r="I3541" s="66">
        <f t="shared" si="55"/>
        <v>0</v>
      </c>
    </row>
    <row r="3542" spans="8:9">
      <c r="H3542" s="66" t="e">
        <f>IF(OR(LEFT(B3542,FIND("_",B3542,1)-1)="ULGALLOC",LEFT(B3542,FIND("_",B3542,1)-1)="ULSPOOL"),LEFT(B3542,FIND("_",B3542,1)-1),VLOOKUP(LEFT(A3542,6),'Code Library'!$D$3:$E$200,2,0))&amp;"_"&amp;RIGHT(A3542,3)</f>
        <v>#VALUE!</v>
      </c>
      <c r="I3542" s="66">
        <f t="shared" si="55"/>
        <v>0</v>
      </c>
    </row>
    <row r="3543" spans="8:9">
      <c r="H3543" s="66" t="e">
        <f>IF(OR(LEFT(B3543,FIND("_",B3543,1)-1)="ULGALLOC",LEFT(B3543,FIND("_",B3543,1)-1)="ULSPOOL"),LEFT(B3543,FIND("_",B3543,1)-1),VLOOKUP(LEFT(A3543,6),'Code Library'!$D$3:$E$200,2,0))&amp;"_"&amp;RIGHT(A3543,3)</f>
        <v>#VALUE!</v>
      </c>
      <c r="I3543" s="66">
        <f t="shared" si="55"/>
        <v>0</v>
      </c>
    </row>
    <row r="3544" spans="8:9">
      <c r="H3544" s="66" t="e">
        <f>IF(OR(LEFT(B3544,FIND("_",B3544,1)-1)="ULGALLOC",LEFT(B3544,FIND("_",B3544,1)-1)="ULSPOOL"),LEFT(B3544,FIND("_",B3544,1)-1),VLOOKUP(LEFT(A3544,6),'Code Library'!$D$3:$E$200,2,0))&amp;"_"&amp;RIGHT(A3544,3)</f>
        <v>#VALUE!</v>
      </c>
      <c r="I3544" s="66">
        <f t="shared" si="55"/>
        <v>0</v>
      </c>
    </row>
    <row r="3545" spans="8:9">
      <c r="H3545" s="66" t="e">
        <f>IF(OR(LEFT(B3545,FIND("_",B3545,1)-1)="ULGALLOC",LEFT(B3545,FIND("_",B3545,1)-1)="ULSPOOL"),LEFT(B3545,FIND("_",B3545,1)-1),VLOOKUP(LEFT(A3545,6),'Code Library'!$D$3:$E$200,2,0))&amp;"_"&amp;RIGHT(A3545,3)</f>
        <v>#VALUE!</v>
      </c>
      <c r="I3545" s="66">
        <f t="shared" si="55"/>
        <v>0</v>
      </c>
    </row>
    <row r="3546" spans="8:9">
      <c r="H3546" s="66" t="e">
        <f>IF(OR(LEFT(B3546,FIND("_",B3546,1)-1)="ULGALLOC",LEFT(B3546,FIND("_",B3546,1)-1)="ULSPOOL"),LEFT(B3546,FIND("_",B3546,1)-1),VLOOKUP(LEFT(A3546,6),'Code Library'!$D$3:$E$200,2,0))&amp;"_"&amp;RIGHT(A3546,3)</f>
        <v>#VALUE!</v>
      </c>
      <c r="I3546" s="66">
        <f t="shared" si="55"/>
        <v>0</v>
      </c>
    </row>
    <row r="3547" spans="8:9">
      <c r="H3547" s="66" t="e">
        <f>IF(OR(LEFT(B3547,FIND("_",B3547,1)-1)="ULGALLOC",LEFT(B3547,FIND("_",B3547,1)-1)="ULSPOOL"),LEFT(B3547,FIND("_",B3547,1)-1),VLOOKUP(LEFT(A3547,6),'Code Library'!$D$3:$E$200,2,0))&amp;"_"&amp;RIGHT(A3547,3)</f>
        <v>#VALUE!</v>
      </c>
      <c r="I3547" s="66">
        <f t="shared" si="55"/>
        <v>0</v>
      </c>
    </row>
    <row r="3548" spans="8:9">
      <c r="H3548" s="66" t="e">
        <f>IF(OR(LEFT(B3548,FIND("_",B3548,1)-1)="ULGALLOC",LEFT(B3548,FIND("_",B3548,1)-1)="ULSPOOL"),LEFT(B3548,FIND("_",B3548,1)-1),VLOOKUP(LEFT(A3548,6),'Code Library'!$D$3:$E$200,2,0))&amp;"_"&amp;RIGHT(A3548,3)</f>
        <v>#VALUE!</v>
      </c>
      <c r="I3548" s="66">
        <f t="shared" si="55"/>
        <v>0</v>
      </c>
    </row>
    <row r="3549" spans="8:9">
      <c r="H3549" s="66" t="e">
        <f>IF(OR(LEFT(B3549,FIND("_",B3549,1)-1)="ULGALLOC",LEFT(B3549,FIND("_",B3549,1)-1)="ULSPOOL"),LEFT(B3549,FIND("_",B3549,1)-1),VLOOKUP(LEFT(A3549,6),'Code Library'!$D$3:$E$200,2,0))&amp;"_"&amp;RIGHT(A3549,3)</f>
        <v>#VALUE!</v>
      </c>
      <c r="I3549" s="66">
        <f t="shared" si="55"/>
        <v>0</v>
      </c>
    </row>
    <row r="3550" spans="8:9">
      <c r="H3550" s="66" t="e">
        <f>IF(OR(LEFT(B3550,FIND("_",B3550,1)-1)="ULGALLOC",LEFT(B3550,FIND("_",B3550,1)-1)="ULSPOOL"),LEFT(B3550,FIND("_",B3550,1)-1),VLOOKUP(LEFT(A3550,6),'Code Library'!$D$3:$E$200,2,0))&amp;"_"&amp;RIGHT(A3550,3)</f>
        <v>#VALUE!</v>
      </c>
      <c r="I3550" s="66">
        <f t="shared" si="55"/>
        <v>0</v>
      </c>
    </row>
    <row r="3551" spans="8:9">
      <c r="H3551" s="66" t="e">
        <f>IF(OR(LEFT(B3551,FIND("_",B3551,1)-1)="ULGALLOC",LEFT(B3551,FIND("_",B3551,1)-1)="ULSPOOL"),LEFT(B3551,FIND("_",B3551,1)-1),VLOOKUP(LEFT(A3551,6),'Code Library'!$D$3:$E$200,2,0))&amp;"_"&amp;RIGHT(A3551,3)</f>
        <v>#VALUE!</v>
      </c>
      <c r="I3551" s="66">
        <f t="shared" si="55"/>
        <v>0</v>
      </c>
    </row>
    <row r="3552" spans="8:9">
      <c r="H3552" s="66" t="e">
        <f>IF(OR(LEFT(B3552,FIND("_",B3552,1)-1)="ULGALLOC",LEFT(B3552,FIND("_",B3552,1)-1)="ULSPOOL"),LEFT(B3552,FIND("_",B3552,1)-1),VLOOKUP(LEFT(A3552,6),'Code Library'!$D$3:$E$200,2,0))&amp;"_"&amp;RIGHT(A3552,3)</f>
        <v>#VALUE!</v>
      </c>
      <c r="I3552" s="66">
        <f t="shared" si="55"/>
        <v>0</v>
      </c>
    </row>
    <row r="3553" spans="8:9">
      <c r="H3553" s="66" t="e">
        <f>IF(OR(LEFT(B3553,FIND("_",B3553,1)-1)="ULGALLOC",LEFT(B3553,FIND("_",B3553,1)-1)="ULSPOOL"),LEFT(B3553,FIND("_",B3553,1)-1),VLOOKUP(LEFT(A3553,6),'Code Library'!$D$3:$E$200,2,0))&amp;"_"&amp;RIGHT(A3553,3)</f>
        <v>#VALUE!</v>
      </c>
      <c r="I3553" s="66">
        <f t="shared" si="55"/>
        <v>0</v>
      </c>
    </row>
    <row r="3554" spans="8:9">
      <c r="H3554" s="66" t="e">
        <f>IF(OR(LEFT(B3554,FIND("_",B3554,1)-1)="ULGALLOC",LEFT(B3554,FIND("_",B3554,1)-1)="ULSPOOL"),LEFT(B3554,FIND("_",B3554,1)-1),VLOOKUP(LEFT(A3554,6),'Code Library'!$D$3:$E$200,2,0))&amp;"_"&amp;RIGHT(A3554,3)</f>
        <v>#VALUE!</v>
      </c>
      <c r="I3554" s="66">
        <f t="shared" si="55"/>
        <v>0</v>
      </c>
    </row>
    <row r="3555" spans="8:9">
      <c r="H3555" s="66" t="e">
        <f>IF(OR(LEFT(B3555,FIND("_",B3555,1)-1)="ULGALLOC",LEFT(B3555,FIND("_",B3555,1)-1)="ULSPOOL"),LEFT(B3555,FIND("_",B3555,1)-1),VLOOKUP(LEFT(A3555,6),'Code Library'!$D$3:$E$200,2,0))&amp;"_"&amp;RIGHT(A3555,3)</f>
        <v>#VALUE!</v>
      </c>
      <c r="I3555" s="66">
        <f t="shared" si="55"/>
        <v>0</v>
      </c>
    </row>
    <row r="3556" spans="8:9">
      <c r="H3556" s="66" t="e">
        <f>IF(OR(LEFT(B3556,FIND("_",B3556,1)-1)="ULGALLOC",LEFT(B3556,FIND("_",B3556,1)-1)="ULSPOOL"),LEFT(B3556,FIND("_",B3556,1)-1),VLOOKUP(LEFT(A3556,6),'Code Library'!$D$3:$E$200,2,0))&amp;"_"&amp;RIGHT(A3556,3)</f>
        <v>#VALUE!</v>
      </c>
      <c r="I3556" s="66">
        <f t="shared" si="55"/>
        <v>0</v>
      </c>
    </row>
    <row r="3557" spans="8:9">
      <c r="H3557" s="66" t="e">
        <f>IF(OR(LEFT(B3557,FIND("_",B3557,1)-1)="ULGALLOC",LEFT(B3557,FIND("_",B3557,1)-1)="ULSPOOL"),LEFT(B3557,FIND("_",B3557,1)-1),VLOOKUP(LEFT(A3557,6),'Code Library'!$D$3:$E$200,2,0))&amp;"_"&amp;RIGHT(A3557,3)</f>
        <v>#VALUE!</v>
      </c>
      <c r="I3557" s="66">
        <f t="shared" si="55"/>
        <v>0</v>
      </c>
    </row>
    <row r="3558" spans="8:9">
      <c r="H3558" s="66" t="e">
        <f>IF(OR(LEFT(B3558,FIND("_",B3558,1)-1)="ULGALLOC",LEFT(B3558,FIND("_",B3558,1)-1)="ULSPOOL"),LEFT(B3558,FIND("_",B3558,1)-1),VLOOKUP(LEFT(A3558,6),'Code Library'!$D$3:$E$200,2,0))&amp;"_"&amp;RIGHT(A3558,3)</f>
        <v>#VALUE!</v>
      </c>
      <c r="I3558" s="66">
        <f t="shared" si="55"/>
        <v>0</v>
      </c>
    </row>
    <row r="3559" spans="8:9">
      <c r="H3559" s="66" t="e">
        <f>IF(OR(LEFT(B3559,FIND("_",B3559,1)-1)="ULGALLOC",LEFT(B3559,FIND("_",B3559,1)-1)="ULSPOOL"),LEFT(B3559,FIND("_",B3559,1)-1),VLOOKUP(LEFT(A3559,6),'Code Library'!$D$3:$E$200,2,0))&amp;"_"&amp;RIGHT(A3559,3)</f>
        <v>#VALUE!</v>
      </c>
      <c r="I3559" s="66">
        <f t="shared" si="55"/>
        <v>0</v>
      </c>
    </row>
    <row r="3560" spans="8:9">
      <c r="H3560" s="66" t="e">
        <f>IF(OR(LEFT(B3560,FIND("_",B3560,1)-1)="ULGALLOC",LEFT(B3560,FIND("_",B3560,1)-1)="ULSPOOL"),LEFT(B3560,FIND("_",B3560,1)-1),VLOOKUP(LEFT(A3560,6),'Code Library'!$D$3:$E$200,2,0))&amp;"_"&amp;RIGHT(A3560,3)</f>
        <v>#VALUE!</v>
      </c>
      <c r="I3560" s="66">
        <f t="shared" si="55"/>
        <v>0</v>
      </c>
    </row>
    <row r="3561" spans="8:9">
      <c r="H3561" s="66" t="e">
        <f>IF(OR(LEFT(B3561,FIND("_",B3561,1)-1)="ULGALLOC",LEFT(B3561,FIND("_",B3561,1)-1)="ULSPOOL"),LEFT(B3561,FIND("_",B3561,1)-1),VLOOKUP(LEFT(A3561,6),'Code Library'!$D$3:$E$200,2,0))&amp;"_"&amp;RIGHT(A3561,3)</f>
        <v>#VALUE!</v>
      </c>
      <c r="I3561" s="66">
        <f t="shared" si="55"/>
        <v>0</v>
      </c>
    </row>
    <row r="3562" spans="8:9">
      <c r="H3562" s="66" t="e">
        <f>IF(OR(LEFT(B3562,FIND("_",B3562,1)-1)="ULGALLOC",LEFT(B3562,FIND("_",B3562,1)-1)="ULSPOOL"),LEFT(B3562,FIND("_",B3562,1)-1),VLOOKUP(LEFT(A3562,6),'Code Library'!$D$3:$E$200,2,0))&amp;"_"&amp;RIGHT(A3562,3)</f>
        <v>#VALUE!</v>
      </c>
      <c r="I3562" s="66">
        <f t="shared" si="55"/>
        <v>0</v>
      </c>
    </row>
    <row r="3563" spans="8:9">
      <c r="H3563" s="66" t="e">
        <f>IF(OR(LEFT(B3563,FIND("_",B3563,1)-1)="ULGALLOC",LEFT(B3563,FIND("_",B3563,1)-1)="ULSPOOL"),LEFT(B3563,FIND("_",B3563,1)-1),VLOOKUP(LEFT(A3563,6),'Code Library'!$D$3:$E$200,2,0))&amp;"_"&amp;RIGHT(A3563,3)</f>
        <v>#VALUE!</v>
      </c>
      <c r="I3563" s="66">
        <f t="shared" si="55"/>
        <v>0</v>
      </c>
    </row>
    <row r="3564" spans="8:9">
      <c r="H3564" s="66" t="e">
        <f>IF(OR(LEFT(B3564,FIND("_",B3564,1)-1)="ULGALLOC",LEFT(B3564,FIND("_",B3564,1)-1)="ULSPOOL"),LEFT(B3564,FIND("_",B3564,1)-1),VLOOKUP(LEFT(A3564,6),'Code Library'!$D$3:$E$200,2,0))&amp;"_"&amp;RIGHT(A3564,3)</f>
        <v>#VALUE!</v>
      </c>
      <c r="I3564" s="66">
        <f t="shared" si="55"/>
        <v>0</v>
      </c>
    </row>
    <row r="3565" spans="8:9">
      <c r="H3565" s="66" t="e">
        <f>IF(OR(LEFT(B3565,FIND("_",B3565,1)-1)="ULGALLOC",LEFT(B3565,FIND("_",B3565,1)-1)="ULSPOOL"),LEFT(B3565,FIND("_",B3565,1)-1),VLOOKUP(LEFT(A3565,6),'Code Library'!$D$3:$E$200,2,0))&amp;"_"&amp;RIGHT(A3565,3)</f>
        <v>#VALUE!</v>
      </c>
      <c r="I3565" s="66">
        <f t="shared" si="55"/>
        <v>0</v>
      </c>
    </row>
    <row r="3566" spans="8:9">
      <c r="H3566" s="66" t="e">
        <f>IF(OR(LEFT(B3566,FIND("_",B3566,1)-1)="ULGALLOC",LEFT(B3566,FIND("_",B3566,1)-1)="ULSPOOL"),LEFT(B3566,FIND("_",B3566,1)-1),VLOOKUP(LEFT(A3566,6),'Code Library'!$D$3:$E$200,2,0))&amp;"_"&amp;RIGHT(A3566,3)</f>
        <v>#VALUE!</v>
      </c>
      <c r="I3566" s="66">
        <f t="shared" si="55"/>
        <v>0</v>
      </c>
    </row>
    <row r="3567" spans="8:9">
      <c r="H3567" s="66" t="e">
        <f>IF(OR(LEFT(B3567,FIND("_",B3567,1)-1)="ULGALLOC",LEFT(B3567,FIND("_",B3567,1)-1)="ULSPOOL"),LEFT(B3567,FIND("_",B3567,1)-1),VLOOKUP(LEFT(A3567,6),'Code Library'!$D$3:$E$200,2,0))&amp;"_"&amp;RIGHT(A3567,3)</f>
        <v>#VALUE!</v>
      </c>
      <c r="I3567" s="66">
        <f t="shared" si="55"/>
        <v>0</v>
      </c>
    </row>
    <row r="3568" spans="8:9">
      <c r="H3568" s="66" t="e">
        <f>IF(OR(LEFT(B3568,FIND("_",B3568,1)-1)="ULGALLOC",LEFT(B3568,FIND("_",B3568,1)-1)="ULSPOOL"),LEFT(B3568,FIND("_",B3568,1)-1),VLOOKUP(LEFT(A3568,6),'Code Library'!$D$3:$E$200,2,0))&amp;"_"&amp;RIGHT(A3568,3)</f>
        <v>#VALUE!</v>
      </c>
      <c r="I3568" s="66">
        <f t="shared" si="55"/>
        <v>0</v>
      </c>
    </row>
    <row r="3569" spans="8:9">
      <c r="H3569" s="66" t="e">
        <f>IF(OR(LEFT(B3569,FIND("_",B3569,1)-1)="ULGALLOC",LEFT(B3569,FIND("_",B3569,1)-1)="ULSPOOL"),LEFT(B3569,FIND("_",B3569,1)-1),VLOOKUP(LEFT(A3569,6),'Code Library'!$D$3:$E$200,2,0))&amp;"_"&amp;RIGHT(A3569,3)</f>
        <v>#VALUE!</v>
      </c>
      <c r="I3569" s="66">
        <f t="shared" si="55"/>
        <v>0</v>
      </c>
    </row>
    <row r="3570" spans="8:9">
      <c r="H3570" s="66" t="e">
        <f>IF(OR(LEFT(B3570,FIND("_",B3570,1)-1)="ULGALLOC",LEFT(B3570,FIND("_",B3570,1)-1)="ULSPOOL"),LEFT(B3570,FIND("_",B3570,1)-1),VLOOKUP(LEFT(A3570,6),'Code Library'!$D$3:$E$200,2,0))&amp;"_"&amp;RIGHT(A3570,3)</f>
        <v>#VALUE!</v>
      </c>
      <c r="I3570" s="66">
        <f t="shared" si="55"/>
        <v>0</v>
      </c>
    </row>
    <row r="3571" spans="8:9">
      <c r="H3571" s="66" t="e">
        <f>IF(OR(LEFT(B3571,FIND("_",B3571,1)-1)="ULGALLOC",LEFT(B3571,FIND("_",B3571,1)-1)="ULSPOOL"),LEFT(B3571,FIND("_",B3571,1)-1),VLOOKUP(LEFT(A3571,6),'Code Library'!$D$3:$E$200,2,0))&amp;"_"&amp;RIGHT(A3571,3)</f>
        <v>#VALUE!</v>
      </c>
      <c r="I3571" s="66">
        <f t="shared" si="55"/>
        <v>0</v>
      </c>
    </row>
    <row r="3572" spans="8:9">
      <c r="H3572" s="66" t="e">
        <f>IF(OR(LEFT(B3572,FIND("_",B3572,1)-1)="ULGALLOC",LEFT(B3572,FIND("_",B3572,1)-1)="ULSPOOL"),LEFT(B3572,FIND("_",B3572,1)-1),VLOOKUP(LEFT(A3572,6),'Code Library'!$D$3:$E$200,2,0))&amp;"_"&amp;RIGHT(A3572,3)</f>
        <v>#VALUE!</v>
      </c>
      <c r="I3572" s="66">
        <f t="shared" si="55"/>
        <v>0</v>
      </c>
    </row>
    <row r="3573" spans="8:9">
      <c r="H3573" s="66" t="e">
        <f>IF(OR(LEFT(B3573,FIND("_",B3573,1)-1)="ULGALLOC",LEFT(B3573,FIND("_",B3573,1)-1)="ULSPOOL"),LEFT(B3573,FIND("_",B3573,1)-1),VLOOKUP(LEFT(A3573,6),'Code Library'!$D$3:$E$200,2,0))&amp;"_"&amp;RIGHT(A3573,3)</f>
        <v>#VALUE!</v>
      </c>
      <c r="I3573" s="66">
        <f t="shared" si="55"/>
        <v>0</v>
      </c>
    </row>
    <row r="3574" spans="8:9">
      <c r="H3574" s="66" t="e">
        <f>IF(OR(LEFT(B3574,FIND("_",B3574,1)-1)="ULGALLOC",LEFT(B3574,FIND("_",B3574,1)-1)="ULSPOOL"),LEFT(B3574,FIND("_",B3574,1)-1),VLOOKUP(LEFT(A3574,6),'Code Library'!$D$3:$E$200,2,0))&amp;"_"&amp;RIGHT(A3574,3)</f>
        <v>#VALUE!</v>
      </c>
      <c r="I3574" s="66">
        <f t="shared" si="55"/>
        <v>0</v>
      </c>
    </row>
    <row r="3575" spans="8:9">
      <c r="H3575" s="66" t="e">
        <f>IF(OR(LEFT(B3575,FIND("_",B3575,1)-1)="ULGALLOC",LEFT(B3575,FIND("_",B3575,1)-1)="ULSPOOL"),LEFT(B3575,FIND("_",B3575,1)-1),VLOOKUP(LEFT(A3575,6),'Code Library'!$D$3:$E$200,2,0))&amp;"_"&amp;RIGHT(A3575,3)</f>
        <v>#VALUE!</v>
      </c>
      <c r="I3575" s="66">
        <f t="shared" si="55"/>
        <v>0</v>
      </c>
    </row>
    <row r="3576" spans="8:9">
      <c r="H3576" s="66" t="e">
        <f>IF(OR(LEFT(B3576,FIND("_",B3576,1)-1)="ULGALLOC",LEFT(B3576,FIND("_",B3576,1)-1)="ULSPOOL"),LEFT(B3576,FIND("_",B3576,1)-1),VLOOKUP(LEFT(A3576,6),'Code Library'!$D$3:$E$200,2,0))&amp;"_"&amp;RIGHT(A3576,3)</f>
        <v>#VALUE!</v>
      </c>
      <c r="I3576" s="66">
        <f t="shared" si="55"/>
        <v>0</v>
      </c>
    </row>
    <row r="3577" spans="8:9">
      <c r="H3577" s="66" t="e">
        <f>IF(OR(LEFT(B3577,FIND("_",B3577,1)-1)="ULGALLOC",LEFT(B3577,FIND("_",B3577,1)-1)="ULSPOOL"),LEFT(B3577,FIND("_",B3577,1)-1),VLOOKUP(LEFT(A3577,6),'Code Library'!$D$3:$E$200,2,0))&amp;"_"&amp;RIGHT(A3577,3)</f>
        <v>#VALUE!</v>
      </c>
      <c r="I3577" s="66">
        <f t="shared" si="55"/>
        <v>0</v>
      </c>
    </row>
    <row r="3578" spans="8:9">
      <c r="H3578" s="66" t="e">
        <f>IF(OR(LEFT(B3578,FIND("_",B3578,1)-1)="ULGALLOC",LEFT(B3578,FIND("_",B3578,1)-1)="ULSPOOL"),LEFT(B3578,FIND("_",B3578,1)-1),VLOOKUP(LEFT(A3578,6),'Code Library'!$D$3:$E$200,2,0))&amp;"_"&amp;RIGHT(A3578,3)</f>
        <v>#VALUE!</v>
      </c>
      <c r="I3578" s="66">
        <f t="shared" si="55"/>
        <v>0</v>
      </c>
    </row>
    <row r="3579" spans="8:9">
      <c r="H3579" s="66" t="e">
        <f>IF(OR(LEFT(B3579,FIND("_",B3579,1)-1)="ULGALLOC",LEFT(B3579,FIND("_",B3579,1)-1)="ULSPOOL"),LEFT(B3579,FIND("_",B3579,1)-1),VLOOKUP(LEFT(A3579,6),'Code Library'!$D$3:$E$200,2,0))&amp;"_"&amp;RIGHT(A3579,3)</f>
        <v>#VALUE!</v>
      </c>
      <c r="I3579" s="66">
        <f t="shared" si="55"/>
        <v>0</v>
      </c>
    </row>
    <row r="3580" spans="8:9">
      <c r="H3580" s="66" t="e">
        <f>IF(OR(LEFT(B3580,FIND("_",B3580,1)-1)="ULGALLOC",LEFT(B3580,FIND("_",B3580,1)-1)="ULSPOOL"),LEFT(B3580,FIND("_",B3580,1)-1),VLOOKUP(LEFT(A3580,6),'Code Library'!$D$3:$E$200,2,0))&amp;"_"&amp;RIGHT(A3580,3)</f>
        <v>#VALUE!</v>
      </c>
      <c r="I3580" s="66">
        <f t="shared" si="55"/>
        <v>0</v>
      </c>
    </row>
    <row r="3581" spans="8:9">
      <c r="H3581" s="66" t="e">
        <f>IF(OR(LEFT(B3581,FIND("_",B3581,1)-1)="ULGALLOC",LEFT(B3581,FIND("_",B3581,1)-1)="ULSPOOL"),LEFT(B3581,FIND("_",B3581,1)-1),VLOOKUP(LEFT(A3581,6),'Code Library'!$D$3:$E$200,2,0))&amp;"_"&amp;RIGHT(A3581,3)</f>
        <v>#VALUE!</v>
      </c>
      <c r="I3581" s="66">
        <f t="shared" si="55"/>
        <v>0</v>
      </c>
    </row>
    <row r="3582" spans="8:9">
      <c r="H3582" s="66" t="e">
        <f>IF(OR(LEFT(B3582,FIND("_",B3582,1)-1)="ULGALLOC",LEFT(B3582,FIND("_",B3582,1)-1)="ULSPOOL"),LEFT(B3582,FIND("_",B3582,1)-1),VLOOKUP(LEFT(A3582,6),'Code Library'!$D$3:$E$200,2,0))&amp;"_"&amp;RIGHT(A3582,3)</f>
        <v>#VALUE!</v>
      </c>
      <c r="I3582" s="66">
        <f t="shared" si="55"/>
        <v>0</v>
      </c>
    </row>
    <row r="3583" spans="8:9">
      <c r="H3583" s="66" t="e">
        <f>IF(OR(LEFT(B3583,FIND("_",B3583,1)-1)="ULGALLOC",LEFT(B3583,FIND("_",B3583,1)-1)="ULSPOOL"),LEFT(B3583,FIND("_",B3583,1)-1),VLOOKUP(LEFT(A3583,6),'Code Library'!$D$3:$E$200,2,0))&amp;"_"&amp;RIGHT(A3583,3)</f>
        <v>#VALUE!</v>
      </c>
      <c r="I3583" s="66">
        <f t="shared" si="55"/>
        <v>0</v>
      </c>
    </row>
    <row r="3584" spans="8:9">
      <c r="H3584" s="66" t="e">
        <f>IF(OR(LEFT(B3584,FIND("_",B3584,1)-1)="ULGALLOC",LEFT(B3584,FIND("_",B3584,1)-1)="ULSPOOL"),LEFT(B3584,FIND("_",B3584,1)-1),VLOOKUP(LEFT(A3584,6),'Code Library'!$D$3:$E$200,2,0))&amp;"_"&amp;RIGHT(A3584,3)</f>
        <v>#VALUE!</v>
      </c>
      <c r="I3584" s="66">
        <f t="shared" si="55"/>
        <v>0</v>
      </c>
    </row>
    <row r="3585" spans="8:9">
      <c r="H3585" s="66" t="e">
        <f>IF(OR(LEFT(B3585,FIND("_",B3585,1)-1)="ULGALLOC",LEFT(B3585,FIND("_",B3585,1)-1)="ULSPOOL"),LEFT(B3585,FIND("_",B3585,1)-1),VLOOKUP(LEFT(A3585,6),'Code Library'!$D$3:$E$200,2,0))&amp;"_"&amp;RIGHT(A3585,3)</f>
        <v>#VALUE!</v>
      </c>
      <c r="I3585" s="66">
        <f t="shared" si="55"/>
        <v>0</v>
      </c>
    </row>
    <row r="3586" spans="8:9">
      <c r="H3586" s="66" t="e">
        <f>IF(OR(LEFT(B3586,FIND("_",B3586,1)-1)="ULGALLOC",LEFT(B3586,FIND("_",B3586,1)-1)="ULSPOOL"),LEFT(B3586,FIND("_",B3586,1)-1),VLOOKUP(LEFT(A3586,6),'Code Library'!$D$3:$E$200,2,0))&amp;"_"&amp;RIGHT(A3586,3)</f>
        <v>#VALUE!</v>
      </c>
      <c r="I3586" s="66">
        <f t="shared" si="55"/>
        <v>0</v>
      </c>
    </row>
    <row r="3587" spans="8:9">
      <c r="H3587" s="66" t="e">
        <f>IF(OR(LEFT(B3587,FIND("_",B3587,1)-1)="ULGALLOC",LEFT(B3587,FIND("_",B3587,1)-1)="ULSPOOL"),LEFT(B3587,FIND("_",B3587,1)-1),VLOOKUP(LEFT(A3587,6),'Code Library'!$D$3:$E$200,2,0))&amp;"_"&amp;RIGHT(A3587,3)</f>
        <v>#VALUE!</v>
      </c>
      <c r="I3587" s="66">
        <f t="shared" ref="I3587:I3650" si="56">A3587</f>
        <v>0</v>
      </c>
    </row>
    <row r="3588" spans="8:9">
      <c r="H3588" s="66" t="e">
        <f>IF(OR(LEFT(B3588,FIND("_",B3588,1)-1)="ULGALLOC",LEFT(B3588,FIND("_",B3588,1)-1)="ULSPOOL"),LEFT(B3588,FIND("_",B3588,1)-1),VLOOKUP(LEFT(A3588,6),'Code Library'!$D$3:$E$200,2,0))&amp;"_"&amp;RIGHT(A3588,3)</f>
        <v>#VALUE!</v>
      </c>
      <c r="I3588" s="66">
        <f t="shared" si="56"/>
        <v>0</v>
      </c>
    </row>
    <row r="3589" spans="8:9">
      <c r="H3589" s="66" t="e">
        <f>IF(OR(LEFT(B3589,FIND("_",B3589,1)-1)="ULGALLOC",LEFT(B3589,FIND("_",B3589,1)-1)="ULSPOOL"),LEFT(B3589,FIND("_",B3589,1)-1),VLOOKUP(LEFT(A3589,6),'Code Library'!$D$3:$E$200,2,0))&amp;"_"&amp;RIGHT(A3589,3)</f>
        <v>#VALUE!</v>
      </c>
      <c r="I3589" s="66">
        <f t="shared" si="56"/>
        <v>0</v>
      </c>
    </row>
    <row r="3590" spans="8:9">
      <c r="H3590" s="66" t="e">
        <f>IF(OR(LEFT(B3590,FIND("_",B3590,1)-1)="ULGALLOC",LEFT(B3590,FIND("_",B3590,1)-1)="ULSPOOL"),LEFT(B3590,FIND("_",B3590,1)-1),VLOOKUP(LEFT(A3590,6),'Code Library'!$D$3:$E$200,2,0))&amp;"_"&amp;RIGHT(A3590,3)</f>
        <v>#VALUE!</v>
      </c>
      <c r="I3590" s="66">
        <f t="shared" si="56"/>
        <v>0</v>
      </c>
    </row>
    <row r="3591" spans="8:9">
      <c r="H3591" s="66" t="e">
        <f>IF(OR(LEFT(B3591,FIND("_",B3591,1)-1)="ULGALLOC",LEFT(B3591,FIND("_",B3591,1)-1)="ULSPOOL"),LEFT(B3591,FIND("_",B3591,1)-1),VLOOKUP(LEFT(A3591,6),'Code Library'!$D$3:$E$200,2,0))&amp;"_"&amp;RIGHT(A3591,3)</f>
        <v>#VALUE!</v>
      </c>
      <c r="I3591" s="66">
        <f t="shared" si="56"/>
        <v>0</v>
      </c>
    </row>
    <row r="3592" spans="8:9">
      <c r="H3592" s="66" t="e">
        <f>IF(OR(LEFT(B3592,FIND("_",B3592,1)-1)="ULGALLOC",LEFT(B3592,FIND("_",B3592,1)-1)="ULSPOOL"),LEFT(B3592,FIND("_",B3592,1)-1),VLOOKUP(LEFT(A3592,6),'Code Library'!$D$3:$E$200,2,0))&amp;"_"&amp;RIGHT(A3592,3)</f>
        <v>#VALUE!</v>
      </c>
      <c r="I3592" s="66">
        <f t="shared" si="56"/>
        <v>0</v>
      </c>
    </row>
    <row r="3593" spans="8:9">
      <c r="H3593" s="66" t="e">
        <f>IF(OR(LEFT(B3593,FIND("_",B3593,1)-1)="ULGALLOC",LEFT(B3593,FIND("_",B3593,1)-1)="ULSPOOL"),LEFT(B3593,FIND("_",B3593,1)-1),VLOOKUP(LEFT(A3593,6),'Code Library'!$D$3:$E$200,2,0))&amp;"_"&amp;RIGHT(A3593,3)</f>
        <v>#VALUE!</v>
      </c>
      <c r="I3593" s="66">
        <f t="shared" si="56"/>
        <v>0</v>
      </c>
    </row>
    <row r="3594" spans="8:9">
      <c r="H3594" s="66" t="e">
        <f>IF(OR(LEFT(B3594,FIND("_",B3594,1)-1)="ULGALLOC",LEFT(B3594,FIND("_",B3594,1)-1)="ULSPOOL"),LEFT(B3594,FIND("_",B3594,1)-1),VLOOKUP(LEFT(A3594,6),'Code Library'!$D$3:$E$200,2,0))&amp;"_"&amp;RIGHT(A3594,3)</f>
        <v>#VALUE!</v>
      </c>
      <c r="I3594" s="66">
        <f t="shared" si="56"/>
        <v>0</v>
      </c>
    </row>
    <row r="3595" spans="8:9">
      <c r="H3595" s="66" t="e">
        <f>IF(OR(LEFT(B3595,FIND("_",B3595,1)-1)="ULGALLOC",LEFT(B3595,FIND("_",B3595,1)-1)="ULSPOOL"),LEFT(B3595,FIND("_",B3595,1)-1),VLOOKUP(LEFT(A3595,6),'Code Library'!$D$3:$E$200,2,0))&amp;"_"&amp;RIGHT(A3595,3)</f>
        <v>#VALUE!</v>
      </c>
      <c r="I3595" s="66">
        <f t="shared" si="56"/>
        <v>0</v>
      </c>
    </row>
    <row r="3596" spans="8:9">
      <c r="H3596" s="66" t="e">
        <f>IF(OR(LEFT(B3596,FIND("_",B3596,1)-1)="ULGALLOC",LEFT(B3596,FIND("_",B3596,1)-1)="ULSPOOL"),LEFT(B3596,FIND("_",B3596,1)-1),VLOOKUP(LEFT(A3596,6),'Code Library'!$D$3:$E$200,2,0))&amp;"_"&amp;RIGHT(A3596,3)</f>
        <v>#VALUE!</v>
      </c>
      <c r="I3596" s="66">
        <f t="shared" si="56"/>
        <v>0</v>
      </c>
    </row>
    <row r="3597" spans="8:9">
      <c r="H3597" s="66" t="e">
        <f>IF(OR(LEFT(B3597,FIND("_",B3597,1)-1)="ULGALLOC",LEFT(B3597,FIND("_",B3597,1)-1)="ULSPOOL"),LEFT(B3597,FIND("_",B3597,1)-1),VLOOKUP(LEFT(A3597,6),'Code Library'!$D$3:$E$200,2,0))&amp;"_"&amp;RIGHT(A3597,3)</f>
        <v>#VALUE!</v>
      </c>
      <c r="I3597" s="66">
        <f t="shared" si="56"/>
        <v>0</v>
      </c>
    </row>
    <row r="3598" spans="8:9">
      <c r="H3598" s="66" t="e">
        <f>IF(OR(LEFT(B3598,FIND("_",B3598,1)-1)="ULGALLOC",LEFT(B3598,FIND("_",B3598,1)-1)="ULSPOOL"),LEFT(B3598,FIND("_",B3598,1)-1),VLOOKUP(LEFT(A3598,6),'Code Library'!$D$3:$E$200,2,0))&amp;"_"&amp;RIGHT(A3598,3)</f>
        <v>#VALUE!</v>
      </c>
      <c r="I3598" s="66">
        <f t="shared" si="56"/>
        <v>0</v>
      </c>
    </row>
    <row r="3599" spans="8:9">
      <c r="H3599" s="66" t="e">
        <f>IF(OR(LEFT(B3599,FIND("_",B3599,1)-1)="ULGALLOC",LEFT(B3599,FIND("_",B3599,1)-1)="ULSPOOL"),LEFT(B3599,FIND("_",B3599,1)-1),VLOOKUP(LEFT(A3599,6),'Code Library'!$D$3:$E$200,2,0))&amp;"_"&amp;RIGHT(A3599,3)</f>
        <v>#VALUE!</v>
      </c>
      <c r="I3599" s="66">
        <f t="shared" si="56"/>
        <v>0</v>
      </c>
    </row>
    <row r="3600" spans="8:9">
      <c r="H3600" s="66" t="e">
        <f>IF(OR(LEFT(B3600,FIND("_",B3600,1)-1)="ULGALLOC",LEFT(B3600,FIND("_",B3600,1)-1)="ULSPOOL"),LEFT(B3600,FIND("_",B3600,1)-1),VLOOKUP(LEFT(A3600,6),'Code Library'!$D$3:$E$200,2,0))&amp;"_"&amp;RIGHT(A3600,3)</f>
        <v>#VALUE!</v>
      </c>
      <c r="I3600" s="66">
        <f t="shared" si="56"/>
        <v>0</v>
      </c>
    </row>
    <row r="3601" spans="8:9">
      <c r="H3601" s="66" t="e">
        <f>IF(OR(LEFT(B3601,FIND("_",B3601,1)-1)="ULGALLOC",LEFT(B3601,FIND("_",B3601,1)-1)="ULSPOOL"),LEFT(B3601,FIND("_",B3601,1)-1),VLOOKUP(LEFT(A3601,6),'Code Library'!$D$3:$E$200,2,0))&amp;"_"&amp;RIGHT(A3601,3)</f>
        <v>#VALUE!</v>
      </c>
      <c r="I3601" s="66">
        <f t="shared" si="56"/>
        <v>0</v>
      </c>
    </row>
    <row r="3602" spans="8:9">
      <c r="H3602" s="66" t="e">
        <f>IF(OR(LEFT(B3602,FIND("_",B3602,1)-1)="ULGALLOC",LEFT(B3602,FIND("_",B3602,1)-1)="ULSPOOL"),LEFT(B3602,FIND("_",B3602,1)-1),VLOOKUP(LEFT(A3602,6),'Code Library'!$D$3:$E$200,2,0))&amp;"_"&amp;RIGHT(A3602,3)</f>
        <v>#VALUE!</v>
      </c>
      <c r="I3602" s="66">
        <f t="shared" si="56"/>
        <v>0</v>
      </c>
    </row>
    <row r="3603" spans="8:9">
      <c r="H3603" s="66" t="e">
        <f>IF(OR(LEFT(B3603,FIND("_",B3603,1)-1)="ULGALLOC",LEFT(B3603,FIND("_",B3603,1)-1)="ULSPOOL"),LEFT(B3603,FIND("_",B3603,1)-1),VLOOKUP(LEFT(A3603,6),'Code Library'!$D$3:$E$200,2,0))&amp;"_"&amp;RIGHT(A3603,3)</f>
        <v>#VALUE!</v>
      </c>
      <c r="I3603" s="66">
        <f t="shared" si="56"/>
        <v>0</v>
      </c>
    </row>
    <row r="3604" spans="8:9">
      <c r="H3604" s="66" t="e">
        <f>IF(OR(LEFT(B3604,FIND("_",B3604,1)-1)="ULGALLOC",LEFT(B3604,FIND("_",B3604,1)-1)="ULSPOOL"),LEFT(B3604,FIND("_",B3604,1)-1),VLOOKUP(LEFT(A3604,6),'Code Library'!$D$3:$E$200,2,0))&amp;"_"&amp;RIGHT(A3604,3)</f>
        <v>#VALUE!</v>
      </c>
      <c r="I3604" s="66">
        <f t="shared" si="56"/>
        <v>0</v>
      </c>
    </row>
    <row r="3605" spans="8:9">
      <c r="H3605" s="66" t="e">
        <f>IF(OR(LEFT(B3605,FIND("_",B3605,1)-1)="ULGALLOC",LEFT(B3605,FIND("_",B3605,1)-1)="ULSPOOL"),LEFT(B3605,FIND("_",B3605,1)-1),VLOOKUP(LEFT(A3605,6),'Code Library'!$D$3:$E$200,2,0))&amp;"_"&amp;RIGHT(A3605,3)</f>
        <v>#VALUE!</v>
      </c>
      <c r="I3605" s="66">
        <f t="shared" si="56"/>
        <v>0</v>
      </c>
    </row>
    <row r="3606" spans="8:9">
      <c r="H3606" s="66" t="e">
        <f>IF(OR(LEFT(B3606,FIND("_",B3606,1)-1)="ULGALLOC",LEFT(B3606,FIND("_",B3606,1)-1)="ULSPOOL"),LEFT(B3606,FIND("_",B3606,1)-1),VLOOKUP(LEFT(A3606,6),'Code Library'!$D$3:$E$200,2,0))&amp;"_"&amp;RIGHT(A3606,3)</f>
        <v>#VALUE!</v>
      </c>
      <c r="I3606" s="66">
        <f t="shared" si="56"/>
        <v>0</v>
      </c>
    </row>
    <row r="3607" spans="8:9">
      <c r="H3607" s="66" t="e">
        <f>IF(OR(LEFT(B3607,FIND("_",B3607,1)-1)="ULGALLOC",LEFT(B3607,FIND("_",B3607,1)-1)="ULSPOOL"),LEFT(B3607,FIND("_",B3607,1)-1),VLOOKUP(LEFT(A3607,6),'Code Library'!$D$3:$E$200,2,0))&amp;"_"&amp;RIGHT(A3607,3)</f>
        <v>#VALUE!</v>
      </c>
      <c r="I3607" s="66">
        <f t="shared" si="56"/>
        <v>0</v>
      </c>
    </row>
    <row r="3608" spans="8:9">
      <c r="H3608" s="66" t="e">
        <f>IF(OR(LEFT(B3608,FIND("_",B3608,1)-1)="ULGALLOC",LEFT(B3608,FIND("_",B3608,1)-1)="ULSPOOL"),LEFT(B3608,FIND("_",B3608,1)-1),VLOOKUP(LEFT(A3608,6),'Code Library'!$D$3:$E$200,2,0))&amp;"_"&amp;RIGHT(A3608,3)</f>
        <v>#VALUE!</v>
      </c>
      <c r="I3608" s="66">
        <f t="shared" si="56"/>
        <v>0</v>
      </c>
    </row>
    <row r="3609" spans="8:9">
      <c r="H3609" s="66" t="e">
        <f>IF(OR(LEFT(B3609,FIND("_",B3609,1)-1)="ULGALLOC",LEFT(B3609,FIND("_",B3609,1)-1)="ULSPOOL"),LEFT(B3609,FIND("_",B3609,1)-1),VLOOKUP(LEFT(A3609,6),'Code Library'!$D$3:$E$200,2,0))&amp;"_"&amp;RIGHT(A3609,3)</f>
        <v>#VALUE!</v>
      </c>
      <c r="I3609" s="66">
        <f t="shared" si="56"/>
        <v>0</v>
      </c>
    </row>
    <row r="3610" spans="8:9">
      <c r="H3610" s="66" t="e">
        <f>IF(OR(LEFT(B3610,FIND("_",B3610,1)-1)="ULGALLOC",LEFT(B3610,FIND("_",B3610,1)-1)="ULSPOOL"),LEFT(B3610,FIND("_",B3610,1)-1),VLOOKUP(LEFT(A3610,6),'Code Library'!$D$3:$E$200,2,0))&amp;"_"&amp;RIGHT(A3610,3)</f>
        <v>#VALUE!</v>
      </c>
      <c r="I3610" s="66">
        <f t="shared" si="56"/>
        <v>0</v>
      </c>
    </row>
    <row r="3611" spans="8:9">
      <c r="H3611" s="66" t="e">
        <f>IF(OR(LEFT(B3611,FIND("_",B3611,1)-1)="ULGALLOC",LEFT(B3611,FIND("_",B3611,1)-1)="ULSPOOL"),LEFT(B3611,FIND("_",B3611,1)-1),VLOOKUP(LEFT(A3611,6),'Code Library'!$D$3:$E$200,2,0))&amp;"_"&amp;RIGHT(A3611,3)</f>
        <v>#VALUE!</v>
      </c>
      <c r="I3611" s="66">
        <f t="shared" si="56"/>
        <v>0</v>
      </c>
    </row>
    <row r="3612" spans="8:9">
      <c r="H3612" s="66" t="e">
        <f>IF(OR(LEFT(B3612,FIND("_",B3612,1)-1)="ULGALLOC",LEFT(B3612,FIND("_",B3612,1)-1)="ULSPOOL"),LEFT(B3612,FIND("_",B3612,1)-1),VLOOKUP(LEFT(A3612,6),'Code Library'!$D$3:$E$200,2,0))&amp;"_"&amp;RIGHT(A3612,3)</f>
        <v>#VALUE!</v>
      </c>
      <c r="I3612" s="66">
        <f t="shared" si="56"/>
        <v>0</v>
      </c>
    </row>
    <row r="3613" spans="8:9">
      <c r="H3613" s="66" t="e">
        <f>IF(OR(LEFT(B3613,FIND("_",B3613,1)-1)="ULGALLOC",LEFT(B3613,FIND("_",B3613,1)-1)="ULSPOOL"),LEFT(B3613,FIND("_",B3613,1)-1),VLOOKUP(LEFT(A3613,6),'Code Library'!$D$3:$E$200,2,0))&amp;"_"&amp;RIGHT(A3613,3)</f>
        <v>#VALUE!</v>
      </c>
      <c r="I3613" s="66">
        <f t="shared" si="56"/>
        <v>0</v>
      </c>
    </row>
    <row r="3614" spans="8:9">
      <c r="H3614" s="66" t="e">
        <f>IF(OR(LEFT(B3614,FIND("_",B3614,1)-1)="ULGALLOC",LEFT(B3614,FIND("_",B3614,1)-1)="ULSPOOL"),LEFT(B3614,FIND("_",B3614,1)-1),VLOOKUP(LEFT(A3614,6),'Code Library'!$D$3:$E$200,2,0))&amp;"_"&amp;RIGHT(A3614,3)</f>
        <v>#VALUE!</v>
      </c>
      <c r="I3614" s="66">
        <f t="shared" si="56"/>
        <v>0</v>
      </c>
    </row>
    <row r="3615" spans="8:9">
      <c r="H3615" s="66" t="e">
        <f>IF(OR(LEFT(B3615,FIND("_",B3615,1)-1)="ULGALLOC",LEFT(B3615,FIND("_",B3615,1)-1)="ULSPOOL"),LEFT(B3615,FIND("_",B3615,1)-1),VLOOKUP(LEFT(A3615,6),'Code Library'!$D$3:$E$200,2,0))&amp;"_"&amp;RIGHT(A3615,3)</f>
        <v>#VALUE!</v>
      </c>
      <c r="I3615" s="66">
        <f t="shared" si="56"/>
        <v>0</v>
      </c>
    </row>
    <row r="3616" spans="8:9">
      <c r="H3616" s="66" t="e">
        <f>IF(OR(LEFT(B3616,FIND("_",B3616,1)-1)="ULGALLOC",LEFT(B3616,FIND("_",B3616,1)-1)="ULSPOOL"),LEFT(B3616,FIND("_",B3616,1)-1),VLOOKUP(LEFT(A3616,6),'Code Library'!$D$3:$E$200,2,0))&amp;"_"&amp;RIGHT(A3616,3)</f>
        <v>#VALUE!</v>
      </c>
      <c r="I3616" s="66">
        <f t="shared" si="56"/>
        <v>0</v>
      </c>
    </row>
    <row r="3617" spans="8:9">
      <c r="H3617" s="66" t="e">
        <f>IF(OR(LEFT(B3617,FIND("_",B3617,1)-1)="ULGALLOC",LEFT(B3617,FIND("_",B3617,1)-1)="ULSPOOL"),LEFT(B3617,FIND("_",B3617,1)-1),VLOOKUP(LEFT(A3617,6),'Code Library'!$D$3:$E$200,2,0))&amp;"_"&amp;RIGHT(A3617,3)</f>
        <v>#VALUE!</v>
      </c>
      <c r="I3617" s="66">
        <f t="shared" si="56"/>
        <v>0</v>
      </c>
    </row>
    <row r="3618" spans="8:9">
      <c r="H3618" s="66" t="e">
        <f>IF(OR(LEFT(B3618,FIND("_",B3618,1)-1)="ULGALLOC",LEFT(B3618,FIND("_",B3618,1)-1)="ULSPOOL"),LEFT(B3618,FIND("_",B3618,1)-1),VLOOKUP(LEFT(A3618,6),'Code Library'!$D$3:$E$200,2,0))&amp;"_"&amp;RIGHT(A3618,3)</f>
        <v>#VALUE!</v>
      </c>
      <c r="I3618" s="66">
        <f t="shared" si="56"/>
        <v>0</v>
      </c>
    </row>
    <row r="3619" spans="8:9">
      <c r="H3619" s="66" t="e">
        <f>IF(OR(LEFT(B3619,FIND("_",B3619,1)-1)="ULGALLOC",LEFT(B3619,FIND("_",B3619,1)-1)="ULSPOOL"),LEFT(B3619,FIND("_",B3619,1)-1),VLOOKUP(LEFT(A3619,6),'Code Library'!$D$3:$E$200,2,0))&amp;"_"&amp;RIGHT(A3619,3)</f>
        <v>#VALUE!</v>
      </c>
      <c r="I3619" s="66">
        <f t="shared" si="56"/>
        <v>0</v>
      </c>
    </row>
    <row r="3620" spans="8:9">
      <c r="H3620" s="66" t="e">
        <f>IF(OR(LEFT(B3620,FIND("_",B3620,1)-1)="ULGALLOC",LEFT(B3620,FIND("_",B3620,1)-1)="ULSPOOL"),LEFT(B3620,FIND("_",B3620,1)-1),VLOOKUP(LEFT(A3620,6),'Code Library'!$D$3:$E$200,2,0))&amp;"_"&amp;RIGHT(A3620,3)</f>
        <v>#VALUE!</v>
      </c>
      <c r="I3620" s="66">
        <f t="shared" si="56"/>
        <v>0</v>
      </c>
    </row>
    <row r="3621" spans="8:9">
      <c r="H3621" s="66" t="e">
        <f>IF(OR(LEFT(B3621,FIND("_",B3621,1)-1)="ULGALLOC",LEFT(B3621,FIND("_",B3621,1)-1)="ULSPOOL"),LEFT(B3621,FIND("_",B3621,1)-1),VLOOKUP(LEFT(A3621,6),'Code Library'!$D$3:$E$200,2,0))&amp;"_"&amp;RIGHT(A3621,3)</f>
        <v>#VALUE!</v>
      </c>
      <c r="I3621" s="66">
        <f t="shared" si="56"/>
        <v>0</v>
      </c>
    </row>
    <row r="3622" spans="8:9">
      <c r="H3622" s="66" t="e">
        <f>IF(OR(LEFT(B3622,FIND("_",B3622,1)-1)="ULGALLOC",LEFT(B3622,FIND("_",B3622,1)-1)="ULSPOOL"),LEFT(B3622,FIND("_",B3622,1)-1),VLOOKUP(LEFT(A3622,6),'Code Library'!$D$3:$E$200,2,0))&amp;"_"&amp;RIGHT(A3622,3)</f>
        <v>#VALUE!</v>
      </c>
      <c r="I3622" s="66">
        <f t="shared" si="56"/>
        <v>0</v>
      </c>
    </row>
    <row r="3623" spans="8:9">
      <c r="H3623" s="66" t="e">
        <f>IF(OR(LEFT(B3623,FIND("_",B3623,1)-1)="ULGALLOC",LEFT(B3623,FIND("_",B3623,1)-1)="ULSPOOL"),LEFT(B3623,FIND("_",B3623,1)-1),VLOOKUP(LEFT(A3623,6),'Code Library'!$D$3:$E$200,2,0))&amp;"_"&amp;RIGHT(A3623,3)</f>
        <v>#VALUE!</v>
      </c>
      <c r="I3623" s="66">
        <f t="shared" si="56"/>
        <v>0</v>
      </c>
    </row>
    <row r="3624" spans="8:9">
      <c r="H3624" s="66" t="e">
        <f>IF(OR(LEFT(B3624,FIND("_",B3624,1)-1)="ULGALLOC",LEFT(B3624,FIND("_",B3624,1)-1)="ULSPOOL"),LEFT(B3624,FIND("_",B3624,1)-1),VLOOKUP(LEFT(A3624,6),'Code Library'!$D$3:$E$200,2,0))&amp;"_"&amp;RIGHT(A3624,3)</f>
        <v>#VALUE!</v>
      </c>
      <c r="I3624" s="66">
        <f t="shared" si="56"/>
        <v>0</v>
      </c>
    </row>
    <row r="3625" spans="8:9">
      <c r="H3625" s="66" t="e">
        <f>IF(OR(LEFT(B3625,FIND("_",B3625,1)-1)="ULGALLOC",LEFT(B3625,FIND("_",B3625,1)-1)="ULSPOOL"),LEFT(B3625,FIND("_",B3625,1)-1),VLOOKUP(LEFT(A3625,6),'Code Library'!$D$3:$E$200,2,0))&amp;"_"&amp;RIGHT(A3625,3)</f>
        <v>#VALUE!</v>
      </c>
      <c r="I3625" s="66">
        <f t="shared" si="56"/>
        <v>0</v>
      </c>
    </row>
    <row r="3626" spans="8:9">
      <c r="H3626" s="66" t="e">
        <f>IF(OR(LEFT(B3626,FIND("_",B3626,1)-1)="ULGALLOC",LEFT(B3626,FIND("_",B3626,1)-1)="ULSPOOL"),LEFT(B3626,FIND("_",B3626,1)-1),VLOOKUP(LEFT(A3626,6),'Code Library'!$D$3:$E$200,2,0))&amp;"_"&amp;RIGHT(A3626,3)</f>
        <v>#VALUE!</v>
      </c>
      <c r="I3626" s="66">
        <f t="shared" si="56"/>
        <v>0</v>
      </c>
    </row>
    <row r="3627" spans="8:9">
      <c r="H3627" s="66" t="e">
        <f>IF(OR(LEFT(B3627,FIND("_",B3627,1)-1)="ULGALLOC",LEFT(B3627,FIND("_",B3627,1)-1)="ULSPOOL"),LEFT(B3627,FIND("_",B3627,1)-1),VLOOKUP(LEFT(A3627,6),'Code Library'!$D$3:$E$200,2,0))&amp;"_"&amp;RIGHT(A3627,3)</f>
        <v>#VALUE!</v>
      </c>
      <c r="I3627" s="66">
        <f t="shared" si="56"/>
        <v>0</v>
      </c>
    </row>
    <row r="3628" spans="8:9">
      <c r="H3628" s="66" t="e">
        <f>IF(OR(LEFT(B3628,FIND("_",B3628,1)-1)="ULGALLOC",LEFT(B3628,FIND("_",B3628,1)-1)="ULSPOOL"),LEFT(B3628,FIND("_",B3628,1)-1),VLOOKUP(LEFT(A3628,6),'Code Library'!$D$3:$E$200,2,0))&amp;"_"&amp;RIGHT(A3628,3)</f>
        <v>#VALUE!</v>
      </c>
      <c r="I3628" s="66">
        <f t="shared" si="56"/>
        <v>0</v>
      </c>
    </row>
    <row r="3629" spans="8:9">
      <c r="H3629" s="66" t="e">
        <f>IF(OR(LEFT(B3629,FIND("_",B3629,1)-1)="ULGALLOC",LEFT(B3629,FIND("_",B3629,1)-1)="ULSPOOL"),LEFT(B3629,FIND("_",B3629,1)-1),VLOOKUP(LEFT(A3629,6),'Code Library'!$D$3:$E$200,2,0))&amp;"_"&amp;RIGHT(A3629,3)</f>
        <v>#VALUE!</v>
      </c>
      <c r="I3629" s="66">
        <f t="shared" si="56"/>
        <v>0</v>
      </c>
    </row>
    <row r="3630" spans="8:9">
      <c r="H3630" s="66" t="e">
        <f>IF(OR(LEFT(B3630,FIND("_",B3630,1)-1)="ULGALLOC",LEFT(B3630,FIND("_",B3630,1)-1)="ULSPOOL"),LEFT(B3630,FIND("_",B3630,1)-1),VLOOKUP(LEFT(A3630,6),'Code Library'!$D$3:$E$200,2,0))&amp;"_"&amp;RIGHT(A3630,3)</f>
        <v>#VALUE!</v>
      </c>
      <c r="I3630" s="66">
        <f t="shared" si="56"/>
        <v>0</v>
      </c>
    </row>
    <row r="3631" spans="8:9">
      <c r="H3631" s="66" t="e">
        <f>IF(OR(LEFT(B3631,FIND("_",B3631,1)-1)="ULGALLOC",LEFT(B3631,FIND("_",B3631,1)-1)="ULSPOOL"),LEFT(B3631,FIND("_",B3631,1)-1),VLOOKUP(LEFT(A3631,6),'Code Library'!$D$3:$E$200,2,0))&amp;"_"&amp;RIGHT(A3631,3)</f>
        <v>#VALUE!</v>
      </c>
      <c r="I3631" s="66">
        <f t="shared" si="56"/>
        <v>0</v>
      </c>
    </row>
    <row r="3632" spans="8:9">
      <c r="H3632" s="66" t="e">
        <f>IF(OR(LEFT(B3632,FIND("_",B3632,1)-1)="ULGALLOC",LEFT(B3632,FIND("_",B3632,1)-1)="ULSPOOL"),LEFT(B3632,FIND("_",B3632,1)-1),VLOOKUP(LEFT(A3632,6),'Code Library'!$D$3:$E$200,2,0))&amp;"_"&amp;RIGHT(A3632,3)</f>
        <v>#VALUE!</v>
      </c>
      <c r="I3632" s="66">
        <f t="shared" si="56"/>
        <v>0</v>
      </c>
    </row>
    <row r="3633" spans="8:9">
      <c r="H3633" s="66" t="e">
        <f>IF(OR(LEFT(B3633,FIND("_",B3633,1)-1)="ULGALLOC",LEFT(B3633,FIND("_",B3633,1)-1)="ULSPOOL"),LEFT(B3633,FIND("_",B3633,1)-1),VLOOKUP(LEFT(A3633,6),'Code Library'!$D$3:$E$200,2,0))&amp;"_"&amp;RIGHT(A3633,3)</f>
        <v>#VALUE!</v>
      </c>
      <c r="I3633" s="66">
        <f t="shared" si="56"/>
        <v>0</v>
      </c>
    </row>
    <row r="3634" spans="8:9">
      <c r="H3634" s="66" t="e">
        <f>IF(OR(LEFT(B3634,FIND("_",B3634,1)-1)="ULGALLOC",LEFT(B3634,FIND("_",B3634,1)-1)="ULSPOOL"),LEFT(B3634,FIND("_",B3634,1)-1),VLOOKUP(LEFT(A3634,6),'Code Library'!$D$3:$E$200,2,0))&amp;"_"&amp;RIGHT(A3634,3)</f>
        <v>#VALUE!</v>
      </c>
      <c r="I3634" s="66">
        <f t="shared" si="56"/>
        <v>0</v>
      </c>
    </row>
    <row r="3635" spans="8:9">
      <c r="H3635" s="66" t="e">
        <f>IF(OR(LEFT(B3635,FIND("_",B3635,1)-1)="ULGALLOC",LEFT(B3635,FIND("_",B3635,1)-1)="ULSPOOL"),LEFT(B3635,FIND("_",B3635,1)-1),VLOOKUP(LEFT(A3635,6),'Code Library'!$D$3:$E$200,2,0))&amp;"_"&amp;RIGHT(A3635,3)</f>
        <v>#VALUE!</v>
      </c>
      <c r="I3635" s="66">
        <f t="shared" si="56"/>
        <v>0</v>
      </c>
    </row>
    <row r="3636" spans="8:9">
      <c r="H3636" s="66" t="e">
        <f>IF(OR(LEFT(B3636,FIND("_",B3636,1)-1)="ULGALLOC",LEFT(B3636,FIND("_",B3636,1)-1)="ULSPOOL"),LEFT(B3636,FIND("_",B3636,1)-1),VLOOKUP(LEFT(A3636,6),'Code Library'!$D$3:$E$200,2,0))&amp;"_"&amp;RIGHT(A3636,3)</f>
        <v>#VALUE!</v>
      </c>
      <c r="I3636" s="66">
        <f t="shared" si="56"/>
        <v>0</v>
      </c>
    </row>
    <row r="3637" spans="8:9">
      <c r="H3637" s="66" t="e">
        <f>IF(OR(LEFT(B3637,FIND("_",B3637,1)-1)="ULGALLOC",LEFT(B3637,FIND("_",B3637,1)-1)="ULSPOOL"),LEFT(B3637,FIND("_",B3637,1)-1),VLOOKUP(LEFT(A3637,6),'Code Library'!$D$3:$E$200,2,0))&amp;"_"&amp;RIGHT(A3637,3)</f>
        <v>#VALUE!</v>
      </c>
      <c r="I3637" s="66">
        <f t="shared" si="56"/>
        <v>0</v>
      </c>
    </row>
    <row r="3638" spans="8:9">
      <c r="H3638" s="66" t="e">
        <f>IF(OR(LEFT(B3638,FIND("_",B3638,1)-1)="ULGALLOC",LEFT(B3638,FIND("_",B3638,1)-1)="ULSPOOL"),LEFT(B3638,FIND("_",B3638,1)-1),VLOOKUP(LEFT(A3638,6),'Code Library'!$D$3:$E$200,2,0))&amp;"_"&amp;RIGHT(A3638,3)</f>
        <v>#VALUE!</v>
      </c>
      <c r="I3638" s="66">
        <f t="shared" si="56"/>
        <v>0</v>
      </c>
    </row>
    <row r="3639" spans="8:9">
      <c r="H3639" s="66" t="e">
        <f>IF(OR(LEFT(B3639,FIND("_",B3639,1)-1)="ULGALLOC",LEFT(B3639,FIND("_",B3639,1)-1)="ULSPOOL"),LEFT(B3639,FIND("_",B3639,1)-1),VLOOKUP(LEFT(A3639,6),'Code Library'!$D$3:$E$200,2,0))&amp;"_"&amp;RIGHT(A3639,3)</f>
        <v>#VALUE!</v>
      </c>
      <c r="I3639" s="66">
        <f t="shared" si="56"/>
        <v>0</v>
      </c>
    </row>
    <row r="3640" spans="8:9">
      <c r="H3640" s="66" t="e">
        <f>IF(OR(LEFT(B3640,FIND("_",B3640,1)-1)="ULGALLOC",LEFT(B3640,FIND("_",B3640,1)-1)="ULSPOOL"),LEFT(B3640,FIND("_",B3640,1)-1),VLOOKUP(LEFT(A3640,6),'Code Library'!$D$3:$E$200,2,0))&amp;"_"&amp;RIGHT(A3640,3)</f>
        <v>#VALUE!</v>
      </c>
      <c r="I3640" s="66">
        <f t="shared" si="56"/>
        <v>0</v>
      </c>
    </row>
    <row r="3641" spans="8:9">
      <c r="H3641" s="66" t="e">
        <f>IF(OR(LEFT(B3641,FIND("_",B3641,1)-1)="ULGALLOC",LEFT(B3641,FIND("_",B3641,1)-1)="ULSPOOL"),LEFT(B3641,FIND("_",B3641,1)-1),VLOOKUP(LEFT(A3641,6),'Code Library'!$D$3:$E$200,2,0))&amp;"_"&amp;RIGHT(A3641,3)</f>
        <v>#VALUE!</v>
      </c>
      <c r="I3641" s="66">
        <f t="shared" si="56"/>
        <v>0</v>
      </c>
    </row>
    <row r="3642" spans="8:9">
      <c r="H3642" s="66" t="e">
        <f>IF(OR(LEFT(B3642,FIND("_",B3642,1)-1)="ULGALLOC",LEFT(B3642,FIND("_",B3642,1)-1)="ULSPOOL"),LEFT(B3642,FIND("_",B3642,1)-1),VLOOKUP(LEFT(A3642,6),'Code Library'!$D$3:$E$200,2,0))&amp;"_"&amp;RIGHT(A3642,3)</f>
        <v>#VALUE!</v>
      </c>
      <c r="I3642" s="66">
        <f t="shared" si="56"/>
        <v>0</v>
      </c>
    </row>
    <row r="3643" spans="8:9">
      <c r="H3643" s="66" t="e">
        <f>IF(OR(LEFT(B3643,FIND("_",B3643,1)-1)="ULGALLOC",LEFT(B3643,FIND("_",B3643,1)-1)="ULSPOOL"),LEFT(B3643,FIND("_",B3643,1)-1),VLOOKUP(LEFT(A3643,6),'Code Library'!$D$3:$E$200,2,0))&amp;"_"&amp;RIGHT(A3643,3)</f>
        <v>#VALUE!</v>
      </c>
      <c r="I3643" s="66">
        <f t="shared" si="56"/>
        <v>0</v>
      </c>
    </row>
    <row r="3644" spans="8:9">
      <c r="H3644" s="66" t="e">
        <f>IF(OR(LEFT(B3644,FIND("_",B3644,1)-1)="ULGALLOC",LEFT(B3644,FIND("_",B3644,1)-1)="ULSPOOL"),LEFT(B3644,FIND("_",B3644,1)-1),VLOOKUP(LEFT(A3644,6),'Code Library'!$D$3:$E$200,2,0))&amp;"_"&amp;RIGHT(A3644,3)</f>
        <v>#VALUE!</v>
      </c>
      <c r="I3644" s="66">
        <f t="shared" si="56"/>
        <v>0</v>
      </c>
    </row>
    <row r="3645" spans="8:9">
      <c r="H3645" s="66" t="e">
        <f>IF(OR(LEFT(B3645,FIND("_",B3645,1)-1)="ULGALLOC",LEFT(B3645,FIND("_",B3645,1)-1)="ULSPOOL"),LEFT(B3645,FIND("_",B3645,1)-1),VLOOKUP(LEFT(A3645,6),'Code Library'!$D$3:$E$200,2,0))&amp;"_"&amp;RIGHT(A3645,3)</f>
        <v>#VALUE!</v>
      </c>
      <c r="I3645" s="66">
        <f t="shared" si="56"/>
        <v>0</v>
      </c>
    </row>
    <row r="3646" spans="8:9">
      <c r="H3646" s="66" t="e">
        <f>IF(OR(LEFT(B3646,FIND("_",B3646,1)-1)="ULGALLOC",LEFT(B3646,FIND("_",B3646,1)-1)="ULSPOOL"),LEFT(B3646,FIND("_",B3646,1)-1),VLOOKUP(LEFT(A3646,6),'Code Library'!$D$3:$E$200,2,0))&amp;"_"&amp;RIGHT(A3646,3)</f>
        <v>#VALUE!</v>
      </c>
      <c r="I3646" s="66">
        <f t="shared" si="56"/>
        <v>0</v>
      </c>
    </row>
    <row r="3647" spans="8:9">
      <c r="H3647" s="66" t="e">
        <f>IF(OR(LEFT(B3647,FIND("_",B3647,1)-1)="ULGALLOC",LEFT(B3647,FIND("_",B3647,1)-1)="ULSPOOL"),LEFT(B3647,FIND("_",B3647,1)-1),VLOOKUP(LEFT(A3647,6),'Code Library'!$D$3:$E$200,2,0))&amp;"_"&amp;RIGHT(A3647,3)</f>
        <v>#VALUE!</v>
      </c>
      <c r="I3647" s="66">
        <f t="shared" si="56"/>
        <v>0</v>
      </c>
    </row>
    <row r="3648" spans="8:9">
      <c r="H3648" s="66" t="e">
        <f>IF(OR(LEFT(B3648,FIND("_",B3648,1)-1)="ULGALLOC",LEFT(B3648,FIND("_",B3648,1)-1)="ULSPOOL"),LEFT(B3648,FIND("_",B3648,1)-1),VLOOKUP(LEFT(A3648,6),'Code Library'!$D$3:$E$200,2,0))&amp;"_"&amp;RIGHT(A3648,3)</f>
        <v>#VALUE!</v>
      </c>
      <c r="I3648" s="66">
        <f t="shared" si="56"/>
        <v>0</v>
      </c>
    </row>
    <row r="3649" spans="8:9">
      <c r="H3649" s="66" t="e">
        <f>IF(OR(LEFT(B3649,FIND("_",B3649,1)-1)="ULGALLOC",LEFT(B3649,FIND("_",B3649,1)-1)="ULSPOOL"),LEFT(B3649,FIND("_",B3649,1)-1),VLOOKUP(LEFT(A3649,6),'Code Library'!$D$3:$E$200,2,0))&amp;"_"&amp;RIGHT(A3649,3)</f>
        <v>#VALUE!</v>
      </c>
      <c r="I3649" s="66">
        <f t="shared" si="56"/>
        <v>0</v>
      </c>
    </row>
    <row r="3650" spans="8:9">
      <c r="H3650" s="66" t="e">
        <f>IF(OR(LEFT(B3650,FIND("_",B3650,1)-1)="ULGALLOC",LEFT(B3650,FIND("_",B3650,1)-1)="ULSPOOL"),LEFT(B3650,FIND("_",B3650,1)-1),VLOOKUP(LEFT(A3650,6),'Code Library'!$D$3:$E$200,2,0))&amp;"_"&amp;RIGHT(A3650,3)</f>
        <v>#VALUE!</v>
      </c>
      <c r="I3650" s="66">
        <f t="shared" si="56"/>
        <v>0</v>
      </c>
    </row>
    <row r="3651" spans="8:9">
      <c r="H3651" s="66" t="e">
        <f>IF(OR(LEFT(B3651,FIND("_",B3651,1)-1)="ULGALLOC",LEFT(B3651,FIND("_",B3651,1)-1)="ULSPOOL"),LEFT(B3651,FIND("_",B3651,1)-1),VLOOKUP(LEFT(A3651,6),'Code Library'!$D$3:$E$200,2,0))&amp;"_"&amp;RIGHT(A3651,3)</f>
        <v>#VALUE!</v>
      </c>
      <c r="I3651" s="66">
        <f t="shared" ref="I3651:I3714" si="57">A3651</f>
        <v>0</v>
      </c>
    </row>
    <row r="3652" spans="8:9">
      <c r="H3652" s="66" t="e">
        <f>IF(OR(LEFT(B3652,FIND("_",B3652,1)-1)="ULGALLOC",LEFT(B3652,FIND("_",B3652,1)-1)="ULSPOOL"),LEFT(B3652,FIND("_",B3652,1)-1),VLOOKUP(LEFT(A3652,6),'Code Library'!$D$3:$E$200,2,0))&amp;"_"&amp;RIGHT(A3652,3)</f>
        <v>#VALUE!</v>
      </c>
      <c r="I3652" s="66">
        <f t="shared" si="57"/>
        <v>0</v>
      </c>
    </row>
    <row r="3653" spans="8:9">
      <c r="H3653" s="66" t="e">
        <f>IF(OR(LEFT(B3653,FIND("_",B3653,1)-1)="ULGALLOC",LEFT(B3653,FIND("_",B3653,1)-1)="ULSPOOL"),LEFT(B3653,FIND("_",B3653,1)-1),VLOOKUP(LEFT(A3653,6),'Code Library'!$D$3:$E$200,2,0))&amp;"_"&amp;RIGHT(A3653,3)</f>
        <v>#VALUE!</v>
      </c>
      <c r="I3653" s="66">
        <f t="shared" si="57"/>
        <v>0</v>
      </c>
    </row>
    <row r="3654" spans="8:9">
      <c r="H3654" s="66" t="e">
        <f>IF(OR(LEFT(B3654,FIND("_",B3654,1)-1)="ULGALLOC",LEFT(B3654,FIND("_",B3654,1)-1)="ULSPOOL"),LEFT(B3654,FIND("_",B3654,1)-1),VLOOKUP(LEFT(A3654,6),'Code Library'!$D$3:$E$200,2,0))&amp;"_"&amp;RIGHT(A3654,3)</f>
        <v>#VALUE!</v>
      </c>
      <c r="I3654" s="66">
        <f t="shared" si="57"/>
        <v>0</v>
      </c>
    </row>
    <row r="3655" spans="8:9">
      <c r="H3655" s="66" t="e">
        <f>IF(OR(LEFT(B3655,FIND("_",B3655,1)-1)="ULGALLOC",LEFT(B3655,FIND("_",B3655,1)-1)="ULSPOOL"),LEFT(B3655,FIND("_",B3655,1)-1),VLOOKUP(LEFT(A3655,6),'Code Library'!$D$3:$E$200,2,0))&amp;"_"&amp;RIGHT(A3655,3)</f>
        <v>#VALUE!</v>
      </c>
      <c r="I3655" s="66">
        <f t="shared" si="57"/>
        <v>0</v>
      </c>
    </row>
    <row r="3656" spans="8:9">
      <c r="H3656" s="66" t="e">
        <f>IF(OR(LEFT(B3656,FIND("_",B3656,1)-1)="ULGALLOC",LEFT(B3656,FIND("_",B3656,1)-1)="ULSPOOL"),LEFT(B3656,FIND("_",B3656,1)-1),VLOOKUP(LEFT(A3656,6),'Code Library'!$D$3:$E$200,2,0))&amp;"_"&amp;RIGHT(A3656,3)</f>
        <v>#VALUE!</v>
      </c>
      <c r="I3656" s="66">
        <f t="shared" si="57"/>
        <v>0</v>
      </c>
    </row>
    <row r="3657" spans="8:9">
      <c r="H3657" s="66" t="e">
        <f>IF(OR(LEFT(B3657,FIND("_",B3657,1)-1)="ULGALLOC",LEFT(B3657,FIND("_",B3657,1)-1)="ULSPOOL"),LEFT(B3657,FIND("_",B3657,1)-1),VLOOKUP(LEFT(A3657,6),'Code Library'!$D$3:$E$200,2,0))&amp;"_"&amp;RIGHT(A3657,3)</f>
        <v>#VALUE!</v>
      </c>
      <c r="I3657" s="66">
        <f t="shared" si="57"/>
        <v>0</v>
      </c>
    </row>
    <row r="3658" spans="8:9">
      <c r="H3658" s="66" t="e">
        <f>IF(OR(LEFT(B3658,FIND("_",B3658,1)-1)="ULGALLOC",LEFT(B3658,FIND("_",B3658,1)-1)="ULSPOOL"),LEFT(B3658,FIND("_",B3658,1)-1),VLOOKUP(LEFT(A3658,6),'Code Library'!$D$3:$E$200,2,0))&amp;"_"&amp;RIGHT(A3658,3)</f>
        <v>#VALUE!</v>
      </c>
      <c r="I3658" s="66">
        <f t="shared" si="57"/>
        <v>0</v>
      </c>
    </row>
    <row r="3659" spans="8:9">
      <c r="H3659" s="66" t="e">
        <f>IF(OR(LEFT(B3659,FIND("_",B3659,1)-1)="ULGALLOC",LEFT(B3659,FIND("_",B3659,1)-1)="ULSPOOL"),LEFT(B3659,FIND("_",B3659,1)-1),VLOOKUP(LEFT(A3659,6),'Code Library'!$D$3:$E$200,2,0))&amp;"_"&amp;RIGHT(A3659,3)</f>
        <v>#VALUE!</v>
      </c>
      <c r="I3659" s="66">
        <f t="shared" si="57"/>
        <v>0</v>
      </c>
    </row>
    <row r="3660" spans="8:9">
      <c r="H3660" s="66" t="e">
        <f>IF(OR(LEFT(B3660,FIND("_",B3660,1)-1)="ULGALLOC",LEFT(B3660,FIND("_",B3660,1)-1)="ULSPOOL"),LEFT(B3660,FIND("_",B3660,1)-1),VLOOKUP(LEFT(A3660,6),'Code Library'!$D$3:$E$200,2,0))&amp;"_"&amp;RIGHT(A3660,3)</f>
        <v>#VALUE!</v>
      </c>
      <c r="I3660" s="66">
        <f t="shared" si="57"/>
        <v>0</v>
      </c>
    </row>
    <row r="3661" spans="8:9">
      <c r="H3661" s="66" t="e">
        <f>IF(OR(LEFT(B3661,FIND("_",B3661,1)-1)="ULGALLOC",LEFT(B3661,FIND("_",B3661,1)-1)="ULSPOOL"),LEFT(B3661,FIND("_",B3661,1)-1),VLOOKUP(LEFT(A3661,6),'Code Library'!$D$3:$E$200,2,0))&amp;"_"&amp;RIGHT(A3661,3)</f>
        <v>#VALUE!</v>
      </c>
      <c r="I3661" s="66">
        <f t="shared" si="57"/>
        <v>0</v>
      </c>
    </row>
    <row r="3662" spans="8:9">
      <c r="H3662" s="66" t="e">
        <f>IF(OR(LEFT(B3662,FIND("_",B3662,1)-1)="ULGALLOC",LEFT(B3662,FIND("_",B3662,1)-1)="ULSPOOL"),LEFT(B3662,FIND("_",B3662,1)-1),VLOOKUP(LEFT(A3662,6),'Code Library'!$D$3:$E$200,2,0))&amp;"_"&amp;RIGHT(A3662,3)</f>
        <v>#VALUE!</v>
      </c>
      <c r="I3662" s="66">
        <f t="shared" si="57"/>
        <v>0</v>
      </c>
    </row>
    <row r="3663" spans="8:9">
      <c r="H3663" s="66" t="e">
        <f>IF(OR(LEFT(B3663,FIND("_",B3663,1)-1)="ULGALLOC",LEFT(B3663,FIND("_",B3663,1)-1)="ULSPOOL"),LEFT(B3663,FIND("_",B3663,1)-1),VLOOKUP(LEFT(A3663,6),'Code Library'!$D$3:$E$200,2,0))&amp;"_"&amp;RIGHT(A3663,3)</f>
        <v>#VALUE!</v>
      </c>
      <c r="I3663" s="66">
        <f t="shared" si="57"/>
        <v>0</v>
      </c>
    </row>
    <row r="3664" spans="8:9">
      <c r="H3664" s="66" t="e">
        <f>IF(OR(LEFT(B3664,FIND("_",B3664,1)-1)="ULGALLOC",LEFT(B3664,FIND("_",B3664,1)-1)="ULSPOOL"),LEFT(B3664,FIND("_",B3664,1)-1),VLOOKUP(LEFT(A3664,6),'Code Library'!$D$3:$E$200,2,0))&amp;"_"&amp;RIGHT(A3664,3)</f>
        <v>#VALUE!</v>
      </c>
      <c r="I3664" s="66">
        <f t="shared" si="57"/>
        <v>0</v>
      </c>
    </row>
    <row r="3665" spans="8:9">
      <c r="H3665" s="66" t="e">
        <f>IF(OR(LEFT(B3665,FIND("_",B3665,1)-1)="ULGALLOC",LEFT(B3665,FIND("_",B3665,1)-1)="ULSPOOL"),LEFT(B3665,FIND("_",B3665,1)-1),VLOOKUP(LEFT(A3665,6),'Code Library'!$D$3:$E$200,2,0))&amp;"_"&amp;RIGHT(A3665,3)</f>
        <v>#VALUE!</v>
      </c>
      <c r="I3665" s="66">
        <f t="shared" si="57"/>
        <v>0</v>
      </c>
    </row>
    <row r="3666" spans="8:9">
      <c r="H3666" s="66" t="e">
        <f>IF(OR(LEFT(B3666,FIND("_",B3666,1)-1)="ULGALLOC",LEFT(B3666,FIND("_",B3666,1)-1)="ULSPOOL"),LEFT(B3666,FIND("_",B3666,1)-1),VLOOKUP(LEFT(A3666,6),'Code Library'!$D$3:$E$200,2,0))&amp;"_"&amp;RIGHT(A3666,3)</f>
        <v>#VALUE!</v>
      </c>
      <c r="I3666" s="66">
        <f t="shared" si="57"/>
        <v>0</v>
      </c>
    </row>
    <row r="3667" spans="8:9">
      <c r="H3667" s="66" t="e">
        <f>IF(OR(LEFT(B3667,FIND("_",B3667,1)-1)="ULGALLOC",LEFT(B3667,FIND("_",B3667,1)-1)="ULSPOOL"),LEFT(B3667,FIND("_",B3667,1)-1),VLOOKUP(LEFT(A3667,6),'Code Library'!$D$3:$E$200,2,0))&amp;"_"&amp;RIGHT(A3667,3)</f>
        <v>#VALUE!</v>
      </c>
      <c r="I3667" s="66">
        <f t="shared" si="57"/>
        <v>0</v>
      </c>
    </row>
    <row r="3668" spans="8:9">
      <c r="H3668" s="66" t="e">
        <f>IF(OR(LEFT(B3668,FIND("_",B3668,1)-1)="ULGALLOC",LEFT(B3668,FIND("_",B3668,1)-1)="ULSPOOL"),LEFT(B3668,FIND("_",B3668,1)-1),VLOOKUP(LEFT(A3668,6),'Code Library'!$D$3:$E$200,2,0))&amp;"_"&amp;RIGHT(A3668,3)</f>
        <v>#VALUE!</v>
      </c>
      <c r="I3668" s="66">
        <f t="shared" si="57"/>
        <v>0</v>
      </c>
    </row>
    <row r="3669" spans="8:9">
      <c r="H3669" s="66" t="e">
        <f>IF(OR(LEFT(B3669,FIND("_",B3669,1)-1)="ULGALLOC",LEFT(B3669,FIND("_",B3669,1)-1)="ULSPOOL"),LEFT(B3669,FIND("_",B3669,1)-1),VLOOKUP(LEFT(A3669,6),'Code Library'!$D$3:$E$200,2,0))&amp;"_"&amp;RIGHT(A3669,3)</f>
        <v>#VALUE!</v>
      </c>
      <c r="I3669" s="66">
        <f t="shared" si="57"/>
        <v>0</v>
      </c>
    </row>
    <row r="3670" spans="8:9">
      <c r="H3670" s="66" t="e">
        <f>IF(OR(LEFT(B3670,FIND("_",B3670,1)-1)="ULGALLOC",LEFT(B3670,FIND("_",B3670,1)-1)="ULSPOOL"),LEFT(B3670,FIND("_",B3670,1)-1),VLOOKUP(LEFT(A3670,6),'Code Library'!$D$3:$E$200,2,0))&amp;"_"&amp;RIGHT(A3670,3)</f>
        <v>#VALUE!</v>
      </c>
      <c r="I3670" s="66">
        <f t="shared" si="57"/>
        <v>0</v>
      </c>
    </row>
    <row r="3671" spans="8:9">
      <c r="H3671" s="66" t="e">
        <f>IF(OR(LEFT(B3671,FIND("_",B3671,1)-1)="ULGALLOC",LEFT(B3671,FIND("_",B3671,1)-1)="ULSPOOL"),LEFT(B3671,FIND("_",B3671,1)-1),VLOOKUP(LEFT(A3671,6),'Code Library'!$D$3:$E$200,2,0))&amp;"_"&amp;RIGHT(A3671,3)</f>
        <v>#VALUE!</v>
      </c>
      <c r="I3671" s="66">
        <f t="shared" si="57"/>
        <v>0</v>
      </c>
    </row>
    <row r="3672" spans="8:9">
      <c r="H3672" s="66" t="e">
        <f>IF(OR(LEFT(B3672,FIND("_",B3672,1)-1)="ULGALLOC",LEFT(B3672,FIND("_",B3672,1)-1)="ULSPOOL"),LEFT(B3672,FIND("_",B3672,1)-1),VLOOKUP(LEFT(A3672,6),'Code Library'!$D$3:$E$200,2,0))&amp;"_"&amp;RIGHT(A3672,3)</f>
        <v>#VALUE!</v>
      </c>
      <c r="I3672" s="66">
        <f t="shared" si="57"/>
        <v>0</v>
      </c>
    </row>
    <row r="3673" spans="8:9">
      <c r="H3673" s="66" t="e">
        <f>IF(OR(LEFT(B3673,FIND("_",B3673,1)-1)="ULGALLOC",LEFT(B3673,FIND("_",B3673,1)-1)="ULSPOOL"),LEFT(B3673,FIND("_",B3673,1)-1),VLOOKUP(LEFT(A3673,6),'Code Library'!$D$3:$E$200,2,0))&amp;"_"&amp;RIGHT(A3673,3)</f>
        <v>#VALUE!</v>
      </c>
      <c r="I3673" s="66">
        <f t="shared" si="57"/>
        <v>0</v>
      </c>
    </row>
    <row r="3674" spans="8:9">
      <c r="H3674" s="66" t="e">
        <f>IF(OR(LEFT(B3674,FIND("_",B3674,1)-1)="ULGALLOC",LEFT(B3674,FIND("_",B3674,1)-1)="ULSPOOL"),LEFT(B3674,FIND("_",B3674,1)-1),VLOOKUP(LEFT(A3674,6),'Code Library'!$D$3:$E$200,2,0))&amp;"_"&amp;RIGHT(A3674,3)</f>
        <v>#VALUE!</v>
      </c>
      <c r="I3674" s="66">
        <f t="shared" si="57"/>
        <v>0</v>
      </c>
    </row>
    <row r="3675" spans="8:9">
      <c r="H3675" s="66" t="e">
        <f>IF(OR(LEFT(B3675,FIND("_",B3675,1)-1)="ULGALLOC",LEFT(B3675,FIND("_",B3675,1)-1)="ULSPOOL"),LEFT(B3675,FIND("_",B3675,1)-1),VLOOKUP(LEFT(A3675,6),'Code Library'!$D$3:$E$200,2,0))&amp;"_"&amp;RIGHT(A3675,3)</f>
        <v>#VALUE!</v>
      </c>
      <c r="I3675" s="66">
        <f t="shared" si="57"/>
        <v>0</v>
      </c>
    </row>
    <row r="3676" spans="8:9">
      <c r="H3676" s="66" t="e">
        <f>IF(OR(LEFT(B3676,FIND("_",B3676,1)-1)="ULGALLOC",LEFT(B3676,FIND("_",B3676,1)-1)="ULSPOOL"),LEFT(B3676,FIND("_",B3676,1)-1),VLOOKUP(LEFT(A3676,6),'Code Library'!$D$3:$E$200,2,0))&amp;"_"&amp;RIGHT(A3676,3)</f>
        <v>#VALUE!</v>
      </c>
      <c r="I3676" s="66">
        <f t="shared" si="57"/>
        <v>0</v>
      </c>
    </row>
    <row r="3677" spans="8:9">
      <c r="H3677" s="66" t="e">
        <f>IF(OR(LEFT(B3677,FIND("_",B3677,1)-1)="ULGALLOC",LEFT(B3677,FIND("_",B3677,1)-1)="ULSPOOL"),LEFT(B3677,FIND("_",B3677,1)-1),VLOOKUP(LEFT(A3677,6),'Code Library'!$D$3:$E$200,2,0))&amp;"_"&amp;RIGHT(A3677,3)</f>
        <v>#VALUE!</v>
      </c>
      <c r="I3677" s="66">
        <f t="shared" si="57"/>
        <v>0</v>
      </c>
    </row>
    <row r="3678" spans="8:9">
      <c r="H3678" s="66" t="e">
        <f>IF(OR(LEFT(B3678,FIND("_",B3678,1)-1)="ULGALLOC",LEFT(B3678,FIND("_",B3678,1)-1)="ULSPOOL"),LEFT(B3678,FIND("_",B3678,1)-1),VLOOKUP(LEFT(A3678,6),'Code Library'!$D$3:$E$200,2,0))&amp;"_"&amp;RIGHT(A3678,3)</f>
        <v>#VALUE!</v>
      </c>
      <c r="I3678" s="66">
        <f t="shared" si="57"/>
        <v>0</v>
      </c>
    </row>
    <row r="3679" spans="8:9">
      <c r="H3679" s="66" t="e">
        <f>IF(OR(LEFT(B3679,FIND("_",B3679,1)-1)="ULGALLOC",LEFT(B3679,FIND("_",B3679,1)-1)="ULSPOOL"),LEFT(B3679,FIND("_",B3679,1)-1),VLOOKUP(LEFT(A3679,6),'Code Library'!$D$3:$E$200,2,0))&amp;"_"&amp;RIGHT(A3679,3)</f>
        <v>#VALUE!</v>
      </c>
      <c r="I3679" s="66">
        <f t="shared" si="57"/>
        <v>0</v>
      </c>
    </row>
    <row r="3680" spans="8:9">
      <c r="H3680" s="66" t="e">
        <f>IF(OR(LEFT(B3680,FIND("_",B3680,1)-1)="ULGALLOC",LEFT(B3680,FIND("_",B3680,1)-1)="ULSPOOL"),LEFT(B3680,FIND("_",B3680,1)-1),VLOOKUP(LEFT(A3680,6),'Code Library'!$D$3:$E$200,2,0))&amp;"_"&amp;RIGHT(A3680,3)</f>
        <v>#VALUE!</v>
      </c>
      <c r="I3680" s="66">
        <f t="shared" si="57"/>
        <v>0</v>
      </c>
    </row>
    <row r="3681" spans="8:9">
      <c r="H3681" s="66" t="e">
        <f>IF(OR(LEFT(B3681,FIND("_",B3681,1)-1)="ULGALLOC",LEFT(B3681,FIND("_",B3681,1)-1)="ULSPOOL"),LEFT(B3681,FIND("_",B3681,1)-1),VLOOKUP(LEFT(A3681,6),'Code Library'!$D$3:$E$200,2,0))&amp;"_"&amp;RIGHT(A3681,3)</f>
        <v>#VALUE!</v>
      </c>
      <c r="I3681" s="66">
        <f t="shared" si="57"/>
        <v>0</v>
      </c>
    </row>
    <row r="3682" spans="8:9">
      <c r="H3682" s="66" t="e">
        <f>IF(OR(LEFT(B3682,FIND("_",B3682,1)-1)="ULGALLOC",LEFT(B3682,FIND("_",B3682,1)-1)="ULSPOOL"),LEFT(B3682,FIND("_",B3682,1)-1),VLOOKUP(LEFT(A3682,6),'Code Library'!$D$3:$E$200,2,0))&amp;"_"&amp;RIGHT(A3682,3)</f>
        <v>#VALUE!</v>
      </c>
      <c r="I3682" s="66">
        <f t="shared" si="57"/>
        <v>0</v>
      </c>
    </row>
    <row r="3683" spans="8:9">
      <c r="H3683" s="66" t="e">
        <f>IF(OR(LEFT(B3683,FIND("_",B3683,1)-1)="ULGALLOC",LEFT(B3683,FIND("_",B3683,1)-1)="ULSPOOL"),LEFT(B3683,FIND("_",B3683,1)-1),VLOOKUP(LEFT(A3683,6),'Code Library'!$D$3:$E$200,2,0))&amp;"_"&amp;RIGHT(A3683,3)</f>
        <v>#VALUE!</v>
      </c>
      <c r="I3683" s="66">
        <f t="shared" si="57"/>
        <v>0</v>
      </c>
    </row>
    <row r="3684" spans="8:9">
      <c r="H3684" s="66" t="e">
        <f>IF(OR(LEFT(B3684,FIND("_",B3684,1)-1)="ULGALLOC",LEFT(B3684,FIND("_",B3684,1)-1)="ULSPOOL"),LEFT(B3684,FIND("_",B3684,1)-1),VLOOKUP(LEFT(A3684,6),'Code Library'!$D$3:$E$200,2,0))&amp;"_"&amp;RIGHT(A3684,3)</f>
        <v>#VALUE!</v>
      </c>
      <c r="I3684" s="66">
        <f t="shared" si="57"/>
        <v>0</v>
      </c>
    </row>
    <row r="3685" spans="8:9">
      <c r="H3685" s="66" t="e">
        <f>IF(OR(LEFT(B3685,FIND("_",B3685,1)-1)="ULGALLOC",LEFT(B3685,FIND("_",B3685,1)-1)="ULSPOOL"),LEFT(B3685,FIND("_",B3685,1)-1),VLOOKUP(LEFT(A3685,6),'Code Library'!$D$3:$E$200,2,0))&amp;"_"&amp;RIGHT(A3685,3)</f>
        <v>#VALUE!</v>
      </c>
      <c r="I3685" s="66">
        <f t="shared" si="57"/>
        <v>0</v>
      </c>
    </row>
    <row r="3686" spans="8:9">
      <c r="H3686" s="66" t="e">
        <f>IF(OR(LEFT(B3686,FIND("_",B3686,1)-1)="ULGALLOC",LEFT(B3686,FIND("_",B3686,1)-1)="ULSPOOL"),LEFT(B3686,FIND("_",B3686,1)-1),VLOOKUP(LEFT(A3686,6),'Code Library'!$D$3:$E$200,2,0))&amp;"_"&amp;RIGHT(A3686,3)</f>
        <v>#VALUE!</v>
      </c>
      <c r="I3686" s="66">
        <f t="shared" si="57"/>
        <v>0</v>
      </c>
    </row>
    <row r="3687" spans="8:9">
      <c r="H3687" s="66" t="e">
        <f>IF(OR(LEFT(B3687,FIND("_",B3687,1)-1)="ULGALLOC",LEFT(B3687,FIND("_",B3687,1)-1)="ULSPOOL"),LEFT(B3687,FIND("_",B3687,1)-1),VLOOKUP(LEFT(A3687,6),'Code Library'!$D$3:$E$200,2,0))&amp;"_"&amp;RIGHT(A3687,3)</f>
        <v>#VALUE!</v>
      </c>
      <c r="I3687" s="66">
        <f t="shared" si="57"/>
        <v>0</v>
      </c>
    </row>
    <row r="3688" spans="8:9">
      <c r="H3688" s="66" t="e">
        <f>IF(OR(LEFT(B3688,FIND("_",B3688,1)-1)="ULGALLOC",LEFT(B3688,FIND("_",B3688,1)-1)="ULSPOOL"),LEFT(B3688,FIND("_",B3688,1)-1),VLOOKUP(LEFT(A3688,6),'Code Library'!$D$3:$E$200,2,0))&amp;"_"&amp;RIGHT(A3688,3)</f>
        <v>#VALUE!</v>
      </c>
      <c r="I3688" s="66">
        <f t="shared" si="57"/>
        <v>0</v>
      </c>
    </row>
    <row r="3689" spans="8:9">
      <c r="H3689" s="66" t="e">
        <f>IF(OR(LEFT(B3689,FIND("_",B3689,1)-1)="ULGALLOC",LEFT(B3689,FIND("_",B3689,1)-1)="ULSPOOL"),LEFT(B3689,FIND("_",B3689,1)-1),VLOOKUP(LEFT(A3689,6),'Code Library'!$D$3:$E$200,2,0))&amp;"_"&amp;RIGHT(A3689,3)</f>
        <v>#VALUE!</v>
      </c>
      <c r="I3689" s="66">
        <f t="shared" si="57"/>
        <v>0</v>
      </c>
    </row>
    <row r="3690" spans="8:9">
      <c r="H3690" s="66" t="e">
        <f>IF(OR(LEFT(B3690,FIND("_",B3690,1)-1)="ULGALLOC",LEFT(B3690,FIND("_",B3690,1)-1)="ULSPOOL"),LEFT(B3690,FIND("_",B3690,1)-1),VLOOKUP(LEFT(A3690,6),'Code Library'!$D$3:$E$200,2,0))&amp;"_"&amp;RIGHT(A3690,3)</f>
        <v>#VALUE!</v>
      </c>
      <c r="I3690" s="66">
        <f t="shared" si="57"/>
        <v>0</v>
      </c>
    </row>
    <row r="3691" spans="8:9">
      <c r="H3691" s="66" t="e">
        <f>IF(OR(LEFT(B3691,FIND("_",B3691,1)-1)="ULGALLOC",LEFT(B3691,FIND("_",B3691,1)-1)="ULSPOOL"),LEFT(B3691,FIND("_",B3691,1)-1),VLOOKUP(LEFT(A3691,6),'Code Library'!$D$3:$E$200,2,0))&amp;"_"&amp;RIGHT(A3691,3)</f>
        <v>#VALUE!</v>
      </c>
      <c r="I3691" s="66">
        <f t="shared" si="57"/>
        <v>0</v>
      </c>
    </row>
    <row r="3692" spans="8:9">
      <c r="H3692" s="66" t="e">
        <f>IF(OR(LEFT(B3692,FIND("_",B3692,1)-1)="ULGALLOC",LEFT(B3692,FIND("_",B3692,1)-1)="ULSPOOL"),LEFT(B3692,FIND("_",B3692,1)-1),VLOOKUP(LEFT(A3692,6),'Code Library'!$D$3:$E$200,2,0))&amp;"_"&amp;RIGHT(A3692,3)</f>
        <v>#VALUE!</v>
      </c>
      <c r="I3692" s="66">
        <f t="shared" si="57"/>
        <v>0</v>
      </c>
    </row>
    <row r="3693" spans="8:9">
      <c r="H3693" s="66" t="e">
        <f>IF(OR(LEFT(B3693,FIND("_",B3693,1)-1)="ULGALLOC",LEFT(B3693,FIND("_",B3693,1)-1)="ULSPOOL"),LEFT(B3693,FIND("_",B3693,1)-1),VLOOKUP(LEFT(A3693,6),'Code Library'!$D$3:$E$200,2,0))&amp;"_"&amp;RIGHT(A3693,3)</f>
        <v>#VALUE!</v>
      </c>
      <c r="I3693" s="66">
        <f t="shared" si="57"/>
        <v>0</v>
      </c>
    </row>
    <row r="3694" spans="8:9">
      <c r="H3694" s="66" t="e">
        <f>IF(OR(LEFT(B3694,FIND("_",B3694,1)-1)="ULGALLOC",LEFT(B3694,FIND("_",B3694,1)-1)="ULSPOOL"),LEFT(B3694,FIND("_",B3694,1)-1),VLOOKUP(LEFT(A3694,6),'Code Library'!$D$3:$E$200,2,0))&amp;"_"&amp;RIGHT(A3694,3)</f>
        <v>#VALUE!</v>
      </c>
      <c r="I3694" s="66">
        <f t="shared" si="57"/>
        <v>0</v>
      </c>
    </row>
    <row r="3695" spans="8:9">
      <c r="H3695" s="66" t="e">
        <f>IF(OR(LEFT(B3695,FIND("_",B3695,1)-1)="ULGALLOC",LEFT(B3695,FIND("_",B3695,1)-1)="ULSPOOL"),LEFT(B3695,FIND("_",B3695,1)-1),VLOOKUP(LEFT(A3695,6),'Code Library'!$D$3:$E$200,2,0))&amp;"_"&amp;RIGHT(A3695,3)</f>
        <v>#VALUE!</v>
      </c>
      <c r="I3695" s="66">
        <f t="shared" si="57"/>
        <v>0</v>
      </c>
    </row>
    <row r="3696" spans="8:9">
      <c r="H3696" s="66" t="e">
        <f>IF(OR(LEFT(B3696,FIND("_",B3696,1)-1)="ULGALLOC",LEFT(B3696,FIND("_",B3696,1)-1)="ULSPOOL"),LEFT(B3696,FIND("_",B3696,1)-1),VLOOKUP(LEFT(A3696,6),'Code Library'!$D$3:$E$200,2,0))&amp;"_"&amp;RIGHT(A3696,3)</f>
        <v>#VALUE!</v>
      </c>
      <c r="I3696" s="66">
        <f t="shared" si="57"/>
        <v>0</v>
      </c>
    </row>
    <row r="3697" spans="8:9">
      <c r="H3697" s="66" t="e">
        <f>IF(OR(LEFT(B3697,FIND("_",B3697,1)-1)="ULGALLOC",LEFT(B3697,FIND("_",B3697,1)-1)="ULSPOOL"),LEFT(B3697,FIND("_",B3697,1)-1),VLOOKUP(LEFT(A3697,6),'Code Library'!$D$3:$E$200,2,0))&amp;"_"&amp;RIGHT(A3697,3)</f>
        <v>#VALUE!</v>
      </c>
      <c r="I3697" s="66">
        <f t="shared" si="57"/>
        <v>0</v>
      </c>
    </row>
    <row r="3698" spans="8:9">
      <c r="H3698" s="66" t="e">
        <f>IF(OR(LEFT(B3698,FIND("_",B3698,1)-1)="ULGALLOC",LEFT(B3698,FIND("_",B3698,1)-1)="ULSPOOL"),LEFT(B3698,FIND("_",B3698,1)-1),VLOOKUP(LEFT(A3698,6),'Code Library'!$D$3:$E$200,2,0))&amp;"_"&amp;RIGHT(A3698,3)</f>
        <v>#VALUE!</v>
      </c>
      <c r="I3698" s="66">
        <f t="shared" si="57"/>
        <v>0</v>
      </c>
    </row>
    <row r="3699" spans="8:9">
      <c r="H3699" s="66" t="e">
        <f>IF(OR(LEFT(B3699,FIND("_",B3699,1)-1)="ULGALLOC",LEFT(B3699,FIND("_",B3699,1)-1)="ULSPOOL"),LEFT(B3699,FIND("_",B3699,1)-1),VLOOKUP(LEFT(A3699,6),'Code Library'!$D$3:$E$200,2,0))&amp;"_"&amp;RIGHT(A3699,3)</f>
        <v>#VALUE!</v>
      </c>
      <c r="I3699" s="66">
        <f t="shared" si="57"/>
        <v>0</v>
      </c>
    </row>
    <row r="3700" spans="8:9">
      <c r="H3700" s="66" t="e">
        <f>IF(OR(LEFT(B3700,FIND("_",B3700,1)-1)="ULGALLOC",LEFT(B3700,FIND("_",B3700,1)-1)="ULSPOOL"),LEFT(B3700,FIND("_",B3700,1)-1),VLOOKUP(LEFT(A3700,6),'Code Library'!$D$3:$E$200,2,0))&amp;"_"&amp;RIGHT(A3700,3)</f>
        <v>#VALUE!</v>
      </c>
      <c r="I3700" s="66">
        <f t="shared" si="57"/>
        <v>0</v>
      </c>
    </row>
    <row r="3701" spans="8:9">
      <c r="H3701" s="66" t="e">
        <f>IF(OR(LEFT(B3701,FIND("_",B3701,1)-1)="ULGALLOC",LEFT(B3701,FIND("_",B3701,1)-1)="ULSPOOL"),LEFT(B3701,FIND("_",B3701,1)-1),VLOOKUP(LEFT(A3701,6),'Code Library'!$D$3:$E$200,2,0))&amp;"_"&amp;RIGHT(A3701,3)</f>
        <v>#VALUE!</v>
      </c>
      <c r="I3701" s="66">
        <f t="shared" si="57"/>
        <v>0</v>
      </c>
    </row>
    <row r="3702" spans="8:9">
      <c r="H3702" s="66" t="e">
        <f>IF(OR(LEFT(B3702,FIND("_",B3702,1)-1)="ULGALLOC",LEFT(B3702,FIND("_",B3702,1)-1)="ULSPOOL"),LEFT(B3702,FIND("_",B3702,1)-1),VLOOKUP(LEFT(A3702,6),'Code Library'!$D$3:$E$200,2,0))&amp;"_"&amp;RIGHT(A3702,3)</f>
        <v>#VALUE!</v>
      </c>
      <c r="I3702" s="66">
        <f t="shared" si="57"/>
        <v>0</v>
      </c>
    </row>
    <row r="3703" spans="8:9">
      <c r="H3703" s="66" t="e">
        <f>IF(OR(LEFT(B3703,FIND("_",B3703,1)-1)="ULGALLOC",LEFT(B3703,FIND("_",B3703,1)-1)="ULSPOOL"),LEFT(B3703,FIND("_",B3703,1)-1),VLOOKUP(LEFT(A3703,6),'Code Library'!$D$3:$E$200,2,0))&amp;"_"&amp;RIGHT(A3703,3)</f>
        <v>#VALUE!</v>
      </c>
      <c r="I3703" s="66">
        <f t="shared" si="57"/>
        <v>0</v>
      </c>
    </row>
    <row r="3704" spans="8:9">
      <c r="H3704" s="66" t="e">
        <f>IF(OR(LEFT(B3704,FIND("_",B3704,1)-1)="ULGALLOC",LEFT(B3704,FIND("_",B3704,1)-1)="ULSPOOL"),LEFT(B3704,FIND("_",B3704,1)-1),VLOOKUP(LEFT(A3704,6),'Code Library'!$D$3:$E$200,2,0))&amp;"_"&amp;RIGHT(A3704,3)</f>
        <v>#VALUE!</v>
      </c>
      <c r="I3704" s="66">
        <f t="shared" si="57"/>
        <v>0</v>
      </c>
    </row>
    <row r="3705" spans="8:9">
      <c r="H3705" s="66" t="e">
        <f>IF(OR(LEFT(B3705,FIND("_",B3705,1)-1)="ULGALLOC",LEFT(B3705,FIND("_",B3705,1)-1)="ULSPOOL"),LEFT(B3705,FIND("_",B3705,1)-1),VLOOKUP(LEFT(A3705,6),'Code Library'!$D$3:$E$200,2,0))&amp;"_"&amp;RIGHT(A3705,3)</f>
        <v>#VALUE!</v>
      </c>
      <c r="I3705" s="66">
        <f t="shared" si="57"/>
        <v>0</v>
      </c>
    </row>
    <row r="3706" spans="8:9">
      <c r="H3706" s="66" t="e">
        <f>IF(OR(LEFT(B3706,FIND("_",B3706,1)-1)="ULGALLOC",LEFT(B3706,FIND("_",B3706,1)-1)="ULSPOOL"),LEFT(B3706,FIND("_",B3706,1)-1),VLOOKUP(LEFT(A3706,6),'Code Library'!$D$3:$E$200,2,0))&amp;"_"&amp;RIGHT(A3706,3)</f>
        <v>#VALUE!</v>
      </c>
      <c r="I3706" s="66">
        <f t="shared" si="57"/>
        <v>0</v>
      </c>
    </row>
    <row r="3707" spans="8:9">
      <c r="H3707" s="66" t="e">
        <f>IF(OR(LEFT(B3707,FIND("_",B3707,1)-1)="ULGALLOC",LEFT(B3707,FIND("_",B3707,1)-1)="ULSPOOL"),LEFT(B3707,FIND("_",B3707,1)-1),VLOOKUP(LEFT(A3707,6),'Code Library'!$D$3:$E$200,2,0))&amp;"_"&amp;RIGHT(A3707,3)</f>
        <v>#VALUE!</v>
      </c>
      <c r="I3707" s="66">
        <f t="shared" si="57"/>
        <v>0</v>
      </c>
    </row>
    <row r="3708" spans="8:9">
      <c r="H3708" s="66" t="e">
        <f>IF(OR(LEFT(B3708,FIND("_",B3708,1)-1)="ULGALLOC",LEFT(B3708,FIND("_",B3708,1)-1)="ULSPOOL"),LEFT(B3708,FIND("_",B3708,1)-1),VLOOKUP(LEFT(A3708,6),'Code Library'!$D$3:$E$200,2,0))&amp;"_"&amp;RIGHT(A3708,3)</f>
        <v>#VALUE!</v>
      </c>
      <c r="I3708" s="66">
        <f t="shared" si="57"/>
        <v>0</v>
      </c>
    </row>
    <row r="3709" spans="8:9">
      <c r="H3709" s="66" t="e">
        <f>IF(OR(LEFT(B3709,FIND("_",B3709,1)-1)="ULGALLOC",LEFT(B3709,FIND("_",B3709,1)-1)="ULSPOOL"),LEFT(B3709,FIND("_",B3709,1)-1),VLOOKUP(LEFT(A3709,6),'Code Library'!$D$3:$E$200,2,0))&amp;"_"&amp;RIGHT(A3709,3)</f>
        <v>#VALUE!</v>
      </c>
      <c r="I3709" s="66">
        <f t="shared" si="57"/>
        <v>0</v>
      </c>
    </row>
    <row r="3710" spans="8:9">
      <c r="H3710" s="66" t="e">
        <f>IF(OR(LEFT(B3710,FIND("_",B3710,1)-1)="ULGALLOC",LEFT(B3710,FIND("_",B3710,1)-1)="ULSPOOL"),LEFT(B3710,FIND("_",B3710,1)-1),VLOOKUP(LEFT(A3710,6),'Code Library'!$D$3:$E$200,2,0))&amp;"_"&amp;RIGHT(A3710,3)</f>
        <v>#VALUE!</v>
      </c>
      <c r="I3710" s="66">
        <f t="shared" si="57"/>
        <v>0</v>
      </c>
    </row>
    <row r="3711" spans="8:9">
      <c r="H3711" s="66" t="e">
        <f>IF(OR(LEFT(B3711,FIND("_",B3711,1)-1)="ULGALLOC",LEFT(B3711,FIND("_",B3711,1)-1)="ULSPOOL"),LEFT(B3711,FIND("_",B3711,1)-1),VLOOKUP(LEFT(A3711,6),'Code Library'!$D$3:$E$200,2,0))&amp;"_"&amp;RIGHT(A3711,3)</f>
        <v>#VALUE!</v>
      </c>
      <c r="I3711" s="66">
        <f t="shared" si="57"/>
        <v>0</v>
      </c>
    </row>
    <row r="3712" spans="8:9">
      <c r="H3712" s="66" t="e">
        <f>IF(OR(LEFT(B3712,FIND("_",B3712,1)-1)="ULGALLOC",LEFT(B3712,FIND("_",B3712,1)-1)="ULSPOOL"),LEFT(B3712,FIND("_",B3712,1)-1),VLOOKUP(LEFT(A3712,6),'Code Library'!$D$3:$E$200,2,0))&amp;"_"&amp;RIGHT(A3712,3)</f>
        <v>#VALUE!</v>
      </c>
      <c r="I3712" s="66">
        <f t="shared" si="57"/>
        <v>0</v>
      </c>
    </row>
    <row r="3713" spans="8:9">
      <c r="H3713" s="66" t="e">
        <f>IF(OR(LEFT(B3713,FIND("_",B3713,1)-1)="ULGALLOC",LEFT(B3713,FIND("_",B3713,1)-1)="ULSPOOL"),LEFT(B3713,FIND("_",B3713,1)-1),VLOOKUP(LEFT(A3713,6),'Code Library'!$D$3:$E$200,2,0))&amp;"_"&amp;RIGHT(A3713,3)</f>
        <v>#VALUE!</v>
      </c>
      <c r="I3713" s="66">
        <f t="shared" si="57"/>
        <v>0</v>
      </c>
    </row>
    <row r="3714" spans="8:9">
      <c r="H3714" s="66" t="e">
        <f>IF(OR(LEFT(B3714,FIND("_",B3714,1)-1)="ULGALLOC",LEFT(B3714,FIND("_",B3714,1)-1)="ULSPOOL"),LEFT(B3714,FIND("_",B3714,1)-1),VLOOKUP(LEFT(A3714,6),'Code Library'!$D$3:$E$200,2,0))&amp;"_"&amp;RIGHT(A3714,3)</f>
        <v>#VALUE!</v>
      </c>
      <c r="I3714" s="66">
        <f t="shared" si="57"/>
        <v>0</v>
      </c>
    </row>
    <row r="3715" spans="8:9">
      <c r="H3715" s="66" t="e">
        <f>IF(OR(LEFT(B3715,FIND("_",B3715,1)-1)="ULGALLOC",LEFT(B3715,FIND("_",B3715,1)-1)="ULSPOOL"),LEFT(B3715,FIND("_",B3715,1)-1),VLOOKUP(LEFT(A3715,6),'Code Library'!$D$3:$E$200,2,0))&amp;"_"&amp;RIGHT(A3715,3)</f>
        <v>#VALUE!</v>
      </c>
      <c r="I3715" s="66">
        <f t="shared" ref="I3715:I3778" si="58">A3715</f>
        <v>0</v>
      </c>
    </row>
    <row r="3716" spans="8:9">
      <c r="H3716" s="66" t="e">
        <f>IF(OR(LEFT(B3716,FIND("_",B3716,1)-1)="ULGALLOC",LEFT(B3716,FIND("_",B3716,1)-1)="ULSPOOL"),LEFT(B3716,FIND("_",B3716,1)-1),VLOOKUP(LEFT(A3716,6),'Code Library'!$D$3:$E$200,2,0))&amp;"_"&amp;RIGHT(A3716,3)</f>
        <v>#VALUE!</v>
      </c>
      <c r="I3716" s="66">
        <f t="shared" si="58"/>
        <v>0</v>
      </c>
    </row>
    <row r="3717" spans="8:9">
      <c r="H3717" s="66" t="e">
        <f>IF(OR(LEFT(B3717,FIND("_",B3717,1)-1)="ULGALLOC",LEFT(B3717,FIND("_",B3717,1)-1)="ULSPOOL"),LEFT(B3717,FIND("_",B3717,1)-1),VLOOKUP(LEFT(A3717,6),'Code Library'!$D$3:$E$200,2,0))&amp;"_"&amp;RIGHT(A3717,3)</f>
        <v>#VALUE!</v>
      </c>
      <c r="I3717" s="66">
        <f t="shared" si="58"/>
        <v>0</v>
      </c>
    </row>
    <row r="3718" spans="8:9">
      <c r="H3718" s="66" t="e">
        <f>IF(OR(LEFT(B3718,FIND("_",B3718,1)-1)="ULGALLOC",LEFT(B3718,FIND("_",B3718,1)-1)="ULSPOOL"),LEFT(B3718,FIND("_",B3718,1)-1),VLOOKUP(LEFT(A3718,6),'Code Library'!$D$3:$E$200,2,0))&amp;"_"&amp;RIGHT(A3718,3)</f>
        <v>#VALUE!</v>
      </c>
      <c r="I3718" s="66">
        <f t="shared" si="58"/>
        <v>0</v>
      </c>
    </row>
    <row r="3719" spans="8:9">
      <c r="H3719" s="66" t="e">
        <f>IF(OR(LEFT(B3719,FIND("_",B3719,1)-1)="ULGALLOC",LEFT(B3719,FIND("_",B3719,1)-1)="ULSPOOL"),LEFT(B3719,FIND("_",B3719,1)-1),VLOOKUP(LEFT(A3719,6),'Code Library'!$D$3:$E$200,2,0))&amp;"_"&amp;RIGHT(A3719,3)</f>
        <v>#VALUE!</v>
      </c>
      <c r="I3719" s="66">
        <f t="shared" si="58"/>
        <v>0</v>
      </c>
    </row>
    <row r="3720" spans="8:9">
      <c r="H3720" s="66" t="e">
        <f>IF(OR(LEFT(B3720,FIND("_",B3720,1)-1)="ULGALLOC",LEFT(B3720,FIND("_",B3720,1)-1)="ULSPOOL"),LEFT(B3720,FIND("_",B3720,1)-1),VLOOKUP(LEFT(A3720,6),'Code Library'!$D$3:$E$200,2,0))&amp;"_"&amp;RIGHT(A3720,3)</f>
        <v>#VALUE!</v>
      </c>
      <c r="I3720" s="66">
        <f t="shared" si="58"/>
        <v>0</v>
      </c>
    </row>
    <row r="3721" spans="8:9">
      <c r="H3721" s="66" t="e">
        <f>IF(OR(LEFT(B3721,FIND("_",B3721,1)-1)="ULGALLOC",LEFT(B3721,FIND("_",B3721,1)-1)="ULSPOOL"),LEFT(B3721,FIND("_",B3721,1)-1),VLOOKUP(LEFT(A3721,6),'Code Library'!$D$3:$E$200,2,0))&amp;"_"&amp;RIGHT(A3721,3)</f>
        <v>#VALUE!</v>
      </c>
      <c r="I3721" s="66">
        <f t="shared" si="58"/>
        <v>0</v>
      </c>
    </row>
    <row r="3722" spans="8:9">
      <c r="H3722" s="66" t="e">
        <f>IF(OR(LEFT(B3722,FIND("_",B3722,1)-1)="ULGALLOC",LEFT(B3722,FIND("_",B3722,1)-1)="ULSPOOL"),LEFT(B3722,FIND("_",B3722,1)-1),VLOOKUP(LEFT(A3722,6),'Code Library'!$D$3:$E$200,2,0))&amp;"_"&amp;RIGHT(A3722,3)</f>
        <v>#VALUE!</v>
      </c>
      <c r="I3722" s="66">
        <f t="shared" si="58"/>
        <v>0</v>
      </c>
    </row>
    <row r="3723" spans="8:9">
      <c r="H3723" s="66" t="e">
        <f>IF(OR(LEFT(B3723,FIND("_",B3723,1)-1)="ULGALLOC",LEFT(B3723,FIND("_",B3723,1)-1)="ULSPOOL"),LEFT(B3723,FIND("_",B3723,1)-1),VLOOKUP(LEFT(A3723,6),'Code Library'!$D$3:$E$200,2,0))&amp;"_"&amp;RIGHT(A3723,3)</f>
        <v>#VALUE!</v>
      </c>
      <c r="I3723" s="66">
        <f t="shared" si="58"/>
        <v>0</v>
      </c>
    </row>
    <row r="3724" spans="8:9">
      <c r="H3724" s="66" t="e">
        <f>IF(OR(LEFT(B3724,FIND("_",B3724,1)-1)="ULGALLOC",LEFT(B3724,FIND("_",B3724,1)-1)="ULSPOOL"),LEFT(B3724,FIND("_",B3724,1)-1),VLOOKUP(LEFT(A3724,6),'Code Library'!$D$3:$E$200,2,0))&amp;"_"&amp;RIGHT(A3724,3)</f>
        <v>#VALUE!</v>
      </c>
      <c r="I3724" s="66">
        <f t="shared" si="58"/>
        <v>0</v>
      </c>
    </row>
    <row r="3725" spans="8:9">
      <c r="H3725" s="66" t="e">
        <f>IF(OR(LEFT(B3725,FIND("_",B3725,1)-1)="ULGALLOC",LEFT(B3725,FIND("_",B3725,1)-1)="ULSPOOL"),LEFT(B3725,FIND("_",B3725,1)-1),VLOOKUP(LEFT(A3725,6),'Code Library'!$D$3:$E$200,2,0))&amp;"_"&amp;RIGHT(A3725,3)</f>
        <v>#VALUE!</v>
      </c>
      <c r="I3725" s="66">
        <f t="shared" si="58"/>
        <v>0</v>
      </c>
    </row>
    <row r="3726" spans="8:9">
      <c r="H3726" s="66" t="e">
        <f>IF(OR(LEFT(B3726,FIND("_",B3726,1)-1)="ULGALLOC",LEFT(B3726,FIND("_",B3726,1)-1)="ULSPOOL"),LEFT(B3726,FIND("_",B3726,1)-1),VLOOKUP(LEFT(A3726,6),'Code Library'!$D$3:$E$200,2,0))&amp;"_"&amp;RIGHT(A3726,3)</f>
        <v>#VALUE!</v>
      </c>
      <c r="I3726" s="66">
        <f t="shared" si="58"/>
        <v>0</v>
      </c>
    </row>
    <row r="3727" spans="8:9">
      <c r="H3727" s="66" t="e">
        <f>IF(OR(LEFT(B3727,FIND("_",B3727,1)-1)="ULGALLOC",LEFT(B3727,FIND("_",B3727,1)-1)="ULSPOOL"),LEFT(B3727,FIND("_",B3727,1)-1),VLOOKUP(LEFT(A3727,6),'Code Library'!$D$3:$E$200,2,0))&amp;"_"&amp;RIGHT(A3727,3)</f>
        <v>#VALUE!</v>
      </c>
      <c r="I3727" s="66">
        <f t="shared" si="58"/>
        <v>0</v>
      </c>
    </row>
    <row r="3728" spans="8:9">
      <c r="H3728" s="66" t="e">
        <f>IF(OR(LEFT(B3728,FIND("_",B3728,1)-1)="ULGALLOC",LEFT(B3728,FIND("_",B3728,1)-1)="ULSPOOL"),LEFT(B3728,FIND("_",B3728,1)-1),VLOOKUP(LEFT(A3728,6),'Code Library'!$D$3:$E$200,2,0))&amp;"_"&amp;RIGHT(A3728,3)</f>
        <v>#VALUE!</v>
      </c>
      <c r="I3728" s="66">
        <f t="shared" si="58"/>
        <v>0</v>
      </c>
    </row>
    <row r="3729" spans="8:9">
      <c r="H3729" s="66" t="e">
        <f>IF(OR(LEFT(B3729,FIND("_",B3729,1)-1)="ULGALLOC",LEFT(B3729,FIND("_",B3729,1)-1)="ULSPOOL"),LEFT(B3729,FIND("_",B3729,1)-1),VLOOKUP(LEFT(A3729,6),'Code Library'!$D$3:$E$200,2,0))&amp;"_"&amp;RIGHT(A3729,3)</f>
        <v>#VALUE!</v>
      </c>
      <c r="I3729" s="66">
        <f t="shared" si="58"/>
        <v>0</v>
      </c>
    </row>
    <row r="3730" spans="8:9">
      <c r="H3730" s="66" t="e">
        <f>IF(OR(LEFT(B3730,FIND("_",B3730,1)-1)="ULGALLOC",LEFT(B3730,FIND("_",B3730,1)-1)="ULSPOOL"),LEFT(B3730,FIND("_",B3730,1)-1),VLOOKUP(LEFT(A3730,6),'Code Library'!$D$3:$E$200,2,0))&amp;"_"&amp;RIGHT(A3730,3)</f>
        <v>#VALUE!</v>
      </c>
      <c r="I3730" s="66">
        <f t="shared" si="58"/>
        <v>0</v>
      </c>
    </row>
    <row r="3731" spans="8:9">
      <c r="H3731" s="66" t="e">
        <f>IF(OR(LEFT(B3731,FIND("_",B3731,1)-1)="ULGALLOC",LEFT(B3731,FIND("_",B3731,1)-1)="ULSPOOL"),LEFT(B3731,FIND("_",B3731,1)-1),VLOOKUP(LEFT(A3731,6),'Code Library'!$D$3:$E$200,2,0))&amp;"_"&amp;RIGHT(A3731,3)</f>
        <v>#VALUE!</v>
      </c>
      <c r="I3731" s="66">
        <f t="shared" si="58"/>
        <v>0</v>
      </c>
    </row>
    <row r="3732" spans="8:9">
      <c r="H3732" s="66" t="e">
        <f>IF(OR(LEFT(B3732,FIND("_",B3732,1)-1)="ULGALLOC",LEFT(B3732,FIND("_",B3732,1)-1)="ULSPOOL"),LEFT(B3732,FIND("_",B3732,1)-1),VLOOKUP(LEFT(A3732,6),'Code Library'!$D$3:$E$200,2,0))&amp;"_"&amp;RIGHT(A3732,3)</f>
        <v>#VALUE!</v>
      </c>
      <c r="I3732" s="66">
        <f t="shared" si="58"/>
        <v>0</v>
      </c>
    </row>
    <row r="3733" spans="8:9">
      <c r="H3733" s="66" t="e">
        <f>IF(OR(LEFT(B3733,FIND("_",B3733,1)-1)="ULGALLOC",LEFT(B3733,FIND("_",B3733,1)-1)="ULSPOOL"),LEFT(B3733,FIND("_",B3733,1)-1),VLOOKUP(LEFT(A3733,6),'Code Library'!$D$3:$E$200,2,0))&amp;"_"&amp;RIGHT(A3733,3)</f>
        <v>#VALUE!</v>
      </c>
      <c r="I3733" s="66">
        <f t="shared" si="58"/>
        <v>0</v>
      </c>
    </row>
    <row r="3734" spans="8:9">
      <c r="H3734" s="66" t="e">
        <f>IF(OR(LEFT(B3734,FIND("_",B3734,1)-1)="ULGALLOC",LEFT(B3734,FIND("_",B3734,1)-1)="ULSPOOL"),LEFT(B3734,FIND("_",B3734,1)-1),VLOOKUP(LEFT(A3734,6),'Code Library'!$D$3:$E$200,2,0))&amp;"_"&amp;RIGHT(A3734,3)</f>
        <v>#VALUE!</v>
      </c>
      <c r="I3734" s="66">
        <f t="shared" si="58"/>
        <v>0</v>
      </c>
    </row>
    <row r="3735" spans="8:9">
      <c r="H3735" s="66" t="e">
        <f>IF(OR(LEFT(B3735,FIND("_",B3735,1)-1)="ULGALLOC",LEFT(B3735,FIND("_",B3735,1)-1)="ULSPOOL"),LEFT(B3735,FIND("_",B3735,1)-1),VLOOKUP(LEFT(A3735,6),'Code Library'!$D$3:$E$200,2,0))&amp;"_"&amp;RIGHT(A3735,3)</f>
        <v>#VALUE!</v>
      </c>
      <c r="I3735" s="66">
        <f t="shared" si="58"/>
        <v>0</v>
      </c>
    </row>
    <row r="3736" spans="8:9">
      <c r="H3736" s="66" t="e">
        <f>IF(OR(LEFT(B3736,FIND("_",B3736,1)-1)="ULGALLOC",LEFT(B3736,FIND("_",B3736,1)-1)="ULSPOOL"),LEFT(B3736,FIND("_",B3736,1)-1),VLOOKUP(LEFT(A3736,6),'Code Library'!$D$3:$E$200,2,0))&amp;"_"&amp;RIGHT(A3736,3)</f>
        <v>#VALUE!</v>
      </c>
      <c r="I3736" s="66">
        <f t="shared" si="58"/>
        <v>0</v>
      </c>
    </row>
    <row r="3737" spans="8:9">
      <c r="H3737" s="66" t="e">
        <f>IF(OR(LEFT(B3737,FIND("_",B3737,1)-1)="ULGALLOC",LEFT(B3737,FIND("_",B3737,1)-1)="ULSPOOL"),LEFT(B3737,FIND("_",B3737,1)-1),VLOOKUP(LEFT(A3737,6),'Code Library'!$D$3:$E$200,2,0))&amp;"_"&amp;RIGHT(A3737,3)</f>
        <v>#VALUE!</v>
      </c>
      <c r="I3737" s="66">
        <f t="shared" si="58"/>
        <v>0</v>
      </c>
    </row>
    <row r="3738" spans="8:9">
      <c r="H3738" s="66" t="e">
        <f>IF(OR(LEFT(B3738,FIND("_",B3738,1)-1)="ULGALLOC",LEFT(B3738,FIND("_",B3738,1)-1)="ULSPOOL"),LEFT(B3738,FIND("_",B3738,1)-1),VLOOKUP(LEFT(A3738,6),'Code Library'!$D$3:$E$200,2,0))&amp;"_"&amp;RIGHT(A3738,3)</f>
        <v>#VALUE!</v>
      </c>
      <c r="I3738" s="66">
        <f t="shared" si="58"/>
        <v>0</v>
      </c>
    </row>
    <row r="3739" spans="8:9">
      <c r="H3739" s="66" t="e">
        <f>IF(OR(LEFT(B3739,FIND("_",B3739,1)-1)="ULGALLOC",LEFT(B3739,FIND("_",B3739,1)-1)="ULSPOOL"),LEFT(B3739,FIND("_",B3739,1)-1),VLOOKUP(LEFT(A3739,6),'Code Library'!$D$3:$E$200,2,0))&amp;"_"&amp;RIGHT(A3739,3)</f>
        <v>#VALUE!</v>
      </c>
      <c r="I3739" s="66">
        <f t="shared" si="58"/>
        <v>0</v>
      </c>
    </row>
    <row r="3740" spans="8:9">
      <c r="H3740" s="66" t="e">
        <f>IF(OR(LEFT(B3740,FIND("_",B3740,1)-1)="ULGALLOC",LEFT(B3740,FIND("_",B3740,1)-1)="ULSPOOL"),LEFT(B3740,FIND("_",B3740,1)-1),VLOOKUP(LEFT(A3740,6),'Code Library'!$D$3:$E$200,2,0))&amp;"_"&amp;RIGHT(A3740,3)</f>
        <v>#VALUE!</v>
      </c>
      <c r="I3740" s="66">
        <f t="shared" si="58"/>
        <v>0</v>
      </c>
    </row>
    <row r="3741" spans="8:9">
      <c r="H3741" s="66" t="e">
        <f>IF(OR(LEFT(B3741,FIND("_",B3741,1)-1)="ULGALLOC",LEFT(B3741,FIND("_",B3741,1)-1)="ULSPOOL"),LEFT(B3741,FIND("_",B3741,1)-1),VLOOKUP(LEFT(A3741,6),'Code Library'!$D$3:$E$200,2,0))&amp;"_"&amp;RIGHT(A3741,3)</f>
        <v>#VALUE!</v>
      </c>
      <c r="I3741" s="66">
        <f t="shared" si="58"/>
        <v>0</v>
      </c>
    </row>
    <row r="3742" spans="8:9">
      <c r="H3742" s="66" t="e">
        <f>IF(OR(LEFT(B3742,FIND("_",B3742,1)-1)="ULGALLOC",LEFT(B3742,FIND("_",B3742,1)-1)="ULSPOOL"),LEFT(B3742,FIND("_",B3742,1)-1),VLOOKUP(LEFT(A3742,6),'Code Library'!$D$3:$E$200,2,0))&amp;"_"&amp;RIGHT(A3742,3)</f>
        <v>#VALUE!</v>
      </c>
      <c r="I3742" s="66">
        <f t="shared" si="58"/>
        <v>0</v>
      </c>
    </row>
    <row r="3743" spans="8:9">
      <c r="H3743" s="66" t="e">
        <f>IF(OR(LEFT(B3743,FIND("_",B3743,1)-1)="ULGALLOC",LEFT(B3743,FIND("_",B3743,1)-1)="ULSPOOL"),LEFT(B3743,FIND("_",B3743,1)-1),VLOOKUP(LEFT(A3743,6),'Code Library'!$D$3:$E$200,2,0))&amp;"_"&amp;RIGHT(A3743,3)</f>
        <v>#VALUE!</v>
      </c>
      <c r="I3743" s="66">
        <f t="shared" si="58"/>
        <v>0</v>
      </c>
    </row>
    <row r="3744" spans="8:9">
      <c r="H3744" s="66" t="e">
        <f>IF(OR(LEFT(B3744,FIND("_",B3744,1)-1)="ULGALLOC",LEFT(B3744,FIND("_",B3744,1)-1)="ULSPOOL"),LEFT(B3744,FIND("_",B3744,1)-1),VLOOKUP(LEFT(A3744,6),'Code Library'!$D$3:$E$200,2,0))&amp;"_"&amp;RIGHT(A3744,3)</f>
        <v>#VALUE!</v>
      </c>
      <c r="I3744" s="66">
        <f t="shared" si="58"/>
        <v>0</v>
      </c>
    </row>
    <row r="3745" spans="8:9">
      <c r="H3745" s="66" t="e">
        <f>IF(OR(LEFT(B3745,FIND("_",B3745,1)-1)="ULGALLOC",LEFT(B3745,FIND("_",B3745,1)-1)="ULSPOOL"),LEFT(B3745,FIND("_",B3745,1)-1),VLOOKUP(LEFT(A3745,6),'Code Library'!$D$3:$E$200,2,0))&amp;"_"&amp;RIGHT(A3745,3)</f>
        <v>#VALUE!</v>
      </c>
      <c r="I3745" s="66">
        <f t="shared" si="58"/>
        <v>0</v>
      </c>
    </row>
    <row r="3746" spans="8:9">
      <c r="H3746" s="66" t="e">
        <f>IF(OR(LEFT(B3746,FIND("_",B3746,1)-1)="ULGALLOC",LEFT(B3746,FIND("_",B3746,1)-1)="ULSPOOL"),LEFT(B3746,FIND("_",B3746,1)-1),VLOOKUP(LEFT(A3746,6),'Code Library'!$D$3:$E$200,2,0))&amp;"_"&amp;RIGHT(A3746,3)</f>
        <v>#VALUE!</v>
      </c>
      <c r="I3746" s="66">
        <f t="shared" si="58"/>
        <v>0</v>
      </c>
    </row>
    <row r="3747" spans="8:9">
      <c r="H3747" s="66" t="e">
        <f>IF(OR(LEFT(B3747,FIND("_",B3747,1)-1)="ULGALLOC",LEFT(B3747,FIND("_",B3747,1)-1)="ULSPOOL"),LEFT(B3747,FIND("_",B3747,1)-1),VLOOKUP(LEFT(A3747,6),'Code Library'!$D$3:$E$200,2,0))&amp;"_"&amp;RIGHT(A3747,3)</f>
        <v>#VALUE!</v>
      </c>
      <c r="I3747" s="66">
        <f t="shared" si="58"/>
        <v>0</v>
      </c>
    </row>
    <row r="3748" spans="8:9">
      <c r="H3748" s="66" t="e">
        <f>IF(OR(LEFT(B3748,FIND("_",B3748,1)-1)="ULGALLOC",LEFT(B3748,FIND("_",B3748,1)-1)="ULSPOOL"),LEFT(B3748,FIND("_",B3748,1)-1),VLOOKUP(LEFT(A3748,6),'Code Library'!$D$3:$E$200,2,0))&amp;"_"&amp;RIGHT(A3748,3)</f>
        <v>#VALUE!</v>
      </c>
      <c r="I3748" s="66">
        <f t="shared" si="58"/>
        <v>0</v>
      </c>
    </row>
    <row r="3749" spans="8:9">
      <c r="H3749" s="66" t="e">
        <f>IF(OR(LEFT(B3749,FIND("_",B3749,1)-1)="ULGALLOC",LEFT(B3749,FIND("_",B3749,1)-1)="ULSPOOL"),LEFT(B3749,FIND("_",B3749,1)-1),VLOOKUP(LEFT(A3749,6),'Code Library'!$D$3:$E$200,2,0))&amp;"_"&amp;RIGHT(A3749,3)</f>
        <v>#VALUE!</v>
      </c>
      <c r="I3749" s="66">
        <f t="shared" si="58"/>
        <v>0</v>
      </c>
    </row>
    <row r="3750" spans="8:9">
      <c r="H3750" s="66" t="e">
        <f>IF(OR(LEFT(B3750,FIND("_",B3750,1)-1)="ULGALLOC",LEFT(B3750,FIND("_",B3750,1)-1)="ULSPOOL"),LEFT(B3750,FIND("_",B3750,1)-1),VLOOKUP(LEFT(A3750,6),'Code Library'!$D$3:$E$200,2,0))&amp;"_"&amp;RIGHT(A3750,3)</f>
        <v>#VALUE!</v>
      </c>
      <c r="I3750" s="66">
        <f t="shared" si="58"/>
        <v>0</v>
      </c>
    </row>
    <row r="3751" spans="8:9">
      <c r="H3751" s="66" t="e">
        <f>IF(OR(LEFT(B3751,FIND("_",B3751,1)-1)="ULGALLOC",LEFT(B3751,FIND("_",B3751,1)-1)="ULSPOOL"),LEFT(B3751,FIND("_",B3751,1)-1),VLOOKUP(LEFT(A3751,6),'Code Library'!$D$3:$E$200,2,0))&amp;"_"&amp;RIGHT(A3751,3)</f>
        <v>#VALUE!</v>
      </c>
      <c r="I3751" s="66">
        <f t="shared" si="58"/>
        <v>0</v>
      </c>
    </row>
    <row r="3752" spans="8:9">
      <c r="H3752" s="66" t="e">
        <f>IF(OR(LEFT(B3752,FIND("_",B3752,1)-1)="ULGALLOC",LEFT(B3752,FIND("_",B3752,1)-1)="ULSPOOL"),LEFT(B3752,FIND("_",B3752,1)-1),VLOOKUP(LEFT(A3752,6),'Code Library'!$D$3:$E$200,2,0))&amp;"_"&amp;RIGHT(A3752,3)</f>
        <v>#VALUE!</v>
      </c>
      <c r="I3752" s="66">
        <f t="shared" si="58"/>
        <v>0</v>
      </c>
    </row>
    <row r="3753" spans="8:9">
      <c r="H3753" s="66" t="e">
        <f>IF(OR(LEFT(B3753,FIND("_",B3753,1)-1)="ULGALLOC",LEFT(B3753,FIND("_",B3753,1)-1)="ULSPOOL"),LEFT(B3753,FIND("_",B3753,1)-1),VLOOKUP(LEFT(A3753,6),'Code Library'!$D$3:$E$200,2,0))&amp;"_"&amp;RIGHT(A3753,3)</f>
        <v>#VALUE!</v>
      </c>
      <c r="I3753" s="66">
        <f t="shared" si="58"/>
        <v>0</v>
      </c>
    </row>
    <row r="3754" spans="8:9">
      <c r="H3754" s="66" t="e">
        <f>IF(OR(LEFT(B3754,FIND("_",B3754,1)-1)="ULGALLOC",LEFT(B3754,FIND("_",B3754,1)-1)="ULSPOOL"),LEFT(B3754,FIND("_",B3754,1)-1),VLOOKUP(LEFT(A3754,6),'Code Library'!$D$3:$E$200,2,0))&amp;"_"&amp;RIGHT(A3754,3)</f>
        <v>#VALUE!</v>
      </c>
      <c r="I3754" s="66">
        <f t="shared" si="58"/>
        <v>0</v>
      </c>
    </row>
    <row r="3755" spans="8:9">
      <c r="H3755" s="66" t="e">
        <f>IF(OR(LEFT(B3755,FIND("_",B3755,1)-1)="ULGALLOC",LEFT(B3755,FIND("_",B3755,1)-1)="ULSPOOL"),LEFT(B3755,FIND("_",B3755,1)-1),VLOOKUP(LEFT(A3755,6),'Code Library'!$D$3:$E$200,2,0))&amp;"_"&amp;RIGHT(A3755,3)</f>
        <v>#VALUE!</v>
      </c>
      <c r="I3755" s="66">
        <f t="shared" si="58"/>
        <v>0</v>
      </c>
    </row>
    <row r="3756" spans="8:9">
      <c r="H3756" s="66" t="e">
        <f>IF(OR(LEFT(B3756,FIND("_",B3756,1)-1)="ULGALLOC",LEFT(B3756,FIND("_",B3756,1)-1)="ULSPOOL"),LEFT(B3756,FIND("_",B3756,1)-1),VLOOKUP(LEFT(A3756,6),'Code Library'!$D$3:$E$200,2,0))&amp;"_"&amp;RIGHT(A3756,3)</f>
        <v>#VALUE!</v>
      </c>
      <c r="I3756" s="66">
        <f t="shared" si="58"/>
        <v>0</v>
      </c>
    </row>
    <row r="3757" spans="8:9">
      <c r="H3757" s="66" t="e">
        <f>IF(OR(LEFT(B3757,FIND("_",B3757,1)-1)="ULGALLOC",LEFT(B3757,FIND("_",B3757,1)-1)="ULSPOOL"),LEFT(B3757,FIND("_",B3757,1)-1),VLOOKUP(LEFT(A3757,6),'Code Library'!$D$3:$E$200,2,0))&amp;"_"&amp;RIGHT(A3757,3)</f>
        <v>#VALUE!</v>
      </c>
      <c r="I3757" s="66">
        <f t="shared" si="58"/>
        <v>0</v>
      </c>
    </row>
    <row r="3758" spans="8:9">
      <c r="H3758" s="66" t="e">
        <f>IF(OR(LEFT(B3758,FIND("_",B3758,1)-1)="ULGALLOC",LEFT(B3758,FIND("_",B3758,1)-1)="ULSPOOL"),LEFT(B3758,FIND("_",B3758,1)-1),VLOOKUP(LEFT(A3758,6),'Code Library'!$D$3:$E$200,2,0))&amp;"_"&amp;RIGHT(A3758,3)</f>
        <v>#VALUE!</v>
      </c>
      <c r="I3758" s="66">
        <f t="shared" si="58"/>
        <v>0</v>
      </c>
    </row>
    <row r="3759" spans="8:9">
      <c r="H3759" s="66" t="e">
        <f>IF(OR(LEFT(B3759,FIND("_",B3759,1)-1)="ULGALLOC",LEFT(B3759,FIND("_",B3759,1)-1)="ULSPOOL"),LEFT(B3759,FIND("_",B3759,1)-1),VLOOKUP(LEFT(A3759,6),'Code Library'!$D$3:$E$200,2,0))&amp;"_"&amp;RIGHT(A3759,3)</f>
        <v>#VALUE!</v>
      </c>
      <c r="I3759" s="66">
        <f t="shared" si="58"/>
        <v>0</v>
      </c>
    </row>
    <row r="3760" spans="8:9">
      <c r="H3760" s="66" t="e">
        <f>IF(OR(LEFT(B3760,FIND("_",B3760,1)-1)="ULGALLOC",LEFT(B3760,FIND("_",B3760,1)-1)="ULSPOOL"),LEFT(B3760,FIND("_",B3760,1)-1),VLOOKUP(LEFT(A3760,6),'Code Library'!$D$3:$E$200,2,0))&amp;"_"&amp;RIGHT(A3760,3)</f>
        <v>#VALUE!</v>
      </c>
      <c r="I3760" s="66">
        <f t="shared" si="58"/>
        <v>0</v>
      </c>
    </row>
    <row r="3761" spans="8:9">
      <c r="H3761" s="66" t="e">
        <f>IF(OR(LEFT(B3761,FIND("_",B3761,1)-1)="ULGALLOC",LEFT(B3761,FIND("_",B3761,1)-1)="ULSPOOL"),LEFT(B3761,FIND("_",B3761,1)-1),VLOOKUP(LEFT(A3761,6),'Code Library'!$D$3:$E$200,2,0))&amp;"_"&amp;RIGHT(A3761,3)</f>
        <v>#VALUE!</v>
      </c>
      <c r="I3761" s="66">
        <f t="shared" si="58"/>
        <v>0</v>
      </c>
    </row>
    <row r="3762" spans="8:9">
      <c r="H3762" s="66" t="e">
        <f>IF(OR(LEFT(B3762,FIND("_",B3762,1)-1)="ULGALLOC",LEFT(B3762,FIND("_",B3762,1)-1)="ULSPOOL"),LEFT(B3762,FIND("_",B3762,1)-1),VLOOKUP(LEFT(A3762,6),'Code Library'!$D$3:$E$200,2,0))&amp;"_"&amp;RIGHT(A3762,3)</f>
        <v>#VALUE!</v>
      </c>
      <c r="I3762" s="66">
        <f t="shared" si="58"/>
        <v>0</v>
      </c>
    </row>
    <row r="3763" spans="8:9">
      <c r="H3763" s="66" t="e">
        <f>IF(OR(LEFT(B3763,FIND("_",B3763,1)-1)="ULGALLOC",LEFT(B3763,FIND("_",B3763,1)-1)="ULSPOOL"),LEFT(B3763,FIND("_",B3763,1)-1),VLOOKUP(LEFT(A3763,6),'Code Library'!$D$3:$E$200,2,0))&amp;"_"&amp;RIGHT(A3763,3)</f>
        <v>#VALUE!</v>
      </c>
      <c r="I3763" s="66">
        <f t="shared" si="58"/>
        <v>0</v>
      </c>
    </row>
    <row r="3764" spans="8:9">
      <c r="H3764" s="66" t="e">
        <f>IF(OR(LEFT(B3764,FIND("_",B3764,1)-1)="ULGALLOC",LEFT(B3764,FIND("_",B3764,1)-1)="ULSPOOL"),LEFT(B3764,FIND("_",B3764,1)-1),VLOOKUP(LEFT(A3764,6),'Code Library'!$D$3:$E$200,2,0))&amp;"_"&amp;RIGHT(A3764,3)</f>
        <v>#VALUE!</v>
      </c>
      <c r="I3764" s="66">
        <f t="shared" si="58"/>
        <v>0</v>
      </c>
    </row>
    <row r="3765" spans="8:9">
      <c r="H3765" s="66" t="e">
        <f>IF(OR(LEFT(B3765,FIND("_",B3765,1)-1)="ULGALLOC",LEFT(B3765,FIND("_",B3765,1)-1)="ULSPOOL"),LEFT(B3765,FIND("_",B3765,1)-1),VLOOKUP(LEFT(A3765,6),'Code Library'!$D$3:$E$200,2,0))&amp;"_"&amp;RIGHT(A3765,3)</f>
        <v>#VALUE!</v>
      </c>
      <c r="I3765" s="66">
        <f t="shared" si="58"/>
        <v>0</v>
      </c>
    </row>
    <row r="3766" spans="8:9">
      <c r="H3766" s="66" t="e">
        <f>IF(OR(LEFT(B3766,FIND("_",B3766,1)-1)="ULGALLOC",LEFT(B3766,FIND("_",B3766,1)-1)="ULSPOOL"),LEFT(B3766,FIND("_",B3766,1)-1),VLOOKUP(LEFT(A3766,6),'Code Library'!$D$3:$E$200,2,0))&amp;"_"&amp;RIGHT(A3766,3)</f>
        <v>#VALUE!</v>
      </c>
      <c r="I3766" s="66">
        <f t="shared" si="58"/>
        <v>0</v>
      </c>
    </row>
    <row r="3767" spans="8:9">
      <c r="H3767" s="66" t="e">
        <f>IF(OR(LEFT(B3767,FIND("_",B3767,1)-1)="ULGALLOC",LEFT(B3767,FIND("_",B3767,1)-1)="ULSPOOL"),LEFT(B3767,FIND("_",B3767,1)-1),VLOOKUP(LEFT(A3767,6),'Code Library'!$D$3:$E$200,2,0))&amp;"_"&amp;RIGHT(A3767,3)</f>
        <v>#VALUE!</v>
      </c>
      <c r="I3767" s="66">
        <f t="shared" si="58"/>
        <v>0</v>
      </c>
    </row>
    <row r="3768" spans="8:9">
      <c r="H3768" s="66" t="e">
        <f>IF(OR(LEFT(B3768,FIND("_",B3768,1)-1)="ULGALLOC",LEFT(B3768,FIND("_",B3768,1)-1)="ULSPOOL"),LEFT(B3768,FIND("_",B3768,1)-1),VLOOKUP(LEFT(A3768,6),'Code Library'!$D$3:$E$200,2,0))&amp;"_"&amp;RIGHT(A3768,3)</f>
        <v>#VALUE!</v>
      </c>
      <c r="I3768" s="66">
        <f t="shared" si="58"/>
        <v>0</v>
      </c>
    </row>
    <row r="3769" spans="8:9">
      <c r="H3769" s="66" t="e">
        <f>IF(OR(LEFT(B3769,FIND("_",B3769,1)-1)="ULGALLOC",LEFT(B3769,FIND("_",B3769,1)-1)="ULSPOOL"),LEFT(B3769,FIND("_",B3769,1)-1),VLOOKUP(LEFT(A3769,6),'Code Library'!$D$3:$E$200,2,0))&amp;"_"&amp;RIGHT(A3769,3)</f>
        <v>#VALUE!</v>
      </c>
      <c r="I3769" s="66">
        <f t="shared" si="58"/>
        <v>0</v>
      </c>
    </row>
    <row r="3770" spans="8:9">
      <c r="H3770" s="66" t="e">
        <f>IF(OR(LEFT(B3770,FIND("_",B3770,1)-1)="ULGALLOC",LEFT(B3770,FIND("_",B3770,1)-1)="ULSPOOL"),LEFT(B3770,FIND("_",B3770,1)-1),VLOOKUP(LEFT(A3770,6),'Code Library'!$D$3:$E$200,2,0))&amp;"_"&amp;RIGHT(A3770,3)</f>
        <v>#VALUE!</v>
      </c>
      <c r="I3770" s="66">
        <f t="shared" si="58"/>
        <v>0</v>
      </c>
    </row>
    <row r="3771" spans="8:9">
      <c r="H3771" s="66" t="e">
        <f>IF(OR(LEFT(B3771,FIND("_",B3771,1)-1)="ULGALLOC",LEFT(B3771,FIND("_",B3771,1)-1)="ULSPOOL"),LEFT(B3771,FIND("_",B3771,1)-1),VLOOKUP(LEFT(A3771,6),'Code Library'!$D$3:$E$200,2,0))&amp;"_"&amp;RIGHT(A3771,3)</f>
        <v>#VALUE!</v>
      </c>
      <c r="I3771" s="66">
        <f t="shared" si="58"/>
        <v>0</v>
      </c>
    </row>
    <row r="3772" spans="8:9">
      <c r="H3772" s="66" t="e">
        <f>IF(OR(LEFT(B3772,FIND("_",B3772,1)-1)="ULGALLOC",LEFT(B3772,FIND("_",B3772,1)-1)="ULSPOOL"),LEFT(B3772,FIND("_",B3772,1)-1),VLOOKUP(LEFT(A3772,6),'Code Library'!$D$3:$E$200,2,0))&amp;"_"&amp;RIGHT(A3772,3)</f>
        <v>#VALUE!</v>
      </c>
      <c r="I3772" s="66">
        <f t="shared" si="58"/>
        <v>0</v>
      </c>
    </row>
    <row r="3773" spans="8:9">
      <c r="H3773" s="66" t="e">
        <f>IF(OR(LEFT(B3773,FIND("_",B3773,1)-1)="ULGALLOC",LEFT(B3773,FIND("_",B3773,1)-1)="ULSPOOL"),LEFT(B3773,FIND("_",B3773,1)-1),VLOOKUP(LEFT(A3773,6),'Code Library'!$D$3:$E$200,2,0))&amp;"_"&amp;RIGHT(A3773,3)</f>
        <v>#VALUE!</v>
      </c>
      <c r="I3773" s="66">
        <f t="shared" si="58"/>
        <v>0</v>
      </c>
    </row>
    <row r="3774" spans="8:9">
      <c r="H3774" s="66" t="e">
        <f>IF(OR(LEFT(B3774,FIND("_",B3774,1)-1)="ULGALLOC",LEFT(B3774,FIND("_",B3774,1)-1)="ULSPOOL"),LEFT(B3774,FIND("_",B3774,1)-1),VLOOKUP(LEFT(A3774,6),'Code Library'!$D$3:$E$200,2,0))&amp;"_"&amp;RIGHT(A3774,3)</f>
        <v>#VALUE!</v>
      </c>
      <c r="I3774" s="66">
        <f t="shared" si="58"/>
        <v>0</v>
      </c>
    </row>
    <row r="3775" spans="8:9">
      <c r="H3775" s="66" t="e">
        <f>IF(OR(LEFT(B3775,FIND("_",B3775,1)-1)="ULGALLOC",LEFT(B3775,FIND("_",B3775,1)-1)="ULSPOOL"),LEFT(B3775,FIND("_",B3775,1)-1),VLOOKUP(LEFT(A3775,6),'Code Library'!$D$3:$E$200,2,0))&amp;"_"&amp;RIGHT(A3775,3)</f>
        <v>#VALUE!</v>
      </c>
      <c r="I3775" s="66">
        <f t="shared" si="58"/>
        <v>0</v>
      </c>
    </row>
    <row r="3776" spans="8:9">
      <c r="H3776" s="66" t="e">
        <f>IF(OR(LEFT(B3776,FIND("_",B3776,1)-1)="ULGALLOC",LEFT(B3776,FIND("_",B3776,1)-1)="ULSPOOL"),LEFT(B3776,FIND("_",B3776,1)-1),VLOOKUP(LEFT(A3776,6),'Code Library'!$D$3:$E$200,2,0))&amp;"_"&amp;RIGHT(A3776,3)</f>
        <v>#VALUE!</v>
      </c>
      <c r="I3776" s="66">
        <f t="shared" si="58"/>
        <v>0</v>
      </c>
    </row>
    <row r="3777" spans="8:9">
      <c r="H3777" s="66" t="e">
        <f>IF(OR(LEFT(B3777,FIND("_",B3777,1)-1)="ULGALLOC",LEFT(B3777,FIND("_",B3777,1)-1)="ULSPOOL"),LEFT(B3777,FIND("_",B3777,1)-1),VLOOKUP(LEFT(A3777,6),'Code Library'!$D$3:$E$200,2,0))&amp;"_"&amp;RIGHT(A3777,3)</f>
        <v>#VALUE!</v>
      </c>
      <c r="I3777" s="66">
        <f t="shared" si="58"/>
        <v>0</v>
      </c>
    </row>
    <row r="3778" spans="8:9">
      <c r="H3778" s="66" t="e">
        <f>IF(OR(LEFT(B3778,FIND("_",B3778,1)-1)="ULGALLOC",LEFT(B3778,FIND("_",B3778,1)-1)="ULSPOOL"),LEFT(B3778,FIND("_",B3778,1)-1),VLOOKUP(LEFT(A3778,6),'Code Library'!$D$3:$E$200,2,0))&amp;"_"&amp;RIGHT(A3778,3)</f>
        <v>#VALUE!</v>
      </c>
      <c r="I3778" s="66">
        <f t="shared" si="58"/>
        <v>0</v>
      </c>
    </row>
    <row r="3779" spans="8:9">
      <c r="H3779" s="66" t="e">
        <f>IF(OR(LEFT(B3779,FIND("_",B3779,1)-1)="ULGALLOC",LEFT(B3779,FIND("_",B3779,1)-1)="ULSPOOL"),LEFT(B3779,FIND("_",B3779,1)-1),VLOOKUP(LEFT(A3779,6),'Code Library'!$D$3:$E$200,2,0))&amp;"_"&amp;RIGHT(A3779,3)</f>
        <v>#VALUE!</v>
      </c>
      <c r="I3779" s="66">
        <f t="shared" ref="I3779:I3842" si="59">A3779</f>
        <v>0</v>
      </c>
    </row>
    <row r="3780" spans="8:9">
      <c r="H3780" s="66" t="e">
        <f>IF(OR(LEFT(B3780,FIND("_",B3780,1)-1)="ULGALLOC",LEFT(B3780,FIND("_",B3780,1)-1)="ULSPOOL"),LEFT(B3780,FIND("_",B3780,1)-1),VLOOKUP(LEFT(A3780,6),'Code Library'!$D$3:$E$200,2,0))&amp;"_"&amp;RIGHT(A3780,3)</f>
        <v>#VALUE!</v>
      </c>
      <c r="I3780" s="66">
        <f t="shared" si="59"/>
        <v>0</v>
      </c>
    </row>
    <row r="3781" spans="8:9">
      <c r="H3781" s="66" t="e">
        <f>IF(OR(LEFT(B3781,FIND("_",B3781,1)-1)="ULGALLOC",LEFT(B3781,FIND("_",B3781,1)-1)="ULSPOOL"),LEFT(B3781,FIND("_",B3781,1)-1),VLOOKUP(LEFT(A3781,6),'Code Library'!$D$3:$E$200,2,0))&amp;"_"&amp;RIGHT(A3781,3)</f>
        <v>#VALUE!</v>
      </c>
      <c r="I3781" s="66">
        <f t="shared" si="59"/>
        <v>0</v>
      </c>
    </row>
    <row r="3782" spans="8:9">
      <c r="H3782" s="66" t="e">
        <f>IF(OR(LEFT(B3782,FIND("_",B3782,1)-1)="ULGALLOC",LEFT(B3782,FIND("_",B3782,1)-1)="ULSPOOL"),LEFT(B3782,FIND("_",B3782,1)-1),VLOOKUP(LEFT(A3782,6),'Code Library'!$D$3:$E$200,2,0))&amp;"_"&amp;RIGHT(A3782,3)</f>
        <v>#VALUE!</v>
      </c>
      <c r="I3782" s="66">
        <f t="shared" si="59"/>
        <v>0</v>
      </c>
    </row>
    <row r="3783" spans="8:9">
      <c r="H3783" s="66" t="e">
        <f>IF(OR(LEFT(B3783,FIND("_",B3783,1)-1)="ULGALLOC",LEFT(B3783,FIND("_",B3783,1)-1)="ULSPOOL"),LEFT(B3783,FIND("_",B3783,1)-1),VLOOKUP(LEFT(A3783,6),'Code Library'!$D$3:$E$200,2,0))&amp;"_"&amp;RIGHT(A3783,3)</f>
        <v>#VALUE!</v>
      </c>
      <c r="I3783" s="66">
        <f t="shared" si="59"/>
        <v>0</v>
      </c>
    </row>
    <row r="3784" spans="8:9">
      <c r="H3784" s="66" t="e">
        <f>IF(OR(LEFT(B3784,FIND("_",B3784,1)-1)="ULGALLOC",LEFT(B3784,FIND("_",B3784,1)-1)="ULSPOOL"),LEFT(B3784,FIND("_",B3784,1)-1),VLOOKUP(LEFT(A3784,6),'Code Library'!$D$3:$E$200,2,0))&amp;"_"&amp;RIGHT(A3784,3)</f>
        <v>#VALUE!</v>
      </c>
      <c r="I3784" s="66">
        <f t="shared" si="59"/>
        <v>0</v>
      </c>
    </row>
    <row r="3785" spans="8:9">
      <c r="H3785" s="66" t="e">
        <f>IF(OR(LEFT(B3785,FIND("_",B3785,1)-1)="ULGALLOC",LEFT(B3785,FIND("_",B3785,1)-1)="ULSPOOL"),LEFT(B3785,FIND("_",B3785,1)-1),VLOOKUP(LEFT(A3785,6),'Code Library'!$D$3:$E$200,2,0))&amp;"_"&amp;RIGHT(A3785,3)</f>
        <v>#VALUE!</v>
      </c>
      <c r="I3785" s="66">
        <f t="shared" si="59"/>
        <v>0</v>
      </c>
    </row>
    <row r="3786" spans="8:9">
      <c r="H3786" s="66" t="e">
        <f>IF(OR(LEFT(B3786,FIND("_",B3786,1)-1)="ULGALLOC",LEFT(B3786,FIND("_",B3786,1)-1)="ULSPOOL"),LEFT(B3786,FIND("_",B3786,1)-1),VLOOKUP(LEFT(A3786,6),'Code Library'!$D$3:$E$200,2,0))&amp;"_"&amp;RIGHT(A3786,3)</f>
        <v>#VALUE!</v>
      </c>
      <c r="I3786" s="66">
        <f t="shared" si="59"/>
        <v>0</v>
      </c>
    </row>
    <row r="3787" spans="8:9">
      <c r="H3787" s="66" t="e">
        <f>IF(OR(LEFT(B3787,FIND("_",B3787,1)-1)="ULGALLOC",LEFT(B3787,FIND("_",B3787,1)-1)="ULSPOOL"),LEFT(B3787,FIND("_",B3787,1)-1),VLOOKUP(LEFT(A3787,6),'Code Library'!$D$3:$E$200,2,0))&amp;"_"&amp;RIGHT(A3787,3)</f>
        <v>#VALUE!</v>
      </c>
      <c r="I3787" s="66">
        <f t="shared" si="59"/>
        <v>0</v>
      </c>
    </row>
    <row r="3788" spans="8:9">
      <c r="H3788" s="66" t="e">
        <f>IF(OR(LEFT(B3788,FIND("_",B3788,1)-1)="ULGALLOC",LEFT(B3788,FIND("_",B3788,1)-1)="ULSPOOL"),LEFT(B3788,FIND("_",B3788,1)-1),VLOOKUP(LEFT(A3788,6),'Code Library'!$D$3:$E$200,2,0))&amp;"_"&amp;RIGHT(A3788,3)</f>
        <v>#VALUE!</v>
      </c>
      <c r="I3788" s="66">
        <f t="shared" si="59"/>
        <v>0</v>
      </c>
    </row>
    <row r="3789" spans="8:9">
      <c r="H3789" s="66" t="e">
        <f>IF(OR(LEFT(B3789,FIND("_",B3789,1)-1)="ULGALLOC",LEFT(B3789,FIND("_",B3789,1)-1)="ULSPOOL"),LEFT(B3789,FIND("_",B3789,1)-1),VLOOKUP(LEFT(A3789,6),'Code Library'!$D$3:$E$200,2,0))&amp;"_"&amp;RIGHT(A3789,3)</f>
        <v>#VALUE!</v>
      </c>
      <c r="I3789" s="66">
        <f t="shared" si="59"/>
        <v>0</v>
      </c>
    </row>
    <row r="3790" spans="8:9">
      <c r="H3790" s="66" t="e">
        <f>IF(OR(LEFT(B3790,FIND("_",B3790,1)-1)="ULGALLOC",LEFT(B3790,FIND("_",B3790,1)-1)="ULSPOOL"),LEFT(B3790,FIND("_",B3790,1)-1),VLOOKUP(LEFT(A3790,6),'Code Library'!$D$3:$E$200,2,0))&amp;"_"&amp;RIGHT(A3790,3)</f>
        <v>#VALUE!</v>
      </c>
      <c r="I3790" s="66">
        <f t="shared" si="59"/>
        <v>0</v>
      </c>
    </row>
    <row r="3791" spans="8:9">
      <c r="H3791" s="66" t="e">
        <f>IF(OR(LEFT(B3791,FIND("_",B3791,1)-1)="ULGALLOC",LEFT(B3791,FIND("_",B3791,1)-1)="ULSPOOL"),LEFT(B3791,FIND("_",B3791,1)-1),VLOOKUP(LEFT(A3791,6),'Code Library'!$D$3:$E$200,2,0))&amp;"_"&amp;RIGHT(A3791,3)</f>
        <v>#VALUE!</v>
      </c>
      <c r="I3791" s="66">
        <f t="shared" si="59"/>
        <v>0</v>
      </c>
    </row>
    <row r="3792" spans="8:9">
      <c r="H3792" s="66" t="e">
        <f>IF(OR(LEFT(B3792,FIND("_",B3792,1)-1)="ULGALLOC",LEFT(B3792,FIND("_",B3792,1)-1)="ULSPOOL"),LEFT(B3792,FIND("_",B3792,1)-1),VLOOKUP(LEFT(A3792,6),'Code Library'!$D$3:$E$200,2,0))&amp;"_"&amp;RIGHT(A3792,3)</f>
        <v>#VALUE!</v>
      </c>
      <c r="I3792" s="66">
        <f t="shared" si="59"/>
        <v>0</v>
      </c>
    </row>
    <row r="3793" spans="8:9">
      <c r="H3793" s="66" t="e">
        <f>IF(OR(LEFT(B3793,FIND("_",B3793,1)-1)="ULGALLOC",LEFT(B3793,FIND("_",B3793,1)-1)="ULSPOOL"),LEFT(B3793,FIND("_",B3793,1)-1),VLOOKUP(LEFT(A3793,6),'Code Library'!$D$3:$E$200,2,0))&amp;"_"&amp;RIGHT(A3793,3)</f>
        <v>#VALUE!</v>
      </c>
      <c r="I3793" s="66">
        <f t="shared" si="59"/>
        <v>0</v>
      </c>
    </row>
    <row r="3794" spans="8:9">
      <c r="H3794" s="66" t="e">
        <f>IF(OR(LEFT(B3794,FIND("_",B3794,1)-1)="ULGALLOC",LEFT(B3794,FIND("_",B3794,1)-1)="ULSPOOL"),LEFT(B3794,FIND("_",B3794,1)-1),VLOOKUP(LEFT(A3794,6),'Code Library'!$D$3:$E$200,2,0))&amp;"_"&amp;RIGHT(A3794,3)</f>
        <v>#VALUE!</v>
      </c>
      <c r="I3794" s="66">
        <f t="shared" si="59"/>
        <v>0</v>
      </c>
    </row>
    <row r="3795" spans="8:9">
      <c r="H3795" s="66" t="e">
        <f>IF(OR(LEFT(B3795,FIND("_",B3795,1)-1)="ULGALLOC",LEFT(B3795,FIND("_",B3795,1)-1)="ULSPOOL"),LEFT(B3795,FIND("_",B3795,1)-1),VLOOKUP(LEFT(A3795,6),'Code Library'!$D$3:$E$200,2,0))&amp;"_"&amp;RIGHT(A3795,3)</f>
        <v>#VALUE!</v>
      </c>
      <c r="I3795" s="66">
        <f t="shared" si="59"/>
        <v>0</v>
      </c>
    </row>
    <row r="3796" spans="8:9">
      <c r="H3796" s="66" t="e">
        <f>IF(OR(LEFT(B3796,FIND("_",B3796,1)-1)="ULGALLOC",LEFT(B3796,FIND("_",B3796,1)-1)="ULSPOOL"),LEFT(B3796,FIND("_",B3796,1)-1),VLOOKUP(LEFT(A3796,6),'Code Library'!$D$3:$E$200,2,0))&amp;"_"&amp;RIGHT(A3796,3)</f>
        <v>#VALUE!</v>
      </c>
      <c r="I3796" s="66">
        <f t="shared" si="59"/>
        <v>0</v>
      </c>
    </row>
    <row r="3797" spans="8:9">
      <c r="H3797" s="66" t="e">
        <f>IF(OR(LEFT(B3797,FIND("_",B3797,1)-1)="ULGALLOC",LEFT(B3797,FIND("_",B3797,1)-1)="ULSPOOL"),LEFT(B3797,FIND("_",B3797,1)-1),VLOOKUP(LEFT(A3797,6),'Code Library'!$D$3:$E$200,2,0))&amp;"_"&amp;RIGHT(A3797,3)</f>
        <v>#VALUE!</v>
      </c>
      <c r="I3797" s="66">
        <f t="shared" si="59"/>
        <v>0</v>
      </c>
    </row>
    <row r="3798" spans="8:9">
      <c r="H3798" s="66" t="e">
        <f>IF(OR(LEFT(B3798,FIND("_",B3798,1)-1)="ULGALLOC",LEFT(B3798,FIND("_",B3798,1)-1)="ULSPOOL"),LEFT(B3798,FIND("_",B3798,1)-1),VLOOKUP(LEFT(A3798,6),'Code Library'!$D$3:$E$200,2,0))&amp;"_"&amp;RIGHT(A3798,3)</f>
        <v>#VALUE!</v>
      </c>
      <c r="I3798" s="66">
        <f t="shared" si="59"/>
        <v>0</v>
      </c>
    </row>
    <row r="3799" spans="8:9">
      <c r="H3799" s="66" t="e">
        <f>IF(OR(LEFT(B3799,FIND("_",B3799,1)-1)="ULGALLOC",LEFT(B3799,FIND("_",B3799,1)-1)="ULSPOOL"),LEFT(B3799,FIND("_",B3799,1)-1),VLOOKUP(LEFT(A3799,6),'Code Library'!$D$3:$E$200,2,0))&amp;"_"&amp;RIGHT(A3799,3)</f>
        <v>#VALUE!</v>
      </c>
      <c r="I3799" s="66">
        <f t="shared" si="59"/>
        <v>0</v>
      </c>
    </row>
    <row r="3800" spans="8:9">
      <c r="H3800" s="66" t="e">
        <f>IF(OR(LEFT(B3800,FIND("_",B3800,1)-1)="ULGALLOC",LEFT(B3800,FIND("_",B3800,1)-1)="ULSPOOL"),LEFT(B3800,FIND("_",B3800,1)-1),VLOOKUP(LEFT(A3800,6),'Code Library'!$D$3:$E$200,2,0))&amp;"_"&amp;RIGHT(A3800,3)</f>
        <v>#VALUE!</v>
      </c>
      <c r="I3800" s="66">
        <f t="shared" si="59"/>
        <v>0</v>
      </c>
    </row>
    <row r="3801" spans="8:9">
      <c r="H3801" s="66" t="e">
        <f>IF(OR(LEFT(B3801,FIND("_",B3801,1)-1)="ULGALLOC",LEFT(B3801,FIND("_",B3801,1)-1)="ULSPOOL"),LEFT(B3801,FIND("_",B3801,1)-1),VLOOKUP(LEFT(A3801,6),'Code Library'!$D$3:$E$200,2,0))&amp;"_"&amp;RIGHT(A3801,3)</f>
        <v>#VALUE!</v>
      </c>
      <c r="I3801" s="66">
        <f t="shared" si="59"/>
        <v>0</v>
      </c>
    </row>
    <row r="3802" spans="8:9">
      <c r="H3802" s="66" t="e">
        <f>IF(OR(LEFT(B3802,FIND("_",B3802,1)-1)="ULGALLOC",LEFT(B3802,FIND("_",B3802,1)-1)="ULSPOOL"),LEFT(B3802,FIND("_",B3802,1)-1),VLOOKUP(LEFT(A3802,6),'Code Library'!$D$3:$E$200,2,0))&amp;"_"&amp;RIGHT(A3802,3)</f>
        <v>#VALUE!</v>
      </c>
      <c r="I3802" s="66">
        <f t="shared" si="59"/>
        <v>0</v>
      </c>
    </row>
    <row r="3803" spans="8:9">
      <c r="H3803" s="66" t="e">
        <f>IF(OR(LEFT(B3803,FIND("_",B3803,1)-1)="ULGALLOC",LEFT(B3803,FIND("_",B3803,1)-1)="ULSPOOL"),LEFT(B3803,FIND("_",B3803,1)-1),VLOOKUP(LEFT(A3803,6),'Code Library'!$D$3:$E$200,2,0))&amp;"_"&amp;RIGHT(A3803,3)</f>
        <v>#VALUE!</v>
      </c>
      <c r="I3803" s="66">
        <f t="shared" si="59"/>
        <v>0</v>
      </c>
    </row>
    <row r="3804" spans="8:9">
      <c r="H3804" s="66" t="e">
        <f>IF(OR(LEFT(B3804,FIND("_",B3804,1)-1)="ULGALLOC",LEFT(B3804,FIND("_",B3804,1)-1)="ULSPOOL"),LEFT(B3804,FIND("_",B3804,1)-1),VLOOKUP(LEFT(A3804,6),'Code Library'!$D$3:$E$200,2,0))&amp;"_"&amp;RIGHT(A3804,3)</f>
        <v>#VALUE!</v>
      </c>
      <c r="I3804" s="66">
        <f t="shared" si="59"/>
        <v>0</v>
      </c>
    </row>
    <row r="3805" spans="8:9">
      <c r="H3805" s="66" t="e">
        <f>IF(OR(LEFT(B3805,FIND("_",B3805,1)-1)="ULGALLOC",LEFT(B3805,FIND("_",B3805,1)-1)="ULSPOOL"),LEFT(B3805,FIND("_",B3805,1)-1),VLOOKUP(LEFT(A3805,6),'Code Library'!$D$3:$E$200,2,0))&amp;"_"&amp;RIGHT(A3805,3)</f>
        <v>#VALUE!</v>
      </c>
      <c r="I3805" s="66">
        <f t="shared" si="59"/>
        <v>0</v>
      </c>
    </row>
    <row r="3806" spans="8:9">
      <c r="H3806" s="66" t="e">
        <f>IF(OR(LEFT(B3806,FIND("_",B3806,1)-1)="ULGALLOC",LEFT(B3806,FIND("_",B3806,1)-1)="ULSPOOL"),LEFT(B3806,FIND("_",B3806,1)-1),VLOOKUP(LEFT(A3806,6),'Code Library'!$D$3:$E$200,2,0))&amp;"_"&amp;RIGHT(A3806,3)</f>
        <v>#VALUE!</v>
      </c>
      <c r="I3806" s="66">
        <f t="shared" si="59"/>
        <v>0</v>
      </c>
    </row>
    <row r="3807" spans="8:9">
      <c r="H3807" s="66" t="e">
        <f>IF(OR(LEFT(B3807,FIND("_",B3807,1)-1)="ULGALLOC",LEFT(B3807,FIND("_",B3807,1)-1)="ULSPOOL"),LEFT(B3807,FIND("_",B3807,1)-1),VLOOKUP(LEFT(A3807,6),'Code Library'!$D$3:$E$200,2,0))&amp;"_"&amp;RIGHT(A3807,3)</f>
        <v>#VALUE!</v>
      </c>
      <c r="I3807" s="66">
        <f t="shared" si="59"/>
        <v>0</v>
      </c>
    </row>
    <row r="3808" spans="8:9">
      <c r="H3808" s="66" t="e">
        <f>IF(OR(LEFT(B3808,FIND("_",B3808,1)-1)="ULGALLOC",LEFT(B3808,FIND("_",B3808,1)-1)="ULSPOOL"),LEFT(B3808,FIND("_",B3808,1)-1),VLOOKUP(LEFT(A3808,6),'Code Library'!$D$3:$E$200,2,0))&amp;"_"&amp;RIGHT(A3808,3)</f>
        <v>#VALUE!</v>
      </c>
      <c r="I3808" s="66">
        <f t="shared" si="59"/>
        <v>0</v>
      </c>
    </row>
    <row r="3809" spans="8:9">
      <c r="H3809" s="66" t="e">
        <f>IF(OR(LEFT(B3809,FIND("_",B3809,1)-1)="ULGALLOC",LEFT(B3809,FIND("_",B3809,1)-1)="ULSPOOL"),LEFT(B3809,FIND("_",B3809,1)-1),VLOOKUP(LEFT(A3809,6),'Code Library'!$D$3:$E$200,2,0))&amp;"_"&amp;RIGHT(A3809,3)</f>
        <v>#VALUE!</v>
      </c>
      <c r="I3809" s="66">
        <f t="shared" si="59"/>
        <v>0</v>
      </c>
    </row>
    <row r="3810" spans="8:9">
      <c r="H3810" s="66" t="e">
        <f>IF(OR(LEFT(B3810,FIND("_",B3810,1)-1)="ULGALLOC",LEFT(B3810,FIND("_",B3810,1)-1)="ULSPOOL"),LEFT(B3810,FIND("_",B3810,1)-1),VLOOKUP(LEFT(A3810,6),'Code Library'!$D$3:$E$200,2,0))&amp;"_"&amp;RIGHT(A3810,3)</f>
        <v>#VALUE!</v>
      </c>
      <c r="I3810" s="66">
        <f t="shared" si="59"/>
        <v>0</v>
      </c>
    </row>
    <row r="3811" spans="8:9">
      <c r="H3811" s="66" t="e">
        <f>IF(OR(LEFT(B3811,FIND("_",B3811,1)-1)="ULGALLOC",LEFT(B3811,FIND("_",B3811,1)-1)="ULSPOOL"),LEFT(B3811,FIND("_",B3811,1)-1),VLOOKUP(LEFT(A3811,6),'Code Library'!$D$3:$E$200,2,0))&amp;"_"&amp;RIGHT(A3811,3)</f>
        <v>#VALUE!</v>
      </c>
      <c r="I3811" s="66">
        <f t="shared" si="59"/>
        <v>0</v>
      </c>
    </row>
    <row r="3812" spans="8:9">
      <c r="H3812" s="66" t="e">
        <f>IF(OR(LEFT(B3812,FIND("_",B3812,1)-1)="ULGALLOC",LEFT(B3812,FIND("_",B3812,1)-1)="ULSPOOL"),LEFT(B3812,FIND("_",B3812,1)-1),VLOOKUP(LEFT(A3812,6),'Code Library'!$D$3:$E$200,2,0))&amp;"_"&amp;RIGHT(A3812,3)</f>
        <v>#VALUE!</v>
      </c>
      <c r="I3812" s="66">
        <f t="shared" si="59"/>
        <v>0</v>
      </c>
    </row>
    <row r="3813" spans="8:9">
      <c r="H3813" s="66" t="e">
        <f>IF(OR(LEFT(B3813,FIND("_",B3813,1)-1)="ULGALLOC",LEFT(B3813,FIND("_",B3813,1)-1)="ULSPOOL"),LEFT(B3813,FIND("_",B3813,1)-1),VLOOKUP(LEFT(A3813,6),'Code Library'!$D$3:$E$200,2,0))&amp;"_"&amp;RIGHT(A3813,3)</f>
        <v>#VALUE!</v>
      </c>
      <c r="I3813" s="66">
        <f t="shared" si="59"/>
        <v>0</v>
      </c>
    </row>
    <row r="3814" spans="8:9">
      <c r="H3814" s="66" t="e">
        <f>IF(OR(LEFT(B3814,FIND("_",B3814,1)-1)="ULGALLOC",LEFT(B3814,FIND("_",B3814,1)-1)="ULSPOOL"),LEFT(B3814,FIND("_",B3814,1)-1),VLOOKUP(LEFT(A3814,6),'Code Library'!$D$3:$E$200,2,0))&amp;"_"&amp;RIGHT(A3814,3)</f>
        <v>#VALUE!</v>
      </c>
      <c r="I3814" s="66">
        <f t="shared" si="59"/>
        <v>0</v>
      </c>
    </row>
    <row r="3815" spans="8:9">
      <c r="H3815" s="66" t="e">
        <f>IF(OR(LEFT(B3815,FIND("_",B3815,1)-1)="ULGALLOC",LEFT(B3815,FIND("_",B3815,1)-1)="ULSPOOL"),LEFT(B3815,FIND("_",B3815,1)-1),VLOOKUP(LEFT(A3815,6),'Code Library'!$D$3:$E$200,2,0))&amp;"_"&amp;RIGHT(A3815,3)</f>
        <v>#VALUE!</v>
      </c>
      <c r="I3815" s="66">
        <f t="shared" si="59"/>
        <v>0</v>
      </c>
    </row>
    <row r="3816" spans="8:9">
      <c r="H3816" s="66" t="e">
        <f>IF(OR(LEFT(B3816,FIND("_",B3816,1)-1)="ULGALLOC",LEFT(B3816,FIND("_",B3816,1)-1)="ULSPOOL"),LEFT(B3816,FIND("_",B3816,1)-1),VLOOKUP(LEFT(A3816,6),'Code Library'!$D$3:$E$200,2,0))&amp;"_"&amp;RIGHT(A3816,3)</f>
        <v>#VALUE!</v>
      </c>
      <c r="I3816" s="66">
        <f t="shared" si="59"/>
        <v>0</v>
      </c>
    </row>
    <row r="3817" spans="8:9">
      <c r="H3817" s="66" t="e">
        <f>IF(OR(LEFT(B3817,FIND("_",B3817,1)-1)="ULGALLOC",LEFT(B3817,FIND("_",B3817,1)-1)="ULSPOOL"),LEFT(B3817,FIND("_",B3817,1)-1),VLOOKUP(LEFT(A3817,6),'Code Library'!$D$3:$E$200,2,0))&amp;"_"&amp;RIGHT(A3817,3)</f>
        <v>#VALUE!</v>
      </c>
      <c r="I3817" s="66">
        <f t="shared" si="59"/>
        <v>0</v>
      </c>
    </row>
    <row r="3818" spans="8:9">
      <c r="H3818" s="66" t="e">
        <f>IF(OR(LEFT(B3818,FIND("_",B3818,1)-1)="ULGALLOC",LEFT(B3818,FIND("_",B3818,1)-1)="ULSPOOL"),LEFT(B3818,FIND("_",B3818,1)-1),VLOOKUP(LEFT(A3818,6),'Code Library'!$D$3:$E$200,2,0))&amp;"_"&amp;RIGHT(A3818,3)</f>
        <v>#VALUE!</v>
      </c>
      <c r="I3818" s="66">
        <f t="shared" si="59"/>
        <v>0</v>
      </c>
    </row>
    <row r="3819" spans="8:9">
      <c r="H3819" s="66" t="e">
        <f>IF(OR(LEFT(B3819,FIND("_",B3819,1)-1)="ULGALLOC",LEFT(B3819,FIND("_",B3819,1)-1)="ULSPOOL"),LEFT(B3819,FIND("_",B3819,1)-1),VLOOKUP(LEFT(A3819,6),'Code Library'!$D$3:$E$200,2,0))&amp;"_"&amp;RIGHT(A3819,3)</f>
        <v>#VALUE!</v>
      </c>
      <c r="I3819" s="66">
        <f t="shared" si="59"/>
        <v>0</v>
      </c>
    </row>
    <row r="3820" spans="8:9">
      <c r="H3820" s="66" t="e">
        <f>IF(OR(LEFT(B3820,FIND("_",B3820,1)-1)="ULGALLOC",LEFT(B3820,FIND("_",B3820,1)-1)="ULSPOOL"),LEFT(B3820,FIND("_",B3820,1)-1),VLOOKUP(LEFT(A3820,6),'Code Library'!$D$3:$E$200,2,0))&amp;"_"&amp;RIGHT(A3820,3)</f>
        <v>#VALUE!</v>
      </c>
      <c r="I3820" s="66">
        <f t="shared" si="59"/>
        <v>0</v>
      </c>
    </row>
    <row r="3821" spans="8:9">
      <c r="H3821" s="66" t="e">
        <f>IF(OR(LEFT(B3821,FIND("_",B3821,1)-1)="ULGALLOC",LEFT(B3821,FIND("_",B3821,1)-1)="ULSPOOL"),LEFT(B3821,FIND("_",B3821,1)-1),VLOOKUP(LEFT(A3821,6),'Code Library'!$D$3:$E$200,2,0))&amp;"_"&amp;RIGHT(A3821,3)</f>
        <v>#VALUE!</v>
      </c>
      <c r="I3821" s="66">
        <f t="shared" si="59"/>
        <v>0</v>
      </c>
    </row>
    <row r="3822" spans="8:9">
      <c r="H3822" s="66" t="e">
        <f>IF(OR(LEFT(B3822,FIND("_",B3822,1)-1)="ULGALLOC",LEFT(B3822,FIND("_",B3822,1)-1)="ULSPOOL"),LEFT(B3822,FIND("_",B3822,1)-1),VLOOKUP(LEFT(A3822,6),'Code Library'!$D$3:$E$200,2,0))&amp;"_"&amp;RIGHT(A3822,3)</f>
        <v>#VALUE!</v>
      </c>
      <c r="I3822" s="66">
        <f t="shared" si="59"/>
        <v>0</v>
      </c>
    </row>
    <row r="3823" spans="8:9">
      <c r="H3823" s="66" t="e">
        <f>IF(OR(LEFT(B3823,FIND("_",B3823,1)-1)="ULGALLOC",LEFT(B3823,FIND("_",B3823,1)-1)="ULSPOOL"),LEFT(B3823,FIND("_",B3823,1)-1),VLOOKUP(LEFT(A3823,6),'Code Library'!$D$3:$E$200,2,0))&amp;"_"&amp;RIGHT(A3823,3)</f>
        <v>#VALUE!</v>
      </c>
      <c r="I3823" s="66">
        <f t="shared" si="59"/>
        <v>0</v>
      </c>
    </row>
    <row r="3824" spans="8:9">
      <c r="H3824" s="66" t="e">
        <f>IF(OR(LEFT(B3824,FIND("_",B3824,1)-1)="ULGALLOC",LEFT(B3824,FIND("_",B3824,1)-1)="ULSPOOL"),LEFT(B3824,FIND("_",B3824,1)-1),VLOOKUP(LEFT(A3824,6),'Code Library'!$D$3:$E$200,2,0))&amp;"_"&amp;RIGHT(A3824,3)</f>
        <v>#VALUE!</v>
      </c>
      <c r="I3824" s="66">
        <f t="shared" si="59"/>
        <v>0</v>
      </c>
    </row>
    <row r="3825" spans="8:9">
      <c r="H3825" s="66" t="e">
        <f>IF(OR(LEFT(B3825,FIND("_",B3825,1)-1)="ULGALLOC",LEFT(B3825,FIND("_",B3825,1)-1)="ULSPOOL"),LEFT(B3825,FIND("_",B3825,1)-1),VLOOKUP(LEFT(A3825,6),'Code Library'!$D$3:$E$200,2,0))&amp;"_"&amp;RIGHT(A3825,3)</f>
        <v>#VALUE!</v>
      </c>
      <c r="I3825" s="66">
        <f t="shared" si="59"/>
        <v>0</v>
      </c>
    </row>
    <row r="3826" spans="8:9">
      <c r="H3826" s="66" t="e">
        <f>IF(OR(LEFT(B3826,FIND("_",B3826,1)-1)="ULGALLOC",LEFT(B3826,FIND("_",B3826,1)-1)="ULSPOOL"),LEFT(B3826,FIND("_",B3826,1)-1),VLOOKUP(LEFT(A3826,6),'Code Library'!$D$3:$E$200,2,0))&amp;"_"&amp;RIGHT(A3826,3)</f>
        <v>#VALUE!</v>
      </c>
      <c r="I3826" s="66">
        <f t="shared" si="59"/>
        <v>0</v>
      </c>
    </row>
    <row r="3827" spans="8:9">
      <c r="H3827" s="66" t="e">
        <f>IF(OR(LEFT(B3827,FIND("_",B3827,1)-1)="ULGALLOC",LEFT(B3827,FIND("_",B3827,1)-1)="ULSPOOL"),LEFT(B3827,FIND("_",B3827,1)-1),VLOOKUP(LEFT(A3827,6),'Code Library'!$D$3:$E$200,2,0))&amp;"_"&amp;RIGHT(A3827,3)</f>
        <v>#VALUE!</v>
      </c>
      <c r="I3827" s="66">
        <f t="shared" si="59"/>
        <v>0</v>
      </c>
    </row>
    <row r="3828" spans="8:9">
      <c r="H3828" s="66" t="e">
        <f>IF(OR(LEFT(B3828,FIND("_",B3828,1)-1)="ULGALLOC",LEFT(B3828,FIND("_",B3828,1)-1)="ULSPOOL"),LEFT(B3828,FIND("_",B3828,1)-1),VLOOKUP(LEFT(A3828,6),'Code Library'!$D$3:$E$200,2,0))&amp;"_"&amp;RIGHT(A3828,3)</f>
        <v>#VALUE!</v>
      </c>
      <c r="I3828" s="66">
        <f t="shared" si="59"/>
        <v>0</v>
      </c>
    </row>
    <row r="3829" spans="8:9">
      <c r="H3829" s="66" t="e">
        <f>IF(OR(LEFT(B3829,FIND("_",B3829,1)-1)="ULGALLOC",LEFT(B3829,FIND("_",B3829,1)-1)="ULSPOOL"),LEFT(B3829,FIND("_",B3829,1)-1),VLOOKUP(LEFT(A3829,6),'Code Library'!$D$3:$E$200,2,0))&amp;"_"&amp;RIGHT(A3829,3)</f>
        <v>#VALUE!</v>
      </c>
      <c r="I3829" s="66">
        <f t="shared" si="59"/>
        <v>0</v>
      </c>
    </row>
    <row r="3830" spans="8:9">
      <c r="H3830" s="66" t="e">
        <f>IF(OR(LEFT(B3830,FIND("_",B3830,1)-1)="ULGALLOC",LEFT(B3830,FIND("_",B3830,1)-1)="ULSPOOL"),LEFT(B3830,FIND("_",B3830,1)-1),VLOOKUP(LEFT(A3830,6),'Code Library'!$D$3:$E$200,2,0))&amp;"_"&amp;RIGHT(A3830,3)</f>
        <v>#VALUE!</v>
      </c>
      <c r="I3830" s="66">
        <f t="shared" si="59"/>
        <v>0</v>
      </c>
    </row>
    <row r="3831" spans="8:9">
      <c r="H3831" s="66" t="e">
        <f>IF(OR(LEFT(B3831,FIND("_",B3831,1)-1)="ULGALLOC",LEFT(B3831,FIND("_",B3831,1)-1)="ULSPOOL"),LEFT(B3831,FIND("_",B3831,1)-1),VLOOKUP(LEFT(A3831,6),'Code Library'!$D$3:$E$200,2,0))&amp;"_"&amp;RIGHT(A3831,3)</f>
        <v>#VALUE!</v>
      </c>
      <c r="I3831" s="66">
        <f t="shared" si="59"/>
        <v>0</v>
      </c>
    </row>
    <row r="3832" spans="8:9">
      <c r="H3832" s="66" t="e">
        <f>IF(OR(LEFT(B3832,FIND("_",B3832,1)-1)="ULGALLOC",LEFT(B3832,FIND("_",B3832,1)-1)="ULSPOOL"),LEFT(B3832,FIND("_",B3832,1)-1),VLOOKUP(LEFT(A3832,6),'Code Library'!$D$3:$E$200,2,0))&amp;"_"&amp;RIGHT(A3832,3)</f>
        <v>#VALUE!</v>
      </c>
      <c r="I3832" s="66">
        <f t="shared" si="59"/>
        <v>0</v>
      </c>
    </row>
    <row r="3833" spans="8:9">
      <c r="H3833" s="66" t="e">
        <f>IF(OR(LEFT(B3833,FIND("_",B3833,1)-1)="ULGALLOC",LEFT(B3833,FIND("_",B3833,1)-1)="ULSPOOL"),LEFT(B3833,FIND("_",B3833,1)-1),VLOOKUP(LEFT(A3833,6),'Code Library'!$D$3:$E$200,2,0))&amp;"_"&amp;RIGHT(A3833,3)</f>
        <v>#VALUE!</v>
      </c>
      <c r="I3833" s="66">
        <f t="shared" si="59"/>
        <v>0</v>
      </c>
    </row>
    <row r="3834" spans="8:9">
      <c r="H3834" s="66" t="e">
        <f>IF(OR(LEFT(B3834,FIND("_",B3834,1)-1)="ULGALLOC",LEFT(B3834,FIND("_",B3834,1)-1)="ULSPOOL"),LEFT(B3834,FIND("_",B3834,1)-1),VLOOKUP(LEFT(A3834,6),'Code Library'!$D$3:$E$200,2,0))&amp;"_"&amp;RIGHT(A3834,3)</f>
        <v>#VALUE!</v>
      </c>
      <c r="I3834" s="66">
        <f t="shared" si="59"/>
        <v>0</v>
      </c>
    </row>
    <row r="3835" spans="8:9">
      <c r="H3835" s="66" t="e">
        <f>IF(OR(LEFT(B3835,FIND("_",B3835,1)-1)="ULGALLOC",LEFT(B3835,FIND("_",B3835,1)-1)="ULSPOOL"),LEFT(B3835,FIND("_",B3835,1)-1),VLOOKUP(LEFT(A3835,6),'Code Library'!$D$3:$E$200,2,0))&amp;"_"&amp;RIGHT(A3835,3)</f>
        <v>#VALUE!</v>
      </c>
      <c r="I3835" s="66">
        <f t="shared" si="59"/>
        <v>0</v>
      </c>
    </row>
    <row r="3836" spans="8:9">
      <c r="H3836" s="66" t="e">
        <f>IF(OR(LEFT(B3836,FIND("_",B3836,1)-1)="ULGALLOC",LEFT(B3836,FIND("_",B3836,1)-1)="ULSPOOL"),LEFT(B3836,FIND("_",B3836,1)-1),VLOOKUP(LEFT(A3836,6),'Code Library'!$D$3:$E$200,2,0))&amp;"_"&amp;RIGHT(A3836,3)</f>
        <v>#VALUE!</v>
      </c>
      <c r="I3836" s="66">
        <f t="shared" si="59"/>
        <v>0</v>
      </c>
    </row>
    <row r="3837" spans="8:9">
      <c r="H3837" s="66" t="e">
        <f>IF(OR(LEFT(B3837,FIND("_",B3837,1)-1)="ULGALLOC",LEFT(B3837,FIND("_",B3837,1)-1)="ULSPOOL"),LEFT(B3837,FIND("_",B3837,1)-1),VLOOKUP(LEFT(A3837,6),'Code Library'!$D$3:$E$200,2,0))&amp;"_"&amp;RIGHT(A3837,3)</f>
        <v>#VALUE!</v>
      </c>
      <c r="I3837" s="66">
        <f t="shared" si="59"/>
        <v>0</v>
      </c>
    </row>
    <row r="3838" spans="8:9">
      <c r="H3838" s="66" t="e">
        <f>IF(OR(LEFT(B3838,FIND("_",B3838,1)-1)="ULGALLOC",LEFT(B3838,FIND("_",B3838,1)-1)="ULSPOOL"),LEFT(B3838,FIND("_",B3838,1)-1),VLOOKUP(LEFT(A3838,6),'Code Library'!$D$3:$E$200,2,0))&amp;"_"&amp;RIGHT(A3838,3)</f>
        <v>#VALUE!</v>
      </c>
      <c r="I3838" s="66">
        <f t="shared" si="59"/>
        <v>0</v>
      </c>
    </row>
    <row r="3839" spans="8:9">
      <c r="H3839" s="66" t="e">
        <f>IF(OR(LEFT(B3839,FIND("_",B3839,1)-1)="ULGALLOC",LEFT(B3839,FIND("_",B3839,1)-1)="ULSPOOL"),LEFT(B3839,FIND("_",B3839,1)-1),VLOOKUP(LEFT(A3839,6),'Code Library'!$D$3:$E$200,2,0))&amp;"_"&amp;RIGHT(A3839,3)</f>
        <v>#VALUE!</v>
      </c>
      <c r="I3839" s="66">
        <f t="shared" si="59"/>
        <v>0</v>
      </c>
    </row>
    <row r="3840" spans="8:9">
      <c r="H3840" s="66" t="e">
        <f>IF(OR(LEFT(B3840,FIND("_",B3840,1)-1)="ULGALLOC",LEFT(B3840,FIND("_",B3840,1)-1)="ULSPOOL"),LEFT(B3840,FIND("_",B3840,1)-1),VLOOKUP(LEFT(A3840,6),'Code Library'!$D$3:$E$200,2,0))&amp;"_"&amp;RIGHT(A3840,3)</f>
        <v>#VALUE!</v>
      </c>
      <c r="I3840" s="66">
        <f t="shared" si="59"/>
        <v>0</v>
      </c>
    </row>
    <row r="3841" spans="8:9">
      <c r="H3841" s="66" t="e">
        <f>IF(OR(LEFT(B3841,FIND("_",B3841,1)-1)="ULGALLOC",LEFT(B3841,FIND("_",B3841,1)-1)="ULSPOOL"),LEFT(B3841,FIND("_",B3841,1)-1),VLOOKUP(LEFT(A3841,6),'Code Library'!$D$3:$E$200,2,0))&amp;"_"&amp;RIGHT(A3841,3)</f>
        <v>#VALUE!</v>
      </c>
      <c r="I3841" s="66">
        <f t="shared" si="59"/>
        <v>0</v>
      </c>
    </row>
    <row r="3842" spans="8:9">
      <c r="H3842" s="66" t="e">
        <f>IF(OR(LEFT(B3842,FIND("_",B3842,1)-1)="ULGALLOC",LEFT(B3842,FIND("_",B3842,1)-1)="ULSPOOL"),LEFT(B3842,FIND("_",B3842,1)-1),VLOOKUP(LEFT(A3842,6),'Code Library'!$D$3:$E$200,2,0))&amp;"_"&amp;RIGHT(A3842,3)</f>
        <v>#VALUE!</v>
      </c>
      <c r="I3842" s="66">
        <f t="shared" si="59"/>
        <v>0</v>
      </c>
    </row>
    <row r="3843" spans="8:9">
      <c r="H3843" s="66" t="e">
        <f>IF(OR(LEFT(B3843,FIND("_",B3843,1)-1)="ULGALLOC",LEFT(B3843,FIND("_",B3843,1)-1)="ULSPOOL"),LEFT(B3843,FIND("_",B3843,1)-1),VLOOKUP(LEFT(A3843,6),'Code Library'!$D$3:$E$200,2,0))&amp;"_"&amp;RIGHT(A3843,3)</f>
        <v>#VALUE!</v>
      </c>
      <c r="I3843" s="66">
        <f t="shared" ref="I3843:I3906" si="60">A3843</f>
        <v>0</v>
      </c>
    </row>
    <row r="3844" spans="8:9">
      <c r="H3844" s="66" t="e">
        <f>IF(OR(LEFT(B3844,FIND("_",B3844,1)-1)="ULGALLOC",LEFT(B3844,FIND("_",B3844,1)-1)="ULSPOOL"),LEFT(B3844,FIND("_",B3844,1)-1),VLOOKUP(LEFT(A3844,6),'Code Library'!$D$3:$E$200,2,0))&amp;"_"&amp;RIGHT(A3844,3)</f>
        <v>#VALUE!</v>
      </c>
      <c r="I3844" s="66">
        <f t="shared" si="60"/>
        <v>0</v>
      </c>
    </row>
    <row r="3845" spans="8:9">
      <c r="H3845" s="66" t="e">
        <f>IF(OR(LEFT(B3845,FIND("_",B3845,1)-1)="ULGALLOC",LEFT(B3845,FIND("_",B3845,1)-1)="ULSPOOL"),LEFT(B3845,FIND("_",B3845,1)-1),VLOOKUP(LEFT(A3845,6),'Code Library'!$D$3:$E$200,2,0))&amp;"_"&amp;RIGHT(A3845,3)</f>
        <v>#VALUE!</v>
      </c>
      <c r="I3845" s="66">
        <f t="shared" si="60"/>
        <v>0</v>
      </c>
    </row>
    <row r="3846" spans="8:9">
      <c r="H3846" s="66" t="e">
        <f>IF(OR(LEFT(B3846,FIND("_",B3846,1)-1)="ULGALLOC",LEFT(B3846,FIND("_",B3846,1)-1)="ULSPOOL"),LEFT(B3846,FIND("_",B3846,1)-1),VLOOKUP(LEFT(A3846,6),'Code Library'!$D$3:$E$200,2,0))&amp;"_"&amp;RIGHT(A3846,3)</f>
        <v>#VALUE!</v>
      </c>
      <c r="I3846" s="66">
        <f t="shared" si="60"/>
        <v>0</v>
      </c>
    </row>
    <row r="3847" spans="8:9">
      <c r="H3847" s="66" t="e">
        <f>IF(OR(LEFT(B3847,FIND("_",B3847,1)-1)="ULGALLOC",LEFT(B3847,FIND("_",B3847,1)-1)="ULSPOOL"),LEFT(B3847,FIND("_",B3847,1)-1),VLOOKUP(LEFT(A3847,6),'Code Library'!$D$3:$E$200,2,0))&amp;"_"&amp;RIGHT(A3847,3)</f>
        <v>#VALUE!</v>
      </c>
      <c r="I3847" s="66">
        <f t="shared" si="60"/>
        <v>0</v>
      </c>
    </row>
    <row r="3848" spans="8:9">
      <c r="H3848" s="66" t="e">
        <f>IF(OR(LEFT(B3848,FIND("_",B3848,1)-1)="ULGALLOC",LEFT(B3848,FIND("_",B3848,1)-1)="ULSPOOL"),LEFT(B3848,FIND("_",B3848,1)-1),VLOOKUP(LEFT(A3848,6),'Code Library'!$D$3:$E$200,2,0))&amp;"_"&amp;RIGHT(A3848,3)</f>
        <v>#VALUE!</v>
      </c>
      <c r="I3848" s="66">
        <f t="shared" si="60"/>
        <v>0</v>
      </c>
    </row>
    <row r="3849" spans="8:9">
      <c r="H3849" s="66" t="e">
        <f>IF(OR(LEFT(B3849,FIND("_",B3849,1)-1)="ULGALLOC",LEFT(B3849,FIND("_",B3849,1)-1)="ULSPOOL"),LEFT(B3849,FIND("_",B3849,1)-1),VLOOKUP(LEFT(A3849,6),'Code Library'!$D$3:$E$200,2,0))&amp;"_"&amp;RIGHT(A3849,3)</f>
        <v>#VALUE!</v>
      </c>
      <c r="I3849" s="66">
        <f t="shared" si="60"/>
        <v>0</v>
      </c>
    </row>
    <row r="3850" spans="8:9">
      <c r="H3850" s="66" t="e">
        <f>IF(OR(LEFT(B3850,FIND("_",B3850,1)-1)="ULGALLOC",LEFT(B3850,FIND("_",B3850,1)-1)="ULSPOOL"),LEFT(B3850,FIND("_",B3850,1)-1),VLOOKUP(LEFT(A3850,6),'Code Library'!$D$3:$E$200,2,0))&amp;"_"&amp;RIGHT(A3850,3)</f>
        <v>#VALUE!</v>
      </c>
      <c r="I3850" s="66">
        <f t="shared" si="60"/>
        <v>0</v>
      </c>
    </row>
    <row r="3851" spans="8:9">
      <c r="H3851" s="66" t="e">
        <f>IF(OR(LEFT(B3851,FIND("_",B3851,1)-1)="ULGALLOC",LEFT(B3851,FIND("_",B3851,1)-1)="ULSPOOL"),LEFT(B3851,FIND("_",B3851,1)-1),VLOOKUP(LEFT(A3851,6),'Code Library'!$D$3:$E$200,2,0))&amp;"_"&amp;RIGHT(A3851,3)</f>
        <v>#VALUE!</v>
      </c>
      <c r="I3851" s="66">
        <f t="shared" si="60"/>
        <v>0</v>
      </c>
    </row>
    <row r="3852" spans="8:9">
      <c r="H3852" s="66" t="e">
        <f>IF(OR(LEFT(B3852,FIND("_",B3852,1)-1)="ULGALLOC",LEFT(B3852,FIND("_",B3852,1)-1)="ULSPOOL"),LEFT(B3852,FIND("_",B3852,1)-1),VLOOKUP(LEFT(A3852,6),'Code Library'!$D$3:$E$200,2,0))&amp;"_"&amp;RIGHT(A3852,3)</f>
        <v>#VALUE!</v>
      </c>
      <c r="I3852" s="66">
        <f t="shared" si="60"/>
        <v>0</v>
      </c>
    </row>
    <row r="3853" spans="8:9">
      <c r="H3853" s="66" t="e">
        <f>IF(OR(LEFT(B3853,FIND("_",B3853,1)-1)="ULGALLOC",LEFT(B3853,FIND("_",B3853,1)-1)="ULSPOOL"),LEFT(B3853,FIND("_",B3853,1)-1),VLOOKUP(LEFT(A3853,6),'Code Library'!$D$3:$E$200,2,0))&amp;"_"&amp;RIGHT(A3853,3)</f>
        <v>#VALUE!</v>
      </c>
      <c r="I3853" s="66">
        <f t="shared" si="60"/>
        <v>0</v>
      </c>
    </row>
    <row r="3854" spans="8:9">
      <c r="H3854" s="66" t="e">
        <f>IF(OR(LEFT(B3854,FIND("_",B3854,1)-1)="ULGALLOC",LEFT(B3854,FIND("_",B3854,1)-1)="ULSPOOL"),LEFT(B3854,FIND("_",B3854,1)-1),VLOOKUP(LEFT(A3854,6),'Code Library'!$D$3:$E$200,2,0))&amp;"_"&amp;RIGHT(A3854,3)</f>
        <v>#VALUE!</v>
      </c>
      <c r="I3854" s="66">
        <f t="shared" si="60"/>
        <v>0</v>
      </c>
    </row>
    <row r="3855" spans="8:9">
      <c r="H3855" s="66" t="e">
        <f>IF(OR(LEFT(B3855,FIND("_",B3855,1)-1)="ULGALLOC",LEFT(B3855,FIND("_",B3855,1)-1)="ULSPOOL"),LEFT(B3855,FIND("_",B3855,1)-1),VLOOKUP(LEFT(A3855,6),'Code Library'!$D$3:$E$200,2,0))&amp;"_"&amp;RIGHT(A3855,3)</f>
        <v>#VALUE!</v>
      </c>
      <c r="I3855" s="66">
        <f t="shared" si="60"/>
        <v>0</v>
      </c>
    </row>
    <row r="3856" spans="8:9">
      <c r="H3856" s="66" t="e">
        <f>IF(OR(LEFT(B3856,FIND("_",B3856,1)-1)="ULGALLOC",LEFT(B3856,FIND("_",B3856,1)-1)="ULSPOOL"),LEFT(B3856,FIND("_",B3856,1)-1),VLOOKUP(LEFT(A3856,6),'Code Library'!$D$3:$E$200,2,0))&amp;"_"&amp;RIGHT(A3856,3)</f>
        <v>#VALUE!</v>
      </c>
      <c r="I3856" s="66">
        <f t="shared" si="60"/>
        <v>0</v>
      </c>
    </row>
    <row r="3857" spans="8:9">
      <c r="H3857" s="66" t="e">
        <f>IF(OR(LEFT(B3857,FIND("_",B3857,1)-1)="ULGALLOC",LEFT(B3857,FIND("_",B3857,1)-1)="ULSPOOL"),LEFT(B3857,FIND("_",B3857,1)-1),VLOOKUP(LEFT(A3857,6),'Code Library'!$D$3:$E$200,2,0))&amp;"_"&amp;RIGHT(A3857,3)</f>
        <v>#VALUE!</v>
      </c>
      <c r="I3857" s="66">
        <f t="shared" si="60"/>
        <v>0</v>
      </c>
    </row>
    <row r="3858" spans="8:9">
      <c r="H3858" s="66" t="e">
        <f>IF(OR(LEFT(B3858,FIND("_",B3858,1)-1)="ULGALLOC",LEFT(B3858,FIND("_",B3858,1)-1)="ULSPOOL"),LEFT(B3858,FIND("_",B3858,1)-1),VLOOKUP(LEFT(A3858,6),'Code Library'!$D$3:$E$200,2,0))&amp;"_"&amp;RIGHT(A3858,3)</f>
        <v>#VALUE!</v>
      </c>
      <c r="I3858" s="66">
        <f t="shared" si="60"/>
        <v>0</v>
      </c>
    </row>
    <row r="3859" spans="8:9">
      <c r="H3859" s="66" t="e">
        <f>IF(OR(LEFT(B3859,FIND("_",B3859,1)-1)="ULGALLOC",LEFT(B3859,FIND("_",B3859,1)-1)="ULSPOOL"),LEFT(B3859,FIND("_",B3859,1)-1),VLOOKUP(LEFT(A3859,6),'Code Library'!$D$3:$E$200,2,0))&amp;"_"&amp;RIGHT(A3859,3)</f>
        <v>#VALUE!</v>
      </c>
      <c r="I3859" s="66">
        <f t="shared" si="60"/>
        <v>0</v>
      </c>
    </row>
    <row r="3860" spans="8:9">
      <c r="H3860" s="66" t="e">
        <f>IF(OR(LEFT(B3860,FIND("_",B3860,1)-1)="ULGALLOC",LEFT(B3860,FIND("_",B3860,1)-1)="ULSPOOL"),LEFT(B3860,FIND("_",B3860,1)-1),VLOOKUP(LEFT(A3860,6),'Code Library'!$D$3:$E$200,2,0))&amp;"_"&amp;RIGHT(A3860,3)</f>
        <v>#VALUE!</v>
      </c>
      <c r="I3860" s="66">
        <f t="shared" si="60"/>
        <v>0</v>
      </c>
    </row>
    <row r="3861" spans="8:9">
      <c r="H3861" s="66" t="e">
        <f>IF(OR(LEFT(B3861,FIND("_",B3861,1)-1)="ULGALLOC",LEFT(B3861,FIND("_",B3861,1)-1)="ULSPOOL"),LEFT(B3861,FIND("_",B3861,1)-1),VLOOKUP(LEFT(A3861,6),'Code Library'!$D$3:$E$200,2,0))&amp;"_"&amp;RIGHT(A3861,3)</f>
        <v>#VALUE!</v>
      </c>
      <c r="I3861" s="66">
        <f t="shared" si="60"/>
        <v>0</v>
      </c>
    </row>
    <row r="3862" spans="8:9">
      <c r="H3862" s="66" t="e">
        <f>IF(OR(LEFT(B3862,FIND("_",B3862,1)-1)="ULGALLOC",LEFT(B3862,FIND("_",B3862,1)-1)="ULSPOOL"),LEFT(B3862,FIND("_",B3862,1)-1),VLOOKUP(LEFT(A3862,6),'Code Library'!$D$3:$E$200,2,0))&amp;"_"&amp;RIGHT(A3862,3)</f>
        <v>#VALUE!</v>
      </c>
      <c r="I3862" s="66">
        <f t="shared" si="60"/>
        <v>0</v>
      </c>
    </row>
    <row r="3863" spans="8:9">
      <c r="H3863" s="66" t="e">
        <f>IF(OR(LEFT(B3863,FIND("_",B3863,1)-1)="ULGALLOC",LEFT(B3863,FIND("_",B3863,1)-1)="ULSPOOL"),LEFT(B3863,FIND("_",B3863,1)-1),VLOOKUP(LEFT(A3863,6),'Code Library'!$D$3:$E$200,2,0))&amp;"_"&amp;RIGHT(A3863,3)</f>
        <v>#VALUE!</v>
      </c>
      <c r="I3863" s="66">
        <f t="shared" si="60"/>
        <v>0</v>
      </c>
    </row>
    <row r="3864" spans="8:9">
      <c r="H3864" s="66" t="e">
        <f>IF(OR(LEFT(B3864,FIND("_",B3864,1)-1)="ULGALLOC",LEFT(B3864,FIND("_",B3864,1)-1)="ULSPOOL"),LEFT(B3864,FIND("_",B3864,1)-1),VLOOKUP(LEFT(A3864,6),'Code Library'!$D$3:$E$200,2,0))&amp;"_"&amp;RIGHT(A3864,3)</f>
        <v>#VALUE!</v>
      </c>
      <c r="I3864" s="66">
        <f t="shared" si="60"/>
        <v>0</v>
      </c>
    </row>
    <row r="3865" spans="8:9">
      <c r="H3865" s="66" t="e">
        <f>IF(OR(LEFT(B3865,FIND("_",B3865,1)-1)="ULGALLOC",LEFT(B3865,FIND("_",B3865,1)-1)="ULSPOOL"),LEFT(B3865,FIND("_",B3865,1)-1),VLOOKUP(LEFT(A3865,6),'Code Library'!$D$3:$E$200,2,0))&amp;"_"&amp;RIGHT(A3865,3)</f>
        <v>#VALUE!</v>
      </c>
      <c r="I3865" s="66">
        <f t="shared" si="60"/>
        <v>0</v>
      </c>
    </row>
    <row r="3866" spans="8:9">
      <c r="H3866" s="66" t="e">
        <f>IF(OR(LEFT(B3866,FIND("_",B3866,1)-1)="ULGALLOC",LEFT(B3866,FIND("_",B3866,1)-1)="ULSPOOL"),LEFT(B3866,FIND("_",B3866,1)-1),VLOOKUP(LEFT(A3866,6),'Code Library'!$D$3:$E$200,2,0))&amp;"_"&amp;RIGHT(A3866,3)</f>
        <v>#VALUE!</v>
      </c>
      <c r="I3866" s="66">
        <f t="shared" si="60"/>
        <v>0</v>
      </c>
    </row>
    <row r="3867" spans="8:9">
      <c r="H3867" s="66" t="e">
        <f>IF(OR(LEFT(B3867,FIND("_",B3867,1)-1)="ULGALLOC",LEFT(B3867,FIND("_",B3867,1)-1)="ULSPOOL"),LEFT(B3867,FIND("_",B3867,1)-1),VLOOKUP(LEFT(A3867,6),'Code Library'!$D$3:$E$200,2,0))&amp;"_"&amp;RIGHT(A3867,3)</f>
        <v>#VALUE!</v>
      </c>
      <c r="I3867" s="66">
        <f t="shared" si="60"/>
        <v>0</v>
      </c>
    </row>
    <row r="3868" spans="8:9">
      <c r="H3868" s="66" t="e">
        <f>IF(OR(LEFT(B3868,FIND("_",B3868,1)-1)="ULGALLOC",LEFT(B3868,FIND("_",B3868,1)-1)="ULSPOOL"),LEFT(B3868,FIND("_",B3868,1)-1),VLOOKUP(LEFT(A3868,6),'Code Library'!$D$3:$E$200,2,0))&amp;"_"&amp;RIGHT(A3868,3)</f>
        <v>#VALUE!</v>
      </c>
      <c r="I3868" s="66">
        <f t="shared" si="60"/>
        <v>0</v>
      </c>
    </row>
    <row r="3869" spans="8:9">
      <c r="H3869" s="66" t="e">
        <f>IF(OR(LEFT(B3869,FIND("_",B3869,1)-1)="ULGALLOC",LEFT(B3869,FIND("_",B3869,1)-1)="ULSPOOL"),LEFT(B3869,FIND("_",B3869,1)-1),VLOOKUP(LEFT(A3869,6),'Code Library'!$D$3:$E$200,2,0))&amp;"_"&amp;RIGHT(A3869,3)</f>
        <v>#VALUE!</v>
      </c>
      <c r="I3869" s="66">
        <f t="shared" si="60"/>
        <v>0</v>
      </c>
    </row>
    <row r="3870" spans="8:9">
      <c r="H3870" s="66" t="e">
        <f>IF(OR(LEFT(B3870,FIND("_",B3870,1)-1)="ULGALLOC",LEFT(B3870,FIND("_",B3870,1)-1)="ULSPOOL"),LEFT(B3870,FIND("_",B3870,1)-1),VLOOKUP(LEFT(A3870,6),'Code Library'!$D$3:$E$200,2,0))&amp;"_"&amp;RIGHT(A3870,3)</f>
        <v>#VALUE!</v>
      </c>
      <c r="I3870" s="66">
        <f t="shared" si="60"/>
        <v>0</v>
      </c>
    </row>
    <row r="3871" spans="8:9">
      <c r="H3871" s="66" t="e">
        <f>IF(OR(LEFT(B3871,FIND("_",B3871,1)-1)="ULGALLOC",LEFT(B3871,FIND("_",B3871,1)-1)="ULSPOOL"),LEFT(B3871,FIND("_",B3871,1)-1),VLOOKUP(LEFT(A3871,6),'Code Library'!$D$3:$E$200,2,0))&amp;"_"&amp;RIGHT(A3871,3)</f>
        <v>#VALUE!</v>
      </c>
      <c r="I3871" s="66">
        <f t="shared" si="60"/>
        <v>0</v>
      </c>
    </row>
    <row r="3872" spans="8:9">
      <c r="H3872" s="66" t="e">
        <f>IF(OR(LEFT(B3872,FIND("_",B3872,1)-1)="ULGALLOC",LEFT(B3872,FIND("_",B3872,1)-1)="ULSPOOL"),LEFT(B3872,FIND("_",B3872,1)-1),VLOOKUP(LEFT(A3872,6),'Code Library'!$D$3:$E$200,2,0))&amp;"_"&amp;RIGHT(A3872,3)</f>
        <v>#VALUE!</v>
      </c>
      <c r="I3872" s="66">
        <f t="shared" si="60"/>
        <v>0</v>
      </c>
    </row>
    <row r="3873" spans="8:9">
      <c r="H3873" s="66" t="e">
        <f>IF(OR(LEFT(B3873,FIND("_",B3873,1)-1)="ULGALLOC",LEFT(B3873,FIND("_",B3873,1)-1)="ULSPOOL"),LEFT(B3873,FIND("_",B3873,1)-1),VLOOKUP(LEFT(A3873,6),'Code Library'!$D$3:$E$200,2,0))&amp;"_"&amp;RIGHT(A3873,3)</f>
        <v>#VALUE!</v>
      </c>
      <c r="I3873" s="66">
        <f t="shared" si="60"/>
        <v>0</v>
      </c>
    </row>
    <row r="3874" spans="8:9">
      <c r="H3874" s="66" t="e">
        <f>IF(OR(LEFT(B3874,FIND("_",B3874,1)-1)="ULGALLOC",LEFT(B3874,FIND("_",B3874,1)-1)="ULSPOOL"),LEFT(B3874,FIND("_",B3874,1)-1),VLOOKUP(LEFT(A3874,6),'Code Library'!$D$3:$E$200,2,0))&amp;"_"&amp;RIGHT(A3874,3)</f>
        <v>#VALUE!</v>
      </c>
      <c r="I3874" s="66">
        <f t="shared" si="60"/>
        <v>0</v>
      </c>
    </row>
    <row r="3875" spans="8:9">
      <c r="H3875" s="66" t="e">
        <f>IF(OR(LEFT(B3875,FIND("_",B3875,1)-1)="ULGALLOC",LEFT(B3875,FIND("_",B3875,1)-1)="ULSPOOL"),LEFT(B3875,FIND("_",B3875,1)-1),VLOOKUP(LEFT(A3875,6),'Code Library'!$D$3:$E$200,2,0))&amp;"_"&amp;RIGHT(A3875,3)</f>
        <v>#VALUE!</v>
      </c>
      <c r="I3875" s="66">
        <f t="shared" si="60"/>
        <v>0</v>
      </c>
    </row>
    <row r="3876" spans="8:9">
      <c r="H3876" s="66" t="e">
        <f>IF(OR(LEFT(B3876,FIND("_",B3876,1)-1)="ULGALLOC",LEFT(B3876,FIND("_",B3876,1)-1)="ULSPOOL"),LEFT(B3876,FIND("_",B3876,1)-1),VLOOKUP(LEFT(A3876,6),'Code Library'!$D$3:$E$200,2,0))&amp;"_"&amp;RIGHT(A3876,3)</f>
        <v>#VALUE!</v>
      </c>
      <c r="I3876" s="66">
        <f t="shared" si="60"/>
        <v>0</v>
      </c>
    </row>
    <row r="3877" spans="8:9">
      <c r="H3877" s="66" t="e">
        <f>IF(OR(LEFT(B3877,FIND("_",B3877,1)-1)="ULGALLOC",LEFT(B3877,FIND("_",B3877,1)-1)="ULSPOOL"),LEFT(B3877,FIND("_",B3877,1)-1),VLOOKUP(LEFT(A3877,6),'Code Library'!$D$3:$E$200,2,0))&amp;"_"&amp;RIGHT(A3877,3)</f>
        <v>#VALUE!</v>
      </c>
      <c r="I3877" s="66">
        <f t="shared" si="60"/>
        <v>0</v>
      </c>
    </row>
    <row r="3878" spans="8:9">
      <c r="H3878" s="66" t="e">
        <f>IF(OR(LEFT(B3878,FIND("_",B3878,1)-1)="ULGALLOC",LEFT(B3878,FIND("_",B3878,1)-1)="ULSPOOL"),LEFT(B3878,FIND("_",B3878,1)-1),VLOOKUP(LEFT(A3878,6),'Code Library'!$D$3:$E$200,2,0))&amp;"_"&amp;RIGHT(A3878,3)</f>
        <v>#VALUE!</v>
      </c>
      <c r="I3878" s="66">
        <f t="shared" si="60"/>
        <v>0</v>
      </c>
    </row>
    <row r="3879" spans="8:9">
      <c r="H3879" s="66" t="e">
        <f>IF(OR(LEFT(B3879,FIND("_",B3879,1)-1)="ULGALLOC",LEFT(B3879,FIND("_",B3879,1)-1)="ULSPOOL"),LEFT(B3879,FIND("_",B3879,1)-1),VLOOKUP(LEFT(A3879,6),'Code Library'!$D$3:$E$200,2,0))&amp;"_"&amp;RIGHT(A3879,3)</f>
        <v>#VALUE!</v>
      </c>
      <c r="I3879" s="66">
        <f t="shared" si="60"/>
        <v>0</v>
      </c>
    </row>
    <row r="3880" spans="8:9">
      <c r="H3880" s="66" t="e">
        <f>IF(OR(LEFT(B3880,FIND("_",B3880,1)-1)="ULGALLOC",LEFT(B3880,FIND("_",B3880,1)-1)="ULSPOOL"),LEFT(B3880,FIND("_",B3880,1)-1),VLOOKUP(LEFT(A3880,6),'Code Library'!$D$3:$E$200,2,0))&amp;"_"&amp;RIGHT(A3880,3)</f>
        <v>#VALUE!</v>
      </c>
      <c r="I3880" s="66">
        <f t="shared" si="60"/>
        <v>0</v>
      </c>
    </row>
    <row r="3881" spans="8:9">
      <c r="H3881" s="66" t="e">
        <f>IF(OR(LEFT(B3881,FIND("_",B3881,1)-1)="ULGALLOC",LEFT(B3881,FIND("_",B3881,1)-1)="ULSPOOL"),LEFT(B3881,FIND("_",B3881,1)-1),VLOOKUP(LEFT(A3881,6),'Code Library'!$D$3:$E$200,2,0))&amp;"_"&amp;RIGHT(A3881,3)</f>
        <v>#VALUE!</v>
      </c>
      <c r="I3881" s="66">
        <f t="shared" si="60"/>
        <v>0</v>
      </c>
    </row>
    <row r="3882" spans="8:9">
      <c r="H3882" s="66" t="e">
        <f>IF(OR(LEFT(B3882,FIND("_",B3882,1)-1)="ULGALLOC",LEFT(B3882,FIND("_",B3882,1)-1)="ULSPOOL"),LEFT(B3882,FIND("_",B3882,1)-1),VLOOKUP(LEFT(A3882,6),'Code Library'!$D$3:$E$200,2,0))&amp;"_"&amp;RIGHT(A3882,3)</f>
        <v>#VALUE!</v>
      </c>
      <c r="I3882" s="66">
        <f t="shared" si="60"/>
        <v>0</v>
      </c>
    </row>
    <row r="3883" spans="8:9">
      <c r="H3883" s="66" t="e">
        <f>IF(OR(LEFT(B3883,FIND("_",B3883,1)-1)="ULGALLOC",LEFT(B3883,FIND("_",B3883,1)-1)="ULSPOOL"),LEFT(B3883,FIND("_",B3883,1)-1),VLOOKUP(LEFT(A3883,6),'Code Library'!$D$3:$E$200,2,0))&amp;"_"&amp;RIGHT(A3883,3)</f>
        <v>#VALUE!</v>
      </c>
      <c r="I3883" s="66">
        <f t="shared" si="60"/>
        <v>0</v>
      </c>
    </row>
    <row r="3884" spans="8:9">
      <c r="H3884" s="66" t="e">
        <f>IF(OR(LEFT(B3884,FIND("_",B3884,1)-1)="ULGALLOC",LEFT(B3884,FIND("_",B3884,1)-1)="ULSPOOL"),LEFT(B3884,FIND("_",B3884,1)-1),VLOOKUP(LEFT(A3884,6),'Code Library'!$D$3:$E$200,2,0))&amp;"_"&amp;RIGHT(A3884,3)</f>
        <v>#VALUE!</v>
      </c>
      <c r="I3884" s="66">
        <f t="shared" si="60"/>
        <v>0</v>
      </c>
    </row>
    <row r="3885" spans="8:9">
      <c r="H3885" s="66" t="e">
        <f>IF(OR(LEFT(B3885,FIND("_",B3885,1)-1)="ULGALLOC",LEFT(B3885,FIND("_",B3885,1)-1)="ULSPOOL"),LEFT(B3885,FIND("_",B3885,1)-1),VLOOKUP(LEFT(A3885,6),'Code Library'!$D$3:$E$200,2,0))&amp;"_"&amp;RIGHT(A3885,3)</f>
        <v>#VALUE!</v>
      </c>
      <c r="I3885" s="66">
        <f t="shared" si="60"/>
        <v>0</v>
      </c>
    </row>
    <row r="3886" spans="8:9">
      <c r="H3886" s="66" t="e">
        <f>IF(OR(LEFT(B3886,FIND("_",B3886,1)-1)="ULGALLOC",LEFT(B3886,FIND("_",B3886,1)-1)="ULSPOOL"),LEFT(B3886,FIND("_",B3886,1)-1),VLOOKUP(LEFT(A3886,6),'Code Library'!$D$3:$E$200,2,0))&amp;"_"&amp;RIGHT(A3886,3)</f>
        <v>#VALUE!</v>
      </c>
      <c r="I3886" s="66">
        <f t="shared" si="60"/>
        <v>0</v>
      </c>
    </row>
    <row r="3887" spans="8:9">
      <c r="H3887" s="66" t="e">
        <f>IF(OR(LEFT(B3887,FIND("_",B3887,1)-1)="ULGALLOC",LEFT(B3887,FIND("_",B3887,1)-1)="ULSPOOL"),LEFT(B3887,FIND("_",B3887,1)-1),VLOOKUP(LEFT(A3887,6),'Code Library'!$D$3:$E$200,2,0))&amp;"_"&amp;RIGHT(A3887,3)</f>
        <v>#VALUE!</v>
      </c>
      <c r="I3887" s="66">
        <f t="shared" si="60"/>
        <v>0</v>
      </c>
    </row>
    <row r="3888" spans="8:9">
      <c r="H3888" s="66" t="e">
        <f>IF(OR(LEFT(B3888,FIND("_",B3888,1)-1)="ULGALLOC",LEFT(B3888,FIND("_",B3888,1)-1)="ULSPOOL"),LEFT(B3888,FIND("_",B3888,1)-1),VLOOKUP(LEFT(A3888,6),'Code Library'!$D$3:$E$200,2,0))&amp;"_"&amp;RIGHT(A3888,3)</f>
        <v>#VALUE!</v>
      </c>
      <c r="I3888" s="66">
        <f t="shared" si="60"/>
        <v>0</v>
      </c>
    </row>
    <row r="3889" spans="8:9">
      <c r="H3889" s="66" t="e">
        <f>IF(OR(LEFT(B3889,FIND("_",B3889,1)-1)="ULGALLOC",LEFT(B3889,FIND("_",B3889,1)-1)="ULSPOOL"),LEFT(B3889,FIND("_",B3889,1)-1),VLOOKUP(LEFT(A3889,6),'Code Library'!$D$3:$E$200,2,0))&amp;"_"&amp;RIGHT(A3889,3)</f>
        <v>#VALUE!</v>
      </c>
      <c r="I3889" s="66">
        <f t="shared" si="60"/>
        <v>0</v>
      </c>
    </row>
    <row r="3890" spans="8:9">
      <c r="H3890" s="66" t="e">
        <f>IF(OR(LEFT(B3890,FIND("_",B3890,1)-1)="ULGALLOC",LEFT(B3890,FIND("_",B3890,1)-1)="ULSPOOL"),LEFT(B3890,FIND("_",B3890,1)-1),VLOOKUP(LEFT(A3890,6),'Code Library'!$D$3:$E$200,2,0))&amp;"_"&amp;RIGHT(A3890,3)</f>
        <v>#VALUE!</v>
      </c>
      <c r="I3890" s="66">
        <f t="shared" si="60"/>
        <v>0</v>
      </c>
    </row>
    <row r="3891" spans="8:9">
      <c r="H3891" s="66" t="e">
        <f>IF(OR(LEFT(B3891,FIND("_",B3891,1)-1)="ULGALLOC",LEFT(B3891,FIND("_",B3891,1)-1)="ULSPOOL"),LEFT(B3891,FIND("_",B3891,1)-1),VLOOKUP(LEFT(A3891,6),'Code Library'!$D$3:$E$200,2,0))&amp;"_"&amp;RIGHT(A3891,3)</f>
        <v>#VALUE!</v>
      </c>
      <c r="I3891" s="66">
        <f t="shared" si="60"/>
        <v>0</v>
      </c>
    </row>
    <row r="3892" spans="8:9">
      <c r="H3892" s="66" t="e">
        <f>IF(OR(LEFT(B3892,FIND("_",B3892,1)-1)="ULGALLOC",LEFT(B3892,FIND("_",B3892,1)-1)="ULSPOOL"),LEFT(B3892,FIND("_",B3892,1)-1),VLOOKUP(LEFT(A3892,6),'Code Library'!$D$3:$E$200,2,0))&amp;"_"&amp;RIGHT(A3892,3)</f>
        <v>#VALUE!</v>
      </c>
      <c r="I3892" s="66">
        <f t="shared" si="60"/>
        <v>0</v>
      </c>
    </row>
    <row r="3893" spans="8:9">
      <c r="H3893" s="66" t="e">
        <f>IF(OR(LEFT(B3893,FIND("_",B3893,1)-1)="ULGALLOC",LEFT(B3893,FIND("_",B3893,1)-1)="ULSPOOL"),LEFT(B3893,FIND("_",B3893,1)-1),VLOOKUP(LEFT(A3893,6),'Code Library'!$D$3:$E$200,2,0))&amp;"_"&amp;RIGHT(A3893,3)</f>
        <v>#VALUE!</v>
      </c>
      <c r="I3893" s="66">
        <f t="shared" si="60"/>
        <v>0</v>
      </c>
    </row>
    <row r="3894" spans="8:9">
      <c r="H3894" s="66" t="e">
        <f>IF(OR(LEFT(B3894,FIND("_",B3894,1)-1)="ULGALLOC",LEFT(B3894,FIND("_",B3894,1)-1)="ULSPOOL"),LEFT(B3894,FIND("_",B3894,1)-1),VLOOKUP(LEFT(A3894,6),'Code Library'!$D$3:$E$200,2,0))&amp;"_"&amp;RIGHT(A3894,3)</f>
        <v>#VALUE!</v>
      </c>
      <c r="I3894" s="66">
        <f t="shared" si="60"/>
        <v>0</v>
      </c>
    </row>
    <row r="3895" spans="8:9">
      <c r="H3895" s="66" t="e">
        <f>IF(OR(LEFT(B3895,FIND("_",B3895,1)-1)="ULGALLOC",LEFT(B3895,FIND("_",B3895,1)-1)="ULSPOOL"),LEFT(B3895,FIND("_",B3895,1)-1),VLOOKUP(LEFT(A3895,6),'Code Library'!$D$3:$E$200,2,0))&amp;"_"&amp;RIGHT(A3895,3)</f>
        <v>#VALUE!</v>
      </c>
      <c r="I3895" s="66">
        <f t="shared" si="60"/>
        <v>0</v>
      </c>
    </row>
    <row r="3896" spans="8:9">
      <c r="H3896" s="66" t="e">
        <f>IF(OR(LEFT(B3896,FIND("_",B3896,1)-1)="ULGALLOC",LEFT(B3896,FIND("_",B3896,1)-1)="ULSPOOL"),LEFT(B3896,FIND("_",B3896,1)-1),VLOOKUP(LEFT(A3896,6),'Code Library'!$D$3:$E$200,2,0))&amp;"_"&amp;RIGHT(A3896,3)</f>
        <v>#VALUE!</v>
      </c>
      <c r="I3896" s="66">
        <f t="shared" si="60"/>
        <v>0</v>
      </c>
    </row>
    <row r="3897" spans="8:9">
      <c r="H3897" s="66" t="e">
        <f>IF(OR(LEFT(B3897,FIND("_",B3897,1)-1)="ULGALLOC",LEFT(B3897,FIND("_",B3897,1)-1)="ULSPOOL"),LEFT(B3897,FIND("_",B3897,1)-1),VLOOKUP(LEFT(A3897,6),'Code Library'!$D$3:$E$200,2,0))&amp;"_"&amp;RIGHT(A3897,3)</f>
        <v>#VALUE!</v>
      </c>
      <c r="I3897" s="66">
        <f t="shared" si="60"/>
        <v>0</v>
      </c>
    </row>
    <row r="3898" spans="8:9">
      <c r="H3898" s="66" t="e">
        <f>IF(OR(LEFT(B3898,FIND("_",B3898,1)-1)="ULGALLOC",LEFT(B3898,FIND("_",B3898,1)-1)="ULSPOOL"),LEFT(B3898,FIND("_",B3898,1)-1),VLOOKUP(LEFT(A3898,6),'Code Library'!$D$3:$E$200,2,0))&amp;"_"&amp;RIGHT(A3898,3)</f>
        <v>#VALUE!</v>
      </c>
      <c r="I3898" s="66">
        <f t="shared" si="60"/>
        <v>0</v>
      </c>
    </row>
    <row r="3899" spans="8:9">
      <c r="H3899" s="66" t="e">
        <f>IF(OR(LEFT(B3899,FIND("_",B3899,1)-1)="ULGALLOC",LEFT(B3899,FIND("_",B3899,1)-1)="ULSPOOL"),LEFT(B3899,FIND("_",B3899,1)-1),VLOOKUP(LEFT(A3899,6),'Code Library'!$D$3:$E$200,2,0))&amp;"_"&amp;RIGHT(A3899,3)</f>
        <v>#VALUE!</v>
      </c>
      <c r="I3899" s="66">
        <f t="shared" si="60"/>
        <v>0</v>
      </c>
    </row>
    <row r="3900" spans="8:9">
      <c r="H3900" s="66" t="e">
        <f>IF(OR(LEFT(B3900,FIND("_",B3900,1)-1)="ULGALLOC",LEFT(B3900,FIND("_",B3900,1)-1)="ULSPOOL"),LEFT(B3900,FIND("_",B3900,1)-1),VLOOKUP(LEFT(A3900,6),'Code Library'!$D$3:$E$200,2,0))&amp;"_"&amp;RIGHT(A3900,3)</f>
        <v>#VALUE!</v>
      </c>
      <c r="I3900" s="66">
        <f t="shared" si="60"/>
        <v>0</v>
      </c>
    </row>
    <row r="3901" spans="8:9">
      <c r="H3901" s="66" t="e">
        <f>IF(OR(LEFT(B3901,FIND("_",B3901,1)-1)="ULGALLOC",LEFT(B3901,FIND("_",B3901,1)-1)="ULSPOOL"),LEFT(B3901,FIND("_",B3901,1)-1),VLOOKUP(LEFT(A3901,6),'Code Library'!$D$3:$E$200,2,0))&amp;"_"&amp;RIGHT(A3901,3)</f>
        <v>#VALUE!</v>
      </c>
      <c r="I3901" s="66">
        <f t="shared" si="60"/>
        <v>0</v>
      </c>
    </row>
    <row r="3902" spans="8:9">
      <c r="H3902" s="66" t="e">
        <f>IF(OR(LEFT(B3902,FIND("_",B3902,1)-1)="ULGALLOC",LEFT(B3902,FIND("_",B3902,1)-1)="ULSPOOL"),LEFT(B3902,FIND("_",B3902,1)-1),VLOOKUP(LEFT(A3902,6),'Code Library'!$D$3:$E$200,2,0))&amp;"_"&amp;RIGHT(A3902,3)</f>
        <v>#VALUE!</v>
      </c>
      <c r="I3902" s="66">
        <f t="shared" si="60"/>
        <v>0</v>
      </c>
    </row>
    <row r="3903" spans="8:9">
      <c r="H3903" s="66" t="e">
        <f>IF(OR(LEFT(B3903,FIND("_",B3903,1)-1)="ULGALLOC",LEFT(B3903,FIND("_",B3903,1)-1)="ULSPOOL"),LEFT(B3903,FIND("_",B3903,1)-1),VLOOKUP(LEFT(A3903,6),'Code Library'!$D$3:$E$200,2,0))&amp;"_"&amp;RIGHT(A3903,3)</f>
        <v>#VALUE!</v>
      </c>
      <c r="I3903" s="66">
        <f t="shared" si="60"/>
        <v>0</v>
      </c>
    </row>
    <row r="3904" spans="8:9">
      <c r="H3904" s="66" t="e">
        <f>IF(OR(LEFT(B3904,FIND("_",B3904,1)-1)="ULGALLOC",LEFT(B3904,FIND("_",B3904,1)-1)="ULSPOOL"),LEFT(B3904,FIND("_",B3904,1)-1),VLOOKUP(LEFT(A3904,6),'Code Library'!$D$3:$E$200,2,0))&amp;"_"&amp;RIGHT(A3904,3)</f>
        <v>#VALUE!</v>
      </c>
      <c r="I3904" s="66">
        <f t="shared" si="60"/>
        <v>0</v>
      </c>
    </row>
    <row r="3905" spans="8:9">
      <c r="H3905" s="66" t="e">
        <f>IF(OR(LEFT(B3905,FIND("_",B3905,1)-1)="ULGALLOC",LEFT(B3905,FIND("_",B3905,1)-1)="ULSPOOL"),LEFT(B3905,FIND("_",B3905,1)-1),VLOOKUP(LEFT(A3905,6),'Code Library'!$D$3:$E$200,2,0))&amp;"_"&amp;RIGHT(A3905,3)</f>
        <v>#VALUE!</v>
      </c>
      <c r="I3905" s="66">
        <f t="shared" si="60"/>
        <v>0</v>
      </c>
    </row>
    <row r="3906" spans="8:9">
      <c r="H3906" s="66" t="e">
        <f>IF(OR(LEFT(B3906,FIND("_",B3906,1)-1)="ULGALLOC",LEFT(B3906,FIND("_",B3906,1)-1)="ULSPOOL"),LEFT(B3906,FIND("_",B3906,1)-1),VLOOKUP(LEFT(A3906,6),'Code Library'!$D$3:$E$200,2,0))&amp;"_"&amp;RIGHT(A3906,3)</f>
        <v>#VALUE!</v>
      </c>
      <c r="I3906" s="66">
        <f t="shared" si="60"/>
        <v>0</v>
      </c>
    </row>
    <row r="3907" spans="8:9">
      <c r="H3907" s="66" t="e">
        <f>IF(OR(LEFT(B3907,FIND("_",B3907,1)-1)="ULGALLOC",LEFT(B3907,FIND("_",B3907,1)-1)="ULSPOOL"),LEFT(B3907,FIND("_",B3907,1)-1),VLOOKUP(LEFT(A3907,6),'Code Library'!$D$3:$E$200,2,0))&amp;"_"&amp;RIGHT(A3907,3)</f>
        <v>#VALUE!</v>
      </c>
      <c r="I3907" s="66">
        <f t="shared" ref="I3907:I3970" si="61">A3907</f>
        <v>0</v>
      </c>
    </row>
    <row r="3908" spans="8:9">
      <c r="H3908" s="66" t="e">
        <f>IF(OR(LEFT(B3908,FIND("_",B3908,1)-1)="ULGALLOC",LEFT(B3908,FIND("_",B3908,1)-1)="ULSPOOL"),LEFT(B3908,FIND("_",B3908,1)-1),VLOOKUP(LEFT(A3908,6),'Code Library'!$D$3:$E$200,2,0))&amp;"_"&amp;RIGHT(A3908,3)</f>
        <v>#VALUE!</v>
      </c>
      <c r="I3908" s="66">
        <f t="shared" si="61"/>
        <v>0</v>
      </c>
    </row>
    <row r="3909" spans="8:9">
      <c r="H3909" s="66" t="e">
        <f>IF(OR(LEFT(B3909,FIND("_",B3909,1)-1)="ULGALLOC",LEFT(B3909,FIND("_",B3909,1)-1)="ULSPOOL"),LEFT(B3909,FIND("_",B3909,1)-1),VLOOKUP(LEFT(A3909,6),'Code Library'!$D$3:$E$200,2,0))&amp;"_"&amp;RIGHT(A3909,3)</f>
        <v>#VALUE!</v>
      </c>
      <c r="I3909" s="66">
        <f t="shared" si="61"/>
        <v>0</v>
      </c>
    </row>
    <row r="3910" spans="8:9">
      <c r="H3910" s="66" t="e">
        <f>IF(OR(LEFT(B3910,FIND("_",B3910,1)-1)="ULGALLOC",LEFT(B3910,FIND("_",B3910,1)-1)="ULSPOOL"),LEFT(B3910,FIND("_",B3910,1)-1),VLOOKUP(LEFT(A3910,6),'Code Library'!$D$3:$E$200,2,0))&amp;"_"&amp;RIGHT(A3910,3)</f>
        <v>#VALUE!</v>
      </c>
      <c r="I3910" s="66">
        <f t="shared" si="61"/>
        <v>0</v>
      </c>
    </row>
    <row r="3911" spans="8:9">
      <c r="H3911" s="66" t="e">
        <f>IF(OR(LEFT(B3911,FIND("_",B3911,1)-1)="ULGALLOC",LEFT(B3911,FIND("_",B3911,1)-1)="ULSPOOL"),LEFT(B3911,FIND("_",B3911,1)-1),VLOOKUP(LEFT(A3911,6),'Code Library'!$D$3:$E$200,2,0))&amp;"_"&amp;RIGHT(A3911,3)</f>
        <v>#VALUE!</v>
      </c>
      <c r="I3911" s="66">
        <f t="shared" si="61"/>
        <v>0</v>
      </c>
    </row>
    <row r="3912" spans="8:9">
      <c r="H3912" s="66" t="e">
        <f>IF(OR(LEFT(B3912,FIND("_",B3912,1)-1)="ULGALLOC",LEFT(B3912,FIND("_",B3912,1)-1)="ULSPOOL"),LEFT(B3912,FIND("_",B3912,1)-1),VLOOKUP(LEFT(A3912,6),'Code Library'!$D$3:$E$200,2,0))&amp;"_"&amp;RIGHT(A3912,3)</f>
        <v>#VALUE!</v>
      </c>
      <c r="I3912" s="66">
        <f t="shared" si="61"/>
        <v>0</v>
      </c>
    </row>
    <row r="3913" spans="8:9">
      <c r="H3913" s="66" t="e">
        <f>IF(OR(LEFT(B3913,FIND("_",B3913,1)-1)="ULGALLOC",LEFT(B3913,FIND("_",B3913,1)-1)="ULSPOOL"),LEFT(B3913,FIND("_",B3913,1)-1),VLOOKUP(LEFT(A3913,6),'Code Library'!$D$3:$E$200,2,0))&amp;"_"&amp;RIGHT(A3913,3)</f>
        <v>#VALUE!</v>
      </c>
      <c r="I3913" s="66">
        <f t="shared" si="61"/>
        <v>0</v>
      </c>
    </row>
    <row r="3914" spans="8:9">
      <c r="H3914" s="66" t="e">
        <f>IF(OR(LEFT(B3914,FIND("_",B3914,1)-1)="ULGALLOC",LEFT(B3914,FIND("_",B3914,1)-1)="ULSPOOL"),LEFT(B3914,FIND("_",B3914,1)-1),VLOOKUP(LEFT(A3914,6),'Code Library'!$D$3:$E$200,2,0))&amp;"_"&amp;RIGHT(A3914,3)</f>
        <v>#VALUE!</v>
      </c>
      <c r="I3914" s="66">
        <f t="shared" si="61"/>
        <v>0</v>
      </c>
    </row>
    <row r="3915" spans="8:9">
      <c r="H3915" s="66" t="e">
        <f>IF(OR(LEFT(B3915,FIND("_",B3915,1)-1)="ULGALLOC",LEFT(B3915,FIND("_",B3915,1)-1)="ULSPOOL"),LEFT(B3915,FIND("_",B3915,1)-1),VLOOKUP(LEFT(A3915,6),'Code Library'!$D$3:$E$200,2,0))&amp;"_"&amp;RIGHT(A3915,3)</f>
        <v>#VALUE!</v>
      </c>
      <c r="I3915" s="66">
        <f t="shared" si="61"/>
        <v>0</v>
      </c>
    </row>
    <row r="3916" spans="8:9">
      <c r="H3916" s="66" t="e">
        <f>IF(OR(LEFT(B3916,FIND("_",B3916,1)-1)="ULGALLOC",LEFT(B3916,FIND("_",B3916,1)-1)="ULSPOOL"),LEFT(B3916,FIND("_",B3916,1)-1),VLOOKUP(LEFT(A3916,6),'Code Library'!$D$3:$E$200,2,0))&amp;"_"&amp;RIGHT(A3916,3)</f>
        <v>#VALUE!</v>
      </c>
      <c r="I3916" s="66">
        <f t="shared" si="61"/>
        <v>0</v>
      </c>
    </row>
    <row r="3917" spans="8:9">
      <c r="H3917" s="66" t="e">
        <f>IF(OR(LEFT(B3917,FIND("_",B3917,1)-1)="ULGALLOC",LEFT(B3917,FIND("_",B3917,1)-1)="ULSPOOL"),LEFT(B3917,FIND("_",B3917,1)-1),VLOOKUP(LEFT(A3917,6),'Code Library'!$D$3:$E$200,2,0))&amp;"_"&amp;RIGHT(A3917,3)</f>
        <v>#VALUE!</v>
      </c>
      <c r="I3917" s="66">
        <f t="shared" si="61"/>
        <v>0</v>
      </c>
    </row>
    <row r="3918" spans="8:9">
      <c r="H3918" s="66" t="e">
        <f>IF(OR(LEFT(B3918,FIND("_",B3918,1)-1)="ULGALLOC",LEFT(B3918,FIND("_",B3918,1)-1)="ULSPOOL"),LEFT(B3918,FIND("_",B3918,1)-1),VLOOKUP(LEFT(A3918,6),'Code Library'!$D$3:$E$200,2,0))&amp;"_"&amp;RIGHT(A3918,3)</f>
        <v>#VALUE!</v>
      </c>
      <c r="I3918" s="66">
        <f t="shared" si="61"/>
        <v>0</v>
      </c>
    </row>
    <row r="3919" spans="8:9">
      <c r="H3919" s="66" t="e">
        <f>IF(OR(LEFT(B3919,FIND("_",B3919,1)-1)="ULGALLOC",LEFT(B3919,FIND("_",B3919,1)-1)="ULSPOOL"),LEFT(B3919,FIND("_",B3919,1)-1),VLOOKUP(LEFT(A3919,6),'Code Library'!$D$3:$E$200,2,0))&amp;"_"&amp;RIGHT(A3919,3)</f>
        <v>#VALUE!</v>
      </c>
      <c r="I3919" s="66">
        <f t="shared" si="61"/>
        <v>0</v>
      </c>
    </row>
    <row r="3920" spans="8:9">
      <c r="H3920" s="66" t="e">
        <f>IF(OR(LEFT(B3920,FIND("_",B3920,1)-1)="ULGALLOC",LEFT(B3920,FIND("_",B3920,1)-1)="ULSPOOL"),LEFT(B3920,FIND("_",B3920,1)-1),VLOOKUP(LEFT(A3920,6),'Code Library'!$D$3:$E$200,2,0))&amp;"_"&amp;RIGHT(A3920,3)</f>
        <v>#VALUE!</v>
      </c>
      <c r="I3920" s="66">
        <f t="shared" si="61"/>
        <v>0</v>
      </c>
    </row>
    <row r="3921" spans="8:9">
      <c r="H3921" s="66" t="e">
        <f>IF(OR(LEFT(B3921,FIND("_",B3921,1)-1)="ULGALLOC",LEFT(B3921,FIND("_",B3921,1)-1)="ULSPOOL"),LEFT(B3921,FIND("_",B3921,1)-1),VLOOKUP(LEFT(A3921,6),'Code Library'!$D$3:$E$200,2,0))&amp;"_"&amp;RIGHT(A3921,3)</f>
        <v>#VALUE!</v>
      </c>
      <c r="I3921" s="66">
        <f t="shared" si="61"/>
        <v>0</v>
      </c>
    </row>
    <row r="3922" spans="8:9">
      <c r="H3922" s="66" t="e">
        <f>IF(OR(LEFT(B3922,FIND("_",B3922,1)-1)="ULGALLOC",LEFT(B3922,FIND("_",B3922,1)-1)="ULSPOOL"),LEFT(B3922,FIND("_",B3922,1)-1),VLOOKUP(LEFT(A3922,6),'Code Library'!$D$3:$E$200,2,0))&amp;"_"&amp;RIGHT(A3922,3)</f>
        <v>#VALUE!</v>
      </c>
      <c r="I3922" s="66">
        <f t="shared" si="61"/>
        <v>0</v>
      </c>
    </row>
    <row r="3923" spans="8:9">
      <c r="H3923" s="66" t="e">
        <f>IF(OR(LEFT(B3923,FIND("_",B3923,1)-1)="ULGALLOC",LEFT(B3923,FIND("_",B3923,1)-1)="ULSPOOL"),LEFT(B3923,FIND("_",B3923,1)-1),VLOOKUP(LEFT(A3923,6),'Code Library'!$D$3:$E$200,2,0))&amp;"_"&amp;RIGHT(A3923,3)</f>
        <v>#VALUE!</v>
      </c>
      <c r="I3923" s="66">
        <f t="shared" si="61"/>
        <v>0</v>
      </c>
    </row>
    <row r="3924" spans="8:9">
      <c r="H3924" s="66" t="e">
        <f>IF(OR(LEFT(B3924,FIND("_",B3924,1)-1)="ULGALLOC",LEFT(B3924,FIND("_",B3924,1)-1)="ULSPOOL"),LEFT(B3924,FIND("_",B3924,1)-1),VLOOKUP(LEFT(A3924,6),'Code Library'!$D$3:$E$200,2,0))&amp;"_"&amp;RIGHT(A3924,3)</f>
        <v>#VALUE!</v>
      </c>
      <c r="I3924" s="66">
        <f t="shared" si="61"/>
        <v>0</v>
      </c>
    </row>
    <row r="3925" spans="8:9">
      <c r="H3925" s="66" t="e">
        <f>IF(OR(LEFT(B3925,FIND("_",B3925,1)-1)="ULGALLOC",LEFT(B3925,FIND("_",B3925,1)-1)="ULSPOOL"),LEFT(B3925,FIND("_",B3925,1)-1),VLOOKUP(LEFT(A3925,6),'Code Library'!$D$3:$E$200,2,0))&amp;"_"&amp;RIGHT(A3925,3)</f>
        <v>#VALUE!</v>
      </c>
      <c r="I3925" s="66">
        <f t="shared" si="61"/>
        <v>0</v>
      </c>
    </row>
    <row r="3926" spans="8:9">
      <c r="H3926" s="66" t="e">
        <f>IF(OR(LEFT(B3926,FIND("_",B3926,1)-1)="ULGALLOC",LEFT(B3926,FIND("_",B3926,1)-1)="ULSPOOL"),LEFT(B3926,FIND("_",B3926,1)-1),VLOOKUP(LEFT(A3926,6),'Code Library'!$D$3:$E$200,2,0))&amp;"_"&amp;RIGHT(A3926,3)</f>
        <v>#VALUE!</v>
      </c>
      <c r="I3926" s="66">
        <f t="shared" si="61"/>
        <v>0</v>
      </c>
    </row>
    <row r="3927" spans="8:9">
      <c r="H3927" s="66" t="e">
        <f>IF(OR(LEFT(B3927,FIND("_",B3927,1)-1)="ULGALLOC",LEFT(B3927,FIND("_",B3927,1)-1)="ULSPOOL"),LEFT(B3927,FIND("_",B3927,1)-1),VLOOKUP(LEFT(A3927,6),'Code Library'!$D$3:$E$200,2,0))&amp;"_"&amp;RIGHT(A3927,3)</f>
        <v>#VALUE!</v>
      </c>
      <c r="I3927" s="66">
        <f t="shared" si="61"/>
        <v>0</v>
      </c>
    </row>
    <row r="3928" spans="8:9">
      <c r="H3928" s="66" t="e">
        <f>IF(OR(LEFT(B3928,FIND("_",B3928,1)-1)="ULGALLOC",LEFT(B3928,FIND("_",B3928,1)-1)="ULSPOOL"),LEFT(B3928,FIND("_",B3928,1)-1),VLOOKUP(LEFT(A3928,6),'Code Library'!$D$3:$E$200,2,0))&amp;"_"&amp;RIGHT(A3928,3)</f>
        <v>#VALUE!</v>
      </c>
      <c r="I3928" s="66">
        <f t="shared" si="61"/>
        <v>0</v>
      </c>
    </row>
    <row r="3929" spans="8:9">
      <c r="H3929" s="66" t="e">
        <f>IF(OR(LEFT(B3929,FIND("_",B3929,1)-1)="ULGALLOC",LEFT(B3929,FIND("_",B3929,1)-1)="ULSPOOL"),LEFT(B3929,FIND("_",B3929,1)-1),VLOOKUP(LEFT(A3929,6),'Code Library'!$D$3:$E$200,2,0))&amp;"_"&amp;RIGHT(A3929,3)</f>
        <v>#VALUE!</v>
      </c>
      <c r="I3929" s="66">
        <f t="shared" si="61"/>
        <v>0</v>
      </c>
    </row>
    <row r="3930" spans="8:9">
      <c r="H3930" s="66" t="e">
        <f>IF(OR(LEFT(B3930,FIND("_",B3930,1)-1)="ULGALLOC",LEFT(B3930,FIND("_",B3930,1)-1)="ULSPOOL"),LEFT(B3930,FIND("_",B3930,1)-1),VLOOKUP(LEFT(A3930,6),'Code Library'!$D$3:$E$200,2,0))&amp;"_"&amp;RIGHT(A3930,3)</f>
        <v>#VALUE!</v>
      </c>
      <c r="I3930" s="66">
        <f t="shared" si="61"/>
        <v>0</v>
      </c>
    </row>
    <row r="3931" spans="8:9">
      <c r="H3931" s="66" t="e">
        <f>IF(OR(LEFT(B3931,FIND("_",B3931,1)-1)="ULGALLOC",LEFT(B3931,FIND("_",B3931,1)-1)="ULSPOOL"),LEFT(B3931,FIND("_",B3931,1)-1),VLOOKUP(LEFT(A3931,6),'Code Library'!$D$3:$E$200,2,0))&amp;"_"&amp;RIGHT(A3931,3)</f>
        <v>#VALUE!</v>
      </c>
      <c r="I3931" s="66">
        <f t="shared" si="61"/>
        <v>0</v>
      </c>
    </row>
    <row r="3932" spans="8:9">
      <c r="H3932" s="66" t="e">
        <f>IF(OR(LEFT(B3932,FIND("_",B3932,1)-1)="ULGALLOC",LEFT(B3932,FIND("_",B3932,1)-1)="ULSPOOL"),LEFT(B3932,FIND("_",B3932,1)-1),VLOOKUP(LEFT(A3932,6),'Code Library'!$D$3:$E$200,2,0))&amp;"_"&amp;RIGHT(A3932,3)</f>
        <v>#VALUE!</v>
      </c>
      <c r="I3932" s="66">
        <f t="shared" si="61"/>
        <v>0</v>
      </c>
    </row>
    <row r="3933" spans="8:9">
      <c r="H3933" s="66" t="e">
        <f>IF(OR(LEFT(B3933,FIND("_",B3933,1)-1)="ULGALLOC",LEFT(B3933,FIND("_",B3933,1)-1)="ULSPOOL"),LEFT(B3933,FIND("_",B3933,1)-1),VLOOKUP(LEFT(A3933,6),'Code Library'!$D$3:$E$200,2,0))&amp;"_"&amp;RIGHT(A3933,3)</f>
        <v>#VALUE!</v>
      </c>
      <c r="I3933" s="66">
        <f t="shared" si="61"/>
        <v>0</v>
      </c>
    </row>
    <row r="3934" spans="8:9">
      <c r="H3934" s="66" t="e">
        <f>IF(OR(LEFT(B3934,FIND("_",B3934,1)-1)="ULGALLOC",LEFT(B3934,FIND("_",B3934,1)-1)="ULSPOOL"),LEFT(B3934,FIND("_",B3934,1)-1),VLOOKUP(LEFT(A3934,6),'Code Library'!$D$3:$E$200,2,0))&amp;"_"&amp;RIGHT(A3934,3)</f>
        <v>#VALUE!</v>
      </c>
      <c r="I3934" s="66">
        <f t="shared" si="61"/>
        <v>0</v>
      </c>
    </row>
    <row r="3935" spans="8:9">
      <c r="H3935" s="66" t="e">
        <f>IF(OR(LEFT(B3935,FIND("_",B3935,1)-1)="ULGALLOC",LEFT(B3935,FIND("_",B3935,1)-1)="ULSPOOL"),LEFT(B3935,FIND("_",B3935,1)-1),VLOOKUP(LEFT(A3935,6),'Code Library'!$D$3:$E$200,2,0))&amp;"_"&amp;RIGHT(A3935,3)</f>
        <v>#VALUE!</v>
      </c>
      <c r="I3935" s="66">
        <f t="shared" si="61"/>
        <v>0</v>
      </c>
    </row>
    <row r="3936" spans="8:9">
      <c r="H3936" s="66" t="e">
        <f>IF(OR(LEFT(B3936,FIND("_",B3936,1)-1)="ULGALLOC",LEFT(B3936,FIND("_",B3936,1)-1)="ULSPOOL"),LEFT(B3936,FIND("_",B3936,1)-1),VLOOKUP(LEFT(A3936,6),'Code Library'!$D$3:$E$200,2,0))&amp;"_"&amp;RIGHT(A3936,3)</f>
        <v>#VALUE!</v>
      </c>
      <c r="I3936" s="66">
        <f t="shared" si="61"/>
        <v>0</v>
      </c>
    </row>
    <row r="3937" spans="8:9">
      <c r="H3937" s="66" t="e">
        <f>IF(OR(LEFT(B3937,FIND("_",B3937,1)-1)="ULGALLOC",LEFT(B3937,FIND("_",B3937,1)-1)="ULSPOOL"),LEFT(B3937,FIND("_",B3937,1)-1),VLOOKUP(LEFT(A3937,6),'Code Library'!$D$3:$E$200,2,0))&amp;"_"&amp;RIGHT(A3937,3)</f>
        <v>#VALUE!</v>
      </c>
      <c r="I3937" s="66">
        <f t="shared" si="61"/>
        <v>0</v>
      </c>
    </row>
    <row r="3938" spans="8:9">
      <c r="H3938" s="66" t="e">
        <f>IF(OR(LEFT(B3938,FIND("_",B3938,1)-1)="ULGALLOC",LEFT(B3938,FIND("_",B3938,1)-1)="ULSPOOL"),LEFT(B3938,FIND("_",B3938,1)-1),VLOOKUP(LEFT(A3938,6),'Code Library'!$D$3:$E$200,2,0))&amp;"_"&amp;RIGHT(A3938,3)</f>
        <v>#VALUE!</v>
      </c>
      <c r="I3938" s="66">
        <f t="shared" si="61"/>
        <v>0</v>
      </c>
    </row>
    <row r="3939" spans="8:9">
      <c r="H3939" s="66" t="e">
        <f>IF(OR(LEFT(B3939,FIND("_",B3939,1)-1)="ULGALLOC",LEFT(B3939,FIND("_",B3939,1)-1)="ULSPOOL"),LEFT(B3939,FIND("_",B3939,1)-1),VLOOKUP(LEFT(A3939,6),'Code Library'!$D$3:$E$200,2,0))&amp;"_"&amp;RIGHT(A3939,3)</f>
        <v>#VALUE!</v>
      </c>
      <c r="I3939" s="66">
        <f t="shared" si="61"/>
        <v>0</v>
      </c>
    </row>
    <row r="3940" spans="8:9">
      <c r="H3940" s="66" t="e">
        <f>IF(OR(LEFT(B3940,FIND("_",B3940,1)-1)="ULGALLOC",LEFT(B3940,FIND("_",B3940,1)-1)="ULSPOOL"),LEFT(B3940,FIND("_",B3940,1)-1),VLOOKUP(LEFT(A3940,6),'Code Library'!$D$3:$E$200,2,0))&amp;"_"&amp;RIGHT(A3940,3)</f>
        <v>#VALUE!</v>
      </c>
      <c r="I3940" s="66">
        <f t="shared" si="61"/>
        <v>0</v>
      </c>
    </row>
    <row r="3941" spans="8:9">
      <c r="H3941" s="66" t="e">
        <f>IF(OR(LEFT(B3941,FIND("_",B3941,1)-1)="ULGALLOC",LEFT(B3941,FIND("_",B3941,1)-1)="ULSPOOL"),LEFT(B3941,FIND("_",B3941,1)-1),VLOOKUP(LEFT(A3941,6),'Code Library'!$D$3:$E$200,2,0))&amp;"_"&amp;RIGHT(A3941,3)</f>
        <v>#VALUE!</v>
      </c>
      <c r="I3941" s="66">
        <f t="shared" si="61"/>
        <v>0</v>
      </c>
    </row>
    <row r="3942" spans="8:9">
      <c r="H3942" s="66" t="e">
        <f>IF(OR(LEFT(B3942,FIND("_",B3942,1)-1)="ULGALLOC",LEFT(B3942,FIND("_",B3942,1)-1)="ULSPOOL"),LEFT(B3942,FIND("_",B3942,1)-1),VLOOKUP(LEFT(A3942,6),'Code Library'!$D$3:$E$200,2,0))&amp;"_"&amp;RIGHT(A3942,3)</f>
        <v>#VALUE!</v>
      </c>
      <c r="I3942" s="66">
        <f t="shared" si="61"/>
        <v>0</v>
      </c>
    </row>
    <row r="3943" spans="8:9">
      <c r="H3943" s="66" t="e">
        <f>IF(OR(LEFT(B3943,FIND("_",B3943,1)-1)="ULGALLOC",LEFT(B3943,FIND("_",B3943,1)-1)="ULSPOOL"),LEFT(B3943,FIND("_",B3943,1)-1),VLOOKUP(LEFT(A3943,6),'Code Library'!$D$3:$E$200,2,0))&amp;"_"&amp;RIGHT(A3943,3)</f>
        <v>#VALUE!</v>
      </c>
      <c r="I3943" s="66">
        <f t="shared" si="61"/>
        <v>0</v>
      </c>
    </row>
    <row r="3944" spans="8:9">
      <c r="H3944" s="66" t="e">
        <f>IF(OR(LEFT(B3944,FIND("_",B3944,1)-1)="ULGALLOC",LEFT(B3944,FIND("_",B3944,1)-1)="ULSPOOL"),LEFT(B3944,FIND("_",B3944,1)-1),VLOOKUP(LEFT(A3944,6),'Code Library'!$D$3:$E$200,2,0))&amp;"_"&amp;RIGHT(A3944,3)</f>
        <v>#VALUE!</v>
      </c>
      <c r="I3944" s="66">
        <f t="shared" si="61"/>
        <v>0</v>
      </c>
    </row>
    <row r="3945" spans="8:9">
      <c r="H3945" s="66" t="e">
        <f>IF(OR(LEFT(B3945,FIND("_",B3945,1)-1)="ULGALLOC",LEFT(B3945,FIND("_",B3945,1)-1)="ULSPOOL"),LEFT(B3945,FIND("_",B3945,1)-1),VLOOKUP(LEFT(A3945,6),'Code Library'!$D$3:$E$200,2,0))&amp;"_"&amp;RIGHT(A3945,3)</f>
        <v>#VALUE!</v>
      </c>
      <c r="I3945" s="66">
        <f t="shared" si="61"/>
        <v>0</v>
      </c>
    </row>
    <row r="3946" spans="8:9">
      <c r="H3946" s="66" t="e">
        <f>IF(OR(LEFT(B3946,FIND("_",B3946,1)-1)="ULGALLOC",LEFT(B3946,FIND("_",B3946,1)-1)="ULSPOOL"),LEFT(B3946,FIND("_",B3946,1)-1),VLOOKUP(LEFT(A3946,6),'Code Library'!$D$3:$E$200,2,0))&amp;"_"&amp;RIGHT(A3946,3)</f>
        <v>#VALUE!</v>
      </c>
      <c r="I3946" s="66">
        <f t="shared" si="61"/>
        <v>0</v>
      </c>
    </row>
    <row r="3947" spans="8:9">
      <c r="H3947" s="66" t="e">
        <f>IF(OR(LEFT(B3947,FIND("_",B3947,1)-1)="ULGALLOC",LEFT(B3947,FIND("_",B3947,1)-1)="ULSPOOL"),LEFT(B3947,FIND("_",B3947,1)-1),VLOOKUP(LEFT(A3947,6),'Code Library'!$D$3:$E$200,2,0))&amp;"_"&amp;RIGHT(A3947,3)</f>
        <v>#VALUE!</v>
      </c>
      <c r="I3947" s="66">
        <f t="shared" si="61"/>
        <v>0</v>
      </c>
    </row>
    <row r="3948" spans="8:9">
      <c r="H3948" s="66" t="e">
        <f>IF(OR(LEFT(B3948,FIND("_",B3948,1)-1)="ULGALLOC",LEFT(B3948,FIND("_",B3948,1)-1)="ULSPOOL"),LEFT(B3948,FIND("_",B3948,1)-1),VLOOKUP(LEFT(A3948,6),'Code Library'!$D$3:$E$200,2,0))&amp;"_"&amp;RIGHT(A3948,3)</f>
        <v>#VALUE!</v>
      </c>
      <c r="I3948" s="66">
        <f t="shared" si="61"/>
        <v>0</v>
      </c>
    </row>
    <row r="3949" spans="8:9">
      <c r="H3949" s="66" t="e">
        <f>IF(OR(LEFT(B3949,FIND("_",B3949,1)-1)="ULGALLOC",LEFT(B3949,FIND("_",B3949,1)-1)="ULSPOOL"),LEFT(B3949,FIND("_",B3949,1)-1),VLOOKUP(LEFT(A3949,6),'Code Library'!$D$3:$E$200,2,0))&amp;"_"&amp;RIGHT(A3949,3)</f>
        <v>#VALUE!</v>
      </c>
      <c r="I3949" s="66">
        <f t="shared" si="61"/>
        <v>0</v>
      </c>
    </row>
    <row r="3950" spans="8:9">
      <c r="H3950" s="66" t="e">
        <f>IF(OR(LEFT(B3950,FIND("_",B3950,1)-1)="ULGALLOC",LEFT(B3950,FIND("_",B3950,1)-1)="ULSPOOL"),LEFT(B3950,FIND("_",B3950,1)-1),VLOOKUP(LEFT(A3950,6),'Code Library'!$D$3:$E$200,2,0))&amp;"_"&amp;RIGHT(A3950,3)</f>
        <v>#VALUE!</v>
      </c>
      <c r="I3950" s="66">
        <f t="shared" si="61"/>
        <v>0</v>
      </c>
    </row>
    <row r="3951" spans="8:9">
      <c r="H3951" s="66" t="e">
        <f>IF(OR(LEFT(B3951,FIND("_",B3951,1)-1)="ULGALLOC",LEFT(B3951,FIND("_",B3951,1)-1)="ULSPOOL"),LEFT(B3951,FIND("_",B3951,1)-1),VLOOKUP(LEFT(A3951,6),'Code Library'!$D$3:$E$200,2,0))&amp;"_"&amp;RIGHT(A3951,3)</f>
        <v>#VALUE!</v>
      </c>
      <c r="I3951" s="66">
        <f t="shared" si="61"/>
        <v>0</v>
      </c>
    </row>
    <row r="3952" spans="8:9">
      <c r="H3952" s="66" t="e">
        <f>IF(OR(LEFT(B3952,FIND("_",B3952,1)-1)="ULGALLOC",LEFT(B3952,FIND("_",B3952,1)-1)="ULSPOOL"),LEFT(B3952,FIND("_",B3952,1)-1),VLOOKUP(LEFT(A3952,6),'Code Library'!$D$3:$E$200,2,0))&amp;"_"&amp;RIGHT(A3952,3)</f>
        <v>#VALUE!</v>
      </c>
      <c r="I3952" s="66">
        <f t="shared" si="61"/>
        <v>0</v>
      </c>
    </row>
    <row r="3953" spans="8:9">
      <c r="H3953" s="66" t="e">
        <f>IF(OR(LEFT(B3953,FIND("_",B3953,1)-1)="ULGALLOC",LEFT(B3953,FIND("_",B3953,1)-1)="ULSPOOL"),LEFT(B3953,FIND("_",B3953,1)-1),VLOOKUP(LEFT(A3953,6),'Code Library'!$D$3:$E$200,2,0))&amp;"_"&amp;RIGHT(A3953,3)</f>
        <v>#VALUE!</v>
      </c>
      <c r="I3953" s="66">
        <f t="shared" si="61"/>
        <v>0</v>
      </c>
    </row>
    <row r="3954" spans="8:9">
      <c r="H3954" s="66" t="e">
        <f>IF(OR(LEFT(B3954,FIND("_",B3954,1)-1)="ULGALLOC",LEFT(B3954,FIND("_",B3954,1)-1)="ULSPOOL"),LEFT(B3954,FIND("_",B3954,1)-1),VLOOKUP(LEFT(A3954,6),'Code Library'!$D$3:$E$200,2,0))&amp;"_"&amp;RIGHT(A3954,3)</f>
        <v>#VALUE!</v>
      </c>
      <c r="I3954" s="66">
        <f t="shared" si="61"/>
        <v>0</v>
      </c>
    </row>
    <row r="3955" spans="8:9">
      <c r="H3955" s="66" t="e">
        <f>IF(OR(LEFT(B3955,FIND("_",B3955,1)-1)="ULGALLOC",LEFT(B3955,FIND("_",B3955,1)-1)="ULSPOOL"),LEFT(B3955,FIND("_",B3955,1)-1),VLOOKUP(LEFT(A3955,6),'Code Library'!$D$3:$E$200,2,0))&amp;"_"&amp;RIGHT(A3955,3)</f>
        <v>#VALUE!</v>
      </c>
      <c r="I3955" s="66">
        <f t="shared" si="61"/>
        <v>0</v>
      </c>
    </row>
    <row r="3956" spans="8:9">
      <c r="H3956" s="66" t="e">
        <f>IF(OR(LEFT(B3956,FIND("_",B3956,1)-1)="ULGALLOC",LEFT(B3956,FIND("_",B3956,1)-1)="ULSPOOL"),LEFT(B3956,FIND("_",B3956,1)-1),VLOOKUP(LEFT(A3956,6),'Code Library'!$D$3:$E$200,2,0))&amp;"_"&amp;RIGHT(A3956,3)</f>
        <v>#VALUE!</v>
      </c>
      <c r="I3956" s="66">
        <f t="shared" si="61"/>
        <v>0</v>
      </c>
    </row>
    <row r="3957" spans="8:9">
      <c r="H3957" s="66" t="e">
        <f>IF(OR(LEFT(B3957,FIND("_",B3957,1)-1)="ULGALLOC",LEFT(B3957,FIND("_",B3957,1)-1)="ULSPOOL"),LEFT(B3957,FIND("_",B3957,1)-1),VLOOKUP(LEFT(A3957,6),'Code Library'!$D$3:$E$200,2,0))&amp;"_"&amp;RIGHT(A3957,3)</f>
        <v>#VALUE!</v>
      </c>
      <c r="I3957" s="66">
        <f t="shared" si="61"/>
        <v>0</v>
      </c>
    </row>
    <row r="3958" spans="8:9">
      <c r="H3958" s="66" t="e">
        <f>IF(OR(LEFT(B3958,FIND("_",B3958,1)-1)="ULGALLOC",LEFT(B3958,FIND("_",B3958,1)-1)="ULSPOOL"),LEFT(B3958,FIND("_",B3958,1)-1),VLOOKUP(LEFT(A3958,6),'Code Library'!$D$3:$E$200,2,0))&amp;"_"&amp;RIGHT(A3958,3)</f>
        <v>#VALUE!</v>
      </c>
      <c r="I3958" s="66">
        <f t="shared" si="61"/>
        <v>0</v>
      </c>
    </row>
    <row r="3959" spans="8:9">
      <c r="H3959" s="66" t="e">
        <f>IF(OR(LEFT(B3959,FIND("_",B3959,1)-1)="ULGALLOC",LEFT(B3959,FIND("_",B3959,1)-1)="ULSPOOL"),LEFT(B3959,FIND("_",B3959,1)-1),VLOOKUP(LEFT(A3959,6),'Code Library'!$D$3:$E$200,2,0))&amp;"_"&amp;RIGHT(A3959,3)</f>
        <v>#VALUE!</v>
      </c>
      <c r="I3959" s="66">
        <f t="shared" si="61"/>
        <v>0</v>
      </c>
    </row>
    <row r="3960" spans="8:9">
      <c r="H3960" s="66" t="e">
        <f>IF(OR(LEFT(B3960,FIND("_",B3960,1)-1)="ULGALLOC",LEFT(B3960,FIND("_",B3960,1)-1)="ULSPOOL"),LEFT(B3960,FIND("_",B3960,1)-1),VLOOKUP(LEFT(A3960,6),'Code Library'!$D$3:$E$200,2,0))&amp;"_"&amp;RIGHT(A3960,3)</f>
        <v>#VALUE!</v>
      </c>
      <c r="I3960" s="66">
        <f t="shared" si="61"/>
        <v>0</v>
      </c>
    </row>
    <row r="3961" spans="8:9">
      <c r="H3961" s="66" t="e">
        <f>IF(OR(LEFT(B3961,FIND("_",B3961,1)-1)="ULGALLOC",LEFT(B3961,FIND("_",B3961,1)-1)="ULSPOOL"),LEFT(B3961,FIND("_",B3961,1)-1),VLOOKUP(LEFT(A3961,6),'Code Library'!$D$3:$E$200,2,0))&amp;"_"&amp;RIGHT(A3961,3)</f>
        <v>#VALUE!</v>
      </c>
      <c r="I3961" s="66">
        <f t="shared" si="61"/>
        <v>0</v>
      </c>
    </row>
    <row r="3962" spans="8:9">
      <c r="H3962" s="66" t="e">
        <f>IF(OR(LEFT(B3962,FIND("_",B3962,1)-1)="ULGALLOC",LEFT(B3962,FIND("_",B3962,1)-1)="ULSPOOL"),LEFT(B3962,FIND("_",B3962,1)-1),VLOOKUP(LEFT(A3962,6),'Code Library'!$D$3:$E$200,2,0))&amp;"_"&amp;RIGHT(A3962,3)</f>
        <v>#VALUE!</v>
      </c>
      <c r="I3962" s="66">
        <f t="shared" si="61"/>
        <v>0</v>
      </c>
    </row>
    <row r="3963" spans="8:9">
      <c r="H3963" s="66" t="e">
        <f>IF(OR(LEFT(B3963,FIND("_",B3963,1)-1)="ULGALLOC",LEFT(B3963,FIND("_",B3963,1)-1)="ULSPOOL"),LEFT(B3963,FIND("_",B3963,1)-1),VLOOKUP(LEFT(A3963,6),'Code Library'!$D$3:$E$200,2,0))&amp;"_"&amp;RIGHT(A3963,3)</f>
        <v>#VALUE!</v>
      </c>
      <c r="I3963" s="66">
        <f t="shared" si="61"/>
        <v>0</v>
      </c>
    </row>
    <row r="3964" spans="8:9">
      <c r="H3964" s="66" t="e">
        <f>IF(OR(LEFT(B3964,FIND("_",B3964,1)-1)="ULGALLOC",LEFT(B3964,FIND("_",B3964,1)-1)="ULSPOOL"),LEFT(B3964,FIND("_",B3964,1)-1),VLOOKUP(LEFT(A3964,6),'Code Library'!$D$3:$E$200,2,0))&amp;"_"&amp;RIGHT(A3964,3)</f>
        <v>#VALUE!</v>
      </c>
      <c r="I3964" s="66">
        <f t="shared" si="61"/>
        <v>0</v>
      </c>
    </row>
    <row r="3965" spans="8:9">
      <c r="H3965" s="66" t="e">
        <f>IF(OR(LEFT(B3965,FIND("_",B3965,1)-1)="ULGALLOC",LEFT(B3965,FIND("_",B3965,1)-1)="ULSPOOL"),LEFT(B3965,FIND("_",B3965,1)-1),VLOOKUP(LEFT(A3965,6),'Code Library'!$D$3:$E$200,2,0))&amp;"_"&amp;RIGHT(A3965,3)</f>
        <v>#VALUE!</v>
      </c>
      <c r="I3965" s="66">
        <f t="shared" si="61"/>
        <v>0</v>
      </c>
    </row>
    <row r="3966" spans="8:9">
      <c r="H3966" s="66" t="e">
        <f>IF(OR(LEFT(B3966,FIND("_",B3966,1)-1)="ULGALLOC",LEFT(B3966,FIND("_",B3966,1)-1)="ULSPOOL"),LEFT(B3966,FIND("_",B3966,1)-1),VLOOKUP(LEFT(A3966,6),'Code Library'!$D$3:$E$200,2,0))&amp;"_"&amp;RIGHT(A3966,3)</f>
        <v>#VALUE!</v>
      </c>
      <c r="I3966" s="66">
        <f t="shared" si="61"/>
        <v>0</v>
      </c>
    </row>
    <row r="3967" spans="8:9">
      <c r="H3967" s="66" t="e">
        <f>IF(OR(LEFT(B3967,FIND("_",B3967,1)-1)="ULGALLOC",LEFT(B3967,FIND("_",B3967,1)-1)="ULSPOOL"),LEFT(B3967,FIND("_",B3967,1)-1),VLOOKUP(LEFT(A3967,6),'Code Library'!$D$3:$E$200,2,0))&amp;"_"&amp;RIGHT(A3967,3)</f>
        <v>#VALUE!</v>
      </c>
      <c r="I3967" s="66">
        <f t="shared" si="61"/>
        <v>0</v>
      </c>
    </row>
    <row r="3968" spans="8:9">
      <c r="H3968" s="66" t="e">
        <f>IF(OR(LEFT(B3968,FIND("_",B3968,1)-1)="ULGALLOC",LEFT(B3968,FIND("_",B3968,1)-1)="ULSPOOL"),LEFT(B3968,FIND("_",B3968,1)-1),VLOOKUP(LEFT(A3968,6),'Code Library'!$D$3:$E$200,2,0))&amp;"_"&amp;RIGHT(A3968,3)</f>
        <v>#VALUE!</v>
      </c>
      <c r="I3968" s="66">
        <f t="shared" si="61"/>
        <v>0</v>
      </c>
    </row>
    <row r="3969" spans="8:9">
      <c r="H3969" s="66" t="e">
        <f>IF(OR(LEFT(B3969,FIND("_",B3969,1)-1)="ULGALLOC",LEFT(B3969,FIND("_",B3969,1)-1)="ULSPOOL"),LEFT(B3969,FIND("_",B3969,1)-1),VLOOKUP(LEFT(A3969,6),'Code Library'!$D$3:$E$200,2,0))&amp;"_"&amp;RIGHT(A3969,3)</f>
        <v>#VALUE!</v>
      </c>
      <c r="I3969" s="66">
        <f t="shared" si="61"/>
        <v>0</v>
      </c>
    </row>
    <row r="3970" spans="8:9">
      <c r="H3970" s="66" t="e">
        <f>IF(OR(LEFT(B3970,FIND("_",B3970,1)-1)="ULGALLOC",LEFT(B3970,FIND("_",B3970,1)-1)="ULSPOOL"),LEFT(B3970,FIND("_",B3970,1)-1),VLOOKUP(LEFT(A3970,6),'Code Library'!$D$3:$E$200,2,0))&amp;"_"&amp;RIGHT(A3970,3)</f>
        <v>#VALUE!</v>
      </c>
      <c r="I3970" s="66">
        <f t="shared" si="61"/>
        <v>0</v>
      </c>
    </row>
    <row r="3971" spans="8:9">
      <c r="H3971" s="66" t="e">
        <f>IF(OR(LEFT(B3971,FIND("_",B3971,1)-1)="ULGALLOC",LEFT(B3971,FIND("_",B3971,1)-1)="ULSPOOL"),LEFT(B3971,FIND("_",B3971,1)-1),VLOOKUP(LEFT(A3971,6),'Code Library'!$D$3:$E$200,2,0))&amp;"_"&amp;RIGHT(A3971,3)</f>
        <v>#VALUE!</v>
      </c>
      <c r="I3971" s="66">
        <f t="shared" ref="I3971:I4034" si="62">A3971</f>
        <v>0</v>
      </c>
    </row>
    <row r="3972" spans="8:9">
      <c r="H3972" s="66" t="e">
        <f>IF(OR(LEFT(B3972,FIND("_",B3972,1)-1)="ULGALLOC",LEFT(B3972,FIND("_",B3972,1)-1)="ULSPOOL"),LEFT(B3972,FIND("_",B3972,1)-1),VLOOKUP(LEFT(A3972,6),'Code Library'!$D$3:$E$200,2,0))&amp;"_"&amp;RIGHT(A3972,3)</f>
        <v>#VALUE!</v>
      </c>
      <c r="I3972" s="66">
        <f t="shared" si="62"/>
        <v>0</v>
      </c>
    </row>
    <row r="3973" spans="8:9">
      <c r="H3973" s="66" t="e">
        <f>IF(OR(LEFT(B3973,FIND("_",B3973,1)-1)="ULGALLOC",LEFT(B3973,FIND("_",B3973,1)-1)="ULSPOOL"),LEFT(B3973,FIND("_",B3973,1)-1),VLOOKUP(LEFT(A3973,6),'Code Library'!$D$3:$E$200,2,0))&amp;"_"&amp;RIGHT(A3973,3)</f>
        <v>#VALUE!</v>
      </c>
      <c r="I3973" s="66">
        <f t="shared" si="62"/>
        <v>0</v>
      </c>
    </row>
    <row r="3974" spans="8:9">
      <c r="H3974" s="66" t="e">
        <f>IF(OR(LEFT(B3974,FIND("_",B3974,1)-1)="ULGALLOC",LEFT(B3974,FIND("_",B3974,1)-1)="ULSPOOL"),LEFT(B3974,FIND("_",B3974,1)-1),VLOOKUP(LEFT(A3974,6),'Code Library'!$D$3:$E$200,2,0))&amp;"_"&amp;RIGHT(A3974,3)</f>
        <v>#VALUE!</v>
      </c>
      <c r="I3974" s="66">
        <f t="shared" si="62"/>
        <v>0</v>
      </c>
    </row>
    <row r="3975" spans="8:9">
      <c r="H3975" s="66" t="e">
        <f>IF(OR(LEFT(B3975,FIND("_",B3975,1)-1)="ULGALLOC",LEFT(B3975,FIND("_",B3975,1)-1)="ULSPOOL"),LEFT(B3975,FIND("_",B3975,1)-1),VLOOKUP(LEFT(A3975,6),'Code Library'!$D$3:$E$200,2,0))&amp;"_"&amp;RIGHT(A3975,3)</f>
        <v>#VALUE!</v>
      </c>
      <c r="I3975" s="66">
        <f t="shared" si="62"/>
        <v>0</v>
      </c>
    </row>
    <row r="3976" spans="8:9">
      <c r="H3976" s="66" t="e">
        <f>IF(OR(LEFT(B3976,FIND("_",B3976,1)-1)="ULGALLOC",LEFT(B3976,FIND("_",B3976,1)-1)="ULSPOOL"),LEFT(B3976,FIND("_",B3976,1)-1),VLOOKUP(LEFT(A3976,6),'Code Library'!$D$3:$E$200,2,0))&amp;"_"&amp;RIGHT(A3976,3)</f>
        <v>#VALUE!</v>
      </c>
      <c r="I3976" s="66">
        <f t="shared" si="62"/>
        <v>0</v>
      </c>
    </row>
    <row r="3977" spans="8:9">
      <c r="H3977" s="66" t="e">
        <f>IF(OR(LEFT(B3977,FIND("_",B3977,1)-1)="ULGALLOC",LEFT(B3977,FIND("_",B3977,1)-1)="ULSPOOL"),LEFT(B3977,FIND("_",B3977,1)-1),VLOOKUP(LEFT(A3977,6),'Code Library'!$D$3:$E$200,2,0))&amp;"_"&amp;RIGHT(A3977,3)</f>
        <v>#VALUE!</v>
      </c>
      <c r="I3977" s="66">
        <f t="shared" si="62"/>
        <v>0</v>
      </c>
    </row>
    <row r="3978" spans="8:9">
      <c r="H3978" s="66" t="e">
        <f>IF(OR(LEFT(B3978,FIND("_",B3978,1)-1)="ULGALLOC",LEFT(B3978,FIND("_",B3978,1)-1)="ULSPOOL"),LEFT(B3978,FIND("_",B3978,1)-1),VLOOKUP(LEFT(A3978,6),'Code Library'!$D$3:$E$200,2,0))&amp;"_"&amp;RIGHT(A3978,3)</f>
        <v>#VALUE!</v>
      </c>
      <c r="I3978" s="66">
        <f t="shared" si="62"/>
        <v>0</v>
      </c>
    </row>
    <row r="3979" spans="8:9">
      <c r="H3979" s="66" t="e">
        <f>IF(OR(LEFT(B3979,FIND("_",B3979,1)-1)="ULGALLOC",LEFT(B3979,FIND("_",B3979,1)-1)="ULSPOOL"),LEFT(B3979,FIND("_",B3979,1)-1),VLOOKUP(LEFT(A3979,6),'Code Library'!$D$3:$E$200,2,0))&amp;"_"&amp;RIGHT(A3979,3)</f>
        <v>#VALUE!</v>
      </c>
      <c r="I3979" s="66">
        <f t="shared" si="62"/>
        <v>0</v>
      </c>
    </row>
    <row r="3980" spans="8:9">
      <c r="H3980" s="66" t="e">
        <f>IF(OR(LEFT(B3980,FIND("_",B3980,1)-1)="ULGALLOC",LEFT(B3980,FIND("_",B3980,1)-1)="ULSPOOL"),LEFT(B3980,FIND("_",B3980,1)-1),VLOOKUP(LEFT(A3980,6),'Code Library'!$D$3:$E$200,2,0))&amp;"_"&amp;RIGHT(A3980,3)</f>
        <v>#VALUE!</v>
      </c>
      <c r="I3980" s="66">
        <f t="shared" si="62"/>
        <v>0</v>
      </c>
    </row>
    <row r="3981" spans="8:9">
      <c r="H3981" s="66" t="e">
        <f>IF(OR(LEFT(B3981,FIND("_",B3981,1)-1)="ULGALLOC",LEFT(B3981,FIND("_",B3981,1)-1)="ULSPOOL"),LEFT(B3981,FIND("_",B3981,1)-1),VLOOKUP(LEFT(A3981,6),'Code Library'!$D$3:$E$200,2,0))&amp;"_"&amp;RIGHT(A3981,3)</f>
        <v>#VALUE!</v>
      </c>
      <c r="I3981" s="66">
        <f t="shared" si="62"/>
        <v>0</v>
      </c>
    </row>
    <row r="3982" spans="8:9">
      <c r="H3982" s="66" t="e">
        <f>IF(OR(LEFT(B3982,FIND("_",B3982,1)-1)="ULGALLOC",LEFT(B3982,FIND("_",B3982,1)-1)="ULSPOOL"),LEFT(B3982,FIND("_",B3982,1)-1),VLOOKUP(LEFT(A3982,6),'Code Library'!$D$3:$E$200,2,0))&amp;"_"&amp;RIGHT(A3982,3)</f>
        <v>#VALUE!</v>
      </c>
      <c r="I3982" s="66">
        <f t="shared" si="62"/>
        <v>0</v>
      </c>
    </row>
    <row r="3983" spans="8:9">
      <c r="H3983" s="66" t="e">
        <f>IF(OR(LEFT(B3983,FIND("_",B3983,1)-1)="ULGALLOC",LEFT(B3983,FIND("_",B3983,1)-1)="ULSPOOL"),LEFT(B3983,FIND("_",B3983,1)-1),VLOOKUP(LEFT(A3983,6),'Code Library'!$D$3:$E$200,2,0))&amp;"_"&amp;RIGHT(A3983,3)</f>
        <v>#VALUE!</v>
      </c>
      <c r="I3983" s="66">
        <f t="shared" si="62"/>
        <v>0</v>
      </c>
    </row>
    <row r="3984" spans="8:9">
      <c r="H3984" s="66" t="e">
        <f>IF(OR(LEFT(B3984,FIND("_",B3984,1)-1)="ULGALLOC",LEFT(B3984,FIND("_",B3984,1)-1)="ULSPOOL"),LEFT(B3984,FIND("_",B3984,1)-1),VLOOKUP(LEFT(A3984,6),'Code Library'!$D$3:$E$200,2,0))&amp;"_"&amp;RIGHT(A3984,3)</f>
        <v>#VALUE!</v>
      </c>
      <c r="I3984" s="66">
        <f t="shared" si="62"/>
        <v>0</v>
      </c>
    </row>
    <row r="3985" spans="8:9">
      <c r="H3985" s="66" t="e">
        <f>IF(OR(LEFT(B3985,FIND("_",B3985,1)-1)="ULGALLOC",LEFT(B3985,FIND("_",B3985,1)-1)="ULSPOOL"),LEFT(B3985,FIND("_",B3985,1)-1),VLOOKUP(LEFT(A3985,6),'Code Library'!$D$3:$E$200,2,0))&amp;"_"&amp;RIGHT(A3985,3)</f>
        <v>#VALUE!</v>
      </c>
      <c r="I3985" s="66">
        <f t="shared" si="62"/>
        <v>0</v>
      </c>
    </row>
    <row r="3986" spans="8:9">
      <c r="H3986" s="66" t="e">
        <f>IF(OR(LEFT(B3986,FIND("_",B3986,1)-1)="ULGALLOC",LEFT(B3986,FIND("_",B3986,1)-1)="ULSPOOL"),LEFT(B3986,FIND("_",B3986,1)-1),VLOOKUP(LEFT(A3986,6),'Code Library'!$D$3:$E$200,2,0))&amp;"_"&amp;RIGHT(A3986,3)</f>
        <v>#VALUE!</v>
      </c>
      <c r="I3986" s="66">
        <f t="shared" si="62"/>
        <v>0</v>
      </c>
    </row>
    <row r="3987" spans="8:9">
      <c r="H3987" s="66" t="e">
        <f>IF(OR(LEFT(B3987,FIND("_",B3987,1)-1)="ULGALLOC",LEFT(B3987,FIND("_",B3987,1)-1)="ULSPOOL"),LEFT(B3987,FIND("_",B3987,1)-1),VLOOKUP(LEFT(A3987,6),'Code Library'!$D$3:$E$200,2,0))&amp;"_"&amp;RIGHT(A3987,3)</f>
        <v>#VALUE!</v>
      </c>
      <c r="I3987" s="66">
        <f t="shared" si="62"/>
        <v>0</v>
      </c>
    </row>
    <row r="3988" spans="8:9">
      <c r="H3988" s="66" t="e">
        <f>IF(OR(LEFT(B3988,FIND("_",B3988,1)-1)="ULGALLOC",LEFT(B3988,FIND("_",B3988,1)-1)="ULSPOOL"),LEFT(B3988,FIND("_",B3988,1)-1),VLOOKUP(LEFT(A3988,6),'Code Library'!$D$3:$E$200,2,0))&amp;"_"&amp;RIGHT(A3988,3)</f>
        <v>#VALUE!</v>
      </c>
      <c r="I3988" s="66">
        <f t="shared" si="62"/>
        <v>0</v>
      </c>
    </row>
    <row r="3989" spans="8:9">
      <c r="H3989" s="66" t="e">
        <f>IF(OR(LEFT(B3989,FIND("_",B3989,1)-1)="ULGALLOC",LEFT(B3989,FIND("_",B3989,1)-1)="ULSPOOL"),LEFT(B3989,FIND("_",B3989,1)-1),VLOOKUP(LEFT(A3989,6),'Code Library'!$D$3:$E$200,2,0))&amp;"_"&amp;RIGHT(A3989,3)</f>
        <v>#VALUE!</v>
      </c>
      <c r="I3989" s="66">
        <f t="shared" si="62"/>
        <v>0</v>
      </c>
    </row>
    <row r="3990" spans="8:9">
      <c r="H3990" s="66" t="e">
        <f>IF(OR(LEFT(B3990,FIND("_",B3990,1)-1)="ULGALLOC",LEFT(B3990,FIND("_",B3990,1)-1)="ULSPOOL"),LEFT(B3990,FIND("_",B3990,1)-1),VLOOKUP(LEFT(A3990,6),'Code Library'!$D$3:$E$200,2,0))&amp;"_"&amp;RIGHT(A3990,3)</f>
        <v>#VALUE!</v>
      </c>
      <c r="I3990" s="66">
        <f t="shared" si="62"/>
        <v>0</v>
      </c>
    </row>
    <row r="3991" spans="8:9">
      <c r="H3991" s="66" t="e">
        <f>IF(OR(LEFT(B3991,FIND("_",B3991,1)-1)="ULGALLOC",LEFT(B3991,FIND("_",B3991,1)-1)="ULSPOOL"),LEFT(B3991,FIND("_",B3991,1)-1),VLOOKUP(LEFT(A3991,6),'Code Library'!$D$3:$E$200,2,0))&amp;"_"&amp;RIGHT(A3991,3)</f>
        <v>#VALUE!</v>
      </c>
      <c r="I3991" s="66">
        <f t="shared" si="62"/>
        <v>0</v>
      </c>
    </row>
    <row r="3992" spans="8:9">
      <c r="H3992" s="66" t="e">
        <f>IF(OR(LEFT(B3992,FIND("_",B3992,1)-1)="ULGALLOC",LEFT(B3992,FIND("_",B3992,1)-1)="ULSPOOL"),LEFT(B3992,FIND("_",B3992,1)-1),VLOOKUP(LEFT(A3992,6),'Code Library'!$D$3:$E$200,2,0))&amp;"_"&amp;RIGHT(A3992,3)</f>
        <v>#VALUE!</v>
      </c>
      <c r="I3992" s="66">
        <f t="shared" si="62"/>
        <v>0</v>
      </c>
    </row>
    <row r="3993" spans="8:9">
      <c r="H3993" s="66" t="e">
        <f>IF(OR(LEFT(B3993,FIND("_",B3993,1)-1)="ULGALLOC",LEFT(B3993,FIND("_",B3993,1)-1)="ULSPOOL"),LEFT(B3993,FIND("_",B3993,1)-1),VLOOKUP(LEFT(A3993,6),'Code Library'!$D$3:$E$200,2,0))&amp;"_"&amp;RIGHT(A3993,3)</f>
        <v>#VALUE!</v>
      </c>
      <c r="I3993" s="66">
        <f t="shared" si="62"/>
        <v>0</v>
      </c>
    </row>
    <row r="3994" spans="8:9">
      <c r="H3994" s="66" t="e">
        <f>IF(OR(LEFT(B3994,FIND("_",B3994,1)-1)="ULGALLOC",LEFT(B3994,FIND("_",B3994,1)-1)="ULSPOOL"),LEFT(B3994,FIND("_",B3994,1)-1),VLOOKUP(LEFT(A3994,6),'Code Library'!$D$3:$E$200,2,0))&amp;"_"&amp;RIGHT(A3994,3)</f>
        <v>#VALUE!</v>
      </c>
      <c r="I3994" s="66">
        <f t="shared" si="62"/>
        <v>0</v>
      </c>
    </row>
    <row r="3995" spans="8:9">
      <c r="H3995" s="66" t="e">
        <f>IF(OR(LEFT(B3995,FIND("_",B3995,1)-1)="ULGALLOC",LEFT(B3995,FIND("_",B3995,1)-1)="ULSPOOL"),LEFT(B3995,FIND("_",B3995,1)-1),VLOOKUP(LEFT(A3995,6),'Code Library'!$D$3:$E$200,2,0))&amp;"_"&amp;RIGHT(A3995,3)</f>
        <v>#VALUE!</v>
      </c>
      <c r="I3995" s="66">
        <f t="shared" si="62"/>
        <v>0</v>
      </c>
    </row>
    <row r="3996" spans="8:9">
      <c r="H3996" s="66" t="e">
        <f>IF(OR(LEFT(B3996,FIND("_",B3996,1)-1)="ULGALLOC",LEFT(B3996,FIND("_",B3996,1)-1)="ULSPOOL"),LEFT(B3996,FIND("_",B3996,1)-1),VLOOKUP(LEFT(A3996,6),'Code Library'!$D$3:$E$200,2,0))&amp;"_"&amp;RIGHT(A3996,3)</f>
        <v>#VALUE!</v>
      </c>
      <c r="I3996" s="66">
        <f t="shared" si="62"/>
        <v>0</v>
      </c>
    </row>
    <row r="3997" spans="8:9">
      <c r="H3997" s="66" t="e">
        <f>IF(OR(LEFT(B3997,FIND("_",B3997,1)-1)="ULGALLOC",LEFT(B3997,FIND("_",B3997,1)-1)="ULSPOOL"),LEFT(B3997,FIND("_",B3997,1)-1),VLOOKUP(LEFT(A3997,6),'Code Library'!$D$3:$E$200,2,0))&amp;"_"&amp;RIGHT(A3997,3)</f>
        <v>#VALUE!</v>
      </c>
      <c r="I3997" s="66">
        <f t="shared" si="62"/>
        <v>0</v>
      </c>
    </row>
    <row r="3998" spans="8:9">
      <c r="H3998" s="66" t="e">
        <f>IF(OR(LEFT(B3998,FIND("_",B3998,1)-1)="ULGALLOC",LEFT(B3998,FIND("_",B3998,1)-1)="ULSPOOL"),LEFT(B3998,FIND("_",B3998,1)-1),VLOOKUP(LEFT(A3998,6),'Code Library'!$D$3:$E$200,2,0))&amp;"_"&amp;RIGHT(A3998,3)</f>
        <v>#VALUE!</v>
      </c>
      <c r="I3998" s="66">
        <f t="shared" si="62"/>
        <v>0</v>
      </c>
    </row>
    <row r="3999" spans="8:9">
      <c r="H3999" s="66" t="e">
        <f>IF(OR(LEFT(B3999,FIND("_",B3999,1)-1)="ULGALLOC",LEFT(B3999,FIND("_",B3999,1)-1)="ULSPOOL"),LEFT(B3999,FIND("_",B3999,1)-1),VLOOKUP(LEFT(A3999,6),'Code Library'!$D$3:$E$200,2,0))&amp;"_"&amp;RIGHT(A3999,3)</f>
        <v>#VALUE!</v>
      </c>
      <c r="I3999" s="66">
        <f t="shared" si="62"/>
        <v>0</v>
      </c>
    </row>
    <row r="4000" spans="8:9">
      <c r="H4000" s="66" t="e">
        <f>IF(OR(LEFT(B4000,FIND("_",B4000,1)-1)="ULGALLOC",LEFT(B4000,FIND("_",B4000,1)-1)="ULSPOOL"),LEFT(B4000,FIND("_",B4000,1)-1),VLOOKUP(LEFT(A4000,6),'Code Library'!$D$3:$E$200,2,0))&amp;"_"&amp;RIGHT(A4000,3)</f>
        <v>#VALUE!</v>
      </c>
      <c r="I4000" s="66">
        <f t="shared" si="62"/>
        <v>0</v>
      </c>
    </row>
    <row r="4001" spans="8:9">
      <c r="H4001" s="66" t="e">
        <f>IF(OR(LEFT(B4001,FIND("_",B4001,1)-1)="ULGALLOC",LEFT(B4001,FIND("_",B4001,1)-1)="ULSPOOL"),LEFT(B4001,FIND("_",B4001,1)-1),VLOOKUP(LEFT(A4001,6),'Code Library'!$D$3:$E$200,2,0))&amp;"_"&amp;RIGHT(A4001,3)</f>
        <v>#VALUE!</v>
      </c>
      <c r="I4001" s="66">
        <f t="shared" si="62"/>
        <v>0</v>
      </c>
    </row>
    <row r="4002" spans="8:9">
      <c r="H4002" s="66" t="e">
        <f>IF(OR(LEFT(B4002,FIND("_",B4002,1)-1)="ULGALLOC",LEFT(B4002,FIND("_",B4002,1)-1)="ULSPOOL"),LEFT(B4002,FIND("_",B4002,1)-1),VLOOKUP(LEFT(A4002,6),'Code Library'!$D$3:$E$200,2,0))&amp;"_"&amp;RIGHT(A4002,3)</f>
        <v>#VALUE!</v>
      </c>
      <c r="I4002" s="66">
        <f t="shared" si="62"/>
        <v>0</v>
      </c>
    </row>
    <row r="4003" spans="8:9">
      <c r="H4003" s="66" t="e">
        <f>IF(OR(LEFT(B4003,FIND("_",B4003,1)-1)="ULGALLOC",LEFT(B4003,FIND("_",B4003,1)-1)="ULSPOOL"),LEFT(B4003,FIND("_",B4003,1)-1),VLOOKUP(LEFT(A4003,6),'Code Library'!$D$3:$E$200,2,0))&amp;"_"&amp;RIGHT(A4003,3)</f>
        <v>#VALUE!</v>
      </c>
      <c r="I4003" s="66">
        <f t="shared" si="62"/>
        <v>0</v>
      </c>
    </row>
    <row r="4004" spans="8:9">
      <c r="H4004" s="66" t="e">
        <f>IF(OR(LEFT(B4004,FIND("_",B4004,1)-1)="ULGALLOC",LEFT(B4004,FIND("_",B4004,1)-1)="ULSPOOL"),LEFT(B4004,FIND("_",B4004,1)-1),VLOOKUP(LEFT(A4004,6),'Code Library'!$D$3:$E$200,2,0))&amp;"_"&amp;RIGHT(A4004,3)</f>
        <v>#VALUE!</v>
      </c>
      <c r="I4004" s="66">
        <f t="shared" si="62"/>
        <v>0</v>
      </c>
    </row>
    <row r="4005" spans="8:9">
      <c r="H4005" s="66" t="e">
        <f>IF(OR(LEFT(B4005,FIND("_",B4005,1)-1)="ULGALLOC",LEFT(B4005,FIND("_",B4005,1)-1)="ULSPOOL"),LEFT(B4005,FIND("_",B4005,1)-1),VLOOKUP(LEFT(A4005,6),'Code Library'!$D$3:$E$200,2,0))&amp;"_"&amp;RIGHT(A4005,3)</f>
        <v>#VALUE!</v>
      </c>
      <c r="I4005" s="66">
        <f t="shared" si="62"/>
        <v>0</v>
      </c>
    </row>
    <row r="4006" spans="8:9">
      <c r="H4006" s="66" t="e">
        <f>IF(OR(LEFT(B4006,FIND("_",B4006,1)-1)="ULGALLOC",LEFT(B4006,FIND("_",B4006,1)-1)="ULSPOOL"),LEFT(B4006,FIND("_",B4006,1)-1),VLOOKUP(LEFT(A4006,6),'Code Library'!$D$3:$E$200,2,0))&amp;"_"&amp;RIGHT(A4006,3)</f>
        <v>#VALUE!</v>
      </c>
      <c r="I4006" s="66">
        <f t="shared" si="62"/>
        <v>0</v>
      </c>
    </row>
    <row r="4007" spans="8:9">
      <c r="H4007" s="66" t="e">
        <f>IF(OR(LEFT(B4007,FIND("_",B4007,1)-1)="ULGALLOC",LEFT(B4007,FIND("_",B4007,1)-1)="ULSPOOL"),LEFT(B4007,FIND("_",B4007,1)-1),VLOOKUP(LEFT(A4007,6),'Code Library'!$D$3:$E$200,2,0))&amp;"_"&amp;RIGHT(A4007,3)</f>
        <v>#VALUE!</v>
      </c>
      <c r="I4007" s="66">
        <f t="shared" si="62"/>
        <v>0</v>
      </c>
    </row>
    <row r="4008" spans="8:9">
      <c r="H4008" s="66" t="e">
        <f>IF(OR(LEFT(B4008,FIND("_",B4008,1)-1)="ULGALLOC",LEFT(B4008,FIND("_",B4008,1)-1)="ULSPOOL"),LEFT(B4008,FIND("_",B4008,1)-1),VLOOKUP(LEFT(A4008,6),'Code Library'!$D$3:$E$200,2,0))&amp;"_"&amp;RIGHT(A4008,3)</f>
        <v>#VALUE!</v>
      </c>
      <c r="I4008" s="66">
        <f t="shared" si="62"/>
        <v>0</v>
      </c>
    </row>
    <row r="4009" spans="8:9">
      <c r="H4009" s="66" t="e">
        <f>IF(OR(LEFT(B4009,FIND("_",B4009,1)-1)="ULGALLOC",LEFT(B4009,FIND("_",B4009,1)-1)="ULSPOOL"),LEFT(B4009,FIND("_",B4009,1)-1),VLOOKUP(LEFT(A4009,6),'Code Library'!$D$3:$E$200,2,0))&amp;"_"&amp;RIGHT(A4009,3)</f>
        <v>#VALUE!</v>
      </c>
      <c r="I4009" s="66">
        <f t="shared" si="62"/>
        <v>0</v>
      </c>
    </row>
    <row r="4010" spans="8:9">
      <c r="H4010" s="66" t="e">
        <f>IF(OR(LEFT(B4010,FIND("_",B4010,1)-1)="ULGALLOC",LEFT(B4010,FIND("_",B4010,1)-1)="ULSPOOL"),LEFT(B4010,FIND("_",B4010,1)-1),VLOOKUP(LEFT(A4010,6),'Code Library'!$D$3:$E$200,2,0))&amp;"_"&amp;RIGHT(A4010,3)</f>
        <v>#VALUE!</v>
      </c>
      <c r="I4010" s="66">
        <f t="shared" si="62"/>
        <v>0</v>
      </c>
    </row>
    <row r="4011" spans="8:9">
      <c r="H4011" s="66" t="e">
        <f>IF(OR(LEFT(B4011,FIND("_",B4011,1)-1)="ULGALLOC",LEFT(B4011,FIND("_",B4011,1)-1)="ULSPOOL"),LEFT(B4011,FIND("_",B4011,1)-1),VLOOKUP(LEFT(A4011,6),'Code Library'!$D$3:$E$200,2,0))&amp;"_"&amp;RIGHT(A4011,3)</f>
        <v>#VALUE!</v>
      </c>
      <c r="I4011" s="66">
        <f t="shared" si="62"/>
        <v>0</v>
      </c>
    </row>
    <row r="4012" spans="8:9">
      <c r="H4012" s="66" t="e">
        <f>IF(OR(LEFT(B4012,FIND("_",B4012,1)-1)="ULGALLOC",LEFT(B4012,FIND("_",B4012,1)-1)="ULSPOOL"),LEFT(B4012,FIND("_",B4012,1)-1),VLOOKUP(LEFT(A4012,6),'Code Library'!$D$3:$E$200,2,0))&amp;"_"&amp;RIGHT(A4012,3)</f>
        <v>#VALUE!</v>
      </c>
      <c r="I4012" s="66">
        <f t="shared" si="62"/>
        <v>0</v>
      </c>
    </row>
    <row r="4013" spans="8:9">
      <c r="H4013" s="66" t="e">
        <f>IF(OR(LEFT(B4013,FIND("_",B4013,1)-1)="ULGALLOC",LEFT(B4013,FIND("_",B4013,1)-1)="ULSPOOL"),LEFT(B4013,FIND("_",B4013,1)-1),VLOOKUP(LEFT(A4013,6),'Code Library'!$D$3:$E$200,2,0))&amp;"_"&amp;RIGHT(A4013,3)</f>
        <v>#VALUE!</v>
      </c>
      <c r="I4013" s="66">
        <f t="shared" si="62"/>
        <v>0</v>
      </c>
    </row>
    <row r="4014" spans="8:9">
      <c r="H4014" s="66" t="e">
        <f>IF(OR(LEFT(B4014,FIND("_",B4014,1)-1)="ULGALLOC",LEFT(B4014,FIND("_",B4014,1)-1)="ULSPOOL"),LEFT(B4014,FIND("_",B4014,1)-1),VLOOKUP(LEFT(A4014,6),'Code Library'!$D$3:$E$200,2,0))&amp;"_"&amp;RIGHT(A4014,3)</f>
        <v>#VALUE!</v>
      </c>
      <c r="I4014" s="66">
        <f t="shared" si="62"/>
        <v>0</v>
      </c>
    </row>
    <row r="4015" spans="8:9">
      <c r="H4015" s="66" t="e">
        <f>IF(OR(LEFT(B4015,FIND("_",B4015,1)-1)="ULGALLOC",LEFT(B4015,FIND("_",B4015,1)-1)="ULSPOOL"),LEFT(B4015,FIND("_",B4015,1)-1),VLOOKUP(LEFT(A4015,6),'Code Library'!$D$3:$E$200,2,0))&amp;"_"&amp;RIGHT(A4015,3)</f>
        <v>#VALUE!</v>
      </c>
      <c r="I4015" s="66">
        <f t="shared" si="62"/>
        <v>0</v>
      </c>
    </row>
    <row r="4016" spans="8:9">
      <c r="H4016" s="66" t="e">
        <f>IF(OR(LEFT(B4016,FIND("_",B4016,1)-1)="ULGALLOC",LEFT(B4016,FIND("_",B4016,1)-1)="ULSPOOL"),LEFT(B4016,FIND("_",B4016,1)-1),VLOOKUP(LEFT(A4016,6),'Code Library'!$D$3:$E$200,2,0))&amp;"_"&amp;RIGHT(A4016,3)</f>
        <v>#VALUE!</v>
      </c>
      <c r="I4016" s="66">
        <f t="shared" si="62"/>
        <v>0</v>
      </c>
    </row>
    <row r="4017" spans="8:9">
      <c r="H4017" s="66" t="e">
        <f>IF(OR(LEFT(B4017,FIND("_",B4017,1)-1)="ULGALLOC",LEFT(B4017,FIND("_",B4017,1)-1)="ULSPOOL"),LEFT(B4017,FIND("_",B4017,1)-1),VLOOKUP(LEFT(A4017,6),'Code Library'!$D$3:$E$200,2,0))&amp;"_"&amp;RIGHT(A4017,3)</f>
        <v>#VALUE!</v>
      </c>
      <c r="I4017" s="66">
        <f t="shared" si="62"/>
        <v>0</v>
      </c>
    </row>
    <row r="4018" spans="8:9">
      <c r="H4018" s="66" t="e">
        <f>IF(OR(LEFT(B4018,FIND("_",B4018,1)-1)="ULGALLOC",LEFT(B4018,FIND("_",B4018,1)-1)="ULSPOOL"),LEFT(B4018,FIND("_",B4018,1)-1),VLOOKUP(LEFT(A4018,6),'Code Library'!$D$3:$E$200,2,0))&amp;"_"&amp;RIGHT(A4018,3)</f>
        <v>#VALUE!</v>
      </c>
      <c r="I4018" s="66">
        <f t="shared" si="62"/>
        <v>0</v>
      </c>
    </row>
    <row r="4019" spans="8:9">
      <c r="H4019" s="66" t="e">
        <f>IF(OR(LEFT(B4019,FIND("_",B4019,1)-1)="ULGALLOC",LEFT(B4019,FIND("_",B4019,1)-1)="ULSPOOL"),LEFT(B4019,FIND("_",B4019,1)-1),VLOOKUP(LEFT(A4019,6),'Code Library'!$D$3:$E$200,2,0))&amp;"_"&amp;RIGHT(A4019,3)</f>
        <v>#VALUE!</v>
      </c>
      <c r="I4019" s="66">
        <f t="shared" si="62"/>
        <v>0</v>
      </c>
    </row>
    <row r="4020" spans="8:9">
      <c r="H4020" s="66" t="e">
        <f>IF(OR(LEFT(B4020,FIND("_",B4020,1)-1)="ULGALLOC",LEFT(B4020,FIND("_",B4020,1)-1)="ULSPOOL"),LEFT(B4020,FIND("_",B4020,1)-1),VLOOKUP(LEFT(A4020,6),'Code Library'!$D$3:$E$200,2,0))&amp;"_"&amp;RIGHT(A4020,3)</f>
        <v>#VALUE!</v>
      </c>
      <c r="I4020" s="66">
        <f t="shared" si="62"/>
        <v>0</v>
      </c>
    </row>
    <row r="4021" spans="8:9">
      <c r="H4021" s="66" t="e">
        <f>IF(OR(LEFT(B4021,FIND("_",B4021,1)-1)="ULGALLOC",LEFT(B4021,FIND("_",B4021,1)-1)="ULSPOOL"),LEFT(B4021,FIND("_",B4021,1)-1),VLOOKUP(LEFT(A4021,6),'Code Library'!$D$3:$E$200,2,0))&amp;"_"&amp;RIGHT(A4021,3)</f>
        <v>#VALUE!</v>
      </c>
      <c r="I4021" s="66">
        <f t="shared" si="62"/>
        <v>0</v>
      </c>
    </row>
    <row r="4022" spans="8:9">
      <c r="H4022" s="66" t="e">
        <f>IF(OR(LEFT(B4022,FIND("_",B4022,1)-1)="ULGALLOC",LEFT(B4022,FIND("_",B4022,1)-1)="ULSPOOL"),LEFT(B4022,FIND("_",B4022,1)-1),VLOOKUP(LEFT(A4022,6),'Code Library'!$D$3:$E$200,2,0))&amp;"_"&amp;RIGHT(A4022,3)</f>
        <v>#VALUE!</v>
      </c>
      <c r="I4022" s="66">
        <f t="shared" si="62"/>
        <v>0</v>
      </c>
    </row>
    <row r="4023" spans="8:9">
      <c r="H4023" s="66" t="e">
        <f>IF(OR(LEFT(B4023,FIND("_",B4023,1)-1)="ULGALLOC",LEFT(B4023,FIND("_",B4023,1)-1)="ULSPOOL"),LEFT(B4023,FIND("_",B4023,1)-1),VLOOKUP(LEFT(A4023,6),'Code Library'!$D$3:$E$200,2,0))&amp;"_"&amp;RIGHT(A4023,3)</f>
        <v>#VALUE!</v>
      </c>
      <c r="I4023" s="66">
        <f t="shared" si="62"/>
        <v>0</v>
      </c>
    </row>
    <row r="4024" spans="8:9">
      <c r="H4024" s="66" t="e">
        <f>IF(OR(LEFT(B4024,FIND("_",B4024,1)-1)="ULGALLOC",LEFT(B4024,FIND("_",B4024,1)-1)="ULSPOOL"),LEFT(B4024,FIND("_",B4024,1)-1),VLOOKUP(LEFT(A4024,6),'Code Library'!$D$3:$E$200,2,0))&amp;"_"&amp;RIGHT(A4024,3)</f>
        <v>#VALUE!</v>
      </c>
      <c r="I4024" s="66">
        <f t="shared" si="62"/>
        <v>0</v>
      </c>
    </row>
    <row r="4025" spans="8:9">
      <c r="H4025" s="66" t="e">
        <f>IF(OR(LEFT(B4025,FIND("_",B4025,1)-1)="ULGALLOC",LEFT(B4025,FIND("_",B4025,1)-1)="ULSPOOL"),LEFT(B4025,FIND("_",B4025,1)-1),VLOOKUP(LEFT(A4025,6),'Code Library'!$D$3:$E$200,2,0))&amp;"_"&amp;RIGHT(A4025,3)</f>
        <v>#VALUE!</v>
      </c>
      <c r="I4025" s="66">
        <f t="shared" si="62"/>
        <v>0</v>
      </c>
    </row>
    <row r="4026" spans="8:9">
      <c r="H4026" s="66" t="e">
        <f>IF(OR(LEFT(B4026,FIND("_",B4026,1)-1)="ULGALLOC",LEFT(B4026,FIND("_",B4026,1)-1)="ULSPOOL"),LEFT(B4026,FIND("_",B4026,1)-1),VLOOKUP(LEFT(A4026,6),'Code Library'!$D$3:$E$200,2,0))&amp;"_"&amp;RIGHT(A4026,3)</f>
        <v>#VALUE!</v>
      </c>
      <c r="I4026" s="66">
        <f t="shared" si="62"/>
        <v>0</v>
      </c>
    </row>
    <row r="4027" spans="8:9">
      <c r="H4027" s="66" t="e">
        <f>IF(OR(LEFT(B4027,FIND("_",B4027,1)-1)="ULGALLOC",LEFT(B4027,FIND("_",B4027,1)-1)="ULSPOOL"),LEFT(B4027,FIND("_",B4027,1)-1),VLOOKUP(LEFT(A4027,6),'Code Library'!$D$3:$E$200,2,0))&amp;"_"&amp;RIGHT(A4027,3)</f>
        <v>#VALUE!</v>
      </c>
      <c r="I4027" s="66">
        <f t="shared" si="62"/>
        <v>0</v>
      </c>
    </row>
    <row r="4028" spans="8:9">
      <c r="H4028" s="66" t="e">
        <f>IF(OR(LEFT(B4028,FIND("_",B4028,1)-1)="ULGALLOC",LEFT(B4028,FIND("_",B4028,1)-1)="ULSPOOL"),LEFT(B4028,FIND("_",B4028,1)-1),VLOOKUP(LEFT(A4028,6),'Code Library'!$D$3:$E$200,2,0))&amp;"_"&amp;RIGHT(A4028,3)</f>
        <v>#VALUE!</v>
      </c>
      <c r="I4028" s="66">
        <f t="shared" si="62"/>
        <v>0</v>
      </c>
    </row>
    <row r="4029" spans="8:9">
      <c r="H4029" s="66" t="e">
        <f>IF(OR(LEFT(B4029,FIND("_",B4029,1)-1)="ULGALLOC",LEFT(B4029,FIND("_",B4029,1)-1)="ULSPOOL"),LEFT(B4029,FIND("_",B4029,1)-1),VLOOKUP(LEFT(A4029,6),'Code Library'!$D$3:$E$200,2,0))&amp;"_"&amp;RIGHT(A4029,3)</f>
        <v>#VALUE!</v>
      </c>
      <c r="I4029" s="66">
        <f t="shared" si="62"/>
        <v>0</v>
      </c>
    </row>
    <row r="4030" spans="8:9">
      <c r="H4030" s="66" t="e">
        <f>IF(OR(LEFT(B4030,FIND("_",B4030,1)-1)="ULGALLOC",LEFT(B4030,FIND("_",B4030,1)-1)="ULSPOOL"),LEFT(B4030,FIND("_",B4030,1)-1),VLOOKUP(LEFT(A4030,6),'Code Library'!$D$3:$E$200,2,0))&amp;"_"&amp;RIGHT(A4030,3)</f>
        <v>#VALUE!</v>
      </c>
      <c r="I4030" s="66">
        <f t="shared" si="62"/>
        <v>0</v>
      </c>
    </row>
    <row r="4031" spans="8:9">
      <c r="H4031" s="66" t="e">
        <f>IF(OR(LEFT(B4031,FIND("_",B4031,1)-1)="ULGALLOC",LEFT(B4031,FIND("_",B4031,1)-1)="ULSPOOL"),LEFT(B4031,FIND("_",B4031,1)-1),VLOOKUP(LEFT(A4031,6),'Code Library'!$D$3:$E$200,2,0))&amp;"_"&amp;RIGHT(A4031,3)</f>
        <v>#VALUE!</v>
      </c>
      <c r="I4031" s="66">
        <f t="shared" si="62"/>
        <v>0</v>
      </c>
    </row>
    <row r="4032" spans="8:9">
      <c r="H4032" s="66" t="e">
        <f>IF(OR(LEFT(B4032,FIND("_",B4032,1)-1)="ULGALLOC",LEFT(B4032,FIND("_",B4032,1)-1)="ULSPOOL"),LEFT(B4032,FIND("_",B4032,1)-1),VLOOKUP(LEFT(A4032,6),'Code Library'!$D$3:$E$200,2,0))&amp;"_"&amp;RIGHT(A4032,3)</f>
        <v>#VALUE!</v>
      </c>
      <c r="I4032" s="66">
        <f t="shared" si="62"/>
        <v>0</v>
      </c>
    </row>
    <row r="4033" spans="8:9">
      <c r="H4033" s="66" t="e">
        <f>IF(OR(LEFT(B4033,FIND("_",B4033,1)-1)="ULGALLOC",LEFT(B4033,FIND("_",B4033,1)-1)="ULSPOOL"),LEFT(B4033,FIND("_",B4033,1)-1),VLOOKUP(LEFT(A4033,6),'Code Library'!$D$3:$E$200,2,0))&amp;"_"&amp;RIGHT(A4033,3)</f>
        <v>#VALUE!</v>
      </c>
      <c r="I4033" s="66">
        <f t="shared" si="62"/>
        <v>0</v>
      </c>
    </row>
    <row r="4034" spans="8:9">
      <c r="H4034" s="66" t="e">
        <f>IF(OR(LEFT(B4034,FIND("_",B4034,1)-1)="ULGALLOC",LEFT(B4034,FIND("_",B4034,1)-1)="ULSPOOL"),LEFT(B4034,FIND("_",B4034,1)-1),VLOOKUP(LEFT(A4034,6),'Code Library'!$D$3:$E$200,2,0))&amp;"_"&amp;RIGHT(A4034,3)</f>
        <v>#VALUE!</v>
      </c>
      <c r="I4034" s="66">
        <f t="shared" si="62"/>
        <v>0</v>
      </c>
    </row>
    <row r="4035" spans="8:9">
      <c r="H4035" s="66" t="e">
        <f>IF(OR(LEFT(B4035,FIND("_",B4035,1)-1)="ULGALLOC",LEFT(B4035,FIND("_",B4035,1)-1)="ULSPOOL"),LEFT(B4035,FIND("_",B4035,1)-1),VLOOKUP(LEFT(A4035,6),'Code Library'!$D$3:$E$200,2,0))&amp;"_"&amp;RIGHT(A4035,3)</f>
        <v>#VALUE!</v>
      </c>
      <c r="I4035" s="66">
        <f t="shared" ref="I4035:I4098" si="63">A4035</f>
        <v>0</v>
      </c>
    </row>
    <row r="4036" spans="8:9">
      <c r="H4036" s="66" t="e">
        <f>IF(OR(LEFT(B4036,FIND("_",B4036,1)-1)="ULGALLOC",LEFT(B4036,FIND("_",B4036,1)-1)="ULSPOOL"),LEFT(B4036,FIND("_",B4036,1)-1),VLOOKUP(LEFT(A4036,6),'Code Library'!$D$3:$E$200,2,0))&amp;"_"&amp;RIGHT(A4036,3)</f>
        <v>#VALUE!</v>
      </c>
      <c r="I4036" s="66">
        <f t="shared" si="63"/>
        <v>0</v>
      </c>
    </row>
    <row r="4037" spans="8:9">
      <c r="H4037" s="66" t="e">
        <f>IF(OR(LEFT(B4037,FIND("_",B4037,1)-1)="ULGALLOC",LEFT(B4037,FIND("_",B4037,1)-1)="ULSPOOL"),LEFT(B4037,FIND("_",B4037,1)-1),VLOOKUP(LEFT(A4037,6),'Code Library'!$D$3:$E$200,2,0))&amp;"_"&amp;RIGHT(A4037,3)</f>
        <v>#VALUE!</v>
      </c>
      <c r="I4037" s="66">
        <f t="shared" si="63"/>
        <v>0</v>
      </c>
    </row>
    <row r="4038" spans="8:9">
      <c r="H4038" s="66" t="e">
        <f>IF(OR(LEFT(B4038,FIND("_",B4038,1)-1)="ULGALLOC",LEFT(B4038,FIND("_",B4038,1)-1)="ULSPOOL"),LEFT(B4038,FIND("_",B4038,1)-1),VLOOKUP(LEFT(A4038,6),'Code Library'!$D$3:$E$200,2,0))&amp;"_"&amp;RIGHT(A4038,3)</f>
        <v>#VALUE!</v>
      </c>
      <c r="I4038" s="66">
        <f t="shared" si="63"/>
        <v>0</v>
      </c>
    </row>
    <row r="4039" spans="8:9">
      <c r="H4039" s="66" t="e">
        <f>IF(OR(LEFT(B4039,FIND("_",B4039,1)-1)="ULGALLOC",LEFT(B4039,FIND("_",B4039,1)-1)="ULSPOOL"),LEFT(B4039,FIND("_",B4039,1)-1),VLOOKUP(LEFT(A4039,6),'Code Library'!$D$3:$E$200,2,0))&amp;"_"&amp;RIGHT(A4039,3)</f>
        <v>#VALUE!</v>
      </c>
      <c r="I4039" s="66">
        <f t="shared" si="63"/>
        <v>0</v>
      </c>
    </row>
    <row r="4040" spans="8:9">
      <c r="H4040" s="66" t="e">
        <f>IF(OR(LEFT(B4040,FIND("_",B4040,1)-1)="ULGALLOC",LEFT(B4040,FIND("_",B4040,1)-1)="ULSPOOL"),LEFT(B4040,FIND("_",B4040,1)-1),VLOOKUP(LEFT(A4040,6),'Code Library'!$D$3:$E$200,2,0))&amp;"_"&amp;RIGHT(A4040,3)</f>
        <v>#VALUE!</v>
      </c>
      <c r="I4040" s="66">
        <f t="shared" si="63"/>
        <v>0</v>
      </c>
    </row>
    <row r="4041" spans="8:9">
      <c r="H4041" s="66" t="e">
        <f>IF(OR(LEFT(B4041,FIND("_",B4041,1)-1)="ULGALLOC",LEFT(B4041,FIND("_",B4041,1)-1)="ULSPOOL"),LEFT(B4041,FIND("_",B4041,1)-1),VLOOKUP(LEFT(A4041,6),'Code Library'!$D$3:$E$200,2,0))&amp;"_"&amp;RIGHT(A4041,3)</f>
        <v>#VALUE!</v>
      </c>
      <c r="I4041" s="66">
        <f t="shared" si="63"/>
        <v>0</v>
      </c>
    </row>
    <row r="4042" spans="8:9">
      <c r="H4042" s="66" t="e">
        <f>IF(OR(LEFT(B4042,FIND("_",B4042,1)-1)="ULGALLOC",LEFT(B4042,FIND("_",B4042,1)-1)="ULSPOOL"),LEFT(B4042,FIND("_",B4042,1)-1),VLOOKUP(LEFT(A4042,6),'Code Library'!$D$3:$E$200,2,0))&amp;"_"&amp;RIGHT(A4042,3)</f>
        <v>#VALUE!</v>
      </c>
      <c r="I4042" s="66">
        <f t="shared" si="63"/>
        <v>0</v>
      </c>
    </row>
    <row r="4043" spans="8:9">
      <c r="H4043" s="66" t="e">
        <f>IF(OR(LEFT(B4043,FIND("_",B4043,1)-1)="ULGALLOC",LEFT(B4043,FIND("_",B4043,1)-1)="ULSPOOL"),LEFT(B4043,FIND("_",B4043,1)-1),VLOOKUP(LEFT(A4043,6),'Code Library'!$D$3:$E$200,2,0))&amp;"_"&amp;RIGHT(A4043,3)</f>
        <v>#VALUE!</v>
      </c>
      <c r="I4043" s="66">
        <f t="shared" si="63"/>
        <v>0</v>
      </c>
    </row>
    <row r="4044" spans="8:9">
      <c r="H4044" s="66" t="e">
        <f>IF(OR(LEFT(B4044,FIND("_",B4044,1)-1)="ULGALLOC",LEFT(B4044,FIND("_",B4044,1)-1)="ULSPOOL"),LEFT(B4044,FIND("_",B4044,1)-1),VLOOKUP(LEFT(A4044,6),'Code Library'!$D$3:$E$200,2,0))&amp;"_"&amp;RIGHT(A4044,3)</f>
        <v>#VALUE!</v>
      </c>
      <c r="I4044" s="66">
        <f t="shared" si="63"/>
        <v>0</v>
      </c>
    </row>
    <row r="4045" spans="8:9">
      <c r="H4045" s="66" t="e">
        <f>IF(OR(LEFT(B4045,FIND("_",B4045,1)-1)="ULGALLOC",LEFT(B4045,FIND("_",B4045,1)-1)="ULSPOOL"),LEFT(B4045,FIND("_",B4045,1)-1),VLOOKUP(LEFT(A4045,6),'Code Library'!$D$3:$E$200,2,0))&amp;"_"&amp;RIGHT(A4045,3)</f>
        <v>#VALUE!</v>
      </c>
      <c r="I4045" s="66">
        <f t="shared" si="63"/>
        <v>0</v>
      </c>
    </row>
    <row r="4046" spans="8:9">
      <c r="H4046" s="66" t="e">
        <f>IF(OR(LEFT(B4046,FIND("_",B4046,1)-1)="ULGALLOC",LEFT(B4046,FIND("_",B4046,1)-1)="ULSPOOL"),LEFT(B4046,FIND("_",B4046,1)-1),VLOOKUP(LEFT(A4046,6),'Code Library'!$D$3:$E$200,2,0))&amp;"_"&amp;RIGHT(A4046,3)</f>
        <v>#VALUE!</v>
      </c>
      <c r="I4046" s="66">
        <f t="shared" si="63"/>
        <v>0</v>
      </c>
    </row>
    <row r="4047" spans="8:9">
      <c r="H4047" s="66" t="e">
        <f>IF(OR(LEFT(B4047,FIND("_",B4047,1)-1)="ULGALLOC",LEFT(B4047,FIND("_",B4047,1)-1)="ULSPOOL"),LEFT(B4047,FIND("_",B4047,1)-1),VLOOKUP(LEFT(A4047,6),'Code Library'!$D$3:$E$200,2,0))&amp;"_"&amp;RIGHT(A4047,3)</f>
        <v>#VALUE!</v>
      </c>
      <c r="I4047" s="66">
        <f t="shared" si="63"/>
        <v>0</v>
      </c>
    </row>
    <row r="4048" spans="8:9">
      <c r="H4048" s="66" t="e">
        <f>IF(OR(LEFT(B4048,FIND("_",B4048,1)-1)="ULGALLOC",LEFT(B4048,FIND("_",B4048,1)-1)="ULSPOOL"),LEFT(B4048,FIND("_",B4048,1)-1),VLOOKUP(LEFT(A4048,6),'Code Library'!$D$3:$E$200,2,0))&amp;"_"&amp;RIGHT(A4048,3)</f>
        <v>#VALUE!</v>
      </c>
      <c r="I4048" s="66">
        <f t="shared" si="63"/>
        <v>0</v>
      </c>
    </row>
    <row r="4049" spans="8:9">
      <c r="H4049" s="66" t="e">
        <f>IF(OR(LEFT(B4049,FIND("_",B4049,1)-1)="ULGALLOC",LEFT(B4049,FIND("_",B4049,1)-1)="ULSPOOL"),LEFT(B4049,FIND("_",B4049,1)-1),VLOOKUP(LEFT(A4049,6),'Code Library'!$D$3:$E$200,2,0))&amp;"_"&amp;RIGHT(A4049,3)</f>
        <v>#VALUE!</v>
      </c>
      <c r="I4049" s="66">
        <f t="shared" si="63"/>
        <v>0</v>
      </c>
    </row>
    <row r="4050" spans="8:9">
      <c r="H4050" s="66" t="e">
        <f>IF(OR(LEFT(B4050,FIND("_",B4050,1)-1)="ULGALLOC",LEFT(B4050,FIND("_",B4050,1)-1)="ULSPOOL"),LEFT(B4050,FIND("_",B4050,1)-1),VLOOKUP(LEFT(A4050,6),'Code Library'!$D$3:$E$200,2,0))&amp;"_"&amp;RIGHT(A4050,3)</f>
        <v>#VALUE!</v>
      </c>
      <c r="I4050" s="66">
        <f t="shared" si="63"/>
        <v>0</v>
      </c>
    </row>
    <row r="4051" spans="8:9">
      <c r="H4051" s="66" t="e">
        <f>IF(OR(LEFT(B4051,FIND("_",B4051,1)-1)="ULGALLOC",LEFT(B4051,FIND("_",B4051,1)-1)="ULSPOOL"),LEFT(B4051,FIND("_",B4051,1)-1),VLOOKUP(LEFT(A4051,6),'Code Library'!$D$3:$E$200,2,0))&amp;"_"&amp;RIGHT(A4051,3)</f>
        <v>#VALUE!</v>
      </c>
      <c r="I4051" s="66">
        <f t="shared" si="63"/>
        <v>0</v>
      </c>
    </row>
    <row r="4052" spans="8:9">
      <c r="H4052" s="66" t="e">
        <f>IF(OR(LEFT(B4052,FIND("_",B4052,1)-1)="ULGALLOC",LEFT(B4052,FIND("_",B4052,1)-1)="ULSPOOL"),LEFT(B4052,FIND("_",B4052,1)-1),VLOOKUP(LEFT(A4052,6),'Code Library'!$D$3:$E$200,2,0))&amp;"_"&amp;RIGHT(A4052,3)</f>
        <v>#VALUE!</v>
      </c>
      <c r="I4052" s="66">
        <f t="shared" si="63"/>
        <v>0</v>
      </c>
    </row>
    <row r="4053" spans="8:9">
      <c r="H4053" s="66" t="e">
        <f>IF(OR(LEFT(B4053,FIND("_",B4053,1)-1)="ULGALLOC",LEFT(B4053,FIND("_",B4053,1)-1)="ULSPOOL"),LEFT(B4053,FIND("_",B4053,1)-1),VLOOKUP(LEFT(A4053,6),'Code Library'!$D$3:$E$200,2,0))&amp;"_"&amp;RIGHT(A4053,3)</f>
        <v>#VALUE!</v>
      </c>
      <c r="I4053" s="66">
        <f t="shared" si="63"/>
        <v>0</v>
      </c>
    </row>
    <row r="4054" spans="8:9">
      <c r="H4054" s="66" t="e">
        <f>IF(OR(LEFT(B4054,FIND("_",B4054,1)-1)="ULGALLOC",LEFT(B4054,FIND("_",B4054,1)-1)="ULSPOOL"),LEFT(B4054,FIND("_",B4054,1)-1),VLOOKUP(LEFT(A4054,6),'Code Library'!$D$3:$E$200,2,0))&amp;"_"&amp;RIGHT(A4054,3)</f>
        <v>#VALUE!</v>
      </c>
      <c r="I4054" s="66">
        <f t="shared" si="63"/>
        <v>0</v>
      </c>
    </row>
    <row r="4055" spans="8:9">
      <c r="H4055" s="66" t="e">
        <f>IF(OR(LEFT(B4055,FIND("_",B4055,1)-1)="ULGALLOC",LEFT(B4055,FIND("_",B4055,1)-1)="ULSPOOL"),LEFT(B4055,FIND("_",B4055,1)-1),VLOOKUP(LEFT(A4055,6),'Code Library'!$D$3:$E$200,2,0))&amp;"_"&amp;RIGHT(A4055,3)</f>
        <v>#VALUE!</v>
      </c>
      <c r="I4055" s="66">
        <f t="shared" si="63"/>
        <v>0</v>
      </c>
    </row>
    <row r="4056" spans="8:9">
      <c r="H4056" s="66" t="e">
        <f>IF(OR(LEFT(B4056,FIND("_",B4056,1)-1)="ULGALLOC",LEFT(B4056,FIND("_",B4056,1)-1)="ULSPOOL"),LEFT(B4056,FIND("_",B4056,1)-1),VLOOKUP(LEFT(A4056,6),'Code Library'!$D$3:$E$200,2,0))&amp;"_"&amp;RIGHT(A4056,3)</f>
        <v>#VALUE!</v>
      </c>
      <c r="I4056" s="66">
        <f t="shared" si="63"/>
        <v>0</v>
      </c>
    </row>
    <row r="4057" spans="8:9">
      <c r="H4057" s="66" t="e">
        <f>IF(OR(LEFT(B4057,FIND("_",B4057,1)-1)="ULGALLOC",LEFT(B4057,FIND("_",B4057,1)-1)="ULSPOOL"),LEFT(B4057,FIND("_",B4057,1)-1),VLOOKUP(LEFT(A4057,6),'Code Library'!$D$3:$E$200,2,0))&amp;"_"&amp;RIGHT(A4057,3)</f>
        <v>#VALUE!</v>
      </c>
      <c r="I4057" s="66">
        <f t="shared" si="63"/>
        <v>0</v>
      </c>
    </row>
    <row r="4058" spans="8:9">
      <c r="H4058" s="66" t="e">
        <f>IF(OR(LEFT(B4058,FIND("_",B4058,1)-1)="ULGALLOC",LEFT(B4058,FIND("_",B4058,1)-1)="ULSPOOL"),LEFT(B4058,FIND("_",B4058,1)-1),VLOOKUP(LEFT(A4058,6),'Code Library'!$D$3:$E$200,2,0))&amp;"_"&amp;RIGHT(A4058,3)</f>
        <v>#VALUE!</v>
      </c>
      <c r="I4058" s="66">
        <f t="shared" si="63"/>
        <v>0</v>
      </c>
    </row>
    <row r="4059" spans="8:9">
      <c r="H4059" s="66" t="e">
        <f>IF(OR(LEFT(B4059,FIND("_",B4059,1)-1)="ULGALLOC",LEFT(B4059,FIND("_",B4059,1)-1)="ULSPOOL"),LEFT(B4059,FIND("_",B4059,1)-1),VLOOKUP(LEFT(A4059,6),'Code Library'!$D$3:$E$200,2,0))&amp;"_"&amp;RIGHT(A4059,3)</f>
        <v>#VALUE!</v>
      </c>
      <c r="I4059" s="66">
        <f t="shared" si="63"/>
        <v>0</v>
      </c>
    </row>
    <row r="4060" spans="8:9">
      <c r="H4060" s="66" t="e">
        <f>IF(OR(LEFT(B4060,FIND("_",B4060,1)-1)="ULGALLOC",LEFT(B4060,FIND("_",B4060,1)-1)="ULSPOOL"),LEFT(B4060,FIND("_",B4060,1)-1),VLOOKUP(LEFT(A4060,6),'Code Library'!$D$3:$E$200,2,0))&amp;"_"&amp;RIGHT(A4060,3)</f>
        <v>#VALUE!</v>
      </c>
      <c r="I4060" s="66">
        <f t="shared" si="63"/>
        <v>0</v>
      </c>
    </row>
    <row r="4061" spans="8:9">
      <c r="H4061" s="66" t="e">
        <f>IF(OR(LEFT(B4061,FIND("_",B4061,1)-1)="ULGALLOC",LEFT(B4061,FIND("_",B4061,1)-1)="ULSPOOL"),LEFT(B4061,FIND("_",B4061,1)-1),VLOOKUP(LEFT(A4061,6),'Code Library'!$D$3:$E$200,2,0))&amp;"_"&amp;RIGHT(A4061,3)</f>
        <v>#VALUE!</v>
      </c>
      <c r="I4061" s="66">
        <f t="shared" si="63"/>
        <v>0</v>
      </c>
    </row>
    <row r="4062" spans="8:9">
      <c r="H4062" s="66" t="e">
        <f>IF(OR(LEFT(B4062,FIND("_",B4062,1)-1)="ULGALLOC",LEFT(B4062,FIND("_",B4062,1)-1)="ULSPOOL"),LEFT(B4062,FIND("_",B4062,1)-1),VLOOKUP(LEFT(A4062,6),'Code Library'!$D$3:$E$200,2,0))&amp;"_"&amp;RIGHT(A4062,3)</f>
        <v>#VALUE!</v>
      </c>
      <c r="I4062" s="66">
        <f t="shared" si="63"/>
        <v>0</v>
      </c>
    </row>
    <row r="4063" spans="8:9">
      <c r="H4063" s="66" t="e">
        <f>IF(OR(LEFT(B4063,FIND("_",B4063,1)-1)="ULGALLOC",LEFT(B4063,FIND("_",B4063,1)-1)="ULSPOOL"),LEFT(B4063,FIND("_",B4063,1)-1),VLOOKUP(LEFT(A4063,6),'Code Library'!$D$3:$E$200,2,0))&amp;"_"&amp;RIGHT(A4063,3)</f>
        <v>#VALUE!</v>
      </c>
      <c r="I4063" s="66">
        <f t="shared" si="63"/>
        <v>0</v>
      </c>
    </row>
    <row r="4064" spans="8:9">
      <c r="H4064" s="66" t="e">
        <f>IF(OR(LEFT(B4064,FIND("_",B4064,1)-1)="ULGALLOC",LEFT(B4064,FIND("_",B4064,1)-1)="ULSPOOL"),LEFT(B4064,FIND("_",B4064,1)-1),VLOOKUP(LEFT(A4064,6),'Code Library'!$D$3:$E$200,2,0))&amp;"_"&amp;RIGHT(A4064,3)</f>
        <v>#VALUE!</v>
      </c>
      <c r="I4064" s="66">
        <f t="shared" si="63"/>
        <v>0</v>
      </c>
    </row>
    <row r="4065" spans="8:9">
      <c r="H4065" s="66" t="e">
        <f>IF(OR(LEFT(B4065,FIND("_",B4065,1)-1)="ULGALLOC",LEFT(B4065,FIND("_",B4065,1)-1)="ULSPOOL"),LEFT(B4065,FIND("_",B4065,1)-1),VLOOKUP(LEFT(A4065,6),'Code Library'!$D$3:$E$200,2,0))&amp;"_"&amp;RIGHT(A4065,3)</f>
        <v>#VALUE!</v>
      </c>
      <c r="I4065" s="66">
        <f t="shared" si="63"/>
        <v>0</v>
      </c>
    </row>
    <row r="4066" spans="8:9">
      <c r="H4066" s="66" t="e">
        <f>IF(OR(LEFT(B4066,FIND("_",B4066,1)-1)="ULGALLOC",LEFT(B4066,FIND("_",B4066,1)-1)="ULSPOOL"),LEFT(B4066,FIND("_",B4066,1)-1),VLOOKUP(LEFT(A4066,6),'Code Library'!$D$3:$E$200,2,0))&amp;"_"&amp;RIGHT(A4066,3)</f>
        <v>#VALUE!</v>
      </c>
      <c r="I4066" s="66">
        <f t="shared" si="63"/>
        <v>0</v>
      </c>
    </row>
    <row r="4067" spans="8:9">
      <c r="H4067" s="66" t="e">
        <f>IF(OR(LEFT(B4067,FIND("_",B4067,1)-1)="ULGALLOC",LEFT(B4067,FIND("_",B4067,1)-1)="ULSPOOL"),LEFT(B4067,FIND("_",B4067,1)-1),VLOOKUP(LEFT(A4067,6),'Code Library'!$D$3:$E$200,2,0))&amp;"_"&amp;RIGHT(A4067,3)</f>
        <v>#VALUE!</v>
      </c>
      <c r="I4067" s="66">
        <f t="shared" si="63"/>
        <v>0</v>
      </c>
    </row>
    <row r="4068" spans="8:9">
      <c r="H4068" s="66" t="e">
        <f>IF(OR(LEFT(B4068,FIND("_",B4068,1)-1)="ULGALLOC",LEFT(B4068,FIND("_",B4068,1)-1)="ULSPOOL"),LEFT(B4068,FIND("_",B4068,1)-1),VLOOKUP(LEFT(A4068,6),'Code Library'!$D$3:$E$200,2,0))&amp;"_"&amp;RIGHT(A4068,3)</f>
        <v>#VALUE!</v>
      </c>
      <c r="I4068" s="66">
        <f t="shared" si="63"/>
        <v>0</v>
      </c>
    </row>
    <row r="4069" spans="8:9">
      <c r="H4069" s="66" t="e">
        <f>IF(OR(LEFT(B4069,FIND("_",B4069,1)-1)="ULGALLOC",LEFT(B4069,FIND("_",B4069,1)-1)="ULSPOOL"),LEFT(B4069,FIND("_",B4069,1)-1),VLOOKUP(LEFT(A4069,6),'Code Library'!$D$3:$E$200,2,0))&amp;"_"&amp;RIGHT(A4069,3)</f>
        <v>#VALUE!</v>
      </c>
      <c r="I4069" s="66">
        <f t="shared" si="63"/>
        <v>0</v>
      </c>
    </row>
    <row r="4070" spans="8:9">
      <c r="H4070" s="66" t="e">
        <f>IF(OR(LEFT(B4070,FIND("_",B4070,1)-1)="ULGALLOC",LEFT(B4070,FIND("_",B4070,1)-1)="ULSPOOL"),LEFT(B4070,FIND("_",B4070,1)-1),VLOOKUP(LEFT(A4070,6),'Code Library'!$D$3:$E$200,2,0))&amp;"_"&amp;RIGHT(A4070,3)</f>
        <v>#VALUE!</v>
      </c>
      <c r="I4070" s="66">
        <f t="shared" si="63"/>
        <v>0</v>
      </c>
    </row>
    <row r="4071" spans="8:9">
      <c r="H4071" s="66" t="e">
        <f>IF(OR(LEFT(B4071,FIND("_",B4071,1)-1)="ULGALLOC",LEFT(B4071,FIND("_",B4071,1)-1)="ULSPOOL"),LEFT(B4071,FIND("_",B4071,1)-1),VLOOKUP(LEFT(A4071,6),'Code Library'!$D$3:$E$200,2,0))&amp;"_"&amp;RIGHT(A4071,3)</f>
        <v>#VALUE!</v>
      </c>
      <c r="I4071" s="66">
        <f t="shared" si="63"/>
        <v>0</v>
      </c>
    </row>
    <row r="4072" spans="8:9">
      <c r="H4072" s="66" t="e">
        <f>IF(OR(LEFT(B4072,FIND("_",B4072,1)-1)="ULGALLOC",LEFT(B4072,FIND("_",B4072,1)-1)="ULSPOOL"),LEFT(B4072,FIND("_",B4072,1)-1),VLOOKUP(LEFT(A4072,6),'Code Library'!$D$3:$E$200,2,0))&amp;"_"&amp;RIGHT(A4072,3)</f>
        <v>#VALUE!</v>
      </c>
      <c r="I4072" s="66">
        <f t="shared" si="63"/>
        <v>0</v>
      </c>
    </row>
    <row r="4073" spans="8:9">
      <c r="H4073" s="66" t="e">
        <f>IF(OR(LEFT(B4073,FIND("_",B4073,1)-1)="ULGALLOC",LEFT(B4073,FIND("_",B4073,1)-1)="ULSPOOL"),LEFT(B4073,FIND("_",B4073,1)-1),VLOOKUP(LEFT(A4073,6),'Code Library'!$D$3:$E$200,2,0))&amp;"_"&amp;RIGHT(A4073,3)</f>
        <v>#VALUE!</v>
      </c>
      <c r="I4073" s="66">
        <f t="shared" si="63"/>
        <v>0</v>
      </c>
    </row>
    <row r="4074" spans="8:9">
      <c r="H4074" s="66" t="e">
        <f>IF(OR(LEFT(B4074,FIND("_",B4074,1)-1)="ULGALLOC",LEFT(B4074,FIND("_",B4074,1)-1)="ULSPOOL"),LEFT(B4074,FIND("_",B4074,1)-1),VLOOKUP(LEFT(A4074,6),'Code Library'!$D$3:$E$200,2,0))&amp;"_"&amp;RIGHT(A4074,3)</f>
        <v>#VALUE!</v>
      </c>
      <c r="I4074" s="66">
        <f t="shared" si="63"/>
        <v>0</v>
      </c>
    </row>
    <row r="4075" spans="8:9">
      <c r="H4075" s="66" t="e">
        <f>IF(OR(LEFT(B4075,FIND("_",B4075,1)-1)="ULGALLOC",LEFT(B4075,FIND("_",B4075,1)-1)="ULSPOOL"),LEFT(B4075,FIND("_",B4075,1)-1),VLOOKUP(LEFT(A4075,6),'Code Library'!$D$3:$E$200,2,0))&amp;"_"&amp;RIGHT(A4075,3)</f>
        <v>#VALUE!</v>
      </c>
      <c r="I4075" s="66">
        <f t="shared" si="63"/>
        <v>0</v>
      </c>
    </row>
    <row r="4076" spans="8:9">
      <c r="H4076" s="66" t="e">
        <f>IF(OR(LEFT(B4076,FIND("_",B4076,1)-1)="ULGALLOC",LEFT(B4076,FIND("_",B4076,1)-1)="ULSPOOL"),LEFT(B4076,FIND("_",B4076,1)-1),VLOOKUP(LEFT(A4076,6),'Code Library'!$D$3:$E$200,2,0))&amp;"_"&amp;RIGHT(A4076,3)</f>
        <v>#VALUE!</v>
      </c>
      <c r="I4076" s="66">
        <f t="shared" si="63"/>
        <v>0</v>
      </c>
    </row>
    <row r="4077" spans="8:9">
      <c r="H4077" s="66" t="e">
        <f>IF(OR(LEFT(B4077,FIND("_",B4077,1)-1)="ULGALLOC",LEFT(B4077,FIND("_",B4077,1)-1)="ULSPOOL"),LEFT(B4077,FIND("_",B4077,1)-1),VLOOKUP(LEFT(A4077,6),'Code Library'!$D$3:$E$200,2,0))&amp;"_"&amp;RIGHT(A4077,3)</f>
        <v>#VALUE!</v>
      </c>
      <c r="I4077" s="66">
        <f t="shared" si="63"/>
        <v>0</v>
      </c>
    </row>
    <row r="4078" spans="8:9">
      <c r="H4078" s="66" t="e">
        <f>IF(OR(LEFT(B4078,FIND("_",B4078,1)-1)="ULGALLOC",LEFT(B4078,FIND("_",B4078,1)-1)="ULSPOOL"),LEFT(B4078,FIND("_",B4078,1)-1),VLOOKUP(LEFT(A4078,6),'Code Library'!$D$3:$E$200,2,0))&amp;"_"&amp;RIGHT(A4078,3)</f>
        <v>#VALUE!</v>
      </c>
      <c r="I4078" s="66">
        <f t="shared" si="63"/>
        <v>0</v>
      </c>
    </row>
    <row r="4079" spans="8:9">
      <c r="H4079" s="66" t="e">
        <f>IF(OR(LEFT(B4079,FIND("_",B4079,1)-1)="ULGALLOC",LEFT(B4079,FIND("_",B4079,1)-1)="ULSPOOL"),LEFT(B4079,FIND("_",B4079,1)-1),VLOOKUP(LEFT(A4079,6),'Code Library'!$D$3:$E$200,2,0))&amp;"_"&amp;RIGHT(A4079,3)</f>
        <v>#VALUE!</v>
      </c>
      <c r="I4079" s="66">
        <f t="shared" si="63"/>
        <v>0</v>
      </c>
    </row>
    <row r="4080" spans="8:9">
      <c r="H4080" s="66" t="e">
        <f>IF(OR(LEFT(B4080,FIND("_",B4080,1)-1)="ULGALLOC",LEFT(B4080,FIND("_",B4080,1)-1)="ULSPOOL"),LEFT(B4080,FIND("_",B4080,1)-1),VLOOKUP(LEFT(A4080,6),'Code Library'!$D$3:$E$200,2,0))&amp;"_"&amp;RIGHT(A4080,3)</f>
        <v>#VALUE!</v>
      </c>
      <c r="I4080" s="66">
        <f t="shared" si="63"/>
        <v>0</v>
      </c>
    </row>
    <row r="4081" spans="8:9">
      <c r="H4081" s="66" t="e">
        <f>IF(OR(LEFT(B4081,FIND("_",B4081,1)-1)="ULGALLOC",LEFT(B4081,FIND("_",B4081,1)-1)="ULSPOOL"),LEFT(B4081,FIND("_",B4081,1)-1),VLOOKUP(LEFT(A4081,6),'Code Library'!$D$3:$E$200,2,0))&amp;"_"&amp;RIGHT(A4081,3)</f>
        <v>#VALUE!</v>
      </c>
      <c r="I4081" s="66">
        <f t="shared" si="63"/>
        <v>0</v>
      </c>
    </row>
    <row r="4082" spans="8:9">
      <c r="H4082" s="66" t="e">
        <f>IF(OR(LEFT(B4082,FIND("_",B4082,1)-1)="ULGALLOC",LEFT(B4082,FIND("_",B4082,1)-1)="ULSPOOL"),LEFT(B4082,FIND("_",B4082,1)-1),VLOOKUP(LEFT(A4082,6),'Code Library'!$D$3:$E$200,2,0))&amp;"_"&amp;RIGHT(A4082,3)</f>
        <v>#VALUE!</v>
      </c>
      <c r="I4082" s="66">
        <f t="shared" si="63"/>
        <v>0</v>
      </c>
    </row>
    <row r="4083" spans="8:9">
      <c r="H4083" s="66" t="e">
        <f>IF(OR(LEFT(B4083,FIND("_",B4083,1)-1)="ULGALLOC",LEFT(B4083,FIND("_",B4083,1)-1)="ULSPOOL"),LEFT(B4083,FIND("_",B4083,1)-1),VLOOKUP(LEFT(A4083,6),'Code Library'!$D$3:$E$200,2,0))&amp;"_"&amp;RIGHT(A4083,3)</f>
        <v>#VALUE!</v>
      </c>
      <c r="I4083" s="66">
        <f t="shared" si="63"/>
        <v>0</v>
      </c>
    </row>
    <row r="4084" spans="8:9">
      <c r="H4084" s="66" t="e">
        <f>IF(OR(LEFT(B4084,FIND("_",B4084,1)-1)="ULGALLOC",LEFT(B4084,FIND("_",B4084,1)-1)="ULSPOOL"),LEFT(B4084,FIND("_",B4084,1)-1),VLOOKUP(LEFT(A4084,6),'Code Library'!$D$3:$E$200,2,0))&amp;"_"&amp;RIGHT(A4084,3)</f>
        <v>#VALUE!</v>
      </c>
      <c r="I4084" s="66">
        <f t="shared" si="63"/>
        <v>0</v>
      </c>
    </row>
    <row r="4085" spans="8:9">
      <c r="H4085" s="66" t="e">
        <f>IF(OR(LEFT(B4085,FIND("_",B4085,1)-1)="ULGALLOC",LEFT(B4085,FIND("_",B4085,1)-1)="ULSPOOL"),LEFT(B4085,FIND("_",B4085,1)-1),VLOOKUP(LEFT(A4085,6),'Code Library'!$D$3:$E$200,2,0))&amp;"_"&amp;RIGHT(A4085,3)</f>
        <v>#VALUE!</v>
      </c>
      <c r="I4085" s="66">
        <f t="shared" si="63"/>
        <v>0</v>
      </c>
    </row>
    <row r="4086" spans="8:9">
      <c r="H4086" s="66" t="e">
        <f>IF(OR(LEFT(B4086,FIND("_",B4086,1)-1)="ULGALLOC",LEFT(B4086,FIND("_",B4086,1)-1)="ULSPOOL"),LEFT(B4086,FIND("_",B4086,1)-1),VLOOKUP(LEFT(A4086,6),'Code Library'!$D$3:$E$200,2,0))&amp;"_"&amp;RIGHT(A4086,3)</f>
        <v>#VALUE!</v>
      </c>
      <c r="I4086" s="66">
        <f t="shared" si="63"/>
        <v>0</v>
      </c>
    </row>
    <row r="4087" spans="8:9">
      <c r="H4087" s="66" t="e">
        <f>IF(OR(LEFT(B4087,FIND("_",B4087,1)-1)="ULGALLOC",LEFT(B4087,FIND("_",B4087,1)-1)="ULSPOOL"),LEFT(B4087,FIND("_",B4087,1)-1),VLOOKUP(LEFT(A4087,6),'Code Library'!$D$3:$E$200,2,0))&amp;"_"&amp;RIGHT(A4087,3)</f>
        <v>#VALUE!</v>
      </c>
      <c r="I4087" s="66">
        <f t="shared" si="63"/>
        <v>0</v>
      </c>
    </row>
    <row r="4088" spans="8:9">
      <c r="H4088" s="66" t="e">
        <f>IF(OR(LEFT(B4088,FIND("_",B4088,1)-1)="ULGALLOC",LEFT(B4088,FIND("_",B4088,1)-1)="ULSPOOL"),LEFT(B4088,FIND("_",B4088,1)-1),VLOOKUP(LEFT(A4088,6),'Code Library'!$D$3:$E$200,2,0))&amp;"_"&amp;RIGHT(A4088,3)</f>
        <v>#VALUE!</v>
      </c>
      <c r="I4088" s="66">
        <f t="shared" si="63"/>
        <v>0</v>
      </c>
    </row>
    <row r="4089" spans="8:9">
      <c r="H4089" s="66" t="e">
        <f>IF(OR(LEFT(B4089,FIND("_",B4089,1)-1)="ULGALLOC",LEFT(B4089,FIND("_",B4089,1)-1)="ULSPOOL"),LEFT(B4089,FIND("_",B4089,1)-1),VLOOKUP(LEFT(A4089,6),'Code Library'!$D$3:$E$200,2,0))&amp;"_"&amp;RIGHT(A4089,3)</f>
        <v>#VALUE!</v>
      </c>
      <c r="I4089" s="66">
        <f t="shared" si="63"/>
        <v>0</v>
      </c>
    </row>
    <row r="4090" spans="8:9">
      <c r="H4090" s="66" t="e">
        <f>IF(OR(LEFT(B4090,FIND("_",B4090,1)-1)="ULGALLOC",LEFT(B4090,FIND("_",B4090,1)-1)="ULSPOOL"),LEFT(B4090,FIND("_",B4090,1)-1),VLOOKUP(LEFT(A4090,6),'Code Library'!$D$3:$E$200,2,0))&amp;"_"&amp;RIGHT(A4090,3)</f>
        <v>#VALUE!</v>
      </c>
      <c r="I4090" s="66">
        <f t="shared" si="63"/>
        <v>0</v>
      </c>
    </row>
    <row r="4091" spans="8:9">
      <c r="H4091" s="66" t="e">
        <f>IF(OR(LEFT(B4091,FIND("_",B4091,1)-1)="ULGALLOC",LEFT(B4091,FIND("_",B4091,1)-1)="ULSPOOL"),LEFT(B4091,FIND("_",B4091,1)-1),VLOOKUP(LEFT(A4091,6),'Code Library'!$D$3:$E$200,2,0))&amp;"_"&amp;RIGHT(A4091,3)</f>
        <v>#VALUE!</v>
      </c>
      <c r="I4091" s="66">
        <f t="shared" si="63"/>
        <v>0</v>
      </c>
    </row>
    <row r="4092" spans="8:9">
      <c r="H4092" s="66" t="e">
        <f>IF(OR(LEFT(B4092,FIND("_",B4092,1)-1)="ULGALLOC",LEFT(B4092,FIND("_",B4092,1)-1)="ULSPOOL"),LEFT(B4092,FIND("_",B4092,1)-1),VLOOKUP(LEFT(A4092,6),'Code Library'!$D$3:$E$200,2,0))&amp;"_"&amp;RIGHT(A4092,3)</f>
        <v>#VALUE!</v>
      </c>
      <c r="I4092" s="66">
        <f t="shared" si="63"/>
        <v>0</v>
      </c>
    </row>
    <row r="4093" spans="8:9">
      <c r="H4093" s="66" t="e">
        <f>IF(OR(LEFT(B4093,FIND("_",B4093,1)-1)="ULGALLOC",LEFT(B4093,FIND("_",B4093,1)-1)="ULSPOOL"),LEFT(B4093,FIND("_",B4093,1)-1),VLOOKUP(LEFT(A4093,6),'Code Library'!$D$3:$E$200,2,0))&amp;"_"&amp;RIGHT(A4093,3)</f>
        <v>#VALUE!</v>
      </c>
      <c r="I4093" s="66">
        <f t="shared" si="63"/>
        <v>0</v>
      </c>
    </row>
    <row r="4094" spans="8:9">
      <c r="H4094" s="66" t="e">
        <f>IF(OR(LEFT(B4094,FIND("_",B4094,1)-1)="ULGALLOC",LEFT(B4094,FIND("_",B4094,1)-1)="ULSPOOL"),LEFT(B4094,FIND("_",B4094,1)-1),VLOOKUP(LEFT(A4094,6),'Code Library'!$D$3:$E$200,2,0))&amp;"_"&amp;RIGHT(A4094,3)</f>
        <v>#VALUE!</v>
      </c>
      <c r="I4094" s="66">
        <f t="shared" si="63"/>
        <v>0</v>
      </c>
    </row>
    <row r="4095" spans="8:9">
      <c r="H4095" s="66" t="e">
        <f>IF(OR(LEFT(B4095,FIND("_",B4095,1)-1)="ULGALLOC",LEFT(B4095,FIND("_",B4095,1)-1)="ULSPOOL"),LEFT(B4095,FIND("_",B4095,1)-1),VLOOKUP(LEFT(A4095,6),'Code Library'!$D$3:$E$200,2,0))&amp;"_"&amp;RIGHT(A4095,3)</f>
        <v>#VALUE!</v>
      </c>
      <c r="I4095" s="66">
        <f t="shared" si="63"/>
        <v>0</v>
      </c>
    </row>
    <row r="4096" spans="8:9">
      <c r="H4096" s="66" t="e">
        <f>IF(OR(LEFT(B4096,FIND("_",B4096,1)-1)="ULGALLOC",LEFT(B4096,FIND("_",B4096,1)-1)="ULSPOOL"),LEFT(B4096,FIND("_",B4096,1)-1),VLOOKUP(LEFT(A4096,6),'Code Library'!$D$3:$E$200,2,0))&amp;"_"&amp;RIGHT(A4096,3)</f>
        <v>#VALUE!</v>
      </c>
      <c r="I4096" s="66">
        <f t="shared" si="63"/>
        <v>0</v>
      </c>
    </row>
    <row r="4097" spans="8:9">
      <c r="H4097" s="66" t="e">
        <f>IF(OR(LEFT(B4097,FIND("_",B4097,1)-1)="ULGALLOC",LEFT(B4097,FIND("_",B4097,1)-1)="ULSPOOL"),LEFT(B4097,FIND("_",B4097,1)-1),VLOOKUP(LEFT(A4097,6),'Code Library'!$D$3:$E$200,2,0))&amp;"_"&amp;RIGHT(A4097,3)</f>
        <v>#VALUE!</v>
      </c>
      <c r="I4097" s="66">
        <f t="shared" si="63"/>
        <v>0</v>
      </c>
    </row>
    <row r="4098" spans="8:9">
      <c r="H4098" s="66" t="e">
        <f>IF(OR(LEFT(B4098,FIND("_",B4098,1)-1)="ULGALLOC",LEFT(B4098,FIND("_",B4098,1)-1)="ULSPOOL"),LEFT(B4098,FIND("_",B4098,1)-1),VLOOKUP(LEFT(A4098,6),'Code Library'!$D$3:$E$200,2,0))&amp;"_"&amp;RIGHT(A4098,3)</f>
        <v>#VALUE!</v>
      </c>
      <c r="I4098" s="66">
        <f t="shared" si="63"/>
        <v>0</v>
      </c>
    </row>
    <row r="4099" spans="8:9">
      <c r="H4099" s="66" t="e">
        <f>IF(OR(LEFT(B4099,FIND("_",B4099,1)-1)="ULGALLOC",LEFT(B4099,FIND("_",B4099,1)-1)="ULSPOOL"),LEFT(B4099,FIND("_",B4099,1)-1),VLOOKUP(LEFT(A4099,6),'Code Library'!$D$3:$E$200,2,0))&amp;"_"&amp;RIGHT(A4099,3)</f>
        <v>#VALUE!</v>
      </c>
      <c r="I4099" s="66">
        <f t="shared" ref="I4099:I4162" si="64">A4099</f>
        <v>0</v>
      </c>
    </row>
    <row r="4100" spans="8:9">
      <c r="H4100" s="66" t="e">
        <f>IF(OR(LEFT(B4100,FIND("_",B4100,1)-1)="ULGALLOC",LEFT(B4100,FIND("_",B4100,1)-1)="ULSPOOL"),LEFT(B4100,FIND("_",B4100,1)-1),VLOOKUP(LEFT(A4100,6),'Code Library'!$D$3:$E$200,2,0))&amp;"_"&amp;RIGHT(A4100,3)</f>
        <v>#VALUE!</v>
      </c>
      <c r="I4100" s="66">
        <f t="shared" si="64"/>
        <v>0</v>
      </c>
    </row>
    <row r="4101" spans="8:9">
      <c r="H4101" s="66" t="e">
        <f>IF(OR(LEFT(B4101,FIND("_",B4101,1)-1)="ULGALLOC",LEFT(B4101,FIND("_",B4101,1)-1)="ULSPOOL"),LEFT(B4101,FIND("_",B4101,1)-1),VLOOKUP(LEFT(A4101,6),'Code Library'!$D$3:$E$200,2,0))&amp;"_"&amp;RIGHT(A4101,3)</f>
        <v>#VALUE!</v>
      </c>
      <c r="I4101" s="66">
        <f t="shared" si="64"/>
        <v>0</v>
      </c>
    </row>
    <row r="4102" spans="8:9">
      <c r="H4102" s="66" t="e">
        <f>IF(OR(LEFT(B4102,FIND("_",B4102,1)-1)="ULGALLOC",LEFT(B4102,FIND("_",B4102,1)-1)="ULSPOOL"),LEFT(B4102,FIND("_",B4102,1)-1),VLOOKUP(LEFT(A4102,6),'Code Library'!$D$3:$E$200,2,0))&amp;"_"&amp;RIGHT(A4102,3)</f>
        <v>#VALUE!</v>
      </c>
      <c r="I4102" s="66">
        <f t="shared" si="64"/>
        <v>0</v>
      </c>
    </row>
    <row r="4103" spans="8:9">
      <c r="H4103" s="66" t="e">
        <f>IF(OR(LEFT(B4103,FIND("_",B4103,1)-1)="ULGALLOC",LEFT(B4103,FIND("_",B4103,1)-1)="ULSPOOL"),LEFT(B4103,FIND("_",B4103,1)-1),VLOOKUP(LEFT(A4103,6),'Code Library'!$D$3:$E$200,2,0))&amp;"_"&amp;RIGHT(A4103,3)</f>
        <v>#VALUE!</v>
      </c>
      <c r="I4103" s="66">
        <f t="shared" si="64"/>
        <v>0</v>
      </c>
    </row>
    <row r="4104" spans="8:9">
      <c r="H4104" s="66" t="e">
        <f>IF(OR(LEFT(B4104,FIND("_",B4104,1)-1)="ULGALLOC",LEFT(B4104,FIND("_",B4104,1)-1)="ULSPOOL"),LEFT(B4104,FIND("_",B4104,1)-1),VLOOKUP(LEFT(A4104,6),'Code Library'!$D$3:$E$200,2,0))&amp;"_"&amp;RIGHT(A4104,3)</f>
        <v>#VALUE!</v>
      </c>
      <c r="I4104" s="66">
        <f t="shared" si="64"/>
        <v>0</v>
      </c>
    </row>
    <row r="4105" spans="8:9">
      <c r="H4105" s="66" t="e">
        <f>IF(OR(LEFT(B4105,FIND("_",B4105,1)-1)="ULGALLOC",LEFT(B4105,FIND("_",B4105,1)-1)="ULSPOOL"),LEFT(B4105,FIND("_",B4105,1)-1),VLOOKUP(LEFT(A4105,6),'Code Library'!$D$3:$E$200,2,0))&amp;"_"&amp;RIGHT(A4105,3)</f>
        <v>#VALUE!</v>
      </c>
      <c r="I4105" s="66">
        <f t="shared" si="64"/>
        <v>0</v>
      </c>
    </row>
    <row r="4106" spans="8:9">
      <c r="H4106" s="66" t="e">
        <f>IF(OR(LEFT(B4106,FIND("_",B4106,1)-1)="ULGALLOC",LEFT(B4106,FIND("_",B4106,1)-1)="ULSPOOL"),LEFT(B4106,FIND("_",B4106,1)-1),VLOOKUP(LEFT(A4106,6),'Code Library'!$D$3:$E$200,2,0))&amp;"_"&amp;RIGHT(A4106,3)</f>
        <v>#VALUE!</v>
      </c>
      <c r="I4106" s="66">
        <f t="shared" si="64"/>
        <v>0</v>
      </c>
    </row>
    <row r="4107" spans="8:9">
      <c r="H4107" s="66" t="e">
        <f>IF(OR(LEFT(B4107,FIND("_",B4107,1)-1)="ULGALLOC",LEFT(B4107,FIND("_",B4107,1)-1)="ULSPOOL"),LEFT(B4107,FIND("_",B4107,1)-1),VLOOKUP(LEFT(A4107,6),'Code Library'!$D$3:$E$200,2,0))&amp;"_"&amp;RIGHT(A4107,3)</f>
        <v>#VALUE!</v>
      </c>
      <c r="I4107" s="66">
        <f t="shared" si="64"/>
        <v>0</v>
      </c>
    </row>
    <row r="4108" spans="8:9">
      <c r="H4108" s="66" t="e">
        <f>IF(OR(LEFT(B4108,FIND("_",B4108,1)-1)="ULGALLOC",LEFT(B4108,FIND("_",B4108,1)-1)="ULSPOOL"),LEFT(B4108,FIND("_",B4108,1)-1),VLOOKUP(LEFT(A4108,6),'Code Library'!$D$3:$E$200,2,0))&amp;"_"&amp;RIGHT(A4108,3)</f>
        <v>#VALUE!</v>
      </c>
      <c r="I4108" s="66">
        <f t="shared" si="64"/>
        <v>0</v>
      </c>
    </row>
    <row r="4109" spans="8:9">
      <c r="H4109" s="66" t="e">
        <f>IF(OR(LEFT(B4109,FIND("_",B4109,1)-1)="ULGALLOC",LEFT(B4109,FIND("_",B4109,1)-1)="ULSPOOL"),LEFT(B4109,FIND("_",B4109,1)-1),VLOOKUP(LEFT(A4109,6),'Code Library'!$D$3:$E$200,2,0))&amp;"_"&amp;RIGHT(A4109,3)</f>
        <v>#VALUE!</v>
      </c>
      <c r="I4109" s="66">
        <f t="shared" si="64"/>
        <v>0</v>
      </c>
    </row>
    <row r="4110" spans="8:9">
      <c r="H4110" s="66" t="e">
        <f>IF(OR(LEFT(B4110,FIND("_",B4110,1)-1)="ULGALLOC",LEFT(B4110,FIND("_",B4110,1)-1)="ULSPOOL"),LEFT(B4110,FIND("_",B4110,1)-1),VLOOKUP(LEFT(A4110,6),'Code Library'!$D$3:$E$200,2,0))&amp;"_"&amp;RIGHT(A4110,3)</f>
        <v>#VALUE!</v>
      </c>
      <c r="I4110" s="66">
        <f t="shared" si="64"/>
        <v>0</v>
      </c>
    </row>
    <row r="4111" spans="8:9">
      <c r="H4111" s="66" t="e">
        <f>IF(OR(LEFT(B4111,FIND("_",B4111,1)-1)="ULGALLOC",LEFT(B4111,FIND("_",B4111,1)-1)="ULSPOOL"),LEFT(B4111,FIND("_",B4111,1)-1),VLOOKUP(LEFT(A4111,6),'Code Library'!$D$3:$E$200,2,0))&amp;"_"&amp;RIGHT(A4111,3)</f>
        <v>#VALUE!</v>
      </c>
      <c r="I4111" s="66">
        <f t="shared" si="64"/>
        <v>0</v>
      </c>
    </row>
    <row r="4112" spans="8:9">
      <c r="H4112" s="66" t="e">
        <f>IF(OR(LEFT(B4112,FIND("_",B4112,1)-1)="ULGALLOC",LEFT(B4112,FIND("_",B4112,1)-1)="ULSPOOL"),LEFT(B4112,FIND("_",B4112,1)-1),VLOOKUP(LEFT(A4112,6),'Code Library'!$D$3:$E$200,2,0))&amp;"_"&amp;RIGHT(A4112,3)</f>
        <v>#VALUE!</v>
      </c>
      <c r="I4112" s="66">
        <f t="shared" si="64"/>
        <v>0</v>
      </c>
    </row>
    <row r="4113" spans="8:9">
      <c r="H4113" s="66" t="e">
        <f>IF(OR(LEFT(B4113,FIND("_",B4113,1)-1)="ULGALLOC",LEFT(B4113,FIND("_",B4113,1)-1)="ULSPOOL"),LEFT(B4113,FIND("_",B4113,1)-1),VLOOKUP(LEFT(A4113,6),'Code Library'!$D$3:$E$200,2,0))&amp;"_"&amp;RIGHT(A4113,3)</f>
        <v>#VALUE!</v>
      </c>
      <c r="I4113" s="66">
        <f t="shared" si="64"/>
        <v>0</v>
      </c>
    </row>
    <row r="4114" spans="8:9">
      <c r="H4114" s="66" t="e">
        <f>IF(OR(LEFT(B4114,FIND("_",B4114,1)-1)="ULGALLOC",LEFT(B4114,FIND("_",B4114,1)-1)="ULSPOOL"),LEFT(B4114,FIND("_",B4114,1)-1),VLOOKUP(LEFT(A4114,6),'Code Library'!$D$3:$E$200,2,0))&amp;"_"&amp;RIGHT(A4114,3)</f>
        <v>#VALUE!</v>
      </c>
      <c r="I4114" s="66">
        <f t="shared" si="64"/>
        <v>0</v>
      </c>
    </row>
    <row r="4115" spans="8:9">
      <c r="H4115" s="66" t="e">
        <f>IF(OR(LEFT(B4115,FIND("_",B4115,1)-1)="ULGALLOC",LEFT(B4115,FIND("_",B4115,1)-1)="ULSPOOL"),LEFT(B4115,FIND("_",B4115,1)-1),VLOOKUP(LEFT(A4115,6),'Code Library'!$D$3:$E$200,2,0))&amp;"_"&amp;RIGHT(A4115,3)</f>
        <v>#VALUE!</v>
      </c>
      <c r="I4115" s="66">
        <f t="shared" si="64"/>
        <v>0</v>
      </c>
    </row>
    <row r="4116" spans="8:9">
      <c r="H4116" s="66" t="e">
        <f>IF(OR(LEFT(B4116,FIND("_",B4116,1)-1)="ULGALLOC",LEFT(B4116,FIND("_",B4116,1)-1)="ULSPOOL"),LEFT(B4116,FIND("_",B4116,1)-1),VLOOKUP(LEFT(A4116,6),'Code Library'!$D$3:$E$200,2,0))&amp;"_"&amp;RIGHT(A4116,3)</f>
        <v>#VALUE!</v>
      </c>
      <c r="I4116" s="66">
        <f t="shared" si="64"/>
        <v>0</v>
      </c>
    </row>
    <row r="4117" spans="8:9">
      <c r="H4117" s="66" t="e">
        <f>IF(OR(LEFT(B4117,FIND("_",B4117,1)-1)="ULGALLOC",LEFT(B4117,FIND("_",B4117,1)-1)="ULSPOOL"),LEFT(B4117,FIND("_",B4117,1)-1),VLOOKUP(LEFT(A4117,6),'Code Library'!$D$3:$E$200,2,0))&amp;"_"&amp;RIGHT(A4117,3)</f>
        <v>#VALUE!</v>
      </c>
      <c r="I4117" s="66">
        <f t="shared" si="64"/>
        <v>0</v>
      </c>
    </row>
    <row r="4118" spans="8:9">
      <c r="H4118" s="66" t="e">
        <f>IF(OR(LEFT(B4118,FIND("_",B4118,1)-1)="ULGALLOC",LEFT(B4118,FIND("_",B4118,1)-1)="ULSPOOL"),LEFT(B4118,FIND("_",B4118,1)-1),VLOOKUP(LEFT(A4118,6),'Code Library'!$D$3:$E$200,2,0))&amp;"_"&amp;RIGHT(A4118,3)</f>
        <v>#VALUE!</v>
      </c>
      <c r="I4118" s="66">
        <f t="shared" si="64"/>
        <v>0</v>
      </c>
    </row>
    <row r="4119" spans="8:9">
      <c r="H4119" s="66" t="e">
        <f>IF(OR(LEFT(B4119,FIND("_",B4119,1)-1)="ULGALLOC",LEFT(B4119,FIND("_",B4119,1)-1)="ULSPOOL"),LEFT(B4119,FIND("_",B4119,1)-1),VLOOKUP(LEFT(A4119,6),'Code Library'!$D$3:$E$200,2,0))&amp;"_"&amp;RIGHT(A4119,3)</f>
        <v>#VALUE!</v>
      </c>
      <c r="I4119" s="66">
        <f t="shared" si="64"/>
        <v>0</v>
      </c>
    </row>
    <row r="4120" spans="8:9">
      <c r="H4120" s="66" t="e">
        <f>IF(OR(LEFT(B4120,FIND("_",B4120,1)-1)="ULGALLOC",LEFT(B4120,FIND("_",B4120,1)-1)="ULSPOOL"),LEFT(B4120,FIND("_",B4120,1)-1),VLOOKUP(LEFT(A4120,6),'Code Library'!$D$3:$E$200,2,0))&amp;"_"&amp;RIGHT(A4120,3)</f>
        <v>#VALUE!</v>
      </c>
      <c r="I4120" s="66">
        <f t="shared" si="64"/>
        <v>0</v>
      </c>
    </row>
    <row r="4121" spans="8:9">
      <c r="H4121" s="66" t="e">
        <f>IF(OR(LEFT(B4121,FIND("_",B4121,1)-1)="ULGALLOC",LEFT(B4121,FIND("_",B4121,1)-1)="ULSPOOL"),LEFT(B4121,FIND("_",B4121,1)-1),VLOOKUP(LEFT(A4121,6),'Code Library'!$D$3:$E$200,2,0))&amp;"_"&amp;RIGHT(A4121,3)</f>
        <v>#VALUE!</v>
      </c>
      <c r="I4121" s="66">
        <f t="shared" si="64"/>
        <v>0</v>
      </c>
    </row>
    <row r="4122" spans="8:9">
      <c r="H4122" s="66" t="e">
        <f>IF(OR(LEFT(B4122,FIND("_",B4122,1)-1)="ULGALLOC",LEFT(B4122,FIND("_",B4122,1)-1)="ULSPOOL"),LEFT(B4122,FIND("_",B4122,1)-1),VLOOKUP(LEFT(A4122,6),'Code Library'!$D$3:$E$200,2,0))&amp;"_"&amp;RIGHT(A4122,3)</f>
        <v>#VALUE!</v>
      </c>
      <c r="I4122" s="66">
        <f t="shared" si="64"/>
        <v>0</v>
      </c>
    </row>
    <row r="4123" spans="8:9">
      <c r="H4123" s="66" t="e">
        <f>IF(OR(LEFT(B4123,FIND("_",B4123,1)-1)="ULGALLOC",LEFT(B4123,FIND("_",B4123,1)-1)="ULSPOOL"),LEFT(B4123,FIND("_",B4123,1)-1),VLOOKUP(LEFT(A4123,6),'Code Library'!$D$3:$E$200,2,0))&amp;"_"&amp;RIGHT(A4123,3)</f>
        <v>#VALUE!</v>
      </c>
      <c r="I4123" s="66">
        <f t="shared" si="64"/>
        <v>0</v>
      </c>
    </row>
    <row r="4124" spans="8:9">
      <c r="H4124" s="66" t="e">
        <f>IF(OR(LEFT(B4124,FIND("_",B4124,1)-1)="ULGALLOC",LEFT(B4124,FIND("_",B4124,1)-1)="ULSPOOL"),LEFT(B4124,FIND("_",B4124,1)-1),VLOOKUP(LEFT(A4124,6),'Code Library'!$D$3:$E$200,2,0))&amp;"_"&amp;RIGHT(A4124,3)</f>
        <v>#VALUE!</v>
      </c>
      <c r="I4124" s="66">
        <f t="shared" si="64"/>
        <v>0</v>
      </c>
    </row>
    <row r="4125" spans="8:9">
      <c r="H4125" s="66" t="e">
        <f>IF(OR(LEFT(B4125,FIND("_",B4125,1)-1)="ULGALLOC",LEFT(B4125,FIND("_",B4125,1)-1)="ULSPOOL"),LEFT(B4125,FIND("_",B4125,1)-1),VLOOKUP(LEFT(A4125,6),'Code Library'!$D$3:$E$200,2,0))&amp;"_"&amp;RIGHT(A4125,3)</f>
        <v>#VALUE!</v>
      </c>
      <c r="I4125" s="66">
        <f t="shared" si="64"/>
        <v>0</v>
      </c>
    </row>
    <row r="4126" spans="8:9">
      <c r="H4126" s="66" t="e">
        <f>IF(OR(LEFT(B4126,FIND("_",B4126,1)-1)="ULGALLOC",LEFT(B4126,FIND("_",B4126,1)-1)="ULSPOOL"),LEFT(B4126,FIND("_",B4126,1)-1),VLOOKUP(LEFT(A4126,6),'Code Library'!$D$3:$E$200,2,0))&amp;"_"&amp;RIGHT(A4126,3)</f>
        <v>#VALUE!</v>
      </c>
      <c r="I4126" s="66">
        <f t="shared" si="64"/>
        <v>0</v>
      </c>
    </row>
    <row r="4127" spans="8:9">
      <c r="H4127" s="66" t="e">
        <f>IF(OR(LEFT(B4127,FIND("_",B4127,1)-1)="ULGALLOC",LEFT(B4127,FIND("_",B4127,1)-1)="ULSPOOL"),LEFT(B4127,FIND("_",B4127,1)-1),VLOOKUP(LEFT(A4127,6),'Code Library'!$D$3:$E$200,2,0))&amp;"_"&amp;RIGHT(A4127,3)</f>
        <v>#VALUE!</v>
      </c>
      <c r="I4127" s="66">
        <f t="shared" si="64"/>
        <v>0</v>
      </c>
    </row>
    <row r="4128" spans="8:9">
      <c r="H4128" s="66" t="e">
        <f>IF(OR(LEFT(B4128,FIND("_",B4128,1)-1)="ULGALLOC",LEFT(B4128,FIND("_",B4128,1)-1)="ULSPOOL"),LEFT(B4128,FIND("_",B4128,1)-1),VLOOKUP(LEFT(A4128,6),'Code Library'!$D$3:$E$200,2,0))&amp;"_"&amp;RIGHT(A4128,3)</f>
        <v>#VALUE!</v>
      </c>
      <c r="I4128" s="66">
        <f t="shared" si="64"/>
        <v>0</v>
      </c>
    </row>
    <row r="4129" spans="8:9">
      <c r="H4129" s="66" t="e">
        <f>IF(OR(LEFT(B4129,FIND("_",B4129,1)-1)="ULGALLOC",LEFT(B4129,FIND("_",B4129,1)-1)="ULSPOOL"),LEFT(B4129,FIND("_",B4129,1)-1),VLOOKUP(LEFT(A4129,6),'Code Library'!$D$3:$E$200,2,0))&amp;"_"&amp;RIGHT(A4129,3)</f>
        <v>#VALUE!</v>
      </c>
      <c r="I4129" s="66">
        <f t="shared" si="64"/>
        <v>0</v>
      </c>
    </row>
    <row r="4130" spans="8:9">
      <c r="H4130" s="66" t="e">
        <f>IF(OR(LEFT(B4130,FIND("_",B4130,1)-1)="ULGALLOC",LEFT(B4130,FIND("_",B4130,1)-1)="ULSPOOL"),LEFT(B4130,FIND("_",B4130,1)-1),VLOOKUP(LEFT(A4130,6),'Code Library'!$D$3:$E$200,2,0))&amp;"_"&amp;RIGHT(A4130,3)</f>
        <v>#VALUE!</v>
      </c>
      <c r="I4130" s="66">
        <f t="shared" si="64"/>
        <v>0</v>
      </c>
    </row>
    <row r="4131" spans="8:9">
      <c r="H4131" s="66" t="e">
        <f>IF(OR(LEFT(B4131,FIND("_",B4131,1)-1)="ULGALLOC",LEFT(B4131,FIND("_",B4131,1)-1)="ULSPOOL"),LEFT(B4131,FIND("_",B4131,1)-1),VLOOKUP(LEFT(A4131,6),'Code Library'!$D$3:$E$200,2,0))&amp;"_"&amp;RIGHT(A4131,3)</f>
        <v>#VALUE!</v>
      </c>
      <c r="I4131" s="66">
        <f t="shared" si="64"/>
        <v>0</v>
      </c>
    </row>
    <row r="4132" spans="8:9">
      <c r="H4132" s="66" t="e">
        <f>IF(OR(LEFT(B4132,FIND("_",B4132,1)-1)="ULGALLOC",LEFT(B4132,FIND("_",B4132,1)-1)="ULSPOOL"),LEFT(B4132,FIND("_",B4132,1)-1),VLOOKUP(LEFT(A4132,6),'Code Library'!$D$3:$E$200,2,0))&amp;"_"&amp;RIGHT(A4132,3)</f>
        <v>#VALUE!</v>
      </c>
      <c r="I4132" s="66">
        <f t="shared" si="64"/>
        <v>0</v>
      </c>
    </row>
    <row r="4133" spans="8:9">
      <c r="H4133" s="66" t="e">
        <f>IF(OR(LEFT(B4133,FIND("_",B4133,1)-1)="ULGALLOC",LEFT(B4133,FIND("_",B4133,1)-1)="ULSPOOL"),LEFT(B4133,FIND("_",B4133,1)-1),VLOOKUP(LEFT(A4133,6),'Code Library'!$D$3:$E$200,2,0))&amp;"_"&amp;RIGHT(A4133,3)</f>
        <v>#VALUE!</v>
      </c>
      <c r="I4133" s="66">
        <f t="shared" si="64"/>
        <v>0</v>
      </c>
    </row>
    <row r="4134" spans="8:9">
      <c r="H4134" s="66" t="e">
        <f>IF(OR(LEFT(B4134,FIND("_",B4134,1)-1)="ULGALLOC",LEFT(B4134,FIND("_",B4134,1)-1)="ULSPOOL"),LEFT(B4134,FIND("_",B4134,1)-1),VLOOKUP(LEFT(A4134,6),'Code Library'!$D$3:$E$200,2,0))&amp;"_"&amp;RIGHT(A4134,3)</f>
        <v>#VALUE!</v>
      </c>
      <c r="I4134" s="66">
        <f t="shared" si="64"/>
        <v>0</v>
      </c>
    </row>
    <row r="4135" spans="8:9">
      <c r="H4135" s="66" t="e">
        <f>IF(OR(LEFT(B4135,FIND("_",B4135,1)-1)="ULGALLOC",LEFT(B4135,FIND("_",B4135,1)-1)="ULSPOOL"),LEFT(B4135,FIND("_",B4135,1)-1),VLOOKUP(LEFT(A4135,6),'Code Library'!$D$3:$E$200,2,0))&amp;"_"&amp;RIGHT(A4135,3)</f>
        <v>#VALUE!</v>
      </c>
      <c r="I4135" s="66">
        <f t="shared" si="64"/>
        <v>0</v>
      </c>
    </row>
    <row r="4136" spans="8:9">
      <c r="H4136" s="66" t="e">
        <f>IF(OR(LEFT(B4136,FIND("_",B4136,1)-1)="ULGALLOC",LEFT(B4136,FIND("_",B4136,1)-1)="ULSPOOL"),LEFT(B4136,FIND("_",B4136,1)-1),VLOOKUP(LEFT(A4136,6),'Code Library'!$D$3:$E$200,2,0))&amp;"_"&amp;RIGHT(A4136,3)</f>
        <v>#VALUE!</v>
      </c>
      <c r="I4136" s="66">
        <f t="shared" si="64"/>
        <v>0</v>
      </c>
    </row>
    <row r="4137" spans="8:9">
      <c r="H4137" s="66" t="e">
        <f>IF(OR(LEFT(B4137,FIND("_",B4137,1)-1)="ULGALLOC",LEFT(B4137,FIND("_",B4137,1)-1)="ULSPOOL"),LEFT(B4137,FIND("_",B4137,1)-1),VLOOKUP(LEFT(A4137,6),'Code Library'!$D$3:$E$200,2,0))&amp;"_"&amp;RIGHT(A4137,3)</f>
        <v>#VALUE!</v>
      </c>
      <c r="I4137" s="66">
        <f t="shared" si="64"/>
        <v>0</v>
      </c>
    </row>
    <row r="4138" spans="8:9">
      <c r="H4138" s="66" t="e">
        <f>IF(OR(LEFT(B4138,FIND("_",B4138,1)-1)="ULGALLOC",LEFT(B4138,FIND("_",B4138,1)-1)="ULSPOOL"),LEFT(B4138,FIND("_",B4138,1)-1),VLOOKUP(LEFT(A4138,6),'Code Library'!$D$3:$E$200,2,0))&amp;"_"&amp;RIGHT(A4138,3)</f>
        <v>#VALUE!</v>
      </c>
      <c r="I4138" s="66">
        <f t="shared" si="64"/>
        <v>0</v>
      </c>
    </row>
    <row r="4139" spans="8:9">
      <c r="H4139" s="66" t="e">
        <f>IF(OR(LEFT(B4139,FIND("_",B4139,1)-1)="ULGALLOC",LEFT(B4139,FIND("_",B4139,1)-1)="ULSPOOL"),LEFT(B4139,FIND("_",B4139,1)-1),VLOOKUP(LEFT(A4139,6),'Code Library'!$D$3:$E$200,2,0))&amp;"_"&amp;RIGHT(A4139,3)</f>
        <v>#VALUE!</v>
      </c>
      <c r="I4139" s="66">
        <f t="shared" si="64"/>
        <v>0</v>
      </c>
    </row>
    <row r="4140" spans="8:9">
      <c r="H4140" s="66" t="e">
        <f>IF(OR(LEFT(B4140,FIND("_",B4140,1)-1)="ULGALLOC",LEFT(B4140,FIND("_",B4140,1)-1)="ULSPOOL"),LEFT(B4140,FIND("_",B4140,1)-1),VLOOKUP(LEFT(A4140,6),'Code Library'!$D$3:$E$200,2,0))&amp;"_"&amp;RIGHT(A4140,3)</f>
        <v>#VALUE!</v>
      </c>
      <c r="I4140" s="66">
        <f t="shared" si="64"/>
        <v>0</v>
      </c>
    </row>
    <row r="4141" spans="8:9">
      <c r="H4141" s="66" t="e">
        <f>IF(OR(LEFT(B4141,FIND("_",B4141,1)-1)="ULGALLOC",LEFT(B4141,FIND("_",B4141,1)-1)="ULSPOOL"),LEFT(B4141,FIND("_",B4141,1)-1),VLOOKUP(LEFT(A4141,6),'Code Library'!$D$3:$E$200,2,0))&amp;"_"&amp;RIGHT(A4141,3)</f>
        <v>#VALUE!</v>
      </c>
      <c r="I4141" s="66">
        <f t="shared" si="64"/>
        <v>0</v>
      </c>
    </row>
    <row r="4142" spans="8:9">
      <c r="H4142" s="66" t="e">
        <f>IF(OR(LEFT(B4142,FIND("_",B4142,1)-1)="ULGALLOC",LEFT(B4142,FIND("_",B4142,1)-1)="ULSPOOL"),LEFT(B4142,FIND("_",B4142,1)-1),VLOOKUP(LEFT(A4142,6),'Code Library'!$D$3:$E$200,2,0))&amp;"_"&amp;RIGHT(A4142,3)</f>
        <v>#VALUE!</v>
      </c>
      <c r="I4142" s="66">
        <f t="shared" si="64"/>
        <v>0</v>
      </c>
    </row>
    <row r="4143" spans="8:9">
      <c r="H4143" s="66" t="e">
        <f>IF(OR(LEFT(B4143,FIND("_",B4143,1)-1)="ULGALLOC",LEFT(B4143,FIND("_",B4143,1)-1)="ULSPOOL"),LEFT(B4143,FIND("_",B4143,1)-1),VLOOKUP(LEFT(A4143,6),'Code Library'!$D$3:$E$200,2,0))&amp;"_"&amp;RIGHT(A4143,3)</f>
        <v>#VALUE!</v>
      </c>
      <c r="I4143" s="66">
        <f t="shared" si="64"/>
        <v>0</v>
      </c>
    </row>
    <row r="4144" spans="8:9">
      <c r="H4144" s="66" t="e">
        <f>IF(OR(LEFT(B4144,FIND("_",B4144,1)-1)="ULGALLOC",LEFT(B4144,FIND("_",B4144,1)-1)="ULSPOOL"),LEFT(B4144,FIND("_",B4144,1)-1),VLOOKUP(LEFT(A4144,6),'Code Library'!$D$3:$E$200,2,0))&amp;"_"&amp;RIGHT(A4144,3)</f>
        <v>#VALUE!</v>
      </c>
      <c r="I4144" s="66">
        <f t="shared" si="64"/>
        <v>0</v>
      </c>
    </row>
    <row r="4145" spans="8:9">
      <c r="H4145" s="66" t="e">
        <f>IF(OR(LEFT(B4145,FIND("_",B4145,1)-1)="ULGALLOC",LEFT(B4145,FIND("_",B4145,1)-1)="ULSPOOL"),LEFT(B4145,FIND("_",B4145,1)-1),VLOOKUP(LEFT(A4145,6),'Code Library'!$D$3:$E$200,2,0))&amp;"_"&amp;RIGHT(A4145,3)</f>
        <v>#VALUE!</v>
      </c>
      <c r="I4145" s="66">
        <f t="shared" si="64"/>
        <v>0</v>
      </c>
    </row>
    <row r="4146" spans="8:9">
      <c r="H4146" s="66" t="e">
        <f>IF(OR(LEFT(B4146,FIND("_",B4146,1)-1)="ULGALLOC",LEFT(B4146,FIND("_",B4146,1)-1)="ULSPOOL"),LEFT(B4146,FIND("_",B4146,1)-1),VLOOKUP(LEFT(A4146,6),'Code Library'!$D$3:$E$200,2,0))&amp;"_"&amp;RIGHT(A4146,3)</f>
        <v>#VALUE!</v>
      </c>
      <c r="I4146" s="66">
        <f t="shared" si="64"/>
        <v>0</v>
      </c>
    </row>
    <row r="4147" spans="8:9">
      <c r="H4147" s="66" t="e">
        <f>IF(OR(LEFT(B4147,FIND("_",B4147,1)-1)="ULGALLOC",LEFT(B4147,FIND("_",B4147,1)-1)="ULSPOOL"),LEFT(B4147,FIND("_",B4147,1)-1),VLOOKUP(LEFT(A4147,6),'Code Library'!$D$3:$E$200,2,0))&amp;"_"&amp;RIGHT(A4147,3)</f>
        <v>#VALUE!</v>
      </c>
      <c r="I4147" s="66">
        <f t="shared" si="64"/>
        <v>0</v>
      </c>
    </row>
    <row r="4148" spans="8:9">
      <c r="H4148" s="66" t="e">
        <f>IF(OR(LEFT(B4148,FIND("_",B4148,1)-1)="ULGALLOC",LEFT(B4148,FIND("_",B4148,1)-1)="ULSPOOL"),LEFT(B4148,FIND("_",B4148,1)-1),VLOOKUP(LEFT(A4148,6),'Code Library'!$D$3:$E$200,2,0))&amp;"_"&amp;RIGHT(A4148,3)</f>
        <v>#VALUE!</v>
      </c>
      <c r="I4148" s="66">
        <f t="shared" si="64"/>
        <v>0</v>
      </c>
    </row>
    <row r="4149" spans="8:9">
      <c r="H4149" s="66" t="e">
        <f>IF(OR(LEFT(B4149,FIND("_",B4149,1)-1)="ULGALLOC",LEFT(B4149,FIND("_",B4149,1)-1)="ULSPOOL"),LEFT(B4149,FIND("_",B4149,1)-1),VLOOKUP(LEFT(A4149,6),'Code Library'!$D$3:$E$200,2,0))&amp;"_"&amp;RIGHT(A4149,3)</f>
        <v>#VALUE!</v>
      </c>
      <c r="I4149" s="66">
        <f t="shared" si="64"/>
        <v>0</v>
      </c>
    </row>
    <row r="4150" spans="8:9">
      <c r="H4150" s="66" t="e">
        <f>IF(OR(LEFT(B4150,FIND("_",B4150,1)-1)="ULGALLOC",LEFT(B4150,FIND("_",B4150,1)-1)="ULSPOOL"),LEFT(B4150,FIND("_",B4150,1)-1),VLOOKUP(LEFT(A4150,6),'Code Library'!$D$3:$E$200,2,0))&amp;"_"&amp;RIGHT(A4150,3)</f>
        <v>#VALUE!</v>
      </c>
      <c r="I4150" s="66">
        <f t="shared" si="64"/>
        <v>0</v>
      </c>
    </row>
    <row r="4151" spans="8:9">
      <c r="H4151" s="66" t="e">
        <f>IF(OR(LEFT(B4151,FIND("_",B4151,1)-1)="ULGALLOC",LEFT(B4151,FIND("_",B4151,1)-1)="ULSPOOL"),LEFT(B4151,FIND("_",B4151,1)-1),VLOOKUP(LEFT(A4151,6),'Code Library'!$D$3:$E$200,2,0))&amp;"_"&amp;RIGHT(A4151,3)</f>
        <v>#VALUE!</v>
      </c>
      <c r="I4151" s="66">
        <f t="shared" si="64"/>
        <v>0</v>
      </c>
    </row>
    <row r="4152" spans="8:9">
      <c r="H4152" s="66" t="e">
        <f>IF(OR(LEFT(B4152,FIND("_",B4152,1)-1)="ULGALLOC",LEFT(B4152,FIND("_",B4152,1)-1)="ULSPOOL"),LEFT(B4152,FIND("_",B4152,1)-1),VLOOKUP(LEFT(A4152,6),'Code Library'!$D$3:$E$200,2,0))&amp;"_"&amp;RIGHT(A4152,3)</f>
        <v>#VALUE!</v>
      </c>
      <c r="I4152" s="66">
        <f t="shared" si="64"/>
        <v>0</v>
      </c>
    </row>
    <row r="4153" spans="8:9">
      <c r="H4153" s="66" t="e">
        <f>IF(OR(LEFT(B4153,FIND("_",B4153,1)-1)="ULGALLOC",LEFT(B4153,FIND("_",B4153,1)-1)="ULSPOOL"),LEFT(B4153,FIND("_",B4153,1)-1),VLOOKUP(LEFT(A4153,6),'Code Library'!$D$3:$E$200,2,0))&amp;"_"&amp;RIGHT(A4153,3)</f>
        <v>#VALUE!</v>
      </c>
      <c r="I4153" s="66">
        <f t="shared" si="64"/>
        <v>0</v>
      </c>
    </row>
    <row r="4154" spans="8:9">
      <c r="H4154" s="66" t="e">
        <f>IF(OR(LEFT(B4154,FIND("_",B4154,1)-1)="ULGALLOC",LEFT(B4154,FIND("_",B4154,1)-1)="ULSPOOL"),LEFT(B4154,FIND("_",B4154,1)-1),VLOOKUP(LEFT(A4154,6),'Code Library'!$D$3:$E$200,2,0))&amp;"_"&amp;RIGHT(A4154,3)</f>
        <v>#VALUE!</v>
      </c>
      <c r="I4154" s="66">
        <f t="shared" si="64"/>
        <v>0</v>
      </c>
    </row>
    <row r="4155" spans="8:9">
      <c r="H4155" s="66" t="e">
        <f>IF(OR(LEFT(B4155,FIND("_",B4155,1)-1)="ULGALLOC",LEFT(B4155,FIND("_",B4155,1)-1)="ULSPOOL"),LEFT(B4155,FIND("_",B4155,1)-1),VLOOKUP(LEFT(A4155,6),'Code Library'!$D$3:$E$200,2,0))&amp;"_"&amp;RIGHT(A4155,3)</f>
        <v>#VALUE!</v>
      </c>
      <c r="I4155" s="66">
        <f t="shared" si="64"/>
        <v>0</v>
      </c>
    </row>
    <row r="4156" spans="8:9">
      <c r="H4156" s="66" t="e">
        <f>IF(OR(LEFT(B4156,FIND("_",B4156,1)-1)="ULGALLOC",LEFT(B4156,FIND("_",B4156,1)-1)="ULSPOOL"),LEFT(B4156,FIND("_",B4156,1)-1),VLOOKUP(LEFT(A4156,6),'Code Library'!$D$3:$E$200,2,0))&amp;"_"&amp;RIGHT(A4156,3)</f>
        <v>#VALUE!</v>
      </c>
      <c r="I4156" s="66">
        <f t="shared" si="64"/>
        <v>0</v>
      </c>
    </row>
    <row r="4157" spans="8:9">
      <c r="H4157" s="66" t="e">
        <f>IF(OR(LEFT(B4157,FIND("_",B4157,1)-1)="ULGALLOC",LEFT(B4157,FIND("_",B4157,1)-1)="ULSPOOL"),LEFT(B4157,FIND("_",B4157,1)-1),VLOOKUP(LEFT(A4157,6),'Code Library'!$D$3:$E$200,2,0))&amp;"_"&amp;RIGHT(A4157,3)</f>
        <v>#VALUE!</v>
      </c>
      <c r="I4157" s="66">
        <f t="shared" si="64"/>
        <v>0</v>
      </c>
    </row>
    <row r="4158" spans="8:9">
      <c r="H4158" s="66" t="e">
        <f>IF(OR(LEFT(B4158,FIND("_",B4158,1)-1)="ULGALLOC",LEFT(B4158,FIND("_",B4158,1)-1)="ULSPOOL"),LEFT(B4158,FIND("_",B4158,1)-1),VLOOKUP(LEFT(A4158,6),'Code Library'!$D$3:$E$200,2,0))&amp;"_"&amp;RIGHT(A4158,3)</f>
        <v>#VALUE!</v>
      </c>
      <c r="I4158" s="66">
        <f t="shared" si="64"/>
        <v>0</v>
      </c>
    </row>
    <row r="4159" spans="8:9">
      <c r="H4159" s="66" t="e">
        <f>IF(OR(LEFT(B4159,FIND("_",B4159,1)-1)="ULGALLOC",LEFT(B4159,FIND("_",B4159,1)-1)="ULSPOOL"),LEFT(B4159,FIND("_",B4159,1)-1),VLOOKUP(LEFT(A4159,6),'Code Library'!$D$3:$E$200,2,0))&amp;"_"&amp;RIGHT(A4159,3)</f>
        <v>#VALUE!</v>
      </c>
      <c r="I4159" s="66">
        <f t="shared" si="64"/>
        <v>0</v>
      </c>
    </row>
    <row r="4160" spans="8:9">
      <c r="H4160" s="66" t="e">
        <f>IF(OR(LEFT(B4160,FIND("_",B4160,1)-1)="ULGALLOC",LEFT(B4160,FIND("_",B4160,1)-1)="ULSPOOL"),LEFT(B4160,FIND("_",B4160,1)-1),VLOOKUP(LEFT(A4160,6),'Code Library'!$D$3:$E$200,2,0))&amp;"_"&amp;RIGHT(A4160,3)</f>
        <v>#VALUE!</v>
      </c>
      <c r="I4160" s="66">
        <f t="shared" si="64"/>
        <v>0</v>
      </c>
    </row>
    <row r="4161" spans="8:9">
      <c r="H4161" s="66" t="e">
        <f>IF(OR(LEFT(B4161,FIND("_",B4161,1)-1)="ULGALLOC",LEFT(B4161,FIND("_",B4161,1)-1)="ULSPOOL"),LEFT(B4161,FIND("_",B4161,1)-1),VLOOKUP(LEFT(A4161,6),'Code Library'!$D$3:$E$200,2,0))&amp;"_"&amp;RIGHT(A4161,3)</f>
        <v>#VALUE!</v>
      </c>
      <c r="I4161" s="66">
        <f t="shared" si="64"/>
        <v>0</v>
      </c>
    </row>
    <row r="4162" spans="8:9">
      <c r="H4162" s="66" t="e">
        <f>IF(OR(LEFT(B4162,FIND("_",B4162,1)-1)="ULGALLOC",LEFT(B4162,FIND("_",B4162,1)-1)="ULSPOOL"),LEFT(B4162,FIND("_",B4162,1)-1),VLOOKUP(LEFT(A4162,6),'Code Library'!$D$3:$E$200,2,0))&amp;"_"&amp;RIGHT(A4162,3)</f>
        <v>#VALUE!</v>
      </c>
      <c r="I4162" s="66">
        <f t="shared" si="64"/>
        <v>0</v>
      </c>
    </row>
    <row r="4163" spans="8:9">
      <c r="H4163" s="66" t="e">
        <f>IF(OR(LEFT(B4163,FIND("_",B4163,1)-1)="ULGALLOC",LEFT(B4163,FIND("_",B4163,1)-1)="ULSPOOL"),LEFT(B4163,FIND("_",B4163,1)-1),VLOOKUP(LEFT(A4163,6),'Code Library'!$D$3:$E$200,2,0))&amp;"_"&amp;RIGHT(A4163,3)</f>
        <v>#VALUE!</v>
      </c>
      <c r="I4163" s="66">
        <f t="shared" ref="I4163:I4226" si="65">A4163</f>
        <v>0</v>
      </c>
    </row>
    <row r="4164" spans="8:9">
      <c r="H4164" s="66" t="e">
        <f>IF(OR(LEFT(B4164,FIND("_",B4164,1)-1)="ULGALLOC",LEFT(B4164,FIND("_",B4164,1)-1)="ULSPOOL"),LEFT(B4164,FIND("_",B4164,1)-1),VLOOKUP(LEFT(A4164,6),'Code Library'!$D$3:$E$200,2,0))&amp;"_"&amp;RIGHT(A4164,3)</f>
        <v>#VALUE!</v>
      </c>
      <c r="I4164" s="66">
        <f t="shared" si="65"/>
        <v>0</v>
      </c>
    </row>
    <row r="4165" spans="8:9">
      <c r="H4165" s="66" t="e">
        <f>IF(OR(LEFT(B4165,FIND("_",B4165,1)-1)="ULGALLOC",LEFT(B4165,FIND("_",B4165,1)-1)="ULSPOOL"),LEFT(B4165,FIND("_",B4165,1)-1),VLOOKUP(LEFT(A4165,6),'Code Library'!$D$3:$E$200,2,0))&amp;"_"&amp;RIGHT(A4165,3)</f>
        <v>#VALUE!</v>
      </c>
      <c r="I4165" s="66">
        <f t="shared" si="65"/>
        <v>0</v>
      </c>
    </row>
    <row r="4166" spans="8:9">
      <c r="H4166" s="66" t="e">
        <f>IF(OR(LEFT(B4166,FIND("_",B4166,1)-1)="ULGALLOC",LEFT(B4166,FIND("_",B4166,1)-1)="ULSPOOL"),LEFT(B4166,FIND("_",B4166,1)-1),VLOOKUP(LEFT(A4166,6),'Code Library'!$D$3:$E$200,2,0))&amp;"_"&amp;RIGHT(A4166,3)</f>
        <v>#VALUE!</v>
      </c>
      <c r="I4166" s="66">
        <f t="shared" si="65"/>
        <v>0</v>
      </c>
    </row>
    <row r="4167" spans="8:9">
      <c r="H4167" s="66" t="e">
        <f>IF(OR(LEFT(B4167,FIND("_",B4167,1)-1)="ULGALLOC",LEFT(B4167,FIND("_",B4167,1)-1)="ULSPOOL"),LEFT(B4167,FIND("_",B4167,1)-1),VLOOKUP(LEFT(A4167,6),'Code Library'!$D$3:$E$200,2,0))&amp;"_"&amp;RIGHT(A4167,3)</f>
        <v>#VALUE!</v>
      </c>
      <c r="I4167" s="66">
        <f t="shared" si="65"/>
        <v>0</v>
      </c>
    </row>
    <row r="4168" spans="8:9">
      <c r="H4168" s="66" t="e">
        <f>IF(OR(LEFT(B4168,FIND("_",B4168,1)-1)="ULGALLOC",LEFT(B4168,FIND("_",B4168,1)-1)="ULSPOOL"),LEFT(B4168,FIND("_",B4168,1)-1),VLOOKUP(LEFT(A4168,6),'Code Library'!$D$3:$E$200,2,0))&amp;"_"&amp;RIGHT(A4168,3)</f>
        <v>#VALUE!</v>
      </c>
      <c r="I4168" s="66">
        <f t="shared" si="65"/>
        <v>0</v>
      </c>
    </row>
    <row r="4169" spans="8:9">
      <c r="H4169" s="66" t="e">
        <f>IF(OR(LEFT(B4169,FIND("_",B4169,1)-1)="ULGALLOC",LEFT(B4169,FIND("_",B4169,1)-1)="ULSPOOL"),LEFT(B4169,FIND("_",B4169,1)-1),VLOOKUP(LEFT(A4169,6),'Code Library'!$D$3:$E$200,2,0))&amp;"_"&amp;RIGHT(A4169,3)</f>
        <v>#VALUE!</v>
      </c>
      <c r="I4169" s="66">
        <f t="shared" si="65"/>
        <v>0</v>
      </c>
    </row>
    <row r="4170" spans="8:9">
      <c r="H4170" s="66" t="e">
        <f>IF(OR(LEFT(B4170,FIND("_",B4170,1)-1)="ULGALLOC",LEFT(B4170,FIND("_",B4170,1)-1)="ULSPOOL"),LEFT(B4170,FIND("_",B4170,1)-1),VLOOKUP(LEFT(A4170,6),'Code Library'!$D$3:$E$200,2,0))&amp;"_"&amp;RIGHT(A4170,3)</f>
        <v>#VALUE!</v>
      </c>
      <c r="I4170" s="66">
        <f t="shared" si="65"/>
        <v>0</v>
      </c>
    </row>
    <row r="4171" spans="8:9">
      <c r="H4171" s="66" t="e">
        <f>IF(OR(LEFT(B4171,FIND("_",B4171,1)-1)="ULGALLOC",LEFT(B4171,FIND("_",B4171,1)-1)="ULSPOOL"),LEFT(B4171,FIND("_",B4171,1)-1),VLOOKUP(LEFT(A4171,6),'Code Library'!$D$3:$E$200,2,0))&amp;"_"&amp;RIGHT(A4171,3)</f>
        <v>#VALUE!</v>
      </c>
      <c r="I4171" s="66">
        <f t="shared" si="65"/>
        <v>0</v>
      </c>
    </row>
    <row r="4172" spans="8:9">
      <c r="H4172" s="66" t="e">
        <f>IF(OR(LEFT(B4172,FIND("_",B4172,1)-1)="ULGALLOC",LEFT(B4172,FIND("_",B4172,1)-1)="ULSPOOL"),LEFT(B4172,FIND("_",B4172,1)-1),VLOOKUP(LEFT(A4172,6),'Code Library'!$D$3:$E$200,2,0))&amp;"_"&amp;RIGHT(A4172,3)</f>
        <v>#VALUE!</v>
      </c>
      <c r="I4172" s="66">
        <f t="shared" si="65"/>
        <v>0</v>
      </c>
    </row>
    <row r="4173" spans="8:9">
      <c r="H4173" s="66" t="e">
        <f>IF(OR(LEFT(B4173,FIND("_",B4173,1)-1)="ULGALLOC",LEFT(B4173,FIND("_",B4173,1)-1)="ULSPOOL"),LEFT(B4173,FIND("_",B4173,1)-1),VLOOKUP(LEFT(A4173,6),'Code Library'!$D$3:$E$200,2,0))&amp;"_"&amp;RIGHT(A4173,3)</f>
        <v>#VALUE!</v>
      </c>
      <c r="I4173" s="66">
        <f t="shared" si="65"/>
        <v>0</v>
      </c>
    </row>
    <row r="4174" spans="8:9">
      <c r="H4174" s="66" t="e">
        <f>IF(OR(LEFT(B4174,FIND("_",B4174,1)-1)="ULGALLOC",LEFT(B4174,FIND("_",B4174,1)-1)="ULSPOOL"),LEFT(B4174,FIND("_",B4174,1)-1),VLOOKUP(LEFT(A4174,6),'Code Library'!$D$3:$E$200,2,0))&amp;"_"&amp;RIGHT(A4174,3)</f>
        <v>#VALUE!</v>
      </c>
      <c r="I4174" s="66">
        <f t="shared" si="65"/>
        <v>0</v>
      </c>
    </row>
    <row r="4175" spans="8:9">
      <c r="H4175" s="66" t="e">
        <f>IF(OR(LEFT(B4175,FIND("_",B4175,1)-1)="ULGALLOC",LEFT(B4175,FIND("_",B4175,1)-1)="ULSPOOL"),LEFT(B4175,FIND("_",B4175,1)-1),VLOOKUP(LEFT(A4175,6),'Code Library'!$D$3:$E$200,2,0))&amp;"_"&amp;RIGHT(A4175,3)</f>
        <v>#VALUE!</v>
      </c>
      <c r="I4175" s="66">
        <f t="shared" si="65"/>
        <v>0</v>
      </c>
    </row>
    <row r="4176" spans="8:9">
      <c r="H4176" s="66" t="e">
        <f>IF(OR(LEFT(B4176,FIND("_",B4176,1)-1)="ULGALLOC",LEFT(B4176,FIND("_",B4176,1)-1)="ULSPOOL"),LEFT(B4176,FIND("_",B4176,1)-1),VLOOKUP(LEFT(A4176,6),'Code Library'!$D$3:$E$200,2,0))&amp;"_"&amp;RIGHT(A4176,3)</f>
        <v>#VALUE!</v>
      </c>
      <c r="I4176" s="66">
        <f t="shared" si="65"/>
        <v>0</v>
      </c>
    </row>
    <row r="4177" spans="8:9">
      <c r="H4177" s="66" t="e">
        <f>IF(OR(LEFT(B4177,FIND("_",B4177,1)-1)="ULGALLOC",LEFT(B4177,FIND("_",B4177,1)-1)="ULSPOOL"),LEFT(B4177,FIND("_",B4177,1)-1),VLOOKUP(LEFT(A4177,6),'Code Library'!$D$3:$E$200,2,0))&amp;"_"&amp;RIGHT(A4177,3)</f>
        <v>#VALUE!</v>
      </c>
      <c r="I4177" s="66">
        <f t="shared" si="65"/>
        <v>0</v>
      </c>
    </row>
    <row r="4178" spans="8:9">
      <c r="H4178" s="66" t="e">
        <f>IF(OR(LEFT(B4178,FIND("_",B4178,1)-1)="ULGALLOC",LEFT(B4178,FIND("_",B4178,1)-1)="ULSPOOL"),LEFT(B4178,FIND("_",B4178,1)-1),VLOOKUP(LEFT(A4178,6),'Code Library'!$D$3:$E$200,2,0))&amp;"_"&amp;RIGHT(A4178,3)</f>
        <v>#VALUE!</v>
      </c>
      <c r="I4178" s="66">
        <f t="shared" si="65"/>
        <v>0</v>
      </c>
    </row>
    <row r="4179" spans="8:9">
      <c r="H4179" s="66" t="e">
        <f>IF(OR(LEFT(B4179,FIND("_",B4179,1)-1)="ULGALLOC",LEFT(B4179,FIND("_",B4179,1)-1)="ULSPOOL"),LEFT(B4179,FIND("_",B4179,1)-1),VLOOKUP(LEFT(A4179,6),'Code Library'!$D$3:$E$200,2,0))&amp;"_"&amp;RIGHT(A4179,3)</f>
        <v>#VALUE!</v>
      </c>
      <c r="I4179" s="66">
        <f t="shared" si="65"/>
        <v>0</v>
      </c>
    </row>
    <row r="4180" spans="8:9">
      <c r="H4180" s="66" t="e">
        <f>IF(OR(LEFT(B4180,FIND("_",B4180,1)-1)="ULGALLOC",LEFT(B4180,FIND("_",B4180,1)-1)="ULSPOOL"),LEFT(B4180,FIND("_",B4180,1)-1),VLOOKUP(LEFT(A4180,6),'Code Library'!$D$3:$E$200,2,0))&amp;"_"&amp;RIGHT(A4180,3)</f>
        <v>#VALUE!</v>
      </c>
      <c r="I4180" s="66">
        <f t="shared" si="65"/>
        <v>0</v>
      </c>
    </row>
    <row r="4181" spans="8:9">
      <c r="H4181" s="66" t="e">
        <f>IF(OR(LEFT(B4181,FIND("_",B4181,1)-1)="ULGALLOC",LEFT(B4181,FIND("_",B4181,1)-1)="ULSPOOL"),LEFT(B4181,FIND("_",B4181,1)-1),VLOOKUP(LEFT(A4181,6),'Code Library'!$D$3:$E$200,2,0))&amp;"_"&amp;RIGHT(A4181,3)</f>
        <v>#VALUE!</v>
      </c>
      <c r="I4181" s="66">
        <f t="shared" si="65"/>
        <v>0</v>
      </c>
    </row>
    <row r="4182" spans="8:9">
      <c r="H4182" s="66" t="e">
        <f>IF(OR(LEFT(B4182,FIND("_",B4182,1)-1)="ULGALLOC",LEFT(B4182,FIND("_",B4182,1)-1)="ULSPOOL"),LEFT(B4182,FIND("_",B4182,1)-1),VLOOKUP(LEFT(A4182,6),'Code Library'!$D$3:$E$200,2,0))&amp;"_"&amp;RIGHT(A4182,3)</f>
        <v>#VALUE!</v>
      </c>
      <c r="I4182" s="66">
        <f t="shared" si="65"/>
        <v>0</v>
      </c>
    </row>
    <row r="4183" spans="8:9">
      <c r="H4183" s="66" t="e">
        <f>IF(OR(LEFT(B4183,FIND("_",B4183,1)-1)="ULGALLOC",LEFT(B4183,FIND("_",B4183,1)-1)="ULSPOOL"),LEFT(B4183,FIND("_",B4183,1)-1),VLOOKUP(LEFT(A4183,6),'Code Library'!$D$3:$E$200,2,0))&amp;"_"&amp;RIGHT(A4183,3)</f>
        <v>#VALUE!</v>
      </c>
      <c r="I4183" s="66">
        <f t="shared" si="65"/>
        <v>0</v>
      </c>
    </row>
    <row r="4184" spans="8:9">
      <c r="H4184" s="66" t="e">
        <f>IF(OR(LEFT(B4184,FIND("_",B4184,1)-1)="ULGALLOC",LEFT(B4184,FIND("_",B4184,1)-1)="ULSPOOL"),LEFT(B4184,FIND("_",B4184,1)-1),VLOOKUP(LEFT(A4184,6),'Code Library'!$D$3:$E$200,2,0))&amp;"_"&amp;RIGHT(A4184,3)</f>
        <v>#VALUE!</v>
      </c>
      <c r="I4184" s="66">
        <f t="shared" si="65"/>
        <v>0</v>
      </c>
    </row>
    <row r="4185" spans="8:9">
      <c r="H4185" s="66" t="e">
        <f>IF(OR(LEFT(B4185,FIND("_",B4185,1)-1)="ULGALLOC",LEFT(B4185,FIND("_",B4185,1)-1)="ULSPOOL"),LEFT(B4185,FIND("_",B4185,1)-1),VLOOKUP(LEFT(A4185,6),'Code Library'!$D$3:$E$200,2,0))&amp;"_"&amp;RIGHT(A4185,3)</f>
        <v>#VALUE!</v>
      </c>
      <c r="I4185" s="66">
        <f t="shared" si="65"/>
        <v>0</v>
      </c>
    </row>
    <row r="4186" spans="8:9">
      <c r="H4186" s="66" t="e">
        <f>IF(OR(LEFT(B4186,FIND("_",B4186,1)-1)="ULGALLOC",LEFT(B4186,FIND("_",B4186,1)-1)="ULSPOOL"),LEFT(B4186,FIND("_",B4186,1)-1),VLOOKUP(LEFT(A4186,6),'Code Library'!$D$3:$E$200,2,0))&amp;"_"&amp;RIGHT(A4186,3)</f>
        <v>#VALUE!</v>
      </c>
      <c r="I4186" s="66">
        <f t="shared" si="65"/>
        <v>0</v>
      </c>
    </row>
    <row r="4187" spans="8:9">
      <c r="H4187" s="66" t="e">
        <f>IF(OR(LEFT(B4187,FIND("_",B4187,1)-1)="ULGALLOC",LEFT(B4187,FIND("_",B4187,1)-1)="ULSPOOL"),LEFT(B4187,FIND("_",B4187,1)-1),VLOOKUP(LEFT(A4187,6),'Code Library'!$D$3:$E$200,2,0))&amp;"_"&amp;RIGHT(A4187,3)</f>
        <v>#VALUE!</v>
      </c>
      <c r="I4187" s="66">
        <f t="shared" si="65"/>
        <v>0</v>
      </c>
    </row>
    <row r="4188" spans="8:9">
      <c r="H4188" s="66" t="e">
        <f>IF(OR(LEFT(B4188,FIND("_",B4188,1)-1)="ULGALLOC",LEFT(B4188,FIND("_",B4188,1)-1)="ULSPOOL"),LEFT(B4188,FIND("_",B4188,1)-1),VLOOKUP(LEFT(A4188,6),'Code Library'!$D$3:$E$200,2,0))&amp;"_"&amp;RIGHT(A4188,3)</f>
        <v>#VALUE!</v>
      </c>
      <c r="I4188" s="66">
        <f t="shared" si="65"/>
        <v>0</v>
      </c>
    </row>
    <row r="4189" spans="8:9">
      <c r="H4189" s="66" t="e">
        <f>IF(OR(LEFT(B4189,FIND("_",B4189,1)-1)="ULGALLOC",LEFT(B4189,FIND("_",B4189,1)-1)="ULSPOOL"),LEFT(B4189,FIND("_",B4189,1)-1),VLOOKUP(LEFT(A4189,6),'Code Library'!$D$3:$E$200,2,0))&amp;"_"&amp;RIGHT(A4189,3)</f>
        <v>#VALUE!</v>
      </c>
      <c r="I4189" s="66">
        <f t="shared" si="65"/>
        <v>0</v>
      </c>
    </row>
    <row r="4190" spans="8:9">
      <c r="H4190" s="66" t="e">
        <f>IF(OR(LEFT(B4190,FIND("_",B4190,1)-1)="ULGALLOC",LEFT(B4190,FIND("_",B4190,1)-1)="ULSPOOL"),LEFT(B4190,FIND("_",B4190,1)-1),VLOOKUP(LEFT(A4190,6),'Code Library'!$D$3:$E$200,2,0))&amp;"_"&amp;RIGHT(A4190,3)</f>
        <v>#VALUE!</v>
      </c>
      <c r="I4190" s="66">
        <f t="shared" si="65"/>
        <v>0</v>
      </c>
    </row>
    <row r="4191" spans="8:9">
      <c r="H4191" s="66" t="e">
        <f>IF(OR(LEFT(B4191,FIND("_",B4191,1)-1)="ULGALLOC",LEFT(B4191,FIND("_",B4191,1)-1)="ULSPOOL"),LEFT(B4191,FIND("_",B4191,1)-1),VLOOKUP(LEFT(A4191,6),'Code Library'!$D$3:$E$200,2,0))&amp;"_"&amp;RIGHT(A4191,3)</f>
        <v>#VALUE!</v>
      </c>
      <c r="I4191" s="66">
        <f t="shared" si="65"/>
        <v>0</v>
      </c>
    </row>
    <row r="4192" spans="8:9">
      <c r="H4192" s="66" t="e">
        <f>IF(OR(LEFT(B4192,FIND("_",B4192,1)-1)="ULGALLOC",LEFT(B4192,FIND("_",B4192,1)-1)="ULSPOOL"),LEFT(B4192,FIND("_",B4192,1)-1),VLOOKUP(LEFT(A4192,6),'Code Library'!$D$3:$E$200,2,0))&amp;"_"&amp;RIGHT(A4192,3)</f>
        <v>#VALUE!</v>
      </c>
      <c r="I4192" s="66">
        <f t="shared" si="65"/>
        <v>0</v>
      </c>
    </row>
    <row r="4193" spans="8:9">
      <c r="H4193" s="66" t="e">
        <f>IF(OR(LEFT(B4193,FIND("_",B4193,1)-1)="ULGALLOC",LEFT(B4193,FIND("_",B4193,1)-1)="ULSPOOL"),LEFT(B4193,FIND("_",B4193,1)-1),VLOOKUP(LEFT(A4193,6),'Code Library'!$D$3:$E$200,2,0))&amp;"_"&amp;RIGHT(A4193,3)</f>
        <v>#VALUE!</v>
      </c>
      <c r="I4193" s="66">
        <f t="shared" si="65"/>
        <v>0</v>
      </c>
    </row>
    <row r="4194" spans="8:9">
      <c r="H4194" s="66" t="e">
        <f>IF(OR(LEFT(B4194,FIND("_",B4194,1)-1)="ULGALLOC",LEFT(B4194,FIND("_",B4194,1)-1)="ULSPOOL"),LEFT(B4194,FIND("_",B4194,1)-1),VLOOKUP(LEFT(A4194,6),'Code Library'!$D$3:$E$200,2,0))&amp;"_"&amp;RIGHT(A4194,3)</f>
        <v>#VALUE!</v>
      </c>
      <c r="I4194" s="66">
        <f t="shared" si="65"/>
        <v>0</v>
      </c>
    </row>
    <row r="4195" spans="8:9">
      <c r="H4195" s="66" t="e">
        <f>IF(OR(LEFT(B4195,FIND("_",B4195,1)-1)="ULGALLOC",LEFT(B4195,FIND("_",B4195,1)-1)="ULSPOOL"),LEFT(B4195,FIND("_",B4195,1)-1),VLOOKUP(LEFT(A4195,6),'Code Library'!$D$3:$E$200,2,0))&amp;"_"&amp;RIGHT(A4195,3)</f>
        <v>#VALUE!</v>
      </c>
      <c r="I4195" s="66">
        <f t="shared" si="65"/>
        <v>0</v>
      </c>
    </row>
    <row r="4196" spans="8:9">
      <c r="H4196" s="66" t="e">
        <f>IF(OR(LEFT(B4196,FIND("_",B4196,1)-1)="ULGALLOC",LEFT(B4196,FIND("_",B4196,1)-1)="ULSPOOL"),LEFT(B4196,FIND("_",B4196,1)-1),VLOOKUP(LEFT(A4196,6),'Code Library'!$D$3:$E$200,2,0))&amp;"_"&amp;RIGHT(A4196,3)</f>
        <v>#VALUE!</v>
      </c>
      <c r="I4196" s="66">
        <f t="shared" si="65"/>
        <v>0</v>
      </c>
    </row>
    <row r="4197" spans="8:9">
      <c r="H4197" s="66" t="e">
        <f>IF(OR(LEFT(B4197,FIND("_",B4197,1)-1)="ULGALLOC",LEFT(B4197,FIND("_",B4197,1)-1)="ULSPOOL"),LEFT(B4197,FIND("_",B4197,1)-1),VLOOKUP(LEFT(A4197,6),'Code Library'!$D$3:$E$200,2,0))&amp;"_"&amp;RIGHT(A4197,3)</f>
        <v>#VALUE!</v>
      </c>
      <c r="I4197" s="66">
        <f t="shared" si="65"/>
        <v>0</v>
      </c>
    </row>
    <row r="4198" spans="8:9">
      <c r="H4198" s="66" t="e">
        <f>IF(OR(LEFT(B4198,FIND("_",B4198,1)-1)="ULGALLOC",LEFT(B4198,FIND("_",B4198,1)-1)="ULSPOOL"),LEFT(B4198,FIND("_",B4198,1)-1),VLOOKUP(LEFT(A4198,6),'Code Library'!$D$3:$E$200,2,0))&amp;"_"&amp;RIGHT(A4198,3)</f>
        <v>#VALUE!</v>
      </c>
      <c r="I4198" s="66">
        <f t="shared" si="65"/>
        <v>0</v>
      </c>
    </row>
    <row r="4199" spans="8:9">
      <c r="H4199" s="66" t="e">
        <f>IF(OR(LEFT(B4199,FIND("_",B4199,1)-1)="ULGALLOC",LEFT(B4199,FIND("_",B4199,1)-1)="ULSPOOL"),LEFT(B4199,FIND("_",B4199,1)-1),VLOOKUP(LEFT(A4199,6),'Code Library'!$D$3:$E$200,2,0))&amp;"_"&amp;RIGHT(A4199,3)</f>
        <v>#VALUE!</v>
      </c>
      <c r="I4199" s="66">
        <f t="shared" si="65"/>
        <v>0</v>
      </c>
    </row>
    <row r="4200" spans="8:9">
      <c r="H4200" s="66" t="e">
        <f>IF(OR(LEFT(B4200,FIND("_",B4200,1)-1)="ULGALLOC",LEFT(B4200,FIND("_",B4200,1)-1)="ULSPOOL"),LEFT(B4200,FIND("_",B4200,1)-1),VLOOKUP(LEFT(A4200,6),'Code Library'!$D$3:$E$200,2,0))&amp;"_"&amp;RIGHT(A4200,3)</f>
        <v>#VALUE!</v>
      </c>
      <c r="I4200" s="66">
        <f t="shared" si="65"/>
        <v>0</v>
      </c>
    </row>
    <row r="4201" spans="8:9">
      <c r="H4201" s="66" t="e">
        <f>IF(OR(LEFT(B4201,FIND("_",B4201,1)-1)="ULGALLOC",LEFT(B4201,FIND("_",B4201,1)-1)="ULSPOOL"),LEFT(B4201,FIND("_",B4201,1)-1),VLOOKUP(LEFT(A4201,6),'Code Library'!$D$3:$E$200,2,0))&amp;"_"&amp;RIGHT(A4201,3)</f>
        <v>#VALUE!</v>
      </c>
      <c r="I4201" s="66">
        <f t="shared" si="65"/>
        <v>0</v>
      </c>
    </row>
    <row r="4202" spans="8:9">
      <c r="H4202" s="66" t="e">
        <f>IF(OR(LEFT(B4202,FIND("_",B4202,1)-1)="ULGALLOC",LEFT(B4202,FIND("_",B4202,1)-1)="ULSPOOL"),LEFT(B4202,FIND("_",B4202,1)-1),VLOOKUP(LEFT(A4202,6),'Code Library'!$D$3:$E$200,2,0))&amp;"_"&amp;RIGHT(A4202,3)</f>
        <v>#VALUE!</v>
      </c>
      <c r="I4202" s="66">
        <f t="shared" si="65"/>
        <v>0</v>
      </c>
    </row>
    <row r="4203" spans="8:9">
      <c r="H4203" s="66" t="e">
        <f>IF(OR(LEFT(B4203,FIND("_",B4203,1)-1)="ULGALLOC",LEFT(B4203,FIND("_",B4203,1)-1)="ULSPOOL"),LEFT(B4203,FIND("_",B4203,1)-1),VLOOKUP(LEFT(A4203,6),'Code Library'!$D$3:$E$200,2,0))&amp;"_"&amp;RIGHT(A4203,3)</f>
        <v>#VALUE!</v>
      </c>
      <c r="I4203" s="66">
        <f t="shared" si="65"/>
        <v>0</v>
      </c>
    </row>
    <row r="4204" spans="8:9">
      <c r="H4204" s="66" t="e">
        <f>IF(OR(LEFT(B4204,FIND("_",B4204,1)-1)="ULGALLOC",LEFT(B4204,FIND("_",B4204,1)-1)="ULSPOOL"),LEFT(B4204,FIND("_",B4204,1)-1),VLOOKUP(LEFT(A4204,6),'Code Library'!$D$3:$E$200,2,0))&amp;"_"&amp;RIGHT(A4204,3)</f>
        <v>#VALUE!</v>
      </c>
      <c r="I4204" s="66">
        <f t="shared" si="65"/>
        <v>0</v>
      </c>
    </row>
    <row r="4205" spans="8:9">
      <c r="H4205" s="66" t="e">
        <f>IF(OR(LEFT(B4205,FIND("_",B4205,1)-1)="ULGALLOC",LEFT(B4205,FIND("_",B4205,1)-1)="ULSPOOL"),LEFT(B4205,FIND("_",B4205,1)-1),VLOOKUP(LEFT(A4205,6),'Code Library'!$D$3:$E$200,2,0))&amp;"_"&amp;RIGHT(A4205,3)</f>
        <v>#VALUE!</v>
      </c>
      <c r="I4205" s="66">
        <f t="shared" si="65"/>
        <v>0</v>
      </c>
    </row>
    <row r="4206" spans="8:9">
      <c r="H4206" s="66" t="e">
        <f>IF(OR(LEFT(B4206,FIND("_",B4206,1)-1)="ULGALLOC",LEFT(B4206,FIND("_",B4206,1)-1)="ULSPOOL"),LEFT(B4206,FIND("_",B4206,1)-1),VLOOKUP(LEFT(A4206,6),'Code Library'!$D$3:$E$200,2,0))&amp;"_"&amp;RIGHT(A4206,3)</f>
        <v>#VALUE!</v>
      </c>
      <c r="I4206" s="66">
        <f t="shared" si="65"/>
        <v>0</v>
      </c>
    </row>
    <row r="4207" spans="8:9">
      <c r="H4207" s="66" t="e">
        <f>IF(OR(LEFT(B4207,FIND("_",B4207,1)-1)="ULGALLOC",LEFT(B4207,FIND("_",B4207,1)-1)="ULSPOOL"),LEFT(B4207,FIND("_",B4207,1)-1),VLOOKUP(LEFT(A4207,6),'Code Library'!$D$3:$E$200,2,0))&amp;"_"&amp;RIGHT(A4207,3)</f>
        <v>#VALUE!</v>
      </c>
      <c r="I4207" s="66">
        <f t="shared" si="65"/>
        <v>0</v>
      </c>
    </row>
    <row r="4208" spans="8:9">
      <c r="H4208" s="66" t="e">
        <f>IF(OR(LEFT(B4208,FIND("_",B4208,1)-1)="ULGALLOC",LEFT(B4208,FIND("_",B4208,1)-1)="ULSPOOL"),LEFT(B4208,FIND("_",B4208,1)-1),VLOOKUP(LEFT(A4208,6),'Code Library'!$D$3:$E$200,2,0))&amp;"_"&amp;RIGHT(A4208,3)</f>
        <v>#VALUE!</v>
      </c>
      <c r="I4208" s="66">
        <f t="shared" si="65"/>
        <v>0</v>
      </c>
    </row>
    <row r="4209" spans="8:9">
      <c r="H4209" s="66" t="e">
        <f>IF(OR(LEFT(B4209,FIND("_",B4209,1)-1)="ULGALLOC",LEFT(B4209,FIND("_",B4209,1)-1)="ULSPOOL"),LEFT(B4209,FIND("_",B4209,1)-1),VLOOKUP(LEFT(A4209,6),'Code Library'!$D$3:$E$200,2,0))&amp;"_"&amp;RIGHT(A4209,3)</f>
        <v>#VALUE!</v>
      </c>
      <c r="I4209" s="66">
        <f t="shared" si="65"/>
        <v>0</v>
      </c>
    </row>
    <row r="4210" spans="8:9">
      <c r="H4210" s="66" t="e">
        <f>IF(OR(LEFT(B4210,FIND("_",B4210,1)-1)="ULGALLOC",LEFT(B4210,FIND("_",B4210,1)-1)="ULSPOOL"),LEFT(B4210,FIND("_",B4210,1)-1),VLOOKUP(LEFT(A4210,6),'Code Library'!$D$3:$E$200,2,0))&amp;"_"&amp;RIGHT(A4210,3)</f>
        <v>#VALUE!</v>
      </c>
      <c r="I4210" s="66">
        <f t="shared" si="65"/>
        <v>0</v>
      </c>
    </row>
    <row r="4211" spans="8:9">
      <c r="H4211" s="66" t="e">
        <f>IF(OR(LEFT(B4211,FIND("_",B4211,1)-1)="ULGALLOC",LEFT(B4211,FIND("_",B4211,1)-1)="ULSPOOL"),LEFT(B4211,FIND("_",B4211,1)-1),VLOOKUP(LEFT(A4211,6),'Code Library'!$D$3:$E$200,2,0))&amp;"_"&amp;RIGHT(A4211,3)</f>
        <v>#VALUE!</v>
      </c>
      <c r="I4211" s="66">
        <f t="shared" si="65"/>
        <v>0</v>
      </c>
    </row>
    <row r="4212" spans="8:9">
      <c r="H4212" s="66" t="e">
        <f>IF(OR(LEFT(B4212,FIND("_",B4212,1)-1)="ULGALLOC",LEFT(B4212,FIND("_",B4212,1)-1)="ULSPOOL"),LEFT(B4212,FIND("_",B4212,1)-1),VLOOKUP(LEFT(A4212,6),'Code Library'!$D$3:$E$200,2,0))&amp;"_"&amp;RIGHT(A4212,3)</f>
        <v>#VALUE!</v>
      </c>
      <c r="I4212" s="66">
        <f t="shared" si="65"/>
        <v>0</v>
      </c>
    </row>
    <row r="4213" spans="8:9">
      <c r="H4213" s="66" t="e">
        <f>IF(OR(LEFT(B4213,FIND("_",B4213,1)-1)="ULGALLOC",LEFT(B4213,FIND("_",B4213,1)-1)="ULSPOOL"),LEFT(B4213,FIND("_",B4213,1)-1),VLOOKUP(LEFT(A4213,6),'Code Library'!$D$3:$E$200,2,0))&amp;"_"&amp;RIGHT(A4213,3)</f>
        <v>#VALUE!</v>
      </c>
      <c r="I4213" s="66">
        <f t="shared" si="65"/>
        <v>0</v>
      </c>
    </row>
    <row r="4214" spans="8:9">
      <c r="H4214" s="66" t="e">
        <f>IF(OR(LEFT(B4214,FIND("_",B4214,1)-1)="ULGALLOC",LEFT(B4214,FIND("_",B4214,1)-1)="ULSPOOL"),LEFT(B4214,FIND("_",B4214,1)-1),VLOOKUP(LEFT(A4214,6),'Code Library'!$D$3:$E$200,2,0))&amp;"_"&amp;RIGHT(A4214,3)</f>
        <v>#VALUE!</v>
      </c>
      <c r="I4214" s="66">
        <f t="shared" si="65"/>
        <v>0</v>
      </c>
    </row>
    <row r="4215" spans="8:9">
      <c r="H4215" s="66" t="e">
        <f>IF(OR(LEFT(B4215,FIND("_",B4215,1)-1)="ULGALLOC",LEFT(B4215,FIND("_",B4215,1)-1)="ULSPOOL"),LEFT(B4215,FIND("_",B4215,1)-1),VLOOKUP(LEFT(A4215,6),'Code Library'!$D$3:$E$200,2,0))&amp;"_"&amp;RIGHT(A4215,3)</f>
        <v>#VALUE!</v>
      </c>
      <c r="I4215" s="66">
        <f t="shared" si="65"/>
        <v>0</v>
      </c>
    </row>
    <row r="4216" spans="8:9">
      <c r="H4216" s="66" t="e">
        <f>IF(OR(LEFT(B4216,FIND("_",B4216,1)-1)="ULGALLOC",LEFT(B4216,FIND("_",B4216,1)-1)="ULSPOOL"),LEFT(B4216,FIND("_",B4216,1)-1),VLOOKUP(LEFT(A4216,6),'Code Library'!$D$3:$E$200,2,0))&amp;"_"&amp;RIGHT(A4216,3)</f>
        <v>#VALUE!</v>
      </c>
      <c r="I4216" s="66">
        <f t="shared" si="65"/>
        <v>0</v>
      </c>
    </row>
    <row r="4217" spans="8:9">
      <c r="H4217" s="66" t="e">
        <f>IF(OR(LEFT(B4217,FIND("_",B4217,1)-1)="ULGALLOC",LEFT(B4217,FIND("_",B4217,1)-1)="ULSPOOL"),LEFT(B4217,FIND("_",B4217,1)-1),VLOOKUP(LEFT(A4217,6),'Code Library'!$D$3:$E$200,2,0))&amp;"_"&amp;RIGHT(A4217,3)</f>
        <v>#VALUE!</v>
      </c>
      <c r="I4217" s="66">
        <f t="shared" si="65"/>
        <v>0</v>
      </c>
    </row>
    <row r="4218" spans="8:9">
      <c r="H4218" s="66" t="e">
        <f>IF(OR(LEFT(B4218,FIND("_",B4218,1)-1)="ULGALLOC",LEFT(B4218,FIND("_",B4218,1)-1)="ULSPOOL"),LEFT(B4218,FIND("_",B4218,1)-1),VLOOKUP(LEFT(A4218,6),'Code Library'!$D$3:$E$200,2,0))&amp;"_"&amp;RIGHT(A4218,3)</f>
        <v>#VALUE!</v>
      </c>
      <c r="I4218" s="66">
        <f t="shared" si="65"/>
        <v>0</v>
      </c>
    </row>
    <row r="4219" spans="8:9">
      <c r="H4219" s="66" t="e">
        <f>IF(OR(LEFT(B4219,FIND("_",B4219,1)-1)="ULGALLOC",LEFT(B4219,FIND("_",B4219,1)-1)="ULSPOOL"),LEFT(B4219,FIND("_",B4219,1)-1),VLOOKUP(LEFT(A4219,6),'Code Library'!$D$3:$E$200,2,0))&amp;"_"&amp;RIGHT(A4219,3)</f>
        <v>#VALUE!</v>
      </c>
      <c r="I4219" s="66">
        <f t="shared" si="65"/>
        <v>0</v>
      </c>
    </row>
    <row r="4220" spans="8:9">
      <c r="H4220" s="66" t="e">
        <f>IF(OR(LEFT(B4220,FIND("_",B4220,1)-1)="ULGALLOC",LEFT(B4220,FIND("_",B4220,1)-1)="ULSPOOL"),LEFT(B4220,FIND("_",B4220,1)-1),VLOOKUP(LEFT(A4220,6),'Code Library'!$D$3:$E$200,2,0))&amp;"_"&amp;RIGHT(A4220,3)</f>
        <v>#VALUE!</v>
      </c>
      <c r="I4220" s="66">
        <f t="shared" si="65"/>
        <v>0</v>
      </c>
    </row>
    <row r="4221" spans="8:9">
      <c r="H4221" s="66" t="e">
        <f>IF(OR(LEFT(B4221,FIND("_",B4221,1)-1)="ULGALLOC",LEFT(B4221,FIND("_",B4221,1)-1)="ULSPOOL"),LEFT(B4221,FIND("_",B4221,1)-1),VLOOKUP(LEFT(A4221,6),'Code Library'!$D$3:$E$200,2,0))&amp;"_"&amp;RIGHT(A4221,3)</f>
        <v>#VALUE!</v>
      </c>
      <c r="I4221" s="66">
        <f t="shared" si="65"/>
        <v>0</v>
      </c>
    </row>
    <row r="4222" spans="8:9">
      <c r="H4222" s="66" t="e">
        <f>IF(OR(LEFT(B4222,FIND("_",B4222,1)-1)="ULGALLOC",LEFT(B4222,FIND("_",B4222,1)-1)="ULSPOOL"),LEFT(B4222,FIND("_",B4222,1)-1),VLOOKUP(LEFT(A4222,6),'Code Library'!$D$3:$E$200,2,0))&amp;"_"&amp;RIGHT(A4222,3)</f>
        <v>#VALUE!</v>
      </c>
      <c r="I4222" s="66">
        <f t="shared" si="65"/>
        <v>0</v>
      </c>
    </row>
    <row r="4223" spans="8:9">
      <c r="H4223" s="66" t="e">
        <f>IF(OR(LEFT(B4223,FIND("_",B4223,1)-1)="ULGALLOC",LEFT(B4223,FIND("_",B4223,1)-1)="ULSPOOL"),LEFT(B4223,FIND("_",B4223,1)-1),VLOOKUP(LEFT(A4223,6),'Code Library'!$D$3:$E$200,2,0))&amp;"_"&amp;RIGHT(A4223,3)</f>
        <v>#VALUE!</v>
      </c>
      <c r="I4223" s="66">
        <f t="shared" si="65"/>
        <v>0</v>
      </c>
    </row>
    <row r="4224" spans="8:9">
      <c r="H4224" s="66" t="e">
        <f>IF(OR(LEFT(B4224,FIND("_",B4224,1)-1)="ULGALLOC",LEFT(B4224,FIND("_",B4224,1)-1)="ULSPOOL"),LEFT(B4224,FIND("_",B4224,1)-1),VLOOKUP(LEFT(A4224,6),'Code Library'!$D$3:$E$200,2,0))&amp;"_"&amp;RIGHT(A4224,3)</f>
        <v>#VALUE!</v>
      </c>
      <c r="I4224" s="66">
        <f t="shared" si="65"/>
        <v>0</v>
      </c>
    </row>
    <row r="4225" spans="8:9">
      <c r="H4225" s="66" t="e">
        <f>IF(OR(LEFT(B4225,FIND("_",B4225,1)-1)="ULGALLOC",LEFT(B4225,FIND("_",B4225,1)-1)="ULSPOOL"),LEFT(B4225,FIND("_",B4225,1)-1),VLOOKUP(LEFT(A4225,6),'Code Library'!$D$3:$E$200,2,0))&amp;"_"&amp;RIGHT(A4225,3)</f>
        <v>#VALUE!</v>
      </c>
      <c r="I4225" s="66">
        <f t="shared" si="65"/>
        <v>0</v>
      </c>
    </row>
    <row r="4226" spans="8:9">
      <c r="H4226" s="66" t="e">
        <f>IF(OR(LEFT(B4226,FIND("_",B4226,1)-1)="ULGALLOC",LEFT(B4226,FIND("_",B4226,1)-1)="ULSPOOL"),LEFT(B4226,FIND("_",B4226,1)-1),VLOOKUP(LEFT(A4226,6),'Code Library'!$D$3:$E$200,2,0))&amp;"_"&amp;RIGHT(A4226,3)</f>
        <v>#VALUE!</v>
      </c>
      <c r="I4226" s="66">
        <f t="shared" si="65"/>
        <v>0</v>
      </c>
    </row>
    <row r="4227" spans="8:9">
      <c r="H4227" s="66" t="e">
        <f>IF(OR(LEFT(B4227,FIND("_",B4227,1)-1)="ULGALLOC",LEFT(B4227,FIND("_",B4227,1)-1)="ULSPOOL"),LEFT(B4227,FIND("_",B4227,1)-1),VLOOKUP(LEFT(A4227,6),'Code Library'!$D$3:$E$200,2,0))&amp;"_"&amp;RIGHT(A4227,3)</f>
        <v>#VALUE!</v>
      </c>
      <c r="I4227" s="66">
        <f t="shared" ref="I4227:I4290" si="66">A4227</f>
        <v>0</v>
      </c>
    </row>
    <row r="4228" spans="8:9">
      <c r="H4228" s="66" t="e">
        <f>IF(OR(LEFT(B4228,FIND("_",B4228,1)-1)="ULGALLOC",LEFT(B4228,FIND("_",B4228,1)-1)="ULSPOOL"),LEFT(B4228,FIND("_",B4228,1)-1),VLOOKUP(LEFT(A4228,6),'Code Library'!$D$3:$E$200,2,0))&amp;"_"&amp;RIGHT(A4228,3)</f>
        <v>#VALUE!</v>
      </c>
      <c r="I4228" s="66">
        <f t="shared" si="66"/>
        <v>0</v>
      </c>
    </row>
    <row r="4229" spans="8:9">
      <c r="H4229" s="66" t="e">
        <f>IF(OR(LEFT(B4229,FIND("_",B4229,1)-1)="ULGALLOC",LEFT(B4229,FIND("_",B4229,1)-1)="ULSPOOL"),LEFT(B4229,FIND("_",B4229,1)-1),VLOOKUP(LEFT(A4229,6),'Code Library'!$D$3:$E$200,2,0))&amp;"_"&amp;RIGHT(A4229,3)</f>
        <v>#VALUE!</v>
      </c>
      <c r="I4229" s="66">
        <f t="shared" si="66"/>
        <v>0</v>
      </c>
    </row>
    <row r="4230" spans="8:9">
      <c r="H4230" s="66" t="e">
        <f>IF(OR(LEFT(B4230,FIND("_",B4230,1)-1)="ULGALLOC",LEFT(B4230,FIND("_",B4230,1)-1)="ULSPOOL"),LEFT(B4230,FIND("_",B4230,1)-1),VLOOKUP(LEFT(A4230,6),'Code Library'!$D$3:$E$200,2,0))&amp;"_"&amp;RIGHT(A4230,3)</f>
        <v>#VALUE!</v>
      </c>
      <c r="I4230" s="66">
        <f t="shared" si="66"/>
        <v>0</v>
      </c>
    </row>
    <row r="4231" spans="8:9">
      <c r="H4231" s="66" t="e">
        <f>IF(OR(LEFT(B4231,FIND("_",B4231,1)-1)="ULGALLOC",LEFT(B4231,FIND("_",B4231,1)-1)="ULSPOOL"),LEFT(B4231,FIND("_",B4231,1)-1),VLOOKUP(LEFT(A4231,6),'Code Library'!$D$3:$E$200,2,0))&amp;"_"&amp;RIGHT(A4231,3)</f>
        <v>#VALUE!</v>
      </c>
      <c r="I4231" s="66">
        <f t="shared" si="66"/>
        <v>0</v>
      </c>
    </row>
    <row r="4232" spans="8:9">
      <c r="H4232" s="66" t="e">
        <f>IF(OR(LEFT(B4232,FIND("_",B4232,1)-1)="ULGALLOC",LEFT(B4232,FIND("_",B4232,1)-1)="ULSPOOL"),LEFT(B4232,FIND("_",B4232,1)-1),VLOOKUP(LEFT(A4232,6),'Code Library'!$D$3:$E$200,2,0))&amp;"_"&amp;RIGHT(A4232,3)</f>
        <v>#VALUE!</v>
      </c>
      <c r="I4232" s="66">
        <f t="shared" si="66"/>
        <v>0</v>
      </c>
    </row>
    <row r="4233" spans="8:9">
      <c r="H4233" s="66" t="e">
        <f>IF(OR(LEFT(B4233,FIND("_",B4233,1)-1)="ULGALLOC",LEFT(B4233,FIND("_",B4233,1)-1)="ULSPOOL"),LEFT(B4233,FIND("_",B4233,1)-1),VLOOKUP(LEFT(A4233,6),'Code Library'!$D$3:$E$200,2,0))&amp;"_"&amp;RIGHT(A4233,3)</f>
        <v>#VALUE!</v>
      </c>
      <c r="I4233" s="66">
        <f t="shared" si="66"/>
        <v>0</v>
      </c>
    </row>
    <row r="4234" spans="8:9">
      <c r="H4234" s="66" t="e">
        <f>IF(OR(LEFT(B4234,FIND("_",B4234,1)-1)="ULGALLOC",LEFT(B4234,FIND("_",B4234,1)-1)="ULSPOOL"),LEFT(B4234,FIND("_",B4234,1)-1),VLOOKUP(LEFT(A4234,6),'Code Library'!$D$3:$E$200,2,0))&amp;"_"&amp;RIGHT(A4234,3)</f>
        <v>#VALUE!</v>
      </c>
      <c r="I4234" s="66">
        <f t="shared" si="66"/>
        <v>0</v>
      </c>
    </row>
    <row r="4235" spans="8:9">
      <c r="H4235" s="66" t="e">
        <f>IF(OR(LEFT(B4235,FIND("_",B4235,1)-1)="ULGALLOC",LEFT(B4235,FIND("_",B4235,1)-1)="ULSPOOL"),LEFT(B4235,FIND("_",B4235,1)-1),VLOOKUP(LEFT(A4235,6),'Code Library'!$D$3:$E$200,2,0))&amp;"_"&amp;RIGHT(A4235,3)</f>
        <v>#VALUE!</v>
      </c>
      <c r="I4235" s="66">
        <f t="shared" si="66"/>
        <v>0</v>
      </c>
    </row>
    <row r="4236" spans="8:9">
      <c r="H4236" s="66" t="e">
        <f>IF(OR(LEFT(B4236,FIND("_",B4236,1)-1)="ULGALLOC",LEFT(B4236,FIND("_",B4236,1)-1)="ULSPOOL"),LEFT(B4236,FIND("_",B4236,1)-1),VLOOKUP(LEFT(A4236,6),'Code Library'!$D$3:$E$200,2,0))&amp;"_"&amp;RIGHT(A4236,3)</f>
        <v>#VALUE!</v>
      </c>
      <c r="I4236" s="66">
        <f t="shared" si="66"/>
        <v>0</v>
      </c>
    </row>
    <row r="4237" spans="8:9">
      <c r="H4237" s="66" t="e">
        <f>IF(OR(LEFT(B4237,FIND("_",B4237,1)-1)="ULGALLOC",LEFT(B4237,FIND("_",B4237,1)-1)="ULSPOOL"),LEFT(B4237,FIND("_",B4237,1)-1),VLOOKUP(LEFT(A4237,6),'Code Library'!$D$3:$E$200,2,0))&amp;"_"&amp;RIGHT(A4237,3)</f>
        <v>#VALUE!</v>
      </c>
      <c r="I4237" s="66">
        <f t="shared" si="66"/>
        <v>0</v>
      </c>
    </row>
    <row r="4238" spans="8:9">
      <c r="H4238" s="66" t="e">
        <f>IF(OR(LEFT(B4238,FIND("_",B4238,1)-1)="ULGALLOC",LEFT(B4238,FIND("_",B4238,1)-1)="ULSPOOL"),LEFT(B4238,FIND("_",B4238,1)-1),VLOOKUP(LEFT(A4238,6),'Code Library'!$D$3:$E$200,2,0))&amp;"_"&amp;RIGHT(A4238,3)</f>
        <v>#VALUE!</v>
      </c>
      <c r="I4238" s="66">
        <f t="shared" si="66"/>
        <v>0</v>
      </c>
    </row>
    <row r="4239" spans="8:9">
      <c r="H4239" s="66" t="e">
        <f>IF(OR(LEFT(B4239,FIND("_",B4239,1)-1)="ULGALLOC",LEFT(B4239,FIND("_",B4239,1)-1)="ULSPOOL"),LEFT(B4239,FIND("_",B4239,1)-1),VLOOKUP(LEFT(A4239,6),'Code Library'!$D$3:$E$200,2,0))&amp;"_"&amp;RIGHT(A4239,3)</f>
        <v>#VALUE!</v>
      </c>
      <c r="I4239" s="66">
        <f t="shared" si="66"/>
        <v>0</v>
      </c>
    </row>
    <row r="4240" spans="8:9">
      <c r="H4240" s="66" t="e">
        <f>IF(OR(LEFT(B4240,FIND("_",B4240,1)-1)="ULGALLOC",LEFT(B4240,FIND("_",B4240,1)-1)="ULSPOOL"),LEFT(B4240,FIND("_",B4240,1)-1),VLOOKUP(LEFT(A4240,6),'Code Library'!$D$3:$E$200,2,0))&amp;"_"&amp;RIGHT(A4240,3)</f>
        <v>#VALUE!</v>
      </c>
      <c r="I4240" s="66">
        <f t="shared" si="66"/>
        <v>0</v>
      </c>
    </row>
    <row r="4241" spans="8:9">
      <c r="H4241" s="66" t="e">
        <f>IF(OR(LEFT(B4241,FIND("_",B4241,1)-1)="ULGALLOC",LEFT(B4241,FIND("_",B4241,1)-1)="ULSPOOL"),LEFT(B4241,FIND("_",B4241,1)-1),VLOOKUP(LEFT(A4241,6),'Code Library'!$D$3:$E$200,2,0))&amp;"_"&amp;RIGHT(A4241,3)</f>
        <v>#VALUE!</v>
      </c>
      <c r="I4241" s="66">
        <f t="shared" si="66"/>
        <v>0</v>
      </c>
    </row>
    <row r="4242" spans="8:9">
      <c r="H4242" s="66" t="e">
        <f>IF(OR(LEFT(B4242,FIND("_",B4242,1)-1)="ULGALLOC",LEFT(B4242,FIND("_",B4242,1)-1)="ULSPOOL"),LEFT(B4242,FIND("_",B4242,1)-1),VLOOKUP(LEFT(A4242,6),'Code Library'!$D$3:$E$200,2,0))&amp;"_"&amp;RIGHT(A4242,3)</f>
        <v>#VALUE!</v>
      </c>
      <c r="I4242" s="66">
        <f t="shared" si="66"/>
        <v>0</v>
      </c>
    </row>
    <row r="4243" spans="8:9">
      <c r="H4243" s="66" t="e">
        <f>IF(OR(LEFT(B4243,FIND("_",B4243,1)-1)="ULGALLOC",LEFT(B4243,FIND("_",B4243,1)-1)="ULSPOOL"),LEFT(B4243,FIND("_",B4243,1)-1),VLOOKUP(LEFT(A4243,6),'Code Library'!$D$3:$E$200,2,0))&amp;"_"&amp;RIGHT(A4243,3)</f>
        <v>#VALUE!</v>
      </c>
      <c r="I4243" s="66">
        <f t="shared" si="66"/>
        <v>0</v>
      </c>
    </row>
    <row r="4244" spans="8:9">
      <c r="H4244" s="66" t="e">
        <f>IF(OR(LEFT(B4244,FIND("_",B4244,1)-1)="ULGALLOC",LEFT(B4244,FIND("_",B4244,1)-1)="ULSPOOL"),LEFT(B4244,FIND("_",B4244,1)-1),VLOOKUP(LEFT(A4244,6),'Code Library'!$D$3:$E$200,2,0))&amp;"_"&amp;RIGHT(A4244,3)</f>
        <v>#VALUE!</v>
      </c>
      <c r="I4244" s="66">
        <f t="shared" si="66"/>
        <v>0</v>
      </c>
    </row>
    <row r="4245" spans="8:9">
      <c r="H4245" s="66" t="e">
        <f>IF(OR(LEFT(B4245,FIND("_",B4245,1)-1)="ULGALLOC",LEFT(B4245,FIND("_",B4245,1)-1)="ULSPOOL"),LEFT(B4245,FIND("_",B4245,1)-1),VLOOKUP(LEFT(A4245,6),'Code Library'!$D$3:$E$200,2,0))&amp;"_"&amp;RIGHT(A4245,3)</f>
        <v>#VALUE!</v>
      </c>
      <c r="I4245" s="66">
        <f t="shared" si="66"/>
        <v>0</v>
      </c>
    </row>
    <row r="4246" spans="8:9">
      <c r="H4246" s="66" t="e">
        <f>IF(OR(LEFT(B4246,FIND("_",B4246,1)-1)="ULGALLOC",LEFT(B4246,FIND("_",B4246,1)-1)="ULSPOOL"),LEFT(B4246,FIND("_",B4246,1)-1),VLOOKUP(LEFT(A4246,6),'Code Library'!$D$3:$E$200,2,0))&amp;"_"&amp;RIGHT(A4246,3)</f>
        <v>#VALUE!</v>
      </c>
      <c r="I4246" s="66">
        <f t="shared" si="66"/>
        <v>0</v>
      </c>
    </row>
    <row r="4247" spans="8:9">
      <c r="H4247" s="66" t="e">
        <f>IF(OR(LEFT(B4247,FIND("_",B4247,1)-1)="ULGALLOC",LEFT(B4247,FIND("_",B4247,1)-1)="ULSPOOL"),LEFT(B4247,FIND("_",B4247,1)-1),VLOOKUP(LEFT(A4247,6),'Code Library'!$D$3:$E$200,2,0))&amp;"_"&amp;RIGHT(A4247,3)</f>
        <v>#VALUE!</v>
      </c>
      <c r="I4247" s="66">
        <f t="shared" si="66"/>
        <v>0</v>
      </c>
    </row>
    <row r="4248" spans="8:9">
      <c r="H4248" s="66" t="e">
        <f>IF(OR(LEFT(B4248,FIND("_",B4248,1)-1)="ULGALLOC",LEFT(B4248,FIND("_",B4248,1)-1)="ULSPOOL"),LEFT(B4248,FIND("_",B4248,1)-1),VLOOKUP(LEFT(A4248,6),'Code Library'!$D$3:$E$200,2,0))&amp;"_"&amp;RIGHT(A4248,3)</f>
        <v>#VALUE!</v>
      </c>
      <c r="I4248" s="66">
        <f t="shared" si="66"/>
        <v>0</v>
      </c>
    </row>
    <row r="4249" spans="8:9">
      <c r="H4249" s="66" t="e">
        <f>IF(OR(LEFT(B4249,FIND("_",B4249,1)-1)="ULGALLOC",LEFT(B4249,FIND("_",B4249,1)-1)="ULSPOOL"),LEFT(B4249,FIND("_",B4249,1)-1),VLOOKUP(LEFT(A4249,6),'Code Library'!$D$3:$E$200,2,0))&amp;"_"&amp;RIGHT(A4249,3)</f>
        <v>#VALUE!</v>
      </c>
      <c r="I4249" s="66">
        <f t="shared" si="66"/>
        <v>0</v>
      </c>
    </row>
    <row r="4250" spans="8:9">
      <c r="H4250" s="66" t="e">
        <f>IF(OR(LEFT(B4250,FIND("_",B4250,1)-1)="ULGALLOC",LEFT(B4250,FIND("_",B4250,1)-1)="ULSPOOL"),LEFT(B4250,FIND("_",B4250,1)-1),VLOOKUP(LEFT(A4250,6),'Code Library'!$D$3:$E$200,2,0))&amp;"_"&amp;RIGHT(A4250,3)</f>
        <v>#VALUE!</v>
      </c>
      <c r="I4250" s="66">
        <f t="shared" si="66"/>
        <v>0</v>
      </c>
    </row>
    <row r="4251" spans="8:9">
      <c r="H4251" s="66" t="e">
        <f>IF(OR(LEFT(B4251,FIND("_",B4251,1)-1)="ULGALLOC",LEFT(B4251,FIND("_",B4251,1)-1)="ULSPOOL"),LEFT(B4251,FIND("_",B4251,1)-1),VLOOKUP(LEFT(A4251,6),'Code Library'!$D$3:$E$200,2,0))&amp;"_"&amp;RIGHT(A4251,3)</f>
        <v>#VALUE!</v>
      </c>
      <c r="I4251" s="66">
        <f t="shared" si="66"/>
        <v>0</v>
      </c>
    </row>
    <row r="4252" spans="8:9">
      <c r="H4252" s="66" t="e">
        <f>IF(OR(LEFT(B4252,FIND("_",B4252,1)-1)="ULGALLOC",LEFT(B4252,FIND("_",B4252,1)-1)="ULSPOOL"),LEFT(B4252,FIND("_",B4252,1)-1),VLOOKUP(LEFT(A4252,6),'Code Library'!$D$3:$E$200,2,0))&amp;"_"&amp;RIGHT(A4252,3)</f>
        <v>#VALUE!</v>
      </c>
      <c r="I4252" s="66">
        <f t="shared" si="66"/>
        <v>0</v>
      </c>
    </row>
    <row r="4253" spans="8:9">
      <c r="H4253" s="66" t="e">
        <f>IF(OR(LEFT(B4253,FIND("_",B4253,1)-1)="ULGALLOC",LEFT(B4253,FIND("_",B4253,1)-1)="ULSPOOL"),LEFT(B4253,FIND("_",B4253,1)-1),VLOOKUP(LEFT(A4253,6),'Code Library'!$D$3:$E$200,2,0))&amp;"_"&amp;RIGHT(A4253,3)</f>
        <v>#VALUE!</v>
      </c>
      <c r="I4253" s="66">
        <f t="shared" si="66"/>
        <v>0</v>
      </c>
    </row>
    <row r="4254" spans="8:9">
      <c r="H4254" s="66" t="e">
        <f>IF(OR(LEFT(B4254,FIND("_",B4254,1)-1)="ULGALLOC",LEFT(B4254,FIND("_",B4254,1)-1)="ULSPOOL"),LEFT(B4254,FIND("_",B4254,1)-1),VLOOKUP(LEFT(A4254,6),'Code Library'!$D$3:$E$200,2,0))&amp;"_"&amp;RIGHT(A4254,3)</f>
        <v>#VALUE!</v>
      </c>
      <c r="I4254" s="66">
        <f t="shared" si="66"/>
        <v>0</v>
      </c>
    </row>
    <row r="4255" spans="8:9">
      <c r="H4255" s="66" t="e">
        <f>IF(OR(LEFT(B4255,FIND("_",B4255,1)-1)="ULGALLOC",LEFT(B4255,FIND("_",B4255,1)-1)="ULSPOOL"),LEFT(B4255,FIND("_",B4255,1)-1),VLOOKUP(LEFT(A4255,6),'Code Library'!$D$3:$E$200,2,0))&amp;"_"&amp;RIGHT(A4255,3)</f>
        <v>#VALUE!</v>
      </c>
      <c r="I4255" s="66">
        <f t="shared" si="66"/>
        <v>0</v>
      </c>
    </row>
    <row r="4256" spans="8:9">
      <c r="H4256" s="66" t="e">
        <f>IF(OR(LEFT(B4256,FIND("_",B4256,1)-1)="ULGALLOC",LEFT(B4256,FIND("_",B4256,1)-1)="ULSPOOL"),LEFT(B4256,FIND("_",B4256,1)-1),VLOOKUP(LEFT(A4256,6),'Code Library'!$D$3:$E$200,2,0))&amp;"_"&amp;RIGHT(A4256,3)</f>
        <v>#VALUE!</v>
      </c>
      <c r="I4256" s="66">
        <f t="shared" si="66"/>
        <v>0</v>
      </c>
    </row>
    <row r="4257" spans="8:9">
      <c r="H4257" s="66" t="e">
        <f>IF(OR(LEFT(B4257,FIND("_",B4257,1)-1)="ULGALLOC",LEFT(B4257,FIND("_",B4257,1)-1)="ULSPOOL"),LEFT(B4257,FIND("_",B4257,1)-1),VLOOKUP(LEFT(A4257,6),'Code Library'!$D$3:$E$200,2,0))&amp;"_"&amp;RIGHT(A4257,3)</f>
        <v>#VALUE!</v>
      </c>
      <c r="I4257" s="66">
        <f t="shared" si="66"/>
        <v>0</v>
      </c>
    </row>
    <row r="4258" spans="8:9">
      <c r="H4258" s="66" t="e">
        <f>IF(OR(LEFT(B4258,FIND("_",B4258,1)-1)="ULGALLOC",LEFT(B4258,FIND("_",B4258,1)-1)="ULSPOOL"),LEFT(B4258,FIND("_",B4258,1)-1),VLOOKUP(LEFT(A4258,6),'Code Library'!$D$3:$E$200,2,0))&amp;"_"&amp;RIGHT(A4258,3)</f>
        <v>#VALUE!</v>
      </c>
      <c r="I4258" s="66">
        <f t="shared" si="66"/>
        <v>0</v>
      </c>
    </row>
    <row r="4259" spans="8:9">
      <c r="H4259" s="66" t="e">
        <f>IF(OR(LEFT(B4259,FIND("_",B4259,1)-1)="ULGALLOC",LEFT(B4259,FIND("_",B4259,1)-1)="ULSPOOL"),LEFT(B4259,FIND("_",B4259,1)-1),VLOOKUP(LEFT(A4259,6),'Code Library'!$D$3:$E$200,2,0))&amp;"_"&amp;RIGHT(A4259,3)</f>
        <v>#VALUE!</v>
      </c>
      <c r="I4259" s="66">
        <f t="shared" si="66"/>
        <v>0</v>
      </c>
    </row>
    <row r="4260" spans="8:9">
      <c r="H4260" s="66" t="e">
        <f>IF(OR(LEFT(B4260,FIND("_",B4260,1)-1)="ULGALLOC",LEFT(B4260,FIND("_",B4260,1)-1)="ULSPOOL"),LEFT(B4260,FIND("_",B4260,1)-1),VLOOKUP(LEFT(A4260,6),'Code Library'!$D$3:$E$200,2,0))&amp;"_"&amp;RIGHT(A4260,3)</f>
        <v>#VALUE!</v>
      </c>
      <c r="I4260" s="66">
        <f t="shared" si="66"/>
        <v>0</v>
      </c>
    </row>
    <row r="4261" spans="8:9">
      <c r="H4261" s="66" t="e">
        <f>IF(OR(LEFT(B4261,FIND("_",B4261,1)-1)="ULGALLOC",LEFT(B4261,FIND("_",B4261,1)-1)="ULSPOOL"),LEFT(B4261,FIND("_",B4261,1)-1),VLOOKUP(LEFT(A4261,6),'Code Library'!$D$3:$E$200,2,0))&amp;"_"&amp;RIGHT(A4261,3)</f>
        <v>#VALUE!</v>
      </c>
      <c r="I4261" s="66">
        <f t="shared" si="66"/>
        <v>0</v>
      </c>
    </row>
    <row r="4262" spans="8:9">
      <c r="H4262" s="66" t="e">
        <f>IF(OR(LEFT(B4262,FIND("_",B4262,1)-1)="ULGALLOC",LEFT(B4262,FIND("_",B4262,1)-1)="ULSPOOL"),LEFT(B4262,FIND("_",B4262,1)-1),VLOOKUP(LEFT(A4262,6),'Code Library'!$D$3:$E$200,2,0))&amp;"_"&amp;RIGHT(A4262,3)</f>
        <v>#VALUE!</v>
      </c>
      <c r="I4262" s="66">
        <f t="shared" si="66"/>
        <v>0</v>
      </c>
    </row>
    <row r="4263" spans="8:9">
      <c r="H4263" s="66" t="e">
        <f>IF(OR(LEFT(B4263,FIND("_",B4263,1)-1)="ULGALLOC",LEFT(B4263,FIND("_",B4263,1)-1)="ULSPOOL"),LEFT(B4263,FIND("_",B4263,1)-1),VLOOKUP(LEFT(A4263,6),'Code Library'!$D$3:$E$200,2,0))&amp;"_"&amp;RIGHT(A4263,3)</f>
        <v>#VALUE!</v>
      </c>
      <c r="I4263" s="66">
        <f t="shared" si="66"/>
        <v>0</v>
      </c>
    </row>
    <row r="4264" spans="8:9">
      <c r="H4264" s="66" t="e">
        <f>IF(OR(LEFT(B4264,FIND("_",B4264,1)-1)="ULGALLOC",LEFT(B4264,FIND("_",B4264,1)-1)="ULSPOOL"),LEFT(B4264,FIND("_",B4264,1)-1),VLOOKUP(LEFT(A4264,6),'Code Library'!$D$3:$E$200,2,0))&amp;"_"&amp;RIGHT(A4264,3)</f>
        <v>#VALUE!</v>
      </c>
      <c r="I4264" s="66">
        <f t="shared" si="66"/>
        <v>0</v>
      </c>
    </row>
    <row r="4265" spans="8:9">
      <c r="H4265" s="66" t="e">
        <f>IF(OR(LEFT(B4265,FIND("_",B4265,1)-1)="ULGALLOC",LEFT(B4265,FIND("_",B4265,1)-1)="ULSPOOL"),LEFT(B4265,FIND("_",B4265,1)-1),VLOOKUP(LEFT(A4265,6),'Code Library'!$D$3:$E$200,2,0))&amp;"_"&amp;RIGHT(A4265,3)</f>
        <v>#VALUE!</v>
      </c>
      <c r="I4265" s="66">
        <f t="shared" si="66"/>
        <v>0</v>
      </c>
    </row>
    <row r="4266" spans="8:9">
      <c r="H4266" s="66" t="e">
        <f>IF(OR(LEFT(B4266,FIND("_",B4266,1)-1)="ULGALLOC",LEFT(B4266,FIND("_",B4266,1)-1)="ULSPOOL"),LEFT(B4266,FIND("_",B4266,1)-1),VLOOKUP(LEFT(A4266,6),'Code Library'!$D$3:$E$200,2,0))&amp;"_"&amp;RIGHT(A4266,3)</f>
        <v>#VALUE!</v>
      </c>
      <c r="I4266" s="66">
        <f t="shared" si="66"/>
        <v>0</v>
      </c>
    </row>
    <row r="4267" spans="8:9">
      <c r="H4267" s="66" t="e">
        <f>IF(OR(LEFT(B4267,FIND("_",B4267,1)-1)="ULGALLOC",LEFT(B4267,FIND("_",B4267,1)-1)="ULSPOOL"),LEFT(B4267,FIND("_",B4267,1)-1),VLOOKUP(LEFT(A4267,6),'Code Library'!$D$3:$E$200,2,0))&amp;"_"&amp;RIGHT(A4267,3)</f>
        <v>#VALUE!</v>
      </c>
      <c r="I4267" s="66">
        <f t="shared" si="66"/>
        <v>0</v>
      </c>
    </row>
    <row r="4268" spans="8:9">
      <c r="H4268" s="66" t="e">
        <f>IF(OR(LEFT(B4268,FIND("_",B4268,1)-1)="ULGALLOC",LEFT(B4268,FIND("_",B4268,1)-1)="ULSPOOL"),LEFT(B4268,FIND("_",B4268,1)-1),VLOOKUP(LEFT(A4268,6),'Code Library'!$D$3:$E$200,2,0))&amp;"_"&amp;RIGHT(A4268,3)</f>
        <v>#VALUE!</v>
      </c>
      <c r="I4268" s="66">
        <f t="shared" si="66"/>
        <v>0</v>
      </c>
    </row>
    <row r="4269" spans="8:9">
      <c r="H4269" s="66" t="e">
        <f>IF(OR(LEFT(B4269,FIND("_",B4269,1)-1)="ULGALLOC",LEFT(B4269,FIND("_",B4269,1)-1)="ULSPOOL"),LEFT(B4269,FIND("_",B4269,1)-1),VLOOKUP(LEFT(A4269,6),'Code Library'!$D$3:$E$200,2,0))&amp;"_"&amp;RIGHT(A4269,3)</f>
        <v>#VALUE!</v>
      </c>
      <c r="I4269" s="66">
        <f t="shared" si="66"/>
        <v>0</v>
      </c>
    </row>
    <row r="4270" spans="8:9">
      <c r="H4270" s="66" t="e">
        <f>IF(OR(LEFT(B4270,FIND("_",B4270,1)-1)="ULGALLOC",LEFT(B4270,FIND("_",B4270,1)-1)="ULSPOOL"),LEFT(B4270,FIND("_",B4270,1)-1),VLOOKUP(LEFT(A4270,6),'Code Library'!$D$3:$E$200,2,0))&amp;"_"&amp;RIGHT(A4270,3)</f>
        <v>#VALUE!</v>
      </c>
      <c r="I4270" s="66">
        <f t="shared" si="66"/>
        <v>0</v>
      </c>
    </row>
    <row r="4271" spans="8:9">
      <c r="H4271" s="66" t="e">
        <f>IF(OR(LEFT(B4271,FIND("_",B4271,1)-1)="ULGALLOC",LEFT(B4271,FIND("_",B4271,1)-1)="ULSPOOL"),LEFT(B4271,FIND("_",B4271,1)-1),VLOOKUP(LEFT(A4271,6),'Code Library'!$D$3:$E$200,2,0))&amp;"_"&amp;RIGHT(A4271,3)</f>
        <v>#VALUE!</v>
      </c>
      <c r="I4271" s="66">
        <f t="shared" si="66"/>
        <v>0</v>
      </c>
    </row>
    <row r="4272" spans="8:9">
      <c r="H4272" s="66" t="e">
        <f>IF(OR(LEFT(B4272,FIND("_",B4272,1)-1)="ULGALLOC",LEFT(B4272,FIND("_",B4272,1)-1)="ULSPOOL"),LEFT(B4272,FIND("_",B4272,1)-1),VLOOKUP(LEFT(A4272,6),'Code Library'!$D$3:$E$200,2,0))&amp;"_"&amp;RIGHT(A4272,3)</f>
        <v>#VALUE!</v>
      </c>
      <c r="I4272" s="66">
        <f t="shared" si="66"/>
        <v>0</v>
      </c>
    </row>
    <row r="4273" spans="8:9">
      <c r="H4273" s="66" t="e">
        <f>IF(OR(LEFT(B4273,FIND("_",B4273,1)-1)="ULGALLOC",LEFT(B4273,FIND("_",B4273,1)-1)="ULSPOOL"),LEFT(B4273,FIND("_",B4273,1)-1),VLOOKUP(LEFT(A4273,6),'Code Library'!$D$3:$E$200,2,0))&amp;"_"&amp;RIGHT(A4273,3)</f>
        <v>#VALUE!</v>
      </c>
      <c r="I4273" s="66">
        <f t="shared" si="66"/>
        <v>0</v>
      </c>
    </row>
    <row r="4274" spans="8:9">
      <c r="H4274" s="66" t="e">
        <f>IF(OR(LEFT(B4274,FIND("_",B4274,1)-1)="ULGALLOC",LEFT(B4274,FIND("_",B4274,1)-1)="ULSPOOL"),LEFT(B4274,FIND("_",B4274,1)-1),VLOOKUP(LEFT(A4274,6),'Code Library'!$D$3:$E$200,2,0))&amp;"_"&amp;RIGHT(A4274,3)</f>
        <v>#VALUE!</v>
      </c>
      <c r="I4274" s="66">
        <f t="shared" si="66"/>
        <v>0</v>
      </c>
    </row>
    <row r="4275" spans="8:9">
      <c r="H4275" s="66" t="e">
        <f>IF(OR(LEFT(B4275,FIND("_",B4275,1)-1)="ULGALLOC",LEFT(B4275,FIND("_",B4275,1)-1)="ULSPOOL"),LEFT(B4275,FIND("_",B4275,1)-1),VLOOKUP(LEFT(A4275,6),'Code Library'!$D$3:$E$200,2,0))&amp;"_"&amp;RIGHT(A4275,3)</f>
        <v>#VALUE!</v>
      </c>
      <c r="I4275" s="66">
        <f t="shared" si="66"/>
        <v>0</v>
      </c>
    </row>
    <row r="4276" spans="8:9">
      <c r="H4276" s="66" t="e">
        <f>IF(OR(LEFT(B4276,FIND("_",B4276,1)-1)="ULGALLOC",LEFT(B4276,FIND("_",B4276,1)-1)="ULSPOOL"),LEFT(B4276,FIND("_",B4276,1)-1),VLOOKUP(LEFT(A4276,6),'Code Library'!$D$3:$E$200,2,0))&amp;"_"&amp;RIGHT(A4276,3)</f>
        <v>#VALUE!</v>
      </c>
      <c r="I4276" s="66">
        <f t="shared" si="66"/>
        <v>0</v>
      </c>
    </row>
    <row r="4277" spans="8:9">
      <c r="H4277" s="66" t="e">
        <f>IF(OR(LEFT(B4277,FIND("_",B4277,1)-1)="ULGALLOC",LEFT(B4277,FIND("_",B4277,1)-1)="ULSPOOL"),LEFT(B4277,FIND("_",B4277,1)-1),VLOOKUP(LEFT(A4277,6),'Code Library'!$D$3:$E$200,2,0))&amp;"_"&amp;RIGHT(A4277,3)</f>
        <v>#VALUE!</v>
      </c>
      <c r="I4277" s="66">
        <f t="shared" si="66"/>
        <v>0</v>
      </c>
    </row>
    <row r="4278" spans="8:9">
      <c r="H4278" s="66" t="e">
        <f>IF(OR(LEFT(B4278,FIND("_",B4278,1)-1)="ULGALLOC",LEFT(B4278,FIND("_",B4278,1)-1)="ULSPOOL"),LEFT(B4278,FIND("_",B4278,1)-1),VLOOKUP(LEFT(A4278,6),'Code Library'!$D$3:$E$200,2,0))&amp;"_"&amp;RIGHT(A4278,3)</f>
        <v>#VALUE!</v>
      </c>
      <c r="I4278" s="66">
        <f t="shared" si="66"/>
        <v>0</v>
      </c>
    </row>
    <row r="4279" spans="8:9">
      <c r="H4279" s="66" t="e">
        <f>IF(OR(LEFT(B4279,FIND("_",B4279,1)-1)="ULGALLOC",LEFT(B4279,FIND("_",B4279,1)-1)="ULSPOOL"),LEFT(B4279,FIND("_",B4279,1)-1),VLOOKUP(LEFT(A4279,6),'Code Library'!$D$3:$E$200,2,0))&amp;"_"&amp;RIGHT(A4279,3)</f>
        <v>#VALUE!</v>
      </c>
      <c r="I4279" s="66">
        <f t="shared" si="66"/>
        <v>0</v>
      </c>
    </row>
    <row r="4280" spans="8:9">
      <c r="H4280" s="66" t="e">
        <f>IF(OR(LEFT(B4280,FIND("_",B4280,1)-1)="ULGALLOC",LEFT(B4280,FIND("_",B4280,1)-1)="ULSPOOL"),LEFT(B4280,FIND("_",B4280,1)-1),VLOOKUP(LEFT(A4280,6),'Code Library'!$D$3:$E$200,2,0))&amp;"_"&amp;RIGHT(A4280,3)</f>
        <v>#VALUE!</v>
      </c>
      <c r="I4280" s="66">
        <f t="shared" si="66"/>
        <v>0</v>
      </c>
    </row>
    <row r="4281" spans="8:9">
      <c r="H4281" s="66" t="e">
        <f>IF(OR(LEFT(B4281,FIND("_",B4281,1)-1)="ULGALLOC",LEFT(B4281,FIND("_",B4281,1)-1)="ULSPOOL"),LEFT(B4281,FIND("_",B4281,1)-1),VLOOKUP(LEFT(A4281,6),'Code Library'!$D$3:$E$200,2,0))&amp;"_"&amp;RIGHT(A4281,3)</f>
        <v>#VALUE!</v>
      </c>
      <c r="I4281" s="66">
        <f t="shared" si="66"/>
        <v>0</v>
      </c>
    </row>
    <row r="4282" spans="8:9">
      <c r="H4282" s="66" t="e">
        <f>IF(OR(LEFT(B4282,FIND("_",B4282,1)-1)="ULGALLOC",LEFT(B4282,FIND("_",B4282,1)-1)="ULSPOOL"),LEFT(B4282,FIND("_",B4282,1)-1),VLOOKUP(LEFT(A4282,6),'Code Library'!$D$3:$E$200,2,0))&amp;"_"&amp;RIGHT(A4282,3)</f>
        <v>#VALUE!</v>
      </c>
      <c r="I4282" s="66">
        <f t="shared" si="66"/>
        <v>0</v>
      </c>
    </row>
    <row r="4283" spans="8:9">
      <c r="H4283" s="66" t="e">
        <f>IF(OR(LEFT(B4283,FIND("_",B4283,1)-1)="ULGALLOC",LEFT(B4283,FIND("_",B4283,1)-1)="ULSPOOL"),LEFT(B4283,FIND("_",B4283,1)-1),VLOOKUP(LEFT(A4283,6),'Code Library'!$D$3:$E$200,2,0))&amp;"_"&amp;RIGHT(A4283,3)</f>
        <v>#VALUE!</v>
      </c>
      <c r="I4283" s="66">
        <f t="shared" si="66"/>
        <v>0</v>
      </c>
    </row>
    <row r="4284" spans="8:9">
      <c r="H4284" s="66" t="e">
        <f>IF(OR(LEFT(B4284,FIND("_",B4284,1)-1)="ULGALLOC",LEFT(B4284,FIND("_",B4284,1)-1)="ULSPOOL"),LEFT(B4284,FIND("_",B4284,1)-1),VLOOKUP(LEFT(A4284,6),'Code Library'!$D$3:$E$200,2,0))&amp;"_"&amp;RIGHT(A4284,3)</f>
        <v>#VALUE!</v>
      </c>
      <c r="I4284" s="66">
        <f t="shared" si="66"/>
        <v>0</v>
      </c>
    </row>
    <row r="4285" spans="8:9">
      <c r="H4285" s="66" t="e">
        <f>IF(OR(LEFT(B4285,FIND("_",B4285,1)-1)="ULGALLOC",LEFT(B4285,FIND("_",B4285,1)-1)="ULSPOOL"),LEFT(B4285,FIND("_",B4285,1)-1),VLOOKUP(LEFT(A4285,6),'Code Library'!$D$3:$E$200,2,0))&amp;"_"&amp;RIGHT(A4285,3)</f>
        <v>#VALUE!</v>
      </c>
      <c r="I4285" s="66">
        <f t="shared" si="66"/>
        <v>0</v>
      </c>
    </row>
    <row r="4286" spans="8:9">
      <c r="H4286" s="66" t="e">
        <f>IF(OR(LEFT(B4286,FIND("_",B4286,1)-1)="ULGALLOC",LEFT(B4286,FIND("_",B4286,1)-1)="ULSPOOL"),LEFT(B4286,FIND("_",B4286,1)-1),VLOOKUP(LEFT(A4286,6),'Code Library'!$D$3:$E$200,2,0))&amp;"_"&amp;RIGHT(A4286,3)</f>
        <v>#VALUE!</v>
      </c>
      <c r="I4286" s="66">
        <f t="shared" si="66"/>
        <v>0</v>
      </c>
    </row>
    <row r="4287" spans="8:9">
      <c r="H4287" s="66" t="e">
        <f>IF(OR(LEFT(B4287,FIND("_",B4287,1)-1)="ULGALLOC",LEFT(B4287,FIND("_",B4287,1)-1)="ULSPOOL"),LEFT(B4287,FIND("_",B4287,1)-1),VLOOKUP(LEFT(A4287,6),'Code Library'!$D$3:$E$200,2,0))&amp;"_"&amp;RIGHT(A4287,3)</f>
        <v>#VALUE!</v>
      </c>
      <c r="I4287" s="66">
        <f t="shared" si="66"/>
        <v>0</v>
      </c>
    </row>
    <row r="4288" spans="8:9">
      <c r="H4288" s="66" t="e">
        <f>IF(OR(LEFT(B4288,FIND("_",B4288,1)-1)="ULGALLOC",LEFT(B4288,FIND("_",B4288,1)-1)="ULSPOOL"),LEFT(B4288,FIND("_",B4288,1)-1),VLOOKUP(LEFT(A4288,6),'Code Library'!$D$3:$E$200,2,0))&amp;"_"&amp;RIGHT(A4288,3)</f>
        <v>#VALUE!</v>
      </c>
      <c r="I4288" s="66">
        <f t="shared" si="66"/>
        <v>0</v>
      </c>
    </row>
    <row r="4289" spans="8:9">
      <c r="H4289" s="66" t="e">
        <f>IF(OR(LEFT(B4289,FIND("_",B4289,1)-1)="ULGALLOC",LEFT(B4289,FIND("_",B4289,1)-1)="ULSPOOL"),LEFT(B4289,FIND("_",B4289,1)-1),VLOOKUP(LEFT(A4289,6),'Code Library'!$D$3:$E$200,2,0))&amp;"_"&amp;RIGHT(A4289,3)</f>
        <v>#VALUE!</v>
      </c>
      <c r="I4289" s="66">
        <f t="shared" si="66"/>
        <v>0</v>
      </c>
    </row>
    <row r="4290" spans="8:9">
      <c r="H4290" s="66" t="e">
        <f>IF(OR(LEFT(B4290,FIND("_",B4290,1)-1)="ULGALLOC",LEFT(B4290,FIND("_",B4290,1)-1)="ULSPOOL"),LEFT(B4290,FIND("_",B4290,1)-1),VLOOKUP(LEFT(A4290,6),'Code Library'!$D$3:$E$200,2,0))&amp;"_"&amp;RIGHT(A4290,3)</f>
        <v>#VALUE!</v>
      </c>
      <c r="I4290" s="66">
        <f t="shared" si="66"/>
        <v>0</v>
      </c>
    </row>
    <row r="4291" spans="8:9">
      <c r="H4291" s="66" t="e">
        <f>IF(OR(LEFT(B4291,FIND("_",B4291,1)-1)="ULGALLOC",LEFT(B4291,FIND("_",B4291,1)-1)="ULSPOOL"),LEFT(B4291,FIND("_",B4291,1)-1),VLOOKUP(LEFT(A4291,6),'Code Library'!$D$3:$E$200,2,0))&amp;"_"&amp;RIGHT(A4291,3)</f>
        <v>#VALUE!</v>
      </c>
      <c r="I4291" s="66">
        <f t="shared" ref="I4291:I4354" si="67">A4291</f>
        <v>0</v>
      </c>
    </row>
    <row r="4292" spans="8:9">
      <c r="H4292" s="66" t="e">
        <f>IF(OR(LEFT(B4292,FIND("_",B4292,1)-1)="ULGALLOC",LEFT(B4292,FIND("_",B4292,1)-1)="ULSPOOL"),LEFT(B4292,FIND("_",B4292,1)-1),VLOOKUP(LEFT(A4292,6),'Code Library'!$D$3:$E$200,2,0))&amp;"_"&amp;RIGHT(A4292,3)</f>
        <v>#VALUE!</v>
      </c>
      <c r="I4292" s="66">
        <f t="shared" si="67"/>
        <v>0</v>
      </c>
    </row>
    <row r="4293" spans="8:9">
      <c r="H4293" s="66" t="e">
        <f>IF(OR(LEFT(B4293,FIND("_",B4293,1)-1)="ULGALLOC",LEFT(B4293,FIND("_",B4293,1)-1)="ULSPOOL"),LEFT(B4293,FIND("_",B4293,1)-1),VLOOKUP(LEFT(A4293,6),'Code Library'!$D$3:$E$200,2,0))&amp;"_"&amp;RIGHT(A4293,3)</f>
        <v>#VALUE!</v>
      </c>
      <c r="I4293" s="66">
        <f t="shared" si="67"/>
        <v>0</v>
      </c>
    </row>
    <row r="4294" spans="8:9">
      <c r="H4294" s="66" t="e">
        <f>IF(OR(LEFT(B4294,FIND("_",B4294,1)-1)="ULGALLOC",LEFT(B4294,FIND("_",B4294,1)-1)="ULSPOOL"),LEFT(B4294,FIND("_",B4294,1)-1),VLOOKUP(LEFT(A4294,6),'Code Library'!$D$3:$E$200,2,0))&amp;"_"&amp;RIGHT(A4294,3)</f>
        <v>#VALUE!</v>
      </c>
      <c r="I4294" s="66">
        <f t="shared" si="67"/>
        <v>0</v>
      </c>
    </row>
    <row r="4295" spans="8:9">
      <c r="H4295" s="66" t="e">
        <f>IF(OR(LEFT(B4295,FIND("_",B4295,1)-1)="ULGALLOC",LEFT(B4295,FIND("_",B4295,1)-1)="ULSPOOL"),LEFT(B4295,FIND("_",B4295,1)-1),VLOOKUP(LEFT(A4295,6),'Code Library'!$D$3:$E$200,2,0))&amp;"_"&amp;RIGHT(A4295,3)</f>
        <v>#VALUE!</v>
      </c>
      <c r="I4295" s="66">
        <f t="shared" si="67"/>
        <v>0</v>
      </c>
    </row>
    <row r="4296" spans="8:9">
      <c r="H4296" s="66" t="e">
        <f>IF(OR(LEFT(B4296,FIND("_",B4296,1)-1)="ULGALLOC",LEFT(B4296,FIND("_",B4296,1)-1)="ULSPOOL"),LEFT(B4296,FIND("_",B4296,1)-1),VLOOKUP(LEFT(A4296,6),'Code Library'!$D$3:$E$200,2,0))&amp;"_"&amp;RIGHT(A4296,3)</f>
        <v>#VALUE!</v>
      </c>
      <c r="I4296" s="66">
        <f t="shared" si="67"/>
        <v>0</v>
      </c>
    </row>
    <row r="4297" spans="8:9">
      <c r="H4297" s="66" t="e">
        <f>IF(OR(LEFT(B4297,FIND("_",B4297,1)-1)="ULGALLOC",LEFT(B4297,FIND("_",B4297,1)-1)="ULSPOOL"),LEFT(B4297,FIND("_",B4297,1)-1),VLOOKUP(LEFT(A4297,6),'Code Library'!$D$3:$E$200,2,0))&amp;"_"&amp;RIGHT(A4297,3)</f>
        <v>#VALUE!</v>
      </c>
      <c r="I4297" s="66">
        <f t="shared" si="67"/>
        <v>0</v>
      </c>
    </row>
    <row r="4298" spans="8:9">
      <c r="H4298" s="66" t="e">
        <f>IF(OR(LEFT(B4298,FIND("_",B4298,1)-1)="ULGALLOC",LEFT(B4298,FIND("_",B4298,1)-1)="ULSPOOL"),LEFT(B4298,FIND("_",B4298,1)-1),VLOOKUP(LEFT(A4298,6),'Code Library'!$D$3:$E$200,2,0))&amp;"_"&amp;RIGHT(A4298,3)</f>
        <v>#VALUE!</v>
      </c>
      <c r="I4298" s="66">
        <f t="shared" si="67"/>
        <v>0</v>
      </c>
    </row>
    <row r="4299" spans="8:9">
      <c r="H4299" s="66" t="e">
        <f>IF(OR(LEFT(B4299,FIND("_",B4299,1)-1)="ULGALLOC",LEFT(B4299,FIND("_",B4299,1)-1)="ULSPOOL"),LEFT(B4299,FIND("_",B4299,1)-1),VLOOKUP(LEFT(A4299,6),'Code Library'!$D$3:$E$200,2,0))&amp;"_"&amp;RIGHT(A4299,3)</f>
        <v>#VALUE!</v>
      </c>
      <c r="I4299" s="66">
        <f t="shared" si="67"/>
        <v>0</v>
      </c>
    </row>
    <row r="4300" spans="8:9">
      <c r="H4300" s="66" t="e">
        <f>IF(OR(LEFT(B4300,FIND("_",B4300,1)-1)="ULGALLOC",LEFT(B4300,FIND("_",B4300,1)-1)="ULSPOOL"),LEFT(B4300,FIND("_",B4300,1)-1),VLOOKUP(LEFT(A4300,6),'Code Library'!$D$3:$E$200,2,0))&amp;"_"&amp;RIGHT(A4300,3)</f>
        <v>#VALUE!</v>
      </c>
      <c r="I4300" s="66">
        <f t="shared" si="67"/>
        <v>0</v>
      </c>
    </row>
    <row r="4301" spans="8:9">
      <c r="H4301" s="66" t="e">
        <f>IF(OR(LEFT(B4301,FIND("_",B4301,1)-1)="ULGALLOC",LEFT(B4301,FIND("_",B4301,1)-1)="ULSPOOL"),LEFT(B4301,FIND("_",B4301,1)-1),VLOOKUP(LEFT(A4301,6),'Code Library'!$D$3:$E$200,2,0))&amp;"_"&amp;RIGHT(A4301,3)</f>
        <v>#VALUE!</v>
      </c>
      <c r="I4301" s="66">
        <f t="shared" si="67"/>
        <v>0</v>
      </c>
    </row>
    <row r="4302" spans="8:9">
      <c r="H4302" s="66" t="e">
        <f>IF(OR(LEFT(B4302,FIND("_",B4302,1)-1)="ULGALLOC",LEFT(B4302,FIND("_",B4302,1)-1)="ULSPOOL"),LEFT(B4302,FIND("_",B4302,1)-1),VLOOKUP(LEFT(A4302,6),'Code Library'!$D$3:$E$200,2,0))&amp;"_"&amp;RIGHT(A4302,3)</f>
        <v>#VALUE!</v>
      </c>
      <c r="I4302" s="66">
        <f t="shared" si="67"/>
        <v>0</v>
      </c>
    </row>
    <row r="4303" spans="8:9">
      <c r="H4303" s="66" t="e">
        <f>IF(OR(LEFT(B4303,FIND("_",B4303,1)-1)="ULGALLOC",LEFT(B4303,FIND("_",B4303,1)-1)="ULSPOOL"),LEFT(B4303,FIND("_",B4303,1)-1),VLOOKUP(LEFT(A4303,6),'Code Library'!$D$3:$E$200,2,0))&amp;"_"&amp;RIGHT(A4303,3)</f>
        <v>#VALUE!</v>
      </c>
      <c r="I4303" s="66">
        <f t="shared" si="67"/>
        <v>0</v>
      </c>
    </row>
    <row r="4304" spans="8:9">
      <c r="H4304" s="66" t="e">
        <f>IF(OR(LEFT(B4304,FIND("_",B4304,1)-1)="ULGALLOC",LEFT(B4304,FIND("_",B4304,1)-1)="ULSPOOL"),LEFT(B4304,FIND("_",B4304,1)-1),VLOOKUP(LEFT(A4304,6),'Code Library'!$D$3:$E$200,2,0))&amp;"_"&amp;RIGHT(A4304,3)</f>
        <v>#VALUE!</v>
      </c>
      <c r="I4304" s="66">
        <f t="shared" si="67"/>
        <v>0</v>
      </c>
    </row>
    <row r="4305" spans="8:9">
      <c r="H4305" s="66" t="e">
        <f>IF(OR(LEFT(B4305,FIND("_",B4305,1)-1)="ULGALLOC",LEFT(B4305,FIND("_",B4305,1)-1)="ULSPOOL"),LEFT(B4305,FIND("_",B4305,1)-1),VLOOKUP(LEFT(A4305,6),'Code Library'!$D$3:$E$200,2,0))&amp;"_"&amp;RIGHT(A4305,3)</f>
        <v>#VALUE!</v>
      </c>
      <c r="I4305" s="66">
        <f t="shared" si="67"/>
        <v>0</v>
      </c>
    </row>
    <row r="4306" spans="8:9">
      <c r="H4306" s="66" t="e">
        <f>IF(OR(LEFT(B4306,FIND("_",B4306,1)-1)="ULGALLOC",LEFT(B4306,FIND("_",B4306,1)-1)="ULSPOOL"),LEFT(B4306,FIND("_",B4306,1)-1),VLOOKUP(LEFT(A4306,6),'Code Library'!$D$3:$E$200,2,0))&amp;"_"&amp;RIGHT(A4306,3)</f>
        <v>#VALUE!</v>
      </c>
      <c r="I4306" s="66">
        <f t="shared" si="67"/>
        <v>0</v>
      </c>
    </row>
    <row r="4307" spans="8:9">
      <c r="H4307" s="66" t="e">
        <f>IF(OR(LEFT(B4307,FIND("_",B4307,1)-1)="ULGALLOC",LEFT(B4307,FIND("_",B4307,1)-1)="ULSPOOL"),LEFT(B4307,FIND("_",B4307,1)-1),VLOOKUP(LEFT(A4307,6),'Code Library'!$D$3:$E$200,2,0))&amp;"_"&amp;RIGHT(A4307,3)</f>
        <v>#VALUE!</v>
      </c>
      <c r="I4307" s="66">
        <f t="shared" si="67"/>
        <v>0</v>
      </c>
    </row>
    <row r="4308" spans="8:9">
      <c r="H4308" s="66" t="e">
        <f>IF(OR(LEFT(B4308,FIND("_",B4308,1)-1)="ULGALLOC",LEFT(B4308,FIND("_",B4308,1)-1)="ULSPOOL"),LEFT(B4308,FIND("_",B4308,1)-1),VLOOKUP(LEFT(A4308,6),'Code Library'!$D$3:$E$200,2,0))&amp;"_"&amp;RIGHT(A4308,3)</f>
        <v>#VALUE!</v>
      </c>
      <c r="I4308" s="66">
        <f t="shared" si="67"/>
        <v>0</v>
      </c>
    </row>
    <row r="4309" spans="8:9">
      <c r="H4309" s="66" t="e">
        <f>IF(OR(LEFT(B4309,FIND("_",B4309,1)-1)="ULGALLOC",LEFT(B4309,FIND("_",B4309,1)-1)="ULSPOOL"),LEFT(B4309,FIND("_",B4309,1)-1),VLOOKUP(LEFT(A4309,6),'Code Library'!$D$3:$E$200,2,0))&amp;"_"&amp;RIGHT(A4309,3)</f>
        <v>#VALUE!</v>
      </c>
      <c r="I4309" s="66">
        <f t="shared" si="67"/>
        <v>0</v>
      </c>
    </row>
    <row r="4310" spans="8:9">
      <c r="H4310" s="66" t="e">
        <f>IF(OR(LEFT(B4310,FIND("_",B4310,1)-1)="ULGALLOC",LEFT(B4310,FIND("_",B4310,1)-1)="ULSPOOL"),LEFT(B4310,FIND("_",B4310,1)-1),VLOOKUP(LEFT(A4310,6),'Code Library'!$D$3:$E$200,2,0))&amp;"_"&amp;RIGHT(A4310,3)</f>
        <v>#VALUE!</v>
      </c>
      <c r="I4310" s="66">
        <f t="shared" si="67"/>
        <v>0</v>
      </c>
    </row>
    <row r="4311" spans="8:9">
      <c r="H4311" s="66" t="e">
        <f>IF(OR(LEFT(B4311,FIND("_",B4311,1)-1)="ULGALLOC",LEFT(B4311,FIND("_",B4311,1)-1)="ULSPOOL"),LEFT(B4311,FIND("_",B4311,1)-1),VLOOKUP(LEFT(A4311,6),'Code Library'!$D$3:$E$200,2,0))&amp;"_"&amp;RIGHT(A4311,3)</f>
        <v>#VALUE!</v>
      </c>
      <c r="I4311" s="66">
        <f t="shared" si="67"/>
        <v>0</v>
      </c>
    </row>
    <row r="4312" spans="8:9">
      <c r="H4312" s="66" t="e">
        <f>IF(OR(LEFT(B4312,FIND("_",B4312,1)-1)="ULGALLOC",LEFT(B4312,FIND("_",B4312,1)-1)="ULSPOOL"),LEFT(B4312,FIND("_",B4312,1)-1),VLOOKUP(LEFT(A4312,6),'Code Library'!$D$3:$E$200,2,0))&amp;"_"&amp;RIGHT(A4312,3)</f>
        <v>#VALUE!</v>
      </c>
      <c r="I4312" s="66">
        <f t="shared" si="67"/>
        <v>0</v>
      </c>
    </row>
    <row r="4313" spans="8:9">
      <c r="H4313" s="66" t="e">
        <f>IF(OR(LEFT(B4313,FIND("_",B4313,1)-1)="ULGALLOC",LEFT(B4313,FIND("_",B4313,1)-1)="ULSPOOL"),LEFT(B4313,FIND("_",B4313,1)-1),VLOOKUP(LEFT(A4313,6),'Code Library'!$D$3:$E$200,2,0))&amp;"_"&amp;RIGHT(A4313,3)</f>
        <v>#VALUE!</v>
      </c>
      <c r="I4313" s="66">
        <f t="shared" si="67"/>
        <v>0</v>
      </c>
    </row>
    <row r="4314" spans="8:9">
      <c r="H4314" s="66" t="e">
        <f>IF(OR(LEFT(B4314,FIND("_",B4314,1)-1)="ULGALLOC",LEFT(B4314,FIND("_",B4314,1)-1)="ULSPOOL"),LEFT(B4314,FIND("_",B4314,1)-1),VLOOKUP(LEFT(A4314,6),'Code Library'!$D$3:$E$200,2,0))&amp;"_"&amp;RIGHT(A4314,3)</f>
        <v>#VALUE!</v>
      </c>
      <c r="I4314" s="66">
        <f t="shared" si="67"/>
        <v>0</v>
      </c>
    </row>
    <row r="4315" spans="8:9">
      <c r="H4315" s="66" t="e">
        <f>IF(OR(LEFT(B4315,FIND("_",B4315,1)-1)="ULGALLOC",LEFT(B4315,FIND("_",B4315,1)-1)="ULSPOOL"),LEFT(B4315,FIND("_",B4315,1)-1),VLOOKUP(LEFT(A4315,6),'Code Library'!$D$3:$E$200,2,0))&amp;"_"&amp;RIGHT(A4315,3)</f>
        <v>#VALUE!</v>
      </c>
      <c r="I4315" s="66">
        <f t="shared" si="67"/>
        <v>0</v>
      </c>
    </row>
    <row r="4316" spans="8:9">
      <c r="H4316" s="66" t="e">
        <f>IF(OR(LEFT(B4316,FIND("_",B4316,1)-1)="ULGALLOC",LEFT(B4316,FIND("_",B4316,1)-1)="ULSPOOL"),LEFT(B4316,FIND("_",B4316,1)-1),VLOOKUP(LEFT(A4316,6),'Code Library'!$D$3:$E$200,2,0))&amp;"_"&amp;RIGHT(A4316,3)</f>
        <v>#VALUE!</v>
      </c>
      <c r="I4316" s="66">
        <f t="shared" si="67"/>
        <v>0</v>
      </c>
    </row>
    <row r="4317" spans="8:9">
      <c r="H4317" s="66" t="e">
        <f>IF(OR(LEFT(B4317,FIND("_",B4317,1)-1)="ULGALLOC",LEFT(B4317,FIND("_",B4317,1)-1)="ULSPOOL"),LEFT(B4317,FIND("_",B4317,1)-1),VLOOKUP(LEFT(A4317,6),'Code Library'!$D$3:$E$200,2,0))&amp;"_"&amp;RIGHT(A4317,3)</f>
        <v>#VALUE!</v>
      </c>
      <c r="I4317" s="66">
        <f t="shared" si="67"/>
        <v>0</v>
      </c>
    </row>
    <row r="4318" spans="8:9">
      <c r="H4318" s="66" t="e">
        <f>IF(OR(LEFT(B4318,FIND("_",B4318,1)-1)="ULGALLOC",LEFT(B4318,FIND("_",B4318,1)-1)="ULSPOOL"),LEFT(B4318,FIND("_",B4318,1)-1),VLOOKUP(LEFT(A4318,6),'Code Library'!$D$3:$E$200,2,0))&amp;"_"&amp;RIGHT(A4318,3)</f>
        <v>#VALUE!</v>
      </c>
      <c r="I4318" s="66">
        <f t="shared" si="67"/>
        <v>0</v>
      </c>
    </row>
    <row r="4319" spans="8:9">
      <c r="H4319" s="66" t="e">
        <f>IF(OR(LEFT(B4319,FIND("_",B4319,1)-1)="ULGALLOC",LEFT(B4319,FIND("_",B4319,1)-1)="ULSPOOL"),LEFT(B4319,FIND("_",B4319,1)-1),VLOOKUP(LEFT(A4319,6),'Code Library'!$D$3:$E$200,2,0))&amp;"_"&amp;RIGHT(A4319,3)</f>
        <v>#VALUE!</v>
      </c>
      <c r="I4319" s="66">
        <f t="shared" si="67"/>
        <v>0</v>
      </c>
    </row>
    <row r="4320" spans="8:9">
      <c r="H4320" s="66" t="e">
        <f>IF(OR(LEFT(B4320,FIND("_",B4320,1)-1)="ULGALLOC",LEFT(B4320,FIND("_",B4320,1)-1)="ULSPOOL"),LEFT(B4320,FIND("_",B4320,1)-1),VLOOKUP(LEFT(A4320,6),'Code Library'!$D$3:$E$200,2,0))&amp;"_"&amp;RIGHT(A4320,3)</f>
        <v>#VALUE!</v>
      </c>
      <c r="I4320" s="66">
        <f t="shared" si="67"/>
        <v>0</v>
      </c>
    </row>
    <row r="4321" spans="8:9">
      <c r="H4321" s="66" t="e">
        <f>IF(OR(LEFT(B4321,FIND("_",B4321,1)-1)="ULGALLOC",LEFT(B4321,FIND("_",B4321,1)-1)="ULSPOOL"),LEFT(B4321,FIND("_",B4321,1)-1),VLOOKUP(LEFT(A4321,6),'Code Library'!$D$3:$E$200,2,0))&amp;"_"&amp;RIGHT(A4321,3)</f>
        <v>#VALUE!</v>
      </c>
      <c r="I4321" s="66">
        <f t="shared" si="67"/>
        <v>0</v>
      </c>
    </row>
    <row r="4322" spans="8:9">
      <c r="H4322" s="66" t="e">
        <f>IF(OR(LEFT(B4322,FIND("_",B4322,1)-1)="ULGALLOC",LEFT(B4322,FIND("_",B4322,1)-1)="ULSPOOL"),LEFT(B4322,FIND("_",B4322,1)-1),VLOOKUP(LEFT(A4322,6),'Code Library'!$D$3:$E$200,2,0))&amp;"_"&amp;RIGHT(A4322,3)</f>
        <v>#VALUE!</v>
      </c>
      <c r="I4322" s="66">
        <f t="shared" si="67"/>
        <v>0</v>
      </c>
    </row>
    <row r="4323" spans="8:9">
      <c r="H4323" s="66" t="e">
        <f>IF(OR(LEFT(B4323,FIND("_",B4323,1)-1)="ULGALLOC",LEFT(B4323,FIND("_",B4323,1)-1)="ULSPOOL"),LEFT(B4323,FIND("_",B4323,1)-1),VLOOKUP(LEFT(A4323,6),'Code Library'!$D$3:$E$200,2,0))&amp;"_"&amp;RIGHT(A4323,3)</f>
        <v>#VALUE!</v>
      </c>
      <c r="I4323" s="66">
        <f t="shared" si="67"/>
        <v>0</v>
      </c>
    </row>
    <row r="4324" spans="8:9">
      <c r="H4324" s="66" t="e">
        <f>IF(OR(LEFT(B4324,FIND("_",B4324,1)-1)="ULGALLOC",LEFT(B4324,FIND("_",B4324,1)-1)="ULSPOOL"),LEFT(B4324,FIND("_",B4324,1)-1),VLOOKUP(LEFT(A4324,6),'Code Library'!$D$3:$E$200,2,0))&amp;"_"&amp;RIGHT(A4324,3)</f>
        <v>#VALUE!</v>
      </c>
      <c r="I4324" s="66">
        <f t="shared" si="67"/>
        <v>0</v>
      </c>
    </row>
    <row r="4325" spans="8:9">
      <c r="H4325" s="66" t="e">
        <f>IF(OR(LEFT(B4325,FIND("_",B4325,1)-1)="ULGALLOC",LEFT(B4325,FIND("_",B4325,1)-1)="ULSPOOL"),LEFT(B4325,FIND("_",B4325,1)-1),VLOOKUP(LEFT(A4325,6),'Code Library'!$D$3:$E$200,2,0))&amp;"_"&amp;RIGHT(A4325,3)</f>
        <v>#VALUE!</v>
      </c>
      <c r="I4325" s="66">
        <f t="shared" si="67"/>
        <v>0</v>
      </c>
    </row>
    <row r="4326" spans="8:9">
      <c r="H4326" s="66" t="e">
        <f>IF(OR(LEFT(B4326,FIND("_",B4326,1)-1)="ULGALLOC",LEFT(B4326,FIND("_",B4326,1)-1)="ULSPOOL"),LEFT(B4326,FIND("_",B4326,1)-1),VLOOKUP(LEFT(A4326,6),'Code Library'!$D$3:$E$200,2,0))&amp;"_"&amp;RIGHT(A4326,3)</f>
        <v>#VALUE!</v>
      </c>
      <c r="I4326" s="66">
        <f t="shared" si="67"/>
        <v>0</v>
      </c>
    </row>
    <row r="4327" spans="8:9">
      <c r="H4327" s="66" t="e">
        <f>IF(OR(LEFT(B4327,FIND("_",B4327,1)-1)="ULGALLOC",LEFT(B4327,FIND("_",B4327,1)-1)="ULSPOOL"),LEFT(B4327,FIND("_",B4327,1)-1),VLOOKUP(LEFT(A4327,6),'Code Library'!$D$3:$E$200,2,0))&amp;"_"&amp;RIGHT(A4327,3)</f>
        <v>#VALUE!</v>
      </c>
      <c r="I4327" s="66">
        <f t="shared" si="67"/>
        <v>0</v>
      </c>
    </row>
    <row r="4328" spans="8:9">
      <c r="H4328" s="66" t="e">
        <f>IF(OR(LEFT(B4328,FIND("_",B4328,1)-1)="ULGALLOC",LEFT(B4328,FIND("_",B4328,1)-1)="ULSPOOL"),LEFT(B4328,FIND("_",B4328,1)-1),VLOOKUP(LEFT(A4328,6),'Code Library'!$D$3:$E$200,2,0))&amp;"_"&amp;RIGHT(A4328,3)</f>
        <v>#VALUE!</v>
      </c>
      <c r="I4328" s="66">
        <f t="shared" si="67"/>
        <v>0</v>
      </c>
    </row>
    <row r="4329" spans="8:9">
      <c r="H4329" s="66" t="e">
        <f>IF(OR(LEFT(B4329,FIND("_",B4329,1)-1)="ULGALLOC",LEFT(B4329,FIND("_",B4329,1)-1)="ULSPOOL"),LEFT(B4329,FIND("_",B4329,1)-1),VLOOKUP(LEFT(A4329,6),'Code Library'!$D$3:$E$200,2,0))&amp;"_"&amp;RIGHT(A4329,3)</f>
        <v>#VALUE!</v>
      </c>
      <c r="I4329" s="66">
        <f t="shared" si="67"/>
        <v>0</v>
      </c>
    </row>
    <row r="4330" spans="8:9">
      <c r="H4330" s="66" t="e">
        <f>IF(OR(LEFT(B4330,FIND("_",B4330,1)-1)="ULGALLOC",LEFT(B4330,FIND("_",B4330,1)-1)="ULSPOOL"),LEFT(B4330,FIND("_",B4330,1)-1),VLOOKUP(LEFT(A4330,6),'Code Library'!$D$3:$E$200,2,0))&amp;"_"&amp;RIGHT(A4330,3)</f>
        <v>#VALUE!</v>
      </c>
      <c r="I4330" s="66">
        <f t="shared" si="67"/>
        <v>0</v>
      </c>
    </row>
    <row r="4331" spans="8:9">
      <c r="H4331" s="66" t="e">
        <f>IF(OR(LEFT(B4331,FIND("_",B4331,1)-1)="ULGALLOC",LEFT(B4331,FIND("_",B4331,1)-1)="ULSPOOL"),LEFT(B4331,FIND("_",B4331,1)-1),VLOOKUP(LEFT(A4331,6),'Code Library'!$D$3:$E$200,2,0))&amp;"_"&amp;RIGHT(A4331,3)</f>
        <v>#VALUE!</v>
      </c>
      <c r="I4331" s="66">
        <f t="shared" si="67"/>
        <v>0</v>
      </c>
    </row>
    <row r="4332" spans="8:9">
      <c r="H4332" s="66" t="e">
        <f>IF(OR(LEFT(B4332,FIND("_",B4332,1)-1)="ULGALLOC",LEFT(B4332,FIND("_",B4332,1)-1)="ULSPOOL"),LEFT(B4332,FIND("_",B4332,1)-1),VLOOKUP(LEFT(A4332,6),'Code Library'!$D$3:$E$200,2,0))&amp;"_"&amp;RIGHT(A4332,3)</f>
        <v>#VALUE!</v>
      </c>
      <c r="I4332" s="66">
        <f t="shared" si="67"/>
        <v>0</v>
      </c>
    </row>
    <row r="4333" spans="8:9">
      <c r="H4333" s="66" t="e">
        <f>IF(OR(LEFT(B4333,FIND("_",B4333,1)-1)="ULGALLOC",LEFT(B4333,FIND("_",B4333,1)-1)="ULSPOOL"),LEFT(B4333,FIND("_",B4333,1)-1),VLOOKUP(LEFT(A4333,6),'Code Library'!$D$3:$E$200,2,0))&amp;"_"&amp;RIGHT(A4333,3)</f>
        <v>#VALUE!</v>
      </c>
      <c r="I4333" s="66">
        <f t="shared" si="67"/>
        <v>0</v>
      </c>
    </row>
    <row r="4334" spans="8:9">
      <c r="H4334" s="66" t="e">
        <f>IF(OR(LEFT(B4334,FIND("_",B4334,1)-1)="ULGALLOC",LEFT(B4334,FIND("_",B4334,1)-1)="ULSPOOL"),LEFT(B4334,FIND("_",B4334,1)-1),VLOOKUP(LEFT(A4334,6),'Code Library'!$D$3:$E$200,2,0))&amp;"_"&amp;RIGHT(A4334,3)</f>
        <v>#VALUE!</v>
      </c>
      <c r="I4334" s="66">
        <f t="shared" si="67"/>
        <v>0</v>
      </c>
    </row>
    <row r="4335" spans="8:9">
      <c r="H4335" s="66" t="e">
        <f>IF(OR(LEFT(B4335,FIND("_",B4335,1)-1)="ULGALLOC",LEFT(B4335,FIND("_",B4335,1)-1)="ULSPOOL"),LEFT(B4335,FIND("_",B4335,1)-1),VLOOKUP(LEFT(A4335,6),'Code Library'!$D$3:$E$200,2,0))&amp;"_"&amp;RIGHT(A4335,3)</f>
        <v>#VALUE!</v>
      </c>
      <c r="I4335" s="66">
        <f t="shared" si="67"/>
        <v>0</v>
      </c>
    </row>
    <row r="4336" spans="8:9">
      <c r="H4336" s="66" t="e">
        <f>IF(OR(LEFT(B4336,FIND("_",B4336,1)-1)="ULGALLOC",LEFT(B4336,FIND("_",B4336,1)-1)="ULSPOOL"),LEFT(B4336,FIND("_",B4336,1)-1),VLOOKUP(LEFT(A4336,6),'Code Library'!$D$3:$E$200,2,0))&amp;"_"&amp;RIGHT(A4336,3)</f>
        <v>#VALUE!</v>
      </c>
      <c r="I4336" s="66">
        <f t="shared" si="67"/>
        <v>0</v>
      </c>
    </row>
    <row r="4337" spans="8:9">
      <c r="H4337" s="66" t="e">
        <f>IF(OR(LEFT(B4337,FIND("_",B4337,1)-1)="ULGALLOC",LEFT(B4337,FIND("_",B4337,1)-1)="ULSPOOL"),LEFT(B4337,FIND("_",B4337,1)-1),VLOOKUP(LEFT(A4337,6),'Code Library'!$D$3:$E$200,2,0))&amp;"_"&amp;RIGHT(A4337,3)</f>
        <v>#VALUE!</v>
      </c>
      <c r="I4337" s="66">
        <f t="shared" si="67"/>
        <v>0</v>
      </c>
    </row>
    <row r="4338" spans="8:9">
      <c r="H4338" s="66" t="e">
        <f>IF(OR(LEFT(B4338,FIND("_",B4338,1)-1)="ULGALLOC",LEFT(B4338,FIND("_",B4338,1)-1)="ULSPOOL"),LEFT(B4338,FIND("_",B4338,1)-1),VLOOKUP(LEFT(A4338,6),'Code Library'!$D$3:$E$200,2,0))&amp;"_"&amp;RIGHT(A4338,3)</f>
        <v>#VALUE!</v>
      </c>
      <c r="I4338" s="66">
        <f t="shared" si="67"/>
        <v>0</v>
      </c>
    </row>
    <row r="4339" spans="8:9">
      <c r="H4339" s="66" t="e">
        <f>IF(OR(LEFT(B4339,FIND("_",B4339,1)-1)="ULGALLOC",LEFT(B4339,FIND("_",B4339,1)-1)="ULSPOOL"),LEFT(B4339,FIND("_",B4339,1)-1),VLOOKUP(LEFT(A4339,6),'Code Library'!$D$3:$E$200,2,0))&amp;"_"&amp;RIGHT(A4339,3)</f>
        <v>#VALUE!</v>
      </c>
      <c r="I4339" s="66">
        <f t="shared" si="67"/>
        <v>0</v>
      </c>
    </row>
    <row r="4340" spans="8:9">
      <c r="H4340" s="66" t="e">
        <f>IF(OR(LEFT(B4340,FIND("_",B4340,1)-1)="ULGALLOC",LEFT(B4340,FIND("_",B4340,1)-1)="ULSPOOL"),LEFT(B4340,FIND("_",B4340,1)-1),VLOOKUP(LEFT(A4340,6),'Code Library'!$D$3:$E$200,2,0))&amp;"_"&amp;RIGHT(A4340,3)</f>
        <v>#VALUE!</v>
      </c>
      <c r="I4340" s="66">
        <f t="shared" si="67"/>
        <v>0</v>
      </c>
    </row>
    <row r="4341" spans="8:9">
      <c r="H4341" s="66" t="e">
        <f>IF(OR(LEFT(B4341,FIND("_",B4341,1)-1)="ULGALLOC",LEFT(B4341,FIND("_",B4341,1)-1)="ULSPOOL"),LEFT(B4341,FIND("_",B4341,1)-1),VLOOKUP(LEFT(A4341,6),'Code Library'!$D$3:$E$200,2,0))&amp;"_"&amp;RIGHT(A4341,3)</f>
        <v>#VALUE!</v>
      </c>
      <c r="I4341" s="66">
        <f t="shared" si="67"/>
        <v>0</v>
      </c>
    </row>
    <row r="4342" spans="8:9">
      <c r="H4342" s="66" t="e">
        <f>IF(OR(LEFT(B4342,FIND("_",B4342,1)-1)="ULGALLOC",LEFT(B4342,FIND("_",B4342,1)-1)="ULSPOOL"),LEFT(B4342,FIND("_",B4342,1)-1),VLOOKUP(LEFT(A4342,6),'Code Library'!$D$3:$E$200,2,0))&amp;"_"&amp;RIGHT(A4342,3)</f>
        <v>#VALUE!</v>
      </c>
      <c r="I4342" s="66">
        <f t="shared" si="67"/>
        <v>0</v>
      </c>
    </row>
    <row r="4343" spans="8:9">
      <c r="H4343" s="66" t="e">
        <f>IF(OR(LEFT(B4343,FIND("_",B4343,1)-1)="ULGALLOC",LEFT(B4343,FIND("_",B4343,1)-1)="ULSPOOL"),LEFT(B4343,FIND("_",B4343,1)-1),VLOOKUP(LEFT(A4343,6),'Code Library'!$D$3:$E$200,2,0))&amp;"_"&amp;RIGHT(A4343,3)</f>
        <v>#VALUE!</v>
      </c>
      <c r="I4343" s="66">
        <f t="shared" si="67"/>
        <v>0</v>
      </c>
    </row>
    <row r="4344" spans="8:9">
      <c r="H4344" s="66" t="e">
        <f>IF(OR(LEFT(B4344,FIND("_",B4344,1)-1)="ULGALLOC",LEFT(B4344,FIND("_",B4344,1)-1)="ULSPOOL"),LEFT(B4344,FIND("_",B4344,1)-1),VLOOKUP(LEFT(A4344,6),'Code Library'!$D$3:$E$200,2,0))&amp;"_"&amp;RIGHT(A4344,3)</f>
        <v>#VALUE!</v>
      </c>
      <c r="I4344" s="66">
        <f t="shared" si="67"/>
        <v>0</v>
      </c>
    </row>
    <row r="4345" spans="8:9">
      <c r="H4345" s="66" t="e">
        <f>IF(OR(LEFT(B4345,FIND("_",B4345,1)-1)="ULGALLOC",LEFT(B4345,FIND("_",B4345,1)-1)="ULSPOOL"),LEFT(B4345,FIND("_",B4345,1)-1),VLOOKUP(LEFT(A4345,6),'Code Library'!$D$3:$E$200,2,0))&amp;"_"&amp;RIGHT(A4345,3)</f>
        <v>#VALUE!</v>
      </c>
      <c r="I4345" s="66">
        <f t="shared" si="67"/>
        <v>0</v>
      </c>
    </row>
    <row r="4346" spans="8:9">
      <c r="H4346" s="66" t="e">
        <f>IF(OR(LEFT(B4346,FIND("_",B4346,1)-1)="ULGALLOC",LEFT(B4346,FIND("_",B4346,1)-1)="ULSPOOL"),LEFT(B4346,FIND("_",B4346,1)-1),VLOOKUP(LEFT(A4346,6),'Code Library'!$D$3:$E$200,2,0))&amp;"_"&amp;RIGHT(A4346,3)</f>
        <v>#VALUE!</v>
      </c>
      <c r="I4346" s="66">
        <f t="shared" si="67"/>
        <v>0</v>
      </c>
    </row>
    <row r="4347" spans="8:9">
      <c r="H4347" s="66" t="e">
        <f>IF(OR(LEFT(B4347,FIND("_",B4347,1)-1)="ULGALLOC",LEFT(B4347,FIND("_",B4347,1)-1)="ULSPOOL"),LEFT(B4347,FIND("_",B4347,1)-1),VLOOKUP(LEFT(A4347,6),'Code Library'!$D$3:$E$200,2,0))&amp;"_"&amp;RIGHT(A4347,3)</f>
        <v>#VALUE!</v>
      </c>
      <c r="I4347" s="66">
        <f t="shared" si="67"/>
        <v>0</v>
      </c>
    </row>
    <row r="4348" spans="8:9">
      <c r="H4348" s="66" t="e">
        <f>IF(OR(LEFT(B4348,FIND("_",B4348,1)-1)="ULGALLOC",LEFT(B4348,FIND("_",B4348,1)-1)="ULSPOOL"),LEFT(B4348,FIND("_",B4348,1)-1),VLOOKUP(LEFT(A4348,6),'Code Library'!$D$3:$E$200,2,0))&amp;"_"&amp;RIGHT(A4348,3)</f>
        <v>#VALUE!</v>
      </c>
      <c r="I4348" s="66">
        <f t="shared" si="67"/>
        <v>0</v>
      </c>
    </row>
    <row r="4349" spans="8:9">
      <c r="H4349" s="66" t="e">
        <f>IF(OR(LEFT(B4349,FIND("_",B4349,1)-1)="ULGALLOC",LEFT(B4349,FIND("_",B4349,1)-1)="ULSPOOL"),LEFT(B4349,FIND("_",B4349,1)-1),VLOOKUP(LEFT(A4349,6),'Code Library'!$D$3:$E$200,2,0))&amp;"_"&amp;RIGHT(A4349,3)</f>
        <v>#VALUE!</v>
      </c>
      <c r="I4349" s="66">
        <f t="shared" si="67"/>
        <v>0</v>
      </c>
    </row>
    <row r="4350" spans="8:9">
      <c r="H4350" s="66" t="e">
        <f>IF(OR(LEFT(B4350,FIND("_",B4350,1)-1)="ULGALLOC",LEFT(B4350,FIND("_",B4350,1)-1)="ULSPOOL"),LEFT(B4350,FIND("_",B4350,1)-1),VLOOKUP(LEFT(A4350,6),'Code Library'!$D$3:$E$200,2,0))&amp;"_"&amp;RIGHT(A4350,3)</f>
        <v>#VALUE!</v>
      </c>
      <c r="I4350" s="66">
        <f t="shared" si="67"/>
        <v>0</v>
      </c>
    </row>
    <row r="4351" spans="8:9">
      <c r="H4351" s="66" t="e">
        <f>IF(OR(LEFT(B4351,FIND("_",B4351,1)-1)="ULGALLOC",LEFT(B4351,FIND("_",B4351,1)-1)="ULSPOOL"),LEFT(B4351,FIND("_",B4351,1)-1),VLOOKUP(LEFT(A4351,6),'Code Library'!$D$3:$E$200,2,0))&amp;"_"&amp;RIGHT(A4351,3)</f>
        <v>#VALUE!</v>
      </c>
      <c r="I4351" s="66">
        <f t="shared" si="67"/>
        <v>0</v>
      </c>
    </row>
    <row r="4352" spans="8:9">
      <c r="H4352" s="66" t="e">
        <f>IF(OR(LEFT(B4352,FIND("_",B4352,1)-1)="ULGALLOC",LEFT(B4352,FIND("_",B4352,1)-1)="ULSPOOL"),LEFT(B4352,FIND("_",B4352,1)-1),VLOOKUP(LEFT(A4352,6),'Code Library'!$D$3:$E$200,2,0))&amp;"_"&amp;RIGHT(A4352,3)</f>
        <v>#VALUE!</v>
      </c>
      <c r="I4352" s="66">
        <f t="shared" si="67"/>
        <v>0</v>
      </c>
    </row>
    <row r="4353" spans="8:9">
      <c r="H4353" s="66" t="e">
        <f>IF(OR(LEFT(B4353,FIND("_",B4353,1)-1)="ULGALLOC",LEFT(B4353,FIND("_",B4353,1)-1)="ULSPOOL"),LEFT(B4353,FIND("_",B4353,1)-1),VLOOKUP(LEFT(A4353,6),'Code Library'!$D$3:$E$200,2,0))&amp;"_"&amp;RIGHT(A4353,3)</f>
        <v>#VALUE!</v>
      </c>
      <c r="I4353" s="66">
        <f t="shared" si="67"/>
        <v>0</v>
      </c>
    </row>
    <row r="4354" spans="8:9">
      <c r="H4354" s="66" t="e">
        <f>IF(OR(LEFT(B4354,FIND("_",B4354,1)-1)="ULGALLOC",LEFT(B4354,FIND("_",B4354,1)-1)="ULSPOOL"),LEFT(B4354,FIND("_",B4354,1)-1),VLOOKUP(LEFT(A4354,6),'Code Library'!$D$3:$E$200,2,0))&amp;"_"&amp;RIGHT(A4354,3)</f>
        <v>#VALUE!</v>
      </c>
      <c r="I4354" s="66">
        <f t="shared" si="67"/>
        <v>0</v>
      </c>
    </row>
    <row r="4355" spans="8:9">
      <c r="H4355" s="66" t="e">
        <f>IF(OR(LEFT(B4355,FIND("_",B4355,1)-1)="ULGALLOC",LEFT(B4355,FIND("_",B4355,1)-1)="ULSPOOL"),LEFT(B4355,FIND("_",B4355,1)-1),VLOOKUP(LEFT(A4355,6),'Code Library'!$D$3:$E$200,2,0))&amp;"_"&amp;RIGHT(A4355,3)</f>
        <v>#VALUE!</v>
      </c>
      <c r="I4355" s="66">
        <f t="shared" ref="I4355:I4418" si="68">A4355</f>
        <v>0</v>
      </c>
    </row>
    <row r="4356" spans="8:9">
      <c r="H4356" s="66" t="e">
        <f>IF(OR(LEFT(B4356,FIND("_",B4356,1)-1)="ULGALLOC",LEFT(B4356,FIND("_",B4356,1)-1)="ULSPOOL"),LEFT(B4356,FIND("_",B4356,1)-1),VLOOKUP(LEFT(A4356,6),'Code Library'!$D$3:$E$200,2,0))&amp;"_"&amp;RIGHT(A4356,3)</f>
        <v>#VALUE!</v>
      </c>
      <c r="I4356" s="66">
        <f t="shared" si="68"/>
        <v>0</v>
      </c>
    </row>
    <row r="4357" spans="8:9">
      <c r="H4357" s="66" t="e">
        <f>IF(OR(LEFT(B4357,FIND("_",B4357,1)-1)="ULGALLOC",LEFT(B4357,FIND("_",B4357,1)-1)="ULSPOOL"),LEFT(B4357,FIND("_",B4357,1)-1),VLOOKUP(LEFT(A4357,6),'Code Library'!$D$3:$E$200,2,0))&amp;"_"&amp;RIGHT(A4357,3)</f>
        <v>#VALUE!</v>
      </c>
      <c r="I4357" s="66">
        <f t="shared" si="68"/>
        <v>0</v>
      </c>
    </row>
    <row r="4358" spans="8:9">
      <c r="H4358" s="66" t="e">
        <f>IF(OR(LEFT(B4358,FIND("_",B4358,1)-1)="ULGALLOC",LEFT(B4358,FIND("_",B4358,1)-1)="ULSPOOL"),LEFT(B4358,FIND("_",B4358,1)-1),VLOOKUP(LEFT(A4358,6),'Code Library'!$D$3:$E$200,2,0))&amp;"_"&amp;RIGHT(A4358,3)</f>
        <v>#VALUE!</v>
      </c>
      <c r="I4358" s="66">
        <f t="shared" si="68"/>
        <v>0</v>
      </c>
    </row>
    <row r="4359" spans="8:9">
      <c r="H4359" s="66" t="e">
        <f>IF(OR(LEFT(B4359,FIND("_",B4359,1)-1)="ULGALLOC",LEFT(B4359,FIND("_",B4359,1)-1)="ULSPOOL"),LEFT(B4359,FIND("_",B4359,1)-1),VLOOKUP(LEFT(A4359,6),'Code Library'!$D$3:$E$200,2,0))&amp;"_"&amp;RIGHT(A4359,3)</f>
        <v>#VALUE!</v>
      </c>
      <c r="I4359" s="66">
        <f t="shared" si="68"/>
        <v>0</v>
      </c>
    </row>
    <row r="4360" spans="8:9">
      <c r="H4360" s="66" t="e">
        <f>IF(OR(LEFT(B4360,FIND("_",B4360,1)-1)="ULGALLOC",LEFT(B4360,FIND("_",B4360,1)-1)="ULSPOOL"),LEFT(B4360,FIND("_",B4360,1)-1),VLOOKUP(LEFT(A4360,6),'Code Library'!$D$3:$E$200,2,0))&amp;"_"&amp;RIGHT(A4360,3)</f>
        <v>#VALUE!</v>
      </c>
      <c r="I4360" s="66">
        <f t="shared" si="68"/>
        <v>0</v>
      </c>
    </row>
    <row r="4361" spans="8:9">
      <c r="H4361" s="66" t="e">
        <f>IF(OR(LEFT(B4361,FIND("_",B4361,1)-1)="ULGALLOC",LEFT(B4361,FIND("_",B4361,1)-1)="ULSPOOL"),LEFT(B4361,FIND("_",B4361,1)-1),VLOOKUP(LEFT(A4361,6),'Code Library'!$D$3:$E$200,2,0))&amp;"_"&amp;RIGHT(A4361,3)</f>
        <v>#VALUE!</v>
      </c>
      <c r="I4361" s="66">
        <f t="shared" si="68"/>
        <v>0</v>
      </c>
    </row>
    <row r="4362" spans="8:9">
      <c r="H4362" s="66" t="e">
        <f>IF(OR(LEFT(B4362,FIND("_",B4362,1)-1)="ULGALLOC",LEFT(B4362,FIND("_",B4362,1)-1)="ULSPOOL"),LEFT(B4362,FIND("_",B4362,1)-1),VLOOKUP(LEFT(A4362,6),'Code Library'!$D$3:$E$200,2,0))&amp;"_"&amp;RIGHT(A4362,3)</f>
        <v>#VALUE!</v>
      </c>
      <c r="I4362" s="66">
        <f t="shared" si="68"/>
        <v>0</v>
      </c>
    </row>
    <row r="4363" spans="8:9">
      <c r="H4363" s="66" t="e">
        <f>IF(OR(LEFT(B4363,FIND("_",B4363,1)-1)="ULGALLOC",LEFT(B4363,FIND("_",B4363,1)-1)="ULSPOOL"),LEFT(B4363,FIND("_",B4363,1)-1),VLOOKUP(LEFT(A4363,6),'Code Library'!$D$3:$E$200,2,0))&amp;"_"&amp;RIGHT(A4363,3)</f>
        <v>#VALUE!</v>
      </c>
      <c r="I4363" s="66">
        <f t="shared" si="68"/>
        <v>0</v>
      </c>
    </row>
    <row r="4364" spans="8:9">
      <c r="H4364" s="66" t="e">
        <f>IF(OR(LEFT(B4364,FIND("_",B4364,1)-1)="ULGALLOC",LEFT(B4364,FIND("_",B4364,1)-1)="ULSPOOL"),LEFT(B4364,FIND("_",B4364,1)-1),VLOOKUP(LEFT(A4364,6),'Code Library'!$D$3:$E$200,2,0))&amp;"_"&amp;RIGHT(A4364,3)</f>
        <v>#VALUE!</v>
      </c>
      <c r="I4364" s="66">
        <f t="shared" si="68"/>
        <v>0</v>
      </c>
    </row>
    <row r="4365" spans="8:9">
      <c r="H4365" s="66" t="e">
        <f>IF(OR(LEFT(B4365,FIND("_",B4365,1)-1)="ULGALLOC",LEFT(B4365,FIND("_",B4365,1)-1)="ULSPOOL"),LEFT(B4365,FIND("_",B4365,1)-1),VLOOKUP(LEFT(A4365,6),'Code Library'!$D$3:$E$200,2,0))&amp;"_"&amp;RIGHT(A4365,3)</f>
        <v>#VALUE!</v>
      </c>
      <c r="I4365" s="66">
        <f t="shared" si="68"/>
        <v>0</v>
      </c>
    </row>
    <row r="4366" spans="8:9">
      <c r="H4366" s="66" t="e">
        <f>IF(OR(LEFT(B4366,FIND("_",B4366,1)-1)="ULGALLOC",LEFT(B4366,FIND("_",B4366,1)-1)="ULSPOOL"),LEFT(B4366,FIND("_",B4366,1)-1),VLOOKUP(LEFT(A4366,6),'Code Library'!$D$3:$E$200,2,0))&amp;"_"&amp;RIGHT(A4366,3)</f>
        <v>#VALUE!</v>
      </c>
      <c r="I4366" s="66">
        <f t="shared" si="68"/>
        <v>0</v>
      </c>
    </row>
    <row r="4367" spans="8:9">
      <c r="H4367" s="66" t="e">
        <f>IF(OR(LEFT(B4367,FIND("_",B4367,1)-1)="ULGALLOC",LEFT(B4367,FIND("_",B4367,1)-1)="ULSPOOL"),LEFT(B4367,FIND("_",B4367,1)-1),VLOOKUP(LEFT(A4367,6),'Code Library'!$D$3:$E$200,2,0))&amp;"_"&amp;RIGHT(A4367,3)</f>
        <v>#VALUE!</v>
      </c>
      <c r="I4367" s="66">
        <f t="shared" si="68"/>
        <v>0</v>
      </c>
    </row>
    <row r="4368" spans="8:9">
      <c r="H4368" s="66" t="e">
        <f>IF(OR(LEFT(B4368,FIND("_",B4368,1)-1)="ULGALLOC",LEFT(B4368,FIND("_",B4368,1)-1)="ULSPOOL"),LEFT(B4368,FIND("_",B4368,1)-1),VLOOKUP(LEFT(A4368,6),'Code Library'!$D$3:$E$200,2,0))&amp;"_"&amp;RIGHT(A4368,3)</f>
        <v>#VALUE!</v>
      </c>
      <c r="I4368" s="66">
        <f t="shared" si="68"/>
        <v>0</v>
      </c>
    </row>
    <row r="4369" spans="8:9">
      <c r="H4369" s="66" t="e">
        <f>IF(OR(LEFT(B4369,FIND("_",B4369,1)-1)="ULGALLOC",LEFT(B4369,FIND("_",B4369,1)-1)="ULSPOOL"),LEFT(B4369,FIND("_",B4369,1)-1),VLOOKUP(LEFT(A4369,6),'Code Library'!$D$3:$E$200,2,0))&amp;"_"&amp;RIGHT(A4369,3)</f>
        <v>#VALUE!</v>
      </c>
      <c r="I4369" s="66">
        <f t="shared" si="68"/>
        <v>0</v>
      </c>
    </row>
    <row r="4370" spans="8:9">
      <c r="H4370" s="66" t="e">
        <f>IF(OR(LEFT(B4370,FIND("_",B4370,1)-1)="ULGALLOC",LEFT(B4370,FIND("_",B4370,1)-1)="ULSPOOL"),LEFT(B4370,FIND("_",B4370,1)-1),VLOOKUP(LEFT(A4370,6),'Code Library'!$D$3:$E$200,2,0))&amp;"_"&amp;RIGHT(A4370,3)</f>
        <v>#VALUE!</v>
      </c>
      <c r="I4370" s="66">
        <f t="shared" si="68"/>
        <v>0</v>
      </c>
    </row>
    <row r="4371" spans="8:9">
      <c r="H4371" s="66" t="e">
        <f>IF(OR(LEFT(B4371,FIND("_",B4371,1)-1)="ULGALLOC",LEFT(B4371,FIND("_",B4371,1)-1)="ULSPOOL"),LEFT(B4371,FIND("_",B4371,1)-1),VLOOKUP(LEFT(A4371,6),'Code Library'!$D$3:$E$200,2,0))&amp;"_"&amp;RIGHT(A4371,3)</f>
        <v>#VALUE!</v>
      </c>
      <c r="I4371" s="66">
        <f t="shared" si="68"/>
        <v>0</v>
      </c>
    </row>
    <row r="4372" spans="8:9">
      <c r="H4372" s="66" t="e">
        <f>IF(OR(LEFT(B4372,FIND("_",B4372,1)-1)="ULGALLOC",LEFT(B4372,FIND("_",B4372,1)-1)="ULSPOOL"),LEFT(B4372,FIND("_",B4372,1)-1),VLOOKUP(LEFT(A4372,6),'Code Library'!$D$3:$E$200,2,0))&amp;"_"&amp;RIGHT(A4372,3)</f>
        <v>#VALUE!</v>
      </c>
      <c r="I4372" s="66">
        <f t="shared" si="68"/>
        <v>0</v>
      </c>
    </row>
    <row r="4373" spans="8:9">
      <c r="H4373" s="66" t="e">
        <f>IF(OR(LEFT(B4373,FIND("_",B4373,1)-1)="ULGALLOC",LEFT(B4373,FIND("_",B4373,1)-1)="ULSPOOL"),LEFT(B4373,FIND("_",B4373,1)-1),VLOOKUP(LEFT(A4373,6),'Code Library'!$D$3:$E$200,2,0))&amp;"_"&amp;RIGHT(A4373,3)</f>
        <v>#VALUE!</v>
      </c>
      <c r="I4373" s="66">
        <f t="shared" si="68"/>
        <v>0</v>
      </c>
    </row>
    <row r="4374" spans="8:9">
      <c r="H4374" s="66" t="e">
        <f>IF(OR(LEFT(B4374,FIND("_",B4374,1)-1)="ULGALLOC",LEFT(B4374,FIND("_",B4374,1)-1)="ULSPOOL"),LEFT(B4374,FIND("_",B4374,1)-1),VLOOKUP(LEFT(A4374,6),'Code Library'!$D$3:$E$200,2,0))&amp;"_"&amp;RIGHT(A4374,3)</f>
        <v>#VALUE!</v>
      </c>
      <c r="I4374" s="66">
        <f t="shared" si="68"/>
        <v>0</v>
      </c>
    </row>
    <row r="4375" spans="8:9">
      <c r="H4375" s="66" t="e">
        <f>IF(OR(LEFT(B4375,FIND("_",B4375,1)-1)="ULGALLOC",LEFT(B4375,FIND("_",B4375,1)-1)="ULSPOOL"),LEFT(B4375,FIND("_",B4375,1)-1),VLOOKUP(LEFT(A4375,6),'Code Library'!$D$3:$E$200,2,0))&amp;"_"&amp;RIGHT(A4375,3)</f>
        <v>#VALUE!</v>
      </c>
      <c r="I4375" s="66">
        <f t="shared" si="68"/>
        <v>0</v>
      </c>
    </row>
    <row r="4376" spans="8:9">
      <c r="H4376" s="66" t="e">
        <f>IF(OR(LEFT(B4376,FIND("_",B4376,1)-1)="ULGALLOC",LEFT(B4376,FIND("_",B4376,1)-1)="ULSPOOL"),LEFT(B4376,FIND("_",B4376,1)-1),VLOOKUP(LEFT(A4376,6),'Code Library'!$D$3:$E$200,2,0))&amp;"_"&amp;RIGHT(A4376,3)</f>
        <v>#VALUE!</v>
      </c>
      <c r="I4376" s="66">
        <f t="shared" si="68"/>
        <v>0</v>
      </c>
    </row>
    <row r="4377" spans="8:9">
      <c r="H4377" s="66" t="e">
        <f>IF(OR(LEFT(B4377,FIND("_",B4377,1)-1)="ULGALLOC",LEFT(B4377,FIND("_",B4377,1)-1)="ULSPOOL"),LEFT(B4377,FIND("_",B4377,1)-1),VLOOKUP(LEFT(A4377,6),'Code Library'!$D$3:$E$200,2,0))&amp;"_"&amp;RIGHT(A4377,3)</f>
        <v>#VALUE!</v>
      </c>
      <c r="I4377" s="66">
        <f t="shared" si="68"/>
        <v>0</v>
      </c>
    </row>
    <row r="4378" spans="8:9">
      <c r="H4378" s="66" t="e">
        <f>IF(OR(LEFT(B4378,FIND("_",B4378,1)-1)="ULGALLOC",LEFT(B4378,FIND("_",B4378,1)-1)="ULSPOOL"),LEFT(B4378,FIND("_",B4378,1)-1),VLOOKUP(LEFT(A4378,6),'Code Library'!$D$3:$E$200,2,0))&amp;"_"&amp;RIGHT(A4378,3)</f>
        <v>#VALUE!</v>
      </c>
      <c r="I4378" s="66">
        <f t="shared" si="68"/>
        <v>0</v>
      </c>
    </row>
    <row r="4379" spans="8:9">
      <c r="H4379" s="66" t="e">
        <f>IF(OR(LEFT(B4379,FIND("_",B4379,1)-1)="ULGALLOC",LEFT(B4379,FIND("_",B4379,1)-1)="ULSPOOL"),LEFT(B4379,FIND("_",B4379,1)-1),VLOOKUP(LEFT(A4379,6),'Code Library'!$D$3:$E$200,2,0))&amp;"_"&amp;RIGHT(A4379,3)</f>
        <v>#VALUE!</v>
      </c>
      <c r="I4379" s="66">
        <f t="shared" si="68"/>
        <v>0</v>
      </c>
    </row>
    <row r="4380" spans="8:9">
      <c r="H4380" s="66" t="e">
        <f>IF(OR(LEFT(B4380,FIND("_",B4380,1)-1)="ULGALLOC",LEFT(B4380,FIND("_",B4380,1)-1)="ULSPOOL"),LEFT(B4380,FIND("_",B4380,1)-1),VLOOKUP(LEFT(A4380,6),'Code Library'!$D$3:$E$200,2,0))&amp;"_"&amp;RIGHT(A4380,3)</f>
        <v>#VALUE!</v>
      </c>
      <c r="I4380" s="66">
        <f t="shared" si="68"/>
        <v>0</v>
      </c>
    </row>
    <row r="4381" spans="8:9">
      <c r="H4381" s="66" t="e">
        <f>IF(OR(LEFT(B4381,FIND("_",B4381,1)-1)="ULGALLOC",LEFT(B4381,FIND("_",B4381,1)-1)="ULSPOOL"),LEFT(B4381,FIND("_",B4381,1)-1),VLOOKUP(LEFT(A4381,6),'Code Library'!$D$3:$E$200,2,0))&amp;"_"&amp;RIGHT(A4381,3)</f>
        <v>#VALUE!</v>
      </c>
      <c r="I4381" s="66">
        <f t="shared" si="68"/>
        <v>0</v>
      </c>
    </row>
    <row r="4382" spans="8:9">
      <c r="H4382" s="66" t="e">
        <f>IF(OR(LEFT(B4382,FIND("_",B4382,1)-1)="ULGALLOC",LEFT(B4382,FIND("_",B4382,1)-1)="ULSPOOL"),LEFT(B4382,FIND("_",B4382,1)-1),VLOOKUP(LEFT(A4382,6),'Code Library'!$D$3:$E$200,2,0))&amp;"_"&amp;RIGHT(A4382,3)</f>
        <v>#VALUE!</v>
      </c>
      <c r="I4382" s="66">
        <f t="shared" si="68"/>
        <v>0</v>
      </c>
    </row>
    <row r="4383" spans="8:9">
      <c r="H4383" s="66" t="e">
        <f>IF(OR(LEFT(B4383,FIND("_",B4383,1)-1)="ULGALLOC",LEFT(B4383,FIND("_",B4383,1)-1)="ULSPOOL"),LEFT(B4383,FIND("_",B4383,1)-1),VLOOKUP(LEFT(A4383,6),'Code Library'!$D$3:$E$200,2,0))&amp;"_"&amp;RIGHT(A4383,3)</f>
        <v>#VALUE!</v>
      </c>
      <c r="I4383" s="66">
        <f t="shared" si="68"/>
        <v>0</v>
      </c>
    </row>
    <row r="4384" spans="8:9">
      <c r="H4384" s="66" t="e">
        <f>IF(OR(LEFT(B4384,FIND("_",B4384,1)-1)="ULGALLOC",LEFT(B4384,FIND("_",B4384,1)-1)="ULSPOOL"),LEFT(B4384,FIND("_",B4384,1)-1),VLOOKUP(LEFT(A4384,6),'Code Library'!$D$3:$E$200,2,0))&amp;"_"&amp;RIGHT(A4384,3)</f>
        <v>#VALUE!</v>
      </c>
      <c r="I4384" s="66">
        <f t="shared" si="68"/>
        <v>0</v>
      </c>
    </row>
    <row r="4385" spans="8:9">
      <c r="H4385" s="66" t="e">
        <f>IF(OR(LEFT(B4385,FIND("_",B4385,1)-1)="ULGALLOC",LEFT(B4385,FIND("_",B4385,1)-1)="ULSPOOL"),LEFT(B4385,FIND("_",B4385,1)-1),VLOOKUP(LEFT(A4385,6),'Code Library'!$D$3:$E$200,2,0))&amp;"_"&amp;RIGHT(A4385,3)</f>
        <v>#VALUE!</v>
      </c>
      <c r="I4385" s="66">
        <f t="shared" si="68"/>
        <v>0</v>
      </c>
    </row>
    <row r="4386" spans="8:9">
      <c r="H4386" s="66" t="e">
        <f>IF(OR(LEFT(B4386,FIND("_",B4386,1)-1)="ULGALLOC",LEFT(B4386,FIND("_",B4386,1)-1)="ULSPOOL"),LEFT(B4386,FIND("_",B4386,1)-1),VLOOKUP(LEFT(A4386,6),'Code Library'!$D$3:$E$200,2,0))&amp;"_"&amp;RIGHT(A4386,3)</f>
        <v>#VALUE!</v>
      </c>
      <c r="I4386" s="66">
        <f t="shared" si="68"/>
        <v>0</v>
      </c>
    </row>
    <row r="4387" spans="8:9">
      <c r="H4387" s="66" t="e">
        <f>IF(OR(LEFT(B4387,FIND("_",B4387,1)-1)="ULGALLOC",LEFT(B4387,FIND("_",B4387,1)-1)="ULSPOOL"),LEFT(B4387,FIND("_",B4387,1)-1),VLOOKUP(LEFT(A4387,6),'Code Library'!$D$3:$E$200,2,0))&amp;"_"&amp;RIGHT(A4387,3)</f>
        <v>#VALUE!</v>
      </c>
      <c r="I4387" s="66">
        <f t="shared" si="68"/>
        <v>0</v>
      </c>
    </row>
    <row r="4388" spans="8:9">
      <c r="H4388" s="66" t="e">
        <f>IF(OR(LEFT(B4388,FIND("_",B4388,1)-1)="ULGALLOC",LEFT(B4388,FIND("_",B4388,1)-1)="ULSPOOL"),LEFT(B4388,FIND("_",B4388,1)-1),VLOOKUP(LEFT(A4388,6),'Code Library'!$D$3:$E$200,2,0))&amp;"_"&amp;RIGHT(A4388,3)</f>
        <v>#VALUE!</v>
      </c>
      <c r="I4388" s="66">
        <f t="shared" si="68"/>
        <v>0</v>
      </c>
    </row>
    <row r="4389" spans="8:9">
      <c r="H4389" s="66" t="e">
        <f>IF(OR(LEFT(B4389,FIND("_",B4389,1)-1)="ULGALLOC",LEFT(B4389,FIND("_",B4389,1)-1)="ULSPOOL"),LEFT(B4389,FIND("_",B4389,1)-1),VLOOKUP(LEFT(A4389,6),'Code Library'!$D$3:$E$200,2,0))&amp;"_"&amp;RIGHT(A4389,3)</f>
        <v>#VALUE!</v>
      </c>
      <c r="I4389" s="66">
        <f t="shared" si="68"/>
        <v>0</v>
      </c>
    </row>
    <row r="4390" spans="8:9">
      <c r="H4390" s="66" t="e">
        <f>IF(OR(LEFT(B4390,FIND("_",B4390,1)-1)="ULGALLOC",LEFT(B4390,FIND("_",B4390,1)-1)="ULSPOOL"),LEFT(B4390,FIND("_",B4390,1)-1),VLOOKUP(LEFT(A4390,6),'Code Library'!$D$3:$E$200,2,0))&amp;"_"&amp;RIGHT(A4390,3)</f>
        <v>#VALUE!</v>
      </c>
      <c r="I4390" s="66">
        <f t="shared" si="68"/>
        <v>0</v>
      </c>
    </row>
    <row r="4391" spans="8:9">
      <c r="H4391" s="66" t="e">
        <f>IF(OR(LEFT(B4391,FIND("_",B4391,1)-1)="ULGALLOC",LEFT(B4391,FIND("_",B4391,1)-1)="ULSPOOL"),LEFT(B4391,FIND("_",B4391,1)-1),VLOOKUP(LEFT(A4391,6),'Code Library'!$D$3:$E$200,2,0))&amp;"_"&amp;RIGHT(A4391,3)</f>
        <v>#VALUE!</v>
      </c>
      <c r="I4391" s="66">
        <f t="shared" si="68"/>
        <v>0</v>
      </c>
    </row>
    <row r="4392" spans="8:9">
      <c r="H4392" s="66" t="e">
        <f>IF(OR(LEFT(B4392,FIND("_",B4392,1)-1)="ULGALLOC",LEFT(B4392,FIND("_",B4392,1)-1)="ULSPOOL"),LEFT(B4392,FIND("_",B4392,1)-1),VLOOKUP(LEFT(A4392,6),'Code Library'!$D$3:$E$200,2,0))&amp;"_"&amp;RIGHT(A4392,3)</f>
        <v>#VALUE!</v>
      </c>
      <c r="I4392" s="66">
        <f t="shared" si="68"/>
        <v>0</v>
      </c>
    </row>
    <row r="4393" spans="8:9">
      <c r="H4393" s="66" t="e">
        <f>IF(OR(LEFT(B4393,FIND("_",B4393,1)-1)="ULGALLOC",LEFT(B4393,FIND("_",B4393,1)-1)="ULSPOOL"),LEFT(B4393,FIND("_",B4393,1)-1),VLOOKUP(LEFT(A4393,6),'Code Library'!$D$3:$E$200,2,0))&amp;"_"&amp;RIGHT(A4393,3)</f>
        <v>#VALUE!</v>
      </c>
      <c r="I4393" s="66">
        <f t="shared" si="68"/>
        <v>0</v>
      </c>
    </row>
    <row r="4394" spans="8:9">
      <c r="H4394" s="66" t="e">
        <f>IF(OR(LEFT(B4394,FIND("_",B4394,1)-1)="ULGALLOC",LEFT(B4394,FIND("_",B4394,1)-1)="ULSPOOL"),LEFT(B4394,FIND("_",B4394,1)-1),VLOOKUP(LEFT(A4394,6),'Code Library'!$D$3:$E$200,2,0))&amp;"_"&amp;RIGHT(A4394,3)</f>
        <v>#VALUE!</v>
      </c>
      <c r="I4394" s="66">
        <f t="shared" si="68"/>
        <v>0</v>
      </c>
    </row>
    <row r="4395" spans="8:9">
      <c r="H4395" s="66" t="e">
        <f>IF(OR(LEFT(B4395,FIND("_",B4395,1)-1)="ULGALLOC",LEFT(B4395,FIND("_",B4395,1)-1)="ULSPOOL"),LEFT(B4395,FIND("_",B4395,1)-1),VLOOKUP(LEFT(A4395,6),'Code Library'!$D$3:$E$200,2,0))&amp;"_"&amp;RIGHT(A4395,3)</f>
        <v>#VALUE!</v>
      </c>
      <c r="I4395" s="66">
        <f t="shared" si="68"/>
        <v>0</v>
      </c>
    </row>
    <row r="4396" spans="8:9">
      <c r="H4396" s="66" t="e">
        <f>IF(OR(LEFT(B4396,FIND("_",B4396,1)-1)="ULGALLOC",LEFT(B4396,FIND("_",B4396,1)-1)="ULSPOOL"),LEFT(B4396,FIND("_",B4396,1)-1),VLOOKUP(LEFT(A4396,6),'Code Library'!$D$3:$E$200,2,0))&amp;"_"&amp;RIGHT(A4396,3)</f>
        <v>#VALUE!</v>
      </c>
      <c r="I4396" s="66">
        <f t="shared" si="68"/>
        <v>0</v>
      </c>
    </row>
    <row r="4397" spans="8:9">
      <c r="H4397" s="66" t="e">
        <f>IF(OR(LEFT(B4397,FIND("_",B4397,1)-1)="ULGALLOC",LEFT(B4397,FIND("_",B4397,1)-1)="ULSPOOL"),LEFT(B4397,FIND("_",B4397,1)-1),VLOOKUP(LEFT(A4397,6),'Code Library'!$D$3:$E$200,2,0))&amp;"_"&amp;RIGHT(A4397,3)</f>
        <v>#VALUE!</v>
      </c>
      <c r="I4397" s="66">
        <f t="shared" si="68"/>
        <v>0</v>
      </c>
    </row>
    <row r="4398" spans="8:9">
      <c r="H4398" s="66" t="e">
        <f>IF(OR(LEFT(B4398,FIND("_",B4398,1)-1)="ULGALLOC",LEFT(B4398,FIND("_",B4398,1)-1)="ULSPOOL"),LEFT(B4398,FIND("_",B4398,1)-1),VLOOKUP(LEFT(A4398,6),'Code Library'!$D$3:$E$200,2,0))&amp;"_"&amp;RIGHT(A4398,3)</f>
        <v>#VALUE!</v>
      </c>
      <c r="I4398" s="66">
        <f t="shared" si="68"/>
        <v>0</v>
      </c>
    </row>
    <row r="4399" spans="8:9">
      <c r="H4399" s="66" t="e">
        <f>IF(OR(LEFT(B4399,FIND("_",B4399,1)-1)="ULGALLOC",LEFT(B4399,FIND("_",B4399,1)-1)="ULSPOOL"),LEFT(B4399,FIND("_",B4399,1)-1),VLOOKUP(LEFT(A4399,6),'Code Library'!$D$3:$E$200,2,0))&amp;"_"&amp;RIGHT(A4399,3)</f>
        <v>#VALUE!</v>
      </c>
      <c r="I4399" s="66">
        <f t="shared" si="68"/>
        <v>0</v>
      </c>
    </row>
    <row r="4400" spans="8:9">
      <c r="H4400" s="66" t="e">
        <f>IF(OR(LEFT(B4400,FIND("_",B4400,1)-1)="ULGALLOC",LEFT(B4400,FIND("_",B4400,1)-1)="ULSPOOL"),LEFT(B4400,FIND("_",B4400,1)-1),VLOOKUP(LEFT(A4400,6),'Code Library'!$D$3:$E$200,2,0))&amp;"_"&amp;RIGHT(A4400,3)</f>
        <v>#VALUE!</v>
      </c>
      <c r="I4400" s="66">
        <f t="shared" si="68"/>
        <v>0</v>
      </c>
    </row>
    <row r="4401" spans="8:9">
      <c r="H4401" s="66" t="e">
        <f>IF(OR(LEFT(B4401,FIND("_",B4401,1)-1)="ULGALLOC",LEFT(B4401,FIND("_",B4401,1)-1)="ULSPOOL"),LEFT(B4401,FIND("_",B4401,1)-1),VLOOKUP(LEFT(A4401,6),'Code Library'!$D$3:$E$200,2,0))&amp;"_"&amp;RIGHT(A4401,3)</f>
        <v>#VALUE!</v>
      </c>
      <c r="I4401" s="66">
        <f t="shared" si="68"/>
        <v>0</v>
      </c>
    </row>
    <row r="4402" spans="8:9">
      <c r="H4402" s="66" t="e">
        <f>IF(OR(LEFT(B4402,FIND("_",B4402,1)-1)="ULGALLOC",LEFT(B4402,FIND("_",B4402,1)-1)="ULSPOOL"),LEFT(B4402,FIND("_",B4402,1)-1),VLOOKUP(LEFT(A4402,6),'Code Library'!$D$3:$E$200,2,0))&amp;"_"&amp;RIGHT(A4402,3)</f>
        <v>#VALUE!</v>
      </c>
      <c r="I4402" s="66">
        <f t="shared" si="68"/>
        <v>0</v>
      </c>
    </row>
    <row r="4403" spans="8:9">
      <c r="H4403" s="66" t="e">
        <f>IF(OR(LEFT(B4403,FIND("_",B4403,1)-1)="ULGALLOC",LEFT(B4403,FIND("_",B4403,1)-1)="ULSPOOL"),LEFT(B4403,FIND("_",B4403,1)-1),VLOOKUP(LEFT(A4403,6),'Code Library'!$D$3:$E$200,2,0))&amp;"_"&amp;RIGHT(A4403,3)</f>
        <v>#VALUE!</v>
      </c>
      <c r="I4403" s="66">
        <f t="shared" si="68"/>
        <v>0</v>
      </c>
    </row>
    <row r="4404" spans="8:9">
      <c r="H4404" s="66" t="e">
        <f>IF(OR(LEFT(B4404,FIND("_",B4404,1)-1)="ULGALLOC",LEFT(B4404,FIND("_",B4404,1)-1)="ULSPOOL"),LEFT(B4404,FIND("_",B4404,1)-1),VLOOKUP(LEFT(A4404,6),'Code Library'!$D$3:$E$200,2,0))&amp;"_"&amp;RIGHT(A4404,3)</f>
        <v>#VALUE!</v>
      </c>
      <c r="I4404" s="66">
        <f t="shared" si="68"/>
        <v>0</v>
      </c>
    </row>
    <row r="4405" spans="8:9">
      <c r="H4405" s="66" t="e">
        <f>IF(OR(LEFT(B4405,FIND("_",B4405,1)-1)="ULGALLOC",LEFT(B4405,FIND("_",B4405,1)-1)="ULSPOOL"),LEFT(B4405,FIND("_",B4405,1)-1),VLOOKUP(LEFT(A4405,6),'Code Library'!$D$3:$E$200,2,0))&amp;"_"&amp;RIGHT(A4405,3)</f>
        <v>#VALUE!</v>
      </c>
      <c r="I4405" s="66">
        <f t="shared" si="68"/>
        <v>0</v>
      </c>
    </row>
    <row r="4406" spans="8:9">
      <c r="H4406" s="66" t="e">
        <f>IF(OR(LEFT(B4406,FIND("_",B4406,1)-1)="ULGALLOC",LEFT(B4406,FIND("_",B4406,1)-1)="ULSPOOL"),LEFT(B4406,FIND("_",B4406,1)-1),VLOOKUP(LEFT(A4406,6),'Code Library'!$D$3:$E$200,2,0))&amp;"_"&amp;RIGHT(A4406,3)</f>
        <v>#VALUE!</v>
      </c>
      <c r="I4406" s="66">
        <f t="shared" si="68"/>
        <v>0</v>
      </c>
    </row>
    <row r="4407" spans="8:9">
      <c r="H4407" s="66" t="e">
        <f>IF(OR(LEFT(B4407,FIND("_",B4407,1)-1)="ULGALLOC",LEFT(B4407,FIND("_",B4407,1)-1)="ULSPOOL"),LEFT(B4407,FIND("_",B4407,1)-1),VLOOKUP(LEFT(A4407,6),'Code Library'!$D$3:$E$200,2,0))&amp;"_"&amp;RIGHT(A4407,3)</f>
        <v>#VALUE!</v>
      </c>
      <c r="I4407" s="66">
        <f t="shared" si="68"/>
        <v>0</v>
      </c>
    </row>
    <row r="4408" spans="8:9">
      <c r="H4408" s="66" t="e">
        <f>IF(OR(LEFT(B4408,FIND("_",B4408,1)-1)="ULGALLOC",LEFT(B4408,FIND("_",B4408,1)-1)="ULSPOOL"),LEFT(B4408,FIND("_",B4408,1)-1),VLOOKUP(LEFT(A4408,6),'Code Library'!$D$3:$E$200,2,0))&amp;"_"&amp;RIGHT(A4408,3)</f>
        <v>#VALUE!</v>
      </c>
      <c r="I4408" s="66">
        <f t="shared" si="68"/>
        <v>0</v>
      </c>
    </row>
    <row r="4409" spans="8:9">
      <c r="H4409" s="66" t="e">
        <f>IF(OR(LEFT(B4409,FIND("_",B4409,1)-1)="ULGALLOC",LEFT(B4409,FIND("_",B4409,1)-1)="ULSPOOL"),LEFT(B4409,FIND("_",B4409,1)-1),VLOOKUP(LEFT(A4409,6),'Code Library'!$D$3:$E$200,2,0))&amp;"_"&amp;RIGHT(A4409,3)</f>
        <v>#VALUE!</v>
      </c>
      <c r="I4409" s="66">
        <f t="shared" si="68"/>
        <v>0</v>
      </c>
    </row>
    <row r="4410" spans="8:9">
      <c r="H4410" s="66" t="e">
        <f>IF(OR(LEFT(B4410,FIND("_",B4410,1)-1)="ULGALLOC",LEFT(B4410,FIND("_",B4410,1)-1)="ULSPOOL"),LEFT(B4410,FIND("_",B4410,1)-1),VLOOKUP(LEFT(A4410,6),'Code Library'!$D$3:$E$200,2,0))&amp;"_"&amp;RIGHT(A4410,3)</f>
        <v>#VALUE!</v>
      </c>
      <c r="I4410" s="66">
        <f t="shared" si="68"/>
        <v>0</v>
      </c>
    </row>
    <row r="4411" spans="8:9">
      <c r="H4411" s="66" t="e">
        <f>IF(OR(LEFT(B4411,FIND("_",B4411,1)-1)="ULGALLOC",LEFT(B4411,FIND("_",B4411,1)-1)="ULSPOOL"),LEFT(B4411,FIND("_",B4411,1)-1),VLOOKUP(LEFT(A4411,6),'Code Library'!$D$3:$E$200,2,0))&amp;"_"&amp;RIGHT(A4411,3)</f>
        <v>#VALUE!</v>
      </c>
      <c r="I4411" s="66">
        <f t="shared" si="68"/>
        <v>0</v>
      </c>
    </row>
    <row r="4412" spans="8:9">
      <c r="H4412" s="66" t="e">
        <f>IF(OR(LEFT(B4412,FIND("_",B4412,1)-1)="ULGALLOC",LEFT(B4412,FIND("_",B4412,1)-1)="ULSPOOL"),LEFT(B4412,FIND("_",B4412,1)-1),VLOOKUP(LEFT(A4412,6),'Code Library'!$D$3:$E$200,2,0))&amp;"_"&amp;RIGHT(A4412,3)</f>
        <v>#VALUE!</v>
      </c>
      <c r="I4412" s="66">
        <f t="shared" si="68"/>
        <v>0</v>
      </c>
    </row>
    <row r="4413" spans="8:9">
      <c r="H4413" s="66" t="e">
        <f>IF(OR(LEFT(B4413,FIND("_",B4413,1)-1)="ULGALLOC",LEFT(B4413,FIND("_",B4413,1)-1)="ULSPOOL"),LEFT(B4413,FIND("_",B4413,1)-1),VLOOKUP(LEFT(A4413,6),'Code Library'!$D$3:$E$200,2,0))&amp;"_"&amp;RIGHT(A4413,3)</f>
        <v>#VALUE!</v>
      </c>
      <c r="I4413" s="66">
        <f t="shared" si="68"/>
        <v>0</v>
      </c>
    </row>
    <row r="4414" spans="8:9">
      <c r="H4414" s="66" t="e">
        <f>IF(OR(LEFT(B4414,FIND("_",B4414,1)-1)="ULGALLOC",LEFT(B4414,FIND("_",B4414,1)-1)="ULSPOOL"),LEFT(B4414,FIND("_",B4414,1)-1),VLOOKUP(LEFT(A4414,6),'Code Library'!$D$3:$E$200,2,0))&amp;"_"&amp;RIGHT(A4414,3)</f>
        <v>#VALUE!</v>
      </c>
      <c r="I4414" s="66">
        <f t="shared" si="68"/>
        <v>0</v>
      </c>
    </row>
    <row r="4415" spans="8:9">
      <c r="H4415" s="66" t="e">
        <f>IF(OR(LEFT(B4415,FIND("_",B4415,1)-1)="ULGALLOC",LEFT(B4415,FIND("_",B4415,1)-1)="ULSPOOL"),LEFT(B4415,FIND("_",B4415,1)-1),VLOOKUP(LEFT(A4415,6),'Code Library'!$D$3:$E$200,2,0))&amp;"_"&amp;RIGHT(A4415,3)</f>
        <v>#VALUE!</v>
      </c>
      <c r="I4415" s="66">
        <f t="shared" si="68"/>
        <v>0</v>
      </c>
    </row>
    <row r="4416" spans="8:9">
      <c r="H4416" s="66" t="e">
        <f>IF(OR(LEFT(B4416,FIND("_",B4416,1)-1)="ULGALLOC",LEFT(B4416,FIND("_",B4416,1)-1)="ULSPOOL"),LEFT(B4416,FIND("_",B4416,1)-1),VLOOKUP(LEFT(A4416,6),'Code Library'!$D$3:$E$200,2,0))&amp;"_"&amp;RIGHT(A4416,3)</f>
        <v>#VALUE!</v>
      </c>
      <c r="I4416" s="66">
        <f t="shared" si="68"/>
        <v>0</v>
      </c>
    </row>
    <row r="4417" spans="8:9">
      <c r="H4417" s="66" t="e">
        <f>IF(OR(LEFT(B4417,FIND("_",B4417,1)-1)="ULGALLOC",LEFT(B4417,FIND("_",B4417,1)-1)="ULSPOOL"),LEFT(B4417,FIND("_",B4417,1)-1),VLOOKUP(LEFT(A4417,6),'Code Library'!$D$3:$E$200,2,0))&amp;"_"&amp;RIGHT(A4417,3)</f>
        <v>#VALUE!</v>
      </c>
      <c r="I4417" s="66">
        <f t="shared" si="68"/>
        <v>0</v>
      </c>
    </row>
    <row r="4418" spans="8:9">
      <c r="H4418" s="66" t="e">
        <f>IF(OR(LEFT(B4418,FIND("_",B4418,1)-1)="ULGALLOC",LEFT(B4418,FIND("_",B4418,1)-1)="ULSPOOL"),LEFT(B4418,FIND("_",B4418,1)-1),VLOOKUP(LEFT(A4418,6),'Code Library'!$D$3:$E$200,2,0))&amp;"_"&amp;RIGHT(A4418,3)</f>
        <v>#VALUE!</v>
      </c>
      <c r="I4418" s="66">
        <f t="shared" si="68"/>
        <v>0</v>
      </c>
    </row>
    <row r="4419" spans="8:9">
      <c r="H4419" s="66" t="e">
        <f>IF(OR(LEFT(B4419,FIND("_",B4419,1)-1)="ULGALLOC",LEFT(B4419,FIND("_",B4419,1)-1)="ULSPOOL"),LEFT(B4419,FIND("_",B4419,1)-1),VLOOKUP(LEFT(A4419,6),'Code Library'!$D$3:$E$200,2,0))&amp;"_"&amp;RIGHT(A4419,3)</f>
        <v>#VALUE!</v>
      </c>
      <c r="I4419" s="66">
        <f t="shared" ref="I4419:I4482" si="69">A4419</f>
        <v>0</v>
      </c>
    </row>
    <row r="4420" spans="8:9">
      <c r="H4420" s="66" t="e">
        <f>IF(OR(LEFT(B4420,FIND("_",B4420,1)-1)="ULGALLOC",LEFT(B4420,FIND("_",B4420,1)-1)="ULSPOOL"),LEFT(B4420,FIND("_",B4420,1)-1),VLOOKUP(LEFT(A4420,6),'Code Library'!$D$3:$E$200,2,0))&amp;"_"&amp;RIGHT(A4420,3)</f>
        <v>#VALUE!</v>
      </c>
      <c r="I4420" s="66">
        <f t="shared" si="69"/>
        <v>0</v>
      </c>
    </row>
    <row r="4421" spans="8:9">
      <c r="H4421" s="66" t="e">
        <f>IF(OR(LEFT(B4421,FIND("_",B4421,1)-1)="ULGALLOC",LEFT(B4421,FIND("_",B4421,1)-1)="ULSPOOL"),LEFT(B4421,FIND("_",B4421,1)-1),VLOOKUP(LEFT(A4421,6),'Code Library'!$D$3:$E$200,2,0))&amp;"_"&amp;RIGHT(A4421,3)</f>
        <v>#VALUE!</v>
      </c>
      <c r="I4421" s="66">
        <f t="shared" si="69"/>
        <v>0</v>
      </c>
    </row>
    <row r="4422" spans="8:9">
      <c r="H4422" s="66" t="e">
        <f>IF(OR(LEFT(B4422,FIND("_",B4422,1)-1)="ULGALLOC",LEFT(B4422,FIND("_",B4422,1)-1)="ULSPOOL"),LEFT(B4422,FIND("_",B4422,1)-1),VLOOKUP(LEFT(A4422,6),'Code Library'!$D$3:$E$200,2,0))&amp;"_"&amp;RIGHT(A4422,3)</f>
        <v>#VALUE!</v>
      </c>
      <c r="I4422" s="66">
        <f t="shared" si="69"/>
        <v>0</v>
      </c>
    </row>
    <row r="4423" spans="8:9">
      <c r="H4423" s="66" t="e">
        <f>IF(OR(LEFT(B4423,FIND("_",B4423,1)-1)="ULGALLOC",LEFT(B4423,FIND("_",B4423,1)-1)="ULSPOOL"),LEFT(B4423,FIND("_",B4423,1)-1),VLOOKUP(LEFT(A4423,6),'Code Library'!$D$3:$E$200,2,0))&amp;"_"&amp;RIGHT(A4423,3)</f>
        <v>#VALUE!</v>
      </c>
      <c r="I4423" s="66">
        <f t="shared" si="69"/>
        <v>0</v>
      </c>
    </row>
    <row r="4424" spans="8:9">
      <c r="H4424" s="66" t="e">
        <f>IF(OR(LEFT(B4424,FIND("_",B4424,1)-1)="ULGALLOC",LEFT(B4424,FIND("_",B4424,1)-1)="ULSPOOL"),LEFT(B4424,FIND("_",B4424,1)-1),VLOOKUP(LEFT(A4424,6),'Code Library'!$D$3:$E$200,2,0))&amp;"_"&amp;RIGHT(A4424,3)</f>
        <v>#VALUE!</v>
      </c>
      <c r="I4424" s="66">
        <f t="shared" si="69"/>
        <v>0</v>
      </c>
    </row>
    <row r="4425" spans="8:9">
      <c r="H4425" s="66" t="e">
        <f>IF(OR(LEFT(B4425,FIND("_",B4425,1)-1)="ULGALLOC",LEFT(B4425,FIND("_",B4425,1)-1)="ULSPOOL"),LEFT(B4425,FIND("_",B4425,1)-1),VLOOKUP(LEFT(A4425,6),'Code Library'!$D$3:$E$200,2,0))&amp;"_"&amp;RIGHT(A4425,3)</f>
        <v>#VALUE!</v>
      </c>
      <c r="I4425" s="66">
        <f t="shared" si="69"/>
        <v>0</v>
      </c>
    </row>
    <row r="4426" spans="8:9">
      <c r="H4426" s="66" t="e">
        <f>IF(OR(LEFT(B4426,FIND("_",B4426,1)-1)="ULGALLOC",LEFT(B4426,FIND("_",B4426,1)-1)="ULSPOOL"),LEFT(B4426,FIND("_",B4426,1)-1),VLOOKUP(LEFT(A4426,6),'Code Library'!$D$3:$E$200,2,0))&amp;"_"&amp;RIGHT(A4426,3)</f>
        <v>#VALUE!</v>
      </c>
      <c r="I4426" s="66">
        <f t="shared" si="69"/>
        <v>0</v>
      </c>
    </row>
    <row r="4427" spans="8:9">
      <c r="H4427" s="66" t="e">
        <f>IF(OR(LEFT(B4427,FIND("_",B4427,1)-1)="ULGALLOC",LEFT(B4427,FIND("_",B4427,1)-1)="ULSPOOL"),LEFT(B4427,FIND("_",B4427,1)-1),VLOOKUP(LEFT(A4427,6),'Code Library'!$D$3:$E$200,2,0))&amp;"_"&amp;RIGHT(A4427,3)</f>
        <v>#VALUE!</v>
      </c>
      <c r="I4427" s="66">
        <f t="shared" si="69"/>
        <v>0</v>
      </c>
    </row>
    <row r="4428" spans="8:9">
      <c r="H4428" s="66" t="e">
        <f>IF(OR(LEFT(B4428,FIND("_",B4428,1)-1)="ULGALLOC",LEFT(B4428,FIND("_",B4428,1)-1)="ULSPOOL"),LEFT(B4428,FIND("_",B4428,1)-1),VLOOKUP(LEFT(A4428,6),'Code Library'!$D$3:$E$200,2,0))&amp;"_"&amp;RIGHT(A4428,3)</f>
        <v>#VALUE!</v>
      </c>
      <c r="I4428" s="66">
        <f t="shared" si="69"/>
        <v>0</v>
      </c>
    </row>
    <row r="4429" spans="8:9">
      <c r="H4429" s="66" t="e">
        <f>IF(OR(LEFT(B4429,FIND("_",B4429,1)-1)="ULGALLOC",LEFT(B4429,FIND("_",B4429,1)-1)="ULSPOOL"),LEFT(B4429,FIND("_",B4429,1)-1),VLOOKUP(LEFT(A4429,6),'Code Library'!$D$3:$E$200,2,0))&amp;"_"&amp;RIGHT(A4429,3)</f>
        <v>#VALUE!</v>
      </c>
      <c r="I4429" s="66">
        <f t="shared" si="69"/>
        <v>0</v>
      </c>
    </row>
    <row r="4430" spans="8:9">
      <c r="H4430" s="66" t="e">
        <f>IF(OR(LEFT(B4430,FIND("_",B4430,1)-1)="ULGALLOC",LEFT(B4430,FIND("_",B4430,1)-1)="ULSPOOL"),LEFT(B4430,FIND("_",B4430,1)-1),VLOOKUP(LEFT(A4430,6),'Code Library'!$D$3:$E$200,2,0))&amp;"_"&amp;RIGHT(A4430,3)</f>
        <v>#VALUE!</v>
      </c>
      <c r="I4430" s="66">
        <f t="shared" si="69"/>
        <v>0</v>
      </c>
    </row>
    <row r="4431" spans="8:9">
      <c r="H4431" s="66" t="e">
        <f>IF(OR(LEFT(B4431,FIND("_",B4431,1)-1)="ULGALLOC",LEFT(B4431,FIND("_",B4431,1)-1)="ULSPOOL"),LEFT(B4431,FIND("_",B4431,1)-1),VLOOKUP(LEFT(A4431,6),'Code Library'!$D$3:$E$200,2,0))&amp;"_"&amp;RIGHT(A4431,3)</f>
        <v>#VALUE!</v>
      </c>
      <c r="I4431" s="66">
        <f t="shared" si="69"/>
        <v>0</v>
      </c>
    </row>
    <row r="4432" spans="8:9">
      <c r="H4432" s="66" t="e">
        <f>IF(OR(LEFT(B4432,FIND("_",B4432,1)-1)="ULGALLOC",LEFT(B4432,FIND("_",B4432,1)-1)="ULSPOOL"),LEFT(B4432,FIND("_",B4432,1)-1),VLOOKUP(LEFT(A4432,6),'Code Library'!$D$3:$E$200,2,0))&amp;"_"&amp;RIGHT(A4432,3)</f>
        <v>#VALUE!</v>
      </c>
      <c r="I4432" s="66">
        <f t="shared" si="69"/>
        <v>0</v>
      </c>
    </row>
    <row r="4433" spans="8:9">
      <c r="H4433" s="66" t="e">
        <f>IF(OR(LEFT(B4433,FIND("_",B4433,1)-1)="ULGALLOC",LEFT(B4433,FIND("_",B4433,1)-1)="ULSPOOL"),LEFT(B4433,FIND("_",B4433,1)-1),VLOOKUP(LEFT(A4433,6),'Code Library'!$D$3:$E$200,2,0))&amp;"_"&amp;RIGHT(A4433,3)</f>
        <v>#VALUE!</v>
      </c>
      <c r="I4433" s="66">
        <f t="shared" si="69"/>
        <v>0</v>
      </c>
    </row>
    <row r="4434" spans="8:9">
      <c r="H4434" s="66" t="e">
        <f>IF(OR(LEFT(B4434,FIND("_",B4434,1)-1)="ULGALLOC",LEFT(B4434,FIND("_",B4434,1)-1)="ULSPOOL"),LEFT(B4434,FIND("_",B4434,1)-1),VLOOKUP(LEFT(A4434,6),'Code Library'!$D$3:$E$200,2,0))&amp;"_"&amp;RIGHT(A4434,3)</f>
        <v>#VALUE!</v>
      </c>
      <c r="I4434" s="66">
        <f t="shared" si="69"/>
        <v>0</v>
      </c>
    </row>
    <row r="4435" spans="8:9">
      <c r="H4435" s="66" t="e">
        <f>IF(OR(LEFT(B4435,FIND("_",B4435,1)-1)="ULGALLOC",LEFT(B4435,FIND("_",B4435,1)-1)="ULSPOOL"),LEFT(B4435,FIND("_",B4435,1)-1),VLOOKUP(LEFT(A4435,6),'Code Library'!$D$3:$E$200,2,0))&amp;"_"&amp;RIGHT(A4435,3)</f>
        <v>#VALUE!</v>
      </c>
      <c r="I4435" s="66">
        <f t="shared" si="69"/>
        <v>0</v>
      </c>
    </row>
    <row r="4436" spans="8:9">
      <c r="H4436" s="66" t="e">
        <f>IF(OR(LEFT(B4436,FIND("_",B4436,1)-1)="ULGALLOC",LEFT(B4436,FIND("_",B4436,1)-1)="ULSPOOL"),LEFT(B4436,FIND("_",B4436,1)-1),VLOOKUP(LEFT(A4436,6),'Code Library'!$D$3:$E$200,2,0))&amp;"_"&amp;RIGHT(A4436,3)</f>
        <v>#VALUE!</v>
      </c>
      <c r="I4436" s="66">
        <f t="shared" si="69"/>
        <v>0</v>
      </c>
    </row>
    <row r="4437" spans="8:9">
      <c r="H4437" s="66" t="e">
        <f>IF(OR(LEFT(B4437,FIND("_",B4437,1)-1)="ULGALLOC",LEFT(B4437,FIND("_",B4437,1)-1)="ULSPOOL"),LEFT(B4437,FIND("_",B4437,1)-1),VLOOKUP(LEFT(A4437,6),'Code Library'!$D$3:$E$200,2,0))&amp;"_"&amp;RIGHT(A4437,3)</f>
        <v>#VALUE!</v>
      </c>
      <c r="I4437" s="66">
        <f t="shared" si="69"/>
        <v>0</v>
      </c>
    </row>
    <row r="4438" spans="8:9">
      <c r="H4438" s="66" t="e">
        <f>IF(OR(LEFT(B4438,FIND("_",B4438,1)-1)="ULGALLOC",LEFT(B4438,FIND("_",B4438,1)-1)="ULSPOOL"),LEFT(B4438,FIND("_",B4438,1)-1),VLOOKUP(LEFT(A4438,6),'Code Library'!$D$3:$E$200,2,0))&amp;"_"&amp;RIGHT(A4438,3)</f>
        <v>#VALUE!</v>
      </c>
      <c r="I4438" s="66">
        <f t="shared" si="69"/>
        <v>0</v>
      </c>
    </row>
    <row r="4439" spans="8:9">
      <c r="H4439" s="66" t="e">
        <f>IF(OR(LEFT(B4439,FIND("_",B4439,1)-1)="ULGALLOC",LEFT(B4439,FIND("_",B4439,1)-1)="ULSPOOL"),LEFT(B4439,FIND("_",B4439,1)-1),VLOOKUP(LEFT(A4439,6),'Code Library'!$D$3:$E$200,2,0))&amp;"_"&amp;RIGHT(A4439,3)</f>
        <v>#VALUE!</v>
      </c>
      <c r="I4439" s="66">
        <f t="shared" si="69"/>
        <v>0</v>
      </c>
    </row>
    <row r="4440" spans="8:9">
      <c r="H4440" s="66" t="e">
        <f>IF(OR(LEFT(B4440,FIND("_",B4440,1)-1)="ULGALLOC",LEFT(B4440,FIND("_",B4440,1)-1)="ULSPOOL"),LEFT(B4440,FIND("_",B4440,1)-1),VLOOKUP(LEFT(A4440,6),'Code Library'!$D$3:$E$200,2,0))&amp;"_"&amp;RIGHT(A4440,3)</f>
        <v>#VALUE!</v>
      </c>
      <c r="I4440" s="66">
        <f t="shared" si="69"/>
        <v>0</v>
      </c>
    </row>
    <row r="4441" spans="8:9">
      <c r="H4441" s="66" t="e">
        <f>IF(OR(LEFT(B4441,FIND("_",B4441,1)-1)="ULGALLOC",LEFT(B4441,FIND("_",B4441,1)-1)="ULSPOOL"),LEFT(B4441,FIND("_",B4441,1)-1),VLOOKUP(LEFT(A4441,6),'Code Library'!$D$3:$E$200,2,0))&amp;"_"&amp;RIGHT(A4441,3)</f>
        <v>#VALUE!</v>
      </c>
      <c r="I4441" s="66">
        <f t="shared" si="69"/>
        <v>0</v>
      </c>
    </row>
    <row r="4442" spans="8:9">
      <c r="H4442" s="66" t="e">
        <f>IF(OR(LEFT(B4442,FIND("_",B4442,1)-1)="ULGALLOC",LEFT(B4442,FIND("_",B4442,1)-1)="ULSPOOL"),LEFT(B4442,FIND("_",B4442,1)-1),VLOOKUP(LEFT(A4442,6),'Code Library'!$D$3:$E$200,2,0))&amp;"_"&amp;RIGHT(A4442,3)</f>
        <v>#VALUE!</v>
      </c>
      <c r="I4442" s="66">
        <f t="shared" si="69"/>
        <v>0</v>
      </c>
    </row>
    <row r="4443" spans="8:9">
      <c r="H4443" s="66" t="e">
        <f>IF(OR(LEFT(B4443,FIND("_",B4443,1)-1)="ULGALLOC",LEFT(B4443,FIND("_",B4443,1)-1)="ULSPOOL"),LEFT(B4443,FIND("_",B4443,1)-1),VLOOKUP(LEFT(A4443,6),'Code Library'!$D$3:$E$200,2,0))&amp;"_"&amp;RIGHT(A4443,3)</f>
        <v>#VALUE!</v>
      </c>
      <c r="I4443" s="66">
        <f t="shared" si="69"/>
        <v>0</v>
      </c>
    </row>
    <row r="4444" spans="8:9">
      <c r="H4444" s="66" t="e">
        <f>IF(OR(LEFT(B4444,FIND("_",B4444,1)-1)="ULGALLOC",LEFT(B4444,FIND("_",B4444,1)-1)="ULSPOOL"),LEFT(B4444,FIND("_",B4444,1)-1),VLOOKUP(LEFT(A4444,6),'Code Library'!$D$3:$E$200,2,0))&amp;"_"&amp;RIGHT(A4444,3)</f>
        <v>#VALUE!</v>
      </c>
      <c r="I4444" s="66">
        <f t="shared" si="69"/>
        <v>0</v>
      </c>
    </row>
    <row r="4445" spans="8:9">
      <c r="H4445" s="66" t="e">
        <f>IF(OR(LEFT(B4445,FIND("_",B4445,1)-1)="ULGALLOC",LEFT(B4445,FIND("_",B4445,1)-1)="ULSPOOL"),LEFT(B4445,FIND("_",B4445,1)-1),VLOOKUP(LEFT(A4445,6),'Code Library'!$D$3:$E$200,2,0))&amp;"_"&amp;RIGHT(A4445,3)</f>
        <v>#VALUE!</v>
      </c>
      <c r="I4445" s="66">
        <f t="shared" si="69"/>
        <v>0</v>
      </c>
    </row>
    <row r="4446" spans="8:9">
      <c r="H4446" s="66" t="e">
        <f>IF(OR(LEFT(B4446,FIND("_",B4446,1)-1)="ULGALLOC",LEFT(B4446,FIND("_",B4446,1)-1)="ULSPOOL"),LEFT(B4446,FIND("_",B4446,1)-1),VLOOKUP(LEFT(A4446,6),'Code Library'!$D$3:$E$200,2,0))&amp;"_"&amp;RIGHT(A4446,3)</f>
        <v>#VALUE!</v>
      </c>
      <c r="I4446" s="66">
        <f t="shared" si="69"/>
        <v>0</v>
      </c>
    </row>
    <row r="4447" spans="8:9">
      <c r="H4447" s="66" t="e">
        <f>IF(OR(LEFT(B4447,FIND("_",B4447,1)-1)="ULGALLOC",LEFT(B4447,FIND("_",B4447,1)-1)="ULSPOOL"),LEFT(B4447,FIND("_",B4447,1)-1),VLOOKUP(LEFT(A4447,6),'Code Library'!$D$3:$E$200,2,0))&amp;"_"&amp;RIGHT(A4447,3)</f>
        <v>#VALUE!</v>
      </c>
      <c r="I4447" s="66">
        <f t="shared" si="69"/>
        <v>0</v>
      </c>
    </row>
    <row r="4448" spans="8:9">
      <c r="H4448" s="66" t="e">
        <f>IF(OR(LEFT(B4448,FIND("_",B4448,1)-1)="ULGALLOC",LEFT(B4448,FIND("_",B4448,1)-1)="ULSPOOL"),LEFT(B4448,FIND("_",B4448,1)-1),VLOOKUP(LEFT(A4448,6),'Code Library'!$D$3:$E$200,2,0))&amp;"_"&amp;RIGHT(A4448,3)</f>
        <v>#VALUE!</v>
      </c>
      <c r="I4448" s="66">
        <f t="shared" si="69"/>
        <v>0</v>
      </c>
    </row>
    <row r="4449" spans="8:9">
      <c r="H4449" s="66" t="e">
        <f>IF(OR(LEFT(B4449,FIND("_",B4449,1)-1)="ULGALLOC",LEFT(B4449,FIND("_",B4449,1)-1)="ULSPOOL"),LEFT(B4449,FIND("_",B4449,1)-1),VLOOKUP(LEFT(A4449,6),'Code Library'!$D$3:$E$200,2,0))&amp;"_"&amp;RIGHT(A4449,3)</f>
        <v>#VALUE!</v>
      </c>
      <c r="I4449" s="66">
        <f t="shared" si="69"/>
        <v>0</v>
      </c>
    </row>
    <row r="4450" spans="8:9">
      <c r="H4450" s="66" t="e">
        <f>IF(OR(LEFT(B4450,FIND("_",B4450,1)-1)="ULGALLOC",LEFT(B4450,FIND("_",B4450,1)-1)="ULSPOOL"),LEFT(B4450,FIND("_",B4450,1)-1),VLOOKUP(LEFT(A4450,6),'Code Library'!$D$3:$E$200,2,0))&amp;"_"&amp;RIGHT(A4450,3)</f>
        <v>#VALUE!</v>
      </c>
      <c r="I4450" s="66">
        <f t="shared" si="69"/>
        <v>0</v>
      </c>
    </row>
    <row r="4451" spans="8:9">
      <c r="H4451" s="66" t="e">
        <f>IF(OR(LEFT(B4451,FIND("_",B4451,1)-1)="ULGALLOC",LEFT(B4451,FIND("_",B4451,1)-1)="ULSPOOL"),LEFT(B4451,FIND("_",B4451,1)-1),VLOOKUP(LEFT(A4451,6),'Code Library'!$D$3:$E$200,2,0))&amp;"_"&amp;RIGHT(A4451,3)</f>
        <v>#VALUE!</v>
      </c>
      <c r="I4451" s="66">
        <f t="shared" si="69"/>
        <v>0</v>
      </c>
    </row>
    <row r="4452" spans="8:9">
      <c r="H4452" s="66" t="e">
        <f>IF(OR(LEFT(B4452,FIND("_",B4452,1)-1)="ULGALLOC",LEFT(B4452,FIND("_",B4452,1)-1)="ULSPOOL"),LEFT(B4452,FIND("_",B4452,1)-1),VLOOKUP(LEFT(A4452,6),'Code Library'!$D$3:$E$200,2,0))&amp;"_"&amp;RIGHT(A4452,3)</f>
        <v>#VALUE!</v>
      </c>
      <c r="I4452" s="66">
        <f t="shared" si="69"/>
        <v>0</v>
      </c>
    </row>
    <row r="4453" spans="8:9">
      <c r="H4453" s="66" t="e">
        <f>IF(OR(LEFT(B4453,FIND("_",B4453,1)-1)="ULGALLOC",LEFT(B4453,FIND("_",B4453,1)-1)="ULSPOOL"),LEFT(B4453,FIND("_",B4453,1)-1),VLOOKUP(LEFT(A4453,6),'Code Library'!$D$3:$E$200,2,0))&amp;"_"&amp;RIGHT(A4453,3)</f>
        <v>#VALUE!</v>
      </c>
      <c r="I4453" s="66">
        <f t="shared" si="69"/>
        <v>0</v>
      </c>
    </row>
    <row r="4454" spans="8:9">
      <c r="H4454" s="66" t="e">
        <f>IF(OR(LEFT(B4454,FIND("_",B4454,1)-1)="ULGALLOC",LEFT(B4454,FIND("_",B4454,1)-1)="ULSPOOL"),LEFT(B4454,FIND("_",B4454,1)-1),VLOOKUP(LEFT(A4454,6),'Code Library'!$D$3:$E$200,2,0))&amp;"_"&amp;RIGHT(A4454,3)</f>
        <v>#VALUE!</v>
      </c>
      <c r="I4454" s="66">
        <f t="shared" si="69"/>
        <v>0</v>
      </c>
    </row>
    <row r="4455" spans="8:9">
      <c r="H4455" s="66" t="e">
        <f>IF(OR(LEFT(B4455,FIND("_",B4455,1)-1)="ULGALLOC",LEFT(B4455,FIND("_",B4455,1)-1)="ULSPOOL"),LEFT(B4455,FIND("_",B4455,1)-1),VLOOKUP(LEFT(A4455,6),'Code Library'!$D$3:$E$200,2,0))&amp;"_"&amp;RIGHT(A4455,3)</f>
        <v>#VALUE!</v>
      </c>
      <c r="I4455" s="66">
        <f t="shared" si="69"/>
        <v>0</v>
      </c>
    </row>
    <row r="4456" spans="8:9">
      <c r="H4456" s="66" t="e">
        <f>IF(OR(LEFT(B4456,FIND("_",B4456,1)-1)="ULGALLOC",LEFT(B4456,FIND("_",B4456,1)-1)="ULSPOOL"),LEFT(B4456,FIND("_",B4456,1)-1),VLOOKUP(LEFT(A4456,6),'Code Library'!$D$3:$E$200,2,0))&amp;"_"&amp;RIGHT(A4456,3)</f>
        <v>#VALUE!</v>
      </c>
      <c r="I4456" s="66">
        <f t="shared" si="69"/>
        <v>0</v>
      </c>
    </row>
    <row r="4457" spans="8:9">
      <c r="H4457" s="66" t="e">
        <f>IF(OR(LEFT(B4457,FIND("_",B4457,1)-1)="ULGALLOC",LEFT(B4457,FIND("_",B4457,1)-1)="ULSPOOL"),LEFT(B4457,FIND("_",B4457,1)-1),VLOOKUP(LEFT(A4457,6),'Code Library'!$D$3:$E$200,2,0))&amp;"_"&amp;RIGHT(A4457,3)</f>
        <v>#VALUE!</v>
      </c>
      <c r="I4457" s="66">
        <f t="shared" si="69"/>
        <v>0</v>
      </c>
    </row>
    <row r="4458" spans="8:9">
      <c r="H4458" s="66" t="e">
        <f>IF(OR(LEFT(B4458,FIND("_",B4458,1)-1)="ULGALLOC",LEFT(B4458,FIND("_",B4458,1)-1)="ULSPOOL"),LEFT(B4458,FIND("_",B4458,1)-1),VLOOKUP(LEFT(A4458,6),'Code Library'!$D$3:$E$200,2,0))&amp;"_"&amp;RIGHT(A4458,3)</f>
        <v>#VALUE!</v>
      </c>
      <c r="I4458" s="66">
        <f t="shared" si="69"/>
        <v>0</v>
      </c>
    </row>
    <row r="4459" spans="8:9">
      <c r="H4459" s="66" t="e">
        <f>IF(OR(LEFT(B4459,FIND("_",B4459,1)-1)="ULGALLOC",LEFT(B4459,FIND("_",B4459,1)-1)="ULSPOOL"),LEFT(B4459,FIND("_",B4459,1)-1),VLOOKUP(LEFT(A4459,6),'Code Library'!$D$3:$E$200,2,0))&amp;"_"&amp;RIGHT(A4459,3)</f>
        <v>#VALUE!</v>
      </c>
      <c r="I4459" s="66">
        <f t="shared" si="69"/>
        <v>0</v>
      </c>
    </row>
    <row r="4460" spans="8:9">
      <c r="H4460" s="66" t="e">
        <f>IF(OR(LEFT(B4460,FIND("_",B4460,1)-1)="ULGALLOC",LEFT(B4460,FIND("_",B4460,1)-1)="ULSPOOL"),LEFT(B4460,FIND("_",B4460,1)-1),VLOOKUP(LEFT(A4460,6),'Code Library'!$D$3:$E$200,2,0))&amp;"_"&amp;RIGHT(A4460,3)</f>
        <v>#VALUE!</v>
      </c>
      <c r="I4460" s="66">
        <f t="shared" si="69"/>
        <v>0</v>
      </c>
    </row>
    <row r="4461" spans="8:9">
      <c r="H4461" s="66" t="e">
        <f>IF(OR(LEFT(B4461,FIND("_",B4461,1)-1)="ULGALLOC",LEFT(B4461,FIND("_",B4461,1)-1)="ULSPOOL"),LEFT(B4461,FIND("_",B4461,1)-1),VLOOKUP(LEFT(A4461,6),'Code Library'!$D$3:$E$200,2,0))&amp;"_"&amp;RIGHT(A4461,3)</f>
        <v>#VALUE!</v>
      </c>
      <c r="I4461" s="66">
        <f t="shared" si="69"/>
        <v>0</v>
      </c>
    </row>
    <row r="4462" spans="8:9">
      <c r="H4462" s="66" t="e">
        <f>IF(OR(LEFT(B4462,FIND("_",B4462,1)-1)="ULGALLOC",LEFT(B4462,FIND("_",B4462,1)-1)="ULSPOOL"),LEFT(B4462,FIND("_",B4462,1)-1),VLOOKUP(LEFT(A4462,6),'Code Library'!$D$3:$E$200,2,0))&amp;"_"&amp;RIGHT(A4462,3)</f>
        <v>#VALUE!</v>
      </c>
      <c r="I4462" s="66">
        <f t="shared" si="69"/>
        <v>0</v>
      </c>
    </row>
    <row r="4463" spans="8:9">
      <c r="H4463" s="66" t="e">
        <f>IF(OR(LEFT(B4463,FIND("_",B4463,1)-1)="ULGALLOC",LEFT(B4463,FIND("_",B4463,1)-1)="ULSPOOL"),LEFT(B4463,FIND("_",B4463,1)-1),VLOOKUP(LEFT(A4463,6),'Code Library'!$D$3:$E$200,2,0))&amp;"_"&amp;RIGHT(A4463,3)</f>
        <v>#VALUE!</v>
      </c>
      <c r="I4463" s="66">
        <f t="shared" si="69"/>
        <v>0</v>
      </c>
    </row>
    <row r="4464" spans="8:9">
      <c r="H4464" s="66" t="e">
        <f>IF(OR(LEFT(B4464,FIND("_",B4464,1)-1)="ULGALLOC",LEFT(B4464,FIND("_",B4464,1)-1)="ULSPOOL"),LEFT(B4464,FIND("_",B4464,1)-1),VLOOKUP(LEFT(A4464,6),'Code Library'!$D$3:$E$200,2,0))&amp;"_"&amp;RIGHT(A4464,3)</f>
        <v>#VALUE!</v>
      </c>
      <c r="I4464" s="66">
        <f t="shared" si="69"/>
        <v>0</v>
      </c>
    </row>
    <row r="4465" spans="8:9">
      <c r="H4465" s="66" t="e">
        <f>IF(OR(LEFT(B4465,FIND("_",B4465,1)-1)="ULGALLOC",LEFT(B4465,FIND("_",B4465,1)-1)="ULSPOOL"),LEFT(B4465,FIND("_",B4465,1)-1),VLOOKUP(LEFT(A4465,6),'Code Library'!$D$3:$E$200,2,0))&amp;"_"&amp;RIGHT(A4465,3)</f>
        <v>#VALUE!</v>
      </c>
      <c r="I4465" s="66">
        <f t="shared" si="69"/>
        <v>0</v>
      </c>
    </row>
    <row r="4466" spans="8:9">
      <c r="H4466" s="66" t="e">
        <f>IF(OR(LEFT(B4466,FIND("_",B4466,1)-1)="ULGALLOC",LEFT(B4466,FIND("_",B4466,1)-1)="ULSPOOL"),LEFT(B4466,FIND("_",B4466,1)-1),VLOOKUP(LEFT(A4466,6),'Code Library'!$D$3:$E$200,2,0))&amp;"_"&amp;RIGHT(A4466,3)</f>
        <v>#VALUE!</v>
      </c>
      <c r="I4466" s="66">
        <f t="shared" si="69"/>
        <v>0</v>
      </c>
    </row>
    <row r="4467" spans="8:9">
      <c r="H4467" s="66" t="e">
        <f>IF(OR(LEFT(B4467,FIND("_",B4467,1)-1)="ULGALLOC",LEFT(B4467,FIND("_",B4467,1)-1)="ULSPOOL"),LEFT(B4467,FIND("_",B4467,1)-1),VLOOKUP(LEFT(A4467,6),'Code Library'!$D$3:$E$200,2,0))&amp;"_"&amp;RIGHT(A4467,3)</f>
        <v>#VALUE!</v>
      </c>
      <c r="I4467" s="66">
        <f t="shared" si="69"/>
        <v>0</v>
      </c>
    </row>
    <row r="4468" spans="8:9">
      <c r="H4468" s="66" t="e">
        <f>IF(OR(LEFT(B4468,FIND("_",B4468,1)-1)="ULGALLOC",LEFT(B4468,FIND("_",B4468,1)-1)="ULSPOOL"),LEFT(B4468,FIND("_",B4468,1)-1),VLOOKUP(LEFT(A4468,6),'Code Library'!$D$3:$E$200,2,0))&amp;"_"&amp;RIGHT(A4468,3)</f>
        <v>#VALUE!</v>
      </c>
      <c r="I4468" s="66">
        <f t="shared" si="69"/>
        <v>0</v>
      </c>
    </row>
    <row r="4469" spans="8:9">
      <c r="H4469" s="66" t="e">
        <f>IF(OR(LEFT(B4469,FIND("_",B4469,1)-1)="ULGALLOC",LEFT(B4469,FIND("_",B4469,1)-1)="ULSPOOL"),LEFT(B4469,FIND("_",B4469,1)-1),VLOOKUP(LEFT(A4469,6),'Code Library'!$D$3:$E$200,2,0))&amp;"_"&amp;RIGHT(A4469,3)</f>
        <v>#VALUE!</v>
      </c>
      <c r="I4469" s="66">
        <f t="shared" si="69"/>
        <v>0</v>
      </c>
    </row>
    <row r="4470" spans="8:9">
      <c r="H4470" s="66" t="e">
        <f>IF(OR(LEFT(B4470,FIND("_",B4470,1)-1)="ULGALLOC",LEFT(B4470,FIND("_",B4470,1)-1)="ULSPOOL"),LEFT(B4470,FIND("_",B4470,1)-1),VLOOKUP(LEFT(A4470,6),'Code Library'!$D$3:$E$200,2,0))&amp;"_"&amp;RIGHT(A4470,3)</f>
        <v>#VALUE!</v>
      </c>
      <c r="I4470" s="66">
        <f t="shared" si="69"/>
        <v>0</v>
      </c>
    </row>
    <row r="4471" spans="8:9">
      <c r="H4471" s="66" t="e">
        <f>IF(OR(LEFT(B4471,FIND("_",B4471,1)-1)="ULGALLOC",LEFT(B4471,FIND("_",B4471,1)-1)="ULSPOOL"),LEFT(B4471,FIND("_",B4471,1)-1),VLOOKUP(LEFT(A4471,6),'Code Library'!$D$3:$E$200,2,0))&amp;"_"&amp;RIGHT(A4471,3)</f>
        <v>#VALUE!</v>
      </c>
      <c r="I4471" s="66">
        <f t="shared" si="69"/>
        <v>0</v>
      </c>
    </row>
    <row r="4472" spans="8:9">
      <c r="H4472" s="66" t="e">
        <f>IF(OR(LEFT(B4472,FIND("_",B4472,1)-1)="ULGALLOC",LEFT(B4472,FIND("_",B4472,1)-1)="ULSPOOL"),LEFT(B4472,FIND("_",B4472,1)-1),VLOOKUP(LEFT(A4472,6),'Code Library'!$D$3:$E$200,2,0))&amp;"_"&amp;RIGHT(A4472,3)</f>
        <v>#VALUE!</v>
      </c>
      <c r="I4472" s="66">
        <f t="shared" si="69"/>
        <v>0</v>
      </c>
    </row>
    <row r="4473" spans="8:9">
      <c r="H4473" s="66" t="e">
        <f>IF(OR(LEFT(B4473,FIND("_",B4473,1)-1)="ULGALLOC",LEFT(B4473,FIND("_",B4473,1)-1)="ULSPOOL"),LEFT(B4473,FIND("_",B4473,1)-1),VLOOKUP(LEFT(A4473,6),'Code Library'!$D$3:$E$200,2,0))&amp;"_"&amp;RIGHT(A4473,3)</f>
        <v>#VALUE!</v>
      </c>
      <c r="I4473" s="66">
        <f t="shared" si="69"/>
        <v>0</v>
      </c>
    </row>
    <row r="4474" spans="8:9">
      <c r="H4474" s="66" t="e">
        <f>IF(OR(LEFT(B4474,FIND("_",B4474,1)-1)="ULGALLOC",LEFT(B4474,FIND("_",B4474,1)-1)="ULSPOOL"),LEFT(B4474,FIND("_",B4474,1)-1),VLOOKUP(LEFT(A4474,6),'Code Library'!$D$3:$E$200,2,0))&amp;"_"&amp;RIGHT(A4474,3)</f>
        <v>#VALUE!</v>
      </c>
      <c r="I4474" s="66">
        <f t="shared" si="69"/>
        <v>0</v>
      </c>
    </row>
    <row r="4475" spans="8:9">
      <c r="H4475" s="66" t="e">
        <f>IF(OR(LEFT(B4475,FIND("_",B4475,1)-1)="ULGALLOC",LEFT(B4475,FIND("_",B4475,1)-1)="ULSPOOL"),LEFT(B4475,FIND("_",B4475,1)-1),VLOOKUP(LEFT(A4475,6),'Code Library'!$D$3:$E$200,2,0))&amp;"_"&amp;RIGHT(A4475,3)</f>
        <v>#VALUE!</v>
      </c>
      <c r="I4475" s="66">
        <f t="shared" si="69"/>
        <v>0</v>
      </c>
    </row>
    <row r="4476" spans="8:9">
      <c r="H4476" s="66" t="e">
        <f>IF(OR(LEFT(B4476,FIND("_",B4476,1)-1)="ULGALLOC",LEFT(B4476,FIND("_",B4476,1)-1)="ULSPOOL"),LEFT(B4476,FIND("_",B4476,1)-1),VLOOKUP(LEFT(A4476,6),'Code Library'!$D$3:$E$200,2,0))&amp;"_"&amp;RIGHT(A4476,3)</f>
        <v>#VALUE!</v>
      </c>
      <c r="I4476" s="66">
        <f t="shared" si="69"/>
        <v>0</v>
      </c>
    </row>
    <row r="4477" spans="8:9">
      <c r="H4477" s="66" t="e">
        <f>IF(OR(LEFT(B4477,FIND("_",B4477,1)-1)="ULGALLOC",LEFT(B4477,FIND("_",B4477,1)-1)="ULSPOOL"),LEFT(B4477,FIND("_",B4477,1)-1),VLOOKUP(LEFT(A4477,6),'Code Library'!$D$3:$E$200,2,0))&amp;"_"&amp;RIGHT(A4477,3)</f>
        <v>#VALUE!</v>
      </c>
      <c r="I4477" s="66">
        <f t="shared" si="69"/>
        <v>0</v>
      </c>
    </row>
    <row r="4478" spans="8:9">
      <c r="H4478" s="66" t="e">
        <f>IF(OR(LEFT(B4478,FIND("_",B4478,1)-1)="ULGALLOC",LEFT(B4478,FIND("_",B4478,1)-1)="ULSPOOL"),LEFT(B4478,FIND("_",B4478,1)-1),VLOOKUP(LEFT(A4478,6),'Code Library'!$D$3:$E$200,2,0))&amp;"_"&amp;RIGHT(A4478,3)</f>
        <v>#VALUE!</v>
      </c>
      <c r="I4478" s="66">
        <f t="shared" si="69"/>
        <v>0</v>
      </c>
    </row>
    <row r="4479" spans="8:9">
      <c r="H4479" s="66" t="e">
        <f>IF(OR(LEFT(B4479,FIND("_",B4479,1)-1)="ULGALLOC",LEFT(B4479,FIND("_",B4479,1)-1)="ULSPOOL"),LEFT(B4479,FIND("_",B4479,1)-1),VLOOKUP(LEFT(A4479,6),'Code Library'!$D$3:$E$200,2,0))&amp;"_"&amp;RIGHT(A4479,3)</f>
        <v>#VALUE!</v>
      </c>
      <c r="I4479" s="66">
        <f t="shared" si="69"/>
        <v>0</v>
      </c>
    </row>
    <row r="4480" spans="8:9">
      <c r="H4480" s="66" t="e">
        <f>IF(OR(LEFT(B4480,FIND("_",B4480,1)-1)="ULGALLOC",LEFT(B4480,FIND("_",B4480,1)-1)="ULSPOOL"),LEFT(B4480,FIND("_",B4480,1)-1),VLOOKUP(LEFT(A4480,6),'Code Library'!$D$3:$E$200,2,0))&amp;"_"&amp;RIGHT(A4480,3)</f>
        <v>#VALUE!</v>
      </c>
      <c r="I4480" s="66">
        <f t="shared" si="69"/>
        <v>0</v>
      </c>
    </row>
    <row r="4481" spans="8:9">
      <c r="H4481" s="66" t="e">
        <f>IF(OR(LEFT(B4481,FIND("_",B4481,1)-1)="ULGALLOC",LEFT(B4481,FIND("_",B4481,1)-1)="ULSPOOL"),LEFT(B4481,FIND("_",B4481,1)-1),VLOOKUP(LEFT(A4481,6),'Code Library'!$D$3:$E$200,2,0))&amp;"_"&amp;RIGHT(A4481,3)</f>
        <v>#VALUE!</v>
      </c>
      <c r="I4481" s="66">
        <f t="shared" si="69"/>
        <v>0</v>
      </c>
    </row>
    <row r="4482" spans="8:9">
      <c r="H4482" s="66" t="e">
        <f>IF(OR(LEFT(B4482,FIND("_",B4482,1)-1)="ULGALLOC",LEFT(B4482,FIND("_",B4482,1)-1)="ULSPOOL"),LEFT(B4482,FIND("_",B4482,1)-1),VLOOKUP(LEFT(A4482,6),'Code Library'!$D$3:$E$200,2,0))&amp;"_"&amp;RIGHT(A4482,3)</f>
        <v>#VALUE!</v>
      </c>
      <c r="I4482" s="66">
        <f t="shared" si="69"/>
        <v>0</v>
      </c>
    </row>
    <row r="4483" spans="8:9">
      <c r="H4483" s="66" t="e">
        <f>IF(OR(LEFT(B4483,FIND("_",B4483,1)-1)="ULGALLOC",LEFT(B4483,FIND("_",B4483,1)-1)="ULSPOOL"),LEFT(B4483,FIND("_",B4483,1)-1),VLOOKUP(LEFT(A4483,6),'Code Library'!$D$3:$E$200,2,0))&amp;"_"&amp;RIGHT(A4483,3)</f>
        <v>#VALUE!</v>
      </c>
      <c r="I4483" s="66">
        <f t="shared" ref="I4483:I4546" si="70">A4483</f>
        <v>0</v>
      </c>
    </row>
    <row r="4484" spans="8:9">
      <c r="H4484" s="66" t="e">
        <f>IF(OR(LEFT(B4484,FIND("_",B4484,1)-1)="ULGALLOC",LEFT(B4484,FIND("_",B4484,1)-1)="ULSPOOL"),LEFT(B4484,FIND("_",B4484,1)-1),VLOOKUP(LEFT(A4484,6),'Code Library'!$D$3:$E$200,2,0))&amp;"_"&amp;RIGHT(A4484,3)</f>
        <v>#VALUE!</v>
      </c>
      <c r="I4484" s="66">
        <f t="shared" si="70"/>
        <v>0</v>
      </c>
    </row>
    <row r="4485" spans="8:9">
      <c r="H4485" s="66" t="e">
        <f>IF(OR(LEFT(B4485,FIND("_",B4485,1)-1)="ULGALLOC",LEFT(B4485,FIND("_",B4485,1)-1)="ULSPOOL"),LEFT(B4485,FIND("_",B4485,1)-1),VLOOKUP(LEFT(A4485,6),'Code Library'!$D$3:$E$200,2,0))&amp;"_"&amp;RIGHT(A4485,3)</f>
        <v>#VALUE!</v>
      </c>
      <c r="I4485" s="66">
        <f t="shared" si="70"/>
        <v>0</v>
      </c>
    </row>
    <row r="4486" spans="8:9">
      <c r="H4486" s="66" t="e">
        <f>IF(OR(LEFT(B4486,FIND("_",B4486,1)-1)="ULGALLOC",LEFT(B4486,FIND("_",B4486,1)-1)="ULSPOOL"),LEFT(B4486,FIND("_",B4486,1)-1),VLOOKUP(LEFT(A4486,6),'Code Library'!$D$3:$E$200,2,0))&amp;"_"&amp;RIGHT(A4486,3)</f>
        <v>#VALUE!</v>
      </c>
      <c r="I4486" s="66">
        <f t="shared" si="70"/>
        <v>0</v>
      </c>
    </row>
    <row r="4487" spans="8:9">
      <c r="H4487" s="66" t="e">
        <f>IF(OR(LEFT(B4487,FIND("_",B4487,1)-1)="ULGALLOC",LEFT(B4487,FIND("_",B4487,1)-1)="ULSPOOL"),LEFT(B4487,FIND("_",B4487,1)-1),VLOOKUP(LEFT(A4487,6),'Code Library'!$D$3:$E$200,2,0))&amp;"_"&amp;RIGHT(A4487,3)</f>
        <v>#VALUE!</v>
      </c>
      <c r="I4487" s="66">
        <f t="shared" si="70"/>
        <v>0</v>
      </c>
    </row>
    <row r="4488" spans="8:9">
      <c r="H4488" s="66" t="e">
        <f>IF(OR(LEFT(B4488,FIND("_",B4488,1)-1)="ULGALLOC",LEFT(B4488,FIND("_",B4488,1)-1)="ULSPOOL"),LEFT(B4488,FIND("_",B4488,1)-1),VLOOKUP(LEFT(A4488,6),'Code Library'!$D$3:$E$200,2,0))&amp;"_"&amp;RIGHT(A4488,3)</f>
        <v>#VALUE!</v>
      </c>
      <c r="I4488" s="66">
        <f t="shared" si="70"/>
        <v>0</v>
      </c>
    </row>
    <row r="4489" spans="8:9">
      <c r="H4489" s="66" t="e">
        <f>IF(OR(LEFT(B4489,FIND("_",B4489,1)-1)="ULGALLOC",LEFT(B4489,FIND("_",B4489,1)-1)="ULSPOOL"),LEFT(B4489,FIND("_",B4489,1)-1),VLOOKUP(LEFT(A4489,6),'Code Library'!$D$3:$E$200,2,0))&amp;"_"&amp;RIGHT(A4489,3)</f>
        <v>#VALUE!</v>
      </c>
      <c r="I4489" s="66">
        <f t="shared" si="70"/>
        <v>0</v>
      </c>
    </row>
    <row r="4490" spans="8:9">
      <c r="H4490" s="66" t="e">
        <f>IF(OR(LEFT(B4490,FIND("_",B4490,1)-1)="ULGALLOC",LEFT(B4490,FIND("_",B4490,1)-1)="ULSPOOL"),LEFT(B4490,FIND("_",B4490,1)-1),VLOOKUP(LEFT(A4490,6),'Code Library'!$D$3:$E$200,2,0))&amp;"_"&amp;RIGHT(A4490,3)</f>
        <v>#VALUE!</v>
      </c>
      <c r="I4490" s="66">
        <f t="shared" si="70"/>
        <v>0</v>
      </c>
    </row>
    <row r="4491" spans="8:9">
      <c r="H4491" s="66" t="e">
        <f>IF(OR(LEFT(B4491,FIND("_",B4491,1)-1)="ULGALLOC",LEFT(B4491,FIND("_",B4491,1)-1)="ULSPOOL"),LEFT(B4491,FIND("_",B4491,1)-1),VLOOKUP(LEFT(A4491,6),'Code Library'!$D$3:$E$200,2,0))&amp;"_"&amp;RIGHT(A4491,3)</f>
        <v>#VALUE!</v>
      </c>
      <c r="I4491" s="66">
        <f t="shared" si="70"/>
        <v>0</v>
      </c>
    </row>
    <row r="4492" spans="8:9">
      <c r="H4492" s="66" t="e">
        <f>IF(OR(LEFT(B4492,FIND("_",B4492,1)-1)="ULGALLOC",LEFT(B4492,FIND("_",B4492,1)-1)="ULSPOOL"),LEFT(B4492,FIND("_",B4492,1)-1),VLOOKUP(LEFT(A4492,6),'Code Library'!$D$3:$E$200,2,0))&amp;"_"&amp;RIGHT(A4492,3)</f>
        <v>#VALUE!</v>
      </c>
      <c r="I4492" s="66">
        <f t="shared" si="70"/>
        <v>0</v>
      </c>
    </row>
    <row r="4493" spans="8:9">
      <c r="H4493" s="66" t="e">
        <f>IF(OR(LEFT(B4493,FIND("_",B4493,1)-1)="ULGALLOC",LEFT(B4493,FIND("_",B4493,1)-1)="ULSPOOL"),LEFT(B4493,FIND("_",B4493,1)-1),VLOOKUP(LEFT(A4493,6),'Code Library'!$D$3:$E$200,2,0))&amp;"_"&amp;RIGHT(A4493,3)</f>
        <v>#VALUE!</v>
      </c>
      <c r="I4493" s="66">
        <f t="shared" si="70"/>
        <v>0</v>
      </c>
    </row>
    <row r="4494" spans="8:9">
      <c r="H4494" s="66" t="e">
        <f>IF(OR(LEFT(B4494,FIND("_",B4494,1)-1)="ULGALLOC",LEFT(B4494,FIND("_",B4494,1)-1)="ULSPOOL"),LEFT(B4494,FIND("_",B4494,1)-1),VLOOKUP(LEFT(A4494,6),'Code Library'!$D$3:$E$200,2,0))&amp;"_"&amp;RIGHT(A4494,3)</f>
        <v>#VALUE!</v>
      </c>
      <c r="I4494" s="66">
        <f t="shared" si="70"/>
        <v>0</v>
      </c>
    </row>
    <row r="4495" spans="8:9">
      <c r="H4495" s="66" t="e">
        <f>IF(OR(LEFT(B4495,FIND("_",B4495,1)-1)="ULGALLOC",LEFT(B4495,FIND("_",B4495,1)-1)="ULSPOOL"),LEFT(B4495,FIND("_",B4495,1)-1),VLOOKUP(LEFT(A4495,6),'Code Library'!$D$3:$E$200,2,0))&amp;"_"&amp;RIGHT(A4495,3)</f>
        <v>#VALUE!</v>
      </c>
      <c r="I4495" s="66">
        <f t="shared" si="70"/>
        <v>0</v>
      </c>
    </row>
    <row r="4496" spans="8:9">
      <c r="H4496" s="66" t="e">
        <f>IF(OR(LEFT(B4496,FIND("_",B4496,1)-1)="ULGALLOC",LEFT(B4496,FIND("_",B4496,1)-1)="ULSPOOL"),LEFT(B4496,FIND("_",B4496,1)-1),VLOOKUP(LEFT(A4496,6),'Code Library'!$D$3:$E$200,2,0))&amp;"_"&amp;RIGHT(A4496,3)</f>
        <v>#VALUE!</v>
      </c>
      <c r="I4496" s="66">
        <f t="shared" si="70"/>
        <v>0</v>
      </c>
    </row>
    <row r="4497" spans="8:9">
      <c r="H4497" s="66" t="e">
        <f>IF(OR(LEFT(B4497,FIND("_",B4497,1)-1)="ULGALLOC",LEFT(B4497,FIND("_",B4497,1)-1)="ULSPOOL"),LEFT(B4497,FIND("_",B4497,1)-1),VLOOKUP(LEFT(A4497,6),'Code Library'!$D$3:$E$200,2,0))&amp;"_"&amp;RIGHT(A4497,3)</f>
        <v>#VALUE!</v>
      </c>
      <c r="I4497" s="66">
        <f t="shared" si="70"/>
        <v>0</v>
      </c>
    </row>
    <row r="4498" spans="8:9">
      <c r="H4498" s="66" t="e">
        <f>IF(OR(LEFT(B4498,FIND("_",B4498,1)-1)="ULGALLOC",LEFT(B4498,FIND("_",B4498,1)-1)="ULSPOOL"),LEFT(B4498,FIND("_",B4498,1)-1),VLOOKUP(LEFT(A4498,6),'Code Library'!$D$3:$E$200,2,0))&amp;"_"&amp;RIGHT(A4498,3)</f>
        <v>#VALUE!</v>
      </c>
      <c r="I4498" s="66">
        <f t="shared" si="70"/>
        <v>0</v>
      </c>
    </row>
    <row r="4499" spans="8:9">
      <c r="H4499" s="66" t="e">
        <f>IF(OR(LEFT(B4499,FIND("_",B4499,1)-1)="ULGALLOC",LEFT(B4499,FIND("_",B4499,1)-1)="ULSPOOL"),LEFT(B4499,FIND("_",B4499,1)-1),VLOOKUP(LEFT(A4499,6),'Code Library'!$D$3:$E$200,2,0))&amp;"_"&amp;RIGHT(A4499,3)</f>
        <v>#VALUE!</v>
      </c>
      <c r="I4499" s="66">
        <f t="shared" si="70"/>
        <v>0</v>
      </c>
    </row>
    <row r="4500" spans="8:9">
      <c r="H4500" s="66" t="e">
        <f>IF(OR(LEFT(B4500,FIND("_",B4500,1)-1)="ULGALLOC",LEFT(B4500,FIND("_",B4500,1)-1)="ULSPOOL"),LEFT(B4500,FIND("_",B4500,1)-1),VLOOKUP(LEFT(A4500,6),'Code Library'!$D$3:$E$200,2,0))&amp;"_"&amp;RIGHT(A4500,3)</f>
        <v>#VALUE!</v>
      </c>
      <c r="I4500" s="66">
        <f t="shared" si="70"/>
        <v>0</v>
      </c>
    </row>
    <row r="4501" spans="8:9">
      <c r="H4501" s="66" t="e">
        <f>IF(OR(LEFT(B4501,FIND("_",B4501,1)-1)="ULGALLOC",LEFT(B4501,FIND("_",B4501,1)-1)="ULSPOOL"),LEFT(B4501,FIND("_",B4501,1)-1),VLOOKUP(LEFT(A4501,6),'Code Library'!$D$3:$E$200,2,0))&amp;"_"&amp;RIGHT(A4501,3)</f>
        <v>#VALUE!</v>
      </c>
      <c r="I4501" s="66">
        <f t="shared" si="70"/>
        <v>0</v>
      </c>
    </row>
    <row r="4502" spans="8:9">
      <c r="H4502" s="66" t="e">
        <f>IF(OR(LEFT(B4502,FIND("_",B4502,1)-1)="ULGALLOC",LEFT(B4502,FIND("_",B4502,1)-1)="ULSPOOL"),LEFT(B4502,FIND("_",B4502,1)-1),VLOOKUP(LEFT(A4502,6),'Code Library'!$D$3:$E$200,2,0))&amp;"_"&amp;RIGHT(A4502,3)</f>
        <v>#VALUE!</v>
      </c>
      <c r="I4502" s="66">
        <f t="shared" si="70"/>
        <v>0</v>
      </c>
    </row>
    <row r="4503" spans="8:9">
      <c r="H4503" s="66" t="e">
        <f>IF(OR(LEFT(B4503,FIND("_",B4503,1)-1)="ULGALLOC",LEFT(B4503,FIND("_",B4503,1)-1)="ULSPOOL"),LEFT(B4503,FIND("_",B4503,1)-1),VLOOKUP(LEFT(A4503,6),'Code Library'!$D$3:$E$200,2,0))&amp;"_"&amp;RIGHT(A4503,3)</f>
        <v>#VALUE!</v>
      </c>
      <c r="I4503" s="66">
        <f t="shared" si="70"/>
        <v>0</v>
      </c>
    </row>
    <row r="4504" spans="8:9">
      <c r="H4504" s="66" t="e">
        <f>IF(OR(LEFT(B4504,FIND("_",B4504,1)-1)="ULGALLOC",LEFT(B4504,FIND("_",B4504,1)-1)="ULSPOOL"),LEFT(B4504,FIND("_",B4504,1)-1),VLOOKUP(LEFT(A4504,6),'Code Library'!$D$3:$E$200,2,0))&amp;"_"&amp;RIGHT(A4504,3)</f>
        <v>#VALUE!</v>
      </c>
      <c r="I4504" s="66">
        <f t="shared" si="70"/>
        <v>0</v>
      </c>
    </row>
    <row r="4505" spans="8:9">
      <c r="H4505" s="66" t="e">
        <f>IF(OR(LEFT(B4505,FIND("_",B4505,1)-1)="ULGALLOC",LEFT(B4505,FIND("_",B4505,1)-1)="ULSPOOL"),LEFT(B4505,FIND("_",B4505,1)-1),VLOOKUP(LEFT(A4505,6),'Code Library'!$D$3:$E$200,2,0))&amp;"_"&amp;RIGHT(A4505,3)</f>
        <v>#VALUE!</v>
      </c>
      <c r="I4505" s="66">
        <f t="shared" si="70"/>
        <v>0</v>
      </c>
    </row>
    <row r="4506" spans="8:9">
      <c r="H4506" s="66" t="e">
        <f>IF(OR(LEFT(B4506,FIND("_",B4506,1)-1)="ULGALLOC",LEFT(B4506,FIND("_",B4506,1)-1)="ULSPOOL"),LEFT(B4506,FIND("_",B4506,1)-1),VLOOKUP(LEFT(A4506,6),'Code Library'!$D$3:$E$200,2,0))&amp;"_"&amp;RIGHT(A4506,3)</f>
        <v>#VALUE!</v>
      </c>
      <c r="I4506" s="66">
        <f t="shared" si="70"/>
        <v>0</v>
      </c>
    </row>
    <row r="4507" spans="8:9">
      <c r="H4507" s="66" t="e">
        <f>IF(OR(LEFT(B4507,FIND("_",B4507,1)-1)="ULGALLOC",LEFT(B4507,FIND("_",B4507,1)-1)="ULSPOOL"),LEFT(B4507,FIND("_",B4507,1)-1),VLOOKUP(LEFT(A4507,6),'Code Library'!$D$3:$E$200,2,0))&amp;"_"&amp;RIGHT(A4507,3)</f>
        <v>#VALUE!</v>
      </c>
      <c r="I4507" s="66">
        <f t="shared" si="70"/>
        <v>0</v>
      </c>
    </row>
    <row r="4508" spans="8:9">
      <c r="H4508" s="66" t="e">
        <f>IF(OR(LEFT(B4508,FIND("_",B4508,1)-1)="ULGALLOC",LEFT(B4508,FIND("_",B4508,1)-1)="ULSPOOL"),LEFT(B4508,FIND("_",B4508,1)-1),VLOOKUP(LEFT(A4508,6),'Code Library'!$D$3:$E$200,2,0))&amp;"_"&amp;RIGHT(A4508,3)</f>
        <v>#VALUE!</v>
      </c>
      <c r="I4508" s="66">
        <f t="shared" si="70"/>
        <v>0</v>
      </c>
    </row>
    <row r="4509" spans="8:9">
      <c r="H4509" s="66" t="e">
        <f>IF(OR(LEFT(B4509,FIND("_",B4509,1)-1)="ULGALLOC",LEFT(B4509,FIND("_",B4509,1)-1)="ULSPOOL"),LEFT(B4509,FIND("_",B4509,1)-1),VLOOKUP(LEFT(A4509,6),'Code Library'!$D$3:$E$200,2,0))&amp;"_"&amp;RIGHT(A4509,3)</f>
        <v>#VALUE!</v>
      </c>
      <c r="I4509" s="66">
        <f t="shared" si="70"/>
        <v>0</v>
      </c>
    </row>
    <row r="4510" spans="8:9">
      <c r="H4510" s="66" t="e">
        <f>IF(OR(LEFT(B4510,FIND("_",B4510,1)-1)="ULGALLOC",LEFT(B4510,FIND("_",B4510,1)-1)="ULSPOOL"),LEFT(B4510,FIND("_",B4510,1)-1),VLOOKUP(LEFT(A4510,6),'Code Library'!$D$3:$E$200,2,0))&amp;"_"&amp;RIGHT(A4510,3)</f>
        <v>#VALUE!</v>
      </c>
      <c r="I4510" s="66">
        <f t="shared" si="70"/>
        <v>0</v>
      </c>
    </row>
    <row r="4511" spans="8:9">
      <c r="H4511" s="66" t="e">
        <f>IF(OR(LEFT(B4511,FIND("_",B4511,1)-1)="ULGALLOC",LEFT(B4511,FIND("_",B4511,1)-1)="ULSPOOL"),LEFT(B4511,FIND("_",B4511,1)-1),VLOOKUP(LEFT(A4511,6),'Code Library'!$D$3:$E$200,2,0))&amp;"_"&amp;RIGHT(A4511,3)</f>
        <v>#VALUE!</v>
      </c>
      <c r="I4511" s="66">
        <f t="shared" si="70"/>
        <v>0</v>
      </c>
    </row>
    <row r="4512" spans="8:9">
      <c r="H4512" s="66" t="e">
        <f>IF(OR(LEFT(B4512,FIND("_",B4512,1)-1)="ULGALLOC",LEFT(B4512,FIND("_",B4512,1)-1)="ULSPOOL"),LEFT(B4512,FIND("_",B4512,1)-1),VLOOKUP(LEFT(A4512,6),'Code Library'!$D$3:$E$200,2,0))&amp;"_"&amp;RIGHT(A4512,3)</f>
        <v>#VALUE!</v>
      </c>
      <c r="I4512" s="66">
        <f t="shared" si="70"/>
        <v>0</v>
      </c>
    </row>
    <row r="4513" spans="8:9">
      <c r="H4513" s="66" t="e">
        <f>IF(OR(LEFT(B4513,FIND("_",B4513,1)-1)="ULGALLOC",LEFT(B4513,FIND("_",B4513,1)-1)="ULSPOOL"),LEFT(B4513,FIND("_",B4513,1)-1),VLOOKUP(LEFT(A4513,6),'Code Library'!$D$3:$E$200,2,0))&amp;"_"&amp;RIGHT(A4513,3)</f>
        <v>#VALUE!</v>
      </c>
      <c r="I4513" s="66">
        <f t="shared" si="70"/>
        <v>0</v>
      </c>
    </row>
    <row r="4514" spans="8:9">
      <c r="H4514" s="66" t="e">
        <f>IF(OR(LEFT(B4514,FIND("_",B4514,1)-1)="ULGALLOC",LEFT(B4514,FIND("_",B4514,1)-1)="ULSPOOL"),LEFT(B4514,FIND("_",B4514,1)-1),VLOOKUP(LEFT(A4514,6),'Code Library'!$D$3:$E$200,2,0))&amp;"_"&amp;RIGHT(A4514,3)</f>
        <v>#VALUE!</v>
      </c>
      <c r="I4514" s="66">
        <f t="shared" si="70"/>
        <v>0</v>
      </c>
    </row>
    <row r="4515" spans="8:9">
      <c r="H4515" s="66" t="e">
        <f>IF(OR(LEFT(B4515,FIND("_",B4515,1)-1)="ULGALLOC",LEFT(B4515,FIND("_",B4515,1)-1)="ULSPOOL"),LEFT(B4515,FIND("_",B4515,1)-1),VLOOKUP(LEFT(A4515,6),'Code Library'!$D$3:$E$200,2,0))&amp;"_"&amp;RIGHT(A4515,3)</f>
        <v>#VALUE!</v>
      </c>
      <c r="I4515" s="66">
        <f t="shared" si="70"/>
        <v>0</v>
      </c>
    </row>
    <row r="4516" spans="8:9">
      <c r="H4516" s="66" t="e">
        <f>IF(OR(LEFT(B4516,FIND("_",B4516,1)-1)="ULGALLOC",LEFT(B4516,FIND("_",B4516,1)-1)="ULSPOOL"),LEFT(B4516,FIND("_",B4516,1)-1),VLOOKUP(LEFT(A4516,6),'Code Library'!$D$3:$E$200,2,0))&amp;"_"&amp;RIGHT(A4516,3)</f>
        <v>#VALUE!</v>
      </c>
      <c r="I4516" s="66">
        <f t="shared" si="70"/>
        <v>0</v>
      </c>
    </row>
    <row r="4517" spans="8:9">
      <c r="H4517" s="66" t="e">
        <f>IF(OR(LEFT(B4517,FIND("_",B4517,1)-1)="ULGALLOC",LEFT(B4517,FIND("_",B4517,1)-1)="ULSPOOL"),LEFT(B4517,FIND("_",B4517,1)-1),VLOOKUP(LEFT(A4517,6),'Code Library'!$D$3:$E$200,2,0))&amp;"_"&amp;RIGHT(A4517,3)</f>
        <v>#VALUE!</v>
      </c>
      <c r="I4517" s="66">
        <f t="shared" si="70"/>
        <v>0</v>
      </c>
    </row>
    <row r="4518" spans="8:9">
      <c r="H4518" s="66" t="e">
        <f>IF(OR(LEFT(B4518,FIND("_",B4518,1)-1)="ULGALLOC",LEFT(B4518,FIND("_",B4518,1)-1)="ULSPOOL"),LEFT(B4518,FIND("_",B4518,1)-1),VLOOKUP(LEFT(A4518,6),'Code Library'!$D$3:$E$200,2,0))&amp;"_"&amp;RIGHT(A4518,3)</f>
        <v>#VALUE!</v>
      </c>
      <c r="I4518" s="66">
        <f t="shared" si="70"/>
        <v>0</v>
      </c>
    </row>
    <row r="4519" spans="8:9">
      <c r="H4519" s="66" t="e">
        <f>IF(OR(LEFT(B4519,FIND("_",B4519,1)-1)="ULGALLOC",LEFT(B4519,FIND("_",B4519,1)-1)="ULSPOOL"),LEFT(B4519,FIND("_",B4519,1)-1),VLOOKUP(LEFT(A4519,6),'Code Library'!$D$3:$E$200,2,0))&amp;"_"&amp;RIGHT(A4519,3)</f>
        <v>#VALUE!</v>
      </c>
      <c r="I4519" s="66">
        <f t="shared" si="70"/>
        <v>0</v>
      </c>
    </row>
    <row r="4520" spans="8:9">
      <c r="H4520" s="66" t="e">
        <f>IF(OR(LEFT(B4520,FIND("_",B4520,1)-1)="ULGALLOC",LEFT(B4520,FIND("_",B4520,1)-1)="ULSPOOL"),LEFT(B4520,FIND("_",B4520,1)-1),VLOOKUP(LEFT(A4520,6),'Code Library'!$D$3:$E$200,2,0))&amp;"_"&amp;RIGHT(A4520,3)</f>
        <v>#VALUE!</v>
      </c>
      <c r="I4520" s="66">
        <f t="shared" si="70"/>
        <v>0</v>
      </c>
    </row>
    <row r="4521" spans="8:9">
      <c r="H4521" s="66" t="e">
        <f>IF(OR(LEFT(B4521,FIND("_",B4521,1)-1)="ULGALLOC",LEFT(B4521,FIND("_",B4521,1)-1)="ULSPOOL"),LEFT(B4521,FIND("_",B4521,1)-1),VLOOKUP(LEFT(A4521,6),'Code Library'!$D$3:$E$200,2,0))&amp;"_"&amp;RIGHT(A4521,3)</f>
        <v>#VALUE!</v>
      </c>
      <c r="I4521" s="66">
        <f t="shared" si="70"/>
        <v>0</v>
      </c>
    </row>
    <row r="4522" spans="8:9">
      <c r="H4522" s="66" t="e">
        <f>IF(OR(LEFT(B4522,FIND("_",B4522,1)-1)="ULGALLOC",LEFT(B4522,FIND("_",B4522,1)-1)="ULSPOOL"),LEFT(B4522,FIND("_",B4522,1)-1),VLOOKUP(LEFT(A4522,6),'Code Library'!$D$3:$E$200,2,0))&amp;"_"&amp;RIGHT(A4522,3)</f>
        <v>#VALUE!</v>
      </c>
      <c r="I4522" s="66">
        <f t="shared" si="70"/>
        <v>0</v>
      </c>
    </row>
    <row r="4523" spans="8:9">
      <c r="H4523" s="66" t="e">
        <f>IF(OR(LEFT(B4523,FIND("_",B4523,1)-1)="ULGALLOC",LEFT(B4523,FIND("_",B4523,1)-1)="ULSPOOL"),LEFT(B4523,FIND("_",B4523,1)-1),VLOOKUP(LEFT(A4523,6),'Code Library'!$D$3:$E$200,2,0))&amp;"_"&amp;RIGHT(A4523,3)</f>
        <v>#VALUE!</v>
      </c>
      <c r="I4523" s="66">
        <f t="shared" si="70"/>
        <v>0</v>
      </c>
    </row>
    <row r="4524" spans="8:9">
      <c r="H4524" s="66" t="e">
        <f>IF(OR(LEFT(B4524,FIND("_",B4524,1)-1)="ULGALLOC",LEFT(B4524,FIND("_",B4524,1)-1)="ULSPOOL"),LEFT(B4524,FIND("_",B4524,1)-1),VLOOKUP(LEFT(A4524,6),'Code Library'!$D$3:$E$200,2,0))&amp;"_"&amp;RIGHT(A4524,3)</f>
        <v>#VALUE!</v>
      </c>
      <c r="I4524" s="66">
        <f t="shared" si="70"/>
        <v>0</v>
      </c>
    </row>
    <row r="4525" spans="8:9">
      <c r="H4525" s="66" t="e">
        <f>IF(OR(LEFT(B4525,FIND("_",B4525,1)-1)="ULGALLOC",LEFT(B4525,FIND("_",B4525,1)-1)="ULSPOOL"),LEFT(B4525,FIND("_",B4525,1)-1),VLOOKUP(LEFT(A4525,6),'Code Library'!$D$3:$E$200,2,0))&amp;"_"&amp;RIGHT(A4525,3)</f>
        <v>#VALUE!</v>
      </c>
      <c r="I4525" s="66">
        <f t="shared" si="70"/>
        <v>0</v>
      </c>
    </row>
    <row r="4526" spans="8:9">
      <c r="H4526" s="66" t="e">
        <f>IF(OR(LEFT(B4526,FIND("_",B4526,1)-1)="ULGALLOC",LEFT(B4526,FIND("_",B4526,1)-1)="ULSPOOL"),LEFT(B4526,FIND("_",B4526,1)-1),VLOOKUP(LEFT(A4526,6),'Code Library'!$D$3:$E$200,2,0))&amp;"_"&amp;RIGHT(A4526,3)</f>
        <v>#VALUE!</v>
      </c>
      <c r="I4526" s="66">
        <f t="shared" si="70"/>
        <v>0</v>
      </c>
    </row>
    <row r="4527" spans="8:9">
      <c r="H4527" s="66" t="e">
        <f>IF(OR(LEFT(B4527,FIND("_",B4527,1)-1)="ULGALLOC",LEFT(B4527,FIND("_",B4527,1)-1)="ULSPOOL"),LEFT(B4527,FIND("_",B4527,1)-1),VLOOKUP(LEFT(A4527,6),'Code Library'!$D$3:$E$200,2,0))&amp;"_"&amp;RIGHT(A4527,3)</f>
        <v>#VALUE!</v>
      </c>
      <c r="I4527" s="66">
        <f t="shared" si="70"/>
        <v>0</v>
      </c>
    </row>
    <row r="4528" spans="8:9">
      <c r="H4528" s="66" t="e">
        <f>IF(OR(LEFT(B4528,FIND("_",B4528,1)-1)="ULGALLOC",LEFT(B4528,FIND("_",B4528,1)-1)="ULSPOOL"),LEFT(B4528,FIND("_",B4528,1)-1),VLOOKUP(LEFT(A4528,6),'Code Library'!$D$3:$E$200,2,0))&amp;"_"&amp;RIGHT(A4528,3)</f>
        <v>#VALUE!</v>
      </c>
      <c r="I4528" s="66">
        <f t="shared" si="70"/>
        <v>0</v>
      </c>
    </row>
    <row r="4529" spans="8:9">
      <c r="H4529" s="66" t="e">
        <f>IF(OR(LEFT(B4529,FIND("_",B4529,1)-1)="ULGALLOC",LEFT(B4529,FIND("_",B4529,1)-1)="ULSPOOL"),LEFT(B4529,FIND("_",B4529,1)-1),VLOOKUP(LEFT(A4529,6),'Code Library'!$D$3:$E$200,2,0))&amp;"_"&amp;RIGHT(A4529,3)</f>
        <v>#VALUE!</v>
      </c>
      <c r="I4529" s="66">
        <f t="shared" si="70"/>
        <v>0</v>
      </c>
    </row>
    <row r="4530" spans="8:9">
      <c r="H4530" s="66" t="e">
        <f>IF(OR(LEFT(B4530,FIND("_",B4530,1)-1)="ULGALLOC",LEFT(B4530,FIND("_",B4530,1)-1)="ULSPOOL"),LEFT(B4530,FIND("_",B4530,1)-1),VLOOKUP(LEFT(A4530,6),'Code Library'!$D$3:$E$200,2,0))&amp;"_"&amp;RIGHT(A4530,3)</f>
        <v>#VALUE!</v>
      </c>
      <c r="I4530" s="66">
        <f t="shared" si="70"/>
        <v>0</v>
      </c>
    </row>
    <row r="4531" spans="8:9">
      <c r="H4531" s="66" t="e">
        <f>IF(OR(LEFT(B4531,FIND("_",B4531,1)-1)="ULGALLOC",LEFT(B4531,FIND("_",B4531,1)-1)="ULSPOOL"),LEFT(B4531,FIND("_",B4531,1)-1),VLOOKUP(LEFT(A4531,6),'Code Library'!$D$3:$E$200,2,0))&amp;"_"&amp;RIGHT(A4531,3)</f>
        <v>#VALUE!</v>
      </c>
      <c r="I4531" s="66">
        <f t="shared" si="70"/>
        <v>0</v>
      </c>
    </row>
    <row r="4532" spans="8:9">
      <c r="H4532" s="66" t="e">
        <f>IF(OR(LEFT(B4532,FIND("_",B4532,1)-1)="ULGALLOC",LEFT(B4532,FIND("_",B4532,1)-1)="ULSPOOL"),LEFT(B4532,FIND("_",B4532,1)-1),VLOOKUP(LEFT(A4532,6),'Code Library'!$D$3:$E$200,2,0))&amp;"_"&amp;RIGHT(A4532,3)</f>
        <v>#VALUE!</v>
      </c>
      <c r="I4532" s="66">
        <f t="shared" si="70"/>
        <v>0</v>
      </c>
    </row>
    <row r="4533" spans="8:9">
      <c r="H4533" s="66" t="e">
        <f>IF(OR(LEFT(B4533,FIND("_",B4533,1)-1)="ULGALLOC",LEFT(B4533,FIND("_",B4533,1)-1)="ULSPOOL"),LEFT(B4533,FIND("_",B4533,1)-1),VLOOKUP(LEFT(A4533,6),'Code Library'!$D$3:$E$200,2,0))&amp;"_"&amp;RIGHT(A4533,3)</f>
        <v>#VALUE!</v>
      </c>
      <c r="I4533" s="66">
        <f t="shared" si="70"/>
        <v>0</v>
      </c>
    </row>
    <row r="4534" spans="8:9">
      <c r="H4534" s="66" t="e">
        <f>IF(OR(LEFT(B4534,FIND("_",B4534,1)-1)="ULGALLOC",LEFT(B4534,FIND("_",B4534,1)-1)="ULSPOOL"),LEFT(B4534,FIND("_",B4534,1)-1),VLOOKUP(LEFT(A4534,6),'Code Library'!$D$3:$E$200,2,0))&amp;"_"&amp;RIGHT(A4534,3)</f>
        <v>#VALUE!</v>
      </c>
      <c r="I4534" s="66">
        <f t="shared" si="70"/>
        <v>0</v>
      </c>
    </row>
    <row r="4535" spans="8:9">
      <c r="H4535" s="66" t="e">
        <f>IF(OR(LEFT(B4535,FIND("_",B4535,1)-1)="ULGALLOC",LEFT(B4535,FIND("_",B4535,1)-1)="ULSPOOL"),LEFT(B4535,FIND("_",B4535,1)-1),VLOOKUP(LEFT(A4535,6),'Code Library'!$D$3:$E$200,2,0))&amp;"_"&amp;RIGHT(A4535,3)</f>
        <v>#VALUE!</v>
      </c>
      <c r="I4535" s="66">
        <f t="shared" si="70"/>
        <v>0</v>
      </c>
    </row>
    <row r="4536" spans="8:9">
      <c r="H4536" s="66" t="e">
        <f>IF(OR(LEFT(B4536,FIND("_",B4536,1)-1)="ULGALLOC",LEFT(B4536,FIND("_",B4536,1)-1)="ULSPOOL"),LEFT(B4536,FIND("_",B4536,1)-1),VLOOKUP(LEFT(A4536,6),'Code Library'!$D$3:$E$200,2,0))&amp;"_"&amp;RIGHT(A4536,3)</f>
        <v>#VALUE!</v>
      </c>
      <c r="I4536" s="66">
        <f t="shared" si="70"/>
        <v>0</v>
      </c>
    </row>
    <row r="4537" spans="8:9">
      <c r="H4537" s="66" t="e">
        <f>IF(OR(LEFT(B4537,FIND("_",B4537,1)-1)="ULGALLOC",LEFT(B4537,FIND("_",B4537,1)-1)="ULSPOOL"),LEFT(B4537,FIND("_",B4537,1)-1),VLOOKUP(LEFT(A4537,6),'Code Library'!$D$3:$E$200,2,0))&amp;"_"&amp;RIGHT(A4537,3)</f>
        <v>#VALUE!</v>
      </c>
      <c r="I4537" s="66">
        <f t="shared" si="70"/>
        <v>0</v>
      </c>
    </row>
    <row r="4538" spans="8:9">
      <c r="H4538" s="66" t="e">
        <f>IF(OR(LEFT(B4538,FIND("_",B4538,1)-1)="ULGALLOC",LEFT(B4538,FIND("_",B4538,1)-1)="ULSPOOL"),LEFT(B4538,FIND("_",B4538,1)-1),VLOOKUP(LEFT(A4538,6),'Code Library'!$D$3:$E$200,2,0))&amp;"_"&amp;RIGHT(A4538,3)</f>
        <v>#VALUE!</v>
      </c>
      <c r="I4538" s="66">
        <f t="shared" si="70"/>
        <v>0</v>
      </c>
    </row>
    <row r="4539" spans="8:9">
      <c r="H4539" s="66" t="e">
        <f>IF(OR(LEFT(B4539,FIND("_",B4539,1)-1)="ULGALLOC",LEFT(B4539,FIND("_",B4539,1)-1)="ULSPOOL"),LEFT(B4539,FIND("_",B4539,1)-1),VLOOKUP(LEFT(A4539,6),'Code Library'!$D$3:$E$200,2,0))&amp;"_"&amp;RIGHT(A4539,3)</f>
        <v>#VALUE!</v>
      </c>
      <c r="I4539" s="66">
        <f t="shared" si="70"/>
        <v>0</v>
      </c>
    </row>
    <row r="4540" spans="8:9">
      <c r="H4540" s="66" t="e">
        <f>IF(OR(LEFT(B4540,FIND("_",B4540,1)-1)="ULGALLOC",LEFT(B4540,FIND("_",B4540,1)-1)="ULSPOOL"),LEFT(B4540,FIND("_",B4540,1)-1),VLOOKUP(LEFT(A4540,6),'Code Library'!$D$3:$E$200,2,0))&amp;"_"&amp;RIGHT(A4540,3)</f>
        <v>#VALUE!</v>
      </c>
      <c r="I4540" s="66">
        <f t="shared" si="70"/>
        <v>0</v>
      </c>
    </row>
    <row r="4541" spans="8:9">
      <c r="H4541" s="66" t="e">
        <f>IF(OR(LEFT(B4541,FIND("_",B4541,1)-1)="ULGALLOC",LEFT(B4541,FIND("_",B4541,1)-1)="ULSPOOL"),LEFT(B4541,FIND("_",B4541,1)-1),VLOOKUP(LEFT(A4541,6),'Code Library'!$D$3:$E$200,2,0))&amp;"_"&amp;RIGHT(A4541,3)</f>
        <v>#VALUE!</v>
      </c>
      <c r="I4541" s="66">
        <f t="shared" si="70"/>
        <v>0</v>
      </c>
    </row>
    <row r="4542" spans="8:9">
      <c r="H4542" s="66" t="e">
        <f>IF(OR(LEFT(B4542,FIND("_",B4542,1)-1)="ULGALLOC",LEFT(B4542,FIND("_",B4542,1)-1)="ULSPOOL"),LEFT(B4542,FIND("_",B4542,1)-1),VLOOKUP(LEFT(A4542,6),'Code Library'!$D$3:$E$200,2,0))&amp;"_"&amp;RIGHT(A4542,3)</f>
        <v>#VALUE!</v>
      </c>
      <c r="I4542" s="66">
        <f t="shared" si="70"/>
        <v>0</v>
      </c>
    </row>
    <row r="4543" spans="8:9">
      <c r="H4543" s="66" t="e">
        <f>IF(OR(LEFT(B4543,FIND("_",B4543,1)-1)="ULGALLOC",LEFT(B4543,FIND("_",B4543,1)-1)="ULSPOOL"),LEFT(B4543,FIND("_",B4543,1)-1),VLOOKUP(LEFT(A4543,6),'Code Library'!$D$3:$E$200,2,0))&amp;"_"&amp;RIGHT(A4543,3)</f>
        <v>#VALUE!</v>
      </c>
      <c r="I4543" s="66">
        <f t="shared" si="70"/>
        <v>0</v>
      </c>
    </row>
    <row r="4544" spans="8:9">
      <c r="H4544" s="66" t="e">
        <f>IF(OR(LEFT(B4544,FIND("_",B4544,1)-1)="ULGALLOC",LEFT(B4544,FIND("_",B4544,1)-1)="ULSPOOL"),LEFT(B4544,FIND("_",B4544,1)-1),VLOOKUP(LEFT(A4544,6),'Code Library'!$D$3:$E$200,2,0))&amp;"_"&amp;RIGHT(A4544,3)</f>
        <v>#VALUE!</v>
      </c>
      <c r="I4544" s="66">
        <f t="shared" si="70"/>
        <v>0</v>
      </c>
    </row>
    <row r="4545" spans="8:9">
      <c r="H4545" s="66" t="e">
        <f>IF(OR(LEFT(B4545,FIND("_",B4545,1)-1)="ULGALLOC",LEFT(B4545,FIND("_",B4545,1)-1)="ULSPOOL"),LEFT(B4545,FIND("_",B4545,1)-1),VLOOKUP(LEFT(A4545,6),'Code Library'!$D$3:$E$200,2,0))&amp;"_"&amp;RIGHT(A4545,3)</f>
        <v>#VALUE!</v>
      </c>
      <c r="I4545" s="66">
        <f t="shared" si="70"/>
        <v>0</v>
      </c>
    </row>
    <row r="4546" spans="8:9">
      <c r="H4546" s="66" t="e">
        <f>IF(OR(LEFT(B4546,FIND("_",B4546,1)-1)="ULGALLOC",LEFT(B4546,FIND("_",B4546,1)-1)="ULSPOOL"),LEFT(B4546,FIND("_",B4546,1)-1),VLOOKUP(LEFT(A4546,6),'Code Library'!$D$3:$E$200,2,0))&amp;"_"&amp;RIGHT(A4546,3)</f>
        <v>#VALUE!</v>
      </c>
      <c r="I4546" s="66">
        <f t="shared" si="70"/>
        <v>0</v>
      </c>
    </row>
    <row r="4547" spans="8:9">
      <c r="H4547" s="66" t="e">
        <f>IF(OR(LEFT(B4547,FIND("_",B4547,1)-1)="ULGALLOC",LEFT(B4547,FIND("_",B4547,1)-1)="ULSPOOL"),LEFT(B4547,FIND("_",B4547,1)-1),VLOOKUP(LEFT(A4547,6),'Code Library'!$D$3:$E$200,2,0))&amp;"_"&amp;RIGHT(A4547,3)</f>
        <v>#VALUE!</v>
      </c>
      <c r="I4547" s="66">
        <f t="shared" ref="I4547:I4610" si="71">A4547</f>
        <v>0</v>
      </c>
    </row>
    <row r="4548" spans="8:9">
      <c r="H4548" s="66" t="e">
        <f>IF(OR(LEFT(B4548,FIND("_",B4548,1)-1)="ULGALLOC",LEFT(B4548,FIND("_",B4548,1)-1)="ULSPOOL"),LEFT(B4548,FIND("_",B4548,1)-1),VLOOKUP(LEFT(A4548,6),'Code Library'!$D$3:$E$200,2,0))&amp;"_"&amp;RIGHT(A4548,3)</f>
        <v>#VALUE!</v>
      </c>
      <c r="I4548" s="66">
        <f t="shared" si="71"/>
        <v>0</v>
      </c>
    </row>
    <row r="4549" spans="8:9">
      <c r="H4549" s="66" t="e">
        <f>IF(OR(LEFT(B4549,FIND("_",B4549,1)-1)="ULGALLOC",LEFT(B4549,FIND("_",B4549,1)-1)="ULSPOOL"),LEFT(B4549,FIND("_",B4549,1)-1),VLOOKUP(LEFT(A4549,6),'Code Library'!$D$3:$E$200,2,0))&amp;"_"&amp;RIGHT(A4549,3)</f>
        <v>#VALUE!</v>
      </c>
      <c r="I4549" s="66">
        <f t="shared" si="71"/>
        <v>0</v>
      </c>
    </row>
    <row r="4550" spans="8:9">
      <c r="H4550" s="66" t="e">
        <f>IF(OR(LEFT(B4550,FIND("_",B4550,1)-1)="ULGALLOC",LEFT(B4550,FIND("_",B4550,1)-1)="ULSPOOL"),LEFT(B4550,FIND("_",B4550,1)-1),VLOOKUP(LEFT(A4550,6),'Code Library'!$D$3:$E$200,2,0))&amp;"_"&amp;RIGHT(A4550,3)</f>
        <v>#VALUE!</v>
      </c>
      <c r="I4550" s="66">
        <f t="shared" si="71"/>
        <v>0</v>
      </c>
    </row>
    <row r="4551" spans="8:9">
      <c r="H4551" s="66" t="e">
        <f>IF(OR(LEFT(B4551,FIND("_",B4551,1)-1)="ULGALLOC",LEFT(B4551,FIND("_",B4551,1)-1)="ULSPOOL"),LEFT(B4551,FIND("_",B4551,1)-1),VLOOKUP(LEFT(A4551,6),'Code Library'!$D$3:$E$200,2,0))&amp;"_"&amp;RIGHT(A4551,3)</f>
        <v>#VALUE!</v>
      </c>
      <c r="I4551" s="66">
        <f t="shared" si="71"/>
        <v>0</v>
      </c>
    </row>
    <row r="4552" spans="8:9">
      <c r="H4552" s="66" t="e">
        <f>IF(OR(LEFT(B4552,FIND("_",B4552,1)-1)="ULGALLOC",LEFT(B4552,FIND("_",B4552,1)-1)="ULSPOOL"),LEFT(B4552,FIND("_",B4552,1)-1),VLOOKUP(LEFT(A4552,6),'Code Library'!$D$3:$E$200,2,0))&amp;"_"&amp;RIGHT(A4552,3)</f>
        <v>#VALUE!</v>
      </c>
      <c r="I4552" s="66">
        <f t="shared" si="71"/>
        <v>0</v>
      </c>
    </row>
    <row r="4553" spans="8:9">
      <c r="H4553" s="66" t="e">
        <f>IF(OR(LEFT(B4553,FIND("_",B4553,1)-1)="ULGALLOC",LEFT(B4553,FIND("_",B4553,1)-1)="ULSPOOL"),LEFT(B4553,FIND("_",B4553,1)-1),VLOOKUP(LEFT(A4553,6),'Code Library'!$D$3:$E$200,2,0))&amp;"_"&amp;RIGHT(A4553,3)</f>
        <v>#VALUE!</v>
      </c>
      <c r="I4553" s="66">
        <f t="shared" si="71"/>
        <v>0</v>
      </c>
    </row>
    <row r="4554" spans="8:9">
      <c r="H4554" s="66" t="e">
        <f>IF(OR(LEFT(B4554,FIND("_",B4554,1)-1)="ULGALLOC",LEFT(B4554,FIND("_",B4554,1)-1)="ULSPOOL"),LEFT(B4554,FIND("_",B4554,1)-1),VLOOKUP(LEFT(A4554,6),'Code Library'!$D$3:$E$200,2,0))&amp;"_"&amp;RIGHT(A4554,3)</f>
        <v>#VALUE!</v>
      </c>
      <c r="I4554" s="66">
        <f t="shared" si="71"/>
        <v>0</v>
      </c>
    </row>
    <row r="4555" spans="8:9">
      <c r="H4555" s="66" t="e">
        <f>IF(OR(LEFT(B4555,FIND("_",B4555,1)-1)="ULGALLOC",LEFT(B4555,FIND("_",B4555,1)-1)="ULSPOOL"),LEFT(B4555,FIND("_",B4555,1)-1),VLOOKUP(LEFT(A4555,6),'Code Library'!$D$3:$E$200,2,0))&amp;"_"&amp;RIGHT(A4555,3)</f>
        <v>#VALUE!</v>
      </c>
      <c r="I4555" s="66">
        <f t="shared" si="71"/>
        <v>0</v>
      </c>
    </row>
    <row r="4556" spans="8:9">
      <c r="H4556" s="66" t="e">
        <f>IF(OR(LEFT(B4556,FIND("_",B4556,1)-1)="ULGALLOC",LEFT(B4556,FIND("_",B4556,1)-1)="ULSPOOL"),LEFT(B4556,FIND("_",B4556,1)-1),VLOOKUP(LEFT(A4556,6),'Code Library'!$D$3:$E$200,2,0))&amp;"_"&amp;RIGHT(A4556,3)</f>
        <v>#VALUE!</v>
      </c>
      <c r="I4556" s="66">
        <f t="shared" si="71"/>
        <v>0</v>
      </c>
    </row>
    <row r="4557" spans="8:9">
      <c r="H4557" s="66" t="e">
        <f>IF(OR(LEFT(B4557,FIND("_",B4557,1)-1)="ULGALLOC",LEFT(B4557,FIND("_",B4557,1)-1)="ULSPOOL"),LEFT(B4557,FIND("_",B4557,1)-1),VLOOKUP(LEFT(A4557,6),'Code Library'!$D$3:$E$200,2,0))&amp;"_"&amp;RIGHT(A4557,3)</f>
        <v>#VALUE!</v>
      </c>
      <c r="I4557" s="66">
        <f t="shared" si="71"/>
        <v>0</v>
      </c>
    </row>
    <row r="4558" spans="8:9">
      <c r="H4558" s="66" t="e">
        <f>IF(OR(LEFT(B4558,FIND("_",B4558,1)-1)="ULGALLOC",LEFT(B4558,FIND("_",B4558,1)-1)="ULSPOOL"),LEFT(B4558,FIND("_",B4558,1)-1),VLOOKUP(LEFT(A4558,6),'Code Library'!$D$3:$E$200,2,0))&amp;"_"&amp;RIGHT(A4558,3)</f>
        <v>#VALUE!</v>
      </c>
      <c r="I4558" s="66">
        <f t="shared" si="71"/>
        <v>0</v>
      </c>
    </row>
    <row r="4559" spans="8:9">
      <c r="H4559" s="66" t="e">
        <f>IF(OR(LEFT(B4559,FIND("_",B4559,1)-1)="ULGALLOC",LEFT(B4559,FIND("_",B4559,1)-1)="ULSPOOL"),LEFT(B4559,FIND("_",B4559,1)-1),VLOOKUP(LEFT(A4559,6),'Code Library'!$D$3:$E$200,2,0))&amp;"_"&amp;RIGHT(A4559,3)</f>
        <v>#VALUE!</v>
      </c>
      <c r="I4559" s="66">
        <f t="shared" si="71"/>
        <v>0</v>
      </c>
    </row>
    <row r="4560" spans="8:9">
      <c r="H4560" s="66" t="e">
        <f>IF(OR(LEFT(B4560,FIND("_",B4560,1)-1)="ULGALLOC",LEFT(B4560,FIND("_",B4560,1)-1)="ULSPOOL"),LEFT(B4560,FIND("_",B4560,1)-1),VLOOKUP(LEFT(A4560,6),'Code Library'!$D$3:$E$200,2,0))&amp;"_"&amp;RIGHT(A4560,3)</f>
        <v>#VALUE!</v>
      </c>
      <c r="I4560" s="66">
        <f t="shared" si="71"/>
        <v>0</v>
      </c>
    </row>
    <row r="4561" spans="8:9">
      <c r="H4561" s="66" t="e">
        <f>IF(OR(LEFT(B4561,FIND("_",B4561,1)-1)="ULGALLOC",LEFT(B4561,FIND("_",B4561,1)-1)="ULSPOOL"),LEFT(B4561,FIND("_",B4561,1)-1),VLOOKUP(LEFT(A4561,6),'Code Library'!$D$3:$E$200,2,0))&amp;"_"&amp;RIGHT(A4561,3)</f>
        <v>#VALUE!</v>
      </c>
      <c r="I4561" s="66">
        <f t="shared" si="71"/>
        <v>0</v>
      </c>
    </row>
    <row r="4562" spans="8:9">
      <c r="H4562" s="66" t="e">
        <f>IF(OR(LEFT(B4562,FIND("_",B4562,1)-1)="ULGALLOC",LEFT(B4562,FIND("_",B4562,1)-1)="ULSPOOL"),LEFT(B4562,FIND("_",B4562,1)-1),VLOOKUP(LEFT(A4562,6),'Code Library'!$D$3:$E$200,2,0))&amp;"_"&amp;RIGHT(A4562,3)</f>
        <v>#VALUE!</v>
      </c>
      <c r="I4562" s="66">
        <f t="shared" si="71"/>
        <v>0</v>
      </c>
    </row>
    <row r="4563" spans="8:9">
      <c r="H4563" s="66" t="e">
        <f>IF(OR(LEFT(B4563,FIND("_",B4563,1)-1)="ULGALLOC",LEFT(B4563,FIND("_",B4563,1)-1)="ULSPOOL"),LEFT(B4563,FIND("_",B4563,1)-1),VLOOKUP(LEFT(A4563,6),'Code Library'!$D$3:$E$200,2,0))&amp;"_"&amp;RIGHT(A4563,3)</f>
        <v>#VALUE!</v>
      </c>
      <c r="I4563" s="66">
        <f t="shared" si="71"/>
        <v>0</v>
      </c>
    </row>
    <row r="4564" spans="8:9">
      <c r="H4564" s="66" t="e">
        <f>IF(OR(LEFT(B4564,FIND("_",B4564,1)-1)="ULGALLOC",LEFT(B4564,FIND("_",B4564,1)-1)="ULSPOOL"),LEFT(B4564,FIND("_",B4564,1)-1),VLOOKUP(LEFT(A4564,6),'Code Library'!$D$3:$E$200,2,0))&amp;"_"&amp;RIGHT(A4564,3)</f>
        <v>#VALUE!</v>
      </c>
      <c r="I4564" s="66">
        <f t="shared" si="71"/>
        <v>0</v>
      </c>
    </row>
    <row r="4565" spans="8:9">
      <c r="H4565" s="66" t="e">
        <f>IF(OR(LEFT(B4565,FIND("_",B4565,1)-1)="ULGALLOC",LEFT(B4565,FIND("_",B4565,1)-1)="ULSPOOL"),LEFT(B4565,FIND("_",B4565,1)-1),VLOOKUP(LEFT(A4565,6),'Code Library'!$D$3:$E$200,2,0))&amp;"_"&amp;RIGHT(A4565,3)</f>
        <v>#VALUE!</v>
      </c>
      <c r="I4565" s="66">
        <f t="shared" si="71"/>
        <v>0</v>
      </c>
    </row>
    <row r="4566" spans="8:9">
      <c r="H4566" s="66" t="e">
        <f>IF(OR(LEFT(B4566,FIND("_",B4566,1)-1)="ULGALLOC",LEFT(B4566,FIND("_",B4566,1)-1)="ULSPOOL"),LEFT(B4566,FIND("_",B4566,1)-1),VLOOKUP(LEFT(A4566,6),'Code Library'!$D$3:$E$200,2,0))&amp;"_"&amp;RIGHT(A4566,3)</f>
        <v>#VALUE!</v>
      </c>
      <c r="I4566" s="66">
        <f t="shared" si="71"/>
        <v>0</v>
      </c>
    </row>
    <row r="4567" spans="8:9">
      <c r="H4567" s="66" t="e">
        <f>IF(OR(LEFT(B4567,FIND("_",B4567,1)-1)="ULGALLOC",LEFT(B4567,FIND("_",B4567,1)-1)="ULSPOOL"),LEFT(B4567,FIND("_",B4567,1)-1),VLOOKUP(LEFT(A4567,6),'Code Library'!$D$3:$E$200,2,0))&amp;"_"&amp;RIGHT(A4567,3)</f>
        <v>#VALUE!</v>
      </c>
      <c r="I4567" s="66">
        <f t="shared" si="71"/>
        <v>0</v>
      </c>
    </row>
    <row r="4568" spans="8:9">
      <c r="H4568" s="66" t="e">
        <f>IF(OR(LEFT(B4568,FIND("_",B4568,1)-1)="ULGALLOC",LEFT(B4568,FIND("_",B4568,1)-1)="ULSPOOL"),LEFT(B4568,FIND("_",B4568,1)-1),VLOOKUP(LEFT(A4568,6),'Code Library'!$D$3:$E$200,2,0))&amp;"_"&amp;RIGHT(A4568,3)</f>
        <v>#VALUE!</v>
      </c>
      <c r="I4568" s="66">
        <f t="shared" si="71"/>
        <v>0</v>
      </c>
    </row>
    <row r="4569" spans="8:9">
      <c r="H4569" s="66" t="e">
        <f>IF(OR(LEFT(B4569,FIND("_",B4569,1)-1)="ULGALLOC",LEFT(B4569,FIND("_",B4569,1)-1)="ULSPOOL"),LEFT(B4569,FIND("_",B4569,1)-1),VLOOKUP(LEFT(A4569,6),'Code Library'!$D$3:$E$200,2,0))&amp;"_"&amp;RIGHT(A4569,3)</f>
        <v>#VALUE!</v>
      </c>
      <c r="I4569" s="66">
        <f t="shared" si="71"/>
        <v>0</v>
      </c>
    </row>
    <row r="4570" spans="8:9">
      <c r="H4570" s="66" t="e">
        <f>IF(OR(LEFT(B4570,FIND("_",B4570,1)-1)="ULGALLOC",LEFT(B4570,FIND("_",B4570,1)-1)="ULSPOOL"),LEFT(B4570,FIND("_",B4570,1)-1),VLOOKUP(LEFT(A4570,6),'Code Library'!$D$3:$E$200,2,0))&amp;"_"&amp;RIGHT(A4570,3)</f>
        <v>#VALUE!</v>
      </c>
      <c r="I4570" s="66">
        <f t="shared" si="71"/>
        <v>0</v>
      </c>
    </row>
    <row r="4571" spans="8:9">
      <c r="H4571" s="66" t="e">
        <f>IF(OR(LEFT(B4571,FIND("_",B4571,1)-1)="ULGALLOC",LEFT(B4571,FIND("_",B4571,1)-1)="ULSPOOL"),LEFT(B4571,FIND("_",B4571,1)-1),VLOOKUP(LEFT(A4571,6),'Code Library'!$D$3:$E$200,2,0))&amp;"_"&amp;RIGHT(A4571,3)</f>
        <v>#VALUE!</v>
      </c>
      <c r="I4571" s="66">
        <f t="shared" si="71"/>
        <v>0</v>
      </c>
    </row>
    <row r="4572" spans="8:9">
      <c r="H4572" s="66" t="e">
        <f>IF(OR(LEFT(B4572,FIND("_",B4572,1)-1)="ULGALLOC",LEFT(B4572,FIND("_",B4572,1)-1)="ULSPOOL"),LEFT(B4572,FIND("_",B4572,1)-1),VLOOKUP(LEFT(A4572,6),'Code Library'!$D$3:$E$200,2,0))&amp;"_"&amp;RIGHT(A4572,3)</f>
        <v>#VALUE!</v>
      </c>
      <c r="I4572" s="66">
        <f t="shared" si="71"/>
        <v>0</v>
      </c>
    </row>
    <row r="4573" spans="8:9">
      <c r="H4573" s="66" t="e">
        <f>IF(OR(LEFT(B4573,FIND("_",B4573,1)-1)="ULGALLOC",LEFT(B4573,FIND("_",B4573,1)-1)="ULSPOOL"),LEFT(B4573,FIND("_",B4573,1)-1),VLOOKUP(LEFT(A4573,6),'Code Library'!$D$3:$E$200,2,0))&amp;"_"&amp;RIGHT(A4573,3)</f>
        <v>#VALUE!</v>
      </c>
      <c r="I4573" s="66">
        <f t="shared" si="71"/>
        <v>0</v>
      </c>
    </row>
    <row r="4574" spans="8:9">
      <c r="H4574" s="66" t="e">
        <f>IF(OR(LEFT(B4574,FIND("_",B4574,1)-1)="ULGALLOC",LEFT(B4574,FIND("_",B4574,1)-1)="ULSPOOL"),LEFT(B4574,FIND("_",B4574,1)-1),VLOOKUP(LEFT(A4574,6),'Code Library'!$D$3:$E$200,2,0))&amp;"_"&amp;RIGHT(A4574,3)</f>
        <v>#VALUE!</v>
      </c>
      <c r="I4574" s="66">
        <f t="shared" si="71"/>
        <v>0</v>
      </c>
    </row>
    <row r="4575" spans="8:9">
      <c r="H4575" s="66" t="e">
        <f>IF(OR(LEFT(B4575,FIND("_",B4575,1)-1)="ULGALLOC",LEFT(B4575,FIND("_",B4575,1)-1)="ULSPOOL"),LEFT(B4575,FIND("_",B4575,1)-1),VLOOKUP(LEFT(A4575,6),'Code Library'!$D$3:$E$200,2,0))&amp;"_"&amp;RIGHT(A4575,3)</f>
        <v>#VALUE!</v>
      </c>
      <c r="I4575" s="66">
        <f t="shared" si="71"/>
        <v>0</v>
      </c>
    </row>
    <row r="4576" spans="8:9">
      <c r="H4576" s="66" t="e">
        <f>IF(OR(LEFT(B4576,FIND("_",B4576,1)-1)="ULGALLOC",LEFT(B4576,FIND("_",B4576,1)-1)="ULSPOOL"),LEFT(B4576,FIND("_",B4576,1)-1),VLOOKUP(LEFT(A4576,6),'Code Library'!$D$3:$E$200,2,0))&amp;"_"&amp;RIGHT(A4576,3)</f>
        <v>#VALUE!</v>
      </c>
      <c r="I4576" s="66">
        <f t="shared" si="71"/>
        <v>0</v>
      </c>
    </row>
    <row r="4577" spans="8:9">
      <c r="H4577" s="66" t="e">
        <f>IF(OR(LEFT(B4577,FIND("_",B4577,1)-1)="ULGALLOC",LEFT(B4577,FIND("_",B4577,1)-1)="ULSPOOL"),LEFT(B4577,FIND("_",B4577,1)-1),VLOOKUP(LEFT(A4577,6),'Code Library'!$D$3:$E$200,2,0))&amp;"_"&amp;RIGHT(A4577,3)</f>
        <v>#VALUE!</v>
      </c>
      <c r="I4577" s="66">
        <f t="shared" si="71"/>
        <v>0</v>
      </c>
    </row>
    <row r="4578" spans="8:9">
      <c r="H4578" s="66" t="e">
        <f>IF(OR(LEFT(B4578,FIND("_",B4578,1)-1)="ULGALLOC",LEFT(B4578,FIND("_",B4578,1)-1)="ULSPOOL"),LEFT(B4578,FIND("_",B4578,1)-1),VLOOKUP(LEFT(A4578,6),'Code Library'!$D$3:$E$200,2,0))&amp;"_"&amp;RIGHT(A4578,3)</f>
        <v>#VALUE!</v>
      </c>
      <c r="I4578" s="66">
        <f t="shared" si="71"/>
        <v>0</v>
      </c>
    </row>
    <row r="4579" spans="8:9">
      <c r="H4579" s="66" t="e">
        <f>IF(OR(LEFT(B4579,FIND("_",B4579,1)-1)="ULGALLOC",LEFT(B4579,FIND("_",B4579,1)-1)="ULSPOOL"),LEFT(B4579,FIND("_",B4579,1)-1),VLOOKUP(LEFT(A4579,6),'Code Library'!$D$3:$E$200,2,0))&amp;"_"&amp;RIGHT(A4579,3)</f>
        <v>#VALUE!</v>
      </c>
      <c r="I4579" s="66">
        <f t="shared" si="71"/>
        <v>0</v>
      </c>
    </row>
    <row r="4580" spans="8:9">
      <c r="H4580" s="66" t="e">
        <f>IF(OR(LEFT(B4580,FIND("_",B4580,1)-1)="ULGALLOC",LEFT(B4580,FIND("_",B4580,1)-1)="ULSPOOL"),LEFT(B4580,FIND("_",B4580,1)-1),VLOOKUP(LEFT(A4580,6),'Code Library'!$D$3:$E$200,2,0))&amp;"_"&amp;RIGHT(A4580,3)</f>
        <v>#VALUE!</v>
      </c>
      <c r="I4580" s="66">
        <f t="shared" si="71"/>
        <v>0</v>
      </c>
    </row>
    <row r="4581" spans="8:9">
      <c r="H4581" s="66" t="e">
        <f>IF(OR(LEFT(B4581,FIND("_",B4581,1)-1)="ULGALLOC",LEFT(B4581,FIND("_",B4581,1)-1)="ULSPOOL"),LEFT(B4581,FIND("_",B4581,1)-1),VLOOKUP(LEFT(A4581,6),'Code Library'!$D$3:$E$200,2,0))&amp;"_"&amp;RIGHT(A4581,3)</f>
        <v>#VALUE!</v>
      </c>
      <c r="I4581" s="66">
        <f t="shared" si="71"/>
        <v>0</v>
      </c>
    </row>
    <row r="4582" spans="8:9">
      <c r="H4582" s="66" t="e">
        <f>IF(OR(LEFT(B4582,FIND("_",B4582,1)-1)="ULGALLOC",LEFT(B4582,FIND("_",B4582,1)-1)="ULSPOOL"),LEFT(B4582,FIND("_",B4582,1)-1),VLOOKUP(LEFT(A4582,6),'Code Library'!$D$3:$E$200,2,0))&amp;"_"&amp;RIGHT(A4582,3)</f>
        <v>#VALUE!</v>
      </c>
      <c r="I4582" s="66">
        <f t="shared" si="71"/>
        <v>0</v>
      </c>
    </row>
    <row r="4583" spans="8:9">
      <c r="H4583" s="66" t="e">
        <f>IF(OR(LEFT(B4583,FIND("_",B4583,1)-1)="ULGALLOC",LEFT(B4583,FIND("_",B4583,1)-1)="ULSPOOL"),LEFT(B4583,FIND("_",B4583,1)-1),VLOOKUP(LEFT(A4583,6),'Code Library'!$D$3:$E$200,2,0))&amp;"_"&amp;RIGHT(A4583,3)</f>
        <v>#VALUE!</v>
      </c>
      <c r="I4583" s="66">
        <f t="shared" si="71"/>
        <v>0</v>
      </c>
    </row>
    <row r="4584" spans="8:9">
      <c r="H4584" s="66" t="e">
        <f>IF(OR(LEFT(B4584,FIND("_",B4584,1)-1)="ULGALLOC",LEFT(B4584,FIND("_",B4584,1)-1)="ULSPOOL"),LEFT(B4584,FIND("_",B4584,1)-1),VLOOKUP(LEFT(A4584,6),'Code Library'!$D$3:$E$200,2,0))&amp;"_"&amp;RIGHT(A4584,3)</f>
        <v>#VALUE!</v>
      </c>
      <c r="I4584" s="66">
        <f t="shared" si="71"/>
        <v>0</v>
      </c>
    </row>
    <row r="4585" spans="8:9">
      <c r="H4585" s="66" t="e">
        <f>IF(OR(LEFT(B4585,FIND("_",B4585,1)-1)="ULGALLOC",LEFT(B4585,FIND("_",B4585,1)-1)="ULSPOOL"),LEFT(B4585,FIND("_",B4585,1)-1),VLOOKUP(LEFT(A4585,6),'Code Library'!$D$3:$E$200,2,0))&amp;"_"&amp;RIGHT(A4585,3)</f>
        <v>#VALUE!</v>
      </c>
      <c r="I4585" s="66">
        <f t="shared" si="71"/>
        <v>0</v>
      </c>
    </row>
    <row r="4586" spans="8:9">
      <c r="H4586" s="66" t="e">
        <f>IF(OR(LEFT(B4586,FIND("_",B4586,1)-1)="ULGALLOC",LEFT(B4586,FIND("_",B4586,1)-1)="ULSPOOL"),LEFT(B4586,FIND("_",B4586,1)-1),VLOOKUP(LEFT(A4586,6),'Code Library'!$D$3:$E$200,2,0))&amp;"_"&amp;RIGHT(A4586,3)</f>
        <v>#VALUE!</v>
      </c>
      <c r="I4586" s="66">
        <f t="shared" si="71"/>
        <v>0</v>
      </c>
    </row>
    <row r="4587" spans="8:9">
      <c r="H4587" s="66" t="e">
        <f>IF(OR(LEFT(B4587,FIND("_",B4587,1)-1)="ULGALLOC",LEFT(B4587,FIND("_",B4587,1)-1)="ULSPOOL"),LEFT(B4587,FIND("_",B4587,1)-1),VLOOKUP(LEFT(A4587,6),'Code Library'!$D$3:$E$200,2,0))&amp;"_"&amp;RIGHT(A4587,3)</f>
        <v>#VALUE!</v>
      </c>
      <c r="I4587" s="66">
        <f t="shared" si="71"/>
        <v>0</v>
      </c>
    </row>
    <row r="4588" spans="8:9">
      <c r="H4588" s="66" t="e">
        <f>IF(OR(LEFT(B4588,FIND("_",B4588,1)-1)="ULGALLOC",LEFT(B4588,FIND("_",B4588,1)-1)="ULSPOOL"),LEFT(B4588,FIND("_",B4588,1)-1),VLOOKUP(LEFT(A4588,6),'Code Library'!$D$3:$E$200,2,0))&amp;"_"&amp;RIGHT(A4588,3)</f>
        <v>#VALUE!</v>
      </c>
      <c r="I4588" s="66">
        <f t="shared" si="71"/>
        <v>0</v>
      </c>
    </row>
    <row r="4589" spans="8:9">
      <c r="H4589" s="66" t="e">
        <f>IF(OR(LEFT(B4589,FIND("_",B4589,1)-1)="ULGALLOC",LEFT(B4589,FIND("_",B4589,1)-1)="ULSPOOL"),LEFT(B4589,FIND("_",B4589,1)-1),VLOOKUP(LEFT(A4589,6),'Code Library'!$D$3:$E$200,2,0))&amp;"_"&amp;RIGHT(A4589,3)</f>
        <v>#VALUE!</v>
      </c>
      <c r="I4589" s="66">
        <f t="shared" si="71"/>
        <v>0</v>
      </c>
    </row>
    <row r="4590" spans="8:9">
      <c r="H4590" s="66" t="e">
        <f>IF(OR(LEFT(B4590,FIND("_",B4590,1)-1)="ULGALLOC",LEFT(B4590,FIND("_",B4590,1)-1)="ULSPOOL"),LEFT(B4590,FIND("_",B4590,1)-1),VLOOKUP(LEFT(A4590,6),'Code Library'!$D$3:$E$200,2,0))&amp;"_"&amp;RIGHT(A4590,3)</f>
        <v>#VALUE!</v>
      </c>
      <c r="I4590" s="66">
        <f t="shared" si="71"/>
        <v>0</v>
      </c>
    </row>
    <row r="4591" spans="8:9">
      <c r="H4591" s="66" t="e">
        <f>IF(OR(LEFT(B4591,FIND("_",B4591,1)-1)="ULGALLOC",LEFT(B4591,FIND("_",B4591,1)-1)="ULSPOOL"),LEFT(B4591,FIND("_",B4591,1)-1),VLOOKUP(LEFT(A4591,6),'Code Library'!$D$3:$E$200,2,0))&amp;"_"&amp;RIGHT(A4591,3)</f>
        <v>#VALUE!</v>
      </c>
      <c r="I4591" s="66">
        <f t="shared" si="71"/>
        <v>0</v>
      </c>
    </row>
    <row r="4592" spans="8:9">
      <c r="H4592" s="66" t="e">
        <f>IF(OR(LEFT(B4592,FIND("_",B4592,1)-1)="ULGALLOC",LEFT(B4592,FIND("_",B4592,1)-1)="ULSPOOL"),LEFT(B4592,FIND("_",B4592,1)-1),VLOOKUP(LEFT(A4592,6),'Code Library'!$D$3:$E$200,2,0))&amp;"_"&amp;RIGHT(A4592,3)</f>
        <v>#VALUE!</v>
      </c>
      <c r="I4592" s="66">
        <f t="shared" si="71"/>
        <v>0</v>
      </c>
    </row>
    <row r="4593" spans="8:9">
      <c r="H4593" s="66" t="e">
        <f>IF(OR(LEFT(B4593,FIND("_",B4593,1)-1)="ULGALLOC",LEFT(B4593,FIND("_",B4593,1)-1)="ULSPOOL"),LEFT(B4593,FIND("_",B4593,1)-1),VLOOKUP(LEFT(A4593,6),'Code Library'!$D$3:$E$200,2,0))&amp;"_"&amp;RIGHT(A4593,3)</f>
        <v>#VALUE!</v>
      </c>
      <c r="I4593" s="66">
        <f t="shared" si="71"/>
        <v>0</v>
      </c>
    </row>
    <row r="4594" spans="8:9">
      <c r="H4594" s="66" t="e">
        <f>IF(OR(LEFT(B4594,FIND("_",B4594,1)-1)="ULGALLOC",LEFT(B4594,FIND("_",B4594,1)-1)="ULSPOOL"),LEFT(B4594,FIND("_",B4594,1)-1),VLOOKUP(LEFT(A4594,6),'Code Library'!$D$3:$E$200,2,0))&amp;"_"&amp;RIGHT(A4594,3)</f>
        <v>#VALUE!</v>
      </c>
      <c r="I4594" s="66">
        <f t="shared" si="71"/>
        <v>0</v>
      </c>
    </row>
    <row r="4595" spans="8:9">
      <c r="H4595" s="66" t="e">
        <f>IF(OR(LEFT(B4595,FIND("_",B4595,1)-1)="ULGALLOC",LEFT(B4595,FIND("_",B4595,1)-1)="ULSPOOL"),LEFT(B4595,FIND("_",B4595,1)-1),VLOOKUP(LEFT(A4595,6),'Code Library'!$D$3:$E$200,2,0))&amp;"_"&amp;RIGHT(A4595,3)</f>
        <v>#VALUE!</v>
      </c>
      <c r="I4595" s="66">
        <f t="shared" si="71"/>
        <v>0</v>
      </c>
    </row>
    <row r="4596" spans="8:9">
      <c r="H4596" s="66" t="e">
        <f>IF(OR(LEFT(B4596,FIND("_",B4596,1)-1)="ULGALLOC",LEFT(B4596,FIND("_",B4596,1)-1)="ULSPOOL"),LEFT(B4596,FIND("_",B4596,1)-1),VLOOKUP(LEFT(A4596,6),'Code Library'!$D$3:$E$200,2,0))&amp;"_"&amp;RIGHT(A4596,3)</f>
        <v>#VALUE!</v>
      </c>
      <c r="I4596" s="66">
        <f t="shared" si="71"/>
        <v>0</v>
      </c>
    </row>
    <row r="4597" spans="8:9">
      <c r="H4597" s="66" t="e">
        <f>IF(OR(LEFT(B4597,FIND("_",B4597,1)-1)="ULGALLOC",LEFT(B4597,FIND("_",B4597,1)-1)="ULSPOOL"),LEFT(B4597,FIND("_",B4597,1)-1),VLOOKUP(LEFT(A4597,6),'Code Library'!$D$3:$E$200,2,0))&amp;"_"&amp;RIGHT(A4597,3)</f>
        <v>#VALUE!</v>
      </c>
      <c r="I4597" s="66">
        <f t="shared" si="71"/>
        <v>0</v>
      </c>
    </row>
    <row r="4598" spans="8:9">
      <c r="H4598" s="66" t="e">
        <f>IF(OR(LEFT(B4598,FIND("_",B4598,1)-1)="ULGALLOC",LEFT(B4598,FIND("_",B4598,1)-1)="ULSPOOL"),LEFT(B4598,FIND("_",B4598,1)-1),VLOOKUP(LEFT(A4598,6),'Code Library'!$D$3:$E$200,2,0))&amp;"_"&amp;RIGHT(A4598,3)</f>
        <v>#VALUE!</v>
      </c>
      <c r="I4598" s="66">
        <f t="shared" si="71"/>
        <v>0</v>
      </c>
    </row>
    <row r="4599" spans="8:9">
      <c r="H4599" s="66" t="e">
        <f>IF(OR(LEFT(B4599,FIND("_",B4599,1)-1)="ULGALLOC",LEFT(B4599,FIND("_",B4599,1)-1)="ULSPOOL"),LEFT(B4599,FIND("_",B4599,1)-1),VLOOKUP(LEFT(A4599,6),'Code Library'!$D$3:$E$200,2,0))&amp;"_"&amp;RIGHT(A4599,3)</f>
        <v>#VALUE!</v>
      </c>
      <c r="I4599" s="66">
        <f t="shared" si="71"/>
        <v>0</v>
      </c>
    </row>
    <row r="4600" spans="8:9">
      <c r="H4600" s="66" t="e">
        <f>IF(OR(LEFT(B4600,FIND("_",B4600,1)-1)="ULGALLOC",LEFT(B4600,FIND("_",B4600,1)-1)="ULSPOOL"),LEFT(B4600,FIND("_",B4600,1)-1),VLOOKUP(LEFT(A4600,6),'Code Library'!$D$3:$E$200,2,0))&amp;"_"&amp;RIGHT(A4600,3)</f>
        <v>#VALUE!</v>
      </c>
      <c r="I4600" s="66">
        <f t="shared" si="71"/>
        <v>0</v>
      </c>
    </row>
    <row r="4601" spans="8:9">
      <c r="H4601" s="66" t="e">
        <f>IF(OR(LEFT(B4601,FIND("_",B4601,1)-1)="ULGALLOC",LEFT(B4601,FIND("_",B4601,1)-1)="ULSPOOL"),LEFT(B4601,FIND("_",B4601,1)-1),VLOOKUP(LEFT(A4601,6),'Code Library'!$D$3:$E$200,2,0))&amp;"_"&amp;RIGHT(A4601,3)</f>
        <v>#VALUE!</v>
      </c>
      <c r="I4601" s="66">
        <f t="shared" si="71"/>
        <v>0</v>
      </c>
    </row>
    <row r="4602" spans="8:9">
      <c r="H4602" s="66" t="e">
        <f>IF(OR(LEFT(B4602,FIND("_",B4602,1)-1)="ULGALLOC",LEFT(B4602,FIND("_",B4602,1)-1)="ULSPOOL"),LEFT(B4602,FIND("_",B4602,1)-1),VLOOKUP(LEFT(A4602,6),'Code Library'!$D$3:$E$200,2,0))&amp;"_"&amp;RIGHT(A4602,3)</f>
        <v>#VALUE!</v>
      </c>
      <c r="I4602" s="66">
        <f t="shared" si="71"/>
        <v>0</v>
      </c>
    </row>
    <row r="4603" spans="8:9">
      <c r="H4603" s="66" t="e">
        <f>IF(OR(LEFT(B4603,FIND("_",B4603,1)-1)="ULGALLOC",LEFT(B4603,FIND("_",B4603,1)-1)="ULSPOOL"),LEFT(B4603,FIND("_",B4603,1)-1),VLOOKUP(LEFT(A4603,6),'Code Library'!$D$3:$E$200,2,0))&amp;"_"&amp;RIGHT(A4603,3)</f>
        <v>#VALUE!</v>
      </c>
      <c r="I4603" s="66">
        <f t="shared" si="71"/>
        <v>0</v>
      </c>
    </row>
    <row r="4604" spans="8:9">
      <c r="H4604" s="66" t="e">
        <f>IF(OR(LEFT(B4604,FIND("_",B4604,1)-1)="ULGALLOC",LEFT(B4604,FIND("_",B4604,1)-1)="ULSPOOL"),LEFT(B4604,FIND("_",B4604,1)-1),VLOOKUP(LEFT(A4604,6),'Code Library'!$D$3:$E$200,2,0))&amp;"_"&amp;RIGHT(A4604,3)</f>
        <v>#VALUE!</v>
      </c>
      <c r="I4604" s="66">
        <f t="shared" si="71"/>
        <v>0</v>
      </c>
    </row>
    <row r="4605" spans="8:9">
      <c r="H4605" s="66" t="e">
        <f>IF(OR(LEFT(B4605,FIND("_",B4605,1)-1)="ULGALLOC",LEFT(B4605,FIND("_",B4605,1)-1)="ULSPOOL"),LEFT(B4605,FIND("_",B4605,1)-1),VLOOKUP(LEFT(A4605,6),'Code Library'!$D$3:$E$200,2,0))&amp;"_"&amp;RIGHT(A4605,3)</f>
        <v>#VALUE!</v>
      </c>
      <c r="I4605" s="66">
        <f t="shared" si="71"/>
        <v>0</v>
      </c>
    </row>
    <row r="4606" spans="8:9">
      <c r="H4606" s="66" t="e">
        <f>IF(OR(LEFT(B4606,FIND("_",B4606,1)-1)="ULGALLOC",LEFT(B4606,FIND("_",B4606,1)-1)="ULSPOOL"),LEFT(B4606,FIND("_",B4606,1)-1),VLOOKUP(LEFT(A4606,6),'Code Library'!$D$3:$E$200,2,0))&amp;"_"&amp;RIGHT(A4606,3)</f>
        <v>#VALUE!</v>
      </c>
      <c r="I4606" s="66">
        <f t="shared" si="71"/>
        <v>0</v>
      </c>
    </row>
    <row r="4607" spans="8:9">
      <c r="H4607" s="66" t="e">
        <f>IF(OR(LEFT(B4607,FIND("_",B4607,1)-1)="ULGALLOC",LEFT(B4607,FIND("_",B4607,1)-1)="ULSPOOL"),LEFT(B4607,FIND("_",B4607,1)-1),VLOOKUP(LEFT(A4607,6),'Code Library'!$D$3:$E$200,2,0))&amp;"_"&amp;RIGHT(A4607,3)</f>
        <v>#VALUE!</v>
      </c>
      <c r="I4607" s="66">
        <f t="shared" si="71"/>
        <v>0</v>
      </c>
    </row>
    <row r="4608" spans="8:9">
      <c r="H4608" s="66" t="e">
        <f>IF(OR(LEFT(B4608,FIND("_",B4608,1)-1)="ULGALLOC",LEFT(B4608,FIND("_",B4608,1)-1)="ULSPOOL"),LEFT(B4608,FIND("_",B4608,1)-1),VLOOKUP(LEFT(A4608,6),'Code Library'!$D$3:$E$200,2,0))&amp;"_"&amp;RIGHT(A4608,3)</f>
        <v>#VALUE!</v>
      </c>
      <c r="I4608" s="66">
        <f t="shared" si="71"/>
        <v>0</v>
      </c>
    </row>
    <row r="4609" spans="8:9">
      <c r="H4609" s="66" t="e">
        <f>IF(OR(LEFT(B4609,FIND("_",B4609,1)-1)="ULGALLOC",LEFT(B4609,FIND("_",B4609,1)-1)="ULSPOOL"),LEFT(B4609,FIND("_",B4609,1)-1),VLOOKUP(LEFT(A4609,6),'Code Library'!$D$3:$E$200,2,0))&amp;"_"&amp;RIGHT(A4609,3)</f>
        <v>#VALUE!</v>
      </c>
      <c r="I4609" s="66">
        <f t="shared" si="71"/>
        <v>0</v>
      </c>
    </row>
    <row r="4610" spans="8:9">
      <c r="H4610" s="66" t="e">
        <f>IF(OR(LEFT(B4610,FIND("_",B4610,1)-1)="ULGALLOC",LEFT(B4610,FIND("_",B4610,1)-1)="ULSPOOL"),LEFT(B4610,FIND("_",B4610,1)-1),VLOOKUP(LEFT(A4610,6),'Code Library'!$D$3:$E$200,2,0))&amp;"_"&amp;RIGHT(A4610,3)</f>
        <v>#VALUE!</v>
      </c>
      <c r="I4610" s="66">
        <f t="shared" si="71"/>
        <v>0</v>
      </c>
    </row>
    <row r="4611" spans="8:9">
      <c r="H4611" s="66" t="e">
        <f>IF(OR(LEFT(B4611,FIND("_",B4611,1)-1)="ULGALLOC",LEFT(B4611,FIND("_",B4611,1)-1)="ULSPOOL"),LEFT(B4611,FIND("_",B4611,1)-1),VLOOKUP(LEFT(A4611,6),'Code Library'!$D$3:$E$200,2,0))&amp;"_"&amp;RIGHT(A4611,3)</f>
        <v>#VALUE!</v>
      </c>
      <c r="I4611" s="66">
        <f t="shared" ref="I4611:I4674" si="72">A4611</f>
        <v>0</v>
      </c>
    </row>
    <row r="4612" spans="8:9">
      <c r="H4612" s="66" t="e">
        <f>IF(OR(LEFT(B4612,FIND("_",B4612,1)-1)="ULGALLOC",LEFT(B4612,FIND("_",B4612,1)-1)="ULSPOOL"),LEFT(B4612,FIND("_",B4612,1)-1),VLOOKUP(LEFT(A4612,6),'Code Library'!$D$3:$E$200,2,0))&amp;"_"&amp;RIGHT(A4612,3)</f>
        <v>#VALUE!</v>
      </c>
      <c r="I4612" s="66">
        <f t="shared" si="72"/>
        <v>0</v>
      </c>
    </row>
    <row r="4613" spans="8:9">
      <c r="H4613" s="66" t="e">
        <f>IF(OR(LEFT(B4613,FIND("_",B4613,1)-1)="ULGALLOC",LEFT(B4613,FIND("_",B4613,1)-1)="ULSPOOL"),LEFT(B4613,FIND("_",B4613,1)-1),VLOOKUP(LEFT(A4613,6),'Code Library'!$D$3:$E$200,2,0))&amp;"_"&amp;RIGHT(A4613,3)</f>
        <v>#VALUE!</v>
      </c>
      <c r="I4613" s="66">
        <f t="shared" si="72"/>
        <v>0</v>
      </c>
    </row>
    <row r="4614" spans="8:9">
      <c r="H4614" s="66" t="e">
        <f>IF(OR(LEFT(B4614,FIND("_",B4614,1)-1)="ULGALLOC",LEFT(B4614,FIND("_",B4614,1)-1)="ULSPOOL"),LEFT(B4614,FIND("_",B4614,1)-1),VLOOKUP(LEFT(A4614,6),'Code Library'!$D$3:$E$200,2,0))&amp;"_"&amp;RIGHT(A4614,3)</f>
        <v>#VALUE!</v>
      </c>
      <c r="I4614" s="66">
        <f t="shared" si="72"/>
        <v>0</v>
      </c>
    </row>
    <row r="4615" spans="8:9">
      <c r="H4615" s="66" t="e">
        <f>IF(OR(LEFT(B4615,FIND("_",B4615,1)-1)="ULGALLOC",LEFT(B4615,FIND("_",B4615,1)-1)="ULSPOOL"),LEFT(B4615,FIND("_",B4615,1)-1),VLOOKUP(LEFT(A4615,6),'Code Library'!$D$3:$E$200,2,0))&amp;"_"&amp;RIGHT(A4615,3)</f>
        <v>#VALUE!</v>
      </c>
      <c r="I4615" s="66">
        <f t="shared" si="72"/>
        <v>0</v>
      </c>
    </row>
    <row r="4616" spans="8:9">
      <c r="H4616" s="66" t="e">
        <f>IF(OR(LEFT(B4616,FIND("_",B4616,1)-1)="ULGALLOC",LEFT(B4616,FIND("_",B4616,1)-1)="ULSPOOL"),LEFT(B4616,FIND("_",B4616,1)-1),VLOOKUP(LEFT(A4616,6),'Code Library'!$D$3:$E$200,2,0))&amp;"_"&amp;RIGHT(A4616,3)</f>
        <v>#VALUE!</v>
      </c>
      <c r="I4616" s="66">
        <f t="shared" si="72"/>
        <v>0</v>
      </c>
    </row>
    <row r="4617" spans="8:9">
      <c r="H4617" s="66" t="e">
        <f>IF(OR(LEFT(B4617,FIND("_",B4617,1)-1)="ULGALLOC",LEFT(B4617,FIND("_",B4617,1)-1)="ULSPOOL"),LEFT(B4617,FIND("_",B4617,1)-1),VLOOKUP(LEFT(A4617,6),'Code Library'!$D$3:$E$200,2,0))&amp;"_"&amp;RIGHT(A4617,3)</f>
        <v>#VALUE!</v>
      </c>
      <c r="I4617" s="66">
        <f t="shared" si="72"/>
        <v>0</v>
      </c>
    </row>
    <row r="4618" spans="8:9">
      <c r="H4618" s="66" t="e">
        <f>IF(OR(LEFT(B4618,FIND("_",B4618,1)-1)="ULGALLOC",LEFT(B4618,FIND("_",B4618,1)-1)="ULSPOOL"),LEFT(B4618,FIND("_",B4618,1)-1),VLOOKUP(LEFT(A4618,6),'Code Library'!$D$3:$E$200,2,0))&amp;"_"&amp;RIGHT(A4618,3)</f>
        <v>#VALUE!</v>
      </c>
      <c r="I4618" s="66">
        <f t="shared" si="72"/>
        <v>0</v>
      </c>
    </row>
    <row r="4619" spans="8:9">
      <c r="H4619" s="66" t="e">
        <f>IF(OR(LEFT(B4619,FIND("_",B4619,1)-1)="ULGALLOC",LEFT(B4619,FIND("_",B4619,1)-1)="ULSPOOL"),LEFT(B4619,FIND("_",B4619,1)-1),VLOOKUP(LEFT(A4619,6),'Code Library'!$D$3:$E$200,2,0))&amp;"_"&amp;RIGHT(A4619,3)</f>
        <v>#VALUE!</v>
      </c>
      <c r="I4619" s="66">
        <f t="shared" si="72"/>
        <v>0</v>
      </c>
    </row>
    <row r="4620" spans="8:9">
      <c r="H4620" s="66" t="e">
        <f>IF(OR(LEFT(B4620,FIND("_",B4620,1)-1)="ULGALLOC",LEFT(B4620,FIND("_",B4620,1)-1)="ULSPOOL"),LEFT(B4620,FIND("_",B4620,1)-1),VLOOKUP(LEFT(A4620,6),'Code Library'!$D$3:$E$200,2,0))&amp;"_"&amp;RIGHT(A4620,3)</f>
        <v>#VALUE!</v>
      </c>
      <c r="I4620" s="66">
        <f t="shared" si="72"/>
        <v>0</v>
      </c>
    </row>
    <row r="4621" spans="8:9">
      <c r="H4621" s="66" t="e">
        <f>IF(OR(LEFT(B4621,FIND("_",B4621,1)-1)="ULGALLOC",LEFT(B4621,FIND("_",B4621,1)-1)="ULSPOOL"),LEFT(B4621,FIND("_",B4621,1)-1),VLOOKUP(LEFT(A4621,6),'Code Library'!$D$3:$E$200,2,0))&amp;"_"&amp;RIGHT(A4621,3)</f>
        <v>#VALUE!</v>
      </c>
      <c r="I4621" s="66">
        <f t="shared" si="72"/>
        <v>0</v>
      </c>
    </row>
    <row r="4622" spans="8:9">
      <c r="H4622" s="66" t="e">
        <f>IF(OR(LEFT(B4622,FIND("_",B4622,1)-1)="ULGALLOC",LEFT(B4622,FIND("_",B4622,1)-1)="ULSPOOL"),LEFT(B4622,FIND("_",B4622,1)-1),VLOOKUP(LEFT(A4622,6),'Code Library'!$D$3:$E$200,2,0))&amp;"_"&amp;RIGHT(A4622,3)</f>
        <v>#VALUE!</v>
      </c>
      <c r="I4622" s="66">
        <f t="shared" si="72"/>
        <v>0</v>
      </c>
    </row>
    <row r="4623" spans="8:9">
      <c r="H4623" s="66" t="e">
        <f>IF(OR(LEFT(B4623,FIND("_",B4623,1)-1)="ULGALLOC",LEFT(B4623,FIND("_",B4623,1)-1)="ULSPOOL"),LEFT(B4623,FIND("_",B4623,1)-1),VLOOKUP(LEFT(A4623,6),'Code Library'!$D$3:$E$200,2,0))&amp;"_"&amp;RIGHT(A4623,3)</f>
        <v>#VALUE!</v>
      </c>
      <c r="I4623" s="66">
        <f t="shared" si="72"/>
        <v>0</v>
      </c>
    </row>
    <row r="4624" spans="8:9">
      <c r="H4624" s="66" t="e">
        <f>IF(OR(LEFT(B4624,FIND("_",B4624,1)-1)="ULGALLOC",LEFT(B4624,FIND("_",B4624,1)-1)="ULSPOOL"),LEFT(B4624,FIND("_",B4624,1)-1),VLOOKUP(LEFT(A4624,6),'Code Library'!$D$3:$E$200,2,0))&amp;"_"&amp;RIGHT(A4624,3)</f>
        <v>#VALUE!</v>
      </c>
      <c r="I4624" s="66">
        <f t="shared" si="72"/>
        <v>0</v>
      </c>
    </row>
    <row r="4625" spans="8:9">
      <c r="H4625" s="66" t="e">
        <f>IF(OR(LEFT(B4625,FIND("_",B4625,1)-1)="ULGALLOC",LEFT(B4625,FIND("_",B4625,1)-1)="ULSPOOL"),LEFT(B4625,FIND("_",B4625,1)-1),VLOOKUP(LEFT(A4625,6),'Code Library'!$D$3:$E$200,2,0))&amp;"_"&amp;RIGHT(A4625,3)</f>
        <v>#VALUE!</v>
      </c>
      <c r="I4625" s="66">
        <f t="shared" si="72"/>
        <v>0</v>
      </c>
    </row>
    <row r="4626" spans="8:9">
      <c r="H4626" s="66" t="e">
        <f>IF(OR(LEFT(B4626,FIND("_",B4626,1)-1)="ULGALLOC",LEFT(B4626,FIND("_",B4626,1)-1)="ULSPOOL"),LEFT(B4626,FIND("_",B4626,1)-1),VLOOKUP(LEFT(A4626,6),'Code Library'!$D$3:$E$200,2,0))&amp;"_"&amp;RIGHT(A4626,3)</f>
        <v>#VALUE!</v>
      </c>
      <c r="I4626" s="66">
        <f t="shared" si="72"/>
        <v>0</v>
      </c>
    </row>
    <row r="4627" spans="8:9">
      <c r="H4627" s="66" t="e">
        <f>IF(OR(LEFT(B4627,FIND("_",B4627,1)-1)="ULGALLOC",LEFT(B4627,FIND("_",B4627,1)-1)="ULSPOOL"),LEFT(B4627,FIND("_",B4627,1)-1),VLOOKUP(LEFT(A4627,6),'Code Library'!$D$3:$E$200,2,0))&amp;"_"&amp;RIGHT(A4627,3)</f>
        <v>#VALUE!</v>
      </c>
      <c r="I4627" s="66">
        <f t="shared" si="72"/>
        <v>0</v>
      </c>
    </row>
    <row r="4628" spans="8:9">
      <c r="H4628" s="66" t="e">
        <f>IF(OR(LEFT(B4628,FIND("_",B4628,1)-1)="ULGALLOC",LEFT(B4628,FIND("_",B4628,1)-1)="ULSPOOL"),LEFT(B4628,FIND("_",B4628,1)-1),VLOOKUP(LEFT(A4628,6),'Code Library'!$D$3:$E$200,2,0))&amp;"_"&amp;RIGHT(A4628,3)</f>
        <v>#VALUE!</v>
      </c>
      <c r="I4628" s="66">
        <f t="shared" si="72"/>
        <v>0</v>
      </c>
    </row>
    <row r="4629" spans="8:9">
      <c r="H4629" s="66" t="e">
        <f>IF(OR(LEFT(B4629,FIND("_",B4629,1)-1)="ULGALLOC",LEFT(B4629,FIND("_",B4629,1)-1)="ULSPOOL"),LEFT(B4629,FIND("_",B4629,1)-1),VLOOKUP(LEFT(A4629,6),'Code Library'!$D$3:$E$200,2,0))&amp;"_"&amp;RIGHT(A4629,3)</f>
        <v>#VALUE!</v>
      </c>
      <c r="I4629" s="66">
        <f t="shared" si="72"/>
        <v>0</v>
      </c>
    </row>
    <row r="4630" spans="8:9">
      <c r="H4630" s="66" t="e">
        <f>IF(OR(LEFT(B4630,FIND("_",B4630,1)-1)="ULGALLOC",LEFT(B4630,FIND("_",B4630,1)-1)="ULSPOOL"),LEFT(B4630,FIND("_",B4630,1)-1),VLOOKUP(LEFT(A4630,6),'Code Library'!$D$3:$E$200,2,0))&amp;"_"&amp;RIGHT(A4630,3)</f>
        <v>#VALUE!</v>
      </c>
      <c r="I4630" s="66">
        <f t="shared" si="72"/>
        <v>0</v>
      </c>
    </row>
    <row r="4631" spans="8:9">
      <c r="H4631" s="66" t="e">
        <f>IF(OR(LEFT(B4631,FIND("_",B4631,1)-1)="ULGALLOC",LEFT(B4631,FIND("_",B4631,1)-1)="ULSPOOL"),LEFT(B4631,FIND("_",B4631,1)-1),VLOOKUP(LEFT(A4631,6),'Code Library'!$D$3:$E$200,2,0))&amp;"_"&amp;RIGHT(A4631,3)</f>
        <v>#VALUE!</v>
      </c>
      <c r="I4631" s="66">
        <f t="shared" si="72"/>
        <v>0</v>
      </c>
    </row>
    <row r="4632" spans="8:9">
      <c r="H4632" s="66" t="e">
        <f>IF(OR(LEFT(B4632,FIND("_",B4632,1)-1)="ULGALLOC",LEFT(B4632,FIND("_",B4632,1)-1)="ULSPOOL"),LEFT(B4632,FIND("_",B4632,1)-1),VLOOKUP(LEFT(A4632,6),'Code Library'!$D$3:$E$200,2,0))&amp;"_"&amp;RIGHT(A4632,3)</f>
        <v>#VALUE!</v>
      </c>
      <c r="I4632" s="66">
        <f t="shared" si="72"/>
        <v>0</v>
      </c>
    </row>
    <row r="4633" spans="8:9">
      <c r="H4633" s="66" t="e">
        <f>IF(OR(LEFT(B4633,FIND("_",B4633,1)-1)="ULGALLOC",LEFT(B4633,FIND("_",B4633,1)-1)="ULSPOOL"),LEFT(B4633,FIND("_",B4633,1)-1),VLOOKUP(LEFT(A4633,6),'Code Library'!$D$3:$E$200,2,0))&amp;"_"&amp;RIGHT(A4633,3)</f>
        <v>#VALUE!</v>
      </c>
      <c r="I4633" s="66">
        <f t="shared" si="72"/>
        <v>0</v>
      </c>
    </row>
    <row r="4634" spans="8:9">
      <c r="H4634" s="66" t="e">
        <f>IF(OR(LEFT(B4634,FIND("_",B4634,1)-1)="ULGALLOC",LEFT(B4634,FIND("_",B4634,1)-1)="ULSPOOL"),LEFT(B4634,FIND("_",B4634,1)-1),VLOOKUP(LEFT(A4634,6),'Code Library'!$D$3:$E$200,2,0))&amp;"_"&amp;RIGHT(A4634,3)</f>
        <v>#VALUE!</v>
      </c>
      <c r="I4634" s="66">
        <f t="shared" si="72"/>
        <v>0</v>
      </c>
    </row>
    <row r="4635" spans="8:9">
      <c r="H4635" s="66" t="e">
        <f>IF(OR(LEFT(B4635,FIND("_",B4635,1)-1)="ULGALLOC",LEFT(B4635,FIND("_",B4635,1)-1)="ULSPOOL"),LEFT(B4635,FIND("_",B4635,1)-1),VLOOKUP(LEFT(A4635,6),'Code Library'!$D$3:$E$200,2,0))&amp;"_"&amp;RIGHT(A4635,3)</f>
        <v>#VALUE!</v>
      </c>
      <c r="I4635" s="66">
        <f t="shared" si="72"/>
        <v>0</v>
      </c>
    </row>
    <row r="4636" spans="8:9">
      <c r="H4636" s="66" t="e">
        <f>IF(OR(LEFT(B4636,FIND("_",B4636,1)-1)="ULGALLOC",LEFT(B4636,FIND("_",B4636,1)-1)="ULSPOOL"),LEFT(B4636,FIND("_",B4636,1)-1),VLOOKUP(LEFT(A4636,6),'Code Library'!$D$3:$E$200,2,0))&amp;"_"&amp;RIGHT(A4636,3)</f>
        <v>#VALUE!</v>
      </c>
      <c r="I4636" s="66">
        <f t="shared" si="72"/>
        <v>0</v>
      </c>
    </row>
    <row r="4637" spans="8:9">
      <c r="H4637" s="66" t="e">
        <f>IF(OR(LEFT(B4637,FIND("_",B4637,1)-1)="ULGALLOC",LEFT(B4637,FIND("_",B4637,1)-1)="ULSPOOL"),LEFT(B4637,FIND("_",B4637,1)-1),VLOOKUP(LEFT(A4637,6),'Code Library'!$D$3:$E$200,2,0))&amp;"_"&amp;RIGHT(A4637,3)</f>
        <v>#VALUE!</v>
      </c>
      <c r="I4637" s="66">
        <f t="shared" si="72"/>
        <v>0</v>
      </c>
    </row>
    <row r="4638" spans="8:9">
      <c r="H4638" s="66" t="e">
        <f>IF(OR(LEFT(B4638,FIND("_",B4638,1)-1)="ULGALLOC",LEFT(B4638,FIND("_",B4638,1)-1)="ULSPOOL"),LEFT(B4638,FIND("_",B4638,1)-1),VLOOKUP(LEFT(A4638,6),'Code Library'!$D$3:$E$200,2,0))&amp;"_"&amp;RIGHT(A4638,3)</f>
        <v>#VALUE!</v>
      </c>
      <c r="I4638" s="66">
        <f t="shared" si="72"/>
        <v>0</v>
      </c>
    </row>
    <row r="4639" spans="8:9">
      <c r="H4639" s="66" t="e">
        <f>IF(OR(LEFT(B4639,FIND("_",B4639,1)-1)="ULGALLOC",LEFT(B4639,FIND("_",B4639,1)-1)="ULSPOOL"),LEFT(B4639,FIND("_",B4639,1)-1),VLOOKUP(LEFT(A4639,6),'Code Library'!$D$3:$E$200,2,0))&amp;"_"&amp;RIGHT(A4639,3)</f>
        <v>#VALUE!</v>
      </c>
      <c r="I4639" s="66">
        <f t="shared" si="72"/>
        <v>0</v>
      </c>
    </row>
    <row r="4640" spans="8:9">
      <c r="H4640" s="66" t="e">
        <f>IF(OR(LEFT(B4640,FIND("_",B4640,1)-1)="ULGALLOC",LEFT(B4640,FIND("_",B4640,1)-1)="ULSPOOL"),LEFT(B4640,FIND("_",B4640,1)-1),VLOOKUP(LEFT(A4640,6),'Code Library'!$D$3:$E$200,2,0))&amp;"_"&amp;RIGHT(A4640,3)</f>
        <v>#VALUE!</v>
      </c>
      <c r="I4640" s="66">
        <f t="shared" si="72"/>
        <v>0</v>
      </c>
    </row>
    <row r="4641" spans="8:9">
      <c r="H4641" s="66" t="e">
        <f>IF(OR(LEFT(B4641,FIND("_",B4641,1)-1)="ULGALLOC",LEFT(B4641,FIND("_",B4641,1)-1)="ULSPOOL"),LEFT(B4641,FIND("_",B4641,1)-1),VLOOKUP(LEFT(A4641,6),'Code Library'!$D$3:$E$200,2,0))&amp;"_"&amp;RIGHT(A4641,3)</f>
        <v>#VALUE!</v>
      </c>
      <c r="I4641" s="66">
        <f t="shared" si="72"/>
        <v>0</v>
      </c>
    </row>
    <row r="4642" spans="8:9">
      <c r="H4642" s="66" t="e">
        <f>IF(OR(LEFT(B4642,FIND("_",B4642,1)-1)="ULGALLOC",LEFT(B4642,FIND("_",B4642,1)-1)="ULSPOOL"),LEFT(B4642,FIND("_",B4642,1)-1),VLOOKUP(LEFT(A4642,6),'Code Library'!$D$3:$E$200,2,0))&amp;"_"&amp;RIGHT(A4642,3)</f>
        <v>#VALUE!</v>
      </c>
      <c r="I4642" s="66">
        <f t="shared" si="72"/>
        <v>0</v>
      </c>
    </row>
    <row r="4643" spans="8:9">
      <c r="H4643" s="66" t="e">
        <f>IF(OR(LEFT(B4643,FIND("_",B4643,1)-1)="ULGALLOC",LEFT(B4643,FIND("_",B4643,1)-1)="ULSPOOL"),LEFT(B4643,FIND("_",B4643,1)-1),VLOOKUP(LEFT(A4643,6),'Code Library'!$D$3:$E$200,2,0))&amp;"_"&amp;RIGHT(A4643,3)</f>
        <v>#VALUE!</v>
      </c>
      <c r="I4643" s="66">
        <f t="shared" si="72"/>
        <v>0</v>
      </c>
    </row>
    <row r="4644" spans="8:9">
      <c r="H4644" s="66" t="e">
        <f>IF(OR(LEFT(B4644,FIND("_",B4644,1)-1)="ULGALLOC",LEFT(B4644,FIND("_",B4644,1)-1)="ULSPOOL"),LEFT(B4644,FIND("_",B4644,1)-1),VLOOKUP(LEFT(A4644,6),'Code Library'!$D$3:$E$200,2,0))&amp;"_"&amp;RIGHT(A4644,3)</f>
        <v>#VALUE!</v>
      </c>
      <c r="I4644" s="66">
        <f t="shared" si="72"/>
        <v>0</v>
      </c>
    </row>
    <row r="4645" spans="8:9">
      <c r="H4645" s="66" t="e">
        <f>IF(OR(LEFT(B4645,FIND("_",B4645,1)-1)="ULGALLOC",LEFT(B4645,FIND("_",B4645,1)-1)="ULSPOOL"),LEFT(B4645,FIND("_",B4645,1)-1),VLOOKUP(LEFT(A4645,6),'Code Library'!$D$3:$E$200,2,0))&amp;"_"&amp;RIGHT(A4645,3)</f>
        <v>#VALUE!</v>
      </c>
      <c r="I4645" s="66">
        <f t="shared" si="72"/>
        <v>0</v>
      </c>
    </row>
    <row r="4646" spans="8:9">
      <c r="H4646" s="66" t="e">
        <f>IF(OR(LEFT(B4646,FIND("_",B4646,1)-1)="ULGALLOC",LEFT(B4646,FIND("_",B4646,1)-1)="ULSPOOL"),LEFT(B4646,FIND("_",B4646,1)-1),VLOOKUP(LEFT(A4646,6),'Code Library'!$D$3:$E$200,2,0))&amp;"_"&amp;RIGHT(A4646,3)</f>
        <v>#VALUE!</v>
      </c>
      <c r="I4646" s="66">
        <f t="shared" si="72"/>
        <v>0</v>
      </c>
    </row>
    <row r="4647" spans="8:9">
      <c r="H4647" s="66" t="e">
        <f>IF(OR(LEFT(B4647,FIND("_",B4647,1)-1)="ULGALLOC",LEFT(B4647,FIND("_",B4647,1)-1)="ULSPOOL"),LEFT(B4647,FIND("_",B4647,1)-1),VLOOKUP(LEFT(A4647,6),'Code Library'!$D$3:$E$200,2,0))&amp;"_"&amp;RIGHT(A4647,3)</f>
        <v>#VALUE!</v>
      </c>
      <c r="I4647" s="66">
        <f t="shared" si="72"/>
        <v>0</v>
      </c>
    </row>
    <row r="4648" spans="8:9">
      <c r="H4648" s="66" t="e">
        <f>IF(OR(LEFT(B4648,FIND("_",B4648,1)-1)="ULGALLOC",LEFT(B4648,FIND("_",B4648,1)-1)="ULSPOOL"),LEFT(B4648,FIND("_",B4648,1)-1),VLOOKUP(LEFT(A4648,6),'Code Library'!$D$3:$E$200,2,0))&amp;"_"&amp;RIGHT(A4648,3)</f>
        <v>#VALUE!</v>
      </c>
      <c r="I4648" s="66">
        <f t="shared" si="72"/>
        <v>0</v>
      </c>
    </row>
    <row r="4649" spans="8:9">
      <c r="H4649" s="66" t="e">
        <f>IF(OR(LEFT(B4649,FIND("_",B4649,1)-1)="ULGALLOC",LEFT(B4649,FIND("_",B4649,1)-1)="ULSPOOL"),LEFT(B4649,FIND("_",B4649,1)-1),VLOOKUP(LEFT(A4649,6),'Code Library'!$D$3:$E$200,2,0))&amp;"_"&amp;RIGHT(A4649,3)</f>
        <v>#VALUE!</v>
      </c>
      <c r="I4649" s="66">
        <f t="shared" si="72"/>
        <v>0</v>
      </c>
    </row>
    <row r="4650" spans="8:9">
      <c r="H4650" s="66" t="e">
        <f>IF(OR(LEFT(B4650,FIND("_",B4650,1)-1)="ULGALLOC",LEFT(B4650,FIND("_",B4650,1)-1)="ULSPOOL"),LEFT(B4650,FIND("_",B4650,1)-1),VLOOKUP(LEFT(A4650,6),'Code Library'!$D$3:$E$200,2,0))&amp;"_"&amp;RIGHT(A4650,3)</f>
        <v>#VALUE!</v>
      </c>
      <c r="I4650" s="66">
        <f t="shared" si="72"/>
        <v>0</v>
      </c>
    </row>
    <row r="4651" spans="8:9">
      <c r="H4651" s="66" t="e">
        <f>IF(OR(LEFT(B4651,FIND("_",B4651,1)-1)="ULGALLOC",LEFT(B4651,FIND("_",B4651,1)-1)="ULSPOOL"),LEFT(B4651,FIND("_",B4651,1)-1),VLOOKUP(LEFT(A4651,6),'Code Library'!$D$3:$E$200,2,0))&amp;"_"&amp;RIGHT(A4651,3)</f>
        <v>#VALUE!</v>
      </c>
      <c r="I4651" s="66">
        <f t="shared" si="72"/>
        <v>0</v>
      </c>
    </row>
    <row r="4652" spans="8:9">
      <c r="H4652" s="66" t="e">
        <f>IF(OR(LEFT(B4652,FIND("_",B4652,1)-1)="ULGALLOC",LEFT(B4652,FIND("_",B4652,1)-1)="ULSPOOL"),LEFT(B4652,FIND("_",B4652,1)-1),VLOOKUP(LEFT(A4652,6),'Code Library'!$D$3:$E$200,2,0))&amp;"_"&amp;RIGHT(A4652,3)</f>
        <v>#VALUE!</v>
      </c>
      <c r="I4652" s="66">
        <f t="shared" si="72"/>
        <v>0</v>
      </c>
    </row>
    <row r="4653" spans="8:9">
      <c r="H4653" s="66" t="e">
        <f>IF(OR(LEFT(B4653,FIND("_",B4653,1)-1)="ULGALLOC",LEFT(B4653,FIND("_",B4653,1)-1)="ULSPOOL"),LEFT(B4653,FIND("_",B4653,1)-1),VLOOKUP(LEFT(A4653,6),'Code Library'!$D$3:$E$200,2,0))&amp;"_"&amp;RIGHT(A4653,3)</f>
        <v>#VALUE!</v>
      </c>
      <c r="I4653" s="66">
        <f t="shared" si="72"/>
        <v>0</v>
      </c>
    </row>
    <row r="4654" spans="8:9">
      <c r="H4654" s="66" t="e">
        <f>IF(OR(LEFT(B4654,FIND("_",B4654,1)-1)="ULGALLOC",LEFT(B4654,FIND("_",B4654,1)-1)="ULSPOOL"),LEFT(B4654,FIND("_",B4654,1)-1),VLOOKUP(LEFT(A4654,6),'Code Library'!$D$3:$E$200,2,0))&amp;"_"&amp;RIGHT(A4654,3)</f>
        <v>#VALUE!</v>
      </c>
      <c r="I4654" s="66">
        <f t="shared" si="72"/>
        <v>0</v>
      </c>
    </row>
    <row r="4655" spans="8:9">
      <c r="H4655" s="66" t="e">
        <f>IF(OR(LEFT(B4655,FIND("_",B4655,1)-1)="ULGALLOC",LEFT(B4655,FIND("_",B4655,1)-1)="ULSPOOL"),LEFT(B4655,FIND("_",B4655,1)-1),VLOOKUP(LEFT(A4655,6),'Code Library'!$D$3:$E$200,2,0))&amp;"_"&amp;RIGHT(A4655,3)</f>
        <v>#VALUE!</v>
      </c>
      <c r="I4655" s="66">
        <f t="shared" si="72"/>
        <v>0</v>
      </c>
    </row>
    <row r="4656" spans="8:9">
      <c r="H4656" s="66" t="e">
        <f>IF(OR(LEFT(B4656,FIND("_",B4656,1)-1)="ULGALLOC",LEFT(B4656,FIND("_",B4656,1)-1)="ULSPOOL"),LEFT(B4656,FIND("_",B4656,1)-1),VLOOKUP(LEFT(A4656,6),'Code Library'!$D$3:$E$200,2,0))&amp;"_"&amp;RIGHT(A4656,3)</f>
        <v>#VALUE!</v>
      </c>
      <c r="I4656" s="66">
        <f t="shared" si="72"/>
        <v>0</v>
      </c>
    </row>
    <row r="4657" spans="8:9">
      <c r="H4657" s="66" t="e">
        <f>IF(OR(LEFT(B4657,FIND("_",B4657,1)-1)="ULGALLOC",LEFT(B4657,FIND("_",B4657,1)-1)="ULSPOOL"),LEFT(B4657,FIND("_",B4657,1)-1),VLOOKUP(LEFT(A4657,6),'Code Library'!$D$3:$E$200,2,0))&amp;"_"&amp;RIGHT(A4657,3)</f>
        <v>#VALUE!</v>
      </c>
      <c r="I4657" s="66">
        <f t="shared" si="72"/>
        <v>0</v>
      </c>
    </row>
    <row r="4658" spans="8:9">
      <c r="H4658" s="66" t="e">
        <f>IF(OR(LEFT(B4658,FIND("_",B4658,1)-1)="ULGALLOC",LEFT(B4658,FIND("_",B4658,1)-1)="ULSPOOL"),LEFT(B4658,FIND("_",B4658,1)-1),VLOOKUP(LEFT(A4658,6),'Code Library'!$D$3:$E$200,2,0))&amp;"_"&amp;RIGHT(A4658,3)</f>
        <v>#VALUE!</v>
      </c>
      <c r="I4658" s="66">
        <f t="shared" si="72"/>
        <v>0</v>
      </c>
    </row>
    <row r="4659" spans="8:9">
      <c r="H4659" s="66" t="e">
        <f>IF(OR(LEFT(B4659,FIND("_",B4659,1)-1)="ULGALLOC",LEFT(B4659,FIND("_",B4659,1)-1)="ULSPOOL"),LEFT(B4659,FIND("_",B4659,1)-1),VLOOKUP(LEFT(A4659,6),'Code Library'!$D$3:$E$200,2,0))&amp;"_"&amp;RIGHT(A4659,3)</f>
        <v>#VALUE!</v>
      </c>
      <c r="I4659" s="66">
        <f t="shared" si="72"/>
        <v>0</v>
      </c>
    </row>
    <row r="4660" spans="8:9">
      <c r="H4660" s="66" t="e">
        <f>IF(OR(LEFT(B4660,FIND("_",B4660,1)-1)="ULGALLOC",LEFT(B4660,FIND("_",B4660,1)-1)="ULSPOOL"),LEFT(B4660,FIND("_",B4660,1)-1),VLOOKUP(LEFT(A4660,6),'Code Library'!$D$3:$E$200,2,0))&amp;"_"&amp;RIGHT(A4660,3)</f>
        <v>#VALUE!</v>
      </c>
      <c r="I4660" s="66">
        <f t="shared" si="72"/>
        <v>0</v>
      </c>
    </row>
    <row r="4661" spans="8:9">
      <c r="H4661" s="66" t="e">
        <f>IF(OR(LEFT(B4661,FIND("_",B4661,1)-1)="ULGALLOC",LEFT(B4661,FIND("_",B4661,1)-1)="ULSPOOL"),LEFT(B4661,FIND("_",B4661,1)-1),VLOOKUP(LEFT(A4661,6),'Code Library'!$D$3:$E$200,2,0))&amp;"_"&amp;RIGHT(A4661,3)</f>
        <v>#VALUE!</v>
      </c>
      <c r="I4661" s="66">
        <f t="shared" si="72"/>
        <v>0</v>
      </c>
    </row>
    <row r="4662" spans="8:9">
      <c r="H4662" s="66" t="e">
        <f>IF(OR(LEFT(B4662,FIND("_",B4662,1)-1)="ULGALLOC",LEFT(B4662,FIND("_",B4662,1)-1)="ULSPOOL"),LEFT(B4662,FIND("_",B4662,1)-1),VLOOKUP(LEFT(A4662,6),'Code Library'!$D$3:$E$200,2,0))&amp;"_"&amp;RIGHT(A4662,3)</f>
        <v>#VALUE!</v>
      </c>
      <c r="I4662" s="66">
        <f t="shared" si="72"/>
        <v>0</v>
      </c>
    </row>
    <row r="4663" spans="8:9">
      <c r="H4663" s="66" t="e">
        <f>IF(OR(LEFT(B4663,FIND("_",B4663,1)-1)="ULGALLOC",LEFT(B4663,FIND("_",B4663,1)-1)="ULSPOOL"),LEFT(B4663,FIND("_",B4663,1)-1),VLOOKUP(LEFT(A4663,6),'Code Library'!$D$3:$E$200,2,0))&amp;"_"&amp;RIGHT(A4663,3)</f>
        <v>#VALUE!</v>
      </c>
      <c r="I4663" s="66">
        <f t="shared" si="72"/>
        <v>0</v>
      </c>
    </row>
    <row r="4664" spans="8:9">
      <c r="H4664" s="66" t="e">
        <f>IF(OR(LEFT(B4664,FIND("_",B4664,1)-1)="ULGALLOC",LEFT(B4664,FIND("_",B4664,1)-1)="ULSPOOL"),LEFT(B4664,FIND("_",B4664,1)-1),VLOOKUP(LEFT(A4664,6),'Code Library'!$D$3:$E$200,2,0))&amp;"_"&amp;RIGHT(A4664,3)</f>
        <v>#VALUE!</v>
      </c>
      <c r="I4664" s="66">
        <f t="shared" si="72"/>
        <v>0</v>
      </c>
    </row>
    <row r="4665" spans="8:9">
      <c r="H4665" s="66" t="e">
        <f>IF(OR(LEFT(B4665,FIND("_",B4665,1)-1)="ULGALLOC",LEFT(B4665,FIND("_",B4665,1)-1)="ULSPOOL"),LEFT(B4665,FIND("_",B4665,1)-1),VLOOKUP(LEFT(A4665,6),'Code Library'!$D$3:$E$200,2,0))&amp;"_"&amp;RIGHT(A4665,3)</f>
        <v>#VALUE!</v>
      </c>
      <c r="I4665" s="66">
        <f t="shared" si="72"/>
        <v>0</v>
      </c>
    </row>
    <row r="4666" spans="8:9">
      <c r="H4666" s="66" t="e">
        <f>IF(OR(LEFT(B4666,FIND("_",B4666,1)-1)="ULGALLOC",LEFT(B4666,FIND("_",B4666,1)-1)="ULSPOOL"),LEFT(B4666,FIND("_",B4666,1)-1),VLOOKUP(LEFT(A4666,6),'Code Library'!$D$3:$E$200,2,0))&amp;"_"&amp;RIGHT(A4666,3)</f>
        <v>#VALUE!</v>
      </c>
      <c r="I4666" s="66">
        <f t="shared" si="72"/>
        <v>0</v>
      </c>
    </row>
    <row r="4667" spans="8:9">
      <c r="H4667" s="66" t="e">
        <f>IF(OR(LEFT(B4667,FIND("_",B4667,1)-1)="ULGALLOC",LEFT(B4667,FIND("_",B4667,1)-1)="ULSPOOL"),LEFT(B4667,FIND("_",B4667,1)-1),VLOOKUP(LEFT(A4667,6),'Code Library'!$D$3:$E$200,2,0))&amp;"_"&amp;RIGHT(A4667,3)</f>
        <v>#VALUE!</v>
      </c>
      <c r="I4667" s="66">
        <f t="shared" si="72"/>
        <v>0</v>
      </c>
    </row>
    <row r="4668" spans="8:9">
      <c r="H4668" s="66" t="e">
        <f>IF(OR(LEFT(B4668,FIND("_",B4668,1)-1)="ULGALLOC",LEFT(B4668,FIND("_",B4668,1)-1)="ULSPOOL"),LEFT(B4668,FIND("_",B4668,1)-1),VLOOKUP(LEFT(A4668,6),'Code Library'!$D$3:$E$200,2,0))&amp;"_"&amp;RIGHT(A4668,3)</f>
        <v>#VALUE!</v>
      </c>
      <c r="I4668" s="66">
        <f t="shared" si="72"/>
        <v>0</v>
      </c>
    </row>
    <row r="4669" spans="8:9">
      <c r="H4669" s="66" t="e">
        <f>IF(OR(LEFT(B4669,FIND("_",B4669,1)-1)="ULGALLOC",LEFT(B4669,FIND("_",B4669,1)-1)="ULSPOOL"),LEFT(B4669,FIND("_",B4669,1)-1),VLOOKUP(LEFT(A4669,6),'Code Library'!$D$3:$E$200,2,0))&amp;"_"&amp;RIGHT(A4669,3)</f>
        <v>#VALUE!</v>
      </c>
      <c r="I4669" s="66">
        <f t="shared" si="72"/>
        <v>0</v>
      </c>
    </row>
    <row r="4670" spans="8:9">
      <c r="H4670" s="66" t="e">
        <f>IF(OR(LEFT(B4670,FIND("_",B4670,1)-1)="ULGALLOC",LEFT(B4670,FIND("_",B4670,1)-1)="ULSPOOL"),LEFT(B4670,FIND("_",B4670,1)-1),VLOOKUP(LEFT(A4670,6),'Code Library'!$D$3:$E$200,2,0))&amp;"_"&amp;RIGHT(A4670,3)</f>
        <v>#VALUE!</v>
      </c>
      <c r="I4670" s="66">
        <f t="shared" si="72"/>
        <v>0</v>
      </c>
    </row>
    <row r="4671" spans="8:9">
      <c r="H4671" s="66" t="e">
        <f>IF(OR(LEFT(B4671,FIND("_",B4671,1)-1)="ULGALLOC",LEFT(B4671,FIND("_",B4671,1)-1)="ULSPOOL"),LEFT(B4671,FIND("_",B4671,1)-1),VLOOKUP(LEFT(A4671,6),'Code Library'!$D$3:$E$200,2,0))&amp;"_"&amp;RIGHT(A4671,3)</f>
        <v>#VALUE!</v>
      </c>
      <c r="I4671" s="66">
        <f t="shared" si="72"/>
        <v>0</v>
      </c>
    </row>
    <row r="4672" spans="8:9">
      <c r="H4672" s="66" t="e">
        <f>IF(OR(LEFT(B4672,FIND("_",B4672,1)-1)="ULGALLOC",LEFT(B4672,FIND("_",B4672,1)-1)="ULSPOOL"),LEFT(B4672,FIND("_",B4672,1)-1),VLOOKUP(LEFT(A4672,6),'Code Library'!$D$3:$E$200,2,0))&amp;"_"&amp;RIGHT(A4672,3)</f>
        <v>#VALUE!</v>
      </c>
      <c r="I4672" s="66">
        <f t="shared" si="72"/>
        <v>0</v>
      </c>
    </row>
    <row r="4673" spans="8:9">
      <c r="H4673" s="66" t="e">
        <f>IF(OR(LEFT(B4673,FIND("_",B4673,1)-1)="ULGALLOC",LEFT(B4673,FIND("_",B4673,1)-1)="ULSPOOL"),LEFT(B4673,FIND("_",B4673,1)-1),VLOOKUP(LEFT(A4673,6),'Code Library'!$D$3:$E$200,2,0))&amp;"_"&amp;RIGHT(A4673,3)</f>
        <v>#VALUE!</v>
      </c>
      <c r="I4673" s="66">
        <f t="shared" si="72"/>
        <v>0</v>
      </c>
    </row>
    <row r="4674" spans="8:9">
      <c r="H4674" s="66" t="e">
        <f>IF(OR(LEFT(B4674,FIND("_",B4674,1)-1)="ULGALLOC",LEFT(B4674,FIND("_",B4674,1)-1)="ULSPOOL"),LEFT(B4674,FIND("_",B4674,1)-1),VLOOKUP(LEFT(A4674,6),'Code Library'!$D$3:$E$200,2,0))&amp;"_"&amp;RIGHT(A4674,3)</f>
        <v>#VALUE!</v>
      </c>
      <c r="I4674" s="66">
        <f t="shared" si="72"/>
        <v>0</v>
      </c>
    </row>
    <row r="4675" spans="8:9">
      <c r="H4675" s="66" t="e">
        <f>IF(OR(LEFT(B4675,FIND("_",B4675,1)-1)="ULGALLOC",LEFT(B4675,FIND("_",B4675,1)-1)="ULSPOOL"),LEFT(B4675,FIND("_",B4675,1)-1),VLOOKUP(LEFT(A4675,6),'Code Library'!$D$3:$E$200,2,0))&amp;"_"&amp;RIGHT(A4675,3)</f>
        <v>#VALUE!</v>
      </c>
      <c r="I4675" s="66">
        <f t="shared" ref="I4675:I4738" si="73">A4675</f>
        <v>0</v>
      </c>
    </row>
    <row r="4676" spans="8:9">
      <c r="H4676" s="66" t="e">
        <f>IF(OR(LEFT(B4676,FIND("_",B4676,1)-1)="ULGALLOC",LEFT(B4676,FIND("_",B4676,1)-1)="ULSPOOL"),LEFT(B4676,FIND("_",B4676,1)-1),VLOOKUP(LEFT(A4676,6),'Code Library'!$D$3:$E$200,2,0))&amp;"_"&amp;RIGHT(A4676,3)</f>
        <v>#VALUE!</v>
      </c>
      <c r="I4676" s="66">
        <f t="shared" si="73"/>
        <v>0</v>
      </c>
    </row>
    <row r="4677" spans="8:9">
      <c r="H4677" s="66" t="e">
        <f>IF(OR(LEFT(B4677,FIND("_",B4677,1)-1)="ULGALLOC",LEFT(B4677,FIND("_",B4677,1)-1)="ULSPOOL"),LEFT(B4677,FIND("_",B4677,1)-1),VLOOKUP(LEFT(A4677,6),'Code Library'!$D$3:$E$200,2,0))&amp;"_"&amp;RIGHT(A4677,3)</f>
        <v>#VALUE!</v>
      </c>
      <c r="I4677" s="66">
        <f t="shared" si="73"/>
        <v>0</v>
      </c>
    </row>
    <row r="4678" spans="8:9">
      <c r="H4678" s="66" t="e">
        <f>IF(OR(LEFT(B4678,FIND("_",B4678,1)-1)="ULGALLOC",LEFT(B4678,FIND("_",B4678,1)-1)="ULSPOOL"),LEFT(B4678,FIND("_",B4678,1)-1),VLOOKUP(LEFT(A4678,6),'Code Library'!$D$3:$E$200,2,0))&amp;"_"&amp;RIGHT(A4678,3)</f>
        <v>#VALUE!</v>
      </c>
      <c r="I4678" s="66">
        <f t="shared" si="73"/>
        <v>0</v>
      </c>
    </row>
    <row r="4679" spans="8:9">
      <c r="H4679" s="66" t="e">
        <f>IF(OR(LEFT(B4679,FIND("_",B4679,1)-1)="ULGALLOC",LEFT(B4679,FIND("_",B4679,1)-1)="ULSPOOL"),LEFT(B4679,FIND("_",B4679,1)-1),VLOOKUP(LEFT(A4679,6),'Code Library'!$D$3:$E$200,2,0))&amp;"_"&amp;RIGHT(A4679,3)</f>
        <v>#VALUE!</v>
      </c>
      <c r="I4679" s="66">
        <f t="shared" si="73"/>
        <v>0</v>
      </c>
    </row>
    <row r="4680" spans="8:9">
      <c r="H4680" s="66" t="e">
        <f>IF(OR(LEFT(B4680,FIND("_",B4680,1)-1)="ULGALLOC",LEFT(B4680,FIND("_",B4680,1)-1)="ULSPOOL"),LEFT(B4680,FIND("_",B4680,1)-1),VLOOKUP(LEFT(A4680,6),'Code Library'!$D$3:$E$200,2,0))&amp;"_"&amp;RIGHT(A4680,3)</f>
        <v>#VALUE!</v>
      </c>
      <c r="I4680" s="66">
        <f t="shared" si="73"/>
        <v>0</v>
      </c>
    </row>
    <row r="4681" spans="8:9">
      <c r="H4681" s="66" t="e">
        <f>IF(OR(LEFT(B4681,FIND("_",B4681,1)-1)="ULGALLOC",LEFT(B4681,FIND("_",B4681,1)-1)="ULSPOOL"),LEFT(B4681,FIND("_",B4681,1)-1),VLOOKUP(LEFT(A4681,6),'Code Library'!$D$3:$E$200,2,0))&amp;"_"&amp;RIGHT(A4681,3)</f>
        <v>#VALUE!</v>
      </c>
      <c r="I4681" s="66">
        <f t="shared" si="73"/>
        <v>0</v>
      </c>
    </row>
    <row r="4682" spans="8:9">
      <c r="H4682" s="66" t="e">
        <f>IF(OR(LEFT(B4682,FIND("_",B4682,1)-1)="ULGALLOC",LEFT(B4682,FIND("_",B4682,1)-1)="ULSPOOL"),LEFT(B4682,FIND("_",B4682,1)-1),VLOOKUP(LEFT(A4682,6),'Code Library'!$D$3:$E$200,2,0))&amp;"_"&amp;RIGHT(A4682,3)</f>
        <v>#VALUE!</v>
      </c>
      <c r="I4682" s="66">
        <f t="shared" si="73"/>
        <v>0</v>
      </c>
    </row>
    <row r="4683" spans="8:9">
      <c r="H4683" s="66" t="e">
        <f>IF(OR(LEFT(B4683,FIND("_",B4683,1)-1)="ULGALLOC",LEFT(B4683,FIND("_",B4683,1)-1)="ULSPOOL"),LEFT(B4683,FIND("_",B4683,1)-1),VLOOKUP(LEFT(A4683,6),'Code Library'!$D$3:$E$200,2,0))&amp;"_"&amp;RIGHT(A4683,3)</f>
        <v>#VALUE!</v>
      </c>
      <c r="I4683" s="66">
        <f t="shared" si="73"/>
        <v>0</v>
      </c>
    </row>
    <row r="4684" spans="8:9">
      <c r="H4684" s="66" t="e">
        <f>IF(OR(LEFT(B4684,FIND("_",B4684,1)-1)="ULGALLOC",LEFT(B4684,FIND("_",B4684,1)-1)="ULSPOOL"),LEFT(B4684,FIND("_",B4684,1)-1),VLOOKUP(LEFT(A4684,6),'Code Library'!$D$3:$E$200,2,0))&amp;"_"&amp;RIGHT(A4684,3)</f>
        <v>#VALUE!</v>
      </c>
      <c r="I4684" s="66">
        <f t="shared" si="73"/>
        <v>0</v>
      </c>
    </row>
    <row r="4685" spans="8:9">
      <c r="H4685" s="66" t="e">
        <f>IF(OR(LEFT(B4685,FIND("_",B4685,1)-1)="ULGALLOC",LEFT(B4685,FIND("_",B4685,1)-1)="ULSPOOL"),LEFT(B4685,FIND("_",B4685,1)-1),VLOOKUP(LEFT(A4685,6),'Code Library'!$D$3:$E$200,2,0))&amp;"_"&amp;RIGHT(A4685,3)</f>
        <v>#VALUE!</v>
      </c>
      <c r="I4685" s="66">
        <f t="shared" si="73"/>
        <v>0</v>
      </c>
    </row>
    <row r="4686" spans="8:9">
      <c r="H4686" s="66" t="e">
        <f>IF(OR(LEFT(B4686,FIND("_",B4686,1)-1)="ULGALLOC",LEFT(B4686,FIND("_",B4686,1)-1)="ULSPOOL"),LEFT(B4686,FIND("_",B4686,1)-1),VLOOKUP(LEFT(A4686,6),'Code Library'!$D$3:$E$200,2,0))&amp;"_"&amp;RIGHT(A4686,3)</f>
        <v>#VALUE!</v>
      </c>
      <c r="I4686" s="66">
        <f t="shared" si="73"/>
        <v>0</v>
      </c>
    </row>
    <row r="4687" spans="8:9">
      <c r="H4687" s="66" t="e">
        <f>IF(OR(LEFT(B4687,FIND("_",B4687,1)-1)="ULGALLOC",LEFT(B4687,FIND("_",B4687,1)-1)="ULSPOOL"),LEFT(B4687,FIND("_",B4687,1)-1),VLOOKUP(LEFT(A4687,6),'Code Library'!$D$3:$E$200,2,0))&amp;"_"&amp;RIGHT(A4687,3)</f>
        <v>#VALUE!</v>
      </c>
      <c r="I4687" s="66">
        <f t="shared" si="73"/>
        <v>0</v>
      </c>
    </row>
    <row r="4688" spans="8:9">
      <c r="H4688" s="66" t="e">
        <f>IF(OR(LEFT(B4688,FIND("_",B4688,1)-1)="ULGALLOC",LEFT(B4688,FIND("_",B4688,1)-1)="ULSPOOL"),LEFT(B4688,FIND("_",B4688,1)-1),VLOOKUP(LEFT(A4688,6),'Code Library'!$D$3:$E$200,2,0))&amp;"_"&amp;RIGHT(A4688,3)</f>
        <v>#VALUE!</v>
      </c>
      <c r="I4688" s="66">
        <f t="shared" si="73"/>
        <v>0</v>
      </c>
    </row>
    <row r="4689" spans="8:9">
      <c r="H4689" s="66" t="e">
        <f>IF(OR(LEFT(B4689,FIND("_",B4689,1)-1)="ULGALLOC",LEFT(B4689,FIND("_",B4689,1)-1)="ULSPOOL"),LEFT(B4689,FIND("_",B4689,1)-1),VLOOKUP(LEFT(A4689,6),'Code Library'!$D$3:$E$200,2,0))&amp;"_"&amp;RIGHT(A4689,3)</f>
        <v>#VALUE!</v>
      </c>
      <c r="I4689" s="66">
        <f t="shared" si="73"/>
        <v>0</v>
      </c>
    </row>
    <row r="4690" spans="8:9">
      <c r="H4690" s="66" t="e">
        <f>IF(OR(LEFT(B4690,FIND("_",B4690,1)-1)="ULGALLOC",LEFT(B4690,FIND("_",B4690,1)-1)="ULSPOOL"),LEFT(B4690,FIND("_",B4690,1)-1),VLOOKUP(LEFT(A4690,6),'Code Library'!$D$3:$E$200,2,0))&amp;"_"&amp;RIGHT(A4690,3)</f>
        <v>#VALUE!</v>
      </c>
      <c r="I4690" s="66">
        <f t="shared" si="73"/>
        <v>0</v>
      </c>
    </row>
    <row r="4691" spans="8:9">
      <c r="H4691" s="66" t="e">
        <f>IF(OR(LEFT(B4691,FIND("_",B4691,1)-1)="ULGALLOC",LEFT(B4691,FIND("_",B4691,1)-1)="ULSPOOL"),LEFT(B4691,FIND("_",B4691,1)-1),VLOOKUP(LEFT(A4691,6),'Code Library'!$D$3:$E$200,2,0))&amp;"_"&amp;RIGHT(A4691,3)</f>
        <v>#VALUE!</v>
      </c>
      <c r="I4691" s="66">
        <f t="shared" si="73"/>
        <v>0</v>
      </c>
    </row>
    <row r="4692" spans="8:9">
      <c r="H4692" s="66" t="e">
        <f>IF(OR(LEFT(B4692,FIND("_",B4692,1)-1)="ULGALLOC",LEFT(B4692,FIND("_",B4692,1)-1)="ULSPOOL"),LEFT(B4692,FIND("_",B4692,1)-1),VLOOKUP(LEFT(A4692,6),'Code Library'!$D$3:$E$200,2,0))&amp;"_"&amp;RIGHT(A4692,3)</f>
        <v>#VALUE!</v>
      </c>
      <c r="I4692" s="66">
        <f t="shared" si="73"/>
        <v>0</v>
      </c>
    </row>
    <row r="4693" spans="8:9">
      <c r="H4693" s="66" t="e">
        <f>IF(OR(LEFT(B4693,FIND("_",B4693,1)-1)="ULGALLOC",LEFT(B4693,FIND("_",B4693,1)-1)="ULSPOOL"),LEFT(B4693,FIND("_",B4693,1)-1),VLOOKUP(LEFT(A4693,6),'Code Library'!$D$3:$E$200,2,0))&amp;"_"&amp;RIGHT(A4693,3)</f>
        <v>#VALUE!</v>
      </c>
      <c r="I4693" s="66">
        <f t="shared" si="73"/>
        <v>0</v>
      </c>
    </row>
    <row r="4694" spans="8:9">
      <c r="H4694" s="66" t="e">
        <f>IF(OR(LEFT(B4694,FIND("_",B4694,1)-1)="ULGALLOC",LEFT(B4694,FIND("_",B4694,1)-1)="ULSPOOL"),LEFT(B4694,FIND("_",B4694,1)-1),VLOOKUP(LEFT(A4694,6),'Code Library'!$D$3:$E$200,2,0))&amp;"_"&amp;RIGHT(A4694,3)</f>
        <v>#VALUE!</v>
      </c>
      <c r="I4694" s="66">
        <f t="shared" si="73"/>
        <v>0</v>
      </c>
    </row>
    <row r="4695" spans="8:9">
      <c r="H4695" s="66" t="e">
        <f>IF(OR(LEFT(B4695,FIND("_",B4695,1)-1)="ULGALLOC",LEFT(B4695,FIND("_",B4695,1)-1)="ULSPOOL"),LEFT(B4695,FIND("_",B4695,1)-1),VLOOKUP(LEFT(A4695,6),'Code Library'!$D$3:$E$200,2,0))&amp;"_"&amp;RIGHT(A4695,3)</f>
        <v>#VALUE!</v>
      </c>
      <c r="I4695" s="66">
        <f t="shared" si="73"/>
        <v>0</v>
      </c>
    </row>
    <row r="4696" spans="8:9">
      <c r="H4696" s="66" t="e">
        <f>IF(OR(LEFT(B4696,FIND("_",B4696,1)-1)="ULGALLOC",LEFT(B4696,FIND("_",B4696,1)-1)="ULSPOOL"),LEFT(B4696,FIND("_",B4696,1)-1),VLOOKUP(LEFT(A4696,6),'Code Library'!$D$3:$E$200,2,0))&amp;"_"&amp;RIGHT(A4696,3)</f>
        <v>#VALUE!</v>
      </c>
      <c r="I4696" s="66">
        <f t="shared" si="73"/>
        <v>0</v>
      </c>
    </row>
    <row r="4697" spans="8:9">
      <c r="H4697" s="66" t="e">
        <f>IF(OR(LEFT(B4697,FIND("_",B4697,1)-1)="ULGALLOC",LEFT(B4697,FIND("_",B4697,1)-1)="ULSPOOL"),LEFT(B4697,FIND("_",B4697,1)-1),VLOOKUP(LEFT(A4697,6),'Code Library'!$D$3:$E$200,2,0))&amp;"_"&amp;RIGHT(A4697,3)</f>
        <v>#VALUE!</v>
      </c>
      <c r="I4697" s="66">
        <f t="shared" si="73"/>
        <v>0</v>
      </c>
    </row>
    <row r="4698" spans="8:9">
      <c r="H4698" s="66" t="e">
        <f>IF(OR(LEFT(B4698,FIND("_",B4698,1)-1)="ULGALLOC",LEFT(B4698,FIND("_",B4698,1)-1)="ULSPOOL"),LEFT(B4698,FIND("_",B4698,1)-1),VLOOKUP(LEFT(A4698,6),'Code Library'!$D$3:$E$200,2,0))&amp;"_"&amp;RIGHT(A4698,3)</f>
        <v>#VALUE!</v>
      </c>
      <c r="I4698" s="66">
        <f t="shared" si="73"/>
        <v>0</v>
      </c>
    </row>
    <row r="4699" spans="8:9">
      <c r="H4699" s="66" t="e">
        <f>IF(OR(LEFT(B4699,FIND("_",B4699,1)-1)="ULGALLOC",LEFT(B4699,FIND("_",B4699,1)-1)="ULSPOOL"),LEFT(B4699,FIND("_",B4699,1)-1),VLOOKUP(LEFT(A4699,6),'Code Library'!$D$3:$E$200,2,0))&amp;"_"&amp;RIGHT(A4699,3)</f>
        <v>#VALUE!</v>
      </c>
      <c r="I4699" s="66">
        <f t="shared" si="73"/>
        <v>0</v>
      </c>
    </row>
    <row r="4700" spans="8:9">
      <c r="H4700" s="66" t="e">
        <f>IF(OR(LEFT(B4700,FIND("_",B4700,1)-1)="ULGALLOC",LEFT(B4700,FIND("_",B4700,1)-1)="ULSPOOL"),LEFT(B4700,FIND("_",B4700,1)-1),VLOOKUP(LEFT(A4700,6),'Code Library'!$D$3:$E$200,2,0))&amp;"_"&amp;RIGHT(A4700,3)</f>
        <v>#VALUE!</v>
      </c>
      <c r="I4700" s="66">
        <f t="shared" si="73"/>
        <v>0</v>
      </c>
    </row>
    <row r="4701" spans="8:9">
      <c r="H4701" s="66" t="e">
        <f>IF(OR(LEFT(B4701,FIND("_",B4701,1)-1)="ULGALLOC",LEFT(B4701,FIND("_",B4701,1)-1)="ULSPOOL"),LEFT(B4701,FIND("_",B4701,1)-1),VLOOKUP(LEFT(A4701,6),'Code Library'!$D$3:$E$200,2,0))&amp;"_"&amp;RIGHT(A4701,3)</f>
        <v>#VALUE!</v>
      </c>
      <c r="I4701" s="66">
        <f t="shared" si="73"/>
        <v>0</v>
      </c>
    </row>
    <row r="4702" spans="8:9">
      <c r="H4702" s="66" t="e">
        <f>IF(OR(LEFT(B4702,FIND("_",B4702,1)-1)="ULGALLOC",LEFT(B4702,FIND("_",B4702,1)-1)="ULSPOOL"),LEFT(B4702,FIND("_",B4702,1)-1),VLOOKUP(LEFT(A4702,6),'Code Library'!$D$3:$E$200,2,0))&amp;"_"&amp;RIGHT(A4702,3)</f>
        <v>#VALUE!</v>
      </c>
      <c r="I4702" s="66">
        <f t="shared" si="73"/>
        <v>0</v>
      </c>
    </row>
    <row r="4703" spans="8:9">
      <c r="H4703" s="66" t="e">
        <f>IF(OR(LEFT(B4703,FIND("_",B4703,1)-1)="ULGALLOC",LEFT(B4703,FIND("_",B4703,1)-1)="ULSPOOL"),LEFT(B4703,FIND("_",B4703,1)-1),VLOOKUP(LEFT(A4703,6),'Code Library'!$D$3:$E$200,2,0))&amp;"_"&amp;RIGHT(A4703,3)</f>
        <v>#VALUE!</v>
      </c>
      <c r="I4703" s="66">
        <f t="shared" si="73"/>
        <v>0</v>
      </c>
    </row>
    <row r="4704" spans="8:9">
      <c r="H4704" s="66" t="e">
        <f>IF(OR(LEFT(B4704,FIND("_",B4704,1)-1)="ULGALLOC",LEFT(B4704,FIND("_",B4704,1)-1)="ULSPOOL"),LEFT(B4704,FIND("_",B4704,1)-1),VLOOKUP(LEFT(A4704,6),'Code Library'!$D$3:$E$200,2,0))&amp;"_"&amp;RIGHT(A4704,3)</f>
        <v>#VALUE!</v>
      </c>
      <c r="I4704" s="66">
        <f t="shared" si="73"/>
        <v>0</v>
      </c>
    </row>
    <row r="4705" spans="8:9">
      <c r="H4705" s="66" t="e">
        <f>IF(OR(LEFT(B4705,FIND("_",B4705,1)-1)="ULGALLOC",LEFT(B4705,FIND("_",B4705,1)-1)="ULSPOOL"),LEFT(B4705,FIND("_",B4705,1)-1),VLOOKUP(LEFT(A4705,6),'Code Library'!$D$3:$E$200,2,0))&amp;"_"&amp;RIGHT(A4705,3)</f>
        <v>#VALUE!</v>
      </c>
      <c r="I4705" s="66">
        <f t="shared" si="73"/>
        <v>0</v>
      </c>
    </row>
    <row r="4706" spans="8:9">
      <c r="H4706" s="66" t="e">
        <f>IF(OR(LEFT(B4706,FIND("_",B4706,1)-1)="ULGALLOC",LEFT(B4706,FIND("_",B4706,1)-1)="ULSPOOL"),LEFT(B4706,FIND("_",B4706,1)-1),VLOOKUP(LEFT(A4706,6),'Code Library'!$D$3:$E$200,2,0))&amp;"_"&amp;RIGHT(A4706,3)</f>
        <v>#VALUE!</v>
      </c>
      <c r="I4706" s="66">
        <f t="shared" si="73"/>
        <v>0</v>
      </c>
    </row>
    <row r="4707" spans="8:9">
      <c r="H4707" s="66" t="e">
        <f>IF(OR(LEFT(B4707,FIND("_",B4707,1)-1)="ULGALLOC",LEFT(B4707,FIND("_",B4707,1)-1)="ULSPOOL"),LEFT(B4707,FIND("_",B4707,1)-1),VLOOKUP(LEFT(A4707,6),'Code Library'!$D$3:$E$200,2,0))&amp;"_"&amp;RIGHT(A4707,3)</f>
        <v>#VALUE!</v>
      </c>
      <c r="I4707" s="66">
        <f t="shared" si="73"/>
        <v>0</v>
      </c>
    </row>
    <row r="4708" spans="8:9">
      <c r="H4708" s="66" t="e">
        <f>IF(OR(LEFT(B4708,FIND("_",B4708,1)-1)="ULGALLOC",LEFT(B4708,FIND("_",B4708,1)-1)="ULSPOOL"),LEFT(B4708,FIND("_",B4708,1)-1),VLOOKUP(LEFT(A4708,6),'Code Library'!$D$3:$E$200,2,0))&amp;"_"&amp;RIGHT(A4708,3)</f>
        <v>#VALUE!</v>
      </c>
      <c r="I4708" s="66">
        <f t="shared" si="73"/>
        <v>0</v>
      </c>
    </row>
    <row r="4709" spans="8:9">
      <c r="H4709" s="66" t="e">
        <f>IF(OR(LEFT(B4709,FIND("_",B4709,1)-1)="ULGALLOC",LEFT(B4709,FIND("_",B4709,1)-1)="ULSPOOL"),LEFT(B4709,FIND("_",B4709,1)-1),VLOOKUP(LEFT(A4709,6),'Code Library'!$D$3:$E$200,2,0))&amp;"_"&amp;RIGHT(A4709,3)</f>
        <v>#VALUE!</v>
      </c>
      <c r="I4709" s="66">
        <f t="shared" si="73"/>
        <v>0</v>
      </c>
    </row>
    <row r="4710" spans="8:9">
      <c r="H4710" s="66" t="e">
        <f>IF(OR(LEFT(B4710,FIND("_",B4710,1)-1)="ULGALLOC",LEFT(B4710,FIND("_",B4710,1)-1)="ULSPOOL"),LEFT(B4710,FIND("_",B4710,1)-1),VLOOKUP(LEFT(A4710,6),'Code Library'!$D$3:$E$200,2,0))&amp;"_"&amp;RIGHT(A4710,3)</f>
        <v>#VALUE!</v>
      </c>
      <c r="I4710" s="66">
        <f t="shared" si="73"/>
        <v>0</v>
      </c>
    </row>
    <row r="4711" spans="8:9">
      <c r="H4711" s="66" t="e">
        <f>IF(OR(LEFT(B4711,FIND("_",B4711,1)-1)="ULGALLOC",LEFT(B4711,FIND("_",B4711,1)-1)="ULSPOOL"),LEFT(B4711,FIND("_",B4711,1)-1),VLOOKUP(LEFT(A4711,6),'Code Library'!$D$3:$E$200,2,0))&amp;"_"&amp;RIGHT(A4711,3)</f>
        <v>#VALUE!</v>
      </c>
      <c r="I4711" s="66">
        <f t="shared" si="73"/>
        <v>0</v>
      </c>
    </row>
    <row r="4712" spans="8:9">
      <c r="H4712" s="66" t="e">
        <f>IF(OR(LEFT(B4712,FIND("_",B4712,1)-1)="ULGALLOC",LEFT(B4712,FIND("_",B4712,1)-1)="ULSPOOL"),LEFT(B4712,FIND("_",B4712,1)-1),VLOOKUP(LEFT(A4712,6),'Code Library'!$D$3:$E$200,2,0))&amp;"_"&amp;RIGHT(A4712,3)</f>
        <v>#VALUE!</v>
      </c>
      <c r="I4712" s="66">
        <f t="shared" si="73"/>
        <v>0</v>
      </c>
    </row>
    <row r="4713" spans="8:9">
      <c r="H4713" s="66" t="e">
        <f>IF(OR(LEFT(B4713,FIND("_",B4713,1)-1)="ULGALLOC",LEFT(B4713,FIND("_",B4713,1)-1)="ULSPOOL"),LEFT(B4713,FIND("_",B4713,1)-1),VLOOKUP(LEFT(A4713,6),'Code Library'!$D$3:$E$200,2,0))&amp;"_"&amp;RIGHT(A4713,3)</f>
        <v>#VALUE!</v>
      </c>
      <c r="I4713" s="66">
        <f t="shared" si="73"/>
        <v>0</v>
      </c>
    </row>
    <row r="4714" spans="8:9">
      <c r="H4714" s="66" t="e">
        <f>IF(OR(LEFT(B4714,FIND("_",B4714,1)-1)="ULGALLOC",LEFT(B4714,FIND("_",B4714,1)-1)="ULSPOOL"),LEFT(B4714,FIND("_",B4714,1)-1),VLOOKUP(LEFT(A4714,6),'Code Library'!$D$3:$E$200,2,0))&amp;"_"&amp;RIGHT(A4714,3)</f>
        <v>#VALUE!</v>
      </c>
      <c r="I4714" s="66">
        <f t="shared" si="73"/>
        <v>0</v>
      </c>
    </row>
    <row r="4715" spans="8:9">
      <c r="H4715" s="66" t="e">
        <f>IF(OR(LEFT(B4715,FIND("_",B4715,1)-1)="ULGALLOC",LEFT(B4715,FIND("_",B4715,1)-1)="ULSPOOL"),LEFT(B4715,FIND("_",B4715,1)-1),VLOOKUP(LEFT(A4715,6),'Code Library'!$D$3:$E$200,2,0))&amp;"_"&amp;RIGHT(A4715,3)</f>
        <v>#VALUE!</v>
      </c>
      <c r="I4715" s="66">
        <f t="shared" si="73"/>
        <v>0</v>
      </c>
    </row>
    <row r="4716" spans="8:9">
      <c r="H4716" s="66" t="e">
        <f>IF(OR(LEFT(B4716,FIND("_",B4716,1)-1)="ULGALLOC",LEFT(B4716,FIND("_",B4716,1)-1)="ULSPOOL"),LEFT(B4716,FIND("_",B4716,1)-1),VLOOKUP(LEFT(A4716,6),'Code Library'!$D$3:$E$200,2,0))&amp;"_"&amp;RIGHT(A4716,3)</f>
        <v>#VALUE!</v>
      </c>
      <c r="I4716" s="66">
        <f t="shared" si="73"/>
        <v>0</v>
      </c>
    </row>
    <row r="4717" spans="8:9">
      <c r="H4717" s="66" t="e">
        <f>IF(OR(LEFT(B4717,FIND("_",B4717,1)-1)="ULGALLOC",LEFT(B4717,FIND("_",B4717,1)-1)="ULSPOOL"),LEFT(B4717,FIND("_",B4717,1)-1),VLOOKUP(LEFT(A4717,6),'Code Library'!$D$3:$E$200,2,0))&amp;"_"&amp;RIGHT(A4717,3)</f>
        <v>#VALUE!</v>
      </c>
      <c r="I4717" s="66">
        <f t="shared" si="73"/>
        <v>0</v>
      </c>
    </row>
    <row r="4718" spans="8:9">
      <c r="H4718" s="66" t="e">
        <f>IF(OR(LEFT(B4718,FIND("_",B4718,1)-1)="ULGALLOC",LEFT(B4718,FIND("_",B4718,1)-1)="ULSPOOL"),LEFT(B4718,FIND("_",B4718,1)-1),VLOOKUP(LEFT(A4718,6),'Code Library'!$D$3:$E$200,2,0))&amp;"_"&amp;RIGHT(A4718,3)</f>
        <v>#VALUE!</v>
      </c>
      <c r="I4718" s="66">
        <f t="shared" si="73"/>
        <v>0</v>
      </c>
    </row>
    <row r="4719" spans="8:9">
      <c r="H4719" s="66" t="e">
        <f>IF(OR(LEFT(B4719,FIND("_",B4719,1)-1)="ULGALLOC",LEFT(B4719,FIND("_",B4719,1)-1)="ULSPOOL"),LEFT(B4719,FIND("_",B4719,1)-1),VLOOKUP(LEFT(A4719,6),'Code Library'!$D$3:$E$200,2,0))&amp;"_"&amp;RIGHT(A4719,3)</f>
        <v>#VALUE!</v>
      </c>
      <c r="I4719" s="66">
        <f t="shared" si="73"/>
        <v>0</v>
      </c>
    </row>
    <row r="4720" spans="8:9">
      <c r="H4720" s="66" t="e">
        <f>IF(OR(LEFT(B4720,FIND("_",B4720,1)-1)="ULGALLOC",LEFT(B4720,FIND("_",B4720,1)-1)="ULSPOOL"),LEFT(B4720,FIND("_",B4720,1)-1),VLOOKUP(LEFT(A4720,6),'Code Library'!$D$3:$E$200,2,0))&amp;"_"&amp;RIGHT(A4720,3)</f>
        <v>#VALUE!</v>
      </c>
      <c r="I4720" s="66">
        <f t="shared" si="73"/>
        <v>0</v>
      </c>
    </row>
    <row r="4721" spans="8:9">
      <c r="H4721" s="66" t="e">
        <f>IF(OR(LEFT(B4721,FIND("_",B4721,1)-1)="ULGALLOC",LEFT(B4721,FIND("_",B4721,1)-1)="ULSPOOL"),LEFT(B4721,FIND("_",B4721,1)-1),VLOOKUP(LEFT(A4721,6),'Code Library'!$D$3:$E$200,2,0))&amp;"_"&amp;RIGHT(A4721,3)</f>
        <v>#VALUE!</v>
      </c>
      <c r="I4721" s="66">
        <f t="shared" si="73"/>
        <v>0</v>
      </c>
    </row>
    <row r="4722" spans="8:9">
      <c r="H4722" s="66" t="e">
        <f>IF(OR(LEFT(B4722,FIND("_",B4722,1)-1)="ULGALLOC",LEFT(B4722,FIND("_",B4722,1)-1)="ULSPOOL"),LEFT(B4722,FIND("_",B4722,1)-1),VLOOKUP(LEFT(A4722,6),'Code Library'!$D$3:$E$200,2,0))&amp;"_"&amp;RIGHT(A4722,3)</f>
        <v>#VALUE!</v>
      </c>
      <c r="I4722" s="66">
        <f t="shared" si="73"/>
        <v>0</v>
      </c>
    </row>
    <row r="4723" spans="8:9">
      <c r="H4723" s="66" t="e">
        <f>IF(OR(LEFT(B4723,FIND("_",B4723,1)-1)="ULGALLOC",LEFT(B4723,FIND("_",B4723,1)-1)="ULSPOOL"),LEFT(B4723,FIND("_",B4723,1)-1),VLOOKUP(LEFT(A4723,6),'Code Library'!$D$3:$E$200,2,0))&amp;"_"&amp;RIGHT(A4723,3)</f>
        <v>#VALUE!</v>
      </c>
      <c r="I4723" s="66">
        <f t="shared" si="73"/>
        <v>0</v>
      </c>
    </row>
    <row r="4724" spans="8:9">
      <c r="H4724" s="66" t="e">
        <f>IF(OR(LEFT(B4724,FIND("_",B4724,1)-1)="ULGALLOC",LEFT(B4724,FIND("_",B4724,1)-1)="ULSPOOL"),LEFT(B4724,FIND("_",B4724,1)-1),VLOOKUP(LEFT(A4724,6),'Code Library'!$D$3:$E$200,2,0))&amp;"_"&amp;RIGHT(A4724,3)</f>
        <v>#VALUE!</v>
      </c>
      <c r="I4724" s="66">
        <f t="shared" si="73"/>
        <v>0</v>
      </c>
    </row>
    <row r="4725" spans="8:9">
      <c r="H4725" s="66" t="e">
        <f>IF(OR(LEFT(B4725,FIND("_",B4725,1)-1)="ULGALLOC",LEFT(B4725,FIND("_",B4725,1)-1)="ULSPOOL"),LEFT(B4725,FIND("_",B4725,1)-1),VLOOKUP(LEFT(A4725,6),'Code Library'!$D$3:$E$200,2,0))&amp;"_"&amp;RIGHT(A4725,3)</f>
        <v>#VALUE!</v>
      </c>
      <c r="I4725" s="66">
        <f t="shared" si="73"/>
        <v>0</v>
      </c>
    </row>
    <row r="4726" spans="8:9">
      <c r="H4726" s="66" t="e">
        <f>IF(OR(LEFT(B4726,FIND("_",B4726,1)-1)="ULGALLOC",LEFT(B4726,FIND("_",B4726,1)-1)="ULSPOOL"),LEFT(B4726,FIND("_",B4726,1)-1),VLOOKUP(LEFT(A4726,6),'Code Library'!$D$3:$E$200,2,0))&amp;"_"&amp;RIGHT(A4726,3)</f>
        <v>#VALUE!</v>
      </c>
      <c r="I4726" s="66">
        <f t="shared" si="73"/>
        <v>0</v>
      </c>
    </row>
    <row r="4727" spans="8:9">
      <c r="H4727" s="66" t="e">
        <f>IF(OR(LEFT(B4727,FIND("_",B4727,1)-1)="ULGALLOC",LEFT(B4727,FIND("_",B4727,1)-1)="ULSPOOL"),LEFT(B4727,FIND("_",B4727,1)-1),VLOOKUP(LEFT(A4727,6),'Code Library'!$D$3:$E$200,2,0))&amp;"_"&amp;RIGHT(A4727,3)</f>
        <v>#VALUE!</v>
      </c>
      <c r="I4727" s="66">
        <f t="shared" si="73"/>
        <v>0</v>
      </c>
    </row>
    <row r="4728" spans="8:9">
      <c r="H4728" s="66" t="e">
        <f>IF(OR(LEFT(B4728,FIND("_",B4728,1)-1)="ULGALLOC",LEFT(B4728,FIND("_",B4728,1)-1)="ULSPOOL"),LEFT(B4728,FIND("_",B4728,1)-1),VLOOKUP(LEFT(A4728,6),'Code Library'!$D$3:$E$200,2,0))&amp;"_"&amp;RIGHT(A4728,3)</f>
        <v>#VALUE!</v>
      </c>
      <c r="I4728" s="66">
        <f t="shared" si="73"/>
        <v>0</v>
      </c>
    </row>
    <row r="4729" spans="8:9">
      <c r="H4729" s="66" t="e">
        <f>IF(OR(LEFT(B4729,FIND("_",B4729,1)-1)="ULGALLOC",LEFT(B4729,FIND("_",B4729,1)-1)="ULSPOOL"),LEFT(B4729,FIND("_",B4729,1)-1),VLOOKUP(LEFT(A4729,6),'Code Library'!$D$3:$E$200,2,0))&amp;"_"&amp;RIGHT(A4729,3)</f>
        <v>#VALUE!</v>
      </c>
      <c r="I4729" s="66">
        <f t="shared" si="73"/>
        <v>0</v>
      </c>
    </row>
    <row r="4730" spans="8:9">
      <c r="H4730" s="66" t="e">
        <f>IF(OR(LEFT(B4730,FIND("_",B4730,1)-1)="ULGALLOC",LEFT(B4730,FIND("_",B4730,1)-1)="ULSPOOL"),LEFT(B4730,FIND("_",B4730,1)-1),VLOOKUP(LEFT(A4730,6),'Code Library'!$D$3:$E$200,2,0))&amp;"_"&amp;RIGHT(A4730,3)</f>
        <v>#VALUE!</v>
      </c>
      <c r="I4730" s="66">
        <f t="shared" si="73"/>
        <v>0</v>
      </c>
    </row>
    <row r="4731" spans="8:9">
      <c r="H4731" s="66" t="e">
        <f>IF(OR(LEFT(B4731,FIND("_",B4731,1)-1)="ULGALLOC",LEFT(B4731,FIND("_",B4731,1)-1)="ULSPOOL"),LEFT(B4731,FIND("_",B4731,1)-1),VLOOKUP(LEFT(A4731,6),'Code Library'!$D$3:$E$200,2,0))&amp;"_"&amp;RIGHT(A4731,3)</f>
        <v>#VALUE!</v>
      </c>
      <c r="I4731" s="66">
        <f t="shared" si="73"/>
        <v>0</v>
      </c>
    </row>
    <row r="4732" spans="8:9">
      <c r="H4732" s="66" t="e">
        <f>IF(OR(LEFT(B4732,FIND("_",B4732,1)-1)="ULGALLOC",LEFT(B4732,FIND("_",B4732,1)-1)="ULSPOOL"),LEFT(B4732,FIND("_",B4732,1)-1),VLOOKUP(LEFT(A4732,6),'Code Library'!$D$3:$E$200,2,0))&amp;"_"&amp;RIGHT(A4732,3)</f>
        <v>#VALUE!</v>
      </c>
      <c r="I4732" s="66">
        <f t="shared" si="73"/>
        <v>0</v>
      </c>
    </row>
    <row r="4733" spans="8:9">
      <c r="H4733" s="66" t="e">
        <f>IF(OR(LEFT(B4733,FIND("_",B4733,1)-1)="ULGALLOC",LEFT(B4733,FIND("_",B4733,1)-1)="ULSPOOL"),LEFT(B4733,FIND("_",B4733,1)-1),VLOOKUP(LEFT(A4733,6),'Code Library'!$D$3:$E$200,2,0))&amp;"_"&amp;RIGHT(A4733,3)</f>
        <v>#VALUE!</v>
      </c>
      <c r="I4733" s="66">
        <f t="shared" si="73"/>
        <v>0</v>
      </c>
    </row>
    <row r="4734" spans="8:9">
      <c r="H4734" s="66" t="e">
        <f>IF(OR(LEFT(B4734,FIND("_",B4734,1)-1)="ULGALLOC",LEFT(B4734,FIND("_",B4734,1)-1)="ULSPOOL"),LEFT(B4734,FIND("_",B4734,1)-1),VLOOKUP(LEFT(A4734,6),'Code Library'!$D$3:$E$200,2,0))&amp;"_"&amp;RIGHT(A4734,3)</f>
        <v>#VALUE!</v>
      </c>
      <c r="I4734" s="66">
        <f t="shared" si="73"/>
        <v>0</v>
      </c>
    </row>
    <row r="4735" spans="8:9">
      <c r="H4735" s="66" t="e">
        <f>IF(OR(LEFT(B4735,FIND("_",B4735,1)-1)="ULGALLOC",LEFT(B4735,FIND("_",B4735,1)-1)="ULSPOOL"),LEFT(B4735,FIND("_",B4735,1)-1),VLOOKUP(LEFT(A4735,6),'Code Library'!$D$3:$E$200,2,0))&amp;"_"&amp;RIGHT(A4735,3)</f>
        <v>#VALUE!</v>
      </c>
      <c r="I4735" s="66">
        <f t="shared" si="73"/>
        <v>0</v>
      </c>
    </row>
    <row r="4736" spans="8:9">
      <c r="H4736" s="66" t="e">
        <f>IF(OR(LEFT(B4736,FIND("_",B4736,1)-1)="ULGALLOC",LEFT(B4736,FIND("_",B4736,1)-1)="ULSPOOL"),LEFT(B4736,FIND("_",B4736,1)-1),VLOOKUP(LEFT(A4736,6),'Code Library'!$D$3:$E$200,2,0))&amp;"_"&amp;RIGHT(A4736,3)</f>
        <v>#VALUE!</v>
      </c>
      <c r="I4736" s="66">
        <f t="shared" si="73"/>
        <v>0</v>
      </c>
    </row>
    <row r="4737" spans="8:9">
      <c r="H4737" s="66" t="e">
        <f>IF(OR(LEFT(B4737,FIND("_",B4737,1)-1)="ULGALLOC",LEFT(B4737,FIND("_",B4737,1)-1)="ULSPOOL"),LEFT(B4737,FIND("_",B4737,1)-1),VLOOKUP(LEFT(A4737,6),'Code Library'!$D$3:$E$200,2,0))&amp;"_"&amp;RIGHT(A4737,3)</f>
        <v>#VALUE!</v>
      </c>
      <c r="I4737" s="66">
        <f t="shared" si="73"/>
        <v>0</v>
      </c>
    </row>
    <row r="4738" spans="8:9">
      <c r="H4738" s="66" t="e">
        <f>IF(OR(LEFT(B4738,FIND("_",B4738,1)-1)="ULGALLOC",LEFT(B4738,FIND("_",B4738,1)-1)="ULSPOOL"),LEFT(B4738,FIND("_",B4738,1)-1),VLOOKUP(LEFT(A4738,6),'Code Library'!$D$3:$E$200,2,0))&amp;"_"&amp;RIGHT(A4738,3)</f>
        <v>#VALUE!</v>
      </c>
      <c r="I4738" s="66">
        <f t="shared" si="73"/>
        <v>0</v>
      </c>
    </row>
    <row r="4739" spans="8:9">
      <c r="H4739" s="66" t="e">
        <f>IF(OR(LEFT(B4739,FIND("_",B4739,1)-1)="ULGALLOC",LEFT(B4739,FIND("_",B4739,1)-1)="ULSPOOL"),LEFT(B4739,FIND("_",B4739,1)-1),VLOOKUP(LEFT(A4739,6),'Code Library'!$D$3:$E$200,2,0))&amp;"_"&amp;RIGHT(A4739,3)</f>
        <v>#VALUE!</v>
      </c>
      <c r="I4739" s="66">
        <f t="shared" ref="I4739:I4802" si="74">A4739</f>
        <v>0</v>
      </c>
    </row>
    <row r="4740" spans="8:9">
      <c r="H4740" s="66" t="e">
        <f>IF(OR(LEFT(B4740,FIND("_",B4740,1)-1)="ULGALLOC",LEFT(B4740,FIND("_",B4740,1)-1)="ULSPOOL"),LEFT(B4740,FIND("_",B4740,1)-1),VLOOKUP(LEFT(A4740,6),'Code Library'!$D$3:$E$200,2,0))&amp;"_"&amp;RIGHT(A4740,3)</f>
        <v>#VALUE!</v>
      </c>
      <c r="I4740" s="66">
        <f t="shared" si="74"/>
        <v>0</v>
      </c>
    </row>
    <row r="4741" spans="8:9">
      <c r="H4741" s="66" t="e">
        <f>IF(OR(LEFT(B4741,FIND("_",B4741,1)-1)="ULGALLOC",LEFT(B4741,FIND("_",B4741,1)-1)="ULSPOOL"),LEFT(B4741,FIND("_",B4741,1)-1),VLOOKUP(LEFT(A4741,6),'Code Library'!$D$3:$E$200,2,0))&amp;"_"&amp;RIGHT(A4741,3)</f>
        <v>#VALUE!</v>
      </c>
      <c r="I4741" s="66">
        <f t="shared" si="74"/>
        <v>0</v>
      </c>
    </row>
    <row r="4742" spans="8:9">
      <c r="H4742" s="66" t="e">
        <f>IF(OR(LEFT(B4742,FIND("_",B4742,1)-1)="ULGALLOC",LEFT(B4742,FIND("_",B4742,1)-1)="ULSPOOL"),LEFT(B4742,FIND("_",B4742,1)-1),VLOOKUP(LEFT(A4742,6),'Code Library'!$D$3:$E$200,2,0))&amp;"_"&amp;RIGHT(A4742,3)</f>
        <v>#VALUE!</v>
      </c>
      <c r="I4742" s="66">
        <f t="shared" si="74"/>
        <v>0</v>
      </c>
    </row>
    <row r="4743" spans="8:9">
      <c r="H4743" s="66" t="e">
        <f>IF(OR(LEFT(B4743,FIND("_",B4743,1)-1)="ULGALLOC",LEFT(B4743,FIND("_",B4743,1)-1)="ULSPOOL"),LEFT(B4743,FIND("_",B4743,1)-1),VLOOKUP(LEFT(A4743,6),'Code Library'!$D$3:$E$200,2,0))&amp;"_"&amp;RIGHT(A4743,3)</f>
        <v>#VALUE!</v>
      </c>
      <c r="I4743" s="66">
        <f t="shared" si="74"/>
        <v>0</v>
      </c>
    </row>
    <row r="4744" spans="8:9">
      <c r="H4744" s="66" t="e">
        <f>IF(OR(LEFT(B4744,FIND("_",B4744,1)-1)="ULGALLOC",LEFT(B4744,FIND("_",B4744,1)-1)="ULSPOOL"),LEFT(B4744,FIND("_",B4744,1)-1),VLOOKUP(LEFT(A4744,6),'Code Library'!$D$3:$E$200,2,0))&amp;"_"&amp;RIGHT(A4744,3)</f>
        <v>#VALUE!</v>
      </c>
      <c r="I4744" s="66">
        <f t="shared" si="74"/>
        <v>0</v>
      </c>
    </row>
    <row r="4745" spans="8:9">
      <c r="H4745" s="66" t="e">
        <f>IF(OR(LEFT(B4745,FIND("_",B4745,1)-1)="ULGALLOC",LEFT(B4745,FIND("_",B4745,1)-1)="ULSPOOL"),LEFT(B4745,FIND("_",B4745,1)-1),VLOOKUP(LEFT(A4745,6),'Code Library'!$D$3:$E$200,2,0))&amp;"_"&amp;RIGHT(A4745,3)</f>
        <v>#VALUE!</v>
      </c>
      <c r="I4745" s="66">
        <f t="shared" si="74"/>
        <v>0</v>
      </c>
    </row>
    <row r="4746" spans="8:9">
      <c r="H4746" s="66" t="e">
        <f>IF(OR(LEFT(B4746,FIND("_",B4746,1)-1)="ULGALLOC",LEFT(B4746,FIND("_",B4746,1)-1)="ULSPOOL"),LEFT(B4746,FIND("_",B4746,1)-1),VLOOKUP(LEFT(A4746,6),'Code Library'!$D$3:$E$200,2,0))&amp;"_"&amp;RIGHT(A4746,3)</f>
        <v>#VALUE!</v>
      </c>
      <c r="I4746" s="66">
        <f t="shared" si="74"/>
        <v>0</v>
      </c>
    </row>
    <row r="4747" spans="8:9">
      <c r="H4747" s="66" t="e">
        <f>IF(OR(LEFT(B4747,FIND("_",B4747,1)-1)="ULGALLOC",LEFT(B4747,FIND("_",B4747,1)-1)="ULSPOOL"),LEFT(B4747,FIND("_",B4747,1)-1),VLOOKUP(LEFT(A4747,6),'Code Library'!$D$3:$E$200,2,0))&amp;"_"&amp;RIGHT(A4747,3)</f>
        <v>#VALUE!</v>
      </c>
      <c r="I4747" s="66">
        <f t="shared" si="74"/>
        <v>0</v>
      </c>
    </row>
    <row r="4748" spans="8:9">
      <c r="H4748" s="66" t="e">
        <f>IF(OR(LEFT(B4748,FIND("_",B4748,1)-1)="ULGALLOC",LEFT(B4748,FIND("_",B4748,1)-1)="ULSPOOL"),LEFT(B4748,FIND("_",B4748,1)-1),VLOOKUP(LEFT(A4748,6),'Code Library'!$D$3:$E$200,2,0))&amp;"_"&amp;RIGHT(A4748,3)</f>
        <v>#VALUE!</v>
      </c>
      <c r="I4748" s="66">
        <f t="shared" si="74"/>
        <v>0</v>
      </c>
    </row>
    <row r="4749" spans="8:9">
      <c r="H4749" s="66" t="e">
        <f>IF(OR(LEFT(B4749,FIND("_",B4749,1)-1)="ULGALLOC",LEFT(B4749,FIND("_",B4749,1)-1)="ULSPOOL"),LEFT(B4749,FIND("_",B4749,1)-1),VLOOKUP(LEFT(A4749,6),'Code Library'!$D$3:$E$200,2,0))&amp;"_"&amp;RIGHT(A4749,3)</f>
        <v>#VALUE!</v>
      </c>
      <c r="I4749" s="66">
        <f t="shared" si="74"/>
        <v>0</v>
      </c>
    </row>
    <row r="4750" spans="8:9">
      <c r="H4750" s="66" t="e">
        <f>IF(OR(LEFT(B4750,FIND("_",B4750,1)-1)="ULGALLOC",LEFT(B4750,FIND("_",B4750,1)-1)="ULSPOOL"),LEFT(B4750,FIND("_",B4750,1)-1),VLOOKUP(LEFT(A4750,6),'Code Library'!$D$3:$E$200,2,0))&amp;"_"&amp;RIGHT(A4750,3)</f>
        <v>#VALUE!</v>
      </c>
      <c r="I4750" s="66">
        <f t="shared" si="74"/>
        <v>0</v>
      </c>
    </row>
    <row r="4751" spans="8:9">
      <c r="H4751" s="66" t="e">
        <f>IF(OR(LEFT(B4751,FIND("_",B4751,1)-1)="ULGALLOC",LEFT(B4751,FIND("_",B4751,1)-1)="ULSPOOL"),LEFT(B4751,FIND("_",B4751,1)-1),VLOOKUP(LEFT(A4751,6),'Code Library'!$D$3:$E$200,2,0))&amp;"_"&amp;RIGHT(A4751,3)</f>
        <v>#VALUE!</v>
      </c>
      <c r="I4751" s="66">
        <f t="shared" si="74"/>
        <v>0</v>
      </c>
    </row>
    <row r="4752" spans="8:9">
      <c r="H4752" s="66" t="e">
        <f>IF(OR(LEFT(B4752,FIND("_",B4752,1)-1)="ULGALLOC",LEFT(B4752,FIND("_",B4752,1)-1)="ULSPOOL"),LEFT(B4752,FIND("_",B4752,1)-1),VLOOKUP(LEFT(A4752,6),'Code Library'!$D$3:$E$200,2,0))&amp;"_"&amp;RIGHT(A4752,3)</f>
        <v>#VALUE!</v>
      </c>
      <c r="I4752" s="66">
        <f t="shared" si="74"/>
        <v>0</v>
      </c>
    </row>
    <row r="4753" spans="8:9">
      <c r="H4753" s="66" t="e">
        <f>IF(OR(LEFT(B4753,FIND("_",B4753,1)-1)="ULGALLOC",LEFT(B4753,FIND("_",B4753,1)-1)="ULSPOOL"),LEFT(B4753,FIND("_",B4753,1)-1),VLOOKUP(LEFT(A4753,6),'Code Library'!$D$3:$E$200,2,0))&amp;"_"&amp;RIGHT(A4753,3)</f>
        <v>#VALUE!</v>
      </c>
      <c r="I4753" s="66">
        <f t="shared" si="74"/>
        <v>0</v>
      </c>
    </row>
    <row r="4754" spans="8:9">
      <c r="H4754" s="66" t="e">
        <f>IF(OR(LEFT(B4754,FIND("_",B4754,1)-1)="ULGALLOC",LEFT(B4754,FIND("_",B4754,1)-1)="ULSPOOL"),LEFT(B4754,FIND("_",B4754,1)-1),VLOOKUP(LEFT(A4754,6),'Code Library'!$D$3:$E$200,2,0))&amp;"_"&amp;RIGHT(A4754,3)</f>
        <v>#VALUE!</v>
      </c>
      <c r="I4754" s="66">
        <f t="shared" si="74"/>
        <v>0</v>
      </c>
    </row>
    <row r="4755" spans="8:9">
      <c r="H4755" s="66" t="e">
        <f>IF(OR(LEFT(B4755,FIND("_",B4755,1)-1)="ULGALLOC",LEFT(B4755,FIND("_",B4755,1)-1)="ULSPOOL"),LEFT(B4755,FIND("_",B4755,1)-1),VLOOKUP(LEFT(A4755,6),'Code Library'!$D$3:$E$200,2,0))&amp;"_"&amp;RIGHT(A4755,3)</f>
        <v>#VALUE!</v>
      </c>
      <c r="I4755" s="66">
        <f t="shared" si="74"/>
        <v>0</v>
      </c>
    </row>
    <row r="4756" spans="8:9">
      <c r="H4756" s="66" t="e">
        <f>IF(OR(LEFT(B4756,FIND("_",B4756,1)-1)="ULGALLOC",LEFT(B4756,FIND("_",B4756,1)-1)="ULSPOOL"),LEFT(B4756,FIND("_",B4756,1)-1),VLOOKUP(LEFT(A4756,6),'Code Library'!$D$3:$E$200,2,0))&amp;"_"&amp;RIGHT(A4756,3)</f>
        <v>#VALUE!</v>
      </c>
      <c r="I4756" s="66">
        <f t="shared" si="74"/>
        <v>0</v>
      </c>
    </row>
    <row r="4757" spans="8:9">
      <c r="H4757" s="66" t="e">
        <f>IF(OR(LEFT(B4757,FIND("_",B4757,1)-1)="ULGALLOC",LEFT(B4757,FIND("_",B4757,1)-1)="ULSPOOL"),LEFT(B4757,FIND("_",B4757,1)-1),VLOOKUP(LEFT(A4757,6),'Code Library'!$D$3:$E$200,2,0))&amp;"_"&amp;RIGHT(A4757,3)</f>
        <v>#VALUE!</v>
      </c>
      <c r="I4757" s="66">
        <f t="shared" si="74"/>
        <v>0</v>
      </c>
    </row>
    <row r="4758" spans="8:9">
      <c r="H4758" s="66" t="e">
        <f>IF(OR(LEFT(B4758,FIND("_",B4758,1)-1)="ULGALLOC",LEFT(B4758,FIND("_",B4758,1)-1)="ULSPOOL"),LEFT(B4758,FIND("_",B4758,1)-1),VLOOKUP(LEFT(A4758,6),'Code Library'!$D$3:$E$200,2,0))&amp;"_"&amp;RIGHT(A4758,3)</f>
        <v>#VALUE!</v>
      </c>
      <c r="I4758" s="66">
        <f t="shared" si="74"/>
        <v>0</v>
      </c>
    </row>
    <row r="4759" spans="8:9">
      <c r="H4759" s="66" t="e">
        <f>IF(OR(LEFT(B4759,FIND("_",B4759,1)-1)="ULGALLOC",LEFT(B4759,FIND("_",B4759,1)-1)="ULSPOOL"),LEFT(B4759,FIND("_",B4759,1)-1),VLOOKUP(LEFT(A4759,6),'Code Library'!$D$3:$E$200,2,0))&amp;"_"&amp;RIGHT(A4759,3)</f>
        <v>#VALUE!</v>
      </c>
      <c r="I4759" s="66">
        <f t="shared" si="74"/>
        <v>0</v>
      </c>
    </row>
    <row r="4760" spans="8:9">
      <c r="H4760" s="66" t="e">
        <f>IF(OR(LEFT(B4760,FIND("_",B4760,1)-1)="ULGALLOC",LEFT(B4760,FIND("_",B4760,1)-1)="ULSPOOL"),LEFT(B4760,FIND("_",B4760,1)-1),VLOOKUP(LEFT(A4760,6),'Code Library'!$D$3:$E$200,2,0))&amp;"_"&amp;RIGHT(A4760,3)</f>
        <v>#VALUE!</v>
      </c>
      <c r="I4760" s="66">
        <f t="shared" si="74"/>
        <v>0</v>
      </c>
    </row>
    <row r="4761" spans="8:9">
      <c r="H4761" s="66" t="e">
        <f>IF(OR(LEFT(B4761,FIND("_",B4761,1)-1)="ULGALLOC",LEFT(B4761,FIND("_",B4761,1)-1)="ULSPOOL"),LEFT(B4761,FIND("_",B4761,1)-1),VLOOKUP(LEFT(A4761,6),'Code Library'!$D$3:$E$200,2,0))&amp;"_"&amp;RIGHT(A4761,3)</f>
        <v>#VALUE!</v>
      </c>
      <c r="I4761" s="66">
        <f t="shared" si="74"/>
        <v>0</v>
      </c>
    </row>
    <row r="4762" spans="8:9">
      <c r="H4762" s="66" t="e">
        <f>IF(OR(LEFT(B4762,FIND("_",B4762,1)-1)="ULGALLOC",LEFT(B4762,FIND("_",B4762,1)-1)="ULSPOOL"),LEFT(B4762,FIND("_",B4762,1)-1),VLOOKUP(LEFT(A4762,6),'Code Library'!$D$3:$E$200,2,0))&amp;"_"&amp;RIGHT(A4762,3)</f>
        <v>#VALUE!</v>
      </c>
      <c r="I4762" s="66">
        <f t="shared" si="74"/>
        <v>0</v>
      </c>
    </row>
    <row r="4763" spans="8:9">
      <c r="H4763" s="66" t="e">
        <f>IF(OR(LEFT(B4763,FIND("_",B4763,1)-1)="ULGALLOC",LEFT(B4763,FIND("_",B4763,1)-1)="ULSPOOL"),LEFT(B4763,FIND("_",B4763,1)-1),VLOOKUP(LEFT(A4763,6),'Code Library'!$D$3:$E$200,2,0))&amp;"_"&amp;RIGHT(A4763,3)</f>
        <v>#VALUE!</v>
      </c>
      <c r="I4763" s="66">
        <f t="shared" si="74"/>
        <v>0</v>
      </c>
    </row>
    <row r="4764" spans="8:9">
      <c r="H4764" s="66" t="e">
        <f>IF(OR(LEFT(B4764,FIND("_",B4764,1)-1)="ULGALLOC",LEFT(B4764,FIND("_",B4764,1)-1)="ULSPOOL"),LEFT(B4764,FIND("_",B4764,1)-1),VLOOKUP(LEFT(A4764,6),'Code Library'!$D$3:$E$200,2,0))&amp;"_"&amp;RIGHT(A4764,3)</f>
        <v>#VALUE!</v>
      </c>
      <c r="I4764" s="66">
        <f t="shared" si="74"/>
        <v>0</v>
      </c>
    </row>
    <row r="4765" spans="8:9">
      <c r="H4765" s="66" t="e">
        <f>IF(OR(LEFT(B4765,FIND("_",B4765,1)-1)="ULGALLOC",LEFT(B4765,FIND("_",B4765,1)-1)="ULSPOOL"),LEFT(B4765,FIND("_",B4765,1)-1),VLOOKUP(LEFT(A4765,6),'Code Library'!$D$3:$E$200,2,0))&amp;"_"&amp;RIGHT(A4765,3)</f>
        <v>#VALUE!</v>
      </c>
      <c r="I4765" s="66">
        <f t="shared" si="74"/>
        <v>0</v>
      </c>
    </row>
    <row r="4766" spans="8:9">
      <c r="H4766" s="66" t="e">
        <f>IF(OR(LEFT(B4766,FIND("_",B4766,1)-1)="ULGALLOC",LEFT(B4766,FIND("_",B4766,1)-1)="ULSPOOL"),LEFT(B4766,FIND("_",B4766,1)-1),VLOOKUP(LEFT(A4766,6),'Code Library'!$D$3:$E$200,2,0))&amp;"_"&amp;RIGHT(A4766,3)</f>
        <v>#VALUE!</v>
      </c>
      <c r="I4766" s="66">
        <f t="shared" si="74"/>
        <v>0</v>
      </c>
    </row>
    <row r="4767" spans="8:9">
      <c r="H4767" s="66" t="e">
        <f>IF(OR(LEFT(B4767,FIND("_",B4767,1)-1)="ULGALLOC",LEFT(B4767,FIND("_",B4767,1)-1)="ULSPOOL"),LEFT(B4767,FIND("_",B4767,1)-1),VLOOKUP(LEFT(A4767,6),'Code Library'!$D$3:$E$200,2,0))&amp;"_"&amp;RIGHT(A4767,3)</f>
        <v>#VALUE!</v>
      </c>
      <c r="I4767" s="66">
        <f t="shared" si="74"/>
        <v>0</v>
      </c>
    </row>
    <row r="4768" spans="8:9">
      <c r="H4768" s="66" t="e">
        <f>IF(OR(LEFT(B4768,FIND("_",B4768,1)-1)="ULGALLOC",LEFT(B4768,FIND("_",B4768,1)-1)="ULSPOOL"),LEFT(B4768,FIND("_",B4768,1)-1),VLOOKUP(LEFT(A4768,6),'Code Library'!$D$3:$E$200,2,0))&amp;"_"&amp;RIGHT(A4768,3)</f>
        <v>#VALUE!</v>
      </c>
      <c r="I4768" s="66">
        <f t="shared" si="74"/>
        <v>0</v>
      </c>
    </row>
    <row r="4769" spans="8:9">
      <c r="H4769" s="66" t="e">
        <f>IF(OR(LEFT(B4769,FIND("_",B4769,1)-1)="ULGALLOC",LEFT(B4769,FIND("_",B4769,1)-1)="ULSPOOL"),LEFT(B4769,FIND("_",B4769,1)-1),VLOOKUP(LEFT(A4769,6),'Code Library'!$D$3:$E$200,2,0))&amp;"_"&amp;RIGHT(A4769,3)</f>
        <v>#VALUE!</v>
      </c>
      <c r="I4769" s="66">
        <f t="shared" si="74"/>
        <v>0</v>
      </c>
    </row>
    <row r="4770" spans="8:9">
      <c r="H4770" s="66" t="e">
        <f>IF(OR(LEFT(B4770,FIND("_",B4770,1)-1)="ULGALLOC",LEFT(B4770,FIND("_",B4770,1)-1)="ULSPOOL"),LEFT(B4770,FIND("_",B4770,1)-1),VLOOKUP(LEFT(A4770,6),'Code Library'!$D$3:$E$200,2,0))&amp;"_"&amp;RIGHT(A4770,3)</f>
        <v>#VALUE!</v>
      </c>
      <c r="I4770" s="66">
        <f t="shared" si="74"/>
        <v>0</v>
      </c>
    </row>
    <row r="4771" spans="8:9">
      <c r="H4771" s="66" t="e">
        <f>IF(OR(LEFT(B4771,FIND("_",B4771,1)-1)="ULGALLOC",LEFT(B4771,FIND("_",B4771,1)-1)="ULSPOOL"),LEFT(B4771,FIND("_",B4771,1)-1),VLOOKUP(LEFT(A4771,6),'Code Library'!$D$3:$E$200,2,0))&amp;"_"&amp;RIGHT(A4771,3)</f>
        <v>#VALUE!</v>
      </c>
      <c r="I4771" s="66">
        <f t="shared" si="74"/>
        <v>0</v>
      </c>
    </row>
    <row r="4772" spans="8:9">
      <c r="H4772" s="66" t="e">
        <f>IF(OR(LEFT(B4772,FIND("_",B4772,1)-1)="ULGALLOC",LEFT(B4772,FIND("_",B4772,1)-1)="ULSPOOL"),LEFT(B4772,FIND("_",B4772,1)-1),VLOOKUP(LEFT(A4772,6),'Code Library'!$D$3:$E$200,2,0))&amp;"_"&amp;RIGHT(A4772,3)</f>
        <v>#VALUE!</v>
      </c>
      <c r="I4772" s="66">
        <f t="shared" si="74"/>
        <v>0</v>
      </c>
    </row>
    <row r="4773" spans="8:9">
      <c r="H4773" s="66" t="e">
        <f>IF(OR(LEFT(B4773,FIND("_",B4773,1)-1)="ULGALLOC",LEFT(B4773,FIND("_",B4773,1)-1)="ULSPOOL"),LEFT(B4773,FIND("_",B4773,1)-1),VLOOKUP(LEFT(A4773,6),'Code Library'!$D$3:$E$200,2,0))&amp;"_"&amp;RIGHT(A4773,3)</f>
        <v>#VALUE!</v>
      </c>
      <c r="I4773" s="66">
        <f t="shared" si="74"/>
        <v>0</v>
      </c>
    </row>
    <row r="4774" spans="8:9">
      <c r="H4774" s="66" t="e">
        <f>IF(OR(LEFT(B4774,FIND("_",B4774,1)-1)="ULGALLOC",LEFT(B4774,FIND("_",B4774,1)-1)="ULSPOOL"),LEFT(B4774,FIND("_",B4774,1)-1),VLOOKUP(LEFT(A4774,6),'Code Library'!$D$3:$E$200,2,0))&amp;"_"&amp;RIGHT(A4774,3)</f>
        <v>#VALUE!</v>
      </c>
      <c r="I4774" s="66">
        <f t="shared" si="74"/>
        <v>0</v>
      </c>
    </row>
    <row r="4775" spans="8:9">
      <c r="H4775" s="66" t="e">
        <f>IF(OR(LEFT(B4775,FIND("_",B4775,1)-1)="ULGALLOC",LEFT(B4775,FIND("_",B4775,1)-1)="ULSPOOL"),LEFT(B4775,FIND("_",B4775,1)-1),VLOOKUP(LEFT(A4775,6),'Code Library'!$D$3:$E$200,2,0))&amp;"_"&amp;RIGHT(A4775,3)</f>
        <v>#VALUE!</v>
      </c>
      <c r="I4775" s="66">
        <f t="shared" si="74"/>
        <v>0</v>
      </c>
    </row>
    <row r="4776" spans="8:9">
      <c r="H4776" s="66" t="e">
        <f>IF(OR(LEFT(B4776,FIND("_",B4776,1)-1)="ULGALLOC",LEFT(B4776,FIND("_",B4776,1)-1)="ULSPOOL"),LEFT(B4776,FIND("_",B4776,1)-1),VLOOKUP(LEFT(A4776,6),'Code Library'!$D$3:$E$200,2,0))&amp;"_"&amp;RIGHT(A4776,3)</f>
        <v>#VALUE!</v>
      </c>
      <c r="I4776" s="66">
        <f t="shared" si="74"/>
        <v>0</v>
      </c>
    </row>
    <row r="4777" spans="8:9">
      <c r="H4777" s="66" t="e">
        <f>IF(OR(LEFT(B4777,FIND("_",B4777,1)-1)="ULGALLOC",LEFT(B4777,FIND("_",B4777,1)-1)="ULSPOOL"),LEFT(B4777,FIND("_",B4777,1)-1),VLOOKUP(LEFT(A4777,6),'Code Library'!$D$3:$E$200,2,0))&amp;"_"&amp;RIGHT(A4777,3)</f>
        <v>#VALUE!</v>
      </c>
      <c r="I4777" s="66">
        <f t="shared" si="74"/>
        <v>0</v>
      </c>
    </row>
    <row r="4778" spans="8:9">
      <c r="H4778" s="66" t="e">
        <f>IF(OR(LEFT(B4778,FIND("_",B4778,1)-1)="ULGALLOC",LEFT(B4778,FIND("_",B4778,1)-1)="ULSPOOL"),LEFT(B4778,FIND("_",B4778,1)-1),VLOOKUP(LEFT(A4778,6),'Code Library'!$D$3:$E$200,2,0))&amp;"_"&amp;RIGHT(A4778,3)</f>
        <v>#VALUE!</v>
      </c>
      <c r="I4778" s="66">
        <f t="shared" si="74"/>
        <v>0</v>
      </c>
    </row>
    <row r="4779" spans="8:9">
      <c r="H4779" s="66" t="e">
        <f>IF(OR(LEFT(B4779,FIND("_",B4779,1)-1)="ULGALLOC",LEFT(B4779,FIND("_",B4779,1)-1)="ULSPOOL"),LEFT(B4779,FIND("_",B4779,1)-1),VLOOKUP(LEFT(A4779,6),'Code Library'!$D$3:$E$200,2,0))&amp;"_"&amp;RIGHT(A4779,3)</f>
        <v>#VALUE!</v>
      </c>
      <c r="I4779" s="66">
        <f t="shared" si="74"/>
        <v>0</v>
      </c>
    </row>
    <row r="4780" spans="8:9">
      <c r="H4780" s="66" t="e">
        <f>IF(OR(LEFT(B4780,FIND("_",B4780,1)-1)="ULGALLOC",LEFT(B4780,FIND("_",B4780,1)-1)="ULSPOOL"),LEFT(B4780,FIND("_",B4780,1)-1),VLOOKUP(LEFT(A4780,6),'Code Library'!$D$3:$E$200,2,0))&amp;"_"&amp;RIGHT(A4780,3)</f>
        <v>#VALUE!</v>
      </c>
      <c r="I4780" s="66">
        <f t="shared" si="74"/>
        <v>0</v>
      </c>
    </row>
    <row r="4781" spans="8:9">
      <c r="H4781" s="66" t="e">
        <f>IF(OR(LEFT(B4781,FIND("_",B4781,1)-1)="ULGALLOC",LEFT(B4781,FIND("_",B4781,1)-1)="ULSPOOL"),LEFT(B4781,FIND("_",B4781,1)-1),VLOOKUP(LEFT(A4781,6),'Code Library'!$D$3:$E$200,2,0))&amp;"_"&amp;RIGHT(A4781,3)</f>
        <v>#VALUE!</v>
      </c>
      <c r="I4781" s="66">
        <f t="shared" si="74"/>
        <v>0</v>
      </c>
    </row>
    <row r="4782" spans="8:9">
      <c r="H4782" s="66" t="e">
        <f>IF(OR(LEFT(B4782,FIND("_",B4782,1)-1)="ULGALLOC",LEFT(B4782,FIND("_",B4782,1)-1)="ULSPOOL"),LEFT(B4782,FIND("_",B4782,1)-1),VLOOKUP(LEFT(A4782,6),'Code Library'!$D$3:$E$200,2,0))&amp;"_"&amp;RIGHT(A4782,3)</f>
        <v>#VALUE!</v>
      </c>
      <c r="I4782" s="66">
        <f t="shared" si="74"/>
        <v>0</v>
      </c>
    </row>
    <row r="4783" spans="8:9">
      <c r="H4783" s="66" t="e">
        <f>IF(OR(LEFT(B4783,FIND("_",B4783,1)-1)="ULGALLOC",LEFT(B4783,FIND("_",B4783,1)-1)="ULSPOOL"),LEFT(B4783,FIND("_",B4783,1)-1),VLOOKUP(LEFT(A4783,6),'Code Library'!$D$3:$E$200,2,0))&amp;"_"&amp;RIGHT(A4783,3)</f>
        <v>#VALUE!</v>
      </c>
      <c r="I4783" s="66">
        <f t="shared" si="74"/>
        <v>0</v>
      </c>
    </row>
    <row r="4784" spans="8:9">
      <c r="H4784" s="66" t="e">
        <f>IF(OR(LEFT(B4784,FIND("_",B4784,1)-1)="ULGALLOC",LEFT(B4784,FIND("_",B4784,1)-1)="ULSPOOL"),LEFT(B4784,FIND("_",B4784,1)-1),VLOOKUP(LEFT(A4784,6),'Code Library'!$D$3:$E$200,2,0))&amp;"_"&amp;RIGHT(A4784,3)</f>
        <v>#VALUE!</v>
      </c>
      <c r="I4784" s="66">
        <f t="shared" si="74"/>
        <v>0</v>
      </c>
    </row>
    <row r="4785" spans="8:9">
      <c r="H4785" s="66" t="e">
        <f>IF(OR(LEFT(B4785,FIND("_",B4785,1)-1)="ULGALLOC",LEFT(B4785,FIND("_",B4785,1)-1)="ULSPOOL"),LEFT(B4785,FIND("_",B4785,1)-1),VLOOKUP(LEFT(A4785,6),'Code Library'!$D$3:$E$200,2,0))&amp;"_"&amp;RIGHT(A4785,3)</f>
        <v>#VALUE!</v>
      </c>
      <c r="I4785" s="66">
        <f t="shared" si="74"/>
        <v>0</v>
      </c>
    </row>
    <row r="4786" spans="8:9">
      <c r="H4786" s="66" t="e">
        <f>IF(OR(LEFT(B4786,FIND("_",B4786,1)-1)="ULGALLOC",LEFT(B4786,FIND("_",B4786,1)-1)="ULSPOOL"),LEFT(B4786,FIND("_",B4786,1)-1),VLOOKUP(LEFT(A4786,6),'Code Library'!$D$3:$E$200,2,0))&amp;"_"&amp;RIGHT(A4786,3)</f>
        <v>#VALUE!</v>
      </c>
      <c r="I4786" s="66">
        <f t="shared" si="74"/>
        <v>0</v>
      </c>
    </row>
    <row r="4787" spans="8:9">
      <c r="H4787" s="66" t="e">
        <f>IF(OR(LEFT(B4787,FIND("_",B4787,1)-1)="ULGALLOC",LEFT(B4787,FIND("_",B4787,1)-1)="ULSPOOL"),LEFT(B4787,FIND("_",B4787,1)-1),VLOOKUP(LEFT(A4787,6),'Code Library'!$D$3:$E$200,2,0))&amp;"_"&amp;RIGHT(A4787,3)</f>
        <v>#VALUE!</v>
      </c>
      <c r="I4787" s="66">
        <f t="shared" si="74"/>
        <v>0</v>
      </c>
    </row>
    <row r="4788" spans="8:9">
      <c r="H4788" s="66" t="e">
        <f>IF(OR(LEFT(B4788,FIND("_",B4788,1)-1)="ULGALLOC",LEFT(B4788,FIND("_",B4788,1)-1)="ULSPOOL"),LEFT(B4788,FIND("_",B4788,1)-1),VLOOKUP(LEFT(A4788,6),'Code Library'!$D$3:$E$200,2,0))&amp;"_"&amp;RIGHT(A4788,3)</f>
        <v>#VALUE!</v>
      </c>
      <c r="I4788" s="66">
        <f t="shared" si="74"/>
        <v>0</v>
      </c>
    </row>
    <row r="4789" spans="8:9">
      <c r="H4789" s="66" t="e">
        <f>IF(OR(LEFT(B4789,FIND("_",B4789,1)-1)="ULGALLOC",LEFT(B4789,FIND("_",B4789,1)-1)="ULSPOOL"),LEFT(B4789,FIND("_",B4789,1)-1),VLOOKUP(LEFT(A4789,6),'Code Library'!$D$3:$E$200,2,0))&amp;"_"&amp;RIGHT(A4789,3)</f>
        <v>#VALUE!</v>
      </c>
      <c r="I4789" s="66">
        <f t="shared" si="74"/>
        <v>0</v>
      </c>
    </row>
    <row r="4790" spans="8:9">
      <c r="H4790" s="66" t="e">
        <f>IF(OR(LEFT(B4790,FIND("_",B4790,1)-1)="ULGALLOC",LEFT(B4790,FIND("_",B4790,1)-1)="ULSPOOL"),LEFT(B4790,FIND("_",B4790,1)-1),VLOOKUP(LEFT(A4790,6),'Code Library'!$D$3:$E$200,2,0))&amp;"_"&amp;RIGHT(A4790,3)</f>
        <v>#VALUE!</v>
      </c>
      <c r="I4790" s="66">
        <f t="shared" si="74"/>
        <v>0</v>
      </c>
    </row>
    <row r="4791" spans="8:9">
      <c r="H4791" s="66" t="e">
        <f>IF(OR(LEFT(B4791,FIND("_",B4791,1)-1)="ULGALLOC",LEFT(B4791,FIND("_",B4791,1)-1)="ULSPOOL"),LEFT(B4791,FIND("_",B4791,1)-1),VLOOKUP(LEFT(A4791,6),'Code Library'!$D$3:$E$200,2,0))&amp;"_"&amp;RIGHT(A4791,3)</f>
        <v>#VALUE!</v>
      </c>
      <c r="I4791" s="66">
        <f t="shared" si="74"/>
        <v>0</v>
      </c>
    </row>
    <row r="4792" spans="8:9">
      <c r="H4792" s="66" t="e">
        <f>IF(OR(LEFT(B4792,FIND("_",B4792,1)-1)="ULGALLOC",LEFT(B4792,FIND("_",B4792,1)-1)="ULSPOOL"),LEFT(B4792,FIND("_",B4792,1)-1),VLOOKUP(LEFT(A4792,6),'Code Library'!$D$3:$E$200,2,0))&amp;"_"&amp;RIGHT(A4792,3)</f>
        <v>#VALUE!</v>
      </c>
      <c r="I4792" s="66">
        <f t="shared" si="74"/>
        <v>0</v>
      </c>
    </row>
    <row r="4793" spans="8:9">
      <c r="H4793" s="66" t="e">
        <f>IF(OR(LEFT(B4793,FIND("_",B4793,1)-1)="ULGALLOC",LEFT(B4793,FIND("_",B4793,1)-1)="ULSPOOL"),LEFT(B4793,FIND("_",B4793,1)-1),VLOOKUP(LEFT(A4793,6),'Code Library'!$D$3:$E$200,2,0))&amp;"_"&amp;RIGHT(A4793,3)</f>
        <v>#VALUE!</v>
      </c>
      <c r="I4793" s="66">
        <f t="shared" si="74"/>
        <v>0</v>
      </c>
    </row>
    <row r="4794" spans="8:9">
      <c r="H4794" s="66" t="e">
        <f>IF(OR(LEFT(B4794,FIND("_",B4794,1)-1)="ULGALLOC",LEFT(B4794,FIND("_",B4794,1)-1)="ULSPOOL"),LEFT(B4794,FIND("_",B4794,1)-1),VLOOKUP(LEFT(A4794,6),'Code Library'!$D$3:$E$200,2,0))&amp;"_"&amp;RIGHT(A4794,3)</f>
        <v>#VALUE!</v>
      </c>
      <c r="I4794" s="66">
        <f t="shared" si="74"/>
        <v>0</v>
      </c>
    </row>
    <row r="4795" spans="8:9">
      <c r="H4795" s="66" t="e">
        <f>IF(OR(LEFT(B4795,FIND("_",B4795,1)-1)="ULGALLOC",LEFT(B4795,FIND("_",B4795,1)-1)="ULSPOOL"),LEFT(B4795,FIND("_",B4795,1)-1),VLOOKUP(LEFT(A4795,6),'Code Library'!$D$3:$E$200,2,0))&amp;"_"&amp;RIGHT(A4795,3)</f>
        <v>#VALUE!</v>
      </c>
      <c r="I4795" s="66">
        <f t="shared" si="74"/>
        <v>0</v>
      </c>
    </row>
    <row r="4796" spans="8:9">
      <c r="H4796" s="66" t="e">
        <f>IF(OR(LEFT(B4796,FIND("_",B4796,1)-1)="ULGALLOC",LEFT(B4796,FIND("_",B4796,1)-1)="ULSPOOL"),LEFT(B4796,FIND("_",B4796,1)-1),VLOOKUP(LEFT(A4796,6),'Code Library'!$D$3:$E$200,2,0))&amp;"_"&amp;RIGHT(A4796,3)</f>
        <v>#VALUE!</v>
      </c>
      <c r="I4796" s="66">
        <f t="shared" si="74"/>
        <v>0</v>
      </c>
    </row>
    <row r="4797" spans="8:9">
      <c r="H4797" s="66" t="e">
        <f>IF(OR(LEFT(B4797,FIND("_",B4797,1)-1)="ULGALLOC",LEFT(B4797,FIND("_",B4797,1)-1)="ULSPOOL"),LEFT(B4797,FIND("_",B4797,1)-1),VLOOKUP(LEFT(A4797,6),'Code Library'!$D$3:$E$200,2,0))&amp;"_"&amp;RIGHT(A4797,3)</f>
        <v>#VALUE!</v>
      </c>
      <c r="I4797" s="66">
        <f t="shared" si="74"/>
        <v>0</v>
      </c>
    </row>
    <row r="4798" spans="8:9">
      <c r="H4798" s="66" t="e">
        <f>IF(OR(LEFT(B4798,FIND("_",B4798,1)-1)="ULGALLOC",LEFT(B4798,FIND("_",B4798,1)-1)="ULSPOOL"),LEFT(B4798,FIND("_",B4798,1)-1),VLOOKUP(LEFT(A4798,6),'Code Library'!$D$3:$E$200,2,0))&amp;"_"&amp;RIGHT(A4798,3)</f>
        <v>#VALUE!</v>
      </c>
      <c r="I4798" s="66">
        <f t="shared" si="74"/>
        <v>0</v>
      </c>
    </row>
    <row r="4799" spans="8:9">
      <c r="H4799" s="66" t="e">
        <f>IF(OR(LEFT(B4799,FIND("_",B4799,1)-1)="ULGALLOC",LEFT(B4799,FIND("_",B4799,1)-1)="ULSPOOL"),LEFT(B4799,FIND("_",B4799,1)-1),VLOOKUP(LEFT(A4799,6),'Code Library'!$D$3:$E$200,2,0))&amp;"_"&amp;RIGHT(A4799,3)</f>
        <v>#VALUE!</v>
      </c>
      <c r="I4799" s="66">
        <f t="shared" si="74"/>
        <v>0</v>
      </c>
    </row>
    <row r="4800" spans="8:9">
      <c r="H4800" s="66" t="e">
        <f>IF(OR(LEFT(B4800,FIND("_",B4800,1)-1)="ULGALLOC",LEFT(B4800,FIND("_",B4800,1)-1)="ULSPOOL"),LEFT(B4800,FIND("_",B4800,1)-1),VLOOKUP(LEFT(A4800,6),'Code Library'!$D$3:$E$200,2,0))&amp;"_"&amp;RIGHT(A4800,3)</f>
        <v>#VALUE!</v>
      </c>
      <c r="I4800" s="66">
        <f t="shared" si="74"/>
        <v>0</v>
      </c>
    </row>
    <row r="4801" spans="8:9">
      <c r="H4801" s="66" t="e">
        <f>IF(OR(LEFT(B4801,FIND("_",B4801,1)-1)="ULGALLOC",LEFT(B4801,FIND("_",B4801,1)-1)="ULSPOOL"),LEFT(B4801,FIND("_",B4801,1)-1),VLOOKUP(LEFT(A4801,6),'Code Library'!$D$3:$E$200,2,0))&amp;"_"&amp;RIGHT(A4801,3)</f>
        <v>#VALUE!</v>
      </c>
      <c r="I4801" s="66">
        <f t="shared" si="74"/>
        <v>0</v>
      </c>
    </row>
    <row r="4802" spans="8:9">
      <c r="H4802" s="66" t="e">
        <f>IF(OR(LEFT(B4802,FIND("_",B4802,1)-1)="ULGALLOC",LEFT(B4802,FIND("_",B4802,1)-1)="ULSPOOL"),LEFT(B4802,FIND("_",B4802,1)-1),VLOOKUP(LEFT(A4802,6),'Code Library'!$D$3:$E$200,2,0))&amp;"_"&amp;RIGHT(A4802,3)</f>
        <v>#VALUE!</v>
      </c>
      <c r="I4802" s="66">
        <f t="shared" si="74"/>
        <v>0</v>
      </c>
    </row>
    <row r="4803" spans="8:9">
      <c r="H4803" s="66" t="e">
        <f>IF(OR(LEFT(B4803,FIND("_",B4803,1)-1)="ULGALLOC",LEFT(B4803,FIND("_",B4803,1)-1)="ULSPOOL"),LEFT(B4803,FIND("_",B4803,1)-1),VLOOKUP(LEFT(A4803,6),'Code Library'!$D$3:$E$200,2,0))&amp;"_"&amp;RIGHT(A4803,3)</f>
        <v>#VALUE!</v>
      </c>
      <c r="I4803" s="66">
        <f t="shared" ref="I4803:I4866" si="75">A4803</f>
        <v>0</v>
      </c>
    </row>
    <row r="4804" spans="8:9">
      <c r="H4804" s="66" t="e">
        <f>IF(OR(LEFT(B4804,FIND("_",B4804,1)-1)="ULGALLOC",LEFT(B4804,FIND("_",B4804,1)-1)="ULSPOOL"),LEFT(B4804,FIND("_",B4804,1)-1),VLOOKUP(LEFT(A4804,6),'Code Library'!$D$3:$E$200,2,0))&amp;"_"&amp;RIGHT(A4804,3)</f>
        <v>#VALUE!</v>
      </c>
      <c r="I4804" s="66">
        <f t="shared" si="75"/>
        <v>0</v>
      </c>
    </row>
    <row r="4805" spans="8:9">
      <c r="H4805" s="66" t="e">
        <f>IF(OR(LEFT(B4805,FIND("_",B4805,1)-1)="ULGALLOC",LEFT(B4805,FIND("_",B4805,1)-1)="ULSPOOL"),LEFT(B4805,FIND("_",B4805,1)-1),VLOOKUP(LEFT(A4805,6),'Code Library'!$D$3:$E$200,2,0))&amp;"_"&amp;RIGHT(A4805,3)</f>
        <v>#VALUE!</v>
      </c>
      <c r="I4805" s="66">
        <f t="shared" si="75"/>
        <v>0</v>
      </c>
    </row>
    <row r="4806" spans="8:9">
      <c r="H4806" s="66" t="e">
        <f>IF(OR(LEFT(B4806,FIND("_",B4806,1)-1)="ULGALLOC",LEFT(B4806,FIND("_",B4806,1)-1)="ULSPOOL"),LEFT(B4806,FIND("_",B4806,1)-1),VLOOKUP(LEFT(A4806,6),'Code Library'!$D$3:$E$200,2,0))&amp;"_"&amp;RIGHT(A4806,3)</f>
        <v>#VALUE!</v>
      </c>
      <c r="I4806" s="66">
        <f t="shared" si="75"/>
        <v>0</v>
      </c>
    </row>
    <row r="4807" spans="8:9">
      <c r="H4807" s="66" t="e">
        <f>IF(OR(LEFT(B4807,FIND("_",B4807,1)-1)="ULGALLOC",LEFT(B4807,FIND("_",B4807,1)-1)="ULSPOOL"),LEFT(B4807,FIND("_",B4807,1)-1),VLOOKUP(LEFT(A4807,6),'Code Library'!$D$3:$E$200,2,0))&amp;"_"&amp;RIGHT(A4807,3)</f>
        <v>#VALUE!</v>
      </c>
      <c r="I4807" s="66">
        <f t="shared" si="75"/>
        <v>0</v>
      </c>
    </row>
    <row r="4808" spans="8:9">
      <c r="H4808" s="66" t="e">
        <f>IF(OR(LEFT(B4808,FIND("_",B4808,1)-1)="ULGALLOC",LEFT(B4808,FIND("_",B4808,1)-1)="ULSPOOL"),LEFT(B4808,FIND("_",B4808,1)-1),VLOOKUP(LEFT(A4808,6),'Code Library'!$D$3:$E$200,2,0))&amp;"_"&amp;RIGHT(A4808,3)</f>
        <v>#VALUE!</v>
      </c>
      <c r="I4808" s="66">
        <f t="shared" si="75"/>
        <v>0</v>
      </c>
    </row>
    <row r="4809" spans="8:9">
      <c r="H4809" s="66" t="e">
        <f>IF(OR(LEFT(B4809,FIND("_",B4809,1)-1)="ULGALLOC",LEFT(B4809,FIND("_",B4809,1)-1)="ULSPOOL"),LEFT(B4809,FIND("_",B4809,1)-1),VLOOKUP(LEFT(A4809,6),'Code Library'!$D$3:$E$200,2,0))&amp;"_"&amp;RIGHT(A4809,3)</f>
        <v>#VALUE!</v>
      </c>
      <c r="I4809" s="66">
        <f t="shared" si="75"/>
        <v>0</v>
      </c>
    </row>
    <row r="4810" spans="8:9">
      <c r="H4810" s="66" t="e">
        <f>IF(OR(LEFT(B4810,FIND("_",B4810,1)-1)="ULGALLOC",LEFT(B4810,FIND("_",B4810,1)-1)="ULSPOOL"),LEFT(B4810,FIND("_",B4810,1)-1),VLOOKUP(LEFT(A4810,6),'Code Library'!$D$3:$E$200,2,0))&amp;"_"&amp;RIGHT(A4810,3)</f>
        <v>#VALUE!</v>
      </c>
      <c r="I4810" s="66">
        <f t="shared" si="75"/>
        <v>0</v>
      </c>
    </row>
    <row r="4811" spans="8:9">
      <c r="H4811" s="66" t="e">
        <f>IF(OR(LEFT(B4811,FIND("_",B4811,1)-1)="ULGALLOC",LEFT(B4811,FIND("_",B4811,1)-1)="ULSPOOL"),LEFT(B4811,FIND("_",B4811,1)-1),VLOOKUP(LEFT(A4811,6),'Code Library'!$D$3:$E$200,2,0))&amp;"_"&amp;RIGHT(A4811,3)</f>
        <v>#VALUE!</v>
      </c>
      <c r="I4811" s="66">
        <f t="shared" si="75"/>
        <v>0</v>
      </c>
    </row>
    <row r="4812" spans="8:9">
      <c r="H4812" s="66" t="e">
        <f>IF(OR(LEFT(B4812,FIND("_",B4812,1)-1)="ULGALLOC",LEFT(B4812,FIND("_",B4812,1)-1)="ULSPOOL"),LEFT(B4812,FIND("_",B4812,1)-1),VLOOKUP(LEFT(A4812,6),'Code Library'!$D$3:$E$200,2,0))&amp;"_"&amp;RIGHT(A4812,3)</f>
        <v>#VALUE!</v>
      </c>
      <c r="I4812" s="66">
        <f t="shared" si="75"/>
        <v>0</v>
      </c>
    </row>
    <row r="4813" spans="8:9">
      <c r="H4813" s="66" t="e">
        <f>IF(OR(LEFT(B4813,FIND("_",B4813,1)-1)="ULGALLOC",LEFT(B4813,FIND("_",B4813,1)-1)="ULSPOOL"),LEFT(B4813,FIND("_",B4813,1)-1),VLOOKUP(LEFT(A4813,6),'Code Library'!$D$3:$E$200,2,0))&amp;"_"&amp;RIGHT(A4813,3)</f>
        <v>#VALUE!</v>
      </c>
      <c r="I4813" s="66">
        <f t="shared" si="75"/>
        <v>0</v>
      </c>
    </row>
    <row r="4814" spans="8:9">
      <c r="H4814" s="66" t="e">
        <f>IF(OR(LEFT(B4814,FIND("_",B4814,1)-1)="ULGALLOC",LEFT(B4814,FIND("_",B4814,1)-1)="ULSPOOL"),LEFT(B4814,FIND("_",B4814,1)-1),VLOOKUP(LEFT(A4814,6),'Code Library'!$D$3:$E$200,2,0))&amp;"_"&amp;RIGHT(A4814,3)</f>
        <v>#VALUE!</v>
      </c>
      <c r="I4814" s="66">
        <f t="shared" si="75"/>
        <v>0</v>
      </c>
    </row>
    <row r="4815" spans="8:9">
      <c r="H4815" s="66" t="e">
        <f>IF(OR(LEFT(B4815,FIND("_",B4815,1)-1)="ULGALLOC",LEFT(B4815,FIND("_",B4815,1)-1)="ULSPOOL"),LEFT(B4815,FIND("_",B4815,1)-1),VLOOKUP(LEFT(A4815,6),'Code Library'!$D$3:$E$200,2,0))&amp;"_"&amp;RIGHT(A4815,3)</f>
        <v>#VALUE!</v>
      </c>
      <c r="I4815" s="66">
        <f t="shared" si="75"/>
        <v>0</v>
      </c>
    </row>
    <row r="4816" spans="8:9">
      <c r="H4816" s="66" t="e">
        <f>IF(OR(LEFT(B4816,FIND("_",B4816,1)-1)="ULGALLOC",LEFT(B4816,FIND("_",B4816,1)-1)="ULSPOOL"),LEFT(B4816,FIND("_",B4816,1)-1),VLOOKUP(LEFT(A4816,6),'Code Library'!$D$3:$E$200,2,0))&amp;"_"&amp;RIGHT(A4816,3)</f>
        <v>#VALUE!</v>
      </c>
      <c r="I4816" s="66">
        <f t="shared" si="75"/>
        <v>0</v>
      </c>
    </row>
    <row r="4817" spans="8:9">
      <c r="H4817" s="66" t="e">
        <f>IF(OR(LEFT(B4817,FIND("_",B4817,1)-1)="ULGALLOC",LEFT(B4817,FIND("_",B4817,1)-1)="ULSPOOL"),LEFT(B4817,FIND("_",B4817,1)-1),VLOOKUP(LEFT(A4817,6),'Code Library'!$D$3:$E$200,2,0))&amp;"_"&amp;RIGHT(A4817,3)</f>
        <v>#VALUE!</v>
      </c>
      <c r="I4817" s="66">
        <f t="shared" si="75"/>
        <v>0</v>
      </c>
    </row>
    <row r="4818" spans="8:9">
      <c r="H4818" s="66" t="e">
        <f>IF(OR(LEFT(B4818,FIND("_",B4818,1)-1)="ULGALLOC",LEFT(B4818,FIND("_",B4818,1)-1)="ULSPOOL"),LEFT(B4818,FIND("_",B4818,1)-1),VLOOKUP(LEFT(A4818,6),'Code Library'!$D$3:$E$200,2,0))&amp;"_"&amp;RIGHT(A4818,3)</f>
        <v>#VALUE!</v>
      </c>
      <c r="I4818" s="66">
        <f t="shared" si="75"/>
        <v>0</v>
      </c>
    </row>
    <row r="4819" spans="8:9">
      <c r="H4819" s="66" t="e">
        <f>IF(OR(LEFT(B4819,FIND("_",B4819,1)-1)="ULGALLOC",LEFT(B4819,FIND("_",B4819,1)-1)="ULSPOOL"),LEFT(B4819,FIND("_",B4819,1)-1),VLOOKUP(LEFT(A4819,6),'Code Library'!$D$3:$E$200,2,0))&amp;"_"&amp;RIGHT(A4819,3)</f>
        <v>#VALUE!</v>
      </c>
      <c r="I4819" s="66">
        <f t="shared" si="75"/>
        <v>0</v>
      </c>
    </row>
    <row r="4820" spans="8:9">
      <c r="H4820" s="66" t="e">
        <f>IF(OR(LEFT(B4820,FIND("_",B4820,1)-1)="ULGALLOC",LEFT(B4820,FIND("_",B4820,1)-1)="ULSPOOL"),LEFT(B4820,FIND("_",B4820,1)-1),VLOOKUP(LEFT(A4820,6),'Code Library'!$D$3:$E$200,2,0))&amp;"_"&amp;RIGHT(A4820,3)</f>
        <v>#VALUE!</v>
      </c>
      <c r="I4820" s="66">
        <f t="shared" si="75"/>
        <v>0</v>
      </c>
    </row>
    <row r="4821" spans="8:9">
      <c r="H4821" s="66" t="e">
        <f>IF(OR(LEFT(B4821,FIND("_",B4821,1)-1)="ULGALLOC",LEFT(B4821,FIND("_",B4821,1)-1)="ULSPOOL"),LEFT(B4821,FIND("_",B4821,1)-1),VLOOKUP(LEFT(A4821,6),'Code Library'!$D$3:$E$200,2,0))&amp;"_"&amp;RIGHT(A4821,3)</f>
        <v>#VALUE!</v>
      </c>
      <c r="I4821" s="66">
        <f t="shared" si="75"/>
        <v>0</v>
      </c>
    </row>
    <row r="4822" spans="8:9">
      <c r="H4822" s="66" t="e">
        <f>IF(OR(LEFT(B4822,FIND("_",B4822,1)-1)="ULGALLOC",LEFT(B4822,FIND("_",B4822,1)-1)="ULSPOOL"),LEFT(B4822,FIND("_",B4822,1)-1),VLOOKUP(LEFT(A4822,6),'Code Library'!$D$3:$E$200,2,0))&amp;"_"&amp;RIGHT(A4822,3)</f>
        <v>#VALUE!</v>
      </c>
      <c r="I4822" s="66">
        <f t="shared" si="75"/>
        <v>0</v>
      </c>
    </row>
    <row r="4823" spans="8:9">
      <c r="H4823" s="66" t="e">
        <f>IF(OR(LEFT(B4823,FIND("_",B4823,1)-1)="ULGALLOC",LEFT(B4823,FIND("_",B4823,1)-1)="ULSPOOL"),LEFT(B4823,FIND("_",B4823,1)-1),VLOOKUP(LEFT(A4823,6),'Code Library'!$D$3:$E$200,2,0))&amp;"_"&amp;RIGHT(A4823,3)</f>
        <v>#VALUE!</v>
      </c>
      <c r="I4823" s="66">
        <f t="shared" si="75"/>
        <v>0</v>
      </c>
    </row>
    <row r="4824" spans="8:9">
      <c r="H4824" s="66" t="e">
        <f>IF(OR(LEFT(B4824,FIND("_",B4824,1)-1)="ULGALLOC",LEFT(B4824,FIND("_",B4824,1)-1)="ULSPOOL"),LEFT(B4824,FIND("_",B4824,1)-1),VLOOKUP(LEFT(A4824,6),'Code Library'!$D$3:$E$200,2,0))&amp;"_"&amp;RIGHT(A4824,3)</f>
        <v>#VALUE!</v>
      </c>
      <c r="I4824" s="66">
        <f t="shared" si="75"/>
        <v>0</v>
      </c>
    </row>
    <row r="4825" spans="8:9">
      <c r="H4825" s="66" t="e">
        <f>IF(OR(LEFT(B4825,FIND("_",B4825,1)-1)="ULGALLOC",LEFT(B4825,FIND("_",B4825,1)-1)="ULSPOOL"),LEFT(B4825,FIND("_",B4825,1)-1),VLOOKUP(LEFT(A4825,6),'Code Library'!$D$3:$E$200,2,0))&amp;"_"&amp;RIGHT(A4825,3)</f>
        <v>#VALUE!</v>
      </c>
      <c r="I4825" s="66">
        <f t="shared" si="75"/>
        <v>0</v>
      </c>
    </row>
    <row r="4826" spans="8:9">
      <c r="H4826" s="66" t="e">
        <f>IF(OR(LEFT(B4826,FIND("_",B4826,1)-1)="ULGALLOC",LEFT(B4826,FIND("_",B4826,1)-1)="ULSPOOL"),LEFT(B4826,FIND("_",B4826,1)-1),VLOOKUP(LEFT(A4826,6),'Code Library'!$D$3:$E$200,2,0))&amp;"_"&amp;RIGHT(A4826,3)</f>
        <v>#VALUE!</v>
      </c>
      <c r="I4826" s="66">
        <f t="shared" si="75"/>
        <v>0</v>
      </c>
    </row>
    <row r="4827" spans="8:9">
      <c r="H4827" s="66" t="e">
        <f>IF(OR(LEFT(B4827,FIND("_",B4827,1)-1)="ULGALLOC",LEFT(B4827,FIND("_",B4827,1)-1)="ULSPOOL"),LEFT(B4827,FIND("_",B4827,1)-1),VLOOKUP(LEFT(A4827,6),'Code Library'!$D$3:$E$200,2,0))&amp;"_"&amp;RIGHT(A4827,3)</f>
        <v>#VALUE!</v>
      </c>
      <c r="I4827" s="66">
        <f t="shared" si="75"/>
        <v>0</v>
      </c>
    </row>
    <row r="4828" spans="8:9">
      <c r="H4828" s="66" t="e">
        <f>IF(OR(LEFT(B4828,FIND("_",B4828,1)-1)="ULGALLOC",LEFT(B4828,FIND("_",B4828,1)-1)="ULSPOOL"),LEFT(B4828,FIND("_",B4828,1)-1),VLOOKUP(LEFT(A4828,6),'Code Library'!$D$3:$E$200,2,0))&amp;"_"&amp;RIGHT(A4828,3)</f>
        <v>#VALUE!</v>
      </c>
      <c r="I4828" s="66">
        <f t="shared" si="75"/>
        <v>0</v>
      </c>
    </row>
    <row r="4829" spans="8:9">
      <c r="H4829" s="66" t="e">
        <f>IF(OR(LEFT(B4829,FIND("_",B4829,1)-1)="ULGALLOC",LEFT(B4829,FIND("_",B4829,1)-1)="ULSPOOL"),LEFT(B4829,FIND("_",B4829,1)-1),VLOOKUP(LEFT(A4829,6),'Code Library'!$D$3:$E$200,2,0))&amp;"_"&amp;RIGHT(A4829,3)</f>
        <v>#VALUE!</v>
      </c>
      <c r="I4829" s="66">
        <f t="shared" si="75"/>
        <v>0</v>
      </c>
    </row>
    <row r="4830" spans="8:9">
      <c r="H4830" s="66" t="e">
        <f>IF(OR(LEFT(B4830,FIND("_",B4830,1)-1)="ULGALLOC",LEFT(B4830,FIND("_",B4830,1)-1)="ULSPOOL"),LEFT(B4830,FIND("_",B4830,1)-1),VLOOKUP(LEFT(A4830,6),'Code Library'!$D$3:$E$200,2,0))&amp;"_"&amp;RIGHT(A4830,3)</f>
        <v>#VALUE!</v>
      </c>
      <c r="I4830" s="66">
        <f t="shared" si="75"/>
        <v>0</v>
      </c>
    </row>
    <row r="4831" spans="8:9">
      <c r="H4831" s="66" t="e">
        <f>IF(OR(LEFT(B4831,FIND("_",B4831,1)-1)="ULGALLOC",LEFT(B4831,FIND("_",B4831,1)-1)="ULSPOOL"),LEFT(B4831,FIND("_",B4831,1)-1),VLOOKUP(LEFT(A4831,6),'Code Library'!$D$3:$E$200,2,0))&amp;"_"&amp;RIGHT(A4831,3)</f>
        <v>#VALUE!</v>
      </c>
      <c r="I4831" s="66">
        <f t="shared" si="75"/>
        <v>0</v>
      </c>
    </row>
    <row r="4832" spans="8:9">
      <c r="H4832" s="66" t="e">
        <f>IF(OR(LEFT(B4832,FIND("_",B4832,1)-1)="ULGALLOC",LEFT(B4832,FIND("_",B4832,1)-1)="ULSPOOL"),LEFT(B4832,FIND("_",B4832,1)-1),VLOOKUP(LEFT(A4832,6),'Code Library'!$D$3:$E$200,2,0))&amp;"_"&amp;RIGHT(A4832,3)</f>
        <v>#VALUE!</v>
      </c>
      <c r="I4832" s="66">
        <f t="shared" si="75"/>
        <v>0</v>
      </c>
    </row>
    <row r="4833" spans="8:9">
      <c r="H4833" s="66" t="e">
        <f>IF(OR(LEFT(B4833,FIND("_",B4833,1)-1)="ULGALLOC",LEFT(B4833,FIND("_",B4833,1)-1)="ULSPOOL"),LEFT(B4833,FIND("_",B4833,1)-1),VLOOKUP(LEFT(A4833,6),'Code Library'!$D$3:$E$200,2,0))&amp;"_"&amp;RIGHT(A4833,3)</f>
        <v>#VALUE!</v>
      </c>
      <c r="I4833" s="66">
        <f t="shared" si="75"/>
        <v>0</v>
      </c>
    </row>
    <row r="4834" spans="8:9">
      <c r="H4834" s="66" t="e">
        <f>IF(OR(LEFT(B4834,FIND("_",B4834,1)-1)="ULGALLOC",LEFT(B4834,FIND("_",B4834,1)-1)="ULSPOOL"),LEFT(B4834,FIND("_",B4834,1)-1),VLOOKUP(LEFT(A4834,6),'Code Library'!$D$3:$E$200,2,0))&amp;"_"&amp;RIGHT(A4834,3)</f>
        <v>#VALUE!</v>
      </c>
      <c r="I4834" s="66">
        <f t="shared" si="75"/>
        <v>0</v>
      </c>
    </row>
    <row r="4835" spans="8:9">
      <c r="H4835" s="66" t="e">
        <f>IF(OR(LEFT(B4835,FIND("_",B4835,1)-1)="ULGALLOC",LEFT(B4835,FIND("_",B4835,1)-1)="ULSPOOL"),LEFT(B4835,FIND("_",B4835,1)-1),VLOOKUP(LEFT(A4835,6),'Code Library'!$D$3:$E$200,2,0))&amp;"_"&amp;RIGHT(A4835,3)</f>
        <v>#VALUE!</v>
      </c>
      <c r="I4835" s="66">
        <f t="shared" si="75"/>
        <v>0</v>
      </c>
    </row>
    <row r="4836" spans="8:9">
      <c r="H4836" s="66" t="e">
        <f>IF(OR(LEFT(B4836,FIND("_",B4836,1)-1)="ULGALLOC",LEFT(B4836,FIND("_",B4836,1)-1)="ULSPOOL"),LEFT(B4836,FIND("_",B4836,1)-1),VLOOKUP(LEFT(A4836,6),'Code Library'!$D$3:$E$200,2,0))&amp;"_"&amp;RIGHT(A4836,3)</f>
        <v>#VALUE!</v>
      </c>
      <c r="I4836" s="66">
        <f t="shared" si="75"/>
        <v>0</v>
      </c>
    </row>
    <row r="4837" spans="8:9">
      <c r="H4837" s="66" t="e">
        <f>IF(OR(LEFT(B4837,FIND("_",B4837,1)-1)="ULGALLOC",LEFT(B4837,FIND("_",B4837,1)-1)="ULSPOOL"),LEFT(B4837,FIND("_",B4837,1)-1),VLOOKUP(LEFT(A4837,6),'Code Library'!$D$3:$E$200,2,0))&amp;"_"&amp;RIGHT(A4837,3)</f>
        <v>#VALUE!</v>
      </c>
      <c r="I4837" s="66">
        <f t="shared" si="75"/>
        <v>0</v>
      </c>
    </row>
    <row r="4838" spans="8:9">
      <c r="H4838" s="66" t="e">
        <f>IF(OR(LEFT(B4838,FIND("_",B4838,1)-1)="ULGALLOC",LEFT(B4838,FIND("_",B4838,1)-1)="ULSPOOL"),LEFT(B4838,FIND("_",B4838,1)-1),VLOOKUP(LEFT(A4838,6),'Code Library'!$D$3:$E$200,2,0))&amp;"_"&amp;RIGHT(A4838,3)</f>
        <v>#VALUE!</v>
      </c>
      <c r="I4838" s="66">
        <f t="shared" si="75"/>
        <v>0</v>
      </c>
    </row>
    <row r="4839" spans="8:9">
      <c r="H4839" s="66" t="e">
        <f>IF(OR(LEFT(B4839,FIND("_",B4839,1)-1)="ULGALLOC",LEFT(B4839,FIND("_",B4839,1)-1)="ULSPOOL"),LEFT(B4839,FIND("_",B4839,1)-1),VLOOKUP(LEFT(A4839,6),'Code Library'!$D$3:$E$200,2,0))&amp;"_"&amp;RIGHT(A4839,3)</f>
        <v>#VALUE!</v>
      </c>
      <c r="I4839" s="66">
        <f t="shared" si="75"/>
        <v>0</v>
      </c>
    </row>
    <row r="4840" spans="8:9">
      <c r="H4840" s="66" t="e">
        <f>IF(OR(LEFT(B4840,FIND("_",B4840,1)-1)="ULGALLOC",LEFT(B4840,FIND("_",B4840,1)-1)="ULSPOOL"),LEFT(B4840,FIND("_",B4840,1)-1),VLOOKUP(LEFT(A4840,6),'Code Library'!$D$3:$E$200,2,0))&amp;"_"&amp;RIGHT(A4840,3)</f>
        <v>#VALUE!</v>
      </c>
      <c r="I4840" s="66">
        <f t="shared" si="75"/>
        <v>0</v>
      </c>
    </row>
    <row r="4841" spans="8:9">
      <c r="H4841" s="66" t="e">
        <f>IF(OR(LEFT(B4841,FIND("_",B4841,1)-1)="ULGALLOC",LEFT(B4841,FIND("_",B4841,1)-1)="ULSPOOL"),LEFT(B4841,FIND("_",B4841,1)-1),VLOOKUP(LEFT(A4841,6),'Code Library'!$D$3:$E$200,2,0))&amp;"_"&amp;RIGHT(A4841,3)</f>
        <v>#VALUE!</v>
      </c>
      <c r="I4841" s="66">
        <f t="shared" si="75"/>
        <v>0</v>
      </c>
    </row>
    <row r="4842" spans="8:9">
      <c r="H4842" s="66" t="e">
        <f>IF(OR(LEFT(B4842,FIND("_",B4842,1)-1)="ULGALLOC",LEFT(B4842,FIND("_",B4842,1)-1)="ULSPOOL"),LEFT(B4842,FIND("_",B4842,1)-1),VLOOKUP(LEFT(A4842,6),'Code Library'!$D$3:$E$200,2,0))&amp;"_"&amp;RIGHT(A4842,3)</f>
        <v>#VALUE!</v>
      </c>
      <c r="I4842" s="66">
        <f t="shared" si="75"/>
        <v>0</v>
      </c>
    </row>
    <row r="4843" spans="8:9">
      <c r="H4843" s="66" t="e">
        <f>IF(OR(LEFT(B4843,FIND("_",B4843,1)-1)="ULGALLOC",LEFT(B4843,FIND("_",B4843,1)-1)="ULSPOOL"),LEFT(B4843,FIND("_",B4843,1)-1),VLOOKUP(LEFT(A4843,6),'Code Library'!$D$3:$E$200,2,0))&amp;"_"&amp;RIGHT(A4843,3)</f>
        <v>#VALUE!</v>
      </c>
      <c r="I4843" s="66">
        <f t="shared" si="75"/>
        <v>0</v>
      </c>
    </row>
    <row r="4844" spans="8:9">
      <c r="H4844" s="66" t="e">
        <f>IF(OR(LEFT(B4844,FIND("_",B4844,1)-1)="ULGALLOC",LEFT(B4844,FIND("_",B4844,1)-1)="ULSPOOL"),LEFT(B4844,FIND("_",B4844,1)-1),VLOOKUP(LEFT(A4844,6),'Code Library'!$D$3:$E$200,2,0))&amp;"_"&amp;RIGHT(A4844,3)</f>
        <v>#VALUE!</v>
      </c>
      <c r="I4844" s="66">
        <f t="shared" si="75"/>
        <v>0</v>
      </c>
    </row>
    <row r="4845" spans="8:9">
      <c r="H4845" s="66" t="e">
        <f>IF(OR(LEFT(B4845,FIND("_",B4845,1)-1)="ULGALLOC",LEFT(B4845,FIND("_",B4845,1)-1)="ULSPOOL"),LEFT(B4845,FIND("_",B4845,1)-1),VLOOKUP(LEFT(A4845,6),'Code Library'!$D$3:$E$200,2,0))&amp;"_"&amp;RIGHT(A4845,3)</f>
        <v>#VALUE!</v>
      </c>
      <c r="I4845" s="66">
        <f t="shared" si="75"/>
        <v>0</v>
      </c>
    </row>
    <row r="4846" spans="8:9">
      <c r="H4846" s="66" t="e">
        <f>IF(OR(LEFT(B4846,FIND("_",B4846,1)-1)="ULGALLOC",LEFT(B4846,FIND("_",B4846,1)-1)="ULSPOOL"),LEFT(B4846,FIND("_",B4846,1)-1),VLOOKUP(LEFT(A4846,6),'Code Library'!$D$3:$E$200,2,0))&amp;"_"&amp;RIGHT(A4846,3)</f>
        <v>#VALUE!</v>
      </c>
      <c r="I4846" s="66">
        <f t="shared" si="75"/>
        <v>0</v>
      </c>
    </row>
    <row r="4847" spans="8:9">
      <c r="H4847" s="66" t="e">
        <f>IF(OR(LEFT(B4847,FIND("_",B4847,1)-1)="ULGALLOC",LEFT(B4847,FIND("_",B4847,1)-1)="ULSPOOL"),LEFT(B4847,FIND("_",B4847,1)-1),VLOOKUP(LEFT(A4847,6),'Code Library'!$D$3:$E$200,2,0))&amp;"_"&amp;RIGHT(A4847,3)</f>
        <v>#VALUE!</v>
      </c>
      <c r="I4847" s="66">
        <f t="shared" si="75"/>
        <v>0</v>
      </c>
    </row>
    <row r="4848" spans="8:9">
      <c r="H4848" s="66" t="e">
        <f>IF(OR(LEFT(B4848,FIND("_",B4848,1)-1)="ULGALLOC",LEFT(B4848,FIND("_",B4848,1)-1)="ULSPOOL"),LEFT(B4848,FIND("_",B4848,1)-1),VLOOKUP(LEFT(A4848,6),'Code Library'!$D$3:$E$200,2,0))&amp;"_"&amp;RIGHT(A4848,3)</f>
        <v>#VALUE!</v>
      </c>
      <c r="I4848" s="66">
        <f t="shared" si="75"/>
        <v>0</v>
      </c>
    </row>
    <row r="4849" spans="8:9">
      <c r="H4849" s="66" t="e">
        <f>IF(OR(LEFT(B4849,FIND("_",B4849,1)-1)="ULGALLOC",LEFT(B4849,FIND("_",B4849,1)-1)="ULSPOOL"),LEFT(B4849,FIND("_",B4849,1)-1),VLOOKUP(LEFT(A4849,6),'Code Library'!$D$3:$E$200,2,0))&amp;"_"&amp;RIGHT(A4849,3)</f>
        <v>#VALUE!</v>
      </c>
      <c r="I4849" s="66">
        <f t="shared" si="75"/>
        <v>0</v>
      </c>
    </row>
    <row r="4850" spans="8:9">
      <c r="H4850" s="66" t="e">
        <f>IF(OR(LEFT(B4850,FIND("_",B4850,1)-1)="ULGALLOC",LEFT(B4850,FIND("_",B4850,1)-1)="ULSPOOL"),LEFT(B4850,FIND("_",B4850,1)-1),VLOOKUP(LEFT(A4850,6),'Code Library'!$D$3:$E$200,2,0))&amp;"_"&amp;RIGHT(A4850,3)</f>
        <v>#VALUE!</v>
      </c>
      <c r="I4850" s="66">
        <f t="shared" si="75"/>
        <v>0</v>
      </c>
    </row>
    <row r="4851" spans="8:9">
      <c r="H4851" s="66" t="e">
        <f>IF(OR(LEFT(B4851,FIND("_",B4851,1)-1)="ULGALLOC",LEFT(B4851,FIND("_",B4851,1)-1)="ULSPOOL"),LEFT(B4851,FIND("_",B4851,1)-1),VLOOKUP(LEFT(A4851,6),'Code Library'!$D$3:$E$200,2,0))&amp;"_"&amp;RIGHT(A4851,3)</f>
        <v>#VALUE!</v>
      </c>
      <c r="I4851" s="66">
        <f t="shared" si="75"/>
        <v>0</v>
      </c>
    </row>
    <row r="4852" spans="8:9">
      <c r="H4852" s="66" t="e">
        <f>IF(OR(LEFT(B4852,FIND("_",B4852,1)-1)="ULGALLOC",LEFT(B4852,FIND("_",B4852,1)-1)="ULSPOOL"),LEFT(B4852,FIND("_",B4852,1)-1),VLOOKUP(LEFT(A4852,6),'Code Library'!$D$3:$E$200,2,0))&amp;"_"&amp;RIGHT(A4852,3)</f>
        <v>#VALUE!</v>
      </c>
      <c r="I4852" s="66">
        <f t="shared" si="75"/>
        <v>0</v>
      </c>
    </row>
    <row r="4853" spans="8:9">
      <c r="H4853" s="66" t="e">
        <f>IF(OR(LEFT(B4853,FIND("_",B4853,1)-1)="ULGALLOC",LEFT(B4853,FIND("_",B4853,1)-1)="ULSPOOL"),LEFT(B4853,FIND("_",B4853,1)-1),VLOOKUP(LEFT(A4853,6),'Code Library'!$D$3:$E$200,2,0))&amp;"_"&amp;RIGHT(A4853,3)</f>
        <v>#VALUE!</v>
      </c>
      <c r="I4853" s="66">
        <f t="shared" si="75"/>
        <v>0</v>
      </c>
    </row>
    <row r="4854" spans="8:9">
      <c r="H4854" s="66" t="e">
        <f>IF(OR(LEFT(B4854,FIND("_",B4854,1)-1)="ULGALLOC",LEFT(B4854,FIND("_",B4854,1)-1)="ULSPOOL"),LEFT(B4854,FIND("_",B4854,1)-1),VLOOKUP(LEFT(A4854,6),'Code Library'!$D$3:$E$200,2,0))&amp;"_"&amp;RIGHT(A4854,3)</f>
        <v>#VALUE!</v>
      </c>
      <c r="I4854" s="66">
        <f t="shared" si="75"/>
        <v>0</v>
      </c>
    </row>
    <row r="4855" spans="8:9">
      <c r="H4855" s="66" t="e">
        <f>IF(OR(LEFT(B4855,FIND("_",B4855,1)-1)="ULGALLOC",LEFT(B4855,FIND("_",B4855,1)-1)="ULSPOOL"),LEFT(B4855,FIND("_",B4855,1)-1),VLOOKUP(LEFT(A4855,6),'Code Library'!$D$3:$E$200,2,0))&amp;"_"&amp;RIGHT(A4855,3)</f>
        <v>#VALUE!</v>
      </c>
      <c r="I4855" s="66">
        <f t="shared" si="75"/>
        <v>0</v>
      </c>
    </row>
    <row r="4856" spans="8:9">
      <c r="H4856" s="66" t="e">
        <f>IF(OR(LEFT(B4856,FIND("_",B4856,1)-1)="ULGALLOC",LEFT(B4856,FIND("_",B4856,1)-1)="ULSPOOL"),LEFT(B4856,FIND("_",B4856,1)-1),VLOOKUP(LEFT(A4856,6),'Code Library'!$D$3:$E$200,2,0))&amp;"_"&amp;RIGHT(A4856,3)</f>
        <v>#VALUE!</v>
      </c>
      <c r="I4856" s="66">
        <f t="shared" si="75"/>
        <v>0</v>
      </c>
    </row>
    <row r="4857" spans="8:9">
      <c r="H4857" s="66" t="e">
        <f>IF(OR(LEFT(B4857,FIND("_",B4857,1)-1)="ULGALLOC",LEFT(B4857,FIND("_",B4857,1)-1)="ULSPOOL"),LEFT(B4857,FIND("_",B4857,1)-1),VLOOKUP(LEFT(A4857,6),'Code Library'!$D$3:$E$200,2,0))&amp;"_"&amp;RIGHT(A4857,3)</f>
        <v>#VALUE!</v>
      </c>
      <c r="I4857" s="66">
        <f t="shared" si="75"/>
        <v>0</v>
      </c>
    </row>
    <row r="4858" spans="8:9">
      <c r="H4858" s="66" t="e">
        <f>IF(OR(LEFT(B4858,FIND("_",B4858,1)-1)="ULGALLOC",LEFT(B4858,FIND("_",B4858,1)-1)="ULSPOOL"),LEFT(B4858,FIND("_",B4858,1)-1),VLOOKUP(LEFT(A4858,6),'Code Library'!$D$3:$E$200,2,0))&amp;"_"&amp;RIGHT(A4858,3)</f>
        <v>#VALUE!</v>
      </c>
      <c r="I4858" s="66">
        <f t="shared" si="75"/>
        <v>0</v>
      </c>
    </row>
    <row r="4859" spans="8:9">
      <c r="H4859" s="66" t="e">
        <f>IF(OR(LEFT(B4859,FIND("_",B4859,1)-1)="ULGALLOC",LEFT(B4859,FIND("_",B4859,1)-1)="ULSPOOL"),LEFT(B4859,FIND("_",B4859,1)-1),VLOOKUP(LEFT(A4859,6),'Code Library'!$D$3:$E$200,2,0))&amp;"_"&amp;RIGHT(A4859,3)</f>
        <v>#VALUE!</v>
      </c>
      <c r="I4859" s="66">
        <f t="shared" si="75"/>
        <v>0</v>
      </c>
    </row>
    <row r="4860" spans="8:9">
      <c r="H4860" s="66" t="e">
        <f>IF(OR(LEFT(B4860,FIND("_",B4860,1)-1)="ULGALLOC",LEFT(B4860,FIND("_",B4860,1)-1)="ULSPOOL"),LEFT(B4860,FIND("_",B4860,1)-1),VLOOKUP(LEFT(A4860,6),'Code Library'!$D$3:$E$200,2,0))&amp;"_"&amp;RIGHT(A4860,3)</f>
        <v>#VALUE!</v>
      </c>
      <c r="I4860" s="66">
        <f t="shared" si="75"/>
        <v>0</v>
      </c>
    </row>
    <row r="4861" spans="8:9">
      <c r="H4861" s="66" t="e">
        <f>IF(OR(LEFT(B4861,FIND("_",B4861,1)-1)="ULGALLOC",LEFT(B4861,FIND("_",B4861,1)-1)="ULSPOOL"),LEFT(B4861,FIND("_",B4861,1)-1),VLOOKUP(LEFT(A4861,6),'Code Library'!$D$3:$E$200,2,0))&amp;"_"&amp;RIGHT(A4861,3)</f>
        <v>#VALUE!</v>
      </c>
      <c r="I4861" s="66">
        <f t="shared" si="75"/>
        <v>0</v>
      </c>
    </row>
    <row r="4862" spans="8:9">
      <c r="H4862" s="66" t="e">
        <f>IF(OR(LEFT(B4862,FIND("_",B4862,1)-1)="ULGALLOC",LEFT(B4862,FIND("_",B4862,1)-1)="ULSPOOL"),LEFT(B4862,FIND("_",B4862,1)-1),VLOOKUP(LEFT(A4862,6),'Code Library'!$D$3:$E$200,2,0))&amp;"_"&amp;RIGHT(A4862,3)</f>
        <v>#VALUE!</v>
      </c>
      <c r="I4862" s="66">
        <f t="shared" si="75"/>
        <v>0</v>
      </c>
    </row>
    <row r="4863" spans="8:9">
      <c r="H4863" s="66" t="e">
        <f>IF(OR(LEFT(B4863,FIND("_",B4863,1)-1)="ULGALLOC",LEFT(B4863,FIND("_",B4863,1)-1)="ULSPOOL"),LEFT(B4863,FIND("_",B4863,1)-1),VLOOKUP(LEFT(A4863,6),'Code Library'!$D$3:$E$200,2,0))&amp;"_"&amp;RIGHT(A4863,3)</f>
        <v>#VALUE!</v>
      </c>
      <c r="I4863" s="66">
        <f t="shared" si="75"/>
        <v>0</v>
      </c>
    </row>
    <row r="4864" spans="8:9">
      <c r="H4864" s="66" t="e">
        <f>IF(OR(LEFT(B4864,FIND("_",B4864,1)-1)="ULGALLOC",LEFT(B4864,FIND("_",B4864,1)-1)="ULSPOOL"),LEFT(B4864,FIND("_",B4864,1)-1),VLOOKUP(LEFT(A4864,6),'Code Library'!$D$3:$E$200,2,0))&amp;"_"&amp;RIGHT(A4864,3)</f>
        <v>#VALUE!</v>
      </c>
      <c r="I4864" s="66">
        <f t="shared" si="75"/>
        <v>0</v>
      </c>
    </row>
    <row r="4865" spans="8:9">
      <c r="H4865" s="66" t="e">
        <f>IF(OR(LEFT(B4865,FIND("_",B4865,1)-1)="ULGALLOC",LEFT(B4865,FIND("_",B4865,1)-1)="ULSPOOL"),LEFT(B4865,FIND("_",B4865,1)-1),VLOOKUP(LEFT(A4865,6),'Code Library'!$D$3:$E$200,2,0))&amp;"_"&amp;RIGHT(A4865,3)</f>
        <v>#VALUE!</v>
      </c>
      <c r="I4865" s="66">
        <f t="shared" si="75"/>
        <v>0</v>
      </c>
    </row>
    <row r="4866" spans="8:9">
      <c r="H4866" s="66" t="e">
        <f>IF(OR(LEFT(B4866,FIND("_",B4866,1)-1)="ULGALLOC",LEFT(B4866,FIND("_",B4866,1)-1)="ULSPOOL"),LEFT(B4866,FIND("_",B4866,1)-1),VLOOKUP(LEFT(A4866,6),'Code Library'!$D$3:$E$200,2,0))&amp;"_"&amp;RIGHT(A4866,3)</f>
        <v>#VALUE!</v>
      </c>
      <c r="I4866" s="66">
        <f t="shared" si="75"/>
        <v>0</v>
      </c>
    </row>
    <row r="4867" spans="8:9">
      <c r="H4867" s="66" t="e">
        <f>IF(OR(LEFT(B4867,FIND("_",B4867,1)-1)="ULGALLOC",LEFT(B4867,FIND("_",B4867,1)-1)="ULSPOOL"),LEFT(B4867,FIND("_",B4867,1)-1),VLOOKUP(LEFT(A4867,6),'Code Library'!$D$3:$E$200,2,0))&amp;"_"&amp;RIGHT(A4867,3)</f>
        <v>#VALUE!</v>
      </c>
      <c r="I4867" s="66">
        <f t="shared" ref="I4867:I4930" si="76">A4867</f>
        <v>0</v>
      </c>
    </row>
    <row r="4868" spans="8:9">
      <c r="H4868" s="66" t="e">
        <f>IF(OR(LEFT(B4868,FIND("_",B4868,1)-1)="ULGALLOC",LEFT(B4868,FIND("_",B4868,1)-1)="ULSPOOL"),LEFT(B4868,FIND("_",B4868,1)-1),VLOOKUP(LEFT(A4868,6),'Code Library'!$D$3:$E$200,2,0))&amp;"_"&amp;RIGHT(A4868,3)</f>
        <v>#VALUE!</v>
      </c>
      <c r="I4868" s="66">
        <f t="shared" si="76"/>
        <v>0</v>
      </c>
    </row>
    <row r="4869" spans="8:9">
      <c r="H4869" s="66" t="e">
        <f>IF(OR(LEFT(B4869,FIND("_",B4869,1)-1)="ULGALLOC",LEFT(B4869,FIND("_",B4869,1)-1)="ULSPOOL"),LEFT(B4869,FIND("_",B4869,1)-1),VLOOKUP(LEFT(A4869,6),'Code Library'!$D$3:$E$200,2,0))&amp;"_"&amp;RIGHT(A4869,3)</f>
        <v>#VALUE!</v>
      </c>
      <c r="I4869" s="66">
        <f t="shared" si="76"/>
        <v>0</v>
      </c>
    </row>
    <row r="4870" spans="8:9">
      <c r="H4870" s="66" t="e">
        <f>IF(OR(LEFT(B4870,FIND("_",B4870,1)-1)="ULGALLOC",LEFT(B4870,FIND("_",B4870,1)-1)="ULSPOOL"),LEFT(B4870,FIND("_",B4870,1)-1),VLOOKUP(LEFT(A4870,6),'Code Library'!$D$3:$E$200,2,0))&amp;"_"&amp;RIGHT(A4870,3)</f>
        <v>#VALUE!</v>
      </c>
      <c r="I4870" s="66">
        <f t="shared" si="76"/>
        <v>0</v>
      </c>
    </row>
    <row r="4871" spans="8:9">
      <c r="H4871" s="66" t="e">
        <f>IF(OR(LEFT(B4871,FIND("_",B4871,1)-1)="ULGALLOC",LEFT(B4871,FIND("_",B4871,1)-1)="ULSPOOL"),LEFT(B4871,FIND("_",B4871,1)-1),VLOOKUP(LEFT(A4871,6),'Code Library'!$D$3:$E$200,2,0))&amp;"_"&amp;RIGHT(A4871,3)</f>
        <v>#VALUE!</v>
      </c>
      <c r="I4871" s="66">
        <f t="shared" si="76"/>
        <v>0</v>
      </c>
    </row>
    <row r="4872" spans="8:9">
      <c r="H4872" s="66" t="e">
        <f>IF(OR(LEFT(B4872,FIND("_",B4872,1)-1)="ULGALLOC",LEFT(B4872,FIND("_",B4872,1)-1)="ULSPOOL"),LEFT(B4872,FIND("_",B4872,1)-1),VLOOKUP(LEFT(A4872,6),'Code Library'!$D$3:$E$200,2,0))&amp;"_"&amp;RIGHT(A4872,3)</f>
        <v>#VALUE!</v>
      </c>
      <c r="I4872" s="66">
        <f t="shared" si="76"/>
        <v>0</v>
      </c>
    </row>
    <row r="4873" spans="8:9">
      <c r="H4873" s="66" t="e">
        <f>IF(OR(LEFT(B4873,FIND("_",B4873,1)-1)="ULGALLOC",LEFT(B4873,FIND("_",B4873,1)-1)="ULSPOOL"),LEFT(B4873,FIND("_",B4873,1)-1),VLOOKUP(LEFT(A4873,6),'Code Library'!$D$3:$E$200,2,0))&amp;"_"&amp;RIGHT(A4873,3)</f>
        <v>#VALUE!</v>
      </c>
      <c r="I4873" s="66">
        <f t="shared" si="76"/>
        <v>0</v>
      </c>
    </row>
    <row r="4874" spans="8:9">
      <c r="H4874" s="66" t="e">
        <f>IF(OR(LEFT(B4874,FIND("_",B4874,1)-1)="ULGALLOC",LEFT(B4874,FIND("_",B4874,1)-1)="ULSPOOL"),LEFT(B4874,FIND("_",B4874,1)-1),VLOOKUP(LEFT(A4874,6),'Code Library'!$D$3:$E$200,2,0))&amp;"_"&amp;RIGHT(A4874,3)</f>
        <v>#VALUE!</v>
      </c>
      <c r="I4874" s="66">
        <f t="shared" si="76"/>
        <v>0</v>
      </c>
    </row>
    <row r="4875" spans="8:9">
      <c r="H4875" s="66" t="e">
        <f>IF(OR(LEFT(B4875,FIND("_",B4875,1)-1)="ULGALLOC",LEFT(B4875,FIND("_",B4875,1)-1)="ULSPOOL"),LEFT(B4875,FIND("_",B4875,1)-1),VLOOKUP(LEFT(A4875,6),'Code Library'!$D$3:$E$200,2,0))&amp;"_"&amp;RIGHT(A4875,3)</f>
        <v>#VALUE!</v>
      </c>
      <c r="I4875" s="66">
        <f t="shared" si="76"/>
        <v>0</v>
      </c>
    </row>
    <row r="4876" spans="8:9">
      <c r="H4876" s="66" t="e">
        <f>IF(OR(LEFT(B4876,FIND("_",B4876,1)-1)="ULGALLOC",LEFT(B4876,FIND("_",B4876,1)-1)="ULSPOOL"),LEFT(B4876,FIND("_",B4876,1)-1),VLOOKUP(LEFT(A4876,6),'Code Library'!$D$3:$E$200,2,0))&amp;"_"&amp;RIGHT(A4876,3)</f>
        <v>#VALUE!</v>
      </c>
      <c r="I4876" s="66">
        <f t="shared" si="76"/>
        <v>0</v>
      </c>
    </row>
    <row r="4877" spans="8:9">
      <c r="H4877" s="66" t="e">
        <f>IF(OR(LEFT(B4877,FIND("_",B4877,1)-1)="ULGALLOC",LEFT(B4877,FIND("_",B4877,1)-1)="ULSPOOL"),LEFT(B4877,FIND("_",B4877,1)-1),VLOOKUP(LEFT(A4877,6),'Code Library'!$D$3:$E$200,2,0))&amp;"_"&amp;RIGHT(A4877,3)</f>
        <v>#VALUE!</v>
      </c>
      <c r="I4877" s="66">
        <f t="shared" si="76"/>
        <v>0</v>
      </c>
    </row>
    <row r="4878" spans="8:9">
      <c r="H4878" s="66" t="e">
        <f>IF(OR(LEFT(B4878,FIND("_",B4878,1)-1)="ULGALLOC",LEFT(B4878,FIND("_",B4878,1)-1)="ULSPOOL"),LEFT(B4878,FIND("_",B4878,1)-1),VLOOKUP(LEFT(A4878,6),'Code Library'!$D$3:$E$200,2,0))&amp;"_"&amp;RIGHT(A4878,3)</f>
        <v>#VALUE!</v>
      </c>
      <c r="I4878" s="66">
        <f t="shared" si="76"/>
        <v>0</v>
      </c>
    </row>
    <row r="4879" spans="8:9">
      <c r="H4879" s="66" t="e">
        <f>IF(OR(LEFT(B4879,FIND("_",B4879,1)-1)="ULGALLOC",LEFT(B4879,FIND("_",B4879,1)-1)="ULSPOOL"),LEFT(B4879,FIND("_",B4879,1)-1),VLOOKUP(LEFT(A4879,6),'Code Library'!$D$3:$E$200,2,0))&amp;"_"&amp;RIGHT(A4879,3)</f>
        <v>#VALUE!</v>
      </c>
      <c r="I4879" s="66">
        <f t="shared" si="76"/>
        <v>0</v>
      </c>
    </row>
    <row r="4880" spans="8:9">
      <c r="H4880" s="66" t="e">
        <f>IF(OR(LEFT(B4880,FIND("_",B4880,1)-1)="ULGALLOC",LEFT(B4880,FIND("_",B4880,1)-1)="ULSPOOL"),LEFT(B4880,FIND("_",B4880,1)-1),VLOOKUP(LEFT(A4880,6),'Code Library'!$D$3:$E$200,2,0))&amp;"_"&amp;RIGHT(A4880,3)</f>
        <v>#VALUE!</v>
      </c>
      <c r="I4880" s="66">
        <f t="shared" si="76"/>
        <v>0</v>
      </c>
    </row>
    <row r="4881" spans="8:9">
      <c r="H4881" s="66" t="e">
        <f>IF(OR(LEFT(B4881,FIND("_",B4881,1)-1)="ULGALLOC",LEFT(B4881,FIND("_",B4881,1)-1)="ULSPOOL"),LEFT(B4881,FIND("_",B4881,1)-1),VLOOKUP(LEFT(A4881,6),'Code Library'!$D$3:$E$200,2,0))&amp;"_"&amp;RIGHT(A4881,3)</f>
        <v>#VALUE!</v>
      </c>
      <c r="I4881" s="66">
        <f t="shared" si="76"/>
        <v>0</v>
      </c>
    </row>
    <row r="4882" spans="8:9">
      <c r="H4882" s="66" t="e">
        <f>IF(OR(LEFT(B4882,FIND("_",B4882,1)-1)="ULGALLOC",LEFT(B4882,FIND("_",B4882,1)-1)="ULSPOOL"),LEFT(B4882,FIND("_",B4882,1)-1),VLOOKUP(LEFT(A4882,6),'Code Library'!$D$3:$E$200,2,0))&amp;"_"&amp;RIGHT(A4882,3)</f>
        <v>#VALUE!</v>
      </c>
      <c r="I4882" s="66">
        <f t="shared" si="76"/>
        <v>0</v>
      </c>
    </row>
    <row r="4883" spans="8:9">
      <c r="H4883" s="66" t="e">
        <f>IF(OR(LEFT(B4883,FIND("_",B4883,1)-1)="ULGALLOC",LEFT(B4883,FIND("_",B4883,1)-1)="ULSPOOL"),LEFT(B4883,FIND("_",B4883,1)-1),VLOOKUP(LEFT(A4883,6),'Code Library'!$D$3:$E$200,2,0))&amp;"_"&amp;RIGHT(A4883,3)</f>
        <v>#VALUE!</v>
      </c>
      <c r="I4883" s="66">
        <f t="shared" si="76"/>
        <v>0</v>
      </c>
    </row>
    <row r="4884" spans="8:9">
      <c r="H4884" s="66" t="e">
        <f>IF(OR(LEFT(B4884,FIND("_",B4884,1)-1)="ULGALLOC",LEFT(B4884,FIND("_",B4884,1)-1)="ULSPOOL"),LEFT(B4884,FIND("_",B4884,1)-1),VLOOKUP(LEFT(A4884,6),'Code Library'!$D$3:$E$200,2,0))&amp;"_"&amp;RIGHT(A4884,3)</f>
        <v>#VALUE!</v>
      </c>
      <c r="I4884" s="66">
        <f t="shared" si="76"/>
        <v>0</v>
      </c>
    </row>
    <row r="4885" spans="8:9">
      <c r="H4885" s="66" t="e">
        <f>IF(OR(LEFT(B4885,FIND("_",B4885,1)-1)="ULGALLOC",LEFT(B4885,FIND("_",B4885,1)-1)="ULSPOOL"),LEFT(B4885,FIND("_",B4885,1)-1),VLOOKUP(LEFT(A4885,6),'Code Library'!$D$3:$E$200,2,0))&amp;"_"&amp;RIGHT(A4885,3)</f>
        <v>#VALUE!</v>
      </c>
      <c r="I4885" s="66">
        <f t="shared" si="76"/>
        <v>0</v>
      </c>
    </row>
    <row r="4886" spans="8:9">
      <c r="H4886" s="66" t="e">
        <f>IF(OR(LEFT(B4886,FIND("_",B4886,1)-1)="ULGALLOC",LEFT(B4886,FIND("_",B4886,1)-1)="ULSPOOL"),LEFT(B4886,FIND("_",B4886,1)-1),VLOOKUP(LEFT(A4886,6),'Code Library'!$D$3:$E$200,2,0))&amp;"_"&amp;RIGHT(A4886,3)</f>
        <v>#VALUE!</v>
      </c>
      <c r="I4886" s="66">
        <f t="shared" si="76"/>
        <v>0</v>
      </c>
    </row>
    <row r="4887" spans="8:9">
      <c r="H4887" s="66" t="e">
        <f>IF(OR(LEFT(B4887,FIND("_",B4887,1)-1)="ULGALLOC",LEFT(B4887,FIND("_",B4887,1)-1)="ULSPOOL"),LEFT(B4887,FIND("_",B4887,1)-1),VLOOKUP(LEFT(A4887,6),'Code Library'!$D$3:$E$200,2,0))&amp;"_"&amp;RIGHT(A4887,3)</f>
        <v>#VALUE!</v>
      </c>
      <c r="I4887" s="66">
        <f t="shared" si="76"/>
        <v>0</v>
      </c>
    </row>
    <row r="4888" spans="8:9">
      <c r="H4888" s="66" t="e">
        <f>IF(OR(LEFT(B4888,FIND("_",B4888,1)-1)="ULGALLOC",LEFT(B4888,FIND("_",B4888,1)-1)="ULSPOOL"),LEFT(B4888,FIND("_",B4888,1)-1),VLOOKUP(LEFT(A4888,6),'Code Library'!$D$3:$E$200,2,0))&amp;"_"&amp;RIGHT(A4888,3)</f>
        <v>#VALUE!</v>
      </c>
      <c r="I4888" s="66">
        <f t="shared" si="76"/>
        <v>0</v>
      </c>
    </row>
    <row r="4889" spans="8:9">
      <c r="H4889" s="66" t="e">
        <f>IF(OR(LEFT(B4889,FIND("_",B4889,1)-1)="ULGALLOC",LEFT(B4889,FIND("_",B4889,1)-1)="ULSPOOL"),LEFT(B4889,FIND("_",B4889,1)-1),VLOOKUP(LEFT(A4889,6),'Code Library'!$D$3:$E$200,2,0))&amp;"_"&amp;RIGHT(A4889,3)</f>
        <v>#VALUE!</v>
      </c>
      <c r="I4889" s="66">
        <f t="shared" si="76"/>
        <v>0</v>
      </c>
    </row>
    <row r="4890" spans="8:9">
      <c r="H4890" s="66" t="e">
        <f>IF(OR(LEFT(B4890,FIND("_",B4890,1)-1)="ULGALLOC",LEFT(B4890,FIND("_",B4890,1)-1)="ULSPOOL"),LEFT(B4890,FIND("_",B4890,1)-1),VLOOKUP(LEFT(A4890,6),'Code Library'!$D$3:$E$200,2,0))&amp;"_"&amp;RIGHT(A4890,3)</f>
        <v>#VALUE!</v>
      </c>
      <c r="I4890" s="66">
        <f t="shared" si="76"/>
        <v>0</v>
      </c>
    </row>
    <row r="4891" spans="8:9">
      <c r="H4891" s="66" t="e">
        <f>IF(OR(LEFT(B4891,FIND("_",B4891,1)-1)="ULGALLOC",LEFT(B4891,FIND("_",B4891,1)-1)="ULSPOOL"),LEFT(B4891,FIND("_",B4891,1)-1),VLOOKUP(LEFT(A4891,6),'Code Library'!$D$3:$E$200,2,0))&amp;"_"&amp;RIGHT(A4891,3)</f>
        <v>#VALUE!</v>
      </c>
      <c r="I4891" s="66">
        <f t="shared" si="76"/>
        <v>0</v>
      </c>
    </row>
    <row r="4892" spans="8:9">
      <c r="H4892" s="66" t="e">
        <f>IF(OR(LEFT(B4892,FIND("_",B4892,1)-1)="ULGALLOC",LEFT(B4892,FIND("_",B4892,1)-1)="ULSPOOL"),LEFT(B4892,FIND("_",B4892,1)-1),VLOOKUP(LEFT(A4892,6),'Code Library'!$D$3:$E$200,2,0))&amp;"_"&amp;RIGHT(A4892,3)</f>
        <v>#VALUE!</v>
      </c>
      <c r="I4892" s="66">
        <f t="shared" si="76"/>
        <v>0</v>
      </c>
    </row>
    <row r="4893" spans="8:9">
      <c r="H4893" s="66" t="e">
        <f>IF(OR(LEFT(B4893,FIND("_",B4893,1)-1)="ULGALLOC",LEFT(B4893,FIND("_",B4893,1)-1)="ULSPOOL"),LEFT(B4893,FIND("_",B4893,1)-1),VLOOKUP(LEFT(A4893,6),'Code Library'!$D$3:$E$200,2,0))&amp;"_"&amp;RIGHT(A4893,3)</f>
        <v>#VALUE!</v>
      </c>
      <c r="I4893" s="66">
        <f t="shared" si="76"/>
        <v>0</v>
      </c>
    </row>
    <row r="4894" spans="8:9">
      <c r="H4894" s="66" t="e">
        <f>IF(OR(LEFT(B4894,FIND("_",B4894,1)-1)="ULGALLOC",LEFT(B4894,FIND("_",B4894,1)-1)="ULSPOOL"),LEFT(B4894,FIND("_",B4894,1)-1),VLOOKUP(LEFT(A4894,6),'Code Library'!$D$3:$E$200,2,0))&amp;"_"&amp;RIGHT(A4894,3)</f>
        <v>#VALUE!</v>
      </c>
      <c r="I4894" s="66">
        <f t="shared" si="76"/>
        <v>0</v>
      </c>
    </row>
    <row r="4895" spans="8:9">
      <c r="H4895" s="66" t="e">
        <f>IF(OR(LEFT(B4895,FIND("_",B4895,1)-1)="ULGALLOC",LEFT(B4895,FIND("_",B4895,1)-1)="ULSPOOL"),LEFT(B4895,FIND("_",B4895,1)-1),VLOOKUP(LEFT(A4895,6),'Code Library'!$D$3:$E$200,2,0))&amp;"_"&amp;RIGHT(A4895,3)</f>
        <v>#VALUE!</v>
      </c>
      <c r="I4895" s="66">
        <f t="shared" si="76"/>
        <v>0</v>
      </c>
    </row>
    <row r="4896" spans="8:9">
      <c r="H4896" s="66" t="e">
        <f>IF(OR(LEFT(B4896,FIND("_",B4896,1)-1)="ULGALLOC",LEFT(B4896,FIND("_",B4896,1)-1)="ULSPOOL"),LEFT(B4896,FIND("_",B4896,1)-1),VLOOKUP(LEFT(A4896,6),'Code Library'!$D$3:$E$200,2,0))&amp;"_"&amp;RIGHT(A4896,3)</f>
        <v>#VALUE!</v>
      </c>
      <c r="I4896" s="66">
        <f t="shared" si="76"/>
        <v>0</v>
      </c>
    </row>
    <row r="4897" spans="8:9">
      <c r="H4897" s="66" t="e">
        <f>IF(OR(LEFT(B4897,FIND("_",B4897,1)-1)="ULGALLOC",LEFT(B4897,FIND("_",B4897,1)-1)="ULSPOOL"),LEFT(B4897,FIND("_",B4897,1)-1),VLOOKUP(LEFT(A4897,6),'Code Library'!$D$3:$E$200,2,0))&amp;"_"&amp;RIGHT(A4897,3)</f>
        <v>#VALUE!</v>
      </c>
      <c r="I4897" s="66">
        <f t="shared" si="76"/>
        <v>0</v>
      </c>
    </row>
    <row r="4898" spans="8:9">
      <c r="H4898" s="66" t="e">
        <f>IF(OR(LEFT(B4898,FIND("_",B4898,1)-1)="ULGALLOC",LEFT(B4898,FIND("_",B4898,1)-1)="ULSPOOL"),LEFT(B4898,FIND("_",B4898,1)-1),VLOOKUP(LEFT(A4898,6),'Code Library'!$D$3:$E$200,2,0))&amp;"_"&amp;RIGHT(A4898,3)</f>
        <v>#VALUE!</v>
      </c>
      <c r="I4898" s="66">
        <f t="shared" si="76"/>
        <v>0</v>
      </c>
    </row>
    <row r="4899" spans="8:9">
      <c r="H4899" s="66" t="e">
        <f>IF(OR(LEFT(B4899,FIND("_",B4899,1)-1)="ULGALLOC",LEFT(B4899,FIND("_",B4899,1)-1)="ULSPOOL"),LEFT(B4899,FIND("_",B4899,1)-1),VLOOKUP(LEFT(A4899,6),'Code Library'!$D$3:$E$200,2,0))&amp;"_"&amp;RIGHT(A4899,3)</f>
        <v>#VALUE!</v>
      </c>
      <c r="I4899" s="66">
        <f t="shared" si="76"/>
        <v>0</v>
      </c>
    </row>
    <row r="4900" spans="8:9">
      <c r="H4900" s="66" t="e">
        <f>IF(OR(LEFT(B4900,FIND("_",B4900,1)-1)="ULGALLOC",LEFT(B4900,FIND("_",B4900,1)-1)="ULSPOOL"),LEFT(B4900,FIND("_",B4900,1)-1),VLOOKUP(LEFT(A4900,6),'Code Library'!$D$3:$E$200,2,0))&amp;"_"&amp;RIGHT(A4900,3)</f>
        <v>#VALUE!</v>
      </c>
      <c r="I4900" s="66">
        <f t="shared" si="76"/>
        <v>0</v>
      </c>
    </row>
    <row r="4901" spans="8:9">
      <c r="H4901" s="66" t="e">
        <f>IF(OR(LEFT(B4901,FIND("_",B4901,1)-1)="ULGALLOC",LEFT(B4901,FIND("_",B4901,1)-1)="ULSPOOL"),LEFT(B4901,FIND("_",B4901,1)-1),VLOOKUP(LEFT(A4901,6),'Code Library'!$D$3:$E$200,2,0))&amp;"_"&amp;RIGHT(A4901,3)</f>
        <v>#VALUE!</v>
      </c>
      <c r="I4901" s="66">
        <f t="shared" si="76"/>
        <v>0</v>
      </c>
    </row>
    <row r="4902" spans="8:9">
      <c r="H4902" s="66" t="e">
        <f>IF(OR(LEFT(B4902,FIND("_",B4902,1)-1)="ULGALLOC",LEFT(B4902,FIND("_",B4902,1)-1)="ULSPOOL"),LEFT(B4902,FIND("_",B4902,1)-1),VLOOKUP(LEFT(A4902,6),'Code Library'!$D$3:$E$200,2,0))&amp;"_"&amp;RIGHT(A4902,3)</f>
        <v>#VALUE!</v>
      </c>
      <c r="I4902" s="66">
        <f t="shared" si="76"/>
        <v>0</v>
      </c>
    </row>
    <row r="4903" spans="8:9">
      <c r="H4903" s="66" t="e">
        <f>IF(OR(LEFT(B4903,FIND("_",B4903,1)-1)="ULGALLOC",LEFT(B4903,FIND("_",B4903,1)-1)="ULSPOOL"),LEFT(B4903,FIND("_",B4903,1)-1),VLOOKUP(LEFT(A4903,6),'Code Library'!$D$3:$E$200,2,0))&amp;"_"&amp;RIGHT(A4903,3)</f>
        <v>#VALUE!</v>
      </c>
      <c r="I4903" s="66">
        <f t="shared" si="76"/>
        <v>0</v>
      </c>
    </row>
    <row r="4904" spans="8:9">
      <c r="H4904" s="66" t="e">
        <f>IF(OR(LEFT(B4904,FIND("_",B4904,1)-1)="ULGALLOC",LEFT(B4904,FIND("_",B4904,1)-1)="ULSPOOL"),LEFT(B4904,FIND("_",B4904,1)-1),VLOOKUP(LEFT(A4904,6),'Code Library'!$D$3:$E$200,2,0))&amp;"_"&amp;RIGHT(A4904,3)</f>
        <v>#VALUE!</v>
      </c>
      <c r="I4904" s="66">
        <f t="shared" si="76"/>
        <v>0</v>
      </c>
    </row>
    <row r="4905" spans="8:9">
      <c r="H4905" s="66" t="e">
        <f>IF(OR(LEFT(B4905,FIND("_",B4905,1)-1)="ULGALLOC",LEFT(B4905,FIND("_",B4905,1)-1)="ULSPOOL"),LEFT(B4905,FIND("_",B4905,1)-1),VLOOKUP(LEFT(A4905,6),'Code Library'!$D$3:$E$200,2,0))&amp;"_"&amp;RIGHT(A4905,3)</f>
        <v>#VALUE!</v>
      </c>
      <c r="I4905" s="66">
        <f t="shared" si="76"/>
        <v>0</v>
      </c>
    </row>
    <row r="4906" spans="8:9">
      <c r="H4906" s="66" t="e">
        <f>IF(OR(LEFT(B4906,FIND("_",B4906,1)-1)="ULGALLOC",LEFT(B4906,FIND("_",B4906,1)-1)="ULSPOOL"),LEFT(B4906,FIND("_",B4906,1)-1),VLOOKUP(LEFT(A4906,6),'Code Library'!$D$3:$E$200,2,0))&amp;"_"&amp;RIGHT(A4906,3)</f>
        <v>#VALUE!</v>
      </c>
      <c r="I4906" s="66">
        <f t="shared" si="76"/>
        <v>0</v>
      </c>
    </row>
    <row r="4907" spans="8:9">
      <c r="H4907" s="66" t="e">
        <f>IF(OR(LEFT(B4907,FIND("_",B4907,1)-1)="ULGALLOC",LEFT(B4907,FIND("_",B4907,1)-1)="ULSPOOL"),LEFT(B4907,FIND("_",B4907,1)-1),VLOOKUP(LEFT(A4907,6),'Code Library'!$D$3:$E$200,2,0))&amp;"_"&amp;RIGHT(A4907,3)</f>
        <v>#VALUE!</v>
      </c>
      <c r="I4907" s="66">
        <f t="shared" si="76"/>
        <v>0</v>
      </c>
    </row>
    <row r="4908" spans="8:9">
      <c r="H4908" s="66" t="e">
        <f>IF(OR(LEFT(B4908,FIND("_",B4908,1)-1)="ULGALLOC",LEFT(B4908,FIND("_",B4908,1)-1)="ULSPOOL"),LEFT(B4908,FIND("_",B4908,1)-1),VLOOKUP(LEFT(A4908,6),'Code Library'!$D$3:$E$200,2,0))&amp;"_"&amp;RIGHT(A4908,3)</f>
        <v>#VALUE!</v>
      </c>
      <c r="I4908" s="66">
        <f t="shared" si="76"/>
        <v>0</v>
      </c>
    </row>
    <row r="4909" spans="8:9">
      <c r="H4909" s="66" t="e">
        <f>IF(OR(LEFT(B4909,FIND("_",B4909,1)-1)="ULGALLOC",LEFT(B4909,FIND("_",B4909,1)-1)="ULSPOOL"),LEFT(B4909,FIND("_",B4909,1)-1),VLOOKUP(LEFT(A4909,6),'Code Library'!$D$3:$E$200,2,0))&amp;"_"&amp;RIGHT(A4909,3)</f>
        <v>#VALUE!</v>
      </c>
      <c r="I4909" s="66">
        <f t="shared" si="76"/>
        <v>0</v>
      </c>
    </row>
    <row r="4910" spans="8:9">
      <c r="H4910" s="66" t="e">
        <f>IF(OR(LEFT(B4910,FIND("_",B4910,1)-1)="ULGALLOC",LEFT(B4910,FIND("_",B4910,1)-1)="ULSPOOL"),LEFT(B4910,FIND("_",B4910,1)-1),VLOOKUP(LEFT(A4910,6),'Code Library'!$D$3:$E$200,2,0))&amp;"_"&amp;RIGHT(A4910,3)</f>
        <v>#VALUE!</v>
      </c>
      <c r="I4910" s="66">
        <f t="shared" si="76"/>
        <v>0</v>
      </c>
    </row>
    <row r="4911" spans="8:9">
      <c r="H4911" s="66" t="e">
        <f>IF(OR(LEFT(B4911,FIND("_",B4911,1)-1)="ULGALLOC",LEFT(B4911,FIND("_",B4911,1)-1)="ULSPOOL"),LEFT(B4911,FIND("_",B4911,1)-1),VLOOKUP(LEFT(A4911,6),'Code Library'!$D$3:$E$200,2,0))&amp;"_"&amp;RIGHT(A4911,3)</f>
        <v>#VALUE!</v>
      </c>
      <c r="I4911" s="66">
        <f t="shared" si="76"/>
        <v>0</v>
      </c>
    </row>
    <row r="4912" spans="8:9">
      <c r="H4912" s="66" t="e">
        <f>IF(OR(LEFT(B4912,FIND("_",B4912,1)-1)="ULGALLOC",LEFT(B4912,FIND("_",B4912,1)-1)="ULSPOOL"),LEFT(B4912,FIND("_",B4912,1)-1),VLOOKUP(LEFT(A4912,6),'Code Library'!$D$3:$E$200,2,0))&amp;"_"&amp;RIGHT(A4912,3)</f>
        <v>#VALUE!</v>
      </c>
      <c r="I4912" s="66">
        <f t="shared" si="76"/>
        <v>0</v>
      </c>
    </row>
    <row r="4913" spans="8:9">
      <c r="H4913" s="66" t="e">
        <f>IF(OR(LEFT(B4913,FIND("_",B4913,1)-1)="ULGALLOC",LEFT(B4913,FIND("_",B4913,1)-1)="ULSPOOL"),LEFT(B4913,FIND("_",B4913,1)-1),VLOOKUP(LEFT(A4913,6),'Code Library'!$D$3:$E$200,2,0))&amp;"_"&amp;RIGHT(A4913,3)</f>
        <v>#VALUE!</v>
      </c>
      <c r="I4913" s="66">
        <f t="shared" si="76"/>
        <v>0</v>
      </c>
    </row>
    <row r="4914" spans="8:9">
      <c r="H4914" s="66" t="e">
        <f>IF(OR(LEFT(B4914,FIND("_",B4914,1)-1)="ULGALLOC",LEFT(B4914,FIND("_",B4914,1)-1)="ULSPOOL"),LEFT(B4914,FIND("_",B4914,1)-1),VLOOKUP(LEFT(A4914,6),'Code Library'!$D$3:$E$200,2,0))&amp;"_"&amp;RIGHT(A4914,3)</f>
        <v>#VALUE!</v>
      </c>
      <c r="I4914" s="66">
        <f t="shared" si="76"/>
        <v>0</v>
      </c>
    </row>
    <row r="4915" spans="8:9">
      <c r="H4915" s="66" t="e">
        <f>IF(OR(LEFT(B4915,FIND("_",B4915,1)-1)="ULGALLOC",LEFT(B4915,FIND("_",B4915,1)-1)="ULSPOOL"),LEFT(B4915,FIND("_",B4915,1)-1),VLOOKUP(LEFT(A4915,6),'Code Library'!$D$3:$E$200,2,0))&amp;"_"&amp;RIGHT(A4915,3)</f>
        <v>#VALUE!</v>
      </c>
      <c r="I4915" s="66">
        <f t="shared" si="76"/>
        <v>0</v>
      </c>
    </row>
    <row r="4916" spans="8:9">
      <c r="H4916" s="66" t="e">
        <f>IF(OR(LEFT(B4916,FIND("_",B4916,1)-1)="ULGALLOC",LEFT(B4916,FIND("_",B4916,1)-1)="ULSPOOL"),LEFT(B4916,FIND("_",B4916,1)-1),VLOOKUP(LEFT(A4916,6),'Code Library'!$D$3:$E$200,2,0))&amp;"_"&amp;RIGHT(A4916,3)</f>
        <v>#VALUE!</v>
      </c>
      <c r="I4916" s="66">
        <f t="shared" si="76"/>
        <v>0</v>
      </c>
    </row>
    <row r="4917" spans="8:9">
      <c r="H4917" s="66" t="e">
        <f>IF(OR(LEFT(B4917,FIND("_",B4917,1)-1)="ULGALLOC",LEFT(B4917,FIND("_",B4917,1)-1)="ULSPOOL"),LEFT(B4917,FIND("_",B4917,1)-1),VLOOKUP(LEFT(A4917,6),'Code Library'!$D$3:$E$200,2,0))&amp;"_"&amp;RIGHT(A4917,3)</f>
        <v>#VALUE!</v>
      </c>
      <c r="I4917" s="66">
        <f t="shared" si="76"/>
        <v>0</v>
      </c>
    </row>
    <row r="4918" spans="8:9">
      <c r="H4918" s="66" t="e">
        <f>IF(OR(LEFT(B4918,FIND("_",B4918,1)-1)="ULGALLOC",LEFT(B4918,FIND("_",B4918,1)-1)="ULSPOOL"),LEFT(B4918,FIND("_",B4918,1)-1),VLOOKUP(LEFT(A4918,6),'Code Library'!$D$3:$E$200,2,0))&amp;"_"&amp;RIGHT(A4918,3)</f>
        <v>#VALUE!</v>
      </c>
      <c r="I4918" s="66">
        <f t="shared" si="76"/>
        <v>0</v>
      </c>
    </row>
    <row r="4919" spans="8:9">
      <c r="H4919" s="66" t="e">
        <f>IF(OR(LEFT(B4919,FIND("_",B4919,1)-1)="ULGALLOC",LEFT(B4919,FIND("_",B4919,1)-1)="ULSPOOL"),LEFT(B4919,FIND("_",B4919,1)-1),VLOOKUP(LEFT(A4919,6),'Code Library'!$D$3:$E$200,2,0))&amp;"_"&amp;RIGHT(A4919,3)</f>
        <v>#VALUE!</v>
      </c>
      <c r="I4919" s="66">
        <f t="shared" si="76"/>
        <v>0</v>
      </c>
    </row>
    <row r="4920" spans="8:9">
      <c r="H4920" s="66" t="e">
        <f>IF(OR(LEFT(B4920,FIND("_",B4920,1)-1)="ULGALLOC",LEFT(B4920,FIND("_",B4920,1)-1)="ULSPOOL"),LEFT(B4920,FIND("_",B4920,1)-1),VLOOKUP(LEFT(A4920,6),'Code Library'!$D$3:$E$200,2,0))&amp;"_"&amp;RIGHT(A4920,3)</f>
        <v>#VALUE!</v>
      </c>
      <c r="I4920" s="66">
        <f t="shared" si="76"/>
        <v>0</v>
      </c>
    </row>
    <row r="4921" spans="8:9">
      <c r="H4921" s="66" t="e">
        <f>IF(OR(LEFT(B4921,FIND("_",B4921,1)-1)="ULGALLOC",LEFT(B4921,FIND("_",B4921,1)-1)="ULSPOOL"),LEFT(B4921,FIND("_",B4921,1)-1),VLOOKUP(LEFT(A4921,6),'Code Library'!$D$3:$E$200,2,0))&amp;"_"&amp;RIGHT(A4921,3)</f>
        <v>#VALUE!</v>
      </c>
      <c r="I4921" s="66">
        <f t="shared" si="76"/>
        <v>0</v>
      </c>
    </row>
    <row r="4922" spans="8:9">
      <c r="H4922" s="66" t="e">
        <f>IF(OR(LEFT(B4922,FIND("_",B4922,1)-1)="ULGALLOC",LEFT(B4922,FIND("_",B4922,1)-1)="ULSPOOL"),LEFT(B4922,FIND("_",B4922,1)-1),VLOOKUP(LEFT(A4922,6),'Code Library'!$D$3:$E$200,2,0))&amp;"_"&amp;RIGHT(A4922,3)</f>
        <v>#VALUE!</v>
      </c>
      <c r="I4922" s="66">
        <f t="shared" si="76"/>
        <v>0</v>
      </c>
    </row>
    <row r="4923" spans="8:9">
      <c r="H4923" s="66" t="e">
        <f>IF(OR(LEFT(B4923,FIND("_",B4923,1)-1)="ULGALLOC",LEFT(B4923,FIND("_",B4923,1)-1)="ULSPOOL"),LEFT(B4923,FIND("_",B4923,1)-1),VLOOKUP(LEFT(A4923,6),'Code Library'!$D$3:$E$200,2,0))&amp;"_"&amp;RIGHT(A4923,3)</f>
        <v>#VALUE!</v>
      </c>
      <c r="I4923" s="66">
        <f t="shared" si="76"/>
        <v>0</v>
      </c>
    </row>
    <row r="4924" spans="8:9">
      <c r="H4924" s="66" t="e">
        <f>IF(OR(LEFT(B4924,FIND("_",B4924,1)-1)="ULGALLOC",LEFT(B4924,FIND("_",B4924,1)-1)="ULSPOOL"),LEFT(B4924,FIND("_",B4924,1)-1),VLOOKUP(LEFT(A4924,6),'Code Library'!$D$3:$E$200,2,0))&amp;"_"&amp;RIGHT(A4924,3)</f>
        <v>#VALUE!</v>
      </c>
      <c r="I4924" s="66">
        <f t="shared" si="76"/>
        <v>0</v>
      </c>
    </row>
    <row r="4925" spans="8:9">
      <c r="H4925" s="66" t="e">
        <f>IF(OR(LEFT(B4925,FIND("_",B4925,1)-1)="ULGALLOC",LEFT(B4925,FIND("_",B4925,1)-1)="ULSPOOL"),LEFT(B4925,FIND("_",B4925,1)-1),VLOOKUP(LEFT(A4925,6),'Code Library'!$D$3:$E$200,2,0))&amp;"_"&amp;RIGHT(A4925,3)</f>
        <v>#VALUE!</v>
      </c>
      <c r="I4925" s="66">
        <f t="shared" si="76"/>
        <v>0</v>
      </c>
    </row>
    <row r="4926" spans="8:9">
      <c r="H4926" s="66" t="e">
        <f>IF(OR(LEFT(B4926,FIND("_",B4926,1)-1)="ULGALLOC",LEFT(B4926,FIND("_",B4926,1)-1)="ULSPOOL"),LEFT(B4926,FIND("_",B4926,1)-1),VLOOKUP(LEFT(A4926,6),'Code Library'!$D$3:$E$200,2,0))&amp;"_"&amp;RIGHT(A4926,3)</f>
        <v>#VALUE!</v>
      </c>
      <c r="I4926" s="66">
        <f t="shared" si="76"/>
        <v>0</v>
      </c>
    </row>
    <row r="4927" spans="8:9">
      <c r="H4927" s="66" t="e">
        <f>IF(OR(LEFT(B4927,FIND("_",B4927,1)-1)="ULGALLOC",LEFT(B4927,FIND("_",B4927,1)-1)="ULSPOOL"),LEFT(B4927,FIND("_",B4927,1)-1),VLOOKUP(LEFT(A4927,6),'Code Library'!$D$3:$E$200,2,0))&amp;"_"&amp;RIGHT(A4927,3)</f>
        <v>#VALUE!</v>
      </c>
      <c r="I4927" s="66">
        <f t="shared" si="76"/>
        <v>0</v>
      </c>
    </row>
    <row r="4928" spans="8:9">
      <c r="H4928" s="66" t="e">
        <f>IF(OR(LEFT(B4928,FIND("_",B4928,1)-1)="ULGALLOC",LEFT(B4928,FIND("_",B4928,1)-1)="ULSPOOL"),LEFT(B4928,FIND("_",B4928,1)-1),VLOOKUP(LEFT(A4928,6),'Code Library'!$D$3:$E$200,2,0))&amp;"_"&amp;RIGHT(A4928,3)</f>
        <v>#VALUE!</v>
      </c>
      <c r="I4928" s="66">
        <f t="shared" si="76"/>
        <v>0</v>
      </c>
    </row>
    <row r="4929" spans="8:9">
      <c r="H4929" s="66" t="e">
        <f>IF(OR(LEFT(B4929,FIND("_",B4929,1)-1)="ULGALLOC",LEFT(B4929,FIND("_",B4929,1)-1)="ULSPOOL"),LEFT(B4929,FIND("_",B4929,1)-1),VLOOKUP(LEFT(A4929,6),'Code Library'!$D$3:$E$200,2,0))&amp;"_"&amp;RIGHT(A4929,3)</f>
        <v>#VALUE!</v>
      </c>
      <c r="I4929" s="66">
        <f t="shared" si="76"/>
        <v>0</v>
      </c>
    </row>
    <row r="4930" spans="8:9">
      <c r="H4930" s="66" t="e">
        <f>IF(OR(LEFT(B4930,FIND("_",B4930,1)-1)="ULGALLOC",LEFT(B4930,FIND("_",B4930,1)-1)="ULSPOOL"),LEFT(B4930,FIND("_",B4930,1)-1),VLOOKUP(LEFT(A4930,6),'Code Library'!$D$3:$E$200,2,0))&amp;"_"&amp;RIGHT(A4930,3)</f>
        <v>#VALUE!</v>
      </c>
      <c r="I4930" s="66">
        <f t="shared" si="76"/>
        <v>0</v>
      </c>
    </row>
    <row r="4931" spans="8:9">
      <c r="H4931" s="66" t="e">
        <f>IF(OR(LEFT(B4931,FIND("_",B4931,1)-1)="ULGALLOC",LEFT(B4931,FIND("_",B4931,1)-1)="ULSPOOL"),LEFT(B4931,FIND("_",B4931,1)-1),VLOOKUP(LEFT(A4931,6),'Code Library'!$D$3:$E$200,2,0))&amp;"_"&amp;RIGHT(A4931,3)</f>
        <v>#VALUE!</v>
      </c>
      <c r="I4931" s="66">
        <f t="shared" ref="I4931:I4994" si="77">A4931</f>
        <v>0</v>
      </c>
    </row>
    <row r="4932" spans="8:9">
      <c r="H4932" s="66" t="e">
        <f>IF(OR(LEFT(B4932,FIND("_",B4932,1)-1)="ULGALLOC",LEFT(B4932,FIND("_",B4932,1)-1)="ULSPOOL"),LEFT(B4932,FIND("_",B4932,1)-1),VLOOKUP(LEFT(A4932,6),'Code Library'!$D$3:$E$200,2,0))&amp;"_"&amp;RIGHT(A4932,3)</f>
        <v>#VALUE!</v>
      </c>
      <c r="I4932" s="66">
        <f t="shared" si="77"/>
        <v>0</v>
      </c>
    </row>
    <row r="4933" spans="8:9">
      <c r="H4933" s="66" t="e">
        <f>IF(OR(LEFT(B4933,FIND("_",B4933,1)-1)="ULGALLOC",LEFT(B4933,FIND("_",B4933,1)-1)="ULSPOOL"),LEFT(B4933,FIND("_",B4933,1)-1),VLOOKUP(LEFT(A4933,6),'Code Library'!$D$3:$E$200,2,0))&amp;"_"&amp;RIGHT(A4933,3)</f>
        <v>#VALUE!</v>
      </c>
      <c r="I4933" s="66">
        <f t="shared" si="77"/>
        <v>0</v>
      </c>
    </row>
    <row r="4934" spans="8:9">
      <c r="H4934" s="66" t="e">
        <f>IF(OR(LEFT(B4934,FIND("_",B4934,1)-1)="ULGALLOC",LEFT(B4934,FIND("_",B4934,1)-1)="ULSPOOL"),LEFT(B4934,FIND("_",B4934,1)-1),VLOOKUP(LEFT(A4934,6),'Code Library'!$D$3:$E$200,2,0))&amp;"_"&amp;RIGHT(A4934,3)</f>
        <v>#VALUE!</v>
      </c>
      <c r="I4934" s="66">
        <f t="shared" si="77"/>
        <v>0</v>
      </c>
    </row>
    <row r="4935" spans="8:9">
      <c r="H4935" s="66" t="e">
        <f>IF(OR(LEFT(B4935,FIND("_",B4935,1)-1)="ULGALLOC",LEFT(B4935,FIND("_",B4935,1)-1)="ULSPOOL"),LEFT(B4935,FIND("_",B4935,1)-1),VLOOKUP(LEFT(A4935,6),'Code Library'!$D$3:$E$200,2,0))&amp;"_"&amp;RIGHT(A4935,3)</f>
        <v>#VALUE!</v>
      </c>
      <c r="I4935" s="66">
        <f t="shared" si="77"/>
        <v>0</v>
      </c>
    </row>
    <row r="4936" spans="8:9">
      <c r="H4936" s="66" t="e">
        <f>IF(OR(LEFT(B4936,FIND("_",B4936,1)-1)="ULGALLOC",LEFT(B4936,FIND("_",B4936,1)-1)="ULSPOOL"),LEFT(B4936,FIND("_",B4936,1)-1),VLOOKUP(LEFT(A4936,6),'Code Library'!$D$3:$E$200,2,0))&amp;"_"&amp;RIGHT(A4936,3)</f>
        <v>#VALUE!</v>
      </c>
      <c r="I4936" s="66">
        <f t="shared" si="77"/>
        <v>0</v>
      </c>
    </row>
    <row r="4937" spans="8:9">
      <c r="H4937" s="66" t="e">
        <f>IF(OR(LEFT(B4937,FIND("_",B4937,1)-1)="ULGALLOC",LEFT(B4937,FIND("_",B4937,1)-1)="ULSPOOL"),LEFT(B4937,FIND("_",B4937,1)-1),VLOOKUP(LEFT(A4937,6),'Code Library'!$D$3:$E$200,2,0))&amp;"_"&amp;RIGHT(A4937,3)</f>
        <v>#VALUE!</v>
      </c>
      <c r="I4937" s="66">
        <f t="shared" si="77"/>
        <v>0</v>
      </c>
    </row>
    <row r="4938" spans="8:9">
      <c r="H4938" s="66" t="e">
        <f>IF(OR(LEFT(B4938,FIND("_",B4938,1)-1)="ULGALLOC",LEFT(B4938,FIND("_",B4938,1)-1)="ULSPOOL"),LEFT(B4938,FIND("_",B4938,1)-1),VLOOKUP(LEFT(A4938,6),'Code Library'!$D$3:$E$200,2,0))&amp;"_"&amp;RIGHT(A4938,3)</f>
        <v>#VALUE!</v>
      </c>
      <c r="I4938" s="66">
        <f t="shared" si="77"/>
        <v>0</v>
      </c>
    </row>
    <row r="4939" spans="8:9">
      <c r="H4939" s="66" t="e">
        <f>IF(OR(LEFT(B4939,FIND("_",B4939,1)-1)="ULGALLOC",LEFT(B4939,FIND("_",B4939,1)-1)="ULSPOOL"),LEFT(B4939,FIND("_",B4939,1)-1),VLOOKUP(LEFT(A4939,6),'Code Library'!$D$3:$E$200,2,0))&amp;"_"&amp;RIGHT(A4939,3)</f>
        <v>#VALUE!</v>
      </c>
      <c r="I4939" s="66">
        <f t="shared" si="77"/>
        <v>0</v>
      </c>
    </row>
    <row r="4940" spans="8:9">
      <c r="H4940" s="66" t="e">
        <f>IF(OR(LEFT(B4940,FIND("_",B4940,1)-1)="ULGALLOC",LEFT(B4940,FIND("_",B4940,1)-1)="ULSPOOL"),LEFT(B4940,FIND("_",B4940,1)-1),VLOOKUP(LEFT(A4940,6),'Code Library'!$D$3:$E$200,2,0))&amp;"_"&amp;RIGHT(A4940,3)</f>
        <v>#VALUE!</v>
      </c>
      <c r="I4940" s="66">
        <f t="shared" si="77"/>
        <v>0</v>
      </c>
    </row>
    <row r="4941" spans="8:9">
      <c r="H4941" s="66" t="e">
        <f>IF(OR(LEFT(B4941,FIND("_",B4941,1)-1)="ULGALLOC",LEFT(B4941,FIND("_",B4941,1)-1)="ULSPOOL"),LEFT(B4941,FIND("_",B4941,1)-1),VLOOKUP(LEFT(A4941,6),'Code Library'!$D$3:$E$200,2,0))&amp;"_"&amp;RIGHT(A4941,3)</f>
        <v>#VALUE!</v>
      </c>
      <c r="I4941" s="66">
        <f t="shared" si="77"/>
        <v>0</v>
      </c>
    </row>
    <row r="4942" spans="8:9">
      <c r="H4942" s="66" t="e">
        <f>IF(OR(LEFT(B4942,FIND("_",B4942,1)-1)="ULGALLOC",LEFT(B4942,FIND("_",B4942,1)-1)="ULSPOOL"),LEFT(B4942,FIND("_",B4942,1)-1),VLOOKUP(LEFT(A4942,6),'Code Library'!$D$3:$E$200,2,0))&amp;"_"&amp;RIGHT(A4942,3)</f>
        <v>#VALUE!</v>
      </c>
      <c r="I4942" s="66">
        <f t="shared" si="77"/>
        <v>0</v>
      </c>
    </row>
    <row r="4943" spans="8:9">
      <c r="H4943" s="66" t="e">
        <f>IF(OR(LEFT(B4943,FIND("_",B4943,1)-1)="ULGALLOC",LEFT(B4943,FIND("_",B4943,1)-1)="ULSPOOL"),LEFT(B4943,FIND("_",B4943,1)-1),VLOOKUP(LEFT(A4943,6),'Code Library'!$D$3:$E$200,2,0))&amp;"_"&amp;RIGHT(A4943,3)</f>
        <v>#VALUE!</v>
      </c>
      <c r="I4943" s="66">
        <f t="shared" si="77"/>
        <v>0</v>
      </c>
    </row>
    <row r="4944" spans="8:9">
      <c r="H4944" s="66" t="e">
        <f>IF(OR(LEFT(B4944,FIND("_",B4944,1)-1)="ULGALLOC",LEFT(B4944,FIND("_",B4944,1)-1)="ULSPOOL"),LEFT(B4944,FIND("_",B4944,1)-1),VLOOKUP(LEFT(A4944,6),'Code Library'!$D$3:$E$200,2,0))&amp;"_"&amp;RIGHT(A4944,3)</f>
        <v>#VALUE!</v>
      </c>
      <c r="I4944" s="66">
        <f t="shared" si="77"/>
        <v>0</v>
      </c>
    </row>
    <row r="4945" spans="8:9">
      <c r="H4945" s="66" t="e">
        <f>IF(OR(LEFT(B4945,FIND("_",B4945,1)-1)="ULGALLOC",LEFT(B4945,FIND("_",B4945,1)-1)="ULSPOOL"),LEFT(B4945,FIND("_",B4945,1)-1),VLOOKUP(LEFT(A4945,6),'Code Library'!$D$3:$E$200,2,0))&amp;"_"&amp;RIGHT(A4945,3)</f>
        <v>#VALUE!</v>
      </c>
      <c r="I4945" s="66">
        <f t="shared" si="77"/>
        <v>0</v>
      </c>
    </row>
    <row r="4946" spans="8:9">
      <c r="H4946" s="66" t="e">
        <f>IF(OR(LEFT(B4946,FIND("_",B4946,1)-1)="ULGALLOC",LEFT(B4946,FIND("_",B4946,1)-1)="ULSPOOL"),LEFT(B4946,FIND("_",B4946,1)-1),VLOOKUP(LEFT(A4946,6),'Code Library'!$D$3:$E$200,2,0))&amp;"_"&amp;RIGHT(A4946,3)</f>
        <v>#VALUE!</v>
      </c>
      <c r="I4946" s="66">
        <f t="shared" si="77"/>
        <v>0</v>
      </c>
    </row>
    <row r="4947" spans="8:9">
      <c r="H4947" s="66" t="e">
        <f>IF(OR(LEFT(B4947,FIND("_",B4947,1)-1)="ULGALLOC",LEFT(B4947,FIND("_",B4947,1)-1)="ULSPOOL"),LEFT(B4947,FIND("_",B4947,1)-1),VLOOKUP(LEFT(A4947,6),'Code Library'!$D$3:$E$200,2,0))&amp;"_"&amp;RIGHT(A4947,3)</f>
        <v>#VALUE!</v>
      </c>
      <c r="I4947" s="66">
        <f t="shared" si="77"/>
        <v>0</v>
      </c>
    </row>
    <row r="4948" spans="8:9">
      <c r="H4948" s="66" t="e">
        <f>IF(OR(LEFT(B4948,FIND("_",B4948,1)-1)="ULGALLOC",LEFT(B4948,FIND("_",B4948,1)-1)="ULSPOOL"),LEFT(B4948,FIND("_",B4948,1)-1),VLOOKUP(LEFT(A4948,6),'Code Library'!$D$3:$E$200,2,0))&amp;"_"&amp;RIGHT(A4948,3)</f>
        <v>#VALUE!</v>
      </c>
      <c r="I4948" s="66">
        <f t="shared" si="77"/>
        <v>0</v>
      </c>
    </row>
    <row r="4949" spans="8:9">
      <c r="H4949" s="66" t="e">
        <f>IF(OR(LEFT(B4949,FIND("_",B4949,1)-1)="ULGALLOC",LEFT(B4949,FIND("_",B4949,1)-1)="ULSPOOL"),LEFT(B4949,FIND("_",B4949,1)-1),VLOOKUP(LEFT(A4949,6),'Code Library'!$D$3:$E$200,2,0))&amp;"_"&amp;RIGHT(A4949,3)</f>
        <v>#VALUE!</v>
      </c>
      <c r="I4949" s="66">
        <f t="shared" si="77"/>
        <v>0</v>
      </c>
    </row>
    <row r="4950" spans="8:9">
      <c r="H4950" s="66" t="e">
        <f>IF(OR(LEFT(B4950,FIND("_",B4950,1)-1)="ULGALLOC",LEFT(B4950,FIND("_",B4950,1)-1)="ULSPOOL"),LEFT(B4950,FIND("_",B4950,1)-1),VLOOKUP(LEFT(A4950,6),'Code Library'!$D$3:$E$200,2,0))&amp;"_"&amp;RIGHT(A4950,3)</f>
        <v>#VALUE!</v>
      </c>
      <c r="I4950" s="66">
        <f t="shared" si="77"/>
        <v>0</v>
      </c>
    </row>
    <row r="4951" spans="8:9">
      <c r="H4951" s="66" t="e">
        <f>IF(OR(LEFT(B4951,FIND("_",B4951,1)-1)="ULGALLOC",LEFT(B4951,FIND("_",B4951,1)-1)="ULSPOOL"),LEFT(B4951,FIND("_",B4951,1)-1),VLOOKUP(LEFT(A4951,6),'Code Library'!$D$3:$E$200,2,0))&amp;"_"&amp;RIGHT(A4951,3)</f>
        <v>#VALUE!</v>
      </c>
      <c r="I4951" s="66">
        <f t="shared" si="77"/>
        <v>0</v>
      </c>
    </row>
    <row r="4952" spans="8:9">
      <c r="H4952" s="66" t="e">
        <f>IF(OR(LEFT(B4952,FIND("_",B4952,1)-1)="ULGALLOC",LEFT(B4952,FIND("_",B4952,1)-1)="ULSPOOL"),LEFT(B4952,FIND("_",B4952,1)-1),VLOOKUP(LEFT(A4952,6),'Code Library'!$D$3:$E$200,2,0))&amp;"_"&amp;RIGHT(A4952,3)</f>
        <v>#VALUE!</v>
      </c>
      <c r="I4952" s="66">
        <f t="shared" si="77"/>
        <v>0</v>
      </c>
    </row>
    <row r="4953" spans="8:9">
      <c r="H4953" s="66" t="e">
        <f>IF(OR(LEFT(B4953,FIND("_",B4953,1)-1)="ULGALLOC",LEFT(B4953,FIND("_",B4953,1)-1)="ULSPOOL"),LEFT(B4953,FIND("_",B4953,1)-1),VLOOKUP(LEFT(A4953,6),'Code Library'!$D$3:$E$200,2,0))&amp;"_"&amp;RIGHT(A4953,3)</f>
        <v>#VALUE!</v>
      </c>
      <c r="I4953" s="66">
        <f t="shared" si="77"/>
        <v>0</v>
      </c>
    </row>
    <row r="4954" spans="8:9">
      <c r="H4954" s="66" t="e">
        <f>IF(OR(LEFT(B4954,FIND("_",B4954,1)-1)="ULGALLOC",LEFT(B4954,FIND("_",B4954,1)-1)="ULSPOOL"),LEFT(B4954,FIND("_",B4954,1)-1),VLOOKUP(LEFT(A4954,6),'Code Library'!$D$3:$E$200,2,0))&amp;"_"&amp;RIGHT(A4954,3)</f>
        <v>#VALUE!</v>
      </c>
      <c r="I4954" s="66">
        <f t="shared" si="77"/>
        <v>0</v>
      </c>
    </row>
    <row r="4955" spans="8:9">
      <c r="H4955" s="66" t="e">
        <f>IF(OR(LEFT(B4955,FIND("_",B4955,1)-1)="ULGALLOC",LEFT(B4955,FIND("_",B4955,1)-1)="ULSPOOL"),LEFT(B4955,FIND("_",B4955,1)-1),VLOOKUP(LEFT(A4955,6),'Code Library'!$D$3:$E$200,2,0))&amp;"_"&amp;RIGHT(A4955,3)</f>
        <v>#VALUE!</v>
      </c>
      <c r="I4955" s="66">
        <f t="shared" si="77"/>
        <v>0</v>
      </c>
    </row>
    <row r="4956" spans="8:9">
      <c r="H4956" s="66" t="e">
        <f>IF(OR(LEFT(B4956,FIND("_",B4956,1)-1)="ULGALLOC",LEFT(B4956,FIND("_",B4956,1)-1)="ULSPOOL"),LEFT(B4956,FIND("_",B4956,1)-1),VLOOKUP(LEFT(A4956,6),'Code Library'!$D$3:$E$200,2,0))&amp;"_"&amp;RIGHT(A4956,3)</f>
        <v>#VALUE!</v>
      </c>
      <c r="I4956" s="66">
        <f t="shared" si="77"/>
        <v>0</v>
      </c>
    </row>
    <row r="4957" spans="8:9">
      <c r="H4957" s="66" t="e">
        <f>IF(OR(LEFT(B4957,FIND("_",B4957,1)-1)="ULGALLOC",LEFT(B4957,FIND("_",B4957,1)-1)="ULSPOOL"),LEFT(B4957,FIND("_",B4957,1)-1),VLOOKUP(LEFT(A4957,6),'Code Library'!$D$3:$E$200,2,0))&amp;"_"&amp;RIGHT(A4957,3)</f>
        <v>#VALUE!</v>
      </c>
      <c r="I4957" s="66">
        <f t="shared" si="77"/>
        <v>0</v>
      </c>
    </row>
    <row r="4958" spans="8:9">
      <c r="H4958" s="66" t="e">
        <f>IF(OR(LEFT(B4958,FIND("_",B4958,1)-1)="ULGALLOC",LEFT(B4958,FIND("_",B4958,1)-1)="ULSPOOL"),LEFT(B4958,FIND("_",B4958,1)-1),VLOOKUP(LEFT(A4958,6),'Code Library'!$D$3:$E$200,2,0))&amp;"_"&amp;RIGHT(A4958,3)</f>
        <v>#VALUE!</v>
      </c>
      <c r="I4958" s="66">
        <f t="shared" si="77"/>
        <v>0</v>
      </c>
    </row>
    <row r="4959" spans="8:9">
      <c r="H4959" s="66" t="e">
        <f>IF(OR(LEFT(B4959,FIND("_",B4959,1)-1)="ULGALLOC",LEFT(B4959,FIND("_",B4959,1)-1)="ULSPOOL"),LEFT(B4959,FIND("_",B4959,1)-1),VLOOKUP(LEFT(A4959,6),'Code Library'!$D$3:$E$200,2,0))&amp;"_"&amp;RIGHT(A4959,3)</f>
        <v>#VALUE!</v>
      </c>
      <c r="I4959" s="66">
        <f t="shared" si="77"/>
        <v>0</v>
      </c>
    </row>
    <row r="4960" spans="8:9">
      <c r="H4960" s="66" t="e">
        <f>IF(OR(LEFT(B4960,FIND("_",B4960,1)-1)="ULGALLOC",LEFT(B4960,FIND("_",B4960,1)-1)="ULSPOOL"),LEFT(B4960,FIND("_",B4960,1)-1),VLOOKUP(LEFT(A4960,6),'Code Library'!$D$3:$E$200,2,0))&amp;"_"&amp;RIGHT(A4960,3)</f>
        <v>#VALUE!</v>
      </c>
      <c r="I4960" s="66">
        <f t="shared" si="77"/>
        <v>0</v>
      </c>
    </row>
    <row r="4961" spans="8:9">
      <c r="H4961" s="66" t="e">
        <f>IF(OR(LEFT(B4961,FIND("_",B4961,1)-1)="ULGALLOC",LEFT(B4961,FIND("_",B4961,1)-1)="ULSPOOL"),LEFT(B4961,FIND("_",B4961,1)-1),VLOOKUP(LEFT(A4961,6),'Code Library'!$D$3:$E$200,2,0))&amp;"_"&amp;RIGHT(A4961,3)</f>
        <v>#VALUE!</v>
      </c>
      <c r="I4961" s="66">
        <f t="shared" si="77"/>
        <v>0</v>
      </c>
    </row>
    <row r="4962" spans="8:9">
      <c r="H4962" s="66" t="e">
        <f>IF(OR(LEFT(B4962,FIND("_",B4962,1)-1)="ULGALLOC",LEFT(B4962,FIND("_",B4962,1)-1)="ULSPOOL"),LEFT(B4962,FIND("_",B4962,1)-1),VLOOKUP(LEFT(A4962,6),'Code Library'!$D$3:$E$200,2,0))&amp;"_"&amp;RIGHT(A4962,3)</f>
        <v>#VALUE!</v>
      </c>
      <c r="I4962" s="66">
        <f t="shared" si="77"/>
        <v>0</v>
      </c>
    </row>
    <row r="4963" spans="8:9">
      <c r="H4963" s="66" t="e">
        <f>IF(OR(LEFT(B4963,FIND("_",B4963,1)-1)="ULGALLOC",LEFT(B4963,FIND("_",B4963,1)-1)="ULSPOOL"),LEFT(B4963,FIND("_",B4963,1)-1),VLOOKUP(LEFT(A4963,6),'Code Library'!$D$3:$E$200,2,0))&amp;"_"&amp;RIGHT(A4963,3)</f>
        <v>#VALUE!</v>
      </c>
      <c r="I4963" s="66">
        <f t="shared" si="77"/>
        <v>0</v>
      </c>
    </row>
    <row r="4964" spans="8:9">
      <c r="H4964" s="66" t="e">
        <f>IF(OR(LEFT(B4964,FIND("_",B4964,1)-1)="ULGALLOC",LEFT(B4964,FIND("_",B4964,1)-1)="ULSPOOL"),LEFT(B4964,FIND("_",B4964,1)-1),VLOOKUP(LEFT(A4964,6),'Code Library'!$D$3:$E$200,2,0))&amp;"_"&amp;RIGHT(A4964,3)</f>
        <v>#VALUE!</v>
      </c>
      <c r="I4964" s="66">
        <f t="shared" si="77"/>
        <v>0</v>
      </c>
    </row>
    <row r="4965" spans="8:9">
      <c r="H4965" s="66" t="e">
        <f>IF(OR(LEFT(B4965,FIND("_",B4965,1)-1)="ULGALLOC",LEFT(B4965,FIND("_",B4965,1)-1)="ULSPOOL"),LEFT(B4965,FIND("_",B4965,1)-1),VLOOKUP(LEFT(A4965,6),'Code Library'!$D$3:$E$200,2,0))&amp;"_"&amp;RIGHT(A4965,3)</f>
        <v>#VALUE!</v>
      </c>
      <c r="I4965" s="66">
        <f t="shared" si="77"/>
        <v>0</v>
      </c>
    </row>
    <row r="4966" spans="8:9">
      <c r="H4966" s="66" t="e">
        <f>IF(OR(LEFT(B4966,FIND("_",B4966,1)-1)="ULGALLOC",LEFT(B4966,FIND("_",B4966,1)-1)="ULSPOOL"),LEFT(B4966,FIND("_",B4966,1)-1),VLOOKUP(LEFT(A4966,6),'Code Library'!$D$3:$E$200,2,0))&amp;"_"&amp;RIGHT(A4966,3)</f>
        <v>#VALUE!</v>
      </c>
      <c r="I4966" s="66">
        <f t="shared" si="77"/>
        <v>0</v>
      </c>
    </row>
    <row r="4967" spans="8:9">
      <c r="H4967" s="66" t="e">
        <f>IF(OR(LEFT(B4967,FIND("_",B4967,1)-1)="ULGALLOC",LEFT(B4967,FIND("_",B4967,1)-1)="ULSPOOL"),LEFT(B4967,FIND("_",B4967,1)-1),VLOOKUP(LEFT(A4967,6),'Code Library'!$D$3:$E$200,2,0))&amp;"_"&amp;RIGHT(A4967,3)</f>
        <v>#VALUE!</v>
      </c>
      <c r="I4967" s="66">
        <f t="shared" si="77"/>
        <v>0</v>
      </c>
    </row>
    <row r="4968" spans="8:9">
      <c r="H4968" s="66" t="e">
        <f>IF(OR(LEFT(B4968,FIND("_",B4968,1)-1)="ULGALLOC",LEFT(B4968,FIND("_",B4968,1)-1)="ULSPOOL"),LEFT(B4968,FIND("_",B4968,1)-1),VLOOKUP(LEFT(A4968,6),'Code Library'!$D$3:$E$200,2,0))&amp;"_"&amp;RIGHT(A4968,3)</f>
        <v>#VALUE!</v>
      </c>
      <c r="I4968" s="66">
        <f t="shared" si="77"/>
        <v>0</v>
      </c>
    </row>
    <row r="4969" spans="8:9">
      <c r="H4969" s="66" t="e">
        <f>IF(OR(LEFT(B4969,FIND("_",B4969,1)-1)="ULGALLOC",LEFT(B4969,FIND("_",B4969,1)-1)="ULSPOOL"),LEFT(B4969,FIND("_",B4969,1)-1),VLOOKUP(LEFT(A4969,6),'Code Library'!$D$3:$E$200,2,0))&amp;"_"&amp;RIGHT(A4969,3)</f>
        <v>#VALUE!</v>
      </c>
      <c r="I4969" s="66">
        <f t="shared" si="77"/>
        <v>0</v>
      </c>
    </row>
    <row r="4970" spans="8:9">
      <c r="H4970" s="66" t="e">
        <f>IF(OR(LEFT(B4970,FIND("_",B4970,1)-1)="ULGALLOC",LEFT(B4970,FIND("_",B4970,1)-1)="ULSPOOL"),LEFT(B4970,FIND("_",B4970,1)-1),VLOOKUP(LEFT(A4970,6),'Code Library'!$D$3:$E$200,2,0))&amp;"_"&amp;RIGHT(A4970,3)</f>
        <v>#VALUE!</v>
      </c>
      <c r="I4970" s="66">
        <f t="shared" si="77"/>
        <v>0</v>
      </c>
    </row>
    <row r="4971" spans="8:9">
      <c r="H4971" s="66" t="e">
        <f>IF(OR(LEFT(B4971,FIND("_",B4971,1)-1)="ULGALLOC",LEFT(B4971,FIND("_",B4971,1)-1)="ULSPOOL"),LEFT(B4971,FIND("_",B4971,1)-1),VLOOKUP(LEFT(A4971,6),'Code Library'!$D$3:$E$200,2,0))&amp;"_"&amp;RIGHT(A4971,3)</f>
        <v>#VALUE!</v>
      </c>
      <c r="I4971" s="66">
        <f t="shared" si="77"/>
        <v>0</v>
      </c>
    </row>
    <row r="4972" spans="8:9">
      <c r="H4972" s="66" t="e">
        <f>IF(OR(LEFT(B4972,FIND("_",B4972,1)-1)="ULGALLOC",LEFT(B4972,FIND("_",B4972,1)-1)="ULSPOOL"),LEFT(B4972,FIND("_",B4972,1)-1),VLOOKUP(LEFT(A4972,6),'Code Library'!$D$3:$E$200,2,0))&amp;"_"&amp;RIGHT(A4972,3)</f>
        <v>#VALUE!</v>
      </c>
      <c r="I4972" s="66">
        <f t="shared" si="77"/>
        <v>0</v>
      </c>
    </row>
    <row r="4973" spans="8:9">
      <c r="H4973" s="66" t="e">
        <f>IF(OR(LEFT(B4973,FIND("_",B4973,1)-1)="ULGALLOC",LEFT(B4973,FIND("_",B4973,1)-1)="ULSPOOL"),LEFT(B4973,FIND("_",B4973,1)-1),VLOOKUP(LEFT(A4973,6),'Code Library'!$D$3:$E$200,2,0))&amp;"_"&amp;RIGHT(A4973,3)</f>
        <v>#VALUE!</v>
      </c>
      <c r="I4973" s="66">
        <f t="shared" si="77"/>
        <v>0</v>
      </c>
    </row>
    <row r="4974" spans="8:9">
      <c r="H4974" s="66" t="e">
        <f>IF(OR(LEFT(B4974,FIND("_",B4974,1)-1)="ULGALLOC",LEFT(B4974,FIND("_",B4974,1)-1)="ULSPOOL"),LEFT(B4974,FIND("_",B4974,1)-1),VLOOKUP(LEFT(A4974,6),'Code Library'!$D$3:$E$200,2,0))&amp;"_"&amp;RIGHT(A4974,3)</f>
        <v>#VALUE!</v>
      </c>
      <c r="I4974" s="66">
        <f t="shared" si="77"/>
        <v>0</v>
      </c>
    </row>
    <row r="4975" spans="8:9">
      <c r="H4975" s="66" t="e">
        <f>IF(OR(LEFT(B4975,FIND("_",B4975,1)-1)="ULGALLOC",LEFT(B4975,FIND("_",B4975,1)-1)="ULSPOOL"),LEFT(B4975,FIND("_",B4975,1)-1),VLOOKUP(LEFT(A4975,6),'Code Library'!$D$3:$E$200,2,0))&amp;"_"&amp;RIGHT(A4975,3)</f>
        <v>#VALUE!</v>
      </c>
      <c r="I4975" s="66">
        <f t="shared" si="77"/>
        <v>0</v>
      </c>
    </row>
    <row r="4976" spans="8:9">
      <c r="H4976" s="66" t="e">
        <f>IF(OR(LEFT(B4976,FIND("_",B4976,1)-1)="ULGALLOC",LEFT(B4976,FIND("_",B4976,1)-1)="ULSPOOL"),LEFT(B4976,FIND("_",B4976,1)-1),VLOOKUP(LEFT(A4976,6),'Code Library'!$D$3:$E$200,2,0))&amp;"_"&amp;RIGHT(A4976,3)</f>
        <v>#VALUE!</v>
      </c>
      <c r="I4976" s="66">
        <f t="shared" si="77"/>
        <v>0</v>
      </c>
    </row>
    <row r="4977" spans="8:9">
      <c r="H4977" s="66" t="e">
        <f>IF(OR(LEFT(B4977,FIND("_",B4977,1)-1)="ULGALLOC",LEFT(B4977,FIND("_",B4977,1)-1)="ULSPOOL"),LEFT(B4977,FIND("_",B4977,1)-1),VLOOKUP(LEFT(A4977,6),'Code Library'!$D$3:$E$200,2,0))&amp;"_"&amp;RIGHT(A4977,3)</f>
        <v>#VALUE!</v>
      </c>
      <c r="I4977" s="66">
        <f t="shared" si="77"/>
        <v>0</v>
      </c>
    </row>
    <row r="4978" spans="8:9">
      <c r="H4978" s="66" t="e">
        <f>IF(OR(LEFT(B4978,FIND("_",B4978,1)-1)="ULGALLOC",LEFT(B4978,FIND("_",B4978,1)-1)="ULSPOOL"),LEFT(B4978,FIND("_",B4978,1)-1),VLOOKUP(LEFT(A4978,6),'Code Library'!$D$3:$E$200,2,0))&amp;"_"&amp;RIGHT(A4978,3)</f>
        <v>#VALUE!</v>
      </c>
      <c r="I4978" s="66">
        <f t="shared" si="77"/>
        <v>0</v>
      </c>
    </row>
    <row r="4979" spans="8:9">
      <c r="H4979" s="66" t="e">
        <f>IF(OR(LEFT(B4979,FIND("_",B4979,1)-1)="ULGALLOC",LEFT(B4979,FIND("_",B4979,1)-1)="ULSPOOL"),LEFT(B4979,FIND("_",B4979,1)-1),VLOOKUP(LEFT(A4979,6),'Code Library'!$D$3:$E$200,2,0))&amp;"_"&amp;RIGHT(A4979,3)</f>
        <v>#VALUE!</v>
      </c>
      <c r="I4979" s="66">
        <f t="shared" si="77"/>
        <v>0</v>
      </c>
    </row>
    <row r="4980" spans="8:9">
      <c r="H4980" s="66" t="e">
        <f>IF(OR(LEFT(B4980,FIND("_",B4980,1)-1)="ULGALLOC",LEFT(B4980,FIND("_",B4980,1)-1)="ULSPOOL"),LEFT(B4980,FIND("_",B4980,1)-1),VLOOKUP(LEFT(A4980,6),'Code Library'!$D$3:$E$200,2,0))&amp;"_"&amp;RIGHT(A4980,3)</f>
        <v>#VALUE!</v>
      </c>
      <c r="I4980" s="66">
        <f t="shared" si="77"/>
        <v>0</v>
      </c>
    </row>
    <row r="4981" spans="8:9">
      <c r="H4981" s="66" t="e">
        <f>IF(OR(LEFT(B4981,FIND("_",B4981,1)-1)="ULGALLOC",LEFT(B4981,FIND("_",B4981,1)-1)="ULSPOOL"),LEFT(B4981,FIND("_",B4981,1)-1),VLOOKUP(LEFT(A4981,6),'Code Library'!$D$3:$E$200,2,0))&amp;"_"&amp;RIGHT(A4981,3)</f>
        <v>#VALUE!</v>
      </c>
      <c r="I4981" s="66">
        <f t="shared" si="77"/>
        <v>0</v>
      </c>
    </row>
    <row r="4982" spans="8:9">
      <c r="H4982" s="66" t="e">
        <f>IF(OR(LEFT(B4982,FIND("_",B4982,1)-1)="ULGALLOC",LEFT(B4982,FIND("_",B4982,1)-1)="ULSPOOL"),LEFT(B4982,FIND("_",B4982,1)-1),VLOOKUP(LEFT(A4982,6),'Code Library'!$D$3:$E$200,2,0))&amp;"_"&amp;RIGHT(A4982,3)</f>
        <v>#VALUE!</v>
      </c>
      <c r="I4982" s="66">
        <f t="shared" si="77"/>
        <v>0</v>
      </c>
    </row>
    <row r="4983" spans="8:9">
      <c r="H4983" s="66" t="e">
        <f>IF(OR(LEFT(B4983,FIND("_",B4983,1)-1)="ULGALLOC",LEFT(B4983,FIND("_",B4983,1)-1)="ULSPOOL"),LEFT(B4983,FIND("_",B4983,1)-1),VLOOKUP(LEFT(A4983,6),'Code Library'!$D$3:$E$200,2,0))&amp;"_"&amp;RIGHT(A4983,3)</f>
        <v>#VALUE!</v>
      </c>
      <c r="I4983" s="66">
        <f t="shared" si="77"/>
        <v>0</v>
      </c>
    </row>
    <row r="4984" spans="8:9">
      <c r="H4984" s="66" t="e">
        <f>IF(OR(LEFT(B4984,FIND("_",B4984,1)-1)="ULGALLOC",LEFT(B4984,FIND("_",B4984,1)-1)="ULSPOOL"),LEFT(B4984,FIND("_",B4984,1)-1),VLOOKUP(LEFT(A4984,6),'Code Library'!$D$3:$E$200,2,0))&amp;"_"&amp;RIGHT(A4984,3)</f>
        <v>#VALUE!</v>
      </c>
      <c r="I4984" s="66">
        <f t="shared" si="77"/>
        <v>0</v>
      </c>
    </row>
    <row r="4985" spans="8:9">
      <c r="H4985" s="66" t="e">
        <f>IF(OR(LEFT(B4985,FIND("_",B4985,1)-1)="ULGALLOC",LEFT(B4985,FIND("_",B4985,1)-1)="ULSPOOL"),LEFT(B4985,FIND("_",B4985,1)-1),VLOOKUP(LEFT(A4985,6),'Code Library'!$D$3:$E$200,2,0))&amp;"_"&amp;RIGHT(A4985,3)</f>
        <v>#VALUE!</v>
      </c>
      <c r="I4985" s="66">
        <f t="shared" si="77"/>
        <v>0</v>
      </c>
    </row>
    <row r="4986" spans="8:9">
      <c r="H4986" s="66" t="e">
        <f>IF(OR(LEFT(B4986,FIND("_",B4986,1)-1)="ULGALLOC",LEFT(B4986,FIND("_",B4986,1)-1)="ULSPOOL"),LEFT(B4986,FIND("_",B4986,1)-1),VLOOKUP(LEFT(A4986,6),'Code Library'!$D$3:$E$200,2,0))&amp;"_"&amp;RIGHT(A4986,3)</f>
        <v>#VALUE!</v>
      </c>
      <c r="I4986" s="66">
        <f t="shared" si="77"/>
        <v>0</v>
      </c>
    </row>
    <row r="4987" spans="8:9">
      <c r="H4987" s="66" t="e">
        <f>IF(OR(LEFT(B4987,FIND("_",B4987,1)-1)="ULGALLOC",LEFT(B4987,FIND("_",B4987,1)-1)="ULSPOOL"),LEFT(B4987,FIND("_",B4987,1)-1),VLOOKUP(LEFT(A4987,6),'Code Library'!$D$3:$E$200,2,0))&amp;"_"&amp;RIGHT(A4987,3)</f>
        <v>#VALUE!</v>
      </c>
      <c r="I4987" s="66">
        <f t="shared" si="77"/>
        <v>0</v>
      </c>
    </row>
    <row r="4988" spans="8:9">
      <c r="H4988" s="66" t="e">
        <f>IF(OR(LEFT(B4988,FIND("_",B4988,1)-1)="ULGALLOC",LEFT(B4988,FIND("_",B4988,1)-1)="ULSPOOL"),LEFT(B4988,FIND("_",B4988,1)-1),VLOOKUP(LEFT(A4988,6),'Code Library'!$D$3:$E$200,2,0))&amp;"_"&amp;RIGHT(A4988,3)</f>
        <v>#VALUE!</v>
      </c>
      <c r="I4988" s="66">
        <f t="shared" si="77"/>
        <v>0</v>
      </c>
    </row>
    <row r="4989" spans="8:9">
      <c r="H4989" s="66" t="e">
        <f>IF(OR(LEFT(B4989,FIND("_",B4989,1)-1)="ULGALLOC",LEFT(B4989,FIND("_",B4989,1)-1)="ULSPOOL"),LEFT(B4989,FIND("_",B4989,1)-1),VLOOKUP(LEFT(A4989,6),'Code Library'!$D$3:$E$200,2,0))&amp;"_"&amp;RIGHT(A4989,3)</f>
        <v>#VALUE!</v>
      </c>
      <c r="I4989" s="66">
        <f t="shared" si="77"/>
        <v>0</v>
      </c>
    </row>
    <row r="4990" spans="8:9">
      <c r="H4990" s="66" t="e">
        <f>IF(OR(LEFT(B4990,FIND("_",B4990,1)-1)="ULGALLOC",LEFT(B4990,FIND("_",B4990,1)-1)="ULSPOOL"),LEFT(B4990,FIND("_",B4990,1)-1),VLOOKUP(LEFT(A4990,6),'Code Library'!$D$3:$E$200,2,0))&amp;"_"&amp;RIGHT(A4990,3)</f>
        <v>#VALUE!</v>
      </c>
      <c r="I4990" s="66">
        <f t="shared" si="77"/>
        <v>0</v>
      </c>
    </row>
    <row r="4991" spans="8:9">
      <c r="H4991" s="66" t="e">
        <f>IF(OR(LEFT(B4991,FIND("_",B4991,1)-1)="ULGALLOC",LEFT(B4991,FIND("_",B4991,1)-1)="ULSPOOL"),LEFT(B4991,FIND("_",B4991,1)-1),VLOOKUP(LEFT(A4991,6),'Code Library'!$D$3:$E$200,2,0))&amp;"_"&amp;RIGHT(A4991,3)</f>
        <v>#VALUE!</v>
      </c>
      <c r="I4991" s="66">
        <f t="shared" si="77"/>
        <v>0</v>
      </c>
    </row>
    <row r="4992" spans="8:9">
      <c r="H4992" s="66" t="e">
        <f>IF(OR(LEFT(B4992,FIND("_",B4992,1)-1)="ULGALLOC",LEFT(B4992,FIND("_",B4992,1)-1)="ULSPOOL"),LEFT(B4992,FIND("_",B4992,1)-1),VLOOKUP(LEFT(A4992,6),'Code Library'!$D$3:$E$200,2,0))&amp;"_"&amp;RIGHT(A4992,3)</f>
        <v>#VALUE!</v>
      </c>
      <c r="I4992" s="66">
        <f t="shared" si="77"/>
        <v>0</v>
      </c>
    </row>
    <row r="4993" spans="8:9">
      <c r="H4993" s="66" t="e">
        <f>IF(OR(LEFT(B4993,FIND("_",B4993,1)-1)="ULGALLOC",LEFT(B4993,FIND("_",B4993,1)-1)="ULSPOOL"),LEFT(B4993,FIND("_",B4993,1)-1),VLOOKUP(LEFT(A4993,6),'Code Library'!$D$3:$E$200,2,0))&amp;"_"&amp;RIGHT(A4993,3)</f>
        <v>#VALUE!</v>
      </c>
      <c r="I4993" s="66">
        <f t="shared" si="77"/>
        <v>0</v>
      </c>
    </row>
    <row r="4994" spans="8:9">
      <c r="H4994" s="66" t="e">
        <f>IF(OR(LEFT(B4994,FIND("_",B4994,1)-1)="ULGALLOC",LEFT(B4994,FIND("_",B4994,1)-1)="ULSPOOL"),LEFT(B4994,FIND("_",B4994,1)-1),VLOOKUP(LEFT(A4994,6),'Code Library'!$D$3:$E$200,2,0))&amp;"_"&amp;RIGHT(A4994,3)</f>
        <v>#VALUE!</v>
      </c>
      <c r="I4994" s="66">
        <f t="shared" si="77"/>
        <v>0</v>
      </c>
    </row>
    <row r="4995" spans="8:9">
      <c r="H4995" s="66" t="e">
        <f>IF(OR(LEFT(B4995,FIND("_",B4995,1)-1)="ULGALLOC",LEFT(B4995,FIND("_",B4995,1)-1)="ULSPOOL"),LEFT(B4995,FIND("_",B4995,1)-1),VLOOKUP(LEFT(A4995,6),'Code Library'!$D$3:$E$200,2,0))&amp;"_"&amp;RIGHT(A4995,3)</f>
        <v>#VALUE!</v>
      </c>
      <c r="I4995" s="66">
        <f t="shared" ref="I4995:I5000" si="78">A4995</f>
        <v>0</v>
      </c>
    </row>
    <row r="4996" spans="8:9">
      <c r="H4996" s="66" t="e">
        <f>IF(OR(LEFT(B4996,FIND("_",B4996,1)-1)="ULGALLOC",LEFT(B4996,FIND("_",B4996,1)-1)="ULSPOOL"),LEFT(B4996,FIND("_",B4996,1)-1),VLOOKUP(LEFT(A4996,6),'Code Library'!$D$3:$E$200,2,0))&amp;"_"&amp;RIGHT(A4996,3)</f>
        <v>#VALUE!</v>
      </c>
      <c r="I4996" s="66">
        <f t="shared" si="78"/>
        <v>0</v>
      </c>
    </row>
    <row r="4997" spans="8:9">
      <c r="H4997" s="66" t="e">
        <f>IF(OR(LEFT(B4997,FIND("_",B4997,1)-1)="ULGALLOC",LEFT(B4997,FIND("_",B4997,1)-1)="ULSPOOL"),LEFT(B4997,FIND("_",B4997,1)-1),VLOOKUP(LEFT(A4997,6),'Code Library'!$D$3:$E$200,2,0))&amp;"_"&amp;RIGHT(A4997,3)</f>
        <v>#VALUE!</v>
      </c>
      <c r="I4997" s="66">
        <f t="shared" si="78"/>
        <v>0</v>
      </c>
    </row>
    <row r="4998" spans="8:9">
      <c r="H4998" s="66" t="e">
        <f>IF(OR(LEFT(B4998,FIND("_",B4998,1)-1)="ULGALLOC",LEFT(B4998,FIND("_",B4998,1)-1)="ULSPOOL"),LEFT(B4998,FIND("_",B4998,1)-1),VLOOKUP(LEFT(A4998,6),'Code Library'!$D$3:$E$200,2,0))&amp;"_"&amp;RIGHT(A4998,3)</f>
        <v>#VALUE!</v>
      </c>
      <c r="I4998" s="66">
        <f t="shared" si="78"/>
        <v>0</v>
      </c>
    </row>
    <row r="4999" spans="8:9">
      <c r="H4999" s="66" t="e">
        <f>IF(OR(LEFT(B4999,FIND("_",B4999,1)-1)="ULGALLOC",LEFT(B4999,FIND("_",B4999,1)-1)="ULSPOOL"),LEFT(B4999,FIND("_",B4999,1)-1),VLOOKUP(LEFT(A4999,6),'Code Library'!$D$3:$E$200,2,0))&amp;"_"&amp;RIGHT(A4999,3)</f>
        <v>#VALUE!</v>
      </c>
      <c r="I4999" s="66">
        <f t="shared" si="78"/>
        <v>0</v>
      </c>
    </row>
    <row r="5000" spans="8:9">
      <c r="H5000" s="66" t="e">
        <f>IF(OR(LEFT(B5000,FIND("_",B5000,1)-1)="ULGALLOC",LEFT(B5000,FIND("_",B5000,1)-1)="ULSPOOL"),LEFT(B5000,FIND("_",B5000,1)-1),VLOOKUP(LEFT(A5000,6),'Code Library'!$D$3:$E$200,2,0))&amp;"_"&amp;RIGHT(A5000,3)</f>
        <v>#VALUE!</v>
      </c>
      <c r="I5000" s="66">
        <f t="shared" si="78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AE526-2D88-42DC-8356-F11898E50B37}">
  <sheetPr codeName="Sheet6"/>
  <dimension ref="A1:P5000"/>
  <sheetViews>
    <sheetView zoomScale="80" zoomScaleNormal="80" workbookViewId="0">
      <selection sqref="A1:F1048576"/>
    </sheetView>
  </sheetViews>
  <sheetFormatPr defaultRowHeight="15"/>
  <cols>
    <col min="7" max="7" width="11.28515625" bestFit="1" customWidth="1"/>
    <col min="8" max="8" width="16.85546875" customWidth="1"/>
    <col min="9" max="9" width="14.5703125" bestFit="1" customWidth="1"/>
    <col min="10" max="10" width="12.28515625" bestFit="1" customWidth="1"/>
    <col min="11" max="16" width="14.5703125" bestFit="1" customWidth="1"/>
    <col min="18" max="18" width="10.140625" bestFit="1" customWidth="1"/>
  </cols>
  <sheetData>
    <row r="1" spans="1:16">
      <c r="A1" t="s">
        <v>663</v>
      </c>
      <c r="B1" t="s">
        <v>664</v>
      </c>
      <c r="C1" t="s">
        <v>665</v>
      </c>
      <c r="D1" t="s">
        <v>666</v>
      </c>
      <c r="E1" t="s">
        <v>2332</v>
      </c>
      <c r="F1" t="s">
        <v>2333</v>
      </c>
      <c r="H1" s="65" t="s">
        <v>459</v>
      </c>
      <c r="I1" s="66"/>
      <c r="K1" s="66"/>
      <c r="L1" s="66"/>
      <c r="M1" s="66"/>
      <c r="N1" s="66"/>
      <c r="O1" s="66"/>
      <c r="P1" s="66"/>
    </row>
    <row r="2" spans="1:16">
      <c r="A2" t="s">
        <v>2513</v>
      </c>
      <c r="B2" t="s">
        <v>2514</v>
      </c>
      <c r="C2">
        <v>14</v>
      </c>
      <c r="D2">
        <v>466751000</v>
      </c>
      <c r="E2">
        <v>7540000000</v>
      </c>
      <c r="F2">
        <v>0</v>
      </c>
      <c r="H2" s="66" t="e">
        <f>IF(LEFT(A2,6)="CEPNTR","GPINS",VLOOKUP(LEFT(A2,6),'Code Library'!$A$3:$B$920,2,0))&amp;"_"&amp;RIGHT(A2,3)</f>
        <v>#N/A</v>
      </c>
      <c r="I2" s="66" t="str">
        <f>A2</f>
        <v>A_IDR</v>
      </c>
      <c r="K2" s="66" t="str">
        <f>RIGHT($B2,2)</f>
        <v>Q1</v>
      </c>
      <c r="L2" s="66" t="str">
        <f>LEFT(RIGHT($B2,7),4)</f>
        <v>2025</v>
      </c>
      <c r="M2" s="66" t="str">
        <f>LEFT(RIGHT($B2,10),2)</f>
        <v>R_</v>
      </c>
      <c r="N2" s="66" t="str">
        <f>LEFT(RIGHT($B2,14),3)</f>
        <v>__I</v>
      </c>
      <c r="O2" s="66" t="str">
        <f>LEFT(RIGHT($B2,16),1)</f>
        <v>A</v>
      </c>
      <c r="P2" s="66" t="str">
        <f>LEFT(RIGHT($B2,19),2)</f>
        <v>ID</v>
      </c>
    </row>
    <row r="3" spans="1:16">
      <c r="A3" t="s">
        <v>2513</v>
      </c>
      <c r="B3" t="s">
        <v>2515</v>
      </c>
      <c r="C3">
        <v>155</v>
      </c>
      <c r="D3">
        <v>5007373000</v>
      </c>
      <c r="E3">
        <v>96010500000</v>
      </c>
      <c r="F3">
        <v>0</v>
      </c>
      <c r="H3" s="66" t="e">
        <f>IF(LEFT(A3,6)="CEPNTR","GPINS",VLOOKUP(LEFT(A3,6),'Code Library'!$A$3:$B$920,2,0))&amp;"_"&amp;RIGHT(A3,3)</f>
        <v>#N/A</v>
      </c>
      <c r="I3" s="66" t="str">
        <f t="shared" ref="I3:I66" si="0">A3</f>
        <v>A_IDR</v>
      </c>
      <c r="K3" s="66" t="str">
        <f t="shared" ref="K3:K66" si="1">RIGHT($B3,2)</f>
        <v>Q1</v>
      </c>
      <c r="L3" s="66" t="str">
        <f t="shared" ref="L3:L66" si="2">LEFT(RIGHT($B3,7),4)</f>
        <v>2025</v>
      </c>
      <c r="M3" s="66" t="str">
        <f t="shared" ref="M3:M66" si="3">LEFT(RIGHT($B3,10),2)</f>
        <v>R_</v>
      </c>
      <c r="N3" s="66" t="str">
        <f t="shared" ref="N3:N66" si="4">LEFT(RIGHT($B3,14),3)</f>
        <v>__I</v>
      </c>
      <c r="O3" s="66" t="str">
        <f t="shared" ref="O3:O66" si="5">LEFT(RIGHT($B3,16),1)</f>
        <v>A</v>
      </c>
      <c r="P3" s="66" t="str">
        <f t="shared" ref="P3:P66" si="6">LEFT(RIGHT($B3,19),2)</f>
        <v>LE</v>
      </c>
    </row>
    <row r="4" spans="1:16">
      <c r="A4" t="s">
        <v>2513</v>
      </c>
      <c r="B4" t="s">
        <v>2516</v>
      </c>
      <c r="C4">
        <v>85</v>
      </c>
      <c r="D4">
        <v>1844486000</v>
      </c>
      <c r="E4">
        <v>43975832300</v>
      </c>
      <c r="F4">
        <v>0</v>
      </c>
      <c r="H4" s="66" t="e">
        <f>IF(LEFT(A4,6)="CEPNTR","GPINS",VLOOKUP(LEFT(A4,6),'Code Library'!$A$3:$B$920,2,0))&amp;"_"&amp;RIGHT(A4,3)</f>
        <v>#N/A</v>
      </c>
      <c r="I4" s="66" t="str">
        <f t="shared" si="0"/>
        <v>A_IDR</v>
      </c>
      <c r="K4" s="66" t="str">
        <f t="shared" si="1"/>
        <v>Q1</v>
      </c>
      <c r="L4" s="66" t="str">
        <f t="shared" si="2"/>
        <v>2025</v>
      </c>
      <c r="M4" s="66" t="str">
        <f t="shared" si="3"/>
        <v>R_</v>
      </c>
      <c r="N4" s="66" t="str">
        <f t="shared" si="4"/>
        <v>__I</v>
      </c>
      <c r="O4" s="66" t="str">
        <f t="shared" si="5"/>
        <v>A</v>
      </c>
      <c r="P4" s="66" t="str">
        <f t="shared" si="6"/>
        <v>NG</v>
      </c>
    </row>
    <row r="5" spans="1:16">
      <c r="A5" t="s">
        <v>1511</v>
      </c>
      <c r="B5" t="s">
        <v>1512</v>
      </c>
      <c r="C5">
        <v>14</v>
      </c>
      <c r="D5">
        <v>166021800</v>
      </c>
      <c r="E5">
        <v>3182000000</v>
      </c>
      <c r="F5">
        <v>595000</v>
      </c>
      <c r="H5" s="66" t="str">
        <f>IF(LEFT(A5,6)="CEPNTR","GPINS",VLOOKUP(LEFT(A5,6),'Code Library'!$A$3:$B$920,2,0))&amp;"_"&amp;RIGHT(A5,3)</f>
        <v>ALSP_IDR</v>
      </c>
      <c r="I5" s="66" t="str">
        <f t="shared" si="0"/>
        <v>CEALSP_IDR</v>
      </c>
      <c r="K5" s="66" t="str">
        <f t="shared" si="1"/>
        <v>IF</v>
      </c>
      <c r="L5" s="66" t="str">
        <f t="shared" si="2"/>
        <v>2021</v>
      </c>
      <c r="M5" s="66" t="str">
        <f t="shared" si="3"/>
        <v>NO</v>
      </c>
      <c r="N5" s="66" t="str">
        <f t="shared" si="4"/>
        <v>IDR</v>
      </c>
      <c r="O5" s="66" t="str">
        <f t="shared" si="5"/>
        <v>L</v>
      </c>
      <c r="P5" s="66" t="str">
        <f t="shared" si="6"/>
        <v>NK</v>
      </c>
    </row>
    <row r="6" spans="1:16">
      <c r="A6" t="s">
        <v>1511</v>
      </c>
      <c r="B6" t="s">
        <v>1513</v>
      </c>
      <c r="C6">
        <v>27</v>
      </c>
      <c r="D6">
        <v>384951100</v>
      </c>
      <c r="E6">
        <v>5461000000</v>
      </c>
      <c r="F6">
        <v>0</v>
      </c>
      <c r="H6" s="66" t="str">
        <f>IF(LEFT(A6,6)="CEPNTR","GPINS",VLOOKUP(LEFT(A6,6),'Code Library'!$A$3:$B$920,2,0))&amp;"_"&amp;RIGHT(A6,3)</f>
        <v>ALSP_IDR</v>
      </c>
      <c r="I6" s="66" t="str">
        <f t="shared" si="0"/>
        <v>CEALSP_IDR</v>
      </c>
      <c r="K6" s="66" t="str">
        <f t="shared" si="1"/>
        <v>IF</v>
      </c>
      <c r="L6" s="66" t="str">
        <f t="shared" si="2"/>
        <v>2022</v>
      </c>
      <c r="M6" s="66" t="str">
        <f t="shared" si="3"/>
        <v>NO</v>
      </c>
      <c r="N6" s="66" t="str">
        <f t="shared" si="4"/>
        <v>IDR</v>
      </c>
      <c r="O6" s="66" t="str">
        <f t="shared" si="5"/>
        <v>L</v>
      </c>
      <c r="P6" s="66" t="str">
        <f t="shared" si="6"/>
        <v>NK</v>
      </c>
    </row>
    <row r="7" spans="1:16">
      <c r="A7" t="s">
        <v>1511</v>
      </c>
      <c r="B7" t="s">
        <v>2340</v>
      </c>
      <c r="C7">
        <v>10</v>
      </c>
      <c r="D7">
        <v>302849000</v>
      </c>
      <c r="E7">
        <v>3018000000</v>
      </c>
      <c r="F7">
        <v>0</v>
      </c>
      <c r="H7" s="66" t="str">
        <f>IF(LEFT(A7,6)="CEPNTR","GPINS",VLOOKUP(LEFT(A7,6),'Code Library'!$A$3:$B$920,2,0))&amp;"_"&amp;RIGHT(A7,3)</f>
        <v>ALSP_IDR</v>
      </c>
      <c r="I7" s="66" t="str">
        <f t="shared" si="0"/>
        <v>CEALSP_IDR</v>
      </c>
      <c r="K7" s="66" t="str">
        <f t="shared" si="1"/>
        <v>IF</v>
      </c>
      <c r="L7" s="66" t="str">
        <f t="shared" si="2"/>
        <v>2024</v>
      </c>
      <c r="M7" s="66" t="str">
        <f t="shared" si="3"/>
        <v>NO</v>
      </c>
      <c r="N7" s="66" t="str">
        <f t="shared" si="4"/>
        <v>IDR</v>
      </c>
      <c r="O7" s="66" t="str">
        <f t="shared" si="5"/>
        <v>L</v>
      </c>
      <c r="P7" s="66" t="str">
        <f t="shared" si="6"/>
        <v>NK</v>
      </c>
    </row>
    <row r="8" spans="1:16">
      <c r="A8" t="s">
        <v>1511</v>
      </c>
      <c r="B8" t="s">
        <v>2517</v>
      </c>
      <c r="C8">
        <v>1</v>
      </c>
      <c r="D8">
        <v>27400000</v>
      </c>
      <c r="E8">
        <v>200000000</v>
      </c>
      <c r="F8">
        <v>0</v>
      </c>
      <c r="H8" s="66" t="str">
        <f>IF(LEFT(A8,6)="CEPNTR","GPINS",VLOOKUP(LEFT(A8,6),'Code Library'!$A$3:$B$920,2,0))&amp;"_"&amp;RIGHT(A8,3)</f>
        <v>ALSP_IDR</v>
      </c>
      <c r="I8" s="66" t="str">
        <f t="shared" si="0"/>
        <v>CEALSP_IDR</v>
      </c>
      <c r="K8" s="66" t="str">
        <f t="shared" si="1"/>
        <v>Q1</v>
      </c>
      <c r="L8" s="66" t="str">
        <f t="shared" si="2"/>
        <v>2025</v>
      </c>
      <c r="M8" s="66" t="str">
        <f t="shared" si="3"/>
        <v>NO</v>
      </c>
      <c r="N8" s="66" t="str">
        <f t="shared" si="4"/>
        <v>IDR</v>
      </c>
      <c r="O8" s="66" t="str">
        <f t="shared" si="5"/>
        <v>L</v>
      </c>
      <c r="P8" s="66" t="str">
        <f t="shared" si="6"/>
        <v>NK</v>
      </c>
    </row>
    <row r="9" spans="1:16">
      <c r="A9" t="s">
        <v>1511</v>
      </c>
      <c r="B9" t="s">
        <v>1514</v>
      </c>
      <c r="C9">
        <v>30</v>
      </c>
      <c r="D9">
        <v>585533900</v>
      </c>
      <c r="E9">
        <v>8756000000</v>
      </c>
      <c r="F9">
        <v>0</v>
      </c>
      <c r="H9" s="66" t="str">
        <f>IF(LEFT(A9,6)="CEPNTR","GPINS",VLOOKUP(LEFT(A9,6),'Code Library'!$A$3:$B$920,2,0))&amp;"_"&amp;RIGHT(A9,3)</f>
        <v>ALSP_IDR</v>
      </c>
      <c r="I9" s="66" t="str">
        <f t="shared" si="0"/>
        <v>CEALSP_IDR</v>
      </c>
      <c r="K9" s="66" t="str">
        <f t="shared" si="1"/>
        <v>IF</v>
      </c>
      <c r="L9" s="66" t="str">
        <f t="shared" si="2"/>
        <v>2022</v>
      </c>
      <c r="M9" s="66" t="str">
        <f t="shared" si="3"/>
        <v>NO</v>
      </c>
      <c r="N9" s="66" t="str">
        <f t="shared" si="4"/>
        <v>IDR</v>
      </c>
      <c r="O9" s="66" t="str">
        <f t="shared" si="5"/>
        <v>L</v>
      </c>
      <c r="P9" s="66" t="str">
        <f t="shared" si="6"/>
        <v>NK</v>
      </c>
    </row>
    <row r="10" spans="1:16">
      <c r="A10" t="s">
        <v>1511</v>
      </c>
      <c r="B10" t="s">
        <v>1515</v>
      </c>
      <c r="C10">
        <v>46</v>
      </c>
      <c r="D10">
        <v>1203343130</v>
      </c>
      <c r="E10">
        <v>16428000000</v>
      </c>
      <c r="F10">
        <v>0</v>
      </c>
      <c r="H10" s="66" t="str">
        <f>IF(LEFT(A10,6)="CEPNTR","GPINS",VLOOKUP(LEFT(A10,6),'Code Library'!$A$3:$B$920,2,0))&amp;"_"&amp;RIGHT(A10,3)</f>
        <v>ALSP_IDR</v>
      </c>
      <c r="I10" s="66" t="str">
        <f t="shared" si="0"/>
        <v>CEALSP_IDR</v>
      </c>
      <c r="K10" s="66" t="str">
        <f t="shared" si="1"/>
        <v>IF</v>
      </c>
      <c r="L10" s="66" t="str">
        <f t="shared" si="2"/>
        <v>2023</v>
      </c>
      <c r="M10" s="66" t="str">
        <f t="shared" si="3"/>
        <v>NO</v>
      </c>
      <c r="N10" s="66" t="str">
        <f t="shared" si="4"/>
        <v>IDR</v>
      </c>
      <c r="O10" s="66" t="str">
        <f t="shared" si="5"/>
        <v>L</v>
      </c>
      <c r="P10" s="66" t="str">
        <f t="shared" si="6"/>
        <v>NK</v>
      </c>
    </row>
    <row r="11" spans="1:16">
      <c r="A11" t="s">
        <v>1511</v>
      </c>
      <c r="B11" t="s">
        <v>2341</v>
      </c>
      <c r="C11">
        <v>22</v>
      </c>
      <c r="D11">
        <v>1678626700</v>
      </c>
      <c r="E11">
        <v>21974000000</v>
      </c>
      <c r="F11">
        <v>0</v>
      </c>
      <c r="H11" s="66" t="str">
        <f>IF(LEFT(A11,6)="CEPNTR","GPINS",VLOOKUP(LEFT(A11,6),'Code Library'!$A$3:$B$920,2,0))&amp;"_"&amp;RIGHT(A11,3)</f>
        <v>ALSP_IDR</v>
      </c>
      <c r="I11" s="66" t="str">
        <f t="shared" si="0"/>
        <v>CEALSP_IDR</v>
      </c>
      <c r="K11" s="66" t="str">
        <f t="shared" si="1"/>
        <v>IF</v>
      </c>
      <c r="L11" s="66" t="str">
        <f t="shared" si="2"/>
        <v>2024</v>
      </c>
      <c r="M11" s="66" t="str">
        <f t="shared" si="3"/>
        <v>NO</v>
      </c>
      <c r="N11" s="66" t="str">
        <f t="shared" si="4"/>
        <v>IDR</v>
      </c>
      <c r="O11" s="66" t="str">
        <f t="shared" si="5"/>
        <v>L</v>
      </c>
      <c r="P11" s="66" t="str">
        <f t="shared" si="6"/>
        <v>NK</v>
      </c>
    </row>
    <row r="12" spans="1:16">
      <c r="A12" t="s">
        <v>1511</v>
      </c>
      <c r="B12" t="s">
        <v>2342</v>
      </c>
      <c r="C12">
        <v>2</v>
      </c>
      <c r="D12">
        <v>20280000</v>
      </c>
      <c r="E12">
        <v>300000000</v>
      </c>
      <c r="F12">
        <v>0</v>
      </c>
      <c r="H12" s="66" t="str">
        <f>IF(LEFT(A12,6)="CEPNTR","GPINS",VLOOKUP(LEFT(A12,6),'Code Library'!$A$3:$B$920,2,0))&amp;"_"&amp;RIGHT(A12,3)</f>
        <v>ALSP_IDR</v>
      </c>
      <c r="I12" s="66" t="str">
        <f t="shared" si="0"/>
        <v>CEALSP_IDR</v>
      </c>
      <c r="K12" s="66" t="str">
        <f t="shared" si="1"/>
        <v>Q1</v>
      </c>
      <c r="L12" s="66" t="str">
        <f t="shared" si="2"/>
        <v>2025</v>
      </c>
      <c r="M12" s="66" t="str">
        <f t="shared" si="3"/>
        <v>NO</v>
      </c>
      <c r="N12" s="66" t="str">
        <f t="shared" si="4"/>
        <v>IDR</v>
      </c>
      <c r="O12" s="66" t="str">
        <f t="shared" si="5"/>
        <v>L</v>
      </c>
      <c r="P12" s="66" t="str">
        <f t="shared" si="6"/>
        <v>NK</v>
      </c>
    </row>
    <row r="13" spans="1:16">
      <c r="A13" t="s">
        <v>1511</v>
      </c>
      <c r="B13" t="s">
        <v>1516</v>
      </c>
      <c r="C13">
        <v>20</v>
      </c>
      <c r="D13">
        <v>831526000</v>
      </c>
      <c r="E13">
        <v>7656000000</v>
      </c>
      <c r="F13">
        <v>0</v>
      </c>
      <c r="H13" s="66" t="str">
        <f>IF(LEFT(A13,6)="CEPNTR","GPINS",VLOOKUP(LEFT(A13,6),'Code Library'!$A$3:$B$920,2,0))&amp;"_"&amp;RIGHT(A13,3)</f>
        <v>ALSP_IDR</v>
      </c>
      <c r="I13" s="66" t="str">
        <f t="shared" si="0"/>
        <v>CEALSP_IDR</v>
      </c>
      <c r="K13" s="66" t="str">
        <f t="shared" si="1"/>
        <v>IF</v>
      </c>
      <c r="L13" s="66" t="str">
        <f t="shared" si="2"/>
        <v>2022</v>
      </c>
      <c r="M13" s="66" t="str">
        <f t="shared" si="3"/>
        <v>NO</v>
      </c>
      <c r="N13" s="66" t="str">
        <f t="shared" si="4"/>
        <v>IDR</v>
      </c>
      <c r="O13" s="66" t="str">
        <f t="shared" si="5"/>
        <v>L</v>
      </c>
      <c r="P13" s="66" t="str">
        <f t="shared" si="6"/>
        <v>NK</v>
      </c>
    </row>
    <row r="14" spans="1:16">
      <c r="A14" t="s">
        <v>1511</v>
      </c>
      <c r="B14" t="s">
        <v>1517</v>
      </c>
      <c r="C14">
        <v>7</v>
      </c>
      <c r="D14">
        <v>153450000</v>
      </c>
      <c r="E14">
        <v>2136000000</v>
      </c>
      <c r="F14">
        <v>0</v>
      </c>
      <c r="H14" s="66" t="str">
        <f>IF(LEFT(A14,6)="CEPNTR","GPINS",VLOOKUP(LEFT(A14,6),'Code Library'!$A$3:$B$920,2,0))&amp;"_"&amp;RIGHT(A14,3)</f>
        <v>ALSP_IDR</v>
      </c>
      <c r="I14" s="66" t="str">
        <f t="shared" si="0"/>
        <v>CEALSP_IDR</v>
      </c>
      <c r="K14" s="66" t="str">
        <f t="shared" si="1"/>
        <v>IF</v>
      </c>
      <c r="L14" s="66" t="str">
        <f t="shared" si="2"/>
        <v>2023</v>
      </c>
      <c r="M14" s="66" t="str">
        <f t="shared" si="3"/>
        <v>NO</v>
      </c>
      <c r="N14" s="66" t="str">
        <f t="shared" si="4"/>
        <v>IDR</v>
      </c>
      <c r="O14" s="66" t="str">
        <f t="shared" si="5"/>
        <v>L</v>
      </c>
      <c r="P14" s="66" t="str">
        <f t="shared" si="6"/>
        <v>NK</v>
      </c>
    </row>
    <row r="15" spans="1:16">
      <c r="A15" t="s">
        <v>1518</v>
      </c>
      <c r="B15" t="s">
        <v>1519</v>
      </c>
      <c r="C15">
        <v>3353</v>
      </c>
      <c r="D15">
        <v>1586885620</v>
      </c>
      <c r="E15">
        <v>16747600000</v>
      </c>
      <c r="F15">
        <v>9637973.9299999997</v>
      </c>
      <c r="H15" s="66" t="str">
        <f>IF(LEFT(A15,6)="CEPNTR","GPINS",VLOOKUP(LEFT(A15,6),'Code Library'!$A$3:$B$920,2,0))&amp;"_"&amp;RIGHT(A15,3)</f>
        <v>BEA_IDR</v>
      </c>
      <c r="I15" s="66" t="str">
        <f t="shared" si="0"/>
        <v>CEBEA__IDR</v>
      </c>
      <c r="K15" s="66" t="str">
        <f t="shared" si="1"/>
        <v>IF</v>
      </c>
      <c r="L15" s="66" t="str">
        <f t="shared" si="2"/>
        <v>2014</v>
      </c>
      <c r="M15" s="66" t="str">
        <f t="shared" si="3"/>
        <v>NI</v>
      </c>
      <c r="N15" s="66" t="str">
        <f t="shared" si="4"/>
        <v>IDR</v>
      </c>
      <c r="O15" s="66" t="str">
        <f t="shared" si="5"/>
        <v>L</v>
      </c>
      <c r="P15" s="66" t="str">
        <f t="shared" si="6"/>
        <v>AG</v>
      </c>
    </row>
    <row r="16" spans="1:16">
      <c r="A16" t="s">
        <v>1520</v>
      </c>
      <c r="B16" t="s">
        <v>1521</v>
      </c>
      <c r="C16">
        <v>32</v>
      </c>
      <c r="D16">
        <v>18259.689999999999</v>
      </c>
      <c r="E16">
        <v>100100</v>
      </c>
      <c r="F16">
        <v>0</v>
      </c>
      <c r="H16" s="66" t="str">
        <f>IF(LEFT(A16,6)="CEPNTR","GPINS",VLOOKUP(LEFT(A16,6),'Code Library'!$A$3:$B$920,2,0))&amp;"_"&amp;RIGHT(A16,3)</f>
        <v>BEA_USD</v>
      </c>
      <c r="I16" s="66" t="str">
        <f t="shared" si="0"/>
        <v>CEBEA__USD</v>
      </c>
      <c r="K16" s="66" t="str">
        <f t="shared" si="1"/>
        <v>IF</v>
      </c>
      <c r="L16" s="66" t="str">
        <f t="shared" si="2"/>
        <v>2014</v>
      </c>
      <c r="M16" s="66" t="str">
        <f t="shared" si="3"/>
        <v>NI</v>
      </c>
      <c r="N16" s="66" t="str">
        <f t="shared" si="4"/>
        <v>USD</v>
      </c>
      <c r="O16" s="66" t="str">
        <f t="shared" si="5"/>
        <v>L</v>
      </c>
      <c r="P16" s="66" t="str">
        <f t="shared" si="6"/>
        <v>AG</v>
      </c>
    </row>
    <row r="17" spans="1:16">
      <c r="A17" t="s">
        <v>1522</v>
      </c>
      <c r="B17" t="s">
        <v>1523</v>
      </c>
      <c r="C17">
        <v>9916</v>
      </c>
      <c r="D17">
        <v>4277120293</v>
      </c>
      <c r="E17">
        <v>40759850000</v>
      </c>
      <c r="F17">
        <v>18573534.620000001</v>
      </c>
      <c r="H17" s="66" t="str">
        <f>IF(LEFT(A17,6)="CEPNTR","GPINS",VLOOKUP(LEFT(A17,6),'Code Library'!$A$3:$B$920,2,0))&amp;"_"&amp;RIGHT(A17,3)</f>
        <v>BSA_IDR</v>
      </c>
      <c r="I17" s="66" t="str">
        <f t="shared" si="0"/>
        <v>CEBSA__IDR</v>
      </c>
      <c r="K17" s="66" t="str">
        <f t="shared" si="1"/>
        <v>IF</v>
      </c>
      <c r="L17" s="66" t="str">
        <f t="shared" si="2"/>
        <v>2014</v>
      </c>
      <c r="M17" s="66" t="str">
        <f t="shared" si="3"/>
        <v>NI</v>
      </c>
      <c r="N17" s="66" t="str">
        <f t="shared" si="4"/>
        <v>IDR</v>
      </c>
      <c r="O17" s="66" t="str">
        <f t="shared" si="5"/>
        <v>L</v>
      </c>
      <c r="P17" s="66" t="str">
        <f t="shared" si="6"/>
        <v>AG</v>
      </c>
    </row>
    <row r="18" spans="1:16">
      <c r="A18" t="s">
        <v>1524</v>
      </c>
      <c r="B18" t="s">
        <v>1525</v>
      </c>
      <c r="C18">
        <v>56</v>
      </c>
      <c r="D18">
        <v>29628.5</v>
      </c>
      <c r="E18">
        <v>182600</v>
      </c>
      <c r="F18">
        <v>197.92</v>
      </c>
      <c r="H18" s="66" t="str">
        <f>IF(LEFT(A18,6)="CEPNTR","GPINS",VLOOKUP(LEFT(A18,6),'Code Library'!$A$3:$B$920,2,0))&amp;"_"&amp;RIGHT(A18,3)</f>
        <v>BSA_USD</v>
      </c>
      <c r="I18" s="66" t="str">
        <f t="shared" si="0"/>
        <v>CEBSA__USD</v>
      </c>
      <c r="K18" s="66" t="str">
        <f t="shared" si="1"/>
        <v>IF</v>
      </c>
      <c r="L18" s="66" t="str">
        <f t="shared" si="2"/>
        <v>2014</v>
      </c>
      <c r="M18" s="66" t="str">
        <f t="shared" si="3"/>
        <v>NI</v>
      </c>
      <c r="N18" s="66" t="str">
        <f t="shared" si="4"/>
        <v>USD</v>
      </c>
      <c r="O18" s="66" t="str">
        <f t="shared" si="5"/>
        <v>L</v>
      </c>
      <c r="P18" s="66" t="str">
        <f t="shared" si="6"/>
        <v>AG</v>
      </c>
    </row>
    <row r="19" spans="1:16">
      <c r="A19" t="s">
        <v>1526</v>
      </c>
      <c r="B19" t="s">
        <v>1527</v>
      </c>
      <c r="C19">
        <v>18</v>
      </c>
      <c r="D19">
        <v>2019268839</v>
      </c>
      <c r="E19">
        <v>11536318300</v>
      </c>
      <c r="F19">
        <v>306129841</v>
      </c>
      <c r="H19" s="66" t="str">
        <f>IF(LEFT(A19,6)="CEPNTR","GPINS",VLOOKUP(LEFT(A19,6),'Code Library'!$A$3:$B$920,2,0))&amp;"_"&amp;RIGHT(A19,3)</f>
        <v>CLLGC_IDR</v>
      </c>
      <c r="I19" s="66" t="str">
        <f t="shared" si="0"/>
        <v>CECC___IDR</v>
      </c>
      <c r="K19" s="66" t="str">
        <f t="shared" si="1"/>
        <v>IF</v>
      </c>
      <c r="L19" s="66" t="str">
        <f t="shared" si="2"/>
        <v>2014</v>
      </c>
      <c r="M19" s="66" t="str">
        <f t="shared" si="3"/>
        <v>PI</v>
      </c>
      <c r="N19" s="66" t="str">
        <f t="shared" si="4"/>
        <v>IDR</v>
      </c>
      <c r="O19" s="66" t="str">
        <f t="shared" si="5"/>
        <v>L</v>
      </c>
      <c r="P19" s="66" t="str">
        <f t="shared" si="6"/>
        <v>KT</v>
      </c>
    </row>
    <row r="20" spans="1:16">
      <c r="A20" t="s">
        <v>1526</v>
      </c>
      <c r="B20" t="s">
        <v>1528</v>
      </c>
      <c r="C20">
        <v>3</v>
      </c>
      <c r="D20">
        <v>179517000</v>
      </c>
      <c r="E20">
        <v>1200000000</v>
      </c>
      <c r="F20">
        <v>55275000</v>
      </c>
      <c r="H20" s="66" t="str">
        <f>IF(LEFT(A20,6)="CEPNTR","GPINS",VLOOKUP(LEFT(A20,6),'Code Library'!$A$3:$B$920,2,0))&amp;"_"&amp;RIGHT(A20,3)</f>
        <v>CLLGC_IDR</v>
      </c>
      <c r="I20" s="66" t="str">
        <f t="shared" si="0"/>
        <v>CECC___IDR</v>
      </c>
      <c r="K20" s="66" t="str">
        <f t="shared" si="1"/>
        <v>IF</v>
      </c>
      <c r="L20" s="66" t="str">
        <f t="shared" si="2"/>
        <v>2015</v>
      </c>
      <c r="M20" s="66" t="str">
        <f t="shared" si="3"/>
        <v>PI</v>
      </c>
      <c r="N20" s="66" t="str">
        <f t="shared" si="4"/>
        <v>IDR</v>
      </c>
      <c r="O20" s="66" t="str">
        <f t="shared" si="5"/>
        <v>L</v>
      </c>
      <c r="P20" s="66" t="str">
        <f t="shared" si="6"/>
        <v>KT</v>
      </c>
    </row>
    <row r="21" spans="1:16">
      <c r="A21" t="s">
        <v>1526</v>
      </c>
      <c r="B21" t="s">
        <v>1529</v>
      </c>
      <c r="C21">
        <v>1</v>
      </c>
      <c r="D21">
        <v>40482300</v>
      </c>
      <c r="E21">
        <v>230000000</v>
      </c>
      <c r="F21">
        <v>0</v>
      </c>
      <c r="H21" s="66" t="str">
        <f>IF(LEFT(A21,6)="CEPNTR","GPINS",VLOOKUP(LEFT(A21,6),'Code Library'!$A$3:$B$920,2,0))&amp;"_"&amp;RIGHT(A21,3)</f>
        <v>CLLGC_IDR</v>
      </c>
      <c r="I21" s="66" t="str">
        <f t="shared" si="0"/>
        <v>CECC___IDR</v>
      </c>
      <c r="K21" s="66" t="str">
        <f t="shared" si="1"/>
        <v>IF</v>
      </c>
      <c r="L21" s="66" t="str">
        <f t="shared" si="2"/>
        <v>2016</v>
      </c>
      <c r="M21" s="66" t="str">
        <f t="shared" si="3"/>
        <v>PI</v>
      </c>
      <c r="N21" s="66" t="str">
        <f t="shared" si="4"/>
        <v>IDR</v>
      </c>
      <c r="O21" s="66" t="str">
        <f t="shared" si="5"/>
        <v>L</v>
      </c>
      <c r="P21" s="66" t="str">
        <f t="shared" si="6"/>
        <v>KT</v>
      </c>
    </row>
    <row r="22" spans="1:16">
      <c r="A22" t="s">
        <v>1526</v>
      </c>
      <c r="B22" t="s">
        <v>1530</v>
      </c>
      <c r="C22">
        <v>67</v>
      </c>
      <c r="D22">
        <v>9867692520</v>
      </c>
      <c r="E22">
        <v>30353000000</v>
      </c>
      <c r="F22">
        <v>716856493</v>
      </c>
      <c r="H22" s="66" t="str">
        <f>IF(LEFT(A22,6)="CEPNTR","GPINS",VLOOKUP(LEFT(A22,6),'Code Library'!$A$3:$B$920,2,0))&amp;"_"&amp;RIGHT(A22,3)</f>
        <v>CLLGC_IDR</v>
      </c>
      <c r="I22" s="66" t="str">
        <f t="shared" si="0"/>
        <v>CECC___IDR</v>
      </c>
      <c r="K22" s="66" t="str">
        <f t="shared" si="1"/>
        <v>IF</v>
      </c>
      <c r="L22" s="66" t="str">
        <f t="shared" si="2"/>
        <v>2017</v>
      </c>
      <c r="M22" s="66" t="str">
        <f t="shared" si="3"/>
        <v>PI</v>
      </c>
      <c r="N22" s="66" t="str">
        <f t="shared" si="4"/>
        <v>IDR</v>
      </c>
      <c r="O22" s="66" t="str">
        <f t="shared" si="5"/>
        <v>L</v>
      </c>
      <c r="P22" s="66" t="str">
        <f t="shared" si="6"/>
        <v>KT</v>
      </c>
    </row>
    <row r="23" spans="1:16">
      <c r="A23" t="s">
        <v>1526</v>
      </c>
      <c r="B23" t="s">
        <v>1531</v>
      </c>
      <c r="C23">
        <v>81</v>
      </c>
      <c r="D23">
        <v>11754461430</v>
      </c>
      <c r="E23">
        <v>40143000000</v>
      </c>
      <c r="F23">
        <v>453050151</v>
      </c>
      <c r="H23" s="66" t="str">
        <f>IF(LEFT(A23,6)="CEPNTR","GPINS",VLOOKUP(LEFT(A23,6),'Code Library'!$A$3:$B$920,2,0))&amp;"_"&amp;RIGHT(A23,3)</f>
        <v>CLLGC_IDR</v>
      </c>
      <c r="I23" s="66" t="str">
        <f t="shared" si="0"/>
        <v>CECC___IDR</v>
      </c>
      <c r="K23" s="66" t="str">
        <f t="shared" si="1"/>
        <v>IF</v>
      </c>
      <c r="L23" s="66" t="str">
        <f t="shared" si="2"/>
        <v>2018</v>
      </c>
      <c r="M23" s="66" t="str">
        <f t="shared" si="3"/>
        <v>PI</v>
      </c>
      <c r="N23" s="66" t="str">
        <f t="shared" si="4"/>
        <v>IDR</v>
      </c>
      <c r="O23" s="66" t="str">
        <f t="shared" si="5"/>
        <v>L</v>
      </c>
      <c r="P23" s="66" t="str">
        <f t="shared" si="6"/>
        <v>KT</v>
      </c>
    </row>
    <row r="24" spans="1:16">
      <c r="A24" t="s">
        <v>1526</v>
      </c>
      <c r="B24" t="s">
        <v>1532</v>
      </c>
      <c r="C24">
        <v>40</v>
      </c>
      <c r="D24">
        <v>4768933330</v>
      </c>
      <c r="E24">
        <v>17977000000</v>
      </c>
      <c r="F24">
        <v>513133313</v>
      </c>
      <c r="H24" s="66" t="str">
        <f>IF(LEFT(A24,6)="CEPNTR","GPINS",VLOOKUP(LEFT(A24,6),'Code Library'!$A$3:$B$920,2,0))&amp;"_"&amp;RIGHT(A24,3)</f>
        <v>CLLGC_IDR</v>
      </c>
      <c r="I24" s="66" t="str">
        <f t="shared" si="0"/>
        <v>CECC___IDR</v>
      </c>
      <c r="K24" s="66" t="str">
        <f t="shared" si="1"/>
        <v>IF</v>
      </c>
      <c r="L24" s="66" t="str">
        <f t="shared" si="2"/>
        <v>2019</v>
      </c>
      <c r="M24" s="66" t="str">
        <f t="shared" si="3"/>
        <v>PI</v>
      </c>
      <c r="N24" s="66" t="str">
        <f t="shared" si="4"/>
        <v>IDR</v>
      </c>
      <c r="O24" s="66" t="str">
        <f t="shared" si="5"/>
        <v>L</v>
      </c>
      <c r="P24" s="66" t="str">
        <f t="shared" si="6"/>
        <v>KT</v>
      </c>
    </row>
    <row r="25" spans="1:16">
      <c r="A25" t="s">
        <v>1526</v>
      </c>
      <c r="B25" t="s">
        <v>1533</v>
      </c>
      <c r="C25">
        <v>12</v>
      </c>
      <c r="D25">
        <v>805578510</v>
      </c>
      <c r="E25">
        <v>3753000000</v>
      </c>
      <c r="F25">
        <v>0</v>
      </c>
      <c r="H25" s="66" t="str">
        <f>IF(LEFT(A25,6)="CEPNTR","GPINS",VLOOKUP(LEFT(A25,6),'Code Library'!$A$3:$B$920,2,0))&amp;"_"&amp;RIGHT(A25,3)</f>
        <v>CLLGC_IDR</v>
      </c>
      <c r="I25" s="66" t="str">
        <f t="shared" si="0"/>
        <v>CECC___IDR</v>
      </c>
      <c r="K25" s="66" t="str">
        <f t="shared" si="1"/>
        <v>IF</v>
      </c>
      <c r="L25" s="66" t="str">
        <f t="shared" si="2"/>
        <v>2020</v>
      </c>
      <c r="M25" s="66" t="str">
        <f t="shared" si="3"/>
        <v>PI</v>
      </c>
      <c r="N25" s="66" t="str">
        <f t="shared" si="4"/>
        <v>IDR</v>
      </c>
      <c r="O25" s="66" t="str">
        <f t="shared" si="5"/>
        <v>L</v>
      </c>
      <c r="P25" s="66" t="str">
        <f t="shared" si="6"/>
        <v>KT</v>
      </c>
    </row>
    <row r="26" spans="1:16">
      <c r="A26" t="s">
        <v>1526</v>
      </c>
      <c r="B26" t="s">
        <v>1534</v>
      </c>
      <c r="C26">
        <v>20</v>
      </c>
      <c r="D26">
        <v>1919936400</v>
      </c>
      <c r="E26">
        <v>7660000000</v>
      </c>
      <c r="F26">
        <v>0</v>
      </c>
      <c r="H26" s="66" t="str">
        <f>IF(LEFT(A26,6)="CEPNTR","GPINS",VLOOKUP(LEFT(A26,6),'Code Library'!$A$3:$B$920,2,0))&amp;"_"&amp;RIGHT(A26,3)</f>
        <v>CLLGC_IDR</v>
      </c>
      <c r="I26" s="66" t="str">
        <f t="shared" si="0"/>
        <v>CECC___IDR</v>
      </c>
      <c r="K26" s="66" t="str">
        <f t="shared" si="1"/>
        <v>IF</v>
      </c>
      <c r="L26" s="66" t="str">
        <f t="shared" si="2"/>
        <v>2021</v>
      </c>
      <c r="M26" s="66" t="str">
        <f t="shared" si="3"/>
        <v>PI</v>
      </c>
      <c r="N26" s="66" t="str">
        <f t="shared" si="4"/>
        <v>IDR</v>
      </c>
      <c r="O26" s="66" t="str">
        <f t="shared" si="5"/>
        <v>L</v>
      </c>
      <c r="P26" s="66" t="str">
        <f t="shared" si="6"/>
        <v>KT</v>
      </c>
    </row>
    <row r="27" spans="1:16">
      <c r="A27" t="s">
        <v>1526</v>
      </c>
      <c r="B27" t="s">
        <v>1535</v>
      </c>
      <c r="C27">
        <v>79</v>
      </c>
      <c r="D27">
        <v>8730109130</v>
      </c>
      <c r="E27">
        <v>26796000000</v>
      </c>
      <c r="F27">
        <v>13779720</v>
      </c>
      <c r="H27" s="66" t="str">
        <f>IF(LEFT(A27,6)="CEPNTR","GPINS",VLOOKUP(LEFT(A27,6),'Code Library'!$A$3:$B$920,2,0))&amp;"_"&amp;RIGHT(A27,3)</f>
        <v>CLLGC_IDR</v>
      </c>
      <c r="I27" s="66" t="str">
        <f t="shared" si="0"/>
        <v>CECC___IDR</v>
      </c>
      <c r="K27" s="66" t="str">
        <f t="shared" si="1"/>
        <v>IF</v>
      </c>
      <c r="L27" s="66" t="str">
        <f t="shared" si="2"/>
        <v>2022</v>
      </c>
      <c r="M27" s="66" t="str">
        <f t="shared" si="3"/>
        <v>PI</v>
      </c>
      <c r="N27" s="66" t="str">
        <f t="shared" si="4"/>
        <v>IDR</v>
      </c>
      <c r="O27" s="66" t="str">
        <f t="shared" si="5"/>
        <v>L</v>
      </c>
      <c r="P27" s="66" t="str">
        <f t="shared" si="6"/>
        <v>KT</v>
      </c>
    </row>
    <row r="28" spans="1:16">
      <c r="A28" t="s">
        <v>1526</v>
      </c>
      <c r="B28" t="s">
        <v>1536</v>
      </c>
      <c r="C28">
        <v>158</v>
      </c>
      <c r="D28">
        <v>20681242628</v>
      </c>
      <c r="E28">
        <v>63082226926</v>
      </c>
      <c r="F28">
        <v>80700900</v>
      </c>
      <c r="H28" s="66" t="str">
        <f>IF(LEFT(A28,6)="CEPNTR","GPINS",VLOOKUP(LEFT(A28,6),'Code Library'!$A$3:$B$920,2,0))&amp;"_"&amp;RIGHT(A28,3)</f>
        <v>CLLGC_IDR</v>
      </c>
      <c r="I28" s="66" t="str">
        <f t="shared" si="0"/>
        <v>CECC___IDR</v>
      </c>
      <c r="K28" s="66" t="str">
        <f t="shared" si="1"/>
        <v>IF</v>
      </c>
      <c r="L28" s="66" t="str">
        <f t="shared" si="2"/>
        <v>2023</v>
      </c>
      <c r="M28" s="66" t="str">
        <f t="shared" si="3"/>
        <v>PI</v>
      </c>
      <c r="N28" s="66" t="str">
        <f t="shared" si="4"/>
        <v>IDR</v>
      </c>
      <c r="O28" s="66" t="str">
        <f t="shared" si="5"/>
        <v>L</v>
      </c>
      <c r="P28" s="66" t="str">
        <f t="shared" si="6"/>
        <v>KT</v>
      </c>
    </row>
    <row r="29" spans="1:16">
      <c r="A29" t="s">
        <v>1526</v>
      </c>
      <c r="B29" t="s">
        <v>2343</v>
      </c>
      <c r="C29">
        <v>77</v>
      </c>
      <c r="D29">
        <v>8393277259</v>
      </c>
      <c r="E29">
        <v>23405100000</v>
      </c>
      <c r="F29">
        <v>0</v>
      </c>
      <c r="H29" s="66" t="str">
        <f>IF(LEFT(A29,6)="CEPNTR","GPINS",VLOOKUP(LEFT(A29,6),'Code Library'!$A$3:$B$920,2,0))&amp;"_"&amp;RIGHT(A29,3)</f>
        <v>CLLGC_IDR</v>
      </c>
      <c r="I29" s="66" t="str">
        <f t="shared" si="0"/>
        <v>CECC___IDR</v>
      </c>
      <c r="K29" s="66" t="str">
        <f t="shared" si="1"/>
        <v>IF</v>
      </c>
      <c r="L29" s="66" t="str">
        <f t="shared" si="2"/>
        <v>2024</v>
      </c>
      <c r="M29" s="66" t="str">
        <f t="shared" si="3"/>
        <v>PI</v>
      </c>
      <c r="N29" s="66" t="str">
        <f t="shared" si="4"/>
        <v>IDR</v>
      </c>
      <c r="O29" s="66" t="str">
        <f t="shared" si="5"/>
        <v>L</v>
      </c>
      <c r="P29" s="66" t="str">
        <f t="shared" si="6"/>
        <v>KT</v>
      </c>
    </row>
    <row r="30" spans="1:16">
      <c r="A30" t="s">
        <v>1526</v>
      </c>
      <c r="B30" t="s">
        <v>2344</v>
      </c>
      <c r="C30">
        <v>1</v>
      </c>
      <c r="D30">
        <v>129636000</v>
      </c>
      <c r="E30">
        <v>300000000</v>
      </c>
      <c r="F30">
        <v>0</v>
      </c>
      <c r="H30" s="66" t="str">
        <f>IF(LEFT(A30,6)="CEPNTR","GPINS",VLOOKUP(LEFT(A30,6),'Code Library'!$A$3:$B$920,2,0))&amp;"_"&amp;RIGHT(A30,3)</f>
        <v>CLLGC_IDR</v>
      </c>
      <c r="I30" s="66" t="str">
        <f t="shared" si="0"/>
        <v>CECC___IDR</v>
      </c>
      <c r="K30" s="66" t="str">
        <f t="shared" si="1"/>
        <v>Q1</v>
      </c>
      <c r="L30" s="66" t="str">
        <f t="shared" si="2"/>
        <v>2025</v>
      </c>
      <c r="M30" s="66" t="str">
        <f t="shared" si="3"/>
        <v>PI</v>
      </c>
      <c r="N30" s="66" t="str">
        <f t="shared" si="4"/>
        <v>IDR</v>
      </c>
      <c r="O30" s="66" t="str">
        <f t="shared" si="5"/>
        <v>L</v>
      </c>
      <c r="P30" s="66" t="str">
        <f t="shared" si="6"/>
        <v>KT</v>
      </c>
    </row>
    <row r="31" spans="1:16">
      <c r="A31" t="s">
        <v>1537</v>
      </c>
      <c r="B31" t="s">
        <v>1538</v>
      </c>
      <c r="C31">
        <v>3682</v>
      </c>
      <c r="D31">
        <v>7151513119</v>
      </c>
      <c r="E31">
        <v>59142200000</v>
      </c>
      <c r="F31">
        <v>26548330</v>
      </c>
      <c r="H31" s="66" t="str">
        <f>IF(LEFT(A31,6)="CEPNTR","GPINS",VLOOKUP(LEFT(A31,6),'Code Library'!$A$3:$B$920,2,0))&amp;"_"&amp;RIGHT(A31,3)</f>
        <v>ECP_IDR</v>
      </c>
      <c r="I31" s="66" t="str">
        <f t="shared" si="0"/>
        <v>CEECP__IDR</v>
      </c>
      <c r="K31" s="66" t="str">
        <f t="shared" si="1"/>
        <v>IF</v>
      </c>
      <c r="L31" s="66" t="str">
        <f t="shared" si="2"/>
        <v>2014</v>
      </c>
      <c r="M31" s="66" t="str">
        <f t="shared" si="3"/>
        <v>PI</v>
      </c>
      <c r="N31" s="66" t="str">
        <f t="shared" si="4"/>
        <v>IDR</v>
      </c>
      <c r="O31" s="66" t="str">
        <f t="shared" si="5"/>
        <v>L</v>
      </c>
      <c r="P31" s="66" t="str">
        <f t="shared" si="6"/>
        <v>AG</v>
      </c>
    </row>
    <row r="32" spans="1:16">
      <c r="A32" t="s">
        <v>1539</v>
      </c>
      <c r="B32" t="s">
        <v>1540</v>
      </c>
      <c r="C32">
        <v>84</v>
      </c>
      <c r="D32">
        <v>201031.5</v>
      </c>
      <c r="E32">
        <v>868000</v>
      </c>
      <c r="F32">
        <v>-18.29</v>
      </c>
      <c r="H32" s="66" t="str">
        <f>IF(LEFT(A32,6)="CEPNTR","GPINS",VLOOKUP(LEFT(A32,6),'Code Library'!$A$3:$B$920,2,0))&amp;"_"&amp;RIGHT(A32,3)</f>
        <v>ECP_USD</v>
      </c>
      <c r="I32" s="66" t="str">
        <f t="shared" si="0"/>
        <v>CEECP__USD</v>
      </c>
      <c r="K32" s="66" t="str">
        <f t="shared" si="1"/>
        <v>IF</v>
      </c>
      <c r="L32" s="66" t="str">
        <f t="shared" si="2"/>
        <v>2014</v>
      </c>
      <c r="M32" s="66" t="str">
        <f t="shared" si="3"/>
        <v>PI</v>
      </c>
      <c r="N32" s="66" t="str">
        <f t="shared" si="4"/>
        <v>USD</v>
      </c>
      <c r="O32" s="66" t="str">
        <f t="shared" si="5"/>
        <v>L</v>
      </c>
      <c r="P32" s="66" t="str">
        <f t="shared" si="6"/>
        <v>AG</v>
      </c>
    </row>
    <row r="33" spans="1:16">
      <c r="A33" t="s">
        <v>1541</v>
      </c>
      <c r="B33" t="s">
        <v>1542</v>
      </c>
      <c r="C33">
        <v>3</v>
      </c>
      <c r="D33">
        <v>5811000</v>
      </c>
      <c r="E33">
        <v>65000000</v>
      </c>
      <c r="F33">
        <v>4</v>
      </c>
      <c r="H33" s="66" t="str">
        <f>IF(LEFT(A33,6)="CEPNTR","GPINS",VLOOKUP(LEFT(A33,6),'Code Library'!$A$3:$B$920,2,0))&amp;"_"&amp;RIGHT(A33,3)</f>
        <v>EDU_IDR</v>
      </c>
      <c r="I33" s="66" t="str">
        <f t="shared" si="0"/>
        <v>CEEDU__IDR</v>
      </c>
      <c r="K33" s="66" t="str">
        <f t="shared" si="1"/>
        <v>IF</v>
      </c>
      <c r="L33" s="66" t="str">
        <f t="shared" si="2"/>
        <v>2014</v>
      </c>
      <c r="M33" s="66" t="str">
        <f t="shared" si="3"/>
        <v>PI</v>
      </c>
      <c r="N33" s="66" t="str">
        <f t="shared" si="4"/>
        <v>IDR</v>
      </c>
      <c r="O33" s="66" t="str">
        <f t="shared" si="5"/>
        <v>L</v>
      </c>
      <c r="P33" s="66" t="str">
        <f t="shared" si="6"/>
        <v>AG</v>
      </c>
    </row>
    <row r="34" spans="1:16">
      <c r="A34" t="s">
        <v>1543</v>
      </c>
      <c r="B34" t="s">
        <v>1544</v>
      </c>
      <c r="C34">
        <v>5</v>
      </c>
      <c r="D34">
        <v>6508400</v>
      </c>
      <c r="E34">
        <v>300000000</v>
      </c>
      <c r="F34">
        <v>0</v>
      </c>
      <c r="H34" s="66" t="str">
        <f>IF(LEFT(A34,6)="CEPNTR","GPINS",VLOOKUP(LEFT(A34,6),'Code Library'!$A$3:$B$920,2,0))&amp;"_"&amp;RIGHT(A34,3)</f>
        <v>EEP_IDR</v>
      </c>
      <c r="I34" s="66" t="str">
        <f t="shared" si="0"/>
        <v>CEEEP__IDR</v>
      </c>
      <c r="K34" s="66" t="str">
        <f t="shared" si="1"/>
        <v>IF</v>
      </c>
      <c r="L34" s="66" t="str">
        <f t="shared" si="2"/>
        <v>2014</v>
      </c>
      <c r="M34" s="66" t="str">
        <f t="shared" si="3"/>
        <v>PI</v>
      </c>
      <c r="N34" s="66" t="str">
        <f t="shared" si="4"/>
        <v>IDR</v>
      </c>
      <c r="O34" s="66" t="str">
        <f t="shared" si="5"/>
        <v>L</v>
      </c>
      <c r="P34" s="66" t="str">
        <f t="shared" si="6"/>
        <v>AG</v>
      </c>
    </row>
    <row r="35" spans="1:16">
      <c r="A35" t="s">
        <v>1545</v>
      </c>
      <c r="B35" t="s">
        <v>1546</v>
      </c>
      <c r="C35">
        <v>5435</v>
      </c>
      <c r="D35">
        <v>17447350369</v>
      </c>
      <c r="E35">
        <v>121876300000</v>
      </c>
      <c r="F35">
        <v>155525845.84</v>
      </c>
      <c r="H35" s="66" t="str">
        <f>IF(LEFT(A35,6)="CEPNTR","GPINS",VLOOKUP(LEFT(A35,6),'Code Library'!$A$3:$B$920,2,0))&amp;"_"&amp;RIGHT(A35,3)</f>
        <v>EFP_IDR</v>
      </c>
      <c r="I35" s="66" t="str">
        <f t="shared" si="0"/>
        <v>CEEFP__IDR</v>
      </c>
      <c r="K35" s="66" t="str">
        <f t="shared" si="1"/>
        <v>IF</v>
      </c>
      <c r="L35" s="66" t="str">
        <f t="shared" si="2"/>
        <v>2014</v>
      </c>
      <c r="M35" s="66" t="str">
        <f t="shared" si="3"/>
        <v>PI</v>
      </c>
      <c r="N35" s="66" t="str">
        <f t="shared" si="4"/>
        <v>IDR</v>
      </c>
      <c r="O35" s="66" t="str">
        <f t="shared" si="5"/>
        <v>L</v>
      </c>
      <c r="P35" s="66" t="str">
        <f t="shared" si="6"/>
        <v>AG</v>
      </c>
    </row>
    <row r="36" spans="1:16">
      <c r="A36" t="s">
        <v>1547</v>
      </c>
      <c r="B36" t="s">
        <v>1548</v>
      </c>
      <c r="C36">
        <v>221</v>
      </c>
      <c r="D36">
        <v>580760.56000000006</v>
      </c>
      <c r="E36">
        <v>2805120</v>
      </c>
      <c r="F36">
        <v>52.08</v>
      </c>
      <c r="H36" s="66" t="str">
        <f>IF(LEFT(A36,6)="CEPNTR","GPINS",VLOOKUP(LEFT(A36,6),'Code Library'!$A$3:$B$920,2,0))&amp;"_"&amp;RIGHT(A36,3)</f>
        <v>EFP_USD</v>
      </c>
      <c r="I36" s="66" t="str">
        <f t="shared" si="0"/>
        <v>CEEFP__USD</v>
      </c>
      <c r="K36" s="66" t="str">
        <f t="shared" si="1"/>
        <v>IF</v>
      </c>
      <c r="L36" s="66" t="str">
        <f t="shared" si="2"/>
        <v>2014</v>
      </c>
      <c r="M36" s="66" t="str">
        <f t="shared" si="3"/>
        <v>PI</v>
      </c>
      <c r="N36" s="66" t="str">
        <f t="shared" si="4"/>
        <v>USD</v>
      </c>
      <c r="O36" s="66" t="str">
        <f t="shared" si="5"/>
        <v>L</v>
      </c>
      <c r="P36" s="66" t="str">
        <f t="shared" si="6"/>
        <v>AG</v>
      </c>
    </row>
    <row r="37" spans="1:16">
      <c r="A37" t="s">
        <v>1545</v>
      </c>
      <c r="B37" t="s">
        <v>1549</v>
      </c>
      <c r="C37">
        <v>1</v>
      </c>
      <c r="D37">
        <v>3651600</v>
      </c>
      <c r="E37">
        <v>85000000</v>
      </c>
      <c r="F37">
        <v>0</v>
      </c>
      <c r="H37" s="66" t="str">
        <f>IF(LEFT(A37,6)="CEPNTR","GPINS",VLOOKUP(LEFT(A37,6),'Code Library'!$A$3:$B$920,2,0))&amp;"_"&amp;RIGHT(A37,3)</f>
        <v>EFP_IDR</v>
      </c>
      <c r="I37" s="66" t="str">
        <f t="shared" si="0"/>
        <v>CEEFP__IDR</v>
      </c>
      <c r="K37" s="66" t="str">
        <f t="shared" si="1"/>
        <v>IF</v>
      </c>
      <c r="L37" s="66" t="str">
        <f t="shared" si="2"/>
        <v>2014</v>
      </c>
      <c r="M37" s="66" t="str">
        <f t="shared" si="3"/>
        <v>PI</v>
      </c>
      <c r="N37" s="66" t="str">
        <f t="shared" si="4"/>
        <v>IDR</v>
      </c>
      <c r="O37" s="66" t="str">
        <f t="shared" si="5"/>
        <v>L</v>
      </c>
      <c r="P37" s="66" t="str">
        <f t="shared" si="6"/>
        <v>AG</v>
      </c>
    </row>
    <row r="38" spans="1:16">
      <c r="A38" t="s">
        <v>1550</v>
      </c>
      <c r="B38" t="s">
        <v>1551</v>
      </c>
      <c r="C38">
        <v>10865</v>
      </c>
      <c r="D38">
        <v>16842154769</v>
      </c>
      <c r="E38">
        <v>141294900000</v>
      </c>
      <c r="F38">
        <v>27246655.52</v>
      </c>
      <c r="H38" s="66" t="str">
        <f>IF(LEFT(A38,6)="CEPNTR","GPINS",VLOOKUP(LEFT(A38,6),'Code Library'!$A$3:$B$920,2,0))&amp;"_"&amp;RIGHT(A38,3)</f>
        <v>ESP_IDR</v>
      </c>
      <c r="I38" s="66" t="str">
        <f t="shared" si="0"/>
        <v>CEESP__IDR</v>
      </c>
      <c r="K38" s="66" t="str">
        <f t="shared" si="1"/>
        <v>IF</v>
      </c>
      <c r="L38" s="66" t="str">
        <f t="shared" si="2"/>
        <v>2014</v>
      </c>
      <c r="M38" s="66" t="str">
        <f t="shared" si="3"/>
        <v>PI</v>
      </c>
      <c r="N38" s="66" t="str">
        <f t="shared" si="4"/>
        <v>IDR</v>
      </c>
      <c r="O38" s="66" t="str">
        <f t="shared" si="5"/>
        <v>L</v>
      </c>
      <c r="P38" s="66" t="str">
        <f t="shared" si="6"/>
        <v>AG</v>
      </c>
    </row>
    <row r="39" spans="1:16">
      <c r="A39" t="s">
        <v>1552</v>
      </c>
      <c r="B39" t="s">
        <v>1553</v>
      </c>
      <c r="C39">
        <v>117</v>
      </c>
      <c r="D39">
        <v>138926.24</v>
      </c>
      <c r="E39">
        <v>789800</v>
      </c>
      <c r="F39">
        <v>-0.69</v>
      </c>
      <c r="H39" s="66" t="str">
        <f>IF(LEFT(A39,6)="CEPNTR","GPINS",VLOOKUP(LEFT(A39,6),'Code Library'!$A$3:$B$920,2,0))&amp;"_"&amp;RIGHT(A39,3)</f>
        <v>ESP_USD</v>
      </c>
      <c r="I39" s="66" t="str">
        <f t="shared" si="0"/>
        <v>CEESP__USD</v>
      </c>
      <c r="K39" s="66" t="str">
        <f t="shared" si="1"/>
        <v>IF</v>
      </c>
      <c r="L39" s="66" t="str">
        <f t="shared" si="2"/>
        <v>2014</v>
      </c>
      <c r="M39" s="66" t="str">
        <f t="shared" si="3"/>
        <v>PI</v>
      </c>
      <c r="N39" s="66" t="str">
        <f t="shared" si="4"/>
        <v>USD</v>
      </c>
      <c r="O39" s="66" t="str">
        <f t="shared" si="5"/>
        <v>L</v>
      </c>
      <c r="P39" s="66" t="str">
        <f t="shared" si="6"/>
        <v>AG</v>
      </c>
    </row>
    <row r="40" spans="1:16">
      <c r="A40" t="s">
        <v>1554</v>
      </c>
      <c r="B40" t="s">
        <v>1555</v>
      </c>
      <c r="C40">
        <v>2736</v>
      </c>
      <c r="D40">
        <v>8466689687</v>
      </c>
      <c r="E40">
        <v>46944200000</v>
      </c>
      <c r="F40">
        <v>15625756</v>
      </c>
      <c r="H40" s="66" t="str">
        <f>IF(LEFT(A40,6)="CEPNTR","GPINS",VLOOKUP(LEFT(A40,6),'Code Library'!$A$3:$B$920,2,0))&amp;"_"&amp;RIGHT(A40,3)</f>
        <v>EUP_IDR</v>
      </c>
      <c r="I40" s="66" t="str">
        <f t="shared" si="0"/>
        <v>CEEUP__IDR</v>
      </c>
      <c r="K40" s="66" t="str">
        <f t="shared" si="1"/>
        <v>IF</v>
      </c>
      <c r="L40" s="66" t="str">
        <f t="shared" si="2"/>
        <v>2014</v>
      </c>
      <c r="M40" s="66" t="str">
        <f t="shared" si="3"/>
        <v>PI</v>
      </c>
      <c r="N40" s="66" t="str">
        <f t="shared" si="4"/>
        <v>IDR</v>
      </c>
      <c r="O40" s="66" t="str">
        <f t="shared" si="5"/>
        <v>L</v>
      </c>
      <c r="P40" s="66" t="str">
        <f t="shared" si="6"/>
        <v>AG</v>
      </c>
    </row>
    <row r="41" spans="1:16">
      <c r="A41" t="s">
        <v>1556</v>
      </c>
      <c r="B41" t="s">
        <v>1557</v>
      </c>
      <c r="C41">
        <v>96</v>
      </c>
      <c r="D41">
        <v>209310.34</v>
      </c>
      <c r="E41">
        <v>782800</v>
      </c>
      <c r="F41">
        <v>0.13</v>
      </c>
      <c r="H41" s="66" t="str">
        <f>IF(LEFT(A41,6)="CEPNTR","GPINS",VLOOKUP(LEFT(A41,6),'Code Library'!$A$3:$B$920,2,0))&amp;"_"&amp;RIGHT(A41,3)</f>
        <v>EUP_USD</v>
      </c>
      <c r="I41" s="66" t="str">
        <f t="shared" si="0"/>
        <v>CEEUP__USD</v>
      </c>
      <c r="K41" s="66" t="str">
        <f t="shared" si="1"/>
        <v>IF</v>
      </c>
      <c r="L41" s="66" t="str">
        <f t="shared" si="2"/>
        <v>2014</v>
      </c>
      <c r="M41" s="66" t="str">
        <f t="shared" si="3"/>
        <v>PI</v>
      </c>
      <c r="N41" s="66" t="str">
        <f t="shared" si="4"/>
        <v>USD</v>
      </c>
      <c r="O41" s="66" t="str">
        <f t="shared" si="5"/>
        <v>L</v>
      </c>
      <c r="P41" s="66" t="str">
        <f t="shared" si="6"/>
        <v>AG</v>
      </c>
    </row>
    <row r="42" spans="1:16">
      <c r="A42" t="s">
        <v>1558</v>
      </c>
      <c r="B42" t="s">
        <v>1559</v>
      </c>
      <c r="C42">
        <v>1</v>
      </c>
      <c r="D42">
        <v>109588000</v>
      </c>
      <c r="E42">
        <v>1000000000</v>
      </c>
      <c r="F42">
        <v>0</v>
      </c>
      <c r="H42" s="66" t="str">
        <f>IF(LEFT(A42,6)="CEPNTR","GPINS",VLOOKUP(LEFT(A42,6),'Code Library'!$A$3:$B$920,2,0))&amp;"_"&amp;RIGHT(A42,3)</f>
        <v>FRC50_IDR</v>
      </c>
      <c r="I42" s="66" t="str">
        <f t="shared" si="0"/>
        <v>CEFC50_IDR</v>
      </c>
      <c r="K42" s="66" t="str">
        <f t="shared" si="1"/>
        <v>IF</v>
      </c>
      <c r="L42" s="66" t="str">
        <f t="shared" si="2"/>
        <v>2014</v>
      </c>
      <c r="M42" s="66" t="str">
        <f t="shared" si="3"/>
        <v>PI</v>
      </c>
      <c r="N42" s="66" t="str">
        <f t="shared" si="4"/>
        <v>IDR</v>
      </c>
      <c r="O42" s="66" t="str">
        <f t="shared" si="5"/>
        <v>L</v>
      </c>
      <c r="P42" s="66" t="str">
        <f t="shared" si="6"/>
        <v>KT</v>
      </c>
    </row>
    <row r="43" spans="1:16">
      <c r="A43" t="s">
        <v>1558</v>
      </c>
      <c r="B43" t="s">
        <v>1560</v>
      </c>
      <c r="C43">
        <v>2</v>
      </c>
      <c r="D43">
        <v>211775000</v>
      </c>
      <c r="E43">
        <v>800000000</v>
      </c>
      <c r="F43">
        <v>0</v>
      </c>
      <c r="H43" s="66" t="str">
        <f>IF(LEFT(A43,6)="CEPNTR","GPINS",VLOOKUP(LEFT(A43,6),'Code Library'!$A$3:$B$920,2,0))&amp;"_"&amp;RIGHT(A43,3)</f>
        <v>FRC50_IDR</v>
      </c>
      <c r="I43" s="66" t="str">
        <f t="shared" si="0"/>
        <v>CEFC50_IDR</v>
      </c>
      <c r="K43" s="66" t="str">
        <f t="shared" si="1"/>
        <v>IF</v>
      </c>
      <c r="L43" s="66" t="str">
        <f t="shared" si="2"/>
        <v>2015</v>
      </c>
      <c r="M43" s="66" t="str">
        <f t="shared" si="3"/>
        <v>PI</v>
      </c>
      <c r="N43" s="66" t="str">
        <f t="shared" si="4"/>
        <v>IDR</v>
      </c>
      <c r="O43" s="66" t="str">
        <f t="shared" si="5"/>
        <v>L</v>
      </c>
      <c r="P43" s="66" t="str">
        <f t="shared" si="6"/>
        <v>KT</v>
      </c>
    </row>
    <row r="44" spans="1:16">
      <c r="A44" t="s">
        <v>1558</v>
      </c>
      <c r="B44" t="s">
        <v>1561</v>
      </c>
      <c r="C44">
        <v>2</v>
      </c>
      <c r="D44">
        <v>127143000</v>
      </c>
      <c r="E44">
        <v>700000000</v>
      </c>
      <c r="F44">
        <v>0</v>
      </c>
      <c r="H44" s="66" t="str">
        <f>IF(LEFT(A44,6)="CEPNTR","GPINS",VLOOKUP(LEFT(A44,6),'Code Library'!$A$3:$B$920,2,0))&amp;"_"&amp;RIGHT(A44,3)</f>
        <v>FRC50_IDR</v>
      </c>
      <c r="I44" s="66" t="str">
        <f t="shared" si="0"/>
        <v>CEFC50_IDR</v>
      </c>
      <c r="K44" s="66" t="str">
        <f t="shared" si="1"/>
        <v>IF</v>
      </c>
      <c r="L44" s="66" t="str">
        <f t="shared" si="2"/>
        <v>2016</v>
      </c>
      <c r="M44" s="66" t="str">
        <f t="shared" si="3"/>
        <v>PI</v>
      </c>
      <c r="N44" s="66" t="str">
        <f t="shared" si="4"/>
        <v>IDR</v>
      </c>
      <c r="O44" s="66" t="str">
        <f t="shared" si="5"/>
        <v>L</v>
      </c>
      <c r="P44" s="66" t="str">
        <f t="shared" si="6"/>
        <v>KT</v>
      </c>
    </row>
    <row r="45" spans="1:16">
      <c r="A45" t="s">
        <v>1558</v>
      </c>
      <c r="B45" t="s">
        <v>1562</v>
      </c>
      <c r="C45">
        <v>83</v>
      </c>
      <c r="D45">
        <v>10033284800</v>
      </c>
      <c r="E45">
        <v>56901000000</v>
      </c>
      <c r="F45">
        <v>483156720</v>
      </c>
      <c r="H45" s="66" t="str">
        <f>IF(LEFT(A45,6)="CEPNTR","GPINS",VLOOKUP(LEFT(A45,6),'Code Library'!$A$3:$B$920,2,0))&amp;"_"&amp;RIGHT(A45,3)</f>
        <v>FRC50_IDR</v>
      </c>
      <c r="I45" s="66" t="str">
        <f t="shared" si="0"/>
        <v>CEFC50_IDR</v>
      </c>
      <c r="K45" s="66" t="str">
        <f t="shared" si="1"/>
        <v>IF</v>
      </c>
      <c r="L45" s="66" t="str">
        <f t="shared" si="2"/>
        <v>2017</v>
      </c>
      <c r="M45" s="66" t="str">
        <f t="shared" si="3"/>
        <v>PI</v>
      </c>
      <c r="N45" s="66" t="str">
        <f t="shared" si="4"/>
        <v>IDR</v>
      </c>
      <c r="O45" s="66" t="str">
        <f t="shared" si="5"/>
        <v>L</v>
      </c>
      <c r="P45" s="66" t="str">
        <f t="shared" si="6"/>
        <v>KT</v>
      </c>
    </row>
    <row r="46" spans="1:16">
      <c r="A46" t="s">
        <v>1558</v>
      </c>
      <c r="B46" t="s">
        <v>1563</v>
      </c>
      <c r="C46">
        <v>9</v>
      </c>
      <c r="D46">
        <v>723876200</v>
      </c>
      <c r="E46">
        <v>3870000000</v>
      </c>
      <c r="F46">
        <v>145230000</v>
      </c>
      <c r="H46" s="66" t="str">
        <f>IF(LEFT(A46,6)="CEPNTR","GPINS",VLOOKUP(LEFT(A46,6),'Code Library'!$A$3:$B$920,2,0))&amp;"_"&amp;RIGHT(A46,3)</f>
        <v>FRC50_IDR</v>
      </c>
      <c r="I46" s="66" t="str">
        <f t="shared" si="0"/>
        <v>CEFC50_IDR</v>
      </c>
      <c r="K46" s="66" t="str">
        <f t="shared" si="1"/>
        <v>IF</v>
      </c>
      <c r="L46" s="66" t="str">
        <f t="shared" si="2"/>
        <v>2018</v>
      </c>
      <c r="M46" s="66" t="str">
        <f t="shared" si="3"/>
        <v>PI</v>
      </c>
      <c r="N46" s="66" t="str">
        <f t="shared" si="4"/>
        <v>IDR</v>
      </c>
      <c r="O46" s="66" t="str">
        <f t="shared" si="5"/>
        <v>L</v>
      </c>
      <c r="P46" s="66" t="str">
        <f t="shared" si="6"/>
        <v>KT</v>
      </c>
    </row>
    <row r="47" spans="1:16">
      <c r="A47" t="s">
        <v>1558</v>
      </c>
      <c r="B47" t="s">
        <v>1564</v>
      </c>
      <c r="C47">
        <v>9</v>
      </c>
      <c r="D47">
        <v>580911650</v>
      </c>
      <c r="E47">
        <v>4060000000</v>
      </c>
      <c r="F47">
        <v>0</v>
      </c>
      <c r="H47" s="66" t="str">
        <f>IF(LEFT(A47,6)="CEPNTR","GPINS",VLOOKUP(LEFT(A47,6),'Code Library'!$A$3:$B$920,2,0))&amp;"_"&amp;RIGHT(A47,3)</f>
        <v>FRC50_IDR</v>
      </c>
      <c r="I47" s="66" t="str">
        <f t="shared" si="0"/>
        <v>CEFC50_IDR</v>
      </c>
      <c r="K47" s="66" t="str">
        <f t="shared" si="1"/>
        <v>IF</v>
      </c>
      <c r="L47" s="66" t="str">
        <f t="shared" si="2"/>
        <v>2019</v>
      </c>
      <c r="M47" s="66" t="str">
        <f t="shared" si="3"/>
        <v>PI</v>
      </c>
      <c r="N47" s="66" t="str">
        <f t="shared" si="4"/>
        <v>IDR</v>
      </c>
      <c r="O47" s="66" t="str">
        <f t="shared" si="5"/>
        <v>L</v>
      </c>
      <c r="P47" s="66" t="str">
        <f t="shared" si="6"/>
        <v>KT</v>
      </c>
    </row>
    <row r="48" spans="1:16">
      <c r="A48" t="s">
        <v>1558</v>
      </c>
      <c r="B48" t="s">
        <v>1565</v>
      </c>
      <c r="C48">
        <v>3</v>
      </c>
      <c r="D48">
        <v>216551500</v>
      </c>
      <c r="E48">
        <v>1650000000</v>
      </c>
      <c r="F48">
        <v>21138000</v>
      </c>
      <c r="H48" s="66" t="str">
        <f>IF(LEFT(A48,6)="CEPNTR","GPINS",VLOOKUP(LEFT(A48,6),'Code Library'!$A$3:$B$920,2,0))&amp;"_"&amp;RIGHT(A48,3)</f>
        <v>FRC50_IDR</v>
      </c>
      <c r="I48" s="66" t="str">
        <f t="shared" si="0"/>
        <v>CEFC50_IDR</v>
      </c>
      <c r="K48" s="66" t="str">
        <f t="shared" si="1"/>
        <v>IF</v>
      </c>
      <c r="L48" s="66" t="str">
        <f t="shared" si="2"/>
        <v>2020</v>
      </c>
      <c r="M48" s="66" t="str">
        <f t="shared" si="3"/>
        <v>PI</v>
      </c>
      <c r="N48" s="66" t="str">
        <f t="shared" si="4"/>
        <v>IDR</v>
      </c>
      <c r="O48" s="66" t="str">
        <f t="shared" si="5"/>
        <v>L</v>
      </c>
      <c r="P48" s="66" t="str">
        <f t="shared" si="6"/>
        <v>KT</v>
      </c>
    </row>
    <row r="49" spans="1:16">
      <c r="A49" t="s">
        <v>1558</v>
      </c>
      <c r="B49" t="s">
        <v>1566</v>
      </c>
      <c r="C49">
        <v>17</v>
      </c>
      <c r="D49">
        <v>1623769750</v>
      </c>
      <c r="E49">
        <v>11075000000</v>
      </c>
      <c r="F49">
        <v>0</v>
      </c>
      <c r="H49" s="66" t="str">
        <f>IF(LEFT(A49,6)="CEPNTR","GPINS",VLOOKUP(LEFT(A49,6),'Code Library'!$A$3:$B$920,2,0))&amp;"_"&amp;RIGHT(A49,3)</f>
        <v>FRC50_IDR</v>
      </c>
      <c r="I49" s="66" t="str">
        <f t="shared" si="0"/>
        <v>CEFC50_IDR</v>
      </c>
      <c r="K49" s="66" t="str">
        <f t="shared" si="1"/>
        <v>IF</v>
      </c>
      <c r="L49" s="66" t="str">
        <f t="shared" si="2"/>
        <v>2022</v>
      </c>
      <c r="M49" s="66" t="str">
        <f t="shared" si="3"/>
        <v>PI</v>
      </c>
      <c r="N49" s="66" t="str">
        <f t="shared" si="4"/>
        <v>IDR</v>
      </c>
      <c r="O49" s="66" t="str">
        <f t="shared" si="5"/>
        <v>L</v>
      </c>
      <c r="P49" s="66" t="str">
        <f t="shared" si="6"/>
        <v>KT</v>
      </c>
    </row>
    <row r="50" spans="1:16">
      <c r="A50" t="s">
        <v>1558</v>
      </c>
      <c r="B50" t="s">
        <v>1567</v>
      </c>
      <c r="C50">
        <v>31</v>
      </c>
      <c r="D50">
        <v>6122244090</v>
      </c>
      <c r="E50">
        <v>34947000000</v>
      </c>
      <c r="F50">
        <v>0</v>
      </c>
      <c r="H50" s="66" t="str">
        <f>IF(LEFT(A50,6)="CEPNTR","GPINS",VLOOKUP(LEFT(A50,6),'Code Library'!$A$3:$B$920,2,0))&amp;"_"&amp;RIGHT(A50,3)</f>
        <v>FRC50_IDR</v>
      </c>
      <c r="I50" s="66" t="str">
        <f t="shared" si="0"/>
        <v>CEFC50_IDR</v>
      </c>
      <c r="K50" s="66" t="str">
        <f t="shared" si="1"/>
        <v>IF</v>
      </c>
      <c r="L50" s="66" t="str">
        <f t="shared" si="2"/>
        <v>2023</v>
      </c>
      <c r="M50" s="66" t="str">
        <f t="shared" si="3"/>
        <v>PI</v>
      </c>
      <c r="N50" s="66" t="str">
        <f t="shared" si="4"/>
        <v>IDR</v>
      </c>
      <c r="O50" s="66" t="str">
        <f t="shared" si="5"/>
        <v>L</v>
      </c>
      <c r="P50" s="66" t="str">
        <f t="shared" si="6"/>
        <v>KT</v>
      </c>
    </row>
    <row r="51" spans="1:16">
      <c r="A51" t="s">
        <v>1558</v>
      </c>
      <c r="B51" t="s">
        <v>2345</v>
      </c>
      <c r="C51">
        <v>2</v>
      </c>
      <c r="D51">
        <v>991988000</v>
      </c>
      <c r="E51">
        <v>5200000000</v>
      </c>
      <c r="F51">
        <v>0</v>
      </c>
      <c r="H51" s="66" t="str">
        <f>IF(LEFT(A51,6)="CEPNTR","GPINS",VLOOKUP(LEFT(A51,6),'Code Library'!$A$3:$B$920,2,0))&amp;"_"&amp;RIGHT(A51,3)</f>
        <v>FRC50_IDR</v>
      </c>
      <c r="I51" s="66" t="str">
        <f t="shared" si="0"/>
        <v>CEFC50_IDR</v>
      </c>
      <c r="K51" s="66" t="str">
        <f t="shared" si="1"/>
        <v>IF</v>
      </c>
      <c r="L51" s="66" t="str">
        <f t="shared" si="2"/>
        <v>2024</v>
      </c>
      <c r="M51" s="66" t="str">
        <f t="shared" si="3"/>
        <v>PI</v>
      </c>
      <c r="N51" s="66" t="str">
        <f t="shared" si="4"/>
        <v>IDR</v>
      </c>
      <c r="O51" s="66" t="str">
        <f t="shared" si="5"/>
        <v>L</v>
      </c>
      <c r="P51" s="66" t="str">
        <f t="shared" si="6"/>
        <v>KT</v>
      </c>
    </row>
    <row r="52" spans="1:16">
      <c r="A52" t="s">
        <v>1568</v>
      </c>
      <c r="B52" t="s">
        <v>1569</v>
      </c>
      <c r="C52">
        <v>32</v>
      </c>
      <c r="D52">
        <v>3967166800</v>
      </c>
      <c r="E52">
        <v>18460000000</v>
      </c>
      <c r="F52">
        <v>0</v>
      </c>
      <c r="H52" s="66" t="str">
        <f>IF(LEFT(A52,6)="CEPNTR","GPINS",VLOOKUP(LEFT(A52,6),'Code Library'!$A$3:$B$920,2,0))&amp;"_"&amp;RIGHT(A52,3)</f>
        <v>FRC55_IDR</v>
      </c>
      <c r="I52" s="66" t="str">
        <f t="shared" si="0"/>
        <v>CEFC55_IDR</v>
      </c>
      <c r="K52" s="66" t="str">
        <f t="shared" si="1"/>
        <v>IF</v>
      </c>
      <c r="L52" s="66" t="str">
        <f t="shared" si="2"/>
        <v>2017</v>
      </c>
      <c r="M52" s="66" t="str">
        <f t="shared" si="3"/>
        <v>PI</v>
      </c>
      <c r="N52" s="66" t="str">
        <f t="shared" si="4"/>
        <v>IDR</v>
      </c>
      <c r="O52" s="66" t="str">
        <f t="shared" si="5"/>
        <v>L</v>
      </c>
      <c r="P52" s="66" t="str">
        <f t="shared" si="6"/>
        <v>KT</v>
      </c>
    </row>
    <row r="53" spans="1:16">
      <c r="A53" t="s">
        <v>1568</v>
      </c>
      <c r="B53" t="s">
        <v>1570</v>
      </c>
      <c r="C53">
        <v>5</v>
      </c>
      <c r="D53">
        <v>628141000</v>
      </c>
      <c r="E53">
        <v>2600000000</v>
      </c>
      <c r="F53">
        <v>0</v>
      </c>
      <c r="H53" s="66" t="str">
        <f>IF(LEFT(A53,6)="CEPNTR","GPINS",VLOOKUP(LEFT(A53,6),'Code Library'!$A$3:$B$920,2,0))&amp;"_"&amp;RIGHT(A53,3)</f>
        <v>FRC55_IDR</v>
      </c>
      <c r="I53" s="66" t="str">
        <f t="shared" si="0"/>
        <v>CEFC55_IDR</v>
      </c>
      <c r="K53" s="66" t="str">
        <f t="shared" si="1"/>
        <v>IF</v>
      </c>
      <c r="L53" s="66" t="str">
        <f t="shared" si="2"/>
        <v>2018</v>
      </c>
      <c r="M53" s="66" t="str">
        <f t="shared" si="3"/>
        <v>PI</v>
      </c>
      <c r="N53" s="66" t="str">
        <f t="shared" si="4"/>
        <v>IDR</v>
      </c>
      <c r="O53" s="66" t="str">
        <f t="shared" si="5"/>
        <v>L</v>
      </c>
      <c r="P53" s="66" t="str">
        <f t="shared" si="6"/>
        <v>KT</v>
      </c>
    </row>
    <row r="54" spans="1:16">
      <c r="A54" t="s">
        <v>1568</v>
      </c>
      <c r="B54" t="s">
        <v>1571</v>
      </c>
      <c r="C54">
        <v>4</v>
      </c>
      <c r="D54">
        <v>227897640</v>
      </c>
      <c r="E54">
        <v>1148000000</v>
      </c>
      <c r="F54">
        <v>25498220</v>
      </c>
      <c r="H54" s="66" t="str">
        <f>IF(LEFT(A54,6)="CEPNTR","GPINS",VLOOKUP(LEFT(A54,6),'Code Library'!$A$3:$B$920,2,0))&amp;"_"&amp;RIGHT(A54,3)</f>
        <v>FRC55_IDR</v>
      </c>
      <c r="I54" s="66" t="str">
        <f t="shared" si="0"/>
        <v>CEFC55_IDR</v>
      </c>
      <c r="K54" s="66" t="str">
        <f t="shared" si="1"/>
        <v>IF</v>
      </c>
      <c r="L54" s="66" t="str">
        <f t="shared" si="2"/>
        <v>2019</v>
      </c>
      <c r="M54" s="66" t="str">
        <f t="shared" si="3"/>
        <v>PI</v>
      </c>
      <c r="N54" s="66" t="str">
        <f t="shared" si="4"/>
        <v>IDR</v>
      </c>
      <c r="O54" s="66" t="str">
        <f t="shared" si="5"/>
        <v>L</v>
      </c>
      <c r="P54" s="66" t="str">
        <f t="shared" si="6"/>
        <v>KT</v>
      </c>
    </row>
    <row r="55" spans="1:16">
      <c r="A55" t="s">
        <v>1568</v>
      </c>
      <c r="B55" t="s">
        <v>1572</v>
      </c>
      <c r="C55">
        <v>1</v>
      </c>
      <c r="D55">
        <v>24012000</v>
      </c>
      <c r="E55">
        <v>100000000</v>
      </c>
      <c r="F55">
        <v>0</v>
      </c>
      <c r="H55" s="66" t="str">
        <f>IF(LEFT(A55,6)="CEPNTR","GPINS",VLOOKUP(LEFT(A55,6),'Code Library'!$A$3:$B$920,2,0))&amp;"_"&amp;RIGHT(A55,3)</f>
        <v>FRC55_IDR</v>
      </c>
      <c r="I55" s="66" t="str">
        <f t="shared" si="0"/>
        <v>CEFC55_IDR</v>
      </c>
      <c r="K55" s="66" t="str">
        <f t="shared" si="1"/>
        <v>IF</v>
      </c>
      <c r="L55" s="66" t="str">
        <f t="shared" si="2"/>
        <v>2020</v>
      </c>
      <c r="M55" s="66" t="str">
        <f t="shared" si="3"/>
        <v>PI</v>
      </c>
      <c r="N55" s="66" t="str">
        <f t="shared" si="4"/>
        <v>IDR</v>
      </c>
      <c r="O55" s="66" t="str">
        <f t="shared" si="5"/>
        <v>L</v>
      </c>
      <c r="P55" s="66" t="str">
        <f t="shared" si="6"/>
        <v>KT</v>
      </c>
    </row>
    <row r="56" spans="1:16">
      <c r="A56" t="s">
        <v>1568</v>
      </c>
      <c r="B56" t="s">
        <v>1573</v>
      </c>
      <c r="C56">
        <v>9</v>
      </c>
      <c r="D56">
        <v>1036645875</v>
      </c>
      <c r="E56">
        <v>6463500000</v>
      </c>
      <c r="F56">
        <v>0</v>
      </c>
      <c r="H56" s="66" t="str">
        <f>IF(LEFT(A56,6)="CEPNTR","GPINS",VLOOKUP(LEFT(A56,6),'Code Library'!$A$3:$B$920,2,0))&amp;"_"&amp;RIGHT(A56,3)</f>
        <v>FRC55_IDR</v>
      </c>
      <c r="I56" s="66" t="str">
        <f t="shared" si="0"/>
        <v>CEFC55_IDR</v>
      </c>
      <c r="K56" s="66" t="str">
        <f t="shared" si="1"/>
        <v>IF</v>
      </c>
      <c r="L56" s="66" t="str">
        <f t="shared" si="2"/>
        <v>2022</v>
      </c>
      <c r="M56" s="66" t="str">
        <f t="shared" si="3"/>
        <v>PI</v>
      </c>
      <c r="N56" s="66" t="str">
        <f t="shared" si="4"/>
        <v>IDR</v>
      </c>
      <c r="O56" s="66" t="str">
        <f t="shared" si="5"/>
        <v>L</v>
      </c>
      <c r="P56" s="66" t="str">
        <f t="shared" si="6"/>
        <v>KT</v>
      </c>
    </row>
    <row r="57" spans="1:16">
      <c r="A57" t="s">
        <v>1568</v>
      </c>
      <c r="B57" t="s">
        <v>1574</v>
      </c>
      <c r="C57">
        <v>10</v>
      </c>
      <c r="D57">
        <v>1083449300</v>
      </c>
      <c r="E57">
        <v>5070000000</v>
      </c>
      <c r="F57">
        <v>0</v>
      </c>
      <c r="H57" s="66" t="str">
        <f>IF(LEFT(A57,6)="CEPNTR","GPINS",VLOOKUP(LEFT(A57,6),'Code Library'!$A$3:$B$920,2,0))&amp;"_"&amp;RIGHT(A57,3)</f>
        <v>FRC55_IDR</v>
      </c>
      <c r="I57" s="66" t="str">
        <f t="shared" si="0"/>
        <v>CEFC55_IDR</v>
      </c>
      <c r="K57" s="66" t="str">
        <f t="shared" si="1"/>
        <v>IF</v>
      </c>
      <c r="L57" s="66" t="str">
        <f t="shared" si="2"/>
        <v>2023</v>
      </c>
      <c r="M57" s="66" t="str">
        <f t="shared" si="3"/>
        <v>PI</v>
      </c>
      <c r="N57" s="66" t="str">
        <f t="shared" si="4"/>
        <v>IDR</v>
      </c>
      <c r="O57" s="66" t="str">
        <f t="shared" si="5"/>
        <v>L</v>
      </c>
      <c r="P57" s="66" t="str">
        <f t="shared" si="6"/>
        <v>KT</v>
      </c>
    </row>
    <row r="58" spans="1:16">
      <c r="A58" t="s">
        <v>1568</v>
      </c>
      <c r="B58" t="s">
        <v>2346</v>
      </c>
      <c r="C58">
        <v>8</v>
      </c>
      <c r="D58">
        <v>1700389920</v>
      </c>
      <c r="E58">
        <v>6372000000</v>
      </c>
      <c r="F58">
        <v>0</v>
      </c>
      <c r="H58" s="66" t="str">
        <f>IF(LEFT(A58,6)="CEPNTR","GPINS",VLOOKUP(LEFT(A58,6),'Code Library'!$A$3:$B$920,2,0))&amp;"_"&amp;RIGHT(A58,3)</f>
        <v>FRC55_IDR</v>
      </c>
      <c r="I58" s="66" t="str">
        <f t="shared" si="0"/>
        <v>CEFC55_IDR</v>
      </c>
      <c r="K58" s="66" t="str">
        <f t="shared" si="1"/>
        <v>IF</v>
      </c>
      <c r="L58" s="66" t="str">
        <f t="shared" si="2"/>
        <v>2024</v>
      </c>
      <c r="M58" s="66" t="str">
        <f t="shared" si="3"/>
        <v>PI</v>
      </c>
      <c r="N58" s="66" t="str">
        <f t="shared" si="4"/>
        <v>IDR</v>
      </c>
      <c r="O58" s="66" t="str">
        <f t="shared" si="5"/>
        <v>L</v>
      </c>
      <c r="P58" s="66" t="str">
        <f t="shared" si="6"/>
        <v>KT</v>
      </c>
    </row>
    <row r="59" spans="1:16">
      <c r="A59" t="s">
        <v>1575</v>
      </c>
      <c r="B59" t="s">
        <v>1576</v>
      </c>
      <c r="C59">
        <v>1</v>
      </c>
      <c r="D59">
        <v>99325000</v>
      </c>
      <c r="E59">
        <v>500000000</v>
      </c>
      <c r="F59">
        <v>0</v>
      </c>
      <c r="H59" s="66" t="str">
        <f>IF(LEFT(A59,6)="CEPNTR","GPINS",VLOOKUP(LEFT(A59,6),'Code Library'!$A$3:$B$920,2,0))&amp;"_"&amp;RIGHT(A59,3)</f>
        <v>FRC60_IDR</v>
      </c>
      <c r="I59" s="66" t="str">
        <f t="shared" si="0"/>
        <v>CEFC60_IDR</v>
      </c>
      <c r="K59" s="66" t="str">
        <f t="shared" si="1"/>
        <v>IF</v>
      </c>
      <c r="L59" s="66" t="str">
        <f t="shared" si="2"/>
        <v>2016</v>
      </c>
      <c r="M59" s="66" t="str">
        <f t="shared" si="3"/>
        <v>PI</v>
      </c>
      <c r="N59" s="66" t="str">
        <f t="shared" si="4"/>
        <v>IDR</v>
      </c>
      <c r="O59" s="66" t="str">
        <f t="shared" si="5"/>
        <v>L</v>
      </c>
      <c r="P59" s="66" t="str">
        <f t="shared" si="6"/>
        <v>KT</v>
      </c>
    </row>
    <row r="60" spans="1:16">
      <c r="A60" t="s">
        <v>1575</v>
      </c>
      <c r="B60" t="s">
        <v>1577</v>
      </c>
      <c r="C60">
        <v>34</v>
      </c>
      <c r="D60">
        <v>4499240560</v>
      </c>
      <c r="E60">
        <v>23706000000</v>
      </c>
      <c r="F60">
        <v>209103491</v>
      </c>
      <c r="H60" s="66" t="str">
        <f>IF(LEFT(A60,6)="CEPNTR","GPINS",VLOOKUP(LEFT(A60,6),'Code Library'!$A$3:$B$920,2,0))&amp;"_"&amp;RIGHT(A60,3)</f>
        <v>FRC60_IDR</v>
      </c>
      <c r="I60" s="66" t="str">
        <f t="shared" si="0"/>
        <v>CEFC60_IDR</v>
      </c>
      <c r="K60" s="66" t="str">
        <f t="shared" si="1"/>
        <v>IF</v>
      </c>
      <c r="L60" s="66" t="str">
        <f t="shared" si="2"/>
        <v>2017</v>
      </c>
      <c r="M60" s="66" t="str">
        <f t="shared" si="3"/>
        <v>PI</v>
      </c>
      <c r="N60" s="66" t="str">
        <f t="shared" si="4"/>
        <v>IDR</v>
      </c>
      <c r="O60" s="66" t="str">
        <f t="shared" si="5"/>
        <v>L</v>
      </c>
      <c r="P60" s="66" t="str">
        <f t="shared" si="6"/>
        <v>KT</v>
      </c>
    </row>
    <row r="61" spans="1:16">
      <c r="A61" t="s">
        <v>1575</v>
      </c>
      <c r="B61" t="s">
        <v>1578</v>
      </c>
      <c r="C61">
        <v>5</v>
      </c>
      <c r="D61">
        <v>738882100</v>
      </c>
      <c r="E61">
        <v>3502000000</v>
      </c>
      <c r="F61">
        <v>0</v>
      </c>
      <c r="H61" s="66" t="str">
        <f>IF(LEFT(A61,6)="CEPNTR","GPINS",VLOOKUP(LEFT(A61,6),'Code Library'!$A$3:$B$920,2,0))&amp;"_"&amp;RIGHT(A61,3)</f>
        <v>FRC60_IDR</v>
      </c>
      <c r="I61" s="66" t="str">
        <f t="shared" si="0"/>
        <v>CEFC60_IDR</v>
      </c>
      <c r="K61" s="66" t="str">
        <f t="shared" si="1"/>
        <v>IF</v>
      </c>
      <c r="L61" s="66" t="str">
        <f t="shared" si="2"/>
        <v>2018</v>
      </c>
      <c r="M61" s="66" t="str">
        <f t="shared" si="3"/>
        <v>PI</v>
      </c>
      <c r="N61" s="66" t="str">
        <f t="shared" si="4"/>
        <v>IDR</v>
      </c>
      <c r="O61" s="66" t="str">
        <f t="shared" si="5"/>
        <v>L</v>
      </c>
      <c r="P61" s="66" t="str">
        <f t="shared" si="6"/>
        <v>KT</v>
      </c>
    </row>
    <row r="62" spans="1:16">
      <c r="A62" t="s">
        <v>1575</v>
      </c>
      <c r="B62" t="s">
        <v>1579</v>
      </c>
      <c r="C62">
        <v>1</v>
      </c>
      <c r="D62">
        <v>100816800</v>
      </c>
      <c r="E62">
        <v>420000000</v>
      </c>
      <c r="F62">
        <v>0</v>
      </c>
      <c r="H62" s="66" t="str">
        <f>IF(LEFT(A62,6)="CEPNTR","GPINS",VLOOKUP(LEFT(A62,6),'Code Library'!$A$3:$B$920,2,0))&amp;"_"&amp;RIGHT(A62,3)</f>
        <v>FRC60_IDR</v>
      </c>
      <c r="I62" s="66" t="str">
        <f t="shared" si="0"/>
        <v>CEFC60_IDR</v>
      </c>
      <c r="K62" s="66" t="str">
        <f t="shared" si="1"/>
        <v>IF</v>
      </c>
      <c r="L62" s="66" t="str">
        <f t="shared" si="2"/>
        <v>2019</v>
      </c>
      <c r="M62" s="66" t="str">
        <f t="shared" si="3"/>
        <v>PI</v>
      </c>
      <c r="N62" s="66" t="str">
        <f t="shared" si="4"/>
        <v>IDR</v>
      </c>
      <c r="O62" s="66" t="str">
        <f t="shared" si="5"/>
        <v>L</v>
      </c>
      <c r="P62" s="66" t="str">
        <f t="shared" si="6"/>
        <v>KT</v>
      </c>
    </row>
    <row r="63" spans="1:16">
      <c r="A63" t="s">
        <v>1575</v>
      </c>
      <c r="B63" t="s">
        <v>1580</v>
      </c>
      <c r="C63">
        <v>2</v>
      </c>
      <c r="D63">
        <v>155760000</v>
      </c>
      <c r="E63">
        <v>1500000000</v>
      </c>
      <c r="F63">
        <v>0</v>
      </c>
      <c r="H63" s="66" t="str">
        <f>IF(LEFT(A63,6)="CEPNTR","GPINS",VLOOKUP(LEFT(A63,6),'Code Library'!$A$3:$B$920,2,0))&amp;"_"&amp;RIGHT(A63,3)</f>
        <v>FRC60_IDR</v>
      </c>
      <c r="I63" s="66" t="str">
        <f t="shared" si="0"/>
        <v>CEFC60_IDR</v>
      </c>
      <c r="K63" s="66" t="str">
        <f t="shared" si="1"/>
        <v>IF</v>
      </c>
      <c r="L63" s="66" t="str">
        <f t="shared" si="2"/>
        <v>2020</v>
      </c>
      <c r="M63" s="66" t="str">
        <f t="shared" si="3"/>
        <v>PI</v>
      </c>
      <c r="N63" s="66" t="str">
        <f t="shared" si="4"/>
        <v>IDR</v>
      </c>
      <c r="O63" s="66" t="str">
        <f t="shared" si="5"/>
        <v>L</v>
      </c>
      <c r="P63" s="66" t="str">
        <f t="shared" si="6"/>
        <v>KT</v>
      </c>
    </row>
    <row r="64" spans="1:16">
      <c r="A64" t="s">
        <v>1575</v>
      </c>
      <c r="B64" t="s">
        <v>1581</v>
      </c>
      <c r="C64">
        <v>1</v>
      </c>
      <c r="D64">
        <v>114061500</v>
      </c>
      <c r="E64">
        <v>450000000</v>
      </c>
      <c r="F64">
        <v>0</v>
      </c>
      <c r="H64" s="66" t="str">
        <f>IF(LEFT(A64,6)="CEPNTR","GPINS",VLOOKUP(LEFT(A64,6),'Code Library'!$A$3:$B$920,2,0))&amp;"_"&amp;RIGHT(A64,3)</f>
        <v>FRC60_IDR</v>
      </c>
      <c r="I64" s="66" t="str">
        <f t="shared" si="0"/>
        <v>CEFC60_IDR</v>
      </c>
      <c r="K64" s="66" t="str">
        <f t="shared" si="1"/>
        <v>IF</v>
      </c>
      <c r="L64" s="66" t="str">
        <f t="shared" si="2"/>
        <v>2021</v>
      </c>
      <c r="M64" s="66" t="str">
        <f t="shared" si="3"/>
        <v>PI</v>
      </c>
      <c r="N64" s="66" t="str">
        <f t="shared" si="4"/>
        <v>IDR</v>
      </c>
      <c r="O64" s="66" t="str">
        <f t="shared" si="5"/>
        <v>L</v>
      </c>
      <c r="P64" s="66" t="str">
        <f t="shared" si="6"/>
        <v>KT</v>
      </c>
    </row>
    <row r="65" spans="1:16">
      <c r="A65" t="s">
        <v>1575</v>
      </c>
      <c r="B65" t="s">
        <v>1582</v>
      </c>
      <c r="C65">
        <v>6</v>
      </c>
      <c r="D65">
        <v>690995500</v>
      </c>
      <c r="E65">
        <v>8650000000</v>
      </c>
      <c r="F65">
        <v>0</v>
      </c>
      <c r="H65" s="66" t="str">
        <f>IF(LEFT(A65,6)="CEPNTR","GPINS",VLOOKUP(LEFT(A65,6),'Code Library'!$A$3:$B$920,2,0))&amp;"_"&amp;RIGHT(A65,3)</f>
        <v>FRC60_IDR</v>
      </c>
      <c r="I65" s="66" t="str">
        <f t="shared" si="0"/>
        <v>CEFC60_IDR</v>
      </c>
      <c r="K65" s="66" t="str">
        <f t="shared" si="1"/>
        <v>IF</v>
      </c>
      <c r="L65" s="66" t="str">
        <f t="shared" si="2"/>
        <v>2022</v>
      </c>
      <c r="M65" s="66" t="str">
        <f t="shared" si="3"/>
        <v>PI</v>
      </c>
      <c r="N65" s="66" t="str">
        <f t="shared" si="4"/>
        <v>IDR</v>
      </c>
      <c r="O65" s="66" t="str">
        <f t="shared" si="5"/>
        <v>L</v>
      </c>
      <c r="P65" s="66" t="str">
        <f t="shared" si="6"/>
        <v>KT</v>
      </c>
    </row>
    <row r="66" spans="1:16">
      <c r="A66" t="s">
        <v>1575</v>
      </c>
      <c r="B66" t="s">
        <v>1583</v>
      </c>
      <c r="C66">
        <v>5</v>
      </c>
      <c r="D66">
        <v>397774698</v>
      </c>
      <c r="E66">
        <v>1761000000</v>
      </c>
      <c r="F66">
        <v>0</v>
      </c>
      <c r="H66" s="66" t="str">
        <f>IF(LEFT(A66,6)="CEPNTR","GPINS",VLOOKUP(LEFT(A66,6),'Code Library'!$A$3:$B$920,2,0))&amp;"_"&amp;RIGHT(A66,3)</f>
        <v>FRC60_IDR</v>
      </c>
      <c r="I66" s="66" t="str">
        <f t="shared" si="0"/>
        <v>CEFC60_IDR</v>
      </c>
      <c r="K66" s="66" t="str">
        <f t="shared" si="1"/>
        <v>IF</v>
      </c>
      <c r="L66" s="66" t="str">
        <f t="shared" si="2"/>
        <v>2023</v>
      </c>
      <c r="M66" s="66" t="str">
        <f t="shared" si="3"/>
        <v>PI</v>
      </c>
      <c r="N66" s="66" t="str">
        <f t="shared" si="4"/>
        <v>IDR</v>
      </c>
      <c r="O66" s="66" t="str">
        <f t="shared" si="5"/>
        <v>L</v>
      </c>
      <c r="P66" s="66" t="str">
        <f t="shared" si="6"/>
        <v>KT</v>
      </c>
    </row>
    <row r="67" spans="1:16">
      <c r="A67" t="s">
        <v>1575</v>
      </c>
      <c r="B67" t="s">
        <v>2347</v>
      </c>
      <c r="C67">
        <v>3</v>
      </c>
      <c r="D67">
        <v>119658500</v>
      </c>
      <c r="E67">
        <v>770000000</v>
      </c>
      <c r="F67">
        <v>0</v>
      </c>
      <c r="H67" s="66" t="str">
        <f>IF(LEFT(A67,6)="CEPNTR","GPINS",VLOOKUP(LEFT(A67,6),'Code Library'!$A$3:$B$920,2,0))&amp;"_"&amp;RIGHT(A67,3)</f>
        <v>FRC60_IDR</v>
      </c>
      <c r="I67" s="66" t="str">
        <f t="shared" ref="I67:I130" si="7">A67</f>
        <v>CEFC60_IDR</v>
      </c>
      <c r="K67" s="66" t="str">
        <f t="shared" ref="K67:K130" si="8">RIGHT($B67,2)</f>
        <v>IF</v>
      </c>
      <c r="L67" s="66" t="str">
        <f t="shared" ref="L67:L130" si="9">LEFT(RIGHT($B67,7),4)</f>
        <v>2024</v>
      </c>
      <c r="M67" s="66" t="str">
        <f t="shared" ref="M67:M130" si="10">LEFT(RIGHT($B67,10),2)</f>
        <v>PI</v>
      </c>
      <c r="N67" s="66" t="str">
        <f t="shared" ref="N67:N130" si="11">LEFT(RIGHT($B67,14),3)</f>
        <v>IDR</v>
      </c>
      <c r="O67" s="66" t="str">
        <f t="shared" ref="O67:O130" si="12">LEFT(RIGHT($B67,16),1)</f>
        <v>L</v>
      </c>
      <c r="P67" s="66" t="str">
        <f t="shared" ref="P67:P130" si="13">LEFT(RIGHT($B67,19),2)</f>
        <v>KT</v>
      </c>
    </row>
    <row r="68" spans="1:16">
      <c r="A68" t="s">
        <v>1584</v>
      </c>
      <c r="B68" t="s">
        <v>1585</v>
      </c>
      <c r="C68">
        <v>2</v>
      </c>
      <c r="D68">
        <v>24817500</v>
      </c>
      <c r="E68">
        <v>225000000</v>
      </c>
      <c r="F68">
        <v>0</v>
      </c>
      <c r="H68" s="66" t="str">
        <f>IF(LEFT(A68,6)="CEPNTR","GPINS",VLOOKUP(LEFT(A68,6),'Code Library'!$A$3:$B$920,2,0))&amp;"_"&amp;RIGHT(A68,3)</f>
        <v>FLPST_IDR</v>
      </c>
      <c r="I68" s="66" t="str">
        <f t="shared" si="7"/>
        <v>CEFPST_IDR</v>
      </c>
      <c r="K68" s="66" t="str">
        <f t="shared" si="8"/>
        <v>IF</v>
      </c>
      <c r="L68" s="66" t="str">
        <f t="shared" si="9"/>
        <v>2021</v>
      </c>
      <c r="M68" s="66" t="str">
        <f t="shared" si="10"/>
        <v>NO</v>
      </c>
      <c r="N68" s="66" t="str">
        <f t="shared" si="11"/>
        <v>IDR</v>
      </c>
      <c r="O68" s="66" t="str">
        <f t="shared" si="12"/>
        <v>L</v>
      </c>
      <c r="P68" s="66" t="str">
        <f t="shared" si="13"/>
        <v>NK</v>
      </c>
    </row>
    <row r="69" spans="1:16">
      <c r="A69" t="s">
        <v>1584</v>
      </c>
      <c r="B69" t="s">
        <v>1586</v>
      </c>
      <c r="C69">
        <v>8</v>
      </c>
      <c r="D69">
        <v>313584000</v>
      </c>
      <c r="E69">
        <v>3061864410</v>
      </c>
      <c r="F69">
        <v>0</v>
      </c>
      <c r="H69" s="66" t="str">
        <f>IF(LEFT(A69,6)="CEPNTR","GPINS",VLOOKUP(LEFT(A69,6),'Code Library'!$A$3:$B$920,2,0))&amp;"_"&amp;RIGHT(A69,3)</f>
        <v>FLPST_IDR</v>
      </c>
      <c r="I69" s="66" t="str">
        <f t="shared" si="7"/>
        <v>CEFPST_IDR</v>
      </c>
      <c r="K69" s="66" t="str">
        <f t="shared" si="8"/>
        <v>IF</v>
      </c>
      <c r="L69" s="66" t="str">
        <f t="shared" si="9"/>
        <v>2022</v>
      </c>
      <c r="M69" s="66" t="str">
        <f t="shared" si="10"/>
        <v>NO</v>
      </c>
      <c r="N69" s="66" t="str">
        <f t="shared" si="11"/>
        <v>IDR</v>
      </c>
      <c r="O69" s="66" t="str">
        <f t="shared" si="12"/>
        <v>L</v>
      </c>
      <c r="P69" s="66" t="str">
        <f t="shared" si="13"/>
        <v>NK</v>
      </c>
    </row>
    <row r="70" spans="1:16">
      <c r="A70" t="s">
        <v>1584</v>
      </c>
      <c r="B70" t="s">
        <v>1587</v>
      </c>
      <c r="C70">
        <v>9</v>
      </c>
      <c r="D70">
        <v>371400000</v>
      </c>
      <c r="E70">
        <v>4470000000</v>
      </c>
      <c r="F70">
        <v>0</v>
      </c>
      <c r="H70" s="66" t="str">
        <f>IF(LEFT(A70,6)="CEPNTR","GPINS",VLOOKUP(LEFT(A70,6),'Code Library'!$A$3:$B$920,2,0))&amp;"_"&amp;RIGHT(A70,3)</f>
        <v>FLPST_IDR</v>
      </c>
      <c r="I70" s="66" t="str">
        <f t="shared" si="7"/>
        <v>CEFPST_IDR</v>
      </c>
      <c r="K70" s="66" t="str">
        <f t="shared" si="8"/>
        <v>IF</v>
      </c>
      <c r="L70" s="66" t="str">
        <f t="shared" si="9"/>
        <v>2023</v>
      </c>
      <c r="M70" s="66" t="str">
        <f t="shared" si="10"/>
        <v>NO</v>
      </c>
      <c r="N70" s="66" t="str">
        <f t="shared" si="11"/>
        <v>IDR</v>
      </c>
      <c r="O70" s="66" t="str">
        <f t="shared" si="12"/>
        <v>L</v>
      </c>
      <c r="P70" s="66" t="str">
        <f t="shared" si="13"/>
        <v>NK</v>
      </c>
    </row>
    <row r="71" spans="1:16">
      <c r="A71" t="s">
        <v>1584</v>
      </c>
      <c r="B71" t="s">
        <v>2348</v>
      </c>
      <c r="C71">
        <v>16</v>
      </c>
      <c r="D71">
        <v>742260260</v>
      </c>
      <c r="E71">
        <v>7335441965</v>
      </c>
      <c r="F71">
        <v>0</v>
      </c>
      <c r="H71" s="66" t="str">
        <f>IF(LEFT(A71,6)="CEPNTR","GPINS",VLOOKUP(LEFT(A71,6),'Code Library'!$A$3:$B$920,2,0))&amp;"_"&amp;RIGHT(A71,3)</f>
        <v>FLPST_IDR</v>
      </c>
      <c r="I71" s="66" t="str">
        <f t="shared" si="7"/>
        <v>CEFPST_IDR</v>
      </c>
      <c r="K71" s="66" t="str">
        <f t="shared" si="8"/>
        <v>IF</v>
      </c>
      <c r="L71" s="66" t="str">
        <f t="shared" si="9"/>
        <v>2024</v>
      </c>
      <c r="M71" s="66" t="str">
        <f t="shared" si="10"/>
        <v>NO</v>
      </c>
      <c r="N71" s="66" t="str">
        <f t="shared" si="11"/>
        <v>IDR</v>
      </c>
      <c r="O71" s="66" t="str">
        <f t="shared" si="12"/>
        <v>L</v>
      </c>
      <c r="P71" s="66" t="str">
        <f t="shared" si="13"/>
        <v>NK</v>
      </c>
    </row>
    <row r="72" spans="1:16">
      <c r="A72" t="s">
        <v>1584</v>
      </c>
      <c r="B72" t="s">
        <v>2349</v>
      </c>
      <c r="C72">
        <v>5</v>
      </c>
      <c r="D72">
        <v>183248000</v>
      </c>
      <c r="E72">
        <v>1343000000</v>
      </c>
      <c r="F72">
        <v>0</v>
      </c>
      <c r="H72" s="66" t="str">
        <f>IF(LEFT(A72,6)="CEPNTR","GPINS",VLOOKUP(LEFT(A72,6),'Code Library'!$A$3:$B$920,2,0))&amp;"_"&amp;RIGHT(A72,3)</f>
        <v>FLPST_IDR</v>
      </c>
      <c r="I72" s="66" t="str">
        <f t="shared" si="7"/>
        <v>CEFPST_IDR</v>
      </c>
      <c r="K72" s="66" t="str">
        <f t="shared" si="8"/>
        <v>Q1</v>
      </c>
      <c r="L72" s="66" t="str">
        <f t="shared" si="9"/>
        <v>2025</v>
      </c>
      <c r="M72" s="66" t="str">
        <f t="shared" si="10"/>
        <v>NO</v>
      </c>
      <c r="N72" s="66" t="str">
        <f t="shared" si="11"/>
        <v>IDR</v>
      </c>
      <c r="O72" s="66" t="str">
        <f t="shared" si="12"/>
        <v>L</v>
      </c>
      <c r="P72" s="66" t="str">
        <f t="shared" si="13"/>
        <v>NK</v>
      </c>
    </row>
    <row r="73" spans="1:16">
      <c r="A73" t="s">
        <v>1588</v>
      </c>
      <c r="B73" t="s">
        <v>1589</v>
      </c>
      <c r="C73">
        <v>1360</v>
      </c>
      <c r="D73">
        <v>5831441058</v>
      </c>
      <c r="E73">
        <v>55424125000</v>
      </c>
      <c r="F73">
        <v>879097651.84493101</v>
      </c>
      <c r="H73" s="66" t="str">
        <f>IF(LEFT(A73,6)="CEPNTR","GPINS",VLOOKUP(LEFT(A73,6),'Code Library'!$A$3:$B$920,2,0))&amp;"_"&amp;RIGHT(A73,3)</f>
        <v>FR50_IDR</v>
      </c>
      <c r="I73" s="66" t="str">
        <f t="shared" si="7"/>
        <v>CEFR50_IDR</v>
      </c>
      <c r="K73" s="66" t="str">
        <f t="shared" si="8"/>
        <v>IF</v>
      </c>
      <c r="L73" s="66" t="str">
        <f t="shared" si="9"/>
        <v>2014</v>
      </c>
      <c r="M73" s="66" t="str">
        <f t="shared" si="10"/>
        <v>NI</v>
      </c>
      <c r="N73" s="66" t="str">
        <f t="shared" si="11"/>
        <v>IDR</v>
      </c>
      <c r="O73" s="66" t="str">
        <f t="shared" si="12"/>
        <v>L</v>
      </c>
      <c r="P73" s="66" t="str">
        <f t="shared" si="13"/>
        <v>AG</v>
      </c>
    </row>
    <row r="74" spans="1:16">
      <c r="A74" t="s">
        <v>1590</v>
      </c>
      <c r="B74" t="s">
        <v>1591</v>
      </c>
      <c r="C74">
        <v>77</v>
      </c>
      <c r="D74">
        <v>194187.9</v>
      </c>
      <c r="E74">
        <v>571600</v>
      </c>
      <c r="F74">
        <v>-0.01</v>
      </c>
      <c r="H74" s="66" t="str">
        <f>IF(LEFT(A74,6)="CEPNTR","GPINS",VLOOKUP(LEFT(A74,6),'Code Library'!$A$3:$B$920,2,0))&amp;"_"&amp;RIGHT(A74,3)</f>
        <v>FR50_USD</v>
      </c>
      <c r="I74" s="66" t="str">
        <f t="shared" si="7"/>
        <v>CEFR50_USD</v>
      </c>
      <c r="K74" s="66" t="str">
        <f t="shared" si="8"/>
        <v>IF</v>
      </c>
      <c r="L74" s="66" t="str">
        <f t="shared" si="9"/>
        <v>2014</v>
      </c>
      <c r="M74" s="66" t="str">
        <f t="shared" si="10"/>
        <v>NI</v>
      </c>
      <c r="N74" s="66" t="str">
        <f t="shared" si="11"/>
        <v>USD</v>
      </c>
      <c r="O74" s="66" t="str">
        <f t="shared" si="12"/>
        <v>L</v>
      </c>
      <c r="P74" s="66" t="str">
        <f t="shared" si="13"/>
        <v>AG</v>
      </c>
    </row>
    <row r="75" spans="1:16">
      <c r="A75" t="s">
        <v>1588</v>
      </c>
      <c r="B75" t="s">
        <v>1592</v>
      </c>
      <c r="C75">
        <v>1</v>
      </c>
      <c r="D75">
        <v>1196400</v>
      </c>
      <c r="E75">
        <v>30000000</v>
      </c>
      <c r="F75">
        <v>-1</v>
      </c>
      <c r="H75" s="66" t="str">
        <f>IF(LEFT(A75,6)="CEPNTR","GPINS",VLOOKUP(LEFT(A75,6),'Code Library'!$A$3:$B$920,2,0))&amp;"_"&amp;RIGHT(A75,3)</f>
        <v>FR50_IDR</v>
      </c>
      <c r="I75" s="66" t="str">
        <f t="shared" si="7"/>
        <v>CEFR50_IDR</v>
      </c>
      <c r="K75" s="66" t="str">
        <f t="shared" si="8"/>
        <v>IF</v>
      </c>
      <c r="L75" s="66" t="str">
        <f t="shared" si="9"/>
        <v>2014</v>
      </c>
      <c r="M75" s="66" t="str">
        <f t="shared" si="10"/>
        <v>NI</v>
      </c>
      <c r="N75" s="66" t="str">
        <f t="shared" si="11"/>
        <v>IDR</v>
      </c>
      <c r="O75" s="66" t="str">
        <f t="shared" si="12"/>
        <v>L</v>
      </c>
      <c r="P75" s="66" t="str">
        <f t="shared" si="13"/>
        <v>AG</v>
      </c>
    </row>
    <row r="76" spans="1:16">
      <c r="A76" t="s">
        <v>1593</v>
      </c>
      <c r="B76" t="s">
        <v>1594</v>
      </c>
      <c r="C76">
        <v>530</v>
      </c>
      <c r="D76">
        <v>2701797335</v>
      </c>
      <c r="E76">
        <v>21524500000</v>
      </c>
      <c r="F76">
        <v>145079670</v>
      </c>
      <c r="H76" s="66" t="str">
        <f>IF(LEFT(A76,6)="CEPNTR","GPINS",VLOOKUP(LEFT(A76,6),'Code Library'!$A$3:$B$920,2,0))&amp;"_"&amp;RIGHT(A76,3)</f>
        <v>FR55_IDR</v>
      </c>
      <c r="I76" s="66" t="str">
        <f t="shared" si="7"/>
        <v>CEFR55_IDR</v>
      </c>
      <c r="K76" s="66" t="str">
        <f t="shared" si="8"/>
        <v>IF</v>
      </c>
      <c r="L76" s="66" t="str">
        <f t="shared" si="9"/>
        <v>2014</v>
      </c>
      <c r="M76" s="66" t="str">
        <f t="shared" si="10"/>
        <v>NI</v>
      </c>
      <c r="N76" s="66" t="str">
        <f t="shared" si="11"/>
        <v>IDR</v>
      </c>
      <c r="O76" s="66" t="str">
        <f t="shared" si="12"/>
        <v>L</v>
      </c>
      <c r="P76" s="66" t="str">
        <f t="shared" si="13"/>
        <v>AG</v>
      </c>
    </row>
    <row r="77" spans="1:16">
      <c r="A77" t="s">
        <v>1595</v>
      </c>
      <c r="B77" t="s">
        <v>1596</v>
      </c>
      <c r="C77">
        <v>27</v>
      </c>
      <c r="D77">
        <v>84415.16</v>
      </c>
      <c r="E77">
        <v>298700</v>
      </c>
      <c r="F77">
        <v>7.0000000000000007E-2</v>
      </c>
      <c r="H77" s="66" t="str">
        <f>IF(LEFT(A77,6)="CEPNTR","GPINS",VLOOKUP(LEFT(A77,6),'Code Library'!$A$3:$B$920,2,0))&amp;"_"&amp;RIGHT(A77,3)</f>
        <v>FR55_USD</v>
      </c>
      <c r="I77" s="66" t="str">
        <f t="shared" si="7"/>
        <v>CEFR55_USD</v>
      </c>
      <c r="K77" s="66" t="str">
        <f t="shared" si="8"/>
        <v>IF</v>
      </c>
      <c r="L77" s="66" t="str">
        <f t="shared" si="9"/>
        <v>2014</v>
      </c>
      <c r="M77" s="66" t="str">
        <f t="shared" si="10"/>
        <v>NI</v>
      </c>
      <c r="N77" s="66" t="str">
        <f t="shared" si="11"/>
        <v>USD</v>
      </c>
      <c r="O77" s="66" t="str">
        <f t="shared" si="12"/>
        <v>L</v>
      </c>
      <c r="P77" s="66" t="str">
        <f t="shared" si="13"/>
        <v>AG</v>
      </c>
    </row>
    <row r="78" spans="1:16">
      <c r="A78" t="s">
        <v>1597</v>
      </c>
      <c r="B78" t="s">
        <v>1598</v>
      </c>
      <c r="C78">
        <v>89</v>
      </c>
      <c r="D78">
        <v>423754256</v>
      </c>
      <c r="E78">
        <v>3438200000</v>
      </c>
      <c r="F78">
        <v>26373413</v>
      </c>
      <c r="H78" s="66" t="str">
        <f>IF(LEFT(A78,6)="CEPNTR","GPINS",VLOOKUP(LEFT(A78,6),'Code Library'!$A$3:$B$920,2,0))&amp;"_"&amp;RIGHT(A78,3)</f>
        <v>FR60_IDR</v>
      </c>
      <c r="I78" s="66" t="str">
        <f t="shared" si="7"/>
        <v>CEFR60_IDR</v>
      </c>
      <c r="K78" s="66" t="str">
        <f t="shared" si="8"/>
        <v>IF</v>
      </c>
      <c r="L78" s="66" t="str">
        <f t="shared" si="9"/>
        <v>2014</v>
      </c>
      <c r="M78" s="66" t="str">
        <f t="shared" si="10"/>
        <v>NI</v>
      </c>
      <c r="N78" s="66" t="str">
        <f t="shared" si="11"/>
        <v>IDR</v>
      </c>
      <c r="O78" s="66" t="str">
        <f t="shared" si="12"/>
        <v>L</v>
      </c>
      <c r="P78" s="66" t="str">
        <f t="shared" si="13"/>
        <v>AG</v>
      </c>
    </row>
    <row r="79" spans="1:16">
      <c r="A79" t="s">
        <v>1599</v>
      </c>
      <c r="B79" t="s">
        <v>1600</v>
      </c>
      <c r="C79">
        <v>4</v>
      </c>
      <c r="D79">
        <v>7029</v>
      </c>
      <c r="E79">
        <v>45000</v>
      </c>
      <c r="F79">
        <v>0</v>
      </c>
      <c r="H79" s="66" t="str">
        <f>IF(LEFT(A79,6)="CEPNTR","GPINS",VLOOKUP(LEFT(A79,6),'Code Library'!$A$3:$B$920,2,0))&amp;"_"&amp;RIGHT(A79,3)</f>
        <v>FR60_USD</v>
      </c>
      <c r="I79" s="66" t="str">
        <f t="shared" si="7"/>
        <v>CEFR60_USD</v>
      </c>
      <c r="K79" s="66" t="str">
        <f t="shared" si="8"/>
        <v>IF</v>
      </c>
      <c r="L79" s="66" t="str">
        <f t="shared" si="9"/>
        <v>2014</v>
      </c>
      <c r="M79" s="66" t="str">
        <f t="shared" si="10"/>
        <v>NI</v>
      </c>
      <c r="N79" s="66" t="str">
        <f t="shared" si="11"/>
        <v>USD</v>
      </c>
      <c r="O79" s="66" t="str">
        <f t="shared" si="12"/>
        <v>L</v>
      </c>
      <c r="P79" s="66" t="str">
        <f t="shared" si="13"/>
        <v>AG</v>
      </c>
    </row>
    <row r="80" spans="1:16">
      <c r="A80" t="s">
        <v>1601</v>
      </c>
      <c r="B80" t="s">
        <v>1602</v>
      </c>
      <c r="C80">
        <v>21</v>
      </c>
      <c r="D80">
        <v>730165100</v>
      </c>
      <c r="E80">
        <v>7732343250</v>
      </c>
      <c r="F80">
        <v>0</v>
      </c>
      <c r="H80" s="66" t="str">
        <f>IF(LEFT(A80,6)="CEPNTR","GPINS",VLOOKUP(LEFT(A80,6),'Code Library'!$A$3:$B$920,2,0))&amp;"_"&amp;RIGHT(A80,3)</f>
        <v>GUPST_IDR</v>
      </c>
      <c r="I80" s="66" t="str">
        <f t="shared" si="7"/>
        <v>CEGPST_IDR</v>
      </c>
      <c r="K80" s="66" t="str">
        <f t="shared" si="8"/>
        <v>IF</v>
      </c>
      <c r="L80" s="66" t="str">
        <f t="shared" si="9"/>
        <v>2020</v>
      </c>
      <c r="M80" s="66" t="str">
        <f t="shared" si="10"/>
        <v>NO</v>
      </c>
      <c r="N80" s="66" t="str">
        <f t="shared" si="11"/>
        <v>IDR</v>
      </c>
      <c r="O80" s="66" t="str">
        <f t="shared" si="12"/>
        <v>L</v>
      </c>
      <c r="P80" s="66" t="str">
        <f t="shared" si="13"/>
        <v>NK</v>
      </c>
    </row>
    <row r="81" spans="1:16">
      <c r="A81" t="s">
        <v>1601</v>
      </c>
      <c r="B81" t="s">
        <v>1603</v>
      </c>
      <c r="C81">
        <v>99</v>
      </c>
      <c r="D81">
        <v>2684457974</v>
      </c>
      <c r="E81">
        <v>29814560000</v>
      </c>
      <c r="F81">
        <v>16579929</v>
      </c>
      <c r="H81" s="66" t="str">
        <f>IF(LEFT(A81,6)="CEPNTR","GPINS",VLOOKUP(LEFT(A81,6),'Code Library'!$A$3:$B$920,2,0))&amp;"_"&amp;RIGHT(A81,3)</f>
        <v>GUPST_IDR</v>
      </c>
      <c r="I81" s="66" t="str">
        <f t="shared" si="7"/>
        <v>CEGPST_IDR</v>
      </c>
      <c r="K81" s="66" t="str">
        <f t="shared" si="8"/>
        <v>IF</v>
      </c>
      <c r="L81" s="66" t="str">
        <f t="shared" si="9"/>
        <v>2021</v>
      </c>
      <c r="M81" s="66" t="str">
        <f t="shared" si="10"/>
        <v>NO</v>
      </c>
      <c r="N81" s="66" t="str">
        <f t="shared" si="11"/>
        <v>IDR</v>
      </c>
      <c r="O81" s="66" t="str">
        <f t="shared" si="12"/>
        <v>L</v>
      </c>
      <c r="P81" s="66" t="str">
        <f t="shared" si="13"/>
        <v>NK</v>
      </c>
    </row>
    <row r="82" spans="1:16">
      <c r="A82" t="s">
        <v>1601</v>
      </c>
      <c r="B82" t="s">
        <v>1604</v>
      </c>
      <c r="C82">
        <v>74</v>
      </c>
      <c r="D82">
        <v>2083784067</v>
      </c>
      <c r="E82">
        <v>23551079680</v>
      </c>
      <c r="F82">
        <v>0</v>
      </c>
      <c r="H82" s="66" t="str">
        <f>IF(LEFT(A82,6)="CEPNTR","GPINS",VLOOKUP(LEFT(A82,6),'Code Library'!$A$3:$B$920,2,0))&amp;"_"&amp;RIGHT(A82,3)</f>
        <v>GUPST_IDR</v>
      </c>
      <c r="I82" s="66" t="str">
        <f t="shared" si="7"/>
        <v>CEGPST_IDR</v>
      </c>
      <c r="K82" s="66" t="str">
        <f t="shared" si="8"/>
        <v>IF</v>
      </c>
      <c r="L82" s="66" t="str">
        <f t="shared" si="9"/>
        <v>2022</v>
      </c>
      <c r="M82" s="66" t="str">
        <f t="shared" si="10"/>
        <v>NO</v>
      </c>
      <c r="N82" s="66" t="str">
        <f t="shared" si="11"/>
        <v>IDR</v>
      </c>
      <c r="O82" s="66" t="str">
        <f t="shared" si="12"/>
        <v>L</v>
      </c>
      <c r="P82" s="66" t="str">
        <f t="shared" si="13"/>
        <v>NK</v>
      </c>
    </row>
    <row r="83" spans="1:16">
      <c r="A83" t="s">
        <v>1601</v>
      </c>
      <c r="B83" t="s">
        <v>1605</v>
      </c>
      <c r="C83">
        <v>38</v>
      </c>
      <c r="D83">
        <v>1291368550</v>
      </c>
      <c r="E83">
        <v>14248769231</v>
      </c>
      <c r="F83">
        <v>0</v>
      </c>
      <c r="H83" s="66" t="str">
        <f>IF(LEFT(A83,6)="CEPNTR","GPINS",VLOOKUP(LEFT(A83,6),'Code Library'!$A$3:$B$920,2,0))&amp;"_"&amp;RIGHT(A83,3)</f>
        <v>GUPST_IDR</v>
      </c>
      <c r="I83" s="66" t="str">
        <f t="shared" si="7"/>
        <v>CEGPST_IDR</v>
      </c>
      <c r="K83" s="66" t="str">
        <f t="shared" si="8"/>
        <v>IF</v>
      </c>
      <c r="L83" s="66" t="str">
        <f t="shared" si="9"/>
        <v>2023</v>
      </c>
      <c r="M83" s="66" t="str">
        <f t="shared" si="10"/>
        <v>NO</v>
      </c>
      <c r="N83" s="66" t="str">
        <f t="shared" si="11"/>
        <v>IDR</v>
      </c>
      <c r="O83" s="66" t="str">
        <f t="shared" si="12"/>
        <v>L</v>
      </c>
      <c r="P83" s="66" t="str">
        <f t="shared" si="13"/>
        <v>NK</v>
      </c>
    </row>
    <row r="84" spans="1:16">
      <c r="A84" t="s">
        <v>1601</v>
      </c>
      <c r="B84" t="s">
        <v>2350</v>
      </c>
      <c r="C84">
        <v>31</v>
      </c>
      <c r="D84">
        <v>1524974500</v>
      </c>
      <c r="E84">
        <v>13266701960</v>
      </c>
      <c r="F84">
        <v>0</v>
      </c>
      <c r="H84" s="66" t="str">
        <f>IF(LEFT(A84,6)="CEPNTR","GPINS",VLOOKUP(LEFT(A84,6),'Code Library'!$A$3:$B$920,2,0))&amp;"_"&amp;RIGHT(A84,3)</f>
        <v>GUPST_IDR</v>
      </c>
      <c r="I84" s="66" t="str">
        <f t="shared" si="7"/>
        <v>CEGPST_IDR</v>
      </c>
      <c r="K84" s="66" t="str">
        <f t="shared" si="8"/>
        <v>IF</v>
      </c>
      <c r="L84" s="66" t="str">
        <f t="shared" si="9"/>
        <v>2024</v>
      </c>
      <c r="M84" s="66" t="str">
        <f t="shared" si="10"/>
        <v>NO</v>
      </c>
      <c r="N84" s="66" t="str">
        <f t="shared" si="11"/>
        <v>IDR</v>
      </c>
      <c r="O84" s="66" t="str">
        <f t="shared" si="12"/>
        <v>L</v>
      </c>
      <c r="P84" s="66" t="str">
        <f t="shared" si="13"/>
        <v>NK</v>
      </c>
    </row>
    <row r="85" spans="1:16">
      <c r="A85" t="s">
        <v>1601</v>
      </c>
      <c r="B85" t="s">
        <v>2351</v>
      </c>
      <c r="C85">
        <v>2</v>
      </c>
      <c r="D85">
        <v>105045000</v>
      </c>
      <c r="E85">
        <v>1800000000</v>
      </c>
      <c r="F85">
        <v>0</v>
      </c>
      <c r="H85" s="66" t="str">
        <f>IF(LEFT(A85,6)="CEPNTR","GPINS",VLOOKUP(LEFT(A85,6),'Code Library'!$A$3:$B$920,2,0))&amp;"_"&amp;RIGHT(A85,3)</f>
        <v>GUPST_IDR</v>
      </c>
      <c r="I85" s="66" t="str">
        <f t="shared" si="7"/>
        <v>CEGPST_IDR</v>
      </c>
      <c r="K85" s="66" t="str">
        <f t="shared" si="8"/>
        <v>Q1</v>
      </c>
      <c r="L85" s="66" t="str">
        <f t="shared" si="9"/>
        <v>2025</v>
      </c>
      <c r="M85" s="66" t="str">
        <f t="shared" si="10"/>
        <v>NO</v>
      </c>
      <c r="N85" s="66" t="str">
        <f t="shared" si="11"/>
        <v>IDR</v>
      </c>
      <c r="O85" s="66" t="str">
        <f t="shared" si="12"/>
        <v>L</v>
      </c>
      <c r="P85" s="66" t="str">
        <f t="shared" si="13"/>
        <v>NK</v>
      </c>
    </row>
    <row r="86" spans="1:16">
      <c r="A86" t="s">
        <v>1606</v>
      </c>
      <c r="B86" t="s">
        <v>1607</v>
      </c>
      <c r="C86">
        <v>3</v>
      </c>
      <c r="D86">
        <v>133610000</v>
      </c>
      <c r="E86">
        <v>1450000000</v>
      </c>
      <c r="F86">
        <v>0</v>
      </c>
      <c r="H86" s="66" t="str">
        <f>IF(LEFT(A86,6)="CEPNTR","GPINS",VLOOKUP(LEFT(A86,6),'Code Library'!$A$3:$B$920,2,0))&amp;"_"&amp;RIGHT(A86,3)</f>
        <v>HPST_IDR</v>
      </c>
      <c r="I86" s="66" t="str">
        <f t="shared" si="7"/>
        <v>CEHPST_IDR</v>
      </c>
      <c r="K86" s="66" t="str">
        <f t="shared" si="8"/>
        <v>IF</v>
      </c>
      <c r="L86" s="66" t="str">
        <f t="shared" si="9"/>
        <v>2020</v>
      </c>
      <c r="M86" s="66" t="str">
        <f t="shared" si="10"/>
        <v>NO</v>
      </c>
      <c r="N86" s="66" t="str">
        <f t="shared" si="11"/>
        <v>IDR</v>
      </c>
      <c r="O86" s="66" t="str">
        <f t="shared" si="12"/>
        <v>L</v>
      </c>
      <c r="P86" s="66" t="str">
        <f t="shared" si="13"/>
        <v>KT</v>
      </c>
    </row>
    <row r="87" spans="1:16">
      <c r="A87" t="s">
        <v>1606</v>
      </c>
      <c r="B87" t="s">
        <v>1608</v>
      </c>
      <c r="C87">
        <v>54</v>
      </c>
      <c r="D87">
        <v>2143805600</v>
      </c>
      <c r="E87">
        <v>26130000000</v>
      </c>
      <c r="F87">
        <v>0</v>
      </c>
      <c r="H87" s="66" t="str">
        <f>IF(LEFT(A87,6)="CEPNTR","GPINS",VLOOKUP(LEFT(A87,6),'Code Library'!$A$3:$B$920,2,0))&amp;"_"&amp;RIGHT(A87,3)</f>
        <v>HPST_IDR</v>
      </c>
      <c r="I87" s="66" t="str">
        <f t="shared" si="7"/>
        <v>CEHPST_IDR</v>
      </c>
      <c r="K87" s="66" t="str">
        <f t="shared" si="8"/>
        <v>IF</v>
      </c>
      <c r="L87" s="66" t="str">
        <f t="shared" si="9"/>
        <v>2021</v>
      </c>
      <c r="M87" s="66" t="str">
        <f t="shared" si="10"/>
        <v>NO</v>
      </c>
      <c r="N87" s="66" t="str">
        <f t="shared" si="11"/>
        <v>IDR</v>
      </c>
      <c r="O87" s="66" t="str">
        <f t="shared" si="12"/>
        <v>L</v>
      </c>
      <c r="P87" s="66" t="str">
        <f t="shared" si="13"/>
        <v>KT</v>
      </c>
    </row>
    <row r="88" spans="1:16">
      <c r="A88" t="s">
        <v>1606</v>
      </c>
      <c r="B88" t="s">
        <v>1609</v>
      </c>
      <c r="C88">
        <v>252</v>
      </c>
      <c r="D88">
        <v>19012105700</v>
      </c>
      <c r="E88">
        <v>147195000000</v>
      </c>
      <c r="F88">
        <v>0</v>
      </c>
      <c r="H88" s="66" t="str">
        <f>IF(LEFT(A88,6)="CEPNTR","GPINS",VLOOKUP(LEFT(A88,6),'Code Library'!$A$3:$B$920,2,0))&amp;"_"&amp;RIGHT(A88,3)</f>
        <v>HPST_IDR</v>
      </c>
      <c r="I88" s="66" t="str">
        <f t="shared" si="7"/>
        <v>CEHPST_IDR</v>
      </c>
      <c r="K88" s="66" t="str">
        <f t="shared" si="8"/>
        <v>IF</v>
      </c>
      <c r="L88" s="66" t="str">
        <f t="shared" si="9"/>
        <v>2022</v>
      </c>
      <c r="M88" s="66" t="str">
        <f t="shared" si="10"/>
        <v>NO</v>
      </c>
      <c r="N88" s="66" t="str">
        <f t="shared" si="11"/>
        <v>IDR</v>
      </c>
      <c r="O88" s="66" t="str">
        <f t="shared" si="12"/>
        <v>L</v>
      </c>
      <c r="P88" s="66" t="str">
        <f t="shared" si="13"/>
        <v>KT</v>
      </c>
    </row>
    <row r="89" spans="1:16">
      <c r="A89" t="s">
        <v>1606</v>
      </c>
      <c r="B89" t="s">
        <v>1610</v>
      </c>
      <c r="C89">
        <v>516</v>
      </c>
      <c r="D89">
        <v>45891236700</v>
      </c>
      <c r="E89">
        <v>414234500000</v>
      </c>
      <c r="F89">
        <v>0</v>
      </c>
      <c r="H89" s="66" t="str">
        <f>IF(LEFT(A89,6)="CEPNTR","GPINS",VLOOKUP(LEFT(A89,6),'Code Library'!$A$3:$B$920,2,0))&amp;"_"&amp;RIGHT(A89,3)</f>
        <v>HPST_IDR</v>
      </c>
      <c r="I89" s="66" t="str">
        <f t="shared" si="7"/>
        <v>CEHPST_IDR</v>
      </c>
      <c r="K89" s="66" t="str">
        <f t="shared" si="8"/>
        <v>IF</v>
      </c>
      <c r="L89" s="66" t="str">
        <f t="shared" si="9"/>
        <v>2023</v>
      </c>
      <c r="M89" s="66" t="str">
        <f t="shared" si="10"/>
        <v>NO</v>
      </c>
      <c r="N89" s="66" t="str">
        <f t="shared" si="11"/>
        <v>IDR</v>
      </c>
      <c r="O89" s="66" t="str">
        <f t="shared" si="12"/>
        <v>L</v>
      </c>
      <c r="P89" s="66" t="str">
        <f t="shared" si="13"/>
        <v>KT</v>
      </c>
    </row>
    <row r="90" spans="1:16">
      <c r="A90" t="s">
        <v>1606</v>
      </c>
      <c r="B90" t="s">
        <v>2352</v>
      </c>
      <c r="C90">
        <v>276</v>
      </c>
      <c r="D90">
        <v>23120143070</v>
      </c>
      <c r="E90">
        <v>180385087644</v>
      </c>
      <c r="F90">
        <v>0</v>
      </c>
      <c r="H90" s="66" t="str">
        <f>IF(LEFT(A90,6)="CEPNTR","GPINS",VLOOKUP(LEFT(A90,6),'Code Library'!$A$3:$B$920,2,0))&amp;"_"&amp;RIGHT(A90,3)</f>
        <v>HPST_IDR</v>
      </c>
      <c r="I90" s="66" t="str">
        <f t="shared" si="7"/>
        <v>CEHPST_IDR</v>
      </c>
      <c r="K90" s="66" t="str">
        <f t="shared" si="8"/>
        <v>IF</v>
      </c>
      <c r="L90" s="66" t="str">
        <f t="shared" si="9"/>
        <v>2024</v>
      </c>
      <c r="M90" s="66" t="str">
        <f t="shared" si="10"/>
        <v>NO</v>
      </c>
      <c r="N90" s="66" t="str">
        <f t="shared" si="11"/>
        <v>IDR</v>
      </c>
      <c r="O90" s="66" t="str">
        <f t="shared" si="12"/>
        <v>L</v>
      </c>
      <c r="P90" s="66" t="str">
        <f t="shared" si="13"/>
        <v>KT</v>
      </c>
    </row>
    <row r="91" spans="1:16">
      <c r="A91" t="s">
        <v>1606</v>
      </c>
      <c r="B91" t="s">
        <v>2353</v>
      </c>
      <c r="C91">
        <v>45</v>
      </c>
      <c r="D91">
        <v>3834823760</v>
      </c>
      <c r="E91">
        <v>36090640000</v>
      </c>
      <c r="F91">
        <v>0</v>
      </c>
      <c r="H91" s="66" t="str">
        <f>IF(LEFT(A91,6)="CEPNTR","GPINS",VLOOKUP(LEFT(A91,6),'Code Library'!$A$3:$B$920,2,0))&amp;"_"&amp;RIGHT(A91,3)</f>
        <v>HPST_IDR</v>
      </c>
      <c r="I91" s="66" t="str">
        <f t="shared" si="7"/>
        <v>CEHPST_IDR</v>
      </c>
      <c r="K91" s="66" t="str">
        <f t="shared" si="8"/>
        <v>Q1</v>
      </c>
      <c r="L91" s="66" t="str">
        <f t="shared" si="9"/>
        <v>2025</v>
      </c>
      <c r="M91" s="66" t="str">
        <f t="shared" si="10"/>
        <v>NO</v>
      </c>
      <c r="N91" s="66" t="str">
        <f t="shared" si="11"/>
        <v>IDR</v>
      </c>
      <c r="O91" s="66" t="str">
        <f t="shared" si="12"/>
        <v>L</v>
      </c>
      <c r="P91" s="66" t="str">
        <f t="shared" si="13"/>
        <v>KT</v>
      </c>
    </row>
    <row r="92" spans="1:16">
      <c r="A92" t="s">
        <v>1611</v>
      </c>
      <c r="B92" t="s">
        <v>1612</v>
      </c>
      <c r="C92">
        <v>70</v>
      </c>
      <c r="D92">
        <v>14717366</v>
      </c>
      <c r="E92">
        <v>125300000</v>
      </c>
      <c r="F92">
        <v>-44</v>
      </c>
      <c r="H92" s="66" t="str">
        <f>IF(LEFT(A92,6)="CEPNTR","GPINS",VLOOKUP(LEFT(A92,6),'Code Library'!$A$3:$B$920,2,0))&amp;"_"&amp;RIGHT(A92,3)</f>
        <v>HT_IDR</v>
      </c>
      <c r="I92" s="66" t="str">
        <f t="shared" si="7"/>
        <v>CEHT___IDR</v>
      </c>
      <c r="K92" s="66" t="str">
        <f t="shared" si="8"/>
        <v>IF</v>
      </c>
      <c r="L92" s="66" t="str">
        <f t="shared" si="9"/>
        <v>2014</v>
      </c>
      <c r="M92" s="66" t="str">
        <f t="shared" si="10"/>
        <v>NI</v>
      </c>
      <c r="N92" s="66" t="str">
        <f t="shared" si="11"/>
        <v>IDR</v>
      </c>
      <c r="O92" s="66" t="str">
        <f t="shared" si="12"/>
        <v>L</v>
      </c>
      <c r="P92" s="66" t="str">
        <f t="shared" si="13"/>
        <v>AG</v>
      </c>
    </row>
    <row r="93" spans="1:16">
      <c r="A93" t="s">
        <v>1613</v>
      </c>
      <c r="B93" t="s">
        <v>1614</v>
      </c>
      <c r="C93">
        <v>1020</v>
      </c>
      <c r="D93">
        <v>3797737278.9099998</v>
      </c>
      <c r="E93">
        <v>24159618118</v>
      </c>
      <c r="F93">
        <v>1253022043</v>
      </c>
      <c r="H93" s="66" t="str">
        <f>IF(LEFT(A93,6)="CEPNTR","GPINS",VLOOKUP(LEFT(A93,6),'Code Library'!$A$3:$B$920,2,0))&amp;"_"&amp;RIGHT(A93,3)</f>
        <v>MYEDU_IDR</v>
      </c>
      <c r="I93" s="66" t="str">
        <f t="shared" si="7"/>
        <v>CEME___IDR</v>
      </c>
      <c r="K93" s="66" t="str">
        <f t="shared" si="8"/>
        <v>IF</v>
      </c>
      <c r="L93" s="66" t="str">
        <f t="shared" si="9"/>
        <v>2014</v>
      </c>
      <c r="M93" s="66" t="str">
        <f t="shared" si="10"/>
        <v>PI</v>
      </c>
      <c r="N93" s="66" t="str">
        <f t="shared" si="11"/>
        <v>IDR</v>
      </c>
      <c r="O93" s="66" t="str">
        <f t="shared" si="12"/>
        <v>L</v>
      </c>
      <c r="P93" s="66" t="str">
        <f t="shared" si="13"/>
        <v>AG</v>
      </c>
    </row>
    <row r="94" spans="1:16">
      <c r="A94" t="s">
        <v>1613</v>
      </c>
      <c r="B94" t="s">
        <v>1615</v>
      </c>
      <c r="C94">
        <v>23</v>
      </c>
      <c r="D94">
        <v>117149155</v>
      </c>
      <c r="E94">
        <v>914500000</v>
      </c>
      <c r="F94">
        <v>28770041</v>
      </c>
      <c r="H94" s="66" t="str">
        <f>IF(LEFT(A94,6)="CEPNTR","GPINS",VLOOKUP(LEFT(A94,6),'Code Library'!$A$3:$B$920,2,0))&amp;"_"&amp;RIGHT(A94,3)</f>
        <v>MYEDU_IDR</v>
      </c>
      <c r="I94" s="66" t="str">
        <f t="shared" si="7"/>
        <v>CEME___IDR</v>
      </c>
      <c r="K94" s="66" t="str">
        <f t="shared" si="8"/>
        <v>IF</v>
      </c>
      <c r="L94" s="66" t="str">
        <f t="shared" si="9"/>
        <v>2015</v>
      </c>
      <c r="M94" s="66" t="str">
        <f t="shared" si="10"/>
        <v>PI</v>
      </c>
      <c r="N94" s="66" t="str">
        <f t="shared" si="11"/>
        <v>IDR</v>
      </c>
      <c r="O94" s="66" t="str">
        <f t="shared" si="12"/>
        <v>L</v>
      </c>
      <c r="P94" s="66" t="str">
        <f t="shared" si="13"/>
        <v>AG</v>
      </c>
    </row>
    <row r="95" spans="1:16">
      <c r="A95" t="s">
        <v>1613</v>
      </c>
      <c r="B95" t="s">
        <v>1616</v>
      </c>
      <c r="C95">
        <v>27</v>
      </c>
      <c r="D95">
        <v>1210821312</v>
      </c>
      <c r="E95">
        <v>2649643161</v>
      </c>
      <c r="F95">
        <v>16933286</v>
      </c>
      <c r="H95" s="66" t="str">
        <f>IF(LEFT(A95,6)="CEPNTR","GPINS",VLOOKUP(LEFT(A95,6),'Code Library'!$A$3:$B$920,2,0))&amp;"_"&amp;RIGHT(A95,3)</f>
        <v>MYEDU_IDR</v>
      </c>
      <c r="I95" s="66" t="str">
        <f t="shared" si="7"/>
        <v>CEME___IDR</v>
      </c>
      <c r="K95" s="66" t="str">
        <f t="shared" si="8"/>
        <v>IF</v>
      </c>
      <c r="L95" s="66" t="str">
        <f t="shared" si="9"/>
        <v>2016</v>
      </c>
      <c r="M95" s="66" t="str">
        <f t="shared" si="10"/>
        <v>PI</v>
      </c>
      <c r="N95" s="66" t="str">
        <f t="shared" si="11"/>
        <v>IDR</v>
      </c>
      <c r="O95" s="66" t="str">
        <f t="shared" si="12"/>
        <v>L</v>
      </c>
      <c r="P95" s="66" t="str">
        <f t="shared" si="13"/>
        <v>AG</v>
      </c>
    </row>
    <row r="96" spans="1:16">
      <c r="A96" t="s">
        <v>1617</v>
      </c>
      <c r="B96" t="s">
        <v>1618</v>
      </c>
      <c r="C96">
        <v>9</v>
      </c>
      <c r="D96">
        <v>94664.05</v>
      </c>
      <c r="E96">
        <v>93500</v>
      </c>
      <c r="F96">
        <v>8408.1200000000008</v>
      </c>
      <c r="H96" s="66" t="str">
        <f>IF(LEFT(A96,6)="CEPNTR","GPINS",VLOOKUP(LEFT(A96,6),'Code Library'!$A$3:$B$920,2,0))&amp;"_"&amp;RIGHT(A96,3)</f>
        <v>MYEDU_USD</v>
      </c>
      <c r="I96" s="66" t="str">
        <f t="shared" si="7"/>
        <v>CEME___USD</v>
      </c>
      <c r="K96" s="66" t="str">
        <f t="shared" si="8"/>
        <v>IF</v>
      </c>
      <c r="L96" s="66" t="str">
        <f t="shared" si="9"/>
        <v>2014</v>
      </c>
      <c r="M96" s="66" t="str">
        <f t="shared" si="10"/>
        <v>PI</v>
      </c>
      <c r="N96" s="66" t="str">
        <f t="shared" si="11"/>
        <v>USD</v>
      </c>
      <c r="O96" s="66" t="str">
        <f t="shared" si="12"/>
        <v>L</v>
      </c>
      <c r="P96" s="66" t="str">
        <f t="shared" si="13"/>
        <v>AG</v>
      </c>
    </row>
    <row r="97" spans="1:16">
      <c r="A97" t="s">
        <v>1613</v>
      </c>
      <c r="B97" t="s">
        <v>1619</v>
      </c>
      <c r="C97">
        <v>1</v>
      </c>
      <c r="D97">
        <v>6246600</v>
      </c>
      <c r="E97">
        <v>60000000</v>
      </c>
      <c r="F97">
        <v>0</v>
      </c>
      <c r="H97" s="66" t="str">
        <f>IF(LEFT(A97,6)="CEPNTR","GPINS",VLOOKUP(LEFT(A97,6),'Code Library'!$A$3:$B$920,2,0))&amp;"_"&amp;RIGHT(A97,3)</f>
        <v>MYEDU_IDR</v>
      </c>
      <c r="I97" s="66" t="str">
        <f t="shared" si="7"/>
        <v>CEME___IDR</v>
      </c>
      <c r="K97" s="66" t="str">
        <f t="shared" si="8"/>
        <v>IF</v>
      </c>
      <c r="L97" s="66" t="str">
        <f t="shared" si="9"/>
        <v>2016</v>
      </c>
      <c r="M97" s="66" t="str">
        <f t="shared" si="10"/>
        <v>PI</v>
      </c>
      <c r="N97" s="66" t="str">
        <f t="shared" si="11"/>
        <v>IDR</v>
      </c>
      <c r="O97" s="66" t="str">
        <f t="shared" si="12"/>
        <v>L</v>
      </c>
      <c r="P97" s="66" t="str">
        <f t="shared" si="13"/>
        <v>AG</v>
      </c>
    </row>
    <row r="98" spans="1:16">
      <c r="A98" t="s">
        <v>1613</v>
      </c>
      <c r="B98" t="s">
        <v>1620</v>
      </c>
      <c r="C98">
        <v>7</v>
      </c>
      <c r="D98">
        <v>22414620</v>
      </c>
      <c r="E98">
        <v>195855599</v>
      </c>
      <c r="F98">
        <v>10562100</v>
      </c>
      <c r="H98" s="66" t="str">
        <f>IF(LEFT(A98,6)="CEPNTR","GPINS",VLOOKUP(LEFT(A98,6),'Code Library'!$A$3:$B$920,2,0))&amp;"_"&amp;RIGHT(A98,3)</f>
        <v>MYEDU_IDR</v>
      </c>
      <c r="I98" s="66" t="str">
        <f t="shared" si="7"/>
        <v>CEME___IDR</v>
      </c>
      <c r="K98" s="66" t="str">
        <f t="shared" si="8"/>
        <v>IF</v>
      </c>
      <c r="L98" s="66" t="str">
        <f t="shared" si="9"/>
        <v>2014</v>
      </c>
      <c r="M98" s="66" t="str">
        <f t="shared" si="10"/>
        <v>PI</v>
      </c>
      <c r="N98" s="66" t="str">
        <f t="shared" si="11"/>
        <v>IDR</v>
      </c>
      <c r="O98" s="66" t="str">
        <f t="shared" si="12"/>
        <v>L</v>
      </c>
      <c r="P98" s="66" t="str">
        <f t="shared" si="13"/>
        <v>AG</v>
      </c>
    </row>
    <row r="99" spans="1:16">
      <c r="A99" t="s">
        <v>1613</v>
      </c>
      <c r="B99" t="s">
        <v>1621</v>
      </c>
      <c r="C99">
        <v>4</v>
      </c>
      <c r="D99">
        <v>42000000</v>
      </c>
      <c r="E99">
        <v>388044008</v>
      </c>
      <c r="F99">
        <v>0</v>
      </c>
      <c r="H99" s="66" t="str">
        <f>IF(LEFT(A99,6)="CEPNTR","GPINS",VLOOKUP(LEFT(A99,6),'Code Library'!$A$3:$B$920,2,0))&amp;"_"&amp;RIGHT(A99,3)</f>
        <v>MYEDU_IDR</v>
      </c>
      <c r="I99" s="66" t="str">
        <f t="shared" si="7"/>
        <v>CEME___IDR</v>
      </c>
      <c r="K99" s="66" t="str">
        <f t="shared" si="8"/>
        <v>IF</v>
      </c>
      <c r="L99" s="66" t="str">
        <f t="shared" si="9"/>
        <v>2016</v>
      </c>
      <c r="M99" s="66" t="str">
        <f t="shared" si="10"/>
        <v>PI</v>
      </c>
      <c r="N99" s="66" t="str">
        <f t="shared" si="11"/>
        <v>IDR</v>
      </c>
      <c r="O99" s="66" t="str">
        <f t="shared" si="12"/>
        <v>L</v>
      </c>
      <c r="P99" s="66" t="str">
        <f t="shared" si="13"/>
        <v>AG</v>
      </c>
    </row>
    <row r="100" spans="1:16">
      <c r="A100" t="s">
        <v>1617</v>
      </c>
      <c r="B100" t="s">
        <v>1622</v>
      </c>
      <c r="C100">
        <v>1</v>
      </c>
      <c r="D100">
        <v>1541.98</v>
      </c>
      <c r="E100">
        <v>11000</v>
      </c>
      <c r="F100">
        <v>0</v>
      </c>
      <c r="H100" s="66" t="str">
        <f>IF(LEFT(A100,6)="CEPNTR","GPINS",VLOOKUP(LEFT(A100,6),'Code Library'!$A$3:$B$920,2,0))&amp;"_"&amp;RIGHT(A100,3)</f>
        <v>MYEDU_USD</v>
      </c>
      <c r="I100" s="66" t="str">
        <f t="shared" si="7"/>
        <v>CEME___USD</v>
      </c>
      <c r="K100" s="66" t="str">
        <f t="shared" si="8"/>
        <v>IF</v>
      </c>
      <c r="L100" s="66" t="str">
        <f t="shared" si="9"/>
        <v>2014</v>
      </c>
      <c r="M100" s="66" t="str">
        <f t="shared" si="10"/>
        <v>PI</v>
      </c>
      <c r="N100" s="66" t="str">
        <f t="shared" si="11"/>
        <v>USD</v>
      </c>
      <c r="O100" s="66" t="str">
        <f t="shared" si="12"/>
        <v>L</v>
      </c>
      <c r="P100" s="66" t="str">
        <f t="shared" si="13"/>
        <v>AG</v>
      </c>
    </row>
    <row r="101" spans="1:16">
      <c r="A101" t="s">
        <v>1623</v>
      </c>
      <c r="B101" t="s">
        <v>1624</v>
      </c>
      <c r="C101">
        <v>187</v>
      </c>
      <c r="D101">
        <v>1327405494</v>
      </c>
      <c r="E101">
        <v>9972100000</v>
      </c>
      <c r="F101">
        <v>473354441</v>
      </c>
      <c r="H101" s="66" t="str">
        <f>IF(LEFT(A101,6)="CEPNTR","GPINS",VLOOKUP(LEFT(A101,6),'Code Library'!$A$3:$B$920,2,0))&amp;"_"&amp;RIGHT(A101,3)</f>
        <v>MYF50_IDR</v>
      </c>
      <c r="I101" s="66" t="str">
        <f t="shared" si="7"/>
        <v>CEMF50_IDR</v>
      </c>
      <c r="K101" s="66" t="str">
        <f t="shared" si="8"/>
        <v>IF</v>
      </c>
      <c r="L101" s="66" t="str">
        <f t="shared" si="9"/>
        <v>2014</v>
      </c>
      <c r="M101" s="66" t="str">
        <f t="shared" si="10"/>
        <v>PI</v>
      </c>
      <c r="N101" s="66" t="str">
        <f t="shared" si="11"/>
        <v>IDR</v>
      </c>
      <c r="O101" s="66" t="str">
        <f t="shared" si="12"/>
        <v>L</v>
      </c>
      <c r="P101" s="66" t="str">
        <f t="shared" si="13"/>
        <v>AG</v>
      </c>
    </row>
    <row r="102" spans="1:16">
      <c r="A102" t="s">
        <v>1623</v>
      </c>
      <c r="B102" t="s">
        <v>1625</v>
      </c>
      <c r="C102">
        <v>3</v>
      </c>
      <c r="D102">
        <v>13223000</v>
      </c>
      <c r="E102">
        <v>200000000</v>
      </c>
      <c r="F102">
        <v>55855005</v>
      </c>
      <c r="H102" s="66" t="str">
        <f>IF(LEFT(A102,6)="CEPNTR","GPINS",VLOOKUP(LEFT(A102,6),'Code Library'!$A$3:$B$920,2,0))&amp;"_"&amp;RIGHT(A102,3)</f>
        <v>MYF50_IDR</v>
      </c>
      <c r="I102" s="66" t="str">
        <f t="shared" si="7"/>
        <v>CEMF50_IDR</v>
      </c>
      <c r="K102" s="66" t="str">
        <f t="shared" si="8"/>
        <v>IF</v>
      </c>
      <c r="L102" s="66" t="str">
        <f t="shared" si="9"/>
        <v>2015</v>
      </c>
      <c r="M102" s="66" t="str">
        <f t="shared" si="10"/>
        <v>PI</v>
      </c>
      <c r="N102" s="66" t="str">
        <f t="shared" si="11"/>
        <v>IDR</v>
      </c>
      <c r="O102" s="66" t="str">
        <f t="shared" si="12"/>
        <v>L</v>
      </c>
      <c r="P102" s="66" t="str">
        <f t="shared" si="13"/>
        <v>AG</v>
      </c>
    </row>
    <row r="103" spans="1:16">
      <c r="A103" t="s">
        <v>1626</v>
      </c>
      <c r="B103" t="s">
        <v>1627</v>
      </c>
      <c r="C103">
        <v>5</v>
      </c>
      <c r="D103">
        <v>52112.75</v>
      </c>
      <c r="E103">
        <v>145000</v>
      </c>
      <c r="F103">
        <v>0</v>
      </c>
      <c r="H103" s="66" t="str">
        <f>IF(LEFT(A103,6)="CEPNTR","GPINS",VLOOKUP(LEFT(A103,6),'Code Library'!$A$3:$B$920,2,0))&amp;"_"&amp;RIGHT(A103,3)</f>
        <v>MYF50_USD</v>
      </c>
      <c r="I103" s="66" t="str">
        <f t="shared" si="7"/>
        <v>CEMF50_USD</v>
      </c>
      <c r="K103" s="66" t="str">
        <f t="shared" si="8"/>
        <v>IF</v>
      </c>
      <c r="L103" s="66" t="str">
        <f t="shared" si="9"/>
        <v>2014</v>
      </c>
      <c r="M103" s="66" t="str">
        <f t="shared" si="10"/>
        <v>PI</v>
      </c>
      <c r="N103" s="66" t="str">
        <f t="shared" si="11"/>
        <v>USD</v>
      </c>
      <c r="O103" s="66" t="str">
        <f t="shared" si="12"/>
        <v>L</v>
      </c>
      <c r="P103" s="66" t="str">
        <f t="shared" si="13"/>
        <v>AG</v>
      </c>
    </row>
    <row r="104" spans="1:16">
      <c r="A104" t="s">
        <v>1623</v>
      </c>
      <c r="B104" t="s">
        <v>1628</v>
      </c>
      <c r="C104">
        <v>2</v>
      </c>
      <c r="D104">
        <v>62964000</v>
      </c>
      <c r="E104">
        <v>250000000</v>
      </c>
      <c r="F104">
        <v>0</v>
      </c>
      <c r="H104" s="66" t="str">
        <f>IF(LEFT(A104,6)="CEPNTR","GPINS",VLOOKUP(LEFT(A104,6),'Code Library'!$A$3:$B$920,2,0))&amp;"_"&amp;RIGHT(A104,3)</f>
        <v>MYF50_IDR</v>
      </c>
      <c r="I104" s="66" t="str">
        <f t="shared" si="7"/>
        <v>CEMF50_IDR</v>
      </c>
      <c r="K104" s="66" t="str">
        <f t="shared" si="8"/>
        <v>IF</v>
      </c>
      <c r="L104" s="66" t="str">
        <f t="shared" si="9"/>
        <v>2016</v>
      </c>
      <c r="M104" s="66" t="str">
        <f t="shared" si="10"/>
        <v>PI</v>
      </c>
      <c r="N104" s="66" t="str">
        <f t="shared" si="11"/>
        <v>IDR</v>
      </c>
      <c r="O104" s="66" t="str">
        <f t="shared" si="12"/>
        <v>L</v>
      </c>
      <c r="P104" s="66" t="str">
        <f t="shared" si="13"/>
        <v>AG</v>
      </c>
    </row>
    <row r="105" spans="1:16">
      <c r="A105" t="s">
        <v>1629</v>
      </c>
      <c r="B105" t="s">
        <v>1630</v>
      </c>
      <c r="C105">
        <v>177</v>
      </c>
      <c r="D105">
        <v>1201531707</v>
      </c>
      <c r="E105">
        <v>7020599051</v>
      </c>
      <c r="F105">
        <v>426546243</v>
      </c>
      <c r="H105" s="66" t="str">
        <f>IF(LEFT(A105,6)="CEPNTR","GPINS",VLOOKUP(LEFT(A105,6),'Code Library'!$A$3:$B$920,2,0))&amp;"_"&amp;RIGHT(A105,3)</f>
        <v>MYF55_IDR</v>
      </c>
      <c r="I105" s="66" t="str">
        <f t="shared" si="7"/>
        <v>CEMF55_IDR</v>
      </c>
      <c r="K105" s="66" t="str">
        <f t="shared" si="8"/>
        <v>IF</v>
      </c>
      <c r="L105" s="66" t="str">
        <f t="shared" si="9"/>
        <v>2014</v>
      </c>
      <c r="M105" s="66" t="str">
        <f t="shared" si="10"/>
        <v>PI</v>
      </c>
      <c r="N105" s="66" t="str">
        <f t="shared" si="11"/>
        <v>IDR</v>
      </c>
      <c r="O105" s="66" t="str">
        <f t="shared" si="12"/>
        <v>L</v>
      </c>
      <c r="P105" s="66" t="str">
        <f t="shared" si="13"/>
        <v>AG</v>
      </c>
    </row>
    <row r="106" spans="1:16">
      <c r="A106" t="s">
        <v>1629</v>
      </c>
      <c r="B106" t="s">
        <v>1631</v>
      </c>
      <c r="C106">
        <v>1</v>
      </c>
      <c r="D106">
        <v>6712500</v>
      </c>
      <c r="E106">
        <v>75000000</v>
      </c>
      <c r="F106">
        <v>0</v>
      </c>
      <c r="H106" s="66" t="str">
        <f>IF(LEFT(A106,6)="CEPNTR","GPINS",VLOOKUP(LEFT(A106,6),'Code Library'!$A$3:$B$920,2,0))&amp;"_"&amp;RIGHT(A106,3)</f>
        <v>MYF55_IDR</v>
      </c>
      <c r="I106" s="66" t="str">
        <f t="shared" si="7"/>
        <v>CEMF55_IDR</v>
      </c>
      <c r="K106" s="66" t="str">
        <f t="shared" si="8"/>
        <v>IF</v>
      </c>
      <c r="L106" s="66" t="str">
        <f t="shared" si="9"/>
        <v>2016</v>
      </c>
      <c r="M106" s="66" t="str">
        <f t="shared" si="10"/>
        <v>PI</v>
      </c>
      <c r="N106" s="66" t="str">
        <f t="shared" si="11"/>
        <v>IDR</v>
      </c>
      <c r="O106" s="66" t="str">
        <f t="shared" si="12"/>
        <v>L</v>
      </c>
      <c r="P106" s="66" t="str">
        <f t="shared" si="13"/>
        <v>AG</v>
      </c>
    </row>
    <row r="107" spans="1:16">
      <c r="A107" t="s">
        <v>1632</v>
      </c>
      <c r="B107" t="s">
        <v>1633</v>
      </c>
      <c r="C107">
        <v>2</v>
      </c>
      <c r="D107">
        <v>3097.3</v>
      </c>
      <c r="E107">
        <v>10000</v>
      </c>
      <c r="F107">
        <v>0</v>
      </c>
      <c r="H107" s="66" t="str">
        <f>IF(LEFT(A107,6)="CEPNTR","GPINS",VLOOKUP(LEFT(A107,6),'Code Library'!$A$3:$B$920,2,0))&amp;"_"&amp;RIGHT(A107,3)</f>
        <v>MYF55_USD</v>
      </c>
      <c r="I107" s="66" t="str">
        <f t="shared" si="7"/>
        <v>CEMF55_USD</v>
      </c>
      <c r="K107" s="66" t="str">
        <f t="shared" si="8"/>
        <v>IF</v>
      </c>
      <c r="L107" s="66" t="str">
        <f t="shared" si="9"/>
        <v>2014</v>
      </c>
      <c r="M107" s="66" t="str">
        <f t="shared" si="10"/>
        <v>PI</v>
      </c>
      <c r="N107" s="66" t="str">
        <f t="shared" si="11"/>
        <v>USD</v>
      </c>
      <c r="O107" s="66" t="str">
        <f t="shared" si="12"/>
        <v>L</v>
      </c>
      <c r="P107" s="66" t="str">
        <f t="shared" si="13"/>
        <v>AG</v>
      </c>
    </row>
    <row r="108" spans="1:16">
      <c r="A108" t="s">
        <v>1629</v>
      </c>
      <c r="B108" t="s">
        <v>1634</v>
      </c>
      <c r="C108">
        <v>2</v>
      </c>
      <c r="D108">
        <v>44687000</v>
      </c>
      <c r="E108">
        <v>155000000</v>
      </c>
      <c r="F108">
        <v>0</v>
      </c>
      <c r="H108" s="66" t="str">
        <f>IF(LEFT(A108,6)="CEPNTR","GPINS",VLOOKUP(LEFT(A108,6),'Code Library'!$A$3:$B$920,2,0))&amp;"_"&amp;RIGHT(A108,3)</f>
        <v>MYF55_IDR</v>
      </c>
      <c r="I108" s="66" t="str">
        <f t="shared" si="7"/>
        <v>CEMF55_IDR</v>
      </c>
      <c r="K108" s="66" t="str">
        <f t="shared" si="8"/>
        <v>IF</v>
      </c>
      <c r="L108" s="66" t="str">
        <f t="shared" si="9"/>
        <v>2014</v>
      </c>
      <c r="M108" s="66" t="str">
        <f t="shared" si="10"/>
        <v>PI</v>
      </c>
      <c r="N108" s="66" t="str">
        <f t="shared" si="11"/>
        <v>IDR</v>
      </c>
      <c r="O108" s="66" t="str">
        <f t="shared" si="12"/>
        <v>L</v>
      </c>
      <c r="P108" s="66" t="str">
        <f t="shared" si="13"/>
        <v>AG</v>
      </c>
    </row>
    <row r="109" spans="1:16">
      <c r="A109" t="s">
        <v>1635</v>
      </c>
      <c r="B109" t="s">
        <v>1636</v>
      </c>
      <c r="C109">
        <v>36</v>
      </c>
      <c r="D109">
        <v>239277223</v>
      </c>
      <c r="E109">
        <v>1190212855</v>
      </c>
      <c r="F109">
        <v>47995088</v>
      </c>
      <c r="H109" s="66" t="str">
        <f>IF(LEFT(A109,6)="CEPNTR","GPINS",VLOOKUP(LEFT(A109,6),'Code Library'!$A$3:$B$920,2,0))&amp;"_"&amp;RIGHT(A109,3)</f>
        <v>MYF60_IDR</v>
      </c>
      <c r="I109" s="66" t="str">
        <f t="shared" si="7"/>
        <v>CEMF60_IDR</v>
      </c>
      <c r="K109" s="66" t="str">
        <f t="shared" si="8"/>
        <v>IF</v>
      </c>
      <c r="L109" s="66" t="str">
        <f t="shared" si="9"/>
        <v>2014</v>
      </c>
      <c r="M109" s="66" t="str">
        <f t="shared" si="10"/>
        <v>PI</v>
      </c>
      <c r="N109" s="66" t="str">
        <f t="shared" si="11"/>
        <v>IDR</v>
      </c>
      <c r="O109" s="66" t="str">
        <f t="shared" si="12"/>
        <v>L</v>
      </c>
      <c r="P109" s="66" t="str">
        <f t="shared" si="13"/>
        <v>AG</v>
      </c>
    </row>
    <row r="110" spans="1:16">
      <c r="A110" t="s">
        <v>1637</v>
      </c>
      <c r="B110" t="s">
        <v>1638</v>
      </c>
      <c r="C110">
        <v>1</v>
      </c>
      <c r="D110">
        <v>1356.35</v>
      </c>
      <c r="E110">
        <v>5000</v>
      </c>
      <c r="F110">
        <v>0</v>
      </c>
      <c r="H110" s="66" t="str">
        <f>IF(LEFT(A110,6)="CEPNTR","GPINS",VLOOKUP(LEFT(A110,6),'Code Library'!$A$3:$B$920,2,0))&amp;"_"&amp;RIGHT(A110,3)</f>
        <v>MYF60_USD</v>
      </c>
      <c r="I110" s="66" t="str">
        <f t="shared" si="7"/>
        <v>CEMF60_USD</v>
      </c>
      <c r="K110" s="66" t="str">
        <f t="shared" si="8"/>
        <v>IF</v>
      </c>
      <c r="L110" s="66" t="str">
        <f t="shared" si="9"/>
        <v>2014</v>
      </c>
      <c r="M110" s="66" t="str">
        <f t="shared" si="10"/>
        <v>PI</v>
      </c>
      <c r="N110" s="66" t="str">
        <f t="shared" si="11"/>
        <v>USD</v>
      </c>
      <c r="O110" s="66" t="str">
        <f t="shared" si="12"/>
        <v>L</v>
      </c>
      <c r="P110" s="66" t="str">
        <f t="shared" si="13"/>
        <v>AG</v>
      </c>
    </row>
    <row r="111" spans="1:16">
      <c r="A111" t="s">
        <v>1639</v>
      </c>
      <c r="B111" t="s">
        <v>1640</v>
      </c>
      <c r="C111">
        <v>8</v>
      </c>
      <c r="D111">
        <v>686335930</v>
      </c>
      <c r="E111">
        <v>1882000000</v>
      </c>
      <c r="F111">
        <v>0</v>
      </c>
      <c r="H111" s="66" t="str">
        <f>IF(LEFT(A111,6)="CEPNTR","GPINS",VLOOKUP(LEFT(A111,6),'Code Library'!$A$3:$B$920,2,0))&amp;"_"&amp;RIGHT(A111,3)</f>
        <v>MFP50_IDR</v>
      </c>
      <c r="I111" s="66" t="str">
        <f t="shared" si="7"/>
        <v>CEMFP1_IDR</v>
      </c>
      <c r="K111" s="66" t="str">
        <f t="shared" si="8"/>
        <v>IF</v>
      </c>
      <c r="L111" s="66" t="str">
        <f t="shared" si="9"/>
        <v>2014</v>
      </c>
      <c r="M111" s="66" t="str">
        <f t="shared" si="10"/>
        <v>PI</v>
      </c>
      <c r="N111" s="66" t="str">
        <f t="shared" si="11"/>
        <v>IDR</v>
      </c>
      <c r="O111" s="66" t="str">
        <f t="shared" si="12"/>
        <v>L</v>
      </c>
      <c r="P111" s="66" t="str">
        <f t="shared" si="13"/>
        <v>NK</v>
      </c>
    </row>
    <row r="112" spans="1:16">
      <c r="A112" t="s">
        <v>1641</v>
      </c>
      <c r="B112" t="s">
        <v>1642</v>
      </c>
      <c r="C112">
        <v>21</v>
      </c>
      <c r="D112">
        <v>540568650</v>
      </c>
      <c r="E112">
        <v>1701000000</v>
      </c>
      <c r="F112">
        <v>124654686</v>
      </c>
      <c r="H112" s="66" t="str">
        <f>IF(LEFT(A112,6)="CEPNTR","GPINS",VLOOKUP(LEFT(A112,6),'Code Library'!$A$3:$B$920,2,0))&amp;"_"&amp;RIGHT(A112,3)</f>
        <v>MFP55_IDR</v>
      </c>
      <c r="I112" s="66" t="str">
        <f t="shared" si="7"/>
        <v>CEMFP2_IDR</v>
      </c>
      <c r="K112" s="66" t="str">
        <f t="shared" si="8"/>
        <v>IF</v>
      </c>
      <c r="L112" s="66" t="str">
        <f t="shared" si="9"/>
        <v>2014</v>
      </c>
      <c r="M112" s="66" t="str">
        <f t="shared" si="10"/>
        <v>PI</v>
      </c>
      <c r="N112" s="66" t="str">
        <f t="shared" si="11"/>
        <v>IDR</v>
      </c>
      <c r="O112" s="66" t="str">
        <f t="shared" si="12"/>
        <v>L</v>
      </c>
      <c r="P112" s="66" t="str">
        <f t="shared" si="13"/>
        <v>NK</v>
      </c>
    </row>
    <row r="113" spans="1:16">
      <c r="A113" t="s">
        <v>1643</v>
      </c>
      <c r="B113" t="s">
        <v>1644</v>
      </c>
      <c r="C113">
        <v>9</v>
      </c>
      <c r="D113">
        <v>53647250</v>
      </c>
      <c r="E113">
        <v>250000000</v>
      </c>
      <c r="F113">
        <v>0</v>
      </c>
      <c r="H113" s="66" t="str">
        <f>IF(LEFT(A113,6)="CEPNTR","GPINS",VLOOKUP(LEFT(A113,6),'Code Library'!$A$3:$B$920,2,0))&amp;"_"&amp;RIGHT(A113,3)</f>
        <v>MFP60_IDR</v>
      </c>
      <c r="I113" s="66" t="str">
        <f t="shared" si="7"/>
        <v>CEMFP3_IDR</v>
      </c>
      <c r="K113" s="66" t="str">
        <f t="shared" si="8"/>
        <v>IF</v>
      </c>
      <c r="L113" s="66" t="str">
        <f t="shared" si="9"/>
        <v>2014</v>
      </c>
      <c r="M113" s="66" t="str">
        <f t="shared" si="10"/>
        <v>PI</v>
      </c>
      <c r="N113" s="66" t="str">
        <f t="shared" si="11"/>
        <v>IDR</v>
      </c>
      <c r="O113" s="66" t="str">
        <f t="shared" si="12"/>
        <v>L</v>
      </c>
      <c r="P113" s="66" t="str">
        <f t="shared" si="13"/>
        <v>NK</v>
      </c>
    </row>
    <row r="114" spans="1:16">
      <c r="A114" t="s">
        <v>1645</v>
      </c>
      <c r="B114" t="s">
        <v>1646</v>
      </c>
      <c r="C114">
        <v>22</v>
      </c>
      <c r="D114">
        <v>225684600</v>
      </c>
      <c r="E114">
        <v>4746000000</v>
      </c>
      <c r="F114">
        <v>0</v>
      </c>
      <c r="H114" s="66" t="str">
        <f>IF(LEFT(A114,6)="CEPNTR","GPINS",VLOOKUP(LEFT(A114,6),'Code Library'!$A$3:$B$920,2,0))&amp;"_"&amp;RIGHT(A114,3)</f>
        <v>MYPST_IDR</v>
      </c>
      <c r="I114" s="66" t="str">
        <f t="shared" si="7"/>
        <v>CEMPST_IDR</v>
      </c>
      <c r="K114" s="66" t="str">
        <f t="shared" si="8"/>
        <v>IF</v>
      </c>
      <c r="L114" s="66" t="str">
        <f t="shared" si="9"/>
        <v>2020</v>
      </c>
      <c r="M114" s="66" t="str">
        <f t="shared" si="10"/>
        <v>NO</v>
      </c>
      <c r="N114" s="66" t="str">
        <f t="shared" si="11"/>
        <v>IDR</v>
      </c>
      <c r="O114" s="66" t="str">
        <f t="shared" si="12"/>
        <v>L</v>
      </c>
      <c r="P114" s="66" t="str">
        <f t="shared" si="13"/>
        <v>NK</v>
      </c>
    </row>
    <row r="115" spans="1:16">
      <c r="A115" t="s">
        <v>1645</v>
      </c>
      <c r="B115" t="s">
        <v>1647</v>
      </c>
      <c r="C115">
        <v>64</v>
      </c>
      <c r="D115">
        <v>1121168430</v>
      </c>
      <c r="E115">
        <v>19907000000</v>
      </c>
      <c r="F115">
        <v>0</v>
      </c>
      <c r="H115" s="66" t="str">
        <f>IF(LEFT(A115,6)="CEPNTR","GPINS",VLOOKUP(LEFT(A115,6),'Code Library'!$A$3:$B$920,2,0))&amp;"_"&amp;RIGHT(A115,3)</f>
        <v>MYPST_IDR</v>
      </c>
      <c r="I115" s="66" t="str">
        <f t="shared" si="7"/>
        <v>CEMPST_IDR</v>
      </c>
      <c r="K115" s="66" t="str">
        <f t="shared" si="8"/>
        <v>IF</v>
      </c>
      <c r="L115" s="66" t="str">
        <f t="shared" si="9"/>
        <v>2021</v>
      </c>
      <c r="M115" s="66" t="str">
        <f t="shared" si="10"/>
        <v>NO</v>
      </c>
      <c r="N115" s="66" t="str">
        <f t="shared" si="11"/>
        <v>IDR</v>
      </c>
      <c r="O115" s="66" t="str">
        <f t="shared" si="12"/>
        <v>L</v>
      </c>
      <c r="P115" s="66" t="str">
        <f t="shared" si="13"/>
        <v>NK</v>
      </c>
    </row>
    <row r="116" spans="1:16">
      <c r="A116" t="s">
        <v>1645</v>
      </c>
      <c r="B116" t="s">
        <v>1648</v>
      </c>
      <c r="C116">
        <v>62</v>
      </c>
      <c r="D116">
        <v>1758892780</v>
      </c>
      <c r="E116">
        <v>21605000000</v>
      </c>
      <c r="F116">
        <v>0</v>
      </c>
      <c r="H116" s="66" t="str">
        <f>IF(LEFT(A116,6)="CEPNTR","GPINS",VLOOKUP(LEFT(A116,6),'Code Library'!$A$3:$B$920,2,0))&amp;"_"&amp;RIGHT(A116,3)</f>
        <v>MYPST_IDR</v>
      </c>
      <c r="I116" s="66" t="str">
        <f t="shared" si="7"/>
        <v>CEMPST_IDR</v>
      </c>
      <c r="K116" s="66" t="str">
        <f t="shared" si="8"/>
        <v>IF</v>
      </c>
      <c r="L116" s="66" t="str">
        <f t="shared" si="9"/>
        <v>2022</v>
      </c>
      <c r="M116" s="66" t="str">
        <f t="shared" si="10"/>
        <v>NO</v>
      </c>
      <c r="N116" s="66" t="str">
        <f t="shared" si="11"/>
        <v>IDR</v>
      </c>
      <c r="O116" s="66" t="str">
        <f t="shared" si="12"/>
        <v>L</v>
      </c>
      <c r="P116" s="66" t="str">
        <f t="shared" si="13"/>
        <v>NK</v>
      </c>
    </row>
    <row r="117" spans="1:16">
      <c r="A117" t="s">
        <v>1645</v>
      </c>
      <c r="B117" t="s">
        <v>1649</v>
      </c>
      <c r="C117">
        <v>142</v>
      </c>
      <c r="D117">
        <v>4508836308</v>
      </c>
      <c r="E117">
        <v>46145955321</v>
      </c>
      <c r="F117">
        <v>0</v>
      </c>
      <c r="H117" s="66" t="str">
        <f>IF(LEFT(A117,6)="CEPNTR","GPINS",VLOOKUP(LEFT(A117,6),'Code Library'!$A$3:$B$920,2,0))&amp;"_"&amp;RIGHT(A117,3)</f>
        <v>MYPST_IDR</v>
      </c>
      <c r="I117" s="66" t="str">
        <f t="shared" si="7"/>
        <v>CEMPST_IDR</v>
      </c>
      <c r="K117" s="66" t="str">
        <f t="shared" si="8"/>
        <v>IF</v>
      </c>
      <c r="L117" s="66" t="str">
        <f t="shared" si="9"/>
        <v>2023</v>
      </c>
      <c r="M117" s="66" t="str">
        <f t="shared" si="10"/>
        <v>NO</v>
      </c>
      <c r="N117" s="66" t="str">
        <f t="shared" si="11"/>
        <v>IDR</v>
      </c>
      <c r="O117" s="66" t="str">
        <f t="shared" si="12"/>
        <v>L</v>
      </c>
      <c r="P117" s="66" t="str">
        <f t="shared" si="13"/>
        <v>NK</v>
      </c>
    </row>
    <row r="118" spans="1:16">
      <c r="A118" t="s">
        <v>1645</v>
      </c>
      <c r="B118" t="s">
        <v>2354</v>
      </c>
      <c r="C118">
        <v>68</v>
      </c>
      <c r="D118">
        <v>3423552942</v>
      </c>
      <c r="E118">
        <v>39277928366</v>
      </c>
      <c r="F118">
        <v>0</v>
      </c>
      <c r="H118" s="66" t="str">
        <f>IF(LEFT(A118,6)="CEPNTR","GPINS",VLOOKUP(LEFT(A118,6),'Code Library'!$A$3:$B$920,2,0))&amp;"_"&amp;RIGHT(A118,3)</f>
        <v>MYPST_IDR</v>
      </c>
      <c r="I118" s="66" t="str">
        <f t="shared" si="7"/>
        <v>CEMPST_IDR</v>
      </c>
      <c r="K118" s="66" t="str">
        <f t="shared" si="8"/>
        <v>IF</v>
      </c>
      <c r="L118" s="66" t="str">
        <f t="shared" si="9"/>
        <v>2024</v>
      </c>
      <c r="M118" s="66" t="str">
        <f t="shared" si="10"/>
        <v>NO</v>
      </c>
      <c r="N118" s="66" t="str">
        <f t="shared" si="11"/>
        <v>IDR</v>
      </c>
      <c r="O118" s="66" t="str">
        <f t="shared" si="12"/>
        <v>L</v>
      </c>
      <c r="P118" s="66" t="str">
        <f t="shared" si="13"/>
        <v>NK</v>
      </c>
    </row>
    <row r="119" spans="1:16">
      <c r="A119" t="s">
        <v>1645</v>
      </c>
      <c r="B119" t="s">
        <v>2355</v>
      </c>
      <c r="C119">
        <v>14</v>
      </c>
      <c r="D119">
        <v>590411720</v>
      </c>
      <c r="E119">
        <v>4290000000</v>
      </c>
      <c r="F119">
        <v>0</v>
      </c>
      <c r="H119" s="66" t="str">
        <f>IF(LEFT(A119,6)="CEPNTR","GPINS",VLOOKUP(LEFT(A119,6),'Code Library'!$A$3:$B$920,2,0))&amp;"_"&amp;RIGHT(A119,3)</f>
        <v>MYPST_IDR</v>
      </c>
      <c r="I119" s="66" t="str">
        <f t="shared" si="7"/>
        <v>CEMPST_IDR</v>
      </c>
      <c r="K119" s="66" t="str">
        <f t="shared" si="8"/>
        <v>Q1</v>
      </c>
      <c r="L119" s="66" t="str">
        <f t="shared" si="9"/>
        <v>2025</v>
      </c>
      <c r="M119" s="66" t="str">
        <f t="shared" si="10"/>
        <v>NO</v>
      </c>
      <c r="N119" s="66" t="str">
        <f t="shared" si="11"/>
        <v>IDR</v>
      </c>
      <c r="O119" s="66" t="str">
        <f t="shared" si="12"/>
        <v>L</v>
      </c>
      <c r="P119" s="66" t="str">
        <f t="shared" si="13"/>
        <v>NK</v>
      </c>
    </row>
    <row r="120" spans="1:16">
      <c r="A120" t="s">
        <v>1650</v>
      </c>
      <c r="B120" t="s">
        <v>1651</v>
      </c>
      <c r="C120">
        <v>2522</v>
      </c>
      <c r="D120">
        <v>473749855</v>
      </c>
      <c r="E120">
        <v>5338900000</v>
      </c>
      <c r="F120">
        <v>2828339</v>
      </c>
      <c r="H120" s="66" t="str">
        <f>IF(LEFT(A120,6)="CEPNTR","GPINS",VLOOKUP(LEFT(A120,6),'Code Library'!$A$3:$B$920,2,0))&amp;"_"&amp;RIGHT(A120,3)</f>
        <v>PL_IDR</v>
      </c>
      <c r="I120" s="66" t="str">
        <f t="shared" si="7"/>
        <v>CEPL___IDR</v>
      </c>
      <c r="K120" s="66" t="str">
        <f t="shared" si="8"/>
        <v>IF</v>
      </c>
      <c r="L120" s="66" t="str">
        <f t="shared" si="9"/>
        <v>2014</v>
      </c>
      <c r="M120" s="66" t="str">
        <f t="shared" si="10"/>
        <v>NI</v>
      </c>
      <c r="N120" s="66" t="str">
        <f t="shared" si="11"/>
        <v>IDR</v>
      </c>
      <c r="O120" s="66" t="str">
        <f t="shared" si="12"/>
        <v>L</v>
      </c>
      <c r="P120" s="66" t="str">
        <f t="shared" si="13"/>
        <v>AG</v>
      </c>
    </row>
    <row r="121" spans="1:16">
      <c r="A121" t="s">
        <v>1652</v>
      </c>
      <c r="B121" t="s">
        <v>1653</v>
      </c>
      <c r="C121">
        <v>31</v>
      </c>
      <c r="D121">
        <v>49441.2</v>
      </c>
      <c r="E121">
        <v>134670</v>
      </c>
      <c r="F121">
        <v>596.03</v>
      </c>
      <c r="H121" s="66" t="str">
        <f>IF(LEFT(A121,6)="CEPNTR","GPINS",VLOOKUP(LEFT(A121,6),'Code Library'!$A$3:$B$920,2,0))&amp;"_"&amp;RIGHT(A121,3)</f>
        <v>PL_USD</v>
      </c>
      <c r="I121" s="66" t="str">
        <f t="shared" si="7"/>
        <v>CEPL___USD</v>
      </c>
      <c r="K121" s="66" t="str">
        <f t="shared" si="8"/>
        <v>IF</v>
      </c>
      <c r="L121" s="66" t="str">
        <f t="shared" si="9"/>
        <v>2014</v>
      </c>
      <c r="M121" s="66" t="str">
        <f t="shared" si="10"/>
        <v>NI</v>
      </c>
      <c r="N121" s="66" t="str">
        <f t="shared" si="11"/>
        <v>USD</v>
      </c>
      <c r="O121" s="66" t="str">
        <f t="shared" si="12"/>
        <v>L</v>
      </c>
      <c r="P121" s="66" t="str">
        <f t="shared" si="13"/>
        <v>AG</v>
      </c>
    </row>
    <row r="122" spans="1:16">
      <c r="A122" t="s">
        <v>1654</v>
      </c>
      <c r="B122" t="s">
        <v>1655</v>
      </c>
      <c r="C122">
        <v>171</v>
      </c>
      <c r="D122">
        <v>57802068</v>
      </c>
      <c r="E122">
        <v>919500000</v>
      </c>
      <c r="F122">
        <v>11</v>
      </c>
      <c r="H122" s="66" t="str">
        <f>IF(LEFT(A122,6)="CEPNTR","GPINS",VLOOKUP(LEFT(A122,6),'Code Library'!$A$3:$B$920,2,0))&amp;"_"&amp;RIGHT(A122,3)</f>
        <v>PLA_IDR</v>
      </c>
      <c r="I122" s="66" t="str">
        <f t="shared" si="7"/>
        <v>CEPLA__IDR</v>
      </c>
      <c r="K122" s="66" t="str">
        <f t="shared" si="8"/>
        <v>IF</v>
      </c>
      <c r="L122" s="66" t="str">
        <f t="shared" si="9"/>
        <v>2014</v>
      </c>
      <c r="M122" s="66" t="str">
        <f t="shared" si="10"/>
        <v>NI</v>
      </c>
      <c r="N122" s="66" t="str">
        <f t="shared" si="11"/>
        <v>IDR</v>
      </c>
      <c r="O122" s="66" t="str">
        <f t="shared" si="12"/>
        <v>L</v>
      </c>
      <c r="P122" s="66" t="str">
        <f t="shared" si="13"/>
        <v>AG</v>
      </c>
    </row>
    <row r="123" spans="1:16">
      <c r="A123" t="s">
        <v>1656</v>
      </c>
      <c r="B123" t="s">
        <v>1657</v>
      </c>
      <c r="C123">
        <v>4</v>
      </c>
      <c r="D123">
        <v>1300000000</v>
      </c>
      <c r="E123">
        <v>1872000000</v>
      </c>
      <c r="F123">
        <v>0</v>
      </c>
      <c r="H123" s="66" t="str">
        <f>IF(LEFT(A123,6)="CEPNTR","GPINS",VLOOKUP(LEFT(A123,6),'Code Library'!$A$3:$B$920,2,0))&amp;"_"&amp;RIGHT(A123,3)</f>
        <v>GPINS_IDR</v>
      </c>
      <c r="I123" s="66" t="str">
        <f t="shared" si="7"/>
        <v>CEPNTR_IDR</v>
      </c>
      <c r="K123" s="66" t="str">
        <f t="shared" si="8"/>
        <v>IF</v>
      </c>
      <c r="L123" s="66" t="str">
        <f t="shared" si="9"/>
        <v>2023</v>
      </c>
      <c r="M123" s="66" t="str">
        <f t="shared" si="10"/>
        <v>NI</v>
      </c>
      <c r="N123" s="66" t="str">
        <f t="shared" si="11"/>
        <v>IDR</v>
      </c>
      <c r="O123" s="66" t="str">
        <f t="shared" si="12"/>
        <v>L</v>
      </c>
      <c r="P123" s="66" t="str">
        <f t="shared" si="13"/>
        <v>NK</v>
      </c>
    </row>
    <row r="124" spans="1:16">
      <c r="A124" t="s">
        <v>1656</v>
      </c>
      <c r="B124" t="s">
        <v>2356</v>
      </c>
      <c r="C124">
        <v>2</v>
      </c>
      <c r="D124">
        <v>880000000</v>
      </c>
      <c r="E124">
        <v>1328800000</v>
      </c>
      <c r="F124">
        <v>0</v>
      </c>
      <c r="H124" s="66" t="str">
        <f>IF(LEFT(A124,6)="CEPNTR","GPINS",VLOOKUP(LEFT(A124,6),'Code Library'!$A$3:$B$920,2,0))&amp;"_"&amp;RIGHT(A124,3)</f>
        <v>GPINS_IDR</v>
      </c>
      <c r="I124" s="66" t="str">
        <f t="shared" si="7"/>
        <v>CEPNTR_IDR</v>
      </c>
      <c r="K124" s="66" t="str">
        <f t="shared" si="8"/>
        <v>IF</v>
      </c>
      <c r="L124" s="66" t="str">
        <f t="shared" si="9"/>
        <v>2024</v>
      </c>
      <c r="M124" s="66" t="str">
        <f t="shared" si="10"/>
        <v>NI</v>
      </c>
      <c r="N124" s="66" t="str">
        <f t="shared" si="11"/>
        <v>IDR</v>
      </c>
      <c r="O124" s="66" t="str">
        <f t="shared" si="12"/>
        <v>L</v>
      </c>
      <c r="P124" s="66" t="str">
        <f t="shared" si="13"/>
        <v>NK</v>
      </c>
    </row>
    <row r="125" spans="1:16">
      <c r="A125" t="s">
        <v>1656</v>
      </c>
      <c r="B125" t="s">
        <v>2501</v>
      </c>
      <c r="C125">
        <v>2</v>
      </c>
      <c r="D125">
        <v>350000000</v>
      </c>
      <c r="E125">
        <v>556500000</v>
      </c>
      <c r="F125">
        <v>0</v>
      </c>
      <c r="H125" s="66" t="str">
        <f>IF(LEFT(A125,6)="CEPNTR","GPINS",VLOOKUP(LEFT(A125,6),'Code Library'!$A$3:$B$920,2,0))&amp;"_"&amp;RIGHT(A125,3)</f>
        <v>GPINS_IDR</v>
      </c>
      <c r="I125" s="66" t="str">
        <f t="shared" si="7"/>
        <v>CEPNTR_IDR</v>
      </c>
      <c r="K125" s="66" t="str">
        <f t="shared" si="8"/>
        <v>Q1</v>
      </c>
      <c r="L125" s="66" t="str">
        <f t="shared" si="9"/>
        <v>2025</v>
      </c>
      <c r="M125" s="66" t="str">
        <f t="shared" si="10"/>
        <v>NI</v>
      </c>
      <c r="N125" s="66" t="str">
        <f t="shared" si="11"/>
        <v>IDR</v>
      </c>
      <c r="O125" s="66" t="str">
        <f t="shared" si="12"/>
        <v>L</v>
      </c>
      <c r="P125" s="66" t="str">
        <f t="shared" si="13"/>
        <v>NK</v>
      </c>
    </row>
    <row r="126" spans="1:16">
      <c r="A126" t="s">
        <v>1658</v>
      </c>
      <c r="B126" t="s">
        <v>1659</v>
      </c>
      <c r="C126">
        <v>5</v>
      </c>
      <c r="D126">
        <v>365000</v>
      </c>
      <c r="E126">
        <v>498850</v>
      </c>
      <c r="F126">
        <v>0</v>
      </c>
      <c r="H126" s="66" t="str">
        <f>IF(LEFT(A126,6)="CEPNTR","GPINS",VLOOKUP(LEFT(A126,6),'Code Library'!$A$3:$B$920,2,0))&amp;"_"&amp;RIGHT(A126,3)</f>
        <v>GPINS_USD</v>
      </c>
      <c r="I126" s="66" t="str">
        <f t="shared" si="7"/>
        <v>CEPNTR_USD</v>
      </c>
      <c r="K126" s="66" t="str">
        <f t="shared" si="8"/>
        <v>IF</v>
      </c>
      <c r="L126" s="66" t="str">
        <f t="shared" si="9"/>
        <v>2023</v>
      </c>
      <c r="M126" s="66" t="str">
        <f t="shared" si="10"/>
        <v>NI</v>
      </c>
      <c r="N126" s="66" t="str">
        <f t="shared" si="11"/>
        <v>USD</v>
      </c>
      <c r="O126" s="66" t="str">
        <f t="shared" si="12"/>
        <v>L</v>
      </c>
      <c r="P126" s="66" t="str">
        <f t="shared" si="13"/>
        <v>NK</v>
      </c>
    </row>
    <row r="127" spans="1:16">
      <c r="A127" t="s">
        <v>1658</v>
      </c>
      <c r="B127" t="s">
        <v>2357</v>
      </c>
      <c r="C127">
        <v>2</v>
      </c>
      <c r="D127">
        <v>20000</v>
      </c>
      <c r="E127">
        <v>26200</v>
      </c>
      <c r="F127">
        <v>0</v>
      </c>
      <c r="H127" s="66" t="str">
        <f>IF(LEFT(A127,6)="CEPNTR","GPINS",VLOOKUP(LEFT(A127,6),'Code Library'!$A$3:$B$920,2,0))&amp;"_"&amp;RIGHT(A127,3)</f>
        <v>GPINS_USD</v>
      </c>
      <c r="I127" s="66" t="str">
        <f t="shared" si="7"/>
        <v>CEPNTR_USD</v>
      </c>
      <c r="K127" s="66" t="str">
        <f t="shared" si="8"/>
        <v>IF</v>
      </c>
      <c r="L127" s="66" t="str">
        <f t="shared" si="9"/>
        <v>2024</v>
      </c>
      <c r="M127" s="66" t="str">
        <f t="shared" si="10"/>
        <v>NI</v>
      </c>
      <c r="N127" s="66" t="str">
        <f t="shared" si="11"/>
        <v>USD</v>
      </c>
      <c r="O127" s="66" t="str">
        <f t="shared" si="12"/>
        <v>L</v>
      </c>
      <c r="P127" s="66" t="str">
        <f t="shared" si="13"/>
        <v>NK</v>
      </c>
    </row>
    <row r="128" spans="1:16">
      <c r="A128" t="s">
        <v>1656</v>
      </c>
      <c r="B128" t="s">
        <v>2358</v>
      </c>
      <c r="C128">
        <v>1</v>
      </c>
      <c r="D128">
        <v>100000000</v>
      </c>
      <c r="E128">
        <v>151000000</v>
      </c>
      <c r="F128">
        <v>0</v>
      </c>
      <c r="H128" s="66" t="str">
        <f>IF(LEFT(A128,6)="CEPNTR","GPINS",VLOOKUP(LEFT(A128,6),'Code Library'!$A$3:$B$920,2,0))&amp;"_"&amp;RIGHT(A128,3)</f>
        <v>GPINS_IDR</v>
      </c>
      <c r="I128" s="66" t="str">
        <f t="shared" si="7"/>
        <v>CEPNTR_IDR</v>
      </c>
      <c r="K128" s="66" t="str">
        <f t="shared" si="8"/>
        <v>IF</v>
      </c>
      <c r="L128" s="66" t="str">
        <f t="shared" si="9"/>
        <v>2024</v>
      </c>
      <c r="M128" s="66" t="str">
        <f t="shared" si="10"/>
        <v>NI</v>
      </c>
      <c r="N128" s="66" t="str">
        <f t="shared" si="11"/>
        <v>IDR</v>
      </c>
      <c r="O128" s="66" t="str">
        <f t="shared" si="12"/>
        <v>L</v>
      </c>
      <c r="P128" s="66" t="str">
        <f t="shared" si="13"/>
        <v>NK</v>
      </c>
    </row>
    <row r="129" spans="1:16">
      <c r="A129" t="s">
        <v>1658</v>
      </c>
      <c r="B129" t="s">
        <v>2359</v>
      </c>
      <c r="C129">
        <v>1</v>
      </c>
      <c r="D129">
        <v>10000</v>
      </c>
      <c r="E129">
        <v>13100</v>
      </c>
      <c r="F129">
        <v>0</v>
      </c>
      <c r="H129" s="66" t="str">
        <f>IF(LEFT(A129,6)="CEPNTR","GPINS",VLOOKUP(LEFT(A129,6),'Code Library'!$A$3:$B$920,2,0))&amp;"_"&amp;RIGHT(A129,3)</f>
        <v>GPINS_USD</v>
      </c>
      <c r="I129" s="66" t="str">
        <f t="shared" si="7"/>
        <v>CEPNTR_USD</v>
      </c>
      <c r="K129" s="66" t="str">
        <f t="shared" si="8"/>
        <v>IF</v>
      </c>
      <c r="L129" s="66" t="str">
        <f t="shared" si="9"/>
        <v>2024</v>
      </c>
      <c r="M129" s="66" t="str">
        <f t="shared" si="10"/>
        <v>NI</v>
      </c>
      <c r="N129" s="66" t="str">
        <f t="shared" si="11"/>
        <v>USD</v>
      </c>
      <c r="O129" s="66" t="str">
        <f t="shared" si="12"/>
        <v>L</v>
      </c>
      <c r="P129" s="66" t="str">
        <f t="shared" si="13"/>
        <v>NK</v>
      </c>
    </row>
    <row r="130" spans="1:16">
      <c r="A130" t="s">
        <v>1656</v>
      </c>
      <c r="B130" t="s">
        <v>1660</v>
      </c>
      <c r="C130">
        <v>89</v>
      </c>
      <c r="D130">
        <v>17180000000</v>
      </c>
      <c r="E130">
        <v>24739200000</v>
      </c>
      <c r="F130">
        <v>0</v>
      </c>
      <c r="H130" s="66" t="str">
        <f>IF(LEFT(A130,6)="CEPNTR","GPINS",VLOOKUP(LEFT(A130,6),'Code Library'!$A$3:$B$920,2,0))&amp;"_"&amp;RIGHT(A130,3)</f>
        <v>GPINS_IDR</v>
      </c>
      <c r="I130" s="66" t="str">
        <f t="shared" si="7"/>
        <v>CEPNTR_IDR</v>
      </c>
      <c r="K130" s="66" t="str">
        <f t="shared" si="8"/>
        <v>IF</v>
      </c>
      <c r="L130" s="66" t="str">
        <f t="shared" si="9"/>
        <v>2023</v>
      </c>
      <c r="M130" s="66" t="str">
        <f t="shared" si="10"/>
        <v>NI</v>
      </c>
      <c r="N130" s="66" t="str">
        <f t="shared" si="11"/>
        <v>IDR</v>
      </c>
      <c r="O130" s="66" t="str">
        <f t="shared" si="12"/>
        <v>L</v>
      </c>
      <c r="P130" s="66" t="str">
        <f t="shared" si="13"/>
        <v>NK</v>
      </c>
    </row>
    <row r="131" spans="1:16">
      <c r="A131" t="s">
        <v>1656</v>
      </c>
      <c r="B131" t="s">
        <v>2360</v>
      </c>
      <c r="C131">
        <v>188</v>
      </c>
      <c r="D131">
        <v>38410000000</v>
      </c>
      <c r="E131">
        <v>57837900000</v>
      </c>
      <c r="F131">
        <v>0</v>
      </c>
      <c r="H131" s="66" t="str">
        <f>IF(LEFT(A131,6)="CEPNTR","GPINS",VLOOKUP(LEFT(A131,6),'Code Library'!$A$3:$B$920,2,0))&amp;"_"&amp;RIGHT(A131,3)</f>
        <v>GPINS_IDR</v>
      </c>
      <c r="I131" s="66" t="str">
        <f t="shared" ref="I131:I194" si="14">A131</f>
        <v>CEPNTR_IDR</v>
      </c>
      <c r="K131" s="66" t="str">
        <f t="shared" ref="K131:K194" si="15">RIGHT($B131,2)</f>
        <v>IF</v>
      </c>
      <c r="L131" s="66" t="str">
        <f t="shared" ref="L131:L194" si="16">LEFT(RIGHT($B131,7),4)</f>
        <v>2024</v>
      </c>
      <c r="M131" s="66" t="str">
        <f t="shared" ref="M131:M194" si="17">LEFT(RIGHT($B131,10),2)</f>
        <v>NI</v>
      </c>
      <c r="N131" s="66" t="str">
        <f t="shared" ref="N131:N194" si="18">LEFT(RIGHT($B131,14),3)</f>
        <v>IDR</v>
      </c>
      <c r="O131" s="66" t="str">
        <f t="shared" ref="O131:O194" si="19">LEFT(RIGHT($B131,16),1)</f>
        <v>L</v>
      </c>
      <c r="P131" s="66" t="str">
        <f t="shared" ref="P131:P194" si="20">LEFT(RIGHT($B131,19),2)</f>
        <v>NK</v>
      </c>
    </row>
    <row r="132" spans="1:16">
      <c r="A132" t="s">
        <v>1656</v>
      </c>
      <c r="B132" t="s">
        <v>2361</v>
      </c>
      <c r="C132">
        <v>54</v>
      </c>
      <c r="D132">
        <v>9130000000</v>
      </c>
      <c r="E132">
        <v>14287100000</v>
      </c>
      <c r="F132">
        <v>0</v>
      </c>
      <c r="H132" s="66" t="str">
        <f>IF(LEFT(A132,6)="CEPNTR","GPINS",VLOOKUP(LEFT(A132,6),'Code Library'!$A$3:$B$920,2,0))&amp;"_"&amp;RIGHT(A132,3)</f>
        <v>GPINS_IDR</v>
      </c>
      <c r="I132" s="66" t="str">
        <f t="shared" si="14"/>
        <v>CEPNTR_IDR</v>
      </c>
      <c r="K132" s="66" t="str">
        <f t="shared" si="15"/>
        <v>Q1</v>
      </c>
      <c r="L132" s="66" t="str">
        <f t="shared" si="16"/>
        <v>2025</v>
      </c>
      <c r="M132" s="66" t="str">
        <f t="shared" si="17"/>
        <v>NI</v>
      </c>
      <c r="N132" s="66" t="str">
        <f t="shared" si="18"/>
        <v>IDR</v>
      </c>
      <c r="O132" s="66" t="str">
        <f t="shared" si="19"/>
        <v>L</v>
      </c>
      <c r="P132" s="66" t="str">
        <f t="shared" si="20"/>
        <v>NK</v>
      </c>
    </row>
    <row r="133" spans="1:16">
      <c r="A133" t="s">
        <v>1658</v>
      </c>
      <c r="B133" t="s">
        <v>1661</v>
      </c>
      <c r="C133">
        <v>19</v>
      </c>
      <c r="D133">
        <v>525500</v>
      </c>
      <c r="E133">
        <v>695665</v>
      </c>
      <c r="F133">
        <v>0</v>
      </c>
      <c r="H133" s="66" t="str">
        <f>IF(LEFT(A133,6)="CEPNTR","GPINS",VLOOKUP(LEFT(A133,6),'Code Library'!$A$3:$B$920,2,0))&amp;"_"&amp;RIGHT(A133,3)</f>
        <v>GPINS_USD</v>
      </c>
      <c r="I133" s="66" t="str">
        <f t="shared" si="14"/>
        <v>CEPNTR_USD</v>
      </c>
      <c r="K133" s="66" t="str">
        <f t="shared" si="15"/>
        <v>IF</v>
      </c>
      <c r="L133" s="66" t="str">
        <f t="shared" si="16"/>
        <v>2023</v>
      </c>
      <c r="M133" s="66" t="str">
        <f t="shared" si="17"/>
        <v>NI</v>
      </c>
      <c r="N133" s="66" t="str">
        <f t="shared" si="18"/>
        <v>USD</v>
      </c>
      <c r="O133" s="66" t="str">
        <f t="shared" si="19"/>
        <v>L</v>
      </c>
      <c r="P133" s="66" t="str">
        <f t="shared" si="20"/>
        <v>NK</v>
      </c>
    </row>
    <row r="134" spans="1:16">
      <c r="A134" t="s">
        <v>1658</v>
      </c>
      <c r="B134" t="s">
        <v>2362</v>
      </c>
      <c r="C134">
        <v>31</v>
      </c>
      <c r="D134">
        <v>689000</v>
      </c>
      <c r="E134">
        <v>900840</v>
      </c>
      <c r="F134">
        <v>0</v>
      </c>
      <c r="H134" s="66" t="str">
        <f>IF(LEFT(A134,6)="CEPNTR","GPINS",VLOOKUP(LEFT(A134,6),'Code Library'!$A$3:$B$920,2,0))&amp;"_"&amp;RIGHT(A134,3)</f>
        <v>GPINS_USD</v>
      </c>
      <c r="I134" s="66" t="str">
        <f t="shared" si="14"/>
        <v>CEPNTR_USD</v>
      </c>
      <c r="K134" s="66" t="str">
        <f t="shared" si="15"/>
        <v>IF</v>
      </c>
      <c r="L134" s="66" t="str">
        <f t="shared" si="16"/>
        <v>2024</v>
      </c>
      <c r="M134" s="66" t="str">
        <f t="shared" si="17"/>
        <v>NI</v>
      </c>
      <c r="N134" s="66" t="str">
        <f t="shared" si="18"/>
        <v>USD</v>
      </c>
      <c r="O134" s="66" t="str">
        <f t="shared" si="19"/>
        <v>L</v>
      </c>
      <c r="P134" s="66" t="str">
        <f t="shared" si="20"/>
        <v>NK</v>
      </c>
    </row>
    <row r="135" spans="1:16">
      <c r="A135" t="s">
        <v>1658</v>
      </c>
      <c r="B135" t="s">
        <v>2363</v>
      </c>
      <c r="C135">
        <v>16</v>
      </c>
      <c r="D135">
        <v>186000</v>
      </c>
      <c r="E135">
        <v>243660</v>
      </c>
      <c r="F135">
        <v>0</v>
      </c>
      <c r="H135" s="66" t="str">
        <f>IF(LEFT(A135,6)="CEPNTR","GPINS",VLOOKUP(LEFT(A135,6),'Code Library'!$A$3:$B$920,2,0))&amp;"_"&amp;RIGHT(A135,3)</f>
        <v>GPINS_USD</v>
      </c>
      <c r="I135" s="66" t="str">
        <f t="shared" si="14"/>
        <v>CEPNTR_USD</v>
      </c>
      <c r="K135" s="66" t="str">
        <f t="shared" si="15"/>
        <v>Q1</v>
      </c>
      <c r="L135" s="66" t="str">
        <f t="shared" si="16"/>
        <v>2025</v>
      </c>
      <c r="M135" s="66" t="str">
        <f t="shared" si="17"/>
        <v>NI</v>
      </c>
      <c r="N135" s="66" t="str">
        <f t="shared" si="18"/>
        <v>USD</v>
      </c>
      <c r="O135" s="66" t="str">
        <f t="shared" si="19"/>
        <v>L</v>
      </c>
      <c r="P135" s="66" t="str">
        <f t="shared" si="20"/>
        <v>NK</v>
      </c>
    </row>
    <row r="136" spans="1:16">
      <c r="A136" t="s">
        <v>1656</v>
      </c>
      <c r="B136" t="s">
        <v>2502</v>
      </c>
      <c r="C136">
        <v>1</v>
      </c>
      <c r="D136">
        <v>150000000</v>
      </c>
      <c r="E136">
        <v>238500000</v>
      </c>
      <c r="F136">
        <v>0</v>
      </c>
      <c r="H136" s="66" t="str">
        <f>IF(LEFT(A136,6)="CEPNTR","GPINS",VLOOKUP(LEFT(A136,6),'Code Library'!$A$3:$B$920,2,0))&amp;"_"&amp;RIGHT(A136,3)</f>
        <v>GPINS_IDR</v>
      </c>
      <c r="I136" s="66" t="str">
        <f t="shared" si="14"/>
        <v>CEPNTR_IDR</v>
      </c>
      <c r="K136" s="66" t="str">
        <f t="shared" si="15"/>
        <v>Q1</v>
      </c>
      <c r="L136" s="66" t="str">
        <f t="shared" si="16"/>
        <v>2025</v>
      </c>
      <c r="M136" s="66" t="str">
        <f t="shared" si="17"/>
        <v>NI</v>
      </c>
      <c r="N136" s="66" t="str">
        <f t="shared" si="18"/>
        <v>IDR</v>
      </c>
      <c r="O136" s="66" t="str">
        <f t="shared" si="19"/>
        <v>L</v>
      </c>
      <c r="P136" s="66" t="str">
        <f t="shared" si="20"/>
        <v>NK</v>
      </c>
    </row>
    <row r="137" spans="1:16">
      <c r="A137" t="s">
        <v>1656</v>
      </c>
      <c r="B137" t="s">
        <v>1662</v>
      </c>
      <c r="C137">
        <v>63</v>
      </c>
      <c r="D137">
        <v>20480000000</v>
      </c>
      <c r="E137">
        <v>29491200000</v>
      </c>
      <c r="F137">
        <v>0</v>
      </c>
      <c r="H137" s="66" t="str">
        <f>IF(LEFT(A137,6)="CEPNTR","GPINS",VLOOKUP(LEFT(A137,6),'Code Library'!$A$3:$B$920,2,0))&amp;"_"&amp;RIGHT(A137,3)</f>
        <v>GPINS_IDR</v>
      </c>
      <c r="I137" s="66" t="str">
        <f t="shared" si="14"/>
        <v>CEPNTR_IDR</v>
      </c>
      <c r="K137" s="66" t="str">
        <f t="shared" si="15"/>
        <v>IF</v>
      </c>
      <c r="L137" s="66" t="str">
        <f t="shared" si="16"/>
        <v>2023</v>
      </c>
      <c r="M137" s="66" t="str">
        <f t="shared" si="17"/>
        <v>NI</v>
      </c>
      <c r="N137" s="66" t="str">
        <f t="shared" si="18"/>
        <v>IDR</v>
      </c>
      <c r="O137" s="66" t="str">
        <f t="shared" si="19"/>
        <v>L</v>
      </c>
      <c r="P137" s="66" t="str">
        <f t="shared" si="20"/>
        <v>KT</v>
      </c>
    </row>
    <row r="138" spans="1:16">
      <c r="A138" t="s">
        <v>1656</v>
      </c>
      <c r="B138" t="s">
        <v>2364</v>
      </c>
      <c r="C138">
        <v>52</v>
      </c>
      <c r="D138">
        <v>12360000000</v>
      </c>
      <c r="E138">
        <v>18211000000</v>
      </c>
      <c r="F138">
        <v>0</v>
      </c>
      <c r="H138" s="66" t="str">
        <f>IF(LEFT(A138,6)="CEPNTR","GPINS",VLOOKUP(LEFT(A138,6),'Code Library'!$A$3:$B$920,2,0))&amp;"_"&amp;RIGHT(A138,3)</f>
        <v>GPINS_IDR</v>
      </c>
      <c r="I138" s="66" t="str">
        <f t="shared" si="14"/>
        <v>CEPNTR_IDR</v>
      </c>
      <c r="K138" s="66" t="str">
        <f t="shared" si="15"/>
        <v>IF</v>
      </c>
      <c r="L138" s="66" t="str">
        <f t="shared" si="16"/>
        <v>2024</v>
      </c>
      <c r="M138" s="66" t="str">
        <f t="shared" si="17"/>
        <v>NI</v>
      </c>
      <c r="N138" s="66" t="str">
        <f t="shared" si="18"/>
        <v>IDR</v>
      </c>
      <c r="O138" s="66" t="str">
        <f t="shared" si="19"/>
        <v>L</v>
      </c>
      <c r="P138" s="66" t="str">
        <f t="shared" si="20"/>
        <v>KT</v>
      </c>
    </row>
    <row r="139" spans="1:16">
      <c r="A139" t="s">
        <v>1656</v>
      </c>
      <c r="B139" t="s">
        <v>2365</v>
      </c>
      <c r="C139">
        <v>5</v>
      </c>
      <c r="D139">
        <v>1730000000</v>
      </c>
      <c r="E139">
        <v>2750700000</v>
      </c>
      <c r="F139">
        <v>0</v>
      </c>
      <c r="H139" s="66" t="str">
        <f>IF(LEFT(A139,6)="CEPNTR","GPINS",VLOOKUP(LEFT(A139,6),'Code Library'!$A$3:$B$920,2,0))&amp;"_"&amp;RIGHT(A139,3)</f>
        <v>GPINS_IDR</v>
      </c>
      <c r="I139" s="66" t="str">
        <f t="shared" si="14"/>
        <v>CEPNTR_IDR</v>
      </c>
      <c r="K139" s="66" t="str">
        <f t="shared" si="15"/>
        <v>Q1</v>
      </c>
      <c r="L139" s="66" t="str">
        <f t="shared" si="16"/>
        <v>2025</v>
      </c>
      <c r="M139" s="66" t="str">
        <f t="shared" si="17"/>
        <v>NI</v>
      </c>
      <c r="N139" s="66" t="str">
        <f t="shared" si="18"/>
        <v>IDR</v>
      </c>
      <c r="O139" s="66" t="str">
        <f t="shared" si="19"/>
        <v>L</v>
      </c>
      <c r="P139" s="66" t="str">
        <f t="shared" si="20"/>
        <v>KT</v>
      </c>
    </row>
    <row r="140" spans="1:16">
      <c r="A140" t="s">
        <v>1658</v>
      </c>
      <c r="B140" t="s">
        <v>1663</v>
      </c>
      <c r="C140">
        <v>90</v>
      </c>
      <c r="D140">
        <v>1993950</v>
      </c>
      <c r="E140">
        <v>2669627</v>
      </c>
      <c r="F140">
        <v>0</v>
      </c>
      <c r="H140" s="66" t="str">
        <f>IF(LEFT(A140,6)="CEPNTR","GPINS",VLOOKUP(LEFT(A140,6),'Code Library'!$A$3:$B$920,2,0))&amp;"_"&amp;RIGHT(A140,3)</f>
        <v>GPINS_USD</v>
      </c>
      <c r="I140" s="66" t="str">
        <f t="shared" si="14"/>
        <v>CEPNTR_USD</v>
      </c>
      <c r="K140" s="66" t="str">
        <f t="shared" si="15"/>
        <v>IF</v>
      </c>
      <c r="L140" s="66" t="str">
        <f t="shared" si="16"/>
        <v>2023</v>
      </c>
      <c r="M140" s="66" t="str">
        <f t="shared" si="17"/>
        <v>NI</v>
      </c>
      <c r="N140" s="66" t="str">
        <f t="shared" si="18"/>
        <v>USD</v>
      </c>
      <c r="O140" s="66" t="str">
        <f t="shared" si="19"/>
        <v>L</v>
      </c>
      <c r="P140" s="66" t="str">
        <f t="shared" si="20"/>
        <v>KT</v>
      </c>
    </row>
    <row r="141" spans="1:16">
      <c r="A141" t="s">
        <v>1658</v>
      </c>
      <c r="B141" t="s">
        <v>2366</v>
      </c>
      <c r="C141">
        <v>63</v>
      </c>
      <c r="D141">
        <v>1424000</v>
      </c>
      <c r="E141">
        <v>1862850</v>
      </c>
      <c r="F141">
        <v>0</v>
      </c>
      <c r="H141" s="66" t="str">
        <f>IF(LEFT(A141,6)="CEPNTR","GPINS",VLOOKUP(LEFT(A141,6),'Code Library'!$A$3:$B$920,2,0))&amp;"_"&amp;RIGHT(A141,3)</f>
        <v>GPINS_USD</v>
      </c>
      <c r="I141" s="66" t="str">
        <f t="shared" si="14"/>
        <v>CEPNTR_USD</v>
      </c>
      <c r="K141" s="66" t="str">
        <f t="shared" si="15"/>
        <v>IF</v>
      </c>
      <c r="L141" s="66" t="str">
        <f t="shared" si="16"/>
        <v>2024</v>
      </c>
      <c r="M141" s="66" t="str">
        <f t="shared" si="17"/>
        <v>NI</v>
      </c>
      <c r="N141" s="66" t="str">
        <f t="shared" si="18"/>
        <v>USD</v>
      </c>
      <c r="O141" s="66" t="str">
        <f t="shared" si="19"/>
        <v>L</v>
      </c>
      <c r="P141" s="66" t="str">
        <f t="shared" si="20"/>
        <v>KT</v>
      </c>
    </row>
    <row r="142" spans="1:16">
      <c r="A142" t="s">
        <v>1658</v>
      </c>
      <c r="B142" t="s">
        <v>2518</v>
      </c>
      <c r="C142">
        <v>2</v>
      </c>
      <c r="D142">
        <v>30000</v>
      </c>
      <c r="E142">
        <v>39300</v>
      </c>
      <c r="F142">
        <v>0</v>
      </c>
      <c r="H142" s="66" t="str">
        <f>IF(LEFT(A142,6)="CEPNTR","GPINS",VLOOKUP(LEFT(A142,6),'Code Library'!$A$3:$B$920,2,0))&amp;"_"&amp;RIGHT(A142,3)</f>
        <v>GPINS_USD</v>
      </c>
      <c r="I142" s="66" t="str">
        <f t="shared" si="14"/>
        <v>CEPNTR_USD</v>
      </c>
      <c r="K142" s="66" t="str">
        <f t="shared" si="15"/>
        <v>Q1</v>
      </c>
      <c r="L142" s="66" t="str">
        <f t="shared" si="16"/>
        <v>2025</v>
      </c>
      <c r="M142" s="66" t="str">
        <f t="shared" si="17"/>
        <v>NI</v>
      </c>
      <c r="N142" s="66" t="str">
        <f t="shared" si="18"/>
        <v>USD</v>
      </c>
      <c r="O142" s="66" t="str">
        <f t="shared" si="19"/>
        <v>L</v>
      </c>
      <c r="P142" s="66" t="str">
        <f t="shared" si="20"/>
        <v>KT</v>
      </c>
    </row>
    <row r="143" spans="1:16">
      <c r="A143" t="s">
        <v>1656</v>
      </c>
      <c r="B143" t="s">
        <v>2367</v>
      </c>
      <c r="C143">
        <v>229</v>
      </c>
      <c r="D143">
        <v>62550000000</v>
      </c>
      <c r="E143">
        <v>95584100000</v>
      </c>
      <c r="F143">
        <v>0</v>
      </c>
      <c r="H143" s="66" t="str">
        <f>IF(LEFT(A143,6)="CEPNTR","GPINS",VLOOKUP(LEFT(A143,6),'Code Library'!$A$3:$B$920,2,0))&amp;"_"&amp;RIGHT(A143,3)</f>
        <v>GPINS_IDR</v>
      </c>
      <c r="I143" s="66" t="str">
        <f t="shared" si="14"/>
        <v>CEPNTR_IDR</v>
      </c>
      <c r="K143" s="66" t="str">
        <f t="shared" si="15"/>
        <v>IF</v>
      </c>
      <c r="L143" s="66" t="str">
        <f t="shared" si="16"/>
        <v>2024</v>
      </c>
      <c r="M143" s="66" t="str">
        <f t="shared" si="17"/>
        <v>NI</v>
      </c>
      <c r="N143" s="66" t="str">
        <f t="shared" si="18"/>
        <v>IDR</v>
      </c>
      <c r="O143" s="66" t="str">
        <f t="shared" si="19"/>
        <v>L</v>
      </c>
      <c r="P143" s="66" t="str">
        <f t="shared" si="20"/>
        <v>NK</v>
      </c>
    </row>
    <row r="144" spans="1:16">
      <c r="A144" t="s">
        <v>1656</v>
      </c>
      <c r="B144" t="s">
        <v>2368</v>
      </c>
      <c r="C144">
        <v>154</v>
      </c>
      <c r="D144">
        <v>31150000000</v>
      </c>
      <c r="E144">
        <v>48622900000</v>
      </c>
      <c r="F144">
        <v>0</v>
      </c>
      <c r="H144" s="66" t="str">
        <f>IF(LEFT(A144,6)="CEPNTR","GPINS",VLOOKUP(LEFT(A144,6),'Code Library'!$A$3:$B$920,2,0))&amp;"_"&amp;RIGHT(A144,3)</f>
        <v>GPINS_IDR</v>
      </c>
      <c r="I144" s="66" t="str">
        <f t="shared" si="14"/>
        <v>CEPNTR_IDR</v>
      </c>
      <c r="K144" s="66" t="str">
        <f t="shared" si="15"/>
        <v>Q1</v>
      </c>
      <c r="L144" s="66" t="str">
        <f t="shared" si="16"/>
        <v>2025</v>
      </c>
      <c r="M144" s="66" t="str">
        <f t="shared" si="17"/>
        <v>NI</v>
      </c>
      <c r="N144" s="66" t="str">
        <f t="shared" si="18"/>
        <v>IDR</v>
      </c>
      <c r="O144" s="66" t="str">
        <f t="shared" si="19"/>
        <v>L</v>
      </c>
      <c r="P144" s="66" t="str">
        <f t="shared" si="20"/>
        <v>NK</v>
      </c>
    </row>
    <row r="145" spans="1:16">
      <c r="A145" t="s">
        <v>1658</v>
      </c>
      <c r="B145" t="s">
        <v>1664</v>
      </c>
      <c r="C145">
        <v>227</v>
      </c>
      <c r="D145">
        <v>4495717</v>
      </c>
      <c r="E145">
        <v>5959505</v>
      </c>
      <c r="F145">
        <v>0</v>
      </c>
      <c r="H145" s="66" t="str">
        <f>IF(LEFT(A145,6)="CEPNTR","GPINS",VLOOKUP(LEFT(A145,6),'Code Library'!$A$3:$B$920,2,0))&amp;"_"&amp;RIGHT(A145,3)</f>
        <v>GPINS_USD</v>
      </c>
      <c r="I145" s="66" t="str">
        <f t="shared" si="14"/>
        <v>CEPNTR_USD</v>
      </c>
      <c r="K145" s="66" t="str">
        <f t="shared" si="15"/>
        <v>IF</v>
      </c>
      <c r="L145" s="66" t="str">
        <f t="shared" si="16"/>
        <v>2023</v>
      </c>
      <c r="M145" s="66" t="str">
        <f t="shared" si="17"/>
        <v>NI</v>
      </c>
      <c r="N145" s="66" t="str">
        <f t="shared" si="18"/>
        <v>USD</v>
      </c>
      <c r="O145" s="66" t="str">
        <f t="shared" si="19"/>
        <v>L</v>
      </c>
      <c r="P145" s="66" t="str">
        <f t="shared" si="20"/>
        <v>NK</v>
      </c>
    </row>
    <row r="146" spans="1:16">
      <c r="A146" t="s">
        <v>1658</v>
      </c>
      <c r="B146" t="s">
        <v>2369</v>
      </c>
      <c r="C146">
        <v>143</v>
      </c>
      <c r="D146">
        <v>2628000</v>
      </c>
      <c r="E146">
        <v>3442680</v>
      </c>
      <c r="F146">
        <v>0</v>
      </c>
      <c r="H146" s="66" t="str">
        <f>IF(LEFT(A146,6)="CEPNTR","GPINS",VLOOKUP(LEFT(A146,6),'Code Library'!$A$3:$B$920,2,0))&amp;"_"&amp;RIGHT(A146,3)</f>
        <v>GPINS_USD</v>
      </c>
      <c r="I146" s="66" t="str">
        <f t="shared" si="14"/>
        <v>CEPNTR_USD</v>
      </c>
      <c r="K146" s="66" t="str">
        <f t="shared" si="15"/>
        <v>IF</v>
      </c>
      <c r="L146" s="66" t="str">
        <f t="shared" si="16"/>
        <v>2024</v>
      </c>
      <c r="M146" s="66" t="str">
        <f t="shared" si="17"/>
        <v>NI</v>
      </c>
      <c r="N146" s="66" t="str">
        <f t="shared" si="18"/>
        <v>USD</v>
      </c>
      <c r="O146" s="66" t="str">
        <f t="shared" si="19"/>
        <v>L</v>
      </c>
      <c r="P146" s="66" t="str">
        <f t="shared" si="20"/>
        <v>NK</v>
      </c>
    </row>
    <row r="147" spans="1:16">
      <c r="A147" t="s">
        <v>1658</v>
      </c>
      <c r="B147" t="s">
        <v>2370</v>
      </c>
      <c r="C147">
        <v>40</v>
      </c>
      <c r="D147">
        <v>616000</v>
      </c>
      <c r="E147">
        <v>806960</v>
      </c>
      <c r="F147">
        <v>0</v>
      </c>
      <c r="H147" s="66" t="str">
        <f>IF(LEFT(A147,6)="CEPNTR","GPINS",VLOOKUP(LEFT(A147,6),'Code Library'!$A$3:$B$920,2,0))&amp;"_"&amp;RIGHT(A147,3)</f>
        <v>GPINS_USD</v>
      </c>
      <c r="I147" s="66" t="str">
        <f t="shared" si="14"/>
        <v>CEPNTR_USD</v>
      </c>
      <c r="K147" s="66" t="str">
        <f t="shared" si="15"/>
        <v>Q1</v>
      </c>
      <c r="L147" s="66" t="str">
        <f t="shared" si="16"/>
        <v>2025</v>
      </c>
      <c r="M147" s="66" t="str">
        <f t="shared" si="17"/>
        <v>NI</v>
      </c>
      <c r="N147" s="66" t="str">
        <f t="shared" si="18"/>
        <v>USD</v>
      </c>
      <c r="O147" s="66" t="str">
        <f t="shared" si="19"/>
        <v>L</v>
      </c>
      <c r="P147" s="66" t="str">
        <f t="shared" si="20"/>
        <v>NK</v>
      </c>
    </row>
    <row r="148" spans="1:16">
      <c r="A148" t="s">
        <v>1656</v>
      </c>
      <c r="B148" t="s">
        <v>2371</v>
      </c>
      <c r="C148">
        <v>4</v>
      </c>
      <c r="D148">
        <v>1200000000</v>
      </c>
      <c r="E148">
        <v>1908000000</v>
      </c>
      <c r="F148">
        <v>0</v>
      </c>
      <c r="H148" s="66" t="str">
        <f>IF(LEFT(A148,6)="CEPNTR","GPINS",VLOOKUP(LEFT(A148,6),'Code Library'!$A$3:$B$920,2,0))&amp;"_"&amp;RIGHT(A148,3)</f>
        <v>GPINS_IDR</v>
      </c>
      <c r="I148" s="66" t="str">
        <f t="shared" si="14"/>
        <v>CEPNTR_IDR</v>
      </c>
      <c r="K148" s="66" t="str">
        <f t="shared" si="15"/>
        <v>IF</v>
      </c>
      <c r="L148" s="66" t="str">
        <f t="shared" si="16"/>
        <v>2024</v>
      </c>
      <c r="M148" s="66" t="str">
        <f t="shared" si="17"/>
        <v>NI</v>
      </c>
      <c r="N148" s="66" t="str">
        <f t="shared" si="18"/>
        <v>IDR</v>
      </c>
      <c r="O148" s="66" t="str">
        <f t="shared" si="19"/>
        <v>L</v>
      </c>
      <c r="P148" s="66" t="str">
        <f t="shared" si="20"/>
        <v>NK</v>
      </c>
    </row>
    <row r="149" spans="1:16">
      <c r="A149" t="s">
        <v>1656</v>
      </c>
      <c r="B149" t="s">
        <v>2372</v>
      </c>
      <c r="C149">
        <v>16</v>
      </c>
      <c r="D149">
        <v>6770000000</v>
      </c>
      <c r="E149">
        <v>10520300000</v>
      </c>
      <c r="F149">
        <v>0</v>
      </c>
      <c r="H149" s="66" t="str">
        <f>IF(LEFT(A149,6)="CEPNTR","GPINS",VLOOKUP(LEFT(A149,6),'Code Library'!$A$3:$B$920,2,0))&amp;"_"&amp;RIGHT(A149,3)</f>
        <v>GPINS_IDR</v>
      </c>
      <c r="I149" s="66" t="str">
        <f t="shared" si="14"/>
        <v>CEPNTR_IDR</v>
      </c>
      <c r="K149" s="66" t="str">
        <f t="shared" si="15"/>
        <v>Q1</v>
      </c>
      <c r="L149" s="66" t="str">
        <f t="shared" si="16"/>
        <v>2025</v>
      </c>
      <c r="M149" s="66" t="str">
        <f t="shared" si="17"/>
        <v>NI</v>
      </c>
      <c r="N149" s="66" t="str">
        <f t="shared" si="18"/>
        <v>IDR</v>
      </c>
      <c r="O149" s="66" t="str">
        <f t="shared" si="19"/>
        <v>L</v>
      </c>
      <c r="P149" s="66" t="str">
        <f t="shared" si="20"/>
        <v>NK</v>
      </c>
    </row>
    <row r="150" spans="1:16">
      <c r="A150" t="s">
        <v>1658</v>
      </c>
      <c r="B150" t="s">
        <v>2373</v>
      </c>
      <c r="C150">
        <v>1</v>
      </c>
      <c r="D150">
        <v>60000</v>
      </c>
      <c r="E150">
        <v>78600</v>
      </c>
      <c r="F150">
        <v>0</v>
      </c>
      <c r="H150" s="66" t="str">
        <f>IF(LEFT(A150,6)="CEPNTR","GPINS",VLOOKUP(LEFT(A150,6),'Code Library'!$A$3:$B$920,2,0))&amp;"_"&amp;RIGHT(A150,3)</f>
        <v>GPINS_USD</v>
      </c>
      <c r="I150" s="66" t="str">
        <f t="shared" si="14"/>
        <v>CEPNTR_USD</v>
      </c>
      <c r="K150" s="66" t="str">
        <f t="shared" si="15"/>
        <v>IF</v>
      </c>
      <c r="L150" s="66" t="str">
        <f t="shared" si="16"/>
        <v>2024</v>
      </c>
      <c r="M150" s="66" t="str">
        <f t="shared" si="17"/>
        <v>NI</v>
      </c>
      <c r="N150" s="66" t="str">
        <f t="shared" si="18"/>
        <v>USD</v>
      </c>
      <c r="O150" s="66" t="str">
        <f t="shared" si="19"/>
        <v>L</v>
      </c>
      <c r="P150" s="66" t="str">
        <f t="shared" si="20"/>
        <v>NK</v>
      </c>
    </row>
    <row r="151" spans="1:16">
      <c r="A151" t="s">
        <v>1658</v>
      </c>
      <c r="B151" t="s">
        <v>2374</v>
      </c>
      <c r="C151">
        <v>8</v>
      </c>
      <c r="D151">
        <v>261000</v>
      </c>
      <c r="E151">
        <v>341910</v>
      </c>
      <c r="F151">
        <v>0</v>
      </c>
      <c r="H151" s="66" t="str">
        <f>IF(LEFT(A151,6)="CEPNTR","GPINS",VLOOKUP(LEFT(A151,6),'Code Library'!$A$3:$B$920,2,0))&amp;"_"&amp;RIGHT(A151,3)</f>
        <v>GPINS_USD</v>
      </c>
      <c r="I151" s="66" t="str">
        <f t="shared" si="14"/>
        <v>CEPNTR_USD</v>
      </c>
      <c r="K151" s="66" t="str">
        <f t="shared" si="15"/>
        <v>Q1</v>
      </c>
      <c r="L151" s="66" t="str">
        <f t="shared" si="16"/>
        <v>2025</v>
      </c>
      <c r="M151" s="66" t="str">
        <f t="shared" si="17"/>
        <v>NI</v>
      </c>
      <c r="N151" s="66" t="str">
        <f t="shared" si="18"/>
        <v>USD</v>
      </c>
      <c r="O151" s="66" t="str">
        <f t="shared" si="19"/>
        <v>L</v>
      </c>
      <c r="P151" s="66" t="str">
        <f t="shared" si="20"/>
        <v>NK</v>
      </c>
    </row>
    <row r="152" spans="1:16">
      <c r="A152" t="s">
        <v>1656</v>
      </c>
      <c r="B152" t="s">
        <v>1665</v>
      </c>
      <c r="C152">
        <v>2</v>
      </c>
      <c r="D152">
        <v>250000000</v>
      </c>
      <c r="E152">
        <v>360000000</v>
      </c>
      <c r="F152">
        <v>0</v>
      </c>
      <c r="H152" s="66" t="str">
        <f>IF(LEFT(A152,6)="CEPNTR","GPINS",VLOOKUP(LEFT(A152,6),'Code Library'!$A$3:$B$920,2,0))&amp;"_"&amp;RIGHT(A152,3)</f>
        <v>GPINS_IDR</v>
      </c>
      <c r="I152" s="66" t="str">
        <f t="shared" si="14"/>
        <v>CEPNTR_IDR</v>
      </c>
      <c r="K152" s="66" t="str">
        <f t="shared" si="15"/>
        <v>IF</v>
      </c>
      <c r="L152" s="66" t="str">
        <f t="shared" si="16"/>
        <v>2023</v>
      </c>
      <c r="M152" s="66" t="str">
        <f t="shared" si="17"/>
        <v>NI</v>
      </c>
      <c r="N152" s="66" t="str">
        <f t="shared" si="18"/>
        <v>IDR</v>
      </c>
      <c r="O152" s="66" t="str">
        <f t="shared" si="19"/>
        <v>L</v>
      </c>
      <c r="P152" s="66" t="str">
        <f t="shared" si="20"/>
        <v>NK</v>
      </c>
    </row>
    <row r="153" spans="1:16">
      <c r="A153" t="s">
        <v>1656</v>
      </c>
      <c r="B153" t="s">
        <v>2375</v>
      </c>
      <c r="C153">
        <v>9</v>
      </c>
      <c r="D153">
        <v>1100000000</v>
      </c>
      <c r="E153">
        <v>1661000000</v>
      </c>
      <c r="F153">
        <v>0</v>
      </c>
      <c r="H153" s="66" t="str">
        <f>IF(LEFT(A153,6)="CEPNTR","GPINS",VLOOKUP(LEFT(A153,6),'Code Library'!$A$3:$B$920,2,0))&amp;"_"&amp;RIGHT(A153,3)</f>
        <v>GPINS_IDR</v>
      </c>
      <c r="I153" s="66" t="str">
        <f t="shared" si="14"/>
        <v>CEPNTR_IDR</v>
      </c>
      <c r="K153" s="66" t="str">
        <f t="shared" si="15"/>
        <v>IF</v>
      </c>
      <c r="L153" s="66" t="str">
        <f t="shared" si="16"/>
        <v>2024</v>
      </c>
      <c r="M153" s="66" t="str">
        <f t="shared" si="17"/>
        <v>NI</v>
      </c>
      <c r="N153" s="66" t="str">
        <f t="shared" si="18"/>
        <v>IDR</v>
      </c>
      <c r="O153" s="66" t="str">
        <f t="shared" si="19"/>
        <v>L</v>
      </c>
      <c r="P153" s="66" t="str">
        <f t="shared" si="20"/>
        <v>NK</v>
      </c>
    </row>
    <row r="154" spans="1:16">
      <c r="A154" t="s">
        <v>1656</v>
      </c>
      <c r="B154" t="s">
        <v>2503</v>
      </c>
      <c r="C154">
        <v>3</v>
      </c>
      <c r="D154">
        <v>300000000</v>
      </c>
      <c r="E154">
        <v>477000000</v>
      </c>
      <c r="F154">
        <v>0</v>
      </c>
      <c r="H154" s="66" t="str">
        <f>IF(LEFT(A154,6)="CEPNTR","GPINS",VLOOKUP(LEFT(A154,6),'Code Library'!$A$3:$B$920,2,0))&amp;"_"&amp;RIGHT(A154,3)</f>
        <v>GPINS_IDR</v>
      </c>
      <c r="I154" s="66" t="str">
        <f t="shared" si="14"/>
        <v>CEPNTR_IDR</v>
      </c>
      <c r="K154" s="66" t="str">
        <f t="shared" si="15"/>
        <v>Q1</v>
      </c>
      <c r="L154" s="66" t="str">
        <f t="shared" si="16"/>
        <v>2025</v>
      </c>
      <c r="M154" s="66" t="str">
        <f t="shared" si="17"/>
        <v>NI</v>
      </c>
      <c r="N154" s="66" t="str">
        <f t="shared" si="18"/>
        <v>IDR</v>
      </c>
      <c r="O154" s="66" t="str">
        <f t="shared" si="19"/>
        <v>L</v>
      </c>
      <c r="P154" s="66" t="str">
        <f t="shared" si="20"/>
        <v>NK</v>
      </c>
    </row>
    <row r="155" spans="1:16">
      <c r="A155" t="s">
        <v>1658</v>
      </c>
      <c r="B155" t="s">
        <v>2376</v>
      </c>
      <c r="C155">
        <v>2</v>
      </c>
      <c r="D155">
        <v>30000</v>
      </c>
      <c r="E155">
        <v>39300</v>
      </c>
      <c r="F155">
        <v>0</v>
      </c>
      <c r="H155" s="66" t="str">
        <f>IF(LEFT(A155,6)="CEPNTR","GPINS",VLOOKUP(LEFT(A155,6),'Code Library'!$A$3:$B$920,2,0))&amp;"_"&amp;RIGHT(A155,3)</f>
        <v>GPINS_USD</v>
      </c>
      <c r="I155" s="66" t="str">
        <f t="shared" si="14"/>
        <v>CEPNTR_USD</v>
      </c>
      <c r="K155" s="66" t="str">
        <f t="shared" si="15"/>
        <v>IF</v>
      </c>
      <c r="L155" s="66" t="str">
        <f t="shared" si="16"/>
        <v>2024</v>
      </c>
      <c r="M155" s="66" t="str">
        <f t="shared" si="17"/>
        <v>NI</v>
      </c>
      <c r="N155" s="66" t="str">
        <f t="shared" si="18"/>
        <v>USD</v>
      </c>
      <c r="O155" s="66" t="str">
        <f t="shared" si="19"/>
        <v>L</v>
      </c>
      <c r="P155" s="66" t="str">
        <f t="shared" si="20"/>
        <v>NK</v>
      </c>
    </row>
    <row r="156" spans="1:16">
      <c r="A156" t="s">
        <v>1658</v>
      </c>
      <c r="B156" t="s">
        <v>2519</v>
      </c>
      <c r="C156">
        <v>1</v>
      </c>
      <c r="D156">
        <v>10000</v>
      </c>
      <c r="E156">
        <v>13100</v>
      </c>
      <c r="F156">
        <v>0</v>
      </c>
      <c r="H156" s="66" t="str">
        <f>IF(LEFT(A156,6)="CEPNTR","GPINS",VLOOKUP(LEFT(A156,6),'Code Library'!$A$3:$B$920,2,0))&amp;"_"&amp;RIGHT(A156,3)</f>
        <v>GPINS_USD</v>
      </c>
      <c r="I156" s="66" t="str">
        <f t="shared" si="14"/>
        <v>CEPNTR_USD</v>
      </c>
      <c r="K156" s="66" t="str">
        <f t="shared" si="15"/>
        <v>Q1</v>
      </c>
      <c r="L156" s="66" t="str">
        <f t="shared" si="16"/>
        <v>2025</v>
      </c>
      <c r="M156" s="66" t="str">
        <f t="shared" si="17"/>
        <v>NI</v>
      </c>
      <c r="N156" s="66" t="str">
        <f t="shared" si="18"/>
        <v>USD</v>
      </c>
      <c r="O156" s="66" t="str">
        <f t="shared" si="19"/>
        <v>L</v>
      </c>
      <c r="P156" s="66" t="str">
        <f t="shared" si="20"/>
        <v>NK</v>
      </c>
    </row>
    <row r="157" spans="1:16">
      <c r="A157" t="s">
        <v>1666</v>
      </c>
      <c r="B157" t="s">
        <v>1667</v>
      </c>
      <c r="C157">
        <v>83</v>
      </c>
      <c r="D157">
        <v>287121200</v>
      </c>
      <c r="E157">
        <v>1702000000</v>
      </c>
      <c r="F157">
        <v>35185</v>
      </c>
      <c r="H157" s="66" t="str">
        <f>IF(LEFT(A157,6)="CEPNTR","GPINS",VLOOKUP(LEFT(A157,6),'Code Library'!$A$3:$B$920,2,0))&amp;"_"&amp;RIGHT(A157,3)</f>
        <v>SC_IDR</v>
      </c>
      <c r="I157" s="66" t="str">
        <f t="shared" si="14"/>
        <v>CESC___IDR</v>
      </c>
      <c r="K157" s="66" t="str">
        <f t="shared" si="15"/>
        <v>IF</v>
      </c>
      <c r="L157" s="66" t="str">
        <f t="shared" si="16"/>
        <v>2014</v>
      </c>
      <c r="M157" s="66" t="str">
        <f t="shared" si="17"/>
        <v>PI</v>
      </c>
      <c r="N157" s="66" t="str">
        <f t="shared" si="18"/>
        <v>IDR</v>
      </c>
      <c r="O157" s="66" t="str">
        <f t="shared" si="19"/>
        <v>L</v>
      </c>
      <c r="P157" s="66" t="str">
        <f t="shared" si="20"/>
        <v>AG</v>
      </c>
    </row>
    <row r="158" spans="1:16">
      <c r="A158" t="s">
        <v>1668</v>
      </c>
      <c r="B158" t="s">
        <v>1669</v>
      </c>
      <c r="C158">
        <v>3</v>
      </c>
      <c r="D158">
        <v>3000</v>
      </c>
      <c r="E158">
        <v>15500</v>
      </c>
      <c r="F158">
        <v>0</v>
      </c>
      <c r="H158" s="66" t="str">
        <f>IF(LEFT(A158,6)="CEPNTR","GPINS",VLOOKUP(LEFT(A158,6),'Code Library'!$A$3:$B$920,2,0))&amp;"_"&amp;RIGHT(A158,3)</f>
        <v>SC_USD</v>
      </c>
      <c r="I158" s="66" t="str">
        <f t="shared" si="14"/>
        <v>CESC___USD</v>
      </c>
      <c r="K158" s="66" t="str">
        <f t="shared" si="15"/>
        <v>IF</v>
      </c>
      <c r="L158" s="66" t="str">
        <f t="shared" si="16"/>
        <v>2014</v>
      </c>
      <c r="M158" s="66" t="str">
        <f t="shared" si="17"/>
        <v>PI</v>
      </c>
      <c r="N158" s="66" t="str">
        <f t="shared" si="18"/>
        <v>USD</v>
      </c>
      <c r="O158" s="66" t="str">
        <f t="shared" si="19"/>
        <v>L</v>
      </c>
      <c r="P158" s="66" t="str">
        <f t="shared" si="20"/>
        <v>AG</v>
      </c>
    </row>
    <row r="159" spans="1:16">
      <c r="A159" t="s">
        <v>1670</v>
      </c>
      <c r="B159" t="s">
        <v>1671</v>
      </c>
      <c r="C159">
        <v>31</v>
      </c>
      <c r="D159">
        <v>57426480</v>
      </c>
      <c r="E159">
        <v>456000000</v>
      </c>
      <c r="F159">
        <v>4123</v>
      </c>
      <c r="H159" s="66" t="str">
        <f>IF(LEFT(A159,6)="CEPNTR","GPINS",VLOOKUP(LEFT(A159,6),'Code Library'!$A$3:$B$920,2,0))&amp;"_"&amp;RIGHT(A159,3)</f>
        <v>PSC_IDR</v>
      </c>
      <c r="I159" s="66" t="str">
        <f t="shared" si="14"/>
        <v>CESCP__IDR</v>
      </c>
      <c r="K159" s="66" t="str">
        <f t="shared" si="15"/>
        <v>IF</v>
      </c>
      <c r="L159" s="66" t="str">
        <f t="shared" si="16"/>
        <v>2014</v>
      </c>
      <c r="M159" s="66" t="str">
        <f t="shared" si="17"/>
        <v>PI</v>
      </c>
      <c r="N159" s="66" t="str">
        <f t="shared" si="18"/>
        <v>IDR</v>
      </c>
      <c r="O159" s="66" t="str">
        <f t="shared" si="19"/>
        <v>L</v>
      </c>
      <c r="P159" s="66" t="str">
        <f t="shared" si="20"/>
        <v>AG</v>
      </c>
    </row>
    <row r="160" spans="1:16">
      <c r="A160" t="s">
        <v>1672</v>
      </c>
      <c r="B160" t="s">
        <v>1673</v>
      </c>
      <c r="C160">
        <v>1</v>
      </c>
      <c r="D160">
        <v>505750</v>
      </c>
      <c r="E160">
        <v>25000000</v>
      </c>
      <c r="F160">
        <v>5281261</v>
      </c>
      <c r="H160" s="66" t="str">
        <f>IF(LEFT(A160,6)="CEPNTR","GPINS",VLOOKUP(LEFT(A160,6),'Code Library'!$A$3:$B$920,2,0))&amp;"_"&amp;RIGHT(A160,3)</f>
        <v>SD_IDR</v>
      </c>
      <c r="I160" s="66" t="str">
        <f t="shared" si="14"/>
        <v>CESD___IDR</v>
      </c>
      <c r="K160" s="66" t="str">
        <f t="shared" si="15"/>
        <v>IF</v>
      </c>
      <c r="L160" s="66" t="str">
        <f t="shared" si="16"/>
        <v>2014</v>
      </c>
      <c r="M160" s="66" t="str">
        <f t="shared" si="17"/>
        <v>PI</v>
      </c>
      <c r="N160" s="66" t="str">
        <f t="shared" si="18"/>
        <v>IDR</v>
      </c>
      <c r="O160" s="66" t="str">
        <f t="shared" si="19"/>
        <v>L</v>
      </c>
      <c r="P160" s="66" t="str">
        <f t="shared" si="20"/>
        <v>AG</v>
      </c>
    </row>
    <row r="161" spans="1:16">
      <c r="A161" t="s">
        <v>1674</v>
      </c>
      <c r="B161" t="s">
        <v>1675</v>
      </c>
      <c r="C161">
        <v>1</v>
      </c>
      <c r="D161">
        <v>4938</v>
      </c>
      <c r="E161">
        <v>120000</v>
      </c>
      <c r="F161">
        <v>0</v>
      </c>
      <c r="H161" s="66" t="str">
        <f>IF(LEFT(A161,6)="CEPNTR","GPINS",VLOOKUP(LEFT(A161,6),'Code Library'!$A$3:$B$920,2,0))&amp;"_"&amp;RIGHT(A161,3)</f>
        <v>SD_USD</v>
      </c>
      <c r="I161" s="66" t="str">
        <f t="shared" si="14"/>
        <v>CESD___USD</v>
      </c>
      <c r="K161" s="66" t="str">
        <f t="shared" si="15"/>
        <v>IF</v>
      </c>
      <c r="L161" s="66" t="str">
        <f t="shared" si="16"/>
        <v>2014</v>
      </c>
      <c r="M161" s="66" t="str">
        <f t="shared" si="17"/>
        <v>PI</v>
      </c>
      <c r="N161" s="66" t="str">
        <f t="shared" si="18"/>
        <v>USD</v>
      </c>
      <c r="O161" s="66" t="str">
        <f t="shared" si="19"/>
        <v>L</v>
      </c>
      <c r="P161" s="66" t="str">
        <f t="shared" si="20"/>
        <v>AG</v>
      </c>
    </row>
    <row r="162" spans="1:16">
      <c r="A162" t="s">
        <v>1676</v>
      </c>
      <c r="B162" t="s">
        <v>1677</v>
      </c>
      <c r="C162">
        <v>377</v>
      </c>
      <c r="D162">
        <v>900416040</v>
      </c>
      <c r="E162">
        <v>8135500000</v>
      </c>
      <c r="F162">
        <v>39600177</v>
      </c>
      <c r="H162" s="66" t="str">
        <f>IF(LEFT(A162,6)="CEPNTR","GPINS",VLOOKUP(LEFT(A162,6),'Code Library'!$A$3:$B$920,2,0))&amp;"_"&amp;RIGHT(A162,3)</f>
        <v>SE_IDR</v>
      </c>
      <c r="I162" s="66" t="str">
        <f t="shared" si="14"/>
        <v>CESE___IDR</v>
      </c>
      <c r="K162" s="66" t="str">
        <f t="shared" si="15"/>
        <v>IF</v>
      </c>
      <c r="L162" s="66" t="str">
        <f t="shared" si="16"/>
        <v>2014</v>
      </c>
      <c r="M162" s="66" t="str">
        <f t="shared" si="17"/>
        <v>PI</v>
      </c>
      <c r="N162" s="66" t="str">
        <f t="shared" si="18"/>
        <v>IDR</v>
      </c>
      <c r="O162" s="66" t="str">
        <f t="shared" si="19"/>
        <v>L</v>
      </c>
      <c r="P162" s="66" t="str">
        <f t="shared" si="20"/>
        <v>AG</v>
      </c>
    </row>
    <row r="163" spans="1:16">
      <c r="A163" t="s">
        <v>1678</v>
      </c>
      <c r="B163" t="s">
        <v>1679</v>
      </c>
      <c r="C163">
        <v>3</v>
      </c>
      <c r="D163">
        <v>2795.5</v>
      </c>
      <c r="E163">
        <v>20000</v>
      </c>
      <c r="F163">
        <v>0</v>
      </c>
      <c r="H163" s="66" t="str">
        <f>IF(LEFT(A163,6)="CEPNTR","GPINS",VLOOKUP(LEFT(A163,6),'Code Library'!$A$3:$B$920,2,0))&amp;"_"&amp;RIGHT(A163,3)</f>
        <v>SE_USD</v>
      </c>
      <c r="I163" s="66" t="str">
        <f t="shared" si="14"/>
        <v>CESE___USD</v>
      </c>
      <c r="K163" s="66" t="str">
        <f t="shared" si="15"/>
        <v>IF</v>
      </c>
      <c r="L163" s="66" t="str">
        <f t="shared" si="16"/>
        <v>2014</v>
      </c>
      <c r="M163" s="66" t="str">
        <f t="shared" si="17"/>
        <v>PI</v>
      </c>
      <c r="N163" s="66" t="str">
        <f t="shared" si="18"/>
        <v>USD</v>
      </c>
      <c r="O163" s="66" t="str">
        <f t="shared" si="19"/>
        <v>L</v>
      </c>
      <c r="P163" s="66" t="str">
        <f t="shared" si="20"/>
        <v>AG</v>
      </c>
    </row>
    <row r="164" spans="1:16">
      <c r="A164" t="s">
        <v>1680</v>
      </c>
      <c r="B164" t="s">
        <v>1681</v>
      </c>
      <c r="C164">
        <v>27</v>
      </c>
      <c r="D164">
        <v>42134380</v>
      </c>
      <c r="E164">
        <v>382000000</v>
      </c>
      <c r="F164">
        <v>-10</v>
      </c>
      <c r="H164" s="66" t="str">
        <f>IF(LEFT(A164,6)="CEPNTR","GPINS",VLOOKUP(LEFT(A164,6),'Code Library'!$A$3:$B$920,2,0))&amp;"_"&amp;RIGHT(A164,3)</f>
        <v>PSE_IDR</v>
      </c>
      <c r="I164" s="66" t="str">
        <f t="shared" si="14"/>
        <v>CESEP__IDR</v>
      </c>
      <c r="K164" s="66" t="str">
        <f t="shared" si="15"/>
        <v>IF</v>
      </c>
      <c r="L164" s="66" t="str">
        <f t="shared" si="16"/>
        <v>2014</v>
      </c>
      <c r="M164" s="66" t="str">
        <f t="shared" si="17"/>
        <v>PI</v>
      </c>
      <c r="N164" s="66" t="str">
        <f t="shared" si="18"/>
        <v>IDR</v>
      </c>
      <c r="O164" s="66" t="str">
        <f t="shared" si="19"/>
        <v>L</v>
      </c>
      <c r="P164" s="66" t="str">
        <f t="shared" si="20"/>
        <v>AG</v>
      </c>
    </row>
    <row r="165" spans="1:16">
      <c r="A165" t="s">
        <v>1682</v>
      </c>
      <c r="B165" t="s">
        <v>1683</v>
      </c>
      <c r="C165">
        <v>425</v>
      </c>
      <c r="D165">
        <v>1697797769</v>
      </c>
      <c r="E165">
        <v>12574700000</v>
      </c>
      <c r="F165">
        <v>184616</v>
      </c>
      <c r="H165" s="66" t="str">
        <f>IF(LEFT(A165,6)="CEPNTR","GPINS",VLOOKUP(LEFT(A165,6),'Code Library'!$A$3:$B$920,2,0))&amp;"_"&amp;RIGHT(A165,3)</f>
        <v>SF_IDR</v>
      </c>
      <c r="I165" s="66" t="str">
        <f t="shared" si="14"/>
        <v>CESF___IDR</v>
      </c>
      <c r="K165" s="66" t="str">
        <f t="shared" si="15"/>
        <v>IF</v>
      </c>
      <c r="L165" s="66" t="str">
        <f t="shared" si="16"/>
        <v>2014</v>
      </c>
      <c r="M165" s="66" t="str">
        <f t="shared" si="17"/>
        <v>PI</v>
      </c>
      <c r="N165" s="66" t="str">
        <f t="shared" si="18"/>
        <v>IDR</v>
      </c>
      <c r="O165" s="66" t="str">
        <f t="shared" si="19"/>
        <v>L</v>
      </c>
      <c r="P165" s="66" t="str">
        <f t="shared" si="20"/>
        <v>AG</v>
      </c>
    </row>
    <row r="166" spans="1:16">
      <c r="A166" t="s">
        <v>1684</v>
      </c>
      <c r="B166" t="s">
        <v>1685</v>
      </c>
      <c r="C166">
        <v>10</v>
      </c>
      <c r="D166">
        <v>26048.75</v>
      </c>
      <c r="E166">
        <v>124600</v>
      </c>
      <c r="F166">
        <v>0.01</v>
      </c>
      <c r="H166" s="66" t="str">
        <f>IF(LEFT(A166,6)="CEPNTR","GPINS",VLOOKUP(LEFT(A166,6),'Code Library'!$A$3:$B$920,2,0))&amp;"_"&amp;RIGHT(A166,3)</f>
        <v>SF_USD</v>
      </c>
      <c r="I166" s="66" t="str">
        <f t="shared" si="14"/>
        <v>CESF___USD</v>
      </c>
      <c r="K166" s="66" t="str">
        <f t="shared" si="15"/>
        <v>IF</v>
      </c>
      <c r="L166" s="66" t="str">
        <f t="shared" si="16"/>
        <v>2014</v>
      </c>
      <c r="M166" s="66" t="str">
        <f t="shared" si="17"/>
        <v>PI</v>
      </c>
      <c r="N166" s="66" t="str">
        <f t="shared" si="18"/>
        <v>USD</v>
      </c>
      <c r="O166" s="66" t="str">
        <f t="shared" si="19"/>
        <v>L</v>
      </c>
      <c r="P166" s="66" t="str">
        <f t="shared" si="20"/>
        <v>AG</v>
      </c>
    </row>
    <row r="167" spans="1:16">
      <c r="A167" t="s">
        <v>1686</v>
      </c>
      <c r="B167" t="s">
        <v>1687</v>
      </c>
      <c r="C167">
        <v>54</v>
      </c>
      <c r="D167">
        <v>95096264</v>
      </c>
      <c r="E167">
        <v>663000000</v>
      </c>
      <c r="F167">
        <v>-8</v>
      </c>
      <c r="H167" s="66" t="str">
        <f>IF(LEFT(A167,6)="CEPNTR","GPINS",VLOOKUP(LEFT(A167,6),'Code Library'!$A$3:$B$920,2,0))&amp;"_"&amp;RIGHT(A167,3)</f>
        <v>PSF_IDR</v>
      </c>
      <c r="I167" s="66" t="str">
        <f t="shared" si="14"/>
        <v>CESFP__IDR</v>
      </c>
      <c r="K167" s="66" t="str">
        <f t="shared" si="15"/>
        <v>IF</v>
      </c>
      <c r="L167" s="66" t="str">
        <f t="shared" si="16"/>
        <v>2014</v>
      </c>
      <c r="M167" s="66" t="str">
        <f t="shared" si="17"/>
        <v>PI</v>
      </c>
      <c r="N167" s="66" t="str">
        <f t="shared" si="18"/>
        <v>IDR</v>
      </c>
      <c r="O167" s="66" t="str">
        <f t="shared" si="19"/>
        <v>L</v>
      </c>
      <c r="P167" s="66" t="str">
        <f t="shared" si="20"/>
        <v>AG</v>
      </c>
    </row>
    <row r="168" spans="1:16">
      <c r="A168" t="s">
        <v>1688</v>
      </c>
      <c r="B168" t="s">
        <v>1689</v>
      </c>
      <c r="C168">
        <v>4</v>
      </c>
      <c r="D168">
        <v>16534.439999999999</v>
      </c>
      <c r="E168">
        <v>118000</v>
      </c>
      <c r="F168">
        <v>0</v>
      </c>
      <c r="H168" s="66" t="str">
        <f>IF(LEFT(A168,6)="CEPNTR","GPINS",VLOOKUP(LEFT(A168,6),'Code Library'!$A$3:$B$920,2,0))&amp;"_"&amp;RIGHT(A168,3)</f>
        <v>PSF_USD</v>
      </c>
      <c r="I168" s="66" t="str">
        <f t="shared" si="14"/>
        <v>CESFP__USD</v>
      </c>
      <c r="K168" s="66" t="str">
        <f t="shared" si="15"/>
        <v>IF</v>
      </c>
      <c r="L168" s="66" t="str">
        <f t="shared" si="16"/>
        <v>2014</v>
      </c>
      <c r="M168" s="66" t="str">
        <f t="shared" si="17"/>
        <v>PI</v>
      </c>
      <c r="N168" s="66" t="str">
        <f t="shared" si="18"/>
        <v>USD</v>
      </c>
      <c r="O168" s="66" t="str">
        <f t="shared" si="19"/>
        <v>L</v>
      </c>
      <c r="P168" s="66" t="str">
        <f t="shared" si="20"/>
        <v>AG</v>
      </c>
    </row>
    <row r="169" spans="1:16">
      <c r="A169" t="s">
        <v>1690</v>
      </c>
      <c r="B169" t="s">
        <v>1691</v>
      </c>
      <c r="C169">
        <v>553</v>
      </c>
      <c r="D169">
        <v>964336373</v>
      </c>
      <c r="E169">
        <v>7283100000</v>
      </c>
      <c r="F169">
        <v>2495648</v>
      </c>
      <c r="H169" s="66" t="str">
        <f>IF(LEFT(A169,6)="CEPNTR","GPINS",VLOOKUP(LEFT(A169,6),'Code Library'!$A$3:$B$920,2,0))&amp;"_"&amp;RIGHT(A169,3)</f>
        <v>SS_IDR</v>
      </c>
      <c r="I169" s="66" t="str">
        <f t="shared" si="14"/>
        <v>CESS___IDR</v>
      </c>
      <c r="K169" s="66" t="str">
        <f t="shared" si="15"/>
        <v>IF</v>
      </c>
      <c r="L169" s="66" t="str">
        <f t="shared" si="16"/>
        <v>2014</v>
      </c>
      <c r="M169" s="66" t="str">
        <f t="shared" si="17"/>
        <v>PI</v>
      </c>
      <c r="N169" s="66" t="str">
        <f t="shared" si="18"/>
        <v>IDR</v>
      </c>
      <c r="O169" s="66" t="str">
        <f t="shared" si="19"/>
        <v>L</v>
      </c>
      <c r="P169" s="66" t="str">
        <f t="shared" si="20"/>
        <v>AG</v>
      </c>
    </row>
    <row r="170" spans="1:16">
      <c r="A170" t="s">
        <v>1692</v>
      </c>
      <c r="B170" t="s">
        <v>1693</v>
      </c>
      <c r="C170">
        <v>5</v>
      </c>
      <c r="D170">
        <v>13389.08</v>
      </c>
      <c r="E170">
        <v>63500</v>
      </c>
      <c r="F170">
        <v>0</v>
      </c>
      <c r="H170" s="66" t="str">
        <f>IF(LEFT(A170,6)="CEPNTR","GPINS",VLOOKUP(LEFT(A170,6),'Code Library'!$A$3:$B$920,2,0))&amp;"_"&amp;RIGHT(A170,3)</f>
        <v>SS_USD</v>
      </c>
      <c r="I170" s="66" t="str">
        <f t="shared" si="14"/>
        <v>CESS___USD</v>
      </c>
      <c r="K170" s="66" t="str">
        <f t="shared" si="15"/>
        <v>IF</v>
      </c>
      <c r="L170" s="66" t="str">
        <f t="shared" si="16"/>
        <v>2014</v>
      </c>
      <c r="M170" s="66" t="str">
        <f t="shared" si="17"/>
        <v>PI</v>
      </c>
      <c r="N170" s="66" t="str">
        <f t="shared" si="18"/>
        <v>USD</v>
      </c>
      <c r="O170" s="66" t="str">
        <f t="shared" si="19"/>
        <v>L</v>
      </c>
      <c r="P170" s="66" t="str">
        <f t="shared" si="20"/>
        <v>AG</v>
      </c>
    </row>
    <row r="171" spans="1:16">
      <c r="A171" t="s">
        <v>1694</v>
      </c>
      <c r="B171" t="s">
        <v>1695</v>
      </c>
      <c r="C171">
        <v>268</v>
      </c>
      <c r="D171">
        <v>453617054</v>
      </c>
      <c r="E171">
        <v>3226000000</v>
      </c>
      <c r="F171">
        <v>-20849</v>
      </c>
      <c r="H171" s="66" t="str">
        <f>IF(LEFT(A171,6)="CEPNTR","GPINS",VLOOKUP(LEFT(A171,6),'Code Library'!$A$3:$B$920,2,0))&amp;"_"&amp;RIGHT(A171,3)</f>
        <v>PSS_IDR</v>
      </c>
      <c r="I171" s="66" t="str">
        <f t="shared" si="14"/>
        <v>CESSP__IDR</v>
      </c>
      <c r="K171" s="66" t="str">
        <f t="shared" si="15"/>
        <v>IF</v>
      </c>
      <c r="L171" s="66" t="str">
        <f t="shared" si="16"/>
        <v>2014</v>
      </c>
      <c r="M171" s="66" t="str">
        <f t="shared" si="17"/>
        <v>PI</v>
      </c>
      <c r="N171" s="66" t="str">
        <f t="shared" si="18"/>
        <v>IDR</v>
      </c>
      <c r="O171" s="66" t="str">
        <f t="shared" si="19"/>
        <v>L</v>
      </c>
      <c r="P171" s="66" t="str">
        <f t="shared" si="20"/>
        <v>AG</v>
      </c>
    </row>
    <row r="172" spans="1:16">
      <c r="A172" t="s">
        <v>1696</v>
      </c>
      <c r="B172" t="s">
        <v>1697</v>
      </c>
      <c r="C172">
        <v>2</v>
      </c>
      <c r="D172">
        <v>3677.16</v>
      </c>
      <c r="E172">
        <v>23000</v>
      </c>
      <c r="F172">
        <v>0.02</v>
      </c>
      <c r="H172" s="66" t="str">
        <f>IF(LEFT(A172,6)="CEPNTR","GPINS",VLOOKUP(LEFT(A172,6),'Code Library'!$A$3:$B$920,2,0))&amp;"_"&amp;RIGHT(A172,3)</f>
        <v>PSS_USD</v>
      </c>
      <c r="I172" s="66" t="str">
        <f t="shared" si="14"/>
        <v>CESSP__USD</v>
      </c>
      <c r="K172" s="66" t="str">
        <f t="shared" si="15"/>
        <v>IF</v>
      </c>
      <c r="L172" s="66" t="str">
        <f t="shared" si="16"/>
        <v>2014</v>
      </c>
      <c r="M172" s="66" t="str">
        <f t="shared" si="17"/>
        <v>PI</v>
      </c>
      <c r="N172" s="66" t="str">
        <f t="shared" si="18"/>
        <v>USD</v>
      </c>
      <c r="O172" s="66" t="str">
        <f t="shared" si="19"/>
        <v>L</v>
      </c>
      <c r="P172" s="66" t="str">
        <f t="shared" si="20"/>
        <v>AG</v>
      </c>
    </row>
    <row r="173" spans="1:16">
      <c r="A173" t="s">
        <v>1698</v>
      </c>
      <c r="B173" t="s">
        <v>1699</v>
      </c>
      <c r="C173">
        <v>198</v>
      </c>
      <c r="D173">
        <v>800711566</v>
      </c>
      <c r="E173">
        <v>4108700000</v>
      </c>
      <c r="F173">
        <v>661869</v>
      </c>
      <c r="H173" s="66" t="str">
        <f>IF(LEFT(A173,6)="CEPNTR","GPINS",VLOOKUP(LEFT(A173,6),'Code Library'!$A$3:$B$920,2,0))&amp;"_"&amp;RIGHT(A173,3)</f>
        <v>SU_IDR</v>
      </c>
      <c r="I173" s="66" t="str">
        <f t="shared" si="14"/>
        <v>CESU___IDR</v>
      </c>
      <c r="K173" s="66" t="str">
        <f t="shared" si="15"/>
        <v>IF</v>
      </c>
      <c r="L173" s="66" t="str">
        <f t="shared" si="16"/>
        <v>2014</v>
      </c>
      <c r="M173" s="66" t="str">
        <f t="shared" si="17"/>
        <v>PI</v>
      </c>
      <c r="N173" s="66" t="str">
        <f t="shared" si="18"/>
        <v>IDR</v>
      </c>
      <c r="O173" s="66" t="str">
        <f t="shared" si="19"/>
        <v>L</v>
      </c>
      <c r="P173" s="66" t="str">
        <f t="shared" si="20"/>
        <v>AG</v>
      </c>
    </row>
    <row r="174" spans="1:16">
      <c r="A174" t="s">
        <v>1700</v>
      </c>
      <c r="B174" t="s">
        <v>1701</v>
      </c>
      <c r="C174">
        <v>6</v>
      </c>
      <c r="D174">
        <v>14295.99</v>
      </c>
      <c r="E174">
        <v>46500</v>
      </c>
      <c r="F174">
        <v>0</v>
      </c>
      <c r="H174" s="66" t="str">
        <f>IF(LEFT(A174,6)="CEPNTR","GPINS",VLOOKUP(LEFT(A174,6),'Code Library'!$A$3:$B$920,2,0))&amp;"_"&amp;RIGHT(A174,3)</f>
        <v>SU_USD</v>
      </c>
      <c r="I174" s="66" t="str">
        <f t="shared" si="14"/>
        <v>CESU___USD</v>
      </c>
      <c r="K174" s="66" t="str">
        <f t="shared" si="15"/>
        <v>IF</v>
      </c>
      <c r="L174" s="66" t="str">
        <f t="shared" si="16"/>
        <v>2014</v>
      </c>
      <c r="M174" s="66" t="str">
        <f t="shared" si="17"/>
        <v>PI</v>
      </c>
      <c r="N174" s="66" t="str">
        <f t="shared" si="18"/>
        <v>USD</v>
      </c>
      <c r="O174" s="66" t="str">
        <f t="shared" si="19"/>
        <v>L</v>
      </c>
      <c r="P174" s="66" t="str">
        <f t="shared" si="20"/>
        <v>AG</v>
      </c>
    </row>
    <row r="175" spans="1:16">
      <c r="A175" t="s">
        <v>1702</v>
      </c>
      <c r="B175" t="s">
        <v>1703</v>
      </c>
      <c r="C175">
        <v>49</v>
      </c>
      <c r="D175">
        <v>95573888</v>
      </c>
      <c r="E175">
        <v>625000000</v>
      </c>
      <c r="F175">
        <v>-12</v>
      </c>
      <c r="H175" s="66" t="str">
        <f>IF(LEFT(A175,6)="CEPNTR","GPINS",VLOOKUP(LEFT(A175,6),'Code Library'!$A$3:$B$920,2,0))&amp;"_"&amp;RIGHT(A175,3)</f>
        <v>PSU_IDR</v>
      </c>
      <c r="I175" s="66" t="str">
        <f t="shared" si="14"/>
        <v>CESUP__IDR</v>
      </c>
      <c r="K175" s="66" t="str">
        <f t="shared" si="15"/>
        <v>IF</v>
      </c>
      <c r="L175" s="66" t="str">
        <f t="shared" si="16"/>
        <v>2014</v>
      </c>
      <c r="M175" s="66" t="str">
        <f t="shared" si="17"/>
        <v>PI</v>
      </c>
      <c r="N175" s="66" t="str">
        <f t="shared" si="18"/>
        <v>IDR</v>
      </c>
      <c r="O175" s="66" t="str">
        <f t="shared" si="19"/>
        <v>L</v>
      </c>
      <c r="P175" s="66" t="str">
        <f t="shared" si="20"/>
        <v>AG</v>
      </c>
    </row>
    <row r="176" spans="1:16">
      <c r="A176" t="s">
        <v>1704</v>
      </c>
      <c r="B176" t="s">
        <v>1705</v>
      </c>
      <c r="C176">
        <v>1</v>
      </c>
      <c r="D176">
        <v>1560</v>
      </c>
      <c r="E176">
        <v>10000</v>
      </c>
      <c r="F176">
        <v>-0.03</v>
      </c>
      <c r="H176" s="66" t="str">
        <f>IF(LEFT(A176,6)="CEPNTR","GPINS",VLOOKUP(LEFT(A176,6),'Code Library'!$A$3:$B$920,2,0))&amp;"_"&amp;RIGHT(A176,3)</f>
        <v>PSU_USD</v>
      </c>
      <c r="I176" s="66" t="str">
        <f t="shared" si="14"/>
        <v>CESUP__USD</v>
      </c>
      <c r="K176" s="66" t="str">
        <f t="shared" si="15"/>
        <v>IF</v>
      </c>
      <c r="L176" s="66" t="str">
        <f t="shared" si="16"/>
        <v>2014</v>
      </c>
      <c r="M176" s="66" t="str">
        <f t="shared" si="17"/>
        <v>PI</v>
      </c>
      <c r="N176" s="66" t="str">
        <f t="shared" si="18"/>
        <v>USD</v>
      </c>
      <c r="O176" s="66" t="str">
        <f t="shared" si="19"/>
        <v>L</v>
      </c>
      <c r="P176" s="66" t="str">
        <f t="shared" si="20"/>
        <v>AG</v>
      </c>
    </row>
    <row r="177" spans="1:16">
      <c r="A177" t="s">
        <v>1706</v>
      </c>
      <c r="B177" t="s">
        <v>2377</v>
      </c>
      <c r="C177">
        <v>4</v>
      </c>
      <c r="D177">
        <v>22526592</v>
      </c>
      <c r="E177">
        <v>849240000</v>
      </c>
      <c r="F177">
        <v>0</v>
      </c>
      <c r="H177" s="66" t="str">
        <f>IF(LEFT(A177,6)="CEPNTR","GPINS",VLOOKUP(LEFT(A177,6),'Code Library'!$A$3:$B$920,2,0))&amp;"_"&amp;RIGHT(A177,3)</f>
        <v>AZPST_IDR</v>
      </c>
      <c r="I177" s="66" t="str">
        <f t="shared" si="14"/>
        <v>CEZPST_IDR</v>
      </c>
      <c r="K177" s="66" t="str">
        <f t="shared" si="15"/>
        <v>IF</v>
      </c>
      <c r="L177" s="66" t="str">
        <f t="shared" si="16"/>
        <v>2024</v>
      </c>
      <c r="M177" s="66" t="str">
        <f t="shared" si="17"/>
        <v>NO</v>
      </c>
      <c r="N177" s="66" t="str">
        <f t="shared" si="18"/>
        <v>IDR</v>
      </c>
      <c r="O177" s="66" t="str">
        <f t="shared" si="19"/>
        <v>L</v>
      </c>
      <c r="P177" s="66" t="str">
        <f t="shared" si="20"/>
        <v>AG</v>
      </c>
    </row>
    <row r="178" spans="1:16">
      <c r="A178" t="s">
        <v>1706</v>
      </c>
      <c r="B178" t="s">
        <v>1707</v>
      </c>
      <c r="C178">
        <v>31</v>
      </c>
      <c r="D178">
        <v>1062130200</v>
      </c>
      <c r="E178">
        <v>13685000000</v>
      </c>
      <c r="F178">
        <v>0</v>
      </c>
      <c r="H178" s="66" t="str">
        <f>IF(LEFT(A178,6)="CEPNTR","GPINS",VLOOKUP(LEFT(A178,6),'Code Library'!$A$3:$B$920,2,0))&amp;"_"&amp;RIGHT(A178,3)</f>
        <v>AZPST_IDR</v>
      </c>
      <c r="I178" s="66" t="str">
        <f t="shared" si="14"/>
        <v>CEZPST_IDR</v>
      </c>
      <c r="K178" s="66" t="str">
        <f t="shared" si="15"/>
        <v>IF</v>
      </c>
      <c r="L178" s="66" t="str">
        <f t="shared" si="16"/>
        <v>2020</v>
      </c>
      <c r="M178" s="66" t="str">
        <f t="shared" si="17"/>
        <v>NO</v>
      </c>
      <c r="N178" s="66" t="str">
        <f t="shared" si="18"/>
        <v>IDR</v>
      </c>
      <c r="O178" s="66" t="str">
        <f t="shared" si="19"/>
        <v>L</v>
      </c>
      <c r="P178" s="66" t="str">
        <f t="shared" si="20"/>
        <v>AG</v>
      </c>
    </row>
    <row r="179" spans="1:16">
      <c r="A179" t="s">
        <v>1706</v>
      </c>
      <c r="B179" t="s">
        <v>1708</v>
      </c>
      <c r="C179">
        <v>28</v>
      </c>
      <c r="D179">
        <v>511409339</v>
      </c>
      <c r="E179">
        <v>8300000000</v>
      </c>
      <c r="F179">
        <v>5542408</v>
      </c>
      <c r="H179" s="66" t="str">
        <f>IF(LEFT(A179,6)="CEPNTR","GPINS",VLOOKUP(LEFT(A179,6),'Code Library'!$A$3:$B$920,2,0))&amp;"_"&amp;RIGHT(A179,3)</f>
        <v>AZPST_IDR</v>
      </c>
      <c r="I179" s="66" t="str">
        <f t="shared" si="14"/>
        <v>CEZPST_IDR</v>
      </c>
      <c r="K179" s="66" t="str">
        <f t="shared" si="15"/>
        <v>IF</v>
      </c>
      <c r="L179" s="66" t="str">
        <f t="shared" si="16"/>
        <v>2021</v>
      </c>
      <c r="M179" s="66" t="str">
        <f t="shared" si="17"/>
        <v>NO</v>
      </c>
      <c r="N179" s="66" t="str">
        <f t="shared" si="18"/>
        <v>IDR</v>
      </c>
      <c r="O179" s="66" t="str">
        <f t="shared" si="19"/>
        <v>L</v>
      </c>
      <c r="P179" s="66" t="str">
        <f t="shared" si="20"/>
        <v>AG</v>
      </c>
    </row>
    <row r="180" spans="1:16">
      <c r="A180" t="s">
        <v>1706</v>
      </c>
      <c r="B180" t="s">
        <v>1709</v>
      </c>
      <c r="C180">
        <v>104</v>
      </c>
      <c r="D180">
        <v>2990561890</v>
      </c>
      <c r="E180">
        <v>49842000000</v>
      </c>
      <c r="F180">
        <v>3411853</v>
      </c>
      <c r="H180" s="66" t="str">
        <f>IF(LEFT(A180,6)="CEPNTR","GPINS",VLOOKUP(LEFT(A180,6),'Code Library'!$A$3:$B$920,2,0))&amp;"_"&amp;RIGHT(A180,3)</f>
        <v>AZPST_IDR</v>
      </c>
      <c r="I180" s="66" t="str">
        <f t="shared" si="14"/>
        <v>CEZPST_IDR</v>
      </c>
      <c r="K180" s="66" t="str">
        <f t="shared" si="15"/>
        <v>IF</v>
      </c>
      <c r="L180" s="66" t="str">
        <f t="shared" si="16"/>
        <v>2022</v>
      </c>
      <c r="M180" s="66" t="str">
        <f t="shared" si="17"/>
        <v>NO</v>
      </c>
      <c r="N180" s="66" t="str">
        <f t="shared" si="18"/>
        <v>IDR</v>
      </c>
      <c r="O180" s="66" t="str">
        <f t="shared" si="19"/>
        <v>L</v>
      </c>
      <c r="P180" s="66" t="str">
        <f t="shared" si="20"/>
        <v>AG</v>
      </c>
    </row>
    <row r="181" spans="1:16">
      <c r="A181" t="s">
        <v>1706</v>
      </c>
      <c r="B181" t="s">
        <v>1710</v>
      </c>
      <c r="C181">
        <v>142</v>
      </c>
      <c r="D181">
        <v>4016608914</v>
      </c>
      <c r="E181">
        <v>54569500000</v>
      </c>
      <c r="F181">
        <v>16261807</v>
      </c>
      <c r="H181" s="66" t="str">
        <f>IF(LEFT(A181,6)="CEPNTR","GPINS",VLOOKUP(LEFT(A181,6),'Code Library'!$A$3:$B$920,2,0))&amp;"_"&amp;RIGHT(A181,3)</f>
        <v>AZPST_IDR</v>
      </c>
      <c r="I181" s="66" t="str">
        <f t="shared" si="14"/>
        <v>CEZPST_IDR</v>
      </c>
      <c r="K181" s="66" t="str">
        <f t="shared" si="15"/>
        <v>IF</v>
      </c>
      <c r="L181" s="66" t="str">
        <f t="shared" si="16"/>
        <v>2023</v>
      </c>
      <c r="M181" s="66" t="str">
        <f t="shared" si="17"/>
        <v>NO</v>
      </c>
      <c r="N181" s="66" t="str">
        <f t="shared" si="18"/>
        <v>IDR</v>
      </c>
      <c r="O181" s="66" t="str">
        <f t="shared" si="19"/>
        <v>L</v>
      </c>
      <c r="P181" s="66" t="str">
        <f t="shared" si="20"/>
        <v>AG</v>
      </c>
    </row>
    <row r="182" spans="1:16">
      <c r="A182" t="s">
        <v>1706</v>
      </c>
      <c r="B182" t="s">
        <v>2378</v>
      </c>
      <c r="C182">
        <v>146</v>
      </c>
      <c r="D182">
        <v>3456645068</v>
      </c>
      <c r="E182">
        <v>45331950000</v>
      </c>
      <c r="F182">
        <v>0</v>
      </c>
      <c r="H182" s="66" t="str">
        <f>IF(LEFT(A182,6)="CEPNTR","GPINS",VLOOKUP(LEFT(A182,6),'Code Library'!$A$3:$B$920,2,0))&amp;"_"&amp;RIGHT(A182,3)</f>
        <v>AZPST_IDR</v>
      </c>
      <c r="I182" s="66" t="str">
        <f t="shared" si="14"/>
        <v>CEZPST_IDR</v>
      </c>
      <c r="K182" s="66" t="str">
        <f t="shared" si="15"/>
        <v>IF</v>
      </c>
      <c r="L182" s="66" t="str">
        <f t="shared" si="16"/>
        <v>2024</v>
      </c>
      <c r="M182" s="66" t="str">
        <f t="shared" si="17"/>
        <v>NO</v>
      </c>
      <c r="N182" s="66" t="str">
        <f t="shared" si="18"/>
        <v>IDR</v>
      </c>
      <c r="O182" s="66" t="str">
        <f t="shared" si="19"/>
        <v>L</v>
      </c>
      <c r="P182" s="66" t="str">
        <f t="shared" si="20"/>
        <v>AG</v>
      </c>
    </row>
    <row r="183" spans="1:16">
      <c r="A183" t="s">
        <v>1706</v>
      </c>
      <c r="B183" t="s">
        <v>2379</v>
      </c>
      <c r="C183">
        <v>25</v>
      </c>
      <c r="D183">
        <v>531703920</v>
      </c>
      <c r="E183">
        <v>9355000000</v>
      </c>
      <c r="F183">
        <v>0</v>
      </c>
      <c r="H183" s="66" t="str">
        <f>IF(LEFT(A183,6)="CEPNTR","GPINS",VLOOKUP(LEFT(A183,6),'Code Library'!$A$3:$B$920,2,0))&amp;"_"&amp;RIGHT(A183,3)</f>
        <v>AZPST_IDR</v>
      </c>
      <c r="I183" s="66" t="str">
        <f t="shared" si="14"/>
        <v>CEZPST_IDR</v>
      </c>
      <c r="K183" s="66" t="str">
        <f t="shared" si="15"/>
        <v>Q1</v>
      </c>
      <c r="L183" s="66" t="str">
        <f t="shared" si="16"/>
        <v>2025</v>
      </c>
      <c r="M183" s="66" t="str">
        <f t="shared" si="17"/>
        <v>NO</v>
      </c>
      <c r="N183" s="66" t="str">
        <f t="shared" si="18"/>
        <v>IDR</v>
      </c>
      <c r="O183" s="66" t="str">
        <f t="shared" si="19"/>
        <v>L</v>
      </c>
      <c r="P183" s="66" t="str">
        <f t="shared" si="20"/>
        <v>AG</v>
      </c>
    </row>
    <row r="184" spans="1:16">
      <c r="A184" t="s">
        <v>1706</v>
      </c>
      <c r="B184" t="s">
        <v>1711</v>
      </c>
      <c r="C184">
        <v>115</v>
      </c>
      <c r="D184">
        <v>2623751360</v>
      </c>
      <c r="E184">
        <v>47495168000</v>
      </c>
      <c r="F184">
        <v>23943085</v>
      </c>
      <c r="H184" s="66" t="str">
        <f>IF(LEFT(A184,6)="CEPNTR","GPINS",VLOOKUP(LEFT(A184,6),'Code Library'!$A$3:$B$920,2,0))&amp;"_"&amp;RIGHT(A184,3)</f>
        <v>AZPST_IDR</v>
      </c>
      <c r="I184" s="66" t="str">
        <f t="shared" si="14"/>
        <v>CEZPST_IDR</v>
      </c>
      <c r="K184" s="66" t="str">
        <f t="shared" si="15"/>
        <v>IF</v>
      </c>
      <c r="L184" s="66" t="str">
        <f t="shared" si="16"/>
        <v>2020</v>
      </c>
      <c r="M184" s="66" t="str">
        <f t="shared" si="17"/>
        <v>NO</v>
      </c>
      <c r="N184" s="66" t="str">
        <f t="shared" si="18"/>
        <v>IDR</v>
      </c>
      <c r="O184" s="66" t="str">
        <f t="shared" si="19"/>
        <v>L</v>
      </c>
      <c r="P184" s="66" t="str">
        <f t="shared" si="20"/>
        <v>AG</v>
      </c>
    </row>
    <row r="185" spans="1:16">
      <c r="A185" t="s">
        <v>1706</v>
      </c>
      <c r="B185" t="s">
        <v>1712</v>
      </c>
      <c r="C185">
        <v>157</v>
      </c>
      <c r="D185">
        <v>3819239744</v>
      </c>
      <c r="E185">
        <v>68670300000</v>
      </c>
      <c r="F185">
        <v>11614000</v>
      </c>
      <c r="H185" s="66" t="str">
        <f>IF(LEFT(A185,6)="CEPNTR","GPINS",VLOOKUP(LEFT(A185,6),'Code Library'!$A$3:$B$920,2,0))&amp;"_"&amp;RIGHT(A185,3)</f>
        <v>AZPST_IDR</v>
      </c>
      <c r="I185" s="66" t="str">
        <f t="shared" si="14"/>
        <v>CEZPST_IDR</v>
      </c>
      <c r="K185" s="66" t="str">
        <f t="shared" si="15"/>
        <v>IF</v>
      </c>
      <c r="L185" s="66" t="str">
        <f t="shared" si="16"/>
        <v>2021</v>
      </c>
      <c r="M185" s="66" t="str">
        <f t="shared" si="17"/>
        <v>NO</v>
      </c>
      <c r="N185" s="66" t="str">
        <f t="shared" si="18"/>
        <v>IDR</v>
      </c>
      <c r="O185" s="66" t="str">
        <f t="shared" si="19"/>
        <v>L</v>
      </c>
      <c r="P185" s="66" t="str">
        <f t="shared" si="20"/>
        <v>AG</v>
      </c>
    </row>
    <row r="186" spans="1:16">
      <c r="A186" t="s">
        <v>1706</v>
      </c>
      <c r="B186" t="s">
        <v>1713</v>
      </c>
      <c r="C186">
        <v>169</v>
      </c>
      <c r="D186">
        <v>4822416440</v>
      </c>
      <c r="E186">
        <v>81410900000</v>
      </c>
      <c r="F186">
        <v>3579636</v>
      </c>
      <c r="H186" s="66" t="str">
        <f>IF(LEFT(A186,6)="CEPNTR","GPINS",VLOOKUP(LEFT(A186,6),'Code Library'!$A$3:$B$920,2,0))&amp;"_"&amp;RIGHT(A186,3)</f>
        <v>AZPST_IDR</v>
      </c>
      <c r="I186" s="66" t="str">
        <f t="shared" si="14"/>
        <v>CEZPST_IDR</v>
      </c>
      <c r="K186" s="66" t="str">
        <f t="shared" si="15"/>
        <v>IF</v>
      </c>
      <c r="L186" s="66" t="str">
        <f t="shared" si="16"/>
        <v>2022</v>
      </c>
      <c r="M186" s="66" t="str">
        <f t="shared" si="17"/>
        <v>NO</v>
      </c>
      <c r="N186" s="66" t="str">
        <f t="shared" si="18"/>
        <v>IDR</v>
      </c>
      <c r="O186" s="66" t="str">
        <f t="shared" si="19"/>
        <v>L</v>
      </c>
      <c r="P186" s="66" t="str">
        <f t="shared" si="20"/>
        <v>AG</v>
      </c>
    </row>
    <row r="187" spans="1:16">
      <c r="A187" t="s">
        <v>1706</v>
      </c>
      <c r="B187" t="s">
        <v>1714</v>
      </c>
      <c r="C187">
        <v>180</v>
      </c>
      <c r="D187">
        <v>5275452164</v>
      </c>
      <c r="E187">
        <v>95731999999</v>
      </c>
      <c r="F187">
        <v>8508609</v>
      </c>
      <c r="H187" s="66" t="str">
        <f>IF(LEFT(A187,6)="CEPNTR","GPINS",VLOOKUP(LEFT(A187,6),'Code Library'!$A$3:$B$920,2,0))&amp;"_"&amp;RIGHT(A187,3)</f>
        <v>AZPST_IDR</v>
      </c>
      <c r="I187" s="66" t="str">
        <f t="shared" si="14"/>
        <v>CEZPST_IDR</v>
      </c>
      <c r="K187" s="66" t="str">
        <f t="shared" si="15"/>
        <v>IF</v>
      </c>
      <c r="L187" s="66" t="str">
        <f t="shared" si="16"/>
        <v>2023</v>
      </c>
      <c r="M187" s="66" t="str">
        <f t="shared" si="17"/>
        <v>NO</v>
      </c>
      <c r="N187" s="66" t="str">
        <f t="shared" si="18"/>
        <v>IDR</v>
      </c>
      <c r="O187" s="66" t="str">
        <f t="shared" si="19"/>
        <v>L</v>
      </c>
      <c r="P187" s="66" t="str">
        <f t="shared" si="20"/>
        <v>AG</v>
      </c>
    </row>
    <row r="188" spans="1:16">
      <c r="A188" t="s">
        <v>1706</v>
      </c>
      <c r="B188" t="s">
        <v>2380</v>
      </c>
      <c r="C188">
        <v>169</v>
      </c>
      <c r="D188">
        <v>3588000925</v>
      </c>
      <c r="E188">
        <v>59465788300</v>
      </c>
      <c r="F188">
        <v>0</v>
      </c>
      <c r="H188" s="66" t="str">
        <f>IF(LEFT(A188,6)="CEPNTR","GPINS",VLOOKUP(LEFT(A188,6),'Code Library'!$A$3:$B$920,2,0))&amp;"_"&amp;RIGHT(A188,3)</f>
        <v>AZPST_IDR</v>
      </c>
      <c r="I188" s="66" t="str">
        <f t="shared" si="14"/>
        <v>CEZPST_IDR</v>
      </c>
      <c r="K188" s="66" t="str">
        <f t="shared" si="15"/>
        <v>IF</v>
      </c>
      <c r="L188" s="66" t="str">
        <f t="shared" si="16"/>
        <v>2024</v>
      </c>
      <c r="M188" s="66" t="str">
        <f t="shared" si="17"/>
        <v>NO</v>
      </c>
      <c r="N188" s="66" t="str">
        <f t="shared" si="18"/>
        <v>IDR</v>
      </c>
      <c r="O188" s="66" t="str">
        <f t="shared" si="19"/>
        <v>L</v>
      </c>
      <c r="P188" s="66" t="str">
        <f t="shared" si="20"/>
        <v>AG</v>
      </c>
    </row>
    <row r="189" spans="1:16">
      <c r="A189" t="s">
        <v>1706</v>
      </c>
      <c r="B189" t="s">
        <v>2381</v>
      </c>
      <c r="C189">
        <v>33</v>
      </c>
      <c r="D189">
        <v>834668360</v>
      </c>
      <c r="E189">
        <v>14853500000</v>
      </c>
      <c r="F189">
        <v>0</v>
      </c>
      <c r="H189" s="66" t="str">
        <f>IF(LEFT(A189,6)="CEPNTR","GPINS",VLOOKUP(LEFT(A189,6),'Code Library'!$A$3:$B$920,2,0))&amp;"_"&amp;RIGHT(A189,3)</f>
        <v>AZPST_IDR</v>
      </c>
      <c r="I189" s="66" t="str">
        <f t="shared" si="14"/>
        <v>CEZPST_IDR</v>
      </c>
      <c r="K189" s="66" t="str">
        <f t="shared" si="15"/>
        <v>Q1</v>
      </c>
      <c r="L189" s="66" t="str">
        <f t="shared" si="16"/>
        <v>2025</v>
      </c>
      <c r="M189" s="66" t="str">
        <f t="shared" si="17"/>
        <v>NO</v>
      </c>
      <c r="N189" s="66" t="str">
        <f t="shared" si="18"/>
        <v>IDR</v>
      </c>
      <c r="O189" s="66" t="str">
        <f t="shared" si="19"/>
        <v>L</v>
      </c>
      <c r="P189" s="66" t="str">
        <f t="shared" si="20"/>
        <v>AG</v>
      </c>
    </row>
    <row r="190" spans="1:16">
      <c r="A190" t="s">
        <v>1706</v>
      </c>
      <c r="B190" t="s">
        <v>1715</v>
      </c>
      <c r="C190">
        <v>191</v>
      </c>
      <c r="D190">
        <v>4527673540</v>
      </c>
      <c r="E190">
        <v>79688000000</v>
      </c>
      <c r="F190">
        <v>26024071</v>
      </c>
      <c r="H190" s="66" t="str">
        <f>IF(LEFT(A190,6)="CEPNTR","GPINS",VLOOKUP(LEFT(A190,6),'Code Library'!$A$3:$B$920,2,0))&amp;"_"&amp;RIGHT(A190,3)</f>
        <v>AZPST_IDR</v>
      </c>
      <c r="I190" s="66" t="str">
        <f t="shared" si="14"/>
        <v>CEZPST_IDR</v>
      </c>
      <c r="K190" s="66" t="str">
        <f t="shared" si="15"/>
        <v>IF</v>
      </c>
      <c r="L190" s="66" t="str">
        <f t="shared" si="16"/>
        <v>2020</v>
      </c>
      <c r="M190" s="66" t="str">
        <f t="shared" si="17"/>
        <v>NO</v>
      </c>
      <c r="N190" s="66" t="str">
        <f t="shared" si="18"/>
        <v>IDR</v>
      </c>
      <c r="O190" s="66" t="str">
        <f t="shared" si="19"/>
        <v>L</v>
      </c>
      <c r="P190" s="66" t="str">
        <f t="shared" si="20"/>
        <v>AG</v>
      </c>
    </row>
    <row r="191" spans="1:16">
      <c r="A191" t="s">
        <v>1706</v>
      </c>
      <c r="B191" t="s">
        <v>1716</v>
      </c>
      <c r="C191">
        <v>156</v>
      </c>
      <c r="D191">
        <v>4074346916</v>
      </c>
      <c r="E191">
        <v>74234100000</v>
      </c>
      <c r="F191">
        <v>5448942</v>
      </c>
      <c r="H191" s="66" t="str">
        <f>IF(LEFT(A191,6)="CEPNTR","GPINS",VLOOKUP(LEFT(A191,6),'Code Library'!$A$3:$B$920,2,0))&amp;"_"&amp;RIGHT(A191,3)</f>
        <v>AZPST_IDR</v>
      </c>
      <c r="I191" s="66" t="str">
        <f t="shared" si="14"/>
        <v>CEZPST_IDR</v>
      </c>
      <c r="K191" s="66" t="str">
        <f t="shared" si="15"/>
        <v>IF</v>
      </c>
      <c r="L191" s="66" t="str">
        <f t="shared" si="16"/>
        <v>2021</v>
      </c>
      <c r="M191" s="66" t="str">
        <f t="shared" si="17"/>
        <v>NO</v>
      </c>
      <c r="N191" s="66" t="str">
        <f t="shared" si="18"/>
        <v>IDR</v>
      </c>
      <c r="O191" s="66" t="str">
        <f t="shared" si="19"/>
        <v>L</v>
      </c>
      <c r="P191" s="66" t="str">
        <f t="shared" si="20"/>
        <v>AG</v>
      </c>
    </row>
    <row r="192" spans="1:16">
      <c r="A192" t="s">
        <v>1706</v>
      </c>
      <c r="B192" t="s">
        <v>1717</v>
      </c>
      <c r="C192">
        <v>317</v>
      </c>
      <c r="D192">
        <v>10624877605</v>
      </c>
      <c r="E192">
        <v>173582694831</v>
      </c>
      <c r="F192">
        <v>0</v>
      </c>
      <c r="H192" s="66" t="str">
        <f>IF(LEFT(A192,6)="CEPNTR","GPINS",VLOOKUP(LEFT(A192,6),'Code Library'!$A$3:$B$920,2,0))&amp;"_"&amp;RIGHT(A192,3)</f>
        <v>AZPST_IDR</v>
      </c>
      <c r="I192" s="66" t="str">
        <f t="shared" si="14"/>
        <v>CEZPST_IDR</v>
      </c>
      <c r="K192" s="66" t="str">
        <f t="shared" si="15"/>
        <v>IF</v>
      </c>
      <c r="L192" s="66" t="str">
        <f t="shared" si="16"/>
        <v>2022</v>
      </c>
      <c r="M192" s="66" t="str">
        <f t="shared" si="17"/>
        <v>NO</v>
      </c>
      <c r="N192" s="66" t="str">
        <f t="shared" si="18"/>
        <v>IDR</v>
      </c>
      <c r="O192" s="66" t="str">
        <f t="shared" si="19"/>
        <v>L</v>
      </c>
      <c r="P192" s="66" t="str">
        <f t="shared" si="20"/>
        <v>AG</v>
      </c>
    </row>
    <row r="193" spans="1:16">
      <c r="A193" t="s">
        <v>1706</v>
      </c>
      <c r="B193" t="s">
        <v>1718</v>
      </c>
      <c r="C193">
        <v>454</v>
      </c>
      <c r="D193">
        <v>13767824384</v>
      </c>
      <c r="E193">
        <v>229403643800</v>
      </c>
      <c r="F193">
        <v>17244690</v>
      </c>
      <c r="H193" s="66" t="str">
        <f>IF(LEFT(A193,6)="CEPNTR","GPINS",VLOOKUP(LEFT(A193,6),'Code Library'!$A$3:$B$920,2,0))&amp;"_"&amp;RIGHT(A193,3)</f>
        <v>AZPST_IDR</v>
      </c>
      <c r="I193" s="66" t="str">
        <f t="shared" si="14"/>
        <v>CEZPST_IDR</v>
      </c>
      <c r="K193" s="66" t="str">
        <f t="shared" si="15"/>
        <v>IF</v>
      </c>
      <c r="L193" s="66" t="str">
        <f t="shared" si="16"/>
        <v>2023</v>
      </c>
      <c r="M193" s="66" t="str">
        <f t="shared" si="17"/>
        <v>NO</v>
      </c>
      <c r="N193" s="66" t="str">
        <f t="shared" si="18"/>
        <v>IDR</v>
      </c>
      <c r="O193" s="66" t="str">
        <f t="shared" si="19"/>
        <v>L</v>
      </c>
      <c r="P193" s="66" t="str">
        <f t="shared" si="20"/>
        <v>AG</v>
      </c>
    </row>
    <row r="194" spans="1:16">
      <c r="A194" t="s">
        <v>1706</v>
      </c>
      <c r="B194" t="s">
        <v>2382</v>
      </c>
      <c r="C194">
        <v>619</v>
      </c>
      <c r="D194">
        <v>10400165446</v>
      </c>
      <c r="E194">
        <v>212750927593</v>
      </c>
      <c r="F194">
        <v>0</v>
      </c>
      <c r="H194" s="66" t="str">
        <f>IF(LEFT(A194,6)="CEPNTR","GPINS",VLOOKUP(LEFT(A194,6),'Code Library'!$A$3:$B$920,2,0))&amp;"_"&amp;RIGHT(A194,3)</f>
        <v>AZPST_IDR</v>
      </c>
      <c r="I194" s="66" t="str">
        <f t="shared" si="14"/>
        <v>CEZPST_IDR</v>
      </c>
      <c r="K194" s="66" t="str">
        <f t="shared" si="15"/>
        <v>IF</v>
      </c>
      <c r="L194" s="66" t="str">
        <f t="shared" si="16"/>
        <v>2024</v>
      </c>
      <c r="M194" s="66" t="str">
        <f t="shared" si="17"/>
        <v>NO</v>
      </c>
      <c r="N194" s="66" t="str">
        <f t="shared" si="18"/>
        <v>IDR</v>
      </c>
      <c r="O194" s="66" t="str">
        <f t="shared" si="19"/>
        <v>L</v>
      </c>
      <c r="P194" s="66" t="str">
        <f t="shared" si="20"/>
        <v>AG</v>
      </c>
    </row>
    <row r="195" spans="1:16">
      <c r="A195" t="s">
        <v>1706</v>
      </c>
      <c r="B195" t="s">
        <v>2383</v>
      </c>
      <c r="C195">
        <v>141</v>
      </c>
      <c r="D195">
        <v>3185996359</v>
      </c>
      <c r="E195">
        <v>56434028915</v>
      </c>
      <c r="F195">
        <v>0</v>
      </c>
      <c r="H195" s="66" t="str">
        <f>IF(LEFT(A195,6)="CEPNTR","GPINS",VLOOKUP(LEFT(A195,6),'Code Library'!$A$3:$B$920,2,0))&amp;"_"&amp;RIGHT(A195,3)</f>
        <v>AZPST_IDR</v>
      </c>
      <c r="I195" s="66" t="str">
        <f t="shared" ref="I195:I258" si="21">A195</f>
        <v>CEZPST_IDR</v>
      </c>
      <c r="K195" s="66" t="str">
        <f t="shared" ref="K195:K258" si="22">RIGHT($B195,2)</f>
        <v>Q1</v>
      </c>
      <c r="L195" s="66" t="str">
        <f t="shared" ref="L195:L258" si="23">LEFT(RIGHT($B195,7),4)</f>
        <v>2025</v>
      </c>
      <c r="M195" s="66" t="str">
        <f t="shared" ref="M195:M258" si="24">LEFT(RIGHT($B195,10),2)</f>
        <v>NO</v>
      </c>
      <c r="N195" s="66" t="str">
        <f t="shared" ref="N195:N258" si="25">LEFT(RIGHT($B195,14),3)</f>
        <v>IDR</v>
      </c>
      <c r="O195" s="66" t="str">
        <f t="shared" ref="O195:O258" si="26">LEFT(RIGHT($B195,16),1)</f>
        <v>L</v>
      </c>
      <c r="P195" s="66" t="str">
        <f t="shared" ref="P195:P258" si="27">LEFT(RIGHT($B195,19),2)</f>
        <v>AG</v>
      </c>
    </row>
    <row r="196" spans="1:16">
      <c r="A196" t="s">
        <v>1719</v>
      </c>
      <c r="B196" t="s">
        <v>1720</v>
      </c>
      <c r="C196">
        <v>2</v>
      </c>
      <c r="D196">
        <v>9192000</v>
      </c>
      <c r="E196">
        <v>600000</v>
      </c>
      <c r="F196">
        <v>0</v>
      </c>
      <c r="H196" s="66" t="str">
        <f>IF(LEFT(A196,6)="CEPNTR","GPINS",VLOOKUP(LEFT(A196,6),'Code Library'!$A$3:$B$920,2,0))&amp;"_"&amp;RIGHT(A196,3)</f>
        <v>CHCPT__IDR</v>
      </c>
      <c r="I196" s="66" t="str">
        <f t="shared" si="21"/>
        <v>CHCPT__IDR</v>
      </c>
      <c r="K196" s="66" t="str">
        <f t="shared" si="22"/>
        <v>IF</v>
      </c>
      <c r="L196" s="66" t="str">
        <f t="shared" si="23"/>
        <v>2023</v>
      </c>
      <c r="M196" s="66" t="str">
        <f t="shared" si="24"/>
        <v>NO</v>
      </c>
      <c r="N196" s="66" t="str">
        <f t="shared" si="25"/>
        <v>IDR</v>
      </c>
      <c r="O196" s="66" t="str">
        <f t="shared" si="26"/>
        <v>L</v>
      </c>
      <c r="P196" s="66" t="str">
        <f t="shared" si="27"/>
        <v>NK</v>
      </c>
    </row>
    <row r="197" spans="1:16">
      <c r="A197" t="s">
        <v>1719</v>
      </c>
      <c r="B197" t="s">
        <v>2384</v>
      </c>
      <c r="C197">
        <v>1</v>
      </c>
      <c r="D197">
        <v>7164000</v>
      </c>
      <c r="E197">
        <v>1000000</v>
      </c>
      <c r="F197">
        <v>0</v>
      </c>
      <c r="H197" s="66" t="str">
        <f>IF(LEFT(A197,6)="CEPNTR","GPINS",VLOOKUP(LEFT(A197,6),'Code Library'!$A$3:$B$920,2,0))&amp;"_"&amp;RIGHT(A197,3)</f>
        <v>CHCPT__IDR</v>
      </c>
      <c r="I197" s="66" t="str">
        <f t="shared" si="21"/>
        <v>CHCPT__IDR</v>
      </c>
      <c r="K197" s="66" t="str">
        <f t="shared" si="22"/>
        <v>IF</v>
      </c>
      <c r="L197" s="66" t="str">
        <f t="shared" si="23"/>
        <v>2024</v>
      </c>
      <c r="M197" s="66" t="str">
        <f t="shared" si="24"/>
        <v>NO</v>
      </c>
      <c r="N197" s="66" t="str">
        <f t="shared" si="25"/>
        <v>IDR</v>
      </c>
      <c r="O197" s="66" t="str">
        <f t="shared" si="26"/>
        <v>L</v>
      </c>
      <c r="P197" s="66" t="str">
        <f t="shared" si="27"/>
        <v>NK</v>
      </c>
    </row>
    <row r="198" spans="1:16">
      <c r="A198" t="s">
        <v>1721</v>
      </c>
      <c r="B198" t="s">
        <v>1722</v>
      </c>
      <c r="C198">
        <v>1</v>
      </c>
      <c r="D198">
        <v>6000000</v>
      </c>
      <c r="E198">
        <v>587500000</v>
      </c>
      <c r="F198">
        <v>0</v>
      </c>
      <c r="H198" s="66" t="str">
        <f>IF(LEFT(A198,6)="CEPNTR","GPINS",VLOOKUP(LEFT(A198,6),'Code Library'!$A$3:$B$920,2,0))&amp;"_"&amp;RIGHT(A198,3)</f>
        <v>JLIFE_IDR</v>
      </c>
      <c r="I198" s="66" t="str">
        <f t="shared" si="21"/>
        <v>CJLIFE_IDR</v>
      </c>
      <c r="K198" s="66" t="str">
        <f t="shared" si="22"/>
        <v>IF</v>
      </c>
      <c r="L198" s="66" t="str">
        <f t="shared" si="23"/>
        <v>2019</v>
      </c>
      <c r="M198" s="66" t="str">
        <f t="shared" si="24"/>
        <v>NO</v>
      </c>
      <c r="N198" s="66" t="str">
        <f t="shared" si="25"/>
        <v>IDR</v>
      </c>
      <c r="O198" s="66" t="str">
        <f t="shared" si="26"/>
        <v>L</v>
      </c>
      <c r="P198" s="66" t="str">
        <f t="shared" si="27"/>
        <v>KT</v>
      </c>
    </row>
    <row r="199" spans="1:16">
      <c r="A199" t="s">
        <v>1721</v>
      </c>
      <c r="B199" t="s">
        <v>1723</v>
      </c>
      <c r="C199">
        <v>2</v>
      </c>
      <c r="D199">
        <v>12000000</v>
      </c>
      <c r="E199">
        <v>845500000</v>
      </c>
      <c r="F199">
        <v>0</v>
      </c>
      <c r="H199" s="66" t="str">
        <f>IF(LEFT(A199,6)="CEPNTR","GPINS",VLOOKUP(LEFT(A199,6),'Code Library'!$A$3:$B$920,2,0))&amp;"_"&amp;RIGHT(A199,3)</f>
        <v>JLIFE_IDR</v>
      </c>
      <c r="I199" s="66" t="str">
        <f t="shared" si="21"/>
        <v>CJLIFE_IDR</v>
      </c>
      <c r="K199" s="66" t="str">
        <f t="shared" si="22"/>
        <v>IF</v>
      </c>
      <c r="L199" s="66" t="str">
        <f t="shared" si="23"/>
        <v>2020</v>
      </c>
      <c r="M199" s="66" t="str">
        <f t="shared" si="24"/>
        <v>NO</v>
      </c>
      <c r="N199" s="66" t="str">
        <f t="shared" si="25"/>
        <v>IDR</v>
      </c>
      <c r="O199" s="66" t="str">
        <f t="shared" si="26"/>
        <v>L</v>
      </c>
      <c r="P199" s="66" t="str">
        <f t="shared" si="27"/>
        <v>KT</v>
      </c>
    </row>
    <row r="200" spans="1:16">
      <c r="A200" t="s">
        <v>1721</v>
      </c>
      <c r="B200" t="s">
        <v>1724</v>
      </c>
      <c r="C200">
        <v>1</v>
      </c>
      <c r="D200">
        <v>12000000</v>
      </c>
      <c r="E200">
        <v>635000000</v>
      </c>
      <c r="F200">
        <v>0</v>
      </c>
      <c r="H200" s="66" t="str">
        <f>IF(LEFT(A200,6)="CEPNTR","GPINS",VLOOKUP(LEFT(A200,6),'Code Library'!$A$3:$B$920,2,0))&amp;"_"&amp;RIGHT(A200,3)</f>
        <v>JLIFE_IDR</v>
      </c>
      <c r="I200" s="66" t="str">
        <f t="shared" si="21"/>
        <v>CJLIFE_IDR</v>
      </c>
      <c r="K200" s="66" t="str">
        <f t="shared" si="22"/>
        <v>IF</v>
      </c>
      <c r="L200" s="66" t="str">
        <f t="shared" si="23"/>
        <v>2022</v>
      </c>
      <c r="M200" s="66" t="str">
        <f t="shared" si="24"/>
        <v>NO</v>
      </c>
      <c r="N200" s="66" t="str">
        <f t="shared" si="25"/>
        <v>IDR</v>
      </c>
      <c r="O200" s="66" t="str">
        <f t="shared" si="26"/>
        <v>L</v>
      </c>
      <c r="P200" s="66" t="str">
        <f t="shared" si="27"/>
        <v>KT</v>
      </c>
    </row>
    <row r="201" spans="1:16">
      <c r="A201" t="s">
        <v>2334</v>
      </c>
      <c r="B201" t="s">
        <v>2335</v>
      </c>
      <c r="C201">
        <v>101</v>
      </c>
      <c r="D201">
        <v>2231782260</v>
      </c>
      <c r="E201">
        <v>33307000000</v>
      </c>
      <c r="F201">
        <v>0</v>
      </c>
      <c r="H201" s="66" t="str">
        <f>IF(LEFT(A201,6)="CEPNTR","GPINS",VLOOKUP(LEFT(A201,6),'Code Library'!$A$3:$B$920,2,0))&amp;"_"&amp;RIGHT(A201,3)</f>
        <v>ASAMN_IDR</v>
      </c>
      <c r="I201" s="66" t="str">
        <f t="shared" si="21"/>
        <v>CSAMAN_IDR</v>
      </c>
      <c r="K201" s="66" t="str">
        <f t="shared" si="22"/>
        <v>IF</v>
      </c>
      <c r="L201" s="66" t="str">
        <f t="shared" si="23"/>
        <v>2023</v>
      </c>
      <c r="M201" s="66" t="str">
        <f t="shared" si="24"/>
        <v>SN</v>
      </c>
      <c r="N201" s="66" t="str">
        <f t="shared" si="25"/>
        <v>IDR</v>
      </c>
      <c r="O201" s="66" t="str">
        <f t="shared" si="26"/>
        <v>L</v>
      </c>
      <c r="P201" s="66" t="str">
        <f t="shared" si="27"/>
        <v>AG</v>
      </c>
    </row>
    <row r="202" spans="1:16">
      <c r="A202" t="s">
        <v>2334</v>
      </c>
      <c r="B202" t="s">
        <v>2385</v>
      </c>
      <c r="C202">
        <v>103</v>
      </c>
      <c r="D202">
        <v>2585062385</v>
      </c>
      <c r="E202">
        <v>31257500000</v>
      </c>
      <c r="F202">
        <v>0</v>
      </c>
      <c r="H202" s="66" t="str">
        <f>IF(LEFT(A202,6)="CEPNTR","GPINS",VLOOKUP(LEFT(A202,6),'Code Library'!$A$3:$B$920,2,0))&amp;"_"&amp;RIGHT(A202,3)</f>
        <v>ASAMN_IDR</v>
      </c>
      <c r="I202" s="66" t="str">
        <f t="shared" si="21"/>
        <v>CSAMAN_IDR</v>
      </c>
      <c r="K202" s="66" t="str">
        <f t="shared" si="22"/>
        <v>IF</v>
      </c>
      <c r="L202" s="66" t="str">
        <f t="shared" si="23"/>
        <v>2024</v>
      </c>
      <c r="M202" s="66" t="str">
        <f t="shared" si="24"/>
        <v>SN</v>
      </c>
      <c r="N202" s="66" t="str">
        <f t="shared" si="25"/>
        <v>IDR</v>
      </c>
      <c r="O202" s="66" t="str">
        <f t="shared" si="26"/>
        <v>L</v>
      </c>
      <c r="P202" s="66" t="str">
        <f t="shared" si="27"/>
        <v>AG</v>
      </c>
    </row>
    <row r="203" spans="1:16">
      <c r="A203" t="s">
        <v>2334</v>
      </c>
      <c r="B203" t="s">
        <v>2386</v>
      </c>
      <c r="C203">
        <v>18</v>
      </c>
      <c r="D203">
        <v>650038112</v>
      </c>
      <c r="E203">
        <v>7533000000</v>
      </c>
      <c r="F203">
        <v>0</v>
      </c>
      <c r="H203" s="66" t="str">
        <f>IF(LEFT(A203,6)="CEPNTR","GPINS",VLOOKUP(LEFT(A203,6),'Code Library'!$A$3:$B$920,2,0))&amp;"_"&amp;RIGHT(A203,3)</f>
        <v>ASAMN_IDR</v>
      </c>
      <c r="I203" s="66" t="str">
        <f t="shared" si="21"/>
        <v>CSAMAN_IDR</v>
      </c>
      <c r="K203" s="66" t="str">
        <f t="shared" si="22"/>
        <v>Q1</v>
      </c>
      <c r="L203" s="66" t="str">
        <f t="shared" si="23"/>
        <v>2025</v>
      </c>
      <c r="M203" s="66" t="str">
        <f t="shared" si="24"/>
        <v>SN</v>
      </c>
      <c r="N203" s="66" t="str">
        <f t="shared" si="25"/>
        <v>IDR</v>
      </c>
      <c r="O203" s="66" t="str">
        <f t="shared" si="26"/>
        <v>L</v>
      </c>
      <c r="P203" s="66" t="str">
        <f t="shared" si="27"/>
        <v>AG</v>
      </c>
    </row>
    <row r="204" spans="1:16">
      <c r="A204" t="s">
        <v>2334</v>
      </c>
      <c r="B204" t="s">
        <v>2336</v>
      </c>
      <c r="C204">
        <v>98</v>
      </c>
      <c r="D204">
        <v>2936525770</v>
      </c>
      <c r="E204">
        <v>38879800000</v>
      </c>
      <c r="F204">
        <v>0</v>
      </c>
      <c r="H204" s="66" t="str">
        <f>IF(LEFT(A204,6)="CEPNTR","GPINS",VLOOKUP(LEFT(A204,6),'Code Library'!$A$3:$B$920,2,0))&amp;"_"&amp;RIGHT(A204,3)</f>
        <v>ASAMN_IDR</v>
      </c>
      <c r="I204" s="66" t="str">
        <f t="shared" si="21"/>
        <v>CSAMAN_IDR</v>
      </c>
      <c r="K204" s="66" t="str">
        <f t="shared" si="22"/>
        <v>IF</v>
      </c>
      <c r="L204" s="66" t="str">
        <f t="shared" si="23"/>
        <v>2023</v>
      </c>
      <c r="M204" s="66" t="str">
        <f t="shared" si="24"/>
        <v>SN</v>
      </c>
      <c r="N204" s="66" t="str">
        <f t="shared" si="25"/>
        <v>IDR</v>
      </c>
      <c r="O204" s="66" t="str">
        <f t="shared" si="26"/>
        <v>L</v>
      </c>
      <c r="P204" s="66" t="str">
        <f t="shared" si="27"/>
        <v>AG</v>
      </c>
    </row>
    <row r="205" spans="1:16">
      <c r="A205" t="s">
        <v>2334</v>
      </c>
      <c r="B205" t="s">
        <v>2387</v>
      </c>
      <c r="C205">
        <v>149</v>
      </c>
      <c r="D205">
        <v>3290453932</v>
      </c>
      <c r="E205">
        <v>41579348300</v>
      </c>
      <c r="F205">
        <v>0</v>
      </c>
      <c r="H205" s="66" t="str">
        <f>IF(LEFT(A205,6)="CEPNTR","GPINS",VLOOKUP(LEFT(A205,6),'Code Library'!$A$3:$B$920,2,0))&amp;"_"&amp;RIGHT(A205,3)</f>
        <v>ASAMN_IDR</v>
      </c>
      <c r="I205" s="66" t="str">
        <f t="shared" si="21"/>
        <v>CSAMAN_IDR</v>
      </c>
      <c r="K205" s="66" t="str">
        <f t="shared" si="22"/>
        <v>IF</v>
      </c>
      <c r="L205" s="66" t="str">
        <f t="shared" si="23"/>
        <v>2024</v>
      </c>
      <c r="M205" s="66" t="str">
        <f t="shared" si="24"/>
        <v>SN</v>
      </c>
      <c r="N205" s="66" t="str">
        <f t="shared" si="25"/>
        <v>IDR</v>
      </c>
      <c r="O205" s="66" t="str">
        <f t="shared" si="26"/>
        <v>L</v>
      </c>
      <c r="P205" s="66" t="str">
        <f t="shared" si="27"/>
        <v>AG</v>
      </c>
    </row>
    <row r="206" spans="1:16">
      <c r="A206" t="s">
        <v>2334</v>
      </c>
      <c r="B206" t="s">
        <v>2388</v>
      </c>
      <c r="C206">
        <v>40</v>
      </c>
      <c r="D206">
        <v>963090980</v>
      </c>
      <c r="E206">
        <v>13900682667</v>
      </c>
      <c r="F206">
        <v>0</v>
      </c>
      <c r="H206" s="66" t="str">
        <f>IF(LEFT(A206,6)="CEPNTR","GPINS",VLOOKUP(LEFT(A206,6),'Code Library'!$A$3:$B$920,2,0))&amp;"_"&amp;RIGHT(A206,3)</f>
        <v>ASAMN_IDR</v>
      </c>
      <c r="I206" s="66" t="str">
        <f t="shared" si="21"/>
        <v>CSAMAN_IDR</v>
      </c>
      <c r="K206" s="66" t="str">
        <f t="shared" si="22"/>
        <v>Q1</v>
      </c>
      <c r="L206" s="66" t="str">
        <f t="shared" si="23"/>
        <v>2025</v>
      </c>
      <c r="M206" s="66" t="str">
        <f t="shared" si="24"/>
        <v>SN</v>
      </c>
      <c r="N206" s="66" t="str">
        <f t="shared" si="25"/>
        <v>IDR</v>
      </c>
      <c r="O206" s="66" t="str">
        <f t="shared" si="26"/>
        <v>L</v>
      </c>
      <c r="P206" s="66" t="str">
        <f t="shared" si="27"/>
        <v>AG</v>
      </c>
    </row>
    <row r="207" spans="1:16">
      <c r="A207" t="s">
        <v>2334</v>
      </c>
      <c r="B207" t="s">
        <v>2389</v>
      </c>
      <c r="C207">
        <v>69</v>
      </c>
      <c r="D207">
        <v>2806082530</v>
      </c>
      <c r="E207">
        <v>23127442193</v>
      </c>
      <c r="F207">
        <v>0</v>
      </c>
      <c r="H207" s="66" t="str">
        <f>IF(LEFT(A207,6)="CEPNTR","GPINS",VLOOKUP(LEFT(A207,6),'Code Library'!$A$3:$B$920,2,0))&amp;"_"&amp;RIGHT(A207,3)</f>
        <v>ASAMN_IDR</v>
      </c>
      <c r="I207" s="66" t="str">
        <f t="shared" si="21"/>
        <v>CSAMAN_IDR</v>
      </c>
      <c r="K207" s="66" t="str">
        <f t="shared" si="22"/>
        <v>IF</v>
      </c>
      <c r="L207" s="66" t="str">
        <f t="shared" si="23"/>
        <v>2024</v>
      </c>
      <c r="M207" s="66" t="str">
        <f t="shared" si="24"/>
        <v>SN</v>
      </c>
      <c r="N207" s="66" t="str">
        <f t="shared" si="25"/>
        <v>IDR</v>
      </c>
      <c r="O207" s="66" t="str">
        <f t="shared" si="26"/>
        <v>L</v>
      </c>
      <c r="P207" s="66" t="str">
        <f t="shared" si="27"/>
        <v>NK</v>
      </c>
    </row>
    <row r="208" spans="1:16">
      <c r="A208" t="s">
        <v>2334</v>
      </c>
      <c r="B208" t="s">
        <v>2390</v>
      </c>
      <c r="C208">
        <v>25</v>
      </c>
      <c r="D208">
        <v>828047921</v>
      </c>
      <c r="E208">
        <v>6033950000</v>
      </c>
      <c r="F208">
        <v>0</v>
      </c>
      <c r="H208" s="66" t="str">
        <f>IF(LEFT(A208,6)="CEPNTR","GPINS",VLOOKUP(LEFT(A208,6),'Code Library'!$A$3:$B$920,2,0))&amp;"_"&amp;RIGHT(A208,3)</f>
        <v>ASAMN_IDR</v>
      </c>
      <c r="I208" s="66" t="str">
        <f t="shared" si="21"/>
        <v>CSAMAN_IDR</v>
      </c>
      <c r="K208" s="66" t="str">
        <f t="shared" si="22"/>
        <v>Q1</v>
      </c>
      <c r="L208" s="66" t="str">
        <f t="shared" si="23"/>
        <v>2025</v>
      </c>
      <c r="M208" s="66" t="str">
        <f t="shared" si="24"/>
        <v>SN</v>
      </c>
      <c r="N208" s="66" t="str">
        <f t="shared" si="25"/>
        <v>IDR</v>
      </c>
      <c r="O208" s="66" t="str">
        <f t="shared" si="26"/>
        <v>L</v>
      </c>
      <c r="P208" s="66" t="str">
        <f t="shared" si="27"/>
        <v>NK</v>
      </c>
    </row>
    <row r="209" spans="1:16">
      <c r="A209" t="s">
        <v>2334</v>
      </c>
      <c r="B209" t="s">
        <v>2337</v>
      </c>
      <c r="C209">
        <v>186</v>
      </c>
      <c r="D209">
        <v>5108120520</v>
      </c>
      <c r="E209">
        <v>71528510000</v>
      </c>
      <c r="F209">
        <v>0</v>
      </c>
      <c r="H209" s="66" t="str">
        <f>IF(LEFT(A209,6)="CEPNTR","GPINS",VLOOKUP(LEFT(A209,6),'Code Library'!$A$3:$B$920,2,0))&amp;"_"&amp;RIGHT(A209,3)</f>
        <v>ASAMN_IDR</v>
      </c>
      <c r="I209" s="66" t="str">
        <f t="shared" si="21"/>
        <v>CSAMAN_IDR</v>
      </c>
      <c r="K209" s="66" t="str">
        <f t="shared" si="22"/>
        <v>IF</v>
      </c>
      <c r="L209" s="66" t="str">
        <f t="shared" si="23"/>
        <v>2023</v>
      </c>
      <c r="M209" s="66" t="str">
        <f t="shared" si="24"/>
        <v>SN</v>
      </c>
      <c r="N209" s="66" t="str">
        <f t="shared" si="25"/>
        <v>IDR</v>
      </c>
      <c r="O209" s="66" t="str">
        <f t="shared" si="26"/>
        <v>L</v>
      </c>
      <c r="P209" s="66" t="str">
        <f t="shared" si="27"/>
        <v>AG</v>
      </c>
    </row>
    <row r="210" spans="1:16">
      <c r="A210" t="s">
        <v>2334</v>
      </c>
      <c r="B210" t="s">
        <v>2391</v>
      </c>
      <c r="C210">
        <v>152</v>
      </c>
      <c r="D210">
        <v>2681661880</v>
      </c>
      <c r="E210">
        <v>46313967200</v>
      </c>
      <c r="F210">
        <v>0</v>
      </c>
      <c r="H210" s="66" t="str">
        <f>IF(LEFT(A210,6)="CEPNTR","GPINS",VLOOKUP(LEFT(A210,6),'Code Library'!$A$3:$B$920,2,0))&amp;"_"&amp;RIGHT(A210,3)</f>
        <v>ASAMN_IDR</v>
      </c>
      <c r="I210" s="66" t="str">
        <f t="shared" si="21"/>
        <v>CSAMAN_IDR</v>
      </c>
      <c r="K210" s="66" t="str">
        <f t="shared" si="22"/>
        <v>IF</v>
      </c>
      <c r="L210" s="66" t="str">
        <f t="shared" si="23"/>
        <v>2024</v>
      </c>
      <c r="M210" s="66" t="str">
        <f t="shared" si="24"/>
        <v>SN</v>
      </c>
      <c r="N210" s="66" t="str">
        <f t="shared" si="25"/>
        <v>IDR</v>
      </c>
      <c r="O210" s="66" t="str">
        <f t="shared" si="26"/>
        <v>L</v>
      </c>
      <c r="P210" s="66" t="str">
        <f t="shared" si="27"/>
        <v>AG</v>
      </c>
    </row>
    <row r="211" spans="1:16">
      <c r="A211" t="s">
        <v>2334</v>
      </c>
      <c r="B211" t="s">
        <v>2392</v>
      </c>
      <c r="C211">
        <v>52</v>
      </c>
      <c r="D211">
        <v>950213400</v>
      </c>
      <c r="E211">
        <v>17984677250</v>
      </c>
      <c r="F211">
        <v>0</v>
      </c>
      <c r="H211" s="66" t="str">
        <f>IF(LEFT(A211,6)="CEPNTR","GPINS",VLOOKUP(LEFT(A211,6),'Code Library'!$A$3:$B$920,2,0))&amp;"_"&amp;RIGHT(A211,3)</f>
        <v>ASAMN_IDR</v>
      </c>
      <c r="I211" s="66" t="str">
        <f t="shared" si="21"/>
        <v>CSAMAN_IDR</v>
      </c>
      <c r="K211" s="66" t="str">
        <f t="shared" si="22"/>
        <v>Q1</v>
      </c>
      <c r="L211" s="66" t="str">
        <f t="shared" si="23"/>
        <v>2025</v>
      </c>
      <c r="M211" s="66" t="str">
        <f t="shared" si="24"/>
        <v>SN</v>
      </c>
      <c r="N211" s="66" t="str">
        <f t="shared" si="25"/>
        <v>IDR</v>
      </c>
      <c r="O211" s="66" t="str">
        <f t="shared" si="26"/>
        <v>L</v>
      </c>
      <c r="P211" s="66" t="str">
        <f t="shared" si="27"/>
        <v>AG</v>
      </c>
    </row>
    <row r="212" spans="1:16">
      <c r="A212" t="s">
        <v>1725</v>
      </c>
      <c r="B212" t="s">
        <v>2393</v>
      </c>
      <c r="C212">
        <v>1</v>
      </c>
      <c r="D212">
        <v>8820000</v>
      </c>
      <c r="E212">
        <v>400000000</v>
      </c>
      <c r="F212">
        <v>0</v>
      </c>
      <c r="H212" s="66" t="str">
        <f>IF(LEFT(A212,6)="CEPNTR","GPINS",VLOOKUP(LEFT(A212,6),'Code Library'!$A$3:$B$920,2,0))&amp;"_"&amp;RIGHT(A212,3)</f>
        <v>CSCI49_IDR</v>
      </c>
      <c r="I212" s="66" t="str">
        <f t="shared" si="21"/>
        <v>CSCI49_IDR</v>
      </c>
      <c r="K212" s="66" t="str">
        <f t="shared" si="22"/>
        <v>IF</v>
      </c>
      <c r="L212" s="66" t="str">
        <f t="shared" si="23"/>
        <v>2024</v>
      </c>
      <c r="M212" s="66" t="str">
        <f t="shared" si="24"/>
        <v>SN</v>
      </c>
      <c r="N212" s="66" t="str">
        <f t="shared" si="25"/>
        <v>IDR</v>
      </c>
      <c r="O212" s="66" t="str">
        <f t="shared" si="26"/>
        <v>L</v>
      </c>
      <c r="P212" s="66" t="str">
        <f t="shared" si="27"/>
        <v>AG</v>
      </c>
    </row>
    <row r="213" spans="1:16">
      <c r="A213" t="s">
        <v>1725</v>
      </c>
      <c r="B213" t="s">
        <v>1726</v>
      </c>
      <c r="C213">
        <v>135</v>
      </c>
      <c r="D213">
        <v>407372601</v>
      </c>
      <c r="E213">
        <v>61248124297</v>
      </c>
      <c r="F213">
        <v>0</v>
      </c>
      <c r="H213" s="66" t="str">
        <f>IF(LEFT(A213,6)="CEPNTR","GPINS",VLOOKUP(LEFT(A213,6),'Code Library'!$A$3:$B$920,2,0))&amp;"_"&amp;RIGHT(A213,3)</f>
        <v>CSCI49_IDR</v>
      </c>
      <c r="I213" s="66" t="str">
        <f t="shared" si="21"/>
        <v>CSCI49_IDR</v>
      </c>
      <c r="K213" s="66" t="str">
        <f t="shared" si="22"/>
        <v>IF</v>
      </c>
      <c r="L213" s="66" t="str">
        <f t="shared" si="23"/>
        <v>2023</v>
      </c>
      <c r="M213" s="66" t="str">
        <f t="shared" si="24"/>
        <v>SN</v>
      </c>
      <c r="N213" s="66" t="str">
        <f t="shared" si="25"/>
        <v>IDR</v>
      </c>
      <c r="O213" s="66" t="str">
        <f t="shared" si="26"/>
        <v>L</v>
      </c>
      <c r="P213" s="66" t="str">
        <f t="shared" si="27"/>
        <v>AG</v>
      </c>
    </row>
    <row r="214" spans="1:16">
      <c r="A214" t="s">
        <v>1725</v>
      </c>
      <c r="B214" t="s">
        <v>2394</v>
      </c>
      <c r="C214">
        <v>38</v>
      </c>
      <c r="D214">
        <v>96865860</v>
      </c>
      <c r="E214">
        <v>11238297500</v>
      </c>
      <c r="F214">
        <v>0</v>
      </c>
      <c r="H214" s="66" t="str">
        <f>IF(LEFT(A214,6)="CEPNTR","GPINS",VLOOKUP(LEFT(A214,6),'Code Library'!$A$3:$B$920,2,0))&amp;"_"&amp;RIGHT(A214,3)</f>
        <v>CSCI49_IDR</v>
      </c>
      <c r="I214" s="66" t="str">
        <f t="shared" si="21"/>
        <v>CSCI49_IDR</v>
      </c>
      <c r="K214" s="66" t="str">
        <f t="shared" si="22"/>
        <v>IF</v>
      </c>
      <c r="L214" s="66" t="str">
        <f t="shared" si="23"/>
        <v>2024</v>
      </c>
      <c r="M214" s="66" t="str">
        <f t="shared" si="24"/>
        <v>SN</v>
      </c>
      <c r="N214" s="66" t="str">
        <f t="shared" si="25"/>
        <v>IDR</v>
      </c>
      <c r="O214" s="66" t="str">
        <f t="shared" si="26"/>
        <v>L</v>
      </c>
      <c r="P214" s="66" t="str">
        <f t="shared" si="27"/>
        <v>AG</v>
      </c>
    </row>
    <row r="215" spans="1:16">
      <c r="A215" t="s">
        <v>1725</v>
      </c>
      <c r="B215" t="s">
        <v>1727</v>
      </c>
      <c r="C215">
        <v>874</v>
      </c>
      <c r="D215">
        <v>2272561933</v>
      </c>
      <c r="E215">
        <v>426737719578</v>
      </c>
      <c r="F215">
        <v>0</v>
      </c>
      <c r="H215" s="66" t="str">
        <f>IF(LEFT(A215,6)="CEPNTR","GPINS",VLOOKUP(LEFT(A215,6),'Code Library'!$A$3:$B$920,2,0))&amp;"_"&amp;RIGHT(A215,3)</f>
        <v>CSCI49_IDR</v>
      </c>
      <c r="I215" s="66" t="str">
        <f t="shared" si="21"/>
        <v>CSCI49_IDR</v>
      </c>
      <c r="K215" s="66" t="str">
        <f t="shared" si="22"/>
        <v>IF</v>
      </c>
      <c r="L215" s="66" t="str">
        <f t="shared" si="23"/>
        <v>2023</v>
      </c>
      <c r="M215" s="66" t="str">
        <f t="shared" si="24"/>
        <v>SN</v>
      </c>
      <c r="N215" s="66" t="str">
        <f t="shared" si="25"/>
        <v>IDR</v>
      </c>
      <c r="O215" s="66" t="str">
        <f t="shared" si="26"/>
        <v>L</v>
      </c>
      <c r="P215" s="66" t="str">
        <f t="shared" si="27"/>
        <v>AG</v>
      </c>
    </row>
    <row r="216" spans="1:16">
      <c r="A216" t="s">
        <v>1725</v>
      </c>
      <c r="B216" t="s">
        <v>2395</v>
      </c>
      <c r="C216">
        <v>9</v>
      </c>
      <c r="D216">
        <v>27062472</v>
      </c>
      <c r="E216">
        <v>4538600000</v>
      </c>
      <c r="F216">
        <v>0</v>
      </c>
      <c r="H216" s="66" t="str">
        <f>IF(LEFT(A216,6)="CEPNTR","GPINS",VLOOKUP(LEFT(A216,6),'Code Library'!$A$3:$B$920,2,0))&amp;"_"&amp;RIGHT(A216,3)</f>
        <v>CSCI49_IDR</v>
      </c>
      <c r="I216" s="66" t="str">
        <f t="shared" si="21"/>
        <v>CSCI49_IDR</v>
      </c>
      <c r="K216" s="66" t="str">
        <f t="shared" si="22"/>
        <v>IF</v>
      </c>
      <c r="L216" s="66" t="str">
        <f t="shared" si="23"/>
        <v>2024</v>
      </c>
      <c r="M216" s="66" t="str">
        <f t="shared" si="24"/>
        <v>SN</v>
      </c>
      <c r="N216" s="66" t="str">
        <f t="shared" si="25"/>
        <v>IDR</v>
      </c>
      <c r="O216" s="66" t="str">
        <f t="shared" si="26"/>
        <v>L</v>
      </c>
      <c r="P216" s="66" t="str">
        <f t="shared" si="27"/>
        <v>AG</v>
      </c>
    </row>
    <row r="217" spans="1:16">
      <c r="A217" t="s">
        <v>1725</v>
      </c>
      <c r="B217" t="s">
        <v>1728</v>
      </c>
      <c r="C217">
        <v>1304</v>
      </c>
      <c r="D217">
        <v>3762431622</v>
      </c>
      <c r="E217">
        <v>642611484819</v>
      </c>
      <c r="F217">
        <v>0</v>
      </c>
      <c r="H217" s="66" t="str">
        <f>IF(LEFT(A217,6)="CEPNTR","GPINS",VLOOKUP(LEFT(A217,6),'Code Library'!$A$3:$B$920,2,0))&amp;"_"&amp;RIGHT(A217,3)</f>
        <v>CSCI49_IDR</v>
      </c>
      <c r="I217" s="66" t="str">
        <f t="shared" si="21"/>
        <v>CSCI49_IDR</v>
      </c>
      <c r="K217" s="66" t="str">
        <f t="shared" si="22"/>
        <v>IF</v>
      </c>
      <c r="L217" s="66" t="str">
        <f t="shared" si="23"/>
        <v>2023</v>
      </c>
      <c r="M217" s="66" t="str">
        <f t="shared" si="24"/>
        <v>SN</v>
      </c>
      <c r="N217" s="66" t="str">
        <f t="shared" si="25"/>
        <v>IDR</v>
      </c>
      <c r="O217" s="66" t="str">
        <f t="shared" si="26"/>
        <v>L</v>
      </c>
      <c r="P217" s="66" t="str">
        <f t="shared" si="27"/>
        <v>AG</v>
      </c>
    </row>
    <row r="218" spans="1:16">
      <c r="A218" t="s">
        <v>1725</v>
      </c>
      <c r="B218" t="s">
        <v>2396</v>
      </c>
      <c r="C218">
        <v>85</v>
      </c>
      <c r="D218">
        <v>272222676</v>
      </c>
      <c r="E218">
        <v>33331551508</v>
      </c>
      <c r="F218">
        <v>0</v>
      </c>
      <c r="H218" s="66" t="str">
        <f>IF(LEFT(A218,6)="CEPNTR","GPINS",VLOOKUP(LEFT(A218,6),'Code Library'!$A$3:$B$920,2,0))&amp;"_"&amp;RIGHT(A218,3)</f>
        <v>CSCI49_IDR</v>
      </c>
      <c r="I218" s="66" t="str">
        <f t="shared" si="21"/>
        <v>CSCI49_IDR</v>
      </c>
      <c r="K218" s="66" t="str">
        <f t="shared" si="22"/>
        <v>IF</v>
      </c>
      <c r="L218" s="66" t="str">
        <f t="shared" si="23"/>
        <v>2024</v>
      </c>
      <c r="M218" s="66" t="str">
        <f t="shared" si="24"/>
        <v>SN</v>
      </c>
      <c r="N218" s="66" t="str">
        <f t="shared" si="25"/>
        <v>IDR</v>
      </c>
      <c r="O218" s="66" t="str">
        <f t="shared" si="26"/>
        <v>L</v>
      </c>
      <c r="P218" s="66" t="str">
        <f t="shared" si="27"/>
        <v>AG</v>
      </c>
    </row>
    <row r="219" spans="1:16">
      <c r="A219" t="s">
        <v>2320</v>
      </c>
      <c r="B219" t="s">
        <v>2397</v>
      </c>
      <c r="C219">
        <v>111</v>
      </c>
      <c r="D219">
        <v>5185508607</v>
      </c>
      <c r="E219">
        <v>49726830000</v>
      </c>
      <c r="F219">
        <v>0</v>
      </c>
      <c r="H219" s="66" t="str">
        <f>IF(LEFT(A219,6)="CEPNTR","GPINS",VLOOKUP(LEFT(A219,6),'Code Library'!$A$3:$B$920,2,0))&amp;"_"&amp;RIGHT(A219,3)</f>
        <v>GUREN_IDR</v>
      </c>
      <c r="I219" s="66" t="str">
        <f t="shared" si="21"/>
        <v>CSGREN_IDR</v>
      </c>
      <c r="K219" s="66" t="str">
        <f t="shared" si="22"/>
        <v>IF</v>
      </c>
      <c r="L219" s="66" t="str">
        <f t="shared" si="23"/>
        <v>2024</v>
      </c>
      <c r="M219" s="66" t="str">
        <f t="shared" si="24"/>
        <v>SI</v>
      </c>
      <c r="N219" s="66" t="str">
        <f t="shared" si="25"/>
        <v>IDR</v>
      </c>
      <c r="O219" s="66" t="str">
        <f t="shared" si="26"/>
        <v>L</v>
      </c>
      <c r="P219" s="66" t="str">
        <f t="shared" si="27"/>
        <v>NK</v>
      </c>
    </row>
    <row r="220" spans="1:16">
      <c r="A220" t="s">
        <v>2320</v>
      </c>
      <c r="B220" t="s">
        <v>2398</v>
      </c>
      <c r="C220">
        <v>52</v>
      </c>
      <c r="D220">
        <v>2230686882</v>
      </c>
      <c r="E220">
        <v>21319670000</v>
      </c>
      <c r="F220">
        <v>0</v>
      </c>
      <c r="H220" s="66" t="str">
        <f>IF(LEFT(A220,6)="CEPNTR","GPINS",VLOOKUP(LEFT(A220,6),'Code Library'!$A$3:$B$920,2,0))&amp;"_"&amp;RIGHT(A220,3)</f>
        <v>GUREN_IDR</v>
      </c>
      <c r="I220" s="66" t="str">
        <f t="shared" si="21"/>
        <v>CSGREN_IDR</v>
      </c>
      <c r="K220" s="66" t="str">
        <f t="shared" si="22"/>
        <v>Q1</v>
      </c>
      <c r="L220" s="66" t="str">
        <f t="shared" si="23"/>
        <v>2025</v>
      </c>
      <c r="M220" s="66" t="str">
        <f t="shared" si="24"/>
        <v>SI</v>
      </c>
      <c r="N220" s="66" t="str">
        <f t="shared" si="25"/>
        <v>IDR</v>
      </c>
      <c r="O220" s="66" t="str">
        <f t="shared" si="26"/>
        <v>L</v>
      </c>
      <c r="P220" s="66" t="str">
        <f t="shared" si="27"/>
        <v>NK</v>
      </c>
    </row>
    <row r="221" spans="1:16">
      <c r="A221" t="s">
        <v>1729</v>
      </c>
      <c r="B221" t="s">
        <v>2399</v>
      </c>
      <c r="C221">
        <v>1</v>
      </c>
      <c r="D221">
        <v>13871196</v>
      </c>
      <c r="E221">
        <v>400000000</v>
      </c>
      <c r="F221">
        <v>0</v>
      </c>
      <c r="H221" s="66" t="str">
        <f>IF(LEFT(A221,6)="CEPNTR","GPINS",VLOOKUP(LEFT(A221,6),'Code Library'!$A$3:$B$920,2,0))&amp;"_"&amp;RIGHT(A221,3)</f>
        <v>ASHDL_IDR</v>
      </c>
      <c r="I221" s="66" t="str">
        <f t="shared" si="21"/>
        <v>CSHNDL_IDR</v>
      </c>
      <c r="K221" s="66" t="str">
        <f t="shared" si="22"/>
        <v>IF</v>
      </c>
      <c r="L221" s="66" t="str">
        <f t="shared" si="23"/>
        <v>2024</v>
      </c>
      <c r="M221" s="66" t="str">
        <f t="shared" si="24"/>
        <v>SN</v>
      </c>
      <c r="N221" s="66" t="str">
        <f t="shared" si="25"/>
        <v>IDR</v>
      </c>
      <c r="O221" s="66" t="str">
        <f t="shared" si="26"/>
        <v>L</v>
      </c>
      <c r="P221" s="66" t="str">
        <f t="shared" si="27"/>
        <v>AG</v>
      </c>
    </row>
    <row r="222" spans="1:16">
      <c r="A222" t="s">
        <v>1729</v>
      </c>
      <c r="B222" t="s">
        <v>1730</v>
      </c>
      <c r="C222">
        <v>135</v>
      </c>
      <c r="D222">
        <v>650970164</v>
      </c>
      <c r="E222">
        <v>61248124297</v>
      </c>
      <c r="F222">
        <v>0</v>
      </c>
      <c r="H222" s="66" t="str">
        <f>IF(LEFT(A222,6)="CEPNTR","GPINS",VLOOKUP(LEFT(A222,6),'Code Library'!$A$3:$B$920,2,0))&amp;"_"&amp;RIGHT(A222,3)</f>
        <v>ASHDL_IDR</v>
      </c>
      <c r="I222" s="66" t="str">
        <f t="shared" si="21"/>
        <v>CSHNDL_IDR</v>
      </c>
      <c r="K222" s="66" t="str">
        <f t="shared" si="22"/>
        <v>IF</v>
      </c>
      <c r="L222" s="66" t="str">
        <f t="shared" si="23"/>
        <v>2023</v>
      </c>
      <c r="M222" s="66" t="str">
        <f t="shared" si="24"/>
        <v>SN</v>
      </c>
      <c r="N222" s="66" t="str">
        <f t="shared" si="25"/>
        <v>IDR</v>
      </c>
      <c r="O222" s="66" t="str">
        <f t="shared" si="26"/>
        <v>L</v>
      </c>
      <c r="P222" s="66" t="str">
        <f t="shared" si="27"/>
        <v>AG</v>
      </c>
    </row>
    <row r="223" spans="1:16">
      <c r="A223" t="s">
        <v>1729</v>
      </c>
      <c r="B223" t="s">
        <v>2400</v>
      </c>
      <c r="C223">
        <v>38</v>
      </c>
      <c r="D223">
        <v>145402876</v>
      </c>
      <c r="E223">
        <v>11238297500</v>
      </c>
      <c r="F223">
        <v>0</v>
      </c>
      <c r="H223" s="66" t="str">
        <f>IF(LEFT(A223,6)="CEPNTR","GPINS",VLOOKUP(LEFT(A223,6),'Code Library'!$A$3:$B$920,2,0))&amp;"_"&amp;RIGHT(A223,3)</f>
        <v>ASHDL_IDR</v>
      </c>
      <c r="I223" s="66" t="str">
        <f t="shared" si="21"/>
        <v>CSHNDL_IDR</v>
      </c>
      <c r="K223" s="66" t="str">
        <f t="shared" si="22"/>
        <v>IF</v>
      </c>
      <c r="L223" s="66" t="str">
        <f t="shared" si="23"/>
        <v>2024</v>
      </c>
      <c r="M223" s="66" t="str">
        <f t="shared" si="24"/>
        <v>SN</v>
      </c>
      <c r="N223" s="66" t="str">
        <f t="shared" si="25"/>
        <v>IDR</v>
      </c>
      <c r="O223" s="66" t="str">
        <f t="shared" si="26"/>
        <v>L</v>
      </c>
      <c r="P223" s="66" t="str">
        <f t="shared" si="27"/>
        <v>AG</v>
      </c>
    </row>
    <row r="224" spans="1:16">
      <c r="A224" t="s">
        <v>1729</v>
      </c>
      <c r="B224" t="s">
        <v>1731</v>
      </c>
      <c r="C224">
        <v>875</v>
      </c>
      <c r="D224">
        <v>3821238653</v>
      </c>
      <c r="E224">
        <v>427515287578</v>
      </c>
      <c r="F224">
        <v>0</v>
      </c>
      <c r="H224" s="66" t="str">
        <f>IF(LEFT(A224,6)="CEPNTR","GPINS",VLOOKUP(LEFT(A224,6),'Code Library'!$A$3:$B$920,2,0))&amp;"_"&amp;RIGHT(A224,3)</f>
        <v>ASHDL_IDR</v>
      </c>
      <c r="I224" s="66" t="str">
        <f t="shared" si="21"/>
        <v>CSHNDL_IDR</v>
      </c>
      <c r="K224" s="66" t="str">
        <f t="shared" si="22"/>
        <v>IF</v>
      </c>
      <c r="L224" s="66" t="str">
        <f t="shared" si="23"/>
        <v>2023</v>
      </c>
      <c r="M224" s="66" t="str">
        <f t="shared" si="24"/>
        <v>SN</v>
      </c>
      <c r="N224" s="66" t="str">
        <f t="shared" si="25"/>
        <v>IDR</v>
      </c>
      <c r="O224" s="66" t="str">
        <f t="shared" si="26"/>
        <v>L</v>
      </c>
      <c r="P224" s="66" t="str">
        <f t="shared" si="27"/>
        <v>AG</v>
      </c>
    </row>
    <row r="225" spans="1:16">
      <c r="A225" t="s">
        <v>1729</v>
      </c>
      <c r="B225" t="s">
        <v>2401</v>
      </c>
      <c r="C225">
        <v>9</v>
      </c>
      <c r="D225">
        <v>46786908</v>
      </c>
      <c r="E225">
        <v>4538600000</v>
      </c>
      <c r="F225">
        <v>0</v>
      </c>
      <c r="H225" s="66" t="str">
        <f>IF(LEFT(A225,6)="CEPNTR","GPINS",VLOOKUP(LEFT(A225,6),'Code Library'!$A$3:$B$920,2,0))&amp;"_"&amp;RIGHT(A225,3)</f>
        <v>ASHDL_IDR</v>
      </c>
      <c r="I225" s="66" t="str">
        <f t="shared" si="21"/>
        <v>CSHNDL_IDR</v>
      </c>
      <c r="K225" s="66" t="str">
        <f t="shared" si="22"/>
        <v>IF</v>
      </c>
      <c r="L225" s="66" t="str">
        <f t="shared" si="23"/>
        <v>2024</v>
      </c>
      <c r="M225" s="66" t="str">
        <f t="shared" si="24"/>
        <v>SN</v>
      </c>
      <c r="N225" s="66" t="str">
        <f t="shared" si="25"/>
        <v>IDR</v>
      </c>
      <c r="O225" s="66" t="str">
        <f t="shared" si="26"/>
        <v>L</v>
      </c>
      <c r="P225" s="66" t="str">
        <f t="shared" si="27"/>
        <v>AG</v>
      </c>
    </row>
    <row r="226" spans="1:16">
      <c r="A226" t="s">
        <v>1729</v>
      </c>
      <c r="B226" t="s">
        <v>1732</v>
      </c>
      <c r="C226">
        <v>1307</v>
      </c>
      <c r="D226">
        <v>6118661614</v>
      </c>
      <c r="E226">
        <v>645090284819</v>
      </c>
      <c r="F226">
        <v>0</v>
      </c>
      <c r="H226" s="66" t="str">
        <f>IF(LEFT(A226,6)="CEPNTR","GPINS",VLOOKUP(LEFT(A226,6),'Code Library'!$A$3:$B$920,2,0))&amp;"_"&amp;RIGHT(A226,3)</f>
        <v>ASHDL_IDR</v>
      </c>
      <c r="I226" s="66" t="str">
        <f t="shared" si="21"/>
        <v>CSHNDL_IDR</v>
      </c>
      <c r="K226" s="66" t="str">
        <f t="shared" si="22"/>
        <v>IF</v>
      </c>
      <c r="L226" s="66" t="str">
        <f t="shared" si="23"/>
        <v>2023</v>
      </c>
      <c r="M226" s="66" t="str">
        <f t="shared" si="24"/>
        <v>SN</v>
      </c>
      <c r="N226" s="66" t="str">
        <f t="shared" si="25"/>
        <v>IDR</v>
      </c>
      <c r="O226" s="66" t="str">
        <f t="shared" si="26"/>
        <v>L</v>
      </c>
      <c r="P226" s="66" t="str">
        <f t="shared" si="27"/>
        <v>AG</v>
      </c>
    </row>
    <row r="227" spans="1:16">
      <c r="A227" t="s">
        <v>1729</v>
      </c>
      <c r="B227" t="s">
        <v>2402</v>
      </c>
      <c r="C227">
        <v>85</v>
      </c>
      <c r="D227">
        <v>395029868</v>
      </c>
      <c r="E227">
        <v>33331551508</v>
      </c>
      <c r="F227">
        <v>0</v>
      </c>
      <c r="H227" s="66" t="str">
        <f>IF(LEFT(A227,6)="CEPNTR","GPINS",VLOOKUP(LEFT(A227,6),'Code Library'!$A$3:$B$920,2,0))&amp;"_"&amp;RIGHT(A227,3)</f>
        <v>ASHDL_IDR</v>
      </c>
      <c r="I227" s="66" t="str">
        <f t="shared" si="21"/>
        <v>CSHNDL_IDR</v>
      </c>
      <c r="K227" s="66" t="str">
        <f t="shared" si="22"/>
        <v>IF</v>
      </c>
      <c r="L227" s="66" t="str">
        <f t="shared" si="23"/>
        <v>2024</v>
      </c>
      <c r="M227" s="66" t="str">
        <f t="shared" si="24"/>
        <v>SN</v>
      </c>
      <c r="N227" s="66" t="str">
        <f t="shared" si="25"/>
        <v>IDR</v>
      </c>
      <c r="O227" s="66" t="str">
        <f t="shared" si="26"/>
        <v>L</v>
      </c>
      <c r="P227" s="66" t="str">
        <f t="shared" si="27"/>
        <v>AG</v>
      </c>
    </row>
    <row r="228" spans="1:16">
      <c r="A228" t="s">
        <v>2299</v>
      </c>
      <c r="B228" t="s">
        <v>2403</v>
      </c>
      <c r="C228">
        <v>133</v>
      </c>
      <c r="D228">
        <v>6662858828.5</v>
      </c>
      <c r="E228">
        <v>160752500000</v>
      </c>
      <c r="F228">
        <v>0</v>
      </c>
      <c r="H228" s="66" t="str">
        <f>IF(LEFT(A228,6)="CEPNTR","GPINS",VLOOKUP(LEFT(A228,6),'Code Library'!$A$3:$B$920,2,0))&amp;"_"&amp;RIGHT(A228,3)</f>
        <v>ASLGM_IDR</v>
      </c>
      <c r="I228" s="66" t="str">
        <f t="shared" si="21"/>
        <v>CSLGM__IDR</v>
      </c>
      <c r="K228" s="66" t="str">
        <f t="shared" si="22"/>
        <v>IF</v>
      </c>
      <c r="L228" s="66" t="str">
        <f t="shared" si="23"/>
        <v>2024</v>
      </c>
      <c r="M228" s="66" t="str">
        <f t="shared" si="24"/>
        <v>SN</v>
      </c>
      <c r="N228" s="66" t="str">
        <f t="shared" si="25"/>
        <v>IDR</v>
      </c>
      <c r="O228" s="66" t="str">
        <f t="shared" si="26"/>
        <v>L</v>
      </c>
      <c r="P228" s="66" t="str">
        <f t="shared" si="27"/>
        <v>AG</v>
      </c>
    </row>
    <row r="229" spans="1:16">
      <c r="A229" t="s">
        <v>2299</v>
      </c>
      <c r="B229" t="s">
        <v>2404</v>
      </c>
      <c r="C229">
        <v>60</v>
      </c>
      <c r="D229">
        <v>1385589000</v>
      </c>
      <c r="E229">
        <v>45272000002</v>
      </c>
      <c r="F229">
        <v>0</v>
      </c>
      <c r="H229" s="66" t="str">
        <f>IF(LEFT(A229,6)="CEPNTR","GPINS",VLOOKUP(LEFT(A229,6),'Code Library'!$A$3:$B$920,2,0))&amp;"_"&amp;RIGHT(A229,3)</f>
        <v>ASLGM_IDR</v>
      </c>
      <c r="I229" s="66" t="str">
        <f t="shared" si="21"/>
        <v>CSLGM__IDR</v>
      </c>
      <c r="K229" s="66" t="str">
        <f t="shared" si="22"/>
        <v>Q1</v>
      </c>
      <c r="L229" s="66" t="str">
        <f t="shared" si="23"/>
        <v>2025</v>
      </c>
      <c r="M229" s="66" t="str">
        <f t="shared" si="24"/>
        <v>SN</v>
      </c>
      <c r="N229" s="66" t="str">
        <f t="shared" si="25"/>
        <v>IDR</v>
      </c>
      <c r="O229" s="66" t="str">
        <f t="shared" si="26"/>
        <v>L</v>
      </c>
      <c r="P229" s="66" t="str">
        <f t="shared" si="27"/>
        <v>AG</v>
      </c>
    </row>
    <row r="230" spans="1:16">
      <c r="A230" t="s">
        <v>2299</v>
      </c>
      <c r="B230" t="s">
        <v>2405</v>
      </c>
      <c r="C230">
        <v>1758</v>
      </c>
      <c r="D230">
        <v>78150931920.835007</v>
      </c>
      <c r="E230">
        <v>3048105911096</v>
      </c>
      <c r="F230">
        <v>0</v>
      </c>
      <c r="H230" s="66" t="str">
        <f>IF(LEFT(A230,6)="CEPNTR","GPINS",VLOOKUP(LEFT(A230,6),'Code Library'!$A$3:$B$920,2,0))&amp;"_"&amp;RIGHT(A230,3)</f>
        <v>ASLGM_IDR</v>
      </c>
      <c r="I230" s="66" t="str">
        <f t="shared" si="21"/>
        <v>CSLGM__IDR</v>
      </c>
      <c r="K230" s="66" t="str">
        <f t="shared" si="22"/>
        <v>IF</v>
      </c>
      <c r="L230" s="66" t="str">
        <f t="shared" si="23"/>
        <v>2024</v>
      </c>
      <c r="M230" s="66" t="str">
        <f t="shared" si="24"/>
        <v>SN</v>
      </c>
      <c r="N230" s="66" t="str">
        <f t="shared" si="25"/>
        <v>IDR</v>
      </c>
      <c r="O230" s="66" t="str">
        <f t="shared" si="26"/>
        <v>L</v>
      </c>
      <c r="P230" s="66" t="str">
        <f t="shared" si="27"/>
        <v>AG</v>
      </c>
    </row>
    <row r="231" spans="1:16">
      <c r="A231" t="s">
        <v>2299</v>
      </c>
      <c r="B231" t="s">
        <v>2406</v>
      </c>
      <c r="C231">
        <v>485</v>
      </c>
      <c r="D231">
        <v>14452877228.9111</v>
      </c>
      <c r="E231">
        <v>553585622233</v>
      </c>
      <c r="F231">
        <v>0</v>
      </c>
      <c r="H231" s="66" t="str">
        <f>IF(LEFT(A231,6)="CEPNTR","GPINS",VLOOKUP(LEFT(A231,6),'Code Library'!$A$3:$B$920,2,0))&amp;"_"&amp;RIGHT(A231,3)</f>
        <v>ASLGM_IDR</v>
      </c>
      <c r="I231" s="66" t="str">
        <f t="shared" si="21"/>
        <v>CSLGM__IDR</v>
      </c>
      <c r="K231" s="66" t="str">
        <f t="shared" si="22"/>
        <v>Q1</v>
      </c>
      <c r="L231" s="66" t="str">
        <f t="shared" si="23"/>
        <v>2025</v>
      </c>
      <c r="M231" s="66" t="str">
        <f t="shared" si="24"/>
        <v>SN</v>
      </c>
      <c r="N231" s="66" t="str">
        <f t="shared" si="25"/>
        <v>IDR</v>
      </c>
      <c r="O231" s="66" t="str">
        <f t="shared" si="26"/>
        <v>L</v>
      </c>
      <c r="P231" s="66" t="str">
        <f t="shared" si="27"/>
        <v>AG</v>
      </c>
    </row>
    <row r="232" spans="1:16">
      <c r="A232" t="s">
        <v>2299</v>
      </c>
      <c r="B232" t="s">
        <v>2407</v>
      </c>
      <c r="C232">
        <v>323</v>
      </c>
      <c r="D232">
        <v>19762483167.125</v>
      </c>
      <c r="E232">
        <v>684604750000</v>
      </c>
      <c r="F232">
        <v>0</v>
      </c>
      <c r="H232" s="66" t="str">
        <f>IF(LEFT(A232,6)="CEPNTR","GPINS",VLOOKUP(LEFT(A232,6),'Code Library'!$A$3:$B$920,2,0))&amp;"_"&amp;RIGHT(A232,3)</f>
        <v>ASLGM_IDR</v>
      </c>
      <c r="I232" s="66" t="str">
        <f t="shared" si="21"/>
        <v>CSLGM__IDR</v>
      </c>
      <c r="K232" s="66" t="str">
        <f t="shared" si="22"/>
        <v>IF</v>
      </c>
      <c r="L232" s="66" t="str">
        <f t="shared" si="23"/>
        <v>2024</v>
      </c>
      <c r="M232" s="66" t="str">
        <f t="shared" si="24"/>
        <v>SN</v>
      </c>
      <c r="N232" s="66" t="str">
        <f t="shared" si="25"/>
        <v>IDR</v>
      </c>
      <c r="O232" s="66" t="str">
        <f t="shared" si="26"/>
        <v>L</v>
      </c>
      <c r="P232" s="66" t="str">
        <f t="shared" si="27"/>
        <v>AG</v>
      </c>
    </row>
    <row r="233" spans="1:16">
      <c r="A233" t="s">
        <v>2299</v>
      </c>
      <c r="B233" t="s">
        <v>2408</v>
      </c>
      <c r="C233">
        <v>113</v>
      </c>
      <c r="D233">
        <v>3571126900</v>
      </c>
      <c r="E233">
        <v>136039500000</v>
      </c>
      <c r="F233">
        <v>0</v>
      </c>
      <c r="H233" s="66" t="str">
        <f>IF(LEFT(A233,6)="CEPNTR","GPINS",VLOOKUP(LEFT(A233,6),'Code Library'!$A$3:$B$920,2,0))&amp;"_"&amp;RIGHT(A233,3)</f>
        <v>ASLGM_IDR</v>
      </c>
      <c r="I233" s="66" t="str">
        <f t="shared" si="21"/>
        <v>CSLGM__IDR</v>
      </c>
      <c r="K233" s="66" t="str">
        <f t="shared" si="22"/>
        <v>Q1</v>
      </c>
      <c r="L233" s="66" t="str">
        <f t="shared" si="23"/>
        <v>2025</v>
      </c>
      <c r="M233" s="66" t="str">
        <f t="shared" si="24"/>
        <v>SN</v>
      </c>
      <c r="N233" s="66" t="str">
        <f t="shared" si="25"/>
        <v>IDR</v>
      </c>
      <c r="O233" s="66" t="str">
        <f t="shared" si="26"/>
        <v>L</v>
      </c>
      <c r="P233" s="66" t="str">
        <f t="shared" si="27"/>
        <v>AG</v>
      </c>
    </row>
    <row r="234" spans="1:16">
      <c r="A234" t="s">
        <v>2300</v>
      </c>
      <c r="B234" t="s">
        <v>2409</v>
      </c>
      <c r="C234">
        <v>1800</v>
      </c>
      <c r="D234">
        <v>69031102710</v>
      </c>
      <c r="E234">
        <v>655669690000</v>
      </c>
      <c r="F234">
        <v>0</v>
      </c>
      <c r="H234" s="66" t="str">
        <f>IF(LEFT(A234,6)="CEPNTR","GPINS",VLOOKUP(LEFT(A234,6),'Code Library'!$A$3:$B$920,2,0))&amp;"_"&amp;RIGHT(A234,3)</f>
        <v>MYREN_IDR</v>
      </c>
      <c r="I234" s="66" t="str">
        <f t="shared" si="21"/>
        <v>CSREN__IDR</v>
      </c>
      <c r="K234" s="66" t="str">
        <f t="shared" si="22"/>
        <v>IF</v>
      </c>
      <c r="L234" s="66" t="str">
        <f t="shared" si="23"/>
        <v>2024</v>
      </c>
      <c r="M234" s="66" t="str">
        <f t="shared" si="24"/>
        <v>SI</v>
      </c>
      <c r="N234" s="66" t="str">
        <f t="shared" si="25"/>
        <v>IDR</v>
      </c>
      <c r="O234" s="66" t="str">
        <f t="shared" si="26"/>
        <v>L</v>
      </c>
      <c r="P234" s="66" t="str">
        <f t="shared" si="27"/>
        <v>NK</v>
      </c>
    </row>
    <row r="235" spans="1:16">
      <c r="A235" t="s">
        <v>2300</v>
      </c>
      <c r="B235" t="s">
        <v>2410</v>
      </c>
      <c r="C235">
        <v>446</v>
      </c>
      <c r="D235">
        <v>16449868745</v>
      </c>
      <c r="E235">
        <v>158120540000</v>
      </c>
      <c r="F235">
        <v>0</v>
      </c>
      <c r="H235" s="66" t="str">
        <f>IF(LEFT(A235,6)="CEPNTR","GPINS",VLOOKUP(LEFT(A235,6),'Code Library'!$A$3:$B$920,2,0))&amp;"_"&amp;RIGHT(A235,3)</f>
        <v>MYREN_IDR</v>
      </c>
      <c r="I235" s="66" t="str">
        <f t="shared" si="21"/>
        <v>CSREN__IDR</v>
      </c>
      <c r="K235" s="66" t="str">
        <f t="shared" si="22"/>
        <v>Q1</v>
      </c>
      <c r="L235" s="66" t="str">
        <f t="shared" si="23"/>
        <v>2025</v>
      </c>
      <c r="M235" s="66" t="str">
        <f t="shared" si="24"/>
        <v>SI</v>
      </c>
      <c r="N235" s="66" t="str">
        <f t="shared" si="25"/>
        <v>IDR</v>
      </c>
      <c r="O235" s="66" t="str">
        <f t="shared" si="26"/>
        <v>L</v>
      </c>
      <c r="P235" s="66" t="str">
        <f t="shared" si="27"/>
        <v>NK</v>
      </c>
    </row>
    <row r="236" spans="1:16">
      <c r="A236" t="s">
        <v>1733</v>
      </c>
      <c r="B236" t="s">
        <v>1734</v>
      </c>
      <c r="C236">
        <v>60</v>
      </c>
      <c r="D236">
        <v>111828000</v>
      </c>
      <c r="E236">
        <v>7400000000</v>
      </c>
      <c r="F236">
        <v>0</v>
      </c>
      <c r="H236" s="66" t="str">
        <f>IF(LEFT(A236,6)="CEPNTR","GPINS",VLOOKUP(LEFT(A236,6),'Code Library'!$A$3:$B$920,2,0))&amp;"_"&amp;RIGHT(A236,3)</f>
        <v>CICP_IDR</v>
      </c>
      <c r="I236" s="66" t="str">
        <f t="shared" si="21"/>
        <v>CTCICP_IDR</v>
      </c>
      <c r="K236" s="66" t="str">
        <f t="shared" si="22"/>
        <v>IF</v>
      </c>
      <c r="L236" s="66" t="str">
        <f t="shared" si="23"/>
        <v>2021</v>
      </c>
      <c r="M236" s="66" t="str">
        <f t="shared" si="24"/>
        <v>NO</v>
      </c>
      <c r="N236" s="66" t="str">
        <f t="shared" si="25"/>
        <v>IDR</v>
      </c>
      <c r="O236" s="66" t="str">
        <f t="shared" si="26"/>
        <v>H</v>
      </c>
      <c r="P236" s="66" t="str">
        <f t="shared" si="27"/>
        <v>KT</v>
      </c>
    </row>
    <row r="237" spans="1:16">
      <c r="A237" t="s">
        <v>1733</v>
      </c>
      <c r="B237" t="s">
        <v>1735</v>
      </c>
      <c r="C237">
        <v>26</v>
      </c>
      <c r="D237">
        <v>67452000</v>
      </c>
      <c r="E237">
        <v>3800000000</v>
      </c>
      <c r="F237">
        <v>0</v>
      </c>
      <c r="H237" s="66" t="str">
        <f>IF(LEFT(A237,6)="CEPNTR","GPINS",VLOOKUP(LEFT(A237,6),'Code Library'!$A$3:$B$920,2,0))&amp;"_"&amp;RIGHT(A237,3)</f>
        <v>CICP_IDR</v>
      </c>
      <c r="I237" s="66" t="str">
        <f t="shared" si="21"/>
        <v>CTCICP_IDR</v>
      </c>
      <c r="K237" s="66" t="str">
        <f t="shared" si="22"/>
        <v>IF</v>
      </c>
      <c r="L237" s="66" t="str">
        <f t="shared" si="23"/>
        <v>2022</v>
      </c>
      <c r="M237" s="66" t="str">
        <f t="shared" si="24"/>
        <v>NO</v>
      </c>
      <c r="N237" s="66" t="str">
        <f t="shared" si="25"/>
        <v>IDR</v>
      </c>
      <c r="O237" s="66" t="str">
        <f t="shared" si="26"/>
        <v>H</v>
      </c>
      <c r="P237" s="66" t="str">
        <f t="shared" si="27"/>
        <v>KT</v>
      </c>
    </row>
    <row r="238" spans="1:16">
      <c r="A238" t="s">
        <v>1736</v>
      </c>
      <c r="B238" t="s">
        <v>2411</v>
      </c>
      <c r="C238">
        <v>26</v>
      </c>
      <c r="D238">
        <v>62100000</v>
      </c>
      <c r="E238">
        <v>2317500000</v>
      </c>
      <c r="F238">
        <v>0</v>
      </c>
      <c r="H238" s="66" t="str">
        <f>IF(LEFT(A238,6)="CEPNTR","GPINS",VLOOKUP(LEFT(A238,6),'Code Library'!$A$3:$B$920,2,0))&amp;"_"&amp;RIGHT(A238,3)</f>
        <v>EZPL_IDR</v>
      </c>
      <c r="I238" s="66" t="str">
        <f t="shared" si="21"/>
        <v>CTEZPL_IDR</v>
      </c>
      <c r="K238" s="66" t="str">
        <f t="shared" si="22"/>
        <v>IF</v>
      </c>
      <c r="L238" s="66" t="str">
        <f t="shared" si="23"/>
        <v>2024</v>
      </c>
      <c r="M238" s="66" t="str">
        <f t="shared" si="24"/>
        <v>NO</v>
      </c>
      <c r="N238" s="66" t="str">
        <f t="shared" si="25"/>
        <v>IDR</v>
      </c>
      <c r="O238" s="66" t="str">
        <f t="shared" si="26"/>
        <v>L</v>
      </c>
      <c r="P238" s="66" t="str">
        <f t="shared" si="27"/>
        <v>NK</v>
      </c>
    </row>
    <row r="239" spans="1:16">
      <c r="A239" t="s">
        <v>1736</v>
      </c>
      <c r="B239" t="s">
        <v>2412</v>
      </c>
      <c r="C239">
        <v>5</v>
      </c>
      <c r="D239">
        <v>31100000</v>
      </c>
      <c r="E239">
        <v>1170000000</v>
      </c>
      <c r="F239">
        <v>0</v>
      </c>
      <c r="H239" s="66" t="str">
        <f>IF(LEFT(A239,6)="CEPNTR","GPINS",VLOOKUP(LEFT(A239,6),'Code Library'!$A$3:$B$920,2,0))&amp;"_"&amp;RIGHT(A239,3)</f>
        <v>EZPL_IDR</v>
      </c>
      <c r="I239" s="66" t="str">
        <f t="shared" si="21"/>
        <v>CTEZPL_IDR</v>
      </c>
      <c r="K239" s="66" t="str">
        <f t="shared" si="22"/>
        <v>Q1</v>
      </c>
      <c r="L239" s="66" t="str">
        <f t="shared" si="23"/>
        <v>2025</v>
      </c>
      <c r="M239" s="66" t="str">
        <f t="shared" si="24"/>
        <v>NO</v>
      </c>
      <c r="N239" s="66" t="str">
        <f t="shared" si="25"/>
        <v>IDR</v>
      </c>
      <c r="O239" s="66" t="str">
        <f t="shared" si="26"/>
        <v>L</v>
      </c>
      <c r="P239" s="66" t="str">
        <f t="shared" si="27"/>
        <v>NK</v>
      </c>
    </row>
    <row r="240" spans="1:16">
      <c r="A240" t="s">
        <v>1736</v>
      </c>
      <c r="B240" t="s">
        <v>1737</v>
      </c>
      <c r="C240">
        <v>141</v>
      </c>
      <c r="D240">
        <v>265200000</v>
      </c>
      <c r="E240">
        <v>8572500000</v>
      </c>
      <c r="F240">
        <v>0</v>
      </c>
      <c r="H240" s="66" t="str">
        <f>IF(LEFT(A240,6)="CEPNTR","GPINS",VLOOKUP(LEFT(A240,6),'Code Library'!$A$3:$B$920,2,0))&amp;"_"&amp;RIGHT(A240,3)</f>
        <v>EZPL_IDR</v>
      </c>
      <c r="I240" s="66" t="str">
        <f t="shared" si="21"/>
        <v>CTEZPL_IDR</v>
      </c>
      <c r="K240" s="66" t="str">
        <f t="shared" si="22"/>
        <v>IF</v>
      </c>
      <c r="L240" s="66" t="str">
        <f t="shared" si="23"/>
        <v>2023</v>
      </c>
      <c r="M240" s="66" t="str">
        <f t="shared" si="24"/>
        <v>NO</v>
      </c>
      <c r="N240" s="66" t="str">
        <f t="shared" si="25"/>
        <v>IDR</v>
      </c>
      <c r="O240" s="66" t="str">
        <f t="shared" si="26"/>
        <v>L</v>
      </c>
      <c r="P240" s="66" t="str">
        <f t="shared" si="27"/>
        <v>NK</v>
      </c>
    </row>
    <row r="241" spans="1:16">
      <c r="A241" t="s">
        <v>1736</v>
      </c>
      <c r="B241" t="s">
        <v>2413</v>
      </c>
      <c r="C241">
        <v>1383</v>
      </c>
      <c r="D241">
        <v>2317800000</v>
      </c>
      <c r="E241">
        <v>77242500000</v>
      </c>
      <c r="F241">
        <v>0</v>
      </c>
      <c r="H241" s="66" t="str">
        <f>IF(LEFT(A241,6)="CEPNTR","GPINS",VLOOKUP(LEFT(A241,6),'Code Library'!$A$3:$B$920,2,0))&amp;"_"&amp;RIGHT(A241,3)</f>
        <v>EZPL_IDR</v>
      </c>
      <c r="I241" s="66" t="str">
        <f t="shared" si="21"/>
        <v>CTEZPL_IDR</v>
      </c>
      <c r="K241" s="66" t="str">
        <f t="shared" si="22"/>
        <v>IF</v>
      </c>
      <c r="L241" s="66" t="str">
        <f t="shared" si="23"/>
        <v>2024</v>
      </c>
      <c r="M241" s="66" t="str">
        <f t="shared" si="24"/>
        <v>NO</v>
      </c>
      <c r="N241" s="66" t="str">
        <f t="shared" si="25"/>
        <v>IDR</v>
      </c>
      <c r="O241" s="66" t="str">
        <f t="shared" si="26"/>
        <v>L</v>
      </c>
      <c r="P241" s="66" t="str">
        <f t="shared" si="27"/>
        <v>NK</v>
      </c>
    </row>
    <row r="242" spans="1:16">
      <c r="A242" t="s">
        <v>1736</v>
      </c>
      <c r="B242" t="s">
        <v>2414</v>
      </c>
      <c r="C242">
        <v>1081</v>
      </c>
      <c r="D242">
        <v>2054400000</v>
      </c>
      <c r="E242">
        <v>72900000000</v>
      </c>
      <c r="F242">
        <v>0</v>
      </c>
      <c r="H242" s="66" t="str">
        <f>IF(LEFT(A242,6)="CEPNTR","GPINS",VLOOKUP(LEFT(A242,6),'Code Library'!$A$3:$B$920,2,0))&amp;"_"&amp;RIGHT(A242,3)</f>
        <v>EZPL_IDR</v>
      </c>
      <c r="I242" s="66" t="str">
        <f t="shared" si="21"/>
        <v>CTEZPL_IDR</v>
      </c>
      <c r="K242" s="66" t="str">
        <f t="shared" si="22"/>
        <v>Q1</v>
      </c>
      <c r="L242" s="66" t="str">
        <f t="shared" si="23"/>
        <v>2025</v>
      </c>
      <c r="M242" s="66" t="str">
        <f t="shared" si="24"/>
        <v>NO</v>
      </c>
      <c r="N242" s="66" t="str">
        <f t="shared" si="25"/>
        <v>IDR</v>
      </c>
      <c r="O242" s="66" t="str">
        <f t="shared" si="26"/>
        <v>L</v>
      </c>
      <c r="P242" s="66" t="str">
        <f t="shared" si="27"/>
        <v>NK</v>
      </c>
    </row>
    <row r="243" spans="1:16">
      <c r="A243" t="s">
        <v>1736</v>
      </c>
      <c r="B243" t="s">
        <v>1738</v>
      </c>
      <c r="C243">
        <v>118</v>
      </c>
      <c r="D243">
        <v>154200000</v>
      </c>
      <c r="E243">
        <v>4173750000</v>
      </c>
      <c r="F243">
        <v>0</v>
      </c>
      <c r="H243" s="66" t="str">
        <f>IF(LEFT(A243,6)="CEPNTR","GPINS",VLOOKUP(LEFT(A243,6),'Code Library'!$A$3:$B$920,2,0))&amp;"_"&amp;RIGHT(A243,3)</f>
        <v>EZPL_IDR</v>
      </c>
      <c r="I243" s="66" t="str">
        <f t="shared" si="21"/>
        <v>CTEZPL_IDR</v>
      </c>
      <c r="K243" s="66" t="str">
        <f t="shared" si="22"/>
        <v>IF</v>
      </c>
      <c r="L243" s="66" t="str">
        <f t="shared" si="23"/>
        <v>2023</v>
      </c>
      <c r="M243" s="66" t="str">
        <f t="shared" si="24"/>
        <v>NO</v>
      </c>
      <c r="N243" s="66" t="str">
        <f t="shared" si="25"/>
        <v>IDR</v>
      </c>
      <c r="O243" s="66" t="str">
        <f t="shared" si="26"/>
        <v>L</v>
      </c>
      <c r="P243" s="66" t="str">
        <f t="shared" si="27"/>
        <v>NK</v>
      </c>
    </row>
    <row r="244" spans="1:16">
      <c r="A244" t="s">
        <v>1736</v>
      </c>
      <c r="B244" t="s">
        <v>2415</v>
      </c>
      <c r="C244">
        <v>277</v>
      </c>
      <c r="D244">
        <v>461400000</v>
      </c>
      <c r="E244">
        <v>13286250000</v>
      </c>
      <c r="F244">
        <v>0</v>
      </c>
      <c r="H244" s="66" t="str">
        <f>IF(LEFT(A244,6)="CEPNTR","GPINS",VLOOKUP(LEFT(A244,6),'Code Library'!$A$3:$B$920,2,0))&amp;"_"&amp;RIGHT(A244,3)</f>
        <v>EZPL_IDR</v>
      </c>
      <c r="I244" s="66" t="str">
        <f t="shared" si="21"/>
        <v>CTEZPL_IDR</v>
      </c>
      <c r="K244" s="66" t="str">
        <f t="shared" si="22"/>
        <v>IF</v>
      </c>
      <c r="L244" s="66" t="str">
        <f t="shared" si="23"/>
        <v>2024</v>
      </c>
      <c r="M244" s="66" t="str">
        <f t="shared" si="24"/>
        <v>NO</v>
      </c>
      <c r="N244" s="66" t="str">
        <f t="shared" si="25"/>
        <v>IDR</v>
      </c>
      <c r="O244" s="66" t="str">
        <f t="shared" si="26"/>
        <v>L</v>
      </c>
      <c r="P244" s="66" t="str">
        <f t="shared" si="27"/>
        <v>NK</v>
      </c>
    </row>
    <row r="245" spans="1:16">
      <c r="A245" t="s">
        <v>1736</v>
      </c>
      <c r="B245" t="s">
        <v>2416</v>
      </c>
      <c r="C245">
        <v>169</v>
      </c>
      <c r="D245">
        <v>315600000</v>
      </c>
      <c r="E245">
        <v>9180000000</v>
      </c>
      <c r="F245">
        <v>0</v>
      </c>
      <c r="H245" s="66" t="str">
        <f>IF(LEFT(A245,6)="CEPNTR","GPINS",VLOOKUP(LEFT(A245,6),'Code Library'!$A$3:$B$920,2,0))&amp;"_"&amp;RIGHT(A245,3)</f>
        <v>EZPL_IDR</v>
      </c>
      <c r="I245" s="66" t="str">
        <f t="shared" si="21"/>
        <v>CTEZPL_IDR</v>
      </c>
      <c r="K245" s="66" t="str">
        <f t="shared" si="22"/>
        <v>Q1</v>
      </c>
      <c r="L245" s="66" t="str">
        <f t="shared" si="23"/>
        <v>2025</v>
      </c>
      <c r="M245" s="66" t="str">
        <f t="shared" si="24"/>
        <v>NO</v>
      </c>
      <c r="N245" s="66" t="str">
        <f t="shared" si="25"/>
        <v>IDR</v>
      </c>
      <c r="O245" s="66" t="str">
        <f t="shared" si="26"/>
        <v>L</v>
      </c>
      <c r="P245" s="66" t="str">
        <f t="shared" si="27"/>
        <v>NK</v>
      </c>
    </row>
    <row r="246" spans="1:16">
      <c r="A246" t="s">
        <v>1739</v>
      </c>
      <c r="B246" t="s">
        <v>1740</v>
      </c>
      <c r="C246">
        <v>158</v>
      </c>
      <c r="D246">
        <v>318600000</v>
      </c>
      <c r="E246">
        <v>13275000000</v>
      </c>
      <c r="F246">
        <v>0</v>
      </c>
      <c r="H246" s="66" t="str">
        <f>IF(LEFT(A246,6)="CEPNTR","GPINS",VLOOKUP(LEFT(A246,6),'Code Library'!$A$3:$B$920,2,0))&amp;"_"&amp;RIGHT(A246,3)</f>
        <v>MJG_IDR</v>
      </c>
      <c r="I246" s="66" t="str">
        <f t="shared" si="21"/>
        <v>CTMPJG_IDR</v>
      </c>
      <c r="K246" s="66" t="str">
        <f t="shared" si="22"/>
        <v>IF</v>
      </c>
      <c r="L246" s="66" t="str">
        <f t="shared" si="23"/>
        <v>2018</v>
      </c>
      <c r="M246" s="66" t="str">
        <f t="shared" si="24"/>
        <v>NO</v>
      </c>
      <c r="N246" s="66" t="str">
        <f t="shared" si="25"/>
        <v>IDR</v>
      </c>
      <c r="O246" s="66" t="str">
        <f t="shared" si="26"/>
        <v>L</v>
      </c>
      <c r="P246" s="66" t="str">
        <f t="shared" si="27"/>
        <v>NK</v>
      </c>
    </row>
    <row r="247" spans="1:16">
      <c r="A247" t="s">
        <v>1739</v>
      </c>
      <c r="B247" t="s">
        <v>1741</v>
      </c>
      <c r="C247">
        <v>134</v>
      </c>
      <c r="D247">
        <v>265800000</v>
      </c>
      <c r="E247">
        <v>11075000000</v>
      </c>
      <c r="F247">
        <v>0</v>
      </c>
      <c r="H247" s="66" t="str">
        <f>IF(LEFT(A247,6)="CEPNTR","GPINS",VLOOKUP(LEFT(A247,6),'Code Library'!$A$3:$B$920,2,0))&amp;"_"&amp;RIGHT(A247,3)</f>
        <v>MJG_IDR</v>
      </c>
      <c r="I247" s="66" t="str">
        <f t="shared" si="21"/>
        <v>CTMPJG_IDR</v>
      </c>
      <c r="K247" s="66" t="str">
        <f t="shared" si="22"/>
        <v>IF</v>
      </c>
      <c r="L247" s="66" t="str">
        <f t="shared" si="23"/>
        <v>2019</v>
      </c>
      <c r="M247" s="66" t="str">
        <f t="shared" si="24"/>
        <v>NO</v>
      </c>
      <c r="N247" s="66" t="str">
        <f t="shared" si="25"/>
        <v>IDR</v>
      </c>
      <c r="O247" s="66" t="str">
        <f t="shared" si="26"/>
        <v>L</v>
      </c>
      <c r="P247" s="66" t="str">
        <f t="shared" si="27"/>
        <v>NK</v>
      </c>
    </row>
    <row r="248" spans="1:16">
      <c r="A248" t="s">
        <v>1739</v>
      </c>
      <c r="B248" t="s">
        <v>1742</v>
      </c>
      <c r="C248">
        <v>2268</v>
      </c>
      <c r="D248">
        <v>3843000000</v>
      </c>
      <c r="E248">
        <v>160125000000</v>
      </c>
      <c r="F248">
        <v>0</v>
      </c>
      <c r="H248" s="66" t="str">
        <f>IF(LEFT(A248,6)="CEPNTR","GPINS",VLOOKUP(LEFT(A248,6),'Code Library'!$A$3:$B$920,2,0))&amp;"_"&amp;RIGHT(A248,3)</f>
        <v>MJG_IDR</v>
      </c>
      <c r="I248" s="66" t="str">
        <f t="shared" si="21"/>
        <v>CTMPJG_IDR</v>
      </c>
      <c r="K248" s="66" t="str">
        <f t="shared" si="22"/>
        <v>IF</v>
      </c>
      <c r="L248" s="66" t="str">
        <f t="shared" si="23"/>
        <v>2020</v>
      </c>
      <c r="M248" s="66" t="str">
        <f t="shared" si="24"/>
        <v>NO</v>
      </c>
      <c r="N248" s="66" t="str">
        <f t="shared" si="25"/>
        <v>IDR</v>
      </c>
      <c r="O248" s="66" t="str">
        <f t="shared" si="26"/>
        <v>L</v>
      </c>
      <c r="P248" s="66" t="str">
        <f t="shared" si="27"/>
        <v>NK</v>
      </c>
    </row>
    <row r="249" spans="1:16">
      <c r="A249" t="s">
        <v>1739</v>
      </c>
      <c r="B249" t="s">
        <v>1743</v>
      </c>
      <c r="C249">
        <v>3831</v>
      </c>
      <c r="D249">
        <v>6619200000</v>
      </c>
      <c r="E249">
        <v>275800000000</v>
      </c>
      <c r="F249">
        <v>0</v>
      </c>
      <c r="H249" s="66" t="str">
        <f>IF(LEFT(A249,6)="CEPNTR","GPINS",VLOOKUP(LEFT(A249,6),'Code Library'!$A$3:$B$920,2,0))&amp;"_"&amp;RIGHT(A249,3)</f>
        <v>MJG_IDR</v>
      </c>
      <c r="I249" s="66" t="str">
        <f t="shared" si="21"/>
        <v>CTMPJG_IDR</v>
      </c>
      <c r="K249" s="66" t="str">
        <f t="shared" si="22"/>
        <v>IF</v>
      </c>
      <c r="L249" s="66" t="str">
        <f t="shared" si="23"/>
        <v>2021</v>
      </c>
      <c r="M249" s="66" t="str">
        <f t="shared" si="24"/>
        <v>NO</v>
      </c>
      <c r="N249" s="66" t="str">
        <f t="shared" si="25"/>
        <v>IDR</v>
      </c>
      <c r="O249" s="66" t="str">
        <f t="shared" si="26"/>
        <v>L</v>
      </c>
      <c r="P249" s="66" t="str">
        <f t="shared" si="27"/>
        <v>NK</v>
      </c>
    </row>
    <row r="250" spans="1:16">
      <c r="A250" t="s">
        <v>1739</v>
      </c>
      <c r="B250" t="s">
        <v>1744</v>
      </c>
      <c r="C250">
        <v>2562</v>
      </c>
      <c r="D250">
        <v>6476400000</v>
      </c>
      <c r="E250">
        <v>269850000000</v>
      </c>
      <c r="F250">
        <v>0</v>
      </c>
      <c r="H250" s="66" t="str">
        <f>IF(LEFT(A250,6)="CEPNTR","GPINS",VLOOKUP(LEFT(A250,6),'Code Library'!$A$3:$B$920,2,0))&amp;"_"&amp;RIGHT(A250,3)</f>
        <v>MJG_IDR</v>
      </c>
      <c r="I250" s="66" t="str">
        <f t="shared" si="21"/>
        <v>CTMPJG_IDR</v>
      </c>
      <c r="K250" s="66" t="str">
        <f t="shared" si="22"/>
        <v>IF</v>
      </c>
      <c r="L250" s="66" t="str">
        <f t="shared" si="23"/>
        <v>2022</v>
      </c>
      <c r="M250" s="66" t="str">
        <f t="shared" si="24"/>
        <v>NO</v>
      </c>
      <c r="N250" s="66" t="str">
        <f t="shared" si="25"/>
        <v>IDR</v>
      </c>
      <c r="O250" s="66" t="str">
        <f t="shared" si="26"/>
        <v>L</v>
      </c>
      <c r="P250" s="66" t="str">
        <f t="shared" si="27"/>
        <v>NK</v>
      </c>
    </row>
    <row r="251" spans="1:16">
      <c r="A251" t="s">
        <v>1739</v>
      </c>
      <c r="B251" t="s">
        <v>1745</v>
      </c>
      <c r="C251">
        <v>1230</v>
      </c>
      <c r="D251">
        <v>4144200000</v>
      </c>
      <c r="E251">
        <v>172675000000</v>
      </c>
      <c r="F251">
        <v>0</v>
      </c>
      <c r="H251" s="66" t="str">
        <f>IF(LEFT(A251,6)="CEPNTR","GPINS",VLOOKUP(LEFT(A251,6),'Code Library'!$A$3:$B$920,2,0))&amp;"_"&amp;RIGHT(A251,3)</f>
        <v>MJG_IDR</v>
      </c>
      <c r="I251" s="66" t="str">
        <f t="shared" si="21"/>
        <v>CTMPJG_IDR</v>
      </c>
      <c r="K251" s="66" t="str">
        <f t="shared" si="22"/>
        <v>IF</v>
      </c>
      <c r="L251" s="66" t="str">
        <f t="shared" si="23"/>
        <v>2023</v>
      </c>
      <c r="M251" s="66" t="str">
        <f t="shared" si="24"/>
        <v>NO</v>
      </c>
      <c r="N251" s="66" t="str">
        <f t="shared" si="25"/>
        <v>IDR</v>
      </c>
      <c r="O251" s="66" t="str">
        <f t="shared" si="26"/>
        <v>L</v>
      </c>
      <c r="P251" s="66" t="str">
        <f t="shared" si="27"/>
        <v>NK</v>
      </c>
    </row>
    <row r="252" spans="1:16">
      <c r="A252" t="s">
        <v>1739</v>
      </c>
      <c r="B252" t="s">
        <v>2417</v>
      </c>
      <c r="C252">
        <v>1495</v>
      </c>
      <c r="D252">
        <v>6564600000</v>
      </c>
      <c r="E252">
        <v>273525000000</v>
      </c>
      <c r="F252">
        <v>0</v>
      </c>
      <c r="H252" s="66" t="str">
        <f>IF(LEFT(A252,6)="CEPNTR","GPINS",VLOOKUP(LEFT(A252,6),'Code Library'!$A$3:$B$920,2,0))&amp;"_"&amp;RIGHT(A252,3)</f>
        <v>MJG_IDR</v>
      </c>
      <c r="I252" s="66" t="str">
        <f t="shared" si="21"/>
        <v>CTMPJG_IDR</v>
      </c>
      <c r="K252" s="66" t="str">
        <f t="shared" si="22"/>
        <v>IF</v>
      </c>
      <c r="L252" s="66" t="str">
        <f t="shared" si="23"/>
        <v>2024</v>
      </c>
      <c r="M252" s="66" t="str">
        <f t="shared" si="24"/>
        <v>NO</v>
      </c>
      <c r="N252" s="66" t="str">
        <f t="shared" si="25"/>
        <v>IDR</v>
      </c>
      <c r="O252" s="66" t="str">
        <f t="shared" si="26"/>
        <v>L</v>
      </c>
      <c r="P252" s="66" t="str">
        <f t="shared" si="27"/>
        <v>NK</v>
      </c>
    </row>
    <row r="253" spans="1:16">
      <c r="A253" t="s">
        <v>1739</v>
      </c>
      <c r="B253" t="s">
        <v>2418</v>
      </c>
      <c r="C253">
        <v>951</v>
      </c>
      <c r="D253">
        <v>3938400000</v>
      </c>
      <c r="E253">
        <v>164100000000</v>
      </c>
      <c r="F253">
        <v>0</v>
      </c>
      <c r="H253" s="66" t="str">
        <f>IF(LEFT(A253,6)="CEPNTR","GPINS",VLOOKUP(LEFT(A253,6),'Code Library'!$A$3:$B$920,2,0))&amp;"_"&amp;RIGHT(A253,3)</f>
        <v>MJG_IDR</v>
      </c>
      <c r="I253" s="66" t="str">
        <f t="shared" si="21"/>
        <v>CTMPJG_IDR</v>
      </c>
      <c r="K253" s="66" t="str">
        <f t="shared" si="22"/>
        <v>Q1</v>
      </c>
      <c r="L253" s="66" t="str">
        <f t="shared" si="23"/>
        <v>2025</v>
      </c>
      <c r="M253" s="66" t="str">
        <f t="shared" si="24"/>
        <v>NO</v>
      </c>
      <c r="N253" s="66" t="str">
        <f t="shared" si="25"/>
        <v>IDR</v>
      </c>
      <c r="O253" s="66" t="str">
        <f t="shared" si="26"/>
        <v>L</v>
      </c>
      <c r="P253" s="66" t="str">
        <f t="shared" si="27"/>
        <v>NK</v>
      </c>
    </row>
    <row r="254" spans="1:16">
      <c r="A254" t="s">
        <v>1739</v>
      </c>
      <c r="B254" t="s">
        <v>1746</v>
      </c>
      <c r="C254">
        <v>818</v>
      </c>
      <c r="D254">
        <v>2493000000</v>
      </c>
      <c r="E254">
        <v>103875000000</v>
      </c>
      <c r="F254">
        <v>0</v>
      </c>
      <c r="H254" s="66" t="str">
        <f>IF(LEFT(A254,6)="CEPNTR","GPINS",VLOOKUP(LEFT(A254,6),'Code Library'!$A$3:$B$920,2,0))&amp;"_"&amp;RIGHT(A254,3)</f>
        <v>MJG_IDR</v>
      </c>
      <c r="I254" s="66" t="str">
        <f t="shared" si="21"/>
        <v>CTMPJG_IDR</v>
      </c>
      <c r="K254" s="66" t="str">
        <f t="shared" si="22"/>
        <v>IF</v>
      </c>
      <c r="L254" s="66" t="str">
        <f t="shared" si="23"/>
        <v>2020</v>
      </c>
      <c r="M254" s="66" t="str">
        <f t="shared" si="24"/>
        <v>NO</v>
      </c>
      <c r="N254" s="66" t="str">
        <f t="shared" si="25"/>
        <v>IDR</v>
      </c>
      <c r="O254" s="66" t="str">
        <f t="shared" si="26"/>
        <v>L</v>
      </c>
      <c r="P254" s="66" t="str">
        <f t="shared" si="27"/>
        <v>NK</v>
      </c>
    </row>
    <row r="255" spans="1:16">
      <c r="A255" t="s">
        <v>1739</v>
      </c>
      <c r="B255" t="s">
        <v>1747</v>
      </c>
      <c r="C255">
        <v>97</v>
      </c>
      <c r="D255">
        <v>230400000</v>
      </c>
      <c r="E255">
        <v>9600000000</v>
      </c>
      <c r="F255">
        <v>0</v>
      </c>
      <c r="H255" s="66" t="str">
        <f>IF(LEFT(A255,6)="CEPNTR","GPINS",VLOOKUP(LEFT(A255,6),'Code Library'!$A$3:$B$920,2,0))&amp;"_"&amp;RIGHT(A255,3)</f>
        <v>MJG_IDR</v>
      </c>
      <c r="I255" s="66" t="str">
        <f t="shared" si="21"/>
        <v>CTMPJG_IDR</v>
      </c>
      <c r="K255" s="66" t="str">
        <f t="shared" si="22"/>
        <v>IF</v>
      </c>
      <c r="L255" s="66" t="str">
        <f t="shared" si="23"/>
        <v>2021</v>
      </c>
      <c r="M255" s="66" t="str">
        <f t="shared" si="24"/>
        <v>NO</v>
      </c>
      <c r="N255" s="66" t="str">
        <f t="shared" si="25"/>
        <v>IDR</v>
      </c>
      <c r="O255" s="66" t="str">
        <f t="shared" si="26"/>
        <v>L</v>
      </c>
      <c r="P255" s="66" t="str">
        <f t="shared" si="27"/>
        <v>NK</v>
      </c>
    </row>
    <row r="256" spans="1:16">
      <c r="A256" t="s">
        <v>1739</v>
      </c>
      <c r="B256" t="s">
        <v>1748</v>
      </c>
      <c r="C256">
        <v>29</v>
      </c>
      <c r="D256">
        <v>37200000</v>
      </c>
      <c r="E256">
        <v>1550000000</v>
      </c>
      <c r="F256">
        <v>0</v>
      </c>
      <c r="H256" s="66" t="str">
        <f>IF(LEFT(A256,6)="CEPNTR","GPINS",VLOOKUP(LEFT(A256,6),'Code Library'!$A$3:$B$920,2,0))&amp;"_"&amp;RIGHT(A256,3)</f>
        <v>MJG_IDR</v>
      </c>
      <c r="I256" s="66" t="str">
        <f t="shared" si="21"/>
        <v>CTMPJG_IDR</v>
      </c>
      <c r="K256" s="66" t="str">
        <f t="shared" si="22"/>
        <v>IF</v>
      </c>
      <c r="L256" s="66" t="str">
        <f t="shared" si="23"/>
        <v>2023</v>
      </c>
      <c r="M256" s="66" t="str">
        <f t="shared" si="24"/>
        <v>NO</v>
      </c>
      <c r="N256" s="66" t="str">
        <f t="shared" si="25"/>
        <v>IDR</v>
      </c>
      <c r="O256" s="66" t="str">
        <f t="shared" si="26"/>
        <v>L</v>
      </c>
      <c r="P256" s="66" t="str">
        <f t="shared" si="27"/>
        <v>NK</v>
      </c>
    </row>
    <row r="257" spans="1:16">
      <c r="A257" t="s">
        <v>1749</v>
      </c>
      <c r="B257" t="s">
        <v>1750</v>
      </c>
      <c r="C257">
        <v>6</v>
      </c>
      <c r="D257">
        <v>7200000</v>
      </c>
      <c r="E257">
        <v>600000000</v>
      </c>
      <c r="F257">
        <v>0</v>
      </c>
      <c r="H257" s="66" t="str">
        <f>IF(LEFT(A257,6)="CEPNTR","GPINS",VLOOKUP(LEFT(A257,6),'Code Library'!$A$3:$B$920,2,0))&amp;"_"&amp;RIGHT(A257,3)</f>
        <v>MJS1_IDR</v>
      </c>
      <c r="I257" s="66" t="str">
        <f t="shared" si="21"/>
        <v>CTMPJS_IDR</v>
      </c>
      <c r="K257" s="66" t="str">
        <f t="shared" si="22"/>
        <v>IF</v>
      </c>
      <c r="L257" s="66" t="str">
        <f t="shared" si="23"/>
        <v>2018</v>
      </c>
      <c r="M257" s="66" t="str">
        <f t="shared" si="24"/>
        <v>NO</v>
      </c>
      <c r="N257" s="66" t="str">
        <f t="shared" si="25"/>
        <v>IDR</v>
      </c>
      <c r="O257" s="66" t="str">
        <f t="shared" si="26"/>
        <v>L</v>
      </c>
      <c r="P257" s="66" t="str">
        <f t="shared" si="27"/>
        <v>NK</v>
      </c>
    </row>
    <row r="258" spans="1:16">
      <c r="A258" t="s">
        <v>1749</v>
      </c>
      <c r="B258" t="s">
        <v>1751</v>
      </c>
      <c r="C258">
        <v>4</v>
      </c>
      <c r="D258">
        <v>6600000</v>
      </c>
      <c r="E258">
        <v>550000000</v>
      </c>
      <c r="F258">
        <v>0</v>
      </c>
      <c r="H258" s="66" t="str">
        <f>IF(LEFT(A258,6)="CEPNTR","GPINS",VLOOKUP(LEFT(A258,6),'Code Library'!$A$3:$B$920,2,0))&amp;"_"&amp;RIGHT(A258,3)</f>
        <v>MJS1_IDR</v>
      </c>
      <c r="I258" s="66" t="str">
        <f t="shared" si="21"/>
        <v>CTMPJS_IDR</v>
      </c>
      <c r="K258" s="66" t="str">
        <f t="shared" si="22"/>
        <v>IF</v>
      </c>
      <c r="L258" s="66" t="str">
        <f t="shared" si="23"/>
        <v>2019</v>
      </c>
      <c r="M258" s="66" t="str">
        <f t="shared" si="24"/>
        <v>NO</v>
      </c>
      <c r="N258" s="66" t="str">
        <f t="shared" si="25"/>
        <v>IDR</v>
      </c>
      <c r="O258" s="66" t="str">
        <f t="shared" si="26"/>
        <v>L</v>
      </c>
      <c r="P258" s="66" t="str">
        <f t="shared" si="27"/>
        <v>NK</v>
      </c>
    </row>
    <row r="259" spans="1:16">
      <c r="A259" t="s">
        <v>1749</v>
      </c>
      <c r="B259" t="s">
        <v>1752</v>
      </c>
      <c r="C259">
        <v>1</v>
      </c>
      <c r="D259">
        <v>2400000</v>
      </c>
      <c r="E259">
        <v>200000000</v>
      </c>
      <c r="F259">
        <v>0</v>
      </c>
      <c r="H259" s="66" t="str">
        <f>IF(LEFT(A259,6)="CEPNTR","GPINS",VLOOKUP(LEFT(A259,6),'Code Library'!$A$3:$B$920,2,0))&amp;"_"&amp;RIGHT(A259,3)</f>
        <v>MJS1_IDR</v>
      </c>
      <c r="I259" s="66" t="str">
        <f t="shared" ref="I259:I322" si="28">A259</f>
        <v>CTMPJS_IDR</v>
      </c>
      <c r="K259" s="66" t="str">
        <f t="shared" ref="K259:K322" si="29">RIGHT($B259,2)</f>
        <v>IF</v>
      </c>
      <c r="L259" s="66" t="str">
        <f t="shared" ref="L259:L322" si="30">LEFT(RIGHT($B259,7),4)</f>
        <v>2020</v>
      </c>
      <c r="M259" s="66" t="str">
        <f t="shared" ref="M259:M322" si="31">LEFT(RIGHT($B259,10),2)</f>
        <v>NO</v>
      </c>
      <c r="N259" s="66" t="str">
        <f t="shared" ref="N259:N322" si="32">LEFT(RIGHT($B259,14),3)</f>
        <v>IDR</v>
      </c>
      <c r="O259" s="66" t="str">
        <f t="shared" ref="O259:O322" si="33">LEFT(RIGHT($B259,16),1)</f>
        <v>L</v>
      </c>
      <c r="P259" s="66" t="str">
        <f t="shared" ref="P259:P322" si="34">LEFT(RIGHT($B259,19),2)</f>
        <v>NK</v>
      </c>
    </row>
    <row r="260" spans="1:16">
      <c r="A260" t="s">
        <v>1753</v>
      </c>
      <c r="B260" t="s">
        <v>1754</v>
      </c>
      <c r="C260">
        <v>1217</v>
      </c>
      <c r="D260">
        <v>2595600000</v>
      </c>
      <c r="E260">
        <v>88492500000</v>
      </c>
      <c r="F260">
        <v>0</v>
      </c>
      <c r="H260" s="66" t="str">
        <f>IF(LEFT(A260,6)="CEPNTR","GPINS",VLOOKUP(LEFT(A260,6),'Code Library'!$A$3:$B$920,2,0))&amp;"_"&amp;RIGHT(A260,3)</f>
        <v>MPSPL_IDR</v>
      </c>
      <c r="I260" s="66" t="str">
        <f t="shared" si="28"/>
        <v>CTMPSL_IDR</v>
      </c>
      <c r="K260" s="66" t="str">
        <f t="shared" si="29"/>
        <v>IF</v>
      </c>
      <c r="L260" s="66" t="str">
        <f t="shared" si="30"/>
        <v>2021</v>
      </c>
      <c r="M260" s="66" t="str">
        <f t="shared" si="31"/>
        <v>NO</v>
      </c>
      <c r="N260" s="66" t="str">
        <f t="shared" si="32"/>
        <v>IDR</v>
      </c>
      <c r="O260" s="66" t="str">
        <f t="shared" si="33"/>
        <v>L</v>
      </c>
      <c r="P260" s="66" t="str">
        <f t="shared" si="34"/>
        <v>NK</v>
      </c>
    </row>
    <row r="261" spans="1:16">
      <c r="A261" t="s">
        <v>1753</v>
      </c>
      <c r="B261" t="s">
        <v>1755</v>
      </c>
      <c r="C261">
        <v>1537</v>
      </c>
      <c r="D261">
        <v>4078800000</v>
      </c>
      <c r="E261">
        <v>129982500000</v>
      </c>
      <c r="F261">
        <v>0</v>
      </c>
      <c r="H261" s="66" t="str">
        <f>IF(LEFT(A261,6)="CEPNTR","GPINS",VLOOKUP(LEFT(A261,6),'Code Library'!$A$3:$B$920,2,0))&amp;"_"&amp;RIGHT(A261,3)</f>
        <v>MPSPL_IDR</v>
      </c>
      <c r="I261" s="66" t="str">
        <f t="shared" si="28"/>
        <v>CTMPSL_IDR</v>
      </c>
      <c r="K261" s="66" t="str">
        <f t="shared" si="29"/>
        <v>IF</v>
      </c>
      <c r="L261" s="66" t="str">
        <f t="shared" si="30"/>
        <v>2022</v>
      </c>
      <c r="M261" s="66" t="str">
        <f t="shared" si="31"/>
        <v>NO</v>
      </c>
      <c r="N261" s="66" t="str">
        <f t="shared" si="32"/>
        <v>IDR</v>
      </c>
      <c r="O261" s="66" t="str">
        <f t="shared" si="33"/>
        <v>L</v>
      </c>
      <c r="P261" s="66" t="str">
        <f t="shared" si="34"/>
        <v>NK</v>
      </c>
    </row>
    <row r="262" spans="1:16">
      <c r="A262" t="s">
        <v>1753</v>
      </c>
      <c r="B262" t="s">
        <v>1756</v>
      </c>
      <c r="C262">
        <v>3172</v>
      </c>
      <c r="D262">
        <v>11450400000</v>
      </c>
      <c r="E262">
        <v>363555000000</v>
      </c>
      <c r="F262">
        <v>0</v>
      </c>
      <c r="H262" s="66" t="str">
        <f>IF(LEFT(A262,6)="CEPNTR","GPINS",VLOOKUP(LEFT(A262,6),'Code Library'!$A$3:$B$920,2,0))&amp;"_"&amp;RIGHT(A262,3)</f>
        <v>MPSPL_IDR</v>
      </c>
      <c r="I262" s="66" t="str">
        <f t="shared" si="28"/>
        <v>CTMPSL_IDR</v>
      </c>
      <c r="K262" s="66" t="str">
        <f t="shared" si="29"/>
        <v>IF</v>
      </c>
      <c r="L262" s="66" t="str">
        <f t="shared" si="30"/>
        <v>2023</v>
      </c>
      <c r="M262" s="66" t="str">
        <f t="shared" si="31"/>
        <v>NO</v>
      </c>
      <c r="N262" s="66" t="str">
        <f t="shared" si="32"/>
        <v>IDR</v>
      </c>
      <c r="O262" s="66" t="str">
        <f t="shared" si="33"/>
        <v>L</v>
      </c>
      <c r="P262" s="66" t="str">
        <f t="shared" si="34"/>
        <v>NK</v>
      </c>
    </row>
    <row r="263" spans="1:16">
      <c r="A263" t="s">
        <v>1753</v>
      </c>
      <c r="B263" t="s">
        <v>2419</v>
      </c>
      <c r="C263">
        <v>3333</v>
      </c>
      <c r="D263">
        <v>16273200000</v>
      </c>
      <c r="E263">
        <v>528952500000</v>
      </c>
      <c r="F263">
        <v>0</v>
      </c>
      <c r="H263" s="66" t="str">
        <f>IF(LEFT(A263,6)="CEPNTR","GPINS",VLOOKUP(LEFT(A263,6),'Code Library'!$A$3:$B$920,2,0))&amp;"_"&amp;RIGHT(A263,3)</f>
        <v>MPSPL_IDR</v>
      </c>
      <c r="I263" s="66" t="str">
        <f t="shared" si="28"/>
        <v>CTMPSL_IDR</v>
      </c>
      <c r="K263" s="66" t="str">
        <f t="shared" si="29"/>
        <v>IF</v>
      </c>
      <c r="L263" s="66" t="str">
        <f t="shared" si="30"/>
        <v>2024</v>
      </c>
      <c r="M263" s="66" t="str">
        <f t="shared" si="31"/>
        <v>NO</v>
      </c>
      <c r="N263" s="66" t="str">
        <f t="shared" si="32"/>
        <v>IDR</v>
      </c>
      <c r="O263" s="66" t="str">
        <f t="shared" si="33"/>
        <v>L</v>
      </c>
      <c r="P263" s="66" t="str">
        <f t="shared" si="34"/>
        <v>NK</v>
      </c>
    </row>
    <row r="264" spans="1:16">
      <c r="A264" t="s">
        <v>1753</v>
      </c>
      <c r="B264" t="s">
        <v>2420</v>
      </c>
      <c r="C264">
        <v>1513</v>
      </c>
      <c r="D264">
        <v>6699600000</v>
      </c>
      <c r="E264">
        <v>224887500000</v>
      </c>
      <c r="F264">
        <v>0</v>
      </c>
      <c r="H264" s="66" t="str">
        <f>IF(LEFT(A264,6)="CEPNTR","GPINS",VLOOKUP(LEFT(A264,6),'Code Library'!$A$3:$B$920,2,0))&amp;"_"&amp;RIGHT(A264,3)</f>
        <v>MPSPL_IDR</v>
      </c>
      <c r="I264" s="66" t="str">
        <f t="shared" si="28"/>
        <v>CTMPSL_IDR</v>
      </c>
      <c r="K264" s="66" t="str">
        <f t="shared" si="29"/>
        <v>Q1</v>
      </c>
      <c r="L264" s="66" t="str">
        <f t="shared" si="30"/>
        <v>2025</v>
      </c>
      <c r="M264" s="66" t="str">
        <f t="shared" si="31"/>
        <v>NO</v>
      </c>
      <c r="N264" s="66" t="str">
        <f t="shared" si="32"/>
        <v>IDR</v>
      </c>
      <c r="O264" s="66" t="str">
        <f t="shared" si="33"/>
        <v>L</v>
      </c>
      <c r="P264" s="66" t="str">
        <f t="shared" si="34"/>
        <v>NK</v>
      </c>
    </row>
    <row r="265" spans="1:16">
      <c r="A265" t="s">
        <v>1757</v>
      </c>
      <c r="B265" t="s">
        <v>1758</v>
      </c>
      <c r="C265">
        <v>6</v>
      </c>
      <c r="D265">
        <v>231480000</v>
      </c>
      <c r="E265">
        <v>41000000000</v>
      </c>
      <c r="F265">
        <v>0</v>
      </c>
      <c r="H265" s="66" t="str">
        <f>IF(LEFT(A265,6)="CEPNTR","GPINS",VLOOKUP(LEFT(A265,6),'Code Library'!$A$3:$B$920,2,0))&amp;"_"&amp;RIGHT(A265,3)</f>
        <v>HPLA_IDR</v>
      </c>
      <c r="I265" s="66" t="str">
        <f t="shared" si="28"/>
        <v>CTPLA__IDR</v>
      </c>
      <c r="K265" s="66" t="str">
        <f t="shared" si="29"/>
        <v>IF</v>
      </c>
      <c r="L265" s="66" t="str">
        <f t="shared" si="30"/>
        <v>2023</v>
      </c>
      <c r="M265" s="66" t="str">
        <f t="shared" si="31"/>
        <v>NO</v>
      </c>
      <c r="N265" s="66" t="str">
        <f t="shared" si="32"/>
        <v>IDR</v>
      </c>
      <c r="O265" s="66" t="str">
        <f t="shared" si="33"/>
        <v>L</v>
      </c>
      <c r="P265" s="66" t="str">
        <f t="shared" si="34"/>
        <v>KT</v>
      </c>
    </row>
    <row r="266" spans="1:16">
      <c r="A266" t="s">
        <v>1757</v>
      </c>
      <c r="B266" t="s">
        <v>2421</v>
      </c>
      <c r="C266">
        <v>3</v>
      </c>
      <c r="D266">
        <v>47450000</v>
      </c>
      <c r="E266">
        <v>15000000000</v>
      </c>
      <c r="F266">
        <v>0</v>
      </c>
      <c r="H266" s="66" t="str">
        <f>IF(LEFT(A266,6)="CEPNTR","GPINS",VLOOKUP(LEFT(A266,6),'Code Library'!$A$3:$B$920,2,0))&amp;"_"&amp;RIGHT(A266,3)</f>
        <v>HPLA_IDR</v>
      </c>
      <c r="I266" s="66" t="str">
        <f t="shared" si="28"/>
        <v>CTPLA__IDR</v>
      </c>
      <c r="K266" s="66" t="str">
        <f t="shared" si="29"/>
        <v>IF</v>
      </c>
      <c r="L266" s="66" t="str">
        <f t="shared" si="30"/>
        <v>2024</v>
      </c>
      <c r="M266" s="66" t="str">
        <f t="shared" si="31"/>
        <v>NO</v>
      </c>
      <c r="N266" s="66" t="str">
        <f t="shared" si="32"/>
        <v>IDR</v>
      </c>
      <c r="O266" s="66" t="str">
        <f t="shared" si="33"/>
        <v>L</v>
      </c>
      <c r="P266" s="66" t="str">
        <f t="shared" si="34"/>
        <v>KT</v>
      </c>
    </row>
    <row r="267" spans="1:16">
      <c r="A267" t="s">
        <v>1759</v>
      </c>
      <c r="B267" t="s">
        <v>1760</v>
      </c>
      <c r="C267">
        <v>2</v>
      </c>
      <c r="D267">
        <v>10570000</v>
      </c>
      <c r="E267">
        <v>1000000000</v>
      </c>
      <c r="F267">
        <v>0</v>
      </c>
      <c r="H267" s="66" t="str">
        <f>IF(LEFT(A267,6)="CEPNTR","GPINS",VLOOKUP(LEFT(A267,6),'Code Library'!$A$3:$B$920,2,0))&amp;"_"&amp;RIGHT(A267,3)</f>
        <v>SL_IDR</v>
      </c>
      <c r="I267" s="66" t="str">
        <f t="shared" si="28"/>
        <v>CTSL___IDR</v>
      </c>
      <c r="K267" s="66" t="str">
        <f t="shared" si="29"/>
        <v>IF</v>
      </c>
      <c r="L267" s="66" t="str">
        <f t="shared" si="30"/>
        <v>2014</v>
      </c>
      <c r="M267" s="66" t="str">
        <f t="shared" si="31"/>
        <v>NO</v>
      </c>
      <c r="N267" s="66" t="str">
        <f t="shared" si="32"/>
        <v>IDR</v>
      </c>
      <c r="O267" s="66" t="str">
        <f t="shared" si="33"/>
        <v>L</v>
      </c>
      <c r="P267" s="66" t="str">
        <f t="shared" si="34"/>
        <v>AG</v>
      </c>
    </row>
    <row r="268" spans="1:16">
      <c r="A268" t="s">
        <v>1759</v>
      </c>
      <c r="B268" t="s">
        <v>1761</v>
      </c>
      <c r="C268">
        <v>2</v>
      </c>
      <c r="D268">
        <v>3535000</v>
      </c>
      <c r="E268">
        <v>362107623</v>
      </c>
      <c r="F268">
        <v>0</v>
      </c>
      <c r="H268" s="66" t="str">
        <f>IF(LEFT(A268,6)="CEPNTR","GPINS",VLOOKUP(LEFT(A268,6),'Code Library'!$A$3:$B$920,2,0))&amp;"_"&amp;RIGHT(A268,3)</f>
        <v>SL_IDR</v>
      </c>
      <c r="I268" s="66" t="str">
        <f t="shared" si="28"/>
        <v>CTSL___IDR</v>
      </c>
      <c r="K268" s="66" t="str">
        <f t="shared" si="29"/>
        <v>IF</v>
      </c>
      <c r="L268" s="66" t="str">
        <f t="shared" si="30"/>
        <v>2016</v>
      </c>
      <c r="M268" s="66" t="str">
        <f t="shared" si="31"/>
        <v>NO</v>
      </c>
      <c r="N268" s="66" t="str">
        <f t="shared" si="32"/>
        <v>IDR</v>
      </c>
      <c r="O268" s="66" t="str">
        <f t="shared" si="33"/>
        <v>L</v>
      </c>
      <c r="P268" s="66" t="str">
        <f t="shared" si="34"/>
        <v>AG</v>
      </c>
    </row>
    <row r="269" spans="1:16">
      <c r="A269" t="s">
        <v>1759</v>
      </c>
      <c r="B269" t="s">
        <v>1762</v>
      </c>
      <c r="C269">
        <v>2</v>
      </c>
      <c r="D269">
        <v>7288800</v>
      </c>
      <c r="E269">
        <v>1026500000</v>
      </c>
      <c r="F269">
        <v>0</v>
      </c>
      <c r="H269" s="66" t="str">
        <f>IF(LEFT(A269,6)="CEPNTR","GPINS",VLOOKUP(LEFT(A269,6),'Code Library'!$A$3:$B$920,2,0))&amp;"_"&amp;RIGHT(A269,3)</f>
        <v>SL_IDR</v>
      </c>
      <c r="I269" s="66" t="str">
        <f t="shared" si="28"/>
        <v>CTSL___IDR</v>
      </c>
      <c r="K269" s="66" t="str">
        <f t="shared" si="29"/>
        <v>IF</v>
      </c>
      <c r="L269" s="66" t="str">
        <f t="shared" si="30"/>
        <v>2017</v>
      </c>
      <c r="M269" s="66" t="str">
        <f t="shared" si="31"/>
        <v>NO</v>
      </c>
      <c r="N269" s="66" t="str">
        <f t="shared" si="32"/>
        <v>IDR</v>
      </c>
      <c r="O269" s="66" t="str">
        <f t="shared" si="33"/>
        <v>L</v>
      </c>
      <c r="P269" s="66" t="str">
        <f t="shared" si="34"/>
        <v>AG</v>
      </c>
    </row>
    <row r="270" spans="1:16">
      <c r="A270" t="s">
        <v>1759</v>
      </c>
      <c r="B270" t="s">
        <v>1763</v>
      </c>
      <c r="C270">
        <v>6</v>
      </c>
      <c r="D270">
        <v>6731480</v>
      </c>
      <c r="E270">
        <v>869295549</v>
      </c>
      <c r="F270">
        <v>0</v>
      </c>
      <c r="H270" s="66" t="str">
        <f>IF(LEFT(A270,6)="CEPNTR","GPINS",VLOOKUP(LEFT(A270,6),'Code Library'!$A$3:$B$920,2,0))&amp;"_"&amp;RIGHT(A270,3)</f>
        <v>SL_IDR</v>
      </c>
      <c r="I270" s="66" t="str">
        <f t="shared" si="28"/>
        <v>CTSL___IDR</v>
      </c>
      <c r="K270" s="66" t="str">
        <f t="shared" si="29"/>
        <v>IF</v>
      </c>
      <c r="L270" s="66" t="str">
        <f t="shared" si="30"/>
        <v>2018</v>
      </c>
      <c r="M270" s="66" t="str">
        <f t="shared" si="31"/>
        <v>NO</v>
      </c>
      <c r="N270" s="66" t="str">
        <f t="shared" si="32"/>
        <v>IDR</v>
      </c>
      <c r="O270" s="66" t="str">
        <f t="shared" si="33"/>
        <v>L</v>
      </c>
      <c r="P270" s="66" t="str">
        <f t="shared" si="34"/>
        <v>AG</v>
      </c>
    </row>
    <row r="271" spans="1:16">
      <c r="A271" t="s">
        <v>1759</v>
      </c>
      <c r="B271" t="s">
        <v>1764</v>
      </c>
      <c r="C271">
        <v>6</v>
      </c>
      <c r="D271">
        <v>11190000</v>
      </c>
      <c r="E271">
        <v>871541119</v>
      </c>
      <c r="F271">
        <v>0</v>
      </c>
      <c r="H271" s="66" t="str">
        <f>IF(LEFT(A271,6)="CEPNTR","GPINS",VLOOKUP(LEFT(A271,6),'Code Library'!$A$3:$B$920,2,0))&amp;"_"&amp;RIGHT(A271,3)</f>
        <v>SL_IDR</v>
      </c>
      <c r="I271" s="66" t="str">
        <f t="shared" si="28"/>
        <v>CTSL___IDR</v>
      </c>
      <c r="K271" s="66" t="str">
        <f t="shared" si="29"/>
        <v>IF</v>
      </c>
      <c r="L271" s="66" t="str">
        <f t="shared" si="30"/>
        <v>2019</v>
      </c>
      <c r="M271" s="66" t="str">
        <f t="shared" si="31"/>
        <v>NO</v>
      </c>
      <c r="N271" s="66" t="str">
        <f t="shared" si="32"/>
        <v>IDR</v>
      </c>
      <c r="O271" s="66" t="str">
        <f t="shared" si="33"/>
        <v>L</v>
      </c>
      <c r="P271" s="66" t="str">
        <f t="shared" si="34"/>
        <v>AG</v>
      </c>
    </row>
    <row r="272" spans="1:16">
      <c r="A272" t="s">
        <v>1759</v>
      </c>
      <c r="B272" t="s">
        <v>1765</v>
      </c>
      <c r="C272">
        <v>1</v>
      </c>
      <c r="D272">
        <v>504570</v>
      </c>
      <c r="E272">
        <v>16500000</v>
      </c>
      <c r="F272">
        <v>0</v>
      </c>
      <c r="H272" s="66" t="str">
        <f>IF(LEFT(A272,6)="CEPNTR","GPINS",VLOOKUP(LEFT(A272,6),'Code Library'!$A$3:$B$920,2,0))&amp;"_"&amp;RIGHT(A272,3)</f>
        <v>SL_IDR</v>
      </c>
      <c r="I272" s="66" t="str">
        <f t="shared" si="28"/>
        <v>CTSL___IDR</v>
      </c>
      <c r="K272" s="66" t="str">
        <f t="shared" si="29"/>
        <v>IF</v>
      </c>
      <c r="L272" s="66" t="str">
        <f t="shared" si="30"/>
        <v>2020</v>
      </c>
      <c r="M272" s="66" t="str">
        <f t="shared" si="31"/>
        <v>NO</v>
      </c>
      <c r="N272" s="66" t="str">
        <f t="shared" si="32"/>
        <v>IDR</v>
      </c>
      <c r="O272" s="66" t="str">
        <f t="shared" si="33"/>
        <v>L</v>
      </c>
      <c r="P272" s="66" t="str">
        <f t="shared" si="34"/>
        <v>AG</v>
      </c>
    </row>
    <row r="273" spans="1:16">
      <c r="A273" t="s">
        <v>1759</v>
      </c>
      <c r="B273" t="s">
        <v>1766</v>
      </c>
      <c r="C273">
        <v>2</v>
      </c>
      <c r="D273">
        <v>5335500</v>
      </c>
      <c r="E273">
        <v>450586224</v>
      </c>
      <c r="F273">
        <v>0</v>
      </c>
      <c r="H273" s="66" t="str">
        <f>IF(LEFT(A273,6)="CEPNTR","GPINS",VLOOKUP(LEFT(A273,6),'Code Library'!$A$3:$B$920,2,0))&amp;"_"&amp;RIGHT(A273,3)</f>
        <v>SL_IDR</v>
      </c>
      <c r="I273" s="66" t="str">
        <f t="shared" si="28"/>
        <v>CTSL___IDR</v>
      </c>
      <c r="K273" s="66" t="str">
        <f t="shared" si="29"/>
        <v>IF</v>
      </c>
      <c r="L273" s="66" t="str">
        <f t="shared" si="30"/>
        <v>2017</v>
      </c>
      <c r="M273" s="66" t="str">
        <f t="shared" si="31"/>
        <v>NO</v>
      </c>
      <c r="N273" s="66" t="str">
        <f t="shared" si="32"/>
        <v>IDR</v>
      </c>
      <c r="O273" s="66" t="str">
        <f t="shared" si="33"/>
        <v>L</v>
      </c>
      <c r="P273" s="66" t="str">
        <f t="shared" si="34"/>
        <v>AG</v>
      </c>
    </row>
    <row r="274" spans="1:16">
      <c r="A274" t="s">
        <v>1759</v>
      </c>
      <c r="B274" t="s">
        <v>1767</v>
      </c>
      <c r="C274">
        <v>1</v>
      </c>
      <c r="D274">
        <v>1420000</v>
      </c>
      <c r="E274">
        <v>200000000</v>
      </c>
      <c r="F274">
        <v>0</v>
      </c>
      <c r="H274" s="66" t="str">
        <f>IF(LEFT(A274,6)="CEPNTR","GPINS",VLOOKUP(LEFT(A274,6),'Code Library'!$A$3:$B$920,2,0))&amp;"_"&amp;RIGHT(A274,3)</f>
        <v>SL_IDR</v>
      </c>
      <c r="I274" s="66" t="str">
        <f t="shared" si="28"/>
        <v>CTSL___IDR</v>
      </c>
      <c r="K274" s="66" t="str">
        <f t="shared" si="29"/>
        <v>IF</v>
      </c>
      <c r="L274" s="66" t="str">
        <f t="shared" si="30"/>
        <v>2014</v>
      </c>
      <c r="M274" s="66" t="str">
        <f t="shared" si="31"/>
        <v>NO</v>
      </c>
      <c r="N274" s="66" t="str">
        <f t="shared" si="32"/>
        <v>IDR</v>
      </c>
      <c r="O274" s="66" t="str">
        <f t="shared" si="33"/>
        <v>L</v>
      </c>
      <c r="P274" s="66" t="str">
        <f t="shared" si="34"/>
        <v>AG</v>
      </c>
    </row>
    <row r="275" spans="1:16">
      <c r="A275" t="s">
        <v>1759</v>
      </c>
      <c r="B275" t="s">
        <v>1768</v>
      </c>
      <c r="C275">
        <v>2</v>
      </c>
      <c r="D275">
        <v>1000000</v>
      </c>
      <c r="E275">
        <v>59612948</v>
      </c>
      <c r="F275">
        <v>0</v>
      </c>
      <c r="H275" s="66" t="str">
        <f>IF(LEFT(A275,6)="CEPNTR","GPINS",VLOOKUP(LEFT(A275,6),'Code Library'!$A$3:$B$920,2,0))&amp;"_"&amp;RIGHT(A275,3)</f>
        <v>SL_IDR</v>
      </c>
      <c r="I275" s="66" t="str">
        <f t="shared" si="28"/>
        <v>CTSL___IDR</v>
      </c>
      <c r="K275" s="66" t="str">
        <f t="shared" si="29"/>
        <v>IF</v>
      </c>
      <c r="L275" s="66" t="str">
        <f t="shared" si="30"/>
        <v>2018</v>
      </c>
      <c r="M275" s="66" t="str">
        <f t="shared" si="31"/>
        <v>NO</v>
      </c>
      <c r="N275" s="66" t="str">
        <f t="shared" si="32"/>
        <v>IDR</v>
      </c>
      <c r="O275" s="66" t="str">
        <f t="shared" si="33"/>
        <v>L</v>
      </c>
      <c r="P275" s="66" t="str">
        <f t="shared" si="34"/>
        <v>AG</v>
      </c>
    </row>
    <row r="276" spans="1:16">
      <c r="A276" t="s">
        <v>1769</v>
      </c>
      <c r="B276" t="s">
        <v>1770</v>
      </c>
      <c r="C276">
        <v>3</v>
      </c>
      <c r="D276">
        <v>3062160</v>
      </c>
      <c r="E276">
        <v>590678899</v>
      </c>
      <c r="F276">
        <v>0</v>
      </c>
      <c r="H276" s="66" t="str">
        <f>IF(LEFT(A276,6)="CEPNTR","GPINS",VLOOKUP(LEFT(A276,6),'Code Library'!$A$3:$B$920,2,0))&amp;"_"&amp;RIGHT(A276,3)</f>
        <v>SL_IDR</v>
      </c>
      <c r="I276" s="66" t="str">
        <f t="shared" si="28"/>
        <v>CTSL__A_IDR</v>
      </c>
      <c r="K276" s="66" t="str">
        <f t="shared" si="29"/>
        <v>IF</v>
      </c>
      <c r="L276" s="66" t="str">
        <f t="shared" si="30"/>
        <v>2020</v>
      </c>
      <c r="M276" s="66" t="str">
        <f t="shared" si="31"/>
        <v>NO</v>
      </c>
      <c r="N276" s="66" t="str">
        <f t="shared" si="32"/>
        <v>IDR</v>
      </c>
      <c r="O276" s="66" t="str">
        <f t="shared" si="33"/>
        <v>L</v>
      </c>
      <c r="P276" s="66" t="str">
        <f t="shared" si="34"/>
        <v>AG</v>
      </c>
    </row>
    <row r="277" spans="1:16">
      <c r="A277" t="s">
        <v>1769</v>
      </c>
      <c r="B277" t="s">
        <v>1771</v>
      </c>
      <c r="C277">
        <v>5</v>
      </c>
      <c r="D277">
        <v>2512450</v>
      </c>
      <c r="E277">
        <v>316027481</v>
      </c>
      <c r="F277">
        <v>0</v>
      </c>
      <c r="H277" s="66" t="str">
        <f>IF(LEFT(A277,6)="CEPNTR","GPINS",VLOOKUP(LEFT(A277,6),'Code Library'!$A$3:$B$920,2,0))&amp;"_"&amp;RIGHT(A277,3)</f>
        <v>SL_IDR</v>
      </c>
      <c r="I277" s="66" t="str">
        <f t="shared" si="28"/>
        <v>CTSL__A_IDR</v>
      </c>
      <c r="K277" s="66" t="str">
        <f t="shared" si="29"/>
        <v>IF</v>
      </c>
      <c r="L277" s="66" t="str">
        <f t="shared" si="30"/>
        <v>2021</v>
      </c>
      <c r="M277" s="66" t="str">
        <f t="shared" si="31"/>
        <v>NO</v>
      </c>
      <c r="N277" s="66" t="str">
        <f t="shared" si="32"/>
        <v>IDR</v>
      </c>
      <c r="O277" s="66" t="str">
        <f t="shared" si="33"/>
        <v>L</v>
      </c>
      <c r="P277" s="66" t="str">
        <f t="shared" si="34"/>
        <v>AG</v>
      </c>
    </row>
    <row r="278" spans="1:16">
      <c r="A278" t="s">
        <v>1769</v>
      </c>
      <c r="B278" t="s">
        <v>1772</v>
      </c>
      <c r="C278">
        <v>1</v>
      </c>
      <c r="D278">
        <v>500000</v>
      </c>
      <c r="E278">
        <v>52966102</v>
      </c>
      <c r="F278">
        <v>0</v>
      </c>
      <c r="H278" s="66" t="str">
        <f>IF(LEFT(A278,6)="CEPNTR","GPINS",VLOOKUP(LEFT(A278,6),'Code Library'!$A$3:$B$920,2,0))&amp;"_"&amp;RIGHT(A278,3)</f>
        <v>SL_IDR</v>
      </c>
      <c r="I278" s="66" t="str">
        <f t="shared" si="28"/>
        <v>CTSL__A_IDR</v>
      </c>
      <c r="K278" s="66" t="str">
        <f t="shared" si="29"/>
        <v>IF</v>
      </c>
      <c r="L278" s="66" t="str">
        <f t="shared" si="30"/>
        <v>2020</v>
      </c>
      <c r="M278" s="66" t="str">
        <f t="shared" si="31"/>
        <v>NO</v>
      </c>
      <c r="N278" s="66" t="str">
        <f t="shared" si="32"/>
        <v>IDR</v>
      </c>
      <c r="O278" s="66" t="str">
        <f t="shared" si="33"/>
        <v>L</v>
      </c>
      <c r="P278" s="66" t="str">
        <f t="shared" si="34"/>
        <v>AG</v>
      </c>
    </row>
    <row r="279" spans="1:16">
      <c r="A279" t="s">
        <v>1769</v>
      </c>
      <c r="B279" t="s">
        <v>1773</v>
      </c>
      <c r="C279">
        <v>1</v>
      </c>
      <c r="D279">
        <v>10650000</v>
      </c>
      <c r="E279">
        <v>1500000000</v>
      </c>
      <c r="F279">
        <v>0</v>
      </c>
      <c r="H279" s="66" t="str">
        <f>IF(LEFT(A279,6)="CEPNTR","GPINS",VLOOKUP(LEFT(A279,6),'Code Library'!$A$3:$B$920,2,0))&amp;"_"&amp;RIGHT(A279,3)</f>
        <v>SL_IDR</v>
      </c>
      <c r="I279" s="66" t="str">
        <f t="shared" si="28"/>
        <v>CTSL__A_IDR</v>
      </c>
      <c r="K279" s="66" t="str">
        <f t="shared" si="29"/>
        <v>IF</v>
      </c>
      <c r="L279" s="66" t="str">
        <f t="shared" si="30"/>
        <v>2020</v>
      </c>
      <c r="M279" s="66" t="str">
        <f t="shared" si="31"/>
        <v>NO</v>
      </c>
      <c r="N279" s="66" t="str">
        <f t="shared" si="32"/>
        <v>IDR</v>
      </c>
      <c r="O279" s="66" t="str">
        <f t="shared" si="33"/>
        <v>L</v>
      </c>
      <c r="P279" s="66" t="str">
        <f t="shared" si="34"/>
        <v>AG</v>
      </c>
    </row>
    <row r="280" spans="1:16">
      <c r="A280" t="s">
        <v>1769</v>
      </c>
      <c r="B280" t="s">
        <v>1774</v>
      </c>
      <c r="C280">
        <v>1</v>
      </c>
      <c r="D280">
        <v>2000000</v>
      </c>
      <c r="E280">
        <v>266311585</v>
      </c>
      <c r="F280">
        <v>0</v>
      </c>
      <c r="H280" s="66" t="str">
        <f>IF(LEFT(A280,6)="CEPNTR","GPINS",VLOOKUP(LEFT(A280,6),'Code Library'!$A$3:$B$920,2,0))&amp;"_"&amp;RIGHT(A280,3)</f>
        <v>SL_IDR</v>
      </c>
      <c r="I280" s="66" t="str">
        <f t="shared" si="28"/>
        <v>CTSL__A_IDR</v>
      </c>
      <c r="K280" s="66" t="str">
        <f t="shared" si="29"/>
        <v>IF</v>
      </c>
      <c r="L280" s="66" t="str">
        <f t="shared" si="30"/>
        <v>2021</v>
      </c>
      <c r="M280" s="66" t="str">
        <f t="shared" si="31"/>
        <v>NO</v>
      </c>
      <c r="N280" s="66" t="str">
        <f t="shared" si="32"/>
        <v>IDR</v>
      </c>
      <c r="O280" s="66" t="str">
        <f t="shared" si="33"/>
        <v>L</v>
      </c>
      <c r="P280" s="66" t="str">
        <f t="shared" si="34"/>
        <v>AG</v>
      </c>
    </row>
    <row r="281" spans="1:16">
      <c r="A281" t="s">
        <v>1775</v>
      </c>
      <c r="B281" t="s">
        <v>1776</v>
      </c>
      <c r="C281">
        <v>17</v>
      </c>
      <c r="D281">
        <v>33588000</v>
      </c>
      <c r="E281">
        <v>2300000000</v>
      </c>
      <c r="F281">
        <v>0</v>
      </c>
      <c r="H281" s="66" t="str">
        <f>IF(LEFT(A281,6)="CEPNTR","GPINS",VLOOKUP(LEFT(A281,6),'Code Library'!$A$3:$B$920,2,0))&amp;"_"&amp;RIGHT(A281,3)</f>
        <v>TP_IDR</v>
      </c>
      <c r="I281" s="66" t="str">
        <f t="shared" si="28"/>
        <v>CTTP___IDR</v>
      </c>
      <c r="K281" s="66" t="str">
        <f t="shared" si="29"/>
        <v>IF</v>
      </c>
      <c r="L281" s="66" t="str">
        <f t="shared" si="30"/>
        <v>2014</v>
      </c>
      <c r="M281" s="66" t="str">
        <f t="shared" si="31"/>
        <v>NO</v>
      </c>
      <c r="N281" s="66" t="str">
        <f t="shared" si="32"/>
        <v>IDR</v>
      </c>
      <c r="O281" s="66" t="str">
        <f t="shared" si="33"/>
        <v>L</v>
      </c>
      <c r="P281" s="66" t="str">
        <f t="shared" si="34"/>
        <v>AG</v>
      </c>
    </row>
    <row r="282" spans="1:16">
      <c r="A282" t="s">
        <v>1775</v>
      </c>
      <c r="B282" t="s">
        <v>1777</v>
      </c>
      <c r="C282">
        <v>108</v>
      </c>
      <c r="D282">
        <v>169238400</v>
      </c>
      <c r="E282">
        <v>13600000000</v>
      </c>
      <c r="F282">
        <v>0</v>
      </c>
      <c r="H282" s="66" t="str">
        <f>IF(LEFT(A282,6)="CEPNTR","GPINS",VLOOKUP(LEFT(A282,6),'Code Library'!$A$3:$B$920,2,0))&amp;"_"&amp;RIGHT(A282,3)</f>
        <v>TP_IDR</v>
      </c>
      <c r="I282" s="66" t="str">
        <f t="shared" si="28"/>
        <v>CTTP___IDR</v>
      </c>
      <c r="K282" s="66" t="str">
        <f t="shared" si="29"/>
        <v>IF</v>
      </c>
      <c r="L282" s="66" t="str">
        <f t="shared" si="30"/>
        <v>2014</v>
      </c>
      <c r="M282" s="66" t="str">
        <f t="shared" si="31"/>
        <v>NO</v>
      </c>
      <c r="N282" s="66" t="str">
        <f t="shared" si="32"/>
        <v>IDR</v>
      </c>
      <c r="O282" s="66" t="str">
        <f t="shared" si="33"/>
        <v>L</v>
      </c>
      <c r="P282" s="66" t="str">
        <f t="shared" si="34"/>
        <v>AG</v>
      </c>
    </row>
    <row r="283" spans="1:16">
      <c r="A283" t="s">
        <v>1778</v>
      </c>
      <c r="B283" t="s">
        <v>1779</v>
      </c>
      <c r="C283">
        <v>272</v>
      </c>
      <c r="D283">
        <v>676596489</v>
      </c>
      <c r="E283">
        <v>23574000000</v>
      </c>
      <c r="F283">
        <v>149515517</v>
      </c>
      <c r="H283" s="66" t="str">
        <f>IF(LEFT(A283,6)="CEPNTR","GPINS",VLOOKUP(LEFT(A283,6),'Code Library'!$A$3:$B$920,2,0))&amp;"_"&amp;RIGHT(A283,3)</f>
        <v>EWP_IDR</v>
      </c>
      <c r="I283" s="66" t="str">
        <f t="shared" si="28"/>
        <v>CWEWP__IDR</v>
      </c>
      <c r="K283" s="66" t="str">
        <f t="shared" si="29"/>
        <v>IF</v>
      </c>
      <c r="L283" s="66" t="str">
        <f t="shared" si="30"/>
        <v>2014</v>
      </c>
      <c r="M283" s="66" t="str">
        <f t="shared" si="31"/>
        <v>PI</v>
      </c>
      <c r="N283" s="66" t="str">
        <f t="shared" si="32"/>
        <v>IDR</v>
      </c>
      <c r="O283" s="66" t="str">
        <f t="shared" si="33"/>
        <v>L</v>
      </c>
      <c r="P283" s="66" t="str">
        <f t="shared" si="34"/>
        <v>AG</v>
      </c>
    </row>
    <row r="284" spans="1:16">
      <c r="A284" t="s">
        <v>1780</v>
      </c>
      <c r="B284" t="s">
        <v>1781</v>
      </c>
      <c r="C284">
        <v>1</v>
      </c>
      <c r="D284">
        <v>546</v>
      </c>
      <c r="E284">
        <v>15000</v>
      </c>
      <c r="F284">
        <v>0</v>
      </c>
      <c r="H284" s="66" t="str">
        <f>IF(LEFT(A284,6)="CEPNTR","GPINS",VLOOKUP(LEFT(A284,6),'Code Library'!$A$3:$B$920,2,0))&amp;"_"&amp;RIGHT(A284,3)</f>
        <v>EWP_USD</v>
      </c>
      <c r="I284" s="66" t="str">
        <f t="shared" si="28"/>
        <v>CWEWP__USD</v>
      </c>
      <c r="K284" s="66" t="str">
        <f t="shared" si="29"/>
        <v>IF</v>
      </c>
      <c r="L284" s="66" t="str">
        <f t="shared" si="30"/>
        <v>2014</v>
      </c>
      <c r="M284" s="66" t="str">
        <f t="shared" si="31"/>
        <v>PI</v>
      </c>
      <c r="N284" s="66" t="str">
        <f t="shared" si="32"/>
        <v>USD</v>
      </c>
      <c r="O284" s="66" t="str">
        <f t="shared" si="33"/>
        <v>L</v>
      </c>
      <c r="P284" s="66" t="str">
        <f t="shared" si="34"/>
        <v>AG</v>
      </c>
    </row>
    <row r="285" spans="1:16">
      <c r="A285" t="s">
        <v>1782</v>
      </c>
      <c r="B285" t="s">
        <v>1783</v>
      </c>
      <c r="C285">
        <v>2408</v>
      </c>
      <c r="D285">
        <v>5885537599</v>
      </c>
      <c r="E285">
        <v>330553600000</v>
      </c>
      <c r="F285">
        <v>4577336017</v>
      </c>
      <c r="H285" s="66" t="str">
        <f>IF(LEFT(A285,6)="CEPNTR","GPINS",VLOOKUP(LEFT(A285,6),'Code Library'!$A$3:$B$920,2,0))&amp;"_"&amp;RIGHT(A285,3)</f>
        <v>EXP_IDR</v>
      </c>
      <c r="I285" s="66" t="str">
        <f t="shared" si="28"/>
        <v>CWEXP__IDR</v>
      </c>
      <c r="K285" s="66" t="str">
        <f t="shared" si="29"/>
        <v>IF</v>
      </c>
      <c r="L285" s="66" t="str">
        <f t="shared" si="30"/>
        <v>2014</v>
      </c>
      <c r="M285" s="66" t="str">
        <f t="shared" si="31"/>
        <v>PI</v>
      </c>
      <c r="N285" s="66" t="str">
        <f t="shared" si="32"/>
        <v>IDR</v>
      </c>
      <c r="O285" s="66" t="str">
        <f t="shared" si="33"/>
        <v>L</v>
      </c>
      <c r="P285" s="66" t="str">
        <f t="shared" si="34"/>
        <v>AG</v>
      </c>
    </row>
    <row r="286" spans="1:16">
      <c r="A286" t="s">
        <v>1784</v>
      </c>
      <c r="B286" t="s">
        <v>1785</v>
      </c>
      <c r="C286">
        <v>151</v>
      </c>
      <c r="D286">
        <v>208360.24</v>
      </c>
      <c r="E286">
        <v>4519400</v>
      </c>
      <c r="F286">
        <v>166231.24</v>
      </c>
      <c r="H286" s="66" t="str">
        <f>IF(LEFT(A286,6)="CEPNTR","GPINS",VLOOKUP(LEFT(A286,6),'Code Library'!$A$3:$B$920,2,0))&amp;"_"&amp;RIGHT(A286,3)</f>
        <v>EXP_USD</v>
      </c>
      <c r="I286" s="66" t="str">
        <f t="shared" si="28"/>
        <v>CWEXP__USD</v>
      </c>
      <c r="K286" s="66" t="str">
        <f t="shared" si="29"/>
        <v>IF</v>
      </c>
      <c r="L286" s="66" t="str">
        <f t="shared" si="30"/>
        <v>2014</v>
      </c>
      <c r="M286" s="66" t="str">
        <f t="shared" si="31"/>
        <v>PI</v>
      </c>
      <c r="N286" s="66" t="str">
        <f t="shared" si="32"/>
        <v>USD</v>
      </c>
      <c r="O286" s="66" t="str">
        <f t="shared" si="33"/>
        <v>L</v>
      </c>
      <c r="P286" s="66" t="str">
        <f t="shared" si="34"/>
        <v>AG</v>
      </c>
    </row>
    <row r="287" spans="1:16">
      <c r="A287" t="s">
        <v>2520</v>
      </c>
      <c r="B287" t="s">
        <v>2521</v>
      </c>
      <c r="C287">
        <v>36</v>
      </c>
      <c r="D287">
        <v>12413472950</v>
      </c>
      <c r="E287">
        <v>147760000000</v>
      </c>
      <c r="F287">
        <v>0</v>
      </c>
      <c r="H287" s="66" t="str">
        <f>IF(LEFT(A287,6)="CEPNTR","GPINS",VLOOKUP(LEFT(A287,6),'Code Library'!$A$3:$B$920,2,0))&amp;"_"&amp;RIGHT(A287,3)</f>
        <v>MYFUT_IDR</v>
      </c>
      <c r="I287" s="66" t="str">
        <f t="shared" si="28"/>
        <v>CWFUTR_IDR</v>
      </c>
      <c r="K287" s="66" t="str">
        <f t="shared" si="29"/>
        <v>Q1</v>
      </c>
      <c r="L287" s="66" t="str">
        <f t="shared" si="30"/>
        <v>2025</v>
      </c>
      <c r="M287" s="66" t="str">
        <f t="shared" si="31"/>
        <v>NI</v>
      </c>
      <c r="N287" s="66" t="str">
        <f t="shared" si="32"/>
        <v>IDR</v>
      </c>
      <c r="O287" s="66" t="str">
        <f t="shared" si="33"/>
        <v>L</v>
      </c>
      <c r="P287" s="66" t="str">
        <f t="shared" si="34"/>
        <v>NK</v>
      </c>
    </row>
    <row r="288" spans="1:16">
      <c r="A288" t="s">
        <v>1786</v>
      </c>
      <c r="B288" t="s">
        <v>1787</v>
      </c>
      <c r="C288">
        <v>412</v>
      </c>
      <c r="D288">
        <v>19749635748.75</v>
      </c>
      <c r="E288">
        <v>825310942525.5</v>
      </c>
      <c r="F288">
        <v>0</v>
      </c>
      <c r="H288" s="66" t="str">
        <f>IF(LEFT(A288,6)="CEPNTR","GPINS",VLOOKUP(LEFT(A288,6),'Code Library'!$A$3:$B$920,2,0))&amp;"_"&amp;RIGHT(A288,3)</f>
        <v>GLGC_IDR</v>
      </c>
      <c r="I288" s="66" t="str">
        <f t="shared" si="28"/>
        <v>CWGLGC_IDR</v>
      </c>
      <c r="K288" s="66" t="str">
        <f t="shared" si="29"/>
        <v>IF</v>
      </c>
      <c r="L288" s="66" t="str">
        <f t="shared" si="30"/>
        <v>2023</v>
      </c>
      <c r="M288" s="66" t="str">
        <f t="shared" si="31"/>
        <v>NO</v>
      </c>
      <c r="N288" s="66" t="str">
        <f t="shared" si="32"/>
        <v>IDR</v>
      </c>
      <c r="O288" s="66" t="str">
        <f t="shared" si="33"/>
        <v>L</v>
      </c>
      <c r="P288" s="66" t="str">
        <f t="shared" si="34"/>
        <v>NK</v>
      </c>
    </row>
    <row r="289" spans="1:16">
      <c r="A289" t="s">
        <v>1786</v>
      </c>
      <c r="B289" t="s">
        <v>2422</v>
      </c>
      <c r="C289">
        <v>496</v>
      </c>
      <c r="D289">
        <v>21190728418.060001</v>
      </c>
      <c r="E289">
        <v>896335061795</v>
      </c>
      <c r="F289">
        <v>0</v>
      </c>
      <c r="H289" s="66" t="str">
        <f>IF(LEFT(A289,6)="CEPNTR","GPINS",VLOOKUP(LEFT(A289,6),'Code Library'!$A$3:$B$920,2,0))&amp;"_"&amp;RIGHT(A289,3)</f>
        <v>GLGC_IDR</v>
      </c>
      <c r="I289" s="66" t="str">
        <f t="shared" si="28"/>
        <v>CWGLGC_IDR</v>
      </c>
      <c r="K289" s="66" t="str">
        <f t="shared" si="29"/>
        <v>IF</v>
      </c>
      <c r="L289" s="66" t="str">
        <f t="shared" si="30"/>
        <v>2024</v>
      </c>
      <c r="M289" s="66" t="str">
        <f t="shared" si="31"/>
        <v>NO</v>
      </c>
      <c r="N289" s="66" t="str">
        <f t="shared" si="32"/>
        <v>IDR</v>
      </c>
      <c r="O289" s="66" t="str">
        <f t="shared" si="33"/>
        <v>L</v>
      </c>
      <c r="P289" s="66" t="str">
        <f t="shared" si="34"/>
        <v>NK</v>
      </c>
    </row>
    <row r="290" spans="1:16">
      <c r="A290" t="s">
        <v>1786</v>
      </c>
      <c r="B290" t="s">
        <v>2423</v>
      </c>
      <c r="C290">
        <v>63</v>
      </c>
      <c r="D290">
        <v>2477114815.5176401</v>
      </c>
      <c r="E290">
        <v>106937730000</v>
      </c>
      <c r="F290">
        <v>0</v>
      </c>
      <c r="H290" s="66" t="str">
        <f>IF(LEFT(A290,6)="CEPNTR","GPINS",VLOOKUP(LEFT(A290,6),'Code Library'!$A$3:$B$920,2,0))&amp;"_"&amp;RIGHT(A290,3)</f>
        <v>GLGC_IDR</v>
      </c>
      <c r="I290" s="66" t="str">
        <f t="shared" si="28"/>
        <v>CWGLGC_IDR</v>
      </c>
      <c r="K290" s="66" t="str">
        <f t="shared" si="29"/>
        <v>Q1</v>
      </c>
      <c r="L290" s="66" t="str">
        <f t="shared" si="30"/>
        <v>2025</v>
      </c>
      <c r="M290" s="66" t="str">
        <f t="shared" si="31"/>
        <v>NO</v>
      </c>
      <c r="N290" s="66" t="str">
        <f t="shared" si="32"/>
        <v>IDR</v>
      </c>
      <c r="O290" s="66" t="str">
        <f t="shared" si="33"/>
        <v>L</v>
      </c>
      <c r="P290" s="66" t="str">
        <f t="shared" si="34"/>
        <v>NK</v>
      </c>
    </row>
    <row r="291" spans="1:16">
      <c r="A291" t="s">
        <v>1788</v>
      </c>
      <c r="B291" t="s">
        <v>1789</v>
      </c>
      <c r="C291">
        <v>5</v>
      </c>
      <c r="D291">
        <v>20369</v>
      </c>
      <c r="E291">
        <v>1075000</v>
      </c>
      <c r="F291">
        <v>0</v>
      </c>
      <c r="H291" s="66" t="str">
        <f>IF(LEFT(A291,6)="CEPNTR","GPINS",VLOOKUP(LEFT(A291,6),'Code Library'!$A$3:$B$920,2,0))&amp;"_"&amp;RIGHT(A291,3)</f>
        <v>GLGC_USD</v>
      </c>
      <c r="I291" s="66" t="str">
        <f t="shared" si="28"/>
        <v>CWGLGC_USD</v>
      </c>
      <c r="K291" s="66" t="str">
        <f t="shared" si="29"/>
        <v>IF</v>
      </c>
      <c r="L291" s="66" t="str">
        <f t="shared" si="30"/>
        <v>2023</v>
      </c>
      <c r="M291" s="66" t="str">
        <f t="shared" si="31"/>
        <v>NO</v>
      </c>
      <c r="N291" s="66" t="str">
        <f t="shared" si="32"/>
        <v>USD</v>
      </c>
      <c r="O291" s="66" t="str">
        <f t="shared" si="33"/>
        <v>L</v>
      </c>
      <c r="P291" s="66" t="str">
        <f t="shared" si="34"/>
        <v>NK</v>
      </c>
    </row>
    <row r="292" spans="1:16">
      <c r="A292" t="s">
        <v>1788</v>
      </c>
      <c r="B292" t="s">
        <v>2424</v>
      </c>
      <c r="C292">
        <v>18</v>
      </c>
      <c r="D292">
        <v>110393</v>
      </c>
      <c r="E292">
        <v>2633183</v>
      </c>
      <c r="F292">
        <v>0</v>
      </c>
      <c r="H292" s="66" t="str">
        <f>IF(LEFT(A292,6)="CEPNTR","GPINS",VLOOKUP(LEFT(A292,6),'Code Library'!$A$3:$B$920,2,0))&amp;"_"&amp;RIGHT(A292,3)</f>
        <v>GLGC_USD</v>
      </c>
      <c r="I292" s="66" t="str">
        <f t="shared" si="28"/>
        <v>CWGLGC_USD</v>
      </c>
      <c r="K292" s="66" t="str">
        <f t="shared" si="29"/>
        <v>IF</v>
      </c>
      <c r="L292" s="66" t="str">
        <f t="shared" si="30"/>
        <v>2024</v>
      </c>
      <c r="M292" s="66" t="str">
        <f t="shared" si="31"/>
        <v>NO</v>
      </c>
      <c r="N292" s="66" t="str">
        <f t="shared" si="32"/>
        <v>USD</v>
      </c>
      <c r="O292" s="66" t="str">
        <f t="shared" si="33"/>
        <v>L</v>
      </c>
      <c r="P292" s="66" t="str">
        <f t="shared" si="34"/>
        <v>NK</v>
      </c>
    </row>
    <row r="293" spans="1:16">
      <c r="A293" t="s">
        <v>1788</v>
      </c>
      <c r="B293" t="s">
        <v>2425</v>
      </c>
      <c r="C293">
        <v>2</v>
      </c>
      <c r="D293">
        <v>13909</v>
      </c>
      <c r="E293">
        <v>320740</v>
      </c>
      <c r="F293">
        <v>0</v>
      </c>
      <c r="H293" s="66" t="str">
        <f>IF(LEFT(A293,6)="CEPNTR","GPINS",VLOOKUP(LEFT(A293,6),'Code Library'!$A$3:$B$920,2,0))&amp;"_"&amp;RIGHT(A293,3)</f>
        <v>GLGC_USD</v>
      </c>
      <c r="I293" s="66" t="str">
        <f t="shared" si="28"/>
        <v>CWGLGC_USD</v>
      </c>
      <c r="K293" s="66" t="str">
        <f t="shared" si="29"/>
        <v>Q1</v>
      </c>
      <c r="L293" s="66" t="str">
        <f t="shared" si="30"/>
        <v>2025</v>
      </c>
      <c r="M293" s="66" t="str">
        <f t="shared" si="31"/>
        <v>NO</v>
      </c>
      <c r="N293" s="66" t="str">
        <f t="shared" si="32"/>
        <v>USD</v>
      </c>
      <c r="O293" s="66" t="str">
        <f t="shared" si="33"/>
        <v>L</v>
      </c>
      <c r="P293" s="66" t="str">
        <f t="shared" si="34"/>
        <v>NK</v>
      </c>
    </row>
    <row r="294" spans="1:16">
      <c r="A294" t="s">
        <v>2321</v>
      </c>
      <c r="B294" t="s">
        <v>2426</v>
      </c>
      <c r="C294">
        <v>648</v>
      </c>
      <c r="D294">
        <v>77495000000</v>
      </c>
      <c r="E294">
        <v>77495000000</v>
      </c>
      <c r="F294">
        <v>0</v>
      </c>
      <c r="H294" s="66" t="str">
        <f>IF(LEFT(A294,6)="CEPNTR","GPINS",VLOOKUP(LEFT(A294,6),'Code Library'!$A$3:$B$920,2,0))&amp;"_"&amp;RIGHT(A294,3)</f>
        <v>HIPP_IDR</v>
      </c>
      <c r="I294" s="66" t="str">
        <f t="shared" si="28"/>
        <v>CWHIPP_IDR</v>
      </c>
      <c r="K294" s="66" t="str">
        <f t="shared" si="29"/>
        <v>IF</v>
      </c>
      <c r="L294" s="66" t="str">
        <f t="shared" si="30"/>
        <v>2024</v>
      </c>
      <c r="M294" s="66" t="str">
        <f t="shared" si="31"/>
        <v>NI</v>
      </c>
      <c r="N294" s="66" t="str">
        <f t="shared" si="32"/>
        <v>IDR</v>
      </c>
      <c r="O294" s="66" t="str">
        <f t="shared" si="33"/>
        <v>L</v>
      </c>
      <c r="P294" s="66" t="str">
        <f t="shared" si="34"/>
        <v>KT</v>
      </c>
    </row>
    <row r="295" spans="1:16">
      <c r="A295" t="s">
        <v>2321</v>
      </c>
      <c r="B295" t="s">
        <v>2427</v>
      </c>
      <c r="C295">
        <v>340</v>
      </c>
      <c r="D295">
        <v>44692000000</v>
      </c>
      <c r="E295">
        <v>44692000000</v>
      </c>
      <c r="F295">
        <v>0</v>
      </c>
      <c r="H295" s="66" t="str">
        <f>IF(LEFT(A295,6)="CEPNTR","GPINS",VLOOKUP(LEFT(A295,6),'Code Library'!$A$3:$B$920,2,0))&amp;"_"&amp;RIGHT(A295,3)</f>
        <v>HIPP_IDR</v>
      </c>
      <c r="I295" s="66" t="str">
        <f t="shared" si="28"/>
        <v>CWHIPP_IDR</v>
      </c>
      <c r="K295" s="66" t="str">
        <f t="shared" si="29"/>
        <v>Q1</v>
      </c>
      <c r="L295" s="66" t="str">
        <f t="shared" si="30"/>
        <v>2025</v>
      </c>
      <c r="M295" s="66" t="str">
        <f t="shared" si="31"/>
        <v>NI</v>
      </c>
      <c r="N295" s="66" t="str">
        <f t="shared" si="32"/>
        <v>IDR</v>
      </c>
      <c r="O295" s="66" t="str">
        <f t="shared" si="33"/>
        <v>L</v>
      </c>
      <c r="P295" s="66" t="str">
        <f t="shared" si="34"/>
        <v>KT</v>
      </c>
    </row>
    <row r="296" spans="1:16">
      <c r="A296" t="s">
        <v>1790</v>
      </c>
      <c r="B296" t="s">
        <v>1791</v>
      </c>
      <c r="C296">
        <v>467</v>
      </c>
      <c r="D296">
        <v>19466089020.728699</v>
      </c>
      <c r="E296">
        <v>897026275599</v>
      </c>
      <c r="F296">
        <v>0</v>
      </c>
      <c r="H296" s="66" t="str">
        <f>IF(LEFT(A296,6)="CEPNTR","GPINS",VLOOKUP(LEFT(A296,6),'Code Library'!$A$3:$B$920,2,0))&amp;"_"&amp;RIGHT(A296,3)</f>
        <v>AZLGC_IDR</v>
      </c>
      <c r="I296" s="66" t="str">
        <f t="shared" si="28"/>
        <v>CWLGC__IDR</v>
      </c>
      <c r="K296" s="66" t="str">
        <f t="shared" si="29"/>
        <v>IF</v>
      </c>
      <c r="L296" s="66" t="str">
        <f t="shared" si="30"/>
        <v>2023</v>
      </c>
      <c r="M296" s="66" t="str">
        <f t="shared" si="31"/>
        <v>NO</v>
      </c>
      <c r="N296" s="66" t="str">
        <f t="shared" si="32"/>
        <v>IDR</v>
      </c>
      <c r="O296" s="66" t="str">
        <f t="shared" si="33"/>
        <v>L</v>
      </c>
      <c r="P296" s="66" t="str">
        <f t="shared" si="34"/>
        <v>AG</v>
      </c>
    </row>
    <row r="297" spans="1:16">
      <c r="A297" t="s">
        <v>1790</v>
      </c>
      <c r="B297" t="s">
        <v>2428</v>
      </c>
      <c r="C297">
        <v>450</v>
      </c>
      <c r="D297">
        <v>16878537288.3118</v>
      </c>
      <c r="E297">
        <v>667862778235</v>
      </c>
      <c r="F297">
        <v>0</v>
      </c>
      <c r="H297" s="66" t="str">
        <f>IF(LEFT(A297,6)="CEPNTR","GPINS",VLOOKUP(LEFT(A297,6),'Code Library'!$A$3:$B$920,2,0))&amp;"_"&amp;RIGHT(A297,3)</f>
        <v>AZLGC_IDR</v>
      </c>
      <c r="I297" s="66" t="str">
        <f t="shared" si="28"/>
        <v>CWLGC__IDR</v>
      </c>
      <c r="K297" s="66" t="str">
        <f t="shared" si="29"/>
        <v>IF</v>
      </c>
      <c r="L297" s="66" t="str">
        <f t="shared" si="30"/>
        <v>2024</v>
      </c>
      <c r="M297" s="66" t="str">
        <f t="shared" si="31"/>
        <v>NO</v>
      </c>
      <c r="N297" s="66" t="str">
        <f t="shared" si="32"/>
        <v>IDR</v>
      </c>
      <c r="O297" s="66" t="str">
        <f t="shared" si="33"/>
        <v>L</v>
      </c>
      <c r="P297" s="66" t="str">
        <f t="shared" si="34"/>
        <v>AG</v>
      </c>
    </row>
    <row r="298" spans="1:16">
      <c r="A298" t="s">
        <v>1790</v>
      </c>
      <c r="B298" t="s">
        <v>2429</v>
      </c>
      <c r="C298">
        <v>76</v>
      </c>
      <c r="D298">
        <v>2285064596</v>
      </c>
      <c r="E298">
        <v>89993888999</v>
      </c>
      <c r="F298">
        <v>0</v>
      </c>
      <c r="H298" s="66" t="str">
        <f>IF(LEFT(A298,6)="CEPNTR","GPINS",VLOOKUP(LEFT(A298,6),'Code Library'!$A$3:$B$920,2,0))&amp;"_"&amp;RIGHT(A298,3)</f>
        <v>AZLGC_IDR</v>
      </c>
      <c r="I298" s="66" t="str">
        <f t="shared" si="28"/>
        <v>CWLGC__IDR</v>
      </c>
      <c r="K298" s="66" t="str">
        <f t="shared" si="29"/>
        <v>Q1</v>
      </c>
      <c r="L298" s="66" t="str">
        <f t="shared" si="30"/>
        <v>2025</v>
      </c>
      <c r="M298" s="66" t="str">
        <f t="shared" si="31"/>
        <v>NO</v>
      </c>
      <c r="N298" s="66" t="str">
        <f t="shared" si="32"/>
        <v>IDR</v>
      </c>
      <c r="O298" s="66" t="str">
        <f t="shared" si="33"/>
        <v>L</v>
      </c>
      <c r="P298" s="66" t="str">
        <f t="shared" si="34"/>
        <v>AG</v>
      </c>
    </row>
    <row r="299" spans="1:16">
      <c r="A299" t="s">
        <v>1792</v>
      </c>
      <c r="B299" t="s">
        <v>1793</v>
      </c>
      <c r="C299">
        <v>6</v>
      </c>
      <c r="D299">
        <v>48645</v>
      </c>
      <c r="E299">
        <v>1395400</v>
      </c>
      <c r="F299">
        <v>0</v>
      </c>
      <c r="H299" s="66" t="str">
        <f>IF(LEFT(A299,6)="CEPNTR","GPINS",VLOOKUP(LEFT(A299,6),'Code Library'!$A$3:$B$920,2,0))&amp;"_"&amp;RIGHT(A299,3)</f>
        <v>AZLGC_USD</v>
      </c>
      <c r="I299" s="66" t="str">
        <f t="shared" si="28"/>
        <v>CWLGC__USD</v>
      </c>
      <c r="K299" s="66" t="str">
        <f t="shared" si="29"/>
        <v>IF</v>
      </c>
      <c r="L299" s="66" t="str">
        <f t="shared" si="30"/>
        <v>2023</v>
      </c>
      <c r="M299" s="66" t="str">
        <f t="shared" si="31"/>
        <v>NO</v>
      </c>
      <c r="N299" s="66" t="str">
        <f t="shared" si="32"/>
        <v>USD</v>
      </c>
      <c r="O299" s="66" t="str">
        <f t="shared" si="33"/>
        <v>L</v>
      </c>
      <c r="P299" s="66" t="str">
        <f t="shared" si="34"/>
        <v>AG</v>
      </c>
    </row>
    <row r="300" spans="1:16">
      <c r="A300" t="s">
        <v>1792</v>
      </c>
      <c r="B300" t="s">
        <v>2430</v>
      </c>
      <c r="C300">
        <v>9</v>
      </c>
      <c r="D300">
        <v>260859</v>
      </c>
      <c r="E300">
        <v>10832750</v>
      </c>
      <c r="F300">
        <v>0</v>
      </c>
      <c r="H300" s="66" t="str">
        <f>IF(LEFT(A300,6)="CEPNTR","GPINS",VLOOKUP(LEFT(A300,6),'Code Library'!$A$3:$B$920,2,0))&amp;"_"&amp;RIGHT(A300,3)</f>
        <v>AZLGC_USD</v>
      </c>
      <c r="I300" s="66" t="str">
        <f t="shared" si="28"/>
        <v>CWLGC__USD</v>
      </c>
      <c r="K300" s="66" t="str">
        <f t="shared" si="29"/>
        <v>IF</v>
      </c>
      <c r="L300" s="66" t="str">
        <f t="shared" si="30"/>
        <v>2024</v>
      </c>
      <c r="M300" s="66" t="str">
        <f t="shared" si="31"/>
        <v>NO</v>
      </c>
      <c r="N300" s="66" t="str">
        <f t="shared" si="32"/>
        <v>USD</v>
      </c>
      <c r="O300" s="66" t="str">
        <f t="shared" si="33"/>
        <v>L</v>
      </c>
      <c r="P300" s="66" t="str">
        <f t="shared" si="34"/>
        <v>AG</v>
      </c>
    </row>
    <row r="301" spans="1:16">
      <c r="A301" t="s">
        <v>1790</v>
      </c>
      <c r="B301" t="s">
        <v>1794</v>
      </c>
      <c r="C301">
        <v>36</v>
      </c>
      <c r="D301">
        <v>951656900</v>
      </c>
      <c r="E301">
        <v>51010000000</v>
      </c>
      <c r="F301">
        <v>0</v>
      </c>
      <c r="H301" s="66" t="str">
        <f>IF(LEFT(A301,6)="CEPNTR","GPINS",VLOOKUP(LEFT(A301,6),'Code Library'!$A$3:$B$920,2,0))&amp;"_"&amp;RIGHT(A301,3)</f>
        <v>AZLGC_IDR</v>
      </c>
      <c r="I301" s="66" t="str">
        <f t="shared" si="28"/>
        <v>CWLGC__IDR</v>
      </c>
      <c r="K301" s="66" t="str">
        <f t="shared" si="29"/>
        <v>IF</v>
      </c>
      <c r="L301" s="66" t="str">
        <f t="shared" si="30"/>
        <v>2023</v>
      </c>
      <c r="M301" s="66" t="str">
        <f t="shared" si="31"/>
        <v>NO</v>
      </c>
      <c r="N301" s="66" t="str">
        <f t="shared" si="32"/>
        <v>IDR</v>
      </c>
      <c r="O301" s="66" t="str">
        <f t="shared" si="33"/>
        <v>L</v>
      </c>
      <c r="P301" s="66" t="str">
        <f t="shared" si="34"/>
        <v>AG</v>
      </c>
    </row>
    <row r="302" spans="1:16">
      <c r="A302" t="s">
        <v>1790</v>
      </c>
      <c r="B302" t="s">
        <v>2431</v>
      </c>
      <c r="C302">
        <v>10</v>
      </c>
      <c r="D302">
        <v>197068800</v>
      </c>
      <c r="E302">
        <v>15350000000</v>
      </c>
      <c r="F302">
        <v>0</v>
      </c>
      <c r="H302" s="66" t="str">
        <f>IF(LEFT(A302,6)="CEPNTR","GPINS",VLOOKUP(LEFT(A302,6),'Code Library'!$A$3:$B$920,2,0))&amp;"_"&amp;RIGHT(A302,3)</f>
        <v>AZLGC_IDR</v>
      </c>
      <c r="I302" s="66" t="str">
        <f t="shared" si="28"/>
        <v>CWLGC__IDR</v>
      </c>
      <c r="K302" s="66" t="str">
        <f t="shared" si="29"/>
        <v>IF</v>
      </c>
      <c r="L302" s="66" t="str">
        <f t="shared" si="30"/>
        <v>2024</v>
      </c>
      <c r="M302" s="66" t="str">
        <f t="shared" si="31"/>
        <v>NO</v>
      </c>
      <c r="N302" s="66" t="str">
        <f t="shared" si="32"/>
        <v>IDR</v>
      </c>
      <c r="O302" s="66" t="str">
        <f t="shared" si="33"/>
        <v>L</v>
      </c>
      <c r="P302" s="66" t="str">
        <f t="shared" si="34"/>
        <v>AG</v>
      </c>
    </row>
    <row r="303" spans="1:16">
      <c r="A303" t="s">
        <v>1790</v>
      </c>
      <c r="B303" t="s">
        <v>2522</v>
      </c>
      <c r="C303">
        <v>2</v>
      </c>
      <c r="D303">
        <v>50830000</v>
      </c>
      <c r="E303">
        <v>2600000000</v>
      </c>
      <c r="F303">
        <v>0</v>
      </c>
      <c r="H303" s="66" t="str">
        <f>IF(LEFT(A303,6)="CEPNTR","GPINS",VLOOKUP(LEFT(A303,6),'Code Library'!$A$3:$B$920,2,0))&amp;"_"&amp;RIGHT(A303,3)</f>
        <v>AZLGC_IDR</v>
      </c>
      <c r="I303" s="66" t="str">
        <f t="shared" si="28"/>
        <v>CWLGC__IDR</v>
      </c>
      <c r="K303" s="66" t="str">
        <f t="shared" si="29"/>
        <v>Q1</v>
      </c>
      <c r="L303" s="66" t="str">
        <f t="shared" si="30"/>
        <v>2025</v>
      </c>
      <c r="M303" s="66" t="str">
        <f t="shared" si="31"/>
        <v>NO</v>
      </c>
      <c r="N303" s="66" t="str">
        <f t="shared" si="32"/>
        <v>IDR</v>
      </c>
      <c r="O303" s="66" t="str">
        <f t="shared" si="33"/>
        <v>L</v>
      </c>
      <c r="P303" s="66" t="str">
        <f t="shared" si="34"/>
        <v>AG</v>
      </c>
    </row>
    <row r="304" spans="1:16">
      <c r="A304" t="s">
        <v>1790</v>
      </c>
      <c r="B304" t="s">
        <v>1795</v>
      </c>
      <c r="C304">
        <v>7999</v>
      </c>
      <c r="D304">
        <v>405516175463.43402</v>
      </c>
      <c r="E304">
        <v>20076412183512.102</v>
      </c>
      <c r="F304">
        <v>0</v>
      </c>
      <c r="H304" s="66" t="str">
        <f>IF(LEFT(A304,6)="CEPNTR","GPINS",VLOOKUP(LEFT(A304,6),'Code Library'!$A$3:$B$920,2,0))&amp;"_"&amp;RIGHT(A304,3)</f>
        <v>AZLGC_IDR</v>
      </c>
      <c r="I304" s="66" t="str">
        <f t="shared" si="28"/>
        <v>CWLGC__IDR</v>
      </c>
      <c r="K304" s="66" t="str">
        <f t="shared" si="29"/>
        <v>IF</v>
      </c>
      <c r="L304" s="66" t="str">
        <f t="shared" si="30"/>
        <v>2023</v>
      </c>
      <c r="M304" s="66" t="str">
        <f t="shared" si="31"/>
        <v>NO</v>
      </c>
      <c r="N304" s="66" t="str">
        <f t="shared" si="32"/>
        <v>IDR</v>
      </c>
      <c r="O304" s="66" t="str">
        <f t="shared" si="33"/>
        <v>L</v>
      </c>
      <c r="P304" s="66" t="str">
        <f t="shared" si="34"/>
        <v>AG</v>
      </c>
    </row>
    <row r="305" spans="1:16">
      <c r="A305" t="s">
        <v>1790</v>
      </c>
      <c r="B305" t="s">
        <v>2432</v>
      </c>
      <c r="C305">
        <v>7088</v>
      </c>
      <c r="D305">
        <v>280019056621.88501</v>
      </c>
      <c r="E305">
        <v>12942106148668.699</v>
      </c>
      <c r="F305">
        <v>0</v>
      </c>
      <c r="H305" s="66" t="str">
        <f>IF(LEFT(A305,6)="CEPNTR","GPINS",VLOOKUP(LEFT(A305,6),'Code Library'!$A$3:$B$920,2,0))&amp;"_"&amp;RIGHT(A305,3)</f>
        <v>AZLGC_IDR</v>
      </c>
      <c r="I305" s="66" t="str">
        <f t="shared" si="28"/>
        <v>CWLGC__IDR</v>
      </c>
      <c r="K305" s="66" t="str">
        <f t="shared" si="29"/>
        <v>IF</v>
      </c>
      <c r="L305" s="66" t="str">
        <f t="shared" si="30"/>
        <v>2024</v>
      </c>
      <c r="M305" s="66" t="str">
        <f t="shared" si="31"/>
        <v>NO</v>
      </c>
      <c r="N305" s="66" t="str">
        <f t="shared" si="32"/>
        <v>IDR</v>
      </c>
      <c r="O305" s="66" t="str">
        <f t="shared" si="33"/>
        <v>L</v>
      </c>
      <c r="P305" s="66" t="str">
        <f t="shared" si="34"/>
        <v>AG</v>
      </c>
    </row>
    <row r="306" spans="1:16">
      <c r="A306" t="s">
        <v>1790</v>
      </c>
      <c r="B306" t="s">
        <v>2433</v>
      </c>
      <c r="C306">
        <v>1650</v>
      </c>
      <c r="D306">
        <v>57302146336.913498</v>
      </c>
      <c r="E306">
        <v>2566793996130</v>
      </c>
      <c r="F306">
        <v>0</v>
      </c>
      <c r="H306" s="66" t="str">
        <f>IF(LEFT(A306,6)="CEPNTR","GPINS",VLOOKUP(LEFT(A306,6),'Code Library'!$A$3:$B$920,2,0))&amp;"_"&amp;RIGHT(A306,3)</f>
        <v>AZLGC_IDR</v>
      </c>
      <c r="I306" s="66" t="str">
        <f t="shared" si="28"/>
        <v>CWLGC__IDR</v>
      </c>
      <c r="K306" s="66" t="str">
        <f t="shared" si="29"/>
        <v>Q1</v>
      </c>
      <c r="L306" s="66" t="str">
        <f t="shared" si="30"/>
        <v>2025</v>
      </c>
      <c r="M306" s="66" t="str">
        <f t="shared" si="31"/>
        <v>NO</v>
      </c>
      <c r="N306" s="66" t="str">
        <f t="shared" si="32"/>
        <v>IDR</v>
      </c>
      <c r="O306" s="66" t="str">
        <f t="shared" si="33"/>
        <v>L</v>
      </c>
      <c r="P306" s="66" t="str">
        <f t="shared" si="34"/>
        <v>AG</v>
      </c>
    </row>
    <row r="307" spans="1:16">
      <c r="A307" t="s">
        <v>1792</v>
      </c>
      <c r="B307" t="s">
        <v>1796</v>
      </c>
      <c r="C307">
        <v>110</v>
      </c>
      <c r="D307">
        <v>1326587.8999999999</v>
      </c>
      <c r="E307">
        <v>41965198.899999999</v>
      </c>
      <c r="F307">
        <v>0</v>
      </c>
      <c r="H307" s="66" t="str">
        <f>IF(LEFT(A307,6)="CEPNTR","GPINS",VLOOKUP(LEFT(A307,6),'Code Library'!$A$3:$B$920,2,0))&amp;"_"&amp;RIGHT(A307,3)</f>
        <v>AZLGC_USD</v>
      </c>
      <c r="I307" s="66" t="str">
        <f t="shared" si="28"/>
        <v>CWLGC__USD</v>
      </c>
      <c r="K307" s="66" t="str">
        <f t="shared" si="29"/>
        <v>IF</v>
      </c>
      <c r="L307" s="66" t="str">
        <f t="shared" si="30"/>
        <v>2023</v>
      </c>
      <c r="M307" s="66" t="str">
        <f t="shared" si="31"/>
        <v>NO</v>
      </c>
      <c r="N307" s="66" t="str">
        <f t="shared" si="32"/>
        <v>USD</v>
      </c>
      <c r="O307" s="66" t="str">
        <f t="shared" si="33"/>
        <v>L</v>
      </c>
      <c r="P307" s="66" t="str">
        <f t="shared" si="34"/>
        <v>AG</v>
      </c>
    </row>
    <row r="308" spans="1:16">
      <c r="A308" t="s">
        <v>1792</v>
      </c>
      <c r="B308" t="s">
        <v>2434</v>
      </c>
      <c r="C308">
        <v>93</v>
      </c>
      <c r="D308">
        <v>1277994.08</v>
      </c>
      <c r="E308">
        <v>32236081</v>
      </c>
      <c r="F308">
        <v>0</v>
      </c>
      <c r="H308" s="66" t="str">
        <f>IF(LEFT(A308,6)="CEPNTR","GPINS",VLOOKUP(LEFT(A308,6),'Code Library'!$A$3:$B$920,2,0))&amp;"_"&amp;RIGHT(A308,3)</f>
        <v>AZLGC_USD</v>
      </c>
      <c r="I308" s="66" t="str">
        <f t="shared" si="28"/>
        <v>CWLGC__USD</v>
      </c>
      <c r="K308" s="66" t="str">
        <f t="shared" si="29"/>
        <v>IF</v>
      </c>
      <c r="L308" s="66" t="str">
        <f t="shared" si="30"/>
        <v>2024</v>
      </c>
      <c r="M308" s="66" t="str">
        <f t="shared" si="31"/>
        <v>NO</v>
      </c>
      <c r="N308" s="66" t="str">
        <f t="shared" si="32"/>
        <v>USD</v>
      </c>
      <c r="O308" s="66" t="str">
        <f t="shared" si="33"/>
        <v>L</v>
      </c>
      <c r="P308" s="66" t="str">
        <f t="shared" si="34"/>
        <v>AG</v>
      </c>
    </row>
    <row r="309" spans="1:16">
      <c r="A309" t="s">
        <v>1792</v>
      </c>
      <c r="B309" t="s">
        <v>2435</v>
      </c>
      <c r="C309">
        <v>27</v>
      </c>
      <c r="D309">
        <v>275069</v>
      </c>
      <c r="E309">
        <v>8271000</v>
      </c>
      <c r="F309">
        <v>0</v>
      </c>
      <c r="H309" s="66" t="str">
        <f>IF(LEFT(A309,6)="CEPNTR","GPINS",VLOOKUP(LEFT(A309,6),'Code Library'!$A$3:$B$920,2,0))&amp;"_"&amp;RIGHT(A309,3)</f>
        <v>AZLGC_USD</v>
      </c>
      <c r="I309" s="66" t="str">
        <f t="shared" si="28"/>
        <v>CWLGC__USD</v>
      </c>
      <c r="K309" s="66" t="str">
        <f t="shared" si="29"/>
        <v>Q1</v>
      </c>
      <c r="L309" s="66" t="str">
        <f t="shared" si="30"/>
        <v>2025</v>
      </c>
      <c r="M309" s="66" t="str">
        <f t="shared" si="31"/>
        <v>NO</v>
      </c>
      <c r="N309" s="66" t="str">
        <f t="shared" si="32"/>
        <v>USD</v>
      </c>
      <c r="O309" s="66" t="str">
        <f t="shared" si="33"/>
        <v>L</v>
      </c>
      <c r="P309" s="66" t="str">
        <f t="shared" si="34"/>
        <v>AG</v>
      </c>
    </row>
    <row r="310" spans="1:16">
      <c r="A310" t="s">
        <v>1790</v>
      </c>
      <c r="B310" t="s">
        <v>1797</v>
      </c>
      <c r="C310">
        <v>1980</v>
      </c>
      <c r="D310">
        <v>97454324163.368393</v>
      </c>
      <c r="E310">
        <v>4958763470072.7002</v>
      </c>
      <c r="F310">
        <v>0</v>
      </c>
      <c r="H310" s="66" t="str">
        <f>IF(LEFT(A310,6)="CEPNTR","GPINS",VLOOKUP(LEFT(A310,6),'Code Library'!$A$3:$B$920,2,0))&amp;"_"&amp;RIGHT(A310,3)</f>
        <v>AZLGC_IDR</v>
      </c>
      <c r="I310" s="66" t="str">
        <f t="shared" si="28"/>
        <v>CWLGC__IDR</v>
      </c>
      <c r="K310" s="66" t="str">
        <f t="shared" si="29"/>
        <v>IF</v>
      </c>
      <c r="L310" s="66" t="str">
        <f t="shared" si="30"/>
        <v>2023</v>
      </c>
      <c r="M310" s="66" t="str">
        <f t="shared" si="31"/>
        <v>NO</v>
      </c>
      <c r="N310" s="66" t="str">
        <f t="shared" si="32"/>
        <v>IDR</v>
      </c>
      <c r="O310" s="66" t="str">
        <f t="shared" si="33"/>
        <v>L</v>
      </c>
      <c r="P310" s="66" t="str">
        <f t="shared" si="34"/>
        <v>AG</v>
      </c>
    </row>
    <row r="311" spans="1:16">
      <c r="A311" t="s">
        <v>1790</v>
      </c>
      <c r="B311" t="s">
        <v>2436</v>
      </c>
      <c r="C311">
        <v>1563</v>
      </c>
      <c r="D311">
        <v>63518933736.455902</v>
      </c>
      <c r="E311">
        <v>3049327129247.7998</v>
      </c>
      <c r="F311">
        <v>0</v>
      </c>
      <c r="H311" s="66" t="str">
        <f>IF(LEFT(A311,6)="CEPNTR","GPINS",VLOOKUP(LEFT(A311,6),'Code Library'!$A$3:$B$920,2,0))&amp;"_"&amp;RIGHT(A311,3)</f>
        <v>AZLGC_IDR</v>
      </c>
      <c r="I311" s="66" t="str">
        <f t="shared" si="28"/>
        <v>CWLGC__IDR</v>
      </c>
      <c r="K311" s="66" t="str">
        <f t="shared" si="29"/>
        <v>IF</v>
      </c>
      <c r="L311" s="66" t="str">
        <f t="shared" si="30"/>
        <v>2024</v>
      </c>
      <c r="M311" s="66" t="str">
        <f t="shared" si="31"/>
        <v>NO</v>
      </c>
      <c r="N311" s="66" t="str">
        <f t="shared" si="32"/>
        <v>IDR</v>
      </c>
      <c r="O311" s="66" t="str">
        <f t="shared" si="33"/>
        <v>L</v>
      </c>
      <c r="P311" s="66" t="str">
        <f t="shared" si="34"/>
        <v>AG</v>
      </c>
    </row>
    <row r="312" spans="1:16">
      <c r="A312" t="s">
        <v>1790</v>
      </c>
      <c r="B312" t="s">
        <v>2437</v>
      </c>
      <c r="C312">
        <v>402</v>
      </c>
      <c r="D312">
        <v>12787145925.66</v>
      </c>
      <c r="E312">
        <v>604837169850</v>
      </c>
      <c r="F312">
        <v>0</v>
      </c>
      <c r="H312" s="66" t="str">
        <f>IF(LEFT(A312,6)="CEPNTR","GPINS",VLOOKUP(LEFT(A312,6),'Code Library'!$A$3:$B$920,2,0))&amp;"_"&amp;RIGHT(A312,3)</f>
        <v>AZLGC_IDR</v>
      </c>
      <c r="I312" s="66" t="str">
        <f t="shared" si="28"/>
        <v>CWLGC__IDR</v>
      </c>
      <c r="K312" s="66" t="str">
        <f t="shared" si="29"/>
        <v>Q1</v>
      </c>
      <c r="L312" s="66" t="str">
        <f t="shared" si="30"/>
        <v>2025</v>
      </c>
      <c r="M312" s="66" t="str">
        <f t="shared" si="31"/>
        <v>NO</v>
      </c>
      <c r="N312" s="66" t="str">
        <f t="shared" si="32"/>
        <v>IDR</v>
      </c>
      <c r="O312" s="66" t="str">
        <f t="shared" si="33"/>
        <v>L</v>
      </c>
      <c r="P312" s="66" t="str">
        <f t="shared" si="34"/>
        <v>AG</v>
      </c>
    </row>
    <row r="313" spans="1:16">
      <c r="A313" t="s">
        <v>1792</v>
      </c>
      <c r="B313" t="s">
        <v>1798</v>
      </c>
      <c r="C313">
        <v>23</v>
      </c>
      <c r="D313">
        <v>214112.99</v>
      </c>
      <c r="E313">
        <v>5911200</v>
      </c>
      <c r="F313">
        <v>0</v>
      </c>
      <c r="H313" s="66" t="str">
        <f>IF(LEFT(A313,6)="CEPNTR","GPINS",VLOOKUP(LEFT(A313,6),'Code Library'!$A$3:$B$920,2,0))&amp;"_"&amp;RIGHT(A313,3)</f>
        <v>AZLGC_USD</v>
      </c>
      <c r="I313" s="66" t="str">
        <f t="shared" si="28"/>
        <v>CWLGC__USD</v>
      </c>
      <c r="K313" s="66" t="str">
        <f t="shared" si="29"/>
        <v>IF</v>
      </c>
      <c r="L313" s="66" t="str">
        <f t="shared" si="30"/>
        <v>2023</v>
      </c>
      <c r="M313" s="66" t="str">
        <f t="shared" si="31"/>
        <v>NO</v>
      </c>
      <c r="N313" s="66" t="str">
        <f t="shared" si="32"/>
        <v>USD</v>
      </c>
      <c r="O313" s="66" t="str">
        <f t="shared" si="33"/>
        <v>L</v>
      </c>
      <c r="P313" s="66" t="str">
        <f t="shared" si="34"/>
        <v>AG</v>
      </c>
    </row>
    <row r="314" spans="1:16">
      <c r="A314" t="s">
        <v>1792</v>
      </c>
      <c r="B314" t="s">
        <v>2438</v>
      </c>
      <c r="C314">
        <v>16</v>
      </c>
      <c r="D314">
        <v>132178</v>
      </c>
      <c r="E314">
        <v>5149000</v>
      </c>
      <c r="F314">
        <v>0</v>
      </c>
      <c r="H314" s="66" t="str">
        <f>IF(LEFT(A314,6)="CEPNTR","GPINS",VLOOKUP(LEFT(A314,6),'Code Library'!$A$3:$B$920,2,0))&amp;"_"&amp;RIGHT(A314,3)</f>
        <v>AZLGC_USD</v>
      </c>
      <c r="I314" s="66" t="str">
        <f t="shared" si="28"/>
        <v>CWLGC__USD</v>
      </c>
      <c r="K314" s="66" t="str">
        <f t="shared" si="29"/>
        <v>IF</v>
      </c>
      <c r="L314" s="66" t="str">
        <f t="shared" si="30"/>
        <v>2024</v>
      </c>
      <c r="M314" s="66" t="str">
        <f t="shared" si="31"/>
        <v>NO</v>
      </c>
      <c r="N314" s="66" t="str">
        <f t="shared" si="32"/>
        <v>USD</v>
      </c>
      <c r="O314" s="66" t="str">
        <f t="shared" si="33"/>
        <v>L</v>
      </c>
      <c r="P314" s="66" t="str">
        <f t="shared" si="34"/>
        <v>AG</v>
      </c>
    </row>
    <row r="315" spans="1:16">
      <c r="A315" t="s">
        <v>1792</v>
      </c>
      <c r="B315" t="s">
        <v>2504</v>
      </c>
      <c r="C315">
        <v>4</v>
      </c>
      <c r="D315">
        <v>35392</v>
      </c>
      <c r="E315">
        <v>1860000</v>
      </c>
      <c r="F315">
        <v>0</v>
      </c>
      <c r="H315" s="66" t="str">
        <f>IF(LEFT(A315,6)="CEPNTR","GPINS",VLOOKUP(LEFT(A315,6),'Code Library'!$A$3:$B$920,2,0))&amp;"_"&amp;RIGHT(A315,3)</f>
        <v>AZLGC_USD</v>
      </c>
      <c r="I315" s="66" t="str">
        <f t="shared" si="28"/>
        <v>CWLGC__USD</v>
      </c>
      <c r="K315" s="66" t="str">
        <f t="shared" si="29"/>
        <v>Q1</v>
      </c>
      <c r="L315" s="66" t="str">
        <f t="shared" si="30"/>
        <v>2025</v>
      </c>
      <c r="M315" s="66" t="str">
        <f t="shared" si="31"/>
        <v>NO</v>
      </c>
      <c r="N315" s="66" t="str">
        <f t="shared" si="32"/>
        <v>USD</v>
      </c>
      <c r="O315" s="66" t="str">
        <f t="shared" si="33"/>
        <v>L</v>
      </c>
      <c r="P315" s="66" t="str">
        <f t="shared" si="34"/>
        <v>AG</v>
      </c>
    </row>
    <row r="316" spans="1:16">
      <c r="A316" t="s">
        <v>1799</v>
      </c>
      <c r="B316" t="s">
        <v>1800</v>
      </c>
      <c r="C316">
        <v>4</v>
      </c>
      <c r="D316">
        <v>192207000</v>
      </c>
      <c r="E316">
        <v>9000000000</v>
      </c>
      <c r="F316">
        <v>0</v>
      </c>
      <c r="H316" s="66" t="str">
        <f>IF(LEFT(A316,6)="CEPNTR","GPINS",VLOOKUP(LEFT(A316,6),'Code Library'!$A$3:$B$920,2,0))&amp;"_"&amp;RIGHT(A316,3)</f>
        <v>ALGCP_IDR</v>
      </c>
      <c r="I316" s="66" t="str">
        <f t="shared" si="28"/>
        <v>CWLGCP_IDR</v>
      </c>
      <c r="K316" s="66" t="str">
        <f t="shared" si="29"/>
        <v>IF</v>
      </c>
      <c r="L316" s="66" t="str">
        <f t="shared" si="30"/>
        <v>2023</v>
      </c>
      <c r="M316" s="66" t="str">
        <f t="shared" si="31"/>
        <v>NO</v>
      </c>
      <c r="N316" s="66" t="str">
        <f t="shared" si="32"/>
        <v>IDR</v>
      </c>
      <c r="O316" s="66" t="str">
        <f t="shared" si="33"/>
        <v>L</v>
      </c>
      <c r="P316" s="66" t="str">
        <f t="shared" si="34"/>
        <v>NK</v>
      </c>
    </row>
    <row r="317" spans="1:16">
      <c r="A317" t="s">
        <v>1799</v>
      </c>
      <c r="B317" t="s">
        <v>2439</v>
      </c>
      <c r="C317">
        <v>26</v>
      </c>
      <c r="D317">
        <v>1823255910</v>
      </c>
      <c r="E317">
        <v>52956000001.099998</v>
      </c>
      <c r="F317">
        <v>0</v>
      </c>
      <c r="H317" s="66" t="str">
        <f>IF(LEFT(A317,6)="CEPNTR","GPINS",VLOOKUP(LEFT(A317,6),'Code Library'!$A$3:$B$920,2,0))&amp;"_"&amp;RIGHT(A317,3)</f>
        <v>ALGCP_IDR</v>
      </c>
      <c r="I317" s="66" t="str">
        <f t="shared" si="28"/>
        <v>CWLGCP_IDR</v>
      </c>
      <c r="K317" s="66" t="str">
        <f t="shared" si="29"/>
        <v>IF</v>
      </c>
      <c r="L317" s="66" t="str">
        <f t="shared" si="30"/>
        <v>2024</v>
      </c>
      <c r="M317" s="66" t="str">
        <f t="shared" si="31"/>
        <v>NO</v>
      </c>
      <c r="N317" s="66" t="str">
        <f t="shared" si="32"/>
        <v>IDR</v>
      </c>
      <c r="O317" s="66" t="str">
        <f t="shared" si="33"/>
        <v>L</v>
      </c>
      <c r="P317" s="66" t="str">
        <f t="shared" si="34"/>
        <v>NK</v>
      </c>
    </row>
    <row r="318" spans="1:16">
      <c r="A318" t="s">
        <v>1799</v>
      </c>
      <c r="B318" t="s">
        <v>2505</v>
      </c>
      <c r="C318">
        <v>3</v>
      </c>
      <c r="D318">
        <v>50019400</v>
      </c>
      <c r="E318">
        <v>3706000000</v>
      </c>
      <c r="F318">
        <v>0</v>
      </c>
      <c r="H318" s="66" t="str">
        <f>IF(LEFT(A318,6)="CEPNTR","GPINS",VLOOKUP(LEFT(A318,6),'Code Library'!$A$3:$B$920,2,0))&amp;"_"&amp;RIGHT(A318,3)</f>
        <v>ALGCP_IDR</v>
      </c>
      <c r="I318" s="66" t="str">
        <f t="shared" si="28"/>
        <v>CWLGCP_IDR</v>
      </c>
      <c r="K318" s="66" t="str">
        <f t="shared" si="29"/>
        <v>Q1</v>
      </c>
      <c r="L318" s="66" t="str">
        <f t="shared" si="30"/>
        <v>2025</v>
      </c>
      <c r="M318" s="66" t="str">
        <f t="shared" si="31"/>
        <v>NO</v>
      </c>
      <c r="N318" s="66" t="str">
        <f t="shared" si="32"/>
        <v>IDR</v>
      </c>
      <c r="O318" s="66" t="str">
        <f t="shared" si="33"/>
        <v>L</v>
      </c>
      <c r="P318" s="66" t="str">
        <f t="shared" si="34"/>
        <v>NK</v>
      </c>
    </row>
    <row r="319" spans="1:16">
      <c r="A319" t="s">
        <v>1801</v>
      </c>
      <c r="B319" t="s">
        <v>2440</v>
      </c>
      <c r="C319">
        <v>1</v>
      </c>
      <c r="D319">
        <v>3001</v>
      </c>
      <c r="E319">
        <v>75300</v>
      </c>
      <c r="F319">
        <v>0</v>
      </c>
      <c r="H319" s="66" t="str">
        <f>IF(LEFT(A319,6)="CEPNTR","GPINS",VLOOKUP(LEFT(A319,6),'Code Library'!$A$3:$B$920,2,0))&amp;"_"&amp;RIGHT(A319,3)</f>
        <v>ALGCP_USD</v>
      </c>
      <c r="I319" s="66" t="str">
        <f t="shared" si="28"/>
        <v>CWLGCP_USD</v>
      </c>
      <c r="K319" s="66" t="str">
        <f t="shared" si="29"/>
        <v>IF</v>
      </c>
      <c r="L319" s="66" t="str">
        <f t="shared" si="30"/>
        <v>2024</v>
      </c>
      <c r="M319" s="66" t="str">
        <f t="shared" si="31"/>
        <v>NO</v>
      </c>
      <c r="N319" s="66" t="str">
        <f t="shared" si="32"/>
        <v>USD</v>
      </c>
      <c r="O319" s="66" t="str">
        <f t="shared" si="33"/>
        <v>L</v>
      </c>
      <c r="P319" s="66" t="str">
        <f t="shared" si="34"/>
        <v>NK</v>
      </c>
    </row>
    <row r="320" spans="1:16">
      <c r="A320" t="s">
        <v>1799</v>
      </c>
      <c r="B320" t="s">
        <v>2441</v>
      </c>
      <c r="C320">
        <v>8</v>
      </c>
      <c r="D320">
        <v>690699000</v>
      </c>
      <c r="E320">
        <v>19420000000</v>
      </c>
      <c r="F320">
        <v>0</v>
      </c>
      <c r="H320" s="66" t="str">
        <f>IF(LEFT(A320,6)="CEPNTR","GPINS",VLOOKUP(LEFT(A320,6),'Code Library'!$A$3:$B$920,2,0))&amp;"_"&amp;RIGHT(A320,3)</f>
        <v>ALGCP_IDR</v>
      </c>
      <c r="I320" s="66" t="str">
        <f t="shared" si="28"/>
        <v>CWLGCP_IDR</v>
      </c>
      <c r="K320" s="66" t="str">
        <f t="shared" si="29"/>
        <v>IF</v>
      </c>
      <c r="L320" s="66" t="str">
        <f t="shared" si="30"/>
        <v>2024</v>
      </c>
      <c r="M320" s="66" t="str">
        <f t="shared" si="31"/>
        <v>NO</v>
      </c>
      <c r="N320" s="66" t="str">
        <f t="shared" si="32"/>
        <v>IDR</v>
      </c>
      <c r="O320" s="66" t="str">
        <f t="shared" si="33"/>
        <v>L</v>
      </c>
      <c r="P320" s="66" t="str">
        <f t="shared" si="34"/>
        <v>NK</v>
      </c>
    </row>
    <row r="321" spans="1:16">
      <c r="A321" t="s">
        <v>1799</v>
      </c>
      <c r="B321" t="s">
        <v>2442</v>
      </c>
      <c r="C321">
        <v>21</v>
      </c>
      <c r="D321">
        <v>1384955500</v>
      </c>
      <c r="E321">
        <v>58160000000</v>
      </c>
      <c r="F321">
        <v>0</v>
      </c>
      <c r="H321" s="66" t="str">
        <f>IF(LEFT(A321,6)="CEPNTR","GPINS",VLOOKUP(LEFT(A321,6),'Code Library'!$A$3:$B$920,2,0))&amp;"_"&amp;RIGHT(A321,3)</f>
        <v>ALGCP_IDR</v>
      </c>
      <c r="I321" s="66" t="str">
        <f t="shared" si="28"/>
        <v>CWLGCP_IDR</v>
      </c>
      <c r="K321" s="66" t="str">
        <f t="shared" si="29"/>
        <v>Q1</v>
      </c>
      <c r="L321" s="66" t="str">
        <f t="shared" si="30"/>
        <v>2025</v>
      </c>
      <c r="M321" s="66" t="str">
        <f t="shared" si="31"/>
        <v>NO</v>
      </c>
      <c r="N321" s="66" t="str">
        <f t="shared" si="32"/>
        <v>IDR</v>
      </c>
      <c r="O321" s="66" t="str">
        <f t="shared" si="33"/>
        <v>L</v>
      </c>
      <c r="P321" s="66" t="str">
        <f t="shared" si="34"/>
        <v>NK</v>
      </c>
    </row>
    <row r="322" spans="1:16">
      <c r="A322" t="s">
        <v>1801</v>
      </c>
      <c r="B322" t="s">
        <v>2443</v>
      </c>
      <c r="C322">
        <v>2</v>
      </c>
      <c r="D322">
        <v>27226</v>
      </c>
      <c r="E322">
        <v>385000</v>
      </c>
      <c r="F322">
        <v>0</v>
      </c>
      <c r="H322" s="66" t="str">
        <f>IF(LEFT(A322,6)="CEPNTR","GPINS",VLOOKUP(LEFT(A322,6),'Code Library'!$A$3:$B$920,2,0))&amp;"_"&amp;RIGHT(A322,3)</f>
        <v>ALGCP_USD</v>
      </c>
      <c r="I322" s="66" t="str">
        <f t="shared" si="28"/>
        <v>CWLGCP_USD</v>
      </c>
      <c r="K322" s="66" t="str">
        <f t="shared" si="29"/>
        <v>IF</v>
      </c>
      <c r="L322" s="66" t="str">
        <f t="shared" si="30"/>
        <v>2024</v>
      </c>
      <c r="M322" s="66" t="str">
        <f t="shared" si="31"/>
        <v>NO</v>
      </c>
      <c r="N322" s="66" t="str">
        <f t="shared" si="32"/>
        <v>USD</v>
      </c>
      <c r="O322" s="66" t="str">
        <f t="shared" si="33"/>
        <v>L</v>
      </c>
      <c r="P322" s="66" t="str">
        <f t="shared" si="34"/>
        <v>NK</v>
      </c>
    </row>
    <row r="323" spans="1:16">
      <c r="A323" t="s">
        <v>1801</v>
      </c>
      <c r="B323" t="s">
        <v>2506</v>
      </c>
      <c r="C323">
        <v>1</v>
      </c>
      <c r="D323">
        <v>10066</v>
      </c>
      <c r="E323">
        <v>132000</v>
      </c>
      <c r="F323">
        <v>0</v>
      </c>
      <c r="H323" s="66" t="str">
        <f>IF(LEFT(A323,6)="CEPNTR","GPINS",VLOOKUP(LEFT(A323,6),'Code Library'!$A$3:$B$920,2,0))&amp;"_"&amp;RIGHT(A323,3)</f>
        <v>ALGCP_USD</v>
      </c>
      <c r="I323" s="66" t="str">
        <f t="shared" ref="I323:I386" si="35">A323</f>
        <v>CWLGCP_USD</v>
      </c>
      <c r="K323" s="66" t="str">
        <f t="shared" ref="K323:K386" si="36">RIGHT($B323,2)</f>
        <v>Q1</v>
      </c>
      <c r="L323" s="66" t="str">
        <f t="shared" ref="L323:L386" si="37">LEFT(RIGHT($B323,7),4)</f>
        <v>2025</v>
      </c>
      <c r="M323" s="66" t="str">
        <f t="shared" ref="M323:M386" si="38">LEFT(RIGHT($B323,10),2)</f>
        <v>NO</v>
      </c>
      <c r="N323" s="66" t="str">
        <f t="shared" ref="N323:N386" si="39">LEFT(RIGHT($B323,14),3)</f>
        <v>USD</v>
      </c>
      <c r="O323" s="66" t="str">
        <f t="shared" ref="O323:O386" si="40">LEFT(RIGHT($B323,16),1)</f>
        <v>L</v>
      </c>
      <c r="P323" s="66" t="str">
        <f t="shared" ref="P323:P386" si="41">LEFT(RIGHT($B323,19),2)</f>
        <v>NK</v>
      </c>
    </row>
    <row r="324" spans="1:16">
      <c r="A324" t="s">
        <v>1799</v>
      </c>
      <c r="B324" t="s">
        <v>2444</v>
      </c>
      <c r="C324">
        <v>422</v>
      </c>
      <c r="D324">
        <v>19931569434.455101</v>
      </c>
      <c r="E324">
        <v>934414870000</v>
      </c>
      <c r="F324">
        <v>0</v>
      </c>
      <c r="H324" s="66" t="str">
        <f>IF(LEFT(A324,6)="CEPNTR","GPINS",VLOOKUP(LEFT(A324,6),'Code Library'!$A$3:$B$920,2,0))&amp;"_"&amp;RIGHT(A324,3)</f>
        <v>ALGCP_IDR</v>
      </c>
      <c r="I324" s="66" t="str">
        <f t="shared" si="35"/>
        <v>CWLGCP_IDR</v>
      </c>
      <c r="K324" s="66" t="str">
        <f t="shared" si="36"/>
        <v>IF</v>
      </c>
      <c r="L324" s="66" t="str">
        <f t="shared" si="37"/>
        <v>2024</v>
      </c>
      <c r="M324" s="66" t="str">
        <f t="shared" si="38"/>
        <v>NO</v>
      </c>
      <c r="N324" s="66" t="str">
        <f t="shared" si="39"/>
        <v>IDR</v>
      </c>
      <c r="O324" s="66" t="str">
        <f t="shared" si="40"/>
        <v>L</v>
      </c>
      <c r="P324" s="66" t="str">
        <f t="shared" si="41"/>
        <v>NK</v>
      </c>
    </row>
    <row r="325" spans="1:16">
      <c r="A325" t="s">
        <v>1799</v>
      </c>
      <c r="B325" t="s">
        <v>2445</v>
      </c>
      <c r="C325">
        <v>40</v>
      </c>
      <c r="D325">
        <v>1941165300.3</v>
      </c>
      <c r="E325">
        <v>73051500000</v>
      </c>
      <c r="F325">
        <v>0</v>
      </c>
      <c r="H325" s="66" t="str">
        <f>IF(LEFT(A325,6)="CEPNTR","GPINS",VLOOKUP(LEFT(A325,6),'Code Library'!$A$3:$B$920,2,0))&amp;"_"&amp;RIGHT(A325,3)</f>
        <v>ALGCP_IDR</v>
      </c>
      <c r="I325" s="66" t="str">
        <f t="shared" si="35"/>
        <v>CWLGCP_IDR</v>
      </c>
      <c r="K325" s="66" t="str">
        <f t="shared" si="36"/>
        <v>Q1</v>
      </c>
      <c r="L325" s="66" t="str">
        <f t="shared" si="37"/>
        <v>2025</v>
      </c>
      <c r="M325" s="66" t="str">
        <f t="shared" si="38"/>
        <v>NO</v>
      </c>
      <c r="N325" s="66" t="str">
        <f t="shared" si="39"/>
        <v>IDR</v>
      </c>
      <c r="O325" s="66" t="str">
        <f t="shared" si="40"/>
        <v>L</v>
      </c>
      <c r="P325" s="66" t="str">
        <f t="shared" si="41"/>
        <v>NK</v>
      </c>
    </row>
    <row r="326" spans="1:16">
      <c r="A326" t="s">
        <v>1801</v>
      </c>
      <c r="B326" t="s">
        <v>2446</v>
      </c>
      <c r="C326">
        <v>65</v>
      </c>
      <c r="D326">
        <v>523240.96000000002</v>
      </c>
      <c r="E326">
        <v>15038320</v>
      </c>
      <c r="F326">
        <v>0</v>
      </c>
      <c r="H326" s="66" t="str">
        <f>IF(LEFT(A326,6)="CEPNTR","GPINS",VLOOKUP(LEFT(A326,6),'Code Library'!$A$3:$B$920,2,0))&amp;"_"&amp;RIGHT(A326,3)</f>
        <v>ALGCP_USD</v>
      </c>
      <c r="I326" s="66" t="str">
        <f t="shared" si="35"/>
        <v>CWLGCP_USD</v>
      </c>
      <c r="K326" s="66" t="str">
        <f t="shared" si="36"/>
        <v>IF</v>
      </c>
      <c r="L326" s="66" t="str">
        <f t="shared" si="37"/>
        <v>2024</v>
      </c>
      <c r="M326" s="66" t="str">
        <f t="shared" si="38"/>
        <v>NO</v>
      </c>
      <c r="N326" s="66" t="str">
        <f t="shared" si="39"/>
        <v>USD</v>
      </c>
      <c r="O326" s="66" t="str">
        <f t="shared" si="40"/>
        <v>L</v>
      </c>
      <c r="P326" s="66" t="str">
        <f t="shared" si="41"/>
        <v>NK</v>
      </c>
    </row>
    <row r="327" spans="1:16">
      <c r="A327" t="s">
        <v>1801</v>
      </c>
      <c r="B327" t="s">
        <v>2507</v>
      </c>
      <c r="C327">
        <v>4</v>
      </c>
      <c r="D327">
        <v>60614</v>
      </c>
      <c r="E327">
        <v>1515000</v>
      </c>
      <c r="F327">
        <v>0</v>
      </c>
      <c r="H327" s="66" t="str">
        <f>IF(LEFT(A327,6)="CEPNTR","GPINS",VLOOKUP(LEFT(A327,6),'Code Library'!$A$3:$B$920,2,0))&amp;"_"&amp;RIGHT(A327,3)</f>
        <v>ALGCP_USD</v>
      </c>
      <c r="I327" s="66" t="str">
        <f t="shared" si="35"/>
        <v>CWLGCP_USD</v>
      </c>
      <c r="K327" s="66" t="str">
        <f t="shared" si="36"/>
        <v>Q1</v>
      </c>
      <c r="L327" s="66" t="str">
        <f t="shared" si="37"/>
        <v>2025</v>
      </c>
      <c r="M327" s="66" t="str">
        <f t="shared" si="38"/>
        <v>NO</v>
      </c>
      <c r="N327" s="66" t="str">
        <f t="shared" si="39"/>
        <v>USD</v>
      </c>
      <c r="O327" s="66" t="str">
        <f t="shared" si="40"/>
        <v>L</v>
      </c>
      <c r="P327" s="66" t="str">
        <f t="shared" si="41"/>
        <v>NK</v>
      </c>
    </row>
    <row r="328" spans="1:16">
      <c r="A328" t="s">
        <v>1799</v>
      </c>
      <c r="B328" t="s">
        <v>2523</v>
      </c>
      <c r="C328">
        <v>1</v>
      </c>
      <c r="D328">
        <v>18941000</v>
      </c>
      <c r="E328">
        <v>1300000000</v>
      </c>
      <c r="F328">
        <v>0</v>
      </c>
      <c r="H328" s="66" t="str">
        <f>IF(LEFT(A328,6)="CEPNTR","GPINS",VLOOKUP(LEFT(A328,6),'Code Library'!$A$3:$B$920,2,0))&amp;"_"&amp;RIGHT(A328,3)</f>
        <v>ALGCP_IDR</v>
      </c>
      <c r="I328" s="66" t="str">
        <f t="shared" si="35"/>
        <v>CWLGCP_IDR</v>
      </c>
      <c r="K328" s="66" t="str">
        <f t="shared" si="36"/>
        <v>Q1</v>
      </c>
      <c r="L328" s="66" t="str">
        <f t="shared" si="37"/>
        <v>2025</v>
      </c>
      <c r="M328" s="66" t="str">
        <f t="shared" si="38"/>
        <v>NO</v>
      </c>
      <c r="N328" s="66" t="str">
        <f t="shared" si="39"/>
        <v>IDR</v>
      </c>
      <c r="O328" s="66" t="str">
        <f t="shared" si="40"/>
        <v>L</v>
      </c>
      <c r="P328" s="66" t="str">
        <f t="shared" si="41"/>
        <v>NK</v>
      </c>
    </row>
    <row r="329" spans="1:16">
      <c r="A329" t="s">
        <v>1799</v>
      </c>
      <c r="B329" t="s">
        <v>1802</v>
      </c>
      <c r="C329">
        <v>11</v>
      </c>
      <c r="D329">
        <v>712507200</v>
      </c>
      <c r="E329">
        <v>28580000000</v>
      </c>
      <c r="F329">
        <v>0</v>
      </c>
      <c r="H329" s="66" t="str">
        <f>IF(LEFT(A329,6)="CEPNTR","GPINS",VLOOKUP(LEFT(A329,6),'Code Library'!$A$3:$B$920,2,0))&amp;"_"&amp;RIGHT(A329,3)</f>
        <v>ALGCP_IDR</v>
      </c>
      <c r="I329" s="66" t="str">
        <f t="shared" si="35"/>
        <v>CWLGCP_IDR</v>
      </c>
      <c r="K329" s="66" t="str">
        <f t="shared" si="36"/>
        <v>IF</v>
      </c>
      <c r="L329" s="66" t="str">
        <f t="shared" si="37"/>
        <v>2023</v>
      </c>
      <c r="M329" s="66" t="str">
        <f t="shared" si="38"/>
        <v>NO</v>
      </c>
      <c r="N329" s="66" t="str">
        <f t="shared" si="39"/>
        <v>IDR</v>
      </c>
      <c r="O329" s="66" t="str">
        <f t="shared" si="40"/>
        <v>L</v>
      </c>
      <c r="P329" s="66" t="str">
        <f t="shared" si="41"/>
        <v>NK</v>
      </c>
    </row>
    <row r="330" spans="1:16">
      <c r="A330" t="s">
        <v>1799</v>
      </c>
      <c r="B330" t="s">
        <v>2447</v>
      </c>
      <c r="C330">
        <v>28</v>
      </c>
      <c r="D330">
        <v>1524822650</v>
      </c>
      <c r="E330">
        <v>55335000000</v>
      </c>
      <c r="F330">
        <v>0</v>
      </c>
      <c r="H330" s="66" t="str">
        <f>IF(LEFT(A330,6)="CEPNTR","GPINS",VLOOKUP(LEFT(A330,6),'Code Library'!$A$3:$B$920,2,0))&amp;"_"&amp;RIGHT(A330,3)</f>
        <v>ALGCP_IDR</v>
      </c>
      <c r="I330" s="66" t="str">
        <f t="shared" si="35"/>
        <v>CWLGCP_IDR</v>
      </c>
      <c r="K330" s="66" t="str">
        <f t="shared" si="36"/>
        <v>IF</v>
      </c>
      <c r="L330" s="66" t="str">
        <f t="shared" si="37"/>
        <v>2024</v>
      </c>
      <c r="M330" s="66" t="str">
        <f t="shared" si="38"/>
        <v>NO</v>
      </c>
      <c r="N330" s="66" t="str">
        <f t="shared" si="39"/>
        <v>IDR</v>
      </c>
      <c r="O330" s="66" t="str">
        <f t="shared" si="40"/>
        <v>L</v>
      </c>
      <c r="P330" s="66" t="str">
        <f t="shared" si="41"/>
        <v>NK</v>
      </c>
    </row>
    <row r="331" spans="1:16">
      <c r="A331" t="s">
        <v>1799</v>
      </c>
      <c r="B331" t="s">
        <v>2448</v>
      </c>
      <c r="C331">
        <v>4</v>
      </c>
      <c r="D331">
        <v>294322500</v>
      </c>
      <c r="E331">
        <v>13450000000</v>
      </c>
      <c r="F331">
        <v>0</v>
      </c>
      <c r="H331" s="66" t="str">
        <f>IF(LEFT(A331,6)="CEPNTR","GPINS",VLOOKUP(LEFT(A331,6),'Code Library'!$A$3:$B$920,2,0))&amp;"_"&amp;RIGHT(A331,3)</f>
        <v>ALGCP_IDR</v>
      </c>
      <c r="I331" s="66" t="str">
        <f t="shared" si="35"/>
        <v>CWLGCP_IDR</v>
      </c>
      <c r="K331" s="66" t="str">
        <f t="shared" si="36"/>
        <v>Q1</v>
      </c>
      <c r="L331" s="66" t="str">
        <f t="shared" si="37"/>
        <v>2025</v>
      </c>
      <c r="M331" s="66" t="str">
        <f t="shared" si="38"/>
        <v>NO</v>
      </c>
      <c r="N331" s="66" t="str">
        <f t="shared" si="39"/>
        <v>IDR</v>
      </c>
      <c r="O331" s="66" t="str">
        <f t="shared" si="40"/>
        <v>L</v>
      </c>
      <c r="P331" s="66" t="str">
        <f t="shared" si="41"/>
        <v>NK</v>
      </c>
    </row>
    <row r="332" spans="1:16">
      <c r="A332" t="s">
        <v>1803</v>
      </c>
      <c r="B332" t="s">
        <v>1804</v>
      </c>
      <c r="C332">
        <v>1016</v>
      </c>
      <c r="D332">
        <v>48103679556.809998</v>
      </c>
      <c r="E332">
        <v>2214109243525</v>
      </c>
      <c r="F332">
        <v>0</v>
      </c>
      <c r="H332" s="66" t="str">
        <f>IF(LEFT(A332,6)="CEPNTR","GPINS",VLOOKUP(LEFT(A332,6),'Code Library'!$A$3:$B$920,2,0))&amp;"_"&amp;RIGHT(A332,3)</f>
        <v>MLGC_IDR</v>
      </c>
      <c r="I332" s="66" t="str">
        <f t="shared" si="35"/>
        <v>CWMLGC_IDR</v>
      </c>
      <c r="K332" s="66" t="str">
        <f t="shared" si="36"/>
        <v>IF</v>
      </c>
      <c r="L332" s="66" t="str">
        <f t="shared" si="37"/>
        <v>2023</v>
      </c>
      <c r="M332" s="66" t="str">
        <f t="shared" si="38"/>
        <v>NO</v>
      </c>
      <c r="N332" s="66" t="str">
        <f t="shared" si="39"/>
        <v>IDR</v>
      </c>
      <c r="O332" s="66" t="str">
        <f t="shared" si="40"/>
        <v>L</v>
      </c>
      <c r="P332" s="66" t="str">
        <f t="shared" si="41"/>
        <v>NK</v>
      </c>
    </row>
    <row r="333" spans="1:16">
      <c r="A333" t="s">
        <v>1803</v>
      </c>
      <c r="B333" t="s">
        <v>2449</v>
      </c>
      <c r="C333">
        <v>1469</v>
      </c>
      <c r="D333">
        <v>63577264969.864601</v>
      </c>
      <c r="E333">
        <v>2627344544049</v>
      </c>
      <c r="F333">
        <v>0</v>
      </c>
      <c r="H333" s="66" t="str">
        <f>IF(LEFT(A333,6)="CEPNTR","GPINS",VLOOKUP(LEFT(A333,6),'Code Library'!$A$3:$B$920,2,0))&amp;"_"&amp;RIGHT(A333,3)</f>
        <v>MLGC_IDR</v>
      </c>
      <c r="I333" s="66" t="str">
        <f t="shared" si="35"/>
        <v>CWMLGC_IDR</v>
      </c>
      <c r="K333" s="66" t="str">
        <f t="shared" si="36"/>
        <v>IF</v>
      </c>
      <c r="L333" s="66" t="str">
        <f t="shared" si="37"/>
        <v>2024</v>
      </c>
      <c r="M333" s="66" t="str">
        <f t="shared" si="38"/>
        <v>NO</v>
      </c>
      <c r="N333" s="66" t="str">
        <f t="shared" si="39"/>
        <v>IDR</v>
      </c>
      <c r="O333" s="66" t="str">
        <f t="shared" si="40"/>
        <v>L</v>
      </c>
      <c r="P333" s="66" t="str">
        <f t="shared" si="41"/>
        <v>NK</v>
      </c>
    </row>
    <row r="334" spans="1:16">
      <c r="A334" t="s">
        <v>1803</v>
      </c>
      <c r="B334" t="s">
        <v>2450</v>
      </c>
      <c r="C334">
        <v>342</v>
      </c>
      <c r="D334">
        <v>14563561873.3943</v>
      </c>
      <c r="E334">
        <v>591996929990</v>
      </c>
      <c r="F334">
        <v>0</v>
      </c>
      <c r="H334" s="66" t="str">
        <f>IF(LEFT(A334,6)="CEPNTR","GPINS",VLOOKUP(LEFT(A334,6),'Code Library'!$A$3:$B$920,2,0))&amp;"_"&amp;RIGHT(A334,3)</f>
        <v>MLGC_IDR</v>
      </c>
      <c r="I334" s="66" t="str">
        <f t="shared" si="35"/>
        <v>CWMLGC_IDR</v>
      </c>
      <c r="K334" s="66" t="str">
        <f t="shared" si="36"/>
        <v>Q1</v>
      </c>
      <c r="L334" s="66" t="str">
        <f t="shared" si="37"/>
        <v>2025</v>
      </c>
      <c r="M334" s="66" t="str">
        <f t="shared" si="38"/>
        <v>NO</v>
      </c>
      <c r="N334" s="66" t="str">
        <f t="shared" si="39"/>
        <v>IDR</v>
      </c>
      <c r="O334" s="66" t="str">
        <f t="shared" si="40"/>
        <v>L</v>
      </c>
      <c r="P334" s="66" t="str">
        <f t="shared" si="41"/>
        <v>NK</v>
      </c>
    </row>
    <row r="335" spans="1:16">
      <c r="A335" t="s">
        <v>1805</v>
      </c>
      <c r="B335" t="s">
        <v>1806</v>
      </c>
      <c r="C335">
        <v>41</v>
      </c>
      <c r="D335">
        <v>394237.57</v>
      </c>
      <c r="E335">
        <v>9387765</v>
      </c>
      <c r="F335">
        <v>0</v>
      </c>
      <c r="H335" s="66" t="str">
        <f>IF(LEFT(A335,6)="CEPNTR","GPINS",VLOOKUP(LEFT(A335,6),'Code Library'!$A$3:$B$920,2,0))&amp;"_"&amp;RIGHT(A335,3)</f>
        <v>MLGC_USD</v>
      </c>
      <c r="I335" s="66" t="str">
        <f t="shared" si="35"/>
        <v>CWMLGC_USD</v>
      </c>
      <c r="K335" s="66" t="str">
        <f t="shared" si="36"/>
        <v>IF</v>
      </c>
      <c r="L335" s="66" t="str">
        <f t="shared" si="37"/>
        <v>2023</v>
      </c>
      <c r="M335" s="66" t="str">
        <f t="shared" si="38"/>
        <v>NO</v>
      </c>
      <c r="N335" s="66" t="str">
        <f t="shared" si="39"/>
        <v>USD</v>
      </c>
      <c r="O335" s="66" t="str">
        <f t="shared" si="40"/>
        <v>L</v>
      </c>
      <c r="P335" s="66" t="str">
        <f t="shared" si="41"/>
        <v>NK</v>
      </c>
    </row>
    <row r="336" spans="1:16">
      <c r="A336" t="s">
        <v>1805</v>
      </c>
      <c r="B336" t="s">
        <v>2451</v>
      </c>
      <c r="C336">
        <v>66</v>
      </c>
      <c r="D336">
        <v>725618.9</v>
      </c>
      <c r="E336">
        <v>17063210</v>
      </c>
      <c r="F336">
        <v>0</v>
      </c>
      <c r="H336" s="66" t="str">
        <f>IF(LEFT(A336,6)="CEPNTR","GPINS",VLOOKUP(LEFT(A336,6),'Code Library'!$A$3:$B$920,2,0))&amp;"_"&amp;RIGHT(A336,3)</f>
        <v>MLGC_USD</v>
      </c>
      <c r="I336" s="66" t="str">
        <f t="shared" si="35"/>
        <v>CWMLGC_USD</v>
      </c>
      <c r="K336" s="66" t="str">
        <f t="shared" si="36"/>
        <v>IF</v>
      </c>
      <c r="L336" s="66" t="str">
        <f t="shared" si="37"/>
        <v>2024</v>
      </c>
      <c r="M336" s="66" t="str">
        <f t="shared" si="38"/>
        <v>NO</v>
      </c>
      <c r="N336" s="66" t="str">
        <f t="shared" si="39"/>
        <v>USD</v>
      </c>
      <c r="O336" s="66" t="str">
        <f t="shared" si="40"/>
        <v>L</v>
      </c>
      <c r="P336" s="66" t="str">
        <f t="shared" si="41"/>
        <v>NK</v>
      </c>
    </row>
    <row r="337" spans="1:16">
      <c r="A337" t="s">
        <v>1805</v>
      </c>
      <c r="B337" t="s">
        <v>2452</v>
      </c>
      <c r="C337">
        <v>25</v>
      </c>
      <c r="D337">
        <v>245399.76</v>
      </c>
      <c r="E337">
        <v>4671945</v>
      </c>
      <c r="F337">
        <v>0</v>
      </c>
      <c r="H337" s="66" t="str">
        <f>IF(LEFT(A337,6)="CEPNTR","GPINS",VLOOKUP(LEFT(A337,6),'Code Library'!$A$3:$B$920,2,0))&amp;"_"&amp;RIGHT(A337,3)</f>
        <v>MLGC_USD</v>
      </c>
      <c r="I337" s="66" t="str">
        <f t="shared" si="35"/>
        <v>CWMLGC_USD</v>
      </c>
      <c r="K337" s="66" t="str">
        <f t="shared" si="36"/>
        <v>Q1</v>
      </c>
      <c r="L337" s="66" t="str">
        <f t="shared" si="37"/>
        <v>2025</v>
      </c>
      <c r="M337" s="66" t="str">
        <f t="shared" si="38"/>
        <v>NO</v>
      </c>
      <c r="N337" s="66" t="str">
        <f t="shared" si="39"/>
        <v>USD</v>
      </c>
      <c r="O337" s="66" t="str">
        <f t="shared" si="40"/>
        <v>L</v>
      </c>
      <c r="P337" s="66" t="str">
        <f t="shared" si="41"/>
        <v>NK</v>
      </c>
    </row>
    <row r="338" spans="1:16">
      <c r="A338" t="s">
        <v>1807</v>
      </c>
      <c r="B338" t="s">
        <v>1808</v>
      </c>
      <c r="C338">
        <v>1119</v>
      </c>
      <c r="D338">
        <v>2753673376</v>
      </c>
      <c r="E338">
        <v>91474701629</v>
      </c>
      <c r="F338">
        <v>980100682.55999994</v>
      </c>
      <c r="H338" s="66" t="str">
        <f>IF(LEFT(A338,6)="CEPNTR","GPINS",VLOOKUP(LEFT(A338,6),'Code Library'!$A$3:$B$920,2,0))&amp;"_"&amp;RIGHT(A338,3)</f>
        <v>MYPRO_IDR</v>
      </c>
      <c r="I338" s="66" t="str">
        <f t="shared" si="35"/>
        <v>CWMP___IDR</v>
      </c>
      <c r="K338" s="66" t="str">
        <f t="shared" si="36"/>
        <v>IF</v>
      </c>
      <c r="L338" s="66" t="str">
        <f t="shared" si="37"/>
        <v>2014</v>
      </c>
      <c r="M338" s="66" t="str">
        <f t="shared" si="38"/>
        <v>PI</v>
      </c>
      <c r="N338" s="66" t="str">
        <f t="shared" si="39"/>
        <v>IDR</v>
      </c>
      <c r="O338" s="66" t="str">
        <f t="shared" si="40"/>
        <v>L</v>
      </c>
      <c r="P338" s="66" t="str">
        <f t="shared" si="41"/>
        <v>AG</v>
      </c>
    </row>
    <row r="339" spans="1:16">
      <c r="A339" t="s">
        <v>1807</v>
      </c>
      <c r="B339" t="s">
        <v>1809</v>
      </c>
      <c r="C339">
        <v>23</v>
      </c>
      <c r="D339">
        <v>47425900</v>
      </c>
      <c r="E339">
        <v>1852611591</v>
      </c>
      <c r="F339">
        <v>13943220</v>
      </c>
      <c r="H339" s="66" t="str">
        <f>IF(LEFT(A339,6)="CEPNTR","GPINS",VLOOKUP(LEFT(A339,6),'Code Library'!$A$3:$B$920,2,0))&amp;"_"&amp;RIGHT(A339,3)</f>
        <v>MYPRO_IDR</v>
      </c>
      <c r="I339" s="66" t="str">
        <f t="shared" si="35"/>
        <v>CWMP___IDR</v>
      </c>
      <c r="K339" s="66" t="str">
        <f t="shared" si="36"/>
        <v>IF</v>
      </c>
      <c r="L339" s="66" t="str">
        <f t="shared" si="37"/>
        <v>2015</v>
      </c>
      <c r="M339" s="66" t="str">
        <f t="shared" si="38"/>
        <v>PI</v>
      </c>
      <c r="N339" s="66" t="str">
        <f t="shared" si="39"/>
        <v>IDR</v>
      </c>
      <c r="O339" s="66" t="str">
        <f t="shared" si="40"/>
        <v>L</v>
      </c>
      <c r="P339" s="66" t="str">
        <f t="shared" si="41"/>
        <v>AG</v>
      </c>
    </row>
    <row r="340" spans="1:16">
      <c r="A340" t="s">
        <v>1807</v>
      </c>
      <c r="B340" t="s">
        <v>1810</v>
      </c>
      <c r="C340">
        <v>20</v>
      </c>
      <c r="D340">
        <v>37271016</v>
      </c>
      <c r="E340">
        <v>1329205610</v>
      </c>
      <c r="F340">
        <v>10739821</v>
      </c>
      <c r="H340" s="66" t="str">
        <f>IF(LEFT(A340,6)="CEPNTR","GPINS",VLOOKUP(LEFT(A340,6),'Code Library'!$A$3:$B$920,2,0))&amp;"_"&amp;RIGHT(A340,3)</f>
        <v>MYPRO_IDR</v>
      </c>
      <c r="I340" s="66" t="str">
        <f t="shared" si="35"/>
        <v>CWMP___IDR</v>
      </c>
      <c r="K340" s="66" t="str">
        <f t="shared" si="36"/>
        <v>IF</v>
      </c>
      <c r="L340" s="66" t="str">
        <f t="shared" si="37"/>
        <v>2016</v>
      </c>
      <c r="M340" s="66" t="str">
        <f t="shared" si="38"/>
        <v>PI</v>
      </c>
      <c r="N340" s="66" t="str">
        <f t="shared" si="39"/>
        <v>IDR</v>
      </c>
      <c r="O340" s="66" t="str">
        <f t="shared" si="40"/>
        <v>L</v>
      </c>
      <c r="P340" s="66" t="str">
        <f t="shared" si="41"/>
        <v>AG</v>
      </c>
    </row>
    <row r="341" spans="1:16">
      <c r="A341" t="s">
        <v>1811</v>
      </c>
      <c r="B341" t="s">
        <v>1812</v>
      </c>
      <c r="C341">
        <v>17</v>
      </c>
      <c r="D341">
        <v>31808.2</v>
      </c>
      <c r="E341">
        <v>587000</v>
      </c>
      <c r="F341">
        <v>15650.57</v>
      </c>
      <c r="H341" s="66" t="str">
        <f>IF(LEFT(A341,6)="CEPNTR","GPINS",VLOOKUP(LEFT(A341,6),'Code Library'!$A$3:$B$920,2,0))&amp;"_"&amp;RIGHT(A341,3)</f>
        <v>MYPRO_USD</v>
      </c>
      <c r="I341" s="66" t="str">
        <f t="shared" si="35"/>
        <v>CWMP___USD</v>
      </c>
      <c r="K341" s="66" t="str">
        <f t="shared" si="36"/>
        <v>IF</v>
      </c>
      <c r="L341" s="66" t="str">
        <f t="shared" si="37"/>
        <v>2014</v>
      </c>
      <c r="M341" s="66" t="str">
        <f t="shared" si="38"/>
        <v>PI</v>
      </c>
      <c r="N341" s="66" t="str">
        <f t="shared" si="39"/>
        <v>USD</v>
      </c>
      <c r="O341" s="66" t="str">
        <f t="shared" si="40"/>
        <v>L</v>
      </c>
      <c r="P341" s="66" t="str">
        <f t="shared" si="41"/>
        <v>AG</v>
      </c>
    </row>
    <row r="342" spans="1:16">
      <c r="A342" t="s">
        <v>1807</v>
      </c>
      <c r="B342" t="s">
        <v>1813</v>
      </c>
      <c r="C342">
        <v>17</v>
      </c>
      <c r="D342">
        <v>450357645</v>
      </c>
      <c r="E342">
        <v>6952500000</v>
      </c>
      <c r="F342">
        <v>-1</v>
      </c>
      <c r="H342" s="66" t="str">
        <f>IF(LEFT(A342,6)="CEPNTR","GPINS",VLOOKUP(LEFT(A342,6),'Code Library'!$A$3:$B$920,2,0))&amp;"_"&amp;RIGHT(A342,3)</f>
        <v>MYPRO_IDR</v>
      </c>
      <c r="I342" s="66" t="str">
        <f t="shared" si="35"/>
        <v>CWMP___IDR</v>
      </c>
      <c r="K342" s="66" t="str">
        <f t="shared" si="36"/>
        <v>IF</v>
      </c>
      <c r="L342" s="66" t="str">
        <f t="shared" si="37"/>
        <v>2014</v>
      </c>
      <c r="M342" s="66" t="str">
        <f t="shared" si="38"/>
        <v>PI</v>
      </c>
      <c r="N342" s="66" t="str">
        <f t="shared" si="39"/>
        <v>IDR</v>
      </c>
      <c r="O342" s="66" t="str">
        <f t="shared" si="40"/>
        <v>L</v>
      </c>
      <c r="P342" s="66" t="str">
        <f t="shared" si="41"/>
        <v>AG</v>
      </c>
    </row>
    <row r="343" spans="1:16">
      <c r="A343" t="s">
        <v>1807</v>
      </c>
      <c r="B343" t="s">
        <v>1814</v>
      </c>
      <c r="C343">
        <v>5</v>
      </c>
      <c r="D343">
        <v>4614600</v>
      </c>
      <c r="E343">
        <v>386188863</v>
      </c>
      <c r="F343">
        <v>1614708</v>
      </c>
      <c r="H343" s="66" t="str">
        <f>IF(LEFT(A343,6)="CEPNTR","GPINS",VLOOKUP(LEFT(A343,6),'Code Library'!$A$3:$B$920,2,0))&amp;"_"&amp;RIGHT(A343,3)</f>
        <v>MYPRO_IDR</v>
      </c>
      <c r="I343" s="66" t="str">
        <f t="shared" si="35"/>
        <v>CWMP___IDR</v>
      </c>
      <c r="K343" s="66" t="str">
        <f t="shared" si="36"/>
        <v>IF</v>
      </c>
      <c r="L343" s="66" t="str">
        <f t="shared" si="37"/>
        <v>2015</v>
      </c>
      <c r="M343" s="66" t="str">
        <f t="shared" si="38"/>
        <v>PI</v>
      </c>
      <c r="N343" s="66" t="str">
        <f t="shared" si="39"/>
        <v>IDR</v>
      </c>
      <c r="O343" s="66" t="str">
        <f t="shared" si="40"/>
        <v>L</v>
      </c>
      <c r="P343" s="66" t="str">
        <f t="shared" si="41"/>
        <v>AG</v>
      </c>
    </row>
    <row r="344" spans="1:16">
      <c r="A344" t="s">
        <v>1807</v>
      </c>
      <c r="B344" t="s">
        <v>1815</v>
      </c>
      <c r="C344">
        <v>12</v>
      </c>
      <c r="D344">
        <v>449315800</v>
      </c>
      <c r="E344">
        <v>3507864180</v>
      </c>
      <c r="F344">
        <v>0</v>
      </c>
      <c r="H344" s="66" t="str">
        <f>IF(LEFT(A344,6)="CEPNTR","GPINS",VLOOKUP(LEFT(A344,6),'Code Library'!$A$3:$B$920,2,0))&amp;"_"&amp;RIGHT(A344,3)</f>
        <v>MYPRO_IDR</v>
      </c>
      <c r="I344" s="66" t="str">
        <f t="shared" si="35"/>
        <v>CWMP___IDR</v>
      </c>
      <c r="K344" s="66" t="str">
        <f t="shared" si="36"/>
        <v>IF</v>
      </c>
      <c r="L344" s="66" t="str">
        <f t="shared" si="37"/>
        <v>2016</v>
      </c>
      <c r="M344" s="66" t="str">
        <f t="shared" si="38"/>
        <v>PI</v>
      </c>
      <c r="N344" s="66" t="str">
        <f t="shared" si="39"/>
        <v>IDR</v>
      </c>
      <c r="O344" s="66" t="str">
        <f t="shared" si="40"/>
        <v>L</v>
      </c>
      <c r="P344" s="66" t="str">
        <f t="shared" si="41"/>
        <v>AG</v>
      </c>
    </row>
    <row r="345" spans="1:16">
      <c r="A345" t="s">
        <v>1811</v>
      </c>
      <c r="B345" t="s">
        <v>1816</v>
      </c>
      <c r="C345">
        <v>1</v>
      </c>
      <c r="D345">
        <v>4336</v>
      </c>
      <c r="E345">
        <v>100000</v>
      </c>
      <c r="F345">
        <v>0</v>
      </c>
      <c r="H345" s="66" t="str">
        <f>IF(LEFT(A345,6)="CEPNTR","GPINS",VLOOKUP(LEFT(A345,6),'Code Library'!$A$3:$B$920,2,0))&amp;"_"&amp;RIGHT(A345,3)</f>
        <v>MYPRO_USD</v>
      </c>
      <c r="I345" s="66" t="str">
        <f t="shared" si="35"/>
        <v>CWMP___USD</v>
      </c>
      <c r="K345" s="66" t="str">
        <f t="shared" si="36"/>
        <v>IF</v>
      </c>
      <c r="L345" s="66" t="str">
        <f t="shared" si="37"/>
        <v>2014</v>
      </c>
      <c r="M345" s="66" t="str">
        <f t="shared" si="38"/>
        <v>PI</v>
      </c>
      <c r="N345" s="66" t="str">
        <f t="shared" si="39"/>
        <v>USD</v>
      </c>
      <c r="O345" s="66" t="str">
        <f t="shared" si="40"/>
        <v>L</v>
      </c>
      <c r="P345" s="66" t="str">
        <f t="shared" si="41"/>
        <v>AG</v>
      </c>
    </row>
    <row r="346" spans="1:16">
      <c r="A346" t="s">
        <v>1811</v>
      </c>
      <c r="B346" t="s">
        <v>1817</v>
      </c>
      <c r="C346">
        <v>1</v>
      </c>
      <c r="D346">
        <v>10527.6</v>
      </c>
      <c r="E346">
        <v>30000</v>
      </c>
      <c r="F346">
        <v>0</v>
      </c>
      <c r="H346" s="66" t="str">
        <f>IF(LEFT(A346,6)="CEPNTR","GPINS",VLOOKUP(LEFT(A346,6),'Code Library'!$A$3:$B$920,2,0))&amp;"_"&amp;RIGHT(A346,3)</f>
        <v>MYPRO_USD</v>
      </c>
      <c r="I346" s="66" t="str">
        <f t="shared" si="35"/>
        <v>CWMP___USD</v>
      </c>
      <c r="K346" s="66" t="str">
        <f t="shared" si="36"/>
        <v>IF</v>
      </c>
      <c r="L346" s="66" t="str">
        <f t="shared" si="37"/>
        <v>2016</v>
      </c>
      <c r="M346" s="66" t="str">
        <f t="shared" si="38"/>
        <v>PI</v>
      </c>
      <c r="N346" s="66" t="str">
        <f t="shared" si="39"/>
        <v>USD</v>
      </c>
      <c r="O346" s="66" t="str">
        <f t="shared" si="40"/>
        <v>L</v>
      </c>
      <c r="P346" s="66" t="str">
        <f t="shared" si="41"/>
        <v>AG</v>
      </c>
    </row>
    <row r="347" spans="1:16">
      <c r="A347" t="s">
        <v>1818</v>
      </c>
      <c r="B347" t="s">
        <v>1819</v>
      </c>
      <c r="C347">
        <v>24</v>
      </c>
      <c r="D347">
        <v>989405200</v>
      </c>
      <c r="E347">
        <v>6657880815</v>
      </c>
      <c r="F347">
        <v>232235533</v>
      </c>
      <c r="H347" s="66" t="str">
        <f>IF(LEFT(A347,6)="CEPNTR","GPINS",VLOOKUP(LEFT(A347,6),'Code Library'!$A$3:$B$920,2,0))&amp;"_"&amp;RIGHT(A347,3)</f>
        <v>MWKU_IDR</v>
      </c>
      <c r="I347" s="66" t="str">
        <f t="shared" si="35"/>
        <v>CWMWKU_IDR</v>
      </c>
      <c r="K347" s="66" t="str">
        <f t="shared" si="36"/>
        <v>IF</v>
      </c>
      <c r="L347" s="66" t="str">
        <f t="shared" si="37"/>
        <v>2014</v>
      </c>
      <c r="M347" s="66" t="str">
        <f t="shared" si="38"/>
        <v>PI</v>
      </c>
      <c r="N347" s="66" t="str">
        <f t="shared" si="39"/>
        <v>IDR</v>
      </c>
      <c r="O347" s="66" t="str">
        <f t="shared" si="40"/>
        <v>L</v>
      </c>
      <c r="P347" s="66" t="str">
        <f t="shared" si="41"/>
        <v>NK</v>
      </c>
    </row>
    <row r="348" spans="1:16">
      <c r="A348" t="s">
        <v>1820</v>
      </c>
      <c r="B348" t="s">
        <v>2453</v>
      </c>
      <c r="C348">
        <v>519</v>
      </c>
      <c r="D348">
        <v>201446170724</v>
      </c>
      <c r="E348">
        <v>2272819900000</v>
      </c>
      <c r="F348">
        <v>0</v>
      </c>
      <c r="H348" s="66" t="str">
        <f>IF(LEFT(A348,6)="CEPNTR","GPINS",VLOOKUP(LEFT(A348,6),'Code Library'!$A$3:$B$920,2,0))&amp;"_"&amp;RIGHT(A348,3)</f>
        <v>HPRLA_IDR</v>
      </c>
      <c r="I348" s="66" t="str">
        <f t="shared" si="35"/>
        <v>CWPRLA_IDR</v>
      </c>
      <c r="K348" s="66" t="str">
        <f t="shared" si="36"/>
        <v>IF</v>
      </c>
      <c r="L348" s="66" t="str">
        <f t="shared" si="37"/>
        <v>2024</v>
      </c>
      <c r="M348" s="66" t="str">
        <f t="shared" si="38"/>
        <v>NO</v>
      </c>
      <c r="N348" s="66" t="str">
        <f t="shared" si="39"/>
        <v>IDR</v>
      </c>
      <c r="O348" s="66" t="str">
        <f t="shared" si="40"/>
        <v>L</v>
      </c>
      <c r="P348" s="66" t="str">
        <f t="shared" si="41"/>
        <v>KT</v>
      </c>
    </row>
    <row r="349" spans="1:16">
      <c r="A349" t="s">
        <v>1820</v>
      </c>
      <c r="B349" t="s">
        <v>2454</v>
      </c>
      <c r="C349">
        <v>92</v>
      </c>
      <c r="D349">
        <v>31680134100</v>
      </c>
      <c r="E349">
        <v>358632000000</v>
      </c>
      <c r="F349">
        <v>0</v>
      </c>
      <c r="H349" s="66" t="str">
        <f>IF(LEFT(A349,6)="CEPNTR","GPINS",VLOOKUP(LEFT(A349,6),'Code Library'!$A$3:$B$920,2,0))&amp;"_"&amp;RIGHT(A349,3)</f>
        <v>HPRLA_IDR</v>
      </c>
      <c r="I349" s="66" t="str">
        <f t="shared" si="35"/>
        <v>CWPRLA_IDR</v>
      </c>
      <c r="K349" s="66" t="str">
        <f t="shared" si="36"/>
        <v>Q1</v>
      </c>
      <c r="L349" s="66" t="str">
        <f t="shared" si="37"/>
        <v>2025</v>
      </c>
      <c r="M349" s="66" t="str">
        <f t="shared" si="38"/>
        <v>NO</v>
      </c>
      <c r="N349" s="66" t="str">
        <f t="shared" si="39"/>
        <v>IDR</v>
      </c>
      <c r="O349" s="66" t="str">
        <f t="shared" si="40"/>
        <v>L</v>
      </c>
      <c r="P349" s="66" t="str">
        <f t="shared" si="41"/>
        <v>KT</v>
      </c>
    </row>
    <row r="350" spans="1:16">
      <c r="A350" t="s">
        <v>1821</v>
      </c>
      <c r="B350" t="s">
        <v>1822</v>
      </c>
      <c r="C350">
        <v>1390</v>
      </c>
      <c r="D350">
        <v>3772343654</v>
      </c>
      <c r="E350">
        <v>158857200000</v>
      </c>
      <c r="F350">
        <v>1179241531</v>
      </c>
      <c r="H350" s="66" t="str">
        <f>IF(LEFT(A350,6)="CEPNTR","GPINS",VLOOKUP(LEFT(A350,6),'Code Library'!$A$3:$B$920,2,0))&amp;"_"&amp;RIGHT(A350,3)</f>
        <v>SX_IDR</v>
      </c>
      <c r="I350" s="66" t="str">
        <f t="shared" si="35"/>
        <v>CWSX___IDR</v>
      </c>
      <c r="K350" s="66" t="str">
        <f t="shared" si="36"/>
        <v>IF</v>
      </c>
      <c r="L350" s="66" t="str">
        <f t="shared" si="37"/>
        <v>2014</v>
      </c>
      <c r="M350" s="66" t="str">
        <f t="shared" si="38"/>
        <v>PI</v>
      </c>
      <c r="N350" s="66" t="str">
        <f t="shared" si="39"/>
        <v>IDR</v>
      </c>
      <c r="O350" s="66" t="str">
        <f t="shared" si="40"/>
        <v>L</v>
      </c>
      <c r="P350" s="66" t="str">
        <f t="shared" si="41"/>
        <v>AG</v>
      </c>
    </row>
    <row r="351" spans="1:16">
      <c r="A351" t="s">
        <v>1823</v>
      </c>
      <c r="B351" t="s">
        <v>1824</v>
      </c>
      <c r="C351">
        <v>53</v>
      </c>
      <c r="D351">
        <v>102566.26</v>
      </c>
      <c r="E351">
        <v>1559500</v>
      </c>
      <c r="F351">
        <v>9640.44</v>
      </c>
      <c r="H351" s="66" t="str">
        <f>IF(LEFT(A351,6)="CEPNTR","GPINS",VLOOKUP(LEFT(A351,6),'Code Library'!$A$3:$B$920,2,0))&amp;"_"&amp;RIGHT(A351,3)</f>
        <v>SX_USD</v>
      </c>
      <c r="I351" s="66" t="str">
        <f t="shared" si="35"/>
        <v>CWSX___USD</v>
      </c>
      <c r="K351" s="66" t="str">
        <f t="shared" si="36"/>
        <v>IF</v>
      </c>
      <c r="L351" s="66" t="str">
        <f t="shared" si="37"/>
        <v>2014</v>
      </c>
      <c r="M351" s="66" t="str">
        <f t="shared" si="38"/>
        <v>PI</v>
      </c>
      <c r="N351" s="66" t="str">
        <f t="shared" si="39"/>
        <v>USD</v>
      </c>
      <c r="O351" s="66" t="str">
        <f t="shared" si="40"/>
        <v>L</v>
      </c>
      <c r="P351" s="66" t="str">
        <f t="shared" si="41"/>
        <v>AG</v>
      </c>
    </row>
    <row r="352" spans="1:16">
      <c r="A352" t="s">
        <v>1825</v>
      </c>
      <c r="B352" t="s">
        <v>1826</v>
      </c>
      <c r="C352">
        <v>46</v>
      </c>
      <c r="D352">
        <v>100883624</v>
      </c>
      <c r="E352">
        <v>4299000000</v>
      </c>
      <c r="F352">
        <v>11227631</v>
      </c>
      <c r="H352" s="66" t="str">
        <f>IF(LEFT(A352,6)="CEPNTR","GPINS",VLOOKUP(LEFT(A352,6),'Code Library'!$A$3:$B$920,2,0))&amp;"_"&amp;RIGHT(A352,3)</f>
        <v>PSX_IDR</v>
      </c>
      <c r="I352" s="66" t="str">
        <f t="shared" si="35"/>
        <v>CWSXP__IDR</v>
      </c>
      <c r="K352" s="66" t="str">
        <f t="shared" si="36"/>
        <v>IF</v>
      </c>
      <c r="L352" s="66" t="str">
        <f t="shared" si="37"/>
        <v>2014</v>
      </c>
      <c r="M352" s="66" t="str">
        <f t="shared" si="38"/>
        <v>PI</v>
      </c>
      <c r="N352" s="66" t="str">
        <f t="shared" si="39"/>
        <v>IDR</v>
      </c>
      <c r="O352" s="66" t="str">
        <f t="shared" si="40"/>
        <v>L</v>
      </c>
      <c r="P352" s="66" t="str">
        <f t="shared" si="41"/>
        <v>AG</v>
      </c>
    </row>
    <row r="353" spans="1:16">
      <c r="A353" t="s">
        <v>1827</v>
      </c>
      <c r="B353" t="s">
        <v>2455</v>
      </c>
      <c r="C353">
        <v>2</v>
      </c>
      <c r="D353">
        <v>347512</v>
      </c>
      <c r="E353">
        <v>6491700</v>
      </c>
      <c r="F353">
        <v>0</v>
      </c>
      <c r="H353" s="66" t="str">
        <f>IF(LEFT(A353,6)="CEPNTR","GPINS",VLOOKUP(LEFT(A353,6),'Code Library'!$A$3:$B$920,2,0))&amp;"_"&amp;RIGHT(A353,3)</f>
        <v>WPCI77_IDR</v>
      </c>
      <c r="I353" s="66" t="str">
        <f t="shared" si="35"/>
        <v>WPCI77_IDR</v>
      </c>
      <c r="K353" s="66" t="str">
        <f t="shared" si="36"/>
        <v>IF</v>
      </c>
      <c r="L353" s="66" t="str">
        <f t="shared" si="37"/>
        <v>2024</v>
      </c>
      <c r="M353" s="66" t="str">
        <f t="shared" si="38"/>
        <v>NO</v>
      </c>
      <c r="N353" s="66" t="str">
        <f t="shared" si="39"/>
        <v>IDR</v>
      </c>
      <c r="O353" s="66" t="str">
        <f t="shared" si="40"/>
        <v>L</v>
      </c>
      <c r="P353" s="66" t="str">
        <f t="shared" si="41"/>
        <v>AG</v>
      </c>
    </row>
    <row r="354" spans="1:16">
      <c r="A354" t="s">
        <v>1827</v>
      </c>
      <c r="B354" t="s">
        <v>1828</v>
      </c>
      <c r="C354">
        <v>4</v>
      </c>
      <c r="D354">
        <v>8678697</v>
      </c>
      <c r="E354">
        <v>14525500</v>
      </c>
      <c r="F354">
        <v>0</v>
      </c>
      <c r="H354" s="66" t="str">
        <f>IF(LEFT(A354,6)="CEPNTR","GPINS",VLOOKUP(LEFT(A354,6),'Code Library'!$A$3:$B$920,2,0))&amp;"_"&amp;RIGHT(A354,3)</f>
        <v>WPCI77_IDR</v>
      </c>
      <c r="I354" s="66" t="str">
        <f t="shared" si="35"/>
        <v>WPCI77_IDR</v>
      </c>
      <c r="K354" s="66" t="str">
        <f t="shared" si="36"/>
        <v>IF</v>
      </c>
      <c r="L354" s="66" t="str">
        <f t="shared" si="37"/>
        <v>2021</v>
      </c>
      <c r="M354" s="66" t="str">
        <f t="shared" si="38"/>
        <v>NO</v>
      </c>
      <c r="N354" s="66" t="str">
        <f t="shared" si="39"/>
        <v>IDR</v>
      </c>
      <c r="O354" s="66" t="str">
        <f t="shared" si="40"/>
        <v>L</v>
      </c>
      <c r="P354" s="66" t="str">
        <f t="shared" si="41"/>
        <v>AG</v>
      </c>
    </row>
    <row r="355" spans="1:16">
      <c r="A355" t="s">
        <v>1827</v>
      </c>
      <c r="B355" t="s">
        <v>1829</v>
      </c>
      <c r="C355">
        <v>64</v>
      </c>
      <c r="D355">
        <v>73366981.599999994</v>
      </c>
      <c r="E355">
        <v>934567655</v>
      </c>
      <c r="F355">
        <v>0</v>
      </c>
      <c r="H355" s="66" t="str">
        <f>IF(LEFT(A355,6)="CEPNTR","GPINS",VLOOKUP(LEFT(A355,6),'Code Library'!$A$3:$B$920,2,0))&amp;"_"&amp;RIGHT(A355,3)</f>
        <v>WPCI77_IDR</v>
      </c>
      <c r="I355" s="66" t="str">
        <f t="shared" si="35"/>
        <v>WPCI77_IDR</v>
      </c>
      <c r="K355" s="66" t="str">
        <f t="shared" si="36"/>
        <v>IF</v>
      </c>
      <c r="L355" s="66" t="str">
        <f t="shared" si="37"/>
        <v>2022</v>
      </c>
      <c r="M355" s="66" t="str">
        <f t="shared" si="38"/>
        <v>NO</v>
      </c>
      <c r="N355" s="66" t="str">
        <f t="shared" si="39"/>
        <v>IDR</v>
      </c>
      <c r="O355" s="66" t="str">
        <f t="shared" si="40"/>
        <v>L</v>
      </c>
      <c r="P355" s="66" t="str">
        <f t="shared" si="41"/>
        <v>AG</v>
      </c>
    </row>
    <row r="356" spans="1:16">
      <c r="A356" t="s">
        <v>1827</v>
      </c>
      <c r="B356" t="s">
        <v>1830</v>
      </c>
      <c r="C356">
        <v>94</v>
      </c>
      <c r="D356">
        <v>98858516.560000002</v>
      </c>
      <c r="E356">
        <v>1363170287</v>
      </c>
      <c r="F356">
        <v>0</v>
      </c>
      <c r="H356" s="66" t="str">
        <f>IF(LEFT(A356,6)="CEPNTR","GPINS",VLOOKUP(LEFT(A356,6),'Code Library'!$A$3:$B$920,2,0))&amp;"_"&amp;RIGHT(A356,3)</f>
        <v>WPCI77_IDR</v>
      </c>
      <c r="I356" s="66" t="str">
        <f t="shared" si="35"/>
        <v>WPCI77_IDR</v>
      </c>
      <c r="K356" s="66" t="str">
        <f t="shared" si="36"/>
        <v>IF</v>
      </c>
      <c r="L356" s="66" t="str">
        <f t="shared" si="37"/>
        <v>2023</v>
      </c>
      <c r="M356" s="66" t="str">
        <f t="shared" si="38"/>
        <v>NO</v>
      </c>
      <c r="N356" s="66" t="str">
        <f t="shared" si="39"/>
        <v>IDR</v>
      </c>
      <c r="O356" s="66" t="str">
        <f t="shared" si="40"/>
        <v>L</v>
      </c>
      <c r="P356" s="66" t="str">
        <f t="shared" si="41"/>
        <v>AG</v>
      </c>
    </row>
    <row r="357" spans="1:16">
      <c r="A357" t="s">
        <v>1827</v>
      </c>
      <c r="B357" t="s">
        <v>2456</v>
      </c>
      <c r="C357">
        <v>114</v>
      </c>
      <c r="D357">
        <v>115749951</v>
      </c>
      <c r="E357">
        <v>1310769661</v>
      </c>
      <c r="F357">
        <v>0</v>
      </c>
      <c r="H357" s="66" t="str">
        <f>IF(LEFT(A357,6)="CEPNTR","GPINS",VLOOKUP(LEFT(A357,6),'Code Library'!$A$3:$B$920,2,0))&amp;"_"&amp;RIGHT(A357,3)</f>
        <v>WPCI77_IDR</v>
      </c>
      <c r="I357" s="66" t="str">
        <f t="shared" si="35"/>
        <v>WPCI77_IDR</v>
      </c>
      <c r="K357" s="66" t="str">
        <f t="shared" si="36"/>
        <v>IF</v>
      </c>
      <c r="L357" s="66" t="str">
        <f t="shared" si="37"/>
        <v>2024</v>
      </c>
      <c r="M357" s="66" t="str">
        <f t="shared" si="38"/>
        <v>NO</v>
      </c>
      <c r="N357" s="66" t="str">
        <f t="shared" si="39"/>
        <v>IDR</v>
      </c>
      <c r="O357" s="66" t="str">
        <f t="shared" si="40"/>
        <v>L</v>
      </c>
      <c r="P357" s="66" t="str">
        <f t="shared" si="41"/>
        <v>AG</v>
      </c>
    </row>
    <row r="358" spans="1:16">
      <c r="A358" t="s">
        <v>1827</v>
      </c>
      <c r="B358" t="s">
        <v>2457</v>
      </c>
      <c r="C358">
        <v>11</v>
      </c>
      <c r="D358">
        <v>19193163</v>
      </c>
      <c r="E358">
        <v>149535910</v>
      </c>
      <c r="F358">
        <v>0</v>
      </c>
      <c r="H358" s="66" t="str">
        <f>IF(LEFT(A358,6)="CEPNTR","GPINS",VLOOKUP(LEFT(A358,6),'Code Library'!$A$3:$B$920,2,0))&amp;"_"&amp;RIGHT(A358,3)</f>
        <v>WPCI77_IDR</v>
      </c>
      <c r="I358" s="66" t="str">
        <f t="shared" si="35"/>
        <v>WPCI77_IDR</v>
      </c>
      <c r="K358" s="66" t="str">
        <f t="shared" si="36"/>
        <v>Q1</v>
      </c>
      <c r="L358" s="66" t="str">
        <f t="shared" si="37"/>
        <v>2025</v>
      </c>
      <c r="M358" s="66" t="str">
        <f t="shared" si="38"/>
        <v>NO</v>
      </c>
      <c r="N358" s="66" t="str">
        <f t="shared" si="39"/>
        <v>IDR</v>
      </c>
      <c r="O358" s="66" t="str">
        <f t="shared" si="40"/>
        <v>L</v>
      </c>
      <c r="P358" s="66" t="str">
        <f t="shared" si="41"/>
        <v>AG</v>
      </c>
    </row>
    <row r="359" spans="1:16">
      <c r="A359" t="s">
        <v>1827</v>
      </c>
      <c r="B359" t="s">
        <v>1831</v>
      </c>
      <c r="C359">
        <v>1</v>
      </c>
      <c r="D359">
        <v>691524</v>
      </c>
      <c r="E359">
        <v>3331050</v>
      </c>
      <c r="F359">
        <v>0</v>
      </c>
      <c r="H359" s="66" t="str">
        <f>IF(LEFT(A359,6)="CEPNTR","GPINS",VLOOKUP(LEFT(A359,6),'Code Library'!$A$3:$B$920,2,0))&amp;"_"&amp;RIGHT(A359,3)</f>
        <v>WPCI77_IDR</v>
      </c>
      <c r="I359" s="66" t="str">
        <f t="shared" si="35"/>
        <v>WPCI77_IDR</v>
      </c>
      <c r="K359" s="66" t="str">
        <f t="shared" si="36"/>
        <v>IF</v>
      </c>
      <c r="L359" s="66" t="str">
        <f t="shared" si="37"/>
        <v>2020</v>
      </c>
      <c r="M359" s="66" t="str">
        <f t="shared" si="38"/>
        <v>NO</v>
      </c>
      <c r="N359" s="66" t="str">
        <f t="shared" si="39"/>
        <v>IDR</v>
      </c>
      <c r="O359" s="66" t="str">
        <f t="shared" si="40"/>
        <v>L</v>
      </c>
      <c r="P359" s="66" t="str">
        <f t="shared" si="41"/>
        <v>AG</v>
      </c>
    </row>
    <row r="360" spans="1:16">
      <c r="A360" t="s">
        <v>1827</v>
      </c>
      <c r="B360" t="s">
        <v>1832</v>
      </c>
      <c r="C360">
        <v>16</v>
      </c>
      <c r="D360">
        <v>16582078</v>
      </c>
      <c r="E360">
        <v>399785800</v>
      </c>
      <c r="F360">
        <v>0</v>
      </c>
      <c r="H360" s="66" t="str">
        <f>IF(LEFT(A360,6)="CEPNTR","GPINS",VLOOKUP(LEFT(A360,6),'Code Library'!$A$3:$B$920,2,0))&amp;"_"&amp;RIGHT(A360,3)</f>
        <v>WPCI77_IDR</v>
      </c>
      <c r="I360" s="66" t="str">
        <f t="shared" si="35"/>
        <v>WPCI77_IDR</v>
      </c>
      <c r="K360" s="66" t="str">
        <f t="shared" si="36"/>
        <v>IF</v>
      </c>
      <c r="L360" s="66" t="str">
        <f t="shared" si="37"/>
        <v>2021</v>
      </c>
      <c r="M360" s="66" t="str">
        <f t="shared" si="38"/>
        <v>NO</v>
      </c>
      <c r="N360" s="66" t="str">
        <f t="shared" si="39"/>
        <v>IDR</v>
      </c>
      <c r="O360" s="66" t="str">
        <f t="shared" si="40"/>
        <v>L</v>
      </c>
      <c r="P360" s="66" t="str">
        <f t="shared" si="41"/>
        <v>AG</v>
      </c>
    </row>
    <row r="361" spans="1:16">
      <c r="A361" t="s">
        <v>1827</v>
      </c>
      <c r="B361" t="s">
        <v>1833</v>
      </c>
      <c r="C361">
        <v>98</v>
      </c>
      <c r="D361">
        <v>127002488</v>
      </c>
      <c r="E361">
        <v>2998264040</v>
      </c>
      <c r="F361">
        <v>0</v>
      </c>
      <c r="H361" s="66" t="str">
        <f>IF(LEFT(A361,6)="CEPNTR","GPINS",VLOOKUP(LEFT(A361,6),'Code Library'!$A$3:$B$920,2,0))&amp;"_"&amp;RIGHT(A361,3)</f>
        <v>WPCI77_IDR</v>
      </c>
      <c r="I361" s="66" t="str">
        <f t="shared" si="35"/>
        <v>WPCI77_IDR</v>
      </c>
      <c r="K361" s="66" t="str">
        <f t="shared" si="36"/>
        <v>IF</v>
      </c>
      <c r="L361" s="66" t="str">
        <f t="shared" si="37"/>
        <v>2022</v>
      </c>
      <c r="M361" s="66" t="str">
        <f t="shared" si="38"/>
        <v>NO</v>
      </c>
      <c r="N361" s="66" t="str">
        <f t="shared" si="39"/>
        <v>IDR</v>
      </c>
      <c r="O361" s="66" t="str">
        <f t="shared" si="40"/>
        <v>L</v>
      </c>
      <c r="P361" s="66" t="str">
        <f t="shared" si="41"/>
        <v>AG</v>
      </c>
    </row>
    <row r="362" spans="1:16">
      <c r="A362" t="s">
        <v>1827</v>
      </c>
      <c r="B362" t="s">
        <v>1834</v>
      </c>
      <c r="C362">
        <v>108</v>
      </c>
      <c r="D362">
        <v>106992946</v>
      </c>
      <c r="E362">
        <v>2406107392</v>
      </c>
      <c r="F362">
        <v>0</v>
      </c>
      <c r="H362" s="66" t="str">
        <f>IF(LEFT(A362,6)="CEPNTR","GPINS",VLOOKUP(LEFT(A362,6),'Code Library'!$A$3:$B$920,2,0))&amp;"_"&amp;RIGHT(A362,3)</f>
        <v>WPCI77_IDR</v>
      </c>
      <c r="I362" s="66" t="str">
        <f t="shared" si="35"/>
        <v>WPCI77_IDR</v>
      </c>
      <c r="K362" s="66" t="str">
        <f t="shared" si="36"/>
        <v>IF</v>
      </c>
      <c r="L362" s="66" t="str">
        <f t="shared" si="37"/>
        <v>2023</v>
      </c>
      <c r="M362" s="66" t="str">
        <f t="shared" si="38"/>
        <v>NO</v>
      </c>
      <c r="N362" s="66" t="str">
        <f t="shared" si="39"/>
        <v>IDR</v>
      </c>
      <c r="O362" s="66" t="str">
        <f t="shared" si="40"/>
        <v>L</v>
      </c>
      <c r="P362" s="66" t="str">
        <f t="shared" si="41"/>
        <v>AG</v>
      </c>
    </row>
    <row r="363" spans="1:16">
      <c r="A363" t="s">
        <v>1827</v>
      </c>
      <c r="B363" t="s">
        <v>2458</v>
      </c>
      <c r="C363">
        <v>81</v>
      </c>
      <c r="D363">
        <v>52978644</v>
      </c>
      <c r="E363">
        <v>868832267</v>
      </c>
      <c r="F363">
        <v>0</v>
      </c>
      <c r="H363" s="66" t="str">
        <f>IF(LEFT(A363,6)="CEPNTR","GPINS",VLOOKUP(LEFT(A363,6),'Code Library'!$A$3:$B$920,2,0))&amp;"_"&amp;RIGHT(A363,3)</f>
        <v>WPCI77_IDR</v>
      </c>
      <c r="I363" s="66" t="str">
        <f t="shared" si="35"/>
        <v>WPCI77_IDR</v>
      </c>
      <c r="K363" s="66" t="str">
        <f t="shared" si="36"/>
        <v>IF</v>
      </c>
      <c r="L363" s="66" t="str">
        <f t="shared" si="37"/>
        <v>2024</v>
      </c>
      <c r="M363" s="66" t="str">
        <f t="shared" si="38"/>
        <v>NO</v>
      </c>
      <c r="N363" s="66" t="str">
        <f t="shared" si="39"/>
        <v>IDR</v>
      </c>
      <c r="O363" s="66" t="str">
        <f t="shared" si="40"/>
        <v>L</v>
      </c>
      <c r="P363" s="66" t="str">
        <f t="shared" si="41"/>
        <v>AG</v>
      </c>
    </row>
    <row r="364" spans="1:16">
      <c r="A364" t="s">
        <v>1827</v>
      </c>
      <c r="B364" t="s">
        <v>2459</v>
      </c>
      <c r="C364">
        <v>15</v>
      </c>
      <c r="D364">
        <v>10888911</v>
      </c>
      <c r="E364">
        <v>326346080</v>
      </c>
      <c r="F364">
        <v>0</v>
      </c>
      <c r="H364" s="66" t="str">
        <f>IF(LEFT(A364,6)="CEPNTR","GPINS",VLOOKUP(LEFT(A364,6),'Code Library'!$A$3:$B$920,2,0))&amp;"_"&amp;RIGHT(A364,3)</f>
        <v>WPCI77_IDR</v>
      </c>
      <c r="I364" s="66" t="str">
        <f t="shared" si="35"/>
        <v>WPCI77_IDR</v>
      </c>
      <c r="K364" s="66" t="str">
        <f t="shared" si="36"/>
        <v>Q1</v>
      </c>
      <c r="L364" s="66" t="str">
        <f t="shared" si="37"/>
        <v>2025</v>
      </c>
      <c r="M364" s="66" t="str">
        <f t="shared" si="38"/>
        <v>NO</v>
      </c>
      <c r="N364" s="66" t="str">
        <f t="shared" si="39"/>
        <v>IDR</v>
      </c>
      <c r="O364" s="66" t="str">
        <f t="shared" si="40"/>
        <v>L</v>
      </c>
      <c r="P364" s="66" t="str">
        <f t="shared" si="41"/>
        <v>AG</v>
      </c>
    </row>
    <row r="365" spans="1:16">
      <c r="A365" t="s">
        <v>1827</v>
      </c>
      <c r="B365" t="s">
        <v>1835</v>
      </c>
      <c r="C365">
        <v>8</v>
      </c>
      <c r="D365">
        <v>6995319</v>
      </c>
      <c r="E365">
        <v>273310000</v>
      </c>
      <c r="F365">
        <v>0</v>
      </c>
      <c r="H365" s="66" t="str">
        <f>IF(LEFT(A365,6)="CEPNTR","GPINS",VLOOKUP(LEFT(A365,6),'Code Library'!$A$3:$B$920,2,0))&amp;"_"&amp;RIGHT(A365,3)</f>
        <v>WPCI77_IDR</v>
      </c>
      <c r="I365" s="66" t="str">
        <f t="shared" si="35"/>
        <v>WPCI77_IDR</v>
      </c>
      <c r="K365" s="66" t="str">
        <f t="shared" si="36"/>
        <v>IF</v>
      </c>
      <c r="L365" s="66" t="str">
        <f t="shared" si="37"/>
        <v>2020</v>
      </c>
      <c r="M365" s="66" t="str">
        <f t="shared" si="38"/>
        <v>NO</v>
      </c>
      <c r="N365" s="66" t="str">
        <f t="shared" si="39"/>
        <v>IDR</v>
      </c>
      <c r="O365" s="66" t="str">
        <f t="shared" si="40"/>
        <v>L</v>
      </c>
      <c r="P365" s="66" t="str">
        <f t="shared" si="41"/>
        <v>AG</v>
      </c>
    </row>
    <row r="366" spans="1:16">
      <c r="A366" t="s">
        <v>1827</v>
      </c>
      <c r="B366" t="s">
        <v>1836</v>
      </c>
      <c r="C366">
        <v>35</v>
      </c>
      <c r="D366">
        <v>40014788.880000003</v>
      </c>
      <c r="E366">
        <v>811501865</v>
      </c>
      <c r="F366">
        <v>0</v>
      </c>
      <c r="H366" s="66" t="str">
        <f>IF(LEFT(A366,6)="CEPNTR","GPINS",VLOOKUP(LEFT(A366,6),'Code Library'!$A$3:$B$920,2,0))&amp;"_"&amp;RIGHT(A366,3)</f>
        <v>WPCI77_IDR</v>
      </c>
      <c r="I366" s="66" t="str">
        <f t="shared" si="35"/>
        <v>WPCI77_IDR</v>
      </c>
      <c r="K366" s="66" t="str">
        <f t="shared" si="36"/>
        <v>IF</v>
      </c>
      <c r="L366" s="66" t="str">
        <f t="shared" si="37"/>
        <v>2021</v>
      </c>
      <c r="M366" s="66" t="str">
        <f t="shared" si="38"/>
        <v>NO</v>
      </c>
      <c r="N366" s="66" t="str">
        <f t="shared" si="39"/>
        <v>IDR</v>
      </c>
      <c r="O366" s="66" t="str">
        <f t="shared" si="40"/>
        <v>L</v>
      </c>
      <c r="P366" s="66" t="str">
        <f t="shared" si="41"/>
        <v>AG</v>
      </c>
    </row>
    <row r="367" spans="1:16">
      <c r="A367" t="s">
        <v>1827</v>
      </c>
      <c r="B367" t="s">
        <v>1837</v>
      </c>
      <c r="C367">
        <v>232</v>
      </c>
      <c r="D367">
        <v>278932186</v>
      </c>
      <c r="E367">
        <v>5495377115</v>
      </c>
      <c r="F367">
        <v>0</v>
      </c>
      <c r="H367" s="66" t="str">
        <f>IF(LEFT(A367,6)="CEPNTR","GPINS",VLOOKUP(LEFT(A367,6),'Code Library'!$A$3:$B$920,2,0))&amp;"_"&amp;RIGHT(A367,3)</f>
        <v>WPCI77_IDR</v>
      </c>
      <c r="I367" s="66" t="str">
        <f t="shared" si="35"/>
        <v>WPCI77_IDR</v>
      </c>
      <c r="K367" s="66" t="str">
        <f t="shared" si="36"/>
        <v>IF</v>
      </c>
      <c r="L367" s="66" t="str">
        <f t="shared" si="37"/>
        <v>2022</v>
      </c>
      <c r="M367" s="66" t="str">
        <f t="shared" si="38"/>
        <v>NO</v>
      </c>
      <c r="N367" s="66" t="str">
        <f t="shared" si="39"/>
        <v>IDR</v>
      </c>
      <c r="O367" s="66" t="str">
        <f t="shared" si="40"/>
        <v>L</v>
      </c>
      <c r="P367" s="66" t="str">
        <f t="shared" si="41"/>
        <v>AG</v>
      </c>
    </row>
    <row r="368" spans="1:16">
      <c r="A368" t="s">
        <v>1827</v>
      </c>
      <c r="B368" t="s">
        <v>1838</v>
      </c>
      <c r="C368">
        <v>357</v>
      </c>
      <c r="D368">
        <v>512319453</v>
      </c>
      <c r="E368">
        <v>8203038213</v>
      </c>
      <c r="F368">
        <v>0</v>
      </c>
      <c r="H368" s="66" t="str">
        <f>IF(LEFT(A368,6)="CEPNTR","GPINS",VLOOKUP(LEFT(A368,6),'Code Library'!$A$3:$B$920,2,0))&amp;"_"&amp;RIGHT(A368,3)</f>
        <v>WPCI77_IDR</v>
      </c>
      <c r="I368" s="66" t="str">
        <f t="shared" si="35"/>
        <v>WPCI77_IDR</v>
      </c>
      <c r="K368" s="66" t="str">
        <f t="shared" si="36"/>
        <v>IF</v>
      </c>
      <c r="L368" s="66" t="str">
        <f t="shared" si="37"/>
        <v>2023</v>
      </c>
      <c r="M368" s="66" t="str">
        <f t="shared" si="38"/>
        <v>NO</v>
      </c>
      <c r="N368" s="66" t="str">
        <f t="shared" si="39"/>
        <v>IDR</v>
      </c>
      <c r="O368" s="66" t="str">
        <f t="shared" si="40"/>
        <v>L</v>
      </c>
      <c r="P368" s="66" t="str">
        <f t="shared" si="41"/>
        <v>AG</v>
      </c>
    </row>
    <row r="369" spans="1:16">
      <c r="A369" t="s">
        <v>1827</v>
      </c>
      <c r="B369" t="s">
        <v>2460</v>
      </c>
      <c r="C369">
        <v>457</v>
      </c>
      <c r="D369">
        <v>328961422</v>
      </c>
      <c r="E369">
        <v>5318965592</v>
      </c>
      <c r="F369">
        <v>0</v>
      </c>
      <c r="H369" s="66" t="str">
        <f>IF(LEFT(A369,6)="CEPNTR","GPINS",VLOOKUP(LEFT(A369,6),'Code Library'!$A$3:$B$920,2,0))&amp;"_"&amp;RIGHT(A369,3)</f>
        <v>WPCI77_IDR</v>
      </c>
      <c r="I369" s="66" t="str">
        <f t="shared" si="35"/>
        <v>WPCI77_IDR</v>
      </c>
      <c r="K369" s="66" t="str">
        <f t="shared" si="36"/>
        <v>IF</v>
      </c>
      <c r="L369" s="66" t="str">
        <f t="shared" si="37"/>
        <v>2024</v>
      </c>
      <c r="M369" s="66" t="str">
        <f t="shared" si="38"/>
        <v>NO</v>
      </c>
      <c r="N369" s="66" t="str">
        <f t="shared" si="39"/>
        <v>IDR</v>
      </c>
      <c r="O369" s="66" t="str">
        <f t="shared" si="40"/>
        <v>L</v>
      </c>
      <c r="P369" s="66" t="str">
        <f t="shared" si="41"/>
        <v>AG</v>
      </c>
    </row>
    <row r="370" spans="1:16">
      <c r="A370" t="s">
        <v>1827</v>
      </c>
      <c r="B370" t="s">
        <v>2461</v>
      </c>
      <c r="C370">
        <v>107</v>
      </c>
      <c r="D370">
        <v>94361849</v>
      </c>
      <c r="E370">
        <v>1743527497</v>
      </c>
      <c r="F370">
        <v>0</v>
      </c>
      <c r="H370" s="66" t="str">
        <f>IF(LEFT(A370,6)="CEPNTR","GPINS",VLOOKUP(LEFT(A370,6),'Code Library'!$A$3:$B$920,2,0))&amp;"_"&amp;RIGHT(A370,3)</f>
        <v>WPCI77_IDR</v>
      </c>
      <c r="I370" s="66" t="str">
        <f t="shared" si="35"/>
        <v>WPCI77_IDR</v>
      </c>
      <c r="K370" s="66" t="str">
        <f t="shared" si="36"/>
        <v>Q1</v>
      </c>
      <c r="L370" s="66" t="str">
        <f t="shared" si="37"/>
        <v>2025</v>
      </c>
      <c r="M370" s="66" t="str">
        <f t="shared" si="38"/>
        <v>NO</v>
      </c>
      <c r="N370" s="66" t="str">
        <f t="shared" si="39"/>
        <v>IDR</v>
      </c>
      <c r="O370" s="66" t="str">
        <f t="shared" si="40"/>
        <v>L</v>
      </c>
      <c r="P370" s="66" t="str">
        <f t="shared" si="41"/>
        <v>AG</v>
      </c>
    </row>
    <row r="371" spans="1:16">
      <c r="A371" t="s">
        <v>1843</v>
      </c>
      <c r="B371" t="s">
        <v>1844</v>
      </c>
      <c r="C371">
        <v>34</v>
      </c>
      <c r="D371">
        <v>829580564</v>
      </c>
      <c r="E371">
        <v>5353554669</v>
      </c>
      <c r="F371">
        <v>0</v>
      </c>
      <c r="H371" s="66" t="str">
        <f>IF(LEFT(A371,6)="CEPNTR","GPINS",VLOOKUP(LEFT(A371,6),'Code Library'!$A$3:$B$920,2,0))&amp;"_"&amp;RIGHT(A371,3)</f>
        <v>CCBKP__IDR</v>
      </c>
      <c r="I371" s="66" t="str">
        <f t="shared" si="35"/>
        <v>CCBKP__IDR</v>
      </c>
      <c r="K371" s="66" t="str">
        <f t="shared" si="36"/>
        <v>IF</v>
      </c>
      <c r="L371" s="66" t="str">
        <f t="shared" si="37"/>
        <v>2022</v>
      </c>
      <c r="M371" s="66" t="str">
        <f t="shared" si="38"/>
        <v>NO</v>
      </c>
      <c r="N371" s="66" t="str">
        <f t="shared" si="39"/>
        <v>IDR</v>
      </c>
      <c r="O371" s="66" t="str">
        <f t="shared" si="40"/>
        <v>L</v>
      </c>
      <c r="P371" s="66" t="str">
        <f t="shared" si="41"/>
        <v>NK</v>
      </c>
    </row>
    <row r="372" spans="1:16">
      <c r="A372" t="s">
        <v>1841</v>
      </c>
      <c r="B372" t="s">
        <v>1842</v>
      </c>
      <c r="C372">
        <v>934</v>
      </c>
      <c r="D372">
        <v>7303685549.1999998</v>
      </c>
      <c r="E372">
        <v>54798572000</v>
      </c>
      <c r="F372">
        <v>0</v>
      </c>
      <c r="H372" s="66" t="str">
        <f>IF(LEFT(A372,6)="CEPNTR","GPINS",VLOOKUP(LEFT(A372,6),'Code Library'!$A$3:$B$920,2,0))&amp;"_"&amp;RIGHT(A372,3)</f>
        <v>CCWSR__IDR</v>
      </c>
      <c r="I372" s="66" t="str">
        <f t="shared" si="35"/>
        <v>CCWSR__IDR</v>
      </c>
      <c r="K372" s="66" t="str">
        <f t="shared" si="36"/>
        <v>IF</v>
      </c>
      <c r="L372" s="66" t="str">
        <f t="shared" si="37"/>
        <v>2022</v>
      </c>
      <c r="M372" s="66" t="str">
        <f t="shared" si="38"/>
        <v>NO</v>
      </c>
      <c r="N372" s="66" t="str">
        <f t="shared" si="39"/>
        <v>IDR</v>
      </c>
      <c r="O372" s="66" t="str">
        <f t="shared" si="40"/>
        <v>L</v>
      </c>
      <c r="P372" s="66" t="str">
        <f t="shared" si="41"/>
        <v>NK</v>
      </c>
    </row>
    <row r="373" spans="1:16">
      <c r="A373" t="s">
        <v>1845</v>
      </c>
      <c r="B373" t="s">
        <v>1846</v>
      </c>
      <c r="C373">
        <v>7</v>
      </c>
      <c r="D373">
        <v>141125601</v>
      </c>
      <c r="E373">
        <v>902726656</v>
      </c>
      <c r="F373">
        <v>0</v>
      </c>
      <c r="H373" s="66" t="str">
        <f>IF(LEFT(A373,6)="CEPNTR","GPINS",VLOOKUP(LEFT(A373,6),'Code Library'!$A$3:$B$920,2,0))&amp;"_"&amp;RIGHT(A373,3)</f>
        <v>CCBKR__IDR</v>
      </c>
      <c r="I373" s="66" t="str">
        <f t="shared" si="35"/>
        <v>CCBKR__IDR</v>
      </c>
      <c r="K373" s="66" t="str">
        <f t="shared" si="36"/>
        <v>IF</v>
      </c>
      <c r="L373" s="66" t="str">
        <f t="shared" si="37"/>
        <v>2022</v>
      </c>
      <c r="M373" s="66" t="str">
        <f t="shared" si="38"/>
        <v>NO</v>
      </c>
      <c r="N373" s="66" t="str">
        <f t="shared" si="39"/>
        <v>IDR</v>
      </c>
      <c r="O373" s="66" t="str">
        <f t="shared" si="40"/>
        <v>L</v>
      </c>
      <c r="P373" s="66" t="str">
        <f t="shared" si="41"/>
        <v>NK</v>
      </c>
    </row>
    <row r="374" spans="1:16">
      <c r="A374" t="s">
        <v>1839</v>
      </c>
      <c r="B374" t="s">
        <v>1840</v>
      </c>
      <c r="C374">
        <v>695</v>
      </c>
      <c r="D374">
        <v>3349855620</v>
      </c>
      <c r="E374">
        <v>115520200000</v>
      </c>
      <c r="F374">
        <v>0</v>
      </c>
      <c r="H374" s="66" t="str">
        <f>IF(LEFT(A374,6)="CEPNTR","GPINS",VLOOKUP(LEFT(A374,6),'Code Library'!$A$3:$B$920,2,0))&amp;"_"&amp;RIGHT(A374,3)</f>
        <v>CCWSA__IDR</v>
      </c>
      <c r="I374" s="66" t="str">
        <f t="shared" si="35"/>
        <v>CCWSA__IDR</v>
      </c>
      <c r="K374" s="66" t="str">
        <f t="shared" si="36"/>
        <v>IF</v>
      </c>
      <c r="L374" s="66" t="str">
        <f t="shared" si="37"/>
        <v>2022</v>
      </c>
      <c r="M374" s="66" t="str">
        <f t="shared" si="38"/>
        <v>NO</v>
      </c>
      <c r="N374" s="66" t="str">
        <f t="shared" si="39"/>
        <v>IDR</v>
      </c>
      <c r="O374" s="66" t="str">
        <f t="shared" si="40"/>
        <v>L</v>
      </c>
      <c r="P374" s="66" t="str">
        <f t="shared" si="41"/>
        <v>NK</v>
      </c>
    </row>
    <row r="375" spans="1:16">
      <c r="A375" t="s">
        <v>1848</v>
      </c>
      <c r="B375" t="s">
        <v>1849</v>
      </c>
      <c r="C375">
        <v>90</v>
      </c>
      <c r="D375">
        <v>385826916.02999997</v>
      </c>
      <c r="E375">
        <v>3197758000</v>
      </c>
      <c r="F375">
        <v>0</v>
      </c>
      <c r="H375" s="66" t="str">
        <f>IF(LEFT(A375,6)="CEPNTR","GPINS",VLOOKUP(LEFT(A375,6),'Code Library'!$A$3:$B$920,2,0))&amp;"_"&amp;RIGHT(A375,3)</f>
        <v>CCBPCN_IDR</v>
      </c>
      <c r="I375" s="66" t="str">
        <f t="shared" si="35"/>
        <v>CCBPCN_IDR</v>
      </c>
      <c r="K375" s="66" t="str">
        <f t="shared" si="36"/>
        <v>IF</v>
      </c>
      <c r="L375" s="66" t="str">
        <f t="shared" si="37"/>
        <v>2022</v>
      </c>
      <c r="M375" s="66" t="str">
        <f t="shared" si="38"/>
        <v>NO</v>
      </c>
      <c r="N375" s="66" t="str">
        <f t="shared" si="39"/>
        <v>IDR</v>
      </c>
      <c r="O375" s="66" t="str">
        <f t="shared" si="40"/>
        <v>L</v>
      </c>
      <c r="P375" s="66" t="str">
        <f t="shared" si="41"/>
        <v>NK</v>
      </c>
    </row>
    <row r="376" spans="1:16">
      <c r="A376" t="s">
        <v>1851</v>
      </c>
      <c r="B376" t="s">
        <v>1852</v>
      </c>
      <c r="C376">
        <v>3</v>
      </c>
      <c r="D376">
        <v>7035000</v>
      </c>
      <c r="E376">
        <v>125000000</v>
      </c>
      <c r="F376">
        <v>0</v>
      </c>
      <c r="H376" s="66" t="str">
        <f>IF(LEFT(A376,6)="CEPNTR","GPINS",VLOOKUP(LEFT(A376,6),'Code Library'!$A$3:$B$920,2,0))&amp;"_"&amp;RIGHT(A376,3)</f>
        <v>CCPBMT_IDR</v>
      </c>
      <c r="I376" s="66" t="str">
        <f t="shared" si="35"/>
        <v>CCPBMT_IDR</v>
      </c>
      <c r="K376" s="66" t="str">
        <f t="shared" si="36"/>
        <v>IF</v>
      </c>
      <c r="L376" s="66" t="str">
        <f t="shared" si="37"/>
        <v>2022</v>
      </c>
      <c r="M376" s="66" t="str">
        <f t="shared" si="38"/>
        <v>NO</v>
      </c>
      <c r="N376" s="66" t="str">
        <f t="shared" si="39"/>
        <v>IDR</v>
      </c>
      <c r="O376" s="66" t="str">
        <f t="shared" si="40"/>
        <v>L</v>
      </c>
      <c r="P376" s="66" t="str">
        <f t="shared" si="41"/>
        <v>NK</v>
      </c>
    </row>
    <row r="377" spans="1:16">
      <c r="A377" t="s">
        <v>1848</v>
      </c>
      <c r="B377" t="s">
        <v>1850</v>
      </c>
      <c r="C377">
        <v>38453</v>
      </c>
      <c r="D377">
        <v>446644016382.07703</v>
      </c>
      <c r="E377">
        <v>2765738902283</v>
      </c>
      <c r="F377">
        <v>0</v>
      </c>
      <c r="H377" s="66" t="str">
        <f>IF(LEFT(A377,6)="CEPNTR","GPINS",VLOOKUP(LEFT(A377,6),'Code Library'!$A$3:$B$920,2,0))&amp;"_"&amp;RIGHT(A377,3)</f>
        <v>CCBPCN_IDR</v>
      </c>
      <c r="I377" s="66" t="str">
        <f t="shared" si="35"/>
        <v>CCBPCN_IDR</v>
      </c>
      <c r="K377" s="66" t="str">
        <f t="shared" si="36"/>
        <v>IF</v>
      </c>
      <c r="L377" s="66" t="str">
        <f t="shared" si="37"/>
        <v>2023</v>
      </c>
      <c r="M377" s="66" t="str">
        <f t="shared" si="38"/>
        <v>NO</v>
      </c>
      <c r="N377" s="66" t="str">
        <f t="shared" si="39"/>
        <v>IDR</v>
      </c>
      <c r="O377" s="66" t="str">
        <f t="shared" si="40"/>
        <v>L</v>
      </c>
      <c r="P377" s="66" t="str">
        <f t="shared" si="41"/>
        <v>NK</v>
      </c>
    </row>
    <row r="378" spans="1:16">
      <c r="A378" t="s">
        <v>1848</v>
      </c>
      <c r="B378" t="s">
        <v>2462</v>
      </c>
      <c r="C378">
        <v>79250</v>
      </c>
      <c r="D378">
        <v>811731037315.21899</v>
      </c>
      <c r="E378">
        <v>4798269606225</v>
      </c>
      <c r="F378">
        <v>0</v>
      </c>
      <c r="H378" s="66" t="str">
        <f>IF(LEFT(A378,6)="CEPNTR","GPINS",VLOOKUP(LEFT(A378,6),'Code Library'!$A$3:$B$920,2,0))&amp;"_"&amp;RIGHT(A378,3)</f>
        <v>CCBPCN_IDR</v>
      </c>
      <c r="I378" s="66" t="str">
        <f t="shared" si="35"/>
        <v>CCBPCN_IDR</v>
      </c>
      <c r="K378" s="66" t="str">
        <f t="shared" si="36"/>
        <v>IF</v>
      </c>
      <c r="L378" s="66" t="str">
        <f t="shared" si="37"/>
        <v>2024</v>
      </c>
      <c r="M378" s="66" t="str">
        <f t="shared" si="38"/>
        <v>NO</v>
      </c>
      <c r="N378" s="66" t="str">
        <f t="shared" si="39"/>
        <v>IDR</v>
      </c>
      <c r="O378" s="66" t="str">
        <f t="shared" si="40"/>
        <v>L</v>
      </c>
      <c r="P378" s="66" t="str">
        <f t="shared" si="41"/>
        <v>NK</v>
      </c>
    </row>
    <row r="379" spans="1:16">
      <c r="A379" t="s">
        <v>1851</v>
      </c>
      <c r="B379" t="s">
        <v>1853</v>
      </c>
      <c r="C379">
        <v>11060</v>
      </c>
      <c r="D379">
        <v>59082940196.5</v>
      </c>
      <c r="E379">
        <v>773385720000</v>
      </c>
      <c r="F379">
        <v>0</v>
      </c>
      <c r="H379" s="66" t="str">
        <f>IF(LEFT(A379,6)="CEPNTR","GPINS",VLOOKUP(LEFT(A379,6),'Code Library'!$A$3:$B$920,2,0))&amp;"_"&amp;RIGHT(A379,3)</f>
        <v>CCPBMT_IDR</v>
      </c>
      <c r="I379" s="66" t="str">
        <f t="shared" si="35"/>
        <v>CCPBMT_IDR</v>
      </c>
      <c r="K379" s="66" t="str">
        <f t="shared" si="36"/>
        <v>IF</v>
      </c>
      <c r="L379" s="66" t="str">
        <f t="shared" si="37"/>
        <v>2023</v>
      </c>
      <c r="M379" s="66" t="str">
        <f t="shared" si="38"/>
        <v>NO</v>
      </c>
      <c r="N379" s="66" t="str">
        <f t="shared" si="39"/>
        <v>IDR</v>
      </c>
      <c r="O379" s="66" t="str">
        <f t="shared" si="40"/>
        <v>L</v>
      </c>
      <c r="P379" s="66" t="str">
        <f t="shared" si="41"/>
        <v>NK</v>
      </c>
    </row>
    <row r="380" spans="1:16">
      <c r="A380" t="s">
        <v>1841</v>
      </c>
      <c r="B380" t="s">
        <v>1854</v>
      </c>
      <c r="C380">
        <v>1379</v>
      </c>
      <c r="D380">
        <v>9988682955.3999996</v>
      </c>
      <c r="E380">
        <v>74851067000</v>
      </c>
      <c r="F380">
        <v>0</v>
      </c>
      <c r="H380" s="66" t="str">
        <f>IF(LEFT(A380,6)="CEPNTR","GPINS",VLOOKUP(LEFT(A380,6),'Code Library'!$A$3:$B$920,2,0))&amp;"_"&amp;RIGHT(A380,3)</f>
        <v>CCWSR__IDR</v>
      </c>
      <c r="I380" s="66" t="str">
        <f t="shared" si="35"/>
        <v>CCWSR__IDR</v>
      </c>
      <c r="K380" s="66" t="str">
        <f t="shared" si="36"/>
        <v>IF</v>
      </c>
      <c r="L380" s="66" t="str">
        <f t="shared" si="37"/>
        <v>2023</v>
      </c>
      <c r="M380" s="66" t="str">
        <f t="shared" si="38"/>
        <v>NO</v>
      </c>
      <c r="N380" s="66" t="str">
        <f t="shared" si="39"/>
        <v>IDR</v>
      </c>
      <c r="O380" s="66" t="str">
        <f t="shared" si="40"/>
        <v>L</v>
      </c>
      <c r="P380" s="66" t="str">
        <f t="shared" si="41"/>
        <v>NK</v>
      </c>
    </row>
    <row r="381" spans="1:16">
      <c r="A381" t="s">
        <v>1839</v>
      </c>
      <c r="B381" t="s">
        <v>1855</v>
      </c>
      <c r="C381">
        <v>3834</v>
      </c>
      <c r="D381">
        <v>23402325755.9044</v>
      </c>
      <c r="E381">
        <v>899571747917</v>
      </c>
      <c r="F381">
        <v>0</v>
      </c>
      <c r="H381" s="66" t="str">
        <f>IF(LEFT(A381,6)="CEPNTR","GPINS",VLOOKUP(LEFT(A381,6),'Code Library'!$A$3:$B$920,2,0))&amp;"_"&amp;RIGHT(A381,3)</f>
        <v>CCWSA__IDR</v>
      </c>
      <c r="I381" s="66" t="str">
        <f t="shared" si="35"/>
        <v>CCWSA__IDR</v>
      </c>
      <c r="K381" s="66" t="str">
        <f t="shared" si="36"/>
        <v>IF</v>
      </c>
      <c r="L381" s="66" t="str">
        <f t="shared" si="37"/>
        <v>2023</v>
      </c>
      <c r="M381" s="66" t="str">
        <f t="shared" si="38"/>
        <v>NO</v>
      </c>
      <c r="N381" s="66" t="str">
        <f t="shared" si="39"/>
        <v>IDR</v>
      </c>
      <c r="O381" s="66" t="str">
        <f t="shared" si="40"/>
        <v>L</v>
      </c>
      <c r="P381" s="66" t="str">
        <f t="shared" si="41"/>
        <v>NK</v>
      </c>
    </row>
    <row r="382" spans="1:16">
      <c r="A382" t="s">
        <v>1845</v>
      </c>
      <c r="B382" t="s">
        <v>1856</v>
      </c>
      <c r="C382">
        <v>89</v>
      </c>
      <c r="D382">
        <v>1890463400</v>
      </c>
      <c r="E382">
        <v>8934600000</v>
      </c>
      <c r="F382">
        <v>0</v>
      </c>
      <c r="H382" s="66" t="str">
        <f>IF(LEFT(A382,6)="CEPNTR","GPINS",VLOOKUP(LEFT(A382,6),'Code Library'!$A$3:$B$920,2,0))&amp;"_"&amp;RIGHT(A382,3)</f>
        <v>CCBKR__IDR</v>
      </c>
      <c r="I382" s="66" t="str">
        <f t="shared" si="35"/>
        <v>CCBKR__IDR</v>
      </c>
      <c r="K382" s="66" t="str">
        <f t="shared" si="36"/>
        <v>IF</v>
      </c>
      <c r="L382" s="66" t="str">
        <f t="shared" si="37"/>
        <v>2023</v>
      </c>
      <c r="M382" s="66" t="str">
        <f t="shared" si="38"/>
        <v>NO</v>
      </c>
      <c r="N382" s="66" t="str">
        <f t="shared" si="39"/>
        <v>IDR</v>
      </c>
      <c r="O382" s="66" t="str">
        <f t="shared" si="40"/>
        <v>L</v>
      </c>
      <c r="P382" s="66" t="str">
        <f t="shared" si="41"/>
        <v>NK</v>
      </c>
    </row>
    <row r="383" spans="1:16">
      <c r="A383" t="s">
        <v>1843</v>
      </c>
      <c r="B383" t="s">
        <v>1857</v>
      </c>
      <c r="C383">
        <v>40</v>
      </c>
      <c r="D383">
        <v>2113041265.6401999</v>
      </c>
      <c r="E383">
        <v>11517038977</v>
      </c>
      <c r="F383">
        <v>0</v>
      </c>
      <c r="H383" s="66" t="str">
        <f>IF(LEFT(A383,6)="CEPNTR","GPINS",VLOOKUP(LEFT(A383,6),'Code Library'!$A$3:$B$920,2,0))&amp;"_"&amp;RIGHT(A383,3)</f>
        <v>CCBKP__IDR</v>
      </c>
      <c r="I383" s="66" t="str">
        <f t="shared" si="35"/>
        <v>CCBKP__IDR</v>
      </c>
      <c r="K383" s="66" t="str">
        <f t="shared" si="36"/>
        <v>IF</v>
      </c>
      <c r="L383" s="66" t="str">
        <f t="shared" si="37"/>
        <v>2023</v>
      </c>
      <c r="M383" s="66" t="str">
        <f t="shared" si="38"/>
        <v>NO</v>
      </c>
      <c r="N383" s="66" t="str">
        <f t="shared" si="39"/>
        <v>IDR</v>
      </c>
      <c r="O383" s="66" t="str">
        <f t="shared" si="40"/>
        <v>L</v>
      </c>
      <c r="P383" s="66" t="str">
        <f t="shared" si="41"/>
        <v>NK</v>
      </c>
    </row>
    <row r="384" spans="1:16">
      <c r="A384" t="s">
        <v>1858</v>
      </c>
      <c r="B384" t="s">
        <v>1859</v>
      </c>
      <c r="C384">
        <v>21</v>
      </c>
      <c r="D384">
        <v>32252700</v>
      </c>
      <c r="E384">
        <v>3188000000</v>
      </c>
      <c r="F384">
        <v>0</v>
      </c>
      <c r="H384" s="66" t="str">
        <f>IF(LEFT(A384,6)="CEPNTR","GPINS",VLOOKUP(LEFT(A384,6),'Code Library'!$A$3:$B$920,2,0))&amp;"_"&amp;RIGHT(A384,3)</f>
        <v>CCBKA__IDR</v>
      </c>
      <c r="I384" s="66" t="str">
        <f t="shared" si="35"/>
        <v>CCBKA__IDR</v>
      </c>
      <c r="K384" s="66" t="str">
        <f t="shared" si="36"/>
        <v>IF</v>
      </c>
      <c r="L384" s="66" t="str">
        <f t="shared" si="37"/>
        <v>2023</v>
      </c>
      <c r="M384" s="66" t="str">
        <f t="shared" si="38"/>
        <v>NO</v>
      </c>
      <c r="N384" s="66" t="str">
        <f t="shared" si="39"/>
        <v>IDR</v>
      </c>
      <c r="O384" s="66" t="str">
        <f t="shared" si="40"/>
        <v>L</v>
      </c>
      <c r="P384" s="66" t="str">
        <f t="shared" si="41"/>
        <v>NK</v>
      </c>
    </row>
    <row r="385" spans="1:16">
      <c r="A385" t="s">
        <v>1851</v>
      </c>
      <c r="B385" t="s">
        <v>2463</v>
      </c>
      <c r="C385">
        <v>17402</v>
      </c>
      <c r="D385">
        <v>107203424414</v>
      </c>
      <c r="E385">
        <v>1216039717500</v>
      </c>
      <c r="F385">
        <v>0</v>
      </c>
      <c r="H385" s="66" t="str">
        <f>IF(LEFT(A385,6)="CEPNTR","GPINS",VLOOKUP(LEFT(A385,6),'Code Library'!$A$3:$B$920,2,0))&amp;"_"&amp;RIGHT(A385,3)</f>
        <v>CCPBMT_IDR</v>
      </c>
      <c r="I385" s="66" t="str">
        <f t="shared" si="35"/>
        <v>CCPBMT_IDR</v>
      </c>
      <c r="K385" s="66" t="str">
        <f t="shared" si="36"/>
        <v>IF</v>
      </c>
      <c r="L385" s="66" t="str">
        <f t="shared" si="37"/>
        <v>2024</v>
      </c>
      <c r="M385" s="66" t="str">
        <f t="shared" si="38"/>
        <v>NO</v>
      </c>
      <c r="N385" s="66" t="str">
        <f t="shared" si="39"/>
        <v>IDR</v>
      </c>
      <c r="O385" s="66" t="str">
        <f t="shared" si="40"/>
        <v>L</v>
      </c>
      <c r="P385" s="66" t="str">
        <f t="shared" si="41"/>
        <v>NK</v>
      </c>
    </row>
    <row r="386" spans="1:16">
      <c r="A386" t="s">
        <v>1839</v>
      </c>
      <c r="B386" t="s">
        <v>2464</v>
      </c>
      <c r="C386">
        <v>2194</v>
      </c>
      <c r="D386">
        <v>8298047066</v>
      </c>
      <c r="E386">
        <v>394348744000</v>
      </c>
      <c r="F386">
        <v>0</v>
      </c>
      <c r="H386" s="66" t="str">
        <f>IF(LEFT(A386,6)="CEPNTR","GPINS",VLOOKUP(LEFT(A386,6),'Code Library'!$A$3:$B$920,2,0))&amp;"_"&amp;RIGHT(A386,3)</f>
        <v>CCWSA__IDR</v>
      </c>
      <c r="I386" s="66" t="str">
        <f t="shared" si="35"/>
        <v>CCWSA__IDR</v>
      </c>
      <c r="K386" s="66" t="str">
        <f t="shared" si="36"/>
        <v>IF</v>
      </c>
      <c r="L386" s="66" t="str">
        <f t="shared" si="37"/>
        <v>2024</v>
      </c>
      <c r="M386" s="66" t="str">
        <f t="shared" si="38"/>
        <v>NO</v>
      </c>
      <c r="N386" s="66" t="str">
        <f t="shared" si="39"/>
        <v>IDR</v>
      </c>
      <c r="O386" s="66" t="str">
        <f t="shared" si="40"/>
        <v>L</v>
      </c>
      <c r="P386" s="66" t="str">
        <f t="shared" si="41"/>
        <v>NK</v>
      </c>
    </row>
    <row r="387" spans="1:16">
      <c r="A387" t="s">
        <v>1858</v>
      </c>
      <c r="B387" t="s">
        <v>2465</v>
      </c>
      <c r="C387">
        <v>66</v>
      </c>
      <c r="D387">
        <v>84725750</v>
      </c>
      <c r="E387">
        <v>8478000000</v>
      </c>
      <c r="F387">
        <v>0</v>
      </c>
      <c r="H387" s="66" t="str">
        <f>IF(LEFT(A387,6)="CEPNTR","GPINS",VLOOKUP(LEFT(A387,6),'Code Library'!$A$3:$B$920,2,0))&amp;"_"&amp;RIGHT(A387,3)</f>
        <v>CCBKA__IDR</v>
      </c>
      <c r="I387" s="66" t="str">
        <f t="shared" ref="I387:I450" si="42">A387</f>
        <v>CCBKA__IDR</v>
      </c>
      <c r="K387" s="66" t="str">
        <f t="shared" ref="K387:K450" si="43">RIGHT($B387,2)</f>
        <v>IF</v>
      </c>
      <c r="L387" s="66" t="str">
        <f t="shared" ref="L387:L450" si="44">LEFT(RIGHT($B387,7),4)</f>
        <v>2024</v>
      </c>
      <c r="M387" s="66" t="str">
        <f t="shared" ref="M387:M450" si="45">LEFT(RIGHT($B387,10),2)</f>
        <v>NO</v>
      </c>
      <c r="N387" s="66" t="str">
        <f t="shared" ref="N387:N450" si="46">LEFT(RIGHT($B387,14),3)</f>
        <v>IDR</v>
      </c>
      <c r="O387" s="66" t="str">
        <f t="shared" ref="O387:O450" si="47">LEFT(RIGHT($B387,16),1)</f>
        <v>L</v>
      </c>
      <c r="P387" s="66" t="str">
        <f t="shared" ref="P387:P450" si="48">LEFT(RIGHT($B387,19),2)</f>
        <v>NK</v>
      </c>
    </row>
    <row r="388" spans="1:16">
      <c r="A388" t="s">
        <v>1843</v>
      </c>
      <c r="B388" t="s">
        <v>2466</v>
      </c>
      <c r="C388">
        <v>4</v>
      </c>
      <c r="D388">
        <v>165607034</v>
      </c>
      <c r="E388">
        <v>916347500</v>
      </c>
      <c r="F388">
        <v>0</v>
      </c>
      <c r="H388" s="66" t="str">
        <f>IF(LEFT(A388,6)="CEPNTR","GPINS",VLOOKUP(LEFT(A388,6),'Code Library'!$A$3:$B$920,2,0))&amp;"_"&amp;RIGHT(A388,3)</f>
        <v>CCBKP__IDR</v>
      </c>
      <c r="I388" s="66" t="str">
        <f t="shared" si="42"/>
        <v>CCBKP__IDR</v>
      </c>
      <c r="K388" s="66" t="str">
        <f t="shared" si="43"/>
        <v>IF</v>
      </c>
      <c r="L388" s="66" t="str">
        <f t="shared" si="44"/>
        <v>2024</v>
      </c>
      <c r="M388" s="66" t="str">
        <f t="shared" si="45"/>
        <v>NO</v>
      </c>
      <c r="N388" s="66" t="str">
        <f t="shared" si="46"/>
        <v>IDR</v>
      </c>
      <c r="O388" s="66" t="str">
        <f t="shared" si="47"/>
        <v>L</v>
      </c>
      <c r="P388" s="66" t="str">
        <f t="shared" si="48"/>
        <v>NK</v>
      </c>
    </row>
    <row r="389" spans="1:16">
      <c r="A389" t="s">
        <v>1845</v>
      </c>
      <c r="B389" t="s">
        <v>2467</v>
      </c>
      <c r="C389">
        <v>29</v>
      </c>
      <c r="D389">
        <v>612099410</v>
      </c>
      <c r="E389">
        <v>2898300000</v>
      </c>
      <c r="F389">
        <v>0</v>
      </c>
      <c r="H389" s="66" t="str">
        <f>IF(LEFT(A389,6)="CEPNTR","GPINS",VLOOKUP(LEFT(A389,6),'Code Library'!$A$3:$B$920,2,0))&amp;"_"&amp;RIGHT(A389,3)</f>
        <v>CCBKR__IDR</v>
      </c>
      <c r="I389" s="66" t="str">
        <f t="shared" si="42"/>
        <v>CCBKR__IDR</v>
      </c>
      <c r="K389" s="66" t="str">
        <f t="shared" si="43"/>
        <v>IF</v>
      </c>
      <c r="L389" s="66" t="str">
        <f t="shared" si="44"/>
        <v>2024</v>
      </c>
      <c r="M389" s="66" t="str">
        <f t="shared" si="45"/>
        <v>NO</v>
      </c>
      <c r="N389" s="66" t="str">
        <f t="shared" si="46"/>
        <v>IDR</v>
      </c>
      <c r="O389" s="66" t="str">
        <f t="shared" si="47"/>
        <v>L</v>
      </c>
      <c r="P389" s="66" t="str">
        <f t="shared" si="48"/>
        <v>NK</v>
      </c>
    </row>
    <row r="390" spans="1:16">
      <c r="A390" t="s">
        <v>1848</v>
      </c>
      <c r="B390" t="s">
        <v>2307</v>
      </c>
      <c r="C390">
        <v>1</v>
      </c>
      <c r="D390">
        <v>123123123</v>
      </c>
      <c r="E390">
        <v>0</v>
      </c>
      <c r="F390">
        <v>0</v>
      </c>
      <c r="H390" s="66" t="str">
        <f>IF(LEFT(A390,6)="CEPNTR","GPINS",VLOOKUP(LEFT(A390,6),'Code Library'!$A$3:$B$920,2,0))&amp;"_"&amp;RIGHT(A390,3)</f>
        <v>CCBPCN_IDR</v>
      </c>
      <c r="I390" s="66" t="str">
        <f t="shared" si="42"/>
        <v>CCBPCN_IDR</v>
      </c>
      <c r="K390" s="66" t="str">
        <f t="shared" si="43"/>
        <v>IF</v>
      </c>
      <c r="L390" s="66" t="str">
        <f t="shared" si="44"/>
        <v>2014</v>
      </c>
      <c r="M390" s="66" t="str">
        <f t="shared" si="45"/>
        <v>NO</v>
      </c>
      <c r="N390" s="66" t="str">
        <f t="shared" si="46"/>
        <v>IDR</v>
      </c>
      <c r="O390" s="66" t="str">
        <f t="shared" si="47"/>
        <v>L</v>
      </c>
      <c r="P390" s="66" t="str">
        <f t="shared" si="48"/>
        <v>__</v>
      </c>
    </row>
    <row r="391" spans="1:16">
      <c r="A391" t="s">
        <v>2308</v>
      </c>
      <c r="B391" t="s">
        <v>2468</v>
      </c>
      <c r="C391">
        <v>4</v>
      </c>
      <c r="D391">
        <v>35582080</v>
      </c>
      <c r="E391">
        <v>358000000</v>
      </c>
      <c r="F391">
        <v>0</v>
      </c>
      <c r="H391" s="66" t="str">
        <f>IF(LEFT(A391,6)="CEPNTR","GPINS",VLOOKUP(LEFT(A391,6),'Code Library'!$A$3:$B$920,2,0))&amp;"_"&amp;RIGHT(A391,3)</f>
        <v>CCMTPC_IDR</v>
      </c>
      <c r="I391" s="66" t="str">
        <f t="shared" si="42"/>
        <v>CCMTPC_IDR</v>
      </c>
      <c r="K391" s="66" t="str">
        <f t="shared" si="43"/>
        <v>IF</v>
      </c>
      <c r="L391" s="66" t="str">
        <f t="shared" si="44"/>
        <v>2024</v>
      </c>
      <c r="M391" s="66" t="str">
        <f t="shared" si="45"/>
        <v>NO</v>
      </c>
      <c r="N391" s="66" t="str">
        <f t="shared" si="46"/>
        <v>IDR</v>
      </c>
      <c r="O391" s="66" t="str">
        <f t="shared" si="47"/>
        <v>L</v>
      </c>
      <c r="P391" s="66" t="str">
        <f t="shared" si="48"/>
        <v>NK</v>
      </c>
    </row>
    <row r="392" spans="1:16">
      <c r="A392" t="s">
        <v>2311</v>
      </c>
      <c r="B392" t="s">
        <v>2469</v>
      </c>
      <c r="C392">
        <v>10</v>
      </c>
      <c r="D392">
        <v>20791740.035349999</v>
      </c>
      <c r="E392">
        <v>1103000000</v>
      </c>
      <c r="F392">
        <v>0</v>
      </c>
      <c r="H392" s="66" t="str">
        <f>IF(LEFT(A392,6)="CEPNTR","GPINS",VLOOKUP(LEFT(A392,6),'Code Library'!$A$3:$B$920,2,0))&amp;"_"&amp;RIGHT(A392,3)</f>
        <v>CCMBSI_IDR</v>
      </c>
      <c r="I392" s="66" t="str">
        <f t="shared" si="42"/>
        <v>CCMBSI_IDR</v>
      </c>
      <c r="K392" s="66" t="str">
        <f t="shared" si="43"/>
        <v>IF</v>
      </c>
      <c r="L392" s="66" t="str">
        <f t="shared" si="44"/>
        <v>2024</v>
      </c>
      <c r="M392" s="66" t="str">
        <f t="shared" si="45"/>
        <v>SN</v>
      </c>
      <c r="N392" s="66" t="str">
        <f t="shared" si="46"/>
        <v>IDR</v>
      </c>
      <c r="O392" s="66" t="str">
        <f t="shared" si="47"/>
        <v>L</v>
      </c>
      <c r="P392" s="66" t="str">
        <f t="shared" si="48"/>
        <v>NK</v>
      </c>
    </row>
    <row r="393" spans="1:16">
      <c r="A393" t="s">
        <v>2312</v>
      </c>
      <c r="B393" t="s">
        <v>2470</v>
      </c>
      <c r="C393">
        <v>15</v>
      </c>
      <c r="D393">
        <v>354525871.29409999</v>
      </c>
      <c r="E393">
        <v>1598500000</v>
      </c>
      <c r="F393">
        <v>0</v>
      </c>
      <c r="H393" s="66" t="str">
        <f>IF(LEFT(A393,6)="CEPNTR","GPINS",VLOOKUP(LEFT(A393,6),'Code Library'!$A$3:$B$920,2,0))&amp;"_"&amp;RIGHT(A393,3)</f>
        <v>CCPBSI_IDR</v>
      </c>
      <c r="I393" s="66" t="str">
        <f t="shared" si="42"/>
        <v>CCPBSI_IDR</v>
      </c>
      <c r="K393" s="66" t="str">
        <f t="shared" si="43"/>
        <v>IF</v>
      </c>
      <c r="L393" s="66" t="str">
        <f t="shared" si="44"/>
        <v>2024</v>
      </c>
      <c r="M393" s="66" t="str">
        <f t="shared" si="45"/>
        <v>SN</v>
      </c>
      <c r="N393" s="66" t="str">
        <f t="shared" si="46"/>
        <v>IDR</v>
      </c>
      <c r="O393" s="66" t="str">
        <f t="shared" si="47"/>
        <v>L</v>
      </c>
      <c r="P393" s="66" t="str">
        <f t="shared" si="48"/>
        <v>NK</v>
      </c>
    </row>
    <row r="394" spans="1:16">
      <c r="A394" t="s">
        <v>1839</v>
      </c>
      <c r="B394" t="s">
        <v>2476</v>
      </c>
      <c r="C394">
        <v>341</v>
      </c>
      <c r="D394">
        <v>350589030.69599998</v>
      </c>
      <c r="E394">
        <v>20944754334</v>
      </c>
      <c r="F394">
        <v>0</v>
      </c>
      <c r="H394" s="66" t="str">
        <f>IF(LEFT(A394,6)="CEPNTR","GPINS",VLOOKUP(LEFT(A394,6),'Code Library'!$A$3:$B$920,2,0))&amp;"_"&amp;RIGHT(A394,3)</f>
        <v>CCWSA__IDR</v>
      </c>
      <c r="I394" s="66" t="str">
        <f t="shared" si="42"/>
        <v>CCWSA__IDR</v>
      </c>
      <c r="K394" s="66" t="str">
        <f t="shared" si="43"/>
        <v>Q1</v>
      </c>
      <c r="L394" s="66" t="str">
        <f t="shared" si="44"/>
        <v>2025</v>
      </c>
      <c r="M394" s="66" t="str">
        <f t="shared" si="45"/>
        <v>NO</v>
      </c>
      <c r="N394" s="66" t="str">
        <f t="shared" si="46"/>
        <v>IDR</v>
      </c>
      <c r="O394" s="66" t="str">
        <f t="shared" si="47"/>
        <v>L</v>
      </c>
      <c r="P394" s="66" t="str">
        <f t="shared" si="48"/>
        <v>NK</v>
      </c>
    </row>
    <row r="395" spans="1:16">
      <c r="A395" t="s">
        <v>1851</v>
      </c>
      <c r="B395" t="s">
        <v>2471</v>
      </c>
      <c r="C395">
        <v>15796</v>
      </c>
      <c r="D395">
        <v>84449790049.75</v>
      </c>
      <c r="E395">
        <v>487601947550</v>
      </c>
      <c r="F395">
        <v>0</v>
      </c>
      <c r="H395" s="66" t="str">
        <f>IF(LEFT(A395,6)="CEPNTR","GPINS",VLOOKUP(LEFT(A395,6),'Code Library'!$A$3:$B$920,2,0))&amp;"_"&amp;RIGHT(A395,3)</f>
        <v>CCPBMT_IDR</v>
      </c>
      <c r="I395" s="66" t="str">
        <f t="shared" si="42"/>
        <v>CCPBMT_IDR</v>
      </c>
      <c r="K395" s="66" t="str">
        <f t="shared" si="43"/>
        <v>Q1</v>
      </c>
      <c r="L395" s="66" t="str">
        <f t="shared" si="44"/>
        <v>2025</v>
      </c>
      <c r="M395" s="66" t="str">
        <f t="shared" si="45"/>
        <v>NO</v>
      </c>
      <c r="N395" s="66" t="str">
        <f t="shared" si="46"/>
        <v>IDR</v>
      </c>
      <c r="O395" s="66" t="str">
        <f t="shared" si="47"/>
        <v>L</v>
      </c>
      <c r="P395" s="66" t="str">
        <f t="shared" si="48"/>
        <v>NK</v>
      </c>
    </row>
    <row r="396" spans="1:16">
      <c r="A396" t="s">
        <v>1848</v>
      </c>
      <c r="B396" t="s">
        <v>2472</v>
      </c>
      <c r="C396">
        <v>8951</v>
      </c>
      <c r="D396">
        <v>106865209397.45599</v>
      </c>
      <c r="E396">
        <v>642482996730</v>
      </c>
      <c r="F396">
        <v>0</v>
      </c>
      <c r="H396" s="66" t="str">
        <f>IF(LEFT(A396,6)="CEPNTR","GPINS",VLOOKUP(LEFT(A396,6),'Code Library'!$A$3:$B$920,2,0))&amp;"_"&amp;RIGHT(A396,3)</f>
        <v>CCBPCN_IDR</v>
      </c>
      <c r="I396" s="66" t="str">
        <f t="shared" si="42"/>
        <v>CCBPCN_IDR</v>
      </c>
      <c r="K396" s="66" t="str">
        <f t="shared" si="43"/>
        <v>Q1</v>
      </c>
      <c r="L396" s="66" t="str">
        <f t="shared" si="44"/>
        <v>2025</v>
      </c>
      <c r="M396" s="66" t="str">
        <f t="shared" si="45"/>
        <v>NO</v>
      </c>
      <c r="N396" s="66" t="str">
        <f t="shared" si="46"/>
        <v>IDR</v>
      </c>
      <c r="O396" s="66" t="str">
        <f t="shared" si="47"/>
        <v>L</v>
      </c>
      <c r="P396" s="66" t="str">
        <f t="shared" si="48"/>
        <v>NK</v>
      </c>
    </row>
    <row r="397" spans="1:16">
      <c r="A397" t="s">
        <v>2339</v>
      </c>
      <c r="B397" t="s">
        <v>2473</v>
      </c>
      <c r="C397">
        <v>2</v>
      </c>
      <c r="D397">
        <v>12870300</v>
      </c>
      <c r="E397">
        <v>966000000</v>
      </c>
      <c r="F397">
        <v>0</v>
      </c>
      <c r="H397" s="66" t="str">
        <f>IF(LEFT(A397,6)="CEPNTR","GPINS",VLOOKUP(LEFT(A397,6),'Code Library'!$A$3:$B$920,2,0))&amp;"_"&amp;RIGHT(A397,3)</f>
        <v>CCMTA__IDR</v>
      </c>
      <c r="I397" s="66" t="str">
        <f t="shared" si="42"/>
        <v>CCMTA__IDR</v>
      </c>
      <c r="K397" s="66" t="str">
        <f t="shared" si="43"/>
        <v>IF</v>
      </c>
      <c r="L397" s="66" t="str">
        <f t="shared" si="44"/>
        <v>2024</v>
      </c>
      <c r="M397" s="66" t="str">
        <f t="shared" si="45"/>
        <v>NO</v>
      </c>
      <c r="N397" s="66" t="str">
        <f t="shared" si="46"/>
        <v>IDR</v>
      </c>
      <c r="O397" s="66" t="str">
        <f t="shared" si="47"/>
        <v>L</v>
      </c>
      <c r="P397" s="66" t="str">
        <f t="shared" si="48"/>
        <v>NK</v>
      </c>
    </row>
    <row r="398" spans="1:16">
      <c r="A398" t="s">
        <v>2339</v>
      </c>
      <c r="B398" t="s">
        <v>2474</v>
      </c>
      <c r="C398">
        <v>6</v>
      </c>
      <c r="D398">
        <v>15185700</v>
      </c>
      <c r="E398">
        <v>1700000000</v>
      </c>
      <c r="F398">
        <v>0</v>
      </c>
      <c r="H398" s="66" t="str">
        <f>IF(LEFT(A398,6)="CEPNTR","GPINS",VLOOKUP(LEFT(A398,6),'Code Library'!$A$3:$B$920,2,0))&amp;"_"&amp;RIGHT(A398,3)</f>
        <v>CCMTA__IDR</v>
      </c>
      <c r="I398" s="66" t="str">
        <f t="shared" si="42"/>
        <v>CCMTA__IDR</v>
      </c>
      <c r="K398" s="66" t="str">
        <f t="shared" si="43"/>
        <v>Q1</v>
      </c>
      <c r="L398" s="66" t="str">
        <f t="shared" si="44"/>
        <v>2025</v>
      </c>
      <c r="M398" s="66" t="str">
        <f t="shared" si="45"/>
        <v>NO</v>
      </c>
      <c r="N398" s="66" t="str">
        <f t="shared" si="46"/>
        <v>IDR</v>
      </c>
      <c r="O398" s="66" t="str">
        <f t="shared" si="47"/>
        <v>L</v>
      </c>
      <c r="P398" s="66" t="str">
        <f t="shared" si="48"/>
        <v>NK</v>
      </c>
    </row>
    <row r="399" spans="1:16">
      <c r="A399" t="s">
        <v>2312</v>
      </c>
      <c r="B399" t="s">
        <v>2475</v>
      </c>
      <c r="C399">
        <v>172</v>
      </c>
      <c r="D399">
        <v>3756634324.2285199</v>
      </c>
      <c r="E399">
        <v>18787000000</v>
      </c>
      <c r="F399">
        <v>0</v>
      </c>
      <c r="H399" s="66" t="str">
        <f>IF(LEFT(A399,6)="CEPNTR","GPINS",VLOOKUP(LEFT(A399,6),'Code Library'!$A$3:$B$920,2,0))&amp;"_"&amp;RIGHT(A399,3)</f>
        <v>CCPBSI_IDR</v>
      </c>
      <c r="I399" s="66" t="str">
        <f t="shared" si="42"/>
        <v>CCPBSI_IDR</v>
      </c>
      <c r="K399" s="66" t="str">
        <f t="shared" si="43"/>
        <v>Q1</v>
      </c>
      <c r="L399" s="66" t="str">
        <f t="shared" si="44"/>
        <v>2025</v>
      </c>
      <c r="M399" s="66" t="str">
        <f t="shared" si="45"/>
        <v>SN</v>
      </c>
      <c r="N399" s="66" t="str">
        <f t="shared" si="46"/>
        <v>IDR</v>
      </c>
      <c r="O399" s="66" t="str">
        <f t="shared" si="47"/>
        <v>L</v>
      </c>
      <c r="P399" s="66" t="str">
        <f t="shared" si="48"/>
        <v>NK</v>
      </c>
    </row>
    <row r="400" spans="1:16">
      <c r="A400" t="s">
        <v>1860</v>
      </c>
      <c r="B400" t="s">
        <v>1861</v>
      </c>
      <c r="C400">
        <v>4240</v>
      </c>
      <c r="D400">
        <v>0</v>
      </c>
      <c r="E400">
        <v>410442526498</v>
      </c>
      <c r="F400">
        <v>0</v>
      </c>
      <c r="H400" s="66" t="str">
        <f>IF(LEFT(A400,6)="CEPNTR","GPINS",VLOOKUP(LEFT(A400,6),'Code Library'!$A$3:$B$920,2,0))&amp;"_"&amp;RIGHT(A400,3)</f>
        <v>CCBPC3_IDR</v>
      </c>
      <c r="I400" s="66" t="str">
        <f t="shared" si="42"/>
        <v>CCBPC3_IDR</v>
      </c>
      <c r="K400" s="66" t="str">
        <f t="shared" si="43"/>
        <v>IF</v>
      </c>
      <c r="L400" s="66" t="str">
        <f t="shared" si="44"/>
        <v>2014</v>
      </c>
      <c r="M400" s="66" t="str">
        <f t="shared" si="45"/>
        <v>NO</v>
      </c>
      <c r="N400" s="66" t="str">
        <f t="shared" si="46"/>
        <v>IDR</v>
      </c>
      <c r="O400" s="66" t="str">
        <f t="shared" si="47"/>
        <v>L</v>
      </c>
      <c r="P400" s="66" t="str">
        <f t="shared" si="48"/>
        <v>NK</v>
      </c>
    </row>
    <row r="401" spans="1:16">
      <c r="A401" t="s">
        <v>1860</v>
      </c>
      <c r="B401" t="s">
        <v>1862</v>
      </c>
      <c r="C401">
        <v>9785</v>
      </c>
      <c r="D401">
        <v>0</v>
      </c>
      <c r="E401">
        <v>1085449832133</v>
      </c>
      <c r="F401">
        <v>0</v>
      </c>
      <c r="H401" s="66" t="str">
        <f>IF(LEFT(A401,6)="CEPNTR","GPINS",VLOOKUP(LEFT(A401,6),'Code Library'!$A$3:$B$920,2,0))&amp;"_"&amp;RIGHT(A401,3)</f>
        <v>CCBPC3_IDR</v>
      </c>
      <c r="I401" s="66" t="str">
        <f t="shared" si="42"/>
        <v>CCBPC3_IDR</v>
      </c>
      <c r="K401" s="66" t="str">
        <f t="shared" si="43"/>
        <v>IF</v>
      </c>
      <c r="L401" s="66" t="str">
        <f t="shared" si="44"/>
        <v>2015</v>
      </c>
      <c r="M401" s="66" t="str">
        <f t="shared" si="45"/>
        <v>NO</v>
      </c>
      <c r="N401" s="66" t="str">
        <f t="shared" si="46"/>
        <v>IDR</v>
      </c>
      <c r="O401" s="66" t="str">
        <f t="shared" si="47"/>
        <v>L</v>
      </c>
      <c r="P401" s="66" t="str">
        <f t="shared" si="48"/>
        <v>NK</v>
      </c>
    </row>
    <row r="402" spans="1:16">
      <c r="A402" t="s">
        <v>1860</v>
      </c>
      <c r="B402" t="s">
        <v>1863</v>
      </c>
      <c r="C402">
        <v>17415</v>
      </c>
      <c r="D402">
        <v>0</v>
      </c>
      <c r="E402">
        <v>2106843936432</v>
      </c>
      <c r="F402">
        <v>0</v>
      </c>
      <c r="H402" s="66" t="str">
        <f>IF(LEFT(A402,6)="CEPNTR","GPINS",VLOOKUP(LEFT(A402,6),'Code Library'!$A$3:$B$920,2,0))&amp;"_"&amp;RIGHT(A402,3)</f>
        <v>CCBPC3_IDR</v>
      </c>
      <c r="I402" s="66" t="str">
        <f t="shared" si="42"/>
        <v>CCBPC3_IDR</v>
      </c>
      <c r="K402" s="66" t="str">
        <f t="shared" si="43"/>
        <v>IF</v>
      </c>
      <c r="L402" s="66" t="str">
        <f t="shared" si="44"/>
        <v>2016</v>
      </c>
      <c r="M402" s="66" t="str">
        <f t="shared" si="45"/>
        <v>NO</v>
      </c>
      <c r="N402" s="66" t="str">
        <f t="shared" si="46"/>
        <v>IDR</v>
      </c>
      <c r="O402" s="66" t="str">
        <f t="shared" si="47"/>
        <v>L</v>
      </c>
      <c r="P402" s="66" t="str">
        <f t="shared" si="48"/>
        <v>NK</v>
      </c>
    </row>
    <row r="403" spans="1:16">
      <c r="A403" t="s">
        <v>1860</v>
      </c>
      <c r="B403" t="s">
        <v>1864</v>
      </c>
      <c r="C403">
        <v>22970</v>
      </c>
      <c r="D403">
        <v>0</v>
      </c>
      <c r="E403">
        <v>2955606508263</v>
      </c>
      <c r="F403">
        <v>0</v>
      </c>
      <c r="H403" s="66" t="str">
        <f>IF(LEFT(A403,6)="CEPNTR","GPINS",VLOOKUP(LEFT(A403,6),'Code Library'!$A$3:$B$920,2,0))&amp;"_"&amp;RIGHT(A403,3)</f>
        <v>CCBPC3_IDR</v>
      </c>
      <c r="I403" s="66" t="str">
        <f t="shared" si="42"/>
        <v>CCBPC3_IDR</v>
      </c>
      <c r="K403" s="66" t="str">
        <f t="shared" si="43"/>
        <v>IF</v>
      </c>
      <c r="L403" s="66" t="str">
        <f t="shared" si="44"/>
        <v>2017</v>
      </c>
      <c r="M403" s="66" t="str">
        <f t="shared" si="45"/>
        <v>NO</v>
      </c>
      <c r="N403" s="66" t="str">
        <f t="shared" si="46"/>
        <v>IDR</v>
      </c>
      <c r="O403" s="66" t="str">
        <f t="shared" si="47"/>
        <v>L</v>
      </c>
      <c r="P403" s="66" t="str">
        <f t="shared" si="48"/>
        <v>NK</v>
      </c>
    </row>
    <row r="404" spans="1:16">
      <c r="A404" t="s">
        <v>1860</v>
      </c>
      <c r="B404" t="s">
        <v>1865</v>
      </c>
      <c r="C404">
        <v>23974</v>
      </c>
      <c r="D404">
        <v>0</v>
      </c>
      <c r="E404">
        <v>3045185688897</v>
      </c>
      <c r="F404">
        <v>0</v>
      </c>
      <c r="H404" s="66" t="str">
        <f>IF(LEFT(A404,6)="CEPNTR","GPINS",VLOOKUP(LEFT(A404,6),'Code Library'!$A$3:$B$920,2,0))&amp;"_"&amp;RIGHT(A404,3)</f>
        <v>CCBPC3_IDR</v>
      </c>
      <c r="I404" s="66" t="str">
        <f t="shared" si="42"/>
        <v>CCBPC3_IDR</v>
      </c>
      <c r="K404" s="66" t="str">
        <f t="shared" si="43"/>
        <v>IF</v>
      </c>
      <c r="L404" s="66" t="str">
        <f t="shared" si="44"/>
        <v>2018</v>
      </c>
      <c r="M404" s="66" t="str">
        <f t="shared" si="45"/>
        <v>NO</v>
      </c>
      <c r="N404" s="66" t="str">
        <f t="shared" si="46"/>
        <v>IDR</v>
      </c>
      <c r="O404" s="66" t="str">
        <f t="shared" si="47"/>
        <v>L</v>
      </c>
      <c r="P404" s="66" t="str">
        <f t="shared" si="48"/>
        <v>NK</v>
      </c>
    </row>
    <row r="405" spans="1:16">
      <c r="A405" t="s">
        <v>1860</v>
      </c>
      <c r="B405" t="s">
        <v>1866</v>
      </c>
      <c r="C405">
        <v>25835</v>
      </c>
      <c r="D405">
        <v>0</v>
      </c>
      <c r="E405">
        <v>1592445131714</v>
      </c>
      <c r="F405">
        <v>0</v>
      </c>
      <c r="H405" s="66" t="str">
        <f>IF(LEFT(A405,6)="CEPNTR","GPINS",VLOOKUP(LEFT(A405,6),'Code Library'!$A$3:$B$920,2,0))&amp;"_"&amp;RIGHT(A405,3)</f>
        <v>CCBPC3_IDR</v>
      </c>
      <c r="I405" s="66" t="str">
        <f t="shared" si="42"/>
        <v>CCBPC3_IDR</v>
      </c>
      <c r="K405" s="66" t="str">
        <f t="shared" si="43"/>
        <v>IF</v>
      </c>
      <c r="L405" s="66" t="str">
        <f t="shared" si="44"/>
        <v>2019</v>
      </c>
      <c r="M405" s="66" t="str">
        <f t="shared" si="45"/>
        <v>NO</v>
      </c>
      <c r="N405" s="66" t="str">
        <f t="shared" si="46"/>
        <v>IDR</v>
      </c>
      <c r="O405" s="66" t="str">
        <f t="shared" si="47"/>
        <v>L</v>
      </c>
      <c r="P405" s="66" t="str">
        <f t="shared" si="48"/>
        <v>NK</v>
      </c>
    </row>
    <row r="406" spans="1:16">
      <c r="A406" t="s">
        <v>1860</v>
      </c>
      <c r="B406" t="s">
        <v>1867</v>
      </c>
      <c r="C406">
        <v>14916</v>
      </c>
      <c r="D406">
        <v>0</v>
      </c>
      <c r="E406">
        <v>1006794134368</v>
      </c>
      <c r="F406">
        <v>0</v>
      </c>
      <c r="H406" s="66" t="str">
        <f>IF(LEFT(A406,6)="CEPNTR","GPINS",VLOOKUP(LEFT(A406,6),'Code Library'!$A$3:$B$920,2,0))&amp;"_"&amp;RIGHT(A406,3)</f>
        <v>CCBPC3_IDR</v>
      </c>
      <c r="I406" s="66" t="str">
        <f t="shared" si="42"/>
        <v>CCBPC3_IDR</v>
      </c>
      <c r="K406" s="66" t="str">
        <f t="shared" si="43"/>
        <v>IF</v>
      </c>
      <c r="L406" s="66" t="str">
        <f t="shared" si="44"/>
        <v>2020</v>
      </c>
      <c r="M406" s="66" t="str">
        <f t="shared" si="45"/>
        <v>NO</v>
      </c>
      <c r="N406" s="66" t="str">
        <f t="shared" si="46"/>
        <v>IDR</v>
      </c>
      <c r="O406" s="66" t="str">
        <f t="shared" si="47"/>
        <v>L</v>
      </c>
      <c r="P406" s="66" t="str">
        <f t="shared" si="48"/>
        <v>NK</v>
      </c>
    </row>
    <row r="407" spans="1:16">
      <c r="A407" t="s">
        <v>1860</v>
      </c>
      <c r="B407" t="s">
        <v>1868</v>
      </c>
      <c r="C407">
        <v>11738</v>
      </c>
      <c r="D407">
        <v>0</v>
      </c>
      <c r="E407">
        <v>801501240936</v>
      </c>
      <c r="F407">
        <v>0</v>
      </c>
      <c r="H407" s="66" t="str">
        <f>IF(LEFT(A407,6)="CEPNTR","GPINS",VLOOKUP(LEFT(A407,6),'Code Library'!$A$3:$B$920,2,0))&amp;"_"&amp;RIGHT(A407,3)</f>
        <v>CCBPC3_IDR</v>
      </c>
      <c r="I407" s="66" t="str">
        <f t="shared" si="42"/>
        <v>CCBPC3_IDR</v>
      </c>
      <c r="K407" s="66" t="str">
        <f t="shared" si="43"/>
        <v>IF</v>
      </c>
      <c r="L407" s="66" t="str">
        <f t="shared" si="44"/>
        <v>2021</v>
      </c>
      <c r="M407" s="66" t="str">
        <f t="shared" si="45"/>
        <v>NO</v>
      </c>
      <c r="N407" s="66" t="str">
        <f t="shared" si="46"/>
        <v>IDR</v>
      </c>
      <c r="O407" s="66" t="str">
        <f t="shared" si="47"/>
        <v>L</v>
      </c>
      <c r="P407" s="66" t="str">
        <f t="shared" si="48"/>
        <v>NK</v>
      </c>
    </row>
    <row r="408" spans="1:16">
      <c r="A408" t="s">
        <v>1860</v>
      </c>
      <c r="B408" t="s">
        <v>1869</v>
      </c>
      <c r="C408">
        <v>7476</v>
      </c>
      <c r="D408">
        <v>0</v>
      </c>
      <c r="E408">
        <v>526489518080</v>
      </c>
      <c r="F408">
        <v>0</v>
      </c>
      <c r="H408" s="66" t="str">
        <f>IF(LEFT(A408,6)="CEPNTR","GPINS",VLOOKUP(LEFT(A408,6),'Code Library'!$A$3:$B$920,2,0))&amp;"_"&amp;RIGHT(A408,3)</f>
        <v>CCBPC3_IDR</v>
      </c>
      <c r="I408" s="66" t="str">
        <f t="shared" si="42"/>
        <v>CCBPC3_IDR</v>
      </c>
      <c r="K408" s="66" t="str">
        <f t="shared" si="43"/>
        <v>IF</v>
      </c>
      <c r="L408" s="66" t="str">
        <f t="shared" si="44"/>
        <v>2022</v>
      </c>
      <c r="M408" s="66" t="str">
        <f t="shared" si="45"/>
        <v>NO</v>
      </c>
      <c r="N408" s="66" t="str">
        <f t="shared" si="46"/>
        <v>IDR</v>
      </c>
      <c r="O408" s="66" t="str">
        <f t="shared" si="47"/>
        <v>L</v>
      </c>
      <c r="P408" s="66" t="str">
        <f t="shared" si="48"/>
        <v>NK</v>
      </c>
    </row>
    <row r="409" spans="1:16">
      <c r="A409" t="s">
        <v>2302</v>
      </c>
      <c r="B409" t="s">
        <v>2477</v>
      </c>
      <c r="C409">
        <v>873</v>
      </c>
      <c r="D409">
        <v>10185152000</v>
      </c>
      <c r="E409">
        <v>21825000000</v>
      </c>
      <c r="F409">
        <v>0</v>
      </c>
      <c r="H409" s="66" t="str">
        <f>IF(LEFT(A409,6)="CEPNTR","GPINS",VLOOKUP(LEFT(A409,6),'Code Library'!$A$3:$B$920,2,0))&amp;"_"&amp;RIGHT(A409,3)</f>
        <v>CASFM__IDR</v>
      </c>
      <c r="I409" s="66" t="str">
        <f t="shared" si="42"/>
        <v>CASFM__IDR</v>
      </c>
      <c r="K409" s="66" t="str">
        <f t="shared" si="43"/>
        <v>IF</v>
      </c>
      <c r="L409" s="66" t="str">
        <f t="shared" si="44"/>
        <v>2024</v>
      </c>
      <c r="M409" s="66" t="str">
        <f t="shared" si="45"/>
        <v>SN</v>
      </c>
      <c r="N409" s="66" t="str">
        <f t="shared" si="46"/>
        <v>IDR</v>
      </c>
      <c r="O409" s="66" t="str">
        <f t="shared" si="47"/>
        <v>H</v>
      </c>
      <c r="P409" s="66" t="str">
        <f t="shared" si="48"/>
        <v>AG</v>
      </c>
    </row>
    <row r="410" spans="1:16">
      <c r="A410" t="s">
        <v>2302</v>
      </c>
      <c r="B410" t="s">
        <v>2478</v>
      </c>
      <c r="C410">
        <v>188</v>
      </c>
      <c r="D410">
        <v>2139167000</v>
      </c>
      <c r="E410">
        <v>4700000000</v>
      </c>
      <c r="F410">
        <v>0</v>
      </c>
      <c r="H410" s="66" t="str">
        <f>IF(LEFT(A410,6)="CEPNTR","GPINS",VLOOKUP(LEFT(A410,6),'Code Library'!$A$3:$B$920,2,0))&amp;"_"&amp;RIGHT(A410,3)</f>
        <v>CASFM__IDR</v>
      </c>
      <c r="I410" s="66" t="str">
        <f t="shared" si="42"/>
        <v>CASFM__IDR</v>
      </c>
      <c r="K410" s="66" t="str">
        <f t="shared" si="43"/>
        <v>IF</v>
      </c>
      <c r="L410" s="66" t="str">
        <f t="shared" si="44"/>
        <v>2024</v>
      </c>
      <c r="M410" s="66" t="str">
        <f t="shared" si="45"/>
        <v>SN</v>
      </c>
      <c r="N410" s="66" t="str">
        <f t="shared" si="46"/>
        <v>IDR</v>
      </c>
      <c r="O410" s="66" t="str">
        <f t="shared" si="47"/>
        <v>H</v>
      </c>
      <c r="P410" s="66" t="str">
        <f t="shared" si="48"/>
        <v>AG</v>
      </c>
    </row>
    <row r="411" spans="1:16">
      <c r="A411" t="s">
        <v>2302</v>
      </c>
      <c r="B411" t="s">
        <v>2481</v>
      </c>
      <c r="C411">
        <v>805</v>
      </c>
      <c r="D411">
        <v>8705971000</v>
      </c>
      <c r="E411">
        <v>20125000000</v>
      </c>
      <c r="F411">
        <v>0</v>
      </c>
      <c r="H411" s="66" t="str">
        <f>IF(LEFT(A411,6)="CEPNTR","GPINS",VLOOKUP(LEFT(A411,6),'Code Library'!$A$3:$B$920,2,0))&amp;"_"&amp;RIGHT(A411,3)</f>
        <v>CASFM__IDR</v>
      </c>
      <c r="I411" s="66" t="str">
        <f t="shared" si="42"/>
        <v>CASFM__IDR</v>
      </c>
      <c r="K411" s="66" t="str">
        <f t="shared" si="43"/>
        <v>Q1</v>
      </c>
      <c r="L411" s="66" t="str">
        <f t="shared" si="44"/>
        <v>2025</v>
      </c>
      <c r="M411" s="66" t="str">
        <f t="shared" si="45"/>
        <v>SN</v>
      </c>
      <c r="N411" s="66" t="str">
        <f t="shared" si="46"/>
        <v>IDR</v>
      </c>
      <c r="O411" s="66" t="str">
        <f t="shared" si="47"/>
        <v>H</v>
      </c>
      <c r="P411" s="66" t="str">
        <f t="shared" si="48"/>
        <v>AG</v>
      </c>
    </row>
    <row r="412" spans="1:16">
      <c r="A412" t="s">
        <v>2302</v>
      </c>
      <c r="B412" t="s">
        <v>2479</v>
      </c>
      <c r="C412">
        <v>100</v>
      </c>
      <c r="D412">
        <v>984599000</v>
      </c>
      <c r="E412">
        <v>2500000000</v>
      </c>
      <c r="F412">
        <v>0</v>
      </c>
      <c r="H412" s="66" t="str">
        <f>IF(LEFT(A412,6)="CEPNTR","GPINS",VLOOKUP(LEFT(A412,6),'Code Library'!$A$3:$B$920,2,0))&amp;"_"&amp;RIGHT(A412,3)</f>
        <v>CASFM__IDR</v>
      </c>
      <c r="I412" s="66" t="str">
        <f t="shared" si="42"/>
        <v>CASFM__IDR</v>
      </c>
      <c r="K412" s="66" t="str">
        <f t="shared" si="43"/>
        <v>Q1</v>
      </c>
      <c r="L412" s="66" t="str">
        <f t="shared" si="44"/>
        <v>2025</v>
      </c>
      <c r="M412" s="66" t="str">
        <f t="shared" si="45"/>
        <v>SN</v>
      </c>
      <c r="N412" s="66" t="str">
        <f t="shared" si="46"/>
        <v>IDR</v>
      </c>
      <c r="O412" s="66" t="str">
        <f t="shared" si="47"/>
        <v>H</v>
      </c>
      <c r="P412" s="66" t="str">
        <f t="shared" si="48"/>
        <v>AG</v>
      </c>
    </row>
    <row r="413" spans="1:16">
      <c r="A413" t="s">
        <v>2302</v>
      </c>
      <c r="B413" t="s">
        <v>2480</v>
      </c>
      <c r="C413">
        <v>162</v>
      </c>
      <c r="D413">
        <v>1718834000</v>
      </c>
      <c r="E413">
        <v>4050000000</v>
      </c>
      <c r="F413">
        <v>0</v>
      </c>
      <c r="H413" s="66" t="str">
        <f>IF(LEFT(A413,6)="CEPNTR","GPINS",VLOOKUP(LEFT(A413,6),'Code Library'!$A$3:$B$920,2,0))&amp;"_"&amp;RIGHT(A413,3)</f>
        <v>CASFM__IDR</v>
      </c>
      <c r="I413" s="66" t="str">
        <f t="shared" si="42"/>
        <v>CASFM__IDR</v>
      </c>
      <c r="K413" s="66" t="str">
        <f t="shared" si="43"/>
        <v>Q1</v>
      </c>
      <c r="L413" s="66" t="str">
        <f t="shared" si="44"/>
        <v>2025</v>
      </c>
      <c r="M413" s="66" t="str">
        <f t="shared" si="45"/>
        <v>SN</v>
      </c>
      <c r="N413" s="66" t="str">
        <f t="shared" si="46"/>
        <v>IDR</v>
      </c>
      <c r="O413" s="66" t="str">
        <f t="shared" si="47"/>
        <v>H</v>
      </c>
      <c r="P413" s="66" t="str">
        <f t="shared" si="48"/>
        <v>AG</v>
      </c>
    </row>
    <row r="414" spans="1:16">
      <c r="A414" t="s">
        <v>2301</v>
      </c>
      <c r="B414" t="s">
        <v>2482</v>
      </c>
      <c r="C414">
        <v>4238</v>
      </c>
      <c r="D414">
        <v>55278971000</v>
      </c>
      <c r="E414">
        <v>105950000000</v>
      </c>
      <c r="F414">
        <v>0</v>
      </c>
      <c r="H414" s="66" t="str">
        <f>IF(LEFT(A414,6)="CEPNTR","GPINS",VLOOKUP(LEFT(A414,6),'Code Library'!$A$3:$B$920,2,0))&amp;"_"&amp;RIGHT(A414,3)</f>
        <v>CALFM__IDR</v>
      </c>
      <c r="I414" s="66" t="str">
        <f t="shared" si="42"/>
        <v>CALFM__IDR</v>
      </c>
      <c r="K414" s="66" t="str">
        <f t="shared" si="43"/>
        <v>IF</v>
      </c>
      <c r="L414" s="66" t="str">
        <f t="shared" si="44"/>
        <v>2024</v>
      </c>
      <c r="M414" s="66" t="str">
        <f t="shared" si="45"/>
        <v>NO</v>
      </c>
      <c r="N414" s="66" t="str">
        <f t="shared" si="46"/>
        <v>IDR</v>
      </c>
      <c r="O414" s="66" t="str">
        <f t="shared" si="47"/>
        <v>H</v>
      </c>
      <c r="P414" s="66" t="str">
        <f t="shared" si="48"/>
        <v>AG</v>
      </c>
    </row>
    <row r="415" spans="1:16">
      <c r="A415" t="s">
        <v>2301</v>
      </c>
      <c r="B415" t="s">
        <v>2483</v>
      </c>
      <c r="C415">
        <v>269</v>
      </c>
      <c r="D415">
        <v>3449332000</v>
      </c>
      <c r="E415">
        <v>6725000000</v>
      </c>
      <c r="F415">
        <v>0</v>
      </c>
      <c r="H415" s="66" t="str">
        <f>IF(LEFT(A415,6)="CEPNTR","GPINS",VLOOKUP(LEFT(A415,6),'Code Library'!$A$3:$B$920,2,0))&amp;"_"&amp;RIGHT(A415,3)</f>
        <v>CALFM__IDR</v>
      </c>
      <c r="I415" s="66" t="str">
        <f t="shared" si="42"/>
        <v>CALFM__IDR</v>
      </c>
      <c r="K415" s="66" t="str">
        <f t="shared" si="43"/>
        <v>IF</v>
      </c>
      <c r="L415" s="66" t="str">
        <f t="shared" si="44"/>
        <v>2024</v>
      </c>
      <c r="M415" s="66" t="str">
        <f t="shared" si="45"/>
        <v>NO</v>
      </c>
      <c r="N415" s="66" t="str">
        <f t="shared" si="46"/>
        <v>IDR</v>
      </c>
      <c r="O415" s="66" t="str">
        <f t="shared" si="47"/>
        <v>H</v>
      </c>
      <c r="P415" s="66" t="str">
        <f t="shared" si="48"/>
        <v>AG</v>
      </c>
    </row>
    <row r="416" spans="1:16">
      <c r="A416" t="s">
        <v>2301</v>
      </c>
      <c r="B416" t="s">
        <v>2484</v>
      </c>
      <c r="C416">
        <v>1545</v>
      </c>
      <c r="D416">
        <v>18016820000</v>
      </c>
      <c r="E416">
        <v>38625000000</v>
      </c>
      <c r="F416">
        <v>0</v>
      </c>
      <c r="H416" s="66" t="str">
        <f>IF(LEFT(A416,6)="CEPNTR","GPINS",VLOOKUP(LEFT(A416,6),'Code Library'!$A$3:$B$920,2,0))&amp;"_"&amp;RIGHT(A416,3)</f>
        <v>CALFM__IDR</v>
      </c>
      <c r="I416" s="66" t="str">
        <f t="shared" si="42"/>
        <v>CALFM__IDR</v>
      </c>
      <c r="K416" s="66" t="str">
        <f t="shared" si="43"/>
        <v>IF</v>
      </c>
      <c r="L416" s="66" t="str">
        <f t="shared" si="44"/>
        <v>2024</v>
      </c>
      <c r="M416" s="66" t="str">
        <f t="shared" si="45"/>
        <v>NO</v>
      </c>
      <c r="N416" s="66" t="str">
        <f t="shared" si="46"/>
        <v>IDR</v>
      </c>
      <c r="O416" s="66" t="str">
        <f t="shared" si="47"/>
        <v>H</v>
      </c>
      <c r="P416" s="66" t="str">
        <f t="shared" si="48"/>
        <v>AG</v>
      </c>
    </row>
    <row r="417" spans="1:16">
      <c r="A417" t="s">
        <v>2301</v>
      </c>
      <c r="B417" t="s">
        <v>2485</v>
      </c>
      <c r="C417">
        <v>3569</v>
      </c>
      <c r="D417">
        <v>41436629000</v>
      </c>
      <c r="E417">
        <v>89225000000</v>
      </c>
      <c r="F417">
        <v>0</v>
      </c>
      <c r="H417" s="66" t="str">
        <f>IF(LEFT(A417,6)="CEPNTR","GPINS",VLOOKUP(LEFT(A417,6),'Code Library'!$A$3:$B$920,2,0))&amp;"_"&amp;RIGHT(A417,3)</f>
        <v>CALFM__IDR</v>
      </c>
      <c r="I417" s="66" t="str">
        <f t="shared" si="42"/>
        <v>CALFM__IDR</v>
      </c>
      <c r="K417" s="66" t="str">
        <f t="shared" si="43"/>
        <v>Q1</v>
      </c>
      <c r="L417" s="66" t="str">
        <f t="shared" si="44"/>
        <v>2025</v>
      </c>
      <c r="M417" s="66" t="str">
        <f t="shared" si="45"/>
        <v>NO</v>
      </c>
      <c r="N417" s="66" t="str">
        <f t="shared" si="46"/>
        <v>IDR</v>
      </c>
      <c r="O417" s="66" t="str">
        <f t="shared" si="47"/>
        <v>H</v>
      </c>
      <c r="P417" s="66" t="str">
        <f t="shared" si="48"/>
        <v>AG</v>
      </c>
    </row>
    <row r="418" spans="1:16">
      <c r="A418" t="s">
        <v>2301</v>
      </c>
      <c r="B418" t="s">
        <v>2486</v>
      </c>
      <c r="C418">
        <v>1605</v>
      </c>
      <c r="D418">
        <v>17717653000</v>
      </c>
      <c r="E418">
        <v>40125000000</v>
      </c>
      <c r="F418">
        <v>0</v>
      </c>
      <c r="H418" s="66" t="str">
        <f>IF(LEFT(A418,6)="CEPNTR","GPINS",VLOOKUP(LEFT(A418,6),'Code Library'!$A$3:$B$920,2,0))&amp;"_"&amp;RIGHT(A418,3)</f>
        <v>CALFM__IDR</v>
      </c>
      <c r="I418" s="66" t="str">
        <f t="shared" si="42"/>
        <v>CALFM__IDR</v>
      </c>
      <c r="K418" s="66" t="str">
        <f t="shared" si="43"/>
        <v>Q1</v>
      </c>
      <c r="L418" s="66" t="str">
        <f t="shared" si="44"/>
        <v>2025</v>
      </c>
      <c r="M418" s="66" t="str">
        <f t="shared" si="45"/>
        <v>NO</v>
      </c>
      <c r="N418" s="66" t="str">
        <f t="shared" si="46"/>
        <v>IDR</v>
      </c>
      <c r="O418" s="66" t="str">
        <f t="shared" si="47"/>
        <v>H</v>
      </c>
      <c r="P418" s="66" t="str">
        <f t="shared" si="48"/>
        <v>AG</v>
      </c>
    </row>
    <row r="419" spans="1:16">
      <c r="A419" t="s">
        <v>2301</v>
      </c>
      <c r="B419" t="s">
        <v>2487</v>
      </c>
      <c r="C419">
        <v>331</v>
      </c>
      <c r="D419">
        <v>3786976000</v>
      </c>
      <c r="E419">
        <v>8275000000</v>
      </c>
      <c r="F419">
        <v>0</v>
      </c>
      <c r="H419" s="66" t="str">
        <f>IF(LEFT(A419,6)="CEPNTR","GPINS",VLOOKUP(LEFT(A419,6),'Code Library'!$A$3:$B$920,2,0))&amp;"_"&amp;RIGHT(A419,3)</f>
        <v>CALFM__IDR</v>
      </c>
      <c r="I419" s="66" t="str">
        <f t="shared" si="42"/>
        <v>CALFM__IDR</v>
      </c>
      <c r="K419" s="66" t="str">
        <f t="shared" si="43"/>
        <v>Q1</v>
      </c>
      <c r="L419" s="66" t="str">
        <f t="shared" si="44"/>
        <v>2025</v>
      </c>
      <c r="M419" s="66" t="str">
        <f t="shared" si="45"/>
        <v>NO</v>
      </c>
      <c r="N419" s="66" t="str">
        <f t="shared" si="46"/>
        <v>IDR</v>
      </c>
      <c r="O419" s="66" t="str">
        <f t="shared" si="47"/>
        <v>H</v>
      </c>
      <c r="P419" s="66" t="str">
        <f t="shared" si="48"/>
        <v>AG</v>
      </c>
    </row>
    <row r="420" spans="1:16">
      <c r="A420" t="s">
        <v>2302</v>
      </c>
      <c r="B420" t="s">
        <v>2488</v>
      </c>
      <c r="C420">
        <v>84</v>
      </c>
      <c r="D420">
        <v>874140000</v>
      </c>
      <c r="E420">
        <v>2100000000</v>
      </c>
      <c r="F420">
        <v>0</v>
      </c>
      <c r="H420" s="66" t="str">
        <f>IF(LEFT(A420,6)="CEPNTR","GPINS",VLOOKUP(LEFT(A420,6),'Code Library'!$A$3:$B$920,2,0))&amp;"_"&amp;RIGHT(A420,3)</f>
        <v>CASFM__IDR</v>
      </c>
      <c r="I420" s="66" t="str">
        <f t="shared" si="42"/>
        <v>CASFM__IDR</v>
      </c>
      <c r="K420" s="66" t="str">
        <f t="shared" si="43"/>
        <v>IF</v>
      </c>
      <c r="L420" s="66" t="str">
        <f t="shared" si="44"/>
        <v>2024</v>
      </c>
      <c r="M420" s="66" t="str">
        <f t="shared" si="45"/>
        <v>SN</v>
      </c>
      <c r="N420" s="66" t="str">
        <f t="shared" si="46"/>
        <v>IDR</v>
      </c>
      <c r="O420" s="66" t="str">
        <f t="shared" si="47"/>
        <v>H</v>
      </c>
      <c r="P420" s="66" t="str">
        <f t="shared" si="48"/>
        <v>AG</v>
      </c>
    </row>
    <row r="421" spans="1:16">
      <c r="A421" t="s">
        <v>1870</v>
      </c>
      <c r="B421" t="s">
        <v>2489</v>
      </c>
      <c r="C421">
        <v>2966</v>
      </c>
      <c r="D421">
        <v>33605970000</v>
      </c>
      <c r="E421">
        <v>0</v>
      </c>
      <c r="F421">
        <v>0</v>
      </c>
      <c r="H421" s="66" t="str">
        <f>IF(LEFT(A421,6)="CEPNTR","GPINS",VLOOKUP(LEFT(A421,6),'Code Library'!$A$3:$B$920,2,0))&amp;"_"&amp;RIGHT(A421,3)</f>
        <v>CSHCPP_IDR</v>
      </c>
      <c r="I421" s="66" t="str">
        <f t="shared" si="42"/>
        <v>CSHCPP_IDR</v>
      </c>
      <c r="K421" s="66" t="str">
        <f t="shared" si="43"/>
        <v>IF</v>
      </c>
      <c r="L421" s="66" t="str">
        <f t="shared" si="44"/>
        <v>2024</v>
      </c>
      <c r="M421" s="66" t="str">
        <f t="shared" si="45"/>
        <v>YR</v>
      </c>
      <c r="N421" s="66" t="str">
        <f t="shared" si="46"/>
        <v>IDR</v>
      </c>
      <c r="O421" s="66" t="str">
        <f t="shared" si="47"/>
        <v>H</v>
      </c>
      <c r="P421" s="66" t="str">
        <f t="shared" si="48"/>
        <v>AG</v>
      </c>
    </row>
    <row r="422" spans="1:16">
      <c r="A422" t="s">
        <v>1870</v>
      </c>
      <c r="B422" t="s">
        <v>2490</v>
      </c>
      <c r="C422">
        <v>1050</v>
      </c>
      <c r="D422">
        <v>11777756100</v>
      </c>
      <c r="E422">
        <v>0</v>
      </c>
      <c r="F422">
        <v>0</v>
      </c>
      <c r="H422" s="66" t="str">
        <f>IF(LEFT(A422,6)="CEPNTR","GPINS",VLOOKUP(LEFT(A422,6),'Code Library'!$A$3:$B$920,2,0))&amp;"_"&amp;RIGHT(A422,3)</f>
        <v>CSHCPP_IDR</v>
      </c>
      <c r="I422" s="66" t="str">
        <f t="shared" si="42"/>
        <v>CSHCPP_IDR</v>
      </c>
      <c r="K422" s="66" t="str">
        <f t="shared" si="43"/>
        <v>IF</v>
      </c>
      <c r="L422" s="66" t="str">
        <f t="shared" si="44"/>
        <v>2024</v>
      </c>
      <c r="M422" s="66" t="str">
        <f t="shared" si="45"/>
        <v>YR</v>
      </c>
      <c r="N422" s="66" t="str">
        <f t="shared" si="46"/>
        <v>IDR</v>
      </c>
      <c r="O422" s="66" t="str">
        <f t="shared" si="47"/>
        <v>H</v>
      </c>
      <c r="P422" s="66" t="str">
        <f t="shared" si="48"/>
        <v>AG</v>
      </c>
    </row>
    <row r="423" spans="1:16">
      <c r="A423" t="s">
        <v>1870</v>
      </c>
      <c r="B423" t="s">
        <v>2491</v>
      </c>
      <c r="C423">
        <v>2485</v>
      </c>
      <c r="D423">
        <v>27598834600</v>
      </c>
      <c r="E423">
        <v>0</v>
      </c>
      <c r="F423">
        <v>0</v>
      </c>
      <c r="H423" s="66" t="str">
        <f>IF(LEFT(A423,6)="CEPNTR","GPINS",VLOOKUP(LEFT(A423,6),'Code Library'!$A$3:$B$920,2,0))&amp;"_"&amp;RIGHT(A423,3)</f>
        <v>CSHCPP_IDR</v>
      </c>
      <c r="I423" s="66" t="str">
        <f t="shared" si="42"/>
        <v>CSHCPP_IDR</v>
      </c>
      <c r="K423" s="66" t="str">
        <f t="shared" si="43"/>
        <v>IF</v>
      </c>
      <c r="L423" s="66" t="str">
        <f t="shared" si="44"/>
        <v>2024</v>
      </c>
      <c r="M423" s="66" t="str">
        <f t="shared" si="45"/>
        <v>YR</v>
      </c>
      <c r="N423" s="66" t="str">
        <f t="shared" si="46"/>
        <v>IDR</v>
      </c>
      <c r="O423" s="66" t="str">
        <f t="shared" si="47"/>
        <v>H</v>
      </c>
      <c r="P423" s="66" t="str">
        <f t="shared" si="48"/>
        <v>AG</v>
      </c>
    </row>
    <row r="424" spans="1:16">
      <c r="A424" t="s">
        <v>1870</v>
      </c>
      <c r="B424" t="s">
        <v>2524</v>
      </c>
      <c r="C424">
        <v>32</v>
      </c>
      <c r="D424">
        <v>332403600</v>
      </c>
      <c r="E424">
        <v>0</v>
      </c>
      <c r="F424">
        <v>0</v>
      </c>
      <c r="H424" s="66" t="str">
        <f>IF(LEFT(A424,6)="CEPNTR","GPINS",VLOOKUP(LEFT(A424,6),'Code Library'!$A$3:$B$920,2,0))&amp;"_"&amp;RIGHT(A424,3)</f>
        <v>CSHCPP_IDR</v>
      </c>
      <c r="I424" s="66" t="str">
        <f t="shared" si="42"/>
        <v>CSHCPP_IDR</v>
      </c>
      <c r="K424" s="66" t="str">
        <f t="shared" si="43"/>
        <v>IF</v>
      </c>
      <c r="L424" s="66" t="str">
        <f t="shared" si="44"/>
        <v>2023</v>
      </c>
      <c r="M424" s="66" t="str">
        <f t="shared" si="45"/>
        <v>YR</v>
      </c>
      <c r="N424" s="66" t="str">
        <f t="shared" si="46"/>
        <v>IDR</v>
      </c>
      <c r="O424" s="66" t="str">
        <f t="shared" si="47"/>
        <v>H</v>
      </c>
      <c r="P424" s="66" t="str">
        <f t="shared" si="48"/>
        <v>AG</v>
      </c>
    </row>
    <row r="425" spans="1:16">
      <c r="A425" t="s">
        <v>1870</v>
      </c>
      <c r="B425" t="s">
        <v>2493</v>
      </c>
      <c r="C425">
        <v>659</v>
      </c>
      <c r="D425">
        <v>7945401000.1199999</v>
      </c>
      <c r="E425">
        <v>0</v>
      </c>
      <c r="F425">
        <v>0</v>
      </c>
      <c r="H425" s="66" t="str">
        <f>IF(LEFT(A425,6)="CEPNTR","GPINS",VLOOKUP(LEFT(A425,6),'Code Library'!$A$3:$B$920,2,0))&amp;"_"&amp;RIGHT(A425,3)</f>
        <v>CSHCPP_IDR</v>
      </c>
      <c r="I425" s="66" t="str">
        <f t="shared" si="42"/>
        <v>CSHCPP_IDR</v>
      </c>
      <c r="K425" s="66" t="str">
        <f t="shared" si="43"/>
        <v>Q1</v>
      </c>
      <c r="L425" s="66" t="str">
        <f t="shared" si="44"/>
        <v>2025</v>
      </c>
      <c r="M425" s="66" t="str">
        <f t="shared" si="45"/>
        <v>YR</v>
      </c>
      <c r="N425" s="66" t="str">
        <f t="shared" si="46"/>
        <v>IDR</v>
      </c>
      <c r="O425" s="66" t="str">
        <f t="shared" si="47"/>
        <v>H</v>
      </c>
      <c r="P425" s="66" t="str">
        <f t="shared" si="48"/>
        <v>AG</v>
      </c>
    </row>
    <row r="426" spans="1:16">
      <c r="A426" t="s">
        <v>1870</v>
      </c>
      <c r="B426" t="s">
        <v>2492</v>
      </c>
      <c r="C426">
        <v>407</v>
      </c>
      <c r="D426">
        <v>5017923800</v>
      </c>
      <c r="E426">
        <v>0</v>
      </c>
      <c r="F426">
        <v>0</v>
      </c>
      <c r="H426" s="66" t="str">
        <f>IF(LEFT(A426,6)="CEPNTR","GPINS",VLOOKUP(LEFT(A426,6),'Code Library'!$A$3:$B$920,2,0))&amp;"_"&amp;RIGHT(A426,3)</f>
        <v>CSHCPP_IDR</v>
      </c>
      <c r="I426" s="66" t="str">
        <f t="shared" si="42"/>
        <v>CSHCPP_IDR</v>
      </c>
      <c r="K426" s="66" t="str">
        <f t="shared" si="43"/>
        <v>Q1</v>
      </c>
      <c r="L426" s="66" t="str">
        <f t="shared" si="44"/>
        <v>2025</v>
      </c>
      <c r="M426" s="66" t="str">
        <f t="shared" si="45"/>
        <v>YR</v>
      </c>
      <c r="N426" s="66" t="str">
        <f t="shared" si="46"/>
        <v>IDR</v>
      </c>
      <c r="O426" s="66" t="str">
        <f t="shared" si="47"/>
        <v>H</v>
      </c>
      <c r="P426" s="66" t="str">
        <f t="shared" si="48"/>
        <v>AG</v>
      </c>
    </row>
    <row r="427" spans="1:16">
      <c r="A427" t="s">
        <v>1870</v>
      </c>
      <c r="B427" t="s">
        <v>2494</v>
      </c>
      <c r="C427">
        <v>199</v>
      </c>
      <c r="D427">
        <v>1967872050</v>
      </c>
      <c r="E427">
        <v>0</v>
      </c>
      <c r="F427">
        <v>0</v>
      </c>
      <c r="H427" s="66" t="str">
        <f>IF(LEFT(A427,6)="CEPNTR","GPINS",VLOOKUP(LEFT(A427,6),'Code Library'!$A$3:$B$920,2,0))&amp;"_"&amp;RIGHT(A427,3)</f>
        <v>CSHCPP_IDR</v>
      </c>
      <c r="I427" s="66" t="str">
        <f t="shared" si="42"/>
        <v>CSHCPP_IDR</v>
      </c>
      <c r="K427" s="66" t="str">
        <f t="shared" si="43"/>
        <v>Q1</v>
      </c>
      <c r="L427" s="66" t="str">
        <f t="shared" si="44"/>
        <v>2025</v>
      </c>
      <c r="M427" s="66" t="str">
        <f t="shared" si="45"/>
        <v>YR</v>
      </c>
      <c r="N427" s="66" t="str">
        <f t="shared" si="46"/>
        <v>IDR</v>
      </c>
      <c r="O427" s="66" t="str">
        <f t="shared" si="47"/>
        <v>H</v>
      </c>
      <c r="P427" s="66" t="str">
        <f t="shared" si="48"/>
        <v>AG</v>
      </c>
    </row>
    <row r="428" spans="1:16">
      <c r="A428" t="s">
        <v>1870</v>
      </c>
      <c r="B428" t="s">
        <v>2525</v>
      </c>
      <c r="C428">
        <v>109</v>
      </c>
      <c r="D428">
        <v>1211578200</v>
      </c>
      <c r="E428">
        <v>0</v>
      </c>
      <c r="F428">
        <v>0</v>
      </c>
      <c r="H428" s="66" t="str">
        <f>IF(LEFT(A428,6)="CEPNTR","GPINS",VLOOKUP(LEFT(A428,6),'Code Library'!$A$3:$B$920,2,0))&amp;"_"&amp;RIGHT(A428,3)</f>
        <v>CSHCPP_IDR</v>
      </c>
      <c r="I428" s="66" t="str">
        <f t="shared" si="42"/>
        <v>CSHCPP_IDR</v>
      </c>
      <c r="K428" s="66" t="str">
        <f t="shared" si="43"/>
        <v>IF</v>
      </c>
      <c r="L428" s="66" t="str">
        <f t="shared" si="44"/>
        <v>2023</v>
      </c>
      <c r="M428" s="66" t="str">
        <f t="shared" si="45"/>
        <v>YR</v>
      </c>
      <c r="N428" s="66" t="str">
        <f t="shared" si="46"/>
        <v>IDR</v>
      </c>
      <c r="O428" s="66" t="str">
        <f t="shared" si="47"/>
        <v>H</v>
      </c>
      <c r="P428" s="66" t="str">
        <f t="shared" si="48"/>
        <v>AG</v>
      </c>
    </row>
    <row r="429" spans="1:16">
      <c r="A429" t="s">
        <v>1870</v>
      </c>
      <c r="B429" t="s">
        <v>2526</v>
      </c>
      <c r="C429">
        <v>95</v>
      </c>
      <c r="D429">
        <v>1045286100</v>
      </c>
      <c r="E429">
        <v>0</v>
      </c>
      <c r="F429">
        <v>0</v>
      </c>
      <c r="H429" s="66" t="str">
        <f>IF(LEFT(A429,6)="CEPNTR","GPINS",VLOOKUP(LEFT(A429,6),'Code Library'!$A$3:$B$920,2,0))&amp;"_"&amp;RIGHT(A429,3)</f>
        <v>CSHCPP_IDR</v>
      </c>
      <c r="I429" s="66" t="str">
        <f t="shared" si="42"/>
        <v>CSHCPP_IDR</v>
      </c>
      <c r="K429" s="66" t="str">
        <f t="shared" si="43"/>
        <v>IF</v>
      </c>
      <c r="L429" s="66" t="str">
        <f t="shared" si="44"/>
        <v>2023</v>
      </c>
      <c r="M429" s="66" t="str">
        <f t="shared" si="45"/>
        <v>YR</v>
      </c>
      <c r="N429" s="66" t="str">
        <f t="shared" si="46"/>
        <v>IDR</v>
      </c>
      <c r="O429" s="66" t="str">
        <f t="shared" si="47"/>
        <v>H</v>
      </c>
      <c r="P429" s="66" t="str">
        <f t="shared" si="48"/>
        <v>AG</v>
      </c>
    </row>
    <row r="430" spans="1:16">
      <c r="A430" t="s">
        <v>1870</v>
      </c>
      <c r="B430" t="s">
        <v>2527</v>
      </c>
      <c r="C430">
        <v>14</v>
      </c>
      <c r="D430">
        <v>157421400</v>
      </c>
      <c r="E430">
        <v>0</v>
      </c>
      <c r="F430">
        <v>0</v>
      </c>
      <c r="H430" s="66" t="str">
        <f>IF(LEFT(A430,6)="CEPNTR","GPINS",VLOOKUP(LEFT(A430,6),'Code Library'!$A$3:$B$920,2,0))&amp;"_"&amp;RIGHT(A430,3)</f>
        <v>CSHCPP_IDR</v>
      </c>
      <c r="I430" s="66" t="str">
        <f t="shared" si="42"/>
        <v>CSHCPP_IDR</v>
      </c>
      <c r="K430" s="66" t="str">
        <f t="shared" si="43"/>
        <v>IF</v>
      </c>
      <c r="L430" s="66" t="str">
        <f t="shared" si="44"/>
        <v>2022</v>
      </c>
      <c r="M430" s="66" t="str">
        <f t="shared" si="45"/>
        <v>YR</v>
      </c>
      <c r="N430" s="66" t="str">
        <f t="shared" si="46"/>
        <v>IDR</v>
      </c>
      <c r="O430" s="66" t="str">
        <f t="shared" si="47"/>
        <v>H</v>
      </c>
      <c r="P430" s="66" t="str">
        <f t="shared" si="48"/>
        <v>AG</v>
      </c>
    </row>
    <row r="431" spans="1:16">
      <c r="A431" t="s">
        <v>1870</v>
      </c>
      <c r="B431" t="s">
        <v>2528</v>
      </c>
      <c r="C431">
        <v>40</v>
      </c>
      <c r="D431">
        <v>552185500</v>
      </c>
      <c r="E431">
        <v>0</v>
      </c>
      <c r="F431">
        <v>0</v>
      </c>
      <c r="H431" s="66" t="str">
        <f>IF(LEFT(A431,6)="CEPNTR","GPINS",VLOOKUP(LEFT(A431,6),'Code Library'!$A$3:$B$920,2,0))&amp;"_"&amp;RIGHT(A431,3)</f>
        <v>CSHCPP_IDR</v>
      </c>
      <c r="I431" s="66" t="str">
        <f t="shared" si="42"/>
        <v>CSHCPP_IDR</v>
      </c>
      <c r="K431" s="66" t="str">
        <f t="shared" si="43"/>
        <v>IF</v>
      </c>
      <c r="L431" s="66" t="str">
        <f t="shared" si="44"/>
        <v>2022</v>
      </c>
      <c r="M431" s="66" t="str">
        <f t="shared" si="45"/>
        <v>YR</v>
      </c>
      <c r="N431" s="66" t="str">
        <f t="shared" si="46"/>
        <v>IDR</v>
      </c>
      <c r="O431" s="66" t="str">
        <f t="shared" si="47"/>
        <v>H</v>
      </c>
      <c r="P431" s="66" t="str">
        <f t="shared" si="48"/>
        <v>AG</v>
      </c>
    </row>
    <row r="432" spans="1:16">
      <c r="A432" t="s">
        <v>1870</v>
      </c>
      <c r="B432" t="s">
        <v>2529</v>
      </c>
      <c r="C432">
        <v>53</v>
      </c>
      <c r="D432">
        <v>585814200</v>
      </c>
      <c r="E432">
        <v>0</v>
      </c>
      <c r="F432">
        <v>0</v>
      </c>
      <c r="H432" s="66" t="str">
        <f>IF(LEFT(A432,6)="CEPNTR","GPINS",VLOOKUP(LEFT(A432,6),'Code Library'!$A$3:$B$920,2,0))&amp;"_"&amp;RIGHT(A432,3)</f>
        <v>CSHCPP_IDR</v>
      </c>
      <c r="I432" s="66" t="str">
        <f t="shared" si="42"/>
        <v>CSHCPP_IDR</v>
      </c>
      <c r="K432" s="66" t="str">
        <f t="shared" si="43"/>
        <v>IF</v>
      </c>
      <c r="L432" s="66" t="str">
        <f t="shared" si="44"/>
        <v>2022</v>
      </c>
      <c r="M432" s="66" t="str">
        <f t="shared" si="45"/>
        <v>YR</v>
      </c>
      <c r="N432" s="66" t="str">
        <f t="shared" si="46"/>
        <v>IDR</v>
      </c>
      <c r="O432" s="66" t="str">
        <f t="shared" si="47"/>
        <v>H</v>
      </c>
      <c r="P432" s="66" t="str">
        <f t="shared" si="48"/>
        <v>AG</v>
      </c>
    </row>
    <row r="433" spans="1:16">
      <c r="A433" t="s">
        <v>1870</v>
      </c>
      <c r="B433" t="s">
        <v>2530</v>
      </c>
      <c r="C433">
        <v>12</v>
      </c>
      <c r="D433">
        <v>142737000</v>
      </c>
      <c r="E433">
        <v>0</v>
      </c>
      <c r="F433">
        <v>0</v>
      </c>
      <c r="H433" s="66" t="str">
        <f>IF(LEFT(A433,6)="CEPNTR","GPINS",VLOOKUP(LEFT(A433,6),'Code Library'!$A$3:$B$920,2,0))&amp;"_"&amp;RIGHT(A433,3)</f>
        <v>CSHCPP_IDR</v>
      </c>
      <c r="I433" s="66" t="str">
        <f t="shared" si="42"/>
        <v>CSHCPP_IDR</v>
      </c>
      <c r="K433" s="66" t="str">
        <f t="shared" si="43"/>
        <v>IF</v>
      </c>
      <c r="L433" s="66" t="str">
        <f t="shared" si="44"/>
        <v>2021</v>
      </c>
      <c r="M433" s="66" t="str">
        <f t="shared" si="45"/>
        <v>YR</v>
      </c>
      <c r="N433" s="66" t="str">
        <f t="shared" si="46"/>
        <v>IDR</v>
      </c>
      <c r="O433" s="66" t="str">
        <f t="shared" si="47"/>
        <v>H</v>
      </c>
      <c r="P433" s="66" t="str">
        <f t="shared" si="48"/>
        <v>AG</v>
      </c>
    </row>
    <row r="434" spans="1:16">
      <c r="A434" t="s">
        <v>1870</v>
      </c>
      <c r="B434" t="s">
        <v>2531</v>
      </c>
      <c r="C434">
        <v>11</v>
      </c>
      <c r="D434">
        <v>133568400</v>
      </c>
      <c r="E434">
        <v>0</v>
      </c>
      <c r="F434">
        <v>0</v>
      </c>
      <c r="H434" s="66" t="str">
        <f>IF(LEFT(A434,6)="CEPNTR","GPINS",VLOOKUP(LEFT(A434,6),'Code Library'!$A$3:$B$920,2,0))&amp;"_"&amp;RIGHT(A434,3)</f>
        <v>CSHCPP_IDR</v>
      </c>
      <c r="I434" s="66" t="str">
        <f t="shared" si="42"/>
        <v>CSHCPP_IDR</v>
      </c>
      <c r="K434" s="66" t="str">
        <f t="shared" si="43"/>
        <v>IF</v>
      </c>
      <c r="L434" s="66" t="str">
        <f t="shared" si="44"/>
        <v>2021</v>
      </c>
      <c r="M434" s="66" t="str">
        <f t="shared" si="45"/>
        <v>YR</v>
      </c>
      <c r="N434" s="66" t="str">
        <f t="shared" si="46"/>
        <v>IDR</v>
      </c>
      <c r="O434" s="66" t="str">
        <f t="shared" si="47"/>
        <v>H</v>
      </c>
      <c r="P434" s="66" t="str">
        <f t="shared" si="48"/>
        <v>AG</v>
      </c>
    </row>
    <row r="435" spans="1:16">
      <c r="A435" t="s">
        <v>1870</v>
      </c>
      <c r="B435" t="s">
        <v>2532</v>
      </c>
      <c r="C435">
        <v>2</v>
      </c>
      <c r="D435">
        <v>10812000</v>
      </c>
      <c r="E435">
        <v>0</v>
      </c>
      <c r="F435">
        <v>0</v>
      </c>
      <c r="H435" s="66" t="str">
        <f>IF(LEFT(A435,6)="CEPNTR","GPINS",VLOOKUP(LEFT(A435,6),'Code Library'!$A$3:$B$920,2,0))&amp;"_"&amp;RIGHT(A435,3)</f>
        <v>CSHCPP_IDR</v>
      </c>
      <c r="I435" s="66" t="str">
        <f t="shared" si="42"/>
        <v>CSHCPP_IDR</v>
      </c>
      <c r="K435" s="66" t="str">
        <f t="shared" si="43"/>
        <v>IF</v>
      </c>
      <c r="L435" s="66" t="str">
        <f t="shared" si="44"/>
        <v>2021</v>
      </c>
      <c r="M435" s="66" t="str">
        <f t="shared" si="45"/>
        <v>YR</v>
      </c>
      <c r="N435" s="66" t="str">
        <f t="shared" si="46"/>
        <v>IDR</v>
      </c>
      <c r="O435" s="66" t="str">
        <f t="shared" si="47"/>
        <v>H</v>
      </c>
      <c r="P435" s="66" t="str">
        <f t="shared" si="48"/>
        <v>AG</v>
      </c>
    </row>
    <row r="436" spans="1:16">
      <c r="A436" t="s">
        <v>1871</v>
      </c>
      <c r="B436" t="s">
        <v>2495</v>
      </c>
      <c r="C436">
        <v>11</v>
      </c>
      <c r="D436">
        <v>15390000</v>
      </c>
      <c r="E436">
        <v>618889</v>
      </c>
      <c r="F436">
        <v>0</v>
      </c>
      <c r="H436" s="66" t="str">
        <f>IF(LEFT(A436,6)="CEPNTR","GPINS",VLOOKUP(LEFT(A436,6),'Code Library'!$A$3:$B$920,2,0))&amp;"_"&amp;RIGHT(A436,3)</f>
        <v>CHEAZH_IDR</v>
      </c>
      <c r="I436" s="66" t="str">
        <f t="shared" si="42"/>
        <v>CHEAZH_IDR</v>
      </c>
      <c r="K436" s="66" t="str">
        <f t="shared" si="43"/>
        <v>IF</v>
      </c>
      <c r="L436" s="66" t="str">
        <f t="shared" si="44"/>
        <v>2024</v>
      </c>
      <c r="M436" s="66" t="str">
        <f t="shared" si="45"/>
        <v>YR</v>
      </c>
      <c r="N436" s="66" t="str">
        <f t="shared" si="46"/>
        <v>IDR</v>
      </c>
      <c r="O436" s="66" t="str">
        <f t="shared" si="47"/>
        <v>H</v>
      </c>
      <c r="P436" s="66" t="str">
        <f t="shared" si="48"/>
        <v>OT</v>
      </c>
    </row>
    <row r="437" spans="1:16">
      <c r="A437" t="s">
        <v>1871</v>
      </c>
      <c r="B437" t="s">
        <v>2496</v>
      </c>
      <c r="C437">
        <v>7</v>
      </c>
      <c r="D437">
        <v>9099000</v>
      </c>
      <c r="E437">
        <v>389435</v>
      </c>
      <c r="F437">
        <v>0</v>
      </c>
      <c r="H437" s="66" t="str">
        <f>IF(LEFT(A437,6)="CEPNTR","GPINS",VLOOKUP(LEFT(A437,6),'Code Library'!$A$3:$B$920,2,0))&amp;"_"&amp;RIGHT(A437,3)</f>
        <v>CHEAZH_IDR</v>
      </c>
      <c r="I437" s="66" t="str">
        <f t="shared" si="42"/>
        <v>CHEAZH_IDR</v>
      </c>
      <c r="K437" s="66" t="str">
        <f t="shared" si="43"/>
        <v>Q1</v>
      </c>
      <c r="L437" s="66" t="str">
        <f t="shared" si="44"/>
        <v>2025</v>
      </c>
      <c r="M437" s="66" t="str">
        <f t="shared" si="45"/>
        <v>YR</v>
      </c>
      <c r="N437" s="66" t="str">
        <f t="shared" si="46"/>
        <v>IDR</v>
      </c>
      <c r="O437" s="66" t="str">
        <f t="shared" si="47"/>
        <v>H</v>
      </c>
      <c r="P437" s="66" t="str">
        <f t="shared" si="48"/>
        <v>OT</v>
      </c>
    </row>
    <row r="438" spans="1:16">
      <c r="A438" t="s">
        <v>1872</v>
      </c>
      <c r="B438" t="s">
        <v>2533</v>
      </c>
      <c r="C438">
        <v>560</v>
      </c>
      <c r="D438">
        <v>2341881600</v>
      </c>
      <c r="E438">
        <v>285400000</v>
      </c>
      <c r="F438">
        <v>0</v>
      </c>
      <c r="H438" s="66" t="str">
        <f>IF(LEFT(A438,6)="CEPNTR","GPINS",VLOOKUP(LEFT(A438,6),'Code Library'!$A$3:$B$920,2,0))&amp;"_"&amp;RIGHT(A438,3)</f>
        <v>CHEAZY_IDR</v>
      </c>
      <c r="I438" s="66" t="str">
        <f t="shared" si="42"/>
        <v>CHEAZY_IDR</v>
      </c>
      <c r="K438" s="66" t="str">
        <f t="shared" si="43"/>
        <v>IF</v>
      </c>
      <c r="L438" s="66" t="str">
        <f t="shared" si="44"/>
        <v>2022</v>
      </c>
      <c r="M438" s="66" t="str">
        <f t="shared" si="45"/>
        <v>NO</v>
      </c>
      <c r="N438" s="66" t="str">
        <f t="shared" si="46"/>
        <v>IDR</v>
      </c>
      <c r="O438" s="66" t="str">
        <f t="shared" si="47"/>
        <v>H</v>
      </c>
      <c r="P438" s="66" t="str">
        <f t="shared" si="48"/>
        <v>NK</v>
      </c>
    </row>
    <row r="439" spans="1:16">
      <c r="A439" t="s">
        <v>1872</v>
      </c>
      <c r="B439" t="s">
        <v>1873</v>
      </c>
      <c r="C439">
        <v>16</v>
      </c>
      <c r="D439">
        <v>52348800</v>
      </c>
      <c r="E439">
        <v>6000000</v>
      </c>
      <c r="F439">
        <v>0</v>
      </c>
      <c r="H439" s="66" t="str">
        <f>IF(LEFT(A439,6)="CEPNTR","GPINS",VLOOKUP(LEFT(A439,6),'Code Library'!$A$3:$B$920,2,0))&amp;"_"&amp;RIGHT(A439,3)</f>
        <v>CHEAZY_IDR</v>
      </c>
      <c r="I439" s="66" t="str">
        <f t="shared" si="42"/>
        <v>CHEAZY_IDR</v>
      </c>
      <c r="K439" s="66" t="str">
        <f t="shared" si="43"/>
        <v>IF</v>
      </c>
      <c r="L439" s="66" t="str">
        <f t="shared" si="44"/>
        <v>2022</v>
      </c>
      <c r="M439" s="66" t="str">
        <f t="shared" si="45"/>
        <v>NO</v>
      </c>
      <c r="N439" s="66" t="str">
        <f t="shared" si="46"/>
        <v>IDR</v>
      </c>
      <c r="O439" s="66" t="str">
        <f t="shared" si="47"/>
        <v>H</v>
      </c>
      <c r="P439" s="66" t="str">
        <f t="shared" si="48"/>
        <v>NK</v>
      </c>
    </row>
    <row r="440" spans="1:16">
      <c r="A440" t="s">
        <v>1872</v>
      </c>
      <c r="B440" t="s">
        <v>1874</v>
      </c>
      <c r="C440">
        <v>1067</v>
      </c>
      <c r="D440">
        <v>3739795200</v>
      </c>
      <c r="E440">
        <v>333200000</v>
      </c>
      <c r="F440">
        <v>0</v>
      </c>
      <c r="H440" s="66" t="str">
        <f>IF(LEFT(A440,6)="CEPNTR","GPINS",VLOOKUP(LEFT(A440,6),'Code Library'!$A$3:$B$920,2,0))&amp;"_"&amp;RIGHT(A440,3)</f>
        <v>CHEAZY_IDR</v>
      </c>
      <c r="I440" s="66" t="str">
        <f t="shared" si="42"/>
        <v>CHEAZY_IDR</v>
      </c>
      <c r="K440" s="66" t="str">
        <f t="shared" si="43"/>
        <v>IF</v>
      </c>
      <c r="L440" s="66" t="str">
        <f t="shared" si="44"/>
        <v>2023</v>
      </c>
      <c r="M440" s="66" t="str">
        <f t="shared" si="45"/>
        <v>NO</v>
      </c>
      <c r="N440" s="66" t="str">
        <f t="shared" si="46"/>
        <v>IDR</v>
      </c>
      <c r="O440" s="66" t="str">
        <f t="shared" si="47"/>
        <v>H</v>
      </c>
      <c r="P440" s="66" t="str">
        <f t="shared" si="48"/>
        <v>NK</v>
      </c>
    </row>
    <row r="441" spans="1:16">
      <c r="A441" t="s">
        <v>1872</v>
      </c>
      <c r="B441" t="s">
        <v>2534</v>
      </c>
      <c r="C441">
        <v>133</v>
      </c>
      <c r="D441">
        <v>618506400</v>
      </c>
      <c r="E441">
        <v>74400000</v>
      </c>
      <c r="F441">
        <v>0</v>
      </c>
      <c r="H441" s="66" t="str">
        <f>IF(LEFT(A441,6)="CEPNTR","GPINS",VLOOKUP(LEFT(A441,6),'Code Library'!$A$3:$B$920,2,0))&amp;"_"&amp;RIGHT(A441,3)</f>
        <v>CHEAZY_IDR</v>
      </c>
      <c r="I441" s="66" t="str">
        <f t="shared" si="42"/>
        <v>CHEAZY_IDR</v>
      </c>
      <c r="K441" s="66" t="str">
        <f t="shared" si="43"/>
        <v>IF</v>
      </c>
      <c r="L441" s="66" t="str">
        <f t="shared" si="44"/>
        <v>2024</v>
      </c>
      <c r="M441" s="66" t="str">
        <f t="shared" si="45"/>
        <v>NO</v>
      </c>
      <c r="N441" s="66" t="str">
        <f t="shared" si="46"/>
        <v>IDR</v>
      </c>
      <c r="O441" s="66" t="str">
        <f t="shared" si="47"/>
        <v>H</v>
      </c>
      <c r="P441" s="66" t="str">
        <f t="shared" si="48"/>
        <v>NK</v>
      </c>
    </row>
    <row r="442" spans="1:16">
      <c r="A442" t="s">
        <v>1872</v>
      </c>
      <c r="B442" t="s">
        <v>2497</v>
      </c>
      <c r="C442">
        <v>78</v>
      </c>
      <c r="D442">
        <v>273914400</v>
      </c>
      <c r="E442">
        <v>25000000</v>
      </c>
      <c r="F442">
        <v>0</v>
      </c>
      <c r="H442" s="66" t="str">
        <f>IF(LEFT(A442,6)="CEPNTR","GPINS",VLOOKUP(LEFT(A442,6),'Code Library'!$A$3:$B$920,2,0))&amp;"_"&amp;RIGHT(A442,3)</f>
        <v>CHEAZY_IDR</v>
      </c>
      <c r="I442" s="66" t="str">
        <f t="shared" si="42"/>
        <v>CHEAZY_IDR</v>
      </c>
      <c r="K442" s="66" t="str">
        <f t="shared" si="43"/>
        <v>IF</v>
      </c>
      <c r="L442" s="66" t="str">
        <f t="shared" si="44"/>
        <v>2024</v>
      </c>
      <c r="M442" s="66" t="str">
        <f t="shared" si="45"/>
        <v>NO</v>
      </c>
      <c r="N442" s="66" t="str">
        <f t="shared" si="46"/>
        <v>IDR</v>
      </c>
      <c r="O442" s="66" t="str">
        <f t="shared" si="47"/>
        <v>H</v>
      </c>
      <c r="P442" s="66" t="str">
        <f t="shared" si="48"/>
        <v>NK</v>
      </c>
    </row>
    <row r="443" spans="1:16">
      <c r="A443" t="s">
        <v>1872</v>
      </c>
      <c r="B443" t="s">
        <v>2535</v>
      </c>
      <c r="C443">
        <v>179</v>
      </c>
      <c r="D443">
        <v>809241600</v>
      </c>
      <c r="E443">
        <v>86400000</v>
      </c>
      <c r="F443">
        <v>0</v>
      </c>
      <c r="H443" s="66" t="str">
        <f>IF(LEFT(A443,6)="CEPNTR","GPINS",VLOOKUP(LEFT(A443,6),'Code Library'!$A$3:$B$920,2,0))&amp;"_"&amp;RIGHT(A443,3)</f>
        <v>CHEAZY_IDR</v>
      </c>
      <c r="I443" s="66" t="str">
        <f t="shared" si="42"/>
        <v>CHEAZY_IDR</v>
      </c>
      <c r="K443" s="66" t="str">
        <f t="shared" si="43"/>
        <v>IF</v>
      </c>
      <c r="L443" s="66" t="str">
        <f t="shared" si="44"/>
        <v>2023</v>
      </c>
      <c r="M443" s="66" t="str">
        <f t="shared" si="45"/>
        <v>NO</v>
      </c>
      <c r="N443" s="66" t="str">
        <f t="shared" si="46"/>
        <v>IDR</v>
      </c>
      <c r="O443" s="66" t="str">
        <f t="shared" si="47"/>
        <v>H</v>
      </c>
      <c r="P443" s="66" t="str">
        <f t="shared" si="48"/>
        <v>NK</v>
      </c>
    </row>
    <row r="444" spans="1:16">
      <c r="A444" t="s">
        <v>1872</v>
      </c>
      <c r="B444" t="s">
        <v>2498</v>
      </c>
      <c r="C444">
        <v>26</v>
      </c>
      <c r="D444">
        <v>97079000</v>
      </c>
      <c r="E444">
        <v>10900000</v>
      </c>
      <c r="F444">
        <v>0</v>
      </c>
      <c r="H444" s="66" t="str">
        <f>IF(LEFT(A444,6)="CEPNTR","GPINS",VLOOKUP(LEFT(A444,6),'Code Library'!$A$3:$B$920,2,0))&amp;"_"&amp;RIGHT(A444,3)</f>
        <v>CHEAZY_IDR</v>
      </c>
      <c r="I444" s="66" t="str">
        <f t="shared" si="42"/>
        <v>CHEAZY_IDR</v>
      </c>
      <c r="K444" s="66" t="str">
        <f t="shared" si="43"/>
        <v>Q1</v>
      </c>
      <c r="L444" s="66" t="str">
        <f t="shared" si="44"/>
        <v>2025</v>
      </c>
      <c r="M444" s="66" t="str">
        <f t="shared" si="45"/>
        <v>NO</v>
      </c>
      <c r="N444" s="66" t="str">
        <f t="shared" si="46"/>
        <v>IDR</v>
      </c>
      <c r="O444" s="66" t="str">
        <f t="shared" si="47"/>
        <v>H</v>
      </c>
      <c r="P444" s="66" t="str">
        <f t="shared" si="48"/>
        <v>NK</v>
      </c>
    </row>
    <row r="445" spans="1:16">
      <c r="A445" t="s">
        <v>1872</v>
      </c>
      <c r="B445" t="s">
        <v>2499</v>
      </c>
      <c r="C445">
        <v>25</v>
      </c>
      <c r="D445">
        <v>86833200</v>
      </c>
      <c r="E445">
        <v>8100000</v>
      </c>
      <c r="F445">
        <v>0</v>
      </c>
      <c r="H445" s="66" t="str">
        <f>IF(LEFT(A445,6)="CEPNTR","GPINS",VLOOKUP(LEFT(A445,6),'Code Library'!$A$3:$B$920,2,0))&amp;"_"&amp;RIGHT(A445,3)</f>
        <v>CHEAZY_IDR</v>
      </c>
      <c r="I445" s="66" t="str">
        <f t="shared" si="42"/>
        <v>CHEAZY_IDR</v>
      </c>
      <c r="K445" s="66" t="str">
        <f t="shared" si="43"/>
        <v>Q1</v>
      </c>
      <c r="L445" s="66" t="str">
        <f t="shared" si="44"/>
        <v>2025</v>
      </c>
      <c r="M445" s="66" t="str">
        <f t="shared" si="45"/>
        <v>NO</v>
      </c>
      <c r="N445" s="66" t="str">
        <f t="shared" si="46"/>
        <v>IDR</v>
      </c>
      <c r="O445" s="66" t="str">
        <f t="shared" si="47"/>
        <v>H</v>
      </c>
      <c r="P445" s="66" t="str">
        <f t="shared" si="48"/>
        <v>NK</v>
      </c>
    </row>
    <row r="446" spans="1:16">
      <c r="H446" s="66" t="e">
        <f>IF(LEFT(A446,6)="CEPNTR","GPINS",VLOOKUP(LEFT(A446,6),'Code Library'!$A$3:$B$920,2,0))&amp;"_"&amp;RIGHT(A446,3)</f>
        <v>#N/A</v>
      </c>
      <c r="I446" s="66">
        <f t="shared" si="42"/>
        <v>0</v>
      </c>
      <c r="K446" s="66" t="str">
        <f t="shared" si="43"/>
        <v/>
      </c>
      <c r="L446" s="66" t="str">
        <f t="shared" si="44"/>
        <v/>
      </c>
      <c r="M446" s="66" t="str">
        <f t="shared" si="45"/>
        <v/>
      </c>
      <c r="N446" s="66" t="str">
        <f t="shared" si="46"/>
        <v/>
      </c>
      <c r="O446" s="66" t="str">
        <f t="shared" si="47"/>
        <v/>
      </c>
      <c r="P446" s="66" t="str">
        <f t="shared" si="48"/>
        <v/>
      </c>
    </row>
    <row r="447" spans="1:16">
      <c r="H447" s="66" t="e">
        <f>IF(LEFT(A447,6)="CEPNTR","GPINS",VLOOKUP(LEFT(A447,6),'Code Library'!$A$3:$B$920,2,0))&amp;"_"&amp;RIGHT(A447,3)</f>
        <v>#N/A</v>
      </c>
      <c r="I447" s="66">
        <f t="shared" si="42"/>
        <v>0</v>
      </c>
      <c r="K447" s="66" t="str">
        <f t="shared" si="43"/>
        <v/>
      </c>
      <c r="L447" s="66" t="str">
        <f t="shared" si="44"/>
        <v/>
      </c>
      <c r="M447" s="66" t="str">
        <f t="shared" si="45"/>
        <v/>
      </c>
      <c r="N447" s="66" t="str">
        <f t="shared" si="46"/>
        <v/>
      </c>
      <c r="O447" s="66" t="str">
        <f t="shared" si="47"/>
        <v/>
      </c>
      <c r="P447" s="66" t="str">
        <f t="shared" si="48"/>
        <v/>
      </c>
    </row>
    <row r="448" spans="1:16">
      <c r="H448" s="66" t="e">
        <f>IF(LEFT(A448,6)="CEPNTR","GPINS",VLOOKUP(LEFT(A448,6),'Code Library'!$A$3:$B$920,2,0))&amp;"_"&amp;RIGHT(A448,3)</f>
        <v>#N/A</v>
      </c>
      <c r="I448" s="66">
        <f t="shared" si="42"/>
        <v>0</v>
      </c>
      <c r="K448" s="66" t="str">
        <f t="shared" si="43"/>
        <v/>
      </c>
      <c r="L448" s="66" t="str">
        <f t="shared" si="44"/>
        <v/>
      </c>
      <c r="M448" s="66" t="str">
        <f t="shared" si="45"/>
        <v/>
      </c>
      <c r="N448" s="66" t="str">
        <f t="shared" si="46"/>
        <v/>
      </c>
      <c r="O448" s="66" t="str">
        <f t="shared" si="47"/>
        <v/>
      </c>
      <c r="P448" s="66" t="str">
        <f t="shared" si="48"/>
        <v/>
      </c>
    </row>
    <row r="449" spans="8:16">
      <c r="H449" s="66" t="e">
        <f>IF(LEFT(A449,6)="CEPNTR","GPINS",VLOOKUP(LEFT(A449,6),'Code Library'!$A$3:$B$920,2,0))&amp;"_"&amp;RIGHT(A449,3)</f>
        <v>#N/A</v>
      </c>
      <c r="I449" s="66">
        <f t="shared" si="42"/>
        <v>0</v>
      </c>
      <c r="K449" s="66" t="str">
        <f t="shared" si="43"/>
        <v/>
      </c>
      <c r="L449" s="66" t="str">
        <f t="shared" si="44"/>
        <v/>
      </c>
      <c r="M449" s="66" t="str">
        <f t="shared" si="45"/>
        <v/>
      </c>
      <c r="N449" s="66" t="str">
        <f t="shared" si="46"/>
        <v/>
      </c>
      <c r="O449" s="66" t="str">
        <f t="shared" si="47"/>
        <v/>
      </c>
      <c r="P449" s="66" t="str">
        <f t="shared" si="48"/>
        <v/>
      </c>
    </row>
    <row r="450" spans="8:16">
      <c r="H450" s="66" t="e">
        <f>IF(LEFT(A450,6)="CEPNTR","GPINS",VLOOKUP(LEFT(A450,6),'Code Library'!$A$3:$B$920,2,0))&amp;"_"&amp;RIGHT(A450,3)</f>
        <v>#N/A</v>
      </c>
      <c r="I450" s="66">
        <f t="shared" si="42"/>
        <v>0</v>
      </c>
      <c r="K450" s="66" t="str">
        <f t="shared" si="43"/>
        <v/>
      </c>
      <c r="L450" s="66" t="str">
        <f t="shared" si="44"/>
        <v/>
      </c>
      <c r="M450" s="66" t="str">
        <f t="shared" si="45"/>
        <v/>
      </c>
      <c r="N450" s="66" t="str">
        <f t="shared" si="46"/>
        <v/>
      </c>
      <c r="O450" s="66" t="str">
        <f t="shared" si="47"/>
        <v/>
      </c>
      <c r="P450" s="66" t="str">
        <f t="shared" si="48"/>
        <v/>
      </c>
    </row>
    <row r="451" spans="8:16">
      <c r="H451" s="66" t="e">
        <f>IF(LEFT(A451,6)="CEPNTR","GPINS",VLOOKUP(LEFT(A451,6),'Code Library'!$A$3:$B$920,2,0))&amp;"_"&amp;RIGHT(A451,3)</f>
        <v>#N/A</v>
      </c>
      <c r="I451" s="66">
        <f t="shared" ref="I451:I514" si="49">A451</f>
        <v>0</v>
      </c>
      <c r="K451" s="66" t="str">
        <f t="shared" ref="K451:K514" si="50">RIGHT($B451,2)</f>
        <v/>
      </c>
      <c r="L451" s="66" t="str">
        <f t="shared" ref="L451:L514" si="51">LEFT(RIGHT($B451,7),4)</f>
        <v/>
      </c>
      <c r="M451" s="66" t="str">
        <f t="shared" ref="M451:M514" si="52">LEFT(RIGHT($B451,10),2)</f>
        <v/>
      </c>
      <c r="N451" s="66" t="str">
        <f t="shared" ref="N451:N514" si="53">LEFT(RIGHT($B451,14),3)</f>
        <v/>
      </c>
      <c r="O451" s="66" t="str">
        <f t="shared" ref="O451:O514" si="54">LEFT(RIGHT($B451,16),1)</f>
        <v/>
      </c>
      <c r="P451" s="66" t="str">
        <f t="shared" ref="P451:P514" si="55">LEFT(RIGHT($B451,19),2)</f>
        <v/>
      </c>
    </row>
    <row r="452" spans="8:16">
      <c r="H452" s="66" t="e">
        <f>IF(LEFT(A452,6)="CEPNTR","GPINS",VLOOKUP(LEFT(A452,6),'Code Library'!$A$3:$B$920,2,0))&amp;"_"&amp;RIGHT(A452,3)</f>
        <v>#N/A</v>
      </c>
      <c r="I452" s="66">
        <f t="shared" si="49"/>
        <v>0</v>
      </c>
      <c r="K452" s="66" t="str">
        <f t="shared" si="50"/>
        <v/>
      </c>
      <c r="L452" s="66" t="str">
        <f t="shared" si="51"/>
        <v/>
      </c>
      <c r="M452" s="66" t="str">
        <f t="shared" si="52"/>
        <v/>
      </c>
      <c r="N452" s="66" t="str">
        <f t="shared" si="53"/>
        <v/>
      </c>
      <c r="O452" s="66" t="str">
        <f t="shared" si="54"/>
        <v/>
      </c>
      <c r="P452" s="66" t="str">
        <f t="shared" si="55"/>
        <v/>
      </c>
    </row>
    <row r="453" spans="8:16">
      <c r="H453" s="66" t="e">
        <f>IF(LEFT(A453,6)="CEPNTR","GPINS",VLOOKUP(LEFT(A453,6),'Code Library'!$A$3:$B$920,2,0))&amp;"_"&amp;RIGHT(A453,3)</f>
        <v>#N/A</v>
      </c>
      <c r="I453" s="66">
        <f t="shared" si="49"/>
        <v>0</v>
      </c>
      <c r="K453" s="66" t="str">
        <f t="shared" si="50"/>
        <v/>
      </c>
      <c r="L453" s="66" t="str">
        <f t="shared" si="51"/>
        <v/>
      </c>
      <c r="M453" s="66" t="str">
        <f t="shared" si="52"/>
        <v/>
      </c>
      <c r="N453" s="66" t="str">
        <f t="shared" si="53"/>
        <v/>
      </c>
      <c r="O453" s="66" t="str">
        <f t="shared" si="54"/>
        <v/>
      </c>
      <c r="P453" s="66" t="str">
        <f t="shared" si="55"/>
        <v/>
      </c>
    </row>
    <row r="454" spans="8:16">
      <c r="H454" s="66" t="e">
        <f>IF(LEFT(A454,6)="CEPNTR","GPINS",VLOOKUP(LEFT(A454,6),'Code Library'!$A$3:$B$920,2,0))&amp;"_"&amp;RIGHT(A454,3)</f>
        <v>#N/A</v>
      </c>
      <c r="I454" s="66">
        <f t="shared" si="49"/>
        <v>0</v>
      </c>
      <c r="K454" s="66" t="str">
        <f t="shared" si="50"/>
        <v/>
      </c>
      <c r="L454" s="66" t="str">
        <f t="shared" si="51"/>
        <v/>
      </c>
      <c r="M454" s="66" t="str">
        <f t="shared" si="52"/>
        <v/>
      </c>
      <c r="N454" s="66" t="str">
        <f t="shared" si="53"/>
        <v/>
      </c>
      <c r="O454" s="66" t="str">
        <f t="shared" si="54"/>
        <v/>
      </c>
      <c r="P454" s="66" t="str">
        <f t="shared" si="55"/>
        <v/>
      </c>
    </row>
    <row r="455" spans="8:16">
      <c r="H455" s="66" t="e">
        <f>IF(LEFT(A455,6)="CEPNTR","GPINS",VLOOKUP(LEFT(A455,6),'Code Library'!$A$3:$B$920,2,0))&amp;"_"&amp;RIGHT(A455,3)</f>
        <v>#N/A</v>
      </c>
      <c r="I455" s="66">
        <f t="shared" si="49"/>
        <v>0</v>
      </c>
      <c r="K455" s="66" t="str">
        <f t="shared" si="50"/>
        <v/>
      </c>
      <c r="L455" s="66" t="str">
        <f t="shared" si="51"/>
        <v/>
      </c>
      <c r="M455" s="66" t="str">
        <f t="shared" si="52"/>
        <v/>
      </c>
      <c r="N455" s="66" t="str">
        <f t="shared" si="53"/>
        <v/>
      </c>
      <c r="O455" s="66" t="str">
        <f t="shared" si="54"/>
        <v/>
      </c>
      <c r="P455" s="66" t="str">
        <f t="shared" si="55"/>
        <v/>
      </c>
    </row>
    <row r="456" spans="8:16">
      <c r="H456" s="66" t="e">
        <f>IF(LEFT(A456,6)="CEPNTR","GPINS",VLOOKUP(LEFT(A456,6),'Code Library'!$A$3:$B$920,2,0))&amp;"_"&amp;RIGHT(A456,3)</f>
        <v>#N/A</v>
      </c>
      <c r="I456" s="66">
        <f t="shared" si="49"/>
        <v>0</v>
      </c>
      <c r="K456" s="66" t="str">
        <f t="shared" si="50"/>
        <v/>
      </c>
      <c r="L456" s="66" t="str">
        <f t="shared" si="51"/>
        <v/>
      </c>
      <c r="M456" s="66" t="str">
        <f t="shared" si="52"/>
        <v/>
      </c>
      <c r="N456" s="66" t="str">
        <f t="shared" si="53"/>
        <v/>
      </c>
      <c r="O456" s="66" t="str">
        <f t="shared" si="54"/>
        <v/>
      </c>
      <c r="P456" s="66" t="str">
        <f t="shared" si="55"/>
        <v/>
      </c>
    </row>
    <row r="457" spans="8:16">
      <c r="H457" s="66" t="e">
        <f>IF(LEFT(A457,6)="CEPNTR","GPINS",VLOOKUP(LEFT(A457,6),'Code Library'!$A$3:$B$920,2,0))&amp;"_"&amp;RIGHT(A457,3)</f>
        <v>#N/A</v>
      </c>
      <c r="I457" s="66">
        <f t="shared" si="49"/>
        <v>0</v>
      </c>
      <c r="K457" s="66" t="str">
        <f t="shared" si="50"/>
        <v/>
      </c>
      <c r="L457" s="66" t="str">
        <f t="shared" si="51"/>
        <v/>
      </c>
      <c r="M457" s="66" t="str">
        <f t="shared" si="52"/>
        <v/>
      </c>
      <c r="N457" s="66" t="str">
        <f t="shared" si="53"/>
        <v/>
      </c>
      <c r="O457" s="66" t="str">
        <f t="shared" si="54"/>
        <v/>
      </c>
      <c r="P457" s="66" t="str">
        <f t="shared" si="55"/>
        <v/>
      </c>
    </row>
    <row r="458" spans="8:16">
      <c r="H458" s="66" t="e">
        <f>IF(LEFT(A458,6)="CEPNTR","GPINS",VLOOKUP(LEFT(A458,6),'Code Library'!$A$3:$B$920,2,0))&amp;"_"&amp;RIGHT(A458,3)</f>
        <v>#N/A</v>
      </c>
      <c r="I458" s="66">
        <f t="shared" si="49"/>
        <v>0</v>
      </c>
      <c r="K458" s="66" t="str">
        <f t="shared" si="50"/>
        <v/>
      </c>
      <c r="L458" s="66" t="str">
        <f t="shared" si="51"/>
        <v/>
      </c>
      <c r="M458" s="66" t="str">
        <f t="shared" si="52"/>
        <v/>
      </c>
      <c r="N458" s="66" t="str">
        <f t="shared" si="53"/>
        <v/>
      </c>
      <c r="O458" s="66" t="str">
        <f t="shared" si="54"/>
        <v/>
      </c>
      <c r="P458" s="66" t="str">
        <f t="shared" si="55"/>
        <v/>
      </c>
    </row>
    <row r="459" spans="8:16">
      <c r="H459" s="66" t="e">
        <f>IF(LEFT(A459,6)="CEPNTR","GPINS",VLOOKUP(LEFT(A459,6),'Code Library'!$A$3:$B$920,2,0))&amp;"_"&amp;RIGHT(A459,3)</f>
        <v>#N/A</v>
      </c>
      <c r="I459" s="66">
        <f t="shared" si="49"/>
        <v>0</v>
      </c>
      <c r="K459" s="66" t="str">
        <f t="shared" si="50"/>
        <v/>
      </c>
      <c r="L459" s="66" t="str">
        <f t="shared" si="51"/>
        <v/>
      </c>
      <c r="M459" s="66" t="str">
        <f t="shared" si="52"/>
        <v/>
      </c>
      <c r="N459" s="66" t="str">
        <f t="shared" si="53"/>
        <v/>
      </c>
      <c r="O459" s="66" t="str">
        <f t="shared" si="54"/>
        <v/>
      </c>
      <c r="P459" s="66" t="str">
        <f t="shared" si="55"/>
        <v/>
      </c>
    </row>
    <row r="460" spans="8:16">
      <c r="H460" s="66" t="e">
        <f>IF(LEFT(A460,6)="CEPNTR","GPINS",VLOOKUP(LEFT(A460,6),'Code Library'!$A$3:$B$920,2,0))&amp;"_"&amp;RIGHT(A460,3)</f>
        <v>#N/A</v>
      </c>
      <c r="I460" s="66">
        <f t="shared" si="49"/>
        <v>0</v>
      </c>
      <c r="K460" s="66" t="str">
        <f t="shared" si="50"/>
        <v/>
      </c>
      <c r="L460" s="66" t="str">
        <f t="shared" si="51"/>
        <v/>
      </c>
      <c r="M460" s="66" t="str">
        <f t="shared" si="52"/>
        <v/>
      </c>
      <c r="N460" s="66" t="str">
        <f t="shared" si="53"/>
        <v/>
      </c>
      <c r="O460" s="66" t="str">
        <f t="shared" si="54"/>
        <v/>
      </c>
      <c r="P460" s="66" t="str">
        <f t="shared" si="55"/>
        <v/>
      </c>
    </row>
    <row r="461" spans="8:16">
      <c r="H461" s="66" t="e">
        <f>IF(LEFT(A461,6)="CEPNTR","GPINS",VLOOKUP(LEFT(A461,6),'Code Library'!$A$3:$B$920,2,0))&amp;"_"&amp;RIGHT(A461,3)</f>
        <v>#N/A</v>
      </c>
      <c r="I461" s="66">
        <f t="shared" si="49"/>
        <v>0</v>
      </c>
      <c r="K461" s="66" t="str">
        <f t="shared" si="50"/>
        <v/>
      </c>
      <c r="L461" s="66" t="str">
        <f t="shared" si="51"/>
        <v/>
      </c>
      <c r="M461" s="66" t="str">
        <f t="shared" si="52"/>
        <v/>
      </c>
      <c r="N461" s="66" t="str">
        <f t="shared" si="53"/>
        <v/>
      </c>
      <c r="O461" s="66" t="str">
        <f t="shared" si="54"/>
        <v/>
      </c>
      <c r="P461" s="66" t="str">
        <f t="shared" si="55"/>
        <v/>
      </c>
    </row>
    <row r="462" spans="8:16">
      <c r="H462" s="66" t="e">
        <f>IF(LEFT(A462,6)="CEPNTR","GPINS",VLOOKUP(LEFT(A462,6),'Code Library'!$A$3:$B$920,2,0))&amp;"_"&amp;RIGHT(A462,3)</f>
        <v>#N/A</v>
      </c>
      <c r="I462" s="66">
        <f t="shared" si="49"/>
        <v>0</v>
      </c>
      <c r="K462" s="66" t="str">
        <f t="shared" si="50"/>
        <v/>
      </c>
      <c r="L462" s="66" t="str">
        <f t="shared" si="51"/>
        <v/>
      </c>
      <c r="M462" s="66" t="str">
        <f t="shared" si="52"/>
        <v/>
      </c>
      <c r="N462" s="66" t="str">
        <f t="shared" si="53"/>
        <v/>
      </c>
      <c r="O462" s="66" t="str">
        <f t="shared" si="54"/>
        <v/>
      </c>
      <c r="P462" s="66" t="str">
        <f t="shared" si="55"/>
        <v/>
      </c>
    </row>
    <row r="463" spans="8:16">
      <c r="H463" s="66" t="e">
        <f>IF(LEFT(A463,6)="CEPNTR","GPINS",VLOOKUP(LEFT(A463,6),'Code Library'!$A$3:$B$920,2,0))&amp;"_"&amp;RIGHT(A463,3)</f>
        <v>#N/A</v>
      </c>
      <c r="I463" s="66">
        <f t="shared" si="49"/>
        <v>0</v>
      </c>
      <c r="K463" s="66" t="str">
        <f t="shared" si="50"/>
        <v/>
      </c>
      <c r="L463" s="66" t="str">
        <f t="shared" si="51"/>
        <v/>
      </c>
      <c r="M463" s="66" t="str">
        <f t="shared" si="52"/>
        <v/>
      </c>
      <c r="N463" s="66" t="str">
        <f t="shared" si="53"/>
        <v/>
      </c>
      <c r="O463" s="66" t="str">
        <f t="shared" si="54"/>
        <v/>
      </c>
      <c r="P463" s="66" t="str">
        <f t="shared" si="55"/>
        <v/>
      </c>
    </row>
    <row r="464" spans="8:16">
      <c r="H464" s="66" t="e">
        <f>IF(LEFT(A464,6)="CEPNTR","GPINS",VLOOKUP(LEFT(A464,6),'Code Library'!$A$3:$B$920,2,0))&amp;"_"&amp;RIGHT(A464,3)</f>
        <v>#N/A</v>
      </c>
      <c r="I464" s="66">
        <f t="shared" si="49"/>
        <v>0</v>
      </c>
      <c r="K464" s="66" t="str">
        <f t="shared" si="50"/>
        <v/>
      </c>
      <c r="L464" s="66" t="str">
        <f t="shared" si="51"/>
        <v/>
      </c>
      <c r="M464" s="66" t="str">
        <f t="shared" si="52"/>
        <v/>
      </c>
      <c r="N464" s="66" t="str">
        <f t="shared" si="53"/>
        <v/>
      </c>
      <c r="O464" s="66" t="str">
        <f t="shared" si="54"/>
        <v/>
      </c>
      <c r="P464" s="66" t="str">
        <f t="shared" si="55"/>
        <v/>
      </c>
    </row>
    <row r="465" spans="8:16">
      <c r="H465" s="66" t="e">
        <f>IF(LEFT(A465,6)="CEPNTR","GPINS",VLOOKUP(LEFT(A465,6),'Code Library'!$A$3:$B$920,2,0))&amp;"_"&amp;RIGHT(A465,3)</f>
        <v>#N/A</v>
      </c>
      <c r="I465" s="66">
        <f t="shared" si="49"/>
        <v>0</v>
      </c>
      <c r="K465" s="66" t="str">
        <f t="shared" si="50"/>
        <v/>
      </c>
      <c r="L465" s="66" t="str">
        <f t="shared" si="51"/>
        <v/>
      </c>
      <c r="M465" s="66" t="str">
        <f t="shared" si="52"/>
        <v/>
      </c>
      <c r="N465" s="66" t="str">
        <f t="shared" si="53"/>
        <v/>
      </c>
      <c r="O465" s="66" t="str">
        <f t="shared" si="54"/>
        <v/>
      </c>
      <c r="P465" s="66" t="str">
        <f t="shared" si="55"/>
        <v/>
      </c>
    </row>
    <row r="466" spans="8:16">
      <c r="H466" s="66" t="e">
        <f>IF(LEFT(A466,6)="CEPNTR","GPINS",VLOOKUP(LEFT(A466,6),'Code Library'!$A$3:$B$920,2,0))&amp;"_"&amp;RIGHT(A466,3)</f>
        <v>#N/A</v>
      </c>
      <c r="I466" s="66">
        <f t="shared" si="49"/>
        <v>0</v>
      </c>
      <c r="K466" s="66" t="str">
        <f t="shared" si="50"/>
        <v/>
      </c>
      <c r="L466" s="66" t="str">
        <f t="shared" si="51"/>
        <v/>
      </c>
      <c r="M466" s="66" t="str">
        <f t="shared" si="52"/>
        <v/>
      </c>
      <c r="N466" s="66" t="str">
        <f t="shared" si="53"/>
        <v/>
      </c>
      <c r="O466" s="66" t="str">
        <f t="shared" si="54"/>
        <v/>
      </c>
      <c r="P466" s="66" t="str">
        <f t="shared" si="55"/>
        <v/>
      </c>
    </row>
    <row r="467" spans="8:16">
      <c r="H467" s="66" t="e">
        <f>IF(LEFT(A467,6)="CEPNTR","GPINS",VLOOKUP(LEFT(A467,6),'Code Library'!$A$3:$B$920,2,0))&amp;"_"&amp;RIGHT(A467,3)</f>
        <v>#N/A</v>
      </c>
      <c r="I467" s="66">
        <f t="shared" si="49"/>
        <v>0</v>
      </c>
      <c r="K467" s="66" t="str">
        <f t="shared" si="50"/>
        <v/>
      </c>
      <c r="L467" s="66" t="str">
        <f t="shared" si="51"/>
        <v/>
      </c>
      <c r="M467" s="66" t="str">
        <f t="shared" si="52"/>
        <v/>
      </c>
      <c r="N467" s="66" t="str">
        <f t="shared" si="53"/>
        <v/>
      </c>
      <c r="O467" s="66" t="str">
        <f t="shared" si="54"/>
        <v/>
      </c>
      <c r="P467" s="66" t="str">
        <f t="shared" si="55"/>
        <v/>
      </c>
    </row>
    <row r="468" spans="8:16">
      <c r="H468" s="66" t="e">
        <f>IF(LEFT(A468,6)="CEPNTR","GPINS",VLOOKUP(LEFT(A468,6),'Code Library'!$A$3:$B$920,2,0))&amp;"_"&amp;RIGHT(A468,3)</f>
        <v>#N/A</v>
      </c>
      <c r="I468" s="66">
        <f t="shared" si="49"/>
        <v>0</v>
      </c>
      <c r="K468" s="66" t="str">
        <f t="shared" si="50"/>
        <v/>
      </c>
      <c r="L468" s="66" t="str">
        <f t="shared" si="51"/>
        <v/>
      </c>
      <c r="M468" s="66" t="str">
        <f t="shared" si="52"/>
        <v/>
      </c>
      <c r="N468" s="66" t="str">
        <f t="shared" si="53"/>
        <v/>
      </c>
      <c r="O468" s="66" t="str">
        <f t="shared" si="54"/>
        <v/>
      </c>
      <c r="P468" s="66" t="str">
        <f t="shared" si="55"/>
        <v/>
      </c>
    </row>
    <row r="469" spans="8:16">
      <c r="H469" s="66" t="e">
        <f>IF(LEFT(A469,6)="CEPNTR","GPINS",VLOOKUP(LEFT(A469,6),'Code Library'!$A$3:$B$920,2,0))&amp;"_"&amp;RIGHT(A469,3)</f>
        <v>#N/A</v>
      </c>
      <c r="I469" s="66">
        <f t="shared" si="49"/>
        <v>0</v>
      </c>
      <c r="K469" s="66" t="str">
        <f t="shared" si="50"/>
        <v/>
      </c>
      <c r="L469" s="66" t="str">
        <f t="shared" si="51"/>
        <v/>
      </c>
      <c r="M469" s="66" t="str">
        <f t="shared" si="52"/>
        <v/>
      </c>
      <c r="N469" s="66" t="str">
        <f t="shared" si="53"/>
        <v/>
      </c>
      <c r="O469" s="66" t="str">
        <f t="shared" si="54"/>
        <v/>
      </c>
      <c r="P469" s="66" t="str">
        <f t="shared" si="55"/>
        <v/>
      </c>
    </row>
    <row r="470" spans="8:16">
      <c r="H470" s="66" t="e">
        <f>IF(LEFT(A470,6)="CEPNTR","GPINS",VLOOKUP(LEFT(A470,6),'Code Library'!$A$3:$B$920,2,0))&amp;"_"&amp;RIGHT(A470,3)</f>
        <v>#N/A</v>
      </c>
      <c r="I470" s="66">
        <f t="shared" si="49"/>
        <v>0</v>
      </c>
      <c r="K470" s="66" t="str">
        <f t="shared" si="50"/>
        <v/>
      </c>
      <c r="L470" s="66" t="str">
        <f t="shared" si="51"/>
        <v/>
      </c>
      <c r="M470" s="66" t="str">
        <f t="shared" si="52"/>
        <v/>
      </c>
      <c r="N470" s="66" t="str">
        <f t="shared" si="53"/>
        <v/>
      </c>
      <c r="O470" s="66" t="str">
        <f t="shared" si="54"/>
        <v/>
      </c>
      <c r="P470" s="66" t="str">
        <f t="shared" si="55"/>
        <v/>
      </c>
    </row>
    <row r="471" spans="8:16">
      <c r="H471" s="66" t="e">
        <f>IF(LEFT(A471,6)="CEPNTR","GPINS",VLOOKUP(LEFT(A471,6),'Code Library'!$A$3:$B$920,2,0))&amp;"_"&amp;RIGHT(A471,3)</f>
        <v>#N/A</v>
      </c>
      <c r="I471" s="66">
        <f t="shared" si="49"/>
        <v>0</v>
      </c>
      <c r="K471" s="66" t="str">
        <f t="shared" si="50"/>
        <v/>
      </c>
      <c r="L471" s="66" t="str">
        <f t="shared" si="51"/>
        <v/>
      </c>
      <c r="M471" s="66" t="str">
        <f t="shared" si="52"/>
        <v/>
      </c>
      <c r="N471" s="66" t="str">
        <f t="shared" si="53"/>
        <v/>
      </c>
      <c r="O471" s="66" t="str">
        <f t="shared" si="54"/>
        <v/>
      </c>
      <c r="P471" s="66" t="str">
        <f t="shared" si="55"/>
        <v/>
      </c>
    </row>
    <row r="472" spans="8:16">
      <c r="H472" s="66" t="e">
        <f>IF(LEFT(A472,6)="CEPNTR","GPINS",VLOOKUP(LEFT(A472,6),'Code Library'!$A$3:$B$920,2,0))&amp;"_"&amp;RIGHT(A472,3)</f>
        <v>#N/A</v>
      </c>
      <c r="I472" s="66">
        <f t="shared" si="49"/>
        <v>0</v>
      </c>
      <c r="K472" s="66" t="str">
        <f t="shared" si="50"/>
        <v/>
      </c>
      <c r="L472" s="66" t="str">
        <f t="shared" si="51"/>
        <v/>
      </c>
      <c r="M472" s="66" t="str">
        <f t="shared" si="52"/>
        <v/>
      </c>
      <c r="N472" s="66" t="str">
        <f t="shared" si="53"/>
        <v/>
      </c>
      <c r="O472" s="66" t="str">
        <f t="shared" si="54"/>
        <v/>
      </c>
      <c r="P472" s="66" t="str">
        <f t="shared" si="55"/>
        <v/>
      </c>
    </row>
    <row r="473" spans="8:16">
      <c r="H473" s="66" t="e">
        <f>IF(LEFT(A473,6)="CEPNTR","GPINS",VLOOKUP(LEFT(A473,6),'Code Library'!$A$3:$B$920,2,0))&amp;"_"&amp;RIGHT(A473,3)</f>
        <v>#N/A</v>
      </c>
      <c r="I473" s="66">
        <f t="shared" si="49"/>
        <v>0</v>
      </c>
      <c r="K473" s="66" t="str">
        <f t="shared" si="50"/>
        <v/>
      </c>
      <c r="L473" s="66" t="str">
        <f t="shared" si="51"/>
        <v/>
      </c>
      <c r="M473" s="66" t="str">
        <f t="shared" si="52"/>
        <v/>
      </c>
      <c r="N473" s="66" t="str">
        <f t="shared" si="53"/>
        <v/>
      </c>
      <c r="O473" s="66" t="str">
        <f t="shared" si="54"/>
        <v/>
      </c>
      <c r="P473" s="66" t="str">
        <f t="shared" si="55"/>
        <v/>
      </c>
    </row>
    <row r="474" spans="8:16">
      <c r="H474" s="66" t="e">
        <f>IF(LEFT(A474,6)="CEPNTR","GPINS",VLOOKUP(LEFT(A474,6),'Code Library'!$A$3:$B$920,2,0))&amp;"_"&amp;RIGHT(A474,3)</f>
        <v>#N/A</v>
      </c>
      <c r="I474" s="66">
        <f t="shared" si="49"/>
        <v>0</v>
      </c>
      <c r="K474" s="66" t="str">
        <f t="shared" si="50"/>
        <v/>
      </c>
      <c r="L474" s="66" t="str">
        <f t="shared" si="51"/>
        <v/>
      </c>
      <c r="M474" s="66" t="str">
        <f t="shared" si="52"/>
        <v/>
      </c>
      <c r="N474" s="66" t="str">
        <f t="shared" si="53"/>
        <v/>
      </c>
      <c r="O474" s="66" t="str">
        <f t="shared" si="54"/>
        <v/>
      </c>
      <c r="P474" s="66" t="str">
        <f t="shared" si="55"/>
        <v/>
      </c>
    </row>
    <row r="475" spans="8:16">
      <c r="H475" s="66" t="e">
        <f>IF(LEFT(A475,6)="CEPNTR","GPINS",VLOOKUP(LEFT(A475,6),'Code Library'!$A$3:$B$920,2,0))&amp;"_"&amp;RIGHT(A475,3)</f>
        <v>#N/A</v>
      </c>
      <c r="I475" s="66">
        <f t="shared" si="49"/>
        <v>0</v>
      </c>
      <c r="K475" s="66" t="str">
        <f t="shared" si="50"/>
        <v/>
      </c>
      <c r="L475" s="66" t="str">
        <f t="shared" si="51"/>
        <v/>
      </c>
      <c r="M475" s="66" t="str">
        <f t="shared" si="52"/>
        <v/>
      </c>
      <c r="N475" s="66" t="str">
        <f t="shared" si="53"/>
        <v/>
      </c>
      <c r="O475" s="66" t="str">
        <f t="shared" si="54"/>
        <v/>
      </c>
      <c r="P475" s="66" t="str">
        <f t="shared" si="55"/>
        <v/>
      </c>
    </row>
    <row r="476" spans="8:16">
      <c r="H476" s="66" t="e">
        <f>IF(LEFT(A476,6)="CEPNTR","GPINS",VLOOKUP(LEFT(A476,6),'Code Library'!$A$3:$B$920,2,0))&amp;"_"&amp;RIGHT(A476,3)</f>
        <v>#N/A</v>
      </c>
      <c r="I476" s="66">
        <f t="shared" si="49"/>
        <v>0</v>
      </c>
      <c r="K476" s="66" t="str">
        <f t="shared" si="50"/>
        <v/>
      </c>
      <c r="L476" s="66" t="str">
        <f t="shared" si="51"/>
        <v/>
      </c>
      <c r="M476" s="66" t="str">
        <f t="shared" si="52"/>
        <v/>
      </c>
      <c r="N476" s="66" t="str">
        <f t="shared" si="53"/>
        <v/>
      </c>
      <c r="O476" s="66" t="str">
        <f t="shared" si="54"/>
        <v/>
      </c>
      <c r="P476" s="66" t="str">
        <f t="shared" si="55"/>
        <v/>
      </c>
    </row>
    <row r="477" spans="8:16">
      <c r="H477" s="66" t="e">
        <f>IF(LEFT(A477,6)="CEPNTR","GPINS",VLOOKUP(LEFT(A477,6),'Code Library'!$A$3:$B$920,2,0))&amp;"_"&amp;RIGHT(A477,3)</f>
        <v>#N/A</v>
      </c>
      <c r="I477" s="66">
        <f t="shared" si="49"/>
        <v>0</v>
      </c>
      <c r="K477" s="66" t="str">
        <f t="shared" si="50"/>
        <v/>
      </c>
      <c r="L477" s="66" t="str">
        <f t="shared" si="51"/>
        <v/>
      </c>
      <c r="M477" s="66" t="str">
        <f t="shared" si="52"/>
        <v/>
      </c>
      <c r="N477" s="66" t="str">
        <f t="shared" si="53"/>
        <v/>
      </c>
      <c r="O477" s="66" t="str">
        <f t="shared" si="54"/>
        <v/>
      </c>
      <c r="P477" s="66" t="str">
        <f t="shared" si="55"/>
        <v/>
      </c>
    </row>
    <row r="478" spans="8:16">
      <c r="H478" s="66" t="e">
        <f>IF(LEFT(A478,6)="CEPNTR","GPINS",VLOOKUP(LEFT(A478,6),'Code Library'!$A$3:$B$920,2,0))&amp;"_"&amp;RIGHT(A478,3)</f>
        <v>#N/A</v>
      </c>
      <c r="I478" s="66">
        <f t="shared" si="49"/>
        <v>0</v>
      </c>
      <c r="K478" s="66" t="str">
        <f t="shared" si="50"/>
        <v/>
      </c>
      <c r="L478" s="66" t="str">
        <f t="shared" si="51"/>
        <v/>
      </c>
      <c r="M478" s="66" t="str">
        <f t="shared" si="52"/>
        <v/>
      </c>
      <c r="N478" s="66" t="str">
        <f t="shared" si="53"/>
        <v/>
      </c>
      <c r="O478" s="66" t="str">
        <f t="shared" si="54"/>
        <v/>
      </c>
      <c r="P478" s="66" t="str">
        <f t="shared" si="55"/>
        <v/>
      </c>
    </row>
    <row r="479" spans="8:16">
      <c r="H479" s="66" t="e">
        <f>IF(LEFT(A479,6)="CEPNTR","GPINS",VLOOKUP(LEFT(A479,6),'Code Library'!$A$3:$B$920,2,0))&amp;"_"&amp;RIGHT(A479,3)</f>
        <v>#N/A</v>
      </c>
      <c r="I479" s="66">
        <f t="shared" si="49"/>
        <v>0</v>
      </c>
      <c r="K479" s="66" t="str">
        <f t="shared" si="50"/>
        <v/>
      </c>
      <c r="L479" s="66" t="str">
        <f t="shared" si="51"/>
        <v/>
      </c>
      <c r="M479" s="66" t="str">
        <f t="shared" si="52"/>
        <v/>
      </c>
      <c r="N479" s="66" t="str">
        <f t="shared" si="53"/>
        <v/>
      </c>
      <c r="O479" s="66" t="str">
        <f t="shared" si="54"/>
        <v/>
      </c>
      <c r="P479" s="66" t="str">
        <f t="shared" si="55"/>
        <v/>
      </c>
    </row>
    <row r="480" spans="8:16">
      <c r="H480" s="66" t="e">
        <f>IF(LEFT(A480,6)="CEPNTR","GPINS",VLOOKUP(LEFT(A480,6),'Code Library'!$A$3:$B$920,2,0))&amp;"_"&amp;RIGHT(A480,3)</f>
        <v>#N/A</v>
      </c>
      <c r="I480" s="66">
        <f t="shared" si="49"/>
        <v>0</v>
      </c>
      <c r="K480" s="66" t="str">
        <f t="shared" si="50"/>
        <v/>
      </c>
      <c r="L480" s="66" t="str">
        <f t="shared" si="51"/>
        <v/>
      </c>
      <c r="M480" s="66" t="str">
        <f t="shared" si="52"/>
        <v/>
      </c>
      <c r="N480" s="66" t="str">
        <f t="shared" si="53"/>
        <v/>
      </c>
      <c r="O480" s="66" t="str">
        <f t="shared" si="54"/>
        <v/>
      </c>
      <c r="P480" s="66" t="str">
        <f t="shared" si="55"/>
        <v/>
      </c>
    </row>
    <row r="481" spans="8:16">
      <c r="H481" s="66" t="e">
        <f>IF(LEFT(A481,6)="CEPNTR","GPINS",VLOOKUP(LEFT(A481,6),'Code Library'!$A$3:$B$920,2,0))&amp;"_"&amp;RIGHT(A481,3)</f>
        <v>#N/A</v>
      </c>
      <c r="I481" s="66">
        <f t="shared" si="49"/>
        <v>0</v>
      </c>
      <c r="K481" s="66" t="str">
        <f t="shared" si="50"/>
        <v/>
      </c>
      <c r="L481" s="66" t="str">
        <f t="shared" si="51"/>
        <v/>
      </c>
      <c r="M481" s="66" t="str">
        <f t="shared" si="52"/>
        <v/>
      </c>
      <c r="N481" s="66" t="str">
        <f t="shared" si="53"/>
        <v/>
      </c>
      <c r="O481" s="66" t="str">
        <f t="shared" si="54"/>
        <v/>
      </c>
      <c r="P481" s="66" t="str">
        <f t="shared" si="55"/>
        <v/>
      </c>
    </row>
    <row r="482" spans="8:16">
      <c r="H482" s="66" t="e">
        <f>IF(LEFT(A482,6)="CEPNTR","GPINS",VLOOKUP(LEFT(A482,6),'Code Library'!$A$3:$B$920,2,0))&amp;"_"&amp;RIGHT(A482,3)</f>
        <v>#N/A</v>
      </c>
      <c r="I482" s="66">
        <f t="shared" si="49"/>
        <v>0</v>
      </c>
      <c r="K482" s="66" t="str">
        <f t="shared" si="50"/>
        <v/>
      </c>
      <c r="L482" s="66" t="str">
        <f t="shared" si="51"/>
        <v/>
      </c>
      <c r="M482" s="66" t="str">
        <f t="shared" si="52"/>
        <v/>
      </c>
      <c r="N482" s="66" t="str">
        <f t="shared" si="53"/>
        <v/>
      </c>
      <c r="O482" s="66" t="str">
        <f t="shared" si="54"/>
        <v/>
      </c>
      <c r="P482" s="66" t="str">
        <f t="shared" si="55"/>
        <v/>
      </c>
    </row>
    <row r="483" spans="8:16">
      <c r="H483" s="66" t="e">
        <f>IF(LEFT(A483,6)="CEPNTR","GPINS",VLOOKUP(LEFT(A483,6),'Code Library'!$A$3:$B$920,2,0))&amp;"_"&amp;RIGHT(A483,3)</f>
        <v>#N/A</v>
      </c>
      <c r="I483" s="66">
        <f t="shared" si="49"/>
        <v>0</v>
      </c>
      <c r="K483" s="66" t="str">
        <f t="shared" si="50"/>
        <v/>
      </c>
      <c r="L483" s="66" t="str">
        <f t="shared" si="51"/>
        <v/>
      </c>
      <c r="M483" s="66" t="str">
        <f t="shared" si="52"/>
        <v/>
      </c>
      <c r="N483" s="66" t="str">
        <f t="shared" si="53"/>
        <v/>
      </c>
      <c r="O483" s="66" t="str">
        <f t="shared" si="54"/>
        <v/>
      </c>
      <c r="P483" s="66" t="str">
        <f t="shared" si="55"/>
        <v/>
      </c>
    </row>
    <row r="484" spans="8:16">
      <c r="H484" s="66" t="e">
        <f>IF(LEFT(A484,6)="CEPNTR","GPINS",VLOOKUP(LEFT(A484,6),'Code Library'!$A$3:$B$920,2,0))&amp;"_"&amp;RIGHT(A484,3)</f>
        <v>#N/A</v>
      </c>
      <c r="I484" s="66">
        <f t="shared" si="49"/>
        <v>0</v>
      </c>
      <c r="K484" s="66" t="str">
        <f t="shared" si="50"/>
        <v/>
      </c>
      <c r="L484" s="66" t="str">
        <f t="shared" si="51"/>
        <v/>
      </c>
      <c r="M484" s="66" t="str">
        <f t="shared" si="52"/>
        <v/>
      </c>
      <c r="N484" s="66" t="str">
        <f t="shared" si="53"/>
        <v/>
      </c>
      <c r="O484" s="66" t="str">
        <f t="shared" si="54"/>
        <v/>
      </c>
      <c r="P484" s="66" t="str">
        <f t="shared" si="55"/>
        <v/>
      </c>
    </row>
    <row r="485" spans="8:16">
      <c r="H485" s="66" t="e">
        <f>IF(LEFT(A485,6)="CEPNTR","GPINS",VLOOKUP(LEFT(A485,6),'Code Library'!$A$3:$B$920,2,0))&amp;"_"&amp;RIGHT(A485,3)</f>
        <v>#N/A</v>
      </c>
      <c r="I485" s="66">
        <f t="shared" si="49"/>
        <v>0</v>
      </c>
      <c r="K485" s="66" t="str">
        <f t="shared" si="50"/>
        <v/>
      </c>
      <c r="L485" s="66" t="str">
        <f t="shared" si="51"/>
        <v/>
      </c>
      <c r="M485" s="66" t="str">
        <f t="shared" si="52"/>
        <v/>
      </c>
      <c r="N485" s="66" t="str">
        <f t="shared" si="53"/>
        <v/>
      </c>
      <c r="O485" s="66" t="str">
        <f t="shared" si="54"/>
        <v/>
      </c>
      <c r="P485" s="66" t="str">
        <f t="shared" si="55"/>
        <v/>
      </c>
    </row>
    <row r="486" spans="8:16">
      <c r="H486" s="66" t="e">
        <f>IF(LEFT(A486,6)="CEPNTR","GPINS",VLOOKUP(LEFT(A486,6),'Code Library'!$A$3:$B$920,2,0))&amp;"_"&amp;RIGHT(A486,3)</f>
        <v>#N/A</v>
      </c>
      <c r="I486" s="66">
        <f t="shared" si="49"/>
        <v>0</v>
      </c>
      <c r="K486" s="66" t="str">
        <f t="shared" si="50"/>
        <v/>
      </c>
      <c r="L486" s="66" t="str">
        <f t="shared" si="51"/>
        <v/>
      </c>
      <c r="M486" s="66" t="str">
        <f t="shared" si="52"/>
        <v/>
      </c>
      <c r="N486" s="66" t="str">
        <f t="shared" si="53"/>
        <v/>
      </c>
      <c r="O486" s="66" t="str">
        <f t="shared" si="54"/>
        <v/>
      </c>
      <c r="P486" s="66" t="str">
        <f t="shared" si="55"/>
        <v/>
      </c>
    </row>
    <row r="487" spans="8:16">
      <c r="H487" s="66" t="e">
        <f>IF(LEFT(A487,6)="CEPNTR","GPINS",VLOOKUP(LEFT(A487,6),'Code Library'!$A$3:$B$920,2,0))&amp;"_"&amp;RIGHT(A487,3)</f>
        <v>#N/A</v>
      </c>
      <c r="I487" s="66">
        <f t="shared" si="49"/>
        <v>0</v>
      </c>
      <c r="K487" s="66" t="str">
        <f t="shared" si="50"/>
        <v/>
      </c>
      <c r="L487" s="66" t="str">
        <f t="shared" si="51"/>
        <v/>
      </c>
      <c r="M487" s="66" t="str">
        <f t="shared" si="52"/>
        <v/>
      </c>
      <c r="N487" s="66" t="str">
        <f t="shared" si="53"/>
        <v/>
      </c>
      <c r="O487" s="66" t="str">
        <f t="shared" si="54"/>
        <v/>
      </c>
      <c r="P487" s="66" t="str">
        <f t="shared" si="55"/>
        <v/>
      </c>
    </row>
    <row r="488" spans="8:16">
      <c r="H488" s="66" t="e">
        <f>IF(LEFT(A488,6)="CEPNTR","GPINS",VLOOKUP(LEFT(A488,6),'Code Library'!$A$3:$B$920,2,0))&amp;"_"&amp;RIGHT(A488,3)</f>
        <v>#N/A</v>
      </c>
      <c r="I488" s="66">
        <f t="shared" si="49"/>
        <v>0</v>
      </c>
      <c r="K488" s="66" t="str">
        <f t="shared" si="50"/>
        <v/>
      </c>
      <c r="L488" s="66" t="str">
        <f t="shared" si="51"/>
        <v/>
      </c>
      <c r="M488" s="66" t="str">
        <f t="shared" si="52"/>
        <v/>
      </c>
      <c r="N488" s="66" t="str">
        <f t="shared" si="53"/>
        <v/>
      </c>
      <c r="O488" s="66" t="str">
        <f t="shared" si="54"/>
        <v/>
      </c>
      <c r="P488" s="66" t="str">
        <f t="shared" si="55"/>
        <v/>
      </c>
    </row>
    <row r="489" spans="8:16">
      <c r="H489" s="66" t="e">
        <f>IF(LEFT(A489,6)="CEPNTR","GPINS",VLOOKUP(LEFT(A489,6),'Code Library'!$A$3:$B$920,2,0))&amp;"_"&amp;RIGHT(A489,3)</f>
        <v>#N/A</v>
      </c>
      <c r="I489" s="66">
        <f t="shared" si="49"/>
        <v>0</v>
      </c>
      <c r="K489" s="66" t="str">
        <f t="shared" si="50"/>
        <v/>
      </c>
      <c r="L489" s="66" t="str">
        <f t="shared" si="51"/>
        <v/>
      </c>
      <c r="M489" s="66" t="str">
        <f t="shared" si="52"/>
        <v/>
      </c>
      <c r="N489" s="66" t="str">
        <f t="shared" si="53"/>
        <v/>
      </c>
      <c r="O489" s="66" t="str">
        <f t="shared" si="54"/>
        <v/>
      </c>
      <c r="P489" s="66" t="str">
        <f t="shared" si="55"/>
        <v/>
      </c>
    </row>
    <row r="490" spans="8:16">
      <c r="H490" s="66" t="e">
        <f>IF(LEFT(A490,6)="CEPNTR","GPINS",VLOOKUP(LEFT(A490,6),'Code Library'!$A$3:$B$920,2,0))&amp;"_"&amp;RIGHT(A490,3)</f>
        <v>#N/A</v>
      </c>
      <c r="I490" s="66">
        <f t="shared" si="49"/>
        <v>0</v>
      </c>
      <c r="K490" s="66" t="str">
        <f t="shared" si="50"/>
        <v/>
      </c>
      <c r="L490" s="66" t="str">
        <f t="shared" si="51"/>
        <v/>
      </c>
      <c r="M490" s="66" t="str">
        <f t="shared" si="52"/>
        <v/>
      </c>
      <c r="N490" s="66" t="str">
        <f t="shared" si="53"/>
        <v/>
      </c>
      <c r="O490" s="66" t="str">
        <f t="shared" si="54"/>
        <v/>
      </c>
      <c r="P490" s="66" t="str">
        <f t="shared" si="55"/>
        <v/>
      </c>
    </row>
    <row r="491" spans="8:16">
      <c r="H491" s="66" t="e">
        <f>IF(LEFT(A491,6)="CEPNTR","GPINS",VLOOKUP(LEFT(A491,6),'Code Library'!$A$3:$B$920,2,0))&amp;"_"&amp;RIGHT(A491,3)</f>
        <v>#N/A</v>
      </c>
      <c r="I491" s="66">
        <f t="shared" si="49"/>
        <v>0</v>
      </c>
      <c r="K491" s="66" t="str">
        <f t="shared" si="50"/>
        <v/>
      </c>
      <c r="L491" s="66" t="str">
        <f t="shared" si="51"/>
        <v/>
      </c>
      <c r="M491" s="66" t="str">
        <f t="shared" si="52"/>
        <v/>
      </c>
      <c r="N491" s="66" t="str">
        <f t="shared" si="53"/>
        <v/>
      </c>
      <c r="O491" s="66" t="str">
        <f t="shared" si="54"/>
        <v/>
      </c>
      <c r="P491" s="66" t="str">
        <f t="shared" si="55"/>
        <v/>
      </c>
    </row>
    <row r="492" spans="8:16">
      <c r="H492" s="66" t="e">
        <f>IF(LEFT(A492,6)="CEPNTR","GPINS",VLOOKUP(LEFT(A492,6),'Code Library'!$A$3:$B$920,2,0))&amp;"_"&amp;RIGHT(A492,3)</f>
        <v>#N/A</v>
      </c>
      <c r="I492" s="66">
        <f t="shared" si="49"/>
        <v>0</v>
      </c>
      <c r="K492" s="66" t="str">
        <f t="shared" si="50"/>
        <v/>
      </c>
      <c r="L492" s="66" t="str">
        <f t="shared" si="51"/>
        <v/>
      </c>
      <c r="M492" s="66" t="str">
        <f t="shared" si="52"/>
        <v/>
      </c>
      <c r="N492" s="66" t="str">
        <f t="shared" si="53"/>
        <v/>
      </c>
      <c r="O492" s="66" t="str">
        <f t="shared" si="54"/>
        <v/>
      </c>
      <c r="P492" s="66" t="str">
        <f t="shared" si="55"/>
        <v/>
      </c>
    </row>
    <row r="493" spans="8:16">
      <c r="H493" s="66" t="e">
        <f>IF(LEFT(A493,6)="CEPNTR","GPINS",VLOOKUP(LEFT(A493,6),'Code Library'!$A$3:$B$920,2,0))&amp;"_"&amp;RIGHT(A493,3)</f>
        <v>#N/A</v>
      </c>
      <c r="I493" s="66">
        <f t="shared" si="49"/>
        <v>0</v>
      </c>
      <c r="K493" s="66" t="str">
        <f t="shared" si="50"/>
        <v/>
      </c>
      <c r="L493" s="66" t="str">
        <f t="shared" si="51"/>
        <v/>
      </c>
      <c r="M493" s="66" t="str">
        <f t="shared" si="52"/>
        <v/>
      </c>
      <c r="N493" s="66" t="str">
        <f t="shared" si="53"/>
        <v/>
      </c>
      <c r="O493" s="66" t="str">
        <f t="shared" si="54"/>
        <v/>
      </c>
      <c r="P493" s="66" t="str">
        <f t="shared" si="55"/>
        <v/>
      </c>
    </row>
    <row r="494" spans="8:16">
      <c r="H494" s="66" t="e">
        <f>IF(LEFT(A494,6)="CEPNTR","GPINS",VLOOKUP(LEFT(A494,6),'Code Library'!$A$3:$B$920,2,0))&amp;"_"&amp;RIGHT(A494,3)</f>
        <v>#N/A</v>
      </c>
      <c r="I494" s="66">
        <f t="shared" si="49"/>
        <v>0</v>
      </c>
      <c r="K494" s="66" t="str">
        <f t="shared" si="50"/>
        <v/>
      </c>
      <c r="L494" s="66" t="str">
        <f t="shared" si="51"/>
        <v/>
      </c>
      <c r="M494" s="66" t="str">
        <f t="shared" si="52"/>
        <v/>
      </c>
      <c r="N494" s="66" t="str">
        <f t="shared" si="53"/>
        <v/>
      </c>
      <c r="O494" s="66" t="str">
        <f t="shared" si="54"/>
        <v/>
      </c>
      <c r="P494" s="66" t="str">
        <f t="shared" si="55"/>
        <v/>
      </c>
    </row>
    <row r="495" spans="8:16">
      <c r="H495" s="66" t="e">
        <f>IF(LEFT(A495,6)="CEPNTR","GPINS",VLOOKUP(LEFT(A495,6),'Code Library'!$A$3:$B$920,2,0))&amp;"_"&amp;RIGHT(A495,3)</f>
        <v>#N/A</v>
      </c>
      <c r="I495" s="66">
        <f t="shared" si="49"/>
        <v>0</v>
      </c>
      <c r="K495" s="66" t="str">
        <f t="shared" si="50"/>
        <v/>
      </c>
      <c r="L495" s="66" t="str">
        <f t="shared" si="51"/>
        <v/>
      </c>
      <c r="M495" s="66" t="str">
        <f t="shared" si="52"/>
        <v/>
      </c>
      <c r="N495" s="66" t="str">
        <f t="shared" si="53"/>
        <v/>
      </c>
      <c r="O495" s="66" t="str">
        <f t="shared" si="54"/>
        <v/>
      </c>
      <c r="P495" s="66" t="str">
        <f t="shared" si="55"/>
        <v/>
      </c>
    </row>
    <row r="496" spans="8:16">
      <c r="H496" s="66" t="e">
        <f>IF(LEFT(A496,6)="CEPNTR","GPINS",VLOOKUP(LEFT(A496,6),'Code Library'!$A$3:$B$920,2,0))&amp;"_"&amp;RIGHT(A496,3)</f>
        <v>#N/A</v>
      </c>
      <c r="I496" s="66">
        <f t="shared" si="49"/>
        <v>0</v>
      </c>
      <c r="K496" s="66" t="str">
        <f t="shared" si="50"/>
        <v/>
      </c>
      <c r="L496" s="66" t="str">
        <f t="shared" si="51"/>
        <v/>
      </c>
      <c r="M496" s="66" t="str">
        <f t="shared" si="52"/>
        <v/>
      </c>
      <c r="N496" s="66" t="str">
        <f t="shared" si="53"/>
        <v/>
      </c>
      <c r="O496" s="66" t="str">
        <f t="shared" si="54"/>
        <v/>
      </c>
      <c r="P496" s="66" t="str">
        <f t="shared" si="55"/>
        <v/>
      </c>
    </row>
    <row r="497" spans="8:16">
      <c r="H497" s="66" t="e">
        <f>IF(LEFT(A497,6)="CEPNTR","GPINS",VLOOKUP(LEFT(A497,6),'Code Library'!$A$3:$B$920,2,0))&amp;"_"&amp;RIGHT(A497,3)</f>
        <v>#N/A</v>
      </c>
      <c r="I497" s="66">
        <f t="shared" si="49"/>
        <v>0</v>
      </c>
      <c r="K497" s="66" t="str">
        <f t="shared" si="50"/>
        <v/>
      </c>
      <c r="L497" s="66" t="str">
        <f t="shared" si="51"/>
        <v/>
      </c>
      <c r="M497" s="66" t="str">
        <f t="shared" si="52"/>
        <v/>
      </c>
      <c r="N497" s="66" t="str">
        <f t="shared" si="53"/>
        <v/>
      </c>
      <c r="O497" s="66" t="str">
        <f t="shared" si="54"/>
        <v/>
      </c>
      <c r="P497" s="66" t="str">
        <f t="shared" si="55"/>
        <v/>
      </c>
    </row>
    <row r="498" spans="8:16">
      <c r="H498" s="66" t="e">
        <f>IF(LEFT(A498,6)="CEPNTR","GPINS",VLOOKUP(LEFT(A498,6),'Code Library'!$A$3:$B$920,2,0))&amp;"_"&amp;RIGHT(A498,3)</f>
        <v>#N/A</v>
      </c>
      <c r="I498" s="66">
        <f t="shared" si="49"/>
        <v>0</v>
      </c>
      <c r="K498" s="66" t="str">
        <f t="shared" si="50"/>
        <v/>
      </c>
      <c r="L498" s="66" t="str">
        <f t="shared" si="51"/>
        <v/>
      </c>
      <c r="M498" s="66" t="str">
        <f t="shared" si="52"/>
        <v/>
      </c>
      <c r="N498" s="66" t="str">
        <f t="shared" si="53"/>
        <v/>
      </c>
      <c r="O498" s="66" t="str">
        <f t="shared" si="54"/>
        <v/>
      </c>
      <c r="P498" s="66" t="str">
        <f t="shared" si="55"/>
        <v/>
      </c>
    </row>
    <row r="499" spans="8:16">
      <c r="H499" s="66" t="e">
        <f>IF(LEFT(A499,6)="CEPNTR","GPINS",VLOOKUP(LEFT(A499,6),'Code Library'!$A$3:$B$920,2,0))&amp;"_"&amp;RIGHT(A499,3)</f>
        <v>#N/A</v>
      </c>
      <c r="I499" s="66">
        <f t="shared" si="49"/>
        <v>0</v>
      </c>
      <c r="K499" s="66" t="str">
        <f t="shared" si="50"/>
        <v/>
      </c>
      <c r="L499" s="66" t="str">
        <f t="shared" si="51"/>
        <v/>
      </c>
      <c r="M499" s="66" t="str">
        <f t="shared" si="52"/>
        <v/>
      </c>
      <c r="N499" s="66" t="str">
        <f t="shared" si="53"/>
        <v/>
      </c>
      <c r="O499" s="66" t="str">
        <f t="shared" si="54"/>
        <v/>
      </c>
      <c r="P499" s="66" t="str">
        <f t="shared" si="55"/>
        <v/>
      </c>
    </row>
    <row r="500" spans="8:16">
      <c r="H500" s="66" t="e">
        <f>IF(LEFT(A500,6)="CEPNTR","GPINS",VLOOKUP(LEFT(A500,6),'Code Library'!$A$3:$B$920,2,0))&amp;"_"&amp;RIGHT(A500,3)</f>
        <v>#N/A</v>
      </c>
      <c r="I500" s="66">
        <f t="shared" si="49"/>
        <v>0</v>
      </c>
      <c r="K500" s="66" t="str">
        <f t="shared" si="50"/>
        <v/>
      </c>
      <c r="L500" s="66" t="str">
        <f t="shared" si="51"/>
        <v/>
      </c>
      <c r="M500" s="66" t="str">
        <f t="shared" si="52"/>
        <v/>
      </c>
      <c r="N500" s="66" t="str">
        <f t="shared" si="53"/>
        <v/>
      </c>
      <c r="O500" s="66" t="str">
        <f t="shared" si="54"/>
        <v/>
      </c>
      <c r="P500" s="66" t="str">
        <f t="shared" si="55"/>
        <v/>
      </c>
    </row>
    <row r="501" spans="8:16">
      <c r="H501" s="66" t="e">
        <f>IF(LEFT(A501,6)="CEPNTR","GPINS",VLOOKUP(LEFT(A501,6),'Code Library'!$A$3:$B$920,2,0))&amp;"_"&amp;RIGHT(A501,3)</f>
        <v>#N/A</v>
      </c>
      <c r="I501" s="66">
        <f t="shared" si="49"/>
        <v>0</v>
      </c>
      <c r="K501" s="66" t="str">
        <f t="shared" si="50"/>
        <v/>
      </c>
      <c r="L501" s="66" t="str">
        <f t="shared" si="51"/>
        <v/>
      </c>
      <c r="M501" s="66" t="str">
        <f t="shared" si="52"/>
        <v/>
      </c>
      <c r="N501" s="66" t="str">
        <f t="shared" si="53"/>
        <v/>
      </c>
      <c r="O501" s="66" t="str">
        <f t="shared" si="54"/>
        <v/>
      </c>
      <c r="P501" s="66" t="str">
        <f t="shared" si="55"/>
        <v/>
      </c>
    </row>
    <row r="502" spans="8:16">
      <c r="H502" s="66" t="e">
        <f>IF(LEFT(A502,6)="CEPNTR","GPINS",VLOOKUP(LEFT(A502,6),'Code Library'!$A$3:$B$920,2,0))&amp;"_"&amp;RIGHT(A502,3)</f>
        <v>#N/A</v>
      </c>
      <c r="I502" s="66">
        <f t="shared" si="49"/>
        <v>0</v>
      </c>
      <c r="K502" s="66" t="str">
        <f t="shared" si="50"/>
        <v/>
      </c>
      <c r="L502" s="66" t="str">
        <f t="shared" si="51"/>
        <v/>
      </c>
      <c r="M502" s="66" t="str">
        <f t="shared" si="52"/>
        <v/>
      </c>
      <c r="N502" s="66" t="str">
        <f t="shared" si="53"/>
        <v/>
      </c>
      <c r="O502" s="66" t="str">
        <f t="shared" si="54"/>
        <v/>
      </c>
      <c r="P502" s="66" t="str">
        <f t="shared" si="55"/>
        <v/>
      </c>
    </row>
    <row r="503" spans="8:16">
      <c r="H503" s="66" t="e">
        <f>IF(LEFT(A503,6)="CEPNTR","GPINS",VLOOKUP(LEFT(A503,6),'Code Library'!$A$3:$B$920,2,0))&amp;"_"&amp;RIGHT(A503,3)</f>
        <v>#N/A</v>
      </c>
      <c r="I503" s="66">
        <f t="shared" si="49"/>
        <v>0</v>
      </c>
      <c r="K503" s="66" t="str">
        <f t="shared" si="50"/>
        <v/>
      </c>
      <c r="L503" s="66" t="str">
        <f t="shared" si="51"/>
        <v/>
      </c>
      <c r="M503" s="66" t="str">
        <f t="shared" si="52"/>
        <v/>
      </c>
      <c r="N503" s="66" t="str">
        <f t="shared" si="53"/>
        <v/>
      </c>
      <c r="O503" s="66" t="str">
        <f t="shared" si="54"/>
        <v/>
      </c>
      <c r="P503" s="66" t="str">
        <f t="shared" si="55"/>
        <v/>
      </c>
    </row>
    <row r="504" spans="8:16">
      <c r="H504" s="66" t="e">
        <f>IF(LEFT(A504,6)="CEPNTR","GPINS",VLOOKUP(LEFT(A504,6),'Code Library'!$A$3:$B$920,2,0))&amp;"_"&amp;RIGHT(A504,3)</f>
        <v>#N/A</v>
      </c>
      <c r="I504" s="66">
        <f t="shared" si="49"/>
        <v>0</v>
      </c>
      <c r="K504" s="66" t="str">
        <f t="shared" si="50"/>
        <v/>
      </c>
      <c r="L504" s="66" t="str">
        <f t="shared" si="51"/>
        <v/>
      </c>
      <c r="M504" s="66" t="str">
        <f t="shared" si="52"/>
        <v/>
      </c>
      <c r="N504" s="66" t="str">
        <f t="shared" si="53"/>
        <v/>
      </c>
      <c r="O504" s="66" t="str">
        <f t="shared" si="54"/>
        <v/>
      </c>
      <c r="P504" s="66" t="str">
        <f t="shared" si="55"/>
        <v/>
      </c>
    </row>
    <row r="505" spans="8:16">
      <c r="H505" s="66" t="e">
        <f>IF(LEFT(A505,6)="CEPNTR","GPINS",VLOOKUP(LEFT(A505,6),'Code Library'!$A$3:$B$920,2,0))&amp;"_"&amp;RIGHT(A505,3)</f>
        <v>#N/A</v>
      </c>
      <c r="I505" s="66">
        <f t="shared" si="49"/>
        <v>0</v>
      </c>
      <c r="K505" s="66" t="str">
        <f t="shared" si="50"/>
        <v/>
      </c>
      <c r="L505" s="66" t="str">
        <f t="shared" si="51"/>
        <v/>
      </c>
      <c r="M505" s="66" t="str">
        <f t="shared" si="52"/>
        <v/>
      </c>
      <c r="N505" s="66" t="str">
        <f t="shared" si="53"/>
        <v/>
      </c>
      <c r="O505" s="66" t="str">
        <f t="shared" si="54"/>
        <v/>
      </c>
      <c r="P505" s="66" t="str">
        <f t="shared" si="55"/>
        <v/>
      </c>
    </row>
    <row r="506" spans="8:16">
      <c r="H506" s="66" t="e">
        <f>IF(LEFT(A506,6)="CEPNTR","GPINS",VLOOKUP(LEFT(A506,6),'Code Library'!$A$3:$B$920,2,0))&amp;"_"&amp;RIGHT(A506,3)</f>
        <v>#N/A</v>
      </c>
      <c r="I506" s="66">
        <f t="shared" si="49"/>
        <v>0</v>
      </c>
      <c r="K506" s="66" t="str">
        <f t="shared" si="50"/>
        <v/>
      </c>
      <c r="L506" s="66" t="str">
        <f t="shared" si="51"/>
        <v/>
      </c>
      <c r="M506" s="66" t="str">
        <f t="shared" si="52"/>
        <v/>
      </c>
      <c r="N506" s="66" t="str">
        <f t="shared" si="53"/>
        <v/>
      </c>
      <c r="O506" s="66" t="str">
        <f t="shared" si="54"/>
        <v/>
      </c>
      <c r="P506" s="66" t="str">
        <f t="shared" si="55"/>
        <v/>
      </c>
    </row>
    <row r="507" spans="8:16">
      <c r="H507" s="66" t="e">
        <f>IF(LEFT(A507,6)="CEPNTR","GPINS",VLOOKUP(LEFT(A507,6),'Code Library'!$A$3:$B$920,2,0))&amp;"_"&amp;RIGHT(A507,3)</f>
        <v>#N/A</v>
      </c>
      <c r="I507" s="66">
        <f t="shared" si="49"/>
        <v>0</v>
      </c>
      <c r="K507" s="66" t="str">
        <f t="shared" si="50"/>
        <v/>
      </c>
      <c r="L507" s="66" t="str">
        <f t="shared" si="51"/>
        <v/>
      </c>
      <c r="M507" s="66" t="str">
        <f t="shared" si="52"/>
        <v/>
      </c>
      <c r="N507" s="66" t="str">
        <f t="shared" si="53"/>
        <v/>
      </c>
      <c r="O507" s="66" t="str">
        <f t="shared" si="54"/>
        <v/>
      </c>
      <c r="P507" s="66" t="str">
        <f t="shared" si="55"/>
        <v/>
      </c>
    </row>
    <row r="508" spans="8:16">
      <c r="H508" s="66" t="e">
        <f>IF(LEFT(A508,6)="CEPNTR","GPINS",VLOOKUP(LEFT(A508,6),'Code Library'!$A$3:$B$920,2,0))&amp;"_"&amp;RIGHT(A508,3)</f>
        <v>#N/A</v>
      </c>
      <c r="I508" s="66">
        <f t="shared" si="49"/>
        <v>0</v>
      </c>
      <c r="K508" s="66" t="str">
        <f t="shared" si="50"/>
        <v/>
      </c>
      <c r="L508" s="66" t="str">
        <f t="shared" si="51"/>
        <v/>
      </c>
      <c r="M508" s="66" t="str">
        <f t="shared" si="52"/>
        <v/>
      </c>
      <c r="N508" s="66" t="str">
        <f t="shared" si="53"/>
        <v/>
      </c>
      <c r="O508" s="66" t="str">
        <f t="shared" si="54"/>
        <v/>
      </c>
      <c r="P508" s="66" t="str">
        <f t="shared" si="55"/>
        <v/>
      </c>
    </row>
    <row r="509" spans="8:16">
      <c r="H509" s="66" t="e">
        <f>IF(LEFT(A509,6)="CEPNTR","GPINS",VLOOKUP(LEFT(A509,6),'Code Library'!$A$3:$B$920,2,0))&amp;"_"&amp;RIGHT(A509,3)</f>
        <v>#N/A</v>
      </c>
      <c r="I509" s="66">
        <f t="shared" si="49"/>
        <v>0</v>
      </c>
      <c r="K509" s="66" t="str">
        <f t="shared" si="50"/>
        <v/>
      </c>
      <c r="L509" s="66" t="str">
        <f t="shared" si="51"/>
        <v/>
      </c>
      <c r="M509" s="66" t="str">
        <f t="shared" si="52"/>
        <v/>
      </c>
      <c r="N509" s="66" t="str">
        <f t="shared" si="53"/>
        <v/>
      </c>
      <c r="O509" s="66" t="str">
        <f t="shared" si="54"/>
        <v/>
      </c>
      <c r="P509" s="66" t="str">
        <f t="shared" si="55"/>
        <v/>
      </c>
    </row>
    <row r="510" spans="8:16">
      <c r="H510" s="66" t="e">
        <f>IF(LEFT(A510,6)="CEPNTR","GPINS",VLOOKUP(LEFT(A510,6),'Code Library'!$A$3:$B$920,2,0))&amp;"_"&amp;RIGHT(A510,3)</f>
        <v>#N/A</v>
      </c>
      <c r="I510" s="66">
        <f t="shared" si="49"/>
        <v>0</v>
      </c>
      <c r="K510" s="66" t="str">
        <f t="shared" si="50"/>
        <v/>
      </c>
      <c r="L510" s="66" t="str">
        <f t="shared" si="51"/>
        <v/>
      </c>
      <c r="M510" s="66" t="str">
        <f t="shared" si="52"/>
        <v/>
      </c>
      <c r="N510" s="66" t="str">
        <f t="shared" si="53"/>
        <v/>
      </c>
      <c r="O510" s="66" t="str">
        <f t="shared" si="54"/>
        <v/>
      </c>
      <c r="P510" s="66" t="str">
        <f t="shared" si="55"/>
        <v/>
      </c>
    </row>
    <row r="511" spans="8:16">
      <c r="H511" s="66" t="e">
        <f>IF(LEFT(A511,6)="CEPNTR","GPINS",VLOOKUP(LEFT(A511,6),'Code Library'!$A$3:$B$920,2,0))&amp;"_"&amp;RIGHT(A511,3)</f>
        <v>#N/A</v>
      </c>
      <c r="I511" s="66">
        <f t="shared" si="49"/>
        <v>0</v>
      </c>
      <c r="K511" s="66" t="str">
        <f t="shared" si="50"/>
        <v/>
      </c>
      <c r="L511" s="66" t="str">
        <f t="shared" si="51"/>
        <v/>
      </c>
      <c r="M511" s="66" t="str">
        <f t="shared" si="52"/>
        <v/>
      </c>
      <c r="N511" s="66" t="str">
        <f t="shared" si="53"/>
        <v/>
      </c>
      <c r="O511" s="66" t="str">
        <f t="shared" si="54"/>
        <v/>
      </c>
      <c r="P511" s="66" t="str">
        <f t="shared" si="55"/>
        <v/>
      </c>
    </row>
    <row r="512" spans="8:16">
      <c r="H512" s="66" t="e">
        <f>IF(LEFT(A512,6)="CEPNTR","GPINS",VLOOKUP(LEFT(A512,6),'Code Library'!$A$3:$B$920,2,0))&amp;"_"&amp;RIGHT(A512,3)</f>
        <v>#N/A</v>
      </c>
      <c r="I512" s="66">
        <f t="shared" si="49"/>
        <v>0</v>
      </c>
      <c r="K512" s="66" t="str">
        <f t="shared" si="50"/>
        <v/>
      </c>
      <c r="L512" s="66" t="str">
        <f t="shared" si="51"/>
        <v/>
      </c>
      <c r="M512" s="66" t="str">
        <f t="shared" si="52"/>
        <v/>
      </c>
      <c r="N512" s="66" t="str">
        <f t="shared" si="53"/>
        <v/>
      </c>
      <c r="O512" s="66" t="str">
        <f t="shared" si="54"/>
        <v/>
      </c>
      <c r="P512" s="66" t="str">
        <f t="shared" si="55"/>
        <v/>
      </c>
    </row>
    <row r="513" spans="8:16">
      <c r="H513" s="66" t="e">
        <f>IF(LEFT(A513,6)="CEPNTR","GPINS",VLOOKUP(LEFT(A513,6),'Code Library'!$A$3:$B$920,2,0))&amp;"_"&amp;RIGHT(A513,3)</f>
        <v>#N/A</v>
      </c>
      <c r="I513" s="66">
        <f t="shared" si="49"/>
        <v>0</v>
      </c>
      <c r="K513" s="66" t="str">
        <f t="shared" si="50"/>
        <v/>
      </c>
      <c r="L513" s="66" t="str">
        <f t="shared" si="51"/>
        <v/>
      </c>
      <c r="M513" s="66" t="str">
        <f t="shared" si="52"/>
        <v/>
      </c>
      <c r="N513" s="66" t="str">
        <f t="shared" si="53"/>
        <v/>
      </c>
      <c r="O513" s="66" t="str">
        <f t="shared" si="54"/>
        <v/>
      </c>
      <c r="P513" s="66" t="str">
        <f t="shared" si="55"/>
        <v/>
      </c>
    </row>
    <row r="514" spans="8:16">
      <c r="H514" s="66" t="e">
        <f>IF(LEFT(A514,6)="CEPNTR","GPINS",VLOOKUP(LEFT(A514,6),'Code Library'!$A$3:$B$920,2,0))&amp;"_"&amp;RIGHT(A514,3)</f>
        <v>#N/A</v>
      </c>
      <c r="I514" s="66">
        <f t="shared" si="49"/>
        <v>0</v>
      </c>
      <c r="K514" s="66" t="str">
        <f t="shared" si="50"/>
        <v/>
      </c>
      <c r="L514" s="66" t="str">
        <f t="shared" si="51"/>
        <v/>
      </c>
      <c r="M514" s="66" t="str">
        <f t="shared" si="52"/>
        <v/>
      </c>
      <c r="N514" s="66" t="str">
        <f t="shared" si="53"/>
        <v/>
      </c>
      <c r="O514" s="66" t="str">
        <f t="shared" si="54"/>
        <v/>
      </c>
      <c r="P514" s="66" t="str">
        <f t="shared" si="55"/>
        <v/>
      </c>
    </row>
    <row r="515" spans="8:16">
      <c r="H515" s="66" t="e">
        <f>IF(LEFT(A515,6)="CEPNTR","GPINS",VLOOKUP(LEFT(A515,6),'Code Library'!$A$3:$B$920,2,0))&amp;"_"&amp;RIGHT(A515,3)</f>
        <v>#N/A</v>
      </c>
      <c r="I515" s="66">
        <f t="shared" ref="I515:I578" si="56">A515</f>
        <v>0</v>
      </c>
      <c r="K515" s="66" t="str">
        <f t="shared" ref="K515:K578" si="57">RIGHT($B515,2)</f>
        <v/>
      </c>
      <c r="L515" s="66" t="str">
        <f t="shared" ref="L515:L578" si="58">LEFT(RIGHT($B515,7),4)</f>
        <v/>
      </c>
      <c r="M515" s="66" t="str">
        <f t="shared" ref="M515:M578" si="59">LEFT(RIGHT($B515,10),2)</f>
        <v/>
      </c>
      <c r="N515" s="66" t="str">
        <f t="shared" ref="N515:N578" si="60">LEFT(RIGHT($B515,14),3)</f>
        <v/>
      </c>
      <c r="O515" s="66" t="str">
        <f t="shared" ref="O515:O578" si="61">LEFT(RIGHT($B515,16),1)</f>
        <v/>
      </c>
      <c r="P515" s="66" t="str">
        <f t="shared" ref="P515:P578" si="62">LEFT(RIGHT($B515,19),2)</f>
        <v/>
      </c>
    </row>
    <row r="516" spans="8:16">
      <c r="H516" s="66" t="e">
        <f>IF(LEFT(A516,6)="CEPNTR","GPINS",VLOOKUP(LEFT(A516,6),'Code Library'!$A$3:$B$920,2,0))&amp;"_"&amp;RIGHT(A516,3)</f>
        <v>#N/A</v>
      </c>
      <c r="I516" s="66">
        <f t="shared" si="56"/>
        <v>0</v>
      </c>
      <c r="K516" s="66" t="str">
        <f t="shared" si="57"/>
        <v/>
      </c>
      <c r="L516" s="66" t="str">
        <f t="shared" si="58"/>
        <v/>
      </c>
      <c r="M516" s="66" t="str">
        <f t="shared" si="59"/>
        <v/>
      </c>
      <c r="N516" s="66" t="str">
        <f t="shared" si="60"/>
        <v/>
      </c>
      <c r="O516" s="66" t="str">
        <f t="shared" si="61"/>
        <v/>
      </c>
      <c r="P516" s="66" t="str">
        <f t="shared" si="62"/>
        <v/>
      </c>
    </row>
    <row r="517" spans="8:16">
      <c r="H517" s="66" t="e">
        <f>IF(LEFT(A517,6)="CEPNTR","GPINS",VLOOKUP(LEFT(A517,6),'Code Library'!$A$3:$B$920,2,0))&amp;"_"&amp;RIGHT(A517,3)</f>
        <v>#N/A</v>
      </c>
      <c r="I517" s="66">
        <f t="shared" si="56"/>
        <v>0</v>
      </c>
      <c r="K517" s="66" t="str">
        <f t="shared" si="57"/>
        <v/>
      </c>
      <c r="L517" s="66" t="str">
        <f t="shared" si="58"/>
        <v/>
      </c>
      <c r="M517" s="66" t="str">
        <f t="shared" si="59"/>
        <v/>
      </c>
      <c r="N517" s="66" t="str">
        <f t="shared" si="60"/>
        <v/>
      </c>
      <c r="O517" s="66" t="str">
        <f t="shared" si="61"/>
        <v/>
      </c>
      <c r="P517" s="66" t="str">
        <f t="shared" si="62"/>
        <v/>
      </c>
    </row>
    <row r="518" spans="8:16">
      <c r="H518" s="66" t="e">
        <f>IF(LEFT(A518,6)="CEPNTR","GPINS",VLOOKUP(LEFT(A518,6),'Code Library'!$A$3:$B$920,2,0))&amp;"_"&amp;RIGHT(A518,3)</f>
        <v>#N/A</v>
      </c>
      <c r="I518" s="66">
        <f t="shared" si="56"/>
        <v>0</v>
      </c>
      <c r="K518" s="66" t="str">
        <f t="shared" si="57"/>
        <v/>
      </c>
      <c r="L518" s="66" t="str">
        <f t="shared" si="58"/>
        <v/>
      </c>
      <c r="M518" s="66" t="str">
        <f t="shared" si="59"/>
        <v/>
      </c>
      <c r="N518" s="66" t="str">
        <f t="shared" si="60"/>
        <v/>
      </c>
      <c r="O518" s="66" t="str">
        <f t="shared" si="61"/>
        <v/>
      </c>
      <c r="P518" s="66" t="str">
        <f t="shared" si="62"/>
        <v/>
      </c>
    </row>
    <row r="519" spans="8:16">
      <c r="H519" s="66" t="e">
        <f>IF(LEFT(A519,6)="CEPNTR","GPINS",VLOOKUP(LEFT(A519,6),'Code Library'!$A$3:$B$920,2,0))&amp;"_"&amp;RIGHT(A519,3)</f>
        <v>#N/A</v>
      </c>
      <c r="I519" s="66">
        <f t="shared" si="56"/>
        <v>0</v>
      </c>
      <c r="K519" s="66" t="str">
        <f t="shared" si="57"/>
        <v/>
      </c>
      <c r="L519" s="66" t="str">
        <f t="shared" si="58"/>
        <v/>
      </c>
      <c r="M519" s="66" t="str">
        <f t="shared" si="59"/>
        <v/>
      </c>
      <c r="N519" s="66" t="str">
        <f t="shared" si="60"/>
        <v/>
      </c>
      <c r="O519" s="66" t="str">
        <f t="shared" si="61"/>
        <v/>
      </c>
      <c r="P519" s="66" t="str">
        <f t="shared" si="62"/>
        <v/>
      </c>
    </row>
    <row r="520" spans="8:16">
      <c r="H520" s="66" t="e">
        <f>IF(LEFT(A520,6)="CEPNTR","GPINS",VLOOKUP(LEFT(A520,6),'Code Library'!$A$3:$B$920,2,0))&amp;"_"&amp;RIGHT(A520,3)</f>
        <v>#N/A</v>
      </c>
      <c r="I520" s="66">
        <f t="shared" si="56"/>
        <v>0</v>
      </c>
      <c r="K520" s="66" t="str">
        <f t="shared" si="57"/>
        <v/>
      </c>
      <c r="L520" s="66" t="str">
        <f t="shared" si="58"/>
        <v/>
      </c>
      <c r="M520" s="66" t="str">
        <f t="shared" si="59"/>
        <v/>
      </c>
      <c r="N520" s="66" t="str">
        <f t="shared" si="60"/>
        <v/>
      </c>
      <c r="O520" s="66" t="str">
        <f t="shared" si="61"/>
        <v/>
      </c>
      <c r="P520" s="66" t="str">
        <f t="shared" si="62"/>
        <v/>
      </c>
    </row>
    <row r="521" spans="8:16">
      <c r="H521" s="66" t="e">
        <f>IF(LEFT(A521,6)="CEPNTR","GPINS",VLOOKUP(LEFT(A521,6),'Code Library'!$A$3:$B$920,2,0))&amp;"_"&amp;RIGHT(A521,3)</f>
        <v>#N/A</v>
      </c>
      <c r="I521" s="66">
        <f t="shared" si="56"/>
        <v>0</v>
      </c>
      <c r="K521" s="66" t="str">
        <f t="shared" si="57"/>
        <v/>
      </c>
      <c r="L521" s="66" t="str">
        <f t="shared" si="58"/>
        <v/>
      </c>
      <c r="M521" s="66" t="str">
        <f t="shared" si="59"/>
        <v/>
      </c>
      <c r="N521" s="66" t="str">
        <f t="shared" si="60"/>
        <v/>
      </c>
      <c r="O521" s="66" t="str">
        <f t="shared" si="61"/>
        <v/>
      </c>
      <c r="P521" s="66" t="str">
        <f t="shared" si="62"/>
        <v/>
      </c>
    </row>
    <row r="522" spans="8:16">
      <c r="H522" s="66" t="e">
        <f>IF(LEFT(A522,6)="CEPNTR","GPINS",VLOOKUP(LEFT(A522,6),'Code Library'!$A$3:$B$920,2,0))&amp;"_"&amp;RIGHT(A522,3)</f>
        <v>#N/A</v>
      </c>
      <c r="I522" s="66">
        <f t="shared" si="56"/>
        <v>0</v>
      </c>
      <c r="K522" s="66" t="str">
        <f t="shared" si="57"/>
        <v/>
      </c>
      <c r="L522" s="66" t="str">
        <f t="shared" si="58"/>
        <v/>
      </c>
      <c r="M522" s="66" t="str">
        <f t="shared" si="59"/>
        <v/>
      </c>
      <c r="N522" s="66" t="str">
        <f t="shared" si="60"/>
        <v/>
      </c>
      <c r="O522" s="66" t="str">
        <f t="shared" si="61"/>
        <v/>
      </c>
      <c r="P522" s="66" t="str">
        <f t="shared" si="62"/>
        <v/>
      </c>
    </row>
    <row r="523" spans="8:16">
      <c r="H523" s="66" t="e">
        <f>IF(LEFT(A523,6)="CEPNTR","GPINS",VLOOKUP(LEFT(A523,6),'Code Library'!$A$3:$B$920,2,0))&amp;"_"&amp;RIGHT(A523,3)</f>
        <v>#N/A</v>
      </c>
      <c r="I523" s="66">
        <f t="shared" si="56"/>
        <v>0</v>
      </c>
      <c r="K523" s="66" t="str">
        <f t="shared" si="57"/>
        <v/>
      </c>
      <c r="L523" s="66" t="str">
        <f t="shared" si="58"/>
        <v/>
      </c>
      <c r="M523" s="66" t="str">
        <f t="shared" si="59"/>
        <v/>
      </c>
      <c r="N523" s="66" t="str">
        <f t="shared" si="60"/>
        <v/>
      </c>
      <c r="O523" s="66" t="str">
        <f t="shared" si="61"/>
        <v/>
      </c>
      <c r="P523" s="66" t="str">
        <f t="shared" si="62"/>
        <v/>
      </c>
    </row>
    <row r="524" spans="8:16">
      <c r="H524" s="66" t="e">
        <f>IF(LEFT(A524,6)="CEPNTR","GPINS",VLOOKUP(LEFT(A524,6),'Code Library'!$A$3:$B$920,2,0))&amp;"_"&amp;RIGHT(A524,3)</f>
        <v>#N/A</v>
      </c>
      <c r="I524" s="66">
        <f t="shared" si="56"/>
        <v>0</v>
      </c>
      <c r="K524" s="66" t="str">
        <f t="shared" si="57"/>
        <v/>
      </c>
      <c r="L524" s="66" t="str">
        <f t="shared" si="58"/>
        <v/>
      </c>
      <c r="M524" s="66" t="str">
        <f t="shared" si="59"/>
        <v/>
      </c>
      <c r="N524" s="66" t="str">
        <f t="shared" si="60"/>
        <v/>
      </c>
      <c r="O524" s="66" t="str">
        <f t="shared" si="61"/>
        <v/>
      </c>
      <c r="P524" s="66" t="str">
        <f t="shared" si="62"/>
        <v/>
      </c>
    </row>
    <row r="525" spans="8:16">
      <c r="H525" s="66" t="e">
        <f>IF(LEFT(A525,6)="CEPNTR","GPINS",VLOOKUP(LEFT(A525,6),'Code Library'!$A$3:$B$920,2,0))&amp;"_"&amp;RIGHT(A525,3)</f>
        <v>#N/A</v>
      </c>
      <c r="I525" s="66">
        <f t="shared" si="56"/>
        <v>0</v>
      </c>
      <c r="K525" s="66" t="str">
        <f t="shared" si="57"/>
        <v/>
      </c>
      <c r="L525" s="66" t="str">
        <f t="shared" si="58"/>
        <v/>
      </c>
      <c r="M525" s="66" t="str">
        <f t="shared" si="59"/>
        <v/>
      </c>
      <c r="N525" s="66" t="str">
        <f t="shared" si="60"/>
        <v/>
      </c>
      <c r="O525" s="66" t="str">
        <f t="shared" si="61"/>
        <v/>
      </c>
      <c r="P525" s="66" t="str">
        <f t="shared" si="62"/>
        <v/>
      </c>
    </row>
    <row r="526" spans="8:16">
      <c r="H526" s="66" t="e">
        <f>IF(LEFT(A526,6)="CEPNTR","GPINS",VLOOKUP(LEFT(A526,6),'Code Library'!$A$3:$B$920,2,0))&amp;"_"&amp;RIGHT(A526,3)</f>
        <v>#N/A</v>
      </c>
      <c r="I526" s="66">
        <f t="shared" si="56"/>
        <v>0</v>
      </c>
      <c r="K526" s="66" t="str">
        <f t="shared" si="57"/>
        <v/>
      </c>
      <c r="L526" s="66" t="str">
        <f t="shared" si="58"/>
        <v/>
      </c>
      <c r="M526" s="66" t="str">
        <f t="shared" si="59"/>
        <v/>
      </c>
      <c r="N526" s="66" t="str">
        <f t="shared" si="60"/>
        <v/>
      </c>
      <c r="O526" s="66" t="str">
        <f t="shared" si="61"/>
        <v/>
      </c>
      <c r="P526" s="66" t="str">
        <f t="shared" si="62"/>
        <v/>
      </c>
    </row>
    <row r="527" spans="8:16">
      <c r="H527" s="66" t="e">
        <f>IF(LEFT(A527,6)="CEPNTR","GPINS",VLOOKUP(LEFT(A527,6),'Code Library'!$A$3:$B$920,2,0))&amp;"_"&amp;RIGHT(A527,3)</f>
        <v>#N/A</v>
      </c>
      <c r="I527" s="66">
        <f t="shared" si="56"/>
        <v>0</v>
      </c>
      <c r="K527" s="66" t="str">
        <f t="shared" si="57"/>
        <v/>
      </c>
      <c r="L527" s="66" t="str">
        <f t="shared" si="58"/>
        <v/>
      </c>
      <c r="M527" s="66" t="str">
        <f t="shared" si="59"/>
        <v/>
      </c>
      <c r="N527" s="66" t="str">
        <f t="shared" si="60"/>
        <v/>
      </c>
      <c r="O527" s="66" t="str">
        <f t="shared" si="61"/>
        <v/>
      </c>
      <c r="P527" s="66" t="str">
        <f t="shared" si="62"/>
        <v/>
      </c>
    </row>
    <row r="528" spans="8:16">
      <c r="H528" s="66" t="e">
        <f>IF(LEFT(A528,6)="CEPNTR","GPINS",VLOOKUP(LEFT(A528,6),'Code Library'!$A$3:$B$920,2,0))&amp;"_"&amp;RIGHT(A528,3)</f>
        <v>#N/A</v>
      </c>
      <c r="I528" s="66">
        <f t="shared" si="56"/>
        <v>0</v>
      </c>
      <c r="K528" s="66" t="str">
        <f t="shared" si="57"/>
        <v/>
      </c>
      <c r="L528" s="66" t="str">
        <f t="shared" si="58"/>
        <v/>
      </c>
      <c r="M528" s="66" t="str">
        <f t="shared" si="59"/>
        <v/>
      </c>
      <c r="N528" s="66" t="str">
        <f t="shared" si="60"/>
        <v/>
      </c>
      <c r="O528" s="66" t="str">
        <f t="shared" si="61"/>
        <v/>
      </c>
      <c r="P528" s="66" t="str">
        <f t="shared" si="62"/>
        <v/>
      </c>
    </row>
    <row r="529" spans="8:16">
      <c r="H529" s="66" t="e">
        <f>IF(LEFT(A529,6)="CEPNTR","GPINS",VLOOKUP(LEFT(A529,6),'Code Library'!$A$3:$B$920,2,0))&amp;"_"&amp;RIGHT(A529,3)</f>
        <v>#N/A</v>
      </c>
      <c r="I529" s="66">
        <f t="shared" si="56"/>
        <v>0</v>
      </c>
      <c r="K529" s="66" t="str">
        <f t="shared" si="57"/>
        <v/>
      </c>
      <c r="L529" s="66" t="str">
        <f t="shared" si="58"/>
        <v/>
      </c>
      <c r="M529" s="66" t="str">
        <f t="shared" si="59"/>
        <v/>
      </c>
      <c r="N529" s="66" t="str">
        <f t="shared" si="60"/>
        <v/>
      </c>
      <c r="O529" s="66" t="str">
        <f t="shared" si="61"/>
        <v/>
      </c>
      <c r="P529" s="66" t="str">
        <f t="shared" si="62"/>
        <v/>
      </c>
    </row>
    <row r="530" spans="8:16">
      <c r="H530" s="66" t="e">
        <f>IF(LEFT(A530,6)="CEPNTR","GPINS",VLOOKUP(LEFT(A530,6),'Code Library'!$A$3:$B$920,2,0))&amp;"_"&amp;RIGHT(A530,3)</f>
        <v>#N/A</v>
      </c>
      <c r="I530" s="66">
        <f t="shared" si="56"/>
        <v>0</v>
      </c>
      <c r="K530" s="66" t="str">
        <f t="shared" si="57"/>
        <v/>
      </c>
      <c r="L530" s="66" t="str">
        <f t="shared" si="58"/>
        <v/>
      </c>
      <c r="M530" s="66" t="str">
        <f t="shared" si="59"/>
        <v/>
      </c>
      <c r="N530" s="66" t="str">
        <f t="shared" si="60"/>
        <v/>
      </c>
      <c r="O530" s="66" t="str">
        <f t="shared" si="61"/>
        <v/>
      </c>
      <c r="P530" s="66" t="str">
        <f t="shared" si="62"/>
        <v/>
      </c>
    </row>
    <row r="531" spans="8:16">
      <c r="H531" s="66" t="e">
        <f>IF(LEFT(A531,6)="CEPNTR","GPINS",VLOOKUP(LEFT(A531,6),'Code Library'!$A$3:$B$920,2,0))&amp;"_"&amp;RIGHT(A531,3)</f>
        <v>#N/A</v>
      </c>
      <c r="I531" s="66">
        <f t="shared" si="56"/>
        <v>0</v>
      </c>
      <c r="K531" s="66" t="str">
        <f t="shared" si="57"/>
        <v/>
      </c>
      <c r="L531" s="66" t="str">
        <f t="shared" si="58"/>
        <v/>
      </c>
      <c r="M531" s="66" t="str">
        <f t="shared" si="59"/>
        <v/>
      </c>
      <c r="N531" s="66" t="str">
        <f t="shared" si="60"/>
        <v/>
      </c>
      <c r="O531" s="66" t="str">
        <f t="shared" si="61"/>
        <v/>
      </c>
      <c r="P531" s="66" t="str">
        <f t="shared" si="62"/>
        <v/>
      </c>
    </row>
    <row r="532" spans="8:16">
      <c r="H532" s="66" t="e">
        <f>IF(LEFT(A532,6)="CEPNTR","GPINS",VLOOKUP(LEFT(A532,6),'Code Library'!$A$3:$B$920,2,0))&amp;"_"&amp;RIGHT(A532,3)</f>
        <v>#N/A</v>
      </c>
      <c r="I532" s="66">
        <f t="shared" si="56"/>
        <v>0</v>
      </c>
      <c r="K532" s="66" t="str">
        <f t="shared" si="57"/>
        <v/>
      </c>
      <c r="L532" s="66" t="str">
        <f t="shared" si="58"/>
        <v/>
      </c>
      <c r="M532" s="66" t="str">
        <f t="shared" si="59"/>
        <v/>
      </c>
      <c r="N532" s="66" t="str">
        <f t="shared" si="60"/>
        <v/>
      </c>
      <c r="O532" s="66" t="str">
        <f t="shared" si="61"/>
        <v/>
      </c>
      <c r="P532" s="66" t="str">
        <f t="shared" si="62"/>
        <v/>
      </c>
    </row>
    <row r="533" spans="8:16">
      <c r="H533" s="66" t="e">
        <f>IF(LEFT(A533,6)="CEPNTR","GPINS",VLOOKUP(LEFT(A533,6),'Code Library'!$A$3:$B$920,2,0))&amp;"_"&amp;RIGHT(A533,3)</f>
        <v>#N/A</v>
      </c>
      <c r="I533" s="66">
        <f t="shared" si="56"/>
        <v>0</v>
      </c>
      <c r="K533" s="66" t="str">
        <f t="shared" si="57"/>
        <v/>
      </c>
      <c r="L533" s="66" t="str">
        <f t="shared" si="58"/>
        <v/>
      </c>
      <c r="M533" s="66" t="str">
        <f t="shared" si="59"/>
        <v/>
      </c>
      <c r="N533" s="66" t="str">
        <f t="shared" si="60"/>
        <v/>
      </c>
      <c r="O533" s="66" t="str">
        <f t="shared" si="61"/>
        <v/>
      </c>
      <c r="P533" s="66" t="str">
        <f t="shared" si="62"/>
        <v/>
      </c>
    </row>
    <row r="534" spans="8:16">
      <c r="H534" s="66" t="e">
        <f>IF(LEFT(A534,6)="CEPNTR","GPINS",VLOOKUP(LEFT(A534,6),'Code Library'!$A$3:$B$920,2,0))&amp;"_"&amp;RIGHT(A534,3)</f>
        <v>#N/A</v>
      </c>
      <c r="I534" s="66">
        <f t="shared" si="56"/>
        <v>0</v>
      </c>
      <c r="K534" s="66" t="str">
        <f t="shared" si="57"/>
        <v/>
      </c>
      <c r="L534" s="66" t="str">
        <f t="shared" si="58"/>
        <v/>
      </c>
      <c r="M534" s="66" t="str">
        <f t="shared" si="59"/>
        <v/>
      </c>
      <c r="N534" s="66" t="str">
        <f t="shared" si="60"/>
        <v/>
      </c>
      <c r="O534" s="66" t="str">
        <f t="shared" si="61"/>
        <v/>
      </c>
      <c r="P534" s="66" t="str">
        <f t="shared" si="62"/>
        <v/>
      </c>
    </row>
    <row r="535" spans="8:16">
      <c r="H535" s="66" t="e">
        <f>IF(LEFT(A535,6)="CEPNTR","GPINS",VLOOKUP(LEFT(A535,6),'Code Library'!$A$3:$B$920,2,0))&amp;"_"&amp;RIGHT(A535,3)</f>
        <v>#N/A</v>
      </c>
      <c r="I535" s="66">
        <f t="shared" si="56"/>
        <v>0</v>
      </c>
      <c r="K535" s="66" t="str">
        <f t="shared" si="57"/>
        <v/>
      </c>
      <c r="L535" s="66" t="str">
        <f t="shared" si="58"/>
        <v/>
      </c>
      <c r="M535" s="66" t="str">
        <f t="shared" si="59"/>
        <v/>
      </c>
      <c r="N535" s="66" t="str">
        <f t="shared" si="60"/>
        <v/>
      </c>
      <c r="O535" s="66" t="str">
        <f t="shared" si="61"/>
        <v/>
      </c>
      <c r="P535" s="66" t="str">
        <f t="shared" si="62"/>
        <v/>
      </c>
    </row>
    <row r="536" spans="8:16">
      <c r="H536" s="66" t="e">
        <f>IF(LEFT(A536,6)="CEPNTR","GPINS",VLOOKUP(LEFT(A536,6),'Code Library'!$A$3:$B$920,2,0))&amp;"_"&amp;RIGHT(A536,3)</f>
        <v>#N/A</v>
      </c>
      <c r="I536" s="66">
        <f t="shared" si="56"/>
        <v>0</v>
      </c>
      <c r="K536" s="66" t="str">
        <f t="shared" si="57"/>
        <v/>
      </c>
      <c r="L536" s="66" t="str">
        <f t="shared" si="58"/>
        <v/>
      </c>
      <c r="M536" s="66" t="str">
        <f t="shared" si="59"/>
        <v/>
      </c>
      <c r="N536" s="66" t="str">
        <f t="shared" si="60"/>
        <v/>
      </c>
      <c r="O536" s="66" t="str">
        <f t="shared" si="61"/>
        <v/>
      </c>
      <c r="P536" s="66" t="str">
        <f t="shared" si="62"/>
        <v/>
      </c>
    </row>
    <row r="537" spans="8:16">
      <c r="H537" s="66" t="e">
        <f>IF(LEFT(A537,6)="CEPNTR","GPINS",VLOOKUP(LEFT(A537,6),'Code Library'!$A$3:$B$920,2,0))&amp;"_"&amp;RIGHT(A537,3)</f>
        <v>#N/A</v>
      </c>
      <c r="I537" s="66">
        <f t="shared" si="56"/>
        <v>0</v>
      </c>
      <c r="K537" s="66" t="str">
        <f t="shared" si="57"/>
        <v/>
      </c>
      <c r="L537" s="66" t="str">
        <f t="shared" si="58"/>
        <v/>
      </c>
      <c r="M537" s="66" t="str">
        <f t="shared" si="59"/>
        <v/>
      </c>
      <c r="N537" s="66" t="str">
        <f t="shared" si="60"/>
        <v/>
      </c>
      <c r="O537" s="66" t="str">
        <f t="shared" si="61"/>
        <v/>
      </c>
      <c r="P537" s="66" t="str">
        <f t="shared" si="62"/>
        <v/>
      </c>
    </row>
    <row r="538" spans="8:16">
      <c r="H538" s="66" t="e">
        <f>IF(LEFT(A538,6)="CEPNTR","GPINS",VLOOKUP(LEFT(A538,6),'Code Library'!$A$3:$B$920,2,0))&amp;"_"&amp;RIGHT(A538,3)</f>
        <v>#N/A</v>
      </c>
      <c r="I538" s="66">
        <f t="shared" si="56"/>
        <v>0</v>
      </c>
      <c r="K538" s="66" t="str">
        <f t="shared" si="57"/>
        <v/>
      </c>
      <c r="L538" s="66" t="str">
        <f t="shared" si="58"/>
        <v/>
      </c>
      <c r="M538" s="66" t="str">
        <f t="shared" si="59"/>
        <v/>
      </c>
      <c r="N538" s="66" t="str">
        <f t="shared" si="60"/>
        <v/>
      </c>
      <c r="O538" s="66" t="str">
        <f t="shared" si="61"/>
        <v/>
      </c>
      <c r="P538" s="66" t="str">
        <f t="shared" si="62"/>
        <v/>
      </c>
    </row>
    <row r="539" spans="8:16">
      <c r="H539" s="66" t="e">
        <f>IF(LEFT(A539,6)="CEPNTR","GPINS",VLOOKUP(LEFT(A539,6),'Code Library'!$A$3:$B$920,2,0))&amp;"_"&amp;RIGHT(A539,3)</f>
        <v>#N/A</v>
      </c>
      <c r="I539" s="66">
        <f t="shared" si="56"/>
        <v>0</v>
      </c>
      <c r="K539" s="66" t="str">
        <f t="shared" si="57"/>
        <v/>
      </c>
      <c r="L539" s="66" t="str">
        <f t="shared" si="58"/>
        <v/>
      </c>
      <c r="M539" s="66" t="str">
        <f t="shared" si="59"/>
        <v/>
      </c>
      <c r="N539" s="66" t="str">
        <f t="shared" si="60"/>
        <v/>
      </c>
      <c r="O539" s="66" t="str">
        <f t="shared" si="61"/>
        <v/>
      </c>
      <c r="P539" s="66" t="str">
        <f t="shared" si="62"/>
        <v/>
      </c>
    </row>
    <row r="540" spans="8:16">
      <c r="H540" s="66" t="e">
        <f>IF(LEFT(A540,6)="CEPNTR","GPINS",VLOOKUP(LEFT(A540,6),'Code Library'!$A$3:$B$920,2,0))&amp;"_"&amp;RIGHT(A540,3)</f>
        <v>#N/A</v>
      </c>
      <c r="I540" s="66">
        <f t="shared" si="56"/>
        <v>0</v>
      </c>
      <c r="K540" s="66" t="str">
        <f t="shared" si="57"/>
        <v/>
      </c>
      <c r="L540" s="66" t="str">
        <f t="shared" si="58"/>
        <v/>
      </c>
      <c r="M540" s="66" t="str">
        <f t="shared" si="59"/>
        <v/>
      </c>
      <c r="N540" s="66" t="str">
        <f t="shared" si="60"/>
        <v/>
      </c>
      <c r="O540" s="66" t="str">
        <f t="shared" si="61"/>
        <v/>
      </c>
      <c r="P540" s="66" t="str">
        <f t="shared" si="62"/>
        <v/>
      </c>
    </row>
    <row r="541" spans="8:16">
      <c r="H541" s="66" t="e">
        <f>IF(LEFT(A541,6)="CEPNTR","GPINS",VLOOKUP(LEFT(A541,6),'Code Library'!$A$3:$B$920,2,0))&amp;"_"&amp;RIGHT(A541,3)</f>
        <v>#N/A</v>
      </c>
      <c r="I541" s="66">
        <f t="shared" si="56"/>
        <v>0</v>
      </c>
      <c r="K541" s="66" t="str">
        <f t="shared" si="57"/>
        <v/>
      </c>
      <c r="L541" s="66" t="str">
        <f t="shared" si="58"/>
        <v/>
      </c>
      <c r="M541" s="66" t="str">
        <f t="shared" si="59"/>
        <v/>
      </c>
      <c r="N541" s="66" t="str">
        <f t="shared" si="60"/>
        <v/>
      </c>
      <c r="O541" s="66" t="str">
        <f t="shared" si="61"/>
        <v/>
      </c>
      <c r="P541" s="66" t="str">
        <f t="shared" si="62"/>
        <v/>
      </c>
    </row>
    <row r="542" spans="8:16">
      <c r="H542" s="66" t="e">
        <f>IF(LEFT(A542,6)="CEPNTR","GPINS",VLOOKUP(LEFT(A542,6),'Code Library'!$A$3:$B$920,2,0))&amp;"_"&amp;RIGHT(A542,3)</f>
        <v>#N/A</v>
      </c>
      <c r="I542" s="66">
        <f t="shared" si="56"/>
        <v>0</v>
      </c>
      <c r="K542" s="66" t="str">
        <f t="shared" si="57"/>
        <v/>
      </c>
      <c r="L542" s="66" t="str">
        <f t="shared" si="58"/>
        <v/>
      </c>
      <c r="M542" s="66" t="str">
        <f t="shared" si="59"/>
        <v/>
      </c>
      <c r="N542" s="66" t="str">
        <f t="shared" si="60"/>
        <v/>
      </c>
      <c r="O542" s="66" t="str">
        <f t="shared" si="61"/>
        <v/>
      </c>
      <c r="P542" s="66" t="str">
        <f t="shared" si="62"/>
        <v/>
      </c>
    </row>
    <row r="543" spans="8:16">
      <c r="H543" s="66" t="e">
        <f>IF(LEFT(A543,6)="CEPNTR","GPINS",VLOOKUP(LEFT(A543,6),'Code Library'!$A$3:$B$920,2,0))&amp;"_"&amp;RIGHT(A543,3)</f>
        <v>#N/A</v>
      </c>
      <c r="I543" s="66">
        <f t="shared" si="56"/>
        <v>0</v>
      </c>
      <c r="K543" s="66" t="str">
        <f t="shared" si="57"/>
        <v/>
      </c>
      <c r="L543" s="66" t="str">
        <f t="shared" si="58"/>
        <v/>
      </c>
      <c r="M543" s="66" t="str">
        <f t="shared" si="59"/>
        <v/>
      </c>
      <c r="N543" s="66" t="str">
        <f t="shared" si="60"/>
        <v/>
      </c>
      <c r="O543" s="66" t="str">
        <f t="shared" si="61"/>
        <v/>
      </c>
      <c r="P543" s="66" t="str">
        <f t="shared" si="62"/>
        <v/>
      </c>
    </row>
    <row r="544" spans="8:16">
      <c r="H544" s="66" t="e">
        <f>IF(LEFT(A544,6)="CEPNTR","GPINS",VLOOKUP(LEFT(A544,6),'Code Library'!$A$3:$B$920,2,0))&amp;"_"&amp;RIGHT(A544,3)</f>
        <v>#N/A</v>
      </c>
      <c r="I544" s="66">
        <f t="shared" si="56"/>
        <v>0</v>
      </c>
      <c r="K544" s="66" t="str">
        <f t="shared" si="57"/>
        <v/>
      </c>
      <c r="L544" s="66" t="str">
        <f t="shared" si="58"/>
        <v/>
      </c>
      <c r="M544" s="66" t="str">
        <f t="shared" si="59"/>
        <v/>
      </c>
      <c r="N544" s="66" t="str">
        <f t="shared" si="60"/>
        <v/>
      </c>
      <c r="O544" s="66" t="str">
        <f t="shared" si="61"/>
        <v/>
      </c>
      <c r="P544" s="66" t="str">
        <f t="shared" si="62"/>
        <v/>
      </c>
    </row>
    <row r="545" spans="8:16">
      <c r="H545" s="66" t="e">
        <f>IF(LEFT(A545,6)="CEPNTR","GPINS",VLOOKUP(LEFT(A545,6),'Code Library'!$A$3:$B$920,2,0))&amp;"_"&amp;RIGHT(A545,3)</f>
        <v>#N/A</v>
      </c>
      <c r="I545" s="66">
        <f t="shared" si="56"/>
        <v>0</v>
      </c>
      <c r="K545" s="66" t="str">
        <f t="shared" si="57"/>
        <v/>
      </c>
      <c r="L545" s="66" t="str">
        <f t="shared" si="58"/>
        <v/>
      </c>
      <c r="M545" s="66" t="str">
        <f t="shared" si="59"/>
        <v/>
      </c>
      <c r="N545" s="66" t="str">
        <f t="shared" si="60"/>
        <v/>
      </c>
      <c r="O545" s="66" t="str">
        <f t="shared" si="61"/>
        <v/>
      </c>
      <c r="P545" s="66" t="str">
        <f t="shared" si="62"/>
        <v/>
      </c>
    </row>
    <row r="546" spans="8:16">
      <c r="H546" s="66" t="e">
        <f>IF(LEFT(A546,6)="CEPNTR","GPINS",VLOOKUP(LEFT(A546,6),'Code Library'!$A$3:$B$920,2,0))&amp;"_"&amp;RIGHT(A546,3)</f>
        <v>#N/A</v>
      </c>
      <c r="I546" s="66">
        <f t="shared" si="56"/>
        <v>0</v>
      </c>
      <c r="K546" s="66" t="str">
        <f t="shared" si="57"/>
        <v/>
      </c>
      <c r="L546" s="66" t="str">
        <f t="shared" si="58"/>
        <v/>
      </c>
      <c r="M546" s="66" t="str">
        <f t="shared" si="59"/>
        <v/>
      </c>
      <c r="N546" s="66" t="str">
        <f t="shared" si="60"/>
        <v/>
      </c>
      <c r="O546" s="66" t="str">
        <f t="shared" si="61"/>
        <v/>
      </c>
      <c r="P546" s="66" t="str">
        <f t="shared" si="62"/>
        <v/>
      </c>
    </row>
    <row r="547" spans="8:16">
      <c r="H547" s="66" t="e">
        <f>IF(LEFT(A547,6)="CEPNTR","GPINS",VLOOKUP(LEFT(A547,6),'Code Library'!$A$3:$B$920,2,0))&amp;"_"&amp;RIGHT(A547,3)</f>
        <v>#N/A</v>
      </c>
      <c r="I547" s="66">
        <f t="shared" si="56"/>
        <v>0</v>
      </c>
      <c r="K547" s="66" t="str">
        <f t="shared" si="57"/>
        <v/>
      </c>
      <c r="L547" s="66" t="str">
        <f t="shared" si="58"/>
        <v/>
      </c>
      <c r="M547" s="66" t="str">
        <f t="shared" si="59"/>
        <v/>
      </c>
      <c r="N547" s="66" t="str">
        <f t="shared" si="60"/>
        <v/>
      </c>
      <c r="O547" s="66" t="str">
        <f t="shared" si="61"/>
        <v/>
      </c>
      <c r="P547" s="66" t="str">
        <f t="shared" si="62"/>
        <v/>
      </c>
    </row>
    <row r="548" spans="8:16">
      <c r="H548" s="66" t="e">
        <f>IF(LEFT(A548,6)="CEPNTR","GPINS",VLOOKUP(LEFT(A548,6),'Code Library'!$A$3:$B$920,2,0))&amp;"_"&amp;RIGHT(A548,3)</f>
        <v>#N/A</v>
      </c>
      <c r="I548" s="66">
        <f t="shared" si="56"/>
        <v>0</v>
      </c>
      <c r="K548" s="66" t="str">
        <f t="shared" si="57"/>
        <v/>
      </c>
      <c r="L548" s="66" t="str">
        <f t="shared" si="58"/>
        <v/>
      </c>
      <c r="M548" s="66" t="str">
        <f t="shared" si="59"/>
        <v/>
      </c>
      <c r="N548" s="66" t="str">
        <f t="shared" si="60"/>
        <v/>
      </c>
      <c r="O548" s="66" t="str">
        <f t="shared" si="61"/>
        <v/>
      </c>
      <c r="P548" s="66" t="str">
        <f t="shared" si="62"/>
        <v/>
      </c>
    </row>
    <row r="549" spans="8:16">
      <c r="H549" s="66" t="e">
        <f>IF(LEFT(A549,6)="CEPNTR","GPINS",VLOOKUP(LEFT(A549,6),'Code Library'!$A$3:$B$920,2,0))&amp;"_"&amp;RIGHT(A549,3)</f>
        <v>#N/A</v>
      </c>
      <c r="I549" s="66">
        <f t="shared" si="56"/>
        <v>0</v>
      </c>
      <c r="K549" s="66" t="str">
        <f t="shared" si="57"/>
        <v/>
      </c>
      <c r="L549" s="66" t="str">
        <f t="shared" si="58"/>
        <v/>
      </c>
      <c r="M549" s="66" t="str">
        <f t="shared" si="59"/>
        <v/>
      </c>
      <c r="N549" s="66" t="str">
        <f t="shared" si="60"/>
        <v/>
      </c>
      <c r="O549" s="66" t="str">
        <f t="shared" si="61"/>
        <v/>
      </c>
      <c r="P549" s="66" t="str">
        <f t="shared" si="62"/>
        <v/>
      </c>
    </row>
    <row r="550" spans="8:16">
      <c r="H550" s="66" t="e">
        <f>IF(LEFT(A550,6)="CEPNTR","GPINS",VLOOKUP(LEFT(A550,6),'Code Library'!$A$3:$B$920,2,0))&amp;"_"&amp;RIGHT(A550,3)</f>
        <v>#N/A</v>
      </c>
      <c r="I550" s="66">
        <f t="shared" si="56"/>
        <v>0</v>
      </c>
      <c r="K550" s="66" t="str">
        <f t="shared" si="57"/>
        <v/>
      </c>
      <c r="L550" s="66" t="str">
        <f t="shared" si="58"/>
        <v/>
      </c>
      <c r="M550" s="66" t="str">
        <f t="shared" si="59"/>
        <v/>
      </c>
      <c r="N550" s="66" t="str">
        <f t="shared" si="60"/>
        <v/>
      </c>
      <c r="O550" s="66" t="str">
        <f t="shared" si="61"/>
        <v/>
      </c>
      <c r="P550" s="66" t="str">
        <f t="shared" si="62"/>
        <v/>
      </c>
    </row>
    <row r="551" spans="8:16">
      <c r="H551" s="66" t="e">
        <f>IF(LEFT(A551,6)="CEPNTR","GPINS",VLOOKUP(LEFT(A551,6),'Code Library'!$A$3:$B$920,2,0))&amp;"_"&amp;RIGHT(A551,3)</f>
        <v>#N/A</v>
      </c>
      <c r="I551" s="66">
        <f t="shared" si="56"/>
        <v>0</v>
      </c>
      <c r="K551" s="66" t="str">
        <f t="shared" si="57"/>
        <v/>
      </c>
      <c r="L551" s="66" t="str">
        <f t="shared" si="58"/>
        <v/>
      </c>
      <c r="M551" s="66" t="str">
        <f t="shared" si="59"/>
        <v/>
      </c>
      <c r="N551" s="66" t="str">
        <f t="shared" si="60"/>
        <v/>
      </c>
      <c r="O551" s="66" t="str">
        <f t="shared" si="61"/>
        <v/>
      </c>
      <c r="P551" s="66" t="str">
        <f t="shared" si="62"/>
        <v/>
      </c>
    </row>
    <row r="552" spans="8:16">
      <c r="H552" s="66" t="e">
        <f>IF(LEFT(A552,6)="CEPNTR","GPINS",VLOOKUP(LEFT(A552,6),'Code Library'!$A$3:$B$920,2,0))&amp;"_"&amp;RIGHT(A552,3)</f>
        <v>#N/A</v>
      </c>
      <c r="I552" s="66">
        <f t="shared" si="56"/>
        <v>0</v>
      </c>
      <c r="K552" s="66" t="str">
        <f t="shared" si="57"/>
        <v/>
      </c>
      <c r="L552" s="66" t="str">
        <f t="shared" si="58"/>
        <v/>
      </c>
      <c r="M552" s="66" t="str">
        <f t="shared" si="59"/>
        <v/>
      </c>
      <c r="N552" s="66" t="str">
        <f t="shared" si="60"/>
        <v/>
      </c>
      <c r="O552" s="66" t="str">
        <f t="shared" si="61"/>
        <v/>
      </c>
      <c r="P552" s="66" t="str">
        <f t="shared" si="62"/>
        <v/>
      </c>
    </row>
    <row r="553" spans="8:16">
      <c r="H553" s="66" t="e">
        <f>IF(LEFT(A553,6)="CEPNTR","GPINS",VLOOKUP(LEFT(A553,6),'Code Library'!$A$3:$B$920,2,0))&amp;"_"&amp;RIGHT(A553,3)</f>
        <v>#N/A</v>
      </c>
      <c r="I553" s="66">
        <f t="shared" si="56"/>
        <v>0</v>
      </c>
      <c r="K553" s="66" t="str">
        <f t="shared" si="57"/>
        <v/>
      </c>
      <c r="L553" s="66" t="str">
        <f t="shared" si="58"/>
        <v/>
      </c>
      <c r="M553" s="66" t="str">
        <f t="shared" si="59"/>
        <v/>
      </c>
      <c r="N553" s="66" t="str">
        <f t="shared" si="60"/>
        <v/>
      </c>
      <c r="O553" s="66" t="str">
        <f t="shared" si="61"/>
        <v/>
      </c>
      <c r="P553" s="66" t="str">
        <f t="shared" si="62"/>
        <v/>
      </c>
    </row>
    <row r="554" spans="8:16">
      <c r="H554" s="66" t="e">
        <f>IF(LEFT(A554,6)="CEPNTR","GPINS",VLOOKUP(LEFT(A554,6),'Code Library'!$A$3:$B$920,2,0))&amp;"_"&amp;RIGHT(A554,3)</f>
        <v>#N/A</v>
      </c>
      <c r="I554" s="66">
        <f t="shared" si="56"/>
        <v>0</v>
      </c>
      <c r="K554" s="66" t="str">
        <f t="shared" si="57"/>
        <v/>
      </c>
      <c r="L554" s="66" t="str">
        <f t="shared" si="58"/>
        <v/>
      </c>
      <c r="M554" s="66" t="str">
        <f t="shared" si="59"/>
        <v/>
      </c>
      <c r="N554" s="66" t="str">
        <f t="shared" si="60"/>
        <v/>
      </c>
      <c r="O554" s="66" t="str">
        <f t="shared" si="61"/>
        <v/>
      </c>
      <c r="P554" s="66" t="str">
        <f t="shared" si="62"/>
        <v/>
      </c>
    </row>
    <row r="555" spans="8:16">
      <c r="H555" s="66" t="e">
        <f>IF(LEFT(A555,6)="CEPNTR","GPINS",VLOOKUP(LEFT(A555,6),'Code Library'!$A$3:$B$920,2,0))&amp;"_"&amp;RIGHT(A555,3)</f>
        <v>#N/A</v>
      </c>
      <c r="I555" s="66">
        <f t="shared" si="56"/>
        <v>0</v>
      </c>
      <c r="K555" s="66" t="str">
        <f t="shared" si="57"/>
        <v/>
      </c>
      <c r="L555" s="66" t="str">
        <f t="shared" si="58"/>
        <v/>
      </c>
      <c r="M555" s="66" t="str">
        <f t="shared" si="59"/>
        <v/>
      </c>
      <c r="N555" s="66" t="str">
        <f t="shared" si="60"/>
        <v/>
      </c>
      <c r="O555" s="66" t="str">
        <f t="shared" si="61"/>
        <v/>
      </c>
      <c r="P555" s="66" t="str">
        <f t="shared" si="62"/>
        <v/>
      </c>
    </row>
    <row r="556" spans="8:16">
      <c r="H556" s="66" t="e">
        <f>IF(LEFT(A556,6)="CEPNTR","GPINS",VLOOKUP(LEFT(A556,6),'Code Library'!$A$3:$B$920,2,0))&amp;"_"&amp;RIGHT(A556,3)</f>
        <v>#N/A</v>
      </c>
      <c r="I556" s="66">
        <f t="shared" si="56"/>
        <v>0</v>
      </c>
      <c r="K556" s="66" t="str">
        <f t="shared" si="57"/>
        <v/>
      </c>
      <c r="L556" s="66" t="str">
        <f t="shared" si="58"/>
        <v/>
      </c>
      <c r="M556" s="66" t="str">
        <f t="shared" si="59"/>
        <v/>
      </c>
      <c r="N556" s="66" t="str">
        <f t="shared" si="60"/>
        <v/>
      </c>
      <c r="O556" s="66" t="str">
        <f t="shared" si="61"/>
        <v/>
      </c>
      <c r="P556" s="66" t="str">
        <f t="shared" si="62"/>
        <v/>
      </c>
    </row>
    <row r="557" spans="8:16">
      <c r="H557" s="66" t="e">
        <f>IF(LEFT(A557,6)="CEPNTR","GPINS",VLOOKUP(LEFT(A557,6),'Code Library'!$A$3:$B$920,2,0))&amp;"_"&amp;RIGHT(A557,3)</f>
        <v>#N/A</v>
      </c>
      <c r="I557" s="66">
        <f t="shared" si="56"/>
        <v>0</v>
      </c>
      <c r="K557" s="66" t="str">
        <f t="shared" si="57"/>
        <v/>
      </c>
      <c r="L557" s="66" t="str">
        <f t="shared" si="58"/>
        <v/>
      </c>
      <c r="M557" s="66" t="str">
        <f t="shared" si="59"/>
        <v/>
      </c>
      <c r="N557" s="66" t="str">
        <f t="shared" si="60"/>
        <v/>
      </c>
      <c r="O557" s="66" t="str">
        <f t="shared" si="61"/>
        <v/>
      </c>
      <c r="P557" s="66" t="str">
        <f t="shared" si="62"/>
        <v/>
      </c>
    </row>
    <row r="558" spans="8:16">
      <c r="H558" s="66" t="e">
        <f>IF(LEFT(A558,6)="CEPNTR","GPINS",VLOOKUP(LEFT(A558,6),'Code Library'!$A$3:$B$920,2,0))&amp;"_"&amp;RIGHT(A558,3)</f>
        <v>#N/A</v>
      </c>
      <c r="I558" s="66">
        <f t="shared" si="56"/>
        <v>0</v>
      </c>
      <c r="K558" s="66" t="str">
        <f t="shared" si="57"/>
        <v/>
      </c>
      <c r="L558" s="66" t="str">
        <f t="shared" si="58"/>
        <v/>
      </c>
      <c r="M558" s="66" t="str">
        <f t="shared" si="59"/>
        <v/>
      </c>
      <c r="N558" s="66" t="str">
        <f t="shared" si="60"/>
        <v/>
      </c>
      <c r="O558" s="66" t="str">
        <f t="shared" si="61"/>
        <v/>
      </c>
      <c r="P558" s="66" t="str">
        <f t="shared" si="62"/>
        <v/>
      </c>
    </row>
    <row r="559" spans="8:16">
      <c r="H559" s="66" t="e">
        <f>IF(LEFT(A559,6)="CEPNTR","GPINS",VLOOKUP(LEFT(A559,6),'Code Library'!$A$3:$B$920,2,0))&amp;"_"&amp;RIGHT(A559,3)</f>
        <v>#N/A</v>
      </c>
      <c r="I559" s="66">
        <f t="shared" si="56"/>
        <v>0</v>
      </c>
      <c r="K559" s="66" t="str">
        <f t="shared" si="57"/>
        <v/>
      </c>
      <c r="L559" s="66" t="str">
        <f t="shared" si="58"/>
        <v/>
      </c>
      <c r="M559" s="66" t="str">
        <f t="shared" si="59"/>
        <v/>
      </c>
      <c r="N559" s="66" t="str">
        <f t="shared" si="60"/>
        <v/>
      </c>
      <c r="O559" s="66" t="str">
        <f t="shared" si="61"/>
        <v/>
      </c>
      <c r="P559" s="66" t="str">
        <f t="shared" si="62"/>
        <v/>
      </c>
    </row>
    <row r="560" spans="8:16">
      <c r="H560" s="66" t="e">
        <f>IF(LEFT(A560,6)="CEPNTR","GPINS",VLOOKUP(LEFT(A560,6),'Code Library'!$A$3:$B$920,2,0))&amp;"_"&amp;RIGHT(A560,3)</f>
        <v>#N/A</v>
      </c>
      <c r="I560" s="66">
        <f t="shared" si="56"/>
        <v>0</v>
      </c>
      <c r="K560" s="66" t="str">
        <f t="shared" si="57"/>
        <v/>
      </c>
      <c r="L560" s="66" t="str">
        <f t="shared" si="58"/>
        <v/>
      </c>
      <c r="M560" s="66" t="str">
        <f t="shared" si="59"/>
        <v/>
      </c>
      <c r="N560" s="66" t="str">
        <f t="shared" si="60"/>
        <v/>
      </c>
      <c r="O560" s="66" t="str">
        <f t="shared" si="61"/>
        <v/>
      </c>
      <c r="P560" s="66" t="str">
        <f t="shared" si="62"/>
        <v/>
      </c>
    </row>
    <row r="561" spans="8:16">
      <c r="H561" s="66" t="e">
        <f>IF(LEFT(A561,6)="CEPNTR","GPINS",VLOOKUP(LEFT(A561,6),'Code Library'!$A$3:$B$920,2,0))&amp;"_"&amp;RIGHT(A561,3)</f>
        <v>#N/A</v>
      </c>
      <c r="I561" s="66">
        <f t="shared" si="56"/>
        <v>0</v>
      </c>
      <c r="K561" s="66" t="str">
        <f t="shared" si="57"/>
        <v/>
      </c>
      <c r="L561" s="66" t="str">
        <f t="shared" si="58"/>
        <v/>
      </c>
      <c r="M561" s="66" t="str">
        <f t="shared" si="59"/>
        <v/>
      </c>
      <c r="N561" s="66" t="str">
        <f t="shared" si="60"/>
        <v/>
      </c>
      <c r="O561" s="66" t="str">
        <f t="shared" si="61"/>
        <v/>
      </c>
      <c r="P561" s="66" t="str">
        <f t="shared" si="62"/>
        <v/>
      </c>
    </row>
    <row r="562" spans="8:16">
      <c r="H562" s="66" t="e">
        <f>IF(LEFT(A562,6)="CEPNTR","GPINS",VLOOKUP(LEFT(A562,6),'Code Library'!$A$3:$B$920,2,0))&amp;"_"&amp;RIGHT(A562,3)</f>
        <v>#N/A</v>
      </c>
      <c r="I562" s="66">
        <f t="shared" si="56"/>
        <v>0</v>
      </c>
      <c r="K562" s="66" t="str">
        <f t="shared" si="57"/>
        <v/>
      </c>
      <c r="L562" s="66" t="str">
        <f t="shared" si="58"/>
        <v/>
      </c>
      <c r="M562" s="66" t="str">
        <f t="shared" si="59"/>
        <v/>
      </c>
      <c r="N562" s="66" t="str">
        <f t="shared" si="60"/>
        <v/>
      </c>
      <c r="O562" s="66" t="str">
        <f t="shared" si="61"/>
        <v/>
      </c>
      <c r="P562" s="66" t="str">
        <f t="shared" si="62"/>
        <v/>
      </c>
    </row>
    <row r="563" spans="8:16">
      <c r="H563" s="66" t="e">
        <f>IF(LEFT(A563,6)="CEPNTR","GPINS",VLOOKUP(LEFT(A563,6),'Code Library'!$A$3:$B$920,2,0))&amp;"_"&amp;RIGHT(A563,3)</f>
        <v>#N/A</v>
      </c>
      <c r="I563" s="66">
        <f t="shared" si="56"/>
        <v>0</v>
      </c>
      <c r="K563" s="66" t="str">
        <f t="shared" si="57"/>
        <v/>
      </c>
      <c r="L563" s="66" t="str">
        <f t="shared" si="58"/>
        <v/>
      </c>
      <c r="M563" s="66" t="str">
        <f t="shared" si="59"/>
        <v/>
      </c>
      <c r="N563" s="66" t="str">
        <f t="shared" si="60"/>
        <v/>
      </c>
      <c r="O563" s="66" t="str">
        <f t="shared" si="61"/>
        <v/>
      </c>
      <c r="P563" s="66" t="str">
        <f t="shared" si="62"/>
        <v/>
      </c>
    </row>
    <row r="564" spans="8:16">
      <c r="H564" s="66" t="e">
        <f>IF(LEFT(A564,6)="CEPNTR","GPINS",VLOOKUP(LEFT(A564,6),'Code Library'!$A$3:$B$920,2,0))&amp;"_"&amp;RIGHT(A564,3)</f>
        <v>#N/A</v>
      </c>
      <c r="I564" s="66">
        <f t="shared" si="56"/>
        <v>0</v>
      </c>
      <c r="K564" s="66" t="str">
        <f t="shared" si="57"/>
        <v/>
      </c>
      <c r="L564" s="66" t="str">
        <f t="shared" si="58"/>
        <v/>
      </c>
      <c r="M564" s="66" t="str">
        <f t="shared" si="59"/>
        <v/>
      </c>
      <c r="N564" s="66" t="str">
        <f t="shared" si="60"/>
        <v/>
      </c>
      <c r="O564" s="66" t="str">
        <f t="shared" si="61"/>
        <v/>
      </c>
      <c r="P564" s="66" t="str">
        <f t="shared" si="62"/>
        <v/>
      </c>
    </row>
    <row r="565" spans="8:16">
      <c r="H565" s="66" t="e">
        <f>IF(LEFT(A565,6)="CEPNTR","GPINS",VLOOKUP(LEFT(A565,6),'Code Library'!$A$3:$B$920,2,0))&amp;"_"&amp;RIGHT(A565,3)</f>
        <v>#N/A</v>
      </c>
      <c r="I565" s="66">
        <f t="shared" si="56"/>
        <v>0</v>
      </c>
      <c r="K565" s="66" t="str">
        <f t="shared" si="57"/>
        <v/>
      </c>
      <c r="L565" s="66" t="str">
        <f t="shared" si="58"/>
        <v/>
      </c>
      <c r="M565" s="66" t="str">
        <f t="shared" si="59"/>
        <v/>
      </c>
      <c r="N565" s="66" t="str">
        <f t="shared" si="60"/>
        <v/>
      </c>
      <c r="O565" s="66" t="str">
        <f t="shared" si="61"/>
        <v/>
      </c>
      <c r="P565" s="66" t="str">
        <f t="shared" si="62"/>
        <v/>
      </c>
    </row>
    <row r="566" spans="8:16">
      <c r="H566" s="66" t="e">
        <f>IF(LEFT(A566,6)="CEPNTR","GPINS",VLOOKUP(LEFT(A566,6),'Code Library'!$A$3:$B$920,2,0))&amp;"_"&amp;RIGHT(A566,3)</f>
        <v>#N/A</v>
      </c>
      <c r="I566" s="66">
        <f t="shared" si="56"/>
        <v>0</v>
      </c>
      <c r="K566" s="66" t="str">
        <f t="shared" si="57"/>
        <v/>
      </c>
      <c r="L566" s="66" t="str">
        <f t="shared" si="58"/>
        <v/>
      </c>
      <c r="M566" s="66" t="str">
        <f t="shared" si="59"/>
        <v/>
      </c>
      <c r="N566" s="66" t="str">
        <f t="shared" si="60"/>
        <v/>
      </c>
      <c r="O566" s="66" t="str">
        <f t="shared" si="61"/>
        <v/>
      </c>
      <c r="P566" s="66" t="str">
        <f t="shared" si="62"/>
        <v/>
      </c>
    </row>
    <row r="567" spans="8:16">
      <c r="H567" s="66" t="e">
        <f>IF(LEFT(A567,6)="CEPNTR","GPINS",VLOOKUP(LEFT(A567,6),'Code Library'!$A$3:$B$920,2,0))&amp;"_"&amp;RIGHT(A567,3)</f>
        <v>#N/A</v>
      </c>
      <c r="I567" s="66">
        <f t="shared" si="56"/>
        <v>0</v>
      </c>
      <c r="K567" s="66" t="str">
        <f t="shared" si="57"/>
        <v/>
      </c>
      <c r="L567" s="66" t="str">
        <f t="shared" si="58"/>
        <v/>
      </c>
      <c r="M567" s="66" t="str">
        <f t="shared" si="59"/>
        <v/>
      </c>
      <c r="N567" s="66" t="str">
        <f t="shared" si="60"/>
        <v/>
      </c>
      <c r="O567" s="66" t="str">
        <f t="shared" si="61"/>
        <v/>
      </c>
      <c r="P567" s="66" t="str">
        <f t="shared" si="62"/>
        <v/>
      </c>
    </row>
    <row r="568" spans="8:16">
      <c r="H568" s="66" t="e">
        <f>IF(LEFT(A568,6)="CEPNTR","GPINS",VLOOKUP(LEFT(A568,6),'Code Library'!$A$3:$B$920,2,0))&amp;"_"&amp;RIGHT(A568,3)</f>
        <v>#N/A</v>
      </c>
      <c r="I568" s="66">
        <f t="shared" si="56"/>
        <v>0</v>
      </c>
      <c r="K568" s="66" t="str">
        <f t="shared" si="57"/>
        <v/>
      </c>
      <c r="L568" s="66" t="str">
        <f t="shared" si="58"/>
        <v/>
      </c>
      <c r="M568" s="66" t="str">
        <f t="shared" si="59"/>
        <v/>
      </c>
      <c r="N568" s="66" t="str">
        <f t="shared" si="60"/>
        <v/>
      </c>
      <c r="O568" s="66" t="str">
        <f t="shared" si="61"/>
        <v/>
      </c>
      <c r="P568" s="66" t="str">
        <f t="shared" si="62"/>
        <v/>
      </c>
    </row>
    <row r="569" spans="8:16">
      <c r="H569" s="66" t="e">
        <f>IF(LEFT(A569,6)="CEPNTR","GPINS",VLOOKUP(LEFT(A569,6),'Code Library'!$A$3:$B$920,2,0))&amp;"_"&amp;RIGHT(A569,3)</f>
        <v>#N/A</v>
      </c>
      <c r="I569" s="66">
        <f t="shared" si="56"/>
        <v>0</v>
      </c>
      <c r="K569" s="66" t="str">
        <f t="shared" si="57"/>
        <v/>
      </c>
      <c r="L569" s="66" t="str">
        <f t="shared" si="58"/>
        <v/>
      </c>
      <c r="M569" s="66" t="str">
        <f t="shared" si="59"/>
        <v/>
      </c>
      <c r="N569" s="66" t="str">
        <f t="shared" si="60"/>
        <v/>
      </c>
      <c r="O569" s="66" t="str">
        <f t="shared" si="61"/>
        <v/>
      </c>
      <c r="P569" s="66" t="str">
        <f t="shared" si="62"/>
        <v/>
      </c>
    </row>
    <row r="570" spans="8:16">
      <c r="H570" s="66" t="e">
        <f>IF(LEFT(A570,6)="CEPNTR","GPINS",VLOOKUP(LEFT(A570,6),'Code Library'!$A$3:$B$920,2,0))&amp;"_"&amp;RIGHT(A570,3)</f>
        <v>#N/A</v>
      </c>
      <c r="I570" s="66">
        <f t="shared" si="56"/>
        <v>0</v>
      </c>
      <c r="K570" s="66" t="str">
        <f t="shared" si="57"/>
        <v/>
      </c>
      <c r="L570" s="66" t="str">
        <f t="shared" si="58"/>
        <v/>
      </c>
      <c r="M570" s="66" t="str">
        <f t="shared" si="59"/>
        <v/>
      </c>
      <c r="N570" s="66" t="str">
        <f t="shared" si="60"/>
        <v/>
      </c>
      <c r="O570" s="66" t="str">
        <f t="shared" si="61"/>
        <v/>
      </c>
      <c r="P570" s="66" t="str">
        <f t="shared" si="62"/>
        <v/>
      </c>
    </row>
    <row r="571" spans="8:16">
      <c r="H571" s="66" t="e">
        <f>IF(LEFT(A571,6)="CEPNTR","GPINS",VLOOKUP(LEFT(A571,6),'Code Library'!$A$3:$B$920,2,0))&amp;"_"&amp;RIGHT(A571,3)</f>
        <v>#N/A</v>
      </c>
      <c r="I571" s="66">
        <f t="shared" si="56"/>
        <v>0</v>
      </c>
      <c r="K571" s="66" t="str">
        <f t="shared" si="57"/>
        <v/>
      </c>
      <c r="L571" s="66" t="str">
        <f t="shared" si="58"/>
        <v/>
      </c>
      <c r="M571" s="66" t="str">
        <f t="shared" si="59"/>
        <v/>
      </c>
      <c r="N571" s="66" t="str">
        <f t="shared" si="60"/>
        <v/>
      </c>
      <c r="O571" s="66" t="str">
        <f t="shared" si="61"/>
        <v/>
      </c>
      <c r="P571" s="66" t="str">
        <f t="shared" si="62"/>
        <v/>
      </c>
    </row>
    <row r="572" spans="8:16">
      <c r="H572" s="66" t="e">
        <f>IF(LEFT(A572,6)="CEPNTR","GPINS",VLOOKUP(LEFT(A572,6),'Code Library'!$A$3:$B$920,2,0))&amp;"_"&amp;RIGHT(A572,3)</f>
        <v>#N/A</v>
      </c>
      <c r="I572" s="66">
        <f t="shared" si="56"/>
        <v>0</v>
      </c>
      <c r="K572" s="66" t="str">
        <f t="shared" si="57"/>
        <v/>
      </c>
      <c r="L572" s="66" t="str">
        <f t="shared" si="58"/>
        <v/>
      </c>
      <c r="M572" s="66" t="str">
        <f t="shared" si="59"/>
        <v/>
      </c>
      <c r="N572" s="66" t="str">
        <f t="shared" si="60"/>
        <v/>
      </c>
      <c r="O572" s="66" t="str">
        <f t="shared" si="61"/>
        <v/>
      </c>
      <c r="P572" s="66" t="str">
        <f t="shared" si="62"/>
        <v/>
      </c>
    </row>
    <row r="573" spans="8:16">
      <c r="H573" s="66" t="e">
        <f>IF(LEFT(A573,6)="CEPNTR","GPINS",VLOOKUP(LEFT(A573,6),'Code Library'!$A$3:$B$920,2,0))&amp;"_"&amp;RIGHT(A573,3)</f>
        <v>#N/A</v>
      </c>
      <c r="I573" s="66">
        <f t="shared" si="56"/>
        <v>0</v>
      </c>
      <c r="K573" s="66" t="str">
        <f t="shared" si="57"/>
        <v/>
      </c>
      <c r="L573" s="66" t="str">
        <f t="shared" si="58"/>
        <v/>
      </c>
      <c r="M573" s="66" t="str">
        <f t="shared" si="59"/>
        <v/>
      </c>
      <c r="N573" s="66" t="str">
        <f t="shared" si="60"/>
        <v/>
      </c>
      <c r="O573" s="66" t="str">
        <f t="shared" si="61"/>
        <v/>
      </c>
      <c r="P573" s="66" t="str">
        <f t="shared" si="62"/>
        <v/>
      </c>
    </row>
    <row r="574" spans="8:16">
      <c r="H574" s="66" t="e">
        <f>IF(LEFT(A574,6)="CEPNTR","GPINS",VLOOKUP(LEFT(A574,6),'Code Library'!$A$3:$B$920,2,0))&amp;"_"&amp;RIGHT(A574,3)</f>
        <v>#N/A</v>
      </c>
      <c r="I574" s="66">
        <f t="shared" si="56"/>
        <v>0</v>
      </c>
      <c r="K574" s="66" t="str">
        <f t="shared" si="57"/>
        <v/>
      </c>
      <c r="L574" s="66" t="str">
        <f t="shared" si="58"/>
        <v/>
      </c>
      <c r="M574" s="66" t="str">
        <f t="shared" si="59"/>
        <v/>
      </c>
      <c r="N574" s="66" t="str">
        <f t="shared" si="60"/>
        <v/>
      </c>
      <c r="O574" s="66" t="str">
        <f t="shared" si="61"/>
        <v/>
      </c>
      <c r="P574" s="66" t="str">
        <f t="shared" si="62"/>
        <v/>
      </c>
    </row>
    <row r="575" spans="8:16">
      <c r="H575" s="66" t="e">
        <f>IF(LEFT(A575,6)="CEPNTR","GPINS",VLOOKUP(LEFT(A575,6),'Code Library'!$A$3:$B$920,2,0))&amp;"_"&amp;RIGHT(A575,3)</f>
        <v>#N/A</v>
      </c>
      <c r="I575" s="66">
        <f t="shared" si="56"/>
        <v>0</v>
      </c>
      <c r="K575" s="66" t="str">
        <f t="shared" si="57"/>
        <v/>
      </c>
      <c r="L575" s="66" t="str">
        <f t="shared" si="58"/>
        <v/>
      </c>
      <c r="M575" s="66" t="str">
        <f t="shared" si="59"/>
        <v/>
      </c>
      <c r="N575" s="66" t="str">
        <f t="shared" si="60"/>
        <v/>
      </c>
      <c r="O575" s="66" t="str">
        <f t="shared" si="61"/>
        <v/>
      </c>
      <c r="P575" s="66" t="str">
        <f t="shared" si="62"/>
        <v/>
      </c>
    </row>
    <row r="576" spans="8:16">
      <c r="H576" s="66" t="e">
        <f>IF(LEFT(A576,6)="CEPNTR","GPINS",VLOOKUP(LEFT(A576,6),'Code Library'!$A$3:$B$920,2,0))&amp;"_"&amp;RIGHT(A576,3)</f>
        <v>#N/A</v>
      </c>
      <c r="I576" s="66">
        <f t="shared" si="56"/>
        <v>0</v>
      </c>
      <c r="K576" s="66" t="str">
        <f t="shared" si="57"/>
        <v/>
      </c>
      <c r="L576" s="66" t="str">
        <f t="shared" si="58"/>
        <v/>
      </c>
      <c r="M576" s="66" t="str">
        <f t="shared" si="59"/>
        <v/>
      </c>
      <c r="N576" s="66" t="str">
        <f t="shared" si="60"/>
        <v/>
      </c>
      <c r="O576" s="66" t="str">
        <f t="shared" si="61"/>
        <v/>
      </c>
      <c r="P576" s="66" t="str">
        <f t="shared" si="62"/>
        <v/>
      </c>
    </row>
    <row r="577" spans="8:16">
      <c r="H577" s="66" t="e">
        <f>IF(LEFT(A577,6)="CEPNTR","GPINS",VLOOKUP(LEFT(A577,6),'Code Library'!$A$3:$B$920,2,0))&amp;"_"&amp;RIGHT(A577,3)</f>
        <v>#N/A</v>
      </c>
      <c r="I577" s="66">
        <f t="shared" si="56"/>
        <v>0</v>
      </c>
      <c r="K577" s="66" t="str">
        <f t="shared" si="57"/>
        <v/>
      </c>
      <c r="L577" s="66" t="str">
        <f t="shared" si="58"/>
        <v/>
      </c>
      <c r="M577" s="66" t="str">
        <f t="shared" si="59"/>
        <v/>
      </c>
      <c r="N577" s="66" t="str">
        <f t="shared" si="60"/>
        <v/>
      </c>
      <c r="O577" s="66" t="str">
        <f t="shared" si="61"/>
        <v/>
      </c>
      <c r="P577" s="66" t="str">
        <f t="shared" si="62"/>
        <v/>
      </c>
    </row>
    <row r="578" spans="8:16">
      <c r="H578" s="66" t="e">
        <f>IF(LEFT(A578,6)="CEPNTR","GPINS",VLOOKUP(LEFT(A578,6),'Code Library'!$A$3:$B$920,2,0))&amp;"_"&amp;RIGHT(A578,3)</f>
        <v>#N/A</v>
      </c>
      <c r="I578" s="66">
        <f t="shared" si="56"/>
        <v>0</v>
      </c>
      <c r="K578" s="66" t="str">
        <f t="shared" si="57"/>
        <v/>
      </c>
      <c r="L578" s="66" t="str">
        <f t="shared" si="58"/>
        <v/>
      </c>
      <c r="M578" s="66" t="str">
        <f t="shared" si="59"/>
        <v/>
      </c>
      <c r="N578" s="66" t="str">
        <f t="shared" si="60"/>
        <v/>
      </c>
      <c r="O578" s="66" t="str">
        <f t="shared" si="61"/>
        <v/>
      </c>
      <c r="P578" s="66" t="str">
        <f t="shared" si="62"/>
        <v/>
      </c>
    </row>
    <row r="579" spans="8:16">
      <c r="H579" s="66" t="e">
        <f>IF(LEFT(A579,6)="CEPNTR","GPINS",VLOOKUP(LEFT(A579,6),'Code Library'!$A$3:$B$920,2,0))&amp;"_"&amp;RIGHT(A579,3)</f>
        <v>#N/A</v>
      </c>
      <c r="I579" s="66">
        <f t="shared" ref="I579:I642" si="63">A579</f>
        <v>0</v>
      </c>
      <c r="K579" s="66" t="str">
        <f t="shared" ref="K579:K642" si="64">RIGHT($B579,2)</f>
        <v/>
      </c>
      <c r="L579" s="66" t="str">
        <f t="shared" ref="L579:L642" si="65">LEFT(RIGHT($B579,7),4)</f>
        <v/>
      </c>
      <c r="M579" s="66" t="str">
        <f t="shared" ref="M579:M642" si="66">LEFT(RIGHT($B579,10),2)</f>
        <v/>
      </c>
      <c r="N579" s="66" t="str">
        <f t="shared" ref="N579:N642" si="67">LEFT(RIGHT($B579,14),3)</f>
        <v/>
      </c>
      <c r="O579" s="66" t="str">
        <f t="shared" ref="O579:O642" si="68">LEFT(RIGHT($B579,16),1)</f>
        <v/>
      </c>
      <c r="P579" s="66" t="str">
        <f t="shared" ref="P579:P642" si="69">LEFT(RIGHT($B579,19),2)</f>
        <v/>
      </c>
    </row>
    <row r="580" spans="8:16">
      <c r="H580" s="66" t="e">
        <f>IF(LEFT(A580,6)="CEPNTR","GPINS",VLOOKUP(LEFT(A580,6),'Code Library'!$A$3:$B$920,2,0))&amp;"_"&amp;RIGHT(A580,3)</f>
        <v>#N/A</v>
      </c>
      <c r="I580" s="66">
        <f t="shared" si="63"/>
        <v>0</v>
      </c>
      <c r="K580" s="66" t="str">
        <f t="shared" si="64"/>
        <v/>
      </c>
      <c r="L580" s="66" t="str">
        <f t="shared" si="65"/>
        <v/>
      </c>
      <c r="M580" s="66" t="str">
        <f t="shared" si="66"/>
        <v/>
      </c>
      <c r="N580" s="66" t="str">
        <f t="shared" si="67"/>
        <v/>
      </c>
      <c r="O580" s="66" t="str">
        <f t="shared" si="68"/>
        <v/>
      </c>
      <c r="P580" s="66" t="str">
        <f t="shared" si="69"/>
        <v/>
      </c>
    </row>
    <row r="581" spans="8:16">
      <c r="H581" s="66" t="e">
        <f>IF(LEFT(A581,6)="CEPNTR","GPINS",VLOOKUP(LEFT(A581,6),'Code Library'!$A$3:$B$920,2,0))&amp;"_"&amp;RIGHT(A581,3)</f>
        <v>#N/A</v>
      </c>
      <c r="I581" s="66">
        <f t="shared" si="63"/>
        <v>0</v>
      </c>
      <c r="K581" s="66" t="str">
        <f t="shared" si="64"/>
        <v/>
      </c>
      <c r="L581" s="66" t="str">
        <f t="shared" si="65"/>
        <v/>
      </c>
      <c r="M581" s="66" t="str">
        <f t="shared" si="66"/>
        <v/>
      </c>
      <c r="N581" s="66" t="str">
        <f t="shared" si="67"/>
        <v/>
      </c>
      <c r="O581" s="66" t="str">
        <f t="shared" si="68"/>
        <v/>
      </c>
      <c r="P581" s="66" t="str">
        <f t="shared" si="69"/>
        <v/>
      </c>
    </row>
    <row r="582" spans="8:16">
      <c r="H582" s="66" t="e">
        <f>IF(LEFT(A582,6)="CEPNTR","GPINS",VLOOKUP(LEFT(A582,6),'Code Library'!$A$3:$B$920,2,0))&amp;"_"&amp;RIGHT(A582,3)</f>
        <v>#N/A</v>
      </c>
      <c r="I582" s="66">
        <f t="shared" si="63"/>
        <v>0</v>
      </c>
      <c r="K582" s="66" t="str">
        <f t="shared" si="64"/>
        <v/>
      </c>
      <c r="L582" s="66" t="str">
        <f t="shared" si="65"/>
        <v/>
      </c>
      <c r="M582" s="66" t="str">
        <f t="shared" si="66"/>
        <v/>
      </c>
      <c r="N582" s="66" t="str">
        <f t="shared" si="67"/>
        <v/>
      </c>
      <c r="O582" s="66" t="str">
        <f t="shared" si="68"/>
        <v/>
      </c>
      <c r="P582" s="66" t="str">
        <f t="shared" si="69"/>
        <v/>
      </c>
    </row>
    <row r="583" spans="8:16">
      <c r="H583" s="66" t="e">
        <f>IF(LEFT(A583,6)="CEPNTR","GPINS",VLOOKUP(LEFT(A583,6),'Code Library'!$A$3:$B$920,2,0))&amp;"_"&amp;RIGHT(A583,3)</f>
        <v>#N/A</v>
      </c>
      <c r="I583" s="66">
        <f t="shared" si="63"/>
        <v>0</v>
      </c>
      <c r="K583" s="66" t="str">
        <f t="shared" si="64"/>
        <v/>
      </c>
      <c r="L583" s="66" t="str">
        <f t="shared" si="65"/>
        <v/>
      </c>
      <c r="M583" s="66" t="str">
        <f t="shared" si="66"/>
        <v/>
      </c>
      <c r="N583" s="66" t="str">
        <f t="shared" si="67"/>
        <v/>
      </c>
      <c r="O583" s="66" t="str">
        <f t="shared" si="68"/>
        <v/>
      </c>
      <c r="P583" s="66" t="str">
        <f t="shared" si="69"/>
        <v/>
      </c>
    </row>
    <row r="584" spans="8:16">
      <c r="H584" s="66" t="e">
        <f>IF(LEFT(A584,6)="CEPNTR","GPINS",VLOOKUP(LEFT(A584,6),'Code Library'!$A$3:$B$920,2,0))&amp;"_"&amp;RIGHT(A584,3)</f>
        <v>#N/A</v>
      </c>
      <c r="I584" s="66">
        <f t="shared" si="63"/>
        <v>0</v>
      </c>
      <c r="K584" s="66" t="str">
        <f t="shared" si="64"/>
        <v/>
      </c>
      <c r="L584" s="66" t="str">
        <f t="shared" si="65"/>
        <v/>
      </c>
      <c r="M584" s="66" t="str">
        <f t="shared" si="66"/>
        <v/>
      </c>
      <c r="N584" s="66" t="str">
        <f t="shared" si="67"/>
        <v/>
      </c>
      <c r="O584" s="66" t="str">
        <f t="shared" si="68"/>
        <v/>
      </c>
      <c r="P584" s="66" t="str">
        <f t="shared" si="69"/>
        <v/>
      </c>
    </row>
    <row r="585" spans="8:16">
      <c r="H585" s="66" t="e">
        <f>IF(LEFT(A585,6)="CEPNTR","GPINS",VLOOKUP(LEFT(A585,6),'Code Library'!$A$3:$B$920,2,0))&amp;"_"&amp;RIGHT(A585,3)</f>
        <v>#N/A</v>
      </c>
      <c r="I585" s="66">
        <f t="shared" si="63"/>
        <v>0</v>
      </c>
      <c r="K585" s="66" t="str">
        <f t="shared" si="64"/>
        <v/>
      </c>
      <c r="L585" s="66" t="str">
        <f t="shared" si="65"/>
        <v/>
      </c>
      <c r="M585" s="66" t="str">
        <f t="shared" si="66"/>
        <v/>
      </c>
      <c r="N585" s="66" t="str">
        <f t="shared" si="67"/>
        <v/>
      </c>
      <c r="O585" s="66" t="str">
        <f t="shared" si="68"/>
        <v/>
      </c>
      <c r="P585" s="66" t="str">
        <f t="shared" si="69"/>
        <v/>
      </c>
    </row>
    <row r="586" spans="8:16">
      <c r="H586" s="66" t="e">
        <f>IF(LEFT(A586,6)="CEPNTR","GPINS",VLOOKUP(LEFT(A586,6),'Code Library'!$A$3:$B$920,2,0))&amp;"_"&amp;RIGHT(A586,3)</f>
        <v>#N/A</v>
      </c>
      <c r="I586" s="66">
        <f t="shared" si="63"/>
        <v>0</v>
      </c>
      <c r="K586" s="66" t="str">
        <f t="shared" si="64"/>
        <v/>
      </c>
      <c r="L586" s="66" t="str">
        <f t="shared" si="65"/>
        <v/>
      </c>
      <c r="M586" s="66" t="str">
        <f t="shared" si="66"/>
        <v/>
      </c>
      <c r="N586" s="66" t="str">
        <f t="shared" si="67"/>
        <v/>
      </c>
      <c r="O586" s="66" t="str">
        <f t="shared" si="68"/>
        <v/>
      </c>
      <c r="P586" s="66" t="str">
        <f t="shared" si="69"/>
        <v/>
      </c>
    </row>
    <row r="587" spans="8:16">
      <c r="H587" s="66" t="e">
        <f>IF(LEFT(A587,6)="CEPNTR","GPINS",VLOOKUP(LEFT(A587,6),'Code Library'!$A$3:$B$920,2,0))&amp;"_"&amp;RIGHT(A587,3)</f>
        <v>#N/A</v>
      </c>
      <c r="I587" s="66">
        <f t="shared" si="63"/>
        <v>0</v>
      </c>
      <c r="K587" s="66" t="str">
        <f t="shared" si="64"/>
        <v/>
      </c>
      <c r="L587" s="66" t="str">
        <f t="shared" si="65"/>
        <v/>
      </c>
      <c r="M587" s="66" t="str">
        <f t="shared" si="66"/>
        <v/>
      </c>
      <c r="N587" s="66" t="str">
        <f t="shared" si="67"/>
        <v/>
      </c>
      <c r="O587" s="66" t="str">
        <f t="shared" si="68"/>
        <v/>
      </c>
      <c r="P587" s="66" t="str">
        <f t="shared" si="69"/>
        <v/>
      </c>
    </row>
    <row r="588" spans="8:16">
      <c r="H588" s="66" t="e">
        <f>IF(LEFT(A588,6)="CEPNTR","GPINS",VLOOKUP(LEFT(A588,6),'Code Library'!$A$3:$B$920,2,0))&amp;"_"&amp;RIGHT(A588,3)</f>
        <v>#N/A</v>
      </c>
      <c r="I588" s="66">
        <f t="shared" si="63"/>
        <v>0</v>
      </c>
      <c r="K588" s="66" t="str">
        <f t="shared" si="64"/>
        <v/>
      </c>
      <c r="L588" s="66" t="str">
        <f t="shared" si="65"/>
        <v/>
      </c>
      <c r="M588" s="66" t="str">
        <f t="shared" si="66"/>
        <v/>
      </c>
      <c r="N588" s="66" t="str">
        <f t="shared" si="67"/>
        <v/>
      </c>
      <c r="O588" s="66" t="str">
        <f t="shared" si="68"/>
        <v/>
      </c>
      <c r="P588" s="66" t="str">
        <f t="shared" si="69"/>
        <v/>
      </c>
    </row>
    <row r="589" spans="8:16">
      <c r="H589" s="66" t="e">
        <f>IF(LEFT(A589,6)="CEPNTR","GPINS",VLOOKUP(LEFT(A589,6),'Code Library'!$A$3:$B$920,2,0))&amp;"_"&amp;RIGHT(A589,3)</f>
        <v>#N/A</v>
      </c>
      <c r="I589" s="66">
        <f t="shared" si="63"/>
        <v>0</v>
      </c>
      <c r="K589" s="66" t="str">
        <f t="shared" si="64"/>
        <v/>
      </c>
      <c r="L589" s="66" t="str">
        <f t="shared" si="65"/>
        <v/>
      </c>
      <c r="M589" s="66" t="str">
        <f t="shared" si="66"/>
        <v/>
      </c>
      <c r="N589" s="66" t="str">
        <f t="shared" si="67"/>
        <v/>
      </c>
      <c r="O589" s="66" t="str">
        <f t="shared" si="68"/>
        <v/>
      </c>
      <c r="P589" s="66" t="str">
        <f t="shared" si="69"/>
        <v/>
      </c>
    </row>
    <row r="590" spans="8:16">
      <c r="H590" s="66" t="e">
        <f>IF(LEFT(A590,6)="CEPNTR","GPINS",VLOOKUP(LEFT(A590,6),'Code Library'!$A$3:$B$920,2,0))&amp;"_"&amp;RIGHT(A590,3)</f>
        <v>#N/A</v>
      </c>
      <c r="I590" s="66">
        <f t="shared" si="63"/>
        <v>0</v>
      </c>
      <c r="K590" s="66" t="str">
        <f t="shared" si="64"/>
        <v/>
      </c>
      <c r="L590" s="66" t="str">
        <f t="shared" si="65"/>
        <v/>
      </c>
      <c r="M590" s="66" t="str">
        <f t="shared" si="66"/>
        <v/>
      </c>
      <c r="N590" s="66" t="str">
        <f t="shared" si="67"/>
        <v/>
      </c>
      <c r="O590" s="66" t="str">
        <f t="shared" si="68"/>
        <v/>
      </c>
      <c r="P590" s="66" t="str">
        <f t="shared" si="69"/>
        <v/>
      </c>
    </row>
    <row r="591" spans="8:16">
      <c r="H591" s="66" t="e">
        <f>IF(LEFT(A591,6)="CEPNTR","GPINS",VLOOKUP(LEFT(A591,6),'Code Library'!$A$3:$B$920,2,0))&amp;"_"&amp;RIGHT(A591,3)</f>
        <v>#N/A</v>
      </c>
      <c r="I591" s="66">
        <f t="shared" si="63"/>
        <v>0</v>
      </c>
      <c r="K591" s="66" t="str">
        <f t="shared" si="64"/>
        <v/>
      </c>
      <c r="L591" s="66" t="str">
        <f t="shared" si="65"/>
        <v/>
      </c>
      <c r="M591" s="66" t="str">
        <f t="shared" si="66"/>
        <v/>
      </c>
      <c r="N591" s="66" t="str">
        <f t="shared" si="67"/>
        <v/>
      </c>
      <c r="O591" s="66" t="str">
        <f t="shared" si="68"/>
        <v/>
      </c>
      <c r="P591" s="66" t="str">
        <f t="shared" si="69"/>
        <v/>
      </c>
    </row>
    <row r="592" spans="8:16">
      <c r="H592" s="66" t="e">
        <f>IF(LEFT(A592,6)="CEPNTR","GPINS",VLOOKUP(LEFT(A592,6),'Code Library'!$A$3:$B$920,2,0))&amp;"_"&amp;RIGHT(A592,3)</f>
        <v>#N/A</v>
      </c>
      <c r="I592" s="66">
        <f t="shared" si="63"/>
        <v>0</v>
      </c>
      <c r="K592" s="66" t="str">
        <f t="shared" si="64"/>
        <v/>
      </c>
      <c r="L592" s="66" t="str">
        <f t="shared" si="65"/>
        <v/>
      </c>
      <c r="M592" s="66" t="str">
        <f t="shared" si="66"/>
        <v/>
      </c>
      <c r="N592" s="66" t="str">
        <f t="shared" si="67"/>
        <v/>
      </c>
      <c r="O592" s="66" t="str">
        <f t="shared" si="68"/>
        <v/>
      </c>
      <c r="P592" s="66" t="str">
        <f t="shared" si="69"/>
        <v/>
      </c>
    </row>
    <row r="593" spans="8:16">
      <c r="H593" s="66" t="e">
        <f>IF(LEFT(A593,6)="CEPNTR","GPINS",VLOOKUP(LEFT(A593,6),'Code Library'!$A$3:$B$920,2,0))&amp;"_"&amp;RIGHT(A593,3)</f>
        <v>#N/A</v>
      </c>
      <c r="I593" s="66">
        <f t="shared" si="63"/>
        <v>0</v>
      </c>
      <c r="K593" s="66" t="str">
        <f t="shared" si="64"/>
        <v/>
      </c>
      <c r="L593" s="66" t="str">
        <f t="shared" si="65"/>
        <v/>
      </c>
      <c r="M593" s="66" t="str">
        <f t="shared" si="66"/>
        <v/>
      </c>
      <c r="N593" s="66" t="str">
        <f t="shared" si="67"/>
        <v/>
      </c>
      <c r="O593" s="66" t="str">
        <f t="shared" si="68"/>
        <v/>
      </c>
      <c r="P593" s="66" t="str">
        <f t="shared" si="69"/>
        <v/>
      </c>
    </row>
    <row r="594" spans="8:16">
      <c r="H594" s="66" t="e">
        <f>IF(LEFT(A594,6)="CEPNTR","GPINS",VLOOKUP(LEFT(A594,6),'Code Library'!$A$3:$B$920,2,0))&amp;"_"&amp;RIGHT(A594,3)</f>
        <v>#N/A</v>
      </c>
      <c r="I594" s="66">
        <f t="shared" si="63"/>
        <v>0</v>
      </c>
      <c r="K594" s="66" t="str">
        <f t="shared" si="64"/>
        <v/>
      </c>
      <c r="L594" s="66" t="str">
        <f t="shared" si="65"/>
        <v/>
      </c>
      <c r="M594" s="66" t="str">
        <f t="shared" si="66"/>
        <v/>
      </c>
      <c r="N594" s="66" t="str">
        <f t="shared" si="67"/>
        <v/>
      </c>
      <c r="O594" s="66" t="str">
        <f t="shared" si="68"/>
        <v/>
      </c>
      <c r="P594" s="66" t="str">
        <f t="shared" si="69"/>
        <v/>
      </c>
    </row>
    <row r="595" spans="8:16">
      <c r="H595" s="66" t="e">
        <f>IF(LEFT(A595,6)="CEPNTR","GPINS",VLOOKUP(LEFT(A595,6),'Code Library'!$A$3:$B$920,2,0))&amp;"_"&amp;RIGHT(A595,3)</f>
        <v>#N/A</v>
      </c>
      <c r="I595" s="66">
        <f t="shared" si="63"/>
        <v>0</v>
      </c>
      <c r="K595" s="66" t="str">
        <f t="shared" si="64"/>
        <v/>
      </c>
      <c r="L595" s="66" t="str">
        <f t="shared" si="65"/>
        <v/>
      </c>
      <c r="M595" s="66" t="str">
        <f t="shared" si="66"/>
        <v/>
      </c>
      <c r="N595" s="66" t="str">
        <f t="shared" si="67"/>
        <v/>
      </c>
      <c r="O595" s="66" t="str">
        <f t="shared" si="68"/>
        <v/>
      </c>
      <c r="P595" s="66" t="str">
        <f t="shared" si="69"/>
        <v/>
      </c>
    </row>
    <row r="596" spans="8:16">
      <c r="H596" s="66" t="e">
        <f>IF(LEFT(A596,6)="CEPNTR","GPINS",VLOOKUP(LEFT(A596,6),'Code Library'!$A$3:$B$920,2,0))&amp;"_"&amp;RIGHT(A596,3)</f>
        <v>#N/A</v>
      </c>
      <c r="I596" s="66">
        <f t="shared" si="63"/>
        <v>0</v>
      </c>
      <c r="K596" s="66" t="str">
        <f t="shared" si="64"/>
        <v/>
      </c>
      <c r="L596" s="66" t="str">
        <f t="shared" si="65"/>
        <v/>
      </c>
      <c r="M596" s="66" t="str">
        <f t="shared" si="66"/>
        <v/>
      </c>
      <c r="N596" s="66" t="str">
        <f t="shared" si="67"/>
        <v/>
      </c>
      <c r="O596" s="66" t="str">
        <f t="shared" si="68"/>
        <v/>
      </c>
      <c r="P596" s="66" t="str">
        <f t="shared" si="69"/>
        <v/>
      </c>
    </row>
    <row r="597" spans="8:16">
      <c r="H597" s="66" t="e">
        <f>IF(LEFT(A597,6)="CEPNTR","GPINS",VLOOKUP(LEFT(A597,6),'Code Library'!$A$3:$B$920,2,0))&amp;"_"&amp;RIGHT(A597,3)</f>
        <v>#N/A</v>
      </c>
      <c r="I597" s="66">
        <f t="shared" si="63"/>
        <v>0</v>
      </c>
      <c r="K597" s="66" t="str">
        <f t="shared" si="64"/>
        <v/>
      </c>
      <c r="L597" s="66" t="str">
        <f t="shared" si="65"/>
        <v/>
      </c>
      <c r="M597" s="66" t="str">
        <f t="shared" si="66"/>
        <v/>
      </c>
      <c r="N597" s="66" t="str">
        <f t="shared" si="67"/>
        <v/>
      </c>
      <c r="O597" s="66" t="str">
        <f t="shared" si="68"/>
        <v/>
      </c>
      <c r="P597" s="66" t="str">
        <f t="shared" si="69"/>
        <v/>
      </c>
    </row>
    <row r="598" spans="8:16">
      <c r="H598" s="66" t="e">
        <f>IF(LEFT(A598,6)="CEPNTR","GPINS",VLOOKUP(LEFT(A598,6),'Code Library'!$A$3:$B$920,2,0))&amp;"_"&amp;RIGHT(A598,3)</f>
        <v>#N/A</v>
      </c>
      <c r="I598" s="66">
        <f t="shared" si="63"/>
        <v>0</v>
      </c>
      <c r="K598" s="66" t="str">
        <f t="shared" si="64"/>
        <v/>
      </c>
      <c r="L598" s="66" t="str">
        <f t="shared" si="65"/>
        <v/>
      </c>
      <c r="M598" s="66" t="str">
        <f t="shared" si="66"/>
        <v/>
      </c>
      <c r="N598" s="66" t="str">
        <f t="shared" si="67"/>
        <v/>
      </c>
      <c r="O598" s="66" t="str">
        <f t="shared" si="68"/>
        <v/>
      </c>
      <c r="P598" s="66" t="str">
        <f t="shared" si="69"/>
        <v/>
      </c>
    </row>
    <row r="599" spans="8:16">
      <c r="H599" s="66" t="e">
        <f>IF(LEFT(A599,6)="CEPNTR","GPINS",VLOOKUP(LEFT(A599,6),'Code Library'!$A$3:$B$920,2,0))&amp;"_"&amp;RIGHT(A599,3)</f>
        <v>#N/A</v>
      </c>
      <c r="I599" s="66">
        <f t="shared" si="63"/>
        <v>0</v>
      </c>
      <c r="K599" s="66" t="str">
        <f t="shared" si="64"/>
        <v/>
      </c>
      <c r="L599" s="66" t="str">
        <f t="shared" si="65"/>
        <v/>
      </c>
      <c r="M599" s="66" t="str">
        <f t="shared" si="66"/>
        <v/>
      </c>
      <c r="N599" s="66" t="str">
        <f t="shared" si="67"/>
        <v/>
      </c>
      <c r="O599" s="66" t="str">
        <f t="shared" si="68"/>
        <v/>
      </c>
      <c r="P599" s="66" t="str">
        <f t="shared" si="69"/>
        <v/>
      </c>
    </row>
    <row r="600" spans="8:16">
      <c r="H600" s="66" t="e">
        <f>IF(LEFT(A600,6)="CEPNTR","GPINS",VLOOKUP(LEFT(A600,6),'Code Library'!$A$3:$B$920,2,0))&amp;"_"&amp;RIGHT(A600,3)</f>
        <v>#N/A</v>
      </c>
      <c r="I600" s="66">
        <f t="shared" si="63"/>
        <v>0</v>
      </c>
      <c r="K600" s="66" t="str">
        <f t="shared" si="64"/>
        <v/>
      </c>
      <c r="L600" s="66" t="str">
        <f t="shared" si="65"/>
        <v/>
      </c>
      <c r="M600" s="66" t="str">
        <f t="shared" si="66"/>
        <v/>
      </c>
      <c r="N600" s="66" t="str">
        <f t="shared" si="67"/>
        <v/>
      </c>
      <c r="O600" s="66" t="str">
        <f t="shared" si="68"/>
        <v/>
      </c>
      <c r="P600" s="66" t="str">
        <f t="shared" si="69"/>
        <v/>
      </c>
    </row>
    <row r="601" spans="8:16">
      <c r="H601" s="66" t="e">
        <f>IF(LEFT(A601,6)="CEPNTR","GPINS",VLOOKUP(LEFT(A601,6),'Code Library'!$A$3:$B$920,2,0))&amp;"_"&amp;RIGHT(A601,3)</f>
        <v>#N/A</v>
      </c>
      <c r="I601" s="66">
        <f t="shared" si="63"/>
        <v>0</v>
      </c>
      <c r="K601" s="66" t="str">
        <f t="shared" si="64"/>
        <v/>
      </c>
      <c r="L601" s="66" t="str">
        <f t="shared" si="65"/>
        <v/>
      </c>
      <c r="M601" s="66" t="str">
        <f t="shared" si="66"/>
        <v/>
      </c>
      <c r="N601" s="66" t="str">
        <f t="shared" si="67"/>
        <v/>
      </c>
      <c r="O601" s="66" t="str">
        <f t="shared" si="68"/>
        <v/>
      </c>
      <c r="P601" s="66" t="str">
        <f t="shared" si="69"/>
        <v/>
      </c>
    </row>
    <row r="602" spans="8:16">
      <c r="H602" s="66" t="e">
        <f>IF(LEFT(A602,6)="CEPNTR","GPINS",VLOOKUP(LEFT(A602,6),'Code Library'!$A$3:$B$920,2,0))&amp;"_"&amp;RIGHT(A602,3)</f>
        <v>#N/A</v>
      </c>
      <c r="I602" s="66">
        <f t="shared" si="63"/>
        <v>0</v>
      </c>
      <c r="K602" s="66" t="str">
        <f t="shared" si="64"/>
        <v/>
      </c>
      <c r="L602" s="66" t="str">
        <f t="shared" si="65"/>
        <v/>
      </c>
      <c r="M602" s="66" t="str">
        <f t="shared" si="66"/>
        <v/>
      </c>
      <c r="N602" s="66" t="str">
        <f t="shared" si="67"/>
        <v/>
      </c>
      <c r="O602" s="66" t="str">
        <f t="shared" si="68"/>
        <v/>
      </c>
      <c r="P602" s="66" t="str">
        <f t="shared" si="69"/>
        <v/>
      </c>
    </row>
    <row r="603" spans="8:16">
      <c r="H603" s="66" t="e">
        <f>IF(LEFT(A603,6)="CEPNTR","GPINS",VLOOKUP(LEFT(A603,6),'Code Library'!$A$3:$B$920,2,0))&amp;"_"&amp;RIGHT(A603,3)</f>
        <v>#N/A</v>
      </c>
      <c r="I603" s="66">
        <f t="shared" si="63"/>
        <v>0</v>
      </c>
      <c r="K603" s="66" t="str">
        <f t="shared" si="64"/>
        <v/>
      </c>
      <c r="L603" s="66" t="str">
        <f t="shared" si="65"/>
        <v/>
      </c>
      <c r="M603" s="66" t="str">
        <f t="shared" si="66"/>
        <v/>
      </c>
      <c r="N603" s="66" t="str">
        <f t="shared" si="67"/>
        <v/>
      </c>
      <c r="O603" s="66" t="str">
        <f t="shared" si="68"/>
        <v/>
      </c>
      <c r="P603" s="66" t="str">
        <f t="shared" si="69"/>
        <v/>
      </c>
    </row>
    <row r="604" spans="8:16">
      <c r="H604" s="66" t="e">
        <f>IF(LEFT(A604,6)="CEPNTR","GPINS",VLOOKUP(LEFT(A604,6),'Code Library'!$A$3:$B$920,2,0))&amp;"_"&amp;RIGHT(A604,3)</f>
        <v>#N/A</v>
      </c>
      <c r="I604" s="66">
        <f t="shared" si="63"/>
        <v>0</v>
      </c>
      <c r="K604" s="66" t="str">
        <f t="shared" si="64"/>
        <v/>
      </c>
      <c r="L604" s="66" t="str">
        <f t="shared" si="65"/>
        <v/>
      </c>
      <c r="M604" s="66" t="str">
        <f t="shared" si="66"/>
        <v/>
      </c>
      <c r="N604" s="66" t="str">
        <f t="shared" si="67"/>
        <v/>
      </c>
      <c r="O604" s="66" t="str">
        <f t="shared" si="68"/>
        <v/>
      </c>
      <c r="P604" s="66" t="str">
        <f t="shared" si="69"/>
        <v/>
      </c>
    </row>
    <row r="605" spans="8:16">
      <c r="H605" s="66" t="e">
        <f>IF(LEFT(A605,6)="CEPNTR","GPINS",VLOOKUP(LEFT(A605,6),'Code Library'!$A$3:$B$920,2,0))&amp;"_"&amp;RIGHT(A605,3)</f>
        <v>#N/A</v>
      </c>
      <c r="I605" s="66">
        <f t="shared" si="63"/>
        <v>0</v>
      </c>
      <c r="K605" s="66" t="str">
        <f t="shared" si="64"/>
        <v/>
      </c>
      <c r="L605" s="66" t="str">
        <f t="shared" si="65"/>
        <v/>
      </c>
      <c r="M605" s="66" t="str">
        <f t="shared" si="66"/>
        <v/>
      </c>
      <c r="N605" s="66" t="str">
        <f t="shared" si="67"/>
        <v/>
      </c>
      <c r="O605" s="66" t="str">
        <f t="shared" si="68"/>
        <v/>
      </c>
      <c r="P605" s="66" t="str">
        <f t="shared" si="69"/>
        <v/>
      </c>
    </row>
    <row r="606" spans="8:16">
      <c r="H606" s="66" t="e">
        <f>IF(LEFT(A606,6)="CEPNTR","GPINS",VLOOKUP(LEFT(A606,6),'Code Library'!$A$3:$B$920,2,0))&amp;"_"&amp;RIGHT(A606,3)</f>
        <v>#N/A</v>
      </c>
      <c r="I606" s="66">
        <f t="shared" si="63"/>
        <v>0</v>
      </c>
      <c r="K606" s="66" t="str">
        <f t="shared" si="64"/>
        <v/>
      </c>
      <c r="L606" s="66" t="str">
        <f t="shared" si="65"/>
        <v/>
      </c>
      <c r="M606" s="66" t="str">
        <f t="shared" si="66"/>
        <v/>
      </c>
      <c r="N606" s="66" t="str">
        <f t="shared" si="67"/>
        <v/>
      </c>
      <c r="O606" s="66" t="str">
        <f t="shared" si="68"/>
        <v/>
      </c>
      <c r="P606" s="66" t="str">
        <f t="shared" si="69"/>
        <v/>
      </c>
    </row>
    <row r="607" spans="8:16">
      <c r="H607" s="66" t="e">
        <f>IF(LEFT(A607,6)="CEPNTR","GPINS",VLOOKUP(LEFT(A607,6),'Code Library'!$A$3:$B$920,2,0))&amp;"_"&amp;RIGHT(A607,3)</f>
        <v>#N/A</v>
      </c>
      <c r="I607" s="66">
        <f t="shared" si="63"/>
        <v>0</v>
      </c>
      <c r="K607" s="66" t="str">
        <f t="shared" si="64"/>
        <v/>
      </c>
      <c r="L607" s="66" t="str">
        <f t="shared" si="65"/>
        <v/>
      </c>
      <c r="M607" s="66" t="str">
        <f t="shared" si="66"/>
        <v/>
      </c>
      <c r="N607" s="66" t="str">
        <f t="shared" si="67"/>
        <v/>
      </c>
      <c r="O607" s="66" t="str">
        <f t="shared" si="68"/>
        <v/>
      </c>
      <c r="P607" s="66" t="str">
        <f t="shared" si="69"/>
        <v/>
      </c>
    </row>
    <row r="608" spans="8:16">
      <c r="H608" s="66" t="e">
        <f>IF(LEFT(A608,6)="CEPNTR","GPINS",VLOOKUP(LEFT(A608,6),'Code Library'!$A$3:$B$920,2,0))&amp;"_"&amp;RIGHT(A608,3)</f>
        <v>#N/A</v>
      </c>
      <c r="I608" s="66">
        <f t="shared" si="63"/>
        <v>0</v>
      </c>
      <c r="K608" s="66" t="str">
        <f t="shared" si="64"/>
        <v/>
      </c>
      <c r="L608" s="66" t="str">
        <f t="shared" si="65"/>
        <v/>
      </c>
      <c r="M608" s="66" t="str">
        <f t="shared" si="66"/>
        <v/>
      </c>
      <c r="N608" s="66" t="str">
        <f t="shared" si="67"/>
        <v/>
      </c>
      <c r="O608" s="66" t="str">
        <f t="shared" si="68"/>
        <v/>
      </c>
      <c r="P608" s="66" t="str">
        <f t="shared" si="69"/>
        <v/>
      </c>
    </row>
    <row r="609" spans="8:16">
      <c r="H609" s="66" t="e">
        <f>IF(LEFT(A609,6)="CEPNTR","GPINS",VLOOKUP(LEFT(A609,6),'Code Library'!$A$3:$B$920,2,0))&amp;"_"&amp;RIGHT(A609,3)</f>
        <v>#N/A</v>
      </c>
      <c r="I609" s="66">
        <f t="shared" si="63"/>
        <v>0</v>
      </c>
      <c r="K609" s="66" t="str">
        <f t="shared" si="64"/>
        <v/>
      </c>
      <c r="L609" s="66" t="str">
        <f t="shared" si="65"/>
        <v/>
      </c>
      <c r="M609" s="66" t="str">
        <f t="shared" si="66"/>
        <v/>
      </c>
      <c r="N609" s="66" t="str">
        <f t="shared" si="67"/>
        <v/>
      </c>
      <c r="O609" s="66" t="str">
        <f t="shared" si="68"/>
        <v/>
      </c>
      <c r="P609" s="66" t="str">
        <f t="shared" si="69"/>
        <v/>
      </c>
    </row>
    <row r="610" spans="8:16">
      <c r="H610" s="66" t="e">
        <f>IF(LEFT(A610,6)="CEPNTR","GPINS",VLOOKUP(LEFT(A610,6),'Code Library'!$A$3:$B$920,2,0))&amp;"_"&amp;RIGHT(A610,3)</f>
        <v>#N/A</v>
      </c>
      <c r="I610" s="66">
        <f t="shared" si="63"/>
        <v>0</v>
      </c>
      <c r="K610" s="66" t="str">
        <f t="shared" si="64"/>
        <v/>
      </c>
      <c r="L610" s="66" t="str">
        <f t="shared" si="65"/>
        <v/>
      </c>
      <c r="M610" s="66" t="str">
        <f t="shared" si="66"/>
        <v/>
      </c>
      <c r="N610" s="66" t="str">
        <f t="shared" si="67"/>
        <v/>
      </c>
      <c r="O610" s="66" t="str">
        <f t="shared" si="68"/>
        <v/>
      </c>
      <c r="P610" s="66" t="str">
        <f t="shared" si="69"/>
        <v/>
      </c>
    </row>
    <row r="611" spans="8:16">
      <c r="H611" s="66" t="e">
        <f>IF(LEFT(A611,6)="CEPNTR","GPINS",VLOOKUP(LEFT(A611,6),'Code Library'!$A$3:$B$920,2,0))&amp;"_"&amp;RIGHT(A611,3)</f>
        <v>#N/A</v>
      </c>
      <c r="I611" s="66">
        <f t="shared" si="63"/>
        <v>0</v>
      </c>
      <c r="K611" s="66" t="str">
        <f t="shared" si="64"/>
        <v/>
      </c>
      <c r="L611" s="66" t="str">
        <f t="shared" si="65"/>
        <v/>
      </c>
      <c r="M611" s="66" t="str">
        <f t="shared" si="66"/>
        <v/>
      </c>
      <c r="N611" s="66" t="str">
        <f t="shared" si="67"/>
        <v/>
      </c>
      <c r="O611" s="66" t="str">
        <f t="shared" si="68"/>
        <v/>
      </c>
      <c r="P611" s="66" t="str">
        <f t="shared" si="69"/>
        <v/>
      </c>
    </row>
    <row r="612" spans="8:16">
      <c r="H612" s="66" t="e">
        <f>IF(LEFT(A612,6)="CEPNTR","GPINS",VLOOKUP(LEFT(A612,6),'Code Library'!$A$3:$B$920,2,0))&amp;"_"&amp;RIGHT(A612,3)</f>
        <v>#N/A</v>
      </c>
      <c r="I612" s="66">
        <f t="shared" si="63"/>
        <v>0</v>
      </c>
      <c r="K612" s="66" t="str">
        <f t="shared" si="64"/>
        <v/>
      </c>
      <c r="L612" s="66" t="str">
        <f t="shared" si="65"/>
        <v/>
      </c>
      <c r="M612" s="66" t="str">
        <f t="shared" si="66"/>
        <v/>
      </c>
      <c r="N612" s="66" t="str">
        <f t="shared" si="67"/>
        <v/>
      </c>
      <c r="O612" s="66" t="str">
        <f t="shared" si="68"/>
        <v/>
      </c>
      <c r="P612" s="66" t="str">
        <f t="shared" si="69"/>
        <v/>
      </c>
    </row>
    <row r="613" spans="8:16">
      <c r="H613" s="66" t="e">
        <f>IF(LEFT(A613,6)="CEPNTR","GPINS",VLOOKUP(LEFT(A613,6),'Code Library'!$A$3:$B$920,2,0))&amp;"_"&amp;RIGHT(A613,3)</f>
        <v>#N/A</v>
      </c>
      <c r="I613" s="66">
        <f t="shared" si="63"/>
        <v>0</v>
      </c>
      <c r="K613" s="66" t="str">
        <f t="shared" si="64"/>
        <v/>
      </c>
      <c r="L613" s="66" t="str">
        <f t="shared" si="65"/>
        <v/>
      </c>
      <c r="M613" s="66" t="str">
        <f t="shared" si="66"/>
        <v/>
      </c>
      <c r="N613" s="66" t="str">
        <f t="shared" si="67"/>
        <v/>
      </c>
      <c r="O613" s="66" t="str">
        <f t="shared" si="68"/>
        <v/>
      </c>
      <c r="P613" s="66" t="str">
        <f t="shared" si="69"/>
        <v/>
      </c>
    </row>
    <row r="614" spans="8:16">
      <c r="H614" s="66" t="e">
        <f>IF(LEFT(A614,6)="CEPNTR","GPINS",VLOOKUP(LEFT(A614,6),'Code Library'!$A$3:$B$920,2,0))&amp;"_"&amp;RIGHT(A614,3)</f>
        <v>#N/A</v>
      </c>
      <c r="I614" s="66">
        <f t="shared" si="63"/>
        <v>0</v>
      </c>
      <c r="K614" s="66" t="str">
        <f t="shared" si="64"/>
        <v/>
      </c>
      <c r="L614" s="66" t="str">
        <f t="shared" si="65"/>
        <v/>
      </c>
      <c r="M614" s="66" t="str">
        <f t="shared" si="66"/>
        <v/>
      </c>
      <c r="N614" s="66" t="str">
        <f t="shared" si="67"/>
        <v/>
      </c>
      <c r="O614" s="66" t="str">
        <f t="shared" si="68"/>
        <v/>
      </c>
      <c r="P614" s="66" t="str">
        <f t="shared" si="69"/>
        <v/>
      </c>
    </row>
    <row r="615" spans="8:16">
      <c r="H615" s="66" t="e">
        <f>IF(LEFT(A615,6)="CEPNTR","GPINS",VLOOKUP(LEFT(A615,6),'Code Library'!$A$3:$B$920,2,0))&amp;"_"&amp;RIGHT(A615,3)</f>
        <v>#N/A</v>
      </c>
      <c r="I615" s="66">
        <f t="shared" si="63"/>
        <v>0</v>
      </c>
      <c r="K615" s="66" t="str">
        <f t="shared" si="64"/>
        <v/>
      </c>
      <c r="L615" s="66" t="str">
        <f t="shared" si="65"/>
        <v/>
      </c>
      <c r="M615" s="66" t="str">
        <f t="shared" si="66"/>
        <v/>
      </c>
      <c r="N615" s="66" t="str">
        <f t="shared" si="67"/>
        <v/>
      </c>
      <c r="O615" s="66" t="str">
        <f t="shared" si="68"/>
        <v/>
      </c>
      <c r="P615" s="66" t="str">
        <f t="shared" si="69"/>
        <v/>
      </c>
    </row>
    <row r="616" spans="8:16">
      <c r="H616" s="66" t="e">
        <f>IF(LEFT(A616,6)="CEPNTR","GPINS",VLOOKUP(LEFT(A616,6),'Code Library'!$A$3:$B$920,2,0))&amp;"_"&amp;RIGHT(A616,3)</f>
        <v>#N/A</v>
      </c>
      <c r="I616" s="66">
        <f t="shared" si="63"/>
        <v>0</v>
      </c>
      <c r="K616" s="66" t="str">
        <f t="shared" si="64"/>
        <v/>
      </c>
      <c r="L616" s="66" t="str">
        <f t="shared" si="65"/>
        <v/>
      </c>
      <c r="M616" s="66" t="str">
        <f t="shared" si="66"/>
        <v/>
      </c>
      <c r="N616" s="66" t="str">
        <f t="shared" si="67"/>
        <v/>
      </c>
      <c r="O616" s="66" t="str">
        <f t="shared" si="68"/>
        <v/>
      </c>
      <c r="P616" s="66" t="str">
        <f t="shared" si="69"/>
        <v/>
      </c>
    </row>
    <row r="617" spans="8:16">
      <c r="H617" s="66" t="e">
        <f>IF(LEFT(A617,6)="CEPNTR","GPINS",VLOOKUP(LEFT(A617,6),'Code Library'!$A$3:$B$920,2,0))&amp;"_"&amp;RIGHT(A617,3)</f>
        <v>#N/A</v>
      </c>
      <c r="I617" s="66">
        <f t="shared" si="63"/>
        <v>0</v>
      </c>
      <c r="K617" s="66" t="str">
        <f t="shared" si="64"/>
        <v/>
      </c>
      <c r="L617" s="66" t="str">
        <f t="shared" si="65"/>
        <v/>
      </c>
      <c r="M617" s="66" t="str">
        <f t="shared" si="66"/>
        <v/>
      </c>
      <c r="N617" s="66" t="str">
        <f t="shared" si="67"/>
        <v/>
      </c>
      <c r="O617" s="66" t="str">
        <f t="shared" si="68"/>
        <v/>
      </c>
      <c r="P617" s="66" t="str">
        <f t="shared" si="69"/>
        <v/>
      </c>
    </row>
    <row r="618" spans="8:16">
      <c r="H618" s="66" t="e">
        <f>IF(LEFT(A618,6)="CEPNTR","GPINS",VLOOKUP(LEFT(A618,6),'Code Library'!$A$3:$B$920,2,0))&amp;"_"&amp;RIGHT(A618,3)</f>
        <v>#N/A</v>
      </c>
      <c r="I618" s="66">
        <f t="shared" si="63"/>
        <v>0</v>
      </c>
      <c r="K618" s="66" t="str">
        <f t="shared" si="64"/>
        <v/>
      </c>
      <c r="L618" s="66" t="str">
        <f t="shared" si="65"/>
        <v/>
      </c>
      <c r="M618" s="66" t="str">
        <f t="shared" si="66"/>
        <v/>
      </c>
      <c r="N618" s="66" t="str">
        <f t="shared" si="67"/>
        <v/>
      </c>
      <c r="O618" s="66" t="str">
        <f t="shared" si="68"/>
        <v/>
      </c>
      <c r="P618" s="66" t="str">
        <f t="shared" si="69"/>
        <v/>
      </c>
    </row>
    <row r="619" spans="8:16">
      <c r="H619" s="66" t="e">
        <f>IF(LEFT(A619,6)="CEPNTR","GPINS",VLOOKUP(LEFT(A619,6),'Code Library'!$A$3:$B$920,2,0))&amp;"_"&amp;RIGHT(A619,3)</f>
        <v>#N/A</v>
      </c>
      <c r="I619" s="66">
        <f t="shared" si="63"/>
        <v>0</v>
      </c>
      <c r="K619" s="66" t="str">
        <f t="shared" si="64"/>
        <v/>
      </c>
      <c r="L619" s="66" t="str">
        <f t="shared" si="65"/>
        <v/>
      </c>
      <c r="M619" s="66" t="str">
        <f t="shared" si="66"/>
        <v/>
      </c>
      <c r="N619" s="66" t="str">
        <f t="shared" si="67"/>
        <v/>
      </c>
      <c r="O619" s="66" t="str">
        <f t="shared" si="68"/>
        <v/>
      </c>
      <c r="P619" s="66" t="str">
        <f t="shared" si="69"/>
        <v/>
      </c>
    </row>
    <row r="620" spans="8:16">
      <c r="H620" s="66" t="e">
        <f>IF(LEFT(A620,6)="CEPNTR","GPINS",VLOOKUP(LEFT(A620,6),'Code Library'!$A$3:$B$920,2,0))&amp;"_"&amp;RIGHT(A620,3)</f>
        <v>#N/A</v>
      </c>
      <c r="I620" s="66">
        <f t="shared" si="63"/>
        <v>0</v>
      </c>
      <c r="K620" s="66" t="str">
        <f t="shared" si="64"/>
        <v/>
      </c>
      <c r="L620" s="66" t="str">
        <f t="shared" si="65"/>
        <v/>
      </c>
      <c r="M620" s="66" t="str">
        <f t="shared" si="66"/>
        <v/>
      </c>
      <c r="N620" s="66" t="str">
        <f t="shared" si="67"/>
        <v/>
      </c>
      <c r="O620" s="66" t="str">
        <f t="shared" si="68"/>
        <v/>
      </c>
      <c r="P620" s="66" t="str">
        <f t="shared" si="69"/>
        <v/>
      </c>
    </row>
    <row r="621" spans="8:16">
      <c r="H621" s="66" t="e">
        <f>IF(LEFT(A621,6)="CEPNTR","GPINS",VLOOKUP(LEFT(A621,6),'Code Library'!$A$3:$B$920,2,0))&amp;"_"&amp;RIGHT(A621,3)</f>
        <v>#N/A</v>
      </c>
      <c r="I621" s="66">
        <f t="shared" si="63"/>
        <v>0</v>
      </c>
      <c r="K621" s="66" t="str">
        <f t="shared" si="64"/>
        <v/>
      </c>
      <c r="L621" s="66" t="str">
        <f t="shared" si="65"/>
        <v/>
      </c>
      <c r="M621" s="66" t="str">
        <f t="shared" si="66"/>
        <v/>
      </c>
      <c r="N621" s="66" t="str">
        <f t="shared" si="67"/>
        <v/>
      </c>
      <c r="O621" s="66" t="str">
        <f t="shared" si="68"/>
        <v/>
      </c>
      <c r="P621" s="66" t="str">
        <f t="shared" si="69"/>
        <v/>
      </c>
    </row>
    <row r="622" spans="8:16">
      <c r="H622" s="66" t="e">
        <f>IF(LEFT(A622,6)="CEPNTR","GPINS",VLOOKUP(LEFT(A622,6),'Code Library'!$A$3:$B$920,2,0))&amp;"_"&amp;RIGHT(A622,3)</f>
        <v>#N/A</v>
      </c>
      <c r="I622" s="66">
        <f t="shared" si="63"/>
        <v>0</v>
      </c>
      <c r="K622" s="66" t="str">
        <f t="shared" si="64"/>
        <v/>
      </c>
      <c r="L622" s="66" t="str">
        <f t="shared" si="65"/>
        <v/>
      </c>
      <c r="M622" s="66" t="str">
        <f t="shared" si="66"/>
        <v/>
      </c>
      <c r="N622" s="66" t="str">
        <f t="shared" si="67"/>
        <v/>
      </c>
      <c r="O622" s="66" t="str">
        <f t="shared" si="68"/>
        <v/>
      </c>
      <c r="P622" s="66" t="str">
        <f t="shared" si="69"/>
        <v/>
      </c>
    </row>
    <row r="623" spans="8:16">
      <c r="H623" s="66" t="e">
        <f>IF(LEFT(A623,6)="CEPNTR","GPINS",VLOOKUP(LEFT(A623,6),'Code Library'!$A$3:$B$920,2,0))&amp;"_"&amp;RIGHT(A623,3)</f>
        <v>#N/A</v>
      </c>
      <c r="I623" s="66">
        <f t="shared" si="63"/>
        <v>0</v>
      </c>
      <c r="K623" s="66" t="str">
        <f t="shared" si="64"/>
        <v/>
      </c>
      <c r="L623" s="66" t="str">
        <f t="shared" si="65"/>
        <v/>
      </c>
      <c r="M623" s="66" t="str">
        <f t="shared" si="66"/>
        <v/>
      </c>
      <c r="N623" s="66" t="str">
        <f t="shared" si="67"/>
        <v/>
      </c>
      <c r="O623" s="66" t="str">
        <f t="shared" si="68"/>
        <v/>
      </c>
      <c r="P623" s="66" t="str">
        <f t="shared" si="69"/>
        <v/>
      </c>
    </row>
    <row r="624" spans="8:16">
      <c r="H624" s="66" t="e">
        <f>IF(LEFT(A624,6)="CEPNTR","GPINS",VLOOKUP(LEFT(A624,6),'Code Library'!$A$3:$B$920,2,0))&amp;"_"&amp;RIGHT(A624,3)</f>
        <v>#N/A</v>
      </c>
      <c r="I624" s="66">
        <f t="shared" si="63"/>
        <v>0</v>
      </c>
      <c r="K624" s="66" t="str">
        <f t="shared" si="64"/>
        <v/>
      </c>
      <c r="L624" s="66" t="str">
        <f t="shared" si="65"/>
        <v/>
      </c>
      <c r="M624" s="66" t="str">
        <f t="shared" si="66"/>
        <v/>
      </c>
      <c r="N624" s="66" t="str">
        <f t="shared" si="67"/>
        <v/>
      </c>
      <c r="O624" s="66" t="str">
        <f t="shared" si="68"/>
        <v/>
      </c>
      <c r="P624" s="66" t="str">
        <f t="shared" si="69"/>
        <v/>
      </c>
    </row>
    <row r="625" spans="8:16">
      <c r="H625" s="66" t="e">
        <f>IF(LEFT(A625,6)="CEPNTR","GPINS",VLOOKUP(LEFT(A625,6),'Code Library'!$A$3:$B$920,2,0))&amp;"_"&amp;RIGHT(A625,3)</f>
        <v>#N/A</v>
      </c>
      <c r="I625" s="66">
        <f t="shared" si="63"/>
        <v>0</v>
      </c>
      <c r="K625" s="66" t="str">
        <f t="shared" si="64"/>
        <v/>
      </c>
      <c r="L625" s="66" t="str">
        <f t="shared" si="65"/>
        <v/>
      </c>
      <c r="M625" s="66" t="str">
        <f t="shared" si="66"/>
        <v/>
      </c>
      <c r="N625" s="66" t="str">
        <f t="shared" si="67"/>
        <v/>
      </c>
      <c r="O625" s="66" t="str">
        <f t="shared" si="68"/>
        <v/>
      </c>
      <c r="P625" s="66" t="str">
        <f t="shared" si="69"/>
        <v/>
      </c>
    </row>
    <row r="626" spans="8:16">
      <c r="H626" s="66" t="e">
        <f>IF(LEFT(A626,6)="CEPNTR","GPINS",VLOOKUP(LEFT(A626,6),'Code Library'!$A$3:$B$920,2,0))&amp;"_"&amp;RIGHT(A626,3)</f>
        <v>#N/A</v>
      </c>
      <c r="I626" s="66">
        <f t="shared" si="63"/>
        <v>0</v>
      </c>
      <c r="K626" s="66" t="str">
        <f t="shared" si="64"/>
        <v/>
      </c>
      <c r="L626" s="66" t="str">
        <f t="shared" si="65"/>
        <v/>
      </c>
      <c r="M626" s="66" t="str">
        <f t="shared" si="66"/>
        <v/>
      </c>
      <c r="N626" s="66" t="str">
        <f t="shared" si="67"/>
        <v/>
      </c>
      <c r="O626" s="66" t="str">
        <f t="shared" si="68"/>
        <v/>
      </c>
      <c r="P626" s="66" t="str">
        <f t="shared" si="69"/>
        <v/>
      </c>
    </row>
    <row r="627" spans="8:16">
      <c r="H627" s="66" t="e">
        <f>IF(LEFT(A627,6)="CEPNTR","GPINS",VLOOKUP(LEFT(A627,6),'Code Library'!$A$3:$B$920,2,0))&amp;"_"&amp;RIGHT(A627,3)</f>
        <v>#N/A</v>
      </c>
      <c r="I627" s="66">
        <f t="shared" si="63"/>
        <v>0</v>
      </c>
      <c r="K627" s="66" t="str">
        <f t="shared" si="64"/>
        <v/>
      </c>
      <c r="L627" s="66" t="str">
        <f t="shared" si="65"/>
        <v/>
      </c>
      <c r="M627" s="66" t="str">
        <f t="shared" si="66"/>
        <v/>
      </c>
      <c r="N627" s="66" t="str">
        <f t="shared" si="67"/>
        <v/>
      </c>
      <c r="O627" s="66" t="str">
        <f t="shared" si="68"/>
        <v/>
      </c>
      <c r="P627" s="66" t="str">
        <f t="shared" si="69"/>
        <v/>
      </c>
    </row>
    <row r="628" spans="8:16">
      <c r="H628" s="66" t="e">
        <f>IF(LEFT(A628,6)="CEPNTR","GPINS",VLOOKUP(LEFT(A628,6),'Code Library'!$A$3:$B$920,2,0))&amp;"_"&amp;RIGHT(A628,3)</f>
        <v>#N/A</v>
      </c>
      <c r="I628" s="66">
        <f t="shared" si="63"/>
        <v>0</v>
      </c>
      <c r="K628" s="66" t="str">
        <f t="shared" si="64"/>
        <v/>
      </c>
      <c r="L628" s="66" t="str">
        <f t="shared" si="65"/>
        <v/>
      </c>
      <c r="M628" s="66" t="str">
        <f t="shared" si="66"/>
        <v/>
      </c>
      <c r="N628" s="66" t="str">
        <f t="shared" si="67"/>
        <v/>
      </c>
      <c r="O628" s="66" t="str">
        <f t="shared" si="68"/>
        <v/>
      </c>
      <c r="P628" s="66" t="str">
        <f t="shared" si="69"/>
        <v/>
      </c>
    </row>
    <row r="629" spans="8:16">
      <c r="H629" s="66" t="e">
        <f>IF(LEFT(A629,6)="CEPNTR","GPINS",VLOOKUP(LEFT(A629,6),'Code Library'!$A$3:$B$920,2,0))&amp;"_"&amp;RIGHT(A629,3)</f>
        <v>#N/A</v>
      </c>
      <c r="I629" s="66">
        <f t="shared" si="63"/>
        <v>0</v>
      </c>
      <c r="K629" s="66" t="str">
        <f t="shared" si="64"/>
        <v/>
      </c>
      <c r="L629" s="66" t="str">
        <f t="shared" si="65"/>
        <v/>
      </c>
      <c r="M629" s="66" t="str">
        <f t="shared" si="66"/>
        <v/>
      </c>
      <c r="N629" s="66" t="str">
        <f t="shared" si="67"/>
        <v/>
      </c>
      <c r="O629" s="66" t="str">
        <f t="shared" si="68"/>
        <v/>
      </c>
      <c r="P629" s="66" t="str">
        <f t="shared" si="69"/>
        <v/>
      </c>
    </row>
    <row r="630" spans="8:16">
      <c r="H630" s="66" t="e">
        <f>IF(LEFT(A630,6)="CEPNTR","GPINS",VLOOKUP(LEFT(A630,6),'Code Library'!$A$3:$B$920,2,0))&amp;"_"&amp;RIGHT(A630,3)</f>
        <v>#N/A</v>
      </c>
      <c r="I630" s="66">
        <f t="shared" si="63"/>
        <v>0</v>
      </c>
      <c r="K630" s="66" t="str">
        <f t="shared" si="64"/>
        <v/>
      </c>
      <c r="L630" s="66" t="str">
        <f t="shared" si="65"/>
        <v/>
      </c>
      <c r="M630" s="66" t="str">
        <f t="shared" si="66"/>
        <v/>
      </c>
      <c r="N630" s="66" t="str">
        <f t="shared" si="67"/>
        <v/>
      </c>
      <c r="O630" s="66" t="str">
        <f t="shared" si="68"/>
        <v/>
      </c>
      <c r="P630" s="66" t="str">
        <f t="shared" si="69"/>
        <v/>
      </c>
    </row>
    <row r="631" spans="8:16">
      <c r="H631" s="66" t="e">
        <f>IF(LEFT(A631,6)="CEPNTR","GPINS",VLOOKUP(LEFT(A631,6),'Code Library'!$A$3:$B$920,2,0))&amp;"_"&amp;RIGHT(A631,3)</f>
        <v>#N/A</v>
      </c>
      <c r="I631" s="66">
        <f t="shared" si="63"/>
        <v>0</v>
      </c>
      <c r="K631" s="66" t="str">
        <f t="shared" si="64"/>
        <v/>
      </c>
      <c r="L631" s="66" t="str">
        <f t="shared" si="65"/>
        <v/>
      </c>
      <c r="M631" s="66" t="str">
        <f t="shared" si="66"/>
        <v/>
      </c>
      <c r="N631" s="66" t="str">
        <f t="shared" si="67"/>
        <v/>
      </c>
      <c r="O631" s="66" t="str">
        <f t="shared" si="68"/>
        <v/>
      </c>
      <c r="P631" s="66" t="str">
        <f t="shared" si="69"/>
        <v/>
      </c>
    </row>
    <row r="632" spans="8:16">
      <c r="H632" s="66" t="e">
        <f>IF(LEFT(A632,6)="CEPNTR","GPINS",VLOOKUP(LEFT(A632,6),'Code Library'!$A$3:$B$920,2,0))&amp;"_"&amp;RIGHT(A632,3)</f>
        <v>#N/A</v>
      </c>
      <c r="I632" s="66">
        <f t="shared" si="63"/>
        <v>0</v>
      </c>
      <c r="K632" s="66" t="str">
        <f t="shared" si="64"/>
        <v/>
      </c>
      <c r="L632" s="66" t="str">
        <f t="shared" si="65"/>
        <v/>
      </c>
      <c r="M632" s="66" t="str">
        <f t="shared" si="66"/>
        <v/>
      </c>
      <c r="N632" s="66" t="str">
        <f t="shared" si="67"/>
        <v/>
      </c>
      <c r="O632" s="66" t="str">
        <f t="shared" si="68"/>
        <v/>
      </c>
      <c r="P632" s="66" t="str">
        <f t="shared" si="69"/>
        <v/>
      </c>
    </row>
    <row r="633" spans="8:16">
      <c r="H633" s="66" t="e">
        <f>IF(LEFT(A633,6)="CEPNTR","GPINS",VLOOKUP(LEFT(A633,6),'Code Library'!$A$3:$B$920,2,0))&amp;"_"&amp;RIGHT(A633,3)</f>
        <v>#N/A</v>
      </c>
      <c r="I633" s="66">
        <f t="shared" si="63"/>
        <v>0</v>
      </c>
      <c r="K633" s="66" t="str">
        <f t="shared" si="64"/>
        <v/>
      </c>
      <c r="L633" s="66" t="str">
        <f t="shared" si="65"/>
        <v/>
      </c>
      <c r="M633" s="66" t="str">
        <f t="shared" si="66"/>
        <v/>
      </c>
      <c r="N633" s="66" t="str">
        <f t="shared" si="67"/>
        <v/>
      </c>
      <c r="O633" s="66" t="str">
        <f t="shared" si="68"/>
        <v/>
      </c>
      <c r="P633" s="66" t="str">
        <f t="shared" si="69"/>
        <v/>
      </c>
    </row>
    <row r="634" spans="8:16">
      <c r="H634" s="66" t="e">
        <f>IF(LEFT(A634,6)="CEPNTR","GPINS",VLOOKUP(LEFT(A634,6),'Code Library'!$A$3:$B$920,2,0))&amp;"_"&amp;RIGHT(A634,3)</f>
        <v>#N/A</v>
      </c>
      <c r="I634" s="66">
        <f t="shared" si="63"/>
        <v>0</v>
      </c>
      <c r="K634" s="66" t="str">
        <f t="shared" si="64"/>
        <v/>
      </c>
      <c r="L634" s="66" t="str">
        <f t="shared" si="65"/>
        <v/>
      </c>
      <c r="M634" s="66" t="str">
        <f t="shared" si="66"/>
        <v/>
      </c>
      <c r="N634" s="66" t="str">
        <f t="shared" si="67"/>
        <v/>
      </c>
      <c r="O634" s="66" t="str">
        <f t="shared" si="68"/>
        <v/>
      </c>
      <c r="P634" s="66" t="str">
        <f t="shared" si="69"/>
        <v/>
      </c>
    </row>
    <row r="635" spans="8:16">
      <c r="H635" s="66" t="e">
        <f>IF(LEFT(A635,6)="CEPNTR","GPINS",VLOOKUP(LEFT(A635,6),'Code Library'!$A$3:$B$920,2,0))&amp;"_"&amp;RIGHT(A635,3)</f>
        <v>#N/A</v>
      </c>
      <c r="I635" s="66">
        <f t="shared" si="63"/>
        <v>0</v>
      </c>
      <c r="K635" s="66" t="str">
        <f t="shared" si="64"/>
        <v/>
      </c>
      <c r="L635" s="66" t="str">
        <f t="shared" si="65"/>
        <v/>
      </c>
      <c r="M635" s="66" t="str">
        <f t="shared" si="66"/>
        <v/>
      </c>
      <c r="N635" s="66" t="str">
        <f t="shared" si="67"/>
        <v/>
      </c>
      <c r="O635" s="66" t="str">
        <f t="shared" si="68"/>
        <v/>
      </c>
      <c r="P635" s="66" t="str">
        <f t="shared" si="69"/>
        <v/>
      </c>
    </row>
    <row r="636" spans="8:16">
      <c r="H636" s="66" t="e">
        <f>IF(LEFT(A636,6)="CEPNTR","GPINS",VLOOKUP(LEFT(A636,6),'Code Library'!$A$3:$B$920,2,0))&amp;"_"&amp;RIGHT(A636,3)</f>
        <v>#N/A</v>
      </c>
      <c r="I636" s="66">
        <f t="shared" si="63"/>
        <v>0</v>
      </c>
      <c r="K636" s="66" t="str">
        <f t="shared" si="64"/>
        <v/>
      </c>
      <c r="L636" s="66" t="str">
        <f t="shared" si="65"/>
        <v/>
      </c>
      <c r="M636" s="66" t="str">
        <f t="shared" si="66"/>
        <v/>
      </c>
      <c r="N636" s="66" t="str">
        <f t="shared" si="67"/>
        <v/>
      </c>
      <c r="O636" s="66" t="str">
        <f t="shared" si="68"/>
        <v/>
      </c>
      <c r="P636" s="66" t="str">
        <f t="shared" si="69"/>
        <v/>
      </c>
    </row>
    <row r="637" spans="8:16">
      <c r="H637" s="66" t="e">
        <f>IF(LEFT(A637,6)="CEPNTR","GPINS",VLOOKUP(LEFT(A637,6),'Code Library'!$A$3:$B$920,2,0))&amp;"_"&amp;RIGHT(A637,3)</f>
        <v>#N/A</v>
      </c>
      <c r="I637" s="66">
        <f t="shared" si="63"/>
        <v>0</v>
      </c>
      <c r="K637" s="66" t="str">
        <f t="shared" si="64"/>
        <v/>
      </c>
      <c r="L637" s="66" t="str">
        <f t="shared" si="65"/>
        <v/>
      </c>
      <c r="M637" s="66" t="str">
        <f t="shared" si="66"/>
        <v/>
      </c>
      <c r="N637" s="66" t="str">
        <f t="shared" si="67"/>
        <v/>
      </c>
      <c r="O637" s="66" t="str">
        <f t="shared" si="68"/>
        <v/>
      </c>
      <c r="P637" s="66" t="str">
        <f t="shared" si="69"/>
        <v/>
      </c>
    </row>
    <row r="638" spans="8:16">
      <c r="H638" s="66" t="e">
        <f>IF(LEFT(A638,6)="CEPNTR","GPINS",VLOOKUP(LEFT(A638,6),'Code Library'!$A$3:$B$920,2,0))&amp;"_"&amp;RIGHT(A638,3)</f>
        <v>#N/A</v>
      </c>
      <c r="I638" s="66">
        <f t="shared" si="63"/>
        <v>0</v>
      </c>
      <c r="K638" s="66" t="str">
        <f t="shared" si="64"/>
        <v/>
      </c>
      <c r="L638" s="66" t="str">
        <f t="shared" si="65"/>
        <v/>
      </c>
      <c r="M638" s="66" t="str">
        <f t="shared" si="66"/>
        <v/>
      </c>
      <c r="N638" s="66" t="str">
        <f t="shared" si="67"/>
        <v/>
      </c>
      <c r="O638" s="66" t="str">
        <f t="shared" si="68"/>
        <v/>
      </c>
      <c r="P638" s="66" t="str">
        <f t="shared" si="69"/>
        <v/>
      </c>
    </row>
    <row r="639" spans="8:16">
      <c r="H639" s="66" t="e">
        <f>IF(LEFT(A639,6)="CEPNTR","GPINS",VLOOKUP(LEFT(A639,6),'Code Library'!$A$3:$B$920,2,0))&amp;"_"&amp;RIGHT(A639,3)</f>
        <v>#N/A</v>
      </c>
      <c r="I639" s="66">
        <f t="shared" si="63"/>
        <v>0</v>
      </c>
      <c r="K639" s="66" t="str">
        <f t="shared" si="64"/>
        <v/>
      </c>
      <c r="L639" s="66" t="str">
        <f t="shared" si="65"/>
        <v/>
      </c>
      <c r="M639" s="66" t="str">
        <f t="shared" si="66"/>
        <v/>
      </c>
      <c r="N639" s="66" t="str">
        <f t="shared" si="67"/>
        <v/>
      </c>
      <c r="O639" s="66" t="str">
        <f t="shared" si="68"/>
        <v/>
      </c>
      <c r="P639" s="66" t="str">
        <f t="shared" si="69"/>
        <v/>
      </c>
    </row>
    <row r="640" spans="8:16">
      <c r="H640" s="66" t="e">
        <f>IF(LEFT(A640,6)="CEPNTR","GPINS",VLOOKUP(LEFT(A640,6),'Code Library'!$A$3:$B$920,2,0))&amp;"_"&amp;RIGHT(A640,3)</f>
        <v>#N/A</v>
      </c>
      <c r="I640" s="66">
        <f t="shared" si="63"/>
        <v>0</v>
      </c>
      <c r="K640" s="66" t="str">
        <f t="shared" si="64"/>
        <v/>
      </c>
      <c r="L640" s="66" t="str">
        <f t="shared" si="65"/>
        <v/>
      </c>
      <c r="M640" s="66" t="str">
        <f t="shared" si="66"/>
        <v/>
      </c>
      <c r="N640" s="66" t="str">
        <f t="shared" si="67"/>
        <v/>
      </c>
      <c r="O640" s="66" t="str">
        <f t="shared" si="68"/>
        <v/>
      </c>
      <c r="P640" s="66" t="str">
        <f t="shared" si="69"/>
        <v/>
      </c>
    </row>
    <row r="641" spans="8:16">
      <c r="H641" s="66" t="e">
        <f>IF(LEFT(A641,6)="CEPNTR","GPINS",VLOOKUP(LEFT(A641,6),'Code Library'!$A$3:$B$920,2,0))&amp;"_"&amp;RIGHT(A641,3)</f>
        <v>#N/A</v>
      </c>
      <c r="I641" s="66">
        <f t="shared" si="63"/>
        <v>0</v>
      </c>
      <c r="K641" s="66" t="str">
        <f t="shared" si="64"/>
        <v/>
      </c>
      <c r="L641" s="66" t="str">
        <f t="shared" si="65"/>
        <v/>
      </c>
      <c r="M641" s="66" t="str">
        <f t="shared" si="66"/>
        <v/>
      </c>
      <c r="N641" s="66" t="str">
        <f t="shared" si="67"/>
        <v/>
      </c>
      <c r="O641" s="66" t="str">
        <f t="shared" si="68"/>
        <v/>
      </c>
      <c r="P641" s="66" t="str">
        <f t="shared" si="69"/>
        <v/>
      </c>
    </row>
    <row r="642" spans="8:16">
      <c r="H642" s="66" t="e">
        <f>IF(LEFT(A642,6)="CEPNTR","GPINS",VLOOKUP(LEFT(A642,6),'Code Library'!$A$3:$B$920,2,0))&amp;"_"&amp;RIGHT(A642,3)</f>
        <v>#N/A</v>
      </c>
      <c r="I642" s="66">
        <f t="shared" si="63"/>
        <v>0</v>
      </c>
      <c r="K642" s="66" t="str">
        <f t="shared" si="64"/>
        <v/>
      </c>
      <c r="L642" s="66" t="str">
        <f t="shared" si="65"/>
        <v/>
      </c>
      <c r="M642" s="66" t="str">
        <f t="shared" si="66"/>
        <v/>
      </c>
      <c r="N642" s="66" t="str">
        <f t="shared" si="67"/>
        <v/>
      </c>
      <c r="O642" s="66" t="str">
        <f t="shared" si="68"/>
        <v/>
      </c>
      <c r="P642" s="66" t="str">
        <f t="shared" si="69"/>
        <v/>
      </c>
    </row>
    <row r="643" spans="8:16">
      <c r="H643" s="66" t="e">
        <f>IF(LEFT(A643,6)="CEPNTR","GPINS",VLOOKUP(LEFT(A643,6),'Code Library'!$A$3:$B$920,2,0))&amp;"_"&amp;RIGHT(A643,3)</f>
        <v>#N/A</v>
      </c>
      <c r="I643" s="66">
        <f t="shared" ref="I643:I706" si="70">A643</f>
        <v>0</v>
      </c>
      <c r="K643" s="66" t="str">
        <f t="shared" ref="K643:K706" si="71">RIGHT($B643,2)</f>
        <v/>
      </c>
      <c r="L643" s="66" t="str">
        <f t="shared" ref="L643:L706" si="72">LEFT(RIGHT($B643,7),4)</f>
        <v/>
      </c>
      <c r="M643" s="66" t="str">
        <f t="shared" ref="M643:M706" si="73">LEFT(RIGHT($B643,10),2)</f>
        <v/>
      </c>
      <c r="N643" s="66" t="str">
        <f t="shared" ref="N643:N706" si="74">LEFT(RIGHT($B643,14),3)</f>
        <v/>
      </c>
      <c r="O643" s="66" t="str">
        <f t="shared" ref="O643:O706" si="75">LEFT(RIGHT($B643,16),1)</f>
        <v/>
      </c>
      <c r="P643" s="66" t="str">
        <f t="shared" ref="P643:P706" si="76">LEFT(RIGHT($B643,19),2)</f>
        <v/>
      </c>
    </row>
    <row r="644" spans="8:16">
      <c r="H644" s="66" t="e">
        <f>IF(LEFT(A644,6)="CEPNTR","GPINS",VLOOKUP(LEFT(A644,6),'Code Library'!$A$3:$B$920,2,0))&amp;"_"&amp;RIGHT(A644,3)</f>
        <v>#N/A</v>
      </c>
      <c r="I644" s="66">
        <f t="shared" si="70"/>
        <v>0</v>
      </c>
      <c r="K644" s="66" t="str">
        <f t="shared" si="71"/>
        <v/>
      </c>
      <c r="L644" s="66" t="str">
        <f t="shared" si="72"/>
        <v/>
      </c>
      <c r="M644" s="66" t="str">
        <f t="shared" si="73"/>
        <v/>
      </c>
      <c r="N644" s="66" t="str">
        <f t="shared" si="74"/>
        <v/>
      </c>
      <c r="O644" s="66" t="str">
        <f t="shared" si="75"/>
        <v/>
      </c>
      <c r="P644" s="66" t="str">
        <f t="shared" si="76"/>
        <v/>
      </c>
    </row>
    <row r="645" spans="8:16">
      <c r="H645" s="66" t="e">
        <f>IF(LEFT(A645,6)="CEPNTR","GPINS",VLOOKUP(LEFT(A645,6),'Code Library'!$A$3:$B$920,2,0))&amp;"_"&amp;RIGHT(A645,3)</f>
        <v>#N/A</v>
      </c>
      <c r="I645" s="66">
        <f t="shared" si="70"/>
        <v>0</v>
      </c>
      <c r="K645" s="66" t="str">
        <f t="shared" si="71"/>
        <v/>
      </c>
      <c r="L645" s="66" t="str">
        <f t="shared" si="72"/>
        <v/>
      </c>
      <c r="M645" s="66" t="str">
        <f t="shared" si="73"/>
        <v/>
      </c>
      <c r="N645" s="66" t="str">
        <f t="shared" si="74"/>
        <v/>
      </c>
      <c r="O645" s="66" t="str">
        <f t="shared" si="75"/>
        <v/>
      </c>
      <c r="P645" s="66" t="str">
        <f t="shared" si="76"/>
        <v/>
      </c>
    </row>
    <row r="646" spans="8:16">
      <c r="H646" s="66" t="e">
        <f>IF(LEFT(A646,6)="CEPNTR","GPINS",VLOOKUP(LEFT(A646,6),'Code Library'!$A$3:$B$920,2,0))&amp;"_"&amp;RIGHT(A646,3)</f>
        <v>#N/A</v>
      </c>
      <c r="I646" s="66">
        <f t="shared" si="70"/>
        <v>0</v>
      </c>
      <c r="K646" s="66" t="str">
        <f t="shared" si="71"/>
        <v/>
      </c>
      <c r="L646" s="66" t="str">
        <f t="shared" si="72"/>
        <v/>
      </c>
      <c r="M646" s="66" t="str">
        <f t="shared" si="73"/>
        <v/>
      </c>
      <c r="N646" s="66" t="str">
        <f t="shared" si="74"/>
        <v/>
      </c>
      <c r="O646" s="66" t="str">
        <f t="shared" si="75"/>
        <v/>
      </c>
      <c r="P646" s="66" t="str">
        <f t="shared" si="76"/>
        <v/>
      </c>
    </row>
    <row r="647" spans="8:16">
      <c r="H647" s="66" t="e">
        <f>IF(LEFT(A647,6)="CEPNTR","GPINS",VLOOKUP(LEFT(A647,6),'Code Library'!$A$3:$B$920,2,0))&amp;"_"&amp;RIGHT(A647,3)</f>
        <v>#N/A</v>
      </c>
      <c r="I647" s="66">
        <f t="shared" si="70"/>
        <v>0</v>
      </c>
      <c r="K647" s="66" t="str">
        <f t="shared" si="71"/>
        <v/>
      </c>
      <c r="L647" s="66" t="str">
        <f t="shared" si="72"/>
        <v/>
      </c>
      <c r="M647" s="66" t="str">
        <f t="shared" si="73"/>
        <v/>
      </c>
      <c r="N647" s="66" t="str">
        <f t="shared" si="74"/>
        <v/>
      </c>
      <c r="O647" s="66" t="str">
        <f t="shared" si="75"/>
        <v/>
      </c>
      <c r="P647" s="66" t="str">
        <f t="shared" si="76"/>
        <v/>
      </c>
    </row>
    <row r="648" spans="8:16">
      <c r="H648" s="66" t="e">
        <f>IF(LEFT(A648,6)="CEPNTR","GPINS",VLOOKUP(LEFT(A648,6),'Code Library'!$A$3:$B$920,2,0))&amp;"_"&amp;RIGHT(A648,3)</f>
        <v>#N/A</v>
      </c>
      <c r="I648" s="66">
        <f t="shared" si="70"/>
        <v>0</v>
      </c>
      <c r="K648" s="66" t="str">
        <f t="shared" si="71"/>
        <v/>
      </c>
      <c r="L648" s="66" t="str">
        <f t="shared" si="72"/>
        <v/>
      </c>
      <c r="M648" s="66" t="str">
        <f t="shared" si="73"/>
        <v/>
      </c>
      <c r="N648" s="66" t="str">
        <f t="shared" si="74"/>
        <v/>
      </c>
      <c r="O648" s="66" t="str">
        <f t="shared" si="75"/>
        <v/>
      </c>
      <c r="P648" s="66" t="str">
        <f t="shared" si="76"/>
        <v/>
      </c>
    </row>
    <row r="649" spans="8:16">
      <c r="H649" s="66" t="e">
        <f>IF(LEFT(A649,6)="CEPNTR","GPINS",VLOOKUP(LEFT(A649,6),'Code Library'!$A$3:$B$920,2,0))&amp;"_"&amp;RIGHT(A649,3)</f>
        <v>#N/A</v>
      </c>
      <c r="I649" s="66">
        <f t="shared" si="70"/>
        <v>0</v>
      </c>
      <c r="K649" s="66" t="str">
        <f t="shared" si="71"/>
        <v/>
      </c>
      <c r="L649" s="66" t="str">
        <f t="shared" si="72"/>
        <v/>
      </c>
      <c r="M649" s="66" t="str">
        <f t="shared" si="73"/>
        <v/>
      </c>
      <c r="N649" s="66" t="str">
        <f t="shared" si="74"/>
        <v/>
      </c>
      <c r="O649" s="66" t="str">
        <f t="shared" si="75"/>
        <v/>
      </c>
      <c r="P649" s="66" t="str">
        <f t="shared" si="76"/>
        <v/>
      </c>
    </row>
    <row r="650" spans="8:16">
      <c r="H650" s="66" t="e">
        <f>IF(LEFT(A650,6)="CEPNTR","GPINS",VLOOKUP(LEFT(A650,6),'Code Library'!$A$3:$B$920,2,0))&amp;"_"&amp;RIGHT(A650,3)</f>
        <v>#N/A</v>
      </c>
      <c r="I650" s="66">
        <f t="shared" si="70"/>
        <v>0</v>
      </c>
      <c r="K650" s="66" t="str">
        <f t="shared" si="71"/>
        <v/>
      </c>
      <c r="L650" s="66" t="str">
        <f t="shared" si="72"/>
        <v/>
      </c>
      <c r="M650" s="66" t="str">
        <f t="shared" si="73"/>
        <v/>
      </c>
      <c r="N650" s="66" t="str">
        <f t="shared" si="74"/>
        <v/>
      </c>
      <c r="O650" s="66" t="str">
        <f t="shared" si="75"/>
        <v/>
      </c>
      <c r="P650" s="66" t="str">
        <f t="shared" si="76"/>
        <v/>
      </c>
    </row>
    <row r="651" spans="8:16">
      <c r="H651" s="66" t="e">
        <f>IF(LEFT(A651,6)="CEPNTR","GPINS",VLOOKUP(LEFT(A651,6),'Code Library'!$A$3:$B$920,2,0))&amp;"_"&amp;RIGHT(A651,3)</f>
        <v>#N/A</v>
      </c>
      <c r="I651" s="66">
        <f t="shared" si="70"/>
        <v>0</v>
      </c>
      <c r="K651" s="66" t="str">
        <f t="shared" si="71"/>
        <v/>
      </c>
      <c r="L651" s="66" t="str">
        <f t="shared" si="72"/>
        <v/>
      </c>
      <c r="M651" s="66" t="str">
        <f t="shared" si="73"/>
        <v/>
      </c>
      <c r="N651" s="66" t="str">
        <f t="shared" si="74"/>
        <v/>
      </c>
      <c r="O651" s="66" t="str">
        <f t="shared" si="75"/>
        <v/>
      </c>
      <c r="P651" s="66" t="str">
        <f t="shared" si="76"/>
        <v/>
      </c>
    </row>
    <row r="652" spans="8:16">
      <c r="H652" s="66" t="e">
        <f>IF(LEFT(A652,6)="CEPNTR","GPINS",VLOOKUP(LEFT(A652,6),'Code Library'!$A$3:$B$920,2,0))&amp;"_"&amp;RIGHT(A652,3)</f>
        <v>#N/A</v>
      </c>
      <c r="I652" s="66">
        <f t="shared" si="70"/>
        <v>0</v>
      </c>
      <c r="K652" s="66" t="str">
        <f t="shared" si="71"/>
        <v/>
      </c>
      <c r="L652" s="66" t="str">
        <f t="shared" si="72"/>
        <v/>
      </c>
      <c r="M652" s="66" t="str">
        <f t="shared" si="73"/>
        <v/>
      </c>
      <c r="N652" s="66" t="str">
        <f t="shared" si="74"/>
        <v/>
      </c>
      <c r="O652" s="66" t="str">
        <f t="shared" si="75"/>
        <v/>
      </c>
      <c r="P652" s="66" t="str">
        <f t="shared" si="76"/>
        <v/>
      </c>
    </row>
    <row r="653" spans="8:16">
      <c r="H653" s="66" t="e">
        <f>IF(LEFT(A653,6)="CEPNTR","GPINS",VLOOKUP(LEFT(A653,6),'Code Library'!$A$3:$B$920,2,0))&amp;"_"&amp;RIGHT(A653,3)</f>
        <v>#N/A</v>
      </c>
      <c r="I653" s="66">
        <f t="shared" si="70"/>
        <v>0</v>
      </c>
      <c r="K653" s="66" t="str">
        <f t="shared" si="71"/>
        <v/>
      </c>
      <c r="L653" s="66" t="str">
        <f t="shared" si="72"/>
        <v/>
      </c>
      <c r="M653" s="66" t="str">
        <f t="shared" si="73"/>
        <v/>
      </c>
      <c r="N653" s="66" t="str">
        <f t="shared" si="74"/>
        <v/>
      </c>
      <c r="O653" s="66" t="str">
        <f t="shared" si="75"/>
        <v/>
      </c>
      <c r="P653" s="66" t="str">
        <f t="shared" si="76"/>
        <v/>
      </c>
    </row>
    <row r="654" spans="8:16">
      <c r="H654" s="66" t="e">
        <f>IF(LEFT(A654,6)="CEPNTR","GPINS",VLOOKUP(LEFT(A654,6),'Code Library'!$A$3:$B$920,2,0))&amp;"_"&amp;RIGHT(A654,3)</f>
        <v>#N/A</v>
      </c>
      <c r="I654" s="66">
        <f t="shared" si="70"/>
        <v>0</v>
      </c>
      <c r="K654" s="66" t="str">
        <f t="shared" si="71"/>
        <v/>
      </c>
      <c r="L654" s="66" t="str">
        <f t="shared" si="72"/>
        <v/>
      </c>
      <c r="M654" s="66" t="str">
        <f t="shared" si="73"/>
        <v/>
      </c>
      <c r="N654" s="66" t="str">
        <f t="shared" si="74"/>
        <v/>
      </c>
      <c r="O654" s="66" t="str">
        <f t="shared" si="75"/>
        <v/>
      </c>
      <c r="P654" s="66" t="str">
        <f t="shared" si="76"/>
        <v/>
      </c>
    </row>
    <row r="655" spans="8:16">
      <c r="H655" s="66" t="e">
        <f>IF(LEFT(A655,6)="CEPNTR","GPINS",VLOOKUP(LEFT(A655,6),'Code Library'!$A$3:$B$920,2,0))&amp;"_"&amp;RIGHT(A655,3)</f>
        <v>#N/A</v>
      </c>
      <c r="I655" s="66">
        <f t="shared" si="70"/>
        <v>0</v>
      </c>
      <c r="K655" s="66" t="str">
        <f t="shared" si="71"/>
        <v/>
      </c>
      <c r="L655" s="66" t="str">
        <f t="shared" si="72"/>
        <v/>
      </c>
      <c r="M655" s="66" t="str">
        <f t="shared" si="73"/>
        <v/>
      </c>
      <c r="N655" s="66" t="str">
        <f t="shared" si="74"/>
        <v/>
      </c>
      <c r="O655" s="66" t="str">
        <f t="shared" si="75"/>
        <v/>
      </c>
      <c r="P655" s="66" t="str">
        <f t="shared" si="76"/>
        <v/>
      </c>
    </row>
    <row r="656" spans="8:16">
      <c r="H656" s="66" t="e">
        <f>IF(LEFT(A656,6)="CEPNTR","GPINS",VLOOKUP(LEFT(A656,6),'Code Library'!$A$3:$B$920,2,0))&amp;"_"&amp;RIGHT(A656,3)</f>
        <v>#N/A</v>
      </c>
      <c r="I656" s="66">
        <f t="shared" si="70"/>
        <v>0</v>
      </c>
      <c r="K656" s="66" t="str">
        <f t="shared" si="71"/>
        <v/>
      </c>
      <c r="L656" s="66" t="str">
        <f t="shared" si="72"/>
        <v/>
      </c>
      <c r="M656" s="66" t="str">
        <f t="shared" si="73"/>
        <v/>
      </c>
      <c r="N656" s="66" t="str">
        <f t="shared" si="74"/>
        <v/>
      </c>
      <c r="O656" s="66" t="str">
        <f t="shared" si="75"/>
        <v/>
      </c>
      <c r="P656" s="66" t="str">
        <f t="shared" si="76"/>
        <v/>
      </c>
    </row>
    <row r="657" spans="8:16">
      <c r="H657" s="66" t="e">
        <f>IF(LEFT(A657,6)="CEPNTR","GPINS",VLOOKUP(LEFT(A657,6),'Code Library'!$A$3:$B$920,2,0))&amp;"_"&amp;RIGHT(A657,3)</f>
        <v>#N/A</v>
      </c>
      <c r="I657" s="66">
        <f t="shared" si="70"/>
        <v>0</v>
      </c>
      <c r="K657" s="66" t="str">
        <f t="shared" si="71"/>
        <v/>
      </c>
      <c r="L657" s="66" t="str">
        <f t="shared" si="72"/>
        <v/>
      </c>
      <c r="M657" s="66" t="str">
        <f t="shared" si="73"/>
        <v/>
      </c>
      <c r="N657" s="66" t="str">
        <f t="shared" si="74"/>
        <v/>
      </c>
      <c r="O657" s="66" t="str">
        <f t="shared" si="75"/>
        <v/>
      </c>
      <c r="P657" s="66" t="str">
        <f t="shared" si="76"/>
        <v/>
      </c>
    </row>
    <row r="658" spans="8:16">
      <c r="H658" s="66" t="e">
        <f>IF(LEFT(A658,6)="CEPNTR","GPINS",VLOOKUP(LEFT(A658,6),'Code Library'!$A$3:$B$920,2,0))&amp;"_"&amp;RIGHT(A658,3)</f>
        <v>#N/A</v>
      </c>
      <c r="I658" s="66">
        <f t="shared" si="70"/>
        <v>0</v>
      </c>
      <c r="K658" s="66" t="str">
        <f t="shared" si="71"/>
        <v/>
      </c>
      <c r="L658" s="66" t="str">
        <f t="shared" si="72"/>
        <v/>
      </c>
      <c r="M658" s="66" t="str">
        <f t="shared" si="73"/>
        <v/>
      </c>
      <c r="N658" s="66" t="str">
        <f t="shared" si="74"/>
        <v/>
      </c>
      <c r="O658" s="66" t="str">
        <f t="shared" si="75"/>
        <v/>
      </c>
      <c r="P658" s="66" t="str">
        <f t="shared" si="76"/>
        <v/>
      </c>
    </row>
    <row r="659" spans="8:16">
      <c r="H659" s="66" t="e">
        <f>IF(LEFT(A659,6)="CEPNTR","GPINS",VLOOKUP(LEFT(A659,6),'Code Library'!$A$3:$B$920,2,0))&amp;"_"&amp;RIGHT(A659,3)</f>
        <v>#N/A</v>
      </c>
      <c r="I659" s="66">
        <f t="shared" si="70"/>
        <v>0</v>
      </c>
      <c r="K659" s="66" t="str">
        <f t="shared" si="71"/>
        <v/>
      </c>
      <c r="L659" s="66" t="str">
        <f t="shared" si="72"/>
        <v/>
      </c>
      <c r="M659" s="66" t="str">
        <f t="shared" si="73"/>
        <v/>
      </c>
      <c r="N659" s="66" t="str">
        <f t="shared" si="74"/>
        <v/>
      </c>
      <c r="O659" s="66" t="str">
        <f t="shared" si="75"/>
        <v/>
      </c>
      <c r="P659" s="66" t="str">
        <f t="shared" si="76"/>
        <v/>
      </c>
    </row>
    <row r="660" spans="8:16">
      <c r="H660" s="66" t="e">
        <f>IF(LEFT(A660,6)="CEPNTR","GPINS",VLOOKUP(LEFT(A660,6),'Code Library'!$A$3:$B$920,2,0))&amp;"_"&amp;RIGHT(A660,3)</f>
        <v>#N/A</v>
      </c>
      <c r="I660" s="66">
        <f t="shared" si="70"/>
        <v>0</v>
      </c>
      <c r="K660" s="66" t="str">
        <f t="shared" si="71"/>
        <v/>
      </c>
      <c r="L660" s="66" t="str">
        <f t="shared" si="72"/>
        <v/>
      </c>
      <c r="M660" s="66" t="str">
        <f t="shared" si="73"/>
        <v/>
      </c>
      <c r="N660" s="66" t="str">
        <f t="shared" si="74"/>
        <v/>
      </c>
      <c r="O660" s="66" t="str">
        <f t="shared" si="75"/>
        <v/>
      </c>
      <c r="P660" s="66" t="str">
        <f t="shared" si="76"/>
        <v/>
      </c>
    </row>
    <row r="661" spans="8:16">
      <c r="H661" s="66" t="e">
        <f>IF(LEFT(A661,6)="CEPNTR","GPINS",VLOOKUP(LEFT(A661,6),'Code Library'!$A$3:$B$920,2,0))&amp;"_"&amp;RIGHT(A661,3)</f>
        <v>#N/A</v>
      </c>
      <c r="I661" s="66">
        <f t="shared" si="70"/>
        <v>0</v>
      </c>
      <c r="K661" s="66" t="str">
        <f t="shared" si="71"/>
        <v/>
      </c>
      <c r="L661" s="66" t="str">
        <f t="shared" si="72"/>
        <v/>
      </c>
      <c r="M661" s="66" t="str">
        <f t="shared" si="73"/>
        <v/>
      </c>
      <c r="N661" s="66" t="str">
        <f t="shared" si="74"/>
        <v/>
      </c>
      <c r="O661" s="66" t="str">
        <f t="shared" si="75"/>
        <v/>
      </c>
      <c r="P661" s="66" t="str">
        <f t="shared" si="76"/>
        <v/>
      </c>
    </row>
    <row r="662" spans="8:16">
      <c r="H662" s="66" t="e">
        <f>IF(LEFT(A662,6)="CEPNTR","GPINS",VLOOKUP(LEFT(A662,6),'Code Library'!$A$3:$B$920,2,0))&amp;"_"&amp;RIGHT(A662,3)</f>
        <v>#N/A</v>
      </c>
      <c r="I662" s="66">
        <f t="shared" si="70"/>
        <v>0</v>
      </c>
      <c r="K662" s="66" t="str">
        <f t="shared" si="71"/>
        <v/>
      </c>
      <c r="L662" s="66" t="str">
        <f t="shared" si="72"/>
        <v/>
      </c>
      <c r="M662" s="66" t="str">
        <f t="shared" si="73"/>
        <v/>
      </c>
      <c r="N662" s="66" t="str">
        <f t="shared" si="74"/>
        <v/>
      </c>
      <c r="O662" s="66" t="str">
        <f t="shared" si="75"/>
        <v/>
      </c>
      <c r="P662" s="66" t="str">
        <f t="shared" si="76"/>
        <v/>
      </c>
    </row>
    <row r="663" spans="8:16">
      <c r="H663" s="66" t="e">
        <f>IF(LEFT(A663,6)="CEPNTR","GPINS",VLOOKUP(LEFT(A663,6),'Code Library'!$A$3:$B$920,2,0))&amp;"_"&amp;RIGHT(A663,3)</f>
        <v>#N/A</v>
      </c>
      <c r="I663" s="66">
        <f t="shared" si="70"/>
        <v>0</v>
      </c>
      <c r="K663" s="66" t="str">
        <f t="shared" si="71"/>
        <v/>
      </c>
      <c r="L663" s="66" t="str">
        <f t="shared" si="72"/>
        <v/>
      </c>
      <c r="M663" s="66" t="str">
        <f t="shared" si="73"/>
        <v/>
      </c>
      <c r="N663" s="66" t="str">
        <f t="shared" si="74"/>
        <v/>
      </c>
      <c r="O663" s="66" t="str">
        <f t="shared" si="75"/>
        <v/>
      </c>
      <c r="P663" s="66" t="str">
        <f t="shared" si="76"/>
        <v/>
      </c>
    </row>
    <row r="664" spans="8:16">
      <c r="H664" s="66" t="e">
        <f>IF(LEFT(A664,6)="CEPNTR","GPINS",VLOOKUP(LEFT(A664,6),'Code Library'!$A$3:$B$920,2,0))&amp;"_"&amp;RIGHT(A664,3)</f>
        <v>#N/A</v>
      </c>
      <c r="I664" s="66">
        <f t="shared" si="70"/>
        <v>0</v>
      </c>
      <c r="K664" s="66" t="str">
        <f t="shared" si="71"/>
        <v/>
      </c>
      <c r="L664" s="66" t="str">
        <f t="shared" si="72"/>
        <v/>
      </c>
      <c r="M664" s="66" t="str">
        <f t="shared" si="73"/>
        <v/>
      </c>
      <c r="N664" s="66" t="str">
        <f t="shared" si="74"/>
        <v/>
      </c>
      <c r="O664" s="66" t="str">
        <f t="shared" si="75"/>
        <v/>
      </c>
      <c r="P664" s="66" t="str">
        <f t="shared" si="76"/>
        <v/>
      </c>
    </row>
    <row r="665" spans="8:16">
      <c r="H665" s="66" t="e">
        <f>IF(LEFT(A665,6)="CEPNTR","GPINS",VLOOKUP(LEFT(A665,6),'Code Library'!$A$3:$B$920,2,0))&amp;"_"&amp;RIGHT(A665,3)</f>
        <v>#N/A</v>
      </c>
      <c r="I665" s="66">
        <f t="shared" si="70"/>
        <v>0</v>
      </c>
      <c r="K665" s="66" t="str">
        <f t="shared" si="71"/>
        <v/>
      </c>
      <c r="L665" s="66" t="str">
        <f t="shared" si="72"/>
        <v/>
      </c>
      <c r="M665" s="66" t="str">
        <f t="shared" si="73"/>
        <v/>
      </c>
      <c r="N665" s="66" t="str">
        <f t="shared" si="74"/>
        <v/>
      </c>
      <c r="O665" s="66" t="str">
        <f t="shared" si="75"/>
        <v/>
      </c>
      <c r="P665" s="66" t="str">
        <f t="shared" si="76"/>
        <v/>
      </c>
    </row>
    <row r="666" spans="8:16">
      <c r="H666" s="66" t="e">
        <f>IF(LEFT(A666,6)="CEPNTR","GPINS",VLOOKUP(LEFT(A666,6),'Code Library'!$A$3:$B$920,2,0))&amp;"_"&amp;RIGHT(A666,3)</f>
        <v>#N/A</v>
      </c>
      <c r="I666" s="66">
        <f t="shared" si="70"/>
        <v>0</v>
      </c>
      <c r="K666" s="66" t="str">
        <f t="shared" si="71"/>
        <v/>
      </c>
      <c r="L666" s="66" t="str">
        <f t="shared" si="72"/>
        <v/>
      </c>
      <c r="M666" s="66" t="str">
        <f t="shared" si="73"/>
        <v/>
      </c>
      <c r="N666" s="66" t="str">
        <f t="shared" si="74"/>
        <v/>
      </c>
      <c r="O666" s="66" t="str">
        <f t="shared" si="75"/>
        <v/>
      </c>
      <c r="P666" s="66" t="str">
        <f t="shared" si="76"/>
        <v/>
      </c>
    </row>
    <row r="667" spans="8:16">
      <c r="H667" s="66" t="e">
        <f>IF(LEFT(A667,6)="CEPNTR","GPINS",VLOOKUP(LEFT(A667,6),'Code Library'!$A$3:$B$920,2,0))&amp;"_"&amp;RIGHT(A667,3)</f>
        <v>#N/A</v>
      </c>
      <c r="I667" s="66">
        <f t="shared" si="70"/>
        <v>0</v>
      </c>
      <c r="K667" s="66" t="str">
        <f t="shared" si="71"/>
        <v/>
      </c>
      <c r="L667" s="66" t="str">
        <f t="shared" si="72"/>
        <v/>
      </c>
      <c r="M667" s="66" t="str">
        <f t="shared" si="73"/>
        <v/>
      </c>
      <c r="N667" s="66" t="str">
        <f t="shared" si="74"/>
        <v/>
      </c>
      <c r="O667" s="66" t="str">
        <f t="shared" si="75"/>
        <v/>
      </c>
      <c r="P667" s="66" t="str">
        <f t="shared" si="76"/>
        <v/>
      </c>
    </row>
    <row r="668" spans="8:16">
      <c r="H668" s="66" t="e">
        <f>IF(LEFT(A668,6)="CEPNTR","GPINS",VLOOKUP(LEFT(A668,6),'Code Library'!$A$3:$B$920,2,0))&amp;"_"&amp;RIGHT(A668,3)</f>
        <v>#N/A</v>
      </c>
      <c r="I668" s="66">
        <f t="shared" si="70"/>
        <v>0</v>
      </c>
      <c r="K668" s="66" t="str">
        <f t="shared" si="71"/>
        <v/>
      </c>
      <c r="L668" s="66" t="str">
        <f t="shared" si="72"/>
        <v/>
      </c>
      <c r="M668" s="66" t="str">
        <f t="shared" si="73"/>
        <v/>
      </c>
      <c r="N668" s="66" t="str">
        <f t="shared" si="74"/>
        <v/>
      </c>
      <c r="O668" s="66" t="str">
        <f t="shared" si="75"/>
        <v/>
      </c>
      <c r="P668" s="66" t="str">
        <f t="shared" si="76"/>
        <v/>
      </c>
    </row>
    <row r="669" spans="8:16">
      <c r="H669" s="66" t="e">
        <f>IF(LEFT(A669,6)="CEPNTR","GPINS",VLOOKUP(LEFT(A669,6),'Code Library'!$A$3:$B$920,2,0))&amp;"_"&amp;RIGHT(A669,3)</f>
        <v>#N/A</v>
      </c>
      <c r="I669" s="66">
        <f t="shared" si="70"/>
        <v>0</v>
      </c>
      <c r="K669" s="66" t="str">
        <f t="shared" si="71"/>
        <v/>
      </c>
      <c r="L669" s="66" t="str">
        <f t="shared" si="72"/>
        <v/>
      </c>
      <c r="M669" s="66" t="str">
        <f t="shared" si="73"/>
        <v/>
      </c>
      <c r="N669" s="66" t="str">
        <f t="shared" si="74"/>
        <v/>
      </c>
      <c r="O669" s="66" t="str">
        <f t="shared" si="75"/>
        <v/>
      </c>
      <c r="P669" s="66" t="str">
        <f t="shared" si="76"/>
        <v/>
      </c>
    </row>
    <row r="670" spans="8:16">
      <c r="H670" s="66" t="e">
        <f>IF(LEFT(A670,6)="CEPNTR","GPINS",VLOOKUP(LEFT(A670,6),'Code Library'!$A$3:$B$920,2,0))&amp;"_"&amp;RIGHT(A670,3)</f>
        <v>#N/A</v>
      </c>
      <c r="I670" s="66">
        <f t="shared" si="70"/>
        <v>0</v>
      </c>
      <c r="K670" s="66" t="str">
        <f t="shared" si="71"/>
        <v/>
      </c>
      <c r="L670" s="66" t="str">
        <f t="shared" si="72"/>
        <v/>
      </c>
      <c r="M670" s="66" t="str">
        <f t="shared" si="73"/>
        <v/>
      </c>
      <c r="N670" s="66" t="str">
        <f t="shared" si="74"/>
        <v/>
      </c>
      <c r="O670" s="66" t="str">
        <f t="shared" si="75"/>
        <v/>
      </c>
      <c r="P670" s="66" t="str">
        <f t="shared" si="76"/>
        <v/>
      </c>
    </row>
    <row r="671" spans="8:16">
      <c r="H671" s="66" t="e">
        <f>IF(LEFT(A671,6)="CEPNTR","GPINS",VLOOKUP(LEFT(A671,6),'Code Library'!$A$3:$B$920,2,0))&amp;"_"&amp;RIGHT(A671,3)</f>
        <v>#N/A</v>
      </c>
      <c r="I671" s="66">
        <f t="shared" si="70"/>
        <v>0</v>
      </c>
      <c r="K671" s="66" t="str">
        <f t="shared" si="71"/>
        <v/>
      </c>
      <c r="L671" s="66" t="str">
        <f t="shared" si="72"/>
        <v/>
      </c>
      <c r="M671" s="66" t="str">
        <f t="shared" si="73"/>
        <v/>
      </c>
      <c r="N671" s="66" t="str">
        <f t="shared" si="74"/>
        <v/>
      </c>
      <c r="O671" s="66" t="str">
        <f t="shared" si="75"/>
        <v/>
      </c>
      <c r="P671" s="66" t="str">
        <f t="shared" si="76"/>
        <v/>
      </c>
    </row>
    <row r="672" spans="8:16">
      <c r="H672" s="66" t="e">
        <f>IF(LEFT(A672,6)="CEPNTR","GPINS",VLOOKUP(LEFT(A672,6),'Code Library'!$A$3:$B$920,2,0))&amp;"_"&amp;RIGHT(A672,3)</f>
        <v>#N/A</v>
      </c>
      <c r="I672" s="66">
        <f t="shared" si="70"/>
        <v>0</v>
      </c>
      <c r="K672" s="66" t="str">
        <f t="shared" si="71"/>
        <v/>
      </c>
      <c r="L672" s="66" t="str">
        <f t="shared" si="72"/>
        <v/>
      </c>
      <c r="M672" s="66" t="str">
        <f t="shared" si="73"/>
        <v/>
      </c>
      <c r="N672" s="66" t="str">
        <f t="shared" si="74"/>
        <v/>
      </c>
      <c r="O672" s="66" t="str">
        <f t="shared" si="75"/>
        <v/>
      </c>
      <c r="P672" s="66" t="str">
        <f t="shared" si="76"/>
        <v/>
      </c>
    </row>
    <row r="673" spans="8:16">
      <c r="H673" s="66" t="e">
        <f>IF(LEFT(A673,6)="CEPNTR","GPINS",VLOOKUP(LEFT(A673,6),'Code Library'!$A$3:$B$920,2,0))&amp;"_"&amp;RIGHT(A673,3)</f>
        <v>#N/A</v>
      </c>
      <c r="I673" s="66">
        <f t="shared" si="70"/>
        <v>0</v>
      </c>
      <c r="K673" s="66" t="str">
        <f t="shared" si="71"/>
        <v/>
      </c>
      <c r="L673" s="66" t="str">
        <f t="shared" si="72"/>
        <v/>
      </c>
      <c r="M673" s="66" t="str">
        <f t="shared" si="73"/>
        <v/>
      </c>
      <c r="N673" s="66" t="str">
        <f t="shared" si="74"/>
        <v/>
      </c>
      <c r="O673" s="66" t="str">
        <f t="shared" si="75"/>
        <v/>
      </c>
      <c r="P673" s="66" t="str">
        <f t="shared" si="76"/>
        <v/>
      </c>
    </row>
    <row r="674" spans="8:16">
      <c r="H674" s="66" t="e">
        <f>IF(LEFT(A674,6)="CEPNTR","GPINS",VLOOKUP(LEFT(A674,6),'Code Library'!$A$3:$B$920,2,0))&amp;"_"&amp;RIGHT(A674,3)</f>
        <v>#N/A</v>
      </c>
      <c r="I674" s="66">
        <f t="shared" si="70"/>
        <v>0</v>
      </c>
      <c r="K674" s="66" t="str">
        <f t="shared" si="71"/>
        <v/>
      </c>
      <c r="L674" s="66" t="str">
        <f t="shared" si="72"/>
        <v/>
      </c>
      <c r="M674" s="66" t="str">
        <f t="shared" si="73"/>
        <v/>
      </c>
      <c r="N674" s="66" t="str">
        <f t="shared" si="74"/>
        <v/>
      </c>
      <c r="O674" s="66" t="str">
        <f t="shared" si="75"/>
        <v/>
      </c>
      <c r="P674" s="66" t="str">
        <f t="shared" si="76"/>
        <v/>
      </c>
    </row>
    <row r="675" spans="8:16">
      <c r="H675" s="66" t="e">
        <f>IF(LEFT(A675,6)="CEPNTR","GPINS",VLOOKUP(LEFT(A675,6),'Code Library'!$A$3:$B$920,2,0))&amp;"_"&amp;RIGHT(A675,3)</f>
        <v>#N/A</v>
      </c>
      <c r="I675" s="66">
        <f t="shared" si="70"/>
        <v>0</v>
      </c>
      <c r="K675" s="66" t="str">
        <f t="shared" si="71"/>
        <v/>
      </c>
      <c r="L675" s="66" t="str">
        <f t="shared" si="72"/>
        <v/>
      </c>
      <c r="M675" s="66" t="str">
        <f t="shared" si="73"/>
        <v/>
      </c>
      <c r="N675" s="66" t="str">
        <f t="shared" si="74"/>
        <v/>
      </c>
      <c r="O675" s="66" t="str">
        <f t="shared" si="75"/>
        <v/>
      </c>
      <c r="P675" s="66" t="str">
        <f t="shared" si="76"/>
        <v/>
      </c>
    </row>
    <row r="676" spans="8:16">
      <c r="H676" s="66" t="e">
        <f>IF(LEFT(A676,6)="CEPNTR","GPINS",VLOOKUP(LEFT(A676,6),'Code Library'!$A$3:$B$920,2,0))&amp;"_"&amp;RIGHT(A676,3)</f>
        <v>#N/A</v>
      </c>
      <c r="I676" s="66">
        <f t="shared" si="70"/>
        <v>0</v>
      </c>
      <c r="K676" s="66" t="str">
        <f t="shared" si="71"/>
        <v/>
      </c>
      <c r="L676" s="66" t="str">
        <f t="shared" si="72"/>
        <v/>
      </c>
      <c r="M676" s="66" t="str">
        <f t="shared" si="73"/>
        <v/>
      </c>
      <c r="N676" s="66" t="str">
        <f t="shared" si="74"/>
        <v/>
      </c>
      <c r="O676" s="66" t="str">
        <f t="shared" si="75"/>
        <v/>
      </c>
      <c r="P676" s="66" t="str">
        <f t="shared" si="76"/>
        <v/>
      </c>
    </row>
    <row r="677" spans="8:16">
      <c r="H677" s="66" t="e">
        <f>IF(LEFT(A677,6)="CEPNTR","GPINS",VLOOKUP(LEFT(A677,6),'Code Library'!$A$3:$B$920,2,0))&amp;"_"&amp;RIGHT(A677,3)</f>
        <v>#N/A</v>
      </c>
      <c r="I677" s="66">
        <f t="shared" si="70"/>
        <v>0</v>
      </c>
      <c r="K677" s="66" t="str">
        <f t="shared" si="71"/>
        <v/>
      </c>
      <c r="L677" s="66" t="str">
        <f t="shared" si="72"/>
        <v/>
      </c>
      <c r="M677" s="66" t="str">
        <f t="shared" si="73"/>
        <v/>
      </c>
      <c r="N677" s="66" t="str">
        <f t="shared" si="74"/>
        <v/>
      </c>
      <c r="O677" s="66" t="str">
        <f t="shared" si="75"/>
        <v/>
      </c>
      <c r="P677" s="66" t="str">
        <f t="shared" si="76"/>
        <v/>
      </c>
    </row>
    <row r="678" spans="8:16">
      <c r="H678" s="66" t="e">
        <f>IF(LEFT(A678,6)="CEPNTR","GPINS",VLOOKUP(LEFT(A678,6),'Code Library'!$A$3:$B$920,2,0))&amp;"_"&amp;RIGHT(A678,3)</f>
        <v>#N/A</v>
      </c>
      <c r="I678" s="66">
        <f t="shared" si="70"/>
        <v>0</v>
      </c>
      <c r="K678" s="66" t="str">
        <f t="shared" si="71"/>
        <v/>
      </c>
      <c r="L678" s="66" t="str">
        <f t="shared" si="72"/>
        <v/>
      </c>
      <c r="M678" s="66" t="str">
        <f t="shared" si="73"/>
        <v/>
      </c>
      <c r="N678" s="66" t="str">
        <f t="shared" si="74"/>
        <v/>
      </c>
      <c r="O678" s="66" t="str">
        <f t="shared" si="75"/>
        <v/>
      </c>
      <c r="P678" s="66" t="str">
        <f t="shared" si="76"/>
        <v/>
      </c>
    </row>
    <row r="679" spans="8:16">
      <c r="H679" s="66" t="e">
        <f>IF(LEFT(A679,6)="CEPNTR","GPINS",VLOOKUP(LEFT(A679,6),'Code Library'!$A$3:$B$920,2,0))&amp;"_"&amp;RIGHT(A679,3)</f>
        <v>#N/A</v>
      </c>
      <c r="I679" s="66">
        <f t="shared" si="70"/>
        <v>0</v>
      </c>
      <c r="K679" s="66" t="str">
        <f t="shared" si="71"/>
        <v/>
      </c>
      <c r="L679" s="66" t="str">
        <f t="shared" si="72"/>
        <v/>
      </c>
      <c r="M679" s="66" t="str">
        <f t="shared" si="73"/>
        <v/>
      </c>
      <c r="N679" s="66" t="str">
        <f t="shared" si="74"/>
        <v/>
      </c>
      <c r="O679" s="66" t="str">
        <f t="shared" si="75"/>
        <v/>
      </c>
      <c r="P679" s="66" t="str">
        <f t="shared" si="76"/>
        <v/>
      </c>
    </row>
    <row r="680" spans="8:16">
      <c r="H680" s="66" t="e">
        <f>IF(LEFT(A680,6)="CEPNTR","GPINS",VLOOKUP(LEFT(A680,6),'Code Library'!$A$3:$B$920,2,0))&amp;"_"&amp;RIGHT(A680,3)</f>
        <v>#N/A</v>
      </c>
      <c r="I680" s="66">
        <f t="shared" si="70"/>
        <v>0</v>
      </c>
      <c r="K680" s="66" t="str">
        <f t="shared" si="71"/>
        <v/>
      </c>
      <c r="L680" s="66" t="str">
        <f t="shared" si="72"/>
        <v/>
      </c>
      <c r="M680" s="66" t="str">
        <f t="shared" si="73"/>
        <v/>
      </c>
      <c r="N680" s="66" t="str">
        <f t="shared" si="74"/>
        <v/>
      </c>
      <c r="O680" s="66" t="str">
        <f t="shared" si="75"/>
        <v/>
      </c>
      <c r="P680" s="66" t="str">
        <f t="shared" si="76"/>
        <v/>
      </c>
    </row>
    <row r="681" spans="8:16">
      <c r="H681" s="66" t="e">
        <f>IF(LEFT(A681,6)="CEPNTR","GPINS",VLOOKUP(LEFT(A681,6),'Code Library'!$A$3:$B$920,2,0))&amp;"_"&amp;RIGHT(A681,3)</f>
        <v>#N/A</v>
      </c>
      <c r="I681" s="66">
        <f t="shared" si="70"/>
        <v>0</v>
      </c>
      <c r="K681" s="66" t="str">
        <f t="shared" si="71"/>
        <v/>
      </c>
      <c r="L681" s="66" t="str">
        <f t="shared" si="72"/>
        <v/>
      </c>
      <c r="M681" s="66" t="str">
        <f t="shared" si="73"/>
        <v/>
      </c>
      <c r="N681" s="66" t="str">
        <f t="shared" si="74"/>
        <v/>
      </c>
      <c r="O681" s="66" t="str">
        <f t="shared" si="75"/>
        <v/>
      </c>
      <c r="P681" s="66" t="str">
        <f t="shared" si="76"/>
        <v/>
      </c>
    </row>
    <row r="682" spans="8:16">
      <c r="H682" s="66" t="e">
        <f>IF(LEFT(A682,6)="CEPNTR","GPINS",VLOOKUP(LEFT(A682,6),'Code Library'!$A$3:$B$920,2,0))&amp;"_"&amp;RIGHT(A682,3)</f>
        <v>#N/A</v>
      </c>
      <c r="I682" s="66">
        <f t="shared" si="70"/>
        <v>0</v>
      </c>
      <c r="K682" s="66" t="str">
        <f t="shared" si="71"/>
        <v/>
      </c>
      <c r="L682" s="66" t="str">
        <f t="shared" si="72"/>
        <v/>
      </c>
      <c r="M682" s="66" t="str">
        <f t="shared" si="73"/>
        <v/>
      </c>
      <c r="N682" s="66" t="str">
        <f t="shared" si="74"/>
        <v/>
      </c>
      <c r="O682" s="66" t="str">
        <f t="shared" si="75"/>
        <v/>
      </c>
      <c r="P682" s="66" t="str">
        <f t="shared" si="76"/>
        <v/>
      </c>
    </row>
    <row r="683" spans="8:16">
      <c r="H683" s="66" t="e">
        <f>IF(LEFT(A683,6)="CEPNTR","GPINS",VLOOKUP(LEFT(A683,6),'Code Library'!$A$3:$B$920,2,0))&amp;"_"&amp;RIGHT(A683,3)</f>
        <v>#N/A</v>
      </c>
      <c r="I683" s="66">
        <f t="shared" si="70"/>
        <v>0</v>
      </c>
      <c r="K683" s="66" t="str">
        <f t="shared" si="71"/>
        <v/>
      </c>
      <c r="L683" s="66" t="str">
        <f t="shared" si="72"/>
        <v/>
      </c>
      <c r="M683" s="66" t="str">
        <f t="shared" si="73"/>
        <v/>
      </c>
      <c r="N683" s="66" t="str">
        <f t="shared" si="74"/>
        <v/>
      </c>
      <c r="O683" s="66" t="str">
        <f t="shared" si="75"/>
        <v/>
      </c>
      <c r="P683" s="66" t="str">
        <f t="shared" si="76"/>
        <v/>
      </c>
    </row>
    <row r="684" spans="8:16">
      <c r="H684" s="66" t="e">
        <f>IF(LEFT(A684,6)="CEPNTR","GPINS",VLOOKUP(LEFT(A684,6),'Code Library'!$A$3:$B$920,2,0))&amp;"_"&amp;RIGHT(A684,3)</f>
        <v>#N/A</v>
      </c>
      <c r="I684" s="66">
        <f t="shared" si="70"/>
        <v>0</v>
      </c>
      <c r="K684" s="66" t="str">
        <f t="shared" si="71"/>
        <v/>
      </c>
      <c r="L684" s="66" t="str">
        <f t="shared" si="72"/>
        <v/>
      </c>
      <c r="M684" s="66" t="str">
        <f t="shared" si="73"/>
        <v/>
      </c>
      <c r="N684" s="66" t="str">
        <f t="shared" si="74"/>
        <v/>
      </c>
      <c r="O684" s="66" t="str">
        <f t="shared" si="75"/>
        <v/>
      </c>
      <c r="P684" s="66" t="str">
        <f t="shared" si="76"/>
        <v/>
      </c>
    </row>
    <row r="685" spans="8:16">
      <c r="H685" s="66" t="e">
        <f>IF(LEFT(A685,6)="CEPNTR","GPINS",VLOOKUP(LEFT(A685,6),'Code Library'!$A$3:$B$920,2,0))&amp;"_"&amp;RIGHT(A685,3)</f>
        <v>#N/A</v>
      </c>
      <c r="I685" s="66">
        <f t="shared" si="70"/>
        <v>0</v>
      </c>
      <c r="K685" s="66" t="str">
        <f t="shared" si="71"/>
        <v/>
      </c>
      <c r="L685" s="66" t="str">
        <f t="shared" si="72"/>
        <v/>
      </c>
      <c r="M685" s="66" t="str">
        <f t="shared" si="73"/>
        <v/>
      </c>
      <c r="N685" s="66" t="str">
        <f t="shared" si="74"/>
        <v/>
      </c>
      <c r="O685" s="66" t="str">
        <f t="shared" si="75"/>
        <v/>
      </c>
      <c r="P685" s="66" t="str">
        <f t="shared" si="76"/>
        <v/>
      </c>
    </row>
    <row r="686" spans="8:16">
      <c r="H686" s="66" t="e">
        <f>IF(LEFT(A686,6)="CEPNTR","GPINS",VLOOKUP(LEFT(A686,6),'Code Library'!$A$3:$B$920,2,0))&amp;"_"&amp;RIGHT(A686,3)</f>
        <v>#N/A</v>
      </c>
      <c r="I686" s="66">
        <f t="shared" si="70"/>
        <v>0</v>
      </c>
      <c r="K686" s="66" t="str">
        <f t="shared" si="71"/>
        <v/>
      </c>
      <c r="L686" s="66" t="str">
        <f t="shared" si="72"/>
        <v/>
      </c>
      <c r="M686" s="66" t="str">
        <f t="shared" si="73"/>
        <v/>
      </c>
      <c r="N686" s="66" t="str">
        <f t="shared" si="74"/>
        <v/>
      </c>
      <c r="O686" s="66" t="str">
        <f t="shared" si="75"/>
        <v/>
      </c>
      <c r="P686" s="66" t="str">
        <f t="shared" si="76"/>
        <v/>
      </c>
    </row>
    <row r="687" spans="8:16">
      <c r="H687" s="66" t="e">
        <f>IF(LEFT(A687,6)="CEPNTR","GPINS",VLOOKUP(LEFT(A687,6),'Code Library'!$A$3:$B$920,2,0))&amp;"_"&amp;RIGHT(A687,3)</f>
        <v>#N/A</v>
      </c>
      <c r="I687" s="66">
        <f t="shared" si="70"/>
        <v>0</v>
      </c>
      <c r="K687" s="66" t="str">
        <f t="shared" si="71"/>
        <v/>
      </c>
      <c r="L687" s="66" t="str">
        <f t="shared" si="72"/>
        <v/>
      </c>
      <c r="M687" s="66" t="str">
        <f t="shared" si="73"/>
        <v/>
      </c>
      <c r="N687" s="66" t="str">
        <f t="shared" si="74"/>
        <v/>
      </c>
      <c r="O687" s="66" t="str">
        <f t="shared" si="75"/>
        <v/>
      </c>
      <c r="P687" s="66" t="str">
        <f t="shared" si="76"/>
        <v/>
      </c>
    </row>
    <row r="688" spans="8:16">
      <c r="H688" s="66" t="e">
        <f>IF(LEFT(A688,6)="CEPNTR","GPINS",VLOOKUP(LEFT(A688,6),'Code Library'!$A$3:$B$920,2,0))&amp;"_"&amp;RIGHT(A688,3)</f>
        <v>#N/A</v>
      </c>
      <c r="I688" s="66">
        <f t="shared" si="70"/>
        <v>0</v>
      </c>
      <c r="K688" s="66" t="str">
        <f t="shared" si="71"/>
        <v/>
      </c>
      <c r="L688" s="66" t="str">
        <f t="shared" si="72"/>
        <v/>
      </c>
      <c r="M688" s="66" t="str">
        <f t="shared" si="73"/>
        <v/>
      </c>
      <c r="N688" s="66" t="str">
        <f t="shared" si="74"/>
        <v/>
      </c>
      <c r="O688" s="66" t="str">
        <f t="shared" si="75"/>
        <v/>
      </c>
      <c r="P688" s="66" t="str">
        <f t="shared" si="76"/>
        <v/>
      </c>
    </row>
    <row r="689" spans="8:16">
      <c r="H689" s="66" t="e">
        <f>IF(LEFT(A689,6)="CEPNTR","GPINS",VLOOKUP(LEFT(A689,6),'Code Library'!$A$3:$B$920,2,0))&amp;"_"&amp;RIGHT(A689,3)</f>
        <v>#N/A</v>
      </c>
      <c r="I689" s="66">
        <f t="shared" si="70"/>
        <v>0</v>
      </c>
      <c r="K689" s="66" t="str">
        <f t="shared" si="71"/>
        <v/>
      </c>
      <c r="L689" s="66" t="str">
        <f t="shared" si="72"/>
        <v/>
      </c>
      <c r="M689" s="66" t="str">
        <f t="shared" si="73"/>
        <v/>
      </c>
      <c r="N689" s="66" t="str">
        <f t="shared" si="74"/>
        <v/>
      </c>
      <c r="O689" s="66" t="str">
        <f t="shared" si="75"/>
        <v/>
      </c>
      <c r="P689" s="66" t="str">
        <f t="shared" si="76"/>
        <v/>
      </c>
    </row>
    <row r="690" spans="8:16">
      <c r="H690" s="66" t="e">
        <f>IF(LEFT(A690,6)="CEPNTR","GPINS",VLOOKUP(LEFT(A690,6),'Code Library'!$A$3:$B$920,2,0))&amp;"_"&amp;RIGHT(A690,3)</f>
        <v>#N/A</v>
      </c>
      <c r="I690" s="66">
        <f t="shared" si="70"/>
        <v>0</v>
      </c>
      <c r="K690" s="66" t="str">
        <f t="shared" si="71"/>
        <v/>
      </c>
      <c r="L690" s="66" t="str">
        <f t="shared" si="72"/>
        <v/>
      </c>
      <c r="M690" s="66" t="str">
        <f t="shared" si="73"/>
        <v/>
      </c>
      <c r="N690" s="66" t="str">
        <f t="shared" si="74"/>
        <v/>
      </c>
      <c r="O690" s="66" t="str">
        <f t="shared" si="75"/>
        <v/>
      </c>
      <c r="P690" s="66" t="str">
        <f t="shared" si="76"/>
        <v/>
      </c>
    </row>
    <row r="691" spans="8:16">
      <c r="H691" s="66" t="e">
        <f>IF(LEFT(A691,6)="CEPNTR","GPINS",VLOOKUP(LEFT(A691,6),'Code Library'!$A$3:$B$920,2,0))&amp;"_"&amp;RIGHT(A691,3)</f>
        <v>#N/A</v>
      </c>
      <c r="I691" s="66">
        <f t="shared" si="70"/>
        <v>0</v>
      </c>
      <c r="K691" s="66" t="str">
        <f t="shared" si="71"/>
        <v/>
      </c>
      <c r="L691" s="66" t="str">
        <f t="shared" si="72"/>
        <v/>
      </c>
      <c r="M691" s="66" t="str">
        <f t="shared" si="73"/>
        <v/>
      </c>
      <c r="N691" s="66" t="str">
        <f t="shared" si="74"/>
        <v/>
      </c>
      <c r="O691" s="66" t="str">
        <f t="shared" si="75"/>
        <v/>
      </c>
      <c r="P691" s="66" t="str">
        <f t="shared" si="76"/>
        <v/>
      </c>
    </row>
    <row r="692" spans="8:16">
      <c r="H692" s="66" t="e">
        <f>IF(LEFT(A692,6)="CEPNTR","GPINS",VLOOKUP(LEFT(A692,6),'Code Library'!$A$3:$B$920,2,0))&amp;"_"&amp;RIGHT(A692,3)</f>
        <v>#N/A</v>
      </c>
      <c r="I692" s="66">
        <f t="shared" si="70"/>
        <v>0</v>
      </c>
      <c r="K692" s="66" t="str">
        <f t="shared" si="71"/>
        <v/>
      </c>
      <c r="L692" s="66" t="str">
        <f t="shared" si="72"/>
        <v/>
      </c>
      <c r="M692" s="66" t="str">
        <f t="shared" si="73"/>
        <v/>
      </c>
      <c r="N692" s="66" t="str">
        <f t="shared" si="74"/>
        <v/>
      </c>
      <c r="O692" s="66" t="str">
        <f t="shared" si="75"/>
        <v/>
      </c>
      <c r="P692" s="66" t="str">
        <f t="shared" si="76"/>
        <v/>
      </c>
    </row>
    <row r="693" spans="8:16">
      <c r="H693" s="66" t="e">
        <f>IF(LEFT(A693,6)="CEPNTR","GPINS",VLOOKUP(LEFT(A693,6),'Code Library'!$A$3:$B$920,2,0))&amp;"_"&amp;RIGHT(A693,3)</f>
        <v>#N/A</v>
      </c>
      <c r="I693" s="66">
        <f t="shared" si="70"/>
        <v>0</v>
      </c>
      <c r="K693" s="66" t="str">
        <f t="shared" si="71"/>
        <v/>
      </c>
      <c r="L693" s="66" t="str">
        <f t="shared" si="72"/>
        <v/>
      </c>
      <c r="M693" s="66" t="str">
        <f t="shared" si="73"/>
        <v/>
      </c>
      <c r="N693" s="66" t="str">
        <f t="shared" si="74"/>
        <v/>
      </c>
      <c r="O693" s="66" t="str">
        <f t="shared" si="75"/>
        <v/>
      </c>
      <c r="P693" s="66" t="str">
        <f t="shared" si="76"/>
        <v/>
      </c>
    </row>
    <row r="694" spans="8:16">
      <c r="H694" s="66" t="e">
        <f>IF(LEFT(A694,6)="CEPNTR","GPINS",VLOOKUP(LEFT(A694,6),'Code Library'!$A$3:$B$920,2,0))&amp;"_"&amp;RIGHT(A694,3)</f>
        <v>#N/A</v>
      </c>
      <c r="I694" s="66">
        <f t="shared" si="70"/>
        <v>0</v>
      </c>
      <c r="K694" s="66" t="str">
        <f t="shared" si="71"/>
        <v/>
      </c>
      <c r="L694" s="66" t="str">
        <f t="shared" si="72"/>
        <v/>
      </c>
      <c r="M694" s="66" t="str">
        <f t="shared" si="73"/>
        <v/>
      </c>
      <c r="N694" s="66" t="str">
        <f t="shared" si="74"/>
        <v/>
      </c>
      <c r="O694" s="66" t="str">
        <f t="shared" si="75"/>
        <v/>
      </c>
      <c r="P694" s="66" t="str">
        <f t="shared" si="76"/>
        <v/>
      </c>
    </row>
    <row r="695" spans="8:16">
      <c r="H695" s="66" t="e">
        <f>IF(LEFT(A695,6)="CEPNTR","GPINS",VLOOKUP(LEFT(A695,6),'Code Library'!$A$3:$B$920,2,0))&amp;"_"&amp;RIGHT(A695,3)</f>
        <v>#N/A</v>
      </c>
      <c r="I695" s="66">
        <f t="shared" si="70"/>
        <v>0</v>
      </c>
      <c r="K695" s="66" t="str">
        <f t="shared" si="71"/>
        <v/>
      </c>
      <c r="L695" s="66" t="str">
        <f t="shared" si="72"/>
        <v/>
      </c>
      <c r="M695" s="66" t="str">
        <f t="shared" si="73"/>
        <v/>
      </c>
      <c r="N695" s="66" t="str">
        <f t="shared" si="74"/>
        <v/>
      </c>
      <c r="O695" s="66" t="str">
        <f t="shared" si="75"/>
        <v/>
      </c>
      <c r="P695" s="66" t="str">
        <f t="shared" si="76"/>
        <v/>
      </c>
    </row>
    <row r="696" spans="8:16">
      <c r="H696" s="66" t="e">
        <f>IF(LEFT(A696,6)="CEPNTR","GPINS",VLOOKUP(LEFT(A696,6),'Code Library'!$A$3:$B$920,2,0))&amp;"_"&amp;RIGHT(A696,3)</f>
        <v>#N/A</v>
      </c>
      <c r="I696" s="66">
        <f t="shared" si="70"/>
        <v>0</v>
      </c>
      <c r="K696" s="66" t="str">
        <f t="shared" si="71"/>
        <v/>
      </c>
      <c r="L696" s="66" t="str">
        <f t="shared" si="72"/>
        <v/>
      </c>
      <c r="M696" s="66" t="str">
        <f t="shared" si="73"/>
        <v/>
      </c>
      <c r="N696" s="66" t="str">
        <f t="shared" si="74"/>
        <v/>
      </c>
      <c r="O696" s="66" t="str">
        <f t="shared" si="75"/>
        <v/>
      </c>
      <c r="P696" s="66" t="str">
        <f t="shared" si="76"/>
        <v/>
      </c>
    </row>
    <row r="697" spans="8:16">
      <c r="H697" s="66" t="e">
        <f>IF(LEFT(A697,6)="CEPNTR","GPINS",VLOOKUP(LEFT(A697,6),'Code Library'!$A$3:$B$920,2,0))&amp;"_"&amp;RIGHT(A697,3)</f>
        <v>#N/A</v>
      </c>
      <c r="I697" s="66">
        <f t="shared" si="70"/>
        <v>0</v>
      </c>
      <c r="K697" s="66" t="str">
        <f t="shared" si="71"/>
        <v/>
      </c>
      <c r="L697" s="66" t="str">
        <f t="shared" si="72"/>
        <v/>
      </c>
      <c r="M697" s="66" t="str">
        <f t="shared" si="73"/>
        <v/>
      </c>
      <c r="N697" s="66" t="str">
        <f t="shared" si="74"/>
        <v/>
      </c>
      <c r="O697" s="66" t="str">
        <f t="shared" si="75"/>
        <v/>
      </c>
      <c r="P697" s="66" t="str">
        <f t="shared" si="76"/>
        <v/>
      </c>
    </row>
    <row r="698" spans="8:16">
      <c r="H698" s="66" t="e">
        <f>IF(LEFT(A698,6)="CEPNTR","GPINS",VLOOKUP(LEFT(A698,6),'Code Library'!$A$3:$B$920,2,0))&amp;"_"&amp;RIGHT(A698,3)</f>
        <v>#N/A</v>
      </c>
      <c r="I698" s="66">
        <f t="shared" si="70"/>
        <v>0</v>
      </c>
      <c r="K698" s="66" t="str">
        <f t="shared" si="71"/>
        <v/>
      </c>
      <c r="L698" s="66" t="str">
        <f t="shared" si="72"/>
        <v/>
      </c>
      <c r="M698" s="66" t="str">
        <f t="shared" si="73"/>
        <v/>
      </c>
      <c r="N698" s="66" t="str">
        <f t="shared" si="74"/>
        <v/>
      </c>
      <c r="O698" s="66" t="str">
        <f t="shared" si="75"/>
        <v/>
      </c>
      <c r="P698" s="66" t="str">
        <f t="shared" si="76"/>
        <v/>
      </c>
    </row>
    <row r="699" spans="8:16">
      <c r="H699" s="66" t="e">
        <f>IF(LEFT(A699,6)="CEPNTR","GPINS",VLOOKUP(LEFT(A699,6),'Code Library'!$A$3:$B$920,2,0))&amp;"_"&amp;RIGHT(A699,3)</f>
        <v>#N/A</v>
      </c>
      <c r="I699" s="66">
        <f t="shared" si="70"/>
        <v>0</v>
      </c>
      <c r="K699" s="66" t="str">
        <f t="shared" si="71"/>
        <v/>
      </c>
      <c r="L699" s="66" t="str">
        <f t="shared" si="72"/>
        <v/>
      </c>
      <c r="M699" s="66" t="str">
        <f t="shared" si="73"/>
        <v/>
      </c>
      <c r="N699" s="66" t="str">
        <f t="shared" si="74"/>
        <v/>
      </c>
      <c r="O699" s="66" t="str">
        <f t="shared" si="75"/>
        <v/>
      </c>
      <c r="P699" s="66" t="str">
        <f t="shared" si="76"/>
        <v/>
      </c>
    </row>
    <row r="700" spans="8:16">
      <c r="H700" s="66" t="e">
        <f>IF(LEFT(A700,6)="CEPNTR","GPINS",VLOOKUP(LEFT(A700,6),'Code Library'!$A$3:$B$920,2,0))&amp;"_"&amp;RIGHT(A700,3)</f>
        <v>#N/A</v>
      </c>
      <c r="I700" s="66">
        <f t="shared" si="70"/>
        <v>0</v>
      </c>
      <c r="K700" s="66" t="str">
        <f t="shared" si="71"/>
        <v/>
      </c>
      <c r="L700" s="66" t="str">
        <f t="shared" si="72"/>
        <v/>
      </c>
      <c r="M700" s="66" t="str">
        <f t="shared" si="73"/>
        <v/>
      </c>
      <c r="N700" s="66" t="str">
        <f t="shared" si="74"/>
        <v/>
      </c>
      <c r="O700" s="66" t="str">
        <f t="shared" si="75"/>
        <v/>
      </c>
      <c r="P700" s="66" t="str">
        <f t="shared" si="76"/>
        <v/>
      </c>
    </row>
    <row r="701" spans="8:16">
      <c r="H701" s="66" t="e">
        <f>IF(LEFT(A701,6)="CEPNTR","GPINS",VLOOKUP(LEFT(A701,6),'Code Library'!$A$3:$B$920,2,0))&amp;"_"&amp;RIGHT(A701,3)</f>
        <v>#N/A</v>
      </c>
      <c r="I701" s="66">
        <f t="shared" si="70"/>
        <v>0</v>
      </c>
      <c r="K701" s="66" t="str">
        <f t="shared" si="71"/>
        <v/>
      </c>
      <c r="L701" s="66" t="str">
        <f t="shared" si="72"/>
        <v/>
      </c>
      <c r="M701" s="66" t="str">
        <f t="shared" si="73"/>
        <v/>
      </c>
      <c r="N701" s="66" t="str">
        <f t="shared" si="74"/>
        <v/>
      </c>
      <c r="O701" s="66" t="str">
        <f t="shared" si="75"/>
        <v/>
      </c>
      <c r="P701" s="66" t="str">
        <f t="shared" si="76"/>
        <v/>
      </c>
    </row>
    <row r="702" spans="8:16">
      <c r="H702" s="66" t="e">
        <f>IF(LEFT(A702,6)="CEPNTR","GPINS",VLOOKUP(LEFT(A702,6),'Code Library'!$A$3:$B$920,2,0))&amp;"_"&amp;RIGHT(A702,3)</f>
        <v>#N/A</v>
      </c>
      <c r="I702" s="66">
        <f t="shared" si="70"/>
        <v>0</v>
      </c>
      <c r="K702" s="66" t="str">
        <f t="shared" si="71"/>
        <v/>
      </c>
      <c r="L702" s="66" t="str">
        <f t="shared" si="72"/>
        <v/>
      </c>
      <c r="M702" s="66" t="str">
        <f t="shared" si="73"/>
        <v/>
      </c>
      <c r="N702" s="66" t="str">
        <f t="shared" si="74"/>
        <v/>
      </c>
      <c r="O702" s="66" t="str">
        <f t="shared" si="75"/>
        <v/>
      </c>
      <c r="P702" s="66" t="str">
        <f t="shared" si="76"/>
        <v/>
      </c>
    </row>
    <row r="703" spans="8:16">
      <c r="H703" s="66" t="e">
        <f>IF(LEFT(A703,6)="CEPNTR","GPINS",VLOOKUP(LEFT(A703,6),'Code Library'!$A$3:$B$920,2,0))&amp;"_"&amp;RIGHT(A703,3)</f>
        <v>#N/A</v>
      </c>
      <c r="I703" s="66">
        <f t="shared" si="70"/>
        <v>0</v>
      </c>
      <c r="K703" s="66" t="str">
        <f t="shared" si="71"/>
        <v/>
      </c>
      <c r="L703" s="66" t="str">
        <f t="shared" si="72"/>
        <v/>
      </c>
      <c r="M703" s="66" t="str">
        <f t="shared" si="73"/>
        <v/>
      </c>
      <c r="N703" s="66" t="str">
        <f t="shared" si="74"/>
        <v/>
      </c>
      <c r="O703" s="66" t="str">
        <f t="shared" si="75"/>
        <v/>
      </c>
      <c r="P703" s="66" t="str">
        <f t="shared" si="76"/>
        <v/>
      </c>
    </row>
    <row r="704" spans="8:16">
      <c r="H704" s="66" t="e">
        <f>IF(LEFT(A704,6)="CEPNTR","GPINS",VLOOKUP(LEFT(A704,6),'Code Library'!$A$3:$B$920,2,0))&amp;"_"&amp;RIGHT(A704,3)</f>
        <v>#N/A</v>
      </c>
      <c r="I704" s="66">
        <f t="shared" si="70"/>
        <v>0</v>
      </c>
      <c r="K704" s="66" t="str">
        <f t="shared" si="71"/>
        <v/>
      </c>
      <c r="L704" s="66" t="str">
        <f t="shared" si="72"/>
        <v/>
      </c>
      <c r="M704" s="66" t="str">
        <f t="shared" si="73"/>
        <v/>
      </c>
      <c r="N704" s="66" t="str">
        <f t="shared" si="74"/>
        <v/>
      </c>
      <c r="O704" s="66" t="str">
        <f t="shared" si="75"/>
        <v/>
      </c>
      <c r="P704" s="66" t="str">
        <f t="shared" si="76"/>
        <v/>
      </c>
    </row>
    <row r="705" spans="8:16">
      <c r="H705" s="66" t="e">
        <f>IF(LEFT(A705,6)="CEPNTR","GPINS",VLOOKUP(LEFT(A705,6),'Code Library'!$A$3:$B$920,2,0))&amp;"_"&amp;RIGHT(A705,3)</f>
        <v>#N/A</v>
      </c>
      <c r="I705" s="66">
        <f t="shared" si="70"/>
        <v>0</v>
      </c>
      <c r="K705" s="66" t="str">
        <f t="shared" si="71"/>
        <v/>
      </c>
      <c r="L705" s="66" t="str">
        <f t="shared" si="72"/>
        <v/>
      </c>
      <c r="M705" s="66" t="str">
        <f t="shared" si="73"/>
        <v/>
      </c>
      <c r="N705" s="66" t="str">
        <f t="shared" si="74"/>
        <v/>
      </c>
      <c r="O705" s="66" t="str">
        <f t="shared" si="75"/>
        <v/>
      </c>
      <c r="P705" s="66" t="str">
        <f t="shared" si="76"/>
        <v/>
      </c>
    </row>
    <row r="706" spans="8:16">
      <c r="H706" s="66" t="e">
        <f>IF(LEFT(A706,6)="CEPNTR","GPINS",VLOOKUP(LEFT(A706,6),'Code Library'!$A$3:$B$920,2,0))&amp;"_"&amp;RIGHT(A706,3)</f>
        <v>#N/A</v>
      </c>
      <c r="I706" s="66">
        <f t="shared" si="70"/>
        <v>0</v>
      </c>
      <c r="K706" s="66" t="str">
        <f t="shared" si="71"/>
        <v/>
      </c>
      <c r="L706" s="66" t="str">
        <f t="shared" si="72"/>
        <v/>
      </c>
      <c r="M706" s="66" t="str">
        <f t="shared" si="73"/>
        <v/>
      </c>
      <c r="N706" s="66" t="str">
        <f t="shared" si="74"/>
        <v/>
      </c>
      <c r="O706" s="66" t="str">
        <f t="shared" si="75"/>
        <v/>
      </c>
      <c r="P706" s="66" t="str">
        <f t="shared" si="76"/>
        <v/>
      </c>
    </row>
    <row r="707" spans="8:16">
      <c r="H707" s="66" t="e">
        <f>IF(LEFT(A707,6)="CEPNTR","GPINS",VLOOKUP(LEFT(A707,6),'Code Library'!$A$3:$B$920,2,0))&amp;"_"&amp;RIGHT(A707,3)</f>
        <v>#N/A</v>
      </c>
      <c r="I707" s="66">
        <f t="shared" ref="I707:I770" si="77">A707</f>
        <v>0</v>
      </c>
      <c r="K707" s="66" t="str">
        <f t="shared" ref="K707:K770" si="78">RIGHT($B707,2)</f>
        <v/>
      </c>
      <c r="L707" s="66" t="str">
        <f t="shared" ref="L707:L770" si="79">LEFT(RIGHT($B707,7),4)</f>
        <v/>
      </c>
      <c r="M707" s="66" t="str">
        <f t="shared" ref="M707:M770" si="80">LEFT(RIGHT($B707,10),2)</f>
        <v/>
      </c>
      <c r="N707" s="66" t="str">
        <f t="shared" ref="N707:N770" si="81">LEFT(RIGHT($B707,14),3)</f>
        <v/>
      </c>
      <c r="O707" s="66" t="str">
        <f t="shared" ref="O707:O770" si="82">LEFT(RIGHT($B707,16),1)</f>
        <v/>
      </c>
      <c r="P707" s="66" t="str">
        <f t="shared" ref="P707:P770" si="83">LEFT(RIGHT($B707,19),2)</f>
        <v/>
      </c>
    </row>
    <row r="708" spans="8:16">
      <c r="H708" s="66" t="e">
        <f>IF(LEFT(A708,6)="CEPNTR","GPINS",VLOOKUP(LEFT(A708,6),'Code Library'!$A$3:$B$920,2,0))&amp;"_"&amp;RIGHT(A708,3)</f>
        <v>#N/A</v>
      </c>
      <c r="I708" s="66">
        <f t="shared" si="77"/>
        <v>0</v>
      </c>
      <c r="K708" s="66" t="str">
        <f t="shared" si="78"/>
        <v/>
      </c>
      <c r="L708" s="66" t="str">
        <f t="shared" si="79"/>
        <v/>
      </c>
      <c r="M708" s="66" t="str">
        <f t="shared" si="80"/>
        <v/>
      </c>
      <c r="N708" s="66" t="str">
        <f t="shared" si="81"/>
        <v/>
      </c>
      <c r="O708" s="66" t="str">
        <f t="shared" si="82"/>
        <v/>
      </c>
      <c r="P708" s="66" t="str">
        <f t="shared" si="83"/>
        <v/>
      </c>
    </row>
    <row r="709" spans="8:16">
      <c r="H709" s="66" t="e">
        <f>IF(LEFT(A709,6)="CEPNTR","GPINS",VLOOKUP(LEFT(A709,6),'Code Library'!$A$3:$B$920,2,0))&amp;"_"&amp;RIGHT(A709,3)</f>
        <v>#N/A</v>
      </c>
      <c r="I709" s="66">
        <f t="shared" si="77"/>
        <v>0</v>
      </c>
      <c r="K709" s="66" t="str">
        <f t="shared" si="78"/>
        <v/>
      </c>
      <c r="L709" s="66" t="str">
        <f t="shared" si="79"/>
        <v/>
      </c>
      <c r="M709" s="66" t="str">
        <f t="shared" si="80"/>
        <v/>
      </c>
      <c r="N709" s="66" t="str">
        <f t="shared" si="81"/>
        <v/>
      </c>
      <c r="O709" s="66" t="str">
        <f t="shared" si="82"/>
        <v/>
      </c>
      <c r="P709" s="66" t="str">
        <f t="shared" si="83"/>
        <v/>
      </c>
    </row>
    <row r="710" spans="8:16">
      <c r="H710" s="66" t="e">
        <f>IF(LEFT(A710,6)="CEPNTR","GPINS",VLOOKUP(LEFT(A710,6),'Code Library'!$A$3:$B$920,2,0))&amp;"_"&amp;RIGHT(A710,3)</f>
        <v>#N/A</v>
      </c>
      <c r="I710" s="66">
        <f t="shared" si="77"/>
        <v>0</v>
      </c>
      <c r="K710" s="66" t="str">
        <f t="shared" si="78"/>
        <v/>
      </c>
      <c r="L710" s="66" t="str">
        <f t="shared" si="79"/>
        <v/>
      </c>
      <c r="M710" s="66" t="str">
        <f t="shared" si="80"/>
        <v/>
      </c>
      <c r="N710" s="66" t="str">
        <f t="shared" si="81"/>
        <v/>
      </c>
      <c r="O710" s="66" t="str">
        <f t="shared" si="82"/>
        <v/>
      </c>
      <c r="P710" s="66" t="str">
        <f t="shared" si="83"/>
        <v/>
      </c>
    </row>
    <row r="711" spans="8:16">
      <c r="H711" s="66" t="e">
        <f>IF(LEFT(A711,6)="CEPNTR","GPINS",VLOOKUP(LEFT(A711,6),'Code Library'!$A$3:$B$920,2,0))&amp;"_"&amp;RIGHT(A711,3)</f>
        <v>#N/A</v>
      </c>
      <c r="I711" s="66">
        <f t="shared" si="77"/>
        <v>0</v>
      </c>
      <c r="K711" s="66" t="str">
        <f t="shared" si="78"/>
        <v/>
      </c>
      <c r="L711" s="66" t="str">
        <f t="shared" si="79"/>
        <v/>
      </c>
      <c r="M711" s="66" t="str">
        <f t="shared" si="80"/>
        <v/>
      </c>
      <c r="N711" s="66" t="str">
        <f t="shared" si="81"/>
        <v/>
      </c>
      <c r="O711" s="66" t="str">
        <f t="shared" si="82"/>
        <v/>
      </c>
      <c r="P711" s="66" t="str">
        <f t="shared" si="83"/>
        <v/>
      </c>
    </row>
    <row r="712" spans="8:16">
      <c r="H712" s="66" t="e">
        <f>IF(LEFT(A712,6)="CEPNTR","GPINS",VLOOKUP(LEFT(A712,6),'Code Library'!$A$3:$B$920,2,0))&amp;"_"&amp;RIGHT(A712,3)</f>
        <v>#N/A</v>
      </c>
      <c r="I712" s="66">
        <f t="shared" si="77"/>
        <v>0</v>
      </c>
      <c r="K712" s="66" t="str">
        <f t="shared" si="78"/>
        <v/>
      </c>
      <c r="L712" s="66" t="str">
        <f t="shared" si="79"/>
        <v/>
      </c>
      <c r="M712" s="66" t="str">
        <f t="shared" si="80"/>
        <v/>
      </c>
      <c r="N712" s="66" t="str">
        <f t="shared" si="81"/>
        <v/>
      </c>
      <c r="O712" s="66" t="str">
        <f t="shared" si="82"/>
        <v/>
      </c>
      <c r="P712" s="66" t="str">
        <f t="shared" si="83"/>
        <v/>
      </c>
    </row>
    <row r="713" spans="8:16">
      <c r="H713" s="66" t="e">
        <f>IF(LEFT(A713,6)="CEPNTR","GPINS",VLOOKUP(LEFT(A713,6),'Code Library'!$A$3:$B$920,2,0))&amp;"_"&amp;RIGHT(A713,3)</f>
        <v>#N/A</v>
      </c>
      <c r="I713" s="66">
        <f t="shared" si="77"/>
        <v>0</v>
      </c>
      <c r="K713" s="66" t="str">
        <f t="shared" si="78"/>
        <v/>
      </c>
      <c r="L713" s="66" t="str">
        <f t="shared" si="79"/>
        <v/>
      </c>
      <c r="M713" s="66" t="str">
        <f t="shared" si="80"/>
        <v/>
      </c>
      <c r="N713" s="66" t="str">
        <f t="shared" si="81"/>
        <v/>
      </c>
      <c r="O713" s="66" t="str">
        <f t="shared" si="82"/>
        <v/>
      </c>
      <c r="P713" s="66" t="str">
        <f t="shared" si="83"/>
        <v/>
      </c>
    </row>
    <row r="714" spans="8:16">
      <c r="H714" s="66" t="e">
        <f>IF(LEFT(A714,6)="CEPNTR","GPINS",VLOOKUP(LEFT(A714,6),'Code Library'!$A$3:$B$920,2,0))&amp;"_"&amp;RIGHT(A714,3)</f>
        <v>#N/A</v>
      </c>
      <c r="I714" s="66">
        <f t="shared" si="77"/>
        <v>0</v>
      </c>
      <c r="K714" s="66" t="str">
        <f t="shared" si="78"/>
        <v/>
      </c>
      <c r="L714" s="66" t="str">
        <f t="shared" si="79"/>
        <v/>
      </c>
      <c r="M714" s="66" t="str">
        <f t="shared" si="80"/>
        <v/>
      </c>
      <c r="N714" s="66" t="str">
        <f t="shared" si="81"/>
        <v/>
      </c>
      <c r="O714" s="66" t="str">
        <f t="shared" si="82"/>
        <v/>
      </c>
      <c r="P714" s="66" t="str">
        <f t="shared" si="83"/>
        <v/>
      </c>
    </row>
    <row r="715" spans="8:16">
      <c r="H715" s="66" t="e">
        <f>IF(LEFT(A715,6)="CEPNTR","GPINS",VLOOKUP(LEFT(A715,6),'Code Library'!$A$3:$B$920,2,0))&amp;"_"&amp;RIGHT(A715,3)</f>
        <v>#N/A</v>
      </c>
      <c r="I715" s="66">
        <f t="shared" si="77"/>
        <v>0</v>
      </c>
      <c r="K715" s="66" t="str">
        <f t="shared" si="78"/>
        <v/>
      </c>
      <c r="L715" s="66" t="str">
        <f t="shared" si="79"/>
        <v/>
      </c>
      <c r="M715" s="66" t="str">
        <f t="shared" si="80"/>
        <v/>
      </c>
      <c r="N715" s="66" t="str">
        <f t="shared" si="81"/>
        <v/>
      </c>
      <c r="O715" s="66" t="str">
        <f t="shared" si="82"/>
        <v/>
      </c>
      <c r="P715" s="66" t="str">
        <f t="shared" si="83"/>
        <v/>
      </c>
    </row>
    <row r="716" spans="8:16">
      <c r="H716" s="66" t="e">
        <f>IF(LEFT(A716,6)="CEPNTR","GPINS",VLOOKUP(LEFT(A716,6),'Code Library'!$A$3:$B$920,2,0))&amp;"_"&amp;RIGHT(A716,3)</f>
        <v>#N/A</v>
      </c>
      <c r="I716" s="66">
        <f t="shared" si="77"/>
        <v>0</v>
      </c>
      <c r="K716" s="66" t="str">
        <f t="shared" si="78"/>
        <v/>
      </c>
      <c r="L716" s="66" t="str">
        <f t="shared" si="79"/>
        <v/>
      </c>
      <c r="M716" s="66" t="str">
        <f t="shared" si="80"/>
        <v/>
      </c>
      <c r="N716" s="66" t="str">
        <f t="shared" si="81"/>
        <v/>
      </c>
      <c r="O716" s="66" t="str">
        <f t="shared" si="82"/>
        <v/>
      </c>
      <c r="P716" s="66" t="str">
        <f t="shared" si="83"/>
        <v/>
      </c>
    </row>
    <row r="717" spans="8:16">
      <c r="H717" s="66" t="e">
        <f>IF(LEFT(A717,6)="CEPNTR","GPINS",VLOOKUP(LEFT(A717,6),'Code Library'!$A$3:$B$920,2,0))&amp;"_"&amp;RIGHT(A717,3)</f>
        <v>#N/A</v>
      </c>
      <c r="I717" s="66">
        <f t="shared" si="77"/>
        <v>0</v>
      </c>
      <c r="K717" s="66" t="str">
        <f t="shared" si="78"/>
        <v/>
      </c>
      <c r="L717" s="66" t="str">
        <f t="shared" si="79"/>
        <v/>
      </c>
      <c r="M717" s="66" t="str">
        <f t="shared" si="80"/>
        <v/>
      </c>
      <c r="N717" s="66" t="str">
        <f t="shared" si="81"/>
        <v/>
      </c>
      <c r="O717" s="66" t="str">
        <f t="shared" si="82"/>
        <v/>
      </c>
      <c r="P717" s="66" t="str">
        <f t="shared" si="83"/>
        <v/>
      </c>
    </row>
    <row r="718" spans="8:16">
      <c r="H718" s="66" t="e">
        <f>IF(LEFT(A718,6)="CEPNTR","GPINS",VLOOKUP(LEFT(A718,6),'Code Library'!$A$3:$B$920,2,0))&amp;"_"&amp;RIGHT(A718,3)</f>
        <v>#N/A</v>
      </c>
      <c r="I718" s="66">
        <f t="shared" si="77"/>
        <v>0</v>
      </c>
      <c r="K718" s="66" t="str">
        <f t="shared" si="78"/>
        <v/>
      </c>
      <c r="L718" s="66" t="str">
        <f t="shared" si="79"/>
        <v/>
      </c>
      <c r="M718" s="66" t="str">
        <f t="shared" si="80"/>
        <v/>
      </c>
      <c r="N718" s="66" t="str">
        <f t="shared" si="81"/>
        <v/>
      </c>
      <c r="O718" s="66" t="str">
        <f t="shared" si="82"/>
        <v/>
      </c>
      <c r="P718" s="66" t="str">
        <f t="shared" si="83"/>
        <v/>
      </c>
    </row>
    <row r="719" spans="8:16">
      <c r="H719" s="66" t="e">
        <f>IF(LEFT(A719,6)="CEPNTR","GPINS",VLOOKUP(LEFT(A719,6),'Code Library'!$A$3:$B$920,2,0))&amp;"_"&amp;RIGHT(A719,3)</f>
        <v>#N/A</v>
      </c>
      <c r="I719" s="66">
        <f t="shared" si="77"/>
        <v>0</v>
      </c>
      <c r="K719" s="66" t="str">
        <f t="shared" si="78"/>
        <v/>
      </c>
      <c r="L719" s="66" t="str">
        <f t="shared" si="79"/>
        <v/>
      </c>
      <c r="M719" s="66" t="str">
        <f t="shared" si="80"/>
        <v/>
      </c>
      <c r="N719" s="66" t="str">
        <f t="shared" si="81"/>
        <v/>
      </c>
      <c r="O719" s="66" t="str">
        <f t="shared" si="82"/>
        <v/>
      </c>
      <c r="P719" s="66" t="str">
        <f t="shared" si="83"/>
        <v/>
      </c>
    </row>
    <row r="720" spans="8:16">
      <c r="H720" s="66" t="e">
        <f>IF(LEFT(A720,6)="CEPNTR","GPINS",VLOOKUP(LEFT(A720,6),'Code Library'!$A$3:$B$920,2,0))&amp;"_"&amp;RIGHT(A720,3)</f>
        <v>#N/A</v>
      </c>
      <c r="I720" s="66">
        <f t="shared" si="77"/>
        <v>0</v>
      </c>
      <c r="K720" s="66" t="str">
        <f t="shared" si="78"/>
        <v/>
      </c>
      <c r="L720" s="66" t="str">
        <f t="shared" si="79"/>
        <v/>
      </c>
      <c r="M720" s="66" t="str">
        <f t="shared" si="80"/>
        <v/>
      </c>
      <c r="N720" s="66" t="str">
        <f t="shared" si="81"/>
        <v/>
      </c>
      <c r="O720" s="66" t="str">
        <f t="shared" si="82"/>
        <v/>
      </c>
      <c r="P720" s="66" t="str">
        <f t="shared" si="83"/>
        <v/>
      </c>
    </row>
    <row r="721" spans="8:16">
      <c r="H721" s="66" t="e">
        <f>IF(LEFT(A721,6)="CEPNTR","GPINS",VLOOKUP(LEFT(A721,6),'Code Library'!$A$3:$B$920,2,0))&amp;"_"&amp;RIGHT(A721,3)</f>
        <v>#N/A</v>
      </c>
      <c r="I721" s="66">
        <f t="shared" si="77"/>
        <v>0</v>
      </c>
      <c r="K721" s="66" t="str">
        <f t="shared" si="78"/>
        <v/>
      </c>
      <c r="L721" s="66" t="str">
        <f t="shared" si="79"/>
        <v/>
      </c>
      <c r="M721" s="66" t="str">
        <f t="shared" si="80"/>
        <v/>
      </c>
      <c r="N721" s="66" t="str">
        <f t="shared" si="81"/>
        <v/>
      </c>
      <c r="O721" s="66" t="str">
        <f t="shared" si="82"/>
        <v/>
      </c>
      <c r="P721" s="66" t="str">
        <f t="shared" si="83"/>
        <v/>
      </c>
    </row>
    <row r="722" spans="8:16">
      <c r="H722" s="66" t="e">
        <f>IF(LEFT(A722,6)="CEPNTR","GPINS",VLOOKUP(LEFT(A722,6),'Code Library'!$A$3:$B$920,2,0))&amp;"_"&amp;RIGHT(A722,3)</f>
        <v>#N/A</v>
      </c>
      <c r="I722" s="66">
        <f t="shared" si="77"/>
        <v>0</v>
      </c>
      <c r="K722" s="66" t="str">
        <f t="shared" si="78"/>
        <v/>
      </c>
      <c r="L722" s="66" t="str">
        <f t="shared" si="79"/>
        <v/>
      </c>
      <c r="M722" s="66" t="str">
        <f t="shared" si="80"/>
        <v/>
      </c>
      <c r="N722" s="66" t="str">
        <f t="shared" si="81"/>
        <v/>
      </c>
      <c r="O722" s="66" t="str">
        <f t="shared" si="82"/>
        <v/>
      </c>
      <c r="P722" s="66" t="str">
        <f t="shared" si="83"/>
        <v/>
      </c>
    </row>
    <row r="723" spans="8:16">
      <c r="H723" s="66" t="e">
        <f>IF(LEFT(A723,6)="CEPNTR","GPINS",VLOOKUP(LEFT(A723,6),'Code Library'!$A$3:$B$920,2,0))&amp;"_"&amp;RIGHT(A723,3)</f>
        <v>#N/A</v>
      </c>
      <c r="I723" s="66">
        <f t="shared" si="77"/>
        <v>0</v>
      </c>
      <c r="K723" s="66" t="str">
        <f t="shared" si="78"/>
        <v/>
      </c>
      <c r="L723" s="66" t="str">
        <f t="shared" si="79"/>
        <v/>
      </c>
      <c r="M723" s="66" t="str">
        <f t="shared" si="80"/>
        <v/>
      </c>
      <c r="N723" s="66" t="str">
        <f t="shared" si="81"/>
        <v/>
      </c>
      <c r="O723" s="66" t="str">
        <f t="shared" si="82"/>
        <v/>
      </c>
      <c r="P723" s="66" t="str">
        <f t="shared" si="83"/>
        <v/>
      </c>
    </row>
    <row r="724" spans="8:16">
      <c r="H724" s="66" t="e">
        <f>IF(LEFT(A724,6)="CEPNTR","GPINS",VLOOKUP(LEFT(A724,6),'Code Library'!$A$3:$B$920,2,0))&amp;"_"&amp;RIGHT(A724,3)</f>
        <v>#N/A</v>
      </c>
      <c r="I724" s="66">
        <f t="shared" si="77"/>
        <v>0</v>
      </c>
      <c r="K724" s="66" t="str">
        <f t="shared" si="78"/>
        <v/>
      </c>
      <c r="L724" s="66" t="str">
        <f t="shared" si="79"/>
        <v/>
      </c>
      <c r="M724" s="66" t="str">
        <f t="shared" si="80"/>
        <v/>
      </c>
      <c r="N724" s="66" t="str">
        <f t="shared" si="81"/>
        <v/>
      </c>
      <c r="O724" s="66" t="str">
        <f t="shared" si="82"/>
        <v/>
      </c>
      <c r="P724" s="66" t="str">
        <f t="shared" si="83"/>
        <v/>
      </c>
    </row>
    <row r="725" spans="8:16">
      <c r="H725" s="66" t="e">
        <f>IF(LEFT(A725,6)="CEPNTR","GPINS",VLOOKUP(LEFT(A725,6),'Code Library'!$A$3:$B$920,2,0))&amp;"_"&amp;RIGHT(A725,3)</f>
        <v>#N/A</v>
      </c>
      <c r="I725" s="66">
        <f t="shared" si="77"/>
        <v>0</v>
      </c>
      <c r="K725" s="66" t="str">
        <f t="shared" si="78"/>
        <v/>
      </c>
      <c r="L725" s="66" t="str">
        <f t="shared" si="79"/>
        <v/>
      </c>
      <c r="M725" s="66" t="str">
        <f t="shared" si="80"/>
        <v/>
      </c>
      <c r="N725" s="66" t="str">
        <f t="shared" si="81"/>
        <v/>
      </c>
      <c r="O725" s="66" t="str">
        <f t="shared" si="82"/>
        <v/>
      </c>
      <c r="P725" s="66" t="str">
        <f t="shared" si="83"/>
        <v/>
      </c>
    </row>
    <row r="726" spans="8:16">
      <c r="H726" s="66" t="e">
        <f>IF(LEFT(A726,6)="CEPNTR","GPINS",VLOOKUP(LEFT(A726,6),'Code Library'!$A$3:$B$920,2,0))&amp;"_"&amp;RIGHT(A726,3)</f>
        <v>#N/A</v>
      </c>
      <c r="I726" s="66">
        <f t="shared" si="77"/>
        <v>0</v>
      </c>
      <c r="K726" s="66" t="str">
        <f t="shared" si="78"/>
        <v/>
      </c>
      <c r="L726" s="66" t="str">
        <f t="shared" si="79"/>
        <v/>
      </c>
      <c r="M726" s="66" t="str">
        <f t="shared" si="80"/>
        <v/>
      </c>
      <c r="N726" s="66" t="str">
        <f t="shared" si="81"/>
        <v/>
      </c>
      <c r="O726" s="66" t="str">
        <f t="shared" si="82"/>
        <v/>
      </c>
      <c r="P726" s="66" t="str">
        <f t="shared" si="83"/>
        <v/>
      </c>
    </row>
    <row r="727" spans="8:16">
      <c r="H727" s="66" t="e">
        <f>IF(LEFT(A727,6)="CEPNTR","GPINS",VLOOKUP(LEFT(A727,6),'Code Library'!$A$3:$B$920,2,0))&amp;"_"&amp;RIGHT(A727,3)</f>
        <v>#N/A</v>
      </c>
      <c r="I727" s="66">
        <f t="shared" si="77"/>
        <v>0</v>
      </c>
      <c r="K727" s="66" t="str">
        <f t="shared" si="78"/>
        <v/>
      </c>
      <c r="L727" s="66" t="str">
        <f t="shared" si="79"/>
        <v/>
      </c>
      <c r="M727" s="66" t="str">
        <f t="shared" si="80"/>
        <v/>
      </c>
      <c r="N727" s="66" t="str">
        <f t="shared" si="81"/>
        <v/>
      </c>
      <c r="O727" s="66" t="str">
        <f t="shared" si="82"/>
        <v/>
      </c>
      <c r="P727" s="66" t="str">
        <f t="shared" si="83"/>
        <v/>
      </c>
    </row>
    <row r="728" spans="8:16">
      <c r="H728" s="66" t="e">
        <f>IF(LEFT(A728,6)="CEPNTR","GPINS",VLOOKUP(LEFT(A728,6),'Code Library'!$A$3:$B$920,2,0))&amp;"_"&amp;RIGHT(A728,3)</f>
        <v>#N/A</v>
      </c>
      <c r="I728" s="66">
        <f t="shared" si="77"/>
        <v>0</v>
      </c>
      <c r="K728" s="66" t="str">
        <f t="shared" si="78"/>
        <v/>
      </c>
      <c r="L728" s="66" t="str">
        <f t="shared" si="79"/>
        <v/>
      </c>
      <c r="M728" s="66" t="str">
        <f t="shared" si="80"/>
        <v/>
      </c>
      <c r="N728" s="66" t="str">
        <f t="shared" si="81"/>
        <v/>
      </c>
      <c r="O728" s="66" t="str">
        <f t="shared" si="82"/>
        <v/>
      </c>
      <c r="P728" s="66" t="str">
        <f t="shared" si="83"/>
        <v/>
      </c>
    </row>
    <row r="729" spans="8:16">
      <c r="H729" s="66" t="e">
        <f>IF(LEFT(A729,6)="CEPNTR","GPINS",VLOOKUP(LEFT(A729,6),'Code Library'!$A$3:$B$920,2,0))&amp;"_"&amp;RIGHT(A729,3)</f>
        <v>#N/A</v>
      </c>
      <c r="I729" s="66">
        <f t="shared" si="77"/>
        <v>0</v>
      </c>
      <c r="K729" s="66" t="str">
        <f t="shared" si="78"/>
        <v/>
      </c>
      <c r="L729" s="66" t="str">
        <f t="shared" si="79"/>
        <v/>
      </c>
      <c r="M729" s="66" t="str">
        <f t="shared" si="80"/>
        <v/>
      </c>
      <c r="N729" s="66" t="str">
        <f t="shared" si="81"/>
        <v/>
      </c>
      <c r="O729" s="66" t="str">
        <f t="shared" si="82"/>
        <v/>
      </c>
      <c r="P729" s="66" t="str">
        <f t="shared" si="83"/>
        <v/>
      </c>
    </row>
    <row r="730" spans="8:16">
      <c r="H730" s="66" t="e">
        <f>IF(LEFT(A730,6)="CEPNTR","GPINS",VLOOKUP(LEFT(A730,6),'Code Library'!$A$3:$B$920,2,0))&amp;"_"&amp;RIGHT(A730,3)</f>
        <v>#N/A</v>
      </c>
      <c r="I730" s="66">
        <f t="shared" si="77"/>
        <v>0</v>
      </c>
      <c r="K730" s="66" t="str">
        <f t="shared" si="78"/>
        <v/>
      </c>
      <c r="L730" s="66" t="str">
        <f t="shared" si="79"/>
        <v/>
      </c>
      <c r="M730" s="66" t="str">
        <f t="shared" si="80"/>
        <v/>
      </c>
      <c r="N730" s="66" t="str">
        <f t="shared" si="81"/>
        <v/>
      </c>
      <c r="O730" s="66" t="str">
        <f t="shared" si="82"/>
        <v/>
      </c>
      <c r="P730" s="66" t="str">
        <f t="shared" si="83"/>
        <v/>
      </c>
    </row>
    <row r="731" spans="8:16">
      <c r="H731" s="66" t="e">
        <f>IF(LEFT(A731,6)="CEPNTR","GPINS",VLOOKUP(LEFT(A731,6),'Code Library'!$A$3:$B$920,2,0))&amp;"_"&amp;RIGHT(A731,3)</f>
        <v>#N/A</v>
      </c>
      <c r="I731" s="66">
        <f t="shared" si="77"/>
        <v>0</v>
      </c>
      <c r="K731" s="66" t="str">
        <f t="shared" si="78"/>
        <v/>
      </c>
      <c r="L731" s="66" t="str">
        <f t="shared" si="79"/>
        <v/>
      </c>
      <c r="M731" s="66" t="str">
        <f t="shared" si="80"/>
        <v/>
      </c>
      <c r="N731" s="66" t="str">
        <f t="shared" si="81"/>
        <v/>
      </c>
      <c r="O731" s="66" t="str">
        <f t="shared" si="82"/>
        <v/>
      </c>
      <c r="P731" s="66" t="str">
        <f t="shared" si="83"/>
        <v/>
      </c>
    </row>
    <row r="732" spans="8:16">
      <c r="H732" s="66" t="e">
        <f>IF(LEFT(A732,6)="CEPNTR","GPINS",VLOOKUP(LEFT(A732,6),'Code Library'!$A$3:$B$920,2,0))&amp;"_"&amp;RIGHT(A732,3)</f>
        <v>#N/A</v>
      </c>
      <c r="I732" s="66">
        <f t="shared" si="77"/>
        <v>0</v>
      </c>
      <c r="K732" s="66" t="str">
        <f t="shared" si="78"/>
        <v/>
      </c>
      <c r="L732" s="66" t="str">
        <f t="shared" si="79"/>
        <v/>
      </c>
      <c r="M732" s="66" t="str">
        <f t="shared" si="80"/>
        <v/>
      </c>
      <c r="N732" s="66" t="str">
        <f t="shared" si="81"/>
        <v/>
      </c>
      <c r="O732" s="66" t="str">
        <f t="shared" si="82"/>
        <v/>
      </c>
      <c r="P732" s="66" t="str">
        <f t="shared" si="83"/>
        <v/>
      </c>
    </row>
    <row r="733" spans="8:16">
      <c r="H733" s="66" t="e">
        <f>IF(LEFT(A733,6)="CEPNTR","GPINS",VLOOKUP(LEFT(A733,6),'Code Library'!$A$3:$B$920,2,0))&amp;"_"&amp;RIGHT(A733,3)</f>
        <v>#N/A</v>
      </c>
      <c r="I733" s="66">
        <f t="shared" si="77"/>
        <v>0</v>
      </c>
      <c r="K733" s="66" t="str">
        <f t="shared" si="78"/>
        <v/>
      </c>
      <c r="L733" s="66" t="str">
        <f t="shared" si="79"/>
        <v/>
      </c>
      <c r="M733" s="66" t="str">
        <f t="shared" si="80"/>
        <v/>
      </c>
      <c r="N733" s="66" t="str">
        <f t="shared" si="81"/>
        <v/>
      </c>
      <c r="O733" s="66" t="str">
        <f t="shared" si="82"/>
        <v/>
      </c>
      <c r="P733" s="66" t="str">
        <f t="shared" si="83"/>
        <v/>
      </c>
    </row>
    <row r="734" spans="8:16">
      <c r="H734" s="66" t="e">
        <f>IF(LEFT(A734,6)="CEPNTR","GPINS",VLOOKUP(LEFT(A734,6),'Code Library'!$A$3:$B$920,2,0))&amp;"_"&amp;RIGHT(A734,3)</f>
        <v>#N/A</v>
      </c>
      <c r="I734" s="66">
        <f t="shared" si="77"/>
        <v>0</v>
      </c>
      <c r="K734" s="66" t="str">
        <f t="shared" si="78"/>
        <v/>
      </c>
      <c r="L734" s="66" t="str">
        <f t="shared" si="79"/>
        <v/>
      </c>
      <c r="M734" s="66" t="str">
        <f t="shared" si="80"/>
        <v/>
      </c>
      <c r="N734" s="66" t="str">
        <f t="shared" si="81"/>
        <v/>
      </c>
      <c r="O734" s="66" t="str">
        <f t="shared" si="82"/>
        <v/>
      </c>
      <c r="P734" s="66" t="str">
        <f t="shared" si="83"/>
        <v/>
      </c>
    </row>
    <row r="735" spans="8:16">
      <c r="H735" s="66" t="e">
        <f>IF(LEFT(A735,6)="CEPNTR","GPINS",VLOOKUP(LEFT(A735,6),'Code Library'!$A$3:$B$920,2,0))&amp;"_"&amp;RIGHT(A735,3)</f>
        <v>#N/A</v>
      </c>
      <c r="I735" s="66">
        <f t="shared" si="77"/>
        <v>0</v>
      </c>
      <c r="K735" s="66" t="str">
        <f t="shared" si="78"/>
        <v/>
      </c>
      <c r="L735" s="66" t="str">
        <f t="shared" si="79"/>
        <v/>
      </c>
      <c r="M735" s="66" t="str">
        <f t="shared" si="80"/>
        <v/>
      </c>
      <c r="N735" s="66" t="str">
        <f t="shared" si="81"/>
        <v/>
      </c>
      <c r="O735" s="66" t="str">
        <f t="shared" si="82"/>
        <v/>
      </c>
      <c r="P735" s="66" t="str">
        <f t="shared" si="83"/>
        <v/>
      </c>
    </row>
    <row r="736" spans="8:16">
      <c r="H736" s="66" t="e">
        <f>IF(LEFT(A736,6)="CEPNTR","GPINS",VLOOKUP(LEFT(A736,6),'Code Library'!$A$3:$B$920,2,0))&amp;"_"&amp;RIGHT(A736,3)</f>
        <v>#N/A</v>
      </c>
      <c r="I736" s="66">
        <f t="shared" si="77"/>
        <v>0</v>
      </c>
      <c r="K736" s="66" t="str">
        <f t="shared" si="78"/>
        <v/>
      </c>
      <c r="L736" s="66" t="str">
        <f t="shared" si="79"/>
        <v/>
      </c>
      <c r="M736" s="66" t="str">
        <f t="shared" si="80"/>
        <v/>
      </c>
      <c r="N736" s="66" t="str">
        <f t="shared" si="81"/>
        <v/>
      </c>
      <c r="O736" s="66" t="str">
        <f t="shared" si="82"/>
        <v/>
      </c>
      <c r="P736" s="66" t="str">
        <f t="shared" si="83"/>
        <v/>
      </c>
    </row>
    <row r="737" spans="8:16">
      <c r="H737" s="66" t="e">
        <f>IF(LEFT(A737,6)="CEPNTR","GPINS",VLOOKUP(LEFT(A737,6),'Code Library'!$A$3:$B$920,2,0))&amp;"_"&amp;RIGHT(A737,3)</f>
        <v>#N/A</v>
      </c>
      <c r="I737" s="66">
        <f t="shared" si="77"/>
        <v>0</v>
      </c>
      <c r="K737" s="66" t="str">
        <f t="shared" si="78"/>
        <v/>
      </c>
      <c r="L737" s="66" t="str">
        <f t="shared" si="79"/>
        <v/>
      </c>
      <c r="M737" s="66" t="str">
        <f t="shared" si="80"/>
        <v/>
      </c>
      <c r="N737" s="66" t="str">
        <f t="shared" si="81"/>
        <v/>
      </c>
      <c r="O737" s="66" t="str">
        <f t="shared" si="82"/>
        <v/>
      </c>
      <c r="P737" s="66" t="str">
        <f t="shared" si="83"/>
        <v/>
      </c>
    </row>
    <row r="738" spans="8:16">
      <c r="H738" s="66" t="e">
        <f>IF(LEFT(A738,6)="CEPNTR","GPINS",VLOOKUP(LEFT(A738,6),'Code Library'!$A$3:$B$920,2,0))&amp;"_"&amp;RIGHT(A738,3)</f>
        <v>#N/A</v>
      </c>
      <c r="I738" s="66">
        <f t="shared" si="77"/>
        <v>0</v>
      </c>
      <c r="K738" s="66" t="str">
        <f t="shared" si="78"/>
        <v/>
      </c>
      <c r="L738" s="66" t="str">
        <f t="shared" si="79"/>
        <v/>
      </c>
      <c r="M738" s="66" t="str">
        <f t="shared" si="80"/>
        <v/>
      </c>
      <c r="N738" s="66" t="str">
        <f t="shared" si="81"/>
        <v/>
      </c>
      <c r="O738" s="66" t="str">
        <f t="shared" si="82"/>
        <v/>
      </c>
      <c r="P738" s="66" t="str">
        <f t="shared" si="83"/>
        <v/>
      </c>
    </row>
    <row r="739" spans="8:16">
      <c r="H739" s="66" t="e">
        <f>IF(LEFT(A739,6)="CEPNTR","GPINS",VLOOKUP(LEFT(A739,6),'Code Library'!$A$3:$B$920,2,0))&amp;"_"&amp;RIGHT(A739,3)</f>
        <v>#N/A</v>
      </c>
      <c r="I739" s="66">
        <f t="shared" si="77"/>
        <v>0</v>
      </c>
      <c r="K739" s="66" t="str">
        <f t="shared" si="78"/>
        <v/>
      </c>
      <c r="L739" s="66" t="str">
        <f t="shared" si="79"/>
        <v/>
      </c>
      <c r="M739" s="66" t="str">
        <f t="shared" si="80"/>
        <v/>
      </c>
      <c r="N739" s="66" t="str">
        <f t="shared" si="81"/>
        <v/>
      </c>
      <c r="O739" s="66" t="str">
        <f t="shared" si="82"/>
        <v/>
      </c>
      <c r="P739" s="66" t="str">
        <f t="shared" si="83"/>
        <v/>
      </c>
    </row>
    <row r="740" spans="8:16">
      <c r="H740" s="66" t="e">
        <f>IF(LEFT(A740,6)="CEPNTR","GPINS",VLOOKUP(LEFT(A740,6),'Code Library'!$A$3:$B$920,2,0))&amp;"_"&amp;RIGHT(A740,3)</f>
        <v>#N/A</v>
      </c>
      <c r="I740" s="66">
        <f t="shared" si="77"/>
        <v>0</v>
      </c>
      <c r="K740" s="66" t="str">
        <f t="shared" si="78"/>
        <v/>
      </c>
      <c r="L740" s="66" t="str">
        <f t="shared" si="79"/>
        <v/>
      </c>
      <c r="M740" s="66" t="str">
        <f t="shared" si="80"/>
        <v/>
      </c>
      <c r="N740" s="66" t="str">
        <f t="shared" si="81"/>
        <v/>
      </c>
      <c r="O740" s="66" t="str">
        <f t="shared" si="82"/>
        <v/>
      </c>
      <c r="P740" s="66" t="str">
        <f t="shared" si="83"/>
        <v/>
      </c>
    </row>
    <row r="741" spans="8:16">
      <c r="H741" s="66" t="e">
        <f>IF(LEFT(A741,6)="CEPNTR","GPINS",VLOOKUP(LEFT(A741,6),'Code Library'!$A$3:$B$920,2,0))&amp;"_"&amp;RIGHT(A741,3)</f>
        <v>#N/A</v>
      </c>
      <c r="I741" s="66">
        <f t="shared" si="77"/>
        <v>0</v>
      </c>
      <c r="K741" s="66" t="str">
        <f t="shared" si="78"/>
        <v/>
      </c>
      <c r="L741" s="66" t="str">
        <f t="shared" si="79"/>
        <v/>
      </c>
      <c r="M741" s="66" t="str">
        <f t="shared" si="80"/>
        <v/>
      </c>
      <c r="N741" s="66" t="str">
        <f t="shared" si="81"/>
        <v/>
      </c>
      <c r="O741" s="66" t="str">
        <f t="shared" si="82"/>
        <v/>
      </c>
      <c r="P741" s="66" t="str">
        <f t="shared" si="83"/>
        <v/>
      </c>
    </row>
    <row r="742" spans="8:16">
      <c r="H742" s="66" t="e">
        <f>IF(LEFT(A742,6)="CEPNTR","GPINS",VLOOKUP(LEFT(A742,6),'Code Library'!$A$3:$B$920,2,0))&amp;"_"&amp;RIGHT(A742,3)</f>
        <v>#N/A</v>
      </c>
      <c r="I742" s="66">
        <f t="shared" si="77"/>
        <v>0</v>
      </c>
      <c r="K742" s="66" t="str">
        <f t="shared" si="78"/>
        <v/>
      </c>
      <c r="L742" s="66" t="str">
        <f t="shared" si="79"/>
        <v/>
      </c>
      <c r="M742" s="66" t="str">
        <f t="shared" si="80"/>
        <v/>
      </c>
      <c r="N742" s="66" t="str">
        <f t="shared" si="81"/>
        <v/>
      </c>
      <c r="O742" s="66" t="str">
        <f t="shared" si="82"/>
        <v/>
      </c>
      <c r="P742" s="66" t="str">
        <f t="shared" si="83"/>
        <v/>
      </c>
    </row>
    <row r="743" spans="8:16">
      <c r="H743" s="66" t="e">
        <f>IF(LEFT(A743,6)="CEPNTR","GPINS",VLOOKUP(LEFT(A743,6),'Code Library'!$A$3:$B$920,2,0))&amp;"_"&amp;RIGHT(A743,3)</f>
        <v>#N/A</v>
      </c>
      <c r="I743" s="66">
        <f t="shared" si="77"/>
        <v>0</v>
      </c>
      <c r="K743" s="66" t="str">
        <f t="shared" si="78"/>
        <v/>
      </c>
      <c r="L743" s="66" t="str">
        <f t="shared" si="79"/>
        <v/>
      </c>
      <c r="M743" s="66" t="str">
        <f t="shared" si="80"/>
        <v/>
      </c>
      <c r="N743" s="66" t="str">
        <f t="shared" si="81"/>
        <v/>
      </c>
      <c r="O743" s="66" t="str">
        <f t="shared" si="82"/>
        <v/>
      </c>
      <c r="P743" s="66" t="str">
        <f t="shared" si="83"/>
        <v/>
      </c>
    </row>
    <row r="744" spans="8:16">
      <c r="H744" s="66" t="e">
        <f>IF(LEFT(A744,6)="CEPNTR","GPINS",VLOOKUP(LEFT(A744,6),'Code Library'!$A$3:$B$920,2,0))&amp;"_"&amp;RIGHT(A744,3)</f>
        <v>#N/A</v>
      </c>
      <c r="I744" s="66">
        <f t="shared" si="77"/>
        <v>0</v>
      </c>
      <c r="K744" s="66" t="str">
        <f t="shared" si="78"/>
        <v/>
      </c>
      <c r="L744" s="66" t="str">
        <f t="shared" si="79"/>
        <v/>
      </c>
      <c r="M744" s="66" t="str">
        <f t="shared" si="80"/>
        <v/>
      </c>
      <c r="N744" s="66" t="str">
        <f t="shared" si="81"/>
        <v/>
      </c>
      <c r="O744" s="66" t="str">
        <f t="shared" si="82"/>
        <v/>
      </c>
      <c r="P744" s="66" t="str">
        <f t="shared" si="83"/>
        <v/>
      </c>
    </row>
    <row r="745" spans="8:16">
      <c r="H745" s="66" t="e">
        <f>IF(LEFT(A745,6)="CEPNTR","GPINS",VLOOKUP(LEFT(A745,6),'Code Library'!$A$3:$B$920,2,0))&amp;"_"&amp;RIGHT(A745,3)</f>
        <v>#N/A</v>
      </c>
      <c r="I745" s="66">
        <f t="shared" si="77"/>
        <v>0</v>
      </c>
      <c r="K745" s="66" t="str">
        <f t="shared" si="78"/>
        <v/>
      </c>
      <c r="L745" s="66" t="str">
        <f t="shared" si="79"/>
        <v/>
      </c>
      <c r="M745" s="66" t="str">
        <f t="shared" si="80"/>
        <v/>
      </c>
      <c r="N745" s="66" t="str">
        <f t="shared" si="81"/>
        <v/>
      </c>
      <c r="O745" s="66" t="str">
        <f t="shared" si="82"/>
        <v/>
      </c>
      <c r="P745" s="66" t="str">
        <f t="shared" si="83"/>
        <v/>
      </c>
    </row>
    <row r="746" spans="8:16">
      <c r="H746" s="66" t="e">
        <f>IF(LEFT(A746,6)="CEPNTR","GPINS",VLOOKUP(LEFT(A746,6),'Code Library'!$A$3:$B$920,2,0))&amp;"_"&amp;RIGHT(A746,3)</f>
        <v>#N/A</v>
      </c>
      <c r="I746" s="66">
        <f t="shared" si="77"/>
        <v>0</v>
      </c>
      <c r="K746" s="66" t="str">
        <f t="shared" si="78"/>
        <v/>
      </c>
      <c r="L746" s="66" t="str">
        <f t="shared" si="79"/>
        <v/>
      </c>
      <c r="M746" s="66" t="str">
        <f t="shared" si="80"/>
        <v/>
      </c>
      <c r="N746" s="66" t="str">
        <f t="shared" si="81"/>
        <v/>
      </c>
      <c r="O746" s="66" t="str">
        <f t="shared" si="82"/>
        <v/>
      </c>
      <c r="P746" s="66" t="str">
        <f t="shared" si="83"/>
        <v/>
      </c>
    </row>
    <row r="747" spans="8:16">
      <c r="H747" s="66" t="e">
        <f>IF(LEFT(A747,6)="CEPNTR","GPINS",VLOOKUP(LEFT(A747,6),'Code Library'!$A$3:$B$920,2,0))&amp;"_"&amp;RIGHT(A747,3)</f>
        <v>#N/A</v>
      </c>
      <c r="I747" s="66">
        <f t="shared" si="77"/>
        <v>0</v>
      </c>
      <c r="K747" s="66" t="str">
        <f t="shared" si="78"/>
        <v/>
      </c>
      <c r="L747" s="66" t="str">
        <f t="shared" si="79"/>
        <v/>
      </c>
      <c r="M747" s="66" t="str">
        <f t="shared" si="80"/>
        <v/>
      </c>
      <c r="N747" s="66" t="str">
        <f t="shared" si="81"/>
        <v/>
      </c>
      <c r="O747" s="66" t="str">
        <f t="shared" si="82"/>
        <v/>
      </c>
      <c r="P747" s="66" t="str">
        <f t="shared" si="83"/>
        <v/>
      </c>
    </row>
    <row r="748" spans="8:16">
      <c r="H748" s="66" t="e">
        <f>IF(LEFT(A748,6)="CEPNTR","GPINS",VLOOKUP(LEFT(A748,6),'Code Library'!$A$3:$B$920,2,0))&amp;"_"&amp;RIGHT(A748,3)</f>
        <v>#N/A</v>
      </c>
      <c r="I748" s="66">
        <f t="shared" si="77"/>
        <v>0</v>
      </c>
      <c r="K748" s="66" t="str">
        <f t="shared" si="78"/>
        <v/>
      </c>
      <c r="L748" s="66" t="str">
        <f t="shared" si="79"/>
        <v/>
      </c>
      <c r="M748" s="66" t="str">
        <f t="shared" si="80"/>
        <v/>
      </c>
      <c r="N748" s="66" t="str">
        <f t="shared" si="81"/>
        <v/>
      </c>
      <c r="O748" s="66" t="str">
        <f t="shared" si="82"/>
        <v/>
      </c>
      <c r="P748" s="66" t="str">
        <f t="shared" si="83"/>
        <v/>
      </c>
    </row>
    <row r="749" spans="8:16">
      <c r="H749" s="66" t="e">
        <f>IF(LEFT(A749,6)="CEPNTR","GPINS",VLOOKUP(LEFT(A749,6),'Code Library'!$A$3:$B$920,2,0))&amp;"_"&amp;RIGHT(A749,3)</f>
        <v>#N/A</v>
      </c>
      <c r="I749" s="66">
        <f t="shared" si="77"/>
        <v>0</v>
      </c>
      <c r="K749" s="66" t="str">
        <f t="shared" si="78"/>
        <v/>
      </c>
      <c r="L749" s="66" t="str">
        <f t="shared" si="79"/>
        <v/>
      </c>
      <c r="M749" s="66" t="str">
        <f t="shared" si="80"/>
        <v/>
      </c>
      <c r="N749" s="66" t="str">
        <f t="shared" si="81"/>
        <v/>
      </c>
      <c r="O749" s="66" t="str">
        <f t="shared" si="82"/>
        <v/>
      </c>
      <c r="P749" s="66" t="str">
        <f t="shared" si="83"/>
        <v/>
      </c>
    </row>
    <row r="750" spans="8:16">
      <c r="H750" s="66" t="e">
        <f>IF(LEFT(A750,6)="CEPNTR","GPINS",VLOOKUP(LEFT(A750,6),'Code Library'!$A$3:$B$920,2,0))&amp;"_"&amp;RIGHT(A750,3)</f>
        <v>#N/A</v>
      </c>
      <c r="I750" s="66">
        <f t="shared" si="77"/>
        <v>0</v>
      </c>
      <c r="K750" s="66" t="str">
        <f t="shared" si="78"/>
        <v/>
      </c>
      <c r="L750" s="66" t="str">
        <f t="shared" si="79"/>
        <v/>
      </c>
      <c r="M750" s="66" t="str">
        <f t="shared" si="80"/>
        <v/>
      </c>
      <c r="N750" s="66" t="str">
        <f t="shared" si="81"/>
        <v/>
      </c>
      <c r="O750" s="66" t="str">
        <f t="shared" si="82"/>
        <v/>
      </c>
      <c r="P750" s="66" t="str">
        <f t="shared" si="83"/>
        <v/>
      </c>
    </row>
    <row r="751" spans="8:16">
      <c r="H751" s="66" t="e">
        <f>IF(LEFT(A751,6)="CEPNTR","GPINS",VLOOKUP(LEFT(A751,6),'Code Library'!$A$3:$B$920,2,0))&amp;"_"&amp;RIGHT(A751,3)</f>
        <v>#N/A</v>
      </c>
      <c r="I751" s="66">
        <f t="shared" si="77"/>
        <v>0</v>
      </c>
      <c r="K751" s="66" t="str">
        <f t="shared" si="78"/>
        <v/>
      </c>
      <c r="L751" s="66" t="str">
        <f t="shared" si="79"/>
        <v/>
      </c>
      <c r="M751" s="66" t="str">
        <f t="shared" si="80"/>
        <v/>
      </c>
      <c r="N751" s="66" t="str">
        <f t="shared" si="81"/>
        <v/>
      </c>
      <c r="O751" s="66" t="str">
        <f t="shared" si="82"/>
        <v/>
      </c>
      <c r="P751" s="66" t="str">
        <f t="shared" si="83"/>
        <v/>
      </c>
    </row>
    <row r="752" spans="8:16">
      <c r="H752" s="66" t="e">
        <f>IF(LEFT(A752,6)="CEPNTR","GPINS",VLOOKUP(LEFT(A752,6),'Code Library'!$A$3:$B$920,2,0))&amp;"_"&amp;RIGHT(A752,3)</f>
        <v>#N/A</v>
      </c>
      <c r="I752" s="66">
        <f t="shared" si="77"/>
        <v>0</v>
      </c>
      <c r="K752" s="66" t="str">
        <f t="shared" si="78"/>
        <v/>
      </c>
      <c r="L752" s="66" t="str">
        <f t="shared" si="79"/>
        <v/>
      </c>
      <c r="M752" s="66" t="str">
        <f t="shared" si="80"/>
        <v/>
      </c>
      <c r="N752" s="66" t="str">
        <f t="shared" si="81"/>
        <v/>
      </c>
      <c r="O752" s="66" t="str">
        <f t="shared" si="82"/>
        <v/>
      </c>
      <c r="P752" s="66" t="str">
        <f t="shared" si="83"/>
        <v/>
      </c>
    </row>
    <row r="753" spans="8:16">
      <c r="H753" s="66" t="e">
        <f>IF(LEFT(A753,6)="CEPNTR","GPINS",VLOOKUP(LEFT(A753,6),'Code Library'!$A$3:$B$920,2,0))&amp;"_"&amp;RIGHT(A753,3)</f>
        <v>#N/A</v>
      </c>
      <c r="I753" s="66">
        <f t="shared" si="77"/>
        <v>0</v>
      </c>
      <c r="K753" s="66" t="str">
        <f t="shared" si="78"/>
        <v/>
      </c>
      <c r="L753" s="66" t="str">
        <f t="shared" si="79"/>
        <v/>
      </c>
      <c r="M753" s="66" t="str">
        <f t="shared" si="80"/>
        <v/>
      </c>
      <c r="N753" s="66" t="str">
        <f t="shared" si="81"/>
        <v/>
      </c>
      <c r="O753" s="66" t="str">
        <f t="shared" si="82"/>
        <v/>
      </c>
      <c r="P753" s="66" t="str">
        <f t="shared" si="83"/>
        <v/>
      </c>
    </row>
    <row r="754" spans="8:16">
      <c r="H754" s="66" t="e">
        <f>IF(LEFT(A754,6)="CEPNTR","GPINS",VLOOKUP(LEFT(A754,6),'Code Library'!$A$3:$B$920,2,0))&amp;"_"&amp;RIGHT(A754,3)</f>
        <v>#N/A</v>
      </c>
      <c r="I754" s="66">
        <f t="shared" si="77"/>
        <v>0</v>
      </c>
      <c r="K754" s="66" t="str">
        <f t="shared" si="78"/>
        <v/>
      </c>
      <c r="L754" s="66" t="str">
        <f t="shared" si="79"/>
        <v/>
      </c>
      <c r="M754" s="66" t="str">
        <f t="shared" si="80"/>
        <v/>
      </c>
      <c r="N754" s="66" t="str">
        <f t="shared" si="81"/>
        <v/>
      </c>
      <c r="O754" s="66" t="str">
        <f t="shared" si="82"/>
        <v/>
      </c>
      <c r="P754" s="66" t="str">
        <f t="shared" si="83"/>
        <v/>
      </c>
    </row>
    <row r="755" spans="8:16">
      <c r="H755" s="66" t="e">
        <f>IF(LEFT(A755,6)="CEPNTR","GPINS",VLOOKUP(LEFT(A755,6),'Code Library'!$A$3:$B$920,2,0))&amp;"_"&amp;RIGHT(A755,3)</f>
        <v>#N/A</v>
      </c>
      <c r="I755" s="66">
        <f t="shared" si="77"/>
        <v>0</v>
      </c>
      <c r="K755" s="66" t="str">
        <f t="shared" si="78"/>
        <v/>
      </c>
      <c r="L755" s="66" t="str">
        <f t="shared" si="79"/>
        <v/>
      </c>
      <c r="M755" s="66" t="str">
        <f t="shared" si="80"/>
        <v/>
      </c>
      <c r="N755" s="66" t="str">
        <f t="shared" si="81"/>
        <v/>
      </c>
      <c r="O755" s="66" t="str">
        <f t="shared" si="82"/>
        <v/>
      </c>
      <c r="P755" s="66" t="str">
        <f t="shared" si="83"/>
        <v/>
      </c>
    </row>
    <row r="756" spans="8:16">
      <c r="H756" s="66" t="e">
        <f>IF(LEFT(A756,6)="CEPNTR","GPINS",VLOOKUP(LEFT(A756,6),'Code Library'!$A$3:$B$920,2,0))&amp;"_"&amp;RIGHT(A756,3)</f>
        <v>#N/A</v>
      </c>
      <c r="I756" s="66">
        <f t="shared" si="77"/>
        <v>0</v>
      </c>
      <c r="K756" s="66" t="str">
        <f t="shared" si="78"/>
        <v/>
      </c>
      <c r="L756" s="66" t="str">
        <f t="shared" si="79"/>
        <v/>
      </c>
      <c r="M756" s="66" t="str">
        <f t="shared" si="80"/>
        <v/>
      </c>
      <c r="N756" s="66" t="str">
        <f t="shared" si="81"/>
        <v/>
      </c>
      <c r="O756" s="66" t="str">
        <f t="shared" si="82"/>
        <v/>
      </c>
      <c r="P756" s="66" t="str">
        <f t="shared" si="83"/>
        <v/>
      </c>
    </row>
    <row r="757" spans="8:16">
      <c r="H757" s="66" t="e">
        <f>IF(LEFT(A757,6)="CEPNTR","GPINS",VLOOKUP(LEFT(A757,6),'Code Library'!$A$3:$B$920,2,0))&amp;"_"&amp;RIGHT(A757,3)</f>
        <v>#N/A</v>
      </c>
      <c r="I757" s="66">
        <f t="shared" si="77"/>
        <v>0</v>
      </c>
      <c r="K757" s="66" t="str">
        <f t="shared" si="78"/>
        <v/>
      </c>
      <c r="L757" s="66" t="str">
        <f t="shared" si="79"/>
        <v/>
      </c>
      <c r="M757" s="66" t="str">
        <f t="shared" si="80"/>
        <v/>
      </c>
      <c r="N757" s="66" t="str">
        <f t="shared" si="81"/>
        <v/>
      </c>
      <c r="O757" s="66" t="str">
        <f t="shared" si="82"/>
        <v/>
      </c>
      <c r="P757" s="66" t="str">
        <f t="shared" si="83"/>
        <v/>
      </c>
    </row>
    <row r="758" spans="8:16">
      <c r="H758" s="66" t="e">
        <f>IF(LEFT(A758,6)="CEPNTR","GPINS",VLOOKUP(LEFT(A758,6),'Code Library'!$A$3:$B$920,2,0))&amp;"_"&amp;RIGHT(A758,3)</f>
        <v>#N/A</v>
      </c>
      <c r="I758" s="66">
        <f t="shared" si="77"/>
        <v>0</v>
      </c>
      <c r="K758" s="66" t="str">
        <f t="shared" si="78"/>
        <v/>
      </c>
      <c r="L758" s="66" t="str">
        <f t="shared" si="79"/>
        <v/>
      </c>
      <c r="M758" s="66" t="str">
        <f t="shared" si="80"/>
        <v/>
      </c>
      <c r="N758" s="66" t="str">
        <f t="shared" si="81"/>
        <v/>
      </c>
      <c r="O758" s="66" t="str">
        <f t="shared" si="82"/>
        <v/>
      </c>
      <c r="P758" s="66" t="str">
        <f t="shared" si="83"/>
        <v/>
      </c>
    </row>
    <row r="759" spans="8:16">
      <c r="H759" s="66" t="e">
        <f>IF(LEFT(A759,6)="CEPNTR","GPINS",VLOOKUP(LEFT(A759,6),'Code Library'!$A$3:$B$920,2,0))&amp;"_"&amp;RIGHT(A759,3)</f>
        <v>#N/A</v>
      </c>
      <c r="I759" s="66">
        <f t="shared" si="77"/>
        <v>0</v>
      </c>
      <c r="K759" s="66" t="str">
        <f t="shared" si="78"/>
        <v/>
      </c>
      <c r="L759" s="66" t="str">
        <f t="shared" si="79"/>
        <v/>
      </c>
      <c r="M759" s="66" t="str">
        <f t="shared" si="80"/>
        <v/>
      </c>
      <c r="N759" s="66" t="str">
        <f t="shared" si="81"/>
        <v/>
      </c>
      <c r="O759" s="66" t="str">
        <f t="shared" si="82"/>
        <v/>
      </c>
      <c r="P759" s="66" t="str">
        <f t="shared" si="83"/>
        <v/>
      </c>
    </row>
    <row r="760" spans="8:16">
      <c r="H760" s="66" t="e">
        <f>IF(LEFT(A760,6)="CEPNTR","GPINS",VLOOKUP(LEFT(A760,6),'Code Library'!$A$3:$B$920,2,0))&amp;"_"&amp;RIGHT(A760,3)</f>
        <v>#N/A</v>
      </c>
      <c r="I760" s="66">
        <f t="shared" si="77"/>
        <v>0</v>
      </c>
      <c r="K760" s="66" t="str">
        <f t="shared" si="78"/>
        <v/>
      </c>
      <c r="L760" s="66" t="str">
        <f t="shared" si="79"/>
        <v/>
      </c>
      <c r="M760" s="66" t="str">
        <f t="shared" si="80"/>
        <v/>
      </c>
      <c r="N760" s="66" t="str">
        <f t="shared" si="81"/>
        <v/>
      </c>
      <c r="O760" s="66" t="str">
        <f t="shared" si="82"/>
        <v/>
      </c>
      <c r="P760" s="66" t="str">
        <f t="shared" si="83"/>
        <v/>
      </c>
    </row>
    <row r="761" spans="8:16">
      <c r="H761" s="66" t="e">
        <f>IF(LEFT(A761,6)="CEPNTR","GPINS",VLOOKUP(LEFT(A761,6),'Code Library'!$A$3:$B$920,2,0))&amp;"_"&amp;RIGHT(A761,3)</f>
        <v>#N/A</v>
      </c>
      <c r="I761" s="66">
        <f t="shared" si="77"/>
        <v>0</v>
      </c>
      <c r="K761" s="66" t="str">
        <f t="shared" si="78"/>
        <v/>
      </c>
      <c r="L761" s="66" t="str">
        <f t="shared" si="79"/>
        <v/>
      </c>
      <c r="M761" s="66" t="str">
        <f t="shared" si="80"/>
        <v/>
      </c>
      <c r="N761" s="66" t="str">
        <f t="shared" si="81"/>
        <v/>
      </c>
      <c r="O761" s="66" t="str">
        <f t="shared" si="82"/>
        <v/>
      </c>
      <c r="P761" s="66" t="str">
        <f t="shared" si="83"/>
        <v/>
      </c>
    </row>
    <row r="762" spans="8:16">
      <c r="H762" s="66" t="e">
        <f>IF(LEFT(A762,6)="CEPNTR","GPINS",VLOOKUP(LEFT(A762,6),'Code Library'!$A$3:$B$920,2,0))&amp;"_"&amp;RIGHT(A762,3)</f>
        <v>#N/A</v>
      </c>
      <c r="I762" s="66">
        <f t="shared" si="77"/>
        <v>0</v>
      </c>
      <c r="K762" s="66" t="str">
        <f t="shared" si="78"/>
        <v/>
      </c>
      <c r="L762" s="66" t="str">
        <f t="shared" si="79"/>
        <v/>
      </c>
      <c r="M762" s="66" t="str">
        <f t="shared" si="80"/>
        <v/>
      </c>
      <c r="N762" s="66" t="str">
        <f t="shared" si="81"/>
        <v/>
      </c>
      <c r="O762" s="66" t="str">
        <f t="shared" si="82"/>
        <v/>
      </c>
      <c r="P762" s="66" t="str">
        <f t="shared" si="83"/>
        <v/>
      </c>
    </row>
    <row r="763" spans="8:16">
      <c r="H763" s="66" t="e">
        <f>IF(LEFT(A763,6)="CEPNTR","GPINS",VLOOKUP(LEFT(A763,6),'Code Library'!$A$3:$B$920,2,0))&amp;"_"&amp;RIGHT(A763,3)</f>
        <v>#N/A</v>
      </c>
      <c r="I763" s="66">
        <f t="shared" si="77"/>
        <v>0</v>
      </c>
      <c r="K763" s="66" t="str">
        <f t="shared" si="78"/>
        <v/>
      </c>
      <c r="L763" s="66" t="str">
        <f t="shared" si="79"/>
        <v/>
      </c>
      <c r="M763" s="66" t="str">
        <f t="shared" si="80"/>
        <v/>
      </c>
      <c r="N763" s="66" t="str">
        <f t="shared" si="81"/>
        <v/>
      </c>
      <c r="O763" s="66" t="str">
        <f t="shared" si="82"/>
        <v/>
      </c>
      <c r="P763" s="66" t="str">
        <f t="shared" si="83"/>
        <v/>
      </c>
    </row>
    <row r="764" spans="8:16">
      <c r="H764" s="66" t="e">
        <f>IF(LEFT(A764,6)="CEPNTR","GPINS",VLOOKUP(LEFT(A764,6),'Code Library'!$A$3:$B$920,2,0))&amp;"_"&amp;RIGHT(A764,3)</f>
        <v>#N/A</v>
      </c>
      <c r="I764" s="66">
        <f t="shared" si="77"/>
        <v>0</v>
      </c>
      <c r="K764" s="66" t="str">
        <f t="shared" si="78"/>
        <v/>
      </c>
      <c r="L764" s="66" t="str">
        <f t="shared" si="79"/>
        <v/>
      </c>
      <c r="M764" s="66" t="str">
        <f t="shared" si="80"/>
        <v/>
      </c>
      <c r="N764" s="66" t="str">
        <f t="shared" si="81"/>
        <v/>
      </c>
      <c r="O764" s="66" t="str">
        <f t="shared" si="82"/>
        <v/>
      </c>
      <c r="P764" s="66" t="str">
        <f t="shared" si="83"/>
        <v/>
      </c>
    </row>
    <row r="765" spans="8:16">
      <c r="H765" s="66" t="e">
        <f>IF(LEFT(A765,6)="CEPNTR","GPINS",VLOOKUP(LEFT(A765,6),'Code Library'!$A$3:$B$920,2,0))&amp;"_"&amp;RIGHT(A765,3)</f>
        <v>#N/A</v>
      </c>
      <c r="I765" s="66">
        <f t="shared" si="77"/>
        <v>0</v>
      </c>
      <c r="K765" s="66" t="str">
        <f t="shared" si="78"/>
        <v/>
      </c>
      <c r="L765" s="66" t="str">
        <f t="shared" si="79"/>
        <v/>
      </c>
      <c r="M765" s="66" t="str">
        <f t="shared" si="80"/>
        <v/>
      </c>
      <c r="N765" s="66" t="str">
        <f t="shared" si="81"/>
        <v/>
      </c>
      <c r="O765" s="66" t="str">
        <f t="shared" si="82"/>
        <v/>
      </c>
      <c r="P765" s="66" t="str">
        <f t="shared" si="83"/>
        <v/>
      </c>
    </row>
    <row r="766" spans="8:16">
      <c r="H766" s="66" t="e">
        <f>IF(LEFT(A766,6)="CEPNTR","GPINS",VLOOKUP(LEFT(A766,6),'Code Library'!$A$3:$B$920,2,0))&amp;"_"&amp;RIGHT(A766,3)</f>
        <v>#N/A</v>
      </c>
      <c r="I766" s="66">
        <f t="shared" si="77"/>
        <v>0</v>
      </c>
      <c r="K766" s="66" t="str">
        <f t="shared" si="78"/>
        <v/>
      </c>
      <c r="L766" s="66" t="str">
        <f t="shared" si="79"/>
        <v/>
      </c>
      <c r="M766" s="66" t="str">
        <f t="shared" si="80"/>
        <v/>
      </c>
      <c r="N766" s="66" t="str">
        <f t="shared" si="81"/>
        <v/>
      </c>
      <c r="O766" s="66" t="str">
        <f t="shared" si="82"/>
        <v/>
      </c>
      <c r="P766" s="66" t="str">
        <f t="shared" si="83"/>
        <v/>
      </c>
    </row>
    <row r="767" spans="8:16">
      <c r="H767" s="66" t="e">
        <f>IF(LEFT(A767,6)="CEPNTR","GPINS",VLOOKUP(LEFT(A767,6),'Code Library'!$A$3:$B$920,2,0))&amp;"_"&amp;RIGHT(A767,3)</f>
        <v>#N/A</v>
      </c>
      <c r="I767" s="66">
        <f t="shared" si="77"/>
        <v>0</v>
      </c>
      <c r="K767" s="66" t="str">
        <f t="shared" si="78"/>
        <v/>
      </c>
      <c r="L767" s="66" t="str">
        <f t="shared" si="79"/>
        <v/>
      </c>
      <c r="M767" s="66" t="str">
        <f t="shared" si="80"/>
        <v/>
      </c>
      <c r="N767" s="66" t="str">
        <f t="shared" si="81"/>
        <v/>
      </c>
      <c r="O767" s="66" t="str">
        <f t="shared" si="82"/>
        <v/>
      </c>
      <c r="P767" s="66" t="str">
        <f t="shared" si="83"/>
        <v/>
      </c>
    </row>
    <row r="768" spans="8:16">
      <c r="H768" s="66" t="e">
        <f>IF(LEFT(A768,6)="CEPNTR","GPINS",VLOOKUP(LEFT(A768,6),'Code Library'!$A$3:$B$920,2,0))&amp;"_"&amp;RIGHT(A768,3)</f>
        <v>#N/A</v>
      </c>
      <c r="I768" s="66">
        <f t="shared" si="77"/>
        <v>0</v>
      </c>
      <c r="K768" s="66" t="str">
        <f t="shared" si="78"/>
        <v/>
      </c>
      <c r="L768" s="66" t="str">
        <f t="shared" si="79"/>
        <v/>
      </c>
      <c r="M768" s="66" t="str">
        <f t="shared" si="80"/>
        <v/>
      </c>
      <c r="N768" s="66" t="str">
        <f t="shared" si="81"/>
        <v/>
      </c>
      <c r="O768" s="66" t="str">
        <f t="shared" si="82"/>
        <v/>
      </c>
      <c r="P768" s="66" t="str">
        <f t="shared" si="83"/>
        <v/>
      </c>
    </row>
    <row r="769" spans="8:16">
      <c r="H769" s="66" t="e">
        <f>IF(LEFT(A769,6)="CEPNTR","GPINS",VLOOKUP(LEFT(A769,6),'Code Library'!$A$3:$B$920,2,0))&amp;"_"&amp;RIGHT(A769,3)</f>
        <v>#N/A</v>
      </c>
      <c r="I769" s="66">
        <f t="shared" si="77"/>
        <v>0</v>
      </c>
      <c r="K769" s="66" t="str">
        <f t="shared" si="78"/>
        <v/>
      </c>
      <c r="L769" s="66" t="str">
        <f t="shared" si="79"/>
        <v/>
      </c>
      <c r="M769" s="66" t="str">
        <f t="shared" si="80"/>
        <v/>
      </c>
      <c r="N769" s="66" t="str">
        <f t="shared" si="81"/>
        <v/>
      </c>
      <c r="O769" s="66" t="str">
        <f t="shared" si="82"/>
        <v/>
      </c>
      <c r="P769" s="66" t="str">
        <f t="shared" si="83"/>
        <v/>
      </c>
    </row>
    <row r="770" spans="8:16">
      <c r="H770" s="66" t="e">
        <f>IF(LEFT(A770,6)="CEPNTR","GPINS",VLOOKUP(LEFT(A770,6),'Code Library'!$A$3:$B$920,2,0))&amp;"_"&amp;RIGHT(A770,3)</f>
        <v>#N/A</v>
      </c>
      <c r="I770" s="66">
        <f t="shared" si="77"/>
        <v>0</v>
      </c>
      <c r="K770" s="66" t="str">
        <f t="shared" si="78"/>
        <v/>
      </c>
      <c r="L770" s="66" t="str">
        <f t="shared" si="79"/>
        <v/>
      </c>
      <c r="M770" s="66" t="str">
        <f t="shared" si="80"/>
        <v/>
      </c>
      <c r="N770" s="66" t="str">
        <f t="shared" si="81"/>
        <v/>
      </c>
      <c r="O770" s="66" t="str">
        <f t="shared" si="82"/>
        <v/>
      </c>
      <c r="P770" s="66" t="str">
        <f t="shared" si="83"/>
        <v/>
      </c>
    </row>
    <row r="771" spans="8:16">
      <c r="H771" s="66" t="e">
        <f>IF(LEFT(A771,6)="CEPNTR","GPINS",VLOOKUP(LEFT(A771,6),'Code Library'!$A$3:$B$920,2,0))&amp;"_"&amp;RIGHT(A771,3)</f>
        <v>#N/A</v>
      </c>
      <c r="I771" s="66">
        <f t="shared" ref="I771:I834" si="84">A771</f>
        <v>0</v>
      </c>
      <c r="K771" s="66" t="str">
        <f t="shared" ref="K771:K834" si="85">RIGHT($B771,2)</f>
        <v/>
      </c>
      <c r="L771" s="66" t="str">
        <f t="shared" ref="L771:L834" si="86">LEFT(RIGHT($B771,7),4)</f>
        <v/>
      </c>
      <c r="M771" s="66" t="str">
        <f t="shared" ref="M771:M834" si="87">LEFT(RIGHT($B771,10),2)</f>
        <v/>
      </c>
      <c r="N771" s="66" t="str">
        <f t="shared" ref="N771:N834" si="88">LEFT(RIGHT($B771,14),3)</f>
        <v/>
      </c>
      <c r="O771" s="66" t="str">
        <f t="shared" ref="O771:O834" si="89">LEFT(RIGHT($B771,16),1)</f>
        <v/>
      </c>
      <c r="P771" s="66" t="str">
        <f t="shared" ref="P771:P834" si="90">LEFT(RIGHT($B771,19),2)</f>
        <v/>
      </c>
    </row>
    <row r="772" spans="8:16">
      <c r="H772" s="66" t="e">
        <f>IF(LEFT(A772,6)="CEPNTR","GPINS",VLOOKUP(LEFT(A772,6),'Code Library'!$A$3:$B$920,2,0))&amp;"_"&amp;RIGHT(A772,3)</f>
        <v>#N/A</v>
      </c>
      <c r="I772" s="66">
        <f t="shared" si="84"/>
        <v>0</v>
      </c>
      <c r="K772" s="66" t="str">
        <f t="shared" si="85"/>
        <v/>
      </c>
      <c r="L772" s="66" t="str">
        <f t="shared" si="86"/>
        <v/>
      </c>
      <c r="M772" s="66" t="str">
        <f t="shared" si="87"/>
        <v/>
      </c>
      <c r="N772" s="66" t="str">
        <f t="shared" si="88"/>
        <v/>
      </c>
      <c r="O772" s="66" t="str">
        <f t="shared" si="89"/>
        <v/>
      </c>
      <c r="P772" s="66" t="str">
        <f t="shared" si="90"/>
        <v/>
      </c>
    </row>
    <row r="773" spans="8:16">
      <c r="H773" s="66" t="e">
        <f>IF(LEFT(A773,6)="CEPNTR","GPINS",VLOOKUP(LEFT(A773,6),'Code Library'!$A$3:$B$920,2,0))&amp;"_"&amp;RIGHT(A773,3)</f>
        <v>#N/A</v>
      </c>
      <c r="I773" s="66">
        <f t="shared" si="84"/>
        <v>0</v>
      </c>
      <c r="K773" s="66" t="str">
        <f t="shared" si="85"/>
        <v/>
      </c>
      <c r="L773" s="66" t="str">
        <f t="shared" si="86"/>
        <v/>
      </c>
      <c r="M773" s="66" t="str">
        <f t="shared" si="87"/>
        <v/>
      </c>
      <c r="N773" s="66" t="str">
        <f t="shared" si="88"/>
        <v/>
      </c>
      <c r="O773" s="66" t="str">
        <f t="shared" si="89"/>
        <v/>
      </c>
      <c r="P773" s="66" t="str">
        <f t="shared" si="90"/>
        <v/>
      </c>
    </row>
    <row r="774" spans="8:16">
      <c r="H774" s="66" t="e">
        <f>IF(LEFT(A774,6)="CEPNTR","GPINS",VLOOKUP(LEFT(A774,6),'Code Library'!$A$3:$B$920,2,0))&amp;"_"&amp;RIGHT(A774,3)</f>
        <v>#N/A</v>
      </c>
      <c r="I774" s="66">
        <f t="shared" si="84"/>
        <v>0</v>
      </c>
      <c r="K774" s="66" t="str">
        <f t="shared" si="85"/>
        <v/>
      </c>
      <c r="L774" s="66" t="str">
        <f t="shared" si="86"/>
        <v/>
      </c>
      <c r="M774" s="66" t="str">
        <f t="shared" si="87"/>
        <v/>
      </c>
      <c r="N774" s="66" t="str">
        <f t="shared" si="88"/>
        <v/>
      </c>
      <c r="O774" s="66" t="str">
        <f t="shared" si="89"/>
        <v/>
      </c>
      <c r="P774" s="66" t="str">
        <f t="shared" si="90"/>
        <v/>
      </c>
    </row>
    <row r="775" spans="8:16">
      <c r="H775" s="66" t="e">
        <f>IF(LEFT(A775,6)="CEPNTR","GPINS",VLOOKUP(LEFT(A775,6),'Code Library'!$A$3:$B$920,2,0))&amp;"_"&amp;RIGHT(A775,3)</f>
        <v>#N/A</v>
      </c>
      <c r="I775" s="66">
        <f t="shared" si="84"/>
        <v>0</v>
      </c>
      <c r="K775" s="66" t="str">
        <f t="shared" si="85"/>
        <v/>
      </c>
      <c r="L775" s="66" t="str">
        <f t="shared" si="86"/>
        <v/>
      </c>
      <c r="M775" s="66" t="str">
        <f t="shared" si="87"/>
        <v/>
      </c>
      <c r="N775" s="66" t="str">
        <f t="shared" si="88"/>
        <v/>
      </c>
      <c r="O775" s="66" t="str">
        <f t="shared" si="89"/>
        <v/>
      </c>
      <c r="P775" s="66" t="str">
        <f t="shared" si="90"/>
        <v/>
      </c>
    </row>
    <row r="776" spans="8:16">
      <c r="H776" s="66" t="e">
        <f>IF(LEFT(A776,6)="CEPNTR","GPINS",VLOOKUP(LEFT(A776,6),'Code Library'!$A$3:$B$920,2,0))&amp;"_"&amp;RIGHT(A776,3)</f>
        <v>#N/A</v>
      </c>
      <c r="I776" s="66">
        <f t="shared" si="84"/>
        <v>0</v>
      </c>
      <c r="K776" s="66" t="str">
        <f t="shared" si="85"/>
        <v/>
      </c>
      <c r="L776" s="66" t="str">
        <f t="shared" si="86"/>
        <v/>
      </c>
      <c r="M776" s="66" t="str">
        <f t="shared" si="87"/>
        <v/>
      </c>
      <c r="N776" s="66" t="str">
        <f t="shared" si="88"/>
        <v/>
      </c>
      <c r="O776" s="66" t="str">
        <f t="shared" si="89"/>
        <v/>
      </c>
      <c r="P776" s="66" t="str">
        <f t="shared" si="90"/>
        <v/>
      </c>
    </row>
    <row r="777" spans="8:16">
      <c r="H777" s="66" t="e">
        <f>IF(LEFT(A777,6)="CEPNTR","GPINS",VLOOKUP(LEFT(A777,6),'Code Library'!$A$3:$B$920,2,0))&amp;"_"&amp;RIGHT(A777,3)</f>
        <v>#N/A</v>
      </c>
      <c r="I777" s="66">
        <f t="shared" si="84"/>
        <v>0</v>
      </c>
      <c r="K777" s="66" t="str">
        <f t="shared" si="85"/>
        <v/>
      </c>
      <c r="L777" s="66" t="str">
        <f t="shared" si="86"/>
        <v/>
      </c>
      <c r="M777" s="66" t="str">
        <f t="shared" si="87"/>
        <v/>
      </c>
      <c r="N777" s="66" t="str">
        <f t="shared" si="88"/>
        <v/>
      </c>
      <c r="O777" s="66" t="str">
        <f t="shared" si="89"/>
        <v/>
      </c>
      <c r="P777" s="66" t="str">
        <f t="shared" si="90"/>
        <v/>
      </c>
    </row>
    <row r="778" spans="8:16">
      <c r="H778" s="66" t="e">
        <f>IF(LEFT(A778,6)="CEPNTR","GPINS",VLOOKUP(LEFT(A778,6),'Code Library'!$A$3:$B$920,2,0))&amp;"_"&amp;RIGHT(A778,3)</f>
        <v>#N/A</v>
      </c>
      <c r="I778" s="66">
        <f t="shared" si="84"/>
        <v>0</v>
      </c>
      <c r="K778" s="66" t="str">
        <f t="shared" si="85"/>
        <v/>
      </c>
      <c r="L778" s="66" t="str">
        <f t="shared" si="86"/>
        <v/>
      </c>
      <c r="M778" s="66" t="str">
        <f t="shared" si="87"/>
        <v/>
      </c>
      <c r="N778" s="66" t="str">
        <f t="shared" si="88"/>
        <v/>
      </c>
      <c r="O778" s="66" t="str">
        <f t="shared" si="89"/>
        <v/>
      </c>
      <c r="P778" s="66" t="str">
        <f t="shared" si="90"/>
        <v/>
      </c>
    </row>
    <row r="779" spans="8:16">
      <c r="H779" s="66" t="e">
        <f>IF(LEFT(A779,6)="CEPNTR","GPINS",VLOOKUP(LEFT(A779,6),'Code Library'!$A$3:$B$920,2,0))&amp;"_"&amp;RIGHT(A779,3)</f>
        <v>#N/A</v>
      </c>
      <c r="I779" s="66">
        <f t="shared" si="84"/>
        <v>0</v>
      </c>
      <c r="K779" s="66" t="str">
        <f t="shared" si="85"/>
        <v/>
      </c>
      <c r="L779" s="66" t="str">
        <f t="shared" si="86"/>
        <v/>
      </c>
      <c r="M779" s="66" t="str">
        <f t="shared" si="87"/>
        <v/>
      </c>
      <c r="N779" s="66" t="str">
        <f t="shared" si="88"/>
        <v/>
      </c>
      <c r="O779" s="66" t="str">
        <f t="shared" si="89"/>
        <v/>
      </c>
      <c r="P779" s="66" t="str">
        <f t="shared" si="90"/>
        <v/>
      </c>
    </row>
    <row r="780" spans="8:16">
      <c r="H780" s="66" t="e">
        <f>IF(LEFT(A780,6)="CEPNTR","GPINS",VLOOKUP(LEFT(A780,6),'Code Library'!$A$3:$B$920,2,0))&amp;"_"&amp;RIGHT(A780,3)</f>
        <v>#N/A</v>
      </c>
      <c r="I780" s="66">
        <f t="shared" si="84"/>
        <v>0</v>
      </c>
      <c r="K780" s="66" t="str">
        <f t="shared" si="85"/>
        <v/>
      </c>
      <c r="L780" s="66" t="str">
        <f t="shared" si="86"/>
        <v/>
      </c>
      <c r="M780" s="66" t="str">
        <f t="shared" si="87"/>
        <v/>
      </c>
      <c r="N780" s="66" t="str">
        <f t="shared" si="88"/>
        <v/>
      </c>
      <c r="O780" s="66" t="str">
        <f t="shared" si="89"/>
        <v/>
      </c>
      <c r="P780" s="66" t="str">
        <f t="shared" si="90"/>
        <v/>
      </c>
    </row>
    <row r="781" spans="8:16">
      <c r="H781" s="66" t="e">
        <f>IF(LEFT(A781,6)="CEPNTR","GPINS",VLOOKUP(LEFT(A781,6),'Code Library'!$A$3:$B$920,2,0))&amp;"_"&amp;RIGHT(A781,3)</f>
        <v>#N/A</v>
      </c>
      <c r="I781" s="66">
        <f t="shared" si="84"/>
        <v>0</v>
      </c>
      <c r="K781" s="66" t="str">
        <f t="shared" si="85"/>
        <v/>
      </c>
      <c r="L781" s="66" t="str">
        <f t="shared" si="86"/>
        <v/>
      </c>
      <c r="M781" s="66" t="str">
        <f t="shared" si="87"/>
        <v/>
      </c>
      <c r="N781" s="66" t="str">
        <f t="shared" si="88"/>
        <v/>
      </c>
      <c r="O781" s="66" t="str">
        <f t="shared" si="89"/>
        <v/>
      </c>
      <c r="P781" s="66" t="str">
        <f t="shared" si="90"/>
        <v/>
      </c>
    </row>
    <row r="782" spans="8:16">
      <c r="H782" s="66" t="e">
        <f>IF(LEFT(A782,6)="CEPNTR","GPINS",VLOOKUP(LEFT(A782,6),'Code Library'!$A$3:$B$920,2,0))&amp;"_"&amp;RIGHT(A782,3)</f>
        <v>#N/A</v>
      </c>
      <c r="I782" s="66">
        <f t="shared" si="84"/>
        <v>0</v>
      </c>
      <c r="K782" s="66" t="str">
        <f t="shared" si="85"/>
        <v/>
      </c>
      <c r="L782" s="66" t="str">
        <f t="shared" si="86"/>
        <v/>
      </c>
      <c r="M782" s="66" t="str">
        <f t="shared" si="87"/>
        <v/>
      </c>
      <c r="N782" s="66" t="str">
        <f t="shared" si="88"/>
        <v/>
      </c>
      <c r="O782" s="66" t="str">
        <f t="shared" si="89"/>
        <v/>
      </c>
      <c r="P782" s="66" t="str">
        <f t="shared" si="90"/>
        <v/>
      </c>
    </row>
    <row r="783" spans="8:16">
      <c r="H783" s="66" t="e">
        <f>IF(LEFT(A783,6)="CEPNTR","GPINS",VLOOKUP(LEFT(A783,6),'Code Library'!$A$3:$B$920,2,0))&amp;"_"&amp;RIGHT(A783,3)</f>
        <v>#N/A</v>
      </c>
      <c r="I783" s="66">
        <f t="shared" si="84"/>
        <v>0</v>
      </c>
      <c r="K783" s="66" t="str">
        <f t="shared" si="85"/>
        <v/>
      </c>
      <c r="L783" s="66" t="str">
        <f t="shared" si="86"/>
        <v/>
      </c>
      <c r="M783" s="66" t="str">
        <f t="shared" si="87"/>
        <v/>
      </c>
      <c r="N783" s="66" t="str">
        <f t="shared" si="88"/>
        <v/>
      </c>
      <c r="O783" s="66" t="str">
        <f t="shared" si="89"/>
        <v/>
      </c>
      <c r="P783" s="66" t="str">
        <f t="shared" si="90"/>
        <v/>
      </c>
    </row>
    <row r="784" spans="8:16">
      <c r="H784" s="66" t="e">
        <f>IF(LEFT(A784,6)="CEPNTR","GPINS",VLOOKUP(LEFT(A784,6),'Code Library'!$A$3:$B$920,2,0))&amp;"_"&amp;RIGHT(A784,3)</f>
        <v>#N/A</v>
      </c>
      <c r="I784" s="66">
        <f t="shared" si="84"/>
        <v>0</v>
      </c>
      <c r="K784" s="66" t="str">
        <f t="shared" si="85"/>
        <v/>
      </c>
      <c r="L784" s="66" t="str">
        <f t="shared" si="86"/>
        <v/>
      </c>
      <c r="M784" s="66" t="str">
        <f t="shared" si="87"/>
        <v/>
      </c>
      <c r="N784" s="66" t="str">
        <f t="shared" si="88"/>
        <v/>
      </c>
      <c r="O784" s="66" t="str">
        <f t="shared" si="89"/>
        <v/>
      </c>
      <c r="P784" s="66" t="str">
        <f t="shared" si="90"/>
        <v/>
      </c>
    </row>
    <row r="785" spans="8:16">
      <c r="H785" s="66" t="e">
        <f>IF(LEFT(A785,6)="CEPNTR","GPINS",VLOOKUP(LEFT(A785,6),'Code Library'!$A$3:$B$920,2,0))&amp;"_"&amp;RIGHT(A785,3)</f>
        <v>#N/A</v>
      </c>
      <c r="I785" s="66">
        <f t="shared" si="84"/>
        <v>0</v>
      </c>
      <c r="K785" s="66" t="str">
        <f t="shared" si="85"/>
        <v/>
      </c>
      <c r="L785" s="66" t="str">
        <f t="shared" si="86"/>
        <v/>
      </c>
      <c r="M785" s="66" t="str">
        <f t="shared" si="87"/>
        <v/>
      </c>
      <c r="N785" s="66" t="str">
        <f t="shared" si="88"/>
        <v/>
      </c>
      <c r="O785" s="66" t="str">
        <f t="shared" si="89"/>
        <v/>
      </c>
      <c r="P785" s="66" t="str">
        <f t="shared" si="90"/>
        <v/>
      </c>
    </row>
    <row r="786" spans="8:16">
      <c r="H786" s="66" t="e">
        <f>IF(LEFT(A786,6)="CEPNTR","GPINS",VLOOKUP(LEFT(A786,6),'Code Library'!$A$3:$B$920,2,0))&amp;"_"&amp;RIGHT(A786,3)</f>
        <v>#N/A</v>
      </c>
      <c r="I786" s="66">
        <f t="shared" si="84"/>
        <v>0</v>
      </c>
      <c r="K786" s="66" t="str">
        <f t="shared" si="85"/>
        <v/>
      </c>
      <c r="L786" s="66" t="str">
        <f t="shared" si="86"/>
        <v/>
      </c>
      <c r="M786" s="66" t="str">
        <f t="shared" si="87"/>
        <v/>
      </c>
      <c r="N786" s="66" t="str">
        <f t="shared" si="88"/>
        <v/>
      </c>
      <c r="O786" s="66" t="str">
        <f t="shared" si="89"/>
        <v/>
      </c>
      <c r="P786" s="66" t="str">
        <f t="shared" si="90"/>
        <v/>
      </c>
    </row>
    <row r="787" spans="8:16">
      <c r="H787" s="66" t="e">
        <f>IF(LEFT(A787,6)="CEPNTR","GPINS",VLOOKUP(LEFT(A787,6),'Code Library'!$A$3:$B$920,2,0))&amp;"_"&amp;RIGHT(A787,3)</f>
        <v>#N/A</v>
      </c>
      <c r="I787" s="66">
        <f t="shared" si="84"/>
        <v>0</v>
      </c>
      <c r="K787" s="66" t="str">
        <f t="shared" si="85"/>
        <v/>
      </c>
      <c r="L787" s="66" t="str">
        <f t="shared" si="86"/>
        <v/>
      </c>
      <c r="M787" s="66" t="str">
        <f t="shared" si="87"/>
        <v/>
      </c>
      <c r="N787" s="66" t="str">
        <f t="shared" si="88"/>
        <v/>
      </c>
      <c r="O787" s="66" t="str">
        <f t="shared" si="89"/>
        <v/>
      </c>
      <c r="P787" s="66" t="str">
        <f t="shared" si="90"/>
        <v/>
      </c>
    </row>
    <row r="788" spans="8:16">
      <c r="H788" s="66" t="e">
        <f>IF(LEFT(A788,6)="CEPNTR","GPINS",VLOOKUP(LEFT(A788,6),'Code Library'!$A$3:$B$920,2,0))&amp;"_"&amp;RIGHT(A788,3)</f>
        <v>#N/A</v>
      </c>
      <c r="I788" s="66">
        <f t="shared" si="84"/>
        <v>0</v>
      </c>
      <c r="K788" s="66" t="str">
        <f t="shared" si="85"/>
        <v/>
      </c>
      <c r="L788" s="66" t="str">
        <f t="shared" si="86"/>
        <v/>
      </c>
      <c r="M788" s="66" t="str">
        <f t="shared" si="87"/>
        <v/>
      </c>
      <c r="N788" s="66" t="str">
        <f t="shared" si="88"/>
        <v/>
      </c>
      <c r="O788" s="66" t="str">
        <f t="shared" si="89"/>
        <v/>
      </c>
      <c r="P788" s="66" t="str">
        <f t="shared" si="90"/>
        <v/>
      </c>
    </row>
    <row r="789" spans="8:16">
      <c r="H789" s="66" t="e">
        <f>IF(LEFT(A789,6)="CEPNTR","GPINS",VLOOKUP(LEFT(A789,6),'Code Library'!$A$3:$B$920,2,0))&amp;"_"&amp;RIGHT(A789,3)</f>
        <v>#N/A</v>
      </c>
      <c r="I789" s="66">
        <f t="shared" si="84"/>
        <v>0</v>
      </c>
      <c r="K789" s="66" t="str">
        <f t="shared" si="85"/>
        <v/>
      </c>
      <c r="L789" s="66" t="str">
        <f t="shared" si="86"/>
        <v/>
      </c>
      <c r="M789" s="66" t="str">
        <f t="shared" si="87"/>
        <v/>
      </c>
      <c r="N789" s="66" t="str">
        <f t="shared" si="88"/>
        <v/>
      </c>
      <c r="O789" s="66" t="str">
        <f t="shared" si="89"/>
        <v/>
      </c>
      <c r="P789" s="66" t="str">
        <f t="shared" si="90"/>
        <v/>
      </c>
    </row>
    <row r="790" spans="8:16">
      <c r="H790" s="66" t="e">
        <f>IF(LEFT(A790,6)="CEPNTR","GPINS",VLOOKUP(LEFT(A790,6),'Code Library'!$A$3:$B$920,2,0))&amp;"_"&amp;RIGHT(A790,3)</f>
        <v>#N/A</v>
      </c>
      <c r="I790" s="66">
        <f t="shared" si="84"/>
        <v>0</v>
      </c>
      <c r="K790" s="66" t="str">
        <f t="shared" si="85"/>
        <v/>
      </c>
      <c r="L790" s="66" t="str">
        <f t="shared" si="86"/>
        <v/>
      </c>
      <c r="M790" s="66" t="str">
        <f t="shared" si="87"/>
        <v/>
      </c>
      <c r="N790" s="66" t="str">
        <f t="shared" si="88"/>
        <v/>
      </c>
      <c r="O790" s="66" t="str">
        <f t="shared" si="89"/>
        <v/>
      </c>
      <c r="P790" s="66" t="str">
        <f t="shared" si="90"/>
        <v/>
      </c>
    </row>
    <row r="791" spans="8:16">
      <c r="H791" s="66" t="e">
        <f>IF(LEFT(A791,6)="CEPNTR","GPINS",VLOOKUP(LEFT(A791,6),'Code Library'!$A$3:$B$920,2,0))&amp;"_"&amp;RIGHT(A791,3)</f>
        <v>#N/A</v>
      </c>
      <c r="I791" s="66">
        <f t="shared" si="84"/>
        <v>0</v>
      </c>
      <c r="K791" s="66" t="str">
        <f t="shared" si="85"/>
        <v/>
      </c>
      <c r="L791" s="66" t="str">
        <f t="shared" si="86"/>
        <v/>
      </c>
      <c r="M791" s="66" t="str">
        <f t="shared" si="87"/>
        <v/>
      </c>
      <c r="N791" s="66" t="str">
        <f t="shared" si="88"/>
        <v/>
      </c>
      <c r="O791" s="66" t="str">
        <f t="shared" si="89"/>
        <v/>
      </c>
      <c r="P791" s="66" t="str">
        <f t="shared" si="90"/>
        <v/>
      </c>
    </row>
    <row r="792" spans="8:16">
      <c r="H792" s="66" t="e">
        <f>IF(LEFT(A792,6)="CEPNTR","GPINS",VLOOKUP(LEFT(A792,6),'Code Library'!$A$3:$B$920,2,0))&amp;"_"&amp;RIGHT(A792,3)</f>
        <v>#N/A</v>
      </c>
      <c r="I792" s="66">
        <f t="shared" si="84"/>
        <v>0</v>
      </c>
      <c r="K792" s="66" t="str">
        <f t="shared" si="85"/>
        <v/>
      </c>
      <c r="L792" s="66" t="str">
        <f t="shared" si="86"/>
        <v/>
      </c>
      <c r="M792" s="66" t="str">
        <f t="shared" si="87"/>
        <v/>
      </c>
      <c r="N792" s="66" t="str">
        <f t="shared" si="88"/>
        <v/>
      </c>
      <c r="O792" s="66" t="str">
        <f t="shared" si="89"/>
        <v/>
      </c>
      <c r="P792" s="66" t="str">
        <f t="shared" si="90"/>
        <v/>
      </c>
    </row>
    <row r="793" spans="8:16">
      <c r="H793" s="66" t="e">
        <f>IF(LEFT(A793,6)="CEPNTR","GPINS",VLOOKUP(LEFT(A793,6),'Code Library'!$A$3:$B$920,2,0))&amp;"_"&amp;RIGHT(A793,3)</f>
        <v>#N/A</v>
      </c>
      <c r="I793" s="66">
        <f t="shared" si="84"/>
        <v>0</v>
      </c>
      <c r="K793" s="66" t="str">
        <f t="shared" si="85"/>
        <v/>
      </c>
      <c r="L793" s="66" t="str">
        <f t="shared" si="86"/>
        <v/>
      </c>
      <c r="M793" s="66" t="str">
        <f t="shared" si="87"/>
        <v/>
      </c>
      <c r="N793" s="66" t="str">
        <f t="shared" si="88"/>
        <v/>
      </c>
      <c r="O793" s="66" t="str">
        <f t="shared" si="89"/>
        <v/>
      </c>
      <c r="P793" s="66" t="str">
        <f t="shared" si="90"/>
        <v/>
      </c>
    </row>
    <row r="794" spans="8:16">
      <c r="H794" s="66" t="e">
        <f>IF(LEFT(A794,6)="CEPNTR","GPINS",VLOOKUP(LEFT(A794,6),'Code Library'!$A$3:$B$920,2,0))&amp;"_"&amp;RIGHT(A794,3)</f>
        <v>#N/A</v>
      </c>
      <c r="I794" s="66">
        <f t="shared" si="84"/>
        <v>0</v>
      </c>
      <c r="K794" s="66" t="str">
        <f t="shared" si="85"/>
        <v/>
      </c>
      <c r="L794" s="66" t="str">
        <f t="shared" si="86"/>
        <v/>
      </c>
      <c r="M794" s="66" t="str">
        <f t="shared" si="87"/>
        <v/>
      </c>
      <c r="N794" s="66" t="str">
        <f t="shared" si="88"/>
        <v/>
      </c>
      <c r="O794" s="66" t="str">
        <f t="shared" si="89"/>
        <v/>
      </c>
      <c r="P794" s="66" t="str">
        <f t="shared" si="90"/>
        <v/>
      </c>
    </row>
    <row r="795" spans="8:16">
      <c r="H795" s="66" t="e">
        <f>IF(LEFT(A795,6)="CEPNTR","GPINS",VLOOKUP(LEFT(A795,6),'Code Library'!$A$3:$B$920,2,0))&amp;"_"&amp;RIGHT(A795,3)</f>
        <v>#N/A</v>
      </c>
      <c r="I795" s="66">
        <f t="shared" si="84"/>
        <v>0</v>
      </c>
      <c r="K795" s="66" t="str">
        <f t="shared" si="85"/>
        <v/>
      </c>
      <c r="L795" s="66" t="str">
        <f t="shared" si="86"/>
        <v/>
      </c>
      <c r="M795" s="66" t="str">
        <f t="shared" si="87"/>
        <v/>
      </c>
      <c r="N795" s="66" t="str">
        <f t="shared" si="88"/>
        <v/>
      </c>
      <c r="O795" s="66" t="str">
        <f t="shared" si="89"/>
        <v/>
      </c>
      <c r="P795" s="66" t="str">
        <f t="shared" si="90"/>
        <v/>
      </c>
    </row>
    <row r="796" spans="8:16">
      <c r="H796" s="66" t="e">
        <f>IF(LEFT(A796,6)="CEPNTR","GPINS",VLOOKUP(LEFT(A796,6),'Code Library'!$A$3:$B$920,2,0))&amp;"_"&amp;RIGHT(A796,3)</f>
        <v>#N/A</v>
      </c>
      <c r="I796" s="66">
        <f t="shared" si="84"/>
        <v>0</v>
      </c>
      <c r="K796" s="66" t="str">
        <f t="shared" si="85"/>
        <v/>
      </c>
      <c r="L796" s="66" t="str">
        <f t="shared" si="86"/>
        <v/>
      </c>
      <c r="M796" s="66" t="str">
        <f t="shared" si="87"/>
        <v/>
      </c>
      <c r="N796" s="66" t="str">
        <f t="shared" si="88"/>
        <v/>
      </c>
      <c r="O796" s="66" t="str">
        <f t="shared" si="89"/>
        <v/>
      </c>
      <c r="P796" s="66" t="str">
        <f t="shared" si="90"/>
        <v/>
      </c>
    </row>
    <row r="797" spans="8:16">
      <c r="H797" s="66" t="e">
        <f>IF(LEFT(A797,6)="CEPNTR","GPINS",VLOOKUP(LEFT(A797,6),'Code Library'!$A$3:$B$920,2,0))&amp;"_"&amp;RIGHT(A797,3)</f>
        <v>#N/A</v>
      </c>
      <c r="I797" s="66">
        <f t="shared" si="84"/>
        <v>0</v>
      </c>
      <c r="K797" s="66" t="str">
        <f t="shared" si="85"/>
        <v/>
      </c>
      <c r="L797" s="66" t="str">
        <f t="shared" si="86"/>
        <v/>
      </c>
      <c r="M797" s="66" t="str">
        <f t="shared" si="87"/>
        <v/>
      </c>
      <c r="N797" s="66" t="str">
        <f t="shared" si="88"/>
        <v/>
      </c>
      <c r="O797" s="66" t="str">
        <f t="shared" si="89"/>
        <v/>
      </c>
      <c r="P797" s="66" t="str">
        <f t="shared" si="90"/>
        <v/>
      </c>
    </row>
    <row r="798" spans="8:16">
      <c r="H798" s="66" t="e">
        <f>IF(LEFT(A798,6)="CEPNTR","GPINS",VLOOKUP(LEFT(A798,6),'Code Library'!$A$3:$B$920,2,0))&amp;"_"&amp;RIGHT(A798,3)</f>
        <v>#N/A</v>
      </c>
      <c r="I798" s="66">
        <f t="shared" si="84"/>
        <v>0</v>
      </c>
      <c r="K798" s="66" t="str">
        <f t="shared" si="85"/>
        <v/>
      </c>
      <c r="L798" s="66" t="str">
        <f t="shared" si="86"/>
        <v/>
      </c>
      <c r="M798" s="66" t="str">
        <f t="shared" si="87"/>
        <v/>
      </c>
      <c r="N798" s="66" t="str">
        <f t="shared" si="88"/>
        <v/>
      </c>
      <c r="O798" s="66" t="str">
        <f t="shared" si="89"/>
        <v/>
      </c>
      <c r="P798" s="66" t="str">
        <f t="shared" si="90"/>
        <v/>
      </c>
    </row>
    <row r="799" spans="8:16">
      <c r="H799" s="66" t="e">
        <f>IF(LEFT(A799,6)="CEPNTR","GPINS",VLOOKUP(LEFT(A799,6),'Code Library'!$A$3:$B$920,2,0))&amp;"_"&amp;RIGHT(A799,3)</f>
        <v>#N/A</v>
      </c>
      <c r="I799" s="66">
        <f t="shared" si="84"/>
        <v>0</v>
      </c>
      <c r="K799" s="66" t="str">
        <f t="shared" si="85"/>
        <v/>
      </c>
      <c r="L799" s="66" t="str">
        <f t="shared" si="86"/>
        <v/>
      </c>
      <c r="M799" s="66" t="str">
        <f t="shared" si="87"/>
        <v/>
      </c>
      <c r="N799" s="66" t="str">
        <f t="shared" si="88"/>
        <v/>
      </c>
      <c r="O799" s="66" t="str">
        <f t="shared" si="89"/>
        <v/>
      </c>
      <c r="P799" s="66" t="str">
        <f t="shared" si="90"/>
        <v/>
      </c>
    </row>
    <row r="800" spans="8:16">
      <c r="H800" s="66" t="e">
        <f>IF(LEFT(A800,6)="CEPNTR","GPINS",VLOOKUP(LEFT(A800,6),'Code Library'!$A$3:$B$920,2,0))&amp;"_"&amp;RIGHT(A800,3)</f>
        <v>#N/A</v>
      </c>
      <c r="I800" s="66">
        <f t="shared" si="84"/>
        <v>0</v>
      </c>
      <c r="K800" s="66" t="str">
        <f t="shared" si="85"/>
        <v/>
      </c>
      <c r="L800" s="66" t="str">
        <f t="shared" si="86"/>
        <v/>
      </c>
      <c r="M800" s="66" t="str">
        <f t="shared" si="87"/>
        <v/>
      </c>
      <c r="N800" s="66" t="str">
        <f t="shared" si="88"/>
        <v/>
      </c>
      <c r="O800" s="66" t="str">
        <f t="shared" si="89"/>
        <v/>
      </c>
      <c r="P800" s="66" t="str">
        <f t="shared" si="90"/>
        <v/>
      </c>
    </row>
    <row r="801" spans="8:16">
      <c r="H801" s="66" t="e">
        <f>IF(LEFT(A801,6)="CEPNTR","GPINS",VLOOKUP(LEFT(A801,6),'Code Library'!$A$3:$B$920,2,0))&amp;"_"&amp;RIGHT(A801,3)</f>
        <v>#N/A</v>
      </c>
      <c r="I801" s="66">
        <f t="shared" si="84"/>
        <v>0</v>
      </c>
      <c r="K801" s="66" t="str">
        <f t="shared" si="85"/>
        <v/>
      </c>
      <c r="L801" s="66" t="str">
        <f t="shared" si="86"/>
        <v/>
      </c>
      <c r="M801" s="66" t="str">
        <f t="shared" si="87"/>
        <v/>
      </c>
      <c r="N801" s="66" t="str">
        <f t="shared" si="88"/>
        <v/>
      </c>
      <c r="O801" s="66" t="str">
        <f t="shared" si="89"/>
        <v/>
      </c>
      <c r="P801" s="66" t="str">
        <f t="shared" si="90"/>
        <v/>
      </c>
    </row>
    <row r="802" spans="8:16">
      <c r="H802" s="66" t="e">
        <f>IF(LEFT(A802,6)="CEPNTR","GPINS",VLOOKUP(LEFT(A802,6),'Code Library'!$A$3:$B$920,2,0))&amp;"_"&amp;RIGHT(A802,3)</f>
        <v>#N/A</v>
      </c>
      <c r="I802" s="66">
        <f t="shared" si="84"/>
        <v>0</v>
      </c>
      <c r="K802" s="66" t="str">
        <f t="shared" si="85"/>
        <v/>
      </c>
      <c r="L802" s="66" t="str">
        <f t="shared" si="86"/>
        <v/>
      </c>
      <c r="M802" s="66" t="str">
        <f t="shared" si="87"/>
        <v/>
      </c>
      <c r="N802" s="66" t="str">
        <f t="shared" si="88"/>
        <v/>
      </c>
      <c r="O802" s="66" t="str">
        <f t="shared" si="89"/>
        <v/>
      </c>
      <c r="P802" s="66" t="str">
        <f t="shared" si="90"/>
        <v/>
      </c>
    </row>
    <row r="803" spans="8:16">
      <c r="H803" s="66" t="e">
        <f>IF(LEFT(A803,6)="CEPNTR","GPINS",VLOOKUP(LEFT(A803,6),'Code Library'!$A$3:$B$920,2,0))&amp;"_"&amp;RIGHT(A803,3)</f>
        <v>#N/A</v>
      </c>
      <c r="I803" s="66">
        <f t="shared" si="84"/>
        <v>0</v>
      </c>
      <c r="K803" s="66" t="str">
        <f t="shared" si="85"/>
        <v/>
      </c>
      <c r="L803" s="66" t="str">
        <f t="shared" si="86"/>
        <v/>
      </c>
      <c r="M803" s="66" t="str">
        <f t="shared" si="87"/>
        <v/>
      </c>
      <c r="N803" s="66" t="str">
        <f t="shared" si="88"/>
        <v/>
      </c>
      <c r="O803" s="66" t="str">
        <f t="shared" si="89"/>
        <v/>
      </c>
      <c r="P803" s="66" t="str">
        <f t="shared" si="90"/>
        <v/>
      </c>
    </row>
    <row r="804" spans="8:16">
      <c r="H804" s="66" t="e">
        <f>IF(LEFT(A804,6)="CEPNTR","GPINS",VLOOKUP(LEFT(A804,6),'Code Library'!$A$3:$B$920,2,0))&amp;"_"&amp;RIGHT(A804,3)</f>
        <v>#N/A</v>
      </c>
      <c r="I804" s="66">
        <f t="shared" si="84"/>
        <v>0</v>
      </c>
      <c r="K804" s="66" t="str">
        <f t="shared" si="85"/>
        <v/>
      </c>
      <c r="L804" s="66" t="str">
        <f t="shared" si="86"/>
        <v/>
      </c>
      <c r="M804" s="66" t="str">
        <f t="shared" si="87"/>
        <v/>
      </c>
      <c r="N804" s="66" t="str">
        <f t="shared" si="88"/>
        <v/>
      </c>
      <c r="O804" s="66" t="str">
        <f t="shared" si="89"/>
        <v/>
      </c>
      <c r="P804" s="66" t="str">
        <f t="shared" si="90"/>
        <v/>
      </c>
    </row>
    <row r="805" spans="8:16">
      <c r="H805" s="66" t="e">
        <f>IF(LEFT(A805,6)="CEPNTR","GPINS",VLOOKUP(LEFT(A805,6),'Code Library'!$A$3:$B$920,2,0))&amp;"_"&amp;RIGHT(A805,3)</f>
        <v>#N/A</v>
      </c>
      <c r="I805" s="66">
        <f t="shared" si="84"/>
        <v>0</v>
      </c>
      <c r="K805" s="66" t="str">
        <f t="shared" si="85"/>
        <v/>
      </c>
      <c r="L805" s="66" t="str">
        <f t="shared" si="86"/>
        <v/>
      </c>
      <c r="M805" s="66" t="str">
        <f t="shared" si="87"/>
        <v/>
      </c>
      <c r="N805" s="66" t="str">
        <f t="shared" si="88"/>
        <v/>
      </c>
      <c r="O805" s="66" t="str">
        <f t="shared" si="89"/>
        <v/>
      </c>
      <c r="P805" s="66" t="str">
        <f t="shared" si="90"/>
        <v/>
      </c>
    </row>
    <row r="806" spans="8:16">
      <c r="H806" s="66" t="e">
        <f>IF(LEFT(A806,6)="CEPNTR","GPINS",VLOOKUP(LEFT(A806,6),'Code Library'!$A$3:$B$920,2,0))&amp;"_"&amp;RIGHT(A806,3)</f>
        <v>#N/A</v>
      </c>
      <c r="I806" s="66">
        <f t="shared" si="84"/>
        <v>0</v>
      </c>
      <c r="K806" s="66" t="str">
        <f t="shared" si="85"/>
        <v/>
      </c>
      <c r="L806" s="66" t="str">
        <f t="shared" si="86"/>
        <v/>
      </c>
      <c r="M806" s="66" t="str">
        <f t="shared" si="87"/>
        <v/>
      </c>
      <c r="N806" s="66" t="str">
        <f t="shared" si="88"/>
        <v/>
      </c>
      <c r="O806" s="66" t="str">
        <f t="shared" si="89"/>
        <v/>
      </c>
      <c r="P806" s="66" t="str">
        <f t="shared" si="90"/>
        <v/>
      </c>
    </row>
    <row r="807" spans="8:16">
      <c r="H807" s="66" t="e">
        <f>IF(LEFT(A807,6)="CEPNTR","GPINS",VLOOKUP(LEFT(A807,6),'Code Library'!$A$3:$B$920,2,0))&amp;"_"&amp;RIGHT(A807,3)</f>
        <v>#N/A</v>
      </c>
      <c r="I807" s="66">
        <f t="shared" si="84"/>
        <v>0</v>
      </c>
      <c r="K807" s="66" t="str">
        <f t="shared" si="85"/>
        <v/>
      </c>
      <c r="L807" s="66" t="str">
        <f t="shared" si="86"/>
        <v/>
      </c>
      <c r="M807" s="66" t="str">
        <f t="shared" si="87"/>
        <v/>
      </c>
      <c r="N807" s="66" t="str">
        <f t="shared" si="88"/>
        <v/>
      </c>
      <c r="O807" s="66" t="str">
        <f t="shared" si="89"/>
        <v/>
      </c>
      <c r="P807" s="66" t="str">
        <f t="shared" si="90"/>
        <v/>
      </c>
    </row>
    <row r="808" spans="8:16">
      <c r="H808" s="66" t="e">
        <f>IF(LEFT(A808,6)="CEPNTR","GPINS",VLOOKUP(LEFT(A808,6),'Code Library'!$A$3:$B$920,2,0))&amp;"_"&amp;RIGHT(A808,3)</f>
        <v>#N/A</v>
      </c>
      <c r="I808" s="66">
        <f t="shared" si="84"/>
        <v>0</v>
      </c>
      <c r="K808" s="66" t="str">
        <f t="shared" si="85"/>
        <v/>
      </c>
      <c r="L808" s="66" t="str">
        <f t="shared" si="86"/>
        <v/>
      </c>
      <c r="M808" s="66" t="str">
        <f t="shared" si="87"/>
        <v/>
      </c>
      <c r="N808" s="66" t="str">
        <f t="shared" si="88"/>
        <v/>
      </c>
      <c r="O808" s="66" t="str">
        <f t="shared" si="89"/>
        <v/>
      </c>
      <c r="P808" s="66" t="str">
        <f t="shared" si="90"/>
        <v/>
      </c>
    </row>
    <row r="809" spans="8:16">
      <c r="H809" s="66" t="e">
        <f>IF(LEFT(A809,6)="CEPNTR","GPINS",VLOOKUP(LEFT(A809,6),'Code Library'!$A$3:$B$920,2,0))&amp;"_"&amp;RIGHT(A809,3)</f>
        <v>#N/A</v>
      </c>
      <c r="I809" s="66">
        <f t="shared" si="84"/>
        <v>0</v>
      </c>
      <c r="K809" s="66" t="str">
        <f t="shared" si="85"/>
        <v/>
      </c>
      <c r="L809" s="66" t="str">
        <f t="shared" si="86"/>
        <v/>
      </c>
      <c r="M809" s="66" t="str">
        <f t="shared" si="87"/>
        <v/>
      </c>
      <c r="N809" s="66" t="str">
        <f t="shared" si="88"/>
        <v/>
      </c>
      <c r="O809" s="66" t="str">
        <f t="shared" si="89"/>
        <v/>
      </c>
      <c r="P809" s="66" t="str">
        <f t="shared" si="90"/>
        <v/>
      </c>
    </row>
    <row r="810" spans="8:16">
      <c r="H810" s="66" t="e">
        <f>IF(LEFT(A810,6)="CEPNTR","GPINS",VLOOKUP(LEFT(A810,6),'Code Library'!$A$3:$B$920,2,0))&amp;"_"&amp;RIGHT(A810,3)</f>
        <v>#N/A</v>
      </c>
      <c r="I810" s="66">
        <f t="shared" si="84"/>
        <v>0</v>
      </c>
      <c r="K810" s="66" t="str">
        <f t="shared" si="85"/>
        <v/>
      </c>
      <c r="L810" s="66" t="str">
        <f t="shared" si="86"/>
        <v/>
      </c>
      <c r="M810" s="66" t="str">
        <f t="shared" si="87"/>
        <v/>
      </c>
      <c r="N810" s="66" t="str">
        <f t="shared" si="88"/>
        <v/>
      </c>
      <c r="O810" s="66" t="str">
        <f t="shared" si="89"/>
        <v/>
      </c>
      <c r="P810" s="66" t="str">
        <f t="shared" si="90"/>
        <v/>
      </c>
    </row>
    <row r="811" spans="8:16">
      <c r="H811" s="66" t="e">
        <f>IF(LEFT(A811,6)="CEPNTR","GPINS",VLOOKUP(LEFT(A811,6),'Code Library'!$A$3:$B$920,2,0))&amp;"_"&amp;RIGHT(A811,3)</f>
        <v>#N/A</v>
      </c>
      <c r="I811" s="66">
        <f t="shared" si="84"/>
        <v>0</v>
      </c>
      <c r="K811" s="66" t="str">
        <f t="shared" si="85"/>
        <v/>
      </c>
      <c r="L811" s="66" t="str">
        <f t="shared" si="86"/>
        <v/>
      </c>
      <c r="M811" s="66" t="str">
        <f t="shared" si="87"/>
        <v/>
      </c>
      <c r="N811" s="66" t="str">
        <f t="shared" si="88"/>
        <v/>
      </c>
      <c r="O811" s="66" t="str">
        <f t="shared" si="89"/>
        <v/>
      </c>
      <c r="P811" s="66" t="str">
        <f t="shared" si="90"/>
        <v/>
      </c>
    </row>
    <row r="812" spans="8:16">
      <c r="H812" s="66" t="e">
        <f>IF(LEFT(A812,6)="CEPNTR","GPINS",VLOOKUP(LEFT(A812,6),'Code Library'!$A$3:$B$920,2,0))&amp;"_"&amp;RIGHT(A812,3)</f>
        <v>#N/A</v>
      </c>
      <c r="I812" s="66">
        <f t="shared" si="84"/>
        <v>0</v>
      </c>
      <c r="K812" s="66" t="str">
        <f t="shared" si="85"/>
        <v/>
      </c>
      <c r="L812" s="66" t="str">
        <f t="shared" si="86"/>
        <v/>
      </c>
      <c r="M812" s="66" t="str">
        <f t="shared" si="87"/>
        <v/>
      </c>
      <c r="N812" s="66" t="str">
        <f t="shared" si="88"/>
        <v/>
      </c>
      <c r="O812" s="66" t="str">
        <f t="shared" si="89"/>
        <v/>
      </c>
      <c r="P812" s="66" t="str">
        <f t="shared" si="90"/>
        <v/>
      </c>
    </row>
    <row r="813" spans="8:16">
      <c r="H813" s="66" t="e">
        <f>IF(LEFT(A813,6)="CEPNTR","GPINS",VLOOKUP(LEFT(A813,6),'Code Library'!$A$3:$B$920,2,0))&amp;"_"&amp;RIGHT(A813,3)</f>
        <v>#N/A</v>
      </c>
      <c r="I813" s="66">
        <f t="shared" si="84"/>
        <v>0</v>
      </c>
      <c r="K813" s="66" t="str">
        <f t="shared" si="85"/>
        <v/>
      </c>
      <c r="L813" s="66" t="str">
        <f t="shared" si="86"/>
        <v/>
      </c>
      <c r="M813" s="66" t="str">
        <f t="shared" si="87"/>
        <v/>
      </c>
      <c r="N813" s="66" t="str">
        <f t="shared" si="88"/>
        <v/>
      </c>
      <c r="O813" s="66" t="str">
        <f t="shared" si="89"/>
        <v/>
      </c>
      <c r="P813" s="66" t="str">
        <f t="shared" si="90"/>
        <v/>
      </c>
    </row>
    <row r="814" spans="8:16">
      <c r="H814" s="66" t="e">
        <f>IF(LEFT(A814,6)="CEPNTR","GPINS",VLOOKUP(LEFT(A814,6),'Code Library'!$A$3:$B$920,2,0))&amp;"_"&amp;RIGHT(A814,3)</f>
        <v>#N/A</v>
      </c>
      <c r="I814" s="66">
        <f t="shared" si="84"/>
        <v>0</v>
      </c>
      <c r="K814" s="66" t="str">
        <f t="shared" si="85"/>
        <v/>
      </c>
      <c r="L814" s="66" t="str">
        <f t="shared" si="86"/>
        <v/>
      </c>
      <c r="M814" s="66" t="str">
        <f t="shared" si="87"/>
        <v/>
      </c>
      <c r="N814" s="66" t="str">
        <f t="shared" si="88"/>
        <v/>
      </c>
      <c r="O814" s="66" t="str">
        <f t="shared" si="89"/>
        <v/>
      </c>
      <c r="P814" s="66" t="str">
        <f t="shared" si="90"/>
        <v/>
      </c>
    </row>
    <row r="815" spans="8:16">
      <c r="H815" s="66" t="e">
        <f>IF(LEFT(A815,6)="CEPNTR","GPINS",VLOOKUP(LEFT(A815,6),'Code Library'!$A$3:$B$920,2,0))&amp;"_"&amp;RIGHT(A815,3)</f>
        <v>#N/A</v>
      </c>
      <c r="I815" s="66">
        <f t="shared" si="84"/>
        <v>0</v>
      </c>
      <c r="K815" s="66" t="str">
        <f t="shared" si="85"/>
        <v/>
      </c>
      <c r="L815" s="66" t="str">
        <f t="shared" si="86"/>
        <v/>
      </c>
      <c r="M815" s="66" t="str">
        <f t="shared" si="87"/>
        <v/>
      </c>
      <c r="N815" s="66" t="str">
        <f t="shared" si="88"/>
        <v/>
      </c>
      <c r="O815" s="66" t="str">
        <f t="shared" si="89"/>
        <v/>
      </c>
      <c r="P815" s="66" t="str">
        <f t="shared" si="90"/>
        <v/>
      </c>
    </row>
    <row r="816" spans="8:16">
      <c r="H816" s="66" t="e">
        <f>IF(LEFT(A816,6)="CEPNTR","GPINS",VLOOKUP(LEFT(A816,6),'Code Library'!$A$3:$B$920,2,0))&amp;"_"&amp;RIGHT(A816,3)</f>
        <v>#N/A</v>
      </c>
      <c r="I816" s="66">
        <f t="shared" si="84"/>
        <v>0</v>
      </c>
      <c r="K816" s="66" t="str">
        <f t="shared" si="85"/>
        <v/>
      </c>
      <c r="L816" s="66" t="str">
        <f t="shared" si="86"/>
        <v/>
      </c>
      <c r="M816" s="66" t="str">
        <f t="shared" si="87"/>
        <v/>
      </c>
      <c r="N816" s="66" t="str">
        <f t="shared" si="88"/>
        <v/>
      </c>
      <c r="O816" s="66" t="str">
        <f t="shared" si="89"/>
        <v/>
      </c>
      <c r="P816" s="66" t="str">
        <f t="shared" si="90"/>
        <v/>
      </c>
    </row>
    <row r="817" spans="8:16">
      <c r="H817" s="66" t="e">
        <f>IF(LEFT(A817,6)="CEPNTR","GPINS",VLOOKUP(LEFT(A817,6),'Code Library'!$A$3:$B$920,2,0))&amp;"_"&amp;RIGHT(A817,3)</f>
        <v>#N/A</v>
      </c>
      <c r="I817" s="66">
        <f t="shared" si="84"/>
        <v>0</v>
      </c>
      <c r="K817" s="66" t="str">
        <f t="shared" si="85"/>
        <v/>
      </c>
      <c r="L817" s="66" t="str">
        <f t="shared" si="86"/>
        <v/>
      </c>
      <c r="M817" s="66" t="str">
        <f t="shared" si="87"/>
        <v/>
      </c>
      <c r="N817" s="66" t="str">
        <f t="shared" si="88"/>
        <v/>
      </c>
      <c r="O817" s="66" t="str">
        <f t="shared" si="89"/>
        <v/>
      </c>
      <c r="P817" s="66" t="str">
        <f t="shared" si="90"/>
        <v/>
      </c>
    </row>
    <row r="818" spans="8:16">
      <c r="H818" s="66" t="e">
        <f>IF(LEFT(A818,6)="CEPNTR","GPINS",VLOOKUP(LEFT(A818,6),'Code Library'!$A$3:$B$920,2,0))&amp;"_"&amp;RIGHT(A818,3)</f>
        <v>#N/A</v>
      </c>
      <c r="I818" s="66">
        <f t="shared" si="84"/>
        <v>0</v>
      </c>
      <c r="K818" s="66" t="str">
        <f t="shared" si="85"/>
        <v/>
      </c>
      <c r="L818" s="66" t="str">
        <f t="shared" si="86"/>
        <v/>
      </c>
      <c r="M818" s="66" t="str">
        <f t="shared" si="87"/>
        <v/>
      </c>
      <c r="N818" s="66" t="str">
        <f t="shared" si="88"/>
        <v/>
      </c>
      <c r="O818" s="66" t="str">
        <f t="shared" si="89"/>
        <v/>
      </c>
      <c r="P818" s="66" t="str">
        <f t="shared" si="90"/>
        <v/>
      </c>
    </row>
    <row r="819" spans="8:16">
      <c r="H819" s="66" t="e">
        <f>IF(LEFT(A819,6)="CEPNTR","GPINS",VLOOKUP(LEFT(A819,6),'Code Library'!$A$3:$B$920,2,0))&amp;"_"&amp;RIGHT(A819,3)</f>
        <v>#N/A</v>
      </c>
      <c r="I819" s="66">
        <f t="shared" si="84"/>
        <v>0</v>
      </c>
      <c r="K819" s="66" t="str">
        <f t="shared" si="85"/>
        <v/>
      </c>
      <c r="L819" s="66" t="str">
        <f t="shared" si="86"/>
        <v/>
      </c>
      <c r="M819" s="66" t="str">
        <f t="shared" si="87"/>
        <v/>
      </c>
      <c r="N819" s="66" t="str">
        <f t="shared" si="88"/>
        <v/>
      </c>
      <c r="O819" s="66" t="str">
        <f t="shared" si="89"/>
        <v/>
      </c>
      <c r="P819" s="66" t="str">
        <f t="shared" si="90"/>
        <v/>
      </c>
    </row>
    <row r="820" spans="8:16">
      <c r="H820" s="66" t="e">
        <f>IF(LEFT(A820,6)="CEPNTR","GPINS",VLOOKUP(LEFT(A820,6),'Code Library'!$A$3:$B$920,2,0))&amp;"_"&amp;RIGHT(A820,3)</f>
        <v>#N/A</v>
      </c>
      <c r="I820" s="66">
        <f t="shared" si="84"/>
        <v>0</v>
      </c>
      <c r="K820" s="66" t="str">
        <f t="shared" si="85"/>
        <v/>
      </c>
      <c r="L820" s="66" t="str">
        <f t="shared" si="86"/>
        <v/>
      </c>
      <c r="M820" s="66" t="str">
        <f t="shared" si="87"/>
        <v/>
      </c>
      <c r="N820" s="66" t="str">
        <f t="shared" si="88"/>
        <v/>
      </c>
      <c r="O820" s="66" t="str">
        <f t="shared" si="89"/>
        <v/>
      </c>
      <c r="P820" s="66" t="str">
        <f t="shared" si="90"/>
        <v/>
      </c>
    </row>
    <row r="821" spans="8:16">
      <c r="H821" s="66" t="e">
        <f>IF(LEFT(A821,6)="CEPNTR","GPINS",VLOOKUP(LEFT(A821,6),'Code Library'!$A$3:$B$920,2,0))&amp;"_"&amp;RIGHT(A821,3)</f>
        <v>#N/A</v>
      </c>
      <c r="I821" s="66">
        <f t="shared" si="84"/>
        <v>0</v>
      </c>
      <c r="K821" s="66" t="str">
        <f t="shared" si="85"/>
        <v/>
      </c>
      <c r="L821" s="66" t="str">
        <f t="shared" si="86"/>
        <v/>
      </c>
      <c r="M821" s="66" t="str">
        <f t="shared" si="87"/>
        <v/>
      </c>
      <c r="N821" s="66" t="str">
        <f t="shared" si="88"/>
        <v/>
      </c>
      <c r="O821" s="66" t="str">
        <f t="shared" si="89"/>
        <v/>
      </c>
      <c r="P821" s="66" t="str">
        <f t="shared" si="90"/>
        <v/>
      </c>
    </row>
    <row r="822" spans="8:16">
      <c r="H822" s="66" t="e">
        <f>IF(LEFT(A822,6)="CEPNTR","GPINS",VLOOKUP(LEFT(A822,6),'Code Library'!$A$3:$B$920,2,0))&amp;"_"&amp;RIGHT(A822,3)</f>
        <v>#N/A</v>
      </c>
      <c r="I822" s="66">
        <f t="shared" si="84"/>
        <v>0</v>
      </c>
      <c r="K822" s="66" t="str">
        <f t="shared" si="85"/>
        <v/>
      </c>
      <c r="L822" s="66" t="str">
        <f t="shared" si="86"/>
        <v/>
      </c>
      <c r="M822" s="66" t="str">
        <f t="shared" si="87"/>
        <v/>
      </c>
      <c r="N822" s="66" t="str">
        <f t="shared" si="88"/>
        <v/>
      </c>
      <c r="O822" s="66" t="str">
        <f t="shared" si="89"/>
        <v/>
      </c>
      <c r="P822" s="66" t="str">
        <f t="shared" si="90"/>
        <v/>
      </c>
    </row>
    <row r="823" spans="8:16">
      <c r="H823" s="66" t="e">
        <f>IF(LEFT(A823,6)="CEPNTR","GPINS",VLOOKUP(LEFT(A823,6),'Code Library'!$A$3:$B$920,2,0))&amp;"_"&amp;RIGHT(A823,3)</f>
        <v>#N/A</v>
      </c>
      <c r="I823" s="66">
        <f t="shared" si="84"/>
        <v>0</v>
      </c>
      <c r="K823" s="66" t="str">
        <f t="shared" si="85"/>
        <v/>
      </c>
      <c r="L823" s="66" t="str">
        <f t="shared" si="86"/>
        <v/>
      </c>
      <c r="M823" s="66" t="str">
        <f t="shared" si="87"/>
        <v/>
      </c>
      <c r="N823" s="66" t="str">
        <f t="shared" si="88"/>
        <v/>
      </c>
      <c r="O823" s="66" t="str">
        <f t="shared" si="89"/>
        <v/>
      </c>
      <c r="P823" s="66" t="str">
        <f t="shared" si="90"/>
        <v/>
      </c>
    </row>
    <row r="824" spans="8:16">
      <c r="H824" s="66" t="e">
        <f>IF(LEFT(A824,6)="CEPNTR","GPINS",VLOOKUP(LEFT(A824,6),'Code Library'!$A$3:$B$920,2,0))&amp;"_"&amp;RIGHT(A824,3)</f>
        <v>#N/A</v>
      </c>
      <c r="I824" s="66">
        <f t="shared" si="84"/>
        <v>0</v>
      </c>
      <c r="K824" s="66" t="str">
        <f t="shared" si="85"/>
        <v/>
      </c>
      <c r="L824" s="66" t="str">
        <f t="shared" si="86"/>
        <v/>
      </c>
      <c r="M824" s="66" t="str">
        <f t="shared" si="87"/>
        <v/>
      </c>
      <c r="N824" s="66" t="str">
        <f t="shared" si="88"/>
        <v/>
      </c>
      <c r="O824" s="66" t="str">
        <f t="shared" si="89"/>
        <v/>
      </c>
      <c r="P824" s="66" t="str">
        <f t="shared" si="90"/>
        <v/>
      </c>
    </row>
    <row r="825" spans="8:16">
      <c r="H825" s="66" t="e">
        <f>IF(LEFT(A825,6)="CEPNTR","GPINS",VLOOKUP(LEFT(A825,6),'Code Library'!$A$3:$B$920,2,0))&amp;"_"&amp;RIGHT(A825,3)</f>
        <v>#N/A</v>
      </c>
      <c r="I825" s="66">
        <f t="shared" si="84"/>
        <v>0</v>
      </c>
      <c r="K825" s="66" t="str">
        <f t="shared" si="85"/>
        <v/>
      </c>
      <c r="L825" s="66" t="str">
        <f t="shared" si="86"/>
        <v/>
      </c>
      <c r="M825" s="66" t="str">
        <f t="shared" si="87"/>
        <v/>
      </c>
      <c r="N825" s="66" t="str">
        <f t="shared" si="88"/>
        <v/>
      </c>
      <c r="O825" s="66" t="str">
        <f t="shared" si="89"/>
        <v/>
      </c>
      <c r="P825" s="66" t="str">
        <f t="shared" si="90"/>
        <v/>
      </c>
    </row>
    <row r="826" spans="8:16">
      <c r="H826" s="66" t="e">
        <f>IF(LEFT(A826,6)="CEPNTR","GPINS",VLOOKUP(LEFT(A826,6),'Code Library'!$A$3:$B$920,2,0))&amp;"_"&amp;RIGHT(A826,3)</f>
        <v>#N/A</v>
      </c>
      <c r="I826" s="66">
        <f t="shared" si="84"/>
        <v>0</v>
      </c>
      <c r="K826" s="66" t="str">
        <f t="shared" si="85"/>
        <v/>
      </c>
      <c r="L826" s="66" t="str">
        <f t="shared" si="86"/>
        <v/>
      </c>
      <c r="M826" s="66" t="str">
        <f t="shared" si="87"/>
        <v/>
      </c>
      <c r="N826" s="66" t="str">
        <f t="shared" si="88"/>
        <v/>
      </c>
      <c r="O826" s="66" t="str">
        <f t="shared" si="89"/>
        <v/>
      </c>
      <c r="P826" s="66" t="str">
        <f t="shared" si="90"/>
        <v/>
      </c>
    </row>
    <row r="827" spans="8:16">
      <c r="H827" s="66" t="e">
        <f>IF(LEFT(A827,6)="CEPNTR","GPINS",VLOOKUP(LEFT(A827,6),'Code Library'!$A$3:$B$920,2,0))&amp;"_"&amp;RIGHT(A827,3)</f>
        <v>#N/A</v>
      </c>
      <c r="I827" s="66">
        <f t="shared" si="84"/>
        <v>0</v>
      </c>
      <c r="K827" s="66" t="str">
        <f t="shared" si="85"/>
        <v/>
      </c>
      <c r="L827" s="66" t="str">
        <f t="shared" si="86"/>
        <v/>
      </c>
      <c r="M827" s="66" t="str">
        <f t="shared" si="87"/>
        <v/>
      </c>
      <c r="N827" s="66" t="str">
        <f t="shared" si="88"/>
        <v/>
      </c>
      <c r="O827" s="66" t="str">
        <f t="shared" si="89"/>
        <v/>
      </c>
      <c r="P827" s="66" t="str">
        <f t="shared" si="90"/>
        <v/>
      </c>
    </row>
    <row r="828" spans="8:16">
      <c r="H828" s="66" t="e">
        <f>IF(LEFT(A828,6)="CEPNTR","GPINS",VLOOKUP(LEFT(A828,6),'Code Library'!$A$3:$B$920,2,0))&amp;"_"&amp;RIGHT(A828,3)</f>
        <v>#N/A</v>
      </c>
      <c r="I828" s="66">
        <f t="shared" si="84"/>
        <v>0</v>
      </c>
      <c r="K828" s="66" t="str">
        <f t="shared" si="85"/>
        <v/>
      </c>
      <c r="L828" s="66" t="str">
        <f t="shared" si="86"/>
        <v/>
      </c>
      <c r="M828" s="66" t="str">
        <f t="shared" si="87"/>
        <v/>
      </c>
      <c r="N828" s="66" t="str">
        <f t="shared" si="88"/>
        <v/>
      </c>
      <c r="O828" s="66" t="str">
        <f t="shared" si="89"/>
        <v/>
      </c>
      <c r="P828" s="66" t="str">
        <f t="shared" si="90"/>
        <v/>
      </c>
    </row>
    <row r="829" spans="8:16">
      <c r="H829" s="66" t="e">
        <f>IF(LEFT(A829,6)="CEPNTR","GPINS",VLOOKUP(LEFT(A829,6),'Code Library'!$A$3:$B$920,2,0))&amp;"_"&amp;RIGHT(A829,3)</f>
        <v>#N/A</v>
      </c>
      <c r="I829" s="66">
        <f t="shared" si="84"/>
        <v>0</v>
      </c>
      <c r="K829" s="66" t="str">
        <f t="shared" si="85"/>
        <v/>
      </c>
      <c r="L829" s="66" t="str">
        <f t="shared" si="86"/>
        <v/>
      </c>
      <c r="M829" s="66" t="str">
        <f t="shared" si="87"/>
        <v/>
      </c>
      <c r="N829" s="66" t="str">
        <f t="shared" si="88"/>
        <v/>
      </c>
      <c r="O829" s="66" t="str">
        <f t="shared" si="89"/>
        <v/>
      </c>
      <c r="P829" s="66" t="str">
        <f t="shared" si="90"/>
        <v/>
      </c>
    </row>
    <row r="830" spans="8:16">
      <c r="H830" s="66" t="e">
        <f>IF(LEFT(A830,6)="CEPNTR","GPINS",VLOOKUP(LEFT(A830,6),'Code Library'!$A$3:$B$920,2,0))&amp;"_"&amp;RIGHT(A830,3)</f>
        <v>#N/A</v>
      </c>
      <c r="I830" s="66">
        <f t="shared" si="84"/>
        <v>0</v>
      </c>
      <c r="K830" s="66" t="str">
        <f t="shared" si="85"/>
        <v/>
      </c>
      <c r="L830" s="66" t="str">
        <f t="shared" si="86"/>
        <v/>
      </c>
      <c r="M830" s="66" t="str">
        <f t="shared" si="87"/>
        <v/>
      </c>
      <c r="N830" s="66" t="str">
        <f t="shared" si="88"/>
        <v/>
      </c>
      <c r="O830" s="66" t="str">
        <f t="shared" si="89"/>
        <v/>
      </c>
      <c r="P830" s="66" t="str">
        <f t="shared" si="90"/>
        <v/>
      </c>
    </row>
    <row r="831" spans="8:16">
      <c r="H831" s="66" t="e">
        <f>IF(LEFT(A831,6)="CEPNTR","GPINS",VLOOKUP(LEFT(A831,6),'Code Library'!$A$3:$B$920,2,0))&amp;"_"&amp;RIGHT(A831,3)</f>
        <v>#N/A</v>
      </c>
      <c r="I831" s="66">
        <f t="shared" si="84"/>
        <v>0</v>
      </c>
      <c r="K831" s="66" t="str">
        <f t="shared" si="85"/>
        <v/>
      </c>
      <c r="L831" s="66" t="str">
        <f t="shared" si="86"/>
        <v/>
      </c>
      <c r="M831" s="66" t="str">
        <f t="shared" si="87"/>
        <v/>
      </c>
      <c r="N831" s="66" t="str">
        <f t="shared" si="88"/>
        <v/>
      </c>
      <c r="O831" s="66" t="str">
        <f t="shared" si="89"/>
        <v/>
      </c>
      <c r="P831" s="66" t="str">
        <f t="shared" si="90"/>
        <v/>
      </c>
    </row>
    <row r="832" spans="8:16">
      <c r="H832" s="66" t="e">
        <f>IF(LEFT(A832,6)="CEPNTR","GPINS",VLOOKUP(LEFT(A832,6),'Code Library'!$A$3:$B$920,2,0))&amp;"_"&amp;RIGHT(A832,3)</f>
        <v>#N/A</v>
      </c>
      <c r="I832" s="66">
        <f t="shared" si="84"/>
        <v>0</v>
      </c>
      <c r="K832" s="66" t="str">
        <f t="shared" si="85"/>
        <v/>
      </c>
      <c r="L832" s="66" t="str">
        <f t="shared" si="86"/>
        <v/>
      </c>
      <c r="M832" s="66" t="str">
        <f t="shared" si="87"/>
        <v/>
      </c>
      <c r="N832" s="66" t="str">
        <f t="shared" si="88"/>
        <v/>
      </c>
      <c r="O832" s="66" t="str">
        <f t="shared" si="89"/>
        <v/>
      </c>
      <c r="P832" s="66" t="str">
        <f t="shared" si="90"/>
        <v/>
      </c>
    </row>
    <row r="833" spans="8:16">
      <c r="H833" s="66" t="e">
        <f>IF(LEFT(A833,6)="CEPNTR","GPINS",VLOOKUP(LEFT(A833,6),'Code Library'!$A$3:$B$920,2,0))&amp;"_"&amp;RIGHT(A833,3)</f>
        <v>#N/A</v>
      </c>
      <c r="I833" s="66">
        <f t="shared" si="84"/>
        <v>0</v>
      </c>
      <c r="K833" s="66" t="str">
        <f t="shared" si="85"/>
        <v/>
      </c>
      <c r="L833" s="66" t="str">
        <f t="shared" si="86"/>
        <v/>
      </c>
      <c r="M833" s="66" t="str">
        <f t="shared" si="87"/>
        <v/>
      </c>
      <c r="N833" s="66" t="str">
        <f t="shared" si="88"/>
        <v/>
      </c>
      <c r="O833" s="66" t="str">
        <f t="shared" si="89"/>
        <v/>
      </c>
      <c r="P833" s="66" t="str">
        <f t="shared" si="90"/>
        <v/>
      </c>
    </row>
    <row r="834" spans="8:16">
      <c r="H834" s="66" t="e">
        <f>IF(LEFT(A834,6)="CEPNTR","GPINS",VLOOKUP(LEFT(A834,6),'Code Library'!$A$3:$B$920,2,0))&amp;"_"&amp;RIGHT(A834,3)</f>
        <v>#N/A</v>
      </c>
      <c r="I834" s="66">
        <f t="shared" si="84"/>
        <v>0</v>
      </c>
      <c r="K834" s="66" t="str">
        <f t="shared" si="85"/>
        <v/>
      </c>
      <c r="L834" s="66" t="str">
        <f t="shared" si="86"/>
        <v/>
      </c>
      <c r="M834" s="66" t="str">
        <f t="shared" si="87"/>
        <v/>
      </c>
      <c r="N834" s="66" t="str">
        <f t="shared" si="88"/>
        <v/>
      </c>
      <c r="O834" s="66" t="str">
        <f t="shared" si="89"/>
        <v/>
      </c>
      <c r="P834" s="66" t="str">
        <f t="shared" si="90"/>
        <v/>
      </c>
    </row>
    <row r="835" spans="8:16">
      <c r="H835" s="66" t="e">
        <f>IF(LEFT(A835,6)="CEPNTR","GPINS",VLOOKUP(LEFT(A835,6),'Code Library'!$A$3:$B$920,2,0))&amp;"_"&amp;RIGHT(A835,3)</f>
        <v>#N/A</v>
      </c>
      <c r="I835" s="66">
        <f t="shared" ref="I835:I898" si="91">A835</f>
        <v>0</v>
      </c>
      <c r="K835" s="66" t="str">
        <f t="shared" ref="K835:K898" si="92">RIGHT($B835,2)</f>
        <v/>
      </c>
      <c r="L835" s="66" t="str">
        <f t="shared" ref="L835:L898" si="93">LEFT(RIGHT($B835,7),4)</f>
        <v/>
      </c>
      <c r="M835" s="66" t="str">
        <f t="shared" ref="M835:M898" si="94">LEFT(RIGHT($B835,10),2)</f>
        <v/>
      </c>
      <c r="N835" s="66" t="str">
        <f t="shared" ref="N835:N898" si="95">LEFT(RIGHT($B835,14),3)</f>
        <v/>
      </c>
      <c r="O835" s="66" t="str">
        <f t="shared" ref="O835:O898" si="96">LEFT(RIGHT($B835,16),1)</f>
        <v/>
      </c>
      <c r="P835" s="66" t="str">
        <f t="shared" ref="P835:P898" si="97">LEFT(RIGHT($B835,19),2)</f>
        <v/>
      </c>
    </row>
    <row r="836" spans="8:16">
      <c r="H836" s="66" t="e">
        <f>IF(LEFT(A836,6)="CEPNTR","GPINS",VLOOKUP(LEFT(A836,6),'Code Library'!$A$3:$B$920,2,0))&amp;"_"&amp;RIGHT(A836,3)</f>
        <v>#N/A</v>
      </c>
      <c r="I836" s="66">
        <f t="shared" si="91"/>
        <v>0</v>
      </c>
      <c r="K836" s="66" t="str">
        <f t="shared" si="92"/>
        <v/>
      </c>
      <c r="L836" s="66" t="str">
        <f t="shared" si="93"/>
        <v/>
      </c>
      <c r="M836" s="66" t="str">
        <f t="shared" si="94"/>
        <v/>
      </c>
      <c r="N836" s="66" t="str">
        <f t="shared" si="95"/>
        <v/>
      </c>
      <c r="O836" s="66" t="str">
        <f t="shared" si="96"/>
        <v/>
      </c>
      <c r="P836" s="66" t="str">
        <f t="shared" si="97"/>
        <v/>
      </c>
    </row>
    <row r="837" spans="8:16">
      <c r="H837" s="66" t="e">
        <f>IF(LEFT(A837,6)="CEPNTR","GPINS",VLOOKUP(LEFT(A837,6),'Code Library'!$A$3:$B$920,2,0))&amp;"_"&amp;RIGHT(A837,3)</f>
        <v>#N/A</v>
      </c>
      <c r="I837" s="66">
        <f t="shared" si="91"/>
        <v>0</v>
      </c>
      <c r="K837" s="66" t="str">
        <f t="shared" si="92"/>
        <v/>
      </c>
      <c r="L837" s="66" t="str">
        <f t="shared" si="93"/>
        <v/>
      </c>
      <c r="M837" s="66" t="str">
        <f t="shared" si="94"/>
        <v/>
      </c>
      <c r="N837" s="66" t="str">
        <f t="shared" si="95"/>
        <v/>
      </c>
      <c r="O837" s="66" t="str">
        <f t="shared" si="96"/>
        <v/>
      </c>
      <c r="P837" s="66" t="str">
        <f t="shared" si="97"/>
        <v/>
      </c>
    </row>
    <row r="838" spans="8:16">
      <c r="H838" s="66" t="e">
        <f>IF(LEFT(A838,6)="CEPNTR","GPINS",VLOOKUP(LEFT(A838,6),'Code Library'!$A$3:$B$920,2,0))&amp;"_"&amp;RIGHT(A838,3)</f>
        <v>#N/A</v>
      </c>
      <c r="I838" s="66">
        <f t="shared" si="91"/>
        <v>0</v>
      </c>
      <c r="K838" s="66" t="str">
        <f t="shared" si="92"/>
        <v/>
      </c>
      <c r="L838" s="66" t="str">
        <f t="shared" si="93"/>
        <v/>
      </c>
      <c r="M838" s="66" t="str">
        <f t="shared" si="94"/>
        <v/>
      </c>
      <c r="N838" s="66" t="str">
        <f t="shared" si="95"/>
        <v/>
      </c>
      <c r="O838" s="66" t="str">
        <f t="shared" si="96"/>
        <v/>
      </c>
      <c r="P838" s="66" t="str">
        <f t="shared" si="97"/>
        <v/>
      </c>
    </row>
    <row r="839" spans="8:16">
      <c r="H839" s="66" t="e">
        <f>IF(LEFT(A839,6)="CEPNTR","GPINS",VLOOKUP(LEFT(A839,6),'Code Library'!$A$3:$B$920,2,0))&amp;"_"&amp;RIGHT(A839,3)</f>
        <v>#N/A</v>
      </c>
      <c r="I839" s="66">
        <f t="shared" si="91"/>
        <v>0</v>
      </c>
      <c r="K839" s="66" t="str">
        <f t="shared" si="92"/>
        <v/>
      </c>
      <c r="L839" s="66" t="str">
        <f t="shared" si="93"/>
        <v/>
      </c>
      <c r="M839" s="66" t="str">
        <f t="shared" si="94"/>
        <v/>
      </c>
      <c r="N839" s="66" t="str">
        <f t="shared" si="95"/>
        <v/>
      </c>
      <c r="O839" s="66" t="str">
        <f t="shared" si="96"/>
        <v/>
      </c>
      <c r="P839" s="66" t="str">
        <f t="shared" si="97"/>
        <v/>
      </c>
    </row>
    <row r="840" spans="8:16">
      <c r="H840" s="66" t="e">
        <f>IF(LEFT(A840,6)="CEPNTR","GPINS",VLOOKUP(LEFT(A840,6),'Code Library'!$A$3:$B$920,2,0))&amp;"_"&amp;RIGHT(A840,3)</f>
        <v>#N/A</v>
      </c>
      <c r="I840" s="66">
        <f t="shared" si="91"/>
        <v>0</v>
      </c>
      <c r="K840" s="66" t="str">
        <f t="shared" si="92"/>
        <v/>
      </c>
      <c r="L840" s="66" t="str">
        <f t="shared" si="93"/>
        <v/>
      </c>
      <c r="M840" s="66" t="str">
        <f t="shared" si="94"/>
        <v/>
      </c>
      <c r="N840" s="66" t="str">
        <f t="shared" si="95"/>
        <v/>
      </c>
      <c r="O840" s="66" t="str">
        <f t="shared" si="96"/>
        <v/>
      </c>
      <c r="P840" s="66" t="str">
        <f t="shared" si="97"/>
        <v/>
      </c>
    </row>
    <row r="841" spans="8:16">
      <c r="H841" s="66" t="e">
        <f>IF(LEFT(A841,6)="CEPNTR","GPINS",VLOOKUP(LEFT(A841,6),'Code Library'!$A$3:$B$920,2,0))&amp;"_"&amp;RIGHT(A841,3)</f>
        <v>#N/A</v>
      </c>
      <c r="I841" s="66">
        <f t="shared" si="91"/>
        <v>0</v>
      </c>
      <c r="K841" s="66" t="str">
        <f t="shared" si="92"/>
        <v/>
      </c>
      <c r="L841" s="66" t="str">
        <f t="shared" si="93"/>
        <v/>
      </c>
      <c r="M841" s="66" t="str">
        <f t="shared" si="94"/>
        <v/>
      </c>
      <c r="N841" s="66" t="str">
        <f t="shared" si="95"/>
        <v/>
      </c>
      <c r="O841" s="66" t="str">
        <f t="shared" si="96"/>
        <v/>
      </c>
      <c r="P841" s="66" t="str">
        <f t="shared" si="97"/>
        <v/>
      </c>
    </row>
    <row r="842" spans="8:16">
      <c r="H842" s="66" t="e">
        <f>IF(LEFT(A842,6)="CEPNTR","GPINS",VLOOKUP(LEFT(A842,6),'Code Library'!$A$3:$B$920,2,0))&amp;"_"&amp;RIGHT(A842,3)</f>
        <v>#N/A</v>
      </c>
      <c r="I842" s="66">
        <f t="shared" si="91"/>
        <v>0</v>
      </c>
      <c r="K842" s="66" t="str">
        <f t="shared" si="92"/>
        <v/>
      </c>
      <c r="L842" s="66" t="str">
        <f t="shared" si="93"/>
        <v/>
      </c>
      <c r="M842" s="66" t="str">
        <f t="shared" si="94"/>
        <v/>
      </c>
      <c r="N842" s="66" t="str">
        <f t="shared" si="95"/>
        <v/>
      </c>
      <c r="O842" s="66" t="str">
        <f t="shared" si="96"/>
        <v/>
      </c>
      <c r="P842" s="66" t="str">
        <f t="shared" si="97"/>
        <v/>
      </c>
    </row>
    <row r="843" spans="8:16">
      <c r="H843" s="66" t="e">
        <f>IF(LEFT(A843,6)="CEPNTR","GPINS",VLOOKUP(LEFT(A843,6),'Code Library'!$A$3:$B$920,2,0))&amp;"_"&amp;RIGHT(A843,3)</f>
        <v>#N/A</v>
      </c>
      <c r="I843" s="66">
        <f t="shared" si="91"/>
        <v>0</v>
      </c>
      <c r="K843" s="66" t="str">
        <f t="shared" si="92"/>
        <v/>
      </c>
      <c r="L843" s="66" t="str">
        <f t="shared" si="93"/>
        <v/>
      </c>
      <c r="M843" s="66" t="str">
        <f t="shared" si="94"/>
        <v/>
      </c>
      <c r="N843" s="66" t="str">
        <f t="shared" si="95"/>
        <v/>
      </c>
      <c r="O843" s="66" t="str">
        <f t="shared" si="96"/>
        <v/>
      </c>
      <c r="P843" s="66" t="str">
        <f t="shared" si="97"/>
        <v/>
      </c>
    </row>
    <row r="844" spans="8:16">
      <c r="H844" s="66" t="e">
        <f>IF(LEFT(A844,6)="CEPNTR","GPINS",VLOOKUP(LEFT(A844,6),'Code Library'!$A$3:$B$920,2,0))&amp;"_"&amp;RIGHT(A844,3)</f>
        <v>#N/A</v>
      </c>
      <c r="I844" s="66">
        <f t="shared" si="91"/>
        <v>0</v>
      </c>
      <c r="K844" s="66" t="str">
        <f t="shared" si="92"/>
        <v/>
      </c>
      <c r="L844" s="66" t="str">
        <f t="shared" si="93"/>
        <v/>
      </c>
      <c r="M844" s="66" t="str">
        <f t="shared" si="94"/>
        <v/>
      </c>
      <c r="N844" s="66" t="str">
        <f t="shared" si="95"/>
        <v/>
      </c>
      <c r="O844" s="66" t="str">
        <f t="shared" si="96"/>
        <v/>
      </c>
      <c r="P844" s="66" t="str">
        <f t="shared" si="97"/>
        <v/>
      </c>
    </row>
    <row r="845" spans="8:16">
      <c r="H845" s="66" t="e">
        <f>IF(LEFT(A845,6)="CEPNTR","GPINS",VLOOKUP(LEFT(A845,6),'Code Library'!$A$3:$B$920,2,0))&amp;"_"&amp;RIGHT(A845,3)</f>
        <v>#N/A</v>
      </c>
      <c r="I845" s="66">
        <f t="shared" si="91"/>
        <v>0</v>
      </c>
      <c r="K845" s="66" t="str">
        <f t="shared" si="92"/>
        <v/>
      </c>
      <c r="L845" s="66" t="str">
        <f t="shared" si="93"/>
        <v/>
      </c>
      <c r="M845" s="66" t="str">
        <f t="shared" si="94"/>
        <v/>
      </c>
      <c r="N845" s="66" t="str">
        <f t="shared" si="95"/>
        <v/>
      </c>
      <c r="O845" s="66" t="str">
        <f t="shared" si="96"/>
        <v/>
      </c>
      <c r="P845" s="66" t="str">
        <f t="shared" si="97"/>
        <v/>
      </c>
    </row>
    <row r="846" spans="8:16">
      <c r="H846" s="66" t="e">
        <f>IF(LEFT(A846,6)="CEPNTR","GPINS",VLOOKUP(LEFT(A846,6),'Code Library'!$A$3:$B$920,2,0))&amp;"_"&amp;RIGHT(A846,3)</f>
        <v>#N/A</v>
      </c>
      <c r="I846" s="66">
        <f t="shared" si="91"/>
        <v>0</v>
      </c>
      <c r="K846" s="66" t="str">
        <f t="shared" si="92"/>
        <v/>
      </c>
      <c r="L846" s="66" t="str">
        <f t="shared" si="93"/>
        <v/>
      </c>
      <c r="M846" s="66" t="str">
        <f t="shared" si="94"/>
        <v/>
      </c>
      <c r="N846" s="66" t="str">
        <f t="shared" si="95"/>
        <v/>
      </c>
      <c r="O846" s="66" t="str">
        <f t="shared" si="96"/>
        <v/>
      </c>
      <c r="P846" s="66" t="str">
        <f t="shared" si="97"/>
        <v/>
      </c>
    </row>
    <row r="847" spans="8:16">
      <c r="H847" s="66" t="e">
        <f>IF(LEFT(A847,6)="CEPNTR","GPINS",VLOOKUP(LEFT(A847,6),'Code Library'!$A$3:$B$920,2,0))&amp;"_"&amp;RIGHT(A847,3)</f>
        <v>#N/A</v>
      </c>
      <c r="I847" s="66">
        <f t="shared" si="91"/>
        <v>0</v>
      </c>
      <c r="K847" s="66" t="str">
        <f t="shared" si="92"/>
        <v/>
      </c>
      <c r="L847" s="66" t="str">
        <f t="shared" si="93"/>
        <v/>
      </c>
      <c r="M847" s="66" t="str">
        <f t="shared" si="94"/>
        <v/>
      </c>
      <c r="N847" s="66" t="str">
        <f t="shared" si="95"/>
        <v/>
      </c>
      <c r="O847" s="66" t="str">
        <f t="shared" si="96"/>
        <v/>
      </c>
      <c r="P847" s="66" t="str">
        <f t="shared" si="97"/>
        <v/>
      </c>
    </row>
    <row r="848" spans="8:16">
      <c r="H848" s="66" t="e">
        <f>IF(LEFT(A848,6)="CEPNTR","GPINS",VLOOKUP(LEFT(A848,6),'Code Library'!$A$3:$B$920,2,0))&amp;"_"&amp;RIGHT(A848,3)</f>
        <v>#N/A</v>
      </c>
      <c r="I848" s="66">
        <f t="shared" si="91"/>
        <v>0</v>
      </c>
      <c r="K848" s="66" t="str">
        <f t="shared" si="92"/>
        <v/>
      </c>
      <c r="L848" s="66" t="str">
        <f t="shared" si="93"/>
        <v/>
      </c>
      <c r="M848" s="66" t="str">
        <f t="shared" si="94"/>
        <v/>
      </c>
      <c r="N848" s="66" t="str">
        <f t="shared" si="95"/>
        <v/>
      </c>
      <c r="O848" s="66" t="str">
        <f t="shared" si="96"/>
        <v/>
      </c>
      <c r="P848" s="66" t="str">
        <f t="shared" si="97"/>
        <v/>
      </c>
    </row>
    <row r="849" spans="8:16">
      <c r="H849" s="66" t="e">
        <f>IF(LEFT(A849,6)="CEPNTR","GPINS",VLOOKUP(LEFT(A849,6),'Code Library'!$A$3:$B$920,2,0))&amp;"_"&amp;RIGHT(A849,3)</f>
        <v>#N/A</v>
      </c>
      <c r="I849" s="66">
        <f t="shared" si="91"/>
        <v>0</v>
      </c>
      <c r="K849" s="66" t="str">
        <f t="shared" si="92"/>
        <v/>
      </c>
      <c r="L849" s="66" t="str">
        <f t="shared" si="93"/>
        <v/>
      </c>
      <c r="M849" s="66" t="str">
        <f t="shared" si="94"/>
        <v/>
      </c>
      <c r="N849" s="66" t="str">
        <f t="shared" si="95"/>
        <v/>
      </c>
      <c r="O849" s="66" t="str">
        <f t="shared" si="96"/>
        <v/>
      </c>
      <c r="P849" s="66" t="str">
        <f t="shared" si="97"/>
        <v/>
      </c>
    </row>
    <row r="850" spans="8:16">
      <c r="H850" s="66" t="e">
        <f>IF(LEFT(A850,6)="CEPNTR","GPINS",VLOOKUP(LEFT(A850,6),'Code Library'!$A$3:$B$920,2,0))&amp;"_"&amp;RIGHT(A850,3)</f>
        <v>#N/A</v>
      </c>
      <c r="I850" s="66">
        <f t="shared" si="91"/>
        <v>0</v>
      </c>
      <c r="K850" s="66" t="str">
        <f t="shared" si="92"/>
        <v/>
      </c>
      <c r="L850" s="66" t="str">
        <f t="shared" si="93"/>
        <v/>
      </c>
      <c r="M850" s="66" t="str">
        <f t="shared" si="94"/>
        <v/>
      </c>
      <c r="N850" s="66" t="str">
        <f t="shared" si="95"/>
        <v/>
      </c>
      <c r="O850" s="66" t="str">
        <f t="shared" si="96"/>
        <v/>
      </c>
      <c r="P850" s="66" t="str">
        <f t="shared" si="97"/>
        <v/>
      </c>
    </row>
    <row r="851" spans="8:16">
      <c r="H851" s="66" t="e">
        <f>IF(LEFT(A851,6)="CEPNTR","GPINS",VLOOKUP(LEFT(A851,6),'Code Library'!$A$3:$B$920,2,0))&amp;"_"&amp;RIGHT(A851,3)</f>
        <v>#N/A</v>
      </c>
      <c r="I851" s="66">
        <f t="shared" si="91"/>
        <v>0</v>
      </c>
      <c r="K851" s="66" t="str">
        <f t="shared" si="92"/>
        <v/>
      </c>
      <c r="L851" s="66" t="str">
        <f t="shared" si="93"/>
        <v/>
      </c>
      <c r="M851" s="66" t="str">
        <f t="shared" si="94"/>
        <v/>
      </c>
      <c r="N851" s="66" t="str">
        <f t="shared" si="95"/>
        <v/>
      </c>
      <c r="O851" s="66" t="str">
        <f t="shared" si="96"/>
        <v/>
      </c>
      <c r="P851" s="66" t="str">
        <f t="shared" si="97"/>
        <v/>
      </c>
    </row>
    <row r="852" spans="8:16">
      <c r="H852" s="66" t="e">
        <f>IF(LEFT(A852,6)="CEPNTR","GPINS",VLOOKUP(LEFT(A852,6),'Code Library'!$A$3:$B$920,2,0))&amp;"_"&amp;RIGHT(A852,3)</f>
        <v>#N/A</v>
      </c>
      <c r="I852" s="66">
        <f t="shared" si="91"/>
        <v>0</v>
      </c>
      <c r="K852" s="66" t="str">
        <f t="shared" si="92"/>
        <v/>
      </c>
      <c r="L852" s="66" t="str">
        <f t="shared" si="93"/>
        <v/>
      </c>
      <c r="M852" s="66" t="str">
        <f t="shared" si="94"/>
        <v/>
      </c>
      <c r="N852" s="66" t="str">
        <f t="shared" si="95"/>
        <v/>
      </c>
      <c r="O852" s="66" t="str">
        <f t="shared" si="96"/>
        <v/>
      </c>
      <c r="P852" s="66" t="str">
        <f t="shared" si="97"/>
        <v/>
      </c>
    </row>
    <row r="853" spans="8:16">
      <c r="H853" s="66" t="e">
        <f>IF(LEFT(A853,6)="CEPNTR","GPINS",VLOOKUP(LEFT(A853,6),'Code Library'!$A$3:$B$920,2,0))&amp;"_"&amp;RIGHT(A853,3)</f>
        <v>#N/A</v>
      </c>
      <c r="I853" s="66">
        <f t="shared" si="91"/>
        <v>0</v>
      </c>
      <c r="K853" s="66" t="str">
        <f t="shared" si="92"/>
        <v/>
      </c>
      <c r="L853" s="66" t="str">
        <f t="shared" si="93"/>
        <v/>
      </c>
      <c r="M853" s="66" t="str">
        <f t="shared" si="94"/>
        <v/>
      </c>
      <c r="N853" s="66" t="str">
        <f t="shared" si="95"/>
        <v/>
      </c>
      <c r="O853" s="66" t="str">
        <f t="shared" si="96"/>
        <v/>
      </c>
      <c r="P853" s="66" t="str">
        <f t="shared" si="97"/>
        <v/>
      </c>
    </row>
    <row r="854" spans="8:16">
      <c r="H854" s="66" t="e">
        <f>IF(LEFT(A854,6)="CEPNTR","GPINS",VLOOKUP(LEFT(A854,6),'Code Library'!$A$3:$B$920,2,0))&amp;"_"&amp;RIGHT(A854,3)</f>
        <v>#N/A</v>
      </c>
      <c r="I854" s="66">
        <f t="shared" si="91"/>
        <v>0</v>
      </c>
      <c r="K854" s="66" t="str">
        <f t="shared" si="92"/>
        <v/>
      </c>
      <c r="L854" s="66" t="str">
        <f t="shared" si="93"/>
        <v/>
      </c>
      <c r="M854" s="66" t="str">
        <f t="shared" si="94"/>
        <v/>
      </c>
      <c r="N854" s="66" t="str">
        <f t="shared" si="95"/>
        <v/>
      </c>
      <c r="O854" s="66" t="str">
        <f t="shared" si="96"/>
        <v/>
      </c>
      <c r="P854" s="66" t="str">
        <f t="shared" si="97"/>
        <v/>
      </c>
    </row>
    <row r="855" spans="8:16">
      <c r="H855" s="66" t="e">
        <f>IF(LEFT(A855,6)="CEPNTR","GPINS",VLOOKUP(LEFT(A855,6),'Code Library'!$A$3:$B$920,2,0))&amp;"_"&amp;RIGHT(A855,3)</f>
        <v>#N/A</v>
      </c>
      <c r="I855" s="66">
        <f t="shared" si="91"/>
        <v>0</v>
      </c>
      <c r="K855" s="66" t="str">
        <f t="shared" si="92"/>
        <v/>
      </c>
      <c r="L855" s="66" t="str">
        <f t="shared" si="93"/>
        <v/>
      </c>
      <c r="M855" s="66" t="str">
        <f t="shared" si="94"/>
        <v/>
      </c>
      <c r="N855" s="66" t="str">
        <f t="shared" si="95"/>
        <v/>
      </c>
      <c r="O855" s="66" t="str">
        <f t="shared" si="96"/>
        <v/>
      </c>
      <c r="P855" s="66" t="str">
        <f t="shared" si="97"/>
        <v/>
      </c>
    </row>
    <row r="856" spans="8:16">
      <c r="H856" s="66" t="e">
        <f>IF(LEFT(A856,6)="CEPNTR","GPINS",VLOOKUP(LEFT(A856,6),'Code Library'!$A$3:$B$920,2,0))&amp;"_"&amp;RIGHT(A856,3)</f>
        <v>#N/A</v>
      </c>
      <c r="I856" s="66">
        <f t="shared" si="91"/>
        <v>0</v>
      </c>
      <c r="K856" s="66" t="str">
        <f t="shared" si="92"/>
        <v/>
      </c>
      <c r="L856" s="66" t="str">
        <f t="shared" si="93"/>
        <v/>
      </c>
      <c r="M856" s="66" t="str">
        <f t="shared" si="94"/>
        <v/>
      </c>
      <c r="N856" s="66" t="str">
        <f t="shared" si="95"/>
        <v/>
      </c>
      <c r="O856" s="66" t="str">
        <f t="shared" si="96"/>
        <v/>
      </c>
      <c r="P856" s="66" t="str">
        <f t="shared" si="97"/>
        <v/>
      </c>
    </row>
    <row r="857" spans="8:16">
      <c r="H857" s="66" t="e">
        <f>IF(LEFT(A857,6)="CEPNTR","GPINS",VLOOKUP(LEFT(A857,6),'Code Library'!$A$3:$B$920,2,0))&amp;"_"&amp;RIGHT(A857,3)</f>
        <v>#N/A</v>
      </c>
      <c r="I857" s="66">
        <f t="shared" si="91"/>
        <v>0</v>
      </c>
      <c r="K857" s="66" t="str">
        <f t="shared" si="92"/>
        <v/>
      </c>
      <c r="L857" s="66" t="str">
        <f t="shared" si="93"/>
        <v/>
      </c>
      <c r="M857" s="66" t="str">
        <f t="shared" si="94"/>
        <v/>
      </c>
      <c r="N857" s="66" t="str">
        <f t="shared" si="95"/>
        <v/>
      </c>
      <c r="O857" s="66" t="str">
        <f t="shared" si="96"/>
        <v/>
      </c>
      <c r="P857" s="66" t="str">
        <f t="shared" si="97"/>
        <v/>
      </c>
    </row>
    <row r="858" spans="8:16">
      <c r="H858" s="66" t="e">
        <f>IF(LEFT(A858,6)="CEPNTR","GPINS",VLOOKUP(LEFT(A858,6),'Code Library'!$A$3:$B$920,2,0))&amp;"_"&amp;RIGHT(A858,3)</f>
        <v>#N/A</v>
      </c>
      <c r="I858" s="66">
        <f t="shared" si="91"/>
        <v>0</v>
      </c>
      <c r="K858" s="66" t="str">
        <f t="shared" si="92"/>
        <v/>
      </c>
      <c r="L858" s="66" t="str">
        <f t="shared" si="93"/>
        <v/>
      </c>
      <c r="M858" s="66" t="str">
        <f t="shared" si="94"/>
        <v/>
      </c>
      <c r="N858" s="66" t="str">
        <f t="shared" si="95"/>
        <v/>
      </c>
      <c r="O858" s="66" t="str">
        <f t="shared" si="96"/>
        <v/>
      </c>
      <c r="P858" s="66" t="str">
        <f t="shared" si="97"/>
        <v/>
      </c>
    </row>
    <row r="859" spans="8:16">
      <c r="H859" s="66" t="e">
        <f>IF(LEFT(A859,6)="CEPNTR","GPINS",VLOOKUP(LEFT(A859,6),'Code Library'!$A$3:$B$920,2,0))&amp;"_"&amp;RIGHT(A859,3)</f>
        <v>#N/A</v>
      </c>
      <c r="I859" s="66">
        <f t="shared" si="91"/>
        <v>0</v>
      </c>
      <c r="K859" s="66" t="str">
        <f t="shared" si="92"/>
        <v/>
      </c>
      <c r="L859" s="66" t="str">
        <f t="shared" si="93"/>
        <v/>
      </c>
      <c r="M859" s="66" t="str">
        <f t="shared" si="94"/>
        <v/>
      </c>
      <c r="N859" s="66" t="str">
        <f t="shared" si="95"/>
        <v/>
      </c>
      <c r="O859" s="66" t="str">
        <f t="shared" si="96"/>
        <v/>
      </c>
      <c r="P859" s="66" t="str">
        <f t="shared" si="97"/>
        <v/>
      </c>
    </row>
    <row r="860" spans="8:16">
      <c r="H860" s="66" t="e">
        <f>IF(LEFT(A860,6)="CEPNTR","GPINS",VLOOKUP(LEFT(A860,6),'Code Library'!$A$3:$B$920,2,0))&amp;"_"&amp;RIGHT(A860,3)</f>
        <v>#N/A</v>
      </c>
      <c r="I860" s="66">
        <f t="shared" si="91"/>
        <v>0</v>
      </c>
      <c r="K860" s="66" t="str">
        <f t="shared" si="92"/>
        <v/>
      </c>
      <c r="L860" s="66" t="str">
        <f t="shared" si="93"/>
        <v/>
      </c>
      <c r="M860" s="66" t="str">
        <f t="shared" si="94"/>
        <v/>
      </c>
      <c r="N860" s="66" t="str">
        <f t="shared" si="95"/>
        <v/>
      </c>
      <c r="O860" s="66" t="str">
        <f t="shared" si="96"/>
        <v/>
      </c>
      <c r="P860" s="66" t="str">
        <f t="shared" si="97"/>
        <v/>
      </c>
    </row>
    <row r="861" spans="8:16">
      <c r="H861" s="66" t="e">
        <f>IF(LEFT(A861,6)="CEPNTR","GPINS",VLOOKUP(LEFT(A861,6),'Code Library'!$A$3:$B$920,2,0))&amp;"_"&amp;RIGHT(A861,3)</f>
        <v>#N/A</v>
      </c>
      <c r="I861" s="66">
        <f t="shared" si="91"/>
        <v>0</v>
      </c>
      <c r="K861" s="66" t="str">
        <f t="shared" si="92"/>
        <v/>
      </c>
      <c r="L861" s="66" t="str">
        <f t="shared" si="93"/>
        <v/>
      </c>
      <c r="M861" s="66" t="str">
        <f t="shared" si="94"/>
        <v/>
      </c>
      <c r="N861" s="66" t="str">
        <f t="shared" si="95"/>
        <v/>
      </c>
      <c r="O861" s="66" t="str">
        <f t="shared" si="96"/>
        <v/>
      </c>
      <c r="P861" s="66" t="str">
        <f t="shared" si="97"/>
        <v/>
      </c>
    </row>
    <row r="862" spans="8:16">
      <c r="H862" s="66" t="e">
        <f>IF(LEFT(A862,6)="CEPNTR","GPINS",VLOOKUP(LEFT(A862,6),'Code Library'!$A$3:$B$920,2,0))&amp;"_"&amp;RIGHT(A862,3)</f>
        <v>#N/A</v>
      </c>
      <c r="I862" s="66">
        <f t="shared" si="91"/>
        <v>0</v>
      </c>
      <c r="K862" s="66" t="str">
        <f t="shared" si="92"/>
        <v/>
      </c>
      <c r="L862" s="66" t="str">
        <f t="shared" si="93"/>
        <v/>
      </c>
      <c r="M862" s="66" t="str">
        <f t="shared" si="94"/>
        <v/>
      </c>
      <c r="N862" s="66" t="str">
        <f t="shared" si="95"/>
        <v/>
      </c>
      <c r="O862" s="66" t="str">
        <f t="shared" si="96"/>
        <v/>
      </c>
      <c r="P862" s="66" t="str">
        <f t="shared" si="97"/>
        <v/>
      </c>
    </row>
    <row r="863" spans="8:16">
      <c r="H863" s="66" t="e">
        <f>IF(LEFT(A863,6)="CEPNTR","GPINS",VLOOKUP(LEFT(A863,6),'Code Library'!$A$3:$B$920,2,0))&amp;"_"&amp;RIGHT(A863,3)</f>
        <v>#N/A</v>
      </c>
      <c r="I863" s="66">
        <f t="shared" si="91"/>
        <v>0</v>
      </c>
      <c r="K863" s="66" t="str">
        <f t="shared" si="92"/>
        <v/>
      </c>
      <c r="L863" s="66" t="str">
        <f t="shared" si="93"/>
        <v/>
      </c>
      <c r="M863" s="66" t="str">
        <f t="shared" si="94"/>
        <v/>
      </c>
      <c r="N863" s="66" t="str">
        <f t="shared" si="95"/>
        <v/>
      </c>
      <c r="O863" s="66" t="str">
        <f t="shared" si="96"/>
        <v/>
      </c>
      <c r="P863" s="66" t="str">
        <f t="shared" si="97"/>
        <v/>
      </c>
    </row>
    <row r="864" spans="8:16">
      <c r="H864" s="66" t="e">
        <f>IF(LEFT(A864,6)="CEPNTR","GPINS",VLOOKUP(LEFT(A864,6),'Code Library'!$A$3:$B$920,2,0))&amp;"_"&amp;RIGHT(A864,3)</f>
        <v>#N/A</v>
      </c>
      <c r="I864" s="66">
        <f t="shared" si="91"/>
        <v>0</v>
      </c>
      <c r="K864" s="66" t="str">
        <f t="shared" si="92"/>
        <v/>
      </c>
      <c r="L864" s="66" t="str">
        <f t="shared" si="93"/>
        <v/>
      </c>
      <c r="M864" s="66" t="str">
        <f t="shared" si="94"/>
        <v/>
      </c>
      <c r="N864" s="66" t="str">
        <f t="shared" si="95"/>
        <v/>
      </c>
      <c r="O864" s="66" t="str">
        <f t="shared" si="96"/>
        <v/>
      </c>
      <c r="P864" s="66" t="str">
        <f t="shared" si="97"/>
        <v/>
      </c>
    </row>
    <row r="865" spans="8:16">
      <c r="H865" s="66" t="e">
        <f>IF(LEFT(A865,6)="CEPNTR","GPINS",VLOOKUP(LEFT(A865,6),'Code Library'!$A$3:$B$920,2,0))&amp;"_"&amp;RIGHT(A865,3)</f>
        <v>#N/A</v>
      </c>
      <c r="I865" s="66">
        <f t="shared" si="91"/>
        <v>0</v>
      </c>
      <c r="K865" s="66" t="str">
        <f t="shared" si="92"/>
        <v/>
      </c>
      <c r="L865" s="66" t="str">
        <f t="shared" si="93"/>
        <v/>
      </c>
      <c r="M865" s="66" t="str">
        <f t="shared" si="94"/>
        <v/>
      </c>
      <c r="N865" s="66" t="str">
        <f t="shared" si="95"/>
        <v/>
      </c>
      <c r="O865" s="66" t="str">
        <f t="shared" si="96"/>
        <v/>
      </c>
      <c r="P865" s="66" t="str">
        <f t="shared" si="97"/>
        <v/>
      </c>
    </row>
    <row r="866" spans="8:16">
      <c r="H866" s="66" t="e">
        <f>IF(LEFT(A866,6)="CEPNTR","GPINS",VLOOKUP(LEFT(A866,6),'Code Library'!$A$3:$B$920,2,0))&amp;"_"&amp;RIGHT(A866,3)</f>
        <v>#N/A</v>
      </c>
      <c r="I866" s="66">
        <f t="shared" si="91"/>
        <v>0</v>
      </c>
      <c r="K866" s="66" t="str">
        <f t="shared" si="92"/>
        <v/>
      </c>
      <c r="L866" s="66" t="str">
        <f t="shared" si="93"/>
        <v/>
      </c>
      <c r="M866" s="66" t="str">
        <f t="shared" si="94"/>
        <v/>
      </c>
      <c r="N866" s="66" t="str">
        <f t="shared" si="95"/>
        <v/>
      </c>
      <c r="O866" s="66" t="str">
        <f t="shared" si="96"/>
        <v/>
      </c>
      <c r="P866" s="66" t="str">
        <f t="shared" si="97"/>
        <v/>
      </c>
    </row>
    <row r="867" spans="8:16">
      <c r="H867" s="66" t="e">
        <f>IF(LEFT(A867,6)="CEPNTR","GPINS",VLOOKUP(LEFT(A867,6),'Code Library'!$A$3:$B$920,2,0))&amp;"_"&amp;RIGHT(A867,3)</f>
        <v>#N/A</v>
      </c>
      <c r="I867" s="66">
        <f t="shared" si="91"/>
        <v>0</v>
      </c>
      <c r="K867" s="66" t="str">
        <f t="shared" si="92"/>
        <v/>
      </c>
      <c r="L867" s="66" t="str">
        <f t="shared" si="93"/>
        <v/>
      </c>
      <c r="M867" s="66" t="str">
        <f t="shared" si="94"/>
        <v/>
      </c>
      <c r="N867" s="66" t="str">
        <f t="shared" si="95"/>
        <v/>
      </c>
      <c r="O867" s="66" t="str">
        <f t="shared" si="96"/>
        <v/>
      </c>
      <c r="P867" s="66" t="str">
        <f t="shared" si="97"/>
        <v/>
      </c>
    </row>
    <row r="868" spans="8:16">
      <c r="H868" s="66" t="e">
        <f>IF(LEFT(A868,6)="CEPNTR","GPINS",VLOOKUP(LEFT(A868,6),'Code Library'!$A$3:$B$920,2,0))&amp;"_"&amp;RIGHT(A868,3)</f>
        <v>#N/A</v>
      </c>
      <c r="I868" s="66">
        <f t="shared" si="91"/>
        <v>0</v>
      </c>
      <c r="K868" s="66" t="str">
        <f t="shared" si="92"/>
        <v/>
      </c>
      <c r="L868" s="66" t="str">
        <f t="shared" si="93"/>
        <v/>
      </c>
      <c r="M868" s="66" t="str">
        <f t="shared" si="94"/>
        <v/>
      </c>
      <c r="N868" s="66" t="str">
        <f t="shared" si="95"/>
        <v/>
      </c>
      <c r="O868" s="66" t="str">
        <f t="shared" si="96"/>
        <v/>
      </c>
      <c r="P868" s="66" t="str">
        <f t="shared" si="97"/>
        <v/>
      </c>
    </row>
    <row r="869" spans="8:16">
      <c r="H869" s="66" t="e">
        <f>IF(LEFT(A869,6)="CEPNTR","GPINS",VLOOKUP(LEFT(A869,6),'Code Library'!$A$3:$B$920,2,0))&amp;"_"&amp;RIGHT(A869,3)</f>
        <v>#N/A</v>
      </c>
      <c r="I869" s="66">
        <f t="shared" si="91"/>
        <v>0</v>
      </c>
      <c r="K869" s="66" t="str">
        <f t="shared" si="92"/>
        <v/>
      </c>
      <c r="L869" s="66" t="str">
        <f t="shared" si="93"/>
        <v/>
      </c>
      <c r="M869" s="66" t="str">
        <f t="shared" si="94"/>
        <v/>
      </c>
      <c r="N869" s="66" t="str">
        <f t="shared" si="95"/>
        <v/>
      </c>
      <c r="O869" s="66" t="str">
        <f t="shared" si="96"/>
        <v/>
      </c>
      <c r="P869" s="66" t="str">
        <f t="shared" si="97"/>
        <v/>
      </c>
    </row>
    <row r="870" spans="8:16">
      <c r="H870" s="66" t="e">
        <f>IF(LEFT(A870,6)="CEPNTR","GPINS",VLOOKUP(LEFT(A870,6),'Code Library'!$A$3:$B$920,2,0))&amp;"_"&amp;RIGHT(A870,3)</f>
        <v>#N/A</v>
      </c>
      <c r="I870" s="66">
        <f t="shared" si="91"/>
        <v>0</v>
      </c>
      <c r="K870" s="66" t="str">
        <f t="shared" si="92"/>
        <v/>
      </c>
      <c r="L870" s="66" t="str">
        <f t="shared" si="93"/>
        <v/>
      </c>
      <c r="M870" s="66" t="str">
        <f t="shared" si="94"/>
        <v/>
      </c>
      <c r="N870" s="66" t="str">
        <f t="shared" si="95"/>
        <v/>
      </c>
      <c r="O870" s="66" t="str">
        <f t="shared" si="96"/>
        <v/>
      </c>
      <c r="P870" s="66" t="str">
        <f t="shared" si="97"/>
        <v/>
      </c>
    </row>
    <row r="871" spans="8:16">
      <c r="H871" s="66" t="e">
        <f>IF(LEFT(A871,6)="CEPNTR","GPINS",VLOOKUP(LEFT(A871,6),'Code Library'!$A$3:$B$920,2,0))&amp;"_"&amp;RIGHT(A871,3)</f>
        <v>#N/A</v>
      </c>
      <c r="I871" s="66">
        <f t="shared" si="91"/>
        <v>0</v>
      </c>
      <c r="K871" s="66" t="str">
        <f t="shared" si="92"/>
        <v/>
      </c>
      <c r="L871" s="66" t="str">
        <f t="shared" si="93"/>
        <v/>
      </c>
      <c r="M871" s="66" t="str">
        <f t="shared" si="94"/>
        <v/>
      </c>
      <c r="N871" s="66" t="str">
        <f t="shared" si="95"/>
        <v/>
      </c>
      <c r="O871" s="66" t="str">
        <f t="shared" si="96"/>
        <v/>
      </c>
      <c r="P871" s="66" t="str">
        <f t="shared" si="97"/>
        <v/>
      </c>
    </row>
    <row r="872" spans="8:16">
      <c r="H872" s="66" t="e">
        <f>IF(LEFT(A872,6)="CEPNTR","GPINS",VLOOKUP(LEFT(A872,6),'Code Library'!$A$3:$B$920,2,0))&amp;"_"&amp;RIGHT(A872,3)</f>
        <v>#N/A</v>
      </c>
      <c r="I872" s="66">
        <f t="shared" si="91"/>
        <v>0</v>
      </c>
      <c r="K872" s="66" t="str">
        <f t="shared" si="92"/>
        <v/>
      </c>
      <c r="L872" s="66" t="str">
        <f t="shared" si="93"/>
        <v/>
      </c>
      <c r="M872" s="66" t="str">
        <f t="shared" si="94"/>
        <v/>
      </c>
      <c r="N872" s="66" t="str">
        <f t="shared" si="95"/>
        <v/>
      </c>
      <c r="O872" s="66" t="str">
        <f t="shared" si="96"/>
        <v/>
      </c>
      <c r="P872" s="66" t="str">
        <f t="shared" si="97"/>
        <v/>
      </c>
    </row>
    <row r="873" spans="8:16">
      <c r="H873" s="66" t="e">
        <f>IF(LEFT(A873,6)="CEPNTR","GPINS",VLOOKUP(LEFT(A873,6),'Code Library'!$A$3:$B$920,2,0))&amp;"_"&amp;RIGHT(A873,3)</f>
        <v>#N/A</v>
      </c>
      <c r="I873" s="66">
        <f t="shared" si="91"/>
        <v>0</v>
      </c>
      <c r="K873" s="66" t="str">
        <f t="shared" si="92"/>
        <v/>
      </c>
      <c r="L873" s="66" t="str">
        <f t="shared" si="93"/>
        <v/>
      </c>
      <c r="M873" s="66" t="str">
        <f t="shared" si="94"/>
        <v/>
      </c>
      <c r="N873" s="66" t="str">
        <f t="shared" si="95"/>
        <v/>
      </c>
      <c r="O873" s="66" t="str">
        <f t="shared" si="96"/>
        <v/>
      </c>
      <c r="P873" s="66" t="str">
        <f t="shared" si="97"/>
        <v/>
      </c>
    </row>
    <row r="874" spans="8:16">
      <c r="H874" s="66" t="e">
        <f>IF(LEFT(A874,6)="CEPNTR","GPINS",VLOOKUP(LEFT(A874,6),'Code Library'!$A$3:$B$920,2,0))&amp;"_"&amp;RIGHT(A874,3)</f>
        <v>#N/A</v>
      </c>
      <c r="I874" s="66">
        <f t="shared" si="91"/>
        <v>0</v>
      </c>
      <c r="K874" s="66" t="str">
        <f t="shared" si="92"/>
        <v/>
      </c>
      <c r="L874" s="66" t="str">
        <f t="shared" si="93"/>
        <v/>
      </c>
      <c r="M874" s="66" t="str">
        <f t="shared" si="94"/>
        <v/>
      </c>
      <c r="N874" s="66" t="str">
        <f t="shared" si="95"/>
        <v/>
      </c>
      <c r="O874" s="66" t="str">
        <f t="shared" si="96"/>
        <v/>
      </c>
      <c r="P874" s="66" t="str">
        <f t="shared" si="97"/>
        <v/>
      </c>
    </row>
    <row r="875" spans="8:16">
      <c r="H875" s="66" t="e">
        <f>IF(LEFT(A875,6)="CEPNTR","GPINS",VLOOKUP(LEFT(A875,6),'Code Library'!$A$3:$B$920,2,0))&amp;"_"&amp;RIGHT(A875,3)</f>
        <v>#N/A</v>
      </c>
      <c r="I875" s="66">
        <f t="shared" si="91"/>
        <v>0</v>
      </c>
      <c r="K875" s="66" t="str">
        <f t="shared" si="92"/>
        <v/>
      </c>
      <c r="L875" s="66" t="str">
        <f t="shared" si="93"/>
        <v/>
      </c>
      <c r="M875" s="66" t="str">
        <f t="shared" si="94"/>
        <v/>
      </c>
      <c r="N875" s="66" t="str">
        <f t="shared" si="95"/>
        <v/>
      </c>
      <c r="O875" s="66" t="str">
        <f t="shared" si="96"/>
        <v/>
      </c>
      <c r="P875" s="66" t="str">
        <f t="shared" si="97"/>
        <v/>
      </c>
    </row>
    <row r="876" spans="8:16">
      <c r="H876" s="66" t="e">
        <f>IF(LEFT(A876,6)="CEPNTR","GPINS",VLOOKUP(LEFT(A876,6),'Code Library'!$A$3:$B$920,2,0))&amp;"_"&amp;RIGHT(A876,3)</f>
        <v>#N/A</v>
      </c>
      <c r="I876" s="66">
        <f t="shared" si="91"/>
        <v>0</v>
      </c>
      <c r="K876" s="66" t="str">
        <f t="shared" si="92"/>
        <v/>
      </c>
      <c r="L876" s="66" t="str">
        <f t="shared" si="93"/>
        <v/>
      </c>
      <c r="M876" s="66" t="str">
        <f t="shared" si="94"/>
        <v/>
      </c>
      <c r="N876" s="66" t="str">
        <f t="shared" si="95"/>
        <v/>
      </c>
      <c r="O876" s="66" t="str">
        <f t="shared" si="96"/>
        <v/>
      </c>
      <c r="P876" s="66" t="str">
        <f t="shared" si="97"/>
        <v/>
      </c>
    </row>
    <row r="877" spans="8:16">
      <c r="H877" s="66" t="e">
        <f>IF(LEFT(A877,6)="CEPNTR","GPINS",VLOOKUP(LEFT(A877,6),'Code Library'!$A$3:$B$920,2,0))&amp;"_"&amp;RIGHT(A877,3)</f>
        <v>#N/A</v>
      </c>
      <c r="I877" s="66">
        <f t="shared" si="91"/>
        <v>0</v>
      </c>
      <c r="K877" s="66" t="str">
        <f t="shared" si="92"/>
        <v/>
      </c>
      <c r="L877" s="66" t="str">
        <f t="shared" si="93"/>
        <v/>
      </c>
      <c r="M877" s="66" t="str">
        <f t="shared" si="94"/>
        <v/>
      </c>
      <c r="N877" s="66" t="str">
        <f t="shared" si="95"/>
        <v/>
      </c>
      <c r="O877" s="66" t="str">
        <f t="shared" si="96"/>
        <v/>
      </c>
      <c r="P877" s="66" t="str">
        <f t="shared" si="97"/>
        <v/>
      </c>
    </row>
    <row r="878" spans="8:16">
      <c r="H878" s="66" t="e">
        <f>IF(LEFT(A878,6)="CEPNTR","GPINS",VLOOKUP(LEFT(A878,6),'Code Library'!$A$3:$B$920,2,0))&amp;"_"&amp;RIGHT(A878,3)</f>
        <v>#N/A</v>
      </c>
      <c r="I878" s="66">
        <f t="shared" si="91"/>
        <v>0</v>
      </c>
      <c r="K878" s="66" t="str">
        <f t="shared" si="92"/>
        <v/>
      </c>
      <c r="L878" s="66" t="str">
        <f t="shared" si="93"/>
        <v/>
      </c>
      <c r="M878" s="66" t="str">
        <f t="shared" si="94"/>
        <v/>
      </c>
      <c r="N878" s="66" t="str">
        <f t="shared" si="95"/>
        <v/>
      </c>
      <c r="O878" s="66" t="str">
        <f t="shared" si="96"/>
        <v/>
      </c>
      <c r="P878" s="66" t="str">
        <f t="shared" si="97"/>
        <v/>
      </c>
    </row>
    <row r="879" spans="8:16">
      <c r="H879" s="66" t="e">
        <f>IF(LEFT(A879,6)="CEPNTR","GPINS",VLOOKUP(LEFT(A879,6),'Code Library'!$A$3:$B$920,2,0))&amp;"_"&amp;RIGHT(A879,3)</f>
        <v>#N/A</v>
      </c>
      <c r="I879" s="66">
        <f t="shared" si="91"/>
        <v>0</v>
      </c>
      <c r="K879" s="66" t="str">
        <f t="shared" si="92"/>
        <v/>
      </c>
      <c r="L879" s="66" t="str">
        <f t="shared" si="93"/>
        <v/>
      </c>
      <c r="M879" s="66" t="str">
        <f t="shared" si="94"/>
        <v/>
      </c>
      <c r="N879" s="66" t="str">
        <f t="shared" si="95"/>
        <v/>
      </c>
      <c r="O879" s="66" t="str">
        <f t="shared" si="96"/>
        <v/>
      </c>
      <c r="P879" s="66" t="str">
        <f t="shared" si="97"/>
        <v/>
      </c>
    </row>
    <row r="880" spans="8:16">
      <c r="H880" s="66" t="e">
        <f>IF(LEFT(A880,6)="CEPNTR","GPINS",VLOOKUP(LEFT(A880,6),'Code Library'!$A$3:$B$920,2,0))&amp;"_"&amp;RIGHT(A880,3)</f>
        <v>#N/A</v>
      </c>
      <c r="I880" s="66">
        <f t="shared" si="91"/>
        <v>0</v>
      </c>
      <c r="K880" s="66" t="str">
        <f t="shared" si="92"/>
        <v/>
      </c>
      <c r="L880" s="66" t="str">
        <f t="shared" si="93"/>
        <v/>
      </c>
      <c r="M880" s="66" t="str">
        <f t="shared" si="94"/>
        <v/>
      </c>
      <c r="N880" s="66" t="str">
        <f t="shared" si="95"/>
        <v/>
      </c>
      <c r="O880" s="66" t="str">
        <f t="shared" si="96"/>
        <v/>
      </c>
      <c r="P880" s="66" t="str">
        <f t="shared" si="97"/>
        <v/>
      </c>
    </row>
    <row r="881" spans="8:16">
      <c r="H881" s="66" t="e">
        <f>IF(LEFT(A881,6)="CEPNTR","GPINS",VLOOKUP(LEFT(A881,6),'Code Library'!$A$3:$B$920,2,0))&amp;"_"&amp;RIGHT(A881,3)</f>
        <v>#N/A</v>
      </c>
      <c r="I881" s="66">
        <f t="shared" si="91"/>
        <v>0</v>
      </c>
      <c r="K881" s="66" t="str">
        <f t="shared" si="92"/>
        <v/>
      </c>
      <c r="L881" s="66" t="str">
        <f t="shared" si="93"/>
        <v/>
      </c>
      <c r="M881" s="66" t="str">
        <f t="shared" si="94"/>
        <v/>
      </c>
      <c r="N881" s="66" t="str">
        <f t="shared" si="95"/>
        <v/>
      </c>
      <c r="O881" s="66" t="str">
        <f t="shared" si="96"/>
        <v/>
      </c>
      <c r="P881" s="66" t="str">
        <f t="shared" si="97"/>
        <v/>
      </c>
    </row>
    <row r="882" spans="8:16">
      <c r="H882" s="66" t="e">
        <f>IF(LEFT(A882,6)="CEPNTR","GPINS",VLOOKUP(LEFT(A882,6),'Code Library'!$A$3:$B$920,2,0))&amp;"_"&amp;RIGHT(A882,3)</f>
        <v>#N/A</v>
      </c>
      <c r="I882" s="66">
        <f t="shared" si="91"/>
        <v>0</v>
      </c>
      <c r="K882" s="66" t="str">
        <f t="shared" si="92"/>
        <v/>
      </c>
      <c r="L882" s="66" t="str">
        <f t="shared" si="93"/>
        <v/>
      </c>
      <c r="M882" s="66" t="str">
        <f t="shared" si="94"/>
        <v/>
      </c>
      <c r="N882" s="66" t="str">
        <f t="shared" si="95"/>
        <v/>
      </c>
      <c r="O882" s="66" t="str">
        <f t="shared" si="96"/>
        <v/>
      </c>
      <c r="P882" s="66" t="str">
        <f t="shared" si="97"/>
        <v/>
      </c>
    </row>
    <row r="883" spans="8:16">
      <c r="H883" s="66" t="e">
        <f>IF(LEFT(A883,6)="CEPNTR","GPINS",VLOOKUP(LEFT(A883,6),'Code Library'!$A$3:$B$920,2,0))&amp;"_"&amp;RIGHT(A883,3)</f>
        <v>#N/A</v>
      </c>
      <c r="I883" s="66">
        <f t="shared" si="91"/>
        <v>0</v>
      </c>
      <c r="K883" s="66" t="str">
        <f t="shared" si="92"/>
        <v/>
      </c>
      <c r="L883" s="66" t="str">
        <f t="shared" si="93"/>
        <v/>
      </c>
      <c r="M883" s="66" t="str">
        <f t="shared" si="94"/>
        <v/>
      </c>
      <c r="N883" s="66" t="str">
        <f t="shared" si="95"/>
        <v/>
      </c>
      <c r="O883" s="66" t="str">
        <f t="shared" si="96"/>
        <v/>
      </c>
      <c r="P883" s="66" t="str">
        <f t="shared" si="97"/>
        <v/>
      </c>
    </row>
    <row r="884" spans="8:16">
      <c r="H884" s="66" t="e">
        <f>IF(LEFT(A884,6)="CEPNTR","GPINS",VLOOKUP(LEFT(A884,6),'Code Library'!$A$3:$B$920,2,0))&amp;"_"&amp;RIGHT(A884,3)</f>
        <v>#N/A</v>
      </c>
      <c r="I884" s="66">
        <f t="shared" si="91"/>
        <v>0</v>
      </c>
      <c r="K884" s="66" t="str">
        <f t="shared" si="92"/>
        <v/>
      </c>
      <c r="L884" s="66" t="str">
        <f t="shared" si="93"/>
        <v/>
      </c>
      <c r="M884" s="66" t="str">
        <f t="shared" si="94"/>
        <v/>
      </c>
      <c r="N884" s="66" t="str">
        <f t="shared" si="95"/>
        <v/>
      </c>
      <c r="O884" s="66" t="str">
        <f t="shared" si="96"/>
        <v/>
      </c>
      <c r="P884" s="66" t="str">
        <f t="shared" si="97"/>
        <v/>
      </c>
    </row>
    <row r="885" spans="8:16">
      <c r="H885" s="66" t="e">
        <f>IF(LEFT(A885,6)="CEPNTR","GPINS",VLOOKUP(LEFT(A885,6),'Code Library'!$A$3:$B$920,2,0))&amp;"_"&amp;RIGHT(A885,3)</f>
        <v>#N/A</v>
      </c>
      <c r="I885" s="66">
        <f t="shared" si="91"/>
        <v>0</v>
      </c>
      <c r="K885" s="66" t="str">
        <f t="shared" si="92"/>
        <v/>
      </c>
      <c r="L885" s="66" t="str">
        <f t="shared" si="93"/>
        <v/>
      </c>
      <c r="M885" s="66" t="str">
        <f t="shared" si="94"/>
        <v/>
      </c>
      <c r="N885" s="66" t="str">
        <f t="shared" si="95"/>
        <v/>
      </c>
      <c r="O885" s="66" t="str">
        <f t="shared" si="96"/>
        <v/>
      </c>
      <c r="P885" s="66" t="str">
        <f t="shared" si="97"/>
        <v/>
      </c>
    </row>
    <row r="886" spans="8:16">
      <c r="H886" s="66" t="e">
        <f>IF(LEFT(A886,6)="CEPNTR","GPINS",VLOOKUP(LEFT(A886,6),'Code Library'!$A$3:$B$920,2,0))&amp;"_"&amp;RIGHT(A886,3)</f>
        <v>#N/A</v>
      </c>
      <c r="I886" s="66">
        <f t="shared" si="91"/>
        <v>0</v>
      </c>
      <c r="K886" s="66" t="str">
        <f t="shared" si="92"/>
        <v/>
      </c>
      <c r="L886" s="66" t="str">
        <f t="shared" si="93"/>
        <v/>
      </c>
      <c r="M886" s="66" t="str">
        <f t="shared" si="94"/>
        <v/>
      </c>
      <c r="N886" s="66" t="str">
        <f t="shared" si="95"/>
        <v/>
      </c>
      <c r="O886" s="66" t="str">
        <f t="shared" si="96"/>
        <v/>
      </c>
      <c r="P886" s="66" t="str">
        <f t="shared" si="97"/>
        <v/>
      </c>
    </row>
    <row r="887" spans="8:16">
      <c r="H887" s="66" t="e">
        <f>IF(LEFT(A887,6)="CEPNTR","GPINS",VLOOKUP(LEFT(A887,6),'Code Library'!$A$3:$B$920,2,0))&amp;"_"&amp;RIGHT(A887,3)</f>
        <v>#N/A</v>
      </c>
      <c r="I887" s="66">
        <f t="shared" si="91"/>
        <v>0</v>
      </c>
      <c r="K887" s="66" t="str">
        <f t="shared" si="92"/>
        <v/>
      </c>
      <c r="L887" s="66" t="str">
        <f t="shared" si="93"/>
        <v/>
      </c>
      <c r="M887" s="66" t="str">
        <f t="shared" si="94"/>
        <v/>
      </c>
      <c r="N887" s="66" t="str">
        <f t="shared" si="95"/>
        <v/>
      </c>
      <c r="O887" s="66" t="str">
        <f t="shared" si="96"/>
        <v/>
      </c>
      <c r="P887" s="66" t="str">
        <f t="shared" si="97"/>
        <v/>
      </c>
    </row>
    <row r="888" spans="8:16">
      <c r="H888" s="66" t="e">
        <f>IF(LEFT(A888,6)="CEPNTR","GPINS",VLOOKUP(LEFT(A888,6),'Code Library'!$A$3:$B$920,2,0))&amp;"_"&amp;RIGHT(A888,3)</f>
        <v>#N/A</v>
      </c>
      <c r="I888" s="66">
        <f t="shared" si="91"/>
        <v>0</v>
      </c>
      <c r="K888" s="66" t="str">
        <f t="shared" si="92"/>
        <v/>
      </c>
      <c r="L888" s="66" t="str">
        <f t="shared" si="93"/>
        <v/>
      </c>
      <c r="M888" s="66" t="str">
        <f t="shared" si="94"/>
        <v/>
      </c>
      <c r="N888" s="66" t="str">
        <f t="shared" si="95"/>
        <v/>
      </c>
      <c r="O888" s="66" t="str">
        <f t="shared" si="96"/>
        <v/>
      </c>
      <c r="P888" s="66" t="str">
        <f t="shared" si="97"/>
        <v/>
      </c>
    </row>
    <row r="889" spans="8:16">
      <c r="H889" s="66" t="e">
        <f>IF(LEFT(A889,6)="CEPNTR","GPINS",VLOOKUP(LEFT(A889,6),'Code Library'!$A$3:$B$920,2,0))&amp;"_"&amp;RIGHT(A889,3)</f>
        <v>#N/A</v>
      </c>
      <c r="I889" s="66">
        <f t="shared" si="91"/>
        <v>0</v>
      </c>
      <c r="K889" s="66" t="str">
        <f t="shared" si="92"/>
        <v/>
      </c>
      <c r="L889" s="66" t="str">
        <f t="shared" si="93"/>
        <v/>
      </c>
      <c r="M889" s="66" t="str">
        <f t="shared" si="94"/>
        <v/>
      </c>
      <c r="N889" s="66" t="str">
        <f t="shared" si="95"/>
        <v/>
      </c>
      <c r="O889" s="66" t="str">
        <f t="shared" si="96"/>
        <v/>
      </c>
      <c r="P889" s="66" t="str">
        <f t="shared" si="97"/>
        <v/>
      </c>
    </row>
    <row r="890" spans="8:16">
      <c r="H890" s="66" t="e">
        <f>IF(LEFT(A890,6)="CEPNTR","GPINS",VLOOKUP(LEFT(A890,6),'Code Library'!$A$3:$B$920,2,0))&amp;"_"&amp;RIGHT(A890,3)</f>
        <v>#N/A</v>
      </c>
      <c r="I890" s="66">
        <f t="shared" si="91"/>
        <v>0</v>
      </c>
      <c r="K890" s="66" t="str">
        <f t="shared" si="92"/>
        <v/>
      </c>
      <c r="L890" s="66" t="str">
        <f t="shared" si="93"/>
        <v/>
      </c>
      <c r="M890" s="66" t="str">
        <f t="shared" si="94"/>
        <v/>
      </c>
      <c r="N890" s="66" t="str">
        <f t="shared" si="95"/>
        <v/>
      </c>
      <c r="O890" s="66" t="str">
        <f t="shared" si="96"/>
        <v/>
      </c>
      <c r="P890" s="66" t="str">
        <f t="shared" si="97"/>
        <v/>
      </c>
    </row>
    <row r="891" spans="8:16">
      <c r="H891" s="66" t="e">
        <f>IF(LEFT(A891,6)="CEPNTR","GPINS",VLOOKUP(LEFT(A891,6),'Code Library'!$A$3:$B$920,2,0))&amp;"_"&amp;RIGHT(A891,3)</f>
        <v>#N/A</v>
      </c>
      <c r="I891" s="66">
        <f t="shared" si="91"/>
        <v>0</v>
      </c>
      <c r="K891" s="66" t="str">
        <f t="shared" si="92"/>
        <v/>
      </c>
      <c r="L891" s="66" t="str">
        <f t="shared" si="93"/>
        <v/>
      </c>
      <c r="M891" s="66" t="str">
        <f t="shared" si="94"/>
        <v/>
      </c>
      <c r="N891" s="66" t="str">
        <f t="shared" si="95"/>
        <v/>
      </c>
      <c r="O891" s="66" t="str">
        <f t="shared" si="96"/>
        <v/>
      </c>
      <c r="P891" s="66" t="str">
        <f t="shared" si="97"/>
        <v/>
      </c>
    </row>
    <row r="892" spans="8:16">
      <c r="H892" s="66" t="e">
        <f>IF(LEFT(A892,6)="CEPNTR","GPINS",VLOOKUP(LEFT(A892,6),'Code Library'!$A$3:$B$920,2,0))&amp;"_"&amp;RIGHT(A892,3)</f>
        <v>#N/A</v>
      </c>
      <c r="I892" s="66">
        <f t="shared" si="91"/>
        <v>0</v>
      </c>
      <c r="K892" s="66" t="str">
        <f t="shared" si="92"/>
        <v/>
      </c>
      <c r="L892" s="66" t="str">
        <f t="shared" si="93"/>
        <v/>
      </c>
      <c r="M892" s="66" t="str">
        <f t="shared" si="94"/>
        <v/>
      </c>
      <c r="N892" s="66" t="str">
        <f t="shared" si="95"/>
        <v/>
      </c>
      <c r="O892" s="66" t="str">
        <f t="shared" si="96"/>
        <v/>
      </c>
      <c r="P892" s="66" t="str">
        <f t="shared" si="97"/>
        <v/>
      </c>
    </row>
    <row r="893" spans="8:16">
      <c r="H893" s="66" t="e">
        <f>IF(LEFT(A893,6)="CEPNTR","GPINS",VLOOKUP(LEFT(A893,6),'Code Library'!$A$3:$B$920,2,0))&amp;"_"&amp;RIGHT(A893,3)</f>
        <v>#N/A</v>
      </c>
      <c r="I893" s="66">
        <f t="shared" si="91"/>
        <v>0</v>
      </c>
      <c r="K893" s="66" t="str">
        <f t="shared" si="92"/>
        <v/>
      </c>
      <c r="L893" s="66" t="str">
        <f t="shared" si="93"/>
        <v/>
      </c>
      <c r="M893" s="66" t="str">
        <f t="shared" si="94"/>
        <v/>
      </c>
      <c r="N893" s="66" t="str">
        <f t="shared" si="95"/>
        <v/>
      </c>
      <c r="O893" s="66" t="str">
        <f t="shared" si="96"/>
        <v/>
      </c>
      <c r="P893" s="66" t="str">
        <f t="shared" si="97"/>
        <v/>
      </c>
    </row>
    <row r="894" spans="8:16">
      <c r="H894" s="66" t="e">
        <f>IF(LEFT(A894,6)="CEPNTR","GPINS",VLOOKUP(LEFT(A894,6),'Code Library'!$A$3:$B$920,2,0))&amp;"_"&amp;RIGHT(A894,3)</f>
        <v>#N/A</v>
      </c>
      <c r="I894" s="66">
        <f t="shared" si="91"/>
        <v>0</v>
      </c>
      <c r="K894" s="66" t="str">
        <f t="shared" si="92"/>
        <v/>
      </c>
      <c r="L894" s="66" t="str">
        <f t="shared" si="93"/>
        <v/>
      </c>
      <c r="M894" s="66" t="str">
        <f t="shared" si="94"/>
        <v/>
      </c>
      <c r="N894" s="66" t="str">
        <f t="shared" si="95"/>
        <v/>
      </c>
      <c r="O894" s="66" t="str">
        <f t="shared" si="96"/>
        <v/>
      </c>
      <c r="P894" s="66" t="str">
        <f t="shared" si="97"/>
        <v/>
      </c>
    </row>
    <row r="895" spans="8:16">
      <c r="H895" s="66" t="e">
        <f>IF(LEFT(A895,6)="CEPNTR","GPINS",VLOOKUP(LEFT(A895,6),'Code Library'!$A$3:$B$920,2,0))&amp;"_"&amp;RIGHT(A895,3)</f>
        <v>#N/A</v>
      </c>
      <c r="I895" s="66">
        <f t="shared" si="91"/>
        <v>0</v>
      </c>
      <c r="K895" s="66" t="str">
        <f t="shared" si="92"/>
        <v/>
      </c>
      <c r="L895" s="66" t="str">
        <f t="shared" si="93"/>
        <v/>
      </c>
      <c r="M895" s="66" t="str">
        <f t="shared" si="94"/>
        <v/>
      </c>
      <c r="N895" s="66" t="str">
        <f t="shared" si="95"/>
        <v/>
      </c>
      <c r="O895" s="66" t="str">
        <f t="shared" si="96"/>
        <v/>
      </c>
      <c r="P895" s="66" t="str">
        <f t="shared" si="97"/>
        <v/>
      </c>
    </row>
    <row r="896" spans="8:16">
      <c r="H896" s="66" t="e">
        <f>IF(LEFT(A896,6)="CEPNTR","GPINS",VLOOKUP(LEFT(A896,6),'Code Library'!$A$3:$B$920,2,0))&amp;"_"&amp;RIGHT(A896,3)</f>
        <v>#N/A</v>
      </c>
      <c r="I896" s="66">
        <f t="shared" si="91"/>
        <v>0</v>
      </c>
      <c r="K896" s="66" t="str">
        <f t="shared" si="92"/>
        <v/>
      </c>
      <c r="L896" s="66" t="str">
        <f t="shared" si="93"/>
        <v/>
      </c>
      <c r="M896" s="66" t="str">
        <f t="shared" si="94"/>
        <v/>
      </c>
      <c r="N896" s="66" t="str">
        <f t="shared" si="95"/>
        <v/>
      </c>
      <c r="O896" s="66" t="str">
        <f t="shared" si="96"/>
        <v/>
      </c>
      <c r="P896" s="66" t="str">
        <f t="shared" si="97"/>
        <v/>
      </c>
    </row>
    <row r="897" spans="8:16">
      <c r="H897" s="66" t="e">
        <f>IF(LEFT(A897,6)="CEPNTR","GPINS",VLOOKUP(LEFT(A897,6),'Code Library'!$A$3:$B$920,2,0))&amp;"_"&amp;RIGHT(A897,3)</f>
        <v>#N/A</v>
      </c>
      <c r="I897" s="66">
        <f t="shared" si="91"/>
        <v>0</v>
      </c>
      <c r="K897" s="66" t="str">
        <f t="shared" si="92"/>
        <v/>
      </c>
      <c r="L897" s="66" t="str">
        <f t="shared" si="93"/>
        <v/>
      </c>
      <c r="M897" s="66" t="str">
        <f t="shared" si="94"/>
        <v/>
      </c>
      <c r="N897" s="66" t="str">
        <f t="shared" si="95"/>
        <v/>
      </c>
      <c r="O897" s="66" t="str">
        <f t="shared" si="96"/>
        <v/>
      </c>
      <c r="P897" s="66" t="str">
        <f t="shared" si="97"/>
        <v/>
      </c>
    </row>
    <row r="898" spans="8:16">
      <c r="H898" s="66" t="e">
        <f>IF(LEFT(A898,6)="CEPNTR","GPINS",VLOOKUP(LEFT(A898,6),'Code Library'!$A$3:$B$920,2,0))&amp;"_"&amp;RIGHT(A898,3)</f>
        <v>#N/A</v>
      </c>
      <c r="I898" s="66">
        <f t="shared" si="91"/>
        <v>0</v>
      </c>
      <c r="K898" s="66" t="str">
        <f t="shared" si="92"/>
        <v/>
      </c>
      <c r="L898" s="66" t="str">
        <f t="shared" si="93"/>
        <v/>
      </c>
      <c r="M898" s="66" t="str">
        <f t="shared" si="94"/>
        <v/>
      </c>
      <c r="N898" s="66" t="str">
        <f t="shared" si="95"/>
        <v/>
      </c>
      <c r="O898" s="66" t="str">
        <f t="shared" si="96"/>
        <v/>
      </c>
      <c r="P898" s="66" t="str">
        <f t="shared" si="97"/>
        <v/>
      </c>
    </row>
    <row r="899" spans="8:16">
      <c r="H899" s="66" t="e">
        <f>IF(LEFT(A899,6)="CEPNTR","GPINS",VLOOKUP(LEFT(A899,6),'Code Library'!$A$3:$B$920,2,0))&amp;"_"&amp;RIGHT(A899,3)</f>
        <v>#N/A</v>
      </c>
      <c r="I899" s="66">
        <f t="shared" ref="I899:I962" si="98">A899</f>
        <v>0</v>
      </c>
      <c r="K899" s="66" t="str">
        <f t="shared" ref="K899:K962" si="99">RIGHT($B899,2)</f>
        <v/>
      </c>
      <c r="L899" s="66" t="str">
        <f t="shared" ref="L899:L962" si="100">LEFT(RIGHT($B899,7),4)</f>
        <v/>
      </c>
      <c r="M899" s="66" t="str">
        <f t="shared" ref="M899:M962" si="101">LEFT(RIGHT($B899,10),2)</f>
        <v/>
      </c>
      <c r="N899" s="66" t="str">
        <f t="shared" ref="N899:N962" si="102">LEFT(RIGHT($B899,14),3)</f>
        <v/>
      </c>
      <c r="O899" s="66" t="str">
        <f t="shared" ref="O899:O962" si="103">LEFT(RIGHT($B899,16),1)</f>
        <v/>
      </c>
      <c r="P899" s="66" t="str">
        <f t="shared" ref="P899:P962" si="104">LEFT(RIGHT($B899,19),2)</f>
        <v/>
      </c>
    </row>
    <row r="900" spans="8:16">
      <c r="H900" s="66" t="e">
        <f>IF(LEFT(A900,6)="CEPNTR","GPINS",VLOOKUP(LEFT(A900,6),'Code Library'!$A$3:$B$920,2,0))&amp;"_"&amp;RIGHT(A900,3)</f>
        <v>#N/A</v>
      </c>
      <c r="I900" s="66">
        <f t="shared" si="98"/>
        <v>0</v>
      </c>
      <c r="K900" s="66" t="str">
        <f t="shared" si="99"/>
        <v/>
      </c>
      <c r="L900" s="66" t="str">
        <f t="shared" si="100"/>
        <v/>
      </c>
      <c r="M900" s="66" t="str">
        <f t="shared" si="101"/>
        <v/>
      </c>
      <c r="N900" s="66" t="str">
        <f t="shared" si="102"/>
        <v/>
      </c>
      <c r="O900" s="66" t="str">
        <f t="shared" si="103"/>
        <v/>
      </c>
      <c r="P900" s="66" t="str">
        <f t="shared" si="104"/>
        <v/>
      </c>
    </row>
    <row r="901" spans="8:16">
      <c r="H901" s="66" t="e">
        <f>IF(LEFT(A901,6)="CEPNTR","GPINS",VLOOKUP(LEFT(A901,6),'Code Library'!$A$3:$B$920,2,0))&amp;"_"&amp;RIGHT(A901,3)</f>
        <v>#N/A</v>
      </c>
      <c r="I901" s="66">
        <f t="shared" si="98"/>
        <v>0</v>
      </c>
      <c r="K901" s="66" t="str">
        <f t="shared" si="99"/>
        <v/>
      </c>
      <c r="L901" s="66" t="str">
        <f t="shared" si="100"/>
        <v/>
      </c>
      <c r="M901" s="66" t="str">
        <f t="shared" si="101"/>
        <v/>
      </c>
      <c r="N901" s="66" t="str">
        <f t="shared" si="102"/>
        <v/>
      </c>
      <c r="O901" s="66" t="str">
        <f t="shared" si="103"/>
        <v/>
      </c>
      <c r="P901" s="66" t="str">
        <f t="shared" si="104"/>
        <v/>
      </c>
    </row>
    <row r="902" spans="8:16">
      <c r="H902" s="66" t="e">
        <f>IF(LEFT(A902,6)="CEPNTR","GPINS",VLOOKUP(LEFT(A902,6),'Code Library'!$A$3:$B$920,2,0))&amp;"_"&amp;RIGHT(A902,3)</f>
        <v>#N/A</v>
      </c>
      <c r="I902" s="66">
        <f t="shared" si="98"/>
        <v>0</v>
      </c>
      <c r="K902" s="66" t="str">
        <f t="shared" si="99"/>
        <v/>
      </c>
      <c r="L902" s="66" t="str">
        <f t="shared" si="100"/>
        <v/>
      </c>
      <c r="M902" s="66" t="str">
        <f t="shared" si="101"/>
        <v/>
      </c>
      <c r="N902" s="66" t="str">
        <f t="shared" si="102"/>
        <v/>
      </c>
      <c r="O902" s="66" t="str">
        <f t="shared" si="103"/>
        <v/>
      </c>
      <c r="P902" s="66" t="str">
        <f t="shared" si="104"/>
        <v/>
      </c>
    </row>
    <row r="903" spans="8:16">
      <c r="H903" s="66" t="e">
        <f>IF(LEFT(A903,6)="CEPNTR","GPINS",VLOOKUP(LEFT(A903,6),'Code Library'!$A$3:$B$920,2,0))&amp;"_"&amp;RIGHT(A903,3)</f>
        <v>#N/A</v>
      </c>
      <c r="I903" s="66">
        <f t="shared" si="98"/>
        <v>0</v>
      </c>
      <c r="K903" s="66" t="str">
        <f t="shared" si="99"/>
        <v/>
      </c>
      <c r="L903" s="66" t="str">
        <f t="shared" si="100"/>
        <v/>
      </c>
      <c r="M903" s="66" t="str">
        <f t="shared" si="101"/>
        <v/>
      </c>
      <c r="N903" s="66" t="str">
        <f t="shared" si="102"/>
        <v/>
      </c>
      <c r="O903" s="66" t="str">
        <f t="shared" si="103"/>
        <v/>
      </c>
      <c r="P903" s="66" t="str">
        <f t="shared" si="104"/>
        <v/>
      </c>
    </row>
    <row r="904" spans="8:16">
      <c r="H904" s="66" t="e">
        <f>IF(LEFT(A904,6)="CEPNTR","GPINS",VLOOKUP(LEFT(A904,6),'Code Library'!$A$3:$B$920,2,0))&amp;"_"&amp;RIGHT(A904,3)</f>
        <v>#N/A</v>
      </c>
      <c r="I904" s="66">
        <f t="shared" si="98"/>
        <v>0</v>
      </c>
      <c r="K904" s="66" t="str">
        <f t="shared" si="99"/>
        <v/>
      </c>
      <c r="L904" s="66" t="str">
        <f t="shared" si="100"/>
        <v/>
      </c>
      <c r="M904" s="66" t="str">
        <f t="shared" si="101"/>
        <v/>
      </c>
      <c r="N904" s="66" t="str">
        <f t="shared" si="102"/>
        <v/>
      </c>
      <c r="O904" s="66" t="str">
        <f t="shared" si="103"/>
        <v/>
      </c>
      <c r="P904" s="66" t="str">
        <f t="shared" si="104"/>
        <v/>
      </c>
    </row>
    <row r="905" spans="8:16">
      <c r="H905" s="66" t="e">
        <f>IF(LEFT(A905,6)="CEPNTR","GPINS",VLOOKUP(LEFT(A905,6),'Code Library'!$A$3:$B$920,2,0))&amp;"_"&amp;RIGHT(A905,3)</f>
        <v>#N/A</v>
      </c>
      <c r="I905" s="66">
        <f t="shared" si="98"/>
        <v>0</v>
      </c>
      <c r="K905" s="66" t="str">
        <f t="shared" si="99"/>
        <v/>
      </c>
      <c r="L905" s="66" t="str">
        <f t="shared" si="100"/>
        <v/>
      </c>
      <c r="M905" s="66" t="str">
        <f t="shared" si="101"/>
        <v/>
      </c>
      <c r="N905" s="66" t="str">
        <f t="shared" si="102"/>
        <v/>
      </c>
      <c r="O905" s="66" t="str">
        <f t="shared" si="103"/>
        <v/>
      </c>
      <c r="P905" s="66" t="str">
        <f t="shared" si="104"/>
        <v/>
      </c>
    </row>
    <row r="906" spans="8:16">
      <c r="H906" s="66" t="e">
        <f>IF(LEFT(A906,6)="CEPNTR","GPINS",VLOOKUP(LEFT(A906,6),'Code Library'!$A$3:$B$920,2,0))&amp;"_"&amp;RIGHT(A906,3)</f>
        <v>#N/A</v>
      </c>
      <c r="I906" s="66">
        <f t="shared" si="98"/>
        <v>0</v>
      </c>
      <c r="K906" s="66" t="str">
        <f t="shared" si="99"/>
        <v/>
      </c>
      <c r="L906" s="66" t="str">
        <f t="shared" si="100"/>
        <v/>
      </c>
      <c r="M906" s="66" t="str">
        <f t="shared" si="101"/>
        <v/>
      </c>
      <c r="N906" s="66" t="str">
        <f t="shared" si="102"/>
        <v/>
      </c>
      <c r="O906" s="66" t="str">
        <f t="shared" si="103"/>
        <v/>
      </c>
      <c r="P906" s="66" t="str">
        <f t="shared" si="104"/>
        <v/>
      </c>
    </row>
    <row r="907" spans="8:16">
      <c r="H907" s="66" t="e">
        <f>IF(LEFT(A907,6)="CEPNTR","GPINS",VLOOKUP(LEFT(A907,6),'Code Library'!$A$3:$B$920,2,0))&amp;"_"&amp;RIGHT(A907,3)</f>
        <v>#N/A</v>
      </c>
      <c r="I907" s="66">
        <f t="shared" si="98"/>
        <v>0</v>
      </c>
      <c r="K907" s="66" t="str">
        <f t="shared" si="99"/>
        <v/>
      </c>
      <c r="L907" s="66" t="str">
        <f t="shared" si="100"/>
        <v/>
      </c>
      <c r="M907" s="66" t="str">
        <f t="shared" si="101"/>
        <v/>
      </c>
      <c r="N907" s="66" t="str">
        <f t="shared" si="102"/>
        <v/>
      </c>
      <c r="O907" s="66" t="str">
        <f t="shared" si="103"/>
        <v/>
      </c>
      <c r="P907" s="66" t="str">
        <f t="shared" si="104"/>
        <v/>
      </c>
    </row>
    <row r="908" spans="8:16">
      <c r="H908" s="66" t="e">
        <f>IF(LEFT(A908,6)="CEPNTR","GPINS",VLOOKUP(LEFT(A908,6),'Code Library'!$A$3:$B$920,2,0))&amp;"_"&amp;RIGHT(A908,3)</f>
        <v>#N/A</v>
      </c>
      <c r="I908" s="66">
        <f t="shared" si="98"/>
        <v>0</v>
      </c>
      <c r="K908" s="66" t="str">
        <f t="shared" si="99"/>
        <v/>
      </c>
      <c r="L908" s="66" t="str">
        <f t="shared" si="100"/>
        <v/>
      </c>
      <c r="M908" s="66" t="str">
        <f t="shared" si="101"/>
        <v/>
      </c>
      <c r="N908" s="66" t="str">
        <f t="shared" si="102"/>
        <v/>
      </c>
      <c r="O908" s="66" t="str">
        <f t="shared" si="103"/>
        <v/>
      </c>
      <c r="P908" s="66" t="str">
        <f t="shared" si="104"/>
        <v/>
      </c>
    </row>
    <row r="909" spans="8:16">
      <c r="H909" s="66" t="e">
        <f>IF(LEFT(A909,6)="CEPNTR","GPINS",VLOOKUP(LEFT(A909,6),'Code Library'!$A$3:$B$920,2,0))&amp;"_"&amp;RIGHT(A909,3)</f>
        <v>#N/A</v>
      </c>
      <c r="I909" s="66">
        <f t="shared" si="98"/>
        <v>0</v>
      </c>
      <c r="K909" s="66" t="str">
        <f t="shared" si="99"/>
        <v/>
      </c>
      <c r="L909" s="66" t="str">
        <f t="shared" si="100"/>
        <v/>
      </c>
      <c r="M909" s="66" t="str">
        <f t="shared" si="101"/>
        <v/>
      </c>
      <c r="N909" s="66" t="str">
        <f t="shared" si="102"/>
        <v/>
      </c>
      <c r="O909" s="66" t="str">
        <f t="shared" si="103"/>
        <v/>
      </c>
      <c r="P909" s="66" t="str">
        <f t="shared" si="104"/>
        <v/>
      </c>
    </row>
    <row r="910" spans="8:16">
      <c r="H910" s="66" t="e">
        <f>IF(LEFT(A910,6)="CEPNTR","GPINS",VLOOKUP(LEFT(A910,6),'Code Library'!$A$3:$B$920,2,0))&amp;"_"&amp;RIGHT(A910,3)</f>
        <v>#N/A</v>
      </c>
      <c r="I910" s="66">
        <f t="shared" si="98"/>
        <v>0</v>
      </c>
      <c r="K910" s="66" t="str">
        <f t="shared" si="99"/>
        <v/>
      </c>
      <c r="L910" s="66" t="str">
        <f t="shared" si="100"/>
        <v/>
      </c>
      <c r="M910" s="66" t="str">
        <f t="shared" si="101"/>
        <v/>
      </c>
      <c r="N910" s="66" t="str">
        <f t="shared" si="102"/>
        <v/>
      </c>
      <c r="O910" s="66" t="str">
        <f t="shared" si="103"/>
        <v/>
      </c>
      <c r="P910" s="66" t="str">
        <f t="shared" si="104"/>
        <v/>
      </c>
    </row>
    <row r="911" spans="8:16">
      <c r="H911" s="66" t="e">
        <f>IF(LEFT(A911,6)="CEPNTR","GPINS",VLOOKUP(LEFT(A911,6),'Code Library'!$A$3:$B$920,2,0))&amp;"_"&amp;RIGHT(A911,3)</f>
        <v>#N/A</v>
      </c>
      <c r="I911" s="66">
        <f t="shared" si="98"/>
        <v>0</v>
      </c>
      <c r="K911" s="66" t="str">
        <f t="shared" si="99"/>
        <v/>
      </c>
      <c r="L911" s="66" t="str">
        <f t="shared" si="100"/>
        <v/>
      </c>
      <c r="M911" s="66" t="str">
        <f t="shared" si="101"/>
        <v/>
      </c>
      <c r="N911" s="66" t="str">
        <f t="shared" si="102"/>
        <v/>
      </c>
      <c r="O911" s="66" t="str">
        <f t="shared" si="103"/>
        <v/>
      </c>
      <c r="P911" s="66" t="str">
        <f t="shared" si="104"/>
        <v/>
      </c>
    </row>
    <row r="912" spans="8:16">
      <c r="H912" s="66" t="e">
        <f>IF(LEFT(A912,6)="CEPNTR","GPINS",VLOOKUP(LEFT(A912,6),'Code Library'!$A$3:$B$920,2,0))&amp;"_"&amp;RIGHT(A912,3)</f>
        <v>#N/A</v>
      </c>
      <c r="I912" s="66">
        <f t="shared" si="98"/>
        <v>0</v>
      </c>
      <c r="K912" s="66" t="str">
        <f t="shared" si="99"/>
        <v/>
      </c>
      <c r="L912" s="66" t="str">
        <f t="shared" si="100"/>
        <v/>
      </c>
      <c r="M912" s="66" t="str">
        <f t="shared" si="101"/>
        <v/>
      </c>
      <c r="N912" s="66" t="str">
        <f t="shared" si="102"/>
        <v/>
      </c>
      <c r="O912" s="66" t="str">
        <f t="shared" si="103"/>
        <v/>
      </c>
      <c r="P912" s="66" t="str">
        <f t="shared" si="104"/>
        <v/>
      </c>
    </row>
    <row r="913" spans="8:16">
      <c r="H913" s="66" t="e">
        <f>IF(LEFT(A913,6)="CEPNTR","GPINS",VLOOKUP(LEFT(A913,6),'Code Library'!$A$3:$B$920,2,0))&amp;"_"&amp;RIGHT(A913,3)</f>
        <v>#N/A</v>
      </c>
      <c r="I913" s="66">
        <f t="shared" si="98"/>
        <v>0</v>
      </c>
      <c r="K913" s="66" t="str">
        <f t="shared" si="99"/>
        <v/>
      </c>
      <c r="L913" s="66" t="str">
        <f t="shared" si="100"/>
        <v/>
      </c>
      <c r="M913" s="66" t="str">
        <f t="shared" si="101"/>
        <v/>
      </c>
      <c r="N913" s="66" t="str">
        <f t="shared" si="102"/>
        <v/>
      </c>
      <c r="O913" s="66" t="str">
        <f t="shared" si="103"/>
        <v/>
      </c>
      <c r="P913" s="66" t="str">
        <f t="shared" si="104"/>
        <v/>
      </c>
    </row>
    <row r="914" spans="8:16">
      <c r="H914" s="66" t="e">
        <f>IF(LEFT(A914,6)="CEPNTR","GPINS",VLOOKUP(LEFT(A914,6),'Code Library'!$A$3:$B$920,2,0))&amp;"_"&amp;RIGHT(A914,3)</f>
        <v>#N/A</v>
      </c>
      <c r="I914" s="66">
        <f t="shared" si="98"/>
        <v>0</v>
      </c>
      <c r="K914" s="66" t="str">
        <f t="shared" si="99"/>
        <v/>
      </c>
      <c r="L914" s="66" t="str">
        <f t="shared" si="100"/>
        <v/>
      </c>
      <c r="M914" s="66" t="str">
        <f t="shared" si="101"/>
        <v/>
      </c>
      <c r="N914" s="66" t="str">
        <f t="shared" si="102"/>
        <v/>
      </c>
      <c r="O914" s="66" t="str">
        <f t="shared" si="103"/>
        <v/>
      </c>
      <c r="P914" s="66" t="str">
        <f t="shared" si="104"/>
        <v/>
      </c>
    </row>
    <row r="915" spans="8:16">
      <c r="H915" s="66" t="e">
        <f>IF(LEFT(A915,6)="CEPNTR","GPINS",VLOOKUP(LEFT(A915,6),'Code Library'!$A$3:$B$920,2,0))&amp;"_"&amp;RIGHT(A915,3)</f>
        <v>#N/A</v>
      </c>
      <c r="I915" s="66">
        <f t="shared" si="98"/>
        <v>0</v>
      </c>
      <c r="K915" s="66" t="str">
        <f t="shared" si="99"/>
        <v/>
      </c>
      <c r="L915" s="66" t="str">
        <f t="shared" si="100"/>
        <v/>
      </c>
      <c r="M915" s="66" t="str">
        <f t="shared" si="101"/>
        <v/>
      </c>
      <c r="N915" s="66" t="str">
        <f t="shared" si="102"/>
        <v/>
      </c>
      <c r="O915" s="66" t="str">
        <f t="shared" si="103"/>
        <v/>
      </c>
      <c r="P915" s="66" t="str">
        <f t="shared" si="104"/>
        <v/>
      </c>
    </row>
    <row r="916" spans="8:16">
      <c r="H916" s="66" t="e">
        <f>IF(LEFT(A916,6)="CEPNTR","GPINS",VLOOKUP(LEFT(A916,6),'Code Library'!$A$3:$B$920,2,0))&amp;"_"&amp;RIGHT(A916,3)</f>
        <v>#N/A</v>
      </c>
      <c r="I916" s="66">
        <f t="shared" si="98"/>
        <v>0</v>
      </c>
      <c r="K916" s="66" t="str">
        <f t="shared" si="99"/>
        <v/>
      </c>
      <c r="L916" s="66" t="str">
        <f t="shared" si="100"/>
        <v/>
      </c>
      <c r="M916" s="66" t="str">
        <f t="shared" si="101"/>
        <v/>
      </c>
      <c r="N916" s="66" t="str">
        <f t="shared" si="102"/>
        <v/>
      </c>
      <c r="O916" s="66" t="str">
        <f t="shared" si="103"/>
        <v/>
      </c>
      <c r="P916" s="66" t="str">
        <f t="shared" si="104"/>
        <v/>
      </c>
    </row>
    <row r="917" spans="8:16">
      <c r="H917" s="66" t="e">
        <f>IF(LEFT(A917,6)="CEPNTR","GPINS",VLOOKUP(LEFT(A917,6),'Code Library'!$A$3:$B$920,2,0))&amp;"_"&amp;RIGHT(A917,3)</f>
        <v>#N/A</v>
      </c>
      <c r="I917" s="66">
        <f t="shared" si="98"/>
        <v>0</v>
      </c>
      <c r="K917" s="66" t="str">
        <f t="shared" si="99"/>
        <v/>
      </c>
      <c r="L917" s="66" t="str">
        <f t="shared" si="100"/>
        <v/>
      </c>
      <c r="M917" s="66" t="str">
        <f t="shared" si="101"/>
        <v/>
      </c>
      <c r="N917" s="66" t="str">
        <f t="shared" si="102"/>
        <v/>
      </c>
      <c r="O917" s="66" t="str">
        <f t="shared" si="103"/>
        <v/>
      </c>
      <c r="P917" s="66" t="str">
        <f t="shared" si="104"/>
        <v/>
      </c>
    </row>
    <row r="918" spans="8:16">
      <c r="H918" s="66" t="e">
        <f>IF(LEFT(A918,6)="CEPNTR","GPINS",VLOOKUP(LEFT(A918,6),'Code Library'!$A$3:$B$920,2,0))&amp;"_"&amp;RIGHT(A918,3)</f>
        <v>#N/A</v>
      </c>
      <c r="I918" s="66">
        <f t="shared" si="98"/>
        <v>0</v>
      </c>
      <c r="K918" s="66" t="str">
        <f t="shared" si="99"/>
        <v/>
      </c>
      <c r="L918" s="66" t="str">
        <f t="shared" si="100"/>
        <v/>
      </c>
      <c r="M918" s="66" t="str">
        <f t="shared" si="101"/>
        <v/>
      </c>
      <c r="N918" s="66" t="str">
        <f t="shared" si="102"/>
        <v/>
      </c>
      <c r="O918" s="66" t="str">
        <f t="shared" si="103"/>
        <v/>
      </c>
      <c r="P918" s="66" t="str">
        <f t="shared" si="104"/>
        <v/>
      </c>
    </row>
    <row r="919" spans="8:16">
      <c r="H919" s="66" t="e">
        <f>IF(LEFT(A919,6)="CEPNTR","GPINS",VLOOKUP(LEFT(A919,6),'Code Library'!$A$3:$B$920,2,0))&amp;"_"&amp;RIGHT(A919,3)</f>
        <v>#N/A</v>
      </c>
      <c r="I919" s="66">
        <f t="shared" si="98"/>
        <v>0</v>
      </c>
      <c r="K919" s="66" t="str">
        <f t="shared" si="99"/>
        <v/>
      </c>
      <c r="L919" s="66" t="str">
        <f t="shared" si="100"/>
        <v/>
      </c>
      <c r="M919" s="66" t="str">
        <f t="shared" si="101"/>
        <v/>
      </c>
      <c r="N919" s="66" t="str">
        <f t="shared" si="102"/>
        <v/>
      </c>
      <c r="O919" s="66" t="str">
        <f t="shared" si="103"/>
        <v/>
      </c>
      <c r="P919" s="66" t="str">
        <f t="shared" si="104"/>
        <v/>
      </c>
    </row>
    <row r="920" spans="8:16">
      <c r="H920" s="66" t="e">
        <f>IF(LEFT(A920,6)="CEPNTR","GPINS",VLOOKUP(LEFT(A920,6),'Code Library'!$A$3:$B$920,2,0))&amp;"_"&amp;RIGHT(A920,3)</f>
        <v>#N/A</v>
      </c>
      <c r="I920" s="66">
        <f t="shared" si="98"/>
        <v>0</v>
      </c>
      <c r="K920" s="66" t="str">
        <f t="shared" si="99"/>
        <v/>
      </c>
      <c r="L920" s="66" t="str">
        <f t="shared" si="100"/>
        <v/>
      </c>
      <c r="M920" s="66" t="str">
        <f t="shared" si="101"/>
        <v/>
      </c>
      <c r="N920" s="66" t="str">
        <f t="shared" si="102"/>
        <v/>
      </c>
      <c r="O920" s="66" t="str">
        <f t="shared" si="103"/>
        <v/>
      </c>
      <c r="P920" s="66" t="str">
        <f t="shared" si="104"/>
        <v/>
      </c>
    </row>
    <row r="921" spans="8:16">
      <c r="H921" s="66" t="e">
        <f>IF(LEFT(A921,6)="CEPNTR","GPINS",VLOOKUP(LEFT(A921,6),'Code Library'!$A$3:$B$920,2,0))&amp;"_"&amp;RIGHT(A921,3)</f>
        <v>#N/A</v>
      </c>
      <c r="I921" s="66">
        <f t="shared" si="98"/>
        <v>0</v>
      </c>
      <c r="K921" s="66" t="str">
        <f t="shared" si="99"/>
        <v/>
      </c>
      <c r="L921" s="66" t="str">
        <f t="shared" si="100"/>
        <v/>
      </c>
      <c r="M921" s="66" t="str">
        <f t="shared" si="101"/>
        <v/>
      </c>
      <c r="N921" s="66" t="str">
        <f t="shared" si="102"/>
        <v/>
      </c>
      <c r="O921" s="66" t="str">
        <f t="shared" si="103"/>
        <v/>
      </c>
      <c r="P921" s="66" t="str">
        <f t="shared" si="104"/>
        <v/>
      </c>
    </row>
    <row r="922" spans="8:16">
      <c r="H922" s="66" t="e">
        <f>IF(LEFT(A922,6)="CEPNTR","GPINS",VLOOKUP(LEFT(A922,6),'Code Library'!$A$3:$B$920,2,0))&amp;"_"&amp;RIGHT(A922,3)</f>
        <v>#N/A</v>
      </c>
      <c r="I922" s="66">
        <f t="shared" si="98"/>
        <v>0</v>
      </c>
      <c r="K922" s="66" t="str">
        <f t="shared" si="99"/>
        <v/>
      </c>
      <c r="L922" s="66" t="str">
        <f t="shared" si="100"/>
        <v/>
      </c>
      <c r="M922" s="66" t="str">
        <f t="shared" si="101"/>
        <v/>
      </c>
      <c r="N922" s="66" t="str">
        <f t="shared" si="102"/>
        <v/>
      </c>
      <c r="O922" s="66" t="str">
        <f t="shared" si="103"/>
        <v/>
      </c>
      <c r="P922" s="66" t="str">
        <f t="shared" si="104"/>
        <v/>
      </c>
    </row>
    <row r="923" spans="8:16">
      <c r="H923" s="66" t="e">
        <f>IF(LEFT(A923,6)="CEPNTR","GPINS",VLOOKUP(LEFT(A923,6),'Code Library'!$A$3:$B$920,2,0))&amp;"_"&amp;RIGHT(A923,3)</f>
        <v>#N/A</v>
      </c>
      <c r="I923" s="66">
        <f t="shared" si="98"/>
        <v>0</v>
      </c>
      <c r="K923" s="66" t="str">
        <f t="shared" si="99"/>
        <v/>
      </c>
      <c r="L923" s="66" t="str">
        <f t="shared" si="100"/>
        <v/>
      </c>
      <c r="M923" s="66" t="str">
        <f t="shared" si="101"/>
        <v/>
      </c>
      <c r="N923" s="66" t="str">
        <f t="shared" si="102"/>
        <v/>
      </c>
      <c r="O923" s="66" t="str">
        <f t="shared" si="103"/>
        <v/>
      </c>
      <c r="P923" s="66" t="str">
        <f t="shared" si="104"/>
        <v/>
      </c>
    </row>
    <row r="924" spans="8:16">
      <c r="H924" s="66" t="e">
        <f>IF(LEFT(A924,6)="CEPNTR","GPINS",VLOOKUP(LEFT(A924,6),'Code Library'!$A$3:$B$920,2,0))&amp;"_"&amp;RIGHT(A924,3)</f>
        <v>#N/A</v>
      </c>
      <c r="I924" s="66">
        <f t="shared" si="98"/>
        <v>0</v>
      </c>
      <c r="K924" s="66" t="str">
        <f t="shared" si="99"/>
        <v/>
      </c>
      <c r="L924" s="66" t="str">
        <f t="shared" si="100"/>
        <v/>
      </c>
      <c r="M924" s="66" t="str">
        <f t="shared" si="101"/>
        <v/>
      </c>
      <c r="N924" s="66" t="str">
        <f t="shared" si="102"/>
        <v/>
      </c>
      <c r="O924" s="66" t="str">
        <f t="shared" si="103"/>
        <v/>
      </c>
      <c r="P924" s="66" t="str">
        <f t="shared" si="104"/>
        <v/>
      </c>
    </row>
    <row r="925" spans="8:16">
      <c r="H925" s="66" t="e">
        <f>IF(LEFT(A925,6)="CEPNTR","GPINS",VLOOKUP(LEFT(A925,6),'Code Library'!$A$3:$B$920,2,0))&amp;"_"&amp;RIGHT(A925,3)</f>
        <v>#N/A</v>
      </c>
      <c r="I925" s="66">
        <f t="shared" si="98"/>
        <v>0</v>
      </c>
      <c r="K925" s="66" t="str">
        <f t="shared" si="99"/>
        <v/>
      </c>
      <c r="L925" s="66" t="str">
        <f t="shared" si="100"/>
        <v/>
      </c>
      <c r="M925" s="66" t="str">
        <f t="shared" si="101"/>
        <v/>
      </c>
      <c r="N925" s="66" t="str">
        <f t="shared" si="102"/>
        <v/>
      </c>
      <c r="O925" s="66" t="str">
        <f t="shared" si="103"/>
        <v/>
      </c>
      <c r="P925" s="66" t="str">
        <f t="shared" si="104"/>
        <v/>
      </c>
    </row>
    <row r="926" spans="8:16">
      <c r="H926" s="66" t="e">
        <f>IF(LEFT(A926,6)="CEPNTR","GPINS",VLOOKUP(LEFT(A926,6),'Code Library'!$A$3:$B$920,2,0))&amp;"_"&amp;RIGHT(A926,3)</f>
        <v>#N/A</v>
      </c>
      <c r="I926" s="66">
        <f t="shared" si="98"/>
        <v>0</v>
      </c>
      <c r="K926" s="66" t="str">
        <f t="shared" si="99"/>
        <v/>
      </c>
      <c r="L926" s="66" t="str">
        <f t="shared" si="100"/>
        <v/>
      </c>
      <c r="M926" s="66" t="str">
        <f t="shared" si="101"/>
        <v/>
      </c>
      <c r="N926" s="66" t="str">
        <f t="shared" si="102"/>
        <v/>
      </c>
      <c r="O926" s="66" t="str">
        <f t="shared" si="103"/>
        <v/>
      </c>
      <c r="P926" s="66" t="str">
        <f t="shared" si="104"/>
        <v/>
      </c>
    </row>
    <row r="927" spans="8:16">
      <c r="H927" s="66" t="e">
        <f>IF(LEFT(A927,6)="CEPNTR","GPINS",VLOOKUP(LEFT(A927,6),'Code Library'!$A$3:$B$920,2,0))&amp;"_"&amp;RIGHT(A927,3)</f>
        <v>#N/A</v>
      </c>
      <c r="I927" s="66">
        <f t="shared" si="98"/>
        <v>0</v>
      </c>
      <c r="K927" s="66" t="str">
        <f t="shared" si="99"/>
        <v/>
      </c>
      <c r="L927" s="66" t="str">
        <f t="shared" si="100"/>
        <v/>
      </c>
      <c r="M927" s="66" t="str">
        <f t="shared" si="101"/>
        <v/>
      </c>
      <c r="N927" s="66" t="str">
        <f t="shared" si="102"/>
        <v/>
      </c>
      <c r="O927" s="66" t="str">
        <f t="shared" si="103"/>
        <v/>
      </c>
      <c r="P927" s="66" t="str">
        <f t="shared" si="104"/>
        <v/>
      </c>
    </row>
    <row r="928" spans="8:16">
      <c r="H928" s="66" t="e">
        <f>IF(LEFT(A928,6)="CEPNTR","GPINS",VLOOKUP(LEFT(A928,6),'Code Library'!$A$3:$B$920,2,0))&amp;"_"&amp;RIGHT(A928,3)</f>
        <v>#N/A</v>
      </c>
      <c r="I928" s="66">
        <f t="shared" si="98"/>
        <v>0</v>
      </c>
      <c r="K928" s="66" t="str">
        <f t="shared" si="99"/>
        <v/>
      </c>
      <c r="L928" s="66" t="str">
        <f t="shared" si="100"/>
        <v/>
      </c>
      <c r="M928" s="66" t="str">
        <f t="shared" si="101"/>
        <v/>
      </c>
      <c r="N928" s="66" t="str">
        <f t="shared" si="102"/>
        <v/>
      </c>
      <c r="O928" s="66" t="str">
        <f t="shared" si="103"/>
        <v/>
      </c>
      <c r="P928" s="66" t="str">
        <f t="shared" si="104"/>
        <v/>
      </c>
    </row>
    <row r="929" spans="8:16">
      <c r="H929" s="66" t="e">
        <f>IF(LEFT(A929,6)="CEPNTR","GPINS",VLOOKUP(LEFT(A929,6),'Code Library'!$A$3:$B$920,2,0))&amp;"_"&amp;RIGHT(A929,3)</f>
        <v>#N/A</v>
      </c>
      <c r="I929" s="66">
        <f t="shared" si="98"/>
        <v>0</v>
      </c>
      <c r="K929" s="66" t="str">
        <f t="shared" si="99"/>
        <v/>
      </c>
      <c r="L929" s="66" t="str">
        <f t="shared" si="100"/>
        <v/>
      </c>
      <c r="M929" s="66" t="str">
        <f t="shared" si="101"/>
        <v/>
      </c>
      <c r="N929" s="66" t="str">
        <f t="shared" si="102"/>
        <v/>
      </c>
      <c r="O929" s="66" t="str">
        <f t="shared" si="103"/>
        <v/>
      </c>
      <c r="P929" s="66" t="str">
        <f t="shared" si="104"/>
        <v/>
      </c>
    </row>
    <row r="930" spans="8:16">
      <c r="H930" s="66" t="e">
        <f>IF(LEFT(A930,6)="CEPNTR","GPINS",VLOOKUP(LEFT(A930,6),'Code Library'!$A$3:$B$920,2,0))&amp;"_"&amp;RIGHT(A930,3)</f>
        <v>#N/A</v>
      </c>
      <c r="I930" s="66">
        <f t="shared" si="98"/>
        <v>0</v>
      </c>
      <c r="K930" s="66" t="str">
        <f t="shared" si="99"/>
        <v/>
      </c>
      <c r="L930" s="66" t="str">
        <f t="shared" si="100"/>
        <v/>
      </c>
      <c r="M930" s="66" t="str">
        <f t="shared" si="101"/>
        <v/>
      </c>
      <c r="N930" s="66" t="str">
        <f t="shared" si="102"/>
        <v/>
      </c>
      <c r="O930" s="66" t="str">
        <f t="shared" si="103"/>
        <v/>
      </c>
      <c r="P930" s="66" t="str">
        <f t="shared" si="104"/>
        <v/>
      </c>
    </row>
    <row r="931" spans="8:16">
      <c r="H931" s="66" t="e">
        <f>IF(LEFT(A931,6)="CEPNTR","GPINS",VLOOKUP(LEFT(A931,6),'Code Library'!$A$3:$B$920,2,0))&amp;"_"&amp;RIGHT(A931,3)</f>
        <v>#N/A</v>
      </c>
      <c r="I931" s="66">
        <f t="shared" si="98"/>
        <v>0</v>
      </c>
      <c r="K931" s="66" t="str">
        <f t="shared" si="99"/>
        <v/>
      </c>
      <c r="L931" s="66" t="str">
        <f t="shared" si="100"/>
        <v/>
      </c>
      <c r="M931" s="66" t="str">
        <f t="shared" si="101"/>
        <v/>
      </c>
      <c r="N931" s="66" t="str">
        <f t="shared" si="102"/>
        <v/>
      </c>
      <c r="O931" s="66" t="str">
        <f t="shared" si="103"/>
        <v/>
      </c>
      <c r="P931" s="66" t="str">
        <f t="shared" si="104"/>
        <v/>
      </c>
    </row>
    <row r="932" spans="8:16">
      <c r="H932" s="66" t="e">
        <f>IF(LEFT(A932,6)="CEPNTR","GPINS",VLOOKUP(LEFT(A932,6),'Code Library'!$A$3:$B$920,2,0))&amp;"_"&amp;RIGHT(A932,3)</f>
        <v>#N/A</v>
      </c>
      <c r="I932" s="66">
        <f t="shared" si="98"/>
        <v>0</v>
      </c>
      <c r="K932" s="66" t="str">
        <f t="shared" si="99"/>
        <v/>
      </c>
      <c r="L932" s="66" t="str">
        <f t="shared" si="100"/>
        <v/>
      </c>
      <c r="M932" s="66" t="str">
        <f t="shared" si="101"/>
        <v/>
      </c>
      <c r="N932" s="66" t="str">
        <f t="shared" si="102"/>
        <v/>
      </c>
      <c r="O932" s="66" t="str">
        <f t="shared" si="103"/>
        <v/>
      </c>
      <c r="P932" s="66" t="str">
        <f t="shared" si="104"/>
        <v/>
      </c>
    </row>
    <row r="933" spans="8:16">
      <c r="H933" s="66" t="e">
        <f>IF(LEFT(A933,6)="CEPNTR","GPINS",VLOOKUP(LEFT(A933,6),'Code Library'!$A$3:$B$920,2,0))&amp;"_"&amp;RIGHT(A933,3)</f>
        <v>#N/A</v>
      </c>
      <c r="I933" s="66">
        <f t="shared" si="98"/>
        <v>0</v>
      </c>
      <c r="K933" s="66" t="str">
        <f t="shared" si="99"/>
        <v/>
      </c>
      <c r="L933" s="66" t="str">
        <f t="shared" si="100"/>
        <v/>
      </c>
      <c r="M933" s="66" t="str">
        <f t="shared" si="101"/>
        <v/>
      </c>
      <c r="N933" s="66" t="str">
        <f t="shared" si="102"/>
        <v/>
      </c>
      <c r="O933" s="66" t="str">
        <f t="shared" si="103"/>
        <v/>
      </c>
      <c r="P933" s="66" t="str">
        <f t="shared" si="104"/>
        <v/>
      </c>
    </row>
    <row r="934" spans="8:16">
      <c r="H934" s="66" t="e">
        <f>IF(LEFT(A934,6)="CEPNTR","GPINS",VLOOKUP(LEFT(A934,6),'Code Library'!$A$3:$B$920,2,0))&amp;"_"&amp;RIGHT(A934,3)</f>
        <v>#N/A</v>
      </c>
      <c r="I934" s="66">
        <f t="shared" si="98"/>
        <v>0</v>
      </c>
      <c r="K934" s="66" t="str">
        <f t="shared" si="99"/>
        <v/>
      </c>
      <c r="L934" s="66" t="str">
        <f t="shared" si="100"/>
        <v/>
      </c>
      <c r="M934" s="66" t="str">
        <f t="shared" si="101"/>
        <v/>
      </c>
      <c r="N934" s="66" t="str">
        <f t="shared" si="102"/>
        <v/>
      </c>
      <c r="O934" s="66" t="str">
        <f t="shared" si="103"/>
        <v/>
      </c>
      <c r="P934" s="66" t="str">
        <f t="shared" si="104"/>
        <v/>
      </c>
    </row>
    <row r="935" spans="8:16">
      <c r="H935" s="66" t="e">
        <f>IF(LEFT(A935,6)="CEPNTR","GPINS",VLOOKUP(LEFT(A935,6),'Code Library'!$A$3:$B$920,2,0))&amp;"_"&amp;RIGHT(A935,3)</f>
        <v>#N/A</v>
      </c>
      <c r="I935" s="66">
        <f t="shared" si="98"/>
        <v>0</v>
      </c>
      <c r="K935" s="66" t="str">
        <f t="shared" si="99"/>
        <v/>
      </c>
      <c r="L935" s="66" t="str">
        <f t="shared" si="100"/>
        <v/>
      </c>
      <c r="M935" s="66" t="str">
        <f t="shared" si="101"/>
        <v/>
      </c>
      <c r="N935" s="66" t="str">
        <f t="shared" si="102"/>
        <v/>
      </c>
      <c r="O935" s="66" t="str">
        <f t="shared" si="103"/>
        <v/>
      </c>
      <c r="P935" s="66" t="str">
        <f t="shared" si="104"/>
        <v/>
      </c>
    </row>
    <row r="936" spans="8:16">
      <c r="H936" s="66" t="e">
        <f>IF(LEFT(A936,6)="CEPNTR","GPINS",VLOOKUP(LEFT(A936,6),'Code Library'!$A$3:$B$920,2,0))&amp;"_"&amp;RIGHT(A936,3)</f>
        <v>#N/A</v>
      </c>
      <c r="I936" s="66">
        <f t="shared" si="98"/>
        <v>0</v>
      </c>
      <c r="K936" s="66" t="str">
        <f t="shared" si="99"/>
        <v/>
      </c>
      <c r="L936" s="66" t="str">
        <f t="shared" si="100"/>
        <v/>
      </c>
      <c r="M936" s="66" t="str">
        <f t="shared" si="101"/>
        <v/>
      </c>
      <c r="N936" s="66" t="str">
        <f t="shared" si="102"/>
        <v/>
      </c>
      <c r="O936" s="66" t="str">
        <f t="shared" si="103"/>
        <v/>
      </c>
      <c r="P936" s="66" t="str">
        <f t="shared" si="104"/>
        <v/>
      </c>
    </row>
    <row r="937" spans="8:16">
      <c r="H937" s="66" t="e">
        <f>IF(LEFT(A937,6)="CEPNTR","GPINS",VLOOKUP(LEFT(A937,6),'Code Library'!$A$3:$B$920,2,0))&amp;"_"&amp;RIGHT(A937,3)</f>
        <v>#N/A</v>
      </c>
      <c r="I937" s="66">
        <f t="shared" si="98"/>
        <v>0</v>
      </c>
      <c r="K937" s="66" t="str">
        <f t="shared" si="99"/>
        <v/>
      </c>
      <c r="L937" s="66" t="str">
        <f t="shared" si="100"/>
        <v/>
      </c>
      <c r="M937" s="66" t="str">
        <f t="shared" si="101"/>
        <v/>
      </c>
      <c r="N937" s="66" t="str">
        <f t="shared" si="102"/>
        <v/>
      </c>
      <c r="O937" s="66" t="str">
        <f t="shared" si="103"/>
        <v/>
      </c>
      <c r="P937" s="66" t="str">
        <f t="shared" si="104"/>
        <v/>
      </c>
    </row>
    <row r="938" spans="8:16">
      <c r="H938" s="66" t="e">
        <f>IF(LEFT(A938,6)="CEPNTR","GPINS",VLOOKUP(LEFT(A938,6),'Code Library'!$A$3:$B$920,2,0))&amp;"_"&amp;RIGHT(A938,3)</f>
        <v>#N/A</v>
      </c>
      <c r="I938" s="66">
        <f t="shared" si="98"/>
        <v>0</v>
      </c>
      <c r="K938" s="66" t="str">
        <f t="shared" si="99"/>
        <v/>
      </c>
      <c r="L938" s="66" t="str">
        <f t="shared" si="100"/>
        <v/>
      </c>
      <c r="M938" s="66" t="str">
        <f t="shared" si="101"/>
        <v/>
      </c>
      <c r="N938" s="66" t="str">
        <f t="shared" si="102"/>
        <v/>
      </c>
      <c r="O938" s="66" t="str">
        <f t="shared" si="103"/>
        <v/>
      </c>
      <c r="P938" s="66" t="str">
        <f t="shared" si="104"/>
        <v/>
      </c>
    </row>
    <row r="939" spans="8:16">
      <c r="H939" s="66" t="e">
        <f>IF(LEFT(A939,6)="CEPNTR","GPINS",VLOOKUP(LEFT(A939,6),'Code Library'!$A$3:$B$920,2,0))&amp;"_"&amp;RIGHT(A939,3)</f>
        <v>#N/A</v>
      </c>
      <c r="I939" s="66">
        <f t="shared" si="98"/>
        <v>0</v>
      </c>
      <c r="K939" s="66" t="str">
        <f t="shared" si="99"/>
        <v/>
      </c>
      <c r="L939" s="66" t="str">
        <f t="shared" si="100"/>
        <v/>
      </c>
      <c r="M939" s="66" t="str">
        <f t="shared" si="101"/>
        <v/>
      </c>
      <c r="N939" s="66" t="str">
        <f t="shared" si="102"/>
        <v/>
      </c>
      <c r="O939" s="66" t="str">
        <f t="shared" si="103"/>
        <v/>
      </c>
      <c r="P939" s="66" t="str">
        <f t="shared" si="104"/>
        <v/>
      </c>
    </row>
    <row r="940" spans="8:16">
      <c r="H940" s="66" t="e">
        <f>IF(LEFT(A940,6)="CEPNTR","GPINS",VLOOKUP(LEFT(A940,6),'Code Library'!$A$3:$B$920,2,0))&amp;"_"&amp;RIGHT(A940,3)</f>
        <v>#N/A</v>
      </c>
      <c r="I940" s="66">
        <f t="shared" si="98"/>
        <v>0</v>
      </c>
      <c r="K940" s="66" t="str">
        <f t="shared" si="99"/>
        <v/>
      </c>
      <c r="L940" s="66" t="str">
        <f t="shared" si="100"/>
        <v/>
      </c>
      <c r="M940" s="66" t="str">
        <f t="shared" si="101"/>
        <v/>
      </c>
      <c r="N940" s="66" t="str">
        <f t="shared" si="102"/>
        <v/>
      </c>
      <c r="O940" s="66" t="str">
        <f t="shared" si="103"/>
        <v/>
      </c>
      <c r="P940" s="66" t="str">
        <f t="shared" si="104"/>
        <v/>
      </c>
    </row>
    <row r="941" spans="8:16">
      <c r="H941" s="66" t="e">
        <f>IF(LEFT(A941,6)="CEPNTR","GPINS",VLOOKUP(LEFT(A941,6),'Code Library'!$A$3:$B$920,2,0))&amp;"_"&amp;RIGHT(A941,3)</f>
        <v>#N/A</v>
      </c>
      <c r="I941" s="66">
        <f t="shared" si="98"/>
        <v>0</v>
      </c>
      <c r="K941" s="66" t="str">
        <f t="shared" si="99"/>
        <v/>
      </c>
      <c r="L941" s="66" t="str">
        <f t="shared" si="100"/>
        <v/>
      </c>
      <c r="M941" s="66" t="str">
        <f t="shared" si="101"/>
        <v/>
      </c>
      <c r="N941" s="66" t="str">
        <f t="shared" si="102"/>
        <v/>
      </c>
      <c r="O941" s="66" t="str">
        <f t="shared" si="103"/>
        <v/>
      </c>
      <c r="P941" s="66" t="str">
        <f t="shared" si="104"/>
        <v/>
      </c>
    </row>
    <row r="942" spans="8:16">
      <c r="H942" s="66" t="e">
        <f>IF(LEFT(A942,6)="CEPNTR","GPINS",VLOOKUP(LEFT(A942,6),'Code Library'!$A$3:$B$920,2,0))&amp;"_"&amp;RIGHT(A942,3)</f>
        <v>#N/A</v>
      </c>
      <c r="I942" s="66">
        <f t="shared" si="98"/>
        <v>0</v>
      </c>
      <c r="K942" s="66" t="str">
        <f t="shared" si="99"/>
        <v/>
      </c>
      <c r="L942" s="66" t="str">
        <f t="shared" si="100"/>
        <v/>
      </c>
      <c r="M942" s="66" t="str">
        <f t="shared" si="101"/>
        <v/>
      </c>
      <c r="N942" s="66" t="str">
        <f t="shared" si="102"/>
        <v/>
      </c>
      <c r="O942" s="66" t="str">
        <f t="shared" si="103"/>
        <v/>
      </c>
      <c r="P942" s="66" t="str">
        <f t="shared" si="104"/>
        <v/>
      </c>
    </row>
    <row r="943" spans="8:16">
      <c r="H943" s="66" t="e">
        <f>IF(LEFT(A943,6)="CEPNTR","GPINS",VLOOKUP(LEFT(A943,6),'Code Library'!$A$3:$B$920,2,0))&amp;"_"&amp;RIGHT(A943,3)</f>
        <v>#N/A</v>
      </c>
      <c r="I943" s="66">
        <f t="shared" si="98"/>
        <v>0</v>
      </c>
      <c r="K943" s="66" t="str">
        <f t="shared" si="99"/>
        <v/>
      </c>
      <c r="L943" s="66" t="str">
        <f t="shared" si="100"/>
        <v/>
      </c>
      <c r="M943" s="66" t="str">
        <f t="shared" si="101"/>
        <v/>
      </c>
      <c r="N943" s="66" t="str">
        <f t="shared" si="102"/>
        <v/>
      </c>
      <c r="O943" s="66" t="str">
        <f t="shared" si="103"/>
        <v/>
      </c>
      <c r="P943" s="66" t="str">
        <f t="shared" si="104"/>
        <v/>
      </c>
    </row>
    <row r="944" spans="8:16">
      <c r="H944" s="66" t="e">
        <f>IF(LEFT(A944,6)="CEPNTR","GPINS",VLOOKUP(LEFT(A944,6),'Code Library'!$A$3:$B$920,2,0))&amp;"_"&amp;RIGHT(A944,3)</f>
        <v>#N/A</v>
      </c>
      <c r="I944" s="66">
        <f t="shared" si="98"/>
        <v>0</v>
      </c>
      <c r="K944" s="66" t="str">
        <f t="shared" si="99"/>
        <v/>
      </c>
      <c r="L944" s="66" t="str">
        <f t="shared" si="100"/>
        <v/>
      </c>
      <c r="M944" s="66" t="str">
        <f t="shared" si="101"/>
        <v/>
      </c>
      <c r="N944" s="66" t="str">
        <f t="shared" si="102"/>
        <v/>
      </c>
      <c r="O944" s="66" t="str">
        <f t="shared" si="103"/>
        <v/>
      </c>
      <c r="P944" s="66" t="str">
        <f t="shared" si="104"/>
        <v/>
      </c>
    </row>
    <row r="945" spans="8:16">
      <c r="H945" s="66" t="e">
        <f>IF(LEFT(A945,6)="CEPNTR","GPINS",VLOOKUP(LEFT(A945,6),'Code Library'!$A$3:$B$920,2,0))&amp;"_"&amp;RIGHT(A945,3)</f>
        <v>#N/A</v>
      </c>
      <c r="I945" s="66">
        <f t="shared" si="98"/>
        <v>0</v>
      </c>
      <c r="K945" s="66" t="str">
        <f t="shared" si="99"/>
        <v/>
      </c>
      <c r="L945" s="66" t="str">
        <f t="shared" si="100"/>
        <v/>
      </c>
      <c r="M945" s="66" t="str">
        <f t="shared" si="101"/>
        <v/>
      </c>
      <c r="N945" s="66" t="str">
        <f t="shared" si="102"/>
        <v/>
      </c>
      <c r="O945" s="66" t="str">
        <f t="shared" si="103"/>
        <v/>
      </c>
      <c r="P945" s="66" t="str">
        <f t="shared" si="104"/>
        <v/>
      </c>
    </row>
    <row r="946" spans="8:16">
      <c r="H946" s="66" t="e">
        <f>IF(LEFT(A946,6)="CEPNTR","GPINS",VLOOKUP(LEFT(A946,6),'Code Library'!$A$3:$B$920,2,0))&amp;"_"&amp;RIGHT(A946,3)</f>
        <v>#N/A</v>
      </c>
      <c r="I946" s="66">
        <f t="shared" si="98"/>
        <v>0</v>
      </c>
      <c r="K946" s="66" t="str">
        <f t="shared" si="99"/>
        <v/>
      </c>
      <c r="L946" s="66" t="str">
        <f t="shared" si="100"/>
        <v/>
      </c>
      <c r="M946" s="66" t="str">
        <f t="shared" si="101"/>
        <v/>
      </c>
      <c r="N946" s="66" t="str">
        <f t="shared" si="102"/>
        <v/>
      </c>
      <c r="O946" s="66" t="str">
        <f t="shared" si="103"/>
        <v/>
      </c>
      <c r="P946" s="66" t="str">
        <f t="shared" si="104"/>
        <v/>
      </c>
    </row>
    <row r="947" spans="8:16">
      <c r="H947" s="66" t="e">
        <f>IF(LEFT(A947,6)="CEPNTR","GPINS",VLOOKUP(LEFT(A947,6),'Code Library'!$A$3:$B$920,2,0))&amp;"_"&amp;RIGHT(A947,3)</f>
        <v>#N/A</v>
      </c>
      <c r="I947" s="66">
        <f t="shared" si="98"/>
        <v>0</v>
      </c>
      <c r="K947" s="66" t="str">
        <f t="shared" si="99"/>
        <v/>
      </c>
      <c r="L947" s="66" t="str">
        <f t="shared" si="100"/>
        <v/>
      </c>
      <c r="M947" s="66" t="str">
        <f t="shared" si="101"/>
        <v/>
      </c>
      <c r="N947" s="66" t="str">
        <f t="shared" si="102"/>
        <v/>
      </c>
      <c r="O947" s="66" t="str">
        <f t="shared" si="103"/>
        <v/>
      </c>
      <c r="P947" s="66" t="str">
        <f t="shared" si="104"/>
        <v/>
      </c>
    </row>
    <row r="948" spans="8:16">
      <c r="H948" s="66" t="e">
        <f>IF(LEFT(A948,6)="CEPNTR","GPINS",VLOOKUP(LEFT(A948,6),'Code Library'!$A$3:$B$920,2,0))&amp;"_"&amp;RIGHT(A948,3)</f>
        <v>#N/A</v>
      </c>
      <c r="I948" s="66">
        <f t="shared" si="98"/>
        <v>0</v>
      </c>
      <c r="K948" s="66" t="str">
        <f t="shared" si="99"/>
        <v/>
      </c>
      <c r="L948" s="66" t="str">
        <f t="shared" si="100"/>
        <v/>
      </c>
      <c r="M948" s="66" t="str">
        <f t="shared" si="101"/>
        <v/>
      </c>
      <c r="N948" s="66" t="str">
        <f t="shared" si="102"/>
        <v/>
      </c>
      <c r="O948" s="66" t="str">
        <f t="shared" si="103"/>
        <v/>
      </c>
      <c r="P948" s="66" t="str">
        <f t="shared" si="104"/>
        <v/>
      </c>
    </row>
    <row r="949" spans="8:16">
      <c r="H949" s="66" t="e">
        <f>IF(LEFT(A949,6)="CEPNTR","GPINS",VLOOKUP(LEFT(A949,6),'Code Library'!$A$3:$B$920,2,0))&amp;"_"&amp;RIGHT(A949,3)</f>
        <v>#N/A</v>
      </c>
      <c r="I949" s="66">
        <f t="shared" si="98"/>
        <v>0</v>
      </c>
      <c r="K949" s="66" t="str">
        <f t="shared" si="99"/>
        <v/>
      </c>
      <c r="L949" s="66" t="str">
        <f t="shared" si="100"/>
        <v/>
      </c>
      <c r="M949" s="66" t="str">
        <f t="shared" si="101"/>
        <v/>
      </c>
      <c r="N949" s="66" t="str">
        <f t="shared" si="102"/>
        <v/>
      </c>
      <c r="O949" s="66" t="str">
        <f t="shared" si="103"/>
        <v/>
      </c>
      <c r="P949" s="66" t="str">
        <f t="shared" si="104"/>
        <v/>
      </c>
    </row>
    <row r="950" spans="8:16">
      <c r="H950" s="66" t="e">
        <f>IF(LEFT(A950,6)="CEPNTR","GPINS",VLOOKUP(LEFT(A950,6),'Code Library'!$A$3:$B$920,2,0))&amp;"_"&amp;RIGHT(A950,3)</f>
        <v>#N/A</v>
      </c>
      <c r="I950" s="66">
        <f t="shared" si="98"/>
        <v>0</v>
      </c>
      <c r="K950" s="66" t="str">
        <f t="shared" si="99"/>
        <v/>
      </c>
      <c r="L950" s="66" t="str">
        <f t="shared" si="100"/>
        <v/>
      </c>
      <c r="M950" s="66" t="str">
        <f t="shared" si="101"/>
        <v/>
      </c>
      <c r="N950" s="66" t="str">
        <f t="shared" si="102"/>
        <v/>
      </c>
      <c r="O950" s="66" t="str">
        <f t="shared" si="103"/>
        <v/>
      </c>
      <c r="P950" s="66" t="str">
        <f t="shared" si="104"/>
        <v/>
      </c>
    </row>
    <row r="951" spans="8:16">
      <c r="H951" s="66" t="e">
        <f>IF(LEFT(A951,6)="CEPNTR","GPINS",VLOOKUP(LEFT(A951,6),'Code Library'!$A$3:$B$920,2,0))&amp;"_"&amp;RIGHT(A951,3)</f>
        <v>#N/A</v>
      </c>
      <c r="I951" s="66">
        <f t="shared" si="98"/>
        <v>0</v>
      </c>
      <c r="K951" s="66" t="str">
        <f t="shared" si="99"/>
        <v/>
      </c>
      <c r="L951" s="66" t="str">
        <f t="shared" si="100"/>
        <v/>
      </c>
      <c r="M951" s="66" t="str">
        <f t="shared" si="101"/>
        <v/>
      </c>
      <c r="N951" s="66" t="str">
        <f t="shared" si="102"/>
        <v/>
      </c>
      <c r="O951" s="66" t="str">
        <f t="shared" si="103"/>
        <v/>
      </c>
      <c r="P951" s="66" t="str">
        <f t="shared" si="104"/>
        <v/>
      </c>
    </row>
    <row r="952" spans="8:16">
      <c r="H952" s="66" t="e">
        <f>IF(LEFT(A952,6)="CEPNTR","GPINS",VLOOKUP(LEFT(A952,6),'Code Library'!$A$3:$B$920,2,0))&amp;"_"&amp;RIGHT(A952,3)</f>
        <v>#N/A</v>
      </c>
      <c r="I952" s="66">
        <f t="shared" si="98"/>
        <v>0</v>
      </c>
      <c r="K952" s="66" t="str">
        <f t="shared" si="99"/>
        <v/>
      </c>
      <c r="L952" s="66" t="str">
        <f t="shared" si="100"/>
        <v/>
      </c>
      <c r="M952" s="66" t="str">
        <f t="shared" si="101"/>
        <v/>
      </c>
      <c r="N952" s="66" t="str">
        <f t="shared" si="102"/>
        <v/>
      </c>
      <c r="O952" s="66" t="str">
        <f t="shared" si="103"/>
        <v/>
      </c>
      <c r="P952" s="66" t="str">
        <f t="shared" si="104"/>
        <v/>
      </c>
    </row>
    <row r="953" spans="8:16">
      <c r="H953" s="66" t="e">
        <f>IF(LEFT(A953,6)="CEPNTR","GPINS",VLOOKUP(LEFT(A953,6),'Code Library'!$A$3:$B$920,2,0))&amp;"_"&amp;RIGHT(A953,3)</f>
        <v>#N/A</v>
      </c>
      <c r="I953" s="66">
        <f t="shared" si="98"/>
        <v>0</v>
      </c>
      <c r="K953" s="66" t="str">
        <f t="shared" si="99"/>
        <v/>
      </c>
      <c r="L953" s="66" t="str">
        <f t="shared" si="100"/>
        <v/>
      </c>
      <c r="M953" s="66" t="str">
        <f t="shared" si="101"/>
        <v/>
      </c>
      <c r="N953" s="66" t="str">
        <f t="shared" si="102"/>
        <v/>
      </c>
      <c r="O953" s="66" t="str">
        <f t="shared" si="103"/>
        <v/>
      </c>
      <c r="P953" s="66" t="str">
        <f t="shared" si="104"/>
        <v/>
      </c>
    </row>
    <row r="954" spans="8:16">
      <c r="H954" s="66" t="e">
        <f>IF(LEFT(A954,6)="CEPNTR","GPINS",VLOOKUP(LEFT(A954,6),'Code Library'!$A$3:$B$920,2,0))&amp;"_"&amp;RIGHT(A954,3)</f>
        <v>#N/A</v>
      </c>
      <c r="I954" s="66">
        <f t="shared" si="98"/>
        <v>0</v>
      </c>
      <c r="K954" s="66" t="str">
        <f t="shared" si="99"/>
        <v/>
      </c>
      <c r="L954" s="66" t="str">
        <f t="shared" si="100"/>
        <v/>
      </c>
      <c r="M954" s="66" t="str">
        <f t="shared" si="101"/>
        <v/>
      </c>
      <c r="N954" s="66" t="str">
        <f t="shared" si="102"/>
        <v/>
      </c>
      <c r="O954" s="66" t="str">
        <f t="shared" si="103"/>
        <v/>
      </c>
      <c r="P954" s="66" t="str">
        <f t="shared" si="104"/>
        <v/>
      </c>
    </row>
    <row r="955" spans="8:16">
      <c r="H955" s="66" t="e">
        <f>IF(LEFT(A955,6)="CEPNTR","GPINS",VLOOKUP(LEFT(A955,6),'Code Library'!$A$3:$B$920,2,0))&amp;"_"&amp;RIGHT(A955,3)</f>
        <v>#N/A</v>
      </c>
      <c r="I955" s="66">
        <f t="shared" si="98"/>
        <v>0</v>
      </c>
      <c r="K955" s="66" t="str">
        <f t="shared" si="99"/>
        <v/>
      </c>
      <c r="L955" s="66" t="str">
        <f t="shared" si="100"/>
        <v/>
      </c>
      <c r="M955" s="66" t="str">
        <f t="shared" si="101"/>
        <v/>
      </c>
      <c r="N955" s="66" t="str">
        <f t="shared" si="102"/>
        <v/>
      </c>
      <c r="O955" s="66" t="str">
        <f t="shared" si="103"/>
        <v/>
      </c>
      <c r="P955" s="66" t="str">
        <f t="shared" si="104"/>
        <v/>
      </c>
    </row>
    <row r="956" spans="8:16">
      <c r="H956" s="66" t="e">
        <f>IF(LEFT(A956,6)="CEPNTR","GPINS",VLOOKUP(LEFT(A956,6),'Code Library'!$A$3:$B$920,2,0))&amp;"_"&amp;RIGHT(A956,3)</f>
        <v>#N/A</v>
      </c>
      <c r="I956" s="66">
        <f t="shared" si="98"/>
        <v>0</v>
      </c>
      <c r="K956" s="66" t="str">
        <f t="shared" si="99"/>
        <v/>
      </c>
      <c r="L956" s="66" t="str">
        <f t="shared" si="100"/>
        <v/>
      </c>
      <c r="M956" s="66" t="str">
        <f t="shared" si="101"/>
        <v/>
      </c>
      <c r="N956" s="66" t="str">
        <f t="shared" si="102"/>
        <v/>
      </c>
      <c r="O956" s="66" t="str">
        <f t="shared" si="103"/>
        <v/>
      </c>
      <c r="P956" s="66" t="str">
        <f t="shared" si="104"/>
        <v/>
      </c>
    </row>
    <row r="957" spans="8:16">
      <c r="H957" s="66" t="e">
        <f>IF(LEFT(A957,6)="CEPNTR","GPINS",VLOOKUP(LEFT(A957,6),'Code Library'!$A$3:$B$920,2,0))&amp;"_"&amp;RIGHT(A957,3)</f>
        <v>#N/A</v>
      </c>
      <c r="I957" s="66">
        <f t="shared" si="98"/>
        <v>0</v>
      </c>
      <c r="K957" s="66" t="str">
        <f t="shared" si="99"/>
        <v/>
      </c>
      <c r="L957" s="66" t="str">
        <f t="shared" si="100"/>
        <v/>
      </c>
      <c r="M957" s="66" t="str">
        <f t="shared" si="101"/>
        <v/>
      </c>
      <c r="N957" s="66" t="str">
        <f t="shared" si="102"/>
        <v/>
      </c>
      <c r="O957" s="66" t="str">
        <f t="shared" si="103"/>
        <v/>
      </c>
      <c r="P957" s="66" t="str">
        <f t="shared" si="104"/>
        <v/>
      </c>
    </row>
    <row r="958" spans="8:16">
      <c r="H958" s="66" t="e">
        <f>IF(LEFT(A958,6)="CEPNTR","GPINS",VLOOKUP(LEFT(A958,6),'Code Library'!$A$3:$B$920,2,0))&amp;"_"&amp;RIGHT(A958,3)</f>
        <v>#N/A</v>
      </c>
      <c r="I958" s="66">
        <f t="shared" si="98"/>
        <v>0</v>
      </c>
      <c r="K958" s="66" t="str">
        <f t="shared" si="99"/>
        <v/>
      </c>
      <c r="L958" s="66" t="str">
        <f t="shared" si="100"/>
        <v/>
      </c>
      <c r="M958" s="66" t="str">
        <f t="shared" si="101"/>
        <v/>
      </c>
      <c r="N958" s="66" t="str">
        <f t="shared" si="102"/>
        <v/>
      </c>
      <c r="O958" s="66" t="str">
        <f t="shared" si="103"/>
        <v/>
      </c>
      <c r="P958" s="66" t="str">
        <f t="shared" si="104"/>
        <v/>
      </c>
    </row>
    <row r="959" spans="8:16">
      <c r="H959" s="66" t="e">
        <f>IF(LEFT(A959,6)="CEPNTR","GPINS",VLOOKUP(LEFT(A959,6),'Code Library'!$A$3:$B$920,2,0))&amp;"_"&amp;RIGHT(A959,3)</f>
        <v>#N/A</v>
      </c>
      <c r="I959" s="66">
        <f t="shared" si="98"/>
        <v>0</v>
      </c>
      <c r="K959" s="66" t="str">
        <f t="shared" si="99"/>
        <v/>
      </c>
      <c r="L959" s="66" t="str">
        <f t="shared" si="100"/>
        <v/>
      </c>
      <c r="M959" s="66" t="str">
        <f t="shared" si="101"/>
        <v/>
      </c>
      <c r="N959" s="66" t="str">
        <f t="shared" si="102"/>
        <v/>
      </c>
      <c r="O959" s="66" t="str">
        <f t="shared" si="103"/>
        <v/>
      </c>
      <c r="P959" s="66" t="str">
        <f t="shared" si="104"/>
        <v/>
      </c>
    </row>
    <row r="960" spans="8:16">
      <c r="H960" s="66" t="e">
        <f>IF(LEFT(A960,6)="CEPNTR","GPINS",VLOOKUP(LEFT(A960,6),'Code Library'!$A$3:$B$920,2,0))&amp;"_"&amp;RIGHT(A960,3)</f>
        <v>#N/A</v>
      </c>
      <c r="I960" s="66">
        <f t="shared" si="98"/>
        <v>0</v>
      </c>
      <c r="K960" s="66" t="str">
        <f t="shared" si="99"/>
        <v/>
      </c>
      <c r="L960" s="66" t="str">
        <f t="shared" si="100"/>
        <v/>
      </c>
      <c r="M960" s="66" t="str">
        <f t="shared" si="101"/>
        <v/>
      </c>
      <c r="N960" s="66" t="str">
        <f t="shared" si="102"/>
        <v/>
      </c>
      <c r="O960" s="66" t="str">
        <f t="shared" si="103"/>
        <v/>
      </c>
      <c r="P960" s="66" t="str">
        <f t="shared" si="104"/>
        <v/>
      </c>
    </row>
    <row r="961" spans="8:16">
      <c r="H961" s="66" t="e">
        <f>IF(LEFT(A961,6)="CEPNTR","GPINS",VLOOKUP(LEFT(A961,6),'Code Library'!$A$3:$B$920,2,0))&amp;"_"&amp;RIGHT(A961,3)</f>
        <v>#N/A</v>
      </c>
      <c r="I961" s="66">
        <f t="shared" si="98"/>
        <v>0</v>
      </c>
      <c r="K961" s="66" t="str">
        <f t="shared" si="99"/>
        <v/>
      </c>
      <c r="L961" s="66" t="str">
        <f t="shared" si="100"/>
        <v/>
      </c>
      <c r="M961" s="66" t="str">
        <f t="shared" si="101"/>
        <v/>
      </c>
      <c r="N961" s="66" t="str">
        <f t="shared" si="102"/>
        <v/>
      </c>
      <c r="O961" s="66" t="str">
        <f t="shared" si="103"/>
        <v/>
      </c>
      <c r="P961" s="66" t="str">
        <f t="shared" si="104"/>
        <v/>
      </c>
    </row>
    <row r="962" spans="8:16">
      <c r="H962" s="66" t="e">
        <f>IF(LEFT(A962,6)="CEPNTR","GPINS",VLOOKUP(LEFT(A962,6),'Code Library'!$A$3:$B$920,2,0))&amp;"_"&amp;RIGHT(A962,3)</f>
        <v>#N/A</v>
      </c>
      <c r="I962" s="66">
        <f t="shared" si="98"/>
        <v>0</v>
      </c>
      <c r="K962" s="66" t="str">
        <f t="shared" si="99"/>
        <v/>
      </c>
      <c r="L962" s="66" t="str">
        <f t="shared" si="100"/>
        <v/>
      </c>
      <c r="M962" s="66" t="str">
        <f t="shared" si="101"/>
        <v/>
      </c>
      <c r="N962" s="66" t="str">
        <f t="shared" si="102"/>
        <v/>
      </c>
      <c r="O962" s="66" t="str">
        <f t="shared" si="103"/>
        <v/>
      </c>
      <c r="P962" s="66" t="str">
        <f t="shared" si="104"/>
        <v/>
      </c>
    </row>
    <row r="963" spans="8:16">
      <c r="H963" s="66" t="e">
        <f>IF(LEFT(A963,6)="CEPNTR","GPINS",VLOOKUP(LEFT(A963,6),'Code Library'!$A$3:$B$920,2,0))&amp;"_"&amp;RIGHT(A963,3)</f>
        <v>#N/A</v>
      </c>
      <c r="I963" s="66">
        <f t="shared" ref="I963:I1026" si="105">A963</f>
        <v>0</v>
      </c>
      <c r="K963" s="66" t="str">
        <f t="shared" ref="K963:K1026" si="106">RIGHT($B963,2)</f>
        <v/>
      </c>
      <c r="L963" s="66" t="str">
        <f t="shared" ref="L963:L1026" si="107">LEFT(RIGHT($B963,7),4)</f>
        <v/>
      </c>
      <c r="M963" s="66" t="str">
        <f t="shared" ref="M963:M1026" si="108">LEFT(RIGHT($B963,10),2)</f>
        <v/>
      </c>
      <c r="N963" s="66" t="str">
        <f t="shared" ref="N963:N1026" si="109">LEFT(RIGHT($B963,14),3)</f>
        <v/>
      </c>
      <c r="O963" s="66" t="str">
        <f t="shared" ref="O963:O1026" si="110">LEFT(RIGHT($B963,16),1)</f>
        <v/>
      </c>
      <c r="P963" s="66" t="str">
        <f t="shared" ref="P963:P1026" si="111">LEFT(RIGHT($B963,19),2)</f>
        <v/>
      </c>
    </row>
    <row r="964" spans="8:16">
      <c r="H964" s="66" t="e">
        <f>IF(LEFT(A964,6)="CEPNTR","GPINS",VLOOKUP(LEFT(A964,6),'Code Library'!$A$3:$B$920,2,0))&amp;"_"&amp;RIGHT(A964,3)</f>
        <v>#N/A</v>
      </c>
      <c r="I964" s="66">
        <f t="shared" si="105"/>
        <v>0</v>
      </c>
      <c r="K964" s="66" t="str">
        <f t="shared" si="106"/>
        <v/>
      </c>
      <c r="L964" s="66" t="str">
        <f t="shared" si="107"/>
        <v/>
      </c>
      <c r="M964" s="66" t="str">
        <f t="shared" si="108"/>
        <v/>
      </c>
      <c r="N964" s="66" t="str">
        <f t="shared" si="109"/>
        <v/>
      </c>
      <c r="O964" s="66" t="str">
        <f t="shared" si="110"/>
        <v/>
      </c>
      <c r="P964" s="66" t="str">
        <f t="shared" si="111"/>
        <v/>
      </c>
    </row>
    <row r="965" spans="8:16">
      <c r="H965" s="66" t="e">
        <f>IF(LEFT(A965,6)="CEPNTR","GPINS",VLOOKUP(LEFT(A965,6),'Code Library'!$A$3:$B$920,2,0))&amp;"_"&amp;RIGHT(A965,3)</f>
        <v>#N/A</v>
      </c>
      <c r="I965" s="66">
        <f t="shared" si="105"/>
        <v>0</v>
      </c>
      <c r="K965" s="66" t="str">
        <f t="shared" si="106"/>
        <v/>
      </c>
      <c r="L965" s="66" t="str">
        <f t="shared" si="107"/>
        <v/>
      </c>
      <c r="M965" s="66" t="str">
        <f t="shared" si="108"/>
        <v/>
      </c>
      <c r="N965" s="66" t="str">
        <f t="shared" si="109"/>
        <v/>
      </c>
      <c r="O965" s="66" t="str">
        <f t="shared" si="110"/>
        <v/>
      </c>
      <c r="P965" s="66" t="str">
        <f t="shared" si="111"/>
        <v/>
      </c>
    </row>
    <row r="966" spans="8:16">
      <c r="H966" s="66" t="e">
        <f>IF(LEFT(A966,6)="CEPNTR","GPINS",VLOOKUP(LEFT(A966,6),'Code Library'!$A$3:$B$920,2,0))&amp;"_"&amp;RIGHT(A966,3)</f>
        <v>#N/A</v>
      </c>
      <c r="I966" s="66">
        <f t="shared" si="105"/>
        <v>0</v>
      </c>
      <c r="K966" s="66" t="str">
        <f t="shared" si="106"/>
        <v/>
      </c>
      <c r="L966" s="66" t="str">
        <f t="shared" si="107"/>
        <v/>
      </c>
      <c r="M966" s="66" t="str">
        <f t="shared" si="108"/>
        <v/>
      </c>
      <c r="N966" s="66" t="str">
        <f t="shared" si="109"/>
        <v/>
      </c>
      <c r="O966" s="66" t="str">
        <f t="shared" si="110"/>
        <v/>
      </c>
      <c r="P966" s="66" t="str">
        <f t="shared" si="111"/>
        <v/>
      </c>
    </row>
    <row r="967" spans="8:16">
      <c r="H967" s="66" t="e">
        <f>IF(LEFT(A967,6)="CEPNTR","GPINS",VLOOKUP(LEFT(A967,6),'Code Library'!$A$3:$B$920,2,0))&amp;"_"&amp;RIGHT(A967,3)</f>
        <v>#N/A</v>
      </c>
      <c r="I967" s="66">
        <f t="shared" si="105"/>
        <v>0</v>
      </c>
      <c r="K967" s="66" t="str">
        <f t="shared" si="106"/>
        <v/>
      </c>
      <c r="L967" s="66" t="str">
        <f t="shared" si="107"/>
        <v/>
      </c>
      <c r="M967" s="66" t="str">
        <f t="shared" si="108"/>
        <v/>
      </c>
      <c r="N967" s="66" t="str">
        <f t="shared" si="109"/>
        <v/>
      </c>
      <c r="O967" s="66" t="str">
        <f t="shared" si="110"/>
        <v/>
      </c>
      <c r="P967" s="66" t="str">
        <f t="shared" si="111"/>
        <v/>
      </c>
    </row>
    <row r="968" spans="8:16">
      <c r="H968" s="66" t="e">
        <f>IF(LEFT(A968,6)="CEPNTR","GPINS",VLOOKUP(LEFT(A968,6),'Code Library'!$A$3:$B$920,2,0))&amp;"_"&amp;RIGHT(A968,3)</f>
        <v>#N/A</v>
      </c>
      <c r="I968" s="66">
        <f t="shared" si="105"/>
        <v>0</v>
      </c>
      <c r="K968" s="66" t="str">
        <f t="shared" si="106"/>
        <v/>
      </c>
      <c r="L968" s="66" t="str">
        <f t="shared" si="107"/>
        <v/>
      </c>
      <c r="M968" s="66" t="str">
        <f t="shared" si="108"/>
        <v/>
      </c>
      <c r="N968" s="66" t="str">
        <f t="shared" si="109"/>
        <v/>
      </c>
      <c r="O968" s="66" t="str">
        <f t="shared" si="110"/>
        <v/>
      </c>
      <c r="P968" s="66" t="str">
        <f t="shared" si="111"/>
        <v/>
      </c>
    </row>
    <row r="969" spans="8:16">
      <c r="H969" s="66" t="e">
        <f>IF(LEFT(A969,6)="CEPNTR","GPINS",VLOOKUP(LEFT(A969,6),'Code Library'!$A$3:$B$920,2,0))&amp;"_"&amp;RIGHT(A969,3)</f>
        <v>#N/A</v>
      </c>
      <c r="I969" s="66">
        <f t="shared" si="105"/>
        <v>0</v>
      </c>
      <c r="K969" s="66" t="str">
        <f t="shared" si="106"/>
        <v/>
      </c>
      <c r="L969" s="66" t="str">
        <f t="shared" si="107"/>
        <v/>
      </c>
      <c r="M969" s="66" t="str">
        <f t="shared" si="108"/>
        <v/>
      </c>
      <c r="N969" s="66" t="str">
        <f t="shared" si="109"/>
        <v/>
      </c>
      <c r="O969" s="66" t="str">
        <f t="shared" si="110"/>
        <v/>
      </c>
      <c r="P969" s="66" t="str">
        <f t="shared" si="111"/>
        <v/>
      </c>
    </row>
    <row r="970" spans="8:16">
      <c r="H970" s="66" t="e">
        <f>IF(LEFT(A970,6)="CEPNTR","GPINS",VLOOKUP(LEFT(A970,6),'Code Library'!$A$3:$B$920,2,0))&amp;"_"&amp;RIGHT(A970,3)</f>
        <v>#N/A</v>
      </c>
      <c r="I970" s="66">
        <f t="shared" si="105"/>
        <v>0</v>
      </c>
      <c r="K970" s="66" t="str">
        <f t="shared" si="106"/>
        <v/>
      </c>
      <c r="L970" s="66" t="str">
        <f t="shared" si="107"/>
        <v/>
      </c>
      <c r="M970" s="66" t="str">
        <f t="shared" si="108"/>
        <v/>
      </c>
      <c r="N970" s="66" t="str">
        <f t="shared" si="109"/>
        <v/>
      </c>
      <c r="O970" s="66" t="str">
        <f t="shared" si="110"/>
        <v/>
      </c>
      <c r="P970" s="66" t="str">
        <f t="shared" si="111"/>
        <v/>
      </c>
    </row>
    <row r="971" spans="8:16">
      <c r="H971" s="66" t="e">
        <f>IF(LEFT(A971,6)="CEPNTR","GPINS",VLOOKUP(LEFT(A971,6),'Code Library'!$A$3:$B$920,2,0))&amp;"_"&amp;RIGHT(A971,3)</f>
        <v>#N/A</v>
      </c>
      <c r="I971" s="66">
        <f t="shared" si="105"/>
        <v>0</v>
      </c>
      <c r="K971" s="66" t="str">
        <f t="shared" si="106"/>
        <v/>
      </c>
      <c r="L971" s="66" t="str">
        <f t="shared" si="107"/>
        <v/>
      </c>
      <c r="M971" s="66" t="str">
        <f t="shared" si="108"/>
        <v/>
      </c>
      <c r="N971" s="66" t="str">
        <f t="shared" si="109"/>
        <v/>
      </c>
      <c r="O971" s="66" t="str">
        <f t="shared" si="110"/>
        <v/>
      </c>
      <c r="P971" s="66" t="str">
        <f t="shared" si="111"/>
        <v/>
      </c>
    </row>
    <row r="972" spans="8:16">
      <c r="H972" s="66" t="e">
        <f>IF(LEFT(A972,6)="CEPNTR","GPINS",VLOOKUP(LEFT(A972,6),'Code Library'!$A$3:$B$920,2,0))&amp;"_"&amp;RIGHT(A972,3)</f>
        <v>#N/A</v>
      </c>
      <c r="I972" s="66">
        <f t="shared" si="105"/>
        <v>0</v>
      </c>
      <c r="K972" s="66" t="str">
        <f t="shared" si="106"/>
        <v/>
      </c>
      <c r="L972" s="66" t="str">
        <f t="shared" si="107"/>
        <v/>
      </c>
      <c r="M972" s="66" t="str">
        <f t="shared" si="108"/>
        <v/>
      </c>
      <c r="N972" s="66" t="str">
        <f t="shared" si="109"/>
        <v/>
      </c>
      <c r="O972" s="66" t="str">
        <f t="shared" si="110"/>
        <v/>
      </c>
      <c r="P972" s="66" t="str">
        <f t="shared" si="111"/>
        <v/>
      </c>
    </row>
    <row r="973" spans="8:16">
      <c r="H973" s="66" t="e">
        <f>IF(LEFT(A973,6)="CEPNTR","GPINS",VLOOKUP(LEFT(A973,6),'Code Library'!$A$3:$B$920,2,0))&amp;"_"&amp;RIGHT(A973,3)</f>
        <v>#N/A</v>
      </c>
      <c r="I973" s="66">
        <f t="shared" si="105"/>
        <v>0</v>
      </c>
      <c r="K973" s="66" t="str">
        <f t="shared" si="106"/>
        <v/>
      </c>
      <c r="L973" s="66" t="str">
        <f t="shared" si="107"/>
        <v/>
      </c>
      <c r="M973" s="66" t="str">
        <f t="shared" si="108"/>
        <v/>
      </c>
      <c r="N973" s="66" t="str">
        <f t="shared" si="109"/>
        <v/>
      </c>
      <c r="O973" s="66" t="str">
        <f t="shared" si="110"/>
        <v/>
      </c>
      <c r="P973" s="66" t="str">
        <f t="shared" si="111"/>
        <v/>
      </c>
    </row>
    <row r="974" spans="8:16">
      <c r="H974" s="66" t="e">
        <f>IF(LEFT(A974,6)="CEPNTR","GPINS",VLOOKUP(LEFT(A974,6),'Code Library'!$A$3:$B$920,2,0))&amp;"_"&amp;RIGHT(A974,3)</f>
        <v>#N/A</v>
      </c>
      <c r="I974" s="66">
        <f t="shared" si="105"/>
        <v>0</v>
      </c>
      <c r="K974" s="66" t="str">
        <f t="shared" si="106"/>
        <v/>
      </c>
      <c r="L974" s="66" t="str">
        <f t="shared" si="107"/>
        <v/>
      </c>
      <c r="M974" s="66" t="str">
        <f t="shared" si="108"/>
        <v/>
      </c>
      <c r="N974" s="66" t="str">
        <f t="shared" si="109"/>
        <v/>
      </c>
      <c r="O974" s="66" t="str">
        <f t="shared" si="110"/>
        <v/>
      </c>
      <c r="P974" s="66" t="str">
        <f t="shared" si="111"/>
        <v/>
      </c>
    </row>
    <row r="975" spans="8:16">
      <c r="H975" s="66" t="e">
        <f>IF(LEFT(A975,6)="CEPNTR","GPINS",VLOOKUP(LEFT(A975,6),'Code Library'!$A$3:$B$920,2,0))&amp;"_"&amp;RIGHT(A975,3)</f>
        <v>#N/A</v>
      </c>
      <c r="I975" s="66">
        <f t="shared" si="105"/>
        <v>0</v>
      </c>
      <c r="K975" s="66" t="str">
        <f t="shared" si="106"/>
        <v/>
      </c>
      <c r="L975" s="66" t="str">
        <f t="shared" si="107"/>
        <v/>
      </c>
      <c r="M975" s="66" t="str">
        <f t="shared" si="108"/>
        <v/>
      </c>
      <c r="N975" s="66" t="str">
        <f t="shared" si="109"/>
        <v/>
      </c>
      <c r="O975" s="66" t="str">
        <f t="shared" si="110"/>
        <v/>
      </c>
      <c r="P975" s="66" t="str">
        <f t="shared" si="111"/>
        <v/>
      </c>
    </row>
    <row r="976" spans="8:16">
      <c r="H976" s="66" t="e">
        <f>IF(LEFT(A976,6)="CEPNTR","GPINS",VLOOKUP(LEFT(A976,6),'Code Library'!$A$3:$B$920,2,0))&amp;"_"&amp;RIGHT(A976,3)</f>
        <v>#N/A</v>
      </c>
      <c r="I976" s="66">
        <f t="shared" si="105"/>
        <v>0</v>
      </c>
      <c r="K976" s="66" t="str">
        <f t="shared" si="106"/>
        <v/>
      </c>
      <c r="L976" s="66" t="str">
        <f t="shared" si="107"/>
        <v/>
      </c>
      <c r="M976" s="66" t="str">
        <f t="shared" si="108"/>
        <v/>
      </c>
      <c r="N976" s="66" t="str">
        <f t="shared" si="109"/>
        <v/>
      </c>
      <c r="O976" s="66" t="str">
        <f t="shared" si="110"/>
        <v/>
      </c>
      <c r="P976" s="66" t="str">
        <f t="shared" si="111"/>
        <v/>
      </c>
    </row>
    <row r="977" spans="8:16">
      <c r="H977" s="66" t="e">
        <f>IF(LEFT(A977,6)="CEPNTR","GPINS",VLOOKUP(LEFT(A977,6),'Code Library'!$A$3:$B$920,2,0))&amp;"_"&amp;RIGHT(A977,3)</f>
        <v>#N/A</v>
      </c>
      <c r="I977" s="66">
        <f t="shared" si="105"/>
        <v>0</v>
      </c>
      <c r="K977" s="66" t="str">
        <f t="shared" si="106"/>
        <v/>
      </c>
      <c r="L977" s="66" t="str">
        <f t="shared" si="107"/>
        <v/>
      </c>
      <c r="M977" s="66" t="str">
        <f t="shared" si="108"/>
        <v/>
      </c>
      <c r="N977" s="66" t="str">
        <f t="shared" si="109"/>
        <v/>
      </c>
      <c r="O977" s="66" t="str">
        <f t="shared" si="110"/>
        <v/>
      </c>
      <c r="P977" s="66" t="str">
        <f t="shared" si="111"/>
        <v/>
      </c>
    </row>
    <row r="978" spans="8:16">
      <c r="H978" s="66" t="e">
        <f>IF(LEFT(A978,6)="CEPNTR","GPINS",VLOOKUP(LEFT(A978,6),'Code Library'!$A$3:$B$920,2,0))&amp;"_"&amp;RIGHT(A978,3)</f>
        <v>#N/A</v>
      </c>
      <c r="I978" s="66">
        <f t="shared" si="105"/>
        <v>0</v>
      </c>
      <c r="K978" s="66" t="str">
        <f t="shared" si="106"/>
        <v/>
      </c>
      <c r="L978" s="66" t="str">
        <f t="shared" si="107"/>
        <v/>
      </c>
      <c r="M978" s="66" t="str">
        <f t="shared" si="108"/>
        <v/>
      </c>
      <c r="N978" s="66" t="str">
        <f t="shared" si="109"/>
        <v/>
      </c>
      <c r="O978" s="66" t="str">
        <f t="shared" si="110"/>
        <v/>
      </c>
      <c r="P978" s="66" t="str">
        <f t="shared" si="111"/>
        <v/>
      </c>
    </row>
    <row r="979" spans="8:16">
      <c r="H979" s="66" t="e">
        <f>IF(LEFT(A979,6)="CEPNTR","GPINS",VLOOKUP(LEFT(A979,6),'Code Library'!$A$3:$B$920,2,0))&amp;"_"&amp;RIGHT(A979,3)</f>
        <v>#N/A</v>
      </c>
      <c r="I979" s="66">
        <f t="shared" si="105"/>
        <v>0</v>
      </c>
      <c r="K979" s="66" t="str">
        <f t="shared" si="106"/>
        <v/>
      </c>
      <c r="L979" s="66" t="str">
        <f t="shared" si="107"/>
        <v/>
      </c>
      <c r="M979" s="66" t="str">
        <f t="shared" si="108"/>
        <v/>
      </c>
      <c r="N979" s="66" t="str">
        <f t="shared" si="109"/>
        <v/>
      </c>
      <c r="O979" s="66" t="str">
        <f t="shared" si="110"/>
        <v/>
      </c>
      <c r="P979" s="66" t="str">
        <f t="shared" si="111"/>
        <v/>
      </c>
    </row>
    <row r="980" spans="8:16">
      <c r="H980" s="66" t="e">
        <f>IF(LEFT(A980,6)="CEPNTR","GPINS",VLOOKUP(LEFT(A980,6),'Code Library'!$A$3:$B$920,2,0))&amp;"_"&amp;RIGHT(A980,3)</f>
        <v>#N/A</v>
      </c>
      <c r="I980" s="66">
        <f t="shared" si="105"/>
        <v>0</v>
      </c>
      <c r="K980" s="66" t="str">
        <f t="shared" si="106"/>
        <v/>
      </c>
      <c r="L980" s="66" t="str">
        <f t="shared" si="107"/>
        <v/>
      </c>
      <c r="M980" s="66" t="str">
        <f t="shared" si="108"/>
        <v/>
      </c>
      <c r="N980" s="66" t="str">
        <f t="shared" si="109"/>
        <v/>
      </c>
      <c r="O980" s="66" t="str">
        <f t="shared" si="110"/>
        <v/>
      </c>
      <c r="P980" s="66" t="str">
        <f t="shared" si="111"/>
        <v/>
      </c>
    </row>
    <row r="981" spans="8:16">
      <c r="H981" s="66" t="e">
        <f>IF(LEFT(A981,6)="CEPNTR","GPINS",VLOOKUP(LEFT(A981,6),'Code Library'!$A$3:$B$920,2,0))&amp;"_"&amp;RIGHT(A981,3)</f>
        <v>#N/A</v>
      </c>
      <c r="I981" s="66">
        <f t="shared" si="105"/>
        <v>0</v>
      </c>
      <c r="K981" s="66" t="str">
        <f t="shared" si="106"/>
        <v/>
      </c>
      <c r="L981" s="66" t="str">
        <f t="shared" si="107"/>
        <v/>
      </c>
      <c r="M981" s="66" t="str">
        <f t="shared" si="108"/>
        <v/>
      </c>
      <c r="N981" s="66" t="str">
        <f t="shared" si="109"/>
        <v/>
      </c>
      <c r="O981" s="66" t="str">
        <f t="shared" si="110"/>
        <v/>
      </c>
      <c r="P981" s="66" t="str">
        <f t="shared" si="111"/>
        <v/>
      </c>
    </row>
    <row r="982" spans="8:16">
      <c r="H982" s="66" t="e">
        <f>IF(LEFT(A982,6)="CEPNTR","GPINS",VLOOKUP(LEFT(A982,6),'Code Library'!$A$3:$B$920,2,0))&amp;"_"&amp;RIGHT(A982,3)</f>
        <v>#N/A</v>
      </c>
      <c r="I982" s="66">
        <f t="shared" si="105"/>
        <v>0</v>
      </c>
      <c r="K982" s="66" t="str">
        <f t="shared" si="106"/>
        <v/>
      </c>
      <c r="L982" s="66" t="str">
        <f t="shared" si="107"/>
        <v/>
      </c>
      <c r="M982" s="66" t="str">
        <f t="shared" si="108"/>
        <v/>
      </c>
      <c r="N982" s="66" t="str">
        <f t="shared" si="109"/>
        <v/>
      </c>
      <c r="O982" s="66" t="str">
        <f t="shared" si="110"/>
        <v/>
      </c>
      <c r="P982" s="66" t="str">
        <f t="shared" si="111"/>
        <v/>
      </c>
    </row>
    <row r="983" spans="8:16">
      <c r="H983" s="66" t="e">
        <f>IF(LEFT(A983,6)="CEPNTR","GPINS",VLOOKUP(LEFT(A983,6),'Code Library'!$A$3:$B$920,2,0))&amp;"_"&amp;RIGHT(A983,3)</f>
        <v>#N/A</v>
      </c>
      <c r="I983" s="66">
        <f t="shared" si="105"/>
        <v>0</v>
      </c>
      <c r="K983" s="66" t="str">
        <f t="shared" si="106"/>
        <v/>
      </c>
      <c r="L983" s="66" t="str">
        <f t="shared" si="107"/>
        <v/>
      </c>
      <c r="M983" s="66" t="str">
        <f t="shared" si="108"/>
        <v/>
      </c>
      <c r="N983" s="66" t="str">
        <f t="shared" si="109"/>
        <v/>
      </c>
      <c r="O983" s="66" t="str">
        <f t="shared" si="110"/>
        <v/>
      </c>
      <c r="P983" s="66" t="str">
        <f t="shared" si="111"/>
        <v/>
      </c>
    </row>
    <row r="984" spans="8:16">
      <c r="H984" s="66" t="e">
        <f>IF(LEFT(A984,6)="CEPNTR","GPINS",VLOOKUP(LEFT(A984,6),'Code Library'!$A$3:$B$920,2,0))&amp;"_"&amp;RIGHT(A984,3)</f>
        <v>#N/A</v>
      </c>
      <c r="I984" s="66">
        <f t="shared" si="105"/>
        <v>0</v>
      </c>
      <c r="K984" s="66" t="str">
        <f t="shared" si="106"/>
        <v/>
      </c>
      <c r="L984" s="66" t="str">
        <f t="shared" si="107"/>
        <v/>
      </c>
      <c r="M984" s="66" t="str">
        <f t="shared" si="108"/>
        <v/>
      </c>
      <c r="N984" s="66" t="str">
        <f t="shared" si="109"/>
        <v/>
      </c>
      <c r="O984" s="66" t="str">
        <f t="shared" si="110"/>
        <v/>
      </c>
      <c r="P984" s="66" t="str">
        <f t="shared" si="111"/>
        <v/>
      </c>
    </row>
    <row r="985" spans="8:16">
      <c r="H985" s="66" t="e">
        <f>IF(LEFT(A985,6)="CEPNTR","GPINS",VLOOKUP(LEFT(A985,6),'Code Library'!$A$3:$B$920,2,0))&amp;"_"&amp;RIGHT(A985,3)</f>
        <v>#N/A</v>
      </c>
      <c r="I985" s="66">
        <f t="shared" si="105"/>
        <v>0</v>
      </c>
      <c r="K985" s="66" t="str">
        <f t="shared" si="106"/>
        <v/>
      </c>
      <c r="L985" s="66" t="str">
        <f t="shared" si="107"/>
        <v/>
      </c>
      <c r="M985" s="66" t="str">
        <f t="shared" si="108"/>
        <v/>
      </c>
      <c r="N985" s="66" t="str">
        <f t="shared" si="109"/>
        <v/>
      </c>
      <c r="O985" s="66" t="str">
        <f t="shared" si="110"/>
        <v/>
      </c>
      <c r="P985" s="66" t="str">
        <f t="shared" si="111"/>
        <v/>
      </c>
    </row>
    <row r="986" spans="8:16">
      <c r="H986" s="66" t="e">
        <f>IF(LEFT(A986,6)="CEPNTR","GPINS",VLOOKUP(LEFT(A986,6),'Code Library'!$A$3:$B$920,2,0))&amp;"_"&amp;RIGHT(A986,3)</f>
        <v>#N/A</v>
      </c>
      <c r="I986" s="66">
        <f t="shared" si="105"/>
        <v>0</v>
      </c>
      <c r="K986" s="66" t="str">
        <f t="shared" si="106"/>
        <v/>
      </c>
      <c r="L986" s="66" t="str">
        <f t="shared" si="107"/>
        <v/>
      </c>
      <c r="M986" s="66" t="str">
        <f t="shared" si="108"/>
        <v/>
      </c>
      <c r="N986" s="66" t="str">
        <f t="shared" si="109"/>
        <v/>
      </c>
      <c r="O986" s="66" t="str">
        <f t="shared" si="110"/>
        <v/>
      </c>
      <c r="P986" s="66" t="str">
        <f t="shared" si="111"/>
        <v/>
      </c>
    </row>
    <row r="987" spans="8:16">
      <c r="H987" s="66" t="e">
        <f>IF(LEFT(A987,6)="CEPNTR","GPINS",VLOOKUP(LEFT(A987,6),'Code Library'!$A$3:$B$920,2,0))&amp;"_"&amp;RIGHT(A987,3)</f>
        <v>#N/A</v>
      </c>
      <c r="I987" s="66">
        <f t="shared" si="105"/>
        <v>0</v>
      </c>
      <c r="K987" s="66" t="str">
        <f t="shared" si="106"/>
        <v/>
      </c>
      <c r="L987" s="66" t="str">
        <f t="shared" si="107"/>
        <v/>
      </c>
      <c r="M987" s="66" t="str">
        <f t="shared" si="108"/>
        <v/>
      </c>
      <c r="N987" s="66" t="str">
        <f t="shared" si="109"/>
        <v/>
      </c>
      <c r="O987" s="66" t="str">
        <f t="shared" si="110"/>
        <v/>
      </c>
      <c r="P987" s="66" t="str">
        <f t="shared" si="111"/>
        <v/>
      </c>
    </row>
    <row r="988" spans="8:16">
      <c r="H988" s="66" t="e">
        <f>IF(LEFT(A988,6)="CEPNTR","GPINS",VLOOKUP(LEFT(A988,6),'Code Library'!$A$3:$B$920,2,0))&amp;"_"&amp;RIGHT(A988,3)</f>
        <v>#N/A</v>
      </c>
      <c r="I988" s="66">
        <f t="shared" si="105"/>
        <v>0</v>
      </c>
      <c r="K988" s="66" t="str">
        <f t="shared" si="106"/>
        <v/>
      </c>
      <c r="L988" s="66" t="str">
        <f t="shared" si="107"/>
        <v/>
      </c>
      <c r="M988" s="66" t="str">
        <f t="shared" si="108"/>
        <v/>
      </c>
      <c r="N988" s="66" t="str">
        <f t="shared" si="109"/>
        <v/>
      </c>
      <c r="O988" s="66" t="str">
        <f t="shared" si="110"/>
        <v/>
      </c>
      <c r="P988" s="66" t="str">
        <f t="shared" si="111"/>
        <v/>
      </c>
    </row>
    <row r="989" spans="8:16">
      <c r="H989" s="66" t="e">
        <f>IF(LEFT(A989,6)="CEPNTR","GPINS",VLOOKUP(LEFT(A989,6),'Code Library'!$A$3:$B$920,2,0))&amp;"_"&amp;RIGHT(A989,3)</f>
        <v>#N/A</v>
      </c>
      <c r="I989" s="66">
        <f t="shared" si="105"/>
        <v>0</v>
      </c>
      <c r="K989" s="66" t="str">
        <f t="shared" si="106"/>
        <v/>
      </c>
      <c r="L989" s="66" t="str">
        <f t="shared" si="107"/>
        <v/>
      </c>
      <c r="M989" s="66" t="str">
        <f t="shared" si="108"/>
        <v/>
      </c>
      <c r="N989" s="66" t="str">
        <f t="shared" si="109"/>
        <v/>
      </c>
      <c r="O989" s="66" t="str">
        <f t="shared" si="110"/>
        <v/>
      </c>
      <c r="P989" s="66" t="str">
        <f t="shared" si="111"/>
        <v/>
      </c>
    </row>
    <row r="990" spans="8:16">
      <c r="H990" s="66" t="e">
        <f>IF(LEFT(A990,6)="CEPNTR","GPINS",VLOOKUP(LEFT(A990,6),'Code Library'!$A$3:$B$920,2,0))&amp;"_"&amp;RIGHT(A990,3)</f>
        <v>#N/A</v>
      </c>
      <c r="I990" s="66">
        <f t="shared" si="105"/>
        <v>0</v>
      </c>
      <c r="K990" s="66" t="str">
        <f t="shared" si="106"/>
        <v/>
      </c>
      <c r="L990" s="66" t="str">
        <f t="shared" si="107"/>
        <v/>
      </c>
      <c r="M990" s="66" t="str">
        <f t="shared" si="108"/>
        <v/>
      </c>
      <c r="N990" s="66" t="str">
        <f t="shared" si="109"/>
        <v/>
      </c>
      <c r="O990" s="66" t="str">
        <f t="shared" si="110"/>
        <v/>
      </c>
      <c r="P990" s="66" t="str">
        <f t="shared" si="111"/>
        <v/>
      </c>
    </row>
    <row r="991" spans="8:16">
      <c r="H991" s="66" t="e">
        <f>IF(LEFT(A991,6)="CEPNTR","GPINS",VLOOKUP(LEFT(A991,6),'Code Library'!$A$3:$B$920,2,0))&amp;"_"&amp;RIGHT(A991,3)</f>
        <v>#N/A</v>
      </c>
      <c r="I991" s="66">
        <f t="shared" si="105"/>
        <v>0</v>
      </c>
      <c r="K991" s="66" t="str">
        <f t="shared" si="106"/>
        <v/>
      </c>
      <c r="L991" s="66" t="str">
        <f t="shared" si="107"/>
        <v/>
      </c>
      <c r="M991" s="66" t="str">
        <f t="shared" si="108"/>
        <v/>
      </c>
      <c r="N991" s="66" t="str">
        <f t="shared" si="109"/>
        <v/>
      </c>
      <c r="O991" s="66" t="str">
        <f t="shared" si="110"/>
        <v/>
      </c>
      <c r="P991" s="66" t="str">
        <f t="shared" si="111"/>
        <v/>
      </c>
    </row>
    <row r="992" spans="8:16">
      <c r="H992" s="66" t="e">
        <f>IF(LEFT(A992,6)="CEPNTR","GPINS",VLOOKUP(LEFT(A992,6),'Code Library'!$A$3:$B$920,2,0))&amp;"_"&amp;RIGHT(A992,3)</f>
        <v>#N/A</v>
      </c>
      <c r="I992" s="66">
        <f t="shared" si="105"/>
        <v>0</v>
      </c>
      <c r="K992" s="66" t="str">
        <f t="shared" si="106"/>
        <v/>
      </c>
      <c r="L992" s="66" t="str">
        <f t="shared" si="107"/>
        <v/>
      </c>
      <c r="M992" s="66" t="str">
        <f t="shared" si="108"/>
        <v/>
      </c>
      <c r="N992" s="66" t="str">
        <f t="shared" si="109"/>
        <v/>
      </c>
      <c r="O992" s="66" t="str">
        <f t="shared" si="110"/>
        <v/>
      </c>
      <c r="P992" s="66" t="str">
        <f t="shared" si="111"/>
        <v/>
      </c>
    </row>
    <row r="993" spans="8:16">
      <c r="H993" s="66" t="e">
        <f>IF(LEFT(A993,6)="CEPNTR","GPINS",VLOOKUP(LEFT(A993,6),'Code Library'!$A$3:$B$920,2,0))&amp;"_"&amp;RIGHT(A993,3)</f>
        <v>#N/A</v>
      </c>
      <c r="I993" s="66">
        <f t="shared" si="105"/>
        <v>0</v>
      </c>
      <c r="K993" s="66" t="str">
        <f t="shared" si="106"/>
        <v/>
      </c>
      <c r="L993" s="66" t="str">
        <f t="shared" si="107"/>
        <v/>
      </c>
      <c r="M993" s="66" t="str">
        <f t="shared" si="108"/>
        <v/>
      </c>
      <c r="N993" s="66" t="str">
        <f t="shared" si="109"/>
        <v/>
      </c>
      <c r="O993" s="66" t="str">
        <f t="shared" si="110"/>
        <v/>
      </c>
      <c r="P993" s="66" t="str">
        <f t="shared" si="111"/>
        <v/>
      </c>
    </row>
    <row r="994" spans="8:16">
      <c r="H994" s="66" t="e">
        <f>IF(LEFT(A994,6)="CEPNTR","GPINS",VLOOKUP(LEFT(A994,6),'Code Library'!$A$3:$B$920,2,0))&amp;"_"&amp;RIGHT(A994,3)</f>
        <v>#N/A</v>
      </c>
      <c r="I994" s="66">
        <f t="shared" si="105"/>
        <v>0</v>
      </c>
      <c r="K994" s="66" t="str">
        <f t="shared" si="106"/>
        <v/>
      </c>
      <c r="L994" s="66" t="str">
        <f t="shared" si="107"/>
        <v/>
      </c>
      <c r="M994" s="66" t="str">
        <f t="shared" si="108"/>
        <v/>
      </c>
      <c r="N994" s="66" t="str">
        <f t="shared" si="109"/>
        <v/>
      </c>
      <c r="O994" s="66" t="str">
        <f t="shared" si="110"/>
        <v/>
      </c>
      <c r="P994" s="66" t="str">
        <f t="shared" si="111"/>
        <v/>
      </c>
    </row>
    <row r="995" spans="8:16">
      <c r="H995" s="66" t="e">
        <f>IF(LEFT(A995,6)="CEPNTR","GPINS",VLOOKUP(LEFT(A995,6),'Code Library'!$A$3:$B$920,2,0))&amp;"_"&amp;RIGHT(A995,3)</f>
        <v>#N/A</v>
      </c>
      <c r="I995" s="66">
        <f t="shared" si="105"/>
        <v>0</v>
      </c>
      <c r="K995" s="66" t="str">
        <f t="shared" si="106"/>
        <v/>
      </c>
      <c r="L995" s="66" t="str">
        <f t="shared" si="107"/>
        <v/>
      </c>
      <c r="M995" s="66" t="str">
        <f t="shared" si="108"/>
        <v/>
      </c>
      <c r="N995" s="66" t="str">
        <f t="shared" si="109"/>
        <v/>
      </c>
      <c r="O995" s="66" t="str">
        <f t="shared" si="110"/>
        <v/>
      </c>
      <c r="P995" s="66" t="str">
        <f t="shared" si="111"/>
        <v/>
      </c>
    </row>
    <row r="996" spans="8:16">
      <c r="H996" s="66" t="e">
        <f>IF(LEFT(A996,6)="CEPNTR","GPINS",VLOOKUP(LEFT(A996,6),'Code Library'!$A$3:$B$920,2,0))&amp;"_"&amp;RIGHT(A996,3)</f>
        <v>#N/A</v>
      </c>
      <c r="I996" s="66">
        <f t="shared" si="105"/>
        <v>0</v>
      </c>
      <c r="K996" s="66" t="str">
        <f t="shared" si="106"/>
        <v/>
      </c>
      <c r="L996" s="66" t="str">
        <f t="shared" si="107"/>
        <v/>
      </c>
      <c r="M996" s="66" t="str">
        <f t="shared" si="108"/>
        <v/>
      </c>
      <c r="N996" s="66" t="str">
        <f t="shared" si="109"/>
        <v/>
      </c>
      <c r="O996" s="66" t="str">
        <f t="shared" si="110"/>
        <v/>
      </c>
      <c r="P996" s="66" t="str">
        <f t="shared" si="111"/>
        <v/>
      </c>
    </row>
    <row r="997" spans="8:16">
      <c r="H997" s="66" t="e">
        <f>IF(LEFT(A997,6)="CEPNTR","GPINS",VLOOKUP(LEFT(A997,6),'Code Library'!$A$3:$B$920,2,0))&amp;"_"&amp;RIGHT(A997,3)</f>
        <v>#N/A</v>
      </c>
      <c r="I997" s="66">
        <f t="shared" si="105"/>
        <v>0</v>
      </c>
      <c r="K997" s="66" t="str">
        <f t="shared" si="106"/>
        <v/>
      </c>
      <c r="L997" s="66" t="str">
        <f t="shared" si="107"/>
        <v/>
      </c>
      <c r="M997" s="66" t="str">
        <f t="shared" si="108"/>
        <v/>
      </c>
      <c r="N997" s="66" t="str">
        <f t="shared" si="109"/>
        <v/>
      </c>
      <c r="O997" s="66" t="str">
        <f t="shared" si="110"/>
        <v/>
      </c>
      <c r="P997" s="66" t="str">
        <f t="shared" si="111"/>
        <v/>
      </c>
    </row>
    <row r="998" spans="8:16">
      <c r="H998" s="66" t="e">
        <f>IF(LEFT(A998,6)="CEPNTR","GPINS",VLOOKUP(LEFT(A998,6),'Code Library'!$A$3:$B$920,2,0))&amp;"_"&amp;RIGHT(A998,3)</f>
        <v>#N/A</v>
      </c>
      <c r="I998" s="66">
        <f t="shared" si="105"/>
        <v>0</v>
      </c>
      <c r="K998" s="66" t="str">
        <f t="shared" si="106"/>
        <v/>
      </c>
      <c r="L998" s="66" t="str">
        <f t="shared" si="107"/>
        <v/>
      </c>
      <c r="M998" s="66" t="str">
        <f t="shared" si="108"/>
        <v/>
      </c>
      <c r="N998" s="66" t="str">
        <f t="shared" si="109"/>
        <v/>
      </c>
      <c r="O998" s="66" t="str">
        <f t="shared" si="110"/>
        <v/>
      </c>
      <c r="P998" s="66" t="str">
        <f t="shared" si="111"/>
        <v/>
      </c>
    </row>
    <row r="999" spans="8:16">
      <c r="H999" s="66" t="e">
        <f>IF(LEFT(A999,6)="CEPNTR","GPINS",VLOOKUP(LEFT(A999,6),'Code Library'!$A$3:$B$920,2,0))&amp;"_"&amp;RIGHT(A999,3)</f>
        <v>#N/A</v>
      </c>
      <c r="I999" s="66">
        <f t="shared" si="105"/>
        <v>0</v>
      </c>
      <c r="K999" s="66" t="str">
        <f t="shared" si="106"/>
        <v/>
      </c>
      <c r="L999" s="66" t="str">
        <f t="shared" si="107"/>
        <v/>
      </c>
      <c r="M999" s="66" t="str">
        <f t="shared" si="108"/>
        <v/>
      </c>
      <c r="N999" s="66" t="str">
        <f t="shared" si="109"/>
        <v/>
      </c>
      <c r="O999" s="66" t="str">
        <f t="shared" si="110"/>
        <v/>
      </c>
      <c r="P999" s="66" t="str">
        <f t="shared" si="111"/>
        <v/>
      </c>
    </row>
    <row r="1000" spans="8:16">
      <c r="H1000" s="66" t="e">
        <f>IF(LEFT(A1000,6)="CEPNTR","GPINS",VLOOKUP(LEFT(A1000,6),'Code Library'!$A$3:$B$920,2,0))&amp;"_"&amp;RIGHT(A1000,3)</f>
        <v>#N/A</v>
      </c>
      <c r="I1000" s="66">
        <f t="shared" si="105"/>
        <v>0</v>
      </c>
      <c r="K1000" s="66" t="str">
        <f t="shared" si="106"/>
        <v/>
      </c>
      <c r="L1000" s="66" t="str">
        <f t="shared" si="107"/>
        <v/>
      </c>
      <c r="M1000" s="66" t="str">
        <f t="shared" si="108"/>
        <v/>
      </c>
      <c r="N1000" s="66" t="str">
        <f t="shared" si="109"/>
        <v/>
      </c>
      <c r="O1000" s="66" t="str">
        <f t="shared" si="110"/>
        <v/>
      </c>
      <c r="P1000" s="66" t="str">
        <f t="shared" si="111"/>
        <v/>
      </c>
    </row>
    <row r="1001" spans="8:16">
      <c r="H1001" s="66" t="e">
        <f>IF(LEFT(A1001,6)="CEPNTR","GPINS",VLOOKUP(LEFT(A1001,6),'Code Library'!$A$3:$B$920,2,0))&amp;"_"&amp;RIGHT(A1001,3)</f>
        <v>#N/A</v>
      </c>
      <c r="I1001" s="66">
        <f t="shared" si="105"/>
        <v>0</v>
      </c>
      <c r="K1001" s="66" t="str">
        <f t="shared" si="106"/>
        <v/>
      </c>
      <c r="L1001" s="66" t="str">
        <f t="shared" si="107"/>
        <v/>
      </c>
      <c r="M1001" s="66" t="str">
        <f t="shared" si="108"/>
        <v/>
      </c>
      <c r="N1001" s="66" t="str">
        <f t="shared" si="109"/>
        <v/>
      </c>
      <c r="O1001" s="66" t="str">
        <f t="shared" si="110"/>
        <v/>
      </c>
      <c r="P1001" s="66" t="str">
        <f t="shared" si="111"/>
        <v/>
      </c>
    </row>
    <row r="1002" spans="8:16">
      <c r="H1002" s="66" t="e">
        <f>IF(LEFT(A1002,6)="CEPNTR","GPINS",VLOOKUP(LEFT(A1002,6),'Code Library'!$A$3:$B$920,2,0))&amp;"_"&amp;RIGHT(A1002,3)</f>
        <v>#N/A</v>
      </c>
      <c r="I1002" s="66">
        <f t="shared" si="105"/>
        <v>0</v>
      </c>
      <c r="K1002" s="66" t="str">
        <f t="shared" si="106"/>
        <v/>
      </c>
      <c r="L1002" s="66" t="str">
        <f t="shared" si="107"/>
        <v/>
      </c>
      <c r="M1002" s="66" t="str">
        <f t="shared" si="108"/>
        <v/>
      </c>
      <c r="N1002" s="66" t="str">
        <f t="shared" si="109"/>
        <v/>
      </c>
      <c r="O1002" s="66" t="str">
        <f t="shared" si="110"/>
        <v/>
      </c>
      <c r="P1002" s="66" t="str">
        <f t="shared" si="111"/>
        <v/>
      </c>
    </row>
    <row r="1003" spans="8:16">
      <c r="H1003" s="66" t="e">
        <f>IF(LEFT(A1003,6)="CEPNTR","GPINS",VLOOKUP(LEFT(A1003,6),'Code Library'!$A$3:$B$920,2,0))&amp;"_"&amp;RIGHT(A1003,3)</f>
        <v>#N/A</v>
      </c>
      <c r="I1003" s="66">
        <f t="shared" si="105"/>
        <v>0</v>
      </c>
      <c r="K1003" s="66" t="str">
        <f t="shared" si="106"/>
        <v/>
      </c>
      <c r="L1003" s="66" t="str">
        <f t="shared" si="107"/>
        <v/>
      </c>
      <c r="M1003" s="66" t="str">
        <f t="shared" si="108"/>
        <v/>
      </c>
      <c r="N1003" s="66" t="str">
        <f t="shared" si="109"/>
        <v/>
      </c>
      <c r="O1003" s="66" t="str">
        <f t="shared" si="110"/>
        <v/>
      </c>
      <c r="P1003" s="66" t="str">
        <f t="shared" si="111"/>
        <v/>
      </c>
    </row>
    <row r="1004" spans="8:16">
      <c r="H1004" s="66" t="e">
        <f>IF(LEFT(A1004,6)="CEPNTR","GPINS",VLOOKUP(LEFT(A1004,6),'Code Library'!$A$3:$B$920,2,0))&amp;"_"&amp;RIGHT(A1004,3)</f>
        <v>#N/A</v>
      </c>
      <c r="I1004" s="66">
        <f t="shared" si="105"/>
        <v>0</v>
      </c>
      <c r="K1004" s="66" t="str">
        <f t="shared" si="106"/>
        <v/>
      </c>
      <c r="L1004" s="66" t="str">
        <f t="shared" si="107"/>
        <v/>
      </c>
      <c r="M1004" s="66" t="str">
        <f t="shared" si="108"/>
        <v/>
      </c>
      <c r="N1004" s="66" t="str">
        <f t="shared" si="109"/>
        <v/>
      </c>
      <c r="O1004" s="66" t="str">
        <f t="shared" si="110"/>
        <v/>
      </c>
      <c r="P1004" s="66" t="str">
        <f t="shared" si="111"/>
        <v/>
      </c>
    </row>
    <row r="1005" spans="8:16">
      <c r="H1005" s="66" t="e">
        <f>IF(LEFT(A1005,6)="CEPNTR","GPINS",VLOOKUP(LEFT(A1005,6),'Code Library'!$A$3:$B$920,2,0))&amp;"_"&amp;RIGHT(A1005,3)</f>
        <v>#N/A</v>
      </c>
      <c r="I1005" s="66">
        <f t="shared" si="105"/>
        <v>0</v>
      </c>
      <c r="K1005" s="66" t="str">
        <f t="shared" si="106"/>
        <v/>
      </c>
      <c r="L1005" s="66" t="str">
        <f t="shared" si="107"/>
        <v/>
      </c>
      <c r="M1005" s="66" t="str">
        <f t="shared" si="108"/>
        <v/>
      </c>
      <c r="N1005" s="66" t="str">
        <f t="shared" si="109"/>
        <v/>
      </c>
      <c r="O1005" s="66" t="str">
        <f t="shared" si="110"/>
        <v/>
      </c>
      <c r="P1005" s="66" t="str">
        <f t="shared" si="111"/>
        <v/>
      </c>
    </row>
    <row r="1006" spans="8:16">
      <c r="H1006" s="66" t="e">
        <f>IF(LEFT(A1006,6)="CEPNTR","GPINS",VLOOKUP(LEFT(A1006,6),'Code Library'!$A$3:$B$920,2,0))&amp;"_"&amp;RIGHT(A1006,3)</f>
        <v>#N/A</v>
      </c>
      <c r="I1006" s="66">
        <f t="shared" si="105"/>
        <v>0</v>
      </c>
      <c r="K1006" s="66" t="str">
        <f t="shared" si="106"/>
        <v/>
      </c>
      <c r="L1006" s="66" t="str">
        <f t="shared" si="107"/>
        <v/>
      </c>
      <c r="M1006" s="66" t="str">
        <f t="shared" si="108"/>
        <v/>
      </c>
      <c r="N1006" s="66" t="str">
        <f t="shared" si="109"/>
        <v/>
      </c>
      <c r="O1006" s="66" t="str">
        <f t="shared" si="110"/>
        <v/>
      </c>
      <c r="P1006" s="66" t="str">
        <f t="shared" si="111"/>
        <v/>
      </c>
    </row>
    <row r="1007" spans="8:16">
      <c r="H1007" s="66" t="e">
        <f>IF(LEFT(A1007,6)="CEPNTR","GPINS",VLOOKUP(LEFT(A1007,6),'Code Library'!$A$3:$B$920,2,0))&amp;"_"&amp;RIGHT(A1007,3)</f>
        <v>#N/A</v>
      </c>
      <c r="I1007" s="66">
        <f t="shared" si="105"/>
        <v>0</v>
      </c>
      <c r="K1007" s="66" t="str">
        <f t="shared" si="106"/>
        <v/>
      </c>
      <c r="L1007" s="66" t="str">
        <f t="shared" si="107"/>
        <v/>
      </c>
      <c r="M1007" s="66" t="str">
        <f t="shared" si="108"/>
        <v/>
      </c>
      <c r="N1007" s="66" t="str">
        <f t="shared" si="109"/>
        <v/>
      </c>
      <c r="O1007" s="66" t="str">
        <f t="shared" si="110"/>
        <v/>
      </c>
      <c r="P1007" s="66" t="str">
        <f t="shared" si="111"/>
        <v/>
      </c>
    </row>
    <row r="1008" spans="8:16">
      <c r="H1008" s="66" t="e">
        <f>IF(LEFT(A1008,6)="CEPNTR","GPINS",VLOOKUP(LEFT(A1008,6),'Code Library'!$A$3:$B$920,2,0))&amp;"_"&amp;RIGHT(A1008,3)</f>
        <v>#N/A</v>
      </c>
      <c r="I1008" s="66">
        <f t="shared" si="105"/>
        <v>0</v>
      </c>
      <c r="K1008" s="66" t="str">
        <f t="shared" si="106"/>
        <v/>
      </c>
      <c r="L1008" s="66" t="str">
        <f t="shared" si="107"/>
        <v/>
      </c>
      <c r="M1008" s="66" t="str">
        <f t="shared" si="108"/>
        <v/>
      </c>
      <c r="N1008" s="66" t="str">
        <f t="shared" si="109"/>
        <v/>
      </c>
      <c r="O1008" s="66" t="str">
        <f t="shared" si="110"/>
        <v/>
      </c>
      <c r="P1008" s="66" t="str">
        <f t="shared" si="111"/>
        <v/>
      </c>
    </row>
    <row r="1009" spans="8:16">
      <c r="H1009" s="66" t="e">
        <f>IF(LEFT(A1009,6)="CEPNTR","GPINS",VLOOKUP(LEFT(A1009,6),'Code Library'!$A$3:$B$920,2,0))&amp;"_"&amp;RIGHT(A1009,3)</f>
        <v>#N/A</v>
      </c>
      <c r="I1009" s="66">
        <f t="shared" si="105"/>
        <v>0</v>
      </c>
      <c r="K1009" s="66" t="str">
        <f t="shared" si="106"/>
        <v/>
      </c>
      <c r="L1009" s="66" t="str">
        <f t="shared" si="107"/>
        <v/>
      </c>
      <c r="M1009" s="66" t="str">
        <f t="shared" si="108"/>
        <v/>
      </c>
      <c r="N1009" s="66" t="str">
        <f t="shared" si="109"/>
        <v/>
      </c>
      <c r="O1009" s="66" t="str">
        <f t="shared" si="110"/>
        <v/>
      </c>
      <c r="P1009" s="66" t="str">
        <f t="shared" si="111"/>
        <v/>
      </c>
    </row>
    <row r="1010" spans="8:16">
      <c r="H1010" s="66" t="e">
        <f>IF(LEFT(A1010,6)="CEPNTR","GPINS",VLOOKUP(LEFT(A1010,6),'Code Library'!$A$3:$B$920,2,0))&amp;"_"&amp;RIGHT(A1010,3)</f>
        <v>#N/A</v>
      </c>
      <c r="I1010" s="66">
        <f t="shared" si="105"/>
        <v>0</v>
      </c>
      <c r="K1010" s="66" t="str">
        <f t="shared" si="106"/>
        <v/>
      </c>
      <c r="L1010" s="66" t="str">
        <f t="shared" si="107"/>
        <v/>
      </c>
      <c r="M1010" s="66" t="str">
        <f t="shared" si="108"/>
        <v/>
      </c>
      <c r="N1010" s="66" t="str">
        <f t="shared" si="109"/>
        <v/>
      </c>
      <c r="O1010" s="66" t="str">
        <f t="shared" si="110"/>
        <v/>
      </c>
      <c r="P1010" s="66" t="str">
        <f t="shared" si="111"/>
        <v/>
      </c>
    </row>
    <row r="1011" spans="8:16">
      <c r="H1011" s="66" t="e">
        <f>IF(LEFT(A1011,6)="CEPNTR","GPINS",VLOOKUP(LEFT(A1011,6),'Code Library'!$A$3:$B$920,2,0))&amp;"_"&amp;RIGHT(A1011,3)</f>
        <v>#N/A</v>
      </c>
      <c r="I1011" s="66">
        <f t="shared" si="105"/>
        <v>0</v>
      </c>
      <c r="K1011" s="66" t="str">
        <f t="shared" si="106"/>
        <v/>
      </c>
      <c r="L1011" s="66" t="str">
        <f t="shared" si="107"/>
        <v/>
      </c>
      <c r="M1011" s="66" t="str">
        <f t="shared" si="108"/>
        <v/>
      </c>
      <c r="N1011" s="66" t="str">
        <f t="shared" si="109"/>
        <v/>
      </c>
      <c r="O1011" s="66" t="str">
        <f t="shared" si="110"/>
        <v/>
      </c>
      <c r="P1011" s="66" t="str">
        <f t="shared" si="111"/>
        <v/>
      </c>
    </row>
    <row r="1012" spans="8:16">
      <c r="H1012" s="66" t="e">
        <f>IF(LEFT(A1012,6)="CEPNTR","GPINS",VLOOKUP(LEFT(A1012,6),'Code Library'!$A$3:$B$920,2,0))&amp;"_"&amp;RIGHT(A1012,3)</f>
        <v>#N/A</v>
      </c>
      <c r="I1012" s="66">
        <f t="shared" si="105"/>
        <v>0</v>
      </c>
      <c r="K1012" s="66" t="str">
        <f t="shared" si="106"/>
        <v/>
      </c>
      <c r="L1012" s="66" t="str">
        <f t="shared" si="107"/>
        <v/>
      </c>
      <c r="M1012" s="66" t="str">
        <f t="shared" si="108"/>
        <v/>
      </c>
      <c r="N1012" s="66" t="str">
        <f t="shared" si="109"/>
        <v/>
      </c>
      <c r="O1012" s="66" t="str">
        <f t="shared" si="110"/>
        <v/>
      </c>
      <c r="P1012" s="66" t="str">
        <f t="shared" si="111"/>
        <v/>
      </c>
    </row>
    <row r="1013" spans="8:16">
      <c r="H1013" s="66" t="e">
        <f>IF(LEFT(A1013,6)="CEPNTR","GPINS",VLOOKUP(LEFT(A1013,6),'Code Library'!$A$3:$B$920,2,0))&amp;"_"&amp;RIGHT(A1013,3)</f>
        <v>#N/A</v>
      </c>
      <c r="I1013" s="66">
        <f t="shared" si="105"/>
        <v>0</v>
      </c>
      <c r="K1013" s="66" t="str">
        <f t="shared" si="106"/>
        <v/>
      </c>
      <c r="L1013" s="66" t="str">
        <f t="shared" si="107"/>
        <v/>
      </c>
      <c r="M1013" s="66" t="str">
        <f t="shared" si="108"/>
        <v/>
      </c>
      <c r="N1013" s="66" t="str">
        <f t="shared" si="109"/>
        <v/>
      </c>
      <c r="O1013" s="66" t="str">
        <f t="shared" si="110"/>
        <v/>
      </c>
      <c r="P1013" s="66" t="str">
        <f t="shared" si="111"/>
        <v/>
      </c>
    </row>
    <row r="1014" spans="8:16">
      <c r="H1014" s="66" t="e">
        <f>IF(LEFT(A1014,6)="CEPNTR","GPINS",VLOOKUP(LEFT(A1014,6),'Code Library'!$A$3:$B$920,2,0))&amp;"_"&amp;RIGHT(A1014,3)</f>
        <v>#N/A</v>
      </c>
      <c r="I1014" s="66">
        <f t="shared" si="105"/>
        <v>0</v>
      </c>
      <c r="K1014" s="66" t="str">
        <f t="shared" si="106"/>
        <v/>
      </c>
      <c r="L1014" s="66" t="str">
        <f t="shared" si="107"/>
        <v/>
      </c>
      <c r="M1014" s="66" t="str">
        <f t="shared" si="108"/>
        <v/>
      </c>
      <c r="N1014" s="66" t="str">
        <f t="shared" si="109"/>
        <v/>
      </c>
      <c r="O1014" s="66" t="str">
        <f t="shared" si="110"/>
        <v/>
      </c>
      <c r="P1014" s="66" t="str">
        <f t="shared" si="111"/>
        <v/>
      </c>
    </row>
    <row r="1015" spans="8:16">
      <c r="H1015" s="66" t="e">
        <f>IF(LEFT(A1015,6)="CEPNTR","GPINS",VLOOKUP(LEFT(A1015,6),'Code Library'!$A$3:$B$920,2,0))&amp;"_"&amp;RIGHT(A1015,3)</f>
        <v>#N/A</v>
      </c>
      <c r="I1015" s="66">
        <f t="shared" si="105"/>
        <v>0</v>
      </c>
      <c r="K1015" s="66" t="str">
        <f t="shared" si="106"/>
        <v/>
      </c>
      <c r="L1015" s="66" t="str">
        <f t="shared" si="107"/>
        <v/>
      </c>
      <c r="M1015" s="66" t="str">
        <f t="shared" si="108"/>
        <v/>
      </c>
      <c r="N1015" s="66" t="str">
        <f t="shared" si="109"/>
        <v/>
      </c>
      <c r="O1015" s="66" t="str">
        <f t="shared" si="110"/>
        <v/>
      </c>
      <c r="P1015" s="66" t="str">
        <f t="shared" si="111"/>
        <v/>
      </c>
    </row>
    <row r="1016" spans="8:16">
      <c r="H1016" s="66" t="e">
        <f>IF(LEFT(A1016,6)="CEPNTR","GPINS",VLOOKUP(LEFT(A1016,6),'Code Library'!$A$3:$B$920,2,0))&amp;"_"&amp;RIGHT(A1016,3)</f>
        <v>#N/A</v>
      </c>
      <c r="I1016" s="66">
        <f t="shared" si="105"/>
        <v>0</v>
      </c>
      <c r="K1016" s="66" t="str">
        <f t="shared" si="106"/>
        <v/>
      </c>
      <c r="L1016" s="66" t="str">
        <f t="shared" si="107"/>
        <v/>
      </c>
      <c r="M1016" s="66" t="str">
        <f t="shared" si="108"/>
        <v/>
      </c>
      <c r="N1016" s="66" t="str">
        <f t="shared" si="109"/>
        <v/>
      </c>
      <c r="O1016" s="66" t="str">
        <f t="shared" si="110"/>
        <v/>
      </c>
      <c r="P1016" s="66" t="str">
        <f t="shared" si="111"/>
        <v/>
      </c>
    </row>
    <row r="1017" spans="8:16">
      <c r="H1017" s="66" t="e">
        <f>IF(LEFT(A1017,6)="CEPNTR","GPINS",VLOOKUP(LEFT(A1017,6),'Code Library'!$A$3:$B$920,2,0))&amp;"_"&amp;RIGHT(A1017,3)</f>
        <v>#N/A</v>
      </c>
      <c r="I1017" s="66">
        <f t="shared" si="105"/>
        <v>0</v>
      </c>
      <c r="K1017" s="66" t="str">
        <f t="shared" si="106"/>
        <v/>
      </c>
      <c r="L1017" s="66" t="str">
        <f t="shared" si="107"/>
        <v/>
      </c>
      <c r="M1017" s="66" t="str">
        <f t="shared" si="108"/>
        <v/>
      </c>
      <c r="N1017" s="66" t="str">
        <f t="shared" si="109"/>
        <v/>
      </c>
      <c r="O1017" s="66" t="str">
        <f t="shared" si="110"/>
        <v/>
      </c>
      <c r="P1017" s="66" t="str">
        <f t="shared" si="111"/>
        <v/>
      </c>
    </row>
    <row r="1018" spans="8:16">
      <c r="H1018" s="66" t="e">
        <f>IF(LEFT(A1018,6)="CEPNTR","GPINS",VLOOKUP(LEFT(A1018,6),'Code Library'!$A$3:$B$920,2,0))&amp;"_"&amp;RIGHT(A1018,3)</f>
        <v>#N/A</v>
      </c>
      <c r="I1018" s="66">
        <f t="shared" si="105"/>
        <v>0</v>
      </c>
      <c r="K1018" s="66" t="str">
        <f t="shared" si="106"/>
        <v/>
      </c>
      <c r="L1018" s="66" t="str">
        <f t="shared" si="107"/>
        <v/>
      </c>
      <c r="M1018" s="66" t="str">
        <f t="shared" si="108"/>
        <v/>
      </c>
      <c r="N1018" s="66" t="str">
        <f t="shared" si="109"/>
        <v/>
      </c>
      <c r="O1018" s="66" t="str">
        <f t="shared" si="110"/>
        <v/>
      </c>
      <c r="P1018" s="66" t="str">
        <f t="shared" si="111"/>
        <v/>
      </c>
    </row>
    <row r="1019" spans="8:16">
      <c r="H1019" s="66" t="e">
        <f>IF(LEFT(A1019,6)="CEPNTR","GPINS",VLOOKUP(LEFT(A1019,6),'Code Library'!$A$3:$B$920,2,0))&amp;"_"&amp;RIGHT(A1019,3)</f>
        <v>#N/A</v>
      </c>
      <c r="I1019" s="66">
        <f t="shared" si="105"/>
        <v>0</v>
      </c>
      <c r="K1019" s="66" t="str">
        <f t="shared" si="106"/>
        <v/>
      </c>
      <c r="L1019" s="66" t="str">
        <f t="shared" si="107"/>
        <v/>
      </c>
      <c r="M1019" s="66" t="str">
        <f t="shared" si="108"/>
        <v/>
      </c>
      <c r="N1019" s="66" t="str">
        <f t="shared" si="109"/>
        <v/>
      </c>
      <c r="O1019" s="66" t="str">
        <f t="shared" si="110"/>
        <v/>
      </c>
      <c r="P1019" s="66" t="str">
        <f t="shared" si="111"/>
        <v/>
      </c>
    </row>
    <row r="1020" spans="8:16">
      <c r="H1020" s="66" t="e">
        <f>IF(LEFT(A1020,6)="CEPNTR","GPINS",VLOOKUP(LEFT(A1020,6),'Code Library'!$A$3:$B$920,2,0))&amp;"_"&amp;RIGHT(A1020,3)</f>
        <v>#N/A</v>
      </c>
      <c r="I1020" s="66">
        <f t="shared" si="105"/>
        <v>0</v>
      </c>
      <c r="K1020" s="66" t="str">
        <f t="shared" si="106"/>
        <v/>
      </c>
      <c r="L1020" s="66" t="str">
        <f t="shared" si="107"/>
        <v/>
      </c>
      <c r="M1020" s="66" t="str">
        <f t="shared" si="108"/>
        <v/>
      </c>
      <c r="N1020" s="66" t="str">
        <f t="shared" si="109"/>
        <v/>
      </c>
      <c r="O1020" s="66" t="str">
        <f t="shared" si="110"/>
        <v/>
      </c>
      <c r="P1020" s="66" t="str">
        <f t="shared" si="111"/>
        <v/>
      </c>
    </row>
    <row r="1021" spans="8:16">
      <c r="H1021" s="66" t="e">
        <f>IF(LEFT(A1021,6)="CEPNTR","GPINS",VLOOKUP(LEFT(A1021,6),'Code Library'!$A$3:$B$920,2,0))&amp;"_"&amp;RIGHT(A1021,3)</f>
        <v>#N/A</v>
      </c>
      <c r="I1021" s="66">
        <f t="shared" si="105"/>
        <v>0</v>
      </c>
      <c r="K1021" s="66" t="str">
        <f t="shared" si="106"/>
        <v/>
      </c>
      <c r="L1021" s="66" t="str">
        <f t="shared" si="107"/>
        <v/>
      </c>
      <c r="M1021" s="66" t="str">
        <f t="shared" si="108"/>
        <v/>
      </c>
      <c r="N1021" s="66" t="str">
        <f t="shared" si="109"/>
        <v/>
      </c>
      <c r="O1021" s="66" t="str">
        <f t="shared" si="110"/>
        <v/>
      </c>
      <c r="P1021" s="66" t="str">
        <f t="shared" si="111"/>
        <v/>
      </c>
    </row>
    <row r="1022" spans="8:16">
      <c r="H1022" s="66" t="e">
        <f>IF(LEFT(A1022,6)="CEPNTR","GPINS",VLOOKUP(LEFT(A1022,6),'Code Library'!$A$3:$B$920,2,0))&amp;"_"&amp;RIGHT(A1022,3)</f>
        <v>#N/A</v>
      </c>
      <c r="I1022" s="66">
        <f t="shared" si="105"/>
        <v>0</v>
      </c>
      <c r="K1022" s="66" t="str">
        <f t="shared" si="106"/>
        <v/>
      </c>
      <c r="L1022" s="66" t="str">
        <f t="shared" si="107"/>
        <v/>
      </c>
      <c r="M1022" s="66" t="str">
        <f t="shared" si="108"/>
        <v/>
      </c>
      <c r="N1022" s="66" t="str">
        <f t="shared" si="109"/>
        <v/>
      </c>
      <c r="O1022" s="66" t="str">
        <f t="shared" si="110"/>
        <v/>
      </c>
      <c r="P1022" s="66" t="str">
        <f t="shared" si="111"/>
        <v/>
      </c>
    </row>
    <row r="1023" spans="8:16">
      <c r="H1023" s="66" t="e">
        <f>IF(LEFT(A1023,6)="CEPNTR","GPINS",VLOOKUP(LEFT(A1023,6),'Code Library'!$A$3:$B$920,2,0))&amp;"_"&amp;RIGHT(A1023,3)</f>
        <v>#N/A</v>
      </c>
      <c r="I1023" s="66">
        <f t="shared" si="105"/>
        <v>0</v>
      </c>
      <c r="K1023" s="66" t="str">
        <f t="shared" si="106"/>
        <v/>
      </c>
      <c r="L1023" s="66" t="str">
        <f t="shared" si="107"/>
        <v/>
      </c>
      <c r="M1023" s="66" t="str">
        <f t="shared" si="108"/>
        <v/>
      </c>
      <c r="N1023" s="66" t="str">
        <f t="shared" si="109"/>
        <v/>
      </c>
      <c r="O1023" s="66" t="str">
        <f t="shared" si="110"/>
        <v/>
      </c>
      <c r="P1023" s="66" t="str">
        <f t="shared" si="111"/>
        <v/>
      </c>
    </row>
    <row r="1024" spans="8:16">
      <c r="H1024" s="66" t="e">
        <f>IF(LEFT(A1024,6)="CEPNTR","GPINS",VLOOKUP(LEFT(A1024,6),'Code Library'!$A$3:$B$920,2,0))&amp;"_"&amp;RIGHT(A1024,3)</f>
        <v>#N/A</v>
      </c>
      <c r="I1024" s="66">
        <f t="shared" si="105"/>
        <v>0</v>
      </c>
      <c r="K1024" s="66" t="str">
        <f t="shared" si="106"/>
        <v/>
      </c>
      <c r="L1024" s="66" t="str">
        <f t="shared" si="107"/>
        <v/>
      </c>
      <c r="M1024" s="66" t="str">
        <f t="shared" si="108"/>
        <v/>
      </c>
      <c r="N1024" s="66" t="str">
        <f t="shared" si="109"/>
        <v/>
      </c>
      <c r="O1024" s="66" t="str">
        <f t="shared" si="110"/>
        <v/>
      </c>
      <c r="P1024" s="66" t="str">
        <f t="shared" si="111"/>
        <v/>
      </c>
    </row>
    <row r="1025" spans="8:16">
      <c r="H1025" s="66" t="e">
        <f>IF(LEFT(A1025,6)="CEPNTR","GPINS",VLOOKUP(LEFT(A1025,6),'Code Library'!$A$3:$B$920,2,0))&amp;"_"&amp;RIGHT(A1025,3)</f>
        <v>#N/A</v>
      </c>
      <c r="I1025" s="66">
        <f t="shared" si="105"/>
        <v>0</v>
      </c>
      <c r="K1025" s="66" t="str">
        <f t="shared" si="106"/>
        <v/>
      </c>
      <c r="L1025" s="66" t="str">
        <f t="shared" si="107"/>
        <v/>
      </c>
      <c r="M1025" s="66" t="str">
        <f t="shared" si="108"/>
        <v/>
      </c>
      <c r="N1025" s="66" t="str">
        <f t="shared" si="109"/>
        <v/>
      </c>
      <c r="O1025" s="66" t="str">
        <f t="shared" si="110"/>
        <v/>
      </c>
      <c r="P1025" s="66" t="str">
        <f t="shared" si="111"/>
        <v/>
      </c>
    </row>
    <row r="1026" spans="8:16">
      <c r="H1026" s="66" t="e">
        <f>IF(LEFT(A1026,6)="CEPNTR","GPINS",VLOOKUP(LEFT(A1026,6),'Code Library'!$A$3:$B$920,2,0))&amp;"_"&amp;RIGHT(A1026,3)</f>
        <v>#N/A</v>
      </c>
      <c r="I1026" s="66">
        <f t="shared" si="105"/>
        <v>0</v>
      </c>
      <c r="K1026" s="66" t="str">
        <f t="shared" si="106"/>
        <v/>
      </c>
      <c r="L1026" s="66" t="str">
        <f t="shared" si="107"/>
        <v/>
      </c>
      <c r="M1026" s="66" t="str">
        <f t="shared" si="108"/>
        <v/>
      </c>
      <c r="N1026" s="66" t="str">
        <f t="shared" si="109"/>
        <v/>
      </c>
      <c r="O1026" s="66" t="str">
        <f t="shared" si="110"/>
        <v/>
      </c>
      <c r="P1026" s="66" t="str">
        <f t="shared" si="111"/>
        <v/>
      </c>
    </row>
    <row r="1027" spans="8:16">
      <c r="H1027" s="66" t="e">
        <f>IF(LEFT(A1027,6)="CEPNTR","GPINS",VLOOKUP(LEFT(A1027,6),'Code Library'!$A$3:$B$920,2,0))&amp;"_"&amp;RIGHT(A1027,3)</f>
        <v>#N/A</v>
      </c>
      <c r="I1027" s="66">
        <f t="shared" ref="I1027:I1090" si="112">A1027</f>
        <v>0</v>
      </c>
      <c r="K1027" s="66" t="str">
        <f t="shared" ref="K1027:K1090" si="113">RIGHT($B1027,2)</f>
        <v/>
      </c>
      <c r="L1027" s="66" t="str">
        <f t="shared" ref="L1027:L1090" si="114">LEFT(RIGHT($B1027,7),4)</f>
        <v/>
      </c>
      <c r="M1027" s="66" t="str">
        <f t="shared" ref="M1027:M1090" si="115">LEFT(RIGHT($B1027,10),2)</f>
        <v/>
      </c>
      <c r="N1027" s="66" t="str">
        <f t="shared" ref="N1027:N1090" si="116">LEFT(RIGHT($B1027,14),3)</f>
        <v/>
      </c>
      <c r="O1027" s="66" t="str">
        <f t="shared" ref="O1027:O1090" si="117">LEFT(RIGHT($B1027,16),1)</f>
        <v/>
      </c>
      <c r="P1027" s="66" t="str">
        <f t="shared" ref="P1027:P1090" si="118">LEFT(RIGHT($B1027,19),2)</f>
        <v/>
      </c>
    </row>
    <row r="1028" spans="8:16">
      <c r="H1028" s="66" t="e">
        <f>IF(LEFT(A1028,6)="CEPNTR","GPINS",VLOOKUP(LEFT(A1028,6),'Code Library'!$A$3:$B$920,2,0))&amp;"_"&amp;RIGHT(A1028,3)</f>
        <v>#N/A</v>
      </c>
      <c r="I1028" s="66">
        <f t="shared" si="112"/>
        <v>0</v>
      </c>
      <c r="K1028" s="66" t="str">
        <f t="shared" si="113"/>
        <v/>
      </c>
      <c r="L1028" s="66" t="str">
        <f t="shared" si="114"/>
        <v/>
      </c>
      <c r="M1028" s="66" t="str">
        <f t="shared" si="115"/>
        <v/>
      </c>
      <c r="N1028" s="66" t="str">
        <f t="shared" si="116"/>
        <v/>
      </c>
      <c r="O1028" s="66" t="str">
        <f t="shared" si="117"/>
        <v/>
      </c>
      <c r="P1028" s="66" t="str">
        <f t="shared" si="118"/>
        <v/>
      </c>
    </row>
    <row r="1029" spans="8:16">
      <c r="H1029" s="66" t="e">
        <f>IF(LEFT(A1029,6)="CEPNTR","GPINS",VLOOKUP(LEFT(A1029,6),'Code Library'!$A$3:$B$920,2,0))&amp;"_"&amp;RIGHT(A1029,3)</f>
        <v>#N/A</v>
      </c>
      <c r="I1029" s="66">
        <f t="shared" si="112"/>
        <v>0</v>
      </c>
      <c r="K1029" s="66" t="str">
        <f t="shared" si="113"/>
        <v/>
      </c>
      <c r="L1029" s="66" t="str">
        <f t="shared" si="114"/>
        <v/>
      </c>
      <c r="M1029" s="66" t="str">
        <f t="shared" si="115"/>
        <v/>
      </c>
      <c r="N1029" s="66" t="str">
        <f t="shared" si="116"/>
        <v/>
      </c>
      <c r="O1029" s="66" t="str">
        <f t="shared" si="117"/>
        <v/>
      </c>
      <c r="P1029" s="66" t="str">
        <f t="shared" si="118"/>
        <v/>
      </c>
    </row>
    <row r="1030" spans="8:16">
      <c r="H1030" s="66" t="e">
        <f>IF(LEFT(A1030,6)="CEPNTR","GPINS",VLOOKUP(LEFT(A1030,6),'Code Library'!$A$3:$B$920,2,0))&amp;"_"&amp;RIGHT(A1030,3)</f>
        <v>#N/A</v>
      </c>
      <c r="I1030" s="66">
        <f t="shared" si="112"/>
        <v>0</v>
      </c>
      <c r="K1030" s="66" t="str">
        <f t="shared" si="113"/>
        <v/>
      </c>
      <c r="L1030" s="66" t="str">
        <f t="shared" si="114"/>
        <v/>
      </c>
      <c r="M1030" s="66" t="str">
        <f t="shared" si="115"/>
        <v/>
      </c>
      <c r="N1030" s="66" t="str">
        <f t="shared" si="116"/>
        <v/>
      </c>
      <c r="O1030" s="66" t="str">
        <f t="shared" si="117"/>
        <v/>
      </c>
      <c r="P1030" s="66" t="str">
        <f t="shared" si="118"/>
        <v/>
      </c>
    </row>
    <row r="1031" spans="8:16">
      <c r="H1031" s="66" t="e">
        <f>IF(LEFT(A1031,6)="CEPNTR","GPINS",VLOOKUP(LEFT(A1031,6),'Code Library'!$A$3:$B$920,2,0))&amp;"_"&amp;RIGHT(A1031,3)</f>
        <v>#N/A</v>
      </c>
      <c r="I1031" s="66">
        <f t="shared" si="112"/>
        <v>0</v>
      </c>
      <c r="K1031" s="66" t="str">
        <f t="shared" si="113"/>
        <v/>
      </c>
      <c r="L1031" s="66" t="str">
        <f t="shared" si="114"/>
        <v/>
      </c>
      <c r="M1031" s="66" t="str">
        <f t="shared" si="115"/>
        <v/>
      </c>
      <c r="N1031" s="66" t="str">
        <f t="shared" si="116"/>
        <v/>
      </c>
      <c r="O1031" s="66" t="str">
        <f t="shared" si="117"/>
        <v/>
      </c>
      <c r="P1031" s="66" t="str">
        <f t="shared" si="118"/>
        <v/>
      </c>
    </row>
    <row r="1032" spans="8:16">
      <c r="H1032" s="66" t="e">
        <f>IF(LEFT(A1032,6)="CEPNTR","GPINS",VLOOKUP(LEFT(A1032,6),'Code Library'!$A$3:$B$920,2,0))&amp;"_"&amp;RIGHT(A1032,3)</f>
        <v>#N/A</v>
      </c>
      <c r="I1032" s="66">
        <f t="shared" si="112"/>
        <v>0</v>
      </c>
      <c r="K1032" s="66" t="str">
        <f t="shared" si="113"/>
        <v/>
      </c>
      <c r="L1032" s="66" t="str">
        <f t="shared" si="114"/>
        <v/>
      </c>
      <c r="M1032" s="66" t="str">
        <f t="shared" si="115"/>
        <v/>
      </c>
      <c r="N1032" s="66" t="str">
        <f t="shared" si="116"/>
        <v/>
      </c>
      <c r="O1032" s="66" t="str">
        <f t="shared" si="117"/>
        <v/>
      </c>
      <c r="P1032" s="66" t="str">
        <f t="shared" si="118"/>
        <v/>
      </c>
    </row>
    <row r="1033" spans="8:16">
      <c r="H1033" s="66" t="e">
        <f>IF(LEFT(A1033,6)="CEPNTR","GPINS",VLOOKUP(LEFT(A1033,6),'Code Library'!$A$3:$B$920,2,0))&amp;"_"&amp;RIGHT(A1033,3)</f>
        <v>#N/A</v>
      </c>
      <c r="I1033" s="66">
        <f t="shared" si="112"/>
        <v>0</v>
      </c>
      <c r="K1033" s="66" t="str">
        <f t="shared" si="113"/>
        <v/>
      </c>
      <c r="L1033" s="66" t="str">
        <f t="shared" si="114"/>
        <v/>
      </c>
      <c r="M1033" s="66" t="str">
        <f t="shared" si="115"/>
        <v/>
      </c>
      <c r="N1033" s="66" t="str">
        <f t="shared" si="116"/>
        <v/>
      </c>
      <c r="O1033" s="66" t="str">
        <f t="shared" si="117"/>
        <v/>
      </c>
      <c r="P1033" s="66" t="str">
        <f t="shared" si="118"/>
        <v/>
      </c>
    </row>
    <row r="1034" spans="8:16">
      <c r="H1034" s="66" t="e">
        <f>IF(LEFT(A1034,6)="CEPNTR","GPINS",VLOOKUP(LEFT(A1034,6),'Code Library'!$A$3:$B$920,2,0))&amp;"_"&amp;RIGHT(A1034,3)</f>
        <v>#N/A</v>
      </c>
      <c r="I1034" s="66">
        <f t="shared" si="112"/>
        <v>0</v>
      </c>
      <c r="K1034" s="66" t="str">
        <f t="shared" si="113"/>
        <v/>
      </c>
      <c r="L1034" s="66" t="str">
        <f t="shared" si="114"/>
        <v/>
      </c>
      <c r="M1034" s="66" t="str">
        <f t="shared" si="115"/>
        <v/>
      </c>
      <c r="N1034" s="66" t="str">
        <f t="shared" si="116"/>
        <v/>
      </c>
      <c r="O1034" s="66" t="str">
        <f t="shared" si="117"/>
        <v/>
      </c>
      <c r="P1034" s="66" t="str">
        <f t="shared" si="118"/>
        <v/>
      </c>
    </row>
    <row r="1035" spans="8:16">
      <c r="H1035" s="66" t="e">
        <f>IF(LEFT(A1035,6)="CEPNTR","GPINS",VLOOKUP(LEFT(A1035,6),'Code Library'!$A$3:$B$920,2,0))&amp;"_"&amp;RIGHT(A1035,3)</f>
        <v>#N/A</v>
      </c>
      <c r="I1035" s="66">
        <f t="shared" si="112"/>
        <v>0</v>
      </c>
      <c r="K1035" s="66" t="str">
        <f t="shared" si="113"/>
        <v/>
      </c>
      <c r="L1035" s="66" t="str">
        <f t="shared" si="114"/>
        <v/>
      </c>
      <c r="M1035" s="66" t="str">
        <f t="shared" si="115"/>
        <v/>
      </c>
      <c r="N1035" s="66" t="str">
        <f t="shared" si="116"/>
        <v/>
      </c>
      <c r="O1035" s="66" t="str">
        <f t="shared" si="117"/>
        <v/>
      </c>
      <c r="P1035" s="66" t="str">
        <f t="shared" si="118"/>
        <v/>
      </c>
    </row>
    <row r="1036" spans="8:16">
      <c r="H1036" s="66" t="e">
        <f>IF(LEFT(A1036,6)="CEPNTR","GPINS",VLOOKUP(LEFT(A1036,6),'Code Library'!$A$3:$B$920,2,0))&amp;"_"&amp;RIGHT(A1036,3)</f>
        <v>#N/A</v>
      </c>
      <c r="I1036" s="66">
        <f t="shared" si="112"/>
        <v>0</v>
      </c>
      <c r="K1036" s="66" t="str">
        <f t="shared" si="113"/>
        <v/>
      </c>
      <c r="L1036" s="66" t="str">
        <f t="shared" si="114"/>
        <v/>
      </c>
      <c r="M1036" s="66" t="str">
        <f t="shared" si="115"/>
        <v/>
      </c>
      <c r="N1036" s="66" t="str">
        <f t="shared" si="116"/>
        <v/>
      </c>
      <c r="O1036" s="66" t="str">
        <f t="shared" si="117"/>
        <v/>
      </c>
      <c r="P1036" s="66" t="str">
        <f t="shared" si="118"/>
        <v/>
      </c>
    </row>
    <row r="1037" spans="8:16">
      <c r="H1037" s="66" t="e">
        <f>IF(LEFT(A1037,6)="CEPNTR","GPINS",VLOOKUP(LEFT(A1037,6),'Code Library'!$A$3:$B$920,2,0))&amp;"_"&amp;RIGHT(A1037,3)</f>
        <v>#N/A</v>
      </c>
      <c r="I1037" s="66">
        <f t="shared" si="112"/>
        <v>0</v>
      </c>
      <c r="K1037" s="66" t="str">
        <f t="shared" si="113"/>
        <v/>
      </c>
      <c r="L1037" s="66" t="str">
        <f t="shared" si="114"/>
        <v/>
      </c>
      <c r="M1037" s="66" t="str">
        <f t="shared" si="115"/>
        <v/>
      </c>
      <c r="N1037" s="66" t="str">
        <f t="shared" si="116"/>
        <v/>
      </c>
      <c r="O1037" s="66" t="str">
        <f t="shared" si="117"/>
        <v/>
      </c>
      <c r="P1037" s="66" t="str">
        <f t="shared" si="118"/>
        <v/>
      </c>
    </row>
    <row r="1038" spans="8:16">
      <c r="H1038" s="66" t="e">
        <f>IF(LEFT(A1038,6)="CEPNTR","GPINS",VLOOKUP(LEFT(A1038,6),'Code Library'!$A$3:$B$920,2,0))&amp;"_"&amp;RIGHT(A1038,3)</f>
        <v>#N/A</v>
      </c>
      <c r="I1038" s="66">
        <f t="shared" si="112"/>
        <v>0</v>
      </c>
      <c r="K1038" s="66" t="str">
        <f t="shared" si="113"/>
        <v/>
      </c>
      <c r="L1038" s="66" t="str">
        <f t="shared" si="114"/>
        <v/>
      </c>
      <c r="M1038" s="66" t="str">
        <f t="shared" si="115"/>
        <v/>
      </c>
      <c r="N1038" s="66" t="str">
        <f t="shared" si="116"/>
        <v/>
      </c>
      <c r="O1038" s="66" t="str">
        <f t="shared" si="117"/>
        <v/>
      </c>
      <c r="P1038" s="66" t="str">
        <f t="shared" si="118"/>
        <v/>
      </c>
    </row>
    <row r="1039" spans="8:16">
      <c r="H1039" s="66" t="e">
        <f>IF(LEFT(A1039,6)="CEPNTR","GPINS",VLOOKUP(LEFT(A1039,6),'Code Library'!$A$3:$B$920,2,0))&amp;"_"&amp;RIGHT(A1039,3)</f>
        <v>#N/A</v>
      </c>
      <c r="I1039" s="66">
        <f t="shared" si="112"/>
        <v>0</v>
      </c>
      <c r="K1039" s="66" t="str">
        <f t="shared" si="113"/>
        <v/>
      </c>
      <c r="L1039" s="66" t="str">
        <f t="shared" si="114"/>
        <v/>
      </c>
      <c r="M1039" s="66" t="str">
        <f t="shared" si="115"/>
        <v/>
      </c>
      <c r="N1039" s="66" t="str">
        <f t="shared" si="116"/>
        <v/>
      </c>
      <c r="O1039" s="66" t="str">
        <f t="shared" si="117"/>
        <v/>
      </c>
      <c r="P1039" s="66" t="str">
        <f t="shared" si="118"/>
        <v/>
      </c>
    </row>
    <row r="1040" spans="8:16">
      <c r="H1040" s="66" t="e">
        <f>IF(LEFT(A1040,6)="CEPNTR","GPINS",VLOOKUP(LEFT(A1040,6),'Code Library'!$A$3:$B$920,2,0))&amp;"_"&amp;RIGHT(A1040,3)</f>
        <v>#N/A</v>
      </c>
      <c r="I1040" s="66">
        <f t="shared" si="112"/>
        <v>0</v>
      </c>
      <c r="K1040" s="66" t="str">
        <f t="shared" si="113"/>
        <v/>
      </c>
      <c r="L1040" s="66" t="str">
        <f t="shared" si="114"/>
        <v/>
      </c>
      <c r="M1040" s="66" t="str">
        <f t="shared" si="115"/>
        <v/>
      </c>
      <c r="N1040" s="66" t="str">
        <f t="shared" si="116"/>
        <v/>
      </c>
      <c r="O1040" s="66" t="str">
        <f t="shared" si="117"/>
        <v/>
      </c>
      <c r="P1040" s="66" t="str">
        <f t="shared" si="118"/>
        <v/>
      </c>
    </row>
    <row r="1041" spans="8:16">
      <c r="H1041" s="66" t="e">
        <f>IF(LEFT(A1041,6)="CEPNTR","GPINS",VLOOKUP(LEFT(A1041,6),'Code Library'!$A$3:$B$920,2,0))&amp;"_"&amp;RIGHT(A1041,3)</f>
        <v>#N/A</v>
      </c>
      <c r="I1041" s="66">
        <f t="shared" si="112"/>
        <v>0</v>
      </c>
      <c r="K1041" s="66" t="str">
        <f t="shared" si="113"/>
        <v/>
      </c>
      <c r="L1041" s="66" t="str">
        <f t="shared" si="114"/>
        <v/>
      </c>
      <c r="M1041" s="66" t="str">
        <f t="shared" si="115"/>
        <v/>
      </c>
      <c r="N1041" s="66" t="str">
        <f t="shared" si="116"/>
        <v/>
      </c>
      <c r="O1041" s="66" t="str">
        <f t="shared" si="117"/>
        <v/>
      </c>
      <c r="P1041" s="66" t="str">
        <f t="shared" si="118"/>
        <v/>
      </c>
    </row>
    <row r="1042" spans="8:16">
      <c r="H1042" s="66" t="e">
        <f>IF(LEFT(A1042,6)="CEPNTR","GPINS",VLOOKUP(LEFT(A1042,6),'Code Library'!$A$3:$B$920,2,0))&amp;"_"&amp;RIGHT(A1042,3)</f>
        <v>#N/A</v>
      </c>
      <c r="I1042" s="66">
        <f t="shared" si="112"/>
        <v>0</v>
      </c>
      <c r="K1042" s="66" t="str">
        <f t="shared" si="113"/>
        <v/>
      </c>
      <c r="L1042" s="66" t="str">
        <f t="shared" si="114"/>
        <v/>
      </c>
      <c r="M1042" s="66" t="str">
        <f t="shared" si="115"/>
        <v/>
      </c>
      <c r="N1042" s="66" t="str">
        <f t="shared" si="116"/>
        <v/>
      </c>
      <c r="O1042" s="66" t="str">
        <f t="shared" si="117"/>
        <v/>
      </c>
      <c r="P1042" s="66" t="str">
        <f t="shared" si="118"/>
        <v/>
      </c>
    </row>
    <row r="1043" spans="8:16">
      <c r="H1043" s="66" t="e">
        <f>IF(LEFT(A1043,6)="CEPNTR","GPINS",VLOOKUP(LEFT(A1043,6),'Code Library'!$A$3:$B$920,2,0))&amp;"_"&amp;RIGHT(A1043,3)</f>
        <v>#N/A</v>
      </c>
      <c r="I1043" s="66">
        <f t="shared" si="112"/>
        <v>0</v>
      </c>
      <c r="K1043" s="66" t="str">
        <f t="shared" si="113"/>
        <v/>
      </c>
      <c r="L1043" s="66" t="str">
        <f t="shared" si="114"/>
        <v/>
      </c>
      <c r="M1043" s="66" t="str">
        <f t="shared" si="115"/>
        <v/>
      </c>
      <c r="N1043" s="66" t="str">
        <f t="shared" si="116"/>
        <v/>
      </c>
      <c r="O1043" s="66" t="str">
        <f t="shared" si="117"/>
        <v/>
      </c>
      <c r="P1043" s="66" t="str">
        <f t="shared" si="118"/>
        <v/>
      </c>
    </row>
    <row r="1044" spans="8:16">
      <c r="H1044" s="66" t="e">
        <f>IF(LEFT(A1044,6)="CEPNTR","GPINS",VLOOKUP(LEFT(A1044,6),'Code Library'!$A$3:$B$920,2,0))&amp;"_"&amp;RIGHT(A1044,3)</f>
        <v>#N/A</v>
      </c>
      <c r="I1044" s="66">
        <f t="shared" si="112"/>
        <v>0</v>
      </c>
      <c r="K1044" s="66" t="str">
        <f t="shared" si="113"/>
        <v/>
      </c>
      <c r="L1044" s="66" t="str">
        <f t="shared" si="114"/>
        <v/>
      </c>
      <c r="M1044" s="66" t="str">
        <f t="shared" si="115"/>
        <v/>
      </c>
      <c r="N1044" s="66" t="str">
        <f t="shared" si="116"/>
        <v/>
      </c>
      <c r="O1044" s="66" t="str">
        <f t="shared" si="117"/>
        <v/>
      </c>
      <c r="P1044" s="66" t="str">
        <f t="shared" si="118"/>
        <v/>
      </c>
    </row>
    <row r="1045" spans="8:16">
      <c r="H1045" s="66" t="e">
        <f>IF(LEFT(A1045,6)="CEPNTR","GPINS",VLOOKUP(LEFT(A1045,6),'Code Library'!$A$3:$B$920,2,0))&amp;"_"&amp;RIGHT(A1045,3)</f>
        <v>#N/A</v>
      </c>
      <c r="I1045" s="66">
        <f t="shared" si="112"/>
        <v>0</v>
      </c>
      <c r="K1045" s="66" t="str">
        <f t="shared" si="113"/>
        <v/>
      </c>
      <c r="L1045" s="66" t="str">
        <f t="shared" si="114"/>
        <v/>
      </c>
      <c r="M1045" s="66" t="str">
        <f t="shared" si="115"/>
        <v/>
      </c>
      <c r="N1045" s="66" t="str">
        <f t="shared" si="116"/>
        <v/>
      </c>
      <c r="O1045" s="66" t="str">
        <f t="shared" si="117"/>
        <v/>
      </c>
      <c r="P1045" s="66" t="str">
        <f t="shared" si="118"/>
        <v/>
      </c>
    </row>
    <row r="1046" spans="8:16">
      <c r="H1046" s="66" t="e">
        <f>IF(LEFT(A1046,6)="CEPNTR","GPINS",VLOOKUP(LEFT(A1046,6),'Code Library'!$A$3:$B$920,2,0))&amp;"_"&amp;RIGHT(A1046,3)</f>
        <v>#N/A</v>
      </c>
      <c r="I1046" s="66">
        <f t="shared" si="112"/>
        <v>0</v>
      </c>
      <c r="K1046" s="66" t="str">
        <f t="shared" si="113"/>
        <v/>
      </c>
      <c r="L1046" s="66" t="str">
        <f t="shared" si="114"/>
        <v/>
      </c>
      <c r="M1046" s="66" t="str">
        <f t="shared" si="115"/>
        <v/>
      </c>
      <c r="N1046" s="66" t="str">
        <f t="shared" si="116"/>
        <v/>
      </c>
      <c r="O1046" s="66" t="str">
        <f t="shared" si="117"/>
        <v/>
      </c>
      <c r="P1046" s="66" t="str">
        <f t="shared" si="118"/>
        <v/>
      </c>
    </row>
    <row r="1047" spans="8:16">
      <c r="H1047" s="66" t="e">
        <f>IF(LEFT(A1047,6)="CEPNTR","GPINS",VLOOKUP(LEFT(A1047,6),'Code Library'!$A$3:$B$920,2,0))&amp;"_"&amp;RIGHT(A1047,3)</f>
        <v>#N/A</v>
      </c>
      <c r="I1047" s="66">
        <f t="shared" si="112"/>
        <v>0</v>
      </c>
      <c r="K1047" s="66" t="str">
        <f t="shared" si="113"/>
        <v/>
      </c>
      <c r="L1047" s="66" t="str">
        <f t="shared" si="114"/>
        <v/>
      </c>
      <c r="M1047" s="66" t="str">
        <f t="shared" si="115"/>
        <v/>
      </c>
      <c r="N1047" s="66" t="str">
        <f t="shared" si="116"/>
        <v/>
      </c>
      <c r="O1047" s="66" t="str">
        <f t="shared" si="117"/>
        <v/>
      </c>
      <c r="P1047" s="66" t="str">
        <f t="shared" si="118"/>
        <v/>
      </c>
    </row>
    <row r="1048" spans="8:16">
      <c r="H1048" s="66" t="e">
        <f>IF(LEFT(A1048,6)="CEPNTR","GPINS",VLOOKUP(LEFT(A1048,6),'Code Library'!$A$3:$B$920,2,0))&amp;"_"&amp;RIGHT(A1048,3)</f>
        <v>#N/A</v>
      </c>
      <c r="I1048" s="66">
        <f t="shared" si="112"/>
        <v>0</v>
      </c>
      <c r="K1048" s="66" t="str">
        <f t="shared" si="113"/>
        <v/>
      </c>
      <c r="L1048" s="66" t="str">
        <f t="shared" si="114"/>
        <v/>
      </c>
      <c r="M1048" s="66" t="str">
        <f t="shared" si="115"/>
        <v/>
      </c>
      <c r="N1048" s="66" t="str">
        <f t="shared" si="116"/>
        <v/>
      </c>
      <c r="O1048" s="66" t="str">
        <f t="shared" si="117"/>
        <v/>
      </c>
      <c r="P1048" s="66" t="str">
        <f t="shared" si="118"/>
        <v/>
      </c>
    </row>
    <row r="1049" spans="8:16">
      <c r="H1049" s="66" t="e">
        <f>IF(LEFT(A1049,6)="CEPNTR","GPINS",VLOOKUP(LEFT(A1049,6),'Code Library'!$A$3:$B$920,2,0))&amp;"_"&amp;RIGHT(A1049,3)</f>
        <v>#N/A</v>
      </c>
      <c r="I1049" s="66">
        <f t="shared" si="112"/>
        <v>0</v>
      </c>
      <c r="K1049" s="66" t="str">
        <f t="shared" si="113"/>
        <v/>
      </c>
      <c r="L1049" s="66" t="str">
        <f t="shared" si="114"/>
        <v/>
      </c>
      <c r="M1049" s="66" t="str">
        <f t="shared" si="115"/>
        <v/>
      </c>
      <c r="N1049" s="66" t="str">
        <f t="shared" si="116"/>
        <v/>
      </c>
      <c r="O1049" s="66" t="str">
        <f t="shared" si="117"/>
        <v/>
      </c>
      <c r="P1049" s="66" t="str">
        <f t="shared" si="118"/>
        <v/>
      </c>
    </row>
    <row r="1050" spans="8:16">
      <c r="H1050" s="66" t="e">
        <f>IF(LEFT(A1050,6)="CEPNTR","GPINS",VLOOKUP(LEFT(A1050,6),'Code Library'!$A$3:$B$920,2,0))&amp;"_"&amp;RIGHT(A1050,3)</f>
        <v>#N/A</v>
      </c>
      <c r="I1050" s="66">
        <f t="shared" si="112"/>
        <v>0</v>
      </c>
      <c r="K1050" s="66" t="str">
        <f t="shared" si="113"/>
        <v/>
      </c>
      <c r="L1050" s="66" t="str">
        <f t="shared" si="114"/>
        <v/>
      </c>
      <c r="M1050" s="66" t="str">
        <f t="shared" si="115"/>
        <v/>
      </c>
      <c r="N1050" s="66" t="str">
        <f t="shared" si="116"/>
        <v/>
      </c>
      <c r="O1050" s="66" t="str">
        <f t="shared" si="117"/>
        <v/>
      </c>
      <c r="P1050" s="66" t="str">
        <f t="shared" si="118"/>
        <v/>
      </c>
    </row>
    <row r="1051" spans="8:16">
      <c r="H1051" s="66" t="e">
        <f>IF(LEFT(A1051,6)="CEPNTR","GPINS",VLOOKUP(LEFT(A1051,6),'Code Library'!$A$3:$B$920,2,0))&amp;"_"&amp;RIGHT(A1051,3)</f>
        <v>#N/A</v>
      </c>
      <c r="I1051" s="66">
        <f t="shared" si="112"/>
        <v>0</v>
      </c>
      <c r="K1051" s="66" t="str">
        <f t="shared" si="113"/>
        <v/>
      </c>
      <c r="L1051" s="66" t="str">
        <f t="shared" si="114"/>
        <v/>
      </c>
      <c r="M1051" s="66" t="str">
        <f t="shared" si="115"/>
        <v/>
      </c>
      <c r="N1051" s="66" t="str">
        <f t="shared" si="116"/>
        <v/>
      </c>
      <c r="O1051" s="66" t="str">
        <f t="shared" si="117"/>
        <v/>
      </c>
      <c r="P1051" s="66" t="str">
        <f t="shared" si="118"/>
        <v/>
      </c>
    </row>
    <row r="1052" spans="8:16">
      <c r="H1052" s="66" t="e">
        <f>IF(LEFT(A1052,6)="CEPNTR","GPINS",VLOOKUP(LEFT(A1052,6),'Code Library'!$A$3:$B$920,2,0))&amp;"_"&amp;RIGHT(A1052,3)</f>
        <v>#N/A</v>
      </c>
      <c r="I1052" s="66">
        <f t="shared" si="112"/>
        <v>0</v>
      </c>
      <c r="K1052" s="66" t="str">
        <f t="shared" si="113"/>
        <v/>
      </c>
      <c r="L1052" s="66" t="str">
        <f t="shared" si="114"/>
        <v/>
      </c>
      <c r="M1052" s="66" t="str">
        <f t="shared" si="115"/>
        <v/>
      </c>
      <c r="N1052" s="66" t="str">
        <f t="shared" si="116"/>
        <v/>
      </c>
      <c r="O1052" s="66" t="str">
        <f t="shared" si="117"/>
        <v/>
      </c>
      <c r="P1052" s="66" t="str">
        <f t="shared" si="118"/>
        <v/>
      </c>
    </row>
    <row r="1053" spans="8:16">
      <c r="H1053" s="66" t="e">
        <f>IF(LEFT(A1053,6)="CEPNTR","GPINS",VLOOKUP(LEFT(A1053,6),'Code Library'!$A$3:$B$920,2,0))&amp;"_"&amp;RIGHT(A1053,3)</f>
        <v>#N/A</v>
      </c>
      <c r="I1053" s="66">
        <f t="shared" si="112"/>
        <v>0</v>
      </c>
      <c r="K1053" s="66" t="str">
        <f t="shared" si="113"/>
        <v/>
      </c>
      <c r="L1053" s="66" t="str">
        <f t="shared" si="114"/>
        <v/>
      </c>
      <c r="M1053" s="66" t="str">
        <f t="shared" si="115"/>
        <v/>
      </c>
      <c r="N1053" s="66" t="str">
        <f t="shared" si="116"/>
        <v/>
      </c>
      <c r="O1053" s="66" t="str">
        <f t="shared" si="117"/>
        <v/>
      </c>
      <c r="P1053" s="66" t="str">
        <f t="shared" si="118"/>
        <v/>
      </c>
    </row>
    <row r="1054" spans="8:16">
      <c r="H1054" s="66" t="e">
        <f>IF(LEFT(A1054,6)="CEPNTR","GPINS",VLOOKUP(LEFT(A1054,6),'Code Library'!$A$3:$B$920,2,0))&amp;"_"&amp;RIGHT(A1054,3)</f>
        <v>#N/A</v>
      </c>
      <c r="I1054" s="66">
        <f t="shared" si="112"/>
        <v>0</v>
      </c>
      <c r="K1054" s="66" t="str">
        <f t="shared" si="113"/>
        <v/>
      </c>
      <c r="L1054" s="66" t="str">
        <f t="shared" si="114"/>
        <v/>
      </c>
      <c r="M1054" s="66" t="str">
        <f t="shared" si="115"/>
        <v/>
      </c>
      <c r="N1054" s="66" t="str">
        <f t="shared" si="116"/>
        <v/>
      </c>
      <c r="O1054" s="66" t="str">
        <f t="shared" si="117"/>
        <v/>
      </c>
      <c r="P1054" s="66" t="str">
        <f t="shared" si="118"/>
        <v/>
      </c>
    </row>
    <row r="1055" spans="8:16">
      <c r="H1055" s="66" t="e">
        <f>IF(LEFT(A1055,6)="CEPNTR","GPINS",VLOOKUP(LEFT(A1055,6),'Code Library'!$A$3:$B$920,2,0))&amp;"_"&amp;RIGHT(A1055,3)</f>
        <v>#N/A</v>
      </c>
      <c r="I1055" s="66">
        <f t="shared" si="112"/>
        <v>0</v>
      </c>
      <c r="K1055" s="66" t="str">
        <f t="shared" si="113"/>
        <v/>
      </c>
      <c r="L1055" s="66" t="str">
        <f t="shared" si="114"/>
        <v/>
      </c>
      <c r="M1055" s="66" t="str">
        <f t="shared" si="115"/>
        <v/>
      </c>
      <c r="N1055" s="66" t="str">
        <f t="shared" si="116"/>
        <v/>
      </c>
      <c r="O1055" s="66" t="str">
        <f t="shared" si="117"/>
        <v/>
      </c>
      <c r="P1055" s="66" t="str">
        <f t="shared" si="118"/>
        <v/>
      </c>
    </row>
    <row r="1056" spans="8:16">
      <c r="H1056" s="66" t="e">
        <f>IF(LEFT(A1056,6)="CEPNTR","GPINS",VLOOKUP(LEFT(A1056,6),'Code Library'!$A$3:$B$920,2,0))&amp;"_"&amp;RIGHT(A1056,3)</f>
        <v>#N/A</v>
      </c>
      <c r="I1056" s="66">
        <f t="shared" si="112"/>
        <v>0</v>
      </c>
      <c r="K1056" s="66" t="str">
        <f t="shared" si="113"/>
        <v/>
      </c>
      <c r="L1056" s="66" t="str">
        <f t="shared" si="114"/>
        <v/>
      </c>
      <c r="M1056" s="66" t="str">
        <f t="shared" si="115"/>
        <v/>
      </c>
      <c r="N1056" s="66" t="str">
        <f t="shared" si="116"/>
        <v/>
      </c>
      <c r="O1056" s="66" t="str">
        <f t="shared" si="117"/>
        <v/>
      </c>
      <c r="P1056" s="66" t="str">
        <f t="shared" si="118"/>
        <v/>
      </c>
    </row>
    <row r="1057" spans="8:16">
      <c r="H1057" s="66" t="e">
        <f>IF(LEFT(A1057,6)="CEPNTR","GPINS",VLOOKUP(LEFT(A1057,6),'Code Library'!$A$3:$B$920,2,0))&amp;"_"&amp;RIGHT(A1057,3)</f>
        <v>#N/A</v>
      </c>
      <c r="I1057" s="66">
        <f t="shared" si="112"/>
        <v>0</v>
      </c>
      <c r="K1057" s="66" t="str">
        <f t="shared" si="113"/>
        <v/>
      </c>
      <c r="L1057" s="66" t="str">
        <f t="shared" si="114"/>
        <v/>
      </c>
      <c r="M1057" s="66" t="str">
        <f t="shared" si="115"/>
        <v/>
      </c>
      <c r="N1057" s="66" t="str">
        <f t="shared" si="116"/>
        <v/>
      </c>
      <c r="O1057" s="66" t="str">
        <f t="shared" si="117"/>
        <v/>
      </c>
      <c r="P1057" s="66" t="str">
        <f t="shared" si="118"/>
        <v/>
      </c>
    </row>
    <row r="1058" spans="8:16">
      <c r="H1058" s="66" t="e">
        <f>IF(LEFT(A1058,6)="CEPNTR","GPINS",VLOOKUP(LEFT(A1058,6),'Code Library'!$A$3:$B$920,2,0))&amp;"_"&amp;RIGHT(A1058,3)</f>
        <v>#N/A</v>
      </c>
      <c r="I1058" s="66">
        <f t="shared" si="112"/>
        <v>0</v>
      </c>
      <c r="K1058" s="66" t="str">
        <f t="shared" si="113"/>
        <v/>
      </c>
      <c r="L1058" s="66" t="str">
        <f t="shared" si="114"/>
        <v/>
      </c>
      <c r="M1058" s="66" t="str">
        <f t="shared" si="115"/>
        <v/>
      </c>
      <c r="N1058" s="66" t="str">
        <f t="shared" si="116"/>
        <v/>
      </c>
      <c r="O1058" s="66" t="str">
        <f t="shared" si="117"/>
        <v/>
      </c>
      <c r="P1058" s="66" t="str">
        <f t="shared" si="118"/>
        <v/>
      </c>
    </row>
    <row r="1059" spans="8:16">
      <c r="H1059" s="66" t="e">
        <f>IF(LEFT(A1059,6)="CEPNTR","GPINS",VLOOKUP(LEFT(A1059,6),'Code Library'!$A$3:$B$920,2,0))&amp;"_"&amp;RIGHT(A1059,3)</f>
        <v>#N/A</v>
      </c>
      <c r="I1059" s="66">
        <f t="shared" si="112"/>
        <v>0</v>
      </c>
      <c r="K1059" s="66" t="str">
        <f t="shared" si="113"/>
        <v/>
      </c>
      <c r="L1059" s="66" t="str">
        <f t="shared" si="114"/>
        <v/>
      </c>
      <c r="M1059" s="66" t="str">
        <f t="shared" si="115"/>
        <v/>
      </c>
      <c r="N1059" s="66" t="str">
        <f t="shared" si="116"/>
        <v/>
      </c>
      <c r="O1059" s="66" t="str">
        <f t="shared" si="117"/>
        <v/>
      </c>
      <c r="P1059" s="66" t="str">
        <f t="shared" si="118"/>
        <v/>
      </c>
    </row>
    <row r="1060" spans="8:16">
      <c r="H1060" s="66" t="e">
        <f>IF(LEFT(A1060,6)="CEPNTR","GPINS",VLOOKUP(LEFT(A1060,6),'Code Library'!$A$3:$B$920,2,0))&amp;"_"&amp;RIGHT(A1060,3)</f>
        <v>#N/A</v>
      </c>
      <c r="I1060" s="66">
        <f t="shared" si="112"/>
        <v>0</v>
      </c>
      <c r="K1060" s="66" t="str">
        <f t="shared" si="113"/>
        <v/>
      </c>
      <c r="L1060" s="66" t="str">
        <f t="shared" si="114"/>
        <v/>
      </c>
      <c r="M1060" s="66" t="str">
        <f t="shared" si="115"/>
        <v/>
      </c>
      <c r="N1060" s="66" t="str">
        <f t="shared" si="116"/>
        <v/>
      </c>
      <c r="O1060" s="66" t="str">
        <f t="shared" si="117"/>
        <v/>
      </c>
      <c r="P1060" s="66" t="str">
        <f t="shared" si="118"/>
        <v/>
      </c>
    </row>
    <row r="1061" spans="8:16">
      <c r="H1061" s="66" t="e">
        <f>IF(LEFT(A1061,6)="CEPNTR","GPINS",VLOOKUP(LEFT(A1061,6),'Code Library'!$A$3:$B$920,2,0))&amp;"_"&amp;RIGHT(A1061,3)</f>
        <v>#N/A</v>
      </c>
      <c r="I1061" s="66">
        <f t="shared" si="112"/>
        <v>0</v>
      </c>
      <c r="K1061" s="66" t="str">
        <f t="shared" si="113"/>
        <v/>
      </c>
      <c r="L1061" s="66" t="str">
        <f t="shared" si="114"/>
        <v/>
      </c>
      <c r="M1061" s="66" t="str">
        <f t="shared" si="115"/>
        <v/>
      </c>
      <c r="N1061" s="66" t="str">
        <f t="shared" si="116"/>
        <v/>
      </c>
      <c r="O1061" s="66" t="str">
        <f t="shared" si="117"/>
        <v/>
      </c>
      <c r="P1061" s="66" t="str">
        <f t="shared" si="118"/>
        <v/>
      </c>
    </row>
    <row r="1062" spans="8:16">
      <c r="H1062" s="66" t="e">
        <f>IF(LEFT(A1062,6)="CEPNTR","GPINS",VLOOKUP(LEFT(A1062,6),'Code Library'!$A$3:$B$920,2,0))&amp;"_"&amp;RIGHT(A1062,3)</f>
        <v>#N/A</v>
      </c>
      <c r="I1062" s="66">
        <f t="shared" si="112"/>
        <v>0</v>
      </c>
      <c r="K1062" s="66" t="str">
        <f t="shared" si="113"/>
        <v/>
      </c>
      <c r="L1062" s="66" t="str">
        <f t="shared" si="114"/>
        <v/>
      </c>
      <c r="M1062" s="66" t="str">
        <f t="shared" si="115"/>
        <v/>
      </c>
      <c r="N1062" s="66" t="str">
        <f t="shared" si="116"/>
        <v/>
      </c>
      <c r="O1062" s="66" t="str">
        <f t="shared" si="117"/>
        <v/>
      </c>
      <c r="P1062" s="66" t="str">
        <f t="shared" si="118"/>
        <v/>
      </c>
    </row>
    <row r="1063" spans="8:16">
      <c r="H1063" s="66" t="e">
        <f>IF(LEFT(A1063,6)="CEPNTR","GPINS",VLOOKUP(LEFT(A1063,6),'Code Library'!$A$3:$B$920,2,0))&amp;"_"&amp;RIGHT(A1063,3)</f>
        <v>#N/A</v>
      </c>
      <c r="I1063" s="66">
        <f t="shared" si="112"/>
        <v>0</v>
      </c>
      <c r="K1063" s="66" t="str">
        <f t="shared" si="113"/>
        <v/>
      </c>
      <c r="L1063" s="66" t="str">
        <f t="shared" si="114"/>
        <v/>
      </c>
      <c r="M1063" s="66" t="str">
        <f t="shared" si="115"/>
        <v/>
      </c>
      <c r="N1063" s="66" t="str">
        <f t="shared" si="116"/>
        <v/>
      </c>
      <c r="O1063" s="66" t="str">
        <f t="shared" si="117"/>
        <v/>
      </c>
      <c r="P1063" s="66" t="str">
        <f t="shared" si="118"/>
        <v/>
      </c>
    </row>
    <row r="1064" spans="8:16">
      <c r="H1064" s="66" t="e">
        <f>IF(LEFT(A1064,6)="CEPNTR","GPINS",VLOOKUP(LEFT(A1064,6),'Code Library'!$A$3:$B$920,2,0))&amp;"_"&amp;RIGHT(A1064,3)</f>
        <v>#N/A</v>
      </c>
      <c r="I1064" s="66">
        <f t="shared" si="112"/>
        <v>0</v>
      </c>
      <c r="K1064" s="66" t="str">
        <f t="shared" si="113"/>
        <v/>
      </c>
      <c r="L1064" s="66" t="str">
        <f t="shared" si="114"/>
        <v/>
      </c>
      <c r="M1064" s="66" t="str">
        <f t="shared" si="115"/>
        <v/>
      </c>
      <c r="N1064" s="66" t="str">
        <f t="shared" si="116"/>
        <v/>
      </c>
      <c r="O1064" s="66" t="str">
        <f t="shared" si="117"/>
        <v/>
      </c>
      <c r="P1064" s="66" t="str">
        <f t="shared" si="118"/>
        <v/>
      </c>
    </row>
    <row r="1065" spans="8:16">
      <c r="H1065" s="66" t="e">
        <f>IF(LEFT(A1065,6)="CEPNTR","GPINS",VLOOKUP(LEFT(A1065,6),'Code Library'!$A$3:$B$920,2,0))&amp;"_"&amp;RIGHT(A1065,3)</f>
        <v>#N/A</v>
      </c>
      <c r="I1065" s="66">
        <f t="shared" si="112"/>
        <v>0</v>
      </c>
      <c r="K1065" s="66" t="str">
        <f t="shared" si="113"/>
        <v/>
      </c>
      <c r="L1065" s="66" t="str">
        <f t="shared" si="114"/>
        <v/>
      </c>
      <c r="M1065" s="66" t="str">
        <f t="shared" si="115"/>
        <v/>
      </c>
      <c r="N1065" s="66" t="str">
        <f t="shared" si="116"/>
        <v/>
      </c>
      <c r="O1065" s="66" t="str">
        <f t="shared" si="117"/>
        <v/>
      </c>
      <c r="P1065" s="66" t="str">
        <f t="shared" si="118"/>
        <v/>
      </c>
    </row>
    <row r="1066" spans="8:16">
      <c r="H1066" s="66" t="e">
        <f>IF(LEFT(A1066,6)="CEPNTR","GPINS",VLOOKUP(LEFT(A1066,6),'Code Library'!$A$3:$B$920,2,0))&amp;"_"&amp;RIGHT(A1066,3)</f>
        <v>#N/A</v>
      </c>
      <c r="I1066" s="66">
        <f t="shared" si="112"/>
        <v>0</v>
      </c>
      <c r="K1066" s="66" t="str">
        <f t="shared" si="113"/>
        <v/>
      </c>
      <c r="L1066" s="66" t="str">
        <f t="shared" si="114"/>
        <v/>
      </c>
      <c r="M1066" s="66" t="str">
        <f t="shared" si="115"/>
        <v/>
      </c>
      <c r="N1066" s="66" t="str">
        <f t="shared" si="116"/>
        <v/>
      </c>
      <c r="O1066" s="66" t="str">
        <f t="shared" si="117"/>
        <v/>
      </c>
      <c r="P1066" s="66" t="str">
        <f t="shared" si="118"/>
        <v/>
      </c>
    </row>
    <row r="1067" spans="8:16">
      <c r="H1067" s="66" t="e">
        <f>IF(LEFT(A1067,6)="CEPNTR","GPINS",VLOOKUP(LEFT(A1067,6),'Code Library'!$A$3:$B$920,2,0))&amp;"_"&amp;RIGHT(A1067,3)</f>
        <v>#N/A</v>
      </c>
      <c r="I1067" s="66">
        <f t="shared" si="112"/>
        <v>0</v>
      </c>
      <c r="K1067" s="66" t="str">
        <f t="shared" si="113"/>
        <v/>
      </c>
      <c r="L1067" s="66" t="str">
        <f t="shared" si="114"/>
        <v/>
      </c>
      <c r="M1067" s="66" t="str">
        <f t="shared" si="115"/>
        <v/>
      </c>
      <c r="N1067" s="66" t="str">
        <f t="shared" si="116"/>
        <v/>
      </c>
      <c r="O1067" s="66" t="str">
        <f t="shared" si="117"/>
        <v/>
      </c>
      <c r="P1067" s="66" t="str">
        <f t="shared" si="118"/>
        <v/>
      </c>
    </row>
    <row r="1068" spans="8:16">
      <c r="H1068" s="66" t="e">
        <f>IF(LEFT(A1068,6)="CEPNTR","GPINS",VLOOKUP(LEFT(A1068,6),'Code Library'!$A$3:$B$920,2,0))&amp;"_"&amp;RIGHT(A1068,3)</f>
        <v>#N/A</v>
      </c>
      <c r="I1068" s="66">
        <f t="shared" si="112"/>
        <v>0</v>
      </c>
      <c r="K1068" s="66" t="str">
        <f t="shared" si="113"/>
        <v/>
      </c>
      <c r="L1068" s="66" t="str">
        <f t="shared" si="114"/>
        <v/>
      </c>
      <c r="M1068" s="66" t="str">
        <f t="shared" si="115"/>
        <v/>
      </c>
      <c r="N1068" s="66" t="str">
        <f t="shared" si="116"/>
        <v/>
      </c>
      <c r="O1068" s="66" t="str">
        <f t="shared" si="117"/>
        <v/>
      </c>
      <c r="P1068" s="66" t="str">
        <f t="shared" si="118"/>
        <v/>
      </c>
    </row>
    <row r="1069" spans="8:16">
      <c r="H1069" s="66" t="e">
        <f>IF(LEFT(A1069,6)="CEPNTR","GPINS",VLOOKUP(LEFT(A1069,6),'Code Library'!$A$3:$B$920,2,0))&amp;"_"&amp;RIGHT(A1069,3)</f>
        <v>#N/A</v>
      </c>
      <c r="I1069" s="66">
        <f t="shared" si="112"/>
        <v>0</v>
      </c>
      <c r="K1069" s="66" t="str">
        <f t="shared" si="113"/>
        <v/>
      </c>
      <c r="L1069" s="66" t="str">
        <f t="shared" si="114"/>
        <v/>
      </c>
      <c r="M1069" s="66" t="str">
        <f t="shared" si="115"/>
        <v/>
      </c>
      <c r="N1069" s="66" t="str">
        <f t="shared" si="116"/>
        <v/>
      </c>
      <c r="O1069" s="66" t="str">
        <f t="shared" si="117"/>
        <v/>
      </c>
      <c r="P1069" s="66" t="str">
        <f t="shared" si="118"/>
        <v/>
      </c>
    </row>
    <row r="1070" spans="8:16">
      <c r="H1070" s="66" t="e">
        <f>IF(LEFT(A1070,6)="CEPNTR","GPINS",VLOOKUP(LEFT(A1070,6),'Code Library'!$A$3:$B$920,2,0))&amp;"_"&amp;RIGHT(A1070,3)</f>
        <v>#N/A</v>
      </c>
      <c r="I1070" s="66">
        <f t="shared" si="112"/>
        <v>0</v>
      </c>
      <c r="K1070" s="66" t="str">
        <f t="shared" si="113"/>
        <v/>
      </c>
      <c r="L1070" s="66" t="str">
        <f t="shared" si="114"/>
        <v/>
      </c>
      <c r="M1070" s="66" t="str">
        <f t="shared" si="115"/>
        <v/>
      </c>
      <c r="N1070" s="66" t="str">
        <f t="shared" si="116"/>
        <v/>
      </c>
      <c r="O1070" s="66" t="str">
        <f t="shared" si="117"/>
        <v/>
      </c>
      <c r="P1070" s="66" t="str">
        <f t="shared" si="118"/>
        <v/>
      </c>
    </row>
    <row r="1071" spans="8:16">
      <c r="H1071" s="66" t="e">
        <f>IF(LEFT(A1071,6)="CEPNTR","GPINS",VLOOKUP(LEFT(A1071,6),'Code Library'!$A$3:$B$920,2,0))&amp;"_"&amp;RIGHT(A1071,3)</f>
        <v>#N/A</v>
      </c>
      <c r="I1071" s="66">
        <f t="shared" si="112"/>
        <v>0</v>
      </c>
      <c r="K1071" s="66" t="str">
        <f t="shared" si="113"/>
        <v/>
      </c>
      <c r="L1071" s="66" t="str">
        <f t="shared" si="114"/>
        <v/>
      </c>
      <c r="M1071" s="66" t="str">
        <f t="shared" si="115"/>
        <v/>
      </c>
      <c r="N1071" s="66" t="str">
        <f t="shared" si="116"/>
        <v/>
      </c>
      <c r="O1071" s="66" t="str">
        <f t="shared" si="117"/>
        <v/>
      </c>
      <c r="P1071" s="66" t="str">
        <f t="shared" si="118"/>
        <v/>
      </c>
    </row>
    <row r="1072" spans="8:16">
      <c r="H1072" s="66" t="e">
        <f>IF(LEFT(A1072,6)="CEPNTR","GPINS",VLOOKUP(LEFT(A1072,6),'Code Library'!$A$3:$B$920,2,0))&amp;"_"&amp;RIGHT(A1072,3)</f>
        <v>#N/A</v>
      </c>
      <c r="I1072" s="66">
        <f t="shared" si="112"/>
        <v>0</v>
      </c>
      <c r="K1072" s="66" t="str">
        <f t="shared" si="113"/>
        <v/>
      </c>
      <c r="L1072" s="66" t="str">
        <f t="shared" si="114"/>
        <v/>
      </c>
      <c r="M1072" s="66" t="str">
        <f t="shared" si="115"/>
        <v/>
      </c>
      <c r="N1072" s="66" t="str">
        <f t="shared" si="116"/>
        <v/>
      </c>
      <c r="O1072" s="66" t="str">
        <f t="shared" si="117"/>
        <v/>
      </c>
      <c r="P1072" s="66" t="str">
        <f t="shared" si="118"/>
        <v/>
      </c>
    </row>
    <row r="1073" spans="8:16">
      <c r="H1073" s="66" t="e">
        <f>IF(LEFT(A1073,6)="CEPNTR","GPINS",VLOOKUP(LEFT(A1073,6),'Code Library'!$A$3:$B$920,2,0))&amp;"_"&amp;RIGHT(A1073,3)</f>
        <v>#N/A</v>
      </c>
      <c r="I1073" s="66">
        <f t="shared" si="112"/>
        <v>0</v>
      </c>
      <c r="K1073" s="66" t="str">
        <f t="shared" si="113"/>
        <v/>
      </c>
      <c r="L1073" s="66" t="str">
        <f t="shared" si="114"/>
        <v/>
      </c>
      <c r="M1073" s="66" t="str">
        <f t="shared" si="115"/>
        <v/>
      </c>
      <c r="N1073" s="66" t="str">
        <f t="shared" si="116"/>
        <v/>
      </c>
      <c r="O1073" s="66" t="str">
        <f t="shared" si="117"/>
        <v/>
      </c>
      <c r="P1073" s="66" t="str">
        <f t="shared" si="118"/>
        <v/>
      </c>
    </row>
    <row r="1074" spans="8:16">
      <c r="H1074" s="66" t="e">
        <f>IF(LEFT(A1074,6)="CEPNTR","GPINS",VLOOKUP(LEFT(A1074,6),'Code Library'!$A$3:$B$920,2,0))&amp;"_"&amp;RIGHT(A1074,3)</f>
        <v>#N/A</v>
      </c>
      <c r="I1074" s="66">
        <f t="shared" si="112"/>
        <v>0</v>
      </c>
      <c r="K1074" s="66" t="str">
        <f t="shared" si="113"/>
        <v/>
      </c>
      <c r="L1074" s="66" t="str">
        <f t="shared" si="114"/>
        <v/>
      </c>
      <c r="M1074" s="66" t="str">
        <f t="shared" si="115"/>
        <v/>
      </c>
      <c r="N1074" s="66" t="str">
        <f t="shared" si="116"/>
        <v/>
      </c>
      <c r="O1074" s="66" t="str">
        <f t="shared" si="117"/>
        <v/>
      </c>
      <c r="P1074" s="66" t="str">
        <f t="shared" si="118"/>
        <v/>
      </c>
    </row>
    <row r="1075" spans="8:16">
      <c r="H1075" s="66" t="e">
        <f>IF(LEFT(A1075,6)="CEPNTR","GPINS",VLOOKUP(LEFT(A1075,6),'Code Library'!$A$3:$B$920,2,0))&amp;"_"&amp;RIGHT(A1075,3)</f>
        <v>#N/A</v>
      </c>
      <c r="I1075" s="66">
        <f t="shared" si="112"/>
        <v>0</v>
      </c>
      <c r="K1075" s="66" t="str">
        <f t="shared" si="113"/>
        <v/>
      </c>
      <c r="L1075" s="66" t="str">
        <f t="shared" si="114"/>
        <v/>
      </c>
      <c r="M1075" s="66" t="str">
        <f t="shared" si="115"/>
        <v/>
      </c>
      <c r="N1075" s="66" t="str">
        <f t="shared" si="116"/>
        <v/>
      </c>
      <c r="O1075" s="66" t="str">
        <f t="shared" si="117"/>
        <v/>
      </c>
      <c r="P1075" s="66" t="str">
        <f t="shared" si="118"/>
        <v/>
      </c>
    </row>
    <row r="1076" spans="8:16">
      <c r="H1076" s="66" t="e">
        <f>IF(LEFT(A1076,6)="CEPNTR","GPINS",VLOOKUP(LEFT(A1076,6),'Code Library'!$A$3:$B$920,2,0))&amp;"_"&amp;RIGHT(A1076,3)</f>
        <v>#N/A</v>
      </c>
      <c r="I1076" s="66">
        <f t="shared" si="112"/>
        <v>0</v>
      </c>
      <c r="K1076" s="66" t="str">
        <f t="shared" si="113"/>
        <v/>
      </c>
      <c r="L1076" s="66" t="str">
        <f t="shared" si="114"/>
        <v/>
      </c>
      <c r="M1076" s="66" t="str">
        <f t="shared" si="115"/>
        <v/>
      </c>
      <c r="N1076" s="66" t="str">
        <f t="shared" si="116"/>
        <v/>
      </c>
      <c r="O1076" s="66" t="str">
        <f t="shared" si="117"/>
        <v/>
      </c>
      <c r="P1076" s="66" t="str">
        <f t="shared" si="118"/>
        <v/>
      </c>
    </row>
    <row r="1077" spans="8:16">
      <c r="H1077" s="66" t="e">
        <f>IF(LEFT(A1077,6)="CEPNTR","GPINS",VLOOKUP(LEFT(A1077,6),'Code Library'!$A$3:$B$920,2,0))&amp;"_"&amp;RIGHT(A1077,3)</f>
        <v>#N/A</v>
      </c>
      <c r="I1077" s="66">
        <f t="shared" si="112"/>
        <v>0</v>
      </c>
      <c r="K1077" s="66" t="str">
        <f t="shared" si="113"/>
        <v/>
      </c>
      <c r="L1077" s="66" t="str">
        <f t="shared" si="114"/>
        <v/>
      </c>
      <c r="M1077" s="66" t="str">
        <f t="shared" si="115"/>
        <v/>
      </c>
      <c r="N1077" s="66" t="str">
        <f t="shared" si="116"/>
        <v/>
      </c>
      <c r="O1077" s="66" t="str">
        <f t="shared" si="117"/>
        <v/>
      </c>
      <c r="P1077" s="66" t="str">
        <f t="shared" si="118"/>
        <v/>
      </c>
    </row>
    <row r="1078" spans="8:16">
      <c r="H1078" s="66" t="e">
        <f>IF(LEFT(A1078,6)="CEPNTR","GPINS",VLOOKUP(LEFT(A1078,6),'Code Library'!$A$3:$B$920,2,0))&amp;"_"&amp;RIGHT(A1078,3)</f>
        <v>#N/A</v>
      </c>
      <c r="I1078" s="66">
        <f t="shared" si="112"/>
        <v>0</v>
      </c>
      <c r="K1078" s="66" t="str">
        <f t="shared" si="113"/>
        <v/>
      </c>
      <c r="L1078" s="66" t="str">
        <f t="shared" si="114"/>
        <v/>
      </c>
      <c r="M1078" s="66" t="str">
        <f t="shared" si="115"/>
        <v/>
      </c>
      <c r="N1078" s="66" t="str">
        <f t="shared" si="116"/>
        <v/>
      </c>
      <c r="O1078" s="66" t="str">
        <f t="shared" si="117"/>
        <v/>
      </c>
      <c r="P1078" s="66" t="str">
        <f t="shared" si="118"/>
        <v/>
      </c>
    </row>
    <row r="1079" spans="8:16">
      <c r="H1079" s="66" t="e">
        <f>IF(LEFT(A1079,6)="CEPNTR","GPINS",VLOOKUP(LEFT(A1079,6),'Code Library'!$A$3:$B$920,2,0))&amp;"_"&amp;RIGHT(A1079,3)</f>
        <v>#N/A</v>
      </c>
      <c r="I1079" s="66">
        <f t="shared" si="112"/>
        <v>0</v>
      </c>
      <c r="K1079" s="66" t="str">
        <f t="shared" si="113"/>
        <v/>
      </c>
      <c r="L1079" s="66" t="str">
        <f t="shared" si="114"/>
        <v/>
      </c>
      <c r="M1079" s="66" t="str">
        <f t="shared" si="115"/>
        <v/>
      </c>
      <c r="N1079" s="66" t="str">
        <f t="shared" si="116"/>
        <v/>
      </c>
      <c r="O1079" s="66" t="str">
        <f t="shared" si="117"/>
        <v/>
      </c>
      <c r="P1079" s="66" t="str">
        <f t="shared" si="118"/>
        <v/>
      </c>
    </row>
    <row r="1080" spans="8:16">
      <c r="H1080" s="66" t="e">
        <f>IF(LEFT(A1080,6)="CEPNTR","GPINS",VLOOKUP(LEFT(A1080,6),'Code Library'!$A$3:$B$920,2,0))&amp;"_"&amp;RIGHT(A1080,3)</f>
        <v>#N/A</v>
      </c>
      <c r="I1080" s="66">
        <f t="shared" si="112"/>
        <v>0</v>
      </c>
      <c r="K1080" s="66" t="str">
        <f t="shared" si="113"/>
        <v/>
      </c>
      <c r="L1080" s="66" t="str">
        <f t="shared" si="114"/>
        <v/>
      </c>
      <c r="M1080" s="66" t="str">
        <f t="shared" si="115"/>
        <v/>
      </c>
      <c r="N1080" s="66" t="str">
        <f t="shared" si="116"/>
        <v/>
      </c>
      <c r="O1080" s="66" t="str">
        <f t="shared" si="117"/>
        <v/>
      </c>
      <c r="P1080" s="66" t="str">
        <f t="shared" si="118"/>
        <v/>
      </c>
    </row>
    <row r="1081" spans="8:16">
      <c r="H1081" s="66" t="e">
        <f>IF(LEFT(A1081,6)="CEPNTR","GPINS",VLOOKUP(LEFT(A1081,6),'Code Library'!$A$3:$B$920,2,0))&amp;"_"&amp;RIGHT(A1081,3)</f>
        <v>#N/A</v>
      </c>
      <c r="I1081" s="66">
        <f t="shared" si="112"/>
        <v>0</v>
      </c>
      <c r="K1081" s="66" t="str">
        <f t="shared" si="113"/>
        <v/>
      </c>
      <c r="L1081" s="66" t="str">
        <f t="shared" si="114"/>
        <v/>
      </c>
      <c r="M1081" s="66" t="str">
        <f t="shared" si="115"/>
        <v/>
      </c>
      <c r="N1081" s="66" t="str">
        <f t="shared" si="116"/>
        <v/>
      </c>
      <c r="O1081" s="66" t="str">
        <f t="shared" si="117"/>
        <v/>
      </c>
      <c r="P1081" s="66" t="str">
        <f t="shared" si="118"/>
        <v/>
      </c>
    </row>
    <row r="1082" spans="8:16">
      <c r="H1082" s="66" t="e">
        <f>IF(LEFT(A1082,6)="CEPNTR","GPINS",VLOOKUP(LEFT(A1082,6),'Code Library'!$A$3:$B$920,2,0))&amp;"_"&amp;RIGHT(A1082,3)</f>
        <v>#N/A</v>
      </c>
      <c r="I1082" s="66">
        <f t="shared" si="112"/>
        <v>0</v>
      </c>
      <c r="K1082" s="66" t="str">
        <f t="shared" si="113"/>
        <v/>
      </c>
      <c r="L1082" s="66" t="str">
        <f t="shared" si="114"/>
        <v/>
      </c>
      <c r="M1082" s="66" t="str">
        <f t="shared" si="115"/>
        <v/>
      </c>
      <c r="N1082" s="66" t="str">
        <f t="shared" si="116"/>
        <v/>
      </c>
      <c r="O1082" s="66" t="str">
        <f t="shared" si="117"/>
        <v/>
      </c>
      <c r="P1082" s="66" t="str">
        <f t="shared" si="118"/>
        <v/>
      </c>
    </row>
    <row r="1083" spans="8:16">
      <c r="H1083" s="66" t="e">
        <f>IF(LEFT(A1083,6)="CEPNTR","GPINS",VLOOKUP(LEFT(A1083,6),'Code Library'!$A$3:$B$920,2,0))&amp;"_"&amp;RIGHT(A1083,3)</f>
        <v>#N/A</v>
      </c>
      <c r="I1083" s="66">
        <f t="shared" si="112"/>
        <v>0</v>
      </c>
      <c r="K1083" s="66" t="str">
        <f t="shared" si="113"/>
        <v/>
      </c>
      <c r="L1083" s="66" t="str">
        <f t="shared" si="114"/>
        <v/>
      </c>
      <c r="M1083" s="66" t="str">
        <f t="shared" si="115"/>
        <v/>
      </c>
      <c r="N1083" s="66" t="str">
        <f t="shared" si="116"/>
        <v/>
      </c>
      <c r="O1083" s="66" t="str">
        <f t="shared" si="117"/>
        <v/>
      </c>
      <c r="P1083" s="66" t="str">
        <f t="shared" si="118"/>
        <v/>
      </c>
    </row>
    <row r="1084" spans="8:16">
      <c r="H1084" s="66" t="e">
        <f>IF(LEFT(A1084,6)="CEPNTR","GPINS",VLOOKUP(LEFT(A1084,6),'Code Library'!$A$3:$B$920,2,0))&amp;"_"&amp;RIGHT(A1084,3)</f>
        <v>#N/A</v>
      </c>
      <c r="I1084" s="66">
        <f t="shared" si="112"/>
        <v>0</v>
      </c>
      <c r="K1084" s="66" t="str">
        <f t="shared" si="113"/>
        <v/>
      </c>
      <c r="L1084" s="66" t="str">
        <f t="shared" si="114"/>
        <v/>
      </c>
      <c r="M1084" s="66" t="str">
        <f t="shared" si="115"/>
        <v/>
      </c>
      <c r="N1084" s="66" t="str">
        <f t="shared" si="116"/>
        <v/>
      </c>
      <c r="O1084" s="66" t="str">
        <f t="shared" si="117"/>
        <v/>
      </c>
      <c r="P1084" s="66" t="str">
        <f t="shared" si="118"/>
        <v/>
      </c>
    </row>
    <row r="1085" spans="8:16">
      <c r="H1085" s="66" t="e">
        <f>IF(LEFT(A1085,6)="CEPNTR","GPINS",VLOOKUP(LEFT(A1085,6),'Code Library'!$A$3:$B$920,2,0))&amp;"_"&amp;RIGHT(A1085,3)</f>
        <v>#N/A</v>
      </c>
      <c r="I1085" s="66">
        <f t="shared" si="112"/>
        <v>0</v>
      </c>
      <c r="K1085" s="66" t="str">
        <f t="shared" si="113"/>
        <v/>
      </c>
      <c r="L1085" s="66" t="str">
        <f t="shared" si="114"/>
        <v/>
      </c>
      <c r="M1085" s="66" t="str">
        <f t="shared" si="115"/>
        <v/>
      </c>
      <c r="N1085" s="66" t="str">
        <f t="shared" si="116"/>
        <v/>
      </c>
      <c r="O1085" s="66" t="str">
        <f t="shared" si="117"/>
        <v/>
      </c>
      <c r="P1085" s="66" t="str">
        <f t="shared" si="118"/>
        <v/>
      </c>
    </row>
    <row r="1086" spans="8:16">
      <c r="H1086" s="66" t="e">
        <f>IF(LEFT(A1086,6)="CEPNTR","GPINS",VLOOKUP(LEFT(A1086,6),'Code Library'!$A$3:$B$920,2,0))&amp;"_"&amp;RIGHT(A1086,3)</f>
        <v>#N/A</v>
      </c>
      <c r="I1086" s="66">
        <f t="shared" si="112"/>
        <v>0</v>
      </c>
      <c r="K1086" s="66" t="str">
        <f t="shared" si="113"/>
        <v/>
      </c>
      <c r="L1086" s="66" t="str">
        <f t="shared" si="114"/>
        <v/>
      </c>
      <c r="M1086" s="66" t="str">
        <f t="shared" si="115"/>
        <v/>
      </c>
      <c r="N1086" s="66" t="str">
        <f t="shared" si="116"/>
        <v/>
      </c>
      <c r="O1086" s="66" t="str">
        <f t="shared" si="117"/>
        <v/>
      </c>
      <c r="P1086" s="66" t="str">
        <f t="shared" si="118"/>
        <v/>
      </c>
    </row>
    <row r="1087" spans="8:16">
      <c r="H1087" s="66" t="e">
        <f>IF(LEFT(A1087,6)="CEPNTR","GPINS",VLOOKUP(LEFT(A1087,6),'Code Library'!$A$3:$B$920,2,0))&amp;"_"&amp;RIGHT(A1087,3)</f>
        <v>#N/A</v>
      </c>
      <c r="I1087" s="66">
        <f t="shared" si="112"/>
        <v>0</v>
      </c>
      <c r="K1087" s="66" t="str">
        <f t="shared" si="113"/>
        <v/>
      </c>
      <c r="L1087" s="66" t="str">
        <f t="shared" si="114"/>
        <v/>
      </c>
      <c r="M1087" s="66" t="str">
        <f t="shared" si="115"/>
        <v/>
      </c>
      <c r="N1087" s="66" t="str">
        <f t="shared" si="116"/>
        <v/>
      </c>
      <c r="O1087" s="66" t="str">
        <f t="shared" si="117"/>
        <v/>
      </c>
      <c r="P1087" s="66" t="str">
        <f t="shared" si="118"/>
        <v/>
      </c>
    </row>
    <row r="1088" spans="8:16">
      <c r="H1088" s="66" t="e">
        <f>IF(LEFT(A1088,6)="CEPNTR","GPINS",VLOOKUP(LEFT(A1088,6),'Code Library'!$A$3:$B$920,2,0))&amp;"_"&amp;RIGHT(A1088,3)</f>
        <v>#N/A</v>
      </c>
      <c r="I1088" s="66">
        <f t="shared" si="112"/>
        <v>0</v>
      </c>
      <c r="K1088" s="66" t="str">
        <f t="shared" si="113"/>
        <v/>
      </c>
      <c r="L1088" s="66" t="str">
        <f t="shared" si="114"/>
        <v/>
      </c>
      <c r="M1088" s="66" t="str">
        <f t="shared" si="115"/>
        <v/>
      </c>
      <c r="N1088" s="66" t="str">
        <f t="shared" si="116"/>
        <v/>
      </c>
      <c r="O1088" s="66" t="str">
        <f t="shared" si="117"/>
        <v/>
      </c>
      <c r="P1088" s="66" t="str">
        <f t="shared" si="118"/>
        <v/>
      </c>
    </row>
    <row r="1089" spans="8:16">
      <c r="H1089" s="66" t="e">
        <f>IF(LEFT(A1089,6)="CEPNTR","GPINS",VLOOKUP(LEFT(A1089,6),'Code Library'!$A$3:$B$920,2,0))&amp;"_"&amp;RIGHT(A1089,3)</f>
        <v>#N/A</v>
      </c>
      <c r="I1089" s="66">
        <f t="shared" si="112"/>
        <v>0</v>
      </c>
      <c r="K1089" s="66" t="str">
        <f t="shared" si="113"/>
        <v/>
      </c>
      <c r="L1089" s="66" t="str">
        <f t="shared" si="114"/>
        <v/>
      </c>
      <c r="M1089" s="66" t="str">
        <f t="shared" si="115"/>
        <v/>
      </c>
      <c r="N1089" s="66" t="str">
        <f t="shared" si="116"/>
        <v/>
      </c>
      <c r="O1089" s="66" t="str">
        <f t="shared" si="117"/>
        <v/>
      </c>
      <c r="P1089" s="66" t="str">
        <f t="shared" si="118"/>
        <v/>
      </c>
    </row>
    <row r="1090" spans="8:16">
      <c r="H1090" s="66" t="e">
        <f>IF(LEFT(A1090,6)="CEPNTR","GPINS",VLOOKUP(LEFT(A1090,6),'Code Library'!$A$3:$B$920,2,0))&amp;"_"&amp;RIGHT(A1090,3)</f>
        <v>#N/A</v>
      </c>
      <c r="I1090" s="66">
        <f t="shared" si="112"/>
        <v>0</v>
      </c>
      <c r="K1090" s="66" t="str">
        <f t="shared" si="113"/>
        <v/>
      </c>
      <c r="L1090" s="66" t="str">
        <f t="shared" si="114"/>
        <v/>
      </c>
      <c r="M1090" s="66" t="str">
        <f t="shared" si="115"/>
        <v/>
      </c>
      <c r="N1090" s="66" t="str">
        <f t="shared" si="116"/>
        <v/>
      </c>
      <c r="O1090" s="66" t="str">
        <f t="shared" si="117"/>
        <v/>
      </c>
      <c r="P1090" s="66" t="str">
        <f t="shared" si="118"/>
        <v/>
      </c>
    </row>
    <row r="1091" spans="8:16">
      <c r="H1091" s="66" t="e">
        <f>IF(LEFT(A1091,6)="CEPNTR","GPINS",VLOOKUP(LEFT(A1091,6),'Code Library'!$A$3:$B$920,2,0))&amp;"_"&amp;RIGHT(A1091,3)</f>
        <v>#N/A</v>
      </c>
      <c r="I1091" s="66">
        <f t="shared" ref="I1091:I1154" si="119">A1091</f>
        <v>0</v>
      </c>
      <c r="K1091" s="66" t="str">
        <f t="shared" ref="K1091:K1154" si="120">RIGHT($B1091,2)</f>
        <v/>
      </c>
      <c r="L1091" s="66" t="str">
        <f t="shared" ref="L1091:L1154" si="121">LEFT(RIGHT($B1091,7),4)</f>
        <v/>
      </c>
      <c r="M1091" s="66" t="str">
        <f t="shared" ref="M1091:M1154" si="122">LEFT(RIGHT($B1091,10),2)</f>
        <v/>
      </c>
      <c r="N1091" s="66" t="str">
        <f t="shared" ref="N1091:N1154" si="123">LEFT(RIGHT($B1091,14),3)</f>
        <v/>
      </c>
      <c r="O1091" s="66" t="str">
        <f t="shared" ref="O1091:O1154" si="124">LEFT(RIGHT($B1091,16),1)</f>
        <v/>
      </c>
      <c r="P1091" s="66" t="str">
        <f t="shared" ref="P1091:P1154" si="125">LEFT(RIGHT($B1091,19),2)</f>
        <v/>
      </c>
    </row>
    <row r="1092" spans="8:16">
      <c r="H1092" s="66" t="e">
        <f>IF(LEFT(A1092,6)="CEPNTR","GPINS",VLOOKUP(LEFT(A1092,6),'Code Library'!$A$3:$B$920,2,0))&amp;"_"&amp;RIGHT(A1092,3)</f>
        <v>#N/A</v>
      </c>
      <c r="I1092" s="66">
        <f t="shared" si="119"/>
        <v>0</v>
      </c>
      <c r="K1092" s="66" t="str">
        <f t="shared" si="120"/>
        <v/>
      </c>
      <c r="L1092" s="66" t="str">
        <f t="shared" si="121"/>
        <v/>
      </c>
      <c r="M1092" s="66" t="str">
        <f t="shared" si="122"/>
        <v/>
      </c>
      <c r="N1092" s="66" t="str">
        <f t="shared" si="123"/>
        <v/>
      </c>
      <c r="O1092" s="66" t="str">
        <f t="shared" si="124"/>
        <v/>
      </c>
      <c r="P1092" s="66" t="str">
        <f t="shared" si="125"/>
        <v/>
      </c>
    </row>
    <row r="1093" spans="8:16">
      <c r="H1093" s="66" t="e">
        <f>IF(LEFT(A1093,6)="CEPNTR","GPINS",VLOOKUP(LEFT(A1093,6),'Code Library'!$A$3:$B$920,2,0))&amp;"_"&amp;RIGHT(A1093,3)</f>
        <v>#N/A</v>
      </c>
      <c r="I1093" s="66">
        <f t="shared" si="119"/>
        <v>0</v>
      </c>
      <c r="K1093" s="66" t="str">
        <f t="shared" si="120"/>
        <v/>
      </c>
      <c r="L1093" s="66" t="str">
        <f t="shared" si="121"/>
        <v/>
      </c>
      <c r="M1093" s="66" t="str">
        <f t="shared" si="122"/>
        <v/>
      </c>
      <c r="N1093" s="66" t="str">
        <f t="shared" si="123"/>
        <v/>
      </c>
      <c r="O1093" s="66" t="str">
        <f t="shared" si="124"/>
        <v/>
      </c>
      <c r="P1093" s="66" t="str">
        <f t="shared" si="125"/>
        <v/>
      </c>
    </row>
    <row r="1094" spans="8:16">
      <c r="H1094" s="66" t="e">
        <f>IF(LEFT(A1094,6)="CEPNTR","GPINS",VLOOKUP(LEFT(A1094,6),'Code Library'!$A$3:$B$920,2,0))&amp;"_"&amp;RIGHT(A1094,3)</f>
        <v>#N/A</v>
      </c>
      <c r="I1094" s="66">
        <f t="shared" si="119"/>
        <v>0</v>
      </c>
      <c r="K1094" s="66" t="str">
        <f t="shared" si="120"/>
        <v/>
      </c>
      <c r="L1094" s="66" t="str">
        <f t="shared" si="121"/>
        <v/>
      </c>
      <c r="M1094" s="66" t="str">
        <f t="shared" si="122"/>
        <v/>
      </c>
      <c r="N1094" s="66" t="str">
        <f t="shared" si="123"/>
        <v/>
      </c>
      <c r="O1094" s="66" t="str">
        <f t="shared" si="124"/>
        <v/>
      </c>
      <c r="P1094" s="66" t="str">
        <f t="shared" si="125"/>
        <v/>
      </c>
    </row>
    <row r="1095" spans="8:16">
      <c r="H1095" s="66" t="e">
        <f>IF(LEFT(A1095,6)="CEPNTR","GPINS",VLOOKUP(LEFT(A1095,6),'Code Library'!$A$3:$B$920,2,0))&amp;"_"&amp;RIGHT(A1095,3)</f>
        <v>#N/A</v>
      </c>
      <c r="I1095" s="66">
        <f t="shared" si="119"/>
        <v>0</v>
      </c>
      <c r="K1095" s="66" t="str">
        <f t="shared" si="120"/>
        <v/>
      </c>
      <c r="L1095" s="66" t="str">
        <f t="shared" si="121"/>
        <v/>
      </c>
      <c r="M1095" s="66" t="str">
        <f t="shared" si="122"/>
        <v/>
      </c>
      <c r="N1095" s="66" t="str">
        <f t="shared" si="123"/>
        <v/>
      </c>
      <c r="O1095" s="66" t="str">
        <f t="shared" si="124"/>
        <v/>
      </c>
      <c r="P1095" s="66" t="str">
        <f t="shared" si="125"/>
        <v/>
      </c>
    </row>
    <row r="1096" spans="8:16">
      <c r="H1096" s="66" t="e">
        <f>IF(LEFT(A1096,6)="CEPNTR","GPINS",VLOOKUP(LEFT(A1096,6),'Code Library'!$A$3:$B$920,2,0))&amp;"_"&amp;RIGHT(A1096,3)</f>
        <v>#N/A</v>
      </c>
      <c r="I1096" s="66">
        <f t="shared" si="119"/>
        <v>0</v>
      </c>
      <c r="K1096" s="66" t="str">
        <f t="shared" si="120"/>
        <v/>
      </c>
      <c r="L1096" s="66" t="str">
        <f t="shared" si="121"/>
        <v/>
      </c>
      <c r="M1096" s="66" t="str">
        <f t="shared" si="122"/>
        <v/>
      </c>
      <c r="N1096" s="66" t="str">
        <f t="shared" si="123"/>
        <v/>
      </c>
      <c r="O1096" s="66" t="str">
        <f t="shared" si="124"/>
        <v/>
      </c>
      <c r="P1096" s="66" t="str">
        <f t="shared" si="125"/>
        <v/>
      </c>
    </row>
    <row r="1097" spans="8:16">
      <c r="H1097" s="66" t="e">
        <f>IF(LEFT(A1097,6)="CEPNTR","GPINS",VLOOKUP(LEFT(A1097,6),'Code Library'!$A$3:$B$920,2,0))&amp;"_"&amp;RIGHT(A1097,3)</f>
        <v>#N/A</v>
      </c>
      <c r="I1097" s="66">
        <f t="shared" si="119"/>
        <v>0</v>
      </c>
      <c r="K1097" s="66" t="str">
        <f t="shared" si="120"/>
        <v/>
      </c>
      <c r="L1097" s="66" t="str">
        <f t="shared" si="121"/>
        <v/>
      </c>
      <c r="M1097" s="66" t="str">
        <f t="shared" si="122"/>
        <v/>
      </c>
      <c r="N1097" s="66" t="str">
        <f t="shared" si="123"/>
        <v/>
      </c>
      <c r="O1097" s="66" t="str">
        <f t="shared" si="124"/>
        <v/>
      </c>
      <c r="P1097" s="66" t="str">
        <f t="shared" si="125"/>
        <v/>
      </c>
    </row>
    <row r="1098" spans="8:16">
      <c r="H1098" s="66" t="e">
        <f>IF(LEFT(A1098,6)="CEPNTR","GPINS",VLOOKUP(LEFT(A1098,6),'Code Library'!$A$3:$B$920,2,0))&amp;"_"&amp;RIGHT(A1098,3)</f>
        <v>#N/A</v>
      </c>
      <c r="I1098" s="66">
        <f t="shared" si="119"/>
        <v>0</v>
      </c>
      <c r="K1098" s="66" t="str">
        <f t="shared" si="120"/>
        <v/>
      </c>
      <c r="L1098" s="66" t="str">
        <f t="shared" si="121"/>
        <v/>
      </c>
      <c r="M1098" s="66" t="str">
        <f t="shared" si="122"/>
        <v/>
      </c>
      <c r="N1098" s="66" t="str">
        <f t="shared" si="123"/>
        <v/>
      </c>
      <c r="O1098" s="66" t="str">
        <f t="shared" si="124"/>
        <v/>
      </c>
      <c r="P1098" s="66" t="str">
        <f t="shared" si="125"/>
        <v/>
      </c>
    </row>
    <row r="1099" spans="8:16">
      <c r="H1099" s="66" t="e">
        <f>IF(LEFT(A1099,6)="CEPNTR","GPINS",VLOOKUP(LEFT(A1099,6),'Code Library'!$A$3:$B$920,2,0))&amp;"_"&amp;RIGHT(A1099,3)</f>
        <v>#N/A</v>
      </c>
      <c r="I1099" s="66">
        <f t="shared" si="119"/>
        <v>0</v>
      </c>
      <c r="K1099" s="66" t="str">
        <f t="shared" si="120"/>
        <v/>
      </c>
      <c r="L1099" s="66" t="str">
        <f t="shared" si="121"/>
        <v/>
      </c>
      <c r="M1099" s="66" t="str">
        <f t="shared" si="122"/>
        <v/>
      </c>
      <c r="N1099" s="66" t="str">
        <f t="shared" si="123"/>
        <v/>
      </c>
      <c r="O1099" s="66" t="str">
        <f t="shared" si="124"/>
        <v/>
      </c>
      <c r="P1099" s="66" t="str">
        <f t="shared" si="125"/>
        <v/>
      </c>
    </row>
    <row r="1100" spans="8:16">
      <c r="H1100" s="66" t="e">
        <f>IF(LEFT(A1100,6)="CEPNTR","GPINS",VLOOKUP(LEFT(A1100,6),'Code Library'!$A$3:$B$920,2,0))&amp;"_"&amp;RIGHT(A1100,3)</f>
        <v>#N/A</v>
      </c>
      <c r="I1100" s="66">
        <f t="shared" si="119"/>
        <v>0</v>
      </c>
      <c r="K1100" s="66" t="str">
        <f t="shared" si="120"/>
        <v/>
      </c>
      <c r="L1100" s="66" t="str">
        <f t="shared" si="121"/>
        <v/>
      </c>
      <c r="M1100" s="66" t="str">
        <f t="shared" si="122"/>
        <v/>
      </c>
      <c r="N1100" s="66" t="str">
        <f t="shared" si="123"/>
        <v/>
      </c>
      <c r="O1100" s="66" t="str">
        <f t="shared" si="124"/>
        <v/>
      </c>
      <c r="P1100" s="66" t="str">
        <f t="shared" si="125"/>
        <v/>
      </c>
    </row>
    <row r="1101" spans="8:16">
      <c r="H1101" s="66" t="e">
        <f>IF(LEFT(A1101,6)="CEPNTR","GPINS",VLOOKUP(LEFT(A1101,6),'Code Library'!$A$3:$B$920,2,0))&amp;"_"&amp;RIGHT(A1101,3)</f>
        <v>#N/A</v>
      </c>
      <c r="I1101" s="66">
        <f t="shared" si="119"/>
        <v>0</v>
      </c>
      <c r="K1101" s="66" t="str">
        <f t="shared" si="120"/>
        <v/>
      </c>
      <c r="L1101" s="66" t="str">
        <f t="shared" si="121"/>
        <v/>
      </c>
      <c r="M1101" s="66" t="str">
        <f t="shared" si="122"/>
        <v/>
      </c>
      <c r="N1101" s="66" t="str">
        <f t="shared" si="123"/>
        <v/>
      </c>
      <c r="O1101" s="66" t="str">
        <f t="shared" si="124"/>
        <v/>
      </c>
      <c r="P1101" s="66" t="str">
        <f t="shared" si="125"/>
        <v/>
      </c>
    </row>
    <row r="1102" spans="8:16">
      <c r="H1102" s="66" t="e">
        <f>IF(LEFT(A1102,6)="CEPNTR","GPINS",VLOOKUP(LEFT(A1102,6),'Code Library'!$A$3:$B$920,2,0))&amp;"_"&amp;RIGHT(A1102,3)</f>
        <v>#N/A</v>
      </c>
      <c r="I1102" s="66">
        <f t="shared" si="119"/>
        <v>0</v>
      </c>
      <c r="K1102" s="66" t="str">
        <f t="shared" si="120"/>
        <v/>
      </c>
      <c r="L1102" s="66" t="str">
        <f t="shared" si="121"/>
        <v/>
      </c>
      <c r="M1102" s="66" t="str">
        <f t="shared" si="122"/>
        <v/>
      </c>
      <c r="N1102" s="66" t="str">
        <f t="shared" si="123"/>
        <v/>
      </c>
      <c r="O1102" s="66" t="str">
        <f t="shared" si="124"/>
        <v/>
      </c>
      <c r="P1102" s="66" t="str">
        <f t="shared" si="125"/>
        <v/>
      </c>
    </row>
    <row r="1103" spans="8:16">
      <c r="H1103" s="66" t="e">
        <f>IF(LEFT(A1103,6)="CEPNTR","GPINS",VLOOKUP(LEFT(A1103,6),'Code Library'!$A$3:$B$920,2,0))&amp;"_"&amp;RIGHT(A1103,3)</f>
        <v>#N/A</v>
      </c>
      <c r="I1103" s="66">
        <f t="shared" si="119"/>
        <v>0</v>
      </c>
      <c r="K1103" s="66" t="str">
        <f t="shared" si="120"/>
        <v/>
      </c>
      <c r="L1103" s="66" t="str">
        <f t="shared" si="121"/>
        <v/>
      </c>
      <c r="M1103" s="66" t="str">
        <f t="shared" si="122"/>
        <v/>
      </c>
      <c r="N1103" s="66" t="str">
        <f t="shared" si="123"/>
        <v/>
      </c>
      <c r="O1103" s="66" t="str">
        <f t="shared" si="124"/>
        <v/>
      </c>
      <c r="P1103" s="66" t="str">
        <f t="shared" si="125"/>
        <v/>
      </c>
    </row>
    <row r="1104" spans="8:16">
      <c r="H1104" s="66" t="e">
        <f>IF(LEFT(A1104,6)="CEPNTR","GPINS",VLOOKUP(LEFT(A1104,6),'Code Library'!$A$3:$B$920,2,0))&amp;"_"&amp;RIGHT(A1104,3)</f>
        <v>#N/A</v>
      </c>
      <c r="I1104" s="66">
        <f t="shared" si="119"/>
        <v>0</v>
      </c>
      <c r="K1104" s="66" t="str">
        <f t="shared" si="120"/>
        <v/>
      </c>
      <c r="L1104" s="66" t="str">
        <f t="shared" si="121"/>
        <v/>
      </c>
      <c r="M1104" s="66" t="str">
        <f t="shared" si="122"/>
        <v/>
      </c>
      <c r="N1104" s="66" t="str">
        <f t="shared" si="123"/>
        <v/>
      </c>
      <c r="O1104" s="66" t="str">
        <f t="shared" si="124"/>
        <v/>
      </c>
      <c r="P1104" s="66" t="str">
        <f t="shared" si="125"/>
        <v/>
      </c>
    </row>
    <row r="1105" spans="8:16">
      <c r="H1105" s="66" t="e">
        <f>IF(LEFT(A1105,6)="CEPNTR","GPINS",VLOOKUP(LEFT(A1105,6),'Code Library'!$A$3:$B$920,2,0))&amp;"_"&amp;RIGHT(A1105,3)</f>
        <v>#N/A</v>
      </c>
      <c r="I1105" s="66">
        <f t="shared" si="119"/>
        <v>0</v>
      </c>
      <c r="K1105" s="66" t="str">
        <f t="shared" si="120"/>
        <v/>
      </c>
      <c r="L1105" s="66" t="str">
        <f t="shared" si="121"/>
        <v/>
      </c>
      <c r="M1105" s="66" t="str">
        <f t="shared" si="122"/>
        <v/>
      </c>
      <c r="N1105" s="66" t="str">
        <f t="shared" si="123"/>
        <v/>
      </c>
      <c r="O1105" s="66" t="str">
        <f t="shared" si="124"/>
        <v/>
      </c>
      <c r="P1105" s="66" t="str">
        <f t="shared" si="125"/>
        <v/>
      </c>
    </row>
    <row r="1106" spans="8:16">
      <c r="H1106" s="66" t="e">
        <f>IF(LEFT(A1106,6)="CEPNTR","GPINS",VLOOKUP(LEFT(A1106,6),'Code Library'!$A$3:$B$920,2,0))&amp;"_"&amp;RIGHT(A1106,3)</f>
        <v>#N/A</v>
      </c>
      <c r="I1106" s="66">
        <f t="shared" si="119"/>
        <v>0</v>
      </c>
      <c r="K1106" s="66" t="str">
        <f t="shared" si="120"/>
        <v/>
      </c>
      <c r="L1106" s="66" t="str">
        <f t="shared" si="121"/>
        <v/>
      </c>
      <c r="M1106" s="66" t="str">
        <f t="shared" si="122"/>
        <v/>
      </c>
      <c r="N1106" s="66" t="str">
        <f t="shared" si="123"/>
        <v/>
      </c>
      <c r="O1106" s="66" t="str">
        <f t="shared" si="124"/>
        <v/>
      </c>
      <c r="P1106" s="66" t="str">
        <f t="shared" si="125"/>
        <v/>
      </c>
    </row>
    <row r="1107" spans="8:16">
      <c r="H1107" s="66" t="e">
        <f>IF(LEFT(A1107,6)="CEPNTR","GPINS",VLOOKUP(LEFT(A1107,6),'Code Library'!$A$3:$B$920,2,0))&amp;"_"&amp;RIGHT(A1107,3)</f>
        <v>#N/A</v>
      </c>
      <c r="I1107" s="66">
        <f t="shared" si="119"/>
        <v>0</v>
      </c>
      <c r="K1107" s="66" t="str">
        <f t="shared" si="120"/>
        <v/>
      </c>
      <c r="L1107" s="66" t="str">
        <f t="shared" si="121"/>
        <v/>
      </c>
      <c r="M1107" s="66" t="str">
        <f t="shared" si="122"/>
        <v/>
      </c>
      <c r="N1107" s="66" t="str">
        <f t="shared" si="123"/>
        <v/>
      </c>
      <c r="O1107" s="66" t="str">
        <f t="shared" si="124"/>
        <v/>
      </c>
      <c r="P1107" s="66" t="str">
        <f t="shared" si="125"/>
        <v/>
      </c>
    </row>
    <row r="1108" spans="8:16">
      <c r="H1108" s="66" t="e">
        <f>IF(LEFT(A1108,6)="CEPNTR","GPINS",VLOOKUP(LEFT(A1108,6),'Code Library'!$A$3:$B$920,2,0))&amp;"_"&amp;RIGHT(A1108,3)</f>
        <v>#N/A</v>
      </c>
      <c r="I1108" s="66">
        <f t="shared" si="119"/>
        <v>0</v>
      </c>
      <c r="K1108" s="66" t="str">
        <f t="shared" si="120"/>
        <v/>
      </c>
      <c r="L1108" s="66" t="str">
        <f t="shared" si="121"/>
        <v/>
      </c>
      <c r="M1108" s="66" t="str">
        <f t="shared" si="122"/>
        <v/>
      </c>
      <c r="N1108" s="66" t="str">
        <f t="shared" si="123"/>
        <v/>
      </c>
      <c r="O1108" s="66" t="str">
        <f t="shared" si="124"/>
        <v/>
      </c>
      <c r="P1108" s="66" t="str">
        <f t="shared" si="125"/>
        <v/>
      </c>
    </row>
    <row r="1109" spans="8:16">
      <c r="H1109" s="66" t="e">
        <f>IF(LEFT(A1109,6)="CEPNTR","GPINS",VLOOKUP(LEFT(A1109,6),'Code Library'!$A$3:$B$920,2,0))&amp;"_"&amp;RIGHT(A1109,3)</f>
        <v>#N/A</v>
      </c>
      <c r="I1109" s="66">
        <f t="shared" si="119"/>
        <v>0</v>
      </c>
      <c r="K1109" s="66" t="str">
        <f t="shared" si="120"/>
        <v/>
      </c>
      <c r="L1109" s="66" t="str">
        <f t="shared" si="121"/>
        <v/>
      </c>
      <c r="M1109" s="66" t="str">
        <f t="shared" si="122"/>
        <v/>
      </c>
      <c r="N1109" s="66" t="str">
        <f t="shared" si="123"/>
        <v/>
      </c>
      <c r="O1109" s="66" t="str">
        <f t="shared" si="124"/>
        <v/>
      </c>
      <c r="P1109" s="66" t="str">
        <f t="shared" si="125"/>
        <v/>
      </c>
    </row>
    <row r="1110" spans="8:16">
      <c r="H1110" s="66" t="e">
        <f>IF(LEFT(A1110,6)="CEPNTR","GPINS",VLOOKUP(LEFT(A1110,6),'Code Library'!$A$3:$B$920,2,0))&amp;"_"&amp;RIGHT(A1110,3)</f>
        <v>#N/A</v>
      </c>
      <c r="I1110" s="66">
        <f t="shared" si="119"/>
        <v>0</v>
      </c>
      <c r="K1110" s="66" t="str">
        <f t="shared" si="120"/>
        <v/>
      </c>
      <c r="L1110" s="66" t="str">
        <f t="shared" si="121"/>
        <v/>
      </c>
      <c r="M1110" s="66" t="str">
        <f t="shared" si="122"/>
        <v/>
      </c>
      <c r="N1110" s="66" t="str">
        <f t="shared" si="123"/>
        <v/>
      </c>
      <c r="O1110" s="66" t="str">
        <f t="shared" si="124"/>
        <v/>
      </c>
      <c r="P1110" s="66" t="str">
        <f t="shared" si="125"/>
        <v/>
      </c>
    </row>
    <row r="1111" spans="8:16">
      <c r="H1111" s="66" t="e">
        <f>IF(LEFT(A1111,6)="CEPNTR","GPINS",VLOOKUP(LEFT(A1111,6),'Code Library'!$A$3:$B$920,2,0))&amp;"_"&amp;RIGHT(A1111,3)</f>
        <v>#N/A</v>
      </c>
      <c r="I1111" s="66">
        <f t="shared" si="119"/>
        <v>0</v>
      </c>
      <c r="K1111" s="66" t="str">
        <f t="shared" si="120"/>
        <v/>
      </c>
      <c r="L1111" s="66" t="str">
        <f t="shared" si="121"/>
        <v/>
      </c>
      <c r="M1111" s="66" t="str">
        <f t="shared" si="122"/>
        <v/>
      </c>
      <c r="N1111" s="66" t="str">
        <f t="shared" si="123"/>
        <v/>
      </c>
      <c r="O1111" s="66" t="str">
        <f t="shared" si="124"/>
        <v/>
      </c>
      <c r="P1111" s="66" t="str">
        <f t="shared" si="125"/>
        <v/>
      </c>
    </row>
    <row r="1112" spans="8:16">
      <c r="H1112" s="66" t="e">
        <f>IF(LEFT(A1112,6)="CEPNTR","GPINS",VLOOKUP(LEFT(A1112,6),'Code Library'!$A$3:$B$920,2,0))&amp;"_"&amp;RIGHT(A1112,3)</f>
        <v>#N/A</v>
      </c>
      <c r="I1112" s="66">
        <f t="shared" si="119"/>
        <v>0</v>
      </c>
      <c r="K1112" s="66" t="str">
        <f t="shared" si="120"/>
        <v/>
      </c>
      <c r="L1112" s="66" t="str">
        <f t="shared" si="121"/>
        <v/>
      </c>
      <c r="M1112" s="66" t="str">
        <f t="shared" si="122"/>
        <v/>
      </c>
      <c r="N1112" s="66" t="str">
        <f t="shared" si="123"/>
        <v/>
      </c>
      <c r="O1112" s="66" t="str">
        <f t="shared" si="124"/>
        <v/>
      </c>
      <c r="P1112" s="66" t="str">
        <f t="shared" si="125"/>
        <v/>
      </c>
    </row>
    <row r="1113" spans="8:16">
      <c r="H1113" s="66" t="e">
        <f>IF(LEFT(A1113,6)="CEPNTR","GPINS",VLOOKUP(LEFT(A1113,6),'Code Library'!$A$3:$B$920,2,0))&amp;"_"&amp;RIGHT(A1113,3)</f>
        <v>#N/A</v>
      </c>
      <c r="I1113" s="66">
        <f t="shared" si="119"/>
        <v>0</v>
      </c>
      <c r="K1113" s="66" t="str">
        <f t="shared" si="120"/>
        <v/>
      </c>
      <c r="L1113" s="66" t="str">
        <f t="shared" si="121"/>
        <v/>
      </c>
      <c r="M1113" s="66" t="str">
        <f t="shared" si="122"/>
        <v/>
      </c>
      <c r="N1113" s="66" t="str">
        <f t="shared" si="123"/>
        <v/>
      </c>
      <c r="O1113" s="66" t="str">
        <f t="shared" si="124"/>
        <v/>
      </c>
      <c r="P1113" s="66" t="str">
        <f t="shared" si="125"/>
        <v/>
      </c>
    </row>
    <row r="1114" spans="8:16">
      <c r="H1114" s="66" t="e">
        <f>IF(LEFT(A1114,6)="CEPNTR","GPINS",VLOOKUP(LEFT(A1114,6),'Code Library'!$A$3:$B$920,2,0))&amp;"_"&amp;RIGHT(A1114,3)</f>
        <v>#N/A</v>
      </c>
      <c r="I1114" s="66">
        <f t="shared" si="119"/>
        <v>0</v>
      </c>
      <c r="K1114" s="66" t="str">
        <f t="shared" si="120"/>
        <v/>
      </c>
      <c r="L1114" s="66" t="str">
        <f t="shared" si="121"/>
        <v/>
      </c>
      <c r="M1114" s="66" t="str">
        <f t="shared" si="122"/>
        <v/>
      </c>
      <c r="N1114" s="66" t="str">
        <f t="shared" si="123"/>
        <v/>
      </c>
      <c r="O1114" s="66" t="str">
        <f t="shared" si="124"/>
        <v/>
      </c>
      <c r="P1114" s="66" t="str">
        <f t="shared" si="125"/>
        <v/>
      </c>
    </row>
    <row r="1115" spans="8:16">
      <c r="H1115" s="66" t="e">
        <f>IF(LEFT(A1115,6)="CEPNTR","GPINS",VLOOKUP(LEFT(A1115,6),'Code Library'!$A$3:$B$920,2,0))&amp;"_"&amp;RIGHT(A1115,3)</f>
        <v>#N/A</v>
      </c>
      <c r="I1115" s="66">
        <f t="shared" si="119"/>
        <v>0</v>
      </c>
      <c r="K1115" s="66" t="str">
        <f t="shared" si="120"/>
        <v/>
      </c>
      <c r="L1115" s="66" t="str">
        <f t="shared" si="121"/>
        <v/>
      </c>
      <c r="M1115" s="66" t="str">
        <f t="shared" si="122"/>
        <v/>
      </c>
      <c r="N1115" s="66" t="str">
        <f t="shared" si="123"/>
        <v/>
      </c>
      <c r="O1115" s="66" t="str">
        <f t="shared" si="124"/>
        <v/>
      </c>
      <c r="P1115" s="66" t="str">
        <f t="shared" si="125"/>
        <v/>
      </c>
    </row>
    <row r="1116" spans="8:16">
      <c r="H1116" s="66" t="e">
        <f>IF(LEFT(A1116,6)="CEPNTR","GPINS",VLOOKUP(LEFT(A1116,6),'Code Library'!$A$3:$B$920,2,0))&amp;"_"&amp;RIGHT(A1116,3)</f>
        <v>#N/A</v>
      </c>
      <c r="I1116" s="66">
        <f t="shared" si="119"/>
        <v>0</v>
      </c>
      <c r="K1116" s="66" t="str">
        <f t="shared" si="120"/>
        <v/>
      </c>
      <c r="L1116" s="66" t="str">
        <f t="shared" si="121"/>
        <v/>
      </c>
      <c r="M1116" s="66" t="str">
        <f t="shared" si="122"/>
        <v/>
      </c>
      <c r="N1116" s="66" t="str">
        <f t="shared" si="123"/>
        <v/>
      </c>
      <c r="O1116" s="66" t="str">
        <f t="shared" si="124"/>
        <v/>
      </c>
      <c r="P1116" s="66" t="str">
        <f t="shared" si="125"/>
        <v/>
      </c>
    </row>
    <row r="1117" spans="8:16">
      <c r="H1117" s="66" t="e">
        <f>IF(LEFT(A1117,6)="CEPNTR","GPINS",VLOOKUP(LEFT(A1117,6),'Code Library'!$A$3:$B$920,2,0))&amp;"_"&amp;RIGHT(A1117,3)</f>
        <v>#N/A</v>
      </c>
      <c r="I1117" s="66">
        <f t="shared" si="119"/>
        <v>0</v>
      </c>
      <c r="K1117" s="66" t="str">
        <f t="shared" si="120"/>
        <v/>
      </c>
      <c r="L1117" s="66" t="str">
        <f t="shared" si="121"/>
        <v/>
      </c>
      <c r="M1117" s="66" t="str">
        <f t="shared" si="122"/>
        <v/>
      </c>
      <c r="N1117" s="66" t="str">
        <f t="shared" si="123"/>
        <v/>
      </c>
      <c r="O1117" s="66" t="str">
        <f t="shared" si="124"/>
        <v/>
      </c>
      <c r="P1117" s="66" t="str">
        <f t="shared" si="125"/>
        <v/>
      </c>
    </row>
    <row r="1118" spans="8:16">
      <c r="H1118" s="66" t="e">
        <f>IF(LEFT(A1118,6)="CEPNTR","GPINS",VLOOKUP(LEFT(A1118,6),'Code Library'!$A$3:$B$920,2,0))&amp;"_"&amp;RIGHT(A1118,3)</f>
        <v>#N/A</v>
      </c>
      <c r="I1118" s="66">
        <f t="shared" si="119"/>
        <v>0</v>
      </c>
      <c r="K1118" s="66" t="str">
        <f t="shared" si="120"/>
        <v/>
      </c>
      <c r="L1118" s="66" t="str">
        <f t="shared" si="121"/>
        <v/>
      </c>
      <c r="M1118" s="66" t="str">
        <f t="shared" si="122"/>
        <v/>
      </c>
      <c r="N1118" s="66" t="str">
        <f t="shared" si="123"/>
        <v/>
      </c>
      <c r="O1118" s="66" t="str">
        <f t="shared" si="124"/>
        <v/>
      </c>
      <c r="P1118" s="66" t="str">
        <f t="shared" si="125"/>
        <v/>
      </c>
    </row>
    <row r="1119" spans="8:16">
      <c r="H1119" s="66" t="e">
        <f>IF(LEFT(A1119,6)="CEPNTR","GPINS",VLOOKUP(LEFT(A1119,6),'Code Library'!$A$3:$B$920,2,0))&amp;"_"&amp;RIGHT(A1119,3)</f>
        <v>#N/A</v>
      </c>
      <c r="I1119" s="66">
        <f t="shared" si="119"/>
        <v>0</v>
      </c>
      <c r="K1119" s="66" t="str">
        <f t="shared" si="120"/>
        <v/>
      </c>
      <c r="L1119" s="66" t="str">
        <f t="shared" si="121"/>
        <v/>
      </c>
      <c r="M1119" s="66" t="str">
        <f t="shared" si="122"/>
        <v/>
      </c>
      <c r="N1119" s="66" t="str">
        <f t="shared" si="123"/>
        <v/>
      </c>
      <c r="O1119" s="66" t="str">
        <f t="shared" si="124"/>
        <v/>
      </c>
      <c r="P1119" s="66" t="str">
        <f t="shared" si="125"/>
        <v/>
      </c>
    </row>
    <row r="1120" spans="8:16">
      <c r="H1120" s="66" t="e">
        <f>IF(LEFT(A1120,6)="CEPNTR","GPINS",VLOOKUP(LEFT(A1120,6),'Code Library'!$A$3:$B$920,2,0))&amp;"_"&amp;RIGHT(A1120,3)</f>
        <v>#N/A</v>
      </c>
      <c r="I1120" s="66">
        <f t="shared" si="119"/>
        <v>0</v>
      </c>
      <c r="K1120" s="66" t="str">
        <f t="shared" si="120"/>
        <v/>
      </c>
      <c r="L1120" s="66" t="str">
        <f t="shared" si="121"/>
        <v/>
      </c>
      <c r="M1120" s="66" t="str">
        <f t="shared" si="122"/>
        <v/>
      </c>
      <c r="N1120" s="66" t="str">
        <f t="shared" si="123"/>
        <v/>
      </c>
      <c r="O1120" s="66" t="str">
        <f t="shared" si="124"/>
        <v/>
      </c>
      <c r="P1120" s="66" t="str">
        <f t="shared" si="125"/>
        <v/>
      </c>
    </row>
    <row r="1121" spans="8:16">
      <c r="H1121" s="66" t="e">
        <f>IF(LEFT(A1121,6)="CEPNTR","GPINS",VLOOKUP(LEFT(A1121,6),'Code Library'!$A$3:$B$920,2,0))&amp;"_"&amp;RIGHT(A1121,3)</f>
        <v>#N/A</v>
      </c>
      <c r="I1121" s="66">
        <f t="shared" si="119"/>
        <v>0</v>
      </c>
      <c r="K1121" s="66" t="str">
        <f t="shared" si="120"/>
        <v/>
      </c>
      <c r="L1121" s="66" t="str">
        <f t="shared" si="121"/>
        <v/>
      </c>
      <c r="M1121" s="66" t="str">
        <f t="shared" si="122"/>
        <v/>
      </c>
      <c r="N1121" s="66" t="str">
        <f t="shared" si="123"/>
        <v/>
      </c>
      <c r="O1121" s="66" t="str">
        <f t="shared" si="124"/>
        <v/>
      </c>
      <c r="P1121" s="66" t="str">
        <f t="shared" si="125"/>
        <v/>
      </c>
    </row>
    <row r="1122" spans="8:16">
      <c r="H1122" s="66" t="e">
        <f>IF(LEFT(A1122,6)="CEPNTR","GPINS",VLOOKUP(LEFT(A1122,6),'Code Library'!$A$3:$B$920,2,0))&amp;"_"&amp;RIGHT(A1122,3)</f>
        <v>#N/A</v>
      </c>
      <c r="I1122" s="66">
        <f t="shared" si="119"/>
        <v>0</v>
      </c>
      <c r="K1122" s="66" t="str">
        <f t="shared" si="120"/>
        <v/>
      </c>
      <c r="L1122" s="66" t="str">
        <f t="shared" si="121"/>
        <v/>
      </c>
      <c r="M1122" s="66" t="str">
        <f t="shared" si="122"/>
        <v/>
      </c>
      <c r="N1122" s="66" t="str">
        <f t="shared" si="123"/>
        <v/>
      </c>
      <c r="O1122" s="66" t="str">
        <f t="shared" si="124"/>
        <v/>
      </c>
      <c r="P1122" s="66" t="str">
        <f t="shared" si="125"/>
        <v/>
      </c>
    </row>
    <row r="1123" spans="8:16">
      <c r="H1123" s="66" t="e">
        <f>IF(LEFT(A1123,6)="CEPNTR","GPINS",VLOOKUP(LEFT(A1123,6),'Code Library'!$A$3:$B$920,2,0))&amp;"_"&amp;RIGHT(A1123,3)</f>
        <v>#N/A</v>
      </c>
      <c r="I1123" s="66">
        <f t="shared" si="119"/>
        <v>0</v>
      </c>
      <c r="K1123" s="66" t="str">
        <f t="shared" si="120"/>
        <v/>
      </c>
      <c r="L1123" s="66" t="str">
        <f t="shared" si="121"/>
        <v/>
      </c>
      <c r="M1123" s="66" t="str">
        <f t="shared" si="122"/>
        <v/>
      </c>
      <c r="N1123" s="66" t="str">
        <f t="shared" si="123"/>
        <v/>
      </c>
      <c r="O1123" s="66" t="str">
        <f t="shared" si="124"/>
        <v/>
      </c>
      <c r="P1123" s="66" t="str">
        <f t="shared" si="125"/>
        <v/>
      </c>
    </row>
    <row r="1124" spans="8:16">
      <c r="H1124" s="66" t="e">
        <f>IF(LEFT(A1124,6)="CEPNTR","GPINS",VLOOKUP(LEFT(A1124,6),'Code Library'!$A$3:$B$920,2,0))&amp;"_"&amp;RIGHT(A1124,3)</f>
        <v>#N/A</v>
      </c>
      <c r="I1124" s="66">
        <f t="shared" si="119"/>
        <v>0</v>
      </c>
      <c r="K1124" s="66" t="str">
        <f t="shared" si="120"/>
        <v/>
      </c>
      <c r="L1124" s="66" t="str">
        <f t="shared" si="121"/>
        <v/>
      </c>
      <c r="M1124" s="66" t="str">
        <f t="shared" si="122"/>
        <v/>
      </c>
      <c r="N1124" s="66" t="str">
        <f t="shared" si="123"/>
        <v/>
      </c>
      <c r="O1124" s="66" t="str">
        <f t="shared" si="124"/>
        <v/>
      </c>
      <c r="P1124" s="66" t="str">
        <f t="shared" si="125"/>
        <v/>
      </c>
    </row>
    <row r="1125" spans="8:16">
      <c r="H1125" s="66" t="e">
        <f>IF(LEFT(A1125,6)="CEPNTR","GPINS",VLOOKUP(LEFT(A1125,6),'Code Library'!$A$3:$B$920,2,0))&amp;"_"&amp;RIGHT(A1125,3)</f>
        <v>#N/A</v>
      </c>
      <c r="I1125" s="66">
        <f t="shared" si="119"/>
        <v>0</v>
      </c>
      <c r="K1125" s="66" t="str">
        <f t="shared" si="120"/>
        <v/>
      </c>
      <c r="L1125" s="66" t="str">
        <f t="shared" si="121"/>
        <v/>
      </c>
      <c r="M1125" s="66" t="str">
        <f t="shared" si="122"/>
        <v/>
      </c>
      <c r="N1125" s="66" t="str">
        <f t="shared" si="123"/>
        <v/>
      </c>
      <c r="O1125" s="66" t="str">
        <f t="shared" si="124"/>
        <v/>
      </c>
      <c r="P1125" s="66" t="str">
        <f t="shared" si="125"/>
        <v/>
      </c>
    </row>
    <row r="1126" spans="8:16">
      <c r="H1126" s="66" t="e">
        <f>IF(LEFT(A1126,6)="CEPNTR","GPINS",VLOOKUP(LEFT(A1126,6),'Code Library'!$A$3:$B$920,2,0))&amp;"_"&amp;RIGHT(A1126,3)</f>
        <v>#N/A</v>
      </c>
      <c r="I1126" s="66">
        <f t="shared" si="119"/>
        <v>0</v>
      </c>
      <c r="K1126" s="66" t="str">
        <f t="shared" si="120"/>
        <v/>
      </c>
      <c r="L1126" s="66" t="str">
        <f t="shared" si="121"/>
        <v/>
      </c>
      <c r="M1126" s="66" t="str">
        <f t="shared" si="122"/>
        <v/>
      </c>
      <c r="N1126" s="66" t="str">
        <f t="shared" si="123"/>
        <v/>
      </c>
      <c r="O1126" s="66" t="str">
        <f t="shared" si="124"/>
        <v/>
      </c>
      <c r="P1126" s="66" t="str">
        <f t="shared" si="125"/>
        <v/>
      </c>
    </row>
    <row r="1127" spans="8:16">
      <c r="H1127" s="66" t="e">
        <f>IF(LEFT(A1127,6)="CEPNTR","GPINS",VLOOKUP(LEFT(A1127,6),'Code Library'!$A$3:$B$920,2,0))&amp;"_"&amp;RIGHT(A1127,3)</f>
        <v>#N/A</v>
      </c>
      <c r="I1127" s="66">
        <f t="shared" si="119"/>
        <v>0</v>
      </c>
      <c r="K1127" s="66" t="str">
        <f t="shared" si="120"/>
        <v/>
      </c>
      <c r="L1127" s="66" t="str">
        <f t="shared" si="121"/>
        <v/>
      </c>
      <c r="M1127" s="66" t="str">
        <f t="shared" si="122"/>
        <v/>
      </c>
      <c r="N1127" s="66" t="str">
        <f t="shared" si="123"/>
        <v/>
      </c>
      <c r="O1127" s="66" t="str">
        <f t="shared" si="124"/>
        <v/>
      </c>
      <c r="P1127" s="66" t="str">
        <f t="shared" si="125"/>
        <v/>
      </c>
    </row>
    <row r="1128" spans="8:16">
      <c r="H1128" s="66" t="e">
        <f>IF(LEFT(A1128,6)="CEPNTR","GPINS",VLOOKUP(LEFT(A1128,6),'Code Library'!$A$3:$B$920,2,0))&amp;"_"&amp;RIGHT(A1128,3)</f>
        <v>#N/A</v>
      </c>
      <c r="I1128" s="66">
        <f t="shared" si="119"/>
        <v>0</v>
      </c>
      <c r="K1128" s="66" t="str">
        <f t="shared" si="120"/>
        <v/>
      </c>
      <c r="L1128" s="66" t="str">
        <f t="shared" si="121"/>
        <v/>
      </c>
      <c r="M1128" s="66" t="str">
        <f t="shared" si="122"/>
        <v/>
      </c>
      <c r="N1128" s="66" t="str">
        <f t="shared" si="123"/>
        <v/>
      </c>
      <c r="O1128" s="66" t="str">
        <f t="shared" si="124"/>
        <v/>
      </c>
      <c r="P1128" s="66" t="str">
        <f t="shared" si="125"/>
        <v/>
      </c>
    </row>
    <row r="1129" spans="8:16">
      <c r="H1129" s="66" t="e">
        <f>IF(LEFT(A1129,6)="CEPNTR","GPINS",VLOOKUP(LEFT(A1129,6),'Code Library'!$A$3:$B$920,2,0))&amp;"_"&amp;RIGHT(A1129,3)</f>
        <v>#N/A</v>
      </c>
      <c r="I1129" s="66">
        <f t="shared" si="119"/>
        <v>0</v>
      </c>
      <c r="K1129" s="66" t="str">
        <f t="shared" si="120"/>
        <v/>
      </c>
      <c r="L1129" s="66" t="str">
        <f t="shared" si="121"/>
        <v/>
      </c>
      <c r="M1129" s="66" t="str">
        <f t="shared" si="122"/>
        <v/>
      </c>
      <c r="N1129" s="66" t="str">
        <f t="shared" si="123"/>
        <v/>
      </c>
      <c r="O1129" s="66" t="str">
        <f t="shared" si="124"/>
        <v/>
      </c>
      <c r="P1129" s="66" t="str">
        <f t="shared" si="125"/>
        <v/>
      </c>
    </row>
    <row r="1130" spans="8:16">
      <c r="H1130" s="66" t="e">
        <f>IF(LEFT(A1130,6)="CEPNTR","GPINS",VLOOKUP(LEFT(A1130,6),'Code Library'!$A$3:$B$920,2,0))&amp;"_"&amp;RIGHT(A1130,3)</f>
        <v>#N/A</v>
      </c>
      <c r="I1130" s="66">
        <f t="shared" si="119"/>
        <v>0</v>
      </c>
      <c r="K1130" s="66" t="str">
        <f t="shared" si="120"/>
        <v/>
      </c>
      <c r="L1130" s="66" t="str">
        <f t="shared" si="121"/>
        <v/>
      </c>
      <c r="M1130" s="66" t="str">
        <f t="shared" si="122"/>
        <v/>
      </c>
      <c r="N1130" s="66" t="str">
        <f t="shared" si="123"/>
        <v/>
      </c>
      <c r="O1130" s="66" t="str">
        <f t="shared" si="124"/>
        <v/>
      </c>
      <c r="P1130" s="66" t="str">
        <f t="shared" si="125"/>
        <v/>
      </c>
    </row>
    <row r="1131" spans="8:16">
      <c r="H1131" s="66" t="e">
        <f>IF(LEFT(A1131,6)="CEPNTR","GPINS",VLOOKUP(LEFT(A1131,6),'Code Library'!$A$3:$B$920,2,0))&amp;"_"&amp;RIGHT(A1131,3)</f>
        <v>#N/A</v>
      </c>
      <c r="I1131" s="66">
        <f t="shared" si="119"/>
        <v>0</v>
      </c>
      <c r="K1131" s="66" t="str">
        <f t="shared" si="120"/>
        <v/>
      </c>
      <c r="L1131" s="66" t="str">
        <f t="shared" si="121"/>
        <v/>
      </c>
      <c r="M1131" s="66" t="str">
        <f t="shared" si="122"/>
        <v/>
      </c>
      <c r="N1131" s="66" t="str">
        <f t="shared" si="123"/>
        <v/>
      </c>
      <c r="O1131" s="66" t="str">
        <f t="shared" si="124"/>
        <v/>
      </c>
      <c r="P1131" s="66" t="str">
        <f t="shared" si="125"/>
        <v/>
      </c>
    </row>
    <row r="1132" spans="8:16">
      <c r="H1132" s="66" t="e">
        <f>IF(LEFT(A1132,6)="CEPNTR","GPINS",VLOOKUP(LEFT(A1132,6),'Code Library'!$A$3:$B$920,2,0))&amp;"_"&amp;RIGHT(A1132,3)</f>
        <v>#N/A</v>
      </c>
      <c r="I1132" s="66">
        <f t="shared" si="119"/>
        <v>0</v>
      </c>
      <c r="K1132" s="66" t="str">
        <f t="shared" si="120"/>
        <v/>
      </c>
      <c r="L1132" s="66" t="str">
        <f t="shared" si="121"/>
        <v/>
      </c>
      <c r="M1132" s="66" t="str">
        <f t="shared" si="122"/>
        <v/>
      </c>
      <c r="N1132" s="66" t="str">
        <f t="shared" si="123"/>
        <v/>
      </c>
      <c r="O1132" s="66" t="str">
        <f t="shared" si="124"/>
        <v/>
      </c>
      <c r="P1132" s="66" t="str">
        <f t="shared" si="125"/>
        <v/>
      </c>
    </row>
    <row r="1133" spans="8:16">
      <c r="H1133" s="66" t="e">
        <f>IF(LEFT(A1133,6)="CEPNTR","GPINS",VLOOKUP(LEFT(A1133,6),'Code Library'!$A$3:$B$920,2,0))&amp;"_"&amp;RIGHT(A1133,3)</f>
        <v>#N/A</v>
      </c>
      <c r="I1133" s="66">
        <f t="shared" si="119"/>
        <v>0</v>
      </c>
      <c r="K1133" s="66" t="str">
        <f t="shared" si="120"/>
        <v/>
      </c>
      <c r="L1133" s="66" t="str">
        <f t="shared" si="121"/>
        <v/>
      </c>
      <c r="M1133" s="66" t="str">
        <f t="shared" si="122"/>
        <v/>
      </c>
      <c r="N1133" s="66" t="str">
        <f t="shared" si="123"/>
        <v/>
      </c>
      <c r="O1133" s="66" t="str">
        <f t="shared" si="124"/>
        <v/>
      </c>
      <c r="P1133" s="66" t="str">
        <f t="shared" si="125"/>
        <v/>
      </c>
    </row>
    <row r="1134" spans="8:16">
      <c r="H1134" s="66" t="e">
        <f>IF(LEFT(A1134,6)="CEPNTR","GPINS",VLOOKUP(LEFT(A1134,6),'Code Library'!$A$3:$B$920,2,0))&amp;"_"&amp;RIGHT(A1134,3)</f>
        <v>#N/A</v>
      </c>
      <c r="I1134" s="66">
        <f t="shared" si="119"/>
        <v>0</v>
      </c>
      <c r="K1134" s="66" t="str">
        <f t="shared" si="120"/>
        <v/>
      </c>
      <c r="L1134" s="66" t="str">
        <f t="shared" si="121"/>
        <v/>
      </c>
      <c r="M1134" s="66" t="str">
        <f t="shared" si="122"/>
        <v/>
      </c>
      <c r="N1134" s="66" t="str">
        <f t="shared" si="123"/>
        <v/>
      </c>
      <c r="O1134" s="66" t="str">
        <f t="shared" si="124"/>
        <v/>
      </c>
      <c r="P1134" s="66" t="str">
        <f t="shared" si="125"/>
        <v/>
      </c>
    </row>
    <row r="1135" spans="8:16">
      <c r="H1135" s="66" t="e">
        <f>IF(LEFT(A1135,6)="CEPNTR","GPINS",VLOOKUP(LEFT(A1135,6),'Code Library'!$A$3:$B$920,2,0))&amp;"_"&amp;RIGHT(A1135,3)</f>
        <v>#N/A</v>
      </c>
      <c r="I1135" s="66">
        <f t="shared" si="119"/>
        <v>0</v>
      </c>
      <c r="K1135" s="66" t="str">
        <f t="shared" si="120"/>
        <v/>
      </c>
      <c r="L1135" s="66" t="str">
        <f t="shared" si="121"/>
        <v/>
      </c>
      <c r="M1135" s="66" t="str">
        <f t="shared" si="122"/>
        <v/>
      </c>
      <c r="N1135" s="66" t="str">
        <f t="shared" si="123"/>
        <v/>
      </c>
      <c r="O1135" s="66" t="str">
        <f t="shared" si="124"/>
        <v/>
      </c>
      <c r="P1135" s="66" t="str">
        <f t="shared" si="125"/>
        <v/>
      </c>
    </row>
    <row r="1136" spans="8:16">
      <c r="H1136" s="66" t="e">
        <f>IF(LEFT(A1136,6)="CEPNTR","GPINS",VLOOKUP(LEFT(A1136,6),'Code Library'!$A$3:$B$920,2,0))&amp;"_"&amp;RIGHT(A1136,3)</f>
        <v>#N/A</v>
      </c>
      <c r="I1136" s="66">
        <f t="shared" si="119"/>
        <v>0</v>
      </c>
      <c r="K1136" s="66" t="str">
        <f t="shared" si="120"/>
        <v/>
      </c>
      <c r="L1136" s="66" t="str">
        <f t="shared" si="121"/>
        <v/>
      </c>
      <c r="M1136" s="66" t="str">
        <f t="shared" si="122"/>
        <v/>
      </c>
      <c r="N1136" s="66" t="str">
        <f t="shared" si="123"/>
        <v/>
      </c>
      <c r="O1136" s="66" t="str">
        <f t="shared" si="124"/>
        <v/>
      </c>
      <c r="P1136" s="66" t="str">
        <f t="shared" si="125"/>
        <v/>
      </c>
    </row>
    <row r="1137" spans="8:16">
      <c r="H1137" s="66" t="e">
        <f>IF(LEFT(A1137,6)="CEPNTR","GPINS",VLOOKUP(LEFT(A1137,6),'Code Library'!$A$3:$B$920,2,0))&amp;"_"&amp;RIGHT(A1137,3)</f>
        <v>#N/A</v>
      </c>
      <c r="I1137" s="66">
        <f t="shared" si="119"/>
        <v>0</v>
      </c>
      <c r="K1137" s="66" t="str">
        <f t="shared" si="120"/>
        <v/>
      </c>
      <c r="L1137" s="66" t="str">
        <f t="shared" si="121"/>
        <v/>
      </c>
      <c r="M1137" s="66" t="str">
        <f t="shared" si="122"/>
        <v/>
      </c>
      <c r="N1137" s="66" t="str">
        <f t="shared" si="123"/>
        <v/>
      </c>
      <c r="O1137" s="66" t="str">
        <f t="shared" si="124"/>
        <v/>
      </c>
      <c r="P1137" s="66" t="str">
        <f t="shared" si="125"/>
        <v/>
      </c>
    </row>
    <row r="1138" spans="8:16">
      <c r="H1138" s="66" t="e">
        <f>IF(LEFT(A1138,6)="CEPNTR","GPINS",VLOOKUP(LEFT(A1138,6),'Code Library'!$A$3:$B$920,2,0))&amp;"_"&amp;RIGHT(A1138,3)</f>
        <v>#N/A</v>
      </c>
      <c r="I1138" s="66">
        <f t="shared" si="119"/>
        <v>0</v>
      </c>
      <c r="K1138" s="66" t="str">
        <f t="shared" si="120"/>
        <v/>
      </c>
      <c r="L1138" s="66" t="str">
        <f t="shared" si="121"/>
        <v/>
      </c>
      <c r="M1138" s="66" t="str">
        <f t="shared" si="122"/>
        <v/>
      </c>
      <c r="N1138" s="66" t="str">
        <f t="shared" si="123"/>
        <v/>
      </c>
      <c r="O1138" s="66" t="str">
        <f t="shared" si="124"/>
        <v/>
      </c>
      <c r="P1138" s="66" t="str">
        <f t="shared" si="125"/>
        <v/>
      </c>
    </row>
    <row r="1139" spans="8:16">
      <c r="H1139" s="66" t="e">
        <f>IF(LEFT(A1139,6)="CEPNTR","GPINS",VLOOKUP(LEFT(A1139,6),'Code Library'!$A$3:$B$920,2,0))&amp;"_"&amp;RIGHT(A1139,3)</f>
        <v>#N/A</v>
      </c>
      <c r="I1139" s="66">
        <f t="shared" si="119"/>
        <v>0</v>
      </c>
      <c r="K1139" s="66" t="str">
        <f t="shared" si="120"/>
        <v/>
      </c>
      <c r="L1139" s="66" t="str">
        <f t="shared" si="121"/>
        <v/>
      </c>
      <c r="M1139" s="66" t="str">
        <f t="shared" si="122"/>
        <v/>
      </c>
      <c r="N1139" s="66" t="str">
        <f t="shared" si="123"/>
        <v/>
      </c>
      <c r="O1139" s="66" t="str">
        <f t="shared" si="124"/>
        <v/>
      </c>
      <c r="P1139" s="66" t="str">
        <f t="shared" si="125"/>
        <v/>
      </c>
    </row>
    <row r="1140" spans="8:16">
      <c r="H1140" s="66" t="e">
        <f>IF(LEFT(A1140,6)="CEPNTR","GPINS",VLOOKUP(LEFT(A1140,6),'Code Library'!$A$3:$B$920,2,0))&amp;"_"&amp;RIGHT(A1140,3)</f>
        <v>#N/A</v>
      </c>
      <c r="I1140" s="66">
        <f t="shared" si="119"/>
        <v>0</v>
      </c>
      <c r="K1140" s="66" t="str">
        <f t="shared" si="120"/>
        <v/>
      </c>
      <c r="L1140" s="66" t="str">
        <f t="shared" si="121"/>
        <v/>
      </c>
      <c r="M1140" s="66" t="str">
        <f t="shared" si="122"/>
        <v/>
      </c>
      <c r="N1140" s="66" t="str">
        <f t="shared" si="123"/>
        <v/>
      </c>
      <c r="O1140" s="66" t="str">
        <f t="shared" si="124"/>
        <v/>
      </c>
      <c r="P1140" s="66" t="str">
        <f t="shared" si="125"/>
        <v/>
      </c>
    </row>
    <row r="1141" spans="8:16">
      <c r="H1141" s="66" t="e">
        <f>IF(LEFT(A1141,6)="CEPNTR","GPINS",VLOOKUP(LEFT(A1141,6),'Code Library'!$A$3:$B$920,2,0))&amp;"_"&amp;RIGHT(A1141,3)</f>
        <v>#N/A</v>
      </c>
      <c r="I1141" s="66">
        <f t="shared" si="119"/>
        <v>0</v>
      </c>
      <c r="K1141" s="66" t="str">
        <f t="shared" si="120"/>
        <v/>
      </c>
      <c r="L1141" s="66" t="str">
        <f t="shared" si="121"/>
        <v/>
      </c>
      <c r="M1141" s="66" t="str">
        <f t="shared" si="122"/>
        <v/>
      </c>
      <c r="N1141" s="66" t="str">
        <f t="shared" si="123"/>
        <v/>
      </c>
      <c r="O1141" s="66" t="str">
        <f t="shared" si="124"/>
        <v/>
      </c>
      <c r="P1141" s="66" t="str">
        <f t="shared" si="125"/>
        <v/>
      </c>
    </row>
    <row r="1142" spans="8:16">
      <c r="H1142" s="66" t="e">
        <f>IF(LEFT(A1142,6)="CEPNTR","GPINS",VLOOKUP(LEFT(A1142,6),'Code Library'!$A$3:$B$920,2,0))&amp;"_"&amp;RIGHT(A1142,3)</f>
        <v>#N/A</v>
      </c>
      <c r="I1142" s="66">
        <f t="shared" si="119"/>
        <v>0</v>
      </c>
      <c r="K1142" s="66" t="str">
        <f t="shared" si="120"/>
        <v/>
      </c>
      <c r="L1142" s="66" t="str">
        <f t="shared" si="121"/>
        <v/>
      </c>
      <c r="M1142" s="66" t="str">
        <f t="shared" si="122"/>
        <v/>
      </c>
      <c r="N1142" s="66" t="str">
        <f t="shared" si="123"/>
        <v/>
      </c>
      <c r="O1142" s="66" t="str">
        <f t="shared" si="124"/>
        <v/>
      </c>
      <c r="P1142" s="66" t="str">
        <f t="shared" si="125"/>
        <v/>
      </c>
    </row>
    <row r="1143" spans="8:16">
      <c r="H1143" s="66" t="e">
        <f>IF(LEFT(A1143,6)="CEPNTR","GPINS",VLOOKUP(LEFT(A1143,6),'Code Library'!$A$3:$B$920,2,0))&amp;"_"&amp;RIGHT(A1143,3)</f>
        <v>#N/A</v>
      </c>
      <c r="I1143" s="66">
        <f t="shared" si="119"/>
        <v>0</v>
      </c>
      <c r="K1143" s="66" t="str">
        <f t="shared" si="120"/>
        <v/>
      </c>
      <c r="L1143" s="66" t="str">
        <f t="shared" si="121"/>
        <v/>
      </c>
      <c r="M1143" s="66" t="str">
        <f t="shared" si="122"/>
        <v/>
      </c>
      <c r="N1143" s="66" t="str">
        <f t="shared" si="123"/>
        <v/>
      </c>
      <c r="O1143" s="66" t="str">
        <f t="shared" si="124"/>
        <v/>
      </c>
      <c r="P1143" s="66" t="str">
        <f t="shared" si="125"/>
        <v/>
      </c>
    </row>
    <row r="1144" spans="8:16">
      <c r="H1144" s="66" t="e">
        <f>IF(LEFT(A1144,6)="CEPNTR","GPINS",VLOOKUP(LEFT(A1144,6),'Code Library'!$A$3:$B$920,2,0))&amp;"_"&amp;RIGHT(A1144,3)</f>
        <v>#N/A</v>
      </c>
      <c r="I1144" s="66">
        <f t="shared" si="119"/>
        <v>0</v>
      </c>
      <c r="K1144" s="66" t="str">
        <f t="shared" si="120"/>
        <v/>
      </c>
      <c r="L1144" s="66" t="str">
        <f t="shared" si="121"/>
        <v/>
      </c>
      <c r="M1144" s="66" t="str">
        <f t="shared" si="122"/>
        <v/>
      </c>
      <c r="N1144" s="66" t="str">
        <f t="shared" si="123"/>
        <v/>
      </c>
      <c r="O1144" s="66" t="str">
        <f t="shared" si="124"/>
        <v/>
      </c>
      <c r="P1144" s="66" t="str">
        <f t="shared" si="125"/>
        <v/>
      </c>
    </row>
    <row r="1145" spans="8:16">
      <c r="H1145" s="66" t="e">
        <f>IF(LEFT(A1145,6)="CEPNTR","GPINS",VLOOKUP(LEFT(A1145,6),'Code Library'!$A$3:$B$920,2,0))&amp;"_"&amp;RIGHT(A1145,3)</f>
        <v>#N/A</v>
      </c>
      <c r="I1145" s="66">
        <f t="shared" si="119"/>
        <v>0</v>
      </c>
      <c r="K1145" s="66" t="str">
        <f t="shared" si="120"/>
        <v/>
      </c>
      <c r="L1145" s="66" t="str">
        <f t="shared" si="121"/>
        <v/>
      </c>
      <c r="M1145" s="66" t="str">
        <f t="shared" si="122"/>
        <v/>
      </c>
      <c r="N1145" s="66" t="str">
        <f t="shared" si="123"/>
        <v/>
      </c>
      <c r="O1145" s="66" t="str">
        <f t="shared" si="124"/>
        <v/>
      </c>
      <c r="P1145" s="66" t="str">
        <f t="shared" si="125"/>
        <v/>
      </c>
    </row>
    <row r="1146" spans="8:16">
      <c r="H1146" s="66" t="e">
        <f>IF(LEFT(A1146,6)="CEPNTR","GPINS",VLOOKUP(LEFT(A1146,6),'Code Library'!$A$3:$B$920,2,0))&amp;"_"&amp;RIGHT(A1146,3)</f>
        <v>#N/A</v>
      </c>
      <c r="I1146" s="66">
        <f t="shared" si="119"/>
        <v>0</v>
      </c>
      <c r="K1146" s="66" t="str">
        <f t="shared" si="120"/>
        <v/>
      </c>
      <c r="L1146" s="66" t="str">
        <f t="shared" si="121"/>
        <v/>
      </c>
      <c r="M1146" s="66" t="str">
        <f t="shared" si="122"/>
        <v/>
      </c>
      <c r="N1146" s="66" t="str">
        <f t="shared" si="123"/>
        <v/>
      </c>
      <c r="O1146" s="66" t="str">
        <f t="shared" si="124"/>
        <v/>
      </c>
      <c r="P1146" s="66" t="str">
        <f t="shared" si="125"/>
        <v/>
      </c>
    </row>
    <row r="1147" spans="8:16">
      <c r="H1147" s="66" t="e">
        <f>IF(LEFT(A1147,6)="CEPNTR","GPINS",VLOOKUP(LEFT(A1147,6),'Code Library'!$A$3:$B$920,2,0))&amp;"_"&amp;RIGHT(A1147,3)</f>
        <v>#N/A</v>
      </c>
      <c r="I1147" s="66">
        <f t="shared" si="119"/>
        <v>0</v>
      </c>
      <c r="K1147" s="66" t="str">
        <f t="shared" si="120"/>
        <v/>
      </c>
      <c r="L1147" s="66" t="str">
        <f t="shared" si="121"/>
        <v/>
      </c>
      <c r="M1147" s="66" t="str">
        <f t="shared" si="122"/>
        <v/>
      </c>
      <c r="N1147" s="66" t="str">
        <f t="shared" si="123"/>
        <v/>
      </c>
      <c r="O1147" s="66" t="str">
        <f t="shared" si="124"/>
        <v/>
      </c>
      <c r="P1147" s="66" t="str">
        <f t="shared" si="125"/>
        <v/>
      </c>
    </row>
    <row r="1148" spans="8:16">
      <c r="H1148" s="66" t="e">
        <f>IF(LEFT(A1148,6)="CEPNTR","GPINS",VLOOKUP(LEFT(A1148,6),'Code Library'!$A$3:$B$920,2,0))&amp;"_"&amp;RIGHT(A1148,3)</f>
        <v>#N/A</v>
      </c>
      <c r="I1148" s="66">
        <f t="shared" si="119"/>
        <v>0</v>
      </c>
      <c r="K1148" s="66" t="str">
        <f t="shared" si="120"/>
        <v/>
      </c>
      <c r="L1148" s="66" t="str">
        <f t="shared" si="121"/>
        <v/>
      </c>
      <c r="M1148" s="66" t="str">
        <f t="shared" si="122"/>
        <v/>
      </c>
      <c r="N1148" s="66" t="str">
        <f t="shared" si="123"/>
        <v/>
      </c>
      <c r="O1148" s="66" t="str">
        <f t="shared" si="124"/>
        <v/>
      </c>
      <c r="P1148" s="66" t="str">
        <f t="shared" si="125"/>
        <v/>
      </c>
    </row>
    <row r="1149" spans="8:16">
      <c r="H1149" s="66" t="e">
        <f>IF(LEFT(A1149,6)="CEPNTR","GPINS",VLOOKUP(LEFT(A1149,6),'Code Library'!$A$3:$B$920,2,0))&amp;"_"&amp;RIGHT(A1149,3)</f>
        <v>#N/A</v>
      </c>
      <c r="I1149" s="66">
        <f t="shared" si="119"/>
        <v>0</v>
      </c>
      <c r="K1149" s="66" t="str">
        <f t="shared" si="120"/>
        <v/>
      </c>
      <c r="L1149" s="66" t="str">
        <f t="shared" si="121"/>
        <v/>
      </c>
      <c r="M1149" s="66" t="str">
        <f t="shared" si="122"/>
        <v/>
      </c>
      <c r="N1149" s="66" t="str">
        <f t="shared" si="123"/>
        <v/>
      </c>
      <c r="O1149" s="66" t="str">
        <f t="shared" si="124"/>
        <v/>
      </c>
      <c r="P1149" s="66" t="str">
        <f t="shared" si="125"/>
        <v/>
      </c>
    </row>
    <row r="1150" spans="8:16">
      <c r="H1150" s="66" t="e">
        <f>IF(LEFT(A1150,6)="CEPNTR","GPINS",VLOOKUP(LEFT(A1150,6),'Code Library'!$A$3:$B$920,2,0))&amp;"_"&amp;RIGHT(A1150,3)</f>
        <v>#N/A</v>
      </c>
      <c r="I1150" s="66">
        <f t="shared" si="119"/>
        <v>0</v>
      </c>
      <c r="K1150" s="66" t="str">
        <f t="shared" si="120"/>
        <v/>
      </c>
      <c r="L1150" s="66" t="str">
        <f t="shared" si="121"/>
        <v/>
      </c>
      <c r="M1150" s="66" t="str">
        <f t="shared" si="122"/>
        <v/>
      </c>
      <c r="N1150" s="66" t="str">
        <f t="shared" si="123"/>
        <v/>
      </c>
      <c r="O1150" s="66" t="str">
        <f t="shared" si="124"/>
        <v/>
      </c>
      <c r="P1150" s="66" t="str">
        <f t="shared" si="125"/>
        <v/>
      </c>
    </row>
    <row r="1151" spans="8:16">
      <c r="H1151" s="66" t="e">
        <f>IF(LEFT(A1151,6)="CEPNTR","GPINS",VLOOKUP(LEFT(A1151,6),'Code Library'!$A$3:$B$920,2,0))&amp;"_"&amp;RIGHT(A1151,3)</f>
        <v>#N/A</v>
      </c>
      <c r="I1151" s="66">
        <f t="shared" si="119"/>
        <v>0</v>
      </c>
      <c r="K1151" s="66" t="str">
        <f t="shared" si="120"/>
        <v/>
      </c>
      <c r="L1151" s="66" t="str">
        <f t="shared" si="121"/>
        <v/>
      </c>
      <c r="M1151" s="66" t="str">
        <f t="shared" si="122"/>
        <v/>
      </c>
      <c r="N1151" s="66" t="str">
        <f t="shared" si="123"/>
        <v/>
      </c>
      <c r="O1151" s="66" t="str">
        <f t="shared" si="124"/>
        <v/>
      </c>
      <c r="P1151" s="66" t="str">
        <f t="shared" si="125"/>
        <v/>
      </c>
    </row>
    <row r="1152" spans="8:16">
      <c r="H1152" s="66" t="e">
        <f>IF(LEFT(A1152,6)="CEPNTR","GPINS",VLOOKUP(LEFT(A1152,6),'Code Library'!$A$3:$B$920,2,0))&amp;"_"&amp;RIGHT(A1152,3)</f>
        <v>#N/A</v>
      </c>
      <c r="I1152" s="66">
        <f t="shared" si="119"/>
        <v>0</v>
      </c>
      <c r="K1152" s="66" t="str">
        <f t="shared" si="120"/>
        <v/>
      </c>
      <c r="L1152" s="66" t="str">
        <f t="shared" si="121"/>
        <v/>
      </c>
      <c r="M1152" s="66" t="str">
        <f t="shared" si="122"/>
        <v/>
      </c>
      <c r="N1152" s="66" t="str">
        <f t="shared" si="123"/>
        <v/>
      </c>
      <c r="O1152" s="66" t="str">
        <f t="shared" si="124"/>
        <v/>
      </c>
      <c r="P1152" s="66" t="str">
        <f t="shared" si="125"/>
        <v/>
      </c>
    </row>
    <row r="1153" spans="8:16">
      <c r="H1153" s="66" t="e">
        <f>IF(LEFT(A1153,6)="CEPNTR","GPINS",VLOOKUP(LEFT(A1153,6),'Code Library'!$A$3:$B$920,2,0))&amp;"_"&amp;RIGHT(A1153,3)</f>
        <v>#N/A</v>
      </c>
      <c r="I1153" s="66">
        <f t="shared" si="119"/>
        <v>0</v>
      </c>
      <c r="K1153" s="66" t="str">
        <f t="shared" si="120"/>
        <v/>
      </c>
      <c r="L1153" s="66" t="str">
        <f t="shared" si="121"/>
        <v/>
      </c>
      <c r="M1153" s="66" t="str">
        <f t="shared" si="122"/>
        <v/>
      </c>
      <c r="N1153" s="66" t="str">
        <f t="shared" si="123"/>
        <v/>
      </c>
      <c r="O1153" s="66" t="str">
        <f t="shared" si="124"/>
        <v/>
      </c>
      <c r="P1153" s="66" t="str">
        <f t="shared" si="125"/>
        <v/>
      </c>
    </row>
    <row r="1154" spans="8:16">
      <c r="H1154" s="66" t="e">
        <f>IF(LEFT(A1154,6)="CEPNTR","GPINS",VLOOKUP(LEFT(A1154,6),'Code Library'!$A$3:$B$920,2,0))&amp;"_"&amp;RIGHT(A1154,3)</f>
        <v>#N/A</v>
      </c>
      <c r="I1154" s="66">
        <f t="shared" si="119"/>
        <v>0</v>
      </c>
      <c r="K1154" s="66" t="str">
        <f t="shared" si="120"/>
        <v/>
      </c>
      <c r="L1154" s="66" t="str">
        <f t="shared" si="121"/>
        <v/>
      </c>
      <c r="M1154" s="66" t="str">
        <f t="shared" si="122"/>
        <v/>
      </c>
      <c r="N1154" s="66" t="str">
        <f t="shared" si="123"/>
        <v/>
      </c>
      <c r="O1154" s="66" t="str">
        <f t="shared" si="124"/>
        <v/>
      </c>
      <c r="P1154" s="66" t="str">
        <f t="shared" si="125"/>
        <v/>
      </c>
    </row>
    <row r="1155" spans="8:16">
      <c r="H1155" s="66" t="e">
        <f>IF(LEFT(A1155,6)="CEPNTR","GPINS",VLOOKUP(LEFT(A1155,6),'Code Library'!$A$3:$B$920,2,0))&amp;"_"&amp;RIGHT(A1155,3)</f>
        <v>#N/A</v>
      </c>
      <c r="I1155" s="66">
        <f t="shared" ref="I1155:I1218" si="126">A1155</f>
        <v>0</v>
      </c>
      <c r="K1155" s="66" t="str">
        <f t="shared" ref="K1155:K1218" si="127">RIGHT($B1155,2)</f>
        <v/>
      </c>
      <c r="L1155" s="66" t="str">
        <f t="shared" ref="L1155:L1218" si="128">LEFT(RIGHT($B1155,7),4)</f>
        <v/>
      </c>
      <c r="M1155" s="66" t="str">
        <f t="shared" ref="M1155:M1218" si="129">LEFT(RIGHT($B1155,10),2)</f>
        <v/>
      </c>
      <c r="N1155" s="66" t="str">
        <f t="shared" ref="N1155:N1218" si="130">LEFT(RIGHT($B1155,14),3)</f>
        <v/>
      </c>
      <c r="O1155" s="66" t="str">
        <f t="shared" ref="O1155:O1218" si="131">LEFT(RIGHT($B1155,16),1)</f>
        <v/>
      </c>
      <c r="P1155" s="66" t="str">
        <f t="shared" ref="P1155:P1218" si="132">LEFT(RIGHT($B1155,19),2)</f>
        <v/>
      </c>
    </row>
    <row r="1156" spans="8:16">
      <c r="H1156" s="66" t="e">
        <f>IF(LEFT(A1156,6)="CEPNTR","GPINS",VLOOKUP(LEFT(A1156,6),'Code Library'!$A$3:$B$920,2,0))&amp;"_"&amp;RIGHT(A1156,3)</f>
        <v>#N/A</v>
      </c>
      <c r="I1156" s="66">
        <f t="shared" si="126"/>
        <v>0</v>
      </c>
      <c r="K1156" s="66" t="str">
        <f t="shared" si="127"/>
        <v/>
      </c>
      <c r="L1156" s="66" t="str">
        <f t="shared" si="128"/>
        <v/>
      </c>
      <c r="M1156" s="66" t="str">
        <f t="shared" si="129"/>
        <v/>
      </c>
      <c r="N1156" s="66" t="str">
        <f t="shared" si="130"/>
        <v/>
      </c>
      <c r="O1156" s="66" t="str">
        <f t="shared" si="131"/>
        <v/>
      </c>
      <c r="P1156" s="66" t="str">
        <f t="shared" si="132"/>
        <v/>
      </c>
    </row>
    <row r="1157" spans="8:16">
      <c r="H1157" s="66" t="e">
        <f>IF(LEFT(A1157,6)="CEPNTR","GPINS",VLOOKUP(LEFT(A1157,6),'Code Library'!$A$3:$B$920,2,0))&amp;"_"&amp;RIGHT(A1157,3)</f>
        <v>#N/A</v>
      </c>
      <c r="I1157" s="66">
        <f t="shared" si="126"/>
        <v>0</v>
      </c>
      <c r="K1157" s="66" t="str">
        <f t="shared" si="127"/>
        <v/>
      </c>
      <c r="L1157" s="66" t="str">
        <f t="shared" si="128"/>
        <v/>
      </c>
      <c r="M1157" s="66" t="str">
        <f t="shared" si="129"/>
        <v/>
      </c>
      <c r="N1157" s="66" t="str">
        <f t="shared" si="130"/>
        <v/>
      </c>
      <c r="O1157" s="66" t="str">
        <f t="shared" si="131"/>
        <v/>
      </c>
      <c r="P1157" s="66" t="str">
        <f t="shared" si="132"/>
        <v/>
      </c>
    </row>
    <row r="1158" spans="8:16">
      <c r="H1158" s="66" t="e">
        <f>IF(LEFT(A1158,6)="CEPNTR","GPINS",VLOOKUP(LEFT(A1158,6),'Code Library'!$A$3:$B$920,2,0))&amp;"_"&amp;RIGHT(A1158,3)</f>
        <v>#N/A</v>
      </c>
      <c r="I1158" s="66">
        <f t="shared" si="126"/>
        <v>0</v>
      </c>
      <c r="K1158" s="66" t="str">
        <f t="shared" si="127"/>
        <v/>
      </c>
      <c r="L1158" s="66" t="str">
        <f t="shared" si="128"/>
        <v/>
      </c>
      <c r="M1158" s="66" t="str">
        <f t="shared" si="129"/>
        <v/>
      </c>
      <c r="N1158" s="66" t="str">
        <f t="shared" si="130"/>
        <v/>
      </c>
      <c r="O1158" s="66" t="str">
        <f t="shared" si="131"/>
        <v/>
      </c>
      <c r="P1158" s="66" t="str">
        <f t="shared" si="132"/>
        <v/>
      </c>
    </row>
    <row r="1159" spans="8:16">
      <c r="H1159" s="66" t="e">
        <f>IF(LEFT(A1159,6)="CEPNTR","GPINS",VLOOKUP(LEFT(A1159,6),'Code Library'!$A$3:$B$920,2,0))&amp;"_"&amp;RIGHT(A1159,3)</f>
        <v>#N/A</v>
      </c>
      <c r="I1159" s="66">
        <f t="shared" si="126"/>
        <v>0</v>
      </c>
      <c r="K1159" s="66" t="str">
        <f t="shared" si="127"/>
        <v/>
      </c>
      <c r="L1159" s="66" t="str">
        <f t="shared" si="128"/>
        <v/>
      </c>
      <c r="M1159" s="66" t="str">
        <f t="shared" si="129"/>
        <v/>
      </c>
      <c r="N1159" s="66" t="str">
        <f t="shared" si="130"/>
        <v/>
      </c>
      <c r="O1159" s="66" t="str">
        <f t="shared" si="131"/>
        <v/>
      </c>
      <c r="P1159" s="66" t="str">
        <f t="shared" si="132"/>
        <v/>
      </c>
    </row>
    <row r="1160" spans="8:16">
      <c r="H1160" s="66" t="e">
        <f>IF(LEFT(A1160,6)="CEPNTR","GPINS",VLOOKUP(LEFT(A1160,6),'Code Library'!$A$3:$B$920,2,0))&amp;"_"&amp;RIGHT(A1160,3)</f>
        <v>#N/A</v>
      </c>
      <c r="I1160" s="66">
        <f t="shared" si="126"/>
        <v>0</v>
      </c>
      <c r="K1160" s="66" t="str">
        <f t="shared" si="127"/>
        <v/>
      </c>
      <c r="L1160" s="66" t="str">
        <f t="shared" si="128"/>
        <v/>
      </c>
      <c r="M1160" s="66" t="str">
        <f t="shared" si="129"/>
        <v/>
      </c>
      <c r="N1160" s="66" t="str">
        <f t="shared" si="130"/>
        <v/>
      </c>
      <c r="O1160" s="66" t="str">
        <f t="shared" si="131"/>
        <v/>
      </c>
      <c r="P1160" s="66" t="str">
        <f t="shared" si="132"/>
        <v/>
      </c>
    </row>
    <row r="1161" spans="8:16">
      <c r="H1161" s="66" t="e">
        <f>IF(LEFT(A1161,6)="CEPNTR","GPINS",VLOOKUP(LEFT(A1161,6),'Code Library'!$A$3:$B$920,2,0))&amp;"_"&amp;RIGHT(A1161,3)</f>
        <v>#N/A</v>
      </c>
      <c r="I1161" s="66">
        <f t="shared" si="126"/>
        <v>0</v>
      </c>
      <c r="K1161" s="66" t="str">
        <f t="shared" si="127"/>
        <v/>
      </c>
      <c r="L1161" s="66" t="str">
        <f t="shared" si="128"/>
        <v/>
      </c>
      <c r="M1161" s="66" t="str">
        <f t="shared" si="129"/>
        <v/>
      </c>
      <c r="N1161" s="66" t="str">
        <f t="shared" si="130"/>
        <v/>
      </c>
      <c r="O1161" s="66" t="str">
        <f t="shared" si="131"/>
        <v/>
      </c>
      <c r="P1161" s="66" t="str">
        <f t="shared" si="132"/>
        <v/>
      </c>
    </row>
    <row r="1162" spans="8:16">
      <c r="H1162" s="66" t="e">
        <f>IF(LEFT(A1162,6)="CEPNTR","GPINS",VLOOKUP(LEFT(A1162,6),'Code Library'!$A$3:$B$920,2,0))&amp;"_"&amp;RIGHT(A1162,3)</f>
        <v>#N/A</v>
      </c>
      <c r="I1162" s="66">
        <f t="shared" si="126"/>
        <v>0</v>
      </c>
      <c r="K1162" s="66" t="str">
        <f t="shared" si="127"/>
        <v/>
      </c>
      <c r="L1162" s="66" t="str">
        <f t="shared" si="128"/>
        <v/>
      </c>
      <c r="M1162" s="66" t="str">
        <f t="shared" si="129"/>
        <v/>
      </c>
      <c r="N1162" s="66" t="str">
        <f t="shared" si="130"/>
        <v/>
      </c>
      <c r="O1162" s="66" t="str">
        <f t="shared" si="131"/>
        <v/>
      </c>
      <c r="P1162" s="66" t="str">
        <f t="shared" si="132"/>
        <v/>
      </c>
    </row>
    <row r="1163" spans="8:16">
      <c r="H1163" s="66" t="e">
        <f>IF(LEFT(A1163,6)="CEPNTR","GPINS",VLOOKUP(LEFT(A1163,6),'Code Library'!$A$3:$B$920,2,0))&amp;"_"&amp;RIGHT(A1163,3)</f>
        <v>#N/A</v>
      </c>
      <c r="I1163" s="66">
        <f t="shared" si="126"/>
        <v>0</v>
      </c>
      <c r="K1163" s="66" t="str">
        <f t="shared" si="127"/>
        <v/>
      </c>
      <c r="L1163" s="66" t="str">
        <f t="shared" si="128"/>
        <v/>
      </c>
      <c r="M1163" s="66" t="str">
        <f t="shared" si="129"/>
        <v/>
      </c>
      <c r="N1163" s="66" t="str">
        <f t="shared" si="130"/>
        <v/>
      </c>
      <c r="O1163" s="66" t="str">
        <f t="shared" si="131"/>
        <v/>
      </c>
      <c r="P1163" s="66" t="str">
        <f t="shared" si="132"/>
        <v/>
      </c>
    </row>
    <row r="1164" spans="8:16">
      <c r="H1164" s="66" t="e">
        <f>IF(LEFT(A1164,6)="CEPNTR","GPINS",VLOOKUP(LEFT(A1164,6),'Code Library'!$A$3:$B$920,2,0))&amp;"_"&amp;RIGHT(A1164,3)</f>
        <v>#N/A</v>
      </c>
      <c r="I1164" s="66">
        <f t="shared" si="126"/>
        <v>0</v>
      </c>
      <c r="K1164" s="66" t="str">
        <f t="shared" si="127"/>
        <v/>
      </c>
      <c r="L1164" s="66" t="str">
        <f t="shared" si="128"/>
        <v/>
      </c>
      <c r="M1164" s="66" t="str">
        <f t="shared" si="129"/>
        <v/>
      </c>
      <c r="N1164" s="66" t="str">
        <f t="shared" si="130"/>
        <v/>
      </c>
      <c r="O1164" s="66" t="str">
        <f t="shared" si="131"/>
        <v/>
      </c>
      <c r="P1164" s="66" t="str">
        <f t="shared" si="132"/>
        <v/>
      </c>
    </row>
    <row r="1165" spans="8:16">
      <c r="H1165" s="66" t="e">
        <f>IF(LEFT(A1165,6)="CEPNTR","GPINS",VLOOKUP(LEFT(A1165,6),'Code Library'!$A$3:$B$920,2,0))&amp;"_"&amp;RIGHT(A1165,3)</f>
        <v>#N/A</v>
      </c>
      <c r="I1165" s="66">
        <f t="shared" si="126"/>
        <v>0</v>
      </c>
      <c r="K1165" s="66" t="str">
        <f t="shared" si="127"/>
        <v/>
      </c>
      <c r="L1165" s="66" t="str">
        <f t="shared" si="128"/>
        <v/>
      </c>
      <c r="M1165" s="66" t="str">
        <f t="shared" si="129"/>
        <v/>
      </c>
      <c r="N1165" s="66" t="str">
        <f t="shared" si="130"/>
        <v/>
      </c>
      <c r="O1165" s="66" t="str">
        <f t="shared" si="131"/>
        <v/>
      </c>
      <c r="P1165" s="66" t="str">
        <f t="shared" si="132"/>
        <v/>
      </c>
    </row>
    <row r="1166" spans="8:16">
      <c r="H1166" s="66" t="e">
        <f>IF(LEFT(A1166,6)="CEPNTR","GPINS",VLOOKUP(LEFT(A1166,6),'Code Library'!$A$3:$B$920,2,0))&amp;"_"&amp;RIGHT(A1166,3)</f>
        <v>#N/A</v>
      </c>
      <c r="I1166" s="66">
        <f t="shared" si="126"/>
        <v>0</v>
      </c>
      <c r="K1166" s="66" t="str">
        <f t="shared" si="127"/>
        <v/>
      </c>
      <c r="L1166" s="66" t="str">
        <f t="shared" si="128"/>
        <v/>
      </c>
      <c r="M1166" s="66" t="str">
        <f t="shared" si="129"/>
        <v/>
      </c>
      <c r="N1166" s="66" t="str">
        <f t="shared" si="130"/>
        <v/>
      </c>
      <c r="O1166" s="66" t="str">
        <f t="shared" si="131"/>
        <v/>
      </c>
      <c r="P1166" s="66" t="str">
        <f t="shared" si="132"/>
        <v/>
      </c>
    </row>
    <row r="1167" spans="8:16">
      <c r="H1167" s="66" t="e">
        <f>IF(LEFT(A1167,6)="CEPNTR","GPINS",VLOOKUP(LEFT(A1167,6),'Code Library'!$A$3:$B$920,2,0))&amp;"_"&amp;RIGHT(A1167,3)</f>
        <v>#N/A</v>
      </c>
      <c r="I1167" s="66">
        <f t="shared" si="126"/>
        <v>0</v>
      </c>
      <c r="K1167" s="66" t="str">
        <f t="shared" si="127"/>
        <v/>
      </c>
      <c r="L1167" s="66" t="str">
        <f t="shared" si="128"/>
        <v/>
      </c>
      <c r="M1167" s="66" t="str">
        <f t="shared" si="129"/>
        <v/>
      </c>
      <c r="N1167" s="66" t="str">
        <f t="shared" si="130"/>
        <v/>
      </c>
      <c r="O1167" s="66" t="str">
        <f t="shared" si="131"/>
        <v/>
      </c>
      <c r="P1167" s="66" t="str">
        <f t="shared" si="132"/>
        <v/>
      </c>
    </row>
    <row r="1168" spans="8:16">
      <c r="H1168" s="66" t="e">
        <f>IF(LEFT(A1168,6)="CEPNTR","GPINS",VLOOKUP(LEFT(A1168,6),'Code Library'!$A$3:$B$920,2,0))&amp;"_"&amp;RIGHT(A1168,3)</f>
        <v>#N/A</v>
      </c>
      <c r="I1168" s="66">
        <f t="shared" si="126"/>
        <v>0</v>
      </c>
      <c r="K1168" s="66" t="str">
        <f t="shared" si="127"/>
        <v/>
      </c>
      <c r="L1168" s="66" t="str">
        <f t="shared" si="128"/>
        <v/>
      </c>
      <c r="M1168" s="66" t="str">
        <f t="shared" si="129"/>
        <v/>
      </c>
      <c r="N1168" s="66" t="str">
        <f t="shared" si="130"/>
        <v/>
      </c>
      <c r="O1168" s="66" t="str">
        <f t="shared" si="131"/>
        <v/>
      </c>
      <c r="P1168" s="66" t="str">
        <f t="shared" si="132"/>
        <v/>
      </c>
    </row>
    <row r="1169" spans="8:16">
      <c r="H1169" s="66" t="e">
        <f>IF(LEFT(A1169,6)="CEPNTR","GPINS",VLOOKUP(LEFT(A1169,6),'Code Library'!$A$3:$B$920,2,0))&amp;"_"&amp;RIGHT(A1169,3)</f>
        <v>#N/A</v>
      </c>
      <c r="I1169" s="66">
        <f t="shared" si="126"/>
        <v>0</v>
      </c>
      <c r="K1169" s="66" t="str">
        <f t="shared" si="127"/>
        <v/>
      </c>
      <c r="L1169" s="66" t="str">
        <f t="shared" si="128"/>
        <v/>
      </c>
      <c r="M1169" s="66" t="str">
        <f t="shared" si="129"/>
        <v/>
      </c>
      <c r="N1169" s="66" t="str">
        <f t="shared" si="130"/>
        <v/>
      </c>
      <c r="O1169" s="66" t="str">
        <f t="shared" si="131"/>
        <v/>
      </c>
      <c r="P1169" s="66" t="str">
        <f t="shared" si="132"/>
        <v/>
      </c>
    </row>
    <row r="1170" spans="8:16">
      <c r="H1170" s="66" t="e">
        <f>IF(LEFT(A1170,6)="CEPNTR","GPINS",VLOOKUP(LEFT(A1170,6),'Code Library'!$A$3:$B$920,2,0))&amp;"_"&amp;RIGHT(A1170,3)</f>
        <v>#N/A</v>
      </c>
      <c r="I1170" s="66">
        <f t="shared" si="126"/>
        <v>0</v>
      </c>
      <c r="K1170" s="66" t="str">
        <f t="shared" si="127"/>
        <v/>
      </c>
      <c r="L1170" s="66" t="str">
        <f t="shared" si="128"/>
        <v/>
      </c>
      <c r="M1170" s="66" t="str">
        <f t="shared" si="129"/>
        <v/>
      </c>
      <c r="N1170" s="66" t="str">
        <f t="shared" si="130"/>
        <v/>
      </c>
      <c r="O1170" s="66" t="str">
        <f t="shared" si="131"/>
        <v/>
      </c>
      <c r="P1170" s="66" t="str">
        <f t="shared" si="132"/>
        <v/>
      </c>
    </row>
    <row r="1171" spans="8:16">
      <c r="H1171" s="66" t="e">
        <f>IF(LEFT(A1171,6)="CEPNTR","GPINS",VLOOKUP(LEFT(A1171,6),'Code Library'!$A$3:$B$920,2,0))&amp;"_"&amp;RIGHT(A1171,3)</f>
        <v>#N/A</v>
      </c>
      <c r="I1171" s="66">
        <f t="shared" si="126"/>
        <v>0</v>
      </c>
      <c r="K1171" s="66" t="str">
        <f t="shared" si="127"/>
        <v/>
      </c>
      <c r="L1171" s="66" t="str">
        <f t="shared" si="128"/>
        <v/>
      </c>
      <c r="M1171" s="66" t="str">
        <f t="shared" si="129"/>
        <v/>
      </c>
      <c r="N1171" s="66" t="str">
        <f t="shared" si="130"/>
        <v/>
      </c>
      <c r="O1171" s="66" t="str">
        <f t="shared" si="131"/>
        <v/>
      </c>
      <c r="P1171" s="66" t="str">
        <f t="shared" si="132"/>
        <v/>
      </c>
    </row>
    <row r="1172" spans="8:16">
      <c r="H1172" s="66" t="e">
        <f>IF(LEFT(A1172,6)="CEPNTR","GPINS",VLOOKUP(LEFT(A1172,6),'Code Library'!$A$3:$B$920,2,0))&amp;"_"&amp;RIGHT(A1172,3)</f>
        <v>#N/A</v>
      </c>
      <c r="I1172" s="66">
        <f t="shared" si="126"/>
        <v>0</v>
      </c>
      <c r="K1172" s="66" t="str">
        <f t="shared" si="127"/>
        <v/>
      </c>
      <c r="L1172" s="66" t="str">
        <f t="shared" si="128"/>
        <v/>
      </c>
      <c r="M1172" s="66" t="str">
        <f t="shared" si="129"/>
        <v/>
      </c>
      <c r="N1172" s="66" t="str">
        <f t="shared" si="130"/>
        <v/>
      </c>
      <c r="O1172" s="66" t="str">
        <f t="shared" si="131"/>
        <v/>
      </c>
      <c r="P1172" s="66" t="str">
        <f t="shared" si="132"/>
        <v/>
      </c>
    </row>
    <row r="1173" spans="8:16">
      <c r="H1173" s="66" t="e">
        <f>IF(LEFT(A1173,6)="CEPNTR","GPINS",VLOOKUP(LEFT(A1173,6),'Code Library'!$A$3:$B$920,2,0))&amp;"_"&amp;RIGHT(A1173,3)</f>
        <v>#N/A</v>
      </c>
      <c r="I1173" s="66">
        <f t="shared" si="126"/>
        <v>0</v>
      </c>
      <c r="K1173" s="66" t="str">
        <f t="shared" si="127"/>
        <v/>
      </c>
      <c r="L1173" s="66" t="str">
        <f t="shared" si="128"/>
        <v/>
      </c>
      <c r="M1173" s="66" t="str">
        <f t="shared" si="129"/>
        <v/>
      </c>
      <c r="N1173" s="66" t="str">
        <f t="shared" si="130"/>
        <v/>
      </c>
      <c r="O1173" s="66" t="str">
        <f t="shared" si="131"/>
        <v/>
      </c>
      <c r="P1173" s="66" t="str">
        <f t="shared" si="132"/>
        <v/>
      </c>
    </row>
    <row r="1174" spans="8:16">
      <c r="H1174" s="66" t="e">
        <f>IF(LEFT(A1174,6)="CEPNTR","GPINS",VLOOKUP(LEFT(A1174,6),'Code Library'!$A$3:$B$920,2,0))&amp;"_"&amp;RIGHT(A1174,3)</f>
        <v>#N/A</v>
      </c>
      <c r="I1174" s="66">
        <f t="shared" si="126"/>
        <v>0</v>
      </c>
      <c r="K1174" s="66" t="str">
        <f t="shared" si="127"/>
        <v/>
      </c>
      <c r="L1174" s="66" t="str">
        <f t="shared" si="128"/>
        <v/>
      </c>
      <c r="M1174" s="66" t="str">
        <f t="shared" si="129"/>
        <v/>
      </c>
      <c r="N1174" s="66" t="str">
        <f t="shared" si="130"/>
        <v/>
      </c>
      <c r="O1174" s="66" t="str">
        <f t="shared" si="131"/>
        <v/>
      </c>
      <c r="P1174" s="66" t="str">
        <f t="shared" si="132"/>
        <v/>
      </c>
    </row>
    <row r="1175" spans="8:16">
      <c r="H1175" s="66" t="e">
        <f>IF(LEFT(A1175,6)="CEPNTR","GPINS",VLOOKUP(LEFT(A1175,6),'Code Library'!$A$3:$B$920,2,0))&amp;"_"&amp;RIGHT(A1175,3)</f>
        <v>#N/A</v>
      </c>
      <c r="I1175" s="66">
        <f t="shared" si="126"/>
        <v>0</v>
      </c>
      <c r="K1175" s="66" t="str">
        <f t="shared" si="127"/>
        <v/>
      </c>
      <c r="L1175" s="66" t="str">
        <f t="shared" si="128"/>
        <v/>
      </c>
      <c r="M1175" s="66" t="str">
        <f t="shared" si="129"/>
        <v/>
      </c>
      <c r="N1175" s="66" t="str">
        <f t="shared" si="130"/>
        <v/>
      </c>
      <c r="O1175" s="66" t="str">
        <f t="shared" si="131"/>
        <v/>
      </c>
      <c r="P1175" s="66" t="str">
        <f t="shared" si="132"/>
        <v/>
      </c>
    </row>
    <row r="1176" spans="8:16">
      <c r="H1176" s="66" t="e">
        <f>IF(LEFT(A1176,6)="CEPNTR","GPINS",VLOOKUP(LEFT(A1176,6),'Code Library'!$A$3:$B$920,2,0))&amp;"_"&amp;RIGHT(A1176,3)</f>
        <v>#N/A</v>
      </c>
      <c r="I1176" s="66">
        <f t="shared" si="126"/>
        <v>0</v>
      </c>
      <c r="K1176" s="66" t="str">
        <f t="shared" si="127"/>
        <v/>
      </c>
      <c r="L1176" s="66" t="str">
        <f t="shared" si="128"/>
        <v/>
      </c>
      <c r="M1176" s="66" t="str">
        <f t="shared" si="129"/>
        <v/>
      </c>
      <c r="N1176" s="66" t="str">
        <f t="shared" si="130"/>
        <v/>
      </c>
      <c r="O1176" s="66" t="str">
        <f t="shared" si="131"/>
        <v/>
      </c>
      <c r="P1176" s="66" t="str">
        <f t="shared" si="132"/>
        <v/>
      </c>
    </row>
    <row r="1177" spans="8:16">
      <c r="H1177" s="66" t="e">
        <f>IF(LEFT(A1177,6)="CEPNTR","GPINS",VLOOKUP(LEFT(A1177,6),'Code Library'!$A$3:$B$920,2,0))&amp;"_"&amp;RIGHT(A1177,3)</f>
        <v>#N/A</v>
      </c>
      <c r="I1177" s="66">
        <f t="shared" si="126"/>
        <v>0</v>
      </c>
      <c r="K1177" s="66" t="str">
        <f t="shared" si="127"/>
        <v/>
      </c>
      <c r="L1177" s="66" t="str">
        <f t="shared" si="128"/>
        <v/>
      </c>
      <c r="M1177" s="66" t="str">
        <f t="shared" si="129"/>
        <v/>
      </c>
      <c r="N1177" s="66" t="str">
        <f t="shared" si="130"/>
        <v/>
      </c>
      <c r="O1177" s="66" t="str">
        <f t="shared" si="131"/>
        <v/>
      </c>
      <c r="P1177" s="66" t="str">
        <f t="shared" si="132"/>
        <v/>
      </c>
    </row>
    <row r="1178" spans="8:16">
      <c r="H1178" s="66" t="e">
        <f>IF(LEFT(A1178,6)="CEPNTR","GPINS",VLOOKUP(LEFT(A1178,6),'Code Library'!$A$3:$B$920,2,0))&amp;"_"&amp;RIGHT(A1178,3)</f>
        <v>#N/A</v>
      </c>
      <c r="I1178" s="66">
        <f t="shared" si="126"/>
        <v>0</v>
      </c>
      <c r="K1178" s="66" t="str">
        <f t="shared" si="127"/>
        <v/>
      </c>
      <c r="L1178" s="66" t="str">
        <f t="shared" si="128"/>
        <v/>
      </c>
      <c r="M1178" s="66" t="str">
        <f t="shared" si="129"/>
        <v/>
      </c>
      <c r="N1178" s="66" t="str">
        <f t="shared" si="130"/>
        <v/>
      </c>
      <c r="O1178" s="66" t="str">
        <f t="shared" si="131"/>
        <v/>
      </c>
      <c r="P1178" s="66" t="str">
        <f t="shared" si="132"/>
        <v/>
      </c>
    </row>
    <row r="1179" spans="8:16">
      <c r="H1179" s="66" t="e">
        <f>IF(LEFT(A1179,6)="CEPNTR","GPINS",VLOOKUP(LEFT(A1179,6),'Code Library'!$A$3:$B$920,2,0))&amp;"_"&amp;RIGHT(A1179,3)</f>
        <v>#N/A</v>
      </c>
      <c r="I1179" s="66">
        <f t="shared" si="126"/>
        <v>0</v>
      </c>
      <c r="K1179" s="66" t="str">
        <f t="shared" si="127"/>
        <v/>
      </c>
      <c r="L1179" s="66" t="str">
        <f t="shared" si="128"/>
        <v/>
      </c>
      <c r="M1179" s="66" t="str">
        <f t="shared" si="129"/>
        <v/>
      </c>
      <c r="N1179" s="66" t="str">
        <f t="shared" si="130"/>
        <v/>
      </c>
      <c r="O1179" s="66" t="str">
        <f t="shared" si="131"/>
        <v/>
      </c>
      <c r="P1179" s="66" t="str">
        <f t="shared" si="132"/>
        <v/>
      </c>
    </row>
    <row r="1180" spans="8:16">
      <c r="H1180" s="66" t="e">
        <f>IF(LEFT(A1180,6)="CEPNTR","GPINS",VLOOKUP(LEFT(A1180,6),'Code Library'!$A$3:$B$920,2,0))&amp;"_"&amp;RIGHT(A1180,3)</f>
        <v>#N/A</v>
      </c>
      <c r="I1180" s="66">
        <f t="shared" si="126"/>
        <v>0</v>
      </c>
      <c r="K1180" s="66" t="str">
        <f t="shared" si="127"/>
        <v/>
      </c>
      <c r="L1180" s="66" t="str">
        <f t="shared" si="128"/>
        <v/>
      </c>
      <c r="M1180" s="66" t="str">
        <f t="shared" si="129"/>
        <v/>
      </c>
      <c r="N1180" s="66" t="str">
        <f t="shared" si="130"/>
        <v/>
      </c>
      <c r="O1180" s="66" t="str">
        <f t="shared" si="131"/>
        <v/>
      </c>
      <c r="P1180" s="66" t="str">
        <f t="shared" si="132"/>
        <v/>
      </c>
    </row>
    <row r="1181" spans="8:16">
      <c r="H1181" s="66" t="e">
        <f>IF(LEFT(A1181,6)="CEPNTR","GPINS",VLOOKUP(LEFT(A1181,6),'Code Library'!$A$3:$B$920,2,0))&amp;"_"&amp;RIGHT(A1181,3)</f>
        <v>#N/A</v>
      </c>
      <c r="I1181" s="66">
        <f t="shared" si="126"/>
        <v>0</v>
      </c>
      <c r="K1181" s="66" t="str">
        <f t="shared" si="127"/>
        <v/>
      </c>
      <c r="L1181" s="66" t="str">
        <f t="shared" si="128"/>
        <v/>
      </c>
      <c r="M1181" s="66" t="str">
        <f t="shared" si="129"/>
        <v/>
      </c>
      <c r="N1181" s="66" t="str">
        <f t="shared" si="130"/>
        <v/>
      </c>
      <c r="O1181" s="66" t="str">
        <f t="shared" si="131"/>
        <v/>
      </c>
      <c r="P1181" s="66" t="str">
        <f t="shared" si="132"/>
        <v/>
      </c>
    </row>
    <row r="1182" spans="8:16">
      <c r="H1182" s="66" t="e">
        <f>IF(LEFT(A1182,6)="CEPNTR","GPINS",VLOOKUP(LEFT(A1182,6),'Code Library'!$A$3:$B$920,2,0))&amp;"_"&amp;RIGHT(A1182,3)</f>
        <v>#N/A</v>
      </c>
      <c r="I1182" s="66">
        <f t="shared" si="126"/>
        <v>0</v>
      </c>
      <c r="K1182" s="66" t="str">
        <f t="shared" si="127"/>
        <v/>
      </c>
      <c r="L1182" s="66" t="str">
        <f t="shared" si="128"/>
        <v/>
      </c>
      <c r="M1182" s="66" t="str">
        <f t="shared" si="129"/>
        <v/>
      </c>
      <c r="N1182" s="66" t="str">
        <f t="shared" si="130"/>
        <v/>
      </c>
      <c r="O1182" s="66" t="str">
        <f t="shared" si="131"/>
        <v/>
      </c>
      <c r="P1182" s="66" t="str">
        <f t="shared" si="132"/>
        <v/>
      </c>
    </row>
    <row r="1183" spans="8:16">
      <c r="H1183" s="66" t="e">
        <f>IF(LEFT(A1183,6)="CEPNTR","GPINS",VLOOKUP(LEFT(A1183,6),'Code Library'!$A$3:$B$920,2,0))&amp;"_"&amp;RIGHT(A1183,3)</f>
        <v>#N/A</v>
      </c>
      <c r="I1183" s="66">
        <f t="shared" si="126"/>
        <v>0</v>
      </c>
      <c r="K1183" s="66" t="str">
        <f t="shared" si="127"/>
        <v/>
      </c>
      <c r="L1183" s="66" t="str">
        <f t="shared" si="128"/>
        <v/>
      </c>
      <c r="M1183" s="66" t="str">
        <f t="shared" si="129"/>
        <v/>
      </c>
      <c r="N1183" s="66" t="str">
        <f t="shared" si="130"/>
        <v/>
      </c>
      <c r="O1183" s="66" t="str">
        <f t="shared" si="131"/>
        <v/>
      </c>
      <c r="P1183" s="66" t="str">
        <f t="shared" si="132"/>
        <v/>
      </c>
    </row>
    <row r="1184" spans="8:16">
      <c r="H1184" s="66" t="e">
        <f>IF(LEFT(A1184,6)="CEPNTR","GPINS",VLOOKUP(LEFT(A1184,6),'Code Library'!$A$3:$B$920,2,0))&amp;"_"&amp;RIGHT(A1184,3)</f>
        <v>#N/A</v>
      </c>
      <c r="I1184" s="66">
        <f t="shared" si="126"/>
        <v>0</v>
      </c>
      <c r="K1184" s="66" t="str">
        <f t="shared" si="127"/>
        <v/>
      </c>
      <c r="L1184" s="66" t="str">
        <f t="shared" si="128"/>
        <v/>
      </c>
      <c r="M1184" s="66" t="str">
        <f t="shared" si="129"/>
        <v/>
      </c>
      <c r="N1184" s="66" t="str">
        <f t="shared" si="130"/>
        <v/>
      </c>
      <c r="O1184" s="66" t="str">
        <f t="shared" si="131"/>
        <v/>
      </c>
      <c r="P1184" s="66" t="str">
        <f t="shared" si="132"/>
        <v/>
      </c>
    </row>
    <row r="1185" spans="8:16">
      <c r="H1185" s="66" t="e">
        <f>IF(LEFT(A1185,6)="CEPNTR","GPINS",VLOOKUP(LEFT(A1185,6),'Code Library'!$A$3:$B$920,2,0))&amp;"_"&amp;RIGHT(A1185,3)</f>
        <v>#N/A</v>
      </c>
      <c r="I1185" s="66">
        <f t="shared" si="126"/>
        <v>0</v>
      </c>
      <c r="K1185" s="66" t="str">
        <f t="shared" si="127"/>
        <v/>
      </c>
      <c r="L1185" s="66" t="str">
        <f t="shared" si="128"/>
        <v/>
      </c>
      <c r="M1185" s="66" t="str">
        <f t="shared" si="129"/>
        <v/>
      </c>
      <c r="N1185" s="66" t="str">
        <f t="shared" si="130"/>
        <v/>
      </c>
      <c r="O1185" s="66" t="str">
        <f t="shared" si="131"/>
        <v/>
      </c>
      <c r="P1185" s="66" t="str">
        <f t="shared" si="132"/>
        <v/>
      </c>
    </row>
    <row r="1186" spans="8:16">
      <c r="H1186" s="66" t="e">
        <f>IF(LEFT(A1186,6)="CEPNTR","GPINS",VLOOKUP(LEFT(A1186,6),'Code Library'!$A$3:$B$920,2,0))&amp;"_"&amp;RIGHT(A1186,3)</f>
        <v>#N/A</v>
      </c>
      <c r="I1186" s="66">
        <f t="shared" si="126"/>
        <v>0</v>
      </c>
      <c r="K1186" s="66" t="str">
        <f t="shared" si="127"/>
        <v/>
      </c>
      <c r="L1186" s="66" t="str">
        <f t="shared" si="128"/>
        <v/>
      </c>
      <c r="M1186" s="66" t="str">
        <f t="shared" si="129"/>
        <v/>
      </c>
      <c r="N1186" s="66" t="str">
        <f t="shared" si="130"/>
        <v/>
      </c>
      <c r="O1186" s="66" t="str">
        <f t="shared" si="131"/>
        <v/>
      </c>
      <c r="P1186" s="66" t="str">
        <f t="shared" si="132"/>
        <v/>
      </c>
    </row>
    <row r="1187" spans="8:16">
      <c r="H1187" s="66" t="e">
        <f>IF(LEFT(A1187,6)="CEPNTR","GPINS",VLOOKUP(LEFT(A1187,6),'Code Library'!$A$3:$B$920,2,0))&amp;"_"&amp;RIGHT(A1187,3)</f>
        <v>#N/A</v>
      </c>
      <c r="I1187" s="66">
        <f t="shared" si="126"/>
        <v>0</v>
      </c>
      <c r="K1187" s="66" t="str">
        <f t="shared" si="127"/>
        <v/>
      </c>
      <c r="L1187" s="66" t="str">
        <f t="shared" si="128"/>
        <v/>
      </c>
      <c r="M1187" s="66" t="str">
        <f t="shared" si="129"/>
        <v/>
      </c>
      <c r="N1187" s="66" t="str">
        <f t="shared" si="130"/>
        <v/>
      </c>
      <c r="O1187" s="66" t="str">
        <f t="shared" si="131"/>
        <v/>
      </c>
      <c r="P1187" s="66" t="str">
        <f t="shared" si="132"/>
        <v/>
      </c>
    </row>
    <row r="1188" spans="8:16">
      <c r="H1188" s="66" t="e">
        <f>IF(LEFT(A1188,6)="CEPNTR","GPINS",VLOOKUP(LEFT(A1188,6),'Code Library'!$A$3:$B$920,2,0))&amp;"_"&amp;RIGHT(A1188,3)</f>
        <v>#N/A</v>
      </c>
      <c r="I1188" s="66">
        <f t="shared" si="126"/>
        <v>0</v>
      </c>
      <c r="K1188" s="66" t="str">
        <f t="shared" si="127"/>
        <v/>
      </c>
      <c r="L1188" s="66" t="str">
        <f t="shared" si="128"/>
        <v/>
      </c>
      <c r="M1188" s="66" t="str">
        <f t="shared" si="129"/>
        <v/>
      </c>
      <c r="N1188" s="66" t="str">
        <f t="shared" si="130"/>
        <v/>
      </c>
      <c r="O1188" s="66" t="str">
        <f t="shared" si="131"/>
        <v/>
      </c>
      <c r="P1188" s="66" t="str">
        <f t="shared" si="132"/>
        <v/>
      </c>
    </row>
    <row r="1189" spans="8:16">
      <c r="H1189" s="66" t="e">
        <f>IF(LEFT(A1189,6)="CEPNTR","GPINS",VLOOKUP(LEFT(A1189,6),'Code Library'!$A$3:$B$920,2,0))&amp;"_"&amp;RIGHT(A1189,3)</f>
        <v>#N/A</v>
      </c>
      <c r="I1189" s="66">
        <f t="shared" si="126"/>
        <v>0</v>
      </c>
      <c r="K1189" s="66" t="str">
        <f t="shared" si="127"/>
        <v/>
      </c>
      <c r="L1189" s="66" t="str">
        <f t="shared" si="128"/>
        <v/>
      </c>
      <c r="M1189" s="66" t="str">
        <f t="shared" si="129"/>
        <v/>
      </c>
      <c r="N1189" s="66" t="str">
        <f t="shared" si="130"/>
        <v/>
      </c>
      <c r="O1189" s="66" t="str">
        <f t="shared" si="131"/>
        <v/>
      </c>
      <c r="P1189" s="66" t="str">
        <f t="shared" si="132"/>
        <v/>
      </c>
    </row>
    <row r="1190" spans="8:16">
      <c r="H1190" s="66" t="e">
        <f>IF(LEFT(A1190,6)="CEPNTR","GPINS",VLOOKUP(LEFT(A1190,6),'Code Library'!$A$3:$B$920,2,0))&amp;"_"&amp;RIGHT(A1190,3)</f>
        <v>#N/A</v>
      </c>
      <c r="I1190" s="66">
        <f t="shared" si="126"/>
        <v>0</v>
      </c>
      <c r="K1190" s="66" t="str">
        <f t="shared" si="127"/>
        <v/>
      </c>
      <c r="L1190" s="66" t="str">
        <f t="shared" si="128"/>
        <v/>
      </c>
      <c r="M1190" s="66" t="str">
        <f t="shared" si="129"/>
        <v/>
      </c>
      <c r="N1190" s="66" t="str">
        <f t="shared" si="130"/>
        <v/>
      </c>
      <c r="O1190" s="66" t="str">
        <f t="shared" si="131"/>
        <v/>
      </c>
      <c r="P1190" s="66" t="str">
        <f t="shared" si="132"/>
        <v/>
      </c>
    </row>
    <row r="1191" spans="8:16">
      <c r="H1191" s="66" t="e">
        <f>IF(LEFT(A1191,6)="CEPNTR","GPINS",VLOOKUP(LEFT(A1191,6),'Code Library'!$A$3:$B$920,2,0))&amp;"_"&amp;RIGHT(A1191,3)</f>
        <v>#N/A</v>
      </c>
      <c r="I1191" s="66">
        <f t="shared" si="126"/>
        <v>0</v>
      </c>
      <c r="K1191" s="66" t="str">
        <f t="shared" si="127"/>
        <v/>
      </c>
      <c r="L1191" s="66" t="str">
        <f t="shared" si="128"/>
        <v/>
      </c>
      <c r="M1191" s="66" t="str">
        <f t="shared" si="129"/>
        <v/>
      </c>
      <c r="N1191" s="66" t="str">
        <f t="shared" si="130"/>
        <v/>
      </c>
      <c r="O1191" s="66" t="str">
        <f t="shared" si="131"/>
        <v/>
      </c>
      <c r="P1191" s="66" t="str">
        <f t="shared" si="132"/>
        <v/>
      </c>
    </row>
    <row r="1192" spans="8:16">
      <c r="H1192" s="66" t="e">
        <f>IF(LEFT(A1192,6)="CEPNTR","GPINS",VLOOKUP(LEFT(A1192,6),'Code Library'!$A$3:$B$920,2,0))&amp;"_"&amp;RIGHT(A1192,3)</f>
        <v>#N/A</v>
      </c>
      <c r="I1192" s="66">
        <f t="shared" si="126"/>
        <v>0</v>
      </c>
      <c r="K1192" s="66" t="str">
        <f t="shared" si="127"/>
        <v/>
      </c>
      <c r="L1192" s="66" t="str">
        <f t="shared" si="128"/>
        <v/>
      </c>
      <c r="M1192" s="66" t="str">
        <f t="shared" si="129"/>
        <v/>
      </c>
      <c r="N1192" s="66" t="str">
        <f t="shared" si="130"/>
        <v/>
      </c>
      <c r="O1192" s="66" t="str">
        <f t="shared" si="131"/>
        <v/>
      </c>
      <c r="P1192" s="66" t="str">
        <f t="shared" si="132"/>
        <v/>
      </c>
    </row>
    <row r="1193" spans="8:16">
      <c r="H1193" s="66" t="e">
        <f>IF(LEFT(A1193,6)="CEPNTR","GPINS",VLOOKUP(LEFT(A1193,6),'Code Library'!$A$3:$B$920,2,0))&amp;"_"&amp;RIGHT(A1193,3)</f>
        <v>#N/A</v>
      </c>
      <c r="I1193" s="66">
        <f t="shared" si="126"/>
        <v>0</v>
      </c>
      <c r="K1193" s="66" t="str">
        <f t="shared" si="127"/>
        <v/>
      </c>
      <c r="L1193" s="66" t="str">
        <f t="shared" si="128"/>
        <v/>
      </c>
      <c r="M1193" s="66" t="str">
        <f t="shared" si="129"/>
        <v/>
      </c>
      <c r="N1193" s="66" t="str">
        <f t="shared" si="130"/>
        <v/>
      </c>
      <c r="O1193" s="66" t="str">
        <f t="shared" si="131"/>
        <v/>
      </c>
      <c r="P1193" s="66" t="str">
        <f t="shared" si="132"/>
        <v/>
      </c>
    </row>
    <row r="1194" spans="8:16">
      <c r="H1194" s="66" t="e">
        <f>IF(LEFT(A1194,6)="CEPNTR","GPINS",VLOOKUP(LEFT(A1194,6),'Code Library'!$A$3:$B$920,2,0))&amp;"_"&amp;RIGHT(A1194,3)</f>
        <v>#N/A</v>
      </c>
      <c r="I1194" s="66">
        <f t="shared" si="126"/>
        <v>0</v>
      </c>
      <c r="K1194" s="66" t="str">
        <f t="shared" si="127"/>
        <v/>
      </c>
      <c r="L1194" s="66" t="str">
        <f t="shared" si="128"/>
        <v/>
      </c>
      <c r="M1194" s="66" t="str">
        <f t="shared" si="129"/>
        <v/>
      </c>
      <c r="N1194" s="66" t="str">
        <f t="shared" si="130"/>
        <v/>
      </c>
      <c r="O1194" s="66" t="str">
        <f t="shared" si="131"/>
        <v/>
      </c>
      <c r="P1194" s="66" t="str">
        <f t="shared" si="132"/>
        <v/>
      </c>
    </row>
    <row r="1195" spans="8:16">
      <c r="H1195" s="66" t="e">
        <f>IF(LEFT(A1195,6)="CEPNTR","GPINS",VLOOKUP(LEFT(A1195,6),'Code Library'!$A$3:$B$920,2,0))&amp;"_"&amp;RIGHT(A1195,3)</f>
        <v>#N/A</v>
      </c>
      <c r="I1195" s="66">
        <f t="shared" si="126"/>
        <v>0</v>
      </c>
      <c r="K1195" s="66" t="str">
        <f t="shared" si="127"/>
        <v/>
      </c>
      <c r="L1195" s="66" t="str">
        <f t="shared" si="128"/>
        <v/>
      </c>
      <c r="M1195" s="66" t="str">
        <f t="shared" si="129"/>
        <v/>
      </c>
      <c r="N1195" s="66" t="str">
        <f t="shared" si="130"/>
        <v/>
      </c>
      <c r="O1195" s="66" t="str">
        <f t="shared" si="131"/>
        <v/>
      </c>
      <c r="P1195" s="66" t="str">
        <f t="shared" si="132"/>
        <v/>
      </c>
    </row>
    <row r="1196" spans="8:16">
      <c r="H1196" s="66" t="e">
        <f>IF(LEFT(A1196,6)="CEPNTR","GPINS",VLOOKUP(LEFT(A1196,6),'Code Library'!$A$3:$B$920,2,0))&amp;"_"&amp;RIGHT(A1196,3)</f>
        <v>#N/A</v>
      </c>
      <c r="I1196" s="66">
        <f t="shared" si="126"/>
        <v>0</v>
      </c>
      <c r="K1196" s="66" t="str">
        <f t="shared" si="127"/>
        <v/>
      </c>
      <c r="L1196" s="66" t="str">
        <f t="shared" si="128"/>
        <v/>
      </c>
      <c r="M1196" s="66" t="str">
        <f t="shared" si="129"/>
        <v/>
      </c>
      <c r="N1196" s="66" t="str">
        <f t="shared" si="130"/>
        <v/>
      </c>
      <c r="O1196" s="66" t="str">
        <f t="shared" si="131"/>
        <v/>
      </c>
      <c r="P1196" s="66" t="str">
        <f t="shared" si="132"/>
        <v/>
      </c>
    </row>
    <row r="1197" spans="8:16">
      <c r="H1197" s="66" t="e">
        <f>IF(LEFT(A1197,6)="CEPNTR","GPINS",VLOOKUP(LEFT(A1197,6),'Code Library'!$A$3:$B$920,2,0))&amp;"_"&amp;RIGHT(A1197,3)</f>
        <v>#N/A</v>
      </c>
      <c r="I1197" s="66">
        <f t="shared" si="126"/>
        <v>0</v>
      </c>
      <c r="K1197" s="66" t="str">
        <f t="shared" si="127"/>
        <v/>
      </c>
      <c r="L1197" s="66" t="str">
        <f t="shared" si="128"/>
        <v/>
      </c>
      <c r="M1197" s="66" t="str">
        <f t="shared" si="129"/>
        <v/>
      </c>
      <c r="N1197" s="66" t="str">
        <f t="shared" si="130"/>
        <v/>
      </c>
      <c r="O1197" s="66" t="str">
        <f t="shared" si="131"/>
        <v/>
      </c>
      <c r="P1197" s="66" t="str">
        <f t="shared" si="132"/>
        <v/>
      </c>
    </row>
    <row r="1198" spans="8:16">
      <c r="H1198" s="66" t="e">
        <f>IF(LEFT(A1198,6)="CEPNTR","GPINS",VLOOKUP(LEFT(A1198,6),'Code Library'!$A$3:$B$920,2,0))&amp;"_"&amp;RIGHT(A1198,3)</f>
        <v>#N/A</v>
      </c>
      <c r="I1198" s="66">
        <f t="shared" si="126"/>
        <v>0</v>
      </c>
      <c r="K1198" s="66" t="str">
        <f t="shared" si="127"/>
        <v/>
      </c>
      <c r="L1198" s="66" t="str">
        <f t="shared" si="128"/>
        <v/>
      </c>
      <c r="M1198" s="66" t="str">
        <f t="shared" si="129"/>
        <v/>
      </c>
      <c r="N1198" s="66" t="str">
        <f t="shared" si="130"/>
        <v/>
      </c>
      <c r="O1198" s="66" t="str">
        <f t="shared" si="131"/>
        <v/>
      </c>
      <c r="P1198" s="66" t="str">
        <f t="shared" si="132"/>
        <v/>
      </c>
    </row>
    <row r="1199" spans="8:16">
      <c r="H1199" s="66" t="e">
        <f>IF(LEFT(A1199,6)="CEPNTR","GPINS",VLOOKUP(LEFT(A1199,6),'Code Library'!$A$3:$B$920,2,0))&amp;"_"&amp;RIGHT(A1199,3)</f>
        <v>#N/A</v>
      </c>
      <c r="I1199" s="66">
        <f t="shared" si="126"/>
        <v>0</v>
      </c>
      <c r="K1199" s="66" t="str">
        <f t="shared" si="127"/>
        <v/>
      </c>
      <c r="L1199" s="66" t="str">
        <f t="shared" si="128"/>
        <v/>
      </c>
      <c r="M1199" s="66" t="str">
        <f t="shared" si="129"/>
        <v/>
      </c>
      <c r="N1199" s="66" t="str">
        <f t="shared" si="130"/>
        <v/>
      </c>
      <c r="O1199" s="66" t="str">
        <f t="shared" si="131"/>
        <v/>
      </c>
      <c r="P1199" s="66" t="str">
        <f t="shared" si="132"/>
        <v/>
      </c>
    </row>
    <row r="1200" spans="8:16">
      <c r="H1200" s="66" t="e">
        <f>IF(LEFT(A1200,6)="CEPNTR","GPINS",VLOOKUP(LEFT(A1200,6),'Code Library'!$A$3:$B$920,2,0))&amp;"_"&amp;RIGHT(A1200,3)</f>
        <v>#N/A</v>
      </c>
      <c r="I1200" s="66">
        <f t="shared" si="126"/>
        <v>0</v>
      </c>
      <c r="K1200" s="66" t="str">
        <f t="shared" si="127"/>
        <v/>
      </c>
      <c r="L1200" s="66" t="str">
        <f t="shared" si="128"/>
        <v/>
      </c>
      <c r="M1200" s="66" t="str">
        <f t="shared" si="129"/>
        <v/>
      </c>
      <c r="N1200" s="66" t="str">
        <f t="shared" si="130"/>
        <v/>
      </c>
      <c r="O1200" s="66" t="str">
        <f t="shared" si="131"/>
        <v/>
      </c>
      <c r="P1200" s="66" t="str">
        <f t="shared" si="132"/>
        <v/>
      </c>
    </row>
    <row r="1201" spans="8:16">
      <c r="H1201" s="66" t="e">
        <f>IF(LEFT(A1201,6)="CEPNTR","GPINS",VLOOKUP(LEFT(A1201,6),'Code Library'!$A$3:$B$920,2,0))&amp;"_"&amp;RIGHT(A1201,3)</f>
        <v>#N/A</v>
      </c>
      <c r="I1201" s="66">
        <f t="shared" si="126"/>
        <v>0</v>
      </c>
      <c r="K1201" s="66" t="str">
        <f t="shared" si="127"/>
        <v/>
      </c>
      <c r="L1201" s="66" t="str">
        <f t="shared" si="128"/>
        <v/>
      </c>
      <c r="M1201" s="66" t="str">
        <f t="shared" si="129"/>
        <v/>
      </c>
      <c r="N1201" s="66" t="str">
        <f t="shared" si="130"/>
        <v/>
      </c>
      <c r="O1201" s="66" t="str">
        <f t="shared" si="131"/>
        <v/>
      </c>
      <c r="P1201" s="66" t="str">
        <f t="shared" si="132"/>
        <v/>
      </c>
    </row>
    <row r="1202" spans="8:16">
      <c r="H1202" s="66" t="e">
        <f>IF(LEFT(A1202,6)="CEPNTR","GPINS",VLOOKUP(LEFT(A1202,6),'Code Library'!$A$3:$B$920,2,0))&amp;"_"&amp;RIGHT(A1202,3)</f>
        <v>#N/A</v>
      </c>
      <c r="I1202" s="66">
        <f t="shared" si="126"/>
        <v>0</v>
      </c>
      <c r="K1202" s="66" t="str">
        <f t="shared" si="127"/>
        <v/>
      </c>
      <c r="L1202" s="66" t="str">
        <f t="shared" si="128"/>
        <v/>
      </c>
      <c r="M1202" s="66" t="str">
        <f t="shared" si="129"/>
        <v/>
      </c>
      <c r="N1202" s="66" t="str">
        <f t="shared" si="130"/>
        <v/>
      </c>
      <c r="O1202" s="66" t="str">
        <f t="shared" si="131"/>
        <v/>
      </c>
      <c r="P1202" s="66" t="str">
        <f t="shared" si="132"/>
        <v/>
      </c>
    </row>
    <row r="1203" spans="8:16">
      <c r="H1203" s="66" t="e">
        <f>IF(LEFT(A1203,6)="CEPNTR","GPINS",VLOOKUP(LEFT(A1203,6),'Code Library'!$A$3:$B$920,2,0))&amp;"_"&amp;RIGHT(A1203,3)</f>
        <v>#N/A</v>
      </c>
      <c r="I1203" s="66">
        <f t="shared" si="126"/>
        <v>0</v>
      </c>
      <c r="K1203" s="66" t="str">
        <f t="shared" si="127"/>
        <v/>
      </c>
      <c r="L1203" s="66" t="str">
        <f t="shared" si="128"/>
        <v/>
      </c>
      <c r="M1203" s="66" t="str">
        <f t="shared" si="129"/>
        <v/>
      </c>
      <c r="N1203" s="66" t="str">
        <f t="shared" si="130"/>
        <v/>
      </c>
      <c r="O1203" s="66" t="str">
        <f t="shared" si="131"/>
        <v/>
      </c>
      <c r="P1203" s="66" t="str">
        <f t="shared" si="132"/>
        <v/>
      </c>
    </row>
    <row r="1204" spans="8:16">
      <c r="H1204" s="66" t="e">
        <f>IF(LEFT(A1204,6)="CEPNTR","GPINS",VLOOKUP(LEFT(A1204,6),'Code Library'!$A$3:$B$920,2,0))&amp;"_"&amp;RIGHT(A1204,3)</f>
        <v>#N/A</v>
      </c>
      <c r="I1204" s="66">
        <f t="shared" si="126"/>
        <v>0</v>
      </c>
      <c r="K1204" s="66" t="str">
        <f t="shared" si="127"/>
        <v/>
      </c>
      <c r="L1204" s="66" t="str">
        <f t="shared" si="128"/>
        <v/>
      </c>
      <c r="M1204" s="66" t="str">
        <f t="shared" si="129"/>
        <v/>
      </c>
      <c r="N1204" s="66" t="str">
        <f t="shared" si="130"/>
        <v/>
      </c>
      <c r="O1204" s="66" t="str">
        <f t="shared" si="131"/>
        <v/>
      </c>
      <c r="P1204" s="66" t="str">
        <f t="shared" si="132"/>
        <v/>
      </c>
    </row>
    <row r="1205" spans="8:16">
      <c r="H1205" s="66" t="e">
        <f>IF(LEFT(A1205,6)="CEPNTR","GPINS",VLOOKUP(LEFT(A1205,6),'Code Library'!$A$3:$B$920,2,0))&amp;"_"&amp;RIGHT(A1205,3)</f>
        <v>#N/A</v>
      </c>
      <c r="I1205" s="66">
        <f t="shared" si="126"/>
        <v>0</v>
      </c>
      <c r="K1205" s="66" t="str">
        <f t="shared" si="127"/>
        <v/>
      </c>
      <c r="L1205" s="66" t="str">
        <f t="shared" si="128"/>
        <v/>
      </c>
      <c r="M1205" s="66" t="str">
        <f t="shared" si="129"/>
        <v/>
      </c>
      <c r="N1205" s="66" t="str">
        <f t="shared" si="130"/>
        <v/>
      </c>
      <c r="O1205" s="66" t="str">
        <f t="shared" si="131"/>
        <v/>
      </c>
      <c r="P1205" s="66" t="str">
        <f t="shared" si="132"/>
        <v/>
      </c>
    </row>
    <row r="1206" spans="8:16">
      <c r="H1206" s="66" t="e">
        <f>IF(LEFT(A1206,6)="CEPNTR","GPINS",VLOOKUP(LEFT(A1206,6),'Code Library'!$A$3:$B$920,2,0))&amp;"_"&amp;RIGHT(A1206,3)</f>
        <v>#N/A</v>
      </c>
      <c r="I1206" s="66">
        <f t="shared" si="126"/>
        <v>0</v>
      </c>
      <c r="K1206" s="66" t="str">
        <f t="shared" si="127"/>
        <v/>
      </c>
      <c r="L1206" s="66" t="str">
        <f t="shared" si="128"/>
        <v/>
      </c>
      <c r="M1206" s="66" t="str">
        <f t="shared" si="129"/>
        <v/>
      </c>
      <c r="N1206" s="66" t="str">
        <f t="shared" si="130"/>
        <v/>
      </c>
      <c r="O1206" s="66" t="str">
        <f t="shared" si="131"/>
        <v/>
      </c>
      <c r="P1206" s="66" t="str">
        <f t="shared" si="132"/>
        <v/>
      </c>
    </row>
    <row r="1207" spans="8:16">
      <c r="H1207" s="66" t="e">
        <f>IF(LEFT(A1207,6)="CEPNTR","GPINS",VLOOKUP(LEFT(A1207,6),'Code Library'!$A$3:$B$920,2,0))&amp;"_"&amp;RIGHT(A1207,3)</f>
        <v>#N/A</v>
      </c>
      <c r="I1207" s="66">
        <f t="shared" si="126"/>
        <v>0</v>
      </c>
      <c r="K1207" s="66" t="str">
        <f t="shared" si="127"/>
        <v/>
      </c>
      <c r="L1207" s="66" t="str">
        <f t="shared" si="128"/>
        <v/>
      </c>
      <c r="M1207" s="66" t="str">
        <f t="shared" si="129"/>
        <v/>
      </c>
      <c r="N1207" s="66" t="str">
        <f t="shared" si="130"/>
        <v/>
      </c>
      <c r="O1207" s="66" t="str">
        <f t="shared" si="131"/>
        <v/>
      </c>
      <c r="P1207" s="66" t="str">
        <f t="shared" si="132"/>
        <v/>
      </c>
    </row>
    <row r="1208" spans="8:16">
      <c r="H1208" s="66" t="e">
        <f>IF(LEFT(A1208,6)="CEPNTR","GPINS",VLOOKUP(LEFT(A1208,6),'Code Library'!$A$3:$B$920,2,0))&amp;"_"&amp;RIGHT(A1208,3)</f>
        <v>#N/A</v>
      </c>
      <c r="I1208" s="66">
        <f t="shared" si="126"/>
        <v>0</v>
      </c>
      <c r="K1208" s="66" t="str">
        <f t="shared" si="127"/>
        <v/>
      </c>
      <c r="L1208" s="66" t="str">
        <f t="shared" si="128"/>
        <v/>
      </c>
      <c r="M1208" s="66" t="str">
        <f t="shared" si="129"/>
        <v/>
      </c>
      <c r="N1208" s="66" t="str">
        <f t="shared" si="130"/>
        <v/>
      </c>
      <c r="O1208" s="66" t="str">
        <f t="shared" si="131"/>
        <v/>
      </c>
      <c r="P1208" s="66" t="str">
        <f t="shared" si="132"/>
        <v/>
      </c>
    </row>
    <row r="1209" spans="8:16">
      <c r="H1209" s="66" t="e">
        <f>IF(LEFT(A1209,6)="CEPNTR","GPINS",VLOOKUP(LEFT(A1209,6),'Code Library'!$A$3:$B$920,2,0))&amp;"_"&amp;RIGHT(A1209,3)</f>
        <v>#N/A</v>
      </c>
      <c r="I1209" s="66">
        <f t="shared" si="126"/>
        <v>0</v>
      </c>
      <c r="K1209" s="66" t="str">
        <f t="shared" si="127"/>
        <v/>
      </c>
      <c r="L1209" s="66" t="str">
        <f t="shared" si="128"/>
        <v/>
      </c>
      <c r="M1209" s="66" t="str">
        <f t="shared" si="129"/>
        <v/>
      </c>
      <c r="N1209" s="66" t="str">
        <f t="shared" si="130"/>
        <v/>
      </c>
      <c r="O1209" s="66" t="str">
        <f t="shared" si="131"/>
        <v/>
      </c>
      <c r="P1209" s="66" t="str">
        <f t="shared" si="132"/>
        <v/>
      </c>
    </row>
    <row r="1210" spans="8:16">
      <c r="H1210" s="66" t="e">
        <f>IF(LEFT(A1210,6)="CEPNTR","GPINS",VLOOKUP(LEFT(A1210,6),'Code Library'!$A$3:$B$920,2,0))&amp;"_"&amp;RIGHT(A1210,3)</f>
        <v>#N/A</v>
      </c>
      <c r="I1210" s="66">
        <f t="shared" si="126"/>
        <v>0</v>
      </c>
      <c r="K1210" s="66" t="str">
        <f t="shared" si="127"/>
        <v/>
      </c>
      <c r="L1210" s="66" t="str">
        <f t="shared" si="128"/>
        <v/>
      </c>
      <c r="M1210" s="66" t="str">
        <f t="shared" si="129"/>
        <v/>
      </c>
      <c r="N1210" s="66" t="str">
        <f t="shared" si="130"/>
        <v/>
      </c>
      <c r="O1210" s="66" t="str">
        <f t="shared" si="131"/>
        <v/>
      </c>
      <c r="P1210" s="66" t="str">
        <f t="shared" si="132"/>
        <v/>
      </c>
    </row>
    <row r="1211" spans="8:16">
      <c r="H1211" s="66" t="e">
        <f>IF(LEFT(A1211,6)="CEPNTR","GPINS",VLOOKUP(LEFT(A1211,6),'Code Library'!$A$3:$B$920,2,0))&amp;"_"&amp;RIGHT(A1211,3)</f>
        <v>#N/A</v>
      </c>
      <c r="I1211" s="66">
        <f t="shared" si="126"/>
        <v>0</v>
      </c>
      <c r="K1211" s="66" t="str">
        <f t="shared" si="127"/>
        <v/>
      </c>
      <c r="L1211" s="66" t="str">
        <f t="shared" si="128"/>
        <v/>
      </c>
      <c r="M1211" s="66" t="str">
        <f t="shared" si="129"/>
        <v/>
      </c>
      <c r="N1211" s="66" t="str">
        <f t="shared" si="130"/>
        <v/>
      </c>
      <c r="O1211" s="66" t="str">
        <f t="shared" si="131"/>
        <v/>
      </c>
      <c r="P1211" s="66" t="str">
        <f t="shared" si="132"/>
        <v/>
      </c>
    </row>
    <row r="1212" spans="8:16">
      <c r="H1212" s="66" t="e">
        <f>IF(LEFT(A1212,6)="CEPNTR","GPINS",VLOOKUP(LEFT(A1212,6),'Code Library'!$A$3:$B$920,2,0))&amp;"_"&amp;RIGHT(A1212,3)</f>
        <v>#N/A</v>
      </c>
      <c r="I1212" s="66">
        <f t="shared" si="126"/>
        <v>0</v>
      </c>
      <c r="K1212" s="66" t="str">
        <f t="shared" si="127"/>
        <v/>
      </c>
      <c r="L1212" s="66" t="str">
        <f t="shared" si="128"/>
        <v/>
      </c>
      <c r="M1212" s="66" t="str">
        <f t="shared" si="129"/>
        <v/>
      </c>
      <c r="N1212" s="66" t="str">
        <f t="shared" si="130"/>
        <v/>
      </c>
      <c r="O1212" s="66" t="str">
        <f t="shared" si="131"/>
        <v/>
      </c>
      <c r="P1212" s="66" t="str">
        <f t="shared" si="132"/>
        <v/>
      </c>
    </row>
    <row r="1213" spans="8:16">
      <c r="H1213" s="66" t="e">
        <f>IF(LEFT(A1213,6)="CEPNTR","GPINS",VLOOKUP(LEFT(A1213,6),'Code Library'!$A$3:$B$920,2,0))&amp;"_"&amp;RIGHT(A1213,3)</f>
        <v>#N/A</v>
      </c>
      <c r="I1213" s="66">
        <f t="shared" si="126"/>
        <v>0</v>
      </c>
      <c r="K1213" s="66" t="str">
        <f t="shared" si="127"/>
        <v/>
      </c>
      <c r="L1213" s="66" t="str">
        <f t="shared" si="128"/>
        <v/>
      </c>
      <c r="M1213" s="66" t="str">
        <f t="shared" si="129"/>
        <v/>
      </c>
      <c r="N1213" s="66" t="str">
        <f t="shared" si="130"/>
        <v/>
      </c>
      <c r="O1213" s="66" t="str">
        <f t="shared" si="131"/>
        <v/>
      </c>
      <c r="P1213" s="66" t="str">
        <f t="shared" si="132"/>
        <v/>
      </c>
    </row>
    <row r="1214" spans="8:16">
      <c r="H1214" s="66" t="e">
        <f>IF(LEFT(A1214,6)="CEPNTR","GPINS",VLOOKUP(LEFT(A1214,6),'Code Library'!$A$3:$B$920,2,0))&amp;"_"&amp;RIGHT(A1214,3)</f>
        <v>#N/A</v>
      </c>
      <c r="I1214" s="66">
        <f t="shared" si="126"/>
        <v>0</v>
      </c>
      <c r="K1214" s="66" t="str">
        <f t="shared" si="127"/>
        <v/>
      </c>
      <c r="L1214" s="66" t="str">
        <f t="shared" si="128"/>
        <v/>
      </c>
      <c r="M1214" s="66" t="str">
        <f t="shared" si="129"/>
        <v/>
      </c>
      <c r="N1214" s="66" t="str">
        <f t="shared" si="130"/>
        <v/>
      </c>
      <c r="O1214" s="66" t="str">
        <f t="shared" si="131"/>
        <v/>
      </c>
      <c r="P1214" s="66" t="str">
        <f t="shared" si="132"/>
        <v/>
      </c>
    </row>
    <row r="1215" spans="8:16">
      <c r="H1215" s="66" t="e">
        <f>IF(LEFT(A1215,6)="CEPNTR","GPINS",VLOOKUP(LEFT(A1215,6),'Code Library'!$A$3:$B$920,2,0))&amp;"_"&amp;RIGHT(A1215,3)</f>
        <v>#N/A</v>
      </c>
      <c r="I1215" s="66">
        <f t="shared" si="126"/>
        <v>0</v>
      </c>
      <c r="K1215" s="66" t="str">
        <f t="shared" si="127"/>
        <v/>
      </c>
      <c r="L1215" s="66" t="str">
        <f t="shared" si="128"/>
        <v/>
      </c>
      <c r="M1215" s="66" t="str">
        <f t="shared" si="129"/>
        <v/>
      </c>
      <c r="N1215" s="66" t="str">
        <f t="shared" si="130"/>
        <v/>
      </c>
      <c r="O1215" s="66" t="str">
        <f t="shared" si="131"/>
        <v/>
      </c>
      <c r="P1215" s="66" t="str">
        <f t="shared" si="132"/>
        <v/>
      </c>
    </row>
    <row r="1216" spans="8:16">
      <c r="H1216" s="66" t="e">
        <f>IF(LEFT(A1216,6)="CEPNTR","GPINS",VLOOKUP(LEFT(A1216,6),'Code Library'!$A$3:$B$920,2,0))&amp;"_"&amp;RIGHT(A1216,3)</f>
        <v>#N/A</v>
      </c>
      <c r="I1216" s="66">
        <f t="shared" si="126"/>
        <v>0</v>
      </c>
      <c r="K1216" s="66" t="str">
        <f t="shared" si="127"/>
        <v/>
      </c>
      <c r="L1216" s="66" t="str">
        <f t="shared" si="128"/>
        <v/>
      </c>
      <c r="M1216" s="66" t="str">
        <f t="shared" si="129"/>
        <v/>
      </c>
      <c r="N1216" s="66" t="str">
        <f t="shared" si="130"/>
        <v/>
      </c>
      <c r="O1216" s="66" t="str">
        <f t="shared" si="131"/>
        <v/>
      </c>
      <c r="P1216" s="66" t="str">
        <f t="shared" si="132"/>
        <v/>
      </c>
    </row>
    <row r="1217" spans="8:16">
      <c r="H1217" s="66" t="e">
        <f>IF(LEFT(A1217,6)="CEPNTR","GPINS",VLOOKUP(LEFT(A1217,6),'Code Library'!$A$3:$B$920,2,0))&amp;"_"&amp;RIGHT(A1217,3)</f>
        <v>#N/A</v>
      </c>
      <c r="I1217" s="66">
        <f t="shared" si="126"/>
        <v>0</v>
      </c>
      <c r="K1217" s="66" t="str">
        <f t="shared" si="127"/>
        <v/>
      </c>
      <c r="L1217" s="66" t="str">
        <f t="shared" si="128"/>
        <v/>
      </c>
      <c r="M1217" s="66" t="str">
        <f t="shared" si="129"/>
        <v/>
      </c>
      <c r="N1217" s="66" t="str">
        <f t="shared" si="130"/>
        <v/>
      </c>
      <c r="O1217" s="66" t="str">
        <f t="shared" si="131"/>
        <v/>
      </c>
      <c r="P1217" s="66" t="str">
        <f t="shared" si="132"/>
        <v/>
      </c>
    </row>
    <row r="1218" spans="8:16">
      <c r="H1218" s="66" t="e">
        <f>IF(LEFT(A1218,6)="CEPNTR","GPINS",VLOOKUP(LEFT(A1218,6),'Code Library'!$A$3:$B$920,2,0))&amp;"_"&amp;RIGHT(A1218,3)</f>
        <v>#N/A</v>
      </c>
      <c r="I1218" s="66">
        <f t="shared" si="126"/>
        <v>0</v>
      </c>
      <c r="K1218" s="66" t="str">
        <f t="shared" si="127"/>
        <v/>
      </c>
      <c r="L1218" s="66" t="str">
        <f t="shared" si="128"/>
        <v/>
      </c>
      <c r="M1218" s="66" t="str">
        <f t="shared" si="129"/>
        <v/>
      </c>
      <c r="N1218" s="66" t="str">
        <f t="shared" si="130"/>
        <v/>
      </c>
      <c r="O1218" s="66" t="str">
        <f t="shared" si="131"/>
        <v/>
      </c>
      <c r="P1218" s="66" t="str">
        <f t="shared" si="132"/>
        <v/>
      </c>
    </row>
    <row r="1219" spans="8:16">
      <c r="H1219" s="66" t="e">
        <f>IF(LEFT(A1219,6)="CEPNTR","GPINS",VLOOKUP(LEFT(A1219,6),'Code Library'!$A$3:$B$920,2,0))&amp;"_"&amp;RIGHT(A1219,3)</f>
        <v>#N/A</v>
      </c>
      <c r="I1219" s="66">
        <f t="shared" ref="I1219:I1282" si="133">A1219</f>
        <v>0</v>
      </c>
      <c r="K1219" s="66" t="str">
        <f t="shared" ref="K1219:K1282" si="134">RIGHT($B1219,2)</f>
        <v/>
      </c>
      <c r="L1219" s="66" t="str">
        <f t="shared" ref="L1219:L1282" si="135">LEFT(RIGHT($B1219,7),4)</f>
        <v/>
      </c>
      <c r="M1219" s="66" t="str">
        <f t="shared" ref="M1219:M1282" si="136">LEFT(RIGHT($B1219,10),2)</f>
        <v/>
      </c>
      <c r="N1219" s="66" t="str">
        <f t="shared" ref="N1219:N1282" si="137">LEFT(RIGHT($B1219,14),3)</f>
        <v/>
      </c>
      <c r="O1219" s="66" t="str">
        <f t="shared" ref="O1219:O1282" si="138">LEFT(RIGHT($B1219,16),1)</f>
        <v/>
      </c>
      <c r="P1219" s="66" t="str">
        <f t="shared" ref="P1219:P1282" si="139">LEFT(RIGHT($B1219,19),2)</f>
        <v/>
      </c>
    </row>
    <row r="1220" spans="8:16">
      <c r="H1220" s="66" t="e">
        <f>IF(LEFT(A1220,6)="CEPNTR","GPINS",VLOOKUP(LEFT(A1220,6),'Code Library'!$A$3:$B$920,2,0))&amp;"_"&amp;RIGHT(A1220,3)</f>
        <v>#N/A</v>
      </c>
      <c r="I1220" s="66">
        <f t="shared" si="133"/>
        <v>0</v>
      </c>
      <c r="K1220" s="66" t="str">
        <f t="shared" si="134"/>
        <v/>
      </c>
      <c r="L1220" s="66" t="str">
        <f t="shared" si="135"/>
        <v/>
      </c>
      <c r="M1220" s="66" t="str">
        <f t="shared" si="136"/>
        <v/>
      </c>
      <c r="N1220" s="66" t="str">
        <f t="shared" si="137"/>
        <v/>
      </c>
      <c r="O1220" s="66" t="str">
        <f t="shared" si="138"/>
        <v/>
      </c>
      <c r="P1220" s="66" t="str">
        <f t="shared" si="139"/>
        <v/>
      </c>
    </row>
    <row r="1221" spans="8:16">
      <c r="H1221" s="66" t="e">
        <f>IF(LEFT(A1221,6)="CEPNTR","GPINS",VLOOKUP(LEFT(A1221,6),'Code Library'!$A$3:$B$920,2,0))&amp;"_"&amp;RIGHT(A1221,3)</f>
        <v>#N/A</v>
      </c>
      <c r="I1221" s="66">
        <f t="shared" si="133"/>
        <v>0</v>
      </c>
      <c r="K1221" s="66" t="str">
        <f t="shared" si="134"/>
        <v/>
      </c>
      <c r="L1221" s="66" t="str">
        <f t="shared" si="135"/>
        <v/>
      </c>
      <c r="M1221" s="66" t="str">
        <f t="shared" si="136"/>
        <v/>
      </c>
      <c r="N1221" s="66" t="str">
        <f t="shared" si="137"/>
        <v/>
      </c>
      <c r="O1221" s="66" t="str">
        <f t="shared" si="138"/>
        <v/>
      </c>
      <c r="P1221" s="66" t="str">
        <f t="shared" si="139"/>
        <v/>
      </c>
    </row>
    <row r="1222" spans="8:16">
      <c r="H1222" s="66" t="e">
        <f>IF(LEFT(A1222,6)="CEPNTR","GPINS",VLOOKUP(LEFT(A1222,6),'Code Library'!$A$3:$B$920,2,0))&amp;"_"&amp;RIGHT(A1222,3)</f>
        <v>#N/A</v>
      </c>
      <c r="I1222" s="66">
        <f t="shared" si="133"/>
        <v>0</v>
      </c>
      <c r="K1222" s="66" t="str">
        <f t="shared" si="134"/>
        <v/>
      </c>
      <c r="L1222" s="66" t="str">
        <f t="shared" si="135"/>
        <v/>
      </c>
      <c r="M1222" s="66" t="str">
        <f t="shared" si="136"/>
        <v/>
      </c>
      <c r="N1222" s="66" t="str">
        <f t="shared" si="137"/>
        <v/>
      </c>
      <c r="O1222" s="66" t="str">
        <f t="shared" si="138"/>
        <v/>
      </c>
      <c r="P1222" s="66" t="str">
        <f t="shared" si="139"/>
        <v/>
      </c>
    </row>
    <row r="1223" spans="8:16">
      <c r="H1223" s="66" t="e">
        <f>IF(LEFT(A1223,6)="CEPNTR","GPINS",VLOOKUP(LEFT(A1223,6),'Code Library'!$A$3:$B$920,2,0))&amp;"_"&amp;RIGHT(A1223,3)</f>
        <v>#N/A</v>
      </c>
      <c r="I1223" s="66">
        <f t="shared" si="133"/>
        <v>0</v>
      </c>
      <c r="K1223" s="66" t="str">
        <f t="shared" si="134"/>
        <v/>
      </c>
      <c r="L1223" s="66" t="str">
        <f t="shared" si="135"/>
        <v/>
      </c>
      <c r="M1223" s="66" t="str">
        <f t="shared" si="136"/>
        <v/>
      </c>
      <c r="N1223" s="66" t="str">
        <f t="shared" si="137"/>
        <v/>
      </c>
      <c r="O1223" s="66" t="str">
        <f t="shared" si="138"/>
        <v/>
      </c>
      <c r="P1223" s="66" t="str">
        <f t="shared" si="139"/>
        <v/>
      </c>
    </row>
    <row r="1224" spans="8:16">
      <c r="H1224" s="66" t="e">
        <f>IF(LEFT(A1224,6)="CEPNTR","GPINS",VLOOKUP(LEFT(A1224,6),'Code Library'!$A$3:$B$920,2,0))&amp;"_"&amp;RIGHT(A1224,3)</f>
        <v>#N/A</v>
      </c>
      <c r="I1224" s="66">
        <f t="shared" si="133"/>
        <v>0</v>
      </c>
      <c r="K1224" s="66" t="str">
        <f t="shared" si="134"/>
        <v/>
      </c>
      <c r="L1224" s="66" t="str">
        <f t="shared" si="135"/>
        <v/>
      </c>
      <c r="M1224" s="66" t="str">
        <f t="shared" si="136"/>
        <v/>
      </c>
      <c r="N1224" s="66" t="str">
        <f t="shared" si="137"/>
        <v/>
      </c>
      <c r="O1224" s="66" t="str">
        <f t="shared" si="138"/>
        <v/>
      </c>
      <c r="P1224" s="66" t="str">
        <f t="shared" si="139"/>
        <v/>
      </c>
    </row>
    <row r="1225" spans="8:16">
      <c r="H1225" s="66" t="e">
        <f>IF(LEFT(A1225,6)="CEPNTR","GPINS",VLOOKUP(LEFT(A1225,6),'Code Library'!$A$3:$B$920,2,0))&amp;"_"&amp;RIGHT(A1225,3)</f>
        <v>#N/A</v>
      </c>
      <c r="I1225" s="66">
        <f t="shared" si="133"/>
        <v>0</v>
      </c>
      <c r="K1225" s="66" t="str">
        <f t="shared" si="134"/>
        <v/>
      </c>
      <c r="L1225" s="66" t="str">
        <f t="shared" si="135"/>
        <v/>
      </c>
      <c r="M1225" s="66" t="str">
        <f t="shared" si="136"/>
        <v/>
      </c>
      <c r="N1225" s="66" t="str">
        <f t="shared" si="137"/>
        <v/>
      </c>
      <c r="O1225" s="66" t="str">
        <f t="shared" si="138"/>
        <v/>
      </c>
      <c r="P1225" s="66" t="str">
        <f t="shared" si="139"/>
        <v/>
      </c>
    </row>
    <row r="1226" spans="8:16">
      <c r="H1226" s="66" t="e">
        <f>IF(LEFT(A1226,6)="CEPNTR","GPINS",VLOOKUP(LEFT(A1226,6),'Code Library'!$A$3:$B$920,2,0))&amp;"_"&amp;RIGHT(A1226,3)</f>
        <v>#N/A</v>
      </c>
      <c r="I1226" s="66">
        <f t="shared" si="133"/>
        <v>0</v>
      </c>
      <c r="K1226" s="66" t="str">
        <f t="shared" si="134"/>
        <v/>
      </c>
      <c r="L1226" s="66" t="str">
        <f t="shared" si="135"/>
        <v/>
      </c>
      <c r="M1226" s="66" t="str">
        <f t="shared" si="136"/>
        <v/>
      </c>
      <c r="N1226" s="66" t="str">
        <f t="shared" si="137"/>
        <v/>
      </c>
      <c r="O1226" s="66" t="str">
        <f t="shared" si="138"/>
        <v/>
      </c>
      <c r="P1226" s="66" t="str">
        <f t="shared" si="139"/>
        <v/>
      </c>
    </row>
    <row r="1227" spans="8:16">
      <c r="H1227" s="66" t="e">
        <f>IF(LEFT(A1227,6)="CEPNTR","GPINS",VLOOKUP(LEFT(A1227,6),'Code Library'!$A$3:$B$920,2,0))&amp;"_"&amp;RIGHT(A1227,3)</f>
        <v>#N/A</v>
      </c>
      <c r="I1227" s="66">
        <f t="shared" si="133"/>
        <v>0</v>
      </c>
      <c r="K1227" s="66" t="str">
        <f t="shared" si="134"/>
        <v/>
      </c>
      <c r="L1227" s="66" t="str">
        <f t="shared" si="135"/>
        <v/>
      </c>
      <c r="M1227" s="66" t="str">
        <f t="shared" si="136"/>
        <v/>
      </c>
      <c r="N1227" s="66" t="str">
        <f t="shared" si="137"/>
        <v/>
      </c>
      <c r="O1227" s="66" t="str">
        <f t="shared" si="138"/>
        <v/>
      </c>
      <c r="P1227" s="66" t="str">
        <f t="shared" si="139"/>
        <v/>
      </c>
    </row>
    <row r="1228" spans="8:16">
      <c r="H1228" s="66" t="e">
        <f>IF(LEFT(A1228,6)="CEPNTR","GPINS",VLOOKUP(LEFT(A1228,6),'Code Library'!$A$3:$B$920,2,0))&amp;"_"&amp;RIGHT(A1228,3)</f>
        <v>#N/A</v>
      </c>
      <c r="I1228" s="66">
        <f t="shared" si="133"/>
        <v>0</v>
      </c>
      <c r="K1228" s="66" t="str">
        <f t="shared" si="134"/>
        <v/>
      </c>
      <c r="L1228" s="66" t="str">
        <f t="shared" si="135"/>
        <v/>
      </c>
      <c r="M1228" s="66" t="str">
        <f t="shared" si="136"/>
        <v/>
      </c>
      <c r="N1228" s="66" t="str">
        <f t="shared" si="137"/>
        <v/>
      </c>
      <c r="O1228" s="66" t="str">
        <f t="shared" si="138"/>
        <v/>
      </c>
      <c r="P1228" s="66" t="str">
        <f t="shared" si="139"/>
        <v/>
      </c>
    </row>
    <row r="1229" spans="8:16">
      <c r="H1229" s="66" t="e">
        <f>IF(LEFT(A1229,6)="CEPNTR","GPINS",VLOOKUP(LEFT(A1229,6),'Code Library'!$A$3:$B$920,2,0))&amp;"_"&amp;RIGHT(A1229,3)</f>
        <v>#N/A</v>
      </c>
      <c r="I1229" s="66">
        <f t="shared" si="133"/>
        <v>0</v>
      </c>
      <c r="K1229" s="66" t="str">
        <f t="shared" si="134"/>
        <v/>
      </c>
      <c r="L1229" s="66" t="str">
        <f t="shared" si="135"/>
        <v/>
      </c>
      <c r="M1229" s="66" t="str">
        <f t="shared" si="136"/>
        <v/>
      </c>
      <c r="N1229" s="66" t="str">
        <f t="shared" si="137"/>
        <v/>
      </c>
      <c r="O1229" s="66" t="str">
        <f t="shared" si="138"/>
        <v/>
      </c>
      <c r="P1229" s="66" t="str">
        <f t="shared" si="139"/>
        <v/>
      </c>
    </row>
    <row r="1230" spans="8:16">
      <c r="H1230" s="66" t="e">
        <f>IF(LEFT(A1230,6)="CEPNTR","GPINS",VLOOKUP(LEFT(A1230,6),'Code Library'!$A$3:$B$920,2,0))&amp;"_"&amp;RIGHT(A1230,3)</f>
        <v>#N/A</v>
      </c>
      <c r="I1230" s="66">
        <f t="shared" si="133"/>
        <v>0</v>
      </c>
      <c r="K1230" s="66" t="str">
        <f t="shared" si="134"/>
        <v/>
      </c>
      <c r="L1230" s="66" t="str">
        <f t="shared" si="135"/>
        <v/>
      </c>
      <c r="M1230" s="66" t="str">
        <f t="shared" si="136"/>
        <v/>
      </c>
      <c r="N1230" s="66" t="str">
        <f t="shared" si="137"/>
        <v/>
      </c>
      <c r="O1230" s="66" t="str">
        <f t="shared" si="138"/>
        <v/>
      </c>
      <c r="P1230" s="66" t="str">
        <f t="shared" si="139"/>
        <v/>
      </c>
    </row>
    <row r="1231" spans="8:16">
      <c r="H1231" s="66" t="e">
        <f>IF(LEFT(A1231,6)="CEPNTR","GPINS",VLOOKUP(LEFT(A1231,6),'Code Library'!$A$3:$B$920,2,0))&amp;"_"&amp;RIGHT(A1231,3)</f>
        <v>#N/A</v>
      </c>
      <c r="I1231" s="66">
        <f t="shared" si="133"/>
        <v>0</v>
      </c>
      <c r="K1231" s="66" t="str">
        <f t="shared" si="134"/>
        <v/>
      </c>
      <c r="L1231" s="66" t="str">
        <f t="shared" si="135"/>
        <v/>
      </c>
      <c r="M1231" s="66" t="str">
        <f t="shared" si="136"/>
        <v/>
      </c>
      <c r="N1231" s="66" t="str">
        <f t="shared" si="137"/>
        <v/>
      </c>
      <c r="O1231" s="66" t="str">
        <f t="shared" si="138"/>
        <v/>
      </c>
      <c r="P1231" s="66" t="str">
        <f t="shared" si="139"/>
        <v/>
      </c>
    </row>
    <row r="1232" spans="8:16">
      <c r="H1232" s="66" t="e">
        <f>IF(LEFT(A1232,6)="CEPNTR","GPINS",VLOOKUP(LEFT(A1232,6),'Code Library'!$A$3:$B$920,2,0))&amp;"_"&amp;RIGHT(A1232,3)</f>
        <v>#N/A</v>
      </c>
      <c r="I1232" s="66">
        <f t="shared" si="133"/>
        <v>0</v>
      </c>
      <c r="K1232" s="66" t="str">
        <f t="shared" si="134"/>
        <v/>
      </c>
      <c r="L1232" s="66" t="str">
        <f t="shared" si="135"/>
        <v/>
      </c>
      <c r="M1232" s="66" t="str">
        <f t="shared" si="136"/>
        <v/>
      </c>
      <c r="N1232" s="66" t="str">
        <f t="shared" si="137"/>
        <v/>
      </c>
      <c r="O1232" s="66" t="str">
        <f t="shared" si="138"/>
        <v/>
      </c>
      <c r="P1232" s="66" t="str">
        <f t="shared" si="139"/>
        <v/>
      </c>
    </row>
    <row r="1233" spans="8:16">
      <c r="H1233" s="66" t="e">
        <f>IF(LEFT(A1233,6)="CEPNTR","GPINS",VLOOKUP(LEFT(A1233,6),'Code Library'!$A$3:$B$920,2,0))&amp;"_"&amp;RIGHT(A1233,3)</f>
        <v>#N/A</v>
      </c>
      <c r="I1233" s="66">
        <f t="shared" si="133"/>
        <v>0</v>
      </c>
      <c r="K1233" s="66" t="str">
        <f t="shared" si="134"/>
        <v/>
      </c>
      <c r="L1233" s="66" t="str">
        <f t="shared" si="135"/>
        <v/>
      </c>
      <c r="M1233" s="66" t="str">
        <f t="shared" si="136"/>
        <v/>
      </c>
      <c r="N1233" s="66" t="str">
        <f t="shared" si="137"/>
        <v/>
      </c>
      <c r="O1233" s="66" t="str">
        <f t="shared" si="138"/>
        <v/>
      </c>
      <c r="P1233" s="66" t="str">
        <f t="shared" si="139"/>
        <v/>
      </c>
    </row>
    <row r="1234" spans="8:16">
      <c r="H1234" s="66" t="e">
        <f>IF(LEFT(A1234,6)="CEPNTR","GPINS",VLOOKUP(LEFT(A1234,6),'Code Library'!$A$3:$B$920,2,0))&amp;"_"&amp;RIGHT(A1234,3)</f>
        <v>#N/A</v>
      </c>
      <c r="I1234" s="66">
        <f t="shared" si="133"/>
        <v>0</v>
      </c>
      <c r="K1234" s="66" t="str">
        <f t="shared" si="134"/>
        <v/>
      </c>
      <c r="L1234" s="66" t="str">
        <f t="shared" si="135"/>
        <v/>
      </c>
      <c r="M1234" s="66" t="str">
        <f t="shared" si="136"/>
        <v/>
      </c>
      <c r="N1234" s="66" t="str">
        <f t="shared" si="137"/>
        <v/>
      </c>
      <c r="O1234" s="66" t="str">
        <f t="shared" si="138"/>
        <v/>
      </c>
      <c r="P1234" s="66" t="str">
        <f t="shared" si="139"/>
        <v/>
      </c>
    </row>
    <row r="1235" spans="8:16">
      <c r="H1235" s="66" t="e">
        <f>IF(LEFT(A1235,6)="CEPNTR","GPINS",VLOOKUP(LEFT(A1235,6),'Code Library'!$A$3:$B$920,2,0))&amp;"_"&amp;RIGHT(A1235,3)</f>
        <v>#N/A</v>
      </c>
      <c r="I1235" s="66">
        <f t="shared" si="133"/>
        <v>0</v>
      </c>
      <c r="K1235" s="66" t="str">
        <f t="shared" si="134"/>
        <v/>
      </c>
      <c r="L1235" s="66" t="str">
        <f t="shared" si="135"/>
        <v/>
      </c>
      <c r="M1235" s="66" t="str">
        <f t="shared" si="136"/>
        <v/>
      </c>
      <c r="N1235" s="66" t="str">
        <f t="shared" si="137"/>
        <v/>
      </c>
      <c r="O1235" s="66" t="str">
        <f t="shared" si="138"/>
        <v/>
      </c>
      <c r="P1235" s="66" t="str">
        <f t="shared" si="139"/>
        <v/>
      </c>
    </row>
    <row r="1236" spans="8:16">
      <c r="H1236" s="66" t="e">
        <f>IF(LEFT(A1236,6)="CEPNTR","GPINS",VLOOKUP(LEFT(A1236,6),'Code Library'!$A$3:$B$920,2,0))&amp;"_"&amp;RIGHT(A1236,3)</f>
        <v>#N/A</v>
      </c>
      <c r="I1236" s="66">
        <f t="shared" si="133"/>
        <v>0</v>
      </c>
      <c r="K1236" s="66" t="str">
        <f t="shared" si="134"/>
        <v/>
      </c>
      <c r="L1236" s="66" t="str">
        <f t="shared" si="135"/>
        <v/>
      </c>
      <c r="M1236" s="66" t="str">
        <f t="shared" si="136"/>
        <v/>
      </c>
      <c r="N1236" s="66" t="str">
        <f t="shared" si="137"/>
        <v/>
      </c>
      <c r="O1236" s="66" t="str">
        <f t="shared" si="138"/>
        <v/>
      </c>
      <c r="P1236" s="66" t="str">
        <f t="shared" si="139"/>
        <v/>
      </c>
    </row>
    <row r="1237" spans="8:16">
      <c r="H1237" s="66" t="e">
        <f>IF(LEFT(A1237,6)="CEPNTR","GPINS",VLOOKUP(LEFT(A1237,6),'Code Library'!$A$3:$B$920,2,0))&amp;"_"&amp;RIGHT(A1237,3)</f>
        <v>#N/A</v>
      </c>
      <c r="I1237" s="66">
        <f t="shared" si="133"/>
        <v>0</v>
      </c>
      <c r="K1237" s="66" t="str">
        <f t="shared" si="134"/>
        <v/>
      </c>
      <c r="L1237" s="66" t="str">
        <f t="shared" si="135"/>
        <v/>
      </c>
      <c r="M1237" s="66" t="str">
        <f t="shared" si="136"/>
        <v/>
      </c>
      <c r="N1237" s="66" t="str">
        <f t="shared" si="137"/>
        <v/>
      </c>
      <c r="O1237" s="66" t="str">
        <f t="shared" si="138"/>
        <v/>
      </c>
      <c r="P1237" s="66" t="str">
        <f t="shared" si="139"/>
        <v/>
      </c>
    </row>
    <row r="1238" spans="8:16">
      <c r="H1238" s="66" t="e">
        <f>IF(LEFT(A1238,6)="CEPNTR","GPINS",VLOOKUP(LEFT(A1238,6),'Code Library'!$A$3:$B$920,2,0))&amp;"_"&amp;RIGHT(A1238,3)</f>
        <v>#N/A</v>
      </c>
      <c r="I1238" s="66">
        <f t="shared" si="133"/>
        <v>0</v>
      </c>
      <c r="K1238" s="66" t="str">
        <f t="shared" si="134"/>
        <v/>
      </c>
      <c r="L1238" s="66" t="str">
        <f t="shared" si="135"/>
        <v/>
      </c>
      <c r="M1238" s="66" t="str">
        <f t="shared" si="136"/>
        <v/>
      </c>
      <c r="N1238" s="66" t="str">
        <f t="shared" si="137"/>
        <v/>
      </c>
      <c r="O1238" s="66" t="str">
        <f t="shared" si="138"/>
        <v/>
      </c>
      <c r="P1238" s="66" t="str">
        <f t="shared" si="139"/>
        <v/>
      </c>
    </row>
    <row r="1239" spans="8:16">
      <c r="H1239" s="66" t="e">
        <f>IF(LEFT(A1239,6)="CEPNTR","GPINS",VLOOKUP(LEFT(A1239,6),'Code Library'!$A$3:$B$920,2,0))&amp;"_"&amp;RIGHT(A1239,3)</f>
        <v>#N/A</v>
      </c>
      <c r="I1239" s="66">
        <f t="shared" si="133"/>
        <v>0</v>
      </c>
      <c r="K1239" s="66" t="str">
        <f t="shared" si="134"/>
        <v/>
      </c>
      <c r="L1239" s="66" t="str">
        <f t="shared" si="135"/>
        <v/>
      </c>
      <c r="M1239" s="66" t="str">
        <f t="shared" si="136"/>
        <v/>
      </c>
      <c r="N1239" s="66" t="str">
        <f t="shared" si="137"/>
        <v/>
      </c>
      <c r="O1239" s="66" t="str">
        <f t="shared" si="138"/>
        <v/>
      </c>
      <c r="P1239" s="66" t="str">
        <f t="shared" si="139"/>
        <v/>
      </c>
    </row>
    <row r="1240" spans="8:16">
      <c r="H1240" s="66" t="e">
        <f>IF(LEFT(A1240,6)="CEPNTR","GPINS",VLOOKUP(LEFT(A1240,6),'Code Library'!$A$3:$B$920,2,0))&amp;"_"&amp;RIGHT(A1240,3)</f>
        <v>#N/A</v>
      </c>
      <c r="I1240" s="66">
        <f t="shared" si="133"/>
        <v>0</v>
      </c>
      <c r="K1240" s="66" t="str">
        <f t="shared" si="134"/>
        <v/>
      </c>
      <c r="L1240" s="66" t="str">
        <f t="shared" si="135"/>
        <v/>
      </c>
      <c r="M1240" s="66" t="str">
        <f t="shared" si="136"/>
        <v/>
      </c>
      <c r="N1240" s="66" t="str">
        <f t="shared" si="137"/>
        <v/>
      </c>
      <c r="O1240" s="66" t="str">
        <f t="shared" si="138"/>
        <v/>
      </c>
      <c r="P1240" s="66" t="str">
        <f t="shared" si="139"/>
        <v/>
      </c>
    </row>
    <row r="1241" spans="8:16">
      <c r="H1241" s="66" t="e">
        <f>IF(LEFT(A1241,6)="CEPNTR","GPINS",VLOOKUP(LEFT(A1241,6),'Code Library'!$A$3:$B$920,2,0))&amp;"_"&amp;RIGHT(A1241,3)</f>
        <v>#N/A</v>
      </c>
      <c r="I1241" s="66">
        <f t="shared" si="133"/>
        <v>0</v>
      </c>
      <c r="K1241" s="66" t="str">
        <f t="shared" si="134"/>
        <v/>
      </c>
      <c r="L1241" s="66" t="str">
        <f t="shared" si="135"/>
        <v/>
      </c>
      <c r="M1241" s="66" t="str">
        <f t="shared" si="136"/>
        <v/>
      </c>
      <c r="N1241" s="66" t="str">
        <f t="shared" si="137"/>
        <v/>
      </c>
      <c r="O1241" s="66" t="str">
        <f t="shared" si="138"/>
        <v/>
      </c>
      <c r="P1241" s="66" t="str">
        <f t="shared" si="139"/>
        <v/>
      </c>
    </row>
    <row r="1242" spans="8:16">
      <c r="H1242" s="66" t="e">
        <f>IF(LEFT(A1242,6)="CEPNTR","GPINS",VLOOKUP(LEFT(A1242,6),'Code Library'!$A$3:$B$920,2,0))&amp;"_"&amp;RIGHT(A1242,3)</f>
        <v>#N/A</v>
      </c>
      <c r="I1242" s="66">
        <f t="shared" si="133"/>
        <v>0</v>
      </c>
      <c r="K1242" s="66" t="str">
        <f t="shared" si="134"/>
        <v/>
      </c>
      <c r="L1242" s="66" t="str">
        <f t="shared" si="135"/>
        <v/>
      </c>
      <c r="M1242" s="66" t="str">
        <f t="shared" si="136"/>
        <v/>
      </c>
      <c r="N1242" s="66" t="str">
        <f t="shared" si="137"/>
        <v/>
      </c>
      <c r="O1242" s="66" t="str">
        <f t="shared" si="138"/>
        <v/>
      </c>
      <c r="P1242" s="66" t="str">
        <f t="shared" si="139"/>
        <v/>
      </c>
    </row>
    <row r="1243" spans="8:16">
      <c r="H1243" s="66" t="e">
        <f>IF(LEFT(A1243,6)="CEPNTR","GPINS",VLOOKUP(LEFT(A1243,6),'Code Library'!$A$3:$B$920,2,0))&amp;"_"&amp;RIGHT(A1243,3)</f>
        <v>#N/A</v>
      </c>
      <c r="I1243" s="66">
        <f t="shared" si="133"/>
        <v>0</v>
      </c>
      <c r="K1243" s="66" t="str">
        <f t="shared" si="134"/>
        <v/>
      </c>
      <c r="L1243" s="66" t="str">
        <f t="shared" si="135"/>
        <v/>
      </c>
      <c r="M1243" s="66" t="str">
        <f t="shared" si="136"/>
        <v/>
      </c>
      <c r="N1243" s="66" t="str">
        <f t="shared" si="137"/>
        <v/>
      </c>
      <c r="O1243" s="66" t="str">
        <f t="shared" si="138"/>
        <v/>
      </c>
      <c r="P1243" s="66" t="str">
        <f t="shared" si="139"/>
        <v/>
      </c>
    </row>
    <row r="1244" spans="8:16">
      <c r="H1244" s="66" t="e">
        <f>IF(LEFT(A1244,6)="CEPNTR","GPINS",VLOOKUP(LEFT(A1244,6),'Code Library'!$A$3:$B$920,2,0))&amp;"_"&amp;RIGHT(A1244,3)</f>
        <v>#N/A</v>
      </c>
      <c r="I1244" s="66">
        <f t="shared" si="133"/>
        <v>0</v>
      </c>
      <c r="K1244" s="66" t="str">
        <f t="shared" si="134"/>
        <v/>
      </c>
      <c r="L1244" s="66" t="str">
        <f t="shared" si="135"/>
        <v/>
      </c>
      <c r="M1244" s="66" t="str">
        <f t="shared" si="136"/>
        <v/>
      </c>
      <c r="N1244" s="66" t="str">
        <f t="shared" si="137"/>
        <v/>
      </c>
      <c r="O1244" s="66" t="str">
        <f t="shared" si="138"/>
        <v/>
      </c>
      <c r="P1244" s="66" t="str">
        <f t="shared" si="139"/>
        <v/>
      </c>
    </row>
    <row r="1245" spans="8:16">
      <c r="H1245" s="66" t="e">
        <f>IF(LEFT(A1245,6)="CEPNTR","GPINS",VLOOKUP(LEFT(A1245,6),'Code Library'!$A$3:$B$920,2,0))&amp;"_"&amp;RIGHT(A1245,3)</f>
        <v>#N/A</v>
      </c>
      <c r="I1245" s="66">
        <f t="shared" si="133"/>
        <v>0</v>
      </c>
      <c r="K1245" s="66" t="str">
        <f t="shared" si="134"/>
        <v/>
      </c>
      <c r="L1245" s="66" t="str">
        <f t="shared" si="135"/>
        <v/>
      </c>
      <c r="M1245" s="66" t="str">
        <f t="shared" si="136"/>
        <v/>
      </c>
      <c r="N1245" s="66" t="str">
        <f t="shared" si="137"/>
        <v/>
      </c>
      <c r="O1245" s="66" t="str">
        <f t="shared" si="138"/>
        <v/>
      </c>
      <c r="P1245" s="66" t="str">
        <f t="shared" si="139"/>
        <v/>
      </c>
    </row>
    <row r="1246" spans="8:16">
      <c r="H1246" s="66" t="e">
        <f>IF(LEFT(A1246,6)="CEPNTR","GPINS",VLOOKUP(LEFT(A1246,6),'Code Library'!$A$3:$B$920,2,0))&amp;"_"&amp;RIGHT(A1246,3)</f>
        <v>#N/A</v>
      </c>
      <c r="I1246" s="66">
        <f t="shared" si="133"/>
        <v>0</v>
      </c>
      <c r="K1246" s="66" t="str">
        <f t="shared" si="134"/>
        <v/>
      </c>
      <c r="L1246" s="66" t="str">
        <f t="shared" si="135"/>
        <v/>
      </c>
      <c r="M1246" s="66" t="str">
        <f t="shared" si="136"/>
        <v/>
      </c>
      <c r="N1246" s="66" t="str">
        <f t="shared" si="137"/>
        <v/>
      </c>
      <c r="O1246" s="66" t="str">
        <f t="shared" si="138"/>
        <v/>
      </c>
      <c r="P1246" s="66" t="str">
        <f t="shared" si="139"/>
        <v/>
      </c>
    </row>
    <row r="1247" spans="8:16">
      <c r="H1247" s="66" t="e">
        <f>IF(LEFT(A1247,6)="CEPNTR","GPINS",VLOOKUP(LEFT(A1247,6),'Code Library'!$A$3:$B$920,2,0))&amp;"_"&amp;RIGHT(A1247,3)</f>
        <v>#N/A</v>
      </c>
      <c r="I1247" s="66">
        <f t="shared" si="133"/>
        <v>0</v>
      </c>
      <c r="K1247" s="66" t="str">
        <f t="shared" si="134"/>
        <v/>
      </c>
      <c r="L1247" s="66" t="str">
        <f t="shared" si="135"/>
        <v/>
      </c>
      <c r="M1247" s="66" t="str">
        <f t="shared" si="136"/>
        <v/>
      </c>
      <c r="N1247" s="66" t="str">
        <f t="shared" si="137"/>
        <v/>
      </c>
      <c r="O1247" s="66" t="str">
        <f t="shared" si="138"/>
        <v/>
      </c>
      <c r="P1247" s="66" t="str">
        <f t="shared" si="139"/>
        <v/>
      </c>
    </row>
    <row r="1248" spans="8:16">
      <c r="H1248" s="66" t="e">
        <f>IF(LEFT(A1248,6)="CEPNTR","GPINS",VLOOKUP(LEFT(A1248,6),'Code Library'!$A$3:$B$920,2,0))&amp;"_"&amp;RIGHT(A1248,3)</f>
        <v>#N/A</v>
      </c>
      <c r="I1248" s="66">
        <f t="shared" si="133"/>
        <v>0</v>
      </c>
      <c r="K1248" s="66" t="str">
        <f t="shared" si="134"/>
        <v/>
      </c>
      <c r="L1248" s="66" t="str">
        <f t="shared" si="135"/>
        <v/>
      </c>
      <c r="M1248" s="66" t="str">
        <f t="shared" si="136"/>
        <v/>
      </c>
      <c r="N1248" s="66" t="str">
        <f t="shared" si="137"/>
        <v/>
      </c>
      <c r="O1248" s="66" t="str">
        <f t="shared" si="138"/>
        <v/>
      </c>
      <c r="P1248" s="66" t="str">
        <f t="shared" si="139"/>
        <v/>
      </c>
    </row>
    <row r="1249" spans="8:16">
      <c r="H1249" s="66" t="e">
        <f>IF(LEFT(A1249,6)="CEPNTR","GPINS",VLOOKUP(LEFT(A1249,6),'Code Library'!$A$3:$B$920,2,0))&amp;"_"&amp;RIGHT(A1249,3)</f>
        <v>#N/A</v>
      </c>
      <c r="I1249" s="66">
        <f t="shared" si="133"/>
        <v>0</v>
      </c>
      <c r="K1249" s="66" t="str">
        <f t="shared" si="134"/>
        <v/>
      </c>
      <c r="L1249" s="66" t="str">
        <f t="shared" si="135"/>
        <v/>
      </c>
      <c r="M1249" s="66" t="str">
        <f t="shared" si="136"/>
        <v/>
      </c>
      <c r="N1249" s="66" t="str">
        <f t="shared" si="137"/>
        <v/>
      </c>
      <c r="O1249" s="66" t="str">
        <f t="shared" si="138"/>
        <v/>
      </c>
      <c r="P1249" s="66" t="str">
        <f t="shared" si="139"/>
        <v/>
      </c>
    </row>
    <row r="1250" spans="8:16">
      <c r="H1250" s="66" t="e">
        <f>IF(LEFT(A1250,6)="CEPNTR","GPINS",VLOOKUP(LEFT(A1250,6),'Code Library'!$A$3:$B$920,2,0))&amp;"_"&amp;RIGHT(A1250,3)</f>
        <v>#N/A</v>
      </c>
      <c r="I1250" s="66">
        <f t="shared" si="133"/>
        <v>0</v>
      </c>
      <c r="K1250" s="66" t="str">
        <f t="shared" si="134"/>
        <v/>
      </c>
      <c r="L1250" s="66" t="str">
        <f t="shared" si="135"/>
        <v/>
      </c>
      <c r="M1250" s="66" t="str">
        <f t="shared" si="136"/>
        <v/>
      </c>
      <c r="N1250" s="66" t="str">
        <f t="shared" si="137"/>
        <v/>
      </c>
      <c r="O1250" s="66" t="str">
        <f t="shared" si="138"/>
        <v/>
      </c>
      <c r="P1250" s="66" t="str">
        <f t="shared" si="139"/>
        <v/>
      </c>
    </row>
    <row r="1251" spans="8:16">
      <c r="H1251" s="66" t="e">
        <f>IF(LEFT(A1251,6)="CEPNTR","GPINS",VLOOKUP(LEFT(A1251,6),'Code Library'!$A$3:$B$920,2,0))&amp;"_"&amp;RIGHT(A1251,3)</f>
        <v>#N/A</v>
      </c>
      <c r="I1251" s="66">
        <f t="shared" si="133"/>
        <v>0</v>
      </c>
      <c r="K1251" s="66" t="str">
        <f t="shared" si="134"/>
        <v/>
      </c>
      <c r="L1251" s="66" t="str">
        <f t="shared" si="135"/>
        <v/>
      </c>
      <c r="M1251" s="66" t="str">
        <f t="shared" si="136"/>
        <v/>
      </c>
      <c r="N1251" s="66" t="str">
        <f t="shared" si="137"/>
        <v/>
      </c>
      <c r="O1251" s="66" t="str">
        <f t="shared" si="138"/>
        <v/>
      </c>
      <c r="P1251" s="66" t="str">
        <f t="shared" si="139"/>
        <v/>
      </c>
    </row>
    <row r="1252" spans="8:16">
      <c r="H1252" s="66" t="e">
        <f>IF(LEFT(A1252,6)="CEPNTR","GPINS",VLOOKUP(LEFT(A1252,6),'Code Library'!$A$3:$B$920,2,0))&amp;"_"&amp;RIGHT(A1252,3)</f>
        <v>#N/A</v>
      </c>
      <c r="I1252" s="66">
        <f t="shared" si="133"/>
        <v>0</v>
      </c>
      <c r="K1252" s="66" t="str">
        <f t="shared" si="134"/>
        <v/>
      </c>
      <c r="L1252" s="66" t="str">
        <f t="shared" si="135"/>
        <v/>
      </c>
      <c r="M1252" s="66" t="str">
        <f t="shared" si="136"/>
        <v/>
      </c>
      <c r="N1252" s="66" t="str">
        <f t="shared" si="137"/>
        <v/>
      </c>
      <c r="O1252" s="66" t="str">
        <f t="shared" si="138"/>
        <v/>
      </c>
      <c r="P1252" s="66" t="str">
        <f t="shared" si="139"/>
        <v/>
      </c>
    </row>
    <row r="1253" spans="8:16">
      <c r="H1253" s="66" t="e">
        <f>IF(LEFT(A1253,6)="CEPNTR","GPINS",VLOOKUP(LEFT(A1253,6),'Code Library'!$A$3:$B$920,2,0))&amp;"_"&amp;RIGHT(A1253,3)</f>
        <v>#N/A</v>
      </c>
      <c r="I1253" s="66">
        <f t="shared" si="133"/>
        <v>0</v>
      </c>
      <c r="K1253" s="66" t="str">
        <f t="shared" si="134"/>
        <v/>
      </c>
      <c r="L1253" s="66" t="str">
        <f t="shared" si="135"/>
        <v/>
      </c>
      <c r="M1253" s="66" t="str">
        <f t="shared" si="136"/>
        <v/>
      </c>
      <c r="N1253" s="66" t="str">
        <f t="shared" si="137"/>
        <v/>
      </c>
      <c r="O1253" s="66" t="str">
        <f t="shared" si="138"/>
        <v/>
      </c>
      <c r="P1253" s="66" t="str">
        <f t="shared" si="139"/>
        <v/>
      </c>
    </row>
    <row r="1254" spans="8:16">
      <c r="H1254" s="66" t="e">
        <f>IF(LEFT(A1254,6)="CEPNTR","GPINS",VLOOKUP(LEFT(A1254,6),'Code Library'!$A$3:$B$920,2,0))&amp;"_"&amp;RIGHT(A1254,3)</f>
        <v>#N/A</v>
      </c>
      <c r="I1254" s="66">
        <f t="shared" si="133"/>
        <v>0</v>
      </c>
      <c r="K1254" s="66" t="str">
        <f t="shared" si="134"/>
        <v/>
      </c>
      <c r="L1254" s="66" t="str">
        <f t="shared" si="135"/>
        <v/>
      </c>
      <c r="M1254" s="66" t="str">
        <f t="shared" si="136"/>
        <v/>
      </c>
      <c r="N1254" s="66" t="str">
        <f t="shared" si="137"/>
        <v/>
      </c>
      <c r="O1254" s="66" t="str">
        <f t="shared" si="138"/>
        <v/>
      </c>
      <c r="P1254" s="66" t="str">
        <f t="shared" si="139"/>
        <v/>
      </c>
    </row>
    <row r="1255" spans="8:16">
      <c r="H1255" s="66" t="e">
        <f>IF(LEFT(A1255,6)="CEPNTR","GPINS",VLOOKUP(LEFT(A1255,6),'Code Library'!$A$3:$B$920,2,0))&amp;"_"&amp;RIGHT(A1255,3)</f>
        <v>#N/A</v>
      </c>
      <c r="I1255" s="66">
        <f t="shared" si="133"/>
        <v>0</v>
      </c>
      <c r="K1255" s="66" t="str">
        <f t="shared" si="134"/>
        <v/>
      </c>
      <c r="L1255" s="66" t="str">
        <f t="shared" si="135"/>
        <v/>
      </c>
      <c r="M1255" s="66" t="str">
        <f t="shared" si="136"/>
        <v/>
      </c>
      <c r="N1255" s="66" t="str">
        <f t="shared" si="137"/>
        <v/>
      </c>
      <c r="O1255" s="66" t="str">
        <f t="shared" si="138"/>
        <v/>
      </c>
      <c r="P1255" s="66" t="str">
        <f t="shared" si="139"/>
        <v/>
      </c>
    </row>
    <row r="1256" spans="8:16">
      <c r="H1256" s="66" t="e">
        <f>IF(LEFT(A1256,6)="CEPNTR","GPINS",VLOOKUP(LEFT(A1256,6),'Code Library'!$A$3:$B$920,2,0))&amp;"_"&amp;RIGHT(A1256,3)</f>
        <v>#N/A</v>
      </c>
      <c r="I1256" s="66">
        <f t="shared" si="133"/>
        <v>0</v>
      </c>
      <c r="K1256" s="66" t="str">
        <f t="shared" si="134"/>
        <v/>
      </c>
      <c r="L1256" s="66" t="str">
        <f t="shared" si="135"/>
        <v/>
      </c>
      <c r="M1256" s="66" t="str">
        <f t="shared" si="136"/>
        <v/>
      </c>
      <c r="N1256" s="66" t="str">
        <f t="shared" si="137"/>
        <v/>
      </c>
      <c r="O1256" s="66" t="str">
        <f t="shared" si="138"/>
        <v/>
      </c>
      <c r="P1256" s="66" t="str">
        <f t="shared" si="139"/>
        <v/>
      </c>
    </row>
    <row r="1257" spans="8:16">
      <c r="H1257" s="66" t="e">
        <f>IF(LEFT(A1257,6)="CEPNTR","GPINS",VLOOKUP(LEFT(A1257,6),'Code Library'!$A$3:$B$920,2,0))&amp;"_"&amp;RIGHT(A1257,3)</f>
        <v>#N/A</v>
      </c>
      <c r="I1257" s="66">
        <f t="shared" si="133"/>
        <v>0</v>
      </c>
      <c r="K1257" s="66" t="str">
        <f t="shared" si="134"/>
        <v/>
      </c>
      <c r="L1257" s="66" t="str">
        <f t="shared" si="135"/>
        <v/>
      </c>
      <c r="M1257" s="66" t="str">
        <f t="shared" si="136"/>
        <v/>
      </c>
      <c r="N1257" s="66" t="str">
        <f t="shared" si="137"/>
        <v/>
      </c>
      <c r="O1257" s="66" t="str">
        <f t="shared" si="138"/>
        <v/>
      </c>
      <c r="P1257" s="66" t="str">
        <f t="shared" si="139"/>
        <v/>
      </c>
    </row>
    <row r="1258" spans="8:16">
      <c r="H1258" s="66" t="e">
        <f>IF(LEFT(A1258,6)="CEPNTR","GPINS",VLOOKUP(LEFT(A1258,6),'Code Library'!$A$3:$B$920,2,0))&amp;"_"&amp;RIGHT(A1258,3)</f>
        <v>#N/A</v>
      </c>
      <c r="I1258" s="66">
        <f t="shared" si="133"/>
        <v>0</v>
      </c>
      <c r="K1258" s="66" t="str">
        <f t="shared" si="134"/>
        <v/>
      </c>
      <c r="L1258" s="66" t="str">
        <f t="shared" si="135"/>
        <v/>
      </c>
      <c r="M1258" s="66" t="str">
        <f t="shared" si="136"/>
        <v/>
      </c>
      <c r="N1258" s="66" t="str">
        <f t="shared" si="137"/>
        <v/>
      </c>
      <c r="O1258" s="66" t="str">
        <f t="shared" si="138"/>
        <v/>
      </c>
      <c r="P1258" s="66" t="str">
        <f t="shared" si="139"/>
        <v/>
      </c>
    </row>
    <row r="1259" spans="8:16">
      <c r="H1259" s="66" t="e">
        <f>IF(LEFT(A1259,6)="CEPNTR","GPINS",VLOOKUP(LEFT(A1259,6),'Code Library'!$A$3:$B$920,2,0))&amp;"_"&amp;RIGHT(A1259,3)</f>
        <v>#N/A</v>
      </c>
      <c r="I1259" s="66">
        <f t="shared" si="133"/>
        <v>0</v>
      </c>
      <c r="K1259" s="66" t="str">
        <f t="shared" si="134"/>
        <v/>
      </c>
      <c r="L1259" s="66" t="str">
        <f t="shared" si="135"/>
        <v/>
      </c>
      <c r="M1259" s="66" t="str">
        <f t="shared" si="136"/>
        <v/>
      </c>
      <c r="N1259" s="66" t="str">
        <f t="shared" si="137"/>
        <v/>
      </c>
      <c r="O1259" s="66" t="str">
        <f t="shared" si="138"/>
        <v/>
      </c>
      <c r="P1259" s="66" t="str">
        <f t="shared" si="139"/>
        <v/>
      </c>
    </row>
    <row r="1260" spans="8:16">
      <c r="H1260" s="66" t="e">
        <f>IF(LEFT(A1260,6)="CEPNTR","GPINS",VLOOKUP(LEFT(A1260,6),'Code Library'!$A$3:$B$920,2,0))&amp;"_"&amp;RIGHT(A1260,3)</f>
        <v>#N/A</v>
      </c>
      <c r="I1260" s="66">
        <f t="shared" si="133"/>
        <v>0</v>
      </c>
      <c r="K1260" s="66" t="str">
        <f t="shared" si="134"/>
        <v/>
      </c>
      <c r="L1260" s="66" t="str">
        <f t="shared" si="135"/>
        <v/>
      </c>
      <c r="M1260" s="66" t="str">
        <f t="shared" si="136"/>
        <v/>
      </c>
      <c r="N1260" s="66" t="str">
        <f t="shared" si="137"/>
        <v/>
      </c>
      <c r="O1260" s="66" t="str">
        <f t="shared" si="138"/>
        <v/>
      </c>
      <c r="P1260" s="66" t="str">
        <f t="shared" si="139"/>
        <v/>
      </c>
    </row>
    <row r="1261" spans="8:16">
      <c r="H1261" s="66" t="e">
        <f>IF(LEFT(A1261,6)="CEPNTR","GPINS",VLOOKUP(LEFT(A1261,6),'Code Library'!$A$3:$B$920,2,0))&amp;"_"&amp;RIGHT(A1261,3)</f>
        <v>#N/A</v>
      </c>
      <c r="I1261" s="66">
        <f t="shared" si="133"/>
        <v>0</v>
      </c>
      <c r="K1261" s="66" t="str">
        <f t="shared" si="134"/>
        <v/>
      </c>
      <c r="L1261" s="66" t="str">
        <f t="shared" si="135"/>
        <v/>
      </c>
      <c r="M1261" s="66" t="str">
        <f t="shared" si="136"/>
        <v/>
      </c>
      <c r="N1261" s="66" t="str">
        <f t="shared" si="137"/>
        <v/>
      </c>
      <c r="O1261" s="66" t="str">
        <f t="shared" si="138"/>
        <v/>
      </c>
      <c r="P1261" s="66" t="str">
        <f t="shared" si="139"/>
        <v/>
      </c>
    </row>
    <row r="1262" spans="8:16">
      <c r="H1262" s="66" t="e">
        <f>IF(LEFT(A1262,6)="CEPNTR","GPINS",VLOOKUP(LEFT(A1262,6),'Code Library'!$A$3:$B$920,2,0))&amp;"_"&amp;RIGHT(A1262,3)</f>
        <v>#N/A</v>
      </c>
      <c r="I1262" s="66">
        <f t="shared" si="133"/>
        <v>0</v>
      </c>
      <c r="K1262" s="66" t="str">
        <f t="shared" si="134"/>
        <v/>
      </c>
      <c r="L1262" s="66" t="str">
        <f t="shared" si="135"/>
        <v/>
      </c>
      <c r="M1262" s="66" t="str">
        <f t="shared" si="136"/>
        <v/>
      </c>
      <c r="N1262" s="66" t="str">
        <f t="shared" si="137"/>
        <v/>
      </c>
      <c r="O1262" s="66" t="str">
        <f t="shared" si="138"/>
        <v/>
      </c>
      <c r="P1262" s="66" t="str">
        <f t="shared" si="139"/>
        <v/>
      </c>
    </row>
    <row r="1263" spans="8:16">
      <c r="H1263" s="66" t="e">
        <f>IF(LEFT(A1263,6)="CEPNTR","GPINS",VLOOKUP(LEFT(A1263,6),'Code Library'!$A$3:$B$920,2,0))&amp;"_"&amp;RIGHT(A1263,3)</f>
        <v>#N/A</v>
      </c>
      <c r="I1263" s="66">
        <f t="shared" si="133"/>
        <v>0</v>
      </c>
      <c r="K1263" s="66" t="str">
        <f t="shared" si="134"/>
        <v/>
      </c>
      <c r="L1263" s="66" t="str">
        <f t="shared" si="135"/>
        <v/>
      </c>
      <c r="M1263" s="66" t="str">
        <f t="shared" si="136"/>
        <v/>
      </c>
      <c r="N1263" s="66" t="str">
        <f t="shared" si="137"/>
        <v/>
      </c>
      <c r="O1263" s="66" t="str">
        <f t="shared" si="138"/>
        <v/>
      </c>
      <c r="P1263" s="66" t="str">
        <f t="shared" si="139"/>
        <v/>
      </c>
    </row>
    <row r="1264" spans="8:16">
      <c r="H1264" s="66" t="e">
        <f>IF(LEFT(A1264,6)="CEPNTR","GPINS",VLOOKUP(LEFT(A1264,6),'Code Library'!$A$3:$B$920,2,0))&amp;"_"&amp;RIGHT(A1264,3)</f>
        <v>#N/A</v>
      </c>
      <c r="I1264" s="66">
        <f t="shared" si="133"/>
        <v>0</v>
      </c>
      <c r="K1264" s="66" t="str">
        <f t="shared" si="134"/>
        <v/>
      </c>
      <c r="L1264" s="66" t="str">
        <f t="shared" si="135"/>
        <v/>
      </c>
      <c r="M1264" s="66" t="str">
        <f t="shared" si="136"/>
        <v/>
      </c>
      <c r="N1264" s="66" t="str">
        <f t="shared" si="137"/>
        <v/>
      </c>
      <c r="O1264" s="66" t="str">
        <f t="shared" si="138"/>
        <v/>
      </c>
      <c r="P1264" s="66" t="str">
        <f t="shared" si="139"/>
        <v/>
      </c>
    </row>
    <row r="1265" spans="8:16">
      <c r="H1265" s="66" t="e">
        <f>IF(LEFT(A1265,6)="CEPNTR","GPINS",VLOOKUP(LEFT(A1265,6),'Code Library'!$A$3:$B$920,2,0))&amp;"_"&amp;RIGHT(A1265,3)</f>
        <v>#N/A</v>
      </c>
      <c r="I1265" s="66">
        <f t="shared" si="133"/>
        <v>0</v>
      </c>
      <c r="K1265" s="66" t="str">
        <f t="shared" si="134"/>
        <v/>
      </c>
      <c r="L1265" s="66" t="str">
        <f t="shared" si="135"/>
        <v/>
      </c>
      <c r="M1265" s="66" t="str">
        <f t="shared" si="136"/>
        <v/>
      </c>
      <c r="N1265" s="66" t="str">
        <f t="shared" si="137"/>
        <v/>
      </c>
      <c r="O1265" s="66" t="str">
        <f t="shared" si="138"/>
        <v/>
      </c>
      <c r="P1265" s="66" t="str">
        <f t="shared" si="139"/>
        <v/>
      </c>
    </row>
    <row r="1266" spans="8:16">
      <c r="H1266" s="66" t="e">
        <f>IF(LEFT(A1266,6)="CEPNTR","GPINS",VLOOKUP(LEFT(A1266,6),'Code Library'!$A$3:$B$920,2,0))&amp;"_"&amp;RIGHT(A1266,3)</f>
        <v>#N/A</v>
      </c>
      <c r="I1266" s="66">
        <f t="shared" si="133"/>
        <v>0</v>
      </c>
      <c r="K1266" s="66" t="str">
        <f t="shared" si="134"/>
        <v/>
      </c>
      <c r="L1266" s="66" t="str">
        <f t="shared" si="135"/>
        <v/>
      </c>
      <c r="M1266" s="66" t="str">
        <f t="shared" si="136"/>
        <v/>
      </c>
      <c r="N1266" s="66" t="str">
        <f t="shared" si="137"/>
        <v/>
      </c>
      <c r="O1266" s="66" t="str">
        <f t="shared" si="138"/>
        <v/>
      </c>
      <c r="P1266" s="66" t="str">
        <f t="shared" si="139"/>
        <v/>
      </c>
    </row>
    <row r="1267" spans="8:16">
      <c r="H1267" s="66" t="e">
        <f>IF(LEFT(A1267,6)="CEPNTR","GPINS",VLOOKUP(LEFT(A1267,6),'Code Library'!$A$3:$B$920,2,0))&amp;"_"&amp;RIGHT(A1267,3)</f>
        <v>#N/A</v>
      </c>
      <c r="I1267" s="66">
        <f t="shared" si="133"/>
        <v>0</v>
      </c>
      <c r="K1267" s="66" t="str">
        <f t="shared" si="134"/>
        <v/>
      </c>
      <c r="L1267" s="66" t="str">
        <f t="shared" si="135"/>
        <v/>
      </c>
      <c r="M1267" s="66" t="str">
        <f t="shared" si="136"/>
        <v/>
      </c>
      <c r="N1267" s="66" t="str">
        <f t="shared" si="137"/>
        <v/>
      </c>
      <c r="O1267" s="66" t="str">
        <f t="shared" si="138"/>
        <v/>
      </c>
      <c r="P1267" s="66" t="str">
        <f t="shared" si="139"/>
        <v/>
      </c>
    </row>
    <row r="1268" spans="8:16">
      <c r="H1268" s="66" t="e">
        <f>IF(LEFT(A1268,6)="CEPNTR","GPINS",VLOOKUP(LEFT(A1268,6),'Code Library'!$A$3:$B$920,2,0))&amp;"_"&amp;RIGHT(A1268,3)</f>
        <v>#N/A</v>
      </c>
      <c r="I1268" s="66">
        <f t="shared" si="133"/>
        <v>0</v>
      </c>
      <c r="K1268" s="66" t="str">
        <f t="shared" si="134"/>
        <v/>
      </c>
      <c r="L1268" s="66" t="str">
        <f t="shared" si="135"/>
        <v/>
      </c>
      <c r="M1268" s="66" t="str">
        <f t="shared" si="136"/>
        <v/>
      </c>
      <c r="N1268" s="66" t="str">
        <f t="shared" si="137"/>
        <v/>
      </c>
      <c r="O1268" s="66" t="str">
        <f t="shared" si="138"/>
        <v/>
      </c>
      <c r="P1268" s="66" t="str">
        <f t="shared" si="139"/>
        <v/>
      </c>
    </row>
    <row r="1269" spans="8:16">
      <c r="H1269" s="66" t="e">
        <f>IF(LEFT(A1269,6)="CEPNTR","GPINS",VLOOKUP(LEFT(A1269,6),'Code Library'!$A$3:$B$920,2,0))&amp;"_"&amp;RIGHT(A1269,3)</f>
        <v>#N/A</v>
      </c>
      <c r="I1269" s="66">
        <f t="shared" si="133"/>
        <v>0</v>
      </c>
      <c r="K1269" s="66" t="str">
        <f t="shared" si="134"/>
        <v/>
      </c>
      <c r="L1269" s="66" t="str">
        <f t="shared" si="135"/>
        <v/>
      </c>
      <c r="M1269" s="66" t="str">
        <f t="shared" si="136"/>
        <v/>
      </c>
      <c r="N1269" s="66" t="str">
        <f t="shared" si="137"/>
        <v/>
      </c>
      <c r="O1269" s="66" t="str">
        <f t="shared" si="138"/>
        <v/>
      </c>
      <c r="P1269" s="66" t="str">
        <f t="shared" si="139"/>
        <v/>
      </c>
    </row>
    <row r="1270" spans="8:16">
      <c r="H1270" s="66" t="e">
        <f>IF(LEFT(A1270,6)="CEPNTR","GPINS",VLOOKUP(LEFT(A1270,6),'Code Library'!$A$3:$B$920,2,0))&amp;"_"&amp;RIGHT(A1270,3)</f>
        <v>#N/A</v>
      </c>
      <c r="I1270" s="66">
        <f t="shared" si="133"/>
        <v>0</v>
      </c>
      <c r="K1270" s="66" t="str">
        <f t="shared" si="134"/>
        <v/>
      </c>
      <c r="L1270" s="66" t="str">
        <f t="shared" si="135"/>
        <v/>
      </c>
      <c r="M1270" s="66" t="str">
        <f t="shared" si="136"/>
        <v/>
      </c>
      <c r="N1270" s="66" t="str">
        <f t="shared" si="137"/>
        <v/>
      </c>
      <c r="O1270" s="66" t="str">
        <f t="shared" si="138"/>
        <v/>
      </c>
      <c r="P1270" s="66" t="str">
        <f t="shared" si="139"/>
        <v/>
      </c>
    </row>
    <row r="1271" spans="8:16">
      <c r="H1271" s="66" t="e">
        <f>IF(LEFT(A1271,6)="CEPNTR","GPINS",VLOOKUP(LEFT(A1271,6),'Code Library'!$A$3:$B$920,2,0))&amp;"_"&amp;RIGHT(A1271,3)</f>
        <v>#N/A</v>
      </c>
      <c r="I1271" s="66">
        <f t="shared" si="133"/>
        <v>0</v>
      </c>
      <c r="K1271" s="66" t="str">
        <f t="shared" si="134"/>
        <v/>
      </c>
      <c r="L1271" s="66" t="str">
        <f t="shared" si="135"/>
        <v/>
      </c>
      <c r="M1271" s="66" t="str">
        <f t="shared" si="136"/>
        <v/>
      </c>
      <c r="N1271" s="66" t="str">
        <f t="shared" si="137"/>
        <v/>
      </c>
      <c r="O1271" s="66" t="str">
        <f t="shared" si="138"/>
        <v/>
      </c>
      <c r="P1271" s="66" t="str">
        <f t="shared" si="139"/>
        <v/>
      </c>
    </row>
    <row r="1272" spans="8:16">
      <c r="H1272" s="66" t="e">
        <f>IF(LEFT(A1272,6)="CEPNTR","GPINS",VLOOKUP(LEFT(A1272,6),'Code Library'!$A$3:$B$920,2,0))&amp;"_"&amp;RIGHT(A1272,3)</f>
        <v>#N/A</v>
      </c>
      <c r="I1272" s="66">
        <f t="shared" si="133"/>
        <v>0</v>
      </c>
      <c r="K1272" s="66" t="str">
        <f t="shared" si="134"/>
        <v/>
      </c>
      <c r="L1272" s="66" t="str">
        <f t="shared" si="135"/>
        <v/>
      </c>
      <c r="M1272" s="66" t="str">
        <f t="shared" si="136"/>
        <v/>
      </c>
      <c r="N1272" s="66" t="str">
        <f t="shared" si="137"/>
        <v/>
      </c>
      <c r="O1272" s="66" t="str">
        <f t="shared" si="138"/>
        <v/>
      </c>
      <c r="P1272" s="66" t="str">
        <f t="shared" si="139"/>
        <v/>
      </c>
    </row>
    <row r="1273" spans="8:16">
      <c r="H1273" s="66" t="e">
        <f>IF(LEFT(A1273,6)="CEPNTR","GPINS",VLOOKUP(LEFT(A1273,6),'Code Library'!$A$3:$B$920,2,0))&amp;"_"&amp;RIGHT(A1273,3)</f>
        <v>#N/A</v>
      </c>
      <c r="I1273" s="66">
        <f t="shared" si="133"/>
        <v>0</v>
      </c>
      <c r="K1273" s="66" t="str">
        <f t="shared" si="134"/>
        <v/>
      </c>
      <c r="L1273" s="66" t="str">
        <f t="shared" si="135"/>
        <v/>
      </c>
      <c r="M1273" s="66" t="str">
        <f t="shared" si="136"/>
        <v/>
      </c>
      <c r="N1273" s="66" t="str">
        <f t="shared" si="137"/>
        <v/>
      </c>
      <c r="O1273" s="66" t="str">
        <f t="shared" si="138"/>
        <v/>
      </c>
      <c r="P1273" s="66" t="str">
        <f t="shared" si="139"/>
        <v/>
      </c>
    </row>
    <row r="1274" spans="8:16">
      <c r="H1274" s="66" t="e">
        <f>IF(LEFT(A1274,6)="CEPNTR","GPINS",VLOOKUP(LEFT(A1274,6),'Code Library'!$A$3:$B$920,2,0))&amp;"_"&amp;RIGHT(A1274,3)</f>
        <v>#N/A</v>
      </c>
      <c r="I1274" s="66">
        <f t="shared" si="133"/>
        <v>0</v>
      </c>
      <c r="K1274" s="66" t="str">
        <f t="shared" si="134"/>
        <v/>
      </c>
      <c r="L1274" s="66" t="str">
        <f t="shared" si="135"/>
        <v/>
      </c>
      <c r="M1274" s="66" t="str">
        <f t="shared" si="136"/>
        <v/>
      </c>
      <c r="N1274" s="66" t="str">
        <f t="shared" si="137"/>
        <v/>
      </c>
      <c r="O1274" s="66" t="str">
        <f t="shared" si="138"/>
        <v/>
      </c>
      <c r="P1274" s="66" t="str">
        <f t="shared" si="139"/>
        <v/>
      </c>
    </row>
    <row r="1275" spans="8:16">
      <c r="H1275" s="66" t="e">
        <f>IF(LEFT(A1275,6)="CEPNTR","GPINS",VLOOKUP(LEFT(A1275,6),'Code Library'!$A$3:$B$920,2,0))&amp;"_"&amp;RIGHT(A1275,3)</f>
        <v>#N/A</v>
      </c>
      <c r="I1275" s="66">
        <f t="shared" si="133"/>
        <v>0</v>
      </c>
      <c r="K1275" s="66" t="str">
        <f t="shared" si="134"/>
        <v/>
      </c>
      <c r="L1275" s="66" t="str">
        <f t="shared" si="135"/>
        <v/>
      </c>
      <c r="M1275" s="66" t="str">
        <f t="shared" si="136"/>
        <v/>
      </c>
      <c r="N1275" s="66" t="str">
        <f t="shared" si="137"/>
        <v/>
      </c>
      <c r="O1275" s="66" t="str">
        <f t="shared" si="138"/>
        <v/>
      </c>
      <c r="P1275" s="66" t="str">
        <f t="shared" si="139"/>
        <v/>
      </c>
    </row>
    <row r="1276" spans="8:16">
      <c r="H1276" s="66" t="e">
        <f>IF(LEFT(A1276,6)="CEPNTR","GPINS",VLOOKUP(LEFT(A1276,6),'Code Library'!$A$3:$B$920,2,0))&amp;"_"&amp;RIGHT(A1276,3)</f>
        <v>#N/A</v>
      </c>
      <c r="I1276" s="66">
        <f t="shared" si="133"/>
        <v>0</v>
      </c>
      <c r="K1276" s="66" t="str">
        <f t="shared" si="134"/>
        <v/>
      </c>
      <c r="L1276" s="66" t="str">
        <f t="shared" si="135"/>
        <v/>
      </c>
      <c r="M1276" s="66" t="str">
        <f t="shared" si="136"/>
        <v/>
      </c>
      <c r="N1276" s="66" t="str">
        <f t="shared" si="137"/>
        <v/>
      </c>
      <c r="O1276" s="66" t="str">
        <f t="shared" si="138"/>
        <v/>
      </c>
      <c r="P1276" s="66" t="str">
        <f t="shared" si="139"/>
        <v/>
      </c>
    </row>
    <row r="1277" spans="8:16">
      <c r="H1277" s="66" t="e">
        <f>IF(LEFT(A1277,6)="CEPNTR","GPINS",VLOOKUP(LEFT(A1277,6),'Code Library'!$A$3:$B$920,2,0))&amp;"_"&amp;RIGHT(A1277,3)</f>
        <v>#N/A</v>
      </c>
      <c r="I1277" s="66">
        <f t="shared" si="133"/>
        <v>0</v>
      </c>
      <c r="K1277" s="66" t="str">
        <f t="shared" si="134"/>
        <v/>
      </c>
      <c r="L1277" s="66" t="str">
        <f t="shared" si="135"/>
        <v/>
      </c>
      <c r="M1277" s="66" t="str">
        <f t="shared" si="136"/>
        <v/>
      </c>
      <c r="N1277" s="66" t="str">
        <f t="shared" si="137"/>
        <v/>
      </c>
      <c r="O1277" s="66" t="str">
        <f t="shared" si="138"/>
        <v/>
      </c>
      <c r="P1277" s="66" t="str">
        <f t="shared" si="139"/>
        <v/>
      </c>
    </row>
    <row r="1278" spans="8:16">
      <c r="H1278" s="66" t="e">
        <f>IF(LEFT(A1278,6)="CEPNTR","GPINS",VLOOKUP(LEFT(A1278,6),'Code Library'!$A$3:$B$920,2,0))&amp;"_"&amp;RIGHT(A1278,3)</f>
        <v>#N/A</v>
      </c>
      <c r="I1278" s="66">
        <f t="shared" si="133"/>
        <v>0</v>
      </c>
      <c r="K1278" s="66" t="str">
        <f t="shared" si="134"/>
        <v/>
      </c>
      <c r="L1278" s="66" t="str">
        <f t="shared" si="135"/>
        <v/>
      </c>
      <c r="M1278" s="66" t="str">
        <f t="shared" si="136"/>
        <v/>
      </c>
      <c r="N1278" s="66" t="str">
        <f t="shared" si="137"/>
        <v/>
      </c>
      <c r="O1278" s="66" t="str">
        <f t="shared" si="138"/>
        <v/>
      </c>
      <c r="P1278" s="66" t="str">
        <f t="shared" si="139"/>
        <v/>
      </c>
    </row>
    <row r="1279" spans="8:16">
      <c r="H1279" s="66" t="e">
        <f>IF(LEFT(A1279,6)="CEPNTR","GPINS",VLOOKUP(LEFT(A1279,6),'Code Library'!$A$3:$B$920,2,0))&amp;"_"&amp;RIGHT(A1279,3)</f>
        <v>#N/A</v>
      </c>
      <c r="I1279" s="66">
        <f t="shared" si="133"/>
        <v>0</v>
      </c>
      <c r="K1279" s="66" t="str">
        <f t="shared" si="134"/>
        <v/>
      </c>
      <c r="L1279" s="66" t="str">
        <f t="shared" si="135"/>
        <v/>
      </c>
      <c r="M1279" s="66" t="str">
        <f t="shared" si="136"/>
        <v/>
      </c>
      <c r="N1279" s="66" t="str">
        <f t="shared" si="137"/>
        <v/>
      </c>
      <c r="O1279" s="66" t="str">
        <f t="shared" si="138"/>
        <v/>
      </c>
      <c r="P1279" s="66" t="str">
        <f t="shared" si="139"/>
        <v/>
      </c>
    </row>
    <row r="1280" spans="8:16">
      <c r="H1280" s="66" t="e">
        <f>IF(LEFT(A1280,6)="CEPNTR","GPINS",VLOOKUP(LEFT(A1280,6),'Code Library'!$A$3:$B$920,2,0))&amp;"_"&amp;RIGHT(A1280,3)</f>
        <v>#N/A</v>
      </c>
      <c r="I1280" s="66">
        <f t="shared" si="133"/>
        <v>0</v>
      </c>
      <c r="K1280" s="66" t="str">
        <f t="shared" si="134"/>
        <v/>
      </c>
      <c r="L1280" s="66" t="str">
        <f t="shared" si="135"/>
        <v/>
      </c>
      <c r="M1280" s="66" t="str">
        <f t="shared" si="136"/>
        <v/>
      </c>
      <c r="N1280" s="66" t="str">
        <f t="shared" si="137"/>
        <v/>
      </c>
      <c r="O1280" s="66" t="str">
        <f t="shared" si="138"/>
        <v/>
      </c>
      <c r="P1280" s="66" t="str">
        <f t="shared" si="139"/>
        <v/>
      </c>
    </row>
    <row r="1281" spans="8:16">
      <c r="H1281" s="66" t="e">
        <f>IF(LEFT(A1281,6)="CEPNTR","GPINS",VLOOKUP(LEFT(A1281,6),'Code Library'!$A$3:$B$920,2,0))&amp;"_"&amp;RIGHT(A1281,3)</f>
        <v>#N/A</v>
      </c>
      <c r="I1281" s="66">
        <f t="shared" si="133"/>
        <v>0</v>
      </c>
      <c r="K1281" s="66" t="str">
        <f t="shared" si="134"/>
        <v/>
      </c>
      <c r="L1281" s="66" t="str">
        <f t="shared" si="135"/>
        <v/>
      </c>
      <c r="M1281" s="66" t="str">
        <f t="shared" si="136"/>
        <v/>
      </c>
      <c r="N1281" s="66" t="str">
        <f t="shared" si="137"/>
        <v/>
      </c>
      <c r="O1281" s="66" t="str">
        <f t="shared" si="138"/>
        <v/>
      </c>
      <c r="P1281" s="66" t="str">
        <f t="shared" si="139"/>
        <v/>
      </c>
    </row>
    <row r="1282" spans="8:16">
      <c r="H1282" s="66" t="e">
        <f>IF(LEFT(A1282,6)="CEPNTR","GPINS",VLOOKUP(LEFT(A1282,6),'Code Library'!$A$3:$B$920,2,0))&amp;"_"&amp;RIGHT(A1282,3)</f>
        <v>#N/A</v>
      </c>
      <c r="I1282" s="66">
        <f t="shared" si="133"/>
        <v>0</v>
      </c>
      <c r="K1282" s="66" t="str">
        <f t="shared" si="134"/>
        <v/>
      </c>
      <c r="L1282" s="66" t="str">
        <f t="shared" si="135"/>
        <v/>
      </c>
      <c r="M1282" s="66" t="str">
        <f t="shared" si="136"/>
        <v/>
      </c>
      <c r="N1282" s="66" t="str">
        <f t="shared" si="137"/>
        <v/>
      </c>
      <c r="O1282" s="66" t="str">
        <f t="shared" si="138"/>
        <v/>
      </c>
      <c r="P1282" s="66" t="str">
        <f t="shared" si="139"/>
        <v/>
      </c>
    </row>
    <row r="1283" spans="8:16">
      <c r="H1283" s="66" t="e">
        <f>IF(LEFT(A1283,6)="CEPNTR","GPINS",VLOOKUP(LEFT(A1283,6),'Code Library'!$A$3:$B$920,2,0))&amp;"_"&amp;RIGHT(A1283,3)</f>
        <v>#N/A</v>
      </c>
      <c r="I1283" s="66">
        <f t="shared" ref="I1283:I1346" si="140">A1283</f>
        <v>0</v>
      </c>
      <c r="K1283" s="66" t="str">
        <f t="shared" ref="K1283:K1346" si="141">RIGHT($B1283,2)</f>
        <v/>
      </c>
      <c r="L1283" s="66" t="str">
        <f t="shared" ref="L1283:L1346" si="142">LEFT(RIGHT($B1283,7),4)</f>
        <v/>
      </c>
      <c r="M1283" s="66" t="str">
        <f t="shared" ref="M1283:M1346" si="143">LEFT(RIGHT($B1283,10),2)</f>
        <v/>
      </c>
      <c r="N1283" s="66" t="str">
        <f t="shared" ref="N1283:N1346" si="144">LEFT(RIGHT($B1283,14),3)</f>
        <v/>
      </c>
      <c r="O1283" s="66" t="str">
        <f t="shared" ref="O1283:O1346" si="145">LEFT(RIGHT($B1283,16),1)</f>
        <v/>
      </c>
      <c r="P1283" s="66" t="str">
        <f t="shared" ref="P1283:P1346" si="146">LEFT(RIGHT($B1283,19),2)</f>
        <v/>
      </c>
    </row>
    <row r="1284" spans="8:16">
      <c r="H1284" s="66" t="e">
        <f>IF(LEFT(A1284,6)="CEPNTR","GPINS",VLOOKUP(LEFT(A1284,6),'Code Library'!$A$3:$B$920,2,0))&amp;"_"&amp;RIGHT(A1284,3)</f>
        <v>#N/A</v>
      </c>
      <c r="I1284" s="66">
        <f t="shared" si="140"/>
        <v>0</v>
      </c>
      <c r="K1284" s="66" t="str">
        <f t="shared" si="141"/>
        <v/>
      </c>
      <c r="L1284" s="66" t="str">
        <f t="shared" si="142"/>
        <v/>
      </c>
      <c r="M1284" s="66" t="str">
        <f t="shared" si="143"/>
        <v/>
      </c>
      <c r="N1284" s="66" t="str">
        <f t="shared" si="144"/>
        <v/>
      </c>
      <c r="O1284" s="66" t="str">
        <f t="shared" si="145"/>
        <v/>
      </c>
      <c r="P1284" s="66" t="str">
        <f t="shared" si="146"/>
        <v/>
      </c>
    </row>
    <row r="1285" spans="8:16">
      <c r="H1285" s="66" t="e">
        <f>IF(LEFT(A1285,6)="CEPNTR","GPINS",VLOOKUP(LEFT(A1285,6),'Code Library'!$A$3:$B$920,2,0))&amp;"_"&amp;RIGHT(A1285,3)</f>
        <v>#N/A</v>
      </c>
      <c r="I1285" s="66">
        <f t="shared" si="140"/>
        <v>0</v>
      </c>
      <c r="K1285" s="66" t="str">
        <f t="shared" si="141"/>
        <v/>
      </c>
      <c r="L1285" s="66" t="str">
        <f t="shared" si="142"/>
        <v/>
      </c>
      <c r="M1285" s="66" t="str">
        <f t="shared" si="143"/>
        <v/>
      </c>
      <c r="N1285" s="66" t="str">
        <f t="shared" si="144"/>
        <v/>
      </c>
      <c r="O1285" s="66" t="str">
        <f t="shared" si="145"/>
        <v/>
      </c>
      <c r="P1285" s="66" t="str">
        <f t="shared" si="146"/>
        <v/>
      </c>
    </row>
    <row r="1286" spans="8:16">
      <c r="H1286" s="66" t="e">
        <f>IF(LEFT(A1286,6)="CEPNTR","GPINS",VLOOKUP(LEFT(A1286,6),'Code Library'!$A$3:$B$920,2,0))&amp;"_"&amp;RIGHT(A1286,3)</f>
        <v>#N/A</v>
      </c>
      <c r="I1286" s="66">
        <f t="shared" si="140"/>
        <v>0</v>
      </c>
      <c r="K1286" s="66" t="str">
        <f t="shared" si="141"/>
        <v/>
      </c>
      <c r="L1286" s="66" t="str">
        <f t="shared" si="142"/>
        <v/>
      </c>
      <c r="M1286" s="66" t="str">
        <f t="shared" si="143"/>
        <v/>
      </c>
      <c r="N1286" s="66" t="str">
        <f t="shared" si="144"/>
        <v/>
      </c>
      <c r="O1286" s="66" t="str">
        <f t="shared" si="145"/>
        <v/>
      </c>
      <c r="P1286" s="66" t="str">
        <f t="shared" si="146"/>
        <v/>
      </c>
    </row>
    <row r="1287" spans="8:16">
      <c r="H1287" s="66" t="e">
        <f>IF(LEFT(A1287,6)="CEPNTR","GPINS",VLOOKUP(LEFT(A1287,6),'Code Library'!$A$3:$B$920,2,0))&amp;"_"&amp;RIGHT(A1287,3)</f>
        <v>#N/A</v>
      </c>
      <c r="I1287" s="66">
        <f t="shared" si="140"/>
        <v>0</v>
      </c>
      <c r="K1287" s="66" t="str">
        <f t="shared" si="141"/>
        <v/>
      </c>
      <c r="L1287" s="66" t="str">
        <f t="shared" si="142"/>
        <v/>
      </c>
      <c r="M1287" s="66" t="str">
        <f t="shared" si="143"/>
        <v/>
      </c>
      <c r="N1287" s="66" t="str">
        <f t="shared" si="144"/>
        <v/>
      </c>
      <c r="O1287" s="66" t="str">
        <f t="shared" si="145"/>
        <v/>
      </c>
      <c r="P1287" s="66" t="str">
        <f t="shared" si="146"/>
        <v/>
      </c>
    </row>
    <row r="1288" spans="8:16">
      <c r="H1288" s="66" t="e">
        <f>IF(LEFT(A1288,6)="CEPNTR","GPINS",VLOOKUP(LEFT(A1288,6),'Code Library'!$A$3:$B$920,2,0))&amp;"_"&amp;RIGHT(A1288,3)</f>
        <v>#N/A</v>
      </c>
      <c r="I1288" s="66">
        <f t="shared" si="140"/>
        <v>0</v>
      </c>
      <c r="K1288" s="66" t="str">
        <f t="shared" si="141"/>
        <v/>
      </c>
      <c r="L1288" s="66" t="str">
        <f t="shared" si="142"/>
        <v/>
      </c>
      <c r="M1288" s="66" t="str">
        <f t="shared" si="143"/>
        <v/>
      </c>
      <c r="N1288" s="66" t="str">
        <f t="shared" si="144"/>
        <v/>
      </c>
      <c r="O1288" s="66" t="str">
        <f t="shared" si="145"/>
        <v/>
      </c>
      <c r="P1288" s="66" t="str">
        <f t="shared" si="146"/>
        <v/>
      </c>
    </row>
    <row r="1289" spans="8:16">
      <c r="H1289" s="66" t="e">
        <f>IF(LEFT(A1289,6)="CEPNTR","GPINS",VLOOKUP(LEFT(A1289,6),'Code Library'!$A$3:$B$920,2,0))&amp;"_"&amp;RIGHT(A1289,3)</f>
        <v>#N/A</v>
      </c>
      <c r="I1289" s="66">
        <f t="shared" si="140"/>
        <v>0</v>
      </c>
      <c r="K1289" s="66" t="str">
        <f t="shared" si="141"/>
        <v/>
      </c>
      <c r="L1289" s="66" t="str">
        <f t="shared" si="142"/>
        <v/>
      </c>
      <c r="M1289" s="66" t="str">
        <f t="shared" si="143"/>
        <v/>
      </c>
      <c r="N1289" s="66" t="str">
        <f t="shared" si="144"/>
        <v/>
      </c>
      <c r="O1289" s="66" t="str">
        <f t="shared" si="145"/>
        <v/>
      </c>
      <c r="P1289" s="66" t="str">
        <f t="shared" si="146"/>
        <v/>
      </c>
    </row>
    <row r="1290" spans="8:16">
      <c r="H1290" s="66" t="e">
        <f>IF(LEFT(A1290,6)="CEPNTR","GPINS",VLOOKUP(LEFT(A1290,6),'Code Library'!$A$3:$B$920,2,0))&amp;"_"&amp;RIGHT(A1290,3)</f>
        <v>#N/A</v>
      </c>
      <c r="I1290" s="66">
        <f t="shared" si="140"/>
        <v>0</v>
      </c>
      <c r="K1290" s="66" t="str">
        <f t="shared" si="141"/>
        <v/>
      </c>
      <c r="L1290" s="66" t="str">
        <f t="shared" si="142"/>
        <v/>
      </c>
      <c r="M1290" s="66" t="str">
        <f t="shared" si="143"/>
        <v/>
      </c>
      <c r="N1290" s="66" t="str">
        <f t="shared" si="144"/>
        <v/>
      </c>
      <c r="O1290" s="66" t="str">
        <f t="shared" si="145"/>
        <v/>
      </c>
      <c r="P1290" s="66" t="str">
        <f t="shared" si="146"/>
        <v/>
      </c>
    </row>
    <row r="1291" spans="8:16">
      <c r="H1291" s="66" t="e">
        <f>IF(LEFT(A1291,6)="CEPNTR","GPINS",VLOOKUP(LEFT(A1291,6),'Code Library'!$A$3:$B$920,2,0))&amp;"_"&amp;RIGHT(A1291,3)</f>
        <v>#N/A</v>
      </c>
      <c r="I1291" s="66">
        <f t="shared" si="140"/>
        <v>0</v>
      </c>
      <c r="K1291" s="66" t="str">
        <f t="shared" si="141"/>
        <v/>
      </c>
      <c r="L1291" s="66" t="str">
        <f t="shared" si="142"/>
        <v/>
      </c>
      <c r="M1291" s="66" t="str">
        <f t="shared" si="143"/>
        <v/>
      </c>
      <c r="N1291" s="66" t="str">
        <f t="shared" si="144"/>
        <v/>
      </c>
      <c r="O1291" s="66" t="str">
        <f t="shared" si="145"/>
        <v/>
      </c>
      <c r="P1291" s="66" t="str">
        <f t="shared" si="146"/>
        <v/>
      </c>
    </row>
    <row r="1292" spans="8:16">
      <c r="H1292" s="66" t="e">
        <f>IF(LEFT(A1292,6)="CEPNTR","GPINS",VLOOKUP(LEFT(A1292,6),'Code Library'!$A$3:$B$920,2,0))&amp;"_"&amp;RIGHT(A1292,3)</f>
        <v>#N/A</v>
      </c>
      <c r="I1292" s="66">
        <f t="shared" si="140"/>
        <v>0</v>
      </c>
      <c r="K1292" s="66" t="str">
        <f t="shared" si="141"/>
        <v/>
      </c>
      <c r="L1292" s="66" t="str">
        <f t="shared" si="142"/>
        <v/>
      </c>
      <c r="M1292" s="66" t="str">
        <f t="shared" si="143"/>
        <v/>
      </c>
      <c r="N1292" s="66" t="str">
        <f t="shared" si="144"/>
        <v/>
      </c>
      <c r="O1292" s="66" t="str">
        <f t="shared" si="145"/>
        <v/>
      </c>
      <c r="P1292" s="66" t="str">
        <f t="shared" si="146"/>
        <v/>
      </c>
    </row>
    <row r="1293" spans="8:16">
      <c r="H1293" s="66" t="e">
        <f>IF(LEFT(A1293,6)="CEPNTR","GPINS",VLOOKUP(LEFT(A1293,6),'Code Library'!$A$3:$B$920,2,0))&amp;"_"&amp;RIGHT(A1293,3)</f>
        <v>#N/A</v>
      </c>
      <c r="I1293" s="66">
        <f t="shared" si="140"/>
        <v>0</v>
      </c>
      <c r="K1293" s="66" t="str">
        <f t="shared" si="141"/>
        <v/>
      </c>
      <c r="L1293" s="66" t="str">
        <f t="shared" si="142"/>
        <v/>
      </c>
      <c r="M1293" s="66" t="str">
        <f t="shared" si="143"/>
        <v/>
      </c>
      <c r="N1293" s="66" t="str">
        <f t="shared" si="144"/>
        <v/>
      </c>
      <c r="O1293" s="66" t="str">
        <f t="shared" si="145"/>
        <v/>
      </c>
      <c r="P1293" s="66" t="str">
        <f t="shared" si="146"/>
        <v/>
      </c>
    </row>
    <row r="1294" spans="8:16">
      <c r="H1294" s="66" t="e">
        <f>IF(LEFT(A1294,6)="CEPNTR","GPINS",VLOOKUP(LEFT(A1294,6),'Code Library'!$A$3:$B$920,2,0))&amp;"_"&amp;RIGHT(A1294,3)</f>
        <v>#N/A</v>
      </c>
      <c r="I1294" s="66">
        <f t="shared" si="140"/>
        <v>0</v>
      </c>
      <c r="K1294" s="66" t="str">
        <f t="shared" si="141"/>
        <v/>
      </c>
      <c r="L1294" s="66" t="str">
        <f t="shared" si="142"/>
        <v/>
      </c>
      <c r="M1294" s="66" t="str">
        <f t="shared" si="143"/>
        <v/>
      </c>
      <c r="N1294" s="66" t="str">
        <f t="shared" si="144"/>
        <v/>
      </c>
      <c r="O1294" s="66" t="str">
        <f t="shared" si="145"/>
        <v/>
      </c>
      <c r="P1294" s="66" t="str">
        <f t="shared" si="146"/>
        <v/>
      </c>
    </row>
    <row r="1295" spans="8:16">
      <c r="H1295" s="66" t="e">
        <f>IF(LEFT(A1295,6)="CEPNTR","GPINS",VLOOKUP(LEFT(A1295,6),'Code Library'!$A$3:$B$920,2,0))&amp;"_"&amp;RIGHT(A1295,3)</f>
        <v>#N/A</v>
      </c>
      <c r="I1295" s="66">
        <f t="shared" si="140"/>
        <v>0</v>
      </c>
      <c r="K1295" s="66" t="str">
        <f t="shared" si="141"/>
        <v/>
      </c>
      <c r="L1295" s="66" t="str">
        <f t="shared" si="142"/>
        <v/>
      </c>
      <c r="M1295" s="66" t="str">
        <f t="shared" si="143"/>
        <v/>
      </c>
      <c r="N1295" s="66" t="str">
        <f t="shared" si="144"/>
        <v/>
      </c>
      <c r="O1295" s="66" t="str">
        <f t="shared" si="145"/>
        <v/>
      </c>
      <c r="P1295" s="66" t="str">
        <f t="shared" si="146"/>
        <v/>
      </c>
    </row>
    <row r="1296" spans="8:16">
      <c r="H1296" s="66" t="e">
        <f>IF(LEFT(A1296,6)="CEPNTR","GPINS",VLOOKUP(LEFT(A1296,6),'Code Library'!$A$3:$B$920,2,0))&amp;"_"&amp;RIGHT(A1296,3)</f>
        <v>#N/A</v>
      </c>
      <c r="I1296" s="66">
        <f t="shared" si="140"/>
        <v>0</v>
      </c>
      <c r="K1296" s="66" t="str">
        <f t="shared" si="141"/>
        <v/>
      </c>
      <c r="L1296" s="66" t="str">
        <f t="shared" si="142"/>
        <v/>
      </c>
      <c r="M1296" s="66" t="str">
        <f t="shared" si="143"/>
        <v/>
      </c>
      <c r="N1296" s="66" t="str">
        <f t="shared" si="144"/>
        <v/>
      </c>
      <c r="O1296" s="66" t="str">
        <f t="shared" si="145"/>
        <v/>
      </c>
      <c r="P1296" s="66" t="str">
        <f t="shared" si="146"/>
        <v/>
      </c>
    </row>
    <row r="1297" spans="8:16">
      <c r="H1297" s="66" t="e">
        <f>IF(LEFT(A1297,6)="CEPNTR","GPINS",VLOOKUP(LEFT(A1297,6),'Code Library'!$A$3:$B$920,2,0))&amp;"_"&amp;RIGHT(A1297,3)</f>
        <v>#N/A</v>
      </c>
      <c r="I1297" s="66">
        <f t="shared" si="140"/>
        <v>0</v>
      </c>
      <c r="K1297" s="66" t="str">
        <f t="shared" si="141"/>
        <v/>
      </c>
      <c r="L1297" s="66" t="str">
        <f t="shared" si="142"/>
        <v/>
      </c>
      <c r="M1297" s="66" t="str">
        <f t="shared" si="143"/>
        <v/>
      </c>
      <c r="N1297" s="66" t="str">
        <f t="shared" si="144"/>
        <v/>
      </c>
      <c r="O1297" s="66" t="str">
        <f t="shared" si="145"/>
        <v/>
      </c>
      <c r="P1297" s="66" t="str">
        <f t="shared" si="146"/>
        <v/>
      </c>
    </row>
    <row r="1298" spans="8:16">
      <c r="H1298" s="66" t="e">
        <f>IF(LEFT(A1298,6)="CEPNTR","GPINS",VLOOKUP(LEFT(A1298,6),'Code Library'!$A$3:$B$920,2,0))&amp;"_"&amp;RIGHT(A1298,3)</f>
        <v>#N/A</v>
      </c>
      <c r="I1298" s="66">
        <f t="shared" si="140"/>
        <v>0</v>
      </c>
      <c r="K1298" s="66" t="str">
        <f t="shared" si="141"/>
        <v/>
      </c>
      <c r="L1298" s="66" t="str">
        <f t="shared" si="142"/>
        <v/>
      </c>
      <c r="M1298" s="66" t="str">
        <f t="shared" si="143"/>
        <v/>
      </c>
      <c r="N1298" s="66" t="str">
        <f t="shared" si="144"/>
        <v/>
      </c>
      <c r="O1298" s="66" t="str">
        <f t="shared" si="145"/>
        <v/>
      </c>
      <c r="P1298" s="66" t="str">
        <f t="shared" si="146"/>
        <v/>
      </c>
    </row>
    <row r="1299" spans="8:16">
      <c r="H1299" s="66" t="e">
        <f>IF(LEFT(A1299,6)="CEPNTR","GPINS",VLOOKUP(LEFT(A1299,6),'Code Library'!$A$3:$B$920,2,0))&amp;"_"&amp;RIGHT(A1299,3)</f>
        <v>#N/A</v>
      </c>
      <c r="I1299" s="66">
        <f t="shared" si="140"/>
        <v>0</v>
      </c>
      <c r="K1299" s="66" t="str">
        <f t="shared" si="141"/>
        <v/>
      </c>
      <c r="L1299" s="66" t="str">
        <f t="shared" si="142"/>
        <v/>
      </c>
      <c r="M1299" s="66" t="str">
        <f t="shared" si="143"/>
        <v/>
      </c>
      <c r="N1299" s="66" t="str">
        <f t="shared" si="144"/>
        <v/>
      </c>
      <c r="O1299" s="66" t="str">
        <f t="shared" si="145"/>
        <v/>
      </c>
      <c r="P1299" s="66" t="str">
        <f t="shared" si="146"/>
        <v/>
      </c>
    </row>
    <row r="1300" spans="8:16">
      <c r="H1300" s="66" t="e">
        <f>IF(LEFT(A1300,6)="CEPNTR","GPINS",VLOOKUP(LEFT(A1300,6),'Code Library'!$A$3:$B$920,2,0))&amp;"_"&amp;RIGHT(A1300,3)</f>
        <v>#N/A</v>
      </c>
      <c r="I1300" s="66">
        <f t="shared" si="140"/>
        <v>0</v>
      </c>
      <c r="K1300" s="66" t="str">
        <f t="shared" si="141"/>
        <v/>
      </c>
      <c r="L1300" s="66" t="str">
        <f t="shared" si="142"/>
        <v/>
      </c>
      <c r="M1300" s="66" t="str">
        <f t="shared" si="143"/>
        <v/>
      </c>
      <c r="N1300" s="66" t="str">
        <f t="shared" si="144"/>
        <v/>
      </c>
      <c r="O1300" s="66" t="str">
        <f t="shared" si="145"/>
        <v/>
      </c>
      <c r="P1300" s="66" t="str">
        <f t="shared" si="146"/>
        <v/>
      </c>
    </row>
    <row r="1301" spans="8:16">
      <c r="H1301" s="66" t="e">
        <f>IF(LEFT(A1301,6)="CEPNTR","GPINS",VLOOKUP(LEFT(A1301,6),'Code Library'!$A$3:$B$920,2,0))&amp;"_"&amp;RIGHT(A1301,3)</f>
        <v>#N/A</v>
      </c>
      <c r="I1301" s="66">
        <f t="shared" si="140"/>
        <v>0</v>
      </c>
      <c r="K1301" s="66" t="str">
        <f t="shared" si="141"/>
        <v/>
      </c>
      <c r="L1301" s="66" t="str">
        <f t="shared" si="142"/>
        <v/>
      </c>
      <c r="M1301" s="66" t="str">
        <f t="shared" si="143"/>
        <v/>
      </c>
      <c r="N1301" s="66" t="str">
        <f t="shared" si="144"/>
        <v/>
      </c>
      <c r="O1301" s="66" t="str">
        <f t="shared" si="145"/>
        <v/>
      </c>
      <c r="P1301" s="66" t="str">
        <f t="shared" si="146"/>
        <v/>
      </c>
    </row>
    <row r="1302" spans="8:16">
      <c r="H1302" s="66" t="e">
        <f>IF(LEFT(A1302,6)="CEPNTR","GPINS",VLOOKUP(LEFT(A1302,6),'Code Library'!$A$3:$B$920,2,0))&amp;"_"&amp;RIGHT(A1302,3)</f>
        <v>#N/A</v>
      </c>
      <c r="I1302" s="66">
        <f t="shared" si="140"/>
        <v>0</v>
      </c>
      <c r="K1302" s="66" t="str">
        <f t="shared" si="141"/>
        <v/>
      </c>
      <c r="L1302" s="66" t="str">
        <f t="shared" si="142"/>
        <v/>
      </c>
      <c r="M1302" s="66" t="str">
        <f t="shared" si="143"/>
        <v/>
      </c>
      <c r="N1302" s="66" t="str">
        <f t="shared" si="144"/>
        <v/>
      </c>
      <c r="O1302" s="66" t="str">
        <f t="shared" si="145"/>
        <v/>
      </c>
      <c r="P1302" s="66" t="str">
        <f t="shared" si="146"/>
        <v/>
      </c>
    </row>
    <row r="1303" spans="8:16">
      <c r="H1303" s="66" t="e">
        <f>IF(LEFT(A1303,6)="CEPNTR","GPINS",VLOOKUP(LEFT(A1303,6),'Code Library'!$A$3:$B$920,2,0))&amp;"_"&amp;RIGHT(A1303,3)</f>
        <v>#N/A</v>
      </c>
      <c r="I1303" s="66">
        <f t="shared" si="140"/>
        <v>0</v>
      </c>
      <c r="K1303" s="66" t="str">
        <f t="shared" si="141"/>
        <v/>
      </c>
      <c r="L1303" s="66" t="str">
        <f t="shared" si="142"/>
        <v/>
      </c>
      <c r="M1303" s="66" t="str">
        <f t="shared" si="143"/>
        <v/>
      </c>
      <c r="N1303" s="66" t="str">
        <f t="shared" si="144"/>
        <v/>
      </c>
      <c r="O1303" s="66" t="str">
        <f t="shared" si="145"/>
        <v/>
      </c>
      <c r="P1303" s="66" t="str">
        <f t="shared" si="146"/>
        <v/>
      </c>
    </row>
    <row r="1304" spans="8:16">
      <c r="H1304" s="66" t="e">
        <f>IF(LEFT(A1304,6)="CEPNTR","GPINS",VLOOKUP(LEFT(A1304,6),'Code Library'!$A$3:$B$920,2,0))&amp;"_"&amp;RIGHT(A1304,3)</f>
        <v>#N/A</v>
      </c>
      <c r="I1304" s="66">
        <f t="shared" si="140"/>
        <v>0</v>
      </c>
      <c r="K1304" s="66" t="str">
        <f t="shared" si="141"/>
        <v/>
      </c>
      <c r="L1304" s="66" t="str">
        <f t="shared" si="142"/>
        <v/>
      </c>
      <c r="M1304" s="66" t="str">
        <f t="shared" si="143"/>
        <v/>
      </c>
      <c r="N1304" s="66" t="str">
        <f t="shared" si="144"/>
        <v/>
      </c>
      <c r="O1304" s="66" t="str">
        <f t="shared" si="145"/>
        <v/>
      </c>
      <c r="P1304" s="66" t="str">
        <f t="shared" si="146"/>
        <v/>
      </c>
    </row>
    <row r="1305" spans="8:16">
      <c r="H1305" s="66" t="e">
        <f>IF(LEFT(A1305,6)="CEPNTR","GPINS",VLOOKUP(LEFT(A1305,6),'Code Library'!$A$3:$B$920,2,0))&amp;"_"&amp;RIGHT(A1305,3)</f>
        <v>#N/A</v>
      </c>
      <c r="I1305" s="66">
        <f t="shared" si="140"/>
        <v>0</v>
      </c>
      <c r="K1305" s="66" t="str">
        <f t="shared" si="141"/>
        <v/>
      </c>
      <c r="L1305" s="66" t="str">
        <f t="shared" si="142"/>
        <v/>
      </c>
      <c r="M1305" s="66" t="str">
        <f t="shared" si="143"/>
        <v/>
      </c>
      <c r="N1305" s="66" t="str">
        <f t="shared" si="144"/>
        <v/>
      </c>
      <c r="O1305" s="66" t="str">
        <f t="shared" si="145"/>
        <v/>
      </c>
      <c r="P1305" s="66" t="str">
        <f t="shared" si="146"/>
        <v/>
      </c>
    </row>
    <row r="1306" spans="8:16">
      <c r="H1306" s="66" t="e">
        <f>IF(LEFT(A1306,6)="CEPNTR","GPINS",VLOOKUP(LEFT(A1306,6),'Code Library'!$A$3:$B$920,2,0))&amp;"_"&amp;RIGHT(A1306,3)</f>
        <v>#N/A</v>
      </c>
      <c r="I1306" s="66">
        <f t="shared" si="140"/>
        <v>0</v>
      </c>
      <c r="K1306" s="66" t="str">
        <f t="shared" si="141"/>
        <v/>
      </c>
      <c r="L1306" s="66" t="str">
        <f t="shared" si="142"/>
        <v/>
      </c>
      <c r="M1306" s="66" t="str">
        <f t="shared" si="143"/>
        <v/>
      </c>
      <c r="N1306" s="66" t="str">
        <f t="shared" si="144"/>
        <v/>
      </c>
      <c r="O1306" s="66" t="str">
        <f t="shared" si="145"/>
        <v/>
      </c>
      <c r="P1306" s="66" t="str">
        <f t="shared" si="146"/>
        <v/>
      </c>
    </row>
    <row r="1307" spans="8:16">
      <c r="H1307" s="66" t="e">
        <f>IF(LEFT(A1307,6)="CEPNTR","GPINS",VLOOKUP(LEFT(A1307,6),'Code Library'!$A$3:$B$920,2,0))&amp;"_"&amp;RIGHT(A1307,3)</f>
        <v>#N/A</v>
      </c>
      <c r="I1307" s="66">
        <f t="shared" si="140"/>
        <v>0</v>
      </c>
      <c r="K1307" s="66" t="str">
        <f t="shared" si="141"/>
        <v/>
      </c>
      <c r="L1307" s="66" t="str">
        <f t="shared" si="142"/>
        <v/>
      </c>
      <c r="M1307" s="66" t="str">
        <f t="shared" si="143"/>
        <v/>
      </c>
      <c r="N1307" s="66" t="str">
        <f t="shared" si="144"/>
        <v/>
      </c>
      <c r="O1307" s="66" t="str">
        <f t="shared" si="145"/>
        <v/>
      </c>
      <c r="P1307" s="66" t="str">
        <f t="shared" si="146"/>
        <v/>
      </c>
    </row>
    <row r="1308" spans="8:16">
      <c r="H1308" s="66" t="e">
        <f>IF(LEFT(A1308,6)="CEPNTR","GPINS",VLOOKUP(LEFT(A1308,6),'Code Library'!$A$3:$B$920,2,0))&amp;"_"&amp;RIGHT(A1308,3)</f>
        <v>#N/A</v>
      </c>
      <c r="I1308" s="66">
        <f t="shared" si="140"/>
        <v>0</v>
      </c>
      <c r="K1308" s="66" t="str">
        <f t="shared" si="141"/>
        <v/>
      </c>
      <c r="L1308" s="66" t="str">
        <f t="shared" si="142"/>
        <v/>
      </c>
      <c r="M1308" s="66" t="str">
        <f t="shared" si="143"/>
        <v/>
      </c>
      <c r="N1308" s="66" t="str">
        <f t="shared" si="144"/>
        <v/>
      </c>
      <c r="O1308" s="66" t="str">
        <f t="shared" si="145"/>
        <v/>
      </c>
      <c r="P1308" s="66" t="str">
        <f t="shared" si="146"/>
        <v/>
      </c>
    </row>
    <row r="1309" spans="8:16">
      <c r="H1309" s="66" t="e">
        <f>IF(LEFT(A1309,6)="CEPNTR","GPINS",VLOOKUP(LEFT(A1309,6),'Code Library'!$A$3:$B$920,2,0))&amp;"_"&amp;RIGHT(A1309,3)</f>
        <v>#N/A</v>
      </c>
      <c r="I1309" s="66">
        <f t="shared" si="140"/>
        <v>0</v>
      </c>
      <c r="K1309" s="66" t="str">
        <f t="shared" si="141"/>
        <v/>
      </c>
      <c r="L1309" s="66" t="str">
        <f t="shared" si="142"/>
        <v/>
      </c>
      <c r="M1309" s="66" t="str">
        <f t="shared" si="143"/>
        <v/>
      </c>
      <c r="N1309" s="66" t="str">
        <f t="shared" si="144"/>
        <v/>
      </c>
      <c r="O1309" s="66" t="str">
        <f t="shared" si="145"/>
        <v/>
      </c>
      <c r="P1309" s="66" t="str">
        <f t="shared" si="146"/>
        <v/>
      </c>
    </row>
    <row r="1310" spans="8:16">
      <c r="H1310" s="66" t="e">
        <f>IF(LEFT(A1310,6)="CEPNTR","GPINS",VLOOKUP(LEFT(A1310,6),'Code Library'!$A$3:$B$920,2,0))&amp;"_"&amp;RIGHT(A1310,3)</f>
        <v>#N/A</v>
      </c>
      <c r="I1310" s="66">
        <f t="shared" si="140"/>
        <v>0</v>
      </c>
      <c r="K1310" s="66" t="str">
        <f t="shared" si="141"/>
        <v/>
      </c>
      <c r="L1310" s="66" t="str">
        <f t="shared" si="142"/>
        <v/>
      </c>
      <c r="M1310" s="66" t="str">
        <f t="shared" si="143"/>
        <v/>
      </c>
      <c r="N1310" s="66" t="str">
        <f t="shared" si="144"/>
        <v/>
      </c>
      <c r="O1310" s="66" t="str">
        <f t="shared" si="145"/>
        <v/>
      </c>
      <c r="P1310" s="66" t="str">
        <f t="shared" si="146"/>
        <v/>
      </c>
    </row>
    <row r="1311" spans="8:16">
      <c r="H1311" s="66" t="e">
        <f>IF(LEFT(A1311,6)="CEPNTR","GPINS",VLOOKUP(LEFT(A1311,6),'Code Library'!$A$3:$B$920,2,0))&amp;"_"&amp;RIGHT(A1311,3)</f>
        <v>#N/A</v>
      </c>
      <c r="I1311" s="66">
        <f t="shared" si="140"/>
        <v>0</v>
      </c>
      <c r="K1311" s="66" t="str">
        <f t="shared" si="141"/>
        <v/>
      </c>
      <c r="L1311" s="66" t="str">
        <f t="shared" si="142"/>
        <v/>
      </c>
      <c r="M1311" s="66" t="str">
        <f t="shared" si="143"/>
        <v/>
      </c>
      <c r="N1311" s="66" t="str">
        <f t="shared" si="144"/>
        <v/>
      </c>
      <c r="O1311" s="66" t="str">
        <f t="shared" si="145"/>
        <v/>
      </c>
      <c r="P1311" s="66" t="str">
        <f t="shared" si="146"/>
        <v/>
      </c>
    </row>
    <row r="1312" spans="8:16">
      <c r="H1312" s="66" t="e">
        <f>IF(LEFT(A1312,6)="CEPNTR","GPINS",VLOOKUP(LEFT(A1312,6),'Code Library'!$A$3:$B$920,2,0))&amp;"_"&amp;RIGHT(A1312,3)</f>
        <v>#N/A</v>
      </c>
      <c r="I1312" s="66">
        <f t="shared" si="140"/>
        <v>0</v>
      </c>
      <c r="K1312" s="66" t="str">
        <f t="shared" si="141"/>
        <v/>
      </c>
      <c r="L1312" s="66" t="str">
        <f t="shared" si="142"/>
        <v/>
      </c>
      <c r="M1312" s="66" t="str">
        <f t="shared" si="143"/>
        <v/>
      </c>
      <c r="N1312" s="66" t="str">
        <f t="shared" si="144"/>
        <v/>
      </c>
      <c r="O1312" s="66" t="str">
        <f t="shared" si="145"/>
        <v/>
      </c>
      <c r="P1312" s="66" t="str">
        <f t="shared" si="146"/>
        <v/>
      </c>
    </row>
    <row r="1313" spans="8:16">
      <c r="H1313" s="66" t="e">
        <f>IF(LEFT(A1313,6)="CEPNTR","GPINS",VLOOKUP(LEFT(A1313,6),'Code Library'!$A$3:$B$920,2,0))&amp;"_"&amp;RIGHT(A1313,3)</f>
        <v>#N/A</v>
      </c>
      <c r="I1313" s="66">
        <f t="shared" si="140"/>
        <v>0</v>
      </c>
      <c r="K1313" s="66" t="str">
        <f t="shared" si="141"/>
        <v/>
      </c>
      <c r="L1313" s="66" t="str">
        <f t="shared" si="142"/>
        <v/>
      </c>
      <c r="M1313" s="66" t="str">
        <f t="shared" si="143"/>
        <v/>
      </c>
      <c r="N1313" s="66" t="str">
        <f t="shared" si="144"/>
        <v/>
      </c>
      <c r="O1313" s="66" t="str">
        <f t="shared" si="145"/>
        <v/>
      </c>
      <c r="P1313" s="66" t="str">
        <f t="shared" si="146"/>
        <v/>
      </c>
    </row>
    <row r="1314" spans="8:16">
      <c r="H1314" s="66" t="e">
        <f>IF(LEFT(A1314,6)="CEPNTR","GPINS",VLOOKUP(LEFT(A1314,6),'Code Library'!$A$3:$B$920,2,0))&amp;"_"&amp;RIGHT(A1314,3)</f>
        <v>#N/A</v>
      </c>
      <c r="I1314" s="66">
        <f t="shared" si="140"/>
        <v>0</v>
      </c>
      <c r="K1314" s="66" t="str">
        <f t="shared" si="141"/>
        <v/>
      </c>
      <c r="L1314" s="66" t="str">
        <f t="shared" si="142"/>
        <v/>
      </c>
      <c r="M1314" s="66" t="str">
        <f t="shared" si="143"/>
        <v/>
      </c>
      <c r="N1314" s="66" t="str">
        <f t="shared" si="144"/>
        <v/>
      </c>
      <c r="O1314" s="66" t="str">
        <f t="shared" si="145"/>
        <v/>
      </c>
      <c r="P1314" s="66" t="str">
        <f t="shared" si="146"/>
        <v/>
      </c>
    </row>
    <row r="1315" spans="8:16">
      <c r="H1315" s="66" t="e">
        <f>IF(LEFT(A1315,6)="CEPNTR","GPINS",VLOOKUP(LEFT(A1315,6),'Code Library'!$A$3:$B$920,2,0))&amp;"_"&amp;RIGHT(A1315,3)</f>
        <v>#N/A</v>
      </c>
      <c r="I1315" s="66">
        <f t="shared" si="140"/>
        <v>0</v>
      </c>
      <c r="K1315" s="66" t="str">
        <f t="shared" si="141"/>
        <v/>
      </c>
      <c r="L1315" s="66" t="str">
        <f t="shared" si="142"/>
        <v/>
      </c>
      <c r="M1315" s="66" t="str">
        <f t="shared" si="143"/>
        <v/>
      </c>
      <c r="N1315" s="66" t="str">
        <f t="shared" si="144"/>
        <v/>
      </c>
      <c r="O1315" s="66" t="str">
        <f t="shared" si="145"/>
        <v/>
      </c>
      <c r="P1315" s="66" t="str">
        <f t="shared" si="146"/>
        <v/>
      </c>
    </row>
    <row r="1316" spans="8:16">
      <c r="H1316" s="66" t="e">
        <f>IF(LEFT(A1316,6)="CEPNTR","GPINS",VLOOKUP(LEFT(A1316,6),'Code Library'!$A$3:$B$920,2,0))&amp;"_"&amp;RIGHT(A1316,3)</f>
        <v>#N/A</v>
      </c>
      <c r="I1316" s="66">
        <f t="shared" si="140"/>
        <v>0</v>
      </c>
      <c r="K1316" s="66" t="str">
        <f t="shared" si="141"/>
        <v/>
      </c>
      <c r="L1316" s="66" t="str">
        <f t="shared" si="142"/>
        <v/>
      </c>
      <c r="M1316" s="66" t="str">
        <f t="shared" si="143"/>
        <v/>
      </c>
      <c r="N1316" s="66" t="str">
        <f t="shared" si="144"/>
        <v/>
      </c>
      <c r="O1316" s="66" t="str">
        <f t="shared" si="145"/>
        <v/>
      </c>
      <c r="P1316" s="66" t="str">
        <f t="shared" si="146"/>
        <v/>
      </c>
    </row>
    <row r="1317" spans="8:16">
      <c r="H1317" s="66" t="e">
        <f>IF(LEFT(A1317,6)="CEPNTR","GPINS",VLOOKUP(LEFT(A1317,6),'Code Library'!$A$3:$B$920,2,0))&amp;"_"&amp;RIGHT(A1317,3)</f>
        <v>#N/A</v>
      </c>
      <c r="I1317" s="66">
        <f t="shared" si="140"/>
        <v>0</v>
      </c>
      <c r="K1317" s="66" t="str">
        <f t="shared" si="141"/>
        <v/>
      </c>
      <c r="L1317" s="66" t="str">
        <f t="shared" si="142"/>
        <v/>
      </c>
      <c r="M1317" s="66" t="str">
        <f t="shared" si="143"/>
        <v/>
      </c>
      <c r="N1317" s="66" t="str">
        <f t="shared" si="144"/>
        <v/>
      </c>
      <c r="O1317" s="66" t="str">
        <f t="shared" si="145"/>
        <v/>
      </c>
      <c r="P1317" s="66" t="str">
        <f t="shared" si="146"/>
        <v/>
      </c>
    </row>
    <row r="1318" spans="8:16">
      <c r="H1318" s="66" t="e">
        <f>IF(LEFT(A1318,6)="CEPNTR","GPINS",VLOOKUP(LEFT(A1318,6),'Code Library'!$A$3:$B$920,2,0))&amp;"_"&amp;RIGHT(A1318,3)</f>
        <v>#N/A</v>
      </c>
      <c r="I1318" s="66">
        <f t="shared" si="140"/>
        <v>0</v>
      </c>
      <c r="K1318" s="66" t="str">
        <f t="shared" si="141"/>
        <v/>
      </c>
      <c r="L1318" s="66" t="str">
        <f t="shared" si="142"/>
        <v/>
      </c>
      <c r="M1318" s="66" t="str">
        <f t="shared" si="143"/>
        <v/>
      </c>
      <c r="N1318" s="66" t="str">
        <f t="shared" si="144"/>
        <v/>
      </c>
      <c r="O1318" s="66" t="str">
        <f t="shared" si="145"/>
        <v/>
      </c>
      <c r="P1318" s="66" t="str">
        <f t="shared" si="146"/>
        <v/>
      </c>
    </row>
    <row r="1319" spans="8:16">
      <c r="H1319" s="66" t="e">
        <f>IF(LEFT(A1319,6)="CEPNTR","GPINS",VLOOKUP(LEFT(A1319,6),'Code Library'!$A$3:$B$920,2,0))&amp;"_"&amp;RIGHT(A1319,3)</f>
        <v>#N/A</v>
      </c>
      <c r="I1319" s="66">
        <f t="shared" si="140"/>
        <v>0</v>
      </c>
      <c r="K1319" s="66" t="str">
        <f t="shared" si="141"/>
        <v/>
      </c>
      <c r="L1319" s="66" t="str">
        <f t="shared" si="142"/>
        <v/>
      </c>
      <c r="M1319" s="66" t="str">
        <f t="shared" si="143"/>
        <v/>
      </c>
      <c r="N1319" s="66" t="str">
        <f t="shared" si="144"/>
        <v/>
      </c>
      <c r="O1319" s="66" t="str">
        <f t="shared" si="145"/>
        <v/>
      </c>
      <c r="P1319" s="66" t="str">
        <f t="shared" si="146"/>
        <v/>
      </c>
    </row>
    <row r="1320" spans="8:16">
      <c r="H1320" s="66" t="e">
        <f>IF(LEFT(A1320,6)="CEPNTR","GPINS",VLOOKUP(LEFT(A1320,6),'Code Library'!$A$3:$B$920,2,0))&amp;"_"&amp;RIGHT(A1320,3)</f>
        <v>#N/A</v>
      </c>
      <c r="I1320" s="66">
        <f t="shared" si="140"/>
        <v>0</v>
      </c>
      <c r="K1320" s="66" t="str">
        <f t="shared" si="141"/>
        <v/>
      </c>
      <c r="L1320" s="66" t="str">
        <f t="shared" si="142"/>
        <v/>
      </c>
      <c r="M1320" s="66" t="str">
        <f t="shared" si="143"/>
        <v/>
      </c>
      <c r="N1320" s="66" t="str">
        <f t="shared" si="144"/>
        <v/>
      </c>
      <c r="O1320" s="66" t="str">
        <f t="shared" si="145"/>
        <v/>
      </c>
      <c r="P1320" s="66" t="str">
        <f t="shared" si="146"/>
        <v/>
      </c>
    </row>
    <row r="1321" spans="8:16">
      <c r="H1321" s="66" t="e">
        <f>IF(LEFT(A1321,6)="CEPNTR","GPINS",VLOOKUP(LEFT(A1321,6),'Code Library'!$A$3:$B$920,2,0))&amp;"_"&amp;RIGHT(A1321,3)</f>
        <v>#N/A</v>
      </c>
      <c r="I1321" s="66">
        <f t="shared" si="140"/>
        <v>0</v>
      </c>
      <c r="K1321" s="66" t="str">
        <f t="shared" si="141"/>
        <v/>
      </c>
      <c r="L1321" s="66" t="str">
        <f t="shared" si="142"/>
        <v/>
      </c>
      <c r="M1321" s="66" t="str">
        <f t="shared" si="143"/>
        <v/>
      </c>
      <c r="N1321" s="66" t="str">
        <f t="shared" si="144"/>
        <v/>
      </c>
      <c r="O1321" s="66" t="str">
        <f t="shared" si="145"/>
        <v/>
      </c>
      <c r="P1321" s="66" t="str">
        <f t="shared" si="146"/>
        <v/>
      </c>
    </row>
    <row r="1322" spans="8:16">
      <c r="H1322" s="66" t="e">
        <f>IF(LEFT(A1322,6)="CEPNTR","GPINS",VLOOKUP(LEFT(A1322,6),'Code Library'!$A$3:$B$920,2,0))&amp;"_"&amp;RIGHT(A1322,3)</f>
        <v>#N/A</v>
      </c>
      <c r="I1322" s="66">
        <f t="shared" si="140"/>
        <v>0</v>
      </c>
      <c r="K1322" s="66" t="str">
        <f t="shared" si="141"/>
        <v/>
      </c>
      <c r="L1322" s="66" t="str">
        <f t="shared" si="142"/>
        <v/>
      </c>
      <c r="M1322" s="66" t="str">
        <f t="shared" si="143"/>
        <v/>
      </c>
      <c r="N1322" s="66" t="str">
        <f t="shared" si="144"/>
        <v/>
      </c>
      <c r="O1322" s="66" t="str">
        <f t="shared" si="145"/>
        <v/>
      </c>
      <c r="P1322" s="66" t="str">
        <f t="shared" si="146"/>
        <v/>
      </c>
    </row>
    <row r="1323" spans="8:16">
      <c r="H1323" s="66" t="e">
        <f>IF(LEFT(A1323,6)="CEPNTR","GPINS",VLOOKUP(LEFT(A1323,6),'Code Library'!$A$3:$B$920,2,0))&amp;"_"&amp;RIGHT(A1323,3)</f>
        <v>#N/A</v>
      </c>
      <c r="I1323" s="66">
        <f t="shared" si="140"/>
        <v>0</v>
      </c>
      <c r="K1323" s="66" t="str">
        <f t="shared" si="141"/>
        <v/>
      </c>
      <c r="L1323" s="66" t="str">
        <f t="shared" si="142"/>
        <v/>
      </c>
      <c r="M1323" s="66" t="str">
        <f t="shared" si="143"/>
        <v/>
      </c>
      <c r="N1323" s="66" t="str">
        <f t="shared" si="144"/>
        <v/>
      </c>
      <c r="O1323" s="66" t="str">
        <f t="shared" si="145"/>
        <v/>
      </c>
      <c r="P1323" s="66" t="str">
        <f t="shared" si="146"/>
        <v/>
      </c>
    </row>
    <row r="1324" spans="8:16">
      <c r="H1324" s="66" t="e">
        <f>IF(LEFT(A1324,6)="CEPNTR","GPINS",VLOOKUP(LEFT(A1324,6),'Code Library'!$A$3:$B$920,2,0))&amp;"_"&amp;RIGHT(A1324,3)</f>
        <v>#N/A</v>
      </c>
      <c r="I1324" s="66">
        <f t="shared" si="140"/>
        <v>0</v>
      </c>
      <c r="K1324" s="66" t="str">
        <f t="shared" si="141"/>
        <v/>
      </c>
      <c r="L1324" s="66" t="str">
        <f t="shared" si="142"/>
        <v/>
      </c>
      <c r="M1324" s="66" t="str">
        <f t="shared" si="143"/>
        <v/>
      </c>
      <c r="N1324" s="66" t="str">
        <f t="shared" si="144"/>
        <v/>
      </c>
      <c r="O1324" s="66" t="str">
        <f t="shared" si="145"/>
        <v/>
      </c>
      <c r="P1324" s="66" t="str">
        <f t="shared" si="146"/>
        <v/>
      </c>
    </row>
    <row r="1325" spans="8:16">
      <c r="H1325" s="66" t="e">
        <f>IF(LEFT(A1325,6)="CEPNTR","GPINS",VLOOKUP(LEFT(A1325,6),'Code Library'!$A$3:$B$920,2,0))&amp;"_"&amp;RIGHT(A1325,3)</f>
        <v>#N/A</v>
      </c>
      <c r="I1325" s="66">
        <f t="shared" si="140"/>
        <v>0</v>
      </c>
      <c r="K1325" s="66" t="str">
        <f t="shared" si="141"/>
        <v/>
      </c>
      <c r="L1325" s="66" t="str">
        <f t="shared" si="142"/>
        <v/>
      </c>
      <c r="M1325" s="66" t="str">
        <f t="shared" si="143"/>
        <v/>
      </c>
      <c r="N1325" s="66" t="str">
        <f t="shared" si="144"/>
        <v/>
      </c>
      <c r="O1325" s="66" t="str">
        <f t="shared" si="145"/>
        <v/>
      </c>
      <c r="P1325" s="66" t="str">
        <f t="shared" si="146"/>
        <v/>
      </c>
    </row>
    <row r="1326" spans="8:16">
      <c r="H1326" s="66" t="e">
        <f>IF(LEFT(A1326,6)="CEPNTR","GPINS",VLOOKUP(LEFT(A1326,6),'Code Library'!$A$3:$B$920,2,0))&amp;"_"&amp;RIGHT(A1326,3)</f>
        <v>#N/A</v>
      </c>
      <c r="I1326" s="66">
        <f t="shared" si="140"/>
        <v>0</v>
      </c>
      <c r="K1326" s="66" t="str">
        <f t="shared" si="141"/>
        <v/>
      </c>
      <c r="L1326" s="66" t="str">
        <f t="shared" si="142"/>
        <v/>
      </c>
      <c r="M1326" s="66" t="str">
        <f t="shared" si="143"/>
        <v/>
      </c>
      <c r="N1326" s="66" t="str">
        <f t="shared" si="144"/>
        <v/>
      </c>
      <c r="O1326" s="66" t="str">
        <f t="shared" si="145"/>
        <v/>
      </c>
      <c r="P1326" s="66" t="str">
        <f t="shared" si="146"/>
        <v/>
      </c>
    </row>
    <row r="1327" spans="8:16">
      <c r="H1327" s="66" t="e">
        <f>IF(LEFT(A1327,6)="CEPNTR","GPINS",VLOOKUP(LEFT(A1327,6),'Code Library'!$A$3:$B$920,2,0))&amp;"_"&amp;RIGHT(A1327,3)</f>
        <v>#N/A</v>
      </c>
      <c r="I1327" s="66">
        <f t="shared" si="140"/>
        <v>0</v>
      </c>
      <c r="K1327" s="66" t="str">
        <f t="shared" si="141"/>
        <v/>
      </c>
      <c r="L1327" s="66" t="str">
        <f t="shared" si="142"/>
        <v/>
      </c>
      <c r="M1327" s="66" t="str">
        <f t="shared" si="143"/>
        <v/>
      </c>
      <c r="N1327" s="66" t="str">
        <f t="shared" si="144"/>
        <v/>
      </c>
      <c r="O1327" s="66" t="str">
        <f t="shared" si="145"/>
        <v/>
      </c>
      <c r="P1327" s="66" t="str">
        <f t="shared" si="146"/>
        <v/>
      </c>
    </row>
    <row r="1328" spans="8:16">
      <c r="H1328" s="66" t="e">
        <f>IF(LEFT(A1328,6)="CEPNTR","GPINS",VLOOKUP(LEFT(A1328,6),'Code Library'!$A$3:$B$920,2,0))&amp;"_"&amp;RIGHT(A1328,3)</f>
        <v>#N/A</v>
      </c>
      <c r="I1328" s="66">
        <f t="shared" si="140"/>
        <v>0</v>
      </c>
      <c r="K1328" s="66" t="str">
        <f t="shared" si="141"/>
        <v/>
      </c>
      <c r="L1328" s="66" t="str">
        <f t="shared" si="142"/>
        <v/>
      </c>
      <c r="M1328" s="66" t="str">
        <f t="shared" si="143"/>
        <v/>
      </c>
      <c r="N1328" s="66" t="str">
        <f t="shared" si="144"/>
        <v/>
      </c>
      <c r="O1328" s="66" t="str">
        <f t="shared" si="145"/>
        <v/>
      </c>
      <c r="P1328" s="66" t="str">
        <f t="shared" si="146"/>
        <v/>
      </c>
    </row>
    <row r="1329" spans="8:16">
      <c r="H1329" s="66" t="e">
        <f>IF(LEFT(A1329,6)="CEPNTR","GPINS",VLOOKUP(LEFT(A1329,6),'Code Library'!$A$3:$B$920,2,0))&amp;"_"&amp;RIGHT(A1329,3)</f>
        <v>#N/A</v>
      </c>
      <c r="I1329" s="66">
        <f t="shared" si="140"/>
        <v>0</v>
      </c>
      <c r="K1329" s="66" t="str">
        <f t="shared" si="141"/>
        <v/>
      </c>
      <c r="L1329" s="66" t="str">
        <f t="shared" si="142"/>
        <v/>
      </c>
      <c r="M1329" s="66" t="str">
        <f t="shared" si="143"/>
        <v/>
      </c>
      <c r="N1329" s="66" t="str">
        <f t="shared" si="144"/>
        <v/>
      </c>
      <c r="O1329" s="66" t="str">
        <f t="shared" si="145"/>
        <v/>
      </c>
      <c r="P1329" s="66" t="str">
        <f t="shared" si="146"/>
        <v/>
      </c>
    </row>
    <row r="1330" spans="8:16">
      <c r="H1330" s="66" t="e">
        <f>IF(LEFT(A1330,6)="CEPNTR","GPINS",VLOOKUP(LEFT(A1330,6),'Code Library'!$A$3:$B$920,2,0))&amp;"_"&amp;RIGHT(A1330,3)</f>
        <v>#N/A</v>
      </c>
      <c r="I1330" s="66">
        <f t="shared" si="140"/>
        <v>0</v>
      </c>
      <c r="K1330" s="66" t="str">
        <f t="shared" si="141"/>
        <v/>
      </c>
      <c r="L1330" s="66" t="str">
        <f t="shared" si="142"/>
        <v/>
      </c>
      <c r="M1330" s="66" t="str">
        <f t="shared" si="143"/>
        <v/>
      </c>
      <c r="N1330" s="66" t="str">
        <f t="shared" si="144"/>
        <v/>
      </c>
      <c r="O1330" s="66" t="str">
        <f t="shared" si="145"/>
        <v/>
      </c>
      <c r="P1330" s="66" t="str">
        <f t="shared" si="146"/>
        <v/>
      </c>
    </row>
    <row r="1331" spans="8:16">
      <c r="H1331" s="66" t="e">
        <f>IF(LEFT(A1331,6)="CEPNTR","GPINS",VLOOKUP(LEFT(A1331,6),'Code Library'!$A$3:$B$920,2,0))&amp;"_"&amp;RIGHT(A1331,3)</f>
        <v>#N/A</v>
      </c>
      <c r="I1331" s="66">
        <f t="shared" si="140"/>
        <v>0</v>
      </c>
      <c r="K1331" s="66" t="str">
        <f t="shared" si="141"/>
        <v/>
      </c>
      <c r="L1331" s="66" t="str">
        <f t="shared" si="142"/>
        <v/>
      </c>
      <c r="M1331" s="66" t="str">
        <f t="shared" si="143"/>
        <v/>
      </c>
      <c r="N1331" s="66" t="str">
        <f t="shared" si="144"/>
        <v/>
      </c>
      <c r="O1331" s="66" t="str">
        <f t="shared" si="145"/>
        <v/>
      </c>
      <c r="P1331" s="66" t="str">
        <f t="shared" si="146"/>
        <v/>
      </c>
    </row>
    <row r="1332" spans="8:16">
      <c r="H1332" s="66" t="e">
        <f>IF(LEFT(A1332,6)="CEPNTR","GPINS",VLOOKUP(LEFT(A1332,6),'Code Library'!$A$3:$B$920,2,0))&amp;"_"&amp;RIGHT(A1332,3)</f>
        <v>#N/A</v>
      </c>
      <c r="I1332" s="66">
        <f t="shared" si="140"/>
        <v>0</v>
      </c>
      <c r="K1332" s="66" t="str">
        <f t="shared" si="141"/>
        <v/>
      </c>
      <c r="L1332" s="66" t="str">
        <f t="shared" si="142"/>
        <v/>
      </c>
      <c r="M1332" s="66" t="str">
        <f t="shared" si="143"/>
        <v/>
      </c>
      <c r="N1332" s="66" t="str">
        <f t="shared" si="144"/>
        <v/>
      </c>
      <c r="O1332" s="66" t="str">
        <f t="shared" si="145"/>
        <v/>
      </c>
      <c r="P1332" s="66" t="str">
        <f t="shared" si="146"/>
        <v/>
      </c>
    </row>
    <row r="1333" spans="8:16">
      <c r="H1333" s="66" t="e">
        <f>IF(LEFT(A1333,6)="CEPNTR","GPINS",VLOOKUP(LEFT(A1333,6),'Code Library'!$A$3:$B$920,2,0))&amp;"_"&amp;RIGHT(A1333,3)</f>
        <v>#N/A</v>
      </c>
      <c r="I1333" s="66">
        <f t="shared" si="140"/>
        <v>0</v>
      </c>
      <c r="K1333" s="66" t="str">
        <f t="shared" si="141"/>
        <v/>
      </c>
      <c r="L1333" s="66" t="str">
        <f t="shared" si="142"/>
        <v/>
      </c>
      <c r="M1333" s="66" t="str">
        <f t="shared" si="143"/>
        <v/>
      </c>
      <c r="N1333" s="66" t="str">
        <f t="shared" si="144"/>
        <v/>
      </c>
      <c r="O1333" s="66" t="str">
        <f t="shared" si="145"/>
        <v/>
      </c>
      <c r="P1333" s="66" t="str">
        <f t="shared" si="146"/>
        <v/>
      </c>
    </row>
    <row r="1334" spans="8:16">
      <c r="H1334" s="66" t="e">
        <f>IF(LEFT(A1334,6)="CEPNTR","GPINS",VLOOKUP(LEFT(A1334,6),'Code Library'!$A$3:$B$920,2,0))&amp;"_"&amp;RIGHT(A1334,3)</f>
        <v>#N/A</v>
      </c>
      <c r="I1334" s="66">
        <f t="shared" si="140"/>
        <v>0</v>
      </c>
      <c r="K1334" s="66" t="str">
        <f t="shared" si="141"/>
        <v/>
      </c>
      <c r="L1334" s="66" t="str">
        <f t="shared" si="142"/>
        <v/>
      </c>
      <c r="M1334" s="66" t="str">
        <f t="shared" si="143"/>
        <v/>
      </c>
      <c r="N1334" s="66" t="str">
        <f t="shared" si="144"/>
        <v/>
      </c>
      <c r="O1334" s="66" t="str">
        <f t="shared" si="145"/>
        <v/>
      </c>
      <c r="P1334" s="66" t="str">
        <f t="shared" si="146"/>
        <v/>
      </c>
    </row>
    <row r="1335" spans="8:16">
      <c r="H1335" s="66" t="e">
        <f>IF(LEFT(A1335,6)="CEPNTR","GPINS",VLOOKUP(LEFT(A1335,6),'Code Library'!$A$3:$B$920,2,0))&amp;"_"&amp;RIGHT(A1335,3)</f>
        <v>#N/A</v>
      </c>
      <c r="I1335" s="66">
        <f t="shared" si="140"/>
        <v>0</v>
      </c>
      <c r="K1335" s="66" t="str">
        <f t="shared" si="141"/>
        <v/>
      </c>
      <c r="L1335" s="66" t="str">
        <f t="shared" si="142"/>
        <v/>
      </c>
      <c r="M1335" s="66" t="str">
        <f t="shared" si="143"/>
        <v/>
      </c>
      <c r="N1335" s="66" t="str">
        <f t="shared" si="144"/>
        <v/>
      </c>
      <c r="O1335" s="66" t="str">
        <f t="shared" si="145"/>
        <v/>
      </c>
      <c r="P1335" s="66" t="str">
        <f t="shared" si="146"/>
        <v/>
      </c>
    </row>
    <row r="1336" spans="8:16">
      <c r="H1336" s="66" t="e">
        <f>IF(LEFT(A1336,6)="CEPNTR","GPINS",VLOOKUP(LEFT(A1336,6),'Code Library'!$A$3:$B$920,2,0))&amp;"_"&amp;RIGHT(A1336,3)</f>
        <v>#N/A</v>
      </c>
      <c r="I1336" s="66">
        <f t="shared" si="140"/>
        <v>0</v>
      </c>
      <c r="K1336" s="66" t="str">
        <f t="shared" si="141"/>
        <v/>
      </c>
      <c r="L1336" s="66" t="str">
        <f t="shared" si="142"/>
        <v/>
      </c>
      <c r="M1336" s="66" t="str">
        <f t="shared" si="143"/>
        <v/>
      </c>
      <c r="N1336" s="66" t="str">
        <f t="shared" si="144"/>
        <v/>
      </c>
      <c r="O1336" s="66" t="str">
        <f t="shared" si="145"/>
        <v/>
      </c>
      <c r="P1336" s="66" t="str">
        <f t="shared" si="146"/>
        <v/>
      </c>
    </row>
    <row r="1337" spans="8:16">
      <c r="H1337" s="66" t="e">
        <f>IF(LEFT(A1337,6)="CEPNTR","GPINS",VLOOKUP(LEFT(A1337,6),'Code Library'!$A$3:$B$920,2,0))&amp;"_"&amp;RIGHT(A1337,3)</f>
        <v>#N/A</v>
      </c>
      <c r="I1337" s="66">
        <f t="shared" si="140"/>
        <v>0</v>
      </c>
      <c r="K1337" s="66" t="str">
        <f t="shared" si="141"/>
        <v/>
      </c>
      <c r="L1337" s="66" t="str">
        <f t="shared" si="142"/>
        <v/>
      </c>
      <c r="M1337" s="66" t="str">
        <f t="shared" si="143"/>
        <v/>
      </c>
      <c r="N1337" s="66" t="str">
        <f t="shared" si="144"/>
        <v/>
      </c>
      <c r="O1337" s="66" t="str">
        <f t="shared" si="145"/>
        <v/>
      </c>
      <c r="P1337" s="66" t="str">
        <f t="shared" si="146"/>
        <v/>
      </c>
    </row>
    <row r="1338" spans="8:16">
      <c r="H1338" s="66" t="e">
        <f>IF(LEFT(A1338,6)="CEPNTR","GPINS",VLOOKUP(LEFT(A1338,6),'Code Library'!$A$3:$B$920,2,0))&amp;"_"&amp;RIGHT(A1338,3)</f>
        <v>#N/A</v>
      </c>
      <c r="I1338" s="66">
        <f t="shared" si="140"/>
        <v>0</v>
      </c>
      <c r="K1338" s="66" t="str">
        <f t="shared" si="141"/>
        <v/>
      </c>
      <c r="L1338" s="66" t="str">
        <f t="shared" si="142"/>
        <v/>
      </c>
      <c r="M1338" s="66" t="str">
        <f t="shared" si="143"/>
        <v/>
      </c>
      <c r="N1338" s="66" t="str">
        <f t="shared" si="144"/>
        <v/>
      </c>
      <c r="O1338" s="66" t="str">
        <f t="shared" si="145"/>
        <v/>
      </c>
      <c r="P1338" s="66" t="str">
        <f t="shared" si="146"/>
        <v/>
      </c>
    </row>
    <row r="1339" spans="8:16">
      <c r="H1339" s="66" t="e">
        <f>IF(LEFT(A1339,6)="CEPNTR","GPINS",VLOOKUP(LEFT(A1339,6),'Code Library'!$A$3:$B$920,2,0))&amp;"_"&amp;RIGHT(A1339,3)</f>
        <v>#N/A</v>
      </c>
      <c r="I1339" s="66">
        <f t="shared" si="140"/>
        <v>0</v>
      </c>
      <c r="K1339" s="66" t="str">
        <f t="shared" si="141"/>
        <v/>
      </c>
      <c r="L1339" s="66" t="str">
        <f t="shared" si="142"/>
        <v/>
      </c>
      <c r="M1339" s="66" t="str">
        <f t="shared" si="143"/>
        <v/>
      </c>
      <c r="N1339" s="66" t="str">
        <f t="shared" si="144"/>
        <v/>
      </c>
      <c r="O1339" s="66" t="str">
        <f t="shared" si="145"/>
        <v/>
      </c>
      <c r="P1339" s="66" t="str">
        <f t="shared" si="146"/>
        <v/>
      </c>
    </row>
    <row r="1340" spans="8:16">
      <c r="H1340" s="66" t="e">
        <f>IF(LEFT(A1340,6)="CEPNTR","GPINS",VLOOKUP(LEFT(A1340,6),'Code Library'!$A$3:$B$920,2,0))&amp;"_"&amp;RIGHT(A1340,3)</f>
        <v>#N/A</v>
      </c>
      <c r="I1340" s="66">
        <f t="shared" si="140"/>
        <v>0</v>
      </c>
      <c r="K1340" s="66" t="str">
        <f t="shared" si="141"/>
        <v/>
      </c>
      <c r="L1340" s="66" t="str">
        <f t="shared" si="142"/>
        <v/>
      </c>
      <c r="M1340" s="66" t="str">
        <f t="shared" si="143"/>
        <v/>
      </c>
      <c r="N1340" s="66" t="str">
        <f t="shared" si="144"/>
        <v/>
      </c>
      <c r="O1340" s="66" t="str">
        <f t="shared" si="145"/>
        <v/>
      </c>
      <c r="P1340" s="66" t="str">
        <f t="shared" si="146"/>
        <v/>
      </c>
    </row>
    <row r="1341" spans="8:16">
      <c r="H1341" s="66" t="e">
        <f>IF(LEFT(A1341,6)="CEPNTR","GPINS",VLOOKUP(LEFT(A1341,6),'Code Library'!$A$3:$B$920,2,0))&amp;"_"&amp;RIGHT(A1341,3)</f>
        <v>#N/A</v>
      </c>
      <c r="I1341" s="66">
        <f t="shared" si="140"/>
        <v>0</v>
      </c>
      <c r="K1341" s="66" t="str">
        <f t="shared" si="141"/>
        <v/>
      </c>
      <c r="L1341" s="66" t="str">
        <f t="shared" si="142"/>
        <v/>
      </c>
      <c r="M1341" s="66" t="str">
        <f t="shared" si="143"/>
        <v/>
      </c>
      <c r="N1341" s="66" t="str">
        <f t="shared" si="144"/>
        <v/>
      </c>
      <c r="O1341" s="66" t="str">
        <f t="shared" si="145"/>
        <v/>
      </c>
      <c r="P1341" s="66" t="str">
        <f t="shared" si="146"/>
        <v/>
      </c>
    </row>
    <row r="1342" spans="8:16">
      <c r="H1342" s="66" t="e">
        <f>IF(LEFT(A1342,6)="CEPNTR","GPINS",VLOOKUP(LEFT(A1342,6),'Code Library'!$A$3:$B$920,2,0))&amp;"_"&amp;RIGHT(A1342,3)</f>
        <v>#N/A</v>
      </c>
      <c r="I1342" s="66">
        <f t="shared" si="140"/>
        <v>0</v>
      </c>
      <c r="K1342" s="66" t="str">
        <f t="shared" si="141"/>
        <v/>
      </c>
      <c r="L1342" s="66" t="str">
        <f t="shared" si="142"/>
        <v/>
      </c>
      <c r="M1342" s="66" t="str">
        <f t="shared" si="143"/>
        <v/>
      </c>
      <c r="N1342" s="66" t="str">
        <f t="shared" si="144"/>
        <v/>
      </c>
      <c r="O1342" s="66" t="str">
        <f t="shared" si="145"/>
        <v/>
      </c>
      <c r="P1342" s="66" t="str">
        <f t="shared" si="146"/>
        <v/>
      </c>
    </row>
    <row r="1343" spans="8:16">
      <c r="H1343" s="66" t="e">
        <f>IF(LEFT(A1343,6)="CEPNTR","GPINS",VLOOKUP(LEFT(A1343,6),'Code Library'!$A$3:$B$920,2,0))&amp;"_"&amp;RIGHT(A1343,3)</f>
        <v>#N/A</v>
      </c>
      <c r="I1343" s="66">
        <f t="shared" si="140"/>
        <v>0</v>
      </c>
      <c r="K1343" s="66" t="str">
        <f t="shared" si="141"/>
        <v/>
      </c>
      <c r="L1343" s="66" t="str">
        <f t="shared" si="142"/>
        <v/>
      </c>
      <c r="M1343" s="66" t="str">
        <f t="shared" si="143"/>
        <v/>
      </c>
      <c r="N1343" s="66" t="str">
        <f t="shared" si="144"/>
        <v/>
      </c>
      <c r="O1343" s="66" t="str">
        <f t="shared" si="145"/>
        <v/>
      </c>
      <c r="P1343" s="66" t="str">
        <f t="shared" si="146"/>
        <v/>
      </c>
    </row>
    <row r="1344" spans="8:16">
      <c r="H1344" s="66" t="e">
        <f>IF(LEFT(A1344,6)="CEPNTR","GPINS",VLOOKUP(LEFT(A1344,6),'Code Library'!$A$3:$B$920,2,0))&amp;"_"&amp;RIGHT(A1344,3)</f>
        <v>#N/A</v>
      </c>
      <c r="I1344" s="66">
        <f t="shared" si="140"/>
        <v>0</v>
      </c>
      <c r="K1344" s="66" t="str">
        <f t="shared" si="141"/>
        <v/>
      </c>
      <c r="L1344" s="66" t="str">
        <f t="shared" si="142"/>
        <v/>
      </c>
      <c r="M1344" s="66" t="str">
        <f t="shared" si="143"/>
        <v/>
      </c>
      <c r="N1344" s="66" t="str">
        <f t="shared" si="144"/>
        <v/>
      </c>
      <c r="O1344" s="66" t="str">
        <f t="shared" si="145"/>
        <v/>
      </c>
      <c r="P1344" s="66" t="str">
        <f t="shared" si="146"/>
        <v/>
      </c>
    </row>
    <row r="1345" spans="8:16">
      <c r="H1345" s="66" t="e">
        <f>IF(LEFT(A1345,6)="CEPNTR","GPINS",VLOOKUP(LEFT(A1345,6),'Code Library'!$A$3:$B$920,2,0))&amp;"_"&amp;RIGHT(A1345,3)</f>
        <v>#N/A</v>
      </c>
      <c r="I1345" s="66">
        <f t="shared" si="140"/>
        <v>0</v>
      </c>
      <c r="K1345" s="66" t="str">
        <f t="shared" si="141"/>
        <v/>
      </c>
      <c r="L1345" s="66" t="str">
        <f t="shared" si="142"/>
        <v/>
      </c>
      <c r="M1345" s="66" t="str">
        <f t="shared" si="143"/>
        <v/>
      </c>
      <c r="N1345" s="66" t="str">
        <f t="shared" si="144"/>
        <v/>
      </c>
      <c r="O1345" s="66" t="str">
        <f t="shared" si="145"/>
        <v/>
      </c>
      <c r="P1345" s="66" t="str">
        <f t="shared" si="146"/>
        <v/>
      </c>
    </row>
    <row r="1346" spans="8:16">
      <c r="H1346" s="66" t="e">
        <f>IF(LEFT(A1346,6)="CEPNTR","GPINS",VLOOKUP(LEFT(A1346,6),'Code Library'!$A$3:$B$920,2,0))&amp;"_"&amp;RIGHT(A1346,3)</f>
        <v>#N/A</v>
      </c>
      <c r="I1346" s="66">
        <f t="shared" si="140"/>
        <v>0</v>
      </c>
      <c r="K1346" s="66" t="str">
        <f t="shared" si="141"/>
        <v/>
      </c>
      <c r="L1346" s="66" t="str">
        <f t="shared" si="142"/>
        <v/>
      </c>
      <c r="M1346" s="66" t="str">
        <f t="shared" si="143"/>
        <v/>
      </c>
      <c r="N1346" s="66" t="str">
        <f t="shared" si="144"/>
        <v/>
      </c>
      <c r="O1346" s="66" t="str">
        <f t="shared" si="145"/>
        <v/>
      </c>
      <c r="P1346" s="66" t="str">
        <f t="shared" si="146"/>
        <v/>
      </c>
    </row>
    <row r="1347" spans="8:16">
      <c r="H1347" s="66" t="e">
        <f>IF(LEFT(A1347,6)="CEPNTR","GPINS",VLOOKUP(LEFT(A1347,6),'Code Library'!$A$3:$B$920,2,0))&amp;"_"&amp;RIGHT(A1347,3)</f>
        <v>#N/A</v>
      </c>
      <c r="I1347" s="66">
        <f t="shared" ref="I1347:I1410" si="147">A1347</f>
        <v>0</v>
      </c>
      <c r="K1347" s="66" t="str">
        <f t="shared" ref="K1347:K1410" si="148">RIGHT($B1347,2)</f>
        <v/>
      </c>
      <c r="L1347" s="66" t="str">
        <f t="shared" ref="L1347:L1410" si="149">LEFT(RIGHT($B1347,7),4)</f>
        <v/>
      </c>
      <c r="M1347" s="66" t="str">
        <f t="shared" ref="M1347:M1410" si="150">LEFT(RIGHT($B1347,10),2)</f>
        <v/>
      </c>
      <c r="N1347" s="66" t="str">
        <f t="shared" ref="N1347:N1410" si="151">LEFT(RIGHT($B1347,14),3)</f>
        <v/>
      </c>
      <c r="O1347" s="66" t="str">
        <f t="shared" ref="O1347:O1410" si="152">LEFT(RIGHT($B1347,16),1)</f>
        <v/>
      </c>
      <c r="P1347" s="66" t="str">
        <f t="shared" ref="P1347:P1410" si="153">LEFT(RIGHT($B1347,19),2)</f>
        <v/>
      </c>
    </row>
    <row r="1348" spans="8:16">
      <c r="H1348" s="66" t="e">
        <f>IF(LEFT(A1348,6)="CEPNTR","GPINS",VLOOKUP(LEFT(A1348,6),'Code Library'!$A$3:$B$920,2,0))&amp;"_"&amp;RIGHT(A1348,3)</f>
        <v>#N/A</v>
      </c>
      <c r="I1348" s="66">
        <f t="shared" si="147"/>
        <v>0</v>
      </c>
      <c r="K1348" s="66" t="str">
        <f t="shared" si="148"/>
        <v/>
      </c>
      <c r="L1348" s="66" t="str">
        <f t="shared" si="149"/>
        <v/>
      </c>
      <c r="M1348" s="66" t="str">
        <f t="shared" si="150"/>
        <v/>
      </c>
      <c r="N1348" s="66" t="str">
        <f t="shared" si="151"/>
        <v/>
      </c>
      <c r="O1348" s="66" t="str">
        <f t="shared" si="152"/>
        <v/>
      </c>
      <c r="P1348" s="66" t="str">
        <f t="shared" si="153"/>
        <v/>
      </c>
    </row>
    <row r="1349" spans="8:16">
      <c r="H1349" s="66" t="e">
        <f>IF(LEFT(A1349,6)="CEPNTR","GPINS",VLOOKUP(LEFT(A1349,6),'Code Library'!$A$3:$B$920,2,0))&amp;"_"&amp;RIGHT(A1349,3)</f>
        <v>#N/A</v>
      </c>
      <c r="I1349" s="66">
        <f t="shared" si="147"/>
        <v>0</v>
      </c>
      <c r="K1349" s="66" t="str">
        <f t="shared" si="148"/>
        <v/>
      </c>
      <c r="L1349" s="66" t="str">
        <f t="shared" si="149"/>
        <v/>
      </c>
      <c r="M1349" s="66" t="str">
        <f t="shared" si="150"/>
        <v/>
      </c>
      <c r="N1349" s="66" t="str">
        <f t="shared" si="151"/>
        <v/>
      </c>
      <c r="O1349" s="66" t="str">
        <f t="shared" si="152"/>
        <v/>
      </c>
      <c r="P1349" s="66" t="str">
        <f t="shared" si="153"/>
        <v/>
      </c>
    </row>
    <row r="1350" spans="8:16">
      <c r="H1350" s="66" t="e">
        <f>IF(LEFT(A1350,6)="CEPNTR","GPINS",VLOOKUP(LEFT(A1350,6),'Code Library'!$A$3:$B$920,2,0))&amp;"_"&amp;RIGHT(A1350,3)</f>
        <v>#N/A</v>
      </c>
      <c r="I1350" s="66">
        <f t="shared" si="147"/>
        <v>0</v>
      </c>
      <c r="K1350" s="66" t="str">
        <f t="shared" si="148"/>
        <v/>
      </c>
      <c r="L1350" s="66" t="str">
        <f t="shared" si="149"/>
        <v/>
      </c>
      <c r="M1350" s="66" t="str">
        <f t="shared" si="150"/>
        <v/>
      </c>
      <c r="N1350" s="66" t="str">
        <f t="shared" si="151"/>
        <v/>
      </c>
      <c r="O1350" s="66" t="str">
        <f t="shared" si="152"/>
        <v/>
      </c>
      <c r="P1350" s="66" t="str">
        <f t="shared" si="153"/>
        <v/>
      </c>
    </row>
    <row r="1351" spans="8:16">
      <c r="H1351" s="66" t="e">
        <f>IF(LEFT(A1351,6)="CEPNTR","GPINS",VLOOKUP(LEFT(A1351,6),'Code Library'!$A$3:$B$920,2,0))&amp;"_"&amp;RIGHT(A1351,3)</f>
        <v>#N/A</v>
      </c>
      <c r="I1351" s="66">
        <f t="shared" si="147"/>
        <v>0</v>
      </c>
      <c r="K1351" s="66" t="str">
        <f t="shared" si="148"/>
        <v/>
      </c>
      <c r="L1351" s="66" t="str">
        <f t="shared" si="149"/>
        <v/>
      </c>
      <c r="M1351" s="66" t="str">
        <f t="shared" si="150"/>
        <v/>
      </c>
      <c r="N1351" s="66" t="str">
        <f t="shared" si="151"/>
        <v/>
      </c>
      <c r="O1351" s="66" t="str">
        <f t="shared" si="152"/>
        <v/>
      </c>
      <c r="P1351" s="66" t="str">
        <f t="shared" si="153"/>
        <v/>
      </c>
    </row>
    <row r="1352" spans="8:16">
      <c r="H1352" s="66" t="e">
        <f>IF(LEFT(A1352,6)="CEPNTR","GPINS",VLOOKUP(LEFT(A1352,6),'Code Library'!$A$3:$B$920,2,0))&amp;"_"&amp;RIGHT(A1352,3)</f>
        <v>#N/A</v>
      </c>
      <c r="I1352" s="66">
        <f t="shared" si="147"/>
        <v>0</v>
      </c>
      <c r="K1352" s="66" t="str">
        <f t="shared" si="148"/>
        <v/>
      </c>
      <c r="L1352" s="66" t="str">
        <f t="shared" si="149"/>
        <v/>
      </c>
      <c r="M1352" s="66" t="str">
        <f t="shared" si="150"/>
        <v/>
      </c>
      <c r="N1352" s="66" t="str">
        <f t="shared" si="151"/>
        <v/>
      </c>
      <c r="O1352" s="66" t="str">
        <f t="shared" si="152"/>
        <v/>
      </c>
      <c r="P1352" s="66" t="str">
        <f t="shared" si="153"/>
        <v/>
      </c>
    </row>
    <row r="1353" spans="8:16">
      <c r="H1353" s="66" t="e">
        <f>IF(LEFT(A1353,6)="CEPNTR","GPINS",VLOOKUP(LEFT(A1353,6),'Code Library'!$A$3:$B$920,2,0))&amp;"_"&amp;RIGHT(A1353,3)</f>
        <v>#N/A</v>
      </c>
      <c r="I1353" s="66">
        <f t="shared" si="147"/>
        <v>0</v>
      </c>
      <c r="K1353" s="66" t="str">
        <f t="shared" si="148"/>
        <v/>
      </c>
      <c r="L1353" s="66" t="str">
        <f t="shared" si="149"/>
        <v/>
      </c>
      <c r="M1353" s="66" t="str">
        <f t="shared" si="150"/>
        <v/>
      </c>
      <c r="N1353" s="66" t="str">
        <f t="shared" si="151"/>
        <v/>
      </c>
      <c r="O1353" s="66" t="str">
        <f t="shared" si="152"/>
        <v/>
      </c>
      <c r="P1353" s="66" t="str">
        <f t="shared" si="153"/>
        <v/>
      </c>
    </row>
    <row r="1354" spans="8:16">
      <c r="H1354" s="66" t="e">
        <f>IF(LEFT(A1354,6)="CEPNTR","GPINS",VLOOKUP(LEFT(A1354,6),'Code Library'!$A$3:$B$920,2,0))&amp;"_"&amp;RIGHT(A1354,3)</f>
        <v>#N/A</v>
      </c>
      <c r="I1354" s="66">
        <f t="shared" si="147"/>
        <v>0</v>
      </c>
      <c r="K1354" s="66" t="str">
        <f t="shared" si="148"/>
        <v/>
      </c>
      <c r="L1354" s="66" t="str">
        <f t="shared" si="149"/>
        <v/>
      </c>
      <c r="M1354" s="66" t="str">
        <f t="shared" si="150"/>
        <v/>
      </c>
      <c r="N1354" s="66" t="str">
        <f t="shared" si="151"/>
        <v/>
      </c>
      <c r="O1354" s="66" t="str">
        <f t="shared" si="152"/>
        <v/>
      </c>
      <c r="P1354" s="66" t="str">
        <f t="shared" si="153"/>
        <v/>
      </c>
    </row>
    <row r="1355" spans="8:16">
      <c r="H1355" s="66" t="e">
        <f>IF(LEFT(A1355,6)="CEPNTR","GPINS",VLOOKUP(LEFT(A1355,6),'Code Library'!$A$3:$B$920,2,0))&amp;"_"&amp;RIGHT(A1355,3)</f>
        <v>#N/A</v>
      </c>
      <c r="I1355" s="66">
        <f t="shared" si="147"/>
        <v>0</v>
      </c>
      <c r="K1355" s="66" t="str">
        <f t="shared" si="148"/>
        <v/>
      </c>
      <c r="L1355" s="66" t="str">
        <f t="shared" si="149"/>
        <v/>
      </c>
      <c r="M1355" s="66" t="str">
        <f t="shared" si="150"/>
        <v/>
      </c>
      <c r="N1355" s="66" t="str">
        <f t="shared" si="151"/>
        <v/>
      </c>
      <c r="O1355" s="66" t="str">
        <f t="shared" si="152"/>
        <v/>
      </c>
      <c r="P1355" s="66" t="str">
        <f t="shared" si="153"/>
        <v/>
      </c>
    </row>
    <row r="1356" spans="8:16">
      <c r="H1356" s="66" t="e">
        <f>IF(LEFT(A1356,6)="CEPNTR","GPINS",VLOOKUP(LEFT(A1356,6),'Code Library'!$A$3:$B$920,2,0))&amp;"_"&amp;RIGHT(A1356,3)</f>
        <v>#N/A</v>
      </c>
      <c r="I1356" s="66">
        <f t="shared" si="147"/>
        <v>0</v>
      </c>
      <c r="K1356" s="66" t="str">
        <f t="shared" si="148"/>
        <v/>
      </c>
      <c r="L1356" s="66" t="str">
        <f t="shared" si="149"/>
        <v/>
      </c>
      <c r="M1356" s="66" t="str">
        <f t="shared" si="150"/>
        <v/>
      </c>
      <c r="N1356" s="66" t="str">
        <f t="shared" si="151"/>
        <v/>
      </c>
      <c r="O1356" s="66" t="str">
        <f t="shared" si="152"/>
        <v/>
      </c>
      <c r="P1356" s="66" t="str">
        <f t="shared" si="153"/>
        <v/>
      </c>
    </row>
    <row r="1357" spans="8:16">
      <c r="H1357" s="66" t="e">
        <f>IF(LEFT(A1357,6)="CEPNTR","GPINS",VLOOKUP(LEFT(A1357,6),'Code Library'!$A$3:$B$920,2,0))&amp;"_"&amp;RIGHT(A1357,3)</f>
        <v>#N/A</v>
      </c>
      <c r="I1357" s="66">
        <f t="shared" si="147"/>
        <v>0</v>
      </c>
      <c r="K1357" s="66" t="str">
        <f t="shared" si="148"/>
        <v/>
      </c>
      <c r="L1357" s="66" t="str">
        <f t="shared" si="149"/>
        <v/>
      </c>
      <c r="M1357" s="66" t="str">
        <f t="shared" si="150"/>
        <v/>
      </c>
      <c r="N1357" s="66" t="str">
        <f t="shared" si="151"/>
        <v/>
      </c>
      <c r="O1357" s="66" t="str">
        <f t="shared" si="152"/>
        <v/>
      </c>
      <c r="P1357" s="66" t="str">
        <f t="shared" si="153"/>
        <v/>
      </c>
    </row>
    <row r="1358" spans="8:16">
      <c r="H1358" s="66" t="e">
        <f>IF(LEFT(A1358,6)="CEPNTR","GPINS",VLOOKUP(LEFT(A1358,6),'Code Library'!$A$3:$B$920,2,0))&amp;"_"&amp;RIGHT(A1358,3)</f>
        <v>#N/A</v>
      </c>
      <c r="I1358" s="66">
        <f t="shared" si="147"/>
        <v>0</v>
      </c>
      <c r="K1358" s="66" t="str">
        <f t="shared" si="148"/>
        <v/>
      </c>
      <c r="L1358" s="66" t="str">
        <f t="shared" si="149"/>
        <v/>
      </c>
      <c r="M1358" s="66" t="str">
        <f t="shared" si="150"/>
        <v/>
      </c>
      <c r="N1358" s="66" t="str">
        <f t="shared" si="151"/>
        <v/>
      </c>
      <c r="O1358" s="66" t="str">
        <f t="shared" si="152"/>
        <v/>
      </c>
      <c r="P1358" s="66" t="str">
        <f t="shared" si="153"/>
        <v/>
      </c>
    </row>
    <row r="1359" spans="8:16">
      <c r="H1359" s="66" t="e">
        <f>IF(LEFT(A1359,6)="CEPNTR","GPINS",VLOOKUP(LEFT(A1359,6),'Code Library'!$A$3:$B$920,2,0))&amp;"_"&amp;RIGHT(A1359,3)</f>
        <v>#N/A</v>
      </c>
      <c r="I1359" s="66">
        <f t="shared" si="147"/>
        <v>0</v>
      </c>
      <c r="K1359" s="66" t="str">
        <f t="shared" si="148"/>
        <v/>
      </c>
      <c r="L1359" s="66" t="str">
        <f t="shared" si="149"/>
        <v/>
      </c>
      <c r="M1359" s="66" t="str">
        <f t="shared" si="150"/>
        <v/>
      </c>
      <c r="N1359" s="66" t="str">
        <f t="shared" si="151"/>
        <v/>
      </c>
      <c r="O1359" s="66" t="str">
        <f t="shared" si="152"/>
        <v/>
      </c>
      <c r="P1359" s="66" t="str">
        <f t="shared" si="153"/>
        <v/>
      </c>
    </row>
    <row r="1360" spans="8:16">
      <c r="H1360" s="66" t="e">
        <f>IF(LEFT(A1360,6)="CEPNTR","GPINS",VLOOKUP(LEFT(A1360,6),'Code Library'!$A$3:$B$920,2,0))&amp;"_"&amp;RIGHT(A1360,3)</f>
        <v>#N/A</v>
      </c>
      <c r="I1360" s="66">
        <f t="shared" si="147"/>
        <v>0</v>
      </c>
      <c r="K1360" s="66" t="str">
        <f t="shared" si="148"/>
        <v/>
      </c>
      <c r="L1360" s="66" t="str">
        <f t="shared" si="149"/>
        <v/>
      </c>
      <c r="M1360" s="66" t="str">
        <f t="shared" si="150"/>
        <v/>
      </c>
      <c r="N1360" s="66" t="str">
        <f t="shared" si="151"/>
        <v/>
      </c>
      <c r="O1360" s="66" t="str">
        <f t="shared" si="152"/>
        <v/>
      </c>
      <c r="P1360" s="66" t="str">
        <f t="shared" si="153"/>
        <v/>
      </c>
    </row>
    <row r="1361" spans="8:16">
      <c r="H1361" s="66" t="e">
        <f>IF(LEFT(A1361,6)="CEPNTR","GPINS",VLOOKUP(LEFT(A1361,6),'Code Library'!$A$3:$B$920,2,0))&amp;"_"&amp;RIGHT(A1361,3)</f>
        <v>#N/A</v>
      </c>
      <c r="I1361" s="66">
        <f t="shared" si="147"/>
        <v>0</v>
      </c>
      <c r="K1361" s="66" t="str">
        <f t="shared" si="148"/>
        <v/>
      </c>
      <c r="L1361" s="66" t="str">
        <f t="shared" si="149"/>
        <v/>
      </c>
      <c r="M1361" s="66" t="str">
        <f t="shared" si="150"/>
        <v/>
      </c>
      <c r="N1361" s="66" t="str">
        <f t="shared" si="151"/>
        <v/>
      </c>
      <c r="O1361" s="66" t="str">
        <f t="shared" si="152"/>
        <v/>
      </c>
      <c r="P1361" s="66" t="str">
        <f t="shared" si="153"/>
        <v/>
      </c>
    </row>
    <row r="1362" spans="8:16">
      <c r="H1362" s="66" t="e">
        <f>IF(LEFT(A1362,6)="CEPNTR","GPINS",VLOOKUP(LEFT(A1362,6),'Code Library'!$A$3:$B$920,2,0))&amp;"_"&amp;RIGHT(A1362,3)</f>
        <v>#N/A</v>
      </c>
      <c r="I1362" s="66">
        <f t="shared" si="147"/>
        <v>0</v>
      </c>
      <c r="K1362" s="66" t="str">
        <f t="shared" si="148"/>
        <v/>
      </c>
      <c r="L1362" s="66" t="str">
        <f t="shared" si="149"/>
        <v/>
      </c>
      <c r="M1362" s="66" t="str">
        <f t="shared" si="150"/>
        <v/>
      </c>
      <c r="N1362" s="66" t="str">
        <f t="shared" si="151"/>
        <v/>
      </c>
      <c r="O1362" s="66" t="str">
        <f t="shared" si="152"/>
        <v/>
      </c>
      <c r="P1362" s="66" t="str">
        <f t="shared" si="153"/>
        <v/>
      </c>
    </row>
    <row r="1363" spans="8:16">
      <c r="H1363" s="66" t="e">
        <f>IF(LEFT(A1363,6)="CEPNTR","GPINS",VLOOKUP(LEFT(A1363,6),'Code Library'!$A$3:$B$920,2,0))&amp;"_"&amp;RIGHT(A1363,3)</f>
        <v>#N/A</v>
      </c>
      <c r="I1363" s="66">
        <f t="shared" si="147"/>
        <v>0</v>
      </c>
      <c r="K1363" s="66" t="str">
        <f t="shared" si="148"/>
        <v/>
      </c>
      <c r="L1363" s="66" t="str">
        <f t="shared" si="149"/>
        <v/>
      </c>
      <c r="M1363" s="66" t="str">
        <f t="shared" si="150"/>
        <v/>
      </c>
      <c r="N1363" s="66" t="str">
        <f t="shared" si="151"/>
        <v/>
      </c>
      <c r="O1363" s="66" t="str">
        <f t="shared" si="152"/>
        <v/>
      </c>
      <c r="P1363" s="66" t="str">
        <f t="shared" si="153"/>
        <v/>
      </c>
    </row>
    <row r="1364" spans="8:16">
      <c r="H1364" s="66" t="e">
        <f>IF(LEFT(A1364,6)="CEPNTR","GPINS",VLOOKUP(LEFT(A1364,6),'Code Library'!$A$3:$B$920,2,0))&amp;"_"&amp;RIGHT(A1364,3)</f>
        <v>#N/A</v>
      </c>
      <c r="I1364" s="66">
        <f t="shared" si="147"/>
        <v>0</v>
      </c>
      <c r="K1364" s="66" t="str">
        <f t="shared" si="148"/>
        <v/>
      </c>
      <c r="L1364" s="66" t="str">
        <f t="shared" si="149"/>
        <v/>
      </c>
      <c r="M1364" s="66" t="str">
        <f t="shared" si="150"/>
        <v/>
      </c>
      <c r="N1364" s="66" t="str">
        <f t="shared" si="151"/>
        <v/>
      </c>
      <c r="O1364" s="66" t="str">
        <f t="shared" si="152"/>
        <v/>
      </c>
      <c r="P1364" s="66" t="str">
        <f t="shared" si="153"/>
        <v/>
      </c>
    </row>
    <row r="1365" spans="8:16">
      <c r="H1365" s="66" t="e">
        <f>IF(LEFT(A1365,6)="CEPNTR","GPINS",VLOOKUP(LEFT(A1365,6),'Code Library'!$A$3:$B$920,2,0))&amp;"_"&amp;RIGHT(A1365,3)</f>
        <v>#N/A</v>
      </c>
      <c r="I1365" s="66">
        <f t="shared" si="147"/>
        <v>0</v>
      </c>
      <c r="K1365" s="66" t="str">
        <f t="shared" si="148"/>
        <v/>
      </c>
      <c r="L1365" s="66" t="str">
        <f t="shared" si="149"/>
        <v/>
      </c>
      <c r="M1365" s="66" t="str">
        <f t="shared" si="150"/>
        <v/>
      </c>
      <c r="N1365" s="66" t="str">
        <f t="shared" si="151"/>
        <v/>
      </c>
      <c r="O1365" s="66" t="str">
        <f t="shared" si="152"/>
        <v/>
      </c>
      <c r="P1365" s="66" t="str">
        <f t="shared" si="153"/>
        <v/>
      </c>
    </row>
    <row r="1366" spans="8:16">
      <c r="H1366" s="66" t="e">
        <f>IF(LEFT(A1366,6)="CEPNTR","GPINS",VLOOKUP(LEFT(A1366,6),'Code Library'!$A$3:$B$920,2,0))&amp;"_"&amp;RIGHT(A1366,3)</f>
        <v>#N/A</v>
      </c>
      <c r="I1366" s="66">
        <f t="shared" si="147"/>
        <v>0</v>
      </c>
      <c r="K1366" s="66" t="str">
        <f t="shared" si="148"/>
        <v/>
      </c>
      <c r="L1366" s="66" t="str">
        <f t="shared" si="149"/>
        <v/>
      </c>
      <c r="M1366" s="66" t="str">
        <f t="shared" si="150"/>
        <v/>
      </c>
      <c r="N1366" s="66" t="str">
        <f t="shared" si="151"/>
        <v/>
      </c>
      <c r="O1366" s="66" t="str">
        <f t="shared" si="152"/>
        <v/>
      </c>
      <c r="P1366" s="66" t="str">
        <f t="shared" si="153"/>
        <v/>
      </c>
    </row>
    <row r="1367" spans="8:16">
      <c r="H1367" s="66" t="e">
        <f>IF(LEFT(A1367,6)="CEPNTR","GPINS",VLOOKUP(LEFT(A1367,6),'Code Library'!$A$3:$B$920,2,0))&amp;"_"&amp;RIGHT(A1367,3)</f>
        <v>#N/A</v>
      </c>
      <c r="I1367" s="66">
        <f t="shared" si="147"/>
        <v>0</v>
      </c>
      <c r="K1367" s="66" t="str">
        <f t="shared" si="148"/>
        <v/>
      </c>
      <c r="L1367" s="66" t="str">
        <f t="shared" si="149"/>
        <v/>
      </c>
      <c r="M1367" s="66" t="str">
        <f t="shared" si="150"/>
        <v/>
      </c>
      <c r="N1367" s="66" t="str">
        <f t="shared" si="151"/>
        <v/>
      </c>
      <c r="O1367" s="66" t="str">
        <f t="shared" si="152"/>
        <v/>
      </c>
      <c r="P1367" s="66" t="str">
        <f t="shared" si="153"/>
        <v/>
      </c>
    </row>
    <row r="1368" spans="8:16">
      <c r="H1368" s="66" t="e">
        <f>IF(LEFT(A1368,6)="CEPNTR","GPINS",VLOOKUP(LEFT(A1368,6),'Code Library'!$A$3:$B$920,2,0))&amp;"_"&amp;RIGHT(A1368,3)</f>
        <v>#N/A</v>
      </c>
      <c r="I1368" s="66">
        <f t="shared" si="147"/>
        <v>0</v>
      </c>
      <c r="K1368" s="66" t="str">
        <f t="shared" si="148"/>
        <v/>
      </c>
      <c r="L1368" s="66" t="str">
        <f t="shared" si="149"/>
        <v/>
      </c>
      <c r="M1368" s="66" t="str">
        <f t="shared" si="150"/>
        <v/>
      </c>
      <c r="N1368" s="66" t="str">
        <f t="shared" si="151"/>
        <v/>
      </c>
      <c r="O1368" s="66" t="str">
        <f t="shared" si="152"/>
        <v/>
      </c>
      <c r="P1368" s="66" t="str">
        <f t="shared" si="153"/>
        <v/>
      </c>
    </row>
    <row r="1369" spans="8:16">
      <c r="H1369" s="66" t="e">
        <f>IF(LEFT(A1369,6)="CEPNTR","GPINS",VLOOKUP(LEFT(A1369,6),'Code Library'!$A$3:$B$920,2,0))&amp;"_"&amp;RIGHT(A1369,3)</f>
        <v>#N/A</v>
      </c>
      <c r="I1369" s="66">
        <f t="shared" si="147"/>
        <v>0</v>
      </c>
      <c r="K1369" s="66" t="str">
        <f t="shared" si="148"/>
        <v/>
      </c>
      <c r="L1369" s="66" t="str">
        <f t="shared" si="149"/>
        <v/>
      </c>
      <c r="M1369" s="66" t="str">
        <f t="shared" si="150"/>
        <v/>
      </c>
      <c r="N1369" s="66" t="str">
        <f t="shared" si="151"/>
        <v/>
      </c>
      <c r="O1369" s="66" t="str">
        <f t="shared" si="152"/>
        <v/>
      </c>
      <c r="P1369" s="66" t="str">
        <f t="shared" si="153"/>
        <v/>
      </c>
    </row>
    <row r="1370" spans="8:16">
      <c r="H1370" s="66" t="e">
        <f>IF(LEFT(A1370,6)="CEPNTR","GPINS",VLOOKUP(LEFT(A1370,6),'Code Library'!$A$3:$B$920,2,0))&amp;"_"&amp;RIGHT(A1370,3)</f>
        <v>#N/A</v>
      </c>
      <c r="I1370" s="66">
        <f t="shared" si="147"/>
        <v>0</v>
      </c>
      <c r="K1370" s="66" t="str">
        <f t="shared" si="148"/>
        <v/>
      </c>
      <c r="L1370" s="66" t="str">
        <f t="shared" si="149"/>
        <v/>
      </c>
      <c r="M1370" s="66" t="str">
        <f t="shared" si="150"/>
        <v/>
      </c>
      <c r="N1370" s="66" t="str">
        <f t="shared" si="151"/>
        <v/>
      </c>
      <c r="O1370" s="66" t="str">
        <f t="shared" si="152"/>
        <v/>
      </c>
      <c r="P1370" s="66" t="str">
        <f t="shared" si="153"/>
        <v/>
      </c>
    </row>
    <row r="1371" spans="8:16">
      <c r="H1371" s="66" t="e">
        <f>IF(LEFT(A1371,6)="CEPNTR","GPINS",VLOOKUP(LEFT(A1371,6),'Code Library'!$A$3:$B$920,2,0))&amp;"_"&amp;RIGHT(A1371,3)</f>
        <v>#N/A</v>
      </c>
      <c r="I1371" s="66">
        <f t="shared" si="147"/>
        <v>0</v>
      </c>
      <c r="K1371" s="66" t="str">
        <f t="shared" si="148"/>
        <v/>
      </c>
      <c r="L1371" s="66" t="str">
        <f t="shared" si="149"/>
        <v/>
      </c>
      <c r="M1371" s="66" t="str">
        <f t="shared" si="150"/>
        <v/>
      </c>
      <c r="N1371" s="66" t="str">
        <f t="shared" si="151"/>
        <v/>
      </c>
      <c r="O1371" s="66" t="str">
        <f t="shared" si="152"/>
        <v/>
      </c>
      <c r="P1371" s="66" t="str">
        <f t="shared" si="153"/>
        <v/>
      </c>
    </row>
    <row r="1372" spans="8:16">
      <c r="H1372" s="66" t="e">
        <f>IF(LEFT(A1372,6)="CEPNTR","GPINS",VLOOKUP(LEFT(A1372,6),'Code Library'!$A$3:$B$920,2,0))&amp;"_"&amp;RIGHT(A1372,3)</f>
        <v>#N/A</v>
      </c>
      <c r="I1372" s="66">
        <f t="shared" si="147"/>
        <v>0</v>
      </c>
      <c r="K1372" s="66" t="str">
        <f t="shared" si="148"/>
        <v/>
      </c>
      <c r="L1372" s="66" t="str">
        <f t="shared" si="149"/>
        <v/>
      </c>
      <c r="M1372" s="66" t="str">
        <f t="shared" si="150"/>
        <v/>
      </c>
      <c r="N1372" s="66" t="str">
        <f t="shared" si="151"/>
        <v/>
      </c>
      <c r="O1372" s="66" t="str">
        <f t="shared" si="152"/>
        <v/>
      </c>
      <c r="P1372" s="66" t="str">
        <f t="shared" si="153"/>
        <v/>
      </c>
    </row>
    <row r="1373" spans="8:16">
      <c r="H1373" s="66" t="e">
        <f>IF(LEFT(A1373,6)="CEPNTR","GPINS",VLOOKUP(LEFT(A1373,6),'Code Library'!$A$3:$B$920,2,0))&amp;"_"&amp;RIGHT(A1373,3)</f>
        <v>#N/A</v>
      </c>
      <c r="I1373" s="66">
        <f t="shared" si="147"/>
        <v>0</v>
      </c>
      <c r="K1373" s="66" t="str">
        <f t="shared" si="148"/>
        <v/>
      </c>
      <c r="L1373" s="66" t="str">
        <f t="shared" si="149"/>
        <v/>
      </c>
      <c r="M1373" s="66" t="str">
        <f t="shared" si="150"/>
        <v/>
      </c>
      <c r="N1373" s="66" t="str">
        <f t="shared" si="151"/>
        <v/>
      </c>
      <c r="O1373" s="66" t="str">
        <f t="shared" si="152"/>
        <v/>
      </c>
      <c r="P1373" s="66" t="str">
        <f t="shared" si="153"/>
        <v/>
      </c>
    </row>
    <row r="1374" spans="8:16">
      <c r="H1374" s="66" t="e">
        <f>IF(LEFT(A1374,6)="CEPNTR","GPINS",VLOOKUP(LEFT(A1374,6),'Code Library'!$A$3:$B$920,2,0))&amp;"_"&amp;RIGHT(A1374,3)</f>
        <v>#N/A</v>
      </c>
      <c r="I1374" s="66">
        <f t="shared" si="147"/>
        <v>0</v>
      </c>
      <c r="K1374" s="66" t="str">
        <f t="shared" si="148"/>
        <v/>
      </c>
      <c r="L1374" s="66" t="str">
        <f t="shared" si="149"/>
        <v/>
      </c>
      <c r="M1374" s="66" t="str">
        <f t="shared" si="150"/>
        <v/>
      </c>
      <c r="N1374" s="66" t="str">
        <f t="shared" si="151"/>
        <v/>
      </c>
      <c r="O1374" s="66" t="str">
        <f t="shared" si="152"/>
        <v/>
      </c>
      <c r="P1374" s="66" t="str">
        <f t="shared" si="153"/>
        <v/>
      </c>
    </row>
    <row r="1375" spans="8:16">
      <c r="H1375" s="66" t="e">
        <f>IF(LEFT(A1375,6)="CEPNTR","GPINS",VLOOKUP(LEFT(A1375,6),'Code Library'!$A$3:$B$920,2,0))&amp;"_"&amp;RIGHT(A1375,3)</f>
        <v>#N/A</v>
      </c>
      <c r="I1375" s="66">
        <f t="shared" si="147"/>
        <v>0</v>
      </c>
      <c r="K1375" s="66" t="str">
        <f t="shared" si="148"/>
        <v/>
      </c>
      <c r="L1375" s="66" t="str">
        <f t="shared" si="149"/>
        <v/>
      </c>
      <c r="M1375" s="66" t="str">
        <f t="shared" si="150"/>
        <v/>
      </c>
      <c r="N1375" s="66" t="str">
        <f t="shared" si="151"/>
        <v/>
      </c>
      <c r="O1375" s="66" t="str">
        <f t="shared" si="152"/>
        <v/>
      </c>
      <c r="P1375" s="66" t="str">
        <f t="shared" si="153"/>
        <v/>
      </c>
    </row>
    <row r="1376" spans="8:16">
      <c r="H1376" s="66" t="e">
        <f>IF(LEFT(A1376,6)="CEPNTR","GPINS",VLOOKUP(LEFT(A1376,6),'Code Library'!$A$3:$B$920,2,0))&amp;"_"&amp;RIGHT(A1376,3)</f>
        <v>#N/A</v>
      </c>
      <c r="I1376" s="66">
        <f t="shared" si="147"/>
        <v>0</v>
      </c>
      <c r="K1376" s="66" t="str">
        <f t="shared" si="148"/>
        <v/>
      </c>
      <c r="L1376" s="66" t="str">
        <f t="shared" si="149"/>
        <v/>
      </c>
      <c r="M1376" s="66" t="str">
        <f t="shared" si="150"/>
        <v/>
      </c>
      <c r="N1376" s="66" t="str">
        <f t="shared" si="151"/>
        <v/>
      </c>
      <c r="O1376" s="66" t="str">
        <f t="shared" si="152"/>
        <v/>
      </c>
      <c r="P1376" s="66" t="str">
        <f t="shared" si="153"/>
        <v/>
      </c>
    </row>
    <row r="1377" spans="8:16">
      <c r="H1377" s="66" t="e">
        <f>IF(LEFT(A1377,6)="CEPNTR","GPINS",VLOOKUP(LEFT(A1377,6),'Code Library'!$A$3:$B$920,2,0))&amp;"_"&amp;RIGHT(A1377,3)</f>
        <v>#N/A</v>
      </c>
      <c r="I1377" s="66">
        <f t="shared" si="147"/>
        <v>0</v>
      </c>
      <c r="K1377" s="66" t="str">
        <f t="shared" si="148"/>
        <v/>
      </c>
      <c r="L1377" s="66" t="str">
        <f t="shared" si="149"/>
        <v/>
      </c>
      <c r="M1377" s="66" t="str">
        <f t="shared" si="150"/>
        <v/>
      </c>
      <c r="N1377" s="66" t="str">
        <f t="shared" si="151"/>
        <v/>
      </c>
      <c r="O1377" s="66" t="str">
        <f t="shared" si="152"/>
        <v/>
      </c>
      <c r="P1377" s="66" t="str">
        <f t="shared" si="153"/>
        <v/>
      </c>
    </row>
    <row r="1378" spans="8:16">
      <c r="H1378" s="66" t="e">
        <f>IF(LEFT(A1378,6)="CEPNTR","GPINS",VLOOKUP(LEFT(A1378,6),'Code Library'!$A$3:$B$920,2,0))&amp;"_"&amp;RIGHT(A1378,3)</f>
        <v>#N/A</v>
      </c>
      <c r="I1378" s="66">
        <f t="shared" si="147"/>
        <v>0</v>
      </c>
      <c r="K1378" s="66" t="str">
        <f t="shared" si="148"/>
        <v/>
      </c>
      <c r="L1378" s="66" t="str">
        <f t="shared" si="149"/>
        <v/>
      </c>
      <c r="M1378" s="66" t="str">
        <f t="shared" si="150"/>
        <v/>
      </c>
      <c r="N1378" s="66" t="str">
        <f t="shared" si="151"/>
        <v/>
      </c>
      <c r="O1378" s="66" t="str">
        <f t="shared" si="152"/>
        <v/>
      </c>
      <c r="P1378" s="66" t="str">
        <f t="shared" si="153"/>
        <v/>
      </c>
    </row>
    <row r="1379" spans="8:16">
      <c r="H1379" s="66" t="e">
        <f>IF(LEFT(A1379,6)="CEPNTR","GPINS",VLOOKUP(LEFT(A1379,6),'Code Library'!$A$3:$B$920,2,0))&amp;"_"&amp;RIGHT(A1379,3)</f>
        <v>#N/A</v>
      </c>
      <c r="I1379" s="66">
        <f t="shared" si="147"/>
        <v>0</v>
      </c>
      <c r="K1379" s="66" t="str">
        <f t="shared" si="148"/>
        <v/>
      </c>
      <c r="L1379" s="66" t="str">
        <f t="shared" si="149"/>
        <v/>
      </c>
      <c r="M1379" s="66" t="str">
        <f t="shared" si="150"/>
        <v/>
      </c>
      <c r="N1379" s="66" t="str">
        <f t="shared" si="151"/>
        <v/>
      </c>
      <c r="O1379" s="66" t="str">
        <f t="shared" si="152"/>
        <v/>
      </c>
      <c r="P1379" s="66" t="str">
        <f t="shared" si="153"/>
        <v/>
      </c>
    </row>
    <row r="1380" spans="8:16">
      <c r="H1380" s="66" t="e">
        <f>IF(LEFT(A1380,6)="CEPNTR","GPINS",VLOOKUP(LEFT(A1380,6),'Code Library'!$A$3:$B$920,2,0))&amp;"_"&amp;RIGHT(A1380,3)</f>
        <v>#N/A</v>
      </c>
      <c r="I1380" s="66">
        <f t="shared" si="147"/>
        <v>0</v>
      </c>
      <c r="K1380" s="66" t="str">
        <f t="shared" si="148"/>
        <v/>
      </c>
      <c r="L1380" s="66" t="str">
        <f t="shared" si="149"/>
        <v/>
      </c>
      <c r="M1380" s="66" t="str">
        <f t="shared" si="150"/>
        <v/>
      </c>
      <c r="N1380" s="66" t="str">
        <f t="shared" si="151"/>
        <v/>
      </c>
      <c r="O1380" s="66" t="str">
        <f t="shared" si="152"/>
        <v/>
      </c>
      <c r="P1380" s="66" t="str">
        <f t="shared" si="153"/>
        <v/>
      </c>
    </row>
    <row r="1381" spans="8:16">
      <c r="H1381" s="66" t="e">
        <f>IF(LEFT(A1381,6)="CEPNTR","GPINS",VLOOKUP(LEFT(A1381,6),'Code Library'!$A$3:$B$920,2,0))&amp;"_"&amp;RIGHT(A1381,3)</f>
        <v>#N/A</v>
      </c>
      <c r="I1381" s="66">
        <f t="shared" si="147"/>
        <v>0</v>
      </c>
      <c r="K1381" s="66" t="str">
        <f t="shared" si="148"/>
        <v/>
      </c>
      <c r="L1381" s="66" t="str">
        <f t="shared" si="149"/>
        <v/>
      </c>
      <c r="M1381" s="66" t="str">
        <f t="shared" si="150"/>
        <v/>
      </c>
      <c r="N1381" s="66" t="str">
        <f t="shared" si="151"/>
        <v/>
      </c>
      <c r="O1381" s="66" t="str">
        <f t="shared" si="152"/>
        <v/>
      </c>
      <c r="P1381" s="66" t="str">
        <f t="shared" si="153"/>
        <v/>
      </c>
    </row>
    <row r="1382" spans="8:16">
      <c r="H1382" s="66" t="e">
        <f>IF(LEFT(A1382,6)="CEPNTR","GPINS",VLOOKUP(LEFT(A1382,6),'Code Library'!$A$3:$B$920,2,0))&amp;"_"&amp;RIGHT(A1382,3)</f>
        <v>#N/A</v>
      </c>
      <c r="I1382" s="66">
        <f t="shared" si="147"/>
        <v>0</v>
      </c>
      <c r="K1382" s="66" t="str">
        <f t="shared" si="148"/>
        <v/>
      </c>
      <c r="L1382" s="66" t="str">
        <f t="shared" si="149"/>
        <v/>
      </c>
      <c r="M1382" s="66" t="str">
        <f t="shared" si="150"/>
        <v/>
      </c>
      <c r="N1382" s="66" t="str">
        <f t="shared" si="151"/>
        <v/>
      </c>
      <c r="O1382" s="66" t="str">
        <f t="shared" si="152"/>
        <v/>
      </c>
      <c r="P1382" s="66" t="str">
        <f t="shared" si="153"/>
        <v/>
      </c>
    </row>
    <row r="1383" spans="8:16">
      <c r="H1383" s="66" t="e">
        <f>IF(LEFT(A1383,6)="CEPNTR","GPINS",VLOOKUP(LEFT(A1383,6),'Code Library'!$A$3:$B$920,2,0))&amp;"_"&amp;RIGHT(A1383,3)</f>
        <v>#N/A</v>
      </c>
      <c r="I1383" s="66">
        <f t="shared" si="147"/>
        <v>0</v>
      </c>
      <c r="K1383" s="66" t="str">
        <f t="shared" si="148"/>
        <v/>
      </c>
      <c r="L1383" s="66" t="str">
        <f t="shared" si="149"/>
        <v/>
      </c>
      <c r="M1383" s="66" t="str">
        <f t="shared" si="150"/>
        <v/>
      </c>
      <c r="N1383" s="66" t="str">
        <f t="shared" si="151"/>
        <v/>
      </c>
      <c r="O1383" s="66" t="str">
        <f t="shared" si="152"/>
        <v/>
      </c>
      <c r="P1383" s="66" t="str">
        <f t="shared" si="153"/>
        <v/>
      </c>
    </row>
    <row r="1384" spans="8:16">
      <c r="H1384" s="66" t="e">
        <f>IF(LEFT(A1384,6)="CEPNTR","GPINS",VLOOKUP(LEFT(A1384,6),'Code Library'!$A$3:$B$920,2,0))&amp;"_"&amp;RIGHT(A1384,3)</f>
        <v>#N/A</v>
      </c>
      <c r="I1384" s="66">
        <f t="shared" si="147"/>
        <v>0</v>
      </c>
      <c r="K1384" s="66" t="str">
        <f t="shared" si="148"/>
        <v/>
      </c>
      <c r="L1384" s="66" t="str">
        <f t="shared" si="149"/>
        <v/>
      </c>
      <c r="M1384" s="66" t="str">
        <f t="shared" si="150"/>
        <v/>
      </c>
      <c r="N1384" s="66" t="str">
        <f t="shared" si="151"/>
        <v/>
      </c>
      <c r="O1384" s="66" t="str">
        <f t="shared" si="152"/>
        <v/>
      </c>
      <c r="P1384" s="66" t="str">
        <f t="shared" si="153"/>
        <v/>
      </c>
    </row>
    <row r="1385" spans="8:16">
      <c r="H1385" s="66" t="e">
        <f>IF(LEFT(A1385,6)="CEPNTR","GPINS",VLOOKUP(LEFT(A1385,6),'Code Library'!$A$3:$B$920,2,0))&amp;"_"&amp;RIGHT(A1385,3)</f>
        <v>#N/A</v>
      </c>
      <c r="I1385" s="66">
        <f t="shared" si="147"/>
        <v>0</v>
      </c>
      <c r="K1385" s="66" t="str">
        <f t="shared" si="148"/>
        <v/>
      </c>
      <c r="L1385" s="66" t="str">
        <f t="shared" si="149"/>
        <v/>
      </c>
      <c r="M1385" s="66" t="str">
        <f t="shared" si="150"/>
        <v/>
      </c>
      <c r="N1385" s="66" t="str">
        <f t="shared" si="151"/>
        <v/>
      </c>
      <c r="O1385" s="66" t="str">
        <f t="shared" si="152"/>
        <v/>
      </c>
      <c r="P1385" s="66" t="str">
        <f t="shared" si="153"/>
        <v/>
      </c>
    </row>
    <row r="1386" spans="8:16">
      <c r="H1386" s="66" t="e">
        <f>IF(LEFT(A1386,6)="CEPNTR","GPINS",VLOOKUP(LEFT(A1386,6),'Code Library'!$A$3:$B$920,2,0))&amp;"_"&amp;RIGHT(A1386,3)</f>
        <v>#N/A</v>
      </c>
      <c r="I1386" s="66">
        <f t="shared" si="147"/>
        <v>0</v>
      </c>
      <c r="K1386" s="66" t="str">
        <f t="shared" si="148"/>
        <v/>
      </c>
      <c r="L1386" s="66" t="str">
        <f t="shared" si="149"/>
        <v/>
      </c>
      <c r="M1386" s="66" t="str">
        <f t="shared" si="150"/>
        <v/>
      </c>
      <c r="N1386" s="66" t="str">
        <f t="shared" si="151"/>
        <v/>
      </c>
      <c r="O1386" s="66" t="str">
        <f t="shared" si="152"/>
        <v/>
      </c>
      <c r="P1386" s="66" t="str">
        <f t="shared" si="153"/>
        <v/>
      </c>
    </row>
    <row r="1387" spans="8:16">
      <c r="H1387" s="66" t="e">
        <f>IF(LEFT(A1387,6)="CEPNTR","GPINS",VLOOKUP(LEFT(A1387,6),'Code Library'!$A$3:$B$920,2,0))&amp;"_"&amp;RIGHT(A1387,3)</f>
        <v>#N/A</v>
      </c>
      <c r="I1387" s="66">
        <f t="shared" si="147"/>
        <v>0</v>
      </c>
      <c r="K1387" s="66" t="str">
        <f t="shared" si="148"/>
        <v/>
      </c>
      <c r="L1387" s="66" t="str">
        <f t="shared" si="149"/>
        <v/>
      </c>
      <c r="M1387" s="66" t="str">
        <f t="shared" si="150"/>
        <v/>
      </c>
      <c r="N1387" s="66" t="str">
        <f t="shared" si="151"/>
        <v/>
      </c>
      <c r="O1387" s="66" t="str">
        <f t="shared" si="152"/>
        <v/>
      </c>
      <c r="P1387" s="66" t="str">
        <f t="shared" si="153"/>
        <v/>
      </c>
    </row>
    <row r="1388" spans="8:16">
      <c r="H1388" s="66" t="e">
        <f>IF(LEFT(A1388,6)="CEPNTR","GPINS",VLOOKUP(LEFT(A1388,6),'Code Library'!$A$3:$B$920,2,0))&amp;"_"&amp;RIGHT(A1388,3)</f>
        <v>#N/A</v>
      </c>
      <c r="I1388" s="66">
        <f t="shared" si="147"/>
        <v>0</v>
      </c>
      <c r="K1388" s="66" t="str">
        <f t="shared" si="148"/>
        <v/>
      </c>
      <c r="L1388" s="66" t="str">
        <f t="shared" si="149"/>
        <v/>
      </c>
      <c r="M1388" s="66" t="str">
        <f t="shared" si="150"/>
        <v/>
      </c>
      <c r="N1388" s="66" t="str">
        <f t="shared" si="151"/>
        <v/>
      </c>
      <c r="O1388" s="66" t="str">
        <f t="shared" si="152"/>
        <v/>
      </c>
      <c r="P1388" s="66" t="str">
        <f t="shared" si="153"/>
        <v/>
      </c>
    </row>
    <row r="1389" spans="8:16">
      <c r="H1389" s="66" t="e">
        <f>IF(LEFT(A1389,6)="CEPNTR","GPINS",VLOOKUP(LEFT(A1389,6),'Code Library'!$A$3:$B$920,2,0))&amp;"_"&amp;RIGHT(A1389,3)</f>
        <v>#N/A</v>
      </c>
      <c r="I1389" s="66">
        <f t="shared" si="147"/>
        <v>0</v>
      </c>
      <c r="K1389" s="66" t="str">
        <f t="shared" si="148"/>
        <v/>
      </c>
      <c r="L1389" s="66" t="str">
        <f t="shared" si="149"/>
        <v/>
      </c>
      <c r="M1389" s="66" t="str">
        <f t="shared" si="150"/>
        <v/>
      </c>
      <c r="N1389" s="66" t="str">
        <f t="shared" si="151"/>
        <v/>
      </c>
      <c r="O1389" s="66" t="str">
        <f t="shared" si="152"/>
        <v/>
      </c>
      <c r="P1389" s="66" t="str">
        <f t="shared" si="153"/>
        <v/>
      </c>
    </row>
    <row r="1390" spans="8:16">
      <c r="H1390" s="66" t="e">
        <f>IF(LEFT(A1390,6)="CEPNTR","GPINS",VLOOKUP(LEFT(A1390,6),'Code Library'!$A$3:$B$920,2,0))&amp;"_"&amp;RIGHT(A1390,3)</f>
        <v>#N/A</v>
      </c>
      <c r="I1390" s="66">
        <f t="shared" si="147"/>
        <v>0</v>
      </c>
      <c r="K1390" s="66" t="str">
        <f t="shared" si="148"/>
        <v/>
      </c>
      <c r="L1390" s="66" t="str">
        <f t="shared" si="149"/>
        <v/>
      </c>
      <c r="M1390" s="66" t="str">
        <f t="shared" si="150"/>
        <v/>
      </c>
      <c r="N1390" s="66" t="str">
        <f t="shared" si="151"/>
        <v/>
      </c>
      <c r="O1390" s="66" t="str">
        <f t="shared" si="152"/>
        <v/>
      </c>
      <c r="P1390" s="66" t="str">
        <f t="shared" si="153"/>
        <v/>
      </c>
    </row>
    <row r="1391" spans="8:16">
      <c r="H1391" s="66" t="e">
        <f>IF(LEFT(A1391,6)="CEPNTR","GPINS",VLOOKUP(LEFT(A1391,6),'Code Library'!$A$3:$B$920,2,0))&amp;"_"&amp;RIGHT(A1391,3)</f>
        <v>#N/A</v>
      </c>
      <c r="I1391" s="66">
        <f t="shared" si="147"/>
        <v>0</v>
      </c>
      <c r="K1391" s="66" t="str">
        <f t="shared" si="148"/>
        <v/>
      </c>
      <c r="L1391" s="66" t="str">
        <f t="shared" si="149"/>
        <v/>
      </c>
      <c r="M1391" s="66" t="str">
        <f t="shared" si="150"/>
        <v/>
      </c>
      <c r="N1391" s="66" t="str">
        <f t="shared" si="151"/>
        <v/>
      </c>
      <c r="O1391" s="66" t="str">
        <f t="shared" si="152"/>
        <v/>
      </c>
      <c r="P1391" s="66" t="str">
        <f t="shared" si="153"/>
        <v/>
      </c>
    </row>
    <row r="1392" spans="8:16">
      <c r="H1392" s="66" t="e">
        <f>IF(LEFT(A1392,6)="CEPNTR","GPINS",VLOOKUP(LEFT(A1392,6),'Code Library'!$A$3:$B$920,2,0))&amp;"_"&amp;RIGHT(A1392,3)</f>
        <v>#N/A</v>
      </c>
      <c r="I1392" s="66">
        <f t="shared" si="147"/>
        <v>0</v>
      </c>
      <c r="K1392" s="66" t="str">
        <f t="shared" si="148"/>
        <v/>
      </c>
      <c r="L1392" s="66" t="str">
        <f t="shared" si="149"/>
        <v/>
      </c>
      <c r="M1392" s="66" t="str">
        <f t="shared" si="150"/>
        <v/>
      </c>
      <c r="N1392" s="66" t="str">
        <f t="shared" si="151"/>
        <v/>
      </c>
      <c r="O1392" s="66" t="str">
        <f t="shared" si="152"/>
        <v/>
      </c>
      <c r="P1392" s="66" t="str">
        <f t="shared" si="153"/>
        <v/>
      </c>
    </row>
    <row r="1393" spans="8:16">
      <c r="H1393" s="66" t="e">
        <f>IF(LEFT(A1393,6)="CEPNTR","GPINS",VLOOKUP(LEFT(A1393,6),'Code Library'!$A$3:$B$920,2,0))&amp;"_"&amp;RIGHT(A1393,3)</f>
        <v>#N/A</v>
      </c>
      <c r="I1393" s="66">
        <f t="shared" si="147"/>
        <v>0</v>
      </c>
      <c r="K1393" s="66" t="str">
        <f t="shared" si="148"/>
        <v/>
      </c>
      <c r="L1393" s="66" t="str">
        <f t="shared" si="149"/>
        <v/>
      </c>
      <c r="M1393" s="66" t="str">
        <f t="shared" si="150"/>
        <v/>
      </c>
      <c r="N1393" s="66" t="str">
        <f t="shared" si="151"/>
        <v/>
      </c>
      <c r="O1393" s="66" t="str">
        <f t="shared" si="152"/>
        <v/>
      </c>
      <c r="P1393" s="66" t="str">
        <f t="shared" si="153"/>
        <v/>
      </c>
    </row>
    <row r="1394" spans="8:16">
      <c r="H1394" s="66" t="e">
        <f>IF(LEFT(A1394,6)="CEPNTR","GPINS",VLOOKUP(LEFT(A1394,6),'Code Library'!$A$3:$B$920,2,0))&amp;"_"&amp;RIGHT(A1394,3)</f>
        <v>#N/A</v>
      </c>
      <c r="I1394" s="66">
        <f t="shared" si="147"/>
        <v>0</v>
      </c>
      <c r="K1394" s="66" t="str">
        <f t="shared" si="148"/>
        <v/>
      </c>
      <c r="L1394" s="66" t="str">
        <f t="shared" si="149"/>
        <v/>
      </c>
      <c r="M1394" s="66" t="str">
        <f t="shared" si="150"/>
        <v/>
      </c>
      <c r="N1394" s="66" t="str">
        <f t="shared" si="151"/>
        <v/>
      </c>
      <c r="O1394" s="66" t="str">
        <f t="shared" si="152"/>
        <v/>
      </c>
      <c r="P1394" s="66" t="str">
        <f t="shared" si="153"/>
        <v/>
      </c>
    </row>
    <row r="1395" spans="8:16">
      <c r="H1395" s="66" t="e">
        <f>IF(LEFT(A1395,6)="CEPNTR","GPINS",VLOOKUP(LEFT(A1395,6),'Code Library'!$A$3:$B$920,2,0))&amp;"_"&amp;RIGHT(A1395,3)</f>
        <v>#N/A</v>
      </c>
      <c r="I1395" s="66">
        <f t="shared" si="147"/>
        <v>0</v>
      </c>
      <c r="K1395" s="66" t="str">
        <f t="shared" si="148"/>
        <v/>
      </c>
      <c r="L1395" s="66" t="str">
        <f t="shared" si="149"/>
        <v/>
      </c>
      <c r="M1395" s="66" t="str">
        <f t="shared" si="150"/>
        <v/>
      </c>
      <c r="N1395" s="66" t="str">
        <f t="shared" si="151"/>
        <v/>
      </c>
      <c r="O1395" s="66" t="str">
        <f t="shared" si="152"/>
        <v/>
      </c>
      <c r="P1395" s="66" t="str">
        <f t="shared" si="153"/>
        <v/>
      </c>
    </row>
    <row r="1396" spans="8:16">
      <c r="H1396" s="66" t="e">
        <f>IF(LEFT(A1396,6)="CEPNTR","GPINS",VLOOKUP(LEFT(A1396,6),'Code Library'!$A$3:$B$920,2,0))&amp;"_"&amp;RIGHT(A1396,3)</f>
        <v>#N/A</v>
      </c>
      <c r="I1396" s="66">
        <f t="shared" si="147"/>
        <v>0</v>
      </c>
      <c r="K1396" s="66" t="str">
        <f t="shared" si="148"/>
        <v/>
      </c>
      <c r="L1396" s="66" t="str">
        <f t="shared" si="149"/>
        <v/>
      </c>
      <c r="M1396" s="66" t="str">
        <f t="shared" si="150"/>
        <v/>
      </c>
      <c r="N1396" s="66" t="str">
        <f t="shared" si="151"/>
        <v/>
      </c>
      <c r="O1396" s="66" t="str">
        <f t="shared" si="152"/>
        <v/>
      </c>
      <c r="P1396" s="66" t="str">
        <f t="shared" si="153"/>
        <v/>
      </c>
    </row>
    <row r="1397" spans="8:16">
      <c r="H1397" s="66" t="e">
        <f>IF(LEFT(A1397,6)="CEPNTR","GPINS",VLOOKUP(LEFT(A1397,6),'Code Library'!$A$3:$B$920,2,0))&amp;"_"&amp;RIGHT(A1397,3)</f>
        <v>#N/A</v>
      </c>
      <c r="I1397" s="66">
        <f t="shared" si="147"/>
        <v>0</v>
      </c>
      <c r="K1397" s="66" t="str">
        <f t="shared" si="148"/>
        <v/>
      </c>
      <c r="L1397" s="66" t="str">
        <f t="shared" si="149"/>
        <v/>
      </c>
      <c r="M1397" s="66" t="str">
        <f t="shared" si="150"/>
        <v/>
      </c>
      <c r="N1397" s="66" t="str">
        <f t="shared" si="151"/>
        <v/>
      </c>
      <c r="O1397" s="66" t="str">
        <f t="shared" si="152"/>
        <v/>
      </c>
      <c r="P1397" s="66" t="str">
        <f t="shared" si="153"/>
        <v/>
      </c>
    </row>
    <row r="1398" spans="8:16">
      <c r="H1398" s="66" t="e">
        <f>IF(LEFT(A1398,6)="CEPNTR","GPINS",VLOOKUP(LEFT(A1398,6),'Code Library'!$A$3:$B$920,2,0))&amp;"_"&amp;RIGHT(A1398,3)</f>
        <v>#N/A</v>
      </c>
      <c r="I1398" s="66">
        <f t="shared" si="147"/>
        <v>0</v>
      </c>
      <c r="K1398" s="66" t="str">
        <f t="shared" si="148"/>
        <v/>
      </c>
      <c r="L1398" s="66" t="str">
        <f t="shared" si="149"/>
        <v/>
      </c>
      <c r="M1398" s="66" t="str">
        <f t="shared" si="150"/>
        <v/>
      </c>
      <c r="N1398" s="66" t="str">
        <f t="shared" si="151"/>
        <v/>
      </c>
      <c r="O1398" s="66" t="str">
        <f t="shared" si="152"/>
        <v/>
      </c>
      <c r="P1398" s="66" t="str">
        <f t="shared" si="153"/>
        <v/>
      </c>
    </row>
    <row r="1399" spans="8:16">
      <c r="H1399" s="66" t="e">
        <f>IF(LEFT(A1399,6)="CEPNTR","GPINS",VLOOKUP(LEFT(A1399,6),'Code Library'!$A$3:$B$920,2,0))&amp;"_"&amp;RIGHT(A1399,3)</f>
        <v>#N/A</v>
      </c>
      <c r="I1399" s="66">
        <f t="shared" si="147"/>
        <v>0</v>
      </c>
      <c r="K1399" s="66" t="str">
        <f t="shared" si="148"/>
        <v/>
      </c>
      <c r="L1399" s="66" t="str">
        <f t="shared" si="149"/>
        <v/>
      </c>
      <c r="M1399" s="66" t="str">
        <f t="shared" si="150"/>
        <v/>
      </c>
      <c r="N1399" s="66" t="str">
        <f t="shared" si="151"/>
        <v/>
      </c>
      <c r="O1399" s="66" t="str">
        <f t="shared" si="152"/>
        <v/>
      </c>
      <c r="P1399" s="66" t="str">
        <f t="shared" si="153"/>
        <v/>
      </c>
    </row>
    <row r="1400" spans="8:16">
      <c r="H1400" s="66" t="e">
        <f>IF(LEFT(A1400,6)="CEPNTR","GPINS",VLOOKUP(LEFT(A1400,6),'Code Library'!$A$3:$B$920,2,0))&amp;"_"&amp;RIGHT(A1400,3)</f>
        <v>#N/A</v>
      </c>
      <c r="I1400" s="66">
        <f t="shared" si="147"/>
        <v>0</v>
      </c>
      <c r="K1400" s="66" t="str">
        <f t="shared" si="148"/>
        <v/>
      </c>
      <c r="L1400" s="66" t="str">
        <f t="shared" si="149"/>
        <v/>
      </c>
      <c r="M1400" s="66" t="str">
        <f t="shared" si="150"/>
        <v/>
      </c>
      <c r="N1400" s="66" t="str">
        <f t="shared" si="151"/>
        <v/>
      </c>
      <c r="O1400" s="66" t="str">
        <f t="shared" si="152"/>
        <v/>
      </c>
      <c r="P1400" s="66" t="str">
        <f t="shared" si="153"/>
        <v/>
      </c>
    </row>
    <row r="1401" spans="8:16">
      <c r="H1401" s="66" t="e">
        <f>IF(LEFT(A1401,6)="CEPNTR","GPINS",VLOOKUP(LEFT(A1401,6),'Code Library'!$A$3:$B$920,2,0))&amp;"_"&amp;RIGHT(A1401,3)</f>
        <v>#N/A</v>
      </c>
      <c r="I1401" s="66">
        <f t="shared" si="147"/>
        <v>0</v>
      </c>
      <c r="K1401" s="66" t="str">
        <f t="shared" si="148"/>
        <v/>
      </c>
      <c r="L1401" s="66" t="str">
        <f t="shared" si="149"/>
        <v/>
      </c>
      <c r="M1401" s="66" t="str">
        <f t="shared" si="150"/>
        <v/>
      </c>
      <c r="N1401" s="66" t="str">
        <f t="shared" si="151"/>
        <v/>
      </c>
      <c r="O1401" s="66" t="str">
        <f t="shared" si="152"/>
        <v/>
      </c>
      <c r="P1401" s="66" t="str">
        <f t="shared" si="153"/>
        <v/>
      </c>
    </row>
    <row r="1402" spans="8:16">
      <c r="H1402" s="66" t="e">
        <f>IF(LEFT(A1402,6)="CEPNTR","GPINS",VLOOKUP(LEFT(A1402,6),'Code Library'!$A$3:$B$920,2,0))&amp;"_"&amp;RIGHT(A1402,3)</f>
        <v>#N/A</v>
      </c>
      <c r="I1402" s="66">
        <f t="shared" si="147"/>
        <v>0</v>
      </c>
      <c r="K1402" s="66" t="str">
        <f t="shared" si="148"/>
        <v/>
      </c>
      <c r="L1402" s="66" t="str">
        <f t="shared" si="149"/>
        <v/>
      </c>
      <c r="M1402" s="66" t="str">
        <f t="shared" si="150"/>
        <v/>
      </c>
      <c r="N1402" s="66" t="str">
        <f t="shared" si="151"/>
        <v/>
      </c>
      <c r="O1402" s="66" t="str">
        <f t="shared" si="152"/>
        <v/>
      </c>
      <c r="P1402" s="66" t="str">
        <f t="shared" si="153"/>
        <v/>
      </c>
    </row>
    <row r="1403" spans="8:16">
      <c r="H1403" s="66" t="e">
        <f>IF(LEFT(A1403,6)="CEPNTR","GPINS",VLOOKUP(LEFT(A1403,6),'Code Library'!$A$3:$B$920,2,0))&amp;"_"&amp;RIGHT(A1403,3)</f>
        <v>#N/A</v>
      </c>
      <c r="I1403" s="66">
        <f t="shared" si="147"/>
        <v>0</v>
      </c>
      <c r="K1403" s="66" t="str">
        <f t="shared" si="148"/>
        <v/>
      </c>
      <c r="L1403" s="66" t="str">
        <f t="shared" si="149"/>
        <v/>
      </c>
      <c r="M1403" s="66" t="str">
        <f t="shared" si="150"/>
        <v/>
      </c>
      <c r="N1403" s="66" t="str">
        <f t="shared" si="151"/>
        <v/>
      </c>
      <c r="O1403" s="66" t="str">
        <f t="shared" si="152"/>
        <v/>
      </c>
      <c r="P1403" s="66" t="str">
        <f t="shared" si="153"/>
        <v/>
      </c>
    </row>
    <row r="1404" spans="8:16">
      <c r="H1404" s="66" t="e">
        <f>IF(LEFT(A1404,6)="CEPNTR","GPINS",VLOOKUP(LEFT(A1404,6),'Code Library'!$A$3:$B$920,2,0))&amp;"_"&amp;RIGHT(A1404,3)</f>
        <v>#N/A</v>
      </c>
      <c r="I1404" s="66">
        <f t="shared" si="147"/>
        <v>0</v>
      </c>
      <c r="K1404" s="66" t="str">
        <f t="shared" si="148"/>
        <v/>
      </c>
      <c r="L1404" s="66" t="str">
        <f t="shared" si="149"/>
        <v/>
      </c>
      <c r="M1404" s="66" t="str">
        <f t="shared" si="150"/>
        <v/>
      </c>
      <c r="N1404" s="66" t="str">
        <f t="shared" si="151"/>
        <v/>
      </c>
      <c r="O1404" s="66" t="str">
        <f t="shared" si="152"/>
        <v/>
      </c>
      <c r="P1404" s="66" t="str">
        <f t="shared" si="153"/>
        <v/>
      </c>
    </row>
    <row r="1405" spans="8:16">
      <c r="H1405" s="66" t="e">
        <f>IF(LEFT(A1405,6)="CEPNTR","GPINS",VLOOKUP(LEFT(A1405,6),'Code Library'!$A$3:$B$920,2,0))&amp;"_"&amp;RIGHT(A1405,3)</f>
        <v>#N/A</v>
      </c>
      <c r="I1405" s="66">
        <f t="shared" si="147"/>
        <v>0</v>
      </c>
      <c r="K1405" s="66" t="str">
        <f t="shared" si="148"/>
        <v/>
      </c>
      <c r="L1405" s="66" t="str">
        <f t="shared" si="149"/>
        <v/>
      </c>
      <c r="M1405" s="66" t="str">
        <f t="shared" si="150"/>
        <v/>
      </c>
      <c r="N1405" s="66" t="str">
        <f t="shared" si="151"/>
        <v/>
      </c>
      <c r="O1405" s="66" t="str">
        <f t="shared" si="152"/>
        <v/>
      </c>
      <c r="P1405" s="66" t="str">
        <f t="shared" si="153"/>
        <v/>
      </c>
    </row>
    <row r="1406" spans="8:16">
      <c r="H1406" s="66" t="e">
        <f>IF(LEFT(A1406,6)="CEPNTR","GPINS",VLOOKUP(LEFT(A1406,6),'Code Library'!$A$3:$B$920,2,0))&amp;"_"&amp;RIGHT(A1406,3)</f>
        <v>#N/A</v>
      </c>
      <c r="I1406" s="66">
        <f t="shared" si="147"/>
        <v>0</v>
      </c>
      <c r="K1406" s="66" t="str">
        <f t="shared" si="148"/>
        <v/>
      </c>
      <c r="L1406" s="66" t="str">
        <f t="shared" si="149"/>
        <v/>
      </c>
      <c r="M1406" s="66" t="str">
        <f t="shared" si="150"/>
        <v/>
      </c>
      <c r="N1406" s="66" t="str">
        <f t="shared" si="151"/>
        <v/>
      </c>
      <c r="O1406" s="66" t="str">
        <f t="shared" si="152"/>
        <v/>
      </c>
      <c r="P1406" s="66" t="str">
        <f t="shared" si="153"/>
        <v/>
      </c>
    </row>
    <row r="1407" spans="8:16">
      <c r="H1407" s="66" t="e">
        <f>IF(LEFT(A1407,6)="CEPNTR","GPINS",VLOOKUP(LEFT(A1407,6),'Code Library'!$A$3:$B$920,2,0))&amp;"_"&amp;RIGHT(A1407,3)</f>
        <v>#N/A</v>
      </c>
      <c r="I1407" s="66">
        <f t="shared" si="147"/>
        <v>0</v>
      </c>
      <c r="K1407" s="66" t="str">
        <f t="shared" si="148"/>
        <v/>
      </c>
      <c r="L1407" s="66" t="str">
        <f t="shared" si="149"/>
        <v/>
      </c>
      <c r="M1407" s="66" t="str">
        <f t="shared" si="150"/>
        <v/>
      </c>
      <c r="N1407" s="66" t="str">
        <f t="shared" si="151"/>
        <v/>
      </c>
      <c r="O1407" s="66" t="str">
        <f t="shared" si="152"/>
        <v/>
      </c>
      <c r="P1407" s="66" t="str">
        <f t="shared" si="153"/>
        <v/>
      </c>
    </row>
    <row r="1408" spans="8:16">
      <c r="H1408" s="66" t="e">
        <f>IF(LEFT(A1408,6)="CEPNTR","GPINS",VLOOKUP(LEFT(A1408,6),'Code Library'!$A$3:$B$920,2,0))&amp;"_"&amp;RIGHT(A1408,3)</f>
        <v>#N/A</v>
      </c>
      <c r="I1408" s="66">
        <f t="shared" si="147"/>
        <v>0</v>
      </c>
      <c r="K1408" s="66" t="str">
        <f t="shared" si="148"/>
        <v/>
      </c>
      <c r="L1408" s="66" t="str">
        <f t="shared" si="149"/>
        <v/>
      </c>
      <c r="M1408" s="66" t="str">
        <f t="shared" si="150"/>
        <v/>
      </c>
      <c r="N1408" s="66" t="str">
        <f t="shared" si="151"/>
        <v/>
      </c>
      <c r="O1408" s="66" t="str">
        <f t="shared" si="152"/>
        <v/>
      </c>
      <c r="P1408" s="66" t="str">
        <f t="shared" si="153"/>
        <v/>
      </c>
    </row>
    <row r="1409" spans="8:16">
      <c r="H1409" s="66" t="e">
        <f>IF(LEFT(A1409,6)="CEPNTR","GPINS",VLOOKUP(LEFT(A1409,6),'Code Library'!$A$3:$B$920,2,0))&amp;"_"&amp;RIGHT(A1409,3)</f>
        <v>#N/A</v>
      </c>
      <c r="I1409" s="66">
        <f t="shared" si="147"/>
        <v>0</v>
      </c>
      <c r="K1409" s="66" t="str">
        <f t="shared" si="148"/>
        <v/>
      </c>
      <c r="L1409" s="66" t="str">
        <f t="shared" si="149"/>
        <v/>
      </c>
      <c r="M1409" s="66" t="str">
        <f t="shared" si="150"/>
        <v/>
      </c>
      <c r="N1409" s="66" t="str">
        <f t="shared" si="151"/>
        <v/>
      </c>
      <c r="O1409" s="66" t="str">
        <f t="shared" si="152"/>
        <v/>
      </c>
      <c r="P1409" s="66" t="str">
        <f t="shared" si="153"/>
        <v/>
      </c>
    </row>
    <row r="1410" spans="8:16">
      <c r="H1410" s="66" t="e">
        <f>IF(LEFT(A1410,6)="CEPNTR","GPINS",VLOOKUP(LEFT(A1410,6),'Code Library'!$A$3:$B$920,2,0))&amp;"_"&amp;RIGHT(A1410,3)</f>
        <v>#N/A</v>
      </c>
      <c r="I1410" s="66">
        <f t="shared" si="147"/>
        <v>0</v>
      </c>
      <c r="K1410" s="66" t="str">
        <f t="shared" si="148"/>
        <v/>
      </c>
      <c r="L1410" s="66" t="str">
        <f t="shared" si="149"/>
        <v/>
      </c>
      <c r="M1410" s="66" t="str">
        <f t="shared" si="150"/>
        <v/>
      </c>
      <c r="N1410" s="66" t="str">
        <f t="shared" si="151"/>
        <v/>
      </c>
      <c r="O1410" s="66" t="str">
        <f t="shared" si="152"/>
        <v/>
      </c>
      <c r="P1410" s="66" t="str">
        <f t="shared" si="153"/>
        <v/>
      </c>
    </row>
    <row r="1411" spans="8:16">
      <c r="H1411" s="66" t="e">
        <f>IF(LEFT(A1411,6)="CEPNTR","GPINS",VLOOKUP(LEFT(A1411,6),'Code Library'!$A$3:$B$920,2,0))&amp;"_"&amp;RIGHT(A1411,3)</f>
        <v>#N/A</v>
      </c>
      <c r="I1411" s="66">
        <f t="shared" ref="I1411:I1474" si="154">A1411</f>
        <v>0</v>
      </c>
      <c r="K1411" s="66" t="str">
        <f t="shared" ref="K1411:K1474" si="155">RIGHT($B1411,2)</f>
        <v/>
      </c>
      <c r="L1411" s="66" t="str">
        <f t="shared" ref="L1411:L1474" si="156">LEFT(RIGHT($B1411,7),4)</f>
        <v/>
      </c>
      <c r="M1411" s="66" t="str">
        <f t="shared" ref="M1411:M1474" si="157">LEFT(RIGHT($B1411,10),2)</f>
        <v/>
      </c>
      <c r="N1411" s="66" t="str">
        <f t="shared" ref="N1411:N1474" si="158">LEFT(RIGHT($B1411,14),3)</f>
        <v/>
      </c>
      <c r="O1411" s="66" t="str">
        <f t="shared" ref="O1411:O1474" si="159">LEFT(RIGHT($B1411,16),1)</f>
        <v/>
      </c>
      <c r="P1411" s="66" t="str">
        <f t="shared" ref="P1411:P1474" si="160">LEFT(RIGHT($B1411,19),2)</f>
        <v/>
      </c>
    </row>
    <row r="1412" spans="8:16">
      <c r="H1412" s="66" t="e">
        <f>IF(LEFT(A1412,6)="CEPNTR","GPINS",VLOOKUP(LEFT(A1412,6),'Code Library'!$A$3:$B$920,2,0))&amp;"_"&amp;RIGHT(A1412,3)</f>
        <v>#N/A</v>
      </c>
      <c r="I1412" s="66">
        <f t="shared" si="154"/>
        <v>0</v>
      </c>
      <c r="K1412" s="66" t="str">
        <f t="shared" si="155"/>
        <v/>
      </c>
      <c r="L1412" s="66" t="str">
        <f t="shared" si="156"/>
        <v/>
      </c>
      <c r="M1412" s="66" t="str">
        <f t="shared" si="157"/>
        <v/>
      </c>
      <c r="N1412" s="66" t="str">
        <f t="shared" si="158"/>
        <v/>
      </c>
      <c r="O1412" s="66" t="str">
        <f t="shared" si="159"/>
        <v/>
      </c>
      <c r="P1412" s="66" t="str">
        <f t="shared" si="160"/>
        <v/>
      </c>
    </row>
    <row r="1413" spans="8:16">
      <c r="H1413" s="66" t="e">
        <f>IF(LEFT(A1413,6)="CEPNTR","GPINS",VLOOKUP(LEFT(A1413,6),'Code Library'!$A$3:$B$920,2,0))&amp;"_"&amp;RIGHT(A1413,3)</f>
        <v>#N/A</v>
      </c>
      <c r="I1413" s="66">
        <f t="shared" si="154"/>
        <v>0</v>
      </c>
      <c r="K1413" s="66" t="str">
        <f t="shared" si="155"/>
        <v/>
      </c>
      <c r="L1413" s="66" t="str">
        <f t="shared" si="156"/>
        <v/>
      </c>
      <c r="M1413" s="66" t="str">
        <f t="shared" si="157"/>
        <v/>
      </c>
      <c r="N1413" s="66" t="str">
        <f t="shared" si="158"/>
        <v/>
      </c>
      <c r="O1413" s="66" t="str">
        <f t="shared" si="159"/>
        <v/>
      </c>
      <c r="P1413" s="66" t="str">
        <f t="shared" si="160"/>
        <v/>
      </c>
    </row>
    <row r="1414" spans="8:16">
      <c r="H1414" s="66" t="e">
        <f>IF(LEFT(A1414,6)="CEPNTR","GPINS",VLOOKUP(LEFT(A1414,6),'Code Library'!$A$3:$B$920,2,0))&amp;"_"&amp;RIGHT(A1414,3)</f>
        <v>#N/A</v>
      </c>
      <c r="I1414" s="66">
        <f t="shared" si="154"/>
        <v>0</v>
      </c>
      <c r="K1414" s="66" t="str">
        <f t="shared" si="155"/>
        <v/>
      </c>
      <c r="L1414" s="66" t="str">
        <f t="shared" si="156"/>
        <v/>
      </c>
      <c r="M1414" s="66" t="str">
        <f t="shared" si="157"/>
        <v/>
      </c>
      <c r="N1414" s="66" t="str">
        <f t="shared" si="158"/>
        <v/>
      </c>
      <c r="O1414" s="66" t="str">
        <f t="shared" si="159"/>
        <v/>
      </c>
      <c r="P1414" s="66" t="str">
        <f t="shared" si="160"/>
        <v/>
      </c>
    </row>
    <row r="1415" spans="8:16">
      <c r="H1415" s="66" t="e">
        <f>IF(LEFT(A1415,6)="CEPNTR","GPINS",VLOOKUP(LEFT(A1415,6),'Code Library'!$A$3:$B$920,2,0))&amp;"_"&amp;RIGHT(A1415,3)</f>
        <v>#N/A</v>
      </c>
      <c r="I1415" s="66">
        <f t="shared" si="154"/>
        <v>0</v>
      </c>
      <c r="K1415" s="66" t="str">
        <f t="shared" si="155"/>
        <v/>
      </c>
      <c r="L1415" s="66" t="str">
        <f t="shared" si="156"/>
        <v/>
      </c>
      <c r="M1415" s="66" t="str">
        <f t="shared" si="157"/>
        <v/>
      </c>
      <c r="N1415" s="66" t="str">
        <f t="shared" si="158"/>
        <v/>
      </c>
      <c r="O1415" s="66" t="str">
        <f t="shared" si="159"/>
        <v/>
      </c>
      <c r="P1415" s="66" t="str">
        <f t="shared" si="160"/>
        <v/>
      </c>
    </row>
    <row r="1416" spans="8:16">
      <c r="H1416" s="66" t="e">
        <f>IF(LEFT(A1416,6)="CEPNTR","GPINS",VLOOKUP(LEFT(A1416,6),'Code Library'!$A$3:$B$920,2,0))&amp;"_"&amp;RIGHT(A1416,3)</f>
        <v>#N/A</v>
      </c>
      <c r="I1416" s="66">
        <f t="shared" si="154"/>
        <v>0</v>
      </c>
      <c r="K1416" s="66" t="str">
        <f t="shared" si="155"/>
        <v/>
      </c>
      <c r="L1416" s="66" t="str">
        <f t="shared" si="156"/>
        <v/>
      </c>
      <c r="M1416" s="66" t="str">
        <f t="shared" si="157"/>
        <v/>
      </c>
      <c r="N1416" s="66" t="str">
        <f t="shared" si="158"/>
        <v/>
      </c>
      <c r="O1416" s="66" t="str">
        <f t="shared" si="159"/>
        <v/>
      </c>
      <c r="P1416" s="66" t="str">
        <f t="shared" si="160"/>
        <v/>
      </c>
    </row>
    <row r="1417" spans="8:16">
      <c r="H1417" s="66" t="e">
        <f>IF(LEFT(A1417,6)="CEPNTR","GPINS",VLOOKUP(LEFT(A1417,6),'Code Library'!$A$3:$B$920,2,0))&amp;"_"&amp;RIGHT(A1417,3)</f>
        <v>#N/A</v>
      </c>
      <c r="I1417" s="66">
        <f t="shared" si="154"/>
        <v>0</v>
      </c>
      <c r="K1417" s="66" t="str">
        <f t="shared" si="155"/>
        <v/>
      </c>
      <c r="L1417" s="66" t="str">
        <f t="shared" si="156"/>
        <v/>
      </c>
      <c r="M1417" s="66" t="str">
        <f t="shared" si="157"/>
        <v/>
      </c>
      <c r="N1417" s="66" t="str">
        <f t="shared" si="158"/>
        <v/>
      </c>
      <c r="O1417" s="66" t="str">
        <f t="shared" si="159"/>
        <v/>
      </c>
      <c r="P1417" s="66" t="str">
        <f t="shared" si="160"/>
        <v/>
      </c>
    </row>
    <row r="1418" spans="8:16">
      <c r="H1418" s="66" t="e">
        <f>IF(LEFT(A1418,6)="CEPNTR","GPINS",VLOOKUP(LEFT(A1418,6),'Code Library'!$A$3:$B$920,2,0))&amp;"_"&amp;RIGHT(A1418,3)</f>
        <v>#N/A</v>
      </c>
      <c r="I1418" s="66">
        <f t="shared" si="154"/>
        <v>0</v>
      </c>
      <c r="K1418" s="66" t="str">
        <f t="shared" si="155"/>
        <v/>
      </c>
      <c r="L1418" s="66" t="str">
        <f t="shared" si="156"/>
        <v/>
      </c>
      <c r="M1418" s="66" t="str">
        <f t="shared" si="157"/>
        <v/>
      </c>
      <c r="N1418" s="66" t="str">
        <f t="shared" si="158"/>
        <v/>
      </c>
      <c r="O1418" s="66" t="str">
        <f t="shared" si="159"/>
        <v/>
      </c>
      <c r="P1418" s="66" t="str">
        <f t="shared" si="160"/>
        <v/>
      </c>
    </row>
    <row r="1419" spans="8:16">
      <c r="H1419" s="66" t="e">
        <f>IF(LEFT(A1419,6)="CEPNTR","GPINS",VLOOKUP(LEFT(A1419,6),'Code Library'!$A$3:$B$920,2,0))&amp;"_"&amp;RIGHT(A1419,3)</f>
        <v>#N/A</v>
      </c>
      <c r="I1419" s="66">
        <f t="shared" si="154"/>
        <v>0</v>
      </c>
      <c r="K1419" s="66" t="str">
        <f t="shared" si="155"/>
        <v/>
      </c>
      <c r="L1419" s="66" t="str">
        <f t="shared" si="156"/>
        <v/>
      </c>
      <c r="M1419" s="66" t="str">
        <f t="shared" si="157"/>
        <v/>
      </c>
      <c r="N1419" s="66" t="str">
        <f t="shared" si="158"/>
        <v/>
      </c>
      <c r="O1419" s="66" t="str">
        <f t="shared" si="159"/>
        <v/>
      </c>
      <c r="P1419" s="66" t="str">
        <f t="shared" si="160"/>
        <v/>
      </c>
    </row>
    <row r="1420" spans="8:16">
      <c r="H1420" s="66" t="e">
        <f>IF(LEFT(A1420,6)="CEPNTR","GPINS",VLOOKUP(LEFT(A1420,6),'Code Library'!$A$3:$B$920,2,0))&amp;"_"&amp;RIGHT(A1420,3)</f>
        <v>#N/A</v>
      </c>
      <c r="I1420" s="66">
        <f t="shared" si="154"/>
        <v>0</v>
      </c>
      <c r="K1420" s="66" t="str">
        <f t="shared" si="155"/>
        <v/>
      </c>
      <c r="L1420" s="66" t="str">
        <f t="shared" si="156"/>
        <v/>
      </c>
      <c r="M1420" s="66" t="str">
        <f t="shared" si="157"/>
        <v/>
      </c>
      <c r="N1420" s="66" t="str">
        <f t="shared" si="158"/>
        <v/>
      </c>
      <c r="O1420" s="66" t="str">
        <f t="shared" si="159"/>
        <v/>
      </c>
      <c r="P1420" s="66" t="str">
        <f t="shared" si="160"/>
        <v/>
      </c>
    </row>
    <row r="1421" spans="8:16">
      <c r="H1421" s="66" t="e">
        <f>IF(LEFT(A1421,6)="CEPNTR","GPINS",VLOOKUP(LEFT(A1421,6),'Code Library'!$A$3:$B$920,2,0))&amp;"_"&amp;RIGHT(A1421,3)</f>
        <v>#N/A</v>
      </c>
      <c r="I1421" s="66">
        <f t="shared" si="154"/>
        <v>0</v>
      </c>
      <c r="K1421" s="66" t="str">
        <f t="shared" si="155"/>
        <v/>
      </c>
      <c r="L1421" s="66" t="str">
        <f t="shared" si="156"/>
        <v/>
      </c>
      <c r="M1421" s="66" t="str">
        <f t="shared" si="157"/>
        <v/>
      </c>
      <c r="N1421" s="66" t="str">
        <f t="shared" si="158"/>
        <v/>
      </c>
      <c r="O1421" s="66" t="str">
        <f t="shared" si="159"/>
        <v/>
      </c>
      <c r="P1421" s="66" t="str">
        <f t="shared" si="160"/>
        <v/>
      </c>
    </row>
    <row r="1422" spans="8:16">
      <c r="H1422" s="66" t="e">
        <f>IF(LEFT(A1422,6)="CEPNTR","GPINS",VLOOKUP(LEFT(A1422,6),'Code Library'!$A$3:$B$920,2,0))&amp;"_"&amp;RIGHT(A1422,3)</f>
        <v>#N/A</v>
      </c>
      <c r="I1422" s="66">
        <f t="shared" si="154"/>
        <v>0</v>
      </c>
      <c r="K1422" s="66" t="str">
        <f t="shared" si="155"/>
        <v/>
      </c>
      <c r="L1422" s="66" t="str">
        <f t="shared" si="156"/>
        <v/>
      </c>
      <c r="M1422" s="66" t="str">
        <f t="shared" si="157"/>
        <v/>
      </c>
      <c r="N1422" s="66" t="str">
        <f t="shared" si="158"/>
        <v/>
      </c>
      <c r="O1422" s="66" t="str">
        <f t="shared" si="159"/>
        <v/>
      </c>
      <c r="P1422" s="66" t="str">
        <f t="shared" si="160"/>
        <v/>
      </c>
    </row>
    <row r="1423" spans="8:16">
      <c r="H1423" s="66" t="e">
        <f>IF(LEFT(A1423,6)="CEPNTR","GPINS",VLOOKUP(LEFT(A1423,6),'Code Library'!$A$3:$B$920,2,0))&amp;"_"&amp;RIGHT(A1423,3)</f>
        <v>#N/A</v>
      </c>
      <c r="I1423" s="66">
        <f t="shared" si="154"/>
        <v>0</v>
      </c>
      <c r="K1423" s="66" t="str">
        <f t="shared" si="155"/>
        <v/>
      </c>
      <c r="L1423" s="66" t="str">
        <f t="shared" si="156"/>
        <v/>
      </c>
      <c r="M1423" s="66" t="str">
        <f t="shared" si="157"/>
        <v/>
      </c>
      <c r="N1423" s="66" t="str">
        <f t="shared" si="158"/>
        <v/>
      </c>
      <c r="O1423" s="66" t="str">
        <f t="shared" si="159"/>
        <v/>
      </c>
      <c r="P1423" s="66" t="str">
        <f t="shared" si="160"/>
        <v/>
      </c>
    </row>
    <row r="1424" spans="8:16">
      <c r="H1424" s="66" t="e">
        <f>IF(LEFT(A1424,6)="CEPNTR","GPINS",VLOOKUP(LEFT(A1424,6),'Code Library'!$A$3:$B$920,2,0))&amp;"_"&amp;RIGHT(A1424,3)</f>
        <v>#N/A</v>
      </c>
      <c r="I1424" s="66">
        <f t="shared" si="154"/>
        <v>0</v>
      </c>
      <c r="K1424" s="66" t="str">
        <f t="shared" si="155"/>
        <v/>
      </c>
      <c r="L1424" s="66" t="str">
        <f t="shared" si="156"/>
        <v/>
      </c>
      <c r="M1424" s="66" t="str">
        <f t="shared" si="157"/>
        <v/>
      </c>
      <c r="N1424" s="66" t="str">
        <f t="shared" si="158"/>
        <v/>
      </c>
      <c r="O1424" s="66" t="str">
        <f t="shared" si="159"/>
        <v/>
      </c>
      <c r="P1424" s="66" t="str">
        <f t="shared" si="160"/>
        <v/>
      </c>
    </row>
    <row r="1425" spans="8:16">
      <c r="H1425" s="66" t="e">
        <f>IF(LEFT(A1425,6)="CEPNTR","GPINS",VLOOKUP(LEFT(A1425,6),'Code Library'!$A$3:$B$920,2,0))&amp;"_"&amp;RIGHT(A1425,3)</f>
        <v>#N/A</v>
      </c>
      <c r="I1425" s="66">
        <f t="shared" si="154"/>
        <v>0</v>
      </c>
      <c r="K1425" s="66" t="str">
        <f t="shared" si="155"/>
        <v/>
      </c>
      <c r="L1425" s="66" t="str">
        <f t="shared" si="156"/>
        <v/>
      </c>
      <c r="M1425" s="66" t="str">
        <f t="shared" si="157"/>
        <v/>
      </c>
      <c r="N1425" s="66" t="str">
        <f t="shared" si="158"/>
        <v/>
      </c>
      <c r="O1425" s="66" t="str">
        <f t="shared" si="159"/>
        <v/>
      </c>
      <c r="P1425" s="66" t="str">
        <f t="shared" si="160"/>
        <v/>
      </c>
    </row>
    <row r="1426" spans="8:16">
      <c r="H1426" s="66" t="e">
        <f>IF(LEFT(A1426,6)="CEPNTR","GPINS",VLOOKUP(LEFT(A1426,6),'Code Library'!$A$3:$B$920,2,0))&amp;"_"&amp;RIGHT(A1426,3)</f>
        <v>#N/A</v>
      </c>
      <c r="I1426" s="66">
        <f t="shared" si="154"/>
        <v>0</v>
      </c>
      <c r="K1426" s="66" t="str">
        <f t="shared" si="155"/>
        <v/>
      </c>
      <c r="L1426" s="66" t="str">
        <f t="shared" si="156"/>
        <v/>
      </c>
      <c r="M1426" s="66" t="str">
        <f t="shared" si="157"/>
        <v/>
      </c>
      <c r="N1426" s="66" t="str">
        <f t="shared" si="158"/>
        <v/>
      </c>
      <c r="O1426" s="66" t="str">
        <f t="shared" si="159"/>
        <v/>
      </c>
      <c r="P1426" s="66" t="str">
        <f t="shared" si="160"/>
        <v/>
      </c>
    </row>
    <row r="1427" spans="8:16">
      <c r="H1427" s="66" t="e">
        <f>IF(LEFT(A1427,6)="CEPNTR","GPINS",VLOOKUP(LEFT(A1427,6),'Code Library'!$A$3:$B$920,2,0))&amp;"_"&amp;RIGHT(A1427,3)</f>
        <v>#N/A</v>
      </c>
      <c r="I1427" s="66">
        <f t="shared" si="154"/>
        <v>0</v>
      </c>
      <c r="K1427" s="66" t="str">
        <f t="shared" si="155"/>
        <v/>
      </c>
      <c r="L1427" s="66" t="str">
        <f t="shared" si="156"/>
        <v/>
      </c>
      <c r="M1427" s="66" t="str">
        <f t="shared" si="157"/>
        <v/>
      </c>
      <c r="N1427" s="66" t="str">
        <f t="shared" si="158"/>
        <v/>
      </c>
      <c r="O1427" s="66" t="str">
        <f t="shared" si="159"/>
        <v/>
      </c>
      <c r="P1427" s="66" t="str">
        <f t="shared" si="160"/>
        <v/>
      </c>
    </row>
    <row r="1428" spans="8:16">
      <c r="H1428" s="66" t="e">
        <f>IF(LEFT(A1428,6)="CEPNTR","GPINS",VLOOKUP(LEFT(A1428,6),'Code Library'!$A$3:$B$920,2,0))&amp;"_"&amp;RIGHT(A1428,3)</f>
        <v>#N/A</v>
      </c>
      <c r="I1428" s="66">
        <f t="shared" si="154"/>
        <v>0</v>
      </c>
      <c r="K1428" s="66" t="str">
        <f t="shared" si="155"/>
        <v/>
      </c>
      <c r="L1428" s="66" t="str">
        <f t="shared" si="156"/>
        <v/>
      </c>
      <c r="M1428" s="66" t="str">
        <f t="shared" si="157"/>
        <v/>
      </c>
      <c r="N1428" s="66" t="str">
        <f t="shared" si="158"/>
        <v/>
      </c>
      <c r="O1428" s="66" t="str">
        <f t="shared" si="159"/>
        <v/>
      </c>
      <c r="P1428" s="66" t="str">
        <f t="shared" si="160"/>
        <v/>
      </c>
    </row>
    <row r="1429" spans="8:16">
      <c r="H1429" s="66" t="e">
        <f>IF(LEFT(A1429,6)="CEPNTR","GPINS",VLOOKUP(LEFT(A1429,6),'Code Library'!$A$3:$B$920,2,0))&amp;"_"&amp;RIGHT(A1429,3)</f>
        <v>#N/A</v>
      </c>
      <c r="I1429" s="66">
        <f t="shared" si="154"/>
        <v>0</v>
      </c>
      <c r="K1429" s="66" t="str">
        <f t="shared" si="155"/>
        <v/>
      </c>
      <c r="L1429" s="66" t="str">
        <f t="shared" si="156"/>
        <v/>
      </c>
      <c r="M1429" s="66" t="str">
        <f t="shared" si="157"/>
        <v/>
      </c>
      <c r="N1429" s="66" t="str">
        <f t="shared" si="158"/>
        <v/>
      </c>
      <c r="O1429" s="66" t="str">
        <f t="shared" si="159"/>
        <v/>
      </c>
      <c r="P1429" s="66" t="str">
        <f t="shared" si="160"/>
        <v/>
      </c>
    </row>
    <row r="1430" spans="8:16">
      <c r="H1430" s="66" t="e">
        <f>IF(LEFT(A1430,6)="CEPNTR","GPINS",VLOOKUP(LEFT(A1430,6),'Code Library'!$A$3:$B$920,2,0))&amp;"_"&amp;RIGHT(A1430,3)</f>
        <v>#N/A</v>
      </c>
      <c r="I1430" s="66">
        <f t="shared" si="154"/>
        <v>0</v>
      </c>
      <c r="K1430" s="66" t="str">
        <f t="shared" si="155"/>
        <v/>
      </c>
      <c r="L1430" s="66" t="str">
        <f t="shared" si="156"/>
        <v/>
      </c>
      <c r="M1430" s="66" t="str">
        <f t="shared" si="157"/>
        <v/>
      </c>
      <c r="N1430" s="66" t="str">
        <f t="shared" si="158"/>
        <v/>
      </c>
      <c r="O1430" s="66" t="str">
        <f t="shared" si="159"/>
        <v/>
      </c>
      <c r="P1430" s="66" t="str">
        <f t="shared" si="160"/>
        <v/>
      </c>
    </row>
    <row r="1431" spans="8:16">
      <c r="H1431" s="66" t="e">
        <f>IF(LEFT(A1431,6)="CEPNTR","GPINS",VLOOKUP(LEFT(A1431,6),'Code Library'!$A$3:$B$920,2,0))&amp;"_"&amp;RIGHT(A1431,3)</f>
        <v>#N/A</v>
      </c>
      <c r="I1431" s="66">
        <f t="shared" si="154"/>
        <v>0</v>
      </c>
      <c r="K1431" s="66" t="str">
        <f t="shared" si="155"/>
        <v/>
      </c>
      <c r="L1431" s="66" t="str">
        <f t="shared" si="156"/>
        <v/>
      </c>
      <c r="M1431" s="66" t="str">
        <f t="shared" si="157"/>
        <v/>
      </c>
      <c r="N1431" s="66" t="str">
        <f t="shared" si="158"/>
        <v/>
      </c>
      <c r="O1431" s="66" t="str">
        <f t="shared" si="159"/>
        <v/>
      </c>
      <c r="P1431" s="66" t="str">
        <f t="shared" si="160"/>
        <v/>
      </c>
    </row>
    <row r="1432" spans="8:16">
      <c r="H1432" s="66" t="e">
        <f>IF(LEFT(A1432,6)="CEPNTR","GPINS",VLOOKUP(LEFT(A1432,6),'Code Library'!$A$3:$B$920,2,0))&amp;"_"&amp;RIGHT(A1432,3)</f>
        <v>#N/A</v>
      </c>
      <c r="I1432" s="66">
        <f t="shared" si="154"/>
        <v>0</v>
      </c>
      <c r="K1432" s="66" t="str">
        <f t="shared" si="155"/>
        <v/>
      </c>
      <c r="L1432" s="66" t="str">
        <f t="shared" si="156"/>
        <v/>
      </c>
      <c r="M1432" s="66" t="str">
        <f t="shared" si="157"/>
        <v/>
      </c>
      <c r="N1432" s="66" t="str">
        <f t="shared" si="158"/>
        <v/>
      </c>
      <c r="O1432" s="66" t="str">
        <f t="shared" si="159"/>
        <v/>
      </c>
      <c r="P1432" s="66" t="str">
        <f t="shared" si="160"/>
        <v/>
      </c>
    </row>
    <row r="1433" spans="8:16">
      <c r="H1433" s="66" t="e">
        <f>IF(LEFT(A1433,6)="CEPNTR","GPINS",VLOOKUP(LEFT(A1433,6),'Code Library'!$A$3:$B$920,2,0))&amp;"_"&amp;RIGHT(A1433,3)</f>
        <v>#N/A</v>
      </c>
      <c r="I1433" s="66">
        <f t="shared" si="154"/>
        <v>0</v>
      </c>
      <c r="K1433" s="66" t="str">
        <f t="shared" si="155"/>
        <v/>
      </c>
      <c r="L1433" s="66" t="str">
        <f t="shared" si="156"/>
        <v/>
      </c>
      <c r="M1433" s="66" t="str">
        <f t="shared" si="157"/>
        <v/>
      </c>
      <c r="N1433" s="66" t="str">
        <f t="shared" si="158"/>
        <v/>
      </c>
      <c r="O1433" s="66" t="str">
        <f t="shared" si="159"/>
        <v/>
      </c>
      <c r="P1433" s="66" t="str">
        <f t="shared" si="160"/>
        <v/>
      </c>
    </row>
    <row r="1434" spans="8:16">
      <c r="H1434" s="66" t="e">
        <f>IF(LEFT(A1434,6)="CEPNTR","GPINS",VLOOKUP(LEFT(A1434,6),'Code Library'!$A$3:$B$920,2,0))&amp;"_"&amp;RIGHT(A1434,3)</f>
        <v>#N/A</v>
      </c>
      <c r="I1434" s="66">
        <f t="shared" si="154"/>
        <v>0</v>
      </c>
      <c r="K1434" s="66" t="str">
        <f t="shared" si="155"/>
        <v/>
      </c>
      <c r="L1434" s="66" t="str">
        <f t="shared" si="156"/>
        <v/>
      </c>
      <c r="M1434" s="66" t="str">
        <f t="shared" si="157"/>
        <v/>
      </c>
      <c r="N1434" s="66" t="str">
        <f t="shared" si="158"/>
        <v/>
      </c>
      <c r="O1434" s="66" t="str">
        <f t="shared" si="159"/>
        <v/>
      </c>
      <c r="P1434" s="66" t="str">
        <f t="shared" si="160"/>
        <v/>
      </c>
    </row>
    <row r="1435" spans="8:16">
      <c r="H1435" s="66" t="e">
        <f>IF(LEFT(A1435,6)="CEPNTR","GPINS",VLOOKUP(LEFT(A1435,6),'Code Library'!$A$3:$B$920,2,0))&amp;"_"&amp;RIGHT(A1435,3)</f>
        <v>#N/A</v>
      </c>
      <c r="I1435" s="66">
        <f t="shared" si="154"/>
        <v>0</v>
      </c>
      <c r="K1435" s="66" t="str">
        <f t="shared" si="155"/>
        <v/>
      </c>
      <c r="L1435" s="66" t="str">
        <f t="shared" si="156"/>
        <v/>
      </c>
      <c r="M1435" s="66" t="str">
        <f t="shared" si="157"/>
        <v/>
      </c>
      <c r="N1435" s="66" t="str">
        <f t="shared" si="158"/>
        <v/>
      </c>
      <c r="O1435" s="66" t="str">
        <f t="shared" si="159"/>
        <v/>
      </c>
      <c r="P1435" s="66" t="str">
        <f t="shared" si="160"/>
        <v/>
      </c>
    </row>
    <row r="1436" spans="8:16">
      <c r="H1436" s="66" t="e">
        <f>IF(LEFT(A1436,6)="CEPNTR","GPINS",VLOOKUP(LEFT(A1436,6),'Code Library'!$A$3:$B$920,2,0))&amp;"_"&amp;RIGHT(A1436,3)</f>
        <v>#N/A</v>
      </c>
      <c r="I1436" s="66">
        <f t="shared" si="154"/>
        <v>0</v>
      </c>
      <c r="K1436" s="66" t="str">
        <f t="shared" si="155"/>
        <v/>
      </c>
      <c r="L1436" s="66" t="str">
        <f t="shared" si="156"/>
        <v/>
      </c>
      <c r="M1436" s="66" t="str">
        <f t="shared" si="157"/>
        <v/>
      </c>
      <c r="N1436" s="66" t="str">
        <f t="shared" si="158"/>
        <v/>
      </c>
      <c r="O1436" s="66" t="str">
        <f t="shared" si="159"/>
        <v/>
      </c>
      <c r="P1436" s="66" t="str">
        <f t="shared" si="160"/>
        <v/>
      </c>
    </row>
    <row r="1437" spans="8:16">
      <c r="H1437" s="66" t="e">
        <f>IF(LEFT(A1437,6)="CEPNTR","GPINS",VLOOKUP(LEFT(A1437,6),'Code Library'!$A$3:$B$920,2,0))&amp;"_"&amp;RIGHT(A1437,3)</f>
        <v>#N/A</v>
      </c>
      <c r="I1437" s="66">
        <f t="shared" si="154"/>
        <v>0</v>
      </c>
      <c r="K1437" s="66" t="str">
        <f t="shared" si="155"/>
        <v/>
      </c>
      <c r="L1437" s="66" t="str">
        <f t="shared" si="156"/>
        <v/>
      </c>
      <c r="M1437" s="66" t="str">
        <f t="shared" si="157"/>
        <v/>
      </c>
      <c r="N1437" s="66" t="str">
        <f t="shared" si="158"/>
        <v/>
      </c>
      <c r="O1437" s="66" t="str">
        <f t="shared" si="159"/>
        <v/>
      </c>
      <c r="P1437" s="66" t="str">
        <f t="shared" si="160"/>
        <v/>
      </c>
    </row>
    <row r="1438" spans="8:16">
      <c r="H1438" s="66" t="e">
        <f>IF(LEFT(A1438,6)="CEPNTR","GPINS",VLOOKUP(LEFT(A1438,6),'Code Library'!$A$3:$B$920,2,0))&amp;"_"&amp;RIGHT(A1438,3)</f>
        <v>#N/A</v>
      </c>
      <c r="I1438" s="66">
        <f t="shared" si="154"/>
        <v>0</v>
      </c>
      <c r="K1438" s="66" t="str">
        <f t="shared" si="155"/>
        <v/>
      </c>
      <c r="L1438" s="66" t="str">
        <f t="shared" si="156"/>
        <v/>
      </c>
      <c r="M1438" s="66" t="str">
        <f t="shared" si="157"/>
        <v/>
      </c>
      <c r="N1438" s="66" t="str">
        <f t="shared" si="158"/>
        <v/>
      </c>
      <c r="O1438" s="66" t="str">
        <f t="shared" si="159"/>
        <v/>
      </c>
      <c r="P1438" s="66" t="str">
        <f t="shared" si="160"/>
        <v/>
      </c>
    </row>
    <row r="1439" spans="8:16">
      <c r="H1439" s="66" t="e">
        <f>IF(LEFT(A1439,6)="CEPNTR","GPINS",VLOOKUP(LEFT(A1439,6),'Code Library'!$A$3:$B$920,2,0))&amp;"_"&amp;RIGHT(A1439,3)</f>
        <v>#N/A</v>
      </c>
      <c r="I1439" s="66">
        <f t="shared" si="154"/>
        <v>0</v>
      </c>
      <c r="K1439" s="66" t="str">
        <f t="shared" si="155"/>
        <v/>
      </c>
      <c r="L1439" s="66" t="str">
        <f t="shared" si="156"/>
        <v/>
      </c>
      <c r="M1439" s="66" t="str">
        <f t="shared" si="157"/>
        <v/>
      </c>
      <c r="N1439" s="66" t="str">
        <f t="shared" si="158"/>
        <v/>
      </c>
      <c r="O1439" s="66" t="str">
        <f t="shared" si="159"/>
        <v/>
      </c>
      <c r="P1439" s="66" t="str">
        <f t="shared" si="160"/>
        <v/>
      </c>
    </row>
    <row r="1440" spans="8:16">
      <c r="H1440" s="66" t="e">
        <f>IF(LEFT(A1440,6)="CEPNTR","GPINS",VLOOKUP(LEFT(A1440,6),'Code Library'!$A$3:$B$920,2,0))&amp;"_"&amp;RIGHT(A1440,3)</f>
        <v>#N/A</v>
      </c>
      <c r="I1440" s="66">
        <f t="shared" si="154"/>
        <v>0</v>
      </c>
      <c r="K1440" s="66" t="str">
        <f t="shared" si="155"/>
        <v/>
      </c>
      <c r="L1440" s="66" t="str">
        <f t="shared" si="156"/>
        <v/>
      </c>
      <c r="M1440" s="66" t="str">
        <f t="shared" si="157"/>
        <v/>
      </c>
      <c r="N1440" s="66" t="str">
        <f t="shared" si="158"/>
        <v/>
      </c>
      <c r="O1440" s="66" t="str">
        <f t="shared" si="159"/>
        <v/>
      </c>
      <c r="P1440" s="66" t="str">
        <f t="shared" si="160"/>
        <v/>
      </c>
    </row>
    <row r="1441" spans="8:16">
      <c r="H1441" s="66" t="e">
        <f>IF(LEFT(A1441,6)="CEPNTR","GPINS",VLOOKUP(LEFT(A1441,6),'Code Library'!$A$3:$B$920,2,0))&amp;"_"&amp;RIGHT(A1441,3)</f>
        <v>#N/A</v>
      </c>
      <c r="I1441" s="66">
        <f t="shared" si="154"/>
        <v>0</v>
      </c>
      <c r="K1441" s="66" t="str">
        <f t="shared" si="155"/>
        <v/>
      </c>
      <c r="L1441" s="66" t="str">
        <f t="shared" si="156"/>
        <v/>
      </c>
      <c r="M1441" s="66" t="str">
        <f t="shared" si="157"/>
        <v/>
      </c>
      <c r="N1441" s="66" t="str">
        <f t="shared" si="158"/>
        <v/>
      </c>
      <c r="O1441" s="66" t="str">
        <f t="shared" si="159"/>
        <v/>
      </c>
      <c r="P1441" s="66" t="str">
        <f t="shared" si="160"/>
        <v/>
      </c>
    </row>
    <row r="1442" spans="8:16">
      <c r="H1442" s="66" t="e">
        <f>IF(LEFT(A1442,6)="CEPNTR","GPINS",VLOOKUP(LEFT(A1442,6),'Code Library'!$A$3:$B$920,2,0))&amp;"_"&amp;RIGHT(A1442,3)</f>
        <v>#N/A</v>
      </c>
      <c r="I1442" s="66">
        <f t="shared" si="154"/>
        <v>0</v>
      </c>
      <c r="K1442" s="66" t="str">
        <f t="shared" si="155"/>
        <v/>
      </c>
      <c r="L1442" s="66" t="str">
        <f t="shared" si="156"/>
        <v/>
      </c>
      <c r="M1442" s="66" t="str">
        <f t="shared" si="157"/>
        <v/>
      </c>
      <c r="N1442" s="66" t="str">
        <f t="shared" si="158"/>
        <v/>
      </c>
      <c r="O1442" s="66" t="str">
        <f t="shared" si="159"/>
        <v/>
      </c>
      <c r="P1442" s="66" t="str">
        <f t="shared" si="160"/>
        <v/>
      </c>
    </row>
    <row r="1443" spans="8:16">
      <c r="H1443" s="66" t="e">
        <f>IF(LEFT(A1443,6)="CEPNTR","GPINS",VLOOKUP(LEFT(A1443,6),'Code Library'!$A$3:$B$920,2,0))&amp;"_"&amp;RIGHT(A1443,3)</f>
        <v>#N/A</v>
      </c>
      <c r="I1443" s="66">
        <f t="shared" si="154"/>
        <v>0</v>
      </c>
      <c r="K1443" s="66" t="str">
        <f t="shared" si="155"/>
        <v/>
      </c>
      <c r="L1443" s="66" t="str">
        <f t="shared" si="156"/>
        <v/>
      </c>
      <c r="M1443" s="66" t="str">
        <f t="shared" si="157"/>
        <v/>
      </c>
      <c r="N1443" s="66" t="str">
        <f t="shared" si="158"/>
        <v/>
      </c>
      <c r="O1443" s="66" t="str">
        <f t="shared" si="159"/>
        <v/>
      </c>
      <c r="P1443" s="66" t="str">
        <f t="shared" si="160"/>
        <v/>
      </c>
    </row>
    <row r="1444" spans="8:16">
      <c r="H1444" s="66" t="e">
        <f>IF(LEFT(A1444,6)="CEPNTR","GPINS",VLOOKUP(LEFT(A1444,6),'Code Library'!$A$3:$B$920,2,0))&amp;"_"&amp;RIGHT(A1444,3)</f>
        <v>#N/A</v>
      </c>
      <c r="I1444" s="66">
        <f t="shared" si="154"/>
        <v>0</v>
      </c>
      <c r="K1444" s="66" t="str">
        <f t="shared" si="155"/>
        <v/>
      </c>
      <c r="L1444" s="66" t="str">
        <f t="shared" si="156"/>
        <v/>
      </c>
      <c r="M1444" s="66" t="str">
        <f t="shared" si="157"/>
        <v/>
      </c>
      <c r="N1444" s="66" t="str">
        <f t="shared" si="158"/>
        <v/>
      </c>
      <c r="O1444" s="66" t="str">
        <f t="shared" si="159"/>
        <v/>
      </c>
      <c r="P1444" s="66" t="str">
        <f t="shared" si="160"/>
        <v/>
      </c>
    </row>
    <row r="1445" spans="8:16">
      <c r="H1445" s="66" t="e">
        <f>IF(LEFT(A1445,6)="CEPNTR","GPINS",VLOOKUP(LEFT(A1445,6),'Code Library'!$A$3:$B$920,2,0))&amp;"_"&amp;RIGHT(A1445,3)</f>
        <v>#N/A</v>
      </c>
      <c r="I1445" s="66">
        <f t="shared" si="154"/>
        <v>0</v>
      </c>
      <c r="K1445" s="66" t="str">
        <f t="shared" si="155"/>
        <v/>
      </c>
      <c r="L1445" s="66" t="str">
        <f t="shared" si="156"/>
        <v/>
      </c>
      <c r="M1445" s="66" t="str">
        <f t="shared" si="157"/>
        <v/>
      </c>
      <c r="N1445" s="66" t="str">
        <f t="shared" si="158"/>
        <v/>
      </c>
      <c r="O1445" s="66" t="str">
        <f t="shared" si="159"/>
        <v/>
      </c>
      <c r="P1445" s="66" t="str">
        <f t="shared" si="160"/>
        <v/>
      </c>
    </row>
    <row r="1446" spans="8:16">
      <c r="H1446" s="66" t="e">
        <f>IF(LEFT(A1446,6)="CEPNTR","GPINS",VLOOKUP(LEFT(A1446,6),'Code Library'!$A$3:$B$920,2,0))&amp;"_"&amp;RIGHT(A1446,3)</f>
        <v>#N/A</v>
      </c>
      <c r="I1446" s="66">
        <f t="shared" si="154"/>
        <v>0</v>
      </c>
      <c r="K1446" s="66" t="str">
        <f t="shared" si="155"/>
        <v/>
      </c>
      <c r="L1446" s="66" t="str">
        <f t="shared" si="156"/>
        <v/>
      </c>
      <c r="M1446" s="66" t="str">
        <f t="shared" si="157"/>
        <v/>
      </c>
      <c r="N1446" s="66" t="str">
        <f t="shared" si="158"/>
        <v/>
      </c>
      <c r="O1446" s="66" t="str">
        <f t="shared" si="159"/>
        <v/>
      </c>
      <c r="P1446" s="66" t="str">
        <f t="shared" si="160"/>
        <v/>
      </c>
    </row>
    <row r="1447" spans="8:16">
      <c r="H1447" s="66" t="e">
        <f>IF(LEFT(A1447,6)="CEPNTR","GPINS",VLOOKUP(LEFT(A1447,6),'Code Library'!$A$3:$B$920,2,0))&amp;"_"&amp;RIGHT(A1447,3)</f>
        <v>#N/A</v>
      </c>
      <c r="I1447" s="66">
        <f t="shared" si="154"/>
        <v>0</v>
      </c>
      <c r="K1447" s="66" t="str">
        <f t="shared" si="155"/>
        <v/>
      </c>
      <c r="L1447" s="66" t="str">
        <f t="shared" si="156"/>
        <v/>
      </c>
      <c r="M1447" s="66" t="str">
        <f t="shared" si="157"/>
        <v/>
      </c>
      <c r="N1447" s="66" t="str">
        <f t="shared" si="158"/>
        <v/>
      </c>
      <c r="O1447" s="66" t="str">
        <f t="shared" si="159"/>
        <v/>
      </c>
      <c r="P1447" s="66" t="str">
        <f t="shared" si="160"/>
        <v/>
      </c>
    </row>
    <row r="1448" spans="8:16">
      <c r="H1448" s="66" t="e">
        <f>IF(LEFT(A1448,6)="CEPNTR","GPINS",VLOOKUP(LEFT(A1448,6),'Code Library'!$A$3:$B$920,2,0))&amp;"_"&amp;RIGHT(A1448,3)</f>
        <v>#N/A</v>
      </c>
      <c r="I1448" s="66">
        <f t="shared" si="154"/>
        <v>0</v>
      </c>
      <c r="K1448" s="66" t="str">
        <f t="shared" si="155"/>
        <v/>
      </c>
      <c r="L1448" s="66" t="str">
        <f t="shared" si="156"/>
        <v/>
      </c>
      <c r="M1448" s="66" t="str">
        <f t="shared" si="157"/>
        <v/>
      </c>
      <c r="N1448" s="66" t="str">
        <f t="shared" si="158"/>
        <v/>
      </c>
      <c r="O1448" s="66" t="str">
        <f t="shared" si="159"/>
        <v/>
      </c>
      <c r="P1448" s="66" t="str">
        <f t="shared" si="160"/>
        <v/>
      </c>
    </row>
    <row r="1449" spans="8:16">
      <c r="H1449" s="66" t="e">
        <f>IF(LEFT(A1449,6)="CEPNTR","GPINS",VLOOKUP(LEFT(A1449,6),'Code Library'!$A$3:$B$920,2,0))&amp;"_"&amp;RIGHT(A1449,3)</f>
        <v>#N/A</v>
      </c>
      <c r="I1449" s="66">
        <f t="shared" si="154"/>
        <v>0</v>
      </c>
      <c r="K1449" s="66" t="str">
        <f t="shared" si="155"/>
        <v/>
      </c>
      <c r="L1449" s="66" t="str">
        <f t="shared" si="156"/>
        <v/>
      </c>
      <c r="M1449" s="66" t="str">
        <f t="shared" si="157"/>
        <v/>
      </c>
      <c r="N1449" s="66" t="str">
        <f t="shared" si="158"/>
        <v/>
      </c>
      <c r="O1449" s="66" t="str">
        <f t="shared" si="159"/>
        <v/>
      </c>
      <c r="P1449" s="66" t="str">
        <f t="shared" si="160"/>
        <v/>
      </c>
    </row>
    <row r="1450" spans="8:16">
      <c r="H1450" s="66" t="e">
        <f>IF(LEFT(A1450,6)="CEPNTR","GPINS",VLOOKUP(LEFT(A1450,6),'Code Library'!$A$3:$B$920,2,0))&amp;"_"&amp;RIGHT(A1450,3)</f>
        <v>#N/A</v>
      </c>
      <c r="I1450" s="66">
        <f t="shared" si="154"/>
        <v>0</v>
      </c>
      <c r="K1450" s="66" t="str">
        <f t="shared" si="155"/>
        <v/>
      </c>
      <c r="L1450" s="66" t="str">
        <f t="shared" si="156"/>
        <v/>
      </c>
      <c r="M1450" s="66" t="str">
        <f t="shared" si="157"/>
        <v/>
      </c>
      <c r="N1450" s="66" t="str">
        <f t="shared" si="158"/>
        <v/>
      </c>
      <c r="O1450" s="66" t="str">
        <f t="shared" si="159"/>
        <v/>
      </c>
      <c r="P1450" s="66" t="str">
        <f t="shared" si="160"/>
        <v/>
      </c>
    </row>
    <row r="1451" spans="8:16">
      <c r="H1451" s="66" t="e">
        <f>IF(LEFT(A1451,6)="CEPNTR","GPINS",VLOOKUP(LEFT(A1451,6),'Code Library'!$A$3:$B$920,2,0))&amp;"_"&amp;RIGHT(A1451,3)</f>
        <v>#N/A</v>
      </c>
      <c r="I1451" s="66">
        <f t="shared" si="154"/>
        <v>0</v>
      </c>
      <c r="K1451" s="66" t="str">
        <f t="shared" si="155"/>
        <v/>
      </c>
      <c r="L1451" s="66" t="str">
        <f t="shared" si="156"/>
        <v/>
      </c>
      <c r="M1451" s="66" t="str">
        <f t="shared" si="157"/>
        <v/>
      </c>
      <c r="N1451" s="66" t="str">
        <f t="shared" si="158"/>
        <v/>
      </c>
      <c r="O1451" s="66" t="str">
        <f t="shared" si="159"/>
        <v/>
      </c>
      <c r="P1451" s="66" t="str">
        <f t="shared" si="160"/>
        <v/>
      </c>
    </row>
    <row r="1452" spans="8:16">
      <c r="H1452" s="66" t="e">
        <f>IF(LEFT(A1452,6)="CEPNTR","GPINS",VLOOKUP(LEFT(A1452,6),'Code Library'!$A$3:$B$920,2,0))&amp;"_"&amp;RIGHT(A1452,3)</f>
        <v>#N/A</v>
      </c>
      <c r="I1452" s="66">
        <f t="shared" si="154"/>
        <v>0</v>
      </c>
      <c r="K1452" s="66" t="str">
        <f t="shared" si="155"/>
        <v/>
      </c>
      <c r="L1452" s="66" t="str">
        <f t="shared" si="156"/>
        <v/>
      </c>
      <c r="M1452" s="66" t="str">
        <f t="shared" si="157"/>
        <v/>
      </c>
      <c r="N1452" s="66" t="str">
        <f t="shared" si="158"/>
        <v/>
      </c>
      <c r="O1452" s="66" t="str">
        <f t="shared" si="159"/>
        <v/>
      </c>
      <c r="P1452" s="66" t="str">
        <f t="shared" si="160"/>
        <v/>
      </c>
    </row>
    <row r="1453" spans="8:16">
      <c r="H1453" s="66" t="e">
        <f>IF(LEFT(A1453,6)="CEPNTR","GPINS",VLOOKUP(LEFT(A1453,6),'Code Library'!$A$3:$B$920,2,0))&amp;"_"&amp;RIGHT(A1453,3)</f>
        <v>#N/A</v>
      </c>
      <c r="I1453" s="66">
        <f t="shared" si="154"/>
        <v>0</v>
      </c>
      <c r="K1453" s="66" t="str">
        <f t="shared" si="155"/>
        <v/>
      </c>
      <c r="L1453" s="66" t="str">
        <f t="shared" si="156"/>
        <v/>
      </c>
      <c r="M1453" s="66" t="str">
        <f t="shared" si="157"/>
        <v/>
      </c>
      <c r="N1453" s="66" t="str">
        <f t="shared" si="158"/>
        <v/>
      </c>
      <c r="O1453" s="66" t="str">
        <f t="shared" si="159"/>
        <v/>
      </c>
      <c r="P1453" s="66" t="str">
        <f t="shared" si="160"/>
        <v/>
      </c>
    </row>
    <row r="1454" spans="8:16">
      <c r="H1454" s="66" t="e">
        <f>IF(LEFT(A1454,6)="CEPNTR","GPINS",VLOOKUP(LEFT(A1454,6),'Code Library'!$A$3:$B$920,2,0))&amp;"_"&amp;RIGHT(A1454,3)</f>
        <v>#N/A</v>
      </c>
      <c r="I1454" s="66">
        <f t="shared" si="154"/>
        <v>0</v>
      </c>
      <c r="K1454" s="66" t="str">
        <f t="shared" si="155"/>
        <v/>
      </c>
      <c r="L1454" s="66" t="str">
        <f t="shared" si="156"/>
        <v/>
      </c>
      <c r="M1454" s="66" t="str">
        <f t="shared" si="157"/>
        <v/>
      </c>
      <c r="N1454" s="66" t="str">
        <f t="shared" si="158"/>
        <v/>
      </c>
      <c r="O1454" s="66" t="str">
        <f t="shared" si="159"/>
        <v/>
      </c>
      <c r="P1454" s="66" t="str">
        <f t="shared" si="160"/>
        <v/>
      </c>
    </row>
    <row r="1455" spans="8:16">
      <c r="H1455" s="66" t="e">
        <f>IF(LEFT(A1455,6)="CEPNTR","GPINS",VLOOKUP(LEFT(A1455,6),'Code Library'!$A$3:$B$920,2,0))&amp;"_"&amp;RIGHT(A1455,3)</f>
        <v>#N/A</v>
      </c>
      <c r="I1455" s="66">
        <f t="shared" si="154"/>
        <v>0</v>
      </c>
      <c r="K1455" s="66" t="str">
        <f t="shared" si="155"/>
        <v/>
      </c>
      <c r="L1455" s="66" t="str">
        <f t="shared" si="156"/>
        <v/>
      </c>
      <c r="M1455" s="66" t="str">
        <f t="shared" si="157"/>
        <v/>
      </c>
      <c r="N1455" s="66" t="str">
        <f t="shared" si="158"/>
        <v/>
      </c>
      <c r="O1455" s="66" t="str">
        <f t="shared" si="159"/>
        <v/>
      </c>
      <c r="P1455" s="66" t="str">
        <f t="shared" si="160"/>
        <v/>
      </c>
    </row>
    <row r="1456" spans="8:16">
      <c r="H1456" s="66" t="e">
        <f>IF(LEFT(A1456,6)="CEPNTR","GPINS",VLOOKUP(LEFT(A1456,6),'Code Library'!$A$3:$B$920,2,0))&amp;"_"&amp;RIGHT(A1456,3)</f>
        <v>#N/A</v>
      </c>
      <c r="I1456" s="66">
        <f t="shared" si="154"/>
        <v>0</v>
      </c>
      <c r="K1456" s="66" t="str">
        <f t="shared" si="155"/>
        <v/>
      </c>
      <c r="L1456" s="66" t="str">
        <f t="shared" si="156"/>
        <v/>
      </c>
      <c r="M1456" s="66" t="str">
        <f t="shared" si="157"/>
        <v/>
      </c>
      <c r="N1456" s="66" t="str">
        <f t="shared" si="158"/>
        <v/>
      </c>
      <c r="O1456" s="66" t="str">
        <f t="shared" si="159"/>
        <v/>
      </c>
      <c r="P1456" s="66" t="str">
        <f t="shared" si="160"/>
        <v/>
      </c>
    </row>
    <row r="1457" spans="8:16">
      <c r="H1457" s="66" t="e">
        <f>IF(LEFT(A1457,6)="CEPNTR","GPINS",VLOOKUP(LEFT(A1457,6),'Code Library'!$A$3:$B$920,2,0))&amp;"_"&amp;RIGHT(A1457,3)</f>
        <v>#N/A</v>
      </c>
      <c r="I1457" s="66">
        <f t="shared" si="154"/>
        <v>0</v>
      </c>
      <c r="K1457" s="66" t="str">
        <f t="shared" si="155"/>
        <v/>
      </c>
      <c r="L1457" s="66" t="str">
        <f t="shared" si="156"/>
        <v/>
      </c>
      <c r="M1457" s="66" t="str">
        <f t="shared" si="157"/>
        <v/>
      </c>
      <c r="N1457" s="66" t="str">
        <f t="shared" si="158"/>
        <v/>
      </c>
      <c r="O1457" s="66" t="str">
        <f t="shared" si="159"/>
        <v/>
      </c>
      <c r="P1457" s="66" t="str">
        <f t="shared" si="160"/>
        <v/>
      </c>
    </row>
    <row r="1458" spans="8:16">
      <c r="H1458" s="66" t="e">
        <f>IF(LEFT(A1458,6)="CEPNTR","GPINS",VLOOKUP(LEFT(A1458,6),'Code Library'!$A$3:$B$920,2,0))&amp;"_"&amp;RIGHT(A1458,3)</f>
        <v>#N/A</v>
      </c>
      <c r="I1458" s="66">
        <f t="shared" si="154"/>
        <v>0</v>
      </c>
      <c r="K1458" s="66" t="str">
        <f t="shared" si="155"/>
        <v/>
      </c>
      <c r="L1458" s="66" t="str">
        <f t="shared" si="156"/>
        <v/>
      </c>
      <c r="M1458" s="66" t="str">
        <f t="shared" si="157"/>
        <v/>
      </c>
      <c r="N1458" s="66" t="str">
        <f t="shared" si="158"/>
        <v/>
      </c>
      <c r="O1458" s="66" t="str">
        <f t="shared" si="159"/>
        <v/>
      </c>
      <c r="P1458" s="66" t="str">
        <f t="shared" si="160"/>
        <v/>
      </c>
    </row>
    <row r="1459" spans="8:16">
      <c r="H1459" s="66" t="e">
        <f>IF(LEFT(A1459,6)="CEPNTR","GPINS",VLOOKUP(LEFT(A1459,6),'Code Library'!$A$3:$B$920,2,0))&amp;"_"&amp;RIGHT(A1459,3)</f>
        <v>#N/A</v>
      </c>
      <c r="I1459" s="66">
        <f t="shared" si="154"/>
        <v>0</v>
      </c>
      <c r="K1459" s="66" t="str">
        <f t="shared" si="155"/>
        <v/>
      </c>
      <c r="L1459" s="66" t="str">
        <f t="shared" si="156"/>
        <v/>
      </c>
      <c r="M1459" s="66" t="str">
        <f t="shared" si="157"/>
        <v/>
      </c>
      <c r="N1459" s="66" t="str">
        <f t="shared" si="158"/>
        <v/>
      </c>
      <c r="O1459" s="66" t="str">
        <f t="shared" si="159"/>
        <v/>
      </c>
      <c r="P1459" s="66" t="str">
        <f t="shared" si="160"/>
        <v/>
      </c>
    </row>
    <row r="1460" spans="8:16">
      <c r="H1460" s="66" t="e">
        <f>IF(LEFT(A1460,6)="CEPNTR","GPINS",VLOOKUP(LEFT(A1460,6),'Code Library'!$A$3:$B$920,2,0))&amp;"_"&amp;RIGHT(A1460,3)</f>
        <v>#N/A</v>
      </c>
      <c r="I1460" s="66">
        <f t="shared" si="154"/>
        <v>0</v>
      </c>
      <c r="K1460" s="66" t="str">
        <f t="shared" si="155"/>
        <v/>
      </c>
      <c r="L1460" s="66" t="str">
        <f t="shared" si="156"/>
        <v/>
      </c>
      <c r="M1460" s="66" t="str">
        <f t="shared" si="157"/>
        <v/>
      </c>
      <c r="N1460" s="66" t="str">
        <f t="shared" si="158"/>
        <v/>
      </c>
      <c r="O1460" s="66" t="str">
        <f t="shared" si="159"/>
        <v/>
      </c>
      <c r="P1460" s="66" t="str">
        <f t="shared" si="160"/>
        <v/>
      </c>
    </row>
    <row r="1461" spans="8:16">
      <c r="H1461" s="66" t="e">
        <f>IF(LEFT(A1461,6)="CEPNTR","GPINS",VLOOKUP(LEFT(A1461,6),'Code Library'!$A$3:$B$920,2,0))&amp;"_"&amp;RIGHT(A1461,3)</f>
        <v>#N/A</v>
      </c>
      <c r="I1461" s="66">
        <f t="shared" si="154"/>
        <v>0</v>
      </c>
      <c r="K1461" s="66" t="str">
        <f t="shared" si="155"/>
        <v/>
      </c>
      <c r="L1461" s="66" t="str">
        <f t="shared" si="156"/>
        <v/>
      </c>
      <c r="M1461" s="66" t="str">
        <f t="shared" si="157"/>
        <v/>
      </c>
      <c r="N1461" s="66" t="str">
        <f t="shared" si="158"/>
        <v/>
      </c>
      <c r="O1461" s="66" t="str">
        <f t="shared" si="159"/>
        <v/>
      </c>
      <c r="P1461" s="66" t="str">
        <f t="shared" si="160"/>
        <v/>
      </c>
    </row>
    <row r="1462" spans="8:16">
      <c r="H1462" s="66" t="e">
        <f>IF(LEFT(A1462,6)="CEPNTR","GPINS",VLOOKUP(LEFT(A1462,6),'Code Library'!$A$3:$B$920,2,0))&amp;"_"&amp;RIGHT(A1462,3)</f>
        <v>#N/A</v>
      </c>
      <c r="I1462" s="66">
        <f t="shared" si="154"/>
        <v>0</v>
      </c>
      <c r="K1462" s="66" t="str">
        <f t="shared" si="155"/>
        <v/>
      </c>
      <c r="L1462" s="66" t="str">
        <f t="shared" si="156"/>
        <v/>
      </c>
      <c r="M1462" s="66" t="str">
        <f t="shared" si="157"/>
        <v/>
      </c>
      <c r="N1462" s="66" t="str">
        <f t="shared" si="158"/>
        <v/>
      </c>
      <c r="O1462" s="66" t="str">
        <f t="shared" si="159"/>
        <v/>
      </c>
      <c r="P1462" s="66" t="str">
        <f t="shared" si="160"/>
        <v/>
      </c>
    </row>
    <row r="1463" spans="8:16">
      <c r="H1463" s="66" t="e">
        <f>IF(LEFT(A1463,6)="CEPNTR","GPINS",VLOOKUP(LEFT(A1463,6),'Code Library'!$A$3:$B$920,2,0))&amp;"_"&amp;RIGHT(A1463,3)</f>
        <v>#N/A</v>
      </c>
      <c r="I1463" s="66">
        <f t="shared" si="154"/>
        <v>0</v>
      </c>
      <c r="K1463" s="66" t="str">
        <f t="shared" si="155"/>
        <v/>
      </c>
      <c r="L1463" s="66" t="str">
        <f t="shared" si="156"/>
        <v/>
      </c>
      <c r="M1463" s="66" t="str">
        <f t="shared" si="157"/>
        <v/>
      </c>
      <c r="N1463" s="66" t="str">
        <f t="shared" si="158"/>
        <v/>
      </c>
      <c r="O1463" s="66" t="str">
        <f t="shared" si="159"/>
        <v/>
      </c>
      <c r="P1463" s="66" t="str">
        <f t="shared" si="160"/>
        <v/>
      </c>
    </row>
    <row r="1464" spans="8:16">
      <c r="H1464" s="66" t="e">
        <f>IF(LEFT(A1464,6)="CEPNTR","GPINS",VLOOKUP(LEFT(A1464,6),'Code Library'!$A$3:$B$920,2,0))&amp;"_"&amp;RIGHT(A1464,3)</f>
        <v>#N/A</v>
      </c>
      <c r="I1464" s="66">
        <f t="shared" si="154"/>
        <v>0</v>
      </c>
      <c r="K1464" s="66" t="str">
        <f t="shared" si="155"/>
        <v/>
      </c>
      <c r="L1464" s="66" t="str">
        <f t="shared" si="156"/>
        <v/>
      </c>
      <c r="M1464" s="66" t="str">
        <f t="shared" si="157"/>
        <v/>
      </c>
      <c r="N1464" s="66" t="str">
        <f t="shared" si="158"/>
        <v/>
      </c>
      <c r="O1464" s="66" t="str">
        <f t="shared" si="159"/>
        <v/>
      </c>
      <c r="P1464" s="66" t="str">
        <f t="shared" si="160"/>
        <v/>
      </c>
    </row>
    <row r="1465" spans="8:16">
      <c r="H1465" s="66" t="e">
        <f>IF(LEFT(A1465,6)="CEPNTR","GPINS",VLOOKUP(LEFT(A1465,6),'Code Library'!$A$3:$B$920,2,0))&amp;"_"&amp;RIGHT(A1465,3)</f>
        <v>#N/A</v>
      </c>
      <c r="I1465" s="66">
        <f t="shared" si="154"/>
        <v>0</v>
      </c>
      <c r="K1465" s="66" t="str">
        <f t="shared" si="155"/>
        <v/>
      </c>
      <c r="L1465" s="66" t="str">
        <f t="shared" si="156"/>
        <v/>
      </c>
      <c r="M1465" s="66" t="str">
        <f t="shared" si="157"/>
        <v/>
      </c>
      <c r="N1465" s="66" t="str">
        <f t="shared" si="158"/>
        <v/>
      </c>
      <c r="O1465" s="66" t="str">
        <f t="shared" si="159"/>
        <v/>
      </c>
      <c r="P1465" s="66" t="str">
        <f t="shared" si="160"/>
        <v/>
      </c>
    </row>
    <row r="1466" spans="8:16">
      <c r="H1466" s="66" t="e">
        <f>IF(LEFT(A1466,6)="CEPNTR","GPINS",VLOOKUP(LEFT(A1466,6),'Code Library'!$A$3:$B$920,2,0))&amp;"_"&amp;RIGHT(A1466,3)</f>
        <v>#N/A</v>
      </c>
      <c r="I1466" s="66">
        <f t="shared" si="154"/>
        <v>0</v>
      </c>
      <c r="K1466" s="66" t="str">
        <f t="shared" si="155"/>
        <v/>
      </c>
      <c r="L1466" s="66" t="str">
        <f t="shared" si="156"/>
        <v/>
      </c>
      <c r="M1466" s="66" t="str">
        <f t="shared" si="157"/>
        <v/>
      </c>
      <c r="N1466" s="66" t="str">
        <f t="shared" si="158"/>
        <v/>
      </c>
      <c r="O1466" s="66" t="str">
        <f t="shared" si="159"/>
        <v/>
      </c>
      <c r="P1466" s="66" t="str">
        <f t="shared" si="160"/>
        <v/>
      </c>
    </row>
    <row r="1467" spans="8:16">
      <c r="H1467" s="66" t="e">
        <f>IF(LEFT(A1467,6)="CEPNTR","GPINS",VLOOKUP(LEFT(A1467,6),'Code Library'!$A$3:$B$920,2,0))&amp;"_"&amp;RIGHT(A1467,3)</f>
        <v>#N/A</v>
      </c>
      <c r="I1467" s="66">
        <f t="shared" si="154"/>
        <v>0</v>
      </c>
      <c r="K1467" s="66" t="str">
        <f t="shared" si="155"/>
        <v/>
      </c>
      <c r="L1467" s="66" t="str">
        <f t="shared" si="156"/>
        <v/>
      </c>
      <c r="M1467" s="66" t="str">
        <f t="shared" si="157"/>
        <v/>
      </c>
      <c r="N1467" s="66" t="str">
        <f t="shared" si="158"/>
        <v/>
      </c>
      <c r="O1467" s="66" t="str">
        <f t="shared" si="159"/>
        <v/>
      </c>
      <c r="P1467" s="66" t="str">
        <f t="shared" si="160"/>
        <v/>
      </c>
    </row>
    <row r="1468" spans="8:16">
      <c r="H1468" s="66" t="e">
        <f>IF(LEFT(A1468,6)="CEPNTR","GPINS",VLOOKUP(LEFT(A1468,6),'Code Library'!$A$3:$B$920,2,0))&amp;"_"&amp;RIGHT(A1468,3)</f>
        <v>#N/A</v>
      </c>
      <c r="I1468" s="66">
        <f t="shared" si="154"/>
        <v>0</v>
      </c>
      <c r="K1468" s="66" t="str">
        <f t="shared" si="155"/>
        <v/>
      </c>
      <c r="L1468" s="66" t="str">
        <f t="shared" si="156"/>
        <v/>
      </c>
      <c r="M1468" s="66" t="str">
        <f t="shared" si="157"/>
        <v/>
      </c>
      <c r="N1468" s="66" t="str">
        <f t="shared" si="158"/>
        <v/>
      </c>
      <c r="O1468" s="66" t="str">
        <f t="shared" si="159"/>
        <v/>
      </c>
      <c r="P1468" s="66" t="str">
        <f t="shared" si="160"/>
        <v/>
      </c>
    </row>
    <row r="1469" spans="8:16">
      <c r="H1469" s="66" t="e">
        <f>IF(LEFT(A1469,6)="CEPNTR","GPINS",VLOOKUP(LEFT(A1469,6),'Code Library'!$A$3:$B$920,2,0))&amp;"_"&amp;RIGHT(A1469,3)</f>
        <v>#N/A</v>
      </c>
      <c r="I1469" s="66">
        <f t="shared" si="154"/>
        <v>0</v>
      </c>
      <c r="K1469" s="66" t="str">
        <f t="shared" si="155"/>
        <v/>
      </c>
      <c r="L1469" s="66" t="str">
        <f t="shared" si="156"/>
        <v/>
      </c>
      <c r="M1469" s="66" t="str">
        <f t="shared" si="157"/>
        <v/>
      </c>
      <c r="N1469" s="66" t="str">
        <f t="shared" si="158"/>
        <v/>
      </c>
      <c r="O1469" s="66" t="str">
        <f t="shared" si="159"/>
        <v/>
      </c>
      <c r="P1469" s="66" t="str">
        <f t="shared" si="160"/>
        <v/>
      </c>
    </row>
    <row r="1470" spans="8:16">
      <c r="H1470" s="66" t="e">
        <f>IF(LEFT(A1470,6)="CEPNTR","GPINS",VLOOKUP(LEFT(A1470,6),'Code Library'!$A$3:$B$920,2,0))&amp;"_"&amp;RIGHT(A1470,3)</f>
        <v>#N/A</v>
      </c>
      <c r="I1470" s="66">
        <f t="shared" si="154"/>
        <v>0</v>
      </c>
      <c r="K1470" s="66" t="str">
        <f t="shared" si="155"/>
        <v/>
      </c>
      <c r="L1470" s="66" t="str">
        <f t="shared" si="156"/>
        <v/>
      </c>
      <c r="M1470" s="66" t="str">
        <f t="shared" si="157"/>
        <v/>
      </c>
      <c r="N1470" s="66" t="str">
        <f t="shared" si="158"/>
        <v/>
      </c>
      <c r="O1470" s="66" t="str">
        <f t="shared" si="159"/>
        <v/>
      </c>
      <c r="P1470" s="66" t="str">
        <f t="shared" si="160"/>
        <v/>
      </c>
    </row>
    <row r="1471" spans="8:16">
      <c r="H1471" s="66" t="e">
        <f>IF(LEFT(A1471,6)="CEPNTR","GPINS",VLOOKUP(LEFT(A1471,6),'Code Library'!$A$3:$B$920,2,0))&amp;"_"&amp;RIGHT(A1471,3)</f>
        <v>#N/A</v>
      </c>
      <c r="I1471" s="66">
        <f t="shared" si="154"/>
        <v>0</v>
      </c>
      <c r="K1471" s="66" t="str">
        <f t="shared" si="155"/>
        <v/>
      </c>
      <c r="L1471" s="66" t="str">
        <f t="shared" si="156"/>
        <v/>
      </c>
      <c r="M1471" s="66" t="str">
        <f t="shared" si="157"/>
        <v/>
      </c>
      <c r="N1471" s="66" t="str">
        <f t="shared" si="158"/>
        <v/>
      </c>
      <c r="O1471" s="66" t="str">
        <f t="shared" si="159"/>
        <v/>
      </c>
      <c r="P1471" s="66" t="str">
        <f t="shared" si="160"/>
        <v/>
      </c>
    </row>
    <row r="1472" spans="8:16">
      <c r="H1472" s="66" t="e">
        <f>IF(LEFT(A1472,6)="CEPNTR","GPINS",VLOOKUP(LEFT(A1472,6),'Code Library'!$A$3:$B$920,2,0))&amp;"_"&amp;RIGHT(A1472,3)</f>
        <v>#N/A</v>
      </c>
      <c r="I1472" s="66">
        <f t="shared" si="154"/>
        <v>0</v>
      </c>
      <c r="K1472" s="66" t="str">
        <f t="shared" si="155"/>
        <v/>
      </c>
      <c r="L1472" s="66" t="str">
        <f t="shared" si="156"/>
        <v/>
      </c>
      <c r="M1472" s="66" t="str">
        <f t="shared" si="157"/>
        <v/>
      </c>
      <c r="N1472" s="66" t="str">
        <f t="shared" si="158"/>
        <v/>
      </c>
      <c r="O1472" s="66" t="str">
        <f t="shared" si="159"/>
        <v/>
      </c>
      <c r="P1472" s="66" t="str">
        <f t="shared" si="160"/>
        <v/>
      </c>
    </row>
    <row r="1473" spans="8:16">
      <c r="H1473" s="66" t="e">
        <f>IF(LEFT(A1473,6)="CEPNTR","GPINS",VLOOKUP(LEFT(A1473,6),'Code Library'!$A$3:$B$920,2,0))&amp;"_"&amp;RIGHT(A1473,3)</f>
        <v>#N/A</v>
      </c>
      <c r="I1473" s="66">
        <f t="shared" si="154"/>
        <v>0</v>
      </c>
      <c r="K1473" s="66" t="str">
        <f t="shared" si="155"/>
        <v/>
      </c>
      <c r="L1473" s="66" t="str">
        <f t="shared" si="156"/>
        <v/>
      </c>
      <c r="M1473" s="66" t="str">
        <f t="shared" si="157"/>
        <v/>
      </c>
      <c r="N1473" s="66" t="str">
        <f t="shared" si="158"/>
        <v/>
      </c>
      <c r="O1473" s="66" t="str">
        <f t="shared" si="159"/>
        <v/>
      </c>
      <c r="P1473" s="66" t="str">
        <f t="shared" si="160"/>
        <v/>
      </c>
    </row>
    <row r="1474" spans="8:16">
      <c r="H1474" s="66" t="e">
        <f>IF(LEFT(A1474,6)="CEPNTR","GPINS",VLOOKUP(LEFT(A1474,6),'Code Library'!$A$3:$B$920,2,0))&amp;"_"&amp;RIGHT(A1474,3)</f>
        <v>#N/A</v>
      </c>
      <c r="I1474" s="66">
        <f t="shared" si="154"/>
        <v>0</v>
      </c>
      <c r="K1474" s="66" t="str">
        <f t="shared" si="155"/>
        <v/>
      </c>
      <c r="L1474" s="66" t="str">
        <f t="shared" si="156"/>
        <v/>
      </c>
      <c r="M1474" s="66" t="str">
        <f t="shared" si="157"/>
        <v/>
      </c>
      <c r="N1474" s="66" t="str">
        <f t="shared" si="158"/>
        <v/>
      </c>
      <c r="O1474" s="66" t="str">
        <f t="shared" si="159"/>
        <v/>
      </c>
      <c r="P1474" s="66" t="str">
        <f t="shared" si="160"/>
        <v/>
      </c>
    </row>
    <row r="1475" spans="8:16">
      <c r="H1475" s="66" t="e">
        <f>IF(LEFT(A1475,6)="CEPNTR","GPINS",VLOOKUP(LEFT(A1475,6),'Code Library'!$A$3:$B$920,2,0))&amp;"_"&amp;RIGHT(A1475,3)</f>
        <v>#N/A</v>
      </c>
      <c r="I1475" s="66">
        <f t="shared" ref="I1475:I1538" si="161">A1475</f>
        <v>0</v>
      </c>
      <c r="K1475" s="66" t="str">
        <f t="shared" ref="K1475:K1538" si="162">RIGHT($B1475,2)</f>
        <v/>
      </c>
      <c r="L1475" s="66" t="str">
        <f t="shared" ref="L1475:L1538" si="163">LEFT(RIGHT($B1475,7),4)</f>
        <v/>
      </c>
      <c r="M1475" s="66" t="str">
        <f t="shared" ref="M1475:M1538" si="164">LEFT(RIGHT($B1475,10),2)</f>
        <v/>
      </c>
      <c r="N1475" s="66" t="str">
        <f t="shared" ref="N1475:N1538" si="165">LEFT(RIGHT($B1475,14),3)</f>
        <v/>
      </c>
      <c r="O1475" s="66" t="str">
        <f t="shared" ref="O1475:O1538" si="166">LEFT(RIGHT($B1475,16),1)</f>
        <v/>
      </c>
      <c r="P1475" s="66" t="str">
        <f t="shared" ref="P1475:P1538" si="167">LEFT(RIGHT($B1475,19),2)</f>
        <v/>
      </c>
    </row>
    <row r="1476" spans="8:16">
      <c r="H1476" s="66" t="e">
        <f>IF(LEFT(A1476,6)="CEPNTR","GPINS",VLOOKUP(LEFT(A1476,6),'Code Library'!$A$3:$B$920,2,0))&amp;"_"&amp;RIGHT(A1476,3)</f>
        <v>#N/A</v>
      </c>
      <c r="I1476" s="66">
        <f t="shared" si="161"/>
        <v>0</v>
      </c>
      <c r="K1476" s="66" t="str">
        <f t="shared" si="162"/>
        <v/>
      </c>
      <c r="L1476" s="66" t="str">
        <f t="shared" si="163"/>
        <v/>
      </c>
      <c r="M1476" s="66" t="str">
        <f t="shared" si="164"/>
        <v/>
      </c>
      <c r="N1476" s="66" t="str">
        <f t="shared" si="165"/>
        <v/>
      </c>
      <c r="O1476" s="66" t="str">
        <f t="shared" si="166"/>
        <v/>
      </c>
      <c r="P1476" s="66" t="str">
        <f t="shared" si="167"/>
        <v/>
      </c>
    </row>
    <row r="1477" spans="8:16">
      <c r="H1477" s="66" t="e">
        <f>IF(LEFT(A1477,6)="CEPNTR","GPINS",VLOOKUP(LEFT(A1477,6),'Code Library'!$A$3:$B$920,2,0))&amp;"_"&amp;RIGHT(A1477,3)</f>
        <v>#N/A</v>
      </c>
      <c r="I1477" s="66">
        <f t="shared" si="161"/>
        <v>0</v>
      </c>
      <c r="K1477" s="66" t="str">
        <f t="shared" si="162"/>
        <v/>
      </c>
      <c r="L1477" s="66" t="str">
        <f t="shared" si="163"/>
        <v/>
      </c>
      <c r="M1477" s="66" t="str">
        <f t="shared" si="164"/>
        <v/>
      </c>
      <c r="N1477" s="66" t="str">
        <f t="shared" si="165"/>
        <v/>
      </c>
      <c r="O1477" s="66" t="str">
        <f t="shared" si="166"/>
        <v/>
      </c>
      <c r="P1477" s="66" t="str">
        <f t="shared" si="167"/>
        <v/>
      </c>
    </row>
    <row r="1478" spans="8:16">
      <c r="H1478" s="66" t="e">
        <f>IF(LEFT(A1478,6)="CEPNTR","GPINS",VLOOKUP(LEFT(A1478,6),'Code Library'!$A$3:$B$920,2,0))&amp;"_"&amp;RIGHT(A1478,3)</f>
        <v>#N/A</v>
      </c>
      <c r="I1478" s="66">
        <f t="shared" si="161"/>
        <v>0</v>
      </c>
      <c r="K1478" s="66" t="str">
        <f t="shared" si="162"/>
        <v/>
      </c>
      <c r="L1478" s="66" t="str">
        <f t="shared" si="163"/>
        <v/>
      </c>
      <c r="M1478" s="66" t="str">
        <f t="shared" si="164"/>
        <v/>
      </c>
      <c r="N1478" s="66" t="str">
        <f t="shared" si="165"/>
        <v/>
      </c>
      <c r="O1478" s="66" t="str">
        <f t="shared" si="166"/>
        <v/>
      </c>
      <c r="P1478" s="66" t="str">
        <f t="shared" si="167"/>
        <v/>
      </c>
    </row>
    <row r="1479" spans="8:16">
      <c r="H1479" s="66" t="e">
        <f>IF(LEFT(A1479,6)="CEPNTR","GPINS",VLOOKUP(LEFT(A1479,6),'Code Library'!$A$3:$B$920,2,0))&amp;"_"&amp;RIGHT(A1479,3)</f>
        <v>#N/A</v>
      </c>
      <c r="I1479" s="66">
        <f t="shared" si="161"/>
        <v>0</v>
      </c>
      <c r="K1479" s="66" t="str">
        <f t="shared" si="162"/>
        <v/>
      </c>
      <c r="L1479" s="66" t="str">
        <f t="shared" si="163"/>
        <v/>
      </c>
      <c r="M1479" s="66" t="str">
        <f t="shared" si="164"/>
        <v/>
      </c>
      <c r="N1479" s="66" t="str">
        <f t="shared" si="165"/>
        <v/>
      </c>
      <c r="O1479" s="66" t="str">
        <f t="shared" si="166"/>
        <v/>
      </c>
      <c r="P1479" s="66" t="str">
        <f t="shared" si="167"/>
        <v/>
      </c>
    </row>
    <row r="1480" spans="8:16">
      <c r="H1480" s="66" t="e">
        <f>IF(LEFT(A1480,6)="CEPNTR","GPINS",VLOOKUP(LEFT(A1480,6),'Code Library'!$A$3:$B$920,2,0))&amp;"_"&amp;RIGHT(A1480,3)</f>
        <v>#N/A</v>
      </c>
      <c r="I1480" s="66">
        <f t="shared" si="161"/>
        <v>0</v>
      </c>
      <c r="K1480" s="66" t="str">
        <f t="shared" si="162"/>
        <v/>
      </c>
      <c r="L1480" s="66" t="str">
        <f t="shared" si="163"/>
        <v/>
      </c>
      <c r="M1480" s="66" t="str">
        <f t="shared" si="164"/>
        <v/>
      </c>
      <c r="N1480" s="66" t="str">
        <f t="shared" si="165"/>
        <v/>
      </c>
      <c r="O1480" s="66" t="str">
        <f t="shared" si="166"/>
        <v/>
      </c>
      <c r="P1480" s="66" t="str">
        <f t="shared" si="167"/>
        <v/>
      </c>
    </row>
    <row r="1481" spans="8:16">
      <c r="H1481" s="66" t="e">
        <f>IF(LEFT(A1481,6)="CEPNTR","GPINS",VLOOKUP(LEFT(A1481,6),'Code Library'!$A$3:$B$920,2,0))&amp;"_"&amp;RIGHT(A1481,3)</f>
        <v>#N/A</v>
      </c>
      <c r="I1481" s="66">
        <f t="shared" si="161"/>
        <v>0</v>
      </c>
      <c r="K1481" s="66" t="str">
        <f t="shared" si="162"/>
        <v/>
      </c>
      <c r="L1481" s="66" t="str">
        <f t="shared" si="163"/>
        <v/>
      </c>
      <c r="M1481" s="66" t="str">
        <f t="shared" si="164"/>
        <v/>
      </c>
      <c r="N1481" s="66" t="str">
        <f t="shared" si="165"/>
        <v/>
      </c>
      <c r="O1481" s="66" t="str">
        <f t="shared" si="166"/>
        <v/>
      </c>
      <c r="P1481" s="66" t="str">
        <f t="shared" si="167"/>
        <v/>
      </c>
    </row>
    <row r="1482" spans="8:16">
      <c r="H1482" s="66" t="e">
        <f>IF(LEFT(A1482,6)="CEPNTR","GPINS",VLOOKUP(LEFT(A1482,6),'Code Library'!$A$3:$B$920,2,0))&amp;"_"&amp;RIGHT(A1482,3)</f>
        <v>#N/A</v>
      </c>
      <c r="I1482" s="66">
        <f t="shared" si="161"/>
        <v>0</v>
      </c>
      <c r="K1482" s="66" t="str">
        <f t="shared" si="162"/>
        <v/>
      </c>
      <c r="L1482" s="66" t="str">
        <f t="shared" si="163"/>
        <v/>
      </c>
      <c r="M1482" s="66" t="str">
        <f t="shared" si="164"/>
        <v/>
      </c>
      <c r="N1482" s="66" t="str">
        <f t="shared" si="165"/>
        <v/>
      </c>
      <c r="O1482" s="66" t="str">
        <f t="shared" si="166"/>
        <v/>
      </c>
      <c r="P1482" s="66" t="str">
        <f t="shared" si="167"/>
        <v/>
      </c>
    </row>
    <row r="1483" spans="8:16">
      <c r="H1483" s="66" t="e">
        <f>IF(LEFT(A1483,6)="CEPNTR","GPINS",VLOOKUP(LEFT(A1483,6),'Code Library'!$A$3:$B$920,2,0))&amp;"_"&amp;RIGHT(A1483,3)</f>
        <v>#N/A</v>
      </c>
      <c r="I1483" s="66">
        <f t="shared" si="161"/>
        <v>0</v>
      </c>
      <c r="K1483" s="66" t="str">
        <f t="shared" si="162"/>
        <v/>
      </c>
      <c r="L1483" s="66" t="str">
        <f t="shared" si="163"/>
        <v/>
      </c>
      <c r="M1483" s="66" t="str">
        <f t="shared" si="164"/>
        <v/>
      </c>
      <c r="N1483" s="66" t="str">
        <f t="shared" si="165"/>
        <v/>
      </c>
      <c r="O1483" s="66" t="str">
        <f t="shared" si="166"/>
        <v/>
      </c>
      <c r="P1483" s="66" t="str">
        <f t="shared" si="167"/>
        <v/>
      </c>
    </row>
    <row r="1484" spans="8:16">
      <c r="H1484" s="66" t="e">
        <f>IF(LEFT(A1484,6)="CEPNTR","GPINS",VLOOKUP(LEFT(A1484,6),'Code Library'!$A$3:$B$920,2,0))&amp;"_"&amp;RIGHT(A1484,3)</f>
        <v>#N/A</v>
      </c>
      <c r="I1484" s="66">
        <f t="shared" si="161"/>
        <v>0</v>
      </c>
      <c r="K1484" s="66" t="str">
        <f t="shared" si="162"/>
        <v/>
      </c>
      <c r="L1484" s="66" t="str">
        <f t="shared" si="163"/>
        <v/>
      </c>
      <c r="M1484" s="66" t="str">
        <f t="shared" si="164"/>
        <v/>
      </c>
      <c r="N1484" s="66" t="str">
        <f t="shared" si="165"/>
        <v/>
      </c>
      <c r="O1484" s="66" t="str">
        <f t="shared" si="166"/>
        <v/>
      </c>
      <c r="P1484" s="66" t="str">
        <f t="shared" si="167"/>
        <v/>
      </c>
    </row>
    <row r="1485" spans="8:16">
      <c r="H1485" s="66" t="e">
        <f>IF(LEFT(A1485,6)="CEPNTR","GPINS",VLOOKUP(LEFT(A1485,6),'Code Library'!$A$3:$B$920,2,0))&amp;"_"&amp;RIGHT(A1485,3)</f>
        <v>#N/A</v>
      </c>
      <c r="I1485" s="66">
        <f t="shared" si="161"/>
        <v>0</v>
      </c>
      <c r="K1485" s="66" t="str">
        <f t="shared" si="162"/>
        <v/>
      </c>
      <c r="L1485" s="66" t="str">
        <f t="shared" si="163"/>
        <v/>
      </c>
      <c r="M1485" s="66" t="str">
        <f t="shared" si="164"/>
        <v/>
      </c>
      <c r="N1485" s="66" t="str">
        <f t="shared" si="165"/>
        <v/>
      </c>
      <c r="O1485" s="66" t="str">
        <f t="shared" si="166"/>
        <v/>
      </c>
      <c r="P1485" s="66" t="str">
        <f t="shared" si="167"/>
        <v/>
      </c>
    </row>
    <row r="1486" spans="8:16">
      <c r="H1486" s="66" t="e">
        <f>IF(LEFT(A1486,6)="CEPNTR","GPINS",VLOOKUP(LEFT(A1486,6),'Code Library'!$A$3:$B$920,2,0))&amp;"_"&amp;RIGHT(A1486,3)</f>
        <v>#N/A</v>
      </c>
      <c r="I1486" s="66">
        <f t="shared" si="161"/>
        <v>0</v>
      </c>
      <c r="K1486" s="66" t="str">
        <f t="shared" si="162"/>
        <v/>
      </c>
      <c r="L1486" s="66" t="str">
        <f t="shared" si="163"/>
        <v/>
      </c>
      <c r="M1486" s="66" t="str">
        <f t="shared" si="164"/>
        <v/>
      </c>
      <c r="N1486" s="66" t="str">
        <f t="shared" si="165"/>
        <v/>
      </c>
      <c r="O1486" s="66" t="str">
        <f t="shared" si="166"/>
        <v/>
      </c>
      <c r="P1486" s="66" t="str">
        <f t="shared" si="167"/>
        <v/>
      </c>
    </row>
    <row r="1487" spans="8:16">
      <c r="H1487" s="66" t="e">
        <f>IF(LEFT(A1487,6)="CEPNTR","GPINS",VLOOKUP(LEFT(A1487,6),'Code Library'!$A$3:$B$920,2,0))&amp;"_"&amp;RIGHT(A1487,3)</f>
        <v>#N/A</v>
      </c>
      <c r="I1487" s="66">
        <f t="shared" si="161"/>
        <v>0</v>
      </c>
      <c r="K1487" s="66" t="str">
        <f t="shared" si="162"/>
        <v/>
      </c>
      <c r="L1487" s="66" t="str">
        <f t="shared" si="163"/>
        <v/>
      </c>
      <c r="M1487" s="66" t="str">
        <f t="shared" si="164"/>
        <v/>
      </c>
      <c r="N1487" s="66" t="str">
        <f t="shared" si="165"/>
        <v/>
      </c>
      <c r="O1487" s="66" t="str">
        <f t="shared" si="166"/>
        <v/>
      </c>
      <c r="P1487" s="66" t="str">
        <f t="shared" si="167"/>
        <v/>
      </c>
    </row>
    <row r="1488" spans="8:16">
      <c r="H1488" s="66" t="e">
        <f>IF(LEFT(A1488,6)="CEPNTR","GPINS",VLOOKUP(LEFT(A1488,6),'Code Library'!$A$3:$B$920,2,0))&amp;"_"&amp;RIGHT(A1488,3)</f>
        <v>#N/A</v>
      </c>
      <c r="I1488" s="66">
        <f t="shared" si="161"/>
        <v>0</v>
      </c>
      <c r="K1488" s="66" t="str">
        <f t="shared" si="162"/>
        <v/>
      </c>
      <c r="L1488" s="66" t="str">
        <f t="shared" si="163"/>
        <v/>
      </c>
      <c r="M1488" s="66" t="str">
        <f t="shared" si="164"/>
        <v/>
      </c>
      <c r="N1488" s="66" t="str">
        <f t="shared" si="165"/>
        <v/>
      </c>
      <c r="O1488" s="66" t="str">
        <f t="shared" si="166"/>
        <v/>
      </c>
      <c r="P1488" s="66" t="str">
        <f t="shared" si="167"/>
        <v/>
      </c>
    </row>
    <row r="1489" spans="8:16">
      <c r="H1489" s="66" t="e">
        <f>IF(LEFT(A1489,6)="CEPNTR","GPINS",VLOOKUP(LEFT(A1489,6),'Code Library'!$A$3:$B$920,2,0))&amp;"_"&amp;RIGHT(A1489,3)</f>
        <v>#N/A</v>
      </c>
      <c r="I1489" s="66">
        <f t="shared" si="161"/>
        <v>0</v>
      </c>
      <c r="K1489" s="66" t="str">
        <f t="shared" si="162"/>
        <v/>
      </c>
      <c r="L1489" s="66" t="str">
        <f t="shared" si="163"/>
        <v/>
      </c>
      <c r="M1489" s="66" t="str">
        <f t="shared" si="164"/>
        <v/>
      </c>
      <c r="N1489" s="66" t="str">
        <f t="shared" si="165"/>
        <v/>
      </c>
      <c r="O1489" s="66" t="str">
        <f t="shared" si="166"/>
        <v/>
      </c>
      <c r="P1489" s="66" t="str">
        <f t="shared" si="167"/>
        <v/>
      </c>
    </row>
    <row r="1490" spans="8:16">
      <c r="H1490" s="66" t="e">
        <f>IF(LEFT(A1490,6)="CEPNTR","GPINS",VLOOKUP(LEFT(A1490,6),'Code Library'!$A$3:$B$920,2,0))&amp;"_"&amp;RIGHT(A1490,3)</f>
        <v>#N/A</v>
      </c>
      <c r="I1490" s="66">
        <f t="shared" si="161"/>
        <v>0</v>
      </c>
      <c r="K1490" s="66" t="str">
        <f t="shared" si="162"/>
        <v/>
      </c>
      <c r="L1490" s="66" t="str">
        <f t="shared" si="163"/>
        <v/>
      </c>
      <c r="M1490" s="66" t="str">
        <f t="shared" si="164"/>
        <v/>
      </c>
      <c r="N1490" s="66" t="str">
        <f t="shared" si="165"/>
        <v/>
      </c>
      <c r="O1490" s="66" t="str">
        <f t="shared" si="166"/>
        <v/>
      </c>
      <c r="P1490" s="66" t="str">
        <f t="shared" si="167"/>
        <v/>
      </c>
    </row>
    <row r="1491" spans="8:16">
      <c r="H1491" s="66" t="e">
        <f>IF(LEFT(A1491,6)="CEPNTR","GPINS",VLOOKUP(LEFT(A1491,6),'Code Library'!$A$3:$B$920,2,0))&amp;"_"&amp;RIGHT(A1491,3)</f>
        <v>#N/A</v>
      </c>
      <c r="I1491" s="66">
        <f t="shared" si="161"/>
        <v>0</v>
      </c>
      <c r="K1491" s="66" t="str">
        <f t="shared" si="162"/>
        <v/>
      </c>
      <c r="L1491" s="66" t="str">
        <f t="shared" si="163"/>
        <v/>
      </c>
      <c r="M1491" s="66" t="str">
        <f t="shared" si="164"/>
        <v/>
      </c>
      <c r="N1491" s="66" t="str">
        <f t="shared" si="165"/>
        <v/>
      </c>
      <c r="O1491" s="66" t="str">
        <f t="shared" si="166"/>
        <v/>
      </c>
      <c r="P1491" s="66" t="str">
        <f t="shared" si="167"/>
        <v/>
      </c>
    </row>
    <row r="1492" spans="8:16">
      <c r="H1492" s="66" t="e">
        <f>IF(LEFT(A1492,6)="CEPNTR","GPINS",VLOOKUP(LEFT(A1492,6),'Code Library'!$A$3:$B$920,2,0))&amp;"_"&amp;RIGHT(A1492,3)</f>
        <v>#N/A</v>
      </c>
      <c r="I1492" s="66">
        <f t="shared" si="161"/>
        <v>0</v>
      </c>
      <c r="K1492" s="66" t="str">
        <f t="shared" si="162"/>
        <v/>
      </c>
      <c r="L1492" s="66" t="str">
        <f t="shared" si="163"/>
        <v/>
      </c>
      <c r="M1492" s="66" t="str">
        <f t="shared" si="164"/>
        <v/>
      </c>
      <c r="N1492" s="66" t="str">
        <f t="shared" si="165"/>
        <v/>
      </c>
      <c r="O1492" s="66" t="str">
        <f t="shared" si="166"/>
        <v/>
      </c>
      <c r="P1492" s="66" t="str">
        <f t="shared" si="167"/>
        <v/>
      </c>
    </row>
    <row r="1493" spans="8:16">
      <c r="H1493" s="66" t="e">
        <f>IF(LEFT(A1493,6)="CEPNTR","GPINS",VLOOKUP(LEFT(A1493,6),'Code Library'!$A$3:$B$920,2,0))&amp;"_"&amp;RIGHT(A1493,3)</f>
        <v>#N/A</v>
      </c>
      <c r="I1493" s="66">
        <f t="shared" si="161"/>
        <v>0</v>
      </c>
      <c r="K1493" s="66" t="str">
        <f t="shared" si="162"/>
        <v/>
      </c>
      <c r="L1493" s="66" t="str">
        <f t="shared" si="163"/>
        <v/>
      </c>
      <c r="M1493" s="66" t="str">
        <f t="shared" si="164"/>
        <v/>
      </c>
      <c r="N1493" s="66" t="str">
        <f t="shared" si="165"/>
        <v/>
      </c>
      <c r="O1493" s="66" t="str">
        <f t="shared" si="166"/>
        <v/>
      </c>
      <c r="P1493" s="66" t="str">
        <f t="shared" si="167"/>
        <v/>
      </c>
    </row>
    <row r="1494" spans="8:16">
      <c r="H1494" s="66" t="e">
        <f>IF(LEFT(A1494,6)="CEPNTR","GPINS",VLOOKUP(LEFT(A1494,6),'Code Library'!$A$3:$B$920,2,0))&amp;"_"&amp;RIGHT(A1494,3)</f>
        <v>#N/A</v>
      </c>
      <c r="I1494" s="66">
        <f t="shared" si="161"/>
        <v>0</v>
      </c>
      <c r="K1494" s="66" t="str">
        <f t="shared" si="162"/>
        <v/>
      </c>
      <c r="L1494" s="66" t="str">
        <f t="shared" si="163"/>
        <v/>
      </c>
      <c r="M1494" s="66" t="str">
        <f t="shared" si="164"/>
        <v/>
      </c>
      <c r="N1494" s="66" t="str">
        <f t="shared" si="165"/>
        <v/>
      </c>
      <c r="O1494" s="66" t="str">
        <f t="shared" si="166"/>
        <v/>
      </c>
      <c r="P1494" s="66" t="str">
        <f t="shared" si="167"/>
        <v/>
      </c>
    </row>
    <row r="1495" spans="8:16">
      <c r="H1495" s="66" t="e">
        <f>IF(LEFT(A1495,6)="CEPNTR","GPINS",VLOOKUP(LEFT(A1495,6),'Code Library'!$A$3:$B$920,2,0))&amp;"_"&amp;RIGHT(A1495,3)</f>
        <v>#N/A</v>
      </c>
      <c r="I1495" s="66">
        <f t="shared" si="161"/>
        <v>0</v>
      </c>
      <c r="K1495" s="66" t="str">
        <f t="shared" si="162"/>
        <v/>
      </c>
      <c r="L1495" s="66" t="str">
        <f t="shared" si="163"/>
        <v/>
      </c>
      <c r="M1495" s="66" t="str">
        <f t="shared" si="164"/>
        <v/>
      </c>
      <c r="N1495" s="66" t="str">
        <f t="shared" si="165"/>
        <v/>
      </c>
      <c r="O1495" s="66" t="str">
        <f t="shared" si="166"/>
        <v/>
      </c>
      <c r="P1495" s="66" t="str">
        <f t="shared" si="167"/>
        <v/>
      </c>
    </row>
    <row r="1496" spans="8:16">
      <c r="H1496" s="66" t="e">
        <f>IF(LEFT(A1496,6)="CEPNTR","GPINS",VLOOKUP(LEFT(A1496,6),'Code Library'!$A$3:$B$920,2,0))&amp;"_"&amp;RIGHT(A1496,3)</f>
        <v>#N/A</v>
      </c>
      <c r="I1496" s="66">
        <f t="shared" si="161"/>
        <v>0</v>
      </c>
      <c r="K1496" s="66" t="str">
        <f t="shared" si="162"/>
        <v/>
      </c>
      <c r="L1496" s="66" t="str">
        <f t="shared" si="163"/>
        <v/>
      </c>
      <c r="M1496" s="66" t="str">
        <f t="shared" si="164"/>
        <v/>
      </c>
      <c r="N1496" s="66" t="str">
        <f t="shared" si="165"/>
        <v/>
      </c>
      <c r="O1496" s="66" t="str">
        <f t="shared" si="166"/>
        <v/>
      </c>
      <c r="P1496" s="66" t="str">
        <f t="shared" si="167"/>
        <v/>
      </c>
    </row>
    <row r="1497" spans="8:16">
      <c r="H1497" s="66" t="e">
        <f>IF(LEFT(A1497,6)="CEPNTR","GPINS",VLOOKUP(LEFT(A1497,6),'Code Library'!$A$3:$B$920,2,0))&amp;"_"&amp;RIGHT(A1497,3)</f>
        <v>#N/A</v>
      </c>
      <c r="I1497" s="66">
        <f t="shared" si="161"/>
        <v>0</v>
      </c>
      <c r="K1497" s="66" t="str">
        <f t="shared" si="162"/>
        <v/>
      </c>
      <c r="L1497" s="66" t="str">
        <f t="shared" si="163"/>
        <v/>
      </c>
      <c r="M1497" s="66" t="str">
        <f t="shared" si="164"/>
        <v/>
      </c>
      <c r="N1497" s="66" t="str">
        <f t="shared" si="165"/>
        <v/>
      </c>
      <c r="O1497" s="66" t="str">
        <f t="shared" si="166"/>
        <v/>
      </c>
      <c r="P1497" s="66" t="str">
        <f t="shared" si="167"/>
        <v/>
      </c>
    </row>
    <row r="1498" spans="8:16">
      <c r="H1498" s="66" t="e">
        <f>IF(LEFT(A1498,6)="CEPNTR","GPINS",VLOOKUP(LEFT(A1498,6),'Code Library'!$A$3:$B$920,2,0))&amp;"_"&amp;RIGHT(A1498,3)</f>
        <v>#N/A</v>
      </c>
      <c r="I1498" s="66">
        <f t="shared" si="161"/>
        <v>0</v>
      </c>
      <c r="K1498" s="66" t="str">
        <f t="shared" si="162"/>
        <v/>
      </c>
      <c r="L1498" s="66" t="str">
        <f t="shared" si="163"/>
        <v/>
      </c>
      <c r="M1498" s="66" t="str">
        <f t="shared" si="164"/>
        <v/>
      </c>
      <c r="N1498" s="66" t="str">
        <f t="shared" si="165"/>
        <v/>
      </c>
      <c r="O1498" s="66" t="str">
        <f t="shared" si="166"/>
        <v/>
      </c>
      <c r="P1498" s="66" t="str">
        <f t="shared" si="167"/>
        <v/>
      </c>
    </row>
    <row r="1499" spans="8:16">
      <c r="H1499" s="66" t="e">
        <f>IF(LEFT(A1499,6)="CEPNTR","GPINS",VLOOKUP(LEFT(A1499,6),'Code Library'!$A$3:$B$920,2,0))&amp;"_"&amp;RIGHT(A1499,3)</f>
        <v>#N/A</v>
      </c>
      <c r="I1499" s="66">
        <f t="shared" si="161"/>
        <v>0</v>
      </c>
      <c r="K1499" s="66" t="str">
        <f t="shared" si="162"/>
        <v/>
      </c>
      <c r="L1499" s="66" t="str">
        <f t="shared" si="163"/>
        <v/>
      </c>
      <c r="M1499" s="66" t="str">
        <f t="shared" si="164"/>
        <v/>
      </c>
      <c r="N1499" s="66" t="str">
        <f t="shared" si="165"/>
        <v/>
      </c>
      <c r="O1499" s="66" t="str">
        <f t="shared" si="166"/>
        <v/>
      </c>
      <c r="P1499" s="66" t="str">
        <f t="shared" si="167"/>
        <v/>
      </c>
    </row>
    <row r="1500" spans="8:16">
      <c r="H1500" s="66" t="e">
        <f>IF(LEFT(A1500,6)="CEPNTR","GPINS",VLOOKUP(LEFT(A1500,6),'Code Library'!$A$3:$B$920,2,0))&amp;"_"&amp;RIGHT(A1500,3)</f>
        <v>#N/A</v>
      </c>
      <c r="I1500" s="66">
        <f t="shared" si="161"/>
        <v>0</v>
      </c>
      <c r="K1500" s="66" t="str">
        <f t="shared" si="162"/>
        <v/>
      </c>
      <c r="L1500" s="66" t="str">
        <f t="shared" si="163"/>
        <v/>
      </c>
      <c r="M1500" s="66" t="str">
        <f t="shared" si="164"/>
        <v/>
      </c>
      <c r="N1500" s="66" t="str">
        <f t="shared" si="165"/>
        <v/>
      </c>
      <c r="O1500" s="66" t="str">
        <f t="shared" si="166"/>
        <v/>
      </c>
      <c r="P1500" s="66" t="str">
        <f t="shared" si="167"/>
        <v/>
      </c>
    </row>
    <row r="1501" spans="8:16">
      <c r="H1501" s="66" t="e">
        <f>IF(LEFT(A1501,6)="CEPNTR","GPINS",VLOOKUP(LEFT(A1501,6),'Code Library'!$A$3:$B$920,2,0))&amp;"_"&amp;RIGHT(A1501,3)</f>
        <v>#N/A</v>
      </c>
      <c r="I1501" s="66">
        <f t="shared" si="161"/>
        <v>0</v>
      </c>
      <c r="K1501" s="66" t="str">
        <f t="shared" si="162"/>
        <v/>
      </c>
      <c r="L1501" s="66" t="str">
        <f t="shared" si="163"/>
        <v/>
      </c>
      <c r="M1501" s="66" t="str">
        <f t="shared" si="164"/>
        <v/>
      </c>
      <c r="N1501" s="66" t="str">
        <f t="shared" si="165"/>
        <v/>
      </c>
      <c r="O1501" s="66" t="str">
        <f t="shared" si="166"/>
        <v/>
      </c>
      <c r="P1501" s="66" t="str">
        <f t="shared" si="167"/>
        <v/>
      </c>
    </row>
    <row r="1502" spans="8:16">
      <c r="H1502" s="66" t="e">
        <f>IF(LEFT(A1502,6)="CEPNTR","GPINS",VLOOKUP(LEFT(A1502,6),'Code Library'!$A$3:$B$920,2,0))&amp;"_"&amp;RIGHT(A1502,3)</f>
        <v>#N/A</v>
      </c>
      <c r="I1502" s="66">
        <f t="shared" si="161"/>
        <v>0</v>
      </c>
      <c r="K1502" s="66" t="str">
        <f t="shared" si="162"/>
        <v/>
      </c>
      <c r="L1502" s="66" t="str">
        <f t="shared" si="163"/>
        <v/>
      </c>
      <c r="M1502" s="66" t="str">
        <f t="shared" si="164"/>
        <v/>
      </c>
      <c r="N1502" s="66" t="str">
        <f t="shared" si="165"/>
        <v/>
      </c>
      <c r="O1502" s="66" t="str">
        <f t="shared" si="166"/>
        <v/>
      </c>
      <c r="P1502" s="66" t="str">
        <f t="shared" si="167"/>
        <v/>
      </c>
    </row>
    <row r="1503" spans="8:16">
      <c r="H1503" s="66" t="e">
        <f>IF(LEFT(A1503,6)="CEPNTR","GPINS",VLOOKUP(LEFT(A1503,6),'Code Library'!$A$3:$B$920,2,0))&amp;"_"&amp;RIGHT(A1503,3)</f>
        <v>#N/A</v>
      </c>
      <c r="I1503" s="66">
        <f t="shared" si="161"/>
        <v>0</v>
      </c>
      <c r="K1503" s="66" t="str">
        <f t="shared" si="162"/>
        <v/>
      </c>
      <c r="L1503" s="66" t="str">
        <f t="shared" si="163"/>
        <v/>
      </c>
      <c r="M1503" s="66" t="str">
        <f t="shared" si="164"/>
        <v/>
      </c>
      <c r="N1503" s="66" t="str">
        <f t="shared" si="165"/>
        <v/>
      </c>
      <c r="O1503" s="66" t="str">
        <f t="shared" si="166"/>
        <v/>
      </c>
      <c r="P1503" s="66" t="str">
        <f t="shared" si="167"/>
        <v/>
      </c>
    </row>
    <row r="1504" spans="8:16">
      <c r="H1504" s="66" t="e">
        <f>IF(LEFT(A1504,6)="CEPNTR","GPINS",VLOOKUP(LEFT(A1504,6),'Code Library'!$A$3:$B$920,2,0))&amp;"_"&amp;RIGHT(A1504,3)</f>
        <v>#N/A</v>
      </c>
      <c r="I1504" s="66">
        <f t="shared" si="161"/>
        <v>0</v>
      </c>
      <c r="K1504" s="66" t="str">
        <f t="shared" si="162"/>
        <v/>
      </c>
      <c r="L1504" s="66" t="str">
        <f t="shared" si="163"/>
        <v/>
      </c>
      <c r="M1504" s="66" t="str">
        <f t="shared" si="164"/>
        <v/>
      </c>
      <c r="N1504" s="66" t="str">
        <f t="shared" si="165"/>
        <v/>
      </c>
      <c r="O1504" s="66" t="str">
        <f t="shared" si="166"/>
        <v/>
      </c>
      <c r="P1504" s="66" t="str">
        <f t="shared" si="167"/>
        <v/>
      </c>
    </row>
    <row r="1505" spans="8:16">
      <c r="H1505" s="66" t="e">
        <f>IF(LEFT(A1505,6)="CEPNTR","GPINS",VLOOKUP(LEFT(A1505,6),'Code Library'!$A$3:$B$920,2,0))&amp;"_"&amp;RIGHT(A1505,3)</f>
        <v>#N/A</v>
      </c>
      <c r="I1505" s="66">
        <f t="shared" si="161"/>
        <v>0</v>
      </c>
      <c r="K1505" s="66" t="str">
        <f t="shared" si="162"/>
        <v/>
      </c>
      <c r="L1505" s="66" t="str">
        <f t="shared" si="163"/>
        <v/>
      </c>
      <c r="M1505" s="66" t="str">
        <f t="shared" si="164"/>
        <v/>
      </c>
      <c r="N1505" s="66" t="str">
        <f t="shared" si="165"/>
        <v/>
      </c>
      <c r="O1505" s="66" t="str">
        <f t="shared" si="166"/>
        <v/>
      </c>
      <c r="P1505" s="66" t="str">
        <f t="shared" si="167"/>
        <v/>
      </c>
    </row>
    <row r="1506" spans="8:16">
      <c r="H1506" s="66" t="e">
        <f>IF(LEFT(A1506,6)="CEPNTR","GPINS",VLOOKUP(LEFT(A1506,6),'Code Library'!$A$3:$B$920,2,0))&amp;"_"&amp;RIGHT(A1506,3)</f>
        <v>#N/A</v>
      </c>
      <c r="I1506" s="66">
        <f t="shared" si="161"/>
        <v>0</v>
      </c>
      <c r="K1506" s="66" t="str">
        <f t="shared" si="162"/>
        <v/>
      </c>
      <c r="L1506" s="66" t="str">
        <f t="shared" si="163"/>
        <v/>
      </c>
      <c r="M1506" s="66" t="str">
        <f t="shared" si="164"/>
        <v/>
      </c>
      <c r="N1506" s="66" t="str">
        <f t="shared" si="165"/>
        <v/>
      </c>
      <c r="O1506" s="66" t="str">
        <f t="shared" si="166"/>
        <v/>
      </c>
      <c r="P1506" s="66" t="str">
        <f t="shared" si="167"/>
        <v/>
      </c>
    </row>
    <row r="1507" spans="8:16">
      <c r="H1507" s="66" t="e">
        <f>IF(LEFT(A1507,6)="CEPNTR","GPINS",VLOOKUP(LEFT(A1507,6),'Code Library'!$A$3:$B$920,2,0))&amp;"_"&amp;RIGHT(A1507,3)</f>
        <v>#N/A</v>
      </c>
      <c r="I1507" s="66">
        <f t="shared" si="161"/>
        <v>0</v>
      </c>
      <c r="K1507" s="66" t="str">
        <f t="shared" si="162"/>
        <v/>
      </c>
      <c r="L1507" s="66" t="str">
        <f t="shared" si="163"/>
        <v/>
      </c>
      <c r="M1507" s="66" t="str">
        <f t="shared" si="164"/>
        <v/>
      </c>
      <c r="N1507" s="66" t="str">
        <f t="shared" si="165"/>
        <v/>
      </c>
      <c r="O1507" s="66" t="str">
        <f t="shared" si="166"/>
        <v/>
      </c>
      <c r="P1507" s="66" t="str">
        <f t="shared" si="167"/>
        <v/>
      </c>
    </row>
    <row r="1508" spans="8:16">
      <c r="H1508" s="66" t="e">
        <f>IF(LEFT(A1508,6)="CEPNTR","GPINS",VLOOKUP(LEFT(A1508,6),'Code Library'!$A$3:$B$920,2,0))&amp;"_"&amp;RIGHT(A1508,3)</f>
        <v>#N/A</v>
      </c>
      <c r="I1508" s="66">
        <f t="shared" si="161"/>
        <v>0</v>
      </c>
      <c r="K1508" s="66" t="str">
        <f t="shared" si="162"/>
        <v/>
      </c>
      <c r="L1508" s="66" t="str">
        <f t="shared" si="163"/>
        <v/>
      </c>
      <c r="M1508" s="66" t="str">
        <f t="shared" si="164"/>
        <v/>
      </c>
      <c r="N1508" s="66" t="str">
        <f t="shared" si="165"/>
        <v/>
      </c>
      <c r="O1508" s="66" t="str">
        <f t="shared" si="166"/>
        <v/>
      </c>
      <c r="P1508" s="66" t="str">
        <f t="shared" si="167"/>
        <v/>
      </c>
    </row>
    <row r="1509" spans="8:16">
      <c r="H1509" s="66" t="e">
        <f>IF(LEFT(A1509,6)="CEPNTR","GPINS",VLOOKUP(LEFT(A1509,6),'Code Library'!$A$3:$B$920,2,0))&amp;"_"&amp;RIGHT(A1509,3)</f>
        <v>#N/A</v>
      </c>
      <c r="I1509" s="66">
        <f t="shared" si="161"/>
        <v>0</v>
      </c>
      <c r="K1509" s="66" t="str">
        <f t="shared" si="162"/>
        <v/>
      </c>
      <c r="L1509" s="66" t="str">
        <f t="shared" si="163"/>
        <v/>
      </c>
      <c r="M1509" s="66" t="str">
        <f t="shared" si="164"/>
        <v/>
      </c>
      <c r="N1509" s="66" t="str">
        <f t="shared" si="165"/>
        <v/>
      </c>
      <c r="O1509" s="66" t="str">
        <f t="shared" si="166"/>
        <v/>
      </c>
      <c r="P1509" s="66" t="str">
        <f t="shared" si="167"/>
        <v/>
      </c>
    </row>
    <row r="1510" spans="8:16">
      <c r="H1510" s="66" t="e">
        <f>IF(LEFT(A1510,6)="CEPNTR","GPINS",VLOOKUP(LEFT(A1510,6),'Code Library'!$A$3:$B$920,2,0))&amp;"_"&amp;RIGHT(A1510,3)</f>
        <v>#N/A</v>
      </c>
      <c r="I1510" s="66">
        <f t="shared" si="161"/>
        <v>0</v>
      </c>
      <c r="K1510" s="66" t="str">
        <f t="shared" si="162"/>
        <v/>
      </c>
      <c r="L1510" s="66" t="str">
        <f t="shared" si="163"/>
        <v/>
      </c>
      <c r="M1510" s="66" t="str">
        <f t="shared" si="164"/>
        <v/>
      </c>
      <c r="N1510" s="66" t="str">
        <f t="shared" si="165"/>
        <v/>
      </c>
      <c r="O1510" s="66" t="str">
        <f t="shared" si="166"/>
        <v/>
      </c>
      <c r="P1510" s="66" t="str">
        <f t="shared" si="167"/>
        <v/>
      </c>
    </row>
    <row r="1511" spans="8:16">
      <c r="H1511" s="66" t="e">
        <f>IF(LEFT(A1511,6)="CEPNTR","GPINS",VLOOKUP(LEFT(A1511,6),'Code Library'!$A$3:$B$920,2,0))&amp;"_"&amp;RIGHT(A1511,3)</f>
        <v>#N/A</v>
      </c>
      <c r="I1511" s="66">
        <f t="shared" si="161"/>
        <v>0</v>
      </c>
      <c r="K1511" s="66" t="str">
        <f t="shared" si="162"/>
        <v/>
      </c>
      <c r="L1511" s="66" t="str">
        <f t="shared" si="163"/>
        <v/>
      </c>
      <c r="M1511" s="66" t="str">
        <f t="shared" si="164"/>
        <v/>
      </c>
      <c r="N1511" s="66" t="str">
        <f t="shared" si="165"/>
        <v/>
      </c>
      <c r="O1511" s="66" t="str">
        <f t="shared" si="166"/>
        <v/>
      </c>
      <c r="P1511" s="66" t="str">
        <f t="shared" si="167"/>
        <v/>
      </c>
    </row>
    <row r="1512" spans="8:16">
      <c r="H1512" s="66" t="e">
        <f>IF(LEFT(A1512,6)="CEPNTR","GPINS",VLOOKUP(LEFT(A1512,6),'Code Library'!$A$3:$B$920,2,0))&amp;"_"&amp;RIGHT(A1512,3)</f>
        <v>#N/A</v>
      </c>
      <c r="I1512" s="66">
        <f t="shared" si="161"/>
        <v>0</v>
      </c>
      <c r="K1512" s="66" t="str">
        <f t="shared" si="162"/>
        <v/>
      </c>
      <c r="L1512" s="66" t="str">
        <f t="shared" si="163"/>
        <v/>
      </c>
      <c r="M1512" s="66" t="str">
        <f t="shared" si="164"/>
        <v/>
      </c>
      <c r="N1512" s="66" t="str">
        <f t="shared" si="165"/>
        <v/>
      </c>
      <c r="O1512" s="66" t="str">
        <f t="shared" si="166"/>
        <v/>
      </c>
      <c r="P1512" s="66" t="str">
        <f t="shared" si="167"/>
        <v/>
      </c>
    </row>
    <row r="1513" spans="8:16">
      <c r="H1513" s="66" t="e">
        <f>IF(LEFT(A1513,6)="CEPNTR","GPINS",VLOOKUP(LEFT(A1513,6),'Code Library'!$A$3:$B$920,2,0))&amp;"_"&amp;RIGHT(A1513,3)</f>
        <v>#N/A</v>
      </c>
      <c r="I1513" s="66">
        <f t="shared" si="161"/>
        <v>0</v>
      </c>
      <c r="K1513" s="66" t="str">
        <f t="shared" si="162"/>
        <v/>
      </c>
      <c r="L1513" s="66" t="str">
        <f t="shared" si="163"/>
        <v/>
      </c>
      <c r="M1513" s="66" t="str">
        <f t="shared" si="164"/>
        <v/>
      </c>
      <c r="N1513" s="66" t="str">
        <f t="shared" si="165"/>
        <v/>
      </c>
      <c r="O1513" s="66" t="str">
        <f t="shared" si="166"/>
        <v/>
      </c>
      <c r="P1513" s="66" t="str">
        <f t="shared" si="167"/>
        <v/>
      </c>
    </row>
    <row r="1514" spans="8:16">
      <c r="H1514" s="66" t="e">
        <f>IF(LEFT(A1514,6)="CEPNTR","GPINS",VLOOKUP(LEFT(A1514,6),'Code Library'!$A$3:$B$920,2,0))&amp;"_"&amp;RIGHT(A1514,3)</f>
        <v>#N/A</v>
      </c>
      <c r="I1514" s="66">
        <f t="shared" si="161"/>
        <v>0</v>
      </c>
      <c r="K1514" s="66" t="str">
        <f t="shared" si="162"/>
        <v/>
      </c>
      <c r="L1514" s="66" t="str">
        <f t="shared" si="163"/>
        <v/>
      </c>
      <c r="M1514" s="66" t="str">
        <f t="shared" si="164"/>
        <v/>
      </c>
      <c r="N1514" s="66" t="str">
        <f t="shared" si="165"/>
        <v/>
      </c>
      <c r="O1514" s="66" t="str">
        <f t="shared" si="166"/>
        <v/>
      </c>
      <c r="P1514" s="66" t="str">
        <f t="shared" si="167"/>
        <v/>
      </c>
    </row>
    <row r="1515" spans="8:16">
      <c r="H1515" s="66" t="e">
        <f>IF(LEFT(A1515,6)="CEPNTR","GPINS",VLOOKUP(LEFT(A1515,6),'Code Library'!$A$3:$B$920,2,0))&amp;"_"&amp;RIGHT(A1515,3)</f>
        <v>#N/A</v>
      </c>
      <c r="I1515" s="66">
        <f t="shared" si="161"/>
        <v>0</v>
      </c>
      <c r="K1515" s="66" t="str">
        <f t="shared" si="162"/>
        <v/>
      </c>
      <c r="L1515" s="66" t="str">
        <f t="shared" si="163"/>
        <v/>
      </c>
      <c r="M1515" s="66" t="str">
        <f t="shared" si="164"/>
        <v/>
      </c>
      <c r="N1515" s="66" t="str">
        <f t="shared" si="165"/>
        <v/>
      </c>
      <c r="O1515" s="66" t="str">
        <f t="shared" si="166"/>
        <v/>
      </c>
      <c r="P1515" s="66" t="str">
        <f t="shared" si="167"/>
        <v/>
      </c>
    </row>
    <row r="1516" spans="8:16">
      <c r="H1516" s="66" t="e">
        <f>IF(LEFT(A1516,6)="CEPNTR","GPINS",VLOOKUP(LEFT(A1516,6),'Code Library'!$A$3:$B$920,2,0))&amp;"_"&amp;RIGHT(A1516,3)</f>
        <v>#N/A</v>
      </c>
      <c r="I1516" s="66">
        <f t="shared" si="161"/>
        <v>0</v>
      </c>
      <c r="K1516" s="66" t="str">
        <f t="shared" si="162"/>
        <v/>
      </c>
      <c r="L1516" s="66" t="str">
        <f t="shared" si="163"/>
        <v/>
      </c>
      <c r="M1516" s="66" t="str">
        <f t="shared" si="164"/>
        <v/>
      </c>
      <c r="N1516" s="66" t="str">
        <f t="shared" si="165"/>
        <v/>
      </c>
      <c r="O1516" s="66" t="str">
        <f t="shared" si="166"/>
        <v/>
      </c>
      <c r="P1516" s="66" t="str">
        <f t="shared" si="167"/>
        <v/>
      </c>
    </row>
    <row r="1517" spans="8:16">
      <c r="H1517" s="66" t="e">
        <f>IF(LEFT(A1517,6)="CEPNTR","GPINS",VLOOKUP(LEFT(A1517,6),'Code Library'!$A$3:$B$920,2,0))&amp;"_"&amp;RIGHT(A1517,3)</f>
        <v>#N/A</v>
      </c>
      <c r="I1517" s="66">
        <f t="shared" si="161"/>
        <v>0</v>
      </c>
      <c r="K1517" s="66" t="str">
        <f t="shared" si="162"/>
        <v/>
      </c>
      <c r="L1517" s="66" t="str">
        <f t="shared" si="163"/>
        <v/>
      </c>
      <c r="M1517" s="66" t="str">
        <f t="shared" si="164"/>
        <v/>
      </c>
      <c r="N1517" s="66" t="str">
        <f t="shared" si="165"/>
        <v/>
      </c>
      <c r="O1517" s="66" t="str">
        <f t="shared" si="166"/>
        <v/>
      </c>
      <c r="P1517" s="66" t="str">
        <f t="shared" si="167"/>
        <v/>
      </c>
    </row>
    <row r="1518" spans="8:16">
      <c r="H1518" s="66" t="e">
        <f>IF(LEFT(A1518,6)="CEPNTR","GPINS",VLOOKUP(LEFT(A1518,6),'Code Library'!$A$3:$B$920,2,0))&amp;"_"&amp;RIGHT(A1518,3)</f>
        <v>#N/A</v>
      </c>
      <c r="I1518" s="66">
        <f t="shared" si="161"/>
        <v>0</v>
      </c>
      <c r="K1518" s="66" t="str">
        <f t="shared" si="162"/>
        <v/>
      </c>
      <c r="L1518" s="66" t="str">
        <f t="shared" si="163"/>
        <v/>
      </c>
      <c r="M1518" s="66" t="str">
        <f t="shared" si="164"/>
        <v/>
      </c>
      <c r="N1518" s="66" t="str">
        <f t="shared" si="165"/>
        <v/>
      </c>
      <c r="O1518" s="66" t="str">
        <f t="shared" si="166"/>
        <v/>
      </c>
      <c r="P1518" s="66" t="str">
        <f t="shared" si="167"/>
        <v/>
      </c>
    </row>
    <row r="1519" spans="8:16">
      <c r="H1519" s="66" t="e">
        <f>IF(LEFT(A1519,6)="CEPNTR","GPINS",VLOOKUP(LEFT(A1519,6),'Code Library'!$A$3:$B$920,2,0))&amp;"_"&amp;RIGHT(A1519,3)</f>
        <v>#N/A</v>
      </c>
      <c r="I1519" s="66">
        <f t="shared" si="161"/>
        <v>0</v>
      </c>
      <c r="K1519" s="66" t="str">
        <f t="shared" si="162"/>
        <v/>
      </c>
      <c r="L1519" s="66" t="str">
        <f t="shared" si="163"/>
        <v/>
      </c>
      <c r="M1519" s="66" t="str">
        <f t="shared" si="164"/>
        <v/>
      </c>
      <c r="N1519" s="66" t="str">
        <f t="shared" si="165"/>
        <v/>
      </c>
      <c r="O1519" s="66" t="str">
        <f t="shared" si="166"/>
        <v/>
      </c>
      <c r="P1519" s="66" t="str">
        <f t="shared" si="167"/>
        <v/>
      </c>
    </row>
    <row r="1520" spans="8:16">
      <c r="H1520" s="66" t="e">
        <f>IF(LEFT(A1520,6)="CEPNTR","GPINS",VLOOKUP(LEFT(A1520,6),'Code Library'!$A$3:$B$920,2,0))&amp;"_"&amp;RIGHT(A1520,3)</f>
        <v>#N/A</v>
      </c>
      <c r="I1520" s="66">
        <f t="shared" si="161"/>
        <v>0</v>
      </c>
      <c r="K1520" s="66" t="str">
        <f t="shared" si="162"/>
        <v/>
      </c>
      <c r="L1520" s="66" t="str">
        <f t="shared" si="163"/>
        <v/>
      </c>
      <c r="M1520" s="66" t="str">
        <f t="shared" si="164"/>
        <v/>
      </c>
      <c r="N1520" s="66" t="str">
        <f t="shared" si="165"/>
        <v/>
      </c>
      <c r="O1520" s="66" t="str">
        <f t="shared" si="166"/>
        <v/>
      </c>
      <c r="P1520" s="66" t="str">
        <f t="shared" si="167"/>
        <v/>
      </c>
    </row>
    <row r="1521" spans="8:16">
      <c r="H1521" s="66" t="e">
        <f>IF(LEFT(A1521,6)="CEPNTR","GPINS",VLOOKUP(LEFT(A1521,6),'Code Library'!$A$3:$B$920,2,0))&amp;"_"&amp;RIGHT(A1521,3)</f>
        <v>#N/A</v>
      </c>
      <c r="I1521" s="66">
        <f t="shared" si="161"/>
        <v>0</v>
      </c>
      <c r="K1521" s="66" t="str">
        <f t="shared" si="162"/>
        <v/>
      </c>
      <c r="L1521" s="66" t="str">
        <f t="shared" si="163"/>
        <v/>
      </c>
      <c r="M1521" s="66" t="str">
        <f t="shared" si="164"/>
        <v/>
      </c>
      <c r="N1521" s="66" t="str">
        <f t="shared" si="165"/>
        <v/>
      </c>
      <c r="O1521" s="66" t="str">
        <f t="shared" si="166"/>
        <v/>
      </c>
      <c r="P1521" s="66" t="str">
        <f t="shared" si="167"/>
        <v/>
      </c>
    </row>
    <row r="1522" spans="8:16">
      <c r="H1522" s="66" t="e">
        <f>IF(LEFT(A1522,6)="CEPNTR","GPINS",VLOOKUP(LEFT(A1522,6),'Code Library'!$A$3:$B$920,2,0))&amp;"_"&amp;RIGHT(A1522,3)</f>
        <v>#N/A</v>
      </c>
      <c r="I1522" s="66">
        <f t="shared" si="161"/>
        <v>0</v>
      </c>
      <c r="K1522" s="66" t="str">
        <f t="shared" si="162"/>
        <v/>
      </c>
      <c r="L1522" s="66" t="str">
        <f t="shared" si="163"/>
        <v/>
      </c>
      <c r="M1522" s="66" t="str">
        <f t="shared" si="164"/>
        <v/>
      </c>
      <c r="N1522" s="66" t="str">
        <f t="shared" si="165"/>
        <v/>
      </c>
      <c r="O1522" s="66" t="str">
        <f t="shared" si="166"/>
        <v/>
      </c>
      <c r="P1522" s="66" t="str">
        <f t="shared" si="167"/>
        <v/>
      </c>
    </row>
    <row r="1523" spans="8:16">
      <c r="H1523" s="66" t="e">
        <f>IF(LEFT(A1523,6)="CEPNTR","GPINS",VLOOKUP(LEFT(A1523,6),'Code Library'!$A$3:$B$920,2,0))&amp;"_"&amp;RIGHT(A1523,3)</f>
        <v>#N/A</v>
      </c>
      <c r="I1523" s="66">
        <f t="shared" si="161"/>
        <v>0</v>
      </c>
      <c r="K1523" s="66" t="str">
        <f t="shared" si="162"/>
        <v/>
      </c>
      <c r="L1523" s="66" t="str">
        <f t="shared" si="163"/>
        <v/>
      </c>
      <c r="M1523" s="66" t="str">
        <f t="shared" si="164"/>
        <v/>
      </c>
      <c r="N1523" s="66" t="str">
        <f t="shared" si="165"/>
        <v/>
      </c>
      <c r="O1523" s="66" t="str">
        <f t="shared" si="166"/>
        <v/>
      </c>
      <c r="P1523" s="66" t="str">
        <f t="shared" si="167"/>
        <v/>
      </c>
    </row>
    <row r="1524" spans="8:16">
      <c r="H1524" s="66" t="e">
        <f>IF(LEFT(A1524,6)="CEPNTR","GPINS",VLOOKUP(LEFT(A1524,6),'Code Library'!$A$3:$B$920,2,0))&amp;"_"&amp;RIGHT(A1524,3)</f>
        <v>#N/A</v>
      </c>
      <c r="I1524" s="66">
        <f t="shared" si="161"/>
        <v>0</v>
      </c>
      <c r="K1524" s="66" t="str">
        <f t="shared" si="162"/>
        <v/>
      </c>
      <c r="L1524" s="66" t="str">
        <f t="shared" si="163"/>
        <v/>
      </c>
      <c r="M1524" s="66" t="str">
        <f t="shared" si="164"/>
        <v/>
      </c>
      <c r="N1524" s="66" t="str">
        <f t="shared" si="165"/>
        <v/>
      </c>
      <c r="O1524" s="66" t="str">
        <f t="shared" si="166"/>
        <v/>
      </c>
      <c r="P1524" s="66" t="str">
        <f t="shared" si="167"/>
        <v/>
      </c>
    </row>
    <row r="1525" spans="8:16">
      <c r="H1525" s="66" t="e">
        <f>IF(LEFT(A1525,6)="CEPNTR","GPINS",VLOOKUP(LEFT(A1525,6),'Code Library'!$A$3:$B$920,2,0))&amp;"_"&amp;RIGHT(A1525,3)</f>
        <v>#N/A</v>
      </c>
      <c r="I1525" s="66">
        <f t="shared" si="161"/>
        <v>0</v>
      </c>
      <c r="K1525" s="66" t="str">
        <f t="shared" si="162"/>
        <v/>
      </c>
      <c r="L1525" s="66" t="str">
        <f t="shared" si="163"/>
        <v/>
      </c>
      <c r="M1525" s="66" t="str">
        <f t="shared" si="164"/>
        <v/>
      </c>
      <c r="N1525" s="66" t="str">
        <f t="shared" si="165"/>
        <v/>
      </c>
      <c r="O1525" s="66" t="str">
        <f t="shared" si="166"/>
        <v/>
      </c>
      <c r="P1525" s="66" t="str">
        <f t="shared" si="167"/>
        <v/>
      </c>
    </row>
    <row r="1526" spans="8:16">
      <c r="H1526" s="66" t="e">
        <f>IF(LEFT(A1526,6)="CEPNTR","GPINS",VLOOKUP(LEFT(A1526,6),'Code Library'!$A$3:$B$920,2,0))&amp;"_"&amp;RIGHT(A1526,3)</f>
        <v>#N/A</v>
      </c>
      <c r="I1526" s="66">
        <f t="shared" si="161"/>
        <v>0</v>
      </c>
      <c r="K1526" s="66" t="str">
        <f t="shared" si="162"/>
        <v/>
      </c>
      <c r="L1526" s="66" t="str">
        <f t="shared" si="163"/>
        <v/>
      </c>
      <c r="M1526" s="66" t="str">
        <f t="shared" si="164"/>
        <v/>
      </c>
      <c r="N1526" s="66" t="str">
        <f t="shared" si="165"/>
        <v/>
      </c>
      <c r="O1526" s="66" t="str">
        <f t="shared" si="166"/>
        <v/>
      </c>
      <c r="P1526" s="66" t="str">
        <f t="shared" si="167"/>
        <v/>
      </c>
    </row>
    <row r="1527" spans="8:16">
      <c r="H1527" s="66" t="e">
        <f>IF(LEFT(A1527,6)="CEPNTR","GPINS",VLOOKUP(LEFT(A1527,6),'Code Library'!$A$3:$B$920,2,0))&amp;"_"&amp;RIGHT(A1527,3)</f>
        <v>#N/A</v>
      </c>
      <c r="I1527" s="66">
        <f t="shared" si="161"/>
        <v>0</v>
      </c>
      <c r="K1527" s="66" t="str">
        <f t="shared" si="162"/>
        <v/>
      </c>
      <c r="L1527" s="66" t="str">
        <f t="shared" si="163"/>
        <v/>
      </c>
      <c r="M1527" s="66" t="str">
        <f t="shared" si="164"/>
        <v/>
      </c>
      <c r="N1527" s="66" t="str">
        <f t="shared" si="165"/>
        <v/>
      </c>
      <c r="O1527" s="66" t="str">
        <f t="shared" si="166"/>
        <v/>
      </c>
      <c r="P1527" s="66" t="str">
        <f t="shared" si="167"/>
        <v/>
      </c>
    </row>
    <row r="1528" spans="8:16">
      <c r="H1528" s="66" t="e">
        <f>IF(LEFT(A1528,6)="CEPNTR","GPINS",VLOOKUP(LEFT(A1528,6),'Code Library'!$A$3:$B$920,2,0))&amp;"_"&amp;RIGHT(A1528,3)</f>
        <v>#N/A</v>
      </c>
      <c r="I1528" s="66">
        <f t="shared" si="161"/>
        <v>0</v>
      </c>
      <c r="K1528" s="66" t="str">
        <f t="shared" si="162"/>
        <v/>
      </c>
      <c r="L1528" s="66" t="str">
        <f t="shared" si="163"/>
        <v/>
      </c>
      <c r="M1528" s="66" t="str">
        <f t="shared" si="164"/>
        <v/>
      </c>
      <c r="N1528" s="66" t="str">
        <f t="shared" si="165"/>
        <v/>
      </c>
      <c r="O1528" s="66" t="str">
        <f t="shared" si="166"/>
        <v/>
      </c>
      <c r="P1528" s="66" t="str">
        <f t="shared" si="167"/>
        <v/>
      </c>
    </row>
    <row r="1529" spans="8:16">
      <c r="H1529" s="66" t="e">
        <f>IF(LEFT(A1529,6)="CEPNTR","GPINS",VLOOKUP(LEFT(A1529,6),'Code Library'!$A$3:$B$920,2,0))&amp;"_"&amp;RIGHT(A1529,3)</f>
        <v>#N/A</v>
      </c>
      <c r="I1529" s="66">
        <f t="shared" si="161"/>
        <v>0</v>
      </c>
      <c r="K1529" s="66" t="str">
        <f t="shared" si="162"/>
        <v/>
      </c>
      <c r="L1529" s="66" t="str">
        <f t="shared" si="163"/>
        <v/>
      </c>
      <c r="M1529" s="66" t="str">
        <f t="shared" si="164"/>
        <v/>
      </c>
      <c r="N1529" s="66" t="str">
        <f t="shared" si="165"/>
        <v/>
      </c>
      <c r="O1529" s="66" t="str">
        <f t="shared" si="166"/>
        <v/>
      </c>
      <c r="P1529" s="66" t="str">
        <f t="shared" si="167"/>
        <v/>
      </c>
    </row>
    <row r="1530" spans="8:16">
      <c r="H1530" s="66" t="e">
        <f>IF(LEFT(A1530,6)="CEPNTR","GPINS",VLOOKUP(LEFT(A1530,6),'Code Library'!$A$3:$B$920,2,0))&amp;"_"&amp;RIGHT(A1530,3)</f>
        <v>#N/A</v>
      </c>
      <c r="I1530" s="66">
        <f t="shared" si="161"/>
        <v>0</v>
      </c>
      <c r="K1530" s="66" t="str">
        <f t="shared" si="162"/>
        <v/>
      </c>
      <c r="L1530" s="66" t="str">
        <f t="shared" si="163"/>
        <v/>
      </c>
      <c r="M1530" s="66" t="str">
        <f t="shared" si="164"/>
        <v/>
      </c>
      <c r="N1530" s="66" t="str">
        <f t="shared" si="165"/>
        <v/>
      </c>
      <c r="O1530" s="66" t="str">
        <f t="shared" si="166"/>
        <v/>
      </c>
      <c r="P1530" s="66" t="str">
        <f t="shared" si="167"/>
        <v/>
      </c>
    </row>
    <row r="1531" spans="8:16">
      <c r="H1531" s="66" t="e">
        <f>IF(LEFT(A1531,6)="CEPNTR","GPINS",VLOOKUP(LEFT(A1531,6),'Code Library'!$A$3:$B$920,2,0))&amp;"_"&amp;RIGHT(A1531,3)</f>
        <v>#N/A</v>
      </c>
      <c r="I1531" s="66">
        <f t="shared" si="161"/>
        <v>0</v>
      </c>
      <c r="K1531" s="66" t="str">
        <f t="shared" si="162"/>
        <v/>
      </c>
      <c r="L1531" s="66" t="str">
        <f t="shared" si="163"/>
        <v/>
      </c>
      <c r="M1531" s="66" t="str">
        <f t="shared" si="164"/>
        <v/>
      </c>
      <c r="N1531" s="66" t="str">
        <f t="shared" si="165"/>
        <v/>
      </c>
      <c r="O1531" s="66" t="str">
        <f t="shared" si="166"/>
        <v/>
      </c>
      <c r="P1531" s="66" t="str">
        <f t="shared" si="167"/>
        <v/>
      </c>
    </row>
    <row r="1532" spans="8:16">
      <c r="H1532" s="66" t="e">
        <f>IF(LEFT(A1532,6)="CEPNTR","GPINS",VLOOKUP(LEFT(A1532,6),'Code Library'!$A$3:$B$920,2,0))&amp;"_"&amp;RIGHT(A1532,3)</f>
        <v>#N/A</v>
      </c>
      <c r="I1532" s="66">
        <f t="shared" si="161"/>
        <v>0</v>
      </c>
      <c r="K1532" s="66" t="str">
        <f t="shared" si="162"/>
        <v/>
      </c>
      <c r="L1532" s="66" t="str">
        <f t="shared" si="163"/>
        <v/>
      </c>
      <c r="M1532" s="66" t="str">
        <f t="shared" si="164"/>
        <v/>
      </c>
      <c r="N1532" s="66" t="str">
        <f t="shared" si="165"/>
        <v/>
      </c>
      <c r="O1532" s="66" t="str">
        <f t="shared" si="166"/>
        <v/>
      </c>
      <c r="P1532" s="66" t="str">
        <f t="shared" si="167"/>
        <v/>
      </c>
    </row>
    <row r="1533" spans="8:16">
      <c r="H1533" s="66" t="e">
        <f>IF(LEFT(A1533,6)="CEPNTR","GPINS",VLOOKUP(LEFT(A1533,6),'Code Library'!$A$3:$B$920,2,0))&amp;"_"&amp;RIGHT(A1533,3)</f>
        <v>#N/A</v>
      </c>
      <c r="I1533" s="66">
        <f t="shared" si="161"/>
        <v>0</v>
      </c>
      <c r="K1533" s="66" t="str">
        <f t="shared" si="162"/>
        <v/>
      </c>
      <c r="L1533" s="66" t="str">
        <f t="shared" si="163"/>
        <v/>
      </c>
      <c r="M1533" s="66" t="str">
        <f t="shared" si="164"/>
        <v/>
      </c>
      <c r="N1533" s="66" t="str">
        <f t="shared" si="165"/>
        <v/>
      </c>
      <c r="O1533" s="66" t="str">
        <f t="shared" si="166"/>
        <v/>
      </c>
      <c r="P1533" s="66" t="str">
        <f t="shared" si="167"/>
        <v/>
      </c>
    </row>
    <row r="1534" spans="8:16">
      <c r="H1534" s="66" t="e">
        <f>IF(LEFT(A1534,6)="CEPNTR","GPINS",VLOOKUP(LEFT(A1534,6),'Code Library'!$A$3:$B$920,2,0))&amp;"_"&amp;RIGHT(A1534,3)</f>
        <v>#N/A</v>
      </c>
      <c r="I1534" s="66">
        <f t="shared" si="161"/>
        <v>0</v>
      </c>
      <c r="K1534" s="66" t="str">
        <f t="shared" si="162"/>
        <v/>
      </c>
      <c r="L1534" s="66" t="str">
        <f t="shared" si="163"/>
        <v/>
      </c>
      <c r="M1534" s="66" t="str">
        <f t="shared" si="164"/>
        <v/>
      </c>
      <c r="N1534" s="66" t="str">
        <f t="shared" si="165"/>
        <v/>
      </c>
      <c r="O1534" s="66" t="str">
        <f t="shared" si="166"/>
        <v/>
      </c>
      <c r="P1534" s="66" t="str">
        <f t="shared" si="167"/>
        <v/>
      </c>
    </row>
    <row r="1535" spans="8:16">
      <c r="H1535" s="66" t="e">
        <f>IF(LEFT(A1535,6)="CEPNTR","GPINS",VLOOKUP(LEFT(A1535,6),'Code Library'!$A$3:$B$920,2,0))&amp;"_"&amp;RIGHT(A1535,3)</f>
        <v>#N/A</v>
      </c>
      <c r="I1535" s="66">
        <f t="shared" si="161"/>
        <v>0</v>
      </c>
      <c r="K1535" s="66" t="str">
        <f t="shared" si="162"/>
        <v/>
      </c>
      <c r="L1535" s="66" t="str">
        <f t="shared" si="163"/>
        <v/>
      </c>
      <c r="M1535" s="66" t="str">
        <f t="shared" si="164"/>
        <v/>
      </c>
      <c r="N1535" s="66" t="str">
        <f t="shared" si="165"/>
        <v/>
      </c>
      <c r="O1535" s="66" t="str">
        <f t="shared" si="166"/>
        <v/>
      </c>
      <c r="P1535" s="66" t="str">
        <f t="shared" si="167"/>
        <v/>
      </c>
    </row>
    <row r="1536" spans="8:16">
      <c r="H1536" s="66" t="e">
        <f>IF(LEFT(A1536,6)="CEPNTR","GPINS",VLOOKUP(LEFT(A1536,6),'Code Library'!$A$3:$B$920,2,0))&amp;"_"&amp;RIGHT(A1536,3)</f>
        <v>#N/A</v>
      </c>
      <c r="I1536" s="66">
        <f t="shared" si="161"/>
        <v>0</v>
      </c>
      <c r="K1536" s="66" t="str">
        <f t="shared" si="162"/>
        <v/>
      </c>
      <c r="L1536" s="66" t="str">
        <f t="shared" si="163"/>
        <v/>
      </c>
      <c r="M1536" s="66" t="str">
        <f t="shared" si="164"/>
        <v/>
      </c>
      <c r="N1536" s="66" t="str">
        <f t="shared" si="165"/>
        <v/>
      </c>
      <c r="O1536" s="66" t="str">
        <f t="shared" si="166"/>
        <v/>
      </c>
      <c r="P1536" s="66" t="str">
        <f t="shared" si="167"/>
        <v/>
      </c>
    </row>
    <row r="1537" spans="8:16">
      <c r="H1537" s="66" t="e">
        <f>IF(LEFT(A1537,6)="CEPNTR","GPINS",VLOOKUP(LEFT(A1537,6),'Code Library'!$A$3:$B$920,2,0))&amp;"_"&amp;RIGHT(A1537,3)</f>
        <v>#N/A</v>
      </c>
      <c r="I1537" s="66">
        <f t="shared" si="161"/>
        <v>0</v>
      </c>
      <c r="K1537" s="66" t="str">
        <f t="shared" si="162"/>
        <v/>
      </c>
      <c r="L1537" s="66" t="str">
        <f t="shared" si="163"/>
        <v/>
      </c>
      <c r="M1537" s="66" t="str">
        <f t="shared" si="164"/>
        <v/>
      </c>
      <c r="N1537" s="66" t="str">
        <f t="shared" si="165"/>
        <v/>
      </c>
      <c r="O1537" s="66" t="str">
        <f t="shared" si="166"/>
        <v/>
      </c>
      <c r="P1537" s="66" t="str">
        <f t="shared" si="167"/>
        <v/>
      </c>
    </row>
    <row r="1538" spans="8:16">
      <c r="H1538" s="66" t="e">
        <f>IF(LEFT(A1538,6)="CEPNTR","GPINS",VLOOKUP(LEFT(A1538,6),'Code Library'!$A$3:$B$920,2,0))&amp;"_"&amp;RIGHT(A1538,3)</f>
        <v>#N/A</v>
      </c>
      <c r="I1538" s="66">
        <f t="shared" si="161"/>
        <v>0</v>
      </c>
      <c r="K1538" s="66" t="str">
        <f t="shared" si="162"/>
        <v/>
      </c>
      <c r="L1538" s="66" t="str">
        <f t="shared" si="163"/>
        <v/>
      </c>
      <c r="M1538" s="66" t="str">
        <f t="shared" si="164"/>
        <v/>
      </c>
      <c r="N1538" s="66" t="str">
        <f t="shared" si="165"/>
        <v/>
      </c>
      <c r="O1538" s="66" t="str">
        <f t="shared" si="166"/>
        <v/>
      </c>
      <c r="P1538" s="66" t="str">
        <f t="shared" si="167"/>
        <v/>
      </c>
    </row>
    <row r="1539" spans="8:16">
      <c r="H1539" s="66" t="e">
        <f>IF(LEFT(A1539,6)="CEPNTR","GPINS",VLOOKUP(LEFT(A1539,6),'Code Library'!$A$3:$B$920,2,0))&amp;"_"&amp;RIGHT(A1539,3)</f>
        <v>#N/A</v>
      </c>
      <c r="I1539" s="66">
        <f t="shared" ref="I1539:I1602" si="168">A1539</f>
        <v>0</v>
      </c>
      <c r="K1539" s="66" t="str">
        <f t="shared" ref="K1539:K1602" si="169">RIGHT($B1539,2)</f>
        <v/>
      </c>
      <c r="L1539" s="66" t="str">
        <f t="shared" ref="L1539:L1602" si="170">LEFT(RIGHT($B1539,7),4)</f>
        <v/>
      </c>
      <c r="M1539" s="66" t="str">
        <f t="shared" ref="M1539:M1602" si="171">LEFT(RIGHT($B1539,10),2)</f>
        <v/>
      </c>
      <c r="N1539" s="66" t="str">
        <f t="shared" ref="N1539:N1602" si="172">LEFT(RIGHT($B1539,14),3)</f>
        <v/>
      </c>
      <c r="O1539" s="66" t="str">
        <f t="shared" ref="O1539:O1602" si="173">LEFT(RIGHT($B1539,16),1)</f>
        <v/>
      </c>
      <c r="P1539" s="66" t="str">
        <f t="shared" ref="P1539:P1602" si="174">LEFT(RIGHT($B1539,19),2)</f>
        <v/>
      </c>
    </row>
    <row r="1540" spans="8:16">
      <c r="H1540" s="66" t="e">
        <f>IF(LEFT(A1540,6)="CEPNTR","GPINS",VLOOKUP(LEFT(A1540,6),'Code Library'!$A$3:$B$920,2,0))&amp;"_"&amp;RIGHT(A1540,3)</f>
        <v>#N/A</v>
      </c>
      <c r="I1540" s="66">
        <f t="shared" si="168"/>
        <v>0</v>
      </c>
      <c r="K1540" s="66" t="str">
        <f t="shared" si="169"/>
        <v/>
      </c>
      <c r="L1540" s="66" t="str">
        <f t="shared" si="170"/>
        <v/>
      </c>
      <c r="M1540" s="66" t="str">
        <f t="shared" si="171"/>
        <v/>
      </c>
      <c r="N1540" s="66" t="str">
        <f t="shared" si="172"/>
        <v/>
      </c>
      <c r="O1540" s="66" t="str">
        <f t="shared" si="173"/>
        <v/>
      </c>
      <c r="P1540" s="66" t="str">
        <f t="shared" si="174"/>
        <v/>
      </c>
    </row>
    <row r="1541" spans="8:16">
      <c r="H1541" s="66" t="e">
        <f>IF(LEFT(A1541,6)="CEPNTR","GPINS",VLOOKUP(LEFT(A1541,6),'Code Library'!$A$3:$B$920,2,0))&amp;"_"&amp;RIGHT(A1541,3)</f>
        <v>#N/A</v>
      </c>
      <c r="I1541" s="66">
        <f t="shared" si="168"/>
        <v>0</v>
      </c>
      <c r="K1541" s="66" t="str">
        <f t="shared" si="169"/>
        <v/>
      </c>
      <c r="L1541" s="66" t="str">
        <f t="shared" si="170"/>
        <v/>
      </c>
      <c r="M1541" s="66" t="str">
        <f t="shared" si="171"/>
        <v/>
      </c>
      <c r="N1541" s="66" t="str">
        <f t="shared" si="172"/>
        <v/>
      </c>
      <c r="O1541" s="66" t="str">
        <f t="shared" si="173"/>
        <v/>
      </c>
      <c r="P1541" s="66" t="str">
        <f t="shared" si="174"/>
        <v/>
      </c>
    </row>
    <row r="1542" spans="8:16">
      <c r="H1542" s="66" t="e">
        <f>IF(LEFT(A1542,6)="CEPNTR","GPINS",VLOOKUP(LEFT(A1542,6),'Code Library'!$A$3:$B$920,2,0))&amp;"_"&amp;RIGHT(A1542,3)</f>
        <v>#N/A</v>
      </c>
      <c r="I1542" s="66">
        <f t="shared" si="168"/>
        <v>0</v>
      </c>
      <c r="K1542" s="66" t="str">
        <f t="shared" si="169"/>
        <v/>
      </c>
      <c r="L1542" s="66" t="str">
        <f t="shared" si="170"/>
        <v/>
      </c>
      <c r="M1542" s="66" t="str">
        <f t="shared" si="171"/>
        <v/>
      </c>
      <c r="N1542" s="66" t="str">
        <f t="shared" si="172"/>
        <v/>
      </c>
      <c r="O1542" s="66" t="str">
        <f t="shared" si="173"/>
        <v/>
      </c>
      <c r="P1542" s="66" t="str">
        <f t="shared" si="174"/>
        <v/>
      </c>
    </row>
    <row r="1543" spans="8:16">
      <c r="H1543" s="66" t="e">
        <f>IF(LEFT(A1543,6)="CEPNTR","GPINS",VLOOKUP(LEFT(A1543,6),'Code Library'!$A$3:$B$920,2,0))&amp;"_"&amp;RIGHT(A1543,3)</f>
        <v>#N/A</v>
      </c>
      <c r="I1543" s="66">
        <f t="shared" si="168"/>
        <v>0</v>
      </c>
      <c r="K1543" s="66" t="str">
        <f t="shared" si="169"/>
        <v/>
      </c>
      <c r="L1543" s="66" t="str">
        <f t="shared" si="170"/>
        <v/>
      </c>
      <c r="M1543" s="66" t="str">
        <f t="shared" si="171"/>
        <v/>
      </c>
      <c r="N1543" s="66" t="str">
        <f t="shared" si="172"/>
        <v/>
      </c>
      <c r="O1543" s="66" t="str">
        <f t="shared" si="173"/>
        <v/>
      </c>
      <c r="P1543" s="66" t="str">
        <f t="shared" si="174"/>
        <v/>
      </c>
    </row>
    <row r="1544" spans="8:16">
      <c r="H1544" s="66" t="e">
        <f>IF(LEFT(A1544,6)="CEPNTR","GPINS",VLOOKUP(LEFT(A1544,6),'Code Library'!$A$3:$B$920,2,0))&amp;"_"&amp;RIGHT(A1544,3)</f>
        <v>#N/A</v>
      </c>
      <c r="I1544" s="66">
        <f t="shared" si="168"/>
        <v>0</v>
      </c>
      <c r="K1544" s="66" t="str">
        <f t="shared" si="169"/>
        <v/>
      </c>
      <c r="L1544" s="66" t="str">
        <f t="shared" si="170"/>
        <v/>
      </c>
      <c r="M1544" s="66" t="str">
        <f t="shared" si="171"/>
        <v/>
      </c>
      <c r="N1544" s="66" t="str">
        <f t="shared" si="172"/>
        <v/>
      </c>
      <c r="O1544" s="66" t="str">
        <f t="shared" si="173"/>
        <v/>
      </c>
      <c r="P1544" s="66" t="str">
        <f t="shared" si="174"/>
        <v/>
      </c>
    </row>
    <row r="1545" spans="8:16">
      <c r="H1545" s="66" t="e">
        <f>IF(LEFT(A1545,6)="CEPNTR","GPINS",VLOOKUP(LEFT(A1545,6),'Code Library'!$A$3:$B$920,2,0))&amp;"_"&amp;RIGHT(A1545,3)</f>
        <v>#N/A</v>
      </c>
      <c r="I1545" s="66">
        <f t="shared" si="168"/>
        <v>0</v>
      </c>
      <c r="K1545" s="66" t="str">
        <f t="shared" si="169"/>
        <v/>
      </c>
      <c r="L1545" s="66" t="str">
        <f t="shared" si="170"/>
        <v/>
      </c>
      <c r="M1545" s="66" t="str">
        <f t="shared" si="171"/>
        <v/>
      </c>
      <c r="N1545" s="66" t="str">
        <f t="shared" si="172"/>
        <v/>
      </c>
      <c r="O1545" s="66" t="str">
        <f t="shared" si="173"/>
        <v/>
      </c>
      <c r="P1545" s="66" t="str">
        <f t="shared" si="174"/>
        <v/>
      </c>
    </row>
    <row r="1546" spans="8:16">
      <c r="H1546" s="66" t="e">
        <f>IF(LEFT(A1546,6)="CEPNTR","GPINS",VLOOKUP(LEFT(A1546,6),'Code Library'!$A$3:$B$920,2,0))&amp;"_"&amp;RIGHT(A1546,3)</f>
        <v>#N/A</v>
      </c>
      <c r="I1546" s="66">
        <f t="shared" si="168"/>
        <v>0</v>
      </c>
      <c r="K1546" s="66" t="str">
        <f t="shared" si="169"/>
        <v/>
      </c>
      <c r="L1546" s="66" t="str">
        <f t="shared" si="170"/>
        <v/>
      </c>
      <c r="M1546" s="66" t="str">
        <f t="shared" si="171"/>
        <v/>
      </c>
      <c r="N1546" s="66" t="str">
        <f t="shared" si="172"/>
        <v/>
      </c>
      <c r="O1546" s="66" t="str">
        <f t="shared" si="173"/>
        <v/>
      </c>
      <c r="P1546" s="66" t="str">
        <f t="shared" si="174"/>
        <v/>
      </c>
    </row>
    <row r="1547" spans="8:16">
      <c r="H1547" s="66" t="e">
        <f>IF(LEFT(A1547,6)="CEPNTR","GPINS",VLOOKUP(LEFT(A1547,6),'Code Library'!$A$3:$B$920,2,0))&amp;"_"&amp;RIGHT(A1547,3)</f>
        <v>#N/A</v>
      </c>
      <c r="I1547" s="66">
        <f t="shared" si="168"/>
        <v>0</v>
      </c>
      <c r="K1547" s="66" t="str">
        <f t="shared" si="169"/>
        <v/>
      </c>
      <c r="L1547" s="66" t="str">
        <f t="shared" si="170"/>
        <v/>
      </c>
      <c r="M1547" s="66" t="str">
        <f t="shared" si="171"/>
        <v/>
      </c>
      <c r="N1547" s="66" t="str">
        <f t="shared" si="172"/>
        <v/>
      </c>
      <c r="O1547" s="66" t="str">
        <f t="shared" si="173"/>
        <v/>
      </c>
      <c r="P1547" s="66" t="str">
        <f t="shared" si="174"/>
        <v/>
      </c>
    </row>
    <row r="1548" spans="8:16">
      <c r="H1548" s="66" t="e">
        <f>IF(LEFT(A1548,6)="CEPNTR","GPINS",VLOOKUP(LEFT(A1548,6),'Code Library'!$A$3:$B$920,2,0))&amp;"_"&amp;RIGHT(A1548,3)</f>
        <v>#N/A</v>
      </c>
      <c r="I1548" s="66">
        <f t="shared" si="168"/>
        <v>0</v>
      </c>
      <c r="K1548" s="66" t="str">
        <f t="shared" si="169"/>
        <v/>
      </c>
      <c r="L1548" s="66" t="str">
        <f t="shared" si="170"/>
        <v/>
      </c>
      <c r="M1548" s="66" t="str">
        <f t="shared" si="171"/>
        <v/>
      </c>
      <c r="N1548" s="66" t="str">
        <f t="shared" si="172"/>
        <v/>
      </c>
      <c r="O1548" s="66" t="str">
        <f t="shared" si="173"/>
        <v/>
      </c>
      <c r="P1548" s="66" t="str">
        <f t="shared" si="174"/>
        <v/>
      </c>
    </row>
    <row r="1549" spans="8:16">
      <c r="H1549" s="66" t="e">
        <f>IF(LEFT(A1549,6)="CEPNTR","GPINS",VLOOKUP(LEFT(A1549,6),'Code Library'!$A$3:$B$920,2,0))&amp;"_"&amp;RIGHT(A1549,3)</f>
        <v>#N/A</v>
      </c>
      <c r="I1549" s="66">
        <f t="shared" si="168"/>
        <v>0</v>
      </c>
      <c r="K1549" s="66" t="str">
        <f t="shared" si="169"/>
        <v/>
      </c>
      <c r="L1549" s="66" t="str">
        <f t="shared" si="170"/>
        <v/>
      </c>
      <c r="M1549" s="66" t="str">
        <f t="shared" si="171"/>
        <v/>
      </c>
      <c r="N1549" s="66" t="str">
        <f t="shared" si="172"/>
        <v/>
      </c>
      <c r="O1549" s="66" t="str">
        <f t="shared" si="173"/>
        <v/>
      </c>
      <c r="P1549" s="66" t="str">
        <f t="shared" si="174"/>
        <v/>
      </c>
    </row>
    <row r="1550" spans="8:16">
      <c r="H1550" s="66" t="e">
        <f>IF(LEFT(A1550,6)="CEPNTR","GPINS",VLOOKUP(LEFT(A1550,6),'Code Library'!$A$3:$B$920,2,0))&amp;"_"&amp;RIGHT(A1550,3)</f>
        <v>#N/A</v>
      </c>
      <c r="I1550" s="66">
        <f t="shared" si="168"/>
        <v>0</v>
      </c>
      <c r="K1550" s="66" t="str">
        <f t="shared" si="169"/>
        <v/>
      </c>
      <c r="L1550" s="66" t="str">
        <f t="shared" si="170"/>
        <v/>
      </c>
      <c r="M1550" s="66" t="str">
        <f t="shared" si="171"/>
        <v/>
      </c>
      <c r="N1550" s="66" t="str">
        <f t="shared" si="172"/>
        <v/>
      </c>
      <c r="O1550" s="66" t="str">
        <f t="shared" si="173"/>
        <v/>
      </c>
      <c r="P1550" s="66" t="str">
        <f t="shared" si="174"/>
        <v/>
      </c>
    </row>
    <row r="1551" spans="8:16">
      <c r="H1551" s="66" t="e">
        <f>IF(LEFT(A1551,6)="CEPNTR","GPINS",VLOOKUP(LEFT(A1551,6),'Code Library'!$A$3:$B$920,2,0))&amp;"_"&amp;RIGHT(A1551,3)</f>
        <v>#N/A</v>
      </c>
      <c r="I1551" s="66">
        <f t="shared" si="168"/>
        <v>0</v>
      </c>
      <c r="K1551" s="66" t="str">
        <f t="shared" si="169"/>
        <v/>
      </c>
      <c r="L1551" s="66" t="str">
        <f t="shared" si="170"/>
        <v/>
      </c>
      <c r="M1551" s="66" t="str">
        <f t="shared" si="171"/>
        <v/>
      </c>
      <c r="N1551" s="66" t="str">
        <f t="shared" si="172"/>
        <v/>
      </c>
      <c r="O1551" s="66" t="str">
        <f t="shared" si="173"/>
        <v/>
      </c>
      <c r="P1551" s="66" t="str">
        <f t="shared" si="174"/>
        <v/>
      </c>
    </row>
    <row r="1552" spans="8:16">
      <c r="H1552" s="66" t="e">
        <f>IF(LEFT(A1552,6)="CEPNTR","GPINS",VLOOKUP(LEFT(A1552,6),'Code Library'!$A$3:$B$920,2,0))&amp;"_"&amp;RIGHT(A1552,3)</f>
        <v>#N/A</v>
      </c>
      <c r="I1552" s="66">
        <f t="shared" si="168"/>
        <v>0</v>
      </c>
      <c r="K1552" s="66" t="str">
        <f t="shared" si="169"/>
        <v/>
      </c>
      <c r="L1552" s="66" t="str">
        <f t="shared" si="170"/>
        <v/>
      </c>
      <c r="M1552" s="66" t="str">
        <f t="shared" si="171"/>
        <v/>
      </c>
      <c r="N1552" s="66" t="str">
        <f t="shared" si="172"/>
        <v/>
      </c>
      <c r="O1552" s="66" t="str">
        <f t="shared" si="173"/>
        <v/>
      </c>
      <c r="P1552" s="66" t="str">
        <f t="shared" si="174"/>
        <v/>
      </c>
    </row>
    <row r="1553" spans="8:16">
      <c r="H1553" s="66" t="e">
        <f>IF(LEFT(A1553,6)="CEPNTR","GPINS",VLOOKUP(LEFT(A1553,6),'Code Library'!$A$3:$B$920,2,0))&amp;"_"&amp;RIGHT(A1553,3)</f>
        <v>#N/A</v>
      </c>
      <c r="I1553" s="66">
        <f t="shared" si="168"/>
        <v>0</v>
      </c>
      <c r="K1553" s="66" t="str">
        <f t="shared" si="169"/>
        <v/>
      </c>
      <c r="L1553" s="66" t="str">
        <f t="shared" si="170"/>
        <v/>
      </c>
      <c r="M1553" s="66" t="str">
        <f t="shared" si="171"/>
        <v/>
      </c>
      <c r="N1553" s="66" t="str">
        <f t="shared" si="172"/>
        <v/>
      </c>
      <c r="O1553" s="66" t="str">
        <f t="shared" si="173"/>
        <v/>
      </c>
      <c r="P1553" s="66" t="str">
        <f t="shared" si="174"/>
        <v/>
      </c>
    </row>
    <row r="1554" spans="8:16">
      <c r="H1554" s="66" t="e">
        <f>IF(LEFT(A1554,6)="CEPNTR","GPINS",VLOOKUP(LEFT(A1554,6),'Code Library'!$A$3:$B$920,2,0))&amp;"_"&amp;RIGHT(A1554,3)</f>
        <v>#N/A</v>
      </c>
      <c r="I1554" s="66">
        <f t="shared" si="168"/>
        <v>0</v>
      </c>
      <c r="K1554" s="66" t="str">
        <f t="shared" si="169"/>
        <v/>
      </c>
      <c r="L1554" s="66" t="str">
        <f t="shared" si="170"/>
        <v/>
      </c>
      <c r="M1554" s="66" t="str">
        <f t="shared" si="171"/>
        <v/>
      </c>
      <c r="N1554" s="66" t="str">
        <f t="shared" si="172"/>
        <v/>
      </c>
      <c r="O1554" s="66" t="str">
        <f t="shared" si="173"/>
        <v/>
      </c>
      <c r="P1554" s="66" t="str">
        <f t="shared" si="174"/>
        <v/>
      </c>
    </row>
    <row r="1555" spans="8:16">
      <c r="H1555" s="66" t="e">
        <f>IF(LEFT(A1555,6)="CEPNTR","GPINS",VLOOKUP(LEFT(A1555,6),'Code Library'!$A$3:$B$920,2,0))&amp;"_"&amp;RIGHT(A1555,3)</f>
        <v>#N/A</v>
      </c>
      <c r="I1555" s="66">
        <f t="shared" si="168"/>
        <v>0</v>
      </c>
      <c r="K1555" s="66" t="str">
        <f t="shared" si="169"/>
        <v/>
      </c>
      <c r="L1555" s="66" t="str">
        <f t="shared" si="170"/>
        <v/>
      </c>
      <c r="M1555" s="66" t="str">
        <f t="shared" si="171"/>
        <v/>
      </c>
      <c r="N1555" s="66" t="str">
        <f t="shared" si="172"/>
        <v/>
      </c>
      <c r="O1555" s="66" t="str">
        <f t="shared" si="173"/>
        <v/>
      </c>
      <c r="P1555" s="66" t="str">
        <f t="shared" si="174"/>
        <v/>
      </c>
    </row>
    <row r="1556" spans="8:16">
      <c r="H1556" s="66" t="e">
        <f>IF(LEFT(A1556,6)="CEPNTR","GPINS",VLOOKUP(LEFT(A1556,6),'Code Library'!$A$3:$B$920,2,0))&amp;"_"&amp;RIGHT(A1556,3)</f>
        <v>#N/A</v>
      </c>
      <c r="I1556" s="66">
        <f t="shared" si="168"/>
        <v>0</v>
      </c>
      <c r="K1556" s="66" t="str">
        <f t="shared" si="169"/>
        <v/>
      </c>
      <c r="L1556" s="66" t="str">
        <f t="shared" si="170"/>
        <v/>
      </c>
      <c r="M1556" s="66" t="str">
        <f t="shared" si="171"/>
        <v/>
      </c>
      <c r="N1556" s="66" t="str">
        <f t="shared" si="172"/>
        <v/>
      </c>
      <c r="O1556" s="66" t="str">
        <f t="shared" si="173"/>
        <v/>
      </c>
      <c r="P1556" s="66" t="str">
        <f t="shared" si="174"/>
        <v/>
      </c>
    </row>
    <row r="1557" spans="8:16">
      <c r="H1557" s="66" t="e">
        <f>IF(LEFT(A1557,6)="CEPNTR","GPINS",VLOOKUP(LEFT(A1557,6),'Code Library'!$A$3:$B$920,2,0))&amp;"_"&amp;RIGHT(A1557,3)</f>
        <v>#N/A</v>
      </c>
      <c r="I1557" s="66">
        <f t="shared" si="168"/>
        <v>0</v>
      </c>
      <c r="K1557" s="66" t="str">
        <f t="shared" si="169"/>
        <v/>
      </c>
      <c r="L1557" s="66" t="str">
        <f t="shared" si="170"/>
        <v/>
      </c>
      <c r="M1557" s="66" t="str">
        <f t="shared" si="171"/>
        <v/>
      </c>
      <c r="N1557" s="66" t="str">
        <f t="shared" si="172"/>
        <v/>
      </c>
      <c r="O1557" s="66" t="str">
        <f t="shared" si="173"/>
        <v/>
      </c>
      <c r="P1557" s="66" t="str">
        <f t="shared" si="174"/>
        <v/>
      </c>
    </row>
    <row r="1558" spans="8:16">
      <c r="H1558" s="66" t="e">
        <f>IF(LEFT(A1558,6)="CEPNTR","GPINS",VLOOKUP(LEFT(A1558,6),'Code Library'!$A$3:$B$920,2,0))&amp;"_"&amp;RIGHT(A1558,3)</f>
        <v>#N/A</v>
      </c>
      <c r="I1558" s="66">
        <f t="shared" si="168"/>
        <v>0</v>
      </c>
      <c r="K1558" s="66" t="str">
        <f t="shared" si="169"/>
        <v/>
      </c>
      <c r="L1558" s="66" t="str">
        <f t="shared" si="170"/>
        <v/>
      </c>
      <c r="M1558" s="66" t="str">
        <f t="shared" si="171"/>
        <v/>
      </c>
      <c r="N1558" s="66" t="str">
        <f t="shared" si="172"/>
        <v/>
      </c>
      <c r="O1558" s="66" t="str">
        <f t="shared" si="173"/>
        <v/>
      </c>
      <c r="P1558" s="66" t="str">
        <f t="shared" si="174"/>
        <v/>
      </c>
    </row>
    <row r="1559" spans="8:16">
      <c r="H1559" s="66" t="e">
        <f>IF(LEFT(A1559,6)="CEPNTR","GPINS",VLOOKUP(LEFT(A1559,6),'Code Library'!$A$3:$B$920,2,0))&amp;"_"&amp;RIGHT(A1559,3)</f>
        <v>#N/A</v>
      </c>
      <c r="I1559" s="66">
        <f t="shared" si="168"/>
        <v>0</v>
      </c>
      <c r="K1559" s="66" t="str">
        <f t="shared" si="169"/>
        <v/>
      </c>
      <c r="L1559" s="66" t="str">
        <f t="shared" si="170"/>
        <v/>
      </c>
      <c r="M1559" s="66" t="str">
        <f t="shared" si="171"/>
        <v/>
      </c>
      <c r="N1559" s="66" t="str">
        <f t="shared" si="172"/>
        <v/>
      </c>
      <c r="O1559" s="66" t="str">
        <f t="shared" si="173"/>
        <v/>
      </c>
      <c r="P1559" s="66" t="str">
        <f t="shared" si="174"/>
        <v/>
      </c>
    </row>
    <row r="1560" spans="8:16">
      <c r="H1560" s="66" t="e">
        <f>IF(LEFT(A1560,6)="CEPNTR","GPINS",VLOOKUP(LEFT(A1560,6),'Code Library'!$A$3:$B$920,2,0))&amp;"_"&amp;RIGHT(A1560,3)</f>
        <v>#N/A</v>
      </c>
      <c r="I1560" s="66">
        <f t="shared" si="168"/>
        <v>0</v>
      </c>
      <c r="K1560" s="66" t="str">
        <f t="shared" si="169"/>
        <v/>
      </c>
      <c r="L1560" s="66" t="str">
        <f t="shared" si="170"/>
        <v/>
      </c>
      <c r="M1560" s="66" t="str">
        <f t="shared" si="171"/>
        <v/>
      </c>
      <c r="N1560" s="66" t="str">
        <f t="shared" si="172"/>
        <v/>
      </c>
      <c r="O1560" s="66" t="str">
        <f t="shared" si="173"/>
        <v/>
      </c>
      <c r="P1560" s="66" t="str">
        <f t="shared" si="174"/>
        <v/>
      </c>
    </row>
    <row r="1561" spans="8:16">
      <c r="H1561" s="66" t="e">
        <f>IF(LEFT(A1561,6)="CEPNTR","GPINS",VLOOKUP(LEFT(A1561,6),'Code Library'!$A$3:$B$920,2,0))&amp;"_"&amp;RIGHT(A1561,3)</f>
        <v>#N/A</v>
      </c>
      <c r="I1561" s="66">
        <f t="shared" si="168"/>
        <v>0</v>
      </c>
      <c r="K1561" s="66" t="str">
        <f t="shared" si="169"/>
        <v/>
      </c>
      <c r="L1561" s="66" t="str">
        <f t="shared" si="170"/>
        <v/>
      </c>
      <c r="M1561" s="66" t="str">
        <f t="shared" si="171"/>
        <v/>
      </c>
      <c r="N1561" s="66" t="str">
        <f t="shared" si="172"/>
        <v/>
      </c>
      <c r="O1561" s="66" t="str">
        <f t="shared" si="173"/>
        <v/>
      </c>
      <c r="P1561" s="66" t="str">
        <f t="shared" si="174"/>
        <v/>
      </c>
    </row>
    <row r="1562" spans="8:16">
      <c r="H1562" s="66" t="e">
        <f>IF(LEFT(A1562,6)="CEPNTR","GPINS",VLOOKUP(LEFT(A1562,6),'Code Library'!$A$3:$B$920,2,0))&amp;"_"&amp;RIGHT(A1562,3)</f>
        <v>#N/A</v>
      </c>
      <c r="I1562" s="66">
        <f t="shared" si="168"/>
        <v>0</v>
      </c>
      <c r="K1562" s="66" t="str">
        <f t="shared" si="169"/>
        <v/>
      </c>
      <c r="L1562" s="66" t="str">
        <f t="shared" si="170"/>
        <v/>
      </c>
      <c r="M1562" s="66" t="str">
        <f t="shared" si="171"/>
        <v/>
      </c>
      <c r="N1562" s="66" t="str">
        <f t="shared" si="172"/>
        <v/>
      </c>
      <c r="O1562" s="66" t="str">
        <f t="shared" si="173"/>
        <v/>
      </c>
      <c r="P1562" s="66" t="str">
        <f t="shared" si="174"/>
        <v/>
      </c>
    </row>
    <row r="1563" spans="8:16">
      <c r="H1563" s="66" t="e">
        <f>IF(LEFT(A1563,6)="CEPNTR","GPINS",VLOOKUP(LEFT(A1563,6),'Code Library'!$A$3:$B$920,2,0))&amp;"_"&amp;RIGHT(A1563,3)</f>
        <v>#N/A</v>
      </c>
      <c r="I1563" s="66">
        <f t="shared" si="168"/>
        <v>0</v>
      </c>
      <c r="K1563" s="66" t="str">
        <f t="shared" si="169"/>
        <v/>
      </c>
      <c r="L1563" s="66" t="str">
        <f t="shared" si="170"/>
        <v/>
      </c>
      <c r="M1563" s="66" t="str">
        <f t="shared" si="171"/>
        <v/>
      </c>
      <c r="N1563" s="66" t="str">
        <f t="shared" si="172"/>
        <v/>
      </c>
      <c r="O1563" s="66" t="str">
        <f t="shared" si="173"/>
        <v/>
      </c>
      <c r="P1563" s="66" t="str">
        <f t="shared" si="174"/>
        <v/>
      </c>
    </row>
    <row r="1564" spans="8:16">
      <c r="H1564" s="66" t="e">
        <f>IF(LEFT(A1564,6)="CEPNTR","GPINS",VLOOKUP(LEFT(A1564,6),'Code Library'!$A$3:$B$920,2,0))&amp;"_"&amp;RIGHT(A1564,3)</f>
        <v>#N/A</v>
      </c>
      <c r="I1564" s="66">
        <f t="shared" si="168"/>
        <v>0</v>
      </c>
      <c r="K1564" s="66" t="str">
        <f t="shared" si="169"/>
        <v/>
      </c>
      <c r="L1564" s="66" t="str">
        <f t="shared" si="170"/>
        <v/>
      </c>
      <c r="M1564" s="66" t="str">
        <f t="shared" si="171"/>
        <v/>
      </c>
      <c r="N1564" s="66" t="str">
        <f t="shared" si="172"/>
        <v/>
      </c>
      <c r="O1564" s="66" t="str">
        <f t="shared" si="173"/>
        <v/>
      </c>
      <c r="P1564" s="66" t="str">
        <f t="shared" si="174"/>
        <v/>
      </c>
    </row>
    <row r="1565" spans="8:16">
      <c r="H1565" s="66" t="e">
        <f>IF(LEFT(A1565,6)="CEPNTR","GPINS",VLOOKUP(LEFT(A1565,6),'Code Library'!$A$3:$B$920,2,0))&amp;"_"&amp;RIGHT(A1565,3)</f>
        <v>#N/A</v>
      </c>
      <c r="I1565" s="66">
        <f t="shared" si="168"/>
        <v>0</v>
      </c>
      <c r="K1565" s="66" t="str">
        <f t="shared" si="169"/>
        <v/>
      </c>
      <c r="L1565" s="66" t="str">
        <f t="shared" si="170"/>
        <v/>
      </c>
      <c r="M1565" s="66" t="str">
        <f t="shared" si="171"/>
        <v/>
      </c>
      <c r="N1565" s="66" t="str">
        <f t="shared" si="172"/>
        <v/>
      </c>
      <c r="O1565" s="66" t="str">
        <f t="shared" si="173"/>
        <v/>
      </c>
      <c r="P1565" s="66" t="str">
        <f t="shared" si="174"/>
        <v/>
      </c>
    </row>
    <row r="1566" spans="8:16">
      <c r="H1566" s="66" t="e">
        <f>IF(LEFT(A1566,6)="CEPNTR","GPINS",VLOOKUP(LEFT(A1566,6),'Code Library'!$A$3:$B$920,2,0))&amp;"_"&amp;RIGHT(A1566,3)</f>
        <v>#N/A</v>
      </c>
      <c r="I1566" s="66">
        <f t="shared" si="168"/>
        <v>0</v>
      </c>
      <c r="K1566" s="66" t="str">
        <f t="shared" si="169"/>
        <v/>
      </c>
      <c r="L1566" s="66" t="str">
        <f t="shared" si="170"/>
        <v/>
      </c>
      <c r="M1566" s="66" t="str">
        <f t="shared" si="171"/>
        <v/>
      </c>
      <c r="N1566" s="66" t="str">
        <f t="shared" si="172"/>
        <v/>
      </c>
      <c r="O1566" s="66" t="str">
        <f t="shared" si="173"/>
        <v/>
      </c>
      <c r="P1566" s="66" t="str">
        <f t="shared" si="174"/>
        <v/>
      </c>
    </row>
    <row r="1567" spans="8:16">
      <c r="H1567" s="66" t="e">
        <f>IF(LEFT(A1567,6)="CEPNTR","GPINS",VLOOKUP(LEFT(A1567,6),'Code Library'!$A$3:$B$920,2,0))&amp;"_"&amp;RIGHT(A1567,3)</f>
        <v>#N/A</v>
      </c>
      <c r="I1567" s="66">
        <f t="shared" si="168"/>
        <v>0</v>
      </c>
      <c r="K1567" s="66" t="str">
        <f t="shared" si="169"/>
        <v/>
      </c>
      <c r="L1567" s="66" t="str">
        <f t="shared" si="170"/>
        <v/>
      </c>
      <c r="M1567" s="66" t="str">
        <f t="shared" si="171"/>
        <v/>
      </c>
      <c r="N1567" s="66" t="str">
        <f t="shared" si="172"/>
        <v/>
      </c>
      <c r="O1567" s="66" t="str">
        <f t="shared" si="173"/>
        <v/>
      </c>
      <c r="P1567" s="66" t="str">
        <f t="shared" si="174"/>
        <v/>
      </c>
    </row>
    <row r="1568" spans="8:16">
      <c r="H1568" s="66" t="e">
        <f>IF(LEFT(A1568,6)="CEPNTR","GPINS",VLOOKUP(LEFT(A1568,6),'Code Library'!$A$3:$B$920,2,0))&amp;"_"&amp;RIGHT(A1568,3)</f>
        <v>#N/A</v>
      </c>
      <c r="I1568" s="66">
        <f t="shared" si="168"/>
        <v>0</v>
      </c>
      <c r="K1568" s="66" t="str">
        <f t="shared" si="169"/>
        <v/>
      </c>
      <c r="L1568" s="66" t="str">
        <f t="shared" si="170"/>
        <v/>
      </c>
      <c r="M1568" s="66" t="str">
        <f t="shared" si="171"/>
        <v/>
      </c>
      <c r="N1568" s="66" t="str">
        <f t="shared" si="172"/>
        <v/>
      </c>
      <c r="O1568" s="66" t="str">
        <f t="shared" si="173"/>
        <v/>
      </c>
      <c r="P1568" s="66" t="str">
        <f t="shared" si="174"/>
        <v/>
      </c>
    </row>
    <row r="1569" spans="8:16">
      <c r="H1569" s="66" t="e">
        <f>IF(LEFT(A1569,6)="CEPNTR","GPINS",VLOOKUP(LEFT(A1569,6),'Code Library'!$A$3:$B$920,2,0))&amp;"_"&amp;RIGHT(A1569,3)</f>
        <v>#N/A</v>
      </c>
      <c r="I1569" s="66">
        <f t="shared" si="168"/>
        <v>0</v>
      </c>
      <c r="K1569" s="66" t="str">
        <f t="shared" si="169"/>
        <v/>
      </c>
      <c r="L1569" s="66" t="str">
        <f t="shared" si="170"/>
        <v/>
      </c>
      <c r="M1569" s="66" t="str">
        <f t="shared" si="171"/>
        <v/>
      </c>
      <c r="N1569" s="66" t="str">
        <f t="shared" si="172"/>
        <v/>
      </c>
      <c r="O1569" s="66" t="str">
        <f t="shared" si="173"/>
        <v/>
      </c>
      <c r="P1569" s="66" t="str">
        <f t="shared" si="174"/>
        <v/>
      </c>
    </row>
    <row r="1570" spans="8:16">
      <c r="H1570" s="66" t="e">
        <f>IF(LEFT(A1570,6)="CEPNTR","GPINS",VLOOKUP(LEFT(A1570,6),'Code Library'!$A$3:$B$920,2,0))&amp;"_"&amp;RIGHT(A1570,3)</f>
        <v>#N/A</v>
      </c>
      <c r="I1570" s="66">
        <f t="shared" si="168"/>
        <v>0</v>
      </c>
      <c r="K1570" s="66" t="str">
        <f t="shared" si="169"/>
        <v/>
      </c>
      <c r="L1570" s="66" t="str">
        <f t="shared" si="170"/>
        <v/>
      </c>
      <c r="M1570" s="66" t="str">
        <f t="shared" si="171"/>
        <v/>
      </c>
      <c r="N1570" s="66" t="str">
        <f t="shared" si="172"/>
        <v/>
      </c>
      <c r="O1570" s="66" t="str">
        <f t="shared" si="173"/>
        <v/>
      </c>
      <c r="P1570" s="66" t="str">
        <f t="shared" si="174"/>
        <v/>
      </c>
    </row>
    <row r="1571" spans="8:16">
      <c r="H1571" s="66" t="e">
        <f>IF(LEFT(A1571,6)="CEPNTR","GPINS",VLOOKUP(LEFT(A1571,6),'Code Library'!$A$3:$B$920,2,0))&amp;"_"&amp;RIGHT(A1571,3)</f>
        <v>#N/A</v>
      </c>
      <c r="I1571" s="66">
        <f t="shared" si="168"/>
        <v>0</v>
      </c>
      <c r="K1571" s="66" t="str">
        <f t="shared" si="169"/>
        <v/>
      </c>
      <c r="L1571" s="66" t="str">
        <f t="shared" si="170"/>
        <v/>
      </c>
      <c r="M1571" s="66" t="str">
        <f t="shared" si="171"/>
        <v/>
      </c>
      <c r="N1571" s="66" t="str">
        <f t="shared" si="172"/>
        <v/>
      </c>
      <c r="O1571" s="66" t="str">
        <f t="shared" si="173"/>
        <v/>
      </c>
      <c r="P1571" s="66" t="str">
        <f t="shared" si="174"/>
        <v/>
      </c>
    </row>
    <row r="1572" spans="8:16">
      <c r="H1572" s="66" t="e">
        <f>IF(LEFT(A1572,6)="CEPNTR","GPINS",VLOOKUP(LEFT(A1572,6),'Code Library'!$A$3:$B$920,2,0))&amp;"_"&amp;RIGHT(A1572,3)</f>
        <v>#N/A</v>
      </c>
      <c r="I1572" s="66">
        <f t="shared" si="168"/>
        <v>0</v>
      </c>
      <c r="K1572" s="66" t="str">
        <f t="shared" si="169"/>
        <v/>
      </c>
      <c r="L1572" s="66" t="str">
        <f t="shared" si="170"/>
        <v/>
      </c>
      <c r="M1572" s="66" t="str">
        <f t="shared" si="171"/>
        <v/>
      </c>
      <c r="N1572" s="66" t="str">
        <f t="shared" si="172"/>
        <v/>
      </c>
      <c r="O1572" s="66" t="str">
        <f t="shared" si="173"/>
        <v/>
      </c>
      <c r="P1572" s="66" t="str">
        <f t="shared" si="174"/>
        <v/>
      </c>
    </row>
    <row r="1573" spans="8:16">
      <c r="H1573" s="66" t="e">
        <f>IF(LEFT(A1573,6)="CEPNTR","GPINS",VLOOKUP(LEFT(A1573,6),'Code Library'!$A$3:$B$920,2,0))&amp;"_"&amp;RIGHT(A1573,3)</f>
        <v>#N/A</v>
      </c>
      <c r="I1573" s="66">
        <f t="shared" si="168"/>
        <v>0</v>
      </c>
      <c r="K1573" s="66" t="str">
        <f t="shared" si="169"/>
        <v/>
      </c>
      <c r="L1573" s="66" t="str">
        <f t="shared" si="170"/>
        <v/>
      </c>
      <c r="M1573" s="66" t="str">
        <f t="shared" si="171"/>
        <v/>
      </c>
      <c r="N1573" s="66" t="str">
        <f t="shared" si="172"/>
        <v/>
      </c>
      <c r="O1573" s="66" t="str">
        <f t="shared" si="173"/>
        <v/>
      </c>
      <c r="P1573" s="66" t="str">
        <f t="shared" si="174"/>
        <v/>
      </c>
    </row>
    <row r="1574" spans="8:16">
      <c r="H1574" s="66" t="e">
        <f>IF(LEFT(A1574,6)="CEPNTR","GPINS",VLOOKUP(LEFT(A1574,6),'Code Library'!$A$3:$B$920,2,0))&amp;"_"&amp;RIGHT(A1574,3)</f>
        <v>#N/A</v>
      </c>
      <c r="I1574" s="66">
        <f t="shared" si="168"/>
        <v>0</v>
      </c>
      <c r="K1574" s="66" t="str">
        <f t="shared" si="169"/>
        <v/>
      </c>
      <c r="L1574" s="66" t="str">
        <f t="shared" si="170"/>
        <v/>
      </c>
      <c r="M1574" s="66" t="str">
        <f t="shared" si="171"/>
        <v/>
      </c>
      <c r="N1574" s="66" t="str">
        <f t="shared" si="172"/>
        <v/>
      </c>
      <c r="O1574" s="66" t="str">
        <f t="shared" si="173"/>
        <v/>
      </c>
      <c r="P1574" s="66" t="str">
        <f t="shared" si="174"/>
        <v/>
      </c>
    </row>
    <row r="1575" spans="8:16">
      <c r="H1575" s="66" t="e">
        <f>IF(LEFT(A1575,6)="CEPNTR","GPINS",VLOOKUP(LEFT(A1575,6),'Code Library'!$A$3:$B$920,2,0))&amp;"_"&amp;RIGHT(A1575,3)</f>
        <v>#N/A</v>
      </c>
      <c r="I1575" s="66">
        <f t="shared" si="168"/>
        <v>0</v>
      </c>
      <c r="K1575" s="66" t="str">
        <f t="shared" si="169"/>
        <v/>
      </c>
      <c r="L1575" s="66" t="str">
        <f t="shared" si="170"/>
        <v/>
      </c>
      <c r="M1575" s="66" t="str">
        <f t="shared" si="171"/>
        <v/>
      </c>
      <c r="N1575" s="66" t="str">
        <f t="shared" si="172"/>
        <v/>
      </c>
      <c r="O1575" s="66" t="str">
        <f t="shared" si="173"/>
        <v/>
      </c>
      <c r="P1575" s="66" t="str">
        <f t="shared" si="174"/>
        <v/>
      </c>
    </row>
    <row r="1576" spans="8:16">
      <c r="H1576" s="66" t="e">
        <f>IF(LEFT(A1576,6)="CEPNTR","GPINS",VLOOKUP(LEFT(A1576,6),'Code Library'!$A$3:$B$920,2,0))&amp;"_"&amp;RIGHT(A1576,3)</f>
        <v>#N/A</v>
      </c>
      <c r="I1576" s="66">
        <f t="shared" si="168"/>
        <v>0</v>
      </c>
      <c r="K1576" s="66" t="str">
        <f t="shared" si="169"/>
        <v/>
      </c>
      <c r="L1576" s="66" t="str">
        <f t="shared" si="170"/>
        <v/>
      </c>
      <c r="M1576" s="66" t="str">
        <f t="shared" si="171"/>
        <v/>
      </c>
      <c r="N1576" s="66" t="str">
        <f t="shared" si="172"/>
        <v/>
      </c>
      <c r="O1576" s="66" t="str">
        <f t="shared" si="173"/>
        <v/>
      </c>
      <c r="P1576" s="66" t="str">
        <f t="shared" si="174"/>
        <v/>
      </c>
    </row>
    <row r="1577" spans="8:16">
      <c r="H1577" s="66" t="e">
        <f>IF(LEFT(A1577,6)="CEPNTR","GPINS",VLOOKUP(LEFT(A1577,6),'Code Library'!$A$3:$B$920,2,0))&amp;"_"&amp;RIGHT(A1577,3)</f>
        <v>#N/A</v>
      </c>
      <c r="I1577" s="66">
        <f t="shared" si="168"/>
        <v>0</v>
      </c>
      <c r="K1577" s="66" t="str">
        <f t="shared" si="169"/>
        <v/>
      </c>
      <c r="L1577" s="66" t="str">
        <f t="shared" si="170"/>
        <v/>
      </c>
      <c r="M1577" s="66" t="str">
        <f t="shared" si="171"/>
        <v/>
      </c>
      <c r="N1577" s="66" t="str">
        <f t="shared" si="172"/>
        <v/>
      </c>
      <c r="O1577" s="66" t="str">
        <f t="shared" si="173"/>
        <v/>
      </c>
      <c r="P1577" s="66" t="str">
        <f t="shared" si="174"/>
        <v/>
      </c>
    </row>
    <row r="1578" spans="8:16">
      <c r="H1578" s="66" t="e">
        <f>IF(LEFT(A1578,6)="CEPNTR","GPINS",VLOOKUP(LEFT(A1578,6),'Code Library'!$A$3:$B$920,2,0))&amp;"_"&amp;RIGHT(A1578,3)</f>
        <v>#N/A</v>
      </c>
      <c r="I1578" s="66">
        <f t="shared" si="168"/>
        <v>0</v>
      </c>
      <c r="K1578" s="66" t="str">
        <f t="shared" si="169"/>
        <v/>
      </c>
      <c r="L1578" s="66" t="str">
        <f t="shared" si="170"/>
        <v/>
      </c>
      <c r="M1578" s="66" t="str">
        <f t="shared" si="171"/>
        <v/>
      </c>
      <c r="N1578" s="66" t="str">
        <f t="shared" si="172"/>
        <v/>
      </c>
      <c r="O1578" s="66" t="str">
        <f t="shared" si="173"/>
        <v/>
      </c>
      <c r="P1578" s="66" t="str">
        <f t="shared" si="174"/>
        <v/>
      </c>
    </row>
    <row r="1579" spans="8:16">
      <c r="H1579" s="66" t="e">
        <f>IF(LEFT(A1579,6)="CEPNTR","GPINS",VLOOKUP(LEFT(A1579,6),'Code Library'!$A$3:$B$920,2,0))&amp;"_"&amp;RIGHT(A1579,3)</f>
        <v>#N/A</v>
      </c>
      <c r="I1579" s="66">
        <f t="shared" si="168"/>
        <v>0</v>
      </c>
      <c r="K1579" s="66" t="str">
        <f t="shared" si="169"/>
        <v/>
      </c>
      <c r="L1579" s="66" t="str">
        <f t="shared" si="170"/>
        <v/>
      </c>
      <c r="M1579" s="66" t="str">
        <f t="shared" si="171"/>
        <v/>
      </c>
      <c r="N1579" s="66" t="str">
        <f t="shared" si="172"/>
        <v/>
      </c>
      <c r="O1579" s="66" t="str">
        <f t="shared" si="173"/>
        <v/>
      </c>
      <c r="P1579" s="66" t="str">
        <f t="shared" si="174"/>
        <v/>
      </c>
    </row>
    <row r="1580" spans="8:16">
      <c r="H1580" s="66" t="e">
        <f>IF(LEFT(A1580,6)="CEPNTR","GPINS",VLOOKUP(LEFT(A1580,6),'Code Library'!$A$3:$B$920,2,0))&amp;"_"&amp;RIGHT(A1580,3)</f>
        <v>#N/A</v>
      </c>
      <c r="I1580" s="66">
        <f t="shared" si="168"/>
        <v>0</v>
      </c>
      <c r="K1580" s="66" t="str">
        <f t="shared" si="169"/>
        <v/>
      </c>
      <c r="L1580" s="66" t="str">
        <f t="shared" si="170"/>
        <v/>
      </c>
      <c r="M1580" s="66" t="str">
        <f t="shared" si="171"/>
        <v/>
      </c>
      <c r="N1580" s="66" t="str">
        <f t="shared" si="172"/>
        <v/>
      </c>
      <c r="O1580" s="66" t="str">
        <f t="shared" si="173"/>
        <v/>
      </c>
      <c r="P1580" s="66" t="str">
        <f t="shared" si="174"/>
        <v/>
      </c>
    </row>
    <row r="1581" spans="8:16">
      <c r="H1581" s="66" t="e">
        <f>IF(LEFT(A1581,6)="CEPNTR","GPINS",VLOOKUP(LEFT(A1581,6),'Code Library'!$A$3:$B$920,2,0))&amp;"_"&amp;RIGHT(A1581,3)</f>
        <v>#N/A</v>
      </c>
      <c r="I1581" s="66">
        <f t="shared" si="168"/>
        <v>0</v>
      </c>
      <c r="K1581" s="66" t="str">
        <f t="shared" si="169"/>
        <v/>
      </c>
      <c r="L1581" s="66" t="str">
        <f t="shared" si="170"/>
        <v/>
      </c>
      <c r="M1581" s="66" t="str">
        <f t="shared" si="171"/>
        <v/>
      </c>
      <c r="N1581" s="66" t="str">
        <f t="shared" si="172"/>
        <v/>
      </c>
      <c r="O1581" s="66" t="str">
        <f t="shared" si="173"/>
        <v/>
      </c>
      <c r="P1581" s="66" t="str">
        <f t="shared" si="174"/>
        <v/>
      </c>
    </row>
    <row r="1582" spans="8:16">
      <c r="H1582" s="66" t="e">
        <f>IF(LEFT(A1582,6)="CEPNTR","GPINS",VLOOKUP(LEFT(A1582,6),'Code Library'!$A$3:$B$920,2,0))&amp;"_"&amp;RIGHT(A1582,3)</f>
        <v>#N/A</v>
      </c>
      <c r="I1582" s="66">
        <f t="shared" si="168"/>
        <v>0</v>
      </c>
      <c r="K1582" s="66" t="str">
        <f t="shared" si="169"/>
        <v/>
      </c>
      <c r="L1582" s="66" t="str">
        <f t="shared" si="170"/>
        <v/>
      </c>
      <c r="M1582" s="66" t="str">
        <f t="shared" si="171"/>
        <v/>
      </c>
      <c r="N1582" s="66" t="str">
        <f t="shared" si="172"/>
        <v/>
      </c>
      <c r="O1582" s="66" t="str">
        <f t="shared" si="173"/>
        <v/>
      </c>
      <c r="P1582" s="66" t="str">
        <f t="shared" si="174"/>
        <v/>
      </c>
    </row>
    <row r="1583" spans="8:16">
      <c r="H1583" s="66" t="e">
        <f>IF(LEFT(A1583,6)="CEPNTR","GPINS",VLOOKUP(LEFT(A1583,6),'Code Library'!$A$3:$B$920,2,0))&amp;"_"&amp;RIGHT(A1583,3)</f>
        <v>#N/A</v>
      </c>
      <c r="I1583" s="66">
        <f t="shared" si="168"/>
        <v>0</v>
      </c>
      <c r="K1583" s="66" t="str">
        <f t="shared" si="169"/>
        <v/>
      </c>
      <c r="L1583" s="66" t="str">
        <f t="shared" si="170"/>
        <v/>
      </c>
      <c r="M1583" s="66" t="str">
        <f t="shared" si="171"/>
        <v/>
      </c>
      <c r="N1583" s="66" t="str">
        <f t="shared" si="172"/>
        <v/>
      </c>
      <c r="O1583" s="66" t="str">
        <f t="shared" si="173"/>
        <v/>
      </c>
      <c r="P1583" s="66" t="str">
        <f t="shared" si="174"/>
        <v/>
      </c>
    </row>
    <row r="1584" spans="8:16">
      <c r="H1584" s="66" t="e">
        <f>IF(LEFT(A1584,6)="CEPNTR","GPINS",VLOOKUP(LEFT(A1584,6),'Code Library'!$A$3:$B$920,2,0))&amp;"_"&amp;RIGHT(A1584,3)</f>
        <v>#N/A</v>
      </c>
      <c r="I1584" s="66">
        <f t="shared" si="168"/>
        <v>0</v>
      </c>
      <c r="K1584" s="66" t="str">
        <f t="shared" si="169"/>
        <v/>
      </c>
      <c r="L1584" s="66" t="str">
        <f t="shared" si="170"/>
        <v/>
      </c>
      <c r="M1584" s="66" t="str">
        <f t="shared" si="171"/>
        <v/>
      </c>
      <c r="N1584" s="66" t="str">
        <f t="shared" si="172"/>
        <v/>
      </c>
      <c r="O1584" s="66" t="str">
        <f t="shared" si="173"/>
        <v/>
      </c>
      <c r="P1584" s="66" t="str">
        <f t="shared" si="174"/>
        <v/>
      </c>
    </row>
    <row r="1585" spans="8:16">
      <c r="H1585" s="66" t="e">
        <f>IF(LEFT(A1585,6)="CEPNTR","GPINS",VLOOKUP(LEFT(A1585,6),'Code Library'!$A$3:$B$920,2,0))&amp;"_"&amp;RIGHT(A1585,3)</f>
        <v>#N/A</v>
      </c>
      <c r="I1585" s="66">
        <f t="shared" si="168"/>
        <v>0</v>
      </c>
      <c r="K1585" s="66" t="str">
        <f t="shared" si="169"/>
        <v/>
      </c>
      <c r="L1585" s="66" t="str">
        <f t="shared" si="170"/>
        <v/>
      </c>
      <c r="M1585" s="66" t="str">
        <f t="shared" si="171"/>
        <v/>
      </c>
      <c r="N1585" s="66" t="str">
        <f t="shared" si="172"/>
        <v/>
      </c>
      <c r="O1585" s="66" t="str">
        <f t="shared" si="173"/>
        <v/>
      </c>
      <c r="P1585" s="66" t="str">
        <f t="shared" si="174"/>
        <v/>
      </c>
    </row>
    <row r="1586" spans="8:16">
      <c r="H1586" s="66" t="e">
        <f>IF(LEFT(A1586,6)="CEPNTR","GPINS",VLOOKUP(LEFT(A1586,6),'Code Library'!$A$3:$B$920,2,0))&amp;"_"&amp;RIGHT(A1586,3)</f>
        <v>#N/A</v>
      </c>
      <c r="I1586" s="66">
        <f t="shared" si="168"/>
        <v>0</v>
      </c>
      <c r="K1586" s="66" t="str">
        <f t="shared" si="169"/>
        <v/>
      </c>
      <c r="L1586" s="66" t="str">
        <f t="shared" si="170"/>
        <v/>
      </c>
      <c r="M1586" s="66" t="str">
        <f t="shared" si="171"/>
        <v/>
      </c>
      <c r="N1586" s="66" t="str">
        <f t="shared" si="172"/>
        <v/>
      </c>
      <c r="O1586" s="66" t="str">
        <f t="shared" si="173"/>
        <v/>
      </c>
      <c r="P1586" s="66" t="str">
        <f t="shared" si="174"/>
        <v/>
      </c>
    </row>
    <row r="1587" spans="8:16">
      <c r="H1587" s="66" t="e">
        <f>IF(LEFT(A1587,6)="CEPNTR","GPINS",VLOOKUP(LEFT(A1587,6),'Code Library'!$A$3:$B$920,2,0))&amp;"_"&amp;RIGHT(A1587,3)</f>
        <v>#N/A</v>
      </c>
      <c r="I1587" s="66">
        <f t="shared" si="168"/>
        <v>0</v>
      </c>
      <c r="K1587" s="66" t="str">
        <f t="shared" si="169"/>
        <v/>
      </c>
      <c r="L1587" s="66" t="str">
        <f t="shared" si="170"/>
        <v/>
      </c>
      <c r="M1587" s="66" t="str">
        <f t="shared" si="171"/>
        <v/>
      </c>
      <c r="N1587" s="66" t="str">
        <f t="shared" si="172"/>
        <v/>
      </c>
      <c r="O1587" s="66" t="str">
        <f t="shared" si="173"/>
        <v/>
      </c>
      <c r="P1587" s="66" t="str">
        <f t="shared" si="174"/>
        <v/>
      </c>
    </row>
    <row r="1588" spans="8:16">
      <c r="H1588" s="66" t="e">
        <f>IF(LEFT(A1588,6)="CEPNTR","GPINS",VLOOKUP(LEFT(A1588,6),'Code Library'!$A$3:$B$920,2,0))&amp;"_"&amp;RIGHT(A1588,3)</f>
        <v>#N/A</v>
      </c>
      <c r="I1588" s="66">
        <f t="shared" si="168"/>
        <v>0</v>
      </c>
      <c r="K1588" s="66" t="str">
        <f t="shared" si="169"/>
        <v/>
      </c>
      <c r="L1588" s="66" t="str">
        <f t="shared" si="170"/>
        <v/>
      </c>
      <c r="M1588" s="66" t="str">
        <f t="shared" si="171"/>
        <v/>
      </c>
      <c r="N1588" s="66" t="str">
        <f t="shared" si="172"/>
        <v/>
      </c>
      <c r="O1588" s="66" t="str">
        <f t="shared" si="173"/>
        <v/>
      </c>
      <c r="P1588" s="66" t="str">
        <f t="shared" si="174"/>
        <v/>
      </c>
    </row>
    <row r="1589" spans="8:16">
      <c r="H1589" s="66" t="e">
        <f>IF(LEFT(A1589,6)="CEPNTR","GPINS",VLOOKUP(LEFT(A1589,6),'Code Library'!$A$3:$B$920,2,0))&amp;"_"&amp;RIGHT(A1589,3)</f>
        <v>#N/A</v>
      </c>
      <c r="I1589" s="66">
        <f t="shared" si="168"/>
        <v>0</v>
      </c>
      <c r="K1589" s="66" t="str">
        <f t="shared" si="169"/>
        <v/>
      </c>
      <c r="L1589" s="66" t="str">
        <f t="shared" si="170"/>
        <v/>
      </c>
      <c r="M1589" s="66" t="str">
        <f t="shared" si="171"/>
        <v/>
      </c>
      <c r="N1589" s="66" t="str">
        <f t="shared" si="172"/>
        <v/>
      </c>
      <c r="O1589" s="66" t="str">
        <f t="shared" si="173"/>
        <v/>
      </c>
      <c r="P1589" s="66" t="str">
        <f t="shared" si="174"/>
        <v/>
      </c>
    </row>
    <row r="1590" spans="8:16">
      <c r="H1590" s="66" t="e">
        <f>IF(LEFT(A1590,6)="CEPNTR","GPINS",VLOOKUP(LEFT(A1590,6),'Code Library'!$A$3:$B$920,2,0))&amp;"_"&amp;RIGHT(A1590,3)</f>
        <v>#N/A</v>
      </c>
      <c r="I1590" s="66">
        <f t="shared" si="168"/>
        <v>0</v>
      </c>
      <c r="K1590" s="66" t="str">
        <f t="shared" si="169"/>
        <v/>
      </c>
      <c r="L1590" s="66" t="str">
        <f t="shared" si="170"/>
        <v/>
      </c>
      <c r="M1590" s="66" t="str">
        <f t="shared" si="171"/>
        <v/>
      </c>
      <c r="N1590" s="66" t="str">
        <f t="shared" si="172"/>
        <v/>
      </c>
      <c r="O1590" s="66" t="str">
        <f t="shared" si="173"/>
        <v/>
      </c>
      <c r="P1590" s="66" t="str">
        <f t="shared" si="174"/>
        <v/>
      </c>
    </row>
    <row r="1591" spans="8:16">
      <c r="H1591" s="66" t="e">
        <f>IF(LEFT(A1591,6)="CEPNTR","GPINS",VLOOKUP(LEFT(A1591,6),'Code Library'!$A$3:$B$920,2,0))&amp;"_"&amp;RIGHT(A1591,3)</f>
        <v>#N/A</v>
      </c>
      <c r="I1591" s="66">
        <f t="shared" si="168"/>
        <v>0</v>
      </c>
      <c r="K1591" s="66" t="str">
        <f t="shared" si="169"/>
        <v/>
      </c>
      <c r="L1591" s="66" t="str">
        <f t="shared" si="170"/>
        <v/>
      </c>
      <c r="M1591" s="66" t="str">
        <f t="shared" si="171"/>
        <v/>
      </c>
      <c r="N1591" s="66" t="str">
        <f t="shared" si="172"/>
        <v/>
      </c>
      <c r="O1591" s="66" t="str">
        <f t="shared" si="173"/>
        <v/>
      </c>
      <c r="P1591" s="66" t="str">
        <f t="shared" si="174"/>
        <v/>
      </c>
    </row>
    <row r="1592" spans="8:16">
      <c r="H1592" s="66" t="e">
        <f>IF(LEFT(A1592,6)="CEPNTR","GPINS",VLOOKUP(LEFT(A1592,6),'Code Library'!$A$3:$B$920,2,0))&amp;"_"&amp;RIGHT(A1592,3)</f>
        <v>#N/A</v>
      </c>
      <c r="I1592" s="66">
        <f t="shared" si="168"/>
        <v>0</v>
      </c>
      <c r="K1592" s="66" t="str">
        <f t="shared" si="169"/>
        <v/>
      </c>
      <c r="L1592" s="66" t="str">
        <f t="shared" si="170"/>
        <v/>
      </c>
      <c r="M1592" s="66" t="str">
        <f t="shared" si="171"/>
        <v/>
      </c>
      <c r="N1592" s="66" t="str">
        <f t="shared" si="172"/>
        <v/>
      </c>
      <c r="O1592" s="66" t="str">
        <f t="shared" si="173"/>
        <v/>
      </c>
      <c r="P1592" s="66" t="str">
        <f t="shared" si="174"/>
        <v/>
      </c>
    </row>
    <row r="1593" spans="8:16">
      <c r="H1593" s="66" t="e">
        <f>IF(LEFT(A1593,6)="CEPNTR","GPINS",VLOOKUP(LEFT(A1593,6),'Code Library'!$A$3:$B$920,2,0))&amp;"_"&amp;RIGHT(A1593,3)</f>
        <v>#N/A</v>
      </c>
      <c r="I1593" s="66">
        <f t="shared" si="168"/>
        <v>0</v>
      </c>
      <c r="K1593" s="66" t="str">
        <f t="shared" si="169"/>
        <v/>
      </c>
      <c r="L1593" s="66" t="str">
        <f t="shared" si="170"/>
        <v/>
      </c>
      <c r="M1593" s="66" t="str">
        <f t="shared" si="171"/>
        <v/>
      </c>
      <c r="N1593" s="66" t="str">
        <f t="shared" si="172"/>
        <v/>
      </c>
      <c r="O1593" s="66" t="str">
        <f t="shared" si="173"/>
        <v/>
      </c>
      <c r="P1593" s="66" t="str">
        <f t="shared" si="174"/>
        <v/>
      </c>
    </row>
    <row r="1594" spans="8:16">
      <c r="H1594" s="66" t="e">
        <f>IF(LEFT(A1594,6)="CEPNTR","GPINS",VLOOKUP(LEFT(A1594,6),'Code Library'!$A$3:$B$920,2,0))&amp;"_"&amp;RIGHT(A1594,3)</f>
        <v>#N/A</v>
      </c>
      <c r="I1594" s="66">
        <f t="shared" si="168"/>
        <v>0</v>
      </c>
      <c r="K1594" s="66" t="str">
        <f t="shared" si="169"/>
        <v/>
      </c>
      <c r="L1594" s="66" t="str">
        <f t="shared" si="170"/>
        <v/>
      </c>
      <c r="M1594" s="66" t="str">
        <f t="shared" si="171"/>
        <v/>
      </c>
      <c r="N1594" s="66" t="str">
        <f t="shared" si="172"/>
        <v/>
      </c>
      <c r="O1594" s="66" t="str">
        <f t="shared" si="173"/>
        <v/>
      </c>
      <c r="P1594" s="66" t="str">
        <f t="shared" si="174"/>
        <v/>
      </c>
    </row>
    <row r="1595" spans="8:16">
      <c r="H1595" s="66" t="e">
        <f>IF(LEFT(A1595,6)="CEPNTR","GPINS",VLOOKUP(LEFT(A1595,6),'Code Library'!$A$3:$B$920,2,0))&amp;"_"&amp;RIGHT(A1595,3)</f>
        <v>#N/A</v>
      </c>
      <c r="I1595" s="66">
        <f t="shared" si="168"/>
        <v>0</v>
      </c>
      <c r="K1595" s="66" t="str">
        <f t="shared" si="169"/>
        <v/>
      </c>
      <c r="L1595" s="66" t="str">
        <f t="shared" si="170"/>
        <v/>
      </c>
      <c r="M1595" s="66" t="str">
        <f t="shared" si="171"/>
        <v/>
      </c>
      <c r="N1595" s="66" t="str">
        <f t="shared" si="172"/>
        <v/>
      </c>
      <c r="O1595" s="66" t="str">
        <f t="shared" si="173"/>
        <v/>
      </c>
      <c r="P1595" s="66" t="str">
        <f t="shared" si="174"/>
        <v/>
      </c>
    </row>
    <row r="1596" spans="8:16">
      <c r="H1596" s="66" t="e">
        <f>IF(LEFT(A1596,6)="CEPNTR","GPINS",VLOOKUP(LEFT(A1596,6),'Code Library'!$A$3:$B$920,2,0))&amp;"_"&amp;RIGHT(A1596,3)</f>
        <v>#N/A</v>
      </c>
      <c r="I1596" s="66">
        <f t="shared" si="168"/>
        <v>0</v>
      </c>
      <c r="K1596" s="66" t="str">
        <f t="shared" si="169"/>
        <v/>
      </c>
      <c r="L1596" s="66" t="str">
        <f t="shared" si="170"/>
        <v/>
      </c>
      <c r="M1596" s="66" t="str">
        <f t="shared" si="171"/>
        <v/>
      </c>
      <c r="N1596" s="66" t="str">
        <f t="shared" si="172"/>
        <v/>
      </c>
      <c r="O1596" s="66" t="str">
        <f t="shared" si="173"/>
        <v/>
      </c>
      <c r="P1596" s="66" t="str">
        <f t="shared" si="174"/>
        <v/>
      </c>
    </row>
    <row r="1597" spans="8:16">
      <c r="H1597" s="66" t="e">
        <f>IF(LEFT(A1597,6)="CEPNTR","GPINS",VLOOKUP(LEFT(A1597,6),'Code Library'!$A$3:$B$920,2,0))&amp;"_"&amp;RIGHT(A1597,3)</f>
        <v>#N/A</v>
      </c>
      <c r="I1597" s="66">
        <f t="shared" si="168"/>
        <v>0</v>
      </c>
      <c r="K1597" s="66" t="str">
        <f t="shared" si="169"/>
        <v/>
      </c>
      <c r="L1597" s="66" t="str">
        <f t="shared" si="170"/>
        <v/>
      </c>
      <c r="M1597" s="66" t="str">
        <f t="shared" si="171"/>
        <v/>
      </c>
      <c r="N1597" s="66" t="str">
        <f t="shared" si="172"/>
        <v/>
      </c>
      <c r="O1597" s="66" t="str">
        <f t="shared" si="173"/>
        <v/>
      </c>
      <c r="P1597" s="66" t="str">
        <f t="shared" si="174"/>
        <v/>
      </c>
    </row>
    <row r="1598" spans="8:16">
      <c r="H1598" s="66" t="e">
        <f>IF(LEFT(A1598,6)="CEPNTR","GPINS",VLOOKUP(LEFT(A1598,6),'Code Library'!$A$3:$B$920,2,0))&amp;"_"&amp;RIGHT(A1598,3)</f>
        <v>#N/A</v>
      </c>
      <c r="I1598" s="66">
        <f t="shared" si="168"/>
        <v>0</v>
      </c>
      <c r="K1598" s="66" t="str">
        <f t="shared" si="169"/>
        <v/>
      </c>
      <c r="L1598" s="66" t="str">
        <f t="shared" si="170"/>
        <v/>
      </c>
      <c r="M1598" s="66" t="str">
        <f t="shared" si="171"/>
        <v/>
      </c>
      <c r="N1598" s="66" t="str">
        <f t="shared" si="172"/>
        <v/>
      </c>
      <c r="O1598" s="66" t="str">
        <f t="shared" si="173"/>
        <v/>
      </c>
      <c r="P1598" s="66" t="str">
        <f t="shared" si="174"/>
        <v/>
      </c>
    </row>
    <row r="1599" spans="8:16">
      <c r="H1599" s="66" t="e">
        <f>IF(LEFT(A1599,6)="CEPNTR","GPINS",VLOOKUP(LEFT(A1599,6),'Code Library'!$A$3:$B$920,2,0))&amp;"_"&amp;RIGHT(A1599,3)</f>
        <v>#N/A</v>
      </c>
      <c r="I1599" s="66">
        <f t="shared" si="168"/>
        <v>0</v>
      </c>
      <c r="K1599" s="66" t="str">
        <f t="shared" si="169"/>
        <v/>
      </c>
      <c r="L1599" s="66" t="str">
        <f t="shared" si="170"/>
        <v/>
      </c>
      <c r="M1599" s="66" t="str">
        <f t="shared" si="171"/>
        <v/>
      </c>
      <c r="N1599" s="66" t="str">
        <f t="shared" si="172"/>
        <v/>
      </c>
      <c r="O1599" s="66" t="str">
        <f t="shared" si="173"/>
        <v/>
      </c>
      <c r="P1599" s="66" t="str">
        <f t="shared" si="174"/>
        <v/>
      </c>
    </row>
    <row r="1600" spans="8:16">
      <c r="H1600" s="66" t="e">
        <f>IF(LEFT(A1600,6)="CEPNTR","GPINS",VLOOKUP(LEFT(A1600,6),'Code Library'!$A$3:$B$920,2,0))&amp;"_"&amp;RIGHT(A1600,3)</f>
        <v>#N/A</v>
      </c>
      <c r="I1600" s="66">
        <f t="shared" si="168"/>
        <v>0</v>
      </c>
      <c r="K1600" s="66" t="str">
        <f t="shared" si="169"/>
        <v/>
      </c>
      <c r="L1600" s="66" t="str">
        <f t="shared" si="170"/>
        <v/>
      </c>
      <c r="M1600" s="66" t="str">
        <f t="shared" si="171"/>
        <v/>
      </c>
      <c r="N1600" s="66" t="str">
        <f t="shared" si="172"/>
        <v/>
      </c>
      <c r="O1600" s="66" t="str">
        <f t="shared" si="173"/>
        <v/>
      </c>
      <c r="P1600" s="66" t="str">
        <f t="shared" si="174"/>
        <v/>
      </c>
    </row>
    <row r="1601" spans="8:16">
      <c r="H1601" s="66" t="e">
        <f>IF(LEFT(A1601,6)="CEPNTR","GPINS",VLOOKUP(LEFT(A1601,6),'Code Library'!$A$3:$B$920,2,0))&amp;"_"&amp;RIGHT(A1601,3)</f>
        <v>#N/A</v>
      </c>
      <c r="I1601" s="66">
        <f t="shared" si="168"/>
        <v>0</v>
      </c>
      <c r="K1601" s="66" t="str">
        <f t="shared" si="169"/>
        <v/>
      </c>
      <c r="L1601" s="66" t="str">
        <f t="shared" si="170"/>
        <v/>
      </c>
      <c r="M1601" s="66" t="str">
        <f t="shared" si="171"/>
        <v/>
      </c>
      <c r="N1601" s="66" t="str">
        <f t="shared" si="172"/>
        <v/>
      </c>
      <c r="O1601" s="66" t="str">
        <f t="shared" si="173"/>
        <v/>
      </c>
      <c r="P1601" s="66" t="str">
        <f t="shared" si="174"/>
        <v/>
      </c>
    </row>
    <row r="1602" spans="8:16">
      <c r="H1602" s="66" t="e">
        <f>IF(LEFT(A1602,6)="CEPNTR","GPINS",VLOOKUP(LEFT(A1602,6),'Code Library'!$A$3:$B$920,2,0))&amp;"_"&amp;RIGHT(A1602,3)</f>
        <v>#N/A</v>
      </c>
      <c r="I1602" s="66">
        <f t="shared" si="168"/>
        <v>0</v>
      </c>
      <c r="K1602" s="66" t="str">
        <f t="shared" si="169"/>
        <v/>
      </c>
      <c r="L1602" s="66" t="str">
        <f t="shared" si="170"/>
        <v/>
      </c>
      <c r="M1602" s="66" t="str">
        <f t="shared" si="171"/>
        <v/>
      </c>
      <c r="N1602" s="66" t="str">
        <f t="shared" si="172"/>
        <v/>
      </c>
      <c r="O1602" s="66" t="str">
        <f t="shared" si="173"/>
        <v/>
      </c>
      <c r="P1602" s="66" t="str">
        <f t="shared" si="174"/>
        <v/>
      </c>
    </row>
    <row r="1603" spans="8:16">
      <c r="H1603" s="66" t="e">
        <f>IF(LEFT(A1603,6)="CEPNTR","GPINS",VLOOKUP(LEFT(A1603,6),'Code Library'!$A$3:$B$920,2,0))&amp;"_"&amp;RIGHT(A1603,3)</f>
        <v>#N/A</v>
      </c>
      <c r="I1603" s="66">
        <f t="shared" ref="I1603:I1666" si="175">A1603</f>
        <v>0</v>
      </c>
      <c r="K1603" s="66" t="str">
        <f t="shared" ref="K1603:K1666" si="176">RIGHT($B1603,2)</f>
        <v/>
      </c>
      <c r="L1603" s="66" t="str">
        <f t="shared" ref="L1603:L1666" si="177">LEFT(RIGHT($B1603,7),4)</f>
        <v/>
      </c>
      <c r="M1603" s="66" t="str">
        <f t="shared" ref="M1603:M1666" si="178">LEFT(RIGHT($B1603,10),2)</f>
        <v/>
      </c>
      <c r="N1603" s="66" t="str">
        <f t="shared" ref="N1603:N1666" si="179">LEFT(RIGHT($B1603,14),3)</f>
        <v/>
      </c>
      <c r="O1603" s="66" t="str">
        <f t="shared" ref="O1603:O1666" si="180">LEFT(RIGHT($B1603,16),1)</f>
        <v/>
      </c>
      <c r="P1603" s="66" t="str">
        <f t="shared" ref="P1603:P1666" si="181">LEFT(RIGHT($B1603,19),2)</f>
        <v/>
      </c>
    </row>
    <row r="1604" spans="8:16">
      <c r="H1604" s="66" t="e">
        <f>IF(LEFT(A1604,6)="CEPNTR","GPINS",VLOOKUP(LEFT(A1604,6),'Code Library'!$A$3:$B$920,2,0))&amp;"_"&amp;RIGHT(A1604,3)</f>
        <v>#N/A</v>
      </c>
      <c r="I1604" s="66">
        <f t="shared" si="175"/>
        <v>0</v>
      </c>
      <c r="K1604" s="66" t="str">
        <f t="shared" si="176"/>
        <v/>
      </c>
      <c r="L1604" s="66" t="str">
        <f t="shared" si="177"/>
        <v/>
      </c>
      <c r="M1604" s="66" t="str">
        <f t="shared" si="178"/>
        <v/>
      </c>
      <c r="N1604" s="66" t="str">
        <f t="shared" si="179"/>
        <v/>
      </c>
      <c r="O1604" s="66" t="str">
        <f t="shared" si="180"/>
        <v/>
      </c>
      <c r="P1604" s="66" t="str">
        <f t="shared" si="181"/>
        <v/>
      </c>
    </row>
    <row r="1605" spans="8:16">
      <c r="H1605" s="66" t="e">
        <f>IF(LEFT(A1605,6)="CEPNTR","GPINS",VLOOKUP(LEFT(A1605,6),'Code Library'!$A$3:$B$920,2,0))&amp;"_"&amp;RIGHT(A1605,3)</f>
        <v>#N/A</v>
      </c>
      <c r="I1605" s="66">
        <f t="shared" si="175"/>
        <v>0</v>
      </c>
      <c r="K1605" s="66" t="str">
        <f t="shared" si="176"/>
        <v/>
      </c>
      <c r="L1605" s="66" t="str">
        <f t="shared" si="177"/>
        <v/>
      </c>
      <c r="M1605" s="66" t="str">
        <f t="shared" si="178"/>
        <v/>
      </c>
      <c r="N1605" s="66" t="str">
        <f t="shared" si="179"/>
        <v/>
      </c>
      <c r="O1605" s="66" t="str">
        <f t="shared" si="180"/>
        <v/>
      </c>
      <c r="P1605" s="66" t="str">
        <f t="shared" si="181"/>
        <v/>
      </c>
    </row>
    <row r="1606" spans="8:16">
      <c r="H1606" s="66" t="e">
        <f>IF(LEFT(A1606,6)="CEPNTR","GPINS",VLOOKUP(LEFT(A1606,6),'Code Library'!$A$3:$B$920,2,0))&amp;"_"&amp;RIGHT(A1606,3)</f>
        <v>#N/A</v>
      </c>
      <c r="I1606" s="66">
        <f t="shared" si="175"/>
        <v>0</v>
      </c>
      <c r="K1606" s="66" t="str">
        <f t="shared" si="176"/>
        <v/>
      </c>
      <c r="L1606" s="66" t="str">
        <f t="shared" si="177"/>
        <v/>
      </c>
      <c r="M1606" s="66" t="str">
        <f t="shared" si="178"/>
        <v/>
      </c>
      <c r="N1606" s="66" t="str">
        <f t="shared" si="179"/>
        <v/>
      </c>
      <c r="O1606" s="66" t="str">
        <f t="shared" si="180"/>
        <v/>
      </c>
      <c r="P1606" s="66" t="str">
        <f t="shared" si="181"/>
        <v/>
      </c>
    </row>
    <row r="1607" spans="8:16">
      <c r="H1607" s="66" t="e">
        <f>IF(LEFT(A1607,6)="CEPNTR","GPINS",VLOOKUP(LEFT(A1607,6),'Code Library'!$A$3:$B$920,2,0))&amp;"_"&amp;RIGHT(A1607,3)</f>
        <v>#N/A</v>
      </c>
      <c r="I1607" s="66">
        <f t="shared" si="175"/>
        <v>0</v>
      </c>
      <c r="K1607" s="66" t="str">
        <f t="shared" si="176"/>
        <v/>
      </c>
      <c r="L1607" s="66" t="str">
        <f t="shared" si="177"/>
        <v/>
      </c>
      <c r="M1607" s="66" t="str">
        <f t="shared" si="178"/>
        <v/>
      </c>
      <c r="N1607" s="66" t="str">
        <f t="shared" si="179"/>
        <v/>
      </c>
      <c r="O1607" s="66" t="str">
        <f t="shared" si="180"/>
        <v/>
      </c>
      <c r="P1607" s="66" t="str">
        <f t="shared" si="181"/>
        <v/>
      </c>
    </row>
    <row r="1608" spans="8:16">
      <c r="H1608" s="66" t="e">
        <f>IF(LEFT(A1608,6)="CEPNTR","GPINS",VLOOKUP(LEFT(A1608,6),'Code Library'!$A$3:$B$920,2,0))&amp;"_"&amp;RIGHT(A1608,3)</f>
        <v>#N/A</v>
      </c>
      <c r="I1608" s="66">
        <f t="shared" si="175"/>
        <v>0</v>
      </c>
      <c r="K1608" s="66" t="str">
        <f t="shared" si="176"/>
        <v/>
      </c>
      <c r="L1608" s="66" t="str">
        <f t="shared" si="177"/>
        <v/>
      </c>
      <c r="M1608" s="66" t="str">
        <f t="shared" si="178"/>
        <v/>
      </c>
      <c r="N1608" s="66" t="str">
        <f t="shared" si="179"/>
        <v/>
      </c>
      <c r="O1608" s="66" t="str">
        <f t="shared" si="180"/>
        <v/>
      </c>
      <c r="P1608" s="66" t="str">
        <f t="shared" si="181"/>
        <v/>
      </c>
    </row>
    <row r="1609" spans="8:16">
      <c r="H1609" s="66" t="e">
        <f>IF(LEFT(A1609,6)="CEPNTR","GPINS",VLOOKUP(LEFT(A1609,6),'Code Library'!$A$3:$B$920,2,0))&amp;"_"&amp;RIGHT(A1609,3)</f>
        <v>#N/A</v>
      </c>
      <c r="I1609" s="66">
        <f t="shared" si="175"/>
        <v>0</v>
      </c>
      <c r="K1609" s="66" t="str">
        <f t="shared" si="176"/>
        <v/>
      </c>
      <c r="L1609" s="66" t="str">
        <f t="shared" si="177"/>
        <v/>
      </c>
      <c r="M1609" s="66" t="str">
        <f t="shared" si="178"/>
        <v/>
      </c>
      <c r="N1609" s="66" t="str">
        <f t="shared" si="179"/>
        <v/>
      </c>
      <c r="O1609" s="66" t="str">
        <f t="shared" si="180"/>
        <v/>
      </c>
      <c r="P1609" s="66" t="str">
        <f t="shared" si="181"/>
        <v/>
      </c>
    </row>
    <row r="1610" spans="8:16">
      <c r="H1610" s="66" t="e">
        <f>IF(LEFT(A1610,6)="CEPNTR","GPINS",VLOOKUP(LEFT(A1610,6),'Code Library'!$A$3:$B$920,2,0))&amp;"_"&amp;RIGHT(A1610,3)</f>
        <v>#N/A</v>
      </c>
      <c r="I1610" s="66">
        <f t="shared" si="175"/>
        <v>0</v>
      </c>
      <c r="K1610" s="66" t="str">
        <f t="shared" si="176"/>
        <v/>
      </c>
      <c r="L1610" s="66" t="str">
        <f t="shared" si="177"/>
        <v/>
      </c>
      <c r="M1610" s="66" t="str">
        <f t="shared" si="178"/>
        <v/>
      </c>
      <c r="N1610" s="66" t="str">
        <f t="shared" si="179"/>
        <v/>
      </c>
      <c r="O1610" s="66" t="str">
        <f t="shared" si="180"/>
        <v/>
      </c>
      <c r="P1610" s="66" t="str">
        <f t="shared" si="181"/>
        <v/>
      </c>
    </row>
    <row r="1611" spans="8:16">
      <c r="H1611" s="66" t="e">
        <f>IF(LEFT(A1611,6)="CEPNTR","GPINS",VLOOKUP(LEFT(A1611,6),'Code Library'!$A$3:$B$920,2,0))&amp;"_"&amp;RIGHT(A1611,3)</f>
        <v>#N/A</v>
      </c>
      <c r="I1611" s="66">
        <f t="shared" si="175"/>
        <v>0</v>
      </c>
      <c r="K1611" s="66" t="str">
        <f t="shared" si="176"/>
        <v/>
      </c>
      <c r="L1611" s="66" t="str">
        <f t="shared" si="177"/>
        <v/>
      </c>
      <c r="M1611" s="66" t="str">
        <f t="shared" si="178"/>
        <v/>
      </c>
      <c r="N1611" s="66" t="str">
        <f t="shared" si="179"/>
        <v/>
      </c>
      <c r="O1611" s="66" t="str">
        <f t="shared" si="180"/>
        <v/>
      </c>
      <c r="P1611" s="66" t="str">
        <f t="shared" si="181"/>
        <v/>
      </c>
    </row>
    <row r="1612" spans="8:16">
      <c r="H1612" s="66" t="e">
        <f>IF(LEFT(A1612,6)="CEPNTR","GPINS",VLOOKUP(LEFT(A1612,6),'Code Library'!$A$3:$B$920,2,0))&amp;"_"&amp;RIGHT(A1612,3)</f>
        <v>#N/A</v>
      </c>
      <c r="I1612" s="66">
        <f t="shared" si="175"/>
        <v>0</v>
      </c>
      <c r="K1612" s="66" t="str">
        <f t="shared" si="176"/>
        <v/>
      </c>
      <c r="L1612" s="66" t="str">
        <f t="shared" si="177"/>
        <v/>
      </c>
      <c r="M1612" s="66" t="str">
        <f t="shared" si="178"/>
        <v/>
      </c>
      <c r="N1612" s="66" t="str">
        <f t="shared" si="179"/>
        <v/>
      </c>
      <c r="O1612" s="66" t="str">
        <f t="shared" si="180"/>
        <v/>
      </c>
      <c r="P1612" s="66" t="str">
        <f t="shared" si="181"/>
        <v/>
      </c>
    </row>
    <row r="1613" spans="8:16">
      <c r="H1613" s="66" t="e">
        <f>IF(LEFT(A1613,6)="CEPNTR","GPINS",VLOOKUP(LEFT(A1613,6),'Code Library'!$A$3:$B$920,2,0))&amp;"_"&amp;RIGHT(A1613,3)</f>
        <v>#N/A</v>
      </c>
      <c r="I1613" s="66">
        <f t="shared" si="175"/>
        <v>0</v>
      </c>
      <c r="K1613" s="66" t="str">
        <f t="shared" si="176"/>
        <v/>
      </c>
      <c r="L1613" s="66" t="str">
        <f t="shared" si="177"/>
        <v/>
      </c>
      <c r="M1613" s="66" t="str">
        <f t="shared" si="178"/>
        <v/>
      </c>
      <c r="N1613" s="66" t="str">
        <f t="shared" si="179"/>
        <v/>
      </c>
      <c r="O1613" s="66" t="str">
        <f t="shared" si="180"/>
        <v/>
      </c>
      <c r="P1613" s="66" t="str">
        <f t="shared" si="181"/>
        <v/>
      </c>
    </row>
    <row r="1614" spans="8:16">
      <c r="H1614" s="66" t="e">
        <f>IF(LEFT(A1614,6)="CEPNTR","GPINS",VLOOKUP(LEFT(A1614,6),'Code Library'!$A$3:$B$920,2,0))&amp;"_"&amp;RIGHT(A1614,3)</f>
        <v>#N/A</v>
      </c>
      <c r="I1614" s="66">
        <f t="shared" si="175"/>
        <v>0</v>
      </c>
      <c r="K1614" s="66" t="str">
        <f t="shared" si="176"/>
        <v/>
      </c>
      <c r="L1614" s="66" t="str">
        <f t="shared" si="177"/>
        <v/>
      </c>
      <c r="M1614" s="66" t="str">
        <f t="shared" si="178"/>
        <v/>
      </c>
      <c r="N1614" s="66" t="str">
        <f t="shared" si="179"/>
        <v/>
      </c>
      <c r="O1614" s="66" t="str">
        <f t="shared" si="180"/>
        <v/>
      </c>
      <c r="P1614" s="66" t="str">
        <f t="shared" si="181"/>
        <v/>
      </c>
    </row>
    <row r="1615" spans="8:16">
      <c r="H1615" s="66" t="e">
        <f>IF(LEFT(A1615,6)="CEPNTR","GPINS",VLOOKUP(LEFT(A1615,6),'Code Library'!$A$3:$B$920,2,0))&amp;"_"&amp;RIGHT(A1615,3)</f>
        <v>#N/A</v>
      </c>
      <c r="I1615" s="66">
        <f t="shared" si="175"/>
        <v>0</v>
      </c>
      <c r="K1615" s="66" t="str">
        <f t="shared" si="176"/>
        <v/>
      </c>
      <c r="L1615" s="66" t="str">
        <f t="shared" si="177"/>
        <v/>
      </c>
      <c r="M1615" s="66" t="str">
        <f t="shared" si="178"/>
        <v/>
      </c>
      <c r="N1615" s="66" t="str">
        <f t="shared" si="179"/>
        <v/>
      </c>
      <c r="O1615" s="66" t="str">
        <f t="shared" si="180"/>
        <v/>
      </c>
      <c r="P1615" s="66" t="str">
        <f t="shared" si="181"/>
        <v/>
      </c>
    </row>
    <row r="1616" spans="8:16">
      <c r="H1616" s="66" t="e">
        <f>IF(LEFT(A1616,6)="CEPNTR","GPINS",VLOOKUP(LEFT(A1616,6),'Code Library'!$A$3:$B$920,2,0))&amp;"_"&amp;RIGHT(A1616,3)</f>
        <v>#N/A</v>
      </c>
      <c r="I1616" s="66">
        <f t="shared" si="175"/>
        <v>0</v>
      </c>
      <c r="K1616" s="66" t="str">
        <f t="shared" si="176"/>
        <v/>
      </c>
      <c r="L1616" s="66" t="str">
        <f t="shared" si="177"/>
        <v/>
      </c>
      <c r="M1616" s="66" t="str">
        <f t="shared" si="178"/>
        <v/>
      </c>
      <c r="N1616" s="66" t="str">
        <f t="shared" si="179"/>
        <v/>
      </c>
      <c r="O1616" s="66" t="str">
        <f t="shared" si="180"/>
        <v/>
      </c>
      <c r="P1616" s="66" t="str">
        <f t="shared" si="181"/>
        <v/>
      </c>
    </row>
    <row r="1617" spans="8:16">
      <c r="H1617" s="66" t="e">
        <f>IF(LEFT(A1617,6)="CEPNTR","GPINS",VLOOKUP(LEFT(A1617,6),'Code Library'!$A$3:$B$920,2,0))&amp;"_"&amp;RIGHT(A1617,3)</f>
        <v>#N/A</v>
      </c>
      <c r="I1617" s="66">
        <f t="shared" si="175"/>
        <v>0</v>
      </c>
      <c r="K1617" s="66" t="str">
        <f t="shared" si="176"/>
        <v/>
      </c>
      <c r="L1617" s="66" t="str">
        <f t="shared" si="177"/>
        <v/>
      </c>
      <c r="M1617" s="66" t="str">
        <f t="shared" si="178"/>
        <v/>
      </c>
      <c r="N1617" s="66" t="str">
        <f t="shared" si="179"/>
        <v/>
      </c>
      <c r="O1617" s="66" t="str">
        <f t="shared" si="180"/>
        <v/>
      </c>
      <c r="P1617" s="66" t="str">
        <f t="shared" si="181"/>
        <v/>
      </c>
    </row>
    <row r="1618" spans="8:16">
      <c r="H1618" s="66" t="e">
        <f>IF(LEFT(A1618,6)="CEPNTR","GPINS",VLOOKUP(LEFT(A1618,6),'Code Library'!$A$3:$B$920,2,0))&amp;"_"&amp;RIGHT(A1618,3)</f>
        <v>#N/A</v>
      </c>
      <c r="I1618" s="66">
        <f t="shared" si="175"/>
        <v>0</v>
      </c>
      <c r="K1618" s="66" t="str">
        <f t="shared" si="176"/>
        <v/>
      </c>
      <c r="L1618" s="66" t="str">
        <f t="shared" si="177"/>
        <v/>
      </c>
      <c r="M1618" s="66" t="str">
        <f t="shared" si="178"/>
        <v/>
      </c>
      <c r="N1618" s="66" t="str">
        <f t="shared" si="179"/>
        <v/>
      </c>
      <c r="O1618" s="66" t="str">
        <f t="shared" si="180"/>
        <v/>
      </c>
      <c r="P1618" s="66" t="str">
        <f t="shared" si="181"/>
        <v/>
      </c>
    </row>
    <row r="1619" spans="8:16">
      <c r="H1619" s="66" t="e">
        <f>IF(LEFT(A1619,6)="CEPNTR","GPINS",VLOOKUP(LEFT(A1619,6),'Code Library'!$A$3:$B$920,2,0))&amp;"_"&amp;RIGHT(A1619,3)</f>
        <v>#N/A</v>
      </c>
      <c r="I1619" s="66">
        <f t="shared" si="175"/>
        <v>0</v>
      </c>
      <c r="K1619" s="66" t="str">
        <f t="shared" si="176"/>
        <v/>
      </c>
      <c r="L1619" s="66" t="str">
        <f t="shared" si="177"/>
        <v/>
      </c>
      <c r="M1619" s="66" t="str">
        <f t="shared" si="178"/>
        <v/>
      </c>
      <c r="N1619" s="66" t="str">
        <f t="shared" si="179"/>
        <v/>
      </c>
      <c r="O1619" s="66" t="str">
        <f t="shared" si="180"/>
        <v/>
      </c>
      <c r="P1619" s="66" t="str">
        <f t="shared" si="181"/>
        <v/>
      </c>
    </row>
    <row r="1620" spans="8:16">
      <c r="H1620" s="66" t="e">
        <f>IF(LEFT(A1620,6)="CEPNTR","GPINS",VLOOKUP(LEFT(A1620,6),'Code Library'!$A$3:$B$920,2,0))&amp;"_"&amp;RIGHT(A1620,3)</f>
        <v>#N/A</v>
      </c>
      <c r="I1620" s="66">
        <f t="shared" si="175"/>
        <v>0</v>
      </c>
      <c r="K1620" s="66" t="str">
        <f t="shared" si="176"/>
        <v/>
      </c>
      <c r="L1620" s="66" t="str">
        <f t="shared" si="177"/>
        <v/>
      </c>
      <c r="M1620" s="66" t="str">
        <f t="shared" si="178"/>
        <v/>
      </c>
      <c r="N1620" s="66" t="str">
        <f t="shared" si="179"/>
        <v/>
      </c>
      <c r="O1620" s="66" t="str">
        <f t="shared" si="180"/>
        <v/>
      </c>
      <c r="P1620" s="66" t="str">
        <f t="shared" si="181"/>
        <v/>
      </c>
    </row>
    <row r="1621" spans="8:16">
      <c r="H1621" s="66" t="e">
        <f>IF(LEFT(A1621,6)="CEPNTR","GPINS",VLOOKUP(LEFT(A1621,6),'Code Library'!$A$3:$B$920,2,0))&amp;"_"&amp;RIGHT(A1621,3)</f>
        <v>#N/A</v>
      </c>
      <c r="I1621" s="66">
        <f t="shared" si="175"/>
        <v>0</v>
      </c>
      <c r="K1621" s="66" t="str">
        <f t="shared" si="176"/>
        <v/>
      </c>
      <c r="L1621" s="66" t="str">
        <f t="shared" si="177"/>
        <v/>
      </c>
      <c r="M1621" s="66" t="str">
        <f t="shared" si="178"/>
        <v/>
      </c>
      <c r="N1621" s="66" t="str">
        <f t="shared" si="179"/>
        <v/>
      </c>
      <c r="O1621" s="66" t="str">
        <f t="shared" si="180"/>
        <v/>
      </c>
      <c r="P1621" s="66" t="str">
        <f t="shared" si="181"/>
        <v/>
      </c>
    </row>
    <row r="1622" spans="8:16">
      <c r="H1622" s="66" t="e">
        <f>IF(LEFT(A1622,6)="CEPNTR","GPINS",VLOOKUP(LEFT(A1622,6),'Code Library'!$A$3:$B$920,2,0))&amp;"_"&amp;RIGHT(A1622,3)</f>
        <v>#N/A</v>
      </c>
      <c r="I1622" s="66">
        <f t="shared" si="175"/>
        <v>0</v>
      </c>
      <c r="K1622" s="66" t="str">
        <f t="shared" si="176"/>
        <v/>
      </c>
      <c r="L1622" s="66" t="str">
        <f t="shared" si="177"/>
        <v/>
      </c>
      <c r="M1622" s="66" t="str">
        <f t="shared" si="178"/>
        <v/>
      </c>
      <c r="N1622" s="66" t="str">
        <f t="shared" si="179"/>
        <v/>
      </c>
      <c r="O1622" s="66" t="str">
        <f t="shared" si="180"/>
        <v/>
      </c>
      <c r="P1622" s="66" t="str">
        <f t="shared" si="181"/>
        <v/>
      </c>
    </row>
    <row r="1623" spans="8:16">
      <c r="H1623" s="66" t="e">
        <f>IF(LEFT(A1623,6)="CEPNTR","GPINS",VLOOKUP(LEFT(A1623,6),'Code Library'!$A$3:$B$920,2,0))&amp;"_"&amp;RIGHT(A1623,3)</f>
        <v>#N/A</v>
      </c>
      <c r="I1623" s="66">
        <f t="shared" si="175"/>
        <v>0</v>
      </c>
      <c r="K1623" s="66" t="str">
        <f t="shared" si="176"/>
        <v/>
      </c>
      <c r="L1623" s="66" t="str">
        <f t="shared" si="177"/>
        <v/>
      </c>
      <c r="M1623" s="66" t="str">
        <f t="shared" si="178"/>
        <v/>
      </c>
      <c r="N1623" s="66" t="str">
        <f t="shared" si="179"/>
        <v/>
      </c>
      <c r="O1623" s="66" t="str">
        <f t="shared" si="180"/>
        <v/>
      </c>
      <c r="P1623" s="66" t="str">
        <f t="shared" si="181"/>
        <v/>
      </c>
    </row>
    <row r="1624" spans="8:16">
      <c r="H1624" s="66" t="e">
        <f>IF(LEFT(A1624,6)="CEPNTR","GPINS",VLOOKUP(LEFT(A1624,6),'Code Library'!$A$3:$B$920,2,0))&amp;"_"&amp;RIGHT(A1624,3)</f>
        <v>#N/A</v>
      </c>
      <c r="I1624" s="66">
        <f t="shared" si="175"/>
        <v>0</v>
      </c>
      <c r="K1624" s="66" t="str">
        <f t="shared" si="176"/>
        <v/>
      </c>
      <c r="L1624" s="66" t="str">
        <f t="shared" si="177"/>
        <v/>
      </c>
      <c r="M1624" s="66" t="str">
        <f t="shared" si="178"/>
        <v/>
      </c>
      <c r="N1624" s="66" t="str">
        <f t="shared" si="179"/>
        <v/>
      </c>
      <c r="O1624" s="66" t="str">
        <f t="shared" si="180"/>
        <v/>
      </c>
      <c r="P1624" s="66" t="str">
        <f t="shared" si="181"/>
        <v/>
      </c>
    </row>
    <row r="1625" spans="8:16">
      <c r="H1625" s="66" t="e">
        <f>IF(LEFT(A1625,6)="CEPNTR","GPINS",VLOOKUP(LEFT(A1625,6),'Code Library'!$A$3:$B$920,2,0))&amp;"_"&amp;RIGHT(A1625,3)</f>
        <v>#N/A</v>
      </c>
      <c r="I1625" s="66">
        <f t="shared" si="175"/>
        <v>0</v>
      </c>
      <c r="K1625" s="66" t="str">
        <f t="shared" si="176"/>
        <v/>
      </c>
      <c r="L1625" s="66" t="str">
        <f t="shared" si="177"/>
        <v/>
      </c>
      <c r="M1625" s="66" t="str">
        <f t="shared" si="178"/>
        <v/>
      </c>
      <c r="N1625" s="66" t="str">
        <f t="shared" si="179"/>
        <v/>
      </c>
      <c r="O1625" s="66" t="str">
        <f t="shared" si="180"/>
        <v/>
      </c>
      <c r="P1625" s="66" t="str">
        <f t="shared" si="181"/>
        <v/>
      </c>
    </row>
    <row r="1626" spans="8:16">
      <c r="H1626" s="66" t="e">
        <f>IF(LEFT(A1626,6)="CEPNTR","GPINS",VLOOKUP(LEFT(A1626,6),'Code Library'!$A$3:$B$920,2,0))&amp;"_"&amp;RIGHT(A1626,3)</f>
        <v>#N/A</v>
      </c>
      <c r="I1626" s="66">
        <f t="shared" si="175"/>
        <v>0</v>
      </c>
      <c r="K1626" s="66" t="str">
        <f t="shared" si="176"/>
        <v/>
      </c>
      <c r="L1626" s="66" t="str">
        <f t="shared" si="177"/>
        <v/>
      </c>
      <c r="M1626" s="66" t="str">
        <f t="shared" si="178"/>
        <v/>
      </c>
      <c r="N1626" s="66" t="str">
        <f t="shared" si="179"/>
        <v/>
      </c>
      <c r="O1626" s="66" t="str">
        <f t="shared" si="180"/>
        <v/>
      </c>
      <c r="P1626" s="66" t="str">
        <f t="shared" si="181"/>
        <v/>
      </c>
    </row>
    <row r="1627" spans="8:16">
      <c r="H1627" s="66" t="e">
        <f>IF(LEFT(A1627,6)="CEPNTR","GPINS",VLOOKUP(LEFT(A1627,6),'Code Library'!$A$3:$B$920,2,0))&amp;"_"&amp;RIGHT(A1627,3)</f>
        <v>#N/A</v>
      </c>
      <c r="I1627" s="66">
        <f t="shared" si="175"/>
        <v>0</v>
      </c>
      <c r="K1627" s="66" t="str">
        <f t="shared" si="176"/>
        <v/>
      </c>
      <c r="L1627" s="66" t="str">
        <f t="shared" si="177"/>
        <v/>
      </c>
      <c r="M1627" s="66" t="str">
        <f t="shared" si="178"/>
        <v/>
      </c>
      <c r="N1627" s="66" t="str">
        <f t="shared" si="179"/>
        <v/>
      </c>
      <c r="O1627" s="66" t="str">
        <f t="shared" si="180"/>
        <v/>
      </c>
      <c r="P1627" s="66" t="str">
        <f t="shared" si="181"/>
        <v/>
      </c>
    </row>
    <row r="1628" spans="8:16">
      <c r="H1628" s="66" t="e">
        <f>IF(LEFT(A1628,6)="CEPNTR","GPINS",VLOOKUP(LEFT(A1628,6),'Code Library'!$A$3:$B$920,2,0))&amp;"_"&amp;RIGHT(A1628,3)</f>
        <v>#N/A</v>
      </c>
      <c r="I1628" s="66">
        <f t="shared" si="175"/>
        <v>0</v>
      </c>
      <c r="K1628" s="66" t="str">
        <f t="shared" si="176"/>
        <v/>
      </c>
      <c r="L1628" s="66" t="str">
        <f t="shared" si="177"/>
        <v/>
      </c>
      <c r="M1628" s="66" t="str">
        <f t="shared" si="178"/>
        <v/>
      </c>
      <c r="N1628" s="66" t="str">
        <f t="shared" si="179"/>
        <v/>
      </c>
      <c r="O1628" s="66" t="str">
        <f t="shared" si="180"/>
        <v/>
      </c>
      <c r="P1628" s="66" t="str">
        <f t="shared" si="181"/>
        <v/>
      </c>
    </row>
    <row r="1629" spans="8:16">
      <c r="H1629" s="66" t="e">
        <f>IF(LEFT(A1629,6)="CEPNTR","GPINS",VLOOKUP(LEFT(A1629,6),'Code Library'!$A$3:$B$920,2,0))&amp;"_"&amp;RIGHT(A1629,3)</f>
        <v>#N/A</v>
      </c>
      <c r="I1629" s="66">
        <f t="shared" si="175"/>
        <v>0</v>
      </c>
      <c r="K1629" s="66" t="str">
        <f t="shared" si="176"/>
        <v/>
      </c>
      <c r="L1629" s="66" t="str">
        <f t="shared" si="177"/>
        <v/>
      </c>
      <c r="M1629" s="66" t="str">
        <f t="shared" si="178"/>
        <v/>
      </c>
      <c r="N1629" s="66" t="str">
        <f t="shared" si="179"/>
        <v/>
      </c>
      <c r="O1629" s="66" t="str">
        <f t="shared" si="180"/>
        <v/>
      </c>
      <c r="P1629" s="66" t="str">
        <f t="shared" si="181"/>
        <v/>
      </c>
    </row>
    <row r="1630" spans="8:16">
      <c r="H1630" s="66" t="e">
        <f>IF(LEFT(A1630,6)="CEPNTR","GPINS",VLOOKUP(LEFT(A1630,6),'Code Library'!$A$3:$B$920,2,0))&amp;"_"&amp;RIGHT(A1630,3)</f>
        <v>#N/A</v>
      </c>
      <c r="I1630" s="66">
        <f t="shared" si="175"/>
        <v>0</v>
      </c>
      <c r="K1630" s="66" t="str">
        <f t="shared" si="176"/>
        <v/>
      </c>
      <c r="L1630" s="66" t="str">
        <f t="shared" si="177"/>
        <v/>
      </c>
      <c r="M1630" s="66" t="str">
        <f t="shared" si="178"/>
        <v/>
      </c>
      <c r="N1630" s="66" t="str">
        <f t="shared" si="179"/>
        <v/>
      </c>
      <c r="O1630" s="66" t="str">
        <f t="shared" si="180"/>
        <v/>
      </c>
      <c r="P1630" s="66" t="str">
        <f t="shared" si="181"/>
        <v/>
      </c>
    </row>
    <row r="1631" spans="8:16">
      <c r="H1631" s="66" t="e">
        <f>IF(LEFT(A1631,6)="CEPNTR","GPINS",VLOOKUP(LEFT(A1631,6),'Code Library'!$A$3:$B$920,2,0))&amp;"_"&amp;RIGHT(A1631,3)</f>
        <v>#N/A</v>
      </c>
      <c r="I1631" s="66">
        <f t="shared" si="175"/>
        <v>0</v>
      </c>
      <c r="K1631" s="66" t="str">
        <f t="shared" si="176"/>
        <v/>
      </c>
      <c r="L1631" s="66" t="str">
        <f t="shared" si="177"/>
        <v/>
      </c>
      <c r="M1631" s="66" t="str">
        <f t="shared" si="178"/>
        <v/>
      </c>
      <c r="N1631" s="66" t="str">
        <f t="shared" si="179"/>
        <v/>
      </c>
      <c r="O1631" s="66" t="str">
        <f t="shared" si="180"/>
        <v/>
      </c>
      <c r="P1631" s="66" t="str">
        <f t="shared" si="181"/>
        <v/>
      </c>
    </row>
    <row r="1632" spans="8:16">
      <c r="H1632" s="66" t="e">
        <f>IF(LEFT(A1632,6)="CEPNTR","GPINS",VLOOKUP(LEFT(A1632,6),'Code Library'!$A$3:$B$920,2,0))&amp;"_"&amp;RIGHT(A1632,3)</f>
        <v>#N/A</v>
      </c>
      <c r="I1632" s="66">
        <f t="shared" si="175"/>
        <v>0</v>
      </c>
      <c r="K1632" s="66" t="str">
        <f t="shared" si="176"/>
        <v/>
      </c>
      <c r="L1632" s="66" t="str">
        <f t="shared" si="177"/>
        <v/>
      </c>
      <c r="M1632" s="66" t="str">
        <f t="shared" si="178"/>
        <v/>
      </c>
      <c r="N1632" s="66" t="str">
        <f t="shared" si="179"/>
        <v/>
      </c>
      <c r="O1632" s="66" t="str">
        <f t="shared" si="180"/>
        <v/>
      </c>
      <c r="P1632" s="66" t="str">
        <f t="shared" si="181"/>
        <v/>
      </c>
    </row>
    <row r="1633" spans="8:16">
      <c r="H1633" s="66" t="e">
        <f>IF(LEFT(A1633,6)="CEPNTR","GPINS",VLOOKUP(LEFT(A1633,6),'Code Library'!$A$3:$B$920,2,0))&amp;"_"&amp;RIGHT(A1633,3)</f>
        <v>#N/A</v>
      </c>
      <c r="I1633" s="66">
        <f t="shared" si="175"/>
        <v>0</v>
      </c>
      <c r="K1633" s="66" t="str">
        <f t="shared" si="176"/>
        <v/>
      </c>
      <c r="L1633" s="66" t="str">
        <f t="shared" si="177"/>
        <v/>
      </c>
      <c r="M1633" s="66" t="str">
        <f t="shared" si="178"/>
        <v/>
      </c>
      <c r="N1633" s="66" t="str">
        <f t="shared" si="179"/>
        <v/>
      </c>
      <c r="O1633" s="66" t="str">
        <f t="shared" si="180"/>
        <v/>
      </c>
      <c r="P1633" s="66" t="str">
        <f t="shared" si="181"/>
        <v/>
      </c>
    </row>
    <row r="1634" spans="8:16">
      <c r="H1634" s="66" t="e">
        <f>IF(LEFT(A1634,6)="CEPNTR","GPINS",VLOOKUP(LEFT(A1634,6),'Code Library'!$A$3:$B$920,2,0))&amp;"_"&amp;RIGHT(A1634,3)</f>
        <v>#N/A</v>
      </c>
      <c r="I1634" s="66">
        <f t="shared" si="175"/>
        <v>0</v>
      </c>
      <c r="K1634" s="66" t="str">
        <f t="shared" si="176"/>
        <v/>
      </c>
      <c r="L1634" s="66" t="str">
        <f t="shared" si="177"/>
        <v/>
      </c>
      <c r="M1634" s="66" t="str">
        <f t="shared" si="178"/>
        <v/>
      </c>
      <c r="N1634" s="66" t="str">
        <f t="shared" si="179"/>
        <v/>
      </c>
      <c r="O1634" s="66" t="str">
        <f t="shared" si="180"/>
        <v/>
      </c>
      <c r="P1634" s="66" t="str">
        <f t="shared" si="181"/>
        <v/>
      </c>
    </row>
    <row r="1635" spans="8:16">
      <c r="H1635" s="66" t="e">
        <f>IF(LEFT(A1635,6)="CEPNTR","GPINS",VLOOKUP(LEFT(A1635,6),'Code Library'!$A$3:$B$920,2,0))&amp;"_"&amp;RIGHT(A1635,3)</f>
        <v>#N/A</v>
      </c>
      <c r="I1635" s="66">
        <f t="shared" si="175"/>
        <v>0</v>
      </c>
      <c r="K1635" s="66" t="str">
        <f t="shared" si="176"/>
        <v/>
      </c>
      <c r="L1635" s="66" t="str">
        <f t="shared" si="177"/>
        <v/>
      </c>
      <c r="M1635" s="66" t="str">
        <f t="shared" si="178"/>
        <v/>
      </c>
      <c r="N1635" s="66" t="str">
        <f t="shared" si="179"/>
        <v/>
      </c>
      <c r="O1635" s="66" t="str">
        <f t="shared" si="180"/>
        <v/>
      </c>
      <c r="P1635" s="66" t="str">
        <f t="shared" si="181"/>
        <v/>
      </c>
    </row>
    <row r="1636" spans="8:16">
      <c r="H1636" s="66" t="e">
        <f>IF(LEFT(A1636,6)="CEPNTR","GPINS",VLOOKUP(LEFT(A1636,6),'Code Library'!$A$3:$B$920,2,0))&amp;"_"&amp;RIGHT(A1636,3)</f>
        <v>#N/A</v>
      </c>
      <c r="I1636" s="66">
        <f t="shared" si="175"/>
        <v>0</v>
      </c>
      <c r="K1636" s="66" t="str">
        <f t="shared" si="176"/>
        <v/>
      </c>
      <c r="L1636" s="66" t="str">
        <f t="shared" si="177"/>
        <v/>
      </c>
      <c r="M1636" s="66" t="str">
        <f t="shared" si="178"/>
        <v/>
      </c>
      <c r="N1636" s="66" t="str">
        <f t="shared" si="179"/>
        <v/>
      </c>
      <c r="O1636" s="66" t="str">
        <f t="shared" si="180"/>
        <v/>
      </c>
      <c r="P1636" s="66" t="str">
        <f t="shared" si="181"/>
        <v/>
      </c>
    </row>
    <row r="1637" spans="8:16">
      <c r="H1637" s="66" t="e">
        <f>IF(LEFT(A1637,6)="CEPNTR","GPINS",VLOOKUP(LEFT(A1637,6),'Code Library'!$A$3:$B$920,2,0))&amp;"_"&amp;RIGHT(A1637,3)</f>
        <v>#N/A</v>
      </c>
      <c r="I1637" s="66">
        <f t="shared" si="175"/>
        <v>0</v>
      </c>
      <c r="K1637" s="66" t="str">
        <f t="shared" si="176"/>
        <v/>
      </c>
      <c r="L1637" s="66" t="str">
        <f t="shared" si="177"/>
        <v/>
      </c>
      <c r="M1637" s="66" t="str">
        <f t="shared" si="178"/>
        <v/>
      </c>
      <c r="N1637" s="66" t="str">
        <f t="shared" si="179"/>
        <v/>
      </c>
      <c r="O1637" s="66" t="str">
        <f t="shared" si="180"/>
        <v/>
      </c>
      <c r="P1637" s="66" t="str">
        <f t="shared" si="181"/>
        <v/>
      </c>
    </row>
    <row r="1638" spans="8:16">
      <c r="H1638" s="66" t="e">
        <f>IF(LEFT(A1638,6)="CEPNTR","GPINS",VLOOKUP(LEFT(A1638,6),'Code Library'!$A$3:$B$920,2,0))&amp;"_"&amp;RIGHT(A1638,3)</f>
        <v>#N/A</v>
      </c>
      <c r="I1638" s="66">
        <f t="shared" si="175"/>
        <v>0</v>
      </c>
      <c r="K1638" s="66" t="str">
        <f t="shared" si="176"/>
        <v/>
      </c>
      <c r="L1638" s="66" t="str">
        <f t="shared" si="177"/>
        <v/>
      </c>
      <c r="M1638" s="66" t="str">
        <f t="shared" si="178"/>
        <v/>
      </c>
      <c r="N1638" s="66" t="str">
        <f t="shared" si="179"/>
        <v/>
      </c>
      <c r="O1638" s="66" t="str">
        <f t="shared" si="180"/>
        <v/>
      </c>
      <c r="P1638" s="66" t="str">
        <f t="shared" si="181"/>
        <v/>
      </c>
    </row>
    <row r="1639" spans="8:16">
      <c r="H1639" s="66" t="e">
        <f>IF(LEFT(A1639,6)="CEPNTR","GPINS",VLOOKUP(LEFT(A1639,6),'Code Library'!$A$3:$B$920,2,0))&amp;"_"&amp;RIGHT(A1639,3)</f>
        <v>#N/A</v>
      </c>
      <c r="I1639" s="66">
        <f t="shared" si="175"/>
        <v>0</v>
      </c>
      <c r="K1639" s="66" t="str">
        <f t="shared" si="176"/>
        <v/>
      </c>
      <c r="L1639" s="66" t="str">
        <f t="shared" si="177"/>
        <v/>
      </c>
      <c r="M1639" s="66" t="str">
        <f t="shared" si="178"/>
        <v/>
      </c>
      <c r="N1639" s="66" t="str">
        <f t="shared" si="179"/>
        <v/>
      </c>
      <c r="O1639" s="66" t="str">
        <f t="shared" si="180"/>
        <v/>
      </c>
      <c r="P1639" s="66" t="str">
        <f t="shared" si="181"/>
        <v/>
      </c>
    </row>
    <row r="1640" spans="8:16">
      <c r="H1640" s="66" t="e">
        <f>IF(LEFT(A1640,6)="CEPNTR","GPINS",VLOOKUP(LEFT(A1640,6),'Code Library'!$A$3:$B$920,2,0))&amp;"_"&amp;RIGHT(A1640,3)</f>
        <v>#N/A</v>
      </c>
      <c r="I1640" s="66">
        <f t="shared" si="175"/>
        <v>0</v>
      </c>
      <c r="K1640" s="66" t="str">
        <f t="shared" si="176"/>
        <v/>
      </c>
      <c r="L1640" s="66" t="str">
        <f t="shared" si="177"/>
        <v/>
      </c>
      <c r="M1640" s="66" t="str">
        <f t="shared" si="178"/>
        <v/>
      </c>
      <c r="N1640" s="66" t="str">
        <f t="shared" si="179"/>
        <v/>
      </c>
      <c r="O1640" s="66" t="str">
        <f t="shared" si="180"/>
        <v/>
      </c>
      <c r="P1640" s="66" t="str">
        <f t="shared" si="181"/>
        <v/>
      </c>
    </row>
    <row r="1641" spans="8:16">
      <c r="H1641" s="66" t="e">
        <f>IF(LEFT(A1641,6)="CEPNTR","GPINS",VLOOKUP(LEFT(A1641,6),'Code Library'!$A$3:$B$920,2,0))&amp;"_"&amp;RIGHT(A1641,3)</f>
        <v>#N/A</v>
      </c>
      <c r="I1641" s="66">
        <f t="shared" si="175"/>
        <v>0</v>
      </c>
      <c r="K1641" s="66" t="str">
        <f t="shared" si="176"/>
        <v/>
      </c>
      <c r="L1641" s="66" t="str">
        <f t="shared" si="177"/>
        <v/>
      </c>
      <c r="M1641" s="66" t="str">
        <f t="shared" si="178"/>
        <v/>
      </c>
      <c r="N1641" s="66" t="str">
        <f t="shared" si="179"/>
        <v/>
      </c>
      <c r="O1641" s="66" t="str">
        <f t="shared" si="180"/>
        <v/>
      </c>
      <c r="P1641" s="66" t="str">
        <f t="shared" si="181"/>
        <v/>
      </c>
    </row>
    <row r="1642" spans="8:16">
      <c r="H1642" s="66" t="e">
        <f>IF(LEFT(A1642,6)="CEPNTR","GPINS",VLOOKUP(LEFT(A1642,6),'Code Library'!$A$3:$B$920,2,0))&amp;"_"&amp;RIGHT(A1642,3)</f>
        <v>#N/A</v>
      </c>
      <c r="I1642" s="66">
        <f t="shared" si="175"/>
        <v>0</v>
      </c>
      <c r="K1642" s="66" t="str">
        <f t="shared" si="176"/>
        <v/>
      </c>
      <c r="L1642" s="66" t="str">
        <f t="shared" si="177"/>
        <v/>
      </c>
      <c r="M1642" s="66" t="str">
        <f t="shared" si="178"/>
        <v/>
      </c>
      <c r="N1642" s="66" t="str">
        <f t="shared" si="179"/>
        <v/>
      </c>
      <c r="O1642" s="66" t="str">
        <f t="shared" si="180"/>
        <v/>
      </c>
      <c r="P1642" s="66" t="str">
        <f t="shared" si="181"/>
        <v/>
      </c>
    </row>
    <row r="1643" spans="8:16">
      <c r="H1643" s="66" t="e">
        <f>IF(LEFT(A1643,6)="CEPNTR","GPINS",VLOOKUP(LEFT(A1643,6),'Code Library'!$A$3:$B$920,2,0))&amp;"_"&amp;RIGHT(A1643,3)</f>
        <v>#N/A</v>
      </c>
      <c r="I1643" s="66">
        <f t="shared" si="175"/>
        <v>0</v>
      </c>
      <c r="K1643" s="66" t="str">
        <f t="shared" si="176"/>
        <v/>
      </c>
      <c r="L1643" s="66" t="str">
        <f t="shared" si="177"/>
        <v/>
      </c>
      <c r="M1643" s="66" t="str">
        <f t="shared" si="178"/>
        <v/>
      </c>
      <c r="N1643" s="66" t="str">
        <f t="shared" si="179"/>
        <v/>
      </c>
      <c r="O1643" s="66" t="str">
        <f t="shared" si="180"/>
        <v/>
      </c>
      <c r="P1643" s="66" t="str">
        <f t="shared" si="181"/>
        <v/>
      </c>
    </row>
    <row r="1644" spans="8:16">
      <c r="H1644" s="66" t="e">
        <f>IF(LEFT(A1644,6)="CEPNTR","GPINS",VLOOKUP(LEFT(A1644,6),'Code Library'!$A$3:$B$920,2,0))&amp;"_"&amp;RIGHT(A1644,3)</f>
        <v>#N/A</v>
      </c>
      <c r="I1644" s="66">
        <f t="shared" si="175"/>
        <v>0</v>
      </c>
      <c r="K1644" s="66" t="str">
        <f t="shared" si="176"/>
        <v/>
      </c>
      <c r="L1644" s="66" t="str">
        <f t="shared" si="177"/>
        <v/>
      </c>
      <c r="M1644" s="66" t="str">
        <f t="shared" si="178"/>
        <v/>
      </c>
      <c r="N1644" s="66" t="str">
        <f t="shared" si="179"/>
        <v/>
      </c>
      <c r="O1644" s="66" t="str">
        <f t="shared" si="180"/>
        <v/>
      </c>
      <c r="P1644" s="66" t="str">
        <f t="shared" si="181"/>
        <v/>
      </c>
    </row>
    <row r="1645" spans="8:16">
      <c r="H1645" s="66" t="e">
        <f>IF(LEFT(A1645,6)="CEPNTR","GPINS",VLOOKUP(LEFT(A1645,6),'Code Library'!$A$3:$B$920,2,0))&amp;"_"&amp;RIGHT(A1645,3)</f>
        <v>#N/A</v>
      </c>
      <c r="I1645" s="66">
        <f t="shared" si="175"/>
        <v>0</v>
      </c>
      <c r="K1645" s="66" t="str">
        <f t="shared" si="176"/>
        <v/>
      </c>
      <c r="L1645" s="66" t="str">
        <f t="shared" si="177"/>
        <v/>
      </c>
      <c r="M1645" s="66" t="str">
        <f t="shared" si="178"/>
        <v/>
      </c>
      <c r="N1645" s="66" t="str">
        <f t="shared" si="179"/>
        <v/>
      </c>
      <c r="O1645" s="66" t="str">
        <f t="shared" si="180"/>
        <v/>
      </c>
      <c r="P1645" s="66" t="str">
        <f t="shared" si="181"/>
        <v/>
      </c>
    </row>
    <row r="1646" spans="8:16">
      <c r="H1646" s="66" t="e">
        <f>IF(LEFT(A1646,6)="CEPNTR","GPINS",VLOOKUP(LEFT(A1646,6),'Code Library'!$A$3:$B$920,2,0))&amp;"_"&amp;RIGHT(A1646,3)</f>
        <v>#N/A</v>
      </c>
      <c r="I1646" s="66">
        <f t="shared" si="175"/>
        <v>0</v>
      </c>
      <c r="K1646" s="66" t="str">
        <f t="shared" si="176"/>
        <v/>
      </c>
      <c r="L1646" s="66" t="str">
        <f t="shared" si="177"/>
        <v/>
      </c>
      <c r="M1646" s="66" t="str">
        <f t="shared" si="178"/>
        <v/>
      </c>
      <c r="N1646" s="66" t="str">
        <f t="shared" si="179"/>
        <v/>
      </c>
      <c r="O1646" s="66" t="str">
        <f t="shared" si="180"/>
        <v/>
      </c>
      <c r="P1646" s="66" t="str">
        <f t="shared" si="181"/>
        <v/>
      </c>
    </row>
    <row r="1647" spans="8:16">
      <c r="H1647" s="66" t="e">
        <f>IF(LEFT(A1647,6)="CEPNTR","GPINS",VLOOKUP(LEFT(A1647,6),'Code Library'!$A$3:$B$920,2,0))&amp;"_"&amp;RIGHT(A1647,3)</f>
        <v>#N/A</v>
      </c>
      <c r="I1647" s="66">
        <f t="shared" si="175"/>
        <v>0</v>
      </c>
      <c r="K1647" s="66" t="str">
        <f t="shared" si="176"/>
        <v/>
      </c>
      <c r="L1647" s="66" t="str">
        <f t="shared" si="177"/>
        <v/>
      </c>
      <c r="M1647" s="66" t="str">
        <f t="shared" si="178"/>
        <v/>
      </c>
      <c r="N1647" s="66" t="str">
        <f t="shared" si="179"/>
        <v/>
      </c>
      <c r="O1647" s="66" t="str">
        <f t="shared" si="180"/>
        <v/>
      </c>
      <c r="P1647" s="66" t="str">
        <f t="shared" si="181"/>
        <v/>
      </c>
    </row>
    <row r="1648" spans="8:16">
      <c r="H1648" s="66" t="e">
        <f>IF(LEFT(A1648,6)="CEPNTR","GPINS",VLOOKUP(LEFT(A1648,6),'Code Library'!$A$3:$B$920,2,0))&amp;"_"&amp;RIGHT(A1648,3)</f>
        <v>#N/A</v>
      </c>
      <c r="I1648" s="66">
        <f t="shared" si="175"/>
        <v>0</v>
      </c>
      <c r="K1648" s="66" t="str">
        <f t="shared" si="176"/>
        <v/>
      </c>
      <c r="L1648" s="66" t="str">
        <f t="shared" si="177"/>
        <v/>
      </c>
      <c r="M1648" s="66" t="str">
        <f t="shared" si="178"/>
        <v/>
      </c>
      <c r="N1648" s="66" t="str">
        <f t="shared" si="179"/>
        <v/>
      </c>
      <c r="O1648" s="66" t="str">
        <f t="shared" si="180"/>
        <v/>
      </c>
      <c r="P1648" s="66" t="str">
        <f t="shared" si="181"/>
        <v/>
      </c>
    </row>
    <row r="1649" spans="8:16">
      <c r="H1649" s="66" t="e">
        <f>IF(LEFT(A1649,6)="CEPNTR","GPINS",VLOOKUP(LEFT(A1649,6),'Code Library'!$A$3:$B$920,2,0))&amp;"_"&amp;RIGHT(A1649,3)</f>
        <v>#N/A</v>
      </c>
      <c r="I1649" s="66">
        <f t="shared" si="175"/>
        <v>0</v>
      </c>
      <c r="K1649" s="66" t="str">
        <f t="shared" si="176"/>
        <v/>
      </c>
      <c r="L1649" s="66" t="str">
        <f t="shared" si="177"/>
        <v/>
      </c>
      <c r="M1649" s="66" t="str">
        <f t="shared" si="178"/>
        <v/>
      </c>
      <c r="N1649" s="66" t="str">
        <f t="shared" si="179"/>
        <v/>
      </c>
      <c r="O1649" s="66" t="str">
        <f t="shared" si="180"/>
        <v/>
      </c>
      <c r="P1649" s="66" t="str">
        <f t="shared" si="181"/>
        <v/>
      </c>
    </row>
    <row r="1650" spans="8:16">
      <c r="H1650" s="66" t="e">
        <f>IF(LEFT(A1650,6)="CEPNTR","GPINS",VLOOKUP(LEFT(A1650,6),'Code Library'!$A$3:$B$920,2,0))&amp;"_"&amp;RIGHT(A1650,3)</f>
        <v>#N/A</v>
      </c>
      <c r="I1650" s="66">
        <f t="shared" si="175"/>
        <v>0</v>
      </c>
      <c r="K1650" s="66" t="str">
        <f t="shared" si="176"/>
        <v/>
      </c>
      <c r="L1650" s="66" t="str">
        <f t="shared" si="177"/>
        <v/>
      </c>
      <c r="M1650" s="66" t="str">
        <f t="shared" si="178"/>
        <v/>
      </c>
      <c r="N1650" s="66" t="str">
        <f t="shared" si="179"/>
        <v/>
      </c>
      <c r="O1650" s="66" t="str">
        <f t="shared" si="180"/>
        <v/>
      </c>
      <c r="P1650" s="66" t="str">
        <f t="shared" si="181"/>
        <v/>
      </c>
    </row>
    <row r="1651" spans="8:16">
      <c r="H1651" s="66" t="e">
        <f>IF(LEFT(A1651,6)="CEPNTR","GPINS",VLOOKUP(LEFT(A1651,6),'Code Library'!$A$3:$B$920,2,0))&amp;"_"&amp;RIGHT(A1651,3)</f>
        <v>#N/A</v>
      </c>
      <c r="I1651" s="66">
        <f t="shared" si="175"/>
        <v>0</v>
      </c>
      <c r="K1651" s="66" t="str">
        <f t="shared" si="176"/>
        <v/>
      </c>
      <c r="L1651" s="66" t="str">
        <f t="shared" si="177"/>
        <v/>
      </c>
      <c r="M1651" s="66" t="str">
        <f t="shared" si="178"/>
        <v/>
      </c>
      <c r="N1651" s="66" t="str">
        <f t="shared" si="179"/>
        <v/>
      </c>
      <c r="O1651" s="66" t="str">
        <f t="shared" si="180"/>
        <v/>
      </c>
      <c r="P1651" s="66" t="str">
        <f t="shared" si="181"/>
        <v/>
      </c>
    </row>
    <row r="1652" spans="8:16">
      <c r="H1652" s="66" t="e">
        <f>IF(LEFT(A1652,6)="CEPNTR","GPINS",VLOOKUP(LEFT(A1652,6),'Code Library'!$A$3:$B$920,2,0))&amp;"_"&amp;RIGHT(A1652,3)</f>
        <v>#N/A</v>
      </c>
      <c r="I1652" s="66">
        <f t="shared" si="175"/>
        <v>0</v>
      </c>
      <c r="K1652" s="66" t="str">
        <f t="shared" si="176"/>
        <v/>
      </c>
      <c r="L1652" s="66" t="str">
        <f t="shared" si="177"/>
        <v/>
      </c>
      <c r="M1652" s="66" t="str">
        <f t="shared" si="178"/>
        <v/>
      </c>
      <c r="N1652" s="66" t="str">
        <f t="shared" si="179"/>
        <v/>
      </c>
      <c r="O1652" s="66" t="str">
        <f t="shared" si="180"/>
        <v/>
      </c>
      <c r="P1652" s="66" t="str">
        <f t="shared" si="181"/>
        <v/>
      </c>
    </row>
    <row r="1653" spans="8:16">
      <c r="H1653" s="66" t="e">
        <f>IF(LEFT(A1653,6)="CEPNTR","GPINS",VLOOKUP(LEFT(A1653,6),'Code Library'!$A$3:$B$920,2,0))&amp;"_"&amp;RIGHT(A1653,3)</f>
        <v>#N/A</v>
      </c>
      <c r="I1653" s="66">
        <f t="shared" si="175"/>
        <v>0</v>
      </c>
      <c r="K1653" s="66" t="str">
        <f t="shared" si="176"/>
        <v/>
      </c>
      <c r="L1653" s="66" t="str">
        <f t="shared" si="177"/>
        <v/>
      </c>
      <c r="M1653" s="66" t="str">
        <f t="shared" si="178"/>
        <v/>
      </c>
      <c r="N1653" s="66" t="str">
        <f t="shared" si="179"/>
        <v/>
      </c>
      <c r="O1653" s="66" t="str">
        <f t="shared" si="180"/>
        <v/>
      </c>
      <c r="P1653" s="66" t="str">
        <f t="shared" si="181"/>
        <v/>
      </c>
    </row>
    <row r="1654" spans="8:16">
      <c r="H1654" s="66" t="e">
        <f>IF(LEFT(A1654,6)="CEPNTR","GPINS",VLOOKUP(LEFT(A1654,6),'Code Library'!$A$3:$B$920,2,0))&amp;"_"&amp;RIGHT(A1654,3)</f>
        <v>#N/A</v>
      </c>
      <c r="I1654" s="66">
        <f t="shared" si="175"/>
        <v>0</v>
      </c>
      <c r="K1654" s="66" t="str">
        <f t="shared" si="176"/>
        <v/>
      </c>
      <c r="L1654" s="66" t="str">
        <f t="shared" si="177"/>
        <v/>
      </c>
      <c r="M1654" s="66" t="str">
        <f t="shared" si="178"/>
        <v/>
      </c>
      <c r="N1654" s="66" t="str">
        <f t="shared" si="179"/>
        <v/>
      </c>
      <c r="O1654" s="66" t="str">
        <f t="shared" si="180"/>
        <v/>
      </c>
      <c r="P1654" s="66" t="str">
        <f t="shared" si="181"/>
        <v/>
      </c>
    </row>
    <row r="1655" spans="8:16">
      <c r="H1655" s="66" t="e">
        <f>IF(LEFT(A1655,6)="CEPNTR","GPINS",VLOOKUP(LEFT(A1655,6),'Code Library'!$A$3:$B$920,2,0))&amp;"_"&amp;RIGHT(A1655,3)</f>
        <v>#N/A</v>
      </c>
      <c r="I1655" s="66">
        <f t="shared" si="175"/>
        <v>0</v>
      </c>
      <c r="K1655" s="66" t="str">
        <f t="shared" si="176"/>
        <v/>
      </c>
      <c r="L1655" s="66" t="str">
        <f t="shared" si="177"/>
        <v/>
      </c>
      <c r="M1655" s="66" t="str">
        <f t="shared" si="178"/>
        <v/>
      </c>
      <c r="N1655" s="66" t="str">
        <f t="shared" si="179"/>
        <v/>
      </c>
      <c r="O1655" s="66" t="str">
        <f t="shared" si="180"/>
        <v/>
      </c>
      <c r="P1655" s="66" t="str">
        <f t="shared" si="181"/>
        <v/>
      </c>
    </row>
    <row r="1656" spans="8:16">
      <c r="H1656" s="66" t="e">
        <f>IF(LEFT(A1656,6)="CEPNTR","GPINS",VLOOKUP(LEFT(A1656,6),'Code Library'!$A$3:$B$920,2,0))&amp;"_"&amp;RIGHT(A1656,3)</f>
        <v>#N/A</v>
      </c>
      <c r="I1656" s="66">
        <f t="shared" si="175"/>
        <v>0</v>
      </c>
      <c r="K1656" s="66" t="str">
        <f t="shared" si="176"/>
        <v/>
      </c>
      <c r="L1656" s="66" t="str">
        <f t="shared" si="177"/>
        <v/>
      </c>
      <c r="M1656" s="66" t="str">
        <f t="shared" si="178"/>
        <v/>
      </c>
      <c r="N1656" s="66" t="str">
        <f t="shared" si="179"/>
        <v/>
      </c>
      <c r="O1656" s="66" t="str">
        <f t="shared" si="180"/>
        <v/>
      </c>
      <c r="P1656" s="66" t="str">
        <f t="shared" si="181"/>
        <v/>
      </c>
    </row>
    <row r="1657" spans="8:16">
      <c r="H1657" s="66" t="e">
        <f>IF(LEFT(A1657,6)="CEPNTR","GPINS",VLOOKUP(LEFT(A1657,6),'Code Library'!$A$3:$B$920,2,0))&amp;"_"&amp;RIGHT(A1657,3)</f>
        <v>#N/A</v>
      </c>
      <c r="I1657" s="66">
        <f t="shared" si="175"/>
        <v>0</v>
      </c>
      <c r="K1657" s="66" t="str">
        <f t="shared" si="176"/>
        <v/>
      </c>
      <c r="L1657" s="66" t="str">
        <f t="shared" si="177"/>
        <v/>
      </c>
      <c r="M1657" s="66" t="str">
        <f t="shared" si="178"/>
        <v/>
      </c>
      <c r="N1657" s="66" t="str">
        <f t="shared" si="179"/>
        <v/>
      </c>
      <c r="O1657" s="66" t="str">
        <f t="shared" si="180"/>
        <v/>
      </c>
      <c r="P1657" s="66" t="str">
        <f t="shared" si="181"/>
        <v/>
      </c>
    </row>
    <row r="1658" spans="8:16">
      <c r="H1658" s="66" t="e">
        <f>IF(LEFT(A1658,6)="CEPNTR","GPINS",VLOOKUP(LEFT(A1658,6),'Code Library'!$A$3:$B$920,2,0))&amp;"_"&amp;RIGHT(A1658,3)</f>
        <v>#N/A</v>
      </c>
      <c r="I1658" s="66">
        <f t="shared" si="175"/>
        <v>0</v>
      </c>
      <c r="K1658" s="66" t="str">
        <f t="shared" si="176"/>
        <v/>
      </c>
      <c r="L1658" s="66" t="str">
        <f t="shared" si="177"/>
        <v/>
      </c>
      <c r="M1658" s="66" t="str">
        <f t="shared" si="178"/>
        <v/>
      </c>
      <c r="N1658" s="66" t="str">
        <f t="shared" si="179"/>
        <v/>
      </c>
      <c r="O1658" s="66" t="str">
        <f t="shared" si="180"/>
        <v/>
      </c>
      <c r="P1658" s="66" t="str">
        <f t="shared" si="181"/>
        <v/>
      </c>
    </row>
    <row r="1659" spans="8:16">
      <c r="H1659" s="66" t="e">
        <f>IF(LEFT(A1659,6)="CEPNTR","GPINS",VLOOKUP(LEFT(A1659,6),'Code Library'!$A$3:$B$920,2,0))&amp;"_"&amp;RIGHT(A1659,3)</f>
        <v>#N/A</v>
      </c>
      <c r="I1659" s="66">
        <f t="shared" si="175"/>
        <v>0</v>
      </c>
      <c r="K1659" s="66" t="str">
        <f t="shared" si="176"/>
        <v/>
      </c>
      <c r="L1659" s="66" t="str">
        <f t="shared" si="177"/>
        <v/>
      </c>
      <c r="M1659" s="66" t="str">
        <f t="shared" si="178"/>
        <v/>
      </c>
      <c r="N1659" s="66" t="str">
        <f t="shared" si="179"/>
        <v/>
      </c>
      <c r="O1659" s="66" t="str">
        <f t="shared" si="180"/>
        <v/>
      </c>
      <c r="P1659" s="66" t="str">
        <f t="shared" si="181"/>
        <v/>
      </c>
    </row>
    <row r="1660" spans="8:16">
      <c r="H1660" s="66" t="e">
        <f>IF(LEFT(A1660,6)="CEPNTR","GPINS",VLOOKUP(LEFT(A1660,6),'Code Library'!$A$3:$B$920,2,0))&amp;"_"&amp;RIGHT(A1660,3)</f>
        <v>#N/A</v>
      </c>
      <c r="I1660" s="66">
        <f t="shared" si="175"/>
        <v>0</v>
      </c>
      <c r="K1660" s="66" t="str">
        <f t="shared" si="176"/>
        <v/>
      </c>
      <c r="L1660" s="66" t="str">
        <f t="shared" si="177"/>
        <v/>
      </c>
      <c r="M1660" s="66" t="str">
        <f t="shared" si="178"/>
        <v/>
      </c>
      <c r="N1660" s="66" t="str">
        <f t="shared" si="179"/>
        <v/>
      </c>
      <c r="O1660" s="66" t="str">
        <f t="shared" si="180"/>
        <v/>
      </c>
      <c r="P1660" s="66" t="str">
        <f t="shared" si="181"/>
        <v/>
      </c>
    </row>
    <row r="1661" spans="8:16">
      <c r="H1661" s="66" t="e">
        <f>IF(LEFT(A1661,6)="CEPNTR","GPINS",VLOOKUP(LEFT(A1661,6),'Code Library'!$A$3:$B$920,2,0))&amp;"_"&amp;RIGHT(A1661,3)</f>
        <v>#N/A</v>
      </c>
      <c r="I1661" s="66">
        <f t="shared" si="175"/>
        <v>0</v>
      </c>
      <c r="K1661" s="66" t="str">
        <f t="shared" si="176"/>
        <v/>
      </c>
      <c r="L1661" s="66" t="str">
        <f t="shared" si="177"/>
        <v/>
      </c>
      <c r="M1661" s="66" t="str">
        <f t="shared" si="178"/>
        <v/>
      </c>
      <c r="N1661" s="66" t="str">
        <f t="shared" si="179"/>
        <v/>
      </c>
      <c r="O1661" s="66" t="str">
        <f t="shared" si="180"/>
        <v/>
      </c>
      <c r="P1661" s="66" t="str">
        <f t="shared" si="181"/>
        <v/>
      </c>
    </row>
    <row r="1662" spans="8:16">
      <c r="H1662" s="66" t="e">
        <f>IF(LEFT(A1662,6)="CEPNTR","GPINS",VLOOKUP(LEFT(A1662,6),'Code Library'!$A$3:$B$920,2,0))&amp;"_"&amp;RIGHT(A1662,3)</f>
        <v>#N/A</v>
      </c>
      <c r="I1662" s="66">
        <f t="shared" si="175"/>
        <v>0</v>
      </c>
      <c r="K1662" s="66" t="str">
        <f t="shared" si="176"/>
        <v/>
      </c>
      <c r="L1662" s="66" t="str">
        <f t="shared" si="177"/>
        <v/>
      </c>
      <c r="M1662" s="66" t="str">
        <f t="shared" si="178"/>
        <v/>
      </c>
      <c r="N1662" s="66" t="str">
        <f t="shared" si="179"/>
        <v/>
      </c>
      <c r="O1662" s="66" t="str">
        <f t="shared" si="180"/>
        <v/>
      </c>
      <c r="P1662" s="66" t="str">
        <f t="shared" si="181"/>
        <v/>
      </c>
    </row>
    <row r="1663" spans="8:16">
      <c r="H1663" s="66" t="e">
        <f>IF(LEFT(A1663,6)="CEPNTR","GPINS",VLOOKUP(LEFT(A1663,6),'Code Library'!$A$3:$B$920,2,0))&amp;"_"&amp;RIGHT(A1663,3)</f>
        <v>#N/A</v>
      </c>
      <c r="I1663" s="66">
        <f t="shared" si="175"/>
        <v>0</v>
      </c>
      <c r="K1663" s="66" t="str">
        <f t="shared" si="176"/>
        <v/>
      </c>
      <c r="L1663" s="66" t="str">
        <f t="shared" si="177"/>
        <v/>
      </c>
      <c r="M1663" s="66" t="str">
        <f t="shared" si="178"/>
        <v/>
      </c>
      <c r="N1663" s="66" t="str">
        <f t="shared" si="179"/>
        <v/>
      </c>
      <c r="O1663" s="66" t="str">
        <f t="shared" si="180"/>
        <v/>
      </c>
      <c r="P1663" s="66" t="str">
        <f t="shared" si="181"/>
        <v/>
      </c>
    </row>
    <row r="1664" spans="8:16">
      <c r="H1664" s="66" t="e">
        <f>IF(LEFT(A1664,6)="CEPNTR","GPINS",VLOOKUP(LEFT(A1664,6),'Code Library'!$A$3:$B$920,2,0))&amp;"_"&amp;RIGHT(A1664,3)</f>
        <v>#N/A</v>
      </c>
      <c r="I1664" s="66">
        <f t="shared" si="175"/>
        <v>0</v>
      </c>
      <c r="K1664" s="66" t="str">
        <f t="shared" si="176"/>
        <v/>
      </c>
      <c r="L1664" s="66" t="str">
        <f t="shared" si="177"/>
        <v/>
      </c>
      <c r="M1664" s="66" t="str">
        <f t="shared" si="178"/>
        <v/>
      </c>
      <c r="N1664" s="66" t="str">
        <f t="shared" si="179"/>
        <v/>
      </c>
      <c r="O1664" s="66" t="str">
        <f t="shared" si="180"/>
        <v/>
      </c>
      <c r="P1664" s="66" t="str">
        <f t="shared" si="181"/>
        <v/>
      </c>
    </row>
    <row r="1665" spans="8:16">
      <c r="H1665" s="66" t="e">
        <f>IF(LEFT(A1665,6)="CEPNTR","GPINS",VLOOKUP(LEFT(A1665,6),'Code Library'!$A$3:$B$920,2,0))&amp;"_"&amp;RIGHT(A1665,3)</f>
        <v>#N/A</v>
      </c>
      <c r="I1665" s="66">
        <f t="shared" si="175"/>
        <v>0</v>
      </c>
      <c r="K1665" s="66" t="str">
        <f t="shared" si="176"/>
        <v/>
      </c>
      <c r="L1665" s="66" t="str">
        <f t="shared" si="177"/>
        <v/>
      </c>
      <c r="M1665" s="66" t="str">
        <f t="shared" si="178"/>
        <v/>
      </c>
      <c r="N1665" s="66" t="str">
        <f t="shared" si="179"/>
        <v/>
      </c>
      <c r="O1665" s="66" t="str">
        <f t="shared" si="180"/>
        <v/>
      </c>
      <c r="P1665" s="66" t="str">
        <f t="shared" si="181"/>
        <v/>
      </c>
    </row>
    <row r="1666" spans="8:16">
      <c r="H1666" s="66" t="e">
        <f>IF(LEFT(A1666,6)="CEPNTR","GPINS",VLOOKUP(LEFT(A1666,6),'Code Library'!$A$3:$B$920,2,0))&amp;"_"&amp;RIGHT(A1666,3)</f>
        <v>#N/A</v>
      </c>
      <c r="I1666" s="66">
        <f t="shared" si="175"/>
        <v>0</v>
      </c>
      <c r="K1666" s="66" t="str">
        <f t="shared" si="176"/>
        <v/>
      </c>
      <c r="L1666" s="66" t="str">
        <f t="shared" si="177"/>
        <v/>
      </c>
      <c r="M1666" s="66" t="str">
        <f t="shared" si="178"/>
        <v/>
      </c>
      <c r="N1666" s="66" t="str">
        <f t="shared" si="179"/>
        <v/>
      </c>
      <c r="O1666" s="66" t="str">
        <f t="shared" si="180"/>
        <v/>
      </c>
      <c r="P1666" s="66" t="str">
        <f t="shared" si="181"/>
        <v/>
      </c>
    </row>
    <row r="1667" spans="8:16">
      <c r="H1667" s="66" t="e">
        <f>IF(LEFT(A1667,6)="CEPNTR","GPINS",VLOOKUP(LEFT(A1667,6),'Code Library'!$A$3:$B$920,2,0))&amp;"_"&amp;RIGHT(A1667,3)</f>
        <v>#N/A</v>
      </c>
      <c r="I1667" s="66">
        <f t="shared" ref="I1667:I1730" si="182">A1667</f>
        <v>0</v>
      </c>
      <c r="K1667" s="66" t="str">
        <f t="shared" ref="K1667:K1730" si="183">RIGHT($B1667,2)</f>
        <v/>
      </c>
      <c r="L1667" s="66" t="str">
        <f t="shared" ref="L1667:L1730" si="184">LEFT(RIGHT($B1667,7),4)</f>
        <v/>
      </c>
      <c r="M1667" s="66" t="str">
        <f t="shared" ref="M1667:M1730" si="185">LEFT(RIGHT($B1667,10),2)</f>
        <v/>
      </c>
      <c r="N1667" s="66" t="str">
        <f t="shared" ref="N1667:N1730" si="186">LEFT(RIGHT($B1667,14),3)</f>
        <v/>
      </c>
      <c r="O1667" s="66" t="str">
        <f t="shared" ref="O1667:O1730" si="187">LEFT(RIGHT($B1667,16),1)</f>
        <v/>
      </c>
      <c r="P1667" s="66" t="str">
        <f t="shared" ref="P1667:P1730" si="188">LEFT(RIGHT($B1667,19),2)</f>
        <v/>
      </c>
    </row>
    <row r="1668" spans="8:16">
      <c r="H1668" s="66" t="e">
        <f>IF(LEFT(A1668,6)="CEPNTR","GPINS",VLOOKUP(LEFT(A1668,6),'Code Library'!$A$3:$B$920,2,0))&amp;"_"&amp;RIGHT(A1668,3)</f>
        <v>#N/A</v>
      </c>
      <c r="I1668" s="66">
        <f t="shared" si="182"/>
        <v>0</v>
      </c>
      <c r="K1668" s="66" t="str">
        <f t="shared" si="183"/>
        <v/>
      </c>
      <c r="L1668" s="66" t="str">
        <f t="shared" si="184"/>
        <v/>
      </c>
      <c r="M1668" s="66" t="str">
        <f t="shared" si="185"/>
        <v/>
      </c>
      <c r="N1668" s="66" t="str">
        <f t="shared" si="186"/>
        <v/>
      </c>
      <c r="O1668" s="66" t="str">
        <f t="shared" si="187"/>
        <v/>
      </c>
      <c r="P1668" s="66" t="str">
        <f t="shared" si="188"/>
        <v/>
      </c>
    </row>
    <row r="1669" spans="8:16">
      <c r="H1669" s="66" t="e">
        <f>IF(LEFT(A1669,6)="CEPNTR","GPINS",VLOOKUP(LEFT(A1669,6),'Code Library'!$A$3:$B$920,2,0))&amp;"_"&amp;RIGHT(A1669,3)</f>
        <v>#N/A</v>
      </c>
      <c r="I1669" s="66">
        <f t="shared" si="182"/>
        <v>0</v>
      </c>
      <c r="K1669" s="66" t="str">
        <f t="shared" si="183"/>
        <v/>
      </c>
      <c r="L1669" s="66" t="str">
        <f t="shared" si="184"/>
        <v/>
      </c>
      <c r="M1669" s="66" t="str">
        <f t="shared" si="185"/>
        <v/>
      </c>
      <c r="N1669" s="66" t="str">
        <f t="shared" si="186"/>
        <v/>
      </c>
      <c r="O1669" s="66" t="str">
        <f t="shared" si="187"/>
        <v/>
      </c>
      <c r="P1669" s="66" t="str">
        <f t="shared" si="188"/>
        <v/>
      </c>
    </row>
    <row r="1670" spans="8:16">
      <c r="H1670" s="66" t="e">
        <f>IF(LEFT(A1670,6)="CEPNTR","GPINS",VLOOKUP(LEFT(A1670,6),'Code Library'!$A$3:$B$920,2,0))&amp;"_"&amp;RIGHT(A1670,3)</f>
        <v>#N/A</v>
      </c>
      <c r="I1670" s="66">
        <f t="shared" si="182"/>
        <v>0</v>
      </c>
      <c r="K1670" s="66" t="str">
        <f t="shared" si="183"/>
        <v/>
      </c>
      <c r="L1670" s="66" t="str">
        <f t="shared" si="184"/>
        <v/>
      </c>
      <c r="M1670" s="66" t="str">
        <f t="shared" si="185"/>
        <v/>
      </c>
      <c r="N1670" s="66" t="str">
        <f t="shared" si="186"/>
        <v/>
      </c>
      <c r="O1670" s="66" t="str">
        <f t="shared" si="187"/>
        <v/>
      </c>
      <c r="P1670" s="66" t="str">
        <f t="shared" si="188"/>
        <v/>
      </c>
    </row>
    <row r="1671" spans="8:16">
      <c r="H1671" s="66" t="e">
        <f>IF(LEFT(A1671,6)="CEPNTR","GPINS",VLOOKUP(LEFT(A1671,6),'Code Library'!$A$3:$B$920,2,0))&amp;"_"&amp;RIGHT(A1671,3)</f>
        <v>#N/A</v>
      </c>
      <c r="I1671" s="66">
        <f t="shared" si="182"/>
        <v>0</v>
      </c>
      <c r="K1671" s="66" t="str">
        <f t="shared" si="183"/>
        <v/>
      </c>
      <c r="L1671" s="66" t="str">
        <f t="shared" si="184"/>
        <v/>
      </c>
      <c r="M1671" s="66" t="str">
        <f t="shared" si="185"/>
        <v/>
      </c>
      <c r="N1671" s="66" t="str">
        <f t="shared" si="186"/>
        <v/>
      </c>
      <c r="O1671" s="66" t="str">
        <f t="shared" si="187"/>
        <v/>
      </c>
      <c r="P1671" s="66" t="str">
        <f t="shared" si="188"/>
        <v/>
      </c>
    </row>
    <row r="1672" spans="8:16">
      <c r="H1672" s="66" t="e">
        <f>IF(LEFT(A1672,6)="CEPNTR","GPINS",VLOOKUP(LEFT(A1672,6),'Code Library'!$A$3:$B$920,2,0))&amp;"_"&amp;RIGHT(A1672,3)</f>
        <v>#N/A</v>
      </c>
      <c r="I1672" s="66">
        <f t="shared" si="182"/>
        <v>0</v>
      </c>
      <c r="K1672" s="66" t="str">
        <f t="shared" si="183"/>
        <v/>
      </c>
      <c r="L1672" s="66" t="str">
        <f t="shared" si="184"/>
        <v/>
      </c>
      <c r="M1672" s="66" t="str">
        <f t="shared" si="185"/>
        <v/>
      </c>
      <c r="N1672" s="66" t="str">
        <f t="shared" si="186"/>
        <v/>
      </c>
      <c r="O1672" s="66" t="str">
        <f t="shared" si="187"/>
        <v/>
      </c>
      <c r="P1672" s="66" t="str">
        <f t="shared" si="188"/>
        <v/>
      </c>
    </row>
    <row r="1673" spans="8:16">
      <c r="H1673" s="66" t="e">
        <f>IF(LEFT(A1673,6)="CEPNTR","GPINS",VLOOKUP(LEFT(A1673,6),'Code Library'!$A$3:$B$920,2,0))&amp;"_"&amp;RIGHT(A1673,3)</f>
        <v>#N/A</v>
      </c>
      <c r="I1673" s="66">
        <f t="shared" si="182"/>
        <v>0</v>
      </c>
      <c r="K1673" s="66" t="str">
        <f t="shared" si="183"/>
        <v/>
      </c>
      <c r="L1673" s="66" t="str">
        <f t="shared" si="184"/>
        <v/>
      </c>
      <c r="M1673" s="66" t="str">
        <f t="shared" si="185"/>
        <v/>
      </c>
      <c r="N1673" s="66" t="str">
        <f t="shared" si="186"/>
        <v/>
      </c>
      <c r="O1673" s="66" t="str">
        <f t="shared" si="187"/>
        <v/>
      </c>
      <c r="P1673" s="66" t="str">
        <f t="shared" si="188"/>
        <v/>
      </c>
    </row>
    <row r="1674" spans="8:16">
      <c r="H1674" s="66" t="e">
        <f>IF(LEFT(A1674,6)="CEPNTR","GPINS",VLOOKUP(LEFT(A1674,6),'Code Library'!$A$3:$B$920,2,0))&amp;"_"&amp;RIGHT(A1674,3)</f>
        <v>#N/A</v>
      </c>
      <c r="I1674" s="66">
        <f t="shared" si="182"/>
        <v>0</v>
      </c>
      <c r="K1674" s="66" t="str">
        <f t="shared" si="183"/>
        <v/>
      </c>
      <c r="L1674" s="66" t="str">
        <f t="shared" si="184"/>
        <v/>
      </c>
      <c r="M1674" s="66" t="str">
        <f t="shared" si="185"/>
        <v/>
      </c>
      <c r="N1674" s="66" t="str">
        <f t="shared" si="186"/>
        <v/>
      </c>
      <c r="O1674" s="66" t="str">
        <f t="shared" si="187"/>
        <v/>
      </c>
      <c r="P1674" s="66" t="str">
        <f t="shared" si="188"/>
        <v/>
      </c>
    </row>
    <row r="1675" spans="8:16">
      <c r="H1675" s="66" t="e">
        <f>IF(LEFT(A1675,6)="CEPNTR","GPINS",VLOOKUP(LEFT(A1675,6),'Code Library'!$A$3:$B$920,2,0))&amp;"_"&amp;RIGHT(A1675,3)</f>
        <v>#N/A</v>
      </c>
      <c r="I1675" s="66">
        <f t="shared" si="182"/>
        <v>0</v>
      </c>
      <c r="K1675" s="66" t="str">
        <f t="shared" si="183"/>
        <v/>
      </c>
      <c r="L1675" s="66" t="str">
        <f t="shared" si="184"/>
        <v/>
      </c>
      <c r="M1675" s="66" t="str">
        <f t="shared" si="185"/>
        <v/>
      </c>
      <c r="N1675" s="66" t="str">
        <f t="shared" si="186"/>
        <v/>
      </c>
      <c r="O1675" s="66" t="str">
        <f t="shared" si="187"/>
        <v/>
      </c>
      <c r="P1675" s="66" t="str">
        <f t="shared" si="188"/>
        <v/>
      </c>
    </row>
    <row r="1676" spans="8:16">
      <c r="H1676" s="66" t="e">
        <f>IF(LEFT(A1676,6)="CEPNTR","GPINS",VLOOKUP(LEFT(A1676,6),'Code Library'!$A$3:$B$920,2,0))&amp;"_"&amp;RIGHT(A1676,3)</f>
        <v>#N/A</v>
      </c>
      <c r="I1676" s="66">
        <f t="shared" si="182"/>
        <v>0</v>
      </c>
      <c r="K1676" s="66" t="str">
        <f t="shared" si="183"/>
        <v/>
      </c>
      <c r="L1676" s="66" t="str">
        <f t="shared" si="184"/>
        <v/>
      </c>
      <c r="M1676" s="66" t="str">
        <f t="shared" si="185"/>
        <v/>
      </c>
      <c r="N1676" s="66" t="str">
        <f t="shared" si="186"/>
        <v/>
      </c>
      <c r="O1676" s="66" t="str">
        <f t="shared" si="187"/>
        <v/>
      </c>
      <c r="P1676" s="66" t="str">
        <f t="shared" si="188"/>
        <v/>
      </c>
    </row>
    <row r="1677" spans="8:16">
      <c r="H1677" s="66" t="e">
        <f>IF(LEFT(A1677,6)="CEPNTR","GPINS",VLOOKUP(LEFT(A1677,6),'Code Library'!$A$3:$B$920,2,0))&amp;"_"&amp;RIGHT(A1677,3)</f>
        <v>#N/A</v>
      </c>
      <c r="I1677" s="66">
        <f t="shared" si="182"/>
        <v>0</v>
      </c>
      <c r="K1677" s="66" t="str">
        <f t="shared" si="183"/>
        <v/>
      </c>
      <c r="L1677" s="66" t="str">
        <f t="shared" si="184"/>
        <v/>
      </c>
      <c r="M1677" s="66" t="str">
        <f t="shared" si="185"/>
        <v/>
      </c>
      <c r="N1677" s="66" t="str">
        <f t="shared" si="186"/>
        <v/>
      </c>
      <c r="O1677" s="66" t="str">
        <f t="shared" si="187"/>
        <v/>
      </c>
      <c r="P1677" s="66" t="str">
        <f t="shared" si="188"/>
        <v/>
      </c>
    </row>
    <row r="1678" spans="8:16">
      <c r="H1678" s="66" t="e">
        <f>IF(LEFT(A1678,6)="CEPNTR","GPINS",VLOOKUP(LEFT(A1678,6),'Code Library'!$A$3:$B$920,2,0))&amp;"_"&amp;RIGHT(A1678,3)</f>
        <v>#N/A</v>
      </c>
      <c r="I1678" s="66">
        <f t="shared" si="182"/>
        <v>0</v>
      </c>
      <c r="K1678" s="66" t="str">
        <f t="shared" si="183"/>
        <v/>
      </c>
      <c r="L1678" s="66" t="str">
        <f t="shared" si="184"/>
        <v/>
      </c>
      <c r="M1678" s="66" t="str">
        <f t="shared" si="185"/>
        <v/>
      </c>
      <c r="N1678" s="66" t="str">
        <f t="shared" si="186"/>
        <v/>
      </c>
      <c r="O1678" s="66" t="str">
        <f t="shared" si="187"/>
        <v/>
      </c>
      <c r="P1678" s="66" t="str">
        <f t="shared" si="188"/>
        <v/>
      </c>
    </row>
    <row r="1679" spans="8:16">
      <c r="H1679" s="66" t="e">
        <f>IF(LEFT(A1679,6)="CEPNTR","GPINS",VLOOKUP(LEFT(A1679,6),'Code Library'!$A$3:$B$920,2,0))&amp;"_"&amp;RIGHT(A1679,3)</f>
        <v>#N/A</v>
      </c>
      <c r="I1679" s="66">
        <f t="shared" si="182"/>
        <v>0</v>
      </c>
      <c r="K1679" s="66" t="str">
        <f t="shared" si="183"/>
        <v/>
      </c>
      <c r="L1679" s="66" t="str">
        <f t="shared" si="184"/>
        <v/>
      </c>
      <c r="M1679" s="66" t="str">
        <f t="shared" si="185"/>
        <v/>
      </c>
      <c r="N1679" s="66" t="str">
        <f t="shared" si="186"/>
        <v/>
      </c>
      <c r="O1679" s="66" t="str">
        <f t="shared" si="187"/>
        <v/>
      </c>
      <c r="P1679" s="66" t="str">
        <f t="shared" si="188"/>
        <v/>
      </c>
    </row>
    <row r="1680" spans="8:16">
      <c r="H1680" s="66" t="e">
        <f>IF(LEFT(A1680,6)="CEPNTR","GPINS",VLOOKUP(LEFT(A1680,6),'Code Library'!$A$3:$B$920,2,0))&amp;"_"&amp;RIGHT(A1680,3)</f>
        <v>#N/A</v>
      </c>
      <c r="I1680" s="66">
        <f t="shared" si="182"/>
        <v>0</v>
      </c>
      <c r="K1680" s="66" t="str">
        <f t="shared" si="183"/>
        <v/>
      </c>
      <c r="L1680" s="66" t="str">
        <f t="shared" si="184"/>
        <v/>
      </c>
      <c r="M1680" s="66" t="str">
        <f t="shared" si="185"/>
        <v/>
      </c>
      <c r="N1680" s="66" t="str">
        <f t="shared" si="186"/>
        <v/>
      </c>
      <c r="O1680" s="66" t="str">
        <f t="shared" si="187"/>
        <v/>
      </c>
      <c r="P1680" s="66" t="str">
        <f t="shared" si="188"/>
        <v/>
      </c>
    </row>
    <row r="1681" spans="8:16">
      <c r="H1681" s="66" t="e">
        <f>IF(LEFT(A1681,6)="CEPNTR","GPINS",VLOOKUP(LEFT(A1681,6),'Code Library'!$A$3:$B$920,2,0))&amp;"_"&amp;RIGHT(A1681,3)</f>
        <v>#N/A</v>
      </c>
      <c r="I1681" s="66">
        <f t="shared" si="182"/>
        <v>0</v>
      </c>
      <c r="K1681" s="66" t="str">
        <f t="shared" si="183"/>
        <v/>
      </c>
      <c r="L1681" s="66" t="str">
        <f t="shared" si="184"/>
        <v/>
      </c>
      <c r="M1681" s="66" t="str">
        <f t="shared" si="185"/>
        <v/>
      </c>
      <c r="N1681" s="66" t="str">
        <f t="shared" si="186"/>
        <v/>
      </c>
      <c r="O1681" s="66" t="str">
        <f t="shared" si="187"/>
        <v/>
      </c>
      <c r="P1681" s="66" t="str">
        <f t="shared" si="188"/>
        <v/>
      </c>
    </row>
    <row r="1682" spans="8:16">
      <c r="H1682" s="66" t="e">
        <f>IF(LEFT(A1682,6)="CEPNTR","GPINS",VLOOKUP(LEFT(A1682,6),'Code Library'!$A$3:$B$920,2,0))&amp;"_"&amp;RIGHT(A1682,3)</f>
        <v>#N/A</v>
      </c>
      <c r="I1682" s="66">
        <f t="shared" si="182"/>
        <v>0</v>
      </c>
      <c r="K1682" s="66" t="str">
        <f t="shared" si="183"/>
        <v/>
      </c>
      <c r="L1682" s="66" t="str">
        <f t="shared" si="184"/>
        <v/>
      </c>
      <c r="M1682" s="66" t="str">
        <f t="shared" si="185"/>
        <v/>
      </c>
      <c r="N1682" s="66" t="str">
        <f t="shared" si="186"/>
        <v/>
      </c>
      <c r="O1682" s="66" t="str">
        <f t="shared" si="187"/>
        <v/>
      </c>
      <c r="P1682" s="66" t="str">
        <f t="shared" si="188"/>
        <v/>
      </c>
    </row>
    <row r="1683" spans="8:16">
      <c r="H1683" s="66" t="e">
        <f>IF(LEFT(A1683,6)="CEPNTR","GPINS",VLOOKUP(LEFT(A1683,6),'Code Library'!$A$3:$B$920,2,0))&amp;"_"&amp;RIGHT(A1683,3)</f>
        <v>#N/A</v>
      </c>
      <c r="I1683" s="66">
        <f t="shared" si="182"/>
        <v>0</v>
      </c>
      <c r="K1683" s="66" t="str">
        <f t="shared" si="183"/>
        <v/>
      </c>
      <c r="L1683" s="66" t="str">
        <f t="shared" si="184"/>
        <v/>
      </c>
      <c r="M1683" s="66" t="str">
        <f t="shared" si="185"/>
        <v/>
      </c>
      <c r="N1683" s="66" t="str">
        <f t="shared" si="186"/>
        <v/>
      </c>
      <c r="O1683" s="66" t="str">
        <f t="shared" si="187"/>
        <v/>
      </c>
      <c r="P1683" s="66" t="str">
        <f t="shared" si="188"/>
        <v/>
      </c>
    </row>
    <row r="1684" spans="8:16">
      <c r="H1684" s="66" t="e">
        <f>IF(LEFT(A1684,6)="CEPNTR","GPINS",VLOOKUP(LEFT(A1684,6),'Code Library'!$A$3:$B$920,2,0))&amp;"_"&amp;RIGHT(A1684,3)</f>
        <v>#N/A</v>
      </c>
      <c r="I1684" s="66">
        <f t="shared" si="182"/>
        <v>0</v>
      </c>
      <c r="K1684" s="66" t="str">
        <f t="shared" si="183"/>
        <v/>
      </c>
      <c r="L1684" s="66" t="str">
        <f t="shared" si="184"/>
        <v/>
      </c>
      <c r="M1684" s="66" t="str">
        <f t="shared" si="185"/>
        <v/>
      </c>
      <c r="N1684" s="66" t="str">
        <f t="shared" si="186"/>
        <v/>
      </c>
      <c r="O1684" s="66" t="str">
        <f t="shared" si="187"/>
        <v/>
      </c>
      <c r="P1684" s="66" t="str">
        <f t="shared" si="188"/>
        <v/>
      </c>
    </row>
    <row r="1685" spans="8:16">
      <c r="H1685" s="66" t="e">
        <f>IF(LEFT(A1685,6)="CEPNTR","GPINS",VLOOKUP(LEFT(A1685,6),'Code Library'!$A$3:$B$920,2,0))&amp;"_"&amp;RIGHT(A1685,3)</f>
        <v>#N/A</v>
      </c>
      <c r="I1685" s="66">
        <f t="shared" si="182"/>
        <v>0</v>
      </c>
      <c r="K1685" s="66" t="str">
        <f t="shared" si="183"/>
        <v/>
      </c>
      <c r="L1685" s="66" t="str">
        <f t="shared" si="184"/>
        <v/>
      </c>
      <c r="M1685" s="66" t="str">
        <f t="shared" si="185"/>
        <v/>
      </c>
      <c r="N1685" s="66" t="str">
        <f t="shared" si="186"/>
        <v/>
      </c>
      <c r="O1685" s="66" t="str">
        <f t="shared" si="187"/>
        <v/>
      </c>
      <c r="P1685" s="66" t="str">
        <f t="shared" si="188"/>
        <v/>
      </c>
    </row>
    <row r="1686" spans="8:16">
      <c r="H1686" s="66" t="e">
        <f>IF(LEFT(A1686,6)="CEPNTR","GPINS",VLOOKUP(LEFT(A1686,6),'Code Library'!$A$3:$B$920,2,0))&amp;"_"&amp;RIGHT(A1686,3)</f>
        <v>#N/A</v>
      </c>
      <c r="I1686" s="66">
        <f t="shared" si="182"/>
        <v>0</v>
      </c>
      <c r="K1686" s="66" t="str">
        <f t="shared" si="183"/>
        <v/>
      </c>
      <c r="L1686" s="66" t="str">
        <f t="shared" si="184"/>
        <v/>
      </c>
      <c r="M1686" s="66" t="str">
        <f t="shared" si="185"/>
        <v/>
      </c>
      <c r="N1686" s="66" t="str">
        <f t="shared" si="186"/>
        <v/>
      </c>
      <c r="O1686" s="66" t="str">
        <f t="shared" si="187"/>
        <v/>
      </c>
      <c r="P1686" s="66" t="str">
        <f t="shared" si="188"/>
        <v/>
      </c>
    </row>
    <row r="1687" spans="8:16">
      <c r="H1687" s="66" t="e">
        <f>IF(LEFT(A1687,6)="CEPNTR","GPINS",VLOOKUP(LEFT(A1687,6),'Code Library'!$A$3:$B$920,2,0))&amp;"_"&amp;RIGHT(A1687,3)</f>
        <v>#N/A</v>
      </c>
      <c r="I1687" s="66">
        <f t="shared" si="182"/>
        <v>0</v>
      </c>
      <c r="K1687" s="66" t="str">
        <f t="shared" si="183"/>
        <v/>
      </c>
      <c r="L1687" s="66" t="str">
        <f t="shared" si="184"/>
        <v/>
      </c>
      <c r="M1687" s="66" t="str">
        <f t="shared" si="185"/>
        <v/>
      </c>
      <c r="N1687" s="66" t="str">
        <f t="shared" si="186"/>
        <v/>
      </c>
      <c r="O1687" s="66" t="str">
        <f t="shared" si="187"/>
        <v/>
      </c>
      <c r="P1687" s="66" t="str">
        <f t="shared" si="188"/>
        <v/>
      </c>
    </row>
    <row r="1688" spans="8:16">
      <c r="H1688" s="66" t="e">
        <f>IF(LEFT(A1688,6)="CEPNTR","GPINS",VLOOKUP(LEFT(A1688,6),'Code Library'!$A$3:$B$920,2,0))&amp;"_"&amp;RIGHT(A1688,3)</f>
        <v>#N/A</v>
      </c>
      <c r="I1688" s="66">
        <f t="shared" si="182"/>
        <v>0</v>
      </c>
      <c r="K1688" s="66" t="str">
        <f t="shared" si="183"/>
        <v/>
      </c>
      <c r="L1688" s="66" t="str">
        <f t="shared" si="184"/>
        <v/>
      </c>
      <c r="M1688" s="66" t="str">
        <f t="shared" si="185"/>
        <v/>
      </c>
      <c r="N1688" s="66" t="str">
        <f t="shared" si="186"/>
        <v/>
      </c>
      <c r="O1688" s="66" t="str">
        <f t="shared" si="187"/>
        <v/>
      </c>
      <c r="P1688" s="66" t="str">
        <f t="shared" si="188"/>
        <v/>
      </c>
    </row>
    <row r="1689" spans="8:16">
      <c r="H1689" s="66" t="e">
        <f>IF(LEFT(A1689,6)="CEPNTR","GPINS",VLOOKUP(LEFT(A1689,6),'Code Library'!$A$3:$B$920,2,0))&amp;"_"&amp;RIGHT(A1689,3)</f>
        <v>#N/A</v>
      </c>
      <c r="I1689" s="66">
        <f t="shared" si="182"/>
        <v>0</v>
      </c>
      <c r="K1689" s="66" t="str">
        <f t="shared" si="183"/>
        <v/>
      </c>
      <c r="L1689" s="66" t="str">
        <f t="shared" si="184"/>
        <v/>
      </c>
      <c r="M1689" s="66" t="str">
        <f t="shared" si="185"/>
        <v/>
      </c>
      <c r="N1689" s="66" t="str">
        <f t="shared" si="186"/>
        <v/>
      </c>
      <c r="O1689" s="66" t="str">
        <f t="shared" si="187"/>
        <v/>
      </c>
      <c r="P1689" s="66" t="str">
        <f t="shared" si="188"/>
        <v/>
      </c>
    </row>
    <row r="1690" spans="8:16">
      <c r="H1690" s="66" t="e">
        <f>IF(LEFT(A1690,6)="CEPNTR","GPINS",VLOOKUP(LEFT(A1690,6),'Code Library'!$A$3:$B$920,2,0))&amp;"_"&amp;RIGHT(A1690,3)</f>
        <v>#N/A</v>
      </c>
      <c r="I1690" s="66">
        <f t="shared" si="182"/>
        <v>0</v>
      </c>
      <c r="K1690" s="66" t="str">
        <f t="shared" si="183"/>
        <v/>
      </c>
      <c r="L1690" s="66" t="str">
        <f t="shared" si="184"/>
        <v/>
      </c>
      <c r="M1690" s="66" t="str">
        <f t="shared" si="185"/>
        <v/>
      </c>
      <c r="N1690" s="66" t="str">
        <f t="shared" si="186"/>
        <v/>
      </c>
      <c r="O1690" s="66" t="str">
        <f t="shared" si="187"/>
        <v/>
      </c>
      <c r="P1690" s="66" t="str">
        <f t="shared" si="188"/>
        <v/>
      </c>
    </row>
    <row r="1691" spans="8:16">
      <c r="H1691" s="66" t="e">
        <f>IF(LEFT(A1691,6)="CEPNTR","GPINS",VLOOKUP(LEFT(A1691,6),'Code Library'!$A$3:$B$920,2,0))&amp;"_"&amp;RIGHT(A1691,3)</f>
        <v>#N/A</v>
      </c>
      <c r="I1691" s="66">
        <f t="shared" si="182"/>
        <v>0</v>
      </c>
      <c r="K1691" s="66" t="str">
        <f t="shared" si="183"/>
        <v/>
      </c>
      <c r="L1691" s="66" t="str">
        <f t="shared" si="184"/>
        <v/>
      </c>
      <c r="M1691" s="66" t="str">
        <f t="shared" si="185"/>
        <v/>
      </c>
      <c r="N1691" s="66" t="str">
        <f t="shared" si="186"/>
        <v/>
      </c>
      <c r="O1691" s="66" t="str">
        <f t="shared" si="187"/>
        <v/>
      </c>
      <c r="P1691" s="66" t="str">
        <f t="shared" si="188"/>
        <v/>
      </c>
    </row>
    <row r="1692" spans="8:16">
      <c r="H1692" s="66" t="e">
        <f>IF(LEFT(A1692,6)="CEPNTR","GPINS",VLOOKUP(LEFT(A1692,6),'Code Library'!$A$3:$B$920,2,0))&amp;"_"&amp;RIGHT(A1692,3)</f>
        <v>#N/A</v>
      </c>
      <c r="I1692" s="66">
        <f t="shared" si="182"/>
        <v>0</v>
      </c>
      <c r="K1692" s="66" t="str">
        <f t="shared" si="183"/>
        <v/>
      </c>
      <c r="L1692" s="66" t="str">
        <f t="shared" si="184"/>
        <v/>
      </c>
      <c r="M1692" s="66" t="str">
        <f t="shared" si="185"/>
        <v/>
      </c>
      <c r="N1692" s="66" t="str">
        <f t="shared" si="186"/>
        <v/>
      </c>
      <c r="O1692" s="66" t="str">
        <f t="shared" si="187"/>
        <v/>
      </c>
      <c r="P1692" s="66" t="str">
        <f t="shared" si="188"/>
        <v/>
      </c>
    </row>
    <row r="1693" spans="8:16">
      <c r="H1693" s="66" t="e">
        <f>IF(LEFT(A1693,6)="CEPNTR","GPINS",VLOOKUP(LEFT(A1693,6),'Code Library'!$A$3:$B$920,2,0))&amp;"_"&amp;RIGHT(A1693,3)</f>
        <v>#N/A</v>
      </c>
      <c r="I1693" s="66">
        <f t="shared" si="182"/>
        <v>0</v>
      </c>
      <c r="K1693" s="66" t="str">
        <f t="shared" si="183"/>
        <v/>
      </c>
      <c r="L1693" s="66" t="str">
        <f t="shared" si="184"/>
        <v/>
      </c>
      <c r="M1693" s="66" t="str">
        <f t="shared" si="185"/>
        <v/>
      </c>
      <c r="N1693" s="66" t="str">
        <f t="shared" si="186"/>
        <v/>
      </c>
      <c r="O1693" s="66" t="str">
        <f t="shared" si="187"/>
        <v/>
      </c>
      <c r="P1693" s="66" t="str">
        <f t="shared" si="188"/>
        <v/>
      </c>
    </row>
    <row r="1694" spans="8:16">
      <c r="H1694" s="66" t="e">
        <f>IF(LEFT(A1694,6)="CEPNTR","GPINS",VLOOKUP(LEFT(A1694,6),'Code Library'!$A$3:$B$920,2,0))&amp;"_"&amp;RIGHT(A1694,3)</f>
        <v>#N/A</v>
      </c>
      <c r="I1694" s="66">
        <f t="shared" si="182"/>
        <v>0</v>
      </c>
      <c r="K1694" s="66" t="str">
        <f t="shared" si="183"/>
        <v/>
      </c>
      <c r="L1694" s="66" t="str">
        <f t="shared" si="184"/>
        <v/>
      </c>
      <c r="M1694" s="66" t="str">
        <f t="shared" si="185"/>
        <v/>
      </c>
      <c r="N1694" s="66" t="str">
        <f t="shared" si="186"/>
        <v/>
      </c>
      <c r="O1694" s="66" t="str">
        <f t="shared" si="187"/>
        <v/>
      </c>
      <c r="P1694" s="66" t="str">
        <f t="shared" si="188"/>
        <v/>
      </c>
    </row>
    <row r="1695" spans="8:16">
      <c r="H1695" s="66" t="e">
        <f>IF(LEFT(A1695,6)="CEPNTR","GPINS",VLOOKUP(LEFT(A1695,6),'Code Library'!$A$3:$B$920,2,0))&amp;"_"&amp;RIGHT(A1695,3)</f>
        <v>#N/A</v>
      </c>
      <c r="I1695" s="66">
        <f t="shared" si="182"/>
        <v>0</v>
      </c>
      <c r="K1695" s="66" t="str">
        <f t="shared" si="183"/>
        <v/>
      </c>
      <c r="L1695" s="66" t="str">
        <f t="shared" si="184"/>
        <v/>
      </c>
      <c r="M1695" s="66" t="str">
        <f t="shared" si="185"/>
        <v/>
      </c>
      <c r="N1695" s="66" t="str">
        <f t="shared" si="186"/>
        <v/>
      </c>
      <c r="O1695" s="66" t="str">
        <f t="shared" si="187"/>
        <v/>
      </c>
      <c r="P1695" s="66" t="str">
        <f t="shared" si="188"/>
        <v/>
      </c>
    </row>
    <row r="1696" spans="8:16">
      <c r="H1696" s="66" t="e">
        <f>IF(LEFT(A1696,6)="CEPNTR","GPINS",VLOOKUP(LEFT(A1696,6),'Code Library'!$A$3:$B$920,2,0))&amp;"_"&amp;RIGHT(A1696,3)</f>
        <v>#N/A</v>
      </c>
      <c r="I1696" s="66">
        <f t="shared" si="182"/>
        <v>0</v>
      </c>
      <c r="K1696" s="66" t="str">
        <f t="shared" si="183"/>
        <v/>
      </c>
      <c r="L1696" s="66" t="str">
        <f t="shared" si="184"/>
        <v/>
      </c>
      <c r="M1696" s="66" t="str">
        <f t="shared" si="185"/>
        <v/>
      </c>
      <c r="N1696" s="66" t="str">
        <f t="shared" si="186"/>
        <v/>
      </c>
      <c r="O1696" s="66" t="str">
        <f t="shared" si="187"/>
        <v/>
      </c>
      <c r="P1696" s="66" t="str">
        <f t="shared" si="188"/>
        <v/>
      </c>
    </row>
    <row r="1697" spans="8:16">
      <c r="H1697" s="66" t="e">
        <f>IF(LEFT(A1697,6)="CEPNTR","GPINS",VLOOKUP(LEFT(A1697,6),'Code Library'!$A$3:$B$920,2,0))&amp;"_"&amp;RIGHT(A1697,3)</f>
        <v>#N/A</v>
      </c>
      <c r="I1697" s="66">
        <f t="shared" si="182"/>
        <v>0</v>
      </c>
      <c r="K1697" s="66" t="str">
        <f t="shared" si="183"/>
        <v/>
      </c>
      <c r="L1697" s="66" t="str">
        <f t="shared" si="184"/>
        <v/>
      </c>
      <c r="M1697" s="66" t="str">
        <f t="shared" si="185"/>
        <v/>
      </c>
      <c r="N1697" s="66" t="str">
        <f t="shared" si="186"/>
        <v/>
      </c>
      <c r="O1697" s="66" t="str">
        <f t="shared" si="187"/>
        <v/>
      </c>
      <c r="P1697" s="66" t="str">
        <f t="shared" si="188"/>
        <v/>
      </c>
    </row>
    <row r="1698" spans="8:16">
      <c r="H1698" s="66" t="e">
        <f>IF(LEFT(A1698,6)="CEPNTR","GPINS",VLOOKUP(LEFT(A1698,6),'Code Library'!$A$3:$B$920,2,0))&amp;"_"&amp;RIGHT(A1698,3)</f>
        <v>#N/A</v>
      </c>
      <c r="I1698" s="66">
        <f t="shared" si="182"/>
        <v>0</v>
      </c>
      <c r="K1698" s="66" t="str">
        <f t="shared" si="183"/>
        <v/>
      </c>
      <c r="L1698" s="66" t="str">
        <f t="shared" si="184"/>
        <v/>
      </c>
      <c r="M1698" s="66" t="str">
        <f t="shared" si="185"/>
        <v/>
      </c>
      <c r="N1698" s="66" t="str">
        <f t="shared" si="186"/>
        <v/>
      </c>
      <c r="O1698" s="66" t="str">
        <f t="shared" si="187"/>
        <v/>
      </c>
      <c r="P1698" s="66" t="str">
        <f t="shared" si="188"/>
        <v/>
      </c>
    </row>
    <row r="1699" spans="8:16">
      <c r="H1699" s="66" t="e">
        <f>IF(LEFT(A1699,6)="CEPNTR","GPINS",VLOOKUP(LEFT(A1699,6),'Code Library'!$A$3:$B$920,2,0))&amp;"_"&amp;RIGHT(A1699,3)</f>
        <v>#N/A</v>
      </c>
      <c r="I1699" s="66">
        <f t="shared" si="182"/>
        <v>0</v>
      </c>
      <c r="K1699" s="66" t="str">
        <f t="shared" si="183"/>
        <v/>
      </c>
      <c r="L1699" s="66" t="str">
        <f t="shared" si="184"/>
        <v/>
      </c>
      <c r="M1699" s="66" t="str">
        <f t="shared" si="185"/>
        <v/>
      </c>
      <c r="N1699" s="66" t="str">
        <f t="shared" si="186"/>
        <v/>
      </c>
      <c r="O1699" s="66" t="str">
        <f t="shared" si="187"/>
        <v/>
      </c>
      <c r="P1699" s="66" t="str">
        <f t="shared" si="188"/>
        <v/>
      </c>
    </row>
    <row r="1700" spans="8:16">
      <c r="H1700" s="66" t="e">
        <f>IF(LEFT(A1700,6)="CEPNTR","GPINS",VLOOKUP(LEFT(A1700,6),'Code Library'!$A$3:$B$920,2,0))&amp;"_"&amp;RIGHT(A1700,3)</f>
        <v>#N/A</v>
      </c>
      <c r="I1700" s="66">
        <f t="shared" si="182"/>
        <v>0</v>
      </c>
      <c r="K1700" s="66" t="str">
        <f t="shared" si="183"/>
        <v/>
      </c>
      <c r="L1700" s="66" t="str">
        <f t="shared" si="184"/>
        <v/>
      </c>
      <c r="M1700" s="66" t="str">
        <f t="shared" si="185"/>
        <v/>
      </c>
      <c r="N1700" s="66" t="str">
        <f t="shared" si="186"/>
        <v/>
      </c>
      <c r="O1700" s="66" t="str">
        <f t="shared" si="187"/>
        <v/>
      </c>
      <c r="P1700" s="66" t="str">
        <f t="shared" si="188"/>
        <v/>
      </c>
    </row>
    <row r="1701" spans="8:16">
      <c r="H1701" s="66" t="e">
        <f>IF(LEFT(A1701,6)="CEPNTR","GPINS",VLOOKUP(LEFT(A1701,6),'Code Library'!$A$3:$B$920,2,0))&amp;"_"&amp;RIGHT(A1701,3)</f>
        <v>#N/A</v>
      </c>
      <c r="I1701" s="66">
        <f t="shared" si="182"/>
        <v>0</v>
      </c>
      <c r="K1701" s="66" t="str">
        <f t="shared" si="183"/>
        <v/>
      </c>
      <c r="L1701" s="66" t="str">
        <f t="shared" si="184"/>
        <v/>
      </c>
      <c r="M1701" s="66" t="str">
        <f t="shared" si="185"/>
        <v/>
      </c>
      <c r="N1701" s="66" t="str">
        <f t="shared" si="186"/>
        <v/>
      </c>
      <c r="O1701" s="66" t="str">
        <f t="shared" si="187"/>
        <v/>
      </c>
      <c r="P1701" s="66" t="str">
        <f t="shared" si="188"/>
        <v/>
      </c>
    </row>
    <row r="1702" spans="8:16">
      <c r="H1702" s="66" t="e">
        <f>IF(LEFT(A1702,6)="CEPNTR","GPINS",VLOOKUP(LEFT(A1702,6),'Code Library'!$A$3:$B$920,2,0))&amp;"_"&amp;RIGHT(A1702,3)</f>
        <v>#N/A</v>
      </c>
      <c r="I1702" s="66">
        <f t="shared" si="182"/>
        <v>0</v>
      </c>
      <c r="K1702" s="66" t="str">
        <f t="shared" si="183"/>
        <v/>
      </c>
      <c r="L1702" s="66" t="str">
        <f t="shared" si="184"/>
        <v/>
      </c>
      <c r="M1702" s="66" t="str">
        <f t="shared" si="185"/>
        <v/>
      </c>
      <c r="N1702" s="66" t="str">
        <f t="shared" si="186"/>
        <v/>
      </c>
      <c r="O1702" s="66" t="str">
        <f t="shared" si="187"/>
        <v/>
      </c>
      <c r="P1702" s="66" t="str">
        <f t="shared" si="188"/>
        <v/>
      </c>
    </row>
    <row r="1703" spans="8:16">
      <c r="H1703" s="66" t="e">
        <f>IF(LEFT(A1703,6)="CEPNTR","GPINS",VLOOKUP(LEFT(A1703,6),'Code Library'!$A$3:$B$920,2,0))&amp;"_"&amp;RIGHT(A1703,3)</f>
        <v>#N/A</v>
      </c>
      <c r="I1703" s="66">
        <f t="shared" si="182"/>
        <v>0</v>
      </c>
      <c r="K1703" s="66" t="str">
        <f t="shared" si="183"/>
        <v/>
      </c>
      <c r="L1703" s="66" t="str">
        <f t="shared" si="184"/>
        <v/>
      </c>
      <c r="M1703" s="66" t="str">
        <f t="shared" si="185"/>
        <v/>
      </c>
      <c r="N1703" s="66" t="str">
        <f t="shared" si="186"/>
        <v/>
      </c>
      <c r="O1703" s="66" t="str">
        <f t="shared" si="187"/>
        <v/>
      </c>
      <c r="P1703" s="66" t="str">
        <f t="shared" si="188"/>
        <v/>
      </c>
    </row>
    <row r="1704" spans="8:16">
      <c r="H1704" s="66" t="e">
        <f>IF(LEFT(A1704,6)="CEPNTR","GPINS",VLOOKUP(LEFT(A1704,6),'Code Library'!$A$3:$B$920,2,0))&amp;"_"&amp;RIGHT(A1704,3)</f>
        <v>#N/A</v>
      </c>
      <c r="I1704" s="66">
        <f t="shared" si="182"/>
        <v>0</v>
      </c>
      <c r="K1704" s="66" t="str">
        <f t="shared" si="183"/>
        <v/>
      </c>
      <c r="L1704" s="66" t="str">
        <f t="shared" si="184"/>
        <v/>
      </c>
      <c r="M1704" s="66" t="str">
        <f t="shared" si="185"/>
        <v/>
      </c>
      <c r="N1704" s="66" t="str">
        <f t="shared" si="186"/>
        <v/>
      </c>
      <c r="O1704" s="66" t="str">
        <f t="shared" si="187"/>
        <v/>
      </c>
      <c r="P1704" s="66" t="str">
        <f t="shared" si="188"/>
        <v/>
      </c>
    </row>
    <row r="1705" spans="8:16">
      <c r="H1705" s="66" t="e">
        <f>IF(LEFT(A1705,6)="CEPNTR","GPINS",VLOOKUP(LEFT(A1705,6),'Code Library'!$A$3:$B$920,2,0))&amp;"_"&amp;RIGHT(A1705,3)</f>
        <v>#N/A</v>
      </c>
      <c r="I1705" s="66">
        <f t="shared" si="182"/>
        <v>0</v>
      </c>
      <c r="K1705" s="66" t="str">
        <f t="shared" si="183"/>
        <v/>
      </c>
      <c r="L1705" s="66" t="str">
        <f t="shared" si="184"/>
        <v/>
      </c>
      <c r="M1705" s="66" t="str">
        <f t="shared" si="185"/>
        <v/>
      </c>
      <c r="N1705" s="66" t="str">
        <f t="shared" si="186"/>
        <v/>
      </c>
      <c r="O1705" s="66" t="str">
        <f t="shared" si="187"/>
        <v/>
      </c>
      <c r="P1705" s="66" t="str">
        <f t="shared" si="188"/>
        <v/>
      </c>
    </row>
    <row r="1706" spans="8:16">
      <c r="H1706" s="66" t="e">
        <f>IF(LEFT(A1706,6)="CEPNTR","GPINS",VLOOKUP(LEFT(A1706,6),'Code Library'!$A$3:$B$920,2,0))&amp;"_"&amp;RIGHT(A1706,3)</f>
        <v>#N/A</v>
      </c>
      <c r="I1706" s="66">
        <f t="shared" si="182"/>
        <v>0</v>
      </c>
      <c r="K1706" s="66" t="str">
        <f t="shared" si="183"/>
        <v/>
      </c>
      <c r="L1706" s="66" t="str">
        <f t="shared" si="184"/>
        <v/>
      </c>
      <c r="M1706" s="66" t="str">
        <f t="shared" si="185"/>
        <v/>
      </c>
      <c r="N1706" s="66" t="str">
        <f t="shared" si="186"/>
        <v/>
      </c>
      <c r="O1706" s="66" t="str">
        <f t="shared" si="187"/>
        <v/>
      </c>
      <c r="P1706" s="66" t="str">
        <f t="shared" si="188"/>
        <v/>
      </c>
    </row>
    <row r="1707" spans="8:16">
      <c r="H1707" s="66" t="e">
        <f>IF(LEFT(A1707,6)="CEPNTR","GPINS",VLOOKUP(LEFT(A1707,6),'Code Library'!$A$3:$B$920,2,0))&amp;"_"&amp;RIGHT(A1707,3)</f>
        <v>#N/A</v>
      </c>
      <c r="I1707" s="66">
        <f t="shared" si="182"/>
        <v>0</v>
      </c>
      <c r="K1707" s="66" t="str">
        <f t="shared" si="183"/>
        <v/>
      </c>
      <c r="L1707" s="66" t="str">
        <f t="shared" si="184"/>
        <v/>
      </c>
      <c r="M1707" s="66" t="str">
        <f t="shared" si="185"/>
        <v/>
      </c>
      <c r="N1707" s="66" t="str">
        <f t="shared" si="186"/>
        <v/>
      </c>
      <c r="O1707" s="66" t="str">
        <f t="shared" si="187"/>
        <v/>
      </c>
      <c r="P1707" s="66" t="str">
        <f t="shared" si="188"/>
        <v/>
      </c>
    </row>
    <row r="1708" spans="8:16">
      <c r="H1708" s="66" t="e">
        <f>IF(LEFT(A1708,6)="CEPNTR","GPINS",VLOOKUP(LEFT(A1708,6),'Code Library'!$A$3:$B$920,2,0))&amp;"_"&amp;RIGHT(A1708,3)</f>
        <v>#N/A</v>
      </c>
      <c r="I1708" s="66">
        <f t="shared" si="182"/>
        <v>0</v>
      </c>
      <c r="K1708" s="66" t="str">
        <f t="shared" si="183"/>
        <v/>
      </c>
      <c r="L1708" s="66" t="str">
        <f t="shared" si="184"/>
        <v/>
      </c>
      <c r="M1708" s="66" t="str">
        <f t="shared" si="185"/>
        <v/>
      </c>
      <c r="N1708" s="66" t="str">
        <f t="shared" si="186"/>
        <v/>
      </c>
      <c r="O1708" s="66" t="str">
        <f t="shared" si="187"/>
        <v/>
      </c>
      <c r="P1708" s="66" t="str">
        <f t="shared" si="188"/>
        <v/>
      </c>
    </row>
    <row r="1709" spans="8:16">
      <c r="H1709" s="66" t="e">
        <f>IF(LEFT(A1709,6)="CEPNTR","GPINS",VLOOKUP(LEFT(A1709,6),'Code Library'!$A$3:$B$920,2,0))&amp;"_"&amp;RIGHT(A1709,3)</f>
        <v>#N/A</v>
      </c>
      <c r="I1709" s="66">
        <f t="shared" si="182"/>
        <v>0</v>
      </c>
      <c r="K1709" s="66" t="str">
        <f t="shared" si="183"/>
        <v/>
      </c>
      <c r="L1709" s="66" t="str">
        <f t="shared" si="184"/>
        <v/>
      </c>
      <c r="M1709" s="66" t="str">
        <f t="shared" si="185"/>
        <v/>
      </c>
      <c r="N1709" s="66" t="str">
        <f t="shared" si="186"/>
        <v/>
      </c>
      <c r="O1709" s="66" t="str">
        <f t="shared" si="187"/>
        <v/>
      </c>
      <c r="P1709" s="66" t="str">
        <f t="shared" si="188"/>
        <v/>
      </c>
    </row>
    <row r="1710" spans="8:16">
      <c r="H1710" s="66" t="e">
        <f>IF(LEFT(A1710,6)="CEPNTR","GPINS",VLOOKUP(LEFT(A1710,6),'Code Library'!$A$3:$B$920,2,0))&amp;"_"&amp;RIGHT(A1710,3)</f>
        <v>#N/A</v>
      </c>
      <c r="I1710" s="66">
        <f t="shared" si="182"/>
        <v>0</v>
      </c>
      <c r="K1710" s="66" t="str">
        <f t="shared" si="183"/>
        <v/>
      </c>
      <c r="L1710" s="66" t="str">
        <f t="shared" si="184"/>
        <v/>
      </c>
      <c r="M1710" s="66" t="str">
        <f t="shared" si="185"/>
        <v/>
      </c>
      <c r="N1710" s="66" t="str">
        <f t="shared" si="186"/>
        <v/>
      </c>
      <c r="O1710" s="66" t="str">
        <f t="shared" si="187"/>
        <v/>
      </c>
      <c r="P1710" s="66" t="str">
        <f t="shared" si="188"/>
        <v/>
      </c>
    </row>
    <row r="1711" spans="8:16">
      <c r="H1711" s="66" t="e">
        <f>IF(LEFT(A1711,6)="CEPNTR","GPINS",VLOOKUP(LEFT(A1711,6),'Code Library'!$A$3:$B$920,2,0))&amp;"_"&amp;RIGHT(A1711,3)</f>
        <v>#N/A</v>
      </c>
      <c r="I1711" s="66">
        <f t="shared" si="182"/>
        <v>0</v>
      </c>
      <c r="K1711" s="66" t="str">
        <f t="shared" si="183"/>
        <v/>
      </c>
      <c r="L1711" s="66" t="str">
        <f t="shared" si="184"/>
        <v/>
      </c>
      <c r="M1711" s="66" t="str">
        <f t="shared" si="185"/>
        <v/>
      </c>
      <c r="N1711" s="66" t="str">
        <f t="shared" si="186"/>
        <v/>
      </c>
      <c r="O1711" s="66" t="str">
        <f t="shared" si="187"/>
        <v/>
      </c>
      <c r="P1711" s="66" t="str">
        <f t="shared" si="188"/>
        <v/>
      </c>
    </row>
    <row r="1712" spans="8:16">
      <c r="H1712" s="66" t="e">
        <f>IF(LEFT(A1712,6)="CEPNTR","GPINS",VLOOKUP(LEFT(A1712,6),'Code Library'!$A$3:$B$920,2,0))&amp;"_"&amp;RIGHT(A1712,3)</f>
        <v>#N/A</v>
      </c>
      <c r="I1712" s="66">
        <f t="shared" si="182"/>
        <v>0</v>
      </c>
      <c r="K1712" s="66" t="str">
        <f t="shared" si="183"/>
        <v/>
      </c>
      <c r="L1712" s="66" t="str">
        <f t="shared" si="184"/>
        <v/>
      </c>
      <c r="M1712" s="66" t="str">
        <f t="shared" si="185"/>
        <v/>
      </c>
      <c r="N1712" s="66" t="str">
        <f t="shared" si="186"/>
        <v/>
      </c>
      <c r="O1712" s="66" t="str">
        <f t="shared" si="187"/>
        <v/>
      </c>
      <c r="P1712" s="66" t="str">
        <f t="shared" si="188"/>
        <v/>
      </c>
    </row>
    <row r="1713" spans="8:16">
      <c r="H1713" s="66" t="e">
        <f>IF(LEFT(A1713,6)="CEPNTR","GPINS",VLOOKUP(LEFT(A1713,6),'Code Library'!$A$3:$B$920,2,0))&amp;"_"&amp;RIGHT(A1713,3)</f>
        <v>#N/A</v>
      </c>
      <c r="I1713" s="66">
        <f t="shared" si="182"/>
        <v>0</v>
      </c>
      <c r="K1713" s="66" t="str">
        <f t="shared" si="183"/>
        <v/>
      </c>
      <c r="L1713" s="66" t="str">
        <f t="shared" si="184"/>
        <v/>
      </c>
      <c r="M1713" s="66" t="str">
        <f t="shared" si="185"/>
        <v/>
      </c>
      <c r="N1713" s="66" t="str">
        <f t="shared" si="186"/>
        <v/>
      </c>
      <c r="O1713" s="66" t="str">
        <f t="shared" si="187"/>
        <v/>
      </c>
      <c r="P1713" s="66" t="str">
        <f t="shared" si="188"/>
        <v/>
      </c>
    </row>
    <row r="1714" spans="8:16">
      <c r="H1714" s="66" t="e">
        <f>IF(LEFT(A1714,6)="CEPNTR","GPINS",VLOOKUP(LEFT(A1714,6),'Code Library'!$A$3:$B$920,2,0))&amp;"_"&amp;RIGHT(A1714,3)</f>
        <v>#N/A</v>
      </c>
      <c r="I1714" s="66">
        <f t="shared" si="182"/>
        <v>0</v>
      </c>
      <c r="K1714" s="66" t="str">
        <f t="shared" si="183"/>
        <v/>
      </c>
      <c r="L1714" s="66" t="str">
        <f t="shared" si="184"/>
        <v/>
      </c>
      <c r="M1714" s="66" t="str">
        <f t="shared" si="185"/>
        <v/>
      </c>
      <c r="N1714" s="66" t="str">
        <f t="shared" si="186"/>
        <v/>
      </c>
      <c r="O1714" s="66" t="str">
        <f t="shared" si="187"/>
        <v/>
      </c>
      <c r="P1714" s="66" t="str">
        <f t="shared" si="188"/>
        <v/>
      </c>
    </row>
    <row r="1715" spans="8:16">
      <c r="H1715" s="66" t="e">
        <f>IF(LEFT(A1715,6)="CEPNTR","GPINS",VLOOKUP(LEFT(A1715,6),'Code Library'!$A$3:$B$920,2,0))&amp;"_"&amp;RIGHT(A1715,3)</f>
        <v>#N/A</v>
      </c>
      <c r="I1715" s="66">
        <f t="shared" si="182"/>
        <v>0</v>
      </c>
      <c r="K1715" s="66" t="str">
        <f t="shared" si="183"/>
        <v/>
      </c>
      <c r="L1715" s="66" t="str">
        <f t="shared" si="184"/>
        <v/>
      </c>
      <c r="M1715" s="66" t="str">
        <f t="shared" si="185"/>
        <v/>
      </c>
      <c r="N1715" s="66" t="str">
        <f t="shared" si="186"/>
        <v/>
      </c>
      <c r="O1715" s="66" t="str">
        <f t="shared" si="187"/>
        <v/>
      </c>
      <c r="P1715" s="66" t="str">
        <f t="shared" si="188"/>
        <v/>
      </c>
    </row>
    <row r="1716" spans="8:16">
      <c r="H1716" s="66" t="e">
        <f>IF(LEFT(A1716,6)="CEPNTR","GPINS",VLOOKUP(LEFT(A1716,6),'Code Library'!$A$3:$B$920,2,0))&amp;"_"&amp;RIGHT(A1716,3)</f>
        <v>#N/A</v>
      </c>
      <c r="I1716" s="66">
        <f t="shared" si="182"/>
        <v>0</v>
      </c>
      <c r="K1716" s="66" t="str">
        <f t="shared" si="183"/>
        <v/>
      </c>
      <c r="L1716" s="66" t="str">
        <f t="shared" si="184"/>
        <v/>
      </c>
      <c r="M1716" s="66" t="str">
        <f t="shared" si="185"/>
        <v/>
      </c>
      <c r="N1716" s="66" t="str">
        <f t="shared" si="186"/>
        <v/>
      </c>
      <c r="O1716" s="66" t="str">
        <f t="shared" si="187"/>
        <v/>
      </c>
      <c r="P1716" s="66" t="str">
        <f t="shared" si="188"/>
        <v/>
      </c>
    </row>
    <row r="1717" spans="8:16">
      <c r="H1717" s="66" t="e">
        <f>IF(LEFT(A1717,6)="CEPNTR","GPINS",VLOOKUP(LEFT(A1717,6),'Code Library'!$A$3:$B$920,2,0))&amp;"_"&amp;RIGHT(A1717,3)</f>
        <v>#N/A</v>
      </c>
      <c r="I1717" s="66">
        <f t="shared" si="182"/>
        <v>0</v>
      </c>
      <c r="K1717" s="66" t="str">
        <f t="shared" si="183"/>
        <v/>
      </c>
      <c r="L1717" s="66" t="str">
        <f t="shared" si="184"/>
        <v/>
      </c>
      <c r="M1717" s="66" t="str">
        <f t="shared" si="185"/>
        <v/>
      </c>
      <c r="N1717" s="66" t="str">
        <f t="shared" si="186"/>
        <v/>
      </c>
      <c r="O1717" s="66" t="str">
        <f t="shared" si="187"/>
        <v/>
      </c>
      <c r="P1717" s="66" t="str">
        <f t="shared" si="188"/>
        <v/>
      </c>
    </row>
    <row r="1718" spans="8:16">
      <c r="H1718" s="66" t="e">
        <f>IF(LEFT(A1718,6)="CEPNTR","GPINS",VLOOKUP(LEFT(A1718,6),'Code Library'!$A$3:$B$920,2,0))&amp;"_"&amp;RIGHT(A1718,3)</f>
        <v>#N/A</v>
      </c>
      <c r="I1718" s="66">
        <f t="shared" si="182"/>
        <v>0</v>
      </c>
      <c r="K1718" s="66" t="str">
        <f t="shared" si="183"/>
        <v/>
      </c>
      <c r="L1718" s="66" t="str">
        <f t="shared" si="184"/>
        <v/>
      </c>
      <c r="M1718" s="66" t="str">
        <f t="shared" si="185"/>
        <v/>
      </c>
      <c r="N1718" s="66" t="str">
        <f t="shared" si="186"/>
        <v/>
      </c>
      <c r="O1718" s="66" t="str">
        <f t="shared" si="187"/>
        <v/>
      </c>
      <c r="P1718" s="66" t="str">
        <f t="shared" si="188"/>
        <v/>
      </c>
    </row>
    <row r="1719" spans="8:16">
      <c r="H1719" s="66" t="e">
        <f>IF(LEFT(A1719,6)="CEPNTR","GPINS",VLOOKUP(LEFT(A1719,6),'Code Library'!$A$3:$B$920,2,0))&amp;"_"&amp;RIGHT(A1719,3)</f>
        <v>#N/A</v>
      </c>
      <c r="I1719" s="66">
        <f t="shared" si="182"/>
        <v>0</v>
      </c>
      <c r="K1719" s="66" t="str">
        <f t="shared" si="183"/>
        <v/>
      </c>
      <c r="L1719" s="66" t="str">
        <f t="shared" si="184"/>
        <v/>
      </c>
      <c r="M1719" s="66" t="str">
        <f t="shared" si="185"/>
        <v/>
      </c>
      <c r="N1719" s="66" t="str">
        <f t="shared" si="186"/>
        <v/>
      </c>
      <c r="O1719" s="66" t="str">
        <f t="shared" si="187"/>
        <v/>
      </c>
      <c r="P1719" s="66" t="str">
        <f t="shared" si="188"/>
        <v/>
      </c>
    </row>
    <row r="1720" spans="8:16">
      <c r="H1720" s="66" t="e">
        <f>IF(LEFT(A1720,6)="CEPNTR","GPINS",VLOOKUP(LEFT(A1720,6),'Code Library'!$A$3:$B$920,2,0))&amp;"_"&amp;RIGHT(A1720,3)</f>
        <v>#N/A</v>
      </c>
      <c r="I1720" s="66">
        <f t="shared" si="182"/>
        <v>0</v>
      </c>
      <c r="K1720" s="66" t="str">
        <f t="shared" si="183"/>
        <v/>
      </c>
      <c r="L1720" s="66" t="str">
        <f t="shared" si="184"/>
        <v/>
      </c>
      <c r="M1720" s="66" t="str">
        <f t="shared" si="185"/>
        <v/>
      </c>
      <c r="N1720" s="66" t="str">
        <f t="shared" si="186"/>
        <v/>
      </c>
      <c r="O1720" s="66" t="str">
        <f t="shared" si="187"/>
        <v/>
      </c>
      <c r="P1720" s="66" t="str">
        <f t="shared" si="188"/>
        <v/>
      </c>
    </row>
    <row r="1721" spans="8:16">
      <c r="H1721" s="66" t="e">
        <f>IF(LEFT(A1721,6)="CEPNTR","GPINS",VLOOKUP(LEFT(A1721,6),'Code Library'!$A$3:$B$920,2,0))&amp;"_"&amp;RIGHT(A1721,3)</f>
        <v>#N/A</v>
      </c>
      <c r="I1721" s="66">
        <f t="shared" si="182"/>
        <v>0</v>
      </c>
      <c r="K1721" s="66" t="str">
        <f t="shared" si="183"/>
        <v/>
      </c>
      <c r="L1721" s="66" t="str">
        <f t="shared" si="184"/>
        <v/>
      </c>
      <c r="M1721" s="66" t="str">
        <f t="shared" si="185"/>
        <v/>
      </c>
      <c r="N1721" s="66" t="str">
        <f t="shared" si="186"/>
        <v/>
      </c>
      <c r="O1721" s="66" t="str">
        <f t="shared" si="187"/>
        <v/>
      </c>
      <c r="P1721" s="66" t="str">
        <f t="shared" si="188"/>
        <v/>
      </c>
    </row>
    <row r="1722" spans="8:16">
      <c r="H1722" s="66" t="e">
        <f>IF(LEFT(A1722,6)="CEPNTR","GPINS",VLOOKUP(LEFT(A1722,6),'Code Library'!$A$3:$B$920,2,0))&amp;"_"&amp;RIGHT(A1722,3)</f>
        <v>#N/A</v>
      </c>
      <c r="I1722" s="66">
        <f t="shared" si="182"/>
        <v>0</v>
      </c>
      <c r="K1722" s="66" t="str">
        <f t="shared" si="183"/>
        <v/>
      </c>
      <c r="L1722" s="66" t="str">
        <f t="shared" si="184"/>
        <v/>
      </c>
      <c r="M1722" s="66" t="str">
        <f t="shared" si="185"/>
        <v/>
      </c>
      <c r="N1722" s="66" t="str">
        <f t="shared" si="186"/>
        <v/>
      </c>
      <c r="O1722" s="66" t="str">
        <f t="shared" si="187"/>
        <v/>
      </c>
      <c r="P1722" s="66" t="str">
        <f t="shared" si="188"/>
        <v/>
      </c>
    </row>
    <row r="1723" spans="8:16">
      <c r="H1723" s="66" t="e">
        <f>IF(LEFT(A1723,6)="CEPNTR","GPINS",VLOOKUP(LEFT(A1723,6),'Code Library'!$A$3:$B$920,2,0))&amp;"_"&amp;RIGHT(A1723,3)</f>
        <v>#N/A</v>
      </c>
      <c r="I1723" s="66">
        <f t="shared" si="182"/>
        <v>0</v>
      </c>
      <c r="K1723" s="66" t="str">
        <f t="shared" si="183"/>
        <v/>
      </c>
      <c r="L1723" s="66" t="str">
        <f t="shared" si="184"/>
        <v/>
      </c>
      <c r="M1723" s="66" t="str">
        <f t="shared" si="185"/>
        <v/>
      </c>
      <c r="N1723" s="66" t="str">
        <f t="shared" si="186"/>
        <v/>
      </c>
      <c r="O1723" s="66" t="str">
        <f t="shared" si="187"/>
        <v/>
      </c>
      <c r="P1723" s="66" t="str">
        <f t="shared" si="188"/>
        <v/>
      </c>
    </row>
    <row r="1724" spans="8:16">
      <c r="H1724" s="66" t="e">
        <f>IF(LEFT(A1724,6)="CEPNTR","GPINS",VLOOKUP(LEFT(A1724,6),'Code Library'!$A$3:$B$920,2,0))&amp;"_"&amp;RIGHT(A1724,3)</f>
        <v>#N/A</v>
      </c>
      <c r="I1724" s="66">
        <f t="shared" si="182"/>
        <v>0</v>
      </c>
      <c r="K1724" s="66" t="str">
        <f t="shared" si="183"/>
        <v/>
      </c>
      <c r="L1724" s="66" t="str">
        <f t="shared" si="184"/>
        <v/>
      </c>
      <c r="M1724" s="66" t="str">
        <f t="shared" si="185"/>
        <v/>
      </c>
      <c r="N1724" s="66" t="str">
        <f t="shared" si="186"/>
        <v/>
      </c>
      <c r="O1724" s="66" t="str">
        <f t="shared" si="187"/>
        <v/>
      </c>
      <c r="P1724" s="66" t="str">
        <f t="shared" si="188"/>
        <v/>
      </c>
    </row>
    <row r="1725" spans="8:16">
      <c r="H1725" s="66" t="e">
        <f>IF(LEFT(A1725,6)="CEPNTR","GPINS",VLOOKUP(LEFT(A1725,6),'Code Library'!$A$3:$B$920,2,0))&amp;"_"&amp;RIGHT(A1725,3)</f>
        <v>#N/A</v>
      </c>
      <c r="I1725" s="66">
        <f t="shared" si="182"/>
        <v>0</v>
      </c>
      <c r="K1725" s="66" t="str">
        <f t="shared" si="183"/>
        <v/>
      </c>
      <c r="L1725" s="66" t="str">
        <f t="shared" si="184"/>
        <v/>
      </c>
      <c r="M1725" s="66" t="str">
        <f t="shared" si="185"/>
        <v/>
      </c>
      <c r="N1725" s="66" t="str">
        <f t="shared" si="186"/>
        <v/>
      </c>
      <c r="O1725" s="66" t="str">
        <f t="shared" si="187"/>
        <v/>
      </c>
      <c r="P1725" s="66" t="str">
        <f t="shared" si="188"/>
        <v/>
      </c>
    </row>
    <row r="1726" spans="8:16">
      <c r="H1726" s="66" t="e">
        <f>IF(LEFT(A1726,6)="CEPNTR","GPINS",VLOOKUP(LEFT(A1726,6),'Code Library'!$A$3:$B$920,2,0))&amp;"_"&amp;RIGHT(A1726,3)</f>
        <v>#N/A</v>
      </c>
      <c r="I1726" s="66">
        <f t="shared" si="182"/>
        <v>0</v>
      </c>
      <c r="K1726" s="66" t="str">
        <f t="shared" si="183"/>
        <v/>
      </c>
      <c r="L1726" s="66" t="str">
        <f t="shared" si="184"/>
        <v/>
      </c>
      <c r="M1726" s="66" t="str">
        <f t="shared" si="185"/>
        <v/>
      </c>
      <c r="N1726" s="66" t="str">
        <f t="shared" si="186"/>
        <v/>
      </c>
      <c r="O1726" s="66" t="str">
        <f t="shared" si="187"/>
        <v/>
      </c>
      <c r="P1726" s="66" t="str">
        <f t="shared" si="188"/>
        <v/>
      </c>
    </row>
    <row r="1727" spans="8:16">
      <c r="H1727" s="66" t="e">
        <f>IF(LEFT(A1727,6)="CEPNTR","GPINS",VLOOKUP(LEFT(A1727,6),'Code Library'!$A$3:$B$920,2,0))&amp;"_"&amp;RIGHT(A1727,3)</f>
        <v>#N/A</v>
      </c>
      <c r="I1727" s="66">
        <f t="shared" si="182"/>
        <v>0</v>
      </c>
      <c r="K1727" s="66" t="str">
        <f t="shared" si="183"/>
        <v/>
      </c>
      <c r="L1727" s="66" t="str">
        <f t="shared" si="184"/>
        <v/>
      </c>
      <c r="M1727" s="66" t="str">
        <f t="shared" si="185"/>
        <v/>
      </c>
      <c r="N1727" s="66" t="str">
        <f t="shared" si="186"/>
        <v/>
      </c>
      <c r="O1727" s="66" t="str">
        <f t="shared" si="187"/>
        <v/>
      </c>
      <c r="P1727" s="66" t="str">
        <f t="shared" si="188"/>
        <v/>
      </c>
    </row>
    <row r="1728" spans="8:16">
      <c r="H1728" s="66" t="e">
        <f>IF(LEFT(A1728,6)="CEPNTR","GPINS",VLOOKUP(LEFT(A1728,6),'Code Library'!$A$3:$B$920,2,0))&amp;"_"&amp;RIGHT(A1728,3)</f>
        <v>#N/A</v>
      </c>
      <c r="I1728" s="66">
        <f t="shared" si="182"/>
        <v>0</v>
      </c>
      <c r="K1728" s="66" t="str">
        <f t="shared" si="183"/>
        <v/>
      </c>
      <c r="L1728" s="66" t="str">
        <f t="shared" si="184"/>
        <v/>
      </c>
      <c r="M1728" s="66" t="str">
        <f t="shared" si="185"/>
        <v/>
      </c>
      <c r="N1728" s="66" t="str">
        <f t="shared" si="186"/>
        <v/>
      </c>
      <c r="O1728" s="66" t="str">
        <f t="shared" si="187"/>
        <v/>
      </c>
      <c r="P1728" s="66" t="str">
        <f t="shared" si="188"/>
        <v/>
      </c>
    </row>
    <row r="1729" spans="8:16">
      <c r="H1729" s="66" t="e">
        <f>IF(LEFT(A1729,6)="CEPNTR","GPINS",VLOOKUP(LEFT(A1729,6),'Code Library'!$A$3:$B$920,2,0))&amp;"_"&amp;RIGHT(A1729,3)</f>
        <v>#N/A</v>
      </c>
      <c r="I1729" s="66">
        <f t="shared" si="182"/>
        <v>0</v>
      </c>
      <c r="K1729" s="66" t="str">
        <f t="shared" si="183"/>
        <v/>
      </c>
      <c r="L1729" s="66" t="str">
        <f t="shared" si="184"/>
        <v/>
      </c>
      <c r="M1729" s="66" t="str">
        <f t="shared" si="185"/>
        <v/>
      </c>
      <c r="N1729" s="66" t="str">
        <f t="shared" si="186"/>
        <v/>
      </c>
      <c r="O1729" s="66" t="str">
        <f t="shared" si="187"/>
        <v/>
      </c>
      <c r="P1729" s="66" t="str">
        <f t="shared" si="188"/>
        <v/>
      </c>
    </row>
    <row r="1730" spans="8:16">
      <c r="H1730" s="66" t="e">
        <f>IF(LEFT(A1730,6)="CEPNTR","GPINS",VLOOKUP(LEFT(A1730,6),'Code Library'!$A$3:$B$920,2,0))&amp;"_"&amp;RIGHT(A1730,3)</f>
        <v>#N/A</v>
      </c>
      <c r="I1730" s="66">
        <f t="shared" si="182"/>
        <v>0</v>
      </c>
      <c r="K1730" s="66" t="str">
        <f t="shared" si="183"/>
        <v/>
      </c>
      <c r="L1730" s="66" t="str">
        <f t="shared" si="184"/>
        <v/>
      </c>
      <c r="M1730" s="66" t="str">
        <f t="shared" si="185"/>
        <v/>
      </c>
      <c r="N1730" s="66" t="str">
        <f t="shared" si="186"/>
        <v/>
      </c>
      <c r="O1730" s="66" t="str">
        <f t="shared" si="187"/>
        <v/>
      </c>
      <c r="P1730" s="66" t="str">
        <f t="shared" si="188"/>
        <v/>
      </c>
    </row>
    <row r="1731" spans="8:16">
      <c r="H1731" s="66" t="e">
        <f>IF(LEFT(A1731,6)="CEPNTR","GPINS",VLOOKUP(LEFT(A1731,6),'Code Library'!$A$3:$B$920,2,0))&amp;"_"&amp;RIGHT(A1731,3)</f>
        <v>#N/A</v>
      </c>
      <c r="I1731" s="66">
        <f t="shared" ref="I1731:I1794" si="189">A1731</f>
        <v>0</v>
      </c>
      <c r="K1731" s="66" t="str">
        <f t="shared" ref="K1731:K1794" si="190">RIGHT($B1731,2)</f>
        <v/>
      </c>
      <c r="L1731" s="66" t="str">
        <f t="shared" ref="L1731:L1794" si="191">LEFT(RIGHT($B1731,7),4)</f>
        <v/>
      </c>
      <c r="M1731" s="66" t="str">
        <f t="shared" ref="M1731:M1794" si="192">LEFT(RIGHT($B1731,10),2)</f>
        <v/>
      </c>
      <c r="N1731" s="66" t="str">
        <f t="shared" ref="N1731:N1794" si="193">LEFT(RIGHT($B1731,14),3)</f>
        <v/>
      </c>
      <c r="O1731" s="66" t="str">
        <f t="shared" ref="O1731:O1794" si="194">LEFT(RIGHT($B1731,16),1)</f>
        <v/>
      </c>
      <c r="P1731" s="66" t="str">
        <f t="shared" ref="P1731:P1794" si="195">LEFT(RIGHT($B1731,19),2)</f>
        <v/>
      </c>
    </row>
    <row r="1732" spans="8:16">
      <c r="H1732" s="66" t="e">
        <f>IF(LEFT(A1732,6)="CEPNTR","GPINS",VLOOKUP(LEFT(A1732,6),'Code Library'!$A$3:$B$920,2,0))&amp;"_"&amp;RIGHT(A1732,3)</f>
        <v>#N/A</v>
      </c>
      <c r="I1732" s="66">
        <f t="shared" si="189"/>
        <v>0</v>
      </c>
      <c r="K1732" s="66" t="str">
        <f t="shared" si="190"/>
        <v/>
      </c>
      <c r="L1732" s="66" t="str">
        <f t="shared" si="191"/>
        <v/>
      </c>
      <c r="M1732" s="66" t="str">
        <f t="shared" si="192"/>
        <v/>
      </c>
      <c r="N1732" s="66" t="str">
        <f t="shared" si="193"/>
        <v/>
      </c>
      <c r="O1732" s="66" t="str">
        <f t="shared" si="194"/>
        <v/>
      </c>
      <c r="P1732" s="66" t="str">
        <f t="shared" si="195"/>
        <v/>
      </c>
    </row>
    <row r="1733" spans="8:16">
      <c r="H1733" s="66" t="e">
        <f>IF(LEFT(A1733,6)="CEPNTR","GPINS",VLOOKUP(LEFT(A1733,6),'Code Library'!$A$3:$B$920,2,0))&amp;"_"&amp;RIGHT(A1733,3)</f>
        <v>#N/A</v>
      </c>
      <c r="I1733" s="66">
        <f t="shared" si="189"/>
        <v>0</v>
      </c>
      <c r="K1733" s="66" t="str">
        <f t="shared" si="190"/>
        <v/>
      </c>
      <c r="L1733" s="66" t="str">
        <f t="shared" si="191"/>
        <v/>
      </c>
      <c r="M1733" s="66" t="str">
        <f t="shared" si="192"/>
        <v/>
      </c>
      <c r="N1733" s="66" t="str">
        <f t="shared" si="193"/>
        <v/>
      </c>
      <c r="O1733" s="66" t="str">
        <f t="shared" si="194"/>
        <v/>
      </c>
      <c r="P1733" s="66" t="str">
        <f t="shared" si="195"/>
        <v/>
      </c>
    </row>
    <row r="1734" spans="8:16">
      <c r="H1734" s="66" t="e">
        <f>IF(LEFT(A1734,6)="CEPNTR","GPINS",VLOOKUP(LEFT(A1734,6),'Code Library'!$A$3:$B$920,2,0))&amp;"_"&amp;RIGHT(A1734,3)</f>
        <v>#N/A</v>
      </c>
      <c r="I1734" s="66">
        <f t="shared" si="189"/>
        <v>0</v>
      </c>
      <c r="K1734" s="66" t="str">
        <f t="shared" si="190"/>
        <v/>
      </c>
      <c r="L1734" s="66" t="str">
        <f t="shared" si="191"/>
        <v/>
      </c>
      <c r="M1734" s="66" t="str">
        <f t="shared" si="192"/>
        <v/>
      </c>
      <c r="N1734" s="66" t="str">
        <f t="shared" si="193"/>
        <v/>
      </c>
      <c r="O1734" s="66" t="str">
        <f t="shared" si="194"/>
        <v/>
      </c>
      <c r="P1734" s="66" t="str">
        <f t="shared" si="195"/>
        <v/>
      </c>
    </row>
    <row r="1735" spans="8:16">
      <c r="H1735" s="66" t="e">
        <f>IF(LEFT(A1735,6)="CEPNTR","GPINS",VLOOKUP(LEFT(A1735,6),'Code Library'!$A$3:$B$920,2,0))&amp;"_"&amp;RIGHT(A1735,3)</f>
        <v>#N/A</v>
      </c>
      <c r="I1735" s="66">
        <f t="shared" si="189"/>
        <v>0</v>
      </c>
      <c r="K1735" s="66" t="str">
        <f t="shared" si="190"/>
        <v/>
      </c>
      <c r="L1735" s="66" t="str">
        <f t="shared" si="191"/>
        <v/>
      </c>
      <c r="M1735" s="66" t="str">
        <f t="shared" si="192"/>
        <v/>
      </c>
      <c r="N1735" s="66" t="str">
        <f t="shared" si="193"/>
        <v/>
      </c>
      <c r="O1735" s="66" t="str">
        <f t="shared" si="194"/>
        <v/>
      </c>
      <c r="P1735" s="66" t="str">
        <f t="shared" si="195"/>
        <v/>
      </c>
    </row>
    <row r="1736" spans="8:16">
      <c r="H1736" s="66" t="e">
        <f>IF(LEFT(A1736,6)="CEPNTR","GPINS",VLOOKUP(LEFT(A1736,6),'Code Library'!$A$3:$B$920,2,0))&amp;"_"&amp;RIGHT(A1736,3)</f>
        <v>#N/A</v>
      </c>
      <c r="I1736" s="66">
        <f t="shared" si="189"/>
        <v>0</v>
      </c>
      <c r="K1736" s="66" t="str">
        <f t="shared" si="190"/>
        <v/>
      </c>
      <c r="L1736" s="66" t="str">
        <f t="shared" si="191"/>
        <v/>
      </c>
      <c r="M1736" s="66" t="str">
        <f t="shared" si="192"/>
        <v/>
      </c>
      <c r="N1736" s="66" t="str">
        <f t="shared" si="193"/>
        <v/>
      </c>
      <c r="O1736" s="66" t="str">
        <f t="shared" si="194"/>
        <v/>
      </c>
      <c r="P1736" s="66" t="str">
        <f t="shared" si="195"/>
        <v/>
      </c>
    </row>
    <row r="1737" spans="8:16">
      <c r="H1737" s="66" t="e">
        <f>IF(LEFT(A1737,6)="CEPNTR","GPINS",VLOOKUP(LEFT(A1737,6),'Code Library'!$A$3:$B$920,2,0))&amp;"_"&amp;RIGHT(A1737,3)</f>
        <v>#N/A</v>
      </c>
      <c r="I1737" s="66">
        <f t="shared" si="189"/>
        <v>0</v>
      </c>
      <c r="K1737" s="66" t="str">
        <f t="shared" si="190"/>
        <v/>
      </c>
      <c r="L1737" s="66" t="str">
        <f t="shared" si="191"/>
        <v/>
      </c>
      <c r="M1737" s="66" t="str">
        <f t="shared" si="192"/>
        <v/>
      </c>
      <c r="N1737" s="66" t="str">
        <f t="shared" si="193"/>
        <v/>
      </c>
      <c r="O1737" s="66" t="str">
        <f t="shared" si="194"/>
        <v/>
      </c>
      <c r="P1737" s="66" t="str">
        <f t="shared" si="195"/>
        <v/>
      </c>
    </row>
    <row r="1738" spans="8:16">
      <c r="H1738" s="66" t="e">
        <f>IF(LEFT(A1738,6)="CEPNTR","GPINS",VLOOKUP(LEFT(A1738,6),'Code Library'!$A$3:$B$920,2,0))&amp;"_"&amp;RIGHT(A1738,3)</f>
        <v>#N/A</v>
      </c>
      <c r="I1738" s="66">
        <f t="shared" si="189"/>
        <v>0</v>
      </c>
      <c r="K1738" s="66" t="str">
        <f t="shared" si="190"/>
        <v/>
      </c>
      <c r="L1738" s="66" t="str">
        <f t="shared" si="191"/>
        <v/>
      </c>
      <c r="M1738" s="66" t="str">
        <f t="shared" si="192"/>
        <v/>
      </c>
      <c r="N1738" s="66" t="str">
        <f t="shared" si="193"/>
        <v/>
      </c>
      <c r="O1738" s="66" t="str">
        <f t="shared" si="194"/>
        <v/>
      </c>
      <c r="P1738" s="66" t="str">
        <f t="shared" si="195"/>
        <v/>
      </c>
    </row>
    <row r="1739" spans="8:16">
      <c r="H1739" s="66" t="e">
        <f>IF(LEFT(A1739,6)="CEPNTR","GPINS",VLOOKUP(LEFT(A1739,6),'Code Library'!$A$3:$B$920,2,0))&amp;"_"&amp;RIGHT(A1739,3)</f>
        <v>#N/A</v>
      </c>
      <c r="I1739" s="66">
        <f t="shared" si="189"/>
        <v>0</v>
      </c>
      <c r="K1739" s="66" t="str">
        <f t="shared" si="190"/>
        <v/>
      </c>
      <c r="L1739" s="66" t="str">
        <f t="shared" si="191"/>
        <v/>
      </c>
      <c r="M1739" s="66" t="str">
        <f t="shared" si="192"/>
        <v/>
      </c>
      <c r="N1739" s="66" t="str">
        <f t="shared" si="193"/>
        <v/>
      </c>
      <c r="O1739" s="66" t="str">
        <f t="shared" si="194"/>
        <v/>
      </c>
      <c r="P1739" s="66" t="str">
        <f t="shared" si="195"/>
        <v/>
      </c>
    </row>
    <row r="1740" spans="8:16">
      <c r="H1740" s="66" t="e">
        <f>IF(LEFT(A1740,6)="CEPNTR","GPINS",VLOOKUP(LEFT(A1740,6),'Code Library'!$A$3:$B$920,2,0))&amp;"_"&amp;RIGHT(A1740,3)</f>
        <v>#N/A</v>
      </c>
      <c r="I1740" s="66">
        <f t="shared" si="189"/>
        <v>0</v>
      </c>
      <c r="K1740" s="66" t="str">
        <f t="shared" si="190"/>
        <v/>
      </c>
      <c r="L1740" s="66" t="str">
        <f t="shared" si="191"/>
        <v/>
      </c>
      <c r="M1740" s="66" t="str">
        <f t="shared" si="192"/>
        <v/>
      </c>
      <c r="N1740" s="66" t="str">
        <f t="shared" si="193"/>
        <v/>
      </c>
      <c r="O1740" s="66" t="str">
        <f t="shared" si="194"/>
        <v/>
      </c>
      <c r="P1740" s="66" t="str">
        <f t="shared" si="195"/>
        <v/>
      </c>
    </row>
    <row r="1741" spans="8:16">
      <c r="H1741" s="66" t="e">
        <f>IF(LEFT(A1741,6)="CEPNTR","GPINS",VLOOKUP(LEFT(A1741,6),'Code Library'!$A$3:$B$920,2,0))&amp;"_"&amp;RIGHT(A1741,3)</f>
        <v>#N/A</v>
      </c>
      <c r="I1741" s="66">
        <f t="shared" si="189"/>
        <v>0</v>
      </c>
      <c r="K1741" s="66" t="str">
        <f t="shared" si="190"/>
        <v/>
      </c>
      <c r="L1741" s="66" t="str">
        <f t="shared" si="191"/>
        <v/>
      </c>
      <c r="M1741" s="66" t="str">
        <f t="shared" si="192"/>
        <v/>
      </c>
      <c r="N1741" s="66" t="str">
        <f t="shared" si="193"/>
        <v/>
      </c>
      <c r="O1741" s="66" t="str">
        <f t="shared" si="194"/>
        <v/>
      </c>
      <c r="P1741" s="66" t="str">
        <f t="shared" si="195"/>
        <v/>
      </c>
    </row>
    <row r="1742" spans="8:16">
      <c r="H1742" s="66" t="e">
        <f>IF(LEFT(A1742,6)="CEPNTR","GPINS",VLOOKUP(LEFT(A1742,6),'Code Library'!$A$3:$B$920,2,0))&amp;"_"&amp;RIGHT(A1742,3)</f>
        <v>#N/A</v>
      </c>
      <c r="I1742" s="66">
        <f t="shared" si="189"/>
        <v>0</v>
      </c>
      <c r="K1742" s="66" t="str">
        <f t="shared" si="190"/>
        <v/>
      </c>
      <c r="L1742" s="66" t="str">
        <f t="shared" si="191"/>
        <v/>
      </c>
      <c r="M1742" s="66" t="str">
        <f t="shared" si="192"/>
        <v/>
      </c>
      <c r="N1742" s="66" t="str">
        <f t="shared" si="193"/>
        <v/>
      </c>
      <c r="O1742" s="66" t="str">
        <f t="shared" si="194"/>
        <v/>
      </c>
      <c r="P1742" s="66" t="str">
        <f t="shared" si="195"/>
        <v/>
      </c>
    </row>
    <row r="1743" spans="8:16">
      <c r="H1743" s="66" t="e">
        <f>IF(LEFT(A1743,6)="CEPNTR","GPINS",VLOOKUP(LEFT(A1743,6),'Code Library'!$A$3:$B$920,2,0))&amp;"_"&amp;RIGHT(A1743,3)</f>
        <v>#N/A</v>
      </c>
      <c r="I1743" s="66">
        <f t="shared" si="189"/>
        <v>0</v>
      </c>
      <c r="K1743" s="66" t="str">
        <f t="shared" si="190"/>
        <v/>
      </c>
      <c r="L1743" s="66" t="str">
        <f t="shared" si="191"/>
        <v/>
      </c>
      <c r="M1743" s="66" t="str">
        <f t="shared" si="192"/>
        <v/>
      </c>
      <c r="N1743" s="66" t="str">
        <f t="shared" si="193"/>
        <v/>
      </c>
      <c r="O1743" s="66" t="str">
        <f t="shared" si="194"/>
        <v/>
      </c>
      <c r="P1743" s="66" t="str">
        <f t="shared" si="195"/>
        <v/>
      </c>
    </row>
    <row r="1744" spans="8:16">
      <c r="H1744" s="66" t="e">
        <f>IF(LEFT(A1744,6)="CEPNTR","GPINS",VLOOKUP(LEFT(A1744,6),'Code Library'!$A$3:$B$920,2,0))&amp;"_"&amp;RIGHT(A1744,3)</f>
        <v>#N/A</v>
      </c>
      <c r="I1744" s="66">
        <f t="shared" si="189"/>
        <v>0</v>
      </c>
      <c r="K1744" s="66" t="str">
        <f t="shared" si="190"/>
        <v/>
      </c>
      <c r="L1744" s="66" t="str">
        <f t="shared" si="191"/>
        <v/>
      </c>
      <c r="M1744" s="66" t="str">
        <f t="shared" si="192"/>
        <v/>
      </c>
      <c r="N1744" s="66" t="str">
        <f t="shared" si="193"/>
        <v/>
      </c>
      <c r="O1744" s="66" t="str">
        <f t="shared" si="194"/>
        <v/>
      </c>
      <c r="P1744" s="66" t="str">
        <f t="shared" si="195"/>
        <v/>
      </c>
    </row>
    <row r="1745" spans="8:16">
      <c r="H1745" s="66" t="e">
        <f>IF(LEFT(A1745,6)="CEPNTR","GPINS",VLOOKUP(LEFT(A1745,6),'Code Library'!$A$3:$B$920,2,0))&amp;"_"&amp;RIGHT(A1745,3)</f>
        <v>#N/A</v>
      </c>
      <c r="I1745" s="66">
        <f t="shared" si="189"/>
        <v>0</v>
      </c>
      <c r="K1745" s="66" t="str">
        <f t="shared" si="190"/>
        <v/>
      </c>
      <c r="L1745" s="66" t="str">
        <f t="shared" si="191"/>
        <v/>
      </c>
      <c r="M1745" s="66" t="str">
        <f t="shared" si="192"/>
        <v/>
      </c>
      <c r="N1745" s="66" t="str">
        <f t="shared" si="193"/>
        <v/>
      </c>
      <c r="O1745" s="66" t="str">
        <f t="shared" si="194"/>
        <v/>
      </c>
      <c r="P1745" s="66" t="str">
        <f t="shared" si="195"/>
        <v/>
      </c>
    </row>
    <row r="1746" spans="8:16">
      <c r="H1746" s="66" t="e">
        <f>IF(LEFT(A1746,6)="CEPNTR","GPINS",VLOOKUP(LEFT(A1746,6),'Code Library'!$A$3:$B$920,2,0))&amp;"_"&amp;RIGHT(A1746,3)</f>
        <v>#N/A</v>
      </c>
      <c r="I1746" s="66">
        <f t="shared" si="189"/>
        <v>0</v>
      </c>
      <c r="K1746" s="66" t="str">
        <f t="shared" si="190"/>
        <v/>
      </c>
      <c r="L1746" s="66" t="str">
        <f t="shared" si="191"/>
        <v/>
      </c>
      <c r="M1746" s="66" t="str">
        <f t="shared" si="192"/>
        <v/>
      </c>
      <c r="N1746" s="66" t="str">
        <f t="shared" si="193"/>
        <v/>
      </c>
      <c r="O1746" s="66" t="str">
        <f t="shared" si="194"/>
        <v/>
      </c>
      <c r="P1746" s="66" t="str">
        <f t="shared" si="195"/>
        <v/>
      </c>
    </row>
    <row r="1747" spans="8:16">
      <c r="H1747" s="66" t="e">
        <f>IF(LEFT(A1747,6)="CEPNTR","GPINS",VLOOKUP(LEFT(A1747,6),'Code Library'!$A$3:$B$920,2,0))&amp;"_"&amp;RIGHT(A1747,3)</f>
        <v>#N/A</v>
      </c>
      <c r="I1747" s="66">
        <f t="shared" si="189"/>
        <v>0</v>
      </c>
      <c r="K1747" s="66" t="str">
        <f t="shared" si="190"/>
        <v/>
      </c>
      <c r="L1747" s="66" t="str">
        <f t="shared" si="191"/>
        <v/>
      </c>
      <c r="M1747" s="66" t="str">
        <f t="shared" si="192"/>
        <v/>
      </c>
      <c r="N1747" s="66" t="str">
        <f t="shared" si="193"/>
        <v/>
      </c>
      <c r="O1747" s="66" t="str">
        <f t="shared" si="194"/>
        <v/>
      </c>
      <c r="P1747" s="66" t="str">
        <f t="shared" si="195"/>
        <v/>
      </c>
    </row>
    <row r="1748" spans="8:16">
      <c r="H1748" s="66" t="e">
        <f>IF(LEFT(A1748,6)="CEPNTR","GPINS",VLOOKUP(LEFT(A1748,6),'Code Library'!$A$3:$B$920,2,0))&amp;"_"&amp;RIGHT(A1748,3)</f>
        <v>#N/A</v>
      </c>
      <c r="I1748" s="66">
        <f t="shared" si="189"/>
        <v>0</v>
      </c>
      <c r="K1748" s="66" t="str">
        <f t="shared" si="190"/>
        <v/>
      </c>
      <c r="L1748" s="66" t="str">
        <f t="shared" si="191"/>
        <v/>
      </c>
      <c r="M1748" s="66" t="str">
        <f t="shared" si="192"/>
        <v/>
      </c>
      <c r="N1748" s="66" t="str">
        <f t="shared" si="193"/>
        <v/>
      </c>
      <c r="O1748" s="66" t="str">
        <f t="shared" si="194"/>
        <v/>
      </c>
      <c r="P1748" s="66" t="str">
        <f t="shared" si="195"/>
        <v/>
      </c>
    </row>
    <row r="1749" spans="8:16">
      <c r="H1749" s="66" t="e">
        <f>IF(LEFT(A1749,6)="CEPNTR","GPINS",VLOOKUP(LEFT(A1749,6),'Code Library'!$A$3:$B$920,2,0))&amp;"_"&amp;RIGHT(A1749,3)</f>
        <v>#N/A</v>
      </c>
      <c r="I1749" s="66">
        <f t="shared" si="189"/>
        <v>0</v>
      </c>
      <c r="K1749" s="66" t="str">
        <f t="shared" si="190"/>
        <v/>
      </c>
      <c r="L1749" s="66" t="str">
        <f t="shared" si="191"/>
        <v/>
      </c>
      <c r="M1749" s="66" t="str">
        <f t="shared" si="192"/>
        <v/>
      </c>
      <c r="N1749" s="66" t="str">
        <f t="shared" si="193"/>
        <v/>
      </c>
      <c r="O1749" s="66" t="str">
        <f t="shared" si="194"/>
        <v/>
      </c>
      <c r="P1749" s="66" t="str">
        <f t="shared" si="195"/>
        <v/>
      </c>
    </row>
    <row r="1750" spans="8:16">
      <c r="H1750" s="66" t="e">
        <f>IF(LEFT(A1750,6)="CEPNTR","GPINS",VLOOKUP(LEFT(A1750,6),'Code Library'!$A$3:$B$920,2,0))&amp;"_"&amp;RIGHT(A1750,3)</f>
        <v>#N/A</v>
      </c>
      <c r="I1750" s="66">
        <f t="shared" si="189"/>
        <v>0</v>
      </c>
      <c r="K1750" s="66" t="str">
        <f t="shared" si="190"/>
        <v/>
      </c>
      <c r="L1750" s="66" t="str">
        <f t="shared" si="191"/>
        <v/>
      </c>
      <c r="M1750" s="66" t="str">
        <f t="shared" si="192"/>
        <v/>
      </c>
      <c r="N1750" s="66" t="str">
        <f t="shared" si="193"/>
        <v/>
      </c>
      <c r="O1750" s="66" t="str">
        <f t="shared" si="194"/>
        <v/>
      </c>
      <c r="P1750" s="66" t="str">
        <f t="shared" si="195"/>
        <v/>
      </c>
    </row>
    <row r="1751" spans="8:16">
      <c r="H1751" s="66" t="e">
        <f>IF(LEFT(A1751,6)="CEPNTR","GPINS",VLOOKUP(LEFT(A1751,6),'Code Library'!$A$3:$B$920,2,0))&amp;"_"&amp;RIGHT(A1751,3)</f>
        <v>#N/A</v>
      </c>
      <c r="I1751" s="66">
        <f t="shared" si="189"/>
        <v>0</v>
      </c>
      <c r="K1751" s="66" t="str">
        <f t="shared" si="190"/>
        <v/>
      </c>
      <c r="L1751" s="66" t="str">
        <f t="shared" si="191"/>
        <v/>
      </c>
      <c r="M1751" s="66" t="str">
        <f t="shared" si="192"/>
        <v/>
      </c>
      <c r="N1751" s="66" t="str">
        <f t="shared" si="193"/>
        <v/>
      </c>
      <c r="O1751" s="66" t="str">
        <f t="shared" si="194"/>
        <v/>
      </c>
      <c r="P1751" s="66" t="str">
        <f t="shared" si="195"/>
        <v/>
      </c>
    </row>
    <row r="1752" spans="8:16">
      <c r="H1752" s="66" t="e">
        <f>IF(LEFT(A1752,6)="CEPNTR","GPINS",VLOOKUP(LEFT(A1752,6),'Code Library'!$A$3:$B$920,2,0))&amp;"_"&amp;RIGHT(A1752,3)</f>
        <v>#N/A</v>
      </c>
      <c r="I1752" s="66">
        <f t="shared" si="189"/>
        <v>0</v>
      </c>
      <c r="K1752" s="66" t="str">
        <f t="shared" si="190"/>
        <v/>
      </c>
      <c r="L1752" s="66" t="str">
        <f t="shared" si="191"/>
        <v/>
      </c>
      <c r="M1752" s="66" t="str">
        <f t="shared" si="192"/>
        <v/>
      </c>
      <c r="N1752" s="66" t="str">
        <f t="shared" si="193"/>
        <v/>
      </c>
      <c r="O1752" s="66" t="str">
        <f t="shared" si="194"/>
        <v/>
      </c>
      <c r="P1752" s="66" t="str">
        <f t="shared" si="195"/>
        <v/>
      </c>
    </row>
    <row r="1753" spans="8:16">
      <c r="H1753" s="66" t="e">
        <f>IF(LEFT(A1753,6)="CEPNTR","GPINS",VLOOKUP(LEFT(A1753,6),'Code Library'!$A$3:$B$920,2,0))&amp;"_"&amp;RIGHT(A1753,3)</f>
        <v>#N/A</v>
      </c>
      <c r="I1753" s="66">
        <f t="shared" si="189"/>
        <v>0</v>
      </c>
      <c r="K1753" s="66" t="str">
        <f t="shared" si="190"/>
        <v/>
      </c>
      <c r="L1753" s="66" t="str">
        <f t="shared" si="191"/>
        <v/>
      </c>
      <c r="M1753" s="66" t="str">
        <f t="shared" si="192"/>
        <v/>
      </c>
      <c r="N1753" s="66" t="str">
        <f t="shared" si="193"/>
        <v/>
      </c>
      <c r="O1753" s="66" t="str">
        <f t="shared" si="194"/>
        <v/>
      </c>
      <c r="P1753" s="66" t="str">
        <f t="shared" si="195"/>
        <v/>
      </c>
    </row>
    <row r="1754" spans="8:16">
      <c r="H1754" s="66" t="e">
        <f>IF(LEFT(A1754,6)="CEPNTR","GPINS",VLOOKUP(LEFT(A1754,6),'Code Library'!$A$3:$B$920,2,0))&amp;"_"&amp;RIGHT(A1754,3)</f>
        <v>#N/A</v>
      </c>
      <c r="I1754" s="66">
        <f t="shared" si="189"/>
        <v>0</v>
      </c>
      <c r="K1754" s="66" t="str">
        <f t="shared" si="190"/>
        <v/>
      </c>
      <c r="L1754" s="66" t="str">
        <f t="shared" si="191"/>
        <v/>
      </c>
      <c r="M1754" s="66" t="str">
        <f t="shared" si="192"/>
        <v/>
      </c>
      <c r="N1754" s="66" t="str">
        <f t="shared" si="193"/>
        <v/>
      </c>
      <c r="O1754" s="66" t="str">
        <f t="shared" si="194"/>
        <v/>
      </c>
      <c r="P1754" s="66" t="str">
        <f t="shared" si="195"/>
        <v/>
      </c>
    </row>
    <row r="1755" spans="8:16">
      <c r="H1755" s="66" t="e">
        <f>IF(LEFT(A1755,6)="CEPNTR","GPINS",VLOOKUP(LEFT(A1755,6),'Code Library'!$A$3:$B$920,2,0))&amp;"_"&amp;RIGHT(A1755,3)</f>
        <v>#N/A</v>
      </c>
      <c r="I1755" s="66">
        <f t="shared" si="189"/>
        <v>0</v>
      </c>
      <c r="K1755" s="66" t="str">
        <f t="shared" si="190"/>
        <v/>
      </c>
      <c r="L1755" s="66" t="str">
        <f t="shared" si="191"/>
        <v/>
      </c>
      <c r="M1755" s="66" t="str">
        <f t="shared" si="192"/>
        <v/>
      </c>
      <c r="N1755" s="66" t="str">
        <f t="shared" si="193"/>
        <v/>
      </c>
      <c r="O1755" s="66" t="str">
        <f t="shared" si="194"/>
        <v/>
      </c>
      <c r="P1755" s="66" t="str">
        <f t="shared" si="195"/>
        <v/>
      </c>
    </row>
    <row r="1756" spans="8:16">
      <c r="H1756" s="66" t="e">
        <f>IF(LEFT(A1756,6)="CEPNTR","GPINS",VLOOKUP(LEFT(A1756,6),'Code Library'!$A$3:$B$920,2,0))&amp;"_"&amp;RIGHT(A1756,3)</f>
        <v>#N/A</v>
      </c>
      <c r="I1756" s="66">
        <f t="shared" si="189"/>
        <v>0</v>
      </c>
      <c r="K1756" s="66" t="str">
        <f t="shared" si="190"/>
        <v/>
      </c>
      <c r="L1756" s="66" t="str">
        <f t="shared" si="191"/>
        <v/>
      </c>
      <c r="M1756" s="66" t="str">
        <f t="shared" si="192"/>
        <v/>
      </c>
      <c r="N1756" s="66" t="str">
        <f t="shared" si="193"/>
        <v/>
      </c>
      <c r="O1756" s="66" t="str">
        <f t="shared" si="194"/>
        <v/>
      </c>
      <c r="P1756" s="66" t="str">
        <f t="shared" si="195"/>
        <v/>
      </c>
    </row>
    <row r="1757" spans="8:16">
      <c r="H1757" s="66" t="e">
        <f>IF(LEFT(A1757,6)="CEPNTR","GPINS",VLOOKUP(LEFT(A1757,6),'Code Library'!$A$3:$B$920,2,0))&amp;"_"&amp;RIGHT(A1757,3)</f>
        <v>#N/A</v>
      </c>
      <c r="I1757" s="66">
        <f t="shared" si="189"/>
        <v>0</v>
      </c>
      <c r="K1757" s="66" t="str">
        <f t="shared" si="190"/>
        <v/>
      </c>
      <c r="L1757" s="66" t="str">
        <f t="shared" si="191"/>
        <v/>
      </c>
      <c r="M1757" s="66" t="str">
        <f t="shared" si="192"/>
        <v/>
      </c>
      <c r="N1757" s="66" t="str">
        <f t="shared" si="193"/>
        <v/>
      </c>
      <c r="O1757" s="66" t="str">
        <f t="shared" si="194"/>
        <v/>
      </c>
      <c r="P1757" s="66" t="str">
        <f t="shared" si="195"/>
        <v/>
      </c>
    </row>
    <row r="1758" spans="8:16">
      <c r="H1758" s="66" t="e">
        <f>IF(LEFT(A1758,6)="CEPNTR","GPINS",VLOOKUP(LEFT(A1758,6),'Code Library'!$A$3:$B$920,2,0))&amp;"_"&amp;RIGHT(A1758,3)</f>
        <v>#N/A</v>
      </c>
      <c r="I1758" s="66">
        <f t="shared" si="189"/>
        <v>0</v>
      </c>
      <c r="K1758" s="66" t="str">
        <f t="shared" si="190"/>
        <v/>
      </c>
      <c r="L1758" s="66" t="str">
        <f t="shared" si="191"/>
        <v/>
      </c>
      <c r="M1758" s="66" t="str">
        <f t="shared" si="192"/>
        <v/>
      </c>
      <c r="N1758" s="66" t="str">
        <f t="shared" si="193"/>
        <v/>
      </c>
      <c r="O1758" s="66" t="str">
        <f t="shared" si="194"/>
        <v/>
      </c>
      <c r="P1758" s="66" t="str">
        <f t="shared" si="195"/>
        <v/>
      </c>
    </row>
    <row r="1759" spans="8:16">
      <c r="H1759" s="66" t="e">
        <f>IF(LEFT(A1759,6)="CEPNTR","GPINS",VLOOKUP(LEFT(A1759,6),'Code Library'!$A$3:$B$920,2,0))&amp;"_"&amp;RIGHT(A1759,3)</f>
        <v>#N/A</v>
      </c>
      <c r="I1759" s="66">
        <f t="shared" si="189"/>
        <v>0</v>
      </c>
      <c r="K1759" s="66" t="str">
        <f t="shared" si="190"/>
        <v/>
      </c>
      <c r="L1759" s="66" t="str">
        <f t="shared" si="191"/>
        <v/>
      </c>
      <c r="M1759" s="66" t="str">
        <f t="shared" si="192"/>
        <v/>
      </c>
      <c r="N1759" s="66" t="str">
        <f t="shared" si="193"/>
        <v/>
      </c>
      <c r="O1759" s="66" t="str">
        <f t="shared" si="194"/>
        <v/>
      </c>
      <c r="P1759" s="66" t="str">
        <f t="shared" si="195"/>
        <v/>
      </c>
    </row>
    <row r="1760" spans="8:16">
      <c r="H1760" s="66" t="e">
        <f>IF(LEFT(A1760,6)="CEPNTR","GPINS",VLOOKUP(LEFT(A1760,6),'Code Library'!$A$3:$B$920,2,0))&amp;"_"&amp;RIGHT(A1760,3)</f>
        <v>#N/A</v>
      </c>
      <c r="I1760" s="66">
        <f t="shared" si="189"/>
        <v>0</v>
      </c>
      <c r="K1760" s="66" t="str">
        <f t="shared" si="190"/>
        <v/>
      </c>
      <c r="L1760" s="66" t="str">
        <f t="shared" si="191"/>
        <v/>
      </c>
      <c r="M1760" s="66" t="str">
        <f t="shared" si="192"/>
        <v/>
      </c>
      <c r="N1760" s="66" t="str">
        <f t="shared" si="193"/>
        <v/>
      </c>
      <c r="O1760" s="66" t="str">
        <f t="shared" si="194"/>
        <v/>
      </c>
      <c r="P1760" s="66" t="str">
        <f t="shared" si="195"/>
        <v/>
      </c>
    </row>
    <row r="1761" spans="8:16">
      <c r="H1761" s="66" t="e">
        <f>IF(LEFT(A1761,6)="CEPNTR","GPINS",VLOOKUP(LEFT(A1761,6),'Code Library'!$A$3:$B$920,2,0))&amp;"_"&amp;RIGHT(A1761,3)</f>
        <v>#N/A</v>
      </c>
      <c r="I1761" s="66">
        <f t="shared" si="189"/>
        <v>0</v>
      </c>
      <c r="K1761" s="66" t="str">
        <f t="shared" si="190"/>
        <v/>
      </c>
      <c r="L1761" s="66" t="str">
        <f t="shared" si="191"/>
        <v/>
      </c>
      <c r="M1761" s="66" t="str">
        <f t="shared" si="192"/>
        <v/>
      </c>
      <c r="N1761" s="66" t="str">
        <f t="shared" si="193"/>
        <v/>
      </c>
      <c r="O1761" s="66" t="str">
        <f t="shared" si="194"/>
        <v/>
      </c>
      <c r="P1761" s="66" t="str">
        <f t="shared" si="195"/>
        <v/>
      </c>
    </row>
    <row r="1762" spans="8:16">
      <c r="H1762" s="66" t="e">
        <f>IF(LEFT(A1762,6)="CEPNTR","GPINS",VLOOKUP(LEFT(A1762,6),'Code Library'!$A$3:$B$920,2,0))&amp;"_"&amp;RIGHT(A1762,3)</f>
        <v>#N/A</v>
      </c>
      <c r="I1762" s="66">
        <f t="shared" si="189"/>
        <v>0</v>
      </c>
      <c r="K1762" s="66" t="str">
        <f t="shared" si="190"/>
        <v/>
      </c>
      <c r="L1762" s="66" t="str">
        <f t="shared" si="191"/>
        <v/>
      </c>
      <c r="M1762" s="66" t="str">
        <f t="shared" si="192"/>
        <v/>
      </c>
      <c r="N1762" s="66" t="str">
        <f t="shared" si="193"/>
        <v/>
      </c>
      <c r="O1762" s="66" t="str">
        <f t="shared" si="194"/>
        <v/>
      </c>
      <c r="P1762" s="66" t="str">
        <f t="shared" si="195"/>
        <v/>
      </c>
    </row>
    <row r="1763" spans="8:16">
      <c r="H1763" s="66" t="e">
        <f>IF(LEFT(A1763,6)="CEPNTR","GPINS",VLOOKUP(LEFT(A1763,6),'Code Library'!$A$3:$B$920,2,0))&amp;"_"&amp;RIGHT(A1763,3)</f>
        <v>#N/A</v>
      </c>
      <c r="I1763" s="66">
        <f t="shared" si="189"/>
        <v>0</v>
      </c>
      <c r="K1763" s="66" t="str">
        <f t="shared" si="190"/>
        <v/>
      </c>
      <c r="L1763" s="66" t="str">
        <f t="shared" si="191"/>
        <v/>
      </c>
      <c r="M1763" s="66" t="str">
        <f t="shared" si="192"/>
        <v/>
      </c>
      <c r="N1763" s="66" t="str">
        <f t="shared" si="193"/>
        <v/>
      </c>
      <c r="O1763" s="66" t="str">
        <f t="shared" si="194"/>
        <v/>
      </c>
      <c r="P1763" s="66" t="str">
        <f t="shared" si="195"/>
        <v/>
      </c>
    </row>
    <row r="1764" spans="8:16">
      <c r="H1764" s="66" t="e">
        <f>IF(LEFT(A1764,6)="CEPNTR","GPINS",VLOOKUP(LEFT(A1764,6),'Code Library'!$A$3:$B$920,2,0))&amp;"_"&amp;RIGHT(A1764,3)</f>
        <v>#N/A</v>
      </c>
      <c r="I1764" s="66">
        <f t="shared" si="189"/>
        <v>0</v>
      </c>
      <c r="K1764" s="66" t="str">
        <f t="shared" si="190"/>
        <v/>
      </c>
      <c r="L1764" s="66" t="str">
        <f t="shared" si="191"/>
        <v/>
      </c>
      <c r="M1764" s="66" t="str">
        <f t="shared" si="192"/>
        <v/>
      </c>
      <c r="N1764" s="66" t="str">
        <f t="shared" si="193"/>
        <v/>
      </c>
      <c r="O1764" s="66" t="str">
        <f t="shared" si="194"/>
        <v/>
      </c>
      <c r="P1764" s="66" t="str">
        <f t="shared" si="195"/>
        <v/>
      </c>
    </row>
    <row r="1765" spans="8:16">
      <c r="H1765" s="66" t="e">
        <f>IF(LEFT(A1765,6)="CEPNTR","GPINS",VLOOKUP(LEFT(A1765,6),'Code Library'!$A$3:$B$920,2,0))&amp;"_"&amp;RIGHT(A1765,3)</f>
        <v>#N/A</v>
      </c>
      <c r="I1765" s="66">
        <f t="shared" si="189"/>
        <v>0</v>
      </c>
      <c r="K1765" s="66" t="str">
        <f t="shared" si="190"/>
        <v/>
      </c>
      <c r="L1765" s="66" t="str">
        <f t="shared" si="191"/>
        <v/>
      </c>
      <c r="M1765" s="66" t="str">
        <f t="shared" si="192"/>
        <v/>
      </c>
      <c r="N1765" s="66" t="str">
        <f t="shared" si="193"/>
        <v/>
      </c>
      <c r="O1765" s="66" t="str">
        <f t="shared" si="194"/>
        <v/>
      </c>
      <c r="P1765" s="66" t="str">
        <f t="shared" si="195"/>
        <v/>
      </c>
    </row>
    <row r="1766" spans="8:16">
      <c r="H1766" s="66" t="e">
        <f>IF(LEFT(A1766,6)="CEPNTR","GPINS",VLOOKUP(LEFT(A1766,6),'Code Library'!$A$3:$B$920,2,0))&amp;"_"&amp;RIGHT(A1766,3)</f>
        <v>#N/A</v>
      </c>
      <c r="I1766" s="66">
        <f t="shared" si="189"/>
        <v>0</v>
      </c>
      <c r="K1766" s="66" t="str">
        <f t="shared" si="190"/>
        <v/>
      </c>
      <c r="L1766" s="66" t="str">
        <f t="shared" si="191"/>
        <v/>
      </c>
      <c r="M1766" s="66" t="str">
        <f t="shared" si="192"/>
        <v/>
      </c>
      <c r="N1766" s="66" t="str">
        <f t="shared" si="193"/>
        <v/>
      </c>
      <c r="O1766" s="66" t="str">
        <f t="shared" si="194"/>
        <v/>
      </c>
      <c r="P1766" s="66" t="str">
        <f t="shared" si="195"/>
        <v/>
      </c>
    </row>
    <row r="1767" spans="8:16">
      <c r="H1767" s="66" t="e">
        <f>IF(LEFT(A1767,6)="CEPNTR","GPINS",VLOOKUP(LEFT(A1767,6),'Code Library'!$A$3:$B$920,2,0))&amp;"_"&amp;RIGHT(A1767,3)</f>
        <v>#N/A</v>
      </c>
      <c r="I1767" s="66">
        <f t="shared" si="189"/>
        <v>0</v>
      </c>
      <c r="K1767" s="66" t="str">
        <f t="shared" si="190"/>
        <v/>
      </c>
      <c r="L1767" s="66" t="str">
        <f t="shared" si="191"/>
        <v/>
      </c>
      <c r="M1767" s="66" t="str">
        <f t="shared" si="192"/>
        <v/>
      </c>
      <c r="N1767" s="66" t="str">
        <f t="shared" si="193"/>
        <v/>
      </c>
      <c r="O1767" s="66" t="str">
        <f t="shared" si="194"/>
        <v/>
      </c>
      <c r="P1767" s="66" t="str">
        <f t="shared" si="195"/>
        <v/>
      </c>
    </row>
    <row r="1768" spans="8:16">
      <c r="H1768" s="66" t="e">
        <f>IF(LEFT(A1768,6)="CEPNTR","GPINS",VLOOKUP(LEFT(A1768,6),'Code Library'!$A$3:$B$920,2,0))&amp;"_"&amp;RIGHT(A1768,3)</f>
        <v>#N/A</v>
      </c>
      <c r="I1768" s="66">
        <f t="shared" si="189"/>
        <v>0</v>
      </c>
      <c r="K1768" s="66" t="str">
        <f t="shared" si="190"/>
        <v/>
      </c>
      <c r="L1768" s="66" t="str">
        <f t="shared" si="191"/>
        <v/>
      </c>
      <c r="M1768" s="66" t="str">
        <f t="shared" si="192"/>
        <v/>
      </c>
      <c r="N1768" s="66" t="str">
        <f t="shared" si="193"/>
        <v/>
      </c>
      <c r="O1768" s="66" t="str">
        <f t="shared" si="194"/>
        <v/>
      </c>
      <c r="P1768" s="66" t="str">
        <f t="shared" si="195"/>
        <v/>
      </c>
    </row>
    <row r="1769" spans="8:16">
      <c r="H1769" s="66" t="e">
        <f>IF(LEFT(A1769,6)="CEPNTR","GPINS",VLOOKUP(LEFT(A1769,6),'Code Library'!$A$3:$B$920,2,0))&amp;"_"&amp;RIGHT(A1769,3)</f>
        <v>#N/A</v>
      </c>
      <c r="I1769" s="66">
        <f t="shared" si="189"/>
        <v>0</v>
      </c>
      <c r="K1769" s="66" t="str">
        <f t="shared" si="190"/>
        <v/>
      </c>
      <c r="L1769" s="66" t="str">
        <f t="shared" si="191"/>
        <v/>
      </c>
      <c r="M1769" s="66" t="str">
        <f t="shared" si="192"/>
        <v/>
      </c>
      <c r="N1769" s="66" t="str">
        <f t="shared" si="193"/>
        <v/>
      </c>
      <c r="O1769" s="66" t="str">
        <f t="shared" si="194"/>
        <v/>
      </c>
      <c r="P1769" s="66" t="str">
        <f t="shared" si="195"/>
        <v/>
      </c>
    </row>
    <row r="1770" spans="8:16">
      <c r="H1770" s="66" t="e">
        <f>IF(LEFT(A1770,6)="CEPNTR","GPINS",VLOOKUP(LEFT(A1770,6),'Code Library'!$A$3:$B$920,2,0))&amp;"_"&amp;RIGHT(A1770,3)</f>
        <v>#N/A</v>
      </c>
      <c r="I1770" s="66">
        <f t="shared" si="189"/>
        <v>0</v>
      </c>
      <c r="K1770" s="66" t="str">
        <f t="shared" si="190"/>
        <v/>
      </c>
      <c r="L1770" s="66" t="str">
        <f t="shared" si="191"/>
        <v/>
      </c>
      <c r="M1770" s="66" t="str">
        <f t="shared" si="192"/>
        <v/>
      </c>
      <c r="N1770" s="66" t="str">
        <f t="shared" si="193"/>
        <v/>
      </c>
      <c r="O1770" s="66" t="str">
        <f t="shared" si="194"/>
        <v/>
      </c>
      <c r="P1770" s="66" t="str">
        <f t="shared" si="195"/>
        <v/>
      </c>
    </row>
    <row r="1771" spans="8:16">
      <c r="H1771" s="66" t="e">
        <f>IF(LEFT(A1771,6)="CEPNTR","GPINS",VLOOKUP(LEFT(A1771,6),'Code Library'!$A$3:$B$920,2,0))&amp;"_"&amp;RIGHT(A1771,3)</f>
        <v>#N/A</v>
      </c>
      <c r="I1771" s="66">
        <f t="shared" si="189"/>
        <v>0</v>
      </c>
      <c r="K1771" s="66" t="str">
        <f t="shared" si="190"/>
        <v/>
      </c>
      <c r="L1771" s="66" t="str">
        <f t="shared" si="191"/>
        <v/>
      </c>
      <c r="M1771" s="66" t="str">
        <f t="shared" si="192"/>
        <v/>
      </c>
      <c r="N1771" s="66" t="str">
        <f t="shared" si="193"/>
        <v/>
      </c>
      <c r="O1771" s="66" t="str">
        <f t="shared" si="194"/>
        <v/>
      </c>
      <c r="P1771" s="66" t="str">
        <f t="shared" si="195"/>
        <v/>
      </c>
    </row>
    <row r="1772" spans="8:16">
      <c r="H1772" s="66" t="e">
        <f>IF(LEFT(A1772,6)="CEPNTR","GPINS",VLOOKUP(LEFT(A1772,6),'Code Library'!$A$3:$B$920,2,0))&amp;"_"&amp;RIGHT(A1772,3)</f>
        <v>#N/A</v>
      </c>
      <c r="I1772" s="66">
        <f t="shared" si="189"/>
        <v>0</v>
      </c>
      <c r="K1772" s="66" t="str">
        <f t="shared" si="190"/>
        <v/>
      </c>
      <c r="L1772" s="66" t="str">
        <f t="shared" si="191"/>
        <v/>
      </c>
      <c r="M1772" s="66" t="str">
        <f t="shared" si="192"/>
        <v/>
      </c>
      <c r="N1772" s="66" t="str">
        <f t="shared" si="193"/>
        <v/>
      </c>
      <c r="O1772" s="66" t="str">
        <f t="shared" si="194"/>
        <v/>
      </c>
      <c r="P1772" s="66" t="str">
        <f t="shared" si="195"/>
        <v/>
      </c>
    </row>
    <row r="1773" spans="8:16">
      <c r="H1773" s="66" t="e">
        <f>IF(LEFT(A1773,6)="CEPNTR","GPINS",VLOOKUP(LEFT(A1773,6),'Code Library'!$A$3:$B$920,2,0))&amp;"_"&amp;RIGHT(A1773,3)</f>
        <v>#N/A</v>
      </c>
      <c r="I1773" s="66">
        <f t="shared" si="189"/>
        <v>0</v>
      </c>
      <c r="K1773" s="66" t="str">
        <f t="shared" si="190"/>
        <v/>
      </c>
      <c r="L1773" s="66" t="str">
        <f t="shared" si="191"/>
        <v/>
      </c>
      <c r="M1773" s="66" t="str">
        <f t="shared" si="192"/>
        <v/>
      </c>
      <c r="N1773" s="66" t="str">
        <f t="shared" si="193"/>
        <v/>
      </c>
      <c r="O1773" s="66" t="str">
        <f t="shared" si="194"/>
        <v/>
      </c>
      <c r="P1773" s="66" t="str">
        <f t="shared" si="195"/>
        <v/>
      </c>
    </row>
    <row r="1774" spans="8:16">
      <c r="H1774" s="66" t="e">
        <f>IF(LEFT(A1774,6)="CEPNTR","GPINS",VLOOKUP(LEFT(A1774,6),'Code Library'!$A$3:$B$920,2,0))&amp;"_"&amp;RIGHT(A1774,3)</f>
        <v>#N/A</v>
      </c>
      <c r="I1774" s="66">
        <f t="shared" si="189"/>
        <v>0</v>
      </c>
      <c r="K1774" s="66" t="str">
        <f t="shared" si="190"/>
        <v/>
      </c>
      <c r="L1774" s="66" t="str">
        <f t="shared" si="191"/>
        <v/>
      </c>
      <c r="M1774" s="66" t="str">
        <f t="shared" si="192"/>
        <v/>
      </c>
      <c r="N1774" s="66" t="str">
        <f t="shared" si="193"/>
        <v/>
      </c>
      <c r="O1774" s="66" t="str">
        <f t="shared" si="194"/>
        <v/>
      </c>
      <c r="P1774" s="66" t="str">
        <f t="shared" si="195"/>
        <v/>
      </c>
    </row>
    <row r="1775" spans="8:16">
      <c r="H1775" s="66" t="e">
        <f>IF(LEFT(A1775,6)="CEPNTR","GPINS",VLOOKUP(LEFT(A1775,6),'Code Library'!$A$3:$B$920,2,0))&amp;"_"&amp;RIGHT(A1775,3)</f>
        <v>#N/A</v>
      </c>
      <c r="I1775" s="66">
        <f t="shared" si="189"/>
        <v>0</v>
      </c>
      <c r="K1775" s="66" t="str">
        <f t="shared" si="190"/>
        <v/>
      </c>
      <c r="L1775" s="66" t="str">
        <f t="shared" si="191"/>
        <v/>
      </c>
      <c r="M1775" s="66" t="str">
        <f t="shared" si="192"/>
        <v/>
      </c>
      <c r="N1775" s="66" t="str">
        <f t="shared" si="193"/>
        <v/>
      </c>
      <c r="O1775" s="66" t="str">
        <f t="shared" si="194"/>
        <v/>
      </c>
      <c r="P1775" s="66" t="str">
        <f t="shared" si="195"/>
        <v/>
      </c>
    </row>
    <row r="1776" spans="8:16">
      <c r="H1776" s="66" t="e">
        <f>IF(LEFT(A1776,6)="CEPNTR","GPINS",VLOOKUP(LEFT(A1776,6),'Code Library'!$A$3:$B$920,2,0))&amp;"_"&amp;RIGHT(A1776,3)</f>
        <v>#N/A</v>
      </c>
      <c r="I1776" s="66">
        <f t="shared" si="189"/>
        <v>0</v>
      </c>
      <c r="K1776" s="66" t="str">
        <f t="shared" si="190"/>
        <v/>
      </c>
      <c r="L1776" s="66" t="str">
        <f t="shared" si="191"/>
        <v/>
      </c>
      <c r="M1776" s="66" t="str">
        <f t="shared" si="192"/>
        <v/>
      </c>
      <c r="N1776" s="66" t="str">
        <f t="shared" si="193"/>
        <v/>
      </c>
      <c r="O1776" s="66" t="str">
        <f t="shared" si="194"/>
        <v/>
      </c>
      <c r="P1776" s="66" t="str">
        <f t="shared" si="195"/>
        <v/>
      </c>
    </row>
    <row r="1777" spans="8:16">
      <c r="H1777" s="66" t="e">
        <f>IF(LEFT(A1777,6)="CEPNTR","GPINS",VLOOKUP(LEFT(A1777,6),'Code Library'!$A$3:$B$920,2,0))&amp;"_"&amp;RIGHT(A1777,3)</f>
        <v>#N/A</v>
      </c>
      <c r="I1777" s="66">
        <f t="shared" si="189"/>
        <v>0</v>
      </c>
      <c r="K1777" s="66" t="str">
        <f t="shared" si="190"/>
        <v/>
      </c>
      <c r="L1777" s="66" t="str">
        <f t="shared" si="191"/>
        <v/>
      </c>
      <c r="M1777" s="66" t="str">
        <f t="shared" si="192"/>
        <v/>
      </c>
      <c r="N1777" s="66" t="str">
        <f t="shared" si="193"/>
        <v/>
      </c>
      <c r="O1777" s="66" t="str">
        <f t="shared" si="194"/>
        <v/>
      </c>
      <c r="P1777" s="66" t="str">
        <f t="shared" si="195"/>
        <v/>
      </c>
    </row>
    <row r="1778" spans="8:16">
      <c r="H1778" s="66" t="e">
        <f>IF(LEFT(A1778,6)="CEPNTR","GPINS",VLOOKUP(LEFT(A1778,6),'Code Library'!$A$3:$B$920,2,0))&amp;"_"&amp;RIGHT(A1778,3)</f>
        <v>#N/A</v>
      </c>
      <c r="I1778" s="66">
        <f t="shared" si="189"/>
        <v>0</v>
      </c>
      <c r="K1778" s="66" t="str">
        <f t="shared" si="190"/>
        <v/>
      </c>
      <c r="L1778" s="66" t="str">
        <f t="shared" si="191"/>
        <v/>
      </c>
      <c r="M1778" s="66" t="str">
        <f t="shared" si="192"/>
        <v/>
      </c>
      <c r="N1778" s="66" t="str">
        <f t="shared" si="193"/>
        <v/>
      </c>
      <c r="O1778" s="66" t="str">
        <f t="shared" si="194"/>
        <v/>
      </c>
      <c r="P1778" s="66" t="str">
        <f t="shared" si="195"/>
        <v/>
      </c>
    </row>
    <row r="1779" spans="8:16">
      <c r="H1779" s="66" t="e">
        <f>IF(LEFT(A1779,6)="CEPNTR","GPINS",VLOOKUP(LEFT(A1779,6),'Code Library'!$A$3:$B$920,2,0))&amp;"_"&amp;RIGHT(A1779,3)</f>
        <v>#N/A</v>
      </c>
      <c r="I1779" s="66">
        <f t="shared" si="189"/>
        <v>0</v>
      </c>
      <c r="K1779" s="66" t="str">
        <f t="shared" si="190"/>
        <v/>
      </c>
      <c r="L1779" s="66" t="str">
        <f t="shared" si="191"/>
        <v/>
      </c>
      <c r="M1779" s="66" t="str">
        <f t="shared" si="192"/>
        <v/>
      </c>
      <c r="N1779" s="66" t="str">
        <f t="shared" si="193"/>
        <v/>
      </c>
      <c r="O1779" s="66" t="str">
        <f t="shared" si="194"/>
        <v/>
      </c>
      <c r="P1779" s="66" t="str">
        <f t="shared" si="195"/>
        <v/>
      </c>
    </row>
    <row r="1780" spans="8:16">
      <c r="H1780" s="66" t="e">
        <f>IF(LEFT(A1780,6)="CEPNTR","GPINS",VLOOKUP(LEFT(A1780,6),'Code Library'!$A$3:$B$920,2,0))&amp;"_"&amp;RIGHT(A1780,3)</f>
        <v>#N/A</v>
      </c>
      <c r="I1780" s="66">
        <f t="shared" si="189"/>
        <v>0</v>
      </c>
      <c r="K1780" s="66" t="str">
        <f t="shared" si="190"/>
        <v/>
      </c>
      <c r="L1780" s="66" t="str">
        <f t="shared" si="191"/>
        <v/>
      </c>
      <c r="M1780" s="66" t="str">
        <f t="shared" si="192"/>
        <v/>
      </c>
      <c r="N1780" s="66" t="str">
        <f t="shared" si="193"/>
        <v/>
      </c>
      <c r="O1780" s="66" t="str">
        <f t="shared" si="194"/>
        <v/>
      </c>
      <c r="P1780" s="66" t="str">
        <f t="shared" si="195"/>
        <v/>
      </c>
    </row>
    <row r="1781" spans="8:16">
      <c r="H1781" s="66" t="e">
        <f>IF(LEFT(A1781,6)="CEPNTR","GPINS",VLOOKUP(LEFT(A1781,6),'Code Library'!$A$3:$B$920,2,0))&amp;"_"&amp;RIGHT(A1781,3)</f>
        <v>#N/A</v>
      </c>
      <c r="I1781" s="66">
        <f t="shared" si="189"/>
        <v>0</v>
      </c>
      <c r="K1781" s="66" t="str">
        <f t="shared" si="190"/>
        <v/>
      </c>
      <c r="L1781" s="66" t="str">
        <f t="shared" si="191"/>
        <v/>
      </c>
      <c r="M1781" s="66" t="str">
        <f t="shared" si="192"/>
        <v/>
      </c>
      <c r="N1781" s="66" t="str">
        <f t="shared" si="193"/>
        <v/>
      </c>
      <c r="O1781" s="66" t="str">
        <f t="shared" si="194"/>
        <v/>
      </c>
      <c r="P1781" s="66" t="str">
        <f t="shared" si="195"/>
        <v/>
      </c>
    </row>
    <row r="1782" spans="8:16">
      <c r="H1782" s="66" t="e">
        <f>IF(LEFT(A1782,6)="CEPNTR","GPINS",VLOOKUP(LEFT(A1782,6),'Code Library'!$A$3:$B$920,2,0))&amp;"_"&amp;RIGHT(A1782,3)</f>
        <v>#N/A</v>
      </c>
      <c r="I1782" s="66">
        <f t="shared" si="189"/>
        <v>0</v>
      </c>
      <c r="K1782" s="66" t="str">
        <f t="shared" si="190"/>
        <v/>
      </c>
      <c r="L1782" s="66" t="str">
        <f t="shared" si="191"/>
        <v/>
      </c>
      <c r="M1782" s="66" t="str">
        <f t="shared" si="192"/>
        <v/>
      </c>
      <c r="N1782" s="66" t="str">
        <f t="shared" si="193"/>
        <v/>
      </c>
      <c r="O1782" s="66" t="str">
        <f t="shared" si="194"/>
        <v/>
      </c>
      <c r="P1782" s="66" t="str">
        <f t="shared" si="195"/>
        <v/>
      </c>
    </row>
    <row r="1783" spans="8:16">
      <c r="H1783" s="66" t="e">
        <f>IF(LEFT(A1783,6)="CEPNTR","GPINS",VLOOKUP(LEFT(A1783,6),'Code Library'!$A$3:$B$920,2,0))&amp;"_"&amp;RIGHT(A1783,3)</f>
        <v>#N/A</v>
      </c>
      <c r="I1783" s="66">
        <f t="shared" si="189"/>
        <v>0</v>
      </c>
      <c r="K1783" s="66" t="str">
        <f t="shared" si="190"/>
        <v/>
      </c>
      <c r="L1783" s="66" t="str">
        <f t="shared" si="191"/>
        <v/>
      </c>
      <c r="M1783" s="66" t="str">
        <f t="shared" si="192"/>
        <v/>
      </c>
      <c r="N1783" s="66" t="str">
        <f t="shared" si="193"/>
        <v/>
      </c>
      <c r="O1783" s="66" t="str">
        <f t="shared" si="194"/>
        <v/>
      </c>
      <c r="P1783" s="66" t="str">
        <f t="shared" si="195"/>
        <v/>
      </c>
    </row>
    <row r="1784" spans="8:16">
      <c r="H1784" s="66" t="e">
        <f>IF(LEFT(A1784,6)="CEPNTR","GPINS",VLOOKUP(LEFT(A1784,6),'Code Library'!$A$3:$B$920,2,0))&amp;"_"&amp;RIGHT(A1784,3)</f>
        <v>#N/A</v>
      </c>
      <c r="I1784" s="66">
        <f t="shared" si="189"/>
        <v>0</v>
      </c>
      <c r="K1784" s="66" t="str">
        <f t="shared" si="190"/>
        <v/>
      </c>
      <c r="L1784" s="66" t="str">
        <f t="shared" si="191"/>
        <v/>
      </c>
      <c r="M1784" s="66" t="str">
        <f t="shared" si="192"/>
        <v/>
      </c>
      <c r="N1784" s="66" t="str">
        <f t="shared" si="193"/>
        <v/>
      </c>
      <c r="O1784" s="66" t="str">
        <f t="shared" si="194"/>
        <v/>
      </c>
      <c r="P1784" s="66" t="str">
        <f t="shared" si="195"/>
        <v/>
      </c>
    </row>
    <row r="1785" spans="8:16">
      <c r="H1785" s="66" t="e">
        <f>IF(LEFT(A1785,6)="CEPNTR","GPINS",VLOOKUP(LEFT(A1785,6),'Code Library'!$A$3:$B$920,2,0))&amp;"_"&amp;RIGHT(A1785,3)</f>
        <v>#N/A</v>
      </c>
      <c r="I1785" s="66">
        <f t="shared" si="189"/>
        <v>0</v>
      </c>
      <c r="K1785" s="66" t="str">
        <f t="shared" si="190"/>
        <v/>
      </c>
      <c r="L1785" s="66" t="str">
        <f t="shared" si="191"/>
        <v/>
      </c>
      <c r="M1785" s="66" t="str">
        <f t="shared" si="192"/>
        <v/>
      </c>
      <c r="N1785" s="66" t="str">
        <f t="shared" si="193"/>
        <v/>
      </c>
      <c r="O1785" s="66" t="str">
        <f t="shared" si="194"/>
        <v/>
      </c>
      <c r="P1785" s="66" t="str">
        <f t="shared" si="195"/>
        <v/>
      </c>
    </row>
    <row r="1786" spans="8:16">
      <c r="H1786" s="66" t="e">
        <f>IF(LEFT(A1786,6)="CEPNTR","GPINS",VLOOKUP(LEFT(A1786,6),'Code Library'!$A$3:$B$920,2,0))&amp;"_"&amp;RIGHT(A1786,3)</f>
        <v>#N/A</v>
      </c>
      <c r="I1786" s="66">
        <f t="shared" si="189"/>
        <v>0</v>
      </c>
      <c r="K1786" s="66" t="str">
        <f t="shared" si="190"/>
        <v/>
      </c>
      <c r="L1786" s="66" t="str">
        <f t="shared" si="191"/>
        <v/>
      </c>
      <c r="M1786" s="66" t="str">
        <f t="shared" si="192"/>
        <v/>
      </c>
      <c r="N1786" s="66" t="str">
        <f t="shared" si="193"/>
        <v/>
      </c>
      <c r="O1786" s="66" t="str">
        <f t="shared" si="194"/>
        <v/>
      </c>
      <c r="P1786" s="66" t="str">
        <f t="shared" si="195"/>
        <v/>
      </c>
    </row>
    <row r="1787" spans="8:16">
      <c r="H1787" s="66" t="e">
        <f>IF(LEFT(A1787,6)="CEPNTR","GPINS",VLOOKUP(LEFT(A1787,6),'Code Library'!$A$3:$B$920,2,0))&amp;"_"&amp;RIGHT(A1787,3)</f>
        <v>#N/A</v>
      </c>
      <c r="I1787" s="66">
        <f t="shared" si="189"/>
        <v>0</v>
      </c>
      <c r="K1787" s="66" t="str">
        <f t="shared" si="190"/>
        <v/>
      </c>
      <c r="L1787" s="66" t="str">
        <f t="shared" si="191"/>
        <v/>
      </c>
      <c r="M1787" s="66" t="str">
        <f t="shared" si="192"/>
        <v/>
      </c>
      <c r="N1787" s="66" t="str">
        <f t="shared" si="193"/>
        <v/>
      </c>
      <c r="O1787" s="66" t="str">
        <f t="shared" si="194"/>
        <v/>
      </c>
      <c r="P1787" s="66" t="str">
        <f t="shared" si="195"/>
        <v/>
      </c>
    </row>
    <row r="1788" spans="8:16">
      <c r="H1788" s="66" t="e">
        <f>IF(LEFT(A1788,6)="CEPNTR","GPINS",VLOOKUP(LEFT(A1788,6),'Code Library'!$A$3:$B$920,2,0))&amp;"_"&amp;RIGHT(A1788,3)</f>
        <v>#N/A</v>
      </c>
      <c r="I1788" s="66">
        <f t="shared" si="189"/>
        <v>0</v>
      </c>
      <c r="K1788" s="66" t="str">
        <f t="shared" si="190"/>
        <v/>
      </c>
      <c r="L1788" s="66" t="str">
        <f t="shared" si="191"/>
        <v/>
      </c>
      <c r="M1788" s="66" t="str">
        <f t="shared" si="192"/>
        <v/>
      </c>
      <c r="N1788" s="66" t="str">
        <f t="shared" si="193"/>
        <v/>
      </c>
      <c r="O1788" s="66" t="str">
        <f t="shared" si="194"/>
        <v/>
      </c>
      <c r="P1788" s="66" t="str">
        <f t="shared" si="195"/>
        <v/>
      </c>
    </row>
    <row r="1789" spans="8:16">
      <c r="H1789" s="66" t="e">
        <f>IF(LEFT(A1789,6)="CEPNTR","GPINS",VLOOKUP(LEFT(A1789,6),'Code Library'!$A$3:$B$920,2,0))&amp;"_"&amp;RIGHT(A1789,3)</f>
        <v>#N/A</v>
      </c>
      <c r="I1789" s="66">
        <f t="shared" si="189"/>
        <v>0</v>
      </c>
      <c r="K1789" s="66" t="str">
        <f t="shared" si="190"/>
        <v/>
      </c>
      <c r="L1789" s="66" t="str">
        <f t="shared" si="191"/>
        <v/>
      </c>
      <c r="M1789" s="66" t="str">
        <f t="shared" si="192"/>
        <v/>
      </c>
      <c r="N1789" s="66" t="str">
        <f t="shared" si="193"/>
        <v/>
      </c>
      <c r="O1789" s="66" t="str">
        <f t="shared" si="194"/>
        <v/>
      </c>
      <c r="P1789" s="66" t="str">
        <f t="shared" si="195"/>
        <v/>
      </c>
    </row>
    <row r="1790" spans="8:16">
      <c r="H1790" s="66" t="e">
        <f>IF(LEFT(A1790,6)="CEPNTR","GPINS",VLOOKUP(LEFT(A1790,6),'Code Library'!$A$3:$B$920,2,0))&amp;"_"&amp;RIGHT(A1790,3)</f>
        <v>#N/A</v>
      </c>
      <c r="I1790" s="66">
        <f t="shared" si="189"/>
        <v>0</v>
      </c>
      <c r="K1790" s="66" t="str">
        <f t="shared" si="190"/>
        <v/>
      </c>
      <c r="L1790" s="66" t="str">
        <f t="shared" si="191"/>
        <v/>
      </c>
      <c r="M1790" s="66" t="str">
        <f t="shared" si="192"/>
        <v/>
      </c>
      <c r="N1790" s="66" t="str">
        <f t="shared" si="193"/>
        <v/>
      </c>
      <c r="O1790" s="66" t="str">
        <f t="shared" si="194"/>
        <v/>
      </c>
      <c r="P1790" s="66" t="str">
        <f t="shared" si="195"/>
        <v/>
      </c>
    </row>
    <row r="1791" spans="8:16">
      <c r="H1791" s="66" t="e">
        <f>IF(LEFT(A1791,6)="CEPNTR","GPINS",VLOOKUP(LEFT(A1791,6),'Code Library'!$A$3:$B$920,2,0))&amp;"_"&amp;RIGHT(A1791,3)</f>
        <v>#N/A</v>
      </c>
      <c r="I1791" s="66">
        <f t="shared" si="189"/>
        <v>0</v>
      </c>
      <c r="K1791" s="66" t="str">
        <f t="shared" si="190"/>
        <v/>
      </c>
      <c r="L1791" s="66" t="str">
        <f t="shared" si="191"/>
        <v/>
      </c>
      <c r="M1791" s="66" t="str">
        <f t="shared" si="192"/>
        <v/>
      </c>
      <c r="N1791" s="66" t="str">
        <f t="shared" si="193"/>
        <v/>
      </c>
      <c r="O1791" s="66" t="str">
        <f t="shared" si="194"/>
        <v/>
      </c>
      <c r="P1791" s="66" t="str">
        <f t="shared" si="195"/>
        <v/>
      </c>
    </row>
    <row r="1792" spans="8:16">
      <c r="H1792" s="66" t="e">
        <f>IF(LEFT(A1792,6)="CEPNTR","GPINS",VLOOKUP(LEFT(A1792,6),'Code Library'!$A$3:$B$920,2,0))&amp;"_"&amp;RIGHT(A1792,3)</f>
        <v>#N/A</v>
      </c>
      <c r="I1792" s="66">
        <f t="shared" si="189"/>
        <v>0</v>
      </c>
      <c r="K1792" s="66" t="str">
        <f t="shared" si="190"/>
        <v/>
      </c>
      <c r="L1792" s="66" t="str">
        <f t="shared" si="191"/>
        <v/>
      </c>
      <c r="M1792" s="66" t="str">
        <f t="shared" si="192"/>
        <v/>
      </c>
      <c r="N1792" s="66" t="str">
        <f t="shared" si="193"/>
        <v/>
      </c>
      <c r="O1792" s="66" t="str">
        <f t="shared" si="194"/>
        <v/>
      </c>
      <c r="P1792" s="66" t="str">
        <f t="shared" si="195"/>
        <v/>
      </c>
    </row>
    <row r="1793" spans="8:16">
      <c r="H1793" s="66" t="e">
        <f>IF(LEFT(A1793,6)="CEPNTR","GPINS",VLOOKUP(LEFT(A1793,6),'Code Library'!$A$3:$B$920,2,0))&amp;"_"&amp;RIGHT(A1793,3)</f>
        <v>#N/A</v>
      </c>
      <c r="I1793" s="66">
        <f t="shared" si="189"/>
        <v>0</v>
      </c>
      <c r="K1793" s="66" t="str">
        <f t="shared" si="190"/>
        <v/>
      </c>
      <c r="L1793" s="66" t="str">
        <f t="shared" si="191"/>
        <v/>
      </c>
      <c r="M1793" s="66" t="str">
        <f t="shared" si="192"/>
        <v/>
      </c>
      <c r="N1793" s="66" t="str">
        <f t="shared" si="193"/>
        <v/>
      </c>
      <c r="O1793" s="66" t="str">
        <f t="shared" si="194"/>
        <v/>
      </c>
      <c r="P1793" s="66" t="str">
        <f t="shared" si="195"/>
        <v/>
      </c>
    </row>
    <row r="1794" spans="8:16">
      <c r="H1794" s="66" t="e">
        <f>IF(LEFT(A1794,6)="CEPNTR","GPINS",VLOOKUP(LEFT(A1794,6),'Code Library'!$A$3:$B$920,2,0))&amp;"_"&amp;RIGHT(A1794,3)</f>
        <v>#N/A</v>
      </c>
      <c r="I1794" s="66">
        <f t="shared" si="189"/>
        <v>0</v>
      </c>
      <c r="K1794" s="66" t="str">
        <f t="shared" si="190"/>
        <v/>
      </c>
      <c r="L1794" s="66" t="str">
        <f t="shared" si="191"/>
        <v/>
      </c>
      <c r="M1794" s="66" t="str">
        <f t="shared" si="192"/>
        <v/>
      </c>
      <c r="N1794" s="66" t="str">
        <f t="shared" si="193"/>
        <v/>
      </c>
      <c r="O1794" s="66" t="str">
        <f t="shared" si="194"/>
        <v/>
      </c>
      <c r="P1794" s="66" t="str">
        <f t="shared" si="195"/>
        <v/>
      </c>
    </row>
    <row r="1795" spans="8:16">
      <c r="H1795" s="66" t="e">
        <f>IF(LEFT(A1795,6)="CEPNTR","GPINS",VLOOKUP(LEFT(A1795,6),'Code Library'!$A$3:$B$920,2,0))&amp;"_"&amp;RIGHT(A1795,3)</f>
        <v>#N/A</v>
      </c>
      <c r="I1795" s="66">
        <f t="shared" ref="I1795:I1858" si="196">A1795</f>
        <v>0</v>
      </c>
      <c r="K1795" s="66" t="str">
        <f t="shared" ref="K1795:K1858" si="197">RIGHT($B1795,2)</f>
        <v/>
      </c>
      <c r="L1795" s="66" t="str">
        <f t="shared" ref="L1795:L1858" si="198">LEFT(RIGHT($B1795,7),4)</f>
        <v/>
      </c>
      <c r="M1795" s="66" t="str">
        <f t="shared" ref="M1795:M1858" si="199">LEFT(RIGHT($B1795,10),2)</f>
        <v/>
      </c>
      <c r="N1795" s="66" t="str">
        <f t="shared" ref="N1795:N1858" si="200">LEFT(RIGHT($B1795,14),3)</f>
        <v/>
      </c>
      <c r="O1795" s="66" t="str">
        <f t="shared" ref="O1795:O1858" si="201">LEFT(RIGHT($B1795,16),1)</f>
        <v/>
      </c>
      <c r="P1795" s="66" t="str">
        <f t="shared" ref="P1795:P1858" si="202">LEFT(RIGHT($B1795,19),2)</f>
        <v/>
      </c>
    </row>
    <row r="1796" spans="8:16">
      <c r="H1796" s="66" t="e">
        <f>IF(LEFT(A1796,6)="CEPNTR","GPINS",VLOOKUP(LEFT(A1796,6),'Code Library'!$A$3:$B$920,2,0))&amp;"_"&amp;RIGHT(A1796,3)</f>
        <v>#N/A</v>
      </c>
      <c r="I1796" s="66">
        <f t="shared" si="196"/>
        <v>0</v>
      </c>
      <c r="K1796" s="66" t="str">
        <f t="shared" si="197"/>
        <v/>
      </c>
      <c r="L1796" s="66" t="str">
        <f t="shared" si="198"/>
        <v/>
      </c>
      <c r="M1796" s="66" t="str">
        <f t="shared" si="199"/>
        <v/>
      </c>
      <c r="N1796" s="66" t="str">
        <f t="shared" si="200"/>
        <v/>
      </c>
      <c r="O1796" s="66" t="str">
        <f t="shared" si="201"/>
        <v/>
      </c>
      <c r="P1796" s="66" t="str">
        <f t="shared" si="202"/>
        <v/>
      </c>
    </row>
    <row r="1797" spans="8:16">
      <c r="H1797" s="66" t="e">
        <f>IF(LEFT(A1797,6)="CEPNTR","GPINS",VLOOKUP(LEFT(A1797,6),'Code Library'!$A$3:$B$920,2,0))&amp;"_"&amp;RIGHT(A1797,3)</f>
        <v>#N/A</v>
      </c>
      <c r="I1797" s="66">
        <f t="shared" si="196"/>
        <v>0</v>
      </c>
      <c r="K1797" s="66" t="str">
        <f t="shared" si="197"/>
        <v/>
      </c>
      <c r="L1797" s="66" t="str">
        <f t="shared" si="198"/>
        <v/>
      </c>
      <c r="M1797" s="66" t="str">
        <f t="shared" si="199"/>
        <v/>
      </c>
      <c r="N1797" s="66" t="str">
        <f t="shared" si="200"/>
        <v/>
      </c>
      <c r="O1797" s="66" t="str">
        <f t="shared" si="201"/>
        <v/>
      </c>
      <c r="P1797" s="66" t="str">
        <f t="shared" si="202"/>
        <v/>
      </c>
    </row>
    <row r="1798" spans="8:16">
      <c r="H1798" s="66" t="e">
        <f>IF(LEFT(A1798,6)="CEPNTR","GPINS",VLOOKUP(LEFT(A1798,6),'Code Library'!$A$3:$B$920,2,0))&amp;"_"&amp;RIGHT(A1798,3)</f>
        <v>#N/A</v>
      </c>
      <c r="I1798" s="66">
        <f t="shared" si="196"/>
        <v>0</v>
      </c>
      <c r="K1798" s="66" t="str">
        <f t="shared" si="197"/>
        <v/>
      </c>
      <c r="L1798" s="66" t="str">
        <f t="shared" si="198"/>
        <v/>
      </c>
      <c r="M1798" s="66" t="str">
        <f t="shared" si="199"/>
        <v/>
      </c>
      <c r="N1798" s="66" t="str">
        <f t="shared" si="200"/>
        <v/>
      </c>
      <c r="O1798" s="66" t="str">
        <f t="shared" si="201"/>
        <v/>
      </c>
      <c r="P1798" s="66" t="str">
        <f t="shared" si="202"/>
        <v/>
      </c>
    </row>
    <row r="1799" spans="8:16">
      <c r="H1799" s="66" t="e">
        <f>IF(LEFT(A1799,6)="CEPNTR","GPINS",VLOOKUP(LEFT(A1799,6),'Code Library'!$A$3:$B$920,2,0))&amp;"_"&amp;RIGHT(A1799,3)</f>
        <v>#N/A</v>
      </c>
      <c r="I1799" s="66">
        <f t="shared" si="196"/>
        <v>0</v>
      </c>
      <c r="K1799" s="66" t="str">
        <f t="shared" si="197"/>
        <v/>
      </c>
      <c r="L1799" s="66" t="str">
        <f t="shared" si="198"/>
        <v/>
      </c>
      <c r="M1799" s="66" t="str">
        <f t="shared" si="199"/>
        <v/>
      </c>
      <c r="N1799" s="66" t="str">
        <f t="shared" si="200"/>
        <v/>
      </c>
      <c r="O1799" s="66" t="str">
        <f t="shared" si="201"/>
        <v/>
      </c>
      <c r="P1799" s="66" t="str">
        <f t="shared" si="202"/>
        <v/>
      </c>
    </row>
    <row r="1800" spans="8:16">
      <c r="H1800" s="66" t="e">
        <f>IF(LEFT(A1800,6)="CEPNTR","GPINS",VLOOKUP(LEFT(A1800,6),'Code Library'!$A$3:$B$920,2,0))&amp;"_"&amp;RIGHT(A1800,3)</f>
        <v>#N/A</v>
      </c>
      <c r="I1800" s="66">
        <f t="shared" si="196"/>
        <v>0</v>
      </c>
      <c r="K1800" s="66" t="str">
        <f t="shared" si="197"/>
        <v/>
      </c>
      <c r="L1800" s="66" t="str">
        <f t="shared" si="198"/>
        <v/>
      </c>
      <c r="M1800" s="66" t="str">
        <f t="shared" si="199"/>
        <v/>
      </c>
      <c r="N1800" s="66" t="str">
        <f t="shared" si="200"/>
        <v/>
      </c>
      <c r="O1800" s="66" t="str">
        <f t="shared" si="201"/>
        <v/>
      </c>
      <c r="P1800" s="66" t="str">
        <f t="shared" si="202"/>
        <v/>
      </c>
    </row>
    <row r="1801" spans="8:16">
      <c r="H1801" s="66" t="e">
        <f>IF(LEFT(A1801,6)="CEPNTR","GPINS",VLOOKUP(LEFT(A1801,6),'Code Library'!$A$3:$B$920,2,0))&amp;"_"&amp;RIGHT(A1801,3)</f>
        <v>#N/A</v>
      </c>
      <c r="I1801" s="66">
        <f t="shared" si="196"/>
        <v>0</v>
      </c>
      <c r="K1801" s="66" t="str">
        <f t="shared" si="197"/>
        <v/>
      </c>
      <c r="L1801" s="66" t="str">
        <f t="shared" si="198"/>
        <v/>
      </c>
      <c r="M1801" s="66" t="str">
        <f t="shared" si="199"/>
        <v/>
      </c>
      <c r="N1801" s="66" t="str">
        <f t="shared" si="200"/>
        <v/>
      </c>
      <c r="O1801" s="66" t="str">
        <f t="shared" si="201"/>
        <v/>
      </c>
      <c r="P1801" s="66" t="str">
        <f t="shared" si="202"/>
        <v/>
      </c>
    </row>
    <row r="1802" spans="8:16">
      <c r="H1802" s="66" t="e">
        <f>IF(LEFT(A1802,6)="CEPNTR","GPINS",VLOOKUP(LEFT(A1802,6),'Code Library'!$A$3:$B$920,2,0))&amp;"_"&amp;RIGHT(A1802,3)</f>
        <v>#N/A</v>
      </c>
      <c r="I1802" s="66">
        <f t="shared" si="196"/>
        <v>0</v>
      </c>
      <c r="K1802" s="66" t="str">
        <f t="shared" si="197"/>
        <v/>
      </c>
      <c r="L1802" s="66" t="str">
        <f t="shared" si="198"/>
        <v/>
      </c>
      <c r="M1802" s="66" t="str">
        <f t="shared" si="199"/>
        <v/>
      </c>
      <c r="N1802" s="66" t="str">
        <f t="shared" si="200"/>
        <v/>
      </c>
      <c r="O1802" s="66" t="str">
        <f t="shared" si="201"/>
        <v/>
      </c>
      <c r="P1802" s="66" t="str">
        <f t="shared" si="202"/>
        <v/>
      </c>
    </row>
    <row r="1803" spans="8:16">
      <c r="H1803" s="66" t="e">
        <f>IF(LEFT(A1803,6)="CEPNTR","GPINS",VLOOKUP(LEFT(A1803,6),'Code Library'!$A$3:$B$920,2,0))&amp;"_"&amp;RIGHT(A1803,3)</f>
        <v>#N/A</v>
      </c>
      <c r="I1803" s="66">
        <f t="shared" si="196"/>
        <v>0</v>
      </c>
      <c r="K1803" s="66" t="str">
        <f t="shared" si="197"/>
        <v/>
      </c>
      <c r="L1803" s="66" t="str">
        <f t="shared" si="198"/>
        <v/>
      </c>
      <c r="M1803" s="66" t="str">
        <f t="shared" si="199"/>
        <v/>
      </c>
      <c r="N1803" s="66" t="str">
        <f t="shared" si="200"/>
        <v/>
      </c>
      <c r="O1803" s="66" t="str">
        <f t="shared" si="201"/>
        <v/>
      </c>
      <c r="P1803" s="66" t="str">
        <f t="shared" si="202"/>
        <v/>
      </c>
    </row>
    <row r="1804" spans="8:16">
      <c r="H1804" s="66" t="e">
        <f>IF(LEFT(A1804,6)="CEPNTR","GPINS",VLOOKUP(LEFT(A1804,6),'Code Library'!$A$3:$B$920,2,0))&amp;"_"&amp;RIGHT(A1804,3)</f>
        <v>#N/A</v>
      </c>
      <c r="I1804" s="66">
        <f t="shared" si="196"/>
        <v>0</v>
      </c>
      <c r="K1804" s="66" t="str">
        <f t="shared" si="197"/>
        <v/>
      </c>
      <c r="L1804" s="66" t="str">
        <f t="shared" si="198"/>
        <v/>
      </c>
      <c r="M1804" s="66" t="str">
        <f t="shared" si="199"/>
        <v/>
      </c>
      <c r="N1804" s="66" t="str">
        <f t="shared" si="200"/>
        <v/>
      </c>
      <c r="O1804" s="66" t="str">
        <f t="shared" si="201"/>
        <v/>
      </c>
      <c r="P1804" s="66" t="str">
        <f t="shared" si="202"/>
        <v/>
      </c>
    </row>
    <row r="1805" spans="8:16">
      <c r="H1805" s="66" t="e">
        <f>IF(LEFT(A1805,6)="CEPNTR","GPINS",VLOOKUP(LEFT(A1805,6),'Code Library'!$A$3:$B$920,2,0))&amp;"_"&amp;RIGHT(A1805,3)</f>
        <v>#N/A</v>
      </c>
      <c r="I1805" s="66">
        <f t="shared" si="196"/>
        <v>0</v>
      </c>
      <c r="K1805" s="66" t="str">
        <f t="shared" si="197"/>
        <v/>
      </c>
      <c r="L1805" s="66" t="str">
        <f t="shared" si="198"/>
        <v/>
      </c>
      <c r="M1805" s="66" t="str">
        <f t="shared" si="199"/>
        <v/>
      </c>
      <c r="N1805" s="66" t="str">
        <f t="shared" si="200"/>
        <v/>
      </c>
      <c r="O1805" s="66" t="str">
        <f t="shared" si="201"/>
        <v/>
      </c>
      <c r="P1805" s="66" t="str">
        <f t="shared" si="202"/>
        <v/>
      </c>
    </row>
    <row r="1806" spans="8:16">
      <c r="H1806" s="66" t="e">
        <f>IF(LEFT(A1806,6)="CEPNTR","GPINS",VLOOKUP(LEFT(A1806,6),'Code Library'!$A$3:$B$920,2,0))&amp;"_"&amp;RIGHT(A1806,3)</f>
        <v>#N/A</v>
      </c>
      <c r="I1806" s="66">
        <f t="shared" si="196"/>
        <v>0</v>
      </c>
      <c r="K1806" s="66" t="str">
        <f t="shared" si="197"/>
        <v/>
      </c>
      <c r="L1806" s="66" t="str">
        <f t="shared" si="198"/>
        <v/>
      </c>
      <c r="M1806" s="66" t="str">
        <f t="shared" si="199"/>
        <v/>
      </c>
      <c r="N1806" s="66" t="str">
        <f t="shared" si="200"/>
        <v/>
      </c>
      <c r="O1806" s="66" t="str">
        <f t="shared" si="201"/>
        <v/>
      </c>
      <c r="P1806" s="66" t="str">
        <f t="shared" si="202"/>
        <v/>
      </c>
    </row>
    <row r="1807" spans="8:16">
      <c r="H1807" s="66" t="e">
        <f>IF(LEFT(A1807,6)="CEPNTR","GPINS",VLOOKUP(LEFT(A1807,6),'Code Library'!$A$3:$B$920,2,0))&amp;"_"&amp;RIGHT(A1807,3)</f>
        <v>#N/A</v>
      </c>
      <c r="I1807" s="66">
        <f t="shared" si="196"/>
        <v>0</v>
      </c>
      <c r="K1807" s="66" t="str">
        <f t="shared" si="197"/>
        <v/>
      </c>
      <c r="L1807" s="66" t="str">
        <f t="shared" si="198"/>
        <v/>
      </c>
      <c r="M1807" s="66" t="str">
        <f t="shared" si="199"/>
        <v/>
      </c>
      <c r="N1807" s="66" t="str">
        <f t="shared" si="200"/>
        <v/>
      </c>
      <c r="O1807" s="66" t="str">
        <f t="shared" si="201"/>
        <v/>
      </c>
      <c r="P1807" s="66" t="str">
        <f t="shared" si="202"/>
        <v/>
      </c>
    </row>
    <row r="1808" spans="8:16">
      <c r="H1808" s="66" t="e">
        <f>IF(LEFT(A1808,6)="CEPNTR","GPINS",VLOOKUP(LEFT(A1808,6),'Code Library'!$A$3:$B$920,2,0))&amp;"_"&amp;RIGHT(A1808,3)</f>
        <v>#N/A</v>
      </c>
      <c r="I1808" s="66">
        <f t="shared" si="196"/>
        <v>0</v>
      </c>
      <c r="K1808" s="66" t="str">
        <f t="shared" si="197"/>
        <v/>
      </c>
      <c r="L1808" s="66" t="str">
        <f t="shared" si="198"/>
        <v/>
      </c>
      <c r="M1808" s="66" t="str">
        <f t="shared" si="199"/>
        <v/>
      </c>
      <c r="N1808" s="66" t="str">
        <f t="shared" si="200"/>
        <v/>
      </c>
      <c r="O1808" s="66" t="str">
        <f t="shared" si="201"/>
        <v/>
      </c>
      <c r="P1808" s="66" t="str">
        <f t="shared" si="202"/>
        <v/>
      </c>
    </row>
    <row r="1809" spans="8:16">
      <c r="H1809" s="66" t="e">
        <f>IF(LEFT(A1809,6)="CEPNTR","GPINS",VLOOKUP(LEFT(A1809,6),'Code Library'!$A$3:$B$920,2,0))&amp;"_"&amp;RIGHT(A1809,3)</f>
        <v>#N/A</v>
      </c>
      <c r="I1809" s="66">
        <f t="shared" si="196"/>
        <v>0</v>
      </c>
      <c r="K1809" s="66" t="str">
        <f t="shared" si="197"/>
        <v/>
      </c>
      <c r="L1809" s="66" t="str">
        <f t="shared" si="198"/>
        <v/>
      </c>
      <c r="M1809" s="66" t="str">
        <f t="shared" si="199"/>
        <v/>
      </c>
      <c r="N1809" s="66" t="str">
        <f t="shared" si="200"/>
        <v/>
      </c>
      <c r="O1809" s="66" t="str">
        <f t="shared" si="201"/>
        <v/>
      </c>
      <c r="P1809" s="66" t="str">
        <f t="shared" si="202"/>
        <v/>
      </c>
    </row>
    <row r="1810" spans="8:16">
      <c r="H1810" s="66" t="e">
        <f>IF(LEFT(A1810,6)="CEPNTR","GPINS",VLOOKUP(LEFT(A1810,6),'Code Library'!$A$3:$B$920,2,0))&amp;"_"&amp;RIGHT(A1810,3)</f>
        <v>#N/A</v>
      </c>
      <c r="I1810" s="66">
        <f t="shared" si="196"/>
        <v>0</v>
      </c>
      <c r="K1810" s="66" t="str">
        <f t="shared" si="197"/>
        <v/>
      </c>
      <c r="L1810" s="66" t="str">
        <f t="shared" si="198"/>
        <v/>
      </c>
      <c r="M1810" s="66" t="str">
        <f t="shared" si="199"/>
        <v/>
      </c>
      <c r="N1810" s="66" t="str">
        <f t="shared" si="200"/>
        <v/>
      </c>
      <c r="O1810" s="66" t="str">
        <f t="shared" si="201"/>
        <v/>
      </c>
      <c r="P1810" s="66" t="str">
        <f t="shared" si="202"/>
        <v/>
      </c>
    </row>
    <row r="1811" spans="8:16">
      <c r="H1811" s="66" t="e">
        <f>IF(LEFT(A1811,6)="CEPNTR","GPINS",VLOOKUP(LEFT(A1811,6),'Code Library'!$A$3:$B$920,2,0))&amp;"_"&amp;RIGHT(A1811,3)</f>
        <v>#N/A</v>
      </c>
      <c r="I1811" s="66">
        <f t="shared" si="196"/>
        <v>0</v>
      </c>
      <c r="K1811" s="66" t="str">
        <f t="shared" si="197"/>
        <v/>
      </c>
      <c r="L1811" s="66" t="str">
        <f t="shared" si="198"/>
        <v/>
      </c>
      <c r="M1811" s="66" t="str">
        <f t="shared" si="199"/>
        <v/>
      </c>
      <c r="N1811" s="66" t="str">
        <f t="shared" si="200"/>
        <v/>
      </c>
      <c r="O1811" s="66" t="str">
        <f t="shared" si="201"/>
        <v/>
      </c>
      <c r="P1811" s="66" t="str">
        <f t="shared" si="202"/>
        <v/>
      </c>
    </row>
    <row r="1812" spans="8:16">
      <c r="H1812" s="66" t="e">
        <f>IF(LEFT(A1812,6)="CEPNTR","GPINS",VLOOKUP(LEFT(A1812,6),'Code Library'!$A$3:$B$920,2,0))&amp;"_"&amp;RIGHT(A1812,3)</f>
        <v>#N/A</v>
      </c>
      <c r="I1812" s="66">
        <f t="shared" si="196"/>
        <v>0</v>
      </c>
      <c r="K1812" s="66" t="str">
        <f t="shared" si="197"/>
        <v/>
      </c>
      <c r="L1812" s="66" t="str">
        <f t="shared" si="198"/>
        <v/>
      </c>
      <c r="M1812" s="66" t="str">
        <f t="shared" si="199"/>
        <v/>
      </c>
      <c r="N1812" s="66" t="str">
        <f t="shared" si="200"/>
        <v/>
      </c>
      <c r="O1812" s="66" t="str">
        <f t="shared" si="201"/>
        <v/>
      </c>
      <c r="P1812" s="66" t="str">
        <f t="shared" si="202"/>
        <v/>
      </c>
    </row>
    <row r="1813" spans="8:16">
      <c r="H1813" s="66" t="e">
        <f>IF(LEFT(A1813,6)="CEPNTR","GPINS",VLOOKUP(LEFT(A1813,6),'Code Library'!$A$3:$B$920,2,0))&amp;"_"&amp;RIGHT(A1813,3)</f>
        <v>#N/A</v>
      </c>
      <c r="I1813" s="66">
        <f t="shared" si="196"/>
        <v>0</v>
      </c>
      <c r="K1813" s="66" t="str">
        <f t="shared" si="197"/>
        <v/>
      </c>
      <c r="L1813" s="66" t="str">
        <f t="shared" si="198"/>
        <v/>
      </c>
      <c r="M1813" s="66" t="str">
        <f t="shared" si="199"/>
        <v/>
      </c>
      <c r="N1813" s="66" t="str">
        <f t="shared" si="200"/>
        <v/>
      </c>
      <c r="O1813" s="66" t="str">
        <f t="shared" si="201"/>
        <v/>
      </c>
      <c r="P1813" s="66" t="str">
        <f t="shared" si="202"/>
        <v/>
      </c>
    </row>
    <row r="1814" spans="8:16">
      <c r="H1814" s="66" t="e">
        <f>IF(LEFT(A1814,6)="CEPNTR","GPINS",VLOOKUP(LEFT(A1814,6),'Code Library'!$A$3:$B$920,2,0))&amp;"_"&amp;RIGHT(A1814,3)</f>
        <v>#N/A</v>
      </c>
      <c r="I1814" s="66">
        <f t="shared" si="196"/>
        <v>0</v>
      </c>
      <c r="K1814" s="66" t="str">
        <f t="shared" si="197"/>
        <v/>
      </c>
      <c r="L1814" s="66" t="str">
        <f t="shared" si="198"/>
        <v/>
      </c>
      <c r="M1814" s="66" t="str">
        <f t="shared" si="199"/>
        <v/>
      </c>
      <c r="N1814" s="66" t="str">
        <f t="shared" si="200"/>
        <v/>
      </c>
      <c r="O1814" s="66" t="str">
        <f t="shared" si="201"/>
        <v/>
      </c>
      <c r="P1814" s="66" t="str">
        <f t="shared" si="202"/>
        <v/>
      </c>
    </row>
    <row r="1815" spans="8:16">
      <c r="H1815" s="66" t="e">
        <f>IF(LEFT(A1815,6)="CEPNTR","GPINS",VLOOKUP(LEFT(A1815,6),'Code Library'!$A$3:$B$920,2,0))&amp;"_"&amp;RIGHT(A1815,3)</f>
        <v>#N/A</v>
      </c>
      <c r="I1815" s="66">
        <f t="shared" si="196"/>
        <v>0</v>
      </c>
      <c r="K1815" s="66" t="str">
        <f t="shared" si="197"/>
        <v/>
      </c>
      <c r="L1815" s="66" t="str">
        <f t="shared" si="198"/>
        <v/>
      </c>
      <c r="M1815" s="66" t="str">
        <f t="shared" si="199"/>
        <v/>
      </c>
      <c r="N1815" s="66" t="str">
        <f t="shared" si="200"/>
        <v/>
      </c>
      <c r="O1815" s="66" t="str">
        <f t="shared" si="201"/>
        <v/>
      </c>
      <c r="P1815" s="66" t="str">
        <f t="shared" si="202"/>
        <v/>
      </c>
    </row>
    <row r="1816" spans="8:16">
      <c r="H1816" s="66" t="e">
        <f>IF(LEFT(A1816,6)="CEPNTR","GPINS",VLOOKUP(LEFT(A1816,6),'Code Library'!$A$3:$B$920,2,0))&amp;"_"&amp;RIGHT(A1816,3)</f>
        <v>#N/A</v>
      </c>
      <c r="I1816" s="66">
        <f t="shared" si="196"/>
        <v>0</v>
      </c>
      <c r="K1816" s="66" t="str">
        <f t="shared" si="197"/>
        <v/>
      </c>
      <c r="L1816" s="66" t="str">
        <f t="shared" si="198"/>
        <v/>
      </c>
      <c r="M1816" s="66" t="str">
        <f t="shared" si="199"/>
        <v/>
      </c>
      <c r="N1816" s="66" t="str">
        <f t="shared" si="200"/>
        <v/>
      </c>
      <c r="O1816" s="66" t="str">
        <f t="shared" si="201"/>
        <v/>
      </c>
      <c r="P1816" s="66" t="str">
        <f t="shared" si="202"/>
        <v/>
      </c>
    </row>
    <row r="1817" spans="8:16">
      <c r="H1817" s="66" t="e">
        <f>IF(LEFT(A1817,6)="CEPNTR","GPINS",VLOOKUP(LEFT(A1817,6),'Code Library'!$A$3:$B$920,2,0))&amp;"_"&amp;RIGHT(A1817,3)</f>
        <v>#N/A</v>
      </c>
      <c r="I1817" s="66">
        <f t="shared" si="196"/>
        <v>0</v>
      </c>
      <c r="K1817" s="66" t="str">
        <f t="shared" si="197"/>
        <v/>
      </c>
      <c r="L1817" s="66" t="str">
        <f t="shared" si="198"/>
        <v/>
      </c>
      <c r="M1817" s="66" t="str">
        <f t="shared" si="199"/>
        <v/>
      </c>
      <c r="N1817" s="66" t="str">
        <f t="shared" si="200"/>
        <v/>
      </c>
      <c r="O1817" s="66" t="str">
        <f t="shared" si="201"/>
        <v/>
      </c>
      <c r="P1817" s="66" t="str">
        <f t="shared" si="202"/>
        <v/>
      </c>
    </row>
    <row r="1818" spans="8:16">
      <c r="H1818" s="66" t="e">
        <f>IF(LEFT(A1818,6)="CEPNTR","GPINS",VLOOKUP(LEFT(A1818,6),'Code Library'!$A$3:$B$920,2,0))&amp;"_"&amp;RIGHT(A1818,3)</f>
        <v>#N/A</v>
      </c>
      <c r="I1818" s="66">
        <f t="shared" si="196"/>
        <v>0</v>
      </c>
      <c r="K1818" s="66" t="str">
        <f t="shared" si="197"/>
        <v/>
      </c>
      <c r="L1818" s="66" t="str">
        <f t="shared" si="198"/>
        <v/>
      </c>
      <c r="M1818" s="66" t="str">
        <f t="shared" si="199"/>
        <v/>
      </c>
      <c r="N1818" s="66" t="str">
        <f t="shared" si="200"/>
        <v/>
      </c>
      <c r="O1818" s="66" t="str">
        <f t="shared" si="201"/>
        <v/>
      </c>
      <c r="P1818" s="66" t="str">
        <f t="shared" si="202"/>
        <v/>
      </c>
    </row>
    <row r="1819" spans="8:16">
      <c r="H1819" s="66" t="e">
        <f>IF(LEFT(A1819,6)="CEPNTR","GPINS",VLOOKUP(LEFT(A1819,6),'Code Library'!$A$3:$B$920,2,0))&amp;"_"&amp;RIGHT(A1819,3)</f>
        <v>#N/A</v>
      </c>
      <c r="I1819" s="66">
        <f t="shared" si="196"/>
        <v>0</v>
      </c>
      <c r="K1819" s="66" t="str">
        <f t="shared" si="197"/>
        <v/>
      </c>
      <c r="L1819" s="66" t="str">
        <f t="shared" si="198"/>
        <v/>
      </c>
      <c r="M1819" s="66" t="str">
        <f t="shared" si="199"/>
        <v/>
      </c>
      <c r="N1819" s="66" t="str">
        <f t="shared" si="200"/>
        <v/>
      </c>
      <c r="O1819" s="66" t="str">
        <f t="shared" si="201"/>
        <v/>
      </c>
      <c r="P1819" s="66" t="str">
        <f t="shared" si="202"/>
        <v/>
      </c>
    </row>
    <row r="1820" spans="8:16">
      <c r="H1820" s="66" t="e">
        <f>IF(LEFT(A1820,6)="CEPNTR","GPINS",VLOOKUP(LEFT(A1820,6),'Code Library'!$A$3:$B$920,2,0))&amp;"_"&amp;RIGHT(A1820,3)</f>
        <v>#N/A</v>
      </c>
      <c r="I1820" s="66">
        <f t="shared" si="196"/>
        <v>0</v>
      </c>
      <c r="K1820" s="66" t="str">
        <f t="shared" si="197"/>
        <v/>
      </c>
      <c r="L1820" s="66" t="str">
        <f t="shared" si="198"/>
        <v/>
      </c>
      <c r="M1820" s="66" t="str">
        <f t="shared" si="199"/>
        <v/>
      </c>
      <c r="N1820" s="66" t="str">
        <f t="shared" si="200"/>
        <v/>
      </c>
      <c r="O1820" s="66" t="str">
        <f t="shared" si="201"/>
        <v/>
      </c>
      <c r="P1820" s="66" t="str">
        <f t="shared" si="202"/>
        <v/>
      </c>
    </row>
    <row r="1821" spans="8:16">
      <c r="H1821" s="66" t="e">
        <f>IF(LEFT(A1821,6)="CEPNTR","GPINS",VLOOKUP(LEFT(A1821,6),'Code Library'!$A$3:$B$920,2,0))&amp;"_"&amp;RIGHT(A1821,3)</f>
        <v>#N/A</v>
      </c>
      <c r="I1821" s="66">
        <f t="shared" si="196"/>
        <v>0</v>
      </c>
      <c r="K1821" s="66" t="str">
        <f t="shared" si="197"/>
        <v/>
      </c>
      <c r="L1821" s="66" t="str">
        <f t="shared" si="198"/>
        <v/>
      </c>
      <c r="M1821" s="66" t="str">
        <f t="shared" si="199"/>
        <v/>
      </c>
      <c r="N1821" s="66" t="str">
        <f t="shared" si="200"/>
        <v/>
      </c>
      <c r="O1821" s="66" t="str">
        <f t="shared" si="201"/>
        <v/>
      </c>
      <c r="P1821" s="66" t="str">
        <f t="shared" si="202"/>
        <v/>
      </c>
    </row>
    <row r="1822" spans="8:16">
      <c r="H1822" s="66" t="e">
        <f>IF(LEFT(A1822,6)="CEPNTR","GPINS",VLOOKUP(LEFT(A1822,6),'Code Library'!$A$3:$B$920,2,0))&amp;"_"&amp;RIGHT(A1822,3)</f>
        <v>#N/A</v>
      </c>
      <c r="I1822" s="66">
        <f t="shared" si="196"/>
        <v>0</v>
      </c>
      <c r="K1822" s="66" t="str">
        <f t="shared" si="197"/>
        <v/>
      </c>
      <c r="L1822" s="66" t="str">
        <f t="shared" si="198"/>
        <v/>
      </c>
      <c r="M1822" s="66" t="str">
        <f t="shared" si="199"/>
        <v/>
      </c>
      <c r="N1822" s="66" t="str">
        <f t="shared" si="200"/>
        <v/>
      </c>
      <c r="O1822" s="66" t="str">
        <f t="shared" si="201"/>
        <v/>
      </c>
      <c r="P1822" s="66" t="str">
        <f t="shared" si="202"/>
        <v/>
      </c>
    </row>
    <row r="1823" spans="8:16">
      <c r="H1823" s="66" t="e">
        <f>IF(LEFT(A1823,6)="CEPNTR","GPINS",VLOOKUP(LEFT(A1823,6),'Code Library'!$A$3:$B$920,2,0))&amp;"_"&amp;RIGHT(A1823,3)</f>
        <v>#N/A</v>
      </c>
      <c r="I1823" s="66">
        <f t="shared" si="196"/>
        <v>0</v>
      </c>
      <c r="K1823" s="66" t="str">
        <f t="shared" si="197"/>
        <v/>
      </c>
      <c r="L1823" s="66" t="str">
        <f t="shared" si="198"/>
        <v/>
      </c>
      <c r="M1823" s="66" t="str">
        <f t="shared" si="199"/>
        <v/>
      </c>
      <c r="N1823" s="66" t="str">
        <f t="shared" si="200"/>
        <v/>
      </c>
      <c r="O1823" s="66" t="str">
        <f t="shared" si="201"/>
        <v/>
      </c>
      <c r="P1823" s="66" t="str">
        <f t="shared" si="202"/>
        <v/>
      </c>
    </row>
    <row r="1824" spans="8:16">
      <c r="H1824" s="66" t="e">
        <f>IF(LEFT(A1824,6)="CEPNTR","GPINS",VLOOKUP(LEFT(A1824,6),'Code Library'!$A$3:$B$920,2,0))&amp;"_"&amp;RIGHT(A1824,3)</f>
        <v>#N/A</v>
      </c>
      <c r="I1824" s="66">
        <f t="shared" si="196"/>
        <v>0</v>
      </c>
      <c r="K1824" s="66" t="str">
        <f t="shared" si="197"/>
        <v/>
      </c>
      <c r="L1824" s="66" t="str">
        <f t="shared" si="198"/>
        <v/>
      </c>
      <c r="M1824" s="66" t="str">
        <f t="shared" si="199"/>
        <v/>
      </c>
      <c r="N1824" s="66" t="str">
        <f t="shared" si="200"/>
        <v/>
      </c>
      <c r="O1824" s="66" t="str">
        <f t="shared" si="201"/>
        <v/>
      </c>
      <c r="P1824" s="66" t="str">
        <f t="shared" si="202"/>
        <v/>
      </c>
    </row>
    <row r="1825" spans="8:16">
      <c r="H1825" s="66" t="e">
        <f>IF(LEFT(A1825,6)="CEPNTR","GPINS",VLOOKUP(LEFT(A1825,6),'Code Library'!$A$3:$B$920,2,0))&amp;"_"&amp;RIGHT(A1825,3)</f>
        <v>#N/A</v>
      </c>
      <c r="I1825" s="66">
        <f t="shared" si="196"/>
        <v>0</v>
      </c>
      <c r="K1825" s="66" t="str">
        <f t="shared" si="197"/>
        <v/>
      </c>
      <c r="L1825" s="66" t="str">
        <f t="shared" si="198"/>
        <v/>
      </c>
      <c r="M1825" s="66" t="str">
        <f t="shared" si="199"/>
        <v/>
      </c>
      <c r="N1825" s="66" t="str">
        <f t="shared" si="200"/>
        <v/>
      </c>
      <c r="O1825" s="66" t="str">
        <f t="shared" si="201"/>
        <v/>
      </c>
      <c r="P1825" s="66" t="str">
        <f t="shared" si="202"/>
        <v/>
      </c>
    </row>
    <row r="1826" spans="8:16">
      <c r="H1826" s="66" t="e">
        <f>IF(LEFT(A1826,6)="CEPNTR","GPINS",VLOOKUP(LEFT(A1826,6),'Code Library'!$A$3:$B$920,2,0))&amp;"_"&amp;RIGHT(A1826,3)</f>
        <v>#N/A</v>
      </c>
      <c r="I1826" s="66">
        <f t="shared" si="196"/>
        <v>0</v>
      </c>
      <c r="K1826" s="66" t="str">
        <f t="shared" si="197"/>
        <v/>
      </c>
      <c r="L1826" s="66" t="str">
        <f t="shared" si="198"/>
        <v/>
      </c>
      <c r="M1826" s="66" t="str">
        <f t="shared" si="199"/>
        <v/>
      </c>
      <c r="N1826" s="66" t="str">
        <f t="shared" si="200"/>
        <v/>
      </c>
      <c r="O1826" s="66" t="str">
        <f t="shared" si="201"/>
        <v/>
      </c>
      <c r="P1826" s="66" t="str">
        <f t="shared" si="202"/>
        <v/>
      </c>
    </row>
    <row r="1827" spans="8:16">
      <c r="H1827" s="66" t="e">
        <f>IF(LEFT(A1827,6)="CEPNTR","GPINS",VLOOKUP(LEFT(A1827,6),'Code Library'!$A$3:$B$920,2,0))&amp;"_"&amp;RIGHT(A1827,3)</f>
        <v>#N/A</v>
      </c>
      <c r="I1827" s="66">
        <f t="shared" si="196"/>
        <v>0</v>
      </c>
      <c r="K1827" s="66" t="str">
        <f t="shared" si="197"/>
        <v/>
      </c>
      <c r="L1827" s="66" t="str">
        <f t="shared" si="198"/>
        <v/>
      </c>
      <c r="M1827" s="66" t="str">
        <f t="shared" si="199"/>
        <v/>
      </c>
      <c r="N1827" s="66" t="str">
        <f t="shared" si="200"/>
        <v/>
      </c>
      <c r="O1827" s="66" t="str">
        <f t="shared" si="201"/>
        <v/>
      </c>
      <c r="P1827" s="66" t="str">
        <f t="shared" si="202"/>
        <v/>
      </c>
    </row>
    <row r="1828" spans="8:16">
      <c r="H1828" s="66" t="e">
        <f>IF(LEFT(A1828,6)="CEPNTR","GPINS",VLOOKUP(LEFT(A1828,6),'Code Library'!$A$3:$B$920,2,0))&amp;"_"&amp;RIGHT(A1828,3)</f>
        <v>#N/A</v>
      </c>
      <c r="I1828" s="66">
        <f t="shared" si="196"/>
        <v>0</v>
      </c>
      <c r="K1828" s="66" t="str">
        <f t="shared" si="197"/>
        <v/>
      </c>
      <c r="L1828" s="66" t="str">
        <f t="shared" si="198"/>
        <v/>
      </c>
      <c r="M1828" s="66" t="str">
        <f t="shared" si="199"/>
        <v/>
      </c>
      <c r="N1828" s="66" t="str">
        <f t="shared" si="200"/>
        <v/>
      </c>
      <c r="O1828" s="66" t="str">
        <f t="shared" si="201"/>
        <v/>
      </c>
      <c r="P1828" s="66" t="str">
        <f t="shared" si="202"/>
        <v/>
      </c>
    </row>
    <row r="1829" spans="8:16">
      <c r="H1829" s="66" t="e">
        <f>IF(LEFT(A1829,6)="CEPNTR","GPINS",VLOOKUP(LEFT(A1829,6),'Code Library'!$A$3:$B$920,2,0))&amp;"_"&amp;RIGHT(A1829,3)</f>
        <v>#N/A</v>
      </c>
      <c r="I1829" s="66">
        <f t="shared" si="196"/>
        <v>0</v>
      </c>
      <c r="K1829" s="66" t="str">
        <f t="shared" si="197"/>
        <v/>
      </c>
      <c r="L1829" s="66" t="str">
        <f t="shared" si="198"/>
        <v/>
      </c>
      <c r="M1829" s="66" t="str">
        <f t="shared" si="199"/>
        <v/>
      </c>
      <c r="N1829" s="66" t="str">
        <f t="shared" si="200"/>
        <v/>
      </c>
      <c r="O1829" s="66" t="str">
        <f t="shared" si="201"/>
        <v/>
      </c>
      <c r="P1829" s="66" t="str">
        <f t="shared" si="202"/>
        <v/>
      </c>
    </row>
    <row r="1830" spans="8:16">
      <c r="H1830" s="66" t="e">
        <f>IF(LEFT(A1830,6)="CEPNTR","GPINS",VLOOKUP(LEFT(A1830,6),'Code Library'!$A$3:$B$920,2,0))&amp;"_"&amp;RIGHT(A1830,3)</f>
        <v>#N/A</v>
      </c>
      <c r="I1830" s="66">
        <f t="shared" si="196"/>
        <v>0</v>
      </c>
      <c r="K1830" s="66" t="str">
        <f t="shared" si="197"/>
        <v/>
      </c>
      <c r="L1830" s="66" t="str">
        <f t="shared" si="198"/>
        <v/>
      </c>
      <c r="M1830" s="66" t="str">
        <f t="shared" si="199"/>
        <v/>
      </c>
      <c r="N1830" s="66" t="str">
        <f t="shared" si="200"/>
        <v/>
      </c>
      <c r="O1830" s="66" t="str">
        <f t="shared" si="201"/>
        <v/>
      </c>
      <c r="P1830" s="66" t="str">
        <f t="shared" si="202"/>
        <v/>
      </c>
    </row>
    <row r="1831" spans="8:16">
      <c r="H1831" s="66" t="e">
        <f>IF(LEFT(A1831,6)="CEPNTR","GPINS",VLOOKUP(LEFT(A1831,6),'Code Library'!$A$3:$B$920,2,0))&amp;"_"&amp;RIGHT(A1831,3)</f>
        <v>#N/A</v>
      </c>
      <c r="I1831" s="66">
        <f t="shared" si="196"/>
        <v>0</v>
      </c>
      <c r="K1831" s="66" t="str">
        <f t="shared" si="197"/>
        <v/>
      </c>
      <c r="L1831" s="66" t="str">
        <f t="shared" si="198"/>
        <v/>
      </c>
      <c r="M1831" s="66" t="str">
        <f t="shared" si="199"/>
        <v/>
      </c>
      <c r="N1831" s="66" t="str">
        <f t="shared" si="200"/>
        <v/>
      </c>
      <c r="O1831" s="66" t="str">
        <f t="shared" si="201"/>
        <v/>
      </c>
      <c r="P1831" s="66" t="str">
        <f t="shared" si="202"/>
        <v/>
      </c>
    </row>
    <row r="1832" spans="8:16">
      <c r="H1832" s="66" t="e">
        <f>IF(LEFT(A1832,6)="CEPNTR","GPINS",VLOOKUP(LEFT(A1832,6),'Code Library'!$A$3:$B$920,2,0))&amp;"_"&amp;RIGHT(A1832,3)</f>
        <v>#N/A</v>
      </c>
      <c r="I1832" s="66">
        <f t="shared" si="196"/>
        <v>0</v>
      </c>
      <c r="K1832" s="66" t="str">
        <f t="shared" si="197"/>
        <v/>
      </c>
      <c r="L1832" s="66" t="str">
        <f t="shared" si="198"/>
        <v/>
      </c>
      <c r="M1832" s="66" t="str">
        <f t="shared" si="199"/>
        <v/>
      </c>
      <c r="N1832" s="66" t="str">
        <f t="shared" si="200"/>
        <v/>
      </c>
      <c r="O1832" s="66" t="str">
        <f t="shared" si="201"/>
        <v/>
      </c>
      <c r="P1832" s="66" t="str">
        <f t="shared" si="202"/>
        <v/>
      </c>
    </row>
    <row r="1833" spans="8:16">
      <c r="H1833" s="66" t="e">
        <f>IF(LEFT(A1833,6)="CEPNTR","GPINS",VLOOKUP(LEFT(A1833,6),'Code Library'!$A$3:$B$920,2,0))&amp;"_"&amp;RIGHT(A1833,3)</f>
        <v>#N/A</v>
      </c>
      <c r="I1833" s="66">
        <f t="shared" si="196"/>
        <v>0</v>
      </c>
      <c r="K1833" s="66" t="str">
        <f t="shared" si="197"/>
        <v/>
      </c>
      <c r="L1833" s="66" t="str">
        <f t="shared" si="198"/>
        <v/>
      </c>
      <c r="M1833" s="66" t="str">
        <f t="shared" si="199"/>
        <v/>
      </c>
      <c r="N1833" s="66" t="str">
        <f t="shared" si="200"/>
        <v/>
      </c>
      <c r="O1833" s="66" t="str">
        <f t="shared" si="201"/>
        <v/>
      </c>
      <c r="P1833" s="66" t="str">
        <f t="shared" si="202"/>
        <v/>
      </c>
    </row>
    <row r="1834" spans="8:16">
      <c r="H1834" s="66" t="e">
        <f>IF(LEFT(A1834,6)="CEPNTR","GPINS",VLOOKUP(LEFT(A1834,6),'Code Library'!$A$3:$B$920,2,0))&amp;"_"&amp;RIGHT(A1834,3)</f>
        <v>#N/A</v>
      </c>
      <c r="I1834" s="66">
        <f t="shared" si="196"/>
        <v>0</v>
      </c>
      <c r="K1834" s="66" t="str">
        <f t="shared" si="197"/>
        <v/>
      </c>
      <c r="L1834" s="66" t="str">
        <f t="shared" si="198"/>
        <v/>
      </c>
      <c r="M1834" s="66" t="str">
        <f t="shared" si="199"/>
        <v/>
      </c>
      <c r="N1834" s="66" t="str">
        <f t="shared" si="200"/>
        <v/>
      </c>
      <c r="O1834" s="66" t="str">
        <f t="shared" si="201"/>
        <v/>
      </c>
      <c r="P1834" s="66" t="str">
        <f t="shared" si="202"/>
        <v/>
      </c>
    </row>
    <row r="1835" spans="8:16">
      <c r="H1835" s="66" t="e">
        <f>IF(LEFT(A1835,6)="CEPNTR","GPINS",VLOOKUP(LEFT(A1835,6),'Code Library'!$A$3:$B$920,2,0))&amp;"_"&amp;RIGHT(A1835,3)</f>
        <v>#N/A</v>
      </c>
      <c r="I1835" s="66">
        <f t="shared" si="196"/>
        <v>0</v>
      </c>
      <c r="K1835" s="66" t="str">
        <f t="shared" si="197"/>
        <v/>
      </c>
      <c r="L1835" s="66" t="str">
        <f t="shared" si="198"/>
        <v/>
      </c>
      <c r="M1835" s="66" t="str">
        <f t="shared" si="199"/>
        <v/>
      </c>
      <c r="N1835" s="66" t="str">
        <f t="shared" si="200"/>
        <v/>
      </c>
      <c r="O1835" s="66" t="str">
        <f t="shared" si="201"/>
        <v/>
      </c>
      <c r="P1835" s="66" t="str">
        <f t="shared" si="202"/>
        <v/>
      </c>
    </row>
    <row r="1836" spans="8:16">
      <c r="H1836" s="66" t="e">
        <f>IF(LEFT(A1836,6)="CEPNTR","GPINS",VLOOKUP(LEFT(A1836,6),'Code Library'!$A$3:$B$920,2,0))&amp;"_"&amp;RIGHT(A1836,3)</f>
        <v>#N/A</v>
      </c>
      <c r="I1836" s="66">
        <f t="shared" si="196"/>
        <v>0</v>
      </c>
      <c r="K1836" s="66" t="str">
        <f t="shared" si="197"/>
        <v/>
      </c>
      <c r="L1836" s="66" t="str">
        <f t="shared" si="198"/>
        <v/>
      </c>
      <c r="M1836" s="66" t="str">
        <f t="shared" si="199"/>
        <v/>
      </c>
      <c r="N1836" s="66" t="str">
        <f t="shared" si="200"/>
        <v/>
      </c>
      <c r="O1836" s="66" t="str">
        <f t="shared" si="201"/>
        <v/>
      </c>
      <c r="P1836" s="66" t="str">
        <f t="shared" si="202"/>
        <v/>
      </c>
    </row>
    <row r="1837" spans="8:16">
      <c r="H1837" s="66" t="e">
        <f>IF(LEFT(A1837,6)="CEPNTR","GPINS",VLOOKUP(LEFT(A1837,6),'Code Library'!$A$3:$B$920,2,0))&amp;"_"&amp;RIGHT(A1837,3)</f>
        <v>#N/A</v>
      </c>
      <c r="I1837" s="66">
        <f t="shared" si="196"/>
        <v>0</v>
      </c>
      <c r="K1837" s="66" t="str">
        <f t="shared" si="197"/>
        <v/>
      </c>
      <c r="L1837" s="66" t="str">
        <f t="shared" si="198"/>
        <v/>
      </c>
      <c r="M1837" s="66" t="str">
        <f t="shared" si="199"/>
        <v/>
      </c>
      <c r="N1837" s="66" t="str">
        <f t="shared" si="200"/>
        <v/>
      </c>
      <c r="O1837" s="66" t="str">
        <f t="shared" si="201"/>
        <v/>
      </c>
      <c r="P1837" s="66" t="str">
        <f t="shared" si="202"/>
        <v/>
      </c>
    </row>
    <row r="1838" spans="8:16">
      <c r="H1838" s="66" t="e">
        <f>IF(LEFT(A1838,6)="CEPNTR","GPINS",VLOOKUP(LEFT(A1838,6),'Code Library'!$A$3:$B$920,2,0))&amp;"_"&amp;RIGHT(A1838,3)</f>
        <v>#N/A</v>
      </c>
      <c r="I1838" s="66">
        <f t="shared" si="196"/>
        <v>0</v>
      </c>
      <c r="K1838" s="66" t="str">
        <f t="shared" si="197"/>
        <v/>
      </c>
      <c r="L1838" s="66" t="str">
        <f t="shared" si="198"/>
        <v/>
      </c>
      <c r="M1838" s="66" t="str">
        <f t="shared" si="199"/>
        <v/>
      </c>
      <c r="N1838" s="66" t="str">
        <f t="shared" si="200"/>
        <v/>
      </c>
      <c r="O1838" s="66" t="str">
        <f t="shared" si="201"/>
        <v/>
      </c>
      <c r="P1838" s="66" t="str">
        <f t="shared" si="202"/>
        <v/>
      </c>
    </row>
    <row r="1839" spans="8:16">
      <c r="H1839" s="66" t="e">
        <f>IF(LEFT(A1839,6)="CEPNTR","GPINS",VLOOKUP(LEFT(A1839,6),'Code Library'!$A$3:$B$920,2,0))&amp;"_"&amp;RIGHT(A1839,3)</f>
        <v>#N/A</v>
      </c>
      <c r="I1839" s="66">
        <f t="shared" si="196"/>
        <v>0</v>
      </c>
      <c r="K1839" s="66" t="str">
        <f t="shared" si="197"/>
        <v/>
      </c>
      <c r="L1839" s="66" t="str">
        <f t="shared" si="198"/>
        <v/>
      </c>
      <c r="M1839" s="66" t="str">
        <f t="shared" si="199"/>
        <v/>
      </c>
      <c r="N1839" s="66" t="str">
        <f t="shared" si="200"/>
        <v/>
      </c>
      <c r="O1839" s="66" t="str">
        <f t="shared" si="201"/>
        <v/>
      </c>
      <c r="P1839" s="66" t="str">
        <f t="shared" si="202"/>
        <v/>
      </c>
    </row>
    <row r="1840" spans="8:16">
      <c r="H1840" s="66" t="e">
        <f>IF(LEFT(A1840,6)="CEPNTR","GPINS",VLOOKUP(LEFT(A1840,6),'Code Library'!$A$3:$B$920,2,0))&amp;"_"&amp;RIGHT(A1840,3)</f>
        <v>#N/A</v>
      </c>
      <c r="I1840" s="66">
        <f t="shared" si="196"/>
        <v>0</v>
      </c>
      <c r="K1840" s="66" t="str">
        <f t="shared" si="197"/>
        <v/>
      </c>
      <c r="L1840" s="66" t="str">
        <f t="shared" si="198"/>
        <v/>
      </c>
      <c r="M1840" s="66" t="str">
        <f t="shared" si="199"/>
        <v/>
      </c>
      <c r="N1840" s="66" t="str">
        <f t="shared" si="200"/>
        <v/>
      </c>
      <c r="O1840" s="66" t="str">
        <f t="shared" si="201"/>
        <v/>
      </c>
      <c r="P1840" s="66" t="str">
        <f t="shared" si="202"/>
        <v/>
      </c>
    </row>
    <row r="1841" spans="8:16">
      <c r="H1841" s="66" t="e">
        <f>IF(LEFT(A1841,6)="CEPNTR","GPINS",VLOOKUP(LEFT(A1841,6),'Code Library'!$A$3:$B$920,2,0))&amp;"_"&amp;RIGHT(A1841,3)</f>
        <v>#N/A</v>
      </c>
      <c r="I1841" s="66">
        <f t="shared" si="196"/>
        <v>0</v>
      </c>
      <c r="K1841" s="66" t="str">
        <f t="shared" si="197"/>
        <v/>
      </c>
      <c r="L1841" s="66" t="str">
        <f t="shared" si="198"/>
        <v/>
      </c>
      <c r="M1841" s="66" t="str">
        <f t="shared" si="199"/>
        <v/>
      </c>
      <c r="N1841" s="66" t="str">
        <f t="shared" si="200"/>
        <v/>
      </c>
      <c r="O1841" s="66" t="str">
        <f t="shared" si="201"/>
        <v/>
      </c>
      <c r="P1841" s="66" t="str">
        <f t="shared" si="202"/>
        <v/>
      </c>
    </row>
    <row r="1842" spans="8:16">
      <c r="H1842" s="66" t="e">
        <f>IF(LEFT(A1842,6)="CEPNTR","GPINS",VLOOKUP(LEFT(A1842,6),'Code Library'!$A$3:$B$920,2,0))&amp;"_"&amp;RIGHT(A1842,3)</f>
        <v>#N/A</v>
      </c>
      <c r="I1842" s="66">
        <f t="shared" si="196"/>
        <v>0</v>
      </c>
      <c r="K1842" s="66" t="str">
        <f t="shared" si="197"/>
        <v/>
      </c>
      <c r="L1842" s="66" t="str">
        <f t="shared" si="198"/>
        <v/>
      </c>
      <c r="M1842" s="66" t="str">
        <f t="shared" si="199"/>
        <v/>
      </c>
      <c r="N1842" s="66" t="str">
        <f t="shared" si="200"/>
        <v/>
      </c>
      <c r="O1842" s="66" t="str">
        <f t="shared" si="201"/>
        <v/>
      </c>
      <c r="P1842" s="66" t="str">
        <f t="shared" si="202"/>
        <v/>
      </c>
    </row>
    <row r="1843" spans="8:16">
      <c r="H1843" s="66" t="e">
        <f>IF(LEFT(A1843,6)="CEPNTR","GPINS",VLOOKUP(LEFT(A1843,6),'Code Library'!$A$3:$B$920,2,0))&amp;"_"&amp;RIGHT(A1843,3)</f>
        <v>#N/A</v>
      </c>
      <c r="I1843" s="66">
        <f t="shared" si="196"/>
        <v>0</v>
      </c>
      <c r="K1843" s="66" t="str">
        <f t="shared" si="197"/>
        <v/>
      </c>
      <c r="L1843" s="66" t="str">
        <f t="shared" si="198"/>
        <v/>
      </c>
      <c r="M1843" s="66" t="str">
        <f t="shared" si="199"/>
        <v/>
      </c>
      <c r="N1843" s="66" t="str">
        <f t="shared" si="200"/>
        <v/>
      </c>
      <c r="O1843" s="66" t="str">
        <f t="shared" si="201"/>
        <v/>
      </c>
      <c r="P1843" s="66" t="str">
        <f t="shared" si="202"/>
        <v/>
      </c>
    </row>
    <row r="1844" spans="8:16">
      <c r="H1844" s="66" t="e">
        <f>IF(LEFT(A1844,6)="CEPNTR","GPINS",VLOOKUP(LEFT(A1844,6),'Code Library'!$A$3:$B$920,2,0))&amp;"_"&amp;RIGHT(A1844,3)</f>
        <v>#N/A</v>
      </c>
      <c r="I1844" s="66">
        <f t="shared" si="196"/>
        <v>0</v>
      </c>
      <c r="K1844" s="66" t="str">
        <f t="shared" si="197"/>
        <v/>
      </c>
      <c r="L1844" s="66" t="str">
        <f t="shared" si="198"/>
        <v/>
      </c>
      <c r="M1844" s="66" t="str">
        <f t="shared" si="199"/>
        <v/>
      </c>
      <c r="N1844" s="66" t="str">
        <f t="shared" si="200"/>
        <v/>
      </c>
      <c r="O1844" s="66" t="str">
        <f t="shared" si="201"/>
        <v/>
      </c>
      <c r="P1844" s="66" t="str">
        <f t="shared" si="202"/>
        <v/>
      </c>
    </row>
    <row r="1845" spans="8:16">
      <c r="H1845" s="66" t="e">
        <f>IF(LEFT(A1845,6)="CEPNTR","GPINS",VLOOKUP(LEFT(A1845,6),'Code Library'!$A$3:$B$920,2,0))&amp;"_"&amp;RIGHT(A1845,3)</f>
        <v>#N/A</v>
      </c>
      <c r="I1845" s="66">
        <f t="shared" si="196"/>
        <v>0</v>
      </c>
      <c r="K1845" s="66" t="str">
        <f t="shared" si="197"/>
        <v/>
      </c>
      <c r="L1845" s="66" t="str">
        <f t="shared" si="198"/>
        <v/>
      </c>
      <c r="M1845" s="66" t="str">
        <f t="shared" si="199"/>
        <v/>
      </c>
      <c r="N1845" s="66" t="str">
        <f t="shared" si="200"/>
        <v/>
      </c>
      <c r="O1845" s="66" t="str">
        <f t="shared" si="201"/>
        <v/>
      </c>
      <c r="P1845" s="66" t="str">
        <f t="shared" si="202"/>
        <v/>
      </c>
    </row>
    <row r="1846" spans="8:16">
      <c r="H1846" s="66" t="e">
        <f>IF(LEFT(A1846,6)="CEPNTR","GPINS",VLOOKUP(LEFT(A1846,6),'Code Library'!$A$3:$B$920,2,0))&amp;"_"&amp;RIGHT(A1846,3)</f>
        <v>#N/A</v>
      </c>
      <c r="I1846" s="66">
        <f t="shared" si="196"/>
        <v>0</v>
      </c>
      <c r="K1846" s="66" t="str">
        <f t="shared" si="197"/>
        <v/>
      </c>
      <c r="L1846" s="66" t="str">
        <f t="shared" si="198"/>
        <v/>
      </c>
      <c r="M1846" s="66" t="str">
        <f t="shared" si="199"/>
        <v/>
      </c>
      <c r="N1846" s="66" t="str">
        <f t="shared" si="200"/>
        <v/>
      </c>
      <c r="O1846" s="66" t="str">
        <f t="shared" si="201"/>
        <v/>
      </c>
      <c r="P1846" s="66" t="str">
        <f t="shared" si="202"/>
        <v/>
      </c>
    </row>
    <row r="1847" spans="8:16">
      <c r="H1847" s="66" t="e">
        <f>IF(LEFT(A1847,6)="CEPNTR","GPINS",VLOOKUP(LEFT(A1847,6),'Code Library'!$A$3:$B$920,2,0))&amp;"_"&amp;RIGHT(A1847,3)</f>
        <v>#N/A</v>
      </c>
      <c r="I1847" s="66">
        <f t="shared" si="196"/>
        <v>0</v>
      </c>
      <c r="K1847" s="66" t="str">
        <f t="shared" si="197"/>
        <v/>
      </c>
      <c r="L1847" s="66" t="str">
        <f t="shared" si="198"/>
        <v/>
      </c>
      <c r="M1847" s="66" t="str">
        <f t="shared" si="199"/>
        <v/>
      </c>
      <c r="N1847" s="66" t="str">
        <f t="shared" si="200"/>
        <v/>
      </c>
      <c r="O1847" s="66" t="str">
        <f t="shared" si="201"/>
        <v/>
      </c>
      <c r="P1847" s="66" t="str">
        <f t="shared" si="202"/>
        <v/>
      </c>
    </row>
    <row r="1848" spans="8:16">
      <c r="H1848" s="66" t="e">
        <f>IF(LEFT(A1848,6)="CEPNTR","GPINS",VLOOKUP(LEFT(A1848,6),'Code Library'!$A$3:$B$920,2,0))&amp;"_"&amp;RIGHT(A1848,3)</f>
        <v>#N/A</v>
      </c>
      <c r="I1848" s="66">
        <f t="shared" si="196"/>
        <v>0</v>
      </c>
      <c r="K1848" s="66" t="str">
        <f t="shared" si="197"/>
        <v/>
      </c>
      <c r="L1848" s="66" t="str">
        <f t="shared" si="198"/>
        <v/>
      </c>
      <c r="M1848" s="66" t="str">
        <f t="shared" si="199"/>
        <v/>
      </c>
      <c r="N1848" s="66" t="str">
        <f t="shared" si="200"/>
        <v/>
      </c>
      <c r="O1848" s="66" t="str">
        <f t="shared" si="201"/>
        <v/>
      </c>
      <c r="P1848" s="66" t="str">
        <f t="shared" si="202"/>
        <v/>
      </c>
    </row>
    <row r="1849" spans="8:16">
      <c r="H1849" s="66" t="e">
        <f>IF(LEFT(A1849,6)="CEPNTR","GPINS",VLOOKUP(LEFT(A1849,6),'Code Library'!$A$3:$B$920,2,0))&amp;"_"&amp;RIGHT(A1849,3)</f>
        <v>#N/A</v>
      </c>
      <c r="I1849" s="66">
        <f t="shared" si="196"/>
        <v>0</v>
      </c>
      <c r="K1849" s="66" t="str">
        <f t="shared" si="197"/>
        <v/>
      </c>
      <c r="L1849" s="66" t="str">
        <f t="shared" si="198"/>
        <v/>
      </c>
      <c r="M1849" s="66" t="str">
        <f t="shared" si="199"/>
        <v/>
      </c>
      <c r="N1849" s="66" t="str">
        <f t="shared" si="200"/>
        <v/>
      </c>
      <c r="O1849" s="66" t="str">
        <f t="shared" si="201"/>
        <v/>
      </c>
      <c r="P1849" s="66" t="str">
        <f t="shared" si="202"/>
        <v/>
      </c>
    </row>
    <row r="1850" spans="8:16">
      <c r="H1850" s="66" t="e">
        <f>IF(LEFT(A1850,6)="CEPNTR","GPINS",VLOOKUP(LEFT(A1850,6),'Code Library'!$A$3:$B$920,2,0))&amp;"_"&amp;RIGHT(A1850,3)</f>
        <v>#N/A</v>
      </c>
      <c r="I1850" s="66">
        <f t="shared" si="196"/>
        <v>0</v>
      </c>
      <c r="K1850" s="66" t="str">
        <f t="shared" si="197"/>
        <v/>
      </c>
      <c r="L1850" s="66" t="str">
        <f t="shared" si="198"/>
        <v/>
      </c>
      <c r="M1850" s="66" t="str">
        <f t="shared" si="199"/>
        <v/>
      </c>
      <c r="N1850" s="66" t="str">
        <f t="shared" si="200"/>
        <v/>
      </c>
      <c r="O1850" s="66" t="str">
        <f t="shared" si="201"/>
        <v/>
      </c>
      <c r="P1850" s="66" t="str">
        <f t="shared" si="202"/>
        <v/>
      </c>
    </row>
    <row r="1851" spans="8:16">
      <c r="H1851" s="66" t="e">
        <f>IF(LEFT(A1851,6)="CEPNTR","GPINS",VLOOKUP(LEFT(A1851,6),'Code Library'!$A$3:$B$920,2,0))&amp;"_"&amp;RIGHT(A1851,3)</f>
        <v>#N/A</v>
      </c>
      <c r="I1851" s="66">
        <f t="shared" si="196"/>
        <v>0</v>
      </c>
      <c r="K1851" s="66" t="str">
        <f t="shared" si="197"/>
        <v/>
      </c>
      <c r="L1851" s="66" t="str">
        <f t="shared" si="198"/>
        <v/>
      </c>
      <c r="M1851" s="66" t="str">
        <f t="shared" si="199"/>
        <v/>
      </c>
      <c r="N1851" s="66" t="str">
        <f t="shared" si="200"/>
        <v/>
      </c>
      <c r="O1851" s="66" t="str">
        <f t="shared" si="201"/>
        <v/>
      </c>
      <c r="P1851" s="66" t="str">
        <f t="shared" si="202"/>
        <v/>
      </c>
    </row>
    <row r="1852" spans="8:16">
      <c r="H1852" s="66" t="e">
        <f>IF(LEFT(A1852,6)="CEPNTR","GPINS",VLOOKUP(LEFT(A1852,6),'Code Library'!$A$3:$B$920,2,0))&amp;"_"&amp;RIGHT(A1852,3)</f>
        <v>#N/A</v>
      </c>
      <c r="I1852" s="66">
        <f t="shared" si="196"/>
        <v>0</v>
      </c>
      <c r="K1852" s="66" t="str">
        <f t="shared" si="197"/>
        <v/>
      </c>
      <c r="L1852" s="66" t="str">
        <f t="shared" si="198"/>
        <v/>
      </c>
      <c r="M1852" s="66" t="str">
        <f t="shared" si="199"/>
        <v/>
      </c>
      <c r="N1852" s="66" t="str">
        <f t="shared" si="200"/>
        <v/>
      </c>
      <c r="O1852" s="66" t="str">
        <f t="shared" si="201"/>
        <v/>
      </c>
      <c r="P1852" s="66" t="str">
        <f t="shared" si="202"/>
        <v/>
      </c>
    </row>
    <row r="1853" spans="8:16">
      <c r="H1853" s="66" t="e">
        <f>IF(LEFT(A1853,6)="CEPNTR","GPINS",VLOOKUP(LEFT(A1853,6),'Code Library'!$A$3:$B$920,2,0))&amp;"_"&amp;RIGHT(A1853,3)</f>
        <v>#N/A</v>
      </c>
      <c r="I1853" s="66">
        <f t="shared" si="196"/>
        <v>0</v>
      </c>
      <c r="K1853" s="66" t="str">
        <f t="shared" si="197"/>
        <v/>
      </c>
      <c r="L1853" s="66" t="str">
        <f t="shared" si="198"/>
        <v/>
      </c>
      <c r="M1853" s="66" t="str">
        <f t="shared" si="199"/>
        <v/>
      </c>
      <c r="N1853" s="66" t="str">
        <f t="shared" si="200"/>
        <v/>
      </c>
      <c r="O1853" s="66" t="str">
        <f t="shared" si="201"/>
        <v/>
      </c>
      <c r="P1853" s="66" t="str">
        <f t="shared" si="202"/>
        <v/>
      </c>
    </row>
    <row r="1854" spans="8:16">
      <c r="H1854" s="66" t="e">
        <f>IF(LEFT(A1854,6)="CEPNTR","GPINS",VLOOKUP(LEFT(A1854,6),'Code Library'!$A$3:$B$920,2,0))&amp;"_"&amp;RIGHT(A1854,3)</f>
        <v>#N/A</v>
      </c>
      <c r="I1854" s="66">
        <f t="shared" si="196"/>
        <v>0</v>
      </c>
      <c r="K1854" s="66" t="str">
        <f t="shared" si="197"/>
        <v/>
      </c>
      <c r="L1854" s="66" t="str">
        <f t="shared" si="198"/>
        <v/>
      </c>
      <c r="M1854" s="66" t="str">
        <f t="shared" si="199"/>
        <v/>
      </c>
      <c r="N1854" s="66" t="str">
        <f t="shared" si="200"/>
        <v/>
      </c>
      <c r="O1854" s="66" t="str">
        <f t="shared" si="201"/>
        <v/>
      </c>
      <c r="P1854" s="66" t="str">
        <f t="shared" si="202"/>
        <v/>
      </c>
    </row>
    <row r="1855" spans="8:16">
      <c r="H1855" s="66" t="e">
        <f>IF(LEFT(A1855,6)="CEPNTR","GPINS",VLOOKUP(LEFT(A1855,6),'Code Library'!$A$3:$B$920,2,0))&amp;"_"&amp;RIGHT(A1855,3)</f>
        <v>#N/A</v>
      </c>
      <c r="I1855" s="66">
        <f t="shared" si="196"/>
        <v>0</v>
      </c>
      <c r="K1855" s="66" t="str">
        <f t="shared" si="197"/>
        <v/>
      </c>
      <c r="L1855" s="66" t="str">
        <f t="shared" si="198"/>
        <v/>
      </c>
      <c r="M1855" s="66" t="str">
        <f t="shared" si="199"/>
        <v/>
      </c>
      <c r="N1855" s="66" t="str">
        <f t="shared" si="200"/>
        <v/>
      </c>
      <c r="O1855" s="66" t="str">
        <f t="shared" si="201"/>
        <v/>
      </c>
      <c r="P1855" s="66" t="str">
        <f t="shared" si="202"/>
        <v/>
      </c>
    </row>
    <row r="1856" spans="8:16">
      <c r="H1856" s="66" t="e">
        <f>IF(LEFT(A1856,6)="CEPNTR","GPINS",VLOOKUP(LEFT(A1856,6),'Code Library'!$A$3:$B$920,2,0))&amp;"_"&amp;RIGHT(A1856,3)</f>
        <v>#N/A</v>
      </c>
      <c r="I1856" s="66">
        <f t="shared" si="196"/>
        <v>0</v>
      </c>
      <c r="K1856" s="66" t="str">
        <f t="shared" si="197"/>
        <v/>
      </c>
      <c r="L1856" s="66" t="str">
        <f t="shared" si="198"/>
        <v/>
      </c>
      <c r="M1856" s="66" t="str">
        <f t="shared" si="199"/>
        <v/>
      </c>
      <c r="N1856" s="66" t="str">
        <f t="shared" si="200"/>
        <v/>
      </c>
      <c r="O1856" s="66" t="str">
        <f t="shared" si="201"/>
        <v/>
      </c>
      <c r="P1856" s="66" t="str">
        <f t="shared" si="202"/>
        <v/>
      </c>
    </row>
    <row r="1857" spans="8:16">
      <c r="H1857" s="66" t="e">
        <f>IF(LEFT(A1857,6)="CEPNTR","GPINS",VLOOKUP(LEFT(A1857,6),'Code Library'!$A$3:$B$920,2,0))&amp;"_"&amp;RIGHT(A1857,3)</f>
        <v>#N/A</v>
      </c>
      <c r="I1857" s="66">
        <f t="shared" si="196"/>
        <v>0</v>
      </c>
      <c r="K1857" s="66" t="str">
        <f t="shared" si="197"/>
        <v/>
      </c>
      <c r="L1857" s="66" t="str">
        <f t="shared" si="198"/>
        <v/>
      </c>
      <c r="M1857" s="66" t="str">
        <f t="shared" si="199"/>
        <v/>
      </c>
      <c r="N1857" s="66" t="str">
        <f t="shared" si="200"/>
        <v/>
      </c>
      <c r="O1857" s="66" t="str">
        <f t="shared" si="201"/>
        <v/>
      </c>
      <c r="P1857" s="66" t="str">
        <f t="shared" si="202"/>
        <v/>
      </c>
    </row>
    <row r="1858" spans="8:16">
      <c r="H1858" s="66" t="e">
        <f>IF(LEFT(A1858,6)="CEPNTR","GPINS",VLOOKUP(LEFT(A1858,6),'Code Library'!$A$3:$B$920,2,0))&amp;"_"&amp;RIGHT(A1858,3)</f>
        <v>#N/A</v>
      </c>
      <c r="I1858" s="66">
        <f t="shared" si="196"/>
        <v>0</v>
      </c>
      <c r="K1858" s="66" t="str">
        <f t="shared" si="197"/>
        <v/>
      </c>
      <c r="L1858" s="66" t="str">
        <f t="shared" si="198"/>
        <v/>
      </c>
      <c r="M1858" s="66" t="str">
        <f t="shared" si="199"/>
        <v/>
      </c>
      <c r="N1858" s="66" t="str">
        <f t="shared" si="200"/>
        <v/>
      </c>
      <c r="O1858" s="66" t="str">
        <f t="shared" si="201"/>
        <v/>
      </c>
      <c r="P1858" s="66" t="str">
        <f t="shared" si="202"/>
        <v/>
      </c>
    </row>
    <row r="1859" spans="8:16">
      <c r="H1859" s="66" t="e">
        <f>IF(LEFT(A1859,6)="CEPNTR","GPINS",VLOOKUP(LEFT(A1859,6),'Code Library'!$A$3:$B$920,2,0))&amp;"_"&amp;RIGHT(A1859,3)</f>
        <v>#N/A</v>
      </c>
      <c r="I1859" s="66">
        <f t="shared" ref="I1859:I1922" si="203">A1859</f>
        <v>0</v>
      </c>
      <c r="K1859" s="66" t="str">
        <f t="shared" ref="K1859:K1922" si="204">RIGHT($B1859,2)</f>
        <v/>
      </c>
      <c r="L1859" s="66" t="str">
        <f t="shared" ref="L1859:L1922" si="205">LEFT(RIGHT($B1859,7),4)</f>
        <v/>
      </c>
      <c r="M1859" s="66" t="str">
        <f t="shared" ref="M1859:M1922" si="206">LEFT(RIGHT($B1859,10),2)</f>
        <v/>
      </c>
      <c r="N1859" s="66" t="str">
        <f t="shared" ref="N1859:N1922" si="207">LEFT(RIGHT($B1859,14),3)</f>
        <v/>
      </c>
      <c r="O1859" s="66" t="str">
        <f t="shared" ref="O1859:O1922" si="208">LEFT(RIGHT($B1859,16),1)</f>
        <v/>
      </c>
      <c r="P1859" s="66" t="str">
        <f t="shared" ref="P1859:P1922" si="209">LEFT(RIGHT($B1859,19),2)</f>
        <v/>
      </c>
    </row>
    <row r="1860" spans="8:16">
      <c r="H1860" s="66" t="e">
        <f>IF(LEFT(A1860,6)="CEPNTR","GPINS",VLOOKUP(LEFT(A1860,6),'Code Library'!$A$3:$B$920,2,0))&amp;"_"&amp;RIGHT(A1860,3)</f>
        <v>#N/A</v>
      </c>
      <c r="I1860" s="66">
        <f t="shared" si="203"/>
        <v>0</v>
      </c>
      <c r="K1860" s="66" t="str">
        <f t="shared" si="204"/>
        <v/>
      </c>
      <c r="L1860" s="66" t="str">
        <f t="shared" si="205"/>
        <v/>
      </c>
      <c r="M1860" s="66" t="str">
        <f t="shared" si="206"/>
        <v/>
      </c>
      <c r="N1860" s="66" t="str">
        <f t="shared" si="207"/>
        <v/>
      </c>
      <c r="O1860" s="66" t="str">
        <f t="shared" si="208"/>
        <v/>
      </c>
      <c r="P1860" s="66" t="str">
        <f t="shared" si="209"/>
        <v/>
      </c>
    </row>
    <row r="1861" spans="8:16">
      <c r="H1861" s="66" t="e">
        <f>IF(LEFT(A1861,6)="CEPNTR","GPINS",VLOOKUP(LEFT(A1861,6),'Code Library'!$A$3:$B$920,2,0))&amp;"_"&amp;RIGHT(A1861,3)</f>
        <v>#N/A</v>
      </c>
      <c r="I1861" s="66">
        <f t="shared" si="203"/>
        <v>0</v>
      </c>
      <c r="K1861" s="66" t="str">
        <f t="shared" si="204"/>
        <v/>
      </c>
      <c r="L1861" s="66" t="str">
        <f t="shared" si="205"/>
        <v/>
      </c>
      <c r="M1861" s="66" t="str">
        <f t="shared" si="206"/>
        <v/>
      </c>
      <c r="N1861" s="66" t="str">
        <f t="shared" si="207"/>
        <v/>
      </c>
      <c r="O1861" s="66" t="str">
        <f t="shared" si="208"/>
        <v/>
      </c>
      <c r="P1861" s="66" t="str">
        <f t="shared" si="209"/>
        <v/>
      </c>
    </row>
    <row r="1862" spans="8:16">
      <c r="H1862" s="66" t="e">
        <f>IF(LEFT(A1862,6)="CEPNTR","GPINS",VLOOKUP(LEFT(A1862,6),'Code Library'!$A$3:$B$920,2,0))&amp;"_"&amp;RIGHT(A1862,3)</f>
        <v>#N/A</v>
      </c>
      <c r="I1862" s="66">
        <f t="shared" si="203"/>
        <v>0</v>
      </c>
      <c r="K1862" s="66" t="str">
        <f t="shared" si="204"/>
        <v/>
      </c>
      <c r="L1862" s="66" t="str">
        <f t="shared" si="205"/>
        <v/>
      </c>
      <c r="M1862" s="66" t="str">
        <f t="shared" si="206"/>
        <v/>
      </c>
      <c r="N1862" s="66" t="str">
        <f t="shared" si="207"/>
        <v/>
      </c>
      <c r="O1862" s="66" t="str">
        <f t="shared" si="208"/>
        <v/>
      </c>
      <c r="P1862" s="66" t="str">
        <f t="shared" si="209"/>
        <v/>
      </c>
    </row>
    <row r="1863" spans="8:16">
      <c r="H1863" s="66" t="e">
        <f>IF(LEFT(A1863,6)="CEPNTR","GPINS",VLOOKUP(LEFT(A1863,6),'Code Library'!$A$3:$B$920,2,0))&amp;"_"&amp;RIGHT(A1863,3)</f>
        <v>#N/A</v>
      </c>
      <c r="I1863" s="66">
        <f t="shared" si="203"/>
        <v>0</v>
      </c>
      <c r="K1863" s="66" t="str">
        <f t="shared" si="204"/>
        <v/>
      </c>
      <c r="L1863" s="66" t="str">
        <f t="shared" si="205"/>
        <v/>
      </c>
      <c r="M1863" s="66" t="str">
        <f t="shared" si="206"/>
        <v/>
      </c>
      <c r="N1863" s="66" t="str">
        <f t="shared" si="207"/>
        <v/>
      </c>
      <c r="O1863" s="66" t="str">
        <f t="shared" si="208"/>
        <v/>
      </c>
      <c r="P1863" s="66" t="str">
        <f t="shared" si="209"/>
        <v/>
      </c>
    </row>
    <row r="1864" spans="8:16">
      <c r="H1864" s="66" t="e">
        <f>IF(LEFT(A1864,6)="CEPNTR","GPINS",VLOOKUP(LEFT(A1864,6),'Code Library'!$A$3:$B$920,2,0))&amp;"_"&amp;RIGHT(A1864,3)</f>
        <v>#N/A</v>
      </c>
      <c r="I1864" s="66">
        <f t="shared" si="203"/>
        <v>0</v>
      </c>
      <c r="K1864" s="66" t="str">
        <f t="shared" si="204"/>
        <v/>
      </c>
      <c r="L1864" s="66" t="str">
        <f t="shared" si="205"/>
        <v/>
      </c>
      <c r="M1864" s="66" t="str">
        <f t="shared" si="206"/>
        <v/>
      </c>
      <c r="N1864" s="66" t="str">
        <f t="shared" si="207"/>
        <v/>
      </c>
      <c r="O1864" s="66" t="str">
        <f t="shared" si="208"/>
        <v/>
      </c>
      <c r="P1864" s="66" t="str">
        <f t="shared" si="209"/>
        <v/>
      </c>
    </row>
    <row r="1865" spans="8:16">
      <c r="H1865" s="66" t="e">
        <f>IF(LEFT(A1865,6)="CEPNTR","GPINS",VLOOKUP(LEFT(A1865,6),'Code Library'!$A$3:$B$920,2,0))&amp;"_"&amp;RIGHT(A1865,3)</f>
        <v>#N/A</v>
      </c>
      <c r="I1865" s="66">
        <f t="shared" si="203"/>
        <v>0</v>
      </c>
      <c r="K1865" s="66" t="str">
        <f t="shared" si="204"/>
        <v/>
      </c>
      <c r="L1865" s="66" t="str">
        <f t="shared" si="205"/>
        <v/>
      </c>
      <c r="M1865" s="66" t="str">
        <f t="shared" si="206"/>
        <v/>
      </c>
      <c r="N1865" s="66" t="str">
        <f t="shared" si="207"/>
        <v/>
      </c>
      <c r="O1865" s="66" t="str">
        <f t="shared" si="208"/>
        <v/>
      </c>
      <c r="P1865" s="66" t="str">
        <f t="shared" si="209"/>
        <v/>
      </c>
    </row>
    <row r="1866" spans="8:16">
      <c r="H1866" s="66" t="e">
        <f>IF(LEFT(A1866,6)="CEPNTR","GPINS",VLOOKUP(LEFT(A1866,6),'Code Library'!$A$3:$B$920,2,0))&amp;"_"&amp;RIGHT(A1866,3)</f>
        <v>#N/A</v>
      </c>
      <c r="I1866" s="66">
        <f t="shared" si="203"/>
        <v>0</v>
      </c>
      <c r="K1866" s="66" t="str">
        <f t="shared" si="204"/>
        <v/>
      </c>
      <c r="L1866" s="66" t="str">
        <f t="shared" si="205"/>
        <v/>
      </c>
      <c r="M1866" s="66" t="str">
        <f t="shared" si="206"/>
        <v/>
      </c>
      <c r="N1866" s="66" t="str">
        <f t="shared" si="207"/>
        <v/>
      </c>
      <c r="O1866" s="66" t="str">
        <f t="shared" si="208"/>
        <v/>
      </c>
      <c r="P1866" s="66" t="str">
        <f t="shared" si="209"/>
        <v/>
      </c>
    </row>
    <row r="1867" spans="8:16">
      <c r="H1867" s="66" t="e">
        <f>IF(LEFT(A1867,6)="CEPNTR","GPINS",VLOOKUP(LEFT(A1867,6),'Code Library'!$A$3:$B$920,2,0))&amp;"_"&amp;RIGHT(A1867,3)</f>
        <v>#N/A</v>
      </c>
      <c r="I1867" s="66">
        <f t="shared" si="203"/>
        <v>0</v>
      </c>
      <c r="K1867" s="66" t="str">
        <f t="shared" si="204"/>
        <v/>
      </c>
      <c r="L1867" s="66" t="str">
        <f t="shared" si="205"/>
        <v/>
      </c>
      <c r="M1867" s="66" t="str">
        <f t="shared" si="206"/>
        <v/>
      </c>
      <c r="N1867" s="66" t="str">
        <f t="shared" si="207"/>
        <v/>
      </c>
      <c r="O1867" s="66" t="str">
        <f t="shared" si="208"/>
        <v/>
      </c>
      <c r="P1867" s="66" t="str">
        <f t="shared" si="209"/>
        <v/>
      </c>
    </row>
    <row r="1868" spans="8:16">
      <c r="H1868" s="66" t="e">
        <f>IF(LEFT(A1868,6)="CEPNTR","GPINS",VLOOKUP(LEFT(A1868,6),'Code Library'!$A$3:$B$920,2,0))&amp;"_"&amp;RIGHT(A1868,3)</f>
        <v>#N/A</v>
      </c>
      <c r="I1868" s="66">
        <f t="shared" si="203"/>
        <v>0</v>
      </c>
      <c r="K1868" s="66" t="str">
        <f t="shared" si="204"/>
        <v/>
      </c>
      <c r="L1868" s="66" t="str">
        <f t="shared" si="205"/>
        <v/>
      </c>
      <c r="M1868" s="66" t="str">
        <f t="shared" si="206"/>
        <v/>
      </c>
      <c r="N1868" s="66" t="str">
        <f t="shared" si="207"/>
        <v/>
      </c>
      <c r="O1868" s="66" t="str">
        <f t="shared" si="208"/>
        <v/>
      </c>
      <c r="P1868" s="66" t="str">
        <f t="shared" si="209"/>
        <v/>
      </c>
    </row>
    <row r="1869" spans="8:16">
      <c r="H1869" s="66" t="e">
        <f>IF(LEFT(A1869,6)="CEPNTR","GPINS",VLOOKUP(LEFT(A1869,6),'Code Library'!$A$3:$B$920,2,0))&amp;"_"&amp;RIGHT(A1869,3)</f>
        <v>#N/A</v>
      </c>
      <c r="I1869" s="66">
        <f t="shared" si="203"/>
        <v>0</v>
      </c>
      <c r="K1869" s="66" t="str">
        <f t="shared" si="204"/>
        <v/>
      </c>
      <c r="L1869" s="66" t="str">
        <f t="shared" si="205"/>
        <v/>
      </c>
      <c r="M1869" s="66" t="str">
        <f t="shared" si="206"/>
        <v/>
      </c>
      <c r="N1869" s="66" t="str">
        <f t="shared" si="207"/>
        <v/>
      </c>
      <c r="O1869" s="66" t="str">
        <f t="shared" si="208"/>
        <v/>
      </c>
      <c r="P1869" s="66" t="str">
        <f t="shared" si="209"/>
        <v/>
      </c>
    </row>
    <row r="1870" spans="8:16">
      <c r="H1870" s="66" t="e">
        <f>IF(LEFT(A1870,6)="CEPNTR","GPINS",VLOOKUP(LEFT(A1870,6),'Code Library'!$A$3:$B$920,2,0))&amp;"_"&amp;RIGHT(A1870,3)</f>
        <v>#N/A</v>
      </c>
      <c r="I1870" s="66">
        <f t="shared" si="203"/>
        <v>0</v>
      </c>
      <c r="K1870" s="66" t="str">
        <f t="shared" si="204"/>
        <v/>
      </c>
      <c r="L1870" s="66" t="str">
        <f t="shared" si="205"/>
        <v/>
      </c>
      <c r="M1870" s="66" t="str">
        <f t="shared" si="206"/>
        <v/>
      </c>
      <c r="N1870" s="66" t="str">
        <f t="shared" si="207"/>
        <v/>
      </c>
      <c r="O1870" s="66" t="str">
        <f t="shared" si="208"/>
        <v/>
      </c>
      <c r="P1870" s="66" t="str">
        <f t="shared" si="209"/>
        <v/>
      </c>
    </row>
    <row r="1871" spans="8:16">
      <c r="H1871" s="66" t="e">
        <f>IF(LEFT(A1871,6)="CEPNTR","GPINS",VLOOKUP(LEFT(A1871,6),'Code Library'!$A$3:$B$920,2,0))&amp;"_"&amp;RIGHT(A1871,3)</f>
        <v>#N/A</v>
      </c>
      <c r="I1871" s="66">
        <f t="shared" si="203"/>
        <v>0</v>
      </c>
      <c r="K1871" s="66" t="str">
        <f t="shared" si="204"/>
        <v/>
      </c>
      <c r="L1871" s="66" t="str">
        <f t="shared" si="205"/>
        <v/>
      </c>
      <c r="M1871" s="66" t="str">
        <f t="shared" si="206"/>
        <v/>
      </c>
      <c r="N1871" s="66" t="str">
        <f t="shared" si="207"/>
        <v/>
      </c>
      <c r="O1871" s="66" t="str">
        <f t="shared" si="208"/>
        <v/>
      </c>
      <c r="P1871" s="66" t="str">
        <f t="shared" si="209"/>
        <v/>
      </c>
    </row>
    <row r="1872" spans="8:16">
      <c r="H1872" s="66" t="e">
        <f>IF(LEFT(A1872,6)="CEPNTR","GPINS",VLOOKUP(LEFT(A1872,6),'Code Library'!$A$3:$B$920,2,0))&amp;"_"&amp;RIGHT(A1872,3)</f>
        <v>#N/A</v>
      </c>
      <c r="I1872" s="66">
        <f t="shared" si="203"/>
        <v>0</v>
      </c>
      <c r="K1872" s="66" t="str">
        <f t="shared" si="204"/>
        <v/>
      </c>
      <c r="L1872" s="66" t="str">
        <f t="shared" si="205"/>
        <v/>
      </c>
      <c r="M1872" s="66" t="str">
        <f t="shared" si="206"/>
        <v/>
      </c>
      <c r="N1872" s="66" t="str">
        <f t="shared" si="207"/>
        <v/>
      </c>
      <c r="O1872" s="66" t="str">
        <f t="shared" si="208"/>
        <v/>
      </c>
      <c r="P1872" s="66" t="str">
        <f t="shared" si="209"/>
        <v/>
      </c>
    </row>
    <row r="1873" spans="8:16">
      <c r="H1873" s="66" t="e">
        <f>IF(LEFT(A1873,6)="CEPNTR","GPINS",VLOOKUP(LEFT(A1873,6),'Code Library'!$A$3:$B$920,2,0))&amp;"_"&amp;RIGHT(A1873,3)</f>
        <v>#N/A</v>
      </c>
      <c r="I1873" s="66">
        <f t="shared" si="203"/>
        <v>0</v>
      </c>
      <c r="K1873" s="66" t="str">
        <f t="shared" si="204"/>
        <v/>
      </c>
      <c r="L1873" s="66" t="str">
        <f t="shared" si="205"/>
        <v/>
      </c>
      <c r="M1873" s="66" t="str">
        <f t="shared" si="206"/>
        <v/>
      </c>
      <c r="N1873" s="66" t="str">
        <f t="shared" si="207"/>
        <v/>
      </c>
      <c r="O1873" s="66" t="str">
        <f t="shared" si="208"/>
        <v/>
      </c>
      <c r="P1873" s="66" t="str">
        <f t="shared" si="209"/>
        <v/>
      </c>
    </row>
    <row r="1874" spans="8:16">
      <c r="H1874" s="66" t="e">
        <f>IF(LEFT(A1874,6)="CEPNTR","GPINS",VLOOKUP(LEFT(A1874,6),'Code Library'!$A$3:$B$920,2,0))&amp;"_"&amp;RIGHT(A1874,3)</f>
        <v>#N/A</v>
      </c>
      <c r="I1874" s="66">
        <f t="shared" si="203"/>
        <v>0</v>
      </c>
      <c r="K1874" s="66" t="str">
        <f t="shared" si="204"/>
        <v/>
      </c>
      <c r="L1874" s="66" t="str">
        <f t="shared" si="205"/>
        <v/>
      </c>
      <c r="M1874" s="66" t="str">
        <f t="shared" si="206"/>
        <v/>
      </c>
      <c r="N1874" s="66" t="str">
        <f t="shared" si="207"/>
        <v/>
      </c>
      <c r="O1874" s="66" t="str">
        <f t="shared" si="208"/>
        <v/>
      </c>
      <c r="P1874" s="66" t="str">
        <f t="shared" si="209"/>
        <v/>
      </c>
    </row>
    <row r="1875" spans="8:16">
      <c r="H1875" s="66" t="e">
        <f>IF(LEFT(A1875,6)="CEPNTR","GPINS",VLOOKUP(LEFT(A1875,6),'Code Library'!$A$3:$B$920,2,0))&amp;"_"&amp;RIGHT(A1875,3)</f>
        <v>#N/A</v>
      </c>
      <c r="I1875" s="66">
        <f t="shared" si="203"/>
        <v>0</v>
      </c>
      <c r="K1875" s="66" t="str">
        <f t="shared" si="204"/>
        <v/>
      </c>
      <c r="L1875" s="66" t="str">
        <f t="shared" si="205"/>
        <v/>
      </c>
      <c r="M1875" s="66" t="str">
        <f t="shared" si="206"/>
        <v/>
      </c>
      <c r="N1875" s="66" t="str">
        <f t="shared" si="207"/>
        <v/>
      </c>
      <c r="O1875" s="66" t="str">
        <f t="shared" si="208"/>
        <v/>
      </c>
      <c r="P1875" s="66" t="str">
        <f t="shared" si="209"/>
        <v/>
      </c>
    </row>
    <row r="1876" spans="8:16">
      <c r="H1876" s="66" t="e">
        <f>IF(LEFT(A1876,6)="CEPNTR","GPINS",VLOOKUP(LEFT(A1876,6),'Code Library'!$A$3:$B$920,2,0))&amp;"_"&amp;RIGHT(A1876,3)</f>
        <v>#N/A</v>
      </c>
      <c r="I1876" s="66">
        <f t="shared" si="203"/>
        <v>0</v>
      </c>
      <c r="K1876" s="66" t="str">
        <f t="shared" si="204"/>
        <v/>
      </c>
      <c r="L1876" s="66" t="str">
        <f t="shared" si="205"/>
        <v/>
      </c>
      <c r="M1876" s="66" t="str">
        <f t="shared" si="206"/>
        <v/>
      </c>
      <c r="N1876" s="66" t="str">
        <f t="shared" si="207"/>
        <v/>
      </c>
      <c r="O1876" s="66" t="str">
        <f t="shared" si="208"/>
        <v/>
      </c>
      <c r="P1876" s="66" t="str">
        <f t="shared" si="209"/>
        <v/>
      </c>
    </row>
    <row r="1877" spans="8:16">
      <c r="H1877" s="66" t="e">
        <f>IF(LEFT(A1877,6)="CEPNTR","GPINS",VLOOKUP(LEFT(A1877,6),'Code Library'!$A$3:$B$920,2,0))&amp;"_"&amp;RIGHT(A1877,3)</f>
        <v>#N/A</v>
      </c>
      <c r="I1877" s="66">
        <f t="shared" si="203"/>
        <v>0</v>
      </c>
      <c r="K1877" s="66" t="str">
        <f t="shared" si="204"/>
        <v/>
      </c>
      <c r="L1877" s="66" t="str">
        <f t="shared" si="205"/>
        <v/>
      </c>
      <c r="M1877" s="66" t="str">
        <f t="shared" si="206"/>
        <v/>
      </c>
      <c r="N1877" s="66" t="str">
        <f t="shared" si="207"/>
        <v/>
      </c>
      <c r="O1877" s="66" t="str">
        <f t="shared" si="208"/>
        <v/>
      </c>
      <c r="P1877" s="66" t="str">
        <f t="shared" si="209"/>
        <v/>
      </c>
    </row>
    <row r="1878" spans="8:16">
      <c r="H1878" s="66" t="e">
        <f>IF(LEFT(A1878,6)="CEPNTR","GPINS",VLOOKUP(LEFT(A1878,6),'Code Library'!$A$3:$B$920,2,0))&amp;"_"&amp;RIGHT(A1878,3)</f>
        <v>#N/A</v>
      </c>
      <c r="I1878" s="66">
        <f t="shared" si="203"/>
        <v>0</v>
      </c>
      <c r="K1878" s="66" t="str">
        <f t="shared" si="204"/>
        <v/>
      </c>
      <c r="L1878" s="66" t="str">
        <f t="shared" si="205"/>
        <v/>
      </c>
      <c r="M1878" s="66" t="str">
        <f t="shared" si="206"/>
        <v/>
      </c>
      <c r="N1878" s="66" t="str">
        <f t="shared" si="207"/>
        <v/>
      </c>
      <c r="O1878" s="66" t="str">
        <f t="shared" si="208"/>
        <v/>
      </c>
      <c r="P1878" s="66" t="str">
        <f t="shared" si="209"/>
        <v/>
      </c>
    </row>
    <row r="1879" spans="8:16">
      <c r="H1879" s="66" t="e">
        <f>IF(LEFT(A1879,6)="CEPNTR","GPINS",VLOOKUP(LEFT(A1879,6),'Code Library'!$A$3:$B$920,2,0))&amp;"_"&amp;RIGHT(A1879,3)</f>
        <v>#N/A</v>
      </c>
      <c r="I1879" s="66">
        <f t="shared" si="203"/>
        <v>0</v>
      </c>
      <c r="K1879" s="66" t="str">
        <f t="shared" si="204"/>
        <v/>
      </c>
      <c r="L1879" s="66" t="str">
        <f t="shared" si="205"/>
        <v/>
      </c>
      <c r="M1879" s="66" t="str">
        <f t="shared" si="206"/>
        <v/>
      </c>
      <c r="N1879" s="66" t="str">
        <f t="shared" si="207"/>
        <v/>
      </c>
      <c r="O1879" s="66" t="str">
        <f t="shared" si="208"/>
        <v/>
      </c>
      <c r="P1879" s="66" t="str">
        <f t="shared" si="209"/>
        <v/>
      </c>
    </row>
    <row r="1880" spans="8:16">
      <c r="H1880" s="66" t="e">
        <f>IF(LEFT(A1880,6)="CEPNTR","GPINS",VLOOKUP(LEFT(A1880,6),'Code Library'!$A$3:$B$920,2,0))&amp;"_"&amp;RIGHT(A1880,3)</f>
        <v>#N/A</v>
      </c>
      <c r="I1880" s="66">
        <f t="shared" si="203"/>
        <v>0</v>
      </c>
      <c r="K1880" s="66" t="str">
        <f t="shared" si="204"/>
        <v/>
      </c>
      <c r="L1880" s="66" t="str">
        <f t="shared" si="205"/>
        <v/>
      </c>
      <c r="M1880" s="66" t="str">
        <f t="shared" si="206"/>
        <v/>
      </c>
      <c r="N1880" s="66" t="str">
        <f t="shared" si="207"/>
        <v/>
      </c>
      <c r="O1880" s="66" t="str">
        <f t="shared" si="208"/>
        <v/>
      </c>
      <c r="P1880" s="66" t="str">
        <f t="shared" si="209"/>
        <v/>
      </c>
    </row>
    <row r="1881" spans="8:16">
      <c r="H1881" s="66" t="e">
        <f>IF(LEFT(A1881,6)="CEPNTR","GPINS",VLOOKUP(LEFT(A1881,6),'Code Library'!$A$3:$B$920,2,0))&amp;"_"&amp;RIGHT(A1881,3)</f>
        <v>#N/A</v>
      </c>
      <c r="I1881" s="66">
        <f t="shared" si="203"/>
        <v>0</v>
      </c>
      <c r="K1881" s="66" t="str">
        <f t="shared" si="204"/>
        <v/>
      </c>
      <c r="L1881" s="66" t="str">
        <f t="shared" si="205"/>
        <v/>
      </c>
      <c r="M1881" s="66" t="str">
        <f t="shared" si="206"/>
        <v/>
      </c>
      <c r="N1881" s="66" t="str">
        <f t="shared" si="207"/>
        <v/>
      </c>
      <c r="O1881" s="66" t="str">
        <f t="shared" si="208"/>
        <v/>
      </c>
      <c r="P1881" s="66" t="str">
        <f t="shared" si="209"/>
        <v/>
      </c>
    </row>
    <row r="1882" spans="8:16">
      <c r="H1882" s="66" t="e">
        <f>IF(LEFT(A1882,6)="CEPNTR","GPINS",VLOOKUP(LEFT(A1882,6),'Code Library'!$A$3:$B$920,2,0))&amp;"_"&amp;RIGHT(A1882,3)</f>
        <v>#N/A</v>
      </c>
      <c r="I1882" s="66">
        <f t="shared" si="203"/>
        <v>0</v>
      </c>
      <c r="K1882" s="66" t="str">
        <f t="shared" si="204"/>
        <v/>
      </c>
      <c r="L1882" s="66" t="str">
        <f t="shared" si="205"/>
        <v/>
      </c>
      <c r="M1882" s="66" t="str">
        <f t="shared" si="206"/>
        <v/>
      </c>
      <c r="N1882" s="66" t="str">
        <f t="shared" si="207"/>
        <v/>
      </c>
      <c r="O1882" s="66" t="str">
        <f t="shared" si="208"/>
        <v/>
      </c>
      <c r="P1882" s="66" t="str">
        <f t="shared" si="209"/>
        <v/>
      </c>
    </row>
    <row r="1883" spans="8:16">
      <c r="H1883" s="66" t="e">
        <f>IF(LEFT(A1883,6)="CEPNTR","GPINS",VLOOKUP(LEFT(A1883,6),'Code Library'!$A$3:$B$920,2,0))&amp;"_"&amp;RIGHT(A1883,3)</f>
        <v>#N/A</v>
      </c>
      <c r="I1883" s="66">
        <f t="shared" si="203"/>
        <v>0</v>
      </c>
      <c r="K1883" s="66" t="str">
        <f t="shared" si="204"/>
        <v/>
      </c>
      <c r="L1883" s="66" t="str">
        <f t="shared" si="205"/>
        <v/>
      </c>
      <c r="M1883" s="66" t="str">
        <f t="shared" si="206"/>
        <v/>
      </c>
      <c r="N1883" s="66" t="str">
        <f t="shared" si="207"/>
        <v/>
      </c>
      <c r="O1883" s="66" t="str">
        <f t="shared" si="208"/>
        <v/>
      </c>
      <c r="P1883" s="66" t="str">
        <f t="shared" si="209"/>
        <v/>
      </c>
    </row>
    <row r="1884" spans="8:16">
      <c r="H1884" s="66" t="e">
        <f>IF(LEFT(A1884,6)="CEPNTR","GPINS",VLOOKUP(LEFT(A1884,6),'Code Library'!$A$3:$B$920,2,0))&amp;"_"&amp;RIGHT(A1884,3)</f>
        <v>#N/A</v>
      </c>
      <c r="I1884" s="66">
        <f t="shared" si="203"/>
        <v>0</v>
      </c>
      <c r="K1884" s="66" t="str">
        <f t="shared" si="204"/>
        <v/>
      </c>
      <c r="L1884" s="66" t="str">
        <f t="shared" si="205"/>
        <v/>
      </c>
      <c r="M1884" s="66" t="str">
        <f t="shared" si="206"/>
        <v/>
      </c>
      <c r="N1884" s="66" t="str">
        <f t="shared" si="207"/>
        <v/>
      </c>
      <c r="O1884" s="66" t="str">
        <f t="shared" si="208"/>
        <v/>
      </c>
      <c r="P1884" s="66" t="str">
        <f t="shared" si="209"/>
        <v/>
      </c>
    </row>
    <row r="1885" spans="8:16">
      <c r="H1885" s="66" t="e">
        <f>IF(LEFT(A1885,6)="CEPNTR","GPINS",VLOOKUP(LEFT(A1885,6),'Code Library'!$A$3:$B$920,2,0))&amp;"_"&amp;RIGHT(A1885,3)</f>
        <v>#N/A</v>
      </c>
      <c r="I1885" s="66">
        <f t="shared" si="203"/>
        <v>0</v>
      </c>
      <c r="K1885" s="66" t="str">
        <f t="shared" si="204"/>
        <v/>
      </c>
      <c r="L1885" s="66" t="str">
        <f t="shared" si="205"/>
        <v/>
      </c>
      <c r="M1885" s="66" t="str">
        <f t="shared" si="206"/>
        <v/>
      </c>
      <c r="N1885" s="66" t="str">
        <f t="shared" si="207"/>
        <v/>
      </c>
      <c r="O1885" s="66" t="str">
        <f t="shared" si="208"/>
        <v/>
      </c>
      <c r="P1885" s="66" t="str">
        <f t="shared" si="209"/>
        <v/>
      </c>
    </row>
    <row r="1886" spans="8:16">
      <c r="H1886" s="66" t="e">
        <f>IF(LEFT(A1886,6)="CEPNTR","GPINS",VLOOKUP(LEFT(A1886,6),'Code Library'!$A$3:$B$920,2,0))&amp;"_"&amp;RIGHT(A1886,3)</f>
        <v>#N/A</v>
      </c>
      <c r="I1886" s="66">
        <f t="shared" si="203"/>
        <v>0</v>
      </c>
      <c r="K1886" s="66" t="str">
        <f t="shared" si="204"/>
        <v/>
      </c>
      <c r="L1886" s="66" t="str">
        <f t="shared" si="205"/>
        <v/>
      </c>
      <c r="M1886" s="66" t="str">
        <f t="shared" si="206"/>
        <v/>
      </c>
      <c r="N1886" s="66" t="str">
        <f t="shared" si="207"/>
        <v/>
      </c>
      <c r="O1886" s="66" t="str">
        <f t="shared" si="208"/>
        <v/>
      </c>
      <c r="P1886" s="66" t="str">
        <f t="shared" si="209"/>
        <v/>
      </c>
    </row>
    <row r="1887" spans="8:16">
      <c r="H1887" s="66" t="e">
        <f>IF(LEFT(A1887,6)="CEPNTR","GPINS",VLOOKUP(LEFT(A1887,6),'Code Library'!$A$3:$B$920,2,0))&amp;"_"&amp;RIGHT(A1887,3)</f>
        <v>#N/A</v>
      </c>
      <c r="I1887" s="66">
        <f t="shared" si="203"/>
        <v>0</v>
      </c>
      <c r="K1887" s="66" t="str">
        <f t="shared" si="204"/>
        <v/>
      </c>
      <c r="L1887" s="66" t="str">
        <f t="shared" si="205"/>
        <v/>
      </c>
      <c r="M1887" s="66" t="str">
        <f t="shared" si="206"/>
        <v/>
      </c>
      <c r="N1887" s="66" t="str">
        <f t="shared" si="207"/>
        <v/>
      </c>
      <c r="O1887" s="66" t="str">
        <f t="shared" si="208"/>
        <v/>
      </c>
      <c r="P1887" s="66" t="str">
        <f t="shared" si="209"/>
        <v/>
      </c>
    </row>
    <row r="1888" spans="8:16">
      <c r="H1888" s="66" t="e">
        <f>IF(LEFT(A1888,6)="CEPNTR","GPINS",VLOOKUP(LEFT(A1888,6),'Code Library'!$A$3:$B$920,2,0))&amp;"_"&amp;RIGHT(A1888,3)</f>
        <v>#N/A</v>
      </c>
      <c r="I1888" s="66">
        <f t="shared" si="203"/>
        <v>0</v>
      </c>
      <c r="K1888" s="66" t="str">
        <f t="shared" si="204"/>
        <v/>
      </c>
      <c r="L1888" s="66" t="str">
        <f t="shared" si="205"/>
        <v/>
      </c>
      <c r="M1888" s="66" t="str">
        <f t="shared" si="206"/>
        <v/>
      </c>
      <c r="N1888" s="66" t="str">
        <f t="shared" si="207"/>
        <v/>
      </c>
      <c r="O1888" s="66" t="str">
        <f t="shared" si="208"/>
        <v/>
      </c>
      <c r="P1888" s="66" t="str">
        <f t="shared" si="209"/>
        <v/>
      </c>
    </row>
    <row r="1889" spans="8:16">
      <c r="H1889" s="66" t="e">
        <f>IF(LEFT(A1889,6)="CEPNTR","GPINS",VLOOKUP(LEFT(A1889,6),'Code Library'!$A$3:$B$920,2,0))&amp;"_"&amp;RIGHT(A1889,3)</f>
        <v>#N/A</v>
      </c>
      <c r="I1889" s="66">
        <f t="shared" si="203"/>
        <v>0</v>
      </c>
      <c r="K1889" s="66" t="str">
        <f t="shared" si="204"/>
        <v/>
      </c>
      <c r="L1889" s="66" t="str">
        <f t="shared" si="205"/>
        <v/>
      </c>
      <c r="M1889" s="66" t="str">
        <f t="shared" si="206"/>
        <v/>
      </c>
      <c r="N1889" s="66" t="str">
        <f t="shared" si="207"/>
        <v/>
      </c>
      <c r="O1889" s="66" t="str">
        <f t="shared" si="208"/>
        <v/>
      </c>
      <c r="P1889" s="66" t="str">
        <f t="shared" si="209"/>
        <v/>
      </c>
    </row>
    <row r="1890" spans="8:16">
      <c r="H1890" s="66" t="e">
        <f>IF(LEFT(A1890,6)="CEPNTR","GPINS",VLOOKUP(LEFT(A1890,6),'Code Library'!$A$3:$B$920,2,0))&amp;"_"&amp;RIGHT(A1890,3)</f>
        <v>#N/A</v>
      </c>
      <c r="I1890" s="66">
        <f t="shared" si="203"/>
        <v>0</v>
      </c>
      <c r="K1890" s="66" t="str">
        <f t="shared" si="204"/>
        <v/>
      </c>
      <c r="L1890" s="66" t="str">
        <f t="shared" si="205"/>
        <v/>
      </c>
      <c r="M1890" s="66" t="str">
        <f t="shared" si="206"/>
        <v/>
      </c>
      <c r="N1890" s="66" t="str">
        <f t="shared" si="207"/>
        <v/>
      </c>
      <c r="O1890" s="66" t="str">
        <f t="shared" si="208"/>
        <v/>
      </c>
      <c r="P1890" s="66" t="str">
        <f t="shared" si="209"/>
        <v/>
      </c>
    </row>
    <row r="1891" spans="8:16">
      <c r="H1891" s="66" t="e">
        <f>IF(LEFT(A1891,6)="CEPNTR","GPINS",VLOOKUP(LEFT(A1891,6),'Code Library'!$A$3:$B$920,2,0))&amp;"_"&amp;RIGHT(A1891,3)</f>
        <v>#N/A</v>
      </c>
      <c r="I1891" s="66">
        <f t="shared" si="203"/>
        <v>0</v>
      </c>
      <c r="K1891" s="66" t="str">
        <f t="shared" si="204"/>
        <v/>
      </c>
      <c r="L1891" s="66" t="str">
        <f t="shared" si="205"/>
        <v/>
      </c>
      <c r="M1891" s="66" t="str">
        <f t="shared" si="206"/>
        <v/>
      </c>
      <c r="N1891" s="66" t="str">
        <f t="shared" si="207"/>
        <v/>
      </c>
      <c r="O1891" s="66" t="str">
        <f t="shared" si="208"/>
        <v/>
      </c>
      <c r="P1891" s="66" t="str">
        <f t="shared" si="209"/>
        <v/>
      </c>
    </row>
    <row r="1892" spans="8:16">
      <c r="H1892" s="66" t="e">
        <f>IF(LEFT(A1892,6)="CEPNTR","GPINS",VLOOKUP(LEFT(A1892,6),'Code Library'!$A$3:$B$920,2,0))&amp;"_"&amp;RIGHT(A1892,3)</f>
        <v>#N/A</v>
      </c>
      <c r="I1892" s="66">
        <f t="shared" si="203"/>
        <v>0</v>
      </c>
      <c r="K1892" s="66" t="str">
        <f t="shared" si="204"/>
        <v/>
      </c>
      <c r="L1892" s="66" t="str">
        <f t="shared" si="205"/>
        <v/>
      </c>
      <c r="M1892" s="66" t="str">
        <f t="shared" si="206"/>
        <v/>
      </c>
      <c r="N1892" s="66" t="str">
        <f t="shared" si="207"/>
        <v/>
      </c>
      <c r="O1892" s="66" t="str">
        <f t="shared" si="208"/>
        <v/>
      </c>
      <c r="P1892" s="66" t="str">
        <f t="shared" si="209"/>
        <v/>
      </c>
    </row>
    <row r="1893" spans="8:16">
      <c r="H1893" s="66" t="e">
        <f>IF(LEFT(A1893,6)="CEPNTR","GPINS",VLOOKUP(LEFT(A1893,6),'Code Library'!$A$3:$B$920,2,0))&amp;"_"&amp;RIGHT(A1893,3)</f>
        <v>#N/A</v>
      </c>
      <c r="I1893" s="66">
        <f t="shared" si="203"/>
        <v>0</v>
      </c>
      <c r="K1893" s="66" t="str">
        <f t="shared" si="204"/>
        <v/>
      </c>
      <c r="L1893" s="66" t="str">
        <f t="shared" si="205"/>
        <v/>
      </c>
      <c r="M1893" s="66" t="str">
        <f t="shared" si="206"/>
        <v/>
      </c>
      <c r="N1893" s="66" t="str">
        <f t="shared" si="207"/>
        <v/>
      </c>
      <c r="O1893" s="66" t="str">
        <f t="shared" si="208"/>
        <v/>
      </c>
      <c r="P1893" s="66" t="str">
        <f t="shared" si="209"/>
        <v/>
      </c>
    </row>
    <row r="1894" spans="8:16">
      <c r="H1894" s="66" t="e">
        <f>IF(LEFT(A1894,6)="CEPNTR","GPINS",VLOOKUP(LEFT(A1894,6),'Code Library'!$A$3:$B$920,2,0))&amp;"_"&amp;RIGHT(A1894,3)</f>
        <v>#N/A</v>
      </c>
      <c r="I1894" s="66">
        <f t="shared" si="203"/>
        <v>0</v>
      </c>
      <c r="K1894" s="66" t="str">
        <f t="shared" si="204"/>
        <v/>
      </c>
      <c r="L1894" s="66" t="str">
        <f t="shared" si="205"/>
        <v/>
      </c>
      <c r="M1894" s="66" t="str">
        <f t="shared" si="206"/>
        <v/>
      </c>
      <c r="N1894" s="66" t="str">
        <f t="shared" si="207"/>
        <v/>
      </c>
      <c r="O1894" s="66" t="str">
        <f t="shared" si="208"/>
        <v/>
      </c>
      <c r="P1894" s="66" t="str">
        <f t="shared" si="209"/>
        <v/>
      </c>
    </row>
    <row r="1895" spans="8:16">
      <c r="H1895" s="66" t="e">
        <f>IF(LEFT(A1895,6)="CEPNTR","GPINS",VLOOKUP(LEFT(A1895,6),'Code Library'!$A$3:$B$920,2,0))&amp;"_"&amp;RIGHT(A1895,3)</f>
        <v>#N/A</v>
      </c>
      <c r="I1895" s="66">
        <f t="shared" si="203"/>
        <v>0</v>
      </c>
      <c r="K1895" s="66" t="str">
        <f t="shared" si="204"/>
        <v/>
      </c>
      <c r="L1895" s="66" t="str">
        <f t="shared" si="205"/>
        <v/>
      </c>
      <c r="M1895" s="66" t="str">
        <f t="shared" si="206"/>
        <v/>
      </c>
      <c r="N1895" s="66" t="str">
        <f t="shared" si="207"/>
        <v/>
      </c>
      <c r="O1895" s="66" t="str">
        <f t="shared" si="208"/>
        <v/>
      </c>
      <c r="P1895" s="66" t="str">
        <f t="shared" si="209"/>
        <v/>
      </c>
    </row>
    <row r="1896" spans="8:16">
      <c r="H1896" s="66" t="e">
        <f>IF(LEFT(A1896,6)="CEPNTR","GPINS",VLOOKUP(LEFT(A1896,6),'Code Library'!$A$3:$B$920,2,0))&amp;"_"&amp;RIGHT(A1896,3)</f>
        <v>#N/A</v>
      </c>
      <c r="I1896" s="66">
        <f t="shared" si="203"/>
        <v>0</v>
      </c>
      <c r="K1896" s="66" t="str">
        <f t="shared" si="204"/>
        <v/>
      </c>
      <c r="L1896" s="66" t="str">
        <f t="shared" si="205"/>
        <v/>
      </c>
      <c r="M1896" s="66" t="str">
        <f t="shared" si="206"/>
        <v/>
      </c>
      <c r="N1896" s="66" t="str">
        <f t="shared" si="207"/>
        <v/>
      </c>
      <c r="O1896" s="66" t="str">
        <f t="shared" si="208"/>
        <v/>
      </c>
      <c r="P1896" s="66" t="str">
        <f t="shared" si="209"/>
        <v/>
      </c>
    </row>
    <row r="1897" spans="8:16">
      <c r="H1897" s="66" t="e">
        <f>IF(LEFT(A1897,6)="CEPNTR","GPINS",VLOOKUP(LEFT(A1897,6),'Code Library'!$A$3:$B$920,2,0))&amp;"_"&amp;RIGHT(A1897,3)</f>
        <v>#N/A</v>
      </c>
      <c r="I1897" s="66">
        <f t="shared" si="203"/>
        <v>0</v>
      </c>
      <c r="K1897" s="66" t="str">
        <f t="shared" si="204"/>
        <v/>
      </c>
      <c r="L1897" s="66" t="str">
        <f t="shared" si="205"/>
        <v/>
      </c>
      <c r="M1897" s="66" t="str">
        <f t="shared" si="206"/>
        <v/>
      </c>
      <c r="N1897" s="66" t="str">
        <f t="shared" si="207"/>
        <v/>
      </c>
      <c r="O1897" s="66" t="str">
        <f t="shared" si="208"/>
        <v/>
      </c>
      <c r="P1897" s="66" t="str">
        <f t="shared" si="209"/>
        <v/>
      </c>
    </row>
    <row r="1898" spans="8:16">
      <c r="H1898" s="66" t="e">
        <f>IF(LEFT(A1898,6)="CEPNTR","GPINS",VLOOKUP(LEFT(A1898,6),'Code Library'!$A$3:$B$920,2,0))&amp;"_"&amp;RIGHT(A1898,3)</f>
        <v>#N/A</v>
      </c>
      <c r="I1898" s="66">
        <f t="shared" si="203"/>
        <v>0</v>
      </c>
      <c r="K1898" s="66" t="str">
        <f t="shared" si="204"/>
        <v/>
      </c>
      <c r="L1898" s="66" t="str">
        <f t="shared" si="205"/>
        <v/>
      </c>
      <c r="M1898" s="66" t="str">
        <f t="shared" si="206"/>
        <v/>
      </c>
      <c r="N1898" s="66" t="str">
        <f t="shared" si="207"/>
        <v/>
      </c>
      <c r="O1898" s="66" t="str">
        <f t="shared" si="208"/>
        <v/>
      </c>
      <c r="P1898" s="66" t="str">
        <f t="shared" si="209"/>
        <v/>
      </c>
    </row>
    <row r="1899" spans="8:16">
      <c r="H1899" s="66" t="e">
        <f>IF(LEFT(A1899,6)="CEPNTR","GPINS",VLOOKUP(LEFT(A1899,6),'Code Library'!$A$3:$B$920,2,0))&amp;"_"&amp;RIGHT(A1899,3)</f>
        <v>#N/A</v>
      </c>
      <c r="I1899" s="66">
        <f t="shared" si="203"/>
        <v>0</v>
      </c>
      <c r="K1899" s="66" t="str">
        <f t="shared" si="204"/>
        <v/>
      </c>
      <c r="L1899" s="66" t="str">
        <f t="shared" si="205"/>
        <v/>
      </c>
      <c r="M1899" s="66" t="str">
        <f t="shared" si="206"/>
        <v/>
      </c>
      <c r="N1899" s="66" t="str">
        <f t="shared" si="207"/>
        <v/>
      </c>
      <c r="O1899" s="66" t="str">
        <f t="shared" si="208"/>
        <v/>
      </c>
      <c r="P1899" s="66" t="str">
        <f t="shared" si="209"/>
        <v/>
      </c>
    </row>
    <row r="1900" spans="8:16">
      <c r="H1900" s="66" t="e">
        <f>IF(LEFT(A1900,6)="CEPNTR","GPINS",VLOOKUP(LEFT(A1900,6),'Code Library'!$A$3:$B$920,2,0))&amp;"_"&amp;RIGHT(A1900,3)</f>
        <v>#N/A</v>
      </c>
      <c r="I1900" s="66">
        <f t="shared" si="203"/>
        <v>0</v>
      </c>
      <c r="K1900" s="66" t="str">
        <f t="shared" si="204"/>
        <v/>
      </c>
      <c r="L1900" s="66" t="str">
        <f t="shared" si="205"/>
        <v/>
      </c>
      <c r="M1900" s="66" t="str">
        <f t="shared" si="206"/>
        <v/>
      </c>
      <c r="N1900" s="66" t="str">
        <f t="shared" si="207"/>
        <v/>
      </c>
      <c r="O1900" s="66" t="str">
        <f t="shared" si="208"/>
        <v/>
      </c>
      <c r="P1900" s="66" t="str">
        <f t="shared" si="209"/>
        <v/>
      </c>
    </row>
    <row r="1901" spans="8:16">
      <c r="H1901" s="66" t="e">
        <f>IF(LEFT(A1901,6)="CEPNTR","GPINS",VLOOKUP(LEFT(A1901,6),'Code Library'!$A$3:$B$920,2,0))&amp;"_"&amp;RIGHT(A1901,3)</f>
        <v>#N/A</v>
      </c>
      <c r="I1901" s="66">
        <f t="shared" si="203"/>
        <v>0</v>
      </c>
      <c r="K1901" s="66" t="str">
        <f t="shared" si="204"/>
        <v/>
      </c>
      <c r="L1901" s="66" t="str">
        <f t="shared" si="205"/>
        <v/>
      </c>
      <c r="M1901" s="66" t="str">
        <f t="shared" si="206"/>
        <v/>
      </c>
      <c r="N1901" s="66" t="str">
        <f t="shared" si="207"/>
        <v/>
      </c>
      <c r="O1901" s="66" t="str">
        <f t="shared" si="208"/>
        <v/>
      </c>
      <c r="P1901" s="66" t="str">
        <f t="shared" si="209"/>
        <v/>
      </c>
    </row>
    <row r="1902" spans="8:16">
      <c r="H1902" s="66" t="e">
        <f>IF(LEFT(A1902,6)="CEPNTR","GPINS",VLOOKUP(LEFT(A1902,6),'Code Library'!$A$3:$B$920,2,0))&amp;"_"&amp;RIGHT(A1902,3)</f>
        <v>#N/A</v>
      </c>
      <c r="I1902" s="66">
        <f t="shared" si="203"/>
        <v>0</v>
      </c>
      <c r="K1902" s="66" t="str">
        <f t="shared" si="204"/>
        <v/>
      </c>
      <c r="L1902" s="66" t="str">
        <f t="shared" si="205"/>
        <v/>
      </c>
      <c r="M1902" s="66" t="str">
        <f t="shared" si="206"/>
        <v/>
      </c>
      <c r="N1902" s="66" t="str">
        <f t="shared" si="207"/>
        <v/>
      </c>
      <c r="O1902" s="66" t="str">
        <f t="shared" si="208"/>
        <v/>
      </c>
      <c r="P1902" s="66" t="str">
        <f t="shared" si="209"/>
        <v/>
      </c>
    </row>
    <row r="1903" spans="8:16">
      <c r="H1903" s="66" t="e">
        <f>IF(LEFT(A1903,6)="CEPNTR","GPINS",VLOOKUP(LEFT(A1903,6),'Code Library'!$A$3:$B$920,2,0))&amp;"_"&amp;RIGHT(A1903,3)</f>
        <v>#N/A</v>
      </c>
      <c r="I1903" s="66">
        <f t="shared" si="203"/>
        <v>0</v>
      </c>
      <c r="K1903" s="66" t="str">
        <f t="shared" si="204"/>
        <v/>
      </c>
      <c r="L1903" s="66" t="str">
        <f t="shared" si="205"/>
        <v/>
      </c>
      <c r="M1903" s="66" t="str">
        <f t="shared" si="206"/>
        <v/>
      </c>
      <c r="N1903" s="66" t="str">
        <f t="shared" si="207"/>
        <v/>
      </c>
      <c r="O1903" s="66" t="str">
        <f t="shared" si="208"/>
        <v/>
      </c>
      <c r="P1903" s="66" t="str">
        <f t="shared" si="209"/>
        <v/>
      </c>
    </row>
    <row r="1904" spans="8:16">
      <c r="H1904" s="66" t="e">
        <f>IF(LEFT(A1904,6)="CEPNTR","GPINS",VLOOKUP(LEFT(A1904,6),'Code Library'!$A$3:$B$920,2,0))&amp;"_"&amp;RIGHT(A1904,3)</f>
        <v>#N/A</v>
      </c>
      <c r="I1904" s="66">
        <f t="shared" si="203"/>
        <v>0</v>
      </c>
      <c r="K1904" s="66" t="str">
        <f t="shared" si="204"/>
        <v/>
      </c>
      <c r="L1904" s="66" t="str">
        <f t="shared" si="205"/>
        <v/>
      </c>
      <c r="M1904" s="66" t="str">
        <f t="shared" si="206"/>
        <v/>
      </c>
      <c r="N1904" s="66" t="str">
        <f t="shared" si="207"/>
        <v/>
      </c>
      <c r="O1904" s="66" t="str">
        <f t="shared" si="208"/>
        <v/>
      </c>
      <c r="P1904" s="66" t="str">
        <f t="shared" si="209"/>
        <v/>
      </c>
    </row>
    <row r="1905" spans="8:16">
      <c r="H1905" s="66" t="e">
        <f>IF(LEFT(A1905,6)="CEPNTR","GPINS",VLOOKUP(LEFT(A1905,6),'Code Library'!$A$3:$B$920,2,0))&amp;"_"&amp;RIGHT(A1905,3)</f>
        <v>#N/A</v>
      </c>
      <c r="I1905" s="66">
        <f t="shared" si="203"/>
        <v>0</v>
      </c>
      <c r="K1905" s="66" t="str">
        <f t="shared" si="204"/>
        <v/>
      </c>
      <c r="L1905" s="66" t="str">
        <f t="shared" si="205"/>
        <v/>
      </c>
      <c r="M1905" s="66" t="str">
        <f t="shared" si="206"/>
        <v/>
      </c>
      <c r="N1905" s="66" t="str">
        <f t="shared" si="207"/>
        <v/>
      </c>
      <c r="O1905" s="66" t="str">
        <f t="shared" si="208"/>
        <v/>
      </c>
      <c r="P1905" s="66" t="str">
        <f t="shared" si="209"/>
        <v/>
      </c>
    </row>
    <row r="1906" spans="8:16">
      <c r="H1906" s="66" t="e">
        <f>IF(LEFT(A1906,6)="CEPNTR","GPINS",VLOOKUP(LEFT(A1906,6),'Code Library'!$A$3:$B$920,2,0))&amp;"_"&amp;RIGHT(A1906,3)</f>
        <v>#N/A</v>
      </c>
      <c r="I1906" s="66">
        <f t="shared" si="203"/>
        <v>0</v>
      </c>
      <c r="K1906" s="66" t="str">
        <f t="shared" si="204"/>
        <v/>
      </c>
      <c r="L1906" s="66" t="str">
        <f t="shared" si="205"/>
        <v/>
      </c>
      <c r="M1906" s="66" t="str">
        <f t="shared" si="206"/>
        <v/>
      </c>
      <c r="N1906" s="66" t="str">
        <f t="shared" si="207"/>
        <v/>
      </c>
      <c r="O1906" s="66" t="str">
        <f t="shared" si="208"/>
        <v/>
      </c>
      <c r="P1906" s="66" t="str">
        <f t="shared" si="209"/>
        <v/>
      </c>
    </row>
    <row r="1907" spans="8:16">
      <c r="H1907" s="66" t="e">
        <f>IF(LEFT(A1907,6)="CEPNTR","GPINS",VLOOKUP(LEFT(A1907,6),'Code Library'!$A$3:$B$920,2,0))&amp;"_"&amp;RIGHT(A1907,3)</f>
        <v>#N/A</v>
      </c>
      <c r="I1907" s="66">
        <f t="shared" si="203"/>
        <v>0</v>
      </c>
      <c r="K1907" s="66" t="str">
        <f t="shared" si="204"/>
        <v/>
      </c>
      <c r="L1907" s="66" t="str">
        <f t="shared" si="205"/>
        <v/>
      </c>
      <c r="M1907" s="66" t="str">
        <f t="shared" si="206"/>
        <v/>
      </c>
      <c r="N1907" s="66" t="str">
        <f t="shared" si="207"/>
        <v/>
      </c>
      <c r="O1907" s="66" t="str">
        <f t="shared" si="208"/>
        <v/>
      </c>
      <c r="P1907" s="66" t="str">
        <f t="shared" si="209"/>
        <v/>
      </c>
    </row>
    <row r="1908" spans="8:16">
      <c r="H1908" s="66" t="e">
        <f>IF(LEFT(A1908,6)="CEPNTR","GPINS",VLOOKUP(LEFT(A1908,6),'Code Library'!$A$3:$B$920,2,0))&amp;"_"&amp;RIGHT(A1908,3)</f>
        <v>#N/A</v>
      </c>
      <c r="I1908" s="66">
        <f t="shared" si="203"/>
        <v>0</v>
      </c>
      <c r="K1908" s="66" t="str">
        <f t="shared" si="204"/>
        <v/>
      </c>
      <c r="L1908" s="66" t="str">
        <f t="shared" si="205"/>
        <v/>
      </c>
      <c r="M1908" s="66" t="str">
        <f t="shared" si="206"/>
        <v/>
      </c>
      <c r="N1908" s="66" t="str">
        <f t="shared" si="207"/>
        <v/>
      </c>
      <c r="O1908" s="66" t="str">
        <f t="shared" si="208"/>
        <v/>
      </c>
      <c r="P1908" s="66" t="str">
        <f t="shared" si="209"/>
        <v/>
      </c>
    </row>
    <row r="1909" spans="8:16">
      <c r="H1909" s="66" t="e">
        <f>IF(LEFT(A1909,6)="CEPNTR","GPINS",VLOOKUP(LEFT(A1909,6),'Code Library'!$A$3:$B$920,2,0))&amp;"_"&amp;RIGHT(A1909,3)</f>
        <v>#N/A</v>
      </c>
      <c r="I1909" s="66">
        <f t="shared" si="203"/>
        <v>0</v>
      </c>
      <c r="K1909" s="66" t="str">
        <f t="shared" si="204"/>
        <v/>
      </c>
      <c r="L1909" s="66" t="str">
        <f t="shared" si="205"/>
        <v/>
      </c>
      <c r="M1909" s="66" t="str">
        <f t="shared" si="206"/>
        <v/>
      </c>
      <c r="N1909" s="66" t="str">
        <f t="shared" si="207"/>
        <v/>
      </c>
      <c r="O1909" s="66" t="str">
        <f t="shared" si="208"/>
        <v/>
      </c>
      <c r="P1909" s="66" t="str">
        <f t="shared" si="209"/>
        <v/>
      </c>
    </row>
    <row r="1910" spans="8:16">
      <c r="H1910" s="66" t="e">
        <f>IF(LEFT(A1910,6)="CEPNTR","GPINS",VLOOKUP(LEFT(A1910,6),'Code Library'!$A$3:$B$920,2,0))&amp;"_"&amp;RIGHT(A1910,3)</f>
        <v>#N/A</v>
      </c>
      <c r="I1910" s="66">
        <f t="shared" si="203"/>
        <v>0</v>
      </c>
      <c r="K1910" s="66" t="str">
        <f t="shared" si="204"/>
        <v/>
      </c>
      <c r="L1910" s="66" t="str">
        <f t="shared" si="205"/>
        <v/>
      </c>
      <c r="M1910" s="66" t="str">
        <f t="shared" si="206"/>
        <v/>
      </c>
      <c r="N1910" s="66" t="str">
        <f t="shared" si="207"/>
        <v/>
      </c>
      <c r="O1910" s="66" t="str">
        <f t="shared" si="208"/>
        <v/>
      </c>
      <c r="P1910" s="66" t="str">
        <f t="shared" si="209"/>
        <v/>
      </c>
    </row>
    <row r="1911" spans="8:16">
      <c r="H1911" s="66" t="e">
        <f>IF(LEFT(A1911,6)="CEPNTR","GPINS",VLOOKUP(LEFT(A1911,6),'Code Library'!$A$3:$B$920,2,0))&amp;"_"&amp;RIGHT(A1911,3)</f>
        <v>#N/A</v>
      </c>
      <c r="I1911" s="66">
        <f t="shared" si="203"/>
        <v>0</v>
      </c>
      <c r="K1911" s="66" t="str">
        <f t="shared" si="204"/>
        <v/>
      </c>
      <c r="L1911" s="66" t="str">
        <f t="shared" si="205"/>
        <v/>
      </c>
      <c r="M1911" s="66" t="str">
        <f t="shared" si="206"/>
        <v/>
      </c>
      <c r="N1911" s="66" t="str">
        <f t="shared" si="207"/>
        <v/>
      </c>
      <c r="O1911" s="66" t="str">
        <f t="shared" si="208"/>
        <v/>
      </c>
      <c r="P1911" s="66" t="str">
        <f t="shared" si="209"/>
        <v/>
      </c>
    </row>
    <row r="1912" spans="8:16">
      <c r="H1912" s="66" t="e">
        <f>IF(LEFT(A1912,6)="CEPNTR","GPINS",VLOOKUP(LEFT(A1912,6),'Code Library'!$A$3:$B$920,2,0))&amp;"_"&amp;RIGHT(A1912,3)</f>
        <v>#N/A</v>
      </c>
      <c r="I1912" s="66">
        <f t="shared" si="203"/>
        <v>0</v>
      </c>
      <c r="K1912" s="66" t="str">
        <f t="shared" si="204"/>
        <v/>
      </c>
      <c r="L1912" s="66" t="str">
        <f t="shared" si="205"/>
        <v/>
      </c>
      <c r="M1912" s="66" t="str">
        <f t="shared" si="206"/>
        <v/>
      </c>
      <c r="N1912" s="66" t="str">
        <f t="shared" si="207"/>
        <v/>
      </c>
      <c r="O1912" s="66" t="str">
        <f t="shared" si="208"/>
        <v/>
      </c>
      <c r="P1912" s="66" t="str">
        <f t="shared" si="209"/>
        <v/>
      </c>
    </row>
    <row r="1913" spans="8:16">
      <c r="H1913" s="66" t="e">
        <f>IF(LEFT(A1913,6)="CEPNTR","GPINS",VLOOKUP(LEFT(A1913,6),'Code Library'!$A$3:$B$920,2,0))&amp;"_"&amp;RIGHT(A1913,3)</f>
        <v>#N/A</v>
      </c>
      <c r="I1913" s="66">
        <f t="shared" si="203"/>
        <v>0</v>
      </c>
      <c r="K1913" s="66" t="str">
        <f t="shared" si="204"/>
        <v/>
      </c>
      <c r="L1913" s="66" t="str">
        <f t="shared" si="205"/>
        <v/>
      </c>
      <c r="M1913" s="66" t="str">
        <f t="shared" si="206"/>
        <v/>
      </c>
      <c r="N1913" s="66" t="str">
        <f t="shared" si="207"/>
        <v/>
      </c>
      <c r="O1913" s="66" t="str">
        <f t="shared" si="208"/>
        <v/>
      </c>
      <c r="P1913" s="66" t="str">
        <f t="shared" si="209"/>
        <v/>
      </c>
    </row>
    <row r="1914" spans="8:16">
      <c r="H1914" s="66" t="e">
        <f>IF(LEFT(A1914,6)="CEPNTR","GPINS",VLOOKUP(LEFT(A1914,6),'Code Library'!$A$3:$B$920,2,0))&amp;"_"&amp;RIGHT(A1914,3)</f>
        <v>#N/A</v>
      </c>
      <c r="I1914" s="66">
        <f t="shared" si="203"/>
        <v>0</v>
      </c>
      <c r="K1914" s="66" t="str">
        <f t="shared" si="204"/>
        <v/>
      </c>
      <c r="L1914" s="66" t="str">
        <f t="shared" si="205"/>
        <v/>
      </c>
      <c r="M1914" s="66" t="str">
        <f t="shared" si="206"/>
        <v/>
      </c>
      <c r="N1914" s="66" t="str">
        <f t="shared" si="207"/>
        <v/>
      </c>
      <c r="O1914" s="66" t="str">
        <f t="shared" si="208"/>
        <v/>
      </c>
      <c r="P1914" s="66" t="str">
        <f t="shared" si="209"/>
        <v/>
      </c>
    </row>
    <row r="1915" spans="8:16">
      <c r="H1915" s="66" t="e">
        <f>IF(LEFT(A1915,6)="CEPNTR","GPINS",VLOOKUP(LEFT(A1915,6),'Code Library'!$A$3:$B$920,2,0))&amp;"_"&amp;RIGHT(A1915,3)</f>
        <v>#N/A</v>
      </c>
      <c r="I1915" s="66">
        <f t="shared" si="203"/>
        <v>0</v>
      </c>
      <c r="K1915" s="66" t="str">
        <f t="shared" si="204"/>
        <v/>
      </c>
      <c r="L1915" s="66" t="str">
        <f t="shared" si="205"/>
        <v/>
      </c>
      <c r="M1915" s="66" t="str">
        <f t="shared" si="206"/>
        <v/>
      </c>
      <c r="N1915" s="66" t="str">
        <f t="shared" si="207"/>
        <v/>
      </c>
      <c r="O1915" s="66" t="str">
        <f t="shared" si="208"/>
        <v/>
      </c>
      <c r="P1915" s="66" t="str">
        <f t="shared" si="209"/>
        <v/>
      </c>
    </row>
    <row r="1916" spans="8:16">
      <c r="H1916" s="66" t="e">
        <f>IF(LEFT(A1916,6)="CEPNTR","GPINS",VLOOKUP(LEFT(A1916,6),'Code Library'!$A$3:$B$920,2,0))&amp;"_"&amp;RIGHT(A1916,3)</f>
        <v>#N/A</v>
      </c>
      <c r="I1916" s="66">
        <f t="shared" si="203"/>
        <v>0</v>
      </c>
      <c r="K1916" s="66" t="str">
        <f t="shared" si="204"/>
        <v/>
      </c>
      <c r="L1916" s="66" t="str">
        <f t="shared" si="205"/>
        <v/>
      </c>
      <c r="M1916" s="66" t="str">
        <f t="shared" si="206"/>
        <v/>
      </c>
      <c r="N1916" s="66" t="str">
        <f t="shared" si="207"/>
        <v/>
      </c>
      <c r="O1916" s="66" t="str">
        <f t="shared" si="208"/>
        <v/>
      </c>
      <c r="P1916" s="66" t="str">
        <f t="shared" si="209"/>
        <v/>
      </c>
    </row>
    <row r="1917" spans="8:16">
      <c r="H1917" s="66" t="e">
        <f>IF(LEFT(A1917,6)="CEPNTR","GPINS",VLOOKUP(LEFT(A1917,6),'Code Library'!$A$3:$B$920,2,0))&amp;"_"&amp;RIGHT(A1917,3)</f>
        <v>#N/A</v>
      </c>
      <c r="I1917" s="66">
        <f t="shared" si="203"/>
        <v>0</v>
      </c>
      <c r="K1917" s="66" t="str">
        <f t="shared" si="204"/>
        <v/>
      </c>
      <c r="L1917" s="66" t="str">
        <f t="shared" si="205"/>
        <v/>
      </c>
      <c r="M1917" s="66" t="str">
        <f t="shared" si="206"/>
        <v/>
      </c>
      <c r="N1917" s="66" t="str">
        <f t="shared" si="207"/>
        <v/>
      </c>
      <c r="O1917" s="66" t="str">
        <f t="shared" si="208"/>
        <v/>
      </c>
      <c r="P1917" s="66" t="str">
        <f t="shared" si="209"/>
        <v/>
      </c>
    </row>
    <row r="1918" spans="8:16">
      <c r="H1918" s="66" t="e">
        <f>IF(LEFT(A1918,6)="CEPNTR","GPINS",VLOOKUP(LEFT(A1918,6),'Code Library'!$A$3:$B$920,2,0))&amp;"_"&amp;RIGHT(A1918,3)</f>
        <v>#N/A</v>
      </c>
      <c r="I1918" s="66">
        <f t="shared" si="203"/>
        <v>0</v>
      </c>
      <c r="K1918" s="66" t="str">
        <f t="shared" si="204"/>
        <v/>
      </c>
      <c r="L1918" s="66" t="str">
        <f t="shared" si="205"/>
        <v/>
      </c>
      <c r="M1918" s="66" t="str">
        <f t="shared" si="206"/>
        <v/>
      </c>
      <c r="N1918" s="66" t="str">
        <f t="shared" si="207"/>
        <v/>
      </c>
      <c r="O1918" s="66" t="str">
        <f t="shared" si="208"/>
        <v/>
      </c>
      <c r="P1918" s="66" t="str">
        <f t="shared" si="209"/>
        <v/>
      </c>
    </row>
    <row r="1919" spans="8:16">
      <c r="H1919" s="66" t="e">
        <f>IF(LEFT(A1919,6)="CEPNTR","GPINS",VLOOKUP(LEFT(A1919,6),'Code Library'!$A$3:$B$920,2,0))&amp;"_"&amp;RIGHT(A1919,3)</f>
        <v>#N/A</v>
      </c>
      <c r="I1919" s="66">
        <f t="shared" si="203"/>
        <v>0</v>
      </c>
      <c r="K1919" s="66" t="str">
        <f t="shared" si="204"/>
        <v/>
      </c>
      <c r="L1919" s="66" t="str">
        <f t="shared" si="205"/>
        <v/>
      </c>
      <c r="M1919" s="66" t="str">
        <f t="shared" si="206"/>
        <v/>
      </c>
      <c r="N1919" s="66" t="str">
        <f t="shared" si="207"/>
        <v/>
      </c>
      <c r="O1919" s="66" t="str">
        <f t="shared" si="208"/>
        <v/>
      </c>
      <c r="P1919" s="66" t="str">
        <f t="shared" si="209"/>
        <v/>
      </c>
    </row>
    <row r="1920" spans="8:16">
      <c r="H1920" s="66" t="e">
        <f>IF(LEFT(A1920,6)="CEPNTR","GPINS",VLOOKUP(LEFT(A1920,6),'Code Library'!$A$3:$B$920,2,0))&amp;"_"&amp;RIGHT(A1920,3)</f>
        <v>#N/A</v>
      </c>
      <c r="I1920" s="66">
        <f t="shared" si="203"/>
        <v>0</v>
      </c>
      <c r="K1920" s="66" t="str">
        <f t="shared" si="204"/>
        <v/>
      </c>
      <c r="L1920" s="66" t="str">
        <f t="shared" si="205"/>
        <v/>
      </c>
      <c r="M1920" s="66" t="str">
        <f t="shared" si="206"/>
        <v/>
      </c>
      <c r="N1920" s="66" t="str">
        <f t="shared" si="207"/>
        <v/>
      </c>
      <c r="O1920" s="66" t="str">
        <f t="shared" si="208"/>
        <v/>
      </c>
      <c r="P1920" s="66" t="str">
        <f t="shared" si="209"/>
        <v/>
      </c>
    </row>
    <row r="1921" spans="8:16">
      <c r="H1921" s="66" t="e">
        <f>IF(LEFT(A1921,6)="CEPNTR","GPINS",VLOOKUP(LEFT(A1921,6),'Code Library'!$A$3:$B$920,2,0))&amp;"_"&amp;RIGHT(A1921,3)</f>
        <v>#N/A</v>
      </c>
      <c r="I1921" s="66">
        <f t="shared" si="203"/>
        <v>0</v>
      </c>
      <c r="K1921" s="66" t="str">
        <f t="shared" si="204"/>
        <v/>
      </c>
      <c r="L1921" s="66" t="str">
        <f t="shared" si="205"/>
        <v/>
      </c>
      <c r="M1921" s="66" t="str">
        <f t="shared" si="206"/>
        <v/>
      </c>
      <c r="N1921" s="66" t="str">
        <f t="shared" si="207"/>
        <v/>
      </c>
      <c r="O1921" s="66" t="str">
        <f t="shared" si="208"/>
        <v/>
      </c>
      <c r="P1921" s="66" t="str">
        <f t="shared" si="209"/>
        <v/>
      </c>
    </row>
    <row r="1922" spans="8:16">
      <c r="H1922" s="66" t="e">
        <f>IF(LEFT(A1922,6)="CEPNTR","GPINS",VLOOKUP(LEFT(A1922,6),'Code Library'!$A$3:$B$920,2,0))&amp;"_"&amp;RIGHT(A1922,3)</f>
        <v>#N/A</v>
      </c>
      <c r="I1922" s="66">
        <f t="shared" si="203"/>
        <v>0</v>
      </c>
      <c r="K1922" s="66" t="str">
        <f t="shared" si="204"/>
        <v/>
      </c>
      <c r="L1922" s="66" t="str">
        <f t="shared" si="205"/>
        <v/>
      </c>
      <c r="M1922" s="66" t="str">
        <f t="shared" si="206"/>
        <v/>
      </c>
      <c r="N1922" s="66" t="str">
        <f t="shared" si="207"/>
        <v/>
      </c>
      <c r="O1922" s="66" t="str">
        <f t="shared" si="208"/>
        <v/>
      </c>
      <c r="P1922" s="66" t="str">
        <f t="shared" si="209"/>
        <v/>
      </c>
    </row>
    <row r="1923" spans="8:16">
      <c r="H1923" s="66" t="e">
        <f>IF(LEFT(A1923,6)="CEPNTR","GPINS",VLOOKUP(LEFT(A1923,6),'Code Library'!$A$3:$B$920,2,0))&amp;"_"&amp;RIGHT(A1923,3)</f>
        <v>#N/A</v>
      </c>
      <c r="I1923" s="66">
        <f t="shared" ref="I1923:I1986" si="210">A1923</f>
        <v>0</v>
      </c>
      <c r="K1923" s="66" t="str">
        <f t="shared" ref="K1923:K1986" si="211">RIGHT($B1923,2)</f>
        <v/>
      </c>
      <c r="L1923" s="66" t="str">
        <f t="shared" ref="L1923:L1986" si="212">LEFT(RIGHT($B1923,7),4)</f>
        <v/>
      </c>
      <c r="M1923" s="66" t="str">
        <f t="shared" ref="M1923:M1986" si="213">LEFT(RIGHT($B1923,10),2)</f>
        <v/>
      </c>
      <c r="N1923" s="66" t="str">
        <f t="shared" ref="N1923:N1986" si="214">LEFT(RIGHT($B1923,14),3)</f>
        <v/>
      </c>
      <c r="O1923" s="66" t="str">
        <f t="shared" ref="O1923:O1986" si="215">LEFT(RIGHT($B1923,16),1)</f>
        <v/>
      </c>
      <c r="P1923" s="66" t="str">
        <f t="shared" ref="P1923:P1986" si="216">LEFT(RIGHT($B1923,19),2)</f>
        <v/>
      </c>
    </row>
    <row r="1924" spans="8:16">
      <c r="H1924" s="66" t="e">
        <f>IF(LEFT(A1924,6)="CEPNTR","GPINS",VLOOKUP(LEFT(A1924,6),'Code Library'!$A$3:$B$920,2,0))&amp;"_"&amp;RIGHT(A1924,3)</f>
        <v>#N/A</v>
      </c>
      <c r="I1924" s="66">
        <f t="shared" si="210"/>
        <v>0</v>
      </c>
      <c r="K1924" s="66" t="str">
        <f t="shared" si="211"/>
        <v/>
      </c>
      <c r="L1924" s="66" t="str">
        <f t="shared" si="212"/>
        <v/>
      </c>
      <c r="M1924" s="66" t="str">
        <f t="shared" si="213"/>
        <v/>
      </c>
      <c r="N1924" s="66" t="str">
        <f t="shared" si="214"/>
        <v/>
      </c>
      <c r="O1924" s="66" t="str">
        <f t="shared" si="215"/>
        <v/>
      </c>
      <c r="P1924" s="66" t="str">
        <f t="shared" si="216"/>
        <v/>
      </c>
    </row>
    <row r="1925" spans="8:16">
      <c r="H1925" s="66" t="e">
        <f>IF(LEFT(A1925,6)="CEPNTR","GPINS",VLOOKUP(LEFT(A1925,6),'Code Library'!$A$3:$B$920,2,0))&amp;"_"&amp;RIGHT(A1925,3)</f>
        <v>#N/A</v>
      </c>
      <c r="I1925" s="66">
        <f t="shared" si="210"/>
        <v>0</v>
      </c>
      <c r="K1925" s="66" t="str">
        <f t="shared" si="211"/>
        <v/>
      </c>
      <c r="L1925" s="66" t="str">
        <f t="shared" si="212"/>
        <v/>
      </c>
      <c r="M1925" s="66" t="str">
        <f t="shared" si="213"/>
        <v/>
      </c>
      <c r="N1925" s="66" t="str">
        <f t="shared" si="214"/>
        <v/>
      </c>
      <c r="O1925" s="66" t="str">
        <f t="shared" si="215"/>
        <v/>
      </c>
      <c r="P1925" s="66" t="str">
        <f t="shared" si="216"/>
        <v/>
      </c>
    </row>
    <row r="1926" spans="8:16">
      <c r="H1926" s="66" t="e">
        <f>IF(LEFT(A1926,6)="CEPNTR","GPINS",VLOOKUP(LEFT(A1926,6),'Code Library'!$A$3:$B$920,2,0))&amp;"_"&amp;RIGHT(A1926,3)</f>
        <v>#N/A</v>
      </c>
      <c r="I1926" s="66">
        <f t="shared" si="210"/>
        <v>0</v>
      </c>
      <c r="K1926" s="66" t="str">
        <f t="shared" si="211"/>
        <v/>
      </c>
      <c r="L1926" s="66" t="str">
        <f t="shared" si="212"/>
        <v/>
      </c>
      <c r="M1926" s="66" t="str">
        <f t="shared" si="213"/>
        <v/>
      </c>
      <c r="N1926" s="66" t="str">
        <f t="shared" si="214"/>
        <v/>
      </c>
      <c r="O1926" s="66" t="str">
        <f t="shared" si="215"/>
        <v/>
      </c>
      <c r="P1926" s="66" t="str">
        <f t="shared" si="216"/>
        <v/>
      </c>
    </row>
    <row r="1927" spans="8:16">
      <c r="H1927" s="66" t="e">
        <f>IF(LEFT(A1927,6)="CEPNTR","GPINS",VLOOKUP(LEFT(A1927,6),'Code Library'!$A$3:$B$920,2,0))&amp;"_"&amp;RIGHT(A1927,3)</f>
        <v>#N/A</v>
      </c>
      <c r="I1927" s="66">
        <f t="shared" si="210"/>
        <v>0</v>
      </c>
      <c r="K1927" s="66" t="str">
        <f t="shared" si="211"/>
        <v/>
      </c>
      <c r="L1927" s="66" t="str">
        <f t="shared" si="212"/>
        <v/>
      </c>
      <c r="M1927" s="66" t="str">
        <f t="shared" si="213"/>
        <v/>
      </c>
      <c r="N1927" s="66" t="str">
        <f t="shared" si="214"/>
        <v/>
      </c>
      <c r="O1927" s="66" t="str">
        <f t="shared" si="215"/>
        <v/>
      </c>
      <c r="P1927" s="66" t="str">
        <f t="shared" si="216"/>
        <v/>
      </c>
    </row>
    <row r="1928" spans="8:16">
      <c r="H1928" s="66" t="e">
        <f>IF(LEFT(A1928,6)="CEPNTR","GPINS",VLOOKUP(LEFT(A1928,6),'Code Library'!$A$3:$B$920,2,0))&amp;"_"&amp;RIGHT(A1928,3)</f>
        <v>#N/A</v>
      </c>
      <c r="I1928" s="66">
        <f t="shared" si="210"/>
        <v>0</v>
      </c>
      <c r="K1928" s="66" t="str">
        <f t="shared" si="211"/>
        <v/>
      </c>
      <c r="L1928" s="66" t="str">
        <f t="shared" si="212"/>
        <v/>
      </c>
      <c r="M1928" s="66" t="str">
        <f t="shared" si="213"/>
        <v/>
      </c>
      <c r="N1928" s="66" t="str">
        <f t="shared" si="214"/>
        <v/>
      </c>
      <c r="O1928" s="66" t="str">
        <f t="shared" si="215"/>
        <v/>
      </c>
      <c r="P1928" s="66" t="str">
        <f t="shared" si="216"/>
        <v/>
      </c>
    </row>
    <row r="1929" spans="8:16">
      <c r="H1929" s="66" t="e">
        <f>IF(LEFT(A1929,6)="CEPNTR","GPINS",VLOOKUP(LEFT(A1929,6),'Code Library'!$A$3:$B$920,2,0))&amp;"_"&amp;RIGHT(A1929,3)</f>
        <v>#N/A</v>
      </c>
      <c r="I1929" s="66">
        <f t="shared" si="210"/>
        <v>0</v>
      </c>
      <c r="K1929" s="66" t="str">
        <f t="shared" si="211"/>
        <v/>
      </c>
      <c r="L1929" s="66" t="str">
        <f t="shared" si="212"/>
        <v/>
      </c>
      <c r="M1929" s="66" t="str">
        <f t="shared" si="213"/>
        <v/>
      </c>
      <c r="N1929" s="66" t="str">
        <f t="shared" si="214"/>
        <v/>
      </c>
      <c r="O1929" s="66" t="str">
        <f t="shared" si="215"/>
        <v/>
      </c>
      <c r="P1929" s="66" t="str">
        <f t="shared" si="216"/>
        <v/>
      </c>
    </row>
    <row r="1930" spans="8:16">
      <c r="H1930" s="66" t="e">
        <f>IF(LEFT(A1930,6)="CEPNTR","GPINS",VLOOKUP(LEFT(A1930,6),'Code Library'!$A$3:$B$920,2,0))&amp;"_"&amp;RIGHT(A1930,3)</f>
        <v>#N/A</v>
      </c>
      <c r="I1930" s="66">
        <f t="shared" si="210"/>
        <v>0</v>
      </c>
      <c r="K1930" s="66" t="str">
        <f t="shared" si="211"/>
        <v/>
      </c>
      <c r="L1930" s="66" t="str">
        <f t="shared" si="212"/>
        <v/>
      </c>
      <c r="M1930" s="66" t="str">
        <f t="shared" si="213"/>
        <v/>
      </c>
      <c r="N1930" s="66" t="str">
        <f t="shared" si="214"/>
        <v/>
      </c>
      <c r="O1930" s="66" t="str">
        <f t="shared" si="215"/>
        <v/>
      </c>
      <c r="P1930" s="66" t="str">
        <f t="shared" si="216"/>
        <v/>
      </c>
    </row>
    <row r="1931" spans="8:16">
      <c r="H1931" s="66" t="e">
        <f>IF(LEFT(A1931,6)="CEPNTR","GPINS",VLOOKUP(LEFT(A1931,6),'Code Library'!$A$3:$B$920,2,0))&amp;"_"&amp;RIGHT(A1931,3)</f>
        <v>#N/A</v>
      </c>
      <c r="I1931" s="66">
        <f t="shared" si="210"/>
        <v>0</v>
      </c>
      <c r="K1931" s="66" t="str">
        <f t="shared" si="211"/>
        <v/>
      </c>
      <c r="L1931" s="66" t="str">
        <f t="shared" si="212"/>
        <v/>
      </c>
      <c r="M1931" s="66" t="str">
        <f t="shared" si="213"/>
        <v/>
      </c>
      <c r="N1931" s="66" t="str">
        <f t="shared" si="214"/>
        <v/>
      </c>
      <c r="O1931" s="66" t="str">
        <f t="shared" si="215"/>
        <v/>
      </c>
      <c r="P1931" s="66" t="str">
        <f t="shared" si="216"/>
        <v/>
      </c>
    </row>
    <row r="1932" spans="8:16">
      <c r="H1932" s="66" t="e">
        <f>IF(LEFT(A1932,6)="CEPNTR","GPINS",VLOOKUP(LEFT(A1932,6),'Code Library'!$A$3:$B$920,2,0))&amp;"_"&amp;RIGHT(A1932,3)</f>
        <v>#N/A</v>
      </c>
      <c r="I1932" s="66">
        <f t="shared" si="210"/>
        <v>0</v>
      </c>
      <c r="K1932" s="66" t="str">
        <f t="shared" si="211"/>
        <v/>
      </c>
      <c r="L1932" s="66" t="str">
        <f t="shared" si="212"/>
        <v/>
      </c>
      <c r="M1932" s="66" t="str">
        <f t="shared" si="213"/>
        <v/>
      </c>
      <c r="N1932" s="66" t="str">
        <f t="shared" si="214"/>
        <v/>
      </c>
      <c r="O1932" s="66" t="str">
        <f t="shared" si="215"/>
        <v/>
      </c>
      <c r="P1932" s="66" t="str">
        <f t="shared" si="216"/>
        <v/>
      </c>
    </row>
    <row r="1933" spans="8:16">
      <c r="H1933" s="66" t="e">
        <f>IF(LEFT(A1933,6)="CEPNTR","GPINS",VLOOKUP(LEFT(A1933,6),'Code Library'!$A$3:$B$920,2,0))&amp;"_"&amp;RIGHT(A1933,3)</f>
        <v>#N/A</v>
      </c>
      <c r="I1933" s="66">
        <f t="shared" si="210"/>
        <v>0</v>
      </c>
      <c r="K1933" s="66" t="str">
        <f t="shared" si="211"/>
        <v/>
      </c>
      <c r="L1933" s="66" t="str">
        <f t="shared" si="212"/>
        <v/>
      </c>
      <c r="M1933" s="66" t="str">
        <f t="shared" si="213"/>
        <v/>
      </c>
      <c r="N1933" s="66" t="str">
        <f t="shared" si="214"/>
        <v/>
      </c>
      <c r="O1933" s="66" t="str">
        <f t="shared" si="215"/>
        <v/>
      </c>
      <c r="P1933" s="66" t="str">
        <f t="shared" si="216"/>
        <v/>
      </c>
    </row>
    <row r="1934" spans="8:16">
      <c r="H1934" s="66" t="e">
        <f>IF(LEFT(A1934,6)="CEPNTR","GPINS",VLOOKUP(LEFT(A1934,6),'Code Library'!$A$3:$B$920,2,0))&amp;"_"&amp;RIGHT(A1934,3)</f>
        <v>#N/A</v>
      </c>
      <c r="I1934" s="66">
        <f t="shared" si="210"/>
        <v>0</v>
      </c>
      <c r="K1934" s="66" t="str">
        <f t="shared" si="211"/>
        <v/>
      </c>
      <c r="L1934" s="66" t="str">
        <f t="shared" si="212"/>
        <v/>
      </c>
      <c r="M1934" s="66" t="str">
        <f t="shared" si="213"/>
        <v/>
      </c>
      <c r="N1934" s="66" t="str">
        <f t="shared" si="214"/>
        <v/>
      </c>
      <c r="O1934" s="66" t="str">
        <f t="shared" si="215"/>
        <v/>
      </c>
      <c r="P1934" s="66" t="str">
        <f t="shared" si="216"/>
        <v/>
      </c>
    </row>
    <row r="1935" spans="8:16">
      <c r="H1935" s="66" t="e">
        <f>IF(LEFT(A1935,6)="CEPNTR","GPINS",VLOOKUP(LEFT(A1935,6),'Code Library'!$A$3:$B$920,2,0))&amp;"_"&amp;RIGHT(A1935,3)</f>
        <v>#N/A</v>
      </c>
      <c r="I1935" s="66">
        <f t="shared" si="210"/>
        <v>0</v>
      </c>
      <c r="K1935" s="66" t="str">
        <f t="shared" si="211"/>
        <v/>
      </c>
      <c r="L1935" s="66" t="str">
        <f t="shared" si="212"/>
        <v/>
      </c>
      <c r="M1935" s="66" t="str">
        <f t="shared" si="213"/>
        <v/>
      </c>
      <c r="N1935" s="66" t="str">
        <f t="shared" si="214"/>
        <v/>
      </c>
      <c r="O1935" s="66" t="str">
        <f t="shared" si="215"/>
        <v/>
      </c>
      <c r="P1935" s="66" t="str">
        <f t="shared" si="216"/>
        <v/>
      </c>
    </row>
    <row r="1936" spans="8:16">
      <c r="H1936" s="66" t="e">
        <f>IF(LEFT(A1936,6)="CEPNTR","GPINS",VLOOKUP(LEFT(A1936,6),'Code Library'!$A$3:$B$920,2,0))&amp;"_"&amp;RIGHT(A1936,3)</f>
        <v>#N/A</v>
      </c>
      <c r="I1936" s="66">
        <f t="shared" si="210"/>
        <v>0</v>
      </c>
      <c r="K1936" s="66" t="str">
        <f t="shared" si="211"/>
        <v/>
      </c>
      <c r="L1936" s="66" t="str">
        <f t="shared" si="212"/>
        <v/>
      </c>
      <c r="M1936" s="66" t="str">
        <f t="shared" si="213"/>
        <v/>
      </c>
      <c r="N1936" s="66" t="str">
        <f t="shared" si="214"/>
        <v/>
      </c>
      <c r="O1936" s="66" t="str">
        <f t="shared" si="215"/>
        <v/>
      </c>
      <c r="P1936" s="66" t="str">
        <f t="shared" si="216"/>
        <v/>
      </c>
    </row>
    <row r="1937" spans="8:16">
      <c r="H1937" s="66" t="e">
        <f>IF(LEFT(A1937,6)="CEPNTR","GPINS",VLOOKUP(LEFT(A1937,6),'Code Library'!$A$3:$B$920,2,0))&amp;"_"&amp;RIGHT(A1937,3)</f>
        <v>#N/A</v>
      </c>
      <c r="I1937" s="66">
        <f t="shared" si="210"/>
        <v>0</v>
      </c>
      <c r="K1937" s="66" t="str">
        <f t="shared" si="211"/>
        <v/>
      </c>
      <c r="L1937" s="66" t="str">
        <f t="shared" si="212"/>
        <v/>
      </c>
      <c r="M1937" s="66" t="str">
        <f t="shared" si="213"/>
        <v/>
      </c>
      <c r="N1937" s="66" t="str">
        <f t="shared" si="214"/>
        <v/>
      </c>
      <c r="O1937" s="66" t="str">
        <f t="shared" si="215"/>
        <v/>
      </c>
      <c r="P1937" s="66" t="str">
        <f t="shared" si="216"/>
        <v/>
      </c>
    </row>
    <row r="1938" spans="8:16">
      <c r="H1938" s="66" t="e">
        <f>IF(LEFT(A1938,6)="CEPNTR","GPINS",VLOOKUP(LEFT(A1938,6),'Code Library'!$A$3:$B$920,2,0))&amp;"_"&amp;RIGHT(A1938,3)</f>
        <v>#N/A</v>
      </c>
      <c r="I1938" s="66">
        <f t="shared" si="210"/>
        <v>0</v>
      </c>
      <c r="K1938" s="66" t="str">
        <f t="shared" si="211"/>
        <v/>
      </c>
      <c r="L1938" s="66" t="str">
        <f t="shared" si="212"/>
        <v/>
      </c>
      <c r="M1938" s="66" t="str">
        <f t="shared" si="213"/>
        <v/>
      </c>
      <c r="N1938" s="66" t="str">
        <f t="shared" si="214"/>
        <v/>
      </c>
      <c r="O1938" s="66" t="str">
        <f t="shared" si="215"/>
        <v/>
      </c>
      <c r="P1938" s="66" t="str">
        <f t="shared" si="216"/>
        <v/>
      </c>
    </row>
    <row r="1939" spans="8:16">
      <c r="H1939" s="66" t="e">
        <f>IF(LEFT(A1939,6)="CEPNTR","GPINS",VLOOKUP(LEFT(A1939,6),'Code Library'!$A$3:$B$920,2,0))&amp;"_"&amp;RIGHT(A1939,3)</f>
        <v>#N/A</v>
      </c>
      <c r="I1939" s="66">
        <f t="shared" si="210"/>
        <v>0</v>
      </c>
      <c r="K1939" s="66" t="str">
        <f t="shared" si="211"/>
        <v/>
      </c>
      <c r="L1939" s="66" t="str">
        <f t="shared" si="212"/>
        <v/>
      </c>
      <c r="M1939" s="66" t="str">
        <f t="shared" si="213"/>
        <v/>
      </c>
      <c r="N1939" s="66" t="str">
        <f t="shared" si="214"/>
        <v/>
      </c>
      <c r="O1939" s="66" t="str">
        <f t="shared" si="215"/>
        <v/>
      </c>
      <c r="P1939" s="66" t="str">
        <f t="shared" si="216"/>
        <v/>
      </c>
    </row>
    <row r="1940" spans="8:16">
      <c r="H1940" s="66" t="e">
        <f>IF(LEFT(A1940,6)="CEPNTR","GPINS",VLOOKUP(LEFT(A1940,6),'Code Library'!$A$3:$B$920,2,0))&amp;"_"&amp;RIGHT(A1940,3)</f>
        <v>#N/A</v>
      </c>
      <c r="I1940" s="66">
        <f t="shared" si="210"/>
        <v>0</v>
      </c>
      <c r="K1940" s="66" t="str">
        <f t="shared" si="211"/>
        <v/>
      </c>
      <c r="L1940" s="66" t="str">
        <f t="shared" si="212"/>
        <v/>
      </c>
      <c r="M1940" s="66" t="str">
        <f t="shared" si="213"/>
        <v/>
      </c>
      <c r="N1940" s="66" t="str">
        <f t="shared" si="214"/>
        <v/>
      </c>
      <c r="O1940" s="66" t="str">
        <f t="shared" si="215"/>
        <v/>
      </c>
      <c r="P1940" s="66" t="str">
        <f t="shared" si="216"/>
        <v/>
      </c>
    </row>
    <row r="1941" spans="8:16">
      <c r="H1941" s="66" t="e">
        <f>IF(LEFT(A1941,6)="CEPNTR","GPINS",VLOOKUP(LEFT(A1941,6),'Code Library'!$A$3:$B$920,2,0))&amp;"_"&amp;RIGHT(A1941,3)</f>
        <v>#N/A</v>
      </c>
      <c r="I1941" s="66">
        <f t="shared" si="210"/>
        <v>0</v>
      </c>
      <c r="K1941" s="66" t="str">
        <f t="shared" si="211"/>
        <v/>
      </c>
      <c r="L1941" s="66" t="str">
        <f t="shared" si="212"/>
        <v/>
      </c>
      <c r="M1941" s="66" t="str">
        <f t="shared" si="213"/>
        <v/>
      </c>
      <c r="N1941" s="66" t="str">
        <f t="shared" si="214"/>
        <v/>
      </c>
      <c r="O1941" s="66" t="str">
        <f t="shared" si="215"/>
        <v/>
      </c>
      <c r="P1941" s="66" t="str">
        <f t="shared" si="216"/>
        <v/>
      </c>
    </row>
    <row r="1942" spans="8:16">
      <c r="H1942" s="66" t="e">
        <f>IF(LEFT(A1942,6)="CEPNTR","GPINS",VLOOKUP(LEFT(A1942,6),'Code Library'!$A$3:$B$920,2,0))&amp;"_"&amp;RIGHT(A1942,3)</f>
        <v>#N/A</v>
      </c>
      <c r="I1942" s="66">
        <f t="shared" si="210"/>
        <v>0</v>
      </c>
      <c r="K1942" s="66" t="str">
        <f t="shared" si="211"/>
        <v/>
      </c>
      <c r="L1942" s="66" t="str">
        <f t="shared" si="212"/>
        <v/>
      </c>
      <c r="M1942" s="66" t="str">
        <f t="shared" si="213"/>
        <v/>
      </c>
      <c r="N1942" s="66" t="str">
        <f t="shared" si="214"/>
        <v/>
      </c>
      <c r="O1942" s="66" t="str">
        <f t="shared" si="215"/>
        <v/>
      </c>
      <c r="P1942" s="66" t="str">
        <f t="shared" si="216"/>
        <v/>
      </c>
    </row>
    <row r="1943" spans="8:16">
      <c r="H1943" s="66" t="e">
        <f>IF(LEFT(A1943,6)="CEPNTR","GPINS",VLOOKUP(LEFT(A1943,6),'Code Library'!$A$3:$B$920,2,0))&amp;"_"&amp;RIGHT(A1943,3)</f>
        <v>#N/A</v>
      </c>
      <c r="I1943" s="66">
        <f t="shared" si="210"/>
        <v>0</v>
      </c>
      <c r="K1943" s="66" t="str">
        <f t="shared" si="211"/>
        <v/>
      </c>
      <c r="L1943" s="66" t="str">
        <f t="shared" si="212"/>
        <v/>
      </c>
      <c r="M1943" s="66" t="str">
        <f t="shared" si="213"/>
        <v/>
      </c>
      <c r="N1943" s="66" t="str">
        <f t="shared" si="214"/>
        <v/>
      </c>
      <c r="O1943" s="66" t="str">
        <f t="shared" si="215"/>
        <v/>
      </c>
      <c r="P1943" s="66" t="str">
        <f t="shared" si="216"/>
        <v/>
      </c>
    </row>
    <row r="1944" spans="8:16">
      <c r="H1944" s="66" t="e">
        <f>IF(LEFT(A1944,6)="CEPNTR","GPINS",VLOOKUP(LEFT(A1944,6),'Code Library'!$A$3:$B$920,2,0))&amp;"_"&amp;RIGHT(A1944,3)</f>
        <v>#N/A</v>
      </c>
      <c r="I1944" s="66">
        <f t="shared" si="210"/>
        <v>0</v>
      </c>
      <c r="K1944" s="66" t="str">
        <f t="shared" si="211"/>
        <v/>
      </c>
      <c r="L1944" s="66" t="str">
        <f t="shared" si="212"/>
        <v/>
      </c>
      <c r="M1944" s="66" t="str">
        <f t="shared" si="213"/>
        <v/>
      </c>
      <c r="N1944" s="66" t="str">
        <f t="shared" si="214"/>
        <v/>
      </c>
      <c r="O1944" s="66" t="str">
        <f t="shared" si="215"/>
        <v/>
      </c>
      <c r="P1944" s="66" t="str">
        <f t="shared" si="216"/>
        <v/>
      </c>
    </row>
    <row r="1945" spans="8:16">
      <c r="H1945" s="66" t="e">
        <f>IF(LEFT(A1945,6)="CEPNTR","GPINS",VLOOKUP(LEFT(A1945,6),'Code Library'!$A$3:$B$920,2,0))&amp;"_"&amp;RIGHT(A1945,3)</f>
        <v>#N/A</v>
      </c>
      <c r="I1945" s="66">
        <f t="shared" si="210"/>
        <v>0</v>
      </c>
      <c r="K1945" s="66" t="str">
        <f t="shared" si="211"/>
        <v/>
      </c>
      <c r="L1945" s="66" t="str">
        <f t="shared" si="212"/>
        <v/>
      </c>
      <c r="M1945" s="66" t="str">
        <f t="shared" si="213"/>
        <v/>
      </c>
      <c r="N1945" s="66" t="str">
        <f t="shared" si="214"/>
        <v/>
      </c>
      <c r="O1945" s="66" t="str">
        <f t="shared" si="215"/>
        <v/>
      </c>
      <c r="P1945" s="66" t="str">
        <f t="shared" si="216"/>
        <v/>
      </c>
    </row>
    <row r="1946" spans="8:16">
      <c r="H1946" s="66" t="e">
        <f>IF(LEFT(A1946,6)="CEPNTR","GPINS",VLOOKUP(LEFT(A1946,6),'Code Library'!$A$3:$B$920,2,0))&amp;"_"&amp;RIGHT(A1946,3)</f>
        <v>#N/A</v>
      </c>
      <c r="I1946" s="66">
        <f t="shared" si="210"/>
        <v>0</v>
      </c>
      <c r="K1946" s="66" t="str">
        <f t="shared" si="211"/>
        <v/>
      </c>
      <c r="L1946" s="66" t="str">
        <f t="shared" si="212"/>
        <v/>
      </c>
      <c r="M1946" s="66" t="str">
        <f t="shared" si="213"/>
        <v/>
      </c>
      <c r="N1946" s="66" t="str">
        <f t="shared" si="214"/>
        <v/>
      </c>
      <c r="O1946" s="66" t="str">
        <f t="shared" si="215"/>
        <v/>
      </c>
      <c r="P1946" s="66" t="str">
        <f t="shared" si="216"/>
        <v/>
      </c>
    </row>
    <row r="1947" spans="8:16">
      <c r="H1947" s="66" t="e">
        <f>IF(LEFT(A1947,6)="CEPNTR","GPINS",VLOOKUP(LEFT(A1947,6),'Code Library'!$A$3:$B$920,2,0))&amp;"_"&amp;RIGHT(A1947,3)</f>
        <v>#N/A</v>
      </c>
      <c r="I1947" s="66">
        <f t="shared" si="210"/>
        <v>0</v>
      </c>
      <c r="K1947" s="66" t="str">
        <f t="shared" si="211"/>
        <v/>
      </c>
      <c r="L1947" s="66" t="str">
        <f t="shared" si="212"/>
        <v/>
      </c>
      <c r="M1947" s="66" t="str">
        <f t="shared" si="213"/>
        <v/>
      </c>
      <c r="N1947" s="66" t="str">
        <f t="shared" si="214"/>
        <v/>
      </c>
      <c r="O1947" s="66" t="str">
        <f t="shared" si="215"/>
        <v/>
      </c>
      <c r="P1947" s="66" t="str">
        <f t="shared" si="216"/>
        <v/>
      </c>
    </row>
    <row r="1948" spans="8:16">
      <c r="H1948" s="66" t="e">
        <f>IF(LEFT(A1948,6)="CEPNTR","GPINS",VLOOKUP(LEFT(A1948,6),'Code Library'!$A$3:$B$920,2,0))&amp;"_"&amp;RIGHT(A1948,3)</f>
        <v>#N/A</v>
      </c>
      <c r="I1948" s="66">
        <f t="shared" si="210"/>
        <v>0</v>
      </c>
      <c r="K1948" s="66" t="str">
        <f t="shared" si="211"/>
        <v/>
      </c>
      <c r="L1948" s="66" t="str">
        <f t="shared" si="212"/>
        <v/>
      </c>
      <c r="M1948" s="66" t="str">
        <f t="shared" si="213"/>
        <v/>
      </c>
      <c r="N1948" s="66" t="str">
        <f t="shared" si="214"/>
        <v/>
      </c>
      <c r="O1948" s="66" t="str">
        <f t="shared" si="215"/>
        <v/>
      </c>
      <c r="P1948" s="66" t="str">
        <f t="shared" si="216"/>
        <v/>
      </c>
    </row>
    <row r="1949" spans="8:16">
      <c r="H1949" s="66" t="e">
        <f>IF(LEFT(A1949,6)="CEPNTR","GPINS",VLOOKUP(LEFT(A1949,6),'Code Library'!$A$3:$B$920,2,0))&amp;"_"&amp;RIGHT(A1949,3)</f>
        <v>#N/A</v>
      </c>
      <c r="I1949" s="66">
        <f t="shared" si="210"/>
        <v>0</v>
      </c>
      <c r="K1949" s="66" t="str">
        <f t="shared" si="211"/>
        <v/>
      </c>
      <c r="L1949" s="66" t="str">
        <f t="shared" si="212"/>
        <v/>
      </c>
      <c r="M1949" s="66" t="str">
        <f t="shared" si="213"/>
        <v/>
      </c>
      <c r="N1949" s="66" t="str">
        <f t="shared" si="214"/>
        <v/>
      </c>
      <c r="O1949" s="66" t="str">
        <f t="shared" si="215"/>
        <v/>
      </c>
      <c r="P1949" s="66" t="str">
        <f t="shared" si="216"/>
        <v/>
      </c>
    </row>
    <row r="1950" spans="8:16">
      <c r="H1950" s="66" t="e">
        <f>IF(LEFT(A1950,6)="CEPNTR","GPINS",VLOOKUP(LEFT(A1950,6),'Code Library'!$A$3:$B$920,2,0))&amp;"_"&amp;RIGHT(A1950,3)</f>
        <v>#N/A</v>
      </c>
      <c r="I1950" s="66">
        <f t="shared" si="210"/>
        <v>0</v>
      </c>
      <c r="K1950" s="66" t="str">
        <f t="shared" si="211"/>
        <v/>
      </c>
      <c r="L1950" s="66" t="str">
        <f t="shared" si="212"/>
        <v/>
      </c>
      <c r="M1950" s="66" t="str">
        <f t="shared" si="213"/>
        <v/>
      </c>
      <c r="N1950" s="66" t="str">
        <f t="shared" si="214"/>
        <v/>
      </c>
      <c r="O1950" s="66" t="str">
        <f t="shared" si="215"/>
        <v/>
      </c>
      <c r="P1950" s="66" t="str">
        <f t="shared" si="216"/>
        <v/>
      </c>
    </row>
    <row r="1951" spans="8:16">
      <c r="H1951" s="66" t="e">
        <f>IF(LEFT(A1951,6)="CEPNTR","GPINS",VLOOKUP(LEFT(A1951,6),'Code Library'!$A$3:$B$920,2,0))&amp;"_"&amp;RIGHT(A1951,3)</f>
        <v>#N/A</v>
      </c>
      <c r="I1951" s="66">
        <f t="shared" si="210"/>
        <v>0</v>
      </c>
      <c r="K1951" s="66" t="str">
        <f t="shared" si="211"/>
        <v/>
      </c>
      <c r="L1951" s="66" t="str">
        <f t="shared" si="212"/>
        <v/>
      </c>
      <c r="M1951" s="66" t="str">
        <f t="shared" si="213"/>
        <v/>
      </c>
      <c r="N1951" s="66" t="str">
        <f t="shared" si="214"/>
        <v/>
      </c>
      <c r="O1951" s="66" t="str">
        <f t="shared" si="215"/>
        <v/>
      </c>
      <c r="P1951" s="66" t="str">
        <f t="shared" si="216"/>
        <v/>
      </c>
    </row>
    <row r="1952" spans="8:16">
      <c r="H1952" s="66" t="e">
        <f>IF(LEFT(A1952,6)="CEPNTR","GPINS",VLOOKUP(LEFT(A1952,6),'Code Library'!$A$3:$B$920,2,0))&amp;"_"&amp;RIGHT(A1952,3)</f>
        <v>#N/A</v>
      </c>
      <c r="I1952" s="66">
        <f t="shared" si="210"/>
        <v>0</v>
      </c>
      <c r="K1952" s="66" t="str">
        <f t="shared" si="211"/>
        <v/>
      </c>
      <c r="L1952" s="66" t="str">
        <f t="shared" si="212"/>
        <v/>
      </c>
      <c r="M1952" s="66" t="str">
        <f t="shared" si="213"/>
        <v/>
      </c>
      <c r="N1952" s="66" t="str">
        <f t="shared" si="214"/>
        <v/>
      </c>
      <c r="O1952" s="66" t="str">
        <f t="shared" si="215"/>
        <v/>
      </c>
      <c r="P1952" s="66" t="str">
        <f t="shared" si="216"/>
        <v/>
      </c>
    </row>
    <row r="1953" spans="8:16">
      <c r="H1953" s="66" t="e">
        <f>IF(LEFT(A1953,6)="CEPNTR","GPINS",VLOOKUP(LEFT(A1953,6),'Code Library'!$A$3:$B$920,2,0))&amp;"_"&amp;RIGHT(A1953,3)</f>
        <v>#N/A</v>
      </c>
      <c r="I1953" s="66">
        <f t="shared" si="210"/>
        <v>0</v>
      </c>
      <c r="K1953" s="66" t="str">
        <f t="shared" si="211"/>
        <v/>
      </c>
      <c r="L1953" s="66" t="str">
        <f t="shared" si="212"/>
        <v/>
      </c>
      <c r="M1953" s="66" t="str">
        <f t="shared" si="213"/>
        <v/>
      </c>
      <c r="N1953" s="66" t="str">
        <f t="shared" si="214"/>
        <v/>
      </c>
      <c r="O1953" s="66" t="str">
        <f t="shared" si="215"/>
        <v/>
      </c>
      <c r="P1953" s="66" t="str">
        <f t="shared" si="216"/>
        <v/>
      </c>
    </row>
    <row r="1954" spans="8:16">
      <c r="H1954" s="66" t="e">
        <f>IF(LEFT(A1954,6)="CEPNTR","GPINS",VLOOKUP(LEFT(A1954,6),'Code Library'!$A$3:$B$920,2,0))&amp;"_"&amp;RIGHT(A1954,3)</f>
        <v>#N/A</v>
      </c>
      <c r="I1954" s="66">
        <f t="shared" si="210"/>
        <v>0</v>
      </c>
      <c r="K1954" s="66" t="str">
        <f t="shared" si="211"/>
        <v/>
      </c>
      <c r="L1954" s="66" t="str">
        <f t="shared" si="212"/>
        <v/>
      </c>
      <c r="M1954" s="66" t="str">
        <f t="shared" si="213"/>
        <v/>
      </c>
      <c r="N1954" s="66" t="str">
        <f t="shared" si="214"/>
        <v/>
      </c>
      <c r="O1954" s="66" t="str">
        <f t="shared" si="215"/>
        <v/>
      </c>
      <c r="P1954" s="66" t="str">
        <f t="shared" si="216"/>
        <v/>
      </c>
    </row>
    <row r="1955" spans="8:16">
      <c r="H1955" s="66" t="e">
        <f>IF(LEFT(A1955,6)="CEPNTR","GPINS",VLOOKUP(LEFT(A1955,6),'Code Library'!$A$3:$B$920,2,0))&amp;"_"&amp;RIGHT(A1955,3)</f>
        <v>#N/A</v>
      </c>
      <c r="I1955" s="66">
        <f t="shared" si="210"/>
        <v>0</v>
      </c>
      <c r="K1955" s="66" t="str">
        <f t="shared" si="211"/>
        <v/>
      </c>
      <c r="L1955" s="66" t="str">
        <f t="shared" si="212"/>
        <v/>
      </c>
      <c r="M1955" s="66" t="str">
        <f t="shared" si="213"/>
        <v/>
      </c>
      <c r="N1955" s="66" t="str">
        <f t="shared" si="214"/>
        <v/>
      </c>
      <c r="O1955" s="66" t="str">
        <f t="shared" si="215"/>
        <v/>
      </c>
      <c r="P1955" s="66" t="str">
        <f t="shared" si="216"/>
        <v/>
      </c>
    </row>
    <row r="1956" spans="8:16">
      <c r="H1956" s="66" t="e">
        <f>IF(LEFT(A1956,6)="CEPNTR","GPINS",VLOOKUP(LEFT(A1956,6),'Code Library'!$A$3:$B$920,2,0))&amp;"_"&amp;RIGHT(A1956,3)</f>
        <v>#N/A</v>
      </c>
      <c r="I1956" s="66">
        <f t="shared" si="210"/>
        <v>0</v>
      </c>
      <c r="K1956" s="66" t="str">
        <f t="shared" si="211"/>
        <v/>
      </c>
      <c r="L1956" s="66" t="str">
        <f t="shared" si="212"/>
        <v/>
      </c>
      <c r="M1956" s="66" t="str">
        <f t="shared" si="213"/>
        <v/>
      </c>
      <c r="N1956" s="66" t="str">
        <f t="shared" si="214"/>
        <v/>
      </c>
      <c r="O1956" s="66" t="str">
        <f t="shared" si="215"/>
        <v/>
      </c>
      <c r="P1956" s="66" t="str">
        <f t="shared" si="216"/>
        <v/>
      </c>
    </row>
    <row r="1957" spans="8:16">
      <c r="H1957" s="66" t="e">
        <f>IF(LEFT(A1957,6)="CEPNTR","GPINS",VLOOKUP(LEFT(A1957,6),'Code Library'!$A$3:$B$920,2,0))&amp;"_"&amp;RIGHT(A1957,3)</f>
        <v>#N/A</v>
      </c>
      <c r="I1957" s="66">
        <f t="shared" si="210"/>
        <v>0</v>
      </c>
      <c r="K1957" s="66" t="str">
        <f t="shared" si="211"/>
        <v/>
      </c>
      <c r="L1957" s="66" t="str">
        <f t="shared" si="212"/>
        <v/>
      </c>
      <c r="M1957" s="66" t="str">
        <f t="shared" si="213"/>
        <v/>
      </c>
      <c r="N1957" s="66" t="str">
        <f t="shared" si="214"/>
        <v/>
      </c>
      <c r="O1957" s="66" t="str">
        <f t="shared" si="215"/>
        <v/>
      </c>
      <c r="P1957" s="66" t="str">
        <f t="shared" si="216"/>
        <v/>
      </c>
    </row>
    <row r="1958" spans="8:16">
      <c r="H1958" s="66" t="e">
        <f>IF(LEFT(A1958,6)="CEPNTR","GPINS",VLOOKUP(LEFT(A1958,6),'Code Library'!$A$3:$B$920,2,0))&amp;"_"&amp;RIGHT(A1958,3)</f>
        <v>#N/A</v>
      </c>
      <c r="I1958" s="66">
        <f t="shared" si="210"/>
        <v>0</v>
      </c>
      <c r="K1958" s="66" t="str">
        <f t="shared" si="211"/>
        <v/>
      </c>
      <c r="L1958" s="66" t="str">
        <f t="shared" si="212"/>
        <v/>
      </c>
      <c r="M1958" s="66" t="str">
        <f t="shared" si="213"/>
        <v/>
      </c>
      <c r="N1958" s="66" t="str">
        <f t="shared" si="214"/>
        <v/>
      </c>
      <c r="O1958" s="66" t="str">
        <f t="shared" si="215"/>
        <v/>
      </c>
      <c r="P1958" s="66" t="str">
        <f t="shared" si="216"/>
        <v/>
      </c>
    </row>
    <row r="1959" spans="8:16">
      <c r="H1959" s="66" t="e">
        <f>IF(LEFT(A1959,6)="CEPNTR","GPINS",VLOOKUP(LEFT(A1959,6),'Code Library'!$A$3:$B$920,2,0))&amp;"_"&amp;RIGHT(A1959,3)</f>
        <v>#N/A</v>
      </c>
      <c r="I1959" s="66">
        <f t="shared" si="210"/>
        <v>0</v>
      </c>
      <c r="K1959" s="66" t="str">
        <f t="shared" si="211"/>
        <v/>
      </c>
      <c r="L1959" s="66" t="str">
        <f t="shared" si="212"/>
        <v/>
      </c>
      <c r="M1959" s="66" t="str">
        <f t="shared" si="213"/>
        <v/>
      </c>
      <c r="N1959" s="66" t="str">
        <f t="shared" si="214"/>
        <v/>
      </c>
      <c r="O1959" s="66" t="str">
        <f t="shared" si="215"/>
        <v/>
      </c>
      <c r="P1959" s="66" t="str">
        <f t="shared" si="216"/>
        <v/>
      </c>
    </row>
    <row r="1960" spans="8:16">
      <c r="H1960" s="66" t="e">
        <f>IF(LEFT(A1960,6)="CEPNTR","GPINS",VLOOKUP(LEFT(A1960,6),'Code Library'!$A$3:$B$920,2,0))&amp;"_"&amp;RIGHT(A1960,3)</f>
        <v>#N/A</v>
      </c>
      <c r="I1960" s="66">
        <f t="shared" si="210"/>
        <v>0</v>
      </c>
      <c r="K1960" s="66" t="str">
        <f t="shared" si="211"/>
        <v/>
      </c>
      <c r="L1960" s="66" t="str">
        <f t="shared" si="212"/>
        <v/>
      </c>
      <c r="M1960" s="66" t="str">
        <f t="shared" si="213"/>
        <v/>
      </c>
      <c r="N1960" s="66" t="str">
        <f t="shared" si="214"/>
        <v/>
      </c>
      <c r="O1960" s="66" t="str">
        <f t="shared" si="215"/>
        <v/>
      </c>
      <c r="P1960" s="66" t="str">
        <f t="shared" si="216"/>
        <v/>
      </c>
    </row>
    <row r="1961" spans="8:16">
      <c r="H1961" s="66" t="e">
        <f>IF(LEFT(A1961,6)="CEPNTR","GPINS",VLOOKUP(LEFT(A1961,6),'Code Library'!$A$3:$B$920,2,0))&amp;"_"&amp;RIGHT(A1961,3)</f>
        <v>#N/A</v>
      </c>
      <c r="I1961" s="66">
        <f t="shared" si="210"/>
        <v>0</v>
      </c>
      <c r="K1961" s="66" t="str">
        <f t="shared" si="211"/>
        <v/>
      </c>
      <c r="L1961" s="66" t="str">
        <f t="shared" si="212"/>
        <v/>
      </c>
      <c r="M1961" s="66" t="str">
        <f t="shared" si="213"/>
        <v/>
      </c>
      <c r="N1961" s="66" t="str">
        <f t="shared" si="214"/>
        <v/>
      </c>
      <c r="O1961" s="66" t="str">
        <f t="shared" si="215"/>
        <v/>
      </c>
      <c r="P1961" s="66" t="str">
        <f t="shared" si="216"/>
        <v/>
      </c>
    </row>
    <row r="1962" spans="8:16">
      <c r="H1962" s="66" t="e">
        <f>IF(LEFT(A1962,6)="CEPNTR","GPINS",VLOOKUP(LEFT(A1962,6),'Code Library'!$A$3:$B$920,2,0))&amp;"_"&amp;RIGHT(A1962,3)</f>
        <v>#N/A</v>
      </c>
      <c r="I1962" s="66">
        <f t="shared" si="210"/>
        <v>0</v>
      </c>
      <c r="K1962" s="66" t="str">
        <f t="shared" si="211"/>
        <v/>
      </c>
      <c r="L1962" s="66" t="str">
        <f t="shared" si="212"/>
        <v/>
      </c>
      <c r="M1962" s="66" t="str">
        <f t="shared" si="213"/>
        <v/>
      </c>
      <c r="N1962" s="66" t="str">
        <f t="shared" si="214"/>
        <v/>
      </c>
      <c r="O1962" s="66" t="str">
        <f t="shared" si="215"/>
        <v/>
      </c>
      <c r="P1962" s="66" t="str">
        <f t="shared" si="216"/>
        <v/>
      </c>
    </row>
    <row r="1963" spans="8:16">
      <c r="H1963" s="66" t="e">
        <f>IF(LEFT(A1963,6)="CEPNTR","GPINS",VLOOKUP(LEFT(A1963,6),'Code Library'!$A$3:$B$920,2,0))&amp;"_"&amp;RIGHT(A1963,3)</f>
        <v>#N/A</v>
      </c>
      <c r="I1963" s="66">
        <f t="shared" si="210"/>
        <v>0</v>
      </c>
      <c r="K1963" s="66" t="str">
        <f t="shared" si="211"/>
        <v/>
      </c>
      <c r="L1963" s="66" t="str">
        <f t="shared" si="212"/>
        <v/>
      </c>
      <c r="M1963" s="66" t="str">
        <f t="shared" si="213"/>
        <v/>
      </c>
      <c r="N1963" s="66" t="str">
        <f t="shared" si="214"/>
        <v/>
      </c>
      <c r="O1963" s="66" t="str">
        <f t="shared" si="215"/>
        <v/>
      </c>
      <c r="P1963" s="66" t="str">
        <f t="shared" si="216"/>
        <v/>
      </c>
    </row>
    <row r="1964" spans="8:16">
      <c r="H1964" s="66" t="e">
        <f>IF(LEFT(A1964,6)="CEPNTR","GPINS",VLOOKUP(LEFT(A1964,6),'Code Library'!$A$3:$B$920,2,0))&amp;"_"&amp;RIGHT(A1964,3)</f>
        <v>#N/A</v>
      </c>
      <c r="I1964" s="66">
        <f t="shared" si="210"/>
        <v>0</v>
      </c>
      <c r="K1964" s="66" t="str">
        <f t="shared" si="211"/>
        <v/>
      </c>
      <c r="L1964" s="66" t="str">
        <f t="shared" si="212"/>
        <v/>
      </c>
      <c r="M1964" s="66" t="str">
        <f t="shared" si="213"/>
        <v/>
      </c>
      <c r="N1964" s="66" t="str">
        <f t="shared" si="214"/>
        <v/>
      </c>
      <c r="O1964" s="66" t="str">
        <f t="shared" si="215"/>
        <v/>
      </c>
      <c r="P1964" s="66" t="str">
        <f t="shared" si="216"/>
        <v/>
      </c>
    </row>
    <row r="1965" spans="8:16">
      <c r="H1965" s="66" t="e">
        <f>IF(LEFT(A1965,6)="CEPNTR","GPINS",VLOOKUP(LEFT(A1965,6),'Code Library'!$A$3:$B$920,2,0))&amp;"_"&amp;RIGHT(A1965,3)</f>
        <v>#N/A</v>
      </c>
      <c r="I1965" s="66">
        <f t="shared" si="210"/>
        <v>0</v>
      </c>
      <c r="K1965" s="66" t="str">
        <f t="shared" si="211"/>
        <v/>
      </c>
      <c r="L1965" s="66" t="str">
        <f t="shared" si="212"/>
        <v/>
      </c>
      <c r="M1965" s="66" t="str">
        <f t="shared" si="213"/>
        <v/>
      </c>
      <c r="N1965" s="66" t="str">
        <f t="shared" si="214"/>
        <v/>
      </c>
      <c r="O1965" s="66" t="str">
        <f t="shared" si="215"/>
        <v/>
      </c>
      <c r="P1965" s="66" t="str">
        <f t="shared" si="216"/>
        <v/>
      </c>
    </row>
    <row r="1966" spans="8:16">
      <c r="H1966" s="66" t="e">
        <f>IF(LEFT(A1966,6)="CEPNTR","GPINS",VLOOKUP(LEFT(A1966,6),'Code Library'!$A$3:$B$920,2,0))&amp;"_"&amp;RIGHT(A1966,3)</f>
        <v>#N/A</v>
      </c>
      <c r="I1966" s="66">
        <f t="shared" si="210"/>
        <v>0</v>
      </c>
      <c r="K1966" s="66" t="str">
        <f t="shared" si="211"/>
        <v/>
      </c>
      <c r="L1966" s="66" t="str">
        <f t="shared" si="212"/>
        <v/>
      </c>
      <c r="M1966" s="66" t="str">
        <f t="shared" si="213"/>
        <v/>
      </c>
      <c r="N1966" s="66" t="str">
        <f t="shared" si="214"/>
        <v/>
      </c>
      <c r="O1966" s="66" t="str">
        <f t="shared" si="215"/>
        <v/>
      </c>
      <c r="P1966" s="66" t="str">
        <f t="shared" si="216"/>
        <v/>
      </c>
    </row>
    <row r="1967" spans="8:16">
      <c r="H1967" s="66" t="e">
        <f>IF(LEFT(A1967,6)="CEPNTR","GPINS",VLOOKUP(LEFT(A1967,6),'Code Library'!$A$3:$B$920,2,0))&amp;"_"&amp;RIGHT(A1967,3)</f>
        <v>#N/A</v>
      </c>
      <c r="I1967" s="66">
        <f t="shared" si="210"/>
        <v>0</v>
      </c>
      <c r="K1967" s="66" t="str">
        <f t="shared" si="211"/>
        <v/>
      </c>
      <c r="L1967" s="66" t="str">
        <f t="shared" si="212"/>
        <v/>
      </c>
      <c r="M1967" s="66" t="str">
        <f t="shared" si="213"/>
        <v/>
      </c>
      <c r="N1967" s="66" t="str">
        <f t="shared" si="214"/>
        <v/>
      </c>
      <c r="O1967" s="66" t="str">
        <f t="shared" si="215"/>
        <v/>
      </c>
      <c r="P1967" s="66" t="str">
        <f t="shared" si="216"/>
        <v/>
      </c>
    </row>
    <row r="1968" spans="8:16">
      <c r="H1968" s="66" t="e">
        <f>IF(LEFT(A1968,6)="CEPNTR","GPINS",VLOOKUP(LEFT(A1968,6),'Code Library'!$A$3:$B$920,2,0))&amp;"_"&amp;RIGHT(A1968,3)</f>
        <v>#N/A</v>
      </c>
      <c r="I1968" s="66">
        <f t="shared" si="210"/>
        <v>0</v>
      </c>
      <c r="K1968" s="66" t="str">
        <f t="shared" si="211"/>
        <v/>
      </c>
      <c r="L1968" s="66" t="str">
        <f t="shared" si="212"/>
        <v/>
      </c>
      <c r="M1968" s="66" t="str">
        <f t="shared" si="213"/>
        <v/>
      </c>
      <c r="N1968" s="66" t="str">
        <f t="shared" si="214"/>
        <v/>
      </c>
      <c r="O1968" s="66" t="str">
        <f t="shared" si="215"/>
        <v/>
      </c>
      <c r="P1968" s="66" t="str">
        <f t="shared" si="216"/>
        <v/>
      </c>
    </row>
    <row r="1969" spans="8:16">
      <c r="H1969" s="66" t="e">
        <f>IF(LEFT(A1969,6)="CEPNTR","GPINS",VLOOKUP(LEFT(A1969,6),'Code Library'!$A$3:$B$920,2,0))&amp;"_"&amp;RIGHT(A1969,3)</f>
        <v>#N/A</v>
      </c>
      <c r="I1969" s="66">
        <f t="shared" si="210"/>
        <v>0</v>
      </c>
      <c r="K1969" s="66" t="str">
        <f t="shared" si="211"/>
        <v/>
      </c>
      <c r="L1969" s="66" t="str">
        <f t="shared" si="212"/>
        <v/>
      </c>
      <c r="M1969" s="66" t="str">
        <f t="shared" si="213"/>
        <v/>
      </c>
      <c r="N1969" s="66" t="str">
        <f t="shared" si="214"/>
        <v/>
      </c>
      <c r="O1969" s="66" t="str">
        <f t="shared" si="215"/>
        <v/>
      </c>
      <c r="P1969" s="66" t="str">
        <f t="shared" si="216"/>
        <v/>
      </c>
    </row>
    <row r="1970" spans="8:16">
      <c r="H1970" s="66" t="e">
        <f>IF(LEFT(A1970,6)="CEPNTR","GPINS",VLOOKUP(LEFT(A1970,6),'Code Library'!$A$3:$B$920,2,0))&amp;"_"&amp;RIGHT(A1970,3)</f>
        <v>#N/A</v>
      </c>
      <c r="I1970" s="66">
        <f t="shared" si="210"/>
        <v>0</v>
      </c>
      <c r="K1970" s="66" t="str">
        <f t="shared" si="211"/>
        <v/>
      </c>
      <c r="L1970" s="66" t="str">
        <f t="shared" si="212"/>
        <v/>
      </c>
      <c r="M1970" s="66" t="str">
        <f t="shared" si="213"/>
        <v/>
      </c>
      <c r="N1970" s="66" t="str">
        <f t="shared" si="214"/>
        <v/>
      </c>
      <c r="O1970" s="66" t="str">
        <f t="shared" si="215"/>
        <v/>
      </c>
      <c r="P1970" s="66" t="str">
        <f t="shared" si="216"/>
        <v/>
      </c>
    </row>
    <row r="1971" spans="8:16">
      <c r="H1971" s="66" t="e">
        <f>IF(LEFT(A1971,6)="CEPNTR","GPINS",VLOOKUP(LEFT(A1971,6),'Code Library'!$A$3:$B$920,2,0))&amp;"_"&amp;RIGHT(A1971,3)</f>
        <v>#N/A</v>
      </c>
      <c r="I1971" s="66">
        <f t="shared" si="210"/>
        <v>0</v>
      </c>
      <c r="K1971" s="66" t="str">
        <f t="shared" si="211"/>
        <v/>
      </c>
      <c r="L1971" s="66" t="str">
        <f t="shared" si="212"/>
        <v/>
      </c>
      <c r="M1971" s="66" t="str">
        <f t="shared" si="213"/>
        <v/>
      </c>
      <c r="N1971" s="66" t="str">
        <f t="shared" si="214"/>
        <v/>
      </c>
      <c r="O1971" s="66" t="str">
        <f t="shared" si="215"/>
        <v/>
      </c>
      <c r="P1971" s="66" t="str">
        <f t="shared" si="216"/>
        <v/>
      </c>
    </row>
    <row r="1972" spans="8:16">
      <c r="H1972" s="66" t="e">
        <f>IF(LEFT(A1972,6)="CEPNTR","GPINS",VLOOKUP(LEFT(A1972,6),'Code Library'!$A$3:$B$920,2,0))&amp;"_"&amp;RIGHT(A1972,3)</f>
        <v>#N/A</v>
      </c>
      <c r="I1972" s="66">
        <f t="shared" si="210"/>
        <v>0</v>
      </c>
      <c r="K1972" s="66" t="str">
        <f t="shared" si="211"/>
        <v/>
      </c>
      <c r="L1972" s="66" t="str">
        <f t="shared" si="212"/>
        <v/>
      </c>
      <c r="M1972" s="66" t="str">
        <f t="shared" si="213"/>
        <v/>
      </c>
      <c r="N1972" s="66" t="str">
        <f t="shared" si="214"/>
        <v/>
      </c>
      <c r="O1972" s="66" t="str">
        <f t="shared" si="215"/>
        <v/>
      </c>
      <c r="P1972" s="66" t="str">
        <f t="shared" si="216"/>
        <v/>
      </c>
    </row>
    <row r="1973" spans="8:16">
      <c r="H1973" s="66" t="e">
        <f>IF(LEFT(A1973,6)="CEPNTR","GPINS",VLOOKUP(LEFT(A1973,6),'Code Library'!$A$3:$B$920,2,0))&amp;"_"&amp;RIGHT(A1973,3)</f>
        <v>#N/A</v>
      </c>
      <c r="I1973" s="66">
        <f t="shared" si="210"/>
        <v>0</v>
      </c>
      <c r="K1973" s="66" t="str">
        <f t="shared" si="211"/>
        <v/>
      </c>
      <c r="L1973" s="66" t="str">
        <f t="shared" si="212"/>
        <v/>
      </c>
      <c r="M1973" s="66" t="str">
        <f t="shared" si="213"/>
        <v/>
      </c>
      <c r="N1973" s="66" t="str">
        <f t="shared" si="214"/>
        <v/>
      </c>
      <c r="O1973" s="66" t="str">
        <f t="shared" si="215"/>
        <v/>
      </c>
      <c r="P1973" s="66" t="str">
        <f t="shared" si="216"/>
        <v/>
      </c>
    </row>
    <row r="1974" spans="8:16">
      <c r="H1974" s="66" t="e">
        <f>IF(LEFT(A1974,6)="CEPNTR","GPINS",VLOOKUP(LEFT(A1974,6),'Code Library'!$A$3:$B$920,2,0))&amp;"_"&amp;RIGHT(A1974,3)</f>
        <v>#N/A</v>
      </c>
      <c r="I1974" s="66">
        <f t="shared" si="210"/>
        <v>0</v>
      </c>
      <c r="K1974" s="66" t="str">
        <f t="shared" si="211"/>
        <v/>
      </c>
      <c r="L1974" s="66" t="str">
        <f t="shared" si="212"/>
        <v/>
      </c>
      <c r="M1974" s="66" t="str">
        <f t="shared" si="213"/>
        <v/>
      </c>
      <c r="N1974" s="66" t="str">
        <f t="shared" si="214"/>
        <v/>
      </c>
      <c r="O1974" s="66" t="str">
        <f t="shared" si="215"/>
        <v/>
      </c>
      <c r="P1974" s="66" t="str">
        <f t="shared" si="216"/>
        <v/>
      </c>
    </row>
    <row r="1975" spans="8:16">
      <c r="H1975" s="66" t="e">
        <f>IF(LEFT(A1975,6)="CEPNTR","GPINS",VLOOKUP(LEFT(A1975,6),'Code Library'!$A$3:$B$920,2,0))&amp;"_"&amp;RIGHT(A1975,3)</f>
        <v>#N/A</v>
      </c>
      <c r="I1975" s="66">
        <f t="shared" si="210"/>
        <v>0</v>
      </c>
      <c r="K1975" s="66" t="str">
        <f t="shared" si="211"/>
        <v/>
      </c>
      <c r="L1975" s="66" t="str">
        <f t="shared" si="212"/>
        <v/>
      </c>
      <c r="M1975" s="66" t="str">
        <f t="shared" si="213"/>
        <v/>
      </c>
      <c r="N1975" s="66" t="str">
        <f t="shared" si="214"/>
        <v/>
      </c>
      <c r="O1975" s="66" t="str">
        <f t="shared" si="215"/>
        <v/>
      </c>
      <c r="P1975" s="66" t="str">
        <f t="shared" si="216"/>
        <v/>
      </c>
    </row>
    <row r="1976" spans="8:16">
      <c r="H1976" s="66" t="e">
        <f>IF(LEFT(A1976,6)="CEPNTR","GPINS",VLOOKUP(LEFT(A1976,6),'Code Library'!$A$3:$B$920,2,0))&amp;"_"&amp;RIGHT(A1976,3)</f>
        <v>#N/A</v>
      </c>
      <c r="I1976" s="66">
        <f t="shared" si="210"/>
        <v>0</v>
      </c>
      <c r="K1976" s="66" t="str">
        <f t="shared" si="211"/>
        <v/>
      </c>
      <c r="L1976" s="66" t="str">
        <f t="shared" si="212"/>
        <v/>
      </c>
      <c r="M1976" s="66" t="str">
        <f t="shared" si="213"/>
        <v/>
      </c>
      <c r="N1976" s="66" t="str">
        <f t="shared" si="214"/>
        <v/>
      </c>
      <c r="O1976" s="66" t="str">
        <f t="shared" si="215"/>
        <v/>
      </c>
      <c r="P1976" s="66" t="str">
        <f t="shared" si="216"/>
        <v/>
      </c>
    </row>
    <row r="1977" spans="8:16">
      <c r="H1977" s="66" t="e">
        <f>IF(LEFT(A1977,6)="CEPNTR","GPINS",VLOOKUP(LEFT(A1977,6),'Code Library'!$A$3:$B$920,2,0))&amp;"_"&amp;RIGHT(A1977,3)</f>
        <v>#N/A</v>
      </c>
      <c r="I1977" s="66">
        <f t="shared" si="210"/>
        <v>0</v>
      </c>
      <c r="K1977" s="66" t="str">
        <f t="shared" si="211"/>
        <v/>
      </c>
      <c r="L1977" s="66" t="str">
        <f t="shared" si="212"/>
        <v/>
      </c>
      <c r="M1977" s="66" t="str">
        <f t="shared" si="213"/>
        <v/>
      </c>
      <c r="N1977" s="66" t="str">
        <f t="shared" si="214"/>
        <v/>
      </c>
      <c r="O1977" s="66" t="str">
        <f t="shared" si="215"/>
        <v/>
      </c>
      <c r="P1977" s="66" t="str">
        <f t="shared" si="216"/>
        <v/>
      </c>
    </row>
    <row r="1978" spans="8:16">
      <c r="H1978" s="66" t="e">
        <f>IF(LEFT(A1978,6)="CEPNTR","GPINS",VLOOKUP(LEFT(A1978,6),'Code Library'!$A$3:$B$920,2,0))&amp;"_"&amp;RIGHT(A1978,3)</f>
        <v>#N/A</v>
      </c>
      <c r="I1978" s="66">
        <f t="shared" si="210"/>
        <v>0</v>
      </c>
      <c r="K1978" s="66" t="str">
        <f t="shared" si="211"/>
        <v/>
      </c>
      <c r="L1978" s="66" t="str">
        <f t="shared" si="212"/>
        <v/>
      </c>
      <c r="M1978" s="66" t="str">
        <f t="shared" si="213"/>
        <v/>
      </c>
      <c r="N1978" s="66" t="str">
        <f t="shared" si="214"/>
        <v/>
      </c>
      <c r="O1978" s="66" t="str">
        <f t="shared" si="215"/>
        <v/>
      </c>
      <c r="P1978" s="66" t="str">
        <f t="shared" si="216"/>
        <v/>
      </c>
    </row>
    <row r="1979" spans="8:16">
      <c r="H1979" s="66" t="e">
        <f>IF(LEFT(A1979,6)="CEPNTR","GPINS",VLOOKUP(LEFT(A1979,6),'Code Library'!$A$3:$B$920,2,0))&amp;"_"&amp;RIGHT(A1979,3)</f>
        <v>#N/A</v>
      </c>
      <c r="I1979" s="66">
        <f t="shared" si="210"/>
        <v>0</v>
      </c>
      <c r="K1979" s="66" t="str">
        <f t="shared" si="211"/>
        <v/>
      </c>
      <c r="L1979" s="66" t="str">
        <f t="shared" si="212"/>
        <v/>
      </c>
      <c r="M1979" s="66" t="str">
        <f t="shared" si="213"/>
        <v/>
      </c>
      <c r="N1979" s="66" t="str">
        <f t="shared" si="214"/>
        <v/>
      </c>
      <c r="O1979" s="66" t="str">
        <f t="shared" si="215"/>
        <v/>
      </c>
      <c r="P1979" s="66" t="str">
        <f t="shared" si="216"/>
        <v/>
      </c>
    </row>
    <row r="1980" spans="8:16">
      <c r="H1980" s="66" t="e">
        <f>IF(LEFT(A1980,6)="CEPNTR","GPINS",VLOOKUP(LEFT(A1980,6),'Code Library'!$A$3:$B$920,2,0))&amp;"_"&amp;RIGHT(A1980,3)</f>
        <v>#N/A</v>
      </c>
      <c r="I1980" s="66">
        <f t="shared" si="210"/>
        <v>0</v>
      </c>
      <c r="K1980" s="66" t="str">
        <f t="shared" si="211"/>
        <v/>
      </c>
      <c r="L1980" s="66" t="str">
        <f t="shared" si="212"/>
        <v/>
      </c>
      <c r="M1980" s="66" t="str">
        <f t="shared" si="213"/>
        <v/>
      </c>
      <c r="N1980" s="66" t="str">
        <f t="shared" si="214"/>
        <v/>
      </c>
      <c r="O1980" s="66" t="str">
        <f t="shared" si="215"/>
        <v/>
      </c>
      <c r="P1980" s="66" t="str">
        <f t="shared" si="216"/>
        <v/>
      </c>
    </row>
    <row r="1981" spans="8:16">
      <c r="H1981" s="66" t="e">
        <f>IF(LEFT(A1981,6)="CEPNTR","GPINS",VLOOKUP(LEFT(A1981,6),'Code Library'!$A$3:$B$920,2,0))&amp;"_"&amp;RIGHT(A1981,3)</f>
        <v>#N/A</v>
      </c>
      <c r="I1981" s="66">
        <f t="shared" si="210"/>
        <v>0</v>
      </c>
      <c r="K1981" s="66" t="str">
        <f t="shared" si="211"/>
        <v/>
      </c>
      <c r="L1981" s="66" t="str">
        <f t="shared" si="212"/>
        <v/>
      </c>
      <c r="M1981" s="66" t="str">
        <f t="shared" si="213"/>
        <v/>
      </c>
      <c r="N1981" s="66" t="str">
        <f t="shared" si="214"/>
        <v/>
      </c>
      <c r="O1981" s="66" t="str">
        <f t="shared" si="215"/>
        <v/>
      </c>
      <c r="P1981" s="66" t="str">
        <f t="shared" si="216"/>
        <v/>
      </c>
    </row>
    <row r="1982" spans="8:16">
      <c r="H1982" s="66" t="e">
        <f>IF(LEFT(A1982,6)="CEPNTR","GPINS",VLOOKUP(LEFT(A1982,6),'Code Library'!$A$3:$B$920,2,0))&amp;"_"&amp;RIGHT(A1982,3)</f>
        <v>#N/A</v>
      </c>
      <c r="I1982" s="66">
        <f t="shared" si="210"/>
        <v>0</v>
      </c>
      <c r="K1982" s="66" t="str">
        <f t="shared" si="211"/>
        <v/>
      </c>
      <c r="L1982" s="66" t="str">
        <f t="shared" si="212"/>
        <v/>
      </c>
      <c r="M1982" s="66" t="str">
        <f t="shared" si="213"/>
        <v/>
      </c>
      <c r="N1982" s="66" t="str">
        <f t="shared" si="214"/>
        <v/>
      </c>
      <c r="O1982" s="66" t="str">
        <f t="shared" si="215"/>
        <v/>
      </c>
      <c r="P1982" s="66" t="str">
        <f t="shared" si="216"/>
        <v/>
      </c>
    </row>
    <row r="1983" spans="8:16">
      <c r="H1983" s="66" t="e">
        <f>IF(LEFT(A1983,6)="CEPNTR","GPINS",VLOOKUP(LEFT(A1983,6),'Code Library'!$A$3:$B$920,2,0))&amp;"_"&amp;RIGHT(A1983,3)</f>
        <v>#N/A</v>
      </c>
      <c r="I1983" s="66">
        <f t="shared" si="210"/>
        <v>0</v>
      </c>
      <c r="K1983" s="66" t="str">
        <f t="shared" si="211"/>
        <v/>
      </c>
      <c r="L1983" s="66" t="str">
        <f t="shared" si="212"/>
        <v/>
      </c>
      <c r="M1983" s="66" t="str">
        <f t="shared" si="213"/>
        <v/>
      </c>
      <c r="N1983" s="66" t="str">
        <f t="shared" si="214"/>
        <v/>
      </c>
      <c r="O1983" s="66" t="str">
        <f t="shared" si="215"/>
        <v/>
      </c>
      <c r="P1983" s="66" t="str">
        <f t="shared" si="216"/>
        <v/>
      </c>
    </row>
    <row r="1984" spans="8:16">
      <c r="H1984" s="66" t="e">
        <f>IF(LEFT(A1984,6)="CEPNTR","GPINS",VLOOKUP(LEFT(A1984,6),'Code Library'!$A$3:$B$920,2,0))&amp;"_"&amp;RIGHT(A1984,3)</f>
        <v>#N/A</v>
      </c>
      <c r="I1984" s="66">
        <f t="shared" si="210"/>
        <v>0</v>
      </c>
      <c r="K1984" s="66" t="str">
        <f t="shared" si="211"/>
        <v/>
      </c>
      <c r="L1984" s="66" t="str">
        <f t="shared" si="212"/>
        <v/>
      </c>
      <c r="M1984" s="66" t="str">
        <f t="shared" si="213"/>
        <v/>
      </c>
      <c r="N1984" s="66" t="str">
        <f t="shared" si="214"/>
        <v/>
      </c>
      <c r="O1984" s="66" t="str">
        <f t="shared" si="215"/>
        <v/>
      </c>
      <c r="P1984" s="66" t="str">
        <f t="shared" si="216"/>
        <v/>
      </c>
    </row>
    <row r="1985" spans="8:16">
      <c r="H1985" s="66" t="e">
        <f>IF(LEFT(A1985,6)="CEPNTR","GPINS",VLOOKUP(LEFT(A1985,6),'Code Library'!$A$3:$B$920,2,0))&amp;"_"&amp;RIGHT(A1985,3)</f>
        <v>#N/A</v>
      </c>
      <c r="I1985" s="66">
        <f t="shared" si="210"/>
        <v>0</v>
      </c>
      <c r="K1985" s="66" t="str">
        <f t="shared" si="211"/>
        <v/>
      </c>
      <c r="L1985" s="66" t="str">
        <f t="shared" si="212"/>
        <v/>
      </c>
      <c r="M1985" s="66" t="str">
        <f t="shared" si="213"/>
        <v/>
      </c>
      <c r="N1985" s="66" t="str">
        <f t="shared" si="214"/>
        <v/>
      </c>
      <c r="O1985" s="66" t="str">
        <f t="shared" si="215"/>
        <v/>
      </c>
      <c r="P1985" s="66" t="str">
        <f t="shared" si="216"/>
        <v/>
      </c>
    </row>
    <row r="1986" spans="8:16">
      <c r="H1986" s="66" t="e">
        <f>IF(LEFT(A1986,6)="CEPNTR","GPINS",VLOOKUP(LEFT(A1986,6),'Code Library'!$A$3:$B$920,2,0))&amp;"_"&amp;RIGHT(A1986,3)</f>
        <v>#N/A</v>
      </c>
      <c r="I1986" s="66">
        <f t="shared" si="210"/>
        <v>0</v>
      </c>
      <c r="K1986" s="66" t="str">
        <f t="shared" si="211"/>
        <v/>
      </c>
      <c r="L1986" s="66" t="str">
        <f t="shared" si="212"/>
        <v/>
      </c>
      <c r="M1986" s="66" t="str">
        <f t="shared" si="213"/>
        <v/>
      </c>
      <c r="N1986" s="66" t="str">
        <f t="shared" si="214"/>
        <v/>
      </c>
      <c r="O1986" s="66" t="str">
        <f t="shared" si="215"/>
        <v/>
      </c>
      <c r="P1986" s="66" t="str">
        <f t="shared" si="216"/>
        <v/>
      </c>
    </row>
    <row r="1987" spans="8:16">
      <c r="H1987" s="66" t="e">
        <f>IF(LEFT(A1987,6)="CEPNTR","GPINS",VLOOKUP(LEFT(A1987,6),'Code Library'!$A$3:$B$920,2,0))&amp;"_"&amp;RIGHT(A1987,3)</f>
        <v>#N/A</v>
      </c>
      <c r="I1987" s="66">
        <f t="shared" ref="I1987:I2050" si="217">A1987</f>
        <v>0</v>
      </c>
      <c r="K1987" s="66" t="str">
        <f t="shared" ref="K1987:K2050" si="218">RIGHT($B1987,2)</f>
        <v/>
      </c>
      <c r="L1987" s="66" t="str">
        <f t="shared" ref="L1987:L2050" si="219">LEFT(RIGHT($B1987,7),4)</f>
        <v/>
      </c>
      <c r="M1987" s="66" t="str">
        <f t="shared" ref="M1987:M2050" si="220">LEFT(RIGHT($B1987,10),2)</f>
        <v/>
      </c>
      <c r="N1987" s="66" t="str">
        <f t="shared" ref="N1987:N2050" si="221">LEFT(RIGHT($B1987,14),3)</f>
        <v/>
      </c>
      <c r="O1987" s="66" t="str">
        <f t="shared" ref="O1987:O2050" si="222">LEFT(RIGHT($B1987,16),1)</f>
        <v/>
      </c>
      <c r="P1987" s="66" t="str">
        <f t="shared" ref="P1987:P2050" si="223">LEFT(RIGHT($B1987,19),2)</f>
        <v/>
      </c>
    </row>
    <row r="1988" spans="8:16">
      <c r="H1988" s="66" t="e">
        <f>IF(LEFT(A1988,6)="CEPNTR","GPINS",VLOOKUP(LEFT(A1988,6),'Code Library'!$A$3:$B$920,2,0))&amp;"_"&amp;RIGHT(A1988,3)</f>
        <v>#N/A</v>
      </c>
      <c r="I1988" s="66">
        <f t="shared" si="217"/>
        <v>0</v>
      </c>
      <c r="K1988" s="66" t="str">
        <f t="shared" si="218"/>
        <v/>
      </c>
      <c r="L1988" s="66" t="str">
        <f t="shared" si="219"/>
        <v/>
      </c>
      <c r="M1988" s="66" t="str">
        <f t="shared" si="220"/>
        <v/>
      </c>
      <c r="N1988" s="66" t="str">
        <f t="shared" si="221"/>
        <v/>
      </c>
      <c r="O1988" s="66" t="str">
        <f t="shared" si="222"/>
        <v/>
      </c>
      <c r="P1988" s="66" t="str">
        <f t="shared" si="223"/>
        <v/>
      </c>
    </row>
    <row r="1989" spans="8:16">
      <c r="H1989" s="66" t="e">
        <f>IF(LEFT(A1989,6)="CEPNTR","GPINS",VLOOKUP(LEFT(A1989,6),'Code Library'!$A$3:$B$920,2,0))&amp;"_"&amp;RIGHT(A1989,3)</f>
        <v>#N/A</v>
      </c>
      <c r="I1989" s="66">
        <f t="shared" si="217"/>
        <v>0</v>
      </c>
      <c r="K1989" s="66" t="str">
        <f t="shared" si="218"/>
        <v/>
      </c>
      <c r="L1989" s="66" t="str">
        <f t="shared" si="219"/>
        <v/>
      </c>
      <c r="M1989" s="66" t="str">
        <f t="shared" si="220"/>
        <v/>
      </c>
      <c r="N1989" s="66" t="str">
        <f t="shared" si="221"/>
        <v/>
      </c>
      <c r="O1989" s="66" t="str">
        <f t="shared" si="222"/>
        <v/>
      </c>
      <c r="P1989" s="66" t="str">
        <f t="shared" si="223"/>
        <v/>
      </c>
    </row>
    <row r="1990" spans="8:16">
      <c r="H1990" s="66" t="e">
        <f>IF(LEFT(A1990,6)="CEPNTR","GPINS",VLOOKUP(LEFT(A1990,6),'Code Library'!$A$3:$B$920,2,0))&amp;"_"&amp;RIGHT(A1990,3)</f>
        <v>#N/A</v>
      </c>
      <c r="I1990" s="66">
        <f t="shared" si="217"/>
        <v>0</v>
      </c>
      <c r="K1990" s="66" t="str">
        <f t="shared" si="218"/>
        <v/>
      </c>
      <c r="L1990" s="66" t="str">
        <f t="shared" si="219"/>
        <v/>
      </c>
      <c r="M1990" s="66" t="str">
        <f t="shared" si="220"/>
        <v/>
      </c>
      <c r="N1990" s="66" t="str">
        <f t="shared" si="221"/>
        <v/>
      </c>
      <c r="O1990" s="66" t="str">
        <f t="shared" si="222"/>
        <v/>
      </c>
      <c r="P1990" s="66" t="str">
        <f t="shared" si="223"/>
        <v/>
      </c>
    </row>
    <row r="1991" spans="8:16">
      <c r="H1991" s="66" t="e">
        <f>IF(LEFT(A1991,6)="CEPNTR","GPINS",VLOOKUP(LEFT(A1991,6),'Code Library'!$A$3:$B$920,2,0))&amp;"_"&amp;RIGHT(A1991,3)</f>
        <v>#N/A</v>
      </c>
      <c r="I1991" s="66">
        <f t="shared" si="217"/>
        <v>0</v>
      </c>
      <c r="K1991" s="66" t="str">
        <f t="shared" si="218"/>
        <v/>
      </c>
      <c r="L1991" s="66" t="str">
        <f t="shared" si="219"/>
        <v/>
      </c>
      <c r="M1991" s="66" t="str">
        <f t="shared" si="220"/>
        <v/>
      </c>
      <c r="N1991" s="66" t="str">
        <f t="shared" si="221"/>
        <v/>
      </c>
      <c r="O1991" s="66" t="str">
        <f t="shared" si="222"/>
        <v/>
      </c>
      <c r="P1991" s="66" t="str">
        <f t="shared" si="223"/>
        <v/>
      </c>
    </row>
    <row r="1992" spans="8:16">
      <c r="H1992" s="66" t="e">
        <f>IF(LEFT(A1992,6)="CEPNTR","GPINS",VLOOKUP(LEFT(A1992,6),'Code Library'!$A$3:$B$920,2,0))&amp;"_"&amp;RIGHT(A1992,3)</f>
        <v>#N/A</v>
      </c>
      <c r="I1992" s="66">
        <f t="shared" si="217"/>
        <v>0</v>
      </c>
      <c r="K1992" s="66" t="str">
        <f t="shared" si="218"/>
        <v/>
      </c>
      <c r="L1992" s="66" t="str">
        <f t="shared" si="219"/>
        <v/>
      </c>
      <c r="M1992" s="66" t="str">
        <f t="shared" si="220"/>
        <v/>
      </c>
      <c r="N1992" s="66" t="str">
        <f t="shared" si="221"/>
        <v/>
      </c>
      <c r="O1992" s="66" t="str">
        <f t="shared" si="222"/>
        <v/>
      </c>
      <c r="P1992" s="66" t="str">
        <f t="shared" si="223"/>
        <v/>
      </c>
    </row>
    <row r="1993" spans="8:16">
      <c r="H1993" s="66" t="e">
        <f>IF(LEFT(A1993,6)="CEPNTR","GPINS",VLOOKUP(LEFT(A1993,6),'Code Library'!$A$3:$B$920,2,0))&amp;"_"&amp;RIGHT(A1993,3)</f>
        <v>#N/A</v>
      </c>
      <c r="I1993" s="66">
        <f t="shared" si="217"/>
        <v>0</v>
      </c>
      <c r="K1993" s="66" t="str">
        <f t="shared" si="218"/>
        <v/>
      </c>
      <c r="L1993" s="66" t="str">
        <f t="shared" si="219"/>
        <v/>
      </c>
      <c r="M1993" s="66" t="str">
        <f t="shared" si="220"/>
        <v/>
      </c>
      <c r="N1993" s="66" t="str">
        <f t="shared" si="221"/>
        <v/>
      </c>
      <c r="O1993" s="66" t="str">
        <f t="shared" si="222"/>
        <v/>
      </c>
      <c r="P1993" s="66" t="str">
        <f t="shared" si="223"/>
        <v/>
      </c>
    </row>
    <row r="1994" spans="8:16">
      <c r="H1994" s="66" t="e">
        <f>IF(LEFT(A1994,6)="CEPNTR","GPINS",VLOOKUP(LEFT(A1994,6),'Code Library'!$A$3:$B$920,2,0))&amp;"_"&amp;RIGHT(A1994,3)</f>
        <v>#N/A</v>
      </c>
      <c r="I1994" s="66">
        <f t="shared" si="217"/>
        <v>0</v>
      </c>
      <c r="K1994" s="66" t="str">
        <f t="shared" si="218"/>
        <v/>
      </c>
      <c r="L1994" s="66" t="str">
        <f t="shared" si="219"/>
        <v/>
      </c>
      <c r="M1994" s="66" t="str">
        <f t="shared" si="220"/>
        <v/>
      </c>
      <c r="N1994" s="66" t="str">
        <f t="shared" si="221"/>
        <v/>
      </c>
      <c r="O1994" s="66" t="str">
        <f t="shared" si="222"/>
        <v/>
      </c>
      <c r="P1994" s="66" t="str">
        <f t="shared" si="223"/>
        <v/>
      </c>
    </row>
    <row r="1995" spans="8:16">
      <c r="H1995" s="66" t="e">
        <f>IF(LEFT(A1995,6)="CEPNTR","GPINS",VLOOKUP(LEFT(A1995,6),'Code Library'!$A$3:$B$920,2,0))&amp;"_"&amp;RIGHT(A1995,3)</f>
        <v>#N/A</v>
      </c>
      <c r="I1995" s="66">
        <f t="shared" si="217"/>
        <v>0</v>
      </c>
      <c r="K1995" s="66" t="str">
        <f t="shared" si="218"/>
        <v/>
      </c>
      <c r="L1995" s="66" t="str">
        <f t="shared" si="219"/>
        <v/>
      </c>
      <c r="M1995" s="66" t="str">
        <f t="shared" si="220"/>
        <v/>
      </c>
      <c r="N1995" s="66" t="str">
        <f t="shared" si="221"/>
        <v/>
      </c>
      <c r="O1995" s="66" t="str">
        <f t="shared" si="222"/>
        <v/>
      </c>
      <c r="P1995" s="66" t="str">
        <f t="shared" si="223"/>
        <v/>
      </c>
    </row>
    <row r="1996" spans="8:16">
      <c r="H1996" s="66" t="e">
        <f>IF(LEFT(A1996,6)="CEPNTR","GPINS",VLOOKUP(LEFT(A1996,6),'Code Library'!$A$3:$B$920,2,0))&amp;"_"&amp;RIGHT(A1996,3)</f>
        <v>#N/A</v>
      </c>
      <c r="I1996" s="66">
        <f t="shared" si="217"/>
        <v>0</v>
      </c>
      <c r="K1996" s="66" t="str">
        <f t="shared" si="218"/>
        <v/>
      </c>
      <c r="L1996" s="66" t="str">
        <f t="shared" si="219"/>
        <v/>
      </c>
      <c r="M1996" s="66" t="str">
        <f t="shared" si="220"/>
        <v/>
      </c>
      <c r="N1996" s="66" t="str">
        <f t="shared" si="221"/>
        <v/>
      </c>
      <c r="O1996" s="66" t="str">
        <f t="shared" si="222"/>
        <v/>
      </c>
      <c r="P1996" s="66" t="str">
        <f t="shared" si="223"/>
        <v/>
      </c>
    </row>
    <row r="1997" spans="8:16">
      <c r="H1997" s="66" t="e">
        <f>IF(LEFT(A1997,6)="CEPNTR","GPINS",VLOOKUP(LEFT(A1997,6),'Code Library'!$A$3:$B$920,2,0))&amp;"_"&amp;RIGHT(A1997,3)</f>
        <v>#N/A</v>
      </c>
      <c r="I1997" s="66">
        <f t="shared" si="217"/>
        <v>0</v>
      </c>
      <c r="K1997" s="66" t="str">
        <f t="shared" si="218"/>
        <v/>
      </c>
      <c r="L1997" s="66" t="str">
        <f t="shared" si="219"/>
        <v/>
      </c>
      <c r="M1997" s="66" t="str">
        <f t="shared" si="220"/>
        <v/>
      </c>
      <c r="N1997" s="66" t="str">
        <f t="shared" si="221"/>
        <v/>
      </c>
      <c r="O1997" s="66" t="str">
        <f t="shared" si="222"/>
        <v/>
      </c>
      <c r="P1997" s="66" t="str">
        <f t="shared" si="223"/>
        <v/>
      </c>
    </row>
    <row r="1998" spans="8:16">
      <c r="H1998" s="66" t="e">
        <f>IF(LEFT(A1998,6)="CEPNTR","GPINS",VLOOKUP(LEFT(A1998,6),'Code Library'!$A$3:$B$920,2,0))&amp;"_"&amp;RIGHT(A1998,3)</f>
        <v>#N/A</v>
      </c>
      <c r="I1998" s="66">
        <f t="shared" si="217"/>
        <v>0</v>
      </c>
      <c r="K1998" s="66" t="str">
        <f t="shared" si="218"/>
        <v/>
      </c>
      <c r="L1998" s="66" t="str">
        <f t="shared" si="219"/>
        <v/>
      </c>
      <c r="M1998" s="66" t="str">
        <f t="shared" si="220"/>
        <v/>
      </c>
      <c r="N1998" s="66" t="str">
        <f t="shared" si="221"/>
        <v/>
      </c>
      <c r="O1998" s="66" t="str">
        <f t="shared" si="222"/>
        <v/>
      </c>
      <c r="P1998" s="66" t="str">
        <f t="shared" si="223"/>
        <v/>
      </c>
    </row>
    <row r="1999" spans="8:16">
      <c r="H1999" s="66" t="e">
        <f>IF(LEFT(A1999,6)="CEPNTR","GPINS",VLOOKUP(LEFT(A1999,6),'Code Library'!$A$3:$B$920,2,0))&amp;"_"&amp;RIGHT(A1999,3)</f>
        <v>#N/A</v>
      </c>
      <c r="I1999" s="66">
        <f t="shared" si="217"/>
        <v>0</v>
      </c>
      <c r="K1999" s="66" t="str">
        <f t="shared" si="218"/>
        <v/>
      </c>
      <c r="L1999" s="66" t="str">
        <f t="shared" si="219"/>
        <v/>
      </c>
      <c r="M1999" s="66" t="str">
        <f t="shared" si="220"/>
        <v/>
      </c>
      <c r="N1999" s="66" t="str">
        <f t="shared" si="221"/>
        <v/>
      </c>
      <c r="O1999" s="66" t="str">
        <f t="shared" si="222"/>
        <v/>
      </c>
      <c r="P1999" s="66" t="str">
        <f t="shared" si="223"/>
        <v/>
      </c>
    </row>
    <row r="2000" spans="8:16">
      <c r="H2000" s="66" t="e">
        <f>IF(LEFT(A2000,6)="CEPNTR","GPINS",VLOOKUP(LEFT(A2000,6),'Code Library'!$A$3:$B$920,2,0))&amp;"_"&amp;RIGHT(A2000,3)</f>
        <v>#N/A</v>
      </c>
      <c r="I2000" s="66">
        <f t="shared" si="217"/>
        <v>0</v>
      </c>
      <c r="K2000" s="66" t="str">
        <f t="shared" si="218"/>
        <v/>
      </c>
      <c r="L2000" s="66" t="str">
        <f t="shared" si="219"/>
        <v/>
      </c>
      <c r="M2000" s="66" t="str">
        <f t="shared" si="220"/>
        <v/>
      </c>
      <c r="N2000" s="66" t="str">
        <f t="shared" si="221"/>
        <v/>
      </c>
      <c r="O2000" s="66" t="str">
        <f t="shared" si="222"/>
        <v/>
      </c>
      <c r="P2000" s="66" t="str">
        <f t="shared" si="223"/>
        <v/>
      </c>
    </row>
    <row r="2001" spans="8:16">
      <c r="H2001" s="66" t="e">
        <f>IF(LEFT(A2001,6)="CEPNTR","GPINS",VLOOKUP(LEFT(A2001,6),'Code Library'!$A$3:$B$920,2,0))&amp;"_"&amp;RIGHT(A2001,3)</f>
        <v>#N/A</v>
      </c>
      <c r="I2001" s="66">
        <f t="shared" si="217"/>
        <v>0</v>
      </c>
      <c r="K2001" s="66" t="str">
        <f t="shared" si="218"/>
        <v/>
      </c>
      <c r="L2001" s="66" t="str">
        <f t="shared" si="219"/>
        <v/>
      </c>
      <c r="M2001" s="66" t="str">
        <f t="shared" si="220"/>
        <v/>
      </c>
      <c r="N2001" s="66" t="str">
        <f t="shared" si="221"/>
        <v/>
      </c>
      <c r="O2001" s="66" t="str">
        <f t="shared" si="222"/>
        <v/>
      </c>
      <c r="P2001" s="66" t="str">
        <f t="shared" si="223"/>
        <v/>
      </c>
    </row>
    <row r="2002" spans="8:16">
      <c r="H2002" s="66" t="e">
        <f>IF(LEFT(A2002,6)="CEPNTR","GPINS",VLOOKUP(LEFT(A2002,6),'Code Library'!$A$3:$B$920,2,0))&amp;"_"&amp;RIGHT(A2002,3)</f>
        <v>#N/A</v>
      </c>
      <c r="I2002" s="66">
        <f t="shared" si="217"/>
        <v>0</v>
      </c>
      <c r="K2002" s="66" t="str">
        <f t="shared" si="218"/>
        <v/>
      </c>
      <c r="L2002" s="66" t="str">
        <f t="shared" si="219"/>
        <v/>
      </c>
      <c r="M2002" s="66" t="str">
        <f t="shared" si="220"/>
        <v/>
      </c>
      <c r="N2002" s="66" t="str">
        <f t="shared" si="221"/>
        <v/>
      </c>
      <c r="O2002" s="66" t="str">
        <f t="shared" si="222"/>
        <v/>
      </c>
      <c r="P2002" s="66" t="str">
        <f t="shared" si="223"/>
        <v/>
      </c>
    </row>
    <row r="2003" spans="8:16">
      <c r="H2003" s="66" t="e">
        <f>IF(LEFT(A2003,6)="CEPNTR","GPINS",VLOOKUP(LEFT(A2003,6),'Code Library'!$A$3:$B$920,2,0))&amp;"_"&amp;RIGHT(A2003,3)</f>
        <v>#N/A</v>
      </c>
      <c r="I2003" s="66">
        <f t="shared" si="217"/>
        <v>0</v>
      </c>
      <c r="K2003" s="66" t="str">
        <f t="shared" si="218"/>
        <v/>
      </c>
      <c r="L2003" s="66" t="str">
        <f t="shared" si="219"/>
        <v/>
      </c>
      <c r="M2003" s="66" t="str">
        <f t="shared" si="220"/>
        <v/>
      </c>
      <c r="N2003" s="66" t="str">
        <f t="shared" si="221"/>
        <v/>
      </c>
      <c r="O2003" s="66" t="str">
        <f t="shared" si="222"/>
        <v/>
      </c>
      <c r="P2003" s="66" t="str">
        <f t="shared" si="223"/>
        <v/>
      </c>
    </row>
    <row r="2004" spans="8:16">
      <c r="H2004" s="66" t="e">
        <f>IF(LEFT(A2004,6)="CEPNTR","GPINS",VLOOKUP(LEFT(A2004,6),'Code Library'!$A$3:$B$920,2,0))&amp;"_"&amp;RIGHT(A2004,3)</f>
        <v>#N/A</v>
      </c>
      <c r="I2004" s="66">
        <f t="shared" si="217"/>
        <v>0</v>
      </c>
      <c r="K2004" s="66" t="str">
        <f t="shared" si="218"/>
        <v/>
      </c>
      <c r="L2004" s="66" t="str">
        <f t="shared" si="219"/>
        <v/>
      </c>
      <c r="M2004" s="66" t="str">
        <f t="shared" si="220"/>
        <v/>
      </c>
      <c r="N2004" s="66" t="str">
        <f t="shared" si="221"/>
        <v/>
      </c>
      <c r="O2004" s="66" t="str">
        <f t="shared" si="222"/>
        <v/>
      </c>
      <c r="P2004" s="66" t="str">
        <f t="shared" si="223"/>
        <v/>
      </c>
    </row>
    <row r="2005" spans="8:16">
      <c r="H2005" s="66" t="e">
        <f>IF(LEFT(A2005,6)="CEPNTR","GPINS",VLOOKUP(LEFT(A2005,6),'Code Library'!$A$3:$B$920,2,0))&amp;"_"&amp;RIGHT(A2005,3)</f>
        <v>#N/A</v>
      </c>
      <c r="I2005" s="66">
        <f t="shared" si="217"/>
        <v>0</v>
      </c>
      <c r="K2005" s="66" t="str">
        <f t="shared" si="218"/>
        <v/>
      </c>
      <c r="L2005" s="66" t="str">
        <f t="shared" si="219"/>
        <v/>
      </c>
      <c r="M2005" s="66" t="str">
        <f t="shared" si="220"/>
        <v/>
      </c>
      <c r="N2005" s="66" t="str">
        <f t="shared" si="221"/>
        <v/>
      </c>
      <c r="O2005" s="66" t="str">
        <f t="shared" si="222"/>
        <v/>
      </c>
      <c r="P2005" s="66" t="str">
        <f t="shared" si="223"/>
        <v/>
      </c>
    </row>
    <row r="2006" spans="8:16">
      <c r="H2006" s="66" t="e">
        <f>IF(LEFT(A2006,6)="CEPNTR","GPINS",VLOOKUP(LEFT(A2006,6),'Code Library'!$A$3:$B$920,2,0))&amp;"_"&amp;RIGHT(A2006,3)</f>
        <v>#N/A</v>
      </c>
      <c r="I2006" s="66">
        <f t="shared" si="217"/>
        <v>0</v>
      </c>
      <c r="K2006" s="66" t="str">
        <f t="shared" si="218"/>
        <v/>
      </c>
      <c r="L2006" s="66" t="str">
        <f t="shared" si="219"/>
        <v/>
      </c>
      <c r="M2006" s="66" t="str">
        <f t="shared" si="220"/>
        <v/>
      </c>
      <c r="N2006" s="66" t="str">
        <f t="shared" si="221"/>
        <v/>
      </c>
      <c r="O2006" s="66" t="str">
        <f t="shared" si="222"/>
        <v/>
      </c>
      <c r="P2006" s="66" t="str">
        <f t="shared" si="223"/>
        <v/>
      </c>
    </row>
    <row r="2007" spans="8:16">
      <c r="H2007" s="66" t="e">
        <f>IF(LEFT(A2007,6)="CEPNTR","GPINS",VLOOKUP(LEFT(A2007,6),'Code Library'!$A$3:$B$920,2,0))&amp;"_"&amp;RIGHT(A2007,3)</f>
        <v>#N/A</v>
      </c>
      <c r="I2007" s="66">
        <f t="shared" si="217"/>
        <v>0</v>
      </c>
      <c r="K2007" s="66" t="str">
        <f t="shared" si="218"/>
        <v/>
      </c>
      <c r="L2007" s="66" t="str">
        <f t="shared" si="219"/>
        <v/>
      </c>
      <c r="M2007" s="66" t="str">
        <f t="shared" si="220"/>
        <v/>
      </c>
      <c r="N2007" s="66" t="str">
        <f t="shared" si="221"/>
        <v/>
      </c>
      <c r="O2007" s="66" t="str">
        <f t="shared" si="222"/>
        <v/>
      </c>
      <c r="P2007" s="66" t="str">
        <f t="shared" si="223"/>
        <v/>
      </c>
    </row>
    <row r="2008" spans="8:16">
      <c r="H2008" s="66" t="e">
        <f>IF(LEFT(A2008,6)="CEPNTR","GPINS",VLOOKUP(LEFT(A2008,6),'Code Library'!$A$3:$B$920,2,0))&amp;"_"&amp;RIGHT(A2008,3)</f>
        <v>#N/A</v>
      </c>
      <c r="I2008" s="66">
        <f t="shared" si="217"/>
        <v>0</v>
      </c>
      <c r="K2008" s="66" t="str">
        <f t="shared" si="218"/>
        <v/>
      </c>
      <c r="L2008" s="66" t="str">
        <f t="shared" si="219"/>
        <v/>
      </c>
      <c r="M2008" s="66" t="str">
        <f t="shared" si="220"/>
        <v/>
      </c>
      <c r="N2008" s="66" t="str">
        <f t="shared" si="221"/>
        <v/>
      </c>
      <c r="O2008" s="66" t="str">
        <f t="shared" si="222"/>
        <v/>
      </c>
      <c r="P2008" s="66" t="str">
        <f t="shared" si="223"/>
        <v/>
      </c>
    </row>
    <row r="2009" spans="8:16">
      <c r="H2009" s="66" t="e">
        <f>IF(LEFT(A2009,6)="CEPNTR","GPINS",VLOOKUP(LEFT(A2009,6),'Code Library'!$A$3:$B$920,2,0))&amp;"_"&amp;RIGHT(A2009,3)</f>
        <v>#N/A</v>
      </c>
      <c r="I2009" s="66">
        <f t="shared" si="217"/>
        <v>0</v>
      </c>
      <c r="K2009" s="66" t="str">
        <f t="shared" si="218"/>
        <v/>
      </c>
      <c r="L2009" s="66" t="str">
        <f t="shared" si="219"/>
        <v/>
      </c>
      <c r="M2009" s="66" t="str">
        <f t="shared" si="220"/>
        <v/>
      </c>
      <c r="N2009" s="66" t="str">
        <f t="shared" si="221"/>
        <v/>
      </c>
      <c r="O2009" s="66" t="str">
        <f t="shared" si="222"/>
        <v/>
      </c>
      <c r="P2009" s="66" t="str">
        <f t="shared" si="223"/>
        <v/>
      </c>
    </row>
    <row r="2010" spans="8:16">
      <c r="H2010" s="66" t="e">
        <f>IF(LEFT(A2010,6)="CEPNTR","GPINS",VLOOKUP(LEFT(A2010,6),'Code Library'!$A$3:$B$920,2,0))&amp;"_"&amp;RIGHT(A2010,3)</f>
        <v>#N/A</v>
      </c>
      <c r="I2010" s="66">
        <f t="shared" si="217"/>
        <v>0</v>
      </c>
      <c r="K2010" s="66" t="str">
        <f t="shared" si="218"/>
        <v/>
      </c>
      <c r="L2010" s="66" t="str">
        <f t="shared" si="219"/>
        <v/>
      </c>
      <c r="M2010" s="66" t="str">
        <f t="shared" si="220"/>
        <v/>
      </c>
      <c r="N2010" s="66" t="str">
        <f t="shared" si="221"/>
        <v/>
      </c>
      <c r="O2010" s="66" t="str">
        <f t="shared" si="222"/>
        <v/>
      </c>
      <c r="P2010" s="66" t="str">
        <f t="shared" si="223"/>
        <v/>
      </c>
    </row>
    <row r="2011" spans="8:16">
      <c r="H2011" s="66" t="e">
        <f>IF(LEFT(A2011,6)="CEPNTR","GPINS",VLOOKUP(LEFT(A2011,6),'Code Library'!$A$3:$B$920,2,0))&amp;"_"&amp;RIGHT(A2011,3)</f>
        <v>#N/A</v>
      </c>
      <c r="I2011" s="66">
        <f t="shared" si="217"/>
        <v>0</v>
      </c>
      <c r="K2011" s="66" t="str">
        <f t="shared" si="218"/>
        <v/>
      </c>
      <c r="L2011" s="66" t="str">
        <f t="shared" si="219"/>
        <v/>
      </c>
      <c r="M2011" s="66" t="str">
        <f t="shared" si="220"/>
        <v/>
      </c>
      <c r="N2011" s="66" t="str">
        <f t="shared" si="221"/>
        <v/>
      </c>
      <c r="O2011" s="66" t="str">
        <f t="shared" si="222"/>
        <v/>
      </c>
      <c r="P2011" s="66" t="str">
        <f t="shared" si="223"/>
        <v/>
      </c>
    </row>
    <row r="2012" spans="8:16">
      <c r="H2012" s="66" t="e">
        <f>IF(LEFT(A2012,6)="CEPNTR","GPINS",VLOOKUP(LEFT(A2012,6),'Code Library'!$A$3:$B$920,2,0))&amp;"_"&amp;RIGHT(A2012,3)</f>
        <v>#N/A</v>
      </c>
      <c r="I2012" s="66">
        <f t="shared" si="217"/>
        <v>0</v>
      </c>
      <c r="K2012" s="66" t="str">
        <f t="shared" si="218"/>
        <v/>
      </c>
      <c r="L2012" s="66" t="str">
        <f t="shared" si="219"/>
        <v/>
      </c>
      <c r="M2012" s="66" t="str">
        <f t="shared" si="220"/>
        <v/>
      </c>
      <c r="N2012" s="66" t="str">
        <f t="shared" si="221"/>
        <v/>
      </c>
      <c r="O2012" s="66" t="str">
        <f t="shared" si="222"/>
        <v/>
      </c>
      <c r="P2012" s="66" t="str">
        <f t="shared" si="223"/>
        <v/>
      </c>
    </row>
    <row r="2013" spans="8:16">
      <c r="H2013" s="66" t="e">
        <f>IF(LEFT(A2013,6)="CEPNTR","GPINS",VLOOKUP(LEFT(A2013,6),'Code Library'!$A$3:$B$920,2,0))&amp;"_"&amp;RIGHT(A2013,3)</f>
        <v>#N/A</v>
      </c>
      <c r="I2013" s="66">
        <f t="shared" si="217"/>
        <v>0</v>
      </c>
      <c r="K2013" s="66" t="str">
        <f t="shared" si="218"/>
        <v/>
      </c>
      <c r="L2013" s="66" t="str">
        <f t="shared" si="219"/>
        <v/>
      </c>
      <c r="M2013" s="66" t="str">
        <f t="shared" si="220"/>
        <v/>
      </c>
      <c r="N2013" s="66" t="str">
        <f t="shared" si="221"/>
        <v/>
      </c>
      <c r="O2013" s="66" t="str">
        <f t="shared" si="222"/>
        <v/>
      </c>
      <c r="P2013" s="66" t="str">
        <f t="shared" si="223"/>
        <v/>
      </c>
    </row>
    <row r="2014" spans="8:16">
      <c r="H2014" s="66" t="e">
        <f>IF(LEFT(A2014,6)="CEPNTR","GPINS",VLOOKUP(LEFT(A2014,6),'Code Library'!$A$3:$B$920,2,0))&amp;"_"&amp;RIGHT(A2014,3)</f>
        <v>#N/A</v>
      </c>
      <c r="I2014" s="66">
        <f t="shared" si="217"/>
        <v>0</v>
      </c>
      <c r="K2014" s="66" t="str">
        <f t="shared" si="218"/>
        <v/>
      </c>
      <c r="L2014" s="66" t="str">
        <f t="shared" si="219"/>
        <v/>
      </c>
      <c r="M2014" s="66" t="str">
        <f t="shared" si="220"/>
        <v/>
      </c>
      <c r="N2014" s="66" t="str">
        <f t="shared" si="221"/>
        <v/>
      </c>
      <c r="O2014" s="66" t="str">
        <f t="shared" si="222"/>
        <v/>
      </c>
      <c r="P2014" s="66" t="str">
        <f t="shared" si="223"/>
        <v/>
      </c>
    </row>
    <row r="2015" spans="8:16">
      <c r="H2015" s="66" t="e">
        <f>IF(LEFT(A2015,6)="CEPNTR","GPINS",VLOOKUP(LEFT(A2015,6),'Code Library'!$A$3:$B$920,2,0))&amp;"_"&amp;RIGHT(A2015,3)</f>
        <v>#N/A</v>
      </c>
      <c r="I2015" s="66">
        <f t="shared" si="217"/>
        <v>0</v>
      </c>
      <c r="K2015" s="66" t="str">
        <f t="shared" si="218"/>
        <v/>
      </c>
      <c r="L2015" s="66" t="str">
        <f t="shared" si="219"/>
        <v/>
      </c>
      <c r="M2015" s="66" t="str">
        <f t="shared" si="220"/>
        <v/>
      </c>
      <c r="N2015" s="66" t="str">
        <f t="shared" si="221"/>
        <v/>
      </c>
      <c r="O2015" s="66" t="str">
        <f t="shared" si="222"/>
        <v/>
      </c>
      <c r="P2015" s="66" t="str">
        <f t="shared" si="223"/>
        <v/>
      </c>
    </row>
    <row r="2016" spans="8:16">
      <c r="H2016" s="66" t="e">
        <f>IF(LEFT(A2016,6)="CEPNTR","GPINS",VLOOKUP(LEFT(A2016,6),'Code Library'!$A$3:$B$920,2,0))&amp;"_"&amp;RIGHT(A2016,3)</f>
        <v>#N/A</v>
      </c>
      <c r="I2016" s="66">
        <f t="shared" si="217"/>
        <v>0</v>
      </c>
      <c r="K2016" s="66" t="str">
        <f t="shared" si="218"/>
        <v/>
      </c>
      <c r="L2016" s="66" t="str">
        <f t="shared" si="219"/>
        <v/>
      </c>
      <c r="M2016" s="66" t="str">
        <f t="shared" si="220"/>
        <v/>
      </c>
      <c r="N2016" s="66" t="str">
        <f t="shared" si="221"/>
        <v/>
      </c>
      <c r="O2016" s="66" t="str">
        <f t="shared" si="222"/>
        <v/>
      </c>
      <c r="P2016" s="66" t="str">
        <f t="shared" si="223"/>
        <v/>
      </c>
    </row>
    <row r="2017" spans="8:16">
      <c r="H2017" s="66" t="e">
        <f>IF(LEFT(A2017,6)="CEPNTR","GPINS",VLOOKUP(LEFT(A2017,6),'Code Library'!$A$3:$B$920,2,0))&amp;"_"&amp;RIGHT(A2017,3)</f>
        <v>#N/A</v>
      </c>
      <c r="I2017" s="66">
        <f t="shared" si="217"/>
        <v>0</v>
      </c>
      <c r="K2017" s="66" t="str">
        <f t="shared" si="218"/>
        <v/>
      </c>
      <c r="L2017" s="66" t="str">
        <f t="shared" si="219"/>
        <v/>
      </c>
      <c r="M2017" s="66" t="str">
        <f t="shared" si="220"/>
        <v/>
      </c>
      <c r="N2017" s="66" t="str">
        <f t="shared" si="221"/>
        <v/>
      </c>
      <c r="O2017" s="66" t="str">
        <f t="shared" si="222"/>
        <v/>
      </c>
      <c r="P2017" s="66" t="str">
        <f t="shared" si="223"/>
        <v/>
      </c>
    </row>
    <row r="2018" spans="8:16">
      <c r="H2018" s="66" t="e">
        <f>IF(LEFT(A2018,6)="CEPNTR","GPINS",VLOOKUP(LEFT(A2018,6),'Code Library'!$A$3:$B$920,2,0))&amp;"_"&amp;RIGHT(A2018,3)</f>
        <v>#N/A</v>
      </c>
      <c r="I2018" s="66">
        <f t="shared" si="217"/>
        <v>0</v>
      </c>
      <c r="K2018" s="66" t="str">
        <f t="shared" si="218"/>
        <v/>
      </c>
      <c r="L2018" s="66" t="str">
        <f t="shared" si="219"/>
        <v/>
      </c>
      <c r="M2018" s="66" t="str">
        <f t="shared" si="220"/>
        <v/>
      </c>
      <c r="N2018" s="66" t="str">
        <f t="shared" si="221"/>
        <v/>
      </c>
      <c r="O2018" s="66" t="str">
        <f t="shared" si="222"/>
        <v/>
      </c>
      <c r="P2018" s="66" t="str">
        <f t="shared" si="223"/>
        <v/>
      </c>
    </row>
    <row r="2019" spans="8:16">
      <c r="H2019" s="66" t="e">
        <f>IF(LEFT(A2019,6)="CEPNTR","GPINS",VLOOKUP(LEFT(A2019,6),'Code Library'!$A$3:$B$920,2,0))&amp;"_"&amp;RIGHT(A2019,3)</f>
        <v>#N/A</v>
      </c>
      <c r="I2019" s="66">
        <f t="shared" si="217"/>
        <v>0</v>
      </c>
      <c r="K2019" s="66" t="str">
        <f t="shared" si="218"/>
        <v/>
      </c>
      <c r="L2019" s="66" t="str">
        <f t="shared" si="219"/>
        <v/>
      </c>
      <c r="M2019" s="66" t="str">
        <f t="shared" si="220"/>
        <v/>
      </c>
      <c r="N2019" s="66" t="str">
        <f t="shared" si="221"/>
        <v/>
      </c>
      <c r="O2019" s="66" t="str">
        <f t="shared" si="222"/>
        <v/>
      </c>
      <c r="P2019" s="66" t="str">
        <f t="shared" si="223"/>
        <v/>
      </c>
    </row>
    <row r="2020" spans="8:16">
      <c r="H2020" s="66" t="e">
        <f>IF(LEFT(A2020,6)="CEPNTR","GPINS",VLOOKUP(LEFT(A2020,6),'Code Library'!$A$3:$B$920,2,0))&amp;"_"&amp;RIGHT(A2020,3)</f>
        <v>#N/A</v>
      </c>
      <c r="I2020" s="66">
        <f t="shared" si="217"/>
        <v>0</v>
      </c>
      <c r="K2020" s="66" t="str">
        <f t="shared" si="218"/>
        <v/>
      </c>
      <c r="L2020" s="66" t="str">
        <f t="shared" si="219"/>
        <v/>
      </c>
      <c r="M2020" s="66" t="str">
        <f t="shared" si="220"/>
        <v/>
      </c>
      <c r="N2020" s="66" t="str">
        <f t="shared" si="221"/>
        <v/>
      </c>
      <c r="O2020" s="66" t="str">
        <f t="shared" si="222"/>
        <v/>
      </c>
      <c r="P2020" s="66" t="str">
        <f t="shared" si="223"/>
        <v/>
      </c>
    </row>
    <row r="2021" spans="8:16">
      <c r="H2021" s="66" t="e">
        <f>IF(LEFT(A2021,6)="CEPNTR","GPINS",VLOOKUP(LEFT(A2021,6),'Code Library'!$A$3:$B$920,2,0))&amp;"_"&amp;RIGHT(A2021,3)</f>
        <v>#N/A</v>
      </c>
      <c r="I2021" s="66">
        <f t="shared" si="217"/>
        <v>0</v>
      </c>
      <c r="K2021" s="66" t="str">
        <f t="shared" si="218"/>
        <v/>
      </c>
      <c r="L2021" s="66" t="str">
        <f t="shared" si="219"/>
        <v/>
      </c>
      <c r="M2021" s="66" t="str">
        <f t="shared" si="220"/>
        <v/>
      </c>
      <c r="N2021" s="66" t="str">
        <f t="shared" si="221"/>
        <v/>
      </c>
      <c r="O2021" s="66" t="str">
        <f t="shared" si="222"/>
        <v/>
      </c>
      <c r="P2021" s="66" t="str">
        <f t="shared" si="223"/>
        <v/>
      </c>
    </row>
    <row r="2022" spans="8:16">
      <c r="H2022" s="66" t="e">
        <f>IF(LEFT(A2022,6)="CEPNTR","GPINS",VLOOKUP(LEFT(A2022,6),'Code Library'!$A$3:$B$920,2,0))&amp;"_"&amp;RIGHT(A2022,3)</f>
        <v>#N/A</v>
      </c>
      <c r="I2022" s="66">
        <f t="shared" si="217"/>
        <v>0</v>
      </c>
      <c r="K2022" s="66" t="str">
        <f t="shared" si="218"/>
        <v/>
      </c>
      <c r="L2022" s="66" t="str">
        <f t="shared" si="219"/>
        <v/>
      </c>
      <c r="M2022" s="66" t="str">
        <f t="shared" si="220"/>
        <v/>
      </c>
      <c r="N2022" s="66" t="str">
        <f t="shared" si="221"/>
        <v/>
      </c>
      <c r="O2022" s="66" t="str">
        <f t="shared" si="222"/>
        <v/>
      </c>
      <c r="P2022" s="66" t="str">
        <f t="shared" si="223"/>
        <v/>
      </c>
    </row>
    <row r="2023" spans="8:16">
      <c r="H2023" s="66" t="e">
        <f>IF(LEFT(A2023,6)="CEPNTR","GPINS",VLOOKUP(LEFT(A2023,6),'Code Library'!$A$3:$B$920,2,0))&amp;"_"&amp;RIGHT(A2023,3)</f>
        <v>#N/A</v>
      </c>
      <c r="I2023" s="66">
        <f t="shared" si="217"/>
        <v>0</v>
      </c>
      <c r="K2023" s="66" t="str">
        <f t="shared" si="218"/>
        <v/>
      </c>
      <c r="L2023" s="66" t="str">
        <f t="shared" si="219"/>
        <v/>
      </c>
      <c r="M2023" s="66" t="str">
        <f t="shared" si="220"/>
        <v/>
      </c>
      <c r="N2023" s="66" t="str">
        <f t="shared" si="221"/>
        <v/>
      </c>
      <c r="O2023" s="66" t="str">
        <f t="shared" si="222"/>
        <v/>
      </c>
      <c r="P2023" s="66" t="str">
        <f t="shared" si="223"/>
        <v/>
      </c>
    </row>
    <row r="2024" spans="8:16">
      <c r="H2024" s="66" t="e">
        <f>IF(LEFT(A2024,6)="CEPNTR","GPINS",VLOOKUP(LEFT(A2024,6),'Code Library'!$A$3:$B$920,2,0))&amp;"_"&amp;RIGHT(A2024,3)</f>
        <v>#N/A</v>
      </c>
      <c r="I2024" s="66">
        <f t="shared" si="217"/>
        <v>0</v>
      </c>
      <c r="K2024" s="66" t="str">
        <f t="shared" si="218"/>
        <v/>
      </c>
      <c r="L2024" s="66" t="str">
        <f t="shared" si="219"/>
        <v/>
      </c>
      <c r="M2024" s="66" t="str">
        <f t="shared" si="220"/>
        <v/>
      </c>
      <c r="N2024" s="66" t="str">
        <f t="shared" si="221"/>
        <v/>
      </c>
      <c r="O2024" s="66" t="str">
        <f t="shared" si="222"/>
        <v/>
      </c>
      <c r="P2024" s="66" t="str">
        <f t="shared" si="223"/>
        <v/>
      </c>
    </row>
    <row r="2025" spans="8:16">
      <c r="H2025" s="66" t="e">
        <f>IF(LEFT(A2025,6)="CEPNTR","GPINS",VLOOKUP(LEFT(A2025,6),'Code Library'!$A$3:$B$920,2,0))&amp;"_"&amp;RIGHT(A2025,3)</f>
        <v>#N/A</v>
      </c>
      <c r="I2025" s="66">
        <f t="shared" si="217"/>
        <v>0</v>
      </c>
      <c r="K2025" s="66" t="str">
        <f t="shared" si="218"/>
        <v/>
      </c>
      <c r="L2025" s="66" t="str">
        <f t="shared" si="219"/>
        <v/>
      </c>
      <c r="M2025" s="66" t="str">
        <f t="shared" si="220"/>
        <v/>
      </c>
      <c r="N2025" s="66" t="str">
        <f t="shared" si="221"/>
        <v/>
      </c>
      <c r="O2025" s="66" t="str">
        <f t="shared" si="222"/>
        <v/>
      </c>
      <c r="P2025" s="66" t="str">
        <f t="shared" si="223"/>
        <v/>
      </c>
    </row>
    <row r="2026" spans="8:16">
      <c r="H2026" s="66" t="e">
        <f>IF(LEFT(A2026,6)="CEPNTR","GPINS",VLOOKUP(LEFT(A2026,6),'Code Library'!$A$3:$B$920,2,0))&amp;"_"&amp;RIGHT(A2026,3)</f>
        <v>#N/A</v>
      </c>
      <c r="I2026" s="66">
        <f t="shared" si="217"/>
        <v>0</v>
      </c>
      <c r="K2026" s="66" t="str">
        <f t="shared" si="218"/>
        <v/>
      </c>
      <c r="L2026" s="66" t="str">
        <f t="shared" si="219"/>
        <v/>
      </c>
      <c r="M2026" s="66" t="str">
        <f t="shared" si="220"/>
        <v/>
      </c>
      <c r="N2026" s="66" t="str">
        <f t="shared" si="221"/>
        <v/>
      </c>
      <c r="O2026" s="66" t="str">
        <f t="shared" si="222"/>
        <v/>
      </c>
      <c r="P2026" s="66" t="str">
        <f t="shared" si="223"/>
        <v/>
      </c>
    </row>
    <row r="2027" spans="8:16">
      <c r="H2027" s="66" t="e">
        <f>IF(LEFT(A2027,6)="CEPNTR","GPINS",VLOOKUP(LEFT(A2027,6),'Code Library'!$A$3:$B$920,2,0))&amp;"_"&amp;RIGHT(A2027,3)</f>
        <v>#N/A</v>
      </c>
      <c r="I2027" s="66">
        <f t="shared" si="217"/>
        <v>0</v>
      </c>
      <c r="K2027" s="66" t="str">
        <f t="shared" si="218"/>
        <v/>
      </c>
      <c r="L2027" s="66" t="str">
        <f t="shared" si="219"/>
        <v/>
      </c>
      <c r="M2027" s="66" t="str">
        <f t="shared" si="220"/>
        <v/>
      </c>
      <c r="N2027" s="66" t="str">
        <f t="shared" si="221"/>
        <v/>
      </c>
      <c r="O2027" s="66" t="str">
        <f t="shared" si="222"/>
        <v/>
      </c>
      <c r="P2027" s="66" t="str">
        <f t="shared" si="223"/>
        <v/>
      </c>
    </row>
    <row r="2028" spans="8:16">
      <c r="H2028" s="66" t="e">
        <f>IF(LEFT(A2028,6)="CEPNTR","GPINS",VLOOKUP(LEFT(A2028,6),'Code Library'!$A$3:$B$920,2,0))&amp;"_"&amp;RIGHT(A2028,3)</f>
        <v>#N/A</v>
      </c>
      <c r="I2028" s="66">
        <f t="shared" si="217"/>
        <v>0</v>
      </c>
      <c r="K2028" s="66" t="str">
        <f t="shared" si="218"/>
        <v/>
      </c>
      <c r="L2028" s="66" t="str">
        <f t="shared" si="219"/>
        <v/>
      </c>
      <c r="M2028" s="66" t="str">
        <f t="shared" si="220"/>
        <v/>
      </c>
      <c r="N2028" s="66" t="str">
        <f t="shared" si="221"/>
        <v/>
      </c>
      <c r="O2028" s="66" t="str">
        <f t="shared" si="222"/>
        <v/>
      </c>
      <c r="P2028" s="66" t="str">
        <f t="shared" si="223"/>
        <v/>
      </c>
    </row>
    <row r="2029" spans="8:16">
      <c r="H2029" s="66" t="e">
        <f>IF(LEFT(A2029,6)="CEPNTR","GPINS",VLOOKUP(LEFT(A2029,6),'Code Library'!$A$3:$B$920,2,0))&amp;"_"&amp;RIGHT(A2029,3)</f>
        <v>#N/A</v>
      </c>
      <c r="I2029" s="66">
        <f t="shared" si="217"/>
        <v>0</v>
      </c>
      <c r="K2029" s="66" t="str">
        <f t="shared" si="218"/>
        <v/>
      </c>
      <c r="L2029" s="66" t="str">
        <f t="shared" si="219"/>
        <v/>
      </c>
      <c r="M2029" s="66" t="str">
        <f t="shared" si="220"/>
        <v/>
      </c>
      <c r="N2029" s="66" t="str">
        <f t="shared" si="221"/>
        <v/>
      </c>
      <c r="O2029" s="66" t="str">
        <f t="shared" si="222"/>
        <v/>
      </c>
      <c r="P2029" s="66" t="str">
        <f t="shared" si="223"/>
        <v/>
      </c>
    </row>
    <row r="2030" spans="8:16">
      <c r="H2030" s="66" t="e">
        <f>IF(LEFT(A2030,6)="CEPNTR","GPINS",VLOOKUP(LEFT(A2030,6),'Code Library'!$A$3:$B$920,2,0))&amp;"_"&amp;RIGHT(A2030,3)</f>
        <v>#N/A</v>
      </c>
      <c r="I2030" s="66">
        <f t="shared" si="217"/>
        <v>0</v>
      </c>
      <c r="K2030" s="66" t="str">
        <f t="shared" si="218"/>
        <v/>
      </c>
      <c r="L2030" s="66" t="str">
        <f t="shared" si="219"/>
        <v/>
      </c>
      <c r="M2030" s="66" t="str">
        <f t="shared" si="220"/>
        <v/>
      </c>
      <c r="N2030" s="66" t="str">
        <f t="shared" si="221"/>
        <v/>
      </c>
      <c r="O2030" s="66" t="str">
        <f t="shared" si="222"/>
        <v/>
      </c>
      <c r="P2030" s="66" t="str">
        <f t="shared" si="223"/>
        <v/>
      </c>
    </row>
    <row r="2031" spans="8:16">
      <c r="H2031" s="66" t="e">
        <f>IF(LEFT(A2031,6)="CEPNTR","GPINS",VLOOKUP(LEFT(A2031,6),'Code Library'!$A$3:$B$920,2,0))&amp;"_"&amp;RIGHT(A2031,3)</f>
        <v>#N/A</v>
      </c>
      <c r="I2031" s="66">
        <f t="shared" si="217"/>
        <v>0</v>
      </c>
      <c r="K2031" s="66" t="str">
        <f t="shared" si="218"/>
        <v/>
      </c>
      <c r="L2031" s="66" t="str">
        <f t="shared" si="219"/>
        <v/>
      </c>
      <c r="M2031" s="66" t="str">
        <f t="shared" si="220"/>
        <v/>
      </c>
      <c r="N2031" s="66" t="str">
        <f t="shared" si="221"/>
        <v/>
      </c>
      <c r="O2031" s="66" t="str">
        <f t="shared" si="222"/>
        <v/>
      </c>
      <c r="P2031" s="66" t="str">
        <f t="shared" si="223"/>
        <v/>
      </c>
    </row>
    <row r="2032" spans="8:16">
      <c r="H2032" s="66" t="e">
        <f>IF(LEFT(A2032,6)="CEPNTR","GPINS",VLOOKUP(LEFT(A2032,6),'Code Library'!$A$3:$B$920,2,0))&amp;"_"&amp;RIGHT(A2032,3)</f>
        <v>#N/A</v>
      </c>
      <c r="I2032" s="66">
        <f t="shared" si="217"/>
        <v>0</v>
      </c>
      <c r="K2032" s="66" t="str">
        <f t="shared" si="218"/>
        <v/>
      </c>
      <c r="L2032" s="66" t="str">
        <f t="shared" si="219"/>
        <v/>
      </c>
      <c r="M2032" s="66" t="str">
        <f t="shared" si="220"/>
        <v/>
      </c>
      <c r="N2032" s="66" t="str">
        <f t="shared" si="221"/>
        <v/>
      </c>
      <c r="O2032" s="66" t="str">
        <f t="shared" si="222"/>
        <v/>
      </c>
      <c r="P2032" s="66" t="str">
        <f t="shared" si="223"/>
        <v/>
      </c>
    </row>
    <row r="2033" spans="8:16">
      <c r="H2033" s="66" t="e">
        <f>IF(LEFT(A2033,6)="CEPNTR","GPINS",VLOOKUP(LEFT(A2033,6),'Code Library'!$A$3:$B$920,2,0))&amp;"_"&amp;RIGHT(A2033,3)</f>
        <v>#N/A</v>
      </c>
      <c r="I2033" s="66">
        <f t="shared" si="217"/>
        <v>0</v>
      </c>
      <c r="K2033" s="66" t="str">
        <f t="shared" si="218"/>
        <v/>
      </c>
      <c r="L2033" s="66" t="str">
        <f t="shared" si="219"/>
        <v/>
      </c>
      <c r="M2033" s="66" t="str">
        <f t="shared" si="220"/>
        <v/>
      </c>
      <c r="N2033" s="66" t="str">
        <f t="shared" si="221"/>
        <v/>
      </c>
      <c r="O2033" s="66" t="str">
        <f t="shared" si="222"/>
        <v/>
      </c>
      <c r="P2033" s="66" t="str">
        <f t="shared" si="223"/>
        <v/>
      </c>
    </row>
    <row r="2034" spans="8:16">
      <c r="H2034" s="66" t="e">
        <f>IF(LEFT(A2034,6)="CEPNTR","GPINS",VLOOKUP(LEFT(A2034,6),'Code Library'!$A$3:$B$920,2,0))&amp;"_"&amp;RIGHT(A2034,3)</f>
        <v>#N/A</v>
      </c>
      <c r="I2034" s="66">
        <f t="shared" si="217"/>
        <v>0</v>
      </c>
      <c r="K2034" s="66" t="str">
        <f t="shared" si="218"/>
        <v/>
      </c>
      <c r="L2034" s="66" t="str">
        <f t="shared" si="219"/>
        <v/>
      </c>
      <c r="M2034" s="66" t="str">
        <f t="shared" si="220"/>
        <v/>
      </c>
      <c r="N2034" s="66" t="str">
        <f t="shared" si="221"/>
        <v/>
      </c>
      <c r="O2034" s="66" t="str">
        <f t="shared" si="222"/>
        <v/>
      </c>
      <c r="P2034" s="66" t="str">
        <f t="shared" si="223"/>
        <v/>
      </c>
    </row>
    <row r="2035" spans="8:16">
      <c r="H2035" s="66" t="e">
        <f>IF(LEFT(A2035,6)="CEPNTR","GPINS",VLOOKUP(LEFT(A2035,6),'Code Library'!$A$3:$B$920,2,0))&amp;"_"&amp;RIGHT(A2035,3)</f>
        <v>#N/A</v>
      </c>
      <c r="I2035" s="66">
        <f t="shared" si="217"/>
        <v>0</v>
      </c>
      <c r="K2035" s="66" t="str">
        <f t="shared" si="218"/>
        <v/>
      </c>
      <c r="L2035" s="66" t="str">
        <f t="shared" si="219"/>
        <v/>
      </c>
      <c r="M2035" s="66" t="str">
        <f t="shared" si="220"/>
        <v/>
      </c>
      <c r="N2035" s="66" t="str">
        <f t="shared" si="221"/>
        <v/>
      </c>
      <c r="O2035" s="66" t="str">
        <f t="shared" si="222"/>
        <v/>
      </c>
      <c r="P2035" s="66" t="str">
        <f t="shared" si="223"/>
        <v/>
      </c>
    </row>
    <row r="2036" spans="8:16">
      <c r="H2036" s="66" t="e">
        <f>IF(LEFT(A2036,6)="CEPNTR","GPINS",VLOOKUP(LEFT(A2036,6),'Code Library'!$A$3:$B$920,2,0))&amp;"_"&amp;RIGHT(A2036,3)</f>
        <v>#N/A</v>
      </c>
      <c r="I2036" s="66">
        <f t="shared" si="217"/>
        <v>0</v>
      </c>
      <c r="K2036" s="66" t="str">
        <f t="shared" si="218"/>
        <v/>
      </c>
      <c r="L2036" s="66" t="str">
        <f t="shared" si="219"/>
        <v/>
      </c>
      <c r="M2036" s="66" t="str">
        <f t="shared" si="220"/>
        <v/>
      </c>
      <c r="N2036" s="66" t="str">
        <f t="shared" si="221"/>
        <v/>
      </c>
      <c r="O2036" s="66" t="str">
        <f t="shared" si="222"/>
        <v/>
      </c>
      <c r="P2036" s="66" t="str">
        <f t="shared" si="223"/>
        <v/>
      </c>
    </row>
    <row r="2037" spans="8:16">
      <c r="H2037" s="66" t="e">
        <f>IF(LEFT(A2037,6)="CEPNTR","GPINS",VLOOKUP(LEFT(A2037,6),'Code Library'!$A$3:$B$920,2,0))&amp;"_"&amp;RIGHT(A2037,3)</f>
        <v>#N/A</v>
      </c>
      <c r="I2037" s="66">
        <f t="shared" si="217"/>
        <v>0</v>
      </c>
      <c r="K2037" s="66" t="str">
        <f t="shared" si="218"/>
        <v/>
      </c>
      <c r="L2037" s="66" t="str">
        <f t="shared" si="219"/>
        <v/>
      </c>
      <c r="M2037" s="66" t="str">
        <f t="shared" si="220"/>
        <v/>
      </c>
      <c r="N2037" s="66" t="str">
        <f t="shared" si="221"/>
        <v/>
      </c>
      <c r="O2037" s="66" t="str">
        <f t="shared" si="222"/>
        <v/>
      </c>
      <c r="P2037" s="66" t="str">
        <f t="shared" si="223"/>
        <v/>
      </c>
    </row>
    <row r="2038" spans="8:16">
      <c r="H2038" s="66" t="e">
        <f>IF(LEFT(A2038,6)="CEPNTR","GPINS",VLOOKUP(LEFT(A2038,6),'Code Library'!$A$3:$B$920,2,0))&amp;"_"&amp;RIGHT(A2038,3)</f>
        <v>#N/A</v>
      </c>
      <c r="I2038" s="66">
        <f t="shared" si="217"/>
        <v>0</v>
      </c>
      <c r="K2038" s="66" t="str">
        <f t="shared" si="218"/>
        <v/>
      </c>
      <c r="L2038" s="66" t="str">
        <f t="shared" si="219"/>
        <v/>
      </c>
      <c r="M2038" s="66" t="str">
        <f t="shared" si="220"/>
        <v/>
      </c>
      <c r="N2038" s="66" t="str">
        <f t="shared" si="221"/>
        <v/>
      </c>
      <c r="O2038" s="66" t="str">
        <f t="shared" si="222"/>
        <v/>
      </c>
      <c r="P2038" s="66" t="str">
        <f t="shared" si="223"/>
        <v/>
      </c>
    </row>
    <row r="2039" spans="8:16">
      <c r="H2039" s="66" t="e">
        <f>IF(LEFT(A2039,6)="CEPNTR","GPINS",VLOOKUP(LEFT(A2039,6),'Code Library'!$A$3:$B$920,2,0))&amp;"_"&amp;RIGHT(A2039,3)</f>
        <v>#N/A</v>
      </c>
      <c r="I2039" s="66">
        <f t="shared" si="217"/>
        <v>0</v>
      </c>
      <c r="K2039" s="66" t="str">
        <f t="shared" si="218"/>
        <v/>
      </c>
      <c r="L2039" s="66" t="str">
        <f t="shared" si="219"/>
        <v/>
      </c>
      <c r="M2039" s="66" t="str">
        <f t="shared" si="220"/>
        <v/>
      </c>
      <c r="N2039" s="66" t="str">
        <f t="shared" si="221"/>
        <v/>
      </c>
      <c r="O2039" s="66" t="str">
        <f t="shared" si="222"/>
        <v/>
      </c>
      <c r="P2039" s="66" t="str">
        <f t="shared" si="223"/>
        <v/>
      </c>
    </row>
    <row r="2040" spans="8:16">
      <c r="H2040" s="66" t="e">
        <f>IF(LEFT(A2040,6)="CEPNTR","GPINS",VLOOKUP(LEFT(A2040,6),'Code Library'!$A$3:$B$920,2,0))&amp;"_"&amp;RIGHT(A2040,3)</f>
        <v>#N/A</v>
      </c>
      <c r="I2040" s="66">
        <f t="shared" si="217"/>
        <v>0</v>
      </c>
      <c r="K2040" s="66" t="str">
        <f t="shared" si="218"/>
        <v/>
      </c>
      <c r="L2040" s="66" t="str">
        <f t="shared" si="219"/>
        <v/>
      </c>
      <c r="M2040" s="66" t="str">
        <f t="shared" si="220"/>
        <v/>
      </c>
      <c r="N2040" s="66" t="str">
        <f t="shared" si="221"/>
        <v/>
      </c>
      <c r="O2040" s="66" t="str">
        <f t="shared" si="222"/>
        <v/>
      </c>
      <c r="P2040" s="66" t="str">
        <f t="shared" si="223"/>
        <v/>
      </c>
    </row>
    <row r="2041" spans="8:16">
      <c r="H2041" s="66" t="e">
        <f>IF(LEFT(A2041,6)="CEPNTR","GPINS",VLOOKUP(LEFT(A2041,6),'Code Library'!$A$3:$B$920,2,0))&amp;"_"&amp;RIGHT(A2041,3)</f>
        <v>#N/A</v>
      </c>
      <c r="I2041" s="66">
        <f t="shared" si="217"/>
        <v>0</v>
      </c>
      <c r="K2041" s="66" t="str">
        <f t="shared" si="218"/>
        <v/>
      </c>
      <c r="L2041" s="66" t="str">
        <f t="shared" si="219"/>
        <v/>
      </c>
      <c r="M2041" s="66" t="str">
        <f t="shared" si="220"/>
        <v/>
      </c>
      <c r="N2041" s="66" t="str">
        <f t="shared" si="221"/>
        <v/>
      </c>
      <c r="O2041" s="66" t="str">
        <f t="shared" si="222"/>
        <v/>
      </c>
      <c r="P2041" s="66" t="str">
        <f t="shared" si="223"/>
        <v/>
      </c>
    </row>
    <row r="2042" spans="8:16">
      <c r="H2042" s="66" t="e">
        <f>IF(LEFT(A2042,6)="CEPNTR","GPINS",VLOOKUP(LEFT(A2042,6),'Code Library'!$A$3:$B$920,2,0))&amp;"_"&amp;RIGHT(A2042,3)</f>
        <v>#N/A</v>
      </c>
      <c r="I2042" s="66">
        <f t="shared" si="217"/>
        <v>0</v>
      </c>
      <c r="K2042" s="66" t="str">
        <f t="shared" si="218"/>
        <v/>
      </c>
      <c r="L2042" s="66" t="str">
        <f t="shared" si="219"/>
        <v/>
      </c>
      <c r="M2042" s="66" t="str">
        <f t="shared" si="220"/>
        <v/>
      </c>
      <c r="N2042" s="66" t="str">
        <f t="shared" si="221"/>
        <v/>
      </c>
      <c r="O2042" s="66" t="str">
        <f t="shared" si="222"/>
        <v/>
      </c>
      <c r="P2042" s="66" t="str">
        <f t="shared" si="223"/>
        <v/>
      </c>
    </row>
    <row r="2043" spans="8:16">
      <c r="H2043" s="66" t="e">
        <f>IF(LEFT(A2043,6)="CEPNTR","GPINS",VLOOKUP(LEFT(A2043,6),'Code Library'!$A$3:$B$920,2,0))&amp;"_"&amp;RIGHT(A2043,3)</f>
        <v>#N/A</v>
      </c>
      <c r="I2043" s="66">
        <f t="shared" si="217"/>
        <v>0</v>
      </c>
      <c r="K2043" s="66" t="str">
        <f t="shared" si="218"/>
        <v/>
      </c>
      <c r="L2043" s="66" t="str">
        <f t="shared" si="219"/>
        <v/>
      </c>
      <c r="M2043" s="66" t="str">
        <f t="shared" si="220"/>
        <v/>
      </c>
      <c r="N2043" s="66" t="str">
        <f t="shared" si="221"/>
        <v/>
      </c>
      <c r="O2043" s="66" t="str">
        <f t="shared" si="222"/>
        <v/>
      </c>
      <c r="P2043" s="66" t="str">
        <f t="shared" si="223"/>
        <v/>
      </c>
    </row>
    <row r="2044" spans="8:16">
      <c r="H2044" s="66" t="e">
        <f>IF(LEFT(A2044,6)="CEPNTR","GPINS",VLOOKUP(LEFT(A2044,6),'Code Library'!$A$3:$B$920,2,0))&amp;"_"&amp;RIGHT(A2044,3)</f>
        <v>#N/A</v>
      </c>
      <c r="I2044" s="66">
        <f t="shared" si="217"/>
        <v>0</v>
      </c>
      <c r="K2044" s="66" t="str">
        <f t="shared" si="218"/>
        <v/>
      </c>
      <c r="L2044" s="66" t="str">
        <f t="shared" si="219"/>
        <v/>
      </c>
      <c r="M2044" s="66" t="str">
        <f t="shared" si="220"/>
        <v/>
      </c>
      <c r="N2044" s="66" t="str">
        <f t="shared" si="221"/>
        <v/>
      </c>
      <c r="O2044" s="66" t="str">
        <f t="shared" si="222"/>
        <v/>
      </c>
      <c r="P2044" s="66" t="str">
        <f t="shared" si="223"/>
        <v/>
      </c>
    </row>
    <row r="2045" spans="8:16">
      <c r="H2045" s="66" t="e">
        <f>IF(LEFT(A2045,6)="CEPNTR","GPINS",VLOOKUP(LEFT(A2045,6),'Code Library'!$A$3:$B$920,2,0))&amp;"_"&amp;RIGHT(A2045,3)</f>
        <v>#N/A</v>
      </c>
      <c r="I2045" s="66">
        <f t="shared" si="217"/>
        <v>0</v>
      </c>
      <c r="K2045" s="66" t="str">
        <f t="shared" si="218"/>
        <v/>
      </c>
      <c r="L2045" s="66" t="str">
        <f t="shared" si="219"/>
        <v/>
      </c>
      <c r="M2045" s="66" t="str">
        <f t="shared" si="220"/>
        <v/>
      </c>
      <c r="N2045" s="66" t="str">
        <f t="shared" si="221"/>
        <v/>
      </c>
      <c r="O2045" s="66" t="str">
        <f t="shared" si="222"/>
        <v/>
      </c>
      <c r="P2045" s="66" t="str">
        <f t="shared" si="223"/>
        <v/>
      </c>
    </row>
    <row r="2046" spans="8:16">
      <c r="H2046" s="66" t="e">
        <f>IF(LEFT(A2046,6)="CEPNTR","GPINS",VLOOKUP(LEFT(A2046,6),'Code Library'!$A$3:$B$920,2,0))&amp;"_"&amp;RIGHT(A2046,3)</f>
        <v>#N/A</v>
      </c>
      <c r="I2046" s="66">
        <f t="shared" si="217"/>
        <v>0</v>
      </c>
      <c r="K2046" s="66" t="str">
        <f t="shared" si="218"/>
        <v/>
      </c>
      <c r="L2046" s="66" t="str">
        <f t="shared" si="219"/>
        <v/>
      </c>
      <c r="M2046" s="66" t="str">
        <f t="shared" si="220"/>
        <v/>
      </c>
      <c r="N2046" s="66" t="str">
        <f t="shared" si="221"/>
        <v/>
      </c>
      <c r="O2046" s="66" t="str">
        <f t="shared" si="222"/>
        <v/>
      </c>
      <c r="P2046" s="66" t="str">
        <f t="shared" si="223"/>
        <v/>
      </c>
    </row>
    <row r="2047" spans="8:16">
      <c r="H2047" s="66" t="e">
        <f>IF(LEFT(A2047,6)="CEPNTR","GPINS",VLOOKUP(LEFT(A2047,6),'Code Library'!$A$3:$B$920,2,0))&amp;"_"&amp;RIGHT(A2047,3)</f>
        <v>#N/A</v>
      </c>
      <c r="I2047" s="66">
        <f t="shared" si="217"/>
        <v>0</v>
      </c>
      <c r="K2047" s="66" t="str">
        <f t="shared" si="218"/>
        <v/>
      </c>
      <c r="L2047" s="66" t="str">
        <f t="shared" si="219"/>
        <v/>
      </c>
      <c r="M2047" s="66" t="str">
        <f t="shared" si="220"/>
        <v/>
      </c>
      <c r="N2047" s="66" t="str">
        <f t="shared" si="221"/>
        <v/>
      </c>
      <c r="O2047" s="66" t="str">
        <f t="shared" si="222"/>
        <v/>
      </c>
      <c r="P2047" s="66" t="str">
        <f t="shared" si="223"/>
        <v/>
      </c>
    </row>
    <row r="2048" spans="8:16">
      <c r="H2048" s="66" t="e">
        <f>IF(LEFT(A2048,6)="CEPNTR","GPINS",VLOOKUP(LEFT(A2048,6),'Code Library'!$A$3:$B$920,2,0))&amp;"_"&amp;RIGHT(A2048,3)</f>
        <v>#N/A</v>
      </c>
      <c r="I2048" s="66">
        <f t="shared" si="217"/>
        <v>0</v>
      </c>
      <c r="K2048" s="66" t="str">
        <f t="shared" si="218"/>
        <v/>
      </c>
      <c r="L2048" s="66" t="str">
        <f t="shared" si="219"/>
        <v/>
      </c>
      <c r="M2048" s="66" t="str">
        <f t="shared" si="220"/>
        <v/>
      </c>
      <c r="N2048" s="66" t="str">
        <f t="shared" si="221"/>
        <v/>
      </c>
      <c r="O2048" s="66" t="str">
        <f t="shared" si="222"/>
        <v/>
      </c>
      <c r="P2048" s="66" t="str">
        <f t="shared" si="223"/>
        <v/>
      </c>
    </row>
    <row r="2049" spans="8:16">
      <c r="H2049" s="66" t="e">
        <f>IF(LEFT(A2049,6)="CEPNTR","GPINS",VLOOKUP(LEFT(A2049,6),'Code Library'!$A$3:$B$920,2,0))&amp;"_"&amp;RIGHT(A2049,3)</f>
        <v>#N/A</v>
      </c>
      <c r="I2049" s="66">
        <f t="shared" si="217"/>
        <v>0</v>
      </c>
      <c r="K2049" s="66" t="str">
        <f t="shared" si="218"/>
        <v/>
      </c>
      <c r="L2049" s="66" t="str">
        <f t="shared" si="219"/>
        <v/>
      </c>
      <c r="M2049" s="66" t="str">
        <f t="shared" si="220"/>
        <v/>
      </c>
      <c r="N2049" s="66" t="str">
        <f t="shared" si="221"/>
        <v/>
      </c>
      <c r="O2049" s="66" t="str">
        <f t="shared" si="222"/>
        <v/>
      </c>
      <c r="P2049" s="66" t="str">
        <f t="shared" si="223"/>
        <v/>
      </c>
    </row>
    <row r="2050" spans="8:16">
      <c r="H2050" s="66" t="e">
        <f>IF(LEFT(A2050,6)="CEPNTR","GPINS",VLOOKUP(LEFT(A2050,6),'Code Library'!$A$3:$B$920,2,0))&amp;"_"&amp;RIGHT(A2050,3)</f>
        <v>#N/A</v>
      </c>
      <c r="I2050" s="66">
        <f t="shared" si="217"/>
        <v>0</v>
      </c>
      <c r="K2050" s="66" t="str">
        <f t="shared" si="218"/>
        <v/>
      </c>
      <c r="L2050" s="66" t="str">
        <f t="shared" si="219"/>
        <v/>
      </c>
      <c r="M2050" s="66" t="str">
        <f t="shared" si="220"/>
        <v/>
      </c>
      <c r="N2050" s="66" t="str">
        <f t="shared" si="221"/>
        <v/>
      </c>
      <c r="O2050" s="66" t="str">
        <f t="shared" si="222"/>
        <v/>
      </c>
      <c r="P2050" s="66" t="str">
        <f t="shared" si="223"/>
        <v/>
      </c>
    </row>
    <row r="2051" spans="8:16">
      <c r="H2051" s="66" t="e">
        <f>IF(LEFT(A2051,6)="CEPNTR","GPINS",VLOOKUP(LEFT(A2051,6),'Code Library'!$A$3:$B$920,2,0))&amp;"_"&amp;RIGHT(A2051,3)</f>
        <v>#N/A</v>
      </c>
      <c r="I2051" s="66">
        <f t="shared" ref="I2051:I2114" si="224">A2051</f>
        <v>0</v>
      </c>
      <c r="K2051" s="66" t="str">
        <f t="shared" ref="K2051:K2114" si="225">RIGHT($B2051,2)</f>
        <v/>
      </c>
      <c r="L2051" s="66" t="str">
        <f t="shared" ref="L2051:L2114" si="226">LEFT(RIGHT($B2051,7),4)</f>
        <v/>
      </c>
      <c r="M2051" s="66" t="str">
        <f t="shared" ref="M2051:M2114" si="227">LEFT(RIGHT($B2051,10),2)</f>
        <v/>
      </c>
      <c r="N2051" s="66" t="str">
        <f t="shared" ref="N2051:N2114" si="228">LEFT(RIGHT($B2051,14),3)</f>
        <v/>
      </c>
      <c r="O2051" s="66" t="str">
        <f t="shared" ref="O2051:O2114" si="229">LEFT(RIGHT($B2051,16),1)</f>
        <v/>
      </c>
      <c r="P2051" s="66" t="str">
        <f t="shared" ref="P2051:P2114" si="230">LEFT(RIGHT($B2051,19),2)</f>
        <v/>
      </c>
    </row>
    <row r="2052" spans="8:16">
      <c r="H2052" s="66" t="e">
        <f>IF(LEFT(A2052,6)="CEPNTR","GPINS",VLOOKUP(LEFT(A2052,6),'Code Library'!$A$3:$B$920,2,0))&amp;"_"&amp;RIGHT(A2052,3)</f>
        <v>#N/A</v>
      </c>
      <c r="I2052" s="66">
        <f t="shared" si="224"/>
        <v>0</v>
      </c>
      <c r="K2052" s="66" t="str">
        <f t="shared" si="225"/>
        <v/>
      </c>
      <c r="L2052" s="66" t="str">
        <f t="shared" si="226"/>
        <v/>
      </c>
      <c r="M2052" s="66" t="str">
        <f t="shared" si="227"/>
        <v/>
      </c>
      <c r="N2052" s="66" t="str">
        <f t="shared" si="228"/>
        <v/>
      </c>
      <c r="O2052" s="66" t="str">
        <f t="shared" si="229"/>
        <v/>
      </c>
      <c r="P2052" s="66" t="str">
        <f t="shared" si="230"/>
        <v/>
      </c>
    </row>
    <row r="2053" spans="8:16">
      <c r="H2053" s="66" t="e">
        <f>IF(LEFT(A2053,6)="CEPNTR","GPINS",VLOOKUP(LEFT(A2053,6),'Code Library'!$A$3:$B$920,2,0))&amp;"_"&amp;RIGHT(A2053,3)</f>
        <v>#N/A</v>
      </c>
      <c r="I2053" s="66">
        <f t="shared" si="224"/>
        <v>0</v>
      </c>
      <c r="K2053" s="66" t="str">
        <f t="shared" si="225"/>
        <v/>
      </c>
      <c r="L2053" s="66" t="str">
        <f t="shared" si="226"/>
        <v/>
      </c>
      <c r="M2053" s="66" t="str">
        <f t="shared" si="227"/>
        <v/>
      </c>
      <c r="N2053" s="66" t="str">
        <f t="shared" si="228"/>
        <v/>
      </c>
      <c r="O2053" s="66" t="str">
        <f t="shared" si="229"/>
        <v/>
      </c>
      <c r="P2053" s="66" t="str">
        <f t="shared" si="230"/>
        <v/>
      </c>
    </row>
    <row r="2054" spans="8:16">
      <c r="H2054" s="66" t="e">
        <f>IF(LEFT(A2054,6)="CEPNTR","GPINS",VLOOKUP(LEFT(A2054,6),'Code Library'!$A$3:$B$920,2,0))&amp;"_"&amp;RIGHT(A2054,3)</f>
        <v>#N/A</v>
      </c>
      <c r="I2054" s="66">
        <f t="shared" si="224"/>
        <v>0</v>
      </c>
      <c r="K2054" s="66" t="str">
        <f t="shared" si="225"/>
        <v/>
      </c>
      <c r="L2054" s="66" t="str">
        <f t="shared" si="226"/>
        <v/>
      </c>
      <c r="M2054" s="66" t="str">
        <f t="shared" si="227"/>
        <v/>
      </c>
      <c r="N2054" s="66" t="str">
        <f t="shared" si="228"/>
        <v/>
      </c>
      <c r="O2054" s="66" t="str">
        <f t="shared" si="229"/>
        <v/>
      </c>
      <c r="P2054" s="66" t="str">
        <f t="shared" si="230"/>
        <v/>
      </c>
    </row>
    <row r="2055" spans="8:16">
      <c r="H2055" s="66" t="e">
        <f>IF(LEFT(A2055,6)="CEPNTR","GPINS",VLOOKUP(LEFT(A2055,6),'Code Library'!$A$3:$B$920,2,0))&amp;"_"&amp;RIGHT(A2055,3)</f>
        <v>#N/A</v>
      </c>
      <c r="I2055" s="66">
        <f t="shared" si="224"/>
        <v>0</v>
      </c>
      <c r="K2055" s="66" t="str">
        <f t="shared" si="225"/>
        <v/>
      </c>
      <c r="L2055" s="66" t="str">
        <f t="shared" si="226"/>
        <v/>
      </c>
      <c r="M2055" s="66" t="str">
        <f t="shared" si="227"/>
        <v/>
      </c>
      <c r="N2055" s="66" t="str">
        <f t="shared" si="228"/>
        <v/>
      </c>
      <c r="O2055" s="66" t="str">
        <f t="shared" si="229"/>
        <v/>
      </c>
      <c r="P2055" s="66" t="str">
        <f t="shared" si="230"/>
        <v/>
      </c>
    </row>
    <row r="2056" spans="8:16">
      <c r="H2056" s="66" t="e">
        <f>IF(LEFT(A2056,6)="CEPNTR","GPINS",VLOOKUP(LEFT(A2056,6),'Code Library'!$A$3:$B$920,2,0))&amp;"_"&amp;RIGHT(A2056,3)</f>
        <v>#N/A</v>
      </c>
      <c r="I2056" s="66">
        <f t="shared" si="224"/>
        <v>0</v>
      </c>
      <c r="K2056" s="66" t="str">
        <f t="shared" si="225"/>
        <v/>
      </c>
      <c r="L2056" s="66" t="str">
        <f t="shared" si="226"/>
        <v/>
      </c>
      <c r="M2056" s="66" t="str">
        <f t="shared" si="227"/>
        <v/>
      </c>
      <c r="N2056" s="66" t="str">
        <f t="shared" si="228"/>
        <v/>
      </c>
      <c r="O2056" s="66" t="str">
        <f t="shared" si="229"/>
        <v/>
      </c>
      <c r="P2056" s="66" t="str">
        <f t="shared" si="230"/>
        <v/>
      </c>
    </row>
    <row r="2057" spans="8:16">
      <c r="H2057" s="66" t="e">
        <f>IF(LEFT(A2057,6)="CEPNTR","GPINS",VLOOKUP(LEFT(A2057,6),'Code Library'!$A$3:$B$920,2,0))&amp;"_"&amp;RIGHT(A2057,3)</f>
        <v>#N/A</v>
      </c>
      <c r="I2057" s="66">
        <f t="shared" si="224"/>
        <v>0</v>
      </c>
      <c r="K2057" s="66" t="str">
        <f t="shared" si="225"/>
        <v/>
      </c>
      <c r="L2057" s="66" t="str">
        <f t="shared" si="226"/>
        <v/>
      </c>
      <c r="M2057" s="66" t="str">
        <f t="shared" si="227"/>
        <v/>
      </c>
      <c r="N2057" s="66" t="str">
        <f t="shared" si="228"/>
        <v/>
      </c>
      <c r="O2057" s="66" t="str">
        <f t="shared" si="229"/>
        <v/>
      </c>
      <c r="P2057" s="66" t="str">
        <f t="shared" si="230"/>
        <v/>
      </c>
    </row>
    <row r="2058" spans="8:16">
      <c r="H2058" s="66" t="e">
        <f>IF(LEFT(A2058,6)="CEPNTR","GPINS",VLOOKUP(LEFT(A2058,6),'Code Library'!$A$3:$B$920,2,0))&amp;"_"&amp;RIGHT(A2058,3)</f>
        <v>#N/A</v>
      </c>
      <c r="I2058" s="66">
        <f t="shared" si="224"/>
        <v>0</v>
      </c>
      <c r="K2058" s="66" t="str">
        <f t="shared" si="225"/>
        <v/>
      </c>
      <c r="L2058" s="66" t="str">
        <f t="shared" si="226"/>
        <v/>
      </c>
      <c r="M2058" s="66" t="str">
        <f t="shared" si="227"/>
        <v/>
      </c>
      <c r="N2058" s="66" t="str">
        <f t="shared" si="228"/>
        <v/>
      </c>
      <c r="O2058" s="66" t="str">
        <f t="shared" si="229"/>
        <v/>
      </c>
      <c r="P2058" s="66" t="str">
        <f t="shared" si="230"/>
        <v/>
      </c>
    </row>
    <row r="2059" spans="8:16">
      <c r="H2059" s="66" t="e">
        <f>IF(LEFT(A2059,6)="CEPNTR","GPINS",VLOOKUP(LEFT(A2059,6),'Code Library'!$A$3:$B$920,2,0))&amp;"_"&amp;RIGHT(A2059,3)</f>
        <v>#N/A</v>
      </c>
      <c r="I2059" s="66">
        <f t="shared" si="224"/>
        <v>0</v>
      </c>
      <c r="K2059" s="66" t="str">
        <f t="shared" si="225"/>
        <v/>
      </c>
      <c r="L2059" s="66" t="str">
        <f t="shared" si="226"/>
        <v/>
      </c>
      <c r="M2059" s="66" t="str">
        <f t="shared" si="227"/>
        <v/>
      </c>
      <c r="N2059" s="66" t="str">
        <f t="shared" si="228"/>
        <v/>
      </c>
      <c r="O2059" s="66" t="str">
        <f t="shared" si="229"/>
        <v/>
      </c>
      <c r="P2059" s="66" t="str">
        <f t="shared" si="230"/>
        <v/>
      </c>
    </row>
    <row r="2060" spans="8:16">
      <c r="H2060" s="66" t="e">
        <f>IF(LEFT(A2060,6)="CEPNTR","GPINS",VLOOKUP(LEFT(A2060,6),'Code Library'!$A$3:$B$920,2,0))&amp;"_"&amp;RIGHT(A2060,3)</f>
        <v>#N/A</v>
      </c>
      <c r="I2060" s="66">
        <f t="shared" si="224"/>
        <v>0</v>
      </c>
      <c r="K2060" s="66" t="str">
        <f t="shared" si="225"/>
        <v/>
      </c>
      <c r="L2060" s="66" t="str">
        <f t="shared" si="226"/>
        <v/>
      </c>
      <c r="M2060" s="66" t="str">
        <f t="shared" si="227"/>
        <v/>
      </c>
      <c r="N2060" s="66" t="str">
        <f t="shared" si="228"/>
        <v/>
      </c>
      <c r="O2060" s="66" t="str">
        <f t="shared" si="229"/>
        <v/>
      </c>
      <c r="P2060" s="66" t="str">
        <f t="shared" si="230"/>
        <v/>
      </c>
    </row>
    <row r="2061" spans="8:16">
      <c r="H2061" s="66" t="e">
        <f>IF(LEFT(A2061,6)="CEPNTR","GPINS",VLOOKUP(LEFT(A2061,6),'Code Library'!$A$3:$B$920,2,0))&amp;"_"&amp;RIGHT(A2061,3)</f>
        <v>#N/A</v>
      </c>
      <c r="I2061" s="66">
        <f t="shared" si="224"/>
        <v>0</v>
      </c>
      <c r="K2061" s="66" t="str">
        <f t="shared" si="225"/>
        <v/>
      </c>
      <c r="L2061" s="66" t="str">
        <f t="shared" si="226"/>
        <v/>
      </c>
      <c r="M2061" s="66" t="str">
        <f t="shared" si="227"/>
        <v/>
      </c>
      <c r="N2061" s="66" t="str">
        <f t="shared" si="228"/>
        <v/>
      </c>
      <c r="O2061" s="66" t="str">
        <f t="shared" si="229"/>
        <v/>
      </c>
      <c r="P2061" s="66" t="str">
        <f t="shared" si="230"/>
        <v/>
      </c>
    </row>
    <row r="2062" spans="8:16">
      <c r="H2062" s="66" t="e">
        <f>IF(LEFT(A2062,6)="CEPNTR","GPINS",VLOOKUP(LEFT(A2062,6),'Code Library'!$A$3:$B$920,2,0))&amp;"_"&amp;RIGHT(A2062,3)</f>
        <v>#N/A</v>
      </c>
      <c r="I2062" s="66">
        <f t="shared" si="224"/>
        <v>0</v>
      </c>
      <c r="K2062" s="66" t="str">
        <f t="shared" si="225"/>
        <v/>
      </c>
      <c r="L2062" s="66" t="str">
        <f t="shared" si="226"/>
        <v/>
      </c>
      <c r="M2062" s="66" t="str">
        <f t="shared" si="227"/>
        <v/>
      </c>
      <c r="N2062" s="66" t="str">
        <f t="shared" si="228"/>
        <v/>
      </c>
      <c r="O2062" s="66" t="str">
        <f t="shared" si="229"/>
        <v/>
      </c>
      <c r="P2062" s="66" t="str">
        <f t="shared" si="230"/>
        <v/>
      </c>
    </row>
    <row r="2063" spans="8:16">
      <c r="H2063" s="66" t="e">
        <f>IF(LEFT(A2063,6)="CEPNTR","GPINS",VLOOKUP(LEFT(A2063,6),'Code Library'!$A$3:$B$920,2,0))&amp;"_"&amp;RIGHT(A2063,3)</f>
        <v>#N/A</v>
      </c>
      <c r="I2063" s="66">
        <f t="shared" si="224"/>
        <v>0</v>
      </c>
      <c r="K2063" s="66" t="str">
        <f t="shared" si="225"/>
        <v/>
      </c>
      <c r="L2063" s="66" t="str">
        <f t="shared" si="226"/>
        <v/>
      </c>
      <c r="M2063" s="66" t="str">
        <f t="shared" si="227"/>
        <v/>
      </c>
      <c r="N2063" s="66" t="str">
        <f t="shared" si="228"/>
        <v/>
      </c>
      <c r="O2063" s="66" t="str">
        <f t="shared" si="229"/>
        <v/>
      </c>
      <c r="P2063" s="66" t="str">
        <f t="shared" si="230"/>
        <v/>
      </c>
    </row>
    <row r="2064" spans="8:16">
      <c r="H2064" s="66" t="e">
        <f>IF(LEFT(A2064,6)="CEPNTR","GPINS",VLOOKUP(LEFT(A2064,6),'Code Library'!$A$3:$B$920,2,0))&amp;"_"&amp;RIGHT(A2064,3)</f>
        <v>#N/A</v>
      </c>
      <c r="I2064" s="66">
        <f t="shared" si="224"/>
        <v>0</v>
      </c>
      <c r="K2064" s="66" t="str">
        <f t="shared" si="225"/>
        <v/>
      </c>
      <c r="L2064" s="66" t="str">
        <f t="shared" si="226"/>
        <v/>
      </c>
      <c r="M2064" s="66" t="str">
        <f t="shared" si="227"/>
        <v/>
      </c>
      <c r="N2064" s="66" t="str">
        <f t="shared" si="228"/>
        <v/>
      </c>
      <c r="O2064" s="66" t="str">
        <f t="shared" si="229"/>
        <v/>
      </c>
      <c r="P2064" s="66" t="str">
        <f t="shared" si="230"/>
        <v/>
      </c>
    </row>
    <row r="2065" spans="8:16">
      <c r="H2065" s="66" t="e">
        <f>IF(LEFT(A2065,6)="CEPNTR","GPINS",VLOOKUP(LEFT(A2065,6),'Code Library'!$A$3:$B$920,2,0))&amp;"_"&amp;RIGHT(A2065,3)</f>
        <v>#N/A</v>
      </c>
      <c r="I2065" s="66">
        <f t="shared" si="224"/>
        <v>0</v>
      </c>
      <c r="K2065" s="66" t="str">
        <f t="shared" si="225"/>
        <v/>
      </c>
      <c r="L2065" s="66" t="str">
        <f t="shared" si="226"/>
        <v/>
      </c>
      <c r="M2065" s="66" t="str">
        <f t="shared" si="227"/>
        <v/>
      </c>
      <c r="N2065" s="66" t="str">
        <f t="shared" si="228"/>
        <v/>
      </c>
      <c r="O2065" s="66" t="str">
        <f t="shared" si="229"/>
        <v/>
      </c>
      <c r="P2065" s="66" t="str">
        <f t="shared" si="230"/>
        <v/>
      </c>
    </row>
    <row r="2066" spans="8:16">
      <c r="H2066" s="66" t="e">
        <f>IF(LEFT(A2066,6)="CEPNTR","GPINS",VLOOKUP(LEFT(A2066,6),'Code Library'!$A$3:$B$920,2,0))&amp;"_"&amp;RIGHT(A2066,3)</f>
        <v>#N/A</v>
      </c>
      <c r="I2066" s="66">
        <f t="shared" si="224"/>
        <v>0</v>
      </c>
      <c r="K2066" s="66" t="str">
        <f t="shared" si="225"/>
        <v/>
      </c>
      <c r="L2066" s="66" t="str">
        <f t="shared" si="226"/>
        <v/>
      </c>
      <c r="M2066" s="66" t="str">
        <f t="shared" si="227"/>
        <v/>
      </c>
      <c r="N2066" s="66" t="str">
        <f t="shared" si="228"/>
        <v/>
      </c>
      <c r="O2066" s="66" t="str">
        <f t="shared" si="229"/>
        <v/>
      </c>
      <c r="P2066" s="66" t="str">
        <f t="shared" si="230"/>
        <v/>
      </c>
    </row>
    <row r="2067" spans="8:16">
      <c r="H2067" s="66" t="e">
        <f>IF(LEFT(A2067,6)="CEPNTR","GPINS",VLOOKUP(LEFT(A2067,6),'Code Library'!$A$3:$B$920,2,0))&amp;"_"&amp;RIGHT(A2067,3)</f>
        <v>#N/A</v>
      </c>
      <c r="I2067" s="66">
        <f t="shared" si="224"/>
        <v>0</v>
      </c>
      <c r="K2067" s="66" t="str">
        <f t="shared" si="225"/>
        <v/>
      </c>
      <c r="L2067" s="66" t="str">
        <f t="shared" si="226"/>
        <v/>
      </c>
      <c r="M2067" s="66" t="str">
        <f t="shared" si="227"/>
        <v/>
      </c>
      <c r="N2067" s="66" t="str">
        <f t="shared" si="228"/>
        <v/>
      </c>
      <c r="O2067" s="66" t="str">
        <f t="shared" si="229"/>
        <v/>
      </c>
      <c r="P2067" s="66" t="str">
        <f t="shared" si="230"/>
        <v/>
      </c>
    </row>
    <row r="2068" spans="8:16">
      <c r="H2068" s="66" t="e">
        <f>IF(LEFT(A2068,6)="CEPNTR","GPINS",VLOOKUP(LEFT(A2068,6),'Code Library'!$A$3:$B$920,2,0))&amp;"_"&amp;RIGHT(A2068,3)</f>
        <v>#N/A</v>
      </c>
      <c r="I2068" s="66">
        <f t="shared" si="224"/>
        <v>0</v>
      </c>
      <c r="K2068" s="66" t="str">
        <f t="shared" si="225"/>
        <v/>
      </c>
      <c r="L2068" s="66" t="str">
        <f t="shared" si="226"/>
        <v/>
      </c>
      <c r="M2068" s="66" t="str">
        <f t="shared" si="227"/>
        <v/>
      </c>
      <c r="N2068" s="66" t="str">
        <f t="shared" si="228"/>
        <v/>
      </c>
      <c r="O2068" s="66" t="str">
        <f t="shared" si="229"/>
        <v/>
      </c>
      <c r="P2068" s="66" t="str">
        <f t="shared" si="230"/>
        <v/>
      </c>
    </row>
    <row r="2069" spans="8:16">
      <c r="H2069" s="66" t="e">
        <f>IF(LEFT(A2069,6)="CEPNTR","GPINS",VLOOKUP(LEFT(A2069,6),'Code Library'!$A$3:$B$920,2,0))&amp;"_"&amp;RIGHT(A2069,3)</f>
        <v>#N/A</v>
      </c>
      <c r="I2069" s="66">
        <f t="shared" si="224"/>
        <v>0</v>
      </c>
      <c r="K2069" s="66" t="str">
        <f t="shared" si="225"/>
        <v/>
      </c>
      <c r="L2069" s="66" t="str">
        <f t="shared" si="226"/>
        <v/>
      </c>
      <c r="M2069" s="66" t="str">
        <f t="shared" si="227"/>
        <v/>
      </c>
      <c r="N2069" s="66" t="str">
        <f t="shared" si="228"/>
        <v/>
      </c>
      <c r="O2069" s="66" t="str">
        <f t="shared" si="229"/>
        <v/>
      </c>
      <c r="P2069" s="66" t="str">
        <f t="shared" si="230"/>
        <v/>
      </c>
    </row>
    <row r="2070" spans="8:16">
      <c r="H2070" s="66" t="e">
        <f>IF(LEFT(A2070,6)="CEPNTR","GPINS",VLOOKUP(LEFT(A2070,6),'Code Library'!$A$3:$B$920,2,0))&amp;"_"&amp;RIGHT(A2070,3)</f>
        <v>#N/A</v>
      </c>
      <c r="I2070" s="66">
        <f t="shared" si="224"/>
        <v>0</v>
      </c>
      <c r="K2070" s="66" t="str">
        <f t="shared" si="225"/>
        <v/>
      </c>
      <c r="L2070" s="66" t="str">
        <f t="shared" si="226"/>
        <v/>
      </c>
      <c r="M2070" s="66" t="str">
        <f t="shared" si="227"/>
        <v/>
      </c>
      <c r="N2070" s="66" t="str">
        <f t="shared" si="228"/>
        <v/>
      </c>
      <c r="O2070" s="66" t="str">
        <f t="shared" si="229"/>
        <v/>
      </c>
      <c r="P2070" s="66" t="str">
        <f t="shared" si="230"/>
        <v/>
      </c>
    </row>
    <row r="2071" spans="8:16">
      <c r="H2071" s="66" t="e">
        <f>IF(LEFT(A2071,6)="CEPNTR","GPINS",VLOOKUP(LEFT(A2071,6),'Code Library'!$A$3:$B$920,2,0))&amp;"_"&amp;RIGHT(A2071,3)</f>
        <v>#N/A</v>
      </c>
      <c r="I2071" s="66">
        <f t="shared" si="224"/>
        <v>0</v>
      </c>
      <c r="K2071" s="66" t="str">
        <f t="shared" si="225"/>
        <v/>
      </c>
      <c r="L2071" s="66" t="str">
        <f t="shared" si="226"/>
        <v/>
      </c>
      <c r="M2071" s="66" t="str">
        <f t="shared" si="227"/>
        <v/>
      </c>
      <c r="N2071" s="66" t="str">
        <f t="shared" si="228"/>
        <v/>
      </c>
      <c r="O2071" s="66" t="str">
        <f t="shared" si="229"/>
        <v/>
      </c>
      <c r="P2071" s="66" t="str">
        <f t="shared" si="230"/>
        <v/>
      </c>
    </row>
    <row r="2072" spans="8:16">
      <c r="H2072" s="66" t="e">
        <f>IF(LEFT(A2072,6)="CEPNTR","GPINS",VLOOKUP(LEFT(A2072,6),'Code Library'!$A$3:$B$920,2,0))&amp;"_"&amp;RIGHT(A2072,3)</f>
        <v>#N/A</v>
      </c>
      <c r="I2072" s="66">
        <f t="shared" si="224"/>
        <v>0</v>
      </c>
      <c r="K2072" s="66" t="str">
        <f t="shared" si="225"/>
        <v/>
      </c>
      <c r="L2072" s="66" t="str">
        <f t="shared" si="226"/>
        <v/>
      </c>
      <c r="M2072" s="66" t="str">
        <f t="shared" si="227"/>
        <v/>
      </c>
      <c r="N2072" s="66" t="str">
        <f t="shared" si="228"/>
        <v/>
      </c>
      <c r="O2072" s="66" t="str">
        <f t="shared" si="229"/>
        <v/>
      </c>
      <c r="P2072" s="66" t="str">
        <f t="shared" si="230"/>
        <v/>
      </c>
    </row>
    <row r="2073" spans="8:16">
      <c r="H2073" s="66" t="e">
        <f>IF(LEFT(A2073,6)="CEPNTR","GPINS",VLOOKUP(LEFT(A2073,6),'Code Library'!$A$3:$B$920,2,0))&amp;"_"&amp;RIGHT(A2073,3)</f>
        <v>#N/A</v>
      </c>
      <c r="I2073" s="66">
        <f t="shared" si="224"/>
        <v>0</v>
      </c>
      <c r="K2073" s="66" t="str">
        <f t="shared" si="225"/>
        <v/>
      </c>
      <c r="L2073" s="66" t="str">
        <f t="shared" si="226"/>
        <v/>
      </c>
      <c r="M2073" s="66" t="str">
        <f t="shared" si="227"/>
        <v/>
      </c>
      <c r="N2073" s="66" t="str">
        <f t="shared" si="228"/>
        <v/>
      </c>
      <c r="O2073" s="66" t="str">
        <f t="shared" si="229"/>
        <v/>
      </c>
      <c r="P2073" s="66" t="str">
        <f t="shared" si="230"/>
        <v/>
      </c>
    </row>
    <row r="2074" spans="8:16">
      <c r="H2074" s="66" t="e">
        <f>IF(LEFT(A2074,6)="CEPNTR","GPINS",VLOOKUP(LEFT(A2074,6),'Code Library'!$A$3:$B$920,2,0))&amp;"_"&amp;RIGHT(A2074,3)</f>
        <v>#N/A</v>
      </c>
      <c r="I2074" s="66">
        <f t="shared" si="224"/>
        <v>0</v>
      </c>
      <c r="K2074" s="66" t="str">
        <f t="shared" si="225"/>
        <v/>
      </c>
      <c r="L2074" s="66" t="str">
        <f t="shared" si="226"/>
        <v/>
      </c>
      <c r="M2074" s="66" t="str">
        <f t="shared" si="227"/>
        <v/>
      </c>
      <c r="N2074" s="66" t="str">
        <f t="shared" si="228"/>
        <v/>
      </c>
      <c r="O2074" s="66" t="str">
        <f t="shared" si="229"/>
        <v/>
      </c>
      <c r="P2074" s="66" t="str">
        <f t="shared" si="230"/>
        <v/>
      </c>
    </row>
    <row r="2075" spans="8:16">
      <c r="H2075" s="66" t="e">
        <f>IF(LEFT(A2075,6)="CEPNTR","GPINS",VLOOKUP(LEFT(A2075,6),'Code Library'!$A$3:$B$920,2,0))&amp;"_"&amp;RIGHT(A2075,3)</f>
        <v>#N/A</v>
      </c>
      <c r="I2075" s="66">
        <f t="shared" si="224"/>
        <v>0</v>
      </c>
      <c r="K2075" s="66" t="str">
        <f t="shared" si="225"/>
        <v/>
      </c>
      <c r="L2075" s="66" t="str">
        <f t="shared" si="226"/>
        <v/>
      </c>
      <c r="M2075" s="66" t="str">
        <f t="shared" si="227"/>
        <v/>
      </c>
      <c r="N2075" s="66" t="str">
        <f t="shared" si="228"/>
        <v/>
      </c>
      <c r="O2075" s="66" t="str">
        <f t="shared" si="229"/>
        <v/>
      </c>
      <c r="P2075" s="66" t="str">
        <f t="shared" si="230"/>
        <v/>
      </c>
    </row>
    <row r="2076" spans="8:16">
      <c r="H2076" s="66" t="e">
        <f>IF(LEFT(A2076,6)="CEPNTR","GPINS",VLOOKUP(LEFT(A2076,6),'Code Library'!$A$3:$B$920,2,0))&amp;"_"&amp;RIGHT(A2076,3)</f>
        <v>#N/A</v>
      </c>
      <c r="I2076" s="66">
        <f t="shared" si="224"/>
        <v>0</v>
      </c>
      <c r="K2076" s="66" t="str">
        <f t="shared" si="225"/>
        <v/>
      </c>
      <c r="L2076" s="66" t="str">
        <f t="shared" si="226"/>
        <v/>
      </c>
      <c r="M2076" s="66" t="str">
        <f t="shared" si="227"/>
        <v/>
      </c>
      <c r="N2076" s="66" t="str">
        <f t="shared" si="228"/>
        <v/>
      </c>
      <c r="O2076" s="66" t="str">
        <f t="shared" si="229"/>
        <v/>
      </c>
      <c r="P2076" s="66" t="str">
        <f t="shared" si="230"/>
        <v/>
      </c>
    </row>
    <row r="2077" spans="8:16">
      <c r="H2077" s="66" t="e">
        <f>IF(LEFT(A2077,6)="CEPNTR","GPINS",VLOOKUP(LEFT(A2077,6),'Code Library'!$A$3:$B$920,2,0))&amp;"_"&amp;RIGHT(A2077,3)</f>
        <v>#N/A</v>
      </c>
      <c r="I2077" s="66">
        <f t="shared" si="224"/>
        <v>0</v>
      </c>
      <c r="K2077" s="66" t="str">
        <f t="shared" si="225"/>
        <v/>
      </c>
      <c r="L2077" s="66" t="str">
        <f t="shared" si="226"/>
        <v/>
      </c>
      <c r="M2077" s="66" t="str">
        <f t="shared" si="227"/>
        <v/>
      </c>
      <c r="N2077" s="66" t="str">
        <f t="shared" si="228"/>
        <v/>
      </c>
      <c r="O2077" s="66" t="str">
        <f t="shared" si="229"/>
        <v/>
      </c>
      <c r="P2077" s="66" t="str">
        <f t="shared" si="230"/>
        <v/>
      </c>
    </row>
    <row r="2078" spans="8:16">
      <c r="H2078" s="66" t="e">
        <f>IF(LEFT(A2078,6)="CEPNTR","GPINS",VLOOKUP(LEFT(A2078,6),'Code Library'!$A$3:$B$920,2,0))&amp;"_"&amp;RIGHT(A2078,3)</f>
        <v>#N/A</v>
      </c>
      <c r="I2078" s="66">
        <f t="shared" si="224"/>
        <v>0</v>
      </c>
      <c r="K2078" s="66" t="str">
        <f t="shared" si="225"/>
        <v/>
      </c>
      <c r="L2078" s="66" t="str">
        <f t="shared" si="226"/>
        <v/>
      </c>
      <c r="M2078" s="66" t="str">
        <f t="shared" si="227"/>
        <v/>
      </c>
      <c r="N2078" s="66" t="str">
        <f t="shared" si="228"/>
        <v/>
      </c>
      <c r="O2078" s="66" t="str">
        <f t="shared" si="229"/>
        <v/>
      </c>
      <c r="P2078" s="66" t="str">
        <f t="shared" si="230"/>
        <v/>
      </c>
    </row>
    <row r="2079" spans="8:16">
      <c r="H2079" s="66" t="e">
        <f>IF(LEFT(A2079,6)="CEPNTR","GPINS",VLOOKUP(LEFT(A2079,6),'Code Library'!$A$3:$B$920,2,0))&amp;"_"&amp;RIGHT(A2079,3)</f>
        <v>#N/A</v>
      </c>
      <c r="I2079" s="66">
        <f t="shared" si="224"/>
        <v>0</v>
      </c>
      <c r="K2079" s="66" t="str">
        <f t="shared" si="225"/>
        <v/>
      </c>
      <c r="L2079" s="66" t="str">
        <f t="shared" si="226"/>
        <v/>
      </c>
      <c r="M2079" s="66" t="str">
        <f t="shared" si="227"/>
        <v/>
      </c>
      <c r="N2079" s="66" t="str">
        <f t="shared" si="228"/>
        <v/>
      </c>
      <c r="O2079" s="66" t="str">
        <f t="shared" si="229"/>
        <v/>
      </c>
      <c r="P2079" s="66" t="str">
        <f t="shared" si="230"/>
        <v/>
      </c>
    </row>
    <row r="2080" spans="8:16">
      <c r="H2080" s="66" t="e">
        <f>IF(LEFT(A2080,6)="CEPNTR","GPINS",VLOOKUP(LEFT(A2080,6),'Code Library'!$A$3:$B$920,2,0))&amp;"_"&amp;RIGHT(A2080,3)</f>
        <v>#N/A</v>
      </c>
      <c r="I2080" s="66">
        <f t="shared" si="224"/>
        <v>0</v>
      </c>
      <c r="K2080" s="66" t="str">
        <f t="shared" si="225"/>
        <v/>
      </c>
      <c r="L2080" s="66" t="str">
        <f t="shared" si="226"/>
        <v/>
      </c>
      <c r="M2080" s="66" t="str">
        <f t="shared" si="227"/>
        <v/>
      </c>
      <c r="N2080" s="66" t="str">
        <f t="shared" si="228"/>
        <v/>
      </c>
      <c r="O2080" s="66" t="str">
        <f t="shared" si="229"/>
        <v/>
      </c>
      <c r="P2080" s="66" t="str">
        <f t="shared" si="230"/>
        <v/>
      </c>
    </row>
    <row r="2081" spans="8:16">
      <c r="H2081" s="66" t="e">
        <f>IF(LEFT(A2081,6)="CEPNTR","GPINS",VLOOKUP(LEFT(A2081,6),'Code Library'!$A$3:$B$920,2,0))&amp;"_"&amp;RIGHT(A2081,3)</f>
        <v>#N/A</v>
      </c>
      <c r="I2081" s="66">
        <f t="shared" si="224"/>
        <v>0</v>
      </c>
      <c r="K2081" s="66" t="str">
        <f t="shared" si="225"/>
        <v/>
      </c>
      <c r="L2081" s="66" t="str">
        <f t="shared" si="226"/>
        <v/>
      </c>
      <c r="M2081" s="66" t="str">
        <f t="shared" si="227"/>
        <v/>
      </c>
      <c r="N2081" s="66" t="str">
        <f t="shared" si="228"/>
        <v/>
      </c>
      <c r="O2081" s="66" t="str">
        <f t="shared" si="229"/>
        <v/>
      </c>
      <c r="P2081" s="66" t="str">
        <f t="shared" si="230"/>
        <v/>
      </c>
    </row>
    <row r="2082" spans="8:16">
      <c r="H2082" s="66" t="e">
        <f>IF(LEFT(A2082,6)="CEPNTR","GPINS",VLOOKUP(LEFT(A2082,6),'Code Library'!$A$3:$B$920,2,0))&amp;"_"&amp;RIGHT(A2082,3)</f>
        <v>#N/A</v>
      </c>
      <c r="I2082" s="66">
        <f t="shared" si="224"/>
        <v>0</v>
      </c>
      <c r="K2082" s="66" t="str">
        <f t="shared" si="225"/>
        <v/>
      </c>
      <c r="L2082" s="66" t="str">
        <f t="shared" si="226"/>
        <v/>
      </c>
      <c r="M2082" s="66" t="str">
        <f t="shared" si="227"/>
        <v/>
      </c>
      <c r="N2082" s="66" t="str">
        <f t="shared" si="228"/>
        <v/>
      </c>
      <c r="O2082" s="66" t="str">
        <f t="shared" si="229"/>
        <v/>
      </c>
      <c r="P2082" s="66" t="str">
        <f t="shared" si="230"/>
        <v/>
      </c>
    </row>
    <row r="2083" spans="8:16">
      <c r="H2083" s="66" t="e">
        <f>IF(LEFT(A2083,6)="CEPNTR","GPINS",VLOOKUP(LEFT(A2083,6),'Code Library'!$A$3:$B$920,2,0))&amp;"_"&amp;RIGHT(A2083,3)</f>
        <v>#N/A</v>
      </c>
      <c r="I2083" s="66">
        <f t="shared" si="224"/>
        <v>0</v>
      </c>
      <c r="K2083" s="66" t="str">
        <f t="shared" si="225"/>
        <v/>
      </c>
      <c r="L2083" s="66" t="str">
        <f t="shared" si="226"/>
        <v/>
      </c>
      <c r="M2083" s="66" t="str">
        <f t="shared" si="227"/>
        <v/>
      </c>
      <c r="N2083" s="66" t="str">
        <f t="shared" si="228"/>
        <v/>
      </c>
      <c r="O2083" s="66" t="str">
        <f t="shared" si="229"/>
        <v/>
      </c>
      <c r="P2083" s="66" t="str">
        <f t="shared" si="230"/>
        <v/>
      </c>
    </row>
    <row r="2084" spans="8:16">
      <c r="H2084" s="66" t="e">
        <f>IF(LEFT(A2084,6)="CEPNTR","GPINS",VLOOKUP(LEFT(A2084,6),'Code Library'!$A$3:$B$920,2,0))&amp;"_"&amp;RIGHT(A2084,3)</f>
        <v>#N/A</v>
      </c>
      <c r="I2084" s="66">
        <f t="shared" si="224"/>
        <v>0</v>
      </c>
      <c r="K2084" s="66" t="str">
        <f t="shared" si="225"/>
        <v/>
      </c>
      <c r="L2084" s="66" t="str">
        <f t="shared" si="226"/>
        <v/>
      </c>
      <c r="M2084" s="66" t="str">
        <f t="shared" si="227"/>
        <v/>
      </c>
      <c r="N2084" s="66" t="str">
        <f t="shared" si="228"/>
        <v/>
      </c>
      <c r="O2084" s="66" t="str">
        <f t="shared" si="229"/>
        <v/>
      </c>
      <c r="P2084" s="66" t="str">
        <f t="shared" si="230"/>
        <v/>
      </c>
    </row>
    <row r="2085" spans="8:16">
      <c r="H2085" s="66" t="e">
        <f>IF(LEFT(A2085,6)="CEPNTR","GPINS",VLOOKUP(LEFT(A2085,6),'Code Library'!$A$3:$B$920,2,0))&amp;"_"&amp;RIGHT(A2085,3)</f>
        <v>#N/A</v>
      </c>
      <c r="I2085" s="66">
        <f t="shared" si="224"/>
        <v>0</v>
      </c>
      <c r="K2085" s="66" t="str">
        <f t="shared" si="225"/>
        <v/>
      </c>
      <c r="L2085" s="66" t="str">
        <f t="shared" si="226"/>
        <v/>
      </c>
      <c r="M2085" s="66" t="str">
        <f t="shared" si="227"/>
        <v/>
      </c>
      <c r="N2085" s="66" t="str">
        <f t="shared" si="228"/>
        <v/>
      </c>
      <c r="O2085" s="66" t="str">
        <f t="shared" si="229"/>
        <v/>
      </c>
      <c r="P2085" s="66" t="str">
        <f t="shared" si="230"/>
        <v/>
      </c>
    </row>
    <row r="2086" spans="8:16">
      <c r="H2086" s="66" t="e">
        <f>IF(LEFT(A2086,6)="CEPNTR","GPINS",VLOOKUP(LEFT(A2086,6),'Code Library'!$A$3:$B$920,2,0))&amp;"_"&amp;RIGHT(A2086,3)</f>
        <v>#N/A</v>
      </c>
      <c r="I2086" s="66">
        <f t="shared" si="224"/>
        <v>0</v>
      </c>
      <c r="K2086" s="66" t="str">
        <f t="shared" si="225"/>
        <v/>
      </c>
      <c r="L2086" s="66" t="str">
        <f t="shared" si="226"/>
        <v/>
      </c>
      <c r="M2086" s="66" t="str">
        <f t="shared" si="227"/>
        <v/>
      </c>
      <c r="N2086" s="66" t="str">
        <f t="shared" si="228"/>
        <v/>
      </c>
      <c r="O2086" s="66" t="str">
        <f t="shared" si="229"/>
        <v/>
      </c>
      <c r="P2086" s="66" t="str">
        <f t="shared" si="230"/>
        <v/>
      </c>
    </row>
    <row r="2087" spans="8:16">
      <c r="H2087" s="66" t="e">
        <f>IF(LEFT(A2087,6)="CEPNTR","GPINS",VLOOKUP(LEFT(A2087,6),'Code Library'!$A$3:$B$920,2,0))&amp;"_"&amp;RIGHT(A2087,3)</f>
        <v>#N/A</v>
      </c>
      <c r="I2087" s="66">
        <f t="shared" si="224"/>
        <v>0</v>
      </c>
      <c r="K2087" s="66" t="str">
        <f t="shared" si="225"/>
        <v/>
      </c>
      <c r="L2087" s="66" t="str">
        <f t="shared" si="226"/>
        <v/>
      </c>
      <c r="M2087" s="66" t="str">
        <f t="shared" si="227"/>
        <v/>
      </c>
      <c r="N2087" s="66" t="str">
        <f t="shared" si="228"/>
        <v/>
      </c>
      <c r="O2087" s="66" t="str">
        <f t="shared" si="229"/>
        <v/>
      </c>
      <c r="P2087" s="66" t="str">
        <f t="shared" si="230"/>
        <v/>
      </c>
    </row>
    <row r="2088" spans="8:16">
      <c r="H2088" s="66" t="e">
        <f>IF(LEFT(A2088,6)="CEPNTR","GPINS",VLOOKUP(LEFT(A2088,6),'Code Library'!$A$3:$B$920,2,0))&amp;"_"&amp;RIGHT(A2088,3)</f>
        <v>#N/A</v>
      </c>
      <c r="I2088" s="66">
        <f t="shared" si="224"/>
        <v>0</v>
      </c>
      <c r="K2088" s="66" t="str">
        <f t="shared" si="225"/>
        <v/>
      </c>
      <c r="L2088" s="66" t="str">
        <f t="shared" si="226"/>
        <v/>
      </c>
      <c r="M2088" s="66" t="str">
        <f t="shared" si="227"/>
        <v/>
      </c>
      <c r="N2088" s="66" t="str">
        <f t="shared" si="228"/>
        <v/>
      </c>
      <c r="O2088" s="66" t="str">
        <f t="shared" si="229"/>
        <v/>
      </c>
      <c r="P2088" s="66" t="str">
        <f t="shared" si="230"/>
        <v/>
      </c>
    </row>
    <row r="2089" spans="8:16">
      <c r="H2089" s="66" t="e">
        <f>IF(LEFT(A2089,6)="CEPNTR","GPINS",VLOOKUP(LEFT(A2089,6),'Code Library'!$A$3:$B$920,2,0))&amp;"_"&amp;RIGHT(A2089,3)</f>
        <v>#N/A</v>
      </c>
      <c r="I2089" s="66">
        <f t="shared" si="224"/>
        <v>0</v>
      </c>
      <c r="K2089" s="66" t="str">
        <f t="shared" si="225"/>
        <v/>
      </c>
      <c r="L2089" s="66" t="str">
        <f t="shared" si="226"/>
        <v/>
      </c>
      <c r="M2089" s="66" t="str">
        <f t="shared" si="227"/>
        <v/>
      </c>
      <c r="N2089" s="66" t="str">
        <f t="shared" si="228"/>
        <v/>
      </c>
      <c r="O2089" s="66" t="str">
        <f t="shared" si="229"/>
        <v/>
      </c>
      <c r="P2089" s="66" t="str">
        <f t="shared" si="230"/>
        <v/>
      </c>
    </row>
    <row r="2090" spans="8:16">
      <c r="H2090" s="66" t="e">
        <f>IF(LEFT(A2090,6)="CEPNTR","GPINS",VLOOKUP(LEFT(A2090,6),'Code Library'!$A$3:$B$920,2,0))&amp;"_"&amp;RIGHT(A2090,3)</f>
        <v>#N/A</v>
      </c>
      <c r="I2090" s="66">
        <f t="shared" si="224"/>
        <v>0</v>
      </c>
      <c r="K2090" s="66" t="str">
        <f t="shared" si="225"/>
        <v/>
      </c>
      <c r="L2090" s="66" t="str">
        <f t="shared" si="226"/>
        <v/>
      </c>
      <c r="M2090" s="66" t="str">
        <f t="shared" si="227"/>
        <v/>
      </c>
      <c r="N2090" s="66" t="str">
        <f t="shared" si="228"/>
        <v/>
      </c>
      <c r="O2090" s="66" t="str">
        <f t="shared" si="229"/>
        <v/>
      </c>
      <c r="P2090" s="66" t="str">
        <f t="shared" si="230"/>
        <v/>
      </c>
    </row>
    <row r="2091" spans="8:16">
      <c r="H2091" s="66" t="e">
        <f>IF(LEFT(A2091,6)="CEPNTR","GPINS",VLOOKUP(LEFT(A2091,6),'Code Library'!$A$3:$B$920,2,0))&amp;"_"&amp;RIGHT(A2091,3)</f>
        <v>#N/A</v>
      </c>
      <c r="I2091" s="66">
        <f t="shared" si="224"/>
        <v>0</v>
      </c>
      <c r="K2091" s="66" t="str">
        <f t="shared" si="225"/>
        <v/>
      </c>
      <c r="L2091" s="66" t="str">
        <f t="shared" si="226"/>
        <v/>
      </c>
      <c r="M2091" s="66" t="str">
        <f t="shared" si="227"/>
        <v/>
      </c>
      <c r="N2091" s="66" t="str">
        <f t="shared" si="228"/>
        <v/>
      </c>
      <c r="O2091" s="66" t="str">
        <f t="shared" si="229"/>
        <v/>
      </c>
      <c r="P2091" s="66" t="str">
        <f t="shared" si="230"/>
        <v/>
      </c>
    </row>
    <row r="2092" spans="8:16">
      <c r="H2092" s="66" t="e">
        <f>IF(LEFT(A2092,6)="CEPNTR","GPINS",VLOOKUP(LEFT(A2092,6),'Code Library'!$A$3:$B$920,2,0))&amp;"_"&amp;RIGHT(A2092,3)</f>
        <v>#N/A</v>
      </c>
      <c r="I2092" s="66">
        <f t="shared" si="224"/>
        <v>0</v>
      </c>
      <c r="K2092" s="66" t="str">
        <f t="shared" si="225"/>
        <v/>
      </c>
      <c r="L2092" s="66" t="str">
        <f t="shared" si="226"/>
        <v/>
      </c>
      <c r="M2092" s="66" t="str">
        <f t="shared" si="227"/>
        <v/>
      </c>
      <c r="N2092" s="66" t="str">
        <f t="shared" si="228"/>
        <v/>
      </c>
      <c r="O2092" s="66" t="str">
        <f t="shared" si="229"/>
        <v/>
      </c>
      <c r="P2092" s="66" t="str">
        <f t="shared" si="230"/>
        <v/>
      </c>
    </row>
    <row r="2093" spans="8:16">
      <c r="H2093" s="66" t="e">
        <f>IF(LEFT(A2093,6)="CEPNTR","GPINS",VLOOKUP(LEFT(A2093,6),'Code Library'!$A$3:$B$920,2,0))&amp;"_"&amp;RIGHT(A2093,3)</f>
        <v>#N/A</v>
      </c>
      <c r="I2093" s="66">
        <f t="shared" si="224"/>
        <v>0</v>
      </c>
      <c r="K2093" s="66" t="str">
        <f t="shared" si="225"/>
        <v/>
      </c>
      <c r="L2093" s="66" t="str">
        <f t="shared" si="226"/>
        <v/>
      </c>
      <c r="M2093" s="66" t="str">
        <f t="shared" si="227"/>
        <v/>
      </c>
      <c r="N2093" s="66" t="str">
        <f t="shared" si="228"/>
        <v/>
      </c>
      <c r="O2093" s="66" t="str">
        <f t="shared" si="229"/>
        <v/>
      </c>
      <c r="P2093" s="66" t="str">
        <f t="shared" si="230"/>
        <v/>
      </c>
    </row>
    <row r="2094" spans="8:16">
      <c r="H2094" s="66" t="e">
        <f>IF(LEFT(A2094,6)="CEPNTR","GPINS",VLOOKUP(LEFT(A2094,6),'Code Library'!$A$3:$B$920,2,0))&amp;"_"&amp;RIGHT(A2094,3)</f>
        <v>#N/A</v>
      </c>
      <c r="I2094" s="66">
        <f t="shared" si="224"/>
        <v>0</v>
      </c>
      <c r="K2094" s="66" t="str">
        <f t="shared" si="225"/>
        <v/>
      </c>
      <c r="L2094" s="66" t="str">
        <f t="shared" si="226"/>
        <v/>
      </c>
      <c r="M2094" s="66" t="str">
        <f t="shared" si="227"/>
        <v/>
      </c>
      <c r="N2094" s="66" t="str">
        <f t="shared" si="228"/>
        <v/>
      </c>
      <c r="O2094" s="66" t="str">
        <f t="shared" si="229"/>
        <v/>
      </c>
      <c r="P2094" s="66" t="str">
        <f t="shared" si="230"/>
        <v/>
      </c>
    </row>
    <row r="2095" spans="8:16">
      <c r="H2095" s="66" t="e">
        <f>IF(LEFT(A2095,6)="CEPNTR","GPINS",VLOOKUP(LEFT(A2095,6),'Code Library'!$A$3:$B$920,2,0))&amp;"_"&amp;RIGHT(A2095,3)</f>
        <v>#N/A</v>
      </c>
      <c r="I2095" s="66">
        <f t="shared" si="224"/>
        <v>0</v>
      </c>
      <c r="K2095" s="66" t="str">
        <f t="shared" si="225"/>
        <v/>
      </c>
      <c r="L2095" s="66" t="str">
        <f t="shared" si="226"/>
        <v/>
      </c>
      <c r="M2095" s="66" t="str">
        <f t="shared" si="227"/>
        <v/>
      </c>
      <c r="N2095" s="66" t="str">
        <f t="shared" si="228"/>
        <v/>
      </c>
      <c r="O2095" s="66" t="str">
        <f t="shared" si="229"/>
        <v/>
      </c>
      <c r="P2095" s="66" t="str">
        <f t="shared" si="230"/>
        <v/>
      </c>
    </row>
    <row r="2096" spans="8:16">
      <c r="H2096" s="66" t="e">
        <f>IF(LEFT(A2096,6)="CEPNTR","GPINS",VLOOKUP(LEFT(A2096,6),'Code Library'!$A$3:$B$920,2,0))&amp;"_"&amp;RIGHT(A2096,3)</f>
        <v>#N/A</v>
      </c>
      <c r="I2096" s="66">
        <f t="shared" si="224"/>
        <v>0</v>
      </c>
      <c r="K2096" s="66" t="str">
        <f t="shared" si="225"/>
        <v/>
      </c>
      <c r="L2096" s="66" t="str">
        <f t="shared" si="226"/>
        <v/>
      </c>
      <c r="M2096" s="66" t="str">
        <f t="shared" si="227"/>
        <v/>
      </c>
      <c r="N2096" s="66" t="str">
        <f t="shared" si="228"/>
        <v/>
      </c>
      <c r="O2096" s="66" t="str">
        <f t="shared" si="229"/>
        <v/>
      </c>
      <c r="P2096" s="66" t="str">
        <f t="shared" si="230"/>
        <v/>
      </c>
    </row>
    <row r="2097" spans="8:16">
      <c r="H2097" s="66" t="e">
        <f>IF(LEFT(A2097,6)="CEPNTR","GPINS",VLOOKUP(LEFT(A2097,6),'Code Library'!$A$3:$B$920,2,0))&amp;"_"&amp;RIGHT(A2097,3)</f>
        <v>#N/A</v>
      </c>
      <c r="I2097" s="66">
        <f t="shared" si="224"/>
        <v>0</v>
      </c>
      <c r="K2097" s="66" t="str">
        <f t="shared" si="225"/>
        <v/>
      </c>
      <c r="L2097" s="66" t="str">
        <f t="shared" si="226"/>
        <v/>
      </c>
      <c r="M2097" s="66" t="str">
        <f t="shared" si="227"/>
        <v/>
      </c>
      <c r="N2097" s="66" t="str">
        <f t="shared" si="228"/>
        <v/>
      </c>
      <c r="O2097" s="66" t="str">
        <f t="shared" si="229"/>
        <v/>
      </c>
      <c r="P2097" s="66" t="str">
        <f t="shared" si="230"/>
        <v/>
      </c>
    </row>
    <row r="2098" spans="8:16">
      <c r="H2098" s="66" t="e">
        <f>IF(LEFT(A2098,6)="CEPNTR","GPINS",VLOOKUP(LEFT(A2098,6),'Code Library'!$A$3:$B$920,2,0))&amp;"_"&amp;RIGHT(A2098,3)</f>
        <v>#N/A</v>
      </c>
      <c r="I2098" s="66">
        <f t="shared" si="224"/>
        <v>0</v>
      </c>
      <c r="K2098" s="66" t="str">
        <f t="shared" si="225"/>
        <v/>
      </c>
      <c r="L2098" s="66" t="str">
        <f t="shared" si="226"/>
        <v/>
      </c>
      <c r="M2098" s="66" t="str">
        <f t="shared" si="227"/>
        <v/>
      </c>
      <c r="N2098" s="66" t="str">
        <f t="shared" si="228"/>
        <v/>
      </c>
      <c r="O2098" s="66" t="str">
        <f t="shared" si="229"/>
        <v/>
      </c>
      <c r="P2098" s="66" t="str">
        <f t="shared" si="230"/>
        <v/>
      </c>
    </row>
    <row r="2099" spans="8:16">
      <c r="H2099" s="66" t="e">
        <f>IF(LEFT(A2099,6)="CEPNTR","GPINS",VLOOKUP(LEFT(A2099,6),'Code Library'!$A$3:$B$920,2,0))&amp;"_"&amp;RIGHT(A2099,3)</f>
        <v>#N/A</v>
      </c>
      <c r="I2099" s="66">
        <f t="shared" si="224"/>
        <v>0</v>
      </c>
      <c r="K2099" s="66" t="str">
        <f t="shared" si="225"/>
        <v/>
      </c>
      <c r="L2099" s="66" t="str">
        <f t="shared" si="226"/>
        <v/>
      </c>
      <c r="M2099" s="66" t="str">
        <f t="shared" si="227"/>
        <v/>
      </c>
      <c r="N2099" s="66" t="str">
        <f t="shared" si="228"/>
        <v/>
      </c>
      <c r="O2099" s="66" t="str">
        <f t="shared" si="229"/>
        <v/>
      </c>
      <c r="P2099" s="66" t="str">
        <f t="shared" si="230"/>
        <v/>
      </c>
    </row>
    <row r="2100" spans="8:16">
      <c r="H2100" s="66" t="e">
        <f>IF(LEFT(A2100,6)="CEPNTR","GPINS",VLOOKUP(LEFT(A2100,6),'Code Library'!$A$3:$B$920,2,0))&amp;"_"&amp;RIGHT(A2100,3)</f>
        <v>#N/A</v>
      </c>
      <c r="I2100" s="66">
        <f t="shared" si="224"/>
        <v>0</v>
      </c>
      <c r="K2100" s="66" t="str">
        <f t="shared" si="225"/>
        <v/>
      </c>
      <c r="L2100" s="66" t="str">
        <f t="shared" si="226"/>
        <v/>
      </c>
      <c r="M2100" s="66" t="str">
        <f t="shared" si="227"/>
        <v/>
      </c>
      <c r="N2100" s="66" t="str">
        <f t="shared" si="228"/>
        <v/>
      </c>
      <c r="O2100" s="66" t="str">
        <f t="shared" si="229"/>
        <v/>
      </c>
      <c r="P2100" s="66" t="str">
        <f t="shared" si="230"/>
        <v/>
      </c>
    </row>
    <row r="2101" spans="8:16">
      <c r="H2101" s="66" t="e">
        <f>IF(LEFT(A2101,6)="CEPNTR","GPINS",VLOOKUP(LEFT(A2101,6),'Code Library'!$A$3:$B$920,2,0))&amp;"_"&amp;RIGHT(A2101,3)</f>
        <v>#N/A</v>
      </c>
      <c r="I2101" s="66">
        <f t="shared" si="224"/>
        <v>0</v>
      </c>
      <c r="K2101" s="66" t="str">
        <f t="shared" si="225"/>
        <v/>
      </c>
      <c r="L2101" s="66" t="str">
        <f t="shared" si="226"/>
        <v/>
      </c>
      <c r="M2101" s="66" t="str">
        <f t="shared" si="227"/>
        <v/>
      </c>
      <c r="N2101" s="66" t="str">
        <f t="shared" si="228"/>
        <v/>
      </c>
      <c r="O2101" s="66" t="str">
        <f t="shared" si="229"/>
        <v/>
      </c>
      <c r="P2101" s="66" t="str">
        <f t="shared" si="230"/>
        <v/>
      </c>
    </row>
    <row r="2102" spans="8:16">
      <c r="H2102" s="66" t="e">
        <f>IF(LEFT(A2102,6)="CEPNTR","GPINS",VLOOKUP(LEFT(A2102,6),'Code Library'!$A$3:$B$920,2,0))&amp;"_"&amp;RIGHT(A2102,3)</f>
        <v>#N/A</v>
      </c>
      <c r="I2102" s="66">
        <f t="shared" si="224"/>
        <v>0</v>
      </c>
      <c r="K2102" s="66" t="str">
        <f t="shared" si="225"/>
        <v/>
      </c>
      <c r="L2102" s="66" t="str">
        <f t="shared" si="226"/>
        <v/>
      </c>
      <c r="M2102" s="66" t="str">
        <f t="shared" si="227"/>
        <v/>
      </c>
      <c r="N2102" s="66" t="str">
        <f t="shared" si="228"/>
        <v/>
      </c>
      <c r="O2102" s="66" t="str">
        <f t="shared" si="229"/>
        <v/>
      </c>
      <c r="P2102" s="66" t="str">
        <f t="shared" si="230"/>
        <v/>
      </c>
    </row>
    <row r="2103" spans="8:16">
      <c r="H2103" s="66" t="e">
        <f>IF(LEFT(A2103,6)="CEPNTR","GPINS",VLOOKUP(LEFT(A2103,6),'Code Library'!$A$3:$B$920,2,0))&amp;"_"&amp;RIGHT(A2103,3)</f>
        <v>#N/A</v>
      </c>
      <c r="I2103" s="66">
        <f t="shared" si="224"/>
        <v>0</v>
      </c>
      <c r="K2103" s="66" t="str">
        <f t="shared" si="225"/>
        <v/>
      </c>
      <c r="L2103" s="66" t="str">
        <f t="shared" si="226"/>
        <v/>
      </c>
      <c r="M2103" s="66" t="str">
        <f t="shared" si="227"/>
        <v/>
      </c>
      <c r="N2103" s="66" t="str">
        <f t="shared" si="228"/>
        <v/>
      </c>
      <c r="O2103" s="66" t="str">
        <f t="shared" si="229"/>
        <v/>
      </c>
      <c r="P2103" s="66" t="str">
        <f t="shared" si="230"/>
        <v/>
      </c>
    </row>
    <row r="2104" spans="8:16">
      <c r="H2104" s="66" t="e">
        <f>IF(LEFT(A2104,6)="CEPNTR","GPINS",VLOOKUP(LEFT(A2104,6),'Code Library'!$A$3:$B$920,2,0))&amp;"_"&amp;RIGHT(A2104,3)</f>
        <v>#N/A</v>
      </c>
      <c r="I2104" s="66">
        <f t="shared" si="224"/>
        <v>0</v>
      </c>
      <c r="K2104" s="66" t="str">
        <f t="shared" si="225"/>
        <v/>
      </c>
      <c r="L2104" s="66" t="str">
        <f t="shared" si="226"/>
        <v/>
      </c>
      <c r="M2104" s="66" t="str">
        <f t="shared" si="227"/>
        <v/>
      </c>
      <c r="N2104" s="66" t="str">
        <f t="shared" si="228"/>
        <v/>
      </c>
      <c r="O2104" s="66" t="str">
        <f t="shared" si="229"/>
        <v/>
      </c>
      <c r="P2104" s="66" t="str">
        <f t="shared" si="230"/>
        <v/>
      </c>
    </row>
    <row r="2105" spans="8:16">
      <c r="H2105" s="66" t="e">
        <f>IF(LEFT(A2105,6)="CEPNTR","GPINS",VLOOKUP(LEFT(A2105,6),'Code Library'!$A$3:$B$920,2,0))&amp;"_"&amp;RIGHT(A2105,3)</f>
        <v>#N/A</v>
      </c>
      <c r="I2105" s="66">
        <f t="shared" si="224"/>
        <v>0</v>
      </c>
      <c r="K2105" s="66" t="str">
        <f t="shared" si="225"/>
        <v/>
      </c>
      <c r="L2105" s="66" t="str">
        <f t="shared" si="226"/>
        <v/>
      </c>
      <c r="M2105" s="66" t="str">
        <f t="shared" si="227"/>
        <v/>
      </c>
      <c r="N2105" s="66" t="str">
        <f t="shared" si="228"/>
        <v/>
      </c>
      <c r="O2105" s="66" t="str">
        <f t="shared" si="229"/>
        <v/>
      </c>
      <c r="P2105" s="66" t="str">
        <f t="shared" si="230"/>
        <v/>
      </c>
    </row>
    <row r="2106" spans="8:16">
      <c r="H2106" s="66" t="e">
        <f>IF(LEFT(A2106,6)="CEPNTR","GPINS",VLOOKUP(LEFT(A2106,6),'Code Library'!$A$3:$B$920,2,0))&amp;"_"&amp;RIGHT(A2106,3)</f>
        <v>#N/A</v>
      </c>
      <c r="I2106" s="66">
        <f t="shared" si="224"/>
        <v>0</v>
      </c>
      <c r="K2106" s="66" t="str">
        <f t="shared" si="225"/>
        <v/>
      </c>
      <c r="L2106" s="66" t="str">
        <f t="shared" si="226"/>
        <v/>
      </c>
      <c r="M2106" s="66" t="str">
        <f t="shared" si="227"/>
        <v/>
      </c>
      <c r="N2106" s="66" t="str">
        <f t="shared" si="228"/>
        <v/>
      </c>
      <c r="O2106" s="66" t="str">
        <f t="shared" si="229"/>
        <v/>
      </c>
      <c r="P2106" s="66" t="str">
        <f t="shared" si="230"/>
        <v/>
      </c>
    </row>
    <row r="2107" spans="8:16">
      <c r="H2107" s="66" t="e">
        <f>IF(LEFT(A2107,6)="CEPNTR","GPINS",VLOOKUP(LEFT(A2107,6),'Code Library'!$A$3:$B$920,2,0))&amp;"_"&amp;RIGHT(A2107,3)</f>
        <v>#N/A</v>
      </c>
      <c r="I2107" s="66">
        <f t="shared" si="224"/>
        <v>0</v>
      </c>
      <c r="K2107" s="66" t="str">
        <f t="shared" si="225"/>
        <v/>
      </c>
      <c r="L2107" s="66" t="str">
        <f t="shared" si="226"/>
        <v/>
      </c>
      <c r="M2107" s="66" t="str">
        <f t="shared" si="227"/>
        <v/>
      </c>
      <c r="N2107" s="66" t="str">
        <f t="shared" si="228"/>
        <v/>
      </c>
      <c r="O2107" s="66" t="str">
        <f t="shared" si="229"/>
        <v/>
      </c>
      <c r="P2107" s="66" t="str">
        <f t="shared" si="230"/>
        <v/>
      </c>
    </row>
    <row r="2108" spans="8:16">
      <c r="H2108" s="66" t="e">
        <f>IF(LEFT(A2108,6)="CEPNTR","GPINS",VLOOKUP(LEFT(A2108,6),'Code Library'!$A$3:$B$920,2,0))&amp;"_"&amp;RIGHT(A2108,3)</f>
        <v>#N/A</v>
      </c>
      <c r="I2108" s="66">
        <f t="shared" si="224"/>
        <v>0</v>
      </c>
      <c r="K2108" s="66" t="str">
        <f t="shared" si="225"/>
        <v/>
      </c>
      <c r="L2108" s="66" t="str">
        <f t="shared" si="226"/>
        <v/>
      </c>
      <c r="M2108" s="66" t="str">
        <f t="shared" si="227"/>
        <v/>
      </c>
      <c r="N2108" s="66" t="str">
        <f t="shared" si="228"/>
        <v/>
      </c>
      <c r="O2108" s="66" t="str">
        <f t="shared" si="229"/>
        <v/>
      </c>
      <c r="P2108" s="66" t="str">
        <f t="shared" si="230"/>
        <v/>
      </c>
    </row>
    <row r="2109" spans="8:16">
      <c r="H2109" s="66" t="e">
        <f>IF(LEFT(A2109,6)="CEPNTR","GPINS",VLOOKUP(LEFT(A2109,6),'Code Library'!$A$3:$B$920,2,0))&amp;"_"&amp;RIGHT(A2109,3)</f>
        <v>#N/A</v>
      </c>
      <c r="I2109" s="66">
        <f t="shared" si="224"/>
        <v>0</v>
      </c>
      <c r="K2109" s="66" t="str">
        <f t="shared" si="225"/>
        <v/>
      </c>
      <c r="L2109" s="66" t="str">
        <f t="shared" si="226"/>
        <v/>
      </c>
      <c r="M2109" s="66" t="str">
        <f t="shared" si="227"/>
        <v/>
      </c>
      <c r="N2109" s="66" t="str">
        <f t="shared" si="228"/>
        <v/>
      </c>
      <c r="O2109" s="66" t="str">
        <f t="shared" si="229"/>
        <v/>
      </c>
      <c r="P2109" s="66" t="str">
        <f t="shared" si="230"/>
        <v/>
      </c>
    </row>
    <row r="2110" spans="8:16">
      <c r="H2110" s="66" t="e">
        <f>IF(LEFT(A2110,6)="CEPNTR","GPINS",VLOOKUP(LEFT(A2110,6),'Code Library'!$A$3:$B$920,2,0))&amp;"_"&amp;RIGHT(A2110,3)</f>
        <v>#N/A</v>
      </c>
      <c r="I2110" s="66">
        <f t="shared" si="224"/>
        <v>0</v>
      </c>
      <c r="K2110" s="66" t="str">
        <f t="shared" si="225"/>
        <v/>
      </c>
      <c r="L2110" s="66" t="str">
        <f t="shared" si="226"/>
        <v/>
      </c>
      <c r="M2110" s="66" t="str">
        <f t="shared" si="227"/>
        <v/>
      </c>
      <c r="N2110" s="66" t="str">
        <f t="shared" si="228"/>
        <v/>
      </c>
      <c r="O2110" s="66" t="str">
        <f t="shared" si="229"/>
        <v/>
      </c>
      <c r="P2110" s="66" t="str">
        <f t="shared" si="230"/>
        <v/>
      </c>
    </row>
    <row r="2111" spans="8:16">
      <c r="H2111" s="66" t="e">
        <f>IF(LEFT(A2111,6)="CEPNTR","GPINS",VLOOKUP(LEFT(A2111,6),'Code Library'!$A$3:$B$920,2,0))&amp;"_"&amp;RIGHT(A2111,3)</f>
        <v>#N/A</v>
      </c>
      <c r="I2111" s="66">
        <f t="shared" si="224"/>
        <v>0</v>
      </c>
      <c r="K2111" s="66" t="str">
        <f t="shared" si="225"/>
        <v/>
      </c>
      <c r="L2111" s="66" t="str">
        <f t="shared" si="226"/>
        <v/>
      </c>
      <c r="M2111" s="66" t="str">
        <f t="shared" si="227"/>
        <v/>
      </c>
      <c r="N2111" s="66" t="str">
        <f t="shared" si="228"/>
        <v/>
      </c>
      <c r="O2111" s="66" t="str">
        <f t="shared" si="229"/>
        <v/>
      </c>
      <c r="P2111" s="66" t="str">
        <f t="shared" si="230"/>
        <v/>
      </c>
    </row>
    <row r="2112" spans="8:16">
      <c r="H2112" s="66" t="e">
        <f>IF(LEFT(A2112,6)="CEPNTR","GPINS",VLOOKUP(LEFT(A2112,6),'Code Library'!$A$3:$B$920,2,0))&amp;"_"&amp;RIGHT(A2112,3)</f>
        <v>#N/A</v>
      </c>
      <c r="I2112" s="66">
        <f t="shared" si="224"/>
        <v>0</v>
      </c>
      <c r="K2112" s="66" t="str">
        <f t="shared" si="225"/>
        <v/>
      </c>
      <c r="L2112" s="66" t="str">
        <f t="shared" si="226"/>
        <v/>
      </c>
      <c r="M2112" s="66" t="str">
        <f t="shared" si="227"/>
        <v/>
      </c>
      <c r="N2112" s="66" t="str">
        <f t="shared" si="228"/>
        <v/>
      </c>
      <c r="O2112" s="66" t="str">
        <f t="shared" si="229"/>
        <v/>
      </c>
      <c r="P2112" s="66" t="str">
        <f t="shared" si="230"/>
        <v/>
      </c>
    </row>
    <row r="2113" spans="8:16">
      <c r="H2113" s="66" t="e">
        <f>IF(LEFT(A2113,6)="CEPNTR","GPINS",VLOOKUP(LEFT(A2113,6),'Code Library'!$A$3:$B$920,2,0))&amp;"_"&amp;RIGHT(A2113,3)</f>
        <v>#N/A</v>
      </c>
      <c r="I2113" s="66">
        <f t="shared" si="224"/>
        <v>0</v>
      </c>
      <c r="K2113" s="66" t="str">
        <f t="shared" si="225"/>
        <v/>
      </c>
      <c r="L2113" s="66" t="str">
        <f t="shared" si="226"/>
        <v/>
      </c>
      <c r="M2113" s="66" t="str">
        <f t="shared" si="227"/>
        <v/>
      </c>
      <c r="N2113" s="66" t="str">
        <f t="shared" si="228"/>
        <v/>
      </c>
      <c r="O2113" s="66" t="str">
        <f t="shared" si="229"/>
        <v/>
      </c>
      <c r="P2113" s="66" t="str">
        <f t="shared" si="230"/>
        <v/>
      </c>
    </row>
    <row r="2114" spans="8:16">
      <c r="H2114" s="66" t="e">
        <f>IF(LEFT(A2114,6)="CEPNTR","GPINS",VLOOKUP(LEFT(A2114,6),'Code Library'!$A$3:$B$920,2,0))&amp;"_"&amp;RIGHT(A2114,3)</f>
        <v>#N/A</v>
      </c>
      <c r="I2114" s="66">
        <f t="shared" si="224"/>
        <v>0</v>
      </c>
      <c r="K2114" s="66" t="str">
        <f t="shared" si="225"/>
        <v/>
      </c>
      <c r="L2114" s="66" t="str">
        <f t="shared" si="226"/>
        <v/>
      </c>
      <c r="M2114" s="66" t="str">
        <f t="shared" si="227"/>
        <v/>
      </c>
      <c r="N2114" s="66" t="str">
        <f t="shared" si="228"/>
        <v/>
      </c>
      <c r="O2114" s="66" t="str">
        <f t="shared" si="229"/>
        <v/>
      </c>
      <c r="P2114" s="66" t="str">
        <f t="shared" si="230"/>
        <v/>
      </c>
    </row>
    <row r="2115" spans="8:16">
      <c r="H2115" s="66" t="e">
        <f>IF(LEFT(A2115,6)="CEPNTR","GPINS",VLOOKUP(LEFT(A2115,6),'Code Library'!$A$3:$B$920,2,0))&amp;"_"&amp;RIGHT(A2115,3)</f>
        <v>#N/A</v>
      </c>
      <c r="I2115" s="66">
        <f t="shared" ref="I2115:I2178" si="231">A2115</f>
        <v>0</v>
      </c>
      <c r="K2115" s="66" t="str">
        <f t="shared" ref="K2115:K2178" si="232">RIGHT($B2115,2)</f>
        <v/>
      </c>
      <c r="L2115" s="66" t="str">
        <f t="shared" ref="L2115:L2178" si="233">LEFT(RIGHT($B2115,7),4)</f>
        <v/>
      </c>
      <c r="M2115" s="66" t="str">
        <f t="shared" ref="M2115:M2178" si="234">LEFT(RIGHT($B2115,10),2)</f>
        <v/>
      </c>
      <c r="N2115" s="66" t="str">
        <f t="shared" ref="N2115:N2178" si="235">LEFT(RIGHT($B2115,14),3)</f>
        <v/>
      </c>
      <c r="O2115" s="66" t="str">
        <f t="shared" ref="O2115:O2178" si="236">LEFT(RIGHT($B2115,16),1)</f>
        <v/>
      </c>
      <c r="P2115" s="66" t="str">
        <f t="shared" ref="P2115:P2178" si="237">LEFT(RIGHT($B2115,19),2)</f>
        <v/>
      </c>
    </row>
    <row r="2116" spans="8:16">
      <c r="H2116" s="66" t="e">
        <f>IF(LEFT(A2116,6)="CEPNTR","GPINS",VLOOKUP(LEFT(A2116,6),'Code Library'!$A$3:$B$920,2,0))&amp;"_"&amp;RIGHT(A2116,3)</f>
        <v>#N/A</v>
      </c>
      <c r="I2116" s="66">
        <f t="shared" si="231"/>
        <v>0</v>
      </c>
      <c r="K2116" s="66" t="str">
        <f t="shared" si="232"/>
        <v/>
      </c>
      <c r="L2116" s="66" t="str">
        <f t="shared" si="233"/>
        <v/>
      </c>
      <c r="M2116" s="66" t="str">
        <f t="shared" si="234"/>
        <v/>
      </c>
      <c r="N2116" s="66" t="str">
        <f t="shared" si="235"/>
        <v/>
      </c>
      <c r="O2116" s="66" t="str">
        <f t="shared" si="236"/>
        <v/>
      </c>
      <c r="P2116" s="66" t="str">
        <f t="shared" si="237"/>
        <v/>
      </c>
    </row>
    <row r="2117" spans="8:16">
      <c r="H2117" s="66" t="e">
        <f>IF(LEFT(A2117,6)="CEPNTR","GPINS",VLOOKUP(LEFT(A2117,6),'Code Library'!$A$3:$B$920,2,0))&amp;"_"&amp;RIGHT(A2117,3)</f>
        <v>#N/A</v>
      </c>
      <c r="I2117" s="66">
        <f t="shared" si="231"/>
        <v>0</v>
      </c>
      <c r="K2117" s="66" t="str">
        <f t="shared" si="232"/>
        <v/>
      </c>
      <c r="L2117" s="66" t="str">
        <f t="shared" si="233"/>
        <v/>
      </c>
      <c r="M2117" s="66" t="str">
        <f t="shared" si="234"/>
        <v/>
      </c>
      <c r="N2117" s="66" t="str">
        <f t="shared" si="235"/>
        <v/>
      </c>
      <c r="O2117" s="66" t="str">
        <f t="shared" si="236"/>
        <v/>
      </c>
      <c r="P2117" s="66" t="str">
        <f t="shared" si="237"/>
        <v/>
      </c>
    </row>
    <row r="2118" spans="8:16">
      <c r="H2118" s="66" t="e">
        <f>IF(LEFT(A2118,6)="CEPNTR","GPINS",VLOOKUP(LEFT(A2118,6),'Code Library'!$A$3:$B$920,2,0))&amp;"_"&amp;RIGHT(A2118,3)</f>
        <v>#N/A</v>
      </c>
      <c r="I2118" s="66">
        <f t="shared" si="231"/>
        <v>0</v>
      </c>
      <c r="K2118" s="66" t="str">
        <f t="shared" si="232"/>
        <v/>
      </c>
      <c r="L2118" s="66" t="str">
        <f t="shared" si="233"/>
        <v/>
      </c>
      <c r="M2118" s="66" t="str">
        <f t="shared" si="234"/>
        <v/>
      </c>
      <c r="N2118" s="66" t="str">
        <f t="shared" si="235"/>
        <v/>
      </c>
      <c r="O2118" s="66" t="str">
        <f t="shared" si="236"/>
        <v/>
      </c>
      <c r="P2118" s="66" t="str">
        <f t="shared" si="237"/>
        <v/>
      </c>
    </row>
    <row r="2119" spans="8:16">
      <c r="H2119" s="66" t="e">
        <f>IF(LEFT(A2119,6)="CEPNTR","GPINS",VLOOKUP(LEFT(A2119,6),'Code Library'!$A$3:$B$920,2,0))&amp;"_"&amp;RIGHT(A2119,3)</f>
        <v>#N/A</v>
      </c>
      <c r="I2119" s="66">
        <f t="shared" si="231"/>
        <v>0</v>
      </c>
      <c r="K2119" s="66" t="str">
        <f t="shared" si="232"/>
        <v/>
      </c>
      <c r="L2119" s="66" t="str">
        <f t="shared" si="233"/>
        <v/>
      </c>
      <c r="M2119" s="66" t="str">
        <f t="shared" si="234"/>
        <v/>
      </c>
      <c r="N2119" s="66" t="str">
        <f t="shared" si="235"/>
        <v/>
      </c>
      <c r="O2119" s="66" t="str">
        <f t="shared" si="236"/>
        <v/>
      </c>
      <c r="P2119" s="66" t="str">
        <f t="shared" si="237"/>
        <v/>
      </c>
    </row>
    <row r="2120" spans="8:16">
      <c r="H2120" s="66" t="e">
        <f>IF(LEFT(A2120,6)="CEPNTR","GPINS",VLOOKUP(LEFT(A2120,6),'Code Library'!$A$3:$B$920,2,0))&amp;"_"&amp;RIGHT(A2120,3)</f>
        <v>#N/A</v>
      </c>
      <c r="I2120" s="66">
        <f t="shared" si="231"/>
        <v>0</v>
      </c>
      <c r="K2120" s="66" t="str">
        <f t="shared" si="232"/>
        <v/>
      </c>
      <c r="L2120" s="66" t="str">
        <f t="shared" si="233"/>
        <v/>
      </c>
      <c r="M2120" s="66" t="str">
        <f t="shared" si="234"/>
        <v/>
      </c>
      <c r="N2120" s="66" t="str">
        <f t="shared" si="235"/>
        <v/>
      </c>
      <c r="O2120" s="66" t="str">
        <f t="shared" si="236"/>
        <v/>
      </c>
      <c r="P2120" s="66" t="str">
        <f t="shared" si="237"/>
        <v/>
      </c>
    </row>
    <row r="2121" spans="8:16">
      <c r="H2121" s="66" t="e">
        <f>IF(LEFT(A2121,6)="CEPNTR","GPINS",VLOOKUP(LEFT(A2121,6),'Code Library'!$A$3:$B$920,2,0))&amp;"_"&amp;RIGHT(A2121,3)</f>
        <v>#N/A</v>
      </c>
      <c r="I2121" s="66">
        <f t="shared" si="231"/>
        <v>0</v>
      </c>
      <c r="K2121" s="66" t="str">
        <f t="shared" si="232"/>
        <v/>
      </c>
      <c r="L2121" s="66" t="str">
        <f t="shared" si="233"/>
        <v/>
      </c>
      <c r="M2121" s="66" t="str">
        <f t="shared" si="234"/>
        <v/>
      </c>
      <c r="N2121" s="66" t="str">
        <f t="shared" si="235"/>
        <v/>
      </c>
      <c r="O2121" s="66" t="str">
        <f t="shared" si="236"/>
        <v/>
      </c>
      <c r="P2121" s="66" t="str">
        <f t="shared" si="237"/>
        <v/>
      </c>
    </row>
    <row r="2122" spans="8:16">
      <c r="H2122" s="66" t="e">
        <f>IF(LEFT(A2122,6)="CEPNTR","GPINS",VLOOKUP(LEFT(A2122,6),'Code Library'!$A$3:$B$920,2,0))&amp;"_"&amp;RIGHT(A2122,3)</f>
        <v>#N/A</v>
      </c>
      <c r="I2122" s="66">
        <f t="shared" si="231"/>
        <v>0</v>
      </c>
      <c r="K2122" s="66" t="str">
        <f t="shared" si="232"/>
        <v/>
      </c>
      <c r="L2122" s="66" t="str">
        <f t="shared" si="233"/>
        <v/>
      </c>
      <c r="M2122" s="66" t="str">
        <f t="shared" si="234"/>
        <v/>
      </c>
      <c r="N2122" s="66" t="str">
        <f t="shared" si="235"/>
        <v/>
      </c>
      <c r="O2122" s="66" t="str">
        <f t="shared" si="236"/>
        <v/>
      </c>
      <c r="P2122" s="66" t="str">
        <f t="shared" si="237"/>
        <v/>
      </c>
    </row>
    <row r="2123" spans="8:16">
      <c r="H2123" s="66" t="e">
        <f>IF(LEFT(A2123,6)="CEPNTR","GPINS",VLOOKUP(LEFT(A2123,6),'Code Library'!$A$3:$B$920,2,0))&amp;"_"&amp;RIGHT(A2123,3)</f>
        <v>#N/A</v>
      </c>
      <c r="I2123" s="66">
        <f t="shared" si="231"/>
        <v>0</v>
      </c>
      <c r="K2123" s="66" t="str">
        <f t="shared" si="232"/>
        <v/>
      </c>
      <c r="L2123" s="66" t="str">
        <f t="shared" si="233"/>
        <v/>
      </c>
      <c r="M2123" s="66" t="str">
        <f t="shared" si="234"/>
        <v/>
      </c>
      <c r="N2123" s="66" t="str">
        <f t="shared" si="235"/>
        <v/>
      </c>
      <c r="O2123" s="66" t="str">
        <f t="shared" si="236"/>
        <v/>
      </c>
      <c r="P2123" s="66" t="str">
        <f t="shared" si="237"/>
        <v/>
      </c>
    </row>
    <row r="2124" spans="8:16">
      <c r="H2124" s="66" t="e">
        <f>IF(LEFT(A2124,6)="CEPNTR","GPINS",VLOOKUP(LEFT(A2124,6),'Code Library'!$A$3:$B$920,2,0))&amp;"_"&amp;RIGHT(A2124,3)</f>
        <v>#N/A</v>
      </c>
      <c r="I2124" s="66">
        <f t="shared" si="231"/>
        <v>0</v>
      </c>
      <c r="K2124" s="66" t="str">
        <f t="shared" si="232"/>
        <v/>
      </c>
      <c r="L2124" s="66" t="str">
        <f t="shared" si="233"/>
        <v/>
      </c>
      <c r="M2124" s="66" t="str">
        <f t="shared" si="234"/>
        <v/>
      </c>
      <c r="N2124" s="66" t="str">
        <f t="shared" si="235"/>
        <v/>
      </c>
      <c r="O2124" s="66" t="str">
        <f t="shared" si="236"/>
        <v/>
      </c>
      <c r="P2124" s="66" t="str">
        <f t="shared" si="237"/>
        <v/>
      </c>
    </row>
    <row r="2125" spans="8:16">
      <c r="H2125" s="66" t="e">
        <f>IF(LEFT(A2125,6)="CEPNTR","GPINS",VLOOKUP(LEFT(A2125,6),'Code Library'!$A$3:$B$920,2,0))&amp;"_"&amp;RIGHT(A2125,3)</f>
        <v>#N/A</v>
      </c>
      <c r="I2125" s="66">
        <f t="shared" si="231"/>
        <v>0</v>
      </c>
      <c r="K2125" s="66" t="str">
        <f t="shared" si="232"/>
        <v/>
      </c>
      <c r="L2125" s="66" t="str">
        <f t="shared" si="233"/>
        <v/>
      </c>
      <c r="M2125" s="66" t="str">
        <f t="shared" si="234"/>
        <v/>
      </c>
      <c r="N2125" s="66" t="str">
        <f t="shared" si="235"/>
        <v/>
      </c>
      <c r="O2125" s="66" t="str">
        <f t="shared" si="236"/>
        <v/>
      </c>
      <c r="P2125" s="66" t="str">
        <f t="shared" si="237"/>
        <v/>
      </c>
    </row>
    <row r="2126" spans="8:16">
      <c r="H2126" s="66" t="e">
        <f>IF(LEFT(A2126,6)="CEPNTR","GPINS",VLOOKUP(LEFT(A2126,6),'Code Library'!$A$3:$B$920,2,0))&amp;"_"&amp;RIGHT(A2126,3)</f>
        <v>#N/A</v>
      </c>
      <c r="I2126" s="66">
        <f t="shared" si="231"/>
        <v>0</v>
      </c>
      <c r="K2126" s="66" t="str">
        <f t="shared" si="232"/>
        <v/>
      </c>
      <c r="L2126" s="66" t="str">
        <f t="shared" si="233"/>
        <v/>
      </c>
      <c r="M2126" s="66" t="str">
        <f t="shared" si="234"/>
        <v/>
      </c>
      <c r="N2126" s="66" t="str">
        <f t="shared" si="235"/>
        <v/>
      </c>
      <c r="O2126" s="66" t="str">
        <f t="shared" si="236"/>
        <v/>
      </c>
      <c r="P2126" s="66" t="str">
        <f t="shared" si="237"/>
        <v/>
      </c>
    </row>
    <row r="2127" spans="8:16">
      <c r="H2127" s="66" t="e">
        <f>IF(LEFT(A2127,6)="CEPNTR","GPINS",VLOOKUP(LEFT(A2127,6),'Code Library'!$A$3:$B$920,2,0))&amp;"_"&amp;RIGHT(A2127,3)</f>
        <v>#N/A</v>
      </c>
      <c r="I2127" s="66">
        <f t="shared" si="231"/>
        <v>0</v>
      </c>
      <c r="K2127" s="66" t="str">
        <f t="shared" si="232"/>
        <v/>
      </c>
      <c r="L2127" s="66" t="str">
        <f t="shared" si="233"/>
        <v/>
      </c>
      <c r="M2127" s="66" t="str">
        <f t="shared" si="234"/>
        <v/>
      </c>
      <c r="N2127" s="66" t="str">
        <f t="shared" si="235"/>
        <v/>
      </c>
      <c r="O2127" s="66" t="str">
        <f t="shared" si="236"/>
        <v/>
      </c>
      <c r="P2127" s="66" t="str">
        <f t="shared" si="237"/>
        <v/>
      </c>
    </row>
    <row r="2128" spans="8:16">
      <c r="H2128" s="66" t="e">
        <f>IF(LEFT(A2128,6)="CEPNTR","GPINS",VLOOKUP(LEFT(A2128,6),'Code Library'!$A$3:$B$920,2,0))&amp;"_"&amp;RIGHT(A2128,3)</f>
        <v>#N/A</v>
      </c>
      <c r="I2128" s="66">
        <f t="shared" si="231"/>
        <v>0</v>
      </c>
      <c r="K2128" s="66" t="str">
        <f t="shared" si="232"/>
        <v/>
      </c>
      <c r="L2128" s="66" t="str">
        <f t="shared" si="233"/>
        <v/>
      </c>
      <c r="M2128" s="66" t="str">
        <f t="shared" si="234"/>
        <v/>
      </c>
      <c r="N2128" s="66" t="str">
        <f t="shared" si="235"/>
        <v/>
      </c>
      <c r="O2128" s="66" t="str">
        <f t="shared" si="236"/>
        <v/>
      </c>
      <c r="P2128" s="66" t="str">
        <f t="shared" si="237"/>
        <v/>
      </c>
    </row>
    <row r="2129" spans="8:16">
      <c r="H2129" s="66" t="e">
        <f>IF(LEFT(A2129,6)="CEPNTR","GPINS",VLOOKUP(LEFT(A2129,6),'Code Library'!$A$3:$B$920,2,0))&amp;"_"&amp;RIGHT(A2129,3)</f>
        <v>#N/A</v>
      </c>
      <c r="I2129" s="66">
        <f t="shared" si="231"/>
        <v>0</v>
      </c>
      <c r="K2129" s="66" t="str">
        <f t="shared" si="232"/>
        <v/>
      </c>
      <c r="L2129" s="66" t="str">
        <f t="shared" si="233"/>
        <v/>
      </c>
      <c r="M2129" s="66" t="str">
        <f t="shared" si="234"/>
        <v/>
      </c>
      <c r="N2129" s="66" t="str">
        <f t="shared" si="235"/>
        <v/>
      </c>
      <c r="O2129" s="66" t="str">
        <f t="shared" si="236"/>
        <v/>
      </c>
      <c r="P2129" s="66" t="str">
        <f t="shared" si="237"/>
        <v/>
      </c>
    </row>
    <row r="2130" spans="8:16">
      <c r="H2130" s="66" t="e">
        <f>IF(LEFT(A2130,6)="CEPNTR","GPINS",VLOOKUP(LEFT(A2130,6),'Code Library'!$A$3:$B$920,2,0))&amp;"_"&amp;RIGHT(A2130,3)</f>
        <v>#N/A</v>
      </c>
      <c r="I2130" s="66">
        <f t="shared" si="231"/>
        <v>0</v>
      </c>
      <c r="K2130" s="66" t="str">
        <f t="shared" si="232"/>
        <v/>
      </c>
      <c r="L2130" s="66" t="str">
        <f t="shared" si="233"/>
        <v/>
      </c>
      <c r="M2130" s="66" t="str">
        <f t="shared" si="234"/>
        <v/>
      </c>
      <c r="N2130" s="66" t="str">
        <f t="shared" si="235"/>
        <v/>
      </c>
      <c r="O2130" s="66" t="str">
        <f t="shared" si="236"/>
        <v/>
      </c>
      <c r="P2130" s="66" t="str">
        <f t="shared" si="237"/>
        <v/>
      </c>
    </row>
    <row r="2131" spans="8:16">
      <c r="H2131" s="66" t="e">
        <f>IF(LEFT(A2131,6)="CEPNTR","GPINS",VLOOKUP(LEFT(A2131,6),'Code Library'!$A$3:$B$920,2,0))&amp;"_"&amp;RIGHT(A2131,3)</f>
        <v>#N/A</v>
      </c>
      <c r="I2131" s="66">
        <f t="shared" si="231"/>
        <v>0</v>
      </c>
      <c r="K2131" s="66" t="str">
        <f t="shared" si="232"/>
        <v/>
      </c>
      <c r="L2131" s="66" t="str">
        <f t="shared" si="233"/>
        <v/>
      </c>
      <c r="M2131" s="66" t="str">
        <f t="shared" si="234"/>
        <v/>
      </c>
      <c r="N2131" s="66" t="str">
        <f t="shared" si="235"/>
        <v/>
      </c>
      <c r="O2131" s="66" t="str">
        <f t="shared" si="236"/>
        <v/>
      </c>
      <c r="P2131" s="66" t="str">
        <f t="shared" si="237"/>
        <v/>
      </c>
    </row>
    <row r="2132" spans="8:16">
      <c r="H2132" s="66" t="e">
        <f>IF(LEFT(A2132,6)="CEPNTR","GPINS",VLOOKUP(LEFT(A2132,6),'Code Library'!$A$3:$B$920,2,0))&amp;"_"&amp;RIGHT(A2132,3)</f>
        <v>#N/A</v>
      </c>
      <c r="I2132" s="66">
        <f t="shared" si="231"/>
        <v>0</v>
      </c>
      <c r="K2132" s="66" t="str">
        <f t="shared" si="232"/>
        <v/>
      </c>
      <c r="L2132" s="66" t="str">
        <f t="shared" si="233"/>
        <v/>
      </c>
      <c r="M2132" s="66" t="str">
        <f t="shared" si="234"/>
        <v/>
      </c>
      <c r="N2132" s="66" t="str">
        <f t="shared" si="235"/>
        <v/>
      </c>
      <c r="O2132" s="66" t="str">
        <f t="shared" si="236"/>
        <v/>
      </c>
      <c r="P2132" s="66" t="str">
        <f t="shared" si="237"/>
        <v/>
      </c>
    </row>
    <row r="2133" spans="8:16">
      <c r="H2133" s="66" t="e">
        <f>IF(LEFT(A2133,6)="CEPNTR","GPINS",VLOOKUP(LEFT(A2133,6),'Code Library'!$A$3:$B$920,2,0))&amp;"_"&amp;RIGHT(A2133,3)</f>
        <v>#N/A</v>
      </c>
      <c r="I2133" s="66">
        <f t="shared" si="231"/>
        <v>0</v>
      </c>
      <c r="K2133" s="66" t="str">
        <f t="shared" si="232"/>
        <v/>
      </c>
      <c r="L2133" s="66" t="str">
        <f t="shared" si="233"/>
        <v/>
      </c>
      <c r="M2133" s="66" t="str">
        <f t="shared" si="234"/>
        <v/>
      </c>
      <c r="N2133" s="66" t="str">
        <f t="shared" si="235"/>
        <v/>
      </c>
      <c r="O2133" s="66" t="str">
        <f t="shared" si="236"/>
        <v/>
      </c>
      <c r="P2133" s="66" t="str">
        <f t="shared" si="237"/>
        <v/>
      </c>
    </row>
    <row r="2134" spans="8:16">
      <c r="H2134" s="66" t="e">
        <f>IF(LEFT(A2134,6)="CEPNTR","GPINS",VLOOKUP(LEFT(A2134,6),'Code Library'!$A$3:$B$920,2,0))&amp;"_"&amp;RIGHT(A2134,3)</f>
        <v>#N/A</v>
      </c>
      <c r="I2134" s="66">
        <f t="shared" si="231"/>
        <v>0</v>
      </c>
      <c r="K2134" s="66" t="str">
        <f t="shared" si="232"/>
        <v/>
      </c>
      <c r="L2134" s="66" t="str">
        <f t="shared" si="233"/>
        <v/>
      </c>
      <c r="M2134" s="66" t="str">
        <f t="shared" si="234"/>
        <v/>
      </c>
      <c r="N2134" s="66" t="str">
        <f t="shared" si="235"/>
        <v/>
      </c>
      <c r="O2134" s="66" t="str">
        <f t="shared" si="236"/>
        <v/>
      </c>
      <c r="P2134" s="66" t="str">
        <f t="shared" si="237"/>
        <v/>
      </c>
    </row>
    <row r="2135" spans="8:16">
      <c r="H2135" s="66" t="e">
        <f>IF(LEFT(A2135,6)="CEPNTR","GPINS",VLOOKUP(LEFT(A2135,6),'Code Library'!$A$3:$B$920,2,0))&amp;"_"&amp;RIGHT(A2135,3)</f>
        <v>#N/A</v>
      </c>
      <c r="I2135" s="66">
        <f t="shared" si="231"/>
        <v>0</v>
      </c>
      <c r="K2135" s="66" t="str">
        <f t="shared" si="232"/>
        <v/>
      </c>
      <c r="L2135" s="66" t="str">
        <f t="shared" si="233"/>
        <v/>
      </c>
      <c r="M2135" s="66" t="str">
        <f t="shared" si="234"/>
        <v/>
      </c>
      <c r="N2135" s="66" t="str">
        <f t="shared" si="235"/>
        <v/>
      </c>
      <c r="O2135" s="66" t="str">
        <f t="shared" si="236"/>
        <v/>
      </c>
      <c r="P2135" s="66" t="str">
        <f t="shared" si="237"/>
        <v/>
      </c>
    </row>
    <row r="2136" spans="8:16">
      <c r="H2136" s="66" t="e">
        <f>IF(LEFT(A2136,6)="CEPNTR","GPINS",VLOOKUP(LEFT(A2136,6),'Code Library'!$A$3:$B$920,2,0))&amp;"_"&amp;RIGHT(A2136,3)</f>
        <v>#N/A</v>
      </c>
      <c r="I2136" s="66">
        <f t="shared" si="231"/>
        <v>0</v>
      </c>
      <c r="K2136" s="66" t="str">
        <f t="shared" si="232"/>
        <v/>
      </c>
      <c r="L2136" s="66" t="str">
        <f t="shared" si="233"/>
        <v/>
      </c>
      <c r="M2136" s="66" t="str">
        <f t="shared" si="234"/>
        <v/>
      </c>
      <c r="N2136" s="66" t="str">
        <f t="shared" si="235"/>
        <v/>
      </c>
      <c r="O2136" s="66" t="str">
        <f t="shared" si="236"/>
        <v/>
      </c>
      <c r="P2136" s="66" t="str">
        <f t="shared" si="237"/>
        <v/>
      </c>
    </row>
    <row r="2137" spans="8:16">
      <c r="H2137" s="66" t="e">
        <f>IF(LEFT(A2137,6)="CEPNTR","GPINS",VLOOKUP(LEFT(A2137,6),'Code Library'!$A$3:$B$920,2,0))&amp;"_"&amp;RIGHT(A2137,3)</f>
        <v>#N/A</v>
      </c>
      <c r="I2137" s="66">
        <f t="shared" si="231"/>
        <v>0</v>
      </c>
      <c r="K2137" s="66" t="str">
        <f t="shared" si="232"/>
        <v/>
      </c>
      <c r="L2137" s="66" t="str">
        <f t="shared" si="233"/>
        <v/>
      </c>
      <c r="M2137" s="66" t="str">
        <f t="shared" si="234"/>
        <v/>
      </c>
      <c r="N2137" s="66" t="str">
        <f t="shared" si="235"/>
        <v/>
      </c>
      <c r="O2137" s="66" t="str">
        <f t="shared" si="236"/>
        <v/>
      </c>
      <c r="P2137" s="66" t="str">
        <f t="shared" si="237"/>
        <v/>
      </c>
    </row>
    <row r="2138" spans="8:16">
      <c r="H2138" s="66" t="e">
        <f>IF(LEFT(A2138,6)="CEPNTR","GPINS",VLOOKUP(LEFT(A2138,6),'Code Library'!$A$3:$B$920,2,0))&amp;"_"&amp;RIGHT(A2138,3)</f>
        <v>#N/A</v>
      </c>
      <c r="I2138" s="66">
        <f t="shared" si="231"/>
        <v>0</v>
      </c>
      <c r="K2138" s="66" t="str">
        <f t="shared" si="232"/>
        <v/>
      </c>
      <c r="L2138" s="66" t="str">
        <f t="shared" si="233"/>
        <v/>
      </c>
      <c r="M2138" s="66" t="str">
        <f t="shared" si="234"/>
        <v/>
      </c>
      <c r="N2138" s="66" t="str">
        <f t="shared" si="235"/>
        <v/>
      </c>
      <c r="O2138" s="66" t="str">
        <f t="shared" si="236"/>
        <v/>
      </c>
      <c r="P2138" s="66" t="str">
        <f t="shared" si="237"/>
        <v/>
      </c>
    </row>
    <row r="2139" spans="8:16">
      <c r="H2139" s="66" t="e">
        <f>IF(LEFT(A2139,6)="CEPNTR","GPINS",VLOOKUP(LEFT(A2139,6),'Code Library'!$A$3:$B$920,2,0))&amp;"_"&amp;RIGHT(A2139,3)</f>
        <v>#N/A</v>
      </c>
      <c r="I2139" s="66">
        <f t="shared" si="231"/>
        <v>0</v>
      </c>
      <c r="K2139" s="66" t="str">
        <f t="shared" si="232"/>
        <v/>
      </c>
      <c r="L2139" s="66" t="str">
        <f t="shared" si="233"/>
        <v/>
      </c>
      <c r="M2139" s="66" t="str">
        <f t="shared" si="234"/>
        <v/>
      </c>
      <c r="N2139" s="66" t="str">
        <f t="shared" si="235"/>
        <v/>
      </c>
      <c r="O2139" s="66" t="str">
        <f t="shared" si="236"/>
        <v/>
      </c>
      <c r="P2139" s="66" t="str">
        <f t="shared" si="237"/>
        <v/>
      </c>
    </row>
    <row r="2140" spans="8:16">
      <c r="H2140" s="66" t="e">
        <f>IF(LEFT(A2140,6)="CEPNTR","GPINS",VLOOKUP(LEFT(A2140,6),'Code Library'!$A$3:$B$920,2,0))&amp;"_"&amp;RIGHT(A2140,3)</f>
        <v>#N/A</v>
      </c>
      <c r="I2140" s="66">
        <f t="shared" si="231"/>
        <v>0</v>
      </c>
      <c r="K2140" s="66" t="str">
        <f t="shared" si="232"/>
        <v/>
      </c>
      <c r="L2140" s="66" t="str">
        <f t="shared" si="233"/>
        <v/>
      </c>
      <c r="M2140" s="66" t="str">
        <f t="shared" si="234"/>
        <v/>
      </c>
      <c r="N2140" s="66" t="str">
        <f t="shared" si="235"/>
        <v/>
      </c>
      <c r="O2140" s="66" t="str">
        <f t="shared" si="236"/>
        <v/>
      </c>
      <c r="P2140" s="66" t="str">
        <f t="shared" si="237"/>
        <v/>
      </c>
    </row>
    <row r="2141" spans="8:16">
      <c r="H2141" s="66" t="e">
        <f>IF(LEFT(A2141,6)="CEPNTR","GPINS",VLOOKUP(LEFT(A2141,6),'Code Library'!$A$3:$B$920,2,0))&amp;"_"&amp;RIGHT(A2141,3)</f>
        <v>#N/A</v>
      </c>
      <c r="I2141" s="66">
        <f t="shared" si="231"/>
        <v>0</v>
      </c>
      <c r="K2141" s="66" t="str">
        <f t="shared" si="232"/>
        <v/>
      </c>
      <c r="L2141" s="66" t="str">
        <f t="shared" si="233"/>
        <v/>
      </c>
      <c r="M2141" s="66" t="str">
        <f t="shared" si="234"/>
        <v/>
      </c>
      <c r="N2141" s="66" t="str">
        <f t="shared" si="235"/>
        <v/>
      </c>
      <c r="O2141" s="66" t="str">
        <f t="shared" si="236"/>
        <v/>
      </c>
      <c r="P2141" s="66" t="str">
        <f t="shared" si="237"/>
        <v/>
      </c>
    </row>
    <row r="2142" spans="8:16">
      <c r="H2142" s="66" t="e">
        <f>IF(LEFT(A2142,6)="CEPNTR","GPINS",VLOOKUP(LEFT(A2142,6),'Code Library'!$A$3:$B$920,2,0))&amp;"_"&amp;RIGHT(A2142,3)</f>
        <v>#N/A</v>
      </c>
      <c r="I2142" s="66">
        <f t="shared" si="231"/>
        <v>0</v>
      </c>
      <c r="K2142" s="66" t="str">
        <f t="shared" si="232"/>
        <v/>
      </c>
      <c r="L2142" s="66" t="str">
        <f t="shared" si="233"/>
        <v/>
      </c>
      <c r="M2142" s="66" t="str">
        <f t="shared" si="234"/>
        <v/>
      </c>
      <c r="N2142" s="66" t="str">
        <f t="shared" si="235"/>
        <v/>
      </c>
      <c r="O2142" s="66" t="str">
        <f t="shared" si="236"/>
        <v/>
      </c>
      <c r="P2142" s="66" t="str">
        <f t="shared" si="237"/>
        <v/>
      </c>
    </row>
    <row r="2143" spans="8:16">
      <c r="H2143" s="66" t="e">
        <f>IF(LEFT(A2143,6)="CEPNTR","GPINS",VLOOKUP(LEFT(A2143,6),'Code Library'!$A$3:$B$920,2,0))&amp;"_"&amp;RIGHT(A2143,3)</f>
        <v>#N/A</v>
      </c>
      <c r="I2143" s="66">
        <f t="shared" si="231"/>
        <v>0</v>
      </c>
      <c r="K2143" s="66" t="str">
        <f t="shared" si="232"/>
        <v/>
      </c>
      <c r="L2143" s="66" t="str">
        <f t="shared" si="233"/>
        <v/>
      </c>
      <c r="M2143" s="66" t="str">
        <f t="shared" si="234"/>
        <v/>
      </c>
      <c r="N2143" s="66" t="str">
        <f t="shared" si="235"/>
        <v/>
      </c>
      <c r="O2143" s="66" t="str">
        <f t="shared" si="236"/>
        <v/>
      </c>
      <c r="P2143" s="66" t="str">
        <f t="shared" si="237"/>
        <v/>
      </c>
    </row>
    <row r="2144" spans="8:16">
      <c r="H2144" s="66" t="e">
        <f>IF(LEFT(A2144,6)="CEPNTR","GPINS",VLOOKUP(LEFT(A2144,6),'Code Library'!$A$3:$B$920,2,0))&amp;"_"&amp;RIGHT(A2144,3)</f>
        <v>#N/A</v>
      </c>
      <c r="I2144" s="66">
        <f t="shared" si="231"/>
        <v>0</v>
      </c>
      <c r="K2144" s="66" t="str">
        <f t="shared" si="232"/>
        <v/>
      </c>
      <c r="L2144" s="66" t="str">
        <f t="shared" si="233"/>
        <v/>
      </c>
      <c r="M2144" s="66" t="str">
        <f t="shared" si="234"/>
        <v/>
      </c>
      <c r="N2144" s="66" t="str">
        <f t="shared" si="235"/>
        <v/>
      </c>
      <c r="O2144" s="66" t="str">
        <f t="shared" si="236"/>
        <v/>
      </c>
      <c r="P2144" s="66" t="str">
        <f t="shared" si="237"/>
        <v/>
      </c>
    </row>
    <row r="2145" spans="8:16">
      <c r="H2145" s="66" t="e">
        <f>IF(LEFT(A2145,6)="CEPNTR","GPINS",VLOOKUP(LEFT(A2145,6),'Code Library'!$A$3:$B$920,2,0))&amp;"_"&amp;RIGHT(A2145,3)</f>
        <v>#N/A</v>
      </c>
      <c r="I2145" s="66">
        <f t="shared" si="231"/>
        <v>0</v>
      </c>
      <c r="K2145" s="66" t="str">
        <f t="shared" si="232"/>
        <v/>
      </c>
      <c r="L2145" s="66" t="str">
        <f t="shared" si="233"/>
        <v/>
      </c>
      <c r="M2145" s="66" t="str">
        <f t="shared" si="234"/>
        <v/>
      </c>
      <c r="N2145" s="66" t="str">
        <f t="shared" si="235"/>
        <v/>
      </c>
      <c r="O2145" s="66" t="str">
        <f t="shared" si="236"/>
        <v/>
      </c>
      <c r="P2145" s="66" t="str">
        <f t="shared" si="237"/>
        <v/>
      </c>
    </row>
    <row r="2146" spans="8:16">
      <c r="H2146" s="66" t="e">
        <f>IF(LEFT(A2146,6)="CEPNTR","GPINS",VLOOKUP(LEFT(A2146,6),'Code Library'!$A$3:$B$920,2,0))&amp;"_"&amp;RIGHT(A2146,3)</f>
        <v>#N/A</v>
      </c>
      <c r="I2146" s="66">
        <f t="shared" si="231"/>
        <v>0</v>
      </c>
      <c r="K2146" s="66" t="str">
        <f t="shared" si="232"/>
        <v/>
      </c>
      <c r="L2146" s="66" t="str">
        <f t="shared" si="233"/>
        <v/>
      </c>
      <c r="M2146" s="66" t="str">
        <f t="shared" si="234"/>
        <v/>
      </c>
      <c r="N2146" s="66" t="str">
        <f t="shared" si="235"/>
        <v/>
      </c>
      <c r="O2146" s="66" t="str">
        <f t="shared" si="236"/>
        <v/>
      </c>
      <c r="P2146" s="66" t="str">
        <f t="shared" si="237"/>
        <v/>
      </c>
    </row>
    <row r="2147" spans="8:16">
      <c r="H2147" s="66" t="e">
        <f>IF(LEFT(A2147,6)="CEPNTR","GPINS",VLOOKUP(LEFT(A2147,6),'Code Library'!$A$3:$B$920,2,0))&amp;"_"&amp;RIGHT(A2147,3)</f>
        <v>#N/A</v>
      </c>
      <c r="I2147" s="66">
        <f t="shared" si="231"/>
        <v>0</v>
      </c>
      <c r="K2147" s="66" t="str">
        <f t="shared" si="232"/>
        <v/>
      </c>
      <c r="L2147" s="66" t="str">
        <f t="shared" si="233"/>
        <v/>
      </c>
      <c r="M2147" s="66" t="str">
        <f t="shared" si="234"/>
        <v/>
      </c>
      <c r="N2147" s="66" t="str">
        <f t="shared" si="235"/>
        <v/>
      </c>
      <c r="O2147" s="66" t="str">
        <f t="shared" si="236"/>
        <v/>
      </c>
      <c r="P2147" s="66" t="str">
        <f t="shared" si="237"/>
        <v/>
      </c>
    </row>
    <row r="2148" spans="8:16">
      <c r="H2148" s="66" t="e">
        <f>IF(LEFT(A2148,6)="CEPNTR","GPINS",VLOOKUP(LEFT(A2148,6),'Code Library'!$A$3:$B$920,2,0))&amp;"_"&amp;RIGHT(A2148,3)</f>
        <v>#N/A</v>
      </c>
      <c r="I2148" s="66">
        <f t="shared" si="231"/>
        <v>0</v>
      </c>
      <c r="K2148" s="66" t="str">
        <f t="shared" si="232"/>
        <v/>
      </c>
      <c r="L2148" s="66" t="str">
        <f t="shared" si="233"/>
        <v/>
      </c>
      <c r="M2148" s="66" t="str">
        <f t="shared" si="234"/>
        <v/>
      </c>
      <c r="N2148" s="66" t="str">
        <f t="shared" si="235"/>
        <v/>
      </c>
      <c r="O2148" s="66" t="str">
        <f t="shared" si="236"/>
        <v/>
      </c>
      <c r="P2148" s="66" t="str">
        <f t="shared" si="237"/>
        <v/>
      </c>
    </row>
    <row r="2149" spans="8:16">
      <c r="H2149" s="66" t="e">
        <f>IF(LEFT(A2149,6)="CEPNTR","GPINS",VLOOKUP(LEFT(A2149,6),'Code Library'!$A$3:$B$920,2,0))&amp;"_"&amp;RIGHT(A2149,3)</f>
        <v>#N/A</v>
      </c>
      <c r="I2149" s="66">
        <f t="shared" si="231"/>
        <v>0</v>
      </c>
      <c r="K2149" s="66" t="str">
        <f t="shared" si="232"/>
        <v/>
      </c>
      <c r="L2149" s="66" t="str">
        <f t="shared" si="233"/>
        <v/>
      </c>
      <c r="M2149" s="66" t="str">
        <f t="shared" si="234"/>
        <v/>
      </c>
      <c r="N2149" s="66" t="str">
        <f t="shared" si="235"/>
        <v/>
      </c>
      <c r="O2149" s="66" t="str">
        <f t="shared" si="236"/>
        <v/>
      </c>
      <c r="P2149" s="66" t="str">
        <f t="shared" si="237"/>
        <v/>
      </c>
    </row>
    <row r="2150" spans="8:16">
      <c r="H2150" s="66" t="e">
        <f>IF(LEFT(A2150,6)="CEPNTR","GPINS",VLOOKUP(LEFT(A2150,6),'Code Library'!$A$3:$B$920,2,0))&amp;"_"&amp;RIGHT(A2150,3)</f>
        <v>#N/A</v>
      </c>
      <c r="I2150" s="66">
        <f t="shared" si="231"/>
        <v>0</v>
      </c>
      <c r="K2150" s="66" t="str">
        <f t="shared" si="232"/>
        <v/>
      </c>
      <c r="L2150" s="66" t="str">
        <f t="shared" si="233"/>
        <v/>
      </c>
      <c r="M2150" s="66" t="str">
        <f t="shared" si="234"/>
        <v/>
      </c>
      <c r="N2150" s="66" t="str">
        <f t="shared" si="235"/>
        <v/>
      </c>
      <c r="O2150" s="66" t="str">
        <f t="shared" si="236"/>
        <v/>
      </c>
      <c r="P2150" s="66" t="str">
        <f t="shared" si="237"/>
        <v/>
      </c>
    </row>
    <row r="2151" spans="8:16">
      <c r="H2151" s="66" t="e">
        <f>IF(LEFT(A2151,6)="CEPNTR","GPINS",VLOOKUP(LEFT(A2151,6),'Code Library'!$A$3:$B$920,2,0))&amp;"_"&amp;RIGHT(A2151,3)</f>
        <v>#N/A</v>
      </c>
      <c r="I2151" s="66">
        <f t="shared" si="231"/>
        <v>0</v>
      </c>
      <c r="K2151" s="66" t="str">
        <f t="shared" si="232"/>
        <v/>
      </c>
      <c r="L2151" s="66" t="str">
        <f t="shared" si="233"/>
        <v/>
      </c>
      <c r="M2151" s="66" t="str">
        <f t="shared" si="234"/>
        <v/>
      </c>
      <c r="N2151" s="66" t="str">
        <f t="shared" si="235"/>
        <v/>
      </c>
      <c r="O2151" s="66" t="str">
        <f t="shared" si="236"/>
        <v/>
      </c>
      <c r="P2151" s="66" t="str">
        <f t="shared" si="237"/>
        <v/>
      </c>
    </row>
    <row r="2152" spans="8:16">
      <c r="H2152" s="66" t="e">
        <f>IF(LEFT(A2152,6)="CEPNTR","GPINS",VLOOKUP(LEFT(A2152,6),'Code Library'!$A$3:$B$920,2,0))&amp;"_"&amp;RIGHT(A2152,3)</f>
        <v>#N/A</v>
      </c>
      <c r="I2152" s="66">
        <f t="shared" si="231"/>
        <v>0</v>
      </c>
      <c r="K2152" s="66" t="str">
        <f t="shared" si="232"/>
        <v/>
      </c>
      <c r="L2152" s="66" t="str">
        <f t="shared" si="233"/>
        <v/>
      </c>
      <c r="M2152" s="66" t="str">
        <f t="shared" si="234"/>
        <v/>
      </c>
      <c r="N2152" s="66" t="str">
        <f t="shared" si="235"/>
        <v/>
      </c>
      <c r="O2152" s="66" t="str">
        <f t="shared" si="236"/>
        <v/>
      </c>
      <c r="P2152" s="66" t="str">
        <f t="shared" si="237"/>
        <v/>
      </c>
    </row>
    <row r="2153" spans="8:16">
      <c r="H2153" s="66" t="e">
        <f>IF(LEFT(A2153,6)="CEPNTR","GPINS",VLOOKUP(LEFT(A2153,6),'Code Library'!$A$3:$B$920,2,0))&amp;"_"&amp;RIGHT(A2153,3)</f>
        <v>#N/A</v>
      </c>
      <c r="I2153" s="66">
        <f t="shared" si="231"/>
        <v>0</v>
      </c>
      <c r="K2153" s="66" t="str">
        <f t="shared" si="232"/>
        <v/>
      </c>
      <c r="L2153" s="66" t="str">
        <f t="shared" si="233"/>
        <v/>
      </c>
      <c r="M2153" s="66" t="str">
        <f t="shared" si="234"/>
        <v/>
      </c>
      <c r="N2153" s="66" t="str">
        <f t="shared" si="235"/>
        <v/>
      </c>
      <c r="O2153" s="66" t="str">
        <f t="shared" si="236"/>
        <v/>
      </c>
      <c r="P2153" s="66" t="str">
        <f t="shared" si="237"/>
        <v/>
      </c>
    </row>
    <row r="2154" spans="8:16">
      <c r="H2154" s="66" t="e">
        <f>IF(LEFT(A2154,6)="CEPNTR","GPINS",VLOOKUP(LEFT(A2154,6),'Code Library'!$A$3:$B$920,2,0))&amp;"_"&amp;RIGHT(A2154,3)</f>
        <v>#N/A</v>
      </c>
      <c r="I2154" s="66">
        <f t="shared" si="231"/>
        <v>0</v>
      </c>
      <c r="K2154" s="66" t="str">
        <f t="shared" si="232"/>
        <v/>
      </c>
      <c r="L2154" s="66" t="str">
        <f t="shared" si="233"/>
        <v/>
      </c>
      <c r="M2154" s="66" t="str">
        <f t="shared" si="234"/>
        <v/>
      </c>
      <c r="N2154" s="66" t="str">
        <f t="shared" si="235"/>
        <v/>
      </c>
      <c r="O2154" s="66" t="str">
        <f t="shared" si="236"/>
        <v/>
      </c>
      <c r="P2154" s="66" t="str">
        <f t="shared" si="237"/>
        <v/>
      </c>
    </row>
    <row r="2155" spans="8:16">
      <c r="H2155" s="66" t="e">
        <f>IF(LEFT(A2155,6)="CEPNTR","GPINS",VLOOKUP(LEFT(A2155,6),'Code Library'!$A$3:$B$920,2,0))&amp;"_"&amp;RIGHT(A2155,3)</f>
        <v>#N/A</v>
      </c>
      <c r="I2155" s="66">
        <f t="shared" si="231"/>
        <v>0</v>
      </c>
      <c r="K2155" s="66" t="str">
        <f t="shared" si="232"/>
        <v/>
      </c>
      <c r="L2155" s="66" t="str">
        <f t="shared" si="233"/>
        <v/>
      </c>
      <c r="M2155" s="66" t="str">
        <f t="shared" si="234"/>
        <v/>
      </c>
      <c r="N2155" s="66" t="str">
        <f t="shared" si="235"/>
        <v/>
      </c>
      <c r="O2155" s="66" t="str">
        <f t="shared" si="236"/>
        <v/>
      </c>
      <c r="P2155" s="66" t="str">
        <f t="shared" si="237"/>
        <v/>
      </c>
    </row>
    <row r="2156" spans="8:16">
      <c r="H2156" s="66" t="e">
        <f>IF(LEFT(A2156,6)="CEPNTR","GPINS",VLOOKUP(LEFT(A2156,6),'Code Library'!$A$3:$B$920,2,0))&amp;"_"&amp;RIGHT(A2156,3)</f>
        <v>#N/A</v>
      </c>
      <c r="I2156" s="66">
        <f t="shared" si="231"/>
        <v>0</v>
      </c>
      <c r="K2156" s="66" t="str">
        <f t="shared" si="232"/>
        <v/>
      </c>
      <c r="L2156" s="66" t="str">
        <f t="shared" si="233"/>
        <v/>
      </c>
      <c r="M2156" s="66" t="str">
        <f t="shared" si="234"/>
        <v/>
      </c>
      <c r="N2156" s="66" t="str">
        <f t="shared" si="235"/>
        <v/>
      </c>
      <c r="O2156" s="66" t="str">
        <f t="shared" si="236"/>
        <v/>
      </c>
      <c r="P2156" s="66" t="str">
        <f t="shared" si="237"/>
        <v/>
      </c>
    </row>
    <row r="2157" spans="8:16">
      <c r="H2157" s="66" t="e">
        <f>IF(LEFT(A2157,6)="CEPNTR","GPINS",VLOOKUP(LEFT(A2157,6),'Code Library'!$A$3:$B$920,2,0))&amp;"_"&amp;RIGHT(A2157,3)</f>
        <v>#N/A</v>
      </c>
      <c r="I2157" s="66">
        <f t="shared" si="231"/>
        <v>0</v>
      </c>
      <c r="K2157" s="66" t="str">
        <f t="shared" si="232"/>
        <v/>
      </c>
      <c r="L2157" s="66" t="str">
        <f t="shared" si="233"/>
        <v/>
      </c>
      <c r="M2157" s="66" t="str">
        <f t="shared" si="234"/>
        <v/>
      </c>
      <c r="N2157" s="66" t="str">
        <f t="shared" si="235"/>
        <v/>
      </c>
      <c r="O2157" s="66" t="str">
        <f t="shared" si="236"/>
        <v/>
      </c>
      <c r="P2157" s="66" t="str">
        <f t="shared" si="237"/>
        <v/>
      </c>
    </row>
    <row r="2158" spans="8:16">
      <c r="H2158" s="66" t="e">
        <f>IF(LEFT(A2158,6)="CEPNTR","GPINS",VLOOKUP(LEFT(A2158,6),'Code Library'!$A$3:$B$920,2,0))&amp;"_"&amp;RIGHT(A2158,3)</f>
        <v>#N/A</v>
      </c>
      <c r="I2158" s="66">
        <f t="shared" si="231"/>
        <v>0</v>
      </c>
      <c r="K2158" s="66" t="str">
        <f t="shared" si="232"/>
        <v/>
      </c>
      <c r="L2158" s="66" t="str">
        <f t="shared" si="233"/>
        <v/>
      </c>
      <c r="M2158" s="66" t="str">
        <f t="shared" si="234"/>
        <v/>
      </c>
      <c r="N2158" s="66" t="str">
        <f t="shared" si="235"/>
        <v/>
      </c>
      <c r="O2158" s="66" t="str">
        <f t="shared" si="236"/>
        <v/>
      </c>
      <c r="P2158" s="66" t="str">
        <f t="shared" si="237"/>
        <v/>
      </c>
    </row>
    <row r="2159" spans="8:16">
      <c r="H2159" s="66" t="e">
        <f>IF(LEFT(A2159,6)="CEPNTR","GPINS",VLOOKUP(LEFT(A2159,6),'Code Library'!$A$3:$B$920,2,0))&amp;"_"&amp;RIGHT(A2159,3)</f>
        <v>#N/A</v>
      </c>
      <c r="I2159" s="66">
        <f t="shared" si="231"/>
        <v>0</v>
      </c>
      <c r="K2159" s="66" t="str">
        <f t="shared" si="232"/>
        <v/>
      </c>
      <c r="L2159" s="66" t="str">
        <f t="shared" si="233"/>
        <v/>
      </c>
      <c r="M2159" s="66" t="str">
        <f t="shared" si="234"/>
        <v/>
      </c>
      <c r="N2159" s="66" t="str">
        <f t="shared" si="235"/>
        <v/>
      </c>
      <c r="O2159" s="66" t="str">
        <f t="shared" si="236"/>
        <v/>
      </c>
      <c r="P2159" s="66" t="str">
        <f t="shared" si="237"/>
        <v/>
      </c>
    </row>
    <row r="2160" spans="8:16">
      <c r="H2160" s="66" t="e">
        <f>IF(LEFT(A2160,6)="CEPNTR","GPINS",VLOOKUP(LEFT(A2160,6),'Code Library'!$A$3:$B$920,2,0))&amp;"_"&amp;RIGHT(A2160,3)</f>
        <v>#N/A</v>
      </c>
      <c r="I2160" s="66">
        <f t="shared" si="231"/>
        <v>0</v>
      </c>
      <c r="K2160" s="66" t="str">
        <f t="shared" si="232"/>
        <v/>
      </c>
      <c r="L2160" s="66" t="str">
        <f t="shared" si="233"/>
        <v/>
      </c>
      <c r="M2160" s="66" t="str">
        <f t="shared" si="234"/>
        <v/>
      </c>
      <c r="N2160" s="66" t="str">
        <f t="shared" si="235"/>
        <v/>
      </c>
      <c r="O2160" s="66" t="str">
        <f t="shared" si="236"/>
        <v/>
      </c>
      <c r="P2160" s="66" t="str">
        <f t="shared" si="237"/>
        <v/>
      </c>
    </row>
    <row r="2161" spans="8:16">
      <c r="H2161" s="66" t="e">
        <f>IF(LEFT(A2161,6)="CEPNTR","GPINS",VLOOKUP(LEFT(A2161,6),'Code Library'!$A$3:$B$920,2,0))&amp;"_"&amp;RIGHT(A2161,3)</f>
        <v>#N/A</v>
      </c>
      <c r="I2161" s="66">
        <f t="shared" si="231"/>
        <v>0</v>
      </c>
      <c r="K2161" s="66" t="str">
        <f t="shared" si="232"/>
        <v/>
      </c>
      <c r="L2161" s="66" t="str">
        <f t="shared" si="233"/>
        <v/>
      </c>
      <c r="M2161" s="66" t="str">
        <f t="shared" si="234"/>
        <v/>
      </c>
      <c r="N2161" s="66" t="str">
        <f t="shared" si="235"/>
        <v/>
      </c>
      <c r="O2161" s="66" t="str">
        <f t="shared" si="236"/>
        <v/>
      </c>
      <c r="P2161" s="66" t="str">
        <f t="shared" si="237"/>
        <v/>
      </c>
    </row>
    <row r="2162" spans="8:16">
      <c r="H2162" s="66" t="e">
        <f>IF(LEFT(A2162,6)="CEPNTR","GPINS",VLOOKUP(LEFT(A2162,6),'Code Library'!$A$3:$B$920,2,0))&amp;"_"&amp;RIGHT(A2162,3)</f>
        <v>#N/A</v>
      </c>
      <c r="I2162" s="66">
        <f t="shared" si="231"/>
        <v>0</v>
      </c>
      <c r="K2162" s="66" t="str">
        <f t="shared" si="232"/>
        <v/>
      </c>
      <c r="L2162" s="66" t="str">
        <f t="shared" si="233"/>
        <v/>
      </c>
      <c r="M2162" s="66" t="str">
        <f t="shared" si="234"/>
        <v/>
      </c>
      <c r="N2162" s="66" t="str">
        <f t="shared" si="235"/>
        <v/>
      </c>
      <c r="O2162" s="66" t="str">
        <f t="shared" si="236"/>
        <v/>
      </c>
      <c r="P2162" s="66" t="str">
        <f t="shared" si="237"/>
        <v/>
      </c>
    </row>
    <row r="2163" spans="8:16">
      <c r="H2163" s="66" t="e">
        <f>IF(LEFT(A2163,6)="CEPNTR","GPINS",VLOOKUP(LEFT(A2163,6),'Code Library'!$A$3:$B$920,2,0))&amp;"_"&amp;RIGHT(A2163,3)</f>
        <v>#N/A</v>
      </c>
      <c r="I2163" s="66">
        <f t="shared" si="231"/>
        <v>0</v>
      </c>
      <c r="K2163" s="66" t="str">
        <f t="shared" si="232"/>
        <v/>
      </c>
      <c r="L2163" s="66" t="str">
        <f t="shared" si="233"/>
        <v/>
      </c>
      <c r="M2163" s="66" t="str">
        <f t="shared" si="234"/>
        <v/>
      </c>
      <c r="N2163" s="66" t="str">
        <f t="shared" si="235"/>
        <v/>
      </c>
      <c r="O2163" s="66" t="str">
        <f t="shared" si="236"/>
        <v/>
      </c>
      <c r="P2163" s="66" t="str">
        <f t="shared" si="237"/>
        <v/>
      </c>
    </row>
    <row r="2164" spans="8:16">
      <c r="H2164" s="66" t="e">
        <f>IF(LEFT(A2164,6)="CEPNTR","GPINS",VLOOKUP(LEFT(A2164,6),'Code Library'!$A$3:$B$920,2,0))&amp;"_"&amp;RIGHT(A2164,3)</f>
        <v>#N/A</v>
      </c>
      <c r="I2164" s="66">
        <f t="shared" si="231"/>
        <v>0</v>
      </c>
      <c r="K2164" s="66" t="str">
        <f t="shared" si="232"/>
        <v/>
      </c>
      <c r="L2164" s="66" t="str">
        <f t="shared" si="233"/>
        <v/>
      </c>
      <c r="M2164" s="66" t="str">
        <f t="shared" si="234"/>
        <v/>
      </c>
      <c r="N2164" s="66" t="str">
        <f t="shared" si="235"/>
        <v/>
      </c>
      <c r="O2164" s="66" t="str">
        <f t="shared" si="236"/>
        <v/>
      </c>
      <c r="P2164" s="66" t="str">
        <f t="shared" si="237"/>
        <v/>
      </c>
    </row>
    <row r="2165" spans="8:16">
      <c r="H2165" s="66" t="e">
        <f>IF(LEFT(A2165,6)="CEPNTR","GPINS",VLOOKUP(LEFT(A2165,6),'Code Library'!$A$3:$B$920,2,0))&amp;"_"&amp;RIGHT(A2165,3)</f>
        <v>#N/A</v>
      </c>
      <c r="I2165" s="66">
        <f t="shared" si="231"/>
        <v>0</v>
      </c>
      <c r="K2165" s="66" t="str">
        <f t="shared" si="232"/>
        <v/>
      </c>
      <c r="L2165" s="66" t="str">
        <f t="shared" si="233"/>
        <v/>
      </c>
      <c r="M2165" s="66" t="str">
        <f t="shared" si="234"/>
        <v/>
      </c>
      <c r="N2165" s="66" t="str">
        <f t="shared" si="235"/>
        <v/>
      </c>
      <c r="O2165" s="66" t="str">
        <f t="shared" si="236"/>
        <v/>
      </c>
      <c r="P2165" s="66" t="str">
        <f t="shared" si="237"/>
        <v/>
      </c>
    </row>
    <row r="2166" spans="8:16">
      <c r="H2166" s="66" t="e">
        <f>IF(LEFT(A2166,6)="CEPNTR","GPINS",VLOOKUP(LEFT(A2166,6),'Code Library'!$A$3:$B$920,2,0))&amp;"_"&amp;RIGHT(A2166,3)</f>
        <v>#N/A</v>
      </c>
      <c r="I2166" s="66">
        <f t="shared" si="231"/>
        <v>0</v>
      </c>
      <c r="K2166" s="66" t="str">
        <f t="shared" si="232"/>
        <v/>
      </c>
      <c r="L2166" s="66" t="str">
        <f t="shared" si="233"/>
        <v/>
      </c>
      <c r="M2166" s="66" t="str">
        <f t="shared" si="234"/>
        <v/>
      </c>
      <c r="N2166" s="66" t="str">
        <f t="shared" si="235"/>
        <v/>
      </c>
      <c r="O2166" s="66" t="str">
        <f t="shared" si="236"/>
        <v/>
      </c>
      <c r="P2166" s="66" t="str">
        <f t="shared" si="237"/>
        <v/>
      </c>
    </row>
    <row r="2167" spans="8:16">
      <c r="H2167" s="66" t="e">
        <f>IF(LEFT(A2167,6)="CEPNTR","GPINS",VLOOKUP(LEFT(A2167,6),'Code Library'!$A$3:$B$920,2,0))&amp;"_"&amp;RIGHT(A2167,3)</f>
        <v>#N/A</v>
      </c>
      <c r="I2167" s="66">
        <f t="shared" si="231"/>
        <v>0</v>
      </c>
      <c r="K2167" s="66" t="str">
        <f t="shared" si="232"/>
        <v/>
      </c>
      <c r="L2167" s="66" t="str">
        <f t="shared" si="233"/>
        <v/>
      </c>
      <c r="M2167" s="66" t="str">
        <f t="shared" si="234"/>
        <v/>
      </c>
      <c r="N2167" s="66" t="str">
        <f t="shared" si="235"/>
        <v/>
      </c>
      <c r="O2167" s="66" t="str">
        <f t="shared" si="236"/>
        <v/>
      </c>
      <c r="P2167" s="66" t="str">
        <f t="shared" si="237"/>
        <v/>
      </c>
    </row>
    <row r="2168" spans="8:16">
      <c r="H2168" s="66" t="e">
        <f>IF(LEFT(A2168,6)="CEPNTR","GPINS",VLOOKUP(LEFT(A2168,6),'Code Library'!$A$3:$B$920,2,0))&amp;"_"&amp;RIGHT(A2168,3)</f>
        <v>#N/A</v>
      </c>
      <c r="I2168" s="66">
        <f t="shared" si="231"/>
        <v>0</v>
      </c>
      <c r="K2168" s="66" t="str">
        <f t="shared" si="232"/>
        <v/>
      </c>
      <c r="L2168" s="66" t="str">
        <f t="shared" si="233"/>
        <v/>
      </c>
      <c r="M2168" s="66" t="str">
        <f t="shared" si="234"/>
        <v/>
      </c>
      <c r="N2168" s="66" t="str">
        <f t="shared" si="235"/>
        <v/>
      </c>
      <c r="O2168" s="66" t="str">
        <f t="shared" si="236"/>
        <v/>
      </c>
      <c r="P2168" s="66" t="str">
        <f t="shared" si="237"/>
        <v/>
      </c>
    </row>
    <row r="2169" spans="8:16">
      <c r="H2169" s="66" t="e">
        <f>IF(LEFT(A2169,6)="CEPNTR","GPINS",VLOOKUP(LEFT(A2169,6),'Code Library'!$A$3:$B$920,2,0))&amp;"_"&amp;RIGHT(A2169,3)</f>
        <v>#N/A</v>
      </c>
      <c r="I2169" s="66">
        <f t="shared" si="231"/>
        <v>0</v>
      </c>
      <c r="K2169" s="66" t="str">
        <f t="shared" si="232"/>
        <v/>
      </c>
      <c r="L2169" s="66" t="str">
        <f t="shared" si="233"/>
        <v/>
      </c>
      <c r="M2169" s="66" t="str">
        <f t="shared" si="234"/>
        <v/>
      </c>
      <c r="N2169" s="66" t="str">
        <f t="shared" si="235"/>
        <v/>
      </c>
      <c r="O2169" s="66" t="str">
        <f t="shared" si="236"/>
        <v/>
      </c>
      <c r="P2169" s="66" t="str">
        <f t="shared" si="237"/>
        <v/>
      </c>
    </row>
    <row r="2170" spans="8:16">
      <c r="H2170" s="66" t="e">
        <f>IF(LEFT(A2170,6)="CEPNTR","GPINS",VLOOKUP(LEFT(A2170,6),'Code Library'!$A$3:$B$920,2,0))&amp;"_"&amp;RIGHT(A2170,3)</f>
        <v>#N/A</v>
      </c>
      <c r="I2170" s="66">
        <f t="shared" si="231"/>
        <v>0</v>
      </c>
      <c r="K2170" s="66" t="str">
        <f t="shared" si="232"/>
        <v/>
      </c>
      <c r="L2170" s="66" t="str">
        <f t="shared" si="233"/>
        <v/>
      </c>
      <c r="M2170" s="66" t="str">
        <f t="shared" si="234"/>
        <v/>
      </c>
      <c r="N2170" s="66" t="str">
        <f t="shared" si="235"/>
        <v/>
      </c>
      <c r="O2170" s="66" t="str">
        <f t="shared" si="236"/>
        <v/>
      </c>
      <c r="P2170" s="66" t="str">
        <f t="shared" si="237"/>
        <v/>
      </c>
    </row>
    <row r="2171" spans="8:16">
      <c r="H2171" s="66" t="e">
        <f>IF(LEFT(A2171,6)="CEPNTR","GPINS",VLOOKUP(LEFT(A2171,6),'Code Library'!$A$3:$B$920,2,0))&amp;"_"&amp;RIGHT(A2171,3)</f>
        <v>#N/A</v>
      </c>
      <c r="I2171" s="66">
        <f t="shared" si="231"/>
        <v>0</v>
      </c>
      <c r="K2171" s="66" t="str">
        <f t="shared" si="232"/>
        <v/>
      </c>
      <c r="L2171" s="66" t="str">
        <f t="shared" si="233"/>
        <v/>
      </c>
      <c r="M2171" s="66" t="str">
        <f t="shared" si="234"/>
        <v/>
      </c>
      <c r="N2171" s="66" t="str">
        <f t="shared" si="235"/>
        <v/>
      </c>
      <c r="O2171" s="66" t="str">
        <f t="shared" si="236"/>
        <v/>
      </c>
      <c r="P2171" s="66" t="str">
        <f t="shared" si="237"/>
        <v/>
      </c>
    </row>
    <row r="2172" spans="8:16">
      <c r="H2172" s="66" t="e">
        <f>IF(LEFT(A2172,6)="CEPNTR","GPINS",VLOOKUP(LEFT(A2172,6),'Code Library'!$A$3:$B$920,2,0))&amp;"_"&amp;RIGHT(A2172,3)</f>
        <v>#N/A</v>
      </c>
      <c r="I2172" s="66">
        <f t="shared" si="231"/>
        <v>0</v>
      </c>
      <c r="K2172" s="66" t="str">
        <f t="shared" si="232"/>
        <v/>
      </c>
      <c r="L2172" s="66" t="str">
        <f t="shared" si="233"/>
        <v/>
      </c>
      <c r="M2172" s="66" t="str">
        <f t="shared" si="234"/>
        <v/>
      </c>
      <c r="N2172" s="66" t="str">
        <f t="shared" si="235"/>
        <v/>
      </c>
      <c r="O2172" s="66" t="str">
        <f t="shared" si="236"/>
        <v/>
      </c>
      <c r="P2172" s="66" t="str">
        <f t="shared" si="237"/>
        <v/>
      </c>
    </row>
    <row r="2173" spans="8:16">
      <c r="H2173" s="66" t="e">
        <f>IF(LEFT(A2173,6)="CEPNTR","GPINS",VLOOKUP(LEFT(A2173,6),'Code Library'!$A$3:$B$920,2,0))&amp;"_"&amp;RIGHT(A2173,3)</f>
        <v>#N/A</v>
      </c>
      <c r="I2173" s="66">
        <f t="shared" si="231"/>
        <v>0</v>
      </c>
      <c r="K2173" s="66" t="str">
        <f t="shared" si="232"/>
        <v/>
      </c>
      <c r="L2173" s="66" t="str">
        <f t="shared" si="233"/>
        <v/>
      </c>
      <c r="M2173" s="66" t="str">
        <f t="shared" si="234"/>
        <v/>
      </c>
      <c r="N2173" s="66" t="str">
        <f t="shared" si="235"/>
        <v/>
      </c>
      <c r="O2173" s="66" t="str">
        <f t="shared" si="236"/>
        <v/>
      </c>
      <c r="P2173" s="66" t="str">
        <f t="shared" si="237"/>
        <v/>
      </c>
    </row>
    <row r="2174" spans="8:16">
      <c r="H2174" s="66" t="e">
        <f>IF(LEFT(A2174,6)="CEPNTR","GPINS",VLOOKUP(LEFT(A2174,6),'Code Library'!$A$3:$B$920,2,0))&amp;"_"&amp;RIGHT(A2174,3)</f>
        <v>#N/A</v>
      </c>
      <c r="I2174" s="66">
        <f t="shared" si="231"/>
        <v>0</v>
      </c>
      <c r="K2174" s="66" t="str">
        <f t="shared" si="232"/>
        <v/>
      </c>
      <c r="L2174" s="66" t="str">
        <f t="shared" si="233"/>
        <v/>
      </c>
      <c r="M2174" s="66" t="str">
        <f t="shared" si="234"/>
        <v/>
      </c>
      <c r="N2174" s="66" t="str">
        <f t="shared" si="235"/>
        <v/>
      </c>
      <c r="O2174" s="66" t="str">
        <f t="shared" si="236"/>
        <v/>
      </c>
      <c r="P2174" s="66" t="str">
        <f t="shared" si="237"/>
        <v/>
      </c>
    </row>
    <row r="2175" spans="8:16">
      <c r="H2175" s="66" t="e">
        <f>IF(LEFT(A2175,6)="CEPNTR","GPINS",VLOOKUP(LEFT(A2175,6),'Code Library'!$A$3:$B$920,2,0))&amp;"_"&amp;RIGHT(A2175,3)</f>
        <v>#N/A</v>
      </c>
      <c r="I2175" s="66">
        <f t="shared" si="231"/>
        <v>0</v>
      </c>
      <c r="K2175" s="66" t="str">
        <f t="shared" si="232"/>
        <v/>
      </c>
      <c r="L2175" s="66" t="str">
        <f t="shared" si="233"/>
        <v/>
      </c>
      <c r="M2175" s="66" t="str">
        <f t="shared" si="234"/>
        <v/>
      </c>
      <c r="N2175" s="66" t="str">
        <f t="shared" si="235"/>
        <v/>
      </c>
      <c r="O2175" s="66" t="str">
        <f t="shared" si="236"/>
        <v/>
      </c>
      <c r="P2175" s="66" t="str">
        <f t="shared" si="237"/>
        <v/>
      </c>
    </row>
    <row r="2176" spans="8:16">
      <c r="H2176" s="66" t="e">
        <f>IF(LEFT(A2176,6)="CEPNTR","GPINS",VLOOKUP(LEFT(A2176,6),'Code Library'!$A$3:$B$920,2,0))&amp;"_"&amp;RIGHT(A2176,3)</f>
        <v>#N/A</v>
      </c>
      <c r="I2176" s="66">
        <f t="shared" si="231"/>
        <v>0</v>
      </c>
      <c r="K2176" s="66" t="str">
        <f t="shared" si="232"/>
        <v/>
      </c>
      <c r="L2176" s="66" t="str">
        <f t="shared" si="233"/>
        <v/>
      </c>
      <c r="M2176" s="66" t="str">
        <f t="shared" si="234"/>
        <v/>
      </c>
      <c r="N2176" s="66" t="str">
        <f t="shared" si="235"/>
        <v/>
      </c>
      <c r="O2176" s="66" t="str">
        <f t="shared" si="236"/>
        <v/>
      </c>
      <c r="P2176" s="66" t="str">
        <f t="shared" si="237"/>
        <v/>
      </c>
    </row>
    <row r="2177" spans="8:16">
      <c r="H2177" s="66" t="e">
        <f>IF(LEFT(A2177,6)="CEPNTR","GPINS",VLOOKUP(LEFT(A2177,6),'Code Library'!$A$3:$B$920,2,0))&amp;"_"&amp;RIGHT(A2177,3)</f>
        <v>#N/A</v>
      </c>
      <c r="I2177" s="66">
        <f t="shared" si="231"/>
        <v>0</v>
      </c>
      <c r="K2177" s="66" t="str">
        <f t="shared" si="232"/>
        <v/>
      </c>
      <c r="L2177" s="66" t="str">
        <f t="shared" si="233"/>
        <v/>
      </c>
      <c r="M2177" s="66" t="str">
        <f t="shared" si="234"/>
        <v/>
      </c>
      <c r="N2177" s="66" t="str">
        <f t="shared" si="235"/>
        <v/>
      </c>
      <c r="O2177" s="66" t="str">
        <f t="shared" si="236"/>
        <v/>
      </c>
      <c r="P2177" s="66" t="str">
        <f t="shared" si="237"/>
        <v/>
      </c>
    </row>
    <row r="2178" spans="8:16">
      <c r="H2178" s="66" t="e">
        <f>IF(LEFT(A2178,6)="CEPNTR","GPINS",VLOOKUP(LEFT(A2178,6),'Code Library'!$A$3:$B$920,2,0))&amp;"_"&amp;RIGHT(A2178,3)</f>
        <v>#N/A</v>
      </c>
      <c r="I2178" s="66">
        <f t="shared" si="231"/>
        <v>0</v>
      </c>
      <c r="K2178" s="66" t="str">
        <f t="shared" si="232"/>
        <v/>
      </c>
      <c r="L2178" s="66" t="str">
        <f t="shared" si="233"/>
        <v/>
      </c>
      <c r="M2178" s="66" t="str">
        <f t="shared" si="234"/>
        <v/>
      </c>
      <c r="N2178" s="66" t="str">
        <f t="shared" si="235"/>
        <v/>
      </c>
      <c r="O2178" s="66" t="str">
        <f t="shared" si="236"/>
        <v/>
      </c>
      <c r="P2178" s="66" t="str">
        <f t="shared" si="237"/>
        <v/>
      </c>
    </row>
    <row r="2179" spans="8:16">
      <c r="H2179" s="66" t="e">
        <f>IF(LEFT(A2179,6)="CEPNTR","GPINS",VLOOKUP(LEFT(A2179,6),'Code Library'!$A$3:$B$920,2,0))&amp;"_"&amp;RIGHT(A2179,3)</f>
        <v>#N/A</v>
      </c>
      <c r="I2179" s="66">
        <f t="shared" ref="I2179:I2242" si="238">A2179</f>
        <v>0</v>
      </c>
      <c r="K2179" s="66" t="str">
        <f t="shared" ref="K2179:K2242" si="239">RIGHT($B2179,2)</f>
        <v/>
      </c>
      <c r="L2179" s="66" t="str">
        <f t="shared" ref="L2179:L2242" si="240">LEFT(RIGHT($B2179,7),4)</f>
        <v/>
      </c>
      <c r="M2179" s="66" t="str">
        <f t="shared" ref="M2179:M2242" si="241">LEFT(RIGHT($B2179,10),2)</f>
        <v/>
      </c>
      <c r="N2179" s="66" t="str">
        <f t="shared" ref="N2179:N2242" si="242">LEFT(RIGHT($B2179,14),3)</f>
        <v/>
      </c>
      <c r="O2179" s="66" t="str">
        <f t="shared" ref="O2179:O2242" si="243">LEFT(RIGHT($B2179,16),1)</f>
        <v/>
      </c>
      <c r="P2179" s="66" t="str">
        <f t="shared" ref="P2179:P2242" si="244">LEFT(RIGHT($B2179,19),2)</f>
        <v/>
      </c>
    </row>
    <row r="2180" spans="8:16">
      <c r="H2180" s="66" t="e">
        <f>IF(LEFT(A2180,6)="CEPNTR","GPINS",VLOOKUP(LEFT(A2180,6),'Code Library'!$A$3:$B$920,2,0))&amp;"_"&amp;RIGHT(A2180,3)</f>
        <v>#N/A</v>
      </c>
      <c r="I2180" s="66">
        <f t="shared" si="238"/>
        <v>0</v>
      </c>
      <c r="K2180" s="66" t="str">
        <f t="shared" si="239"/>
        <v/>
      </c>
      <c r="L2180" s="66" t="str">
        <f t="shared" si="240"/>
        <v/>
      </c>
      <c r="M2180" s="66" t="str">
        <f t="shared" si="241"/>
        <v/>
      </c>
      <c r="N2180" s="66" t="str">
        <f t="shared" si="242"/>
        <v/>
      </c>
      <c r="O2180" s="66" t="str">
        <f t="shared" si="243"/>
        <v/>
      </c>
      <c r="P2180" s="66" t="str">
        <f t="shared" si="244"/>
        <v/>
      </c>
    </row>
    <row r="2181" spans="8:16">
      <c r="H2181" s="66" t="e">
        <f>IF(LEFT(A2181,6)="CEPNTR","GPINS",VLOOKUP(LEFT(A2181,6),'Code Library'!$A$3:$B$920,2,0))&amp;"_"&amp;RIGHT(A2181,3)</f>
        <v>#N/A</v>
      </c>
      <c r="I2181" s="66">
        <f t="shared" si="238"/>
        <v>0</v>
      </c>
      <c r="K2181" s="66" t="str">
        <f t="shared" si="239"/>
        <v/>
      </c>
      <c r="L2181" s="66" t="str">
        <f t="shared" si="240"/>
        <v/>
      </c>
      <c r="M2181" s="66" t="str">
        <f t="shared" si="241"/>
        <v/>
      </c>
      <c r="N2181" s="66" t="str">
        <f t="shared" si="242"/>
        <v/>
      </c>
      <c r="O2181" s="66" t="str">
        <f t="shared" si="243"/>
        <v/>
      </c>
      <c r="P2181" s="66" t="str">
        <f t="shared" si="244"/>
        <v/>
      </c>
    </row>
    <row r="2182" spans="8:16">
      <c r="H2182" s="66" t="e">
        <f>IF(LEFT(A2182,6)="CEPNTR","GPINS",VLOOKUP(LEFT(A2182,6),'Code Library'!$A$3:$B$920,2,0))&amp;"_"&amp;RIGHT(A2182,3)</f>
        <v>#N/A</v>
      </c>
      <c r="I2182" s="66">
        <f t="shared" si="238"/>
        <v>0</v>
      </c>
      <c r="K2182" s="66" t="str">
        <f t="shared" si="239"/>
        <v/>
      </c>
      <c r="L2182" s="66" t="str">
        <f t="shared" si="240"/>
        <v/>
      </c>
      <c r="M2182" s="66" t="str">
        <f t="shared" si="241"/>
        <v/>
      </c>
      <c r="N2182" s="66" t="str">
        <f t="shared" si="242"/>
        <v/>
      </c>
      <c r="O2182" s="66" t="str">
        <f t="shared" si="243"/>
        <v/>
      </c>
      <c r="P2182" s="66" t="str">
        <f t="shared" si="244"/>
        <v/>
      </c>
    </row>
    <row r="2183" spans="8:16">
      <c r="H2183" s="66" t="e">
        <f>IF(LEFT(A2183,6)="CEPNTR","GPINS",VLOOKUP(LEFT(A2183,6),'Code Library'!$A$3:$B$920,2,0))&amp;"_"&amp;RIGHT(A2183,3)</f>
        <v>#N/A</v>
      </c>
      <c r="I2183" s="66">
        <f t="shared" si="238"/>
        <v>0</v>
      </c>
      <c r="K2183" s="66" t="str">
        <f t="shared" si="239"/>
        <v/>
      </c>
      <c r="L2183" s="66" t="str">
        <f t="shared" si="240"/>
        <v/>
      </c>
      <c r="M2183" s="66" t="str">
        <f t="shared" si="241"/>
        <v/>
      </c>
      <c r="N2183" s="66" t="str">
        <f t="shared" si="242"/>
        <v/>
      </c>
      <c r="O2183" s="66" t="str">
        <f t="shared" si="243"/>
        <v/>
      </c>
      <c r="P2183" s="66" t="str">
        <f t="shared" si="244"/>
        <v/>
      </c>
    </row>
    <row r="2184" spans="8:16">
      <c r="H2184" s="66" t="e">
        <f>IF(LEFT(A2184,6)="CEPNTR","GPINS",VLOOKUP(LEFT(A2184,6),'Code Library'!$A$3:$B$920,2,0))&amp;"_"&amp;RIGHT(A2184,3)</f>
        <v>#N/A</v>
      </c>
      <c r="I2184" s="66">
        <f t="shared" si="238"/>
        <v>0</v>
      </c>
      <c r="K2184" s="66" t="str">
        <f t="shared" si="239"/>
        <v/>
      </c>
      <c r="L2184" s="66" t="str">
        <f t="shared" si="240"/>
        <v/>
      </c>
      <c r="M2184" s="66" t="str">
        <f t="shared" si="241"/>
        <v/>
      </c>
      <c r="N2184" s="66" t="str">
        <f t="shared" si="242"/>
        <v/>
      </c>
      <c r="O2184" s="66" t="str">
        <f t="shared" si="243"/>
        <v/>
      </c>
      <c r="P2184" s="66" t="str">
        <f t="shared" si="244"/>
        <v/>
      </c>
    </row>
    <row r="2185" spans="8:16">
      <c r="H2185" s="66" t="e">
        <f>IF(LEFT(A2185,6)="CEPNTR","GPINS",VLOOKUP(LEFT(A2185,6),'Code Library'!$A$3:$B$920,2,0))&amp;"_"&amp;RIGHT(A2185,3)</f>
        <v>#N/A</v>
      </c>
      <c r="I2185" s="66">
        <f t="shared" si="238"/>
        <v>0</v>
      </c>
      <c r="K2185" s="66" t="str">
        <f t="shared" si="239"/>
        <v/>
      </c>
      <c r="L2185" s="66" t="str">
        <f t="shared" si="240"/>
        <v/>
      </c>
      <c r="M2185" s="66" t="str">
        <f t="shared" si="241"/>
        <v/>
      </c>
      <c r="N2185" s="66" t="str">
        <f t="shared" si="242"/>
        <v/>
      </c>
      <c r="O2185" s="66" t="str">
        <f t="shared" si="243"/>
        <v/>
      </c>
      <c r="P2185" s="66" t="str">
        <f t="shared" si="244"/>
        <v/>
      </c>
    </row>
    <row r="2186" spans="8:16">
      <c r="H2186" s="66" t="e">
        <f>IF(LEFT(A2186,6)="CEPNTR","GPINS",VLOOKUP(LEFT(A2186,6),'Code Library'!$A$3:$B$920,2,0))&amp;"_"&amp;RIGHT(A2186,3)</f>
        <v>#N/A</v>
      </c>
      <c r="I2186" s="66">
        <f t="shared" si="238"/>
        <v>0</v>
      </c>
      <c r="K2186" s="66" t="str">
        <f t="shared" si="239"/>
        <v/>
      </c>
      <c r="L2186" s="66" t="str">
        <f t="shared" si="240"/>
        <v/>
      </c>
      <c r="M2186" s="66" t="str">
        <f t="shared" si="241"/>
        <v/>
      </c>
      <c r="N2186" s="66" t="str">
        <f t="shared" si="242"/>
        <v/>
      </c>
      <c r="O2186" s="66" t="str">
        <f t="shared" si="243"/>
        <v/>
      </c>
      <c r="P2186" s="66" t="str">
        <f t="shared" si="244"/>
        <v/>
      </c>
    </row>
    <row r="2187" spans="8:16">
      <c r="H2187" s="66" t="e">
        <f>IF(LEFT(A2187,6)="CEPNTR","GPINS",VLOOKUP(LEFT(A2187,6),'Code Library'!$A$3:$B$920,2,0))&amp;"_"&amp;RIGHT(A2187,3)</f>
        <v>#N/A</v>
      </c>
      <c r="I2187" s="66">
        <f t="shared" si="238"/>
        <v>0</v>
      </c>
      <c r="K2187" s="66" t="str">
        <f t="shared" si="239"/>
        <v/>
      </c>
      <c r="L2187" s="66" t="str">
        <f t="shared" si="240"/>
        <v/>
      </c>
      <c r="M2187" s="66" t="str">
        <f t="shared" si="241"/>
        <v/>
      </c>
      <c r="N2187" s="66" t="str">
        <f t="shared" si="242"/>
        <v/>
      </c>
      <c r="O2187" s="66" t="str">
        <f t="shared" si="243"/>
        <v/>
      </c>
      <c r="P2187" s="66" t="str">
        <f t="shared" si="244"/>
        <v/>
      </c>
    </row>
    <row r="2188" spans="8:16">
      <c r="H2188" s="66" t="e">
        <f>IF(LEFT(A2188,6)="CEPNTR","GPINS",VLOOKUP(LEFT(A2188,6),'Code Library'!$A$3:$B$920,2,0))&amp;"_"&amp;RIGHT(A2188,3)</f>
        <v>#N/A</v>
      </c>
      <c r="I2188" s="66">
        <f t="shared" si="238"/>
        <v>0</v>
      </c>
      <c r="K2188" s="66" t="str">
        <f t="shared" si="239"/>
        <v/>
      </c>
      <c r="L2188" s="66" t="str">
        <f t="shared" si="240"/>
        <v/>
      </c>
      <c r="M2188" s="66" t="str">
        <f t="shared" si="241"/>
        <v/>
      </c>
      <c r="N2188" s="66" t="str">
        <f t="shared" si="242"/>
        <v/>
      </c>
      <c r="O2188" s="66" t="str">
        <f t="shared" si="243"/>
        <v/>
      </c>
      <c r="P2188" s="66" t="str">
        <f t="shared" si="244"/>
        <v/>
      </c>
    </row>
    <row r="2189" spans="8:16">
      <c r="H2189" s="66" t="e">
        <f>IF(LEFT(A2189,6)="CEPNTR","GPINS",VLOOKUP(LEFT(A2189,6),'Code Library'!$A$3:$B$920,2,0))&amp;"_"&amp;RIGHT(A2189,3)</f>
        <v>#N/A</v>
      </c>
      <c r="I2189" s="66">
        <f t="shared" si="238"/>
        <v>0</v>
      </c>
      <c r="K2189" s="66" t="str">
        <f t="shared" si="239"/>
        <v/>
      </c>
      <c r="L2189" s="66" t="str">
        <f t="shared" si="240"/>
        <v/>
      </c>
      <c r="M2189" s="66" t="str">
        <f t="shared" si="241"/>
        <v/>
      </c>
      <c r="N2189" s="66" t="str">
        <f t="shared" si="242"/>
        <v/>
      </c>
      <c r="O2189" s="66" t="str">
        <f t="shared" si="243"/>
        <v/>
      </c>
      <c r="P2189" s="66" t="str">
        <f t="shared" si="244"/>
        <v/>
      </c>
    </row>
    <row r="2190" spans="8:16">
      <c r="H2190" s="66" t="e">
        <f>IF(LEFT(A2190,6)="CEPNTR","GPINS",VLOOKUP(LEFT(A2190,6),'Code Library'!$A$3:$B$920,2,0))&amp;"_"&amp;RIGHT(A2190,3)</f>
        <v>#N/A</v>
      </c>
      <c r="I2190" s="66">
        <f t="shared" si="238"/>
        <v>0</v>
      </c>
      <c r="K2190" s="66" t="str">
        <f t="shared" si="239"/>
        <v/>
      </c>
      <c r="L2190" s="66" t="str">
        <f t="shared" si="240"/>
        <v/>
      </c>
      <c r="M2190" s="66" t="str">
        <f t="shared" si="241"/>
        <v/>
      </c>
      <c r="N2190" s="66" t="str">
        <f t="shared" si="242"/>
        <v/>
      </c>
      <c r="O2190" s="66" t="str">
        <f t="shared" si="243"/>
        <v/>
      </c>
      <c r="P2190" s="66" t="str">
        <f t="shared" si="244"/>
        <v/>
      </c>
    </row>
    <row r="2191" spans="8:16">
      <c r="H2191" s="66" t="e">
        <f>IF(LEFT(A2191,6)="CEPNTR","GPINS",VLOOKUP(LEFT(A2191,6),'Code Library'!$A$3:$B$920,2,0))&amp;"_"&amp;RIGHT(A2191,3)</f>
        <v>#N/A</v>
      </c>
      <c r="I2191" s="66">
        <f t="shared" si="238"/>
        <v>0</v>
      </c>
      <c r="K2191" s="66" t="str">
        <f t="shared" si="239"/>
        <v/>
      </c>
      <c r="L2191" s="66" t="str">
        <f t="shared" si="240"/>
        <v/>
      </c>
      <c r="M2191" s="66" t="str">
        <f t="shared" si="241"/>
        <v/>
      </c>
      <c r="N2191" s="66" t="str">
        <f t="shared" si="242"/>
        <v/>
      </c>
      <c r="O2191" s="66" t="str">
        <f t="shared" si="243"/>
        <v/>
      </c>
      <c r="P2191" s="66" t="str">
        <f t="shared" si="244"/>
        <v/>
      </c>
    </row>
    <row r="2192" spans="8:16">
      <c r="H2192" s="66" t="e">
        <f>IF(LEFT(A2192,6)="CEPNTR","GPINS",VLOOKUP(LEFT(A2192,6),'Code Library'!$A$3:$B$920,2,0))&amp;"_"&amp;RIGHT(A2192,3)</f>
        <v>#N/A</v>
      </c>
      <c r="I2192" s="66">
        <f t="shared" si="238"/>
        <v>0</v>
      </c>
      <c r="K2192" s="66" t="str">
        <f t="shared" si="239"/>
        <v/>
      </c>
      <c r="L2192" s="66" t="str">
        <f t="shared" si="240"/>
        <v/>
      </c>
      <c r="M2192" s="66" t="str">
        <f t="shared" si="241"/>
        <v/>
      </c>
      <c r="N2192" s="66" t="str">
        <f t="shared" si="242"/>
        <v/>
      </c>
      <c r="O2192" s="66" t="str">
        <f t="shared" si="243"/>
        <v/>
      </c>
      <c r="P2192" s="66" t="str">
        <f t="shared" si="244"/>
        <v/>
      </c>
    </row>
    <row r="2193" spans="8:16">
      <c r="H2193" s="66" t="e">
        <f>IF(LEFT(A2193,6)="CEPNTR","GPINS",VLOOKUP(LEFT(A2193,6),'Code Library'!$A$3:$B$920,2,0))&amp;"_"&amp;RIGHT(A2193,3)</f>
        <v>#N/A</v>
      </c>
      <c r="I2193" s="66">
        <f t="shared" si="238"/>
        <v>0</v>
      </c>
      <c r="K2193" s="66" t="str">
        <f t="shared" si="239"/>
        <v/>
      </c>
      <c r="L2193" s="66" t="str">
        <f t="shared" si="240"/>
        <v/>
      </c>
      <c r="M2193" s="66" t="str">
        <f t="shared" si="241"/>
        <v/>
      </c>
      <c r="N2193" s="66" t="str">
        <f t="shared" si="242"/>
        <v/>
      </c>
      <c r="O2193" s="66" t="str">
        <f t="shared" si="243"/>
        <v/>
      </c>
      <c r="P2193" s="66" t="str">
        <f t="shared" si="244"/>
        <v/>
      </c>
    </row>
    <row r="2194" spans="8:16">
      <c r="H2194" s="66" t="e">
        <f>IF(LEFT(A2194,6)="CEPNTR","GPINS",VLOOKUP(LEFT(A2194,6),'Code Library'!$A$3:$B$920,2,0))&amp;"_"&amp;RIGHT(A2194,3)</f>
        <v>#N/A</v>
      </c>
      <c r="I2194" s="66">
        <f t="shared" si="238"/>
        <v>0</v>
      </c>
      <c r="K2194" s="66" t="str">
        <f t="shared" si="239"/>
        <v/>
      </c>
      <c r="L2194" s="66" t="str">
        <f t="shared" si="240"/>
        <v/>
      </c>
      <c r="M2194" s="66" t="str">
        <f t="shared" si="241"/>
        <v/>
      </c>
      <c r="N2194" s="66" t="str">
        <f t="shared" si="242"/>
        <v/>
      </c>
      <c r="O2194" s="66" t="str">
        <f t="shared" si="243"/>
        <v/>
      </c>
      <c r="P2194" s="66" t="str">
        <f t="shared" si="244"/>
        <v/>
      </c>
    </row>
    <row r="2195" spans="8:16">
      <c r="H2195" s="66" t="e">
        <f>IF(LEFT(A2195,6)="CEPNTR","GPINS",VLOOKUP(LEFT(A2195,6),'Code Library'!$A$3:$B$920,2,0))&amp;"_"&amp;RIGHT(A2195,3)</f>
        <v>#N/A</v>
      </c>
      <c r="I2195" s="66">
        <f t="shared" si="238"/>
        <v>0</v>
      </c>
      <c r="K2195" s="66" t="str">
        <f t="shared" si="239"/>
        <v/>
      </c>
      <c r="L2195" s="66" t="str">
        <f t="shared" si="240"/>
        <v/>
      </c>
      <c r="M2195" s="66" t="str">
        <f t="shared" si="241"/>
        <v/>
      </c>
      <c r="N2195" s="66" t="str">
        <f t="shared" si="242"/>
        <v/>
      </c>
      <c r="O2195" s="66" t="str">
        <f t="shared" si="243"/>
        <v/>
      </c>
      <c r="P2195" s="66" t="str">
        <f t="shared" si="244"/>
        <v/>
      </c>
    </row>
    <row r="2196" spans="8:16">
      <c r="H2196" s="66" t="e">
        <f>IF(LEFT(A2196,6)="CEPNTR","GPINS",VLOOKUP(LEFT(A2196,6),'Code Library'!$A$3:$B$920,2,0))&amp;"_"&amp;RIGHT(A2196,3)</f>
        <v>#N/A</v>
      </c>
      <c r="I2196" s="66">
        <f t="shared" si="238"/>
        <v>0</v>
      </c>
      <c r="K2196" s="66" t="str">
        <f t="shared" si="239"/>
        <v/>
      </c>
      <c r="L2196" s="66" t="str">
        <f t="shared" si="240"/>
        <v/>
      </c>
      <c r="M2196" s="66" t="str">
        <f t="shared" si="241"/>
        <v/>
      </c>
      <c r="N2196" s="66" t="str">
        <f t="shared" si="242"/>
        <v/>
      </c>
      <c r="O2196" s="66" t="str">
        <f t="shared" si="243"/>
        <v/>
      </c>
      <c r="P2196" s="66" t="str">
        <f t="shared" si="244"/>
        <v/>
      </c>
    </row>
    <row r="2197" spans="8:16">
      <c r="H2197" s="66" t="e">
        <f>IF(LEFT(A2197,6)="CEPNTR","GPINS",VLOOKUP(LEFT(A2197,6),'Code Library'!$A$3:$B$920,2,0))&amp;"_"&amp;RIGHT(A2197,3)</f>
        <v>#N/A</v>
      </c>
      <c r="I2197" s="66">
        <f t="shared" si="238"/>
        <v>0</v>
      </c>
      <c r="K2197" s="66" t="str">
        <f t="shared" si="239"/>
        <v/>
      </c>
      <c r="L2197" s="66" t="str">
        <f t="shared" si="240"/>
        <v/>
      </c>
      <c r="M2197" s="66" t="str">
        <f t="shared" si="241"/>
        <v/>
      </c>
      <c r="N2197" s="66" t="str">
        <f t="shared" si="242"/>
        <v/>
      </c>
      <c r="O2197" s="66" t="str">
        <f t="shared" si="243"/>
        <v/>
      </c>
      <c r="P2197" s="66" t="str">
        <f t="shared" si="244"/>
        <v/>
      </c>
    </row>
    <row r="2198" spans="8:16">
      <c r="H2198" s="66" t="e">
        <f>IF(LEFT(A2198,6)="CEPNTR","GPINS",VLOOKUP(LEFT(A2198,6),'Code Library'!$A$3:$B$920,2,0))&amp;"_"&amp;RIGHT(A2198,3)</f>
        <v>#N/A</v>
      </c>
      <c r="I2198" s="66">
        <f t="shared" si="238"/>
        <v>0</v>
      </c>
      <c r="K2198" s="66" t="str">
        <f t="shared" si="239"/>
        <v/>
      </c>
      <c r="L2198" s="66" t="str">
        <f t="shared" si="240"/>
        <v/>
      </c>
      <c r="M2198" s="66" t="str">
        <f t="shared" si="241"/>
        <v/>
      </c>
      <c r="N2198" s="66" t="str">
        <f t="shared" si="242"/>
        <v/>
      </c>
      <c r="O2198" s="66" t="str">
        <f t="shared" si="243"/>
        <v/>
      </c>
      <c r="P2198" s="66" t="str">
        <f t="shared" si="244"/>
        <v/>
      </c>
    </row>
    <row r="2199" spans="8:16">
      <c r="H2199" s="66" t="e">
        <f>IF(LEFT(A2199,6)="CEPNTR","GPINS",VLOOKUP(LEFT(A2199,6),'Code Library'!$A$3:$B$920,2,0))&amp;"_"&amp;RIGHT(A2199,3)</f>
        <v>#N/A</v>
      </c>
      <c r="I2199" s="66">
        <f t="shared" si="238"/>
        <v>0</v>
      </c>
      <c r="K2199" s="66" t="str">
        <f t="shared" si="239"/>
        <v/>
      </c>
      <c r="L2199" s="66" t="str">
        <f t="shared" si="240"/>
        <v/>
      </c>
      <c r="M2199" s="66" t="str">
        <f t="shared" si="241"/>
        <v/>
      </c>
      <c r="N2199" s="66" t="str">
        <f t="shared" si="242"/>
        <v/>
      </c>
      <c r="O2199" s="66" t="str">
        <f t="shared" si="243"/>
        <v/>
      </c>
      <c r="P2199" s="66" t="str">
        <f t="shared" si="244"/>
        <v/>
      </c>
    </row>
    <row r="2200" spans="8:16">
      <c r="H2200" s="66" t="e">
        <f>IF(LEFT(A2200,6)="CEPNTR","GPINS",VLOOKUP(LEFT(A2200,6),'Code Library'!$A$3:$B$920,2,0))&amp;"_"&amp;RIGHT(A2200,3)</f>
        <v>#N/A</v>
      </c>
      <c r="I2200" s="66">
        <f t="shared" si="238"/>
        <v>0</v>
      </c>
      <c r="K2200" s="66" t="str">
        <f t="shared" si="239"/>
        <v/>
      </c>
      <c r="L2200" s="66" t="str">
        <f t="shared" si="240"/>
        <v/>
      </c>
      <c r="M2200" s="66" t="str">
        <f t="shared" si="241"/>
        <v/>
      </c>
      <c r="N2200" s="66" t="str">
        <f t="shared" si="242"/>
        <v/>
      </c>
      <c r="O2200" s="66" t="str">
        <f t="shared" si="243"/>
        <v/>
      </c>
      <c r="P2200" s="66" t="str">
        <f t="shared" si="244"/>
        <v/>
      </c>
    </row>
    <row r="2201" spans="8:16">
      <c r="H2201" s="66" t="e">
        <f>IF(LEFT(A2201,6)="CEPNTR","GPINS",VLOOKUP(LEFT(A2201,6),'Code Library'!$A$3:$B$920,2,0))&amp;"_"&amp;RIGHT(A2201,3)</f>
        <v>#N/A</v>
      </c>
      <c r="I2201" s="66">
        <f t="shared" si="238"/>
        <v>0</v>
      </c>
      <c r="K2201" s="66" t="str">
        <f t="shared" si="239"/>
        <v/>
      </c>
      <c r="L2201" s="66" t="str">
        <f t="shared" si="240"/>
        <v/>
      </c>
      <c r="M2201" s="66" t="str">
        <f t="shared" si="241"/>
        <v/>
      </c>
      <c r="N2201" s="66" t="str">
        <f t="shared" si="242"/>
        <v/>
      </c>
      <c r="O2201" s="66" t="str">
        <f t="shared" si="243"/>
        <v/>
      </c>
      <c r="P2201" s="66" t="str">
        <f t="shared" si="244"/>
        <v/>
      </c>
    </row>
    <row r="2202" spans="8:16">
      <c r="H2202" s="66" t="e">
        <f>IF(LEFT(A2202,6)="CEPNTR","GPINS",VLOOKUP(LEFT(A2202,6),'Code Library'!$A$3:$B$920,2,0))&amp;"_"&amp;RIGHT(A2202,3)</f>
        <v>#N/A</v>
      </c>
      <c r="I2202" s="66">
        <f t="shared" si="238"/>
        <v>0</v>
      </c>
      <c r="K2202" s="66" t="str">
        <f t="shared" si="239"/>
        <v/>
      </c>
      <c r="L2202" s="66" t="str">
        <f t="shared" si="240"/>
        <v/>
      </c>
      <c r="M2202" s="66" t="str">
        <f t="shared" si="241"/>
        <v/>
      </c>
      <c r="N2202" s="66" t="str">
        <f t="shared" si="242"/>
        <v/>
      </c>
      <c r="O2202" s="66" t="str">
        <f t="shared" si="243"/>
        <v/>
      </c>
      <c r="P2202" s="66" t="str">
        <f t="shared" si="244"/>
        <v/>
      </c>
    </row>
    <row r="2203" spans="8:16">
      <c r="H2203" s="66" t="e">
        <f>IF(LEFT(A2203,6)="CEPNTR","GPINS",VLOOKUP(LEFT(A2203,6),'Code Library'!$A$3:$B$920,2,0))&amp;"_"&amp;RIGHT(A2203,3)</f>
        <v>#N/A</v>
      </c>
      <c r="I2203" s="66">
        <f t="shared" si="238"/>
        <v>0</v>
      </c>
      <c r="K2203" s="66" t="str">
        <f t="shared" si="239"/>
        <v/>
      </c>
      <c r="L2203" s="66" t="str">
        <f t="shared" si="240"/>
        <v/>
      </c>
      <c r="M2203" s="66" t="str">
        <f t="shared" si="241"/>
        <v/>
      </c>
      <c r="N2203" s="66" t="str">
        <f t="shared" si="242"/>
        <v/>
      </c>
      <c r="O2203" s="66" t="str">
        <f t="shared" si="243"/>
        <v/>
      </c>
      <c r="P2203" s="66" t="str">
        <f t="shared" si="244"/>
        <v/>
      </c>
    </row>
    <row r="2204" spans="8:16">
      <c r="H2204" s="66" t="e">
        <f>IF(LEFT(A2204,6)="CEPNTR","GPINS",VLOOKUP(LEFT(A2204,6),'Code Library'!$A$3:$B$920,2,0))&amp;"_"&amp;RIGHT(A2204,3)</f>
        <v>#N/A</v>
      </c>
      <c r="I2204" s="66">
        <f t="shared" si="238"/>
        <v>0</v>
      </c>
      <c r="K2204" s="66" t="str">
        <f t="shared" si="239"/>
        <v/>
      </c>
      <c r="L2204" s="66" t="str">
        <f t="shared" si="240"/>
        <v/>
      </c>
      <c r="M2204" s="66" t="str">
        <f t="shared" si="241"/>
        <v/>
      </c>
      <c r="N2204" s="66" t="str">
        <f t="shared" si="242"/>
        <v/>
      </c>
      <c r="O2204" s="66" t="str">
        <f t="shared" si="243"/>
        <v/>
      </c>
      <c r="P2204" s="66" t="str">
        <f t="shared" si="244"/>
        <v/>
      </c>
    </row>
    <row r="2205" spans="8:16">
      <c r="H2205" s="66" t="e">
        <f>IF(LEFT(A2205,6)="CEPNTR","GPINS",VLOOKUP(LEFT(A2205,6),'Code Library'!$A$3:$B$920,2,0))&amp;"_"&amp;RIGHT(A2205,3)</f>
        <v>#N/A</v>
      </c>
      <c r="I2205" s="66">
        <f t="shared" si="238"/>
        <v>0</v>
      </c>
      <c r="K2205" s="66" t="str">
        <f t="shared" si="239"/>
        <v/>
      </c>
      <c r="L2205" s="66" t="str">
        <f t="shared" si="240"/>
        <v/>
      </c>
      <c r="M2205" s="66" t="str">
        <f t="shared" si="241"/>
        <v/>
      </c>
      <c r="N2205" s="66" t="str">
        <f t="shared" si="242"/>
        <v/>
      </c>
      <c r="O2205" s="66" t="str">
        <f t="shared" si="243"/>
        <v/>
      </c>
      <c r="P2205" s="66" t="str">
        <f t="shared" si="244"/>
        <v/>
      </c>
    </row>
    <row r="2206" spans="8:16">
      <c r="H2206" s="66" t="e">
        <f>IF(LEFT(A2206,6)="CEPNTR","GPINS",VLOOKUP(LEFT(A2206,6),'Code Library'!$A$3:$B$920,2,0))&amp;"_"&amp;RIGHT(A2206,3)</f>
        <v>#N/A</v>
      </c>
      <c r="I2206" s="66">
        <f t="shared" si="238"/>
        <v>0</v>
      </c>
      <c r="K2206" s="66" t="str">
        <f t="shared" si="239"/>
        <v/>
      </c>
      <c r="L2206" s="66" t="str">
        <f t="shared" si="240"/>
        <v/>
      </c>
      <c r="M2206" s="66" t="str">
        <f t="shared" si="241"/>
        <v/>
      </c>
      <c r="N2206" s="66" t="str">
        <f t="shared" si="242"/>
        <v/>
      </c>
      <c r="O2206" s="66" t="str">
        <f t="shared" si="243"/>
        <v/>
      </c>
      <c r="P2206" s="66" t="str">
        <f t="shared" si="244"/>
        <v/>
      </c>
    </row>
    <row r="2207" spans="8:16">
      <c r="H2207" s="66" t="e">
        <f>IF(LEFT(A2207,6)="CEPNTR","GPINS",VLOOKUP(LEFT(A2207,6),'Code Library'!$A$3:$B$920,2,0))&amp;"_"&amp;RIGHT(A2207,3)</f>
        <v>#N/A</v>
      </c>
      <c r="I2207" s="66">
        <f t="shared" si="238"/>
        <v>0</v>
      </c>
      <c r="K2207" s="66" t="str">
        <f t="shared" si="239"/>
        <v/>
      </c>
      <c r="L2207" s="66" t="str">
        <f t="shared" si="240"/>
        <v/>
      </c>
      <c r="M2207" s="66" t="str">
        <f t="shared" si="241"/>
        <v/>
      </c>
      <c r="N2207" s="66" t="str">
        <f t="shared" si="242"/>
        <v/>
      </c>
      <c r="O2207" s="66" t="str">
        <f t="shared" si="243"/>
        <v/>
      </c>
      <c r="P2207" s="66" t="str">
        <f t="shared" si="244"/>
        <v/>
      </c>
    </row>
    <row r="2208" spans="8:16">
      <c r="H2208" s="66" t="e">
        <f>IF(LEFT(A2208,6)="CEPNTR","GPINS",VLOOKUP(LEFT(A2208,6),'Code Library'!$A$3:$B$920,2,0))&amp;"_"&amp;RIGHT(A2208,3)</f>
        <v>#N/A</v>
      </c>
      <c r="I2208" s="66">
        <f t="shared" si="238"/>
        <v>0</v>
      </c>
      <c r="K2208" s="66" t="str">
        <f t="shared" si="239"/>
        <v/>
      </c>
      <c r="L2208" s="66" t="str">
        <f t="shared" si="240"/>
        <v/>
      </c>
      <c r="M2208" s="66" t="str">
        <f t="shared" si="241"/>
        <v/>
      </c>
      <c r="N2208" s="66" t="str">
        <f t="shared" si="242"/>
        <v/>
      </c>
      <c r="O2208" s="66" t="str">
        <f t="shared" si="243"/>
        <v/>
      </c>
      <c r="P2208" s="66" t="str">
        <f t="shared" si="244"/>
        <v/>
      </c>
    </row>
    <row r="2209" spans="8:16">
      <c r="H2209" s="66" t="e">
        <f>IF(LEFT(A2209,6)="CEPNTR","GPINS",VLOOKUP(LEFT(A2209,6),'Code Library'!$A$3:$B$920,2,0))&amp;"_"&amp;RIGHT(A2209,3)</f>
        <v>#N/A</v>
      </c>
      <c r="I2209" s="66">
        <f t="shared" si="238"/>
        <v>0</v>
      </c>
      <c r="K2209" s="66" t="str">
        <f t="shared" si="239"/>
        <v/>
      </c>
      <c r="L2209" s="66" t="str">
        <f t="shared" si="240"/>
        <v/>
      </c>
      <c r="M2209" s="66" t="str">
        <f t="shared" si="241"/>
        <v/>
      </c>
      <c r="N2209" s="66" t="str">
        <f t="shared" si="242"/>
        <v/>
      </c>
      <c r="O2209" s="66" t="str">
        <f t="shared" si="243"/>
        <v/>
      </c>
      <c r="P2209" s="66" t="str">
        <f t="shared" si="244"/>
        <v/>
      </c>
    </row>
    <row r="2210" spans="8:16">
      <c r="H2210" s="66" t="e">
        <f>IF(LEFT(A2210,6)="CEPNTR","GPINS",VLOOKUP(LEFT(A2210,6),'Code Library'!$A$3:$B$920,2,0))&amp;"_"&amp;RIGHT(A2210,3)</f>
        <v>#N/A</v>
      </c>
      <c r="I2210" s="66">
        <f t="shared" si="238"/>
        <v>0</v>
      </c>
      <c r="K2210" s="66" t="str">
        <f t="shared" si="239"/>
        <v/>
      </c>
      <c r="L2210" s="66" t="str">
        <f t="shared" si="240"/>
        <v/>
      </c>
      <c r="M2210" s="66" t="str">
        <f t="shared" si="241"/>
        <v/>
      </c>
      <c r="N2210" s="66" t="str">
        <f t="shared" si="242"/>
        <v/>
      </c>
      <c r="O2210" s="66" t="str">
        <f t="shared" si="243"/>
        <v/>
      </c>
      <c r="P2210" s="66" t="str">
        <f t="shared" si="244"/>
        <v/>
      </c>
    </row>
    <row r="2211" spans="8:16">
      <c r="H2211" s="66" t="e">
        <f>IF(LEFT(A2211,6)="CEPNTR","GPINS",VLOOKUP(LEFT(A2211,6),'Code Library'!$A$3:$B$920,2,0))&amp;"_"&amp;RIGHT(A2211,3)</f>
        <v>#N/A</v>
      </c>
      <c r="I2211" s="66">
        <f t="shared" si="238"/>
        <v>0</v>
      </c>
      <c r="K2211" s="66" t="str">
        <f t="shared" si="239"/>
        <v/>
      </c>
      <c r="L2211" s="66" t="str">
        <f t="shared" si="240"/>
        <v/>
      </c>
      <c r="M2211" s="66" t="str">
        <f t="shared" si="241"/>
        <v/>
      </c>
      <c r="N2211" s="66" t="str">
        <f t="shared" si="242"/>
        <v/>
      </c>
      <c r="O2211" s="66" t="str">
        <f t="shared" si="243"/>
        <v/>
      </c>
      <c r="P2211" s="66" t="str">
        <f t="shared" si="244"/>
        <v/>
      </c>
    </row>
    <row r="2212" spans="8:16">
      <c r="H2212" s="66" t="e">
        <f>IF(LEFT(A2212,6)="CEPNTR","GPINS",VLOOKUP(LEFT(A2212,6),'Code Library'!$A$3:$B$920,2,0))&amp;"_"&amp;RIGHT(A2212,3)</f>
        <v>#N/A</v>
      </c>
      <c r="I2212" s="66">
        <f t="shared" si="238"/>
        <v>0</v>
      </c>
      <c r="K2212" s="66" t="str">
        <f t="shared" si="239"/>
        <v/>
      </c>
      <c r="L2212" s="66" t="str">
        <f t="shared" si="240"/>
        <v/>
      </c>
      <c r="M2212" s="66" t="str">
        <f t="shared" si="241"/>
        <v/>
      </c>
      <c r="N2212" s="66" t="str">
        <f t="shared" si="242"/>
        <v/>
      </c>
      <c r="O2212" s="66" t="str">
        <f t="shared" si="243"/>
        <v/>
      </c>
      <c r="P2212" s="66" t="str">
        <f t="shared" si="244"/>
        <v/>
      </c>
    </row>
    <row r="2213" spans="8:16">
      <c r="H2213" s="66" t="e">
        <f>IF(LEFT(A2213,6)="CEPNTR","GPINS",VLOOKUP(LEFT(A2213,6),'Code Library'!$A$3:$B$920,2,0))&amp;"_"&amp;RIGHT(A2213,3)</f>
        <v>#N/A</v>
      </c>
      <c r="I2213" s="66">
        <f t="shared" si="238"/>
        <v>0</v>
      </c>
      <c r="K2213" s="66" t="str">
        <f t="shared" si="239"/>
        <v/>
      </c>
      <c r="L2213" s="66" t="str">
        <f t="shared" si="240"/>
        <v/>
      </c>
      <c r="M2213" s="66" t="str">
        <f t="shared" si="241"/>
        <v/>
      </c>
      <c r="N2213" s="66" t="str">
        <f t="shared" si="242"/>
        <v/>
      </c>
      <c r="O2213" s="66" t="str">
        <f t="shared" si="243"/>
        <v/>
      </c>
      <c r="P2213" s="66" t="str">
        <f t="shared" si="244"/>
        <v/>
      </c>
    </row>
    <row r="2214" spans="8:16">
      <c r="H2214" s="66" t="e">
        <f>IF(LEFT(A2214,6)="CEPNTR","GPINS",VLOOKUP(LEFT(A2214,6),'Code Library'!$A$3:$B$920,2,0))&amp;"_"&amp;RIGHT(A2214,3)</f>
        <v>#N/A</v>
      </c>
      <c r="I2214" s="66">
        <f t="shared" si="238"/>
        <v>0</v>
      </c>
      <c r="K2214" s="66" t="str">
        <f t="shared" si="239"/>
        <v/>
      </c>
      <c r="L2214" s="66" t="str">
        <f t="shared" si="240"/>
        <v/>
      </c>
      <c r="M2214" s="66" t="str">
        <f t="shared" si="241"/>
        <v/>
      </c>
      <c r="N2214" s="66" t="str">
        <f t="shared" si="242"/>
        <v/>
      </c>
      <c r="O2214" s="66" t="str">
        <f t="shared" si="243"/>
        <v/>
      </c>
      <c r="P2214" s="66" t="str">
        <f t="shared" si="244"/>
        <v/>
      </c>
    </row>
    <row r="2215" spans="8:16">
      <c r="H2215" s="66" t="e">
        <f>IF(LEFT(A2215,6)="CEPNTR","GPINS",VLOOKUP(LEFT(A2215,6),'Code Library'!$A$3:$B$920,2,0))&amp;"_"&amp;RIGHT(A2215,3)</f>
        <v>#N/A</v>
      </c>
      <c r="I2215" s="66">
        <f t="shared" si="238"/>
        <v>0</v>
      </c>
      <c r="K2215" s="66" t="str">
        <f t="shared" si="239"/>
        <v/>
      </c>
      <c r="L2215" s="66" t="str">
        <f t="shared" si="240"/>
        <v/>
      </c>
      <c r="M2215" s="66" t="str">
        <f t="shared" si="241"/>
        <v/>
      </c>
      <c r="N2215" s="66" t="str">
        <f t="shared" si="242"/>
        <v/>
      </c>
      <c r="O2215" s="66" t="str">
        <f t="shared" si="243"/>
        <v/>
      </c>
      <c r="P2215" s="66" t="str">
        <f t="shared" si="244"/>
        <v/>
      </c>
    </row>
    <row r="2216" spans="8:16">
      <c r="H2216" s="66" t="e">
        <f>IF(LEFT(A2216,6)="CEPNTR","GPINS",VLOOKUP(LEFT(A2216,6),'Code Library'!$A$3:$B$920,2,0))&amp;"_"&amp;RIGHT(A2216,3)</f>
        <v>#N/A</v>
      </c>
      <c r="I2216" s="66">
        <f t="shared" si="238"/>
        <v>0</v>
      </c>
      <c r="K2216" s="66" t="str">
        <f t="shared" si="239"/>
        <v/>
      </c>
      <c r="L2216" s="66" t="str">
        <f t="shared" si="240"/>
        <v/>
      </c>
      <c r="M2216" s="66" t="str">
        <f t="shared" si="241"/>
        <v/>
      </c>
      <c r="N2216" s="66" t="str">
        <f t="shared" si="242"/>
        <v/>
      </c>
      <c r="O2216" s="66" t="str">
        <f t="shared" si="243"/>
        <v/>
      </c>
      <c r="P2216" s="66" t="str">
        <f t="shared" si="244"/>
        <v/>
      </c>
    </row>
    <row r="2217" spans="8:16">
      <c r="H2217" s="66" t="e">
        <f>IF(LEFT(A2217,6)="CEPNTR","GPINS",VLOOKUP(LEFT(A2217,6),'Code Library'!$A$3:$B$920,2,0))&amp;"_"&amp;RIGHT(A2217,3)</f>
        <v>#N/A</v>
      </c>
      <c r="I2217" s="66">
        <f t="shared" si="238"/>
        <v>0</v>
      </c>
      <c r="K2217" s="66" t="str">
        <f t="shared" si="239"/>
        <v/>
      </c>
      <c r="L2217" s="66" t="str">
        <f t="shared" si="240"/>
        <v/>
      </c>
      <c r="M2217" s="66" t="str">
        <f t="shared" si="241"/>
        <v/>
      </c>
      <c r="N2217" s="66" t="str">
        <f t="shared" si="242"/>
        <v/>
      </c>
      <c r="O2217" s="66" t="str">
        <f t="shared" si="243"/>
        <v/>
      </c>
      <c r="P2217" s="66" t="str">
        <f t="shared" si="244"/>
        <v/>
      </c>
    </row>
    <row r="2218" spans="8:16">
      <c r="H2218" s="66" t="e">
        <f>IF(LEFT(A2218,6)="CEPNTR","GPINS",VLOOKUP(LEFT(A2218,6),'Code Library'!$A$3:$B$920,2,0))&amp;"_"&amp;RIGHT(A2218,3)</f>
        <v>#N/A</v>
      </c>
      <c r="I2218" s="66">
        <f t="shared" si="238"/>
        <v>0</v>
      </c>
      <c r="K2218" s="66" t="str">
        <f t="shared" si="239"/>
        <v/>
      </c>
      <c r="L2218" s="66" t="str">
        <f t="shared" si="240"/>
        <v/>
      </c>
      <c r="M2218" s="66" t="str">
        <f t="shared" si="241"/>
        <v/>
      </c>
      <c r="N2218" s="66" t="str">
        <f t="shared" si="242"/>
        <v/>
      </c>
      <c r="O2218" s="66" t="str">
        <f t="shared" si="243"/>
        <v/>
      </c>
      <c r="P2218" s="66" t="str">
        <f t="shared" si="244"/>
        <v/>
      </c>
    </row>
    <row r="2219" spans="8:16">
      <c r="H2219" s="66" t="e">
        <f>IF(LEFT(A2219,6)="CEPNTR","GPINS",VLOOKUP(LEFT(A2219,6),'Code Library'!$A$3:$B$920,2,0))&amp;"_"&amp;RIGHT(A2219,3)</f>
        <v>#N/A</v>
      </c>
      <c r="I2219" s="66">
        <f t="shared" si="238"/>
        <v>0</v>
      </c>
      <c r="K2219" s="66" t="str">
        <f t="shared" si="239"/>
        <v/>
      </c>
      <c r="L2219" s="66" t="str">
        <f t="shared" si="240"/>
        <v/>
      </c>
      <c r="M2219" s="66" t="str">
        <f t="shared" si="241"/>
        <v/>
      </c>
      <c r="N2219" s="66" t="str">
        <f t="shared" si="242"/>
        <v/>
      </c>
      <c r="O2219" s="66" t="str">
        <f t="shared" si="243"/>
        <v/>
      </c>
      <c r="P2219" s="66" t="str">
        <f t="shared" si="244"/>
        <v/>
      </c>
    </row>
    <row r="2220" spans="8:16">
      <c r="H2220" s="66" t="e">
        <f>IF(LEFT(A2220,6)="CEPNTR","GPINS",VLOOKUP(LEFT(A2220,6),'Code Library'!$A$3:$B$920,2,0))&amp;"_"&amp;RIGHT(A2220,3)</f>
        <v>#N/A</v>
      </c>
      <c r="I2220" s="66">
        <f t="shared" si="238"/>
        <v>0</v>
      </c>
      <c r="K2220" s="66" t="str">
        <f t="shared" si="239"/>
        <v/>
      </c>
      <c r="L2220" s="66" t="str">
        <f t="shared" si="240"/>
        <v/>
      </c>
      <c r="M2220" s="66" t="str">
        <f t="shared" si="241"/>
        <v/>
      </c>
      <c r="N2220" s="66" t="str">
        <f t="shared" si="242"/>
        <v/>
      </c>
      <c r="O2220" s="66" t="str">
        <f t="shared" si="243"/>
        <v/>
      </c>
      <c r="P2220" s="66" t="str">
        <f t="shared" si="244"/>
        <v/>
      </c>
    </row>
    <row r="2221" spans="8:16">
      <c r="H2221" s="66" t="e">
        <f>IF(LEFT(A2221,6)="CEPNTR","GPINS",VLOOKUP(LEFT(A2221,6),'Code Library'!$A$3:$B$920,2,0))&amp;"_"&amp;RIGHT(A2221,3)</f>
        <v>#N/A</v>
      </c>
      <c r="I2221" s="66">
        <f t="shared" si="238"/>
        <v>0</v>
      </c>
      <c r="K2221" s="66" t="str">
        <f t="shared" si="239"/>
        <v/>
      </c>
      <c r="L2221" s="66" t="str">
        <f t="shared" si="240"/>
        <v/>
      </c>
      <c r="M2221" s="66" t="str">
        <f t="shared" si="241"/>
        <v/>
      </c>
      <c r="N2221" s="66" t="str">
        <f t="shared" si="242"/>
        <v/>
      </c>
      <c r="O2221" s="66" t="str">
        <f t="shared" si="243"/>
        <v/>
      </c>
      <c r="P2221" s="66" t="str">
        <f t="shared" si="244"/>
        <v/>
      </c>
    </row>
    <row r="2222" spans="8:16">
      <c r="H2222" s="66" t="e">
        <f>IF(LEFT(A2222,6)="CEPNTR","GPINS",VLOOKUP(LEFT(A2222,6),'Code Library'!$A$3:$B$920,2,0))&amp;"_"&amp;RIGHT(A2222,3)</f>
        <v>#N/A</v>
      </c>
      <c r="I2222" s="66">
        <f t="shared" si="238"/>
        <v>0</v>
      </c>
      <c r="K2222" s="66" t="str">
        <f t="shared" si="239"/>
        <v/>
      </c>
      <c r="L2222" s="66" t="str">
        <f t="shared" si="240"/>
        <v/>
      </c>
      <c r="M2222" s="66" t="str">
        <f t="shared" si="241"/>
        <v/>
      </c>
      <c r="N2222" s="66" t="str">
        <f t="shared" si="242"/>
        <v/>
      </c>
      <c r="O2222" s="66" t="str">
        <f t="shared" si="243"/>
        <v/>
      </c>
      <c r="P2222" s="66" t="str">
        <f t="shared" si="244"/>
        <v/>
      </c>
    </row>
    <row r="2223" spans="8:16">
      <c r="H2223" s="66" t="e">
        <f>IF(LEFT(A2223,6)="CEPNTR","GPINS",VLOOKUP(LEFT(A2223,6),'Code Library'!$A$3:$B$920,2,0))&amp;"_"&amp;RIGHT(A2223,3)</f>
        <v>#N/A</v>
      </c>
      <c r="I2223" s="66">
        <f t="shared" si="238"/>
        <v>0</v>
      </c>
      <c r="K2223" s="66" t="str">
        <f t="shared" si="239"/>
        <v/>
      </c>
      <c r="L2223" s="66" t="str">
        <f t="shared" si="240"/>
        <v/>
      </c>
      <c r="M2223" s="66" t="str">
        <f t="shared" si="241"/>
        <v/>
      </c>
      <c r="N2223" s="66" t="str">
        <f t="shared" si="242"/>
        <v/>
      </c>
      <c r="O2223" s="66" t="str">
        <f t="shared" si="243"/>
        <v/>
      </c>
      <c r="P2223" s="66" t="str">
        <f t="shared" si="244"/>
        <v/>
      </c>
    </row>
    <row r="2224" spans="8:16">
      <c r="H2224" s="66" t="e">
        <f>IF(LEFT(A2224,6)="CEPNTR","GPINS",VLOOKUP(LEFT(A2224,6),'Code Library'!$A$3:$B$920,2,0))&amp;"_"&amp;RIGHT(A2224,3)</f>
        <v>#N/A</v>
      </c>
      <c r="I2224" s="66">
        <f t="shared" si="238"/>
        <v>0</v>
      </c>
      <c r="K2224" s="66" t="str">
        <f t="shared" si="239"/>
        <v/>
      </c>
      <c r="L2224" s="66" t="str">
        <f t="shared" si="240"/>
        <v/>
      </c>
      <c r="M2224" s="66" t="str">
        <f t="shared" si="241"/>
        <v/>
      </c>
      <c r="N2224" s="66" t="str">
        <f t="shared" si="242"/>
        <v/>
      </c>
      <c r="O2224" s="66" t="str">
        <f t="shared" si="243"/>
        <v/>
      </c>
      <c r="P2224" s="66" t="str">
        <f t="shared" si="244"/>
        <v/>
      </c>
    </row>
    <row r="2225" spans="8:16">
      <c r="H2225" s="66" t="e">
        <f>IF(LEFT(A2225,6)="CEPNTR","GPINS",VLOOKUP(LEFT(A2225,6),'Code Library'!$A$3:$B$920,2,0))&amp;"_"&amp;RIGHT(A2225,3)</f>
        <v>#N/A</v>
      </c>
      <c r="I2225" s="66">
        <f t="shared" si="238"/>
        <v>0</v>
      </c>
      <c r="K2225" s="66" t="str">
        <f t="shared" si="239"/>
        <v/>
      </c>
      <c r="L2225" s="66" t="str">
        <f t="shared" si="240"/>
        <v/>
      </c>
      <c r="M2225" s="66" t="str">
        <f t="shared" si="241"/>
        <v/>
      </c>
      <c r="N2225" s="66" t="str">
        <f t="shared" si="242"/>
        <v/>
      </c>
      <c r="O2225" s="66" t="str">
        <f t="shared" si="243"/>
        <v/>
      </c>
      <c r="P2225" s="66" t="str">
        <f t="shared" si="244"/>
        <v/>
      </c>
    </row>
    <row r="2226" spans="8:16">
      <c r="H2226" s="66" t="e">
        <f>IF(LEFT(A2226,6)="CEPNTR","GPINS",VLOOKUP(LEFT(A2226,6),'Code Library'!$A$3:$B$920,2,0))&amp;"_"&amp;RIGHT(A2226,3)</f>
        <v>#N/A</v>
      </c>
      <c r="I2226" s="66">
        <f t="shared" si="238"/>
        <v>0</v>
      </c>
      <c r="K2226" s="66" t="str">
        <f t="shared" si="239"/>
        <v/>
      </c>
      <c r="L2226" s="66" t="str">
        <f t="shared" si="240"/>
        <v/>
      </c>
      <c r="M2226" s="66" t="str">
        <f t="shared" si="241"/>
        <v/>
      </c>
      <c r="N2226" s="66" t="str">
        <f t="shared" si="242"/>
        <v/>
      </c>
      <c r="O2226" s="66" t="str">
        <f t="shared" si="243"/>
        <v/>
      </c>
      <c r="P2226" s="66" t="str">
        <f t="shared" si="244"/>
        <v/>
      </c>
    </row>
    <row r="2227" spans="8:16">
      <c r="H2227" s="66" t="e">
        <f>IF(LEFT(A2227,6)="CEPNTR","GPINS",VLOOKUP(LEFT(A2227,6),'Code Library'!$A$3:$B$920,2,0))&amp;"_"&amp;RIGHT(A2227,3)</f>
        <v>#N/A</v>
      </c>
      <c r="I2227" s="66">
        <f t="shared" si="238"/>
        <v>0</v>
      </c>
      <c r="K2227" s="66" t="str">
        <f t="shared" si="239"/>
        <v/>
      </c>
      <c r="L2227" s="66" t="str">
        <f t="shared" si="240"/>
        <v/>
      </c>
      <c r="M2227" s="66" t="str">
        <f t="shared" si="241"/>
        <v/>
      </c>
      <c r="N2227" s="66" t="str">
        <f t="shared" si="242"/>
        <v/>
      </c>
      <c r="O2227" s="66" t="str">
        <f t="shared" si="243"/>
        <v/>
      </c>
      <c r="P2227" s="66" t="str">
        <f t="shared" si="244"/>
        <v/>
      </c>
    </row>
    <row r="2228" spans="8:16">
      <c r="H2228" s="66" t="e">
        <f>IF(LEFT(A2228,6)="CEPNTR","GPINS",VLOOKUP(LEFT(A2228,6),'Code Library'!$A$3:$B$920,2,0))&amp;"_"&amp;RIGHT(A2228,3)</f>
        <v>#N/A</v>
      </c>
      <c r="I2228" s="66">
        <f t="shared" si="238"/>
        <v>0</v>
      </c>
      <c r="K2228" s="66" t="str">
        <f t="shared" si="239"/>
        <v/>
      </c>
      <c r="L2228" s="66" t="str">
        <f t="shared" si="240"/>
        <v/>
      </c>
      <c r="M2228" s="66" t="str">
        <f t="shared" si="241"/>
        <v/>
      </c>
      <c r="N2228" s="66" t="str">
        <f t="shared" si="242"/>
        <v/>
      </c>
      <c r="O2228" s="66" t="str">
        <f t="shared" si="243"/>
        <v/>
      </c>
      <c r="P2228" s="66" t="str">
        <f t="shared" si="244"/>
        <v/>
      </c>
    </row>
    <row r="2229" spans="8:16">
      <c r="H2229" s="66" t="e">
        <f>IF(LEFT(A2229,6)="CEPNTR","GPINS",VLOOKUP(LEFT(A2229,6),'Code Library'!$A$3:$B$920,2,0))&amp;"_"&amp;RIGHT(A2229,3)</f>
        <v>#N/A</v>
      </c>
      <c r="I2229" s="66">
        <f t="shared" si="238"/>
        <v>0</v>
      </c>
      <c r="K2229" s="66" t="str">
        <f t="shared" si="239"/>
        <v/>
      </c>
      <c r="L2229" s="66" t="str">
        <f t="shared" si="240"/>
        <v/>
      </c>
      <c r="M2229" s="66" t="str">
        <f t="shared" si="241"/>
        <v/>
      </c>
      <c r="N2229" s="66" t="str">
        <f t="shared" si="242"/>
        <v/>
      </c>
      <c r="O2229" s="66" t="str">
        <f t="shared" si="243"/>
        <v/>
      </c>
      <c r="P2229" s="66" t="str">
        <f t="shared" si="244"/>
        <v/>
      </c>
    </row>
    <row r="2230" spans="8:16">
      <c r="H2230" s="66" t="e">
        <f>IF(LEFT(A2230,6)="CEPNTR","GPINS",VLOOKUP(LEFT(A2230,6),'Code Library'!$A$3:$B$920,2,0))&amp;"_"&amp;RIGHT(A2230,3)</f>
        <v>#N/A</v>
      </c>
      <c r="I2230" s="66">
        <f t="shared" si="238"/>
        <v>0</v>
      </c>
      <c r="K2230" s="66" t="str">
        <f t="shared" si="239"/>
        <v/>
      </c>
      <c r="L2230" s="66" t="str">
        <f t="shared" si="240"/>
        <v/>
      </c>
      <c r="M2230" s="66" t="str">
        <f t="shared" si="241"/>
        <v/>
      </c>
      <c r="N2230" s="66" t="str">
        <f t="shared" si="242"/>
        <v/>
      </c>
      <c r="O2230" s="66" t="str">
        <f t="shared" si="243"/>
        <v/>
      </c>
      <c r="P2230" s="66" t="str">
        <f t="shared" si="244"/>
        <v/>
      </c>
    </row>
    <row r="2231" spans="8:16">
      <c r="H2231" s="66" t="e">
        <f>IF(LEFT(A2231,6)="CEPNTR","GPINS",VLOOKUP(LEFT(A2231,6),'Code Library'!$A$3:$B$920,2,0))&amp;"_"&amp;RIGHT(A2231,3)</f>
        <v>#N/A</v>
      </c>
      <c r="I2231" s="66">
        <f t="shared" si="238"/>
        <v>0</v>
      </c>
      <c r="K2231" s="66" t="str">
        <f t="shared" si="239"/>
        <v/>
      </c>
      <c r="L2231" s="66" t="str">
        <f t="shared" si="240"/>
        <v/>
      </c>
      <c r="M2231" s="66" t="str">
        <f t="shared" si="241"/>
        <v/>
      </c>
      <c r="N2231" s="66" t="str">
        <f t="shared" si="242"/>
        <v/>
      </c>
      <c r="O2231" s="66" t="str">
        <f t="shared" si="243"/>
        <v/>
      </c>
      <c r="P2231" s="66" t="str">
        <f t="shared" si="244"/>
        <v/>
      </c>
    </row>
    <row r="2232" spans="8:16">
      <c r="H2232" s="66" t="e">
        <f>IF(LEFT(A2232,6)="CEPNTR","GPINS",VLOOKUP(LEFT(A2232,6),'Code Library'!$A$3:$B$920,2,0))&amp;"_"&amp;RIGHT(A2232,3)</f>
        <v>#N/A</v>
      </c>
      <c r="I2232" s="66">
        <f t="shared" si="238"/>
        <v>0</v>
      </c>
      <c r="K2232" s="66" t="str">
        <f t="shared" si="239"/>
        <v/>
      </c>
      <c r="L2232" s="66" t="str">
        <f t="shared" si="240"/>
        <v/>
      </c>
      <c r="M2232" s="66" t="str">
        <f t="shared" si="241"/>
        <v/>
      </c>
      <c r="N2232" s="66" t="str">
        <f t="shared" si="242"/>
        <v/>
      </c>
      <c r="O2232" s="66" t="str">
        <f t="shared" si="243"/>
        <v/>
      </c>
      <c r="P2232" s="66" t="str">
        <f t="shared" si="244"/>
        <v/>
      </c>
    </row>
    <row r="2233" spans="8:16">
      <c r="H2233" s="66" t="e">
        <f>IF(LEFT(A2233,6)="CEPNTR","GPINS",VLOOKUP(LEFT(A2233,6),'Code Library'!$A$3:$B$920,2,0))&amp;"_"&amp;RIGHT(A2233,3)</f>
        <v>#N/A</v>
      </c>
      <c r="I2233" s="66">
        <f t="shared" si="238"/>
        <v>0</v>
      </c>
      <c r="K2233" s="66" t="str">
        <f t="shared" si="239"/>
        <v/>
      </c>
      <c r="L2233" s="66" t="str">
        <f t="shared" si="240"/>
        <v/>
      </c>
      <c r="M2233" s="66" t="str">
        <f t="shared" si="241"/>
        <v/>
      </c>
      <c r="N2233" s="66" t="str">
        <f t="shared" si="242"/>
        <v/>
      </c>
      <c r="O2233" s="66" t="str">
        <f t="shared" si="243"/>
        <v/>
      </c>
      <c r="P2233" s="66" t="str">
        <f t="shared" si="244"/>
        <v/>
      </c>
    </row>
    <row r="2234" spans="8:16">
      <c r="H2234" s="66" t="e">
        <f>IF(LEFT(A2234,6)="CEPNTR","GPINS",VLOOKUP(LEFT(A2234,6),'Code Library'!$A$3:$B$920,2,0))&amp;"_"&amp;RIGHT(A2234,3)</f>
        <v>#N/A</v>
      </c>
      <c r="I2234" s="66">
        <f t="shared" si="238"/>
        <v>0</v>
      </c>
      <c r="K2234" s="66" t="str">
        <f t="shared" si="239"/>
        <v/>
      </c>
      <c r="L2234" s="66" t="str">
        <f t="shared" si="240"/>
        <v/>
      </c>
      <c r="M2234" s="66" t="str">
        <f t="shared" si="241"/>
        <v/>
      </c>
      <c r="N2234" s="66" t="str">
        <f t="shared" si="242"/>
        <v/>
      </c>
      <c r="O2234" s="66" t="str">
        <f t="shared" si="243"/>
        <v/>
      </c>
      <c r="P2234" s="66" t="str">
        <f t="shared" si="244"/>
        <v/>
      </c>
    </row>
    <row r="2235" spans="8:16">
      <c r="H2235" s="66" t="e">
        <f>IF(LEFT(A2235,6)="CEPNTR","GPINS",VLOOKUP(LEFT(A2235,6),'Code Library'!$A$3:$B$920,2,0))&amp;"_"&amp;RIGHT(A2235,3)</f>
        <v>#N/A</v>
      </c>
      <c r="I2235" s="66">
        <f t="shared" si="238"/>
        <v>0</v>
      </c>
      <c r="K2235" s="66" t="str">
        <f t="shared" si="239"/>
        <v/>
      </c>
      <c r="L2235" s="66" t="str">
        <f t="shared" si="240"/>
        <v/>
      </c>
      <c r="M2235" s="66" t="str">
        <f t="shared" si="241"/>
        <v/>
      </c>
      <c r="N2235" s="66" t="str">
        <f t="shared" si="242"/>
        <v/>
      </c>
      <c r="O2235" s="66" t="str">
        <f t="shared" si="243"/>
        <v/>
      </c>
      <c r="P2235" s="66" t="str">
        <f t="shared" si="244"/>
        <v/>
      </c>
    </row>
    <row r="2236" spans="8:16">
      <c r="H2236" s="66" t="e">
        <f>IF(LEFT(A2236,6)="CEPNTR","GPINS",VLOOKUP(LEFT(A2236,6),'Code Library'!$A$3:$B$920,2,0))&amp;"_"&amp;RIGHT(A2236,3)</f>
        <v>#N/A</v>
      </c>
      <c r="I2236" s="66">
        <f t="shared" si="238"/>
        <v>0</v>
      </c>
      <c r="K2236" s="66" t="str">
        <f t="shared" si="239"/>
        <v/>
      </c>
      <c r="L2236" s="66" t="str">
        <f t="shared" si="240"/>
        <v/>
      </c>
      <c r="M2236" s="66" t="str">
        <f t="shared" si="241"/>
        <v/>
      </c>
      <c r="N2236" s="66" t="str">
        <f t="shared" si="242"/>
        <v/>
      </c>
      <c r="O2236" s="66" t="str">
        <f t="shared" si="243"/>
        <v/>
      </c>
      <c r="P2236" s="66" t="str">
        <f t="shared" si="244"/>
        <v/>
      </c>
    </row>
    <row r="2237" spans="8:16">
      <c r="H2237" s="66" t="e">
        <f>IF(LEFT(A2237,6)="CEPNTR","GPINS",VLOOKUP(LEFT(A2237,6),'Code Library'!$A$3:$B$920,2,0))&amp;"_"&amp;RIGHT(A2237,3)</f>
        <v>#N/A</v>
      </c>
      <c r="I2237" s="66">
        <f t="shared" si="238"/>
        <v>0</v>
      </c>
      <c r="K2237" s="66" t="str">
        <f t="shared" si="239"/>
        <v/>
      </c>
      <c r="L2237" s="66" t="str">
        <f t="shared" si="240"/>
        <v/>
      </c>
      <c r="M2237" s="66" t="str">
        <f t="shared" si="241"/>
        <v/>
      </c>
      <c r="N2237" s="66" t="str">
        <f t="shared" si="242"/>
        <v/>
      </c>
      <c r="O2237" s="66" t="str">
        <f t="shared" si="243"/>
        <v/>
      </c>
      <c r="P2237" s="66" t="str">
        <f t="shared" si="244"/>
        <v/>
      </c>
    </row>
    <row r="2238" spans="8:16">
      <c r="H2238" s="66" t="e">
        <f>IF(LEFT(A2238,6)="CEPNTR","GPINS",VLOOKUP(LEFT(A2238,6),'Code Library'!$A$3:$B$920,2,0))&amp;"_"&amp;RIGHT(A2238,3)</f>
        <v>#N/A</v>
      </c>
      <c r="I2238" s="66">
        <f t="shared" si="238"/>
        <v>0</v>
      </c>
      <c r="K2238" s="66" t="str">
        <f t="shared" si="239"/>
        <v/>
      </c>
      <c r="L2238" s="66" t="str">
        <f t="shared" si="240"/>
        <v/>
      </c>
      <c r="M2238" s="66" t="str">
        <f t="shared" si="241"/>
        <v/>
      </c>
      <c r="N2238" s="66" t="str">
        <f t="shared" si="242"/>
        <v/>
      </c>
      <c r="O2238" s="66" t="str">
        <f t="shared" si="243"/>
        <v/>
      </c>
      <c r="P2238" s="66" t="str">
        <f t="shared" si="244"/>
        <v/>
      </c>
    </row>
    <row r="2239" spans="8:16">
      <c r="H2239" s="66" t="e">
        <f>IF(LEFT(A2239,6)="CEPNTR","GPINS",VLOOKUP(LEFT(A2239,6),'Code Library'!$A$3:$B$920,2,0))&amp;"_"&amp;RIGHT(A2239,3)</f>
        <v>#N/A</v>
      </c>
      <c r="I2239" s="66">
        <f t="shared" si="238"/>
        <v>0</v>
      </c>
      <c r="K2239" s="66" t="str">
        <f t="shared" si="239"/>
        <v/>
      </c>
      <c r="L2239" s="66" t="str">
        <f t="shared" si="240"/>
        <v/>
      </c>
      <c r="M2239" s="66" t="str">
        <f t="shared" si="241"/>
        <v/>
      </c>
      <c r="N2239" s="66" t="str">
        <f t="shared" si="242"/>
        <v/>
      </c>
      <c r="O2239" s="66" t="str">
        <f t="shared" si="243"/>
        <v/>
      </c>
      <c r="P2239" s="66" t="str">
        <f t="shared" si="244"/>
        <v/>
      </c>
    </row>
    <row r="2240" spans="8:16">
      <c r="H2240" s="66" t="e">
        <f>IF(LEFT(A2240,6)="CEPNTR","GPINS",VLOOKUP(LEFT(A2240,6),'Code Library'!$A$3:$B$920,2,0))&amp;"_"&amp;RIGHT(A2240,3)</f>
        <v>#N/A</v>
      </c>
      <c r="I2240" s="66">
        <f t="shared" si="238"/>
        <v>0</v>
      </c>
      <c r="K2240" s="66" t="str">
        <f t="shared" si="239"/>
        <v/>
      </c>
      <c r="L2240" s="66" t="str">
        <f t="shared" si="240"/>
        <v/>
      </c>
      <c r="M2240" s="66" t="str">
        <f t="shared" si="241"/>
        <v/>
      </c>
      <c r="N2240" s="66" t="str">
        <f t="shared" si="242"/>
        <v/>
      </c>
      <c r="O2240" s="66" t="str">
        <f t="shared" si="243"/>
        <v/>
      </c>
      <c r="P2240" s="66" t="str">
        <f t="shared" si="244"/>
        <v/>
      </c>
    </row>
    <row r="2241" spans="8:16">
      <c r="H2241" s="66" t="e">
        <f>IF(LEFT(A2241,6)="CEPNTR","GPINS",VLOOKUP(LEFT(A2241,6),'Code Library'!$A$3:$B$920,2,0))&amp;"_"&amp;RIGHT(A2241,3)</f>
        <v>#N/A</v>
      </c>
      <c r="I2241" s="66">
        <f t="shared" si="238"/>
        <v>0</v>
      </c>
      <c r="K2241" s="66" t="str">
        <f t="shared" si="239"/>
        <v/>
      </c>
      <c r="L2241" s="66" t="str">
        <f t="shared" si="240"/>
        <v/>
      </c>
      <c r="M2241" s="66" t="str">
        <f t="shared" si="241"/>
        <v/>
      </c>
      <c r="N2241" s="66" t="str">
        <f t="shared" si="242"/>
        <v/>
      </c>
      <c r="O2241" s="66" t="str">
        <f t="shared" si="243"/>
        <v/>
      </c>
      <c r="P2241" s="66" t="str">
        <f t="shared" si="244"/>
        <v/>
      </c>
    </row>
    <row r="2242" spans="8:16">
      <c r="H2242" s="66" t="e">
        <f>IF(LEFT(A2242,6)="CEPNTR","GPINS",VLOOKUP(LEFT(A2242,6),'Code Library'!$A$3:$B$920,2,0))&amp;"_"&amp;RIGHT(A2242,3)</f>
        <v>#N/A</v>
      </c>
      <c r="I2242" s="66">
        <f t="shared" si="238"/>
        <v>0</v>
      </c>
      <c r="K2242" s="66" t="str">
        <f t="shared" si="239"/>
        <v/>
      </c>
      <c r="L2242" s="66" t="str">
        <f t="shared" si="240"/>
        <v/>
      </c>
      <c r="M2242" s="66" t="str">
        <f t="shared" si="241"/>
        <v/>
      </c>
      <c r="N2242" s="66" t="str">
        <f t="shared" si="242"/>
        <v/>
      </c>
      <c r="O2242" s="66" t="str">
        <f t="shared" si="243"/>
        <v/>
      </c>
      <c r="P2242" s="66" t="str">
        <f t="shared" si="244"/>
        <v/>
      </c>
    </row>
    <row r="2243" spans="8:16">
      <c r="H2243" s="66" t="e">
        <f>IF(LEFT(A2243,6)="CEPNTR","GPINS",VLOOKUP(LEFT(A2243,6),'Code Library'!$A$3:$B$920,2,0))&amp;"_"&amp;RIGHT(A2243,3)</f>
        <v>#N/A</v>
      </c>
      <c r="I2243" s="66">
        <f t="shared" ref="I2243:I2306" si="245">A2243</f>
        <v>0</v>
      </c>
      <c r="K2243" s="66" t="str">
        <f t="shared" ref="K2243:K2306" si="246">RIGHT($B2243,2)</f>
        <v/>
      </c>
      <c r="L2243" s="66" t="str">
        <f t="shared" ref="L2243:L2306" si="247">LEFT(RIGHT($B2243,7),4)</f>
        <v/>
      </c>
      <c r="M2243" s="66" t="str">
        <f t="shared" ref="M2243:M2306" si="248">LEFT(RIGHT($B2243,10),2)</f>
        <v/>
      </c>
      <c r="N2243" s="66" t="str">
        <f t="shared" ref="N2243:N2306" si="249">LEFT(RIGHT($B2243,14),3)</f>
        <v/>
      </c>
      <c r="O2243" s="66" t="str">
        <f t="shared" ref="O2243:O2306" si="250">LEFT(RIGHT($B2243,16),1)</f>
        <v/>
      </c>
      <c r="P2243" s="66" t="str">
        <f t="shared" ref="P2243:P2306" si="251">LEFT(RIGHT($B2243,19),2)</f>
        <v/>
      </c>
    </row>
    <row r="2244" spans="8:16">
      <c r="H2244" s="66" t="e">
        <f>IF(LEFT(A2244,6)="CEPNTR","GPINS",VLOOKUP(LEFT(A2244,6),'Code Library'!$A$3:$B$920,2,0))&amp;"_"&amp;RIGHT(A2244,3)</f>
        <v>#N/A</v>
      </c>
      <c r="I2244" s="66">
        <f t="shared" si="245"/>
        <v>0</v>
      </c>
      <c r="K2244" s="66" t="str">
        <f t="shared" si="246"/>
        <v/>
      </c>
      <c r="L2244" s="66" t="str">
        <f t="shared" si="247"/>
        <v/>
      </c>
      <c r="M2244" s="66" t="str">
        <f t="shared" si="248"/>
        <v/>
      </c>
      <c r="N2244" s="66" t="str">
        <f t="shared" si="249"/>
        <v/>
      </c>
      <c r="O2244" s="66" t="str">
        <f t="shared" si="250"/>
        <v/>
      </c>
      <c r="P2244" s="66" t="str">
        <f t="shared" si="251"/>
        <v/>
      </c>
    </row>
    <row r="2245" spans="8:16">
      <c r="H2245" s="66" t="e">
        <f>IF(LEFT(A2245,6)="CEPNTR","GPINS",VLOOKUP(LEFT(A2245,6),'Code Library'!$A$3:$B$920,2,0))&amp;"_"&amp;RIGHT(A2245,3)</f>
        <v>#N/A</v>
      </c>
      <c r="I2245" s="66">
        <f t="shared" si="245"/>
        <v>0</v>
      </c>
      <c r="K2245" s="66" t="str">
        <f t="shared" si="246"/>
        <v/>
      </c>
      <c r="L2245" s="66" t="str">
        <f t="shared" si="247"/>
        <v/>
      </c>
      <c r="M2245" s="66" t="str">
        <f t="shared" si="248"/>
        <v/>
      </c>
      <c r="N2245" s="66" t="str">
        <f t="shared" si="249"/>
        <v/>
      </c>
      <c r="O2245" s="66" t="str">
        <f t="shared" si="250"/>
        <v/>
      </c>
      <c r="P2245" s="66" t="str">
        <f t="shared" si="251"/>
        <v/>
      </c>
    </row>
    <row r="2246" spans="8:16">
      <c r="H2246" s="66" t="e">
        <f>IF(LEFT(A2246,6)="CEPNTR","GPINS",VLOOKUP(LEFT(A2246,6),'Code Library'!$A$3:$B$920,2,0))&amp;"_"&amp;RIGHT(A2246,3)</f>
        <v>#N/A</v>
      </c>
      <c r="I2246" s="66">
        <f t="shared" si="245"/>
        <v>0</v>
      </c>
      <c r="K2246" s="66" t="str">
        <f t="shared" si="246"/>
        <v/>
      </c>
      <c r="L2246" s="66" t="str">
        <f t="shared" si="247"/>
        <v/>
      </c>
      <c r="M2246" s="66" t="str">
        <f t="shared" si="248"/>
        <v/>
      </c>
      <c r="N2246" s="66" t="str">
        <f t="shared" si="249"/>
        <v/>
      </c>
      <c r="O2246" s="66" t="str">
        <f t="shared" si="250"/>
        <v/>
      </c>
      <c r="P2246" s="66" t="str">
        <f t="shared" si="251"/>
        <v/>
      </c>
    </row>
    <row r="2247" spans="8:16">
      <c r="H2247" s="66" t="e">
        <f>IF(LEFT(A2247,6)="CEPNTR","GPINS",VLOOKUP(LEFT(A2247,6),'Code Library'!$A$3:$B$920,2,0))&amp;"_"&amp;RIGHT(A2247,3)</f>
        <v>#N/A</v>
      </c>
      <c r="I2247" s="66">
        <f t="shared" si="245"/>
        <v>0</v>
      </c>
      <c r="K2247" s="66" t="str">
        <f t="shared" si="246"/>
        <v/>
      </c>
      <c r="L2247" s="66" t="str">
        <f t="shared" si="247"/>
        <v/>
      </c>
      <c r="M2247" s="66" t="str">
        <f t="shared" si="248"/>
        <v/>
      </c>
      <c r="N2247" s="66" t="str">
        <f t="shared" si="249"/>
        <v/>
      </c>
      <c r="O2247" s="66" t="str">
        <f t="shared" si="250"/>
        <v/>
      </c>
      <c r="P2247" s="66" t="str">
        <f t="shared" si="251"/>
        <v/>
      </c>
    </row>
    <row r="2248" spans="8:16">
      <c r="H2248" s="66" t="e">
        <f>IF(LEFT(A2248,6)="CEPNTR","GPINS",VLOOKUP(LEFT(A2248,6),'Code Library'!$A$3:$B$920,2,0))&amp;"_"&amp;RIGHT(A2248,3)</f>
        <v>#N/A</v>
      </c>
      <c r="I2248" s="66">
        <f t="shared" si="245"/>
        <v>0</v>
      </c>
      <c r="K2248" s="66" t="str">
        <f t="shared" si="246"/>
        <v/>
      </c>
      <c r="L2248" s="66" t="str">
        <f t="shared" si="247"/>
        <v/>
      </c>
      <c r="M2248" s="66" t="str">
        <f t="shared" si="248"/>
        <v/>
      </c>
      <c r="N2248" s="66" t="str">
        <f t="shared" si="249"/>
        <v/>
      </c>
      <c r="O2248" s="66" t="str">
        <f t="shared" si="250"/>
        <v/>
      </c>
      <c r="P2248" s="66" t="str">
        <f t="shared" si="251"/>
        <v/>
      </c>
    </row>
    <row r="2249" spans="8:16">
      <c r="H2249" s="66" t="e">
        <f>IF(LEFT(A2249,6)="CEPNTR","GPINS",VLOOKUP(LEFT(A2249,6),'Code Library'!$A$3:$B$920,2,0))&amp;"_"&amp;RIGHT(A2249,3)</f>
        <v>#N/A</v>
      </c>
      <c r="I2249" s="66">
        <f t="shared" si="245"/>
        <v>0</v>
      </c>
      <c r="K2249" s="66" t="str">
        <f t="shared" si="246"/>
        <v/>
      </c>
      <c r="L2249" s="66" t="str">
        <f t="shared" si="247"/>
        <v/>
      </c>
      <c r="M2249" s="66" t="str">
        <f t="shared" si="248"/>
        <v/>
      </c>
      <c r="N2249" s="66" t="str">
        <f t="shared" si="249"/>
        <v/>
      </c>
      <c r="O2249" s="66" t="str">
        <f t="shared" si="250"/>
        <v/>
      </c>
      <c r="P2249" s="66" t="str">
        <f t="shared" si="251"/>
        <v/>
      </c>
    </row>
    <row r="2250" spans="8:16">
      <c r="H2250" s="66" t="e">
        <f>IF(LEFT(A2250,6)="CEPNTR","GPINS",VLOOKUP(LEFT(A2250,6),'Code Library'!$A$3:$B$920,2,0))&amp;"_"&amp;RIGHT(A2250,3)</f>
        <v>#N/A</v>
      </c>
      <c r="I2250" s="66">
        <f t="shared" si="245"/>
        <v>0</v>
      </c>
      <c r="K2250" s="66" t="str">
        <f t="shared" si="246"/>
        <v/>
      </c>
      <c r="L2250" s="66" t="str">
        <f t="shared" si="247"/>
        <v/>
      </c>
      <c r="M2250" s="66" t="str">
        <f t="shared" si="248"/>
        <v/>
      </c>
      <c r="N2250" s="66" t="str">
        <f t="shared" si="249"/>
        <v/>
      </c>
      <c r="O2250" s="66" t="str">
        <f t="shared" si="250"/>
        <v/>
      </c>
      <c r="P2250" s="66" t="str">
        <f t="shared" si="251"/>
        <v/>
      </c>
    </row>
    <row r="2251" spans="8:16">
      <c r="H2251" s="66" t="e">
        <f>IF(LEFT(A2251,6)="CEPNTR","GPINS",VLOOKUP(LEFT(A2251,6),'Code Library'!$A$3:$B$920,2,0))&amp;"_"&amp;RIGHT(A2251,3)</f>
        <v>#N/A</v>
      </c>
      <c r="I2251" s="66">
        <f t="shared" si="245"/>
        <v>0</v>
      </c>
      <c r="K2251" s="66" t="str">
        <f t="shared" si="246"/>
        <v/>
      </c>
      <c r="L2251" s="66" t="str">
        <f t="shared" si="247"/>
        <v/>
      </c>
      <c r="M2251" s="66" t="str">
        <f t="shared" si="248"/>
        <v/>
      </c>
      <c r="N2251" s="66" t="str">
        <f t="shared" si="249"/>
        <v/>
      </c>
      <c r="O2251" s="66" t="str">
        <f t="shared" si="250"/>
        <v/>
      </c>
      <c r="P2251" s="66" t="str">
        <f t="shared" si="251"/>
        <v/>
      </c>
    </row>
    <row r="2252" spans="8:16">
      <c r="H2252" s="66" t="e">
        <f>IF(LEFT(A2252,6)="CEPNTR","GPINS",VLOOKUP(LEFT(A2252,6),'Code Library'!$A$3:$B$920,2,0))&amp;"_"&amp;RIGHT(A2252,3)</f>
        <v>#N/A</v>
      </c>
      <c r="I2252" s="66">
        <f t="shared" si="245"/>
        <v>0</v>
      </c>
      <c r="K2252" s="66" t="str">
        <f t="shared" si="246"/>
        <v/>
      </c>
      <c r="L2252" s="66" t="str">
        <f t="shared" si="247"/>
        <v/>
      </c>
      <c r="M2252" s="66" t="str">
        <f t="shared" si="248"/>
        <v/>
      </c>
      <c r="N2252" s="66" t="str">
        <f t="shared" si="249"/>
        <v/>
      </c>
      <c r="O2252" s="66" t="str">
        <f t="shared" si="250"/>
        <v/>
      </c>
      <c r="P2252" s="66" t="str">
        <f t="shared" si="251"/>
        <v/>
      </c>
    </row>
    <row r="2253" spans="8:16">
      <c r="H2253" s="66" t="e">
        <f>IF(LEFT(A2253,6)="CEPNTR","GPINS",VLOOKUP(LEFT(A2253,6),'Code Library'!$A$3:$B$920,2,0))&amp;"_"&amp;RIGHT(A2253,3)</f>
        <v>#N/A</v>
      </c>
      <c r="I2253" s="66">
        <f t="shared" si="245"/>
        <v>0</v>
      </c>
      <c r="K2253" s="66" t="str">
        <f t="shared" si="246"/>
        <v/>
      </c>
      <c r="L2253" s="66" t="str">
        <f t="shared" si="247"/>
        <v/>
      </c>
      <c r="M2253" s="66" t="str">
        <f t="shared" si="248"/>
        <v/>
      </c>
      <c r="N2253" s="66" t="str">
        <f t="shared" si="249"/>
        <v/>
      </c>
      <c r="O2253" s="66" t="str">
        <f t="shared" si="250"/>
        <v/>
      </c>
      <c r="P2253" s="66" t="str">
        <f t="shared" si="251"/>
        <v/>
      </c>
    </row>
    <row r="2254" spans="8:16">
      <c r="H2254" s="66" t="e">
        <f>IF(LEFT(A2254,6)="CEPNTR","GPINS",VLOOKUP(LEFT(A2254,6),'Code Library'!$A$3:$B$920,2,0))&amp;"_"&amp;RIGHT(A2254,3)</f>
        <v>#N/A</v>
      </c>
      <c r="I2254" s="66">
        <f t="shared" si="245"/>
        <v>0</v>
      </c>
      <c r="K2254" s="66" t="str">
        <f t="shared" si="246"/>
        <v/>
      </c>
      <c r="L2254" s="66" t="str">
        <f t="shared" si="247"/>
        <v/>
      </c>
      <c r="M2254" s="66" t="str">
        <f t="shared" si="248"/>
        <v/>
      </c>
      <c r="N2254" s="66" t="str">
        <f t="shared" si="249"/>
        <v/>
      </c>
      <c r="O2254" s="66" t="str">
        <f t="shared" si="250"/>
        <v/>
      </c>
      <c r="P2254" s="66" t="str">
        <f t="shared" si="251"/>
        <v/>
      </c>
    </row>
    <row r="2255" spans="8:16">
      <c r="H2255" s="66" t="e">
        <f>IF(LEFT(A2255,6)="CEPNTR","GPINS",VLOOKUP(LEFT(A2255,6),'Code Library'!$A$3:$B$920,2,0))&amp;"_"&amp;RIGHT(A2255,3)</f>
        <v>#N/A</v>
      </c>
      <c r="I2255" s="66">
        <f t="shared" si="245"/>
        <v>0</v>
      </c>
      <c r="K2255" s="66" t="str">
        <f t="shared" si="246"/>
        <v/>
      </c>
      <c r="L2255" s="66" t="str">
        <f t="shared" si="247"/>
        <v/>
      </c>
      <c r="M2255" s="66" t="str">
        <f t="shared" si="248"/>
        <v/>
      </c>
      <c r="N2255" s="66" t="str">
        <f t="shared" si="249"/>
        <v/>
      </c>
      <c r="O2255" s="66" t="str">
        <f t="shared" si="250"/>
        <v/>
      </c>
      <c r="P2255" s="66" t="str">
        <f t="shared" si="251"/>
        <v/>
      </c>
    </row>
    <row r="2256" spans="8:16">
      <c r="H2256" s="66" t="e">
        <f>IF(LEFT(A2256,6)="CEPNTR","GPINS",VLOOKUP(LEFT(A2256,6),'Code Library'!$A$3:$B$920,2,0))&amp;"_"&amp;RIGHT(A2256,3)</f>
        <v>#N/A</v>
      </c>
      <c r="I2256" s="66">
        <f t="shared" si="245"/>
        <v>0</v>
      </c>
      <c r="K2256" s="66" t="str">
        <f t="shared" si="246"/>
        <v/>
      </c>
      <c r="L2256" s="66" t="str">
        <f t="shared" si="247"/>
        <v/>
      </c>
      <c r="M2256" s="66" t="str">
        <f t="shared" si="248"/>
        <v/>
      </c>
      <c r="N2256" s="66" t="str">
        <f t="shared" si="249"/>
        <v/>
      </c>
      <c r="O2256" s="66" t="str">
        <f t="shared" si="250"/>
        <v/>
      </c>
      <c r="P2256" s="66" t="str">
        <f t="shared" si="251"/>
        <v/>
      </c>
    </row>
    <row r="2257" spans="8:16">
      <c r="H2257" s="66" t="e">
        <f>IF(LEFT(A2257,6)="CEPNTR","GPINS",VLOOKUP(LEFT(A2257,6),'Code Library'!$A$3:$B$920,2,0))&amp;"_"&amp;RIGHT(A2257,3)</f>
        <v>#N/A</v>
      </c>
      <c r="I2257" s="66">
        <f t="shared" si="245"/>
        <v>0</v>
      </c>
      <c r="K2257" s="66" t="str">
        <f t="shared" si="246"/>
        <v/>
      </c>
      <c r="L2257" s="66" t="str">
        <f t="shared" si="247"/>
        <v/>
      </c>
      <c r="M2257" s="66" t="str">
        <f t="shared" si="248"/>
        <v/>
      </c>
      <c r="N2257" s="66" t="str">
        <f t="shared" si="249"/>
        <v/>
      </c>
      <c r="O2257" s="66" t="str">
        <f t="shared" si="250"/>
        <v/>
      </c>
      <c r="P2257" s="66" t="str">
        <f t="shared" si="251"/>
        <v/>
      </c>
    </row>
    <row r="2258" spans="8:16">
      <c r="H2258" s="66" t="e">
        <f>IF(LEFT(A2258,6)="CEPNTR","GPINS",VLOOKUP(LEFT(A2258,6),'Code Library'!$A$3:$B$920,2,0))&amp;"_"&amp;RIGHT(A2258,3)</f>
        <v>#N/A</v>
      </c>
      <c r="I2258" s="66">
        <f t="shared" si="245"/>
        <v>0</v>
      </c>
      <c r="K2258" s="66" t="str">
        <f t="shared" si="246"/>
        <v/>
      </c>
      <c r="L2258" s="66" t="str">
        <f t="shared" si="247"/>
        <v/>
      </c>
      <c r="M2258" s="66" t="str">
        <f t="shared" si="248"/>
        <v/>
      </c>
      <c r="N2258" s="66" t="str">
        <f t="shared" si="249"/>
        <v/>
      </c>
      <c r="O2258" s="66" t="str">
        <f t="shared" si="250"/>
        <v/>
      </c>
      <c r="P2258" s="66" t="str">
        <f t="shared" si="251"/>
        <v/>
      </c>
    </row>
    <row r="2259" spans="8:16">
      <c r="H2259" s="66" t="e">
        <f>IF(LEFT(A2259,6)="CEPNTR","GPINS",VLOOKUP(LEFT(A2259,6),'Code Library'!$A$3:$B$920,2,0))&amp;"_"&amp;RIGHT(A2259,3)</f>
        <v>#N/A</v>
      </c>
      <c r="I2259" s="66">
        <f t="shared" si="245"/>
        <v>0</v>
      </c>
      <c r="K2259" s="66" t="str">
        <f t="shared" si="246"/>
        <v/>
      </c>
      <c r="L2259" s="66" t="str">
        <f t="shared" si="247"/>
        <v/>
      </c>
      <c r="M2259" s="66" t="str">
        <f t="shared" si="248"/>
        <v/>
      </c>
      <c r="N2259" s="66" t="str">
        <f t="shared" si="249"/>
        <v/>
      </c>
      <c r="O2259" s="66" t="str">
        <f t="shared" si="250"/>
        <v/>
      </c>
      <c r="P2259" s="66" t="str">
        <f t="shared" si="251"/>
        <v/>
      </c>
    </row>
    <row r="2260" spans="8:16">
      <c r="H2260" s="66" t="e">
        <f>IF(LEFT(A2260,6)="CEPNTR","GPINS",VLOOKUP(LEFT(A2260,6),'Code Library'!$A$3:$B$920,2,0))&amp;"_"&amp;RIGHT(A2260,3)</f>
        <v>#N/A</v>
      </c>
      <c r="I2260" s="66">
        <f t="shared" si="245"/>
        <v>0</v>
      </c>
      <c r="K2260" s="66" t="str">
        <f t="shared" si="246"/>
        <v/>
      </c>
      <c r="L2260" s="66" t="str">
        <f t="shared" si="247"/>
        <v/>
      </c>
      <c r="M2260" s="66" t="str">
        <f t="shared" si="248"/>
        <v/>
      </c>
      <c r="N2260" s="66" t="str">
        <f t="shared" si="249"/>
        <v/>
      </c>
      <c r="O2260" s="66" t="str">
        <f t="shared" si="250"/>
        <v/>
      </c>
      <c r="P2260" s="66" t="str">
        <f t="shared" si="251"/>
        <v/>
      </c>
    </row>
    <row r="2261" spans="8:16">
      <c r="H2261" s="66" t="e">
        <f>IF(LEFT(A2261,6)="CEPNTR","GPINS",VLOOKUP(LEFT(A2261,6),'Code Library'!$A$3:$B$920,2,0))&amp;"_"&amp;RIGHT(A2261,3)</f>
        <v>#N/A</v>
      </c>
      <c r="I2261" s="66">
        <f t="shared" si="245"/>
        <v>0</v>
      </c>
      <c r="K2261" s="66" t="str">
        <f t="shared" si="246"/>
        <v/>
      </c>
      <c r="L2261" s="66" t="str">
        <f t="shared" si="247"/>
        <v/>
      </c>
      <c r="M2261" s="66" t="str">
        <f t="shared" si="248"/>
        <v/>
      </c>
      <c r="N2261" s="66" t="str">
        <f t="shared" si="249"/>
        <v/>
      </c>
      <c r="O2261" s="66" t="str">
        <f t="shared" si="250"/>
        <v/>
      </c>
      <c r="P2261" s="66" t="str">
        <f t="shared" si="251"/>
        <v/>
      </c>
    </row>
    <row r="2262" spans="8:16">
      <c r="H2262" s="66" t="e">
        <f>IF(LEFT(A2262,6)="CEPNTR","GPINS",VLOOKUP(LEFT(A2262,6),'Code Library'!$A$3:$B$920,2,0))&amp;"_"&amp;RIGHT(A2262,3)</f>
        <v>#N/A</v>
      </c>
      <c r="I2262" s="66">
        <f t="shared" si="245"/>
        <v>0</v>
      </c>
      <c r="K2262" s="66" t="str">
        <f t="shared" si="246"/>
        <v/>
      </c>
      <c r="L2262" s="66" t="str">
        <f t="shared" si="247"/>
        <v/>
      </c>
      <c r="M2262" s="66" t="str">
        <f t="shared" si="248"/>
        <v/>
      </c>
      <c r="N2262" s="66" t="str">
        <f t="shared" si="249"/>
        <v/>
      </c>
      <c r="O2262" s="66" t="str">
        <f t="shared" si="250"/>
        <v/>
      </c>
      <c r="P2262" s="66" t="str">
        <f t="shared" si="251"/>
        <v/>
      </c>
    </row>
    <row r="2263" spans="8:16">
      <c r="H2263" s="66" t="e">
        <f>IF(LEFT(A2263,6)="CEPNTR","GPINS",VLOOKUP(LEFT(A2263,6),'Code Library'!$A$3:$B$920,2,0))&amp;"_"&amp;RIGHT(A2263,3)</f>
        <v>#N/A</v>
      </c>
      <c r="I2263" s="66">
        <f t="shared" si="245"/>
        <v>0</v>
      </c>
      <c r="K2263" s="66" t="str">
        <f t="shared" si="246"/>
        <v/>
      </c>
      <c r="L2263" s="66" t="str">
        <f t="shared" si="247"/>
        <v/>
      </c>
      <c r="M2263" s="66" t="str">
        <f t="shared" si="248"/>
        <v/>
      </c>
      <c r="N2263" s="66" t="str">
        <f t="shared" si="249"/>
        <v/>
      </c>
      <c r="O2263" s="66" t="str">
        <f t="shared" si="250"/>
        <v/>
      </c>
      <c r="P2263" s="66" t="str">
        <f t="shared" si="251"/>
        <v/>
      </c>
    </row>
    <row r="2264" spans="8:16">
      <c r="H2264" s="66" t="e">
        <f>IF(LEFT(A2264,6)="CEPNTR","GPINS",VLOOKUP(LEFT(A2264,6),'Code Library'!$A$3:$B$920,2,0))&amp;"_"&amp;RIGHT(A2264,3)</f>
        <v>#N/A</v>
      </c>
      <c r="I2264" s="66">
        <f t="shared" si="245"/>
        <v>0</v>
      </c>
      <c r="K2264" s="66" t="str">
        <f t="shared" si="246"/>
        <v/>
      </c>
      <c r="L2264" s="66" t="str">
        <f t="shared" si="247"/>
        <v/>
      </c>
      <c r="M2264" s="66" t="str">
        <f t="shared" si="248"/>
        <v/>
      </c>
      <c r="N2264" s="66" t="str">
        <f t="shared" si="249"/>
        <v/>
      </c>
      <c r="O2264" s="66" t="str">
        <f t="shared" si="250"/>
        <v/>
      </c>
      <c r="P2264" s="66" t="str">
        <f t="shared" si="251"/>
        <v/>
      </c>
    </row>
    <row r="2265" spans="8:16">
      <c r="H2265" s="66" t="e">
        <f>IF(LEFT(A2265,6)="CEPNTR","GPINS",VLOOKUP(LEFT(A2265,6),'Code Library'!$A$3:$B$920,2,0))&amp;"_"&amp;RIGHT(A2265,3)</f>
        <v>#N/A</v>
      </c>
      <c r="I2265" s="66">
        <f t="shared" si="245"/>
        <v>0</v>
      </c>
      <c r="K2265" s="66" t="str">
        <f t="shared" si="246"/>
        <v/>
      </c>
      <c r="L2265" s="66" t="str">
        <f t="shared" si="247"/>
        <v/>
      </c>
      <c r="M2265" s="66" t="str">
        <f t="shared" si="248"/>
        <v/>
      </c>
      <c r="N2265" s="66" t="str">
        <f t="shared" si="249"/>
        <v/>
      </c>
      <c r="O2265" s="66" t="str">
        <f t="shared" si="250"/>
        <v/>
      </c>
      <c r="P2265" s="66" t="str">
        <f t="shared" si="251"/>
        <v/>
      </c>
    </row>
    <row r="2266" spans="8:16">
      <c r="H2266" s="66" t="e">
        <f>IF(LEFT(A2266,6)="CEPNTR","GPINS",VLOOKUP(LEFT(A2266,6),'Code Library'!$A$3:$B$920,2,0))&amp;"_"&amp;RIGHT(A2266,3)</f>
        <v>#N/A</v>
      </c>
      <c r="I2266" s="66">
        <f t="shared" si="245"/>
        <v>0</v>
      </c>
      <c r="K2266" s="66" t="str">
        <f t="shared" si="246"/>
        <v/>
      </c>
      <c r="L2266" s="66" t="str">
        <f t="shared" si="247"/>
        <v/>
      </c>
      <c r="M2266" s="66" t="str">
        <f t="shared" si="248"/>
        <v/>
      </c>
      <c r="N2266" s="66" t="str">
        <f t="shared" si="249"/>
        <v/>
      </c>
      <c r="O2266" s="66" t="str">
        <f t="shared" si="250"/>
        <v/>
      </c>
      <c r="P2266" s="66" t="str">
        <f t="shared" si="251"/>
        <v/>
      </c>
    </row>
    <row r="2267" spans="8:16">
      <c r="H2267" s="66" t="e">
        <f>IF(LEFT(A2267,6)="CEPNTR","GPINS",VLOOKUP(LEFT(A2267,6),'Code Library'!$A$3:$B$920,2,0))&amp;"_"&amp;RIGHT(A2267,3)</f>
        <v>#N/A</v>
      </c>
      <c r="I2267" s="66">
        <f t="shared" si="245"/>
        <v>0</v>
      </c>
      <c r="K2267" s="66" t="str">
        <f t="shared" si="246"/>
        <v/>
      </c>
      <c r="L2267" s="66" t="str">
        <f t="shared" si="247"/>
        <v/>
      </c>
      <c r="M2267" s="66" t="str">
        <f t="shared" si="248"/>
        <v/>
      </c>
      <c r="N2267" s="66" t="str">
        <f t="shared" si="249"/>
        <v/>
      </c>
      <c r="O2267" s="66" t="str">
        <f t="shared" si="250"/>
        <v/>
      </c>
      <c r="P2267" s="66" t="str">
        <f t="shared" si="251"/>
        <v/>
      </c>
    </row>
    <row r="2268" spans="8:16">
      <c r="H2268" s="66" t="e">
        <f>IF(LEFT(A2268,6)="CEPNTR","GPINS",VLOOKUP(LEFT(A2268,6),'Code Library'!$A$3:$B$920,2,0))&amp;"_"&amp;RIGHT(A2268,3)</f>
        <v>#N/A</v>
      </c>
      <c r="I2268" s="66">
        <f t="shared" si="245"/>
        <v>0</v>
      </c>
      <c r="K2268" s="66" t="str">
        <f t="shared" si="246"/>
        <v/>
      </c>
      <c r="L2268" s="66" t="str">
        <f t="shared" si="247"/>
        <v/>
      </c>
      <c r="M2268" s="66" t="str">
        <f t="shared" si="248"/>
        <v/>
      </c>
      <c r="N2268" s="66" t="str">
        <f t="shared" si="249"/>
        <v/>
      </c>
      <c r="O2268" s="66" t="str">
        <f t="shared" si="250"/>
        <v/>
      </c>
      <c r="P2268" s="66" t="str">
        <f t="shared" si="251"/>
        <v/>
      </c>
    </row>
    <row r="2269" spans="8:16">
      <c r="H2269" s="66" t="e">
        <f>IF(LEFT(A2269,6)="CEPNTR","GPINS",VLOOKUP(LEFT(A2269,6),'Code Library'!$A$3:$B$920,2,0))&amp;"_"&amp;RIGHT(A2269,3)</f>
        <v>#N/A</v>
      </c>
      <c r="I2269" s="66">
        <f t="shared" si="245"/>
        <v>0</v>
      </c>
      <c r="K2269" s="66" t="str">
        <f t="shared" si="246"/>
        <v/>
      </c>
      <c r="L2269" s="66" t="str">
        <f t="shared" si="247"/>
        <v/>
      </c>
      <c r="M2269" s="66" t="str">
        <f t="shared" si="248"/>
        <v/>
      </c>
      <c r="N2269" s="66" t="str">
        <f t="shared" si="249"/>
        <v/>
      </c>
      <c r="O2269" s="66" t="str">
        <f t="shared" si="250"/>
        <v/>
      </c>
      <c r="P2269" s="66" t="str">
        <f t="shared" si="251"/>
        <v/>
      </c>
    </row>
    <row r="2270" spans="8:16">
      <c r="H2270" s="66" t="e">
        <f>IF(LEFT(A2270,6)="CEPNTR","GPINS",VLOOKUP(LEFT(A2270,6),'Code Library'!$A$3:$B$920,2,0))&amp;"_"&amp;RIGHT(A2270,3)</f>
        <v>#N/A</v>
      </c>
      <c r="I2270" s="66">
        <f t="shared" si="245"/>
        <v>0</v>
      </c>
      <c r="K2270" s="66" t="str">
        <f t="shared" si="246"/>
        <v/>
      </c>
      <c r="L2270" s="66" t="str">
        <f t="shared" si="247"/>
        <v/>
      </c>
      <c r="M2270" s="66" t="str">
        <f t="shared" si="248"/>
        <v/>
      </c>
      <c r="N2270" s="66" t="str">
        <f t="shared" si="249"/>
        <v/>
      </c>
      <c r="O2270" s="66" t="str">
        <f t="shared" si="250"/>
        <v/>
      </c>
      <c r="P2270" s="66" t="str">
        <f t="shared" si="251"/>
        <v/>
      </c>
    </row>
    <row r="2271" spans="8:16">
      <c r="H2271" s="66" t="e">
        <f>IF(LEFT(A2271,6)="CEPNTR","GPINS",VLOOKUP(LEFT(A2271,6),'Code Library'!$A$3:$B$920,2,0))&amp;"_"&amp;RIGHT(A2271,3)</f>
        <v>#N/A</v>
      </c>
      <c r="I2271" s="66">
        <f t="shared" si="245"/>
        <v>0</v>
      </c>
      <c r="K2271" s="66" t="str">
        <f t="shared" si="246"/>
        <v/>
      </c>
      <c r="L2271" s="66" t="str">
        <f t="shared" si="247"/>
        <v/>
      </c>
      <c r="M2271" s="66" t="str">
        <f t="shared" si="248"/>
        <v/>
      </c>
      <c r="N2271" s="66" t="str">
        <f t="shared" si="249"/>
        <v/>
      </c>
      <c r="O2271" s="66" t="str">
        <f t="shared" si="250"/>
        <v/>
      </c>
      <c r="P2271" s="66" t="str">
        <f t="shared" si="251"/>
        <v/>
      </c>
    </row>
    <row r="2272" spans="8:16">
      <c r="H2272" s="66" t="e">
        <f>IF(LEFT(A2272,6)="CEPNTR","GPINS",VLOOKUP(LEFT(A2272,6),'Code Library'!$A$3:$B$920,2,0))&amp;"_"&amp;RIGHT(A2272,3)</f>
        <v>#N/A</v>
      </c>
      <c r="I2272" s="66">
        <f t="shared" si="245"/>
        <v>0</v>
      </c>
      <c r="K2272" s="66" t="str">
        <f t="shared" si="246"/>
        <v/>
      </c>
      <c r="L2272" s="66" t="str">
        <f t="shared" si="247"/>
        <v/>
      </c>
      <c r="M2272" s="66" t="str">
        <f t="shared" si="248"/>
        <v/>
      </c>
      <c r="N2272" s="66" t="str">
        <f t="shared" si="249"/>
        <v/>
      </c>
      <c r="O2272" s="66" t="str">
        <f t="shared" si="250"/>
        <v/>
      </c>
      <c r="P2272" s="66" t="str">
        <f t="shared" si="251"/>
        <v/>
      </c>
    </row>
    <row r="2273" spans="8:16">
      <c r="H2273" s="66" t="e">
        <f>IF(LEFT(A2273,6)="CEPNTR","GPINS",VLOOKUP(LEFT(A2273,6),'Code Library'!$A$3:$B$920,2,0))&amp;"_"&amp;RIGHT(A2273,3)</f>
        <v>#N/A</v>
      </c>
      <c r="I2273" s="66">
        <f t="shared" si="245"/>
        <v>0</v>
      </c>
      <c r="K2273" s="66" t="str">
        <f t="shared" si="246"/>
        <v/>
      </c>
      <c r="L2273" s="66" t="str">
        <f t="shared" si="247"/>
        <v/>
      </c>
      <c r="M2273" s="66" t="str">
        <f t="shared" si="248"/>
        <v/>
      </c>
      <c r="N2273" s="66" t="str">
        <f t="shared" si="249"/>
        <v/>
      </c>
      <c r="O2273" s="66" t="str">
        <f t="shared" si="250"/>
        <v/>
      </c>
      <c r="P2273" s="66" t="str">
        <f t="shared" si="251"/>
        <v/>
      </c>
    </row>
    <row r="2274" spans="8:16">
      <c r="H2274" s="66" t="e">
        <f>IF(LEFT(A2274,6)="CEPNTR","GPINS",VLOOKUP(LEFT(A2274,6),'Code Library'!$A$3:$B$920,2,0))&amp;"_"&amp;RIGHT(A2274,3)</f>
        <v>#N/A</v>
      </c>
      <c r="I2274" s="66">
        <f t="shared" si="245"/>
        <v>0</v>
      </c>
      <c r="K2274" s="66" t="str">
        <f t="shared" si="246"/>
        <v/>
      </c>
      <c r="L2274" s="66" t="str">
        <f t="shared" si="247"/>
        <v/>
      </c>
      <c r="M2274" s="66" t="str">
        <f t="shared" si="248"/>
        <v/>
      </c>
      <c r="N2274" s="66" t="str">
        <f t="shared" si="249"/>
        <v/>
      </c>
      <c r="O2274" s="66" t="str">
        <f t="shared" si="250"/>
        <v/>
      </c>
      <c r="P2274" s="66" t="str">
        <f t="shared" si="251"/>
        <v/>
      </c>
    </row>
    <row r="2275" spans="8:16">
      <c r="H2275" s="66" t="e">
        <f>IF(LEFT(A2275,6)="CEPNTR","GPINS",VLOOKUP(LEFT(A2275,6),'Code Library'!$A$3:$B$920,2,0))&amp;"_"&amp;RIGHT(A2275,3)</f>
        <v>#N/A</v>
      </c>
      <c r="I2275" s="66">
        <f t="shared" si="245"/>
        <v>0</v>
      </c>
      <c r="K2275" s="66" t="str">
        <f t="shared" si="246"/>
        <v/>
      </c>
      <c r="L2275" s="66" t="str">
        <f t="shared" si="247"/>
        <v/>
      </c>
      <c r="M2275" s="66" t="str">
        <f t="shared" si="248"/>
        <v/>
      </c>
      <c r="N2275" s="66" t="str">
        <f t="shared" si="249"/>
        <v/>
      </c>
      <c r="O2275" s="66" t="str">
        <f t="shared" si="250"/>
        <v/>
      </c>
      <c r="P2275" s="66" t="str">
        <f t="shared" si="251"/>
        <v/>
      </c>
    </row>
    <row r="2276" spans="8:16">
      <c r="H2276" s="66" t="e">
        <f>IF(LEFT(A2276,6)="CEPNTR","GPINS",VLOOKUP(LEFT(A2276,6),'Code Library'!$A$3:$B$920,2,0))&amp;"_"&amp;RIGHT(A2276,3)</f>
        <v>#N/A</v>
      </c>
      <c r="I2276" s="66">
        <f t="shared" si="245"/>
        <v>0</v>
      </c>
      <c r="K2276" s="66" t="str">
        <f t="shared" si="246"/>
        <v/>
      </c>
      <c r="L2276" s="66" t="str">
        <f t="shared" si="247"/>
        <v/>
      </c>
      <c r="M2276" s="66" t="str">
        <f t="shared" si="248"/>
        <v/>
      </c>
      <c r="N2276" s="66" t="str">
        <f t="shared" si="249"/>
        <v/>
      </c>
      <c r="O2276" s="66" t="str">
        <f t="shared" si="250"/>
        <v/>
      </c>
      <c r="P2276" s="66" t="str">
        <f t="shared" si="251"/>
        <v/>
      </c>
    </row>
    <row r="2277" spans="8:16">
      <c r="H2277" s="66" t="e">
        <f>IF(LEFT(A2277,6)="CEPNTR","GPINS",VLOOKUP(LEFT(A2277,6),'Code Library'!$A$3:$B$920,2,0))&amp;"_"&amp;RIGHT(A2277,3)</f>
        <v>#N/A</v>
      </c>
      <c r="I2277" s="66">
        <f t="shared" si="245"/>
        <v>0</v>
      </c>
      <c r="K2277" s="66" t="str">
        <f t="shared" si="246"/>
        <v/>
      </c>
      <c r="L2277" s="66" t="str">
        <f t="shared" si="247"/>
        <v/>
      </c>
      <c r="M2277" s="66" t="str">
        <f t="shared" si="248"/>
        <v/>
      </c>
      <c r="N2277" s="66" t="str">
        <f t="shared" si="249"/>
        <v/>
      </c>
      <c r="O2277" s="66" t="str">
        <f t="shared" si="250"/>
        <v/>
      </c>
      <c r="P2277" s="66" t="str">
        <f t="shared" si="251"/>
        <v/>
      </c>
    </row>
    <row r="2278" spans="8:16">
      <c r="H2278" s="66" t="e">
        <f>IF(LEFT(A2278,6)="CEPNTR","GPINS",VLOOKUP(LEFT(A2278,6),'Code Library'!$A$3:$B$920,2,0))&amp;"_"&amp;RIGHT(A2278,3)</f>
        <v>#N/A</v>
      </c>
      <c r="I2278" s="66">
        <f t="shared" si="245"/>
        <v>0</v>
      </c>
      <c r="K2278" s="66" t="str">
        <f t="shared" si="246"/>
        <v/>
      </c>
      <c r="L2278" s="66" t="str">
        <f t="shared" si="247"/>
        <v/>
      </c>
      <c r="M2278" s="66" t="str">
        <f t="shared" si="248"/>
        <v/>
      </c>
      <c r="N2278" s="66" t="str">
        <f t="shared" si="249"/>
        <v/>
      </c>
      <c r="O2278" s="66" t="str">
        <f t="shared" si="250"/>
        <v/>
      </c>
      <c r="P2278" s="66" t="str">
        <f t="shared" si="251"/>
        <v/>
      </c>
    </row>
    <row r="2279" spans="8:16">
      <c r="H2279" s="66" t="e">
        <f>IF(LEFT(A2279,6)="CEPNTR","GPINS",VLOOKUP(LEFT(A2279,6),'Code Library'!$A$3:$B$920,2,0))&amp;"_"&amp;RIGHT(A2279,3)</f>
        <v>#N/A</v>
      </c>
      <c r="I2279" s="66">
        <f t="shared" si="245"/>
        <v>0</v>
      </c>
      <c r="K2279" s="66" t="str">
        <f t="shared" si="246"/>
        <v/>
      </c>
      <c r="L2279" s="66" t="str">
        <f t="shared" si="247"/>
        <v/>
      </c>
      <c r="M2279" s="66" t="str">
        <f t="shared" si="248"/>
        <v/>
      </c>
      <c r="N2279" s="66" t="str">
        <f t="shared" si="249"/>
        <v/>
      </c>
      <c r="O2279" s="66" t="str">
        <f t="shared" si="250"/>
        <v/>
      </c>
      <c r="P2279" s="66" t="str">
        <f t="shared" si="251"/>
        <v/>
      </c>
    </row>
    <row r="2280" spans="8:16">
      <c r="H2280" s="66" t="e">
        <f>IF(LEFT(A2280,6)="CEPNTR","GPINS",VLOOKUP(LEFT(A2280,6),'Code Library'!$A$3:$B$920,2,0))&amp;"_"&amp;RIGHT(A2280,3)</f>
        <v>#N/A</v>
      </c>
      <c r="I2280" s="66">
        <f t="shared" si="245"/>
        <v>0</v>
      </c>
      <c r="K2280" s="66" t="str">
        <f t="shared" si="246"/>
        <v/>
      </c>
      <c r="L2280" s="66" t="str">
        <f t="shared" si="247"/>
        <v/>
      </c>
      <c r="M2280" s="66" t="str">
        <f t="shared" si="248"/>
        <v/>
      </c>
      <c r="N2280" s="66" t="str">
        <f t="shared" si="249"/>
        <v/>
      </c>
      <c r="O2280" s="66" t="str">
        <f t="shared" si="250"/>
        <v/>
      </c>
      <c r="P2280" s="66" t="str">
        <f t="shared" si="251"/>
        <v/>
      </c>
    </row>
    <row r="2281" spans="8:16">
      <c r="H2281" s="66" t="e">
        <f>IF(LEFT(A2281,6)="CEPNTR","GPINS",VLOOKUP(LEFT(A2281,6),'Code Library'!$A$3:$B$920,2,0))&amp;"_"&amp;RIGHT(A2281,3)</f>
        <v>#N/A</v>
      </c>
      <c r="I2281" s="66">
        <f t="shared" si="245"/>
        <v>0</v>
      </c>
      <c r="K2281" s="66" t="str">
        <f t="shared" si="246"/>
        <v/>
      </c>
      <c r="L2281" s="66" t="str">
        <f t="shared" si="247"/>
        <v/>
      </c>
      <c r="M2281" s="66" t="str">
        <f t="shared" si="248"/>
        <v/>
      </c>
      <c r="N2281" s="66" t="str">
        <f t="shared" si="249"/>
        <v/>
      </c>
      <c r="O2281" s="66" t="str">
        <f t="shared" si="250"/>
        <v/>
      </c>
      <c r="P2281" s="66" t="str">
        <f t="shared" si="251"/>
        <v/>
      </c>
    </row>
    <row r="2282" spans="8:16">
      <c r="H2282" s="66" t="e">
        <f>IF(LEFT(A2282,6)="CEPNTR","GPINS",VLOOKUP(LEFT(A2282,6),'Code Library'!$A$3:$B$920,2,0))&amp;"_"&amp;RIGHT(A2282,3)</f>
        <v>#N/A</v>
      </c>
      <c r="I2282" s="66">
        <f t="shared" si="245"/>
        <v>0</v>
      </c>
      <c r="K2282" s="66" t="str">
        <f t="shared" si="246"/>
        <v/>
      </c>
      <c r="L2282" s="66" t="str">
        <f t="shared" si="247"/>
        <v/>
      </c>
      <c r="M2282" s="66" t="str">
        <f t="shared" si="248"/>
        <v/>
      </c>
      <c r="N2282" s="66" t="str">
        <f t="shared" si="249"/>
        <v/>
      </c>
      <c r="O2282" s="66" t="str">
        <f t="shared" si="250"/>
        <v/>
      </c>
      <c r="P2282" s="66" t="str">
        <f t="shared" si="251"/>
        <v/>
      </c>
    </row>
    <row r="2283" spans="8:16">
      <c r="H2283" s="66" t="e">
        <f>IF(LEFT(A2283,6)="CEPNTR","GPINS",VLOOKUP(LEFT(A2283,6),'Code Library'!$A$3:$B$920,2,0))&amp;"_"&amp;RIGHT(A2283,3)</f>
        <v>#N/A</v>
      </c>
      <c r="I2283" s="66">
        <f t="shared" si="245"/>
        <v>0</v>
      </c>
      <c r="K2283" s="66" t="str">
        <f t="shared" si="246"/>
        <v/>
      </c>
      <c r="L2283" s="66" t="str">
        <f t="shared" si="247"/>
        <v/>
      </c>
      <c r="M2283" s="66" t="str">
        <f t="shared" si="248"/>
        <v/>
      </c>
      <c r="N2283" s="66" t="str">
        <f t="shared" si="249"/>
        <v/>
      </c>
      <c r="O2283" s="66" t="str">
        <f t="shared" si="250"/>
        <v/>
      </c>
      <c r="P2283" s="66" t="str">
        <f t="shared" si="251"/>
        <v/>
      </c>
    </row>
    <row r="2284" spans="8:16">
      <c r="H2284" s="66" t="e">
        <f>IF(LEFT(A2284,6)="CEPNTR","GPINS",VLOOKUP(LEFT(A2284,6),'Code Library'!$A$3:$B$920,2,0))&amp;"_"&amp;RIGHT(A2284,3)</f>
        <v>#N/A</v>
      </c>
      <c r="I2284" s="66">
        <f t="shared" si="245"/>
        <v>0</v>
      </c>
      <c r="K2284" s="66" t="str">
        <f t="shared" si="246"/>
        <v/>
      </c>
      <c r="L2284" s="66" t="str">
        <f t="shared" si="247"/>
        <v/>
      </c>
      <c r="M2284" s="66" t="str">
        <f t="shared" si="248"/>
        <v/>
      </c>
      <c r="N2284" s="66" t="str">
        <f t="shared" si="249"/>
        <v/>
      </c>
      <c r="O2284" s="66" t="str">
        <f t="shared" si="250"/>
        <v/>
      </c>
      <c r="P2284" s="66" t="str">
        <f t="shared" si="251"/>
        <v/>
      </c>
    </row>
    <row r="2285" spans="8:16">
      <c r="H2285" s="66" t="e">
        <f>IF(LEFT(A2285,6)="CEPNTR","GPINS",VLOOKUP(LEFT(A2285,6),'Code Library'!$A$3:$B$920,2,0))&amp;"_"&amp;RIGHT(A2285,3)</f>
        <v>#N/A</v>
      </c>
      <c r="I2285" s="66">
        <f t="shared" si="245"/>
        <v>0</v>
      </c>
      <c r="K2285" s="66" t="str">
        <f t="shared" si="246"/>
        <v/>
      </c>
      <c r="L2285" s="66" t="str">
        <f t="shared" si="247"/>
        <v/>
      </c>
      <c r="M2285" s="66" t="str">
        <f t="shared" si="248"/>
        <v/>
      </c>
      <c r="N2285" s="66" t="str">
        <f t="shared" si="249"/>
        <v/>
      </c>
      <c r="O2285" s="66" t="str">
        <f t="shared" si="250"/>
        <v/>
      </c>
      <c r="P2285" s="66" t="str">
        <f t="shared" si="251"/>
        <v/>
      </c>
    </row>
    <row r="2286" spans="8:16">
      <c r="H2286" s="66" t="e">
        <f>IF(LEFT(A2286,6)="CEPNTR","GPINS",VLOOKUP(LEFT(A2286,6),'Code Library'!$A$3:$B$920,2,0))&amp;"_"&amp;RIGHT(A2286,3)</f>
        <v>#N/A</v>
      </c>
      <c r="I2286" s="66">
        <f t="shared" si="245"/>
        <v>0</v>
      </c>
      <c r="K2286" s="66" t="str">
        <f t="shared" si="246"/>
        <v/>
      </c>
      <c r="L2286" s="66" t="str">
        <f t="shared" si="247"/>
        <v/>
      </c>
      <c r="M2286" s="66" t="str">
        <f t="shared" si="248"/>
        <v/>
      </c>
      <c r="N2286" s="66" t="str">
        <f t="shared" si="249"/>
        <v/>
      </c>
      <c r="O2286" s="66" t="str">
        <f t="shared" si="250"/>
        <v/>
      </c>
      <c r="P2286" s="66" t="str">
        <f t="shared" si="251"/>
        <v/>
      </c>
    </row>
    <row r="2287" spans="8:16">
      <c r="H2287" s="66" t="e">
        <f>IF(LEFT(A2287,6)="CEPNTR","GPINS",VLOOKUP(LEFT(A2287,6),'Code Library'!$A$3:$B$920,2,0))&amp;"_"&amp;RIGHT(A2287,3)</f>
        <v>#N/A</v>
      </c>
      <c r="I2287" s="66">
        <f t="shared" si="245"/>
        <v>0</v>
      </c>
      <c r="K2287" s="66" t="str">
        <f t="shared" si="246"/>
        <v/>
      </c>
      <c r="L2287" s="66" t="str">
        <f t="shared" si="247"/>
        <v/>
      </c>
      <c r="M2287" s="66" t="str">
        <f t="shared" si="248"/>
        <v/>
      </c>
      <c r="N2287" s="66" t="str">
        <f t="shared" si="249"/>
        <v/>
      </c>
      <c r="O2287" s="66" t="str">
        <f t="shared" si="250"/>
        <v/>
      </c>
      <c r="P2287" s="66" t="str">
        <f t="shared" si="251"/>
        <v/>
      </c>
    </row>
    <row r="2288" spans="8:16">
      <c r="H2288" s="66" t="e">
        <f>IF(LEFT(A2288,6)="CEPNTR","GPINS",VLOOKUP(LEFT(A2288,6),'Code Library'!$A$3:$B$920,2,0))&amp;"_"&amp;RIGHT(A2288,3)</f>
        <v>#N/A</v>
      </c>
      <c r="I2288" s="66">
        <f t="shared" si="245"/>
        <v>0</v>
      </c>
      <c r="K2288" s="66" t="str">
        <f t="shared" si="246"/>
        <v/>
      </c>
      <c r="L2288" s="66" t="str">
        <f t="shared" si="247"/>
        <v/>
      </c>
      <c r="M2288" s="66" t="str">
        <f t="shared" si="248"/>
        <v/>
      </c>
      <c r="N2288" s="66" t="str">
        <f t="shared" si="249"/>
        <v/>
      </c>
      <c r="O2288" s="66" t="str">
        <f t="shared" si="250"/>
        <v/>
      </c>
      <c r="P2288" s="66" t="str">
        <f t="shared" si="251"/>
        <v/>
      </c>
    </row>
    <row r="2289" spans="8:16">
      <c r="H2289" s="66" t="e">
        <f>IF(LEFT(A2289,6)="CEPNTR","GPINS",VLOOKUP(LEFT(A2289,6),'Code Library'!$A$3:$B$920,2,0))&amp;"_"&amp;RIGHT(A2289,3)</f>
        <v>#N/A</v>
      </c>
      <c r="I2289" s="66">
        <f t="shared" si="245"/>
        <v>0</v>
      </c>
      <c r="K2289" s="66" t="str">
        <f t="shared" si="246"/>
        <v/>
      </c>
      <c r="L2289" s="66" t="str">
        <f t="shared" si="247"/>
        <v/>
      </c>
      <c r="M2289" s="66" t="str">
        <f t="shared" si="248"/>
        <v/>
      </c>
      <c r="N2289" s="66" t="str">
        <f t="shared" si="249"/>
        <v/>
      </c>
      <c r="O2289" s="66" t="str">
        <f t="shared" si="250"/>
        <v/>
      </c>
      <c r="P2289" s="66" t="str">
        <f t="shared" si="251"/>
        <v/>
      </c>
    </row>
    <row r="2290" spans="8:16">
      <c r="H2290" s="66" t="e">
        <f>IF(LEFT(A2290,6)="CEPNTR","GPINS",VLOOKUP(LEFT(A2290,6),'Code Library'!$A$3:$B$920,2,0))&amp;"_"&amp;RIGHT(A2290,3)</f>
        <v>#N/A</v>
      </c>
      <c r="I2290" s="66">
        <f t="shared" si="245"/>
        <v>0</v>
      </c>
      <c r="K2290" s="66" t="str">
        <f t="shared" si="246"/>
        <v/>
      </c>
      <c r="L2290" s="66" t="str">
        <f t="shared" si="247"/>
        <v/>
      </c>
      <c r="M2290" s="66" t="str">
        <f t="shared" si="248"/>
        <v/>
      </c>
      <c r="N2290" s="66" t="str">
        <f t="shared" si="249"/>
        <v/>
      </c>
      <c r="O2290" s="66" t="str">
        <f t="shared" si="250"/>
        <v/>
      </c>
      <c r="P2290" s="66" t="str">
        <f t="shared" si="251"/>
        <v/>
      </c>
    </row>
    <row r="2291" spans="8:16">
      <c r="H2291" s="66" t="e">
        <f>IF(LEFT(A2291,6)="CEPNTR","GPINS",VLOOKUP(LEFT(A2291,6),'Code Library'!$A$3:$B$920,2,0))&amp;"_"&amp;RIGHT(A2291,3)</f>
        <v>#N/A</v>
      </c>
      <c r="I2291" s="66">
        <f t="shared" si="245"/>
        <v>0</v>
      </c>
      <c r="K2291" s="66" t="str">
        <f t="shared" si="246"/>
        <v/>
      </c>
      <c r="L2291" s="66" t="str">
        <f t="shared" si="247"/>
        <v/>
      </c>
      <c r="M2291" s="66" t="str">
        <f t="shared" si="248"/>
        <v/>
      </c>
      <c r="N2291" s="66" t="str">
        <f t="shared" si="249"/>
        <v/>
      </c>
      <c r="O2291" s="66" t="str">
        <f t="shared" si="250"/>
        <v/>
      </c>
      <c r="P2291" s="66" t="str">
        <f t="shared" si="251"/>
        <v/>
      </c>
    </row>
    <row r="2292" spans="8:16">
      <c r="H2292" s="66" t="e">
        <f>IF(LEFT(A2292,6)="CEPNTR","GPINS",VLOOKUP(LEFT(A2292,6),'Code Library'!$A$3:$B$920,2,0))&amp;"_"&amp;RIGHT(A2292,3)</f>
        <v>#N/A</v>
      </c>
      <c r="I2292" s="66">
        <f t="shared" si="245"/>
        <v>0</v>
      </c>
      <c r="K2292" s="66" t="str">
        <f t="shared" si="246"/>
        <v/>
      </c>
      <c r="L2292" s="66" t="str">
        <f t="shared" si="247"/>
        <v/>
      </c>
      <c r="M2292" s="66" t="str">
        <f t="shared" si="248"/>
        <v/>
      </c>
      <c r="N2292" s="66" t="str">
        <f t="shared" si="249"/>
        <v/>
      </c>
      <c r="O2292" s="66" t="str">
        <f t="shared" si="250"/>
        <v/>
      </c>
      <c r="P2292" s="66" t="str">
        <f t="shared" si="251"/>
        <v/>
      </c>
    </row>
    <row r="2293" spans="8:16">
      <c r="H2293" s="66" t="e">
        <f>IF(LEFT(A2293,6)="CEPNTR","GPINS",VLOOKUP(LEFT(A2293,6),'Code Library'!$A$3:$B$920,2,0))&amp;"_"&amp;RIGHT(A2293,3)</f>
        <v>#N/A</v>
      </c>
      <c r="I2293" s="66">
        <f t="shared" si="245"/>
        <v>0</v>
      </c>
      <c r="K2293" s="66" t="str">
        <f t="shared" si="246"/>
        <v/>
      </c>
      <c r="L2293" s="66" t="str">
        <f t="shared" si="247"/>
        <v/>
      </c>
      <c r="M2293" s="66" t="str">
        <f t="shared" si="248"/>
        <v/>
      </c>
      <c r="N2293" s="66" t="str">
        <f t="shared" si="249"/>
        <v/>
      </c>
      <c r="O2293" s="66" t="str">
        <f t="shared" si="250"/>
        <v/>
      </c>
      <c r="P2293" s="66" t="str">
        <f t="shared" si="251"/>
        <v/>
      </c>
    </row>
    <row r="2294" spans="8:16">
      <c r="H2294" s="66" t="e">
        <f>IF(LEFT(A2294,6)="CEPNTR","GPINS",VLOOKUP(LEFT(A2294,6),'Code Library'!$A$3:$B$920,2,0))&amp;"_"&amp;RIGHT(A2294,3)</f>
        <v>#N/A</v>
      </c>
      <c r="I2294" s="66">
        <f t="shared" si="245"/>
        <v>0</v>
      </c>
      <c r="K2294" s="66" t="str">
        <f t="shared" si="246"/>
        <v/>
      </c>
      <c r="L2294" s="66" t="str">
        <f t="shared" si="247"/>
        <v/>
      </c>
      <c r="M2294" s="66" t="str">
        <f t="shared" si="248"/>
        <v/>
      </c>
      <c r="N2294" s="66" t="str">
        <f t="shared" si="249"/>
        <v/>
      </c>
      <c r="O2294" s="66" t="str">
        <f t="shared" si="250"/>
        <v/>
      </c>
      <c r="P2294" s="66" t="str">
        <f t="shared" si="251"/>
        <v/>
      </c>
    </row>
    <row r="2295" spans="8:16">
      <c r="H2295" s="66" t="e">
        <f>IF(LEFT(A2295,6)="CEPNTR","GPINS",VLOOKUP(LEFT(A2295,6),'Code Library'!$A$3:$B$920,2,0))&amp;"_"&amp;RIGHT(A2295,3)</f>
        <v>#N/A</v>
      </c>
      <c r="I2295" s="66">
        <f t="shared" si="245"/>
        <v>0</v>
      </c>
      <c r="K2295" s="66" t="str">
        <f t="shared" si="246"/>
        <v/>
      </c>
      <c r="L2295" s="66" t="str">
        <f t="shared" si="247"/>
        <v/>
      </c>
      <c r="M2295" s="66" t="str">
        <f t="shared" si="248"/>
        <v/>
      </c>
      <c r="N2295" s="66" t="str">
        <f t="shared" si="249"/>
        <v/>
      </c>
      <c r="O2295" s="66" t="str">
        <f t="shared" si="250"/>
        <v/>
      </c>
      <c r="P2295" s="66" t="str">
        <f t="shared" si="251"/>
        <v/>
      </c>
    </row>
    <row r="2296" spans="8:16">
      <c r="H2296" s="66" t="e">
        <f>IF(LEFT(A2296,6)="CEPNTR","GPINS",VLOOKUP(LEFT(A2296,6),'Code Library'!$A$3:$B$920,2,0))&amp;"_"&amp;RIGHT(A2296,3)</f>
        <v>#N/A</v>
      </c>
      <c r="I2296" s="66">
        <f t="shared" si="245"/>
        <v>0</v>
      </c>
      <c r="K2296" s="66" t="str">
        <f t="shared" si="246"/>
        <v/>
      </c>
      <c r="L2296" s="66" t="str">
        <f t="shared" si="247"/>
        <v/>
      </c>
      <c r="M2296" s="66" t="str">
        <f t="shared" si="248"/>
        <v/>
      </c>
      <c r="N2296" s="66" t="str">
        <f t="shared" si="249"/>
        <v/>
      </c>
      <c r="O2296" s="66" t="str">
        <f t="shared" si="250"/>
        <v/>
      </c>
      <c r="P2296" s="66" t="str">
        <f t="shared" si="251"/>
        <v/>
      </c>
    </row>
    <row r="2297" spans="8:16">
      <c r="H2297" s="66" t="e">
        <f>IF(LEFT(A2297,6)="CEPNTR","GPINS",VLOOKUP(LEFT(A2297,6),'Code Library'!$A$3:$B$920,2,0))&amp;"_"&amp;RIGHT(A2297,3)</f>
        <v>#N/A</v>
      </c>
      <c r="I2297" s="66">
        <f t="shared" si="245"/>
        <v>0</v>
      </c>
      <c r="K2297" s="66" t="str">
        <f t="shared" si="246"/>
        <v/>
      </c>
      <c r="L2297" s="66" t="str">
        <f t="shared" si="247"/>
        <v/>
      </c>
      <c r="M2297" s="66" t="str">
        <f t="shared" si="248"/>
        <v/>
      </c>
      <c r="N2297" s="66" t="str">
        <f t="shared" si="249"/>
        <v/>
      </c>
      <c r="O2297" s="66" t="str">
        <f t="shared" si="250"/>
        <v/>
      </c>
      <c r="P2297" s="66" t="str">
        <f t="shared" si="251"/>
        <v/>
      </c>
    </row>
    <row r="2298" spans="8:16">
      <c r="H2298" s="66" t="e">
        <f>IF(LEFT(A2298,6)="CEPNTR","GPINS",VLOOKUP(LEFT(A2298,6),'Code Library'!$A$3:$B$920,2,0))&amp;"_"&amp;RIGHT(A2298,3)</f>
        <v>#N/A</v>
      </c>
      <c r="I2298" s="66">
        <f t="shared" si="245"/>
        <v>0</v>
      </c>
      <c r="K2298" s="66" t="str">
        <f t="shared" si="246"/>
        <v/>
      </c>
      <c r="L2298" s="66" t="str">
        <f t="shared" si="247"/>
        <v/>
      </c>
      <c r="M2298" s="66" t="str">
        <f t="shared" si="248"/>
        <v/>
      </c>
      <c r="N2298" s="66" t="str">
        <f t="shared" si="249"/>
        <v/>
      </c>
      <c r="O2298" s="66" t="str">
        <f t="shared" si="250"/>
        <v/>
      </c>
      <c r="P2298" s="66" t="str">
        <f t="shared" si="251"/>
        <v/>
      </c>
    </row>
    <row r="2299" spans="8:16">
      <c r="H2299" s="66" t="e">
        <f>IF(LEFT(A2299,6)="CEPNTR","GPINS",VLOOKUP(LEFT(A2299,6),'Code Library'!$A$3:$B$920,2,0))&amp;"_"&amp;RIGHT(A2299,3)</f>
        <v>#N/A</v>
      </c>
      <c r="I2299" s="66">
        <f t="shared" si="245"/>
        <v>0</v>
      </c>
      <c r="K2299" s="66" t="str">
        <f t="shared" si="246"/>
        <v/>
      </c>
      <c r="L2299" s="66" t="str">
        <f t="shared" si="247"/>
        <v/>
      </c>
      <c r="M2299" s="66" t="str">
        <f t="shared" si="248"/>
        <v/>
      </c>
      <c r="N2299" s="66" t="str">
        <f t="shared" si="249"/>
        <v/>
      </c>
      <c r="O2299" s="66" t="str">
        <f t="shared" si="250"/>
        <v/>
      </c>
      <c r="P2299" s="66" t="str">
        <f t="shared" si="251"/>
        <v/>
      </c>
    </row>
    <row r="2300" spans="8:16">
      <c r="H2300" s="66" t="e">
        <f>IF(LEFT(A2300,6)="CEPNTR","GPINS",VLOOKUP(LEFT(A2300,6),'Code Library'!$A$3:$B$920,2,0))&amp;"_"&amp;RIGHT(A2300,3)</f>
        <v>#N/A</v>
      </c>
      <c r="I2300" s="66">
        <f t="shared" si="245"/>
        <v>0</v>
      </c>
      <c r="K2300" s="66" t="str">
        <f t="shared" si="246"/>
        <v/>
      </c>
      <c r="L2300" s="66" t="str">
        <f t="shared" si="247"/>
        <v/>
      </c>
      <c r="M2300" s="66" t="str">
        <f t="shared" si="248"/>
        <v/>
      </c>
      <c r="N2300" s="66" t="str">
        <f t="shared" si="249"/>
        <v/>
      </c>
      <c r="O2300" s="66" t="str">
        <f t="shared" si="250"/>
        <v/>
      </c>
      <c r="P2300" s="66" t="str">
        <f t="shared" si="251"/>
        <v/>
      </c>
    </row>
    <row r="2301" spans="8:16">
      <c r="H2301" s="66" t="e">
        <f>IF(LEFT(A2301,6)="CEPNTR","GPINS",VLOOKUP(LEFT(A2301,6),'Code Library'!$A$3:$B$920,2,0))&amp;"_"&amp;RIGHT(A2301,3)</f>
        <v>#N/A</v>
      </c>
      <c r="I2301" s="66">
        <f t="shared" si="245"/>
        <v>0</v>
      </c>
      <c r="K2301" s="66" t="str">
        <f t="shared" si="246"/>
        <v/>
      </c>
      <c r="L2301" s="66" t="str">
        <f t="shared" si="247"/>
        <v/>
      </c>
      <c r="M2301" s="66" t="str">
        <f t="shared" si="248"/>
        <v/>
      </c>
      <c r="N2301" s="66" t="str">
        <f t="shared" si="249"/>
        <v/>
      </c>
      <c r="O2301" s="66" t="str">
        <f t="shared" si="250"/>
        <v/>
      </c>
      <c r="P2301" s="66" t="str">
        <f t="shared" si="251"/>
        <v/>
      </c>
    </row>
    <row r="2302" spans="8:16">
      <c r="H2302" s="66" t="e">
        <f>IF(LEFT(A2302,6)="CEPNTR","GPINS",VLOOKUP(LEFT(A2302,6),'Code Library'!$A$3:$B$920,2,0))&amp;"_"&amp;RIGHT(A2302,3)</f>
        <v>#N/A</v>
      </c>
      <c r="I2302" s="66">
        <f t="shared" si="245"/>
        <v>0</v>
      </c>
      <c r="K2302" s="66" t="str">
        <f t="shared" si="246"/>
        <v/>
      </c>
      <c r="L2302" s="66" t="str">
        <f t="shared" si="247"/>
        <v/>
      </c>
      <c r="M2302" s="66" t="str">
        <f t="shared" si="248"/>
        <v/>
      </c>
      <c r="N2302" s="66" t="str">
        <f t="shared" si="249"/>
        <v/>
      </c>
      <c r="O2302" s="66" t="str">
        <f t="shared" si="250"/>
        <v/>
      </c>
      <c r="P2302" s="66" t="str">
        <f t="shared" si="251"/>
        <v/>
      </c>
    </row>
    <row r="2303" spans="8:16">
      <c r="H2303" s="66" t="e">
        <f>IF(LEFT(A2303,6)="CEPNTR","GPINS",VLOOKUP(LEFT(A2303,6),'Code Library'!$A$3:$B$920,2,0))&amp;"_"&amp;RIGHT(A2303,3)</f>
        <v>#N/A</v>
      </c>
      <c r="I2303" s="66">
        <f t="shared" si="245"/>
        <v>0</v>
      </c>
      <c r="K2303" s="66" t="str">
        <f t="shared" si="246"/>
        <v/>
      </c>
      <c r="L2303" s="66" t="str">
        <f t="shared" si="247"/>
        <v/>
      </c>
      <c r="M2303" s="66" t="str">
        <f t="shared" si="248"/>
        <v/>
      </c>
      <c r="N2303" s="66" t="str">
        <f t="shared" si="249"/>
        <v/>
      </c>
      <c r="O2303" s="66" t="str">
        <f t="shared" si="250"/>
        <v/>
      </c>
      <c r="P2303" s="66" t="str">
        <f t="shared" si="251"/>
        <v/>
      </c>
    </row>
    <row r="2304" spans="8:16">
      <c r="H2304" s="66" t="e">
        <f>IF(LEFT(A2304,6)="CEPNTR","GPINS",VLOOKUP(LEFT(A2304,6),'Code Library'!$A$3:$B$920,2,0))&amp;"_"&amp;RIGHT(A2304,3)</f>
        <v>#N/A</v>
      </c>
      <c r="I2304" s="66">
        <f t="shared" si="245"/>
        <v>0</v>
      </c>
      <c r="K2304" s="66" t="str">
        <f t="shared" si="246"/>
        <v/>
      </c>
      <c r="L2304" s="66" t="str">
        <f t="shared" si="247"/>
        <v/>
      </c>
      <c r="M2304" s="66" t="str">
        <f t="shared" si="248"/>
        <v/>
      </c>
      <c r="N2304" s="66" t="str">
        <f t="shared" si="249"/>
        <v/>
      </c>
      <c r="O2304" s="66" t="str">
        <f t="shared" si="250"/>
        <v/>
      </c>
      <c r="P2304" s="66" t="str">
        <f t="shared" si="251"/>
        <v/>
      </c>
    </row>
    <row r="2305" spans="8:16">
      <c r="H2305" s="66" t="e">
        <f>IF(LEFT(A2305,6)="CEPNTR","GPINS",VLOOKUP(LEFT(A2305,6),'Code Library'!$A$3:$B$920,2,0))&amp;"_"&amp;RIGHT(A2305,3)</f>
        <v>#N/A</v>
      </c>
      <c r="I2305" s="66">
        <f t="shared" si="245"/>
        <v>0</v>
      </c>
      <c r="K2305" s="66" t="str">
        <f t="shared" si="246"/>
        <v/>
      </c>
      <c r="L2305" s="66" t="str">
        <f t="shared" si="247"/>
        <v/>
      </c>
      <c r="M2305" s="66" t="str">
        <f t="shared" si="248"/>
        <v/>
      </c>
      <c r="N2305" s="66" t="str">
        <f t="shared" si="249"/>
        <v/>
      </c>
      <c r="O2305" s="66" t="str">
        <f t="shared" si="250"/>
        <v/>
      </c>
      <c r="P2305" s="66" t="str">
        <f t="shared" si="251"/>
        <v/>
      </c>
    </row>
    <row r="2306" spans="8:16">
      <c r="H2306" s="66" t="e">
        <f>IF(LEFT(A2306,6)="CEPNTR","GPINS",VLOOKUP(LEFT(A2306,6),'Code Library'!$A$3:$B$920,2,0))&amp;"_"&amp;RIGHT(A2306,3)</f>
        <v>#N/A</v>
      </c>
      <c r="I2306" s="66">
        <f t="shared" si="245"/>
        <v>0</v>
      </c>
      <c r="K2306" s="66" t="str">
        <f t="shared" si="246"/>
        <v/>
      </c>
      <c r="L2306" s="66" t="str">
        <f t="shared" si="247"/>
        <v/>
      </c>
      <c r="M2306" s="66" t="str">
        <f t="shared" si="248"/>
        <v/>
      </c>
      <c r="N2306" s="66" t="str">
        <f t="shared" si="249"/>
        <v/>
      </c>
      <c r="O2306" s="66" t="str">
        <f t="shared" si="250"/>
        <v/>
      </c>
      <c r="P2306" s="66" t="str">
        <f t="shared" si="251"/>
        <v/>
      </c>
    </row>
    <row r="2307" spans="8:16">
      <c r="H2307" s="66" t="e">
        <f>IF(LEFT(A2307,6)="CEPNTR","GPINS",VLOOKUP(LEFT(A2307,6),'Code Library'!$A$3:$B$920,2,0))&amp;"_"&amp;RIGHT(A2307,3)</f>
        <v>#N/A</v>
      </c>
      <c r="I2307" s="66">
        <f t="shared" ref="I2307:I2370" si="252">A2307</f>
        <v>0</v>
      </c>
      <c r="K2307" s="66" t="str">
        <f t="shared" ref="K2307:K2370" si="253">RIGHT($B2307,2)</f>
        <v/>
      </c>
      <c r="L2307" s="66" t="str">
        <f t="shared" ref="L2307:L2370" si="254">LEFT(RIGHT($B2307,7),4)</f>
        <v/>
      </c>
      <c r="M2307" s="66" t="str">
        <f t="shared" ref="M2307:M2370" si="255">LEFT(RIGHT($B2307,10),2)</f>
        <v/>
      </c>
      <c r="N2307" s="66" t="str">
        <f t="shared" ref="N2307:N2370" si="256">LEFT(RIGHT($B2307,14),3)</f>
        <v/>
      </c>
      <c r="O2307" s="66" t="str">
        <f t="shared" ref="O2307:O2370" si="257">LEFT(RIGHT($B2307,16),1)</f>
        <v/>
      </c>
      <c r="P2307" s="66" t="str">
        <f t="shared" ref="P2307:P2370" si="258">LEFT(RIGHT($B2307,19),2)</f>
        <v/>
      </c>
    </row>
    <row r="2308" spans="8:16">
      <c r="H2308" s="66" t="e">
        <f>IF(LEFT(A2308,6)="CEPNTR","GPINS",VLOOKUP(LEFT(A2308,6),'Code Library'!$A$3:$B$920,2,0))&amp;"_"&amp;RIGHT(A2308,3)</f>
        <v>#N/A</v>
      </c>
      <c r="I2308" s="66">
        <f t="shared" si="252"/>
        <v>0</v>
      </c>
      <c r="K2308" s="66" t="str">
        <f t="shared" si="253"/>
        <v/>
      </c>
      <c r="L2308" s="66" t="str">
        <f t="shared" si="254"/>
        <v/>
      </c>
      <c r="M2308" s="66" t="str">
        <f t="shared" si="255"/>
        <v/>
      </c>
      <c r="N2308" s="66" t="str">
        <f t="shared" si="256"/>
        <v/>
      </c>
      <c r="O2308" s="66" t="str">
        <f t="shared" si="257"/>
        <v/>
      </c>
      <c r="P2308" s="66" t="str">
        <f t="shared" si="258"/>
        <v/>
      </c>
    </row>
    <row r="2309" spans="8:16">
      <c r="H2309" s="66" t="e">
        <f>IF(LEFT(A2309,6)="CEPNTR","GPINS",VLOOKUP(LEFT(A2309,6),'Code Library'!$A$3:$B$920,2,0))&amp;"_"&amp;RIGHT(A2309,3)</f>
        <v>#N/A</v>
      </c>
      <c r="I2309" s="66">
        <f t="shared" si="252"/>
        <v>0</v>
      </c>
      <c r="K2309" s="66" t="str">
        <f t="shared" si="253"/>
        <v/>
      </c>
      <c r="L2309" s="66" t="str">
        <f t="shared" si="254"/>
        <v/>
      </c>
      <c r="M2309" s="66" t="str">
        <f t="shared" si="255"/>
        <v/>
      </c>
      <c r="N2309" s="66" t="str">
        <f t="shared" si="256"/>
        <v/>
      </c>
      <c r="O2309" s="66" t="str">
        <f t="shared" si="257"/>
        <v/>
      </c>
      <c r="P2309" s="66" t="str">
        <f t="shared" si="258"/>
        <v/>
      </c>
    </row>
    <row r="2310" spans="8:16">
      <c r="H2310" s="66" t="e">
        <f>IF(LEFT(A2310,6)="CEPNTR","GPINS",VLOOKUP(LEFT(A2310,6),'Code Library'!$A$3:$B$920,2,0))&amp;"_"&amp;RIGHT(A2310,3)</f>
        <v>#N/A</v>
      </c>
      <c r="I2310" s="66">
        <f t="shared" si="252"/>
        <v>0</v>
      </c>
      <c r="K2310" s="66" t="str">
        <f t="shared" si="253"/>
        <v/>
      </c>
      <c r="L2310" s="66" t="str">
        <f t="shared" si="254"/>
        <v/>
      </c>
      <c r="M2310" s="66" t="str">
        <f t="shared" si="255"/>
        <v/>
      </c>
      <c r="N2310" s="66" t="str">
        <f t="shared" si="256"/>
        <v/>
      </c>
      <c r="O2310" s="66" t="str">
        <f t="shared" si="257"/>
        <v/>
      </c>
      <c r="P2310" s="66" t="str">
        <f t="shared" si="258"/>
        <v/>
      </c>
    </row>
    <row r="2311" spans="8:16">
      <c r="H2311" s="66" t="e">
        <f>IF(LEFT(A2311,6)="CEPNTR","GPINS",VLOOKUP(LEFT(A2311,6),'Code Library'!$A$3:$B$920,2,0))&amp;"_"&amp;RIGHT(A2311,3)</f>
        <v>#N/A</v>
      </c>
      <c r="I2311" s="66">
        <f t="shared" si="252"/>
        <v>0</v>
      </c>
      <c r="K2311" s="66" t="str">
        <f t="shared" si="253"/>
        <v/>
      </c>
      <c r="L2311" s="66" t="str">
        <f t="shared" si="254"/>
        <v/>
      </c>
      <c r="M2311" s="66" t="str">
        <f t="shared" si="255"/>
        <v/>
      </c>
      <c r="N2311" s="66" t="str">
        <f t="shared" si="256"/>
        <v/>
      </c>
      <c r="O2311" s="66" t="str">
        <f t="shared" si="257"/>
        <v/>
      </c>
      <c r="P2311" s="66" t="str">
        <f t="shared" si="258"/>
        <v/>
      </c>
    </row>
    <row r="2312" spans="8:16">
      <c r="H2312" s="66" t="e">
        <f>IF(LEFT(A2312,6)="CEPNTR","GPINS",VLOOKUP(LEFT(A2312,6),'Code Library'!$A$3:$B$920,2,0))&amp;"_"&amp;RIGHT(A2312,3)</f>
        <v>#N/A</v>
      </c>
      <c r="I2312" s="66">
        <f t="shared" si="252"/>
        <v>0</v>
      </c>
      <c r="K2312" s="66" t="str">
        <f t="shared" si="253"/>
        <v/>
      </c>
      <c r="L2312" s="66" t="str">
        <f t="shared" si="254"/>
        <v/>
      </c>
      <c r="M2312" s="66" t="str">
        <f t="shared" si="255"/>
        <v/>
      </c>
      <c r="N2312" s="66" t="str">
        <f t="shared" si="256"/>
        <v/>
      </c>
      <c r="O2312" s="66" t="str">
        <f t="shared" si="257"/>
        <v/>
      </c>
      <c r="P2312" s="66" t="str">
        <f t="shared" si="258"/>
        <v/>
      </c>
    </row>
    <row r="2313" spans="8:16">
      <c r="H2313" s="66" t="e">
        <f>IF(LEFT(A2313,6)="CEPNTR","GPINS",VLOOKUP(LEFT(A2313,6),'Code Library'!$A$3:$B$920,2,0))&amp;"_"&amp;RIGHT(A2313,3)</f>
        <v>#N/A</v>
      </c>
      <c r="I2313" s="66">
        <f t="shared" si="252"/>
        <v>0</v>
      </c>
      <c r="K2313" s="66" t="str">
        <f t="shared" si="253"/>
        <v/>
      </c>
      <c r="L2313" s="66" t="str">
        <f t="shared" si="254"/>
        <v/>
      </c>
      <c r="M2313" s="66" t="str">
        <f t="shared" si="255"/>
        <v/>
      </c>
      <c r="N2313" s="66" t="str">
        <f t="shared" si="256"/>
        <v/>
      </c>
      <c r="O2313" s="66" t="str">
        <f t="shared" si="257"/>
        <v/>
      </c>
      <c r="P2313" s="66" t="str">
        <f t="shared" si="258"/>
        <v/>
      </c>
    </row>
    <row r="2314" spans="8:16">
      <c r="H2314" s="66" t="e">
        <f>IF(LEFT(A2314,6)="CEPNTR","GPINS",VLOOKUP(LEFT(A2314,6),'Code Library'!$A$3:$B$920,2,0))&amp;"_"&amp;RIGHT(A2314,3)</f>
        <v>#N/A</v>
      </c>
      <c r="I2314" s="66">
        <f t="shared" si="252"/>
        <v>0</v>
      </c>
      <c r="K2314" s="66" t="str">
        <f t="shared" si="253"/>
        <v/>
      </c>
      <c r="L2314" s="66" t="str">
        <f t="shared" si="254"/>
        <v/>
      </c>
      <c r="M2314" s="66" t="str">
        <f t="shared" si="255"/>
        <v/>
      </c>
      <c r="N2314" s="66" t="str">
        <f t="shared" si="256"/>
        <v/>
      </c>
      <c r="O2314" s="66" t="str">
        <f t="shared" si="257"/>
        <v/>
      </c>
      <c r="P2314" s="66" t="str">
        <f t="shared" si="258"/>
        <v/>
      </c>
    </row>
    <row r="2315" spans="8:16">
      <c r="H2315" s="66" t="e">
        <f>IF(LEFT(A2315,6)="CEPNTR","GPINS",VLOOKUP(LEFT(A2315,6),'Code Library'!$A$3:$B$920,2,0))&amp;"_"&amp;RIGHT(A2315,3)</f>
        <v>#N/A</v>
      </c>
      <c r="I2315" s="66">
        <f t="shared" si="252"/>
        <v>0</v>
      </c>
      <c r="K2315" s="66" t="str">
        <f t="shared" si="253"/>
        <v/>
      </c>
      <c r="L2315" s="66" t="str">
        <f t="shared" si="254"/>
        <v/>
      </c>
      <c r="M2315" s="66" t="str">
        <f t="shared" si="255"/>
        <v/>
      </c>
      <c r="N2315" s="66" t="str">
        <f t="shared" si="256"/>
        <v/>
      </c>
      <c r="O2315" s="66" t="str">
        <f t="shared" si="257"/>
        <v/>
      </c>
      <c r="P2315" s="66" t="str">
        <f t="shared" si="258"/>
        <v/>
      </c>
    </row>
    <row r="2316" spans="8:16">
      <c r="H2316" s="66" t="e">
        <f>IF(LEFT(A2316,6)="CEPNTR","GPINS",VLOOKUP(LEFT(A2316,6),'Code Library'!$A$3:$B$920,2,0))&amp;"_"&amp;RIGHT(A2316,3)</f>
        <v>#N/A</v>
      </c>
      <c r="I2316" s="66">
        <f t="shared" si="252"/>
        <v>0</v>
      </c>
      <c r="K2316" s="66" t="str">
        <f t="shared" si="253"/>
        <v/>
      </c>
      <c r="L2316" s="66" t="str">
        <f t="shared" si="254"/>
        <v/>
      </c>
      <c r="M2316" s="66" t="str">
        <f t="shared" si="255"/>
        <v/>
      </c>
      <c r="N2316" s="66" t="str">
        <f t="shared" si="256"/>
        <v/>
      </c>
      <c r="O2316" s="66" t="str">
        <f t="shared" si="257"/>
        <v/>
      </c>
      <c r="P2316" s="66" t="str">
        <f t="shared" si="258"/>
        <v/>
      </c>
    </row>
    <row r="2317" spans="8:16">
      <c r="H2317" s="66" t="e">
        <f>IF(LEFT(A2317,6)="CEPNTR","GPINS",VLOOKUP(LEFT(A2317,6),'Code Library'!$A$3:$B$920,2,0))&amp;"_"&amp;RIGHT(A2317,3)</f>
        <v>#N/A</v>
      </c>
      <c r="I2317" s="66">
        <f t="shared" si="252"/>
        <v>0</v>
      </c>
      <c r="K2317" s="66" t="str">
        <f t="shared" si="253"/>
        <v/>
      </c>
      <c r="L2317" s="66" t="str">
        <f t="shared" si="254"/>
        <v/>
      </c>
      <c r="M2317" s="66" t="str">
        <f t="shared" si="255"/>
        <v/>
      </c>
      <c r="N2317" s="66" t="str">
        <f t="shared" si="256"/>
        <v/>
      </c>
      <c r="O2317" s="66" t="str">
        <f t="shared" si="257"/>
        <v/>
      </c>
      <c r="P2317" s="66" t="str">
        <f t="shared" si="258"/>
        <v/>
      </c>
    </row>
    <row r="2318" spans="8:16">
      <c r="H2318" s="66" t="e">
        <f>IF(LEFT(A2318,6)="CEPNTR","GPINS",VLOOKUP(LEFT(A2318,6),'Code Library'!$A$3:$B$920,2,0))&amp;"_"&amp;RIGHT(A2318,3)</f>
        <v>#N/A</v>
      </c>
      <c r="I2318" s="66">
        <f t="shared" si="252"/>
        <v>0</v>
      </c>
      <c r="K2318" s="66" t="str">
        <f t="shared" si="253"/>
        <v/>
      </c>
      <c r="L2318" s="66" t="str">
        <f t="shared" si="254"/>
        <v/>
      </c>
      <c r="M2318" s="66" t="str">
        <f t="shared" si="255"/>
        <v/>
      </c>
      <c r="N2318" s="66" t="str">
        <f t="shared" si="256"/>
        <v/>
      </c>
      <c r="O2318" s="66" t="str">
        <f t="shared" si="257"/>
        <v/>
      </c>
      <c r="P2318" s="66" t="str">
        <f t="shared" si="258"/>
        <v/>
      </c>
    </row>
    <row r="2319" spans="8:16">
      <c r="H2319" s="66" t="e">
        <f>IF(LEFT(A2319,6)="CEPNTR","GPINS",VLOOKUP(LEFT(A2319,6),'Code Library'!$A$3:$B$920,2,0))&amp;"_"&amp;RIGHT(A2319,3)</f>
        <v>#N/A</v>
      </c>
      <c r="I2319" s="66">
        <f t="shared" si="252"/>
        <v>0</v>
      </c>
      <c r="K2319" s="66" t="str">
        <f t="shared" si="253"/>
        <v/>
      </c>
      <c r="L2319" s="66" t="str">
        <f t="shared" si="254"/>
        <v/>
      </c>
      <c r="M2319" s="66" t="str">
        <f t="shared" si="255"/>
        <v/>
      </c>
      <c r="N2319" s="66" t="str">
        <f t="shared" si="256"/>
        <v/>
      </c>
      <c r="O2319" s="66" t="str">
        <f t="shared" si="257"/>
        <v/>
      </c>
      <c r="P2319" s="66" t="str">
        <f t="shared" si="258"/>
        <v/>
      </c>
    </row>
    <row r="2320" spans="8:16">
      <c r="H2320" s="66" t="e">
        <f>IF(LEFT(A2320,6)="CEPNTR","GPINS",VLOOKUP(LEFT(A2320,6),'Code Library'!$A$3:$B$920,2,0))&amp;"_"&amp;RIGHT(A2320,3)</f>
        <v>#N/A</v>
      </c>
      <c r="I2320" s="66">
        <f t="shared" si="252"/>
        <v>0</v>
      </c>
      <c r="K2320" s="66" t="str">
        <f t="shared" si="253"/>
        <v/>
      </c>
      <c r="L2320" s="66" t="str">
        <f t="shared" si="254"/>
        <v/>
      </c>
      <c r="M2320" s="66" t="str">
        <f t="shared" si="255"/>
        <v/>
      </c>
      <c r="N2320" s="66" t="str">
        <f t="shared" si="256"/>
        <v/>
      </c>
      <c r="O2320" s="66" t="str">
        <f t="shared" si="257"/>
        <v/>
      </c>
      <c r="P2320" s="66" t="str">
        <f t="shared" si="258"/>
        <v/>
      </c>
    </row>
    <row r="2321" spans="8:16">
      <c r="H2321" s="66" t="e">
        <f>IF(LEFT(A2321,6)="CEPNTR","GPINS",VLOOKUP(LEFT(A2321,6),'Code Library'!$A$3:$B$920,2,0))&amp;"_"&amp;RIGHT(A2321,3)</f>
        <v>#N/A</v>
      </c>
      <c r="I2321" s="66">
        <f t="shared" si="252"/>
        <v>0</v>
      </c>
      <c r="K2321" s="66" t="str">
        <f t="shared" si="253"/>
        <v/>
      </c>
      <c r="L2321" s="66" t="str">
        <f t="shared" si="254"/>
        <v/>
      </c>
      <c r="M2321" s="66" t="str">
        <f t="shared" si="255"/>
        <v/>
      </c>
      <c r="N2321" s="66" t="str">
        <f t="shared" si="256"/>
        <v/>
      </c>
      <c r="O2321" s="66" t="str">
        <f t="shared" si="257"/>
        <v/>
      </c>
      <c r="P2321" s="66" t="str">
        <f t="shared" si="258"/>
        <v/>
      </c>
    </row>
    <row r="2322" spans="8:16">
      <c r="H2322" s="66" t="e">
        <f>IF(LEFT(A2322,6)="CEPNTR","GPINS",VLOOKUP(LEFT(A2322,6),'Code Library'!$A$3:$B$920,2,0))&amp;"_"&amp;RIGHT(A2322,3)</f>
        <v>#N/A</v>
      </c>
      <c r="I2322" s="66">
        <f t="shared" si="252"/>
        <v>0</v>
      </c>
      <c r="K2322" s="66" t="str">
        <f t="shared" si="253"/>
        <v/>
      </c>
      <c r="L2322" s="66" t="str">
        <f t="shared" si="254"/>
        <v/>
      </c>
      <c r="M2322" s="66" t="str">
        <f t="shared" si="255"/>
        <v/>
      </c>
      <c r="N2322" s="66" t="str">
        <f t="shared" si="256"/>
        <v/>
      </c>
      <c r="O2322" s="66" t="str">
        <f t="shared" si="257"/>
        <v/>
      </c>
      <c r="P2322" s="66" t="str">
        <f t="shared" si="258"/>
        <v/>
      </c>
    </row>
    <row r="2323" spans="8:16">
      <c r="H2323" s="66" t="e">
        <f>IF(LEFT(A2323,6)="CEPNTR","GPINS",VLOOKUP(LEFT(A2323,6),'Code Library'!$A$3:$B$920,2,0))&amp;"_"&amp;RIGHT(A2323,3)</f>
        <v>#N/A</v>
      </c>
      <c r="I2323" s="66">
        <f t="shared" si="252"/>
        <v>0</v>
      </c>
      <c r="K2323" s="66" t="str">
        <f t="shared" si="253"/>
        <v/>
      </c>
      <c r="L2323" s="66" t="str">
        <f t="shared" si="254"/>
        <v/>
      </c>
      <c r="M2323" s="66" t="str">
        <f t="shared" si="255"/>
        <v/>
      </c>
      <c r="N2323" s="66" t="str">
        <f t="shared" si="256"/>
        <v/>
      </c>
      <c r="O2323" s="66" t="str">
        <f t="shared" si="257"/>
        <v/>
      </c>
      <c r="P2323" s="66" t="str">
        <f t="shared" si="258"/>
        <v/>
      </c>
    </row>
    <row r="2324" spans="8:16">
      <c r="H2324" s="66" t="e">
        <f>IF(LEFT(A2324,6)="CEPNTR","GPINS",VLOOKUP(LEFT(A2324,6),'Code Library'!$A$3:$B$920,2,0))&amp;"_"&amp;RIGHT(A2324,3)</f>
        <v>#N/A</v>
      </c>
      <c r="I2324" s="66">
        <f t="shared" si="252"/>
        <v>0</v>
      </c>
      <c r="K2324" s="66" t="str">
        <f t="shared" si="253"/>
        <v/>
      </c>
      <c r="L2324" s="66" t="str">
        <f t="shared" si="254"/>
        <v/>
      </c>
      <c r="M2324" s="66" t="str">
        <f t="shared" si="255"/>
        <v/>
      </c>
      <c r="N2324" s="66" t="str">
        <f t="shared" si="256"/>
        <v/>
      </c>
      <c r="O2324" s="66" t="str">
        <f t="shared" si="257"/>
        <v/>
      </c>
      <c r="P2324" s="66" t="str">
        <f t="shared" si="258"/>
        <v/>
      </c>
    </row>
    <row r="2325" spans="8:16">
      <c r="H2325" s="66" t="e">
        <f>IF(LEFT(A2325,6)="CEPNTR","GPINS",VLOOKUP(LEFT(A2325,6),'Code Library'!$A$3:$B$920,2,0))&amp;"_"&amp;RIGHT(A2325,3)</f>
        <v>#N/A</v>
      </c>
      <c r="I2325" s="66">
        <f t="shared" si="252"/>
        <v>0</v>
      </c>
      <c r="K2325" s="66" t="str">
        <f t="shared" si="253"/>
        <v/>
      </c>
      <c r="L2325" s="66" t="str">
        <f t="shared" si="254"/>
        <v/>
      </c>
      <c r="M2325" s="66" t="str">
        <f t="shared" si="255"/>
        <v/>
      </c>
      <c r="N2325" s="66" t="str">
        <f t="shared" si="256"/>
        <v/>
      </c>
      <c r="O2325" s="66" t="str">
        <f t="shared" si="257"/>
        <v/>
      </c>
      <c r="P2325" s="66" t="str">
        <f t="shared" si="258"/>
        <v/>
      </c>
    </row>
    <row r="2326" spans="8:16">
      <c r="H2326" s="66" t="e">
        <f>IF(LEFT(A2326,6)="CEPNTR","GPINS",VLOOKUP(LEFT(A2326,6),'Code Library'!$A$3:$B$920,2,0))&amp;"_"&amp;RIGHT(A2326,3)</f>
        <v>#N/A</v>
      </c>
      <c r="I2326" s="66">
        <f t="shared" si="252"/>
        <v>0</v>
      </c>
      <c r="K2326" s="66" t="str">
        <f t="shared" si="253"/>
        <v/>
      </c>
      <c r="L2326" s="66" t="str">
        <f t="shared" si="254"/>
        <v/>
      </c>
      <c r="M2326" s="66" t="str">
        <f t="shared" si="255"/>
        <v/>
      </c>
      <c r="N2326" s="66" t="str">
        <f t="shared" si="256"/>
        <v/>
      </c>
      <c r="O2326" s="66" t="str">
        <f t="shared" si="257"/>
        <v/>
      </c>
      <c r="P2326" s="66" t="str">
        <f t="shared" si="258"/>
        <v/>
      </c>
    </row>
    <row r="2327" spans="8:16">
      <c r="H2327" s="66" t="e">
        <f>IF(LEFT(A2327,6)="CEPNTR","GPINS",VLOOKUP(LEFT(A2327,6),'Code Library'!$A$3:$B$920,2,0))&amp;"_"&amp;RIGHT(A2327,3)</f>
        <v>#N/A</v>
      </c>
      <c r="I2327" s="66">
        <f t="shared" si="252"/>
        <v>0</v>
      </c>
      <c r="K2327" s="66" t="str">
        <f t="shared" si="253"/>
        <v/>
      </c>
      <c r="L2327" s="66" t="str">
        <f t="shared" si="254"/>
        <v/>
      </c>
      <c r="M2327" s="66" t="str">
        <f t="shared" si="255"/>
        <v/>
      </c>
      <c r="N2327" s="66" t="str">
        <f t="shared" si="256"/>
        <v/>
      </c>
      <c r="O2327" s="66" t="str">
        <f t="shared" si="257"/>
        <v/>
      </c>
      <c r="P2327" s="66" t="str">
        <f t="shared" si="258"/>
        <v/>
      </c>
    </row>
    <row r="2328" spans="8:16">
      <c r="H2328" s="66" t="e">
        <f>IF(LEFT(A2328,6)="CEPNTR","GPINS",VLOOKUP(LEFT(A2328,6),'Code Library'!$A$3:$B$920,2,0))&amp;"_"&amp;RIGHT(A2328,3)</f>
        <v>#N/A</v>
      </c>
      <c r="I2328" s="66">
        <f t="shared" si="252"/>
        <v>0</v>
      </c>
      <c r="K2328" s="66" t="str">
        <f t="shared" si="253"/>
        <v/>
      </c>
      <c r="L2328" s="66" t="str">
        <f t="shared" si="254"/>
        <v/>
      </c>
      <c r="M2328" s="66" t="str">
        <f t="shared" si="255"/>
        <v/>
      </c>
      <c r="N2328" s="66" t="str">
        <f t="shared" si="256"/>
        <v/>
      </c>
      <c r="O2328" s="66" t="str">
        <f t="shared" si="257"/>
        <v/>
      </c>
      <c r="P2328" s="66" t="str">
        <f t="shared" si="258"/>
        <v/>
      </c>
    </row>
    <row r="2329" spans="8:16">
      <c r="H2329" s="66" t="e">
        <f>IF(LEFT(A2329,6)="CEPNTR","GPINS",VLOOKUP(LEFT(A2329,6),'Code Library'!$A$3:$B$920,2,0))&amp;"_"&amp;RIGHT(A2329,3)</f>
        <v>#N/A</v>
      </c>
      <c r="I2329" s="66">
        <f t="shared" si="252"/>
        <v>0</v>
      </c>
      <c r="K2329" s="66" t="str">
        <f t="shared" si="253"/>
        <v/>
      </c>
      <c r="L2329" s="66" t="str">
        <f t="shared" si="254"/>
        <v/>
      </c>
      <c r="M2329" s="66" t="str">
        <f t="shared" si="255"/>
        <v/>
      </c>
      <c r="N2329" s="66" t="str">
        <f t="shared" si="256"/>
        <v/>
      </c>
      <c r="O2329" s="66" t="str">
        <f t="shared" si="257"/>
        <v/>
      </c>
      <c r="P2329" s="66" t="str">
        <f t="shared" si="258"/>
        <v/>
      </c>
    </row>
    <row r="2330" spans="8:16">
      <c r="H2330" s="66" t="e">
        <f>IF(LEFT(A2330,6)="CEPNTR","GPINS",VLOOKUP(LEFT(A2330,6),'Code Library'!$A$3:$B$920,2,0))&amp;"_"&amp;RIGHT(A2330,3)</f>
        <v>#N/A</v>
      </c>
      <c r="I2330" s="66">
        <f t="shared" si="252"/>
        <v>0</v>
      </c>
      <c r="K2330" s="66" t="str">
        <f t="shared" si="253"/>
        <v/>
      </c>
      <c r="L2330" s="66" t="str">
        <f t="shared" si="254"/>
        <v/>
      </c>
      <c r="M2330" s="66" t="str">
        <f t="shared" si="255"/>
        <v/>
      </c>
      <c r="N2330" s="66" t="str">
        <f t="shared" si="256"/>
        <v/>
      </c>
      <c r="O2330" s="66" t="str">
        <f t="shared" si="257"/>
        <v/>
      </c>
      <c r="P2330" s="66" t="str">
        <f t="shared" si="258"/>
        <v/>
      </c>
    </row>
    <row r="2331" spans="8:16">
      <c r="H2331" s="66" t="e">
        <f>IF(LEFT(A2331,6)="CEPNTR","GPINS",VLOOKUP(LEFT(A2331,6),'Code Library'!$A$3:$B$920,2,0))&amp;"_"&amp;RIGHT(A2331,3)</f>
        <v>#N/A</v>
      </c>
      <c r="I2331" s="66">
        <f t="shared" si="252"/>
        <v>0</v>
      </c>
      <c r="K2331" s="66" t="str">
        <f t="shared" si="253"/>
        <v/>
      </c>
      <c r="L2331" s="66" t="str">
        <f t="shared" si="254"/>
        <v/>
      </c>
      <c r="M2331" s="66" t="str">
        <f t="shared" si="255"/>
        <v/>
      </c>
      <c r="N2331" s="66" t="str">
        <f t="shared" si="256"/>
        <v/>
      </c>
      <c r="O2331" s="66" t="str">
        <f t="shared" si="257"/>
        <v/>
      </c>
      <c r="P2331" s="66" t="str">
        <f t="shared" si="258"/>
        <v/>
      </c>
    </row>
    <row r="2332" spans="8:16">
      <c r="H2332" s="66" t="e">
        <f>IF(LEFT(A2332,6)="CEPNTR","GPINS",VLOOKUP(LEFT(A2332,6),'Code Library'!$A$3:$B$920,2,0))&amp;"_"&amp;RIGHT(A2332,3)</f>
        <v>#N/A</v>
      </c>
      <c r="I2332" s="66">
        <f t="shared" si="252"/>
        <v>0</v>
      </c>
      <c r="K2332" s="66" t="str">
        <f t="shared" si="253"/>
        <v/>
      </c>
      <c r="L2332" s="66" t="str">
        <f t="shared" si="254"/>
        <v/>
      </c>
      <c r="M2332" s="66" t="str">
        <f t="shared" si="255"/>
        <v/>
      </c>
      <c r="N2332" s="66" t="str">
        <f t="shared" si="256"/>
        <v/>
      </c>
      <c r="O2332" s="66" t="str">
        <f t="shared" si="257"/>
        <v/>
      </c>
      <c r="P2332" s="66" t="str">
        <f t="shared" si="258"/>
        <v/>
      </c>
    </row>
    <row r="2333" spans="8:16">
      <c r="H2333" s="66" t="e">
        <f>IF(LEFT(A2333,6)="CEPNTR","GPINS",VLOOKUP(LEFT(A2333,6),'Code Library'!$A$3:$B$920,2,0))&amp;"_"&amp;RIGHT(A2333,3)</f>
        <v>#N/A</v>
      </c>
      <c r="I2333" s="66">
        <f t="shared" si="252"/>
        <v>0</v>
      </c>
      <c r="K2333" s="66" t="str">
        <f t="shared" si="253"/>
        <v/>
      </c>
      <c r="L2333" s="66" t="str">
        <f t="shared" si="254"/>
        <v/>
      </c>
      <c r="M2333" s="66" t="str">
        <f t="shared" si="255"/>
        <v/>
      </c>
      <c r="N2333" s="66" t="str">
        <f t="shared" si="256"/>
        <v/>
      </c>
      <c r="O2333" s="66" t="str">
        <f t="shared" si="257"/>
        <v/>
      </c>
      <c r="P2333" s="66" t="str">
        <f t="shared" si="258"/>
        <v/>
      </c>
    </row>
    <row r="2334" spans="8:16">
      <c r="H2334" s="66" t="e">
        <f>IF(LEFT(A2334,6)="CEPNTR","GPINS",VLOOKUP(LEFT(A2334,6),'Code Library'!$A$3:$B$920,2,0))&amp;"_"&amp;RIGHT(A2334,3)</f>
        <v>#N/A</v>
      </c>
      <c r="I2334" s="66">
        <f t="shared" si="252"/>
        <v>0</v>
      </c>
      <c r="K2334" s="66" t="str">
        <f t="shared" si="253"/>
        <v/>
      </c>
      <c r="L2334" s="66" t="str">
        <f t="shared" si="254"/>
        <v/>
      </c>
      <c r="M2334" s="66" t="str">
        <f t="shared" si="255"/>
        <v/>
      </c>
      <c r="N2334" s="66" t="str">
        <f t="shared" si="256"/>
        <v/>
      </c>
      <c r="O2334" s="66" t="str">
        <f t="shared" si="257"/>
        <v/>
      </c>
      <c r="P2334" s="66" t="str">
        <f t="shared" si="258"/>
        <v/>
      </c>
    </row>
    <row r="2335" spans="8:16">
      <c r="H2335" s="66" t="e">
        <f>IF(LEFT(A2335,6)="CEPNTR","GPINS",VLOOKUP(LEFT(A2335,6),'Code Library'!$A$3:$B$920,2,0))&amp;"_"&amp;RIGHT(A2335,3)</f>
        <v>#N/A</v>
      </c>
      <c r="I2335" s="66">
        <f t="shared" si="252"/>
        <v>0</v>
      </c>
      <c r="K2335" s="66" t="str">
        <f t="shared" si="253"/>
        <v/>
      </c>
      <c r="L2335" s="66" t="str">
        <f t="shared" si="254"/>
        <v/>
      </c>
      <c r="M2335" s="66" t="str">
        <f t="shared" si="255"/>
        <v/>
      </c>
      <c r="N2335" s="66" t="str">
        <f t="shared" si="256"/>
        <v/>
      </c>
      <c r="O2335" s="66" t="str">
        <f t="shared" si="257"/>
        <v/>
      </c>
      <c r="P2335" s="66" t="str">
        <f t="shared" si="258"/>
        <v/>
      </c>
    </row>
    <row r="2336" spans="8:16">
      <c r="H2336" s="66" t="e">
        <f>IF(LEFT(A2336,6)="CEPNTR","GPINS",VLOOKUP(LEFT(A2336,6),'Code Library'!$A$3:$B$920,2,0))&amp;"_"&amp;RIGHT(A2336,3)</f>
        <v>#N/A</v>
      </c>
      <c r="I2336" s="66">
        <f t="shared" si="252"/>
        <v>0</v>
      </c>
      <c r="K2336" s="66" t="str">
        <f t="shared" si="253"/>
        <v/>
      </c>
      <c r="L2336" s="66" t="str">
        <f t="shared" si="254"/>
        <v/>
      </c>
      <c r="M2336" s="66" t="str">
        <f t="shared" si="255"/>
        <v/>
      </c>
      <c r="N2336" s="66" t="str">
        <f t="shared" si="256"/>
        <v/>
      </c>
      <c r="O2336" s="66" t="str">
        <f t="shared" si="257"/>
        <v/>
      </c>
      <c r="P2336" s="66" t="str">
        <f t="shared" si="258"/>
        <v/>
      </c>
    </row>
    <row r="2337" spans="8:16">
      <c r="H2337" s="66" t="e">
        <f>IF(LEFT(A2337,6)="CEPNTR","GPINS",VLOOKUP(LEFT(A2337,6),'Code Library'!$A$3:$B$920,2,0))&amp;"_"&amp;RIGHT(A2337,3)</f>
        <v>#N/A</v>
      </c>
      <c r="I2337" s="66">
        <f t="shared" si="252"/>
        <v>0</v>
      </c>
      <c r="K2337" s="66" t="str">
        <f t="shared" si="253"/>
        <v/>
      </c>
      <c r="L2337" s="66" t="str">
        <f t="shared" si="254"/>
        <v/>
      </c>
      <c r="M2337" s="66" t="str">
        <f t="shared" si="255"/>
        <v/>
      </c>
      <c r="N2337" s="66" t="str">
        <f t="shared" si="256"/>
        <v/>
      </c>
      <c r="O2337" s="66" t="str">
        <f t="shared" si="257"/>
        <v/>
      </c>
      <c r="P2337" s="66" t="str">
        <f t="shared" si="258"/>
        <v/>
      </c>
    </row>
    <row r="2338" spans="8:16">
      <c r="H2338" s="66" t="e">
        <f>IF(LEFT(A2338,6)="CEPNTR","GPINS",VLOOKUP(LEFT(A2338,6),'Code Library'!$A$3:$B$920,2,0))&amp;"_"&amp;RIGHT(A2338,3)</f>
        <v>#N/A</v>
      </c>
      <c r="I2338" s="66">
        <f t="shared" si="252"/>
        <v>0</v>
      </c>
      <c r="K2338" s="66" t="str">
        <f t="shared" si="253"/>
        <v/>
      </c>
      <c r="L2338" s="66" t="str">
        <f t="shared" si="254"/>
        <v/>
      </c>
      <c r="M2338" s="66" t="str">
        <f t="shared" si="255"/>
        <v/>
      </c>
      <c r="N2338" s="66" t="str">
        <f t="shared" si="256"/>
        <v/>
      </c>
      <c r="O2338" s="66" t="str">
        <f t="shared" si="257"/>
        <v/>
      </c>
      <c r="P2338" s="66" t="str">
        <f t="shared" si="258"/>
        <v/>
      </c>
    </row>
    <row r="2339" spans="8:16">
      <c r="H2339" s="66" t="e">
        <f>IF(LEFT(A2339,6)="CEPNTR","GPINS",VLOOKUP(LEFT(A2339,6),'Code Library'!$A$3:$B$920,2,0))&amp;"_"&amp;RIGHT(A2339,3)</f>
        <v>#N/A</v>
      </c>
      <c r="I2339" s="66">
        <f t="shared" si="252"/>
        <v>0</v>
      </c>
      <c r="K2339" s="66" t="str">
        <f t="shared" si="253"/>
        <v/>
      </c>
      <c r="L2339" s="66" t="str">
        <f t="shared" si="254"/>
        <v/>
      </c>
      <c r="M2339" s="66" t="str">
        <f t="shared" si="255"/>
        <v/>
      </c>
      <c r="N2339" s="66" t="str">
        <f t="shared" si="256"/>
        <v/>
      </c>
      <c r="O2339" s="66" t="str">
        <f t="shared" si="257"/>
        <v/>
      </c>
      <c r="P2339" s="66" t="str">
        <f t="shared" si="258"/>
        <v/>
      </c>
    </row>
    <row r="2340" spans="8:16">
      <c r="H2340" s="66" t="e">
        <f>IF(LEFT(A2340,6)="CEPNTR","GPINS",VLOOKUP(LEFT(A2340,6),'Code Library'!$A$3:$B$920,2,0))&amp;"_"&amp;RIGHT(A2340,3)</f>
        <v>#N/A</v>
      </c>
      <c r="I2340" s="66">
        <f t="shared" si="252"/>
        <v>0</v>
      </c>
      <c r="K2340" s="66" t="str">
        <f t="shared" si="253"/>
        <v/>
      </c>
      <c r="L2340" s="66" t="str">
        <f t="shared" si="254"/>
        <v/>
      </c>
      <c r="M2340" s="66" t="str">
        <f t="shared" si="255"/>
        <v/>
      </c>
      <c r="N2340" s="66" t="str">
        <f t="shared" si="256"/>
        <v/>
      </c>
      <c r="O2340" s="66" t="str">
        <f t="shared" si="257"/>
        <v/>
      </c>
      <c r="P2340" s="66" t="str">
        <f t="shared" si="258"/>
        <v/>
      </c>
    </row>
    <row r="2341" spans="8:16">
      <c r="H2341" s="66" t="e">
        <f>IF(LEFT(A2341,6)="CEPNTR","GPINS",VLOOKUP(LEFT(A2341,6),'Code Library'!$A$3:$B$920,2,0))&amp;"_"&amp;RIGHT(A2341,3)</f>
        <v>#N/A</v>
      </c>
      <c r="I2341" s="66">
        <f t="shared" si="252"/>
        <v>0</v>
      </c>
      <c r="K2341" s="66" t="str">
        <f t="shared" si="253"/>
        <v/>
      </c>
      <c r="L2341" s="66" t="str">
        <f t="shared" si="254"/>
        <v/>
      </c>
      <c r="M2341" s="66" t="str">
        <f t="shared" si="255"/>
        <v/>
      </c>
      <c r="N2341" s="66" t="str">
        <f t="shared" si="256"/>
        <v/>
      </c>
      <c r="O2341" s="66" t="str">
        <f t="shared" si="257"/>
        <v/>
      </c>
      <c r="P2341" s="66" t="str">
        <f t="shared" si="258"/>
        <v/>
      </c>
    </row>
    <row r="2342" spans="8:16">
      <c r="H2342" s="66" t="e">
        <f>IF(LEFT(A2342,6)="CEPNTR","GPINS",VLOOKUP(LEFT(A2342,6),'Code Library'!$A$3:$B$920,2,0))&amp;"_"&amp;RIGHT(A2342,3)</f>
        <v>#N/A</v>
      </c>
      <c r="I2342" s="66">
        <f t="shared" si="252"/>
        <v>0</v>
      </c>
      <c r="K2342" s="66" t="str">
        <f t="shared" si="253"/>
        <v/>
      </c>
      <c r="L2342" s="66" t="str">
        <f t="shared" si="254"/>
        <v/>
      </c>
      <c r="M2342" s="66" t="str">
        <f t="shared" si="255"/>
        <v/>
      </c>
      <c r="N2342" s="66" t="str">
        <f t="shared" si="256"/>
        <v/>
      </c>
      <c r="O2342" s="66" t="str">
        <f t="shared" si="257"/>
        <v/>
      </c>
      <c r="P2342" s="66" t="str">
        <f t="shared" si="258"/>
        <v/>
      </c>
    </row>
    <row r="2343" spans="8:16">
      <c r="H2343" s="66" t="e">
        <f>IF(LEFT(A2343,6)="CEPNTR","GPINS",VLOOKUP(LEFT(A2343,6),'Code Library'!$A$3:$B$920,2,0))&amp;"_"&amp;RIGHT(A2343,3)</f>
        <v>#N/A</v>
      </c>
      <c r="I2343" s="66">
        <f t="shared" si="252"/>
        <v>0</v>
      </c>
      <c r="K2343" s="66" t="str">
        <f t="shared" si="253"/>
        <v/>
      </c>
      <c r="L2343" s="66" t="str">
        <f t="shared" si="254"/>
        <v/>
      </c>
      <c r="M2343" s="66" t="str">
        <f t="shared" si="255"/>
        <v/>
      </c>
      <c r="N2343" s="66" t="str">
        <f t="shared" si="256"/>
        <v/>
      </c>
      <c r="O2343" s="66" t="str">
        <f t="shared" si="257"/>
        <v/>
      </c>
      <c r="P2343" s="66" t="str">
        <f t="shared" si="258"/>
        <v/>
      </c>
    </row>
    <row r="2344" spans="8:16">
      <c r="H2344" s="66" t="e">
        <f>IF(LEFT(A2344,6)="CEPNTR","GPINS",VLOOKUP(LEFT(A2344,6),'Code Library'!$A$3:$B$920,2,0))&amp;"_"&amp;RIGHT(A2344,3)</f>
        <v>#N/A</v>
      </c>
      <c r="I2344" s="66">
        <f t="shared" si="252"/>
        <v>0</v>
      </c>
      <c r="K2344" s="66" t="str">
        <f t="shared" si="253"/>
        <v/>
      </c>
      <c r="L2344" s="66" t="str">
        <f t="shared" si="254"/>
        <v/>
      </c>
      <c r="M2344" s="66" t="str">
        <f t="shared" si="255"/>
        <v/>
      </c>
      <c r="N2344" s="66" t="str">
        <f t="shared" si="256"/>
        <v/>
      </c>
      <c r="O2344" s="66" t="str">
        <f t="shared" si="257"/>
        <v/>
      </c>
      <c r="P2344" s="66" t="str">
        <f t="shared" si="258"/>
        <v/>
      </c>
    </row>
    <row r="2345" spans="8:16">
      <c r="H2345" s="66" t="e">
        <f>IF(LEFT(A2345,6)="CEPNTR","GPINS",VLOOKUP(LEFT(A2345,6),'Code Library'!$A$3:$B$920,2,0))&amp;"_"&amp;RIGHT(A2345,3)</f>
        <v>#N/A</v>
      </c>
      <c r="I2345" s="66">
        <f t="shared" si="252"/>
        <v>0</v>
      </c>
      <c r="K2345" s="66" t="str">
        <f t="shared" si="253"/>
        <v/>
      </c>
      <c r="L2345" s="66" t="str">
        <f t="shared" si="254"/>
        <v/>
      </c>
      <c r="M2345" s="66" t="str">
        <f t="shared" si="255"/>
        <v/>
      </c>
      <c r="N2345" s="66" t="str">
        <f t="shared" si="256"/>
        <v/>
      </c>
      <c r="O2345" s="66" t="str">
        <f t="shared" si="257"/>
        <v/>
      </c>
      <c r="P2345" s="66" t="str">
        <f t="shared" si="258"/>
        <v/>
      </c>
    </row>
    <row r="2346" spans="8:16">
      <c r="H2346" s="66" t="e">
        <f>IF(LEFT(A2346,6)="CEPNTR","GPINS",VLOOKUP(LEFT(A2346,6),'Code Library'!$A$3:$B$920,2,0))&amp;"_"&amp;RIGHT(A2346,3)</f>
        <v>#N/A</v>
      </c>
      <c r="I2346" s="66">
        <f t="shared" si="252"/>
        <v>0</v>
      </c>
      <c r="K2346" s="66" t="str">
        <f t="shared" si="253"/>
        <v/>
      </c>
      <c r="L2346" s="66" t="str">
        <f t="shared" si="254"/>
        <v/>
      </c>
      <c r="M2346" s="66" t="str">
        <f t="shared" si="255"/>
        <v/>
      </c>
      <c r="N2346" s="66" t="str">
        <f t="shared" si="256"/>
        <v/>
      </c>
      <c r="O2346" s="66" t="str">
        <f t="shared" si="257"/>
        <v/>
      </c>
      <c r="P2346" s="66" t="str">
        <f t="shared" si="258"/>
        <v/>
      </c>
    </row>
    <row r="2347" spans="8:16">
      <c r="H2347" s="66" t="e">
        <f>IF(LEFT(A2347,6)="CEPNTR","GPINS",VLOOKUP(LEFT(A2347,6),'Code Library'!$A$3:$B$920,2,0))&amp;"_"&amp;RIGHT(A2347,3)</f>
        <v>#N/A</v>
      </c>
      <c r="I2347" s="66">
        <f t="shared" si="252"/>
        <v>0</v>
      </c>
      <c r="K2347" s="66" t="str">
        <f t="shared" si="253"/>
        <v/>
      </c>
      <c r="L2347" s="66" t="str">
        <f t="shared" si="254"/>
        <v/>
      </c>
      <c r="M2347" s="66" t="str">
        <f t="shared" si="255"/>
        <v/>
      </c>
      <c r="N2347" s="66" t="str">
        <f t="shared" si="256"/>
        <v/>
      </c>
      <c r="O2347" s="66" t="str">
        <f t="shared" si="257"/>
        <v/>
      </c>
      <c r="P2347" s="66" t="str">
        <f t="shared" si="258"/>
        <v/>
      </c>
    </row>
    <row r="2348" spans="8:16">
      <c r="H2348" s="66" t="e">
        <f>IF(LEFT(A2348,6)="CEPNTR","GPINS",VLOOKUP(LEFT(A2348,6),'Code Library'!$A$3:$B$920,2,0))&amp;"_"&amp;RIGHT(A2348,3)</f>
        <v>#N/A</v>
      </c>
      <c r="I2348" s="66">
        <f t="shared" si="252"/>
        <v>0</v>
      </c>
      <c r="K2348" s="66" t="str">
        <f t="shared" si="253"/>
        <v/>
      </c>
      <c r="L2348" s="66" t="str">
        <f t="shared" si="254"/>
        <v/>
      </c>
      <c r="M2348" s="66" t="str">
        <f t="shared" si="255"/>
        <v/>
      </c>
      <c r="N2348" s="66" t="str">
        <f t="shared" si="256"/>
        <v/>
      </c>
      <c r="O2348" s="66" t="str">
        <f t="shared" si="257"/>
        <v/>
      </c>
      <c r="P2348" s="66" t="str">
        <f t="shared" si="258"/>
        <v/>
      </c>
    </row>
    <row r="2349" spans="8:16">
      <c r="H2349" s="66" t="e">
        <f>IF(LEFT(A2349,6)="CEPNTR","GPINS",VLOOKUP(LEFT(A2349,6),'Code Library'!$A$3:$B$920,2,0))&amp;"_"&amp;RIGHT(A2349,3)</f>
        <v>#N/A</v>
      </c>
      <c r="I2349" s="66">
        <f t="shared" si="252"/>
        <v>0</v>
      </c>
      <c r="K2349" s="66" t="str">
        <f t="shared" si="253"/>
        <v/>
      </c>
      <c r="L2349" s="66" t="str">
        <f t="shared" si="254"/>
        <v/>
      </c>
      <c r="M2349" s="66" t="str">
        <f t="shared" si="255"/>
        <v/>
      </c>
      <c r="N2349" s="66" t="str">
        <f t="shared" si="256"/>
        <v/>
      </c>
      <c r="O2349" s="66" t="str">
        <f t="shared" si="257"/>
        <v/>
      </c>
      <c r="P2349" s="66" t="str">
        <f t="shared" si="258"/>
        <v/>
      </c>
    </row>
    <row r="2350" spans="8:16">
      <c r="H2350" s="66" t="e">
        <f>IF(LEFT(A2350,6)="CEPNTR","GPINS",VLOOKUP(LEFT(A2350,6),'Code Library'!$A$3:$B$920,2,0))&amp;"_"&amp;RIGHT(A2350,3)</f>
        <v>#N/A</v>
      </c>
      <c r="I2350" s="66">
        <f t="shared" si="252"/>
        <v>0</v>
      </c>
      <c r="K2350" s="66" t="str">
        <f t="shared" si="253"/>
        <v/>
      </c>
      <c r="L2350" s="66" t="str">
        <f t="shared" si="254"/>
        <v/>
      </c>
      <c r="M2350" s="66" t="str">
        <f t="shared" si="255"/>
        <v/>
      </c>
      <c r="N2350" s="66" t="str">
        <f t="shared" si="256"/>
        <v/>
      </c>
      <c r="O2350" s="66" t="str">
        <f t="shared" si="257"/>
        <v/>
      </c>
      <c r="P2350" s="66" t="str">
        <f t="shared" si="258"/>
        <v/>
      </c>
    </row>
    <row r="2351" spans="8:16">
      <c r="H2351" s="66" t="e">
        <f>IF(LEFT(A2351,6)="CEPNTR","GPINS",VLOOKUP(LEFT(A2351,6),'Code Library'!$A$3:$B$920,2,0))&amp;"_"&amp;RIGHT(A2351,3)</f>
        <v>#N/A</v>
      </c>
      <c r="I2351" s="66">
        <f t="shared" si="252"/>
        <v>0</v>
      </c>
      <c r="K2351" s="66" t="str">
        <f t="shared" si="253"/>
        <v/>
      </c>
      <c r="L2351" s="66" t="str">
        <f t="shared" si="254"/>
        <v/>
      </c>
      <c r="M2351" s="66" t="str">
        <f t="shared" si="255"/>
        <v/>
      </c>
      <c r="N2351" s="66" t="str">
        <f t="shared" si="256"/>
        <v/>
      </c>
      <c r="O2351" s="66" t="str">
        <f t="shared" si="257"/>
        <v/>
      </c>
      <c r="P2351" s="66" t="str">
        <f t="shared" si="258"/>
        <v/>
      </c>
    </row>
    <row r="2352" spans="8:16">
      <c r="H2352" s="66" t="e">
        <f>IF(LEFT(A2352,6)="CEPNTR","GPINS",VLOOKUP(LEFT(A2352,6),'Code Library'!$A$3:$B$920,2,0))&amp;"_"&amp;RIGHT(A2352,3)</f>
        <v>#N/A</v>
      </c>
      <c r="I2352" s="66">
        <f t="shared" si="252"/>
        <v>0</v>
      </c>
      <c r="K2352" s="66" t="str">
        <f t="shared" si="253"/>
        <v/>
      </c>
      <c r="L2352" s="66" t="str">
        <f t="shared" si="254"/>
        <v/>
      </c>
      <c r="M2352" s="66" t="str">
        <f t="shared" si="255"/>
        <v/>
      </c>
      <c r="N2352" s="66" t="str">
        <f t="shared" si="256"/>
        <v/>
      </c>
      <c r="O2352" s="66" t="str">
        <f t="shared" si="257"/>
        <v/>
      </c>
      <c r="P2352" s="66" t="str">
        <f t="shared" si="258"/>
        <v/>
      </c>
    </row>
    <row r="2353" spans="8:16">
      <c r="H2353" s="66" t="e">
        <f>IF(LEFT(A2353,6)="CEPNTR","GPINS",VLOOKUP(LEFT(A2353,6),'Code Library'!$A$3:$B$920,2,0))&amp;"_"&amp;RIGHT(A2353,3)</f>
        <v>#N/A</v>
      </c>
      <c r="I2353" s="66">
        <f t="shared" si="252"/>
        <v>0</v>
      </c>
      <c r="K2353" s="66" t="str">
        <f t="shared" si="253"/>
        <v/>
      </c>
      <c r="L2353" s="66" t="str">
        <f t="shared" si="254"/>
        <v/>
      </c>
      <c r="M2353" s="66" t="str">
        <f t="shared" si="255"/>
        <v/>
      </c>
      <c r="N2353" s="66" t="str">
        <f t="shared" si="256"/>
        <v/>
      </c>
      <c r="O2353" s="66" t="str">
        <f t="shared" si="257"/>
        <v/>
      </c>
      <c r="P2353" s="66" t="str">
        <f t="shared" si="258"/>
        <v/>
      </c>
    </row>
    <row r="2354" spans="8:16">
      <c r="H2354" s="66" t="e">
        <f>IF(LEFT(A2354,6)="CEPNTR","GPINS",VLOOKUP(LEFT(A2354,6),'Code Library'!$A$3:$B$920,2,0))&amp;"_"&amp;RIGHT(A2354,3)</f>
        <v>#N/A</v>
      </c>
      <c r="I2354" s="66">
        <f t="shared" si="252"/>
        <v>0</v>
      </c>
      <c r="K2354" s="66" t="str">
        <f t="shared" si="253"/>
        <v/>
      </c>
      <c r="L2354" s="66" t="str">
        <f t="shared" si="254"/>
        <v/>
      </c>
      <c r="M2354" s="66" t="str">
        <f t="shared" si="255"/>
        <v/>
      </c>
      <c r="N2354" s="66" t="str">
        <f t="shared" si="256"/>
        <v/>
      </c>
      <c r="O2354" s="66" t="str">
        <f t="shared" si="257"/>
        <v/>
      </c>
      <c r="P2354" s="66" t="str">
        <f t="shared" si="258"/>
        <v/>
      </c>
    </row>
    <row r="2355" spans="8:16">
      <c r="H2355" s="66" t="e">
        <f>IF(LEFT(A2355,6)="CEPNTR","GPINS",VLOOKUP(LEFT(A2355,6),'Code Library'!$A$3:$B$920,2,0))&amp;"_"&amp;RIGHT(A2355,3)</f>
        <v>#N/A</v>
      </c>
      <c r="I2355" s="66">
        <f t="shared" si="252"/>
        <v>0</v>
      </c>
      <c r="K2355" s="66" t="str">
        <f t="shared" si="253"/>
        <v/>
      </c>
      <c r="L2355" s="66" t="str">
        <f t="shared" si="254"/>
        <v/>
      </c>
      <c r="M2355" s="66" t="str">
        <f t="shared" si="255"/>
        <v/>
      </c>
      <c r="N2355" s="66" t="str">
        <f t="shared" si="256"/>
        <v/>
      </c>
      <c r="O2355" s="66" t="str">
        <f t="shared" si="257"/>
        <v/>
      </c>
      <c r="P2355" s="66" t="str">
        <f t="shared" si="258"/>
        <v/>
      </c>
    </row>
    <row r="2356" spans="8:16">
      <c r="H2356" s="66" t="e">
        <f>IF(LEFT(A2356,6)="CEPNTR","GPINS",VLOOKUP(LEFT(A2356,6),'Code Library'!$A$3:$B$920,2,0))&amp;"_"&amp;RIGHT(A2356,3)</f>
        <v>#N/A</v>
      </c>
      <c r="I2356" s="66">
        <f t="shared" si="252"/>
        <v>0</v>
      </c>
      <c r="K2356" s="66" t="str">
        <f t="shared" si="253"/>
        <v/>
      </c>
      <c r="L2356" s="66" t="str">
        <f t="shared" si="254"/>
        <v/>
      </c>
      <c r="M2356" s="66" t="str">
        <f t="shared" si="255"/>
        <v/>
      </c>
      <c r="N2356" s="66" t="str">
        <f t="shared" si="256"/>
        <v/>
      </c>
      <c r="O2356" s="66" t="str">
        <f t="shared" si="257"/>
        <v/>
      </c>
      <c r="P2356" s="66" t="str">
        <f t="shared" si="258"/>
        <v/>
      </c>
    </row>
    <row r="2357" spans="8:16">
      <c r="H2357" s="66" t="e">
        <f>IF(LEFT(A2357,6)="CEPNTR","GPINS",VLOOKUP(LEFT(A2357,6),'Code Library'!$A$3:$B$920,2,0))&amp;"_"&amp;RIGHT(A2357,3)</f>
        <v>#N/A</v>
      </c>
      <c r="I2357" s="66">
        <f t="shared" si="252"/>
        <v>0</v>
      </c>
      <c r="K2357" s="66" t="str">
        <f t="shared" si="253"/>
        <v/>
      </c>
      <c r="L2357" s="66" t="str">
        <f t="shared" si="254"/>
        <v/>
      </c>
      <c r="M2357" s="66" t="str">
        <f t="shared" si="255"/>
        <v/>
      </c>
      <c r="N2357" s="66" t="str">
        <f t="shared" si="256"/>
        <v/>
      </c>
      <c r="O2357" s="66" t="str">
        <f t="shared" si="257"/>
        <v/>
      </c>
      <c r="P2357" s="66" t="str">
        <f t="shared" si="258"/>
        <v/>
      </c>
    </row>
    <row r="2358" spans="8:16">
      <c r="H2358" s="66" t="e">
        <f>IF(LEFT(A2358,6)="CEPNTR","GPINS",VLOOKUP(LEFT(A2358,6),'Code Library'!$A$3:$B$920,2,0))&amp;"_"&amp;RIGHT(A2358,3)</f>
        <v>#N/A</v>
      </c>
      <c r="I2358" s="66">
        <f t="shared" si="252"/>
        <v>0</v>
      </c>
      <c r="K2358" s="66" t="str">
        <f t="shared" si="253"/>
        <v/>
      </c>
      <c r="L2358" s="66" t="str">
        <f t="shared" si="254"/>
        <v/>
      </c>
      <c r="M2358" s="66" t="str">
        <f t="shared" si="255"/>
        <v/>
      </c>
      <c r="N2358" s="66" t="str">
        <f t="shared" si="256"/>
        <v/>
      </c>
      <c r="O2358" s="66" t="str">
        <f t="shared" si="257"/>
        <v/>
      </c>
      <c r="P2358" s="66" t="str">
        <f t="shared" si="258"/>
        <v/>
      </c>
    </row>
    <row r="2359" spans="8:16">
      <c r="H2359" s="66" t="e">
        <f>IF(LEFT(A2359,6)="CEPNTR","GPINS",VLOOKUP(LEFT(A2359,6),'Code Library'!$A$3:$B$920,2,0))&amp;"_"&amp;RIGHT(A2359,3)</f>
        <v>#N/A</v>
      </c>
      <c r="I2359" s="66">
        <f t="shared" si="252"/>
        <v>0</v>
      </c>
      <c r="K2359" s="66" t="str">
        <f t="shared" si="253"/>
        <v/>
      </c>
      <c r="L2359" s="66" t="str">
        <f t="shared" si="254"/>
        <v/>
      </c>
      <c r="M2359" s="66" t="str">
        <f t="shared" si="255"/>
        <v/>
      </c>
      <c r="N2359" s="66" t="str">
        <f t="shared" si="256"/>
        <v/>
      </c>
      <c r="O2359" s="66" t="str">
        <f t="shared" si="257"/>
        <v/>
      </c>
      <c r="P2359" s="66" t="str">
        <f t="shared" si="258"/>
        <v/>
      </c>
    </row>
    <row r="2360" spans="8:16">
      <c r="H2360" s="66" t="e">
        <f>IF(LEFT(A2360,6)="CEPNTR","GPINS",VLOOKUP(LEFT(A2360,6),'Code Library'!$A$3:$B$920,2,0))&amp;"_"&amp;RIGHT(A2360,3)</f>
        <v>#N/A</v>
      </c>
      <c r="I2360" s="66">
        <f t="shared" si="252"/>
        <v>0</v>
      </c>
      <c r="K2360" s="66" t="str">
        <f t="shared" si="253"/>
        <v/>
      </c>
      <c r="L2360" s="66" t="str">
        <f t="shared" si="254"/>
        <v/>
      </c>
      <c r="M2360" s="66" t="str">
        <f t="shared" si="255"/>
        <v/>
      </c>
      <c r="N2360" s="66" t="str">
        <f t="shared" si="256"/>
        <v/>
      </c>
      <c r="O2360" s="66" t="str">
        <f t="shared" si="257"/>
        <v/>
      </c>
      <c r="P2360" s="66" t="str">
        <f t="shared" si="258"/>
        <v/>
      </c>
    </row>
    <row r="2361" spans="8:16">
      <c r="H2361" s="66" t="e">
        <f>IF(LEFT(A2361,6)="CEPNTR","GPINS",VLOOKUP(LEFT(A2361,6),'Code Library'!$A$3:$B$920,2,0))&amp;"_"&amp;RIGHT(A2361,3)</f>
        <v>#N/A</v>
      </c>
      <c r="I2361" s="66">
        <f t="shared" si="252"/>
        <v>0</v>
      </c>
      <c r="K2361" s="66" t="str">
        <f t="shared" si="253"/>
        <v/>
      </c>
      <c r="L2361" s="66" t="str">
        <f t="shared" si="254"/>
        <v/>
      </c>
      <c r="M2361" s="66" t="str">
        <f t="shared" si="255"/>
        <v/>
      </c>
      <c r="N2361" s="66" t="str">
        <f t="shared" si="256"/>
        <v/>
      </c>
      <c r="O2361" s="66" t="str">
        <f t="shared" si="257"/>
        <v/>
      </c>
      <c r="P2361" s="66" t="str">
        <f t="shared" si="258"/>
        <v/>
      </c>
    </row>
    <row r="2362" spans="8:16">
      <c r="H2362" s="66" t="e">
        <f>IF(LEFT(A2362,6)="CEPNTR","GPINS",VLOOKUP(LEFT(A2362,6),'Code Library'!$A$3:$B$920,2,0))&amp;"_"&amp;RIGHT(A2362,3)</f>
        <v>#N/A</v>
      </c>
      <c r="I2362" s="66">
        <f t="shared" si="252"/>
        <v>0</v>
      </c>
      <c r="K2362" s="66" t="str">
        <f t="shared" si="253"/>
        <v/>
      </c>
      <c r="L2362" s="66" t="str">
        <f t="shared" si="254"/>
        <v/>
      </c>
      <c r="M2362" s="66" t="str">
        <f t="shared" si="255"/>
        <v/>
      </c>
      <c r="N2362" s="66" t="str">
        <f t="shared" si="256"/>
        <v/>
      </c>
      <c r="O2362" s="66" t="str">
        <f t="shared" si="257"/>
        <v/>
      </c>
      <c r="P2362" s="66" t="str">
        <f t="shared" si="258"/>
        <v/>
      </c>
    </row>
    <row r="2363" spans="8:16">
      <c r="H2363" s="66" t="e">
        <f>IF(LEFT(A2363,6)="CEPNTR","GPINS",VLOOKUP(LEFT(A2363,6),'Code Library'!$A$3:$B$920,2,0))&amp;"_"&amp;RIGHT(A2363,3)</f>
        <v>#N/A</v>
      </c>
      <c r="I2363" s="66">
        <f t="shared" si="252"/>
        <v>0</v>
      </c>
      <c r="K2363" s="66" t="str">
        <f t="shared" si="253"/>
        <v/>
      </c>
      <c r="L2363" s="66" t="str">
        <f t="shared" si="254"/>
        <v/>
      </c>
      <c r="M2363" s="66" t="str">
        <f t="shared" si="255"/>
        <v/>
      </c>
      <c r="N2363" s="66" t="str">
        <f t="shared" si="256"/>
        <v/>
      </c>
      <c r="O2363" s="66" t="str">
        <f t="shared" si="257"/>
        <v/>
      </c>
      <c r="P2363" s="66" t="str">
        <f t="shared" si="258"/>
        <v/>
      </c>
    </row>
    <row r="2364" spans="8:16">
      <c r="H2364" s="66" t="e">
        <f>IF(LEFT(A2364,6)="CEPNTR","GPINS",VLOOKUP(LEFT(A2364,6),'Code Library'!$A$3:$B$920,2,0))&amp;"_"&amp;RIGHT(A2364,3)</f>
        <v>#N/A</v>
      </c>
      <c r="I2364" s="66">
        <f t="shared" si="252"/>
        <v>0</v>
      </c>
      <c r="K2364" s="66" t="str">
        <f t="shared" si="253"/>
        <v/>
      </c>
      <c r="L2364" s="66" t="str">
        <f t="shared" si="254"/>
        <v/>
      </c>
      <c r="M2364" s="66" t="str">
        <f t="shared" si="255"/>
        <v/>
      </c>
      <c r="N2364" s="66" t="str">
        <f t="shared" si="256"/>
        <v/>
      </c>
      <c r="O2364" s="66" t="str">
        <f t="shared" si="257"/>
        <v/>
      </c>
      <c r="P2364" s="66" t="str">
        <f t="shared" si="258"/>
        <v/>
      </c>
    </row>
    <row r="2365" spans="8:16">
      <c r="H2365" s="66" t="e">
        <f>IF(LEFT(A2365,6)="CEPNTR","GPINS",VLOOKUP(LEFT(A2365,6),'Code Library'!$A$3:$B$920,2,0))&amp;"_"&amp;RIGHT(A2365,3)</f>
        <v>#N/A</v>
      </c>
      <c r="I2365" s="66">
        <f t="shared" si="252"/>
        <v>0</v>
      </c>
      <c r="K2365" s="66" t="str">
        <f t="shared" si="253"/>
        <v/>
      </c>
      <c r="L2365" s="66" t="str">
        <f t="shared" si="254"/>
        <v/>
      </c>
      <c r="M2365" s="66" t="str">
        <f t="shared" si="255"/>
        <v/>
      </c>
      <c r="N2365" s="66" t="str">
        <f t="shared" si="256"/>
        <v/>
      </c>
      <c r="O2365" s="66" t="str">
        <f t="shared" si="257"/>
        <v/>
      </c>
      <c r="P2365" s="66" t="str">
        <f t="shared" si="258"/>
        <v/>
      </c>
    </row>
    <row r="2366" spans="8:16">
      <c r="H2366" s="66" t="e">
        <f>IF(LEFT(A2366,6)="CEPNTR","GPINS",VLOOKUP(LEFT(A2366,6),'Code Library'!$A$3:$B$920,2,0))&amp;"_"&amp;RIGHT(A2366,3)</f>
        <v>#N/A</v>
      </c>
      <c r="I2366" s="66">
        <f t="shared" si="252"/>
        <v>0</v>
      </c>
      <c r="K2366" s="66" t="str">
        <f t="shared" si="253"/>
        <v/>
      </c>
      <c r="L2366" s="66" t="str">
        <f t="shared" si="254"/>
        <v/>
      </c>
      <c r="M2366" s="66" t="str">
        <f t="shared" si="255"/>
        <v/>
      </c>
      <c r="N2366" s="66" t="str">
        <f t="shared" si="256"/>
        <v/>
      </c>
      <c r="O2366" s="66" t="str">
        <f t="shared" si="257"/>
        <v/>
      </c>
      <c r="P2366" s="66" t="str">
        <f t="shared" si="258"/>
        <v/>
      </c>
    </row>
    <row r="2367" spans="8:16">
      <c r="H2367" s="66" t="e">
        <f>IF(LEFT(A2367,6)="CEPNTR","GPINS",VLOOKUP(LEFT(A2367,6),'Code Library'!$A$3:$B$920,2,0))&amp;"_"&amp;RIGHT(A2367,3)</f>
        <v>#N/A</v>
      </c>
      <c r="I2367" s="66">
        <f t="shared" si="252"/>
        <v>0</v>
      </c>
      <c r="K2367" s="66" t="str">
        <f t="shared" si="253"/>
        <v/>
      </c>
      <c r="L2367" s="66" t="str">
        <f t="shared" si="254"/>
        <v/>
      </c>
      <c r="M2367" s="66" t="str">
        <f t="shared" si="255"/>
        <v/>
      </c>
      <c r="N2367" s="66" t="str">
        <f t="shared" si="256"/>
        <v/>
      </c>
      <c r="O2367" s="66" t="str">
        <f t="shared" si="257"/>
        <v/>
      </c>
      <c r="P2367" s="66" t="str">
        <f t="shared" si="258"/>
        <v/>
      </c>
    </row>
    <row r="2368" spans="8:16">
      <c r="H2368" s="66" t="e">
        <f>IF(LEFT(A2368,6)="CEPNTR","GPINS",VLOOKUP(LEFT(A2368,6),'Code Library'!$A$3:$B$920,2,0))&amp;"_"&amp;RIGHT(A2368,3)</f>
        <v>#N/A</v>
      </c>
      <c r="I2368" s="66">
        <f t="shared" si="252"/>
        <v>0</v>
      </c>
      <c r="K2368" s="66" t="str">
        <f t="shared" si="253"/>
        <v/>
      </c>
      <c r="L2368" s="66" t="str">
        <f t="shared" si="254"/>
        <v/>
      </c>
      <c r="M2368" s="66" t="str">
        <f t="shared" si="255"/>
        <v/>
      </c>
      <c r="N2368" s="66" t="str">
        <f t="shared" si="256"/>
        <v/>
      </c>
      <c r="O2368" s="66" t="str">
        <f t="shared" si="257"/>
        <v/>
      </c>
      <c r="P2368" s="66" t="str">
        <f t="shared" si="258"/>
        <v/>
      </c>
    </row>
    <row r="2369" spans="8:16">
      <c r="H2369" s="66" t="e">
        <f>IF(LEFT(A2369,6)="CEPNTR","GPINS",VLOOKUP(LEFT(A2369,6),'Code Library'!$A$3:$B$920,2,0))&amp;"_"&amp;RIGHT(A2369,3)</f>
        <v>#N/A</v>
      </c>
      <c r="I2369" s="66">
        <f t="shared" si="252"/>
        <v>0</v>
      </c>
      <c r="K2369" s="66" t="str">
        <f t="shared" si="253"/>
        <v/>
      </c>
      <c r="L2369" s="66" t="str">
        <f t="shared" si="254"/>
        <v/>
      </c>
      <c r="M2369" s="66" t="str">
        <f t="shared" si="255"/>
        <v/>
      </c>
      <c r="N2369" s="66" t="str">
        <f t="shared" si="256"/>
        <v/>
      </c>
      <c r="O2369" s="66" t="str">
        <f t="shared" si="257"/>
        <v/>
      </c>
      <c r="P2369" s="66" t="str">
        <f t="shared" si="258"/>
        <v/>
      </c>
    </row>
    <row r="2370" spans="8:16">
      <c r="H2370" s="66" t="e">
        <f>IF(LEFT(A2370,6)="CEPNTR","GPINS",VLOOKUP(LEFT(A2370,6),'Code Library'!$A$3:$B$920,2,0))&amp;"_"&amp;RIGHT(A2370,3)</f>
        <v>#N/A</v>
      </c>
      <c r="I2370" s="66">
        <f t="shared" si="252"/>
        <v>0</v>
      </c>
      <c r="K2370" s="66" t="str">
        <f t="shared" si="253"/>
        <v/>
      </c>
      <c r="L2370" s="66" t="str">
        <f t="shared" si="254"/>
        <v/>
      </c>
      <c r="M2370" s="66" t="str">
        <f t="shared" si="255"/>
        <v/>
      </c>
      <c r="N2370" s="66" t="str">
        <f t="shared" si="256"/>
        <v/>
      </c>
      <c r="O2370" s="66" t="str">
        <f t="shared" si="257"/>
        <v/>
      </c>
      <c r="P2370" s="66" t="str">
        <f t="shared" si="258"/>
        <v/>
      </c>
    </row>
    <row r="2371" spans="8:16">
      <c r="H2371" s="66" t="e">
        <f>IF(LEFT(A2371,6)="CEPNTR","GPINS",VLOOKUP(LEFT(A2371,6),'Code Library'!$A$3:$B$920,2,0))&amp;"_"&amp;RIGHT(A2371,3)</f>
        <v>#N/A</v>
      </c>
      <c r="I2371" s="66">
        <f t="shared" ref="I2371:I2434" si="259">A2371</f>
        <v>0</v>
      </c>
      <c r="K2371" s="66" t="str">
        <f t="shared" ref="K2371:K2434" si="260">RIGHT($B2371,2)</f>
        <v/>
      </c>
      <c r="L2371" s="66" t="str">
        <f t="shared" ref="L2371:L2434" si="261">LEFT(RIGHT($B2371,7),4)</f>
        <v/>
      </c>
      <c r="M2371" s="66" t="str">
        <f t="shared" ref="M2371:M2434" si="262">LEFT(RIGHT($B2371,10),2)</f>
        <v/>
      </c>
      <c r="N2371" s="66" t="str">
        <f t="shared" ref="N2371:N2434" si="263">LEFT(RIGHT($B2371,14),3)</f>
        <v/>
      </c>
      <c r="O2371" s="66" t="str">
        <f t="shared" ref="O2371:O2434" si="264">LEFT(RIGHT($B2371,16),1)</f>
        <v/>
      </c>
      <c r="P2371" s="66" t="str">
        <f t="shared" ref="P2371:P2434" si="265">LEFT(RIGHT($B2371,19),2)</f>
        <v/>
      </c>
    </row>
    <row r="2372" spans="8:16">
      <c r="H2372" s="66" t="e">
        <f>IF(LEFT(A2372,6)="CEPNTR","GPINS",VLOOKUP(LEFT(A2372,6),'Code Library'!$A$3:$B$920,2,0))&amp;"_"&amp;RIGHT(A2372,3)</f>
        <v>#N/A</v>
      </c>
      <c r="I2372" s="66">
        <f t="shared" si="259"/>
        <v>0</v>
      </c>
      <c r="K2372" s="66" t="str">
        <f t="shared" si="260"/>
        <v/>
      </c>
      <c r="L2372" s="66" t="str">
        <f t="shared" si="261"/>
        <v/>
      </c>
      <c r="M2372" s="66" t="str">
        <f t="shared" si="262"/>
        <v/>
      </c>
      <c r="N2372" s="66" t="str">
        <f t="shared" si="263"/>
        <v/>
      </c>
      <c r="O2372" s="66" t="str">
        <f t="shared" si="264"/>
        <v/>
      </c>
      <c r="P2372" s="66" t="str">
        <f t="shared" si="265"/>
        <v/>
      </c>
    </row>
    <row r="2373" spans="8:16">
      <c r="H2373" s="66" t="e">
        <f>IF(LEFT(A2373,6)="CEPNTR","GPINS",VLOOKUP(LEFT(A2373,6),'Code Library'!$A$3:$B$920,2,0))&amp;"_"&amp;RIGHT(A2373,3)</f>
        <v>#N/A</v>
      </c>
      <c r="I2373" s="66">
        <f t="shared" si="259"/>
        <v>0</v>
      </c>
      <c r="K2373" s="66" t="str">
        <f t="shared" si="260"/>
        <v/>
      </c>
      <c r="L2373" s="66" t="str">
        <f t="shared" si="261"/>
        <v/>
      </c>
      <c r="M2373" s="66" t="str">
        <f t="shared" si="262"/>
        <v/>
      </c>
      <c r="N2373" s="66" t="str">
        <f t="shared" si="263"/>
        <v/>
      </c>
      <c r="O2373" s="66" t="str">
        <f t="shared" si="264"/>
        <v/>
      </c>
      <c r="P2373" s="66" t="str">
        <f t="shared" si="265"/>
        <v/>
      </c>
    </row>
    <row r="2374" spans="8:16">
      <c r="H2374" s="66" t="e">
        <f>IF(LEFT(A2374,6)="CEPNTR","GPINS",VLOOKUP(LEFT(A2374,6),'Code Library'!$A$3:$B$920,2,0))&amp;"_"&amp;RIGHT(A2374,3)</f>
        <v>#N/A</v>
      </c>
      <c r="I2374" s="66">
        <f t="shared" si="259"/>
        <v>0</v>
      </c>
      <c r="K2374" s="66" t="str">
        <f t="shared" si="260"/>
        <v/>
      </c>
      <c r="L2374" s="66" t="str">
        <f t="shared" si="261"/>
        <v/>
      </c>
      <c r="M2374" s="66" t="str">
        <f t="shared" si="262"/>
        <v/>
      </c>
      <c r="N2374" s="66" t="str">
        <f t="shared" si="263"/>
        <v/>
      </c>
      <c r="O2374" s="66" t="str">
        <f t="shared" si="264"/>
        <v/>
      </c>
      <c r="P2374" s="66" t="str">
        <f t="shared" si="265"/>
        <v/>
      </c>
    </row>
    <row r="2375" spans="8:16">
      <c r="H2375" s="66" t="e">
        <f>IF(LEFT(A2375,6)="CEPNTR","GPINS",VLOOKUP(LEFT(A2375,6),'Code Library'!$A$3:$B$920,2,0))&amp;"_"&amp;RIGHT(A2375,3)</f>
        <v>#N/A</v>
      </c>
      <c r="I2375" s="66">
        <f t="shared" si="259"/>
        <v>0</v>
      </c>
      <c r="K2375" s="66" t="str">
        <f t="shared" si="260"/>
        <v/>
      </c>
      <c r="L2375" s="66" t="str">
        <f t="shared" si="261"/>
        <v/>
      </c>
      <c r="M2375" s="66" t="str">
        <f t="shared" si="262"/>
        <v/>
      </c>
      <c r="N2375" s="66" t="str">
        <f t="shared" si="263"/>
        <v/>
      </c>
      <c r="O2375" s="66" t="str">
        <f t="shared" si="264"/>
        <v/>
      </c>
      <c r="P2375" s="66" t="str">
        <f t="shared" si="265"/>
        <v/>
      </c>
    </row>
    <row r="2376" spans="8:16">
      <c r="H2376" s="66" t="e">
        <f>IF(LEFT(A2376,6)="CEPNTR","GPINS",VLOOKUP(LEFT(A2376,6),'Code Library'!$A$3:$B$920,2,0))&amp;"_"&amp;RIGHT(A2376,3)</f>
        <v>#N/A</v>
      </c>
      <c r="I2376" s="66">
        <f t="shared" si="259"/>
        <v>0</v>
      </c>
      <c r="K2376" s="66" t="str">
        <f t="shared" si="260"/>
        <v/>
      </c>
      <c r="L2376" s="66" t="str">
        <f t="shared" si="261"/>
        <v/>
      </c>
      <c r="M2376" s="66" t="str">
        <f t="shared" si="262"/>
        <v/>
      </c>
      <c r="N2376" s="66" t="str">
        <f t="shared" si="263"/>
        <v/>
      </c>
      <c r="O2376" s="66" t="str">
        <f t="shared" si="264"/>
        <v/>
      </c>
      <c r="P2376" s="66" t="str">
        <f t="shared" si="265"/>
        <v/>
      </c>
    </row>
    <row r="2377" spans="8:16">
      <c r="H2377" s="66" t="e">
        <f>IF(LEFT(A2377,6)="CEPNTR","GPINS",VLOOKUP(LEFT(A2377,6),'Code Library'!$A$3:$B$920,2,0))&amp;"_"&amp;RIGHT(A2377,3)</f>
        <v>#N/A</v>
      </c>
      <c r="I2377" s="66">
        <f t="shared" si="259"/>
        <v>0</v>
      </c>
      <c r="K2377" s="66" t="str">
        <f t="shared" si="260"/>
        <v/>
      </c>
      <c r="L2377" s="66" t="str">
        <f t="shared" si="261"/>
        <v/>
      </c>
      <c r="M2377" s="66" t="str">
        <f t="shared" si="262"/>
        <v/>
      </c>
      <c r="N2377" s="66" t="str">
        <f t="shared" si="263"/>
        <v/>
      </c>
      <c r="O2377" s="66" t="str">
        <f t="shared" si="264"/>
        <v/>
      </c>
      <c r="P2377" s="66" t="str">
        <f t="shared" si="265"/>
        <v/>
      </c>
    </row>
    <row r="2378" spans="8:16">
      <c r="H2378" s="66" t="e">
        <f>IF(LEFT(A2378,6)="CEPNTR","GPINS",VLOOKUP(LEFT(A2378,6),'Code Library'!$A$3:$B$920,2,0))&amp;"_"&amp;RIGHT(A2378,3)</f>
        <v>#N/A</v>
      </c>
      <c r="I2378" s="66">
        <f t="shared" si="259"/>
        <v>0</v>
      </c>
      <c r="K2378" s="66" t="str">
        <f t="shared" si="260"/>
        <v/>
      </c>
      <c r="L2378" s="66" t="str">
        <f t="shared" si="261"/>
        <v/>
      </c>
      <c r="M2378" s="66" t="str">
        <f t="shared" si="262"/>
        <v/>
      </c>
      <c r="N2378" s="66" t="str">
        <f t="shared" si="263"/>
        <v/>
      </c>
      <c r="O2378" s="66" t="str">
        <f t="shared" si="264"/>
        <v/>
      </c>
      <c r="P2378" s="66" t="str">
        <f t="shared" si="265"/>
        <v/>
      </c>
    </row>
    <row r="2379" spans="8:16">
      <c r="H2379" s="66" t="e">
        <f>IF(LEFT(A2379,6)="CEPNTR","GPINS",VLOOKUP(LEFT(A2379,6),'Code Library'!$A$3:$B$920,2,0))&amp;"_"&amp;RIGHT(A2379,3)</f>
        <v>#N/A</v>
      </c>
      <c r="I2379" s="66">
        <f t="shared" si="259"/>
        <v>0</v>
      </c>
      <c r="K2379" s="66" t="str">
        <f t="shared" si="260"/>
        <v/>
      </c>
      <c r="L2379" s="66" t="str">
        <f t="shared" si="261"/>
        <v/>
      </c>
      <c r="M2379" s="66" t="str">
        <f t="shared" si="262"/>
        <v/>
      </c>
      <c r="N2379" s="66" t="str">
        <f t="shared" si="263"/>
        <v/>
      </c>
      <c r="O2379" s="66" t="str">
        <f t="shared" si="264"/>
        <v/>
      </c>
      <c r="P2379" s="66" t="str">
        <f t="shared" si="265"/>
        <v/>
      </c>
    </row>
    <row r="2380" spans="8:16">
      <c r="H2380" s="66" t="e">
        <f>IF(LEFT(A2380,6)="CEPNTR","GPINS",VLOOKUP(LEFT(A2380,6),'Code Library'!$A$3:$B$920,2,0))&amp;"_"&amp;RIGHT(A2380,3)</f>
        <v>#N/A</v>
      </c>
      <c r="I2380" s="66">
        <f t="shared" si="259"/>
        <v>0</v>
      </c>
      <c r="K2380" s="66" t="str">
        <f t="shared" si="260"/>
        <v/>
      </c>
      <c r="L2380" s="66" t="str">
        <f t="shared" si="261"/>
        <v/>
      </c>
      <c r="M2380" s="66" t="str">
        <f t="shared" si="262"/>
        <v/>
      </c>
      <c r="N2380" s="66" t="str">
        <f t="shared" si="263"/>
        <v/>
      </c>
      <c r="O2380" s="66" t="str">
        <f t="shared" si="264"/>
        <v/>
      </c>
      <c r="P2380" s="66" t="str">
        <f t="shared" si="265"/>
        <v/>
      </c>
    </row>
    <row r="2381" spans="8:16">
      <c r="H2381" s="66" t="e">
        <f>IF(LEFT(A2381,6)="CEPNTR","GPINS",VLOOKUP(LEFT(A2381,6),'Code Library'!$A$3:$B$920,2,0))&amp;"_"&amp;RIGHT(A2381,3)</f>
        <v>#N/A</v>
      </c>
      <c r="I2381" s="66">
        <f t="shared" si="259"/>
        <v>0</v>
      </c>
      <c r="K2381" s="66" t="str">
        <f t="shared" si="260"/>
        <v/>
      </c>
      <c r="L2381" s="66" t="str">
        <f t="shared" si="261"/>
        <v/>
      </c>
      <c r="M2381" s="66" t="str">
        <f t="shared" si="262"/>
        <v/>
      </c>
      <c r="N2381" s="66" t="str">
        <f t="shared" si="263"/>
        <v/>
      </c>
      <c r="O2381" s="66" t="str">
        <f t="shared" si="264"/>
        <v/>
      </c>
      <c r="P2381" s="66" t="str">
        <f t="shared" si="265"/>
        <v/>
      </c>
    </row>
    <row r="2382" spans="8:16">
      <c r="H2382" s="66" t="e">
        <f>IF(LEFT(A2382,6)="CEPNTR","GPINS",VLOOKUP(LEFT(A2382,6),'Code Library'!$A$3:$B$920,2,0))&amp;"_"&amp;RIGHT(A2382,3)</f>
        <v>#N/A</v>
      </c>
      <c r="I2382" s="66">
        <f t="shared" si="259"/>
        <v>0</v>
      </c>
      <c r="K2382" s="66" t="str">
        <f t="shared" si="260"/>
        <v/>
      </c>
      <c r="L2382" s="66" t="str">
        <f t="shared" si="261"/>
        <v/>
      </c>
      <c r="M2382" s="66" t="str">
        <f t="shared" si="262"/>
        <v/>
      </c>
      <c r="N2382" s="66" t="str">
        <f t="shared" si="263"/>
        <v/>
      </c>
      <c r="O2382" s="66" t="str">
        <f t="shared" si="264"/>
        <v/>
      </c>
      <c r="P2382" s="66" t="str">
        <f t="shared" si="265"/>
        <v/>
      </c>
    </row>
    <row r="2383" spans="8:16">
      <c r="H2383" s="66" t="e">
        <f>IF(LEFT(A2383,6)="CEPNTR","GPINS",VLOOKUP(LEFT(A2383,6),'Code Library'!$A$3:$B$920,2,0))&amp;"_"&amp;RIGHT(A2383,3)</f>
        <v>#N/A</v>
      </c>
      <c r="I2383" s="66">
        <f t="shared" si="259"/>
        <v>0</v>
      </c>
      <c r="K2383" s="66" t="str">
        <f t="shared" si="260"/>
        <v/>
      </c>
      <c r="L2383" s="66" t="str">
        <f t="shared" si="261"/>
        <v/>
      </c>
      <c r="M2383" s="66" t="str">
        <f t="shared" si="262"/>
        <v/>
      </c>
      <c r="N2383" s="66" t="str">
        <f t="shared" si="263"/>
        <v/>
      </c>
      <c r="O2383" s="66" t="str">
        <f t="shared" si="264"/>
        <v/>
      </c>
      <c r="P2383" s="66" t="str">
        <f t="shared" si="265"/>
        <v/>
      </c>
    </row>
    <row r="2384" spans="8:16">
      <c r="H2384" s="66" t="e">
        <f>IF(LEFT(A2384,6)="CEPNTR","GPINS",VLOOKUP(LEFT(A2384,6),'Code Library'!$A$3:$B$920,2,0))&amp;"_"&amp;RIGHT(A2384,3)</f>
        <v>#N/A</v>
      </c>
      <c r="I2384" s="66">
        <f t="shared" si="259"/>
        <v>0</v>
      </c>
      <c r="K2384" s="66" t="str">
        <f t="shared" si="260"/>
        <v/>
      </c>
      <c r="L2384" s="66" t="str">
        <f t="shared" si="261"/>
        <v/>
      </c>
      <c r="M2384" s="66" t="str">
        <f t="shared" si="262"/>
        <v/>
      </c>
      <c r="N2384" s="66" t="str">
        <f t="shared" si="263"/>
        <v/>
      </c>
      <c r="O2384" s="66" t="str">
        <f t="shared" si="264"/>
        <v/>
      </c>
      <c r="P2384" s="66" t="str">
        <f t="shared" si="265"/>
        <v/>
      </c>
    </row>
    <row r="2385" spans="8:16">
      <c r="H2385" s="66" t="e">
        <f>IF(LEFT(A2385,6)="CEPNTR","GPINS",VLOOKUP(LEFT(A2385,6),'Code Library'!$A$3:$B$920,2,0))&amp;"_"&amp;RIGHT(A2385,3)</f>
        <v>#N/A</v>
      </c>
      <c r="I2385" s="66">
        <f t="shared" si="259"/>
        <v>0</v>
      </c>
      <c r="K2385" s="66" t="str">
        <f t="shared" si="260"/>
        <v/>
      </c>
      <c r="L2385" s="66" t="str">
        <f t="shared" si="261"/>
        <v/>
      </c>
      <c r="M2385" s="66" t="str">
        <f t="shared" si="262"/>
        <v/>
      </c>
      <c r="N2385" s="66" t="str">
        <f t="shared" si="263"/>
        <v/>
      </c>
      <c r="O2385" s="66" t="str">
        <f t="shared" si="264"/>
        <v/>
      </c>
      <c r="P2385" s="66" t="str">
        <f t="shared" si="265"/>
        <v/>
      </c>
    </row>
    <row r="2386" spans="8:16">
      <c r="H2386" s="66" t="e">
        <f>IF(LEFT(A2386,6)="CEPNTR","GPINS",VLOOKUP(LEFT(A2386,6),'Code Library'!$A$3:$B$920,2,0))&amp;"_"&amp;RIGHT(A2386,3)</f>
        <v>#N/A</v>
      </c>
      <c r="I2386" s="66">
        <f t="shared" si="259"/>
        <v>0</v>
      </c>
      <c r="K2386" s="66" t="str">
        <f t="shared" si="260"/>
        <v/>
      </c>
      <c r="L2386" s="66" t="str">
        <f t="shared" si="261"/>
        <v/>
      </c>
      <c r="M2386" s="66" t="str">
        <f t="shared" si="262"/>
        <v/>
      </c>
      <c r="N2386" s="66" t="str">
        <f t="shared" si="263"/>
        <v/>
      </c>
      <c r="O2386" s="66" t="str">
        <f t="shared" si="264"/>
        <v/>
      </c>
      <c r="P2386" s="66" t="str">
        <f t="shared" si="265"/>
        <v/>
      </c>
    </row>
    <row r="2387" spans="8:16">
      <c r="H2387" s="66" t="e">
        <f>IF(LEFT(A2387,6)="CEPNTR","GPINS",VLOOKUP(LEFT(A2387,6),'Code Library'!$A$3:$B$920,2,0))&amp;"_"&amp;RIGHT(A2387,3)</f>
        <v>#N/A</v>
      </c>
      <c r="I2387" s="66">
        <f t="shared" si="259"/>
        <v>0</v>
      </c>
      <c r="K2387" s="66" t="str">
        <f t="shared" si="260"/>
        <v/>
      </c>
      <c r="L2387" s="66" t="str">
        <f t="shared" si="261"/>
        <v/>
      </c>
      <c r="M2387" s="66" t="str">
        <f t="shared" si="262"/>
        <v/>
      </c>
      <c r="N2387" s="66" t="str">
        <f t="shared" si="263"/>
        <v/>
      </c>
      <c r="O2387" s="66" t="str">
        <f t="shared" si="264"/>
        <v/>
      </c>
      <c r="P2387" s="66" t="str">
        <f t="shared" si="265"/>
        <v/>
      </c>
    </row>
    <row r="2388" spans="8:16">
      <c r="H2388" s="66" t="e">
        <f>IF(LEFT(A2388,6)="CEPNTR","GPINS",VLOOKUP(LEFT(A2388,6),'Code Library'!$A$3:$B$920,2,0))&amp;"_"&amp;RIGHT(A2388,3)</f>
        <v>#N/A</v>
      </c>
      <c r="I2388" s="66">
        <f t="shared" si="259"/>
        <v>0</v>
      </c>
      <c r="K2388" s="66" t="str">
        <f t="shared" si="260"/>
        <v/>
      </c>
      <c r="L2388" s="66" t="str">
        <f t="shared" si="261"/>
        <v/>
      </c>
      <c r="M2388" s="66" t="str">
        <f t="shared" si="262"/>
        <v/>
      </c>
      <c r="N2388" s="66" t="str">
        <f t="shared" si="263"/>
        <v/>
      </c>
      <c r="O2388" s="66" t="str">
        <f t="shared" si="264"/>
        <v/>
      </c>
      <c r="P2388" s="66" t="str">
        <f t="shared" si="265"/>
        <v/>
      </c>
    </row>
    <row r="2389" spans="8:16">
      <c r="H2389" s="66" t="e">
        <f>IF(LEFT(A2389,6)="CEPNTR","GPINS",VLOOKUP(LEFT(A2389,6),'Code Library'!$A$3:$B$920,2,0))&amp;"_"&amp;RIGHT(A2389,3)</f>
        <v>#N/A</v>
      </c>
      <c r="I2389" s="66">
        <f t="shared" si="259"/>
        <v>0</v>
      </c>
      <c r="K2389" s="66" t="str">
        <f t="shared" si="260"/>
        <v/>
      </c>
      <c r="L2389" s="66" t="str">
        <f t="shared" si="261"/>
        <v/>
      </c>
      <c r="M2389" s="66" t="str">
        <f t="shared" si="262"/>
        <v/>
      </c>
      <c r="N2389" s="66" t="str">
        <f t="shared" si="263"/>
        <v/>
      </c>
      <c r="O2389" s="66" t="str">
        <f t="shared" si="264"/>
        <v/>
      </c>
      <c r="P2389" s="66" t="str">
        <f t="shared" si="265"/>
        <v/>
      </c>
    </row>
    <row r="2390" spans="8:16">
      <c r="H2390" s="66" t="e">
        <f>IF(LEFT(A2390,6)="CEPNTR","GPINS",VLOOKUP(LEFT(A2390,6),'Code Library'!$A$3:$B$920,2,0))&amp;"_"&amp;RIGHT(A2390,3)</f>
        <v>#N/A</v>
      </c>
      <c r="I2390" s="66">
        <f t="shared" si="259"/>
        <v>0</v>
      </c>
      <c r="K2390" s="66" t="str">
        <f t="shared" si="260"/>
        <v/>
      </c>
      <c r="L2390" s="66" t="str">
        <f t="shared" si="261"/>
        <v/>
      </c>
      <c r="M2390" s="66" t="str">
        <f t="shared" si="262"/>
        <v/>
      </c>
      <c r="N2390" s="66" t="str">
        <f t="shared" si="263"/>
        <v/>
      </c>
      <c r="O2390" s="66" t="str">
        <f t="shared" si="264"/>
        <v/>
      </c>
      <c r="P2390" s="66" t="str">
        <f t="shared" si="265"/>
        <v/>
      </c>
    </row>
    <row r="2391" spans="8:16">
      <c r="H2391" s="66" t="e">
        <f>IF(LEFT(A2391,6)="CEPNTR","GPINS",VLOOKUP(LEFT(A2391,6),'Code Library'!$A$3:$B$920,2,0))&amp;"_"&amp;RIGHT(A2391,3)</f>
        <v>#N/A</v>
      </c>
      <c r="I2391" s="66">
        <f t="shared" si="259"/>
        <v>0</v>
      </c>
      <c r="K2391" s="66" t="str">
        <f t="shared" si="260"/>
        <v/>
      </c>
      <c r="L2391" s="66" t="str">
        <f t="shared" si="261"/>
        <v/>
      </c>
      <c r="M2391" s="66" t="str">
        <f t="shared" si="262"/>
        <v/>
      </c>
      <c r="N2391" s="66" t="str">
        <f t="shared" si="263"/>
        <v/>
      </c>
      <c r="O2391" s="66" t="str">
        <f t="shared" si="264"/>
        <v/>
      </c>
      <c r="P2391" s="66" t="str">
        <f t="shared" si="265"/>
        <v/>
      </c>
    </row>
    <row r="2392" spans="8:16">
      <c r="H2392" s="66" t="e">
        <f>IF(LEFT(A2392,6)="CEPNTR","GPINS",VLOOKUP(LEFT(A2392,6),'Code Library'!$A$3:$B$920,2,0))&amp;"_"&amp;RIGHT(A2392,3)</f>
        <v>#N/A</v>
      </c>
      <c r="I2392" s="66">
        <f t="shared" si="259"/>
        <v>0</v>
      </c>
      <c r="K2392" s="66" t="str">
        <f t="shared" si="260"/>
        <v/>
      </c>
      <c r="L2392" s="66" t="str">
        <f t="shared" si="261"/>
        <v/>
      </c>
      <c r="M2392" s="66" t="str">
        <f t="shared" si="262"/>
        <v/>
      </c>
      <c r="N2392" s="66" t="str">
        <f t="shared" si="263"/>
        <v/>
      </c>
      <c r="O2392" s="66" t="str">
        <f t="shared" si="264"/>
        <v/>
      </c>
      <c r="P2392" s="66" t="str">
        <f t="shared" si="265"/>
        <v/>
      </c>
    </row>
    <row r="2393" spans="8:16">
      <c r="H2393" s="66" t="e">
        <f>IF(LEFT(A2393,6)="CEPNTR","GPINS",VLOOKUP(LEFT(A2393,6),'Code Library'!$A$3:$B$920,2,0))&amp;"_"&amp;RIGHT(A2393,3)</f>
        <v>#N/A</v>
      </c>
      <c r="I2393" s="66">
        <f t="shared" si="259"/>
        <v>0</v>
      </c>
      <c r="K2393" s="66" t="str">
        <f t="shared" si="260"/>
        <v/>
      </c>
      <c r="L2393" s="66" t="str">
        <f t="shared" si="261"/>
        <v/>
      </c>
      <c r="M2393" s="66" t="str">
        <f t="shared" si="262"/>
        <v/>
      </c>
      <c r="N2393" s="66" t="str">
        <f t="shared" si="263"/>
        <v/>
      </c>
      <c r="O2393" s="66" t="str">
        <f t="shared" si="264"/>
        <v/>
      </c>
      <c r="P2393" s="66" t="str">
        <f t="shared" si="265"/>
        <v/>
      </c>
    </row>
    <row r="2394" spans="8:16">
      <c r="H2394" s="66" t="e">
        <f>IF(LEFT(A2394,6)="CEPNTR","GPINS",VLOOKUP(LEFT(A2394,6),'Code Library'!$A$3:$B$920,2,0))&amp;"_"&amp;RIGHT(A2394,3)</f>
        <v>#N/A</v>
      </c>
      <c r="I2394" s="66">
        <f t="shared" si="259"/>
        <v>0</v>
      </c>
      <c r="K2394" s="66" t="str">
        <f t="shared" si="260"/>
        <v/>
      </c>
      <c r="L2394" s="66" t="str">
        <f t="shared" si="261"/>
        <v/>
      </c>
      <c r="M2394" s="66" t="str">
        <f t="shared" si="262"/>
        <v/>
      </c>
      <c r="N2394" s="66" t="str">
        <f t="shared" si="263"/>
        <v/>
      </c>
      <c r="O2394" s="66" t="str">
        <f t="shared" si="264"/>
        <v/>
      </c>
      <c r="P2394" s="66" t="str">
        <f t="shared" si="265"/>
        <v/>
      </c>
    </row>
    <row r="2395" spans="8:16">
      <c r="H2395" s="66" t="e">
        <f>IF(LEFT(A2395,6)="CEPNTR","GPINS",VLOOKUP(LEFT(A2395,6),'Code Library'!$A$3:$B$920,2,0))&amp;"_"&amp;RIGHT(A2395,3)</f>
        <v>#N/A</v>
      </c>
      <c r="I2395" s="66">
        <f t="shared" si="259"/>
        <v>0</v>
      </c>
      <c r="K2395" s="66" t="str">
        <f t="shared" si="260"/>
        <v/>
      </c>
      <c r="L2395" s="66" t="str">
        <f t="shared" si="261"/>
        <v/>
      </c>
      <c r="M2395" s="66" t="str">
        <f t="shared" si="262"/>
        <v/>
      </c>
      <c r="N2395" s="66" t="str">
        <f t="shared" si="263"/>
        <v/>
      </c>
      <c r="O2395" s="66" t="str">
        <f t="shared" si="264"/>
        <v/>
      </c>
      <c r="P2395" s="66" t="str">
        <f t="shared" si="265"/>
        <v/>
      </c>
    </row>
    <row r="2396" spans="8:16">
      <c r="H2396" s="66" t="e">
        <f>IF(LEFT(A2396,6)="CEPNTR","GPINS",VLOOKUP(LEFT(A2396,6),'Code Library'!$A$3:$B$920,2,0))&amp;"_"&amp;RIGHT(A2396,3)</f>
        <v>#N/A</v>
      </c>
      <c r="I2396" s="66">
        <f t="shared" si="259"/>
        <v>0</v>
      </c>
      <c r="K2396" s="66" t="str">
        <f t="shared" si="260"/>
        <v/>
      </c>
      <c r="L2396" s="66" t="str">
        <f t="shared" si="261"/>
        <v/>
      </c>
      <c r="M2396" s="66" t="str">
        <f t="shared" si="262"/>
        <v/>
      </c>
      <c r="N2396" s="66" t="str">
        <f t="shared" si="263"/>
        <v/>
      </c>
      <c r="O2396" s="66" t="str">
        <f t="shared" si="264"/>
        <v/>
      </c>
      <c r="P2396" s="66" t="str">
        <f t="shared" si="265"/>
        <v/>
      </c>
    </row>
    <row r="2397" spans="8:16">
      <c r="H2397" s="66" t="e">
        <f>IF(LEFT(A2397,6)="CEPNTR","GPINS",VLOOKUP(LEFT(A2397,6),'Code Library'!$A$3:$B$920,2,0))&amp;"_"&amp;RIGHT(A2397,3)</f>
        <v>#N/A</v>
      </c>
      <c r="I2397" s="66">
        <f t="shared" si="259"/>
        <v>0</v>
      </c>
      <c r="K2397" s="66" t="str">
        <f t="shared" si="260"/>
        <v/>
      </c>
      <c r="L2397" s="66" t="str">
        <f t="shared" si="261"/>
        <v/>
      </c>
      <c r="M2397" s="66" t="str">
        <f t="shared" si="262"/>
        <v/>
      </c>
      <c r="N2397" s="66" t="str">
        <f t="shared" si="263"/>
        <v/>
      </c>
      <c r="O2397" s="66" t="str">
        <f t="shared" si="264"/>
        <v/>
      </c>
      <c r="P2397" s="66" t="str">
        <f t="shared" si="265"/>
        <v/>
      </c>
    </row>
    <row r="2398" spans="8:16">
      <c r="H2398" s="66" t="e">
        <f>IF(LEFT(A2398,6)="CEPNTR","GPINS",VLOOKUP(LEFT(A2398,6),'Code Library'!$A$3:$B$920,2,0))&amp;"_"&amp;RIGHT(A2398,3)</f>
        <v>#N/A</v>
      </c>
      <c r="I2398" s="66">
        <f t="shared" si="259"/>
        <v>0</v>
      </c>
      <c r="K2398" s="66" t="str">
        <f t="shared" si="260"/>
        <v/>
      </c>
      <c r="L2398" s="66" t="str">
        <f t="shared" si="261"/>
        <v/>
      </c>
      <c r="M2398" s="66" t="str">
        <f t="shared" si="262"/>
        <v/>
      </c>
      <c r="N2398" s="66" t="str">
        <f t="shared" si="263"/>
        <v/>
      </c>
      <c r="O2398" s="66" t="str">
        <f t="shared" si="264"/>
        <v/>
      </c>
      <c r="P2398" s="66" t="str">
        <f t="shared" si="265"/>
        <v/>
      </c>
    </row>
    <row r="2399" spans="8:16">
      <c r="H2399" s="66" t="e">
        <f>IF(LEFT(A2399,6)="CEPNTR","GPINS",VLOOKUP(LEFT(A2399,6),'Code Library'!$A$3:$B$920,2,0))&amp;"_"&amp;RIGHT(A2399,3)</f>
        <v>#N/A</v>
      </c>
      <c r="I2399" s="66">
        <f t="shared" si="259"/>
        <v>0</v>
      </c>
      <c r="K2399" s="66" t="str">
        <f t="shared" si="260"/>
        <v/>
      </c>
      <c r="L2399" s="66" t="str">
        <f t="shared" si="261"/>
        <v/>
      </c>
      <c r="M2399" s="66" t="str">
        <f t="shared" si="262"/>
        <v/>
      </c>
      <c r="N2399" s="66" t="str">
        <f t="shared" si="263"/>
        <v/>
      </c>
      <c r="O2399" s="66" t="str">
        <f t="shared" si="264"/>
        <v/>
      </c>
      <c r="P2399" s="66" t="str">
        <f t="shared" si="265"/>
        <v/>
      </c>
    </row>
    <row r="2400" spans="8:16">
      <c r="H2400" s="66" t="e">
        <f>IF(LEFT(A2400,6)="CEPNTR","GPINS",VLOOKUP(LEFT(A2400,6),'Code Library'!$A$3:$B$920,2,0))&amp;"_"&amp;RIGHT(A2400,3)</f>
        <v>#N/A</v>
      </c>
      <c r="I2400" s="66">
        <f t="shared" si="259"/>
        <v>0</v>
      </c>
      <c r="K2400" s="66" t="str">
        <f t="shared" si="260"/>
        <v/>
      </c>
      <c r="L2400" s="66" t="str">
        <f t="shared" si="261"/>
        <v/>
      </c>
      <c r="M2400" s="66" t="str">
        <f t="shared" si="262"/>
        <v/>
      </c>
      <c r="N2400" s="66" t="str">
        <f t="shared" si="263"/>
        <v/>
      </c>
      <c r="O2400" s="66" t="str">
        <f t="shared" si="264"/>
        <v/>
      </c>
      <c r="P2400" s="66" t="str">
        <f t="shared" si="265"/>
        <v/>
      </c>
    </row>
    <row r="2401" spans="8:16">
      <c r="H2401" s="66" t="e">
        <f>IF(LEFT(A2401,6)="CEPNTR","GPINS",VLOOKUP(LEFT(A2401,6),'Code Library'!$A$3:$B$920,2,0))&amp;"_"&amp;RIGHT(A2401,3)</f>
        <v>#N/A</v>
      </c>
      <c r="I2401" s="66">
        <f t="shared" si="259"/>
        <v>0</v>
      </c>
      <c r="K2401" s="66" t="str">
        <f t="shared" si="260"/>
        <v/>
      </c>
      <c r="L2401" s="66" t="str">
        <f t="shared" si="261"/>
        <v/>
      </c>
      <c r="M2401" s="66" t="str">
        <f t="shared" si="262"/>
        <v/>
      </c>
      <c r="N2401" s="66" t="str">
        <f t="shared" si="263"/>
        <v/>
      </c>
      <c r="O2401" s="66" t="str">
        <f t="shared" si="264"/>
        <v/>
      </c>
      <c r="P2401" s="66" t="str">
        <f t="shared" si="265"/>
        <v/>
      </c>
    </row>
    <row r="2402" spans="8:16">
      <c r="H2402" s="66" t="e">
        <f>IF(LEFT(A2402,6)="CEPNTR","GPINS",VLOOKUP(LEFT(A2402,6),'Code Library'!$A$3:$B$920,2,0))&amp;"_"&amp;RIGHT(A2402,3)</f>
        <v>#N/A</v>
      </c>
      <c r="I2402" s="66">
        <f t="shared" si="259"/>
        <v>0</v>
      </c>
      <c r="K2402" s="66" t="str">
        <f t="shared" si="260"/>
        <v/>
      </c>
      <c r="L2402" s="66" t="str">
        <f t="shared" si="261"/>
        <v/>
      </c>
      <c r="M2402" s="66" t="str">
        <f t="shared" si="262"/>
        <v/>
      </c>
      <c r="N2402" s="66" t="str">
        <f t="shared" si="263"/>
        <v/>
      </c>
      <c r="O2402" s="66" t="str">
        <f t="shared" si="264"/>
        <v/>
      </c>
      <c r="P2402" s="66" t="str">
        <f t="shared" si="265"/>
        <v/>
      </c>
    </row>
    <row r="2403" spans="8:16">
      <c r="H2403" s="66" t="e">
        <f>IF(LEFT(A2403,6)="CEPNTR","GPINS",VLOOKUP(LEFT(A2403,6),'Code Library'!$A$3:$B$920,2,0))&amp;"_"&amp;RIGHT(A2403,3)</f>
        <v>#N/A</v>
      </c>
      <c r="I2403" s="66">
        <f t="shared" si="259"/>
        <v>0</v>
      </c>
      <c r="K2403" s="66" t="str">
        <f t="shared" si="260"/>
        <v/>
      </c>
      <c r="L2403" s="66" t="str">
        <f t="shared" si="261"/>
        <v/>
      </c>
      <c r="M2403" s="66" t="str">
        <f t="shared" si="262"/>
        <v/>
      </c>
      <c r="N2403" s="66" t="str">
        <f t="shared" si="263"/>
        <v/>
      </c>
      <c r="O2403" s="66" t="str">
        <f t="shared" si="264"/>
        <v/>
      </c>
      <c r="P2403" s="66" t="str">
        <f t="shared" si="265"/>
        <v/>
      </c>
    </row>
    <row r="2404" spans="8:16">
      <c r="H2404" s="66" t="e">
        <f>IF(LEFT(A2404,6)="CEPNTR","GPINS",VLOOKUP(LEFT(A2404,6),'Code Library'!$A$3:$B$920,2,0))&amp;"_"&amp;RIGHT(A2404,3)</f>
        <v>#N/A</v>
      </c>
      <c r="I2404" s="66">
        <f t="shared" si="259"/>
        <v>0</v>
      </c>
      <c r="K2404" s="66" t="str">
        <f t="shared" si="260"/>
        <v/>
      </c>
      <c r="L2404" s="66" t="str">
        <f t="shared" si="261"/>
        <v/>
      </c>
      <c r="M2404" s="66" t="str">
        <f t="shared" si="262"/>
        <v/>
      </c>
      <c r="N2404" s="66" t="str">
        <f t="shared" si="263"/>
        <v/>
      </c>
      <c r="O2404" s="66" t="str">
        <f t="shared" si="264"/>
        <v/>
      </c>
      <c r="P2404" s="66" t="str">
        <f t="shared" si="265"/>
        <v/>
      </c>
    </row>
    <row r="2405" spans="8:16">
      <c r="H2405" s="66" t="e">
        <f>IF(LEFT(A2405,6)="CEPNTR","GPINS",VLOOKUP(LEFT(A2405,6),'Code Library'!$A$3:$B$920,2,0))&amp;"_"&amp;RIGHT(A2405,3)</f>
        <v>#N/A</v>
      </c>
      <c r="I2405" s="66">
        <f t="shared" si="259"/>
        <v>0</v>
      </c>
      <c r="K2405" s="66" t="str">
        <f t="shared" si="260"/>
        <v/>
      </c>
      <c r="L2405" s="66" t="str">
        <f t="shared" si="261"/>
        <v/>
      </c>
      <c r="M2405" s="66" t="str">
        <f t="shared" si="262"/>
        <v/>
      </c>
      <c r="N2405" s="66" t="str">
        <f t="shared" si="263"/>
        <v/>
      </c>
      <c r="O2405" s="66" t="str">
        <f t="shared" si="264"/>
        <v/>
      </c>
      <c r="P2405" s="66" t="str">
        <f t="shared" si="265"/>
        <v/>
      </c>
    </row>
    <row r="2406" spans="8:16">
      <c r="H2406" s="66" t="e">
        <f>IF(LEFT(A2406,6)="CEPNTR","GPINS",VLOOKUP(LEFT(A2406,6),'Code Library'!$A$3:$B$920,2,0))&amp;"_"&amp;RIGHT(A2406,3)</f>
        <v>#N/A</v>
      </c>
      <c r="I2406" s="66">
        <f t="shared" si="259"/>
        <v>0</v>
      </c>
      <c r="K2406" s="66" t="str">
        <f t="shared" si="260"/>
        <v/>
      </c>
      <c r="L2406" s="66" t="str">
        <f t="shared" si="261"/>
        <v/>
      </c>
      <c r="M2406" s="66" t="str">
        <f t="shared" si="262"/>
        <v/>
      </c>
      <c r="N2406" s="66" t="str">
        <f t="shared" si="263"/>
        <v/>
      </c>
      <c r="O2406" s="66" t="str">
        <f t="shared" si="264"/>
        <v/>
      </c>
      <c r="P2406" s="66" t="str">
        <f t="shared" si="265"/>
        <v/>
      </c>
    </row>
    <row r="2407" spans="8:16">
      <c r="H2407" s="66" t="e">
        <f>IF(LEFT(A2407,6)="CEPNTR","GPINS",VLOOKUP(LEFT(A2407,6),'Code Library'!$A$3:$B$920,2,0))&amp;"_"&amp;RIGHT(A2407,3)</f>
        <v>#N/A</v>
      </c>
      <c r="I2407" s="66">
        <f t="shared" si="259"/>
        <v>0</v>
      </c>
      <c r="K2407" s="66" t="str">
        <f t="shared" si="260"/>
        <v/>
      </c>
      <c r="L2407" s="66" t="str">
        <f t="shared" si="261"/>
        <v/>
      </c>
      <c r="M2407" s="66" t="str">
        <f t="shared" si="262"/>
        <v/>
      </c>
      <c r="N2407" s="66" t="str">
        <f t="shared" si="263"/>
        <v/>
      </c>
      <c r="O2407" s="66" t="str">
        <f t="shared" si="264"/>
        <v/>
      </c>
      <c r="P2407" s="66" t="str">
        <f t="shared" si="265"/>
        <v/>
      </c>
    </row>
    <row r="2408" spans="8:16">
      <c r="H2408" s="66" t="e">
        <f>IF(LEFT(A2408,6)="CEPNTR","GPINS",VLOOKUP(LEFT(A2408,6),'Code Library'!$A$3:$B$920,2,0))&amp;"_"&amp;RIGHT(A2408,3)</f>
        <v>#N/A</v>
      </c>
      <c r="I2408" s="66">
        <f t="shared" si="259"/>
        <v>0</v>
      </c>
      <c r="K2408" s="66" t="str">
        <f t="shared" si="260"/>
        <v/>
      </c>
      <c r="L2408" s="66" t="str">
        <f t="shared" si="261"/>
        <v/>
      </c>
      <c r="M2408" s="66" t="str">
        <f t="shared" si="262"/>
        <v/>
      </c>
      <c r="N2408" s="66" t="str">
        <f t="shared" si="263"/>
        <v/>
      </c>
      <c r="O2408" s="66" t="str">
        <f t="shared" si="264"/>
        <v/>
      </c>
      <c r="P2408" s="66" t="str">
        <f t="shared" si="265"/>
        <v/>
      </c>
    </row>
    <row r="2409" spans="8:16">
      <c r="H2409" s="66" t="e">
        <f>IF(LEFT(A2409,6)="CEPNTR","GPINS",VLOOKUP(LEFT(A2409,6),'Code Library'!$A$3:$B$920,2,0))&amp;"_"&amp;RIGHT(A2409,3)</f>
        <v>#N/A</v>
      </c>
      <c r="I2409" s="66">
        <f t="shared" si="259"/>
        <v>0</v>
      </c>
      <c r="K2409" s="66" t="str">
        <f t="shared" si="260"/>
        <v/>
      </c>
      <c r="L2409" s="66" t="str">
        <f t="shared" si="261"/>
        <v/>
      </c>
      <c r="M2409" s="66" t="str">
        <f t="shared" si="262"/>
        <v/>
      </c>
      <c r="N2409" s="66" t="str">
        <f t="shared" si="263"/>
        <v/>
      </c>
      <c r="O2409" s="66" t="str">
        <f t="shared" si="264"/>
        <v/>
      </c>
      <c r="P2409" s="66" t="str">
        <f t="shared" si="265"/>
        <v/>
      </c>
    </row>
    <row r="2410" spans="8:16">
      <c r="H2410" s="66" t="e">
        <f>IF(LEFT(A2410,6)="CEPNTR","GPINS",VLOOKUP(LEFT(A2410,6),'Code Library'!$A$3:$B$920,2,0))&amp;"_"&amp;RIGHT(A2410,3)</f>
        <v>#N/A</v>
      </c>
      <c r="I2410" s="66">
        <f t="shared" si="259"/>
        <v>0</v>
      </c>
      <c r="K2410" s="66" t="str">
        <f t="shared" si="260"/>
        <v/>
      </c>
      <c r="L2410" s="66" t="str">
        <f t="shared" si="261"/>
        <v/>
      </c>
      <c r="M2410" s="66" t="str">
        <f t="shared" si="262"/>
        <v/>
      </c>
      <c r="N2410" s="66" t="str">
        <f t="shared" si="263"/>
        <v/>
      </c>
      <c r="O2410" s="66" t="str">
        <f t="shared" si="264"/>
        <v/>
      </c>
      <c r="P2410" s="66" t="str">
        <f t="shared" si="265"/>
        <v/>
      </c>
    </row>
    <row r="2411" spans="8:16">
      <c r="H2411" s="66" t="e">
        <f>IF(LEFT(A2411,6)="CEPNTR","GPINS",VLOOKUP(LEFT(A2411,6),'Code Library'!$A$3:$B$920,2,0))&amp;"_"&amp;RIGHT(A2411,3)</f>
        <v>#N/A</v>
      </c>
      <c r="I2411" s="66">
        <f t="shared" si="259"/>
        <v>0</v>
      </c>
      <c r="K2411" s="66" t="str">
        <f t="shared" si="260"/>
        <v/>
      </c>
      <c r="L2411" s="66" t="str">
        <f t="shared" si="261"/>
        <v/>
      </c>
      <c r="M2411" s="66" t="str">
        <f t="shared" si="262"/>
        <v/>
      </c>
      <c r="N2411" s="66" t="str">
        <f t="shared" si="263"/>
        <v/>
      </c>
      <c r="O2411" s="66" t="str">
        <f t="shared" si="264"/>
        <v/>
      </c>
      <c r="P2411" s="66" t="str">
        <f t="shared" si="265"/>
        <v/>
      </c>
    </row>
    <row r="2412" spans="8:16">
      <c r="H2412" s="66" t="e">
        <f>IF(LEFT(A2412,6)="CEPNTR","GPINS",VLOOKUP(LEFT(A2412,6),'Code Library'!$A$3:$B$920,2,0))&amp;"_"&amp;RIGHT(A2412,3)</f>
        <v>#N/A</v>
      </c>
      <c r="I2412" s="66">
        <f t="shared" si="259"/>
        <v>0</v>
      </c>
      <c r="K2412" s="66" t="str">
        <f t="shared" si="260"/>
        <v/>
      </c>
      <c r="L2412" s="66" t="str">
        <f t="shared" si="261"/>
        <v/>
      </c>
      <c r="M2412" s="66" t="str">
        <f t="shared" si="262"/>
        <v/>
      </c>
      <c r="N2412" s="66" t="str">
        <f t="shared" si="263"/>
        <v/>
      </c>
      <c r="O2412" s="66" t="str">
        <f t="shared" si="264"/>
        <v/>
      </c>
      <c r="P2412" s="66" t="str">
        <f t="shared" si="265"/>
        <v/>
      </c>
    </row>
    <row r="2413" spans="8:16">
      <c r="H2413" s="66" t="e">
        <f>IF(LEFT(A2413,6)="CEPNTR","GPINS",VLOOKUP(LEFT(A2413,6),'Code Library'!$A$3:$B$920,2,0))&amp;"_"&amp;RIGHT(A2413,3)</f>
        <v>#N/A</v>
      </c>
      <c r="I2413" s="66">
        <f t="shared" si="259"/>
        <v>0</v>
      </c>
      <c r="K2413" s="66" t="str">
        <f t="shared" si="260"/>
        <v/>
      </c>
      <c r="L2413" s="66" t="str">
        <f t="shared" si="261"/>
        <v/>
      </c>
      <c r="M2413" s="66" t="str">
        <f t="shared" si="262"/>
        <v/>
      </c>
      <c r="N2413" s="66" t="str">
        <f t="shared" si="263"/>
        <v/>
      </c>
      <c r="O2413" s="66" t="str">
        <f t="shared" si="264"/>
        <v/>
      </c>
      <c r="P2413" s="66" t="str">
        <f t="shared" si="265"/>
        <v/>
      </c>
    </row>
    <row r="2414" spans="8:16">
      <c r="H2414" s="66" t="e">
        <f>IF(LEFT(A2414,6)="CEPNTR","GPINS",VLOOKUP(LEFT(A2414,6),'Code Library'!$A$3:$B$920,2,0))&amp;"_"&amp;RIGHT(A2414,3)</f>
        <v>#N/A</v>
      </c>
      <c r="I2414" s="66">
        <f t="shared" si="259"/>
        <v>0</v>
      </c>
      <c r="K2414" s="66" t="str">
        <f t="shared" si="260"/>
        <v/>
      </c>
      <c r="L2414" s="66" t="str">
        <f t="shared" si="261"/>
        <v/>
      </c>
      <c r="M2414" s="66" t="str">
        <f t="shared" si="262"/>
        <v/>
      </c>
      <c r="N2414" s="66" t="str">
        <f t="shared" si="263"/>
        <v/>
      </c>
      <c r="O2414" s="66" t="str">
        <f t="shared" si="264"/>
        <v/>
      </c>
      <c r="P2414" s="66" t="str">
        <f t="shared" si="265"/>
        <v/>
      </c>
    </row>
    <row r="2415" spans="8:16">
      <c r="H2415" s="66" t="e">
        <f>IF(LEFT(A2415,6)="CEPNTR","GPINS",VLOOKUP(LEFT(A2415,6),'Code Library'!$A$3:$B$920,2,0))&amp;"_"&amp;RIGHT(A2415,3)</f>
        <v>#N/A</v>
      </c>
      <c r="I2415" s="66">
        <f t="shared" si="259"/>
        <v>0</v>
      </c>
      <c r="K2415" s="66" t="str">
        <f t="shared" si="260"/>
        <v/>
      </c>
      <c r="L2415" s="66" t="str">
        <f t="shared" si="261"/>
        <v/>
      </c>
      <c r="M2415" s="66" t="str">
        <f t="shared" si="262"/>
        <v/>
      </c>
      <c r="N2415" s="66" t="str">
        <f t="shared" si="263"/>
        <v/>
      </c>
      <c r="O2415" s="66" t="str">
        <f t="shared" si="264"/>
        <v/>
      </c>
      <c r="P2415" s="66" t="str">
        <f t="shared" si="265"/>
        <v/>
      </c>
    </row>
    <row r="2416" spans="8:16">
      <c r="H2416" s="66" t="e">
        <f>IF(LEFT(A2416,6)="CEPNTR","GPINS",VLOOKUP(LEFT(A2416,6),'Code Library'!$A$3:$B$920,2,0))&amp;"_"&amp;RIGHT(A2416,3)</f>
        <v>#N/A</v>
      </c>
      <c r="I2416" s="66">
        <f t="shared" si="259"/>
        <v>0</v>
      </c>
      <c r="K2416" s="66" t="str">
        <f t="shared" si="260"/>
        <v/>
      </c>
      <c r="L2416" s="66" t="str">
        <f t="shared" si="261"/>
        <v/>
      </c>
      <c r="M2416" s="66" t="str">
        <f t="shared" si="262"/>
        <v/>
      </c>
      <c r="N2416" s="66" t="str">
        <f t="shared" si="263"/>
        <v/>
      </c>
      <c r="O2416" s="66" t="str">
        <f t="shared" si="264"/>
        <v/>
      </c>
      <c r="P2416" s="66" t="str">
        <f t="shared" si="265"/>
        <v/>
      </c>
    </row>
    <row r="2417" spans="8:16">
      <c r="H2417" s="66" t="e">
        <f>IF(LEFT(A2417,6)="CEPNTR","GPINS",VLOOKUP(LEFT(A2417,6),'Code Library'!$A$3:$B$920,2,0))&amp;"_"&amp;RIGHT(A2417,3)</f>
        <v>#N/A</v>
      </c>
      <c r="I2417" s="66">
        <f t="shared" si="259"/>
        <v>0</v>
      </c>
      <c r="K2417" s="66" t="str">
        <f t="shared" si="260"/>
        <v/>
      </c>
      <c r="L2417" s="66" t="str">
        <f t="shared" si="261"/>
        <v/>
      </c>
      <c r="M2417" s="66" t="str">
        <f t="shared" si="262"/>
        <v/>
      </c>
      <c r="N2417" s="66" t="str">
        <f t="shared" si="263"/>
        <v/>
      </c>
      <c r="O2417" s="66" t="str">
        <f t="shared" si="264"/>
        <v/>
      </c>
      <c r="P2417" s="66" t="str">
        <f t="shared" si="265"/>
        <v/>
      </c>
    </row>
    <row r="2418" spans="8:16">
      <c r="H2418" s="66" t="e">
        <f>IF(LEFT(A2418,6)="CEPNTR","GPINS",VLOOKUP(LEFT(A2418,6),'Code Library'!$A$3:$B$920,2,0))&amp;"_"&amp;RIGHT(A2418,3)</f>
        <v>#N/A</v>
      </c>
      <c r="I2418" s="66">
        <f t="shared" si="259"/>
        <v>0</v>
      </c>
      <c r="K2418" s="66" t="str">
        <f t="shared" si="260"/>
        <v/>
      </c>
      <c r="L2418" s="66" t="str">
        <f t="shared" si="261"/>
        <v/>
      </c>
      <c r="M2418" s="66" t="str">
        <f t="shared" si="262"/>
        <v/>
      </c>
      <c r="N2418" s="66" t="str">
        <f t="shared" si="263"/>
        <v/>
      </c>
      <c r="O2418" s="66" t="str">
        <f t="shared" si="264"/>
        <v/>
      </c>
      <c r="P2418" s="66" t="str">
        <f t="shared" si="265"/>
        <v/>
      </c>
    </row>
    <row r="2419" spans="8:16">
      <c r="H2419" s="66" t="e">
        <f>IF(LEFT(A2419,6)="CEPNTR","GPINS",VLOOKUP(LEFT(A2419,6),'Code Library'!$A$3:$B$920,2,0))&amp;"_"&amp;RIGHT(A2419,3)</f>
        <v>#N/A</v>
      </c>
      <c r="I2419" s="66">
        <f t="shared" si="259"/>
        <v>0</v>
      </c>
      <c r="K2419" s="66" t="str">
        <f t="shared" si="260"/>
        <v/>
      </c>
      <c r="L2419" s="66" t="str">
        <f t="shared" si="261"/>
        <v/>
      </c>
      <c r="M2419" s="66" t="str">
        <f t="shared" si="262"/>
        <v/>
      </c>
      <c r="N2419" s="66" t="str">
        <f t="shared" si="263"/>
        <v/>
      </c>
      <c r="O2419" s="66" t="str">
        <f t="shared" si="264"/>
        <v/>
      </c>
      <c r="P2419" s="66" t="str">
        <f t="shared" si="265"/>
        <v/>
      </c>
    </row>
    <row r="2420" spans="8:16">
      <c r="H2420" s="66" t="e">
        <f>IF(LEFT(A2420,6)="CEPNTR","GPINS",VLOOKUP(LEFT(A2420,6),'Code Library'!$A$3:$B$920,2,0))&amp;"_"&amp;RIGHT(A2420,3)</f>
        <v>#N/A</v>
      </c>
      <c r="I2420" s="66">
        <f t="shared" si="259"/>
        <v>0</v>
      </c>
      <c r="K2420" s="66" t="str">
        <f t="shared" si="260"/>
        <v/>
      </c>
      <c r="L2420" s="66" t="str">
        <f t="shared" si="261"/>
        <v/>
      </c>
      <c r="M2420" s="66" t="str">
        <f t="shared" si="262"/>
        <v/>
      </c>
      <c r="N2420" s="66" t="str">
        <f t="shared" si="263"/>
        <v/>
      </c>
      <c r="O2420" s="66" t="str">
        <f t="shared" si="264"/>
        <v/>
      </c>
      <c r="P2420" s="66" t="str">
        <f t="shared" si="265"/>
        <v/>
      </c>
    </row>
    <row r="2421" spans="8:16">
      <c r="H2421" s="66" t="e">
        <f>IF(LEFT(A2421,6)="CEPNTR","GPINS",VLOOKUP(LEFT(A2421,6),'Code Library'!$A$3:$B$920,2,0))&amp;"_"&amp;RIGHT(A2421,3)</f>
        <v>#N/A</v>
      </c>
      <c r="I2421" s="66">
        <f t="shared" si="259"/>
        <v>0</v>
      </c>
      <c r="K2421" s="66" t="str">
        <f t="shared" si="260"/>
        <v/>
      </c>
      <c r="L2421" s="66" t="str">
        <f t="shared" si="261"/>
        <v/>
      </c>
      <c r="M2421" s="66" t="str">
        <f t="shared" si="262"/>
        <v/>
      </c>
      <c r="N2421" s="66" t="str">
        <f t="shared" si="263"/>
        <v/>
      </c>
      <c r="O2421" s="66" t="str">
        <f t="shared" si="264"/>
        <v/>
      </c>
      <c r="P2421" s="66" t="str">
        <f t="shared" si="265"/>
        <v/>
      </c>
    </row>
    <row r="2422" spans="8:16">
      <c r="H2422" s="66" t="e">
        <f>IF(LEFT(A2422,6)="CEPNTR","GPINS",VLOOKUP(LEFT(A2422,6),'Code Library'!$A$3:$B$920,2,0))&amp;"_"&amp;RIGHT(A2422,3)</f>
        <v>#N/A</v>
      </c>
      <c r="I2422" s="66">
        <f t="shared" si="259"/>
        <v>0</v>
      </c>
      <c r="K2422" s="66" t="str">
        <f t="shared" si="260"/>
        <v/>
      </c>
      <c r="L2422" s="66" t="str">
        <f t="shared" si="261"/>
        <v/>
      </c>
      <c r="M2422" s="66" t="str">
        <f t="shared" si="262"/>
        <v/>
      </c>
      <c r="N2422" s="66" t="str">
        <f t="shared" si="263"/>
        <v/>
      </c>
      <c r="O2422" s="66" t="str">
        <f t="shared" si="264"/>
        <v/>
      </c>
      <c r="P2422" s="66" t="str">
        <f t="shared" si="265"/>
        <v/>
      </c>
    </row>
    <row r="2423" spans="8:16">
      <c r="H2423" s="66" t="e">
        <f>IF(LEFT(A2423,6)="CEPNTR","GPINS",VLOOKUP(LEFT(A2423,6),'Code Library'!$A$3:$B$920,2,0))&amp;"_"&amp;RIGHT(A2423,3)</f>
        <v>#N/A</v>
      </c>
      <c r="I2423" s="66">
        <f t="shared" si="259"/>
        <v>0</v>
      </c>
      <c r="K2423" s="66" t="str">
        <f t="shared" si="260"/>
        <v/>
      </c>
      <c r="L2423" s="66" t="str">
        <f t="shared" si="261"/>
        <v/>
      </c>
      <c r="M2423" s="66" t="str">
        <f t="shared" si="262"/>
        <v/>
      </c>
      <c r="N2423" s="66" t="str">
        <f t="shared" si="263"/>
        <v/>
      </c>
      <c r="O2423" s="66" t="str">
        <f t="shared" si="264"/>
        <v/>
      </c>
      <c r="P2423" s="66" t="str">
        <f t="shared" si="265"/>
        <v/>
      </c>
    </row>
    <row r="2424" spans="8:16">
      <c r="H2424" s="66" t="e">
        <f>IF(LEFT(A2424,6)="CEPNTR","GPINS",VLOOKUP(LEFT(A2424,6),'Code Library'!$A$3:$B$920,2,0))&amp;"_"&amp;RIGHT(A2424,3)</f>
        <v>#N/A</v>
      </c>
      <c r="I2424" s="66">
        <f t="shared" si="259"/>
        <v>0</v>
      </c>
      <c r="K2424" s="66" t="str">
        <f t="shared" si="260"/>
        <v/>
      </c>
      <c r="L2424" s="66" t="str">
        <f t="shared" si="261"/>
        <v/>
      </c>
      <c r="M2424" s="66" t="str">
        <f t="shared" si="262"/>
        <v/>
      </c>
      <c r="N2424" s="66" t="str">
        <f t="shared" si="263"/>
        <v/>
      </c>
      <c r="O2424" s="66" t="str">
        <f t="shared" si="264"/>
        <v/>
      </c>
      <c r="P2424" s="66" t="str">
        <f t="shared" si="265"/>
        <v/>
      </c>
    </row>
    <row r="2425" spans="8:16">
      <c r="H2425" s="66" t="e">
        <f>IF(LEFT(A2425,6)="CEPNTR","GPINS",VLOOKUP(LEFT(A2425,6),'Code Library'!$A$3:$B$920,2,0))&amp;"_"&amp;RIGHT(A2425,3)</f>
        <v>#N/A</v>
      </c>
      <c r="I2425" s="66">
        <f t="shared" si="259"/>
        <v>0</v>
      </c>
      <c r="K2425" s="66" t="str">
        <f t="shared" si="260"/>
        <v/>
      </c>
      <c r="L2425" s="66" t="str">
        <f t="shared" si="261"/>
        <v/>
      </c>
      <c r="M2425" s="66" t="str">
        <f t="shared" si="262"/>
        <v/>
      </c>
      <c r="N2425" s="66" t="str">
        <f t="shared" si="263"/>
        <v/>
      </c>
      <c r="O2425" s="66" t="str">
        <f t="shared" si="264"/>
        <v/>
      </c>
      <c r="P2425" s="66" t="str">
        <f t="shared" si="265"/>
        <v/>
      </c>
    </row>
    <row r="2426" spans="8:16">
      <c r="H2426" s="66" t="e">
        <f>IF(LEFT(A2426,6)="CEPNTR","GPINS",VLOOKUP(LEFT(A2426,6),'Code Library'!$A$3:$B$920,2,0))&amp;"_"&amp;RIGHT(A2426,3)</f>
        <v>#N/A</v>
      </c>
      <c r="I2426" s="66">
        <f t="shared" si="259"/>
        <v>0</v>
      </c>
      <c r="K2426" s="66" t="str">
        <f t="shared" si="260"/>
        <v/>
      </c>
      <c r="L2426" s="66" t="str">
        <f t="shared" si="261"/>
        <v/>
      </c>
      <c r="M2426" s="66" t="str">
        <f t="shared" si="262"/>
        <v/>
      </c>
      <c r="N2426" s="66" t="str">
        <f t="shared" si="263"/>
        <v/>
      </c>
      <c r="O2426" s="66" t="str">
        <f t="shared" si="264"/>
        <v/>
      </c>
      <c r="P2426" s="66" t="str">
        <f t="shared" si="265"/>
        <v/>
      </c>
    </row>
    <row r="2427" spans="8:16">
      <c r="H2427" s="66" t="e">
        <f>IF(LEFT(A2427,6)="CEPNTR","GPINS",VLOOKUP(LEFT(A2427,6),'Code Library'!$A$3:$B$920,2,0))&amp;"_"&amp;RIGHT(A2427,3)</f>
        <v>#N/A</v>
      </c>
      <c r="I2427" s="66">
        <f t="shared" si="259"/>
        <v>0</v>
      </c>
      <c r="K2427" s="66" t="str">
        <f t="shared" si="260"/>
        <v/>
      </c>
      <c r="L2427" s="66" t="str">
        <f t="shared" si="261"/>
        <v/>
      </c>
      <c r="M2427" s="66" t="str">
        <f t="shared" si="262"/>
        <v/>
      </c>
      <c r="N2427" s="66" t="str">
        <f t="shared" si="263"/>
        <v/>
      </c>
      <c r="O2427" s="66" t="str">
        <f t="shared" si="264"/>
        <v/>
      </c>
      <c r="P2427" s="66" t="str">
        <f t="shared" si="265"/>
        <v/>
      </c>
    </row>
    <row r="2428" spans="8:16">
      <c r="H2428" s="66" t="e">
        <f>IF(LEFT(A2428,6)="CEPNTR","GPINS",VLOOKUP(LEFT(A2428,6),'Code Library'!$A$3:$B$920,2,0))&amp;"_"&amp;RIGHT(A2428,3)</f>
        <v>#N/A</v>
      </c>
      <c r="I2428" s="66">
        <f t="shared" si="259"/>
        <v>0</v>
      </c>
      <c r="K2428" s="66" t="str">
        <f t="shared" si="260"/>
        <v/>
      </c>
      <c r="L2428" s="66" t="str">
        <f t="shared" si="261"/>
        <v/>
      </c>
      <c r="M2428" s="66" t="str">
        <f t="shared" si="262"/>
        <v/>
      </c>
      <c r="N2428" s="66" t="str">
        <f t="shared" si="263"/>
        <v/>
      </c>
      <c r="O2428" s="66" t="str">
        <f t="shared" si="264"/>
        <v/>
      </c>
      <c r="P2428" s="66" t="str">
        <f t="shared" si="265"/>
        <v/>
      </c>
    </row>
    <row r="2429" spans="8:16">
      <c r="H2429" s="66" t="e">
        <f>IF(LEFT(A2429,6)="CEPNTR","GPINS",VLOOKUP(LEFT(A2429,6),'Code Library'!$A$3:$B$920,2,0))&amp;"_"&amp;RIGHT(A2429,3)</f>
        <v>#N/A</v>
      </c>
      <c r="I2429" s="66">
        <f t="shared" si="259"/>
        <v>0</v>
      </c>
      <c r="K2429" s="66" t="str">
        <f t="shared" si="260"/>
        <v/>
      </c>
      <c r="L2429" s="66" t="str">
        <f t="shared" si="261"/>
        <v/>
      </c>
      <c r="M2429" s="66" t="str">
        <f t="shared" si="262"/>
        <v/>
      </c>
      <c r="N2429" s="66" t="str">
        <f t="shared" si="263"/>
        <v/>
      </c>
      <c r="O2429" s="66" t="str">
        <f t="shared" si="264"/>
        <v/>
      </c>
      <c r="P2429" s="66" t="str">
        <f t="shared" si="265"/>
        <v/>
      </c>
    </row>
    <row r="2430" spans="8:16">
      <c r="H2430" s="66" t="e">
        <f>IF(LEFT(A2430,6)="CEPNTR","GPINS",VLOOKUP(LEFT(A2430,6),'Code Library'!$A$3:$B$920,2,0))&amp;"_"&amp;RIGHT(A2430,3)</f>
        <v>#N/A</v>
      </c>
      <c r="I2430" s="66">
        <f t="shared" si="259"/>
        <v>0</v>
      </c>
      <c r="K2430" s="66" t="str">
        <f t="shared" si="260"/>
        <v/>
      </c>
      <c r="L2430" s="66" t="str">
        <f t="shared" si="261"/>
        <v/>
      </c>
      <c r="M2430" s="66" t="str">
        <f t="shared" si="262"/>
        <v/>
      </c>
      <c r="N2430" s="66" t="str">
        <f t="shared" si="263"/>
        <v/>
      </c>
      <c r="O2430" s="66" t="str">
        <f t="shared" si="264"/>
        <v/>
      </c>
      <c r="P2430" s="66" t="str">
        <f t="shared" si="265"/>
        <v/>
      </c>
    </row>
    <row r="2431" spans="8:16">
      <c r="H2431" s="66" t="e">
        <f>IF(LEFT(A2431,6)="CEPNTR","GPINS",VLOOKUP(LEFT(A2431,6),'Code Library'!$A$3:$B$920,2,0))&amp;"_"&amp;RIGHT(A2431,3)</f>
        <v>#N/A</v>
      </c>
      <c r="I2431" s="66">
        <f t="shared" si="259"/>
        <v>0</v>
      </c>
      <c r="K2431" s="66" t="str">
        <f t="shared" si="260"/>
        <v/>
      </c>
      <c r="L2431" s="66" t="str">
        <f t="shared" si="261"/>
        <v/>
      </c>
      <c r="M2431" s="66" t="str">
        <f t="shared" si="262"/>
        <v/>
      </c>
      <c r="N2431" s="66" t="str">
        <f t="shared" si="263"/>
        <v/>
      </c>
      <c r="O2431" s="66" t="str">
        <f t="shared" si="264"/>
        <v/>
      </c>
      <c r="P2431" s="66" t="str">
        <f t="shared" si="265"/>
        <v/>
      </c>
    </row>
    <row r="2432" spans="8:16">
      <c r="H2432" s="66" t="e">
        <f>IF(LEFT(A2432,6)="CEPNTR","GPINS",VLOOKUP(LEFT(A2432,6),'Code Library'!$A$3:$B$920,2,0))&amp;"_"&amp;RIGHT(A2432,3)</f>
        <v>#N/A</v>
      </c>
      <c r="I2432" s="66">
        <f t="shared" si="259"/>
        <v>0</v>
      </c>
      <c r="K2432" s="66" t="str">
        <f t="shared" si="260"/>
        <v/>
      </c>
      <c r="L2432" s="66" t="str">
        <f t="shared" si="261"/>
        <v/>
      </c>
      <c r="M2432" s="66" t="str">
        <f t="shared" si="262"/>
        <v/>
      </c>
      <c r="N2432" s="66" t="str">
        <f t="shared" si="263"/>
        <v/>
      </c>
      <c r="O2432" s="66" t="str">
        <f t="shared" si="264"/>
        <v/>
      </c>
      <c r="P2432" s="66" t="str">
        <f t="shared" si="265"/>
        <v/>
      </c>
    </row>
    <row r="2433" spans="8:16">
      <c r="H2433" s="66" t="e">
        <f>IF(LEFT(A2433,6)="CEPNTR","GPINS",VLOOKUP(LEFT(A2433,6),'Code Library'!$A$3:$B$920,2,0))&amp;"_"&amp;RIGHT(A2433,3)</f>
        <v>#N/A</v>
      </c>
      <c r="I2433" s="66">
        <f t="shared" si="259"/>
        <v>0</v>
      </c>
      <c r="K2433" s="66" t="str">
        <f t="shared" si="260"/>
        <v/>
      </c>
      <c r="L2433" s="66" t="str">
        <f t="shared" si="261"/>
        <v/>
      </c>
      <c r="M2433" s="66" t="str">
        <f t="shared" si="262"/>
        <v/>
      </c>
      <c r="N2433" s="66" t="str">
        <f t="shared" si="263"/>
        <v/>
      </c>
      <c r="O2433" s="66" t="str">
        <f t="shared" si="264"/>
        <v/>
      </c>
      <c r="P2433" s="66" t="str">
        <f t="shared" si="265"/>
        <v/>
      </c>
    </row>
    <row r="2434" spans="8:16">
      <c r="H2434" s="66" t="e">
        <f>IF(LEFT(A2434,6)="CEPNTR","GPINS",VLOOKUP(LEFT(A2434,6),'Code Library'!$A$3:$B$920,2,0))&amp;"_"&amp;RIGHT(A2434,3)</f>
        <v>#N/A</v>
      </c>
      <c r="I2434" s="66">
        <f t="shared" si="259"/>
        <v>0</v>
      </c>
      <c r="K2434" s="66" t="str">
        <f t="shared" si="260"/>
        <v/>
      </c>
      <c r="L2434" s="66" t="str">
        <f t="shared" si="261"/>
        <v/>
      </c>
      <c r="M2434" s="66" t="str">
        <f t="shared" si="262"/>
        <v/>
      </c>
      <c r="N2434" s="66" t="str">
        <f t="shared" si="263"/>
        <v/>
      </c>
      <c r="O2434" s="66" t="str">
        <f t="shared" si="264"/>
        <v/>
      </c>
      <c r="P2434" s="66" t="str">
        <f t="shared" si="265"/>
        <v/>
      </c>
    </row>
    <row r="2435" spans="8:16">
      <c r="H2435" s="66" t="e">
        <f>IF(LEFT(A2435,6)="CEPNTR","GPINS",VLOOKUP(LEFT(A2435,6),'Code Library'!$A$3:$B$920,2,0))&amp;"_"&amp;RIGHT(A2435,3)</f>
        <v>#N/A</v>
      </c>
      <c r="I2435" s="66">
        <f t="shared" ref="I2435:I2498" si="266">A2435</f>
        <v>0</v>
      </c>
      <c r="K2435" s="66" t="str">
        <f t="shared" ref="K2435:K2498" si="267">RIGHT($B2435,2)</f>
        <v/>
      </c>
      <c r="L2435" s="66" t="str">
        <f t="shared" ref="L2435:L2498" si="268">LEFT(RIGHT($B2435,7),4)</f>
        <v/>
      </c>
      <c r="M2435" s="66" t="str">
        <f t="shared" ref="M2435:M2498" si="269">LEFT(RIGHT($B2435,10),2)</f>
        <v/>
      </c>
      <c r="N2435" s="66" t="str">
        <f t="shared" ref="N2435:N2498" si="270">LEFT(RIGHT($B2435,14),3)</f>
        <v/>
      </c>
      <c r="O2435" s="66" t="str">
        <f t="shared" ref="O2435:O2498" si="271">LEFT(RIGHT($B2435,16),1)</f>
        <v/>
      </c>
      <c r="P2435" s="66" t="str">
        <f t="shared" ref="P2435:P2498" si="272">LEFT(RIGHT($B2435,19),2)</f>
        <v/>
      </c>
    </row>
    <row r="2436" spans="8:16">
      <c r="H2436" s="66" t="e">
        <f>IF(LEFT(A2436,6)="CEPNTR","GPINS",VLOOKUP(LEFT(A2436,6),'Code Library'!$A$3:$B$920,2,0))&amp;"_"&amp;RIGHT(A2436,3)</f>
        <v>#N/A</v>
      </c>
      <c r="I2436" s="66">
        <f t="shared" si="266"/>
        <v>0</v>
      </c>
      <c r="K2436" s="66" t="str">
        <f t="shared" si="267"/>
        <v/>
      </c>
      <c r="L2436" s="66" t="str">
        <f t="shared" si="268"/>
        <v/>
      </c>
      <c r="M2436" s="66" t="str">
        <f t="shared" si="269"/>
        <v/>
      </c>
      <c r="N2436" s="66" t="str">
        <f t="shared" si="270"/>
        <v/>
      </c>
      <c r="O2436" s="66" t="str">
        <f t="shared" si="271"/>
        <v/>
      </c>
      <c r="P2436" s="66" t="str">
        <f t="shared" si="272"/>
        <v/>
      </c>
    </row>
    <row r="2437" spans="8:16">
      <c r="H2437" s="66" t="e">
        <f>IF(LEFT(A2437,6)="CEPNTR","GPINS",VLOOKUP(LEFT(A2437,6),'Code Library'!$A$3:$B$920,2,0))&amp;"_"&amp;RIGHT(A2437,3)</f>
        <v>#N/A</v>
      </c>
      <c r="I2437" s="66">
        <f t="shared" si="266"/>
        <v>0</v>
      </c>
      <c r="K2437" s="66" t="str">
        <f t="shared" si="267"/>
        <v/>
      </c>
      <c r="L2437" s="66" t="str">
        <f t="shared" si="268"/>
        <v/>
      </c>
      <c r="M2437" s="66" t="str">
        <f t="shared" si="269"/>
        <v/>
      </c>
      <c r="N2437" s="66" t="str">
        <f t="shared" si="270"/>
        <v/>
      </c>
      <c r="O2437" s="66" t="str">
        <f t="shared" si="271"/>
        <v/>
      </c>
      <c r="P2437" s="66" t="str">
        <f t="shared" si="272"/>
        <v/>
      </c>
    </row>
    <row r="2438" spans="8:16">
      <c r="H2438" s="66" t="e">
        <f>IF(LEFT(A2438,6)="CEPNTR","GPINS",VLOOKUP(LEFT(A2438,6),'Code Library'!$A$3:$B$920,2,0))&amp;"_"&amp;RIGHT(A2438,3)</f>
        <v>#N/A</v>
      </c>
      <c r="I2438" s="66">
        <f t="shared" si="266"/>
        <v>0</v>
      </c>
      <c r="K2438" s="66" t="str">
        <f t="shared" si="267"/>
        <v/>
      </c>
      <c r="L2438" s="66" t="str">
        <f t="shared" si="268"/>
        <v/>
      </c>
      <c r="M2438" s="66" t="str">
        <f t="shared" si="269"/>
        <v/>
      </c>
      <c r="N2438" s="66" t="str">
        <f t="shared" si="270"/>
        <v/>
      </c>
      <c r="O2438" s="66" t="str">
        <f t="shared" si="271"/>
        <v/>
      </c>
      <c r="P2438" s="66" t="str">
        <f t="shared" si="272"/>
        <v/>
      </c>
    </row>
    <row r="2439" spans="8:16">
      <c r="H2439" s="66" t="e">
        <f>IF(LEFT(A2439,6)="CEPNTR","GPINS",VLOOKUP(LEFT(A2439,6),'Code Library'!$A$3:$B$920,2,0))&amp;"_"&amp;RIGHT(A2439,3)</f>
        <v>#N/A</v>
      </c>
      <c r="I2439" s="66">
        <f t="shared" si="266"/>
        <v>0</v>
      </c>
      <c r="K2439" s="66" t="str">
        <f t="shared" si="267"/>
        <v/>
      </c>
      <c r="L2439" s="66" t="str">
        <f t="shared" si="268"/>
        <v/>
      </c>
      <c r="M2439" s="66" t="str">
        <f t="shared" si="269"/>
        <v/>
      </c>
      <c r="N2439" s="66" t="str">
        <f t="shared" si="270"/>
        <v/>
      </c>
      <c r="O2439" s="66" t="str">
        <f t="shared" si="271"/>
        <v/>
      </c>
      <c r="P2439" s="66" t="str">
        <f t="shared" si="272"/>
        <v/>
      </c>
    </row>
    <row r="2440" spans="8:16">
      <c r="H2440" s="66" t="e">
        <f>IF(LEFT(A2440,6)="CEPNTR","GPINS",VLOOKUP(LEFT(A2440,6),'Code Library'!$A$3:$B$920,2,0))&amp;"_"&amp;RIGHT(A2440,3)</f>
        <v>#N/A</v>
      </c>
      <c r="I2440" s="66">
        <f t="shared" si="266"/>
        <v>0</v>
      </c>
      <c r="K2440" s="66" t="str">
        <f t="shared" si="267"/>
        <v/>
      </c>
      <c r="L2440" s="66" t="str">
        <f t="shared" si="268"/>
        <v/>
      </c>
      <c r="M2440" s="66" t="str">
        <f t="shared" si="269"/>
        <v/>
      </c>
      <c r="N2440" s="66" t="str">
        <f t="shared" si="270"/>
        <v/>
      </c>
      <c r="O2440" s="66" t="str">
        <f t="shared" si="271"/>
        <v/>
      </c>
      <c r="P2440" s="66" t="str">
        <f t="shared" si="272"/>
        <v/>
      </c>
    </row>
    <row r="2441" spans="8:16">
      <c r="H2441" s="66" t="e">
        <f>IF(LEFT(A2441,6)="CEPNTR","GPINS",VLOOKUP(LEFT(A2441,6),'Code Library'!$A$3:$B$920,2,0))&amp;"_"&amp;RIGHT(A2441,3)</f>
        <v>#N/A</v>
      </c>
      <c r="I2441" s="66">
        <f t="shared" si="266"/>
        <v>0</v>
      </c>
      <c r="K2441" s="66" t="str">
        <f t="shared" si="267"/>
        <v/>
      </c>
      <c r="L2441" s="66" t="str">
        <f t="shared" si="268"/>
        <v/>
      </c>
      <c r="M2441" s="66" t="str">
        <f t="shared" si="269"/>
        <v/>
      </c>
      <c r="N2441" s="66" t="str">
        <f t="shared" si="270"/>
        <v/>
      </c>
      <c r="O2441" s="66" t="str">
        <f t="shared" si="271"/>
        <v/>
      </c>
      <c r="P2441" s="66" t="str">
        <f t="shared" si="272"/>
        <v/>
      </c>
    </row>
    <row r="2442" spans="8:16">
      <c r="H2442" s="66" t="e">
        <f>IF(LEFT(A2442,6)="CEPNTR","GPINS",VLOOKUP(LEFT(A2442,6),'Code Library'!$A$3:$B$920,2,0))&amp;"_"&amp;RIGHT(A2442,3)</f>
        <v>#N/A</v>
      </c>
      <c r="I2442" s="66">
        <f t="shared" si="266"/>
        <v>0</v>
      </c>
      <c r="K2442" s="66" t="str">
        <f t="shared" si="267"/>
        <v/>
      </c>
      <c r="L2442" s="66" t="str">
        <f t="shared" si="268"/>
        <v/>
      </c>
      <c r="M2442" s="66" t="str">
        <f t="shared" si="269"/>
        <v/>
      </c>
      <c r="N2442" s="66" t="str">
        <f t="shared" si="270"/>
        <v/>
      </c>
      <c r="O2442" s="66" t="str">
        <f t="shared" si="271"/>
        <v/>
      </c>
      <c r="P2442" s="66" t="str">
        <f t="shared" si="272"/>
        <v/>
      </c>
    </row>
    <row r="2443" spans="8:16">
      <c r="H2443" s="66" t="e">
        <f>IF(LEFT(A2443,6)="CEPNTR","GPINS",VLOOKUP(LEFT(A2443,6),'Code Library'!$A$3:$B$920,2,0))&amp;"_"&amp;RIGHT(A2443,3)</f>
        <v>#N/A</v>
      </c>
      <c r="I2443" s="66">
        <f t="shared" si="266"/>
        <v>0</v>
      </c>
      <c r="K2443" s="66" t="str">
        <f t="shared" si="267"/>
        <v/>
      </c>
      <c r="L2443" s="66" t="str">
        <f t="shared" si="268"/>
        <v/>
      </c>
      <c r="M2443" s="66" t="str">
        <f t="shared" si="269"/>
        <v/>
      </c>
      <c r="N2443" s="66" t="str">
        <f t="shared" si="270"/>
        <v/>
      </c>
      <c r="O2443" s="66" t="str">
        <f t="shared" si="271"/>
        <v/>
      </c>
      <c r="P2443" s="66" t="str">
        <f t="shared" si="272"/>
        <v/>
      </c>
    </row>
    <row r="2444" spans="8:16">
      <c r="H2444" s="66" t="e">
        <f>IF(LEFT(A2444,6)="CEPNTR","GPINS",VLOOKUP(LEFT(A2444,6),'Code Library'!$A$3:$B$920,2,0))&amp;"_"&amp;RIGHT(A2444,3)</f>
        <v>#N/A</v>
      </c>
      <c r="I2444" s="66">
        <f t="shared" si="266"/>
        <v>0</v>
      </c>
      <c r="K2444" s="66" t="str">
        <f t="shared" si="267"/>
        <v/>
      </c>
      <c r="L2444" s="66" t="str">
        <f t="shared" si="268"/>
        <v/>
      </c>
      <c r="M2444" s="66" t="str">
        <f t="shared" si="269"/>
        <v/>
      </c>
      <c r="N2444" s="66" t="str">
        <f t="shared" si="270"/>
        <v/>
      </c>
      <c r="O2444" s="66" t="str">
        <f t="shared" si="271"/>
        <v/>
      </c>
      <c r="P2444" s="66" t="str">
        <f t="shared" si="272"/>
        <v/>
      </c>
    </row>
    <row r="2445" spans="8:16">
      <c r="H2445" s="66" t="e">
        <f>IF(LEFT(A2445,6)="CEPNTR","GPINS",VLOOKUP(LEFT(A2445,6),'Code Library'!$A$3:$B$920,2,0))&amp;"_"&amp;RIGHT(A2445,3)</f>
        <v>#N/A</v>
      </c>
      <c r="I2445" s="66">
        <f t="shared" si="266"/>
        <v>0</v>
      </c>
      <c r="K2445" s="66" t="str">
        <f t="shared" si="267"/>
        <v/>
      </c>
      <c r="L2445" s="66" t="str">
        <f t="shared" si="268"/>
        <v/>
      </c>
      <c r="M2445" s="66" t="str">
        <f t="shared" si="269"/>
        <v/>
      </c>
      <c r="N2445" s="66" t="str">
        <f t="shared" si="270"/>
        <v/>
      </c>
      <c r="O2445" s="66" t="str">
        <f t="shared" si="271"/>
        <v/>
      </c>
      <c r="P2445" s="66" t="str">
        <f t="shared" si="272"/>
        <v/>
      </c>
    </row>
    <row r="2446" spans="8:16">
      <c r="H2446" s="66" t="e">
        <f>IF(LEFT(A2446,6)="CEPNTR","GPINS",VLOOKUP(LEFT(A2446,6),'Code Library'!$A$3:$B$920,2,0))&amp;"_"&amp;RIGHT(A2446,3)</f>
        <v>#N/A</v>
      </c>
      <c r="I2446" s="66">
        <f t="shared" si="266"/>
        <v>0</v>
      </c>
      <c r="K2446" s="66" t="str">
        <f t="shared" si="267"/>
        <v/>
      </c>
      <c r="L2446" s="66" t="str">
        <f t="shared" si="268"/>
        <v/>
      </c>
      <c r="M2446" s="66" t="str">
        <f t="shared" si="269"/>
        <v/>
      </c>
      <c r="N2446" s="66" t="str">
        <f t="shared" si="270"/>
        <v/>
      </c>
      <c r="O2446" s="66" t="str">
        <f t="shared" si="271"/>
        <v/>
      </c>
      <c r="P2446" s="66" t="str">
        <f t="shared" si="272"/>
        <v/>
      </c>
    </row>
    <row r="2447" spans="8:16">
      <c r="H2447" s="66" t="e">
        <f>IF(LEFT(A2447,6)="CEPNTR","GPINS",VLOOKUP(LEFT(A2447,6),'Code Library'!$A$3:$B$920,2,0))&amp;"_"&amp;RIGHT(A2447,3)</f>
        <v>#N/A</v>
      </c>
      <c r="I2447" s="66">
        <f t="shared" si="266"/>
        <v>0</v>
      </c>
      <c r="K2447" s="66" t="str">
        <f t="shared" si="267"/>
        <v/>
      </c>
      <c r="L2447" s="66" t="str">
        <f t="shared" si="268"/>
        <v/>
      </c>
      <c r="M2447" s="66" t="str">
        <f t="shared" si="269"/>
        <v/>
      </c>
      <c r="N2447" s="66" t="str">
        <f t="shared" si="270"/>
        <v/>
      </c>
      <c r="O2447" s="66" t="str">
        <f t="shared" si="271"/>
        <v/>
      </c>
      <c r="P2447" s="66" t="str">
        <f t="shared" si="272"/>
        <v/>
      </c>
    </row>
    <row r="2448" spans="8:16">
      <c r="H2448" s="66" t="e">
        <f>IF(LEFT(A2448,6)="CEPNTR","GPINS",VLOOKUP(LEFT(A2448,6),'Code Library'!$A$3:$B$920,2,0))&amp;"_"&amp;RIGHT(A2448,3)</f>
        <v>#N/A</v>
      </c>
      <c r="I2448" s="66">
        <f t="shared" si="266"/>
        <v>0</v>
      </c>
      <c r="K2448" s="66" t="str">
        <f t="shared" si="267"/>
        <v/>
      </c>
      <c r="L2448" s="66" t="str">
        <f t="shared" si="268"/>
        <v/>
      </c>
      <c r="M2448" s="66" t="str">
        <f t="shared" si="269"/>
        <v/>
      </c>
      <c r="N2448" s="66" t="str">
        <f t="shared" si="270"/>
        <v/>
      </c>
      <c r="O2448" s="66" t="str">
        <f t="shared" si="271"/>
        <v/>
      </c>
      <c r="P2448" s="66" t="str">
        <f t="shared" si="272"/>
        <v/>
      </c>
    </row>
    <row r="2449" spans="8:16">
      <c r="H2449" s="66" t="e">
        <f>IF(LEFT(A2449,6)="CEPNTR","GPINS",VLOOKUP(LEFT(A2449,6),'Code Library'!$A$3:$B$920,2,0))&amp;"_"&amp;RIGHT(A2449,3)</f>
        <v>#N/A</v>
      </c>
      <c r="I2449" s="66">
        <f t="shared" si="266"/>
        <v>0</v>
      </c>
      <c r="K2449" s="66" t="str">
        <f t="shared" si="267"/>
        <v/>
      </c>
      <c r="L2449" s="66" t="str">
        <f t="shared" si="268"/>
        <v/>
      </c>
      <c r="M2449" s="66" t="str">
        <f t="shared" si="269"/>
        <v/>
      </c>
      <c r="N2449" s="66" t="str">
        <f t="shared" si="270"/>
        <v/>
      </c>
      <c r="O2449" s="66" t="str">
        <f t="shared" si="271"/>
        <v/>
      </c>
      <c r="P2449" s="66" t="str">
        <f t="shared" si="272"/>
        <v/>
      </c>
    </row>
    <row r="2450" spans="8:16">
      <c r="H2450" s="66" t="e">
        <f>IF(LEFT(A2450,6)="CEPNTR","GPINS",VLOOKUP(LEFT(A2450,6),'Code Library'!$A$3:$B$920,2,0))&amp;"_"&amp;RIGHT(A2450,3)</f>
        <v>#N/A</v>
      </c>
      <c r="I2450" s="66">
        <f t="shared" si="266"/>
        <v>0</v>
      </c>
      <c r="K2450" s="66" t="str">
        <f t="shared" si="267"/>
        <v/>
      </c>
      <c r="L2450" s="66" t="str">
        <f t="shared" si="268"/>
        <v/>
      </c>
      <c r="M2450" s="66" t="str">
        <f t="shared" si="269"/>
        <v/>
      </c>
      <c r="N2450" s="66" t="str">
        <f t="shared" si="270"/>
        <v/>
      </c>
      <c r="O2450" s="66" t="str">
        <f t="shared" si="271"/>
        <v/>
      </c>
      <c r="P2450" s="66" t="str">
        <f t="shared" si="272"/>
        <v/>
      </c>
    </row>
    <row r="2451" spans="8:16">
      <c r="H2451" s="66" t="e">
        <f>IF(LEFT(A2451,6)="CEPNTR","GPINS",VLOOKUP(LEFT(A2451,6),'Code Library'!$A$3:$B$920,2,0))&amp;"_"&amp;RIGHT(A2451,3)</f>
        <v>#N/A</v>
      </c>
      <c r="I2451" s="66">
        <f t="shared" si="266"/>
        <v>0</v>
      </c>
      <c r="K2451" s="66" t="str">
        <f t="shared" si="267"/>
        <v/>
      </c>
      <c r="L2451" s="66" t="str">
        <f t="shared" si="268"/>
        <v/>
      </c>
      <c r="M2451" s="66" t="str">
        <f t="shared" si="269"/>
        <v/>
      </c>
      <c r="N2451" s="66" t="str">
        <f t="shared" si="270"/>
        <v/>
      </c>
      <c r="O2451" s="66" t="str">
        <f t="shared" si="271"/>
        <v/>
      </c>
      <c r="P2451" s="66" t="str">
        <f t="shared" si="272"/>
        <v/>
      </c>
    </row>
    <row r="2452" spans="8:16">
      <c r="H2452" s="66" t="e">
        <f>IF(LEFT(A2452,6)="CEPNTR","GPINS",VLOOKUP(LEFT(A2452,6),'Code Library'!$A$3:$B$920,2,0))&amp;"_"&amp;RIGHT(A2452,3)</f>
        <v>#N/A</v>
      </c>
      <c r="I2452" s="66">
        <f t="shared" si="266"/>
        <v>0</v>
      </c>
      <c r="K2452" s="66" t="str">
        <f t="shared" si="267"/>
        <v/>
      </c>
      <c r="L2452" s="66" t="str">
        <f t="shared" si="268"/>
        <v/>
      </c>
      <c r="M2452" s="66" t="str">
        <f t="shared" si="269"/>
        <v/>
      </c>
      <c r="N2452" s="66" t="str">
        <f t="shared" si="270"/>
        <v/>
      </c>
      <c r="O2452" s="66" t="str">
        <f t="shared" si="271"/>
        <v/>
      </c>
      <c r="P2452" s="66" t="str">
        <f t="shared" si="272"/>
        <v/>
      </c>
    </row>
    <row r="2453" spans="8:16">
      <c r="H2453" s="66" t="e">
        <f>IF(LEFT(A2453,6)="CEPNTR","GPINS",VLOOKUP(LEFT(A2453,6),'Code Library'!$A$3:$B$920,2,0))&amp;"_"&amp;RIGHT(A2453,3)</f>
        <v>#N/A</v>
      </c>
      <c r="I2453" s="66">
        <f t="shared" si="266"/>
        <v>0</v>
      </c>
      <c r="K2453" s="66" t="str">
        <f t="shared" si="267"/>
        <v/>
      </c>
      <c r="L2453" s="66" t="str">
        <f t="shared" si="268"/>
        <v/>
      </c>
      <c r="M2453" s="66" t="str">
        <f t="shared" si="269"/>
        <v/>
      </c>
      <c r="N2453" s="66" t="str">
        <f t="shared" si="270"/>
        <v/>
      </c>
      <c r="O2453" s="66" t="str">
        <f t="shared" si="271"/>
        <v/>
      </c>
      <c r="P2453" s="66" t="str">
        <f t="shared" si="272"/>
        <v/>
      </c>
    </row>
    <row r="2454" spans="8:16">
      <c r="H2454" s="66" t="e">
        <f>IF(LEFT(A2454,6)="CEPNTR","GPINS",VLOOKUP(LEFT(A2454,6),'Code Library'!$A$3:$B$920,2,0))&amp;"_"&amp;RIGHT(A2454,3)</f>
        <v>#N/A</v>
      </c>
      <c r="I2454" s="66">
        <f t="shared" si="266"/>
        <v>0</v>
      </c>
      <c r="K2454" s="66" t="str">
        <f t="shared" si="267"/>
        <v/>
      </c>
      <c r="L2454" s="66" t="str">
        <f t="shared" si="268"/>
        <v/>
      </c>
      <c r="M2454" s="66" t="str">
        <f t="shared" si="269"/>
        <v/>
      </c>
      <c r="N2454" s="66" t="str">
        <f t="shared" si="270"/>
        <v/>
      </c>
      <c r="O2454" s="66" t="str">
        <f t="shared" si="271"/>
        <v/>
      </c>
      <c r="P2454" s="66" t="str">
        <f t="shared" si="272"/>
        <v/>
      </c>
    </row>
    <row r="2455" spans="8:16">
      <c r="H2455" s="66" t="e">
        <f>IF(LEFT(A2455,6)="CEPNTR","GPINS",VLOOKUP(LEFT(A2455,6),'Code Library'!$A$3:$B$920,2,0))&amp;"_"&amp;RIGHT(A2455,3)</f>
        <v>#N/A</v>
      </c>
      <c r="I2455" s="66">
        <f t="shared" si="266"/>
        <v>0</v>
      </c>
      <c r="K2455" s="66" t="str">
        <f t="shared" si="267"/>
        <v/>
      </c>
      <c r="L2455" s="66" t="str">
        <f t="shared" si="268"/>
        <v/>
      </c>
      <c r="M2455" s="66" t="str">
        <f t="shared" si="269"/>
        <v/>
      </c>
      <c r="N2455" s="66" t="str">
        <f t="shared" si="270"/>
        <v/>
      </c>
      <c r="O2455" s="66" t="str">
        <f t="shared" si="271"/>
        <v/>
      </c>
      <c r="P2455" s="66" t="str">
        <f t="shared" si="272"/>
        <v/>
      </c>
    </row>
    <row r="2456" spans="8:16">
      <c r="H2456" s="66" t="e">
        <f>IF(LEFT(A2456,6)="CEPNTR","GPINS",VLOOKUP(LEFT(A2456,6),'Code Library'!$A$3:$B$920,2,0))&amp;"_"&amp;RIGHT(A2456,3)</f>
        <v>#N/A</v>
      </c>
      <c r="I2456" s="66">
        <f t="shared" si="266"/>
        <v>0</v>
      </c>
      <c r="K2456" s="66" t="str">
        <f t="shared" si="267"/>
        <v/>
      </c>
      <c r="L2456" s="66" t="str">
        <f t="shared" si="268"/>
        <v/>
      </c>
      <c r="M2456" s="66" t="str">
        <f t="shared" si="269"/>
        <v/>
      </c>
      <c r="N2456" s="66" t="str">
        <f t="shared" si="270"/>
        <v/>
      </c>
      <c r="O2456" s="66" t="str">
        <f t="shared" si="271"/>
        <v/>
      </c>
      <c r="P2456" s="66" t="str">
        <f t="shared" si="272"/>
        <v/>
      </c>
    </row>
    <row r="2457" spans="8:16">
      <c r="H2457" s="66" t="e">
        <f>IF(LEFT(A2457,6)="CEPNTR","GPINS",VLOOKUP(LEFT(A2457,6),'Code Library'!$A$3:$B$920,2,0))&amp;"_"&amp;RIGHT(A2457,3)</f>
        <v>#N/A</v>
      </c>
      <c r="I2457" s="66">
        <f t="shared" si="266"/>
        <v>0</v>
      </c>
      <c r="K2457" s="66" t="str">
        <f t="shared" si="267"/>
        <v/>
      </c>
      <c r="L2457" s="66" t="str">
        <f t="shared" si="268"/>
        <v/>
      </c>
      <c r="M2457" s="66" t="str">
        <f t="shared" si="269"/>
        <v/>
      </c>
      <c r="N2457" s="66" t="str">
        <f t="shared" si="270"/>
        <v/>
      </c>
      <c r="O2457" s="66" t="str">
        <f t="shared" si="271"/>
        <v/>
      </c>
      <c r="P2457" s="66" t="str">
        <f t="shared" si="272"/>
        <v/>
      </c>
    </row>
    <row r="2458" spans="8:16">
      <c r="H2458" s="66" t="e">
        <f>IF(LEFT(A2458,6)="CEPNTR","GPINS",VLOOKUP(LEFT(A2458,6),'Code Library'!$A$3:$B$920,2,0))&amp;"_"&amp;RIGHT(A2458,3)</f>
        <v>#N/A</v>
      </c>
      <c r="I2458" s="66">
        <f t="shared" si="266"/>
        <v>0</v>
      </c>
      <c r="K2458" s="66" t="str">
        <f t="shared" si="267"/>
        <v/>
      </c>
      <c r="L2458" s="66" t="str">
        <f t="shared" si="268"/>
        <v/>
      </c>
      <c r="M2458" s="66" t="str">
        <f t="shared" si="269"/>
        <v/>
      </c>
      <c r="N2458" s="66" t="str">
        <f t="shared" si="270"/>
        <v/>
      </c>
      <c r="O2458" s="66" t="str">
        <f t="shared" si="271"/>
        <v/>
      </c>
      <c r="P2458" s="66" t="str">
        <f t="shared" si="272"/>
        <v/>
      </c>
    </row>
    <row r="2459" spans="8:16">
      <c r="H2459" s="66" t="e">
        <f>IF(LEFT(A2459,6)="CEPNTR","GPINS",VLOOKUP(LEFT(A2459,6),'Code Library'!$A$3:$B$920,2,0))&amp;"_"&amp;RIGHT(A2459,3)</f>
        <v>#N/A</v>
      </c>
      <c r="I2459" s="66">
        <f t="shared" si="266"/>
        <v>0</v>
      </c>
      <c r="K2459" s="66" t="str">
        <f t="shared" si="267"/>
        <v/>
      </c>
      <c r="L2459" s="66" t="str">
        <f t="shared" si="268"/>
        <v/>
      </c>
      <c r="M2459" s="66" t="str">
        <f t="shared" si="269"/>
        <v/>
      </c>
      <c r="N2459" s="66" t="str">
        <f t="shared" si="270"/>
        <v/>
      </c>
      <c r="O2459" s="66" t="str">
        <f t="shared" si="271"/>
        <v/>
      </c>
      <c r="P2459" s="66" t="str">
        <f t="shared" si="272"/>
        <v/>
      </c>
    </row>
    <row r="2460" spans="8:16">
      <c r="H2460" s="66" t="e">
        <f>IF(LEFT(A2460,6)="CEPNTR","GPINS",VLOOKUP(LEFT(A2460,6),'Code Library'!$A$3:$B$920,2,0))&amp;"_"&amp;RIGHT(A2460,3)</f>
        <v>#N/A</v>
      </c>
      <c r="I2460" s="66">
        <f t="shared" si="266"/>
        <v>0</v>
      </c>
      <c r="K2460" s="66" t="str">
        <f t="shared" si="267"/>
        <v/>
      </c>
      <c r="L2460" s="66" t="str">
        <f t="shared" si="268"/>
        <v/>
      </c>
      <c r="M2460" s="66" t="str">
        <f t="shared" si="269"/>
        <v/>
      </c>
      <c r="N2460" s="66" t="str">
        <f t="shared" si="270"/>
        <v/>
      </c>
      <c r="O2460" s="66" t="str">
        <f t="shared" si="271"/>
        <v/>
      </c>
      <c r="P2460" s="66" t="str">
        <f t="shared" si="272"/>
        <v/>
      </c>
    </row>
    <row r="2461" spans="8:16">
      <c r="H2461" s="66" t="e">
        <f>IF(LEFT(A2461,6)="CEPNTR","GPINS",VLOOKUP(LEFT(A2461,6),'Code Library'!$A$3:$B$920,2,0))&amp;"_"&amp;RIGHT(A2461,3)</f>
        <v>#N/A</v>
      </c>
      <c r="I2461" s="66">
        <f t="shared" si="266"/>
        <v>0</v>
      </c>
      <c r="K2461" s="66" t="str">
        <f t="shared" si="267"/>
        <v/>
      </c>
      <c r="L2461" s="66" t="str">
        <f t="shared" si="268"/>
        <v/>
      </c>
      <c r="M2461" s="66" t="str">
        <f t="shared" si="269"/>
        <v/>
      </c>
      <c r="N2461" s="66" t="str">
        <f t="shared" si="270"/>
        <v/>
      </c>
      <c r="O2461" s="66" t="str">
        <f t="shared" si="271"/>
        <v/>
      </c>
      <c r="P2461" s="66" t="str">
        <f t="shared" si="272"/>
        <v/>
      </c>
    </row>
    <row r="2462" spans="8:16">
      <c r="H2462" s="66" t="e">
        <f>IF(LEFT(A2462,6)="CEPNTR","GPINS",VLOOKUP(LEFT(A2462,6),'Code Library'!$A$3:$B$920,2,0))&amp;"_"&amp;RIGHT(A2462,3)</f>
        <v>#N/A</v>
      </c>
      <c r="I2462" s="66">
        <f t="shared" si="266"/>
        <v>0</v>
      </c>
      <c r="K2462" s="66" t="str">
        <f t="shared" si="267"/>
        <v/>
      </c>
      <c r="L2462" s="66" t="str">
        <f t="shared" si="268"/>
        <v/>
      </c>
      <c r="M2462" s="66" t="str">
        <f t="shared" si="269"/>
        <v/>
      </c>
      <c r="N2462" s="66" t="str">
        <f t="shared" si="270"/>
        <v/>
      </c>
      <c r="O2462" s="66" t="str">
        <f t="shared" si="271"/>
        <v/>
      </c>
      <c r="P2462" s="66" t="str">
        <f t="shared" si="272"/>
        <v/>
      </c>
    </row>
    <row r="2463" spans="8:16">
      <c r="H2463" s="66" t="e">
        <f>IF(LEFT(A2463,6)="CEPNTR","GPINS",VLOOKUP(LEFT(A2463,6),'Code Library'!$A$3:$B$920,2,0))&amp;"_"&amp;RIGHT(A2463,3)</f>
        <v>#N/A</v>
      </c>
      <c r="I2463" s="66">
        <f t="shared" si="266"/>
        <v>0</v>
      </c>
      <c r="K2463" s="66" t="str">
        <f t="shared" si="267"/>
        <v/>
      </c>
      <c r="L2463" s="66" t="str">
        <f t="shared" si="268"/>
        <v/>
      </c>
      <c r="M2463" s="66" t="str">
        <f t="shared" si="269"/>
        <v/>
      </c>
      <c r="N2463" s="66" t="str">
        <f t="shared" si="270"/>
        <v/>
      </c>
      <c r="O2463" s="66" t="str">
        <f t="shared" si="271"/>
        <v/>
      </c>
      <c r="P2463" s="66" t="str">
        <f t="shared" si="272"/>
        <v/>
      </c>
    </row>
    <row r="2464" spans="8:16">
      <c r="H2464" s="66" t="e">
        <f>IF(LEFT(A2464,6)="CEPNTR","GPINS",VLOOKUP(LEFT(A2464,6),'Code Library'!$A$3:$B$920,2,0))&amp;"_"&amp;RIGHT(A2464,3)</f>
        <v>#N/A</v>
      </c>
      <c r="I2464" s="66">
        <f t="shared" si="266"/>
        <v>0</v>
      </c>
      <c r="K2464" s="66" t="str">
        <f t="shared" si="267"/>
        <v/>
      </c>
      <c r="L2464" s="66" t="str">
        <f t="shared" si="268"/>
        <v/>
      </c>
      <c r="M2464" s="66" t="str">
        <f t="shared" si="269"/>
        <v/>
      </c>
      <c r="N2464" s="66" t="str">
        <f t="shared" si="270"/>
        <v/>
      </c>
      <c r="O2464" s="66" t="str">
        <f t="shared" si="271"/>
        <v/>
      </c>
      <c r="P2464" s="66" t="str">
        <f t="shared" si="272"/>
        <v/>
      </c>
    </row>
    <row r="2465" spans="8:16">
      <c r="H2465" s="66" t="e">
        <f>IF(LEFT(A2465,6)="CEPNTR","GPINS",VLOOKUP(LEFT(A2465,6),'Code Library'!$A$3:$B$920,2,0))&amp;"_"&amp;RIGHT(A2465,3)</f>
        <v>#N/A</v>
      </c>
      <c r="I2465" s="66">
        <f t="shared" si="266"/>
        <v>0</v>
      </c>
      <c r="K2465" s="66" t="str">
        <f t="shared" si="267"/>
        <v/>
      </c>
      <c r="L2465" s="66" t="str">
        <f t="shared" si="268"/>
        <v/>
      </c>
      <c r="M2465" s="66" t="str">
        <f t="shared" si="269"/>
        <v/>
      </c>
      <c r="N2465" s="66" t="str">
        <f t="shared" si="270"/>
        <v/>
      </c>
      <c r="O2465" s="66" t="str">
        <f t="shared" si="271"/>
        <v/>
      </c>
      <c r="P2465" s="66" t="str">
        <f t="shared" si="272"/>
        <v/>
      </c>
    </row>
    <row r="2466" spans="8:16">
      <c r="H2466" s="66" t="e">
        <f>IF(LEFT(A2466,6)="CEPNTR","GPINS",VLOOKUP(LEFT(A2466,6),'Code Library'!$A$3:$B$920,2,0))&amp;"_"&amp;RIGHT(A2466,3)</f>
        <v>#N/A</v>
      </c>
      <c r="I2466" s="66">
        <f t="shared" si="266"/>
        <v>0</v>
      </c>
      <c r="K2466" s="66" t="str">
        <f t="shared" si="267"/>
        <v/>
      </c>
      <c r="L2466" s="66" t="str">
        <f t="shared" si="268"/>
        <v/>
      </c>
      <c r="M2466" s="66" t="str">
        <f t="shared" si="269"/>
        <v/>
      </c>
      <c r="N2466" s="66" t="str">
        <f t="shared" si="270"/>
        <v/>
      </c>
      <c r="O2466" s="66" t="str">
        <f t="shared" si="271"/>
        <v/>
      </c>
      <c r="P2466" s="66" t="str">
        <f t="shared" si="272"/>
        <v/>
      </c>
    </row>
    <row r="2467" spans="8:16">
      <c r="H2467" s="66" t="e">
        <f>IF(LEFT(A2467,6)="CEPNTR","GPINS",VLOOKUP(LEFT(A2467,6),'Code Library'!$A$3:$B$920,2,0))&amp;"_"&amp;RIGHT(A2467,3)</f>
        <v>#N/A</v>
      </c>
      <c r="I2467" s="66">
        <f t="shared" si="266"/>
        <v>0</v>
      </c>
      <c r="K2467" s="66" t="str">
        <f t="shared" si="267"/>
        <v/>
      </c>
      <c r="L2467" s="66" t="str">
        <f t="shared" si="268"/>
        <v/>
      </c>
      <c r="M2467" s="66" t="str">
        <f t="shared" si="269"/>
        <v/>
      </c>
      <c r="N2467" s="66" t="str">
        <f t="shared" si="270"/>
        <v/>
      </c>
      <c r="O2467" s="66" t="str">
        <f t="shared" si="271"/>
        <v/>
      </c>
      <c r="P2467" s="66" t="str">
        <f t="shared" si="272"/>
        <v/>
      </c>
    </row>
    <row r="2468" spans="8:16">
      <c r="H2468" s="66" t="e">
        <f>IF(LEFT(A2468,6)="CEPNTR","GPINS",VLOOKUP(LEFT(A2468,6),'Code Library'!$A$3:$B$920,2,0))&amp;"_"&amp;RIGHT(A2468,3)</f>
        <v>#N/A</v>
      </c>
      <c r="I2468" s="66">
        <f t="shared" si="266"/>
        <v>0</v>
      </c>
      <c r="K2468" s="66" t="str">
        <f t="shared" si="267"/>
        <v/>
      </c>
      <c r="L2468" s="66" t="str">
        <f t="shared" si="268"/>
        <v/>
      </c>
      <c r="M2468" s="66" t="str">
        <f t="shared" si="269"/>
        <v/>
      </c>
      <c r="N2468" s="66" t="str">
        <f t="shared" si="270"/>
        <v/>
      </c>
      <c r="O2468" s="66" t="str">
        <f t="shared" si="271"/>
        <v/>
      </c>
      <c r="P2468" s="66" t="str">
        <f t="shared" si="272"/>
        <v/>
      </c>
    </row>
    <row r="2469" spans="8:16">
      <c r="H2469" s="66" t="e">
        <f>IF(LEFT(A2469,6)="CEPNTR","GPINS",VLOOKUP(LEFT(A2469,6),'Code Library'!$A$3:$B$920,2,0))&amp;"_"&amp;RIGHT(A2469,3)</f>
        <v>#N/A</v>
      </c>
      <c r="I2469" s="66">
        <f t="shared" si="266"/>
        <v>0</v>
      </c>
      <c r="K2469" s="66" t="str">
        <f t="shared" si="267"/>
        <v/>
      </c>
      <c r="L2469" s="66" t="str">
        <f t="shared" si="268"/>
        <v/>
      </c>
      <c r="M2469" s="66" t="str">
        <f t="shared" si="269"/>
        <v/>
      </c>
      <c r="N2469" s="66" t="str">
        <f t="shared" si="270"/>
        <v/>
      </c>
      <c r="O2469" s="66" t="str">
        <f t="shared" si="271"/>
        <v/>
      </c>
      <c r="P2469" s="66" t="str">
        <f t="shared" si="272"/>
        <v/>
      </c>
    </row>
    <row r="2470" spans="8:16">
      <c r="H2470" s="66" t="e">
        <f>IF(LEFT(A2470,6)="CEPNTR","GPINS",VLOOKUP(LEFT(A2470,6),'Code Library'!$A$3:$B$920,2,0))&amp;"_"&amp;RIGHT(A2470,3)</f>
        <v>#N/A</v>
      </c>
      <c r="I2470" s="66">
        <f t="shared" si="266"/>
        <v>0</v>
      </c>
      <c r="K2470" s="66" t="str">
        <f t="shared" si="267"/>
        <v/>
      </c>
      <c r="L2470" s="66" t="str">
        <f t="shared" si="268"/>
        <v/>
      </c>
      <c r="M2470" s="66" t="str">
        <f t="shared" si="269"/>
        <v/>
      </c>
      <c r="N2470" s="66" t="str">
        <f t="shared" si="270"/>
        <v/>
      </c>
      <c r="O2470" s="66" t="str">
        <f t="shared" si="271"/>
        <v/>
      </c>
      <c r="P2470" s="66" t="str">
        <f t="shared" si="272"/>
        <v/>
      </c>
    </row>
    <row r="2471" spans="8:16">
      <c r="H2471" s="66" t="e">
        <f>IF(LEFT(A2471,6)="CEPNTR","GPINS",VLOOKUP(LEFT(A2471,6),'Code Library'!$A$3:$B$920,2,0))&amp;"_"&amp;RIGHT(A2471,3)</f>
        <v>#N/A</v>
      </c>
      <c r="I2471" s="66">
        <f t="shared" si="266"/>
        <v>0</v>
      </c>
      <c r="K2471" s="66" t="str">
        <f t="shared" si="267"/>
        <v/>
      </c>
      <c r="L2471" s="66" t="str">
        <f t="shared" si="268"/>
        <v/>
      </c>
      <c r="M2471" s="66" t="str">
        <f t="shared" si="269"/>
        <v/>
      </c>
      <c r="N2471" s="66" t="str">
        <f t="shared" si="270"/>
        <v/>
      </c>
      <c r="O2471" s="66" t="str">
        <f t="shared" si="271"/>
        <v/>
      </c>
      <c r="P2471" s="66" t="str">
        <f t="shared" si="272"/>
        <v/>
      </c>
    </row>
    <row r="2472" spans="8:16">
      <c r="H2472" s="66" t="e">
        <f>IF(LEFT(A2472,6)="CEPNTR","GPINS",VLOOKUP(LEFT(A2472,6),'Code Library'!$A$3:$B$920,2,0))&amp;"_"&amp;RIGHT(A2472,3)</f>
        <v>#N/A</v>
      </c>
      <c r="I2472" s="66">
        <f t="shared" si="266"/>
        <v>0</v>
      </c>
      <c r="K2472" s="66" t="str">
        <f t="shared" si="267"/>
        <v/>
      </c>
      <c r="L2472" s="66" t="str">
        <f t="shared" si="268"/>
        <v/>
      </c>
      <c r="M2472" s="66" t="str">
        <f t="shared" si="269"/>
        <v/>
      </c>
      <c r="N2472" s="66" t="str">
        <f t="shared" si="270"/>
        <v/>
      </c>
      <c r="O2472" s="66" t="str">
        <f t="shared" si="271"/>
        <v/>
      </c>
      <c r="P2472" s="66" t="str">
        <f t="shared" si="272"/>
        <v/>
      </c>
    </row>
    <row r="2473" spans="8:16">
      <c r="H2473" s="66" t="e">
        <f>IF(LEFT(A2473,6)="CEPNTR","GPINS",VLOOKUP(LEFT(A2473,6),'Code Library'!$A$3:$B$920,2,0))&amp;"_"&amp;RIGHT(A2473,3)</f>
        <v>#N/A</v>
      </c>
      <c r="I2473" s="66">
        <f t="shared" si="266"/>
        <v>0</v>
      </c>
      <c r="K2473" s="66" t="str">
        <f t="shared" si="267"/>
        <v/>
      </c>
      <c r="L2473" s="66" t="str">
        <f t="shared" si="268"/>
        <v/>
      </c>
      <c r="M2473" s="66" t="str">
        <f t="shared" si="269"/>
        <v/>
      </c>
      <c r="N2473" s="66" t="str">
        <f t="shared" si="270"/>
        <v/>
      </c>
      <c r="O2473" s="66" t="str">
        <f t="shared" si="271"/>
        <v/>
      </c>
      <c r="P2473" s="66" t="str">
        <f t="shared" si="272"/>
        <v/>
      </c>
    </row>
    <row r="2474" spans="8:16">
      <c r="H2474" s="66" t="e">
        <f>IF(LEFT(A2474,6)="CEPNTR","GPINS",VLOOKUP(LEFT(A2474,6),'Code Library'!$A$3:$B$920,2,0))&amp;"_"&amp;RIGHT(A2474,3)</f>
        <v>#N/A</v>
      </c>
      <c r="I2474" s="66">
        <f t="shared" si="266"/>
        <v>0</v>
      </c>
      <c r="K2474" s="66" t="str">
        <f t="shared" si="267"/>
        <v/>
      </c>
      <c r="L2474" s="66" t="str">
        <f t="shared" si="268"/>
        <v/>
      </c>
      <c r="M2474" s="66" t="str">
        <f t="shared" si="269"/>
        <v/>
      </c>
      <c r="N2474" s="66" t="str">
        <f t="shared" si="270"/>
        <v/>
      </c>
      <c r="O2474" s="66" t="str">
        <f t="shared" si="271"/>
        <v/>
      </c>
      <c r="P2474" s="66" t="str">
        <f t="shared" si="272"/>
        <v/>
      </c>
    </row>
    <row r="2475" spans="8:16">
      <c r="H2475" s="66" t="e">
        <f>IF(LEFT(A2475,6)="CEPNTR","GPINS",VLOOKUP(LEFT(A2475,6),'Code Library'!$A$3:$B$920,2,0))&amp;"_"&amp;RIGHT(A2475,3)</f>
        <v>#N/A</v>
      </c>
      <c r="I2475" s="66">
        <f t="shared" si="266"/>
        <v>0</v>
      </c>
      <c r="K2475" s="66" t="str">
        <f t="shared" si="267"/>
        <v/>
      </c>
      <c r="L2475" s="66" t="str">
        <f t="shared" si="268"/>
        <v/>
      </c>
      <c r="M2475" s="66" t="str">
        <f t="shared" si="269"/>
        <v/>
      </c>
      <c r="N2475" s="66" t="str">
        <f t="shared" si="270"/>
        <v/>
      </c>
      <c r="O2475" s="66" t="str">
        <f t="shared" si="271"/>
        <v/>
      </c>
      <c r="P2475" s="66" t="str">
        <f t="shared" si="272"/>
        <v/>
      </c>
    </row>
    <row r="2476" spans="8:16">
      <c r="H2476" s="66" t="e">
        <f>IF(LEFT(A2476,6)="CEPNTR","GPINS",VLOOKUP(LEFT(A2476,6),'Code Library'!$A$3:$B$920,2,0))&amp;"_"&amp;RIGHT(A2476,3)</f>
        <v>#N/A</v>
      </c>
      <c r="I2476" s="66">
        <f t="shared" si="266"/>
        <v>0</v>
      </c>
      <c r="K2476" s="66" t="str">
        <f t="shared" si="267"/>
        <v/>
      </c>
      <c r="L2476" s="66" t="str">
        <f t="shared" si="268"/>
        <v/>
      </c>
      <c r="M2476" s="66" t="str">
        <f t="shared" si="269"/>
        <v/>
      </c>
      <c r="N2476" s="66" t="str">
        <f t="shared" si="270"/>
        <v/>
      </c>
      <c r="O2476" s="66" t="str">
        <f t="shared" si="271"/>
        <v/>
      </c>
      <c r="P2476" s="66" t="str">
        <f t="shared" si="272"/>
        <v/>
      </c>
    </row>
    <row r="2477" spans="8:16">
      <c r="H2477" s="66" t="e">
        <f>IF(LEFT(A2477,6)="CEPNTR","GPINS",VLOOKUP(LEFT(A2477,6),'Code Library'!$A$3:$B$920,2,0))&amp;"_"&amp;RIGHT(A2477,3)</f>
        <v>#N/A</v>
      </c>
      <c r="I2477" s="66">
        <f t="shared" si="266"/>
        <v>0</v>
      </c>
      <c r="K2477" s="66" t="str">
        <f t="shared" si="267"/>
        <v/>
      </c>
      <c r="L2477" s="66" t="str">
        <f t="shared" si="268"/>
        <v/>
      </c>
      <c r="M2477" s="66" t="str">
        <f t="shared" si="269"/>
        <v/>
      </c>
      <c r="N2477" s="66" t="str">
        <f t="shared" si="270"/>
        <v/>
      </c>
      <c r="O2477" s="66" t="str">
        <f t="shared" si="271"/>
        <v/>
      </c>
      <c r="P2477" s="66" t="str">
        <f t="shared" si="272"/>
        <v/>
      </c>
    </row>
    <row r="2478" spans="8:16">
      <c r="H2478" s="66" t="e">
        <f>IF(LEFT(A2478,6)="CEPNTR","GPINS",VLOOKUP(LEFT(A2478,6),'Code Library'!$A$3:$B$920,2,0))&amp;"_"&amp;RIGHT(A2478,3)</f>
        <v>#N/A</v>
      </c>
      <c r="I2478" s="66">
        <f t="shared" si="266"/>
        <v>0</v>
      </c>
      <c r="K2478" s="66" t="str">
        <f t="shared" si="267"/>
        <v/>
      </c>
      <c r="L2478" s="66" t="str">
        <f t="shared" si="268"/>
        <v/>
      </c>
      <c r="M2478" s="66" t="str">
        <f t="shared" si="269"/>
        <v/>
      </c>
      <c r="N2478" s="66" t="str">
        <f t="shared" si="270"/>
        <v/>
      </c>
      <c r="O2478" s="66" t="str">
        <f t="shared" si="271"/>
        <v/>
      </c>
      <c r="P2478" s="66" t="str">
        <f t="shared" si="272"/>
        <v/>
      </c>
    </row>
    <row r="2479" spans="8:16">
      <c r="H2479" s="66" t="e">
        <f>IF(LEFT(A2479,6)="CEPNTR","GPINS",VLOOKUP(LEFT(A2479,6),'Code Library'!$A$3:$B$920,2,0))&amp;"_"&amp;RIGHT(A2479,3)</f>
        <v>#N/A</v>
      </c>
      <c r="I2479" s="66">
        <f t="shared" si="266"/>
        <v>0</v>
      </c>
      <c r="K2479" s="66" t="str">
        <f t="shared" si="267"/>
        <v/>
      </c>
      <c r="L2479" s="66" t="str">
        <f t="shared" si="268"/>
        <v/>
      </c>
      <c r="M2479" s="66" t="str">
        <f t="shared" si="269"/>
        <v/>
      </c>
      <c r="N2479" s="66" t="str">
        <f t="shared" si="270"/>
        <v/>
      </c>
      <c r="O2479" s="66" t="str">
        <f t="shared" si="271"/>
        <v/>
      </c>
      <c r="P2479" s="66" t="str">
        <f t="shared" si="272"/>
        <v/>
      </c>
    </row>
    <row r="2480" spans="8:16">
      <c r="H2480" s="66" t="e">
        <f>IF(LEFT(A2480,6)="CEPNTR","GPINS",VLOOKUP(LEFT(A2480,6),'Code Library'!$A$3:$B$920,2,0))&amp;"_"&amp;RIGHT(A2480,3)</f>
        <v>#N/A</v>
      </c>
      <c r="I2480" s="66">
        <f t="shared" si="266"/>
        <v>0</v>
      </c>
      <c r="K2480" s="66" t="str">
        <f t="shared" si="267"/>
        <v/>
      </c>
      <c r="L2480" s="66" t="str">
        <f t="shared" si="268"/>
        <v/>
      </c>
      <c r="M2480" s="66" t="str">
        <f t="shared" si="269"/>
        <v/>
      </c>
      <c r="N2480" s="66" t="str">
        <f t="shared" si="270"/>
        <v/>
      </c>
      <c r="O2480" s="66" t="str">
        <f t="shared" si="271"/>
        <v/>
      </c>
      <c r="P2480" s="66" t="str">
        <f t="shared" si="272"/>
        <v/>
      </c>
    </row>
    <row r="2481" spans="8:16">
      <c r="H2481" s="66" t="e">
        <f>IF(LEFT(A2481,6)="CEPNTR","GPINS",VLOOKUP(LEFT(A2481,6),'Code Library'!$A$3:$B$920,2,0))&amp;"_"&amp;RIGHT(A2481,3)</f>
        <v>#N/A</v>
      </c>
      <c r="I2481" s="66">
        <f t="shared" si="266"/>
        <v>0</v>
      </c>
      <c r="K2481" s="66" t="str">
        <f t="shared" si="267"/>
        <v/>
      </c>
      <c r="L2481" s="66" t="str">
        <f t="shared" si="268"/>
        <v/>
      </c>
      <c r="M2481" s="66" t="str">
        <f t="shared" si="269"/>
        <v/>
      </c>
      <c r="N2481" s="66" t="str">
        <f t="shared" si="270"/>
        <v/>
      </c>
      <c r="O2481" s="66" t="str">
        <f t="shared" si="271"/>
        <v/>
      </c>
      <c r="P2481" s="66" t="str">
        <f t="shared" si="272"/>
        <v/>
      </c>
    </row>
    <row r="2482" spans="8:16">
      <c r="H2482" s="66" t="e">
        <f>IF(LEFT(A2482,6)="CEPNTR","GPINS",VLOOKUP(LEFT(A2482,6),'Code Library'!$A$3:$B$920,2,0))&amp;"_"&amp;RIGHT(A2482,3)</f>
        <v>#N/A</v>
      </c>
      <c r="I2482" s="66">
        <f t="shared" si="266"/>
        <v>0</v>
      </c>
      <c r="K2482" s="66" t="str">
        <f t="shared" si="267"/>
        <v/>
      </c>
      <c r="L2482" s="66" t="str">
        <f t="shared" si="268"/>
        <v/>
      </c>
      <c r="M2482" s="66" t="str">
        <f t="shared" si="269"/>
        <v/>
      </c>
      <c r="N2482" s="66" t="str">
        <f t="shared" si="270"/>
        <v/>
      </c>
      <c r="O2482" s="66" t="str">
        <f t="shared" si="271"/>
        <v/>
      </c>
      <c r="P2482" s="66" t="str">
        <f t="shared" si="272"/>
        <v/>
      </c>
    </row>
    <row r="2483" spans="8:16">
      <c r="H2483" s="66" t="e">
        <f>IF(LEFT(A2483,6)="CEPNTR","GPINS",VLOOKUP(LEFT(A2483,6),'Code Library'!$A$3:$B$920,2,0))&amp;"_"&amp;RIGHT(A2483,3)</f>
        <v>#N/A</v>
      </c>
      <c r="I2483" s="66">
        <f t="shared" si="266"/>
        <v>0</v>
      </c>
      <c r="K2483" s="66" t="str">
        <f t="shared" si="267"/>
        <v/>
      </c>
      <c r="L2483" s="66" t="str">
        <f t="shared" si="268"/>
        <v/>
      </c>
      <c r="M2483" s="66" t="str">
        <f t="shared" si="269"/>
        <v/>
      </c>
      <c r="N2483" s="66" t="str">
        <f t="shared" si="270"/>
        <v/>
      </c>
      <c r="O2483" s="66" t="str">
        <f t="shared" si="271"/>
        <v/>
      </c>
      <c r="P2483" s="66" t="str">
        <f t="shared" si="272"/>
        <v/>
      </c>
    </row>
    <row r="2484" spans="8:16">
      <c r="H2484" s="66" t="e">
        <f>IF(LEFT(A2484,6)="CEPNTR","GPINS",VLOOKUP(LEFT(A2484,6),'Code Library'!$A$3:$B$920,2,0))&amp;"_"&amp;RIGHT(A2484,3)</f>
        <v>#N/A</v>
      </c>
      <c r="I2484" s="66">
        <f t="shared" si="266"/>
        <v>0</v>
      </c>
      <c r="K2484" s="66" t="str">
        <f t="shared" si="267"/>
        <v/>
      </c>
      <c r="L2484" s="66" t="str">
        <f t="shared" si="268"/>
        <v/>
      </c>
      <c r="M2484" s="66" t="str">
        <f t="shared" si="269"/>
        <v/>
      </c>
      <c r="N2484" s="66" t="str">
        <f t="shared" si="270"/>
        <v/>
      </c>
      <c r="O2484" s="66" t="str">
        <f t="shared" si="271"/>
        <v/>
      </c>
      <c r="P2484" s="66" t="str">
        <f t="shared" si="272"/>
        <v/>
      </c>
    </row>
    <row r="2485" spans="8:16">
      <c r="H2485" s="66" t="e">
        <f>IF(LEFT(A2485,6)="CEPNTR","GPINS",VLOOKUP(LEFT(A2485,6),'Code Library'!$A$3:$B$920,2,0))&amp;"_"&amp;RIGHT(A2485,3)</f>
        <v>#N/A</v>
      </c>
      <c r="I2485" s="66">
        <f t="shared" si="266"/>
        <v>0</v>
      </c>
      <c r="K2485" s="66" t="str">
        <f t="shared" si="267"/>
        <v/>
      </c>
      <c r="L2485" s="66" t="str">
        <f t="shared" si="268"/>
        <v/>
      </c>
      <c r="M2485" s="66" t="str">
        <f t="shared" si="269"/>
        <v/>
      </c>
      <c r="N2485" s="66" t="str">
        <f t="shared" si="270"/>
        <v/>
      </c>
      <c r="O2485" s="66" t="str">
        <f t="shared" si="271"/>
        <v/>
      </c>
      <c r="P2485" s="66" t="str">
        <f t="shared" si="272"/>
        <v/>
      </c>
    </row>
    <row r="2486" spans="8:16">
      <c r="H2486" s="66" t="e">
        <f>IF(LEFT(A2486,6)="CEPNTR","GPINS",VLOOKUP(LEFT(A2486,6),'Code Library'!$A$3:$B$920,2,0))&amp;"_"&amp;RIGHT(A2486,3)</f>
        <v>#N/A</v>
      </c>
      <c r="I2486" s="66">
        <f t="shared" si="266"/>
        <v>0</v>
      </c>
      <c r="K2486" s="66" t="str">
        <f t="shared" si="267"/>
        <v/>
      </c>
      <c r="L2486" s="66" t="str">
        <f t="shared" si="268"/>
        <v/>
      </c>
      <c r="M2486" s="66" t="str">
        <f t="shared" si="269"/>
        <v/>
      </c>
      <c r="N2486" s="66" t="str">
        <f t="shared" si="270"/>
        <v/>
      </c>
      <c r="O2486" s="66" t="str">
        <f t="shared" si="271"/>
        <v/>
      </c>
      <c r="P2486" s="66" t="str">
        <f t="shared" si="272"/>
        <v/>
      </c>
    </row>
    <row r="2487" spans="8:16">
      <c r="H2487" s="66" t="e">
        <f>IF(LEFT(A2487,6)="CEPNTR","GPINS",VLOOKUP(LEFT(A2487,6),'Code Library'!$A$3:$B$920,2,0))&amp;"_"&amp;RIGHT(A2487,3)</f>
        <v>#N/A</v>
      </c>
      <c r="I2487" s="66">
        <f t="shared" si="266"/>
        <v>0</v>
      </c>
      <c r="K2487" s="66" t="str">
        <f t="shared" si="267"/>
        <v/>
      </c>
      <c r="L2487" s="66" t="str">
        <f t="shared" si="268"/>
        <v/>
      </c>
      <c r="M2487" s="66" t="str">
        <f t="shared" si="269"/>
        <v/>
      </c>
      <c r="N2487" s="66" t="str">
        <f t="shared" si="270"/>
        <v/>
      </c>
      <c r="O2487" s="66" t="str">
        <f t="shared" si="271"/>
        <v/>
      </c>
      <c r="P2487" s="66" t="str">
        <f t="shared" si="272"/>
        <v/>
      </c>
    </row>
    <row r="2488" spans="8:16">
      <c r="H2488" s="66" t="e">
        <f>IF(LEFT(A2488,6)="CEPNTR","GPINS",VLOOKUP(LEFT(A2488,6),'Code Library'!$A$3:$B$920,2,0))&amp;"_"&amp;RIGHT(A2488,3)</f>
        <v>#N/A</v>
      </c>
      <c r="I2488" s="66">
        <f t="shared" si="266"/>
        <v>0</v>
      </c>
      <c r="K2488" s="66" t="str">
        <f t="shared" si="267"/>
        <v/>
      </c>
      <c r="L2488" s="66" t="str">
        <f t="shared" si="268"/>
        <v/>
      </c>
      <c r="M2488" s="66" t="str">
        <f t="shared" si="269"/>
        <v/>
      </c>
      <c r="N2488" s="66" t="str">
        <f t="shared" si="270"/>
        <v/>
      </c>
      <c r="O2488" s="66" t="str">
        <f t="shared" si="271"/>
        <v/>
      </c>
      <c r="P2488" s="66" t="str">
        <f t="shared" si="272"/>
        <v/>
      </c>
    </row>
    <row r="2489" spans="8:16">
      <c r="H2489" s="66" t="e">
        <f>IF(LEFT(A2489,6)="CEPNTR","GPINS",VLOOKUP(LEFT(A2489,6),'Code Library'!$A$3:$B$920,2,0))&amp;"_"&amp;RIGHT(A2489,3)</f>
        <v>#N/A</v>
      </c>
      <c r="I2489" s="66">
        <f t="shared" si="266"/>
        <v>0</v>
      </c>
      <c r="K2489" s="66" t="str">
        <f t="shared" si="267"/>
        <v/>
      </c>
      <c r="L2489" s="66" t="str">
        <f t="shared" si="268"/>
        <v/>
      </c>
      <c r="M2489" s="66" t="str">
        <f t="shared" si="269"/>
        <v/>
      </c>
      <c r="N2489" s="66" t="str">
        <f t="shared" si="270"/>
        <v/>
      </c>
      <c r="O2489" s="66" t="str">
        <f t="shared" si="271"/>
        <v/>
      </c>
      <c r="P2489" s="66" t="str">
        <f t="shared" si="272"/>
        <v/>
      </c>
    </row>
    <row r="2490" spans="8:16">
      <c r="H2490" s="66" t="e">
        <f>IF(LEFT(A2490,6)="CEPNTR","GPINS",VLOOKUP(LEFT(A2490,6),'Code Library'!$A$3:$B$920,2,0))&amp;"_"&amp;RIGHT(A2490,3)</f>
        <v>#N/A</v>
      </c>
      <c r="I2490" s="66">
        <f t="shared" si="266"/>
        <v>0</v>
      </c>
      <c r="K2490" s="66" t="str">
        <f t="shared" si="267"/>
        <v/>
      </c>
      <c r="L2490" s="66" t="str">
        <f t="shared" si="268"/>
        <v/>
      </c>
      <c r="M2490" s="66" t="str">
        <f t="shared" si="269"/>
        <v/>
      </c>
      <c r="N2490" s="66" t="str">
        <f t="shared" si="270"/>
        <v/>
      </c>
      <c r="O2490" s="66" t="str">
        <f t="shared" si="271"/>
        <v/>
      </c>
      <c r="P2490" s="66" t="str">
        <f t="shared" si="272"/>
        <v/>
      </c>
    </row>
    <row r="2491" spans="8:16">
      <c r="H2491" s="66" t="e">
        <f>IF(LEFT(A2491,6)="CEPNTR","GPINS",VLOOKUP(LEFT(A2491,6),'Code Library'!$A$3:$B$920,2,0))&amp;"_"&amp;RIGHT(A2491,3)</f>
        <v>#N/A</v>
      </c>
      <c r="I2491" s="66">
        <f t="shared" si="266"/>
        <v>0</v>
      </c>
      <c r="K2491" s="66" t="str">
        <f t="shared" si="267"/>
        <v/>
      </c>
      <c r="L2491" s="66" t="str">
        <f t="shared" si="268"/>
        <v/>
      </c>
      <c r="M2491" s="66" t="str">
        <f t="shared" si="269"/>
        <v/>
      </c>
      <c r="N2491" s="66" t="str">
        <f t="shared" si="270"/>
        <v/>
      </c>
      <c r="O2491" s="66" t="str">
        <f t="shared" si="271"/>
        <v/>
      </c>
      <c r="P2491" s="66" t="str">
        <f t="shared" si="272"/>
        <v/>
      </c>
    </row>
    <row r="2492" spans="8:16">
      <c r="H2492" s="66" t="e">
        <f>IF(LEFT(A2492,6)="CEPNTR","GPINS",VLOOKUP(LEFT(A2492,6),'Code Library'!$A$3:$B$920,2,0))&amp;"_"&amp;RIGHT(A2492,3)</f>
        <v>#N/A</v>
      </c>
      <c r="I2492" s="66">
        <f t="shared" si="266"/>
        <v>0</v>
      </c>
      <c r="K2492" s="66" t="str">
        <f t="shared" si="267"/>
        <v/>
      </c>
      <c r="L2492" s="66" t="str">
        <f t="shared" si="268"/>
        <v/>
      </c>
      <c r="M2492" s="66" t="str">
        <f t="shared" si="269"/>
        <v/>
      </c>
      <c r="N2492" s="66" t="str">
        <f t="shared" si="270"/>
        <v/>
      </c>
      <c r="O2492" s="66" t="str">
        <f t="shared" si="271"/>
        <v/>
      </c>
      <c r="P2492" s="66" t="str">
        <f t="shared" si="272"/>
        <v/>
      </c>
    </row>
    <row r="2493" spans="8:16">
      <c r="H2493" s="66" t="e">
        <f>IF(LEFT(A2493,6)="CEPNTR","GPINS",VLOOKUP(LEFT(A2493,6),'Code Library'!$A$3:$B$920,2,0))&amp;"_"&amp;RIGHT(A2493,3)</f>
        <v>#N/A</v>
      </c>
      <c r="I2493" s="66">
        <f t="shared" si="266"/>
        <v>0</v>
      </c>
      <c r="K2493" s="66" t="str">
        <f t="shared" si="267"/>
        <v/>
      </c>
      <c r="L2493" s="66" t="str">
        <f t="shared" si="268"/>
        <v/>
      </c>
      <c r="M2493" s="66" t="str">
        <f t="shared" si="269"/>
        <v/>
      </c>
      <c r="N2493" s="66" t="str">
        <f t="shared" si="270"/>
        <v/>
      </c>
      <c r="O2493" s="66" t="str">
        <f t="shared" si="271"/>
        <v/>
      </c>
      <c r="P2493" s="66" t="str">
        <f t="shared" si="272"/>
        <v/>
      </c>
    </row>
    <row r="2494" spans="8:16">
      <c r="H2494" s="66" t="e">
        <f>IF(LEFT(A2494,6)="CEPNTR","GPINS",VLOOKUP(LEFT(A2494,6),'Code Library'!$A$3:$B$920,2,0))&amp;"_"&amp;RIGHT(A2494,3)</f>
        <v>#N/A</v>
      </c>
      <c r="I2494" s="66">
        <f t="shared" si="266"/>
        <v>0</v>
      </c>
      <c r="K2494" s="66" t="str">
        <f t="shared" si="267"/>
        <v/>
      </c>
      <c r="L2494" s="66" t="str">
        <f t="shared" si="268"/>
        <v/>
      </c>
      <c r="M2494" s="66" t="str">
        <f t="shared" si="269"/>
        <v/>
      </c>
      <c r="N2494" s="66" t="str">
        <f t="shared" si="270"/>
        <v/>
      </c>
      <c r="O2494" s="66" t="str">
        <f t="shared" si="271"/>
        <v/>
      </c>
      <c r="P2494" s="66" t="str">
        <f t="shared" si="272"/>
        <v/>
      </c>
    </row>
    <row r="2495" spans="8:16">
      <c r="H2495" s="66" t="e">
        <f>IF(LEFT(A2495,6)="CEPNTR","GPINS",VLOOKUP(LEFT(A2495,6),'Code Library'!$A$3:$B$920,2,0))&amp;"_"&amp;RIGHT(A2495,3)</f>
        <v>#N/A</v>
      </c>
      <c r="I2495" s="66">
        <f t="shared" si="266"/>
        <v>0</v>
      </c>
      <c r="K2495" s="66" t="str">
        <f t="shared" si="267"/>
        <v/>
      </c>
      <c r="L2495" s="66" t="str">
        <f t="shared" si="268"/>
        <v/>
      </c>
      <c r="M2495" s="66" t="str">
        <f t="shared" si="269"/>
        <v/>
      </c>
      <c r="N2495" s="66" t="str">
        <f t="shared" si="270"/>
        <v/>
      </c>
      <c r="O2495" s="66" t="str">
        <f t="shared" si="271"/>
        <v/>
      </c>
      <c r="P2495" s="66" t="str">
        <f t="shared" si="272"/>
        <v/>
      </c>
    </row>
    <row r="2496" spans="8:16">
      <c r="H2496" s="66" t="e">
        <f>IF(LEFT(A2496,6)="CEPNTR","GPINS",VLOOKUP(LEFT(A2496,6),'Code Library'!$A$3:$B$920,2,0))&amp;"_"&amp;RIGHT(A2496,3)</f>
        <v>#N/A</v>
      </c>
      <c r="I2496" s="66">
        <f t="shared" si="266"/>
        <v>0</v>
      </c>
      <c r="K2496" s="66" t="str">
        <f t="shared" si="267"/>
        <v/>
      </c>
      <c r="L2496" s="66" t="str">
        <f t="shared" si="268"/>
        <v/>
      </c>
      <c r="M2496" s="66" t="str">
        <f t="shared" si="269"/>
        <v/>
      </c>
      <c r="N2496" s="66" t="str">
        <f t="shared" si="270"/>
        <v/>
      </c>
      <c r="O2496" s="66" t="str">
        <f t="shared" si="271"/>
        <v/>
      </c>
      <c r="P2496" s="66" t="str">
        <f t="shared" si="272"/>
        <v/>
      </c>
    </row>
    <row r="2497" spans="8:16">
      <c r="H2497" s="66" t="e">
        <f>IF(LEFT(A2497,6)="CEPNTR","GPINS",VLOOKUP(LEFT(A2497,6),'Code Library'!$A$3:$B$920,2,0))&amp;"_"&amp;RIGHT(A2497,3)</f>
        <v>#N/A</v>
      </c>
      <c r="I2497" s="66">
        <f t="shared" si="266"/>
        <v>0</v>
      </c>
      <c r="K2497" s="66" t="str">
        <f t="shared" si="267"/>
        <v/>
      </c>
      <c r="L2497" s="66" t="str">
        <f t="shared" si="268"/>
        <v/>
      </c>
      <c r="M2497" s="66" t="str">
        <f t="shared" si="269"/>
        <v/>
      </c>
      <c r="N2497" s="66" t="str">
        <f t="shared" si="270"/>
        <v/>
      </c>
      <c r="O2497" s="66" t="str">
        <f t="shared" si="271"/>
        <v/>
      </c>
      <c r="P2497" s="66" t="str">
        <f t="shared" si="272"/>
        <v/>
      </c>
    </row>
    <row r="2498" spans="8:16">
      <c r="H2498" s="66" t="e">
        <f>IF(LEFT(A2498,6)="CEPNTR","GPINS",VLOOKUP(LEFT(A2498,6),'Code Library'!$A$3:$B$920,2,0))&amp;"_"&amp;RIGHT(A2498,3)</f>
        <v>#N/A</v>
      </c>
      <c r="I2498" s="66">
        <f t="shared" si="266"/>
        <v>0</v>
      </c>
      <c r="K2498" s="66" t="str">
        <f t="shared" si="267"/>
        <v/>
      </c>
      <c r="L2498" s="66" t="str">
        <f t="shared" si="268"/>
        <v/>
      </c>
      <c r="M2498" s="66" t="str">
        <f t="shared" si="269"/>
        <v/>
      </c>
      <c r="N2498" s="66" t="str">
        <f t="shared" si="270"/>
        <v/>
      </c>
      <c r="O2498" s="66" t="str">
        <f t="shared" si="271"/>
        <v/>
      </c>
      <c r="P2498" s="66" t="str">
        <f t="shared" si="272"/>
        <v/>
      </c>
    </row>
    <row r="2499" spans="8:16">
      <c r="H2499" s="66" t="e">
        <f>IF(LEFT(A2499,6)="CEPNTR","GPINS",VLOOKUP(LEFT(A2499,6),'Code Library'!$A$3:$B$920,2,0))&amp;"_"&amp;RIGHT(A2499,3)</f>
        <v>#N/A</v>
      </c>
      <c r="I2499" s="66">
        <f t="shared" ref="I2499:I2562" si="273">A2499</f>
        <v>0</v>
      </c>
      <c r="K2499" s="66" t="str">
        <f t="shared" ref="K2499:K2562" si="274">RIGHT($B2499,2)</f>
        <v/>
      </c>
      <c r="L2499" s="66" t="str">
        <f t="shared" ref="L2499:L2562" si="275">LEFT(RIGHT($B2499,7),4)</f>
        <v/>
      </c>
      <c r="M2499" s="66" t="str">
        <f t="shared" ref="M2499:M2562" si="276">LEFT(RIGHT($B2499,10),2)</f>
        <v/>
      </c>
      <c r="N2499" s="66" t="str">
        <f t="shared" ref="N2499:N2562" si="277">LEFT(RIGHT($B2499,14),3)</f>
        <v/>
      </c>
      <c r="O2499" s="66" t="str">
        <f t="shared" ref="O2499:O2562" si="278">LEFT(RIGHT($B2499,16),1)</f>
        <v/>
      </c>
      <c r="P2499" s="66" t="str">
        <f t="shared" ref="P2499:P2562" si="279">LEFT(RIGHT($B2499,19),2)</f>
        <v/>
      </c>
    </row>
    <row r="2500" spans="8:16">
      <c r="H2500" s="66" t="e">
        <f>IF(LEFT(A2500,6)="CEPNTR","GPINS",VLOOKUP(LEFT(A2500,6),'Code Library'!$A$3:$B$920,2,0))&amp;"_"&amp;RIGHT(A2500,3)</f>
        <v>#N/A</v>
      </c>
      <c r="I2500" s="66">
        <f t="shared" si="273"/>
        <v>0</v>
      </c>
      <c r="K2500" s="66" t="str">
        <f t="shared" si="274"/>
        <v/>
      </c>
      <c r="L2500" s="66" t="str">
        <f t="shared" si="275"/>
        <v/>
      </c>
      <c r="M2500" s="66" t="str">
        <f t="shared" si="276"/>
        <v/>
      </c>
      <c r="N2500" s="66" t="str">
        <f t="shared" si="277"/>
        <v/>
      </c>
      <c r="O2500" s="66" t="str">
        <f t="shared" si="278"/>
        <v/>
      </c>
      <c r="P2500" s="66" t="str">
        <f t="shared" si="279"/>
        <v/>
      </c>
    </row>
    <row r="2501" spans="8:16">
      <c r="H2501" s="66" t="e">
        <f>IF(LEFT(A2501,6)="CEPNTR","GPINS",VLOOKUP(LEFT(A2501,6),'Code Library'!$A$3:$B$920,2,0))&amp;"_"&amp;RIGHT(A2501,3)</f>
        <v>#N/A</v>
      </c>
      <c r="I2501" s="66">
        <f t="shared" si="273"/>
        <v>0</v>
      </c>
      <c r="K2501" s="66" t="str">
        <f t="shared" si="274"/>
        <v/>
      </c>
      <c r="L2501" s="66" t="str">
        <f t="shared" si="275"/>
        <v/>
      </c>
      <c r="M2501" s="66" t="str">
        <f t="shared" si="276"/>
        <v/>
      </c>
      <c r="N2501" s="66" t="str">
        <f t="shared" si="277"/>
        <v/>
      </c>
      <c r="O2501" s="66" t="str">
        <f t="shared" si="278"/>
        <v/>
      </c>
      <c r="P2501" s="66" t="str">
        <f t="shared" si="279"/>
        <v/>
      </c>
    </row>
    <row r="2502" spans="8:16">
      <c r="H2502" s="66" t="e">
        <f>IF(LEFT(A2502,6)="CEPNTR","GPINS",VLOOKUP(LEFT(A2502,6),'Code Library'!$A$3:$B$920,2,0))&amp;"_"&amp;RIGHT(A2502,3)</f>
        <v>#N/A</v>
      </c>
      <c r="I2502" s="66">
        <f t="shared" si="273"/>
        <v>0</v>
      </c>
      <c r="K2502" s="66" t="str">
        <f t="shared" si="274"/>
        <v/>
      </c>
      <c r="L2502" s="66" t="str">
        <f t="shared" si="275"/>
        <v/>
      </c>
      <c r="M2502" s="66" t="str">
        <f t="shared" si="276"/>
        <v/>
      </c>
      <c r="N2502" s="66" t="str">
        <f t="shared" si="277"/>
        <v/>
      </c>
      <c r="O2502" s="66" t="str">
        <f t="shared" si="278"/>
        <v/>
      </c>
      <c r="P2502" s="66" t="str">
        <f t="shared" si="279"/>
        <v/>
      </c>
    </row>
    <row r="2503" spans="8:16">
      <c r="H2503" s="66" t="e">
        <f>IF(LEFT(A2503,6)="CEPNTR","GPINS",VLOOKUP(LEFT(A2503,6),'Code Library'!$A$3:$B$920,2,0))&amp;"_"&amp;RIGHT(A2503,3)</f>
        <v>#N/A</v>
      </c>
      <c r="I2503" s="66">
        <f t="shared" si="273"/>
        <v>0</v>
      </c>
      <c r="K2503" s="66" t="str">
        <f t="shared" si="274"/>
        <v/>
      </c>
      <c r="L2503" s="66" t="str">
        <f t="shared" si="275"/>
        <v/>
      </c>
      <c r="M2503" s="66" t="str">
        <f t="shared" si="276"/>
        <v/>
      </c>
      <c r="N2503" s="66" t="str">
        <f t="shared" si="277"/>
        <v/>
      </c>
      <c r="O2503" s="66" t="str">
        <f t="shared" si="278"/>
        <v/>
      </c>
      <c r="P2503" s="66" t="str">
        <f t="shared" si="279"/>
        <v/>
      </c>
    </row>
    <row r="2504" spans="8:16">
      <c r="H2504" s="66" t="e">
        <f>IF(LEFT(A2504,6)="CEPNTR","GPINS",VLOOKUP(LEFT(A2504,6),'Code Library'!$A$3:$B$920,2,0))&amp;"_"&amp;RIGHT(A2504,3)</f>
        <v>#N/A</v>
      </c>
      <c r="I2504" s="66">
        <f t="shared" si="273"/>
        <v>0</v>
      </c>
      <c r="K2504" s="66" t="str">
        <f t="shared" si="274"/>
        <v/>
      </c>
      <c r="L2504" s="66" t="str">
        <f t="shared" si="275"/>
        <v/>
      </c>
      <c r="M2504" s="66" t="str">
        <f t="shared" si="276"/>
        <v/>
      </c>
      <c r="N2504" s="66" t="str">
        <f t="shared" si="277"/>
        <v/>
      </c>
      <c r="O2504" s="66" t="str">
        <f t="shared" si="278"/>
        <v/>
      </c>
      <c r="P2504" s="66" t="str">
        <f t="shared" si="279"/>
        <v/>
      </c>
    </row>
    <row r="2505" spans="8:16">
      <c r="H2505" s="66" t="e">
        <f>IF(LEFT(A2505,6)="CEPNTR","GPINS",VLOOKUP(LEFT(A2505,6),'Code Library'!$A$3:$B$920,2,0))&amp;"_"&amp;RIGHT(A2505,3)</f>
        <v>#N/A</v>
      </c>
      <c r="I2505" s="66">
        <f t="shared" si="273"/>
        <v>0</v>
      </c>
      <c r="K2505" s="66" t="str">
        <f t="shared" si="274"/>
        <v/>
      </c>
      <c r="L2505" s="66" t="str">
        <f t="shared" si="275"/>
        <v/>
      </c>
      <c r="M2505" s="66" t="str">
        <f t="shared" si="276"/>
        <v/>
      </c>
      <c r="N2505" s="66" t="str">
        <f t="shared" si="277"/>
        <v/>
      </c>
      <c r="O2505" s="66" t="str">
        <f t="shared" si="278"/>
        <v/>
      </c>
      <c r="P2505" s="66" t="str">
        <f t="shared" si="279"/>
        <v/>
      </c>
    </row>
    <row r="2506" spans="8:16">
      <c r="H2506" s="66" t="e">
        <f>IF(LEFT(A2506,6)="CEPNTR","GPINS",VLOOKUP(LEFT(A2506,6),'Code Library'!$A$3:$B$920,2,0))&amp;"_"&amp;RIGHT(A2506,3)</f>
        <v>#N/A</v>
      </c>
      <c r="I2506" s="66">
        <f t="shared" si="273"/>
        <v>0</v>
      </c>
      <c r="K2506" s="66" t="str">
        <f t="shared" si="274"/>
        <v/>
      </c>
      <c r="L2506" s="66" t="str">
        <f t="shared" si="275"/>
        <v/>
      </c>
      <c r="M2506" s="66" t="str">
        <f t="shared" si="276"/>
        <v/>
      </c>
      <c r="N2506" s="66" t="str">
        <f t="shared" si="277"/>
        <v/>
      </c>
      <c r="O2506" s="66" t="str">
        <f t="shared" si="278"/>
        <v/>
      </c>
      <c r="P2506" s="66" t="str">
        <f t="shared" si="279"/>
        <v/>
      </c>
    </row>
    <row r="2507" spans="8:16">
      <c r="H2507" s="66" t="e">
        <f>IF(LEFT(A2507,6)="CEPNTR","GPINS",VLOOKUP(LEFT(A2507,6),'Code Library'!$A$3:$B$920,2,0))&amp;"_"&amp;RIGHT(A2507,3)</f>
        <v>#N/A</v>
      </c>
      <c r="I2507" s="66">
        <f t="shared" si="273"/>
        <v>0</v>
      </c>
      <c r="K2507" s="66" t="str">
        <f t="shared" si="274"/>
        <v/>
      </c>
      <c r="L2507" s="66" t="str">
        <f t="shared" si="275"/>
        <v/>
      </c>
      <c r="M2507" s="66" t="str">
        <f t="shared" si="276"/>
        <v/>
      </c>
      <c r="N2507" s="66" t="str">
        <f t="shared" si="277"/>
        <v/>
      </c>
      <c r="O2507" s="66" t="str">
        <f t="shared" si="278"/>
        <v/>
      </c>
      <c r="P2507" s="66" t="str">
        <f t="shared" si="279"/>
        <v/>
      </c>
    </row>
    <row r="2508" spans="8:16">
      <c r="H2508" s="66" t="e">
        <f>IF(LEFT(A2508,6)="CEPNTR","GPINS",VLOOKUP(LEFT(A2508,6),'Code Library'!$A$3:$B$920,2,0))&amp;"_"&amp;RIGHT(A2508,3)</f>
        <v>#N/A</v>
      </c>
      <c r="I2508" s="66">
        <f t="shared" si="273"/>
        <v>0</v>
      </c>
      <c r="K2508" s="66" t="str">
        <f t="shared" si="274"/>
        <v/>
      </c>
      <c r="L2508" s="66" t="str">
        <f t="shared" si="275"/>
        <v/>
      </c>
      <c r="M2508" s="66" t="str">
        <f t="shared" si="276"/>
        <v/>
      </c>
      <c r="N2508" s="66" t="str">
        <f t="shared" si="277"/>
        <v/>
      </c>
      <c r="O2508" s="66" t="str">
        <f t="shared" si="278"/>
        <v/>
      </c>
      <c r="P2508" s="66" t="str">
        <f t="shared" si="279"/>
        <v/>
      </c>
    </row>
    <row r="2509" spans="8:16">
      <c r="H2509" s="66" t="e">
        <f>IF(LEFT(A2509,6)="CEPNTR","GPINS",VLOOKUP(LEFT(A2509,6),'Code Library'!$A$3:$B$920,2,0))&amp;"_"&amp;RIGHT(A2509,3)</f>
        <v>#N/A</v>
      </c>
      <c r="I2509" s="66">
        <f t="shared" si="273"/>
        <v>0</v>
      </c>
      <c r="K2509" s="66" t="str">
        <f t="shared" si="274"/>
        <v/>
      </c>
      <c r="L2509" s="66" t="str">
        <f t="shared" si="275"/>
        <v/>
      </c>
      <c r="M2509" s="66" t="str">
        <f t="shared" si="276"/>
        <v/>
      </c>
      <c r="N2509" s="66" t="str">
        <f t="shared" si="277"/>
        <v/>
      </c>
      <c r="O2509" s="66" t="str">
        <f t="shared" si="278"/>
        <v/>
      </c>
      <c r="P2509" s="66" t="str">
        <f t="shared" si="279"/>
        <v/>
      </c>
    </row>
    <row r="2510" spans="8:16">
      <c r="H2510" s="66" t="e">
        <f>IF(LEFT(A2510,6)="CEPNTR","GPINS",VLOOKUP(LEFT(A2510,6),'Code Library'!$A$3:$B$920,2,0))&amp;"_"&amp;RIGHT(A2510,3)</f>
        <v>#N/A</v>
      </c>
      <c r="I2510" s="66">
        <f t="shared" si="273"/>
        <v>0</v>
      </c>
      <c r="K2510" s="66" t="str">
        <f t="shared" si="274"/>
        <v/>
      </c>
      <c r="L2510" s="66" t="str">
        <f t="shared" si="275"/>
        <v/>
      </c>
      <c r="M2510" s="66" t="str">
        <f t="shared" si="276"/>
        <v/>
      </c>
      <c r="N2510" s="66" t="str">
        <f t="shared" si="277"/>
        <v/>
      </c>
      <c r="O2510" s="66" t="str">
        <f t="shared" si="278"/>
        <v/>
      </c>
      <c r="P2510" s="66" t="str">
        <f t="shared" si="279"/>
        <v/>
      </c>
    </row>
    <row r="2511" spans="8:16">
      <c r="H2511" s="66" t="e">
        <f>IF(LEFT(A2511,6)="CEPNTR","GPINS",VLOOKUP(LEFT(A2511,6),'Code Library'!$A$3:$B$920,2,0))&amp;"_"&amp;RIGHT(A2511,3)</f>
        <v>#N/A</v>
      </c>
      <c r="I2511" s="66">
        <f t="shared" si="273"/>
        <v>0</v>
      </c>
      <c r="K2511" s="66" t="str">
        <f t="shared" si="274"/>
        <v/>
      </c>
      <c r="L2511" s="66" t="str">
        <f t="shared" si="275"/>
        <v/>
      </c>
      <c r="M2511" s="66" t="str">
        <f t="shared" si="276"/>
        <v/>
      </c>
      <c r="N2511" s="66" t="str">
        <f t="shared" si="277"/>
        <v/>
      </c>
      <c r="O2511" s="66" t="str">
        <f t="shared" si="278"/>
        <v/>
      </c>
      <c r="P2511" s="66" t="str">
        <f t="shared" si="279"/>
        <v/>
      </c>
    </row>
    <row r="2512" spans="8:16">
      <c r="H2512" s="66" t="e">
        <f>IF(LEFT(A2512,6)="CEPNTR","GPINS",VLOOKUP(LEFT(A2512,6),'Code Library'!$A$3:$B$920,2,0))&amp;"_"&amp;RIGHT(A2512,3)</f>
        <v>#N/A</v>
      </c>
      <c r="I2512" s="66">
        <f t="shared" si="273"/>
        <v>0</v>
      </c>
      <c r="K2512" s="66" t="str">
        <f t="shared" si="274"/>
        <v/>
      </c>
      <c r="L2512" s="66" t="str">
        <f t="shared" si="275"/>
        <v/>
      </c>
      <c r="M2512" s="66" t="str">
        <f t="shared" si="276"/>
        <v/>
      </c>
      <c r="N2512" s="66" t="str">
        <f t="shared" si="277"/>
        <v/>
      </c>
      <c r="O2512" s="66" t="str">
        <f t="shared" si="278"/>
        <v/>
      </c>
      <c r="P2512" s="66" t="str">
        <f t="shared" si="279"/>
        <v/>
      </c>
    </row>
    <row r="2513" spans="8:16">
      <c r="H2513" s="66" t="e">
        <f>IF(LEFT(A2513,6)="CEPNTR","GPINS",VLOOKUP(LEFT(A2513,6),'Code Library'!$A$3:$B$920,2,0))&amp;"_"&amp;RIGHT(A2513,3)</f>
        <v>#N/A</v>
      </c>
      <c r="I2513" s="66">
        <f t="shared" si="273"/>
        <v>0</v>
      </c>
      <c r="K2513" s="66" t="str">
        <f t="shared" si="274"/>
        <v/>
      </c>
      <c r="L2513" s="66" t="str">
        <f t="shared" si="275"/>
        <v/>
      </c>
      <c r="M2513" s="66" t="str">
        <f t="shared" si="276"/>
        <v/>
      </c>
      <c r="N2513" s="66" t="str">
        <f t="shared" si="277"/>
        <v/>
      </c>
      <c r="O2513" s="66" t="str">
        <f t="shared" si="278"/>
        <v/>
      </c>
      <c r="P2513" s="66" t="str">
        <f t="shared" si="279"/>
        <v/>
      </c>
    </row>
    <row r="2514" spans="8:16">
      <c r="H2514" s="66" t="e">
        <f>IF(LEFT(A2514,6)="CEPNTR","GPINS",VLOOKUP(LEFT(A2514,6),'Code Library'!$A$3:$B$920,2,0))&amp;"_"&amp;RIGHT(A2514,3)</f>
        <v>#N/A</v>
      </c>
      <c r="I2514" s="66">
        <f t="shared" si="273"/>
        <v>0</v>
      </c>
      <c r="K2514" s="66" t="str">
        <f t="shared" si="274"/>
        <v/>
      </c>
      <c r="L2514" s="66" t="str">
        <f t="shared" si="275"/>
        <v/>
      </c>
      <c r="M2514" s="66" t="str">
        <f t="shared" si="276"/>
        <v/>
      </c>
      <c r="N2514" s="66" t="str">
        <f t="shared" si="277"/>
        <v/>
      </c>
      <c r="O2514" s="66" t="str">
        <f t="shared" si="278"/>
        <v/>
      </c>
      <c r="P2514" s="66" t="str">
        <f t="shared" si="279"/>
        <v/>
      </c>
    </row>
    <row r="2515" spans="8:16">
      <c r="H2515" s="66" t="e">
        <f>IF(LEFT(A2515,6)="CEPNTR","GPINS",VLOOKUP(LEFT(A2515,6),'Code Library'!$A$3:$B$920,2,0))&amp;"_"&amp;RIGHT(A2515,3)</f>
        <v>#N/A</v>
      </c>
      <c r="I2515" s="66">
        <f t="shared" si="273"/>
        <v>0</v>
      </c>
      <c r="K2515" s="66" t="str">
        <f t="shared" si="274"/>
        <v/>
      </c>
      <c r="L2515" s="66" t="str">
        <f t="shared" si="275"/>
        <v/>
      </c>
      <c r="M2515" s="66" t="str">
        <f t="shared" si="276"/>
        <v/>
      </c>
      <c r="N2515" s="66" t="str">
        <f t="shared" si="277"/>
        <v/>
      </c>
      <c r="O2515" s="66" t="str">
        <f t="shared" si="278"/>
        <v/>
      </c>
      <c r="P2515" s="66" t="str">
        <f t="shared" si="279"/>
        <v/>
      </c>
    </row>
    <row r="2516" spans="8:16">
      <c r="H2516" s="66" t="e">
        <f>IF(LEFT(A2516,6)="CEPNTR","GPINS",VLOOKUP(LEFT(A2516,6),'Code Library'!$A$3:$B$920,2,0))&amp;"_"&amp;RIGHT(A2516,3)</f>
        <v>#N/A</v>
      </c>
      <c r="I2516" s="66">
        <f t="shared" si="273"/>
        <v>0</v>
      </c>
      <c r="K2516" s="66" t="str">
        <f t="shared" si="274"/>
        <v/>
      </c>
      <c r="L2516" s="66" t="str">
        <f t="shared" si="275"/>
        <v/>
      </c>
      <c r="M2516" s="66" t="str">
        <f t="shared" si="276"/>
        <v/>
      </c>
      <c r="N2516" s="66" t="str">
        <f t="shared" si="277"/>
        <v/>
      </c>
      <c r="O2516" s="66" t="str">
        <f t="shared" si="278"/>
        <v/>
      </c>
      <c r="P2516" s="66" t="str">
        <f t="shared" si="279"/>
        <v/>
      </c>
    </row>
    <row r="2517" spans="8:16">
      <c r="H2517" s="66" t="e">
        <f>IF(LEFT(A2517,6)="CEPNTR","GPINS",VLOOKUP(LEFT(A2517,6),'Code Library'!$A$3:$B$920,2,0))&amp;"_"&amp;RIGHT(A2517,3)</f>
        <v>#N/A</v>
      </c>
      <c r="I2517" s="66">
        <f t="shared" si="273"/>
        <v>0</v>
      </c>
      <c r="K2517" s="66" t="str">
        <f t="shared" si="274"/>
        <v/>
      </c>
      <c r="L2517" s="66" t="str">
        <f t="shared" si="275"/>
        <v/>
      </c>
      <c r="M2517" s="66" t="str">
        <f t="shared" si="276"/>
        <v/>
      </c>
      <c r="N2517" s="66" t="str">
        <f t="shared" si="277"/>
        <v/>
      </c>
      <c r="O2517" s="66" t="str">
        <f t="shared" si="278"/>
        <v/>
      </c>
      <c r="P2517" s="66" t="str">
        <f t="shared" si="279"/>
        <v/>
      </c>
    </row>
    <row r="2518" spans="8:16">
      <c r="H2518" s="66" t="e">
        <f>IF(LEFT(A2518,6)="CEPNTR","GPINS",VLOOKUP(LEFT(A2518,6),'Code Library'!$A$3:$B$920,2,0))&amp;"_"&amp;RIGHT(A2518,3)</f>
        <v>#N/A</v>
      </c>
      <c r="I2518" s="66">
        <f t="shared" si="273"/>
        <v>0</v>
      </c>
      <c r="K2518" s="66" t="str">
        <f t="shared" si="274"/>
        <v/>
      </c>
      <c r="L2518" s="66" t="str">
        <f t="shared" si="275"/>
        <v/>
      </c>
      <c r="M2518" s="66" t="str">
        <f t="shared" si="276"/>
        <v/>
      </c>
      <c r="N2518" s="66" t="str">
        <f t="shared" si="277"/>
        <v/>
      </c>
      <c r="O2518" s="66" t="str">
        <f t="shared" si="278"/>
        <v/>
      </c>
      <c r="P2518" s="66" t="str">
        <f t="shared" si="279"/>
        <v/>
      </c>
    </row>
    <row r="2519" spans="8:16">
      <c r="H2519" s="66" t="e">
        <f>IF(LEFT(A2519,6)="CEPNTR","GPINS",VLOOKUP(LEFT(A2519,6),'Code Library'!$A$3:$B$920,2,0))&amp;"_"&amp;RIGHT(A2519,3)</f>
        <v>#N/A</v>
      </c>
      <c r="I2519" s="66">
        <f t="shared" si="273"/>
        <v>0</v>
      </c>
      <c r="K2519" s="66" t="str">
        <f t="shared" si="274"/>
        <v/>
      </c>
      <c r="L2519" s="66" t="str">
        <f t="shared" si="275"/>
        <v/>
      </c>
      <c r="M2519" s="66" t="str">
        <f t="shared" si="276"/>
        <v/>
      </c>
      <c r="N2519" s="66" t="str">
        <f t="shared" si="277"/>
        <v/>
      </c>
      <c r="O2519" s="66" t="str">
        <f t="shared" si="278"/>
        <v/>
      </c>
      <c r="P2519" s="66" t="str">
        <f t="shared" si="279"/>
        <v/>
      </c>
    </row>
    <row r="2520" spans="8:16">
      <c r="H2520" s="66" t="e">
        <f>IF(LEFT(A2520,6)="CEPNTR","GPINS",VLOOKUP(LEFT(A2520,6),'Code Library'!$A$3:$B$920,2,0))&amp;"_"&amp;RIGHT(A2520,3)</f>
        <v>#N/A</v>
      </c>
      <c r="I2520" s="66">
        <f t="shared" si="273"/>
        <v>0</v>
      </c>
      <c r="K2520" s="66" t="str">
        <f t="shared" si="274"/>
        <v/>
      </c>
      <c r="L2520" s="66" t="str">
        <f t="shared" si="275"/>
        <v/>
      </c>
      <c r="M2520" s="66" t="str">
        <f t="shared" si="276"/>
        <v/>
      </c>
      <c r="N2520" s="66" t="str">
        <f t="shared" si="277"/>
        <v/>
      </c>
      <c r="O2520" s="66" t="str">
        <f t="shared" si="278"/>
        <v/>
      </c>
      <c r="P2520" s="66" t="str">
        <f t="shared" si="279"/>
        <v/>
      </c>
    </row>
    <row r="2521" spans="8:16">
      <c r="H2521" s="66" t="e">
        <f>IF(LEFT(A2521,6)="CEPNTR","GPINS",VLOOKUP(LEFT(A2521,6),'Code Library'!$A$3:$B$920,2,0))&amp;"_"&amp;RIGHT(A2521,3)</f>
        <v>#N/A</v>
      </c>
      <c r="I2521" s="66">
        <f t="shared" si="273"/>
        <v>0</v>
      </c>
      <c r="K2521" s="66" t="str">
        <f t="shared" si="274"/>
        <v/>
      </c>
      <c r="L2521" s="66" t="str">
        <f t="shared" si="275"/>
        <v/>
      </c>
      <c r="M2521" s="66" t="str">
        <f t="shared" si="276"/>
        <v/>
      </c>
      <c r="N2521" s="66" t="str">
        <f t="shared" si="277"/>
        <v/>
      </c>
      <c r="O2521" s="66" t="str">
        <f t="shared" si="278"/>
        <v/>
      </c>
      <c r="P2521" s="66" t="str">
        <f t="shared" si="279"/>
        <v/>
      </c>
    </row>
    <row r="2522" spans="8:16">
      <c r="H2522" s="66" t="e">
        <f>IF(LEFT(A2522,6)="CEPNTR","GPINS",VLOOKUP(LEFT(A2522,6),'Code Library'!$A$3:$B$920,2,0))&amp;"_"&amp;RIGHT(A2522,3)</f>
        <v>#N/A</v>
      </c>
      <c r="I2522" s="66">
        <f t="shared" si="273"/>
        <v>0</v>
      </c>
      <c r="K2522" s="66" t="str">
        <f t="shared" si="274"/>
        <v/>
      </c>
      <c r="L2522" s="66" t="str">
        <f t="shared" si="275"/>
        <v/>
      </c>
      <c r="M2522" s="66" t="str">
        <f t="shared" si="276"/>
        <v/>
      </c>
      <c r="N2522" s="66" t="str">
        <f t="shared" si="277"/>
        <v/>
      </c>
      <c r="O2522" s="66" t="str">
        <f t="shared" si="278"/>
        <v/>
      </c>
      <c r="P2522" s="66" t="str">
        <f t="shared" si="279"/>
        <v/>
      </c>
    </row>
    <row r="2523" spans="8:16">
      <c r="H2523" s="66" t="e">
        <f>IF(LEFT(A2523,6)="CEPNTR","GPINS",VLOOKUP(LEFT(A2523,6),'Code Library'!$A$3:$B$920,2,0))&amp;"_"&amp;RIGHT(A2523,3)</f>
        <v>#N/A</v>
      </c>
      <c r="I2523" s="66">
        <f t="shared" si="273"/>
        <v>0</v>
      </c>
      <c r="K2523" s="66" t="str">
        <f t="shared" si="274"/>
        <v/>
      </c>
      <c r="L2523" s="66" t="str">
        <f t="shared" si="275"/>
        <v/>
      </c>
      <c r="M2523" s="66" t="str">
        <f t="shared" si="276"/>
        <v/>
      </c>
      <c r="N2523" s="66" t="str">
        <f t="shared" si="277"/>
        <v/>
      </c>
      <c r="O2523" s="66" t="str">
        <f t="shared" si="278"/>
        <v/>
      </c>
      <c r="P2523" s="66" t="str">
        <f t="shared" si="279"/>
        <v/>
      </c>
    </row>
    <row r="2524" spans="8:16">
      <c r="H2524" s="66" t="e">
        <f>IF(LEFT(A2524,6)="CEPNTR","GPINS",VLOOKUP(LEFT(A2524,6),'Code Library'!$A$3:$B$920,2,0))&amp;"_"&amp;RIGHT(A2524,3)</f>
        <v>#N/A</v>
      </c>
      <c r="I2524" s="66">
        <f t="shared" si="273"/>
        <v>0</v>
      </c>
      <c r="K2524" s="66" t="str">
        <f t="shared" si="274"/>
        <v/>
      </c>
      <c r="L2524" s="66" t="str">
        <f t="shared" si="275"/>
        <v/>
      </c>
      <c r="M2524" s="66" t="str">
        <f t="shared" si="276"/>
        <v/>
      </c>
      <c r="N2524" s="66" t="str">
        <f t="shared" si="277"/>
        <v/>
      </c>
      <c r="O2524" s="66" t="str">
        <f t="shared" si="278"/>
        <v/>
      </c>
      <c r="P2524" s="66" t="str">
        <f t="shared" si="279"/>
        <v/>
      </c>
    </row>
    <row r="2525" spans="8:16">
      <c r="H2525" s="66" t="e">
        <f>IF(LEFT(A2525,6)="CEPNTR","GPINS",VLOOKUP(LEFT(A2525,6),'Code Library'!$A$3:$B$920,2,0))&amp;"_"&amp;RIGHT(A2525,3)</f>
        <v>#N/A</v>
      </c>
      <c r="I2525" s="66">
        <f t="shared" si="273"/>
        <v>0</v>
      </c>
      <c r="K2525" s="66" t="str">
        <f t="shared" si="274"/>
        <v/>
      </c>
      <c r="L2525" s="66" t="str">
        <f t="shared" si="275"/>
        <v/>
      </c>
      <c r="M2525" s="66" t="str">
        <f t="shared" si="276"/>
        <v/>
      </c>
      <c r="N2525" s="66" t="str">
        <f t="shared" si="277"/>
        <v/>
      </c>
      <c r="O2525" s="66" t="str">
        <f t="shared" si="278"/>
        <v/>
      </c>
      <c r="P2525" s="66" t="str">
        <f t="shared" si="279"/>
        <v/>
      </c>
    </row>
    <row r="2526" spans="8:16">
      <c r="H2526" s="66" t="e">
        <f>IF(LEFT(A2526,6)="CEPNTR","GPINS",VLOOKUP(LEFT(A2526,6),'Code Library'!$A$3:$B$920,2,0))&amp;"_"&amp;RIGHT(A2526,3)</f>
        <v>#N/A</v>
      </c>
      <c r="I2526" s="66">
        <f t="shared" si="273"/>
        <v>0</v>
      </c>
      <c r="K2526" s="66" t="str">
        <f t="shared" si="274"/>
        <v/>
      </c>
      <c r="L2526" s="66" t="str">
        <f t="shared" si="275"/>
        <v/>
      </c>
      <c r="M2526" s="66" t="str">
        <f t="shared" si="276"/>
        <v/>
      </c>
      <c r="N2526" s="66" t="str">
        <f t="shared" si="277"/>
        <v/>
      </c>
      <c r="O2526" s="66" t="str">
        <f t="shared" si="278"/>
        <v/>
      </c>
      <c r="P2526" s="66" t="str">
        <f t="shared" si="279"/>
        <v/>
      </c>
    </row>
    <row r="2527" spans="8:16">
      <c r="H2527" s="66" t="e">
        <f>IF(LEFT(A2527,6)="CEPNTR","GPINS",VLOOKUP(LEFT(A2527,6),'Code Library'!$A$3:$B$920,2,0))&amp;"_"&amp;RIGHT(A2527,3)</f>
        <v>#N/A</v>
      </c>
      <c r="I2527" s="66">
        <f t="shared" si="273"/>
        <v>0</v>
      </c>
      <c r="K2527" s="66" t="str">
        <f t="shared" si="274"/>
        <v/>
      </c>
      <c r="L2527" s="66" t="str">
        <f t="shared" si="275"/>
        <v/>
      </c>
      <c r="M2527" s="66" t="str">
        <f t="shared" si="276"/>
        <v/>
      </c>
      <c r="N2527" s="66" t="str">
        <f t="shared" si="277"/>
        <v/>
      </c>
      <c r="O2527" s="66" t="str">
        <f t="shared" si="278"/>
        <v/>
      </c>
      <c r="P2527" s="66" t="str">
        <f t="shared" si="279"/>
        <v/>
      </c>
    </row>
    <row r="2528" spans="8:16">
      <c r="H2528" s="66" t="e">
        <f>IF(LEFT(A2528,6)="CEPNTR","GPINS",VLOOKUP(LEFT(A2528,6),'Code Library'!$A$3:$B$920,2,0))&amp;"_"&amp;RIGHT(A2528,3)</f>
        <v>#N/A</v>
      </c>
      <c r="I2528" s="66">
        <f t="shared" si="273"/>
        <v>0</v>
      </c>
      <c r="K2528" s="66" t="str">
        <f t="shared" si="274"/>
        <v/>
      </c>
      <c r="L2528" s="66" t="str">
        <f t="shared" si="275"/>
        <v/>
      </c>
      <c r="M2528" s="66" t="str">
        <f t="shared" si="276"/>
        <v/>
      </c>
      <c r="N2528" s="66" t="str">
        <f t="shared" si="277"/>
        <v/>
      </c>
      <c r="O2528" s="66" t="str">
        <f t="shared" si="278"/>
        <v/>
      </c>
      <c r="P2528" s="66" t="str">
        <f t="shared" si="279"/>
        <v/>
      </c>
    </row>
    <row r="2529" spans="8:16">
      <c r="H2529" s="66" t="e">
        <f>IF(LEFT(A2529,6)="CEPNTR","GPINS",VLOOKUP(LEFT(A2529,6),'Code Library'!$A$3:$B$920,2,0))&amp;"_"&amp;RIGHT(A2529,3)</f>
        <v>#N/A</v>
      </c>
      <c r="I2529" s="66">
        <f t="shared" si="273"/>
        <v>0</v>
      </c>
      <c r="K2529" s="66" t="str">
        <f t="shared" si="274"/>
        <v/>
      </c>
      <c r="L2529" s="66" t="str">
        <f t="shared" si="275"/>
        <v/>
      </c>
      <c r="M2529" s="66" t="str">
        <f t="shared" si="276"/>
        <v/>
      </c>
      <c r="N2529" s="66" t="str">
        <f t="shared" si="277"/>
        <v/>
      </c>
      <c r="O2529" s="66" t="str">
        <f t="shared" si="278"/>
        <v/>
      </c>
      <c r="P2529" s="66" t="str">
        <f t="shared" si="279"/>
        <v/>
      </c>
    </row>
    <row r="2530" spans="8:16">
      <c r="H2530" s="66" t="e">
        <f>IF(LEFT(A2530,6)="CEPNTR","GPINS",VLOOKUP(LEFT(A2530,6),'Code Library'!$A$3:$B$920,2,0))&amp;"_"&amp;RIGHT(A2530,3)</f>
        <v>#N/A</v>
      </c>
      <c r="I2530" s="66">
        <f t="shared" si="273"/>
        <v>0</v>
      </c>
      <c r="K2530" s="66" t="str">
        <f t="shared" si="274"/>
        <v/>
      </c>
      <c r="L2530" s="66" t="str">
        <f t="shared" si="275"/>
        <v/>
      </c>
      <c r="M2530" s="66" t="str">
        <f t="shared" si="276"/>
        <v/>
      </c>
      <c r="N2530" s="66" t="str">
        <f t="shared" si="277"/>
        <v/>
      </c>
      <c r="O2530" s="66" t="str">
        <f t="shared" si="278"/>
        <v/>
      </c>
      <c r="P2530" s="66" t="str">
        <f t="shared" si="279"/>
        <v/>
      </c>
    </row>
    <row r="2531" spans="8:16">
      <c r="H2531" s="66" t="e">
        <f>IF(LEFT(A2531,6)="CEPNTR","GPINS",VLOOKUP(LEFT(A2531,6),'Code Library'!$A$3:$B$920,2,0))&amp;"_"&amp;RIGHT(A2531,3)</f>
        <v>#N/A</v>
      </c>
      <c r="I2531" s="66">
        <f t="shared" si="273"/>
        <v>0</v>
      </c>
      <c r="K2531" s="66" t="str">
        <f t="shared" si="274"/>
        <v/>
      </c>
      <c r="L2531" s="66" t="str">
        <f t="shared" si="275"/>
        <v/>
      </c>
      <c r="M2531" s="66" t="str">
        <f t="shared" si="276"/>
        <v/>
      </c>
      <c r="N2531" s="66" t="str">
        <f t="shared" si="277"/>
        <v/>
      </c>
      <c r="O2531" s="66" t="str">
        <f t="shared" si="278"/>
        <v/>
      </c>
      <c r="P2531" s="66" t="str">
        <f t="shared" si="279"/>
        <v/>
      </c>
    </row>
    <row r="2532" spans="8:16">
      <c r="H2532" s="66" t="e">
        <f>IF(LEFT(A2532,6)="CEPNTR","GPINS",VLOOKUP(LEFT(A2532,6),'Code Library'!$A$3:$B$920,2,0))&amp;"_"&amp;RIGHT(A2532,3)</f>
        <v>#N/A</v>
      </c>
      <c r="I2532" s="66">
        <f t="shared" si="273"/>
        <v>0</v>
      </c>
      <c r="K2532" s="66" t="str">
        <f t="shared" si="274"/>
        <v/>
      </c>
      <c r="L2532" s="66" t="str">
        <f t="shared" si="275"/>
        <v/>
      </c>
      <c r="M2532" s="66" t="str">
        <f t="shared" si="276"/>
        <v/>
      </c>
      <c r="N2532" s="66" t="str">
        <f t="shared" si="277"/>
        <v/>
      </c>
      <c r="O2532" s="66" t="str">
        <f t="shared" si="278"/>
        <v/>
      </c>
      <c r="P2532" s="66" t="str">
        <f t="shared" si="279"/>
        <v/>
      </c>
    </row>
    <row r="2533" spans="8:16">
      <c r="H2533" s="66" t="e">
        <f>IF(LEFT(A2533,6)="CEPNTR","GPINS",VLOOKUP(LEFT(A2533,6),'Code Library'!$A$3:$B$920,2,0))&amp;"_"&amp;RIGHT(A2533,3)</f>
        <v>#N/A</v>
      </c>
      <c r="I2533" s="66">
        <f t="shared" si="273"/>
        <v>0</v>
      </c>
      <c r="K2533" s="66" t="str">
        <f t="shared" si="274"/>
        <v/>
      </c>
      <c r="L2533" s="66" t="str">
        <f t="shared" si="275"/>
        <v/>
      </c>
      <c r="M2533" s="66" t="str">
        <f t="shared" si="276"/>
        <v/>
      </c>
      <c r="N2533" s="66" t="str">
        <f t="shared" si="277"/>
        <v/>
      </c>
      <c r="O2533" s="66" t="str">
        <f t="shared" si="278"/>
        <v/>
      </c>
      <c r="P2533" s="66" t="str">
        <f t="shared" si="279"/>
        <v/>
      </c>
    </row>
    <row r="2534" spans="8:16">
      <c r="H2534" s="66" t="e">
        <f>IF(LEFT(A2534,6)="CEPNTR","GPINS",VLOOKUP(LEFT(A2534,6),'Code Library'!$A$3:$B$920,2,0))&amp;"_"&amp;RIGHT(A2534,3)</f>
        <v>#N/A</v>
      </c>
      <c r="I2534" s="66">
        <f t="shared" si="273"/>
        <v>0</v>
      </c>
      <c r="K2534" s="66" t="str">
        <f t="shared" si="274"/>
        <v/>
      </c>
      <c r="L2534" s="66" t="str">
        <f t="shared" si="275"/>
        <v/>
      </c>
      <c r="M2534" s="66" t="str">
        <f t="shared" si="276"/>
        <v/>
      </c>
      <c r="N2534" s="66" t="str">
        <f t="shared" si="277"/>
        <v/>
      </c>
      <c r="O2534" s="66" t="str">
        <f t="shared" si="278"/>
        <v/>
      </c>
      <c r="P2534" s="66" t="str">
        <f t="shared" si="279"/>
        <v/>
      </c>
    </row>
    <row r="2535" spans="8:16">
      <c r="H2535" s="66" t="e">
        <f>IF(LEFT(A2535,6)="CEPNTR","GPINS",VLOOKUP(LEFT(A2535,6),'Code Library'!$A$3:$B$920,2,0))&amp;"_"&amp;RIGHT(A2535,3)</f>
        <v>#N/A</v>
      </c>
      <c r="I2535" s="66">
        <f t="shared" si="273"/>
        <v>0</v>
      </c>
      <c r="K2535" s="66" t="str">
        <f t="shared" si="274"/>
        <v/>
      </c>
      <c r="L2535" s="66" t="str">
        <f t="shared" si="275"/>
        <v/>
      </c>
      <c r="M2535" s="66" t="str">
        <f t="shared" si="276"/>
        <v/>
      </c>
      <c r="N2535" s="66" t="str">
        <f t="shared" si="277"/>
        <v/>
      </c>
      <c r="O2535" s="66" t="str">
        <f t="shared" si="278"/>
        <v/>
      </c>
      <c r="P2535" s="66" t="str">
        <f t="shared" si="279"/>
        <v/>
      </c>
    </row>
    <row r="2536" spans="8:16">
      <c r="H2536" s="66" t="e">
        <f>IF(LEFT(A2536,6)="CEPNTR","GPINS",VLOOKUP(LEFT(A2536,6),'Code Library'!$A$3:$B$920,2,0))&amp;"_"&amp;RIGHT(A2536,3)</f>
        <v>#N/A</v>
      </c>
      <c r="I2536" s="66">
        <f t="shared" si="273"/>
        <v>0</v>
      </c>
      <c r="K2536" s="66" t="str">
        <f t="shared" si="274"/>
        <v/>
      </c>
      <c r="L2536" s="66" t="str">
        <f t="shared" si="275"/>
        <v/>
      </c>
      <c r="M2536" s="66" t="str">
        <f t="shared" si="276"/>
        <v/>
      </c>
      <c r="N2536" s="66" t="str">
        <f t="shared" si="277"/>
        <v/>
      </c>
      <c r="O2536" s="66" t="str">
        <f t="shared" si="278"/>
        <v/>
      </c>
      <c r="P2536" s="66" t="str">
        <f t="shared" si="279"/>
        <v/>
      </c>
    </row>
    <row r="2537" spans="8:16">
      <c r="H2537" s="66" t="e">
        <f>IF(LEFT(A2537,6)="CEPNTR","GPINS",VLOOKUP(LEFT(A2537,6),'Code Library'!$A$3:$B$920,2,0))&amp;"_"&amp;RIGHT(A2537,3)</f>
        <v>#N/A</v>
      </c>
      <c r="I2537" s="66">
        <f t="shared" si="273"/>
        <v>0</v>
      </c>
      <c r="K2537" s="66" t="str">
        <f t="shared" si="274"/>
        <v/>
      </c>
      <c r="L2537" s="66" t="str">
        <f t="shared" si="275"/>
        <v/>
      </c>
      <c r="M2537" s="66" t="str">
        <f t="shared" si="276"/>
        <v/>
      </c>
      <c r="N2537" s="66" t="str">
        <f t="shared" si="277"/>
        <v/>
      </c>
      <c r="O2537" s="66" t="str">
        <f t="shared" si="278"/>
        <v/>
      </c>
      <c r="P2537" s="66" t="str">
        <f t="shared" si="279"/>
        <v/>
      </c>
    </row>
    <row r="2538" spans="8:16">
      <c r="H2538" s="66" t="e">
        <f>IF(LEFT(A2538,6)="CEPNTR","GPINS",VLOOKUP(LEFT(A2538,6),'Code Library'!$A$3:$B$920,2,0))&amp;"_"&amp;RIGHT(A2538,3)</f>
        <v>#N/A</v>
      </c>
      <c r="I2538" s="66">
        <f t="shared" si="273"/>
        <v>0</v>
      </c>
      <c r="K2538" s="66" t="str">
        <f t="shared" si="274"/>
        <v/>
      </c>
      <c r="L2538" s="66" t="str">
        <f t="shared" si="275"/>
        <v/>
      </c>
      <c r="M2538" s="66" t="str">
        <f t="shared" si="276"/>
        <v/>
      </c>
      <c r="N2538" s="66" t="str">
        <f t="shared" si="277"/>
        <v/>
      </c>
      <c r="O2538" s="66" t="str">
        <f t="shared" si="278"/>
        <v/>
      </c>
      <c r="P2538" s="66" t="str">
        <f t="shared" si="279"/>
        <v/>
      </c>
    </row>
    <row r="2539" spans="8:16">
      <c r="H2539" s="66" t="e">
        <f>IF(LEFT(A2539,6)="CEPNTR","GPINS",VLOOKUP(LEFT(A2539,6),'Code Library'!$A$3:$B$920,2,0))&amp;"_"&amp;RIGHT(A2539,3)</f>
        <v>#N/A</v>
      </c>
      <c r="I2539" s="66">
        <f t="shared" si="273"/>
        <v>0</v>
      </c>
      <c r="K2539" s="66" t="str">
        <f t="shared" si="274"/>
        <v/>
      </c>
      <c r="L2539" s="66" t="str">
        <f t="shared" si="275"/>
        <v/>
      </c>
      <c r="M2539" s="66" t="str">
        <f t="shared" si="276"/>
        <v/>
      </c>
      <c r="N2539" s="66" t="str">
        <f t="shared" si="277"/>
        <v/>
      </c>
      <c r="O2539" s="66" t="str">
        <f t="shared" si="278"/>
        <v/>
      </c>
      <c r="P2539" s="66" t="str">
        <f t="shared" si="279"/>
        <v/>
      </c>
    </row>
    <row r="2540" spans="8:16">
      <c r="H2540" s="66" t="e">
        <f>IF(LEFT(A2540,6)="CEPNTR","GPINS",VLOOKUP(LEFT(A2540,6),'Code Library'!$A$3:$B$920,2,0))&amp;"_"&amp;RIGHT(A2540,3)</f>
        <v>#N/A</v>
      </c>
      <c r="I2540" s="66">
        <f t="shared" si="273"/>
        <v>0</v>
      </c>
      <c r="K2540" s="66" t="str">
        <f t="shared" si="274"/>
        <v/>
      </c>
      <c r="L2540" s="66" t="str">
        <f t="shared" si="275"/>
        <v/>
      </c>
      <c r="M2540" s="66" t="str">
        <f t="shared" si="276"/>
        <v/>
      </c>
      <c r="N2540" s="66" t="str">
        <f t="shared" si="277"/>
        <v/>
      </c>
      <c r="O2540" s="66" t="str">
        <f t="shared" si="278"/>
        <v/>
      </c>
      <c r="P2540" s="66" t="str">
        <f t="shared" si="279"/>
        <v/>
      </c>
    </row>
    <row r="2541" spans="8:16">
      <c r="H2541" s="66" t="e">
        <f>IF(LEFT(A2541,6)="CEPNTR","GPINS",VLOOKUP(LEFT(A2541,6),'Code Library'!$A$3:$B$920,2,0))&amp;"_"&amp;RIGHT(A2541,3)</f>
        <v>#N/A</v>
      </c>
      <c r="I2541" s="66">
        <f t="shared" si="273"/>
        <v>0</v>
      </c>
      <c r="K2541" s="66" t="str">
        <f t="shared" si="274"/>
        <v/>
      </c>
      <c r="L2541" s="66" t="str">
        <f t="shared" si="275"/>
        <v/>
      </c>
      <c r="M2541" s="66" t="str">
        <f t="shared" si="276"/>
        <v/>
      </c>
      <c r="N2541" s="66" t="str">
        <f t="shared" si="277"/>
        <v/>
      </c>
      <c r="O2541" s="66" t="str">
        <f t="shared" si="278"/>
        <v/>
      </c>
      <c r="P2541" s="66" t="str">
        <f t="shared" si="279"/>
        <v/>
      </c>
    </row>
    <row r="2542" spans="8:16">
      <c r="H2542" s="66" t="e">
        <f>IF(LEFT(A2542,6)="CEPNTR","GPINS",VLOOKUP(LEFT(A2542,6),'Code Library'!$A$3:$B$920,2,0))&amp;"_"&amp;RIGHT(A2542,3)</f>
        <v>#N/A</v>
      </c>
      <c r="I2542" s="66">
        <f t="shared" si="273"/>
        <v>0</v>
      </c>
      <c r="K2542" s="66" t="str">
        <f t="shared" si="274"/>
        <v/>
      </c>
      <c r="L2542" s="66" t="str">
        <f t="shared" si="275"/>
        <v/>
      </c>
      <c r="M2542" s="66" t="str">
        <f t="shared" si="276"/>
        <v/>
      </c>
      <c r="N2542" s="66" t="str">
        <f t="shared" si="277"/>
        <v/>
      </c>
      <c r="O2542" s="66" t="str">
        <f t="shared" si="278"/>
        <v/>
      </c>
      <c r="P2542" s="66" t="str">
        <f t="shared" si="279"/>
        <v/>
      </c>
    </row>
    <row r="2543" spans="8:16">
      <c r="H2543" s="66" t="e">
        <f>IF(LEFT(A2543,6)="CEPNTR","GPINS",VLOOKUP(LEFT(A2543,6),'Code Library'!$A$3:$B$920,2,0))&amp;"_"&amp;RIGHT(A2543,3)</f>
        <v>#N/A</v>
      </c>
      <c r="I2543" s="66">
        <f t="shared" si="273"/>
        <v>0</v>
      </c>
      <c r="K2543" s="66" t="str">
        <f t="shared" si="274"/>
        <v/>
      </c>
      <c r="L2543" s="66" t="str">
        <f t="shared" si="275"/>
        <v/>
      </c>
      <c r="M2543" s="66" t="str">
        <f t="shared" si="276"/>
        <v/>
      </c>
      <c r="N2543" s="66" t="str">
        <f t="shared" si="277"/>
        <v/>
      </c>
      <c r="O2543" s="66" t="str">
        <f t="shared" si="278"/>
        <v/>
      </c>
      <c r="P2543" s="66" t="str">
        <f t="shared" si="279"/>
        <v/>
      </c>
    </row>
    <row r="2544" spans="8:16">
      <c r="H2544" s="66" t="e">
        <f>IF(LEFT(A2544,6)="CEPNTR","GPINS",VLOOKUP(LEFT(A2544,6),'Code Library'!$A$3:$B$920,2,0))&amp;"_"&amp;RIGHT(A2544,3)</f>
        <v>#N/A</v>
      </c>
      <c r="I2544" s="66">
        <f t="shared" si="273"/>
        <v>0</v>
      </c>
      <c r="K2544" s="66" t="str">
        <f t="shared" si="274"/>
        <v/>
      </c>
      <c r="L2544" s="66" t="str">
        <f t="shared" si="275"/>
        <v/>
      </c>
      <c r="M2544" s="66" t="str">
        <f t="shared" si="276"/>
        <v/>
      </c>
      <c r="N2544" s="66" t="str">
        <f t="shared" si="277"/>
        <v/>
      </c>
      <c r="O2544" s="66" t="str">
        <f t="shared" si="278"/>
        <v/>
      </c>
      <c r="P2544" s="66" t="str">
        <f t="shared" si="279"/>
        <v/>
      </c>
    </row>
    <row r="2545" spans="8:16">
      <c r="H2545" s="66" t="e">
        <f>IF(LEFT(A2545,6)="CEPNTR","GPINS",VLOOKUP(LEFT(A2545,6),'Code Library'!$A$3:$B$920,2,0))&amp;"_"&amp;RIGHT(A2545,3)</f>
        <v>#N/A</v>
      </c>
      <c r="I2545" s="66">
        <f t="shared" si="273"/>
        <v>0</v>
      </c>
      <c r="K2545" s="66" t="str">
        <f t="shared" si="274"/>
        <v/>
      </c>
      <c r="L2545" s="66" t="str">
        <f t="shared" si="275"/>
        <v/>
      </c>
      <c r="M2545" s="66" t="str">
        <f t="shared" si="276"/>
        <v/>
      </c>
      <c r="N2545" s="66" t="str">
        <f t="shared" si="277"/>
        <v/>
      </c>
      <c r="O2545" s="66" t="str">
        <f t="shared" si="278"/>
        <v/>
      </c>
      <c r="P2545" s="66" t="str">
        <f t="shared" si="279"/>
        <v/>
      </c>
    </row>
    <row r="2546" spans="8:16">
      <c r="H2546" s="66" t="e">
        <f>IF(LEFT(A2546,6)="CEPNTR","GPINS",VLOOKUP(LEFT(A2546,6),'Code Library'!$A$3:$B$920,2,0))&amp;"_"&amp;RIGHT(A2546,3)</f>
        <v>#N/A</v>
      </c>
      <c r="I2546" s="66">
        <f t="shared" si="273"/>
        <v>0</v>
      </c>
      <c r="K2546" s="66" t="str">
        <f t="shared" si="274"/>
        <v/>
      </c>
      <c r="L2546" s="66" t="str">
        <f t="shared" si="275"/>
        <v/>
      </c>
      <c r="M2546" s="66" t="str">
        <f t="shared" si="276"/>
        <v/>
      </c>
      <c r="N2546" s="66" t="str">
        <f t="shared" si="277"/>
        <v/>
      </c>
      <c r="O2546" s="66" t="str">
        <f t="shared" si="278"/>
        <v/>
      </c>
      <c r="P2546" s="66" t="str">
        <f t="shared" si="279"/>
        <v/>
      </c>
    </row>
    <row r="2547" spans="8:16">
      <c r="H2547" s="66" t="e">
        <f>IF(LEFT(A2547,6)="CEPNTR","GPINS",VLOOKUP(LEFT(A2547,6),'Code Library'!$A$3:$B$920,2,0))&amp;"_"&amp;RIGHT(A2547,3)</f>
        <v>#N/A</v>
      </c>
      <c r="I2547" s="66">
        <f t="shared" si="273"/>
        <v>0</v>
      </c>
      <c r="K2547" s="66" t="str">
        <f t="shared" si="274"/>
        <v/>
      </c>
      <c r="L2547" s="66" t="str">
        <f t="shared" si="275"/>
        <v/>
      </c>
      <c r="M2547" s="66" t="str">
        <f t="shared" si="276"/>
        <v/>
      </c>
      <c r="N2547" s="66" t="str">
        <f t="shared" si="277"/>
        <v/>
      </c>
      <c r="O2547" s="66" t="str">
        <f t="shared" si="278"/>
        <v/>
      </c>
      <c r="P2547" s="66" t="str">
        <f t="shared" si="279"/>
        <v/>
      </c>
    </row>
    <row r="2548" spans="8:16">
      <c r="H2548" s="66" t="e">
        <f>IF(LEFT(A2548,6)="CEPNTR","GPINS",VLOOKUP(LEFT(A2548,6),'Code Library'!$A$3:$B$920,2,0))&amp;"_"&amp;RIGHT(A2548,3)</f>
        <v>#N/A</v>
      </c>
      <c r="I2548" s="66">
        <f t="shared" si="273"/>
        <v>0</v>
      </c>
      <c r="K2548" s="66" t="str">
        <f t="shared" si="274"/>
        <v/>
      </c>
      <c r="L2548" s="66" t="str">
        <f t="shared" si="275"/>
        <v/>
      </c>
      <c r="M2548" s="66" t="str">
        <f t="shared" si="276"/>
        <v/>
      </c>
      <c r="N2548" s="66" t="str">
        <f t="shared" si="277"/>
        <v/>
      </c>
      <c r="O2548" s="66" t="str">
        <f t="shared" si="278"/>
        <v/>
      </c>
      <c r="P2548" s="66" t="str">
        <f t="shared" si="279"/>
        <v/>
      </c>
    </row>
    <row r="2549" spans="8:16">
      <c r="H2549" s="66" t="e">
        <f>IF(LEFT(A2549,6)="CEPNTR","GPINS",VLOOKUP(LEFT(A2549,6),'Code Library'!$A$3:$B$920,2,0))&amp;"_"&amp;RIGHT(A2549,3)</f>
        <v>#N/A</v>
      </c>
      <c r="I2549" s="66">
        <f t="shared" si="273"/>
        <v>0</v>
      </c>
      <c r="K2549" s="66" t="str">
        <f t="shared" si="274"/>
        <v/>
      </c>
      <c r="L2549" s="66" t="str">
        <f t="shared" si="275"/>
        <v/>
      </c>
      <c r="M2549" s="66" t="str">
        <f t="shared" si="276"/>
        <v/>
      </c>
      <c r="N2549" s="66" t="str">
        <f t="shared" si="277"/>
        <v/>
      </c>
      <c r="O2549" s="66" t="str">
        <f t="shared" si="278"/>
        <v/>
      </c>
      <c r="P2549" s="66" t="str">
        <f t="shared" si="279"/>
        <v/>
      </c>
    </row>
    <row r="2550" spans="8:16">
      <c r="H2550" s="66" t="e">
        <f>IF(LEFT(A2550,6)="CEPNTR","GPINS",VLOOKUP(LEFT(A2550,6),'Code Library'!$A$3:$B$920,2,0))&amp;"_"&amp;RIGHT(A2550,3)</f>
        <v>#N/A</v>
      </c>
      <c r="I2550" s="66">
        <f t="shared" si="273"/>
        <v>0</v>
      </c>
      <c r="K2550" s="66" t="str">
        <f t="shared" si="274"/>
        <v/>
      </c>
      <c r="L2550" s="66" t="str">
        <f t="shared" si="275"/>
        <v/>
      </c>
      <c r="M2550" s="66" t="str">
        <f t="shared" si="276"/>
        <v/>
      </c>
      <c r="N2550" s="66" t="str">
        <f t="shared" si="277"/>
        <v/>
      </c>
      <c r="O2550" s="66" t="str">
        <f t="shared" si="278"/>
        <v/>
      </c>
      <c r="P2550" s="66" t="str">
        <f t="shared" si="279"/>
        <v/>
      </c>
    </row>
    <row r="2551" spans="8:16">
      <c r="H2551" s="66" t="e">
        <f>IF(LEFT(A2551,6)="CEPNTR","GPINS",VLOOKUP(LEFT(A2551,6),'Code Library'!$A$3:$B$920,2,0))&amp;"_"&amp;RIGHT(A2551,3)</f>
        <v>#N/A</v>
      </c>
      <c r="I2551" s="66">
        <f t="shared" si="273"/>
        <v>0</v>
      </c>
      <c r="K2551" s="66" t="str">
        <f t="shared" si="274"/>
        <v/>
      </c>
      <c r="L2551" s="66" t="str">
        <f t="shared" si="275"/>
        <v/>
      </c>
      <c r="M2551" s="66" t="str">
        <f t="shared" si="276"/>
        <v/>
      </c>
      <c r="N2551" s="66" t="str">
        <f t="shared" si="277"/>
        <v/>
      </c>
      <c r="O2551" s="66" t="str">
        <f t="shared" si="278"/>
        <v/>
      </c>
      <c r="P2551" s="66" t="str">
        <f t="shared" si="279"/>
        <v/>
      </c>
    </row>
    <row r="2552" spans="8:16">
      <c r="H2552" s="66" t="e">
        <f>IF(LEFT(A2552,6)="CEPNTR","GPINS",VLOOKUP(LEFT(A2552,6),'Code Library'!$A$3:$B$920,2,0))&amp;"_"&amp;RIGHT(A2552,3)</f>
        <v>#N/A</v>
      </c>
      <c r="I2552" s="66">
        <f t="shared" si="273"/>
        <v>0</v>
      </c>
      <c r="K2552" s="66" t="str">
        <f t="shared" si="274"/>
        <v/>
      </c>
      <c r="L2552" s="66" t="str">
        <f t="shared" si="275"/>
        <v/>
      </c>
      <c r="M2552" s="66" t="str">
        <f t="shared" si="276"/>
        <v/>
      </c>
      <c r="N2552" s="66" t="str">
        <f t="shared" si="277"/>
        <v/>
      </c>
      <c r="O2552" s="66" t="str">
        <f t="shared" si="278"/>
        <v/>
      </c>
      <c r="P2552" s="66" t="str">
        <f t="shared" si="279"/>
        <v/>
      </c>
    </row>
    <row r="2553" spans="8:16">
      <c r="H2553" s="66" t="e">
        <f>IF(LEFT(A2553,6)="CEPNTR","GPINS",VLOOKUP(LEFT(A2553,6),'Code Library'!$A$3:$B$920,2,0))&amp;"_"&amp;RIGHT(A2553,3)</f>
        <v>#N/A</v>
      </c>
      <c r="I2553" s="66">
        <f t="shared" si="273"/>
        <v>0</v>
      </c>
      <c r="K2553" s="66" t="str">
        <f t="shared" si="274"/>
        <v/>
      </c>
      <c r="L2553" s="66" t="str">
        <f t="shared" si="275"/>
        <v/>
      </c>
      <c r="M2553" s="66" t="str">
        <f t="shared" si="276"/>
        <v/>
      </c>
      <c r="N2553" s="66" t="str">
        <f t="shared" si="277"/>
        <v/>
      </c>
      <c r="O2553" s="66" t="str">
        <f t="shared" si="278"/>
        <v/>
      </c>
      <c r="P2553" s="66" t="str">
        <f t="shared" si="279"/>
        <v/>
      </c>
    </row>
    <row r="2554" spans="8:16">
      <c r="H2554" s="66" t="e">
        <f>IF(LEFT(A2554,6)="CEPNTR","GPINS",VLOOKUP(LEFT(A2554,6),'Code Library'!$A$3:$B$920,2,0))&amp;"_"&amp;RIGHT(A2554,3)</f>
        <v>#N/A</v>
      </c>
      <c r="I2554" s="66">
        <f t="shared" si="273"/>
        <v>0</v>
      </c>
      <c r="K2554" s="66" t="str">
        <f t="shared" si="274"/>
        <v/>
      </c>
      <c r="L2554" s="66" t="str">
        <f t="shared" si="275"/>
        <v/>
      </c>
      <c r="M2554" s="66" t="str">
        <f t="shared" si="276"/>
        <v/>
      </c>
      <c r="N2554" s="66" t="str">
        <f t="shared" si="277"/>
        <v/>
      </c>
      <c r="O2554" s="66" t="str">
        <f t="shared" si="278"/>
        <v/>
      </c>
      <c r="P2554" s="66" t="str">
        <f t="shared" si="279"/>
        <v/>
      </c>
    </row>
    <row r="2555" spans="8:16">
      <c r="H2555" s="66" t="e">
        <f>IF(LEFT(A2555,6)="CEPNTR","GPINS",VLOOKUP(LEFT(A2555,6),'Code Library'!$A$3:$B$920,2,0))&amp;"_"&amp;RIGHT(A2555,3)</f>
        <v>#N/A</v>
      </c>
      <c r="I2555" s="66">
        <f t="shared" si="273"/>
        <v>0</v>
      </c>
      <c r="K2555" s="66" t="str">
        <f t="shared" si="274"/>
        <v/>
      </c>
      <c r="L2555" s="66" t="str">
        <f t="shared" si="275"/>
        <v/>
      </c>
      <c r="M2555" s="66" t="str">
        <f t="shared" si="276"/>
        <v/>
      </c>
      <c r="N2555" s="66" t="str">
        <f t="shared" si="277"/>
        <v/>
      </c>
      <c r="O2555" s="66" t="str">
        <f t="shared" si="278"/>
        <v/>
      </c>
      <c r="P2555" s="66" t="str">
        <f t="shared" si="279"/>
        <v/>
      </c>
    </row>
    <row r="2556" spans="8:16">
      <c r="H2556" s="66" t="e">
        <f>IF(LEFT(A2556,6)="CEPNTR","GPINS",VLOOKUP(LEFT(A2556,6),'Code Library'!$A$3:$B$920,2,0))&amp;"_"&amp;RIGHT(A2556,3)</f>
        <v>#N/A</v>
      </c>
      <c r="I2556" s="66">
        <f t="shared" si="273"/>
        <v>0</v>
      </c>
      <c r="K2556" s="66" t="str">
        <f t="shared" si="274"/>
        <v/>
      </c>
      <c r="L2556" s="66" t="str">
        <f t="shared" si="275"/>
        <v/>
      </c>
      <c r="M2556" s="66" t="str">
        <f t="shared" si="276"/>
        <v/>
      </c>
      <c r="N2556" s="66" t="str">
        <f t="shared" si="277"/>
        <v/>
      </c>
      <c r="O2556" s="66" t="str">
        <f t="shared" si="278"/>
        <v/>
      </c>
      <c r="P2556" s="66" t="str">
        <f t="shared" si="279"/>
        <v/>
      </c>
    </row>
    <row r="2557" spans="8:16">
      <c r="H2557" s="66" t="e">
        <f>IF(LEFT(A2557,6)="CEPNTR","GPINS",VLOOKUP(LEFT(A2557,6),'Code Library'!$A$3:$B$920,2,0))&amp;"_"&amp;RIGHT(A2557,3)</f>
        <v>#N/A</v>
      </c>
      <c r="I2557" s="66">
        <f t="shared" si="273"/>
        <v>0</v>
      </c>
      <c r="K2557" s="66" t="str">
        <f t="shared" si="274"/>
        <v/>
      </c>
      <c r="L2557" s="66" t="str">
        <f t="shared" si="275"/>
        <v/>
      </c>
      <c r="M2557" s="66" t="str">
        <f t="shared" si="276"/>
        <v/>
      </c>
      <c r="N2557" s="66" t="str">
        <f t="shared" si="277"/>
        <v/>
      </c>
      <c r="O2557" s="66" t="str">
        <f t="shared" si="278"/>
        <v/>
      </c>
      <c r="P2557" s="66" t="str">
        <f t="shared" si="279"/>
        <v/>
      </c>
    </row>
    <row r="2558" spans="8:16">
      <c r="H2558" s="66" t="e">
        <f>IF(LEFT(A2558,6)="CEPNTR","GPINS",VLOOKUP(LEFT(A2558,6),'Code Library'!$A$3:$B$920,2,0))&amp;"_"&amp;RIGHT(A2558,3)</f>
        <v>#N/A</v>
      </c>
      <c r="I2558" s="66">
        <f t="shared" si="273"/>
        <v>0</v>
      </c>
      <c r="K2558" s="66" t="str">
        <f t="shared" si="274"/>
        <v/>
      </c>
      <c r="L2558" s="66" t="str">
        <f t="shared" si="275"/>
        <v/>
      </c>
      <c r="M2558" s="66" t="str">
        <f t="shared" si="276"/>
        <v/>
      </c>
      <c r="N2558" s="66" t="str">
        <f t="shared" si="277"/>
        <v/>
      </c>
      <c r="O2558" s="66" t="str">
        <f t="shared" si="278"/>
        <v/>
      </c>
      <c r="P2558" s="66" t="str">
        <f t="shared" si="279"/>
        <v/>
      </c>
    </row>
    <row r="2559" spans="8:16">
      <c r="H2559" s="66" t="e">
        <f>IF(LEFT(A2559,6)="CEPNTR","GPINS",VLOOKUP(LEFT(A2559,6),'Code Library'!$A$3:$B$920,2,0))&amp;"_"&amp;RIGHT(A2559,3)</f>
        <v>#N/A</v>
      </c>
      <c r="I2559" s="66">
        <f t="shared" si="273"/>
        <v>0</v>
      </c>
      <c r="K2559" s="66" t="str">
        <f t="shared" si="274"/>
        <v/>
      </c>
      <c r="L2559" s="66" t="str">
        <f t="shared" si="275"/>
        <v/>
      </c>
      <c r="M2559" s="66" t="str">
        <f t="shared" si="276"/>
        <v/>
      </c>
      <c r="N2559" s="66" t="str">
        <f t="shared" si="277"/>
        <v/>
      </c>
      <c r="O2559" s="66" t="str">
        <f t="shared" si="278"/>
        <v/>
      </c>
      <c r="P2559" s="66" t="str">
        <f t="shared" si="279"/>
        <v/>
      </c>
    </row>
    <row r="2560" spans="8:16">
      <c r="H2560" s="66" t="e">
        <f>IF(LEFT(A2560,6)="CEPNTR","GPINS",VLOOKUP(LEFT(A2560,6),'Code Library'!$A$3:$B$920,2,0))&amp;"_"&amp;RIGHT(A2560,3)</f>
        <v>#N/A</v>
      </c>
      <c r="I2560" s="66">
        <f t="shared" si="273"/>
        <v>0</v>
      </c>
      <c r="K2560" s="66" t="str">
        <f t="shared" si="274"/>
        <v/>
      </c>
      <c r="L2560" s="66" t="str">
        <f t="shared" si="275"/>
        <v/>
      </c>
      <c r="M2560" s="66" t="str">
        <f t="shared" si="276"/>
        <v/>
      </c>
      <c r="N2560" s="66" t="str">
        <f t="shared" si="277"/>
        <v/>
      </c>
      <c r="O2560" s="66" t="str">
        <f t="shared" si="278"/>
        <v/>
      </c>
      <c r="P2560" s="66" t="str">
        <f t="shared" si="279"/>
        <v/>
      </c>
    </row>
    <row r="2561" spans="8:16">
      <c r="H2561" s="66" t="e">
        <f>IF(LEFT(A2561,6)="CEPNTR","GPINS",VLOOKUP(LEFT(A2561,6),'Code Library'!$A$3:$B$920,2,0))&amp;"_"&amp;RIGHT(A2561,3)</f>
        <v>#N/A</v>
      </c>
      <c r="I2561" s="66">
        <f t="shared" si="273"/>
        <v>0</v>
      </c>
      <c r="K2561" s="66" t="str">
        <f t="shared" si="274"/>
        <v/>
      </c>
      <c r="L2561" s="66" t="str">
        <f t="shared" si="275"/>
        <v/>
      </c>
      <c r="M2561" s="66" t="str">
        <f t="shared" si="276"/>
        <v/>
      </c>
      <c r="N2561" s="66" t="str">
        <f t="shared" si="277"/>
        <v/>
      </c>
      <c r="O2561" s="66" t="str">
        <f t="shared" si="278"/>
        <v/>
      </c>
      <c r="P2561" s="66" t="str">
        <f t="shared" si="279"/>
        <v/>
      </c>
    </row>
    <row r="2562" spans="8:16">
      <c r="H2562" s="66" t="e">
        <f>IF(LEFT(A2562,6)="CEPNTR","GPINS",VLOOKUP(LEFT(A2562,6),'Code Library'!$A$3:$B$920,2,0))&amp;"_"&amp;RIGHT(A2562,3)</f>
        <v>#N/A</v>
      </c>
      <c r="I2562" s="66">
        <f t="shared" si="273"/>
        <v>0</v>
      </c>
      <c r="K2562" s="66" t="str">
        <f t="shared" si="274"/>
        <v/>
      </c>
      <c r="L2562" s="66" t="str">
        <f t="shared" si="275"/>
        <v/>
      </c>
      <c r="M2562" s="66" t="str">
        <f t="shared" si="276"/>
        <v/>
      </c>
      <c r="N2562" s="66" t="str">
        <f t="shared" si="277"/>
        <v/>
      </c>
      <c r="O2562" s="66" t="str">
        <f t="shared" si="278"/>
        <v/>
      </c>
      <c r="P2562" s="66" t="str">
        <f t="shared" si="279"/>
        <v/>
      </c>
    </row>
    <row r="2563" spans="8:16">
      <c r="H2563" s="66" t="e">
        <f>IF(LEFT(A2563,6)="CEPNTR","GPINS",VLOOKUP(LEFT(A2563,6),'Code Library'!$A$3:$B$920,2,0))&amp;"_"&amp;RIGHT(A2563,3)</f>
        <v>#N/A</v>
      </c>
      <c r="I2563" s="66">
        <f t="shared" ref="I2563:I2626" si="280">A2563</f>
        <v>0</v>
      </c>
      <c r="K2563" s="66" t="str">
        <f t="shared" ref="K2563:K2626" si="281">RIGHT($B2563,2)</f>
        <v/>
      </c>
      <c r="L2563" s="66" t="str">
        <f t="shared" ref="L2563:L2626" si="282">LEFT(RIGHT($B2563,7),4)</f>
        <v/>
      </c>
      <c r="M2563" s="66" t="str">
        <f t="shared" ref="M2563:M2626" si="283">LEFT(RIGHT($B2563,10),2)</f>
        <v/>
      </c>
      <c r="N2563" s="66" t="str">
        <f t="shared" ref="N2563:N2626" si="284">LEFT(RIGHT($B2563,14),3)</f>
        <v/>
      </c>
      <c r="O2563" s="66" t="str">
        <f t="shared" ref="O2563:O2626" si="285">LEFT(RIGHT($B2563,16),1)</f>
        <v/>
      </c>
      <c r="P2563" s="66" t="str">
        <f t="shared" ref="P2563:P2626" si="286">LEFT(RIGHT($B2563,19),2)</f>
        <v/>
      </c>
    </row>
    <row r="2564" spans="8:16">
      <c r="H2564" s="66" t="e">
        <f>IF(LEFT(A2564,6)="CEPNTR","GPINS",VLOOKUP(LEFT(A2564,6),'Code Library'!$A$3:$B$920,2,0))&amp;"_"&amp;RIGHT(A2564,3)</f>
        <v>#N/A</v>
      </c>
      <c r="I2564" s="66">
        <f t="shared" si="280"/>
        <v>0</v>
      </c>
      <c r="K2564" s="66" t="str">
        <f t="shared" si="281"/>
        <v/>
      </c>
      <c r="L2564" s="66" t="str">
        <f t="shared" si="282"/>
        <v/>
      </c>
      <c r="M2564" s="66" t="str">
        <f t="shared" si="283"/>
        <v/>
      </c>
      <c r="N2564" s="66" t="str">
        <f t="shared" si="284"/>
        <v/>
      </c>
      <c r="O2564" s="66" t="str">
        <f t="shared" si="285"/>
        <v/>
      </c>
      <c r="P2564" s="66" t="str">
        <f t="shared" si="286"/>
        <v/>
      </c>
    </row>
    <row r="2565" spans="8:16">
      <c r="H2565" s="66" t="e">
        <f>IF(LEFT(A2565,6)="CEPNTR","GPINS",VLOOKUP(LEFT(A2565,6),'Code Library'!$A$3:$B$920,2,0))&amp;"_"&amp;RIGHT(A2565,3)</f>
        <v>#N/A</v>
      </c>
      <c r="I2565" s="66">
        <f t="shared" si="280"/>
        <v>0</v>
      </c>
      <c r="K2565" s="66" t="str">
        <f t="shared" si="281"/>
        <v/>
      </c>
      <c r="L2565" s="66" t="str">
        <f t="shared" si="282"/>
        <v/>
      </c>
      <c r="M2565" s="66" t="str">
        <f t="shared" si="283"/>
        <v/>
      </c>
      <c r="N2565" s="66" t="str">
        <f t="shared" si="284"/>
        <v/>
      </c>
      <c r="O2565" s="66" t="str">
        <f t="shared" si="285"/>
        <v/>
      </c>
      <c r="P2565" s="66" t="str">
        <f t="shared" si="286"/>
        <v/>
      </c>
    </row>
    <row r="2566" spans="8:16">
      <c r="H2566" s="66" t="e">
        <f>IF(LEFT(A2566,6)="CEPNTR","GPINS",VLOOKUP(LEFT(A2566,6),'Code Library'!$A$3:$B$920,2,0))&amp;"_"&amp;RIGHT(A2566,3)</f>
        <v>#N/A</v>
      </c>
      <c r="I2566" s="66">
        <f t="shared" si="280"/>
        <v>0</v>
      </c>
      <c r="K2566" s="66" t="str">
        <f t="shared" si="281"/>
        <v/>
      </c>
      <c r="L2566" s="66" t="str">
        <f t="shared" si="282"/>
        <v/>
      </c>
      <c r="M2566" s="66" t="str">
        <f t="shared" si="283"/>
        <v/>
      </c>
      <c r="N2566" s="66" t="str">
        <f t="shared" si="284"/>
        <v/>
      </c>
      <c r="O2566" s="66" t="str">
        <f t="shared" si="285"/>
        <v/>
      </c>
      <c r="P2566" s="66" t="str">
        <f t="shared" si="286"/>
        <v/>
      </c>
    </row>
    <row r="2567" spans="8:16">
      <c r="H2567" s="66" t="e">
        <f>IF(LEFT(A2567,6)="CEPNTR","GPINS",VLOOKUP(LEFT(A2567,6),'Code Library'!$A$3:$B$920,2,0))&amp;"_"&amp;RIGHT(A2567,3)</f>
        <v>#N/A</v>
      </c>
      <c r="I2567" s="66">
        <f t="shared" si="280"/>
        <v>0</v>
      </c>
      <c r="K2567" s="66" t="str">
        <f t="shared" si="281"/>
        <v/>
      </c>
      <c r="L2567" s="66" t="str">
        <f t="shared" si="282"/>
        <v/>
      </c>
      <c r="M2567" s="66" t="str">
        <f t="shared" si="283"/>
        <v/>
      </c>
      <c r="N2567" s="66" t="str">
        <f t="shared" si="284"/>
        <v/>
      </c>
      <c r="O2567" s="66" t="str">
        <f t="shared" si="285"/>
        <v/>
      </c>
      <c r="P2567" s="66" t="str">
        <f t="shared" si="286"/>
        <v/>
      </c>
    </row>
    <row r="2568" spans="8:16">
      <c r="H2568" s="66" t="e">
        <f>IF(LEFT(A2568,6)="CEPNTR","GPINS",VLOOKUP(LEFT(A2568,6),'Code Library'!$A$3:$B$920,2,0))&amp;"_"&amp;RIGHT(A2568,3)</f>
        <v>#N/A</v>
      </c>
      <c r="I2568" s="66">
        <f t="shared" si="280"/>
        <v>0</v>
      </c>
      <c r="K2568" s="66" t="str">
        <f t="shared" si="281"/>
        <v/>
      </c>
      <c r="L2568" s="66" t="str">
        <f t="shared" si="282"/>
        <v/>
      </c>
      <c r="M2568" s="66" t="str">
        <f t="shared" si="283"/>
        <v/>
      </c>
      <c r="N2568" s="66" t="str">
        <f t="shared" si="284"/>
        <v/>
      </c>
      <c r="O2568" s="66" t="str">
        <f t="shared" si="285"/>
        <v/>
      </c>
      <c r="P2568" s="66" t="str">
        <f t="shared" si="286"/>
        <v/>
      </c>
    </row>
    <row r="2569" spans="8:16">
      <c r="H2569" s="66" t="e">
        <f>IF(LEFT(A2569,6)="CEPNTR","GPINS",VLOOKUP(LEFT(A2569,6),'Code Library'!$A$3:$B$920,2,0))&amp;"_"&amp;RIGHT(A2569,3)</f>
        <v>#N/A</v>
      </c>
      <c r="I2569" s="66">
        <f t="shared" si="280"/>
        <v>0</v>
      </c>
      <c r="K2569" s="66" t="str">
        <f t="shared" si="281"/>
        <v/>
      </c>
      <c r="L2569" s="66" t="str">
        <f t="shared" si="282"/>
        <v/>
      </c>
      <c r="M2569" s="66" t="str">
        <f t="shared" si="283"/>
        <v/>
      </c>
      <c r="N2569" s="66" t="str">
        <f t="shared" si="284"/>
        <v/>
      </c>
      <c r="O2569" s="66" t="str">
        <f t="shared" si="285"/>
        <v/>
      </c>
      <c r="P2569" s="66" t="str">
        <f t="shared" si="286"/>
        <v/>
      </c>
    </row>
    <row r="2570" spans="8:16">
      <c r="H2570" s="66" t="e">
        <f>IF(LEFT(A2570,6)="CEPNTR","GPINS",VLOOKUP(LEFT(A2570,6),'Code Library'!$A$3:$B$920,2,0))&amp;"_"&amp;RIGHT(A2570,3)</f>
        <v>#N/A</v>
      </c>
      <c r="I2570" s="66">
        <f t="shared" si="280"/>
        <v>0</v>
      </c>
      <c r="K2570" s="66" t="str">
        <f t="shared" si="281"/>
        <v/>
      </c>
      <c r="L2570" s="66" t="str">
        <f t="shared" si="282"/>
        <v/>
      </c>
      <c r="M2570" s="66" t="str">
        <f t="shared" si="283"/>
        <v/>
      </c>
      <c r="N2570" s="66" t="str">
        <f t="shared" si="284"/>
        <v/>
      </c>
      <c r="O2570" s="66" t="str">
        <f t="shared" si="285"/>
        <v/>
      </c>
      <c r="P2570" s="66" t="str">
        <f t="shared" si="286"/>
        <v/>
      </c>
    </row>
    <row r="2571" spans="8:16">
      <c r="H2571" s="66" t="e">
        <f>IF(LEFT(A2571,6)="CEPNTR","GPINS",VLOOKUP(LEFT(A2571,6),'Code Library'!$A$3:$B$920,2,0))&amp;"_"&amp;RIGHT(A2571,3)</f>
        <v>#N/A</v>
      </c>
      <c r="I2571" s="66">
        <f t="shared" si="280"/>
        <v>0</v>
      </c>
      <c r="K2571" s="66" t="str">
        <f t="shared" si="281"/>
        <v/>
      </c>
      <c r="L2571" s="66" t="str">
        <f t="shared" si="282"/>
        <v/>
      </c>
      <c r="M2571" s="66" t="str">
        <f t="shared" si="283"/>
        <v/>
      </c>
      <c r="N2571" s="66" t="str">
        <f t="shared" si="284"/>
        <v/>
      </c>
      <c r="O2571" s="66" t="str">
        <f t="shared" si="285"/>
        <v/>
      </c>
      <c r="P2571" s="66" t="str">
        <f t="shared" si="286"/>
        <v/>
      </c>
    </row>
    <row r="2572" spans="8:16">
      <c r="H2572" s="66" t="e">
        <f>IF(LEFT(A2572,6)="CEPNTR","GPINS",VLOOKUP(LEFT(A2572,6),'Code Library'!$A$3:$B$920,2,0))&amp;"_"&amp;RIGHT(A2572,3)</f>
        <v>#N/A</v>
      </c>
      <c r="I2572" s="66">
        <f t="shared" si="280"/>
        <v>0</v>
      </c>
      <c r="K2572" s="66" t="str">
        <f t="shared" si="281"/>
        <v/>
      </c>
      <c r="L2572" s="66" t="str">
        <f t="shared" si="282"/>
        <v/>
      </c>
      <c r="M2572" s="66" t="str">
        <f t="shared" si="283"/>
        <v/>
      </c>
      <c r="N2572" s="66" t="str">
        <f t="shared" si="284"/>
        <v/>
      </c>
      <c r="O2572" s="66" t="str">
        <f t="shared" si="285"/>
        <v/>
      </c>
      <c r="P2572" s="66" t="str">
        <f t="shared" si="286"/>
        <v/>
      </c>
    </row>
    <row r="2573" spans="8:16">
      <c r="H2573" s="66" t="e">
        <f>IF(LEFT(A2573,6)="CEPNTR","GPINS",VLOOKUP(LEFT(A2573,6),'Code Library'!$A$3:$B$920,2,0))&amp;"_"&amp;RIGHT(A2573,3)</f>
        <v>#N/A</v>
      </c>
      <c r="I2573" s="66">
        <f t="shared" si="280"/>
        <v>0</v>
      </c>
      <c r="K2573" s="66" t="str">
        <f t="shared" si="281"/>
        <v/>
      </c>
      <c r="L2573" s="66" t="str">
        <f t="shared" si="282"/>
        <v/>
      </c>
      <c r="M2573" s="66" t="str">
        <f t="shared" si="283"/>
        <v/>
      </c>
      <c r="N2573" s="66" t="str">
        <f t="shared" si="284"/>
        <v/>
      </c>
      <c r="O2573" s="66" t="str">
        <f t="shared" si="285"/>
        <v/>
      </c>
      <c r="P2573" s="66" t="str">
        <f t="shared" si="286"/>
        <v/>
      </c>
    </row>
    <row r="2574" spans="8:16">
      <c r="H2574" s="66" t="e">
        <f>IF(LEFT(A2574,6)="CEPNTR","GPINS",VLOOKUP(LEFT(A2574,6),'Code Library'!$A$3:$B$920,2,0))&amp;"_"&amp;RIGHT(A2574,3)</f>
        <v>#N/A</v>
      </c>
      <c r="I2574" s="66">
        <f t="shared" si="280"/>
        <v>0</v>
      </c>
      <c r="K2574" s="66" t="str">
        <f t="shared" si="281"/>
        <v/>
      </c>
      <c r="L2574" s="66" t="str">
        <f t="shared" si="282"/>
        <v/>
      </c>
      <c r="M2574" s="66" t="str">
        <f t="shared" si="283"/>
        <v/>
      </c>
      <c r="N2574" s="66" t="str">
        <f t="shared" si="284"/>
        <v/>
      </c>
      <c r="O2574" s="66" t="str">
        <f t="shared" si="285"/>
        <v/>
      </c>
      <c r="P2574" s="66" t="str">
        <f t="shared" si="286"/>
        <v/>
      </c>
    </row>
    <row r="2575" spans="8:16">
      <c r="H2575" s="66" t="e">
        <f>IF(LEFT(A2575,6)="CEPNTR","GPINS",VLOOKUP(LEFT(A2575,6),'Code Library'!$A$3:$B$920,2,0))&amp;"_"&amp;RIGHT(A2575,3)</f>
        <v>#N/A</v>
      </c>
      <c r="I2575" s="66">
        <f t="shared" si="280"/>
        <v>0</v>
      </c>
      <c r="K2575" s="66" t="str">
        <f t="shared" si="281"/>
        <v/>
      </c>
      <c r="L2575" s="66" t="str">
        <f t="shared" si="282"/>
        <v/>
      </c>
      <c r="M2575" s="66" t="str">
        <f t="shared" si="283"/>
        <v/>
      </c>
      <c r="N2575" s="66" t="str">
        <f t="shared" si="284"/>
        <v/>
      </c>
      <c r="O2575" s="66" t="str">
        <f t="shared" si="285"/>
        <v/>
      </c>
      <c r="P2575" s="66" t="str">
        <f t="shared" si="286"/>
        <v/>
      </c>
    </row>
    <row r="2576" spans="8:16">
      <c r="H2576" s="66" t="e">
        <f>IF(LEFT(A2576,6)="CEPNTR","GPINS",VLOOKUP(LEFT(A2576,6),'Code Library'!$A$3:$B$920,2,0))&amp;"_"&amp;RIGHT(A2576,3)</f>
        <v>#N/A</v>
      </c>
      <c r="I2576" s="66">
        <f t="shared" si="280"/>
        <v>0</v>
      </c>
      <c r="K2576" s="66" t="str">
        <f t="shared" si="281"/>
        <v/>
      </c>
      <c r="L2576" s="66" t="str">
        <f t="shared" si="282"/>
        <v/>
      </c>
      <c r="M2576" s="66" t="str">
        <f t="shared" si="283"/>
        <v/>
      </c>
      <c r="N2576" s="66" t="str">
        <f t="shared" si="284"/>
        <v/>
      </c>
      <c r="O2576" s="66" t="str">
        <f t="shared" si="285"/>
        <v/>
      </c>
      <c r="P2576" s="66" t="str">
        <f t="shared" si="286"/>
        <v/>
      </c>
    </row>
    <row r="2577" spans="8:16">
      <c r="H2577" s="66" t="e">
        <f>IF(LEFT(A2577,6)="CEPNTR","GPINS",VLOOKUP(LEFT(A2577,6),'Code Library'!$A$3:$B$920,2,0))&amp;"_"&amp;RIGHT(A2577,3)</f>
        <v>#N/A</v>
      </c>
      <c r="I2577" s="66">
        <f t="shared" si="280"/>
        <v>0</v>
      </c>
      <c r="K2577" s="66" t="str">
        <f t="shared" si="281"/>
        <v/>
      </c>
      <c r="L2577" s="66" t="str">
        <f t="shared" si="282"/>
        <v/>
      </c>
      <c r="M2577" s="66" t="str">
        <f t="shared" si="283"/>
        <v/>
      </c>
      <c r="N2577" s="66" t="str">
        <f t="shared" si="284"/>
        <v/>
      </c>
      <c r="O2577" s="66" t="str">
        <f t="shared" si="285"/>
        <v/>
      </c>
      <c r="P2577" s="66" t="str">
        <f t="shared" si="286"/>
        <v/>
      </c>
    </row>
    <row r="2578" spans="8:16">
      <c r="H2578" s="66" t="e">
        <f>IF(LEFT(A2578,6)="CEPNTR","GPINS",VLOOKUP(LEFT(A2578,6),'Code Library'!$A$3:$B$920,2,0))&amp;"_"&amp;RIGHT(A2578,3)</f>
        <v>#N/A</v>
      </c>
      <c r="I2578" s="66">
        <f t="shared" si="280"/>
        <v>0</v>
      </c>
      <c r="K2578" s="66" t="str">
        <f t="shared" si="281"/>
        <v/>
      </c>
      <c r="L2578" s="66" t="str">
        <f t="shared" si="282"/>
        <v/>
      </c>
      <c r="M2578" s="66" t="str">
        <f t="shared" si="283"/>
        <v/>
      </c>
      <c r="N2578" s="66" t="str">
        <f t="shared" si="284"/>
        <v/>
      </c>
      <c r="O2578" s="66" t="str">
        <f t="shared" si="285"/>
        <v/>
      </c>
      <c r="P2578" s="66" t="str">
        <f t="shared" si="286"/>
        <v/>
      </c>
    </row>
    <row r="2579" spans="8:16">
      <c r="H2579" s="66" t="e">
        <f>IF(LEFT(A2579,6)="CEPNTR","GPINS",VLOOKUP(LEFT(A2579,6),'Code Library'!$A$3:$B$920,2,0))&amp;"_"&amp;RIGHT(A2579,3)</f>
        <v>#N/A</v>
      </c>
      <c r="I2579" s="66">
        <f t="shared" si="280"/>
        <v>0</v>
      </c>
      <c r="K2579" s="66" t="str">
        <f t="shared" si="281"/>
        <v/>
      </c>
      <c r="L2579" s="66" t="str">
        <f t="shared" si="282"/>
        <v/>
      </c>
      <c r="M2579" s="66" t="str">
        <f t="shared" si="283"/>
        <v/>
      </c>
      <c r="N2579" s="66" t="str">
        <f t="shared" si="284"/>
        <v/>
      </c>
      <c r="O2579" s="66" t="str">
        <f t="shared" si="285"/>
        <v/>
      </c>
      <c r="P2579" s="66" t="str">
        <f t="shared" si="286"/>
        <v/>
      </c>
    </row>
    <row r="2580" spans="8:16">
      <c r="H2580" s="66" t="e">
        <f>IF(LEFT(A2580,6)="CEPNTR","GPINS",VLOOKUP(LEFT(A2580,6),'Code Library'!$A$3:$B$920,2,0))&amp;"_"&amp;RIGHT(A2580,3)</f>
        <v>#N/A</v>
      </c>
      <c r="I2580" s="66">
        <f t="shared" si="280"/>
        <v>0</v>
      </c>
      <c r="K2580" s="66" t="str">
        <f t="shared" si="281"/>
        <v/>
      </c>
      <c r="L2580" s="66" t="str">
        <f t="shared" si="282"/>
        <v/>
      </c>
      <c r="M2580" s="66" t="str">
        <f t="shared" si="283"/>
        <v/>
      </c>
      <c r="N2580" s="66" t="str">
        <f t="shared" si="284"/>
        <v/>
      </c>
      <c r="O2580" s="66" t="str">
        <f t="shared" si="285"/>
        <v/>
      </c>
      <c r="P2580" s="66" t="str">
        <f t="shared" si="286"/>
        <v/>
      </c>
    </row>
    <row r="2581" spans="8:16">
      <c r="H2581" s="66" t="e">
        <f>IF(LEFT(A2581,6)="CEPNTR","GPINS",VLOOKUP(LEFT(A2581,6),'Code Library'!$A$3:$B$920,2,0))&amp;"_"&amp;RIGHT(A2581,3)</f>
        <v>#N/A</v>
      </c>
      <c r="I2581" s="66">
        <f t="shared" si="280"/>
        <v>0</v>
      </c>
      <c r="K2581" s="66" t="str">
        <f t="shared" si="281"/>
        <v/>
      </c>
      <c r="L2581" s="66" t="str">
        <f t="shared" si="282"/>
        <v/>
      </c>
      <c r="M2581" s="66" t="str">
        <f t="shared" si="283"/>
        <v/>
      </c>
      <c r="N2581" s="66" t="str">
        <f t="shared" si="284"/>
        <v/>
      </c>
      <c r="O2581" s="66" t="str">
        <f t="shared" si="285"/>
        <v/>
      </c>
      <c r="P2581" s="66" t="str">
        <f t="shared" si="286"/>
        <v/>
      </c>
    </row>
    <row r="2582" spans="8:16">
      <c r="H2582" s="66" t="e">
        <f>IF(LEFT(A2582,6)="CEPNTR","GPINS",VLOOKUP(LEFT(A2582,6),'Code Library'!$A$3:$B$920,2,0))&amp;"_"&amp;RIGHT(A2582,3)</f>
        <v>#N/A</v>
      </c>
      <c r="I2582" s="66">
        <f t="shared" si="280"/>
        <v>0</v>
      </c>
      <c r="K2582" s="66" t="str">
        <f t="shared" si="281"/>
        <v/>
      </c>
      <c r="L2582" s="66" t="str">
        <f t="shared" si="282"/>
        <v/>
      </c>
      <c r="M2582" s="66" t="str">
        <f t="shared" si="283"/>
        <v/>
      </c>
      <c r="N2582" s="66" t="str">
        <f t="shared" si="284"/>
        <v/>
      </c>
      <c r="O2582" s="66" t="str">
        <f t="shared" si="285"/>
        <v/>
      </c>
      <c r="P2582" s="66" t="str">
        <f t="shared" si="286"/>
        <v/>
      </c>
    </row>
    <row r="2583" spans="8:16">
      <c r="H2583" s="66" t="e">
        <f>IF(LEFT(A2583,6)="CEPNTR","GPINS",VLOOKUP(LEFT(A2583,6),'Code Library'!$A$3:$B$920,2,0))&amp;"_"&amp;RIGHT(A2583,3)</f>
        <v>#N/A</v>
      </c>
      <c r="I2583" s="66">
        <f t="shared" si="280"/>
        <v>0</v>
      </c>
      <c r="K2583" s="66" t="str">
        <f t="shared" si="281"/>
        <v/>
      </c>
      <c r="L2583" s="66" t="str">
        <f t="shared" si="282"/>
        <v/>
      </c>
      <c r="M2583" s="66" t="str">
        <f t="shared" si="283"/>
        <v/>
      </c>
      <c r="N2583" s="66" t="str">
        <f t="shared" si="284"/>
        <v/>
      </c>
      <c r="O2583" s="66" t="str">
        <f t="shared" si="285"/>
        <v/>
      </c>
      <c r="P2583" s="66" t="str">
        <f t="shared" si="286"/>
        <v/>
      </c>
    </row>
    <row r="2584" spans="8:16">
      <c r="H2584" s="66" t="e">
        <f>IF(LEFT(A2584,6)="CEPNTR","GPINS",VLOOKUP(LEFT(A2584,6),'Code Library'!$A$3:$B$920,2,0))&amp;"_"&amp;RIGHT(A2584,3)</f>
        <v>#N/A</v>
      </c>
      <c r="I2584" s="66">
        <f t="shared" si="280"/>
        <v>0</v>
      </c>
      <c r="K2584" s="66" t="str">
        <f t="shared" si="281"/>
        <v/>
      </c>
      <c r="L2584" s="66" t="str">
        <f t="shared" si="282"/>
        <v/>
      </c>
      <c r="M2584" s="66" t="str">
        <f t="shared" si="283"/>
        <v/>
      </c>
      <c r="N2584" s="66" t="str">
        <f t="shared" si="284"/>
        <v/>
      </c>
      <c r="O2584" s="66" t="str">
        <f t="shared" si="285"/>
        <v/>
      </c>
      <c r="P2584" s="66" t="str">
        <f t="shared" si="286"/>
        <v/>
      </c>
    </row>
    <row r="2585" spans="8:16">
      <c r="H2585" s="66" t="e">
        <f>IF(LEFT(A2585,6)="CEPNTR","GPINS",VLOOKUP(LEFT(A2585,6),'Code Library'!$A$3:$B$920,2,0))&amp;"_"&amp;RIGHT(A2585,3)</f>
        <v>#N/A</v>
      </c>
      <c r="I2585" s="66">
        <f t="shared" si="280"/>
        <v>0</v>
      </c>
      <c r="K2585" s="66" t="str">
        <f t="shared" si="281"/>
        <v/>
      </c>
      <c r="L2585" s="66" t="str">
        <f t="shared" si="282"/>
        <v/>
      </c>
      <c r="M2585" s="66" t="str">
        <f t="shared" si="283"/>
        <v/>
      </c>
      <c r="N2585" s="66" t="str">
        <f t="shared" si="284"/>
        <v/>
      </c>
      <c r="O2585" s="66" t="str">
        <f t="shared" si="285"/>
        <v/>
      </c>
      <c r="P2585" s="66" t="str">
        <f t="shared" si="286"/>
        <v/>
      </c>
    </row>
    <row r="2586" spans="8:16">
      <c r="H2586" s="66" t="e">
        <f>IF(LEFT(A2586,6)="CEPNTR","GPINS",VLOOKUP(LEFT(A2586,6),'Code Library'!$A$3:$B$920,2,0))&amp;"_"&amp;RIGHT(A2586,3)</f>
        <v>#N/A</v>
      </c>
      <c r="I2586" s="66">
        <f t="shared" si="280"/>
        <v>0</v>
      </c>
      <c r="K2586" s="66" t="str">
        <f t="shared" si="281"/>
        <v/>
      </c>
      <c r="L2586" s="66" t="str">
        <f t="shared" si="282"/>
        <v/>
      </c>
      <c r="M2586" s="66" t="str">
        <f t="shared" si="283"/>
        <v/>
      </c>
      <c r="N2586" s="66" t="str">
        <f t="shared" si="284"/>
        <v/>
      </c>
      <c r="O2586" s="66" t="str">
        <f t="shared" si="285"/>
        <v/>
      </c>
      <c r="P2586" s="66" t="str">
        <f t="shared" si="286"/>
        <v/>
      </c>
    </row>
    <row r="2587" spans="8:16">
      <c r="H2587" s="66" t="e">
        <f>IF(LEFT(A2587,6)="CEPNTR","GPINS",VLOOKUP(LEFT(A2587,6),'Code Library'!$A$3:$B$920,2,0))&amp;"_"&amp;RIGHT(A2587,3)</f>
        <v>#N/A</v>
      </c>
      <c r="I2587" s="66">
        <f t="shared" si="280"/>
        <v>0</v>
      </c>
      <c r="K2587" s="66" t="str">
        <f t="shared" si="281"/>
        <v/>
      </c>
      <c r="L2587" s="66" t="str">
        <f t="shared" si="282"/>
        <v/>
      </c>
      <c r="M2587" s="66" t="str">
        <f t="shared" si="283"/>
        <v/>
      </c>
      <c r="N2587" s="66" t="str">
        <f t="shared" si="284"/>
        <v/>
      </c>
      <c r="O2587" s="66" t="str">
        <f t="shared" si="285"/>
        <v/>
      </c>
      <c r="P2587" s="66" t="str">
        <f t="shared" si="286"/>
        <v/>
      </c>
    </row>
    <row r="2588" spans="8:16">
      <c r="H2588" s="66" t="e">
        <f>IF(LEFT(A2588,6)="CEPNTR","GPINS",VLOOKUP(LEFT(A2588,6),'Code Library'!$A$3:$B$920,2,0))&amp;"_"&amp;RIGHT(A2588,3)</f>
        <v>#N/A</v>
      </c>
      <c r="I2588" s="66">
        <f t="shared" si="280"/>
        <v>0</v>
      </c>
      <c r="K2588" s="66" t="str">
        <f t="shared" si="281"/>
        <v/>
      </c>
      <c r="L2588" s="66" t="str">
        <f t="shared" si="282"/>
        <v/>
      </c>
      <c r="M2588" s="66" t="str">
        <f t="shared" si="283"/>
        <v/>
      </c>
      <c r="N2588" s="66" t="str">
        <f t="shared" si="284"/>
        <v/>
      </c>
      <c r="O2588" s="66" t="str">
        <f t="shared" si="285"/>
        <v/>
      </c>
      <c r="P2588" s="66" t="str">
        <f t="shared" si="286"/>
        <v/>
      </c>
    </row>
    <row r="2589" spans="8:16">
      <c r="H2589" s="66" t="e">
        <f>IF(LEFT(A2589,6)="CEPNTR","GPINS",VLOOKUP(LEFT(A2589,6),'Code Library'!$A$3:$B$920,2,0))&amp;"_"&amp;RIGHT(A2589,3)</f>
        <v>#N/A</v>
      </c>
      <c r="I2589" s="66">
        <f t="shared" si="280"/>
        <v>0</v>
      </c>
      <c r="K2589" s="66" t="str">
        <f t="shared" si="281"/>
        <v/>
      </c>
      <c r="L2589" s="66" t="str">
        <f t="shared" si="282"/>
        <v/>
      </c>
      <c r="M2589" s="66" t="str">
        <f t="shared" si="283"/>
        <v/>
      </c>
      <c r="N2589" s="66" t="str">
        <f t="shared" si="284"/>
        <v/>
      </c>
      <c r="O2589" s="66" t="str">
        <f t="shared" si="285"/>
        <v/>
      </c>
      <c r="P2589" s="66" t="str">
        <f t="shared" si="286"/>
        <v/>
      </c>
    </row>
    <row r="2590" spans="8:16">
      <c r="H2590" s="66" t="e">
        <f>IF(LEFT(A2590,6)="CEPNTR","GPINS",VLOOKUP(LEFT(A2590,6),'Code Library'!$A$3:$B$920,2,0))&amp;"_"&amp;RIGHT(A2590,3)</f>
        <v>#N/A</v>
      </c>
      <c r="I2590" s="66">
        <f t="shared" si="280"/>
        <v>0</v>
      </c>
      <c r="K2590" s="66" t="str">
        <f t="shared" si="281"/>
        <v/>
      </c>
      <c r="L2590" s="66" t="str">
        <f t="shared" si="282"/>
        <v/>
      </c>
      <c r="M2590" s="66" t="str">
        <f t="shared" si="283"/>
        <v/>
      </c>
      <c r="N2590" s="66" t="str">
        <f t="shared" si="284"/>
        <v/>
      </c>
      <c r="O2590" s="66" t="str">
        <f t="shared" si="285"/>
        <v/>
      </c>
      <c r="P2590" s="66" t="str">
        <f t="shared" si="286"/>
        <v/>
      </c>
    </row>
    <row r="2591" spans="8:16">
      <c r="H2591" s="66" t="e">
        <f>IF(LEFT(A2591,6)="CEPNTR","GPINS",VLOOKUP(LEFT(A2591,6),'Code Library'!$A$3:$B$920,2,0))&amp;"_"&amp;RIGHT(A2591,3)</f>
        <v>#N/A</v>
      </c>
      <c r="I2591" s="66">
        <f t="shared" si="280"/>
        <v>0</v>
      </c>
      <c r="K2591" s="66" t="str">
        <f t="shared" si="281"/>
        <v/>
      </c>
      <c r="L2591" s="66" t="str">
        <f t="shared" si="282"/>
        <v/>
      </c>
      <c r="M2591" s="66" t="str">
        <f t="shared" si="283"/>
        <v/>
      </c>
      <c r="N2591" s="66" t="str">
        <f t="shared" si="284"/>
        <v/>
      </c>
      <c r="O2591" s="66" t="str">
        <f t="shared" si="285"/>
        <v/>
      </c>
      <c r="P2591" s="66" t="str">
        <f t="shared" si="286"/>
        <v/>
      </c>
    </row>
    <row r="2592" spans="8:16">
      <c r="H2592" s="66" t="e">
        <f>IF(LEFT(A2592,6)="CEPNTR","GPINS",VLOOKUP(LEFT(A2592,6),'Code Library'!$A$3:$B$920,2,0))&amp;"_"&amp;RIGHT(A2592,3)</f>
        <v>#N/A</v>
      </c>
      <c r="I2592" s="66">
        <f t="shared" si="280"/>
        <v>0</v>
      </c>
      <c r="K2592" s="66" t="str">
        <f t="shared" si="281"/>
        <v/>
      </c>
      <c r="L2592" s="66" t="str">
        <f t="shared" si="282"/>
        <v/>
      </c>
      <c r="M2592" s="66" t="str">
        <f t="shared" si="283"/>
        <v/>
      </c>
      <c r="N2592" s="66" t="str">
        <f t="shared" si="284"/>
        <v/>
      </c>
      <c r="O2592" s="66" t="str">
        <f t="shared" si="285"/>
        <v/>
      </c>
      <c r="P2592" s="66" t="str">
        <f t="shared" si="286"/>
        <v/>
      </c>
    </row>
    <row r="2593" spans="8:16">
      <c r="H2593" s="66" t="e">
        <f>IF(LEFT(A2593,6)="CEPNTR","GPINS",VLOOKUP(LEFT(A2593,6),'Code Library'!$A$3:$B$920,2,0))&amp;"_"&amp;RIGHT(A2593,3)</f>
        <v>#N/A</v>
      </c>
      <c r="I2593" s="66">
        <f t="shared" si="280"/>
        <v>0</v>
      </c>
      <c r="K2593" s="66" t="str">
        <f t="shared" si="281"/>
        <v/>
      </c>
      <c r="L2593" s="66" t="str">
        <f t="shared" si="282"/>
        <v/>
      </c>
      <c r="M2593" s="66" t="str">
        <f t="shared" si="283"/>
        <v/>
      </c>
      <c r="N2593" s="66" t="str">
        <f t="shared" si="284"/>
        <v/>
      </c>
      <c r="O2593" s="66" t="str">
        <f t="shared" si="285"/>
        <v/>
      </c>
      <c r="P2593" s="66" t="str">
        <f t="shared" si="286"/>
        <v/>
      </c>
    </row>
    <row r="2594" spans="8:16">
      <c r="H2594" s="66" t="e">
        <f>IF(LEFT(A2594,6)="CEPNTR","GPINS",VLOOKUP(LEFT(A2594,6),'Code Library'!$A$3:$B$920,2,0))&amp;"_"&amp;RIGHT(A2594,3)</f>
        <v>#N/A</v>
      </c>
      <c r="I2594" s="66">
        <f t="shared" si="280"/>
        <v>0</v>
      </c>
      <c r="K2594" s="66" t="str">
        <f t="shared" si="281"/>
        <v/>
      </c>
      <c r="L2594" s="66" t="str">
        <f t="shared" si="282"/>
        <v/>
      </c>
      <c r="M2594" s="66" t="str">
        <f t="shared" si="283"/>
        <v/>
      </c>
      <c r="N2594" s="66" t="str">
        <f t="shared" si="284"/>
        <v/>
      </c>
      <c r="O2594" s="66" t="str">
        <f t="shared" si="285"/>
        <v/>
      </c>
      <c r="P2594" s="66" t="str">
        <f t="shared" si="286"/>
        <v/>
      </c>
    </row>
    <row r="2595" spans="8:16">
      <c r="H2595" s="66" t="e">
        <f>IF(LEFT(A2595,6)="CEPNTR","GPINS",VLOOKUP(LEFT(A2595,6),'Code Library'!$A$3:$B$920,2,0))&amp;"_"&amp;RIGHT(A2595,3)</f>
        <v>#N/A</v>
      </c>
      <c r="I2595" s="66">
        <f t="shared" si="280"/>
        <v>0</v>
      </c>
      <c r="K2595" s="66" t="str">
        <f t="shared" si="281"/>
        <v/>
      </c>
      <c r="L2595" s="66" t="str">
        <f t="shared" si="282"/>
        <v/>
      </c>
      <c r="M2595" s="66" t="str">
        <f t="shared" si="283"/>
        <v/>
      </c>
      <c r="N2595" s="66" t="str">
        <f t="shared" si="284"/>
        <v/>
      </c>
      <c r="O2595" s="66" t="str">
        <f t="shared" si="285"/>
        <v/>
      </c>
      <c r="P2595" s="66" t="str">
        <f t="shared" si="286"/>
        <v/>
      </c>
    </row>
    <row r="2596" spans="8:16">
      <c r="H2596" s="66" t="e">
        <f>IF(LEFT(A2596,6)="CEPNTR","GPINS",VLOOKUP(LEFT(A2596,6),'Code Library'!$A$3:$B$920,2,0))&amp;"_"&amp;RIGHT(A2596,3)</f>
        <v>#N/A</v>
      </c>
      <c r="I2596" s="66">
        <f t="shared" si="280"/>
        <v>0</v>
      </c>
      <c r="K2596" s="66" t="str">
        <f t="shared" si="281"/>
        <v/>
      </c>
      <c r="L2596" s="66" t="str">
        <f t="shared" si="282"/>
        <v/>
      </c>
      <c r="M2596" s="66" t="str">
        <f t="shared" si="283"/>
        <v/>
      </c>
      <c r="N2596" s="66" t="str">
        <f t="shared" si="284"/>
        <v/>
      </c>
      <c r="O2596" s="66" t="str">
        <f t="shared" si="285"/>
        <v/>
      </c>
      <c r="P2596" s="66" t="str">
        <f t="shared" si="286"/>
        <v/>
      </c>
    </row>
    <row r="2597" spans="8:16">
      <c r="H2597" s="66" t="e">
        <f>IF(LEFT(A2597,6)="CEPNTR","GPINS",VLOOKUP(LEFT(A2597,6),'Code Library'!$A$3:$B$920,2,0))&amp;"_"&amp;RIGHT(A2597,3)</f>
        <v>#N/A</v>
      </c>
      <c r="I2597" s="66">
        <f t="shared" si="280"/>
        <v>0</v>
      </c>
      <c r="K2597" s="66" t="str">
        <f t="shared" si="281"/>
        <v/>
      </c>
      <c r="L2597" s="66" t="str">
        <f t="shared" si="282"/>
        <v/>
      </c>
      <c r="M2597" s="66" t="str">
        <f t="shared" si="283"/>
        <v/>
      </c>
      <c r="N2597" s="66" t="str">
        <f t="shared" si="284"/>
        <v/>
      </c>
      <c r="O2597" s="66" t="str">
        <f t="shared" si="285"/>
        <v/>
      </c>
      <c r="P2597" s="66" t="str">
        <f t="shared" si="286"/>
        <v/>
      </c>
    </row>
    <row r="2598" spans="8:16">
      <c r="H2598" s="66" t="e">
        <f>IF(LEFT(A2598,6)="CEPNTR","GPINS",VLOOKUP(LEFT(A2598,6),'Code Library'!$A$3:$B$920,2,0))&amp;"_"&amp;RIGHT(A2598,3)</f>
        <v>#N/A</v>
      </c>
      <c r="I2598" s="66">
        <f t="shared" si="280"/>
        <v>0</v>
      </c>
      <c r="K2598" s="66" t="str">
        <f t="shared" si="281"/>
        <v/>
      </c>
      <c r="L2598" s="66" t="str">
        <f t="shared" si="282"/>
        <v/>
      </c>
      <c r="M2598" s="66" t="str">
        <f t="shared" si="283"/>
        <v/>
      </c>
      <c r="N2598" s="66" t="str">
        <f t="shared" si="284"/>
        <v/>
      </c>
      <c r="O2598" s="66" t="str">
        <f t="shared" si="285"/>
        <v/>
      </c>
      <c r="P2598" s="66" t="str">
        <f t="shared" si="286"/>
        <v/>
      </c>
    </row>
    <row r="2599" spans="8:16">
      <c r="H2599" s="66" t="e">
        <f>IF(LEFT(A2599,6)="CEPNTR","GPINS",VLOOKUP(LEFT(A2599,6),'Code Library'!$A$3:$B$920,2,0))&amp;"_"&amp;RIGHT(A2599,3)</f>
        <v>#N/A</v>
      </c>
      <c r="I2599" s="66">
        <f t="shared" si="280"/>
        <v>0</v>
      </c>
      <c r="K2599" s="66" t="str">
        <f t="shared" si="281"/>
        <v/>
      </c>
      <c r="L2599" s="66" t="str">
        <f t="shared" si="282"/>
        <v/>
      </c>
      <c r="M2599" s="66" t="str">
        <f t="shared" si="283"/>
        <v/>
      </c>
      <c r="N2599" s="66" t="str">
        <f t="shared" si="284"/>
        <v/>
      </c>
      <c r="O2599" s="66" t="str">
        <f t="shared" si="285"/>
        <v/>
      </c>
      <c r="P2599" s="66" t="str">
        <f t="shared" si="286"/>
        <v/>
      </c>
    </row>
    <row r="2600" spans="8:16">
      <c r="H2600" s="66" t="e">
        <f>IF(LEFT(A2600,6)="CEPNTR","GPINS",VLOOKUP(LEFT(A2600,6),'Code Library'!$A$3:$B$920,2,0))&amp;"_"&amp;RIGHT(A2600,3)</f>
        <v>#N/A</v>
      </c>
      <c r="I2600" s="66">
        <f t="shared" si="280"/>
        <v>0</v>
      </c>
      <c r="K2600" s="66" t="str">
        <f t="shared" si="281"/>
        <v/>
      </c>
      <c r="L2600" s="66" t="str">
        <f t="shared" si="282"/>
        <v/>
      </c>
      <c r="M2600" s="66" t="str">
        <f t="shared" si="283"/>
        <v/>
      </c>
      <c r="N2600" s="66" t="str">
        <f t="shared" si="284"/>
        <v/>
      </c>
      <c r="O2600" s="66" t="str">
        <f t="shared" si="285"/>
        <v/>
      </c>
      <c r="P2600" s="66" t="str">
        <f t="shared" si="286"/>
        <v/>
      </c>
    </row>
    <row r="2601" spans="8:16">
      <c r="H2601" s="66" t="e">
        <f>IF(LEFT(A2601,6)="CEPNTR","GPINS",VLOOKUP(LEFT(A2601,6),'Code Library'!$A$3:$B$920,2,0))&amp;"_"&amp;RIGHT(A2601,3)</f>
        <v>#N/A</v>
      </c>
      <c r="I2601" s="66">
        <f t="shared" si="280"/>
        <v>0</v>
      </c>
      <c r="K2601" s="66" t="str">
        <f t="shared" si="281"/>
        <v/>
      </c>
      <c r="L2601" s="66" t="str">
        <f t="shared" si="282"/>
        <v/>
      </c>
      <c r="M2601" s="66" t="str">
        <f t="shared" si="283"/>
        <v/>
      </c>
      <c r="N2601" s="66" t="str">
        <f t="shared" si="284"/>
        <v/>
      </c>
      <c r="O2601" s="66" t="str">
        <f t="shared" si="285"/>
        <v/>
      </c>
      <c r="P2601" s="66" t="str">
        <f t="shared" si="286"/>
        <v/>
      </c>
    </row>
    <row r="2602" spans="8:16">
      <c r="H2602" s="66" t="e">
        <f>IF(LEFT(A2602,6)="CEPNTR","GPINS",VLOOKUP(LEFT(A2602,6),'Code Library'!$A$3:$B$920,2,0))&amp;"_"&amp;RIGHT(A2602,3)</f>
        <v>#N/A</v>
      </c>
      <c r="I2602" s="66">
        <f t="shared" si="280"/>
        <v>0</v>
      </c>
      <c r="K2602" s="66" t="str">
        <f t="shared" si="281"/>
        <v/>
      </c>
      <c r="L2602" s="66" t="str">
        <f t="shared" si="282"/>
        <v/>
      </c>
      <c r="M2602" s="66" t="str">
        <f t="shared" si="283"/>
        <v/>
      </c>
      <c r="N2602" s="66" t="str">
        <f t="shared" si="284"/>
        <v/>
      </c>
      <c r="O2602" s="66" t="str">
        <f t="shared" si="285"/>
        <v/>
      </c>
      <c r="P2602" s="66" t="str">
        <f t="shared" si="286"/>
        <v/>
      </c>
    </row>
    <row r="2603" spans="8:16">
      <c r="H2603" s="66" t="e">
        <f>IF(LEFT(A2603,6)="CEPNTR","GPINS",VLOOKUP(LEFT(A2603,6),'Code Library'!$A$3:$B$920,2,0))&amp;"_"&amp;RIGHT(A2603,3)</f>
        <v>#N/A</v>
      </c>
      <c r="I2603" s="66">
        <f t="shared" si="280"/>
        <v>0</v>
      </c>
      <c r="K2603" s="66" t="str">
        <f t="shared" si="281"/>
        <v/>
      </c>
      <c r="L2603" s="66" t="str">
        <f t="shared" si="282"/>
        <v/>
      </c>
      <c r="M2603" s="66" t="str">
        <f t="shared" si="283"/>
        <v/>
      </c>
      <c r="N2603" s="66" t="str">
        <f t="shared" si="284"/>
        <v/>
      </c>
      <c r="O2603" s="66" t="str">
        <f t="shared" si="285"/>
        <v/>
      </c>
      <c r="P2603" s="66" t="str">
        <f t="shared" si="286"/>
        <v/>
      </c>
    </row>
    <row r="2604" spans="8:16">
      <c r="H2604" s="66" t="e">
        <f>IF(LEFT(A2604,6)="CEPNTR","GPINS",VLOOKUP(LEFT(A2604,6),'Code Library'!$A$3:$B$920,2,0))&amp;"_"&amp;RIGHT(A2604,3)</f>
        <v>#N/A</v>
      </c>
      <c r="I2604" s="66">
        <f t="shared" si="280"/>
        <v>0</v>
      </c>
      <c r="K2604" s="66" t="str">
        <f t="shared" si="281"/>
        <v/>
      </c>
      <c r="L2604" s="66" t="str">
        <f t="shared" si="282"/>
        <v/>
      </c>
      <c r="M2604" s="66" t="str">
        <f t="shared" si="283"/>
        <v/>
      </c>
      <c r="N2604" s="66" t="str">
        <f t="shared" si="284"/>
        <v/>
      </c>
      <c r="O2604" s="66" t="str">
        <f t="shared" si="285"/>
        <v/>
      </c>
      <c r="P2604" s="66" t="str">
        <f t="shared" si="286"/>
        <v/>
      </c>
    </row>
    <row r="2605" spans="8:16">
      <c r="H2605" s="66" t="e">
        <f>IF(LEFT(A2605,6)="CEPNTR","GPINS",VLOOKUP(LEFT(A2605,6),'Code Library'!$A$3:$B$920,2,0))&amp;"_"&amp;RIGHT(A2605,3)</f>
        <v>#N/A</v>
      </c>
      <c r="I2605" s="66">
        <f t="shared" si="280"/>
        <v>0</v>
      </c>
      <c r="K2605" s="66" t="str">
        <f t="shared" si="281"/>
        <v/>
      </c>
      <c r="L2605" s="66" t="str">
        <f t="shared" si="282"/>
        <v/>
      </c>
      <c r="M2605" s="66" t="str">
        <f t="shared" si="283"/>
        <v/>
      </c>
      <c r="N2605" s="66" t="str">
        <f t="shared" si="284"/>
        <v/>
      </c>
      <c r="O2605" s="66" t="str">
        <f t="shared" si="285"/>
        <v/>
      </c>
      <c r="P2605" s="66" t="str">
        <f t="shared" si="286"/>
        <v/>
      </c>
    </row>
    <row r="2606" spans="8:16">
      <c r="H2606" s="66" t="e">
        <f>IF(LEFT(A2606,6)="CEPNTR","GPINS",VLOOKUP(LEFT(A2606,6),'Code Library'!$A$3:$B$920,2,0))&amp;"_"&amp;RIGHT(A2606,3)</f>
        <v>#N/A</v>
      </c>
      <c r="I2606" s="66">
        <f t="shared" si="280"/>
        <v>0</v>
      </c>
      <c r="K2606" s="66" t="str">
        <f t="shared" si="281"/>
        <v/>
      </c>
      <c r="L2606" s="66" t="str">
        <f t="shared" si="282"/>
        <v/>
      </c>
      <c r="M2606" s="66" t="str">
        <f t="shared" si="283"/>
        <v/>
      </c>
      <c r="N2606" s="66" t="str">
        <f t="shared" si="284"/>
        <v/>
      </c>
      <c r="O2606" s="66" t="str">
        <f t="shared" si="285"/>
        <v/>
      </c>
      <c r="P2606" s="66" t="str">
        <f t="shared" si="286"/>
        <v/>
      </c>
    </row>
    <row r="2607" spans="8:16">
      <c r="H2607" s="66" t="e">
        <f>IF(LEFT(A2607,6)="CEPNTR","GPINS",VLOOKUP(LEFT(A2607,6),'Code Library'!$A$3:$B$920,2,0))&amp;"_"&amp;RIGHT(A2607,3)</f>
        <v>#N/A</v>
      </c>
      <c r="I2607" s="66">
        <f t="shared" si="280"/>
        <v>0</v>
      </c>
      <c r="K2607" s="66" t="str">
        <f t="shared" si="281"/>
        <v/>
      </c>
      <c r="L2607" s="66" t="str">
        <f t="shared" si="282"/>
        <v/>
      </c>
      <c r="M2607" s="66" t="str">
        <f t="shared" si="283"/>
        <v/>
      </c>
      <c r="N2607" s="66" t="str">
        <f t="shared" si="284"/>
        <v/>
      </c>
      <c r="O2607" s="66" t="str">
        <f t="shared" si="285"/>
        <v/>
      </c>
      <c r="P2607" s="66" t="str">
        <f t="shared" si="286"/>
        <v/>
      </c>
    </row>
    <row r="2608" spans="8:16">
      <c r="H2608" s="66" t="e">
        <f>IF(LEFT(A2608,6)="CEPNTR","GPINS",VLOOKUP(LEFT(A2608,6),'Code Library'!$A$3:$B$920,2,0))&amp;"_"&amp;RIGHT(A2608,3)</f>
        <v>#N/A</v>
      </c>
      <c r="I2608" s="66">
        <f t="shared" si="280"/>
        <v>0</v>
      </c>
      <c r="K2608" s="66" t="str">
        <f t="shared" si="281"/>
        <v/>
      </c>
      <c r="L2608" s="66" t="str">
        <f t="shared" si="282"/>
        <v/>
      </c>
      <c r="M2608" s="66" t="str">
        <f t="shared" si="283"/>
        <v/>
      </c>
      <c r="N2608" s="66" t="str">
        <f t="shared" si="284"/>
        <v/>
      </c>
      <c r="O2608" s="66" t="str">
        <f t="shared" si="285"/>
        <v/>
      </c>
      <c r="P2608" s="66" t="str">
        <f t="shared" si="286"/>
        <v/>
      </c>
    </row>
    <row r="2609" spans="8:16">
      <c r="H2609" s="66" t="e">
        <f>IF(LEFT(A2609,6)="CEPNTR","GPINS",VLOOKUP(LEFT(A2609,6),'Code Library'!$A$3:$B$920,2,0))&amp;"_"&amp;RIGHT(A2609,3)</f>
        <v>#N/A</v>
      </c>
      <c r="I2609" s="66">
        <f t="shared" si="280"/>
        <v>0</v>
      </c>
      <c r="K2609" s="66" t="str">
        <f t="shared" si="281"/>
        <v/>
      </c>
      <c r="L2609" s="66" t="str">
        <f t="shared" si="282"/>
        <v/>
      </c>
      <c r="M2609" s="66" t="str">
        <f t="shared" si="283"/>
        <v/>
      </c>
      <c r="N2609" s="66" t="str">
        <f t="shared" si="284"/>
        <v/>
      </c>
      <c r="O2609" s="66" t="str">
        <f t="shared" si="285"/>
        <v/>
      </c>
      <c r="P2609" s="66" t="str">
        <f t="shared" si="286"/>
        <v/>
      </c>
    </row>
    <row r="2610" spans="8:16">
      <c r="H2610" s="66" t="e">
        <f>IF(LEFT(A2610,6)="CEPNTR","GPINS",VLOOKUP(LEFT(A2610,6),'Code Library'!$A$3:$B$920,2,0))&amp;"_"&amp;RIGHT(A2610,3)</f>
        <v>#N/A</v>
      </c>
      <c r="I2610" s="66">
        <f t="shared" si="280"/>
        <v>0</v>
      </c>
      <c r="K2610" s="66" t="str">
        <f t="shared" si="281"/>
        <v/>
      </c>
      <c r="L2610" s="66" t="str">
        <f t="shared" si="282"/>
        <v/>
      </c>
      <c r="M2610" s="66" t="str">
        <f t="shared" si="283"/>
        <v/>
      </c>
      <c r="N2610" s="66" t="str">
        <f t="shared" si="284"/>
        <v/>
      </c>
      <c r="O2610" s="66" t="str">
        <f t="shared" si="285"/>
        <v/>
      </c>
      <c r="P2610" s="66" t="str">
        <f t="shared" si="286"/>
        <v/>
      </c>
    </row>
    <row r="2611" spans="8:16">
      <c r="H2611" s="66" t="e">
        <f>IF(LEFT(A2611,6)="CEPNTR","GPINS",VLOOKUP(LEFT(A2611,6),'Code Library'!$A$3:$B$920,2,0))&amp;"_"&amp;RIGHT(A2611,3)</f>
        <v>#N/A</v>
      </c>
      <c r="I2611" s="66">
        <f t="shared" si="280"/>
        <v>0</v>
      </c>
      <c r="K2611" s="66" t="str">
        <f t="shared" si="281"/>
        <v/>
      </c>
      <c r="L2611" s="66" t="str">
        <f t="shared" si="282"/>
        <v/>
      </c>
      <c r="M2611" s="66" t="str">
        <f t="shared" si="283"/>
        <v/>
      </c>
      <c r="N2611" s="66" t="str">
        <f t="shared" si="284"/>
        <v/>
      </c>
      <c r="O2611" s="66" t="str">
        <f t="shared" si="285"/>
        <v/>
      </c>
      <c r="P2611" s="66" t="str">
        <f t="shared" si="286"/>
        <v/>
      </c>
    </row>
    <row r="2612" spans="8:16">
      <c r="H2612" s="66" t="e">
        <f>IF(LEFT(A2612,6)="CEPNTR","GPINS",VLOOKUP(LEFT(A2612,6),'Code Library'!$A$3:$B$920,2,0))&amp;"_"&amp;RIGHT(A2612,3)</f>
        <v>#N/A</v>
      </c>
      <c r="I2612" s="66">
        <f t="shared" si="280"/>
        <v>0</v>
      </c>
      <c r="K2612" s="66" t="str">
        <f t="shared" si="281"/>
        <v/>
      </c>
      <c r="L2612" s="66" t="str">
        <f t="shared" si="282"/>
        <v/>
      </c>
      <c r="M2612" s="66" t="str">
        <f t="shared" si="283"/>
        <v/>
      </c>
      <c r="N2612" s="66" t="str">
        <f t="shared" si="284"/>
        <v/>
      </c>
      <c r="O2612" s="66" t="str">
        <f t="shared" si="285"/>
        <v/>
      </c>
      <c r="P2612" s="66" t="str">
        <f t="shared" si="286"/>
        <v/>
      </c>
    </row>
    <row r="2613" spans="8:16">
      <c r="H2613" s="66" t="e">
        <f>IF(LEFT(A2613,6)="CEPNTR","GPINS",VLOOKUP(LEFT(A2613,6),'Code Library'!$A$3:$B$920,2,0))&amp;"_"&amp;RIGHT(A2613,3)</f>
        <v>#N/A</v>
      </c>
      <c r="I2613" s="66">
        <f t="shared" si="280"/>
        <v>0</v>
      </c>
      <c r="K2613" s="66" t="str">
        <f t="shared" si="281"/>
        <v/>
      </c>
      <c r="L2613" s="66" t="str">
        <f t="shared" si="282"/>
        <v/>
      </c>
      <c r="M2613" s="66" t="str">
        <f t="shared" si="283"/>
        <v/>
      </c>
      <c r="N2613" s="66" t="str">
        <f t="shared" si="284"/>
        <v/>
      </c>
      <c r="O2613" s="66" t="str">
        <f t="shared" si="285"/>
        <v/>
      </c>
      <c r="P2613" s="66" t="str">
        <f t="shared" si="286"/>
        <v/>
      </c>
    </row>
    <row r="2614" spans="8:16">
      <c r="H2614" s="66" t="e">
        <f>IF(LEFT(A2614,6)="CEPNTR","GPINS",VLOOKUP(LEFT(A2614,6),'Code Library'!$A$3:$B$920,2,0))&amp;"_"&amp;RIGHT(A2614,3)</f>
        <v>#N/A</v>
      </c>
      <c r="I2614" s="66">
        <f t="shared" si="280"/>
        <v>0</v>
      </c>
      <c r="K2614" s="66" t="str">
        <f t="shared" si="281"/>
        <v/>
      </c>
      <c r="L2614" s="66" t="str">
        <f t="shared" si="282"/>
        <v/>
      </c>
      <c r="M2614" s="66" t="str">
        <f t="shared" si="283"/>
        <v/>
      </c>
      <c r="N2614" s="66" t="str">
        <f t="shared" si="284"/>
        <v/>
      </c>
      <c r="O2614" s="66" t="str">
        <f t="shared" si="285"/>
        <v/>
      </c>
      <c r="P2614" s="66" t="str">
        <f t="shared" si="286"/>
        <v/>
      </c>
    </row>
    <row r="2615" spans="8:16">
      <c r="H2615" s="66" t="e">
        <f>IF(LEFT(A2615,6)="CEPNTR","GPINS",VLOOKUP(LEFT(A2615,6),'Code Library'!$A$3:$B$920,2,0))&amp;"_"&amp;RIGHT(A2615,3)</f>
        <v>#N/A</v>
      </c>
      <c r="I2615" s="66">
        <f t="shared" si="280"/>
        <v>0</v>
      </c>
      <c r="K2615" s="66" t="str">
        <f t="shared" si="281"/>
        <v/>
      </c>
      <c r="L2615" s="66" t="str">
        <f t="shared" si="282"/>
        <v/>
      </c>
      <c r="M2615" s="66" t="str">
        <f t="shared" si="283"/>
        <v/>
      </c>
      <c r="N2615" s="66" t="str">
        <f t="shared" si="284"/>
        <v/>
      </c>
      <c r="O2615" s="66" t="str">
        <f t="shared" si="285"/>
        <v/>
      </c>
      <c r="P2615" s="66" t="str">
        <f t="shared" si="286"/>
        <v/>
      </c>
    </row>
    <row r="2616" spans="8:16">
      <c r="H2616" s="66" t="e">
        <f>IF(LEFT(A2616,6)="CEPNTR","GPINS",VLOOKUP(LEFT(A2616,6),'Code Library'!$A$3:$B$920,2,0))&amp;"_"&amp;RIGHT(A2616,3)</f>
        <v>#N/A</v>
      </c>
      <c r="I2616" s="66">
        <f t="shared" si="280"/>
        <v>0</v>
      </c>
      <c r="K2616" s="66" t="str">
        <f t="shared" si="281"/>
        <v/>
      </c>
      <c r="L2616" s="66" t="str">
        <f t="shared" si="282"/>
        <v/>
      </c>
      <c r="M2616" s="66" t="str">
        <f t="shared" si="283"/>
        <v/>
      </c>
      <c r="N2616" s="66" t="str">
        <f t="shared" si="284"/>
        <v/>
      </c>
      <c r="O2616" s="66" t="str">
        <f t="shared" si="285"/>
        <v/>
      </c>
      <c r="P2616" s="66" t="str">
        <f t="shared" si="286"/>
        <v/>
      </c>
    </row>
    <row r="2617" spans="8:16">
      <c r="H2617" s="66" t="e">
        <f>IF(LEFT(A2617,6)="CEPNTR","GPINS",VLOOKUP(LEFT(A2617,6),'Code Library'!$A$3:$B$920,2,0))&amp;"_"&amp;RIGHT(A2617,3)</f>
        <v>#N/A</v>
      </c>
      <c r="I2617" s="66">
        <f t="shared" si="280"/>
        <v>0</v>
      </c>
      <c r="K2617" s="66" t="str">
        <f t="shared" si="281"/>
        <v/>
      </c>
      <c r="L2617" s="66" t="str">
        <f t="shared" si="282"/>
        <v/>
      </c>
      <c r="M2617" s="66" t="str">
        <f t="shared" si="283"/>
        <v/>
      </c>
      <c r="N2617" s="66" t="str">
        <f t="shared" si="284"/>
        <v/>
      </c>
      <c r="O2617" s="66" t="str">
        <f t="shared" si="285"/>
        <v/>
      </c>
      <c r="P2617" s="66" t="str">
        <f t="shared" si="286"/>
        <v/>
      </c>
    </row>
    <row r="2618" spans="8:16">
      <c r="H2618" s="66" t="e">
        <f>IF(LEFT(A2618,6)="CEPNTR","GPINS",VLOOKUP(LEFT(A2618,6),'Code Library'!$A$3:$B$920,2,0))&amp;"_"&amp;RIGHT(A2618,3)</f>
        <v>#N/A</v>
      </c>
      <c r="I2618" s="66">
        <f t="shared" si="280"/>
        <v>0</v>
      </c>
      <c r="K2618" s="66" t="str">
        <f t="shared" si="281"/>
        <v/>
      </c>
      <c r="L2618" s="66" t="str">
        <f t="shared" si="282"/>
        <v/>
      </c>
      <c r="M2618" s="66" t="str">
        <f t="shared" si="283"/>
        <v/>
      </c>
      <c r="N2618" s="66" t="str">
        <f t="shared" si="284"/>
        <v/>
      </c>
      <c r="O2618" s="66" t="str">
        <f t="shared" si="285"/>
        <v/>
      </c>
      <c r="P2618" s="66" t="str">
        <f t="shared" si="286"/>
        <v/>
      </c>
    </row>
    <row r="2619" spans="8:16">
      <c r="H2619" s="66" t="e">
        <f>IF(LEFT(A2619,6)="CEPNTR","GPINS",VLOOKUP(LEFT(A2619,6),'Code Library'!$A$3:$B$920,2,0))&amp;"_"&amp;RIGHT(A2619,3)</f>
        <v>#N/A</v>
      </c>
      <c r="I2619" s="66">
        <f t="shared" si="280"/>
        <v>0</v>
      </c>
      <c r="K2619" s="66" t="str">
        <f t="shared" si="281"/>
        <v/>
      </c>
      <c r="L2619" s="66" t="str">
        <f t="shared" si="282"/>
        <v/>
      </c>
      <c r="M2619" s="66" t="str">
        <f t="shared" si="283"/>
        <v/>
      </c>
      <c r="N2619" s="66" t="str">
        <f t="shared" si="284"/>
        <v/>
      </c>
      <c r="O2619" s="66" t="str">
        <f t="shared" si="285"/>
        <v/>
      </c>
      <c r="P2619" s="66" t="str">
        <f t="shared" si="286"/>
        <v/>
      </c>
    </row>
    <row r="2620" spans="8:16">
      <c r="H2620" s="66" t="e">
        <f>IF(LEFT(A2620,6)="CEPNTR","GPINS",VLOOKUP(LEFT(A2620,6),'Code Library'!$A$3:$B$920,2,0))&amp;"_"&amp;RIGHT(A2620,3)</f>
        <v>#N/A</v>
      </c>
      <c r="I2620" s="66">
        <f t="shared" si="280"/>
        <v>0</v>
      </c>
      <c r="K2620" s="66" t="str">
        <f t="shared" si="281"/>
        <v/>
      </c>
      <c r="L2620" s="66" t="str">
        <f t="shared" si="282"/>
        <v/>
      </c>
      <c r="M2620" s="66" t="str">
        <f t="shared" si="283"/>
        <v/>
      </c>
      <c r="N2620" s="66" t="str">
        <f t="shared" si="284"/>
        <v/>
      </c>
      <c r="O2620" s="66" t="str">
        <f t="shared" si="285"/>
        <v/>
      </c>
      <c r="P2620" s="66" t="str">
        <f t="shared" si="286"/>
        <v/>
      </c>
    </row>
    <row r="2621" spans="8:16">
      <c r="H2621" s="66" t="e">
        <f>IF(LEFT(A2621,6)="CEPNTR","GPINS",VLOOKUP(LEFT(A2621,6),'Code Library'!$A$3:$B$920,2,0))&amp;"_"&amp;RIGHT(A2621,3)</f>
        <v>#N/A</v>
      </c>
      <c r="I2621" s="66">
        <f t="shared" si="280"/>
        <v>0</v>
      </c>
      <c r="K2621" s="66" t="str">
        <f t="shared" si="281"/>
        <v/>
      </c>
      <c r="L2621" s="66" t="str">
        <f t="shared" si="282"/>
        <v/>
      </c>
      <c r="M2621" s="66" t="str">
        <f t="shared" si="283"/>
        <v/>
      </c>
      <c r="N2621" s="66" t="str">
        <f t="shared" si="284"/>
        <v/>
      </c>
      <c r="O2621" s="66" t="str">
        <f t="shared" si="285"/>
        <v/>
      </c>
      <c r="P2621" s="66" t="str">
        <f t="shared" si="286"/>
        <v/>
      </c>
    </row>
    <row r="2622" spans="8:16">
      <c r="H2622" s="66" t="e">
        <f>IF(LEFT(A2622,6)="CEPNTR","GPINS",VLOOKUP(LEFT(A2622,6),'Code Library'!$A$3:$B$920,2,0))&amp;"_"&amp;RIGHT(A2622,3)</f>
        <v>#N/A</v>
      </c>
      <c r="I2622" s="66">
        <f t="shared" si="280"/>
        <v>0</v>
      </c>
      <c r="K2622" s="66" t="str">
        <f t="shared" si="281"/>
        <v/>
      </c>
      <c r="L2622" s="66" t="str">
        <f t="shared" si="282"/>
        <v/>
      </c>
      <c r="M2622" s="66" t="str">
        <f t="shared" si="283"/>
        <v/>
      </c>
      <c r="N2622" s="66" t="str">
        <f t="shared" si="284"/>
        <v/>
      </c>
      <c r="O2622" s="66" t="str">
        <f t="shared" si="285"/>
        <v/>
      </c>
      <c r="P2622" s="66" t="str">
        <f t="shared" si="286"/>
        <v/>
      </c>
    </row>
    <row r="2623" spans="8:16">
      <c r="H2623" s="66" t="e">
        <f>IF(LEFT(A2623,6)="CEPNTR","GPINS",VLOOKUP(LEFT(A2623,6),'Code Library'!$A$3:$B$920,2,0))&amp;"_"&amp;RIGHT(A2623,3)</f>
        <v>#N/A</v>
      </c>
      <c r="I2623" s="66">
        <f t="shared" si="280"/>
        <v>0</v>
      </c>
      <c r="K2623" s="66" t="str">
        <f t="shared" si="281"/>
        <v/>
      </c>
      <c r="L2623" s="66" t="str">
        <f t="shared" si="282"/>
        <v/>
      </c>
      <c r="M2623" s="66" t="str">
        <f t="shared" si="283"/>
        <v/>
      </c>
      <c r="N2623" s="66" t="str">
        <f t="shared" si="284"/>
        <v/>
      </c>
      <c r="O2623" s="66" t="str">
        <f t="shared" si="285"/>
        <v/>
      </c>
      <c r="P2623" s="66" t="str">
        <f t="shared" si="286"/>
        <v/>
      </c>
    </row>
    <row r="2624" spans="8:16">
      <c r="H2624" s="66" t="e">
        <f>IF(LEFT(A2624,6)="CEPNTR","GPINS",VLOOKUP(LEFT(A2624,6),'Code Library'!$A$3:$B$920,2,0))&amp;"_"&amp;RIGHT(A2624,3)</f>
        <v>#N/A</v>
      </c>
      <c r="I2624" s="66">
        <f t="shared" si="280"/>
        <v>0</v>
      </c>
      <c r="K2624" s="66" t="str">
        <f t="shared" si="281"/>
        <v/>
      </c>
      <c r="L2624" s="66" t="str">
        <f t="shared" si="282"/>
        <v/>
      </c>
      <c r="M2624" s="66" t="str">
        <f t="shared" si="283"/>
        <v/>
      </c>
      <c r="N2624" s="66" t="str">
        <f t="shared" si="284"/>
        <v/>
      </c>
      <c r="O2624" s="66" t="str">
        <f t="shared" si="285"/>
        <v/>
      </c>
      <c r="P2624" s="66" t="str">
        <f t="shared" si="286"/>
        <v/>
      </c>
    </row>
    <row r="2625" spans="8:16">
      <c r="H2625" s="66" t="e">
        <f>IF(LEFT(A2625,6)="CEPNTR","GPINS",VLOOKUP(LEFT(A2625,6),'Code Library'!$A$3:$B$920,2,0))&amp;"_"&amp;RIGHT(A2625,3)</f>
        <v>#N/A</v>
      </c>
      <c r="I2625" s="66">
        <f t="shared" si="280"/>
        <v>0</v>
      </c>
      <c r="K2625" s="66" t="str">
        <f t="shared" si="281"/>
        <v/>
      </c>
      <c r="L2625" s="66" t="str">
        <f t="shared" si="282"/>
        <v/>
      </c>
      <c r="M2625" s="66" t="str">
        <f t="shared" si="283"/>
        <v/>
      </c>
      <c r="N2625" s="66" t="str">
        <f t="shared" si="284"/>
        <v/>
      </c>
      <c r="O2625" s="66" t="str">
        <f t="shared" si="285"/>
        <v/>
      </c>
      <c r="P2625" s="66" t="str">
        <f t="shared" si="286"/>
        <v/>
      </c>
    </row>
    <row r="2626" spans="8:16">
      <c r="H2626" s="66" t="e">
        <f>IF(LEFT(A2626,6)="CEPNTR","GPINS",VLOOKUP(LEFT(A2626,6),'Code Library'!$A$3:$B$920,2,0))&amp;"_"&amp;RIGHT(A2626,3)</f>
        <v>#N/A</v>
      </c>
      <c r="I2626" s="66">
        <f t="shared" si="280"/>
        <v>0</v>
      </c>
      <c r="K2626" s="66" t="str">
        <f t="shared" si="281"/>
        <v/>
      </c>
      <c r="L2626" s="66" t="str">
        <f t="shared" si="282"/>
        <v/>
      </c>
      <c r="M2626" s="66" t="str">
        <f t="shared" si="283"/>
        <v/>
      </c>
      <c r="N2626" s="66" t="str">
        <f t="shared" si="284"/>
        <v/>
      </c>
      <c r="O2626" s="66" t="str">
        <f t="shared" si="285"/>
        <v/>
      </c>
      <c r="P2626" s="66" t="str">
        <f t="shared" si="286"/>
        <v/>
      </c>
    </row>
    <row r="2627" spans="8:16">
      <c r="H2627" s="66" t="e">
        <f>IF(LEFT(A2627,6)="CEPNTR","GPINS",VLOOKUP(LEFT(A2627,6),'Code Library'!$A$3:$B$920,2,0))&amp;"_"&amp;RIGHT(A2627,3)</f>
        <v>#N/A</v>
      </c>
      <c r="I2627" s="66">
        <f t="shared" ref="I2627:I2690" si="287">A2627</f>
        <v>0</v>
      </c>
      <c r="K2627" s="66" t="str">
        <f t="shared" ref="K2627:K2690" si="288">RIGHT($B2627,2)</f>
        <v/>
      </c>
      <c r="L2627" s="66" t="str">
        <f t="shared" ref="L2627:L2690" si="289">LEFT(RIGHT($B2627,7),4)</f>
        <v/>
      </c>
      <c r="M2627" s="66" t="str">
        <f t="shared" ref="M2627:M2690" si="290">LEFT(RIGHT($B2627,10),2)</f>
        <v/>
      </c>
      <c r="N2627" s="66" t="str">
        <f t="shared" ref="N2627:N2690" si="291">LEFT(RIGHT($B2627,14),3)</f>
        <v/>
      </c>
      <c r="O2627" s="66" t="str">
        <f t="shared" ref="O2627:O2690" si="292">LEFT(RIGHT($B2627,16),1)</f>
        <v/>
      </c>
      <c r="P2627" s="66" t="str">
        <f t="shared" ref="P2627:P2690" si="293">LEFT(RIGHT($B2627,19),2)</f>
        <v/>
      </c>
    </row>
    <row r="2628" spans="8:16">
      <c r="H2628" s="66" t="e">
        <f>IF(LEFT(A2628,6)="CEPNTR","GPINS",VLOOKUP(LEFT(A2628,6),'Code Library'!$A$3:$B$920,2,0))&amp;"_"&amp;RIGHT(A2628,3)</f>
        <v>#N/A</v>
      </c>
      <c r="I2628" s="66">
        <f t="shared" si="287"/>
        <v>0</v>
      </c>
      <c r="K2628" s="66" t="str">
        <f t="shared" si="288"/>
        <v/>
      </c>
      <c r="L2628" s="66" t="str">
        <f t="shared" si="289"/>
        <v/>
      </c>
      <c r="M2628" s="66" t="str">
        <f t="shared" si="290"/>
        <v/>
      </c>
      <c r="N2628" s="66" t="str">
        <f t="shared" si="291"/>
        <v/>
      </c>
      <c r="O2628" s="66" t="str">
        <f t="shared" si="292"/>
        <v/>
      </c>
      <c r="P2628" s="66" t="str">
        <f t="shared" si="293"/>
        <v/>
      </c>
    </row>
    <row r="2629" spans="8:16">
      <c r="H2629" s="66" t="e">
        <f>IF(LEFT(A2629,6)="CEPNTR","GPINS",VLOOKUP(LEFT(A2629,6),'Code Library'!$A$3:$B$920,2,0))&amp;"_"&amp;RIGHT(A2629,3)</f>
        <v>#N/A</v>
      </c>
      <c r="I2629" s="66">
        <f t="shared" si="287"/>
        <v>0</v>
      </c>
      <c r="K2629" s="66" t="str">
        <f t="shared" si="288"/>
        <v/>
      </c>
      <c r="L2629" s="66" t="str">
        <f t="shared" si="289"/>
        <v/>
      </c>
      <c r="M2629" s="66" t="str">
        <f t="shared" si="290"/>
        <v/>
      </c>
      <c r="N2629" s="66" t="str">
        <f t="shared" si="291"/>
        <v/>
      </c>
      <c r="O2629" s="66" t="str">
        <f t="shared" si="292"/>
        <v/>
      </c>
      <c r="P2629" s="66" t="str">
        <f t="shared" si="293"/>
        <v/>
      </c>
    </row>
    <row r="2630" spans="8:16">
      <c r="H2630" s="66" t="e">
        <f>IF(LEFT(A2630,6)="CEPNTR","GPINS",VLOOKUP(LEFT(A2630,6),'Code Library'!$A$3:$B$920,2,0))&amp;"_"&amp;RIGHT(A2630,3)</f>
        <v>#N/A</v>
      </c>
      <c r="I2630" s="66">
        <f t="shared" si="287"/>
        <v>0</v>
      </c>
      <c r="K2630" s="66" t="str">
        <f t="shared" si="288"/>
        <v/>
      </c>
      <c r="L2630" s="66" t="str">
        <f t="shared" si="289"/>
        <v/>
      </c>
      <c r="M2630" s="66" t="str">
        <f t="shared" si="290"/>
        <v/>
      </c>
      <c r="N2630" s="66" t="str">
        <f t="shared" si="291"/>
        <v/>
      </c>
      <c r="O2630" s="66" t="str">
        <f t="shared" si="292"/>
        <v/>
      </c>
      <c r="P2630" s="66" t="str">
        <f t="shared" si="293"/>
        <v/>
      </c>
    </row>
    <row r="2631" spans="8:16">
      <c r="H2631" s="66" t="e">
        <f>IF(LEFT(A2631,6)="CEPNTR","GPINS",VLOOKUP(LEFT(A2631,6),'Code Library'!$A$3:$B$920,2,0))&amp;"_"&amp;RIGHT(A2631,3)</f>
        <v>#N/A</v>
      </c>
      <c r="I2631" s="66">
        <f t="shared" si="287"/>
        <v>0</v>
      </c>
      <c r="K2631" s="66" t="str">
        <f t="shared" si="288"/>
        <v/>
      </c>
      <c r="L2631" s="66" t="str">
        <f t="shared" si="289"/>
        <v/>
      </c>
      <c r="M2631" s="66" t="str">
        <f t="shared" si="290"/>
        <v/>
      </c>
      <c r="N2631" s="66" t="str">
        <f t="shared" si="291"/>
        <v/>
      </c>
      <c r="O2631" s="66" t="str">
        <f t="shared" si="292"/>
        <v/>
      </c>
      <c r="P2631" s="66" t="str">
        <f t="shared" si="293"/>
        <v/>
      </c>
    </row>
    <row r="2632" spans="8:16">
      <c r="H2632" s="66" t="e">
        <f>IF(LEFT(A2632,6)="CEPNTR","GPINS",VLOOKUP(LEFT(A2632,6),'Code Library'!$A$3:$B$920,2,0))&amp;"_"&amp;RIGHT(A2632,3)</f>
        <v>#N/A</v>
      </c>
      <c r="I2632" s="66">
        <f t="shared" si="287"/>
        <v>0</v>
      </c>
      <c r="K2632" s="66" t="str">
        <f t="shared" si="288"/>
        <v/>
      </c>
      <c r="L2632" s="66" t="str">
        <f t="shared" si="289"/>
        <v/>
      </c>
      <c r="M2632" s="66" t="str">
        <f t="shared" si="290"/>
        <v/>
      </c>
      <c r="N2632" s="66" t="str">
        <f t="shared" si="291"/>
        <v/>
      </c>
      <c r="O2632" s="66" t="str">
        <f t="shared" si="292"/>
        <v/>
      </c>
      <c r="P2632" s="66" t="str">
        <f t="shared" si="293"/>
        <v/>
      </c>
    </row>
    <row r="2633" spans="8:16">
      <c r="H2633" s="66" t="e">
        <f>IF(LEFT(A2633,6)="CEPNTR","GPINS",VLOOKUP(LEFT(A2633,6),'Code Library'!$A$3:$B$920,2,0))&amp;"_"&amp;RIGHT(A2633,3)</f>
        <v>#N/A</v>
      </c>
      <c r="I2633" s="66">
        <f t="shared" si="287"/>
        <v>0</v>
      </c>
      <c r="K2633" s="66" t="str">
        <f t="shared" si="288"/>
        <v/>
      </c>
      <c r="L2633" s="66" t="str">
        <f t="shared" si="289"/>
        <v/>
      </c>
      <c r="M2633" s="66" t="str">
        <f t="shared" si="290"/>
        <v/>
      </c>
      <c r="N2633" s="66" t="str">
        <f t="shared" si="291"/>
        <v/>
      </c>
      <c r="O2633" s="66" t="str">
        <f t="shared" si="292"/>
        <v/>
      </c>
      <c r="P2633" s="66" t="str">
        <f t="shared" si="293"/>
        <v/>
      </c>
    </row>
    <row r="2634" spans="8:16">
      <c r="H2634" s="66" t="e">
        <f>IF(LEFT(A2634,6)="CEPNTR","GPINS",VLOOKUP(LEFT(A2634,6),'Code Library'!$A$3:$B$920,2,0))&amp;"_"&amp;RIGHT(A2634,3)</f>
        <v>#N/A</v>
      </c>
      <c r="I2634" s="66">
        <f t="shared" si="287"/>
        <v>0</v>
      </c>
      <c r="K2634" s="66" t="str">
        <f t="shared" si="288"/>
        <v/>
      </c>
      <c r="L2634" s="66" t="str">
        <f t="shared" si="289"/>
        <v/>
      </c>
      <c r="M2634" s="66" t="str">
        <f t="shared" si="290"/>
        <v/>
      </c>
      <c r="N2634" s="66" t="str">
        <f t="shared" si="291"/>
        <v/>
      </c>
      <c r="O2634" s="66" t="str">
        <f t="shared" si="292"/>
        <v/>
      </c>
      <c r="P2634" s="66" t="str">
        <f t="shared" si="293"/>
        <v/>
      </c>
    </row>
    <row r="2635" spans="8:16">
      <c r="H2635" s="66" t="e">
        <f>IF(LEFT(A2635,6)="CEPNTR","GPINS",VLOOKUP(LEFT(A2635,6),'Code Library'!$A$3:$B$920,2,0))&amp;"_"&amp;RIGHT(A2635,3)</f>
        <v>#N/A</v>
      </c>
      <c r="I2635" s="66">
        <f t="shared" si="287"/>
        <v>0</v>
      </c>
      <c r="K2635" s="66" t="str">
        <f t="shared" si="288"/>
        <v/>
      </c>
      <c r="L2635" s="66" t="str">
        <f t="shared" si="289"/>
        <v/>
      </c>
      <c r="M2635" s="66" t="str">
        <f t="shared" si="290"/>
        <v/>
      </c>
      <c r="N2635" s="66" t="str">
        <f t="shared" si="291"/>
        <v/>
      </c>
      <c r="O2635" s="66" t="str">
        <f t="shared" si="292"/>
        <v/>
      </c>
      <c r="P2635" s="66" t="str">
        <f t="shared" si="293"/>
        <v/>
      </c>
    </row>
    <row r="2636" spans="8:16">
      <c r="H2636" s="66" t="e">
        <f>IF(LEFT(A2636,6)="CEPNTR","GPINS",VLOOKUP(LEFT(A2636,6),'Code Library'!$A$3:$B$920,2,0))&amp;"_"&amp;RIGHT(A2636,3)</f>
        <v>#N/A</v>
      </c>
      <c r="I2636" s="66">
        <f t="shared" si="287"/>
        <v>0</v>
      </c>
      <c r="K2636" s="66" t="str">
        <f t="shared" si="288"/>
        <v/>
      </c>
      <c r="L2636" s="66" t="str">
        <f t="shared" si="289"/>
        <v/>
      </c>
      <c r="M2636" s="66" t="str">
        <f t="shared" si="290"/>
        <v/>
      </c>
      <c r="N2636" s="66" t="str">
        <f t="shared" si="291"/>
        <v/>
      </c>
      <c r="O2636" s="66" t="str">
        <f t="shared" si="292"/>
        <v/>
      </c>
      <c r="P2636" s="66" t="str">
        <f t="shared" si="293"/>
        <v/>
      </c>
    </row>
    <row r="2637" spans="8:16">
      <c r="H2637" s="66" t="e">
        <f>IF(LEFT(A2637,6)="CEPNTR","GPINS",VLOOKUP(LEFT(A2637,6),'Code Library'!$A$3:$B$920,2,0))&amp;"_"&amp;RIGHT(A2637,3)</f>
        <v>#N/A</v>
      </c>
      <c r="I2637" s="66">
        <f t="shared" si="287"/>
        <v>0</v>
      </c>
      <c r="K2637" s="66" t="str">
        <f t="shared" si="288"/>
        <v/>
      </c>
      <c r="L2637" s="66" t="str">
        <f t="shared" si="289"/>
        <v/>
      </c>
      <c r="M2637" s="66" t="str">
        <f t="shared" si="290"/>
        <v/>
      </c>
      <c r="N2637" s="66" t="str">
        <f t="shared" si="291"/>
        <v/>
      </c>
      <c r="O2637" s="66" t="str">
        <f t="shared" si="292"/>
        <v/>
      </c>
      <c r="P2637" s="66" t="str">
        <f t="shared" si="293"/>
        <v/>
      </c>
    </row>
    <row r="2638" spans="8:16">
      <c r="H2638" s="66" t="e">
        <f>IF(LEFT(A2638,6)="CEPNTR","GPINS",VLOOKUP(LEFT(A2638,6),'Code Library'!$A$3:$B$920,2,0))&amp;"_"&amp;RIGHT(A2638,3)</f>
        <v>#N/A</v>
      </c>
      <c r="I2638" s="66">
        <f t="shared" si="287"/>
        <v>0</v>
      </c>
      <c r="K2638" s="66" t="str">
        <f t="shared" si="288"/>
        <v/>
      </c>
      <c r="L2638" s="66" t="str">
        <f t="shared" si="289"/>
        <v/>
      </c>
      <c r="M2638" s="66" t="str">
        <f t="shared" si="290"/>
        <v/>
      </c>
      <c r="N2638" s="66" t="str">
        <f t="shared" si="291"/>
        <v/>
      </c>
      <c r="O2638" s="66" t="str">
        <f t="shared" si="292"/>
        <v/>
      </c>
      <c r="P2638" s="66" t="str">
        <f t="shared" si="293"/>
        <v/>
      </c>
    </row>
    <row r="2639" spans="8:16">
      <c r="H2639" s="66" t="e">
        <f>IF(LEFT(A2639,6)="CEPNTR","GPINS",VLOOKUP(LEFT(A2639,6),'Code Library'!$A$3:$B$920,2,0))&amp;"_"&amp;RIGHT(A2639,3)</f>
        <v>#N/A</v>
      </c>
      <c r="I2639" s="66">
        <f t="shared" si="287"/>
        <v>0</v>
      </c>
      <c r="K2639" s="66" t="str">
        <f t="shared" si="288"/>
        <v/>
      </c>
      <c r="L2639" s="66" t="str">
        <f t="shared" si="289"/>
        <v/>
      </c>
      <c r="M2639" s="66" t="str">
        <f t="shared" si="290"/>
        <v/>
      </c>
      <c r="N2639" s="66" t="str">
        <f t="shared" si="291"/>
        <v/>
      </c>
      <c r="O2639" s="66" t="str">
        <f t="shared" si="292"/>
        <v/>
      </c>
      <c r="P2639" s="66" t="str">
        <f t="shared" si="293"/>
        <v/>
      </c>
    </row>
    <row r="2640" spans="8:16">
      <c r="H2640" s="66" t="e">
        <f>IF(LEFT(A2640,6)="CEPNTR","GPINS",VLOOKUP(LEFT(A2640,6),'Code Library'!$A$3:$B$920,2,0))&amp;"_"&amp;RIGHT(A2640,3)</f>
        <v>#N/A</v>
      </c>
      <c r="I2640" s="66">
        <f t="shared" si="287"/>
        <v>0</v>
      </c>
      <c r="K2640" s="66" t="str">
        <f t="shared" si="288"/>
        <v/>
      </c>
      <c r="L2640" s="66" t="str">
        <f t="shared" si="289"/>
        <v/>
      </c>
      <c r="M2640" s="66" t="str">
        <f t="shared" si="290"/>
        <v/>
      </c>
      <c r="N2640" s="66" t="str">
        <f t="shared" si="291"/>
        <v/>
      </c>
      <c r="O2640" s="66" t="str">
        <f t="shared" si="292"/>
        <v/>
      </c>
      <c r="P2640" s="66" t="str">
        <f t="shared" si="293"/>
        <v/>
      </c>
    </row>
    <row r="2641" spans="8:16">
      <c r="H2641" s="66" t="e">
        <f>IF(LEFT(A2641,6)="CEPNTR","GPINS",VLOOKUP(LEFT(A2641,6),'Code Library'!$A$3:$B$920,2,0))&amp;"_"&amp;RIGHT(A2641,3)</f>
        <v>#N/A</v>
      </c>
      <c r="I2641" s="66">
        <f t="shared" si="287"/>
        <v>0</v>
      </c>
      <c r="K2641" s="66" t="str">
        <f t="shared" si="288"/>
        <v/>
      </c>
      <c r="L2641" s="66" t="str">
        <f t="shared" si="289"/>
        <v/>
      </c>
      <c r="M2641" s="66" t="str">
        <f t="shared" si="290"/>
        <v/>
      </c>
      <c r="N2641" s="66" t="str">
        <f t="shared" si="291"/>
        <v/>
      </c>
      <c r="O2641" s="66" t="str">
        <f t="shared" si="292"/>
        <v/>
      </c>
      <c r="P2641" s="66" t="str">
        <f t="shared" si="293"/>
        <v/>
      </c>
    </row>
    <row r="2642" spans="8:16">
      <c r="H2642" s="66" t="e">
        <f>IF(LEFT(A2642,6)="CEPNTR","GPINS",VLOOKUP(LEFT(A2642,6),'Code Library'!$A$3:$B$920,2,0))&amp;"_"&amp;RIGHT(A2642,3)</f>
        <v>#N/A</v>
      </c>
      <c r="I2642" s="66">
        <f t="shared" si="287"/>
        <v>0</v>
      </c>
      <c r="K2642" s="66" t="str">
        <f t="shared" si="288"/>
        <v/>
      </c>
      <c r="L2642" s="66" t="str">
        <f t="shared" si="289"/>
        <v/>
      </c>
      <c r="M2642" s="66" t="str">
        <f t="shared" si="290"/>
        <v/>
      </c>
      <c r="N2642" s="66" t="str">
        <f t="shared" si="291"/>
        <v/>
      </c>
      <c r="O2642" s="66" t="str">
        <f t="shared" si="292"/>
        <v/>
      </c>
      <c r="P2642" s="66" t="str">
        <f t="shared" si="293"/>
        <v/>
      </c>
    </row>
    <row r="2643" spans="8:16">
      <c r="H2643" s="66" t="e">
        <f>IF(LEFT(A2643,6)="CEPNTR","GPINS",VLOOKUP(LEFT(A2643,6),'Code Library'!$A$3:$B$920,2,0))&amp;"_"&amp;RIGHT(A2643,3)</f>
        <v>#N/A</v>
      </c>
      <c r="I2643" s="66">
        <f t="shared" si="287"/>
        <v>0</v>
      </c>
      <c r="K2643" s="66" t="str">
        <f t="shared" si="288"/>
        <v/>
      </c>
      <c r="L2643" s="66" t="str">
        <f t="shared" si="289"/>
        <v/>
      </c>
      <c r="M2643" s="66" t="str">
        <f t="shared" si="290"/>
        <v/>
      </c>
      <c r="N2643" s="66" t="str">
        <f t="shared" si="291"/>
        <v/>
      </c>
      <c r="O2643" s="66" t="str">
        <f t="shared" si="292"/>
        <v/>
      </c>
      <c r="P2643" s="66" t="str">
        <f t="shared" si="293"/>
        <v/>
      </c>
    </row>
    <row r="2644" spans="8:16">
      <c r="H2644" s="66" t="e">
        <f>IF(LEFT(A2644,6)="CEPNTR","GPINS",VLOOKUP(LEFT(A2644,6),'Code Library'!$A$3:$B$920,2,0))&amp;"_"&amp;RIGHT(A2644,3)</f>
        <v>#N/A</v>
      </c>
      <c r="I2644" s="66">
        <f t="shared" si="287"/>
        <v>0</v>
      </c>
      <c r="K2644" s="66" t="str">
        <f t="shared" si="288"/>
        <v/>
      </c>
      <c r="L2644" s="66" t="str">
        <f t="shared" si="289"/>
        <v/>
      </c>
      <c r="M2644" s="66" t="str">
        <f t="shared" si="290"/>
        <v/>
      </c>
      <c r="N2644" s="66" t="str">
        <f t="shared" si="291"/>
        <v/>
      </c>
      <c r="O2644" s="66" t="str">
        <f t="shared" si="292"/>
        <v/>
      </c>
      <c r="P2644" s="66" t="str">
        <f t="shared" si="293"/>
        <v/>
      </c>
    </row>
    <row r="2645" spans="8:16">
      <c r="H2645" s="66" t="e">
        <f>IF(LEFT(A2645,6)="CEPNTR","GPINS",VLOOKUP(LEFT(A2645,6),'Code Library'!$A$3:$B$920,2,0))&amp;"_"&amp;RIGHT(A2645,3)</f>
        <v>#N/A</v>
      </c>
      <c r="I2645" s="66">
        <f t="shared" si="287"/>
        <v>0</v>
      </c>
      <c r="K2645" s="66" t="str">
        <f t="shared" si="288"/>
        <v/>
      </c>
      <c r="L2645" s="66" t="str">
        <f t="shared" si="289"/>
        <v/>
      </c>
      <c r="M2645" s="66" t="str">
        <f t="shared" si="290"/>
        <v/>
      </c>
      <c r="N2645" s="66" t="str">
        <f t="shared" si="291"/>
        <v/>
      </c>
      <c r="O2645" s="66" t="str">
        <f t="shared" si="292"/>
        <v/>
      </c>
      <c r="P2645" s="66" t="str">
        <f t="shared" si="293"/>
        <v/>
      </c>
    </row>
    <row r="2646" spans="8:16">
      <c r="H2646" s="66" t="e">
        <f>IF(LEFT(A2646,6)="CEPNTR","GPINS",VLOOKUP(LEFT(A2646,6),'Code Library'!$A$3:$B$920,2,0))&amp;"_"&amp;RIGHT(A2646,3)</f>
        <v>#N/A</v>
      </c>
      <c r="I2646" s="66">
        <f t="shared" si="287"/>
        <v>0</v>
      </c>
      <c r="K2646" s="66" t="str">
        <f t="shared" si="288"/>
        <v/>
      </c>
      <c r="L2646" s="66" t="str">
        <f t="shared" si="289"/>
        <v/>
      </c>
      <c r="M2646" s="66" t="str">
        <f t="shared" si="290"/>
        <v/>
      </c>
      <c r="N2646" s="66" t="str">
        <f t="shared" si="291"/>
        <v/>
      </c>
      <c r="O2646" s="66" t="str">
        <f t="shared" si="292"/>
        <v/>
      </c>
      <c r="P2646" s="66" t="str">
        <f t="shared" si="293"/>
        <v/>
      </c>
    </row>
    <row r="2647" spans="8:16">
      <c r="H2647" s="66" t="e">
        <f>IF(LEFT(A2647,6)="CEPNTR","GPINS",VLOOKUP(LEFT(A2647,6),'Code Library'!$A$3:$B$920,2,0))&amp;"_"&amp;RIGHT(A2647,3)</f>
        <v>#N/A</v>
      </c>
      <c r="I2647" s="66">
        <f t="shared" si="287"/>
        <v>0</v>
      </c>
      <c r="K2647" s="66" t="str">
        <f t="shared" si="288"/>
        <v/>
      </c>
      <c r="L2647" s="66" t="str">
        <f t="shared" si="289"/>
        <v/>
      </c>
      <c r="M2647" s="66" t="str">
        <f t="shared" si="290"/>
        <v/>
      </c>
      <c r="N2647" s="66" t="str">
        <f t="shared" si="291"/>
        <v/>
      </c>
      <c r="O2647" s="66" t="str">
        <f t="shared" si="292"/>
        <v/>
      </c>
      <c r="P2647" s="66" t="str">
        <f t="shared" si="293"/>
        <v/>
      </c>
    </row>
    <row r="2648" spans="8:16">
      <c r="H2648" s="66" t="e">
        <f>IF(LEFT(A2648,6)="CEPNTR","GPINS",VLOOKUP(LEFT(A2648,6),'Code Library'!$A$3:$B$920,2,0))&amp;"_"&amp;RIGHT(A2648,3)</f>
        <v>#N/A</v>
      </c>
      <c r="I2648" s="66">
        <f t="shared" si="287"/>
        <v>0</v>
      </c>
      <c r="K2648" s="66" t="str">
        <f t="shared" si="288"/>
        <v/>
      </c>
      <c r="L2648" s="66" t="str">
        <f t="shared" si="289"/>
        <v/>
      </c>
      <c r="M2648" s="66" t="str">
        <f t="shared" si="290"/>
        <v/>
      </c>
      <c r="N2648" s="66" t="str">
        <f t="shared" si="291"/>
        <v/>
      </c>
      <c r="O2648" s="66" t="str">
        <f t="shared" si="292"/>
        <v/>
      </c>
      <c r="P2648" s="66" t="str">
        <f t="shared" si="293"/>
        <v/>
      </c>
    </row>
    <row r="2649" spans="8:16">
      <c r="H2649" s="66" t="e">
        <f>IF(LEFT(A2649,6)="CEPNTR","GPINS",VLOOKUP(LEFT(A2649,6),'Code Library'!$A$3:$B$920,2,0))&amp;"_"&amp;RIGHT(A2649,3)</f>
        <v>#N/A</v>
      </c>
      <c r="I2649" s="66">
        <f t="shared" si="287"/>
        <v>0</v>
      </c>
      <c r="K2649" s="66" t="str">
        <f t="shared" si="288"/>
        <v/>
      </c>
      <c r="L2649" s="66" t="str">
        <f t="shared" si="289"/>
        <v/>
      </c>
      <c r="M2649" s="66" t="str">
        <f t="shared" si="290"/>
        <v/>
      </c>
      <c r="N2649" s="66" t="str">
        <f t="shared" si="291"/>
        <v/>
      </c>
      <c r="O2649" s="66" t="str">
        <f t="shared" si="292"/>
        <v/>
      </c>
      <c r="P2649" s="66" t="str">
        <f t="shared" si="293"/>
        <v/>
      </c>
    </row>
    <row r="2650" spans="8:16">
      <c r="H2650" s="66" t="e">
        <f>IF(LEFT(A2650,6)="CEPNTR","GPINS",VLOOKUP(LEFT(A2650,6),'Code Library'!$A$3:$B$920,2,0))&amp;"_"&amp;RIGHT(A2650,3)</f>
        <v>#N/A</v>
      </c>
      <c r="I2650" s="66">
        <f t="shared" si="287"/>
        <v>0</v>
      </c>
      <c r="K2650" s="66" t="str">
        <f t="shared" si="288"/>
        <v/>
      </c>
      <c r="L2650" s="66" t="str">
        <f t="shared" si="289"/>
        <v/>
      </c>
      <c r="M2650" s="66" t="str">
        <f t="shared" si="290"/>
        <v/>
      </c>
      <c r="N2650" s="66" t="str">
        <f t="shared" si="291"/>
        <v/>
      </c>
      <c r="O2650" s="66" t="str">
        <f t="shared" si="292"/>
        <v/>
      </c>
      <c r="P2650" s="66" t="str">
        <f t="shared" si="293"/>
        <v/>
      </c>
    </row>
    <row r="2651" spans="8:16">
      <c r="H2651" s="66" t="e">
        <f>IF(LEFT(A2651,6)="CEPNTR","GPINS",VLOOKUP(LEFT(A2651,6),'Code Library'!$A$3:$B$920,2,0))&amp;"_"&amp;RIGHT(A2651,3)</f>
        <v>#N/A</v>
      </c>
      <c r="I2651" s="66">
        <f t="shared" si="287"/>
        <v>0</v>
      </c>
      <c r="K2651" s="66" t="str">
        <f t="shared" si="288"/>
        <v/>
      </c>
      <c r="L2651" s="66" t="str">
        <f t="shared" si="289"/>
        <v/>
      </c>
      <c r="M2651" s="66" t="str">
        <f t="shared" si="290"/>
        <v/>
      </c>
      <c r="N2651" s="66" t="str">
        <f t="shared" si="291"/>
        <v/>
      </c>
      <c r="O2651" s="66" t="str">
        <f t="shared" si="292"/>
        <v/>
      </c>
      <c r="P2651" s="66" t="str">
        <f t="shared" si="293"/>
        <v/>
      </c>
    </row>
    <row r="2652" spans="8:16">
      <c r="H2652" s="66" t="e">
        <f>IF(LEFT(A2652,6)="CEPNTR","GPINS",VLOOKUP(LEFT(A2652,6),'Code Library'!$A$3:$B$920,2,0))&amp;"_"&amp;RIGHT(A2652,3)</f>
        <v>#N/A</v>
      </c>
      <c r="I2652" s="66">
        <f t="shared" si="287"/>
        <v>0</v>
      </c>
      <c r="K2652" s="66" t="str">
        <f t="shared" si="288"/>
        <v/>
      </c>
      <c r="L2652" s="66" t="str">
        <f t="shared" si="289"/>
        <v/>
      </c>
      <c r="M2652" s="66" t="str">
        <f t="shared" si="290"/>
        <v/>
      </c>
      <c r="N2652" s="66" t="str">
        <f t="shared" si="291"/>
        <v/>
      </c>
      <c r="O2652" s="66" t="str">
        <f t="shared" si="292"/>
        <v/>
      </c>
      <c r="P2652" s="66" t="str">
        <f t="shared" si="293"/>
        <v/>
      </c>
    </row>
    <row r="2653" spans="8:16">
      <c r="H2653" s="66" t="e">
        <f>IF(LEFT(A2653,6)="CEPNTR","GPINS",VLOOKUP(LEFT(A2653,6),'Code Library'!$A$3:$B$920,2,0))&amp;"_"&amp;RIGHT(A2653,3)</f>
        <v>#N/A</v>
      </c>
      <c r="I2653" s="66">
        <f t="shared" si="287"/>
        <v>0</v>
      </c>
      <c r="K2653" s="66" t="str">
        <f t="shared" si="288"/>
        <v/>
      </c>
      <c r="L2653" s="66" t="str">
        <f t="shared" si="289"/>
        <v/>
      </c>
      <c r="M2653" s="66" t="str">
        <f t="shared" si="290"/>
        <v/>
      </c>
      <c r="N2653" s="66" t="str">
        <f t="shared" si="291"/>
        <v/>
      </c>
      <c r="O2653" s="66" t="str">
        <f t="shared" si="292"/>
        <v/>
      </c>
      <c r="P2653" s="66" t="str">
        <f t="shared" si="293"/>
        <v/>
      </c>
    </row>
    <row r="2654" spans="8:16">
      <c r="H2654" s="66" t="e">
        <f>IF(LEFT(A2654,6)="CEPNTR","GPINS",VLOOKUP(LEFT(A2654,6),'Code Library'!$A$3:$B$920,2,0))&amp;"_"&amp;RIGHT(A2654,3)</f>
        <v>#N/A</v>
      </c>
      <c r="I2654" s="66">
        <f t="shared" si="287"/>
        <v>0</v>
      </c>
      <c r="K2654" s="66" t="str">
        <f t="shared" si="288"/>
        <v/>
      </c>
      <c r="L2654" s="66" t="str">
        <f t="shared" si="289"/>
        <v/>
      </c>
      <c r="M2654" s="66" t="str">
        <f t="shared" si="290"/>
        <v/>
      </c>
      <c r="N2654" s="66" t="str">
        <f t="shared" si="291"/>
        <v/>
      </c>
      <c r="O2654" s="66" t="str">
        <f t="shared" si="292"/>
        <v/>
      </c>
      <c r="P2654" s="66" t="str">
        <f t="shared" si="293"/>
        <v/>
      </c>
    </row>
    <row r="2655" spans="8:16">
      <c r="H2655" s="66" t="e">
        <f>IF(LEFT(A2655,6)="CEPNTR","GPINS",VLOOKUP(LEFT(A2655,6),'Code Library'!$A$3:$B$920,2,0))&amp;"_"&amp;RIGHT(A2655,3)</f>
        <v>#N/A</v>
      </c>
      <c r="I2655" s="66">
        <f t="shared" si="287"/>
        <v>0</v>
      </c>
      <c r="K2655" s="66" t="str">
        <f t="shared" si="288"/>
        <v/>
      </c>
      <c r="L2655" s="66" t="str">
        <f t="shared" si="289"/>
        <v/>
      </c>
      <c r="M2655" s="66" t="str">
        <f t="shared" si="290"/>
        <v/>
      </c>
      <c r="N2655" s="66" t="str">
        <f t="shared" si="291"/>
        <v/>
      </c>
      <c r="O2655" s="66" t="str">
        <f t="shared" si="292"/>
        <v/>
      </c>
      <c r="P2655" s="66" t="str">
        <f t="shared" si="293"/>
        <v/>
      </c>
    </row>
    <row r="2656" spans="8:16">
      <c r="H2656" s="66" t="e">
        <f>IF(LEFT(A2656,6)="CEPNTR","GPINS",VLOOKUP(LEFT(A2656,6),'Code Library'!$A$3:$B$920,2,0))&amp;"_"&amp;RIGHT(A2656,3)</f>
        <v>#N/A</v>
      </c>
      <c r="I2656" s="66">
        <f t="shared" si="287"/>
        <v>0</v>
      </c>
      <c r="K2656" s="66" t="str">
        <f t="shared" si="288"/>
        <v/>
      </c>
      <c r="L2656" s="66" t="str">
        <f t="shared" si="289"/>
        <v/>
      </c>
      <c r="M2656" s="66" t="str">
        <f t="shared" si="290"/>
        <v/>
      </c>
      <c r="N2656" s="66" t="str">
        <f t="shared" si="291"/>
        <v/>
      </c>
      <c r="O2656" s="66" t="str">
        <f t="shared" si="292"/>
        <v/>
      </c>
      <c r="P2656" s="66" t="str">
        <f t="shared" si="293"/>
        <v/>
      </c>
    </row>
    <row r="2657" spans="8:16">
      <c r="H2657" s="66" t="e">
        <f>IF(LEFT(A2657,6)="CEPNTR","GPINS",VLOOKUP(LEFT(A2657,6),'Code Library'!$A$3:$B$920,2,0))&amp;"_"&amp;RIGHT(A2657,3)</f>
        <v>#N/A</v>
      </c>
      <c r="I2657" s="66">
        <f t="shared" si="287"/>
        <v>0</v>
      </c>
      <c r="K2657" s="66" t="str">
        <f t="shared" si="288"/>
        <v/>
      </c>
      <c r="L2657" s="66" t="str">
        <f t="shared" si="289"/>
        <v/>
      </c>
      <c r="M2657" s="66" t="str">
        <f t="shared" si="290"/>
        <v/>
      </c>
      <c r="N2657" s="66" t="str">
        <f t="shared" si="291"/>
        <v/>
      </c>
      <c r="O2657" s="66" t="str">
        <f t="shared" si="292"/>
        <v/>
      </c>
      <c r="P2657" s="66" t="str">
        <f t="shared" si="293"/>
        <v/>
      </c>
    </row>
    <row r="2658" spans="8:16">
      <c r="H2658" s="66" t="e">
        <f>IF(LEFT(A2658,6)="CEPNTR","GPINS",VLOOKUP(LEFT(A2658,6),'Code Library'!$A$3:$B$920,2,0))&amp;"_"&amp;RIGHT(A2658,3)</f>
        <v>#N/A</v>
      </c>
      <c r="I2658" s="66">
        <f t="shared" si="287"/>
        <v>0</v>
      </c>
      <c r="K2658" s="66" t="str">
        <f t="shared" si="288"/>
        <v/>
      </c>
      <c r="L2658" s="66" t="str">
        <f t="shared" si="289"/>
        <v/>
      </c>
      <c r="M2658" s="66" t="str">
        <f t="shared" si="290"/>
        <v/>
      </c>
      <c r="N2658" s="66" t="str">
        <f t="shared" si="291"/>
        <v/>
      </c>
      <c r="O2658" s="66" t="str">
        <f t="shared" si="292"/>
        <v/>
      </c>
      <c r="P2658" s="66" t="str">
        <f t="shared" si="293"/>
        <v/>
      </c>
    </row>
    <row r="2659" spans="8:16">
      <c r="H2659" s="66" t="e">
        <f>IF(LEFT(A2659,6)="CEPNTR","GPINS",VLOOKUP(LEFT(A2659,6),'Code Library'!$A$3:$B$920,2,0))&amp;"_"&amp;RIGHT(A2659,3)</f>
        <v>#N/A</v>
      </c>
      <c r="I2659" s="66">
        <f t="shared" si="287"/>
        <v>0</v>
      </c>
      <c r="K2659" s="66" t="str">
        <f t="shared" si="288"/>
        <v/>
      </c>
      <c r="L2659" s="66" t="str">
        <f t="shared" si="289"/>
        <v/>
      </c>
      <c r="M2659" s="66" t="str">
        <f t="shared" si="290"/>
        <v/>
      </c>
      <c r="N2659" s="66" t="str">
        <f t="shared" si="291"/>
        <v/>
      </c>
      <c r="O2659" s="66" t="str">
        <f t="shared" si="292"/>
        <v/>
      </c>
      <c r="P2659" s="66" t="str">
        <f t="shared" si="293"/>
        <v/>
      </c>
    </row>
    <row r="2660" spans="8:16">
      <c r="H2660" s="66" t="e">
        <f>IF(LEFT(A2660,6)="CEPNTR","GPINS",VLOOKUP(LEFT(A2660,6),'Code Library'!$A$3:$B$920,2,0))&amp;"_"&amp;RIGHT(A2660,3)</f>
        <v>#N/A</v>
      </c>
      <c r="I2660" s="66">
        <f t="shared" si="287"/>
        <v>0</v>
      </c>
      <c r="K2660" s="66" t="str">
        <f t="shared" si="288"/>
        <v/>
      </c>
      <c r="L2660" s="66" t="str">
        <f t="shared" si="289"/>
        <v/>
      </c>
      <c r="M2660" s="66" t="str">
        <f t="shared" si="290"/>
        <v/>
      </c>
      <c r="N2660" s="66" t="str">
        <f t="shared" si="291"/>
        <v/>
      </c>
      <c r="O2660" s="66" t="str">
        <f t="shared" si="292"/>
        <v/>
      </c>
      <c r="P2660" s="66" t="str">
        <f t="shared" si="293"/>
        <v/>
      </c>
    </row>
    <row r="2661" spans="8:16">
      <c r="H2661" s="66" t="e">
        <f>IF(LEFT(A2661,6)="CEPNTR","GPINS",VLOOKUP(LEFT(A2661,6),'Code Library'!$A$3:$B$920,2,0))&amp;"_"&amp;RIGHT(A2661,3)</f>
        <v>#N/A</v>
      </c>
      <c r="I2661" s="66">
        <f t="shared" si="287"/>
        <v>0</v>
      </c>
      <c r="K2661" s="66" t="str">
        <f t="shared" si="288"/>
        <v/>
      </c>
      <c r="L2661" s="66" t="str">
        <f t="shared" si="289"/>
        <v/>
      </c>
      <c r="M2661" s="66" t="str">
        <f t="shared" si="290"/>
        <v/>
      </c>
      <c r="N2661" s="66" t="str">
        <f t="shared" si="291"/>
        <v/>
      </c>
      <c r="O2661" s="66" t="str">
        <f t="shared" si="292"/>
        <v/>
      </c>
      <c r="P2661" s="66" t="str">
        <f t="shared" si="293"/>
        <v/>
      </c>
    </row>
    <row r="2662" spans="8:16">
      <c r="H2662" s="66" t="e">
        <f>IF(LEFT(A2662,6)="CEPNTR","GPINS",VLOOKUP(LEFT(A2662,6),'Code Library'!$A$3:$B$920,2,0))&amp;"_"&amp;RIGHT(A2662,3)</f>
        <v>#N/A</v>
      </c>
      <c r="I2662" s="66">
        <f t="shared" si="287"/>
        <v>0</v>
      </c>
      <c r="K2662" s="66" t="str">
        <f t="shared" si="288"/>
        <v/>
      </c>
      <c r="L2662" s="66" t="str">
        <f t="shared" si="289"/>
        <v/>
      </c>
      <c r="M2662" s="66" t="str">
        <f t="shared" si="290"/>
        <v/>
      </c>
      <c r="N2662" s="66" t="str">
        <f t="shared" si="291"/>
        <v/>
      </c>
      <c r="O2662" s="66" t="str">
        <f t="shared" si="292"/>
        <v/>
      </c>
      <c r="P2662" s="66" t="str">
        <f t="shared" si="293"/>
        <v/>
      </c>
    </row>
    <row r="2663" spans="8:16">
      <c r="H2663" s="66" t="e">
        <f>IF(LEFT(A2663,6)="CEPNTR","GPINS",VLOOKUP(LEFT(A2663,6),'Code Library'!$A$3:$B$920,2,0))&amp;"_"&amp;RIGHT(A2663,3)</f>
        <v>#N/A</v>
      </c>
      <c r="I2663" s="66">
        <f t="shared" si="287"/>
        <v>0</v>
      </c>
      <c r="K2663" s="66" t="str">
        <f t="shared" si="288"/>
        <v/>
      </c>
      <c r="L2663" s="66" t="str">
        <f t="shared" si="289"/>
        <v/>
      </c>
      <c r="M2663" s="66" t="str">
        <f t="shared" si="290"/>
        <v/>
      </c>
      <c r="N2663" s="66" t="str">
        <f t="shared" si="291"/>
        <v/>
      </c>
      <c r="O2663" s="66" t="str">
        <f t="shared" si="292"/>
        <v/>
      </c>
      <c r="P2663" s="66" t="str">
        <f t="shared" si="293"/>
        <v/>
      </c>
    </row>
    <row r="2664" spans="8:16">
      <c r="H2664" s="66" t="e">
        <f>IF(LEFT(A2664,6)="CEPNTR","GPINS",VLOOKUP(LEFT(A2664,6),'Code Library'!$A$3:$B$920,2,0))&amp;"_"&amp;RIGHT(A2664,3)</f>
        <v>#N/A</v>
      </c>
      <c r="I2664" s="66">
        <f t="shared" si="287"/>
        <v>0</v>
      </c>
      <c r="K2664" s="66" t="str">
        <f t="shared" si="288"/>
        <v/>
      </c>
      <c r="L2664" s="66" t="str">
        <f t="shared" si="289"/>
        <v/>
      </c>
      <c r="M2664" s="66" t="str">
        <f t="shared" si="290"/>
        <v/>
      </c>
      <c r="N2664" s="66" t="str">
        <f t="shared" si="291"/>
        <v/>
      </c>
      <c r="O2664" s="66" t="str">
        <f t="shared" si="292"/>
        <v/>
      </c>
      <c r="P2664" s="66" t="str">
        <f t="shared" si="293"/>
        <v/>
      </c>
    </row>
    <row r="2665" spans="8:16">
      <c r="H2665" s="66" t="e">
        <f>IF(LEFT(A2665,6)="CEPNTR","GPINS",VLOOKUP(LEFT(A2665,6),'Code Library'!$A$3:$B$920,2,0))&amp;"_"&amp;RIGHT(A2665,3)</f>
        <v>#N/A</v>
      </c>
      <c r="I2665" s="66">
        <f t="shared" si="287"/>
        <v>0</v>
      </c>
      <c r="K2665" s="66" t="str">
        <f t="shared" si="288"/>
        <v/>
      </c>
      <c r="L2665" s="66" t="str">
        <f t="shared" si="289"/>
        <v/>
      </c>
      <c r="M2665" s="66" t="str">
        <f t="shared" si="290"/>
        <v/>
      </c>
      <c r="N2665" s="66" t="str">
        <f t="shared" si="291"/>
        <v/>
      </c>
      <c r="O2665" s="66" t="str">
        <f t="shared" si="292"/>
        <v/>
      </c>
      <c r="P2665" s="66" t="str">
        <f t="shared" si="293"/>
        <v/>
      </c>
    </row>
    <row r="2666" spans="8:16">
      <c r="H2666" s="66" t="e">
        <f>IF(LEFT(A2666,6)="CEPNTR","GPINS",VLOOKUP(LEFT(A2666,6),'Code Library'!$A$3:$B$920,2,0))&amp;"_"&amp;RIGHT(A2666,3)</f>
        <v>#N/A</v>
      </c>
      <c r="I2666" s="66">
        <f t="shared" si="287"/>
        <v>0</v>
      </c>
      <c r="K2666" s="66" t="str">
        <f t="shared" si="288"/>
        <v/>
      </c>
      <c r="L2666" s="66" t="str">
        <f t="shared" si="289"/>
        <v/>
      </c>
      <c r="M2666" s="66" t="str">
        <f t="shared" si="290"/>
        <v/>
      </c>
      <c r="N2666" s="66" t="str">
        <f t="shared" si="291"/>
        <v/>
      </c>
      <c r="O2666" s="66" t="str">
        <f t="shared" si="292"/>
        <v/>
      </c>
      <c r="P2666" s="66" t="str">
        <f t="shared" si="293"/>
        <v/>
      </c>
    </row>
    <row r="2667" spans="8:16">
      <c r="H2667" s="66" t="e">
        <f>IF(LEFT(A2667,6)="CEPNTR","GPINS",VLOOKUP(LEFT(A2667,6),'Code Library'!$A$3:$B$920,2,0))&amp;"_"&amp;RIGHT(A2667,3)</f>
        <v>#N/A</v>
      </c>
      <c r="I2667" s="66">
        <f t="shared" si="287"/>
        <v>0</v>
      </c>
      <c r="K2667" s="66" t="str">
        <f t="shared" si="288"/>
        <v/>
      </c>
      <c r="L2667" s="66" t="str">
        <f t="shared" si="289"/>
        <v/>
      </c>
      <c r="M2667" s="66" t="str">
        <f t="shared" si="290"/>
        <v/>
      </c>
      <c r="N2667" s="66" t="str">
        <f t="shared" si="291"/>
        <v/>
      </c>
      <c r="O2667" s="66" t="str">
        <f t="shared" si="292"/>
        <v/>
      </c>
      <c r="P2667" s="66" t="str">
        <f t="shared" si="293"/>
        <v/>
      </c>
    </row>
    <row r="2668" spans="8:16">
      <c r="H2668" s="66" t="e">
        <f>IF(LEFT(A2668,6)="CEPNTR","GPINS",VLOOKUP(LEFT(A2668,6),'Code Library'!$A$3:$B$920,2,0))&amp;"_"&amp;RIGHT(A2668,3)</f>
        <v>#N/A</v>
      </c>
      <c r="I2668" s="66">
        <f t="shared" si="287"/>
        <v>0</v>
      </c>
      <c r="K2668" s="66" t="str">
        <f t="shared" si="288"/>
        <v/>
      </c>
      <c r="L2668" s="66" t="str">
        <f t="shared" si="289"/>
        <v/>
      </c>
      <c r="M2668" s="66" t="str">
        <f t="shared" si="290"/>
        <v/>
      </c>
      <c r="N2668" s="66" t="str">
        <f t="shared" si="291"/>
        <v/>
      </c>
      <c r="O2668" s="66" t="str">
        <f t="shared" si="292"/>
        <v/>
      </c>
      <c r="P2668" s="66" t="str">
        <f t="shared" si="293"/>
        <v/>
      </c>
    </row>
    <row r="2669" spans="8:16">
      <c r="H2669" s="66" t="e">
        <f>IF(LEFT(A2669,6)="CEPNTR","GPINS",VLOOKUP(LEFT(A2669,6),'Code Library'!$A$3:$B$920,2,0))&amp;"_"&amp;RIGHT(A2669,3)</f>
        <v>#N/A</v>
      </c>
      <c r="I2669" s="66">
        <f t="shared" si="287"/>
        <v>0</v>
      </c>
      <c r="K2669" s="66" t="str">
        <f t="shared" si="288"/>
        <v/>
      </c>
      <c r="L2669" s="66" t="str">
        <f t="shared" si="289"/>
        <v/>
      </c>
      <c r="M2669" s="66" t="str">
        <f t="shared" si="290"/>
        <v/>
      </c>
      <c r="N2669" s="66" t="str">
        <f t="shared" si="291"/>
        <v/>
      </c>
      <c r="O2669" s="66" t="str">
        <f t="shared" si="292"/>
        <v/>
      </c>
      <c r="P2669" s="66" t="str">
        <f t="shared" si="293"/>
        <v/>
      </c>
    </row>
    <row r="2670" spans="8:16">
      <c r="H2670" s="66" t="e">
        <f>IF(LEFT(A2670,6)="CEPNTR","GPINS",VLOOKUP(LEFT(A2670,6),'Code Library'!$A$3:$B$920,2,0))&amp;"_"&amp;RIGHT(A2670,3)</f>
        <v>#N/A</v>
      </c>
      <c r="I2670" s="66">
        <f t="shared" si="287"/>
        <v>0</v>
      </c>
      <c r="K2670" s="66" t="str">
        <f t="shared" si="288"/>
        <v/>
      </c>
      <c r="L2670" s="66" t="str">
        <f t="shared" si="289"/>
        <v/>
      </c>
      <c r="M2670" s="66" t="str">
        <f t="shared" si="290"/>
        <v/>
      </c>
      <c r="N2670" s="66" t="str">
        <f t="shared" si="291"/>
        <v/>
      </c>
      <c r="O2670" s="66" t="str">
        <f t="shared" si="292"/>
        <v/>
      </c>
      <c r="P2670" s="66" t="str">
        <f t="shared" si="293"/>
        <v/>
      </c>
    </row>
    <row r="2671" spans="8:16">
      <c r="H2671" s="66" t="e">
        <f>IF(LEFT(A2671,6)="CEPNTR","GPINS",VLOOKUP(LEFT(A2671,6),'Code Library'!$A$3:$B$920,2,0))&amp;"_"&amp;RIGHT(A2671,3)</f>
        <v>#N/A</v>
      </c>
      <c r="I2671" s="66">
        <f t="shared" si="287"/>
        <v>0</v>
      </c>
      <c r="K2671" s="66" t="str">
        <f t="shared" si="288"/>
        <v/>
      </c>
      <c r="L2671" s="66" t="str">
        <f t="shared" si="289"/>
        <v/>
      </c>
      <c r="M2671" s="66" t="str">
        <f t="shared" si="290"/>
        <v/>
      </c>
      <c r="N2671" s="66" t="str">
        <f t="shared" si="291"/>
        <v/>
      </c>
      <c r="O2671" s="66" t="str">
        <f t="shared" si="292"/>
        <v/>
      </c>
      <c r="P2671" s="66" t="str">
        <f t="shared" si="293"/>
        <v/>
      </c>
    </row>
    <row r="2672" spans="8:16">
      <c r="H2672" s="66" t="e">
        <f>IF(LEFT(A2672,6)="CEPNTR","GPINS",VLOOKUP(LEFT(A2672,6),'Code Library'!$A$3:$B$920,2,0))&amp;"_"&amp;RIGHT(A2672,3)</f>
        <v>#N/A</v>
      </c>
      <c r="I2672" s="66">
        <f t="shared" si="287"/>
        <v>0</v>
      </c>
      <c r="K2672" s="66" t="str">
        <f t="shared" si="288"/>
        <v/>
      </c>
      <c r="L2672" s="66" t="str">
        <f t="shared" si="289"/>
        <v/>
      </c>
      <c r="M2672" s="66" t="str">
        <f t="shared" si="290"/>
        <v/>
      </c>
      <c r="N2672" s="66" t="str">
        <f t="shared" si="291"/>
        <v/>
      </c>
      <c r="O2672" s="66" t="str">
        <f t="shared" si="292"/>
        <v/>
      </c>
      <c r="P2672" s="66" t="str">
        <f t="shared" si="293"/>
        <v/>
      </c>
    </row>
    <row r="2673" spans="8:16">
      <c r="H2673" s="66" t="e">
        <f>IF(LEFT(A2673,6)="CEPNTR","GPINS",VLOOKUP(LEFT(A2673,6),'Code Library'!$A$3:$B$920,2,0))&amp;"_"&amp;RIGHT(A2673,3)</f>
        <v>#N/A</v>
      </c>
      <c r="I2673" s="66">
        <f t="shared" si="287"/>
        <v>0</v>
      </c>
      <c r="K2673" s="66" t="str">
        <f t="shared" si="288"/>
        <v/>
      </c>
      <c r="L2673" s="66" t="str">
        <f t="shared" si="289"/>
        <v/>
      </c>
      <c r="M2673" s="66" t="str">
        <f t="shared" si="290"/>
        <v/>
      </c>
      <c r="N2673" s="66" t="str">
        <f t="shared" si="291"/>
        <v/>
      </c>
      <c r="O2673" s="66" t="str">
        <f t="shared" si="292"/>
        <v/>
      </c>
      <c r="P2673" s="66" t="str">
        <f t="shared" si="293"/>
        <v/>
      </c>
    </row>
    <row r="2674" spans="8:16">
      <c r="H2674" s="66" t="e">
        <f>IF(LEFT(A2674,6)="CEPNTR","GPINS",VLOOKUP(LEFT(A2674,6),'Code Library'!$A$3:$B$920,2,0))&amp;"_"&amp;RIGHT(A2674,3)</f>
        <v>#N/A</v>
      </c>
      <c r="I2674" s="66">
        <f t="shared" si="287"/>
        <v>0</v>
      </c>
      <c r="K2674" s="66" t="str">
        <f t="shared" si="288"/>
        <v/>
      </c>
      <c r="L2674" s="66" t="str">
        <f t="shared" si="289"/>
        <v/>
      </c>
      <c r="M2674" s="66" t="str">
        <f t="shared" si="290"/>
        <v/>
      </c>
      <c r="N2674" s="66" t="str">
        <f t="shared" si="291"/>
        <v/>
      </c>
      <c r="O2674" s="66" t="str">
        <f t="shared" si="292"/>
        <v/>
      </c>
      <c r="P2674" s="66" t="str">
        <f t="shared" si="293"/>
        <v/>
      </c>
    </row>
    <row r="2675" spans="8:16">
      <c r="H2675" s="66" t="e">
        <f>IF(LEFT(A2675,6)="CEPNTR","GPINS",VLOOKUP(LEFT(A2675,6),'Code Library'!$A$3:$B$920,2,0))&amp;"_"&amp;RIGHT(A2675,3)</f>
        <v>#N/A</v>
      </c>
      <c r="I2675" s="66">
        <f t="shared" si="287"/>
        <v>0</v>
      </c>
      <c r="K2675" s="66" t="str">
        <f t="shared" si="288"/>
        <v/>
      </c>
      <c r="L2675" s="66" t="str">
        <f t="shared" si="289"/>
        <v/>
      </c>
      <c r="M2675" s="66" t="str">
        <f t="shared" si="290"/>
        <v/>
      </c>
      <c r="N2675" s="66" t="str">
        <f t="shared" si="291"/>
        <v/>
      </c>
      <c r="O2675" s="66" t="str">
        <f t="shared" si="292"/>
        <v/>
      </c>
      <c r="P2675" s="66" t="str">
        <f t="shared" si="293"/>
        <v/>
      </c>
    </row>
    <row r="2676" spans="8:16">
      <c r="H2676" s="66" t="e">
        <f>IF(LEFT(A2676,6)="CEPNTR","GPINS",VLOOKUP(LEFT(A2676,6),'Code Library'!$A$3:$B$920,2,0))&amp;"_"&amp;RIGHT(A2676,3)</f>
        <v>#N/A</v>
      </c>
      <c r="I2676" s="66">
        <f t="shared" si="287"/>
        <v>0</v>
      </c>
      <c r="K2676" s="66" t="str">
        <f t="shared" si="288"/>
        <v/>
      </c>
      <c r="L2676" s="66" t="str">
        <f t="shared" si="289"/>
        <v/>
      </c>
      <c r="M2676" s="66" t="str">
        <f t="shared" si="290"/>
        <v/>
      </c>
      <c r="N2676" s="66" t="str">
        <f t="shared" si="291"/>
        <v/>
      </c>
      <c r="O2676" s="66" t="str">
        <f t="shared" si="292"/>
        <v/>
      </c>
      <c r="P2676" s="66" t="str">
        <f t="shared" si="293"/>
        <v/>
      </c>
    </row>
    <row r="2677" spans="8:16">
      <c r="H2677" s="66" t="e">
        <f>IF(LEFT(A2677,6)="CEPNTR","GPINS",VLOOKUP(LEFT(A2677,6),'Code Library'!$A$3:$B$920,2,0))&amp;"_"&amp;RIGHT(A2677,3)</f>
        <v>#N/A</v>
      </c>
      <c r="I2677" s="66">
        <f t="shared" si="287"/>
        <v>0</v>
      </c>
      <c r="K2677" s="66" t="str">
        <f t="shared" si="288"/>
        <v/>
      </c>
      <c r="L2677" s="66" t="str">
        <f t="shared" si="289"/>
        <v/>
      </c>
      <c r="M2677" s="66" t="str">
        <f t="shared" si="290"/>
        <v/>
      </c>
      <c r="N2677" s="66" t="str">
        <f t="shared" si="291"/>
        <v/>
      </c>
      <c r="O2677" s="66" t="str">
        <f t="shared" si="292"/>
        <v/>
      </c>
      <c r="P2677" s="66" t="str">
        <f t="shared" si="293"/>
        <v/>
      </c>
    </row>
    <row r="2678" spans="8:16">
      <c r="H2678" s="66" t="e">
        <f>IF(LEFT(A2678,6)="CEPNTR","GPINS",VLOOKUP(LEFT(A2678,6),'Code Library'!$A$3:$B$920,2,0))&amp;"_"&amp;RIGHT(A2678,3)</f>
        <v>#N/A</v>
      </c>
      <c r="I2678" s="66">
        <f t="shared" si="287"/>
        <v>0</v>
      </c>
      <c r="K2678" s="66" t="str">
        <f t="shared" si="288"/>
        <v/>
      </c>
      <c r="L2678" s="66" t="str">
        <f t="shared" si="289"/>
        <v/>
      </c>
      <c r="M2678" s="66" t="str">
        <f t="shared" si="290"/>
        <v/>
      </c>
      <c r="N2678" s="66" t="str">
        <f t="shared" si="291"/>
        <v/>
      </c>
      <c r="O2678" s="66" t="str">
        <f t="shared" si="292"/>
        <v/>
      </c>
      <c r="P2678" s="66" t="str">
        <f t="shared" si="293"/>
        <v/>
      </c>
    </row>
    <row r="2679" spans="8:16">
      <c r="H2679" s="66" t="e">
        <f>IF(LEFT(A2679,6)="CEPNTR","GPINS",VLOOKUP(LEFT(A2679,6),'Code Library'!$A$3:$B$920,2,0))&amp;"_"&amp;RIGHT(A2679,3)</f>
        <v>#N/A</v>
      </c>
      <c r="I2679" s="66">
        <f t="shared" si="287"/>
        <v>0</v>
      </c>
      <c r="K2679" s="66" t="str">
        <f t="shared" si="288"/>
        <v/>
      </c>
      <c r="L2679" s="66" t="str">
        <f t="shared" si="289"/>
        <v/>
      </c>
      <c r="M2679" s="66" t="str">
        <f t="shared" si="290"/>
        <v/>
      </c>
      <c r="N2679" s="66" t="str">
        <f t="shared" si="291"/>
        <v/>
      </c>
      <c r="O2679" s="66" t="str">
        <f t="shared" si="292"/>
        <v/>
      </c>
      <c r="P2679" s="66" t="str">
        <f t="shared" si="293"/>
        <v/>
      </c>
    </row>
    <row r="2680" spans="8:16">
      <c r="H2680" s="66" t="e">
        <f>IF(LEFT(A2680,6)="CEPNTR","GPINS",VLOOKUP(LEFT(A2680,6),'Code Library'!$A$3:$B$920,2,0))&amp;"_"&amp;RIGHT(A2680,3)</f>
        <v>#N/A</v>
      </c>
      <c r="I2680" s="66">
        <f t="shared" si="287"/>
        <v>0</v>
      </c>
      <c r="K2680" s="66" t="str">
        <f t="shared" si="288"/>
        <v/>
      </c>
      <c r="L2680" s="66" t="str">
        <f t="shared" si="289"/>
        <v/>
      </c>
      <c r="M2680" s="66" t="str">
        <f t="shared" si="290"/>
        <v/>
      </c>
      <c r="N2680" s="66" t="str">
        <f t="shared" si="291"/>
        <v/>
      </c>
      <c r="O2680" s="66" t="str">
        <f t="shared" si="292"/>
        <v/>
      </c>
      <c r="P2680" s="66" t="str">
        <f t="shared" si="293"/>
        <v/>
      </c>
    </row>
    <row r="2681" spans="8:16">
      <c r="H2681" s="66" t="e">
        <f>IF(LEFT(A2681,6)="CEPNTR","GPINS",VLOOKUP(LEFT(A2681,6),'Code Library'!$A$3:$B$920,2,0))&amp;"_"&amp;RIGHT(A2681,3)</f>
        <v>#N/A</v>
      </c>
      <c r="I2681" s="66">
        <f t="shared" si="287"/>
        <v>0</v>
      </c>
      <c r="K2681" s="66" t="str">
        <f t="shared" si="288"/>
        <v/>
      </c>
      <c r="L2681" s="66" t="str">
        <f t="shared" si="289"/>
        <v/>
      </c>
      <c r="M2681" s="66" t="str">
        <f t="shared" si="290"/>
        <v/>
      </c>
      <c r="N2681" s="66" t="str">
        <f t="shared" si="291"/>
        <v/>
      </c>
      <c r="O2681" s="66" t="str">
        <f t="shared" si="292"/>
        <v/>
      </c>
      <c r="P2681" s="66" t="str">
        <f t="shared" si="293"/>
        <v/>
      </c>
    </row>
    <row r="2682" spans="8:16">
      <c r="H2682" s="66" t="e">
        <f>IF(LEFT(A2682,6)="CEPNTR","GPINS",VLOOKUP(LEFT(A2682,6),'Code Library'!$A$3:$B$920,2,0))&amp;"_"&amp;RIGHT(A2682,3)</f>
        <v>#N/A</v>
      </c>
      <c r="I2682" s="66">
        <f t="shared" si="287"/>
        <v>0</v>
      </c>
      <c r="K2682" s="66" t="str">
        <f t="shared" si="288"/>
        <v/>
      </c>
      <c r="L2682" s="66" t="str">
        <f t="shared" si="289"/>
        <v/>
      </c>
      <c r="M2682" s="66" t="str">
        <f t="shared" si="290"/>
        <v/>
      </c>
      <c r="N2682" s="66" t="str">
        <f t="shared" si="291"/>
        <v/>
      </c>
      <c r="O2682" s="66" t="str">
        <f t="shared" si="292"/>
        <v/>
      </c>
      <c r="P2682" s="66" t="str">
        <f t="shared" si="293"/>
        <v/>
      </c>
    </row>
    <row r="2683" spans="8:16">
      <c r="H2683" s="66" t="e">
        <f>IF(LEFT(A2683,6)="CEPNTR","GPINS",VLOOKUP(LEFT(A2683,6),'Code Library'!$A$3:$B$920,2,0))&amp;"_"&amp;RIGHT(A2683,3)</f>
        <v>#N/A</v>
      </c>
      <c r="I2683" s="66">
        <f t="shared" si="287"/>
        <v>0</v>
      </c>
      <c r="K2683" s="66" t="str">
        <f t="shared" si="288"/>
        <v/>
      </c>
      <c r="L2683" s="66" t="str">
        <f t="shared" si="289"/>
        <v/>
      </c>
      <c r="M2683" s="66" t="str">
        <f t="shared" si="290"/>
        <v/>
      </c>
      <c r="N2683" s="66" t="str">
        <f t="shared" si="291"/>
        <v/>
      </c>
      <c r="O2683" s="66" t="str">
        <f t="shared" si="292"/>
        <v/>
      </c>
      <c r="P2683" s="66" t="str">
        <f t="shared" si="293"/>
        <v/>
      </c>
    </row>
    <row r="2684" spans="8:16">
      <c r="H2684" s="66" t="e">
        <f>IF(LEFT(A2684,6)="CEPNTR","GPINS",VLOOKUP(LEFT(A2684,6),'Code Library'!$A$3:$B$920,2,0))&amp;"_"&amp;RIGHT(A2684,3)</f>
        <v>#N/A</v>
      </c>
      <c r="I2684" s="66">
        <f t="shared" si="287"/>
        <v>0</v>
      </c>
      <c r="K2684" s="66" t="str">
        <f t="shared" si="288"/>
        <v/>
      </c>
      <c r="L2684" s="66" t="str">
        <f t="shared" si="289"/>
        <v/>
      </c>
      <c r="M2684" s="66" t="str">
        <f t="shared" si="290"/>
        <v/>
      </c>
      <c r="N2684" s="66" t="str">
        <f t="shared" si="291"/>
        <v/>
      </c>
      <c r="O2684" s="66" t="str">
        <f t="shared" si="292"/>
        <v/>
      </c>
      <c r="P2684" s="66" t="str">
        <f t="shared" si="293"/>
        <v/>
      </c>
    </row>
    <row r="2685" spans="8:16">
      <c r="H2685" s="66" t="e">
        <f>IF(LEFT(A2685,6)="CEPNTR","GPINS",VLOOKUP(LEFT(A2685,6),'Code Library'!$A$3:$B$920,2,0))&amp;"_"&amp;RIGHT(A2685,3)</f>
        <v>#N/A</v>
      </c>
      <c r="I2685" s="66">
        <f t="shared" si="287"/>
        <v>0</v>
      </c>
      <c r="K2685" s="66" t="str">
        <f t="shared" si="288"/>
        <v/>
      </c>
      <c r="L2685" s="66" t="str">
        <f t="shared" si="289"/>
        <v/>
      </c>
      <c r="M2685" s="66" t="str">
        <f t="shared" si="290"/>
        <v/>
      </c>
      <c r="N2685" s="66" t="str">
        <f t="shared" si="291"/>
        <v/>
      </c>
      <c r="O2685" s="66" t="str">
        <f t="shared" si="292"/>
        <v/>
      </c>
      <c r="P2685" s="66" t="str">
        <f t="shared" si="293"/>
        <v/>
      </c>
    </row>
    <row r="2686" spans="8:16">
      <c r="H2686" s="66" t="e">
        <f>IF(LEFT(A2686,6)="CEPNTR","GPINS",VLOOKUP(LEFT(A2686,6),'Code Library'!$A$3:$B$920,2,0))&amp;"_"&amp;RIGHT(A2686,3)</f>
        <v>#N/A</v>
      </c>
      <c r="I2686" s="66">
        <f t="shared" si="287"/>
        <v>0</v>
      </c>
      <c r="K2686" s="66" t="str">
        <f t="shared" si="288"/>
        <v/>
      </c>
      <c r="L2686" s="66" t="str">
        <f t="shared" si="289"/>
        <v/>
      </c>
      <c r="M2686" s="66" t="str">
        <f t="shared" si="290"/>
        <v/>
      </c>
      <c r="N2686" s="66" t="str">
        <f t="shared" si="291"/>
        <v/>
      </c>
      <c r="O2686" s="66" t="str">
        <f t="shared" si="292"/>
        <v/>
      </c>
      <c r="P2686" s="66" t="str">
        <f t="shared" si="293"/>
        <v/>
      </c>
    </row>
    <row r="2687" spans="8:16">
      <c r="H2687" s="66" t="e">
        <f>IF(LEFT(A2687,6)="CEPNTR","GPINS",VLOOKUP(LEFT(A2687,6),'Code Library'!$A$3:$B$920,2,0))&amp;"_"&amp;RIGHT(A2687,3)</f>
        <v>#N/A</v>
      </c>
      <c r="I2687" s="66">
        <f t="shared" si="287"/>
        <v>0</v>
      </c>
      <c r="K2687" s="66" t="str">
        <f t="shared" si="288"/>
        <v/>
      </c>
      <c r="L2687" s="66" t="str">
        <f t="shared" si="289"/>
        <v/>
      </c>
      <c r="M2687" s="66" t="str">
        <f t="shared" si="290"/>
        <v/>
      </c>
      <c r="N2687" s="66" t="str">
        <f t="shared" si="291"/>
        <v/>
      </c>
      <c r="O2687" s="66" t="str">
        <f t="shared" si="292"/>
        <v/>
      </c>
      <c r="P2687" s="66" t="str">
        <f t="shared" si="293"/>
        <v/>
      </c>
    </row>
    <row r="2688" spans="8:16">
      <c r="H2688" s="66" t="e">
        <f>IF(LEFT(A2688,6)="CEPNTR","GPINS",VLOOKUP(LEFT(A2688,6),'Code Library'!$A$3:$B$920,2,0))&amp;"_"&amp;RIGHT(A2688,3)</f>
        <v>#N/A</v>
      </c>
      <c r="I2688" s="66">
        <f t="shared" si="287"/>
        <v>0</v>
      </c>
      <c r="K2688" s="66" t="str">
        <f t="shared" si="288"/>
        <v/>
      </c>
      <c r="L2688" s="66" t="str">
        <f t="shared" si="289"/>
        <v/>
      </c>
      <c r="M2688" s="66" t="str">
        <f t="shared" si="290"/>
        <v/>
      </c>
      <c r="N2688" s="66" t="str">
        <f t="shared" si="291"/>
        <v/>
      </c>
      <c r="O2688" s="66" t="str">
        <f t="shared" si="292"/>
        <v/>
      </c>
      <c r="P2688" s="66" t="str">
        <f t="shared" si="293"/>
        <v/>
      </c>
    </row>
    <row r="2689" spans="8:16">
      <c r="H2689" s="66" t="e">
        <f>IF(LEFT(A2689,6)="CEPNTR","GPINS",VLOOKUP(LEFT(A2689,6),'Code Library'!$A$3:$B$920,2,0))&amp;"_"&amp;RIGHT(A2689,3)</f>
        <v>#N/A</v>
      </c>
      <c r="I2689" s="66">
        <f t="shared" si="287"/>
        <v>0</v>
      </c>
      <c r="K2689" s="66" t="str">
        <f t="shared" si="288"/>
        <v/>
      </c>
      <c r="L2689" s="66" t="str">
        <f t="shared" si="289"/>
        <v/>
      </c>
      <c r="M2689" s="66" t="str">
        <f t="shared" si="290"/>
        <v/>
      </c>
      <c r="N2689" s="66" t="str">
        <f t="shared" si="291"/>
        <v/>
      </c>
      <c r="O2689" s="66" t="str">
        <f t="shared" si="292"/>
        <v/>
      </c>
      <c r="P2689" s="66" t="str">
        <f t="shared" si="293"/>
        <v/>
      </c>
    </row>
    <row r="2690" spans="8:16">
      <c r="H2690" s="66" t="e">
        <f>IF(LEFT(A2690,6)="CEPNTR","GPINS",VLOOKUP(LEFT(A2690,6),'Code Library'!$A$3:$B$920,2,0))&amp;"_"&amp;RIGHT(A2690,3)</f>
        <v>#N/A</v>
      </c>
      <c r="I2690" s="66">
        <f t="shared" si="287"/>
        <v>0</v>
      </c>
      <c r="K2690" s="66" t="str">
        <f t="shared" si="288"/>
        <v/>
      </c>
      <c r="L2690" s="66" t="str">
        <f t="shared" si="289"/>
        <v/>
      </c>
      <c r="M2690" s="66" t="str">
        <f t="shared" si="290"/>
        <v/>
      </c>
      <c r="N2690" s="66" t="str">
        <f t="shared" si="291"/>
        <v/>
      </c>
      <c r="O2690" s="66" t="str">
        <f t="shared" si="292"/>
        <v/>
      </c>
      <c r="P2690" s="66" t="str">
        <f t="shared" si="293"/>
        <v/>
      </c>
    </row>
    <row r="2691" spans="8:16">
      <c r="H2691" s="66" t="e">
        <f>IF(LEFT(A2691,6)="CEPNTR","GPINS",VLOOKUP(LEFT(A2691,6),'Code Library'!$A$3:$B$920,2,0))&amp;"_"&amp;RIGHT(A2691,3)</f>
        <v>#N/A</v>
      </c>
      <c r="I2691" s="66">
        <f t="shared" ref="I2691:I2754" si="294">A2691</f>
        <v>0</v>
      </c>
      <c r="K2691" s="66" t="str">
        <f t="shared" ref="K2691:K2754" si="295">RIGHT($B2691,2)</f>
        <v/>
      </c>
      <c r="L2691" s="66" t="str">
        <f t="shared" ref="L2691:L2754" si="296">LEFT(RIGHT($B2691,7),4)</f>
        <v/>
      </c>
      <c r="M2691" s="66" t="str">
        <f t="shared" ref="M2691:M2754" si="297">LEFT(RIGHT($B2691,10),2)</f>
        <v/>
      </c>
      <c r="N2691" s="66" t="str">
        <f t="shared" ref="N2691:N2754" si="298">LEFT(RIGHT($B2691,14),3)</f>
        <v/>
      </c>
      <c r="O2691" s="66" t="str">
        <f t="shared" ref="O2691:O2754" si="299">LEFT(RIGHT($B2691,16),1)</f>
        <v/>
      </c>
      <c r="P2691" s="66" t="str">
        <f t="shared" ref="P2691:P2754" si="300">LEFT(RIGHT($B2691,19),2)</f>
        <v/>
      </c>
    </row>
    <row r="2692" spans="8:16">
      <c r="H2692" s="66" t="e">
        <f>IF(LEFT(A2692,6)="CEPNTR","GPINS",VLOOKUP(LEFT(A2692,6),'Code Library'!$A$3:$B$920,2,0))&amp;"_"&amp;RIGHT(A2692,3)</f>
        <v>#N/A</v>
      </c>
      <c r="I2692" s="66">
        <f t="shared" si="294"/>
        <v>0</v>
      </c>
      <c r="K2692" s="66" t="str">
        <f t="shared" si="295"/>
        <v/>
      </c>
      <c r="L2692" s="66" t="str">
        <f t="shared" si="296"/>
        <v/>
      </c>
      <c r="M2692" s="66" t="str">
        <f t="shared" si="297"/>
        <v/>
      </c>
      <c r="N2692" s="66" t="str">
        <f t="shared" si="298"/>
        <v/>
      </c>
      <c r="O2692" s="66" t="str">
        <f t="shared" si="299"/>
        <v/>
      </c>
      <c r="P2692" s="66" t="str">
        <f t="shared" si="300"/>
        <v/>
      </c>
    </row>
    <row r="2693" spans="8:16">
      <c r="H2693" s="66" t="e">
        <f>IF(LEFT(A2693,6)="CEPNTR","GPINS",VLOOKUP(LEFT(A2693,6),'Code Library'!$A$3:$B$920,2,0))&amp;"_"&amp;RIGHT(A2693,3)</f>
        <v>#N/A</v>
      </c>
      <c r="I2693" s="66">
        <f t="shared" si="294"/>
        <v>0</v>
      </c>
      <c r="K2693" s="66" t="str">
        <f t="shared" si="295"/>
        <v/>
      </c>
      <c r="L2693" s="66" t="str">
        <f t="shared" si="296"/>
        <v/>
      </c>
      <c r="M2693" s="66" t="str">
        <f t="shared" si="297"/>
        <v/>
      </c>
      <c r="N2693" s="66" t="str">
        <f t="shared" si="298"/>
        <v/>
      </c>
      <c r="O2693" s="66" t="str">
        <f t="shared" si="299"/>
        <v/>
      </c>
      <c r="P2693" s="66" t="str">
        <f t="shared" si="300"/>
        <v/>
      </c>
    </row>
    <row r="2694" spans="8:16">
      <c r="H2694" s="66" t="e">
        <f>IF(LEFT(A2694,6)="CEPNTR","GPINS",VLOOKUP(LEFT(A2694,6),'Code Library'!$A$3:$B$920,2,0))&amp;"_"&amp;RIGHT(A2694,3)</f>
        <v>#N/A</v>
      </c>
      <c r="I2694" s="66">
        <f t="shared" si="294"/>
        <v>0</v>
      </c>
      <c r="K2694" s="66" t="str">
        <f t="shared" si="295"/>
        <v/>
      </c>
      <c r="L2694" s="66" t="str">
        <f t="shared" si="296"/>
        <v/>
      </c>
      <c r="M2694" s="66" t="str">
        <f t="shared" si="297"/>
        <v/>
      </c>
      <c r="N2694" s="66" t="str">
        <f t="shared" si="298"/>
        <v/>
      </c>
      <c r="O2694" s="66" t="str">
        <f t="shared" si="299"/>
        <v/>
      </c>
      <c r="P2694" s="66" t="str">
        <f t="shared" si="300"/>
        <v/>
      </c>
    </row>
    <row r="2695" spans="8:16">
      <c r="H2695" s="66" t="e">
        <f>IF(LEFT(A2695,6)="CEPNTR","GPINS",VLOOKUP(LEFT(A2695,6),'Code Library'!$A$3:$B$920,2,0))&amp;"_"&amp;RIGHT(A2695,3)</f>
        <v>#N/A</v>
      </c>
      <c r="I2695" s="66">
        <f t="shared" si="294"/>
        <v>0</v>
      </c>
      <c r="K2695" s="66" t="str">
        <f t="shared" si="295"/>
        <v/>
      </c>
      <c r="L2695" s="66" t="str">
        <f t="shared" si="296"/>
        <v/>
      </c>
      <c r="M2695" s="66" t="str">
        <f t="shared" si="297"/>
        <v/>
      </c>
      <c r="N2695" s="66" t="str">
        <f t="shared" si="298"/>
        <v/>
      </c>
      <c r="O2695" s="66" t="str">
        <f t="shared" si="299"/>
        <v/>
      </c>
      <c r="P2695" s="66" t="str">
        <f t="shared" si="300"/>
        <v/>
      </c>
    </row>
    <row r="2696" spans="8:16">
      <c r="H2696" s="66" t="e">
        <f>IF(LEFT(A2696,6)="CEPNTR","GPINS",VLOOKUP(LEFT(A2696,6),'Code Library'!$A$3:$B$920,2,0))&amp;"_"&amp;RIGHT(A2696,3)</f>
        <v>#N/A</v>
      </c>
      <c r="I2696" s="66">
        <f t="shared" si="294"/>
        <v>0</v>
      </c>
      <c r="K2696" s="66" t="str">
        <f t="shared" si="295"/>
        <v/>
      </c>
      <c r="L2696" s="66" t="str">
        <f t="shared" si="296"/>
        <v/>
      </c>
      <c r="M2696" s="66" t="str">
        <f t="shared" si="297"/>
        <v/>
      </c>
      <c r="N2696" s="66" t="str">
        <f t="shared" si="298"/>
        <v/>
      </c>
      <c r="O2696" s="66" t="str">
        <f t="shared" si="299"/>
        <v/>
      </c>
      <c r="P2696" s="66" t="str">
        <f t="shared" si="300"/>
        <v/>
      </c>
    </row>
    <row r="2697" spans="8:16">
      <c r="H2697" s="66" t="e">
        <f>IF(LEFT(A2697,6)="CEPNTR","GPINS",VLOOKUP(LEFT(A2697,6),'Code Library'!$A$3:$B$920,2,0))&amp;"_"&amp;RIGHT(A2697,3)</f>
        <v>#N/A</v>
      </c>
      <c r="I2697" s="66">
        <f t="shared" si="294"/>
        <v>0</v>
      </c>
      <c r="K2697" s="66" t="str">
        <f t="shared" si="295"/>
        <v/>
      </c>
      <c r="L2697" s="66" t="str">
        <f t="shared" si="296"/>
        <v/>
      </c>
      <c r="M2697" s="66" t="str">
        <f t="shared" si="297"/>
        <v/>
      </c>
      <c r="N2697" s="66" t="str">
        <f t="shared" si="298"/>
        <v/>
      </c>
      <c r="O2697" s="66" t="str">
        <f t="shared" si="299"/>
        <v/>
      </c>
      <c r="P2697" s="66" t="str">
        <f t="shared" si="300"/>
        <v/>
      </c>
    </row>
    <row r="2698" spans="8:16">
      <c r="H2698" s="66" t="e">
        <f>IF(LEFT(A2698,6)="CEPNTR","GPINS",VLOOKUP(LEFT(A2698,6),'Code Library'!$A$3:$B$920,2,0))&amp;"_"&amp;RIGHT(A2698,3)</f>
        <v>#N/A</v>
      </c>
      <c r="I2698" s="66">
        <f t="shared" si="294"/>
        <v>0</v>
      </c>
      <c r="K2698" s="66" t="str">
        <f t="shared" si="295"/>
        <v/>
      </c>
      <c r="L2698" s="66" t="str">
        <f t="shared" si="296"/>
        <v/>
      </c>
      <c r="M2698" s="66" t="str">
        <f t="shared" si="297"/>
        <v/>
      </c>
      <c r="N2698" s="66" t="str">
        <f t="shared" si="298"/>
        <v/>
      </c>
      <c r="O2698" s="66" t="str">
        <f t="shared" si="299"/>
        <v/>
      </c>
      <c r="P2698" s="66" t="str">
        <f t="shared" si="300"/>
        <v/>
      </c>
    </row>
    <row r="2699" spans="8:16">
      <c r="H2699" s="66" t="e">
        <f>IF(LEFT(A2699,6)="CEPNTR","GPINS",VLOOKUP(LEFT(A2699,6),'Code Library'!$A$3:$B$920,2,0))&amp;"_"&amp;RIGHT(A2699,3)</f>
        <v>#N/A</v>
      </c>
      <c r="I2699" s="66">
        <f t="shared" si="294"/>
        <v>0</v>
      </c>
      <c r="K2699" s="66" t="str">
        <f t="shared" si="295"/>
        <v/>
      </c>
      <c r="L2699" s="66" t="str">
        <f t="shared" si="296"/>
        <v/>
      </c>
      <c r="M2699" s="66" t="str">
        <f t="shared" si="297"/>
        <v/>
      </c>
      <c r="N2699" s="66" t="str">
        <f t="shared" si="298"/>
        <v/>
      </c>
      <c r="O2699" s="66" t="str">
        <f t="shared" si="299"/>
        <v/>
      </c>
      <c r="P2699" s="66" t="str">
        <f t="shared" si="300"/>
        <v/>
      </c>
    </row>
    <row r="2700" spans="8:16">
      <c r="H2700" s="66" t="e">
        <f>IF(LEFT(A2700,6)="CEPNTR","GPINS",VLOOKUP(LEFT(A2700,6),'Code Library'!$A$3:$B$920,2,0))&amp;"_"&amp;RIGHT(A2700,3)</f>
        <v>#N/A</v>
      </c>
      <c r="I2700" s="66">
        <f t="shared" si="294"/>
        <v>0</v>
      </c>
      <c r="K2700" s="66" t="str">
        <f t="shared" si="295"/>
        <v/>
      </c>
      <c r="L2700" s="66" t="str">
        <f t="shared" si="296"/>
        <v/>
      </c>
      <c r="M2700" s="66" t="str">
        <f t="shared" si="297"/>
        <v/>
      </c>
      <c r="N2700" s="66" t="str">
        <f t="shared" si="298"/>
        <v/>
      </c>
      <c r="O2700" s="66" t="str">
        <f t="shared" si="299"/>
        <v/>
      </c>
      <c r="P2700" s="66" t="str">
        <f t="shared" si="300"/>
        <v/>
      </c>
    </row>
    <row r="2701" spans="8:16">
      <c r="H2701" s="66" t="e">
        <f>IF(LEFT(A2701,6)="CEPNTR","GPINS",VLOOKUP(LEFT(A2701,6),'Code Library'!$A$3:$B$920,2,0))&amp;"_"&amp;RIGHT(A2701,3)</f>
        <v>#N/A</v>
      </c>
      <c r="I2701" s="66">
        <f t="shared" si="294"/>
        <v>0</v>
      </c>
      <c r="K2701" s="66" t="str">
        <f t="shared" si="295"/>
        <v/>
      </c>
      <c r="L2701" s="66" t="str">
        <f t="shared" si="296"/>
        <v/>
      </c>
      <c r="M2701" s="66" t="str">
        <f t="shared" si="297"/>
        <v/>
      </c>
      <c r="N2701" s="66" t="str">
        <f t="shared" si="298"/>
        <v/>
      </c>
      <c r="O2701" s="66" t="str">
        <f t="shared" si="299"/>
        <v/>
      </c>
      <c r="P2701" s="66" t="str">
        <f t="shared" si="300"/>
        <v/>
      </c>
    </row>
    <row r="2702" spans="8:16">
      <c r="H2702" s="66" t="e">
        <f>IF(LEFT(A2702,6)="CEPNTR","GPINS",VLOOKUP(LEFT(A2702,6),'Code Library'!$A$3:$B$920,2,0))&amp;"_"&amp;RIGHT(A2702,3)</f>
        <v>#N/A</v>
      </c>
      <c r="I2702" s="66">
        <f t="shared" si="294"/>
        <v>0</v>
      </c>
      <c r="K2702" s="66" t="str">
        <f t="shared" si="295"/>
        <v/>
      </c>
      <c r="L2702" s="66" t="str">
        <f t="shared" si="296"/>
        <v/>
      </c>
      <c r="M2702" s="66" t="str">
        <f t="shared" si="297"/>
        <v/>
      </c>
      <c r="N2702" s="66" t="str">
        <f t="shared" si="298"/>
        <v/>
      </c>
      <c r="O2702" s="66" t="str">
        <f t="shared" si="299"/>
        <v/>
      </c>
      <c r="P2702" s="66" t="str">
        <f t="shared" si="300"/>
        <v/>
      </c>
    </row>
    <row r="2703" spans="8:16">
      <c r="H2703" s="66" t="e">
        <f>IF(LEFT(A2703,6)="CEPNTR","GPINS",VLOOKUP(LEFT(A2703,6),'Code Library'!$A$3:$B$920,2,0))&amp;"_"&amp;RIGHT(A2703,3)</f>
        <v>#N/A</v>
      </c>
      <c r="I2703" s="66">
        <f t="shared" si="294"/>
        <v>0</v>
      </c>
      <c r="K2703" s="66" t="str">
        <f t="shared" si="295"/>
        <v/>
      </c>
      <c r="L2703" s="66" t="str">
        <f t="shared" si="296"/>
        <v/>
      </c>
      <c r="M2703" s="66" t="str">
        <f t="shared" si="297"/>
        <v/>
      </c>
      <c r="N2703" s="66" t="str">
        <f t="shared" si="298"/>
        <v/>
      </c>
      <c r="O2703" s="66" t="str">
        <f t="shared" si="299"/>
        <v/>
      </c>
      <c r="P2703" s="66" t="str">
        <f t="shared" si="300"/>
        <v/>
      </c>
    </row>
    <row r="2704" spans="8:16">
      <c r="H2704" s="66" t="e">
        <f>IF(LEFT(A2704,6)="CEPNTR","GPINS",VLOOKUP(LEFT(A2704,6),'Code Library'!$A$3:$B$920,2,0))&amp;"_"&amp;RIGHT(A2704,3)</f>
        <v>#N/A</v>
      </c>
      <c r="I2704" s="66">
        <f t="shared" si="294"/>
        <v>0</v>
      </c>
      <c r="K2704" s="66" t="str">
        <f t="shared" si="295"/>
        <v/>
      </c>
      <c r="L2704" s="66" t="str">
        <f t="shared" si="296"/>
        <v/>
      </c>
      <c r="M2704" s="66" t="str">
        <f t="shared" si="297"/>
        <v/>
      </c>
      <c r="N2704" s="66" t="str">
        <f t="shared" si="298"/>
        <v/>
      </c>
      <c r="O2704" s="66" t="str">
        <f t="shared" si="299"/>
        <v/>
      </c>
      <c r="P2704" s="66" t="str">
        <f t="shared" si="300"/>
        <v/>
      </c>
    </row>
    <row r="2705" spans="8:16">
      <c r="H2705" s="66" t="e">
        <f>IF(LEFT(A2705,6)="CEPNTR","GPINS",VLOOKUP(LEFT(A2705,6),'Code Library'!$A$3:$B$920,2,0))&amp;"_"&amp;RIGHT(A2705,3)</f>
        <v>#N/A</v>
      </c>
      <c r="I2705" s="66">
        <f t="shared" si="294"/>
        <v>0</v>
      </c>
      <c r="K2705" s="66" t="str">
        <f t="shared" si="295"/>
        <v/>
      </c>
      <c r="L2705" s="66" t="str">
        <f t="shared" si="296"/>
        <v/>
      </c>
      <c r="M2705" s="66" t="str">
        <f t="shared" si="297"/>
        <v/>
      </c>
      <c r="N2705" s="66" t="str">
        <f t="shared" si="298"/>
        <v/>
      </c>
      <c r="O2705" s="66" t="str">
        <f t="shared" si="299"/>
        <v/>
      </c>
      <c r="P2705" s="66" t="str">
        <f t="shared" si="300"/>
        <v/>
      </c>
    </row>
    <row r="2706" spans="8:16">
      <c r="H2706" s="66" t="e">
        <f>IF(LEFT(A2706,6)="CEPNTR","GPINS",VLOOKUP(LEFT(A2706,6),'Code Library'!$A$3:$B$920,2,0))&amp;"_"&amp;RIGHT(A2706,3)</f>
        <v>#N/A</v>
      </c>
      <c r="I2706" s="66">
        <f t="shared" si="294"/>
        <v>0</v>
      </c>
      <c r="K2706" s="66" t="str">
        <f t="shared" si="295"/>
        <v/>
      </c>
      <c r="L2706" s="66" t="str">
        <f t="shared" si="296"/>
        <v/>
      </c>
      <c r="M2706" s="66" t="str">
        <f t="shared" si="297"/>
        <v/>
      </c>
      <c r="N2706" s="66" t="str">
        <f t="shared" si="298"/>
        <v/>
      </c>
      <c r="O2706" s="66" t="str">
        <f t="shared" si="299"/>
        <v/>
      </c>
      <c r="P2706" s="66" t="str">
        <f t="shared" si="300"/>
        <v/>
      </c>
    </row>
    <row r="2707" spans="8:16">
      <c r="H2707" s="66" t="e">
        <f>IF(LEFT(A2707,6)="CEPNTR","GPINS",VLOOKUP(LEFT(A2707,6),'Code Library'!$A$3:$B$920,2,0))&amp;"_"&amp;RIGHT(A2707,3)</f>
        <v>#N/A</v>
      </c>
      <c r="I2707" s="66">
        <f t="shared" si="294"/>
        <v>0</v>
      </c>
      <c r="K2707" s="66" t="str">
        <f t="shared" si="295"/>
        <v/>
      </c>
      <c r="L2707" s="66" t="str">
        <f t="shared" si="296"/>
        <v/>
      </c>
      <c r="M2707" s="66" t="str">
        <f t="shared" si="297"/>
        <v/>
      </c>
      <c r="N2707" s="66" t="str">
        <f t="shared" si="298"/>
        <v/>
      </c>
      <c r="O2707" s="66" t="str">
        <f t="shared" si="299"/>
        <v/>
      </c>
      <c r="P2707" s="66" t="str">
        <f t="shared" si="300"/>
        <v/>
      </c>
    </row>
    <row r="2708" spans="8:16">
      <c r="H2708" s="66" t="e">
        <f>IF(LEFT(A2708,6)="CEPNTR","GPINS",VLOOKUP(LEFT(A2708,6),'Code Library'!$A$3:$B$920,2,0))&amp;"_"&amp;RIGHT(A2708,3)</f>
        <v>#N/A</v>
      </c>
      <c r="I2708" s="66">
        <f t="shared" si="294"/>
        <v>0</v>
      </c>
      <c r="K2708" s="66" t="str">
        <f t="shared" si="295"/>
        <v/>
      </c>
      <c r="L2708" s="66" t="str">
        <f t="shared" si="296"/>
        <v/>
      </c>
      <c r="M2708" s="66" t="str">
        <f t="shared" si="297"/>
        <v/>
      </c>
      <c r="N2708" s="66" t="str">
        <f t="shared" si="298"/>
        <v/>
      </c>
      <c r="O2708" s="66" t="str">
        <f t="shared" si="299"/>
        <v/>
      </c>
      <c r="P2708" s="66" t="str">
        <f t="shared" si="300"/>
        <v/>
      </c>
    </row>
    <row r="2709" spans="8:16">
      <c r="H2709" s="66" t="e">
        <f>IF(LEFT(A2709,6)="CEPNTR","GPINS",VLOOKUP(LEFT(A2709,6),'Code Library'!$A$3:$B$920,2,0))&amp;"_"&amp;RIGHT(A2709,3)</f>
        <v>#N/A</v>
      </c>
      <c r="I2709" s="66">
        <f t="shared" si="294"/>
        <v>0</v>
      </c>
      <c r="K2709" s="66" t="str">
        <f t="shared" si="295"/>
        <v/>
      </c>
      <c r="L2709" s="66" t="str">
        <f t="shared" si="296"/>
        <v/>
      </c>
      <c r="M2709" s="66" t="str">
        <f t="shared" si="297"/>
        <v/>
      </c>
      <c r="N2709" s="66" t="str">
        <f t="shared" si="298"/>
        <v/>
      </c>
      <c r="O2709" s="66" t="str">
        <f t="shared" si="299"/>
        <v/>
      </c>
      <c r="P2709" s="66" t="str">
        <f t="shared" si="300"/>
        <v/>
      </c>
    </row>
    <row r="2710" spans="8:16">
      <c r="H2710" s="66" t="e">
        <f>IF(LEFT(A2710,6)="CEPNTR","GPINS",VLOOKUP(LEFT(A2710,6),'Code Library'!$A$3:$B$920,2,0))&amp;"_"&amp;RIGHT(A2710,3)</f>
        <v>#N/A</v>
      </c>
      <c r="I2710" s="66">
        <f t="shared" si="294"/>
        <v>0</v>
      </c>
      <c r="K2710" s="66" t="str">
        <f t="shared" si="295"/>
        <v/>
      </c>
      <c r="L2710" s="66" t="str">
        <f t="shared" si="296"/>
        <v/>
      </c>
      <c r="M2710" s="66" t="str">
        <f t="shared" si="297"/>
        <v/>
      </c>
      <c r="N2710" s="66" t="str">
        <f t="shared" si="298"/>
        <v/>
      </c>
      <c r="O2710" s="66" t="str">
        <f t="shared" si="299"/>
        <v/>
      </c>
      <c r="P2710" s="66" t="str">
        <f t="shared" si="300"/>
        <v/>
      </c>
    </row>
    <row r="2711" spans="8:16">
      <c r="H2711" s="66" t="e">
        <f>IF(LEFT(A2711,6)="CEPNTR","GPINS",VLOOKUP(LEFT(A2711,6),'Code Library'!$A$3:$B$920,2,0))&amp;"_"&amp;RIGHT(A2711,3)</f>
        <v>#N/A</v>
      </c>
      <c r="I2711" s="66">
        <f t="shared" si="294"/>
        <v>0</v>
      </c>
      <c r="K2711" s="66" t="str">
        <f t="shared" si="295"/>
        <v/>
      </c>
      <c r="L2711" s="66" t="str">
        <f t="shared" si="296"/>
        <v/>
      </c>
      <c r="M2711" s="66" t="str">
        <f t="shared" si="297"/>
        <v/>
      </c>
      <c r="N2711" s="66" t="str">
        <f t="shared" si="298"/>
        <v/>
      </c>
      <c r="O2711" s="66" t="str">
        <f t="shared" si="299"/>
        <v/>
      </c>
      <c r="P2711" s="66" t="str">
        <f t="shared" si="300"/>
        <v/>
      </c>
    </row>
    <row r="2712" spans="8:16">
      <c r="H2712" s="66" t="e">
        <f>IF(LEFT(A2712,6)="CEPNTR","GPINS",VLOOKUP(LEFT(A2712,6),'Code Library'!$A$3:$B$920,2,0))&amp;"_"&amp;RIGHT(A2712,3)</f>
        <v>#N/A</v>
      </c>
      <c r="I2712" s="66">
        <f t="shared" si="294"/>
        <v>0</v>
      </c>
      <c r="K2712" s="66" t="str">
        <f t="shared" si="295"/>
        <v/>
      </c>
      <c r="L2712" s="66" t="str">
        <f t="shared" si="296"/>
        <v/>
      </c>
      <c r="M2712" s="66" t="str">
        <f t="shared" si="297"/>
        <v/>
      </c>
      <c r="N2712" s="66" t="str">
        <f t="shared" si="298"/>
        <v/>
      </c>
      <c r="O2712" s="66" t="str">
        <f t="shared" si="299"/>
        <v/>
      </c>
      <c r="P2712" s="66" t="str">
        <f t="shared" si="300"/>
        <v/>
      </c>
    </row>
    <row r="2713" spans="8:16">
      <c r="H2713" s="66" t="e">
        <f>IF(LEFT(A2713,6)="CEPNTR","GPINS",VLOOKUP(LEFT(A2713,6),'Code Library'!$A$3:$B$920,2,0))&amp;"_"&amp;RIGHT(A2713,3)</f>
        <v>#N/A</v>
      </c>
      <c r="I2713" s="66">
        <f t="shared" si="294"/>
        <v>0</v>
      </c>
      <c r="K2713" s="66" t="str">
        <f t="shared" si="295"/>
        <v/>
      </c>
      <c r="L2713" s="66" t="str">
        <f t="shared" si="296"/>
        <v/>
      </c>
      <c r="M2713" s="66" t="str">
        <f t="shared" si="297"/>
        <v/>
      </c>
      <c r="N2713" s="66" t="str">
        <f t="shared" si="298"/>
        <v/>
      </c>
      <c r="O2713" s="66" t="str">
        <f t="shared" si="299"/>
        <v/>
      </c>
      <c r="P2713" s="66" t="str">
        <f t="shared" si="300"/>
        <v/>
      </c>
    </row>
    <row r="2714" spans="8:16">
      <c r="H2714" s="66" t="e">
        <f>IF(LEFT(A2714,6)="CEPNTR","GPINS",VLOOKUP(LEFT(A2714,6),'Code Library'!$A$3:$B$920,2,0))&amp;"_"&amp;RIGHT(A2714,3)</f>
        <v>#N/A</v>
      </c>
      <c r="I2714" s="66">
        <f t="shared" si="294"/>
        <v>0</v>
      </c>
      <c r="K2714" s="66" t="str">
        <f t="shared" si="295"/>
        <v/>
      </c>
      <c r="L2714" s="66" t="str">
        <f t="shared" si="296"/>
        <v/>
      </c>
      <c r="M2714" s="66" t="str">
        <f t="shared" si="297"/>
        <v/>
      </c>
      <c r="N2714" s="66" t="str">
        <f t="shared" si="298"/>
        <v/>
      </c>
      <c r="O2714" s="66" t="str">
        <f t="shared" si="299"/>
        <v/>
      </c>
      <c r="P2714" s="66" t="str">
        <f t="shared" si="300"/>
        <v/>
      </c>
    </row>
    <row r="2715" spans="8:16">
      <c r="H2715" s="66" t="e">
        <f>IF(LEFT(A2715,6)="CEPNTR","GPINS",VLOOKUP(LEFT(A2715,6),'Code Library'!$A$3:$B$920,2,0))&amp;"_"&amp;RIGHT(A2715,3)</f>
        <v>#N/A</v>
      </c>
      <c r="I2715" s="66">
        <f t="shared" si="294"/>
        <v>0</v>
      </c>
      <c r="K2715" s="66" t="str">
        <f t="shared" si="295"/>
        <v/>
      </c>
      <c r="L2715" s="66" t="str">
        <f t="shared" si="296"/>
        <v/>
      </c>
      <c r="M2715" s="66" t="str">
        <f t="shared" si="297"/>
        <v/>
      </c>
      <c r="N2715" s="66" t="str">
        <f t="shared" si="298"/>
        <v/>
      </c>
      <c r="O2715" s="66" t="str">
        <f t="shared" si="299"/>
        <v/>
      </c>
      <c r="P2715" s="66" t="str">
        <f t="shared" si="300"/>
        <v/>
      </c>
    </row>
    <row r="2716" spans="8:16">
      <c r="H2716" s="66" t="e">
        <f>IF(LEFT(A2716,6)="CEPNTR","GPINS",VLOOKUP(LEFT(A2716,6),'Code Library'!$A$3:$B$920,2,0))&amp;"_"&amp;RIGHT(A2716,3)</f>
        <v>#N/A</v>
      </c>
      <c r="I2716" s="66">
        <f t="shared" si="294"/>
        <v>0</v>
      </c>
      <c r="K2716" s="66" t="str">
        <f t="shared" si="295"/>
        <v/>
      </c>
      <c r="L2716" s="66" t="str">
        <f t="shared" si="296"/>
        <v/>
      </c>
      <c r="M2716" s="66" t="str">
        <f t="shared" si="297"/>
        <v/>
      </c>
      <c r="N2716" s="66" t="str">
        <f t="shared" si="298"/>
        <v/>
      </c>
      <c r="O2716" s="66" t="str">
        <f t="shared" si="299"/>
        <v/>
      </c>
      <c r="P2716" s="66" t="str">
        <f t="shared" si="300"/>
        <v/>
      </c>
    </row>
    <row r="2717" spans="8:16">
      <c r="H2717" s="66" t="e">
        <f>IF(LEFT(A2717,6)="CEPNTR","GPINS",VLOOKUP(LEFT(A2717,6),'Code Library'!$A$3:$B$920,2,0))&amp;"_"&amp;RIGHT(A2717,3)</f>
        <v>#N/A</v>
      </c>
      <c r="I2717" s="66">
        <f t="shared" si="294"/>
        <v>0</v>
      </c>
      <c r="K2717" s="66" t="str">
        <f t="shared" si="295"/>
        <v/>
      </c>
      <c r="L2717" s="66" t="str">
        <f t="shared" si="296"/>
        <v/>
      </c>
      <c r="M2717" s="66" t="str">
        <f t="shared" si="297"/>
        <v/>
      </c>
      <c r="N2717" s="66" t="str">
        <f t="shared" si="298"/>
        <v/>
      </c>
      <c r="O2717" s="66" t="str">
        <f t="shared" si="299"/>
        <v/>
      </c>
      <c r="P2717" s="66" t="str">
        <f t="shared" si="300"/>
        <v/>
      </c>
    </row>
    <row r="2718" spans="8:16">
      <c r="H2718" s="66" t="e">
        <f>IF(LEFT(A2718,6)="CEPNTR","GPINS",VLOOKUP(LEFT(A2718,6),'Code Library'!$A$3:$B$920,2,0))&amp;"_"&amp;RIGHT(A2718,3)</f>
        <v>#N/A</v>
      </c>
      <c r="I2718" s="66">
        <f t="shared" si="294"/>
        <v>0</v>
      </c>
      <c r="K2718" s="66" t="str">
        <f t="shared" si="295"/>
        <v/>
      </c>
      <c r="L2718" s="66" t="str">
        <f t="shared" si="296"/>
        <v/>
      </c>
      <c r="M2718" s="66" t="str">
        <f t="shared" si="297"/>
        <v/>
      </c>
      <c r="N2718" s="66" t="str">
        <f t="shared" si="298"/>
        <v/>
      </c>
      <c r="O2718" s="66" t="str">
        <f t="shared" si="299"/>
        <v/>
      </c>
      <c r="P2718" s="66" t="str">
        <f t="shared" si="300"/>
        <v/>
      </c>
    </row>
    <row r="2719" spans="8:16">
      <c r="H2719" s="66" t="e">
        <f>IF(LEFT(A2719,6)="CEPNTR","GPINS",VLOOKUP(LEFT(A2719,6),'Code Library'!$A$3:$B$920,2,0))&amp;"_"&amp;RIGHT(A2719,3)</f>
        <v>#N/A</v>
      </c>
      <c r="I2719" s="66">
        <f t="shared" si="294"/>
        <v>0</v>
      </c>
      <c r="K2719" s="66" t="str">
        <f t="shared" si="295"/>
        <v/>
      </c>
      <c r="L2719" s="66" t="str">
        <f t="shared" si="296"/>
        <v/>
      </c>
      <c r="M2719" s="66" t="str">
        <f t="shared" si="297"/>
        <v/>
      </c>
      <c r="N2719" s="66" t="str">
        <f t="shared" si="298"/>
        <v/>
      </c>
      <c r="O2719" s="66" t="str">
        <f t="shared" si="299"/>
        <v/>
      </c>
      <c r="P2719" s="66" t="str">
        <f t="shared" si="300"/>
        <v/>
      </c>
    </row>
    <row r="2720" spans="8:16">
      <c r="H2720" s="66" t="e">
        <f>IF(LEFT(A2720,6)="CEPNTR","GPINS",VLOOKUP(LEFT(A2720,6),'Code Library'!$A$3:$B$920,2,0))&amp;"_"&amp;RIGHT(A2720,3)</f>
        <v>#N/A</v>
      </c>
      <c r="I2720" s="66">
        <f t="shared" si="294"/>
        <v>0</v>
      </c>
      <c r="K2720" s="66" t="str">
        <f t="shared" si="295"/>
        <v/>
      </c>
      <c r="L2720" s="66" t="str">
        <f t="shared" si="296"/>
        <v/>
      </c>
      <c r="M2720" s="66" t="str">
        <f t="shared" si="297"/>
        <v/>
      </c>
      <c r="N2720" s="66" t="str">
        <f t="shared" si="298"/>
        <v/>
      </c>
      <c r="O2720" s="66" t="str">
        <f t="shared" si="299"/>
        <v/>
      </c>
      <c r="P2720" s="66" t="str">
        <f t="shared" si="300"/>
        <v/>
      </c>
    </row>
    <row r="2721" spans="8:16">
      <c r="H2721" s="66" t="e">
        <f>IF(LEFT(A2721,6)="CEPNTR","GPINS",VLOOKUP(LEFT(A2721,6),'Code Library'!$A$3:$B$920,2,0))&amp;"_"&amp;RIGHT(A2721,3)</f>
        <v>#N/A</v>
      </c>
      <c r="I2721" s="66">
        <f t="shared" si="294"/>
        <v>0</v>
      </c>
      <c r="K2721" s="66" t="str">
        <f t="shared" si="295"/>
        <v/>
      </c>
      <c r="L2721" s="66" t="str">
        <f t="shared" si="296"/>
        <v/>
      </c>
      <c r="M2721" s="66" t="str">
        <f t="shared" si="297"/>
        <v/>
      </c>
      <c r="N2721" s="66" t="str">
        <f t="shared" si="298"/>
        <v/>
      </c>
      <c r="O2721" s="66" t="str">
        <f t="shared" si="299"/>
        <v/>
      </c>
      <c r="P2721" s="66" t="str">
        <f t="shared" si="300"/>
        <v/>
      </c>
    </row>
    <row r="2722" spans="8:16">
      <c r="H2722" s="66" t="e">
        <f>IF(LEFT(A2722,6)="CEPNTR","GPINS",VLOOKUP(LEFT(A2722,6),'Code Library'!$A$3:$B$920,2,0))&amp;"_"&amp;RIGHT(A2722,3)</f>
        <v>#N/A</v>
      </c>
      <c r="I2722" s="66">
        <f t="shared" si="294"/>
        <v>0</v>
      </c>
      <c r="K2722" s="66" t="str">
        <f t="shared" si="295"/>
        <v/>
      </c>
      <c r="L2722" s="66" t="str">
        <f t="shared" si="296"/>
        <v/>
      </c>
      <c r="M2722" s="66" t="str">
        <f t="shared" si="297"/>
        <v/>
      </c>
      <c r="N2722" s="66" t="str">
        <f t="shared" si="298"/>
        <v/>
      </c>
      <c r="O2722" s="66" t="str">
        <f t="shared" si="299"/>
        <v/>
      </c>
      <c r="P2722" s="66" t="str">
        <f t="shared" si="300"/>
        <v/>
      </c>
    </row>
    <row r="2723" spans="8:16">
      <c r="H2723" s="66" t="e">
        <f>IF(LEFT(A2723,6)="CEPNTR","GPINS",VLOOKUP(LEFT(A2723,6),'Code Library'!$A$3:$B$920,2,0))&amp;"_"&amp;RIGHT(A2723,3)</f>
        <v>#N/A</v>
      </c>
      <c r="I2723" s="66">
        <f t="shared" si="294"/>
        <v>0</v>
      </c>
      <c r="K2723" s="66" t="str">
        <f t="shared" si="295"/>
        <v/>
      </c>
      <c r="L2723" s="66" t="str">
        <f t="shared" si="296"/>
        <v/>
      </c>
      <c r="M2723" s="66" t="str">
        <f t="shared" si="297"/>
        <v/>
      </c>
      <c r="N2723" s="66" t="str">
        <f t="shared" si="298"/>
        <v/>
      </c>
      <c r="O2723" s="66" t="str">
        <f t="shared" si="299"/>
        <v/>
      </c>
      <c r="P2723" s="66" t="str">
        <f t="shared" si="300"/>
        <v/>
      </c>
    </row>
    <row r="2724" spans="8:16">
      <c r="H2724" s="66" t="e">
        <f>IF(LEFT(A2724,6)="CEPNTR","GPINS",VLOOKUP(LEFT(A2724,6),'Code Library'!$A$3:$B$920,2,0))&amp;"_"&amp;RIGHT(A2724,3)</f>
        <v>#N/A</v>
      </c>
      <c r="I2724" s="66">
        <f t="shared" si="294"/>
        <v>0</v>
      </c>
      <c r="K2724" s="66" t="str">
        <f t="shared" si="295"/>
        <v/>
      </c>
      <c r="L2724" s="66" t="str">
        <f t="shared" si="296"/>
        <v/>
      </c>
      <c r="M2724" s="66" t="str">
        <f t="shared" si="297"/>
        <v/>
      </c>
      <c r="N2724" s="66" t="str">
        <f t="shared" si="298"/>
        <v/>
      </c>
      <c r="O2724" s="66" t="str">
        <f t="shared" si="299"/>
        <v/>
      </c>
      <c r="P2724" s="66" t="str">
        <f t="shared" si="300"/>
        <v/>
      </c>
    </row>
    <row r="2725" spans="8:16">
      <c r="H2725" s="66" t="e">
        <f>IF(LEFT(A2725,6)="CEPNTR","GPINS",VLOOKUP(LEFT(A2725,6),'Code Library'!$A$3:$B$920,2,0))&amp;"_"&amp;RIGHT(A2725,3)</f>
        <v>#N/A</v>
      </c>
      <c r="I2725" s="66">
        <f t="shared" si="294"/>
        <v>0</v>
      </c>
      <c r="K2725" s="66" t="str">
        <f t="shared" si="295"/>
        <v/>
      </c>
      <c r="L2725" s="66" t="str">
        <f t="shared" si="296"/>
        <v/>
      </c>
      <c r="M2725" s="66" t="str">
        <f t="shared" si="297"/>
        <v/>
      </c>
      <c r="N2725" s="66" t="str">
        <f t="shared" si="298"/>
        <v/>
      </c>
      <c r="O2725" s="66" t="str">
        <f t="shared" si="299"/>
        <v/>
      </c>
      <c r="P2725" s="66" t="str">
        <f t="shared" si="300"/>
        <v/>
      </c>
    </row>
    <row r="2726" spans="8:16">
      <c r="H2726" s="66" t="e">
        <f>IF(LEFT(A2726,6)="CEPNTR","GPINS",VLOOKUP(LEFT(A2726,6),'Code Library'!$A$3:$B$920,2,0))&amp;"_"&amp;RIGHT(A2726,3)</f>
        <v>#N/A</v>
      </c>
      <c r="I2726" s="66">
        <f t="shared" si="294"/>
        <v>0</v>
      </c>
      <c r="K2726" s="66" t="str">
        <f t="shared" si="295"/>
        <v/>
      </c>
      <c r="L2726" s="66" t="str">
        <f t="shared" si="296"/>
        <v/>
      </c>
      <c r="M2726" s="66" t="str">
        <f t="shared" si="297"/>
        <v/>
      </c>
      <c r="N2726" s="66" t="str">
        <f t="shared" si="298"/>
        <v/>
      </c>
      <c r="O2726" s="66" t="str">
        <f t="shared" si="299"/>
        <v/>
      </c>
      <c r="P2726" s="66" t="str">
        <f t="shared" si="300"/>
        <v/>
      </c>
    </row>
    <row r="2727" spans="8:16">
      <c r="H2727" s="66" t="e">
        <f>IF(LEFT(A2727,6)="CEPNTR","GPINS",VLOOKUP(LEFT(A2727,6),'Code Library'!$A$3:$B$920,2,0))&amp;"_"&amp;RIGHT(A2727,3)</f>
        <v>#N/A</v>
      </c>
      <c r="I2727" s="66">
        <f t="shared" si="294"/>
        <v>0</v>
      </c>
      <c r="K2727" s="66" t="str">
        <f t="shared" si="295"/>
        <v/>
      </c>
      <c r="L2727" s="66" t="str">
        <f t="shared" si="296"/>
        <v/>
      </c>
      <c r="M2727" s="66" t="str">
        <f t="shared" si="297"/>
        <v/>
      </c>
      <c r="N2727" s="66" t="str">
        <f t="shared" si="298"/>
        <v/>
      </c>
      <c r="O2727" s="66" t="str">
        <f t="shared" si="299"/>
        <v/>
      </c>
      <c r="P2727" s="66" t="str">
        <f t="shared" si="300"/>
        <v/>
      </c>
    </row>
    <row r="2728" spans="8:16">
      <c r="H2728" s="66" t="e">
        <f>IF(LEFT(A2728,6)="CEPNTR","GPINS",VLOOKUP(LEFT(A2728,6),'Code Library'!$A$3:$B$920,2,0))&amp;"_"&amp;RIGHT(A2728,3)</f>
        <v>#N/A</v>
      </c>
      <c r="I2728" s="66">
        <f t="shared" si="294"/>
        <v>0</v>
      </c>
      <c r="K2728" s="66" t="str">
        <f t="shared" si="295"/>
        <v/>
      </c>
      <c r="L2728" s="66" t="str">
        <f t="shared" si="296"/>
        <v/>
      </c>
      <c r="M2728" s="66" t="str">
        <f t="shared" si="297"/>
        <v/>
      </c>
      <c r="N2728" s="66" t="str">
        <f t="shared" si="298"/>
        <v/>
      </c>
      <c r="O2728" s="66" t="str">
        <f t="shared" si="299"/>
        <v/>
      </c>
      <c r="P2728" s="66" t="str">
        <f t="shared" si="300"/>
        <v/>
      </c>
    </row>
    <row r="2729" spans="8:16">
      <c r="H2729" s="66" t="e">
        <f>IF(LEFT(A2729,6)="CEPNTR","GPINS",VLOOKUP(LEFT(A2729,6),'Code Library'!$A$3:$B$920,2,0))&amp;"_"&amp;RIGHT(A2729,3)</f>
        <v>#N/A</v>
      </c>
      <c r="I2729" s="66">
        <f t="shared" si="294"/>
        <v>0</v>
      </c>
      <c r="K2729" s="66" t="str">
        <f t="shared" si="295"/>
        <v/>
      </c>
      <c r="L2729" s="66" t="str">
        <f t="shared" si="296"/>
        <v/>
      </c>
      <c r="M2729" s="66" t="str">
        <f t="shared" si="297"/>
        <v/>
      </c>
      <c r="N2729" s="66" t="str">
        <f t="shared" si="298"/>
        <v/>
      </c>
      <c r="O2729" s="66" t="str">
        <f t="shared" si="299"/>
        <v/>
      </c>
      <c r="P2729" s="66" t="str">
        <f t="shared" si="300"/>
        <v/>
      </c>
    </row>
    <row r="2730" spans="8:16">
      <c r="H2730" s="66" t="e">
        <f>IF(LEFT(A2730,6)="CEPNTR","GPINS",VLOOKUP(LEFT(A2730,6),'Code Library'!$A$3:$B$920,2,0))&amp;"_"&amp;RIGHT(A2730,3)</f>
        <v>#N/A</v>
      </c>
      <c r="I2730" s="66">
        <f t="shared" si="294"/>
        <v>0</v>
      </c>
      <c r="K2730" s="66" t="str">
        <f t="shared" si="295"/>
        <v/>
      </c>
      <c r="L2730" s="66" t="str">
        <f t="shared" si="296"/>
        <v/>
      </c>
      <c r="M2730" s="66" t="str">
        <f t="shared" si="297"/>
        <v/>
      </c>
      <c r="N2730" s="66" t="str">
        <f t="shared" si="298"/>
        <v/>
      </c>
      <c r="O2730" s="66" t="str">
        <f t="shared" si="299"/>
        <v/>
      </c>
      <c r="P2730" s="66" t="str">
        <f t="shared" si="300"/>
        <v/>
      </c>
    </row>
    <row r="2731" spans="8:16">
      <c r="H2731" s="66" t="e">
        <f>IF(LEFT(A2731,6)="CEPNTR","GPINS",VLOOKUP(LEFT(A2731,6),'Code Library'!$A$3:$B$920,2,0))&amp;"_"&amp;RIGHT(A2731,3)</f>
        <v>#N/A</v>
      </c>
      <c r="I2731" s="66">
        <f t="shared" si="294"/>
        <v>0</v>
      </c>
      <c r="K2731" s="66" t="str">
        <f t="shared" si="295"/>
        <v/>
      </c>
      <c r="L2731" s="66" t="str">
        <f t="shared" si="296"/>
        <v/>
      </c>
      <c r="M2731" s="66" t="str">
        <f t="shared" si="297"/>
        <v/>
      </c>
      <c r="N2731" s="66" t="str">
        <f t="shared" si="298"/>
        <v/>
      </c>
      <c r="O2731" s="66" t="str">
        <f t="shared" si="299"/>
        <v/>
      </c>
      <c r="P2731" s="66" t="str">
        <f t="shared" si="300"/>
        <v/>
      </c>
    </row>
    <row r="2732" spans="8:16">
      <c r="H2732" s="66" t="e">
        <f>IF(LEFT(A2732,6)="CEPNTR","GPINS",VLOOKUP(LEFT(A2732,6),'Code Library'!$A$3:$B$920,2,0))&amp;"_"&amp;RIGHT(A2732,3)</f>
        <v>#N/A</v>
      </c>
      <c r="I2732" s="66">
        <f t="shared" si="294"/>
        <v>0</v>
      </c>
      <c r="K2732" s="66" t="str">
        <f t="shared" si="295"/>
        <v/>
      </c>
      <c r="L2732" s="66" t="str">
        <f t="shared" si="296"/>
        <v/>
      </c>
      <c r="M2732" s="66" t="str">
        <f t="shared" si="297"/>
        <v/>
      </c>
      <c r="N2732" s="66" t="str">
        <f t="shared" si="298"/>
        <v/>
      </c>
      <c r="O2732" s="66" t="str">
        <f t="shared" si="299"/>
        <v/>
      </c>
      <c r="P2732" s="66" t="str">
        <f t="shared" si="300"/>
        <v/>
      </c>
    </row>
    <row r="2733" spans="8:16">
      <c r="H2733" s="66" t="e">
        <f>IF(LEFT(A2733,6)="CEPNTR","GPINS",VLOOKUP(LEFT(A2733,6),'Code Library'!$A$3:$B$920,2,0))&amp;"_"&amp;RIGHT(A2733,3)</f>
        <v>#N/A</v>
      </c>
      <c r="I2733" s="66">
        <f t="shared" si="294"/>
        <v>0</v>
      </c>
      <c r="K2733" s="66" t="str">
        <f t="shared" si="295"/>
        <v/>
      </c>
      <c r="L2733" s="66" t="str">
        <f t="shared" si="296"/>
        <v/>
      </c>
      <c r="M2733" s="66" t="str">
        <f t="shared" si="297"/>
        <v/>
      </c>
      <c r="N2733" s="66" t="str">
        <f t="shared" si="298"/>
        <v/>
      </c>
      <c r="O2733" s="66" t="str">
        <f t="shared" si="299"/>
        <v/>
      </c>
      <c r="P2733" s="66" t="str">
        <f t="shared" si="300"/>
        <v/>
      </c>
    </row>
    <row r="2734" spans="8:16">
      <c r="H2734" s="66" t="e">
        <f>IF(LEFT(A2734,6)="CEPNTR","GPINS",VLOOKUP(LEFT(A2734,6),'Code Library'!$A$3:$B$920,2,0))&amp;"_"&amp;RIGHT(A2734,3)</f>
        <v>#N/A</v>
      </c>
      <c r="I2734" s="66">
        <f t="shared" si="294"/>
        <v>0</v>
      </c>
      <c r="K2734" s="66" t="str">
        <f t="shared" si="295"/>
        <v/>
      </c>
      <c r="L2734" s="66" t="str">
        <f t="shared" si="296"/>
        <v/>
      </c>
      <c r="M2734" s="66" t="str">
        <f t="shared" si="297"/>
        <v/>
      </c>
      <c r="N2734" s="66" t="str">
        <f t="shared" si="298"/>
        <v/>
      </c>
      <c r="O2734" s="66" t="str">
        <f t="shared" si="299"/>
        <v/>
      </c>
      <c r="P2734" s="66" t="str">
        <f t="shared" si="300"/>
        <v/>
      </c>
    </row>
    <row r="2735" spans="8:16">
      <c r="H2735" s="66" t="e">
        <f>IF(LEFT(A2735,6)="CEPNTR","GPINS",VLOOKUP(LEFT(A2735,6),'Code Library'!$A$3:$B$920,2,0))&amp;"_"&amp;RIGHT(A2735,3)</f>
        <v>#N/A</v>
      </c>
      <c r="I2735" s="66">
        <f t="shared" si="294"/>
        <v>0</v>
      </c>
      <c r="K2735" s="66" t="str">
        <f t="shared" si="295"/>
        <v/>
      </c>
      <c r="L2735" s="66" t="str">
        <f t="shared" si="296"/>
        <v/>
      </c>
      <c r="M2735" s="66" t="str">
        <f t="shared" si="297"/>
        <v/>
      </c>
      <c r="N2735" s="66" t="str">
        <f t="shared" si="298"/>
        <v/>
      </c>
      <c r="O2735" s="66" t="str">
        <f t="shared" si="299"/>
        <v/>
      </c>
      <c r="P2735" s="66" t="str">
        <f t="shared" si="300"/>
        <v/>
      </c>
    </row>
    <row r="2736" spans="8:16">
      <c r="H2736" s="66" t="e">
        <f>IF(LEFT(A2736,6)="CEPNTR","GPINS",VLOOKUP(LEFT(A2736,6),'Code Library'!$A$3:$B$920,2,0))&amp;"_"&amp;RIGHT(A2736,3)</f>
        <v>#N/A</v>
      </c>
      <c r="I2736" s="66">
        <f t="shared" si="294"/>
        <v>0</v>
      </c>
      <c r="K2736" s="66" t="str">
        <f t="shared" si="295"/>
        <v/>
      </c>
      <c r="L2736" s="66" t="str">
        <f t="shared" si="296"/>
        <v/>
      </c>
      <c r="M2736" s="66" t="str">
        <f t="shared" si="297"/>
        <v/>
      </c>
      <c r="N2736" s="66" t="str">
        <f t="shared" si="298"/>
        <v/>
      </c>
      <c r="O2736" s="66" t="str">
        <f t="shared" si="299"/>
        <v/>
      </c>
      <c r="P2736" s="66" t="str">
        <f t="shared" si="300"/>
        <v/>
      </c>
    </row>
    <row r="2737" spans="8:16">
      <c r="H2737" s="66" t="e">
        <f>IF(LEFT(A2737,6)="CEPNTR","GPINS",VLOOKUP(LEFT(A2737,6),'Code Library'!$A$3:$B$920,2,0))&amp;"_"&amp;RIGHT(A2737,3)</f>
        <v>#N/A</v>
      </c>
      <c r="I2737" s="66">
        <f t="shared" si="294"/>
        <v>0</v>
      </c>
      <c r="K2737" s="66" t="str">
        <f t="shared" si="295"/>
        <v/>
      </c>
      <c r="L2737" s="66" t="str">
        <f t="shared" si="296"/>
        <v/>
      </c>
      <c r="M2737" s="66" t="str">
        <f t="shared" si="297"/>
        <v/>
      </c>
      <c r="N2737" s="66" t="str">
        <f t="shared" si="298"/>
        <v/>
      </c>
      <c r="O2737" s="66" t="str">
        <f t="shared" si="299"/>
        <v/>
      </c>
      <c r="P2737" s="66" t="str">
        <f t="shared" si="300"/>
        <v/>
      </c>
    </row>
    <row r="2738" spans="8:16">
      <c r="H2738" s="66" t="e">
        <f>IF(LEFT(A2738,6)="CEPNTR","GPINS",VLOOKUP(LEFT(A2738,6),'Code Library'!$A$3:$B$920,2,0))&amp;"_"&amp;RIGHT(A2738,3)</f>
        <v>#N/A</v>
      </c>
      <c r="I2738" s="66">
        <f t="shared" si="294"/>
        <v>0</v>
      </c>
      <c r="K2738" s="66" t="str">
        <f t="shared" si="295"/>
        <v/>
      </c>
      <c r="L2738" s="66" t="str">
        <f t="shared" si="296"/>
        <v/>
      </c>
      <c r="M2738" s="66" t="str">
        <f t="shared" si="297"/>
        <v/>
      </c>
      <c r="N2738" s="66" t="str">
        <f t="shared" si="298"/>
        <v/>
      </c>
      <c r="O2738" s="66" t="str">
        <f t="shared" si="299"/>
        <v/>
      </c>
      <c r="P2738" s="66" t="str">
        <f t="shared" si="300"/>
        <v/>
      </c>
    </row>
    <row r="2739" spans="8:16">
      <c r="H2739" s="66" t="e">
        <f>IF(LEFT(A2739,6)="CEPNTR","GPINS",VLOOKUP(LEFT(A2739,6),'Code Library'!$A$3:$B$920,2,0))&amp;"_"&amp;RIGHT(A2739,3)</f>
        <v>#N/A</v>
      </c>
      <c r="I2739" s="66">
        <f t="shared" si="294"/>
        <v>0</v>
      </c>
      <c r="K2739" s="66" t="str">
        <f t="shared" si="295"/>
        <v/>
      </c>
      <c r="L2739" s="66" t="str">
        <f t="shared" si="296"/>
        <v/>
      </c>
      <c r="M2739" s="66" t="str">
        <f t="shared" si="297"/>
        <v/>
      </c>
      <c r="N2739" s="66" t="str">
        <f t="shared" si="298"/>
        <v/>
      </c>
      <c r="O2739" s="66" t="str">
        <f t="shared" si="299"/>
        <v/>
      </c>
      <c r="P2739" s="66" t="str">
        <f t="shared" si="300"/>
        <v/>
      </c>
    </row>
    <row r="2740" spans="8:16">
      <c r="H2740" s="66" t="e">
        <f>IF(LEFT(A2740,6)="CEPNTR","GPINS",VLOOKUP(LEFT(A2740,6),'Code Library'!$A$3:$B$920,2,0))&amp;"_"&amp;RIGHT(A2740,3)</f>
        <v>#N/A</v>
      </c>
      <c r="I2740" s="66">
        <f t="shared" si="294"/>
        <v>0</v>
      </c>
      <c r="K2740" s="66" t="str">
        <f t="shared" si="295"/>
        <v/>
      </c>
      <c r="L2740" s="66" t="str">
        <f t="shared" si="296"/>
        <v/>
      </c>
      <c r="M2740" s="66" t="str">
        <f t="shared" si="297"/>
        <v/>
      </c>
      <c r="N2740" s="66" t="str">
        <f t="shared" si="298"/>
        <v/>
      </c>
      <c r="O2740" s="66" t="str">
        <f t="shared" si="299"/>
        <v/>
      </c>
      <c r="P2740" s="66" t="str">
        <f t="shared" si="300"/>
        <v/>
      </c>
    </row>
    <row r="2741" spans="8:16">
      <c r="H2741" s="66" t="e">
        <f>IF(LEFT(A2741,6)="CEPNTR","GPINS",VLOOKUP(LEFT(A2741,6),'Code Library'!$A$3:$B$920,2,0))&amp;"_"&amp;RIGHT(A2741,3)</f>
        <v>#N/A</v>
      </c>
      <c r="I2741" s="66">
        <f t="shared" si="294"/>
        <v>0</v>
      </c>
      <c r="K2741" s="66" t="str">
        <f t="shared" si="295"/>
        <v/>
      </c>
      <c r="L2741" s="66" t="str">
        <f t="shared" si="296"/>
        <v/>
      </c>
      <c r="M2741" s="66" t="str">
        <f t="shared" si="297"/>
        <v/>
      </c>
      <c r="N2741" s="66" t="str">
        <f t="shared" si="298"/>
        <v/>
      </c>
      <c r="O2741" s="66" t="str">
        <f t="shared" si="299"/>
        <v/>
      </c>
      <c r="P2741" s="66" t="str">
        <f t="shared" si="300"/>
        <v/>
      </c>
    </row>
    <row r="2742" spans="8:16">
      <c r="H2742" s="66" t="e">
        <f>IF(LEFT(A2742,6)="CEPNTR","GPINS",VLOOKUP(LEFT(A2742,6),'Code Library'!$A$3:$B$920,2,0))&amp;"_"&amp;RIGHT(A2742,3)</f>
        <v>#N/A</v>
      </c>
      <c r="I2742" s="66">
        <f t="shared" si="294"/>
        <v>0</v>
      </c>
      <c r="K2742" s="66" t="str">
        <f t="shared" si="295"/>
        <v/>
      </c>
      <c r="L2742" s="66" t="str">
        <f t="shared" si="296"/>
        <v/>
      </c>
      <c r="M2742" s="66" t="str">
        <f t="shared" si="297"/>
        <v/>
      </c>
      <c r="N2742" s="66" t="str">
        <f t="shared" si="298"/>
        <v/>
      </c>
      <c r="O2742" s="66" t="str">
        <f t="shared" si="299"/>
        <v/>
      </c>
      <c r="P2742" s="66" t="str">
        <f t="shared" si="300"/>
        <v/>
      </c>
    </row>
    <row r="2743" spans="8:16">
      <c r="H2743" s="66" t="e">
        <f>IF(LEFT(A2743,6)="CEPNTR","GPINS",VLOOKUP(LEFT(A2743,6),'Code Library'!$A$3:$B$920,2,0))&amp;"_"&amp;RIGHT(A2743,3)</f>
        <v>#N/A</v>
      </c>
      <c r="I2743" s="66">
        <f t="shared" si="294"/>
        <v>0</v>
      </c>
      <c r="K2743" s="66" t="str">
        <f t="shared" si="295"/>
        <v/>
      </c>
      <c r="L2743" s="66" t="str">
        <f t="shared" si="296"/>
        <v/>
      </c>
      <c r="M2743" s="66" t="str">
        <f t="shared" si="297"/>
        <v/>
      </c>
      <c r="N2743" s="66" t="str">
        <f t="shared" si="298"/>
        <v/>
      </c>
      <c r="O2743" s="66" t="str">
        <f t="shared" si="299"/>
        <v/>
      </c>
      <c r="P2743" s="66" t="str">
        <f t="shared" si="300"/>
        <v/>
      </c>
    </row>
    <row r="2744" spans="8:16">
      <c r="H2744" s="66" t="e">
        <f>IF(LEFT(A2744,6)="CEPNTR","GPINS",VLOOKUP(LEFT(A2744,6),'Code Library'!$A$3:$B$920,2,0))&amp;"_"&amp;RIGHT(A2744,3)</f>
        <v>#N/A</v>
      </c>
      <c r="I2744" s="66">
        <f t="shared" si="294"/>
        <v>0</v>
      </c>
      <c r="K2744" s="66" t="str">
        <f t="shared" si="295"/>
        <v/>
      </c>
      <c r="L2744" s="66" t="str">
        <f t="shared" si="296"/>
        <v/>
      </c>
      <c r="M2744" s="66" t="str">
        <f t="shared" si="297"/>
        <v/>
      </c>
      <c r="N2744" s="66" t="str">
        <f t="shared" si="298"/>
        <v/>
      </c>
      <c r="O2744" s="66" t="str">
        <f t="shared" si="299"/>
        <v/>
      </c>
      <c r="P2744" s="66" t="str">
        <f t="shared" si="300"/>
        <v/>
      </c>
    </row>
    <row r="2745" spans="8:16">
      <c r="H2745" s="66" t="e">
        <f>IF(LEFT(A2745,6)="CEPNTR","GPINS",VLOOKUP(LEFT(A2745,6),'Code Library'!$A$3:$B$920,2,0))&amp;"_"&amp;RIGHT(A2745,3)</f>
        <v>#N/A</v>
      </c>
      <c r="I2745" s="66">
        <f t="shared" si="294"/>
        <v>0</v>
      </c>
      <c r="K2745" s="66" t="str">
        <f t="shared" si="295"/>
        <v/>
      </c>
      <c r="L2745" s="66" t="str">
        <f t="shared" si="296"/>
        <v/>
      </c>
      <c r="M2745" s="66" t="str">
        <f t="shared" si="297"/>
        <v/>
      </c>
      <c r="N2745" s="66" t="str">
        <f t="shared" si="298"/>
        <v/>
      </c>
      <c r="O2745" s="66" t="str">
        <f t="shared" si="299"/>
        <v/>
      </c>
      <c r="P2745" s="66" t="str">
        <f t="shared" si="300"/>
        <v/>
      </c>
    </row>
    <row r="2746" spans="8:16">
      <c r="H2746" s="66" t="e">
        <f>IF(LEFT(A2746,6)="CEPNTR","GPINS",VLOOKUP(LEFT(A2746,6),'Code Library'!$A$3:$B$920,2,0))&amp;"_"&amp;RIGHT(A2746,3)</f>
        <v>#N/A</v>
      </c>
      <c r="I2746" s="66">
        <f t="shared" si="294"/>
        <v>0</v>
      </c>
      <c r="K2746" s="66" t="str">
        <f t="shared" si="295"/>
        <v/>
      </c>
      <c r="L2746" s="66" t="str">
        <f t="shared" si="296"/>
        <v/>
      </c>
      <c r="M2746" s="66" t="str">
        <f t="shared" si="297"/>
        <v/>
      </c>
      <c r="N2746" s="66" t="str">
        <f t="shared" si="298"/>
        <v/>
      </c>
      <c r="O2746" s="66" t="str">
        <f t="shared" si="299"/>
        <v/>
      </c>
      <c r="P2746" s="66" t="str">
        <f t="shared" si="300"/>
        <v/>
      </c>
    </row>
    <row r="2747" spans="8:16">
      <c r="H2747" s="66" t="e">
        <f>IF(LEFT(A2747,6)="CEPNTR","GPINS",VLOOKUP(LEFT(A2747,6),'Code Library'!$A$3:$B$920,2,0))&amp;"_"&amp;RIGHT(A2747,3)</f>
        <v>#N/A</v>
      </c>
      <c r="I2747" s="66">
        <f t="shared" si="294"/>
        <v>0</v>
      </c>
      <c r="K2747" s="66" t="str">
        <f t="shared" si="295"/>
        <v/>
      </c>
      <c r="L2747" s="66" t="str">
        <f t="shared" si="296"/>
        <v/>
      </c>
      <c r="M2747" s="66" t="str">
        <f t="shared" si="297"/>
        <v/>
      </c>
      <c r="N2747" s="66" t="str">
        <f t="shared" si="298"/>
        <v/>
      </c>
      <c r="O2747" s="66" t="str">
        <f t="shared" si="299"/>
        <v/>
      </c>
      <c r="P2747" s="66" t="str">
        <f t="shared" si="300"/>
        <v/>
      </c>
    </row>
    <row r="2748" spans="8:16">
      <c r="H2748" s="66" t="e">
        <f>IF(LEFT(A2748,6)="CEPNTR","GPINS",VLOOKUP(LEFT(A2748,6),'Code Library'!$A$3:$B$920,2,0))&amp;"_"&amp;RIGHT(A2748,3)</f>
        <v>#N/A</v>
      </c>
      <c r="I2748" s="66">
        <f t="shared" si="294"/>
        <v>0</v>
      </c>
      <c r="K2748" s="66" t="str">
        <f t="shared" si="295"/>
        <v/>
      </c>
      <c r="L2748" s="66" t="str">
        <f t="shared" si="296"/>
        <v/>
      </c>
      <c r="M2748" s="66" t="str">
        <f t="shared" si="297"/>
        <v/>
      </c>
      <c r="N2748" s="66" t="str">
        <f t="shared" si="298"/>
        <v/>
      </c>
      <c r="O2748" s="66" t="str">
        <f t="shared" si="299"/>
        <v/>
      </c>
      <c r="P2748" s="66" t="str">
        <f t="shared" si="300"/>
        <v/>
      </c>
    </row>
    <row r="2749" spans="8:16">
      <c r="H2749" s="66" t="e">
        <f>IF(LEFT(A2749,6)="CEPNTR","GPINS",VLOOKUP(LEFT(A2749,6),'Code Library'!$A$3:$B$920,2,0))&amp;"_"&amp;RIGHT(A2749,3)</f>
        <v>#N/A</v>
      </c>
      <c r="I2749" s="66">
        <f t="shared" si="294"/>
        <v>0</v>
      </c>
      <c r="K2749" s="66" t="str">
        <f t="shared" si="295"/>
        <v/>
      </c>
      <c r="L2749" s="66" t="str">
        <f t="shared" si="296"/>
        <v/>
      </c>
      <c r="M2749" s="66" t="str">
        <f t="shared" si="297"/>
        <v/>
      </c>
      <c r="N2749" s="66" t="str">
        <f t="shared" si="298"/>
        <v/>
      </c>
      <c r="O2749" s="66" t="str">
        <f t="shared" si="299"/>
        <v/>
      </c>
      <c r="P2749" s="66" t="str">
        <f t="shared" si="300"/>
        <v/>
      </c>
    </row>
    <row r="2750" spans="8:16">
      <c r="H2750" s="66" t="e">
        <f>IF(LEFT(A2750,6)="CEPNTR","GPINS",VLOOKUP(LEFT(A2750,6),'Code Library'!$A$3:$B$920,2,0))&amp;"_"&amp;RIGHT(A2750,3)</f>
        <v>#N/A</v>
      </c>
      <c r="I2750" s="66">
        <f t="shared" si="294"/>
        <v>0</v>
      </c>
      <c r="K2750" s="66" t="str">
        <f t="shared" si="295"/>
        <v/>
      </c>
      <c r="L2750" s="66" t="str">
        <f t="shared" si="296"/>
        <v/>
      </c>
      <c r="M2750" s="66" t="str">
        <f t="shared" si="297"/>
        <v/>
      </c>
      <c r="N2750" s="66" t="str">
        <f t="shared" si="298"/>
        <v/>
      </c>
      <c r="O2750" s="66" t="str">
        <f t="shared" si="299"/>
        <v/>
      </c>
      <c r="P2750" s="66" t="str">
        <f t="shared" si="300"/>
        <v/>
      </c>
    </row>
    <row r="2751" spans="8:16">
      <c r="H2751" s="66" t="e">
        <f>IF(LEFT(A2751,6)="CEPNTR","GPINS",VLOOKUP(LEFT(A2751,6),'Code Library'!$A$3:$B$920,2,0))&amp;"_"&amp;RIGHT(A2751,3)</f>
        <v>#N/A</v>
      </c>
      <c r="I2751" s="66">
        <f t="shared" si="294"/>
        <v>0</v>
      </c>
      <c r="K2751" s="66" t="str">
        <f t="shared" si="295"/>
        <v/>
      </c>
      <c r="L2751" s="66" t="str">
        <f t="shared" si="296"/>
        <v/>
      </c>
      <c r="M2751" s="66" t="str">
        <f t="shared" si="297"/>
        <v/>
      </c>
      <c r="N2751" s="66" t="str">
        <f t="shared" si="298"/>
        <v/>
      </c>
      <c r="O2751" s="66" t="str">
        <f t="shared" si="299"/>
        <v/>
      </c>
      <c r="P2751" s="66" t="str">
        <f t="shared" si="300"/>
        <v/>
      </c>
    </row>
    <row r="2752" spans="8:16">
      <c r="H2752" s="66" t="e">
        <f>IF(LEFT(A2752,6)="CEPNTR","GPINS",VLOOKUP(LEFT(A2752,6),'Code Library'!$A$3:$B$920,2,0))&amp;"_"&amp;RIGHT(A2752,3)</f>
        <v>#N/A</v>
      </c>
      <c r="I2752" s="66">
        <f t="shared" si="294"/>
        <v>0</v>
      </c>
      <c r="K2752" s="66" t="str">
        <f t="shared" si="295"/>
        <v/>
      </c>
      <c r="L2752" s="66" t="str">
        <f t="shared" si="296"/>
        <v/>
      </c>
      <c r="M2752" s="66" t="str">
        <f t="shared" si="297"/>
        <v/>
      </c>
      <c r="N2752" s="66" t="str">
        <f t="shared" si="298"/>
        <v/>
      </c>
      <c r="O2752" s="66" t="str">
        <f t="shared" si="299"/>
        <v/>
      </c>
      <c r="P2752" s="66" t="str">
        <f t="shared" si="300"/>
        <v/>
      </c>
    </row>
    <row r="2753" spans="8:16">
      <c r="H2753" s="66" t="e">
        <f>IF(LEFT(A2753,6)="CEPNTR","GPINS",VLOOKUP(LEFT(A2753,6),'Code Library'!$A$3:$B$920,2,0))&amp;"_"&amp;RIGHT(A2753,3)</f>
        <v>#N/A</v>
      </c>
      <c r="I2753" s="66">
        <f t="shared" si="294"/>
        <v>0</v>
      </c>
      <c r="K2753" s="66" t="str">
        <f t="shared" si="295"/>
        <v/>
      </c>
      <c r="L2753" s="66" t="str">
        <f t="shared" si="296"/>
        <v/>
      </c>
      <c r="M2753" s="66" t="str">
        <f t="shared" si="297"/>
        <v/>
      </c>
      <c r="N2753" s="66" t="str">
        <f t="shared" si="298"/>
        <v/>
      </c>
      <c r="O2753" s="66" t="str">
        <f t="shared" si="299"/>
        <v/>
      </c>
      <c r="P2753" s="66" t="str">
        <f t="shared" si="300"/>
        <v/>
      </c>
    </row>
    <row r="2754" spans="8:16">
      <c r="H2754" s="66" t="e">
        <f>IF(LEFT(A2754,6)="CEPNTR","GPINS",VLOOKUP(LEFT(A2754,6),'Code Library'!$A$3:$B$920,2,0))&amp;"_"&amp;RIGHT(A2754,3)</f>
        <v>#N/A</v>
      </c>
      <c r="I2754" s="66">
        <f t="shared" si="294"/>
        <v>0</v>
      </c>
      <c r="K2754" s="66" t="str">
        <f t="shared" si="295"/>
        <v/>
      </c>
      <c r="L2754" s="66" t="str">
        <f t="shared" si="296"/>
        <v/>
      </c>
      <c r="M2754" s="66" t="str">
        <f t="shared" si="297"/>
        <v/>
      </c>
      <c r="N2754" s="66" t="str">
        <f t="shared" si="298"/>
        <v/>
      </c>
      <c r="O2754" s="66" t="str">
        <f t="shared" si="299"/>
        <v/>
      </c>
      <c r="P2754" s="66" t="str">
        <f t="shared" si="300"/>
        <v/>
      </c>
    </row>
    <row r="2755" spans="8:16">
      <c r="H2755" s="66" t="e">
        <f>IF(LEFT(A2755,6)="CEPNTR","GPINS",VLOOKUP(LEFT(A2755,6),'Code Library'!$A$3:$B$920,2,0))&amp;"_"&amp;RIGHT(A2755,3)</f>
        <v>#N/A</v>
      </c>
      <c r="I2755" s="66">
        <f t="shared" ref="I2755:I2818" si="301">A2755</f>
        <v>0</v>
      </c>
      <c r="K2755" s="66" t="str">
        <f t="shared" ref="K2755:K2818" si="302">RIGHT($B2755,2)</f>
        <v/>
      </c>
      <c r="L2755" s="66" t="str">
        <f t="shared" ref="L2755:L2818" si="303">LEFT(RIGHT($B2755,7),4)</f>
        <v/>
      </c>
      <c r="M2755" s="66" t="str">
        <f t="shared" ref="M2755:M2818" si="304">LEFT(RIGHT($B2755,10),2)</f>
        <v/>
      </c>
      <c r="N2755" s="66" t="str">
        <f t="shared" ref="N2755:N2818" si="305">LEFT(RIGHT($B2755,14),3)</f>
        <v/>
      </c>
      <c r="O2755" s="66" t="str">
        <f t="shared" ref="O2755:O2818" si="306">LEFT(RIGHT($B2755,16),1)</f>
        <v/>
      </c>
      <c r="P2755" s="66" t="str">
        <f t="shared" ref="P2755:P2818" si="307">LEFT(RIGHT($B2755,19),2)</f>
        <v/>
      </c>
    </row>
    <row r="2756" spans="8:16">
      <c r="H2756" s="66" t="e">
        <f>IF(LEFT(A2756,6)="CEPNTR","GPINS",VLOOKUP(LEFT(A2756,6),'Code Library'!$A$3:$B$920,2,0))&amp;"_"&amp;RIGHT(A2756,3)</f>
        <v>#N/A</v>
      </c>
      <c r="I2756" s="66">
        <f t="shared" si="301"/>
        <v>0</v>
      </c>
      <c r="K2756" s="66" t="str">
        <f t="shared" si="302"/>
        <v/>
      </c>
      <c r="L2756" s="66" t="str">
        <f t="shared" si="303"/>
        <v/>
      </c>
      <c r="M2756" s="66" t="str">
        <f t="shared" si="304"/>
        <v/>
      </c>
      <c r="N2756" s="66" t="str">
        <f t="shared" si="305"/>
        <v/>
      </c>
      <c r="O2756" s="66" t="str">
        <f t="shared" si="306"/>
        <v/>
      </c>
      <c r="P2756" s="66" t="str">
        <f t="shared" si="307"/>
        <v/>
      </c>
    </row>
    <row r="2757" spans="8:16">
      <c r="H2757" s="66" t="e">
        <f>IF(LEFT(A2757,6)="CEPNTR","GPINS",VLOOKUP(LEFT(A2757,6),'Code Library'!$A$3:$B$920,2,0))&amp;"_"&amp;RIGHT(A2757,3)</f>
        <v>#N/A</v>
      </c>
      <c r="I2757" s="66">
        <f t="shared" si="301"/>
        <v>0</v>
      </c>
      <c r="K2757" s="66" t="str">
        <f t="shared" si="302"/>
        <v/>
      </c>
      <c r="L2757" s="66" t="str">
        <f t="shared" si="303"/>
        <v/>
      </c>
      <c r="M2757" s="66" t="str">
        <f t="shared" si="304"/>
        <v/>
      </c>
      <c r="N2757" s="66" t="str">
        <f t="shared" si="305"/>
        <v/>
      </c>
      <c r="O2757" s="66" t="str">
        <f t="shared" si="306"/>
        <v/>
      </c>
      <c r="P2757" s="66" t="str">
        <f t="shared" si="307"/>
        <v/>
      </c>
    </row>
    <row r="2758" spans="8:16">
      <c r="H2758" s="66" t="e">
        <f>IF(LEFT(A2758,6)="CEPNTR","GPINS",VLOOKUP(LEFT(A2758,6),'Code Library'!$A$3:$B$920,2,0))&amp;"_"&amp;RIGHT(A2758,3)</f>
        <v>#N/A</v>
      </c>
      <c r="I2758" s="66">
        <f t="shared" si="301"/>
        <v>0</v>
      </c>
      <c r="K2758" s="66" t="str">
        <f t="shared" si="302"/>
        <v/>
      </c>
      <c r="L2758" s="66" t="str">
        <f t="shared" si="303"/>
        <v/>
      </c>
      <c r="M2758" s="66" t="str">
        <f t="shared" si="304"/>
        <v/>
      </c>
      <c r="N2758" s="66" t="str">
        <f t="shared" si="305"/>
        <v/>
      </c>
      <c r="O2758" s="66" t="str">
        <f t="shared" si="306"/>
        <v/>
      </c>
      <c r="P2758" s="66" t="str">
        <f t="shared" si="307"/>
        <v/>
      </c>
    </row>
    <row r="2759" spans="8:16">
      <c r="H2759" s="66" t="e">
        <f>IF(LEFT(A2759,6)="CEPNTR","GPINS",VLOOKUP(LEFT(A2759,6),'Code Library'!$A$3:$B$920,2,0))&amp;"_"&amp;RIGHT(A2759,3)</f>
        <v>#N/A</v>
      </c>
      <c r="I2759" s="66">
        <f t="shared" si="301"/>
        <v>0</v>
      </c>
      <c r="K2759" s="66" t="str">
        <f t="shared" si="302"/>
        <v/>
      </c>
      <c r="L2759" s="66" t="str">
        <f t="shared" si="303"/>
        <v/>
      </c>
      <c r="M2759" s="66" t="str">
        <f t="shared" si="304"/>
        <v/>
      </c>
      <c r="N2759" s="66" t="str">
        <f t="shared" si="305"/>
        <v/>
      </c>
      <c r="O2759" s="66" t="str">
        <f t="shared" si="306"/>
        <v/>
      </c>
      <c r="P2759" s="66" t="str">
        <f t="shared" si="307"/>
        <v/>
      </c>
    </row>
    <row r="2760" spans="8:16">
      <c r="H2760" s="66" t="e">
        <f>IF(LEFT(A2760,6)="CEPNTR","GPINS",VLOOKUP(LEFT(A2760,6),'Code Library'!$A$3:$B$920,2,0))&amp;"_"&amp;RIGHT(A2760,3)</f>
        <v>#N/A</v>
      </c>
      <c r="I2760" s="66">
        <f t="shared" si="301"/>
        <v>0</v>
      </c>
      <c r="K2760" s="66" t="str">
        <f t="shared" si="302"/>
        <v/>
      </c>
      <c r="L2760" s="66" t="str">
        <f t="shared" si="303"/>
        <v/>
      </c>
      <c r="M2760" s="66" t="str">
        <f t="shared" si="304"/>
        <v/>
      </c>
      <c r="N2760" s="66" t="str">
        <f t="shared" si="305"/>
        <v/>
      </c>
      <c r="O2760" s="66" t="str">
        <f t="shared" si="306"/>
        <v/>
      </c>
      <c r="P2760" s="66" t="str">
        <f t="shared" si="307"/>
        <v/>
      </c>
    </row>
    <row r="2761" spans="8:16">
      <c r="H2761" s="66" t="e">
        <f>IF(LEFT(A2761,6)="CEPNTR","GPINS",VLOOKUP(LEFT(A2761,6),'Code Library'!$A$3:$B$920,2,0))&amp;"_"&amp;RIGHT(A2761,3)</f>
        <v>#N/A</v>
      </c>
      <c r="I2761" s="66">
        <f t="shared" si="301"/>
        <v>0</v>
      </c>
      <c r="K2761" s="66" t="str">
        <f t="shared" si="302"/>
        <v/>
      </c>
      <c r="L2761" s="66" t="str">
        <f t="shared" si="303"/>
        <v/>
      </c>
      <c r="M2761" s="66" t="str">
        <f t="shared" si="304"/>
        <v/>
      </c>
      <c r="N2761" s="66" t="str">
        <f t="shared" si="305"/>
        <v/>
      </c>
      <c r="O2761" s="66" t="str">
        <f t="shared" si="306"/>
        <v/>
      </c>
      <c r="P2761" s="66" t="str">
        <f t="shared" si="307"/>
        <v/>
      </c>
    </row>
    <row r="2762" spans="8:16">
      <c r="H2762" s="66" t="e">
        <f>IF(LEFT(A2762,6)="CEPNTR","GPINS",VLOOKUP(LEFT(A2762,6),'Code Library'!$A$3:$B$920,2,0))&amp;"_"&amp;RIGHT(A2762,3)</f>
        <v>#N/A</v>
      </c>
      <c r="I2762" s="66">
        <f t="shared" si="301"/>
        <v>0</v>
      </c>
      <c r="K2762" s="66" t="str">
        <f t="shared" si="302"/>
        <v/>
      </c>
      <c r="L2762" s="66" t="str">
        <f t="shared" si="303"/>
        <v/>
      </c>
      <c r="M2762" s="66" t="str">
        <f t="shared" si="304"/>
        <v/>
      </c>
      <c r="N2762" s="66" t="str">
        <f t="shared" si="305"/>
        <v/>
      </c>
      <c r="O2762" s="66" t="str">
        <f t="shared" si="306"/>
        <v/>
      </c>
      <c r="P2762" s="66" t="str">
        <f t="shared" si="307"/>
        <v/>
      </c>
    </row>
    <row r="2763" spans="8:16">
      <c r="H2763" s="66" t="e">
        <f>IF(LEFT(A2763,6)="CEPNTR","GPINS",VLOOKUP(LEFT(A2763,6),'Code Library'!$A$3:$B$920,2,0))&amp;"_"&amp;RIGHT(A2763,3)</f>
        <v>#N/A</v>
      </c>
      <c r="I2763" s="66">
        <f t="shared" si="301"/>
        <v>0</v>
      </c>
      <c r="K2763" s="66" t="str">
        <f t="shared" si="302"/>
        <v/>
      </c>
      <c r="L2763" s="66" t="str">
        <f t="shared" si="303"/>
        <v/>
      </c>
      <c r="M2763" s="66" t="str">
        <f t="shared" si="304"/>
        <v/>
      </c>
      <c r="N2763" s="66" t="str">
        <f t="shared" si="305"/>
        <v/>
      </c>
      <c r="O2763" s="66" t="str">
        <f t="shared" si="306"/>
        <v/>
      </c>
      <c r="P2763" s="66" t="str">
        <f t="shared" si="307"/>
        <v/>
      </c>
    </row>
    <row r="2764" spans="8:16">
      <c r="H2764" s="66" t="e">
        <f>IF(LEFT(A2764,6)="CEPNTR","GPINS",VLOOKUP(LEFT(A2764,6),'Code Library'!$A$3:$B$920,2,0))&amp;"_"&amp;RIGHT(A2764,3)</f>
        <v>#N/A</v>
      </c>
      <c r="I2764" s="66">
        <f t="shared" si="301"/>
        <v>0</v>
      </c>
      <c r="K2764" s="66" t="str">
        <f t="shared" si="302"/>
        <v/>
      </c>
      <c r="L2764" s="66" t="str">
        <f t="shared" si="303"/>
        <v/>
      </c>
      <c r="M2764" s="66" t="str">
        <f t="shared" si="304"/>
        <v/>
      </c>
      <c r="N2764" s="66" t="str">
        <f t="shared" si="305"/>
        <v/>
      </c>
      <c r="O2764" s="66" t="str">
        <f t="shared" si="306"/>
        <v/>
      </c>
      <c r="P2764" s="66" t="str">
        <f t="shared" si="307"/>
        <v/>
      </c>
    </row>
    <row r="2765" spans="8:16">
      <c r="H2765" s="66" t="e">
        <f>IF(LEFT(A2765,6)="CEPNTR","GPINS",VLOOKUP(LEFT(A2765,6),'Code Library'!$A$3:$B$920,2,0))&amp;"_"&amp;RIGHT(A2765,3)</f>
        <v>#N/A</v>
      </c>
      <c r="I2765" s="66">
        <f t="shared" si="301"/>
        <v>0</v>
      </c>
      <c r="K2765" s="66" t="str">
        <f t="shared" si="302"/>
        <v/>
      </c>
      <c r="L2765" s="66" t="str">
        <f t="shared" si="303"/>
        <v/>
      </c>
      <c r="M2765" s="66" t="str">
        <f t="shared" si="304"/>
        <v/>
      </c>
      <c r="N2765" s="66" t="str">
        <f t="shared" si="305"/>
        <v/>
      </c>
      <c r="O2765" s="66" t="str">
        <f t="shared" si="306"/>
        <v/>
      </c>
      <c r="P2765" s="66" t="str">
        <f t="shared" si="307"/>
        <v/>
      </c>
    </row>
    <row r="2766" spans="8:16">
      <c r="H2766" s="66" t="e">
        <f>IF(LEFT(A2766,6)="CEPNTR","GPINS",VLOOKUP(LEFT(A2766,6),'Code Library'!$A$3:$B$920,2,0))&amp;"_"&amp;RIGHT(A2766,3)</f>
        <v>#N/A</v>
      </c>
      <c r="I2766" s="66">
        <f t="shared" si="301"/>
        <v>0</v>
      </c>
      <c r="K2766" s="66" t="str">
        <f t="shared" si="302"/>
        <v/>
      </c>
      <c r="L2766" s="66" t="str">
        <f t="shared" si="303"/>
        <v/>
      </c>
      <c r="M2766" s="66" t="str">
        <f t="shared" si="304"/>
        <v/>
      </c>
      <c r="N2766" s="66" t="str">
        <f t="shared" si="305"/>
        <v/>
      </c>
      <c r="O2766" s="66" t="str">
        <f t="shared" si="306"/>
        <v/>
      </c>
      <c r="P2766" s="66" t="str">
        <f t="shared" si="307"/>
        <v/>
      </c>
    </row>
    <row r="2767" spans="8:16">
      <c r="H2767" s="66" t="e">
        <f>IF(LEFT(A2767,6)="CEPNTR","GPINS",VLOOKUP(LEFT(A2767,6),'Code Library'!$A$3:$B$920,2,0))&amp;"_"&amp;RIGHT(A2767,3)</f>
        <v>#N/A</v>
      </c>
      <c r="I2767" s="66">
        <f t="shared" si="301"/>
        <v>0</v>
      </c>
      <c r="K2767" s="66" t="str">
        <f t="shared" si="302"/>
        <v/>
      </c>
      <c r="L2767" s="66" t="str">
        <f t="shared" si="303"/>
        <v/>
      </c>
      <c r="M2767" s="66" t="str">
        <f t="shared" si="304"/>
        <v/>
      </c>
      <c r="N2767" s="66" t="str">
        <f t="shared" si="305"/>
        <v/>
      </c>
      <c r="O2767" s="66" t="str">
        <f t="shared" si="306"/>
        <v/>
      </c>
      <c r="P2767" s="66" t="str">
        <f t="shared" si="307"/>
        <v/>
      </c>
    </row>
    <row r="2768" spans="8:16">
      <c r="H2768" s="66" t="e">
        <f>IF(LEFT(A2768,6)="CEPNTR","GPINS",VLOOKUP(LEFT(A2768,6),'Code Library'!$A$3:$B$920,2,0))&amp;"_"&amp;RIGHT(A2768,3)</f>
        <v>#N/A</v>
      </c>
      <c r="I2768" s="66">
        <f t="shared" si="301"/>
        <v>0</v>
      </c>
      <c r="K2768" s="66" t="str">
        <f t="shared" si="302"/>
        <v/>
      </c>
      <c r="L2768" s="66" t="str">
        <f t="shared" si="303"/>
        <v/>
      </c>
      <c r="M2768" s="66" t="str">
        <f t="shared" si="304"/>
        <v/>
      </c>
      <c r="N2768" s="66" t="str">
        <f t="shared" si="305"/>
        <v/>
      </c>
      <c r="O2768" s="66" t="str">
        <f t="shared" si="306"/>
        <v/>
      </c>
      <c r="P2768" s="66" t="str">
        <f t="shared" si="307"/>
        <v/>
      </c>
    </row>
    <row r="2769" spans="8:16">
      <c r="H2769" s="66" t="e">
        <f>IF(LEFT(A2769,6)="CEPNTR","GPINS",VLOOKUP(LEFT(A2769,6),'Code Library'!$A$3:$B$920,2,0))&amp;"_"&amp;RIGHT(A2769,3)</f>
        <v>#N/A</v>
      </c>
      <c r="I2769" s="66">
        <f t="shared" si="301"/>
        <v>0</v>
      </c>
      <c r="K2769" s="66" t="str">
        <f t="shared" si="302"/>
        <v/>
      </c>
      <c r="L2769" s="66" t="str">
        <f t="shared" si="303"/>
        <v/>
      </c>
      <c r="M2769" s="66" t="str">
        <f t="shared" si="304"/>
        <v/>
      </c>
      <c r="N2769" s="66" t="str">
        <f t="shared" si="305"/>
        <v/>
      </c>
      <c r="O2769" s="66" t="str">
        <f t="shared" si="306"/>
        <v/>
      </c>
      <c r="P2769" s="66" t="str">
        <f t="shared" si="307"/>
        <v/>
      </c>
    </row>
    <row r="2770" spans="8:16">
      <c r="H2770" s="66" t="e">
        <f>IF(LEFT(A2770,6)="CEPNTR","GPINS",VLOOKUP(LEFT(A2770,6),'Code Library'!$A$3:$B$920,2,0))&amp;"_"&amp;RIGHT(A2770,3)</f>
        <v>#N/A</v>
      </c>
      <c r="I2770" s="66">
        <f t="shared" si="301"/>
        <v>0</v>
      </c>
      <c r="K2770" s="66" t="str">
        <f t="shared" si="302"/>
        <v/>
      </c>
      <c r="L2770" s="66" t="str">
        <f t="shared" si="303"/>
        <v/>
      </c>
      <c r="M2770" s="66" t="str">
        <f t="shared" si="304"/>
        <v/>
      </c>
      <c r="N2770" s="66" t="str">
        <f t="shared" si="305"/>
        <v/>
      </c>
      <c r="O2770" s="66" t="str">
        <f t="shared" si="306"/>
        <v/>
      </c>
      <c r="P2770" s="66" t="str">
        <f t="shared" si="307"/>
        <v/>
      </c>
    </row>
    <row r="2771" spans="8:16">
      <c r="H2771" s="66" t="e">
        <f>IF(LEFT(A2771,6)="CEPNTR","GPINS",VLOOKUP(LEFT(A2771,6),'Code Library'!$A$3:$B$920,2,0))&amp;"_"&amp;RIGHT(A2771,3)</f>
        <v>#N/A</v>
      </c>
      <c r="I2771" s="66">
        <f t="shared" si="301"/>
        <v>0</v>
      </c>
      <c r="K2771" s="66" t="str">
        <f t="shared" si="302"/>
        <v/>
      </c>
      <c r="L2771" s="66" t="str">
        <f t="shared" si="303"/>
        <v/>
      </c>
      <c r="M2771" s="66" t="str">
        <f t="shared" si="304"/>
        <v/>
      </c>
      <c r="N2771" s="66" t="str">
        <f t="shared" si="305"/>
        <v/>
      </c>
      <c r="O2771" s="66" t="str">
        <f t="shared" si="306"/>
        <v/>
      </c>
      <c r="P2771" s="66" t="str">
        <f t="shared" si="307"/>
        <v/>
      </c>
    </row>
    <row r="2772" spans="8:16">
      <c r="H2772" s="66" t="e">
        <f>IF(LEFT(A2772,6)="CEPNTR","GPINS",VLOOKUP(LEFT(A2772,6),'Code Library'!$A$3:$B$920,2,0))&amp;"_"&amp;RIGHT(A2772,3)</f>
        <v>#N/A</v>
      </c>
      <c r="I2772" s="66">
        <f t="shared" si="301"/>
        <v>0</v>
      </c>
      <c r="K2772" s="66" t="str">
        <f t="shared" si="302"/>
        <v/>
      </c>
      <c r="L2772" s="66" t="str">
        <f t="shared" si="303"/>
        <v/>
      </c>
      <c r="M2772" s="66" t="str">
        <f t="shared" si="304"/>
        <v/>
      </c>
      <c r="N2772" s="66" t="str">
        <f t="shared" si="305"/>
        <v/>
      </c>
      <c r="O2772" s="66" t="str">
        <f t="shared" si="306"/>
        <v/>
      </c>
      <c r="P2772" s="66" t="str">
        <f t="shared" si="307"/>
        <v/>
      </c>
    </row>
    <row r="2773" spans="8:16">
      <c r="H2773" s="66" t="e">
        <f>IF(LEFT(A2773,6)="CEPNTR","GPINS",VLOOKUP(LEFT(A2773,6),'Code Library'!$A$3:$B$920,2,0))&amp;"_"&amp;RIGHT(A2773,3)</f>
        <v>#N/A</v>
      </c>
      <c r="I2773" s="66">
        <f t="shared" si="301"/>
        <v>0</v>
      </c>
      <c r="K2773" s="66" t="str">
        <f t="shared" si="302"/>
        <v/>
      </c>
      <c r="L2773" s="66" t="str">
        <f t="shared" si="303"/>
        <v/>
      </c>
      <c r="M2773" s="66" t="str">
        <f t="shared" si="304"/>
        <v/>
      </c>
      <c r="N2773" s="66" t="str">
        <f t="shared" si="305"/>
        <v/>
      </c>
      <c r="O2773" s="66" t="str">
        <f t="shared" si="306"/>
        <v/>
      </c>
      <c r="P2773" s="66" t="str">
        <f t="shared" si="307"/>
        <v/>
      </c>
    </row>
    <row r="2774" spans="8:16">
      <c r="H2774" s="66" t="e">
        <f>IF(LEFT(A2774,6)="CEPNTR","GPINS",VLOOKUP(LEFT(A2774,6),'Code Library'!$A$3:$B$920,2,0))&amp;"_"&amp;RIGHT(A2774,3)</f>
        <v>#N/A</v>
      </c>
      <c r="I2774" s="66">
        <f t="shared" si="301"/>
        <v>0</v>
      </c>
      <c r="K2774" s="66" t="str">
        <f t="shared" si="302"/>
        <v/>
      </c>
      <c r="L2774" s="66" t="str">
        <f t="shared" si="303"/>
        <v/>
      </c>
      <c r="M2774" s="66" t="str">
        <f t="shared" si="304"/>
        <v/>
      </c>
      <c r="N2774" s="66" t="str">
        <f t="shared" si="305"/>
        <v/>
      </c>
      <c r="O2774" s="66" t="str">
        <f t="shared" si="306"/>
        <v/>
      </c>
      <c r="P2774" s="66" t="str">
        <f t="shared" si="307"/>
        <v/>
      </c>
    </row>
    <row r="2775" spans="8:16">
      <c r="H2775" s="66" t="e">
        <f>IF(LEFT(A2775,6)="CEPNTR","GPINS",VLOOKUP(LEFT(A2775,6),'Code Library'!$A$3:$B$920,2,0))&amp;"_"&amp;RIGHT(A2775,3)</f>
        <v>#N/A</v>
      </c>
      <c r="I2775" s="66">
        <f t="shared" si="301"/>
        <v>0</v>
      </c>
      <c r="K2775" s="66" t="str">
        <f t="shared" si="302"/>
        <v/>
      </c>
      <c r="L2775" s="66" t="str">
        <f t="shared" si="303"/>
        <v/>
      </c>
      <c r="M2775" s="66" t="str">
        <f t="shared" si="304"/>
        <v/>
      </c>
      <c r="N2775" s="66" t="str">
        <f t="shared" si="305"/>
        <v/>
      </c>
      <c r="O2775" s="66" t="str">
        <f t="shared" si="306"/>
        <v/>
      </c>
      <c r="P2775" s="66" t="str">
        <f t="shared" si="307"/>
        <v/>
      </c>
    </row>
    <row r="2776" spans="8:16">
      <c r="H2776" s="66" t="e">
        <f>IF(LEFT(A2776,6)="CEPNTR","GPINS",VLOOKUP(LEFT(A2776,6),'Code Library'!$A$3:$B$920,2,0))&amp;"_"&amp;RIGHT(A2776,3)</f>
        <v>#N/A</v>
      </c>
      <c r="I2776" s="66">
        <f t="shared" si="301"/>
        <v>0</v>
      </c>
      <c r="K2776" s="66" t="str">
        <f t="shared" si="302"/>
        <v/>
      </c>
      <c r="L2776" s="66" t="str">
        <f t="shared" si="303"/>
        <v/>
      </c>
      <c r="M2776" s="66" t="str">
        <f t="shared" si="304"/>
        <v/>
      </c>
      <c r="N2776" s="66" t="str">
        <f t="shared" si="305"/>
        <v/>
      </c>
      <c r="O2776" s="66" t="str">
        <f t="shared" si="306"/>
        <v/>
      </c>
      <c r="P2776" s="66" t="str">
        <f t="shared" si="307"/>
        <v/>
      </c>
    </row>
    <row r="2777" spans="8:16">
      <c r="H2777" s="66" t="e">
        <f>IF(LEFT(A2777,6)="CEPNTR","GPINS",VLOOKUP(LEFT(A2777,6),'Code Library'!$A$3:$B$920,2,0))&amp;"_"&amp;RIGHT(A2777,3)</f>
        <v>#N/A</v>
      </c>
      <c r="I2777" s="66">
        <f t="shared" si="301"/>
        <v>0</v>
      </c>
      <c r="K2777" s="66" t="str">
        <f t="shared" si="302"/>
        <v/>
      </c>
      <c r="L2777" s="66" t="str">
        <f t="shared" si="303"/>
        <v/>
      </c>
      <c r="M2777" s="66" t="str">
        <f t="shared" si="304"/>
        <v/>
      </c>
      <c r="N2777" s="66" t="str">
        <f t="shared" si="305"/>
        <v/>
      </c>
      <c r="O2777" s="66" t="str">
        <f t="shared" si="306"/>
        <v/>
      </c>
      <c r="P2777" s="66" t="str">
        <f t="shared" si="307"/>
        <v/>
      </c>
    </row>
    <row r="2778" spans="8:16">
      <c r="H2778" s="66" t="e">
        <f>IF(LEFT(A2778,6)="CEPNTR","GPINS",VLOOKUP(LEFT(A2778,6),'Code Library'!$A$3:$B$920,2,0))&amp;"_"&amp;RIGHT(A2778,3)</f>
        <v>#N/A</v>
      </c>
      <c r="I2778" s="66">
        <f t="shared" si="301"/>
        <v>0</v>
      </c>
      <c r="K2778" s="66" t="str">
        <f t="shared" si="302"/>
        <v/>
      </c>
      <c r="L2778" s="66" t="str">
        <f t="shared" si="303"/>
        <v/>
      </c>
      <c r="M2778" s="66" t="str">
        <f t="shared" si="304"/>
        <v/>
      </c>
      <c r="N2778" s="66" t="str">
        <f t="shared" si="305"/>
        <v/>
      </c>
      <c r="O2778" s="66" t="str">
        <f t="shared" si="306"/>
        <v/>
      </c>
      <c r="P2778" s="66" t="str">
        <f t="shared" si="307"/>
        <v/>
      </c>
    </row>
    <row r="2779" spans="8:16">
      <c r="H2779" s="66" t="e">
        <f>IF(LEFT(A2779,6)="CEPNTR","GPINS",VLOOKUP(LEFT(A2779,6),'Code Library'!$A$3:$B$920,2,0))&amp;"_"&amp;RIGHT(A2779,3)</f>
        <v>#N/A</v>
      </c>
      <c r="I2779" s="66">
        <f t="shared" si="301"/>
        <v>0</v>
      </c>
      <c r="K2779" s="66" t="str">
        <f t="shared" si="302"/>
        <v/>
      </c>
      <c r="L2779" s="66" t="str">
        <f t="shared" si="303"/>
        <v/>
      </c>
      <c r="M2779" s="66" t="str">
        <f t="shared" si="304"/>
        <v/>
      </c>
      <c r="N2779" s="66" t="str">
        <f t="shared" si="305"/>
        <v/>
      </c>
      <c r="O2779" s="66" t="str">
        <f t="shared" si="306"/>
        <v/>
      </c>
      <c r="P2779" s="66" t="str">
        <f t="shared" si="307"/>
        <v/>
      </c>
    </row>
    <row r="2780" spans="8:16">
      <c r="H2780" s="66" t="e">
        <f>IF(LEFT(A2780,6)="CEPNTR","GPINS",VLOOKUP(LEFT(A2780,6),'Code Library'!$A$3:$B$920,2,0))&amp;"_"&amp;RIGHT(A2780,3)</f>
        <v>#N/A</v>
      </c>
      <c r="I2780" s="66">
        <f t="shared" si="301"/>
        <v>0</v>
      </c>
      <c r="K2780" s="66" t="str">
        <f t="shared" si="302"/>
        <v/>
      </c>
      <c r="L2780" s="66" t="str">
        <f t="shared" si="303"/>
        <v/>
      </c>
      <c r="M2780" s="66" t="str">
        <f t="shared" si="304"/>
        <v/>
      </c>
      <c r="N2780" s="66" t="str">
        <f t="shared" si="305"/>
        <v/>
      </c>
      <c r="O2780" s="66" t="str">
        <f t="shared" si="306"/>
        <v/>
      </c>
      <c r="P2780" s="66" t="str">
        <f t="shared" si="307"/>
        <v/>
      </c>
    </row>
    <row r="2781" spans="8:16">
      <c r="H2781" s="66" t="e">
        <f>IF(LEFT(A2781,6)="CEPNTR","GPINS",VLOOKUP(LEFT(A2781,6),'Code Library'!$A$3:$B$920,2,0))&amp;"_"&amp;RIGHT(A2781,3)</f>
        <v>#N/A</v>
      </c>
      <c r="I2781" s="66">
        <f t="shared" si="301"/>
        <v>0</v>
      </c>
      <c r="K2781" s="66" t="str">
        <f t="shared" si="302"/>
        <v/>
      </c>
      <c r="L2781" s="66" t="str">
        <f t="shared" si="303"/>
        <v/>
      </c>
      <c r="M2781" s="66" t="str">
        <f t="shared" si="304"/>
        <v/>
      </c>
      <c r="N2781" s="66" t="str">
        <f t="shared" si="305"/>
        <v/>
      </c>
      <c r="O2781" s="66" t="str">
        <f t="shared" si="306"/>
        <v/>
      </c>
      <c r="P2781" s="66" t="str">
        <f t="shared" si="307"/>
        <v/>
      </c>
    </row>
    <row r="2782" spans="8:16">
      <c r="H2782" s="66" t="e">
        <f>IF(LEFT(A2782,6)="CEPNTR","GPINS",VLOOKUP(LEFT(A2782,6),'Code Library'!$A$3:$B$920,2,0))&amp;"_"&amp;RIGHT(A2782,3)</f>
        <v>#N/A</v>
      </c>
      <c r="I2782" s="66">
        <f t="shared" si="301"/>
        <v>0</v>
      </c>
      <c r="K2782" s="66" t="str">
        <f t="shared" si="302"/>
        <v/>
      </c>
      <c r="L2782" s="66" t="str">
        <f t="shared" si="303"/>
        <v/>
      </c>
      <c r="M2782" s="66" t="str">
        <f t="shared" si="304"/>
        <v/>
      </c>
      <c r="N2782" s="66" t="str">
        <f t="shared" si="305"/>
        <v/>
      </c>
      <c r="O2782" s="66" t="str">
        <f t="shared" si="306"/>
        <v/>
      </c>
      <c r="P2782" s="66" t="str">
        <f t="shared" si="307"/>
        <v/>
      </c>
    </row>
    <row r="2783" spans="8:16">
      <c r="H2783" s="66" t="e">
        <f>IF(LEFT(A2783,6)="CEPNTR","GPINS",VLOOKUP(LEFT(A2783,6),'Code Library'!$A$3:$B$920,2,0))&amp;"_"&amp;RIGHT(A2783,3)</f>
        <v>#N/A</v>
      </c>
      <c r="I2783" s="66">
        <f t="shared" si="301"/>
        <v>0</v>
      </c>
      <c r="K2783" s="66" t="str">
        <f t="shared" si="302"/>
        <v/>
      </c>
      <c r="L2783" s="66" t="str">
        <f t="shared" si="303"/>
        <v/>
      </c>
      <c r="M2783" s="66" t="str">
        <f t="shared" si="304"/>
        <v/>
      </c>
      <c r="N2783" s="66" t="str">
        <f t="shared" si="305"/>
        <v/>
      </c>
      <c r="O2783" s="66" t="str">
        <f t="shared" si="306"/>
        <v/>
      </c>
      <c r="P2783" s="66" t="str">
        <f t="shared" si="307"/>
        <v/>
      </c>
    </row>
    <row r="2784" spans="8:16">
      <c r="H2784" s="66" t="e">
        <f>IF(LEFT(A2784,6)="CEPNTR","GPINS",VLOOKUP(LEFT(A2784,6),'Code Library'!$A$3:$B$920,2,0))&amp;"_"&amp;RIGHT(A2784,3)</f>
        <v>#N/A</v>
      </c>
      <c r="I2784" s="66">
        <f t="shared" si="301"/>
        <v>0</v>
      </c>
      <c r="K2784" s="66" t="str">
        <f t="shared" si="302"/>
        <v/>
      </c>
      <c r="L2784" s="66" t="str">
        <f t="shared" si="303"/>
        <v/>
      </c>
      <c r="M2784" s="66" t="str">
        <f t="shared" si="304"/>
        <v/>
      </c>
      <c r="N2784" s="66" t="str">
        <f t="shared" si="305"/>
        <v/>
      </c>
      <c r="O2784" s="66" t="str">
        <f t="shared" si="306"/>
        <v/>
      </c>
      <c r="P2784" s="66" t="str">
        <f t="shared" si="307"/>
        <v/>
      </c>
    </row>
    <row r="2785" spans="8:16">
      <c r="H2785" s="66" t="e">
        <f>IF(LEFT(A2785,6)="CEPNTR","GPINS",VLOOKUP(LEFT(A2785,6),'Code Library'!$A$3:$B$920,2,0))&amp;"_"&amp;RIGHT(A2785,3)</f>
        <v>#N/A</v>
      </c>
      <c r="I2785" s="66">
        <f t="shared" si="301"/>
        <v>0</v>
      </c>
      <c r="K2785" s="66" t="str">
        <f t="shared" si="302"/>
        <v/>
      </c>
      <c r="L2785" s="66" t="str">
        <f t="shared" si="303"/>
        <v/>
      </c>
      <c r="M2785" s="66" t="str">
        <f t="shared" si="304"/>
        <v/>
      </c>
      <c r="N2785" s="66" t="str">
        <f t="shared" si="305"/>
        <v/>
      </c>
      <c r="O2785" s="66" t="str">
        <f t="shared" si="306"/>
        <v/>
      </c>
      <c r="P2785" s="66" t="str">
        <f t="shared" si="307"/>
        <v/>
      </c>
    </row>
    <row r="2786" spans="8:16">
      <c r="H2786" s="66" t="e">
        <f>IF(LEFT(A2786,6)="CEPNTR","GPINS",VLOOKUP(LEFT(A2786,6),'Code Library'!$A$3:$B$920,2,0))&amp;"_"&amp;RIGHT(A2786,3)</f>
        <v>#N/A</v>
      </c>
      <c r="I2786" s="66">
        <f t="shared" si="301"/>
        <v>0</v>
      </c>
      <c r="K2786" s="66" t="str">
        <f t="shared" si="302"/>
        <v/>
      </c>
      <c r="L2786" s="66" t="str">
        <f t="shared" si="303"/>
        <v/>
      </c>
      <c r="M2786" s="66" t="str">
        <f t="shared" si="304"/>
        <v/>
      </c>
      <c r="N2786" s="66" t="str">
        <f t="shared" si="305"/>
        <v/>
      </c>
      <c r="O2786" s="66" t="str">
        <f t="shared" si="306"/>
        <v/>
      </c>
      <c r="P2786" s="66" t="str">
        <f t="shared" si="307"/>
        <v/>
      </c>
    </row>
    <row r="2787" spans="8:16">
      <c r="H2787" s="66" t="e">
        <f>IF(LEFT(A2787,6)="CEPNTR","GPINS",VLOOKUP(LEFT(A2787,6),'Code Library'!$A$3:$B$920,2,0))&amp;"_"&amp;RIGHT(A2787,3)</f>
        <v>#N/A</v>
      </c>
      <c r="I2787" s="66">
        <f t="shared" si="301"/>
        <v>0</v>
      </c>
      <c r="K2787" s="66" t="str">
        <f t="shared" si="302"/>
        <v/>
      </c>
      <c r="L2787" s="66" t="str">
        <f t="shared" si="303"/>
        <v/>
      </c>
      <c r="M2787" s="66" t="str">
        <f t="shared" si="304"/>
        <v/>
      </c>
      <c r="N2787" s="66" t="str">
        <f t="shared" si="305"/>
        <v/>
      </c>
      <c r="O2787" s="66" t="str">
        <f t="shared" si="306"/>
        <v/>
      </c>
      <c r="P2787" s="66" t="str">
        <f t="shared" si="307"/>
        <v/>
      </c>
    </row>
    <row r="2788" spans="8:16">
      <c r="H2788" s="66" t="e">
        <f>IF(LEFT(A2788,6)="CEPNTR","GPINS",VLOOKUP(LEFT(A2788,6),'Code Library'!$A$3:$B$920,2,0))&amp;"_"&amp;RIGHT(A2788,3)</f>
        <v>#N/A</v>
      </c>
      <c r="I2788" s="66">
        <f t="shared" si="301"/>
        <v>0</v>
      </c>
      <c r="K2788" s="66" t="str">
        <f t="shared" si="302"/>
        <v/>
      </c>
      <c r="L2788" s="66" t="str">
        <f t="shared" si="303"/>
        <v/>
      </c>
      <c r="M2788" s="66" t="str">
        <f t="shared" si="304"/>
        <v/>
      </c>
      <c r="N2788" s="66" t="str">
        <f t="shared" si="305"/>
        <v/>
      </c>
      <c r="O2788" s="66" t="str">
        <f t="shared" si="306"/>
        <v/>
      </c>
      <c r="P2788" s="66" t="str">
        <f t="shared" si="307"/>
        <v/>
      </c>
    </row>
    <row r="2789" spans="8:16">
      <c r="H2789" s="66" t="e">
        <f>IF(LEFT(A2789,6)="CEPNTR","GPINS",VLOOKUP(LEFT(A2789,6),'Code Library'!$A$3:$B$920,2,0))&amp;"_"&amp;RIGHT(A2789,3)</f>
        <v>#N/A</v>
      </c>
      <c r="I2789" s="66">
        <f t="shared" si="301"/>
        <v>0</v>
      </c>
      <c r="K2789" s="66" t="str">
        <f t="shared" si="302"/>
        <v/>
      </c>
      <c r="L2789" s="66" t="str">
        <f t="shared" si="303"/>
        <v/>
      </c>
      <c r="M2789" s="66" t="str">
        <f t="shared" si="304"/>
        <v/>
      </c>
      <c r="N2789" s="66" t="str">
        <f t="shared" si="305"/>
        <v/>
      </c>
      <c r="O2789" s="66" t="str">
        <f t="shared" si="306"/>
        <v/>
      </c>
      <c r="P2789" s="66" t="str">
        <f t="shared" si="307"/>
        <v/>
      </c>
    </row>
    <row r="2790" spans="8:16">
      <c r="H2790" s="66" t="e">
        <f>IF(LEFT(A2790,6)="CEPNTR","GPINS",VLOOKUP(LEFT(A2790,6),'Code Library'!$A$3:$B$920,2,0))&amp;"_"&amp;RIGHT(A2790,3)</f>
        <v>#N/A</v>
      </c>
      <c r="I2790" s="66">
        <f t="shared" si="301"/>
        <v>0</v>
      </c>
      <c r="K2790" s="66" t="str">
        <f t="shared" si="302"/>
        <v/>
      </c>
      <c r="L2790" s="66" t="str">
        <f t="shared" si="303"/>
        <v/>
      </c>
      <c r="M2790" s="66" t="str">
        <f t="shared" si="304"/>
        <v/>
      </c>
      <c r="N2790" s="66" t="str">
        <f t="shared" si="305"/>
        <v/>
      </c>
      <c r="O2790" s="66" t="str">
        <f t="shared" si="306"/>
        <v/>
      </c>
      <c r="P2790" s="66" t="str">
        <f t="shared" si="307"/>
        <v/>
      </c>
    </row>
    <row r="2791" spans="8:16">
      <c r="H2791" s="66" t="e">
        <f>IF(LEFT(A2791,6)="CEPNTR","GPINS",VLOOKUP(LEFT(A2791,6),'Code Library'!$A$3:$B$920,2,0))&amp;"_"&amp;RIGHT(A2791,3)</f>
        <v>#N/A</v>
      </c>
      <c r="I2791" s="66">
        <f t="shared" si="301"/>
        <v>0</v>
      </c>
      <c r="K2791" s="66" t="str">
        <f t="shared" si="302"/>
        <v/>
      </c>
      <c r="L2791" s="66" t="str">
        <f t="shared" si="303"/>
        <v/>
      </c>
      <c r="M2791" s="66" t="str">
        <f t="shared" si="304"/>
        <v/>
      </c>
      <c r="N2791" s="66" t="str">
        <f t="shared" si="305"/>
        <v/>
      </c>
      <c r="O2791" s="66" t="str">
        <f t="shared" si="306"/>
        <v/>
      </c>
      <c r="P2791" s="66" t="str">
        <f t="shared" si="307"/>
        <v/>
      </c>
    </row>
    <row r="2792" spans="8:16">
      <c r="H2792" s="66" t="e">
        <f>IF(LEFT(A2792,6)="CEPNTR","GPINS",VLOOKUP(LEFT(A2792,6),'Code Library'!$A$3:$B$920,2,0))&amp;"_"&amp;RIGHT(A2792,3)</f>
        <v>#N/A</v>
      </c>
      <c r="I2792" s="66">
        <f t="shared" si="301"/>
        <v>0</v>
      </c>
      <c r="K2792" s="66" t="str">
        <f t="shared" si="302"/>
        <v/>
      </c>
      <c r="L2792" s="66" t="str">
        <f t="shared" si="303"/>
        <v/>
      </c>
      <c r="M2792" s="66" t="str">
        <f t="shared" si="304"/>
        <v/>
      </c>
      <c r="N2792" s="66" t="str">
        <f t="shared" si="305"/>
        <v/>
      </c>
      <c r="O2792" s="66" t="str">
        <f t="shared" si="306"/>
        <v/>
      </c>
      <c r="P2792" s="66" t="str">
        <f t="shared" si="307"/>
        <v/>
      </c>
    </row>
    <row r="2793" spans="8:16">
      <c r="H2793" s="66" t="e">
        <f>IF(LEFT(A2793,6)="CEPNTR","GPINS",VLOOKUP(LEFT(A2793,6),'Code Library'!$A$3:$B$920,2,0))&amp;"_"&amp;RIGHT(A2793,3)</f>
        <v>#N/A</v>
      </c>
      <c r="I2793" s="66">
        <f t="shared" si="301"/>
        <v>0</v>
      </c>
      <c r="K2793" s="66" t="str">
        <f t="shared" si="302"/>
        <v/>
      </c>
      <c r="L2793" s="66" t="str">
        <f t="shared" si="303"/>
        <v/>
      </c>
      <c r="M2793" s="66" t="str">
        <f t="shared" si="304"/>
        <v/>
      </c>
      <c r="N2793" s="66" t="str">
        <f t="shared" si="305"/>
        <v/>
      </c>
      <c r="O2793" s="66" t="str">
        <f t="shared" si="306"/>
        <v/>
      </c>
      <c r="P2793" s="66" t="str">
        <f t="shared" si="307"/>
        <v/>
      </c>
    </row>
    <row r="2794" spans="8:16">
      <c r="H2794" s="66" t="e">
        <f>IF(LEFT(A2794,6)="CEPNTR","GPINS",VLOOKUP(LEFT(A2794,6),'Code Library'!$A$3:$B$920,2,0))&amp;"_"&amp;RIGHT(A2794,3)</f>
        <v>#N/A</v>
      </c>
      <c r="I2794" s="66">
        <f t="shared" si="301"/>
        <v>0</v>
      </c>
      <c r="K2794" s="66" t="str">
        <f t="shared" si="302"/>
        <v/>
      </c>
      <c r="L2794" s="66" t="str">
        <f t="shared" si="303"/>
        <v/>
      </c>
      <c r="M2794" s="66" t="str">
        <f t="shared" si="304"/>
        <v/>
      </c>
      <c r="N2794" s="66" t="str">
        <f t="shared" si="305"/>
        <v/>
      </c>
      <c r="O2794" s="66" t="str">
        <f t="shared" si="306"/>
        <v/>
      </c>
      <c r="P2794" s="66" t="str">
        <f t="shared" si="307"/>
        <v/>
      </c>
    </row>
    <row r="2795" spans="8:16">
      <c r="H2795" s="66" t="e">
        <f>IF(LEFT(A2795,6)="CEPNTR","GPINS",VLOOKUP(LEFT(A2795,6),'Code Library'!$A$3:$B$920,2,0))&amp;"_"&amp;RIGHT(A2795,3)</f>
        <v>#N/A</v>
      </c>
      <c r="I2795" s="66">
        <f t="shared" si="301"/>
        <v>0</v>
      </c>
      <c r="K2795" s="66" t="str">
        <f t="shared" si="302"/>
        <v/>
      </c>
      <c r="L2795" s="66" t="str">
        <f t="shared" si="303"/>
        <v/>
      </c>
      <c r="M2795" s="66" t="str">
        <f t="shared" si="304"/>
        <v/>
      </c>
      <c r="N2795" s="66" t="str">
        <f t="shared" si="305"/>
        <v/>
      </c>
      <c r="O2795" s="66" t="str">
        <f t="shared" si="306"/>
        <v/>
      </c>
      <c r="P2795" s="66" t="str">
        <f t="shared" si="307"/>
        <v/>
      </c>
    </row>
    <row r="2796" spans="8:16">
      <c r="H2796" s="66" t="e">
        <f>IF(LEFT(A2796,6)="CEPNTR","GPINS",VLOOKUP(LEFT(A2796,6),'Code Library'!$A$3:$B$920,2,0))&amp;"_"&amp;RIGHT(A2796,3)</f>
        <v>#N/A</v>
      </c>
      <c r="I2796" s="66">
        <f t="shared" si="301"/>
        <v>0</v>
      </c>
      <c r="K2796" s="66" t="str">
        <f t="shared" si="302"/>
        <v/>
      </c>
      <c r="L2796" s="66" t="str">
        <f t="shared" si="303"/>
        <v/>
      </c>
      <c r="M2796" s="66" t="str">
        <f t="shared" si="304"/>
        <v/>
      </c>
      <c r="N2796" s="66" t="str">
        <f t="shared" si="305"/>
        <v/>
      </c>
      <c r="O2796" s="66" t="str">
        <f t="shared" si="306"/>
        <v/>
      </c>
      <c r="P2796" s="66" t="str">
        <f t="shared" si="307"/>
        <v/>
      </c>
    </row>
    <row r="2797" spans="8:16">
      <c r="H2797" s="66" t="e">
        <f>IF(LEFT(A2797,6)="CEPNTR","GPINS",VLOOKUP(LEFT(A2797,6),'Code Library'!$A$3:$B$920,2,0))&amp;"_"&amp;RIGHT(A2797,3)</f>
        <v>#N/A</v>
      </c>
      <c r="I2797" s="66">
        <f t="shared" si="301"/>
        <v>0</v>
      </c>
      <c r="K2797" s="66" t="str">
        <f t="shared" si="302"/>
        <v/>
      </c>
      <c r="L2797" s="66" t="str">
        <f t="shared" si="303"/>
        <v/>
      </c>
      <c r="M2797" s="66" t="str">
        <f t="shared" si="304"/>
        <v/>
      </c>
      <c r="N2797" s="66" t="str">
        <f t="shared" si="305"/>
        <v/>
      </c>
      <c r="O2797" s="66" t="str">
        <f t="shared" si="306"/>
        <v/>
      </c>
      <c r="P2797" s="66" t="str">
        <f t="shared" si="307"/>
        <v/>
      </c>
    </row>
    <row r="2798" spans="8:16">
      <c r="H2798" s="66" t="e">
        <f>IF(LEFT(A2798,6)="CEPNTR","GPINS",VLOOKUP(LEFT(A2798,6),'Code Library'!$A$3:$B$920,2,0))&amp;"_"&amp;RIGHT(A2798,3)</f>
        <v>#N/A</v>
      </c>
      <c r="I2798" s="66">
        <f t="shared" si="301"/>
        <v>0</v>
      </c>
      <c r="K2798" s="66" t="str">
        <f t="shared" si="302"/>
        <v/>
      </c>
      <c r="L2798" s="66" t="str">
        <f t="shared" si="303"/>
        <v/>
      </c>
      <c r="M2798" s="66" t="str">
        <f t="shared" si="304"/>
        <v/>
      </c>
      <c r="N2798" s="66" t="str">
        <f t="shared" si="305"/>
        <v/>
      </c>
      <c r="O2798" s="66" t="str">
        <f t="shared" si="306"/>
        <v/>
      </c>
      <c r="P2798" s="66" t="str">
        <f t="shared" si="307"/>
        <v/>
      </c>
    </row>
    <row r="2799" spans="8:16">
      <c r="H2799" s="66" t="e">
        <f>IF(LEFT(A2799,6)="CEPNTR","GPINS",VLOOKUP(LEFT(A2799,6),'Code Library'!$A$3:$B$920,2,0))&amp;"_"&amp;RIGHT(A2799,3)</f>
        <v>#N/A</v>
      </c>
      <c r="I2799" s="66">
        <f t="shared" si="301"/>
        <v>0</v>
      </c>
      <c r="K2799" s="66" t="str">
        <f t="shared" si="302"/>
        <v/>
      </c>
      <c r="L2799" s="66" t="str">
        <f t="shared" si="303"/>
        <v/>
      </c>
      <c r="M2799" s="66" t="str">
        <f t="shared" si="304"/>
        <v/>
      </c>
      <c r="N2799" s="66" t="str">
        <f t="shared" si="305"/>
        <v/>
      </c>
      <c r="O2799" s="66" t="str">
        <f t="shared" si="306"/>
        <v/>
      </c>
      <c r="P2799" s="66" t="str">
        <f t="shared" si="307"/>
        <v/>
      </c>
    </row>
    <row r="2800" spans="8:16">
      <c r="H2800" s="66" t="e">
        <f>IF(LEFT(A2800,6)="CEPNTR","GPINS",VLOOKUP(LEFT(A2800,6),'Code Library'!$A$3:$B$920,2,0))&amp;"_"&amp;RIGHT(A2800,3)</f>
        <v>#N/A</v>
      </c>
      <c r="I2800" s="66">
        <f t="shared" si="301"/>
        <v>0</v>
      </c>
      <c r="K2800" s="66" t="str">
        <f t="shared" si="302"/>
        <v/>
      </c>
      <c r="L2800" s="66" t="str">
        <f t="shared" si="303"/>
        <v/>
      </c>
      <c r="M2800" s="66" t="str">
        <f t="shared" si="304"/>
        <v/>
      </c>
      <c r="N2800" s="66" t="str">
        <f t="shared" si="305"/>
        <v/>
      </c>
      <c r="O2800" s="66" t="str">
        <f t="shared" si="306"/>
        <v/>
      </c>
      <c r="P2800" s="66" t="str">
        <f t="shared" si="307"/>
        <v/>
      </c>
    </row>
    <row r="2801" spans="8:16">
      <c r="H2801" s="66" t="e">
        <f>IF(LEFT(A2801,6)="CEPNTR","GPINS",VLOOKUP(LEFT(A2801,6),'Code Library'!$A$3:$B$920,2,0))&amp;"_"&amp;RIGHT(A2801,3)</f>
        <v>#N/A</v>
      </c>
      <c r="I2801" s="66">
        <f t="shared" si="301"/>
        <v>0</v>
      </c>
      <c r="K2801" s="66" t="str">
        <f t="shared" si="302"/>
        <v/>
      </c>
      <c r="L2801" s="66" t="str">
        <f t="shared" si="303"/>
        <v/>
      </c>
      <c r="M2801" s="66" t="str">
        <f t="shared" si="304"/>
        <v/>
      </c>
      <c r="N2801" s="66" t="str">
        <f t="shared" si="305"/>
        <v/>
      </c>
      <c r="O2801" s="66" t="str">
        <f t="shared" si="306"/>
        <v/>
      </c>
      <c r="P2801" s="66" t="str">
        <f t="shared" si="307"/>
        <v/>
      </c>
    </row>
    <row r="2802" spans="8:16">
      <c r="H2802" s="66" t="e">
        <f>IF(LEFT(A2802,6)="CEPNTR","GPINS",VLOOKUP(LEFT(A2802,6),'Code Library'!$A$3:$B$920,2,0))&amp;"_"&amp;RIGHT(A2802,3)</f>
        <v>#N/A</v>
      </c>
      <c r="I2802" s="66">
        <f t="shared" si="301"/>
        <v>0</v>
      </c>
      <c r="K2802" s="66" t="str">
        <f t="shared" si="302"/>
        <v/>
      </c>
      <c r="L2802" s="66" t="str">
        <f t="shared" si="303"/>
        <v/>
      </c>
      <c r="M2802" s="66" t="str">
        <f t="shared" si="304"/>
        <v/>
      </c>
      <c r="N2802" s="66" t="str">
        <f t="shared" si="305"/>
        <v/>
      </c>
      <c r="O2802" s="66" t="str">
        <f t="shared" si="306"/>
        <v/>
      </c>
      <c r="P2802" s="66" t="str">
        <f t="shared" si="307"/>
        <v/>
      </c>
    </row>
    <row r="2803" spans="8:16">
      <c r="H2803" s="66" t="e">
        <f>IF(LEFT(A2803,6)="CEPNTR","GPINS",VLOOKUP(LEFT(A2803,6),'Code Library'!$A$3:$B$920,2,0))&amp;"_"&amp;RIGHT(A2803,3)</f>
        <v>#N/A</v>
      </c>
      <c r="I2803" s="66">
        <f t="shared" si="301"/>
        <v>0</v>
      </c>
      <c r="K2803" s="66" t="str">
        <f t="shared" si="302"/>
        <v/>
      </c>
      <c r="L2803" s="66" t="str">
        <f t="shared" si="303"/>
        <v/>
      </c>
      <c r="M2803" s="66" t="str">
        <f t="shared" si="304"/>
        <v/>
      </c>
      <c r="N2803" s="66" t="str">
        <f t="shared" si="305"/>
        <v/>
      </c>
      <c r="O2803" s="66" t="str">
        <f t="shared" si="306"/>
        <v/>
      </c>
      <c r="P2803" s="66" t="str">
        <f t="shared" si="307"/>
        <v/>
      </c>
    </row>
    <row r="2804" spans="8:16">
      <c r="H2804" s="66" t="e">
        <f>IF(LEFT(A2804,6)="CEPNTR","GPINS",VLOOKUP(LEFT(A2804,6),'Code Library'!$A$3:$B$920,2,0))&amp;"_"&amp;RIGHT(A2804,3)</f>
        <v>#N/A</v>
      </c>
      <c r="I2804" s="66">
        <f t="shared" si="301"/>
        <v>0</v>
      </c>
      <c r="K2804" s="66" t="str">
        <f t="shared" si="302"/>
        <v/>
      </c>
      <c r="L2804" s="66" t="str">
        <f t="shared" si="303"/>
        <v/>
      </c>
      <c r="M2804" s="66" t="str">
        <f t="shared" si="304"/>
        <v/>
      </c>
      <c r="N2804" s="66" t="str">
        <f t="shared" si="305"/>
        <v/>
      </c>
      <c r="O2804" s="66" t="str">
        <f t="shared" si="306"/>
        <v/>
      </c>
      <c r="P2804" s="66" t="str">
        <f t="shared" si="307"/>
        <v/>
      </c>
    </row>
    <row r="2805" spans="8:16">
      <c r="H2805" s="66" t="e">
        <f>IF(LEFT(A2805,6)="CEPNTR","GPINS",VLOOKUP(LEFT(A2805,6),'Code Library'!$A$3:$B$920,2,0))&amp;"_"&amp;RIGHT(A2805,3)</f>
        <v>#N/A</v>
      </c>
      <c r="I2805" s="66">
        <f t="shared" si="301"/>
        <v>0</v>
      </c>
      <c r="K2805" s="66" t="str">
        <f t="shared" si="302"/>
        <v/>
      </c>
      <c r="L2805" s="66" t="str">
        <f t="shared" si="303"/>
        <v/>
      </c>
      <c r="M2805" s="66" t="str">
        <f t="shared" si="304"/>
        <v/>
      </c>
      <c r="N2805" s="66" t="str">
        <f t="shared" si="305"/>
        <v/>
      </c>
      <c r="O2805" s="66" t="str">
        <f t="shared" si="306"/>
        <v/>
      </c>
      <c r="P2805" s="66" t="str">
        <f t="shared" si="307"/>
        <v/>
      </c>
    </row>
    <row r="2806" spans="8:16">
      <c r="H2806" s="66" t="e">
        <f>IF(LEFT(A2806,6)="CEPNTR","GPINS",VLOOKUP(LEFT(A2806,6),'Code Library'!$A$3:$B$920,2,0))&amp;"_"&amp;RIGHT(A2806,3)</f>
        <v>#N/A</v>
      </c>
      <c r="I2806" s="66">
        <f t="shared" si="301"/>
        <v>0</v>
      </c>
      <c r="K2806" s="66" t="str">
        <f t="shared" si="302"/>
        <v/>
      </c>
      <c r="L2806" s="66" t="str">
        <f t="shared" si="303"/>
        <v/>
      </c>
      <c r="M2806" s="66" t="str">
        <f t="shared" si="304"/>
        <v/>
      </c>
      <c r="N2806" s="66" t="str">
        <f t="shared" si="305"/>
        <v/>
      </c>
      <c r="O2806" s="66" t="str">
        <f t="shared" si="306"/>
        <v/>
      </c>
      <c r="P2806" s="66" t="str">
        <f t="shared" si="307"/>
        <v/>
      </c>
    </row>
    <row r="2807" spans="8:16">
      <c r="H2807" s="66" t="e">
        <f>IF(LEFT(A2807,6)="CEPNTR","GPINS",VLOOKUP(LEFT(A2807,6),'Code Library'!$A$3:$B$920,2,0))&amp;"_"&amp;RIGHT(A2807,3)</f>
        <v>#N/A</v>
      </c>
      <c r="I2807" s="66">
        <f t="shared" si="301"/>
        <v>0</v>
      </c>
      <c r="K2807" s="66" t="str">
        <f t="shared" si="302"/>
        <v/>
      </c>
      <c r="L2807" s="66" t="str">
        <f t="shared" si="303"/>
        <v/>
      </c>
      <c r="M2807" s="66" t="str">
        <f t="shared" si="304"/>
        <v/>
      </c>
      <c r="N2807" s="66" t="str">
        <f t="shared" si="305"/>
        <v/>
      </c>
      <c r="O2807" s="66" t="str">
        <f t="shared" si="306"/>
        <v/>
      </c>
      <c r="P2807" s="66" t="str">
        <f t="shared" si="307"/>
        <v/>
      </c>
    </row>
    <row r="2808" spans="8:16">
      <c r="H2808" s="66" t="e">
        <f>IF(LEFT(A2808,6)="CEPNTR","GPINS",VLOOKUP(LEFT(A2808,6),'Code Library'!$A$3:$B$920,2,0))&amp;"_"&amp;RIGHT(A2808,3)</f>
        <v>#N/A</v>
      </c>
      <c r="I2808" s="66">
        <f t="shared" si="301"/>
        <v>0</v>
      </c>
      <c r="K2808" s="66" t="str">
        <f t="shared" si="302"/>
        <v/>
      </c>
      <c r="L2808" s="66" t="str">
        <f t="shared" si="303"/>
        <v/>
      </c>
      <c r="M2808" s="66" t="str">
        <f t="shared" si="304"/>
        <v/>
      </c>
      <c r="N2808" s="66" t="str">
        <f t="shared" si="305"/>
        <v/>
      </c>
      <c r="O2808" s="66" t="str">
        <f t="shared" si="306"/>
        <v/>
      </c>
      <c r="P2808" s="66" t="str">
        <f t="shared" si="307"/>
        <v/>
      </c>
    </row>
    <row r="2809" spans="8:16">
      <c r="H2809" s="66" t="e">
        <f>IF(LEFT(A2809,6)="CEPNTR","GPINS",VLOOKUP(LEFT(A2809,6),'Code Library'!$A$3:$B$920,2,0))&amp;"_"&amp;RIGHT(A2809,3)</f>
        <v>#N/A</v>
      </c>
      <c r="I2809" s="66">
        <f t="shared" si="301"/>
        <v>0</v>
      </c>
      <c r="K2809" s="66" t="str">
        <f t="shared" si="302"/>
        <v/>
      </c>
      <c r="L2809" s="66" t="str">
        <f t="shared" si="303"/>
        <v/>
      </c>
      <c r="M2809" s="66" t="str">
        <f t="shared" si="304"/>
        <v/>
      </c>
      <c r="N2809" s="66" t="str">
        <f t="shared" si="305"/>
        <v/>
      </c>
      <c r="O2809" s="66" t="str">
        <f t="shared" si="306"/>
        <v/>
      </c>
      <c r="P2809" s="66" t="str">
        <f t="shared" si="307"/>
        <v/>
      </c>
    </row>
    <row r="2810" spans="8:16">
      <c r="H2810" s="66" t="e">
        <f>IF(LEFT(A2810,6)="CEPNTR","GPINS",VLOOKUP(LEFT(A2810,6),'Code Library'!$A$3:$B$920,2,0))&amp;"_"&amp;RIGHT(A2810,3)</f>
        <v>#N/A</v>
      </c>
      <c r="I2810" s="66">
        <f t="shared" si="301"/>
        <v>0</v>
      </c>
      <c r="K2810" s="66" t="str">
        <f t="shared" si="302"/>
        <v/>
      </c>
      <c r="L2810" s="66" t="str">
        <f t="shared" si="303"/>
        <v/>
      </c>
      <c r="M2810" s="66" t="str">
        <f t="shared" si="304"/>
        <v/>
      </c>
      <c r="N2810" s="66" t="str">
        <f t="shared" si="305"/>
        <v/>
      </c>
      <c r="O2810" s="66" t="str">
        <f t="shared" si="306"/>
        <v/>
      </c>
      <c r="P2810" s="66" t="str">
        <f t="shared" si="307"/>
        <v/>
      </c>
    </row>
    <row r="2811" spans="8:16">
      <c r="H2811" s="66" t="e">
        <f>IF(LEFT(A2811,6)="CEPNTR","GPINS",VLOOKUP(LEFT(A2811,6),'Code Library'!$A$3:$B$920,2,0))&amp;"_"&amp;RIGHT(A2811,3)</f>
        <v>#N/A</v>
      </c>
      <c r="I2811" s="66">
        <f t="shared" si="301"/>
        <v>0</v>
      </c>
      <c r="K2811" s="66" t="str">
        <f t="shared" si="302"/>
        <v/>
      </c>
      <c r="L2811" s="66" t="str">
        <f t="shared" si="303"/>
        <v/>
      </c>
      <c r="M2811" s="66" t="str">
        <f t="shared" si="304"/>
        <v/>
      </c>
      <c r="N2811" s="66" t="str">
        <f t="shared" si="305"/>
        <v/>
      </c>
      <c r="O2811" s="66" t="str">
        <f t="shared" si="306"/>
        <v/>
      </c>
      <c r="P2811" s="66" t="str">
        <f t="shared" si="307"/>
        <v/>
      </c>
    </row>
    <row r="2812" spans="8:16">
      <c r="H2812" s="66" t="e">
        <f>IF(LEFT(A2812,6)="CEPNTR","GPINS",VLOOKUP(LEFT(A2812,6),'Code Library'!$A$3:$B$920,2,0))&amp;"_"&amp;RIGHT(A2812,3)</f>
        <v>#N/A</v>
      </c>
      <c r="I2812" s="66">
        <f t="shared" si="301"/>
        <v>0</v>
      </c>
      <c r="K2812" s="66" t="str">
        <f t="shared" si="302"/>
        <v/>
      </c>
      <c r="L2812" s="66" t="str">
        <f t="shared" si="303"/>
        <v/>
      </c>
      <c r="M2812" s="66" t="str">
        <f t="shared" si="304"/>
        <v/>
      </c>
      <c r="N2812" s="66" t="str">
        <f t="shared" si="305"/>
        <v/>
      </c>
      <c r="O2812" s="66" t="str">
        <f t="shared" si="306"/>
        <v/>
      </c>
      <c r="P2812" s="66" t="str">
        <f t="shared" si="307"/>
        <v/>
      </c>
    </row>
    <row r="2813" spans="8:16">
      <c r="H2813" s="66" t="e">
        <f>IF(LEFT(A2813,6)="CEPNTR","GPINS",VLOOKUP(LEFT(A2813,6),'Code Library'!$A$3:$B$920,2,0))&amp;"_"&amp;RIGHT(A2813,3)</f>
        <v>#N/A</v>
      </c>
      <c r="I2813" s="66">
        <f t="shared" si="301"/>
        <v>0</v>
      </c>
      <c r="K2813" s="66" t="str">
        <f t="shared" si="302"/>
        <v/>
      </c>
      <c r="L2813" s="66" t="str">
        <f t="shared" si="303"/>
        <v/>
      </c>
      <c r="M2813" s="66" t="str">
        <f t="shared" si="304"/>
        <v/>
      </c>
      <c r="N2813" s="66" t="str">
        <f t="shared" si="305"/>
        <v/>
      </c>
      <c r="O2813" s="66" t="str">
        <f t="shared" si="306"/>
        <v/>
      </c>
      <c r="P2813" s="66" t="str">
        <f t="shared" si="307"/>
        <v/>
      </c>
    </row>
    <row r="2814" spans="8:16">
      <c r="H2814" s="66" t="e">
        <f>IF(LEFT(A2814,6)="CEPNTR","GPINS",VLOOKUP(LEFT(A2814,6),'Code Library'!$A$3:$B$920,2,0))&amp;"_"&amp;RIGHT(A2814,3)</f>
        <v>#N/A</v>
      </c>
      <c r="I2814" s="66">
        <f t="shared" si="301"/>
        <v>0</v>
      </c>
      <c r="K2814" s="66" t="str">
        <f t="shared" si="302"/>
        <v/>
      </c>
      <c r="L2814" s="66" t="str">
        <f t="shared" si="303"/>
        <v/>
      </c>
      <c r="M2814" s="66" t="str">
        <f t="shared" si="304"/>
        <v/>
      </c>
      <c r="N2814" s="66" t="str">
        <f t="shared" si="305"/>
        <v/>
      </c>
      <c r="O2814" s="66" t="str">
        <f t="shared" si="306"/>
        <v/>
      </c>
      <c r="P2814" s="66" t="str">
        <f t="shared" si="307"/>
        <v/>
      </c>
    </row>
    <row r="2815" spans="8:16">
      <c r="H2815" s="66" t="e">
        <f>IF(LEFT(A2815,6)="CEPNTR","GPINS",VLOOKUP(LEFT(A2815,6),'Code Library'!$A$3:$B$920,2,0))&amp;"_"&amp;RIGHT(A2815,3)</f>
        <v>#N/A</v>
      </c>
      <c r="I2815" s="66">
        <f t="shared" si="301"/>
        <v>0</v>
      </c>
      <c r="K2815" s="66" t="str">
        <f t="shared" si="302"/>
        <v/>
      </c>
      <c r="L2815" s="66" t="str">
        <f t="shared" si="303"/>
        <v/>
      </c>
      <c r="M2815" s="66" t="str">
        <f t="shared" si="304"/>
        <v/>
      </c>
      <c r="N2815" s="66" t="str">
        <f t="shared" si="305"/>
        <v/>
      </c>
      <c r="O2815" s="66" t="str">
        <f t="shared" si="306"/>
        <v/>
      </c>
      <c r="P2815" s="66" t="str">
        <f t="shared" si="307"/>
        <v/>
      </c>
    </row>
    <row r="2816" spans="8:16">
      <c r="H2816" s="66" t="e">
        <f>IF(LEFT(A2816,6)="CEPNTR","GPINS",VLOOKUP(LEFT(A2816,6),'Code Library'!$A$3:$B$920,2,0))&amp;"_"&amp;RIGHT(A2816,3)</f>
        <v>#N/A</v>
      </c>
      <c r="I2816" s="66">
        <f t="shared" si="301"/>
        <v>0</v>
      </c>
      <c r="K2816" s="66" t="str">
        <f t="shared" si="302"/>
        <v/>
      </c>
      <c r="L2816" s="66" t="str">
        <f t="shared" si="303"/>
        <v/>
      </c>
      <c r="M2816" s="66" t="str">
        <f t="shared" si="304"/>
        <v/>
      </c>
      <c r="N2816" s="66" t="str">
        <f t="shared" si="305"/>
        <v/>
      </c>
      <c r="O2816" s="66" t="str">
        <f t="shared" si="306"/>
        <v/>
      </c>
      <c r="P2816" s="66" t="str">
        <f t="shared" si="307"/>
        <v/>
      </c>
    </row>
    <row r="2817" spans="8:16">
      <c r="H2817" s="66" t="e">
        <f>IF(LEFT(A2817,6)="CEPNTR","GPINS",VLOOKUP(LEFT(A2817,6),'Code Library'!$A$3:$B$920,2,0))&amp;"_"&amp;RIGHT(A2817,3)</f>
        <v>#N/A</v>
      </c>
      <c r="I2817" s="66">
        <f t="shared" si="301"/>
        <v>0</v>
      </c>
      <c r="K2817" s="66" t="str">
        <f t="shared" si="302"/>
        <v/>
      </c>
      <c r="L2817" s="66" t="str">
        <f t="shared" si="303"/>
        <v/>
      </c>
      <c r="M2817" s="66" t="str">
        <f t="shared" si="304"/>
        <v/>
      </c>
      <c r="N2817" s="66" t="str">
        <f t="shared" si="305"/>
        <v/>
      </c>
      <c r="O2817" s="66" t="str">
        <f t="shared" si="306"/>
        <v/>
      </c>
      <c r="P2817" s="66" t="str">
        <f t="shared" si="307"/>
        <v/>
      </c>
    </row>
    <row r="2818" spans="8:16">
      <c r="H2818" s="66" t="e">
        <f>IF(LEFT(A2818,6)="CEPNTR","GPINS",VLOOKUP(LEFT(A2818,6),'Code Library'!$A$3:$B$920,2,0))&amp;"_"&amp;RIGHT(A2818,3)</f>
        <v>#N/A</v>
      </c>
      <c r="I2818" s="66">
        <f t="shared" si="301"/>
        <v>0</v>
      </c>
      <c r="K2818" s="66" t="str">
        <f t="shared" si="302"/>
        <v/>
      </c>
      <c r="L2818" s="66" t="str">
        <f t="shared" si="303"/>
        <v/>
      </c>
      <c r="M2818" s="66" t="str">
        <f t="shared" si="304"/>
        <v/>
      </c>
      <c r="N2818" s="66" t="str">
        <f t="shared" si="305"/>
        <v/>
      </c>
      <c r="O2818" s="66" t="str">
        <f t="shared" si="306"/>
        <v/>
      </c>
      <c r="P2818" s="66" t="str">
        <f t="shared" si="307"/>
        <v/>
      </c>
    </row>
    <row r="2819" spans="8:16">
      <c r="H2819" s="66" t="e">
        <f>IF(LEFT(A2819,6)="CEPNTR","GPINS",VLOOKUP(LEFT(A2819,6),'Code Library'!$A$3:$B$920,2,0))&amp;"_"&amp;RIGHT(A2819,3)</f>
        <v>#N/A</v>
      </c>
      <c r="I2819" s="66">
        <f t="shared" ref="I2819:I2882" si="308">A2819</f>
        <v>0</v>
      </c>
      <c r="K2819" s="66" t="str">
        <f t="shared" ref="K2819:K2882" si="309">RIGHT($B2819,2)</f>
        <v/>
      </c>
      <c r="L2819" s="66" t="str">
        <f t="shared" ref="L2819:L2882" si="310">LEFT(RIGHT($B2819,7),4)</f>
        <v/>
      </c>
      <c r="M2819" s="66" t="str">
        <f t="shared" ref="M2819:M2882" si="311">LEFT(RIGHT($B2819,10),2)</f>
        <v/>
      </c>
      <c r="N2819" s="66" t="str">
        <f t="shared" ref="N2819:N2882" si="312">LEFT(RIGHT($B2819,14),3)</f>
        <v/>
      </c>
      <c r="O2819" s="66" t="str">
        <f t="shared" ref="O2819:O2882" si="313">LEFT(RIGHT($B2819,16),1)</f>
        <v/>
      </c>
      <c r="P2819" s="66" t="str">
        <f t="shared" ref="P2819:P2882" si="314">LEFT(RIGHT($B2819,19),2)</f>
        <v/>
      </c>
    </row>
    <row r="2820" spans="8:16">
      <c r="H2820" s="66" t="e">
        <f>IF(LEFT(A2820,6)="CEPNTR","GPINS",VLOOKUP(LEFT(A2820,6),'Code Library'!$A$3:$B$920,2,0))&amp;"_"&amp;RIGHT(A2820,3)</f>
        <v>#N/A</v>
      </c>
      <c r="I2820" s="66">
        <f t="shared" si="308"/>
        <v>0</v>
      </c>
      <c r="K2820" s="66" t="str">
        <f t="shared" si="309"/>
        <v/>
      </c>
      <c r="L2820" s="66" t="str">
        <f t="shared" si="310"/>
        <v/>
      </c>
      <c r="M2820" s="66" t="str">
        <f t="shared" si="311"/>
        <v/>
      </c>
      <c r="N2820" s="66" t="str">
        <f t="shared" si="312"/>
        <v/>
      </c>
      <c r="O2820" s="66" t="str">
        <f t="shared" si="313"/>
        <v/>
      </c>
      <c r="P2820" s="66" t="str">
        <f t="shared" si="314"/>
        <v/>
      </c>
    </row>
    <row r="2821" spans="8:16">
      <c r="H2821" s="66" t="e">
        <f>IF(LEFT(A2821,6)="CEPNTR","GPINS",VLOOKUP(LEFT(A2821,6),'Code Library'!$A$3:$B$920,2,0))&amp;"_"&amp;RIGHT(A2821,3)</f>
        <v>#N/A</v>
      </c>
      <c r="I2821" s="66">
        <f t="shared" si="308"/>
        <v>0</v>
      </c>
      <c r="K2821" s="66" t="str">
        <f t="shared" si="309"/>
        <v/>
      </c>
      <c r="L2821" s="66" t="str">
        <f t="shared" si="310"/>
        <v/>
      </c>
      <c r="M2821" s="66" t="str">
        <f t="shared" si="311"/>
        <v/>
      </c>
      <c r="N2821" s="66" t="str">
        <f t="shared" si="312"/>
        <v/>
      </c>
      <c r="O2821" s="66" t="str">
        <f t="shared" si="313"/>
        <v/>
      </c>
      <c r="P2821" s="66" t="str">
        <f t="shared" si="314"/>
        <v/>
      </c>
    </row>
    <row r="2822" spans="8:16">
      <c r="H2822" s="66" t="e">
        <f>IF(LEFT(A2822,6)="CEPNTR","GPINS",VLOOKUP(LEFT(A2822,6),'Code Library'!$A$3:$B$920,2,0))&amp;"_"&amp;RIGHT(A2822,3)</f>
        <v>#N/A</v>
      </c>
      <c r="I2822" s="66">
        <f t="shared" si="308"/>
        <v>0</v>
      </c>
      <c r="K2822" s="66" t="str">
        <f t="shared" si="309"/>
        <v/>
      </c>
      <c r="L2822" s="66" t="str">
        <f t="shared" si="310"/>
        <v/>
      </c>
      <c r="M2822" s="66" t="str">
        <f t="shared" si="311"/>
        <v/>
      </c>
      <c r="N2822" s="66" t="str">
        <f t="shared" si="312"/>
        <v/>
      </c>
      <c r="O2822" s="66" t="str">
        <f t="shared" si="313"/>
        <v/>
      </c>
      <c r="P2822" s="66" t="str">
        <f t="shared" si="314"/>
        <v/>
      </c>
    </row>
    <row r="2823" spans="8:16">
      <c r="H2823" s="66" t="e">
        <f>IF(LEFT(A2823,6)="CEPNTR","GPINS",VLOOKUP(LEFT(A2823,6),'Code Library'!$A$3:$B$920,2,0))&amp;"_"&amp;RIGHT(A2823,3)</f>
        <v>#N/A</v>
      </c>
      <c r="I2823" s="66">
        <f t="shared" si="308"/>
        <v>0</v>
      </c>
      <c r="K2823" s="66" t="str">
        <f t="shared" si="309"/>
        <v/>
      </c>
      <c r="L2823" s="66" t="str">
        <f t="shared" si="310"/>
        <v/>
      </c>
      <c r="M2823" s="66" t="str">
        <f t="shared" si="311"/>
        <v/>
      </c>
      <c r="N2823" s="66" t="str">
        <f t="shared" si="312"/>
        <v/>
      </c>
      <c r="O2823" s="66" t="str">
        <f t="shared" si="313"/>
        <v/>
      </c>
      <c r="P2823" s="66" t="str">
        <f t="shared" si="314"/>
        <v/>
      </c>
    </row>
    <row r="2824" spans="8:16">
      <c r="H2824" s="66" t="e">
        <f>IF(LEFT(A2824,6)="CEPNTR","GPINS",VLOOKUP(LEFT(A2824,6),'Code Library'!$A$3:$B$920,2,0))&amp;"_"&amp;RIGHT(A2824,3)</f>
        <v>#N/A</v>
      </c>
      <c r="I2824" s="66">
        <f t="shared" si="308"/>
        <v>0</v>
      </c>
      <c r="K2824" s="66" t="str">
        <f t="shared" si="309"/>
        <v/>
      </c>
      <c r="L2824" s="66" t="str">
        <f t="shared" si="310"/>
        <v/>
      </c>
      <c r="M2824" s="66" t="str">
        <f t="shared" si="311"/>
        <v/>
      </c>
      <c r="N2824" s="66" t="str">
        <f t="shared" si="312"/>
        <v/>
      </c>
      <c r="O2824" s="66" t="str">
        <f t="shared" si="313"/>
        <v/>
      </c>
      <c r="P2824" s="66" t="str">
        <f t="shared" si="314"/>
        <v/>
      </c>
    </row>
    <row r="2825" spans="8:16">
      <c r="H2825" s="66" t="e">
        <f>IF(LEFT(A2825,6)="CEPNTR","GPINS",VLOOKUP(LEFT(A2825,6),'Code Library'!$A$3:$B$920,2,0))&amp;"_"&amp;RIGHT(A2825,3)</f>
        <v>#N/A</v>
      </c>
      <c r="I2825" s="66">
        <f t="shared" si="308"/>
        <v>0</v>
      </c>
      <c r="K2825" s="66" t="str">
        <f t="shared" si="309"/>
        <v/>
      </c>
      <c r="L2825" s="66" t="str">
        <f t="shared" si="310"/>
        <v/>
      </c>
      <c r="M2825" s="66" t="str">
        <f t="shared" si="311"/>
        <v/>
      </c>
      <c r="N2825" s="66" t="str">
        <f t="shared" si="312"/>
        <v/>
      </c>
      <c r="O2825" s="66" t="str">
        <f t="shared" si="313"/>
        <v/>
      </c>
      <c r="P2825" s="66" t="str">
        <f t="shared" si="314"/>
        <v/>
      </c>
    </row>
    <row r="2826" spans="8:16">
      <c r="H2826" s="66" t="e">
        <f>IF(LEFT(A2826,6)="CEPNTR","GPINS",VLOOKUP(LEFT(A2826,6),'Code Library'!$A$3:$B$920,2,0))&amp;"_"&amp;RIGHT(A2826,3)</f>
        <v>#N/A</v>
      </c>
      <c r="I2826" s="66">
        <f t="shared" si="308"/>
        <v>0</v>
      </c>
      <c r="K2826" s="66" t="str">
        <f t="shared" si="309"/>
        <v/>
      </c>
      <c r="L2826" s="66" t="str">
        <f t="shared" si="310"/>
        <v/>
      </c>
      <c r="M2826" s="66" t="str">
        <f t="shared" si="311"/>
        <v/>
      </c>
      <c r="N2826" s="66" t="str">
        <f t="shared" si="312"/>
        <v/>
      </c>
      <c r="O2826" s="66" t="str">
        <f t="shared" si="313"/>
        <v/>
      </c>
      <c r="P2826" s="66" t="str">
        <f t="shared" si="314"/>
        <v/>
      </c>
    </row>
    <row r="2827" spans="8:16">
      <c r="H2827" s="66" t="e">
        <f>IF(LEFT(A2827,6)="CEPNTR","GPINS",VLOOKUP(LEFT(A2827,6),'Code Library'!$A$3:$B$920,2,0))&amp;"_"&amp;RIGHT(A2827,3)</f>
        <v>#N/A</v>
      </c>
      <c r="I2827" s="66">
        <f t="shared" si="308"/>
        <v>0</v>
      </c>
      <c r="K2827" s="66" t="str">
        <f t="shared" si="309"/>
        <v/>
      </c>
      <c r="L2827" s="66" t="str">
        <f t="shared" si="310"/>
        <v/>
      </c>
      <c r="M2827" s="66" t="str">
        <f t="shared" si="311"/>
        <v/>
      </c>
      <c r="N2827" s="66" t="str">
        <f t="shared" si="312"/>
        <v/>
      </c>
      <c r="O2827" s="66" t="str">
        <f t="shared" si="313"/>
        <v/>
      </c>
      <c r="P2827" s="66" t="str">
        <f t="shared" si="314"/>
        <v/>
      </c>
    </row>
    <row r="2828" spans="8:16">
      <c r="H2828" s="66" t="e">
        <f>IF(LEFT(A2828,6)="CEPNTR","GPINS",VLOOKUP(LEFT(A2828,6),'Code Library'!$A$3:$B$920,2,0))&amp;"_"&amp;RIGHT(A2828,3)</f>
        <v>#N/A</v>
      </c>
      <c r="I2828" s="66">
        <f t="shared" si="308"/>
        <v>0</v>
      </c>
      <c r="K2828" s="66" t="str">
        <f t="shared" si="309"/>
        <v/>
      </c>
      <c r="L2828" s="66" t="str">
        <f t="shared" si="310"/>
        <v/>
      </c>
      <c r="M2828" s="66" t="str">
        <f t="shared" si="311"/>
        <v/>
      </c>
      <c r="N2828" s="66" t="str">
        <f t="shared" si="312"/>
        <v/>
      </c>
      <c r="O2828" s="66" t="str">
        <f t="shared" si="313"/>
        <v/>
      </c>
      <c r="P2828" s="66" t="str">
        <f t="shared" si="314"/>
        <v/>
      </c>
    </row>
    <row r="2829" spans="8:16">
      <c r="H2829" s="66" t="e">
        <f>IF(LEFT(A2829,6)="CEPNTR","GPINS",VLOOKUP(LEFT(A2829,6),'Code Library'!$A$3:$B$920,2,0))&amp;"_"&amp;RIGHT(A2829,3)</f>
        <v>#N/A</v>
      </c>
      <c r="I2829" s="66">
        <f t="shared" si="308"/>
        <v>0</v>
      </c>
      <c r="K2829" s="66" t="str">
        <f t="shared" si="309"/>
        <v/>
      </c>
      <c r="L2829" s="66" t="str">
        <f t="shared" si="310"/>
        <v/>
      </c>
      <c r="M2829" s="66" t="str">
        <f t="shared" si="311"/>
        <v/>
      </c>
      <c r="N2829" s="66" t="str">
        <f t="shared" si="312"/>
        <v/>
      </c>
      <c r="O2829" s="66" t="str">
        <f t="shared" si="313"/>
        <v/>
      </c>
      <c r="P2829" s="66" t="str">
        <f t="shared" si="314"/>
        <v/>
      </c>
    </row>
    <row r="2830" spans="8:16">
      <c r="H2830" s="66" t="e">
        <f>IF(LEFT(A2830,6)="CEPNTR","GPINS",VLOOKUP(LEFT(A2830,6),'Code Library'!$A$3:$B$920,2,0))&amp;"_"&amp;RIGHT(A2830,3)</f>
        <v>#N/A</v>
      </c>
      <c r="I2830" s="66">
        <f t="shared" si="308"/>
        <v>0</v>
      </c>
      <c r="K2830" s="66" t="str">
        <f t="shared" si="309"/>
        <v/>
      </c>
      <c r="L2830" s="66" t="str">
        <f t="shared" si="310"/>
        <v/>
      </c>
      <c r="M2830" s="66" t="str">
        <f t="shared" si="311"/>
        <v/>
      </c>
      <c r="N2830" s="66" t="str">
        <f t="shared" si="312"/>
        <v/>
      </c>
      <c r="O2830" s="66" t="str">
        <f t="shared" si="313"/>
        <v/>
      </c>
      <c r="P2830" s="66" t="str">
        <f t="shared" si="314"/>
        <v/>
      </c>
    </row>
    <row r="2831" spans="8:16">
      <c r="H2831" s="66" t="e">
        <f>IF(LEFT(A2831,6)="CEPNTR","GPINS",VLOOKUP(LEFT(A2831,6),'Code Library'!$A$3:$B$920,2,0))&amp;"_"&amp;RIGHT(A2831,3)</f>
        <v>#N/A</v>
      </c>
      <c r="I2831" s="66">
        <f t="shared" si="308"/>
        <v>0</v>
      </c>
      <c r="K2831" s="66" t="str">
        <f t="shared" si="309"/>
        <v/>
      </c>
      <c r="L2831" s="66" t="str">
        <f t="shared" si="310"/>
        <v/>
      </c>
      <c r="M2831" s="66" t="str">
        <f t="shared" si="311"/>
        <v/>
      </c>
      <c r="N2831" s="66" t="str">
        <f t="shared" si="312"/>
        <v/>
      </c>
      <c r="O2831" s="66" t="str">
        <f t="shared" si="313"/>
        <v/>
      </c>
      <c r="P2831" s="66" t="str">
        <f t="shared" si="314"/>
        <v/>
      </c>
    </row>
    <row r="2832" spans="8:16">
      <c r="H2832" s="66" t="e">
        <f>IF(LEFT(A2832,6)="CEPNTR","GPINS",VLOOKUP(LEFT(A2832,6),'Code Library'!$A$3:$B$920,2,0))&amp;"_"&amp;RIGHT(A2832,3)</f>
        <v>#N/A</v>
      </c>
      <c r="I2832" s="66">
        <f t="shared" si="308"/>
        <v>0</v>
      </c>
      <c r="K2832" s="66" t="str">
        <f t="shared" si="309"/>
        <v/>
      </c>
      <c r="L2832" s="66" t="str">
        <f t="shared" si="310"/>
        <v/>
      </c>
      <c r="M2832" s="66" t="str">
        <f t="shared" si="311"/>
        <v/>
      </c>
      <c r="N2832" s="66" t="str">
        <f t="shared" si="312"/>
        <v/>
      </c>
      <c r="O2832" s="66" t="str">
        <f t="shared" si="313"/>
        <v/>
      </c>
      <c r="P2832" s="66" t="str">
        <f t="shared" si="314"/>
        <v/>
      </c>
    </row>
    <row r="2833" spans="8:16">
      <c r="H2833" s="66" t="e">
        <f>IF(LEFT(A2833,6)="CEPNTR","GPINS",VLOOKUP(LEFT(A2833,6),'Code Library'!$A$3:$B$920,2,0))&amp;"_"&amp;RIGHT(A2833,3)</f>
        <v>#N/A</v>
      </c>
      <c r="I2833" s="66">
        <f t="shared" si="308"/>
        <v>0</v>
      </c>
      <c r="K2833" s="66" t="str">
        <f t="shared" si="309"/>
        <v/>
      </c>
      <c r="L2833" s="66" t="str">
        <f t="shared" si="310"/>
        <v/>
      </c>
      <c r="M2833" s="66" t="str">
        <f t="shared" si="311"/>
        <v/>
      </c>
      <c r="N2833" s="66" t="str">
        <f t="shared" si="312"/>
        <v/>
      </c>
      <c r="O2833" s="66" t="str">
        <f t="shared" si="313"/>
        <v/>
      </c>
      <c r="P2833" s="66" t="str">
        <f t="shared" si="314"/>
        <v/>
      </c>
    </row>
    <row r="2834" spans="8:16">
      <c r="H2834" s="66" t="e">
        <f>IF(LEFT(A2834,6)="CEPNTR","GPINS",VLOOKUP(LEFT(A2834,6),'Code Library'!$A$3:$B$920,2,0))&amp;"_"&amp;RIGHT(A2834,3)</f>
        <v>#N/A</v>
      </c>
      <c r="I2834" s="66">
        <f t="shared" si="308"/>
        <v>0</v>
      </c>
      <c r="K2834" s="66" t="str">
        <f t="shared" si="309"/>
        <v/>
      </c>
      <c r="L2834" s="66" t="str">
        <f t="shared" si="310"/>
        <v/>
      </c>
      <c r="M2834" s="66" t="str">
        <f t="shared" si="311"/>
        <v/>
      </c>
      <c r="N2834" s="66" t="str">
        <f t="shared" si="312"/>
        <v/>
      </c>
      <c r="O2834" s="66" t="str">
        <f t="shared" si="313"/>
        <v/>
      </c>
      <c r="P2834" s="66" t="str">
        <f t="shared" si="314"/>
        <v/>
      </c>
    </row>
    <row r="2835" spans="8:16">
      <c r="H2835" s="66" t="e">
        <f>IF(LEFT(A2835,6)="CEPNTR","GPINS",VLOOKUP(LEFT(A2835,6),'Code Library'!$A$3:$B$920,2,0))&amp;"_"&amp;RIGHT(A2835,3)</f>
        <v>#N/A</v>
      </c>
      <c r="I2835" s="66">
        <f t="shared" si="308"/>
        <v>0</v>
      </c>
      <c r="K2835" s="66" t="str">
        <f t="shared" si="309"/>
        <v/>
      </c>
      <c r="L2835" s="66" t="str">
        <f t="shared" si="310"/>
        <v/>
      </c>
      <c r="M2835" s="66" t="str">
        <f t="shared" si="311"/>
        <v/>
      </c>
      <c r="N2835" s="66" t="str">
        <f t="shared" si="312"/>
        <v/>
      </c>
      <c r="O2835" s="66" t="str">
        <f t="shared" si="313"/>
        <v/>
      </c>
      <c r="P2835" s="66" t="str">
        <f t="shared" si="314"/>
        <v/>
      </c>
    </row>
    <row r="2836" spans="8:16">
      <c r="H2836" s="66" t="e">
        <f>IF(LEFT(A2836,6)="CEPNTR","GPINS",VLOOKUP(LEFT(A2836,6),'Code Library'!$A$3:$B$920,2,0))&amp;"_"&amp;RIGHT(A2836,3)</f>
        <v>#N/A</v>
      </c>
      <c r="I2836" s="66">
        <f t="shared" si="308"/>
        <v>0</v>
      </c>
      <c r="K2836" s="66" t="str">
        <f t="shared" si="309"/>
        <v/>
      </c>
      <c r="L2836" s="66" t="str">
        <f t="shared" si="310"/>
        <v/>
      </c>
      <c r="M2836" s="66" t="str">
        <f t="shared" si="311"/>
        <v/>
      </c>
      <c r="N2836" s="66" t="str">
        <f t="shared" si="312"/>
        <v/>
      </c>
      <c r="O2836" s="66" t="str">
        <f t="shared" si="313"/>
        <v/>
      </c>
      <c r="P2836" s="66" t="str">
        <f t="shared" si="314"/>
        <v/>
      </c>
    </row>
    <row r="2837" spans="8:16">
      <c r="H2837" s="66" t="e">
        <f>IF(LEFT(A2837,6)="CEPNTR","GPINS",VLOOKUP(LEFT(A2837,6),'Code Library'!$A$3:$B$920,2,0))&amp;"_"&amp;RIGHT(A2837,3)</f>
        <v>#N/A</v>
      </c>
      <c r="I2837" s="66">
        <f t="shared" si="308"/>
        <v>0</v>
      </c>
      <c r="K2837" s="66" t="str">
        <f t="shared" si="309"/>
        <v/>
      </c>
      <c r="L2837" s="66" t="str">
        <f t="shared" si="310"/>
        <v/>
      </c>
      <c r="M2837" s="66" t="str">
        <f t="shared" si="311"/>
        <v/>
      </c>
      <c r="N2837" s="66" t="str">
        <f t="shared" si="312"/>
        <v/>
      </c>
      <c r="O2837" s="66" t="str">
        <f t="shared" si="313"/>
        <v/>
      </c>
      <c r="P2837" s="66" t="str">
        <f t="shared" si="314"/>
        <v/>
      </c>
    </row>
    <row r="2838" spans="8:16">
      <c r="H2838" s="66" t="e">
        <f>IF(LEFT(A2838,6)="CEPNTR","GPINS",VLOOKUP(LEFT(A2838,6),'Code Library'!$A$3:$B$920,2,0))&amp;"_"&amp;RIGHT(A2838,3)</f>
        <v>#N/A</v>
      </c>
      <c r="I2838" s="66">
        <f t="shared" si="308"/>
        <v>0</v>
      </c>
      <c r="K2838" s="66" t="str">
        <f t="shared" si="309"/>
        <v/>
      </c>
      <c r="L2838" s="66" t="str">
        <f t="shared" si="310"/>
        <v/>
      </c>
      <c r="M2838" s="66" t="str">
        <f t="shared" si="311"/>
        <v/>
      </c>
      <c r="N2838" s="66" t="str">
        <f t="shared" si="312"/>
        <v/>
      </c>
      <c r="O2838" s="66" t="str">
        <f t="shared" si="313"/>
        <v/>
      </c>
      <c r="P2838" s="66" t="str">
        <f t="shared" si="314"/>
        <v/>
      </c>
    </row>
    <row r="2839" spans="8:16">
      <c r="H2839" s="66" t="e">
        <f>IF(LEFT(A2839,6)="CEPNTR","GPINS",VLOOKUP(LEFT(A2839,6),'Code Library'!$A$3:$B$920,2,0))&amp;"_"&amp;RIGHT(A2839,3)</f>
        <v>#N/A</v>
      </c>
      <c r="I2839" s="66">
        <f t="shared" si="308"/>
        <v>0</v>
      </c>
      <c r="K2839" s="66" t="str">
        <f t="shared" si="309"/>
        <v/>
      </c>
      <c r="L2839" s="66" t="str">
        <f t="shared" si="310"/>
        <v/>
      </c>
      <c r="M2839" s="66" t="str">
        <f t="shared" si="311"/>
        <v/>
      </c>
      <c r="N2839" s="66" t="str">
        <f t="shared" si="312"/>
        <v/>
      </c>
      <c r="O2839" s="66" t="str">
        <f t="shared" si="313"/>
        <v/>
      </c>
      <c r="P2839" s="66" t="str">
        <f t="shared" si="314"/>
        <v/>
      </c>
    </row>
    <row r="2840" spans="8:16">
      <c r="H2840" s="66" t="e">
        <f>IF(LEFT(A2840,6)="CEPNTR","GPINS",VLOOKUP(LEFT(A2840,6),'Code Library'!$A$3:$B$920,2,0))&amp;"_"&amp;RIGHT(A2840,3)</f>
        <v>#N/A</v>
      </c>
      <c r="I2840" s="66">
        <f t="shared" si="308"/>
        <v>0</v>
      </c>
      <c r="K2840" s="66" t="str">
        <f t="shared" si="309"/>
        <v/>
      </c>
      <c r="L2840" s="66" t="str">
        <f t="shared" si="310"/>
        <v/>
      </c>
      <c r="M2840" s="66" t="str">
        <f t="shared" si="311"/>
        <v/>
      </c>
      <c r="N2840" s="66" t="str">
        <f t="shared" si="312"/>
        <v/>
      </c>
      <c r="O2840" s="66" t="str">
        <f t="shared" si="313"/>
        <v/>
      </c>
      <c r="P2840" s="66" t="str">
        <f t="shared" si="314"/>
        <v/>
      </c>
    </row>
    <row r="2841" spans="8:16">
      <c r="H2841" s="66" t="e">
        <f>IF(LEFT(A2841,6)="CEPNTR","GPINS",VLOOKUP(LEFT(A2841,6),'Code Library'!$A$3:$B$920,2,0))&amp;"_"&amp;RIGHT(A2841,3)</f>
        <v>#N/A</v>
      </c>
      <c r="I2841" s="66">
        <f t="shared" si="308"/>
        <v>0</v>
      </c>
      <c r="K2841" s="66" t="str">
        <f t="shared" si="309"/>
        <v/>
      </c>
      <c r="L2841" s="66" t="str">
        <f t="shared" si="310"/>
        <v/>
      </c>
      <c r="M2841" s="66" t="str">
        <f t="shared" si="311"/>
        <v/>
      </c>
      <c r="N2841" s="66" t="str">
        <f t="shared" si="312"/>
        <v/>
      </c>
      <c r="O2841" s="66" t="str">
        <f t="shared" si="313"/>
        <v/>
      </c>
      <c r="P2841" s="66" t="str">
        <f t="shared" si="314"/>
        <v/>
      </c>
    </row>
    <row r="2842" spans="8:16">
      <c r="H2842" s="66" t="e">
        <f>IF(LEFT(A2842,6)="CEPNTR","GPINS",VLOOKUP(LEFT(A2842,6),'Code Library'!$A$3:$B$920,2,0))&amp;"_"&amp;RIGHT(A2842,3)</f>
        <v>#N/A</v>
      </c>
      <c r="I2842" s="66">
        <f t="shared" si="308"/>
        <v>0</v>
      </c>
      <c r="K2842" s="66" t="str">
        <f t="shared" si="309"/>
        <v/>
      </c>
      <c r="L2842" s="66" t="str">
        <f t="shared" si="310"/>
        <v/>
      </c>
      <c r="M2842" s="66" t="str">
        <f t="shared" si="311"/>
        <v/>
      </c>
      <c r="N2842" s="66" t="str">
        <f t="shared" si="312"/>
        <v/>
      </c>
      <c r="O2842" s="66" t="str">
        <f t="shared" si="313"/>
        <v/>
      </c>
      <c r="P2842" s="66" t="str">
        <f t="shared" si="314"/>
        <v/>
      </c>
    </row>
    <row r="2843" spans="8:16">
      <c r="H2843" s="66" t="e">
        <f>IF(LEFT(A2843,6)="CEPNTR","GPINS",VLOOKUP(LEFT(A2843,6),'Code Library'!$A$3:$B$920,2,0))&amp;"_"&amp;RIGHT(A2843,3)</f>
        <v>#N/A</v>
      </c>
      <c r="I2843" s="66">
        <f t="shared" si="308"/>
        <v>0</v>
      </c>
      <c r="K2843" s="66" t="str">
        <f t="shared" si="309"/>
        <v/>
      </c>
      <c r="L2843" s="66" t="str">
        <f t="shared" si="310"/>
        <v/>
      </c>
      <c r="M2843" s="66" t="str">
        <f t="shared" si="311"/>
        <v/>
      </c>
      <c r="N2843" s="66" t="str">
        <f t="shared" si="312"/>
        <v/>
      </c>
      <c r="O2843" s="66" t="str">
        <f t="shared" si="313"/>
        <v/>
      </c>
      <c r="P2843" s="66" t="str">
        <f t="shared" si="314"/>
        <v/>
      </c>
    </row>
    <row r="2844" spans="8:16">
      <c r="H2844" s="66" t="e">
        <f>IF(LEFT(A2844,6)="CEPNTR","GPINS",VLOOKUP(LEFT(A2844,6),'Code Library'!$A$3:$B$920,2,0))&amp;"_"&amp;RIGHT(A2844,3)</f>
        <v>#N/A</v>
      </c>
      <c r="I2844" s="66">
        <f t="shared" si="308"/>
        <v>0</v>
      </c>
      <c r="K2844" s="66" t="str">
        <f t="shared" si="309"/>
        <v/>
      </c>
      <c r="L2844" s="66" t="str">
        <f t="shared" si="310"/>
        <v/>
      </c>
      <c r="M2844" s="66" t="str">
        <f t="shared" si="311"/>
        <v/>
      </c>
      <c r="N2844" s="66" t="str">
        <f t="shared" si="312"/>
        <v/>
      </c>
      <c r="O2844" s="66" t="str">
        <f t="shared" si="313"/>
        <v/>
      </c>
      <c r="P2844" s="66" t="str">
        <f t="shared" si="314"/>
        <v/>
      </c>
    </row>
    <row r="2845" spans="8:16">
      <c r="H2845" s="66" t="e">
        <f>IF(LEFT(A2845,6)="CEPNTR","GPINS",VLOOKUP(LEFT(A2845,6),'Code Library'!$A$3:$B$920,2,0))&amp;"_"&amp;RIGHT(A2845,3)</f>
        <v>#N/A</v>
      </c>
      <c r="I2845" s="66">
        <f t="shared" si="308"/>
        <v>0</v>
      </c>
      <c r="K2845" s="66" t="str">
        <f t="shared" si="309"/>
        <v/>
      </c>
      <c r="L2845" s="66" t="str">
        <f t="shared" si="310"/>
        <v/>
      </c>
      <c r="M2845" s="66" t="str">
        <f t="shared" si="311"/>
        <v/>
      </c>
      <c r="N2845" s="66" t="str">
        <f t="shared" si="312"/>
        <v/>
      </c>
      <c r="O2845" s="66" t="str">
        <f t="shared" si="313"/>
        <v/>
      </c>
      <c r="P2845" s="66" t="str">
        <f t="shared" si="314"/>
        <v/>
      </c>
    </row>
    <row r="2846" spans="8:16">
      <c r="H2846" s="66" t="e">
        <f>IF(LEFT(A2846,6)="CEPNTR","GPINS",VLOOKUP(LEFT(A2846,6),'Code Library'!$A$3:$B$920,2,0))&amp;"_"&amp;RIGHT(A2846,3)</f>
        <v>#N/A</v>
      </c>
      <c r="I2846" s="66">
        <f t="shared" si="308"/>
        <v>0</v>
      </c>
      <c r="K2846" s="66" t="str">
        <f t="shared" si="309"/>
        <v/>
      </c>
      <c r="L2846" s="66" t="str">
        <f t="shared" si="310"/>
        <v/>
      </c>
      <c r="M2846" s="66" t="str">
        <f t="shared" si="311"/>
        <v/>
      </c>
      <c r="N2846" s="66" t="str">
        <f t="shared" si="312"/>
        <v/>
      </c>
      <c r="O2846" s="66" t="str">
        <f t="shared" si="313"/>
        <v/>
      </c>
      <c r="P2846" s="66" t="str">
        <f t="shared" si="314"/>
        <v/>
      </c>
    </row>
    <row r="2847" spans="8:16">
      <c r="H2847" s="66" t="e">
        <f>IF(LEFT(A2847,6)="CEPNTR","GPINS",VLOOKUP(LEFT(A2847,6),'Code Library'!$A$3:$B$920,2,0))&amp;"_"&amp;RIGHT(A2847,3)</f>
        <v>#N/A</v>
      </c>
      <c r="I2847" s="66">
        <f t="shared" si="308"/>
        <v>0</v>
      </c>
      <c r="K2847" s="66" t="str">
        <f t="shared" si="309"/>
        <v/>
      </c>
      <c r="L2847" s="66" t="str">
        <f t="shared" si="310"/>
        <v/>
      </c>
      <c r="M2847" s="66" t="str">
        <f t="shared" si="311"/>
        <v/>
      </c>
      <c r="N2847" s="66" t="str">
        <f t="shared" si="312"/>
        <v/>
      </c>
      <c r="O2847" s="66" t="str">
        <f t="shared" si="313"/>
        <v/>
      </c>
      <c r="P2847" s="66" t="str">
        <f t="shared" si="314"/>
        <v/>
      </c>
    </row>
    <row r="2848" spans="8:16">
      <c r="H2848" s="66" t="e">
        <f>IF(LEFT(A2848,6)="CEPNTR","GPINS",VLOOKUP(LEFT(A2848,6),'Code Library'!$A$3:$B$920,2,0))&amp;"_"&amp;RIGHT(A2848,3)</f>
        <v>#N/A</v>
      </c>
      <c r="I2848" s="66">
        <f t="shared" si="308"/>
        <v>0</v>
      </c>
      <c r="K2848" s="66" t="str">
        <f t="shared" si="309"/>
        <v/>
      </c>
      <c r="L2848" s="66" t="str">
        <f t="shared" si="310"/>
        <v/>
      </c>
      <c r="M2848" s="66" t="str">
        <f t="shared" si="311"/>
        <v/>
      </c>
      <c r="N2848" s="66" t="str">
        <f t="shared" si="312"/>
        <v/>
      </c>
      <c r="O2848" s="66" t="str">
        <f t="shared" si="313"/>
        <v/>
      </c>
      <c r="P2848" s="66" t="str">
        <f t="shared" si="314"/>
        <v/>
      </c>
    </row>
    <row r="2849" spans="8:16">
      <c r="H2849" s="66" t="e">
        <f>IF(LEFT(A2849,6)="CEPNTR","GPINS",VLOOKUP(LEFT(A2849,6),'Code Library'!$A$3:$B$920,2,0))&amp;"_"&amp;RIGHT(A2849,3)</f>
        <v>#N/A</v>
      </c>
      <c r="I2849" s="66">
        <f t="shared" si="308"/>
        <v>0</v>
      </c>
      <c r="K2849" s="66" t="str">
        <f t="shared" si="309"/>
        <v/>
      </c>
      <c r="L2849" s="66" t="str">
        <f t="shared" si="310"/>
        <v/>
      </c>
      <c r="M2849" s="66" t="str">
        <f t="shared" si="311"/>
        <v/>
      </c>
      <c r="N2849" s="66" t="str">
        <f t="shared" si="312"/>
        <v/>
      </c>
      <c r="O2849" s="66" t="str">
        <f t="shared" si="313"/>
        <v/>
      </c>
      <c r="P2849" s="66" t="str">
        <f t="shared" si="314"/>
        <v/>
      </c>
    </row>
    <row r="2850" spans="8:16">
      <c r="H2850" s="66" t="e">
        <f>IF(LEFT(A2850,6)="CEPNTR","GPINS",VLOOKUP(LEFT(A2850,6),'Code Library'!$A$3:$B$920,2,0))&amp;"_"&amp;RIGHT(A2850,3)</f>
        <v>#N/A</v>
      </c>
      <c r="I2850" s="66">
        <f t="shared" si="308"/>
        <v>0</v>
      </c>
      <c r="K2850" s="66" t="str">
        <f t="shared" si="309"/>
        <v/>
      </c>
      <c r="L2850" s="66" t="str">
        <f t="shared" si="310"/>
        <v/>
      </c>
      <c r="M2850" s="66" t="str">
        <f t="shared" si="311"/>
        <v/>
      </c>
      <c r="N2850" s="66" t="str">
        <f t="shared" si="312"/>
        <v/>
      </c>
      <c r="O2850" s="66" t="str">
        <f t="shared" si="313"/>
        <v/>
      </c>
      <c r="P2850" s="66" t="str">
        <f t="shared" si="314"/>
        <v/>
      </c>
    </row>
    <row r="2851" spans="8:16">
      <c r="H2851" s="66" t="e">
        <f>IF(LEFT(A2851,6)="CEPNTR","GPINS",VLOOKUP(LEFT(A2851,6),'Code Library'!$A$3:$B$920,2,0))&amp;"_"&amp;RIGHT(A2851,3)</f>
        <v>#N/A</v>
      </c>
      <c r="I2851" s="66">
        <f t="shared" si="308"/>
        <v>0</v>
      </c>
      <c r="K2851" s="66" t="str">
        <f t="shared" si="309"/>
        <v/>
      </c>
      <c r="L2851" s="66" t="str">
        <f t="shared" si="310"/>
        <v/>
      </c>
      <c r="M2851" s="66" t="str">
        <f t="shared" si="311"/>
        <v/>
      </c>
      <c r="N2851" s="66" t="str">
        <f t="shared" si="312"/>
        <v/>
      </c>
      <c r="O2851" s="66" t="str">
        <f t="shared" si="313"/>
        <v/>
      </c>
      <c r="P2851" s="66" t="str">
        <f t="shared" si="314"/>
        <v/>
      </c>
    </row>
    <row r="2852" spans="8:16">
      <c r="H2852" s="66" t="e">
        <f>IF(LEFT(A2852,6)="CEPNTR","GPINS",VLOOKUP(LEFT(A2852,6),'Code Library'!$A$3:$B$920,2,0))&amp;"_"&amp;RIGHT(A2852,3)</f>
        <v>#N/A</v>
      </c>
      <c r="I2852" s="66">
        <f t="shared" si="308"/>
        <v>0</v>
      </c>
      <c r="K2852" s="66" t="str">
        <f t="shared" si="309"/>
        <v/>
      </c>
      <c r="L2852" s="66" t="str">
        <f t="shared" si="310"/>
        <v/>
      </c>
      <c r="M2852" s="66" t="str">
        <f t="shared" si="311"/>
        <v/>
      </c>
      <c r="N2852" s="66" t="str">
        <f t="shared" si="312"/>
        <v/>
      </c>
      <c r="O2852" s="66" t="str">
        <f t="shared" si="313"/>
        <v/>
      </c>
      <c r="P2852" s="66" t="str">
        <f t="shared" si="314"/>
        <v/>
      </c>
    </row>
    <row r="2853" spans="8:16">
      <c r="H2853" s="66" t="e">
        <f>IF(LEFT(A2853,6)="CEPNTR","GPINS",VLOOKUP(LEFT(A2853,6),'Code Library'!$A$3:$B$920,2,0))&amp;"_"&amp;RIGHT(A2853,3)</f>
        <v>#N/A</v>
      </c>
      <c r="I2853" s="66">
        <f t="shared" si="308"/>
        <v>0</v>
      </c>
      <c r="K2853" s="66" t="str">
        <f t="shared" si="309"/>
        <v/>
      </c>
      <c r="L2853" s="66" t="str">
        <f t="shared" si="310"/>
        <v/>
      </c>
      <c r="M2853" s="66" t="str">
        <f t="shared" si="311"/>
        <v/>
      </c>
      <c r="N2853" s="66" t="str">
        <f t="shared" si="312"/>
        <v/>
      </c>
      <c r="O2853" s="66" t="str">
        <f t="shared" si="313"/>
        <v/>
      </c>
      <c r="P2853" s="66" t="str">
        <f t="shared" si="314"/>
        <v/>
      </c>
    </row>
    <row r="2854" spans="8:16">
      <c r="H2854" s="66" t="e">
        <f>IF(LEFT(A2854,6)="CEPNTR","GPINS",VLOOKUP(LEFT(A2854,6),'Code Library'!$A$3:$B$920,2,0))&amp;"_"&amp;RIGHT(A2854,3)</f>
        <v>#N/A</v>
      </c>
      <c r="I2854" s="66">
        <f t="shared" si="308"/>
        <v>0</v>
      </c>
      <c r="K2854" s="66" t="str">
        <f t="shared" si="309"/>
        <v/>
      </c>
      <c r="L2854" s="66" t="str">
        <f t="shared" si="310"/>
        <v/>
      </c>
      <c r="M2854" s="66" t="str">
        <f t="shared" si="311"/>
        <v/>
      </c>
      <c r="N2854" s="66" t="str">
        <f t="shared" si="312"/>
        <v/>
      </c>
      <c r="O2854" s="66" t="str">
        <f t="shared" si="313"/>
        <v/>
      </c>
      <c r="P2854" s="66" t="str">
        <f t="shared" si="314"/>
        <v/>
      </c>
    </row>
    <row r="2855" spans="8:16">
      <c r="H2855" s="66" t="e">
        <f>IF(LEFT(A2855,6)="CEPNTR","GPINS",VLOOKUP(LEFT(A2855,6),'Code Library'!$A$3:$B$920,2,0))&amp;"_"&amp;RIGHT(A2855,3)</f>
        <v>#N/A</v>
      </c>
      <c r="I2855" s="66">
        <f t="shared" si="308"/>
        <v>0</v>
      </c>
      <c r="K2855" s="66" t="str">
        <f t="shared" si="309"/>
        <v/>
      </c>
      <c r="L2855" s="66" t="str">
        <f t="shared" si="310"/>
        <v/>
      </c>
      <c r="M2855" s="66" t="str">
        <f t="shared" si="311"/>
        <v/>
      </c>
      <c r="N2855" s="66" t="str">
        <f t="shared" si="312"/>
        <v/>
      </c>
      <c r="O2855" s="66" t="str">
        <f t="shared" si="313"/>
        <v/>
      </c>
      <c r="P2855" s="66" t="str">
        <f t="shared" si="314"/>
        <v/>
      </c>
    </row>
    <row r="2856" spans="8:16">
      <c r="H2856" s="66" t="e">
        <f>IF(LEFT(A2856,6)="CEPNTR","GPINS",VLOOKUP(LEFT(A2856,6),'Code Library'!$A$3:$B$920,2,0))&amp;"_"&amp;RIGHT(A2856,3)</f>
        <v>#N/A</v>
      </c>
      <c r="I2856" s="66">
        <f t="shared" si="308"/>
        <v>0</v>
      </c>
      <c r="K2856" s="66" t="str">
        <f t="shared" si="309"/>
        <v/>
      </c>
      <c r="L2856" s="66" t="str">
        <f t="shared" si="310"/>
        <v/>
      </c>
      <c r="M2856" s="66" t="str">
        <f t="shared" si="311"/>
        <v/>
      </c>
      <c r="N2856" s="66" t="str">
        <f t="shared" si="312"/>
        <v/>
      </c>
      <c r="O2856" s="66" t="str">
        <f t="shared" si="313"/>
        <v/>
      </c>
      <c r="P2856" s="66" t="str">
        <f t="shared" si="314"/>
        <v/>
      </c>
    </row>
    <row r="2857" spans="8:16">
      <c r="H2857" s="66" t="e">
        <f>IF(LEFT(A2857,6)="CEPNTR","GPINS",VLOOKUP(LEFT(A2857,6),'Code Library'!$A$3:$B$920,2,0))&amp;"_"&amp;RIGHT(A2857,3)</f>
        <v>#N/A</v>
      </c>
      <c r="I2857" s="66">
        <f t="shared" si="308"/>
        <v>0</v>
      </c>
      <c r="K2857" s="66" t="str">
        <f t="shared" si="309"/>
        <v/>
      </c>
      <c r="L2857" s="66" t="str">
        <f t="shared" si="310"/>
        <v/>
      </c>
      <c r="M2857" s="66" t="str">
        <f t="shared" si="311"/>
        <v/>
      </c>
      <c r="N2857" s="66" t="str">
        <f t="shared" si="312"/>
        <v/>
      </c>
      <c r="O2857" s="66" t="str">
        <f t="shared" si="313"/>
        <v/>
      </c>
      <c r="P2857" s="66" t="str">
        <f t="shared" si="314"/>
        <v/>
      </c>
    </row>
    <row r="2858" spans="8:16">
      <c r="H2858" s="66" t="e">
        <f>IF(LEFT(A2858,6)="CEPNTR","GPINS",VLOOKUP(LEFT(A2858,6),'Code Library'!$A$3:$B$920,2,0))&amp;"_"&amp;RIGHT(A2858,3)</f>
        <v>#N/A</v>
      </c>
      <c r="I2858" s="66">
        <f t="shared" si="308"/>
        <v>0</v>
      </c>
      <c r="K2858" s="66" t="str">
        <f t="shared" si="309"/>
        <v/>
      </c>
      <c r="L2858" s="66" t="str">
        <f t="shared" si="310"/>
        <v/>
      </c>
      <c r="M2858" s="66" t="str">
        <f t="shared" si="311"/>
        <v/>
      </c>
      <c r="N2858" s="66" t="str">
        <f t="shared" si="312"/>
        <v/>
      </c>
      <c r="O2858" s="66" t="str">
        <f t="shared" si="313"/>
        <v/>
      </c>
      <c r="P2858" s="66" t="str">
        <f t="shared" si="314"/>
        <v/>
      </c>
    </row>
    <row r="2859" spans="8:16">
      <c r="H2859" s="66" t="e">
        <f>IF(LEFT(A2859,6)="CEPNTR","GPINS",VLOOKUP(LEFT(A2859,6),'Code Library'!$A$3:$B$920,2,0))&amp;"_"&amp;RIGHT(A2859,3)</f>
        <v>#N/A</v>
      </c>
      <c r="I2859" s="66">
        <f t="shared" si="308"/>
        <v>0</v>
      </c>
      <c r="K2859" s="66" t="str">
        <f t="shared" si="309"/>
        <v/>
      </c>
      <c r="L2859" s="66" t="str">
        <f t="shared" si="310"/>
        <v/>
      </c>
      <c r="M2859" s="66" t="str">
        <f t="shared" si="311"/>
        <v/>
      </c>
      <c r="N2859" s="66" t="str">
        <f t="shared" si="312"/>
        <v/>
      </c>
      <c r="O2859" s="66" t="str">
        <f t="shared" si="313"/>
        <v/>
      </c>
      <c r="P2859" s="66" t="str">
        <f t="shared" si="314"/>
        <v/>
      </c>
    </row>
    <row r="2860" spans="8:16">
      <c r="H2860" s="66" t="e">
        <f>IF(LEFT(A2860,6)="CEPNTR","GPINS",VLOOKUP(LEFT(A2860,6),'Code Library'!$A$3:$B$920,2,0))&amp;"_"&amp;RIGHT(A2860,3)</f>
        <v>#N/A</v>
      </c>
      <c r="I2860" s="66">
        <f t="shared" si="308"/>
        <v>0</v>
      </c>
      <c r="K2860" s="66" t="str">
        <f t="shared" si="309"/>
        <v/>
      </c>
      <c r="L2860" s="66" t="str">
        <f t="shared" si="310"/>
        <v/>
      </c>
      <c r="M2860" s="66" t="str">
        <f t="shared" si="311"/>
        <v/>
      </c>
      <c r="N2860" s="66" t="str">
        <f t="shared" si="312"/>
        <v/>
      </c>
      <c r="O2860" s="66" t="str">
        <f t="shared" si="313"/>
        <v/>
      </c>
      <c r="P2860" s="66" t="str">
        <f t="shared" si="314"/>
        <v/>
      </c>
    </row>
    <row r="2861" spans="8:16">
      <c r="H2861" s="66" t="e">
        <f>IF(LEFT(A2861,6)="CEPNTR","GPINS",VLOOKUP(LEFT(A2861,6),'Code Library'!$A$3:$B$920,2,0))&amp;"_"&amp;RIGHT(A2861,3)</f>
        <v>#N/A</v>
      </c>
      <c r="I2861" s="66">
        <f t="shared" si="308"/>
        <v>0</v>
      </c>
      <c r="K2861" s="66" t="str">
        <f t="shared" si="309"/>
        <v/>
      </c>
      <c r="L2861" s="66" t="str">
        <f t="shared" si="310"/>
        <v/>
      </c>
      <c r="M2861" s="66" t="str">
        <f t="shared" si="311"/>
        <v/>
      </c>
      <c r="N2861" s="66" t="str">
        <f t="shared" si="312"/>
        <v/>
      </c>
      <c r="O2861" s="66" t="str">
        <f t="shared" si="313"/>
        <v/>
      </c>
      <c r="P2861" s="66" t="str">
        <f t="shared" si="314"/>
        <v/>
      </c>
    </row>
    <row r="2862" spans="8:16">
      <c r="H2862" s="66" t="e">
        <f>IF(LEFT(A2862,6)="CEPNTR","GPINS",VLOOKUP(LEFT(A2862,6),'Code Library'!$A$3:$B$920,2,0))&amp;"_"&amp;RIGHT(A2862,3)</f>
        <v>#N/A</v>
      </c>
      <c r="I2862" s="66">
        <f t="shared" si="308"/>
        <v>0</v>
      </c>
      <c r="K2862" s="66" t="str">
        <f t="shared" si="309"/>
        <v/>
      </c>
      <c r="L2862" s="66" t="str">
        <f t="shared" si="310"/>
        <v/>
      </c>
      <c r="M2862" s="66" t="str">
        <f t="shared" si="311"/>
        <v/>
      </c>
      <c r="N2862" s="66" t="str">
        <f t="shared" si="312"/>
        <v/>
      </c>
      <c r="O2862" s="66" t="str">
        <f t="shared" si="313"/>
        <v/>
      </c>
      <c r="P2862" s="66" t="str">
        <f t="shared" si="314"/>
        <v/>
      </c>
    </row>
    <row r="2863" spans="8:16">
      <c r="H2863" s="66" t="e">
        <f>IF(LEFT(A2863,6)="CEPNTR","GPINS",VLOOKUP(LEFT(A2863,6),'Code Library'!$A$3:$B$920,2,0))&amp;"_"&amp;RIGHT(A2863,3)</f>
        <v>#N/A</v>
      </c>
      <c r="I2863" s="66">
        <f t="shared" si="308"/>
        <v>0</v>
      </c>
      <c r="K2863" s="66" t="str">
        <f t="shared" si="309"/>
        <v/>
      </c>
      <c r="L2863" s="66" t="str">
        <f t="shared" si="310"/>
        <v/>
      </c>
      <c r="M2863" s="66" t="str">
        <f t="shared" si="311"/>
        <v/>
      </c>
      <c r="N2863" s="66" t="str">
        <f t="shared" si="312"/>
        <v/>
      </c>
      <c r="O2863" s="66" t="str">
        <f t="shared" si="313"/>
        <v/>
      </c>
      <c r="P2863" s="66" t="str">
        <f t="shared" si="314"/>
        <v/>
      </c>
    </row>
    <row r="2864" spans="8:16">
      <c r="H2864" s="66" t="e">
        <f>IF(LEFT(A2864,6)="CEPNTR","GPINS",VLOOKUP(LEFT(A2864,6),'Code Library'!$A$3:$B$920,2,0))&amp;"_"&amp;RIGHT(A2864,3)</f>
        <v>#N/A</v>
      </c>
      <c r="I2864" s="66">
        <f t="shared" si="308"/>
        <v>0</v>
      </c>
      <c r="K2864" s="66" t="str">
        <f t="shared" si="309"/>
        <v/>
      </c>
      <c r="L2864" s="66" t="str">
        <f t="shared" si="310"/>
        <v/>
      </c>
      <c r="M2864" s="66" t="str">
        <f t="shared" si="311"/>
        <v/>
      </c>
      <c r="N2864" s="66" t="str">
        <f t="shared" si="312"/>
        <v/>
      </c>
      <c r="O2864" s="66" t="str">
        <f t="shared" si="313"/>
        <v/>
      </c>
      <c r="P2864" s="66" t="str">
        <f t="shared" si="314"/>
        <v/>
      </c>
    </row>
    <row r="2865" spans="8:16">
      <c r="H2865" s="66" t="e">
        <f>IF(LEFT(A2865,6)="CEPNTR","GPINS",VLOOKUP(LEFT(A2865,6),'Code Library'!$A$3:$B$920,2,0))&amp;"_"&amp;RIGHT(A2865,3)</f>
        <v>#N/A</v>
      </c>
      <c r="I2865" s="66">
        <f t="shared" si="308"/>
        <v>0</v>
      </c>
      <c r="K2865" s="66" t="str">
        <f t="shared" si="309"/>
        <v/>
      </c>
      <c r="L2865" s="66" t="str">
        <f t="shared" si="310"/>
        <v/>
      </c>
      <c r="M2865" s="66" t="str">
        <f t="shared" si="311"/>
        <v/>
      </c>
      <c r="N2865" s="66" t="str">
        <f t="shared" si="312"/>
        <v/>
      </c>
      <c r="O2865" s="66" t="str">
        <f t="shared" si="313"/>
        <v/>
      </c>
      <c r="P2865" s="66" t="str">
        <f t="shared" si="314"/>
        <v/>
      </c>
    </row>
    <row r="2866" spans="8:16">
      <c r="H2866" s="66" t="e">
        <f>IF(LEFT(A2866,6)="CEPNTR","GPINS",VLOOKUP(LEFT(A2866,6),'Code Library'!$A$3:$B$920,2,0))&amp;"_"&amp;RIGHT(A2866,3)</f>
        <v>#N/A</v>
      </c>
      <c r="I2866" s="66">
        <f t="shared" si="308"/>
        <v>0</v>
      </c>
      <c r="K2866" s="66" t="str">
        <f t="shared" si="309"/>
        <v/>
      </c>
      <c r="L2866" s="66" t="str">
        <f t="shared" si="310"/>
        <v/>
      </c>
      <c r="M2866" s="66" t="str">
        <f t="shared" si="311"/>
        <v/>
      </c>
      <c r="N2866" s="66" t="str">
        <f t="shared" si="312"/>
        <v/>
      </c>
      <c r="O2866" s="66" t="str">
        <f t="shared" si="313"/>
        <v/>
      </c>
      <c r="P2866" s="66" t="str">
        <f t="shared" si="314"/>
        <v/>
      </c>
    </row>
    <row r="2867" spans="8:16">
      <c r="H2867" s="66" t="e">
        <f>IF(LEFT(A2867,6)="CEPNTR","GPINS",VLOOKUP(LEFT(A2867,6),'Code Library'!$A$3:$B$920,2,0))&amp;"_"&amp;RIGHT(A2867,3)</f>
        <v>#N/A</v>
      </c>
      <c r="I2867" s="66">
        <f t="shared" si="308"/>
        <v>0</v>
      </c>
      <c r="K2867" s="66" t="str">
        <f t="shared" si="309"/>
        <v/>
      </c>
      <c r="L2867" s="66" t="str">
        <f t="shared" si="310"/>
        <v/>
      </c>
      <c r="M2867" s="66" t="str">
        <f t="shared" si="311"/>
        <v/>
      </c>
      <c r="N2867" s="66" t="str">
        <f t="shared" si="312"/>
        <v/>
      </c>
      <c r="O2867" s="66" t="str">
        <f t="shared" si="313"/>
        <v/>
      </c>
      <c r="P2867" s="66" t="str">
        <f t="shared" si="314"/>
        <v/>
      </c>
    </row>
    <row r="2868" spans="8:16">
      <c r="H2868" s="66" t="e">
        <f>IF(LEFT(A2868,6)="CEPNTR","GPINS",VLOOKUP(LEFT(A2868,6),'Code Library'!$A$3:$B$920,2,0))&amp;"_"&amp;RIGHT(A2868,3)</f>
        <v>#N/A</v>
      </c>
      <c r="I2868" s="66">
        <f t="shared" si="308"/>
        <v>0</v>
      </c>
      <c r="K2868" s="66" t="str">
        <f t="shared" si="309"/>
        <v/>
      </c>
      <c r="L2868" s="66" t="str">
        <f t="shared" si="310"/>
        <v/>
      </c>
      <c r="M2868" s="66" t="str">
        <f t="shared" si="311"/>
        <v/>
      </c>
      <c r="N2868" s="66" t="str">
        <f t="shared" si="312"/>
        <v/>
      </c>
      <c r="O2868" s="66" t="str">
        <f t="shared" si="313"/>
        <v/>
      </c>
      <c r="P2868" s="66" t="str">
        <f t="shared" si="314"/>
        <v/>
      </c>
    </row>
    <row r="2869" spans="8:16">
      <c r="H2869" s="66" t="e">
        <f>IF(LEFT(A2869,6)="CEPNTR","GPINS",VLOOKUP(LEFT(A2869,6),'Code Library'!$A$3:$B$920,2,0))&amp;"_"&amp;RIGHT(A2869,3)</f>
        <v>#N/A</v>
      </c>
      <c r="I2869" s="66">
        <f t="shared" si="308"/>
        <v>0</v>
      </c>
      <c r="K2869" s="66" t="str">
        <f t="shared" si="309"/>
        <v/>
      </c>
      <c r="L2869" s="66" t="str">
        <f t="shared" si="310"/>
        <v/>
      </c>
      <c r="M2869" s="66" t="str">
        <f t="shared" si="311"/>
        <v/>
      </c>
      <c r="N2869" s="66" t="str">
        <f t="shared" si="312"/>
        <v/>
      </c>
      <c r="O2869" s="66" t="str">
        <f t="shared" si="313"/>
        <v/>
      </c>
      <c r="P2869" s="66" t="str">
        <f t="shared" si="314"/>
        <v/>
      </c>
    </row>
    <row r="2870" spans="8:16">
      <c r="H2870" s="66" t="e">
        <f>IF(LEFT(A2870,6)="CEPNTR","GPINS",VLOOKUP(LEFT(A2870,6),'Code Library'!$A$3:$B$920,2,0))&amp;"_"&amp;RIGHT(A2870,3)</f>
        <v>#N/A</v>
      </c>
      <c r="I2870" s="66">
        <f t="shared" si="308"/>
        <v>0</v>
      </c>
      <c r="K2870" s="66" t="str">
        <f t="shared" si="309"/>
        <v/>
      </c>
      <c r="L2870" s="66" t="str">
        <f t="shared" si="310"/>
        <v/>
      </c>
      <c r="M2870" s="66" t="str">
        <f t="shared" si="311"/>
        <v/>
      </c>
      <c r="N2870" s="66" t="str">
        <f t="shared" si="312"/>
        <v/>
      </c>
      <c r="O2870" s="66" t="str">
        <f t="shared" si="313"/>
        <v/>
      </c>
      <c r="P2870" s="66" t="str">
        <f t="shared" si="314"/>
        <v/>
      </c>
    </row>
    <row r="2871" spans="8:16">
      <c r="H2871" s="66" t="e">
        <f>IF(LEFT(A2871,6)="CEPNTR","GPINS",VLOOKUP(LEFT(A2871,6),'Code Library'!$A$3:$B$920,2,0))&amp;"_"&amp;RIGHT(A2871,3)</f>
        <v>#N/A</v>
      </c>
      <c r="I2871" s="66">
        <f t="shared" si="308"/>
        <v>0</v>
      </c>
      <c r="K2871" s="66" t="str">
        <f t="shared" si="309"/>
        <v/>
      </c>
      <c r="L2871" s="66" t="str">
        <f t="shared" si="310"/>
        <v/>
      </c>
      <c r="M2871" s="66" t="str">
        <f t="shared" si="311"/>
        <v/>
      </c>
      <c r="N2871" s="66" t="str">
        <f t="shared" si="312"/>
        <v/>
      </c>
      <c r="O2871" s="66" t="str">
        <f t="shared" si="313"/>
        <v/>
      </c>
      <c r="P2871" s="66" t="str">
        <f t="shared" si="314"/>
        <v/>
      </c>
    </row>
    <row r="2872" spans="8:16">
      <c r="H2872" s="66" t="e">
        <f>IF(LEFT(A2872,6)="CEPNTR","GPINS",VLOOKUP(LEFT(A2872,6),'Code Library'!$A$3:$B$920,2,0))&amp;"_"&amp;RIGHT(A2872,3)</f>
        <v>#N/A</v>
      </c>
      <c r="I2872" s="66">
        <f t="shared" si="308"/>
        <v>0</v>
      </c>
      <c r="K2872" s="66" t="str">
        <f t="shared" si="309"/>
        <v/>
      </c>
      <c r="L2872" s="66" t="str">
        <f t="shared" si="310"/>
        <v/>
      </c>
      <c r="M2872" s="66" t="str">
        <f t="shared" si="311"/>
        <v/>
      </c>
      <c r="N2872" s="66" t="str">
        <f t="shared" si="312"/>
        <v/>
      </c>
      <c r="O2872" s="66" t="str">
        <f t="shared" si="313"/>
        <v/>
      </c>
      <c r="P2872" s="66" t="str">
        <f t="shared" si="314"/>
        <v/>
      </c>
    </row>
    <row r="2873" spans="8:16">
      <c r="H2873" s="66" t="e">
        <f>IF(LEFT(A2873,6)="CEPNTR","GPINS",VLOOKUP(LEFT(A2873,6),'Code Library'!$A$3:$B$920,2,0))&amp;"_"&amp;RIGHT(A2873,3)</f>
        <v>#N/A</v>
      </c>
      <c r="I2873" s="66">
        <f t="shared" si="308"/>
        <v>0</v>
      </c>
      <c r="K2873" s="66" t="str">
        <f t="shared" si="309"/>
        <v/>
      </c>
      <c r="L2873" s="66" t="str">
        <f t="shared" si="310"/>
        <v/>
      </c>
      <c r="M2873" s="66" t="str">
        <f t="shared" si="311"/>
        <v/>
      </c>
      <c r="N2873" s="66" t="str">
        <f t="shared" si="312"/>
        <v/>
      </c>
      <c r="O2873" s="66" t="str">
        <f t="shared" si="313"/>
        <v/>
      </c>
      <c r="P2873" s="66" t="str">
        <f t="shared" si="314"/>
        <v/>
      </c>
    </row>
    <row r="2874" spans="8:16">
      <c r="H2874" s="66" t="e">
        <f>IF(LEFT(A2874,6)="CEPNTR","GPINS",VLOOKUP(LEFT(A2874,6),'Code Library'!$A$3:$B$920,2,0))&amp;"_"&amp;RIGHT(A2874,3)</f>
        <v>#N/A</v>
      </c>
      <c r="I2874" s="66">
        <f t="shared" si="308"/>
        <v>0</v>
      </c>
      <c r="K2874" s="66" t="str">
        <f t="shared" si="309"/>
        <v/>
      </c>
      <c r="L2874" s="66" t="str">
        <f t="shared" si="310"/>
        <v/>
      </c>
      <c r="M2874" s="66" t="str">
        <f t="shared" si="311"/>
        <v/>
      </c>
      <c r="N2874" s="66" t="str">
        <f t="shared" si="312"/>
        <v/>
      </c>
      <c r="O2874" s="66" t="str">
        <f t="shared" si="313"/>
        <v/>
      </c>
      <c r="P2874" s="66" t="str">
        <f t="shared" si="314"/>
        <v/>
      </c>
    </row>
    <row r="2875" spans="8:16">
      <c r="H2875" s="66" t="e">
        <f>IF(LEFT(A2875,6)="CEPNTR","GPINS",VLOOKUP(LEFT(A2875,6),'Code Library'!$A$3:$B$920,2,0))&amp;"_"&amp;RIGHT(A2875,3)</f>
        <v>#N/A</v>
      </c>
      <c r="I2875" s="66">
        <f t="shared" si="308"/>
        <v>0</v>
      </c>
      <c r="K2875" s="66" t="str">
        <f t="shared" si="309"/>
        <v/>
      </c>
      <c r="L2875" s="66" t="str">
        <f t="shared" si="310"/>
        <v/>
      </c>
      <c r="M2875" s="66" t="str">
        <f t="shared" si="311"/>
        <v/>
      </c>
      <c r="N2875" s="66" t="str">
        <f t="shared" si="312"/>
        <v/>
      </c>
      <c r="O2875" s="66" t="str">
        <f t="shared" si="313"/>
        <v/>
      </c>
      <c r="P2875" s="66" t="str">
        <f t="shared" si="314"/>
        <v/>
      </c>
    </row>
    <row r="2876" spans="8:16">
      <c r="H2876" s="66" t="e">
        <f>IF(LEFT(A2876,6)="CEPNTR","GPINS",VLOOKUP(LEFT(A2876,6),'Code Library'!$A$3:$B$920,2,0))&amp;"_"&amp;RIGHT(A2876,3)</f>
        <v>#N/A</v>
      </c>
      <c r="I2876" s="66">
        <f t="shared" si="308"/>
        <v>0</v>
      </c>
      <c r="K2876" s="66" t="str">
        <f t="shared" si="309"/>
        <v/>
      </c>
      <c r="L2876" s="66" t="str">
        <f t="shared" si="310"/>
        <v/>
      </c>
      <c r="M2876" s="66" t="str">
        <f t="shared" si="311"/>
        <v/>
      </c>
      <c r="N2876" s="66" t="str">
        <f t="shared" si="312"/>
        <v/>
      </c>
      <c r="O2876" s="66" t="str">
        <f t="shared" si="313"/>
        <v/>
      </c>
      <c r="P2876" s="66" t="str">
        <f t="shared" si="314"/>
        <v/>
      </c>
    </row>
    <row r="2877" spans="8:16">
      <c r="H2877" s="66" t="e">
        <f>IF(LEFT(A2877,6)="CEPNTR","GPINS",VLOOKUP(LEFT(A2877,6),'Code Library'!$A$3:$B$920,2,0))&amp;"_"&amp;RIGHT(A2877,3)</f>
        <v>#N/A</v>
      </c>
      <c r="I2877" s="66">
        <f t="shared" si="308"/>
        <v>0</v>
      </c>
      <c r="K2877" s="66" t="str">
        <f t="shared" si="309"/>
        <v/>
      </c>
      <c r="L2877" s="66" t="str">
        <f t="shared" si="310"/>
        <v/>
      </c>
      <c r="M2877" s="66" t="str">
        <f t="shared" si="311"/>
        <v/>
      </c>
      <c r="N2877" s="66" t="str">
        <f t="shared" si="312"/>
        <v/>
      </c>
      <c r="O2877" s="66" t="str">
        <f t="shared" si="313"/>
        <v/>
      </c>
      <c r="P2877" s="66" t="str">
        <f t="shared" si="314"/>
        <v/>
      </c>
    </row>
    <row r="2878" spans="8:16">
      <c r="H2878" s="66" t="e">
        <f>IF(LEFT(A2878,6)="CEPNTR","GPINS",VLOOKUP(LEFT(A2878,6),'Code Library'!$A$3:$B$920,2,0))&amp;"_"&amp;RIGHT(A2878,3)</f>
        <v>#N/A</v>
      </c>
      <c r="I2878" s="66">
        <f t="shared" si="308"/>
        <v>0</v>
      </c>
      <c r="K2878" s="66" t="str">
        <f t="shared" si="309"/>
        <v/>
      </c>
      <c r="L2878" s="66" t="str">
        <f t="shared" si="310"/>
        <v/>
      </c>
      <c r="M2878" s="66" t="str">
        <f t="shared" si="311"/>
        <v/>
      </c>
      <c r="N2878" s="66" t="str">
        <f t="shared" si="312"/>
        <v/>
      </c>
      <c r="O2878" s="66" t="str">
        <f t="shared" si="313"/>
        <v/>
      </c>
      <c r="P2878" s="66" t="str">
        <f t="shared" si="314"/>
        <v/>
      </c>
    </row>
    <row r="2879" spans="8:16">
      <c r="H2879" s="66" t="e">
        <f>IF(LEFT(A2879,6)="CEPNTR","GPINS",VLOOKUP(LEFT(A2879,6),'Code Library'!$A$3:$B$920,2,0))&amp;"_"&amp;RIGHT(A2879,3)</f>
        <v>#N/A</v>
      </c>
      <c r="I2879" s="66">
        <f t="shared" si="308"/>
        <v>0</v>
      </c>
      <c r="K2879" s="66" t="str">
        <f t="shared" si="309"/>
        <v/>
      </c>
      <c r="L2879" s="66" t="str">
        <f t="shared" si="310"/>
        <v/>
      </c>
      <c r="M2879" s="66" t="str">
        <f t="shared" si="311"/>
        <v/>
      </c>
      <c r="N2879" s="66" t="str">
        <f t="shared" si="312"/>
        <v/>
      </c>
      <c r="O2879" s="66" t="str">
        <f t="shared" si="313"/>
        <v/>
      </c>
      <c r="P2879" s="66" t="str">
        <f t="shared" si="314"/>
        <v/>
      </c>
    </row>
    <row r="2880" spans="8:16">
      <c r="H2880" s="66" t="e">
        <f>IF(LEFT(A2880,6)="CEPNTR","GPINS",VLOOKUP(LEFT(A2880,6),'Code Library'!$A$3:$B$920,2,0))&amp;"_"&amp;RIGHT(A2880,3)</f>
        <v>#N/A</v>
      </c>
      <c r="I2880" s="66">
        <f t="shared" si="308"/>
        <v>0</v>
      </c>
      <c r="K2880" s="66" t="str">
        <f t="shared" si="309"/>
        <v/>
      </c>
      <c r="L2880" s="66" t="str">
        <f t="shared" si="310"/>
        <v/>
      </c>
      <c r="M2880" s="66" t="str">
        <f t="shared" si="311"/>
        <v/>
      </c>
      <c r="N2880" s="66" t="str">
        <f t="shared" si="312"/>
        <v/>
      </c>
      <c r="O2880" s="66" t="str">
        <f t="shared" si="313"/>
        <v/>
      </c>
      <c r="P2880" s="66" t="str">
        <f t="shared" si="314"/>
        <v/>
      </c>
    </row>
    <row r="2881" spans="8:16">
      <c r="H2881" s="66" t="e">
        <f>IF(LEFT(A2881,6)="CEPNTR","GPINS",VLOOKUP(LEFT(A2881,6),'Code Library'!$A$3:$B$920,2,0))&amp;"_"&amp;RIGHT(A2881,3)</f>
        <v>#N/A</v>
      </c>
      <c r="I2881" s="66">
        <f t="shared" si="308"/>
        <v>0</v>
      </c>
      <c r="K2881" s="66" t="str">
        <f t="shared" si="309"/>
        <v/>
      </c>
      <c r="L2881" s="66" t="str">
        <f t="shared" si="310"/>
        <v/>
      </c>
      <c r="M2881" s="66" t="str">
        <f t="shared" si="311"/>
        <v/>
      </c>
      <c r="N2881" s="66" t="str">
        <f t="shared" si="312"/>
        <v/>
      </c>
      <c r="O2881" s="66" t="str">
        <f t="shared" si="313"/>
        <v/>
      </c>
      <c r="P2881" s="66" t="str">
        <f t="shared" si="314"/>
        <v/>
      </c>
    </row>
    <row r="2882" spans="8:16">
      <c r="H2882" s="66" t="e">
        <f>IF(LEFT(A2882,6)="CEPNTR","GPINS",VLOOKUP(LEFT(A2882,6),'Code Library'!$A$3:$B$920,2,0))&amp;"_"&amp;RIGHT(A2882,3)</f>
        <v>#N/A</v>
      </c>
      <c r="I2882" s="66">
        <f t="shared" si="308"/>
        <v>0</v>
      </c>
      <c r="K2882" s="66" t="str">
        <f t="shared" si="309"/>
        <v/>
      </c>
      <c r="L2882" s="66" t="str">
        <f t="shared" si="310"/>
        <v/>
      </c>
      <c r="M2882" s="66" t="str">
        <f t="shared" si="311"/>
        <v/>
      </c>
      <c r="N2882" s="66" t="str">
        <f t="shared" si="312"/>
        <v/>
      </c>
      <c r="O2882" s="66" t="str">
        <f t="shared" si="313"/>
        <v/>
      </c>
      <c r="P2882" s="66" t="str">
        <f t="shared" si="314"/>
        <v/>
      </c>
    </row>
    <row r="2883" spans="8:16">
      <c r="H2883" s="66" t="e">
        <f>IF(LEFT(A2883,6)="CEPNTR","GPINS",VLOOKUP(LEFT(A2883,6),'Code Library'!$A$3:$B$920,2,0))&amp;"_"&amp;RIGHT(A2883,3)</f>
        <v>#N/A</v>
      </c>
      <c r="I2883" s="66">
        <f t="shared" ref="I2883:I2946" si="315">A2883</f>
        <v>0</v>
      </c>
      <c r="K2883" s="66" t="str">
        <f t="shared" ref="K2883:K2946" si="316">RIGHT($B2883,2)</f>
        <v/>
      </c>
      <c r="L2883" s="66" t="str">
        <f t="shared" ref="L2883:L2946" si="317">LEFT(RIGHT($B2883,7),4)</f>
        <v/>
      </c>
      <c r="M2883" s="66" t="str">
        <f t="shared" ref="M2883:M2946" si="318">LEFT(RIGHT($B2883,10),2)</f>
        <v/>
      </c>
      <c r="N2883" s="66" t="str">
        <f t="shared" ref="N2883:N2946" si="319">LEFT(RIGHT($B2883,14),3)</f>
        <v/>
      </c>
      <c r="O2883" s="66" t="str">
        <f t="shared" ref="O2883:O2946" si="320">LEFT(RIGHT($B2883,16),1)</f>
        <v/>
      </c>
      <c r="P2883" s="66" t="str">
        <f t="shared" ref="P2883:P2946" si="321">LEFT(RIGHT($B2883,19),2)</f>
        <v/>
      </c>
    </row>
    <row r="2884" spans="8:16">
      <c r="H2884" s="66" t="e">
        <f>IF(LEFT(A2884,6)="CEPNTR","GPINS",VLOOKUP(LEFT(A2884,6),'Code Library'!$A$3:$B$920,2,0))&amp;"_"&amp;RIGHT(A2884,3)</f>
        <v>#N/A</v>
      </c>
      <c r="I2884" s="66">
        <f t="shared" si="315"/>
        <v>0</v>
      </c>
      <c r="K2884" s="66" t="str">
        <f t="shared" si="316"/>
        <v/>
      </c>
      <c r="L2884" s="66" t="str">
        <f t="shared" si="317"/>
        <v/>
      </c>
      <c r="M2884" s="66" t="str">
        <f t="shared" si="318"/>
        <v/>
      </c>
      <c r="N2884" s="66" t="str">
        <f t="shared" si="319"/>
        <v/>
      </c>
      <c r="O2884" s="66" t="str">
        <f t="shared" si="320"/>
        <v/>
      </c>
      <c r="P2884" s="66" t="str">
        <f t="shared" si="321"/>
        <v/>
      </c>
    </row>
    <row r="2885" spans="8:16">
      <c r="H2885" s="66" t="e">
        <f>IF(LEFT(A2885,6)="CEPNTR","GPINS",VLOOKUP(LEFT(A2885,6),'Code Library'!$A$3:$B$920,2,0))&amp;"_"&amp;RIGHT(A2885,3)</f>
        <v>#N/A</v>
      </c>
      <c r="I2885" s="66">
        <f t="shared" si="315"/>
        <v>0</v>
      </c>
      <c r="K2885" s="66" t="str">
        <f t="shared" si="316"/>
        <v/>
      </c>
      <c r="L2885" s="66" t="str">
        <f t="shared" si="317"/>
        <v/>
      </c>
      <c r="M2885" s="66" t="str">
        <f t="shared" si="318"/>
        <v/>
      </c>
      <c r="N2885" s="66" t="str">
        <f t="shared" si="319"/>
        <v/>
      </c>
      <c r="O2885" s="66" t="str">
        <f t="shared" si="320"/>
        <v/>
      </c>
      <c r="P2885" s="66" t="str">
        <f t="shared" si="321"/>
        <v/>
      </c>
    </row>
    <row r="2886" spans="8:16">
      <c r="H2886" s="66" t="e">
        <f>IF(LEFT(A2886,6)="CEPNTR","GPINS",VLOOKUP(LEFT(A2886,6),'Code Library'!$A$3:$B$920,2,0))&amp;"_"&amp;RIGHT(A2886,3)</f>
        <v>#N/A</v>
      </c>
      <c r="I2886" s="66">
        <f t="shared" si="315"/>
        <v>0</v>
      </c>
      <c r="K2886" s="66" t="str">
        <f t="shared" si="316"/>
        <v/>
      </c>
      <c r="L2886" s="66" t="str">
        <f t="shared" si="317"/>
        <v/>
      </c>
      <c r="M2886" s="66" t="str">
        <f t="shared" si="318"/>
        <v/>
      </c>
      <c r="N2886" s="66" t="str">
        <f t="shared" si="319"/>
        <v/>
      </c>
      <c r="O2886" s="66" t="str">
        <f t="shared" si="320"/>
        <v/>
      </c>
      <c r="P2886" s="66" t="str">
        <f t="shared" si="321"/>
        <v/>
      </c>
    </row>
    <row r="2887" spans="8:16">
      <c r="H2887" s="66" t="e">
        <f>IF(LEFT(A2887,6)="CEPNTR","GPINS",VLOOKUP(LEFT(A2887,6),'Code Library'!$A$3:$B$920,2,0))&amp;"_"&amp;RIGHT(A2887,3)</f>
        <v>#N/A</v>
      </c>
      <c r="I2887" s="66">
        <f t="shared" si="315"/>
        <v>0</v>
      </c>
      <c r="K2887" s="66" t="str">
        <f t="shared" si="316"/>
        <v/>
      </c>
      <c r="L2887" s="66" t="str">
        <f t="shared" si="317"/>
        <v/>
      </c>
      <c r="M2887" s="66" t="str">
        <f t="shared" si="318"/>
        <v/>
      </c>
      <c r="N2887" s="66" t="str">
        <f t="shared" si="319"/>
        <v/>
      </c>
      <c r="O2887" s="66" t="str">
        <f t="shared" si="320"/>
        <v/>
      </c>
      <c r="P2887" s="66" t="str">
        <f t="shared" si="321"/>
        <v/>
      </c>
    </row>
    <row r="2888" spans="8:16">
      <c r="H2888" s="66" t="e">
        <f>IF(LEFT(A2888,6)="CEPNTR","GPINS",VLOOKUP(LEFT(A2888,6),'Code Library'!$A$3:$B$920,2,0))&amp;"_"&amp;RIGHT(A2888,3)</f>
        <v>#N/A</v>
      </c>
      <c r="I2888" s="66">
        <f t="shared" si="315"/>
        <v>0</v>
      </c>
      <c r="K2888" s="66" t="str">
        <f t="shared" si="316"/>
        <v/>
      </c>
      <c r="L2888" s="66" t="str">
        <f t="shared" si="317"/>
        <v/>
      </c>
      <c r="M2888" s="66" t="str">
        <f t="shared" si="318"/>
        <v/>
      </c>
      <c r="N2888" s="66" t="str">
        <f t="shared" si="319"/>
        <v/>
      </c>
      <c r="O2888" s="66" t="str">
        <f t="shared" si="320"/>
        <v/>
      </c>
      <c r="P2888" s="66" t="str">
        <f t="shared" si="321"/>
        <v/>
      </c>
    </row>
    <row r="2889" spans="8:16">
      <c r="H2889" s="66" t="e">
        <f>IF(LEFT(A2889,6)="CEPNTR","GPINS",VLOOKUP(LEFT(A2889,6),'Code Library'!$A$3:$B$920,2,0))&amp;"_"&amp;RIGHT(A2889,3)</f>
        <v>#N/A</v>
      </c>
      <c r="I2889" s="66">
        <f t="shared" si="315"/>
        <v>0</v>
      </c>
      <c r="K2889" s="66" t="str">
        <f t="shared" si="316"/>
        <v/>
      </c>
      <c r="L2889" s="66" t="str">
        <f t="shared" si="317"/>
        <v/>
      </c>
      <c r="M2889" s="66" t="str">
        <f t="shared" si="318"/>
        <v/>
      </c>
      <c r="N2889" s="66" t="str">
        <f t="shared" si="319"/>
        <v/>
      </c>
      <c r="O2889" s="66" t="str">
        <f t="shared" si="320"/>
        <v/>
      </c>
      <c r="P2889" s="66" t="str">
        <f t="shared" si="321"/>
        <v/>
      </c>
    </row>
    <row r="2890" spans="8:16">
      <c r="H2890" s="66" t="e">
        <f>IF(LEFT(A2890,6)="CEPNTR","GPINS",VLOOKUP(LEFT(A2890,6),'Code Library'!$A$3:$B$920,2,0))&amp;"_"&amp;RIGHT(A2890,3)</f>
        <v>#N/A</v>
      </c>
      <c r="I2890" s="66">
        <f t="shared" si="315"/>
        <v>0</v>
      </c>
      <c r="K2890" s="66" t="str">
        <f t="shared" si="316"/>
        <v/>
      </c>
      <c r="L2890" s="66" t="str">
        <f t="shared" si="317"/>
        <v/>
      </c>
      <c r="M2890" s="66" t="str">
        <f t="shared" si="318"/>
        <v/>
      </c>
      <c r="N2890" s="66" t="str">
        <f t="shared" si="319"/>
        <v/>
      </c>
      <c r="O2890" s="66" t="str">
        <f t="shared" si="320"/>
        <v/>
      </c>
      <c r="P2890" s="66" t="str">
        <f t="shared" si="321"/>
        <v/>
      </c>
    </row>
    <row r="2891" spans="8:16">
      <c r="H2891" s="66" t="e">
        <f>IF(LEFT(A2891,6)="CEPNTR","GPINS",VLOOKUP(LEFT(A2891,6),'Code Library'!$A$3:$B$920,2,0))&amp;"_"&amp;RIGHT(A2891,3)</f>
        <v>#N/A</v>
      </c>
      <c r="I2891" s="66">
        <f t="shared" si="315"/>
        <v>0</v>
      </c>
      <c r="K2891" s="66" t="str">
        <f t="shared" si="316"/>
        <v/>
      </c>
      <c r="L2891" s="66" t="str">
        <f t="shared" si="317"/>
        <v/>
      </c>
      <c r="M2891" s="66" t="str">
        <f t="shared" si="318"/>
        <v/>
      </c>
      <c r="N2891" s="66" t="str">
        <f t="shared" si="319"/>
        <v/>
      </c>
      <c r="O2891" s="66" t="str">
        <f t="shared" si="320"/>
        <v/>
      </c>
      <c r="P2891" s="66" t="str">
        <f t="shared" si="321"/>
        <v/>
      </c>
    </row>
    <row r="2892" spans="8:16">
      <c r="H2892" s="66" t="e">
        <f>IF(LEFT(A2892,6)="CEPNTR","GPINS",VLOOKUP(LEFT(A2892,6),'Code Library'!$A$3:$B$920,2,0))&amp;"_"&amp;RIGHT(A2892,3)</f>
        <v>#N/A</v>
      </c>
      <c r="I2892" s="66">
        <f t="shared" si="315"/>
        <v>0</v>
      </c>
      <c r="K2892" s="66" t="str">
        <f t="shared" si="316"/>
        <v/>
      </c>
      <c r="L2892" s="66" t="str">
        <f t="shared" si="317"/>
        <v/>
      </c>
      <c r="M2892" s="66" t="str">
        <f t="shared" si="318"/>
        <v/>
      </c>
      <c r="N2892" s="66" t="str">
        <f t="shared" si="319"/>
        <v/>
      </c>
      <c r="O2892" s="66" t="str">
        <f t="shared" si="320"/>
        <v/>
      </c>
      <c r="P2892" s="66" t="str">
        <f t="shared" si="321"/>
        <v/>
      </c>
    </row>
    <row r="2893" spans="8:16">
      <c r="H2893" s="66" t="e">
        <f>IF(LEFT(A2893,6)="CEPNTR","GPINS",VLOOKUP(LEFT(A2893,6),'Code Library'!$A$3:$B$920,2,0))&amp;"_"&amp;RIGHT(A2893,3)</f>
        <v>#N/A</v>
      </c>
      <c r="I2893" s="66">
        <f t="shared" si="315"/>
        <v>0</v>
      </c>
      <c r="K2893" s="66" t="str">
        <f t="shared" si="316"/>
        <v/>
      </c>
      <c r="L2893" s="66" t="str">
        <f t="shared" si="317"/>
        <v/>
      </c>
      <c r="M2893" s="66" t="str">
        <f t="shared" si="318"/>
        <v/>
      </c>
      <c r="N2893" s="66" t="str">
        <f t="shared" si="319"/>
        <v/>
      </c>
      <c r="O2893" s="66" t="str">
        <f t="shared" si="320"/>
        <v/>
      </c>
      <c r="P2893" s="66" t="str">
        <f t="shared" si="321"/>
        <v/>
      </c>
    </row>
    <row r="2894" spans="8:16">
      <c r="H2894" s="66" t="e">
        <f>IF(LEFT(A2894,6)="CEPNTR","GPINS",VLOOKUP(LEFT(A2894,6),'Code Library'!$A$3:$B$920,2,0))&amp;"_"&amp;RIGHT(A2894,3)</f>
        <v>#N/A</v>
      </c>
      <c r="I2894" s="66">
        <f t="shared" si="315"/>
        <v>0</v>
      </c>
      <c r="K2894" s="66" t="str">
        <f t="shared" si="316"/>
        <v/>
      </c>
      <c r="L2894" s="66" t="str">
        <f t="shared" si="317"/>
        <v/>
      </c>
      <c r="M2894" s="66" t="str">
        <f t="shared" si="318"/>
        <v/>
      </c>
      <c r="N2894" s="66" t="str">
        <f t="shared" si="319"/>
        <v/>
      </c>
      <c r="O2894" s="66" t="str">
        <f t="shared" si="320"/>
        <v/>
      </c>
      <c r="P2894" s="66" t="str">
        <f t="shared" si="321"/>
        <v/>
      </c>
    </row>
    <row r="2895" spans="8:16">
      <c r="H2895" s="66" t="e">
        <f>IF(LEFT(A2895,6)="CEPNTR","GPINS",VLOOKUP(LEFT(A2895,6),'Code Library'!$A$3:$B$920,2,0))&amp;"_"&amp;RIGHT(A2895,3)</f>
        <v>#N/A</v>
      </c>
      <c r="I2895" s="66">
        <f t="shared" si="315"/>
        <v>0</v>
      </c>
      <c r="K2895" s="66" t="str">
        <f t="shared" si="316"/>
        <v/>
      </c>
      <c r="L2895" s="66" t="str">
        <f t="shared" si="317"/>
        <v/>
      </c>
      <c r="M2895" s="66" t="str">
        <f t="shared" si="318"/>
        <v/>
      </c>
      <c r="N2895" s="66" t="str">
        <f t="shared" si="319"/>
        <v/>
      </c>
      <c r="O2895" s="66" t="str">
        <f t="shared" si="320"/>
        <v/>
      </c>
      <c r="P2895" s="66" t="str">
        <f t="shared" si="321"/>
        <v/>
      </c>
    </row>
    <row r="2896" spans="8:16">
      <c r="H2896" s="66" t="e">
        <f>IF(LEFT(A2896,6)="CEPNTR","GPINS",VLOOKUP(LEFT(A2896,6),'Code Library'!$A$3:$B$920,2,0))&amp;"_"&amp;RIGHT(A2896,3)</f>
        <v>#N/A</v>
      </c>
      <c r="I2896" s="66">
        <f t="shared" si="315"/>
        <v>0</v>
      </c>
      <c r="K2896" s="66" t="str">
        <f t="shared" si="316"/>
        <v/>
      </c>
      <c r="L2896" s="66" t="str">
        <f t="shared" si="317"/>
        <v/>
      </c>
      <c r="M2896" s="66" t="str">
        <f t="shared" si="318"/>
        <v/>
      </c>
      <c r="N2896" s="66" t="str">
        <f t="shared" si="319"/>
        <v/>
      </c>
      <c r="O2896" s="66" t="str">
        <f t="shared" si="320"/>
        <v/>
      </c>
      <c r="P2896" s="66" t="str">
        <f t="shared" si="321"/>
        <v/>
      </c>
    </row>
    <row r="2897" spans="8:16">
      <c r="H2897" s="66" t="e">
        <f>IF(LEFT(A2897,6)="CEPNTR","GPINS",VLOOKUP(LEFT(A2897,6),'Code Library'!$A$3:$B$920,2,0))&amp;"_"&amp;RIGHT(A2897,3)</f>
        <v>#N/A</v>
      </c>
      <c r="I2897" s="66">
        <f t="shared" si="315"/>
        <v>0</v>
      </c>
      <c r="K2897" s="66" t="str">
        <f t="shared" si="316"/>
        <v/>
      </c>
      <c r="L2897" s="66" t="str">
        <f t="shared" si="317"/>
        <v/>
      </c>
      <c r="M2897" s="66" t="str">
        <f t="shared" si="318"/>
        <v/>
      </c>
      <c r="N2897" s="66" t="str">
        <f t="shared" si="319"/>
        <v/>
      </c>
      <c r="O2897" s="66" t="str">
        <f t="shared" si="320"/>
        <v/>
      </c>
      <c r="P2897" s="66" t="str">
        <f t="shared" si="321"/>
        <v/>
      </c>
    </row>
    <row r="2898" spans="8:16">
      <c r="H2898" s="66" t="e">
        <f>IF(LEFT(A2898,6)="CEPNTR","GPINS",VLOOKUP(LEFT(A2898,6),'Code Library'!$A$3:$B$920,2,0))&amp;"_"&amp;RIGHT(A2898,3)</f>
        <v>#N/A</v>
      </c>
      <c r="I2898" s="66">
        <f t="shared" si="315"/>
        <v>0</v>
      </c>
      <c r="K2898" s="66" t="str">
        <f t="shared" si="316"/>
        <v/>
      </c>
      <c r="L2898" s="66" t="str">
        <f t="shared" si="317"/>
        <v/>
      </c>
      <c r="M2898" s="66" t="str">
        <f t="shared" si="318"/>
        <v/>
      </c>
      <c r="N2898" s="66" t="str">
        <f t="shared" si="319"/>
        <v/>
      </c>
      <c r="O2898" s="66" t="str">
        <f t="shared" si="320"/>
        <v/>
      </c>
      <c r="P2898" s="66" t="str">
        <f t="shared" si="321"/>
        <v/>
      </c>
    </row>
    <row r="2899" spans="8:16">
      <c r="H2899" s="66" t="e">
        <f>IF(LEFT(A2899,6)="CEPNTR","GPINS",VLOOKUP(LEFT(A2899,6),'Code Library'!$A$3:$B$920,2,0))&amp;"_"&amp;RIGHT(A2899,3)</f>
        <v>#N/A</v>
      </c>
      <c r="I2899" s="66">
        <f t="shared" si="315"/>
        <v>0</v>
      </c>
      <c r="K2899" s="66" t="str">
        <f t="shared" si="316"/>
        <v/>
      </c>
      <c r="L2899" s="66" t="str">
        <f t="shared" si="317"/>
        <v/>
      </c>
      <c r="M2899" s="66" t="str">
        <f t="shared" si="318"/>
        <v/>
      </c>
      <c r="N2899" s="66" t="str">
        <f t="shared" si="319"/>
        <v/>
      </c>
      <c r="O2899" s="66" t="str">
        <f t="shared" si="320"/>
        <v/>
      </c>
      <c r="P2899" s="66" t="str">
        <f t="shared" si="321"/>
        <v/>
      </c>
    </row>
    <row r="2900" spans="8:16">
      <c r="H2900" s="66" t="e">
        <f>IF(LEFT(A2900,6)="CEPNTR","GPINS",VLOOKUP(LEFT(A2900,6),'Code Library'!$A$3:$B$920,2,0))&amp;"_"&amp;RIGHT(A2900,3)</f>
        <v>#N/A</v>
      </c>
      <c r="I2900" s="66">
        <f t="shared" si="315"/>
        <v>0</v>
      </c>
      <c r="K2900" s="66" t="str">
        <f t="shared" si="316"/>
        <v/>
      </c>
      <c r="L2900" s="66" t="str">
        <f t="shared" si="317"/>
        <v/>
      </c>
      <c r="M2900" s="66" t="str">
        <f t="shared" si="318"/>
        <v/>
      </c>
      <c r="N2900" s="66" t="str">
        <f t="shared" si="319"/>
        <v/>
      </c>
      <c r="O2900" s="66" t="str">
        <f t="shared" si="320"/>
        <v/>
      </c>
      <c r="P2900" s="66" t="str">
        <f t="shared" si="321"/>
        <v/>
      </c>
    </row>
    <row r="2901" spans="8:16">
      <c r="H2901" s="66" t="e">
        <f>IF(LEFT(A2901,6)="CEPNTR","GPINS",VLOOKUP(LEFT(A2901,6),'Code Library'!$A$3:$B$920,2,0))&amp;"_"&amp;RIGHT(A2901,3)</f>
        <v>#N/A</v>
      </c>
      <c r="I2901" s="66">
        <f t="shared" si="315"/>
        <v>0</v>
      </c>
      <c r="K2901" s="66" t="str">
        <f t="shared" si="316"/>
        <v/>
      </c>
      <c r="L2901" s="66" t="str">
        <f t="shared" si="317"/>
        <v/>
      </c>
      <c r="M2901" s="66" t="str">
        <f t="shared" si="318"/>
        <v/>
      </c>
      <c r="N2901" s="66" t="str">
        <f t="shared" si="319"/>
        <v/>
      </c>
      <c r="O2901" s="66" t="str">
        <f t="shared" si="320"/>
        <v/>
      </c>
      <c r="P2901" s="66" t="str">
        <f t="shared" si="321"/>
        <v/>
      </c>
    </row>
    <row r="2902" spans="8:16">
      <c r="H2902" s="66" t="e">
        <f>IF(LEFT(A2902,6)="CEPNTR","GPINS",VLOOKUP(LEFT(A2902,6),'Code Library'!$A$3:$B$920,2,0))&amp;"_"&amp;RIGHT(A2902,3)</f>
        <v>#N/A</v>
      </c>
      <c r="I2902" s="66">
        <f t="shared" si="315"/>
        <v>0</v>
      </c>
      <c r="K2902" s="66" t="str">
        <f t="shared" si="316"/>
        <v/>
      </c>
      <c r="L2902" s="66" t="str">
        <f t="shared" si="317"/>
        <v/>
      </c>
      <c r="M2902" s="66" t="str">
        <f t="shared" si="318"/>
        <v/>
      </c>
      <c r="N2902" s="66" t="str">
        <f t="shared" si="319"/>
        <v/>
      </c>
      <c r="O2902" s="66" t="str">
        <f t="shared" si="320"/>
        <v/>
      </c>
      <c r="P2902" s="66" t="str">
        <f t="shared" si="321"/>
        <v/>
      </c>
    </row>
    <row r="2903" spans="8:16">
      <c r="H2903" s="66" t="e">
        <f>IF(LEFT(A2903,6)="CEPNTR","GPINS",VLOOKUP(LEFT(A2903,6),'Code Library'!$A$3:$B$920,2,0))&amp;"_"&amp;RIGHT(A2903,3)</f>
        <v>#N/A</v>
      </c>
      <c r="I2903" s="66">
        <f t="shared" si="315"/>
        <v>0</v>
      </c>
      <c r="K2903" s="66" t="str">
        <f t="shared" si="316"/>
        <v/>
      </c>
      <c r="L2903" s="66" t="str">
        <f t="shared" si="317"/>
        <v/>
      </c>
      <c r="M2903" s="66" t="str">
        <f t="shared" si="318"/>
        <v/>
      </c>
      <c r="N2903" s="66" t="str">
        <f t="shared" si="319"/>
        <v/>
      </c>
      <c r="O2903" s="66" t="str">
        <f t="shared" si="320"/>
        <v/>
      </c>
      <c r="P2903" s="66" t="str">
        <f t="shared" si="321"/>
        <v/>
      </c>
    </row>
    <row r="2904" spans="8:16">
      <c r="H2904" s="66" t="e">
        <f>IF(LEFT(A2904,6)="CEPNTR","GPINS",VLOOKUP(LEFT(A2904,6),'Code Library'!$A$3:$B$920,2,0))&amp;"_"&amp;RIGHT(A2904,3)</f>
        <v>#N/A</v>
      </c>
      <c r="I2904" s="66">
        <f t="shared" si="315"/>
        <v>0</v>
      </c>
      <c r="K2904" s="66" t="str">
        <f t="shared" si="316"/>
        <v/>
      </c>
      <c r="L2904" s="66" t="str">
        <f t="shared" si="317"/>
        <v/>
      </c>
      <c r="M2904" s="66" t="str">
        <f t="shared" si="318"/>
        <v/>
      </c>
      <c r="N2904" s="66" t="str">
        <f t="shared" si="319"/>
        <v/>
      </c>
      <c r="O2904" s="66" t="str">
        <f t="shared" si="320"/>
        <v/>
      </c>
      <c r="P2904" s="66" t="str">
        <f t="shared" si="321"/>
        <v/>
      </c>
    </row>
    <row r="2905" spans="8:16">
      <c r="H2905" s="66" t="e">
        <f>IF(LEFT(A2905,6)="CEPNTR","GPINS",VLOOKUP(LEFT(A2905,6),'Code Library'!$A$3:$B$920,2,0))&amp;"_"&amp;RIGHT(A2905,3)</f>
        <v>#N/A</v>
      </c>
      <c r="I2905" s="66">
        <f t="shared" si="315"/>
        <v>0</v>
      </c>
      <c r="K2905" s="66" t="str">
        <f t="shared" si="316"/>
        <v/>
      </c>
      <c r="L2905" s="66" t="str">
        <f t="shared" si="317"/>
        <v/>
      </c>
      <c r="M2905" s="66" t="str">
        <f t="shared" si="318"/>
        <v/>
      </c>
      <c r="N2905" s="66" t="str">
        <f t="shared" si="319"/>
        <v/>
      </c>
      <c r="O2905" s="66" t="str">
        <f t="shared" si="320"/>
        <v/>
      </c>
      <c r="P2905" s="66" t="str">
        <f t="shared" si="321"/>
        <v/>
      </c>
    </row>
    <row r="2906" spans="8:16">
      <c r="H2906" s="66" t="e">
        <f>IF(LEFT(A2906,6)="CEPNTR","GPINS",VLOOKUP(LEFT(A2906,6),'Code Library'!$A$3:$B$920,2,0))&amp;"_"&amp;RIGHT(A2906,3)</f>
        <v>#N/A</v>
      </c>
      <c r="I2906" s="66">
        <f t="shared" si="315"/>
        <v>0</v>
      </c>
      <c r="K2906" s="66" t="str">
        <f t="shared" si="316"/>
        <v/>
      </c>
      <c r="L2906" s="66" t="str">
        <f t="shared" si="317"/>
        <v/>
      </c>
      <c r="M2906" s="66" t="str">
        <f t="shared" si="318"/>
        <v/>
      </c>
      <c r="N2906" s="66" t="str">
        <f t="shared" si="319"/>
        <v/>
      </c>
      <c r="O2906" s="66" t="str">
        <f t="shared" si="320"/>
        <v/>
      </c>
      <c r="P2906" s="66" t="str">
        <f t="shared" si="321"/>
        <v/>
      </c>
    </row>
    <row r="2907" spans="8:16">
      <c r="H2907" s="66" t="e">
        <f>IF(LEFT(A2907,6)="CEPNTR","GPINS",VLOOKUP(LEFT(A2907,6),'Code Library'!$A$3:$B$920,2,0))&amp;"_"&amp;RIGHT(A2907,3)</f>
        <v>#N/A</v>
      </c>
      <c r="I2907" s="66">
        <f t="shared" si="315"/>
        <v>0</v>
      </c>
      <c r="K2907" s="66" t="str">
        <f t="shared" si="316"/>
        <v/>
      </c>
      <c r="L2907" s="66" t="str">
        <f t="shared" si="317"/>
        <v/>
      </c>
      <c r="M2907" s="66" t="str">
        <f t="shared" si="318"/>
        <v/>
      </c>
      <c r="N2907" s="66" t="str">
        <f t="shared" si="319"/>
        <v/>
      </c>
      <c r="O2907" s="66" t="str">
        <f t="shared" si="320"/>
        <v/>
      </c>
      <c r="P2907" s="66" t="str">
        <f t="shared" si="321"/>
        <v/>
      </c>
    </row>
    <row r="2908" spans="8:16">
      <c r="H2908" s="66" t="e">
        <f>IF(LEFT(A2908,6)="CEPNTR","GPINS",VLOOKUP(LEFT(A2908,6),'Code Library'!$A$3:$B$920,2,0))&amp;"_"&amp;RIGHT(A2908,3)</f>
        <v>#N/A</v>
      </c>
      <c r="I2908" s="66">
        <f t="shared" si="315"/>
        <v>0</v>
      </c>
      <c r="K2908" s="66" t="str">
        <f t="shared" si="316"/>
        <v/>
      </c>
      <c r="L2908" s="66" t="str">
        <f t="shared" si="317"/>
        <v/>
      </c>
      <c r="M2908" s="66" t="str">
        <f t="shared" si="318"/>
        <v/>
      </c>
      <c r="N2908" s="66" t="str">
        <f t="shared" si="319"/>
        <v/>
      </c>
      <c r="O2908" s="66" t="str">
        <f t="shared" si="320"/>
        <v/>
      </c>
      <c r="P2908" s="66" t="str">
        <f t="shared" si="321"/>
        <v/>
      </c>
    </row>
    <row r="2909" spans="8:16">
      <c r="H2909" s="66" t="e">
        <f>IF(LEFT(A2909,6)="CEPNTR","GPINS",VLOOKUP(LEFT(A2909,6),'Code Library'!$A$3:$B$920,2,0))&amp;"_"&amp;RIGHT(A2909,3)</f>
        <v>#N/A</v>
      </c>
      <c r="I2909" s="66">
        <f t="shared" si="315"/>
        <v>0</v>
      </c>
      <c r="K2909" s="66" t="str">
        <f t="shared" si="316"/>
        <v/>
      </c>
      <c r="L2909" s="66" t="str">
        <f t="shared" si="317"/>
        <v/>
      </c>
      <c r="M2909" s="66" t="str">
        <f t="shared" si="318"/>
        <v/>
      </c>
      <c r="N2909" s="66" t="str">
        <f t="shared" si="319"/>
        <v/>
      </c>
      <c r="O2909" s="66" t="str">
        <f t="shared" si="320"/>
        <v/>
      </c>
      <c r="P2909" s="66" t="str">
        <f t="shared" si="321"/>
        <v/>
      </c>
    </row>
    <row r="2910" spans="8:16">
      <c r="H2910" s="66" t="e">
        <f>IF(LEFT(A2910,6)="CEPNTR","GPINS",VLOOKUP(LEFT(A2910,6),'Code Library'!$A$3:$B$920,2,0))&amp;"_"&amp;RIGHT(A2910,3)</f>
        <v>#N/A</v>
      </c>
      <c r="I2910" s="66">
        <f t="shared" si="315"/>
        <v>0</v>
      </c>
      <c r="K2910" s="66" t="str">
        <f t="shared" si="316"/>
        <v/>
      </c>
      <c r="L2910" s="66" t="str">
        <f t="shared" si="317"/>
        <v/>
      </c>
      <c r="M2910" s="66" t="str">
        <f t="shared" si="318"/>
        <v/>
      </c>
      <c r="N2910" s="66" t="str">
        <f t="shared" si="319"/>
        <v/>
      </c>
      <c r="O2910" s="66" t="str">
        <f t="shared" si="320"/>
        <v/>
      </c>
      <c r="P2910" s="66" t="str">
        <f t="shared" si="321"/>
        <v/>
      </c>
    </row>
    <row r="2911" spans="8:16">
      <c r="H2911" s="66" t="e">
        <f>IF(LEFT(A2911,6)="CEPNTR","GPINS",VLOOKUP(LEFT(A2911,6),'Code Library'!$A$3:$B$920,2,0))&amp;"_"&amp;RIGHT(A2911,3)</f>
        <v>#N/A</v>
      </c>
      <c r="I2911" s="66">
        <f t="shared" si="315"/>
        <v>0</v>
      </c>
      <c r="K2911" s="66" t="str">
        <f t="shared" si="316"/>
        <v/>
      </c>
      <c r="L2911" s="66" t="str">
        <f t="shared" si="317"/>
        <v/>
      </c>
      <c r="M2911" s="66" t="str">
        <f t="shared" si="318"/>
        <v/>
      </c>
      <c r="N2911" s="66" t="str">
        <f t="shared" si="319"/>
        <v/>
      </c>
      <c r="O2911" s="66" t="str">
        <f t="shared" si="320"/>
        <v/>
      </c>
      <c r="P2911" s="66" t="str">
        <f t="shared" si="321"/>
        <v/>
      </c>
    </row>
    <row r="2912" spans="8:16">
      <c r="H2912" s="66" t="e">
        <f>IF(LEFT(A2912,6)="CEPNTR","GPINS",VLOOKUP(LEFT(A2912,6),'Code Library'!$A$3:$B$920,2,0))&amp;"_"&amp;RIGHT(A2912,3)</f>
        <v>#N/A</v>
      </c>
      <c r="I2912" s="66">
        <f t="shared" si="315"/>
        <v>0</v>
      </c>
      <c r="K2912" s="66" t="str">
        <f t="shared" si="316"/>
        <v/>
      </c>
      <c r="L2912" s="66" t="str">
        <f t="shared" si="317"/>
        <v/>
      </c>
      <c r="M2912" s="66" t="str">
        <f t="shared" si="318"/>
        <v/>
      </c>
      <c r="N2912" s="66" t="str">
        <f t="shared" si="319"/>
        <v/>
      </c>
      <c r="O2912" s="66" t="str">
        <f t="shared" si="320"/>
        <v/>
      </c>
      <c r="P2912" s="66" t="str">
        <f t="shared" si="321"/>
        <v/>
      </c>
    </row>
    <row r="2913" spans="8:16">
      <c r="H2913" s="66" t="e">
        <f>IF(LEFT(A2913,6)="CEPNTR","GPINS",VLOOKUP(LEFT(A2913,6),'Code Library'!$A$3:$B$920,2,0))&amp;"_"&amp;RIGHT(A2913,3)</f>
        <v>#N/A</v>
      </c>
      <c r="I2913" s="66">
        <f t="shared" si="315"/>
        <v>0</v>
      </c>
      <c r="K2913" s="66" t="str">
        <f t="shared" si="316"/>
        <v/>
      </c>
      <c r="L2913" s="66" t="str">
        <f t="shared" si="317"/>
        <v/>
      </c>
      <c r="M2913" s="66" t="str">
        <f t="shared" si="318"/>
        <v/>
      </c>
      <c r="N2913" s="66" t="str">
        <f t="shared" si="319"/>
        <v/>
      </c>
      <c r="O2913" s="66" t="str">
        <f t="shared" si="320"/>
        <v/>
      </c>
      <c r="P2913" s="66" t="str">
        <f t="shared" si="321"/>
        <v/>
      </c>
    </row>
    <row r="2914" spans="8:16">
      <c r="H2914" s="66" t="e">
        <f>IF(LEFT(A2914,6)="CEPNTR","GPINS",VLOOKUP(LEFT(A2914,6),'Code Library'!$A$3:$B$920,2,0))&amp;"_"&amp;RIGHT(A2914,3)</f>
        <v>#N/A</v>
      </c>
      <c r="I2914" s="66">
        <f t="shared" si="315"/>
        <v>0</v>
      </c>
      <c r="K2914" s="66" t="str">
        <f t="shared" si="316"/>
        <v/>
      </c>
      <c r="L2914" s="66" t="str">
        <f t="shared" si="317"/>
        <v/>
      </c>
      <c r="M2914" s="66" t="str">
        <f t="shared" si="318"/>
        <v/>
      </c>
      <c r="N2914" s="66" t="str">
        <f t="shared" si="319"/>
        <v/>
      </c>
      <c r="O2914" s="66" t="str">
        <f t="shared" si="320"/>
        <v/>
      </c>
      <c r="P2914" s="66" t="str">
        <f t="shared" si="321"/>
        <v/>
      </c>
    </row>
    <row r="2915" spans="8:16">
      <c r="H2915" s="66" t="e">
        <f>IF(LEFT(A2915,6)="CEPNTR","GPINS",VLOOKUP(LEFT(A2915,6),'Code Library'!$A$3:$B$920,2,0))&amp;"_"&amp;RIGHT(A2915,3)</f>
        <v>#N/A</v>
      </c>
      <c r="I2915" s="66">
        <f t="shared" si="315"/>
        <v>0</v>
      </c>
      <c r="K2915" s="66" t="str">
        <f t="shared" si="316"/>
        <v/>
      </c>
      <c r="L2915" s="66" t="str">
        <f t="shared" si="317"/>
        <v/>
      </c>
      <c r="M2915" s="66" t="str">
        <f t="shared" si="318"/>
        <v/>
      </c>
      <c r="N2915" s="66" t="str">
        <f t="shared" si="319"/>
        <v/>
      </c>
      <c r="O2915" s="66" t="str">
        <f t="shared" si="320"/>
        <v/>
      </c>
      <c r="P2915" s="66" t="str">
        <f t="shared" si="321"/>
        <v/>
      </c>
    </row>
    <row r="2916" spans="8:16">
      <c r="H2916" s="66" t="e">
        <f>IF(LEFT(A2916,6)="CEPNTR","GPINS",VLOOKUP(LEFT(A2916,6),'Code Library'!$A$3:$B$920,2,0))&amp;"_"&amp;RIGHT(A2916,3)</f>
        <v>#N/A</v>
      </c>
      <c r="I2916" s="66">
        <f t="shared" si="315"/>
        <v>0</v>
      </c>
      <c r="K2916" s="66" t="str">
        <f t="shared" si="316"/>
        <v/>
      </c>
      <c r="L2916" s="66" t="str">
        <f t="shared" si="317"/>
        <v/>
      </c>
      <c r="M2916" s="66" t="str">
        <f t="shared" si="318"/>
        <v/>
      </c>
      <c r="N2916" s="66" t="str">
        <f t="shared" si="319"/>
        <v/>
      </c>
      <c r="O2916" s="66" t="str">
        <f t="shared" si="320"/>
        <v/>
      </c>
      <c r="P2916" s="66" t="str">
        <f t="shared" si="321"/>
        <v/>
      </c>
    </row>
    <row r="2917" spans="8:16">
      <c r="H2917" s="66" t="e">
        <f>IF(LEFT(A2917,6)="CEPNTR","GPINS",VLOOKUP(LEFT(A2917,6),'Code Library'!$A$3:$B$920,2,0))&amp;"_"&amp;RIGHT(A2917,3)</f>
        <v>#N/A</v>
      </c>
      <c r="I2917" s="66">
        <f t="shared" si="315"/>
        <v>0</v>
      </c>
      <c r="K2917" s="66" t="str">
        <f t="shared" si="316"/>
        <v/>
      </c>
      <c r="L2917" s="66" t="str">
        <f t="shared" si="317"/>
        <v/>
      </c>
      <c r="M2917" s="66" t="str">
        <f t="shared" si="318"/>
        <v/>
      </c>
      <c r="N2917" s="66" t="str">
        <f t="shared" si="319"/>
        <v/>
      </c>
      <c r="O2917" s="66" t="str">
        <f t="shared" si="320"/>
        <v/>
      </c>
      <c r="P2917" s="66" t="str">
        <f t="shared" si="321"/>
        <v/>
      </c>
    </row>
    <row r="2918" spans="8:16">
      <c r="H2918" s="66" t="e">
        <f>IF(LEFT(A2918,6)="CEPNTR","GPINS",VLOOKUP(LEFT(A2918,6),'Code Library'!$A$3:$B$920,2,0))&amp;"_"&amp;RIGHT(A2918,3)</f>
        <v>#N/A</v>
      </c>
      <c r="I2918" s="66">
        <f t="shared" si="315"/>
        <v>0</v>
      </c>
      <c r="K2918" s="66" t="str">
        <f t="shared" si="316"/>
        <v/>
      </c>
      <c r="L2918" s="66" t="str">
        <f t="shared" si="317"/>
        <v/>
      </c>
      <c r="M2918" s="66" t="str">
        <f t="shared" si="318"/>
        <v/>
      </c>
      <c r="N2918" s="66" t="str">
        <f t="shared" si="319"/>
        <v/>
      </c>
      <c r="O2918" s="66" t="str">
        <f t="shared" si="320"/>
        <v/>
      </c>
      <c r="P2918" s="66" t="str">
        <f t="shared" si="321"/>
        <v/>
      </c>
    </row>
    <row r="2919" spans="8:16">
      <c r="H2919" s="66" t="e">
        <f>IF(LEFT(A2919,6)="CEPNTR","GPINS",VLOOKUP(LEFT(A2919,6),'Code Library'!$A$3:$B$920,2,0))&amp;"_"&amp;RIGHT(A2919,3)</f>
        <v>#N/A</v>
      </c>
      <c r="I2919" s="66">
        <f t="shared" si="315"/>
        <v>0</v>
      </c>
      <c r="K2919" s="66" t="str">
        <f t="shared" si="316"/>
        <v/>
      </c>
      <c r="L2919" s="66" t="str">
        <f t="shared" si="317"/>
        <v/>
      </c>
      <c r="M2919" s="66" t="str">
        <f t="shared" si="318"/>
        <v/>
      </c>
      <c r="N2919" s="66" t="str">
        <f t="shared" si="319"/>
        <v/>
      </c>
      <c r="O2919" s="66" t="str">
        <f t="shared" si="320"/>
        <v/>
      </c>
      <c r="P2919" s="66" t="str">
        <f t="shared" si="321"/>
        <v/>
      </c>
    </row>
    <row r="2920" spans="8:16">
      <c r="H2920" s="66" t="e">
        <f>IF(LEFT(A2920,6)="CEPNTR","GPINS",VLOOKUP(LEFT(A2920,6),'Code Library'!$A$3:$B$920,2,0))&amp;"_"&amp;RIGHT(A2920,3)</f>
        <v>#N/A</v>
      </c>
      <c r="I2920" s="66">
        <f t="shared" si="315"/>
        <v>0</v>
      </c>
      <c r="K2920" s="66" t="str">
        <f t="shared" si="316"/>
        <v/>
      </c>
      <c r="L2920" s="66" t="str">
        <f t="shared" si="317"/>
        <v/>
      </c>
      <c r="M2920" s="66" t="str">
        <f t="shared" si="318"/>
        <v/>
      </c>
      <c r="N2920" s="66" t="str">
        <f t="shared" si="319"/>
        <v/>
      </c>
      <c r="O2920" s="66" t="str">
        <f t="shared" si="320"/>
        <v/>
      </c>
      <c r="P2920" s="66" t="str">
        <f t="shared" si="321"/>
        <v/>
      </c>
    </row>
    <row r="2921" spans="8:16">
      <c r="H2921" s="66" t="e">
        <f>IF(LEFT(A2921,6)="CEPNTR","GPINS",VLOOKUP(LEFT(A2921,6),'Code Library'!$A$3:$B$920,2,0))&amp;"_"&amp;RIGHT(A2921,3)</f>
        <v>#N/A</v>
      </c>
      <c r="I2921" s="66">
        <f t="shared" si="315"/>
        <v>0</v>
      </c>
      <c r="K2921" s="66" t="str">
        <f t="shared" si="316"/>
        <v/>
      </c>
      <c r="L2921" s="66" t="str">
        <f t="shared" si="317"/>
        <v/>
      </c>
      <c r="M2921" s="66" t="str">
        <f t="shared" si="318"/>
        <v/>
      </c>
      <c r="N2921" s="66" t="str">
        <f t="shared" si="319"/>
        <v/>
      </c>
      <c r="O2921" s="66" t="str">
        <f t="shared" si="320"/>
        <v/>
      </c>
      <c r="P2921" s="66" t="str">
        <f t="shared" si="321"/>
        <v/>
      </c>
    </row>
    <row r="2922" spans="8:16">
      <c r="H2922" s="66" t="e">
        <f>IF(LEFT(A2922,6)="CEPNTR","GPINS",VLOOKUP(LEFT(A2922,6),'Code Library'!$A$3:$B$920,2,0))&amp;"_"&amp;RIGHT(A2922,3)</f>
        <v>#N/A</v>
      </c>
      <c r="I2922" s="66">
        <f t="shared" si="315"/>
        <v>0</v>
      </c>
      <c r="K2922" s="66" t="str">
        <f t="shared" si="316"/>
        <v/>
      </c>
      <c r="L2922" s="66" t="str">
        <f t="shared" si="317"/>
        <v/>
      </c>
      <c r="M2922" s="66" t="str">
        <f t="shared" si="318"/>
        <v/>
      </c>
      <c r="N2922" s="66" t="str">
        <f t="shared" si="319"/>
        <v/>
      </c>
      <c r="O2922" s="66" t="str">
        <f t="shared" si="320"/>
        <v/>
      </c>
      <c r="P2922" s="66" t="str">
        <f t="shared" si="321"/>
        <v/>
      </c>
    </row>
    <row r="2923" spans="8:16">
      <c r="H2923" s="66" t="e">
        <f>IF(LEFT(A2923,6)="CEPNTR","GPINS",VLOOKUP(LEFT(A2923,6),'Code Library'!$A$3:$B$920,2,0))&amp;"_"&amp;RIGHT(A2923,3)</f>
        <v>#N/A</v>
      </c>
      <c r="I2923" s="66">
        <f t="shared" si="315"/>
        <v>0</v>
      </c>
      <c r="K2923" s="66" t="str">
        <f t="shared" si="316"/>
        <v/>
      </c>
      <c r="L2923" s="66" t="str">
        <f t="shared" si="317"/>
        <v/>
      </c>
      <c r="M2923" s="66" t="str">
        <f t="shared" si="318"/>
        <v/>
      </c>
      <c r="N2923" s="66" t="str">
        <f t="shared" si="319"/>
        <v/>
      </c>
      <c r="O2923" s="66" t="str">
        <f t="shared" si="320"/>
        <v/>
      </c>
      <c r="P2923" s="66" t="str">
        <f t="shared" si="321"/>
        <v/>
      </c>
    </row>
    <row r="2924" spans="8:16">
      <c r="H2924" s="66" t="e">
        <f>IF(LEFT(A2924,6)="CEPNTR","GPINS",VLOOKUP(LEFT(A2924,6),'Code Library'!$A$3:$B$920,2,0))&amp;"_"&amp;RIGHT(A2924,3)</f>
        <v>#N/A</v>
      </c>
      <c r="I2924" s="66">
        <f t="shared" si="315"/>
        <v>0</v>
      </c>
      <c r="K2924" s="66" t="str">
        <f t="shared" si="316"/>
        <v/>
      </c>
      <c r="L2924" s="66" t="str">
        <f t="shared" si="317"/>
        <v/>
      </c>
      <c r="M2924" s="66" t="str">
        <f t="shared" si="318"/>
        <v/>
      </c>
      <c r="N2924" s="66" t="str">
        <f t="shared" si="319"/>
        <v/>
      </c>
      <c r="O2924" s="66" t="str">
        <f t="shared" si="320"/>
        <v/>
      </c>
      <c r="P2924" s="66" t="str">
        <f t="shared" si="321"/>
        <v/>
      </c>
    </row>
    <row r="2925" spans="8:16">
      <c r="H2925" s="66" t="e">
        <f>IF(LEFT(A2925,6)="CEPNTR","GPINS",VLOOKUP(LEFT(A2925,6),'Code Library'!$A$3:$B$920,2,0))&amp;"_"&amp;RIGHT(A2925,3)</f>
        <v>#N/A</v>
      </c>
      <c r="I2925" s="66">
        <f t="shared" si="315"/>
        <v>0</v>
      </c>
      <c r="K2925" s="66" t="str">
        <f t="shared" si="316"/>
        <v/>
      </c>
      <c r="L2925" s="66" t="str">
        <f t="shared" si="317"/>
        <v/>
      </c>
      <c r="M2925" s="66" t="str">
        <f t="shared" si="318"/>
        <v/>
      </c>
      <c r="N2925" s="66" t="str">
        <f t="shared" si="319"/>
        <v/>
      </c>
      <c r="O2925" s="66" t="str">
        <f t="shared" si="320"/>
        <v/>
      </c>
      <c r="P2925" s="66" t="str">
        <f t="shared" si="321"/>
        <v/>
      </c>
    </row>
    <row r="2926" spans="8:16">
      <c r="H2926" s="66" t="e">
        <f>IF(LEFT(A2926,6)="CEPNTR","GPINS",VLOOKUP(LEFT(A2926,6),'Code Library'!$A$3:$B$920,2,0))&amp;"_"&amp;RIGHT(A2926,3)</f>
        <v>#N/A</v>
      </c>
      <c r="I2926" s="66">
        <f t="shared" si="315"/>
        <v>0</v>
      </c>
      <c r="K2926" s="66" t="str">
        <f t="shared" si="316"/>
        <v/>
      </c>
      <c r="L2926" s="66" t="str">
        <f t="shared" si="317"/>
        <v/>
      </c>
      <c r="M2926" s="66" t="str">
        <f t="shared" si="318"/>
        <v/>
      </c>
      <c r="N2926" s="66" t="str">
        <f t="shared" si="319"/>
        <v/>
      </c>
      <c r="O2926" s="66" t="str">
        <f t="shared" si="320"/>
        <v/>
      </c>
      <c r="P2926" s="66" t="str">
        <f t="shared" si="321"/>
        <v/>
      </c>
    </row>
    <row r="2927" spans="8:16">
      <c r="H2927" s="66" t="e">
        <f>IF(LEFT(A2927,6)="CEPNTR","GPINS",VLOOKUP(LEFT(A2927,6),'Code Library'!$A$3:$B$920,2,0))&amp;"_"&amp;RIGHT(A2927,3)</f>
        <v>#N/A</v>
      </c>
      <c r="I2927" s="66">
        <f t="shared" si="315"/>
        <v>0</v>
      </c>
      <c r="K2927" s="66" t="str">
        <f t="shared" si="316"/>
        <v/>
      </c>
      <c r="L2927" s="66" t="str">
        <f t="shared" si="317"/>
        <v/>
      </c>
      <c r="M2927" s="66" t="str">
        <f t="shared" si="318"/>
        <v/>
      </c>
      <c r="N2927" s="66" t="str">
        <f t="shared" si="319"/>
        <v/>
      </c>
      <c r="O2927" s="66" t="str">
        <f t="shared" si="320"/>
        <v/>
      </c>
      <c r="P2927" s="66" t="str">
        <f t="shared" si="321"/>
        <v/>
      </c>
    </row>
    <row r="2928" spans="8:16">
      <c r="H2928" s="66" t="e">
        <f>IF(LEFT(A2928,6)="CEPNTR","GPINS",VLOOKUP(LEFT(A2928,6),'Code Library'!$A$3:$B$920,2,0))&amp;"_"&amp;RIGHT(A2928,3)</f>
        <v>#N/A</v>
      </c>
      <c r="I2928" s="66">
        <f t="shared" si="315"/>
        <v>0</v>
      </c>
      <c r="K2928" s="66" t="str">
        <f t="shared" si="316"/>
        <v/>
      </c>
      <c r="L2928" s="66" t="str">
        <f t="shared" si="317"/>
        <v/>
      </c>
      <c r="M2928" s="66" t="str">
        <f t="shared" si="318"/>
        <v/>
      </c>
      <c r="N2928" s="66" t="str">
        <f t="shared" si="319"/>
        <v/>
      </c>
      <c r="O2928" s="66" t="str">
        <f t="shared" si="320"/>
        <v/>
      </c>
      <c r="P2928" s="66" t="str">
        <f t="shared" si="321"/>
        <v/>
      </c>
    </row>
    <row r="2929" spans="8:16">
      <c r="H2929" s="66" t="e">
        <f>IF(LEFT(A2929,6)="CEPNTR","GPINS",VLOOKUP(LEFT(A2929,6),'Code Library'!$A$3:$B$920,2,0))&amp;"_"&amp;RIGHT(A2929,3)</f>
        <v>#N/A</v>
      </c>
      <c r="I2929" s="66">
        <f t="shared" si="315"/>
        <v>0</v>
      </c>
      <c r="K2929" s="66" t="str">
        <f t="shared" si="316"/>
        <v/>
      </c>
      <c r="L2929" s="66" t="str">
        <f t="shared" si="317"/>
        <v/>
      </c>
      <c r="M2929" s="66" t="str">
        <f t="shared" si="318"/>
        <v/>
      </c>
      <c r="N2929" s="66" t="str">
        <f t="shared" si="319"/>
        <v/>
      </c>
      <c r="O2929" s="66" t="str">
        <f t="shared" si="320"/>
        <v/>
      </c>
      <c r="P2929" s="66" t="str">
        <f t="shared" si="321"/>
        <v/>
      </c>
    </row>
    <row r="2930" spans="8:16">
      <c r="H2930" s="66" t="e">
        <f>IF(LEFT(A2930,6)="CEPNTR","GPINS",VLOOKUP(LEFT(A2930,6),'Code Library'!$A$3:$B$920,2,0))&amp;"_"&amp;RIGHT(A2930,3)</f>
        <v>#N/A</v>
      </c>
      <c r="I2930" s="66">
        <f t="shared" si="315"/>
        <v>0</v>
      </c>
      <c r="K2930" s="66" t="str">
        <f t="shared" si="316"/>
        <v/>
      </c>
      <c r="L2930" s="66" t="str">
        <f t="shared" si="317"/>
        <v/>
      </c>
      <c r="M2930" s="66" t="str">
        <f t="shared" si="318"/>
        <v/>
      </c>
      <c r="N2930" s="66" t="str">
        <f t="shared" si="319"/>
        <v/>
      </c>
      <c r="O2930" s="66" t="str">
        <f t="shared" si="320"/>
        <v/>
      </c>
      <c r="P2930" s="66" t="str">
        <f t="shared" si="321"/>
        <v/>
      </c>
    </row>
    <row r="2931" spans="8:16">
      <c r="H2931" s="66" t="e">
        <f>IF(LEFT(A2931,6)="CEPNTR","GPINS",VLOOKUP(LEFT(A2931,6),'Code Library'!$A$3:$B$920,2,0))&amp;"_"&amp;RIGHT(A2931,3)</f>
        <v>#N/A</v>
      </c>
      <c r="I2931" s="66">
        <f t="shared" si="315"/>
        <v>0</v>
      </c>
      <c r="K2931" s="66" t="str">
        <f t="shared" si="316"/>
        <v/>
      </c>
      <c r="L2931" s="66" t="str">
        <f t="shared" si="317"/>
        <v/>
      </c>
      <c r="M2931" s="66" t="str">
        <f t="shared" si="318"/>
        <v/>
      </c>
      <c r="N2931" s="66" t="str">
        <f t="shared" si="319"/>
        <v/>
      </c>
      <c r="O2931" s="66" t="str">
        <f t="shared" si="320"/>
        <v/>
      </c>
      <c r="P2931" s="66" t="str">
        <f t="shared" si="321"/>
        <v/>
      </c>
    </row>
    <row r="2932" spans="8:16">
      <c r="H2932" s="66" t="e">
        <f>IF(LEFT(A2932,6)="CEPNTR","GPINS",VLOOKUP(LEFT(A2932,6),'Code Library'!$A$3:$B$920,2,0))&amp;"_"&amp;RIGHT(A2932,3)</f>
        <v>#N/A</v>
      </c>
      <c r="I2932" s="66">
        <f t="shared" si="315"/>
        <v>0</v>
      </c>
      <c r="K2932" s="66" t="str">
        <f t="shared" si="316"/>
        <v/>
      </c>
      <c r="L2932" s="66" t="str">
        <f t="shared" si="317"/>
        <v/>
      </c>
      <c r="M2932" s="66" t="str">
        <f t="shared" si="318"/>
        <v/>
      </c>
      <c r="N2932" s="66" t="str">
        <f t="shared" si="319"/>
        <v/>
      </c>
      <c r="O2932" s="66" t="str">
        <f t="shared" si="320"/>
        <v/>
      </c>
      <c r="P2932" s="66" t="str">
        <f t="shared" si="321"/>
        <v/>
      </c>
    </row>
    <row r="2933" spans="8:16">
      <c r="H2933" s="66" t="e">
        <f>IF(LEFT(A2933,6)="CEPNTR","GPINS",VLOOKUP(LEFT(A2933,6),'Code Library'!$A$3:$B$920,2,0))&amp;"_"&amp;RIGHT(A2933,3)</f>
        <v>#N/A</v>
      </c>
      <c r="I2933" s="66">
        <f t="shared" si="315"/>
        <v>0</v>
      </c>
      <c r="K2933" s="66" t="str">
        <f t="shared" si="316"/>
        <v/>
      </c>
      <c r="L2933" s="66" t="str">
        <f t="shared" si="317"/>
        <v/>
      </c>
      <c r="M2933" s="66" t="str">
        <f t="shared" si="318"/>
        <v/>
      </c>
      <c r="N2933" s="66" t="str">
        <f t="shared" si="319"/>
        <v/>
      </c>
      <c r="O2933" s="66" t="str">
        <f t="shared" si="320"/>
        <v/>
      </c>
      <c r="P2933" s="66" t="str">
        <f t="shared" si="321"/>
        <v/>
      </c>
    </row>
    <row r="2934" spans="8:16">
      <c r="H2934" s="66" t="e">
        <f>IF(LEFT(A2934,6)="CEPNTR","GPINS",VLOOKUP(LEFT(A2934,6),'Code Library'!$A$3:$B$920,2,0))&amp;"_"&amp;RIGHT(A2934,3)</f>
        <v>#N/A</v>
      </c>
      <c r="I2934" s="66">
        <f t="shared" si="315"/>
        <v>0</v>
      </c>
      <c r="K2934" s="66" t="str">
        <f t="shared" si="316"/>
        <v/>
      </c>
      <c r="L2934" s="66" t="str">
        <f t="shared" si="317"/>
        <v/>
      </c>
      <c r="M2934" s="66" t="str">
        <f t="shared" si="318"/>
        <v/>
      </c>
      <c r="N2934" s="66" t="str">
        <f t="shared" si="319"/>
        <v/>
      </c>
      <c r="O2934" s="66" t="str">
        <f t="shared" si="320"/>
        <v/>
      </c>
      <c r="P2934" s="66" t="str">
        <f t="shared" si="321"/>
        <v/>
      </c>
    </row>
    <row r="2935" spans="8:16">
      <c r="H2935" s="66" t="e">
        <f>IF(LEFT(A2935,6)="CEPNTR","GPINS",VLOOKUP(LEFT(A2935,6),'Code Library'!$A$3:$B$920,2,0))&amp;"_"&amp;RIGHT(A2935,3)</f>
        <v>#N/A</v>
      </c>
      <c r="I2935" s="66">
        <f t="shared" si="315"/>
        <v>0</v>
      </c>
      <c r="K2935" s="66" t="str">
        <f t="shared" si="316"/>
        <v/>
      </c>
      <c r="L2935" s="66" t="str">
        <f t="shared" si="317"/>
        <v/>
      </c>
      <c r="M2935" s="66" t="str">
        <f t="shared" si="318"/>
        <v/>
      </c>
      <c r="N2935" s="66" t="str">
        <f t="shared" si="319"/>
        <v/>
      </c>
      <c r="O2935" s="66" t="str">
        <f t="shared" si="320"/>
        <v/>
      </c>
      <c r="P2935" s="66" t="str">
        <f t="shared" si="321"/>
        <v/>
      </c>
    </row>
    <row r="2936" spans="8:16">
      <c r="H2936" s="66" t="e">
        <f>IF(LEFT(A2936,6)="CEPNTR","GPINS",VLOOKUP(LEFT(A2936,6),'Code Library'!$A$3:$B$920,2,0))&amp;"_"&amp;RIGHT(A2936,3)</f>
        <v>#N/A</v>
      </c>
      <c r="I2936" s="66">
        <f t="shared" si="315"/>
        <v>0</v>
      </c>
      <c r="K2936" s="66" t="str">
        <f t="shared" si="316"/>
        <v/>
      </c>
      <c r="L2936" s="66" t="str">
        <f t="shared" si="317"/>
        <v/>
      </c>
      <c r="M2936" s="66" t="str">
        <f t="shared" si="318"/>
        <v/>
      </c>
      <c r="N2936" s="66" t="str">
        <f t="shared" si="319"/>
        <v/>
      </c>
      <c r="O2936" s="66" t="str">
        <f t="shared" si="320"/>
        <v/>
      </c>
      <c r="P2936" s="66" t="str">
        <f t="shared" si="321"/>
        <v/>
      </c>
    </row>
    <row r="2937" spans="8:16">
      <c r="H2937" s="66" t="e">
        <f>IF(LEFT(A2937,6)="CEPNTR","GPINS",VLOOKUP(LEFT(A2937,6),'Code Library'!$A$3:$B$920,2,0))&amp;"_"&amp;RIGHT(A2937,3)</f>
        <v>#N/A</v>
      </c>
      <c r="I2937" s="66">
        <f t="shared" si="315"/>
        <v>0</v>
      </c>
      <c r="K2937" s="66" t="str">
        <f t="shared" si="316"/>
        <v/>
      </c>
      <c r="L2937" s="66" t="str">
        <f t="shared" si="317"/>
        <v/>
      </c>
      <c r="M2937" s="66" t="str">
        <f t="shared" si="318"/>
        <v/>
      </c>
      <c r="N2937" s="66" t="str">
        <f t="shared" si="319"/>
        <v/>
      </c>
      <c r="O2937" s="66" t="str">
        <f t="shared" si="320"/>
        <v/>
      </c>
      <c r="P2937" s="66" t="str">
        <f t="shared" si="321"/>
        <v/>
      </c>
    </row>
    <row r="2938" spans="8:16">
      <c r="H2938" s="66" t="e">
        <f>IF(LEFT(A2938,6)="CEPNTR","GPINS",VLOOKUP(LEFT(A2938,6),'Code Library'!$A$3:$B$920,2,0))&amp;"_"&amp;RIGHT(A2938,3)</f>
        <v>#N/A</v>
      </c>
      <c r="I2938" s="66">
        <f t="shared" si="315"/>
        <v>0</v>
      </c>
      <c r="K2938" s="66" t="str">
        <f t="shared" si="316"/>
        <v/>
      </c>
      <c r="L2938" s="66" t="str">
        <f t="shared" si="317"/>
        <v/>
      </c>
      <c r="M2938" s="66" t="str">
        <f t="shared" si="318"/>
        <v/>
      </c>
      <c r="N2938" s="66" t="str">
        <f t="shared" si="319"/>
        <v/>
      </c>
      <c r="O2938" s="66" t="str">
        <f t="shared" si="320"/>
        <v/>
      </c>
      <c r="P2938" s="66" t="str">
        <f t="shared" si="321"/>
        <v/>
      </c>
    </row>
    <row r="2939" spans="8:16">
      <c r="H2939" s="66" t="e">
        <f>IF(LEFT(A2939,6)="CEPNTR","GPINS",VLOOKUP(LEFT(A2939,6),'Code Library'!$A$3:$B$920,2,0))&amp;"_"&amp;RIGHT(A2939,3)</f>
        <v>#N/A</v>
      </c>
      <c r="I2939" s="66">
        <f t="shared" si="315"/>
        <v>0</v>
      </c>
      <c r="K2939" s="66" t="str">
        <f t="shared" si="316"/>
        <v/>
      </c>
      <c r="L2939" s="66" t="str">
        <f t="shared" si="317"/>
        <v/>
      </c>
      <c r="M2939" s="66" t="str">
        <f t="shared" si="318"/>
        <v/>
      </c>
      <c r="N2939" s="66" t="str">
        <f t="shared" si="319"/>
        <v/>
      </c>
      <c r="O2939" s="66" t="str">
        <f t="shared" si="320"/>
        <v/>
      </c>
      <c r="P2939" s="66" t="str">
        <f t="shared" si="321"/>
        <v/>
      </c>
    </row>
    <row r="2940" spans="8:16">
      <c r="H2940" s="66" t="e">
        <f>IF(LEFT(A2940,6)="CEPNTR","GPINS",VLOOKUP(LEFT(A2940,6),'Code Library'!$A$3:$B$920,2,0))&amp;"_"&amp;RIGHT(A2940,3)</f>
        <v>#N/A</v>
      </c>
      <c r="I2940" s="66">
        <f t="shared" si="315"/>
        <v>0</v>
      </c>
      <c r="K2940" s="66" t="str">
        <f t="shared" si="316"/>
        <v/>
      </c>
      <c r="L2940" s="66" t="str">
        <f t="shared" si="317"/>
        <v/>
      </c>
      <c r="M2940" s="66" t="str">
        <f t="shared" si="318"/>
        <v/>
      </c>
      <c r="N2940" s="66" t="str">
        <f t="shared" si="319"/>
        <v/>
      </c>
      <c r="O2940" s="66" t="str">
        <f t="shared" si="320"/>
        <v/>
      </c>
      <c r="P2940" s="66" t="str">
        <f t="shared" si="321"/>
        <v/>
      </c>
    </row>
    <row r="2941" spans="8:16">
      <c r="H2941" s="66" t="e">
        <f>IF(LEFT(A2941,6)="CEPNTR","GPINS",VLOOKUP(LEFT(A2941,6),'Code Library'!$A$3:$B$920,2,0))&amp;"_"&amp;RIGHT(A2941,3)</f>
        <v>#N/A</v>
      </c>
      <c r="I2941" s="66">
        <f t="shared" si="315"/>
        <v>0</v>
      </c>
      <c r="K2941" s="66" t="str">
        <f t="shared" si="316"/>
        <v/>
      </c>
      <c r="L2941" s="66" t="str">
        <f t="shared" si="317"/>
        <v/>
      </c>
      <c r="M2941" s="66" t="str">
        <f t="shared" si="318"/>
        <v/>
      </c>
      <c r="N2941" s="66" t="str">
        <f t="shared" si="319"/>
        <v/>
      </c>
      <c r="O2941" s="66" t="str">
        <f t="shared" si="320"/>
        <v/>
      </c>
      <c r="P2941" s="66" t="str">
        <f t="shared" si="321"/>
        <v/>
      </c>
    </row>
    <row r="2942" spans="8:16">
      <c r="H2942" s="66" t="e">
        <f>IF(LEFT(A2942,6)="CEPNTR","GPINS",VLOOKUP(LEFT(A2942,6),'Code Library'!$A$3:$B$920,2,0))&amp;"_"&amp;RIGHT(A2942,3)</f>
        <v>#N/A</v>
      </c>
      <c r="I2942" s="66">
        <f t="shared" si="315"/>
        <v>0</v>
      </c>
      <c r="K2942" s="66" t="str">
        <f t="shared" si="316"/>
        <v/>
      </c>
      <c r="L2942" s="66" t="str">
        <f t="shared" si="317"/>
        <v/>
      </c>
      <c r="M2942" s="66" t="str">
        <f t="shared" si="318"/>
        <v/>
      </c>
      <c r="N2942" s="66" t="str">
        <f t="shared" si="319"/>
        <v/>
      </c>
      <c r="O2942" s="66" t="str">
        <f t="shared" si="320"/>
        <v/>
      </c>
      <c r="P2942" s="66" t="str">
        <f t="shared" si="321"/>
        <v/>
      </c>
    </row>
    <row r="2943" spans="8:16">
      <c r="H2943" s="66" t="e">
        <f>IF(LEFT(A2943,6)="CEPNTR","GPINS",VLOOKUP(LEFT(A2943,6),'Code Library'!$A$3:$B$920,2,0))&amp;"_"&amp;RIGHT(A2943,3)</f>
        <v>#N/A</v>
      </c>
      <c r="I2943" s="66">
        <f t="shared" si="315"/>
        <v>0</v>
      </c>
      <c r="K2943" s="66" t="str">
        <f t="shared" si="316"/>
        <v/>
      </c>
      <c r="L2943" s="66" t="str">
        <f t="shared" si="317"/>
        <v/>
      </c>
      <c r="M2943" s="66" t="str">
        <f t="shared" si="318"/>
        <v/>
      </c>
      <c r="N2943" s="66" t="str">
        <f t="shared" si="319"/>
        <v/>
      </c>
      <c r="O2943" s="66" t="str">
        <f t="shared" si="320"/>
        <v/>
      </c>
      <c r="P2943" s="66" t="str">
        <f t="shared" si="321"/>
        <v/>
      </c>
    </row>
    <row r="2944" spans="8:16">
      <c r="H2944" s="66" t="e">
        <f>IF(LEFT(A2944,6)="CEPNTR","GPINS",VLOOKUP(LEFT(A2944,6),'Code Library'!$A$3:$B$920,2,0))&amp;"_"&amp;RIGHT(A2944,3)</f>
        <v>#N/A</v>
      </c>
      <c r="I2944" s="66">
        <f t="shared" si="315"/>
        <v>0</v>
      </c>
      <c r="K2944" s="66" t="str">
        <f t="shared" si="316"/>
        <v/>
      </c>
      <c r="L2944" s="66" t="str">
        <f t="shared" si="317"/>
        <v/>
      </c>
      <c r="M2944" s="66" t="str">
        <f t="shared" si="318"/>
        <v/>
      </c>
      <c r="N2944" s="66" t="str">
        <f t="shared" si="319"/>
        <v/>
      </c>
      <c r="O2944" s="66" t="str">
        <f t="shared" si="320"/>
        <v/>
      </c>
      <c r="P2944" s="66" t="str">
        <f t="shared" si="321"/>
        <v/>
      </c>
    </row>
    <row r="2945" spans="8:16">
      <c r="H2945" s="66" t="e">
        <f>IF(LEFT(A2945,6)="CEPNTR","GPINS",VLOOKUP(LEFT(A2945,6),'Code Library'!$A$3:$B$920,2,0))&amp;"_"&amp;RIGHT(A2945,3)</f>
        <v>#N/A</v>
      </c>
      <c r="I2945" s="66">
        <f t="shared" si="315"/>
        <v>0</v>
      </c>
      <c r="K2945" s="66" t="str">
        <f t="shared" si="316"/>
        <v/>
      </c>
      <c r="L2945" s="66" t="str">
        <f t="shared" si="317"/>
        <v/>
      </c>
      <c r="M2945" s="66" t="str">
        <f t="shared" si="318"/>
        <v/>
      </c>
      <c r="N2945" s="66" t="str">
        <f t="shared" si="319"/>
        <v/>
      </c>
      <c r="O2945" s="66" t="str">
        <f t="shared" si="320"/>
        <v/>
      </c>
      <c r="P2945" s="66" t="str">
        <f t="shared" si="321"/>
        <v/>
      </c>
    </row>
    <row r="2946" spans="8:16">
      <c r="H2946" s="66" t="e">
        <f>IF(LEFT(A2946,6)="CEPNTR","GPINS",VLOOKUP(LEFT(A2946,6),'Code Library'!$A$3:$B$920,2,0))&amp;"_"&amp;RIGHT(A2946,3)</f>
        <v>#N/A</v>
      </c>
      <c r="I2946" s="66">
        <f t="shared" si="315"/>
        <v>0</v>
      </c>
      <c r="K2946" s="66" t="str">
        <f t="shared" si="316"/>
        <v/>
      </c>
      <c r="L2946" s="66" t="str">
        <f t="shared" si="317"/>
        <v/>
      </c>
      <c r="M2946" s="66" t="str">
        <f t="shared" si="318"/>
        <v/>
      </c>
      <c r="N2946" s="66" t="str">
        <f t="shared" si="319"/>
        <v/>
      </c>
      <c r="O2946" s="66" t="str">
        <f t="shared" si="320"/>
        <v/>
      </c>
      <c r="P2946" s="66" t="str">
        <f t="shared" si="321"/>
        <v/>
      </c>
    </row>
    <row r="2947" spans="8:16">
      <c r="H2947" s="66" t="e">
        <f>IF(LEFT(A2947,6)="CEPNTR","GPINS",VLOOKUP(LEFT(A2947,6),'Code Library'!$A$3:$B$920,2,0))&amp;"_"&amp;RIGHT(A2947,3)</f>
        <v>#N/A</v>
      </c>
      <c r="I2947" s="66">
        <f t="shared" ref="I2947:I3010" si="322">A2947</f>
        <v>0</v>
      </c>
      <c r="K2947" s="66" t="str">
        <f t="shared" ref="K2947:K3010" si="323">RIGHT($B2947,2)</f>
        <v/>
      </c>
      <c r="L2947" s="66" t="str">
        <f t="shared" ref="L2947:L3010" si="324">LEFT(RIGHT($B2947,7),4)</f>
        <v/>
      </c>
      <c r="M2947" s="66" t="str">
        <f t="shared" ref="M2947:M3010" si="325">LEFT(RIGHT($B2947,10),2)</f>
        <v/>
      </c>
      <c r="N2947" s="66" t="str">
        <f t="shared" ref="N2947:N3010" si="326">LEFT(RIGHT($B2947,14),3)</f>
        <v/>
      </c>
      <c r="O2947" s="66" t="str">
        <f t="shared" ref="O2947:O3010" si="327">LEFT(RIGHT($B2947,16),1)</f>
        <v/>
      </c>
      <c r="P2947" s="66" t="str">
        <f t="shared" ref="P2947:P3010" si="328">LEFT(RIGHT($B2947,19),2)</f>
        <v/>
      </c>
    </row>
    <row r="2948" spans="8:16">
      <c r="H2948" s="66" t="e">
        <f>IF(LEFT(A2948,6)="CEPNTR","GPINS",VLOOKUP(LEFT(A2948,6),'Code Library'!$A$3:$B$920,2,0))&amp;"_"&amp;RIGHT(A2948,3)</f>
        <v>#N/A</v>
      </c>
      <c r="I2948" s="66">
        <f t="shared" si="322"/>
        <v>0</v>
      </c>
      <c r="K2948" s="66" t="str">
        <f t="shared" si="323"/>
        <v/>
      </c>
      <c r="L2948" s="66" t="str">
        <f t="shared" si="324"/>
        <v/>
      </c>
      <c r="M2948" s="66" t="str">
        <f t="shared" si="325"/>
        <v/>
      </c>
      <c r="N2948" s="66" t="str">
        <f t="shared" si="326"/>
        <v/>
      </c>
      <c r="O2948" s="66" t="str">
        <f t="shared" si="327"/>
        <v/>
      </c>
      <c r="P2948" s="66" t="str">
        <f t="shared" si="328"/>
        <v/>
      </c>
    </row>
    <row r="2949" spans="8:16">
      <c r="H2949" s="66" t="e">
        <f>IF(LEFT(A2949,6)="CEPNTR","GPINS",VLOOKUP(LEFT(A2949,6),'Code Library'!$A$3:$B$920,2,0))&amp;"_"&amp;RIGHT(A2949,3)</f>
        <v>#N/A</v>
      </c>
      <c r="I2949" s="66">
        <f t="shared" si="322"/>
        <v>0</v>
      </c>
      <c r="K2949" s="66" t="str">
        <f t="shared" si="323"/>
        <v/>
      </c>
      <c r="L2949" s="66" t="str">
        <f t="shared" si="324"/>
        <v/>
      </c>
      <c r="M2949" s="66" t="str">
        <f t="shared" si="325"/>
        <v/>
      </c>
      <c r="N2949" s="66" t="str">
        <f t="shared" si="326"/>
        <v/>
      </c>
      <c r="O2949" s="66" t="str">
        <f t="shared" si="327"/>
        <v/>
      </c>
      <c r="P2949" s="66" t="str">
        <f t="shared" si="328"/>
        <v/>
      </c>
    </row>
    <row r="2950" spans="8:16">
      <c r="H2950" s="66" t="e">
        <f>IF(LEFT(A2950,6)="CEPNTR","GPINS",VLOOKUP(LEFT(A2950,6),'Code Library'!$A$3:$B$920,2,0))&amp;"_"&amp;RIGHT(A2950,3)</f>
        <v>#N/A</v>
      </c>
      <c r="I2950" s="66">
        <f t="shared" si="322"/>
        <v>0</v>
      </c>
      <c r="K2950" s="66" t="str">
        <f t="shared" si="323"/>
        <v/>
      </c>
      <c r="L2950" s="66" t="str">
        <f t="shared" si="324"/>
        <v/>
      </c>
      <c r="M2950" s="66" t="str">
        <f t="shared" si="325"/>
        <v/>
      </c>
      <c r="N2950" s="66" t="str">
        <f t="shared" si="326"/>
        <v/>
      </c>
      <c r="O2950" s="66" t="str">
        <f t="shared" si="327"/>
        <v/>
      </c>
      <c r="P2950" s="66" t="str">
        <f t="shared" si="328"/>
        <v/>
      </c>
    </row>
    <row r="2951" spans="8:16">
      <c r="H2951" s="66" t="e">
        <f>IF(LEFT(A2951,6)="CEPNTR","GPINS",VLOOKUP(LEFT(A2951,6),'Code Library'!$A$3:$B$920,2,0))&amp;"_"&amp;RIGHT(A2951,3)</f>
        <v>#N/A</v>
      </c>
      <c r="I2951" s="66">
        <f t="shared" si="322"/>
        <v>0</v>
      </c>
      <c r="K2951" s="66" t="str">
        <f t="shared" si="323"/>
        <v/>
      </c>
      <c r="L2951" s="66" t="str">
        <f t="shared" si="324"/>
        <v/>
      </c>
      <c r="M2951" s="66" t="str">
        <f t="shared" si="325"/>
        <v/>
      </c>
      <c r="N2951" s="66" t="str">
        <f t="shared" si="326"/>
        <v/>
      </c>
      <c r="O2951" s="66" t="str">
        <f t="shared" si="327"/>
        <v/>
      </c>
      <c r="P2951" s="66" t="str">
        <f t="shared" si="328"/>
        <v/>
      </c>
    </row>
    <row r="2952" spans="8:16">
      <c r="H2952" s="66" t="e">
        <f>IF(LEFT(A2952,6)="CEPNTR","GPINS",VLOOKUP(LEFT(A2952,6),'Code Library'!$A$3:$B$920,2,0))&amp;"_"&amp;RIGHT(A2952,3)</f>
        <v>#N/A</v>
      </c>
      <c r="I2952" s="66">
        <f t="shared" si="322"/>
        <v>0</v>
      </c>
      <c r="K2952" s="66" t="str">
        <f t="shared" si="323"/>
        <v/>
      </c>
      <c r="L2952" s="66" t="str">
        <f t="shared" si="324"/>
        <v/>
      </c>
      <c r="M2952" s="66" t="str">
        <f t="shared" si="325"/>
        <v/>
      </c>
      <c r="N2952" s="66" t="str">
        <f t="shared" si="326"/>
        <v/>
      </c>
      <c r="O2952" s="66" t="str">
        <f t="shared" si="327"/>
        <v/>
      </c>
      <c r="P2952" s="66" t="str">
        <f t="shared" si="328"/>
        <v/>
      </c>
    </row>
    <row r="2953" spans="8:16">
      <c r="H2953" s="66" t="e">
        <f>IF(LEFT(A2953,6)="CEPNTR","GPINS",VLOOKUP(LEFT(A2953,6),'Code Library'!$A$3:$B$920,2,0))&amp;"_"&amp;RIGHT(A2953,3)</f>
        <v>#N/A</v>
      </c>
      <c r="I2953" s="66">
        <f t="shared" si="322"/>
        <v>0</v>
      </c>
      <c r="K2953" s="66" t="str">
        <f t="shared" si="323"/>
        <v/>
      </c>
      <c r="L2953" s="66" t="str">
        <f t="shared" si="324"/>
        <v/>
      </c>
      <c r="M2953" s="66" t="str">
        <f t="shared" si="325"/>
        <v/>
      </c>
      <c r="N2953" s="66" t="str">
        <f t="shared" si="326"/>
        <v/>
      </c>
      <c r="O2953" s="66" t="str">
        <f t="shared" si="327"/>
        <v/>
      </c>
      <c r="P2953" s="66" t="str">
        <f t="shared" si="328"/>
        <v/>
      </c>
    </row>
    <row r="2954" spans="8:16">
      <c r="H2954" s="66" t="e">
        <f>IF(LEFT(A2954,6)="CEPNTR","GPINS",VLOOKUP(LEFT(A2954,6),'Code Library'!$A$3:$B$920,2,0))&amp;"_"&amp;RIGHT(A2954,3)</f>
        <v>#N/A</v>
      </c>
      <c r="I2954" s="66">
        <f t="shared" si="322"/>
        <v>0</v>
      </c>
      <c r="K2954" s="66" t="str">
        <f t="shared" si="323"/>
        <v/>
      </c>
      <c r="L2954" s="66" t="str">
        <f t="shared" si="324"/>
        <v/>
      </c>
      <c r="M2954" s="66" t="str">
        <f t="shared" si="325"/>
        <v/>
      </c>
      <c r="N2954" s="66" t="str">
        <f t="shared" si="326"/>
        <v/>
      </c>
      <c r="O2954" s="66" t="str">
        <f t="shared" si="327"/>
        <v/>
      </c>
      <c r="P2954" s="66" t="str">
        <f t="shared" si="328"/>
        <v/>
      </c>
    </row>
    <row r="2955" spans="8:16">
      <c r="H2955" s="66" t="e">
        <f>IF(LEFT(A2955,6)="CEPNTR","GPINS",VLOOKUP(LEFT(A2955,6),'Code Library'!$A$3:$B$920,2,0))&amp;"_"&amp;RIGHT(A2955,3)</f>
        <v>#N/A</v>
      </c>
      <c r="I2955" s="66">
        <f t="shared" si="322"/>
        <v>0</v>
      </c>
      <c r="K2955" s="66" t="str">
        <f t="shared" si="323"/>
        <v/>
      </c>
      <c r="L2955" s="66" t="str">
        <f t="shared" si="324"/>
        <v/>
      </c>
      <c r="M2955" s="66" t="str">
        <f t="shared" si="325"/>
        <v/>
      </c>
      <c r="N2955" s="66" t="str">
        <f t="shared" si="326"/>
        <v/>
      </c>
      <c r="O2955" s="66" t="str">
        <f t="shared" si="327"/>
        <v/>
      </c>
      <c r="P2955" s="66" t="str">
        <f t="shared" si="328"/>
        <v/>
      </c>
    </row>
    <row r="2956" spans="8:16">
      <c r="H2956" s="66" t="e">
        <f>IF(LEFT(A2956,6)="CEPNTR","GPINS",VLOOKUP(LEFT(A2956,6),'Code Library'!$A$3:$B$920,2,0))&amp;"_"&amp;RIGHT(A2956,3)</f>
        <v>#N/A</v>
      </c>
      <c r="I2956" s="66">
        <f t="shared" si="322"/>
        <v>0</v>
      </c>
      <c r="K2956" s="66" t="str">
        <f t="shared" si="323"/>
        <v/>
      </c>
      <c r="L2956" s="66" t="str">
        <f t="shared" si="324"/>
        <v/>
      </c>
      <c r="M2956" s="66" t="str">
        <f t="shared" si="325"/>
        <v/>
      </c>
      <c r="N2956" s="66" t="str">
        <f t="shared" si="326"/>
        <v/>
      </c>
      <c r="O2956" s="66" t="str">
        <f t="shared" si="327"/>
        <v/>
      </c>
      <c r="P2956" s="66" t="str">
        <f t="shared" si="328"/>
        <v/>
      </c>
    </row>
    <row r="2957" spans="8:16">
      <c r="H2957" s="66" t="e">
        <f>IF(LEFT(A2957,6)="CEPNTR","GPINS",VLOOKUP(LEFT(A2957,6),'Code Library'!$A$3:$B$920,2,0))&amp;"_"&amp;RIGHT(A2957,3)</f>
        <v>#N/A</v>
      </c>
      <c r="I2957" s="66">
        <f t="shared" si="322"/>
        <v>0</v>
      </c>
      <c r="K2957" s="66" t="str">
        <f t="shared" si="323"/>
        <v/>
      </c>
      <c r="L2957" s="66" t="str">
        <f t="shared" si="324"/>
        <v/>
      </c>
      <c r="M2957" s="66" t="str">
        <f t="shared" si="325"/>
        <v/>
      </c>
      <c r="N2957" s="66" t="str">
        <f t="shared" si="326"/>
        <v/>
      </c>
      <c r="O2957" s="66" t="str">
        <f t="shared" si="327"/>
        <v/>
      </c>
      <c r="P2957" s="66" t="str">
        <f t="shared" si="328"/>
        <v/>
      </c>
    </row>
    <row r="2958" spans="8:16">
      <c r="H2958" s="66" t="e">
        <f>IF(LEFT(A2958,6)="CEPNTR","GPINS",VLOOKUP(LEFT(A2958,6),'Code Library'!$A$3:$B$920,2,0))&amp;"_"&amp;RIGHT(A2958,3)</f>
        <v>#N/A</v>
      </c>
      <c r="I2958" s="66">
        <f t="shared" si="322"/>
        <v>0</v>
      </c>
      <c r="K2958" s="66" t="str">
        <f t="shared" si="323"/>
        <v/>
      </c>
      <c r="L2958" s="66" t="str">
        <f t="shared" si="324"/>
        <v/>
      </c>
      <c r="M2958" s="66" t="str">
        <f t="shared" si="325"/>
        <v/>
      </c>
      <c r="N2958" s="66" t="str">
        <f t="shared" si="326"/>
        <v/>
      </c>
      <c r="O2958" s="66" t="str">
        <f t="shared" si="327"/>
        <v/>
      </c>
      <c r="P2958" s="66" t="str">
        <f t="shared" si="328"/>
        <v/>
      </c>
    </row>
    <row r="2959" spans="8:16">
      <c r="H2959" s="66" t="e">
        <f>IF(LEFT(A2959,6)="CEPNTR","GPINS",VLOOKUP(LEFT(A2959,6),'Code Library'!$A$3:$B$920,2,0))&amp;"_"&amp;RIGHT(A2959,3)</f>
        <v>#N/A</v>
      </c>
      <c r="I2959" s="66">
        <f t="shared" si="322"/>
        <v>0</v>
      </c>
      <c r="K2959" s="66" t="str">
        <f t="shared" si="323"/>
        <v/>
      </c>
      <c r="L2959" s="66" t="str">
        <f t="shared" si="324"/>
        <v/>
      </c>
      <c r="M2959" s="66" t="str">
        <f t="shared" si="325"/>
        <v/>
      </c>
      <c r="N2959" s="66" t="str">
        <f t="shared" si="326"/>
        <v/>
      </c>
      <c r="O2959" s="66" t="str">
        <f t="shared" si="327"/>
        <v/>
      </c>
      <c r="P2959" s="66" t="str">
        <f t="shared" si="328"/>
        <v/>
      </c>
    </row>
    <row r="2960" spans="8:16">
      <c r="H2960" s="66" t="e">
        <f>IF(LEFT(A2960,6)="CEPNTR","GPINS",VLOOKUP(LEFT(A2960,6),'Code Library'!$A$3:$B$920,2,0))&amp;"_"&amp;RIGHT(A2960,3)</f>
        <v>#N/A</v>
      </c>
      <c r="I2960" s="66">
        <f t="shared" si="322"/>
        <v>0</v>
      </c>
      <c r="K2960" s="66" t="str">
        <f t="shared" si="323"/>
        <v/>
      </c>
      <c r="L2960" s="66" t="str">
        <f t="shared" si="324"/>
        <v/>
      </c>
      <c r="M2960" s="66" t="str">
        <f t="shared" si="325"/>
        <v/>
      </c>
      <c r="N2960" s="66" t="str">
        <f t="shared" si="326"/>
        <v/>
      </c>
      <c r="O2960" s="66" t="str">
        <f t="shared" si="327"/>
        <v/>
      </c>
      <c r="P2960" s="66" t="str">
        <f t="shared" si="328"/>
        <v/>
      </c>
    </row>
    <row r="2961" spans="8:16">
      <c r="H2961" s="66" t="e">
        <f>IF(LEFT(A2961,6)="CEPNTR","GPINS",VLOOKUP(LEFT(A2961,6),'Code Library'!$A$3:$B$920,2,0))&amp;"_"&amp;RIGHT(A2961,3)</f>
        <v>#N/A</v>
      </c>
      <c r="I2961" s="66">
        <f t="shared" si="322"/>
        <v>0</v>
      </c>
      <c r="K2961" s="66" t="str">
        <f t="shared" si="323"/>
        <v/>
      </c>
      <c r="L2961" s="66" t="str">
        <f t="shared" si="324"/>
        <v/>
      </c>
      <c r="M2961" s="66" t="str">
        <f t="shared" si="325"/>
        <v/>
      </c>
      <c r="N2961" s="66" t="str">
        <f t="shared" si="326"/>
        <v/>
      </c>
      <c r="O2961" s="66" t="str">
        <f t="shared" si="327"/>
        <v/>
      </c>
      <c r="P2961" s="66" t="str">
        <f t="shared" si="328"/>
        <v/>
      </c>
    </row>
    <row r="2962" spans="8:16">
      <c r="H2962" s="66" t="e">
        <f>IF(LEFT(A2962,6)="CEPNTR","GPINS",VLOOKUP(LEFT(A2962,6),'Code Library'!$A$3:$B$920,2,0))&amp;"_"&amp;RIGHT(A2962,3)</f>
        <v>#N/A</v>
      </c>
      <c r="I2962" s="66">
        <f t="shared" si="322"/>
        <v>0</v>
      </c>
      <c r="K2962" s="66" t="str">
        <f t="shared" si="323"/>
        <v/>
      </c>
      <c r="L2962" s="66" t="str">
        <f t="shared" si="324"/>
        <v/>
      </c>
      <c r="M2962" s="66" t="str">
        <f t="shared" si="325"/>
        <v/>
      </c>
      <c r="N2962" s="66" t="str">
        <f t="shared" si="326"/>
        <v/>
      </c>
      <c r="O2962" s="66" t="str">
        <f t="shared" si="327"/>
        <v/>
      </c>
      <c r="P2962" s="66" t="str">
        <f t="shared" si="328"/>
        <v/>
      </c>
    </row>
    <row r="2963" spans="8:16">
      <c r="H2963" s="66" t="e">
        <f>IF(LEFT(A2963,6)="CEPNTR","GPINS",VLOOKUP(LEFT(A2963,6),'Code Library'!$A$3:$B$920,2,0))&amp;"_"&amp;RIGHT(A2963,3)</f>
        <v>#N/A</v>
      </c>
      <c r="I2963" s="66">
        <f t="shared" si="322"/>
        <v>0</v>
      </c>
      <c r="K2963" s="66" t="str">
        <f t="shared" si="323"/>
        <v/>
      </c>
      <c r="L2963" s="66" t="str">
        <f t="shared" si="324"/>
        <v/>
      </c>
      <c r="M2963" s="66" t="str">
        <f t="shared" si="325"/>
        <v/>
      </c>
      <c r="N2963" s="66" t="str">
        <f t="shared" si="326"/>
        <v/>
      </c>
      <c r="O2963" s="66" t="str">
        <f t="shared" si="327"/>
        <v/>
      </c>
      <c r="P2963" s="66" t="str">
        <f t="shared" si="328"/>
        <v/>
      </c>
    </row>
    <row r="2964" spans="8:16">
      <c r="H2964" s="66" t="e">
        <f>IF(LEFT(A2964,6)="CEPNTR","GPINS",VLOOKUP(LEFT(A2964,6),'Code Library'!$A$3:$B$920,2,0))&amp;"_"&amp;RIGHT(A2964,3)</f>
        <v>#N/A</v>
      </c>
      <c r="I2964" s="66">
        <f t="shared" si="322"/>
        <v>0</v>
      </c>
      <c r="K2964" s="66" t="str">
        <f t="shared" si="323"/>
        <v/>
      </c>
      <c r="L2964" s="66" t="str">
        <f t="shared" si="324"/>
        <v/>
      </c>
      <c r="M2964" s="66" t="str">
        <f t="shared" si="325"/>
        <v/>
      </c>
      <c r="N2964" s="66" t="str">
        <f t="shared" si="326"/>
        <v/>
      </c>
      <c r="O2964" s="66" t="str">
        <f t="shared" si="327"/>
        <v/>
      </c>
      <c r="P2964" s="66" t="str">
        <f t="shared" si="328"/>
        <v/>
      </c>
    </row>
    <row r="2965" spans="8:16">
      <c r="H2965" s="66" t="e">
        <f>IF(LEFT(A2965,6)="CEPNTR","GPINS",VLOOKUP(LEFT(A2965,6),'Code Library'!$A$3:$B$920,2,0))&amp;"_"&amp;RIGHT(A2965,3)</f>
        <v>#N/A</v>
      </c>
      <c r="I2965" s="66">
        <f t="shared" si="322"/>
        <v>0</v>
      </c>
      <c r="K2965" s="66" t="str">
        <f t="shared" si="323"/>
        <v/>
      </c>
      <c r="L2965" s="66" t="str">
        <f t="shared" si="324"/>
        <v/>
      </c>
      <c r="M2965" s="66" t="str">
        <f t="shared" si="325"/>
        <v/>
      </c>
      <c r="N2965" s="66" t="str">
        <f t="shared" si="326"/>
        <v/>
      </c>
      <c r="O2965" s="66" t="str">
        <f t="shared" si="327"/>
        <v/>
      </c>
      <c r="P2965" s="66" t="str">
        <f t="shared" si="328"/>
        <v/>
      </c>
    </row>
    <row r="2966" spans="8:16">
      <c r="H2966" s="66" t="e">
        <f>IF(LEFT(A2966,6)="CEPNTR","GPINS",VLOOKUP(LEFT(A2966,6),'Code Library'!$A$3:$B$920,2,0))&amp;"_"&amp;RIGHT(A2966,3)</f>
        <v>#N/A</v>
      </c>
      <c r="I2966" s="66">
        <f t="shared" si="322"/>
        <v>0</v>
      </c>
      <c r="K2966" s="66" t="str">
        <f t="shared" si="323"/>
        <v/>
      </c>
      <c r="L2966" s="66" t="str">
        <f t="shared" si="324"/>
        <v/>
      </c>
      <c r="M2966" s="66" t="str">
        <f t="shared" si="325"/>
        <v/>
      </c>
      <c r="N2966" s="66" t="str">
        <f t="shared" si="326"/>
        <v/>
      </c>
      <c r="O2966" s="66" t="str">
        <f t="shared" si="327"/>
        <v/>
      </c>
      <c r="P2966" s="66" t="str">
        <f t="shared" si="328"/>
        <v/>
      </c>
    </row>
    <row r="2967" spans="8:16">
      <c r="H2967" s="66" t="e">
        <f>IF(LEFT(A2967,6)="CEPNTR","GPINS",VLOOKUP(LEFT(A2967,6),'Code Library'!$A$3:$B$920,2,0))&amp;"_"&amp;RIGHT(A2967,3)</f>
        <v>#N/A</v>
      </c>
      <c r="I2967" s="66">
        <f t="shared" si="322"/>
        <v>0</v>
      </c>
      <c r="K2967" s="66" t="str">
        <f t="shared" si="323"/>
        <v/>
      </c>
      <c r="L2967" s="66" t="str">
        <f t="shared" si="324"/>
        <v/>
      </c>
      <c r="M2967" s="66" t="str">
        <f t="shared" si="325"/>
        <v/>
      </c>
      <c r="N2967" s="66" t="str">
        <f t="shared" si="326"/>
        <v/>
      </c>
      <c r="O2967" s="66" t="str">
        <f t="shared" si="327"/>
        <v/>
      </c>
      <c r="P2967" s="66" t="str">
        <f t="shared" si="328"/>
        <v/>
      </c>
    </row>
    <row r="2968" spans="8:16">
      <c r="H2968" s="66" t="e">
        <f>IF(LEFT(A2968,6)="CEPNTR","GPINS",VLOOKUP(LEFT(A2968,6),'Code Library'!$A$3:$B$920,2,0))&amp;"_"&amp;RIGHT(A2968,3)</f>
        <v>#N/A</v>
      </c>
      <c r="I2968" s="66">
        <f t="shared" si="322"/>
        <v>0</v>
      </c>
      <c r="K2968" s="66" t="str">
        <f t="shared" si="323"/>
        <v/>
      </c>
      <c r="L2968" s="66" t="str">
        <f t="shared" si="324"/>
        <v/>
      </c>
      <c r="M2968" s="66" t="str">
        <f t="shared" si="325"/>
        <v/>
      </c>
      <c r="N2968" s="66" t="str">
        <f t="shared" si="326"/>
        <v/>
      </c>
      <c r="O2968" s="66" t="str">
        <f t="shared" si="327"/>
        <v/>
      </c>
      <c r="P2968" s="66" t="str">
        <f t="shared" si="328"/>
        <v/>
      </c>
    </row>
    <row r="2969" spans="8:16">
      <c r="H2969" s="66" t="e">
        <f>IF(LEFT(A2969,6)="CEPNTR","GPINS",VLOOKUP(LEFT(A2969,6),'Code Library'!$A$3:$B$920,2,0))&amp;"_"&amp;RIGHT(A2969,3)</f>
        <v>#N/A</v>
      </c>
      <c r="I2969" s="66">
        <f t="shared" si="322"/>
        <v>0</v>
      </c>
      <c r="K2969" s="66" t="str">
        <f t="shared" si="323"/>
        <v/>
      </c>
      <c r="L2969" s="66" t="str">
        <f t="shared" si="324"/>
        <v/>
      </c>
      <c r="M2969" s="66" t="str">
        <f t="shared" si="325"/>
        <v/>
      </c>
      <c r="N2969" s="66" t="str">
        <f t="shared" si="326"/>
        <v/>
      </c>
      <c r="O2969" s="66" t="str">
        <f t="shared" si="327"/>
        <v/>
      </c>
      <c r="P2969" s="66" t="str">
        <f t="shared" si="328"/>
        <v/>
      </c>
    </row>
    <row r="2970" spans="8:16">
      <c r="H2970" s="66" t="e">
        <f>IF(LEFT(A2970,6)="CEPNTR","GPINS",VLOOKUP(LEFT(A2970,6),'Code Library'!$A$3:$B$920,2,0))&amp;"_"&amp;RIGHT(A2970,3)</f>
        <v>#N/A</v>
      </c>
      <c r="I2970" s="66">
        <f t="shared" si="322"/>
        <v>0</v>
      </c>
      <c r="K2970" s="66" t="str">
        <f t="shared" si="323"/>
        <v/>
      </c>
      <c r="L2970" s="66" t="str">
        <f t="shared" si="324"/>
        <v/>
      </c>
      <c r="M2970" s="66" t="str">
        <f t="shared" si="325"/>
        <v/>
      </c>
      <c r="N2970" s="66" t="str">
        <f t="shared" si="326"/>
        <v/>
      </c>
      <c r="O2970" s="66" t="str">
        <f t="shared" si="327"/>
        <v/>
      </c>
      <c r="P2970" s="66" t="str">
        <f t="shared" si="328"/>
        <v/>
      </c>
    </row>
    <row r="2971" spans="8:16">
      <c r="H2971" s="66" t="e">
        <f>IF(LEFT(A2971,6)="CEPNTR","GPINS",VLOOKUP(LEFT(A2971,6),'Code Library'!$A$3:$B$920,2,0))&amp;"_"&amp;RIGHT(A2971,3)</f>
        <v>#N/A</v>
      </c>
      <c r="I2971" s="66">
        <f t="shared" si="322"/>
        <v>0</v>
      </c>
      <c r="K2971" s="66" t="str">
        <f t="shared" si="323"/>
        <v/>
      </c>
      <c r="L2971" s="66" t="str">
        <f t="shared" si="324"/>
        <v/>
      </c>
      <c r="M2971" s="66" t="str">
        <f t="shared" si="325"/>
        <v/>
      </c>
      <c r="N2971" s="66" t="str">
        <f t="shared" si="326"/>
        <v/>
      </c>
      <c r="O2971" s="66" t="str">
        <f t="shared" si="327"/>
        <v/>
      </c>
      <c r="P2971" s="66" t="str">
        <f t="shared" si="328"/>
        <v/>
      </c>
    </row>
    <row r="2972" spans="8:16">
      <c r="H2972" s="66" t="e">
        <f>IF(LEFT(A2972,6)="CEPNTR","GPINS",VLOOKUP(LEFT(A2972,6),'Code Library'!$A$3:$B$920,2,0))&amp;"_"&amp;RIGHT(A2972,3)</f>
        <v>#N/A</v>
      </c>
      <c r="I2972" s="66">
        <f t="shared" si="322"/>
        <v>0</v>
      </c>
      <c r="K2972" s="66" t="str">
        <f t="shared" si="323"/>
        <v/>
      </c>
      <c r="L2972" s="66" t="str">
        <f t="shared" si="324"/>
        <v/>
      </c>
      <c r="M2972" s="66" t="str">
        <f t="shared" si="325"/>
        <v/>
      </c>
      <c r="N2972" s="66" t="str">
        <f t="shared" si="326"/>
        <v/>
      </c>
      <c r="O2972" s="66" t="str">
        <f t="shared" si="327"/>
        <v/>
      </c>
      <c r="P2972" s="66" t="str">
        <f t="shared" si="328"/>
        <v/>
      </c>
    </row>
    <row r="2973" spans="8:16">
      <c r="H2973" s="66" t="e">
        <f>IF(LEFT(A2973,6)="CEPNTR","GPINS",VLOOKUP(LEFT(A2973,6),'Code Library'!$A$3:$B$920,2,0))&amp;"_"&amp;RIGHT(A2973,3)</f>
        <v>#N/A</v>
      </c>
      <c r="I2973" s="66">
        <f t="shared" si="322"/>
        <v>0</v>
      </c>
      <c r="K2973" s="66" t="str">
        <f t="shared" si="323"/>
        <v/>
      </c>
      <c r="L2973" s="66" t="str">
        <f t="shared" si="324"/>
        <v/>
      </c>
      <c r="M2973" s="66" t="str">
        <f t="shared" si="325"/>
        <v/>
      </c>
      <c r="N2973" s="66" t="str">
        <f t="shared" si="326"/>
        <v/>
      </c>
      <c r="O2973" s="66" t="str">
        <f t="shared" si="327"/>
        <v/>
      </c>
      <c r="P2973" s="66" t="str">
        <f t="shared" si="328"/>
        <v/>
      </c>
    </row>
    <row r="2974" spans="8:16">
      <c r="H2974" s="66" t="e">
        <f>IF(LEFT(A2974,6)="CEPNTR","GPINS",VLOOKUP(LEFT(A2974,6),'Code Library'!$A$3:$B$920,2,0))&amp;"_"&amp;RIGHT(A2974,3)</f>
        <v>#N/A</v>
      </c>
      <c r="I2974" s="66">
        <f t="shared" si="322"/>
        <v>0</v>
      </c>
      <c r="K2974" s="66" t="str">
        <f t="shared" si="323"/>
        <v/>
      </c>
      <c r="L2974" s="66" t="str">
        <f t="shared" si="324"/>
        <v/>
      </c>
      <c r="M2974" s="66" t="str">
        <f t="shared" si="325"/>
        <v/>
      </c>
      <c r="N2974" s="66" t="str">
        <f t="shared" si="326"/>
        <v/>
      </c>
      <c r="O2974" s="66" t="str">
        <f t="shared" si="327"/>
        <v/>
      </c>
      <c r="P2974" s="66" t="str">
        <f t="shared" si="328"/>
        <v/>
      </c>
    </row>
    <row r="2975" spans="8:16">
      <c r="H2975" s="66" t="e">
        <f>IF(LEFT(A2975,6)="CEPNTR","GPINS",VLOOKUP(LEFT(A2975,6),'Code Library'!$A$3:$B$920,2,0))&amp;"_"&amp;RIGHT(A2975,3)</f>
        <v>#N/A</v>
      </c>
      <c r="I2975" s="66">
        <f t="shared" si="322"/>
        <v>0</v>
      </c>
      <c r="K2975" s="66" t="str">
        <f t="shared" si="323"/>
        <v/>
      </c>
      <c r="L2975" s="66" t="str">
        <f t="shared" si="324"/>
        <v/>
      </c>
      <c r="M2975" s="66" t="str">
        <f t="shared" si="325"/>
        <v/>
      </c>
      <c r="N2975" s="66" t="str">
        <f t="shared" si="326"/>
        <v/>
      </c>
      <c r="O2975" s="66" t="str">
        <f t="shared" si="327"/>
        <v/>
      </c>
      <c r="P2975" s="66" t="str">
        <f t="shared" si="328"/>
        <v/>
      </c>
    </row>
    <row r="2976" spans="8:16">
      <c r="H2976" s="66" t="e">
        <f>IF(LEFT(A2976,6)="CEPNTR","GPINS",VLOOKUP(LEFT(A2976,6),'Code Library'!$A$3:$B$920,2,0))&amp;"_"&amp;RIGHT(A2976,3)</f>
        <v>#N/A</v>
      </c>
      <c r="I2976" s="66">
        <f t="shared" si="322"/>
        <v>0</v>
      </c>
      <c r="K2976" s="66" t="str">
        <f t="shared" si="323"/>
        <v/>
      </c>
      <c r="L2976" s="66" t="str">
        <f t="shared" si="324"/>
        <v/>
      </c>
      <c r="M2976" s="66" t="str">
        <f t="shared" si="325"/>
        <v/>
      </c>
      <c r="N2976" s="66" t="str">
        <f t="shared" si="326"/>
        <v/>
      </c>
      <c r="O2976" s="66" t="str">
        <f t="shared" si="327"/>
        <v/>
      </c>
      <c r="P2976" s="66" t="str">
        <f t="shared" si="328"/>
        <v/>
      </c>
    </row>
    <row r="2977" spans="8:16">
      <c r="H2977" s="66" t="e">
        <f>IF(LEFT(A2977,6)="CEPNTR","GPINS",VLOOKUP(LEFT(A2977,6),'Code Library'!$A$3:$B$920,2,0))&amp;"_"&amp;RIGHT(A2977,3)</f>
        <v>#N/A</v>
      </c>
      <c r="I2977" s="66">
        <f t="shared" si="322"/>
        <v>0</v>
      </c>
      <c r="K2977" s="66" t="str">
        <f t="shared" si="323"/>
        <v/>
      </c>
      <c r="L2977" s="66" t="str">
        <f t="shared" si="324"/>
        <v/>
      </c>
      <c r="M2977" s="66" t="str">
        <f t="shared" si="325"/>
        <v/>
      </c>
      <c r="N2977" s="66" t="str">
        <f t="shared" si="326"/>
        <v/>
      </c>
      <c r="O2977" s="66" t="str">
        <f t="shared" si="327"/>
        <v/>
      </c>
      <c r="P2977" s="66" t="str">
        <f t="shared" si="328"/>
        <v/>
      </c>
    </row>
    <row r="2978" spans="8:16">
      <c r="H2978" s="66" t="e">
        <f>IF(LEFT(A2978,6)="CEPNTR","GPINS",VLOOKUP(LEFT(A2978,6),'Code Library'!$A$3:$B$920,2,0))&amp;"_"&amp;RIGHT(A2978,3)</f>
        <v>#N/A</v>
      </c>
      <c r="I2978" s="66">
        <f t="shared" si="322"/>
        <v>0</v>
      </c>
      <c r="K2978" s="66" t="str">
        <f t="shared" si="323"/>
        <v/>
      </c>
      <c r="L2978" s="66" t="str">
        <f t="shared" si="324"/>
        <v/>
      </c>
      <c r="M2978" s="66" t="str">
        <f t="shared" si="325"/>
        <v/>
      </c>
      <c r="N2978" s="66" t="str">
        <f t="shared" si="326"/>
        <v/>
      </c>
      <c r="O2978" s="66" t="str">
        <f t="shared" si="327"/>
        <v/>
      </c>
      <c r="P2978" s="66" t="str">
        <f t="shared" si="328"/>
        <v/>
      </c>
    </row>
    <row r="2979" spans="8:16">
      <c r="H2979" s="66" t="e">
        <f>IF(LEFT(A2979,6)="CEPNTR","GPINS",VLOOKUP(LEFT(A2979,6),'Code Library'!$A$3:$B$920,2,0))&amp;"_"&amp;RIGHT(A2979,3)</f>
        <v>#N/A</v>
      </c>
      <c r="I2979" s="66">
        <f t="shared" si="322"/>
        <v>0</v>
      </c>
      <c r="K2979" s="66" t="str">
        <f t="shared" si="323"/>
        <v/>
      </c>
      <c r="L2979" s="66" t="str">
        <f t="shared" si="324"/>
        <v/>
      </c>
      <c r="M2979" s="66" t="str">
        <f t="shared" si="325"/>
        <v/>
      </c>
      <c r="N2979" s="66" t="str">
        <f t="shared" si="326"/>
        <v/>
      </c>
      <c r="O2979" s="66" t="str">
        <f t="shared" si="327"/>
        <v/>
      </c>
      <c r="P2979" s="66" t="str">
        <f t="shared" si="328"/>
        <v/>
      </c>
    </row>
    <row r="2980" spans="8:16">
      <c r="H2980" s="66" t="e">
        <f>IF(LEFT(A2980,6)="CEPNTR","GPINS",VLOOKUP(LEFT(A2980,6),'Code Library'!$A$3:$B$920,2,0))&amp;"_"&amp;RIGHT(A2980,3)</f>
        <v>#N/A</v>
      </c>
      <c r="I2980" s="66">
        <f t="shared" si="322"/>
        <v>0</v>
      </c>
      <c r="K2980" s="66" t="str">
        <f t="shared" si="323"/>
        <v/>
      </c>
      <c r="L2980" s="66" t="str">
        <f t="shared" si="324"/>
        <v/>
      </c>
      <c r="M2980" s="66" t="str">
        <f t="shared" si="325"/>
        <v/>
      </c>
      <c r="N2980" s="66" t="str">
        <f t="shared" si="326"/>
        <v/>
      </c>
      <c r="O2980" s="66" t="str">
        <f t="shared" si="327"/>
        <v/>
      </c>
      <c r="P2980" s="66" t="str">
        <f t="shared" si="328"/>
        <v/>
      </c>
    </row>
    <row r="2981" spans="8:16">
      <c r="H2981" s="66" t="e">
        <f>IF(LEFT(A2981,6)="CEPNTR","GPINS",VLOOKUP(LEFT(A2981,6),'Code Library'!$A$3:$B$920,2,0))&amp;"_"&amp;RIGHT(A2981,3)</f>
        <v>#N/A</v>
      </c>
      <c r="I2981" s="66">
        <f t="shared" si="322"/>
        <v>0</v>
      </c>
      <c r="K2981" s="66" t="str">
        <f t="shared" si="323"/>
        <v/>
      </c>
      <c r="L2981" s="66" t="str">
        <f t="shared" si="324"/>
        <v/>
      </c>
      <c r="M2981" s="66" t="str">
        <f t="shared" si="325"/>
        <v/>
      </c>
      <c r="N2981" s="66" t="str">
        <f t="shared" si="326"/>
        <v/>
      </c>
      <c r="O2981" s="66" t="str">
        <f t="shared" si="327"/>
        <v/>
      </c>
      <c r="P2981" s="66" t="str">
        <f t="shared" si="328"/>
        <v/>
      </c>
    </row>
    <row r="2982" spans="8:16">
      <c r="H2982" s="66" t="e">
        <f>IF(LEFT(A2982,6)="CEPNTR","GPINS",VLOOKUP(LEFT(A2982,6),'Code Library'!$A$3:$B$920,2,0))&amp;"_"&amp;RIGHT(A2982,3)</f>
        <v>#N/A</v>
      </c>
      <c r="I2982" s="66">
        <f t="shared" si="322"/>
        <v>0</v>
      </c>
      <c r="K2982" s="66" t="str">
        <f t="shared" si="323"/>
        <v/>
      </c>
      <c r="L2982" s="66" t="str">
        <f t="shared" si="324"/>
        <v/>
      </c>
      <c r="M2982" s="66" t="str">
        <f t="shared" si="325"/>
        <v/>
      </c>
      <c r="N2982" s="66" t="str">
        <f t="shared" si="326"/>
        <v/>
      </c>
      <c r="O2982" s="66" t="str">
        <f t="shared" si="327"/>
        <v/>
      </c>
      <c r="P2982" s="66" t="str">
        <f t="shared" si="328"/>
        <v/>
      </c>
    </row>
    <row r="2983" spans="8:16">
      <c r="H2983" s="66" t="e">
        <f>IF(LEFT(A2983,6)="CEPNTR","GPINS",VLOOKUP(LEFT(A2983,6),'Code Library'!$A$3:$B$920,2,0))&amp;"_"&amp;RIGHT(A2983,3)</f>
        <v>#N/A</v>
      </c>
      <c r="I2983" s="66">
        <f t="shared" si="322"/>
        <v>0</v>
      </c>
      <c r="K2983" s="66" t="str">
        <f t="shared" si="323"/>
        <v/>
      </c>
      <c r="L2983" s="66" t="str">
        <f t="shared" si="324"/>
        <v/>
      </c>
      <c r="M2983" s="66" t="str">
        <f t="shared" si="325"/>
        <v/>
      </c>
      <c r="N2983" s="66" t="str">
        <f t="shared" si="326"/>
        <v/>
      </c>
      <c r="O2983" s="66" t="str">
        <f t="shared" si="327"/>
        <v/>
      </c>
      <c r="P2983" s="66" t="str">
        <f t="shared" si="328"/>
        <v/>
      </c>
    </row>
    <row r="2984" spans="8:16">
      <c r="H2984" s="66" t="e">
        <f>IF(LEFT(A2984,6)="CEPNTR","GPINS",VLOOKUP(LEFT(A2984,6),'Code Library'!$A$3:$B$920,2,0))&amp;"_"&amp;RIGHT(A2984,3)</f>
        <v>#N/A</v>
      </c>
      <c r="I2984" s="66">
        <f t="shared" si="322"/>
        <v>0</v>
      </c>
      <c r="K2984" s="66" t="str">
        <f t="shared" si="323"/>
        <v/>
      </c>
      <c r="L2984" s="66" t="str">
        <f t="shared" si="324"/>
        <v/>
      </c>
      <c r="M2984" s="66" t="str">
        <f t="shared" si="325"/>
        <v/>
      </c>
      <c r="N2984" s="66" t="str">
        <f t="shared" si="326"/>
        <v/>
      </c>
      <c r="O2984" s="66" t="str">
        <f t="shared" si="327"/>
        <v/>
      </c>
      <c r="P2984" s="66" t="str">
        <f t="shared" si="328"/>
        <v/>
      </c>
    </row>
    <row r="2985" spans="8:16">
      <c r="H2985" s="66" t="e">
        <f>IF(LEFT(A2985,6)="CEPNTR","GPINS",VLOOKUP(LEFT(A2985,6),'Code Library'!$A$3:$B$920,2,0))&amp;"_"&amp;RIGHT(A2985,3)</f>
        <v>#N/A</v>
      </c>
      <c r="I2985" s="66">
        <f t="shared" si="322"/>
        <v>0</v>
      </c>
      <c r="K2985" s="66" t="str">
        <f t="shared" si="323"/>
        <v/>
      </c>
      <c r="L2985" s="66" t="str">
        <f t="shared" si="324"/>
        <v/>
      </c>
      <c r="M2985" s="66" t="str">
        <f t="shared" si="325"/>
        <v/>
      </c>
      <c r="N2985" s="66" t="str">
        <f t="shared" si="326"/>
        <v/>
      </c>
      <c r="O2985" s="66" t="str">
        <f t="shared" si="327"/>
        <v/>
      </c>
      <c r="P2985" s="66" t="str">
        <f t="shared" si="328"/>
        <v/>
      </c>
    </row>
    <row r="2986" spans="8:16">
      <c r="H2986" s="66" t="e">
        <f>IF(LEFT(A2986,6)="CEPNTR","GPINS",VLOOKUP(LEFT(A2986,6),'Code Library'!$A$3:$B$920,2,0))&amp;"_"&amp;RIGHT(A2986,3)</f>
        <v>#N/A</v>
      </c>
      <c r="I2986" s="66">
        <f t="shared" si="322"/>
        <v>0</v>
      </c>
      <c r="K2986" s="66" t="str">
        <f t="shared" si="323"/>
        <v/>
      </c>
      <c r="L2986" s="66" t="str">
        <f t="shared" si="324"/>
        <v/>
      </c>
      <c r="M2986" s="66" t="str">
        <f t="shared" si="325"/>
        <v/>
      </c>
      <c r="N2986" s="66" t="str">
        <f t="shared" si="326"/>
        <v/>
      </c>
      <c r="O2986" s="66" t="str">
        <f t="shared" si="327"/>
        <v/>
      </c>
      <c r="P2986" s="66" t="str">
        <f t="shared" si="328"/>
        <v/>
      </c>
    </row>
    <row r="2987" spans="8:16">
      <c r="H2987" s="66" t="e">
        <f>IF(LEFT(A2987,6)="CEPNTR","GPINS",VLOOKUP(LEFT(A2987,6),'Code Library'!$A$3:$B$920,2,0))&amp;"_"&amp;RIGHT(A2987,3)</f>
        <v>#N/A</v>
      </c>
      <c r="I2987" s="66">
        <f t="shared" si="322"/>
        <v>0</v>
      </c>
      <c r="K2987" s="66" t="str">
        <f t="shared" si="323"/>
        <v/>
      </c>
      <c r="L2987" s="66" t="str">
        <f t="shared" si="324"/>
        <v/>
      </c>
      <c r="M2987" s="66" t="str">
        <f t="shared" si="325"/>
        <v/>
      </c>
      <c r="N2987" s="66" t="str">
        <f t="shared" si="326"/>
        <v/>
      </c>
      <c r="O2987" s="66" t="str">
        <f t="shared" si="327"/>
        <v/>
      </c>
      <c r="P2987" s="66" t="str">
        <f t="shared" si="328"/>
        <v/>
      </c>
    </row>
    <row r="2988" spans="8:16">
      <c r="H2988" s="66" t="e">
        <f>IF(LEFT(A2988,6)="CEPNTR","GPINS",VLOOKUP(LEFT(A2988,6),'Code Library'!$A$3:$B$920,2,0))&amp;"_"&amp;RIGHT(A2988,3)</f>
        <v>#N/A</v>
      </c>
      <c r="I2988" s="66">
        <f t="shared" si="322"/>
        <v>0</v>
      </c>
      <c r="K2988" s="66" t="str">
        <f t="shared" si="323"/>
        <v/>
      </c>
      <c r="L2988" s="66" t="str">
        <f t="shared" si="324"/>
        <v/>
      </c>
      <c r="M2988" s="66" t="str">
        <f t="shared" si="325"/>
        <v/>
      </c>
      <c r="N2988" s="66" t="str">
        <f t="shared" si="326"/>
        <v/>
      </c>
      <c r="O2988" s="66" t="str">
        <f t="shared" si="327"/>
        <v/>
      </c>
      <c r="P2988" s="66" t="str">
        <f t="shared" si="328"/>
        <v/>
      </c>
    </row>
    <row r="2989" spans="8:16">
      <c r="H2989" s="66" t="e">
        <f>IF(LEFT(A2989,6)="CEPNTR","GPINS",VLOOKUP(LEFT(A2989,6),'Code Library'!$A$3:$B$920,2,0))&amp;"_"&amp;RIGHT(A2989,3)</f>
        <v>#N/A</v>
      </c>
      <c r="I2989" s="66">
        <f t="shared" si="322"/>
        <v>0</v>
      </c>
      <c r="K2989" s="66" t="str">
        <f t="shared" si="323"/>
        <v/>
      </c>
      <c r="L2989" s="66" t="str">
        <f t="shared" si="324"/>
        <v/>
      </c>
      <c r="M2989" s="66" t="str">
        <f t="shared" si="325"/>
        <v/>
      </c>
      <c r="N2989" s="66" t="str">
        <f t="shared" si="326"/>
        <v/>
      </c>
      <c r="O2989" s="66" t="str">
        <f t="shared" si="327"/>
        <v/>
      </c>
      <c r="P2989" s="66" t="str">
        <f t="shared" si="328"/>
        <v/>
      </c>
    </row>
    <row r="2990" spans="8:16">
      <c r="H2990" s="66" t="e">
        <f>IF(LEFT(A2990,6)="CEPNTR","GPINS",VLOOKUP(LEFT(A2990,6),'Code Library'!$A$3:$B$920,2,0))&amp;"_"&amp;RIGHT(A2990,3)</f>
        <v>#N/A</v>
      </c>
      <c r="I2990" s="66">
        <f t="shared" si="322"/>
        <v>0</v>
      </c>
      <c r="K2990" s="66" t="str">
        <f t="shared" si="323"/>
        <v/>
      </c>
      <c r="L2990" s="66" t="str">
        <f t="shared" si="324"/>
        <v/>
      </c>
      <c r="M2990" s="66" t="str">
        <f t="shared" si="325"/>
        <v/>
      </c>
      <c r="N2990" s="66" t="str">
        <f t="shared" si="326"/>
        <v/>
      </c>
      <c r="O2990" s="66" t="str">
        <f t="shared" si="327"/>
        <v/>
      </c>
      <c r="P2990" s="66" t="str">
        <f t="shared" si="328"/>
        <v/>
      </c>
    </row>
    <row r="2991" spans="8:16">
      <c r="H2991" s="66" t="e">
        <f>IF(LEFT(A2991,6)="CEPNTR","GPINS",VLOOKUP(LEFT(A2991,6),'Code Library'!$A$3:$B$920,2,0))&amp;"_"&amp;RIGHT(A2991,3)</f>
        <v>#N/A</v>
      </c>
      <c r="I2991" s="66">
        <f t="shared" si="322"/>
        <v>0</v>
      </c>
      <c r="K2991" s="66" t="str">
        <f t="shared" si="323"/>
        <v/>
      </c>
      <c r="L2991" s="66" t="str">
        <f t="shared" si="324"/>
        <v/>
      </c>
      <c r="M2991" s="66" t="str">
        <f t="shared" si="325"/>
        <v/>
      </c>
      <c r="N2991" s="66" t="str">
        <f t="shared" si="326"/>
        <v/>
      </c>
      <c r="O2991" s="66" t="str">
        <f t="shared" si="327"/>
        <v/>
      </c>
      <c r="P2991" s="66" t="str">
        <f t="shared" si="328"/>
        <v/>
      </c>
    </row>
    <row r="2992" spans="8:16">
      <c r="H2992" s="66" t="e">
        <f>IF(LEFT(A2992,6)="CEPNTR","GPINS",VLOOKUP(LEFT(A2992,6),'Code Library'!$A$3:$B$920,2,0))&amp;"_"&amp;RIGHT(A2992,3)</f>
        <v>#N/A</v>
      </c>
      <c r="I2992" s="66">
        <f t="shared" si="322"/>
        <v>0</v>
      </c>
      <c r="K2992" s="66" t="str">
        <f t="shared" si="323"/>
        <v/>
      </c>
      <c r="L2992" s="66" t="str">
        <f t="shared" si="324"/>
        <v/>
      </c>
      <c r="M2992" s="66" t="str">
        <f t="shared" si="325"/>
        <v/>
      </c>
      <c r="N2992" s="66" t="str">
        <f t="shared" si="326"/>
        <v/>
      </c>
      <c r="O2992" s="66" t="str">
        <f t="shared" si="327"/>
        <v/>
      </c>
      <c r="P2992" s="66" t="str">
        <f t="shared" si="328"/>
        <v/>
      </c>
    </row>
    <row r="2993" spans="8:16">
      <c r="H2993" s="66" t="e">
        <f>IF(LEFT(A2993,6)="CEPNTR","GPINS",VLOOKUP(LEFT(A2993,6),'Code Library'!$A$3:$B$920,2,0))&amp;"_"&amp;RIGHT(A2993,3)</f>
        <v>#N/A</v>
      </c>
      <c r="I2993" s="66">
        <f t="shared" si="322"/>
        <v>0</v>
      </c>
      <c r="K2993" s="66" t="str">
        <f t="shared" si="323"/>
        <v/>
      </c>
      <c r="L2993" s="66" t="str">
        <f t="shared" si="324"/>
        <v/>
      </c>
      <c r="M2993" s="66" t="str">
        <f t="shared" si="325"/>
        <v/>
      </c>
      <c r="N2993" s="66" t="str">
        <f t="shared" si="326"/>
        <v/>
      </c>
      <c r="O2993" s="66" t="str">
        <f t="shared" si="327"/>
        <v/>
      </c>
      <c r="P2993" s="66" t="str">
        <f t="shared" si="328"/>
        <v/>
      </c>
    </row>
    <row r="2994" spans="8:16">
      <c r="H2994" s="66" t="e">
        <f>IF(LEFT(A2994,6)="CEPNTR","GPINS",VLOOKUP(LEFT(A2994,6),'Code Library'!$A$3:$B$920,2,0))&amp;"_"&amp;RIGHT(A2994,3)</f>
        <v>#N/A</v>
      </c>
      <c r="I2994" s="66">
        <f t="shared" si="322"/>
        <v>0</v>
      </c>
      <c r="K2994" s="66" t="str">
        <f t="shared" si="323"/>
        <v/>
      </c>
      <c r="L2994" s="66" t="str">
        <f t="shared" si="324"/>
        <v/>
      </c>
      <c r="M2994" s="66" t="str">
        <f t="shared" si="325"/>
        <v/>
      </c>
      <c r="N2994" s="66" t="str">
        <f t="shared" si="326"/>
        <v/>
      </c>
      <c r="O2994" s="66" t="str">
        <f t="shared" si="327"/>
        <v/>
      </c>
      <c r="P2994" s="66" t="str">
        <f t="shared" si="328"/>
        <v/>
      </c>
    </row>
    <row r="2995" spans="8:16">
      <c r="H2995" s="66" t="e">
        <f>IF(LEFT(A2995,6)="CEPNTR","GPINS",VLOOKUP(LEFT(A2995,6),'Code Library'!$A$3:$B$920,2,0))&amp;"_"&amp;RIGHT(A2995,3)</f>
        <v>#N/A</v>
      </c>
      <c r="I2995" s="66">
        <f t="shared" si="322"/>
        <v>0</v>
      </c>
      <c r="K2995" s="66" t="str">
        <f t="shared" si="323"/>
        <v/>
      </c>
      <c r="L2995" s="66" t="str">
        <f t="shared" si="324"/>
        <v/>
      </c>
      <c r="M2995" s="66" t="str">
        <f t="shared" si="325"/>
        <v/>
      </c>
      <c r="N2995" s="66" t="str">
        <f t="shared" si="326"/>
        <v/>
      </c>
      <c r="O2995" s="66" t="str">
        <f t="shared" si="327"/>
        <v/>
      </c>
      <c r="P2995" s="66" t="str">
        <f t="shared" si="328"/>
        <v/>
      </c>
    </row>
    <row r="2996" spans="8:16">
      <c r="H2996" s="66" t="e">
        <f>IF(LEFT(A2996,6)="CEPNTR","GPINS",VLOOKUP(LEFT(A2996,6),'Code Library'!$A$3:$B$920,2,0))&amp;"_"&amp;RIGHT(A2996,3)</f>
        <v>#N/A</v>
      </c>
      <c r="I2996" s="66">
        <f t="shared" si="322"/>
        <v>0</v>
      </c>
      <c r="K2996" s="66" t="str">
        <f t="shared" si="323"/>
        <v/>
      </c>
      <c r="L2996" s="66" t="str">
        <f t="shared" si="324"/>
        <v/>
      </c>
      <c r="M2996" s="66" t="str">
        <f t="shared" si="325"/>
        <v/>
      </c>
      <c r="N2996" s="66" t="str">
        <f t="shared" si="326"/>
        <v/>
      </c>
      <c r="O2996" s="66" t="str">
        <f t="shared" si="327"/>
        <v/>
      </c>
      <c r="P2996" s="66" t="str">
        <f t="shared" si="328"/>
        <v/>
      </c>
    </row>
    <row r="2997" spans="8:16">
      <c r="H2997" s="66" t="e">
        <f>IF(LEFT(A2997,6)="CEPNTR","GPINS",VLOOKUP(LEFT(A2997,6),'Code Library'!$A$3:$B$920,2,0))&amp;"_"&amp;RIGHT(A2997,3)</f>
        <v>#N/A</v>
      </c>
      <c r="I2997" s="66">
        <f t="shared" si="322"/>
        <v>0</v>
      </c>
      <c r="K2997" s="66" t="str">
        <f t="shared" si="323"/>
        <v/>
      </c>
      <c r="L2997" s="66" t="str">
        <f t="shared" si="324"/>
        <v/>
      </c>
      <c r="M2997" s="66" t="str">
        <f t="shared" si="325"/>
        <v/>
      </c>
      <c r="N2997" s="66" t="str">
        <f t="shared" si="326"/>
        <v/>
      </c>
      <c r="O2997" s="66" t="str">
        <f t="shared" si="327"/>
        <v/>
      </c>
      <c r="P2997" s="66" t="str">
        <f t="shared" si="328"/>
        <v/>
      </c>
    </row>
    <row r="2998" spans="8:16">
      <c r="H2998" s="66" t="e">
        <f>IF(LEFT(A2998,6)="CEPNTR","GPINS",VLOOKUP(LEFT(A2998,6),'Code Library'!$A$3:$B$920,2,0))&amp;"_"&amp;RIGHT(A2998,3)</f>
        <v>#N/A</v>
      </c>
      <c r="I2998" s="66">
        <f t="shared" si="322"/>
        <v>0</v>
      </c>
      <c r="K2998" s="66" t="str">
        <f t="shared" si="323"/>
        <v/>
      </c>
      <c r="L2998" s="66" t="str">
        <f t="shared" si="324"/>
        <v/>
      </c>
      <c r="M2998" s="66" t="str">
        <f t="shared" si="325"/>
        <v/>
      </c>
      <c r="N2998" s="66" t="str">
        <f t="shared" si="326"/>
        <v/>
      </c>
      <c r="O2998" s="66" t="str">
        <f t="shared" si="327"/>
        <v/>
      </c>
      <c r="P2998" s="66" t="str">
        <f t="shared" si="328"/>
        <v/>
      </c>
    </row>
    <row r="2999" spans="8:16">
      <c r="H2999" s="66" t="e">
        <f>IF(LEFT(A2999,6)="CEPNTR","GPINS",VLOOKUP(LEFT(A2999,6),'Code Library'!$A$3:$B$920,2,0))&amp;"_"&amp;RIGHT(A2999,3)</f>
        <v>#N/A</v>
      </c>
      <c r="I2999" s="66">
        <f t="shared" si="322"/>
        <v>0</v>
      </c>
      <c r="K2999" s="66" t="str">
        <f t="shared" si="323"/>
        <v/>
      </c>
      <c r="L2999" s="66" t="str">
        <f t="shared" si="324"/>
        <v/>
      </c>
      <c r="M2999" s="66" t="str">
        <f t="shared" si="325"/>
        <v/>
      </c>
      <c r="N2999" s="66" t="str">
        <f t="shared" si="326"/>
        <v/>
      </c>
      <c r="O2999" s="66" t="str">
        <f t="shared" si="327"/>
        <v/>
      </c>
      <c r="P2999" s="66" t="str">
        <f t="shared" si="328"/>
        <v/>
      </c>
    </row>
    <row r="3000" spans="8:16">
      <c r="H3000" s="66" t="e">
        <f>IF(LEFT(A3000,6)="CEPNTR","GPINS",VLOOKUP(LEFT(A3000,6),'Code Library'!$A$3:$B$920,2,0))&amp;"_"&amp;RIGHT(A3000,3)</f>
        <v>#N/A</v>
      </c>
      <c r="I3000" s="66">
        <f t="shared" si="322"/>
        <v>0</v>
      </c>
      <c r="K3000" s="66" t="str">
        <f t="shared" si="323"/>
        <v/>
      </c>
      <c r="L3000" s="66" t="str">
        <f t="shared" si="324"/>
        <v/>
      </c>
      <c r="M3000" s="66" t="str">
        <f t="shared" si="325"/>
        <v/>
      </c>
      <c r="N3000" s="66" t="str">
        <f t="shared" si="326"/>
        <v/>
      </c>
      <c r="O3000" s="66" t="str">
        <f t="shared" si="327"/>
        <v/>
      </c>
      <c r="P3000" s="66" t="str">
        <f t="shared" si="328"/>
        <v/>
      </c>
    </row>
    <row r="3001" spans="8:16">
      <c r="H3001" s="66" t="e">
        <f>IF(LEFT(A3001,6)="CEPNTR","GPINS",VLOOKUP(LEFT(A3001,6),'Code Library'!$A$3:$B$920,2,0))&amp;"_"&amp;RIGHT(A3001,3)</f>
        <v>#N/A</v>
      </c>
      <c r="I3001" s="66">
        <f t="shared" si="322"/>
        <v>0</v>
      </c>
      <c r="K3001" s="66" t="str">
        <f t="shared" si="323"/>
        <v/>
      </c>
      <c r="L3001" s="66" t="str">
        <f t="shared" si="324"/>
        <v/>
      </c>
      <c r="M3001" s="66" t="str">
        <f t="shared" si="325"/>
        <v/>
      </c>
      <c r="N3001" s="66" t="str">
        <f t="shared" si="326"/>
        <v/>
      </c>
      <c r="O3001" s="66" t="str">
        <f t="shared" si="327"/>
        <v/>
      </c>
      <c r="P3001" s="66" t="str">
        <f t="shared" si="328"/>
        <v/>
      </c>
    </row>
    <row r="3002" spans="8:16">
      <c r="H3002" s="66" t="e">
        <f>IF(LEFT(A3002,6)="CEPNTR","GPINS",VLOOKUP(LEFT(A3002,6),'Code Library'!$A$3:$B$920,2,0))&amp;"_"&amp;RIGHT(A3002,3)</f>
        <v>#N/A</v>
      </c>
      <c r="I3002" s="66">
        <f t="shared" si="322"/>
        <v>0</v>
      </c>
      <c r="K3002" s="66" t="str">
        <f t="shared" si="323"/>
        <v/>
      </c>
      <c r="L3002" s="66" t="str">
        <f t="shared" si="324"/>
        <v/>
      </c>
      <c r="M3002" s="66" t="str">
        <f t="shared" si="325"/>
        <v/>
      </c>
      <c r="N3002" s="66" t="str">
        <f t="shared" si="326"/>
        <v/>
      </c>
      <c r="O3002" s="66" t="str">
        <f t="shared" si="327"/>
        <v/>
      </c>
      <c r="P3002" s="66" t="str">
        <f t="shared" si="328"/>
        <v/>
      </c>
    </row>
    <row r="3003" spans="8:16">
      <c r="H3003" s="66" t="e">
        <f>IF(LEFT(A3003,6)="CEPNTR","GPINS",VLOOKUP(LEFT(A3003,6),'Code Library'!$A$3:$B$920,2,0))&amp;"_"&amp;RIGHT(A3003,3)</f>
        <v>#N/A</v>
      </c>
      <c r="I3003" s="66">
        <f t="shared" si="322"/>
        <v>0</v>
      </c>
      <c r="K3003" s="66" t="str">
        <f t="shared" si="323"/>
        <v/>
      </c>
      <c r="L3003" s="66" t="str">
        <f t="shared" si="324"/>
        <v/>
      </c>
      <c r="M3003" s="66" t="str">
        <f t="shared" si="325"/>
        <v/>
      </c>
      <c r="N3003" s="66" t="str">
        <f t="shared" si="326"/>
        <v/>
      </c>
      <c r="O3003" s="66" t="str">
        <f t="shared" si="327"/>
        <v/>
      </c>
      <c r="P3003" s="66" t="str">
        <f t="shared" si="328"/>
        <v/>
      </c>
    </row>
    <row r="3004" spans="8:16">
      <c r="H3004" s="66" t="e">
        <f>IF(LEFT(A3004,6)="CEPNTR","GPINS",VLOOKUP(LEFT(A3004,6),'Code Library'!$A$3:$B$920,2,0))&amp;"_"&amp;RIGHT(A3004,3)</f>
        <v>#N/A</v>
      </c>
      <c r="I3004" s="66">
        <f t="shared" si="322"/>
        <v>0</v>
      </c>
      <c r="K3004" s="66" t="str">
        <f t="shared" si="323"/>
        <v/>
      </c>
      <c r="L3004" s="66" t="str">
        <f t="shared" si="324"/>
        <v/>
      </c>
      <c r="M3004" s="66" t="str">
        <f t="shared" si="325"/>
        <v/>
      </c>
      <c r="N3004" s="66" t="str">
        <f t="shared" si="326"/>
        <v/>
      </c>
      <c r="O3004" s="66" t="str">
        <f t="shared" si="327"/>
        <v/>
      </c>
      <c r="P3004" s="66" t="str">
        <f t="shared" si="328"/>
        <v/>
      </c>
    </row>
    <row r="3005" spans="8:16">
      <c r="H3005" s="66" t="e">
        <f>IF(LEFT(A3005,6)="CEPNTR","GPINS",VLOOKUP(LEFT(A3005,6),'Code Library'!$A$3:$B$920,2,0))&amp;"_"&amp;RIGHT(A3005,3)</f>
        <v>#N/A</v>
      </c>
      <c r="I3005" s="66">
        <f t="shared" si="322"/>
        <v>0</v>
      </c>
      <c r="K3005" s="66" t="str">
        <f t="shared" si="323"/>
        <v/>
      </c>
      <c r="L3005" s="66" t="str">
        <f t="shared" si="324"/>
        <v/>
      </c>
      <c r="M3005" s="66" t="str">
        <f t="shared" si="325"/>
        <v/>
      </c>
      <c r="N3005" s="66" t="str">
        <f t="shared" si="326"/>
        <v/>
      </c>
      <c r="O3005" s="66" t="str">
        <f t="shared" si="327"/>
        <v/>
      </c>
      <c r="P3005" s="66" t="str">
        <f t="shared" si="328"/>
        <v/>
      </c>
    </row>
    <row r="3006" spans="8:16">
      <c r="H3006" s="66" t="e">
        <f>IF(LEFT(A3006,6)="CEPNTR","GPINS",VLOOKUP(LEFT(A3006,6),'Code Library'!$A$3:$B$920,2,0))&amp;"_"&amp;RIGHT(A3006,3)</f>
        <v>#N/A</v>
      </c>
      <c r="I3006" s="66">
        <f t="shared" si="322"/>
        <v>0</v>
      </c>
      <c r="K3006" s="66" t="str">
        <f t="shared" si="323"/>
        <v/>
      </c>
      <c r="L3006" s="66" t="str">
        <f t="shared" si="324"/>
        <v/>
      </c>
      <c r="M3006" s="66" t="str">
        <f t="shared" si="325"/>
        <v/>
      </c>
      <c r="N3006" s="66" t="str">
        <f t="shared" si="326"/>
        <v/>
      </c>
      <c r="O3006" s="66" t="str">
        <f t="shared" si="327"/>
        <v/>
      </c>
      <c r="P3006" s="66" t="str">
        <f t="shared" si="328"/>
        <v/>
      </c>
    </row>
    <row r="3007" spans="8:16">
      <c r="H3007" s="66" t="e">
        <f>IF(LEFT(A3007,6)="CEPNTR","GPINS",VLOOKUP(LEFT(A3007,6),'Code Library'!$A$3:$B$920,2,0))&amp;"_"&amp;RIGHT(A3007,3)</f>
        <v>#N/A</v>
      </c>
      <c r="I3007" s="66">
        <f t="shared" si="322"/>
        <v>0</v>
      </c>
      <c r="K3007" s="66" t="str">
        <f t="shared" si="323"/>
        <v/>
      </c>
      <c r="L3007" s="66" t="str">
        <f t="shared" si="324"/>
        <v/>
      </c>
      <c r="M3007" s="66" t="str">
        <f t="shared" si="325"/>
        <v/>
      </c>
      <c r="N3007" s="66" t="str">
        <f t="shared" si="326"/>
        <v/>
      </c>
      <c r="O3007" s="66" t="str">
        <f t="shared" si="327"/>
        <v/>
      </c>
      <c r="P3007" s="66" t="str">
        <f t="shared" si="328"/>
        <v/>
      </c>
    </row>
    <row r="3008" spans="8:16">
      <c r="H3008" s="66" t="e">
        <f>IF(LEFT(A3008,6)="CEPNTR","GPINS",VLOOKUP(LEFT(A3008,6),'Code Library'!$A$3:$B$920,2,0))&amp;"_"&amp;RIGHT(A3008,3)</f>
        <v>#N/A</v>
      </c>
      <c r="I3008" s="66">
        <f t="shared" si="322"/>
        <v>0</v>
      </c>
      <c r="K3008" s="66" t="str">
        <f t="shared" si="323"/>
        <v/>
      </c>
      <c r="L3008" s="66" t="str">
        <f t="shared" si="324"/>
        <v/>
      </c>
      <c r="M3008" s="66" t="str">
        <f t="shared" si="325"/>
        <v/>
      </c>
      <c r="N3008" s="66" t="str">
        <f t="shared" si="326"/>
        <v/>
      </c>
      <c r="O3008" s="66" t="str">
        <f t="shared" si="327"/>
        <v/>
      </c>
      <c r="P3008" s="66" t="str">
        <f t="shared" si="328"/>
        <v/>
      </c>
    </row>
    <row r="3009" spans="8:16">
      <c r="H3009" s="66" t="e">
        <f>IF(LEFT(A3009,6)="CEPNTR","GPINS",VLOOKUP(LEFT(A3009,6),'Code Library'!$A$3:$B$920,2,0))&amp;"_"&amp;RIGHT(A3009,3)</f>
        <v>#N/A</v>
      </c>
      <c r="I3009" s="66">
        <f t="shared" si="322"/>
        <v>0</v>
      </c>
      <c r="K3009" s="66" t="str">
        <f t="shared" si="323"/>
        <v/>
      </c>
      <c r="L3009" s="66" t="str">
        <f t="shared" si="324"/>
        <v/>
      </c>
      <c r="M3009" s="66" t="str">
        <f t="shared" si="325"/>
        <v/>
      </c>
      <c r="N3009" s="66" t="str">
        <f t="shared" si="326"/>
        <v/>
      </c>
      <c r="O3009" s="66" t="str">
        <f t="shared" si="327"/>
        <v/>
      </c>
      <c r="P3009" s="66" t="str">
        <f t="shared" si="328"/>
        <v/>
      </c>
    </row>
    <row r="3010" spans="8:16">
      <c r="H3010" s="66" t="e">
        <f>IF(LEFT(A3010,6)="CEPNTR","GPINS",VLOOKUP(LEFT(A3010,6),'Code Library'!$A$3:$B$920,2,0))&amp;"_"&amp;RIGHT(A3010,3)</f>
        <v>#N/A</v>
      </c>
      <c r="I3010" s="66">
        <f t="shared" si="322"/>
        <v>0</v>
      </c>
      <c r="K3010" s="66" t="str">
        <f t="shared" si="323"/>
        <v/>
      </c>
      <c r="L3010" s="66" t="str">
        <f t="shared" si="324"/>
        <v/>
      </c>
      <c r="M3010" s="66" t="str">
        <f t="shared" si="325"/>
        <v/>
      </c>
      <c r="N3010" s="66" t="str">
        <f t="shared" si="326"/>
        <v/>
      </c>
      <c r="O3010" s="66" t="str">
        <f t="shared" si="327"/>
        <v/>
      </c>
      <c r="P3010" s="66" t="str">
        <f t="shared" si="328"/>
        <v/>
      </c>
    </row>
    <row r="3011" spans="8:16">
      <c r="H3011" s="66" t="e">
        <f>IF(LEFT(A3011,6)="CEPNTR","GPINS",VLOOKUP(LEFT(A3011,6),'Code Library'!$A$3:$B$920,2,0))&amp;"_"&amp;RIGHT(A3011,3)</f>
        <v>#N/A</v>
      </c>
      <c r="I3011" s="66">
        <f t="shared" ref="I3011:I3074" si="329">A3011</f>
        <v>0</v>
      </c>
      <c r="K3011" s="66" t="str">
        <f t="shared" ref="K3011:K3074" si="330">RIGHT($B3011,2)</f>
        <v/>
      </c>
      <c r="L3011" s="66" t="str">
        <f t="shared" ref="L3011:L3074" si="331">LEFT(RIGHT($B3011,7),4)</f>
        <v/>
      </c>
      <c r="M3011" s="66" t="str">
        <f t="shared" ref="M3011:M3074" si="332">LEFT(RIGHT($B3011,10),2)</f>
        <v/>
      </c>
      <c r="N3011" s="66" t="str">
        <f t="shared" ref="N3011:N3074" si="333">LEFT(RIGHT($B3011,14),3)</f>
        <v/>
      </c>
      <c r="O3011" s="66" t="str">
        <f t="shared" ref="O3011:O3074" si="334">LEFT(RIGHT($B3011,16),1)</f>
        <v/>
      </c>
      <c r="P3011" s="66" t="str">
        <f t="shared" ref="P3011:P3074" si="335">LEFT(RIGHT($B3011,19),2)</f>
        <v/>
      </c>
    </row>
    <row r="3012" spans="8:16">
      <c r="H3012" s="66" t="e">
        <f>IF(LEFT(A3012,6)="CEPNTR","GPINS",VLOOKUP(LEFT(A3012,6),'Code Library'!$A$3:$B$920,2,0))&amp;"_"&amp;RIGHT(A3012,3)</f>
        <v>#N/A</v>
      </c>
      <c r="I3012" s="66">
        <f t="shared" si="329"/>
        <v>0</v>
      </c>
      <c r="K3012" s="66" t="str">
        <f t="shared" si="330"/>
        <v/>
      </c>
      <c r="L3012" s="66" t="str">
        <f t="shared" si="331"/>
        <v/>
      </c>
      <c r="M3012" s="66" t="str">
        <f t="shared" si="332"/>
        <v/>
      </c>
      <c r="N3012" s="66" t="str">
        <f t="shared" si="333"/>
        <v/>
      </c>
      <c r="O3012" s="66" t="str">
        <f t="shared" si="334"/>
        <v/>
      </c>
      <c r="P3012" s="66" t="str">
        <f t="shared" si="335"/>
        <v/>
      </c>
    </row>
    <row r="3013" spans="8:16">
      <c r="H3013" s="66" t="e">
        <f>IF(LEFT(A3013,6)="CEPNTR","GPINS",VLOOKUP(LEFT(A3013,6),'Code Library'!$A$3:$B$920,2,0))&amp;"_"&amp;RIGHT(A3013,3)</f>
        <v>#N/A</v>
      </c>
      <c r="I3013" s="66">
        <f t="shared" si="329"/>
        <v>0</v>
      </c>
      <c r="K3013" s="66" t="str">
        <f t="shared" si="330"/>
        <v/>
      </c>
      <c r="L3013" s="66" t="str">
        <f t="shared" si="331"/>
        <v/>
      </c>
      <c r="M3013" s="66" t="str">
        <f t="shared" si="332"/>
        <v/>
      </c>
      <c r="N3013" s="66" t="str">
        <f t="shared" si="333"/>
        <v/>
      </c>
      <c r="O3013" s="66" t="str">
        <f t="shared" si="334"/>
        <v/>
      </c>
      <c r="P3013" s="66" t="str">
        <f t="shared" si="335"/>
        <v/>
      </c>
    </row>
    <row r="3014" spans="8:16">
      <c r="H3014" s="66" t="e">
        <f>IF(LEFT(A3014,6)="CEPNTR","GPINS",VLOOKUP(LEFT(A3014,6),'Code Library'!$A$3:$B$920,2,0))&amp;"_"&amp;RIGHT(A3014,3)</f>
        <v>#N/A</v>
      </c>
      <c r="I3014" s="66">
        <f t="shared" si="329"/>
        <v>0</v>
      </c>
      <c r="K3014" s="66" t="str">
        <f t="shared" si="330"/>
        <v/>
      </c>
      <c r="L3014" s="66" t="str">
        <f t="shared" si="331"/>
        <v/>
      </c>
      <c r="M3014" s="66" t="str">
        <f t="shared" si="332"/>
        <v/>
      </c>
      <c r="N3014" s="66" t="str">
        <f t="shared" si="333"/>
        <v/>
      </c>
      <c r="O3014" s="66" t="str">
        <f t="shared" si="334"/>
        <v/>
      </c>
      <c r="P3014" s="66" t="str">
        <f t="shared" si="335"/>
        <v/>
      </c>
    </row>
    <row r="3015" spans="8:16">
      <c r="H3015" s="66" t="e">
        <f>IF(LEFT(A3015,6)="CEPNTR","GPINS",VLOOKUP(LEFT(A3015,6),'Code Library'!$A$3:$B$920,2,0))&amp;"_"&amp;RIGHT(A3015,3)</f>
        <v>#N/A</v>
      </c>
      <c r="I3015" s="66">
        <f t="shared" si="329"/>
        <v>0</v>
      </c>
      <c r="K3015" s="66" t="str">
        <f t="shared" si="330"/>
        <v/>
      </c>
      <c r="L3015" s="66" t="str">
        <f t="shared" si="331"/>
        <v/>
      </c>
      <c r="M3015" s="66" t="str">
        <f t="shared" si="332"/>
        <v/>
      </c>
      <c r="N3015" s="66" t="str">
        <f t="shared" si="333"/>
        <v/>
      </c>
      <c r="O3015" s="66" t="str">
        <f t="shared" si="334"/>
        <v/>
      </c>
      <c r="P3015" s="66" t="str">
        <f t="shared" si="335"/>
        <v/>
      </c>
    </row>
    <row r="3016" spans="8:16">
      <c r="H3016" s="66" t="e">
        <f>IF(LEFT(A3016,6)="CEPNTR","GPINS",VLOOKUP(LEFT(A3016,6),'Code Library'!$A$3:$B$920,2,0))&amp;"_"&amp;RIGHT(A3016,3)</f>
        <v>#N/A</v>
      </c>
      <c r="I3016" s="66">
        <f t="shared" si="329"/>
        <v>0</v>
      </c>
      <c r="K3016" s="66" t="str">
        <f t="shared" si="330"/>
        <v/>
      </c>
      <c r="L3016" s="66" t="str">
        <f t="shared" si="331"/>
        <v/>
      </c>
      <c r="M3016" s="66" t="str">
        <f t="shared" si="332"/>
        <v/>
      </c>
      <c r="N3016" s="66" t="str">
        <f t="shared" si="333"/>
        <v/>
      </c>
      <c r="O3016" s="66" t="str">
        <f t="shared" si="334"/>
        <v/>
      </c>
      <c r="P3016" s="66" t="str">
        <f t="shared" si="335"/>
        <v/>
      </c>
    </row>
    <row r="3017" spans="8:16">
      <c r="H3017" s="66" t="e">
        <f>IF(LEFT(A3017,6)="CEPNTR","GPINS",VLOOKUP(LEFT(A3017,6),'Code Library'!$A$3:$B$920,2,0))&amp;"_"&amp;RIGHT(A3017,3)</f>
        <v>#N/A</v>
      </c>
      <c r="I3017" s="66">
        <f t="shared" si="329"/>
        <v>0</v>
      </c>
      <c r="K3017" s="66" t="str">
        <f t="shared" si="330"/>
        <v/>
      </c>
      <c r="L3017" s="66" t="str">
        <f t="shared" si="331"/>
        <v/>
      </c>
      <c r="M3017" s="66" t="str">
        <f t="shared" si="332"/>
        <v/>
      </c>
      <c r="N3017" s="66" t="str">
        <f t="shared" si="333"/>
        <v/>
      </c>
      <c r="O3017" s="66" t="str">
        <f t="shared" si="334"/>
        <v/>
      </c>
      <c r="P3017" s="66" t="str">
        <f t="shared" si="335"/>
        <v/>
      </c>
    </row>
    <row r="3018" spans="8:16">
      <c r="H3018" s="66" t="e">
        <f>IF(LEFT(A3018,6)="CEPNTR","GPINS",VLOOKUP(LEFT(A3018,6),'Code Library'!$A$3:$B$920,2,0))&amp;"_"&amp;RIGHT(A3018,3)</f>
        <v>#N/A</v>
      </c>
      <c r="I3018" s="66">
        <f t="shared" si="329"/>
        <v>0</v>
      </c>
      <c r="K3018" s="66" t="str">
        <f t="shared" si="330"/>
        <v/>
      </c>
      <c r="L3018" s="66" t="str">
        <f t="shared" si="331"/>
        <v/>
      </c>
      <c r="M3018" s="66" t="str">
        <f t="shared" si="332"/>
        <v/>
      </c>
      <c r="N3018" s="66" t="str">
        <f t="shared" si="333"/>
        <v/>
      </c>
      <c r="O3018" s="66" t="str">
        <f t="shared" si="334"/>
        <v/>
      </c>
      <c r="P3018" s="66" t="str">
        <f t="shared" si="335"/>
        <v/>
      </c>
    </row>
    <row r="3019" spans="8:16">
      <c r="H3019" s="66" t="e">
        <f>IF(LEFT(A3019,6)="CEPNTR","GPINS",VLOOKUP(LEFT(A3019,6),'Code Library'!$A$3:$B$920,2,0))&amp;"_"&amp;RIGHT(A3019,3)</f>
        <v>#N/A</v>
      </c>
      <c r="I3019" s="66">
        <f t="shared" si="329"/>
        <v>0</v>
      </c>
      <c r="K3019" s="66" t="str">
        <f t="shared" si="330"/>
        <v/>
      </c>
      <c r="L3019" s="66" t="str">
        <f t="shared" si="331"/>
        <v/>
      </c>
      <c r="M3019" s="66" t="str">
        <f t="shared" si="332"/>
        <v/>
      </c>
      <c r="N3019" s="66" t="str">
        <f t="shared" si="333"/>
        <v/>
      </c>
      <c r="O3019" s="66" t="str">
        <f t="shared" si="334"/>
        <v/>
      </c>
      <c r="P3019" s="66" t="str">
        <f t="shared" si="335"/>
        <v/>
      </c>
    </row>
    <row r="3020" spans="8:16">
      <c r="H3020" s="66" t="e">
        <f>IF(LEFT(A3020,6)="CEPNTR","GPINS",VLOOKUP(LEFT(A3020,6),'Code Library'!$A$3:$B$920,2,0))&amp;"_"&amp;RIGHT(A3020,3)</f>
        <v>#N/A</v>
      </c>
      <c r="I3020" s="66">
        <f t="shared" si="329"/>
        <v>0</v>
      </c>
      <c r="K3020" s="66" t="str">
        <f t="shared" si="330"/>
        <v/>
      </c>
      <c r="L3020" s="66" t="str">
        <f t="shared" si="331"/>
        <v/>
      </c>
      <c r="M3020" s="66" t="str">
        <f t="shared" si="332"/>
        <v/>
      </c>
      <c r="N3020" s="66" t="str">
        <f t="shared" si="333"/>
        <v/>
      </c>
      <c r="O3020" s="66" t="str">
        <f t="shared" si="334"/>
        <v/>
      </c>
      <c r="P3020" s="66" t="str">
        <f t="shared" si="335"/>
        <v/>
      </c>
    </row>
    <row r="3021" spans="8:16">
      <c r="H3021" s="66" t="e">
        <f>IF(LEFT(A3021,6)="CEPNTR","GPINS",VLOOKUP(LEFT(A3021,6),'Code Library'!$A$3:$B$920,2,0))&amp;"_"&amp;RIGHT(A3021,3)</f>
        <v>#N/A</v>
      </c>
      <c r="I3021" s="66">
        <f t="shared" si="329"/>
        <v>0</v>
      </c>
      <c r="K3021" s="66" t="str">
        <f t="shared" si="330"/>
        <v/>
      </c>
      <c r="L3021" s="66" t="str">
        <f t="shared" si="331"/>
        <v/>
      </c>
      <c r="M3021" s="66" t="str">
        <f t="shared" si="332"/>
        <v/>
      </c>
      <c r="N3021" s="66" t="str">
        <f t="shared" si="333"/>
        <v/>
      </c>
      <c r="O3021" s="66" t="str">
        <f t="shared" si="334"/>
        <v/>
      </c>
      <c r="P3021" s="66" t="str">
        <f t="shared" si="335"/>
        <v/>
      </c>
    </row>
    <row r="3022" spans="8:16">
      <c r="H3022" s="66" t="e">
        <f>IF(LEFT(A3022,6)="CEPNTR","GPINS",VLOOKUP(LEFT(A3022,6),'Code Library'!$A$3:$B$920,2,0))&amp;"_"&amp;RIGHT(A3022,3)</f>
        <v>#N/A</v>
      </c>
      <c r="I3022" s="66">
        <f t="shared" si="329"/>
        <v>0</v>
      </c>
      <c r="K3022" s="66" t="str">
        <f t="shared" si="330"/>
        <v/>
      </c>
      <c r="L3022" s="66" t="str">
        <f t="shared" si="331"/>
        <v/>
      </c>
      <c r="M3022" s="66" t="str">
        <f t="shared" si="332"/>
        <v/>
      </c>
      <c r="N3022" s="66" t="str">
        <f t="shared" si="333"/>
        <v/>
      </c>
      <c r="O3022" s="66" t="str">
        <f t="shared" si="334"/>
        <v/>
      </c>
      <c r="P3022" s="66" t="str">
        <f t="shared" si="335"/>
        <v/>
      </c>
    </row>
    <row r="3023" spans="8:16">
      <c r="H3023" s="66" t="e">
        <f>IF(LEFT(A3023,6)="CEPNTR","GPINS",VLOOKUP(LEFT(A3023,6),'Code Library'!$A$3:$B$920,2,0))&amp;"_"&amp;RIGHT(A3023,3)</f>
        <v>#N/A</v>
      </c>
      <c r="I3023" s="66">
        <f t="shared" si="329"/>
        <v>0</v>
      </c>
      <c r="K3023" s="66" t="str">
        <f t="shared" si="330"/>
        <v/>
      </c>
      <c r="L3023" s="66" t="str">
        <f t="shared" si="331"/>
        <v/>
      </c>
      <c r="M3023" s="66" t="str">
        <f t="shared" si="332"/>
        <v/>
      </c>
      <c r="N3023" s="66" t="str">
        <f t="shared" si="333"/>
        <v/>
      </c>
      <c r="O3023" s="66" t="str">
        <f t="shared" si="334"/>
        <v/>
      </c>
      <c r="P3023" s="66" t="str">
        <f t="shared" si="335"/>
        <v/>
      </c>
    </row>
    <row r="3024" spans="8:16">
      <c r="H3024" s="66" t="e">
        <f>IF(LEFT(A3024,6)="CEPNTR","GPINS",VLOOKUP(LEFT(A3024,6),'Code Library'!$A$3:$B$920,2,0))&amp;"_"&amp;RIGHT(A3024,3)</f>
        <v>#N/A</v>
      </c>
      <c r="I3024" s="66">
        <f t="shared" si="329"/>
        <v>0</v>
      </c>
      <c r="K3024" s="66" t="str">
        <f t="shared" si="330"/>
        <v/>
      </c>
      <c r="L3024" s="66" t="str">
        <f t="shared" si="331"/>
        <v/>
      </c>
      <c r="M3024" s="66" t="str">
        <f t="shared" si="332"/>
        <v/>
      </c>
      <c r="N3024" s="66" t="str">
        <f t="shared" si="333"/>
        <v/>
      </c>
      <c r="O3024" s="66" t="str">
        <f t="shared" si="334"/>
        <v/>
      </c>
      <c r="P3024" s="66" t="str">
        <f t="shared" si="335"/>
        <v/>
      </c>
    </row>
    <row r="3025" spans="8:16">
      <c r="H3025" s="66" t="e">
        <f>IF(LEFT(A3025,6)="CEPNTR","GPINS",VLOOKUP(LEFT(A3025,6),'Code Library'!$A$3:$B$920,2,0))&amp;"_"&amp;RIGHT(A3025,3)</f>
        <v>#N/A</v>
      </c>
      <c r="I3025" s="66">
        <f t="shared" si="329"/>
        <v>0</v>
      </c>
      <c r="K3025" s="66" t="str">
        <f t="shared" si="330"/>
        <v/>
      </c>
      <c r="L3025" s="66" t="str">
        <f t="shared" si="331"/>
        <v/>
      </c>
      <c r="M3025" s="66" t="str">
        <f t="shared" si="332"/>
        <v/>
      </c>
      <c r="N3025" s="66" t="str">
        <f t="shared" si="333"/>
        <v/>
      </c>
      <c r="O3025" s="66" t="str">
        <f t="shared" si="334"/>
        <v/>
      </c>
      <c r="P3025" s="66" t="str">
        <f t="shared" si="335"/>
        <v/>
      </c>
    </row>
    <row r="3026" spans="8:16">
      <c r="H3026" s="66" t="e">
        <f>IF(LEFT(A3026,6)="CEPNTR","GPINS",VLOOKUP(LEFT(A3026,6),'Code Library'!$A$3:$B$920,2,0))&amp;"_"&amp;RIGHT(A3026,3)</f>
        <v>#N/A</v>
      </c>
      <c r="I3026" s="66">
        <f t="shared" si="329"/>
        <v>0</v>
      </c>
      <c r="K3026" s="66" t="str">
        <f t="shared" si="330"/>
        <v/>
      </c>
      <c r="L3026" s="66" t="str">
        <f t="shared" si="331"/>
        <v/>
      </c>
      <c r="M3026" s="66" t="str">
        <f t="shared" si="332"/>
        <v/>
      </c>
      <c r="N3026" s="66" t="str">
        <f t="shared" si="333"/>
        <v/>
      </c>
      <c r="O3026" s="66" t="str">
        <f t="shared" si="334"/>
        <v/>
      </c>
      <c r="P3026" s="66" t="str">
        <f t="shared" si="335"/>
        <v/>
      </c>
    </row>
    <row r="3027" spans="8:16">
      <c r="H3027" s="66" t="e">
        <f>IF(LEFT(A3027,6)="CEPNTR","GPINS",VLOOKUP(LEFT(A3027,6),'Code Library'!$A$3:$B$920,2,0))&amp;"_"&amp;RIGHT(A3027,3)</f>
        <v>#N/A</v>
      </c>
      <c r="I3027" s="66">
        <f t="shared" si="329"/>
        <v>0</v>
      </c>
      <c r="K3027" s="66" t="str">
        <f t="shared" si="330"/>
        <v/>
      </c>
      <c r="L3027" s="66" t="str">
        <f t="shared" si="331"/>
        <v/>
      </c>
      <c r="M3027" s="66" t="str">
        <f t="shared" si="332"/>
        <v/>
      </c>
      <c r="N3027" s="66" t="str">
        <f t="shared" si="333"/>
        <v/>
      </c>
      <c r="O3027" s="66" t="str">
        <f t="shared" si="334"/>
        <v/>
      </c>
      <c r="P3027" s="66" t="str">
        <f t="shared" si="335"/>
        <v/>
      </c>
    </row>
    <row r="3028" spans="8:16">
      <c r="H3028" s="66" t="e">
        <f>IF(LEFT(A3028,6)="CEPNTR","GPINS",VLOOKUP(LEFT(A3028,6),'Code Library'!$A$3:$B$920,2,0))&amp;"_"&amp;RIGHT(A3028,3)</f>
        <v>#N/A</v>
      </c>
      <c r="I3028" s="66">
        <f t="shared" si="329"/>
        <v>0</v>
      </c>
      <c r="K3028" s="66" t="str">
        <f t="shared" si="330"/>
        <v/>
      </c>
      <c r="L3028" s="66" t="str">
        <f t="shared" si="331"/>
        <v/>
      </c>
      <c r="M3028" s="66" t="str">
        <f t="shared" si="332"/>
        <v/>
      </c>
      <c r="N3028" s="66" t="str">
        <f t="shared" si="333"/>
        <v/>
      </c>
      <c r="O3028" s="66" t="str">
        <f t="shared" si="334"/>
        <v/>
      </c>
      <c r="P3028" s="66" t="str">
        <f t="shared" si="335"/>
        <v/>
      </c>
    </row>
    <row r="3029" spans="8:16">
      <c r="H3029" s="66" t="e">
        <f>IF(LEFT(A3029,6)="CEPNTR","GPINS",VLOOKUP(LEFT(A3029,6),'Code Library'!$A$3:$B$920,2,0))&amp;"_"&amp;RIGHT(A3029,3)</f>
        <v>#N/A</v>
      </c>
      <c r="I3029" s="66">
        <f t="shared" si="329"/>
        <v>0</v>
      </c>
      <c r="K3029" s="66" t="str">
        <f t="shared" si="330"/>
        <v/>
      </c>
      <c r="L3029" s="66" t="str">
        <f t="shared" si="331"/>
        <v/>
      </c>
      <c r="M3029" s="66" t="str">
        <f t="shared" si="332"/>
        <v/>
      </c>
      <c r="N3029" s="66" t="str">
        <f t="shared" si="333"/>
        <v/>
      </c>
      <c r="O3029" s="66" t="str">
        <f t="shared" si="334"/>
        <v/>
      </c>
      <c r="P3029" s="66" t="str">
        <f t="shared" si="335"/>
        <v/>
      </c>
    </row>
    <row r="3030" spans="8:16">
      <c r="H3030" s="66" t="e">
        <f>IF(LEFT(A3030,6)="CEPNTR","GPINS",VLOOKUP(LEFT(A3030,6),'Code Library'!$A$3:$B$920,2,0))&amp;"_"&amp;RIGHT(A3030,3)</f>
        <v>#N/A</v>
      </c>
      <c r="I3030" s="66">
        <f t="shared" si="329"/>
        <v>0</v>
      </c>
      <c r="K3030" s="66" t="str">
        <f t="shared" si="330"/>
        <v/>
      </c>
      <c r="L3030" s="66" t="str">
        <f t="shared" si="331"/>
        <v/>
      </c>
      <c r="M3030" s="66" t="str">
        <f t="shared" si="332"/>
        <v/>
      </c>
      <c r="N3030" s="66" t="str">
        <f t="shared" si="333"/>
        <v/>
      </c>
      <c r="O3030" s="66" t="str">
        <f t="shared" si="334"/>
        <v/>
      </c>
      <c r="P3030" s="66" t="str">
        <f t="shared" si="335"/>
        <v/>
      </c>
    </row>
    <row r="3031" spans="8:16">
      <c r="H3031" s="66" t="e">
        <f>IF(LEFT(A3031,6)="CEPNTR","GPINS",VLOOKUP(LEFT(A3031,6),'Code Library'!$A$3:$B$920,2,0))&amp;"_"&amp;RIGHT(A3031,3)</f>
        <v>#N/A</v>
      </c>
      <c r="I3031" s="66">
        <f t="shared" si="329"/>
        <v>0</v>
      </c>
      <c r="K3031" s="66" t="str">
        <f t="shared" si="330"/>
        <v/>
      </c>
      <c r="L3031" s="66" t="str">
        <f t="shared" si="331"/>
        <v/>
      </c>
      <c r="M3031" s="66" t="str">
        <f t="shared" si="332"/>
        <v/>
      </c>
      <c r="N3031" s="66" t="str">
        <f t="shared" si="333"/>
        <v/>
      </c>
      <c r="O3031" s="66" t="str">
        <f t="shared" si="334"/>
        <v/>
      </c>
      <c r="P3031" s="66" t="str">
        <f t="shared" si="335"/>
        <v/>
      </c>
    </row>
    <row r="3032" spans="8:16">
      <c r="H3032" s="66" t="e">
        <f>IF(LEFT(A3032,6)="CEPNTR","GPINS",VLOOKUP(LEFT(A3032,6),'Code Library'!$A$3:$B$920,2,0))&amp;"_"&amp;RIGHT(A3032,3)</f>
        <v>#N/A</v>
      </c>
      <c r="I3032" s="66">
        <f t="shared" si="329"/>
        <v>0</v>
      </c>
      <c r="K3032" s="66" t="str">
        <f t="shared" si="330"/>
        <v/>
      </c>
      <c r="L3032" s="66" t="str">
        <f t="shared" si="331"/>
        <v/>
      </c>
      <c r="M3032" s="66" t="str">
        <f t="shared" si="332"/>
        <v/>
      </c>
      <c r="N3032" s="66" t="str">
        <f t="shared" si="333"/>
        <v/>
      </c>
      <c r="O3032" s="66" t="str">
        <f t="shared" si="334"/>
        <v/>
      </c>
      <c r="P3032" s="66" t="str">
        <f t="shared" si="335"/>
        <v/>
      </c>
    </row>
    <row r="3033" spans="8:16">
      <c r="H3033" s="66" t="e">
        <f>IF(LEFT(A3033,6)="CEPNTR","GPINS",VLOOKUP(LEFT(A3033,6),'Code Library'!$A$3:$B$920,2,0))&amp;"_"&amp;RIGHT(A3033,3)</f>
        <v>#N/A</v>
      </c>
      <c r="I3033" s="66">
        <f t="shared" si="329"/>
        <v>0</v>
      </c>
      <c r="K3033" s="66" t="str">
        <f t="shared" si="330"/>
        <v/>
      </c>
      <c r="L3033" s="66" t="str">
        <f t="shared" si="331"/>
        <v/>
      </c>
      <c r="M3033" s="66" t="str">
        <f t="shared" si="332"/>
        <v/>
      </c>
      <c r="N3033" s="66" t="str">
        <f t="shared" si="333"/>
        <v/>
      </c>
      <c r="O3033" s="66" t="str">
        <f t="shared" si="334"/>
        <v/>
      </c>
      <c r="P3033" s="66" t="str">
        <f t="shared" si="335"/>
        <v/>
      </c>
    </row>
    <row r="3034" spans="8:16">
      <c r="H3034" s="66" t="e">
        <f>IF(LEFT(A3034,6)="CEPNTR","GPINS",VLOOKUP(LEFT(A3034,6),'Code Library'!$A$3:$B$920,2,0))&amp;"_"&amp;RIGHT(A3034,3)</f>
        <v>#N/A</v>
      </c>
      <c r="I3034" s="66">
        <f t="shared" si="329"/>
        <v>0</v>
      </c>
      <c r="K3034" s="66" t="str">
        <f t="shared" si="330"/>
        <v/>
      </c>
      <c r="L3034" s="66" t="str">
        <f t="shared" si="331"/>
        <v/>
      </c>
      <c r="M3034" s="66" t="str">
        <f t="shared" si="332"/>
        <v/>
      </c>
      <c r="N3034" s="66" t="str">
        <f t="shared" si="333"/>
        <v/>
      </c>
      <c r="O3034" s="66" t="str">
        <f t="shared" si="334"/>
        <v/>
      </c>
      <c r="P3034" s="66" t="str">
        <f t="shared" si="335"/>
        <v/>
      </c>
    </row>
    <row r="3035" spans="8:16">
      <c r="H3035" s="66" t="e">
        <f>IF(LEFT(A3035,6)="CEPNTR","GPINS",VLOOKUP(LEFT(A3035,6),'Code Library'!$A$3:$B$920,2,0))&amp;"_"&amp;RIGHT(A3035,3)</f>
        <v>#N/A</v>
      </c>
      <c r="I3035" s="66">
        <f t="shared" si="329"/>
        <v>0</v>
      </c>
      <c r="K3035" s="66" t="str">
        <f t="shared" si="330"/>
        <v/>
      </c>
      <c r="L3035" s="66" t="str">
        <f t="shared" si="331"/>
        <v/>
      </c>
      <c r="M3035" s="66" t="str">
        <f t="shared" si="332"/>
        <v/>
      </c>
      <c r="N3035" s="66" t="str">
        <f t="shared" si="333"/>
        <v/>
      </c>
      <c r="O3035" s="66" t="str">
        <f t="shared" si="334"/>
        <v/>
      </c>
      <c r="P3035" s="66" t="str">
        <f t="shared" si="335"/>
        <v/>
      </c>
    </row>
    <row r="3036" spans="8:16">
      <c r="H3036" s="66" t="e">
        <f>IF(LEFT(A3036,6)="CEPNTR","GPINS",VLOOKUP(LEFT(A3036,6),'Code Library'!$A$3:$B$920,2,0))&amp;"_"&amp;RIGHT(A3036,3)</f>
        <v>#N/A</v>
      </c>
      <c r="I3036" s="66">
        <f t="shared" si="329"/>
        <v>0</v>
      </c>
      <c r="K3036" s="66" t="str">
        <f t="shared" si="330"/>
        <v/>
      </c>
      <c r="L3036" s="66" t="str">
        <f t="shared" si="331"/>
        <v/>
      </c>
      <c r="M3036" s="66" t="str">
        <f t="shared" si="332"/>
        <v/>
      </c>
      <c r="N3036" s="66" t="str">
        <f t="shared" si="333"/>
        <v/>
      </c>
      <c r="O3036" s="66" t="str">
        <f t="shared" si="334"/>
        <v/>
      </c>
      <c r="P3036" s="66" t="str">
        <f t="shared" si="335"/>
        <v/>
      </c>
    </row>
    <row r="3037" spans="8:16">
      <c r="H3037" s="66" t="e">
        <f>IF(LEFT(A3037,6)="CEPNTR","GPINS",VLOOKUP(LEFT(A3037,6),'Code Library'!$A$3:$B$920,2,0))&amp;"_"&amp;RIGHT(A3037,3)</f>
        <v>#N/A</v>
      </c>
      <c r="I3037" s="66">
        <f t="shared" si="329"/>
        <v>0</v>
      </c>
      <c r="K3037" s="66" t="str">
        <f t="shared" si="330"/>
        <v/>
      </c>
      <c r="L3037" s="66" t="str">
        <f t="shared" si="331"/>
        <v/>
      </c>
      <c r="M3037" s="66" t="str">
        <f t="shared" si="332"/>
        <v/>
      </c>
      <c r="N3037" s="66" t="str">
        <f t="shared" si="333"/>
        <v/>
      </c>
      <c r="O3037" s="66" t="str">
        <f t="shared" si="334"/>
        <v/>
      </c>
      <c r="P3037" s="66" t="str">
        <f t="shared" si="335"/>
        <v/>
      </c>
    </row>
    <row r="3038" spans="8:16">
      <c r="H3038" s="66" t="e">
        <f>IF(LEFT(A3038,6)="CEPNTR","GPINS",VLOOKUP(LEFT(A3038,6),'Code Library'!$A$3:$B$920,2,0))&amp;"_"&amp;RIGHT(A3038,3)</f>
        <v>#N/A</v>
      </c>
      <c r="I3038" s="66">
        <f t="shared" si="329"/>
        <v>0</v>
      </c>
      <c r="K3038" s="66" t="str">
        <f t="shared" si="330"/>
        <v/>
      </c>
      <c r="L3038" s="66" t="str">
        <f t="shared" si="331"/>
        <v/>
      </c>
      <c r="M3038" s="66" t="str">
        <f t="shared" si="332"/>
        <v/>
      </c>
      <c r="N3038" s="66" t="str">
        <f t="shared" si="333"/>
        <v/>
      </c>
      <c r="O3038" s="66" t="str">
        <f t="shared" si="334"/>
        <v/>
      </c>
      <c r="P3038" s="66" t="str">
        <f t="shared" si="335"/>
        <v/>
      </c>
    </row>
    <row r="3039" spans="8:16">
      <c r="H3039" s="66" t="e">
        <f>IF(LEFT(A3039,6)="CEPNTR","GPINS",VLOOKUP(LEFT(A3039,6),'Code Library'!$A$3:$B$920,2,0))&amp;"_"&amp;RIGHT(A3039,3)</f>
        <v>#N/A</v>
      </c>
      <c r="I3039" s="66">
        <f t="shared" si="329"/>
        <v>0</v>
      </c>
      <c r="K3039" s="66" t="str">
        <f t="shared" si="330"/>
        <v/>
      </c>
      <c r="L3039" s="66" t="str">
        <f t="shared" si="331"/>
        <v/>
      </c>
      <c r="M3039" s="66" t="str">
        <f t="shared" si="332"/>
        <v/>
      </c>
      <c r="N3039" s="66" t="str">
        <f t="shared" si="333"/>
        <v/>
      </c>
      <c r="O3039" s="66" t="str">
        <f t="shared" si="334"/>
        <v/>
      </c>
      <c r="P3039" s="66" t="str">
        <f t="shared" si="335"/>
        <v/>
      </c>
    </row>
    <row r="3040" spans="8:16">
      <c r="H3040" s="66" t="e">
        <f>IF(LEFT(A3040,6)="CEPNTR","GPINS",VLOOKUP(LEFT(A3040,6),'Code Library'!$A$3:$B$920,2,0))&amp;"_"&amp;RIGHT(A3040,3)</f>
        <v>#N/A</v>
      </c>
      <c r="I3040" s="66">
        <f t="shared" si="329"/>
        <v>0</v>
      </c>
      <c r="K3040" s="66" t="str">
        <f t="shared" si="330"/>
        <v/>
      </c>
      <c r="L3040" s="66" t="str">
        <f t="shared" si="331"/>
        <v/>
      </c>
      <c r="M3040" s="66" t="str">
        <f t="shared" si="332"/>
        <v/>
      </c>
      <c r="N3040" s="66" t="str">
        <f t="shared" si="333"/>
        <v/>
      </c>
      <c r="O3040" s="66" t="str">
        <f t="shared" si="334"/>
        <v/>
      </c>
      <c r="P3040" s="66" t="str">
        <f t="shared" si="335"/>
        <v/>
      </c>
    </row>
    <row r="3041" spans="8:16">
      <c r="H3041" s="66" t="e">
        <f>IF(LEFT(A3041,6)="CEPNTR","GPINS",VLOOKUP(LEFT(A3041,6),'Code Library'!$A$3:$B$920,2,0))&amp;"_"&amp;RIGHT(A3041,3)</f>
        <v>#N/A</v>
      </c>
      <c r="I3041" s="66">
        <f t="shared" si="329"/>
        <v>0</v>
      </c>
      <c r="K3041" s="66" t="str">
        <f t="shared" si="330"/>
        <v/>
      </c>
      <c r="L3041" s="66" t="str">
        <f t="shared" si="331"/>
        <v/>
      </c>
      <c r="M3041" s="66" t="str">
        <f t="shared" si="332"/>
        <v/>
      </c>
      <c r="N3041" s="66" t="str">
        <f t="shared" si="333"/>
        <v/>
      </c>
      <c r="O3041" s="66" t="str">
        <f t="shared" si="334"/>
        <v/>
      </c>
      <c r="P3041" s="66" t="str">
        <f t="shared" si="335"/>
        <v/>
      </c>
    </row>
    <row r="3042" spans="8:16">
      <c r="H3042" s="66" t="e">
        <f>IF(LEFT(A3042,6)="CEPNTR","GPINS",VLOOKUP(LEFT(A3042,6),'Code Library'!$A$3:$B$920,2,0))&amp;"_"&amp;RIGHT(A3042,3)</f>
        <v>#N/A</v>
      </c>
      <c r="I3042" s="66">
        <f t="shared" si="329"/>
        <v>0</v>
      </c>
      <c r="K3042" s="66" t="str">
        <f t="shared" si="330"/>
        <v/>
      </c>
      <c r="L3042" s="66" t="str">
        <f t="shared" si="331"/>
        <v/>
      </c>
      <c r="M3042" s="66" t="str">
        <f t="shared" si="332"/>
        <v/>
      </c>
      <c r="N3042" s="66" t="str">
        <f t="shared" si="333"/>
        <v/>
      </c>
      <c r="O3042" s="66" t="str">
        <f t="shared" si="334"/>
        <v/>
      </c>
      <c r="P3042" s="66" t="str">
        <f t="shared" si="335"/>
        <v/>
      </c>
    </row>
    <row r="3043" spans="8:16">
      <c r="H3043" s="66" t="e">
        <f>IF(LEFT(A3043,6)="CEPNTR","GPINS",VLOOKUP(LEFT(A3043,6),'Code Library'!$A$3:$B$920,2,0))&amp;"_"&amp;RIGHT(A3043,3)</f>
        <v>#N/A</v>
      </c>
      <c r="I3043" s="66">
        <f t="shared" si="329"/>
        <v>0</v>
      </c>
      <c r="K3043" s="66" t="str">
        <f t="shared" si="330"/>
        <v/>
      </c>
      <c r="L3043" s="66" t="str">
        <f t="shared" si="331"/>
        <v/>
      </c>
      <c r="M3043" s="66" t="str">
        <f t="shared" si="332"/>
        <v/>
      </c>
      <c r="N3043" s="66" t="str">
        <f t="shared" si="333"/>
        <v/>
      </c>
      <c r="O3043" s="66" t="str">
        <f t="shared" si="334"/>
        <v/>
      </c>
      <c r="P3043" s="66" t="str">
        <f t="shared" si="335"/>
        <v/>
      </c>
    </row>
    <row r="3044" spans="8:16">
      <c r="H3044" s="66" t="e">
        <f>IF(LEFT(A3044,6)="CEPNTR","GPINS",VLOOKUP(LEFT(A3044,6),'Code Library'!$A$3:$B$920,2,0))&amp;"_"&amp;RIGHT(A3044,3)</f>
        <v>#N/A</v>
      </c>
      <c r="I3044" s="66">
        <f t="shared" si="329"/>
        <v>0</v>
      </c>
      <c r="K3044" s="66" t="str">
        <f t="shared" si="330"/>
        <v/>
      </c>
      <c r="L3044" s="66" t="str">
        <f t="shared" si="331"/>
        <v/>
      </c>
      <c r="M3044" s="66" t="str">
        <f t="shared" si="332"/>
        <v/>
      </c>
      <c r="N3044" s="66" t="str">
        <f t="shared" si="333"/>
        <v/>
      </c>
      <c r="O3044" s="66" t="str">
        <f t="shared" si="334"/>
        <v/>
      </c>
      <c r="P3044" s="66" t="str">
        <f t="shared" si="335"/>
        <v/>
      </c>
    </row>
    <row r="3045" spans="8:16">
      <c r="H3045" s="66" t="e">
        <f>IF(LEFT(A3045,6)="CEPNTR","GPINS",VLOOKUP(LEFT(A3045,6),'Code Library'!$A$3:$B$920,2,0))&amp;"_"&amp;RIGHT(A3045,3)</f>
        <v>#N/A</v>
      </c>
      <c r="I3045" s="66">
        <f t="shared" si="329"/>
        <v>0</v>
      </c>
      <c r="K3045" s="66" t="str">
        <f t="shared" si="330"/>
        <v/>
      </c>
      <c r="L3045" s="66" t="str">
        <f t="shared" si="331"/>
        <v/>
      </c>
      <c r="M3045" s="66" t="str">
        <f t="shared" si="332"/>
        <v/>
      </c>
      <c r="N3045" s="66" t="str">
        <f t="shared" si="333"/>
        <v/>
      </c>
      <c r="O3045" s="66" t="str">
        <f t="shared" si="334"/>
        <v/>
      </c>
      <c r="P3045" s="66" t="str">
        <f t="shared" si="335"/>
        <v/>
      </c>
    </row>
    <row r="3046" spans="8:16">
      <c r="H3046" s="66" t="e">
        <f>IF(LEFT(A3046,6)="CEPNTR","GPINS",VLOOKUP(LEFT(A3046,6),'Code Library'!$A$3:$B$920,2,0))&amp;"_"&amp;RIGHT(A3046,3)</f>
        <v>#N/A</v>
      </c>
      <c r="I3046" s="66">
        <f t="shared" si="329"/>
        <v>0</v>
      </c>
      <c r="K3046" s="66" t="str">
        <f t="shared" si="330"/>
        <v/>
      </c>
      <c r="L3046" s="66" t="str">
        <f t="shared" si="331"/>
        <v/>
      </c>
      <c r="M3046" s="66" t="str">
        <f t="shared" si="332"/>
        <v/>
      </c>
      <c r="N3046" s="66" t="str">
        <f t="shared" si="333"/>
        <v/>
      </c>
      <c r="O3046" s="66" t="str">
        <f t="shared" si="334"/>
        <v/>
      </c>
      <c r="P3046" s="66" t="str">
        <f t="shared" si="335"/>
        <v/>
      </c>
    </row>
    <row r="3047" spans="8:16">
      <c r="H3047" s="66" t="e">
        <f>IF(LEFT(A3047,6)="CEPNTR","GPINS",VLOOKUP(LEFT(A3047,6),'Code Library'!$A$3:$B$920,2,0))&amp;"_"&amp;RIGHT(A3047,3)</f>
        <v>#N/A</v>
      </c>
      <c r="I3047" s="66">
        <f t="shared" si="329"/>
        <v>0</v>
      </c>
      <c r="K3047" s="66" t="str">
        <f t="shared" si="330"/>
        <v/>
      </c>
      <c r="L3047" s="66" t="str">
        <f t="shared" si="331"/>
        <v/>
      </c>
      <c r="M3047" s="66" t="str">
        <f t="shared" si="332"/>
        <v/>
      </c>
      <c r="N3047" s="66" t="str">
        <f t="shared" si="333"/>
        <v/>
      </c>
      <c r="O3047" s="66" t="str">
        <f t="shared" si="334"/>
        <v/>
      </c>
      <c r="P3047" s="66" t="str">
        <f t="shared" si="335"/>
        <v/>
      </c>
    </row>
    <row r="3048" spans="8:16">
      <c r="H3048" s="66" t="e">
        <f>IF(LEFT(A3048,6)="CEPNTR","GPINS",VLOOKUP(LEFT(A3048,6),'Code Library'!$A$3:$B$920,2,0))&amp;"_"&amp;RIGHT(A3048,3)</f>
        <v>#N/A</v>
      </c>
      <c r="I3048" s="66">
        <f t="shared" si="329"/>
        <v>0</v>
      </c>
      <c r="K3048" s="66" t="str">
        <f t="shared" si="330"/>
        <v/>
      </c>
      <c r="L3048" s="66" t="str">
        <f t="shared" si="331"/>
        <v/>
      </c>
      <c r="M3048" s="66" t="str">
        <f t="shared" si="332"/>
        <v/>
      </c>
      <c r="N3048" s="66" t="str">
        <f t="shared" si="333"/>
        <v/>
      </c>
      <c r="O3048" s="66" t="str">
        <f t="shared" si="334"/>
        <v/>
      </c>
      <c r="P3048" s="66" t="str">
        <f t="shared" si="335"/>
        <v/>
      </c>
    </row>
    <row r="3049" spans="8:16">
      <c r="H3049" s="66" t="e">
        <f>IF(LEFT(A3049,6)="CEPNTR","GPINS",VLOOKUP(LEFT(A3049,6),'Code Library'!$A$3:$B$920,2,0))&amp;"_"&amp;RIGHT(A3049,3)</f>
        <v>#N/A</v>
      </c>
      <c r="I3049" s="66">
        <f t="shared" si="329"/>
        <v>0</v>
      </c>
      <c r="K3049" s="66" t="str">
        <f t="shared" si="330"/>
        <v/>
      </c>
      <c r="L3049" s="66" t="str">
        <f t="shared" si="331"/>
        <v/>
      </c>
      <c r="M3049" s="66" t="str">
        <f t="shared" si="332"/>
        <v/>
      </c>
      <c r="N3049" s="66" t="str">
        <f t="shared" si="333"/>
        <v/>
      </c>
      <c r="O3049" s="66" t="str">
        <f t="shared" si="334"/>
        <v/>
      </c>
      <c r="P3049" s="66" t="str">
        <f t="shared" si="335"/>
        <v/>
      </c>
    </row>
    <row r="3050" spans="8:16">
      <c r="H3050" s="66" t="e">
        <f>IF(LEFT(A3050,6)="CEPNTR","GPINS",VLOOKUP(LEFT(A3050,6),'Code Library'!$A$3:$B$920,2,0))&amp;"_"&amp;RIGHT(A3050,3)</f>
        <v>#N/A</v>
      </c>
      <c r="I3050" s="66">
        <f t="shared" si="329"/>
        <v>0</v>
      </c>
      <c r="K3050" s="66" t="str">
        <f t="shared" si="330"/>
        <v/>
      </c>
      <c r="L3050" s="66" t="str">
        <f t="shared" si="331"/>
        <v/>
      </c>
      <c r="M3050" s="66" t="str">
        <f t="shared" si="332"/>
        <v/>
      </c>
      <c r="N3050" s="66" t="str">
        <f t="shared" si="333"/>
        <v/>
      </c>
      <c r="O3050" s="66" t="str">
        <f t="shared" si="334"/>
        <v/>
      </c>
      <c r="P3050" s="66" t="str">
        <f t="shared" si="335"/>
        <v/>
      </c>
    </row>
    <row r="3051" spans="8:16">
      <c r="H3051" s="66" t="e">
        <f>IF(LEFT(A3051,6)="CEPNTR","GPINS",VLOOKUP(LEFT(A3051,6),'Code Library'!$A$3:$B$920,2,0))&amp;"_"&amp;RIGHT(A3051,3)</f>
        <v>#N/A</v>
      </c>
      <c r="I3051" s="66">
        <f t="shared" si="329"/>
        <v>0</v>
      </c>
      <c r="K3051" s="66" t="str">
        <f t="shared" si="330"/>
        <v/>
      </c>
      <c r="L3051" s="66" t="str">
        <f t="shared" si="331"/>
        <v/>
      </c>
      <c r="M3051" s="66" t="str">
        <f t="shared" si="332"/>
        <v/>
      </c>
      <c r="N3051" s="66" t="str">
        <f t="shared" si="333"/>
        <v/>
      </c>
      <c r="O3051" s="66" t="str">
        <f t="shared" si="334"/>
        <v/>
      </c>
      <c r="P3051" s="66" t="str">
        <f t="shared" si="335"/>
        <v/>
      </c>
    </row>
    <row r="3052" spans="8:16">
      <c r="H3052" s="66" t="e">
        <f>IF(LEFT(A3052,6)="CEPNTR","GPINS",VLOOKUP(LEFT(A3052,6),'Code Library'!$A$3:$B$920,2,0))&amp;"_"&amp;RIGHT(A3052,3)</f>
        <v>#N/A</v>
      </c>
      <c r="I3052" s="66">
        <f t="shared" si="329"/>
        <v>0</v>
      </c>
      <c r="K3052" s="66" t="str">
        <f t="shared" si="330"/>
        <v/>
      </c>
      <c r="L3052" s="66" t="str">
        <f t="shared" si="331"/>
        <v/>
      </c>
      <c r="M3052" s="66" t="str">
        <f t="shared" si="332"/>
        <v/>
      </c>
      <c r="N3052" s="66" t="str">
        <f t="shared" si="333"/>
        <v/>
      </c>
      <c r="O3052" s="66" t="str">
        <f t="shared" si="334"/>
        <v/>
      </c>
      <c r="P3052" s="66" t="str">
        <f t="shared" si="335"/>
        <v/>
      </c>
    </row>
    <row r="3053" spans="8:16">
      <c r="H3053" s="66" t="e">
        <f>IF(LEFT(A3053,6)="CEPNTR","GPINS",VLOOKUP(LEFT(A3053,6),'Code Library'!$A$3:$B$920,2,0))&amp;"_"&amp;RIGHT(A3053,3)</f>
        <v>#N/A</v>
      </c>
      <c r="I3053" s="66">
        <f t="shared" si="329"/>
        <v>0</v>
      </c>
      <c r="K3053" s="66" t="str">
        <f t="shared" si="330"/>
        <v/>
      </c>
      <c r="L3053" s="66" t="str">
        <f t="shared" si="331"/>
        <v/>
      </c>
      <c r="M3053" s="66" t="str">
        <f t="shared" si="332"/>
        <v/>
      </c>
      <c r="N3053" s="66" t="str">
        <f t="shared" si="333"/>
        <v/>
      </c>
      <c r="O3053" s="66" t="str">
        <f t="shared" si="334"/>
        <v/>
      </c>
      <c r="P3053" s="66" t="str">
        <f t="shared" si="335"/>
        <v/>
      </c>
    </row>
    <row r="3054" spans="8:16">
      <c r="H3054" s="66" t="e">
        <f>IF(LEFT(A3054,6)="CEPNTR","GPINS",VLOOKUP(LEFT(A3054,6),'Code Library'!$A$3:$B$920,2,0))&amp;"_"&amp;RIGHT(A3054,3)</f>
        <v>#N/A</v>
      </c>
      <c r="I3054" s="66">
        <f t="shared" si="329"/>
        <v>0</v>
      </c>
      <c r="K3054" s="66" t="str">
        <f t="shared" si="330"/>
        <v/>
      </c>
      <c r="L3054" s="66" t="str">
        <f t="shared" si="331"/>
        <v/>
      </c>
      <c r="M3054" s="66" t="str">
        <f t="shared" si="332"/>
        <v/>
      </c>
      <c r="N3054" s="66" t="str">
        <f t="shared" si="333"/>
        <v/>
      </c>
      <c r="O3054" s="66" t="str">
        <f t="shared" si="334"/>
        <v/>
      </c>
      <c r="P3054" s="66" t="str">
        <f t="shared" si="335"/>
        <v/>
      </c>
    </row>
    <row r="3055" spans="8:16">
      <c r="H3055" s="66" t="e">
        <f>IF(LEFT(A3055,6)="CEPNTR","GPINS",VLOOKUP(LEFT(A3055,6),'Code Library'!$A$3:$B$920,2,0))&amp;"_"&amp;RIGHT(A3055,3)</f>
        <v>#N/A</v>
      </c>
      <c r="I3055" s="66">
        <f t="shared" si="329"/>
        <v>0</v>
      </c>
      <c r="K3055" s="66" t="str">
        <f t="shared" si="330"/>
        <v/>
      </c>
      <c r="L3055" s="66" t="str">
        <f t="shared" si="331"/>
        <v/>
      </c>
      <c r="M3055" s="66" t="str">
        <f t="shared" si="332"/>
        <v/>
      </c>
      <c r="N3055" s="66" t="str">
        <f t="shared" si="333"/>
        <v/>
      </c>
      <c r="O3055" s="66" t="str">
        <f t="shared" si="334"/>
        <v/>
      </c>
      <c r="P3055" s="66" t="str">
        <f t="shared" si="335"/>
        <v/>
      </c>
    </row>
    <row r="3056" spans="8:16">
      <c r="H3056" s="66" t="e">
        <f>IF(LEFT(A3056,6)="CEPNTR","GPINS",VLOOKUP(LEFT(A3056,6),'Code Library'!$A$3:$B$920,2,0))&amp;"_"&amp;RIGHT(A3056,3)</f>
        <v>#N/A</v>
      </c>
      <c r="I3056" s="66">
        <f t="shared" si="329"/>
        <v>0</v>
      </c>
      <c r="K3056" s="66" t="str">
        <f t="shared" si="330"/>
        <v/>
      </c>
      <c r="L3056" s="66" t="str">
        <f t="shared" si="331"/>
        <v/>
      </c>
      <c r="M3056" s="66" t="str">
        <f t="shared" si="332"/>
        <v/>
      </c>
      <c r="N3056" s="66" t="str">
        <f t="shared" si="333"/>
        <v/>
      </c>
      <c r="O3056" s="66" t="str">
        <f t="shared" si="334"/>
        <v/>
      </c>
      <c r="P3056" s="66" t="str">
        <f t="shared" si="335"/>
        <v/>
      </c>
    </row>
    <row r="3057" spans="8:16">
      <c r="H3057" s="66" t="e">
        <f>IF(LEFT(A3057,6)="CEPNTR","GPINS",VLOOKUP(LEFT(A3057,6),'Code Library'!$A$3:$B$920,2,0))&amp;"_"&amp;RIGHT(A3057,3)</f>
        <v>#N/A</v>
      </c>
      <c r="I3057" s="66">
        <f t="shared" si="329"/>
        <v>0</v>
      </c>
      <c r="K3057" s="66" t="str">
        <f t="shared" si="330"/>
        <v/>
      </c>
      <c r="L3057" s="66" t="str">
        <f t="shared" si="331"/>
        <v/>
      </c>
      <c r="M3057" s="66" t="str">
        <f t="shared" si="332"/>
        <v/>
      </c>
      <c r="N3057" s="66" t="str">
        <f t="shared" si="333"/>
        <v/>
      </c>
      <c r="O3057" s="66" t="str">
        <f t="shared" si="334"/>
        <v/>
      </c>
      <c r="P3057" s="66" t="str">
        <f t="shared" si="335"/>
        <v/>
      </c>
    </row>
    <row r="3058" spans="8:16">
      <c r="H3058" s="66" t="e">
        <f>IF(LEFT(A3058,6)="CEPNTR","GPINS",VLOOKUP(LEFT(A3058,6),'Code Library'!$A$3:$B$920,2,0))&amp;"_"&amp;RIGHT(A3058,3)</f>
        <v>#N/A</v>
      </c>
      <c r="I3058" s="66">
        <f t="shared" si="329"/>
        <v>0</v>
      </c>
      <c r="K3058" s="66" t="str">
        <f t="shared" si="330"/>
        <v/>
      </c>
      <c r="L3058" s="66" t="str">
        <f t="shared" si="331"/>
        <v/>
      </c>
      <c r="M3058" s="66" t="str">
        <f t="shared" si="332"/>
        <v/>
      </c>
      <c r="N3058" s="66" t="str">
        <f t="shared" si="333"/>
        <v/>
      </c>
      <c r="O3058" s="66" t="str">
        <f t="shared" si="334"/>
        <v/>
      </c>
      <c r="P3058" s="66" t="str">
        <f t="shared" si="335"/>
        <v/>
      </c>
    </row>
    <row r="3059" spans="8:16">
      <c r="H3059" s="66" t="e">
        <f>IF(LEFT(A3059,6)="CEPNTR","GPINS",VLOOKUP(LEFT(A3059,6),'Code Library'!$A$3:$B$920,2,0))&amp;"_"&amp;RIGHT(A3059,3)</f>
        <v>#N/A</v>
      </c>
      <c r="I3059" s="66">
        <f t="shared" si="329"/>
        <v>0</v>
      </c>
      <c r="K3059" s="66" t="str">
        <f t="shared" si="330"/>
        <v/>
      </c>
      <c r="L3059" s="66" t="str">
        <f t="shared" si="331"/>
        <v/>
      </c>
      <c r="M3059" s="66" t="str">
        <f t="shared" si="332"/>
        <v/>
      </c>
      <c r="N3059" s="66" t="str">
        <f t="shared" si="333"/>
        <v/>
      </c>
      <c r="O3059" s="66" t="str">
        <f t="shared" si="334"/>
        <v/>
      </c>
      <c r="P3059" s="66" t="str">
        <f t="shared" si="335"/>
        <v/>
      </c>
    </row>
    <row r="3060" spans="8:16">
      <c r="H3060" s="66" t="e">
        <f>IF(LEFT(A3060,6)="CEPNTR","GPINS",VLOOKUP(LEFT(A3060,6),'Code Library'!$A$3:$B$920,2,0))&amp;"_"&amp;RIGHT(A3060,3)</f>
        <v>#N/A</v>
      </c>
      <c r="I3060" s="66">
        <f t="shared" si="329"/>
        <v>0</v>
      </c>
      <c r="K3060" s="66" t="str">
        <f t="shared" si="330"/>
        <v/>
      </c>
      <c r="L3060" s="66" t="str">
        <f t="shared" si="331"/>
        <v/>
      </c>
      <c r="M3060" s="66" t="str">
        <f t="shared" si="332"/>
        <v/>
      </c>
      <c r="N3060" s="66" t="str">
        <f t="shared" si="333"/>
        <v/>
      </c>
      <c r="O3060" s="66" t="str">
        <f t="shared" si="334"/>
        <v/>
      </c>
      <c r="P3060" s="66" t="str">
        <f t="shared" si="335"/>
        <v/>
      </c>
    </row>
    <row r="3061" spans="8:16">
      <c r="H3061" s="66" t="e">
        <f>IF(LEFT(A3061,6)="CEPNTR","GPINS",VLOOKUP(LEFT(A3061,6),'Code Library'!$A$3:$B$920,2,0))&amp;"_"&amp;RIGHT(A3061,3)</f>
        <v>#N/A</v>
      </c>
      <c r="I3061" s="66">
        <f t="shared" si="329"/>
        <v>0</v>
      </c>
      <c r="K3061" s="66" t="str">
        <f t="shared" si="330"/>
        <v/>
      </c>
      <c r="L3061" s="66" t="str">
        <f t="shared" si="331"/>
        <v/>
      </c>
      <c r="M3061" s="66" t="str">
        <f t="shared" si="332"/>
        <v/>
      </c>
      <c r="N3061" s="66" t="str">
        <f t="shared" si="333"/>
        <v/>
      </c>
      <c r="O3061" s="66" t="str">
        <f t="shared" si="334"/>
        <v/>
      </c>
      <c r="P3061" s="66" t="str">
        <f t="shared" si="335"/>
        <v/>
      </c>
    </row>
    <row r="3062" spans="8:16">
      <c r="H3062" s="66" t="e">
        <f>IF(LEFT(A3062,6)="CEPNTR","GPINS",VLOOKUP(LEFT(A3062,6),'Code Library'!$A$3:$B$920,2,0))&amp;"_"&amp;RIGHT(A3062,3)</f>
        <v>#N/A</v>
      </c>
      <c r="I3062" s="66">
        <f t="shared" si="329"/>
        <v>0</v>
      </c>
      <c r="K3062" s="66" t="str">
        <f t="shared" si="330"/>
        <v/>
      </c>
      <c r="L3062" s="66" t="str">
        <f t="shared" si="331"/>
        <v/>
      </c>
      <c r="M3062" s="66" t="str">
        <f t="shared" si="332"/>
        <v/>
      </c>
      <c r="N3062" s="66" t="str">
        <f t="shared" si="333"/>
        <v/>
      </c>
      <c r="O3062" s="66" t="str">
        <f t="shared" si="334"/>
        <v/>
      </c>
      <c r="P3062" s="66" t="str">
        <f t="shared" si="335"/>
        <v/>
      </c>
    </row>
    <row r="3063" spans="8:16">
      <c r="H3063" s="66" t="e">
        <f>IF(LEFT(A3063,6)="CEPNTR","GPINS",VLOOKUP(LEFT(A3063,6),'Code Library'!$A$3:$B$920,2,0))&amp;"_"&amp;RIGHT(A3063,3)</f>
        <v>#N/A</v>
      </c>
      <c r="I3063" s="66">
        <f t="shared" si="329"/>
        <v>0</v>
      </c>
      <c r="K3063" s="66" t="str">
        <f t="shared" si="330"/>
        <v/>
      </c>
      <c r="L3063" s="66" t="str">
        <f t="shared" si="331"/>
        <v/>
      </c>
      <c r="M3063" s="66" t="str">
        <f t="shared" si="332"/>
        <v/>
      </c>
      <c r="N3063" s="66" t="str">
        <f t="shared" si="333"/>
        <v/>
      </c>
      <c r="O3063" s="66" t="str">
        <f t="shared" si="334"/>
        <v/>
      </c>
      <c r="P3063" s="66" t="str">
        <f t="shared" si="335"/>
        <v/>
      </c>
    </row>
    <row r="3064" spans="8:16">
      <c r="H3064" s="66" t="e">
        <f>IF(LEFT(A3064,6)="CEPNTR","GPINS",VLOOKUP(LEFT(A3064,6),'Code Library'!$A$3:$B$920,2,0))&amp;"_"&amp;RIGHT(A3064,3)</f>
        <v>#N/A</v>
      </c>
      <c r="I3064" s="66">
        <f t="shared" si="329"/>
        <v>0</v>
      </c>
      <c r="K3064" s="66" t="str">
        <f t="shared" si="330"/>
        <v/>
      </c>
      <c r="L3064" s="66" t="str">
        <f t="shared" si="331"/>
        <v/>
      </c>
      <c r="M3064" s="66" t="str">
        <f t="shared" si="332"/>
        <v/>
      </c>
      <c r="N3064" s="66" t="str">
        <f t="shared" si="333"/>
        <v/>
      </c>
      <c r="O3064" s="66" t="str">
        <f t="shared" si="334"/>
        <v/>
      </c>
      <c r="P3064" s="66" t="str">
        <f t="shared" si="335"/>
        <v/>
      </c>
    </row>
    <row r="3065" spans="8:16">
      <c r="H3065" s="66" t="e">
        <f>IF(LEFT(A3065,6)="CEPNTR","GPINS",VLOOKUP(LEFT(A3065,6),'Code Library'!$A$3:$B$920,2,0))&amp;"_"&amp;RIGHT(A3065,3)</f>
        <v>#N/A</v>
      </c>
      <c r="I3065" s="66">
        <f t="shared" si="329"/>
        <v>0</v>
      </c>
      <c r="K3065" s="66" t="str">
        <f t="shared" si="330"/>
        <v/>
      </c>
      <c r="L3065" s="66" t="str">
        <f t="shared" si="331"/>
        <v/>
      </c>
      <c r="M3065" s="66" t="str">
        <f t="shared" si="332"/>
        <v/>
      </c>
      <c r="N3065" s="66" t="str">
        <f t="shared" si="333"/>
        <v/>
      </c>
      <c r="O3065" s="66" t="str">
        <f t="shared" si="334"/>
        <v/>
      </c>
      <c r="P3065" s="66" t="str">
        <f t="shared" si="335"/>
        <v/>
      </c>
    </row>
    <row r="3066" spans="8:16">
      <c r="H3066" s="66" t="e">
        <f>IF(LEFT(A3066,6)="CEPNTR","GPINS",VLOOKUP(LEFT(A3066,6),'Code Library'!$A$3:$B$920,2,0))&amp;"_"&amp;RIGHT(A3066,3)</f>
        <v>#N/A</v>
      </c>
      <c r="I3066" s="66">
        <f t="shared" si="329"/>
        <v>0</v>
      </c>
      <c r="K3066" s="66" t="str">
        <f t="shared" si="330"/>
        <v/>
      </c>
      <c r="L3066" s="66" t="str">
        <f t="shared" si="331"/>
        <v/>
      </c>
      <c r="M3066" s="66" t="str">
        <f t="shared" si="332"/>
        <v/>
      </c>
      <c r="N3066" s="66" t="str">
        <f t="shared" si="333"/>
        <v/>
      </c>
      <c r="O3066" s="66" t="str">
        <f t="shared" si="334"/>
        <v/>
      </c>
      <c r="P3066" s="66" t="str">
        <f t="shared" si="335"/>
        <v/>
      </c>
    </row>
    <row r="3067" spans="8:16">
      <c r="H3067" s="66" t="e">
        <f>IF(LEFT(A3067,6)="CEPNTR","GPINS",VLOOKUP(LEFT(A3067,6),'Code Library'!$A$3:$B$920,2,0))&amp;"_"&amp;RIGHT(A3067,3)</f>
        <v>#N/A</v>
      </c>
      <c r="I3067" s="66">
        <f t="shared" si="329"/>
        <v>0</v>
      </c>
      <c r="K3067" s="66" t="str">
        <f t="shared" si="330"/>
        <v/>
      </c>
      <c r="L3067" s="66" t="str">
        <f t="shared" si="331"/>
        <v/>
      </c>
      <c r="M3067" s="66" t="str">
        <f t="shared" si="332"/>
        <v/>
      </c>
      <c r="N3067" s="66" t="str">
        <f t="shared" si="333"/>
        <v/>
      </c>
      <c r="O3067" s="66" t="str">
        <f t="shared" si="334"/>
        <v/>
      </c>
      <c r="P3067" s="66" t="str">
        <f t="shared" si="335"/>
        <v/>
      </c>
    </row>
    <row r="3068" spans="8:16">
      <c r="H3068" s="66" t="e">
        <f>IF(LEFT(A3068,6)="CEPNTR","GPINS",VLOOKUP(LEFT(A3068,6),'Code Library'!$A$3:$B$920,2,0))&amp;"_"&amp;RIGHT(A3068,3)</f>
        <v>#N/A</v>
      </c>
      <c r="I3068" s="66">
        <f t="shared" si="329"/>
        <v>0</v>
      </c>
      <c r="K3068" s="66" t="str">
        <f t="shared" si="330"/>
        <v/>
      </c>
      <c r="L3068" s="66" t="str">
        <f t="shared" si="331"/>
        <v/>
      </c>
      <c r="M3068" s="66" t="str">
        <f t="shared" si="332"/>
        <v/>
      </c>
      <c r="N3068" s="66" t="str">
        <f t="shared" si="333"/>
        <v/>
      </c>
      <c r="O3068" s="66" t="str">
        <f t="shared" si="334"/>
        <v/>
      </c>
      <c r="P3068" s="66" t="str">
        <f t="shared" si="335"/>
        <v/>
      </c>
    </row>
    <row r="3069" spans="8:16">
      <c r="H3069" s="66" t="e">
        <f>IF(LEFT(A3069,6)="CEPNTR","GPINS",VLOOKUP(LEFT(A3069,6),'Code Library'!$A$3:$B$920,2,0))&amp;"_"&amp;RIGHT(A3069,3)</f>
        <v>#N/A</v>
      </c>
      <c r="I3069" s="66">
        <f t="shared" si="329"/>
        <v>0</v>
      </c>
      <c r="K3069" s="66" t="str">
        <f t="shared" si="330"/>
        <v/>
      </c>
      <c r="L3069" s="66" t="str">
        <f t="shared" si="331"/>
        <v/>
      </c>
      <c r="M3069" s="66" t="str">
        <f t="shared" si="332"/>
        <v/>
      </c>
      <c r="N3069" s="66" t="str">
        <f t="shared" si="333"/>
        <v/>
      </c>
      <c r="O3069" s="66" t="str">
        <f t="shared" si="334"/>
        <v/>
      </c>
      <c r="P3069" s="66" t="str">
        <f t="shared" si="335"/>
        <v/>
      </c>
    </row>
    <row r="3070" spans="8:16">
      <c r="H3070" s="66" t="e">
        <f>IF(LEFT(A3070,6)="CEPNTR","GPINS",VLOOKUP(LEFT(A3070,6),'Code Library'!$A$3:$B$920,2,0))&amp;"_"&amp;RIGHT(A3070,3)</f>
        <v>#N/A</v>
      </c>
      <c r="I3070" s="66">
        <f t="shared" si="329"/>
        <v>0</v>
      </c>
      <c r="K3070" s="66" t="str">
        <f t="shared" si="330"/>
        <v/>
      </c>
      <c r="L3070" s="66" t="str">
        <f t="shared" si="331"/>
        <v/>
      </c>
      <c r="M3070" s="66" t="str">
        <f t="shared" si="332"/>
        <v/>
      </c>
      <c r="N3070" s="66" t="str">
        <f t="shared" si="333"/>
        <v/>
      </c>
      <c r="O3070" s="66" t="str">
        <f t="shared" si="334"/>
        <v/>
      </c>
      <c r="P3070" s="66" t="str">
        <f t="shared" si="335"/>
        <v/>
      </c>
    </row>
    <row r="3071" spans="8:16">
      <c r="H3071" s="66" t="e">
        <f>IF(LEFT(A3071,6)="CEPNTR","GPINS",VLOOKUP(LEFT(A3071,6),'Code Library'!$A$3:$B$920,2,0))&amp;"_"&amp;RIGHT(A3071,3)</f>
        <v>#N/A</v>
      </c>
      <c r="I3071" s="66">
        <f t="shared" si="329"/>
        <v>0</v>
      </c>
      <c r="K3071" s="66" t="str">
        <f t="shared" si="330"/>
        <v/>
      </c>
      <c r="L3071" s="66" t="str">
        <f t="shared" si="331"/>
        <v/>
      </c>
      <c r="M3071" s="66" t="str">
        <f t="shared" si="332"/>
        <v/>
      </c>
      <c r="N3071" s="66" t="str">
        <f t="shared" si="333"/>
        <v/>
      </c>
      <c r="O3071" s="66" t="str">
        <f t="shared" si="334"/>
        <v/>
      </c>
      <c r="P3071" s="66" t="str">
        <f t="shared" si="335"/>
        <v/>
      </c>
    </row>
    <row r="3072" spans="8:16">
      <c r="H3072" s="66" t="e">
        <f>IF(LEFT(A3072,6)="CEPNTR","GPINS",VLOOKUP(LEFT(A3072,6),'Code Library'!$A$3:$B$920,2,0))&amp;"_"&amp;RIGHT(A3072,3)</f>
        <v>#N/A</v>
      </c>
      <c r="I3072" s="66">
        <f t="shared" si="329"/>
        <v>0</v>
      </c>
      <c r="K3072" s="66" t="str">
        <f t="shared" si="330"/>
        <v/>
      </c>
      <c r="L3072" s="66" t="str">
        <f t="shared" si="331"/>
        <v/>
      </c>
      <c r="M3072" s="66" t="str">
        <f t="shared" si="332"/>
        <v/>
      </c>
      <c r="N3072" s="66" t="str">
        <f t="shared" si="333"/>
        <v/>
      </c>
      <c r="O3072" s="66" t="str">
        <f t="shared" si="334"/>
        <v/>
      </c>
      <c r="P3072" s="66" t="str">
        <f t="shared" si="335"/>
        <v/>
      </c>
    </row>
    <row r="3073" spans="8:16">
      <c r="H3073" s="66" t="e">
        <f>IF(LEFT(A3073,6)="CEPNTR","GPINS",VLOOKUP(LEFT(A3073,6),'Code Library'!$A$3:$B$920,2,0))&amp;"_"&amp;RIGHT(A3073,3)</f>
        <v>#N/A</v>
      </c>
      <c r="I3073" s="66">
        <f t="shared" si="329"/>
        <v>0</v>
      </c>
      <c r="K3073" s="66" t="str">
        <f t="shared" si="330"/>
        <v/>
      </c>
      <c r="L3073" s="66" t="str">
        <f t="shared" si="331"/>
        <v/>
      </c>
      <c r="M3073" s="66" t="str">
        <f t="shared" si="332"/>
        <v/>
      </c>
      <c r="N3073" s="66" t="str">
        <f t="shared" si="333"/>
        <v/>
      </c>
      <c r="O3073" s="66" t="str">
        <f t="shared" si="334"/>
        <v/>
      </c>
      <c r="P3073" s="66" t="str">
        <f t="shared" si="335"/>
        <v/>
      </c>
    </row>
    <row r="3074" spans="8:16">
      <c r="H3074" s="66" t="e">
        <f>IF(LEFT(A3074,6)="CEPNTR","GPINS",VLOOKUP(LEFT(A3074,6),'Code Library'!$A$3:$B$920,2,0))&amp;"_"&amp;RIGHT(A3074,3)</f>
        <v>#N/A</v>
      </c>
      <c r="I3074" s="66">
        <f t="shared" si="329"/>
        <v>0</v>
      </c>
      <c r="K3074" s="66" t="str">
        <f t="shared" si="330"/>
        <v/>
      </c>
      <c r="L3074" s="66" t="str">
        <f t="shared" si="331"/>
        <v/>
      </c>
      <c r="M3074" s="66" t="str">
        <f t="shared" si="332"/>
        <v/>
      </c>
      <c r="N3074" s="66" t="str">
        <f t="shared" si="333"/>
        <v/>
      </c>
      <c r="O3074" s="66" t="str">
        <f t="shared" si="334"/>
        <v/>
      </c>
      <c r="P3074" s="66" t="str">
        <f t="shared" si="335"/>
        <v/>
      </c>
    </row>
    <row r="3075" spans="8:16">
      <c r="H3075" s="66" t="e">
        <f>IF(LEFT(A3075,6)="CEPNTR","GPINS",VLOOKUP(LEFT(A3075,6),'Code Library'!$A$3:$B$920,2,0))&amp;"_"&amp;RIGHT(A3075,3)</f>
        <v>#N/A</v>
      </c>
      <c r="I3075" s="66">
        <f t="shared" ref="I3075:I3138" si="336">A3075</f>
        <v>0</v>
      </c>
      <c r="K3075" s="66" t="str">
        <f t="shared" ref="K3075:K3138" si="337">RIGHT($B3075,2)</f>
        <v/>
      </c>
      <c r="L3075" s="66" t="str">
        <f t="shared" ref="L3075:L3138" si="338">LEFT(RIGHT($B3075,7),4)</f>
        <v/>
      </c>
      <c r="M3075" s="66" t="str">
        <f t="shared" ref="M3075:M3138" si="339">LEFT(RIGHT($B3075,10),2)</f>
        <v/>
      </c>
      <c r="N3075" s="66" t="str">
        <f t="shared" ref="N3075:N3138" si="340">LEFT(RIGHT($B3075,14),3)</f>
        <v/>
      </c>
      <c r="O3075" s="66" t="str">
        <f t="shared" ref="O3075:O3138" si="341">LEFT(RIGHT($B3075,16),1)</f>
        <v/>
      </c>
      <c r="P3075" s="66" t="str">
        <f t="shared" ref="P3075:P3138" si="342">LEFT(RIGHT($B3075,19),2)</f>
        <v/>
      </c>
    </row>
    <row r="3076" spans="8:16">
      <c r="H3076" s="66" t="e">
        <f>IF(LEFT(A3076,6)="CEPNTR","GPINS",VLOOKUP(LEFT(A3076,6),'Code Library'!$A$3:$B$920,2,0))&amp;"_"&amp;RIGHT(A3076,3)</f>
        <v>#N/A</v>
      </c>
      <c r="I3076" s="66">
        <f t="shared" si="336"/>
        <v>0</v>
      </c>
      <c r="K3076" s="66" t="str">
        <f t="shared" si="337"/>
        <v/>
      </c>
      <c r="L3076" s="66" t="str">
        <f t="shared" si="338"/>
        <v/>
      </c>
      <c r="M3076" s="66" t="str">
        <f t="shared" si="339"/>
        <v/>
      </c>
      <c r="N3076" s="66" t="str">
        <f t="shared" si="340"/>
        <v/>
      </c>
      <c r="O3076" s="66" t="str">
        <f t="shared" si="341"/>
        <v/>
      </c>
      <c r="P3076" s="66" t="str">
        <f t="shared" si="342"/>
        <v/>
      </c>
    </row>
    <row r="3077" spans="8:16">
      <c r="H3077" s="66" t="e">
        <f>IF(LEFT(A3077,6)="CEPNTR","GPINS",VLOOKUP(LEFT(A3077,6),'Code Library'!$A$3:$B$920,2,0))&amp;"_"&amp;RIGHT(A3077,3)</f>
        <v>#N/A</v>
      </c>
      <c r="I3077" s="66">
        <f t="shared" si="336"/>
        <v>0</v>
      </c>
      <c r="K3077" s="66" t="str">
        <f t="shared" si="337"/>
        <v/>
      </c>
      <c r="L3077" s="66" t="str">
        <f t="shared" si="338"/>
        <v/>
      </c>
      <c r="M3077" s="66" t="str">
        <f t="shared" si="339"/>
        <v/>
      </c>
      <c r="N3077" s="66" t="str">
        <f t="shared" si="340"/>
        <v/>
      </c>
      <c r="O3077" s="66" t="str">
        <f t="shared" si="341"/>
        <v/>
      </c>
      <c r="P3077" s="66" t="str">
        <f t="shared" si="342"/>
        <v/>
      </c>
    </row>
    <row r="3078" spans="8:16">
      <c r="H3078" s="66" t="e">
        <f>IF(LEFT(A3078,6)="CEPNTR","GPINS",VLOOKUP(LEFT(A3078,6),'Code Library'!$A$3:$B$920,2,0))&amp;"_"&amp;RIGHT(A3078,3)</f>
        <v>#N/A</v>
      </c>
      <c r="I3078" s="66">
        <f t="shared" si="336"/>
        <v>0</v>
      </c>
      <c r="K3078" s="66" t="str">
        <f t="shared" si="337"/>
        <v/>
      </c>
      <c r="L3078" s="66" t="str">
        <f t="shared" si="338"/>
        <v/>
      </c>
      <c r="M3078" s="66" t="str">
        <f t="shared" si="339"/>
        <v/>
      </c>
      <c r="N3078" s="66" t="str">
        <f t="shared" si="340"/>
        <v/>
      </c>
      <c r="O3078" s="66" t="str">
        <f t="shared" si="341"/>
        <v/>
      </c>
      <c r="P3078" s="66" t="str">
        <f t="shared" si="342"/>
        <v/>
      </c>
    </row>
    <row r="3079" spans="8:16">
      <c r="H3079" s="66" t="e">
        <f>IF(LEFT(A3079,6)="CEPNTR","GPINS",VLOOKUP(LEFT(A3079,6),'Code Library'!$A$3:$B$920,2,0))&amp;"_"&amp;RIGHT(A3079,3)</f>
        <v>#N/A</v>
      </c>
      <c r="I3079" s="66">
        <f t="shared" si="336"/>
        <v>0</v>
      </c>
      <c r="K3079" s="66" t="str">
        <f t="shared" si="337"/>
        <v/>
      </c>
      <c r="L3079" s="66" t="str">
        <f t="shared" si="338"/>
        <v/>
      </c>
      <c r="M3079" s="66" t="str">
        <f t="shared" si="339"/>
        <v/>
      </c>
      <c r="N3079" s="66" t="str">
        <f t="shared" si="340"/>
        <v/>
      </c>
      <c r="O3079" s="66" t="str">
        <f t="shared" si="341"/>
        <v/>
      </c>
      <c r="P3079" s="66" t="str">
        <f t="shared" si="342"/>
        <v/>
      </c>
    </row>
    <row r="3080" spans="8:16">
      <c r="H3080" s="66" t="e">
        <f>IF(LEFT(A3080,6)="CEPNTR","GPINS",VLOOKUP(LEFT(A3080,6),'Code Library'!$A$3:$B$920,2,0))&amp;"_"&amp;RIGHT(A3080,3)</f>
        <v>#N/A</v>
      </c>
      <c r="I3080" s="66">
        <f t="shared" si="336"/>
        <v>0</v>
      </c>
      <c r="K3080" s="66" t="str">
        <f t="shared" si="337"/>
        <v/>
      </c>
      <c r="L3080" s="66" t="str">
        <f t="shared" si="338"/>
        <v/>
      </c>
      <c r="M3080" s="66" t="str">
        <f t="shared" si="339"/>
        <v/>
      </c>
      <c r="N3080" s="66" t="str">
        <f t="shared" si="340"/>
        <v/>
      </c>
      <c r="O3080" s="66" t="str">
        <f t="shared" si="341"/>
        <v/>
      </c>
      <c r="P3080" s="66" t="str">
        <f t="shared" si="342"/>
        <v/>
      </c>
    </row>
    <row r="3081" spans="8:16">
      <c r="H3081" s="66" t="e">
        <f>IF(LEFT(A3081,6)="CEPNTR","GPINS",VLOOKUP(LEFT(A3081,6),'Code Library'!$A$3:$B$920,2,0))&amp;"_"&amp;RIGHT(A3081,3)</f>
        <v>#N/A</v>
      </c>
      <c r="I3081" s="66">
        <f t="shared" si="336"/>
        <v>0</v>
      </c>
      <c r="K3081" s="66" t="str">
        <f t="shared" si="337"/>
        <v/>
      </c>
      <c r="L3081" s="66" t="str">
        <f t="shared" si="338"/>
        <v/>
      </c>
      <c r="M3081" s="66" t="str">
        <f t="shared" si="339"/>
        <v/>
      </c>
      <c r="N3081" s="66" t="str">
        <f t="shared" si="340"/>
        <v/>
      </c>
      <c r="O3081" s="66" t="str">
        <f t="shared" si="341"/>
        <v/>
      </c>
      <c r="P3081" s="66" t="str">
        <f t="shared" si="342"/>
        <v/>
      </c>
    </row>
    <row r="3082" spans="8:16">
      <c r="H3082" s="66" t="e">
        <f>IF(LEFT(A3082,6)="CEPNTR","GPINS",VLOOKUP(LEFT(A3082,6),'Code Library'!$A$3:$B$920,2,0))&amp;"_"&amp;RIGHT(A3082,3)</f>
        <v>#N/A</v>
      </c>
      <c r="I3082" s="66">
        <f t="shared" si="336"/>
        <v>0</v>
      </c>
      <c r="K3082" s="66" t="str">
        <f t="shared" si="337"/>
        <v/>
      </c>
      <c r="L3082" s="66" t="str">
        <f t="shared" si="338"/>
        <v/>
      </c>
      <c r="M3082" s="66" t="str">
        <f t="shared" si="339"/>
        <v/>
      </c>
      <c r="N3082" s="66" t="str">
        <f t="shared" si="340"/>
        <v/>
      </c>
      <c r="O3082" s="66" t="str">
        <f t="shared" si="341"/>
        <v/>
      </c>
      <c r="P3082" s="66" t="str">
        <f t="shared" si="342"/>
        <v/>
      </c>
    </row>
    <row r="3083" spans="8:16">
      <c r="H3083" s="66" t="e">
        <f>IF(LEFT(A3083,6)="CEPNTR","GPINS",VLOOKUP(LEFT(A3083,6),'Code Library'!$A$3:$B$920,2,0))&amp;"_"&amp;RIGHT(A3083,3)</f>
        <v>#N/A</v>
      </c>
      <c r="I3083" s="66">
        <f t="shared" si="336"/>
        <v>0</v>
      </c>
      <c r="K3083" s="66" t="str">
        <f t="shared" si="337"/>
        <v/>
      </c>
      <c r="L3083" s="66" t="str">
        <f t="shared" si="338"/>
        <v/>
      </c>
      <c r="M3083" s="66" t="str">
        <f t="shared" si="339"/>
        <v/>
      </c>
      <c r="N3083" s="66" t="str">
        <f t="shared" si="340"/>
        <v/>
      </c>
      <c r="O3083" s="66" t="str">
        <f t="shared" si="341"/>
        <v/>
      </c>
      <c r="P3083" s="66" t="str">
        <f t="shared" si="342"/>
        <v/>
      </c>
    </row>
    <row r="3084" spans="8:16">
      <c r="H3084" s="66" t="e">
        <f>IF(LEFT(A3084,6)="CEPNTR","GPINS",VLOOKUP(LEFT(A3084,6),'Code Library'!$A$3:$B$920,2,0))&amp;"_"&amp;RIGHT(A3084,3)</f>
        <v>#N/A</v>
      </c>
      <c r="I3084" s="66">
        <f t="shared" si="336"/>
        <v>0</v>
      </c>
      <c r="K3084" s="66" t="str">
        <f t="shared" si="337"/>
        <v/>
      </c>
      <c r="L3084" s="66" t="str">
        <f t="shared" si="338"/>
        <v/>
      </c>
      <c r="M3084" s="66" t="str">
        <f t="shared" si="339"/>
        <v/>
      </c>
      <c r="N3084" s="66" t="str">
        <f t="shared" si="340"/>
        <v/>
      </c>
      <c r="O3084" s="66" t="str">
        <f t="shared" si="341"/>
        <v/>
      </c>
      <c r="P3084" s="66" t="str">
        <f t="shared" si="342"/>
        <v/>
      </c>
    </row>
    <row r="3085" spans="8:16">
      <c r="H3085" s="66" t="e">
        <f>IF(LEFT(A3085,6)="CEPNTR","GPINS",VLOOKUP(LEFT(A3085,6),'Code Library'!$A$3:$B$920,2,0))&amp;"_"&amp;RIGHT(A3085,3)</f>
        <v>#N/A</v>
      </c>
      <c r="I3085" s="66">
        <f t="shared" si="336"/>
        <v>0</v>
      </c>
      <c r="K3085" s="66" t="str">
        <f t="shared" si="337"/>
        <v/>
      </c>
      <c r="L3085" s="66" t="str">
        <f t="shared" si="338"/>
        <v/>
      </c>
      <c r="M3085" s="66" t="str">
        <f t="shared" si="339"/>
        <v/>
      </c>
      <c r="N3085" s="66" t="str">
        <f t="shared" si="340"/>
        <v/>
      </c>
      <c r="O3085" s="66" t="str">
        <f t="shared" si="341"/>
        <v/>
      </c>
      <c r="P3085" s="66" t="str">
        <f t="shared" si="342"/>
        <v/>
      </c>
    </row>
    <row r="3086" spans="8:16">
      <c r="H3086" s="66" t="e">
        <f>IF(LEFT(A3086,6)="CEPNTR","GPINS",VLOOKUP(LEFT(A3086,6),'Code Library'!$A$3:$B$920,2,0))&amp;"_"&amp;RIGHT(A3086,3)</f>
        <v>#N/A</v>
      </c>
      <c r="I3086" s="66">
        <f t="shared" si="336"/>
        <v>0</v>
      </c>
      <c r="K3086" s="66" t="str">
        <f t="shared" si="337"/>
        <v/>
      </c>
      <c r="L3086" s="66" t="str">
        <f t="shared" si="338"/>
        <v/>
      </c>
      <c r="M3086" s="66" t="str">
        <f t="shared" si="339"/>
        <v/>
      </c>
      <c r="N3086" s="66" t="str">
        <f t="shared" si="340"/>
        <v/>
      </c>
      <c r="O3086" s="66" t="str">
        <f t="shared" si="341"/>
        <v/>
      </c>
      <c r="P3086" s="66" t="str">
        <f t="shared" si="342"/>
        <v/>
      </c>
    </row>
    <row r="3087" spans="8:16">
      <c r="H3087" s="66" t="e">
        <f>IF(LEFT(A3087,6)="CEPNTR","GPINS",VLOOKUP(LEFT(A3087,6),'Code Library'!$A$3:$B$920,2,0))&amp;"_"&amp;RIGHT(A3087,3)</f>
        <v>#N/A</v>
      </c>
      <c r="I3087" s="66">
        <f t="shared" si="336"/>
        <v>0</v>
      </c>
      <c r="K3087" s="66" t="str">
        <f t="shared" si="337"/>
        <v/>
      </c>
      <c r="L3087" s="66" t="str">
        <f t="shared" si="338"/>
        <v/>
      </c>
      <c r="M3087" s="66" t="str">
        <f t="shared" si="339"/>
        <v/>
      </c>
      <c r="N3087" s="66" t="str">
        <f t="shared" si="340"/>
        <v/>
      </c>
      <c r="O3087" s="66" t="str">
        <f t="shared" si="341"/>
        <v/>
      </c>
      <c r="P3087" s="66" t="str">
        <f t="shared" si="342"/>
        <v/>
      </c>
    </row>
    <row r="3088" spans="8:16">
      <c r="H3088" s="66" t="e">
        <f>IF(LEFT(A3088,6)="CEPNTR","GPINS",VLOOKUP(LEFT(A3088,6),'Code Library'!$A$3:$B$920,2,0))&amp;"_"&amp;RIGHT(A3088,3)</f>
        <v>#N/A</v>
      </c>
      <c r="I3088" s="66">
        <f t="shared" si="336"/>
        <v>0</v>
      </c>
      <c r="K3088" s="66" t="str">
        <f t="shared" si="337"/>
        <v/>
      </c>
      <c r="L3088" s="66" t="str">
        <f t="shared" si="338"/>
        <v/>
      </c>
      <c r="M3088" s="66" t="str">
        <f t="shared" si="339"/>
        <v/>
      </c>
      <c r="N3088" s="66" t="str">
        <f t="shared" si="340"/>
        <v/>
      </c>
      <c r="O3088" s="66" t="str">
        <f t="shared" si="341"/>
        <v/>
      </c>
      <c r="P3088" s="66" t="str">
        <f t="shared" si="342"/>
        <v/>
      </c>
    </row>
    <row r="3089" spans="8:16">
      <c r="H3089" s="66" t="e">
        <f>IF(LEFT(A3089,6)="CEPNTR","GPINS",VLOOKUP(LEFT(A3089,6),'Code Library'!$A$3:$B$920,2,0))&amp;"_"&amp;RIGHT(A3089,3)</f>
        <v>#N/A</v>
      </c>
      <c r="I3089" s="66">
        <f t="shared" si="336"/>
        <v>0</v>
      </c>
      <c r="K3089" s="66" t="str">
        <f t="shared" si="337"/>
        <v/>
      </c>
      <c r="L3089" s="66" t="str">
        <f t="shared" si="338"/>
        <v/>
      </c>
      <c r="M3089" s="66" t="str">
        <f t="shared" si="339"/>
        <v/>
      </c>
      <c r="N3089" s="66" t="str">
        <f t="shared" si="340"/>
        <v/>
      </c>
      <c r="O3089" s="66" t="str">
        <f t="shared" si="341"/>
        <v/>
      </c>
      <c r="P3089" s="66" t="str">
        <f t="shared" si="342"/>
        <v/>
      </c>
    </row>
    <row r="3090" spans="8:16">
      <c r="H3090" s="66" t="e">
        <f>IF(LEFT(A3090,6)="CEPNTR","GPINS",VLOOKUP(LEFT(A3090,6),'Code Library'!$A$3:$B$920,2,0))&amp;"_"&amp;RIGHT(A3090,3)</f>
        <v>#N/A</v>
      </c>
      <c r="I3090" s="66">
        <f t="shared" si="336"/>
        <v>0</v>
      </c>
      <c r="K3090" s="66" t="str">
        <f t="shared" si="337"/>
        <v/>
      </c>
      <c r="L3090" s="66" t="str">
        <f t="shared" si="338"/>
        <v/>
      </c>
      <c r="M3090" s="66" t="str">
        <f t="shared" si="339"/>
        <v/>
      </c>
      <c r="N3090" s="66" t="str">
        <f t="shared" si="340"/>
        <v/>
      </c>
      <c r="O3090" s="66" t="str">
        <f t="shared" si="341"/>
        <v/>
      </c>
      <c r="P3090" s="66" t="str">
        <f t="shared" si="342"/>
        <v/>
      </c>
    </row>
    <row r="3091" spans="8:16">
      <c r="H3091" s="66" t="e">
        <f>IF(LEFT(A3091,6)="CEPNTR","GPINS",VLOOKUP(LEFT(A3091,6),'Code Library'!$A$3:$B$920,2,0))&amp;"_"&amp;RIGHT(A3091,3)</f>
        <v>#N/A</v>
      </c>
      <c r="I3091" s="66">
        <f t="shared" si="336"/>
        <v>0</v>
      </c>
      <c r="K3091" s="66" t="str">
        <f t="shared" si="337"/>
        <v/>
      </c>
      <c r="L3091" s="66" t="str">
        <f t="shared" si="338"/>
        <v/>
      </c>
      <c r="M3091" s="66" t="str">
        <f t="shared" si="339"/>
        <v/>
      </c>
      <c r="N3091" s="66" t="str">
        <f t="shared" si="340"/>
        <v/>
      </c>
      <c r="O3091" s="66" t="str">
        <f t="shared" si="341"/>
        <v/>
      </c>
      <c r="P3091" s="66" t="str">
        <f t="shared" si="342"/>
        <v/>
      </c>
    </row>
    <row r="3092" spans="8:16">
      <c r="H3092" s="66" t="e">
        <f>IF(LEFT(A3092,6)="CEPNTR","GPINS",VLOOKUP(LEFT(A3092,6),'Code Library'!$A$3:$B$920,2,0))&amp;"_"&amp;RIGHT(A3092,3)</f>
        <v>#N/A</v>
      </c>
      <c r="I3092" s="66">
        <f t="shared" si="336"/>
        <v>0</v>
      </c>
      <c r="K3092" s="66" t="str">
        <f t="shared" si="337"/>
        <v/>
      </c>
      <c r="L3092" s="66" t="str">
        <f t="shared" si="338"/>
        <v/>
      </c>
      <c r="M3092" s="66" t="str">
        <f t="shared" si="339"/>
        <v/>
      </c>
      <c r="N3092" s="66" t="str">
        <f t="shared" si="340"/>
        <v/>
      </c>
      <c r="O3092" s="66" t="str">
        <f t="shared" si="341"/>
        <v/>
      </c>
      <c r="P3092" s="66" t="str">
        <f t="shared" si="342"/>
        <v/>
      </c>
    </row>
    <row r="3093" spans="8:16">
      <c r="H3093" s="66" t="e">
        <f>IF(LEFT(A3093,6)="CEPNTR","GPINS",VLOOKUP(LEFT(A3093,6),'Code Library'!$A$3:$B$920,2,0))&amp;"_"&amp;RIGHT(A3093,3)</f>
        <v>#N/A</v>
      </c>
      <c r="I3093" s="66">
        <f t="shared" si="336"/>
        <v>0</v>
      </c>
      <c r="K3093" s="66" t="str">
        <f t="shared" si="337"/>
        <v/>
      </c>
      <c r="L3093" s="66" t="str">
        <f t="shared" si="338"/>
        <v/>
      </c>
      <c r="M3093" s="66" t="str">
        <f t="shared" si="339"/>
        <v/>
      </c>
      <c r="N3093" s="66" t="str">
        <f t="shared" si="340"/>
        <v/>
      </c>
      <c r="O3093" s="66" t="str">
        <f t="shared" si="341"/>
        <v/>
      </c>
      <c r="P3093" s="66" t="str">
        <f t="shared" si="342"/>
        <v/>
      </c>
    </row>
    <row r="3094" spans="8:16">
      <c r="H3094" s="66" t="e">
        <f>IF(LEFT(A3094,6)="CEPNTR","GPINS",VLOOKUP(LEFT(A3094,6),'Code Library'!$A$3:$B$920,2,0))&amp;"_"&amp;RIGHT(A3094,3)</f>
        <v>#N/A</v>
      </c>
      <c r="I3094" s="66">
        <f t="shared" si="336"/>
        <v>0</v>
      </c>
      <c r="K3094" s="66" t="str">
        <f t="shared" si="337"/>
        <v/>
      </c>
      <c r="L3094" s="66" t="str">
        <f t="shared" si="338"/>
        <v/>
      </c>
      <c r="M3094" s="66" t="str">
        <f t="shared" si="339"/>
        <v/>
      </c>
      <c r="N3094" s="66" t="str">
        <f t="shared" si="340"/>
        <v/>
      </c>
      <c r="O3094" s="66" t="str">
        <f t="shared" si="341"/>
        <v/>
      </c>
      <c r="P3094" s="66" t="str">
        <f t="shared" si="342"/>
        <v/>
      </c>
    </row>
    <row r="3095" spans="8:16">
      <c r="H3095" s="66" t="e">
        <f>IF(LEFT(A3095,6)="CEPNTR","GPINS",VLOOKUP(LEFT(A3095,6),'Code Library'!$A$3:$B$920,2,0))&amp;"_"&amp;RIGHT(A3095,3)</f>
        <v>#N/A</v>
      </c>
      <c r="I3095" s="66">
        <f t="shared" si="336"/>
        <v>0</v>
      </c>
      <c r="K3095" s="66" t="str">
        <f t="shared" si="337"/>
        <v/>
      </c>
      <c r="L3095" s="66" t="str">
        <f t="shared" si="338"/>
        <v/>
      </c>
      <c r="M3095" s="66" t="str">
        <f t="shared" si="339"/>
        <v/>
      </c>
      <c r="N3095" s="66" t="str">
        <f t="shared" si="340"/>
        <v/>
      </c>
      <c r="O3095" s="66" t="str">
        <f t="shared" si="341"/>
        <v/>
      </c>
      <c r="P3095" s="66" t="str">
        <f t="shared" si="342"/>
        <v/>
      </c>
    </row>
    <row r="3096" spans="8:16">
      <c r="H3096" s="66" t="e">
        <f>IF(LEFT(A3096,6)="CEPNTR","GPINS",VLOOKUP(LEFT(A3096,6),'Code Library'!$A$3:$B$920,2,0))&amp;"_"&amp;RIGHT(A3096,3)</f>
        <v>#N/A</v>
      </c>
      <c r="I3096" s="66">
        <f t="shared" si="336"/>
        <v>0</v>
      </c>
      <c r="K3096" s="66" t="str">
        <f t="shared" si="337"/>
        <v/>
      </c>
      <c r="L3096" s="66" t="str">
        <f t="shared" si="338"/>
        <v/>
      </c>
      <c r="M3096" s="66" t="str">
        <f t="shared" si="339"/>
        <v/>
      </c>
      <c r="N3096" s="66" t="str">
        <f t="shared" si="340"/>
        <v/>
      </c>
      <c r="O3096" s="66" t="str">
        <f t="shared" si="341"/>
        <v/>
      </c>
      <c r="P3096" s="66" t="str">
        <f t="shared" si="342"/>
        <v/>
      </c>
    </row>
    <row r="3097" spans="8:16">
      <c r="H3097" s="66" t="e">
        <f>IF(LEFT(A3097,6)="CEPNTR","GPINS",VLOOKUP(LEFT(A3097,6),'Code Library'!$A$3:$B$920,2,0))&amp;"_"&amp;RIGHT(A3097,3)</f>
        <v>#N/A</v>
      </c>
      <c r="I3097" s="66">
        <f t="shared" si="336"/>
        <v>0</v>
      </c>
      <c r="K3097" s="66" t="str">
        <f t="shared" si="337"/>
        <v/>
      </c>
      <c r="L3097" s="66" t="str">
        <f t="shared" si="338"/>
        <v/>
      </c>
      <c r="M3097" s="66" t="str">
        <f t="shared" si="339"/>
        <v/>
      </c>
      <c r="N3097" s="66" t="str">
        <f t="shared" si="340"/>
        <v/>
      </c>
      <c r="O3097" s="66" t="str">
        <f t="shared" si="341"/>
        <v/>
      </c>
      <c r="P3097" s="66" t="str">
        <f t="shared" si="342"/>
        <v/>
      </c>
    </row>
    <row r="3098" spans="8:16">
      <c r="H3098" s="66" t="e">
        <f>IF(LEFT(A3098,6)="CEPNTR","GPINS",VLOOKUP(LEFT(A3098,6),'Code Library'!$A$3:$B$920,2,0))&amp;"_"&amp;RIGHT(A3098,3)</f>
        <v>#N/A</v>
      </c>
      <c r="I3098" s="66">
        <f t="shared" si="336"/>
        <v>0</v>
      </c>
      <c r="K3098" s="66" t="str">
        <f t="shared" si="337"/>
        <v/>
      </c>
      <c r="L3098" s="66" t="str">
        <f t="shared" si="338"/>
        <v/>
      </c>
      <c r="M3098" s="66" t="str">
        <f t="shared" si="339"/>
        <v/>
      </c>
      <c r="N3098" s="66" t="str">
        <f t="shared" si="340"/>
        <v/>
      </c>
      <c r="O3098" s="66" t="str">
        <f t="shared" si="341"/>
        <v/>
      </c>
      <c r="P3098" s="66" t="str">
        <f t="shared" si="342"/>
        <v/>
      </c>
    </row>
    <row r="3099" spans="8:16">
      <c r="H3099" s="66" t="e">
        <f>IF(LEFT(A3099,6)="CEPNTR","GPINS",VLOOKUP(LEFT(A3099,6),'Code Library'!$A$3:$B$920,2,0))&amp;"_"&amp;RIGHT(A3099,3)</f>
        <v>#N/A</v>
      </c>
      <c r="I3099" s="66">
        <f t="shared" si="336"/>
        <v>0</v>
      </c>
      <c r="K3099" s="66" t="str">
        <f t="shared" si="337"/>
        <v/>
      </c>
      <c r="L3099" s="66" t="str">
        <f t="shared" si="338"/>
        <v/>
      </c>
      <c r="M3099" s="66" t="str">
        <f t="shared" si="339"/>
        <v/>
      </c>
      <c r="N3099" s="66" t="str">
        <f t="shared" si="340"/>
        <v/>
      </c>
      <c r="O3099" s="66" t="str">
        <f t="shared" si="341"/>
        <v/>
      </c>
      <c r="P3099" s="66" t="str">
        <f t="shared" si="342"/>
        <v/>
      </c>
    </row>
    <row r="3100" spans="8:16">
      <c r="H3100" s="66" t="e">
        <f>IF(LEFT(A3100,6)="CEPNTR","GPINS",VLOOKUP(LEFT(A3100,6),'Code Library'!$A$3:$B$920,2,0))&amp;"_"&amp;RIGHT(A3100,3)</f>
        <v>#N/A</v>
      </c>
      <c r="I3100" s="66">
        <f t="shared" si="336"/>
        <v>0</v>
      </c>
      <c r="K3100" s="66" t="str">
        <f t="shared" si="337"/>
        <v/>
      </c>
      <c r="L3100" s="66" t="str">
        <f t="shared" si="338"/>
        <v/>
      </c>
      <c r="M3100" s="66" t="str">
        <f t="shared" si="339"/>
        <v/>
      </c>
      <c r="N3100" s="66" t="str">
        <f t="shared" si="340"/>
        <v/>
      </c>
      <c r="O3100" s="66" t="str">
        <f t="shared" si="341"/>
        <v/>
      </c>
      <c r="P3100" s="66" t="str">
        <f t="shared" si="342"/>
        <v/>
      </c>
    </row>
    <row r="3101" spans="8:16">
      <c r="H3101" s="66" t="e">
        <f>IF(LEFT(A3101,6)="CEPNTR","GPINS",VLOOKUP(LEFT(A3101,6),'Code Library'!$A$3:$B$920,2,0))&amp;"_"&amp;RIGHT(A3101,3)</f>
        <v>#N/A</v>
      </c>
      <c r="I3101" s="66">
        <f t="shared" si="336"/>
        <v>0</v>
      </c>
      <c r="K3101" s="66" t="str">
        <f t="shared" si="337"/>
        <v/>
      </c>
      <c r="L3101" s="66" t="str">
        <f t="shared" si="338"/>
        <v/>
      </c>
      <c r="M3101" s="66" t="str">
        <f t="shared" si="339"/>
        <v/>
      </c>
      <c r="N3101" s="66" t="str">
        <f t="shared" si="340"/>
        <v/>
      </c>
      <c r="O3101" s="66" t="str">
        <f t="shared" si="341"/>
        <v/>
      </c>
      <c r="P3101" s="66" t="str">
        <f t="shared" si="342"/>
        <v/>
      </c>
    </row>
    <row r="3102" spans="8:16">
      <c r="H3102" s="66" t="e">
        <f>IF(LEFT(A3102,6)="CEPNTR","GPINS",VLOOKUP(LEFT(A3102,6),'Code Library'!$A$3:$B$920,2,0))&amp;"_"&amp;RIGHT(A3102,3)</f>
        <v>#N/A</v>
      </c>
      <c r="I3102" s="66">
        <f t="shared" si="336"/>
        <v>0</v>
      </c>
      <c r="K3102" s="66" t="str">
        <f t="shared" si="337"/>
        <v/>
      </c>
      <c r="L3102" s="66" t="str">
        <f t="shared" si="338"/>
        <v/>
      </c>
      <c r="M3102" s="66" t="str">
        <f t="shared" si="339"/>
        <v/>
      </c>
      <c r="N3102" s="66" t="str">
        <f t="shared" si="340"/>
        <v/>
      </c>
      <c r="O3102" s="66" t="str">
        <f t="shared" si="341"/>
        <v/>
      </c>
      <c r="P3102" s="66" t="str">
        <f t="shared" si="342"/>
        <v/>
      </c>
    </row>
    <row r="3103" spans="8:16">
      <c r="H3103" s="66" t="e">
        <f>IF(LEFT(A3103,6)="CEPNTR","GPINS",VLOOKUP(LEFT(A3103,6),'Code Library'!$A$3:$B$920,2,0))&amp;"_"&amp;RIGHT(A3103,3)</f>
        <v>#N/A</v>
      </c>
      <c r="I3103" s="66">
        <f t="shared" si="336"/>
        <v>0</v>
      </c>
      <c r="K3103" s="66" t="str">
        <f t="shared" si="337"/>
        <v/>
      </c>
      <c r="L3103" s="66" t="str">
        <f t="shared" si="338"/>
        <v/>
      </c>
      <c r="M3103" s="66" t="str">
        <f t="shared" si="339"/>
        <v/>
      </c>
      <c r="N3103" s="66" t="str">
        <f t="shared" si="340"/>
        <v/>
      </c>
      <c r="O3103" s="66" t="str">
        <f t="shared" si="341"/>
        <v/>
      </c>
      <c r="P3103" s="66" t="str">
        <f t="shared" si="342"/>
        <v/>
      </c>
    </row>
    <row r="3104" spans="8:16">
      <c r="H3104" s="66" t="e">
        <f>IF(LEFT(A3104,6)="CEPNTR","GPINS",VLOOKUP(LEFT(A3104,6),'Code Library'!$A$3:$B$920,2,0))&amp;"_"&amp;RIGHT(A3104,3)</f>
        <v>#N/A</v>
      </c>
      <c r="I3104" s="66">
        <f t="shared" si="336"/>
        <v>0</v>
      </c>
      <c r="K3104" s="66" t="str">
        <f t="shared" si="337"/>
        <v/>
      </c>
      <c r="L3104" s="66" t="str">
        <f t="shared" si="338"/>
        <v/>
      </c>
      <c r="M3104" s="66" t="str">
        <f t="shared" si="339"/>
        <v/>
      </c>
      <c r="N3104" s="66" t="str">
        <f t="shared" si="340"/>
        <v/>
      </c>
      <c r="O3104" s="66" t="str">
        <f t="shared" si="341"/>
        <v/>
      </c>
      <c r="P3104" s="66" t="str">
        <f t="shared" si="342"/>
        <v/>
      </c>
    </row>
    <row r="3105" spans="8:16">
      <c r="H3105" s="66" t="e">
        <f>IF(LEFT(A3105,6)="CEPNTR","GPINS",VLOOKUP(LEFT(A3105,6),'Code Library'!$A$3:$B$920,2,0))&amp;"_"&amp;RIGHT(A3105,3)</f>
        <v>#N/A</v>
      </c>
      <c r="I3105" s="66">
        <f t="shared" si="336"/>
        <v>0</v>
      </c>
      <c r="K3105" s="66" t="str">
        <f t="shared" si="337"/>
        <v/>
      </c>
      <c r="L3105" s="66" t="str">
        <f t="shared" si="338"/>
        <v/>
      </c>
      <c r="M3105" s="66" t="str">
        <f t="shared" si="339"/>
        <v/>
      </c>
      <c r="N3105" s="66" t="str">
        <f t="shared" si="340"/>
        <v/>
      </c>
      <c r="O3105" s="66" t="str">
        <f t="shared" si="341"/>
        <v/>
      </c>
      <c r="P3105" s="66" t="str">
        <f t="shared" si="342"/>
        <v/>
      </c>
    </row>
    <row r="3106" spans="8:16">
      <c r="H3106" s="66" t="e">
        <f>IF(LEFT(A3106,6)="CEPNTR","GPINS",VLOOKUP(LEFT(A3106,6),'Code Library'!$A$3:$B$920,2,0))&amp;"_"&amp;RIGHT(A3106,3)</f>
        <v>#N/A</v>
      </c>
      <c r="I3106" s="66">
        <f t="shared" si="336"/>
        <v>0</v>
      </c>
      <c r="K3106" s="66" t="str">
        <f t="shared" si="337"/>
        <v/>
      </c>
      <c r="L3106" s="66" t="str">
        <f t="shared" si="338"/>
        <v/>
      </c>
      <c r="M3106" s="66" t="str">
        <f t="shared" si="339"/>
        <v/>
      </c>
      <c r="N3106" s="66" t="str">
        <f t="shared" si="340"/>
        <v/>
      </c>
      <c r="O3106" s="66" t="str">
        <f t="shared" si="341"/>
        <v/>
      </c>
      <c r="P3106" s="66" t="str">
        <f t="shared" si="342"/>
        <v/>
      </c>
    </row>
    <row r="3107" spans="8:16">
      <c r="H3107" s="66" t="e">
        <f>IF(LEFT(A3107,6)="CEPNTR","GPINS",VLOOKUP(LEFT(A3107,6),'Code Library'!$A$3:$B$920,2,0))&amp;"_"&amp;RIGHT(A3107,3)</f>
        <v>#N/A</v>
      </c>
      <c r="I3107" s="66">
        <f t="shared" si="336"/>
        <v>0</v>
      </c>
      <c r="K3107" s="66" t="str">
        <f t="shared" si="337"/>
        <v/>
      </c>
      <c r="L3107" s="66" t="str">
        <f t="shared" si="338"/>
        <v/>
      </c>
      <c r="M3107" s="66" t="str">
        <f t="shared" si="339"/>
        <v/>
      </c>
      <c r="N3107" s="66" t="str">
        <f t="shared" si="340"/>
        <v/>
      </c>
      <c r="O3107" s="66" t="str">
        <f t="shared" si="341"/>
        <v/>
      </c>
      <c r="P3107" s="66" t="str">
        <f t="shared" si="342"/>
        <v/>
      </c>
    </row>
    <row r="3108" spans="8:16">
      <c r="H3108" s="66" t="e">
        <f>IF(LEFT(A3108,6)="CEPNTR","GPINS",VLOOKUP(LEFT(A3108,6),'Code Library'!$A$3:$B$920,2,0))&amp;"_"&amp;RIGHT(A3108,3)</f>
        <v>#N/A</v>
      </c>
      <c r="I3108" s="66">
        <f t="shared" si="336"/>
        <v>0</v>
      </c>
      <c r="K3108" s="66" t="str">
        <f t="shared" si="337"/>
        <v/>
      </c>
      <c r="L3108" s="66" t="str">
        <f t="shared" si="338"/>
        <v/>
      </c>
      <c r="M3108" s="66" t="str">
        <f t="shared" si="339"/>
        <v/>
      </c>
      <c r="N3108" s="66" t="str">
        <f t="shared" si="340"/>
        <v/>
      </c>
      <c r="O3108" s="66" t="str">
        <f t="shared" si="341"/>
        <v/>
      </c>
      <c r="P3108" s="66" t="str">
        <f t="shared" si="342"/>
        <v/>
      </c>
    </row>
    <row r="3109" spans="8:16">
      <c r="H3109" s="66" t="e">
        <f>IF(LEFT(A3109,6)="CEPNTR","GPINS",VLOOKUP(LEFT(A3109,6),'Code Library'!$A$3:$B$920,2,0))&amp;"_"&amp;RIGHT(A3109,3)</f>
        <v>#N/A</v>
      </c>
      <c r="I3109" s="66">
        <f t="shared" si="336"/>
        <v>0</v>
      </c>
      <c r="K3109" s="66" t="str">
        <f t="shared" si="337"/>
        <v/>
      </c>
      <c r="L3109" s="66" t="str">
        <f t="shared" si="338"/>
        <v/>
      </c>
      <c r="M3109" s="66" t="str">
        <f t="shared" si="339"/>
        <v/>
      </c>
      <c r="N3109" s="66" t="str">
        <f t="shared" si="340"/>
        <v/>
      </c>
      <c r="O3109" s="66" t="str">
        <f t="shared" si="341"/>
        <v/>
      </c>
      <c r="P3109" s="66" t="str">
        <f t="shared" si="342"/>
        <v/>
      </c>
    </row>
    <row r="3110" spans="8:16">
      <c r="H3110" s="66" t="e">
        <f>IF(LEFT(A3110,6)="CEPNTR","GPINS",VLOOKUP(LEFT(A3110,6),'Code Library'!$A$3:$B$920,2,0))&amp;"_"&amp;RIGHT(A3110,3)</f>
        <v>#N/A</v>
      </c>
      <c r="I3110" s="66">
        <f t="shared" si="336"/>
        <v>0</v>
      </c>
      <c r="K3110" s="66" t="str">
        <f t="shared" si="337"/>
        <v/>
      </c>
      <c r="L3110" s="66" t="str">
        <f t="shared" si="338"/>
        <v/>
      </c>
      <c r="M3110" s="66" t="str">
        <f t="shared" si="339"/>
        <v/>
      </c>
      <c r="N3110" s="66" t="str">
        <f t="shared" si="340"/>
        <v/>
      </c>
      <c r="O3110" s="66" t="str">
        <f t="shared" si="341"/>
        <v/>
      </c>
      <c r="P3110" s="66" t="str">
        <f t="shared" si="342"/>
        <v/>
      </c>
    </row>
    <row r="3111" spans="8:16">
      <c r="H3111" s="66" t="e">
        <f>IF(LEFT(A3111,6)="CEPNTR","GPINS",VLOOKUP(LEFT(A3111,6),'Code Library'!$A$3:$B$920,2,0))&amp;"_"&amp;RIGHT(A3111,3)</f>
        <v>#N/A</v>
      </c>
      <c r="I3111" s="66">
        <f t="shared" si="336"/>
        <v>0</v>
      </c>
      <c r="K3111" s="66" t="str">
        <f t="shared" si="337"/>
        <v/>
      </c>
      <c r="L3111" s="66" t="str">
        <f t="shared" si="338"/>
        <v/>
      </c>
      <c r="M3111" s="66" t="str">
        <f t="shared" si="339"/>
        <v/>
      </c>
      <c r="N3111" s="66" t="str">
        <f t="shared" si="340"/>
        <v/>
      </c>
      <c r="O3111" s="66" t="str">
        <f t="shared" si="341"/>
        <v/>
      </c>
      <c r="P3111" s="66" t="str">
        <f t="shared" si="342"/>
        <v/>
      </c>
    </row>
    <row r="3112" spans="8:16">
      <c r="H3112" s="66" t="e">
        <f>IF(LEFT(A3112,6)="CEPNTR","GPINS",VLOOKUP(LEFT(A3112,6),'Code Library'!$A$3:$B$920,2,0))&amp;"_"&amp;RIGHT(A3112,3)</f>
        <v>#N/A</v>
      </c>
      <c r="I3112" s="66">
        <f t="shared" si="336"/>
        <v>0</v>
      </c>
      <c r="K3112" s="66" t="str">
        <f t="shared" si="337"/>
        <v/>
      </c>
      <c r="L3112" s="66" t="str">
        <f t="shared" si="338"/>
        <v/>
      </c>
      <c r="M3112" s="66" t="str">
        <f t="shared" si="339"/>
        <v/>
      </c>
      <c r="N3112" s="66" t="str">
        <f t="shared" si="340"/>
        <v/>
      </c>
      <c r="O3112" s="66" t="str">
        <f t="shared" si="341"/>
        <v/>
      </c>
      <c r="P3112" s="66" t="str">
        <f t="shared" si="342"/>
        <v/>
      </c>
    </row>
    <row r="3113" spans="8:16">
      <c r="H3113" s="66" t="e">
        <f>IF(LEFT(A3113,6)="CEPNTR","GPINS",VLOOKUP(LEFT(A3113,6),'Code Library'!$A$3:$B$920,2,0))&amp;"_"&amp;RIGHT(A3113,3)</f>
        <v>#N/A</v>
      </c>
      <c r="I3113" s="66">
        <f t="shared" si="336"/>
        <v>0</v>
      </c>
      <c r="K3113" s="66" t="str">
        <f t="shared" si="337"/>
        <v/>
      </c>
      <c r="L3113" s="66" t="str">
        <f t="shared" si="338"/>
        <v/>
      </c>
      <c r="M3113" s="66" t="str">
        <f t="shared" si="339"/>
        <v/>
      </c>
      <c r="N3113" s="66" t="str">
        <f t="shared" si="340"/>
        <v/>
      </c>
      <c r="O3113" s="66" t="str">
        <f t="shared" si="341"/>
        <v/>
      </c>
      <c r="P3113" s="66" t="str">
        <f t="shared" si="342"/>
        <v/>
      </c>
    </row>
    <row r="3114" spans="8:16">
      <c r="H3114" s="66" t="e">
        <f>IF(LEFT(A3114,6)="CEPNTR","GPINS",VLOOKUP(LEFT(A3114,6),'Code Library'!$A$3:$B$920,2,0))&amp;"_"&amp;RIGHT(A3114,3)</f>
        <v>#N/A</v>
      </c>
      <c r="I3114" s="66">
        <f t="shared" si="336"/>
        <v>0</v>
      </c>
      <c r="K3114" s="66" t="str">
        <f t="shared" si="337"/>
        <v/>
      </c>
      <c r="L3114" s="66" t="str">
        <f t="shared" si="338"/>
        <v/>
      </c>
      <c r="M3114" s="66" t="str">
        <f t="shared" si="339"/>
        <v/>
      </c>
      <c r="N3114" s="66" t="str">
        <f t="shared" si="340"/>
        <v/>
      </c>
      <c r="O3114" s="66" t="str">
        <f t="shared" si="341"/>
        <v/>
      </c>
      <c r="P3114" s="66" t="str">
        <f t="shared" si="342"/>
        <v/>
      </c>
    </row>
    <row r="3115" spans="8:16">
      <c r="H3115" s="66" t="e">
        <f>IF(LEFT(A3115,6)="CEPNTR","GPINS",VLOOKUP(LEFT(A3115,6),'Code Library'!$A$3:$B$920,2,0))&amp;"_"&amp;RIGHT(A3115,3)</f>
        <v>#N/A</v>
      </c>
      <c r="I3115" s="66">
        <f t="shared" si="336"/>
        <v>0</v>
      </c>
      <c r="K3115" s="66" t="str">
        <f t="shared" si="337"/>
        <v/>
      </c>
      <c r="L3115" s="66" t="str">
        <f t="shared" si="338"/>
        <v/>
      </c>
      <c r="M3115" s="66" t="str">
        <f t="shared" si="339"/>
        <v/>
      </c>
      <c r="N3115" s="66" t="str">
        <f t="shared" si="340"/>
        <v/>
      </c>
      <c r="O3115" s="66" t="str">
        <f t="shared" si="341"/>
        <v/>
      </c>
      <c r="P3115" s="66" t="str">
        <f t="shared" si="342"/>
        <v/>
      </c>
    </row>
    <row r="3116" spans="8:16">
      <c r="H3116" s="66" t="e">
        <f>IF(LEFT(A3116,6)="CEPNTR","GPINS",VLOOKUP(LEFT(A3116,6),'Code Library'!$A$3:$B$920,2,0))&amp;"_"&amp;RIGHT(A3116,3)</f>
        <v>#N/A</v>
      </c>
      <c r="I3116" s="66">
        <f t="shared" si="336"/>
        <v>0</v>
      </c>
      <c r="K3116" s="66" t="str">
        <f t="shared" si="337"/>
        <v/>
      </c>
      <c r="L3116" s="66" t="str">
        <f t="shared" si="338"/>
        <v/>
      </c>
      <c r="M3116" s="66" t="str">
        <f t="shared" si="339"/>
        <v/>
      </c>
      <c r="N3116" s="66" t="str">
        <f t="shared" si="340"/>
        <v/>
      </c>
      <c r="O3116" s="66" t="str">
        <f t="shared" si="341"/>
        <v/>
      </c>
      <c r="P3116" s="66" t="str">
        <f t="shared" si="342"/>
        <v/>
      </c>
    </row>
    <row r="3117" spans="8:16">
      <c r="H3117" s="66" t="e">
        <f>IF(LEFT(A3117,6)="CEPNTR","GPINS",VLOOKUP(LEFT(A3117,6),'Code Library'!$A$3:$B$920,2,0))&amp;"_"&amp;RIGHT(A3117,3)</f>
        <v>#N/A</v>
      </c>
      <c r="I3117" s="66">
        <f t="shared" si="336"/>
        <v>0</v>
      </c>
      <c r="K3117" s="66" t="str">
        <f t="shared" si="337"/>
        <v/>
      </c>
      <c r="L3117" s="66" t="str">
        <f t="shared" si="338"/>
        <v/>
      </c>
      <c r="M3117" s="66" t="str">
        <f t="shared" si="339"/>
        <v/>
      </c>
      <c r="N3117" s="66" t="str">
        <f t="shared" si="340"/>
        <v/>
      </c>
      <c r="O3117" s="66" t="str">
        <f t="shared" si="341"/>
        <v/>
      </c>
      <c r="P3117" s="66" t="str">
        <f t="shared" si="342"/>
        <v/>
      </c>
    </row>
    <row r="3118" spans="8:16">
      <c r="H3118" s="66" t="e">
        <f>IF(LEFT(A3118,6)="CEPNTR","GPINS",VLOOKUP(LEFT(A3118,6),'Code Library'!$A$3:$B$920,2,0))&amp;"_"&amp;RIGHT(A3118,3)</f>
        <v>#N/A</v>
      </c>
      <c r="I3118" s="66">
        <f t="shared" si="336"/>
        <v>0</v>
      </c>
      <c r="K3118" s="66" t="str">
        <f t="shared" si="337"/>
        <v/>
      </c>
      <c r="L3118" s="66" t="str">
        <f t="shared" si="338"/>
        <v/>
      </c>
      <c r="M3118" s="66" t="str">
        <f t="shared" si="339"/>
        <v/>
      </c>
      <c r="N3118" s="66" t="str">
        <f t="shared" si="340"/>
        <v/>
      </c>
      <c r="O3118" s="66" t="str">
        <f t="shared" si="341"/>
        <v/>
      </c>
      <c r="P3118" s="66" t="str">
        <f t="shared" si="342"/>
        <v/>
      </c>
    </row>
    <row r="3119" spans="8:16">
      <c r="H3119" s="66" t="e">
        <f>IF(LEFT(A3119,6)="CEPNTR","GPINS",VLOOKUP(LEFT(A3119,6),'Code Library'!$A$3:$B$920,2,0))&amp;"_"&amp;RIGHT(A3119,3)</f>
        <v>#N/A</v>
      </c>
      <c r="I3119" s="66">
        <f t="shared" si="336"/>
        <v>0</v>
      </c>
      <c r="K3119" s="66" t="str">
        <f t="shared" si="337"/>
        <v/>
      </c>
      <c r="L3119" s="66" t="str">
        <f t="shared" si="338"/>
        <v/>
      </c>
      <c r="M3119" s="66" t="str">
        <f t="shared" si="339"/>
        <v/>
      </c>
      <c r="N3119" s="66" t="str">
        <f t="shared" si="340"/>
        <v/>
      </c>
      <c r="O3119" s="66" t="str">
        <f t="shared" si="341"/>
        <v/>
      </c>
      <c r="P3119" s="66" t="str">
        <f t="shared" si="342"/>
        <v/>
      </c>
    </row>
    <row r="3120" spans="8:16">
      <c r="H3120" s="66" t="e">
        <f>IF(LEFT(A3120,6)="CEPNTR","GPINS",VLOOKUP(LEFT(A3120,6),'Code Library'!$A$3:$B$920,2,0))&amp;"_"&amp;RIGHT(A3120,3)</f>
        <v>#N/A</v>
      </c>
      <c r="I3120" s="66">
        <f t="shared" si="336"/>
        <v>0</v>
      </c>
      <c r="K3120" s="66" t="str">
        <f t="shared" si="337"/>
        <v/>
      </c>
      <c r="L3120" s="66" t="str">
        <f t="shared" si="338"/>
        <v/>
      </c>
      <c r="M3120" s="66" t="str">
        <f t="shared" si="339"/>
        <v/>
      </c>
      <c r="N3120" s="66" t="str">
        <f t="shared" si="340"/>
        <v/>
      </c>
      <c r="O3120" s="66" t="str">
        <f t="shared" si="341"/>
        <v/>
      </c>
      <c r="P3120" s="66" t="str">
        <f t="shared" si="342"/>
        <v/>
      </c>
    </row>
    <row r="3121" spans="8:16">
      <c r="H3121" s="66" t="e">
        <f>IF(LEFT(A3121,6)="CEPNTR","GPINS",VLOOKUP(LEFT(A3121,6),'Code Library'!$A$3:$B$920,2,0))&amp;"_"&amp;RIGHT(A3121,3)</f>
        <v>#N/A</v>
      </c>
      <c r="I3121" s="66">
        <f t="shared" si="336"/>
        <v>0</v>
      </c>
      <c r="K3121" s="66" t="str">
        <f t="shared" si="337"/>
        <v/>
      </c>
      <c r="L3121" s="66" t="str">
        <f t="shared" si="338"/>
        <v/>
      </c>
      <c r="M3121" s="66" t="str">
        <f t="shared" si="339"/>
        <v/>
      </c>
      <c r="N3121" s="66" t="str">
        <f t="shared" si="340"/>
        <v/>
      </c>
      <c r="O3121" s="66" t="str">
        <f t="shared" si="341"/>
        <v/>
      </c>
      <c r="P3121" s="66" t="str">
        <f t="shared" si="342"/>
        <v/>
      </c>
    </row>
    <row r="3122" spans="8:16">
      <c r="H3122" s="66" t="e">
        <f>IF(LEFT(A3122,6)="CEPNTR","GPINS",VLOOKUP(LEFT(A3122,6),'Code Library'!$A$3:$B$920,2,0))&amp;"_"&amp;RIGHT(A3122,3)</f>
        <v>#N/A</v>
      </c>
      <c r="I3122" s="66">
        <f t="shared" si="336"/>
        <v>0</v>
      </c>
      <c r="K3122" s="66" t="str">
        <f t="shared" si="337"/>
        <v/>
      </c>
      <c r="L3122" s="66" t="str">
        <f t="shared" si="338"/>
        <v/>
      </c>
      <c r="M3122" s="66" t="str">
        <f t="shared" si="339"/>
        <v/>
      </c>
      <c r="N3122" s="66" t="str">
        <f t="shared" si="340"/>
        <v/>
      </c>
      <c r="O3122" s="66" t="str">
        <f t="shared" si="341"/>
        <v/>
      </c>
      <c r="P3122" s="66" t="str">
        <f t="shared" si="342"/>
        <v/>
      </c>
    </row>
    <row r="3123" spans="8:16">
      <c r="H3123" s="66" t="e">
        <f>IF(LEFT(A3123,6)="CEPNTR","GPINS",VLOOKUP(LEFT(A3123,6),'Code Library'!$A$3:$B$920,2,0))&amp;"_"&amp;RIGHT(A3123,3)</f>
        <v>#N/A</v>
      </c>
      <c r="I3123" s="66">
        <f t="shared" si="336"/>
        <v>0</v>
      </c>
      <c r="K3123" s="66" t="str">
        <f t="shared" si="337"/>
        <v/>
      </c>
      <c r="L3123" s="66" t="str">
        <f t="shared" si="338"/>
        <v/>
      </c>
      <c r="M3123" s="66" t="str">
        <f t="shared" si="339"/>
        <v/>
      </c>
      <c r="N3123" s="66" t="str">
        <f t="shared" si="340"/>
        <v/>
      </c>
      <c r="O3123" s="66" t="str">
        <f t="shared" si="341"/>
        <v/>
      </c>
      <c r="P3123" s="66" t="str">
        <f t="shared" si="342"/>
        <v/>
      </c>
    </row>
    <row r="3124" spans="8:16">
      <c r="H3124" s="66" t="e">
        <f>IF(LEFT(A3124,6)="CEPNTR","GPINS",VLOOKUP(LEFT(A3124,6),'Code Library'!$A$3:$B$920,2,0))&amp;"_"&amp;RIGHT(A3124,3)</f>
        <v>#N/A</v>
      </c>
      <c r="I3124" s="66">
        <f t="shared" si="336"/>
        <v>0</v>
      </c>
      <c r="K3124" s="66" t="str">
        <f t="shared" si="337"/>
        <v/>
      </c>
      <c r="L3124" s="66" t="str">
        <f t="shared" si="338"/>
        <v/>
      </c>
      <c r="M3124" s="66" t="str">
        <f t="shared" si="339"/>
        <v/>
      </c>
      <c r="N3124" s="66" t="str">
        <f t="shared" si="340"/>
        <v/>
      </c>
      <c r="O3124" s="66" t="str">
        <f t="shared" si="341"/>
        <v/>
      </c>
      <c r="P3124" s="66" t="str">
        <f t="shared" si="342"/>
        <v/>
      </c>
    </row>
    <row r="3125" spans="8:16">
      <c r="H3125" s="66" t="e">
        <f>IF(LEFT(A3125,6)="CEPNTR","GPINS",VLOOKUP(LEFT(A3125,6),'Code Library'!$A$3:$B$920,2,0))&amp;"_"&amp;RIGHT(A3125,3)</f>
        <v>#N/A</v>
      </c>
      <c r="I3125" s="66">
        <f t="shared" si="336"/>
        <v>0</v>
      </c>
      <c r="K3125" s="66" t="str">
        <f t="shared" si="337"/>
        <v/>
      </c>
      <c r="L3125" s="66" t="str">
        <f t="shared" si="338"/>
        <v/>
      </c>
      <c r="M3125" s="66" t="str">
        <f t="shared" si="339"/>
        <v/>
      </c>
      <c r="N3125" s="66" t="str">
        <f t="shared" si="340"/>
        <v/>
      </c>
      <c r="O3125" s="66" t="str">
        <f t="shared" si="341"/>
        <v/>
      </c>
      <c r="P3125" s="66" t="str">
        <f t="shared" si="342"/>
        <v/>
      </c>
    </row>
    <row r="3126" spans="8:16">
      <c r="H3126" s="66" t="e">
        <f>IF(LEFT(A3126,6)="CEPNTR","GPINS",VLOOKUP(LEFT(A3126,6),'Code Library'!$A$3:$B$920,2,0))&amp;"_"&amp;RIGHT(A3126,3)</f>
        <v>#N/A</v>
      </c>
      <c r="I3126" s="66">
        <f t="shared" si="336"/>
        <v>0</v>
      </c>
      <c r="K3126" s="66" t="str">
        <f t="shared" si="337"/>
        <v/>
      </c>
      <c r="L3126" s="66" t="str">
        <f t="shared" si="338"/>
        <v/>
      </c>
      <c r="M3126" s="66" t="str">
        <f t="shared" si="339"/>
        <v/>
      </c>
      <c r="N3126" s="66" t="str">
        <f t="shared" si="340"/>
        <v/>
      </c>
      <c r="O3126" s="66" t="str">
        <f t="shared" si="341"/>
        <v/>
      </c>
      <c r="P3126" s="66" t="str">
        <f t="shared" si="342"/>
        <v/>
      </c>
    </row>
    <row r="3127" spans="8:16">
      <c r="H3127" s="66" t="e">
        <f>IF(LEFT(A3127,6)="CEPNTR","GPINS",VLOOKUP(LEFT(A3127,6),'Code Library'!$A$3:$B$920,2,0))&amp;"_"&amp;RIGHT(A3127,3)</f>
        <v>#N/A</v>
      </c>
      <c r="I3127" s="66">
        <f t="shared" si="336"/>
        <v>0</v>
      </c>
      <c r="K3127" s="66" t="str">
        <f t="shared" si="337"/>
        <v/>
      </c>
      <c r="L3127" s="66" t="str">
        <f t="shared" si="338"/>
        <v/>
      </c>
      <c r="M3127" s="66" t="str">
        <f t="shared" si="339"/>
        <v/>
      </c>
      <c r="N3127" s="66" t="str">
        <f t="shared" si="340"/>
        <v/>
      </c>
      <c r="O3127" s="66" t="str">
        <f t="shared" si="341"/>
        <v/>
      </c>
      <c r="P3127" s="66" t="str">
        <f t="shared" si="342"/>
        <v/>
      </c>
    </row>
    <row r="3128" spans="8:16">
      <c r="H3128" s="66" t="e">
        <f>IF(LEFT(A3128,6)="CEPNTR","GPINS",VLOOKUP(LEFT(A3128,6),'Code Library'!$A$3:$B$920,2,0))&amp;"_"&amp;RIGHT(A3128,3)</f>
        <v>#N/A</v>
      </c>
      <c r="I3128" s="66">
        <f t="shared" si="336"/>
        <v>0</v>
      </c>
      <c r="K3128" s="66" t="str">
        <f t="shared" si="337"/>
        <v/>
      </c>
      <c r="L3128" s="66" t="str">
        <f t="shared" si="338"/>
        <v/>
      </c>
      <c r="M3128" s="66" t="str">
        <f t="shared" si="339"/>
        <v/>
      </c>
      <c r="N3128" s="66" t="str">
        <f t="shared" si="340"/>
        <v/>
      </c>
      <c r="O3128" s="66" t="str">
        <f t="shared" si="341"/>
        <v/>
      </c>
      <c r="P3128" s="66" t="str">
        <f t="shared" si="342"/>
        <v/>
      </c>
    </row>
    <row r="3129" spans="8:16">
      <c r="H3129" s="66" t="e">
        <f>IF(LEFT(A3129,6)="CEPNTR","GPINS",VLOOKUP(LEFT(A3129,6),'Code Library'!$A$3:$B$920,2,0))&amp;"_"&amp;RIGHT(A3129,3)</f>
        <v>#N/A</v>
      </c>
      <c r="I3129" s="66">
        <f t="shared" si="336"/>
        <v>0</v>
      </c>
      <c r="K3129" s="66" t="str">
        <f t="shared" si="337"/>
        <v/>
      </c>
      <c r="L3129" s="66" t="str">
        <f t="shared" si="338"/>
        <v/>
      </c>
      <c r="M3129" s="66" t="str">
        <f t="shared" si="339"/>
        <v/>
      </c>
      <c r="N3129" s="66" t="str">
        <f t="shared" si="340"/>
        <v/>
      </c>
      <c r="O3129" s="66" t="str">
        <f t="shared" si="341"/>
        <v/>
      </c>
      <c r="P3129" s="66" t="str">
        <f t="shared" si="342"/>
        <v/>
      </c>
    </row>
    <row r="3130" spans="8:16">
      <c r="H3130" s="66" t="e">
        <f>IF(LEFT(A3130,6)="CEPNTR","GPINS",VLOOKUP(LEFT(A3130,6),'Code Library'!$A$3:$B$920,2,0))&amp;"_"&amp;RIGHT(A3130,3)</f>
        <v>#N/A</v>
      </c>
      <c r="I3130" s="66">
        <f t="shared" si="336"/>
        <v>0</v>
      </c>
      <c r="K3130" s="66" t="str">
        <f t="shared" si="337"/>
        <v/>
      </c>
      <c r="L3130" s="66" t="str">
        <f t="shared" si="338"/>
        <v/>
      </c>
      <c r="M3130" s="66" t="str">
        <f t="shared" si="339"/>
        <v/>
      </c>
      <c r="N3130" s="66" t="str">
        <f t="shared" si="340"/>
        <v/>
      </c>
      <c r="O3130" s="66" t="str">
        <f t="shared" si="341"/>
        <v/>
      </c>
      <c r="P3130" s="66" t="str">
        <f t="shared" si="342"/>
        <v/>
      </c>
    </row>
    <row r="3131" spans="8:16">
      <c r="H3131" s="66" t="e">
        <f>IF(LEFT(A3131,6)="CEPNTR","GPINS",VLOOKUP(LEFT(A3131,6),'Code Library'!$A$3:$B$920,2,0))&amp;"_"&amp;RIGHT(A3131,3)</f>
        <v>#N/A</v>
      </c>
      <c r="I3131" s="66">
        <f t="shared" si="336"/>
        <v>0</v>
      </c>
      <c r="K3131" s="66" t="str">
        <f t="shared" si="337"/>
        <v/>
      </c>
      <c r="L3131" s="66" t="str">
        <f t="shared" si="338"/>
        <v/>
      </c>
      <c r="M3131" s="66" t="str">
        <f t="shared" si="339"/>
        <v/>
      </c>
      <c r="N3131" s="66" t="str">
        <f t="shared" si="340"/>
        <v/>
      </c>
      <c r="O3131" s="66" t="str">
        <f t="shared" si="341"/>
        <v/>
      </c>
      <c r="P3131" s="66" t="str">
        <f t="shared" si="342"/>
        <v/>
      </c>
    </row>
    <row r="3132" spans="8:16">
      <c r="H3132" s="66" t="e">
        <f>IF(LEFT(A3132,6)="CEPNTR","GPINS",VLOOKUP(LEFT(A3132,6),'Code Library'!$A$3:$B$920,2,0))&amp;"_"&amp;RIGHT(A3132,3)</f>
        <v>#N/A</v>
      </c>
      <c r="I3132" s="66">
        <f t="shared" si="336"/>
        <v>0</v>
      </c>
      <c r="K3132" s="66" t="str">
        <f t="shared" si="337"/>
        <v/>
      </c>
      <c r="L3132" s="66" t="str">
        <f t="shared" si="338"/>
        <v/>
      </c>
      <c r="M3132" s="66" t="str">
        <f t="shared" si="339"/>
        <v/>
      </c>
      <c r="N3132" s="66" t="str">
        <f t="shared" si="340"/>
        <v/>
      </c>
      <c r="O3132" s="66" t="str">
        <f t="shared" si="341"/>
        <v/>
      </c>
      <c r="P3132" s="66" t="str">
        <f t="shared" si="342"/>
        <v/>
      </c>
    </row>
    <row r="3133" spans="8:16">
      <c r="H3133" s="66" t="e">
        <f>IF(LEFT(A3133,6)="CEPNTR","GPINS",VLOOKUP(LEFT(A3133,6),'Code Library'!$A$3:$B$920,2,0))&amp;"_"&amp;RIGHT(A3133,3)</f>
        <v>#N/A</v>
      </c>
      <c r="I3133" s="66">
        <f t="shared" si="336"/>
        <v>0</v>
      </c>
      <c r="K3133" s="66" t="str">
        <f t="shared" si="337"/>
        <v/>
      </c>
      <c r="L3133" s="66" t="str">
        <f t="shared" si="338"/>
        <v/>
      </c>
      <c r="M3133" s="66" t="str">
        <f t="shared" si="339"/>
        <v/>
      </c>
      <c r="N3133" s="66" t="str">
        <f t="shared" si="340"/>
        <v/>
      </c>
      <c r="O3133" s="66" t="str">
        <f t="shared" si="341"/>
        <v/>
      </c>
      <c r="P3133" s="66" t="str">
        <f t="shared" si="342"/>
        <v/>
      </c>
    </row>
    <row r="3134" spans="8:16">
      <c r="H3134" s="66" t="e">
        <f>IF(LEFT(A3134,6)="CEPNTR","GPINS",VLOOKUP(LEFT(A3134,6),'Code Library'!$A$3:$B$920,2,0))&amp;"_"&amp;RIGHT(A3134,3)</f>
        <v>#N/A</v>
      </c>
      <c r="I3134" s="66">
        <f t="shared" si="336"/>
        <v>0</v>
      </c>
      <c r="K3134" s="66" t="str">
        <f t="shared" si="337"/>
        <v/>
      </c>
      <c r="L3134" s="66" t="str">
        <f t="shared" si="338"/>
        <v/>
      </c>
      <c r="M3134" s="66" t="str">
        <f t="shared" si="339"/>
        <v/>
      </c>
      <c r="N3134" s="66" t="str">
        <f t="shared" si="340"/>
        <v/>
      </c>
      <c r="O3134" s="66" t="str">
        <f t="shared" si="341"/>
        <v/>
      </c>
      <c r="P3134" s="66" t="str">
        <f t="shared" si="342"/>
        <v/>
      </c>
    </row>
    <row r="3135" spans="8:16">
      <c r="H3135" s="66" t="e">
        <f>IF(LEFT(A3135,6)="CEPNTR","GPINS",VLOOKUP(LEFT(A3135,6),'Code Library'!$A$3:$B$920,2,0))&amp;"_"&amp;RIGHT(A3135,3)</f>
        <v>#N/A</v>
      </c>
      <c r="I3135" s="66">
        <f t="shared" si="336"/>
        <v>0</v>
      </c>
      <c r="K3135" s="66" t="str">
        <f t="shared" si="337"/>
        <v/>
      </c>
      <c r="L3135" s="66" t="str">
        <f t="shared" si="338"/>
        <v/>
      </c>
      <c r="M3135" s="66" t="str">
        <f t="shared" si="339"/>
        <v/>
      </c>
      <c r="N3135" s="66" t="str">
        <f t="shared" si="340"/>
        <v/>
      </c>
      <c r="O3135" s="66" t="str">
        <f t="shared" si="341"/>
        <v/>
      </c>
      <c r="P3135" s="66" t="str">
        <f t="shared" si="342"/>
        <v/>
      </c>
    </row>
    <row r="3136" spans="8:16">
      <c r="H3136" s="66" t="e">
        <f>IF(LEFT(A3136,6)="CEPNTR","GPINS",VLOOKUP(LEFT(A3136,6),'Code Library'!$A$3:$B$920,2,0))&amp;"_"&amp;RIGHT(A3136,3)</f>
        <v>#N/A</v>
      </c>
      <c r="I3136" s="66">
        <f t="shared" si="336"/>
        <v>0</v>
      </c>
      <c r="K3136" s="66" t="str">
        <f t="shared" si="337"/>
        <v/>
      </c>
      <c r="L3136" s="66" t="str">
        <f t="shared" si="338"/>
        <v/>
      </c>
      <c r="M3136" s="66" t="str">
        <f t="shared" si="339"/>
        <v/>
      </c>
      <c r="N3136" s="66" t="str">
        <f t="shared" si="340"/>
        <v/>
      </c>
      <c r="O3136" s="66" t="str">
        <f t="shared" si="341"/>
        <v/>
      </c>
      <c r="P3136" s="66" t="str">
        <f t="shared" si="342"/>
        <v/>
      </c>
    </row>
    <row r="3137" spans="8:16">
      <c r="H3137" s="66" t="e">
        <f>IF(LEFT(A3137,6)="CEPNTR","GPINS",VLOOKUP(LEFT(A3137,6),'Code Library'!$A$3:$B$920,2,0))&amp;"_"&amp;RIGHT(A3137,3)</f>
        <v>#N/A</v>
      </c>
      <c r="I3137" s="66">
        <f t="shared" si="336"/>
        <v>0</v>
      </c>
      <c r="K3137" s="66" t="str">
        <f t="shared" si="337"/>
        <v/>
      </c>
      <c r="L3137" s="66" t="str">
        <f t="shared" si="338"/>
        <v/>
      </c>
      <c r="M3137" s="66" t="str">
        <f t="shared" si="339"/>
        <v/>
      </c>
      <c r="N3137" s="66" t="str">
        <f t="shared" si="340"/>
        <v/>
      </c>
      <c r="O3137" s="66" t="str">
        <f t="shared" si="341"/>
        <v/>
      </c>
      <c r="P3137" s="66" t="str">
        <f t="shared" si="342"/>
        <v/>
      </c>
    </row>
    <row r="3138" spans="8:16">
      <c r="H3138" s="66" t="e">
        <f>IF(LEFT(A3138,6)="CEPNTR","GPINS",VLOOKUP(LEFT(A3138,6),'Code Library'!$A$3:$B$920,2,0))&amp;"_"&amp;RIGHT(A3138,3)</f>
        <v>#N/A</v>
      </c>
      <c r="I3138" s="66">
        <f t="shared" si="336"/>
        <v>0</v>
      </c>
      <c r="K3138" s="66" t="str">
        <f t="shared" si="337"/>
        <v/>
      </c>
      <c r="L3138" s="66" t="str">
        <f t="shared" si="338"/>
        <v/>
      </c>
      <c r="M3138" s="66" t="str">
        <f t="shared" si="339"/>
        <v/>
      </c>
      <c r="N3138" s="66" t="str">
        <f t="shared" si="340"/>
        <v/>
      </c>
      <c r="O3138" s="66" t="str">
        <f t="shared" si="341"/>
        <v/>
      </c>
      <c r="P3138" s="66" t="str">
        <f t="shared" si="342"/>
        <v/>
      </c>
    </row>
    <row r="3139" spans="8:16">
      <c r="H3139" s="66" t="e">
        <f>IF(LEFT(A3139,6)="CEPNTR","GPINS",VLOOKUP(LEFT(A3139,6),'Code Library'!$A$3:$B$920,2,0))&amp;"_"&amp;RIGHT(A3139,3)</f>
        <v>#N/A</v>
      </c>
      <c r="I3139" s="66">
        <f t="shared" ref="I3139:I3202" si="343">A3139</f>
        <v>0</v>
      </c>
      <c r="K3139" s="66" t="str">
        <f t="shared" ref="K3139:K3202" si="344">RIGHT($B3139,2)</f>
        <v/>
      </c>
      <c r="L3139" s="66" t="str">
        <f t="shared" ref="L3139:L3202" si="345">LEFT(RIGHT($B3139,7),4)</f>
        <v/>
      </c>
      <c r="M3139" s="66" t="str">
        <f t="shared" ref="M3139:M3202" si="346">LEFT(RIGHT($B3139,10),2)</f>
        <v/>
      </c>
      <c r="N3139" s="66" t="str">
        <f t="shared" ref="N3139:N3202" si="347">LEFT(RIGHT($B3139,14),3)</f>
        <v/>
      </c>
      <c r="O3139" s="66" t="str">
        <f t="shared" ref="O3139:O3202" si="348">LEFT(RIGHT($B3139,16),1)</f>
        <v/>
      </c>
      <c r="P3139" s="66" t="str">
        <f t="shared" ref="P3139:P3202" si="349">LEFT(RIGHT($B3139,19),2)</f>
        <v/>
      </c>
    </row>
    <row r="3140" spans="8:16">
      <c r="H3140" s="66" t="e">
        <f>IF(LEFT(A3140,6)="CEPNTR","GPINS",VLOOKUP(LEFT(A3140,6),'Code Library'!$A$3:$B$920,2,0))&amp;"_"&amp;RIGHT(A3140,3)</f>
        <v>#N/A</v>
      </c>
      <c r="I3140" s="66">
        <f t="shared" si="343"/>
        <v>0</v>
      </c>
      <c r="K3140" s="66" t="str">
        <f t="shared" si="344"/>
        <v/>
      </c>
      <c r="L3140" s="66" t="str">
        <f t="shared" si="345"/>
        <v/>
      </c>
      <c r="M3140" s="66" t="str">
        <f t="shared" si="346"/>
        <v/>
      </c>
      <c r="N3140" s="66" t="str">
        <f t="shared" si="347"/>
        <v/>
      </c>
      <c r="O3140" s="66" t="str">
        <f t="shared" si="348"/>
        <v/>
      </c>
      <c r="P3140" s="66" t="str">
        <f t="shared" si="349"/>
        <v/>
      </c>
    </row>
    <row r="3141" spans="8:16">
      <c r="H3141" s="66" t="e">
        <f>IF(LEFT(A3141,6)="CEPNTR","GPINS",VLOOKUP(LEFT(A3141,6),'Code Library'!$A$3:$B$920,2,0))&amp;"_"&amp;RIGHT(A3141,3)</f>
        <v>#N/A</v>
      </c>
      <c r="I3141" s="66">
        <f t="shared" si="343"/>
        <v>0</v>
      </c>
      <c r="K3141" s="66" t="str">
        <f t="shared" si="344"/>
        <v/>
      </c>
      <c r="L3141" s="66" t="str">
        <f t="shared" si="345"/>
        <v/>
      </c>
      <c r="M3141" s="66" t="str">
        <f t="shared" si="346"/>
        <v/>
      </c>
      <c r="N3141" s="66" t="str">
        <f t="shared" si="347"/>
        <v/>
      </c>
      <c r="O3141" s="66" t="str">
        <f t="shared" si="348"/>
        <v/>
      </c>
      <c r="P3141" s="66" t="str">
        <f t="shared" si="349"/>
        <v/>
      </c>
    </row>
    <row r="3142" spans="8:16">
      <c r="H3142" s="66" t="e">
        <f>IF(LEFT(A3142,6)="CEPNTR","GPINS",VLOOKUP(LEFT(A3142,6),'Code Library'!$A$3:$B$920,2,0))&amp;"_"&amp;RIGHT(A3142,3)</f>
        <v>#N/A</v>
      </c>
      <c r="I3142" s="66">
        <f t="shared" si="343"/>
        <v>0</v>
      </c>
      <c r="K3142" s="66" t="str">
        <f t="shared" si="344"/>
        <v/>
      </c>
      <c r="L3142" s="66" t="str">
        <f t="shared" si="345"/>
        <v/>
      </c>
      <c r="M3142" s="66" t="str">
        <f t="shared" si="346"/>
        <v/>
      </c>
      <c r="N3142" s="66" t="str">
        <f t="shared" si="347"/>
        <v/>
      </c>
      <c r="O3142" s="66" t="str">
        <f t="shared" si="348"/>
        <v/>
      </c>
      <c r="P3142" s="66" t="str">
        <f t="shared" si="349"/>
        <v/>
      </c>
    </row>
    <row r="3143" spans="8:16">
      <c r="H3143" s="66" t="e">
        <f>IF(LEFT(A3143,6)="CEPNTR","GPINS",VLOOKUP(LEFT(A3143,6),'Code Library'!$A$3:$B$920,2,0))&amp;"_"&amp;RIGHT(A3143,3)</f>
        <v>#N/A</v>
      </c>
      <c r="I3143" s="66">
        <f t="shared" si="343"/>
        <v>0</v>
      </c>
      <c r="K3143" s="66" t="str">
        <f t="shared" si="344"/>
        <v/>
      </c>
      <c r="L3143" s="66" t="str">
        <f t="shared" si="345"/>
        <v/>
      </c>
      <c r="M3143" s="66" t="str">
        <f t="shared" si="346"/>
        <v/>
      </c>
      <c r="N3143" s="66" t="str">
        <f t="shared" si="347"/>
        <v/>
      </c>
      <c r="O3143" s="66" t="str">
        <f t="shared" si="348"/>
        <v/>
      </c>
      <c r="P3143" s="66" t="str">
        <f t="shared" si="349"/>
        <v/>
      </c>
    </row>
    <row r="3144" spans="8:16">
      <c r="H3144" s="66" t="e">
        <f>IF(LEFT(A3144,6)="CEPNTR","GPINS",VLOOKUP(LEFT(A3144,6),'Code Library'!$A$3:$B$920,2,0))&amp;"_"&amp;RIGHT(A3144,3)</f>
        <v>#N/A</v>
      </c>
      <c r="I3144" s="66">
        <f t="shared" si="343"/>
        <v>0</v>
      </c>
      <c r="K3144" s="66" t="str">
        <f t="shared" si="344"/>
        <v/>
      </c>
      <c r="L3144" s="66" t="str">
        <f t="shared" si="345"/>
        <v/>
      </c>
      <c r="M3144" s="66" t="str">
        <f t="shared" si="346"/>
        <v/>
      </c>
      <c r="N3144" s="66" t="str">
        <f t="shared" si="347"/>
        <v/>
      </c>
      <c r="O3144" s="66" t="str">
        <f t="shared" si="348"/>
        <v/>
      </c>
      <c r="P3144" s="66" t="str">
        <f t="shared" si="349"/>
        <v/>
      </c>
    </row>
    <row r="3145" spans="8:16">
      <c r="H3145" s="66" t="e">
        <f>IF(LEFT(A3145,6)="CEPNTR","GPINS",VLOOKUP(LEFT(A3145,6),'Code Library'!$A$3:$B$920,2,0))&amp;"_"&amp;RIGHT(A3145,3)</f>
        <v>#N/A</v>
      </c>
      <c r="I3145" s="66">
        <f t="shared" si="343"/>
        <v>0</v>
      </c>
      <c r="K3145" s="66" t="str">
        <f t="shared" si="344"/>
        <v/>
      </c>
      <c r="L3145" s="66" t="str">
        <f t="shared" si="345"/>
        <v/>
      </c>
      <c r="M3145" s="66" t="str">
        <f t="shared" si="346"/>
        <v/>
      </c>
      <c r="N3145" s="66" t="str">
        <f t="shared" si="347"/>
        <v/>
      </c>
      <c r="O3145" s="66" t="str">
        <f t="shared" si="348"/>
        <v/>
      </c>
      <c r="P3145" s="66" t="str">
        <f t="shared" si="349"/>
        <v/>
      </c>
    </row>
    <row r="3146" spans="8:16">
      <c r="H3146" s="66" t="e">
        <f>IF(LEFT(A3146,6)="CEPNTR","GPINS",VLOOKUP(LEFT(A3146,6),'Code Library'!$A$3:$B$920,2,0))&amp;"_"&amp;RIGHT(A3146,3)</f>
        <v>#N/A</v>
      </c>
      <c r="I3146" s="66">
        <f t="shared" si="343"/>
        <v>0</v>
      </c>
      <c r="K3146" s="66" t="str">
        <f t="shared" si="344"/>
        <v/>
      </c>
      <c r="L3146" s="66" t="str">
        <f t="shared" si="345"/>
        <v/>
      </c>
      <c r="M3146" s="66" t="str">
        <f t="shared" si="346"/>
        <v/>
      </c>
      <c r="N3146" s="66" t="str">
        <f t="shared" si="347"/>
        <v/>
      </c>
      <c r="O3146" s="66" t="str">
        <f t="shared" si="348"/>
        <v/>
      </c>
      <c r="P3146" s="66" t="str">
        <f t="shared" si="349"/>
        <v/>
      </c>
    </row>
    <row r="3147" spans="8:16">
      <c r="H3147" s="66" t="e">
        <f>IF(LEFT(A3147,6)="CEPNTR","GPINS",VLOOKUP(LEFT(A3147,6),'Code Library'!$A$3:$B$920,2,0))&amp;"_"&amp;RIGHT(A3147,3)</f>
        <v>#N/A</v>
      </c>
      <c r="I3147" s="66">
        <f t="shared" si="343"/>
        <v>0</v>
      </c>
      <c r="K3147" s="66" t="str">
        <f t="shared" si="344"/>
        <v/>
      </c>
      <c r="L3147" s="66" t="str">
        <f t="shared" si="345"/>
        <v/>
      </c>
      <c r="M3147" s="66" t="str">
        <f t="shared" si="346"/>
        <v/>
      </c>
      <c r="N3147" s="66" t="str">
        <f t="shared" si="347"/>
        <v/>
      </c>
      <c r="O3147" s="66" t="str">
        <f t="shared" si="348"/>
        <v/>
      </c>
      <c r="P3147" s="66" t="str">
        <f t="shared" si="349"/>
        <v/>
      </c>
    </row>
    <row r="3148" spans="8:16">
      <c r="H3148" s="66" t="e">
        <f>IF(LEFT(A3148,6)="CEPNTR","GPINS",VLOOKUP(LEFT(A3148,6),'Code Library'!$A$3:$B$920,2,0))&amp;"_"&amp;RIGHT(A3148,3)</f>
        <v>#N/A</v>
      </c>
      <c r="I3148" s="66">
        <f t="shared" si="343"/>
        <v>0</v>
      </c>
      <c r="K3148" s="66" t="str">
        <f t="shared" si="344"/>
        <v/>
      </c>
      <c r="L3148" s="66" t="str">
        <f t="shared" si="345"/>
        <v/>
      </c>
      <c r="M3148" s="66" t="str">
        <f t="shared" si="346"/>
        <v/>
      </c>
      <c r="N3148" s="66" t="str">
        <f t="shared" si="347"/>
        <v/>
      </c>
      <c r="O3148" s="66" t="str">
        <f t="shared" si="348"/>
        <v/>
      </c>
      <c r="P3148" s="66" t="str">
        <f t="shared" si="349"/>
        <v/>
      </c>
    </row>
    <row r="3149" spans="8:16">
      <c r="H3149" s="66" t="e">
        <f>IF(LEFT(A3149,6)="CEPNTR","GPINS",VLOOKUP(LEFT(A3149,6),'Code Library'!$A$3:$B$920,2,0))&amp;"_"&amp;RIGHT(A3149,3)</f>
        <v>#N/A</v>
      </c>
      <c r="I3149" s="66">
        <f t="shared" si="343"/>
        <v>0</v>
      </c>
      <c r="K3149" s="66" t="str">
        <f t="shared" si="344"/>
        <v/>
      </c>
      <c r="L3149" s="66" t="str">
        <f t="shared" si="345"/>
        <v/>
      </c>
      <c r="M3149" s="66" t="str">
        <f t="shared" si="346"/>
        <v/>
      </c>
      <c r="N3149" s="66" t="str">
        <f t="shared" si="347"/>
        <v/>
      </c>
      <c r="O3149" s="66" t="str">
        <f t="shared" si="348"/>
        <v/>
      </c>
      <c r="P3149" s="66" t="str">
        <f t="shared" si="349"/>
        <v/>
      </c>
    </row>
    <row r="3150" spans="8:16">
      <c r="H3150" s="66" t="e">
        <f>IF(LEFT(A3150,6)="CEPNTR","GPINS",VLOOKUP(LEFT(A3150,6),'Code Library'!$A$3:$B$920,2,0))&amp;"_"&amp;RIGHT(A3150,3)</f>
        <v>#N/A</v>
      </c>
      <c r="I3150" s="66">
        <f t="shared" si="343"/>
        <v>0</v>
      </c>
      <c r="K3150" s="66" t="str">
        <f t="shared" si="344"/>
        <v/>
      </c>
      <c r="L3150" s="66" t="str">
        <f t="shared" si="345"/>
        <v/>
      </c>
      <c r="M3150" s="66" t="str">
        <f t="shared" si="346"/>
        <v/>
      </c>
      <c r="N3150" s="66" t="str">
        <f t="shared" si="347"/>
        <v/>
      </c>
      <c r="O3150" s="66" t="str">
        <f t="shared" si="348"/>
        <v/>
      </c>
      <c r="P3150" s="66" t="str">
        <f t="shared" si="349"/>
        <v/>
      </c>
    </row>
    <row r="3151" spans="8:16">
      <c r="H3151" s="66" t="e">
        <f>IF(LEFT(A3151,6)="CEPNTR","GPINS",VLOOKUP(LEFT(A3151,6),'Code Library'!$A$3:$B$920,2,0))&amp;"_"&amp;RIGHT(A3151,3)</f>
        <v>#N/A</v>
      </c>
      <c r="I3151" s="66">
        <f t="shared" si="343"/>
        <v>0</v>
      </c>
      <c r="K3151" s="66" t="str">
        <f t="shared" si="344"/>
        <v/>
      </c>
      <c r="L3151" s="66" t="str">
        <f t="shared" si="345"/>
        <v/>
      </c>
      <c r="M3151" s="66" t="str">
        <f t="shared" si="346"/>
        <v/>
      </c>
      <c r="N3151" s="66" t="str">
        <f t="shared" si="347"/>
        <v/>
      </c>
      <c r="O3151" s="66" t="str">
        <f t="shared" si="348"/>
        <v/>
      </c>
      <c r="P3151" s="66" t="str">
        <f t="shared" si="349"/>
        <v/>
      </c>
    </row>
    <row r="3152" spans="8:16">
      <c r="H3152" s="66" t="e">
        <f>IF(LEFT(A3152,6)="CEPNTR","GPINS",VLOOKUP(LEFT(A3152,6),'Code Library'!$A$3:$B$920,2,0))&amp;"_"&amp;RIGHT(A3152,3)</f>
        <v>#N/A</v>
      </c>
      <c r="I3152" s="66">
        <f t="shared" si="343"/>
        <v>0</v>
      </c>
      <c r="K3152" s="66" t="str">
        <f t="shared" si="344"/>
        <v/>
      </c>
      <c r="L3152" s="66" t="str">
        <f t="shared" si="345"/>
        <v/>
      </c>
      <c r="M3152" s="66" t="str">
        <f t="shared" si="346"/>
        <v/>
      </c>
      <c r="N3152" s="66" t="str">
        <f t="shared" si="347"/>
        <v/>
      </c>
      <c r="O3152" s="66" t="str">
        <f t="shared" si="348"/>
        <v/>
      </c>
      <c r="P3152" s="66" t="str">
        <f t="shared" si="349"/>
        <v/>
      </c>
    </row>
    <row r="3153" spans="8:16">
      <c r="H3153" s="66" t="e">
        <f>IF(LEFT(A3153,6)="CEPNTR","GPINS",VLOOKUP(LEFT(A3153,6),'Code Library'!$A$3:$B$920,2,0))&amp;"_"&amp;RIGHT(A3153,3)</f>
        <v>#N/A</v>
      </c>
      <c r="I3153" s="66">
        <f t="shared" si="343"/>
        <v>0</v>
      </c>
      <c r="K3153" s="66" t="str">
        <f t="shared" si="344"/>
        <v/>
      </c>
      <c r="L3153" s="66" t="str">
        <f t="shared" si="345"/>
        <v/>
      </c>
      <c r="M3153" s="66" t="str">
        <f t="shared" si="346"/>
        <v/>
      </c>
      <c r="N3153" s="66" t="str">
        <f t="shared" si="347"/>
        <v/>
      </c>
      <c r="O3153" s="66" t="str">
        <f t="shared" si="348"/>
        <v/>
      </c>
      <c r="P3153" s="66" t="str">
        <f t="shared" si="349"/>
        <v/>
      </c>
    </row>
    <row r="3154" spans="8:16">
      <c r="H3154" s="66" t="e">
        <f>IF(LEFT(A3154,6)="CEPNTR","GPINS",VLOOKUP(LEFT(A3154,6),'Code Library'!$A$3:$B$920,2,0))&amp;"_"&amp;RIGHT(A3154,3)</f>
        <v>#N/A</v>
      </c>
      <c r="I3154" s="66">
        <f t="shared" si="343"/>
        <v>0</v>
      </c>
      <c r="K3154" s="66" t="str">
        <f t="shared" si="344"/>
        <v/>
      </c>
      <c r="L3154" s="66" t="str">
        <f t="shared" si="345"/>
        <v/>
      </c>
      <c r="M3154" s="66" t="str">
        <f t="shared" si="346"/>
        <v/>
      </c>
      <c r="N3154" s="66" t="str">
        <f t="shared" si="347"/>
        <v/>
      </c>
      <c r="O3154" s="66" t="str">
        <f t="shared" si="348"/>
        <v/>
      </c>
      <c r="P3154" s="66" t="str">
        <f t="shared" si="349"/>
        <v/>
      </c>
    </row>
    <row r="3155" spans="8:16">
      <c r="H3155" s="66" t="e">
        <f>IF(LEFT(A3155,6)="CEPNTR","GPINS",VLOOKUP(LEFT(A3155,6),'Code Library'!$A$3:$B$920,2,0))&amp;"_"&amp;RIGHT(A3155,3)</f>
        <v>#N/A</v>
      </c>
      <c r="I3155" s="66">
        <f t="shared" si="343"/>
        <v>0</v>
      </c>
      <c r="K3155" s="66" t="str">
        <f t="shared" si="344"/>
        <v/>
      </c>
      <c r="L3155" s="66" t="str">
        <f t="shared" si="345"/>
        <v/>
      </c>
      <c r="M3155" s="66" t="str">
        <f t="shared" si="346"/>
        <v/>
      </c>
      <c r="N3155" s="66" t="str">
        <f t="shared" si="347"/>
        <v/>
      </c>
      <c r="O3155" s="66" t="str">
        <f t="shared" si="348"/>
        <v/>
      </c>
      <c r="P3155" s="66" t="str">
        <f t="shared" si="349"/>
        <v/>
      </c>
    </row>
    <row r="3156" spans="8:16">
      <c r="H3156" s="66" t="e">
        <f>IF(LEFT(A3156,6)="CEPNTR","GPINS",VLOOKUP(LEFT(A3156,6),'Code Library'!$A$3:$B$920,2,0))&amp;"_"&amp;RIGHT(A3156,3)</f>
        <v>#N/A</v>
      </c>
      <c r="I3156" s="66">
        <f t="shared" si="343"/>
        <v>0</v>
      </c>
      <c r="K3156" s="66" t="str">
        <f t="shared" si="344"/>
        <v/>
      </c>
      <c r="L3156" s="66" t="str">
        <f t="shared" si="345"/>
        <v/>
      </c>
      <c r="M3156" s="66" t="str">
        <f t="shared" si="346"/>
        <v/>
      </c>
      <c r="N3156" s="66" t="str">
        <f t="shared" si="347"/>
        <v/>
      </c>
      <c r="O3156" s="66" t="str">
        <f t="shared" si="348"/>
        <v/>
      </c>
      <c r="P3156" s="66" t="str">
        <f t="shared" si="349"/>
        <v/>
      </c>
    </row>
    <row r="3157" spans="8:16">
      <c r="H3157" s="66" t="e">
        <f>IF(LEFT(A3157,6)="CEPNTR","GPINS",VLOOKUP(LEFT(A3157,6),'Code Library'!$A$3:$B$920,2,0))&amp;"_"&amp;RIGHT(A3157,3)</f>
        <v>#N/A</v>
      </c>
      <c r="I3157" s="66">
        <f t="shared" si="343"/>
        <v>0</v>
      </c>
      <c r="K3157" s="66" t="str">
        <f t="shared" si="344"/>
        <v/>
      </c>
      <c r="L3157" s="66" t="str">
        <f t="shared" si="345"/>
        <v/>
      </c>
      <c r="M3157" s="66" t="str">
        <f t="shared" si="346"/>
        <v/>
      </c>
      <c r="N3157" s="66" t="str">
        <f t="shared" si="347"/>
        <v/>
      </c>
      <c r="O3157" s="66" t="str">
        <f t="shared" si="348"/>
        <v/>
      </c>
      <c r="P3157" s="66" t="str">
        <f t="shared" si="349"/>
        <v/>
      </c>
    </row>
    <row r="3158" spans="8:16">
      <c r="H3158" s="66" t="e">
        <f>IF(LEFT(A3158,6)="CEPNTR","GPINS",VLOOKUP(LEFT(A3158,6),'Code Library'!$A$3:$B$920,2,0))&amp;"_"&amp;RIGHT(A3158,3)</f>
        <v>#N/A</v>
      </c>
      <c r="I3158" s="66">
        <f t="shared" si="343"/>
        <v>0</v>
      </c>
      <c r="K3158" s="66" t="str">
        <f t="shared" si="344"/>
        <v/>
      </c>
      <c r="L3158" s="66" t="str">
        <f t="shared" si="345"/>
        <v/>
      </c>
      <c r="M3158" s="66" t="str">
        <f t="shared" si="346"/>
        <v/>
      </c>
      <c r="N3158" s="66" t="str">
        <f t="shared" si="347"/>
        <v/>
      </c>
      <c r="O3158" s="66" t="str">
        <f t="shared" si="348"/>
        <v/>
      </c>
      <c r="P3158" s="66" t="str">
        <f t="shared" si="349"/>
        <v/>
      </c>
    </row>
    <row r="3159" spans="8:16">
      <c r="H3159" s="66" t="e">
        <f>IF(LEFT(A3159,6)="CEPNTR","GPINS",VLOOKUP(LEFT(A3159,6),'Code Library'!$A$3:$B$920,2,0))&amp;"_"&amp;RIGHT(A3159,3)</f>
        <v>#N/A</v>
      </c>
      <c r="I3159" s="66">
        <f t="shared" si="343"/>
        <v>0</v>
      </c>
      <c r="K3159" s="66" t="str">
        <f t="shared" si="344"/>
        <v/>
      </c>
      <c r="L3159" s="66" t="str">
        <f t="shared" si="345"/>
        <v/>
      </c>
      <c r="M3159" s="66" t="str">
        <f t="shared" si="346"/>
        <v/>
      </c>
      <c r="N3159" s="66" t="str">
        <f t="shared" si="347"/>
        <v/>
      </c>
      <c r="O3159" s="66" t="str">
        <f t="shared" si="348"/>
        <v/>
      </c>
      <c r="P3159" s="66" t="str">
        <f t="shared" si="349"/>
        <v/>
      </c>
    </row>
    <row r="3160" spans="8:16">
      <c r="H3160" s="66" t="e">
        <f>IF(LEFT(A3160,6)="CEPNTR","GPINS",VLOOKUP(LEFT(A3160,6),'Code Library'!$A$3:$B$920,2,0))&amp;"_"&amp;RIGHT(A3160,3)</f>
        <v>#N/A</v>
      </c>
      <c r="I3160" s="66">
        <f t="shared" si="343"/>
        <v>0</v>
      </c>
      <c r="K3160" s="66" t="str">
        <f t="shared" si="344"/>
        <v/>
      </c>
      <c r="L3160" s="66" t="str">
        <f t="shared" si="345"/>
        <v/>
      </c>
      <c r="M3160" s="66" t="str">
        <f t="shared" si="346"/>
        <v/>
      </c>
      <c r="N3160" s="66" t="str">
        <f t="shared" si="347"/>
        <v/>
      </c>
      <c r="O3160" s="66" t="str">
        <f t="shared" si="348"/>
        <v/>
      </c>
      <c r="P3160" s="66" t="str">
        <f t="shared" si="349"/>
        <v/>
      </c>
    </row>
    <row r="3161" spans="8:16">
      <c r="H3161" s="66" t="e">
        <f>IF(LEFT(A3161,6)="CEPNTR","GPINS",VLOOKUP(LEFT(A3161,6),'Code Library'!$A$3:$B$920,2,0))&amp;"_"&amp;RIGHT(A3161,3)</f>
        <v>#N/A</v>
      </c>
      <c r="I3161" s="66">
        <f t="shared" si="343"/>
        <v>0</v>
      </c>
      <c r="K3161" s="66" t="str">
        <f t="shared" si="344"/>
        <v/>
      </c>
      <c r="L3161" s="66" t="str">
        <f t="shared" si="345"/>
        <v/>
      </c>
      <c r="M3161" s="66" t="str">
        <f t="shared" si="346"/>
        <v/>
      </c>
      <c r="N3161" s="66" t="str">
        <f t="shared" si="347"/>
        <v/>
      </c>
      <c r="O3161" s="66" t="str">
        <f t="shared" si="348"/>
        <v/>
      </c>
      <c r="P3161" s="66" t="str">
        <f t="shared" si="349"/>
        <v/>
      </c>
    </row>
    <row r="3162" spans="8:16">
      <c r="H3162" s="66" t="e">
        <f>IF(LEFT(A3162,6)="CEPNTR","GPINS",VLOOKUP(LEFT(A3162,6),'Code Library'!$A$3:$B$920,2,0))&amp;"_"&amp;RIGHT(A3162,3)</f>
        <v>#N/A</v>
      </c>
      <c r="I3162" s="66">
        <f t="shared" si="343"/>
        <v>0</v>
      </c>
      <c r="K3162" s="66" t="str">
        <f t="shared" si="344"/>
        <v/>
      </c>
      <c r="L3162" s="66" t="str">
        <f t="shared" si="345"/>
        <v/>
      </c>
      <c r="M3162" s="66" t="str">
        <f t="shared" si="346"/>
        <v/>
      </c>
      <c r="N3162" s="66" t="str">
        <f t="shared" si="347"/>
        <v/>
      </c>
      <c r="O3162" s="66" t="str">
        <f t="shared" si="348"/>
        <v/>
      </c>
      <c r="P3162" s="66" t="str">
        <f t="shared" si="349"/>
        <v/>
      </c>
    </row>
    <row r="3163" spans="8:16">
      <c r="H3163" s="66" t="e">
        <f>IF(LEFT(A3163,6)="CEPNTR","GPINS",VLOOKUP(LEFT(A3163,6),'Code Library'!$A$3:$B$920,2,0))&amp;"_"&amp;RIGHT(A3163,3)</f>
        <v>#N/A</v>
      </c>
      <c r="I3163" s="66">
        <f t="shared" si="343"/>
        <v>0</v>
      </c>
      <c r="K3163" s="66" t="str">
        <f t="shared" si="344"/>
        <v/>
      </c>
      <c r="L3163" s="66" t="str">
        <f t="shared" si="345"/>
        <v/>
      </c>
      <c r="M3163" s="66" t="str">
        <f t="shared" si="346"/>
        <v/>
      </c>
      <c r="N3163" s="66" t="str">
        <f t="shared" si="347"/>
        <v/>
      </c>
      <c r="O3163" s="66" t="str">
        <f t="shared" si="348"/>
        <v/>
      </c>
      <c r="P3163" s="66" t="str">
        <f t="shared" si="349"/>
        <v/>
      </c>
    </row>
    <row r="3164" spans="8:16">
      <c r="H3164" s="66" t="e">
        <f>IF(LEFT(A3164,6)="CEPNTR","GPINS",VLOOKUP(LEFT(A3164,6),'Code Library'!$A$3:$B$920,2,0))&amp;"_"&amp;RIGHT(A3164,3)</f>
        <v>#N/A</v>
      </c>
      <c r="I3164" s="66">
        <f t="shared" si="343"/>
        <v>0</v>
      </c>
      <c r="K3164" s="66" t="str">
        <f t="shared" si="344"/>
        <v/>
      </c>
      <c r="L3164" s="66" t="str">
        <f t="shared" si="345"/>
        <v/>
      </c>
      <c r="M3164" s="66" t="str">
        <f t="shared" si="346"/>
        <v/>
      </c>
      <c r="N3164" s="66" t="str">
        <f t="shared" si="347"/>
        <v/>
      </c>
      <c r="O3164" s="66" t="str">
        <f t="shared" si="348"/>
        <v/>
      </c>
      <c r="P3164" s="66" t="str">
        <f t="shared" si="349"/>
        <v/>
      </c>
    </row>
    <row r="3165" spans="8:16">
      <c r="H3165" s="66" t="e">
        <f>IF(LEFT(A3165,6)="CEPNTR","GPINS",VLOOKUP(LEFT(A3165,6),'Code Library'!$A$3:$B$920,2,0))&amp;"_"&amp;RIGHT(A3165,3)</f>
        <v>#N/A</v>
      </c>
      <c r="I3165" s="66">
        <f t="shared" si="343"/>
        <v>0</v>
      </c>
      <c r="K3165" s="66" t="str">
        <f t="shared" si="344"/>
        <v/>
      </c>
      <c r="L3165" s="66" t="str">
        <f t="shared" si="345"/>
        <v/>
      </c>
      <c r="M3165" s="66" t="str">
        <f t="shared" si="346"/>
        <v/>
      </c>
      <c r="N3165" s="66" t="str">
        <f t="shared" si="347"/>
        <v/>
      </c>
      <c r="O3165" s="66" t="str">
        <f t="shared" si="348"/>
        <v/>
      </c>
      <c r="P3165" s="66" t="str">
        <f t="shared" si="349"/>
        <v/>
      </c>
    </row>
    <row r="3166" spans="8:16">
      <c r="H3166" s="66" t="e">
        <f>IF(LEFT(A3166,6)="CEPNTR","GPINS",VLOOKUP(LEFT(A3166,6),'Code Library'!$A$3:$B$920,2,0))&amp;"_"&amp;RIGHT(A3166,3)</f>
        <v>#N/A</v>
      </c>
      <c r="I3166" s="66">
        <f t="shared" si="343"/>
        <v>0</v>
      </c>
      <c r="K3166" s="66" t="str">
        <f t="shared" si="344"/>
        <v/>
      </c>
      <c r="L3166" s="66" t="str">
        <f t="shared" si="345"/>
        <v/>
      </c>
      <c r="M3166" s="66" t="str">
        <f t="shared" si="346"/>
        <v/>
      </c>
      <c r="N3166" s="66" t="str">
        <f t="shared" si="347"/>
        <v/>
      </c>
      <c r="O3166" s="66" t="str">
        <f t="shared" si="348"/>
        <v/>
      </c>
      <c r="P3166" s="66" t="str">
        <f t="shared" si="349"/>
        <v/>
      </c>
    </row>
    <row r="3167" spans="8:16">
      <c r="H3167" s="66" t="e">
        <f>IF(LEFT(A3167,6)="CEPNTR","GPINS",VLOOKUP(LEFT(A3167,6),'Code Library'!$A$3:$B$920,2,0))&amp;"_"&amp;RIGHT(A3167,3)</f>
        <v>#N/A</v>
      </c>
      <c r="I3167" s="66">
        <f t="shared" si="343"/>
        <v>0</v>
      </c>
      <c r="K3167" s="66" t="str">
        <f t="shared" si="344"/>
        <v/>
      </c>
      <c r="L3167" s="66" t="str">
        <f t="shared" si="345"/>
        <v/>
      </c>
      <c r="M3167" s="66" t="str">
        <f t="shared" si="346"/>
        <v/>
      </c>
      <c r="N3167" s="66" t="str">
        <f t="shared" si="347"/>
        <v/>
      </c>
      <c r="O3167" s="66" t="str">
        <f t="shared" si="348"/>
        <v/>
      </c>
      <c r="P3167" s="66" t="str">
        <f t="shared" si="349"/>
        <v/>
      </c>
    </row>
    <row r="3168" spans="8:16">
      <c r="H3168" s="66" t="e">
        <f>IF(LEFT(A3168,6)="CEPNTR","GPINS",VLOOKUP(LEFT(A3168,6),'Code Library'!$A$3:$B$920,2,0))&amp;"_"&amp;RIGHT(A3168,3)</f>
        <v>#N/A</v>
      </c>
      <c r="I3168" s="66">
        <f t="shared" si="343"/>
        <v>0</v>
      </c>
      <c r="K3168" s="66" t="str">
        <f t="shared" si="344"/>
        <v/>
      </c>
      <c r="L3168" s="66" t="str">
        <f t="shared" si="345"/>
        <v/>
      </c>
      <c r="M3168" s="66" t="str">
        <f t="shared" si="346"/>
        <v/>
      </c>
      <c r="N3168" s="66" t="str">
        <f t="shared" si="347"/>
        <v/>
      </c>
      <c r="O3168" s="66" t="str">
        <f t="shared" si="348"/>
        <v/>
      </c>
      <c r="P3168" s="66" t="str">
        <f t="shared" si="349"/>
        <v/>
      </c>
    </row>
    <row r="3169" spans="8:16">
      <c r="H3169" s="66" t="e">
        <f>IF(LEFT(A3169,6)="CEPNTR","GPINS",VLOOKUP(LEFT(A3169,6),'Code Library'!$A$3:$B$920,2,0))&amp;"_"&amp;RIGHT(A3169,3)</f>
        <v>#N/A</v>
      </c>
      <c r="I3169" s="66">
        <f t="shared" si="343"/>
        <v>0</v>
      </c>
      <c r="K3169" s="66" t="str">
        <f t="shared" si="344"/>
        <v/>
      </c>
      <c r="L3169" s="66" t="str">
        <f t="shared" si="345"/>
        <v/>
      </c>
      <c r="M3169" s="66" t="str">
        <f t="shared" si="346"/>
        <v/>
      </c>
      <c r="N3169" s="66" t="str">
        <f t="shared" si="347"/>
        <v/>
      </c>
      <c r="O3169" s="66" t="str">
        <f t="shared" si="348"/>
        <v/>
      </c>
      <c r="P3169" s="66" t="str">
        <f t="shared" si="349"/>
        <v/>
      </c>
    </row>
    <row r="3170" spans="8:16">
      <c r="H3170" s="66" t="e">
        <f>IF(LEFT(A3170,6)="CEPNTR","GPINS",VLOOKUP(LEFT(A3170,6),'Code Library'!$A$3:$B$920,2,0))&amp;"_"&amp;RIGHT(A3170,3)</f>
        <v>#N/A</v>
      </c>
      <c r="I3170" s="66">
        <f t="shared" si="343"/>
        <v>0</v>
      </c>
      <c r="K3170" s="66" t="str">
        <f t="shared" si="344"/>
        <v/>
      </c>
      <c r="L3170" s="66" t="str">
        <f t="shared" si="345"/>
        <v/>
      </c>
      <c r="M3170" s="66" t="str">
        <f t="shared" si="346"/>
        <v/>
      </c>
      <c r="N3170" s="66" t="str">
        <f t="shared" si="347"/>
        <v/>
      </c>
      <c r="O3170" s="66" t="str">
        <f t="shared" si="348"/>
        <v/>
      </c>
      <c r="P3170" s="66" t="str">
        <f t="shared" si="349"/>
        <v/>
      </c>
    </row>
    <row r="3171" spans="8:16">
      <c r="H3171" s="66" t="e">
        <f>IF(LEFT(A3171,6)="CEPNTR","GPINS",VLOOKUP(LEFT(A3171,6),'Code Library'!$A$3:$B$920,2,0))&amp;"_"&amp;RIGHT(A3171,3)</f>
        <v>#N/A</v>
      </c>
      <c r="I3171" s="66">
        <f t="shared" si="343"/>
        <v>0</v>
      </c>
      <c r="K3171" s="66" t="str">
        <f t="shared" si="344"/>
        <v/>
      </c>
      <c r="L3171" s="66" t="str">
        <f t="shared" si="345"/>
        <v/>
      </c>
      <c r="M3171" s="66" t="str">
        <f t="shared" si="346"/>
        <v/>
      </c>
      <c r="N3171" s="66" t="str">
        <f t="shared" si="347"/>
        <v/>
      </c>
      <c r="O3171" s="66" t="str">
        <f t="shared" si="348"/>
        <v/>
      </c>
      <c r="P3171" s="66" t="str">
        <f t="shared" si="349"/>
        <v/>
      </c>
    </row>
    <row r="3172" spans="8:16">
      <c r="H3172" s="66" t="e">
        <f>IF(LEFT(A3172,6)="CEPNTR","GPINS",VLOOKUP(LEFT(A3172,6),'Code Library'!$A$3:$B$920,2,0))&amp;"_"&amp;RIGHT(A3172,3)</f>
        <v>#N/A</v>
      </c>
      <c r="I3172" s="66">
        <f t="shared" si="343"/>
        <v>0</v>
      </c>
      <c r="K3172" s="66" t="str">
        <f t="shared" si="344"/>
        <v/>
      </c>
      <c r="L3172" s="66" t="str">
        <f t="shared" si="345"/>
        <v/>
      </c>
      <c r="M3172" s="66" t="str">
        <f t="shared" si="346"/>
        <v/>
      </c>
      <c r="N3172" s="66" t="str">
        <f t="shared" si="347"/>
        <v/>
      </c>
      <c r="O3172" s="66" t="str">
        <f t="shared" si="348"/>
        <v/>
      </c>
      <c r="P3172" s="66" t="str">
        <f t="shared" si="349"/>
        <v/>
      </c>
    </row>
    <row r="3173" spans="8:16">
      <c r="H3173" s="66" t="e">
        <f>IF(LEFT(A3173,6)="CEPNTR","GPINS",VLOOKUP(LEFT(A3173,6),'Code Library'!$A$3:$B$920,2,0))&amp;"_"&amp;RIGHT(A3173,3)</f>
        <v>#N/A</v>
      </c>
      <c r="I3173" s="66">
        <f t="shared" si="343"/>
        <v>0</v>
      </c>
      <c r="K3173" s="66" t="str">
        <f t="shared" si="344"/>
        <v/>
      </c>
      <c r="L3173" s="66" t="str">
        <f t="shared" si="345"/>
        <v/>
      </c>
      <c r="M3173" s="66" t="str">
        <f t="shared" si="346"/>
        <v/>
      </c>
      <c r="N3173" s="66" t="str">
        <f t="shared" si="347"/>
        <v/>
      </c>
      <c r="O3173" s="66" t="str">
        <f t="shared" si="348"/>
        <v/>
      </c>
      <c r="P3173" s="66" t="str">
        <f t="shared" si="349"/>
        <v/>
      </c>
    </row>
    <row r="3174" spans="8:16">
      <c r="H3174" s="66" t="e">
        <f>IF(LEFT(A3174,6)="CEPNTR","GPINS",VLOOKUP(LEFT(A3174,6),'Code Library'!$A$3:$B$920,2,0))&amp;"_"&amp;RIGHT(A3174,3)</f>
        <v>#N/A</v>
      </c>
      <c r="I3174" s="66">
        <f t="shared" si="343"/>
        <v>0</v>
      </c>
      <c r="K3174" s="66" t="str">
        <f t="shared" si="344"/>
        <v/>
      </c>
      <c r="L3174" s="66" t="str">
        <f t="shared" si="345"/>
        <v/>
      </c>
      <c r="M3174" s="66" t="str">
        <f t="shared" si="346"/>
        <v/>
      </c>
      <c r="N3174" s="66" t="str">
        <f t="shared" si="347"/>
        <v/>
      </c>
      <c r="O3174" s="66" t="str">
        <f t="shared" si="348"/>
        <v/>
      </c>
      <c r="P3174" s="66" t="str">
        <f t="shared" si="349"/>
        <v/>
      </c>
    </row>
    <row r="3175" spans="8:16">
      <c r="H3175" s="66" t="e">
        <f>IF(LEFT(A3175,6)="CEPNTR","GPINS",VLOOKUP(LEFT(A3175,6),'Code Library'!$A$3:$B$920,2,0))&amp;"_"&amp;RIGHT(A3175,3)</f>
        <v>#N/A</v>
      </c>
      <c r="I3175" s="66">
        <f t="shared" si="343"/>
        <v>0</v>
      </c>
      <c r="K3175" s="66" t="str">
        <f t="shared" si="344"/>
        <v/>
      </c>
      <c r="L3175" s="66" t="str">
        <f t="shared" si="345"/>
        <v/>
      </c>
      <c r="M3175" s="66" t="str">
        <f t="shared" si="346"/>
        <v/>
      </c>
      <c r="N3175" s="66" t="str">
        <f t="shared" si="347"/>
        <v/>
      </c>
      <c r="O3175" s="66" t="str">
        <f t="shared" si="348"/>
        <v/>
      </c>
      <c r="P3175" s="66" t="str">
        <f t="shared" si="349"/>
        <v/>
      </c>
    </row>
    <row r="3176" spans="8:16">
      <c r="H3176" s="66" t="e">
        <f>IF(LEFT(A3176,6)="CEPNTR","GPINS",VLOOKUP(LEFT(A3176,6),'Code Library'!$A$3:$B$920,2,0))&amp;"_"&amp;RIGHT(A3176,3)</f>
        <v>#N/A</v>
      </c>
      <c r="I3176" s="66">
        <f t="shared" si="343"/>
        <v>0</v>
      </c>
      <c r="K3176" s="66" t="str">
        <f t="shared" si="344"/>
        <v/>
      </c>
      <c r="L3176" s="66" t="str">
        <f t="shared" si="345"/>
        <v/>
      </c>
      <c r="M3176" s="66" t="str">
        <f t="shared" si="346"/>
        <v/>
      </c>
      <c r="N3176" s="66" t="str">
        <f t="shared" si="347"/>
        <v/>
      </c>
      <c r="O3176" s="66" t="str">
        <f t="shared" si="348"/>
        <v/>
      </c>
      <c r="P3176" s="66" t="str">
        <f t="shared" si="349"/>
        <v/>
      </c>
    </row>
    <row r="3177" spans="8:16">
      <c r="H3177" s="66" t="e">
        <f>IF(LEFT(A3177,6)="CEPNTR","GPINS",VLOOKUP(LEFT(A3177,6),'Code Library'!$A$3:$B$920,2,0))&amp;"_"&amp;RIGHT(A3177,3)</f>
        <v>#N/A</v>
      </c>
      <c r="I3177" s="66">
        <f t="shared" si="343"/>
        <v>0</v>
      </c>
      <c r="K3177" s="66" t="str">
        <f t="shared" si="344"/>
        <v/>
      </c>
      <c r="L3177" s="66" t="str">
        <f t="shared" si="345"/>
        <v/>
      </c>
      <c r="M3177" s="66" t="str">
        <f t="shared" si="346"/>
        <v/>
      </c>
      <c r="N3177" s="66" t="str">
        <f t="shared" si="347"/>
        <v/>
      </c>
      <c r="O3177" s="66" t="str">
        <f t="shared" si="348"/>
        <v/>
      </c>
      <c r="P3177" s="66" t="str">
        <f t="shared" si="349"/>
        <v/>
      </c>
    </row>
    <row r="3178" spans="8:16">
      <c r="H3178" s="66" t="e">
        <f>IF(LEFT(A3178,6)="CEPNTR","GPINS",VLOOKUP(LEFT(A3178,6),'Code Library'!$A$3:$B$920,2,0))&amp;"_"&amp;RIGHT(A3178,3)</f>
        <v>#N/A</v>
      </c>
      <c r="I3178" s="66">
        <f t="shared" si="343"/>
        <v>0</v>
      </c>
      <c r="K3178" s="66" t="str">
        <f t="shared" si="344"/>
        <v/>
      </c>
      <c r="L3178" s="66" t="str">
        <f t="shared" si="345"/>
        <v/>
      </c>
      <c r="M3178" s="66" t="str">
        <f t="shared" si="346"/>
        <v/>
      </c>
      <c r="N3178" s="66" t="str">
        <f t="shared" si="347"/>
        <v/>
      </c>
      <c r="O3178" s="66" t="str">
        <f t="shared" si="348"/>
        <v/>
      </c>
      <c r="P3178" s="66" t="str">
        <f t="shared" si="349"/>
        <v/>
      </c>
    </row>
    <row r="3179" spans="8:16">
      <c r="H3179" s="66" t="e">
        <f>IF(LEFT(A3179,6)="CEPNTR","GPINS",VLOOKUP(LEFT(A3179,6),'Code Library'!$A$3:$B$920,2,0))&amp;"_"&amp;RIGHT(A3179,3)</f>
        <v>#N/A</v>
      </c>
      <c r="I3179" s="66">
        <f t="shared" si="343"/>
        <v>0</v>
      </c>
      <c r="K3179" s="66" t="str">
        <f t="shared" si="344"/>
        <v/>
      </c>
      <c r="L3179" s="66" t="str">
        <f t="shared" si="345"/>
        <v/>
      </c>
      <c r="M3179" s="66" t="str">
        <f t="shared" si="346"/>
        <v/>
      </c>
      <c r="N3179" s="66" t="str">
        <f t="shared" si="347"/>
        <v/>
      </c>
      <c r="O3179" s="66" t="str">
        <f t="shared" si="348"/>
        <v/>
      </c>
      <c r="P3179" s="66" t="str">
        <f t="shared" si="349"/>
        <v/>
      </c>
    </row>
    <row r="3180" spans="8:16">
      <c r="H3180" s="66" t="e">
        <f>IF(LEFT(A3180,6)="CEPNTR","GPINS",VLOOKUP(LEFT(A3180,6),'Code Library'!$A$3:$B$920,2,0))&amp;"_"&amp;RIGHT(A3180,3)</f>
        <v>#N/A</v>
      </c>
      <c r="I3180" s="66">
        <f t="shared" si="343"/>
        <v>0</v>
      </c>
      <c r="K3180" s="66" t="str">
        <f t="shared" si="344"/>
        <v/>
      </c>
      <c r="L3180" s="66" t="str">
        <f t="shared" si="345"/>
        <v/>
      </c>
      <c r="M3180" s="66" t="str">
        <f t="shared" si="346"/>
        <v/>
      </c>
      <c r="N3180" s="66" t="str">
        <f t="shared" si="347"/>
        <v/>
      </c>
      <c r="O3180" s="66" t="str">
        <f t="shared" si="348"/>
        <v/>
      </c>
      <c r="P3180" s="66" t="str">
        <f t="shared" si="349"/>
        <v/>
      </c>
    </row>
    <row r="3181" spans="8:16">
      <c r="H3181" s="66" t="e">
        <f>IF(LEFT(A3181,6)="CEPNTR","GPINS",VLOOKUP(LEFT(A3181,6),'Code Library'!$A$3:$B$920,2,0))&amp;"_"&amp;RIGHT(A3181,3)</f>
        <v>#N/A</v>
      </c>
      <c r="I3181" s="66">
        <f t="shared" si="343"/>
        <v>0</v>
      </c>
      <c r="K3181" s="66" t="str">
        <f t="shared" si="344"/>
        <v/>
      </c>
      <c r="L3181" s="66" t="str">
        <f t="shared" si="345"/>
        <v/>
      </c>
      <c r="M3181" s="66" t="str">
        <f t="shared" si="346"/>
        <v/>
      </c>
      <c r="N3181" s="66" t="str">
        <f t="shared" si="347"/>
        <v/>
      </c>
      <c r="O3181" s="66" t="str">
        <f t="shared" si="348"/>
        <v/>
      </c>
      <c r="P3181" s="66" t="str">
        <f t="shared" si="349"/>
        <v/>
      </c>
    </row>
    <row r="3182" spans="8:16">
      <c r="H3182" s="66" t="e">
        <f>IF(LEFT(A3182,6)="CEPNTR","GPINS",VLOOKUP(LEFT(A3182,6),'Code Library'!$A$3:$B$920,2,0))&amp;"_"&amp;RIGHT(A3182,3)</f>
        <v>#N/A</v>
      </c>
      <c r="I3182" s="66">
        <f t="shared" si="343"/>
        <v>0</v>
      </c>
      <c r="K3182" s="66" t="str">
        <f t="shared" si="344"/>
        <v/>
      </c>
      <c r="L3182" s="66" t="str">
        <f t="shared" si="345"/>
        <v/>
      </c>
      <c r="M3182" s="66" t="str">
        <f t="shared" si="346"/>
        <v/>
      </c>
      <c r="N3182" s="66" t="str">
        <f t="shared" si="347"/>
        <v/>
      </c>
      <c r="O3182" s="66" t="str">
        <f t="shared" si="348"/>
        <v/>
      </c>
      <c r="P3182" s="66" t="str">
        <f t="shared" si="349"/>
        <v/>
      </c>
    </row>
    <row r="3183" spans="8:16">
      <c r="H3183" s="66" t="e">
        <f>IF(LEFT(A3183,6)="CEPNTR","GPINS",VLOOKUP(LEFT(A3183,6),'Code Library'!$A$3:$B$920,2,0))&amp;"_"&amp;RIGHT(A3183,3)</f>
        <v>#N/A</v>
      </c>
      <c r="I3183" s="66">
        <f t="shared" si="343"/>
        <v>0</v>
      </c>
      <c r="K3183" s="66" t="str">
        <f t="shared" si="344"/>
        <v/>
      </c>
      <c r="L3183" s="66" t="str">
        <f t="shared" si="345"/>
        <v/>
      </c>
      <c r="M3183" s="66" t="str">
        <f t="shared" si="346"/>
        <v/>
      </c>
      <c r="N3183" s="66" t="str">
        <f t="shared" si="347"/>
        <v/>
      </c>
      <c r="O3183" s="66" t="str">
        <f t="shared" si="348"/>
        <v/>
      </c>
      <c r="P3183" s="66" t="str">
        <f t="shared" si="349"/>
        <v/>
      </c>
    </row>
    <row r="3184" spans="8:16">
      <c r="H3184" s="66" t="e">
        <f>IF(LEFT(A3184,6)="CEPNTR","GPINS",VLOOKUP(LEFT(A3184,6),'Code Library'!$A$3:$B$920,2,0))&amp;"_"&amp;RIGHT(A3184,3)</f>
        <v>#N/A</v>
      </c>
      <c r="I3184" s="66">
        <f t="shared" si="343"/>
        <v>0</v>
      </c>
      <c r="K3184" s="66" t="str">
        <f t="shared" si="344"/>
        <v/>
      </c>
      <c r="L3184" s="66" t="str">
        <f t="shared" si="345"/>
        <v/>
      </c>
      <c r="M3184" s="66" t="str">
        <f t="shared" si="346"/>
        <v/>
      </c>
      <c r="N3184" s="66" t="str">
        <f t="shared" si="347"/>
        <v/>
      </c>
      <c r="O3184" s="66" t="str">
        <f t="shared" si="348"/>
        <v/>
      </c>
      <c r="P3184" s="66" t="str">
        <f t="shared" si="349"/>
        <v/>
      </c>
    </row>
    <row r="3185" spans="8:16">
      <c r="H3185" s="66" t="e">
        <f>IF(LEFT(A3185,6)="CEPNTR","GPINS",VLOOKUP(LEFT(A3185,6),'Code Library'!$A$3:$B$920,2,0))&amp;"_"&amp;RIGHT(A3185,3)</f>
        <v>#N/A</v>
      </c>
      <c r="I3185" s="66">
        <f t="shared" si="343"/>
        <v>0</v>
      </c>
      <c r="K3185" s="66" t="str">
        <f t="shared" si="344"/>
        <v/>
      </c>
      <c r="L3185" s="66" t="str">
        <f t="shared" si="345"/>
        <v/>
      </c>
      <c r="M3185" s="66" t="str">
        <f t="shared" si="346"/>
        <v/>
      </c>
      <c r="N3185" s="66" t="str">
        <f t="shared" si="347"/>
        <v/>
      </c>
      <c r="O3185" s="66" t="str">
        <f t="shared" si="348"/>
        <v/>
      </c>
      <c r="P3185" s="66" t="str">
        <f t="shared" si="349"/>
        <v/>
      </c>
    </row>
    <row r="3186" spans="8:16">
      <c r="H3186" s="66" t="e">
        <f>IF(LEFT(A3186,6)="CEPNTR","GPINS",VLOOKUP(LEFT(A3186,6),'Code Library'!$A$3:$B$920,2,0))&amp;"_"&amp;RIGHT(A3186,3)</f>
        <v>#N/A</v>
      </c>
      <c r="I3186" s="66">
        <f t="shared" si="343"/>
        <v>0</v>
      </c>
      <c r="K3186" s="66" t="str">
        <f t="shared" si="344"/>
        <v/>
      </c>
      <c r="L3186" s="66" t="str">
        <f t="shared" si="345"/>
        <v/>
      </c>
      <c r="M3186" s="66" t="str">
        <f t="shared" si="346"/>
        <v/>
      </c>
      <c r="N3186" s="66" t="str">
        <f t="shared" si="347"/>
        <v/>
      </c>
      <c r="O3186" s="66" t="str">
        <f t="shared" si="348"/>
        <v/>
      </c>
      <c r="P3186" s="66" t="str">
        <f t="shared" si="349"/>
        <v/>
      </c>
    </row>
    <row r="3187" spans="8:16">
      <c r="H3187" s="66" t="e">
        <f>IF(LEFT(A3187,6)="CEPNTR","GPINS",VLOOKUP(LEFT(A3187,6),'Code Library'!$A$3:$B$920,2,0))&amp;"_"&amp;RIGHT(A3187,3)</f>
        <v>#N/A</v>
      </c>
      <c r="I3187" s="66">
        <f t="shared" si="343"/>
        <v>0</v>
      </c>
      <c r="K3187" s="66" t="str">
        <f t="shared" si="344"/>
        <v/>
      </c>
      <c r="L3187" s="66" t="str">
        <f t="shared" si="345"/>
        <v/>
      </c>
      <c r="M3187" s="66" t="str">
        <f t="shared" si="346"/>
        <v/>
      </c>
      <c r="N3187" s="66" t="str">
        <f t="shared" si="347"/>
        <v/>
      </c>
      <c r="O3187" s="66" t="str">
        <f t="shared" si="348"/>
        <v/>
      </c>
      <c r="P3187" s="66" t="str">
        <f t="shared" si="349"/>
        <v/>
      </c>
    </row>
    <row r="3188" spans="8:16">
      <c r="H3188" s="66" t="e">
        <f>IF(LEFT(A3188,6)="CEPNTR","GPINS",VLOOKUP(LEFT(A3188,6),'Code Library'!$A$3:$B$920,2,0))&amp;"_"&amp;RIGHT(A3188,3)</f>
        <v>#N/A</v>
      </c>
      <c r="I3188" s="66">
        <f t="shared" si="343"/>
        <v>0</v>
      </c>
      <c r="K3188" s="66" t="str">
        <f t="shared" si="344"/>
        <v/>
      </c>
      <c r="L3188" s="66" t="str">
        <f t="shared" si="345"/>
        <v/>
      </c>
      <c r="M3188" s="66" t="str">
        <f t="shared" si="346"/>
        <v/>
      </c>
      <c r="N3188" s="66" t="str">
        <f t="shared" si="347"/>
        <v/>
      </c>
      <c r="O3188" s="66" t="str">
        <f t="shared" si="348"/>
        <v/>
      </c>
      <c r="P3188" s="66" t="str">
        <f t="shared" si="349"/>
        <v/>
      </c>
    </row>
    <row r="3189" spans="8:16">
      <c r="H3189" s="66" t="e">
        <f>IF(LEFT(A3189,6)="CEPNTR","GPINS",VLOOKUP(LEFT(A3189,6),'Code Library'!$A$3:$B$920,2,0))&amp;"_"&amp;RIGHT(A3189,3)</f>
        <v>#N/A</v>
      </c>
      <c r="I3189" s="66">
        <f t="shared" si="343"/>
        <v>0</v>
      </c>
      <c r="K3189" s="66" t="str">
        <f t="shared" si="344"/>
        <v/>
      </c>
      <c r="L3189" s="66" t="str">
        <f t="shared" si="345"/>
        <v/>
      </c>
      <c r="M3189" s="66" t="str">
        <f t="shared" si="346"/>
        <v/>
      </c>
      <c r="N3189" s="66" t="str">
        <f t="shared" si="347"/>
        <v/>
      </c>
      <c r="O3189" s="66" t="str">
        <f t="shared" si="348"/>
        <v/>
      </c>
      <c r="P3189" s="66" t="str">
        <f t="shared" si="349"/>
        <v/>
      </c>
    </row>
    <row r="3190" spans="8:16">
      <c r="H3190" s="66" t="e">
        <f>IF(LEFT(A3190,6)="CEPNTR","GPINS",VLOOKUP(LEFT(A3190,6),'Code Library'!$A$3:$B$920,2,0))&amp;"_"&amp;RIGHT(A3190,3)</f>
        <v>#N/A</v>
      </c>
      <c r="I3190" s="66">
        <f t="shared" si="343"/>
        <v>0</v>
      </c>
      <c r="K3190" s="66" t="str">
        <f t="shared" si="344"/>
        <v/>
      </c>
      <c r="L3190" s="66" t="str">
        <f t="shared" si="345"/>
        <v/>
      </c>
      <c r="M3190" s="66" t="str">
        <f t="shared" si="346"/>
        <v/>
      </c>
      <c r="N3190" s="66" t="str">
        <f t="shared" si="347"/>
        <v/>
      </c>
      <c r="O3190" s="66" t="str">
        <f t="shared" si="348"/>
        <v/>
      </c>
      <c r="P3190" s="66" t="str">
        <f t="shared" si="349"/>
        <v/>
      </c>
    </row>
    <row r="3191" spans="8:16">
      <c r="H3191" s="66" t="e">
        <f>IF(LEFT(A3191,6)="CEPNTR","GPINS",VLOOKUP(LEFT(A3191,6),'Code Library'!$A$3:$B$920,2,0))&amp;"_"&amp;RIGHT(A3191,3)</f>
        <v>#N/A</v>
      </c>
      <c r="I3191" s="66">
        <f t="shared" si="343"/>
        <v>0</v>
      </c>
      <c r="K3191" s="66" t="str">
        <f t="shared" si="344"/>
        <v/>
      </c>
      <c r="L3191" s="66" t="str">
        <f t="shared" si="345"/>
        <v/>
      </c>
      <c r="M3191" s="66" t="str">
        <f t="shared" si="346"/>
        <v/>
      </c>
      <c r="N3191" s="66" t="str">
        <f t="shared" si="347"/>
        <v/>
      </c>
      <c r="O3191" s="66" t="str">
        <f t="shared" si="348"/>
        <v/>
      </c>
      <c r="P3191" s="66" t="str">
        <f t="shared" si="349"/>
        <v/>
      </c>
    </row>
    <row r="3192" spans="8:16">
      <c r="H3192" s="66" t="e">
        <f>IF(LEFT(A3192,6)="CEPNTR","GPINS",VLOOKUP(LEFT(A3192,6),'Code Library'!$A$3:$B$920,2,0))&amp;"_"&amp;RIGHT(A3192,3)</f>
        <v>#N/A</v>
      </c>
      <c r="I3192" s="66">
        <f t="shared" si="343"/>
        <v>0</v>
      </c>
      <c r="K3192" s="66" t="str">
        <f t="shared" si="344"/>
        <v/>
      </c>
      <c r="L3192" s="66" t="str">
        <f t="shared" si="345"/>
        <v/>
      </c>
      <c r="M3192" s="66" t="str">
        <f t="shared" si="346"/>
        <v/>
      </c>
      <c r="N3192" s="66" t="str">
        <f t="shared" si="347"/>
        <v/>
      </c>
      <c r="O3192" s="66" t="str">
        <f t="shared" si="348"/>
        <v/>
      </c>
      <c r="P3192" s="66" t="str">
        <f t="shared" si="349"/>
        <v/>
      </c>
    </row>
    <row r="3193" spans="8:16">
      <c r="H3193" s="66" t="e">
        <f>IF(LEFT(A3193,6)="CEPNTR","GPINS",VLOOKUP(LEFT(A3193,6),'Code Library'!$A$3:$B$920,2,0))&amp;"_"&amp;RIGHT(A3193,3)</f>
        <v>#N/A</v>
      </c>
      <c r="I3193" s="66">
        <f t="shared" si="343"/>
        <v>0</v>
      </c>
      <c r="K3193" s="66" t="str">
        <f t="shared" si="344"/>
        <v/>
      </c>
      <c r="L3193" s="66" t="str">
        <f t="shared" si="345"/>
        <v/>
      </c>
      <c r="M3193" s="66" t="str">
        <f t="shared" si="346"/>
        <v/>
      </c>
      <c r="N3193" s="66" t="str">
        <f t="shared" si="347"/>
        <v/>
      </c>
      <c r="O3193" s="66" t="str">
        <f t="shared" si="348"/>
        <v/>
      </c>
      <c r="P3193" s="66" t="str">
        <f t="shared" si="349"/>
        <v/>
      </c>
    </row>
    <row r="3194" spans="8:16">
      <c r="H3194" s="66" t="e">
        <f>IF(LEFT(A3194,6)="CEPNTR","GPINS",VLOOKUP(LEFT(A3194,6),'Code Library'!$A$3:$B$920,2,0))&amp;"_"&amp;RIGHT(A3194,3)</f>
        <v>#N/A</v>
      </c>
      <c r="I3194" s="66">
        <f t="shared" si="343"/>
        <v>0</v>
      </c>
      <c r="K3194" s="66" t="str">
        <f t="shared" si="344"/>
        <v/>
      </c>
      <c r="L3194" s="66" t="str">
        <f t="shared" si="345"/>
        <v/>
      </c>
      <c r="M3194" s="66" t="str">
        <f t="shared" si="346"/>
        <v/>
      </c>
      <c r="N3194" s="66" t="str">
        <f t="shared" si="347"/>
        <v/>
      </c>
      <c r="O3194" s="66" t="str">
        <f t="shared" si="348"/>
        <v/>
      </c>
      <c r="P3194" s="66" t="str">
        <f t="shared" si="349"/>
        <v/>
      </c>
    </row>
    <row r="3195" spans="8:16">
      <c r="H3195" s="66" t="e">
        <f>IF(LEFT(A3195,6)="CEPNTR","GPINS",VLOOKUP(LEFT(A3195,6),'Code Library'!$A$3:$B$920,2,0))&amp;"_"&amp;RIGHT(A3195,3)</f>
        <v>#N/A</v>
      </c>
      <c r="I3195" s="66">
        <f t="shared" si="343"/>
        <v>0</v>
      </c>
      <c r="K3195" s="66" t="str">
        <f t="shared" si="344"/>
        <v/>
      </c>
      <c r="L3195" s="66" t="str">
        <f t="shared" si="345"/>
        <v/>
      </c>
      <c r="M3195" s="66" t="str">
        <f t="shared" si="346"/>
        <v/>
      </c>
      <c r="N3195" s="66" t="str">
        <f t="shared" si="347"/>
        <v/>
      </c>
      <c r="O3195" s="66" t="str">
        <f t="shared" si="348"/>
        <v/>
      </c>
      <c r="P3195" s="66" t="str">
        <f t="shared" si="349"/>
        <v/>
      </c>
    </row>
    <row r="3196" spans="8:16">
      <c r="H3196" s="66" t="e">
        <f>IF(LEFT(A3196,6)="CEPNTR","GPINS",VLOOKUP(LEFT(A3196,6),'Code Library'!$A$3:$B$920,2,0))&amp;"_"&amp;RIGHT(A3196,3)</f>
        <v>#N/A</v>
      </c>
      <c r="I3196" s="66">
        <f t="shared" si="343"/>
        <v>0</v>
      </c>
      <c r="K3196" s="66" t="str">
        <f t="shared" si="344"/>
        <v/>
      </c>
      <c r="L3196" s="66" t="str">
        <f t="shared" si="345"/>
        <v/>
      </c>
      <c r="M3196" s="66" t="str">
        <f t="shared" si="346"/>
        <v/>
      </c>
      <c r="N3196" s="66" t="str">
        <f t="shared" si="347"/>
        <v/>
      </c>
      <c r="O3196" s="66" t="str">
        <f t="shared" si="348"/>
        <v/>
      </c>
      <c r="P3196" s="66" t="str">
        <f t="shared" si="349"/>
        <v/>
      </c>
    </row>
    <row r="3197" spans="8:16">
      <c r="H3197" s="66" t="e">
        <f>IF(LEFT(A3197,6)="CEPNTR","GPINS",VLOOKUP(LEFT(A3197,6),'Code Library'!$A$3:$B$920,2,0))&amp;"_"&amp;RIGHT(A3197,3)</f>
        <v>#N/A</v>
      </c>
      <c r="I3197" s="66">
        <f t="shared" si="343"/>
        <v>0</v>
      </c>
      <c r="K3197" s="66" t="str">
        <f t="shared" si="344"/>
        <v/>
      </c>
      <c r="L3197" s="66" t="str">
        <f t="shared" si="345"/>
        <v/>
      </c>
      <c r="M3197" s="66" t="str">
        <f t="shared" si="346"/>
        <v/>
      </c>
      <c r="N3197" s="66" t="str">
        <f t="shared" si="347"/>
        <v/>
      </c>
      <c r="O3197" s="66" t="str">
        <f t="shared" si="348"/>
        <v/>
      </c>
      <c r="P3197" s="66" t="str">
        <f t="shared" si="349"/>
        <v/>
      </c>
    </row>
    <row r="3198" spans="8:16">
      <c r="H3198" s="66" t="e">
        <f>IF(LEFT(A3198,6)="CEPNTR","GPINS",VLOOKUP(LEFT(A3198,6),'Code Library'!$A$3:$B$920,2,0))&amp;"_"&amp;RIGHT(A3198,3)</f>
        <v>#N/A</v>
      </c>
      <c r="I3198" s="66">
        <f t="shared" si="343"/>
        <v>0</v>
      </c>
      <c r="K3198" s="66" t="str">
        <f t="shared" si="344"/>
        <v/>
      </c>
      <c r="L3198" s="66" t="str">
        <f t="shared" si="345"/>
        <v/>
      </c>
      <c r="M3198" s="66" t="str">
        <f t="shared" si="346"/>
        <v/>
      </c>
      <c r="N3198" s="66" t="str">
        <f t="shared" si="347"/>
        <v/>
      </c>
      <c r="O3198" s="66" t="str">
        <f t="shared" si="348"/>
        <v/>
      </c>
      <c r="P3198" s="66" t="str">
        <f t="shared" si="349"/>
        <v/>
      </c>
    </row>
    <row r="3199" spans="8:16">
      <c r="H3199" s="66" t="e">
        <f>IF(LEFT(A3199,6)="CEPNTR","GPINS",VLOOKUP(LEFT(A3199,6),'Code Library'!$A$3:$B$920,2,0))&amp;"_"&amp;RIGHT(A3199,3)</f>
        <v>#N/A</v>
      </c>
      <c r="I3199" s="66">
        <f t="shared" si="343"/>
        <v>0</v>
      </c>
      <c r="K3199" s="66" t="str">
        <f t="shared" si="344"/>
        <v/>
      </c>
      <c r="L3199" s="66" t="str">
        <f t="shared" si="345"/>
        <v/>
      </c>
      <c r="M3199" s="66" t="str">
        <f t="shared" si="346"/>
        <v/>
      </c>
      <c r="N3199" s="66" t="str">
        <f t="shared" si="347"/>
        <v/>
      </c>
      <c r="O3199" s="66" t="str">
        <f t="shared" si="348"/>
        <v/>
      </c>
      <c r="P3199" s="66" t="str">
        <f t="shared" si="349"/>
        <v/>
      </c>
    </row>
    <row r="3200" spans="8:16">
      <c r="H3200" s="66" t="e">
        <f>IF(LEFT(A3200,6)="CEPNTR","GPINS",VLOOKUP(LEFT(A3200,6),'Code Library'!$A$3:$B$920,2,0))&amp;"_"&amp;RIGHT(A3200,3)</f>
        <v>#N/A</v>
      </c>
      <c r="I3200" s="66">
        <f t="shared" si="343"/>
        <v>0</v>
      </c>
      <c r="K3200" s="66" t="str">
        <f t="shared" si="344"/>
        <v/>
      </c>
      <c r="L3200" s="66" t="str">
        <f t="shared" si="345"/>
        <v/>
      </c>
      <c r="M3200" s="66" t="str">
        <f t="shared" si="346"/>
        <v/>
      </c>
      <c r="N3200" s="66" t="str">
        <f t="shared" si="347"/>
        <v/>
      </c>
      <c r="O3200" s="66" t="str">
        <f t="shared" si="348"/>
        <v/>
      </c>
      <c r="P3200" s="66" t="str">
        <f t="shared" si="349"/>
        <v/>
      </c>
    </row>
    <row r="3201" spans="8:16">
      <c r="H3201" s="66" t="e">
        <f>IF(LEFT(A3201,6)="CEPNTR","GPINS",VLOOKUP(LEFT(A3201,6),'Code Library'!$A$3:$B$920,2,0))&amp;"_"&amp;RIGHT(A3201,3)</f>
        <v>#N/A</v>
      </c>
      <c r="I3201" s="66">
        <f t="shared" si="343"/>
        <v>0</v>
      </c>
      <c r="K3201" s="66" t="str">
        <f t="shared" si="344"/>
        <v/>
      </c>
      <c r="L3201" s="66" t="str">
        <f t="shared" si="345"/>
        <v/>
      </c>
      <c r="M3201" s="66" t="str">
        <f t="shared" si="346"/>
        <v/>
      </c>
      <c r="N3201" s="66" t="str">
        <f t="shared" si="347"/>
        <v/>
      </c>
      <c r="O3201" s="66" t="str">
        <f t="shared" si="348"/>
        <v/>
      </c>
      <c r="P3201" s="66" t="str">
        <f t="shared" si="349"/>
        <v/>
      </c>
    </row>
    <row r="3202" spans="8:16">
      <c r="H3202" s="66" t="e">
        <f>IF(LEFT(A3202,6)="CEPNTR","GPINS",VLOOKUP(LEFT(A3202,6),'Code Library'!$A$3:$B$920,2,0))&amp;"_"&amp;RIGHT(A3202,3)</f>
        <v>#N/A</v>
      </c>
      <c r="I3202" s="66">
        <f t="shared" si="343"/>
        <v>0</v>
      </c>
      <c r="K3202" s="66" t="str">
        <f t="shared" si="344"/>
        <v/>
      </c>
      <c r="L3202" s="66" t="str">
        <f t="shared" si="345"/>
        <v/>
      </c>
      <c r="M3202" s="66" t="str">
        <f t="shared" si="346"/>
        <v/>
      </c>
      <c r="N3202" s="66" t="str">
        <f t="shared" si="347"/>
        <v/>
      </c>
      <c r="O3202" s="66" t="str">
        <f t="shared" si="348"/>
        <v/>
      </c>
      <c r="P3202" s="66" t="str">
        <f t="shared" si="349"/>
        <v/>
      </c>
    </row>
    <row r="3203" spans="8:16">
      <c r="H3203" s="66" t="e">
        <f>IF(LEFT(A3203,6)="CEPNTR","GPINS",VLOOKUP(LEFT(A3203,6),'Code Library'!$A$3:$B$920,2,0))&amp;"_"&amp;RIGHT(A3203,3)</f>
        <v>#N/A</v>
      </c>
      <c r="I3203" s="66">
        <f t="shared" ref="I3203:I3266" si="350">A3203</f>
        <v>0</v>
      </c>
      <c r="K3203" s="66" t="str">
        <f t="shared" ref="K3203:K3266" si="351">RIGHT($B3203,2)</f>
        <v/>
      </c>
      <c r="L3203" s="66" t="str">
        <f t="shared" ref="L3203:L3266" si="352">LEFT(RIGHT($B3203,7),4)</f>
        <v/>
      </c>
      <c r="M3203" s="66" t="str">
        <f t="shared" ref="M3203:M3266" si="353">LEFT(RIGHT($B3203,10),2)</f>
        <v/>
      </c>
      <c r="N3203" s="66" t="str">
        <f t="shared" ref="N3203:N3266" si="354">LEFT(RIGHT($B3203,14),3)</f>
        <v/>
      </c>
      <c r="O3203" s="66" t="str">
        <f t="shared" ref="O3203:O3266" si="355">LEFT(RIGHT($B3203,16),1)</f>
        <v/>
      </c>
      <c r="P3203" s="66" t="str">
        <f t="shared" ref="P3203:P3266" si="356">LEFT(RIGHT($B3203,19),2)</f>
        <v/>
      </c>
    </row>
    <row r="3204" spans="8:16">
      <c r="H3204" s="66" t="e">
        <f>IF(LEFT(A3204,6)="CEPNTR","GPINS",VLOOKUP(LEFT(A3204,6),'Code Library'!$A$3:$B$920,2,0))&amp;"_"&amp;RIGHT(A3204,3)</f>
        <v>#N/A</v>
      </c>
      <c r="I3204" s="66">
        <f t="shared" si="350"/>
        <v>0</v>
      </c>
      <c r="K3204" s="66" t="str">
        <f t="shared" si="351"/>
        <v/>
      </c>
      <c r="L3204" s="66" t="str">
        <f t="shared" si="352"/>
        <v/>
      </c>
      <c r="M3204" s="66" t="str">
        <f t="shared" si="353"/>
        <v/>
      </c>
      <c r="N3204" s="66" t="str">
        <f t="shared" si="354"/>
        <v/>
      </c>
      <c r="O3204" s="66" t="str">
        <f t="shared" si="355"/>
        <v/>
      </c>
      <c r="P3204" s="66" t="str">
        <f t="shared" si="356"/>
        <v/>
      </c>
    </row>
    <row r="3205" spans="8:16">
      <c r="H3205" s="66" t="e">
        <f>IF(LEFT(A3205,6)="CEPNTR","GPINS",VLOOKUP(LEFT(A3205,6),'Code Library'!$A$3:$B$920,2,0))&amp;"_"&amp;RIGHT(A3205,3)</f>
        <v>#N/A</v>
      </c>
      <c r="I3205" s="66">
        <f t="shared" si="350"/>
        <v>0</v>
      </c>
      <c r="K3205" s="66" t="str">
        <f t="shared" si="351"/>
        <v/>
      </c>
      <c r="L3205" s="66" t="str">
        <f t="shared" si="352"/>
        <v/>
      </c>
      <c r="M3205" s="66" t="str">
        <f t="shared" si="353"/>
        <v/>
      </c>
      <c r="N3205" s="66" t="str">
        <f t="shared" si="354"/>
        <v/>
      </c>
      <c r="O3205" s="66" t="str">
        <f t="shared" si="355"/>
        <v/>
      </c>
      <c r="P3205" s="66" t="str">
        <f t="shared" si="356"/>
        <v/>
      </c>
    </row>
    <row r="3206" spans="8:16">
      <c r="H3206" s="66" t="e">
        <f>IF(LEFT(A3206,6)="CEPNTR","GPINS",VLOOKUP(LEFT(A3206,6),'Code Library'!$A$3:$B$920,2,0))&amp;"_"&amp;RIGHT(A3206,3)</f>
        <v>#N/A</v>
      </c>
      <c r="I3206" s="66">
        <f t="shared" si="350"/>
        <v>0</v>
      </c>
      <c r="K3206" s="66" t="str">
        <f t="shared" si="351"/>
        <v/>
      </c>
      <c r="L3206" s="66" t="str">
        <f t="shared" si="352"/>
        <v/>
      </c>
      <c r="M3206" s="66" t="str">
        <f t="shared" si="353"/>
        <v/>
      </c>
      <c r="N3206" s="66" t="str">
        <f t="shared" si="354"/>
        <v/>
      </c>
      <c r="O3206" s="66" t="str">
        <f t="shared" si="355"/>
        <v/>
      </c>
      <c r="P3206" s="66" t="str">
        <f t="shared" si="356"/>
        <v/>
      </c>
    </row>
    <row r="3207" spans="8:16">
      <c r="H3207" s="66" t="e">
        <f>IF(LEFT(A3207,6)="CEPNTR","GPINS",VLOOKUP(LEFT(A3207,6),'Code Library'!$A$3:$B$920,2,0))&amp;"_"&amp;RIGHT(A3207,3)</f>
        <v>#N/A</v>
      </c>
      <c r="I3207" s="66">
        <f t="shared" si="350"/>
        <v>0</v>
      </c>
      <c r="K3207" s="66" t="str">
        <f t="shared" si="351"/>
        <v/>
      </c>
      <c r="L3207" s="66" t="str">
        <f t="shared" si="352"/>
        <v/>
      </c>
      <c r="M3207" s="66" t="str">
        <f t="shared" si="353"/>
        <v/>
      </c>
      <c r="N3207" s="66" t="str">
        <f t="shared" si="354"/>
        <v/>
      </c>
      <c r="O3207" s="66" t="str">
        <f t="shared" si="355"/>
        <v/>
      </c>
      <c r="P3207" s="66" t="str">
        <f t="shared" si="356"/>
        <v/>
      </c>
    </row>
    <row r="3208" spans="8:16">
      <c r="H3208" s="66" t="e">
        <f>IF(LEFT(A3208,6)="CEPNTR","GPINS",VLOOKUP(LEFT(A3208,6),'Code Library'!$A$3:$B$920,2,0))&amp;"_"&amp;RIGHT(A3208,3)</f>
        <v>#N/A</v>
      </c>
      <c r="I3208" s="66">
        <f t="shared" si="350"/>
        <v>0</v>
      </c>
      <c r="K3208" s="66" t="str">
        <f t="shared" si="351"/>
        <v/>
      </c>
      <c r="L3208" s="66" t="str">
        <f t="shared" si="352"/>
        <v/>
      </c>
      <c r="M3208" s="66" t="str">
        <f t="shared" si="353"/>
        <v/>
      </c>
      <c r="N3208" s="66" t="str">
        <f t="shared" si="354"/>
        <v/>
      </c>
      <c r="O3208" s="66" t="str">
        <f t="shared" si="355"/>
        <v/>
      </c>
      <c r="P3208" s="66" t="str">
        <f t="shared" si="356"/>
        <v/>
      </c>
    </row>
    <row r="3209" spans="8:16">
      <c r="H3209" s="66" t="e">
        <f>IF(LEFT(A3209,6)="CEPNTR","GPINS",VLOOKUP(LEFT(A3209,6),'Code Library'!$A$3:$B$920,2,0))&amp;"_"&amp;RIGHT(A3209,3)</f>
        <v>#N/A</v>
      </c>
      <c r="I3209" s="66">
        <f t="shared" si="350"/>
        <v>0</v>
      </c>
      <c r="K3209" s="66" t="str">
        <f t="shared" si="351"/>
        <v/>
      </c>
      <c r="L3209" s="66" t="str">
        <f t="shared" si="352"/>
        <v/>
      </c>
      <c r="M3209" s="66" t="str">
        <f t="shared" si="353"/>
        <v/>
      </c>
      <c r="N3209" s="66" t="str">
        <f t="shared" si="354"/>
        <v/>
      </c>
      <c r="O3209" s="66" t="str">
        <f t="shared" si="355"/>
        <v/>
      </c>
      <c r="P3209" s="66" t="str">
        <f t="shared" si="356"/>
        <v/>
      </c>
    </row>
    <row r="3210" spans="8:16">
      <c r="H3210" s="66" t="e">
        <f>IF(LEFT(A3210,6)="CEPNTR","GPINS",VLOOKUP(LEFT(A3210,6),'Code Library'!$A$3:$B$920,2,0))&amp;"_"&amp;RIGHT(A3210,3)</f>
        <v>#N/A</v>
      </c>
      <c r="I3210" s="66">
        <f t="shared" si="350"/>
        <v>0</v>
      </c>
      <c r="K3210" s="66" t="str">
        <f t="shared" si="351"/>
        <v/>
      </c>
      <c r="L3210" s="66" t="str">
        <f t="shared" si="352"/>
        <v/>
      </c>
      <c r="M3210" s="66" t="str">
        <f t="shared" si="353"/>
        <v/>
      </c>
      <c r="N3210" s="66" t="str">
        <f t="shared" si="354"/>
        <v/>
      </c>
      <c r="O3210" s="66" t="str">
        <f t="shared" si="355"/>
        <v/>
      </c>
      <c r="P3210" s="66" t="str">
        <f t="shared" si="356"/>
        <v/>
      </c>
    </row>
    <row r="3211" spans="8:16">
      <c r="H3211" s="66" t="e">
        <f>IF(LEFT(A3211,6)="CEPNTR","GPINS",VLOOKUP(LEFT(A3211,6),'Code Library'!$A$3:$B$920,2,0))&amp;"_"&amp;RIGHT(A3211,3)</f>
        <v>#N/A</v>
      </c>
      <c r="I3211" s="66">
        <f t="shared" si="350"/>
        <v>0</v>
      </c>
      <c r="K3211" s="66" t="str">
        <f t="shared" si="351"/>
        <v/>
      </c>
      <c r="L3211" s="66" t="str">
        <f t="shared" si="352"/>
        <v/>
      </c>
      <c r="M3211" s="66" t="str">
        <f t="shared" si="353"/>
        <v/>
      </c>
      <c r="N3211" s="66" t="str">
        <f t="shared" si="354"/>
        <v/>
      </c>
      <c r="O3211" s="66" t="str">
        <f t="shared" si="355"/>
        <v/>
      </c>
      <c r="P3211" s="66" t="str">
        <f t="shared" si="356"/>
        <v/>
      </c>
    </row>
    <row r="3212" spans="8:16">
      <c r="H3212" s="66" t="e">
        <f>IF(LEFT(A3212,6)="CEPNTR","GPINS",VLOOKUP(LEFT(A3212,6),'Code Library'!$A$3:$B$920,2,0))&amp;"_"&amp;RIGHT(A3212,3)</f>
        <v>#N/A</v>
      </c>
      <c r="I3212" s="66">
        <f t="shared" si="350"/>
        <v>0</v>
      </c>
      <c r="K3212" s="66" t="str">
        <f t="shared" si="351"/>
        <v/>
      </c>
      <c r="L3212" s="66" t="str">
        <f t="shared" si="352"/>
        <v/>
      </c>
      <c r="M3212" s="66" t="str">
        <f t="shared" si="353"/>
        <v/>
      </c>
      <c r="N3212" s="66" t="str">
        <f t="shared" si="354"/>
        <v/>
      </c>
      <c r="O3212" s="66" t="str">
        <f t="shared" si="355"/>
        <v/>
      </c>
      <c r="P3212" s="66" t="str">
        <f t="shared" si="356"/>
        <v/>
      </c>
    </row>
    <row r="3213" spans="8:16">
      <c r="H3213" s="66" t="e">
        <f>IF(LEFT(A3213,6)="CEPNTR","GPINS",VLOOKUP(LEFT(A3213,6),'Code Library'!$A$3:$B$920,2,0))&amp;"_"&amp;RIGHT(A3213,3)</f>
        <v>#N/A</v>
      </c>
      <c r="I3213" s="66">
        <f t="shared" si="350"/>
        <v>0</v>
      </c>
      <c r="K3213" s="66" t="str">
        <f t="shared" si="351"/>
        <v/>
      </c>
      <c r="L3213" s="66" t="str">
        <f t="shared" si="352"/>
        <v/>
      </c>
      <c r="M3213" s="66" t="str">
        <f t="shared" si="353"/>
        <v/>
      </c>
      <c r="N3213" s="66" t="str">
        <f t="shared" si="354"/>
        <v/>
      </c>
      <c r="O3213" s="66" t="str">
        <f t="shared" si="355"/>
        <v/>
      </c>
      <c r="P3213" s="66" t="str">
        <f t="shared" si="356"/>
        <v/>
      </c>
    </row>
    <row r="3214" spans="8:16">
      <c r="H3214" s="66" t="e">
        <f>IF(LEFT(A3214,6)="CEPNTR","GPINS",VLOOKUP(LEFT(A3214,6),'Code Library'!$A$3:$B$920,2,0))&amp;"_"&amp;RIGHT(A3214,3)</f>
        <v>#N/A</v>
      </c>
      <c r="I3214" s="66">
        <f t="shared" si="350"/>
        <v>0</v>
      </c>
      <c r="K3214" s="66" t="str">
        <f t="shared" si="351"/>
        <v/>
      </c>
      <c r="L3214" s="66" t="str">
        <f t="shared" si="352"/>
        <v/>
      </c>
      <c r="M3214" s="66" t="str">
        <f t="shared" si="353"/>
        <v/>
      </c>
      <c r="N3214" s="66" t="str">
        <f t="shared" si="354"/>
        <v/>
      </c>
      <c r="O3214" s="66" t="str">
        <f t="shared" si="355"/>
        <v/>
      </c>
      <c r="P3214" s="66" t="str">
        <f t="shared" si="356"/>
        <v/>
      </c>
    </row>
    <row r="3215" spans="8:16">
      <c r="H3215" s="66" t="e">
        <f>IF(LEFT(A3215,6)="CEPNTR","GPINS",VLOOKUP(LEFT(A3215,6),'Code Library'!$A$3:$B$920,2,0))&amp;"_"&amp;RIGHT(A3215,3)</f>
        <v>#N/A</v>
      </c>
      <c r="I3215" s="66">
        <f t="shared" si="350"/>
        <v>0</v>
      </c>
      <c r="K3215" s="66" t="str">
        <f t="shared" si="351"/>
        <v/>
      </c>
      <c r="L3215" s="66" t="str">
        <f t="shared" si="352"/>
        <v/>
      </c>
      <c r="M3215" s="66" t="str">
        <f t="shared" si="353"/>
        <v/>
      </c>
      <c r="N3215" s="66" t="str">
        <f t="shared" si="354"/>
        <v/>
      </c>
      <c r="O3215" s="66" t="str">
        <f t="shared" si="355"/>
        <v/>
      </c>
      <c r="P3215" s="66" t="str">
        <f t="shared" si="356"/>
        <v/>
      </c>
    </row>
    <row r="3216" spans="8:16">
      <c r="H3216" s="66" t="e">
        <f>IF(LEFT(A3216,6)="CEPNTR","GPINS",VLOOKUP(LEFT(A3216,6),'Code Library'!$A$3:$B$920,2,0))&amp;"_"&amp;RIGHT(A3216,3)</f>
        <v>#N/A</v>
      </c>
      <c r="I3216" s="66">
        <f t="shared" si="350"/>
        <v>0</v>
      </c>
      <c r="K3216" s="66" t="str">
        <f t="shared" si="351"/>
        <v/>
      </c>
      <c r="L3216" s="66" t="str">
        <f t="shared" si="352"/>
        <v/>
      </c>
      <c r="M3216" s="66" t="str">
        <f t="shared" si="353"/>
        <v/>
      </c>
      <c r="N3216" s="66" t="str">
        <f t="shared" si="354"/>
        <v/>
      </c>
      <c r="O3216" s="66" t="str">
        <f t="shared" si="355"/>
        <v/>
      </c>
      <c r="P3216" s="66" t="str">
        <f t="shared" si="356"/>
        <v/>
      </c>
    </row>
    <row r="3217" spans="8:16">
      <c r="H3217" s="66" t="e">
        <f>IF(LEFT(A3217,6)="CEPNTR","GPINS",VLOOKUP(LEFT(A3217,6),'Code Library'!$A$3:$B$920,2,0))&amp;"_"&amp;RIGHT(A3217,3)</f>
        <v>#N/A</v>
      </c>
      <c r="I3217" s="66">
        <f t="shared" si="350"/>
        <v>0</v>
      </c>
      <c r="K3217" s="66" t="str">
        <f t="shared" si="351"/>
        <v/>
      </c>
      <c r="L3217" s="66" t="str">
        <f t="shared" si="352"/>
        <v/>
      </c>
      <c r="M3217" s="66" t="str">
        <f t="shared" si="353"/>
        <v/>
      </c>
      <c r="N3217" s="66" t="str">
        <f t="shared" si="354"/>
        <v/>
      </c>
      <c r="O3217" s="66" t="str">
        <f t="shared" si="355"/>
        <v/>
      </c>
      <c r="P3217" s="66" t="str">
        <f t="shared" si="356"/>
        <v/>
      </c>
    </row>
    <row r="3218" spans="8:16">
      <c r="H3218" s="66" t="e">
        <f>IF(LEFT(A3218,6)="CEPNTR","GPINS",VLOOKUP(LEFT(A3218,6),'Code Library'!$A$3:$B$920,2,0))&amp;"_"&amp;RIGHT(A3218,3)</f>
        <v>#N/A</v>
      </c>
      <c r="I3218" s="66">
        <f t="shared" si="350"/>
        <v>0</v>
      </c>
      <c r="K3218" s="66" t="str">
        <f t="shared" si="351"/>
        <v/>
      </c>
      <c r="L3218" s="66" t="str">
        <f t="shared" si="352"/>
        <v/>
      </c>
      <c r="M3218" s="66" t="str">
        <f t="shared" si="353"/>
        <v/>
      </c>
      <c r="N3218" s="66" t="str">
        <f t="shared" si="354"/>
        <v/>
      </c>
      <c r="O3218" s="66" t="str">
        <f t="shared" si="355"/>
        <v/>
      </c>
      <c r="P3218" s="66" t="str">
        <f t="shared" si="356"/>
        <v/>
      </c>
    </row>
    <row r="3219" spans="8:16">
      <c r="H3219" s="66" t="e">
        <f>IF(LEFT(A3219,6)="CEPNTR","GPINS",VLOOKUP(LEFT(A3219,6),'Code Library'!$A$3:$B$920,2,0))&amp;"_"&amp;RIGHT(A3219,3)</f>
        <v>#N/A</v>
      </c>
      <c r="I3219" s="66">
        <f t="shared" si="350"/>
        <v>0</v>
      </c>
      <c r="K3219" s="66" t="str">
        <f t="shared" si="351"/>
        <v/>
      </c>
      <c r="L3219" s="66" t="str">
        <f t="shared" si="352"/>
        <v/>
      </c>
      <c r="M3219" s="66" t="str">
        <f t="shared" si="353"/>
        <v/>
      </c>
      <c r="N3219" s="66" t="str">
        <f t="shared" si="354"/>
        <v/>
      </c>
      <c r="O3219" s="66" t="str">
        <f t="shared" si="355"/>
        <v/>
      </c>
      <c r="P3219" s="66" t="str">
        <f t="shared" si="356"/>
        <v/>
      </c>
    </row>
    <row r="3220" spans="8:16">
      <c r="H3220" s="66" t="e">
        <f>IF(LEFT(A3220,6)="CEPNTR","GPINS",VLOOKUP(LEFT(A3220,6),'Code Library'!$A$3:$B$920,2,0))&amp;"_"&amp;RIGHT(A3220,3)</f>
        <v>#N/A</v>
      </c>
      <c r="I3220" s="66">
        <f t="shared" si="350"/>
        <v>0</v>
      </c>
      <c r="K3220" s="66" t="str">
        <f t="shared" si="351"/>
        <v/>
      </c>
      <c r="L3220" s="66" t="str">
        <f t="shared" si="352"/>
        <v/>
      </c>
      <c r="M3220" s="66" t="str">
        <f t="shared" si="353"/>
        <v/>
      </c>
      <c r="N3220" s="66" t="str">
        <f t="shared" si="354"/>
        <v/>
      </c>
      <c r="O3220" s="66" t="str">
        <f t="shared" si="355"/>
        <v/>
      </c>
      <c r="P3220" s="66" t="str">
        <f t="shared" si="356"/>
        <v/>
      </c>
    </row>
    <row r="3221" spans="8:16">
      <c r="H3221" s="66" t="e">
        <f>IF(LEFT(A3221,6)="CEPNTR","GPINS",VLOOKUP(LEFT(A3221,6),'Code Library'!$A$3:$B$920,2,0))&amp;"_"&amp;RIGHT(A3221,3)</f>
        <v>#N/A</v>
      </c>
      <c r="I3221" s="66">
        <f t="shared" si="350"/>
        <v>0</v>
      </c>
      <c r="K3221" s="66" t="str">
        <f t="shared" si="351"/>
        <v/>
      </c>
      <c r="L3221" s="66" t="str">
        <f t="shared" si="352"/>
        <v/>
      </c>
      <c r="M3221" s="66" t="str">
        <f t="shared" si="353"/>
        <v/>
      </c>
      <c r="N3221" s="66" t="str">
        <f t="shared" si="354"/>
        <v/>
      </c>
      <c r="O3221" s="66" t="str">
        <f t="shared" si="355"/>
        <v/>
      </c>
      <c r="P3221" s="66" t="str">
        <f t="shared" si="356"/>
        <v/>
      </c>
    </row>
    <row r="3222" spans="8:16">
      <c r="H3222" s="66" t="e">
        <f>IF(LEFT(A3222,6)="CEPNTR","GPINS",VLOOKUP(LEFT(A3222,6),'Code Library'!$A$3:$B$920,2,0))&amp;"_"&amp;RIGHT(A3222,3)</f>
        <v>#N/A</v>
      </c>
      <c r="I3222" s="66">
        <f t="shared" si="350"/>
        <v>0</v>
      </c>
      <c r="K3222" s="66" t="str">
        <f t="shared" si="351"/>
        <v/>
      </c>
      <c r="L3222" s="66" t="str">
        <f t="shared" si="352"/>
        <v/>
      </c>
      <c r="M3222" s="66" t="str">
        <f t="shared" si="353"/>
        <v/>
      </c>
      <c r="N3222" s="66" t="str">
        <f t="shared" si="354"/>
        <v/>
      </c>
      <c r="O3222" s="66" t="str">
        <f t="shared" si="355"/>
        <v/>
      </c>
      <c r="P3222" s="66" t="str">
        <f t="shared" si="356"/>
        <v/>
      </c>
    </row>
    <row r="3223" spans="8:16">
      <c r="H3223" s="66" t="e">
        <f>IF(LEFT(A3223,6)="CEPNTR","GPINS",VLOOKUP(LEFT(A3223,6),'Code Library'!$A$3:$B$920,2,0))&amp;"_"&amp;RIGHT(A3223,3)</f>
        <v>#N/A</v>
      </c>
      <c r="I3223" s="66">
        <f t="shared" si="350"/>
        <v>0</v>
      </c>
      <c r="K3223" s="66" t="str">
        <f t="shared" si="351"/>
        <v/>
      </c>
      <c r="L3223" s="66" t="str">
        <f t="shared" si="352"/>
        <v/>
      </c>
      <c r="M3223" s="66" t="str">
        <f t="shared" si="353"/>
        <v/>
      </c>
      <c r="N3223" s="66" t="str">
        <f t="shared" si="354"/>
        <v/>
      </c>
      <c r="O3223" s="66" t="str">
        <f t="shared" si="355"/>
        <v/>
      </c>
      <c r="P3223" s="66" t="str">
        <f t="shared" si="356"/>
        <v/>
      </c>
    </row>
    <row r="3224" spans="8:16">
      <c r="H3224" s="66" t="e">
        <f>IF(LEFT(A3224,6)="CEPNTR","GPINS",VLOOKUP(LEFT(A3224,6),'Code Library'!$A$3:$B$920,2,0))&amp;"_"&amp;RIGHT(A3224,3)</f>
        <v>#N/A</v>
      </c>
      <c r="I3224" s="66">
        <f t="shared" si="350"/>
        <v>0</v>
      </c>
      <c r="K3224" s="66" t="str">
        <f t="shared" si="351"/>
        <v/>
      </c>
      <c r="L3224" s="66" t="str">
        <f t="shared" si="352"/>
        <v/>
      </c>
      <c r="M3224" s="66" t="str">
        <f t="shared" si="353"/>
        <v/>
      </c>
      <c r="N3224" s="66" t="str">
        <f t="shared" si="354"/>
        <v/>
      </c>
      <c r="O3224" s="66" t="str">
        <f t="shared" si="355"/>
        <v/>
      </c>
      <c r="P3224" s="66" t="str">
        <f t="shared" si="356"/>
        <v/>
      </c>
    </row>
    <row r="3225" spans="8:16">
      <c r="H3225" s="66" t="e">
        <f>IF(LEFT(A3225,6)="CEPNTR","GPINS",VLOOKUP(LEFT(A3225,6),'Code Library'!$A$3:$B$920,2,0))&amp;"_"&amp;RIGHT(A3225,3)</f>
        <v>#N/A</v>
      </c>
      <c r="I3225" s="66">
        <f t="shared" si="350"/>
        <v>0</v>
      </c>
      <c r="K3225" s="66" t="str">
        <f t="shared" si="351"/>
        <v/>
      </c>
      <c r="L3225" s="66" t="str">
        <f t="shared" si="352"/>
        <v/>
      </c>
      <c r="M3225" s="66" t="str">
        <f t="shared" si="353"/>
        <v/>
      </c>
      <c r="N3225" s="66" t="str">
        <f t="shared" si="354"/>
        <v/>
      </c>
      <c r="O3225" s="66" t="str">
        <f t="shared" si="355"/>
        <v/>
      </c>
      <c r="P3225" s="66" t="str">
        <f t="shared" si="356"/>
        <v/>
      </c>
    </row>
    <row r="3226" spans="8:16">
      <c r="H3226" s="66" t="e">
        <f>IF(LEFT(A3226,6)="CEPNTR","GPINS",VLOOKUP(LEFT(A3226,6),'Code Library'!$A$3:$B$920,2,0))&amp;"_"&amp;RIGHT(A3226,3)</f>
        <v>#N/A</v>
      </c>
      <c r="I3226" s="66">
        <f t="shared" si="350"/>
        <v>0</v>
      </c>
      <c r="K3226" s="66" t="str">
        <f t="shared" si="351"/>
        <v/>
      </c>
      <c r="L3226" s="66" t="str">
        <f t="shared" si="352"/>
        <v/>
      </c>
      <c r="M3226" s="66" t="str">
        <f t="shared" si="353"/>
        <v/>
      </c>
      <c r="N3226" s="66" t="str">
        <f t="shared" si="354"/>
        <v/>
      </c>
      <c r="O3226" s="66" t="str">
        <f t="shared" si="355"/>
        <v/>
      </c>
      <c r="P3226" s="66" t="str">
        <f t="shared" si="356"/>
        <v/>
      </c>
    </row>
    <row r="3227" spans="8:16">
      <c r="H3227" s="66" t="e">
        <f>IF(LEFT(A3227,6)="CEPNTR","GPINS",VLOOKUP(LEFT(A3227,6),'Code Library'!$A$3:$B$920,2,0))&amp;"_"&amp;RIGHT(A3227,3)</f>
        <v>#N/A</v>
      </c>
      <c r="I3227" s="66">
        <f t="shared" si="350"/>
        <v>0</v>
      </c>
      <c r="K3227" s="66" t="str">
        <f t="shared" si="351"/>
        <v/>
      </c>
      <c r="L3227" s="66" t="str">
        <f t="shared" si="352"/>
        <v/>
      </c>
      <c r="M3227" s="66" t="str">
        <f t="shared" si="353"/>
        <v/>
      </c>
      <c r="N3227" s="66" t="str">
        <f t="shared" si="354"/>
        <v/>
      </c>
      <c r="O3227" s="66" t="str">
        <f t="shared" si="355"/>
        <v/>
      </c>
      <c r="P3227" s="66" t="str">
        <f t="shared" si="356"/>
        <v/>
      </c>
    </row>
    <row r="3228" spans="8:16">
      <c r="H3228" s="66" t="e">
        <f>IF(LEFT(A3228,6)="CEPNTR","GPINS",VLOOKUP(LEFT(A3228,6),'Code Library'!$A$3:$B$920,2,0))&amp;"_"&amp;RIGHT(A3228,3)</f>
        <v>#N/A</v>
      </c>
      <c r="I3228" s="66">
        <f t="shared" si="350"/>
        <v>0</v>
      </c>
      <c r="K3228" s="66" t="str">
        <f t="shared" si="351"/>
        <v/>
      </c>
      <c r="L3228" s="66" t="str">
        <f t="shared" si="352"/>
        <v/>
      </c>
      <c r="M3228" s="66" t="str">
        <f t="shared" si="353"/>
        <v/>
      </c>
      <c r="N3228" s="66" t="str">
        <f t="shared" si="354"/>
        <v/>
      </c>
      <c r="O3228" s="66" t="str">
        <f t="shared" si="355"/>
        <v/>
      </c>
      <c r="P3228" s="66" t="str">
        <f t="shared" si="356"/>
        <v/>
      </c>
    </row>
    <row r="3229" spans="8:16">
      <c r="H3229" s="66" t="e">
        <f>IF(LEFT(A3229,6)="CEPNTR","GPINS",VLOOKUP(LEFT(A3229,6),'Code Library'!$A$3:$B$920,2,0))&amp;"_"&amp;RIGHT(A3229,3)</f>
        <v>#N/A</v>
      </c>
      <c r="I3229" s="66">
        <f t="shared" si="350"/>
        <v>0</v>
      </c>
      <c r="K3229" s="66" t="str">
        <f t="shared" si="351"/>
        <v/>
      </c>
      <c r="L3229" s="66" t="str">
        <f t="shared" si="352"/>
        <v/>
      </c>
      <c r="M3229" s="66" t="str">
        <f t="shared" si="353"/>
        <v/>
      </c>
      <c r="N3229" s="66" t="str">
        <f t="shared" si="354"/>
        <v/>
      </c>
      <c r="O3229" s="66" t="str">
        <f t="shared" si="355"/>
        <v/>
      </c>
      <c r="P3229" s="66" t="str">
        <f t="shared" si="356"/>
        <v/>
      </c>
    </row>
    <row r="3230" spans="8:16">
      <c r="H3230" s="66" t="e">
        <f>IF(LEFT(A3230,6)="CEPNTR","GPINS",VLOOKUP(LEFT(A3230,6),'Code Library'!$A$3:$B$920,2,0))&amp;"_"&amp;RIGHT(A3230,3)</f>
        <v>#N/A</v>
      </c>
      <c r="I3230" s="66">
        <f t="shared" si="350"/>
        <v>0</v>
      </c>
      <c r="K3230" s="66" t="str">
        <f t="shared" si="351"/>
        <v/>
      </c>
      <c r="L3230" s="66" t="str">
        <f t="shared" si="352"/>
        <v/>
      </c>
      <c r="M3230" s="66" t="str">
        <f t="shared" si="353"/>
        <v/>
      </c>
      <c r="N3230" s="66" t="str">
        <f t="shared" si="354"/>
        <v/>
      </c>
      <c r="O3230" s="66" t="str">
        <f t="shared" si="355"/>
        <v/>
      </c>
      <c r="P3230" s="66" t="str">
        <f t="shared" si="356"/>
        <v/>
      </c>
    </row>
    <row r="3231" spans="8:16">
      <c r="H3231" s="66" t="e">
        <f>IF(LEFT(A3231,6)="CEPNTR","GPINS",VLOOKUP(LEFT(A3231,6),'Code Library'!$A$3:$B$920,2,0))&amp;"_"&amp;RIGHT(A3231,3)</f>
        <v>#N/A</v>
      </c>
      <c r="I3231" s="66">
        <f t="shared" si="350"/>
        <v>0</v>
      </c>
      <c r="K3231" s="66" t="str">
        <f t="shared" si="351"/>
        <v/>
      </c>
      <c r="L3231" s="66" t="str">
        <f t="shared" si="352"/>
        <v/>
      </c>
      <c r="M3231" s="66" t="str">
        <f t="shared" si="353"/>
        <v/>
      </c>
      <c r="N3231" s="66" t="str">
        <f t="shared" si="354"/>
        <v/>
      </c>
      <c r="O3231" s="66" t="str">
        <f t="shared" si="355"/>
        <v/>
      </c>
      <c r="P3231" s="66" t="str">
        <f t="shared" si="356"/>
        <v/>
      </c>
    </row>
    <row r="3232" spans="8:16">
      <c r="H3232" s="66" t="e">
        <f>IF(LEFT(A3232,6)="CEPNTR","GPINS",VLOOKUP(LEFT(A3232,6),'Code Library'!$A$3:$B$920,2,0))&amp;"_"&amp;RIGHT(A3232,3)</f>
        <v>#N/A</v>
      </c>
      <c r="I3232" s="66">
        <f t="shared" si="350"/>
        <v>0</v>
      </c>
      <c r="K3232" s="66" t="str">
        <f t="shared" si="351"/>
        <v/>
      </c>
      <c r="L3232" s="66" t="str">
        <f t="shared" si="352"/>
        <v/>
      </c>
      <c r="M3232" s="66" t="str">
        <f t="shared" si="353"/>
        <v/>
      </c>
      <c r="N3232" s="66" t="str">
        <f t="shared" si="354"/>
        <v/>
      </c>
      <c r="O3232" s="66" t="str">
        <f t="shared" si="355"/>
        <v/>
      </c>
      <c r="P3232" s="66" t="str">
        <f t="shared" si="356"/>
        <v/>
      </c>
    </row>
    <row r="3233" spans="8:16">
      <c r="H3233" s="66" t="e">
        <f>IF(LEFT(A3233,6)="CEPNTR","GPINS",VLOOKUP(LEFT(A3233,6),'Code Library'!$A$3:$B$920,2,0))&amp;"_"&amp;RIGHT(A3233,3)</f>
        <v>#N/A</v>
      </c>
      <c r="I3233" s="66">
        <f t="shared" si="350"/>
        <v>0</v>
      </c>
      <c r="K3233" s="66" t="str">
        <f t="shared" si="351"/>
        <v/>
      </c>
      <c r="L3233" s="66" t="str">
        <f t="shared" si="352"/>
        <v/>
      </c>
      <c r="M3233" s="66" t="str">
        <f t="shared" si="353"/>
        <v/>
      </c>
      <c r="N3233" s="66" t="str">
        <f t="shared" si="354"/>
        <v/>
      </c>
      <c r="O3233" s="66" t="str">
        <f t="shared" si="355"/>
        <v/>
      </c>
      <c r="P3233" s="66" t="str">
        <f t="shared" si="356"/>
        <v/>
      </c>
    </row>
    <row r="3234" spans="8:16">
      <c r="H3234" s="66" t="e">
        <f>IF(LEFT(A3234,6)="CEPNTR","GPINS",VLOOKUP(LEFT(A3234,6),'Code Library'!$A$3:$B$920,2,0))&amp;"_"&amp;RIGHT(A3234,3)</f>
        <v>#N/A</v>
      </c>
      <c r="I3234" s="66">
        <f t="shared" si="350"/>
        <v>0</v>
      </c>
      <c r="K3234" s="66" t="str">
        <f t="shared" si="351"/>
        <v/>
      </c>
      <c r="L3234" s="66" t="str">
        <f t="shared" si="352"/>
        <v/>
      </c>
      <c r="M3234" s="66" t="str">
        <f t="shared" si="353"/>
        <v/>
      </c>
      <c r="N3234" s="66" t="str">
        <f t="shared" si="354"/>
        <v/>
      </c>
      <c r="O3234" s="66" t="str">
        <f t="shared" si="355"/>
        <v/>
      </c>
      <c r="P3234" s="66" t="str">
        <f t="shared" si="356"/>
        <v/>
      </c>
    </row>
    <row r="3235" spans="8:16">
      <c r="H3235" s="66" t="e">
        <f>IF(LEFT(A3235,6)="CEPNTR","GPINS",VLOOKUP(LEFT(A3235,6),'Code Library'!$A$3:$B$920,2,0))&amp;"_"&amp;RIGHT(A3235,3)</f>
        <v>#N/A</v>
      </c>
      <c r="I3235" s="66">
        <f t="shared" si="350"/>
        <v>0</v>
      </c>
      <c r="K3235" s="66" t="str">
        <f t="shared" si="351"/>
        <v/>
      </c>
      <c r="L3235" s="66" t="str">
        <f t="shared" si="352"/>
        <v/>
      </c>
      <c r="M3235" s="66" t="str">
        <f t="shared" si="353"/>
        <v/>
      </c>
      <c r="N3235" s="66" t="str">
        <f t="shared" si="354"/>
        <v/>
      </c>
      <c r="O3235" s="66" t="str">
        <f t="shared" si="355"/>
        <v/>
      </c>
      <c r="P3235" s="66" t="str">
        <f t="shared" si="356"/>
        <v/>
      </c>
    </row>
    <row r="3236" spans="8:16">
      <c r="H3236" s="66" t="e">
        <f>IF(LEFT(A3236,6)="CEPNTR","GPINS",VLOOKUP(LEFT(A3236,6),'Code Library'!$A$3:$B$920,2,0))&amp;"_"&amp;RIGHT(A3236,3)</f>
        <v>#N/A</v>
      </c>
      <c r="I3236" s="66">
        <f t="shared" si="350"/>
        <v>0</v>
      </c>
      <c r="K3236" s="66" t="str">
        <f t="shared" si="351"/>
        <v/>
      </c>
      <c r="L3236" s="66" t="str">
        <f t="shared" si="352"/>
        <v/>
      </c>
      <c r="M3236" s="66" t="str">
        <f t="shared" si="353"/>
        <v/>
      </c>
      <c r="N3236" s="66" t="str">
        <f t="shared" si="354"/>
        <v/>
      </c>
      <c r="O3236" s="66" t="str">
        <f t="shared" si="355"/>
        <v/>
      </c>
      <c r="P3236" s="66" t="str">
        <f t="shared" si="356"/>
        <v/>
      </c>
    </row>
    <row r="3237" spans="8:16">
      <c r="H3237" s="66" t="e">
        <f>IF(LEFT(A3237,6)="CEPNTR","GPINS",VLOOKUP(LEFT(A3237,6),'Code Library'!$A$3:$B$920,2,0))&amp;"_"&amp;RIGHT(A3237,3)</f>
        <v>#N/A</v>
      </c>
      <c r="I3237" s="66">
        <f t="shared" si="350"/>
        <v>0</v>
      </c>
      <c r="K3237" s="66" t="str">
        <f t="shared" si="351"/>
        <v/>
      </c>
      <c r="L3237" s="66" t="str">
        <f t="shared" si="352"/>
        <v/>
      </c>
      <c r="M3237" s="66" t="str">
        <f t="shared" si="353"/>
        <v/>
      </c>
      <c r="N3237" s="66" t="str">
        <f t="shared" si="354"/>
        <v/>
      </c>
      <c r="O3237" s="66" t="str">
        <f t="shared" si="355"/>
        <v/>
      </c>
      <c r="P3237" s="66" t="str">
        <f t="shared" si="356"/>
        <v/>
      </c>
    </row>
    <row r="3238" spans="8:16">
      <c r="H3238" s="66" t="e">
        <f>IF(LEFT(A3238,6)="CEPNTR","GPINS",VLOOKUP(LEFT(A3238,6),'Code Library'!$A$3:$B$920,2,0))&amp;"_"&amp;RIGHT(A3238,3)</f>
        <v>#N/A</v>
      </c>
      <c r="I3238" s="66">
        <f t="shared" si="350"/>
        <v>0</v>
      </c>
      <c r="K3238" s="66" t="str">
        <f t="shared" si="351"/>
        <v/>
      </c>
      <c r="L3238" s="66" t="str">
        <f t="shared" si="352"/>
        <v/>
      </c>
      <c r="M3238" s="66" t="str">
        <f t="shared" si="353"/>
        <v/>
      </c>
      <c r="N3238" s="66" t="str">
        <f t="shared" si="354"/>
        <v/>
      </c>
      <c r="O3238" s="66" t="str">
        <f t="shared" si="355"/>
        <v/>
      </c>
      <c r="P3238" s="66" t="str">
        <f t="shared" si="356"/>
        <v/>
      </c>
    </row>
    <row r="3239" spans="8:16">
      <c r="H3239" s="66" t="e">
        <f>IF(LEFT(A3239,6)="CEPNTR","GPINS",VLOOKUP(LEFT(A3239,6),'Code Library'!$A$3:$B$920,2,0))&amp;"_"&amp;RIGHT(A3239,3)</f>
        <v>#N/A</v>
      </c>
      <c r="I3239" s="66">
        <f t="shared" si="350"/>
        <v>0</v>
      </c>
      <c r="K3239" s="66" t="str">
        <f t="shared" si="351"/>
        <v/>
      </c>
      <c r="L3239" s="66" t="str">
        <f t="shared" si="352"/>
        <v/>
      </c>
      <c r="M3239" s="66" t="str">
        <f t="shared" si="353"/>
        <v/>
      </c>
      <c r="N3239" s="66" t="str">
        <f t="shared" si="354"/>
        <v/>
      </c>
      <c r="O3239" s="66" t="str">
        <f t="shared" si="355"/>
        <v/>
      </c>
      <c r="P3239" s="66" t="str">
        <f t="shared" si="356"/>
        <v/>
      </c>
    </row>
    <row r="3240" spans="8:16">
      <c r="H3240" s="66" t="e">
        <f>IF(LEFT(A3240,6)="CEPNTR","GPINS",VLOOKUP(LEFT(A3240,6),'Code Library'!$A$3:$B$920,2,0))&amp;"_"&amp;RIGHT(A3240,3)</f>
        <v>#N/A</v>
      </c>
      <c r="I3240" s="66">
        <f t="shared" si="350"/>
        <v>0</v>
      </c>
      <c r="K3240" s="66" t="str">
        <f t="shared" si="351"/>
        <v/>
      </c>
      <c r="L3240" s="66" t="str">
        <f t="shared" si="352"/>
        <v/>
      </c>
      <c r="M3240" s="66" t="str">
        <f t="shared" si="353"/>
        <v/>
      </c>
      <c r="N3240" s="66" t="str">
        <f t="shared" si="354"/>
        <v/>
      </c>
      <c r="O3240" s="66" t="str">
        <f t="shared" si="355"/>
        <v/>
      </c>
      <c r="P3240" s="66" t="str">
        <f t="shared" si="356"/>
        <v/>
      </c>
    </row>
    <row r="3241" spans="8:16">
      <c r="H3241" s="66" t="e">
        <f>IF(LEFT(A3241,6)="CEPNTR","GPINS",VLOOKUP(LEFT(A3241,6),'Code Library'!$A$3:$B$920,2,0))&amp;"_"&amp;RIGHT(A3241,3)</f>
        <v>#N/A</v>
      </c>
      <c r="I3241" s="66">
        <f t="shared" si="350"/>
        <v>0</v>
      </c>
      <c r="K3241" s="66" t="str">
        <f t="shared" si="351"/>
        <v/>
      </c>
      <c r="L3241" s="66" t="str">
        <f t="shared" si="352"/>
        <v/>
      </c>
      <c r="M3241" s="66" t="str">
        <f t="shared" si="353"/>
        <v/>
      </c>
      <c r="N3241" s="66" t="str">
        <f t="shared" si="354"/>
        <v/>
      </c>
      <c r="O3241" s="66" t="str">
        <f t="shared" si="355"/>
        <v/>
      </c>
      <c r="P3241" s="66" t="str">
        <f t="shared" si="356"/>
        <v/>
      </c>
    </row>
    <row r="3242" spans="8:16">
      <c r="H3242" s="66" t="e">
        <f>IF(LEFT(A3242,6)="CEPNTR","GPINS",VLOOKUP(LEFT(A3242,6),'Code Library'!$A$3:$B$920,2,0))&amp;"_"&amp;RIGHT(A3242,3)</f>
        <v>#N/A</v>
      </c>
      <c r="I3242" s="66">
        <f t="shared" si="350"/>
        <v>0</v>
      </c>
      <c r="K3242" s="66" t="str">
        <f t="shared" si="351"/>
        <v/>
      </c>
      <c r="L3242" s="66" t="str">
        <f t="shared" si="352"/>
        <v/>
      </c>
      <c r="M3242" s="66" t="str">
        <f t="shared" si="353"/>
        <v/>
      </c>
      <c r="N3242" s="66" t="str">
        <f t="shared" si="354"/>
        <v/>
      </c>
      <c r="O3242" s="66" t="str">
        <f t="shared" si="355"/>
        <v/>
      </c>
      <c r="P3242" s="66" t="str">
        <f t="shared" si="356"/>
        <v/>
      </c>
    </row>
    <row r="3243" spans="8:16">
      <c r="H3243" s="66" t="e">
        <f>IF(LEFT(A3243,6)="CEPNTR","GPINS",VLOOKUP(LEFT(A3243,6),'Code Library'!$A$3:$B$920,2,0))&amp;"_"&amp;RIGHT(A3243,3)</f>
        <v>#N/A</v>
      </c>
      <c r="I3243" s="66">
        <f t="shared" si="350"/>
        <v>0</v>
      </c>
      <c r="K3243" s="66" t="str">
        <f t="shared" si="351"/>
        <v/>
      </c>
      <c r="L3243" s="66" t="str">
        <f t="shared" si="352"/>
        <v/>
      </c>
      <c r="M3243" s="66" t="str">
        <f t="shared" si="353"/>
        <v/>
      </c>
      <c r="N3243" s="66" t="str">
        <f t="shared" si="354"/>
        <v/>
      </c>
      <c r="O3243" s="66" t="str">
        <f t="shared" si="355"/>
        <v/>
      </c>
      <c r="P3243" s="66" t="str">
        <f t="shared" si="356"/>
        <v/>
      </c>
    </row>
    <row r="3244" spans="8:16">
      <c r="H3244" s="66" t="e">
        <f>IF(LEFT(A3244,6)="CEPNTR","GPINS",VLOOKUP(LEFT(A3244,6),'Code Library'!$A$3:$B$920,2,0))&amp;"_"&amp;RIGHT(A3244,3)</f>
        <v>#N/A</v>
      </c>
      <c r="I3244" s="66">
        <f t="shared" si="350"/>
        <v>0</v>
      </c>
      <c r="K3244" s="66" t="str">
        <f t="shared" si="351"/>
        <v/>
      </c>
      <c r="L3244" s="66" t="str">
        <f t="shared" si="352"/>
        <v/>
      </c>
      <c r="M3244" s="66" t="str">
        <f t="shared" si="353"/>
        <v/>
      </c>
      <c r="N3244" s="66" t="str">
        <f t="shared" si="354"/>
        <v/>
      </c>
      <c r="O3244" s="66" t="str">
        <f t="shared" si="355"/>
        <v/>
      </c>
      <c r="P3244" s="66" t="str">
        <f t="shared" si="356"/>
        <v/>
      </c>
    </row>
    <row r="3245" spans="8:16">
      <c r="H3245" s="66" t="e">
        <f>IF(LEFT(A3245,6)="CEPNTR","GPINS",VLOOKUP(LEFT(A3245,6),'Code Library'!$A$3:$B$920,2,0))&amp;"_"&amp;RIGHT(A3245,3)</f>
        <v>#N/A</v>
      </c>
      <c r="I3245" s="66">
        <f t="shared" si="350"/>
        <v>0</v>
      </c>
      <c r="K3245" s="66" t="str">
        <f t="shared" si="351"/>
        <v/>
      </c>
      <c r="L3245" s="66" t="str">
        <f t="shared" si="352"/>
        <v/>
      </c>
      <c r="M3245" s="66" t="str">
        <f t="shared" si="353"/>
        <v/>
      </c>
      <c r="N3245" s="66" t="str">
        <f t="shared" si="354"/>
        <v/>
      </c>
      <c r="O3245" s="66" t="str">
        <f t="shared" si="355"/>
        <v/>
      </c>
      <c r="P3245" s="66" t="str">
        <f t="shared" si="356"/>
        <v/>
      </c>
    </row>
    <row r="3246" spans="8:16">
      <c r="H3246" s="66" t="e">
        <f>IF(LEFT(A3246,6)="CEPNTR","GPINS",VLOOKUP(LEFT(A3246,6),'Code Library'!$A$3:$B$920,2,0))&amp;"_"&amp;RIGHT(A3246,3)</f>
        <v>#N/A</v>
      </c>
      <c r="I3246" s="66">
        <f t="shared" si="350"/>
        <v>0</v>
      </c>
      <c r="K3246" s="66" t="str">
        <f t="shared" si="351"/>
        <v/>
      </c>
      <c r="L3246" s="66" t="str">
        <f t="shared" si="352"/>
        <v/>
      </c>
      <c r="M3246" s="66" t="str">
        <f t="shared" si="353"/>
        <v/>
      </c>
      <c r="N3246" s="66" t="str">
        <f t="shared" si="354"/>
        <v/>
      </c>
      <c r="O3246" s="66" t="str">
        <f t="shared" si="355"/>
        <v/>
      </c>
      <c r="P3246" s="66" t="str">
        <f t="shared" si="356"/>
        <v/>
      </c>
    </row>
    <row r="3247" spans="8:16">
      <c r="H3247" s="66" t="e">
        <f>IF(LEFT(A3247,6)="CEPNTR","GPINS",VLOOKUP(LEFT(A3247,6),'Code Library'!$A$3:$B$920,2,0))&amp;"_"&amp;RIGHT(A3247,3)</f>
        <v>#N/A</v>
      </c>
      <c r="I3247" s="66">
        <f t="shared" si="350"/>
        <v>0</v>
      </c>
      <c r="K3247" s="66" t="str">
        <f t="shared" si="351"/>
        <v/>
      </c>
      <c r="L3247" s="66" t="str">
        <f t="shared" si="352"/>
        <v/>
      </c>
      <c r="M3247" s="66" t="str">
        <f t="shared" si="353"/>
        <v/>
      </c>
      <c r="N3247" s="66" t="str">
        <f t="shared" si="354"/>
        <v/>
      </c>
      <c r="O3247" s="66" t="str">
        <f t="shared" si="355"/>
        <v/>
      </c>
      <c r="P3247" s="66" t="str">
        <f t="shared" si="356"/>
        <v/>
      </c>
    </row>
    <row r="3248" spans="8:16">
      <c r="H3248" s="66" t="e">
        <f>IF(LEFT(A3248,6)="CEPNTR","GPINS",VLOOKUP(LEFT(A3248,6),'Code Library'!$A$3:$B$920,2,0))&amp;"_"&amp;RIGHT(A3248,3)</f>
        <v>#N/A</v>
      </c>
      <c r="I3248" s="66">
        <f t="shared" si="350"/>
        <v>0</v>
      </c>
      <c r="K3248" s="66" t="str">
        <f t="shared" si="351"/>
        <v/>
      </c>
      <c r="L3248" s="66" t="str">
        <f t="shared" si="352"/>
        <v/>
      </c>
      <c r="M3248" s="66" t="str">
        <f t="shared" si="353"/>
        <v/>
      </c>
      <c r="N3248" s="66" t="str">
        <f t="shared" si="354"/>
        <v/>
      </c>
      <c r="O3248" s="66" t="str">
        <f t="shared" si="355"/>
        <v/>
      </c>
      <c r="P3248" s="66" t="str">
        <f t="shared" si="356"/>
        <v/>
      </c>
    </row>
    <row r="3249" spans="8:16">
      <c r="H3249" s="66" t="e">
        <f>IF(LEFT(A3249,6)="CEPNTR","GPINS",VLOOKUP(LEFT(A3249,6),'Code Library'!$A$3:$B$920,2,0))&amp;"_"&amp;RIGHT(A3249,3)</f>
        <v>#N/A</v>
      </c>
      <c r="I3249" s="66">
        <f t="shared" si="350"/>
        <v>0</v>
      </c>
      <c r="K3249" s="66" t="str">
        <f t="shared" si="351"/>
        <v/>
      </c>
      <c r="L3249" s="66" t="str">
        <f t="shared" si="352"/>
        <v/>
      </c>
      <c r="M3249" s="66" t="str">
        <f t="shared" si="353"/>
        <v/>
      </c>
      <c r="N3249" s="66" t="str">
        <f t="shared" si="354"/>
        <v/>
      </c>
      <c r="O3249" s="66" t="str">
        <f t="shared" si="355"/>
        <v/>
      </c>
      <c r="P3249" s="66" t="str">
        <f t="shared" si="356"/>
        <v/>
      </c>
    </row>
    <row r="3250" spans="8:16">
      <c r="H3250" s="66" t="e">
        <f>IF(LEFT(A3250,6)="CEPNTR","GPINS",VLOOKUP(LEFT(A3250,6),'Code Library'!$A$3:$B$920,2,0))&amp;"_"&amp;RIGHT(A3250,3)</f>
        <v>#N/A</v>
      </c>
      <c r="I3250" s="66">
        <f t="shared" si="350"/>
        <v>0</v>
      </c>
      <c r="K3250" s="66" t="str">
        <f t="shared" si="351"/>
        <v/>
      </c>
      <c r="L3250" s="66" t="str">
        <f t="shared" si="352"/>
        <v/>
      </c>
      <c r="M3250" s="66" t="str">
        <f t="shared" si="353"/>
        <v/>
      </c>
      <c r="N3250" s="66" t="str">
        <f t="shared" si="354"/>
        <v/>
      </c>
      <c r="O3250" s="66" t="str">
        <f t="shared" si="355"/>
        <v/>
      </c>
      <c r="P3250" s="66" t="str">
        <f t="shared" si="356"/>
        <v/>
      </c>
    </row>
    <row r="3251" spans="8:16">
      <c r="H3251" s="66" t="e">
        <f>IF(LEFT(A3251,6)="CEPNTR","GPINS",VLOOKUP(LEFT(A3251,6),'Code Library'!$A$3:$B$920,2,0))&amp;"_"&amp;RIGHT(A3251,3)</f>
        <v>#N/A</v>
      </c>
      <c r="I3251" s="66">
        <f t="shared" si="350"/>
        <v>0</v>
      </c>
      <c r="K3251" s="66" t="str">
        <f t="shared" si="351"/>
        <v/>
      </c>
      <c r="L3251" s="66" t="str">
        <f t="shared" si="352"/>
        <v/>
      </c>
      <c r="M3251" s="66" t="str">
        <f t="shared" si="353"/>
        <v/>
      </c>
      <c r="N3251" s="66" t="str">
        <f t="shared" si="354"/>
        <v/>
      </c>
      <c r="O3251" s="66" t="str">
        <f t="shared" si="355"/>
        <v/>
      </c>
      <c r="P3251" s="66" t="str">
        <f t="shared" si="356"/>
        <v/>
      </c>
    </row>
    <row r="3252" spans="8:16">
      <c r="H3252" s="66" t="e">
        <f>IF(LEFT(A3252,6)="CEPNTR","GPINS",VLOOKUP(LEFT(A3252,6),'Code Library'!$A$3:$B$920,2,0))&amp;"_"&amp;RIGHT(A3252,3)</f>
        <v>#N/A</v>
      </c>
      <c r="I3252" s="66">
        <f t="shared" si="350"/>
        <v>0</v>
      </c>
      <c r="K3252" s="66" t="str">
        <f t="shared" si="351"/>
        <v/>
      </c>
      <c r="L3252" s="66" t="str">
        <f t="shared" si="352"/>
        <v/>
      </c>
      <c r="M3252" s="66" t="str">
        <f t="shared" si="353"/>
        <v/>
      </c>
      <c r="N3252" s="66" t="str">
        <f t="shared" si="354"/>
        <v/>
      </c>
      <c r="O3252" s="66" t="str">
        <f t="shared" si="355"/>
        <v/>
      </c>
      <c r="P3252" s="66" t="str">
        <f t="shared" si="356"/>
        <v/>
      </c>
    </row>
    <row r="3253" spans="8:16">
      <c r="H3253" s="66" t="e">
        <f>IF(LEFT(A3253,6)="CEPNTR","GPINS",VLOOKUP(LEFT(A3253,6),'Code Library'!$A$3:$B$920,2,0))&amp;"_"&amp;RIGHT(A3253,3)</f>
        <v>#N/A</v>
      </c>
      <c r="I3253" s="66">
        <f t="shared" si="350"/>
        <v>0</v>
      </c>
      <c r="K3253" s="66" t="str">
        <f t="shared" si="351"/>
        <v/>
      </c>
      <c r="L3253" s="66" t="str">
        <f t="shared" si="352"/>
        <v/>
      </c>
      <c r="M3253" s="66" t="str">
        <f t="shared" si="353"/>
        <v/>
      </c>
      <c r="N3253" s="66" t="str">
        <f t="shared" si="354"/>
        <v/>
      </c>
      <c r="O3253" s="66" t="str">
        <f t="shared" si="355"/>
        <v/>
      </c>
      <c r="P3253" s="66" t="str">
        <f t="shared" si="356"/>
        <v/>
      </c>
    </row>
    <row r="3254" spans="8:16">
      <c r="H3254" s="66" t="e">
        <f>IF(LEFT(A3254,6)="CEPNTR","GPINS",VLOOKUP(LEFT(A3254,6),'Code Library'!$A$3:$B$920,2,0))&amp;"_"&amp;RIGHT(A3254,3)</f>
        <v>#N/A</v>
      </c>
      <c r="I3254" s="66">
        <f t="shared" si="350"/>
        <v>0</v>
      </c>
      <c r="K3254" s="66" t="str">
        <f t="shared" si="351"/>
        <v/>
      </c>
      <c r="L3254" s="66" t="str">
        <f t="shared" si="352"/>
        <v/>
      </c>
      <c r="M3254" s="66" t="str">
        <f t="shared" si="353"/>
        <v/>
      </c>
      <c r="N3254" s="66" t="str">
        <f t="shared" si="354"/>
        <v/>
      </c>
      <c r="O3254" s="66" t="str">
        <f t="shared" si="355"/>
        <v/>
      </c>
      <c r="P3254" s="66" t="str">
        <f t="shared" si="356"/>
        <v/>
      </c>
    </row>
    <row r="3255" spans="8:16">
      <c r="H3255" s="66" t="e">
        <f>IF(LEFT(A3255,6)="CEPNTR","GPINS",VLOOKUP(LEFT(A3255,6),'Code Library'!$A$3:$B$920,2,0))&amp;"_"&amp;RIGHT(A3255,3)</f>
        <v>#N/A</v>
      </c>
      <c r="I3255" s="66">
        <f t="shared" si="350"/>
        <v>0</v>
      </c>
      <c r="K3255" s="66" t="str">
        <f t="shared" si="351"/>
        <v/>
      </c>
      <c r="L3255" s="66" t="str">
        <f t="shared" si="352"/>
        <v/>
      </c>
      <c r="M3255" s="66" t="str">
        <f t="shared" si="353"/>
        <v/>
      </c>
      <c r="N3255" s="66" t="str">
        <f t="shared" si="354"/>
        <v/>
      </c>
      <c r="O3255" s="66" t="str">
        <f t="shared" si="355"/>
        <v/>
      </c>
      <c r="P3255" s="66" t="str">
        <f t="shared" si="356"/>
        <v/>
      </c>
    </row>
    <row r="3256" spans="8:16">
      <c r="H3256" s="66" t="e">
        <f>IF(LEFT(A3256,6)="CEPNTR","GPINS",VLOOKUP(LEFT(A3256,6),'Code Library'!$A$3:$B$920,2,0))&amp;"_"&amp;RIGHT(A3256,3)</f>
        <v>#N/A</v>
      </c>
      <c r="I3256" s="66">
        <f t="shared" si="350"/>
        <v>0</v>
      </c>
      <c r="K3256" s="66" t="str">
        <f t="shared" si="351"/>
        <v/>
      </c>
      <c r="L3256" s="66" t="str">
        <f t="shared" si="352"/>
        <v/>
      </c>
      <c r="M3256" s="66" t="str">
        <f t="shared" si="353"/>
        <v/>
      </c>
      <c r="N3256" s="66" t="str">
        <f t="shared" si="354"/>
        <v/>
      </c>
      <c r="O3256" s="66" t="str">
        <f t="shared" si="355"/>
        <v/>
      </c>
      <c r="P3256" s="66" t="str">
        <f t="shared" si="356"/>
        <v/>
      </c>
    </row>
    <row r="3257" spans="8:16">
      <c r="H3257" s="66" t="e">
        <f>IF(LEFT(A3257,6)="CEPNTR","GPINS",VLOOKUP(LEFT(A3257,6),'Code Library'!$A$3:$B$920,2,0))&amp;"_"&amp;RIGHT(A3257,3)</f>
        <v>#N/A</v>
      </c>
      <c r="I3257" s="66">
        <f t="shared" si="350"/>
        <v>0</v>
      </c>
      <c r="K3257" s="66" t="str">
        <f t="shared" si="351"/>
        <v/>
      </c>
      <c r="L3257" s="66" t="str">
        <f t="shared" si="352"/>
        <v/>
      </c>
      <c r="M3257" s="66" t="str">
        <f t="shared" si="353"/>
        <v/>
      </c>
      <c r="N3257" s="66" t="str">
        <f t="shared" si="354"/>
        <v/>
      </c>
      <c r="O3257" s="66" t="str">
        <f t="shared" si="355"/>
        <v/>
      </c>
      <c r="P3257" s="66" t="str">
        <f t="shared" si="356"/>
        <v/>
      </c>
    </row>
    <row r="3258" spans="8:16">
      <c r="H3258" s="66" t="e">
        <f>IF(LEFT(A3258,6)="CEPNTR","GPINS",VLOOKUP(LEFT(A3258,6),'Code Library'!$A$3:$B$920,2,0))&amp;"_"&amp;RIGHT(A3258,3)</f>
        <v>#N/A</v>
      </c>
      <c r="I3258" s="66">
        <f t="shared" si="350"/>
        <v>0</v>
      </c>
      <c r="K3258" s="66" t="str">
        <f t="shared" si="351"/>
        <v/>
      </c>
      <c r="L3258" s="66" t="str">
        <f t="shared" si="352"/>
        <v/>
      </c>
      <c r="M3258" s="66" t="str">
        <f t="shared" si="353"/>
        <v/>
      </c>
      <c r="N3258" s="66" t="str">
        <f t="shared" si="354"/>
        <v/>
      </c>
      <c r="O3258" s="66" t="str">
        <f t="shared" si="355"/>
        <v/>
      </c>
      <c r="P3258" s="66" t="str">
        <f t="shared" si="356"/>
        <v/>
      </c>
    </row>
    <row r="3259" spans="8:16">
      <c r="H3259" s="66" t="e">
        <f>IF(LEFT(A3259,6)="CEPNTR","GPINS",VLOOKUP(LEFT(A3259,6),'Code Library'!$A$3:$B$920,2,0))&amp;"_"&amp;RIGHT(A3259,3)</f>
        <v>#N/A</v>
      </c>
      <c r="I3259" s="66">
        <f t="shared" si="350"/>
        <v>0</v>
      </c>
      <c r="K3259" s="66" t="str">
        <f t="shared" si="351"/>
        <v/>
      </c>
      <c r="L3259" s="66" t="str">
        <f t="shared" si="352"/>
        <v/>
      </c>
      <c r="M3259" s="66" t="str">
        <f t="shared" si="353"/>
        <v/>
      </c>
      <c r="N3259" s="66" t="str">
        <f t="shared" si="354"/>
        <v/>
      </c>
      <c r="O3259" s="66" t="str">
        <f t="shared" si="355"/>
        <v/>
      </c>
      <c r="P3259" s="66" t="str">
        <f t="shared" si="356"/>
        <v/>
      </c>
    </row>
    <row r="3260" spans="8:16">
      <c r="H3260" s="66" t="e">
        <f>IF(LEFT(A3260,6)="CEPNTR","GPINS",VLOOKUP(LEFT(A3260,6),'Code Library'!$A$3:$B$920,2,0))&amp;"_"&amp;RIGHT(A3260,3)</f>
        <v>#N/A</v>
      </c>
      <c r="I3260" s="66">
        <f t="shared" si="350"/>
        <v>0</v>
      </c>
      <c r="K3260" s="66" t="str">
        <f t="shared" si="351"/>
        <v/>
      </c>
      <c r="L3260" s="66" t="str">
        <f t="shared" si="352"/>
        <v/>
      </c>
      <c r="M3260" s="66" t="str">
        <f t="shared" si="353"/>
        <v/>
      </c>
      <c r="N3260" s="66" t="str">
        <f t="shared" si="354"/>
        <v/>
      </c>
      <c r="O3260" s="66" t="str">
        <f t="shared" si="355"/>
        <v/>
      </c>
      <c r="P3260" s="66" t="str">
        <f t="shared" si="356"/>
        <v/>
      </c>
    </row>
    <row r="3261" spans="8:16">
      <c r="H3261" s="66" t="e">
        <f>IF(LEFT(A3261,6)="CEPNTR","GPINS",VLOOKUP(LEFT(A3261,6),'Code Library'!$A$3:$B$920,2,0))&amp;"_"&amp;RIGHT(A3261,3)</f>
        <v>#N/A</v>
      </c>
      <c r="I3261" s="66">
        <f t="shared" si="350"/>
        <v>0</v>
      </c>
      <c r="K3261" s="66" t="str">
        <f t="shared" si="351"/>
        <v/>
      </c>
      <c r="L3261" s="66" t="str">
        <f t="shared" si="352"/>
        <v/>
      </c>
      <c r="M3261" s="66" t="str">
        <f t="shared" si="353"/>
        <v/>
      </c>
      <c r="N3261" s="66" t="str">
        <f t="shared" si="354"/>
        <v/>
      </c>
      <c r="O3261" s="66" t="str">
        <f t="shared" si="355"/>
        <v/>
      </c>
      <c r="P3261" s="66" t="str">
        <f t="shared" si="356"/>
        <v/>
      </c>
    </row>
    <row r="3262" spans="8:16">
      <c r="H3262" s="66" t="e">
        <f>IF(LEFT(A3262,6)="CEPNTR","GPINS",VLOOKUP(LEFT(A3262,6),'Code Library'!$A$3:$B$920,2,0))&amp;"_"&amp;RIGHT(A3262,3)</f>
        <v>#N/A</v>
      </c>
      <c r="I3262" s="66">
        <f t="shared" si="350"/>
        <v>0</v>
      </c>
      <c r="K3262" s="66" t="str">
        <f t="shared" si="351"/>
        <v/>
      </c>
      <c r="L3262" s="66" t="str">
        <f t="shared" si="352"/>
        <v/>
      </c>
      <c r="M3262" s="66" t="str">
        <f t="shared" si="353"/>
        <v/>
      </c>
      <c r="N3262" s="66" t="str">
        <f t="shared" si="354"/>
        <v/>
      </c>
      <c r="O3262" s="66" t="str">
        <f t="shared" si="355"/>
        <v/>
      </c>
      <c r="P3262" s="66" t="str">
        <f t="shared" si="356"/>
        <v/>
      </c>
    </row>
    <row r="3263" spans="8:16">
      <c r="H3263" s="66" t="e">
        <f>IF(LEFT(A3263,6)="CEPNTR","GPINS",VLOOKUP(LEFT(A3263,6),'Code Library'!$A$3:$B$920,2,0))&amp;"_"&amp;RIGHT(A3263,3)</f>
        <v>#N/A</v>
      </c>
      <c r="I3263" s="66">
        <f t="shared" si="350"/>
        <v>0</v>
      </c>
      <c r="K3263" s="66" t="str">
        <f t="shared" si="351"/>
        <v/>
      </c>
      <c r="L3263" s="66" t="str">
        <f t="shared" si="352"/>
        <v/>
      </c>
      <c r="M3263" s="66" t="str">
        <f t="shared" si="353"/>
        <v/>
      </c>
      <c r="N3263" s="66" t="str">
        <f t="shared" si="354"/>
        <v/>
      </c>
      <c r="O3263" s="66" t="str">
        <f t="shared" si="355"/>
        <v/>
      </c>
      <c r="P3263" s="66" t="str">
        <f t="shared" si="356"/>
        <v/>
      </c>
    </row>
    <row r="3264" spans="8:16">
      <c r="H3264" s="66" t="e">
        <f>IF(LEFT(A3264,6)="CEPNTR","GPINS",VLOOKUP(LEFT(A3264,6),'Code Library'!$A$3:$B$920,2,0))&amp;"_"&amp;RIGHT(A3264,3)</f>
        <v>#N/A</v>
      </c>
      <c r="I3264" s="66">
        <f t="shared" si="350"/>
        <v>0</v>
      </c>
      <c r="K3264" s="66" t="str">
        <f t="shared" si="351"/>
        <v/>
      </c>
      <c r="L3264" s="66" t="str">
        <f t="shared" si="352"/>
        <v/>
      </c>
      <c r="M3264" s="66" t="str">
        <f t="shared" si="353"/>
        <v/>
      </c>
      <c r="N3264" s="66" t="str">
        <f t="shared" si="354"/>
        <v/>
      </c>
      <c r="O3264" s="66" t="str">
        <f t="shared" si="355"/>
        <v/>
      </c>
      <c r="P3264" s="66" t="str">
        <f t="shared" si="356"/>
        <v/>
      </c>
    </row>
    <row r="3265" spans="8:16">
      <c r="H3265" s="66" t="e">
        <f>IF(LEFT(A3265,6)="CEPNTR","GPINS",VLOOKUP(LEFT(A3265,6),'Code Library'!$A$3:$B$920,2,0))&amp;"_"&amp;RIGHT(A3265,3)</f>
        <v>#N/A</v>
      </c>
      <c r="I3265" s="66">
        <f t="shared" si="350"/>
        <v>0</v>
      </c>
      <c r="K3265" s="66" t="str">
        <f t="shared" si="351"/>
        <v/>
      </c>
      <c r="L3265" s="66" t="str">
        <f t="shared" si="352"/>
        <v/>
      </c>
      <c r="M3265" s="66" t="str">
        <f t="shared" si="353"/>
        <v/>
      </c>
      <c r="N3265" s="66" t="str">
        <f t="shared" si="354"/>
        <v/>
      </c>
      <c r="O3265" s="66" t="str">
        <f t="shared" si="355"/>
        <v/>
      </c>
      <c r="P3265" s="66" t="str">
        <f t="shared" si="356"/>
        <v/>
      </c>
    </row>
    <row r="3266" spans="8:16">
      <c r="H3266" s="66" t="e">
        <f>IF(LEFT(A3266,6)="CEPNTR","GPINS",VLOOKUP(LEFT(A3266,6),'Code Library'!$A$3:$B$920,2,0))&amp;"_"&amp;RIGHT(A3266,3)</f>
        <v>#N/A</v>
      </c>
      <c r="I3266" s="66">
        <f t="shared" si="350"/>
        <v>0</v>
      </c>
      <c r="K3266" s="66" t="str">
        <f t="shared" si="351"/>
        <v/>
      </c>
      <c r="L3266" s="66" t="str">
        <f t="shared" si="352"/>
        <v/>
      </c>
      <c r="M3266" s="66" t="str">
        <f t="shared" si="353"/>
        <v/>
      </c>
      <c r="N3266" s="66" t="str">
        <f t="shared" si="354"/>
        <v/>
      </c>
      <c r="O3266" s="66" t="str">
        <f t="shared" si="355"/>
        <v/>
      </c>
      <c r="P3266" s="66" t="str">
        <f t="shared" si="356"/>
        <v/>
      </c>
    </row>
    <row r="3267" spans="8:16">
      <c r="H3267" s="66" t="e">
        <f>IF(LEFT(A3267,6)="CEPNTR","GPINS",VLOOKUP(LEFT(A3267,6),'Code Library'!$A$3:$B$920,2,0))&amp;"_"&amp;RIGHT(A3267,3)</f>
        <v>#N/A</v>
      </c>
      <c r="I3267" s="66">
        <f t="shared" ref="I3267:I3330" si="357">A3267</f>
        <v>0</v>
      </c>
      <c r="K3267" s="66" t="str">
        <f t="shared" ref="K3267:K3330" si="358">RIGHT($B3267,2)</f>
        <v/>
      </c>
      <c r="L3267" s="66" t="str">
        <f t="shared" ref="L3267:L3330" si="359">LEFT(RIGHT($B3267,7),4)</f>
        <v/>
      </c>
      <c r="M3267" s="66" t="str">
        <f t="shared" ref="M3267:M3330" si="360">LEFT(RIGHT($B3267,10),2)</f>
        <v/>
      </c>
      <c r="N3267" s="66" t="str">
        <f t="shared" ref="N3267:N3330" si="361">LEFT(RIGHT($B3267,14),3)</f>
        <v/>
      </c>
      <c r="O3267" s="66" t="str">
        <f t="shared" ref="O3267:O3330" si="362">LEFT(RIGHT($B3267,16),1)</f>
        <v/>
      </c>
      <c r="P3267" s="66" t="str">
        <f t="shared" ref="P3267:P3330" si="363">LEFT(RIGHT($B3267,19),2)</f>
        <v/>
      </c>
    </row>
    <row r="3268" spans="8:16">
      <c r="H3268" s="66" t="e">
        <f>IF(LEFT(A3268,6)="CEPNTR","GPINS",VLOOKUP(LEFT(A3268,6),'Code Library'!$A$3:$B$920,2,0))&amp;"_"&amp;RIGHT(A3268,3)</f>
        <v>#N/A</v>
      </c>
      <c r="I3268" s="66">
        <f t="shared" si="357"/>
        <v>0</v>
      </c>
      <c r="K3268" s="66" t="str">
        <f t="shared" si="358"/>
        <v/>
      </c>
      <c r="L3268" s="66" t="str">
        <f t="shared" si="359"/>
        <v/>
      </c>
      <c r="M3268" s="66" t="str">
        <f t="shared" si="360"/>
        <v/>
      </c>
      <c r="N3268" s="66" t="str">
        <f t="shared" si="361"/>
        <v/>
      </c>
      <c r="O3268" s="66" t="str">
        <f t="shared" si="362"/>
        <v/>
      </c>
      <c r="P3268" s="66" t="str">
        <f t="shared" si="363"/>
        <v/>
      </c>
    </row>
    <row r="3269" spans="8:16">
      <c r="H3269" s="66" t="e">
        <f>IF(LEFT(A3269,6)="CEPNTR","GPINS",VLOOKUP(LEFT(A3269,6),'Code Library'!$A$3:$B$920,2,0))&amp;"_"&amp;RIGHT(A3269,3)</f>
        <v>#N/A</v>
      </c>
      <c r="I3269" s="66">
        <f t="shared" si="357"/>
        <v>0</v>
      </c>
      <c r="K3269" s="66" t="str">
        <f t="shared" si="358"/>
        <v/>
      </c>
      <c r="L3269" s="66" t="str">
        <f t="shared" si="359"/>
        <v/>
      </c>
      <c r="M3269" s="66" t="str">
        <f t="shared" si="360"/>
        <v/>
      </c>
      <c r="N3269" s="66" t="str">
        <f t="shared" si="361"/>
        <v/>
      </c>
      <c r="O3269" s="66" t="str">
        <f t="shared" si="362"/>
        <v/>
      </c>
      <c r="P3269" s="66" t="str">
        <f t="shared" si="363"/>
        <v/>
      </c>
    </row>
    <row r="3270" spans="8:16">
      <c r="H3270" s="66" t="e">
        <f>IF(LEFT(A3270,6)="CEPNTR","GPINS",VLOOKUP(LEFT(A3270,6),'Code Library'!$A$3:$B$920,2,0))&amp;"_"&amp;RIGHT(A3270,3)</f>
        <v>#N/A</v>
      </c>
      <c r="I3270" s="66">
        <f t="shared" si="357"/>
        <v>0</v>
      </c>
      <c r="K3270" s="66" t="str">
        <f t="shared" si="358"/>
        <v/>
      </c>
      <c r="L3270" s="66" t="str">
        <f t="shared" si="359"/>
        <v/>
      </c>
      <c r="M3270" s="66" t="str">
        <f t="shared" si="360"/>
        <v/>
      </c>
      <c r="N3270" s="66" t="str">
        <f t="shared" si="361"/>
        <v/>
      </c>
      <c r="O3270" s="66" t="str">
        <f t="shared" si="362"/>
        <v/>
      </c>
      <c r="P3270" s="66" t="str">
        <f t="shared" si="363"/>
        <v/>
      </c>
    </row>
    <row r="3271" spans="8:16">
      <c r="H3271" s="66" t="e">
        <f>IF(LEFT(A3271,6)="CEPNTR","GPINS",VLOOKUP(LEFT(A3271,6),'Code Library'!$A$3:$B$920,2,0))&amp;"_"&amp;RIGHT(A3271,3)</f>
        <v>#N/A</v>
      </c>
      <c r="I3271" s="66">
        <f t="shared" si="357"/>
        <v>0</v>
      </c>
      <c r="K3271" s="66" t="str">
        <f t="shared" si="358"/>
        <v/>
      </c>
      <c r="L3271" s="66" t="str">
        <f t="shared" si="359"/>
        <v/>
      </c>
      <c r="M3271" s="66" t="str">
        <f t="shared" si="360"/>
        <v/>
      </c>
      <c r="N3271" s="66" t="str">
        <f t="shared" si="361"/>
        <v/>
      </c>
      <c r="O3271" s="66" t="str">
        <f t="shared" si="362"/>
        <v/>
      </c>
      <c r="P3271" s="66" t="str">
        <f t="shared" si="363"/>
        <v/>
      </c>
    </row>
    <row r="3272" spans="8:16">
      <c r="H3272" s="66" t="e">
        <f>IF(LEFT(A3272,6)="CEPNTR","GPINS",VLOOKUP(LEFT(A3272,6),'Code Library'!$A$3:$B$920,2,0))&amp;"_"&amp;RIGHT(A3272,3)</f>
        <v>#N/A</v>
      </c>
      <c r="I3272" s="66">
        <f t="shared" si="357"/>
        <v>0</v>
      </c>
      <c r="K3272" s="66" t="str">
        <f t="shared" si="358"/>
        <v/>
      </c>
      <c r="L3272" s="66" t="str">
        <f t="shared" si="359"/>
        <v/>
      </c>
      <c r="M3272" s="66" t="str">
        <f t="shared" si="360"/>
        <v/>
      </c>
      <c r="N3272" s="66" t="str">
        <f t="shared" si="361"/>
        <v/>
      </c>
      <c r="O3272" s="66" t="str">
        <f t="shared" si="362"/>
        <v/>
      </c>
      <c r="P3272" s="66" t="str">
        <f t="shared" si="363"/>
        <v/>
      </c>
    </row>
    <row r="3273" spans="8:16">
      <c r="H3273" s="66" t="e">
        <f>IF(LEFT(A3273,6)="CEPNTR","GPINS",VLOOKUP(LEFT(A3273,6),'Code Library'!$A$3:$B$920,2,0))&amp;"_"&amp;RIGHT(A3273,3)</f>
        <v>#N/A</v>
      </c>
      <c r="I3273" s="66">
        <f t="shared" si="357"/>
        <v>0</v>
      </c>
      <c r="K3273" s="66" t="str">
        <f t="shared" si="358"/>
        <v/>
      </c>
      <c r="L3273" s="66" t="str">
        <f t="shared" si="359"/>
        <v/>
      </c>
      <c r="M3273" s="66" t="str">
        <f t="shared" si="360"/>
        <v/>
      </c>
      <c r="N3273" s="66" t="str">
        <f t="shared" si="361"/>
        <v/>
      </c>
      <c r="O3273" s="66" t="str">
        <f t="shared" si="362"/>
        <v/>
      </c>
      <c r="P3273" s="66" t="str">
        <f t="shared" si="363"/>
        <v/>
      </c>
    </row>
    <row r="3274" spans="8:16">
      <c r="H3274" s="66" t="e">
        <f>IF(LEFT(A3274,6)="CEPNTR","GPINS",VLOOKUP(LEFT(A3274,6),'Code Library'!$A$3:$B$920,2,0))&amp;"_"&amp;RIGHT(A3274,3)</f>
        <v>#N/A</v>
      </c>
      <c r="I3274" s="66">
        <f t="shared" si="357"/>
        <v>0</v>
      </c>
      <c r="K3274" s="66" t="str">
        <f t="shared" si="358"/>
        <v/>
      </c>
      <c r="L3274" s="66" t="str">
        <f t="shared" si="359"/>
        <v/>
      </c>
      <c r="M3274" s="66" t="str">
        <f t="shared" si="360"/>
        <v/>
      </c>
      <c r="N3274" s="66" t="str">
        <f t="shared" si="361"/>
        <v/>
      </c>
      <c r="O3274" s="66" t="str">
        <f t="shared" si="362"/>
        <v/>
      </c>
      <c r="P3274" s="66" t="str">
        <f t="shared" si="363"/>
        <v/>
      </c>
    </row>
    <row r="3275" spans="8:16">
      <c r="H3275" s="66" t="e">
        <f>IF(LEFT(A3275,6)="CEPNTR","GPINS",VLOOKUP(LEFT(A3275,6),'Code Library'!$A$3:$B$920,2,0))&amp;"_"&amp;RIGHT(A3275,3)</f>
        <v>#N/A</v>
      </c>
      <c r="I3275" s="66">
        <f t="shared" si="357"/>
        <v>0</v>
      </c>
      <c r="K3275" s="66" t="str">
        <f t="shared" si="358"/>
        <v/>
      </c>
      <c r="L3275" s="66" t="str">
        <f t="shared" si="359"/>
        <v/>
      </c>
      <c r="M3275" s="66" t="str">
        <f t="shared" si="360"/>
        <v/>
      </c>
      <c r="N3275" s="66" t="str">
        <f t="shared" si="361"/>
        <v/>
      </c>
      <c r="O3275" s="66" t="str">
        <f t="shared" si="362"/>
        <v/>
      </c>
      <c r="P3275" s="66" t="str">
        <f t="shared" si="363"/>
        <v/>
      </c>
    </row>
    <row r="3276" spans="8:16">
      <c r="H3276" s="66" t="e">
        <f>IF(LEFT(A3276,6)="CEPNTR","GPINS",VLOOKUP(LEFT(A3276,6),'Code Library'!$A$3:$B$920,2,0))&amp;"_"&amp;RIGHT(A3276,3)</f>
        <v>#N/A</v>
      </c>
      <c r="I3276" s="66">
        <f t="shared" si="357"/>
        <v>0</v>
      </c>
      <c r="K3276" s="66" t="str">
        <f t="shared" si="358"/>
        <v/>
      </c>
      <c r="L3276" s="66" t="str">
        <f t="shared" si="359"/>
        <v/>
      </c>
      <c r="M3276" s="66" t="str">
        <f t="shared" si="360"/>
        <v/>
      </c>
      <c r="N3276" s="66" t="str">
        <f t="shared" si="361"/>
        <v/>
      </c>
      <c r="O3276" s="66" t="str">
        <f t="shared" si="362"/>
        <v/>
      </c>
      <c r="P3276" s="66" t="str">
        <f t="shared" si="363"/>
        <v/>
      </c>
    </row>
    <row r="3277" spans="8:16">
      <c r="H3277" s="66" t="e">
        <f>IF(LEFT(A3277,6)="CEPNTR","GPINS",VLOOKUP(LEFT(A3277,6),'Code Library'!$A$3:$B$920,2,0))&amp;"_"&amp;RIGHT(A3277,3)</f>
        <v>#N/A</v>
      </c>
      <c r="I3277" s="66">
        <f t="shared" si="357"/>
        <v>0</v>
      </c>
      <c r="K3277" s="66" t="str">
        <f t="shared" si="358"/>
        <v/>
      </c>
      <c r="L3277" s="66" t="str">
        <f t="shared" si="359"/>
        <v/>
      </c>
      <c r="M3277" s="66" t="str">
        <f t="shared" si="360"/>
        <v/>
      </c>
      <c r="N3277" s="66" t="str">
        <f t="shared" si="361"/>
        <v/>
      </c>
      <c r="O3277" s="66" t="str">
        <f t="shared" si="362"/>
        <v/>
      </c>
      <c r="P3277" s="66" t="str">
        <f t="shared" si="363"/>
        <v/>
      </c>
    </row>
    <row r="3278" spans="8:16">
      <c r="H3278" s="66" t="e">
        <f>IF(LEFT(A3278,6)="CEPNTR","GPINS",VLOOKUP(LEFT(A3278,6),'Code Library'!$A$3:$B$920,2,0))&amp;"_"&amp;RIGHT(A3278,3)</f>
        <v>#N/A</v>
      </c>
      <c r="I3278" s="66">
        <f t="shared" si="357"/>
        <v>0</v>
      </c>
      <c r="K3278" s="66" t="str">
        <f t="shared" si="358"/>
        <v/>
      </c>
      <c r="L3278" s="66" t="str">
        <f t="shared" si="359"/>
        <v/>
      </c>
      <c r="M3278" s="66" t="str">
        <f t="shared" si="360"/>
        <v/>
      </c>
      <c r="N3278" s="66" t="str">
        <f t="shared" si="361"/>
        <v/>
      </c>
      <c r="O3278" s="66" t="str">
        <f t="shared" si="362"/>
        <v/>
      </c>
      <c r="P3278" s="66" t="str">
        <f t="shared" si="363"/>
        <v/>
      </c>
    </row>
    <row r="3279" spans="8:16">
      <c r="H3279" s="66" t="e">
        <f>IF(LEFT(A3279,6)="CEPNTR","GPINS",VLOOKUP(LEFT(A3279,6),'Code Library'!$A$3:$B$920,2,0))&amp;"_"&amp;RIGHT(A3279,3)</f>
        <v>#N/A</v>
      </c>
      <c r="I3279" s="66">
        <f t="shared" si="357"/>
        <v>0</v>
      </c>
      <c r="K3279" s="66" t="str">
        <f t="shared" si="358"/>
        <v/>
      </c>
      <c r="L3279" s="66" t="str">
        <f t="shared" si="359"/>
        <v/>
      </c>
      <c r="M3279" s="66" t="str">
        <f t="shared" si="360"/>
        <v/>
      </c>
      <c r="N3279" s="66" t="str">
        <f t="shared" si="361"/>
        <v/>
      </c>
      <c r="O3279" s="66" t="str">
        <f t="shared" si="362"/>
        <v/>
      </c>
      <c r="P3279" s="66" t="str">
        <f t="shared" si="363"/>
        <v/>
      </c>
    </row>
    <row r="3280" spans="8:16">
      <c r="H3280" s="66" t="e">
        <f>IF(LEFT(A3280,6)="CEPNTR","GPINS",VLOOKUP(LEFT(A3280,6),'Code Library'!$A$3:$B$920,2,0))&amp;"_"&amp;RIGHT(A3280,3)</f>
        <v>#N/A</v>
      </c>
      <c r="I3280" s="66">
        <f t="shared" si="357"/>
        <v>0</v>
      </c>
      <c r="K3280" s="66" t="str">
        <f t="shared" si="358"/>
        <v/>
      </c>
      <c r="L3280" s="66" t="str">
        <f t="shared" si="359"/>
        <v/>
      </c>
      <c r="M3280" s="66" t="str">
        <f t="shared" si="360"/>
        <v/>
      </c>
      <c r="N3280" s="66" t="str">
        <f t="shared" si="361"/>
        <v/>
      </c>
      <c r="O3280" s="66" t="str">
        <f t="shared" si="362"/>
        <v/>
      </c>
      <c r="P3280" s="66" t="str">
        <f t="shared" si="363"/>
        <v/>
      </c>
    </row>
    <row r="3281" spans="8:16">
      <c r="H3281" s="66" t="e">
        <f>IF(LEFT(A3281,6)="CEPNTR","GPINS",VLOOKUP(LEFT(A3281,6),'Code Library'!$A$3:$B$920,2,0))&amp;"_"&amp;RIGHT(A3281,3)</f>
        <v>#N/A</v>
      </c>
      <c r="I3281" s="66">
        <f t="shared" si="357"/>
        <v>0</v>
      </c>
      <c r="K3281" s="66" t="str">
        <f t="shared" si="358"/>
        <v/>
      </c>
      <c r="L3281" s="66" t="str">
        <f t="shared" si="359"/>
        <v/>
      </c>
      <c r="M3281" s="66" t="str">
        <f t="shared" si="360"/>
        <v/>
      </c>
      <c r="N3281" s="66" t="str">
        <f t="shared" si="361"/>
        <v/>
      </c>
      <c r="O3281" s="66" t="str">
        <f t="shared" si="362"/>
        <v/>
      </c>
      <c r="P3281" s="66" t="str">
        <f t="shared" si="363"/>
        <v/>
      </c>
    </row>
    <row r="3282" spans="8:16">
      <c r="H3282" s="66" t="e">
        <f>IF(LEFT(A3282,6)="CEPNTR","GPINS",VLOOKUP(LEFT(A3282,6),'Code Library'!$A$3:$B$920,2,0))&amp;"_"&amp;RIGHT(A3282,3)</f>
        <v>#N/A</v>
      </c>
      <c r="I3282" s="66">
        <f t="shared" si="357"/>
        <v>0</v>
      </c>
      <c r="K3282" s="66" t="str">
        <f t="shared" si="358"/>
        <v/>
      </c>
      <c r="L3282" s="66" t="str">
        <f t="shared" si="359"/>
        <v/>
      </c>
      <c r="M3282" s="66" t="str">
        <f t="shared" si="360"/>
        <v/>
      </c>
      <c r="N3282" s="66" t="str">
        <f t="shared" si="361"/>
        <v/>
      </c>
      <c r="O3282" s="66" t="str">
        <f t="shared" si="362"/>
        <v/>
      </c>
      <c r="P3282" s="66" t="str">
        <f t="shared" si="363"/>
        <v/>
      </c>
    </row>
    <row r="3283" spans="8:16">
      <c r="H3283" s="66" t="e">
        <f>IF(LEFT(A3283,6)="CEPNTR","GPINS",VLOOKUP(LEFT(A3283,6),'Code Library'!$A$3:$B$920,2,0))&amp;"_"&amp;RIGHT(A3283,3)</f>
        <v>#N/A</v>
      </c>
      <c r="I3283" s="66">
        <f t="shared" si="357"/>
        <v>0</v>
      </c>
      <c r="K3283" s="66" t="str">
        <f t="shared" si="358"/>
        <v/>
      </c>
      <c r="L3283" s="66" t="str">
        <f t="shared" si="359"/>
        <v/>
      </c>
      <c r="M3283" s="66" t="str">
        <f t="shared" si="360"/>
        <v/>
      </c>
      <c r="N3283" s="66" t="str">
        <f t="shared" si="361"/>
        <v/>
      </c>
      <c r="O3283" s="66" t="str">
        <f t="shared" si="362"/>
        <v/>
      </c>
      <c r="P3283" s="66" t="str">
        <f t="shared" si="363"/>
        <v/>
      </c>
    </row>
    <row r="3284" spans="8:16">
      <c r="H3284" s="66" t="e">
        <f>IF(LEFT(A3284,6)="CEPNTR","GPINS",VLOOKUP(LEFT(A3284,6),'Code Library'!$A$3:$B$920,2,0))&amp;"_"&amp;RIGHT(A3284,3)</f>
        <v>#N/A</v>
      </c>
      <c r="I3284" s="66">
        <f t="shared" si="357"/>
        <v>0</v>
      </c>
      <c r="K3284" s="66" t="str">
        <f t="shared" si="358"/>
        <v/>
      </c>
      <c r="L3284" s="66" t="str">
        <f t="shared" si="359"/>
        <v/>
      </c>
      <c r="M3284" s="66" t="str">
        <f t="shared" si="360"/>
        <v/>
      </c>
      <c r="N3284" s="66" t="str">
        <f t="shared" si="361"/>
        <v/>
      </c>
      <c r="O3284" s="66" t="str">
        <f t="shared" si="362"/>
        <v/>
      </c>
      <c r="P3284" s="66" t="str">
        <f t="shared" si="363"/>
        <v/>
      </c>
    </row>
    <row r="3285" spans="8:16">
      <c r="H3285" s="66" t="e">
        <f>IF(LEFT(A3285,6)="CEPNTR","GPINS",VLOOKUP(LEFT(A3285,6),'Code Library'!$A$3:$B$920,2,0))&amp;"_"&amp;RIGHT(A3285,3)</f>
        <v>#N/A</v>
      </c>
      <c r="I3285" s="66">
        <f t="shared" si="357"/>
        <v>0</v>
      </c>
      <c r="K3285" s="66" t="str">
        <f t="shared" si="358"/>
        <v/>
      </c>
      <c r="L3285" s="66" t="str">
        <f t="shared" si="359"/>
        <v/>
      </c>
      <c r="M3285" s="66" t="str">
        <f t="shared" si="360"/>
        <v/>
      </c>
      <c r="N3285" s="66" t="str">
        <f t="shared" si="361"/>
        <v/>
      </c>
      <c r="O3285" s="66" t="str">
        <f t="shared" si="362"/>
        <v/>
      </c>
      <c r="P3285" s="66" t="str">
        <f t="shared" si="363"/>
        <v/>
      </c>
    </row>
    <row r="3286" spans="8:16">
      <c r="H3286" s="66" t="e">
        <f>IF(LEFT(A3286,6)="CEPNTR","GPINS",VLOOKUP(LEFT(A3286,6),'Code Library'!$A$3:$B$920,2,0))&amp;"_"&amp;RIGHT(A3286,3)</f>
        <v>#N/A</v>
      </c>
      <c r="I3286" s="66">
        <f t="shared" si="357"/>
        <v>0</v>
      </c>
      <c r="K3286" s="66" t="str">
        <f t="shared" si="358"/>
        <v/>
      </c>
      <c r="L3286" s="66" t="str">
        <f t="shared" si="359"/>
        <v/>
      </c>
      <c r="M3286" s="66" t="str">
        <f t="shared" si="360"/>
        <v/>
      </c>
      <c r="N3286" s="66" t="str">
        <f t="shared" si="361"/>
        <v/>
      </c>
      <c r="O3286" s="66" t="str">
        <f t="shared" si="362"/>
        <v/>
      </c>
      <c r="P3286" s="66" t="str">
        <f t="shared" si="363"/>
        <v/>
      </c>
    </row>
    <row r="3287" spans="8:16">
      <c r="H3287" s="66" t="e">
        <f>IF(LEFT(A3287,6)="CEPNTR","GPINS",VLOOKUP(LEFT(A3287,6),'Code Library'!$A$3:$B$920,2,0))&amp;"_"&amp;RIGHT(A3287,3)</f>
        <v>#N/A</v>
      </c>
      <c r="I3287" s="66">
        <f t="shared" si="357"/>
        <v>0</v>
      </c>
      <c r="K3287" s="66" t="str">
        <f t="shared" si="358"/>
        <v/>
      </c>
      <c r="L3287" s="66" t="str">
        <f t="shared" si="359"/>
        <v/>
      </c>
      <c r="M3287" s="66" t="str">
        <f t="shared" si="360"/>
        <v/>
      </c>
      <c r="N3287" s="66" t="str">
        <f t="shared" si="361"/>
        <v/>
      </c>
      <c r="O3287" s="66" t="str">
        <f t="shared" si="362"/>
        <v/>
      </c>
      <c r="P3287" s="66" t="str">
        <f t="shared" si="363"/>
        <v/>
      </c>
    </row>
    <row r="3288" spans="8:16">
      <c r="H3288" s="66" t="e">
        <f>IF(LEFT(A3288,6)="CEPNTR","GPINS",VLOOKUP(LEFT(A3288,6),'Code Library'!$A$3:$B$920,2,0))&amp;"_"&amp;RIGHT(A3288,3)</f>
        <v>#N/A</v>
      </c>
      <c r="I3288" s="66">
        <f t="shared" si="357"/>
        <v>0</v>
      </c>
      <c r="K3288" s="66" t="str">
        <f t="shared" si="358"/>
        <v/>
      </c>
      <c r="L3288" s="66" t="str">
        <f t="shared" si="359"/>
        <v/>
      </c>
      <c r="M3288" s="66" t="str">
        <f t="shared" si="360"/>
        <v/>
      </c>
      <c r="N3288" s="66" t="str">
        <f t="shared" si="361"/>
        <v/>
      </c>
      <c r="O3288" s="66" t="str">
        <f t="shared" si="362"/>
        <v/>
      </c>
      <c r="P3288" s="66" t="str">
        <f t="shared" si="363"/>
        <v/>
      </c>
    </row>
    <row r="3289" spans="8:16">
      <c r="H3289" s="66" t="e">
        <f>IF(LEFT(A3289,6)="CEPNTR","GPINS",VLOOKUP(LEFT(A3289,6),'Code Library'!$A$3:$B$920,2,0))&amp;"_"&amp;RIGHT(A3289,3)</f>
        <v>#N/A</v>
      </c>
      <c r="I3289" s="66">
        <f t="shared" si="357"/>
        <v>0</v>
      </c>
      <c r="K3289" s="66" t="str">
        <f t="shared" si="358"/>
        <v/>
      </c>
      <c r="L3289" s="66" t="str">
        <f t="shared" si="359"/>
        <v/>
      </c>
      <c r="M3289" s="66" t="str">
        <f t="shared" si="360"/>
        <v/>
      </c>
      <c r="N3289" s="66" t="str">
        <f t="shared" si="361"/>
        <v/>
      </c>
      <c r="O3289" s="66" t="str">
        <f t="shared" si="362"/>
        <v/>
      </c>
      <c r="P3289" s="66" t="str">
        <f t="shared" si="363"/>
        <v/>
      </c>
    </row>
    <row r="3290" spans="8:16">
      <c r="H3290" s="66" t="e">
        <f>IF(LEFT(A3290,6)="CEPNTR","GPINS",VLOOKUP(LEFT(A3290,6),'Code Library'!$A$3:$B$920,2,0))&amp;"_"&amp;RIGHT(A3290,3)</f>
        <v>#N/A</v>
      </c>
      <c r="I3290" s="66">
        <f t="shared" si="357"/>
        <v>0</v>
      </c>
      <c r="K3290" s="66" t="str">
        <f t="shared" si="358"/>
        <v/>
      </c>
      <c r="L3290" s="66" t="str">
        <f t="shared" si="359"/>
        <v/>
      </c>
      <c r="M3290" s="66" t="str">
        <f t="shared" si="360"/>
        <v/>
      </c>
      <c r="N3290" s="66" t="str">
        <f t="shared" si="361"/>
        <v/>
      </c>
      <c r="O3290" s="66" t="str">
        <f t="shared" si="362"/>
        <v/>
      </c>
      <c r="P3290" s="66" t="str">
        <f t="shared" si="363"/>
        <v/>
      </c>
    </row>
    <row r="3291" spans="8:16">
      <c r="H3291" s="66" t="e">
        <f>IF(LEFT(A3291,6)="CEPNTR","GPINS",VLOOKUP(LEFT(A3291,6),'Code Library'!$A$3:$B$920,2,0))&amp;"_"&amp;RIGHT(A3291,3)</f>
        <v>#N/A</v>
      </c>
      <c r="I3291" s="66">
        <f t="shared" si="357"/>
        <v>0</v>
      </c>
      <c r="K3291" s="66" t="str">
        <f t="shared" si="358"/>
        <v/>
      </c>
      <c r="L3291" s="66" t="str">
        <f t="shared" si="359"/>
        <v/>
      </c>
      <c r="M3291" s="66" t="str">
        <f t="shared" si="360"/>
        <v/>
      </c>
      <c r="N3291" s="66" t="str">
        <f t="shared" si="361"/>
        <v/>
      </c>
      <c r="O3291" s="66" t="str">
        <f t="shared" si="362"/>
        <v/>
      </c>
      <c r="P3291" s="66" t="str">
        <f t="shared" si="363"/>
        <v/>
      </c>
    </row>
    <row r="3292" spans="8:16">
      <c r="H3292" s="66" t="e">
        <f>IF(LEFT(A3292,6)="CEPNTR","GPINS",VLOOKUP(LEFT(A3292,6),'Code Library'!$A$3:$B$920,2,0))&amp;"_"&amp;RIGHT(A3292,3)</f>
        <v>#N/A</v>
      </c>
      <c r="I3292" s="66">
        <f t="shared" si="357"/>
        <v>0</v>
      </c>
      <c r="K3292" s="66" t="str">
        <f t="shared" si="358"/>
        <v/>
      </c>
      <c r="L3292" s="66" t="str">
        <f t="shared" si="359"/>
        <v/>
      </c>
      <c r="M3292" s="66" t="str">
        <f t="shared" si="360"/>
        <v/>
      </c>
      <c r="N3292" s="66" t="str">
        <f t="shared" si="361"/>
        <v/>
      </c>
      <c r="O3292" s="66" t="str">
        <f t="shared" si="362"/>
        <v/>
      </c>
      <c r="P3292" s="66" t="str">
        <f t="shared" si="363"/>
        <v/>
      </c>
    </row>
    <row r="3293" spans="8:16">
      <c r="H3293" s="66" t="e">
        <f>IF(LEFT(A3293,6)="CEPNTR","GPINS",VLOOKUP(LEFT(A3293,6),'Code Library'!$A$3:$B$920,2,0))&amp;"_"&amp;RIGHT(A3293,3)</f>
        <v>#N/A</v>
      </c>
      <c r="I3293" s="66">
        <f t="shared" si="357"/>
        <v>0</v>
      </c>
      <c r="K3293" s="66" t="str">
        <f t="shared" si="358"/>
        <v/>
      </c>
      <c r="L3293" s="66" t="str">
        <f t="shared" si="359"/>
        <v/>
      </c>
      <c r="M3293" s="66" t="str">
        <f t="shared" si="360"/>
        <v/>
      </c>
      <c r="N3293" s="66" t="str">
        <f t="shared" si="361"/>
        <v/>
      </c>
      <c r="O3293" s="66" t="str">
        <f t="shared" si="362"/>
        <v/>
      </c>
      <c r="P3293" s="66" t="str">
        <f t="shared" si="363"/>
        <v/>
      </c>
    </row>
    <row r="3294" spans="8:16">
      <c r="H3294" s="66" t="e">
        <f>IF(LEFT(A3294,6)="CEPNTR","GPINS",VLOOKUP(LEFT(A3294,6),'Code Library'!$A$3:$B$920,2,0))&amp;"_"&amp;RIGHT(A3294,3)</f>
        <v>#N/A</v>
      </c>
      <c r="I3294" s="66">
        <f t="shared" si="357"/>
        <v>0</v>
      </c>
      <c r="K3294" s="66" t="str">
        <f t="shared" si="358"/>
        <v/>
      </c>
      <c r="L3294" s="66" t="str">
        <f t="shared" si="359"/>
        <v/>
      </c>
      <c r="M3294" s="66" t="str">
        <f t="shared" si="360"/>
        <v/>
      </c>
      <c r="N3294" s="66" t="str">
        <f t="shared" si="361"/>
        <v/>
      </c>
      <c r="O3294" s="66" t="str">
        <f t="shared" si="362"/>
        <v/>
      </c>
      <c r="P3294" s="66" t="str">
        <f t="shared" si="363"/>
        <v/>
      </c>
    </row>
    <row r="3295" spans="8:16">
      <c r="H3295" s="66" t="e">
        <f>IF(LEFT(A3295,6)="CEPNTR","GPINS",VLOOKUP(LEFT(A3295,6),'Code Library'!$A$3:$B$920,2,0))&amp;"_"&amp;RIGHT(A3295,3)</f>
        <v>#N/A</v>
      </c>
      <c r="I3295" s="66">
        <f t="shared" si="357"/>
        <v>0</v>
      </c>
      <c r="K3295" s="66" t="str">
        <f t="shared" si="358"/>
        <v/>
      </c>
      <c r="L3295" s="66" t="str">
        <f t="shared" si="359"/>
        <v/>
      </c>
      <c r="M3295" s="66" t="str">
        <f t="shared" si="360"/>
        <v/>
      </c>
      <c r="N3295" s="66" t="str">
        <f t="shared" si="361"/>
        <v/>
      </c>
      <c r="O3295" s="66" t="str">
        <f t="shared" si="362"/>
        <v/>
      </c>
      <c r="P3295" s="66" t="str">
        <f t="shared" si="363"/>
        <v/>
      </c>
    </row>
    <row r="3296" spans="8:16">
      <c r="H3296" s="66" t="e">
        <f>IF(LEFT(A3296,6)="CEPNTR","GPINS",VLOOKUP(LEFT(A3296,6),'Code Library'!$A$3:$B$920,2,0))&amp;"_"&amp;RIGHT(A3296,3)</f>
        <v>#N/A</v>
      </c>
      <c r="I3296" s="66">
        <f t="shared" si="357"/>
        <v>0</v>
      </c>
      <c r="K3296" s="66" t="str">
        <f t="shared" si="358"/>
        <v/>
      </c>
      <c r="L3296" s="66" t="str">
        <f t="shared" si="359"/>
        <v/>
      </c>
      <c r="M3296" s="66" t="str">
        <f t="shared" si="360"/>
        <v/>
      </c>
      <c r="N3296" s="66" t="str">
        <f t="shared" si="361"/>
        <v/>
      </c>
      <c r="O3296" s="66" t="str">
        <f t="shared" si="362"/>
        <v/>
      </c>
      <c r="P3296" s="66" t="str">
        <f t="shared" si="363"/>
        <v/>
      </c>
    </row>
    <row r="3297" spans="8:16">
      <c r="H3297" s="66" t="e">
        <f>IF(LEFT(A3297,6)="CEPNTR","GPINS",VLOOKUP(LEFT(A3297,6),'Code Library'!$A$3:$B$920,2,0))&amp;"_"&amp;RIGHT(A3297,3)</f>
        <v>#N/A</v>
      </c>
      <c r="I3297" s="66">
        <f t="shared" si="357"/>
        <v>0</v>
      </c>
      <c r="K3297" s="66" t="str">
        <f t="shared" si="358"/>
        <v/>
      </c>
      <c r="L3297" s="66" t="str">
        <f t="shared" si="359"/>
        <v/>
      </c>
      <c r="M3297" s="66" t="str">
        <f t="shared" si="360"/>
        <v/>
      </c>
      <c r="N3297" s="66" t="str">
        <f t="shared" si="361"/>
        <v/>
      </c>
      <c r="O3297" s="66" t="str">
        <f t="shared" si="362"/>
        <v/>
      </c>
      <c r="P3297" s="66" t="str">
        <f t="shared" si="363"/>
        <v/>
      </c>
    </row>
    <row r="3298" spans="8:16">
      <c r="H3298" s="66" t="e">
        <f>IF(LEFT(A3298,6)="CEPNTR","GPINS",VLOOKUP(LEFT(A3298,6),'Code Library'!$A$3:$B$920,2,0))&amp;"_"&amp;RIGHT(A3298,3)</f>
        <v>#N/A</v>
      </c>
      <c r="I3298" s="66">
        <f t="shared" si="357"/>
        <v>0</v>
      </c>
      <c r="K3298" s="66" t="str">
        <f t="shared" si="358"/>
        <v/>
      </c>
      <c r="L3298" s="66" t="str">
        <f t="shared" si="359"/>
        <v/>
      </c>
      <c r="M3298" s="66" t="str">
        <f t="shared" si="360"/>
        <v/>
      </c>
      <c r="N3298" s="66" t="str">
        <f t="shared" si="361"/>
        <v/>
      </c>
      <c r="O3298" s="66" t="str">
        <f t="shared" si="362"/>
        <v/>
      </c>
      <c r="P3298" s="66" t="str">
        <f t="shared" si="363"/>
        <v/>
      </c>
    </row>
    <row r="3299" spans="8:16">
      <c r="H3299" s="66" t="e">
        <f>IF(LEFT(A3299,6)="CEPNTR","GPINS",VLOOKUP(LEFT(A3299,6),'Code Library'!$A$3:$B$920,2,0))&amp;"_"&amp;RIGHT(A3299,3)</f>
        <v>#N/A</v>
      </c>
      <c r="I3299" s="66">
        <f t="shared" si="357"/>
        <v>0</v>
      </c>
      <c r="K3299" s="66" t="str">
        <f t="shared" si="358"/>
        <v/>
      </c>
      <c r="L3299" s="66" t="str">
        <f t="shared" si="359"/>
        <v/>
      </c>
      <c r="M3299" s="66" t="str">
        <f t="shared" si="360"/>
        <v/>
      </c>
      <c r="N3299" s="66" t="str">
        <f t="shared" si="361"/>
        <v/>
      </c>
      <c r="O3299" s="66" t="str">
        <f t="shared" si="362"/>
        <v/>
      </c>
      <c r="P3299" s="66" t="str">
        <f t="shared" si="363"/>
        <v/>
      </c>
    </row>
    <row r="3300" spans="8:16">
      <c r="H3300" s="66" t="e">
        <f>IF(LEFT(A3300,6)="CEPNTR","GPINS",VLOOKUP(LEFT(A3300,6),'Code Library'!$A$3:$B$920,2,0))&amp;"_"&amp;RIGHT(A3300,3)</f>
        <v>#N/A</v>
      </c>
      <c r="I3300" s="66">
        <f t="shared" si="357"/>
        <v>0</v>
      </c>
      <c r="K3300" s="66" t="str">
        <f t="shared" si="358"/>
        <v/>
      </c>
      <c r="L3300" s="66" t="str">
        <f t="shared" si="359"/>
        <v/>
      </c>
      <c r="M3300" s="66" t="str">
        <f t="shared" si="360"/>
        <v/>
      </c>
      <c r="N3300" s="66" t="str">
        <f t="shared" si="361"/>
        <v/>
      </c>
      <c r="O3300" s="66" t="str">
        <f t="shared" si="362"/>
        <v/>
      </c>
      <c r="P3300" s="66" t="str">
        <f t="shared" si="363"/>
        <v/>
      </c>
    </row>
    <row r="3301" spans="8:16">
      <c r="H3301" s="66" t="e">
        <f>IF(LEFT(A3301,6)="CEPNTR","GPINS",VLOOKUP(LEFT(A3301,6),'Code Library'!$A$3:$B$920,2,0))&amp;"_"&amp;RIGHT(A3301,3)</f>
        <v>#N/A</v>
      </c>
      <c r="I3301" s="66">
        <f t="shared" si="357"/>
        <v>0</v>
      </c>
      <c r="K3301" s="66" t="str">
        <f t="shared" si="358"/>
        <v/>
      </c>
      <c r="L3301" s="66" t="str">
        <f t="shared" si="359"/>
        <v/>
      </c>
      <c r="M3301" s="66" t="str">
        <f t="shared" si="360"/>
        <v/>
      </c>
      <c r="N3301" s="66" t="str">
        <f t="shared" si="361"/>
        <v/>
      </c>
      <c r="O3301" s="66" t="str">
        <f t="shared" si="362"/>
        <v/>
      </c>
      <c r="P3301" s="66" t="str">
        <f t="shared" si="363"/>
        <v/>
      </c>
    </row>
    <row r="3302" spans="8:16">
      <c r="H3302" s="66" t="e">
        <f>IF(LEFT(A3302,6)="CEPNTR","GPINS",VLOOKUP(LEFT(A3302,6),'Code Library'!$A$3:$B$920,2,0))&amp;"_"&amp;RIGHT(A3302,3)</f>
        <v>#N/A</v>
      </c>
      <c r="I3302" s="66">
        <f t="shared" si="357"/>
        <v>0</v>
      </c>
      <c r="K3302" s="66" t="str">
        <f t="shared" si="358"/>
        <v/>
      </c>
      <c r="L3302" s="66" t="str">
        <f t="shared" si="359"/>
        <v/>
      </c>
      <c r="M3302" s="66" t="str">
        <f t="shared" si="360"/>
        <v/>
      </c>
      <c r="N3302" s="66" t="str">
        <f t="shared" si="361"/>
        <v/>
      </c>
      <c r="O3302" s="66" t="str">
        <f t="shared" si="362"/>
        <v/>
      </c>
      <c r="P3302" s="66" t="str">
        <f t="shared" si="363"/>
        <v/>
      </c>
    </row>
    <row r="3303" spans="8:16">
      <c r="H3303" s="66" t="e">
        <f>IF(LEFT(A3303,6)="CEPNTR","GPINS",VLOOKUP(LEFT(A3303,6),'Code Library'!$A$3:$B$920,2,0))&amp;"_"&amp;RIGHT(A3303,3)</f>
        <v>#N/A</v>
      </c>
      <c r="I3303" s="66">
        <f t="shared" si="357"/>
        <v>0</v>
      </c>
      <c r="K3303" s="66" t="str">
        <f t="shared" si="358"/>
        <v/>
      </c>
      <c r="L3303" s="66" t="str">
        <f t="shared" si="359"/>
        <v/>
      </c>
      <c r="M3303" s="66" t="str">
        <f t="shared" si="360"/>
        <v/>
      </c>
      <c r="N3303" s="66" t="str">
        <f t="shared" si="361"/>
        <v/>
      </c>
      <c r="O3303" s="66" t="str">
        <f t="shared" si="362"/>
        <v/>
      </c>
      <c r="P3303" s="66" t="str">
        <f t="shared" si="363"/>
        <v/>
      </c>
    </row>
    <row r="3304" spans="8:16">
      <c r="H3304" s="66" t="e">
        <f>IF(LEFT(A3304,6)="CEPNTR","GPINS",VLOOKUP(LEFT(A3304,6),'Code Library'!$A$3:$B$920,2,0))&amp;"_"&amp;RIGHT(A3304,3)</f>
        <v>#N/A</v>
      </c>
      <c r="I3304" s="66">
        <f t="shared" si="357"/>
        <v>0</v>
      </c>
      <c r="K3304" s="66" t="str">
        <f t="shared" si="358"/>
        <v/>
      </c>
      <c r="L3304" s="66" t="str">
        <f t="shared" si="359"/>
        <v/>
      </c>
      <c r="M3304" s="66" t="str">
        <f t="shared" si="360"/>
        <v/>
      </c>
      <c r="N3304" s="66" t="str">
        <f t="shared" si="361"/>
        <v/>
      </c>
      <c r="O3304" s="66" t="str">
        <f t="shared" si="362"/>
        <v/>
      </c>
      <c r="P3304" s="66" t="str">
        <f t="shared" si="363"/>
        <v/>
      </c>
    </row>
    <row r="3305" spans="8:16">
      <c r="H3305" s="66" t="e">
        <f>IF(LEFT(A3305,6)="CEPNTR","GPINS",VLOOKUP(LEFT(A3305,6),'Code Library'!$A$3:$B$920,2,0))&amp;"_"&amp;RIGHT(A3305,3)</f>
        <v>#N/A</v>
      </c>
      <c r="I3305" s="66">
        <f t="shared" si="357"/>
        <v>0</v>
      </c>
      <c r="K3305" s="66" t="str">
        <f t="shared" si="358"/>
        <v/>
      </c>
      <c r="L3305" s="66" t="str">
        <f t="shared" si="359"/>
        <v/>
      </c>
      <c r="M3305" s="66" t="str">
        <f t="shared" si="360"/>
        <v/>
      </c>
      <c r="N3305" s="66" t="str">
        <f t="shared" si="361"/>
        <v/>
      </c>
      <c r="O3305" s="66" t="str">
        <f t="shared" si="362"/>
        <v/>
      </c>
      <c r="P3305" s="66" t="str">
        <f t="shared" si="363"/>
        <v/>
      </c>
    </row>
    <row r="3306" spans="8:16">
      <c r="H3306" s="66" t="e">
        <f>IF(LEFT(A3306,6)="CEPNTR","GPINS",VLOOKUP(LEFT(A3306,6),'Code Library'!$A$3:$B$920,2,0))&amp;"_"&amp;RIGHT(A3306,3)</f>
        <v>#N/A</v>
      </c>
      <c r="I3306" s="66">
        <f t="shared" si="357"/>
        <v>0</v>
      </c>
      <c r="K3306" s="66" t="str">
        <f t="shared" si="358"/>
        <v/>
      </c>
      <c r="L3306" s="66" t="str">
        <f t="shared" si="359"/>
        <v/>
      </c>
      <c r="M3306" s="66" t="str">
        <f t="shared" si="360"/>
        <v/>
      </c>
      <c r="N3306" s="66" t="str">
        <f t="shared" si="361"/>
        <v/>
      </c>
      <c r="O3306" s="66" t="str">
        <f t="shared" si="362"/>
        <v/>
      </c>
      <c r="P3306" s="66" t="str">
        <f t="shared" si="363"/>
        <v/>
      </c>
    </row>
    <row r="3307" spans="8:16">
      <c r="H3307" s="66" t="e">
        <f>IF(LEFT(A3307,6)="CEPNTR","GPINS",VLOOKUP(LEFT(A3307,6),'Code Library'!$A$3:$B$920,2,0))&amp;"_"&amp;RIGHT(A3307,3)</f>
        <v>#N/A</v>
      </c>
      <c r="I3307" s="66">
        <f t="shared" si="357"/>
        <v>0</v>
      </c>
      <c r="K3307" s="66" t="str">
        <f t="shared" si="358"/>
        <v/>
      </c>
      <c r="L3307" s="66" t="str">
        <f t="shared" si="359"/>
        <v/>
      </c>
      <c r="M3307" s="66" t="str">
        <f t="shared" si="360"/>
        <v/>
      </c>
      <c r="N3307" s="66" t="str">
        <f t="shared" si="361"/>
        <v/>
      </c>
      <c r="O3307" s="66" t="str">
        <f t="shared" si="362"/>
        <v/>
      </c>
      <c r="P3307" s="66" t="str">
        <f t="shared" si="363"/>
        <v/>
      </c>
    </row>
    <row r="3308" spans="8:16">
      <c r="H3308" s="66" t="e">
        <f>IF(LEFT(A3308,6)="CEPNTR","GPINS",VLOOKUP(LEFT(A3308,6),'Code Library'!$A$3:$B$920,2,0))&amp;"_"&amp;RIGHT(A3308,3)</f>
        <v>#N/A</v>
      </c>
      <c r="I3308" s="66">
        <f t="shared" si="357"/>
        <v>0</v>
      </c>
      <c r="K3308" s="66" t="str">
        <f t="shared" si="358"/>
        <v/>
      </c>
      <c r="L3308" s="66" t="str">
        <f t="shared" si="359"/>
        <v/>
      </c>
      <c r="M3308" s="66" t="str">
        <f t="shared" si="360"/>
        <v/>
      </c>
      <c r="N3308" s="66" t="str">
        <f t="shared" si="361"/>
        <v/>
      </c>
      <c r="O3308" s="66" t="str">
        <f t="shared" si="362"/>
        <v/>
      </c>
      <c r="P3308" s="66" t="str">
        <f t="shared" si="363"/>
        <v/>
      </c>
    </row>
    <row r="3309" spans="8:16">
      <c r="H3309" s="66" t="e">
        <f>IF(LEFT(A3309,6)="CEPNTR","GPINS",VLOOKUP(LEFT(A3309,6),'Code Library'!$A$3:$B$920,2,0))&amp;"_"&amp;RIGHT(A3309,3)</f>
        <v>#N/A</v>
      </c>
      <c r="I3309" s="66">
        <f t="shared" si="357"/>
        <v>0</v>
      </c>
      <c r="K3309" s="66" t="str">
        <f t="shared" si="358"/>
        <v/>
      </c>
      <c r="L3309" s="66" t="str">
        <f t="shared" si="359"/>
        <v/>
      </c>
      <c r="M3309" s="66" t="str">
        <f t="shared" si="360"/>
        <v/>
      </c>
      <c r="N3309" s="66" t="str">
        <f t="shared" si="361"/>
        <v/>
      </c>
      <c r="O3309" s="66" t="str">
        <f t="shared" si="362"/>
        <v/>
      </c>
      <c r="P3309" s="66" t="str">
        <f t="shared" si="363"/>
        <v/>
      </c>
    </row>
    <row r="3310" spans="8:16">
      <c r="H3310" s="66" t="e">
        <f>IF(LEFT(A3310,6)="CEPNTR","GPINS",VLOOKUP(LEFT(A3310,6),'Code Library'!$A$3:$B$920,2,0))&amp;"_"&amp;RIGHT(A3310,3)</f>
        <v>#N/A</v>
      </c>
      <c r="I3310" s="66">
        <f t="shared" si="357"/>
        <v>0</v>
      </c>
      <c r="K3310" s="66" t="str">
        <f t="shared" si="358"/>
        <v/>
      </c>
      <c r="L3310" s="66" t="str">
        <f t="shared" si="359"/>
        <v/>
      </c>
      <c r="M3310" s="66" t="str">
        <f t="shared" si="360"/>
        <v/>
      </c>
      <c r="N3310" s="66" t="str">
        <f t="shared" si="361"/>
        <v/>
      </c>
      <c r="O3310" s="66" t="str">
        <f t="shared" si="362"/>
        <v/>
      </c>
      <c r="P3310" s="66" t="str">
        <f t="shared" si="363"/>
        <v/>
      </c>
    </row>
    <row r="3311" spans="8:16">
      <c r="H3311" s="66" t="e">
        <f>IF(LEFT(A3311,6)="CEPNTR","GPINS",VLOOKUP(LEFT(A3311,6),'Code Library'!$A$3:$B$920,2,0))&amp;"_"&amp;RIGHT(A3311,3)</f>
        <v>#N/A</v>
      </c>
      <c r="I3311" s="66">
        <f t="shared" si="357"/>
        <v>0</v>
      </c>
      <c r="K3311" s="66" t="str">
        <f t="shared" si="358"/>
        <v/>
      </c>
      <c r="L3311" s="66" t="str">
        <f t="shared" si="359"/>
        <v/>
      </c>
      <c r="M3311" s="66" t="str">
        <f t="shared" si="360"/>
        <v/>
      </c>
      <c r="N3311" s="66" t="str">
        <f t="shared" si="361"/>
        <v/>
      </c>
      <c r="O3311" s="66" t="str">
        <f t="shared" si="362"/>
        <v/>
      </c>
      <c r="P3311" s="66" t="str">
        <f t="shared" si="363"/>
        <v/>
      </c>
    </row>
    <row r="3312" spans="8:16">
      <c r="H3312" s="66" t="e">
        <f>IF(LEFT(A3312,6)="CEPNTR","GPINS",VLOOKUP(LEFT(A3312,6),'Code Library'!$A$3:$B$920,2,0))&amp;"_"&amp;RIGHT(A3312,3)</f>
        <v>#N/A</v>
      </c>
      <c r="I3312" s="66">
        <f t="shared" si="357"/>
        <v>0</v>
      </c>
      <c r="K3312" s="66" t="str">
        <f t="shared" si="358"/>
        <v/>
      </c>
      <c r="L3312" s="66" t="str">
        <f t="shared" si="359"/>
        <v/>
      </c>
      <c r="M3312" s="66" t="str">
        <f t="shared" si="360"/>
        <v/>
      </c>
      <c r="N3312" s="66" t="str">
        <f t="shared" si="361"/>
        <v/>
      </c>
      <c r="O3312" s="66" t="str">
        <f t="shared" si="362"/>
        <v/>
      </c>
      <c r="P3312" s="66" t="str">
        <f t="shared" si="363"/>
        <v/>
      </c>
    </row>
    <row r="3313" spans="8:16">
      <c r="H3313" s="66" t="e">
        <f>IF(LEFT(A3313,6)="CEPNTR","GPINS",VLOOKUP(LEFT(A3313,6),'Code Library'!$A$3:$B$920,2,0))&amp;"_"&amp;RIGHT(A3313,3)</f>
        <v>#N/A</v>
      </c>
      <c r="I3313" s="66">
        <f t="shared" si="357"/>
        <v>0</v>
      </c>
      <c r="K3313" s="66" t="str">
        <f t="shared" si="358"/>
        <v/>
      </c>
      <c r="L3313" s="66" t="str">
        <f t="shared" si="359"/>
        <v/>
      </c>
      <c r="M3313" s="66" t="str">
        <f t="shared" si="360"/>
        <v/>
      </c>
      <c r="N3313" s="66" t="str">
        <f t="shared" si="361"/>
        <v/>
      </c>
      <c r="O3313" s="66" t="str">
        <f t="shared" si="362"/>
        <v/>
      </c>
      <c r="P3313" s="66" t="str">
        <f t="shared" si="363"/>
        <v/>
      </c>
    </row>
    <row r="3314" spans="8:16">
      <c r="H3314" s="66" t="e">
        <f>IF(LEFT(A3314,6)="CEPNTR","GPINS",VLOOKUP(LEFT(A3314,6),'Code Library'!$A$3:$B$920,2,0))&amp;"_"&amp;RIGHT(A3314,3)</f>
        <v>#N/A</v>
      </c>
      <c r="I3314" s="66">
        <f t="shared" si="357"/>
        <v>0</v>
      </c>
      <c r="K3314" s="66" t="str">
        <f t="shared" si="358"/>
        <v/>
      </c>
      <c r="L3314" s="66" t="str">
        <f t="shared" si="359"/>
        <v/>
      </c>
      <c r="M3314" s="66" t="str">
        <f t="shared" si="360"/>
        <v/>
      </c>
      <c r="N3314" s="66" t="str">
        <f t="shared" si="361"/>
        <v/>
      </c>
      <c r="O3314" s="66" t="str">
        <f t="shared" si="362"/>
        <v/>
      </c>
      <c r="P3314" s="66" t="str">
        <f t="shared" si="363"/>
        <v/>
      </c>
    </row>
    <row r="3315" spans="8:16">
      <c r="H3315" s="66" t="e">
        <f>IF(LEFT(A3315,6)="CEPNTR","GPINS",VLOOKUP(LEFT(A3315,6),'Code Library'!$A$3:$B$920,2,0))&amp;"_"&amp;RIGHT(A3315,3)</f>
        <v>#N/A</v>
      </c>
      <c r="I3315" s="66">
        <f t="shared" si="357"/>
        <v>0</v>
      </c>
      <c r="K3315" s="66" t="str">
        <f t="shared" si="358"/>
        <v/>
      </c>
      <c r="L3315" s="66" t="str">
        <f t="shared" si="359"/>
        <v/>
      </c>
      <c r="M3315" s="66" t="str">
        <f t="shared" si="360"/>
        <v/>
      </c>
      <c r="N3315" s="66" t="str">
        <f t="shared" si="361"/>
        <v/>
      </c>
      <c r="O3315" s="66" t="str">
        <f t="shared" si="362"/>
        <v/>
      </c>
      <c r="P3315" s="66" t="str">
        <f t="shared" si="363"/>
        <v/>
      </c>
    </row>
    <row r="3316" spans="8:16">
      <c r="H3316" s="66" t="e">
        <f>IF(LEFT(A3316,6)="CEPNTR","GPINS",VLOOKUP(LEFT(A3316,6),'Code Library'!$A$3:$B$920,2,0))&amp;"_"&amp;RIGHT(A3316,3)</f>
        <v>#N/A</v>
      </c>
      <c r="I3316" s="66">
        <f t="shared" si="357"/>
        <v>0</v>
      </c>
      <c r="K3316" s="66" t="str">
        <f t="shared" si="358"/>
        <v/>
      </c>
      <c r="L3316" s="66" t="str">
        <f t="shared" si="359"/>
        <v/>
      </c>
      <c r="M3316" s="66" t="str">
        <f t="shared" si="360"/>
        <v/>
      </c>
      <c r="N3316" s="66" t="str">
        <f t="shared" si="361"/>
        <v/>
      </c>
      <c r="O3316" s="66" t="str">
        <f t="shared" si="362"/>
        <v/>
      </c>
      <c r="P3316" s="66" t="str">
        <f t="shared" si="363"/>
        <v/>
      </c>
    </row>
    <row r="3317" spans="8:16">
      <c r="H3317" s="66" t="e">
        <f>IF(LEFT(A3317,6)="CEPNTR","GPINS",VLOOKUP(LEFT(A3317,6),'Code Library'!$A$3:$B$920,2,0))&amp;"_"&amp;RIGHT(A3317,3)</f>
        <v>#N/A</v>
      </c>
      <c r="I3317" s="66">
        <f t="shared" si="357"/>
        <v>0</v>
      </c>
      <c r="K3317" s="66" t="str">
        <f t="shared" si="358"/>
        <v/>
      </c>
      <c r="L3317" s="66" t="str">
        <f t="shared" si="359"/>
        <v/>
      </c>
      <c r="M3317" s="66" t="str">
        <f t="shared" si="360"/>
        <v/>
      </c>
      <c r="N3317" s="66" t="str">
        <f t="shared" si="361"/>
        <v/>
      </c>
      <c r="O3317" s="66" t="str">
        <f t="shared" si="362"/>
        <v/>
      </c>
      <c r="P3317" s="66" t="str">
        <f t="shared" si="363"/>
        <v/>
      </c>
    </row>
    <row r="3318" spans="8:16">
      <c r="H3318" s="66" t="e">
        <f>IF(LEFT(A3318,6)="CEPNTR","GPINS",VLOOKUP(LEFT(A3318,6),'Code Library'!$A$3:$B$920,2,0))&amp;"_"&amp;RIGHT(A3318,3)</f>
        <v>#N/A</v>
      </c>
      <c r="I3318" s="66">
        <f t="shared" si="357"/>
        <v>0</v>
      </c>
      <c r="K3318" s="66" t="str">
        <f t="shared" si="358"/>
        <v/>
      </c>
      <c r="L3318" s="66" t="str">
        <f t="shared" si="359"/>
        <v/>
      </c>
      <c r="M3318" s="66" t="str">
        <f t="shared" si="360"/>
        <v/>
      </c>
      <c r="N3318" s="66" t="str">
        <f t="shared" si="361"/>
        <v/>
      </c>
      <c r="O3318" s="66" t="str">
        <f t="shared" si="362"/>
        <v/>
      </c>
      <c r="P3318" s="66" t="str">
        <f t="shared" si="363"/>
        <v/>
      </c>
    </row>
    <row r="3319" spans="8:16">
      <c r="H3319" s="66" t="e">
        <f>IF(LEFT(A3319,6)="CEPNTR","GPINS",VLOOKUP(LEFT(A3319,6),'Code Library'!$A$3:$B$920,2,0))&amp;"_"&amp;RIGHT(A3319,3)</f>
        <v>#N/A</v>
      </c>
      <c r="I3319" s="66">
        <f t="shared" si="357"/>
        <v>0</v>
      </c>
      <c r="K3319" s="66" t="str">
        <f t="shared" si="358"/>
        <v/>
      </c>
      <c r="L3319" s="66" t="str">
        <f t="shared" si="359"/>
        <v/>
      </c>
      <c r="M3319" s="66" t="str">
        <f t="shared" si="360"/>
        <v/>
      </c>
      <c r="N3319" s="66" t="str">
        <f t="shared" si="361"/>
        <v/>
      </c>
      <c r="O3319" s="66" t="str">
        <f t="shared" si="362"/>
        <v/>
      </c>
      <c r="P3319" s="66" t="str">
        <f t="shared" si="363"/>
        <v/>
      </c>
    </row>
    <row r="3320" spans="8:16">
      <c r="H3320" s="66" t="e">
        <f>IF(LEFT(A3320,6)="CEPNTR","GPINS",VLOOKUP(LEFT(A3320,6),'Code Library'!$A$3:$B$920,2,0))&amp;"_"&amp;RIGHT(A3320,3)</f>
        <v>#N/A</v>
      </c>
      <c r="I3320" s="66">
        <f t="shared" si="357"/>
        <v>0</v>
      </c>
      <c r="K3320" s="66" t="str">
        <f t="shared" si="358"/>
        <v/>
      </c>
      <c r="L3320" s="66" t="str">
        <f t="shared" si="359"/>
        <v/>
      </c>
      <c r="M3320" s="66" t="str">
        <f t="shared" si="360"/>
        <v/>
      </c>
      <c r="N3320" s="66" t="str">
        <f t="shared" si="361"/>
        <v/>
      </c>
      <c r="O3320" s="66" t="str">
        <f t="shared" si="362"/>
        <v/>
      </c>
      <c r="P3320" s="66" t="str">
        <f t="shared" si="363"/>
        <v/>
      </c>
    </row>
    <row r="3321" spans="8:16">
      <c r="H3321" s="66" t="e">
        <f>IF(LEFT(A3321,6)="CEPNTR","GPINS",VLOOKUP(LEFT(A3321,6),'Code Library'!$A$3:$B$920,2,0))&amp;"_"&amp;RIGHT(A3321,3)</f>
        <v>#N/A</v>
      </c>
      <c r="I3321" s="66">
        <f t="shared" si="357"/>
        <v>0</v>
      </c>
      <c r="K3321" s="66" t="str">
        <f t="shared" si="358"/>
        <v/>
      </c>
      <c r="L3321" s="66" t="str">
        <f t="shared" si="359"/>
        <v/>
      </c>
      <c r="M3321" s="66" t="str">
        <f t="shared" si="360"/>
        <v/>
      </c>
      <c r="N3321" s="66" t="str">
        <f t="shared" si="361"/>
        <v/>
      </c>
      <c r="O3321" s="66" t="str">
        <f t="shared" si="362"/>
        <v/>
      </c>
      <c r="P3321" s="66" t="str">
        <f t="shared" si="363"/>
        <v/>
      </c>
    </row>
    <row r="3322" spans="8:16">
      <c r="H3322" s="66" t="e">
        <f>IF(LEFT(A3322,6)="CEPNTR","GPINS",VLOOKUP(LEFT(A3322,6),'Code Library'!$A$3:$B$920,2,0))&amp;"_"&amp;RIGHT(A3322,3)</f>
        <v>#N/A</v>
      </c>
      <c r="I3322" s="66">
        <f t="shared" si="357"/>
        <v>0</v>
      </c>
      <c r="K3322" s="66" t="str">
        <f t="shared" si="358"/>
        <v/>
      </c>
      <c r="L3322" s="66" t="str">
        <f t="shared" si="359"/>
        <v/>
      </c>
      <c r="M3322" s="66" t="str">
        <f t="shared" si="360"/>
        <v/>
      </c>
      <c r="N3322" s="66" t="str">
        <f t="shared" si="361"/>
        <v/>
      </c>
      <c r="O3322" s="66" t="str">
        <f t="shared" si="362"/>
        <v/>
      </c>
      <c r="P3322" s="66" t="str">
        <f t="shared" si="363"/>
        <v/>
      </c>
    </row>
    <row r="3323" spans="8:16">
      <c r="H3323" s="66" t="e">
        <f>IF(LEFT(A3323,6)="CEPNTR","GPINS",VLOOKUP(LEFT(A3323,6),'Code Library'!$A$3:$B$920,2,0))&amp;"_"&amp;RIGHT(A3323,3)</f>
        <v>#N/A</v>
      </c>
      <c r="I3323" s="66">
        <f t="shared" si="357"/>
        <v>0</v>
      </c>
      <c r="K3323" s="66" t="str">
        <f t="shared" si="358"/>
        <v/>
      </c>
      <c r="L3323" s="66" t="str">
        <f t="shared" si="359"/>
        <v/>
      </c>
      <c r="M3323" s="66" t="str">
        <f t="shared" si="360"/>
        <v/>
      </c>
      <c r="N3323" s="66" t="str">
        <f t="shared" si="361"/>
        <v/>
      </c>
      <c r="O3323" s="66" t="str">
        <f t="shared" si="362"/>
        <v/>
      </c>
      <c r="P3323" s="66" t="str">
        <f t="shared" si="363"/>
        <v/>
      </c>
    </row>
    <row r="3324" spans="8:16">
      <c r="H3324" s="66" t="e">
        <f>IF(LEFT(A3324,6)="CEPNTR","GPINS",VLOOKUP(LEFT(A3324,6),'Code Library'!$A$3:$B$920,2,0))&amp;"_"&amp;RIGHT(A3324,3)</f>
        <v>#N/A</v>
      </c>
      <c r="I3324" s="66">
        <f t="shared" si="357"/>
        <v>0</v>
      </c>
      <c r="K3324" s="66" t="str">
        <f t="shared" si="358"/>
        <v/>
      </c>
      <c r="L3324" s="66" t="str">
        <f t="shared" si="359"/>
        <v/>
      </c>
      <c r="M3324" s="66" t="str">
        <f t="shared" si="360"/>
        <v/>
      </c>
      <c r="N3324" s="66" t="str">
        <f t="shared" si="361"/>
        <v/>
      </c>
      <c r="O3324" s="66" t="str">
        <f t="shared" si="362"/>
        <v/>
      </c>
      <c r="P3324" s="66" t="str">
        <f t="shared" si="363"/>
        <v/>
      </c>
    </row>
    <row r="3325" spans="8:16">
      <c r="H3325" s="66" t="e">
        <f>IF(LEFT(A3325,6)="CEPNTR","GPINS",VLOOKUP(LEFT(A3325,6),'Code Library'!$A$3:$B$920,2,0))&amp;"_"&amp;RIGHT(A3325,3)</f>
        <v>#N/A</v>
      </c>
      <c r="I3325" s="66">
        <f t="shared" si="357"/>
        <v>0</v>
      </c>
      <c r="K3325" s="66" t="str">
        <f t="shared" si="358"/>
        <v/>
      </c>
      <c r="L3325" s="66" t="str">
        <f t="shared" si="359"/>
        <v/>
      </c>
      <c r="M3325" s="66" t="str">
        <f t="shared" si="360"/>
        <v/>
      </c>
      <c r="N3325" s="66" t="str">
        <f t="shared" si="361"/>
        <v/>
      </c>
      <c r="O3325" s="66" t="str">
        <f t="shared" si="362"/>
        <v/>
      </c>
      <c r="P3325" s="66" t="str">
        <f t="shared" si="363"/>
        <v/>
      </c>
    </row>
    <row r="3326" spans="8:16">
      <c r="H3326" s="66" t="e">
        <f>IF(LEFT(A3326,6)="CEPNTR","GPINS",VLOOKUP(LEFT(A3326,6),'Code Library'!$A$3:$B$920,2,0))&amp;"_"&amp;RIGHT(A3326,3)</f>
        <v>#N/A</v>
      </c>
      <c r="I3326" s="66">
        <f t="shared" si="357"/>
        <v>0</v>
      </c>
      <c r="K3326" s="66" t="str">
        <f t="shared" si="358"/>
        <v/>
      </c>
      <c r="L3326" s="66" t="str">
        <f t="shared" si="359"/>
        <v/>
      </c>
      <c r="M3326" s="66" t="str">
        <f t="shared" si="360"/>
        <v/>
      </c>
      <c r="N3326" s="66" t="str">
        <f t="shared" si="361"/>
        <v/>
      </c>
      <c r="O3326" s="66" t="str">
        <f t="shared" si="362"/>
        <v/>
      </c>
      <c r="P3326" s="66" t="str">
        <f t="shared" si="363"/>
        <v/>
      </c>
    </row>
    <row r="3327" spans="8:16">
      <c r="H3327" s="66" t="e">
        <f>IF(LEFT(A3327,6)="CEPNTR","GPINS",VLOOKUP(LEFT(A3327,6),'Code Library'!$A$3:$B$920,2,0))&amp;"_"&amp;RIGHT(A3327,3)</f>
        <v>#N/A</v>
      </c>
      <c r="I3327" s="66">
        <f t="shared" si="357"/>
        <v>0</v>
      </c>
      <c r="K3327" s="66" t="str">
        <f t="shared" si="358"/>
        <v/>
      </c>
      <c r="L3327" s="66" t="str">
        <f t="shared" si="359"/>
        <v/>
      </c>
      <c r="M3327" s="66" t="str">
        <f t="shared" si="360"/>
        <v/>
      </c>
      <c r="N3327" s="66" t="str">
        <f t="shared" si="361"/>
        <v/>
      </c>
      <c r="O3327" s="66" t="str">
        <f t="shared" si="362"/>
        <v/>
      </c>
      <c r="P3327" s="66" t="str">
        <f t="shared" si="363"/>
        <v/>
      </c>
    </row>
    <row r="3328" spans="8:16">
      <c r="H3328" s="66" t="e">
        <f>IF(LEFT(A3328,6)="CEPNTR","GPINS",VLOOKUP(LEFT(A3328,6),'Code Library'!$A$3:$B$920,2,0))&amp;"_"&amp;RIGHT(A3328,3)</f>
        <v>#N/A</v>
      </c>
      <c r="I3328" s="66">
        <f t="shared" si="357"/>
        <v>0</v>
      </c>
      <c r="K3328" s="66" t="str">
        <f t="shared" si="358"/>
        <v/>
      </c>
      <c r="L3328" s="66" t="str">
        <f t="shared" si="359"/>
        <v/>
      </c>
      <c r="M3328" s="66" t="str">
        <f t="shared" si="360"/>
        <v/>
      </c>
      <c r="N3328" s="66" t="str">
        <f t="shared" si="361"/>
        <v/>
      </c>
      <c r="O3328" s="66" t="str">
        <f t="shared" si="362"/>
        <v/>
      </c>
      <c r="P3328" s="66" t="str">
        <f t="shared" si="363"/>
        <v/>
      </c>
    </row>
    <row r="3329" spans="8:16">
      <c r="H3329" s="66" t="e">
        <f>IF(LEFT(A3329,6)="CEPNTR","GPINS",VLOOKUP(LEFT(A3329,6),'Code Library'!$A$3:$B$920,2,0))&amp;"_"&amp;RIGHT(A3329,3)</f>
        <v>#N/A</v>
      </c>
      <c r="I3329" s="66">
        <f t="shared" si="357"/>
        <v>0</v>
      </c>
      <c r="K3329" s="66" t="str">
        <f t="shared" si="358"/>
        <v/>
      </c>
      <c r="L3329" s="66" t="str">
        <f t="shared" si="359"/>
        <v/>
      </c>
      <c r="M3329" s="66" t="str">
        <f t="shared" si="360"/>
        <v/>
      </c>
      <c r="N3329" s="66" t="str">
        <f t="shared" si="361"/>
        <v/>
      </c>
      <c r="O3329" s="66" t="str">
        <f t="shared" si="362"/>
        <v/>
      </c>
      <c r="P3329" s="66" t="str">
        <f t="shared" si="363"/>
        <v/>
      </c>
    </row>
    <row r="3330" spans="8:16">
      <c r="H3330" s="66" t="e">
        <f>IF(LEFT(A3330,6)="CEPNTR","GPINS",VLOOKUP(LEFT(A3330,6),'Code Library'!$A$3:$B$920,2,0))&amp;"_"&amp;RIGHT(A3330,3)</f>
        <v>#N/A</v>
      </c>
      <c r="I3330" s="66">
        <f t="shared" si="357"/>
        <v>0</v>
      </c>
      <c r="K3330" s="66" t="str">
        <f t="shared" si="358"/>
        <v/>
      </c>
      <c r="L3330" s="66" t="str">
        <f t="shared" si="359"/>
        <v/>
      </c>
      <c r="M3330" s="66" t="str">
        <f t="shared" si="360"/>
        <v/>
      </c>
      <c r="N3330" s="66" t="str">
        <f t="shared" si="361"/>
        <v/>
      </c>
      <c r="O3330" s="66" t="str">
        <f t="shared" si="362"/>
        <v/>
      </c>
      <c r="P3330" s="66" t="str">
        <f t="shared" si="363"/>
        <v/>
      </c>
    </row>
    <row r="3331" spans="8:16">
      <c r="H3331" s="66" t="e">
        <f>IF(LEFT(A3331,6)="CEPNTR","GPINS",VLOOKUP(LEFT(A3331,6),'Code Library'!$A$3:$B$920,2,0))&amp;"_"&amp;RIGHT(A3331,3)</f>
        <v>#N/A</v>
      </c>
      <c r="I3331" s="66">
        <f t="shared" ref="I3331:I3394" si="364">A3331</f>
        <v>0</v>
      </c>
      <c r="K3331" s="66" t="str">
        <f t="shared" ref="K3331:K3394" si="365">RIGHT($B3331,2)</f>
        <v/>
      </c>
      <c r="L3331" s="66" t="str">
        <f t="shared" ref="L3331:L3394" si="366">LEFT(RIGHT($B3331,7),4)</f>
        <v/>
      </c>
      <c r="M3331" s="66" t="str">
        <f t="shared" ref="M3331:M3394" si="367">LEFT(RIGHT($B3331,10),2)</f>
        <v/>
      </c>
      <c r="N3331" s="66" t="str">
        <f t="shared" ref="N3331:N3394" si="368">LEFT(RIGHT($B3331,14),3)</f>
        <v/>
      </c>
      <c r="O3331" s="66" t="str">
        <f t="shared" ref="O3331:O3394" si="369">LEFT(RIGHT($B3331,16),1)</f>
        <v/>
      </c>
      <c r="P3331" s="66" t="str">
        <f t="shared" ref="P3331:P3394" si="370">LEFT(RIGHT($B3331,19),2)</f>
        <v/>
      </c>
    </row>
    <row r="3332" spans="8:16">
      <c r="H3332" s="66" t="e">
        <f>IF(LEFT(A3332,6)="CEPNTR","GPINS",VLOOKUP(LEFT(A3332,6),'Code Library'!$A$3:$B$920,2,0))&amp;"_"&amp;RIGHT(A3332,3)</f>
        <v>#N/A</v>
      </c>
      <c r="I3332" s="66">
        <f t="shared" si="364"/>
        <v>0</v>
      </c>
      <c r="K3332" s="66" t="str">
        <f t="shared" si="365"/>
        <v/>
      </c>
      <c r="L3332" s="66" t="str">
        <f t="shared" si="366"/>
        <v/>
      </c>
      <c r="M3332" s="66" t="str">
        <f t="shared" si="367"/>
        <v/>
      </c>
      <c r="N3332" s="66" t="str">
        <f t="shared" si="368"/>
        <v/>
      </c>
      <c r="O3332" s="66" t="str">
        <f t="shared" si="369"/>
        <v/>
      </c>
      <c r="P3332" s="66" t="str">
        <f t="shared" si="370"/>
        <v/>
      </c>
    </row>
    <row r="3333" spans="8:16">
      <c r="H3333" s="66" t="e">
        <f>IF(LEFT(A3333,6)="CEPNTR","GPINS",VLOOKUP(LEFT(A3333,6),'Code Library'!$A$3:$B$920,2,0))&amp;"_"&amp;RIGHT(A3333,3)</f>
        <v>#N/A</v>
      </c>
      <c r="I3333" s="66">
        <f t="shared" si="364"/>
        <v>0</v>
      </c>
      <c r="K3333" s="66" t="str">
        <f t="shared" si="365"/>
        <v/>
      </c>
      <c r="L3333" s="66" t="str">
        <f t="shared" si="366"/>
        <v/>
      </c>
      <c r="M3333" s="66" t="str">
        <f t="shared" si="367"/>
        <v/>
      </c>
      <c r="N3333" s="66" t="str">
        <f t="shared" si="368"/>
        <v/>
      </c>
      <c r="O3333" s="66" t="str">
        <f t="shared" si="369"/>
        <v/>
      </c>
      <c r="P3333" s="66" t="str">
        <f t="shared" si="370"/>
        <v/>
      </c>
    </row>
    <row r="3334" spans="8:16">
      <c r="H3334" s="66" t="e">
        <f>IF(LEFT(A3334,6)="CEPNTR","GPINS",VLOOKUP(LEFT(A3334,6),'Code Library'!$A$3:$B$920,2,0))&amp;"_"&amp;RIGHT(A3334,3)</f>
        <v>#N/A</v>
      </c>
      <c r="I3334" s="66">
        <f t="shared" si="364"/>
        <v>0</v>
      </c>
      <c r="K3334" s="66" t="str">
        <f t="shared" si="365"/>
        <v/>
      </c>
      <c r="L3334" s="66" t="str">
        <f t="shared" si="366"/>
        <v/>
      </c>
      <c r="M3334" s="66" t="str">
        <f t="shared" si="367"/>
        <v/>
      </c>
      <c r="N3334" s="66" t="str">
        <f t="shared" si="368"/>
        <v/>
      </c>
      <c r="O3334" s="66" t="str">
        <f t="shared" si="369"/>
        <v/>
      </c>
      <c r="P3334" s="66" t="str">
        <f t="shared" si="370"/>
        <v/>
      </c>
    </row>
    <row r="3335" spans="8:16">
      <c r="H3335" s="66" t="e">
        <f>IF(LEFT(A3335,6)="CEPNTR","GPINS",VLOOKUP(LEFT(A3335,6),'Code Library'!$A$3:$B$920,2,0))&amp;"_"&amp;RIGHT(A3335,3)</f>
        <v>#N/A</v>
      </c>
      <c r="I3335" s="66">
        <f t="shared" si="364"/>
        <v>0</v>
      </c>
      <c r="K3335" s="66" t="str">
        <f t="shared" si="365"/>
        <v/>
      </c>
      <c r="L3335" s="66" t="str">
        <f t="shared" si="366"/>
        <v/>
      </c>
      <c r="M3335" s="66" t="str">
        <f t="shared" si="367"/>
        <v/>
      </c>
      <c r="N3335" s="66" t="str">
        <f t="shared" si="368"/>
        <v/>
      </c>
      <c r="O3335" s="66" t="str">
        <f t="shared" si="369"/>
        <v/>
      </c>
      <c r="P3335" s="66" t="str">
        <f t="shared" si="370"/>
        <v/>
      </c>
    </row>
    <row r="3336" spans="8:16">
      <c r="H3336" s="66" t="e">
        <f>IF(LEFT(A3336,6)="CEPNTR","GPINS",VLOOKUP(LEFT(A3336,6),'Code Library'!$A$3:$B$920,2,0))&amp;"_"&amp;RIGHT(A3336,3)</f>
        <v>#N/A</v>
      </c>
      <c r="I3336" s="66">
        <f t="shared" si="364"/>
        <v>0</v>
      </c>
      <c r="K3336" s="66" t="str">
        <f t="shared" si="365"/>
        <v/>
      </c>
      <c r="L3336" s="66" t="str">
        <f t="shared" si="366"/>
        <v/>
      </c>
      <c r="M3336" s="66" t="str">
        <f t="shared" si="367"/>
        <v/>
      </c>
      <c r="N3336" s="66" t="str">
        <f t="shared" si="368"/>
        <v/>
      </c>
      <c r="O3336" s="66" t="str">
        <f t="shared" si="369"/>
        <v/>
      </c>
      <c r="P3336" s="66" t="str">
        <f t="shared" si="370"/>
        <v/>
      </c>
    </row>
    <row r="3337" spans="8:16">
      <c r="H3337" s="66" t="e">
        <f>IF(LEFT(A3337,6)="CEPNTR","GPINS",VLOOKUP(LEFT(A3337,6),'Code Library'!$A$3:$B$920,2,0))&amp;"_"&amp;RIGHT(A3337,3)</f>
        <v>#N/A</v>
      </c>
      <c r="I3337" s="66">
        <f t="shared" si="364"/>
        <v>0</v>
      </c>
      <c r="K3337" s="66" t="str">
        <f t="shared" si="365"/>
        <v/>
      </c>
      <c r="L3337" s="66" t="str">
        <f t="shared" si="366"/>
        <v/>
      </c>
      <c r="M3337" s="66" t="str">
        <f t="shared" si="367"/>
        <v/>
      </c>
      <c r="N3337" s="66" t="str">
        <f t="shared" si="368"/>
        <v/>
      </c>
      <c r="O3337" s="66" t="str">
        <f t="shared" si="369"/>
        <v/>
      </c>
      <c r="P3337" s="66" t="str">
        <f t="shared" si="370"/>
        <v/>
      </c>
    </row>
    <row r="3338" spans="8:16">
      <c r="H3338" s="66" t="e">
        <f>IF(LEFT(A3338,6)="CEPNTR","GPINS",VLOOKUP(LEFT(A3338,6),'Code Library'!$A$3:$B$920,2,0))&amp;"_"&amp;RIGHT(A3338,3)</f>
        <v>#N/A</v>
      </c>
      <c r="I3338" s="66">
        <f t="shared" si="364"/>
        <v>0</v>
      </c>
      <c r="K3338" s="66" t="str">
        <f t="shared" si="365"/>
        <v/>
      </c>
      <c r="L3338" s="66" t="str">
        <f t="shared" si="366"/>
        <v/>
      </c>
      <c r="M3338" s="66" t="str">
        <f t="shared" si="367"/>
        <v/>
      </c>
      <c r="N3338" s="66" t="str">
        <f t="shared" si="368"/>
        <v/>
      </c>
      <c r="O3338" s="66" t="str">
        <f t="shared" si="369"/>
        <v/>
      </c>
      <c r="P3338" s="66" t="str">
        <f t="shared" si="370"/>
        <v/>
      </c>
    </row>
    <row r="3339" spans="8:16">
      <c r="H3339" s="66" t="e">
        <f>IF(LEFT(A3339,6)="CEPNTR","GPINS",VLOOKUP(LEFT(A3339,6),'Code Library'!$A$3:$B$920,2,0))&amp;"_"&amp;RIGHT(A3339,3)</f>
        <v>#N/A</v>
      </c>
      <c r="I3339" s="66">
        <f t="shared" si="364"/>
        <v>0</v>
      </c>
      <c r="K3339" s="66" t="str">
        <f t="shared" si="365"/>
        <v/>
      </c>
      <c r="L3339" s="66" t="str">
        <f t="shared" si="366"/>
        <v/>
      </c>
      <c r="M3339" s="66" t="str">
        <f t="shared" si="367"/>
        <v/>
      </c>
      <c r="N3339" s="66" t="str">
        <f t="shared" si="368"/>
        <v/>
      </c>
      <c r="O3339" s="66" t="str">
        <f t="shared" si="369"/>
        <v/>
      </c>
      <c r="P3339" s="66" t="str">
        <f t="shared" si="370"/>
        <v/>
      </c>
    </row>
    <row r="3340" spans="8:16">
      <c r="H3340" s="66" t="e">
        <f>IF(LEFT(A3340,6)="CEPNTR","GPINS",VLOOKUP(LEFT(A3340,6),'Code Library'!$A$3:$B$920,2,0))&amp;"_"&amp;RIGHT(A3340,3)</f>
        <v>#N/A</v>
      </c>
      <c r="I3340" s="66">
        <f t="shared" si="364"/>
        <v>0</v>
      </c>
      <c r="K3340" s="66" t="str">
        <f t="shared" si="365"/>
        <v/>
      </c>
      <c r="L3340" s="66" t="str">
        <f t="shared" si="366"/>
        <v/>
      </c>
      <c r="M3340" s="66" t="str">
        <f t="shared" si="367"/>
        <v/>
      </c>
      <c r="N3340" s="66" t="str">
        <f t="shared" si="368"/>
        <v/>
      </c>
      <c r="O3340" s="66" t="str">
        <f t="shared" si="369"/>
        <v/>
      </c>
      <c r="P3340" s="66" t="str">
        <f t="shared" si="370"/>
        <v/>
      </c>
    </row>
    <row r="3341" spans="8:16">
      <c r="H3341" s="66" t="e">
        <f>IF(LEFT(A3341,6)="CEPNTR","GPINS",VLOOKUP(LEFT(A3341,6),'Code Library'!$A$3:$B$920,2,0))&amp;"_"&amp;RIGHT(A3341,3)</f>
        <v>#N/A</v>
      </c>
      <c r="I3341" s="66">
        <f t="shared" si="364"/>
        <v>0</v>
      </c>
      <c r="K3341" s="66" t="str">
        <f t="shared" si="365"/>
        <v/>
      </c>
      <c r="L3341" s="66" t="str">
        <f t="shared" si="366"/>
        <v/>
      </c>
      <c r="M3341" s="66" t="str">
        <f t="shared" si="367"/>
        <v/>
      </c>
      <c r="N3341" s="66" t="str">
        <f t="shared" si="368"/>
        <v/>
      </c>
      <c r="O3341" s="66" t="str">
        <f t="shared" si="369"/>
        <v/>
      </c>
      <c r="P3341" s="66" t="str">
        <f t="shared" si="370"/>
        <v/>
      </c>
    </row>
    <row r="3342" spans="8:16">
      <c r="H3342" s="66" t="e">
        <f>IF(LEFT(A3342,6)="CEPNTR","GPINS",VLOOKUP(LEFT(A3342,6),'Code Library'!$A$3:$B$920,2,0))&amp;"_"&amp;RIGHT(A3342,3)</f>
        <v>#N/A</v>
      </c>
      <c r="I3342" s="66">
        <f t="shared" si="364"/>
        <v>0</v>
      </c>
      <c r="K3342" s="66" t="str">
        <f t="shared" si="365"/>
        <v/>
      </c>
      <c r="L3342" s="66" t="str">
        <f t="shared" si="366"/>
        <v/>
      </c>
      <c r="M3342" s="66" t="str">
        <f t="shared" si="367"/>
        <v/>
      </c>
      <c r="N3342" s="66" t="str">
        <f t="shared" si="368"/>
        <v/>
      </c>
      <c r="O3342" s="66" t="str">
        <f t="shared" si="369"/>
        <v/>
      </c>
      <c r="P3342" s="66" t="str">
        <f t="shared" si="370"/>
        <v/>
      </c>
    </row>
    <row r="3343" spans="8:16">
      <c r="H3343" s="66" t="e">
        <f>IF(LEFT(A3343,6)="CEPNTR","GPINS",VLOOKUP(LEFT(A3343,6),'Code Library'!$A$3:$B$920,2,0))&amp;"_"&amp;RIGHT(A3343,3)</f>
        <v>#N/A</v>
      </c>
      <c r="I3343" s="66">
        <f t="shared" si="364"/>
        <v>0</v>
      </c>
      <c r="K3343" s="66" t="str">
        <f t="shared" si="365"/>
        <v/>
      </c>
      <c r="L3343" s="66" t="str">
        <f t="shared" si="366"/>
        <v/>
      </c>
      <c r="M3343" s="66" t="str">
        <f t="shared" si="367"/>
        <v/>
      </c>
      <c r="N3343" s="66" t="str">
        <f t="shared" si="368"/>
        <v/>
      </c>
      <c r="O3343" s="66" t="str">
        <f t="shared" si="369"/>
        <v/>
      </c>
      <c r="P3343" s="66" t="str">
        <f t="shared" si="370"/>
        <v/>
      </c>
    </row>
    <row r="3344" spans="8:16">
      <c r="H3344" s="66" t="e">
        <f>IF(LEFT(A3344,6)="CEPNTR","GPINS",VLOOKUP(LEFT(A3344,6),'Code Library'!$A$3:$B$920,2,0))&amp;"_"&amp;RIGHT(A3344,3)</f>
        <v>#N/A</v>
      </c>
      <c r="I3344" s="66">
        <f t="shared" si="364"/>
        <v>0</v>
      </c>
      <c r="K3344" s="66" t="str">
        <f t="shared" si="365"/>
        <v/>
      </c>
      <c r="L3344" s="66" t="str">
        <f t="shared" si="366"/>
        <v/>
      </c>
      <c r="M3344" s="66" t="str">
        <f t="shared" si="367"/>
        <v/>
      </c>
      <c r="N3344" s="66" t="str">
        <f t="shared" si="368"/>
        <v/>
      </c>
      <c r="O3344" s="66" t="str">
        <f t="shared" si="369"/>
        <v/>
      </c>
      <c r="P3344" s="66" t="str">
        <f t="shared" si="370"/>
        <v/>
      </c>
    </row>
    <row r="3345" spans="8:16">
      <c r="H3345" s="66" t="e">
        <f>IF(LEFT(A3345,6)="CEPNTR","GPINS",VLOOKUP(LEFT(A3345,6),'Code Library'!$A$3:$B$920,2,0))&amp;"_"&amp;RIGHT(A3345,3)</f>
        <v>#N/A</v>
      </c>
      <c r="I3345" s="66">
        <f t="shared" si="364"/>
        <v>0</v>
      </c>
      <c r="K3345" s="66" t="str">
        <f t="shared" si="365"/>
        <v/>
      </c>
      <c r="L3345" s="66" t="str">
        <f t="shared" si="366"/>
        <v/>
      </c>
      <c r="M3345" s="66" t="str">
        <f t="shared" si="367"/>
        <v/>
      </c>
      <c r="N3345" s="66" t="str">
        <f t="shared" si="368"/>
        <v/>
      </c>
      <c r="O3345" s="66" t="str">
        <f t="shared" si="369"/>
        <v/>
      </c>
      <c r="P3345" s="66" t="str">
        <f t="shared" si="370"/>
        <v/>
      </c>
    </row>
    <row r="3346" spans="8:16">
      <c r="H3346" s="66" t="e">
        <f>IF(LEFT(A3346,6)="CEPNTR","GPINS",VLOOKUP(LEFT(A3346,6),'Code Library'!$A$3:$B$920,2,0))&amp;"_"&amp;RIGHT(A3346,3)</f>
        <v>#N/A</v>
      </c>
      <c r="I3346" s="66">
        <f t="shared" si="364"/>
        <v>0</v>
      </c>
      <c r="K3346" s="66" t="str">
        <f t="shared" si="365"/>
        <v/>
      </c>
      <c r="L3346" s="66" t="str">
        <f t="shared" si="366"/>
        <v/>
      </c>
      <c r="M3346" s="66" t="str">
        <f t="shared" si="367"/>
        <v/>
      </c>
      <c r="N3346" s="66" t="str">
        <f t="shared" si="368"/>
        <v/>
      </c>
      <c r="O3346" s="66" t="str">
        <f t="shared" si="369"/>
        <v/>
      </c>
      <c r="P3346" s="66" t="str">
        <f t="shared" si="370"/>
        <v/>
      </c>
    </row>
    <row r="3347" spans="8:16">
      <c r="H3347" s="66" t="e">
        <f>IF(LEFT(A3347,6)="CEPNTR","GPINS",VLOOKUP(LEFT(A3347,6),'Code Library'!$A$3:$B$920,2,0))&amp;"_"&amp;RIGHT(A3347,3)</f>
        <v>#N/A</v>
      </c>
      <c r="I3347" s="66">
        <f t="shared" si="364"/>
        <v>0</v>
      </c>
      <c r="K3347" s="66" t="str">
        <f t="shared" si="365"/>
        <v/>
      </c>
      <c r="L3347" s="66" t="str">
        <f t="shared" si="366"/>
        <v/>
      </c>
      <c r="M3347" s="66" t="str">
        <f t="shared" si="367"/>
        <v/>
      </c>
      <c r="N3347" s="66" t="str">
        <f t="shared" si="368"/>
        <v/>
      </c>
      <c r="O3347" s="66" t="str">
        <f t="shared" si="369"/>
        <v/>
      </c>
      <c r="P3347" s="66" t="str">
        <f t="shared" si="370"/>
        <v/>
      </c>
    </row>
    <row r="3348" spans="8:16">
      <c r="H3348" s="66" t="e">
        <f>IF(LEFT(A3348,6)="CEPNTR","GPINS",VLOOKUP(LEFT(A3348,6),'Code Library'!$A$3:$B$920,2,0))&amp;"_"&amp;RIGHT(A3348,3)</f>
        <v>#N/A</v>
      </c>
      <c r="I3348" s="66">
        <f t="shared" si="364"/>
        <v>0</v>
      </c>
      <c r="K3348" s="66" t="str">
        <f t="shared" si="365"/>
        <v/>
      </c>
      <c r="L3348" s="66" t="str">
        <f t="shared" si="366"/>
        <v/>
      </c>
      <c r="M3348" s="66" t="str">
        <f t="shared" si="367"/>
        <v/>
      </c>
      <c r="N3348" s="66" t="str">
        <f t="shared" si="368"/>
        <v/>
      </c>
      <c r="O3348" s="66" t="str">
        <f t="shared" si="369"/>
        <v/>
      </c>
      <c r="P3348" s="66" t="str">
        <f t="shared" si="370"/>
        <v/>
      </c>
    </row>
    <row r="3349" spans="8:16">
      <c r="H3349" s="66" t="e">
        <f>IF(LEFT(A3349,6)="CEPNTR","GPINS",VLOOKUP(LEFT(A3349,6),'Code Library'!$A$3:$B$920,2,0))&amp;"_"&amp;RIGHT(A3349,3)</f>
        <v>#N/A</v>
      </c>
      <c r="I3349" s="66">
        <f t="shared" si="364"/>
        <v>0</v>
      </c>
      <c r="K3349" s="66" t="str">
        <f t="shared" si="365"/>
        <v/>
      </c>
      <c r="L3349" s="66" t="str">
        <f t="shared" si="366"/>
        <v/>
      </c>
      <c r="M3349" s="66" t="str">
        <f t="shared" si="367"/>
        <v/>
      </c>
      <c r="N3349" s="66" t="str">
        <f t="shared" si="368"/>
        <v/>
      </c>
      <c r="O3349" s="66" t="str">
        <f t="shared" si="369"/>
        <v/>
      </c>
      <c r="P3349" s="66" t="str">
        <f t="shared" si="370"/>
        <v/>
      </c>
    </row>
    <row r="3350" spans="8:16">
      <c r="H3350" s="66" t="e">
        <f>IF(LEFT(A3350,6)="CEPNTR","GPINS",VLOOKUP(LEFT(A3350,6),'Code Library'!$A$3:$B$920,2,0))&amp;"_"&amp;RIGHT(A3350,3)</f>
        <v>#N/A</v>
      </c>
      <c r="I3350" s="66">
        <f t="shared" si="364"/>
        <v>0</v>
      </c>
      <c r="K3350" s="66" t="str">
        <f t="shared" si="365"/>
        <v/>
      </c>
      <c r="L3350" s="66" t="str">
        <f t="shared" si="366"/>
        <v/>
      </c>
      <c r="M3350" s="66" t="str">
        <f t="shared" si="367"/>
        <v/>
      </c>
      <c r="N3350" s="66" t="str">
        <f t="shared" si="368"/>
        <v/>
      </c>
      <c r="O3350" s="66" t="str">
        <f t="shared" si="369"/>
        <v/>
      </c>
      <c r="P3350" s="66" t="str">
        <f t="shared" si="370"/>
        <v/>
      </c>
    </row>
    <row r="3351" spans="8:16">
      <c r="H3351" s="66" t="e">
        <f>IF(LEFT(A3351,6)="CEPNTR","GPINS",VLOOKUP(LEFT(A3351,6),'Code Library'!$A$3:$B$920,2,0))&amp;"_"&amp;RIGHT(A3351,3)</f>
        <v>#N/A</v>
      </c>
      <c r="I3351" s="66">
        <f t="shared" si="364"/>
        <v>0</v>
      </c>
      <c r="K3351" s="66" t="str">
        <f t="shared" si="365"/>
        <v/>
      </c>
      <c r="L3351" s="66" t="str">
        <f t="shared" si="366"/>
        <v/>
      </c>
      <c r="M3351" s="66" t="str">
        <f t="shared" si="367"/>
        <v/>
      </c>
      <c r="N3351" s="66" t="str">
        <f t="shared" si="368"/>
        <v/>
      </c>
      <c r="O3351" s="66" t="str">
        <f t="shared" si="369"/>
        <v/>
      </c>
      <c r="P3351" s="66" t="str">
        <f t="shared" si="370"/>
        <v/>
      </c>
    </row>
    <row r="3352" spans="8:16">
      <c r="H3352" s="66" t="e">
        <f>IF(LEFT(A3352,6)="CEPNTR","GPINS",VLOOKUP(LEFT(A3352,6),'Code Library'!$A$3:$B$920,2,0))&amp;"_"&amp;RIGHT(A3352,3)</f>
        <v>#N/A</v>
      </c>
      <c r="I3352" s="66">
        <f t="shared" si="364"/>
        <v>0</v>
      </c>
      <c r="K3352" s="66" t="str">
        <f t="shared" si="365"/>
        <v/>
      </c>
      <c r="L3352" s="66" t="str">
        <f t="shared" si="366"/>
        <v/>
      </c>
      <c r="M3352" s="66" t="str">
        <f t="shared" si="367"/>
        <v/>
      </c>
      <c r="N3352" s="66" t="str">
        <f t="shared" si="368"/>
        <v/>
      </c>
      <c r="O3352" s="66" t="str">
        <f t="shared" si="369"/>
        <v/>
      </c>
      <c r="P3352" s="66" t="str">
        <f t="shared" si="370"/>
        <v/>
      </c>
    </row>
    <row r="3353" spans="8:16">
      <c r="H3353" s="66" t="e">
        <f>IF(LEFT(A3353,6)="CEPNTR","GPINS",VLOOKUP(LEFT(A3353,6),'Code Library'!$A$3:$B$920,2,0))&amp;"_"&amp;RIGHT(A3353,3)</f>
        <v>#N/A</v>
      </c>
      <c r="I3353" s="66">
        <f t="shared" si="364"/>
        <v>0</v>
      </c>
      <c r="K3353" s="66" t="str">
        <f t="shared" si="365"/>
        <v/>
      </c>
      <c r="L3353" s="66" t="str">
        <f t="shared" si="366"/>
        <v/>
      </c>
      <c r="M3353" s="66" t="str">
        <f t="shared" si="367"/>
        <v/>
      </c>
      <c r="N3353" s="66" t="str">
        <f t="shared" si="368"/>
        <v/>
      </c>
      <c r="O3353" s="66" t="str">
        <f t="shared" si="369"/>
        <v/>
      </c>
      <c r="P3353" s="66" t="str">
        <f t="shared" si="370"/>
        <v/>
      </c>
    </row>
    <row r="3354" spans="8:16">
      <c r="H3354" s="66" t="e">
        <f>IF(LEFT(A3354,6)="CEPNTR","GPINS",VLOOKUP(LEFT(A3354,6),'Code Library'!$A$3:$B$920,2,0))&amp;"_"&amp;RIGHT(A3354,3)</f>
        <v>#N/A</v>
      </c>
      <c r="I3354" s="66">
        <f t="shared" si="364"/>
        <v>0</v>
      </c>
      <c r="K3354" s="66" t="str">
        <f t="shared" si="365"/>
        <v/>
      </c>
      <c r="L3354" s="66" t="str">
        <f t="shared" si="366"/>
        <v/>
      </c>
      <c r="M3354" s="66" t="str">
        <f t="shared" si="367"/>
        <v/>
      </c>
      <c r="N3354" s="66" t="str">
        <f t="shared" si="368"/>
        <v/>
      </c>
      <c r="O3354" s="66" t="str">
        <f t="shared" si="369"/>
        <v/>
      </c>
      <c r="P3354" s="66" t="str">
        <f t="shared" si="370"/>
        <v/>
      </c>
    </row>
    <row r="3355" spans="8:16">
      <c r="H3355" s="66" t="e">
        <f>IF(LEFT(A3355,6)="CEPNTR","GPINS",VLOOKUP(LEFT(A3355,6),'Code Library'!$A$3:$B$920,2,0))&amp;"_"&amp;RIGHT(A3355,3)</f>
        <v>#N/A</v>
      </c>
      <c r="I3355" s="66">
        <f t="shared" si="364"/>
        <v>0</v>
      </c>
      <c r="K3355" s="66" t="str">
        <f t="shared" si="365"/>
        <v/>
      </c>
      <c r="L3355" s="66" t="str">
        <f t="shared" si="366"/>
        <v/>
      </c>
      <c r="M3355" s="66" t="str">
        <f t="shared" si="367"/>
        <v/>
      </c>
      <c r="N3355" s="66" t="str">
        <f t="shared" si="368"/>
        <v/>
      </c>
      <c r="O3355" s="66" t="str">
        <f t="shared" si="369"/>
        <v/>
      </c>
      <c r="P3355" s="66" t="str">
        <f t="shared" si="370"/>
        <v/>
      </c>
    </row>
    <row r="3356" spans="8:16">
      <c r="H3356" s="66" t="e">
        <f>IF(LEFT(A3356,6)="CEPNTR","GPINS",VLOOKUP(LEFT(A3356,6),'Code Library'!$A$3:$B$920,2,0))&amp;"_"&amp;RIGHT(A3356,3)</f>
        <v>#N/A</v>
      </c>
      <c r="I3356" s="66">
        <f t="shared" si="364"/>
        <v>0</v>
      </c>
      <c r="K3356" s="66" t="str">
        <f t="shared" si="365"/>
        <v/>
      </c>
      <c r="L3356" s="66" t="str">
        <f t="shared" si="366"/>
        <v/>
      </c>
      <c r="M3356" s="66" t="str">
        <f t="shared" si="367"/>
        <v/>
      </c>
      <c r="N3356" s="66" t="str">
        <f t="shared" si="368"/>
        <v/>
      </c>
      <c r="O3356" s="66" t="str">
        <f t="shared" si="369"/>
        <v/>
      </c>
      <c r="P3356" s="66" t="str">
        <f t="shared" si="370"/>
        <v/>
      </c>
    </row>
    <row r="3357" spans="8:16">
      <c r="H3357" s="66" t="e">
        <f>IF(LEFT(A3357,6)="CEPNTR","GPINS",VLOOKUP(LEFT(A3357,6),'Code Library'!$A$3:$B$920,2,0))&amp;"_"&amp;RIGHT(A3357,3)</f>
        <v>#N/A</v>
      </c>
      <c r="I3357" s="66">
        <f t="shared" si="364"/>
        <v>0</v>
      </c>
      <c r="K3357" s="66" t="str">
        <f t="shared" si="365"/>
        <v/>
      </c>
      <c r="L3357" s="66" t="str">
        <f t="shared" si="366"/>
        <v/>
      </c>
      <c r="M3357" s="66" t="str">
        <f t="shared" si="367"/>
        <v/>
      </c>
      <c r="N3357" s="66" t="str">
        <f t="shared" si="368"/>
        <v/>
      </c>
      <c r="O3357" s="66" t="str">
        <f t="shared" si="369"/>
        <v/>
      </c>
      <c r="P3357" s="66" t="str">
        <f t="shared" si="370"/>
        <v/>
      </c>
    </row>
    <row r="3358" spans="8:16">
      <c r="H3358" s="66" t="e">
        <f>IF(LEFT(A3358,6)="CEPNTR","GPINS",VLOOKUP(LEFT(A3358,6),'Code Library'!$A$3:$B$920,2,0))&amp;"_"&amp;RIGHT(A3358,3)</f>
        <v>#N/A</v>
      </c>
      <c r="I3358" s="66">
        <f t="shared" si="364"/>
        <v>0</v>
      </c>
      <c r="K3358" s="66" t="str">
        <f t="shared" si="365"/>
        <v/>
      </c>
      <c r="L3358" s="66" t="str">
        <f t="shared" si="366"/>
        <v/>
      </c>
      <c r="M3358" s="66" t="str">
        <f t="shared" si="367"/>
        <v/>
      </c>
      <c r="N3358" s="66" t="str">
        <f t="shared" si="368"/>
        <v/>
      </c>
      <c r="O3358" s="66" t="str">
        <f t="shared" si="369"/>
        <v/>
      </c>
      <c r="P3358" s="66" t="str">
        <f t="shared" si="370"/>
        <v/>
      </c>
    </row>
    <row r="3359" spans="8:16">
      <c r="H3359" s="66" t="e">
        <f>IF(LEFT(A3359,6)="CEPNTR","GPINS",VLOOKUP(LEFT(A3359,6),'Code Library'!$A$3:$B$920,2,0))&amp;"_"&amp;RIGHT(A3359,3)</f>
        <v>#N/A</v>
      </c>
      <c r="I3359" s="66">
        <f t="shared" si="364"/>
        <v>0</v>
      </c>
      <c r="K3359" s="66" t="str">
        <f t="shared" si="365"/>
        <v/>
      </c>
      <c r="L3359" s="66" t="str">
        <f t="shared" si="366"/>
        <v/>
      </c>
      <c r="M3359" s="66" t="str">
        <f t="shared" si="367"/>
        <v/>
      </c>
      <c r="N3359" s="66" t="str">
        <f t="shared" si="368"/>
        <v/>
      </c>
      <c r="O3359" s="66" t="str">
        <f t="shared" si="369"/>
        <v/>
      </c>
      <c r="P3359" s="66" t="str">
        <f t="shared" si="370"/>
        <v/>
      </c>
    </row>
    <row r="3360" spans="8:16">
      <c r="H3360" s="66" t="e">
        <f>IF(LEFT(A3360,6)="CEPNTR","GPINS",VLOOKUP(LEFT(A3360,6),'Code Library'!$A$3:$B$920,2,0))&amp;"_"&amp;RIGHT(A3360,3)</f>
        <v>#N/A</v>
      </c>
      <c r="I3360" s="66">
        <f t="shared" si="364"/>
        <v>0</v>
      </c>
      <c r="K3360" s="66" t="str">
        <f t="shared" si="365"/>
        <v/>
      </c>
      <c r="L3360" s="66" t="str">
        <f t="shared" si="366"/>
        <v/>
      </c>
      <c r="M3360" s="66" t="str">
        <f t="shared" si="367"/>
        <v/>
      </c>
      <c r="N3360" s="66" t="str">
        <f t="shared" si="368"/>
        <v/>
      </c>
      <c r="O3360" s="66" t="str">
        <f t="shared" si="369"/>
        <v/>
      </c>
      <c r="P3360" s="66" t="str">
        <f t="shared" si="370"/>
        <v/>
      </c>
    </row>
    <row r="3361" spans="8:16">
      <c r="H3361" s="66" t="e">
        <f>IF(LEFT(A3361,6)="CEPNTR","GPINS",VLOOKUP(LEFT(A3361,6),'Code Library'!$A$3:$B$920,2,0))&amp;"_"&amp;RIGHT(A3361,3)</f>
        <v>#N/A</v>
      </c>
      <c r="I3361" s="66">
        <f t="shared" si="364"/>
        <v>0</v>
      </c>
      <c r="K3361" s="66" t="str">
        <f t="shared" si="365"/>
        <v/>
      </c>
      <c r="L3361" s="66" t="str">
        <f t="shared" si="366"/>
        <v/>
      </c>
      <c r="M3361" s="66" t="str">
        <f t="shared" si="367"/>
        <v/>
      </c>
      <c r="N3361" s="66" t="str">
        <f t="shared" si="368"/>
        <v/>
      </c>
      <c r="O3361" s="66" t="str">
        <f t="shared" si="369"/>
        <v/>
      </c>
      <c r="P3361" s="66" t="str">
        <f t="shared" si="370"/>
        <v/>
      </c>
    </row>
    <row r="3362" spans="8:16">
      <c r="H3362" s="66" t="e">
        <f>IF(LEFT(A3362,6)="CEPNTR","GPINS",VLOOKUP(LEFT(A3362,6),'Code Library'!$A$3:$B$920,2,0))&amp;"_"&amp;RIGHT(A3362,3)</f>
        <v>#N/A</v>
      </c>
      <c r="I3362" s="66">
        <f t="shared" si="364"/>
        <v>0</v>
      </c>
      <c r="K3362" s="66" t="str">
        <f t="shared" si="365"/>
        <v/>
      </c>
      <c r="L3362" s="66" t="str">
        <f t="shared" si="366"/>
        <v/>
      </c>
      <c r="M3362" s="66" t="str">
        <f t="shared" si="367"/>
        <v/>
      </c>
      <c r="N3362" s="66" t="str">
        <f t="shared" si="368"/>
        <v/>
      </c>
      <c r="O3362" s="66" t="str">
        <f t="shared" si="369"/>
        <v/>
      </c>
      <c r="P3362" s="66" t="str">
        <f t="shared" si="370"/>
        <v/>
      </c>
    </row>
    <row r="3363" spans="8:16">
      <c r="H3363" s="66" t="e">
        <f>IF(LEFT(A3363,6)="CEPNTR","GPINS",VLOOKUP(LEFT(A3363,6),'Code Library'!$A$3:$B$920,2,0))&amp;"_"&amp;RIGHT(A3363,3)</f>
        <v>#N/A</v>
      </c>
      <c r="I3363" s="66">
        <f t="shared" si="364"/>
        <v>0</v>
      </c>
      <c r="K3363" s="66" t="str">
        <f t="shared" si="365"/>
        <v/>
      </c>
      <c r="L3363" s="66" t="str">
        <f t="shared" si="366"/>
        <v/>
      </c>
      <c r="M3363" s="66" t="str">
        <f t="shared" si="367"/>
        <v/>
      </c>
      <c r="N3363" s="66" t="str">
        <f t="shared" si="368"/>
        <v/>
      </c>
      <c r="O3363" s="66" t="str">
        <f t="shared" si="369"/>
        <v/>
      </c>
      <c r="P3363" s="66" t="str">
        <f t="shared" si="370"/>
        <v/>
      </c>
    </row>
    <row r="3364" spans="8:16">
      <c r="H3364" s="66" t="e">
        <f>IF(LEFT(A3364,6)="CEPNTR","GPINS",VLOOKUP(LEFT(A3364,6),'Code Library'!$A$3:$B$920,2,0))&amp;"_"&amp;RIGHT(A3364,3)</f>
        <v>#N/A</v>
      </c>
      <c r="I3364" s="66">
        <f t="shared" si="364"/>
        <v>0</v>
      </c>
      <c r="K3364" s="66" t="str">
        <f t="shared" si="365"/>
        <v/>
      </c>
      <c r="L3364" s="66" t="str">
        <f t="shared" si="366"/>
        <v/>
      </c>
      <c r="M3364" s="66" t="str">
        <f t="shared" si="367"/>
        <v/>
      </c>
      <c r="N3364" s="66" t="str">
        <f t="shared" si="368"/>
        <v/>
      </c>
      <c r="O3364" s="66" t="str">
        <f t="shared" si="369"/>
        <v/>
      </c>
      <c r="P3364" s="66" t="str">
        <f t="shared" si="370"/>
        <v/>
      </c>
    </row>
    <row r="3365" spans="8:16">
      <c r="H3365" s="66" t="e">
        <f>IF(LEFT(A3365,6)="CEPNTR","GPINS",VLOOKUP(LEFT(A3365,6),'Code Library'!$A$3:$B$920,2,0))&amp;"_"&amp;RIGHT(A3365,3)</f>
        <v>#N/A</v>
      </c>
      <c r="I3365" s="66">
        <f t="shared" si="364"/>
        <v>0</v>
      </c>
      <c r="K3365" s="66" t="str">
        <f t="shared" si="365"/>
        <v/>
      </c>
      <c r="L3365" s="66" t="str">
        <f t="shared" si="366"/>
        <v/>
      </c>
      <c r="M3365" s="66" t="str">
        <f t="shared" si="367"/>
        <v/>
      </c>
      <c r="N3365" s="66" t="str">
        <f t="shared" si="368"/>
        <v/>
      </c>
      <c r="O3365" s="66" t="str">
        <f t="shared" si="369"/>
        <v/>
      </c>
      <c r="P3365" s="66" t="str">
        <f t="shared" si="370"/>
        <v/>
      </c>
    </row>
    <row r="3366" spans="8:16">
      <c r="H3366" s="66" t="e">
        <f>IF(LEFT(A3366,6)="CEPNTR","GPINS",VLOOKUP(LEFT(A3366,6),'Code Library'!$A$3:$B$920,2,0))&amp;"_"&amp;RIGHT(A3366,3)</f>
        <v>#N/A</v>
      </c>
      <c r="I3366" s="66">
        <f t="shared" si="364"/>
        <v>0</v>
      </c>
      <c r="K3366" s="66" t="str">
        <f t="shared" si="365"/>
        <v/>
      </c>
      <c r="L3366" s="66" t="str">
        <f t="shared" si="366"/>
        <v/>
      </c>
      <c r="M3366" s="66" t="str">
        <f t="shared" si="367"/>
        <v/>
      </c>
      <c r="N3366" s="66" t="str">
        <f t="shared" si="368"/>
        <v/>
      </c>
      <c r="O3366" s="66" t="str">
        <f t="shared" si="369"/>
        <v/>
      </c>
      <c r="P3366" s="66" t="str">
        <f t="shared" si="370"/>
        <v/>
      </c>
    </row>
    <row r="3367" spans="8:16">
      <c r="H3367" s="66" t="e">
        <f>IF(LEFT(A3367,6)="CEPNTR","GPINS",VLOOKUP(LEFT(A3367,6),'Code Library'!$A$3:$B$920,2,0))&amp;"_"&amp;RIGHT(A3367,3)</f>
        <v>#N/A</v>
      </c>
      <c r="I3367" s="66">
        <f t="shared" si="364"/>
        <v>0</v>
      </c>
      <c r="K3367" s="66" t="str">
        <f t="shared" si="365"/>
        <v/>
      </c>
      <c r="L3367" s="66" t="str">
        <f t="shared" si="366"/>
        <v/>
      </c>
      <c r="M3367" s="66" t="str">
        <f t="shared" si="367"/>
        <v/>
      </c>
      <c r="N3367" s="66" t="str">
        <f t="shared" si="368"/>
        <v/>
      </c>
      <c r="O3367" s="66" t="str">
        <f t="shared" si="369"/>
        <v/>
      </c>
      <c r="P3367" s="66" t="str">
        <f t="shared" si="370"/>
        <v/>
      </c>
    </row>
    <row r="3368" spans="8:16">
      <c r="H3368" s="66" t="e">
        <f>IF(LEFT(A3368,6)="CEPNTR","GPINS",VLOOKUP(LEFT(A3368,6),'Code Library'!$A$3:$B$920,2,0))&amp;"_"&amp;RIGHT(A3368,3)</f>
        <v>#N/A</v>
      </c>
      <c r="I3368" s="66">
        <f t="shared" si="364"/>
        <v>0</v>
      </c>
      <c r="K3368" s="66" t="str">
        <f t="shared" si="365"/>
        <v/>
      </c>
      <c r="L3368" s="66" t="str">
        <f t="shared" si="366"/>
        <v/>
      </c>
      <c r="M3368" s="66" t="str">
        <f t="shared" si="367"/>
        <v/>
      </c>
      <c r="N3368" s="66" t="str">
        <f t="shared" si="368"/>
        <v/>
      </c>
      <c r="O3368" s="66" t="str">
        <f t="shared" si="369"/>
        <v/>
      </c>
      <c r="P3368" s="66" t="str">
        <f t="shared" si="370"/>
        <v/>
      </c>
    </row>
    <row r="3369" spans="8:16">
      <c r="H3369" s="66" t="e">
        <f>IF(LEFT(A3369,6)="CEPNTR","GPINS",VLOOKUP(LEFT(A3369,6),'Code Library'!$A$3:$B$920,2,0))&amp;"_"&amp;RIGHT(A3369,3)</f>
        <v>#N/A</v>
      </c>
      <c r="I3369" s="66">
        <f t="shared" si="364"/>
        <v>0</v>
      </c>
      <c r="K3369" s="66" t="str">
        <f t="shared" si="365"/>
        <v/>
      </c>
      <c r="L3369" s="66" t="str">
        <f t="shared" si="366"/>
        <v/>
      </c>
      <c r="M3369" s="66" t="str">
        <f t="shared" si="367"/>
        <v/>
      </c>
      <c r="N3369" s="66" t="str">
        <f t="shared" si="368"/>
        <v/>
      </c>
      <c r="O3369" s="66" t="str">
        <f t="shared" si="369"/>
        <v/>
      </c>
      <c r="P3369" s="66" t="str">
        <f t="shared" si="370"/>
        <v/>
      </c>
    </row>
    <row r="3370" spans="8:16">
      <c r="H3370" s="66" t="e">
        <f>IF(LEFT(A3370,6)="CEPNTR","GPINS",VLOOKUP(LEFT(A3370,6),'Code Library'!$A$3:$B$920,2,0))&amp;"_"&amp;RIGHT(A3370,3)</f>
        <v>#N/A</v>
      </c>
      <c r="I3370" s="66">
        <f t="shared" si="364"/>
        <v>0</v>
      </c>
      <c r="K3370" s="66" t="str">
        <f t="shared" si="365"/>
        <v/>
      </c>
      <c r="L3370" s="66" t="str">
        <f t="shared" si="366"/>
        <v/>
      </c>
      <c r="M3370" s="66" t="str">
        <f t="shared" si="367"/>
        <v/>
      </c>
      <c r="N3370" s="66" t="str">
        <f t="shared" si="368"/>
        <v/>
      </c>
      <c r="O3370" s="66" t="str">
        <f t="shared" si="369"/>
        <v/>
      </c>
      <c r="P3370" s="66" t="str">
        <f t="shared" si="370"/>
        <v/>
      </c>
    </row>
    <row r="3371" spans="8:16">
      <c r="H3371" s="66" t="e">
        <f>IF(LEFT(A3371,6)="CEPNTR","GPINS",VLOOKUP(LEFT(A3371,6),'Code Library'!$A$3:$B$920,2,0))&amp;"_"&amp;RIGHT(A3371,3)</f>
        <v>#N/A</v>
      </c>
      <c r="I3371" s="66">
        <f t="shared" si="364"/>
        <v>0</v>
      </c>
      <c r="K3371" s="66" t="str">
        <f t="shared" si="365"/>
        <v/>
      </c>
      <c r="L3371" s="66" t="str">
        <f t="shared" si="366"/>
        <v/>
      </c>
      <c r="M3371" s="66" t="str">
        <f t="shared" si="367"/>
        <v/>
      </c>
      <c r="N3371" s="66" t="str">
        <f t="shared" si="368"/>
        <v/>
      </c>
      <c r="O3371" s="66" t="str">
        <f t="shared" si="369"/>
        <v/>
      </c>
      <c r="P3371" s="66" t="str">
        <f t="shared" si="370"/>
        <v/>
      </c>
    </row>
    <row r="3372" spans="8:16">
      <c r="H3372" s="66" t="e">
        <f>IF(LEFT(A3372,6)="CEPNTR","GPINS",VLOOKUP(LEFT(A3372,6),'Code Library'!$A$3:$B$920,2,0))&amp;"_"&amp;RIGHT(A3372,3)</f>
        <v>#N/A</v>
      </c>
      <c r="I3372" s="66">
        <f t="shared" si="364"/>
        <v>0</v>
      </c>
      <c r="K3372" s="66" t="str">
        <f t="shared" si="365"/>
        <v/>
      </c>
      <c r="L3372" s="66" t="str">
        <f t="shared" si="366"/>
        <v/>
      </c>
      <c r="M3372" s="66" t="str">
        <f t="shared" si="367"/>
        <v/>
      </c>
      <c r="N3372" s="66" t="str">
        <f t="shared" si="368"/>
        <v/>
      </c>
      <c r="O3372" s="66" t="str">
        <f t="shared" si="369"/>
        <v/>
      </c>
      <c r="P3372" s="66" t="str">
        <f t="shared" si="370"/>
        <v/>
      </c>
    </row>
    <row r="3373" spans="8:16">
      <c r="H3373" s="66" t="e">
        <f>IF(LEFT(A3373,6)="CEPNTR","GPINS",VLOOKUP(LEFT(A3373,6),'Code Library'!$A$3:$B$920,2,0))&amp;"_"&amp;RIGHT(A3373,3)</f>
        <v>#N/A</v>
      </c>
      <c r="I3373" s="66">
        <f t="shared" si="364"/>
        <v>0</v>
      </c>
      <c r="K3373" s="66" t="str">
        <f t="shared" si="365"/>
        <v/>
      </c>
      <c r="L3373" s="66" t="str">
        <f t="shared" si="366"/>
        <v/>
      </c>
      <c r="M3373" s="66" t="str">
        <f t="shared" si="367"/>
        <v/>
      </c>
      <c r="N3373" s="66" t="str">
        <f t="shared" si="368"/>
        <v/>
      </c>
      <c r="O3373" s="66" t="str">
        <f t="shared" si="369"/>
        <v/>
      </c>
      <c r="P3373" s="66" t="str">
        <f t="shared" si="370"/>
        <v/>
      </c>
    </row>
    <row r="3374" spans="8:16">
      <c r="H3374" s="66" t="e">
        <f>IF(LEFT(A3374,6)="CEPNTR","GPINS",VLOOKUP(LEFT(A3374,6),'Code Library'!$A$3:$B$920,2,0))&amp;"_"&amp;RIGHT(A3374,3)</f>
        <v>#N/A</v>
      </c>
      <c r="I3374" s="66">
        <f t="shared" si="364"/>
        <v>0</v>
      </c>
      <c r="K3374" s="66" t="str">
        <f t="shared" si="365"/>
        <v/>
      </c>
      <c r="L3374" s="66" t="str">
        <f t="shared" si="366"/>
        <v/>
      </c>
      <c r="M3374" s="66" t="str">
        <f t="shared" si="367"/>
        <v/>
      </c>
      <c r="N3374" s="66" t="str">
        <f t="shared" si="368"/>
        <v/>
      </c>
      <c r="O3374" s="66" t="str">
        <f t="shared" si="369"/>
        <v/>
      </c>
      <c r="P3374" s="66" t="str">
        <f t="shared" si="370"/>
        <v/>
      </c>
    </row>
    <row r="3375" spans="8:16">
      <c r="H3375" s="66" t="e">
        <f>IF(LEFT(A3375,6)="CEPNTR","GPINS",VLOOKUP(LEFT(A3375,6),'Code Library'!$A$3:$B$920,2,0))&amp;"_"&amp;RIGHT(A3375,3)</f>
        <v>#N/A</v>
      </c>
      <c r="I3375" s="66">
        <f t="shared" si="364"/>
        <v>0</v>
      </c>
      <c r="K3375" s="66" t="str">
        <f t="shared" si="365"/>
        <v/>
      </c>
      <c r="L3375" s="66" t="str">
        <f t="shared" si="366"/>
        <v/>
      </c>
      <c r="M3375" s="66" t="str">
        <f t="shared" si="367"/>
        <v/>
      </c>
      <c r="N3375" s="66" t="str">
        <f t="shared" si="368"/>
        <v/>
      </c>
      <c r="O3375" s="66" t="str">
        <f t="shared" si="369"/>
        <v/>
      </c>
      <c r="P3375" s="66" t="str">
        <f t="shared" si="370"/>
        <v/>
      </c>
    </row>
    <row r="3376" spans="8:16">
      <c r="H3376" s="66" t="e">
        <f>IF(LEFT(A3376,6)="CEPNTR","GPINS",VLOOKUP(LEFT(A3376,6),'Code Library'!$A$3:$B$920,2,0))&amp;"_"&amp;RIGHT(A3376,3)</f>
        <v>#N/A</v>
      </c>
      <c r="I3376" s="66">
        <f t="shared" si="364"/>
        <v>0</v>
      </c>
      <c r="K3376" s="66" t="str">
        <f t="shared" si="365"/>
        <v/>
      </c>
      <c r="L3376" s="66" t="str">
        <f t="shared" si="366"/>
        <v/>
      </c>
      <c r="M3376" s="66" t="str">
        <f t="shared" si="367"/>
        <v/>
      </c>
      <c r="N3376" s="66" t="str">
        <f t="shared" si="368"/>
        <v/>
      </c>
      <c r="O3376" s="66" t="str">
        <f t="shared" si="369"/>
        <v/>
      </c>
      <c r="P3376" s="66" t="str">
        <f t="shared" si="370"/>
        <v/>
      </c>
    </row>
    <row r="3377" spans="8:16">
      <c r="H3377" s="66" t="e">
        <f>IF(LEFT(A3377,6)="CEPNTR","GPINS",VLOOKUP(LEFT(A3377,6),'Code Library'!$A$3:$B$920,2,0))&amp;"_"&amp;RIGHT(A3377,3)</f>
        <v>#N/A</v>
      </c>
      <c r="I3377" s="66">
        <f t="shared" si="364"/>
        <v>0</v>
      </c>
      <c r="K3377" s="66" t="str">
        <f t="shared" si="365"/>
        <v/>
      </c>
      <c r="L3377" s="66" t="str">
        <f t="shared" si="366"/>
        <v/>
      </c>
      <c r="M3377" s="66" t="str">
        <f t="shared" si="367"/>
        <v/>
      </c>
      <c r="N3377" s="66" t="str">
        <f t="shared" si="368"/>
        <v/>
      </c>
      <c r="O3377" s="66" t="str">
        <f t="shared" si="369"/>
        <v/>
      </c>
      <c r="P3377" s="66" t="str">
        <f t="shared" si="370"/>
        <v/>
      </c>
    </row>
    <row r="3378" spans="8:16">
      <c r="H3378" s="66" t="e">
        <f>IF(LEFT(A3378,6)="CEPNTR","GPINS",VLOOKUP(LEFT(A3378,6),'Code Library'!$A$3:$B$920,2,0))&amp;"_"&amp;RIGHT(A3378,3)</f>
        <v>#N/A</v>
      </c>
      <c r="I3378" s="66">
        <f t="shared" si="364"/>
        <v>0</v>
      </c>
      <c r="K3378" s="66" t="str">
        <f t="shared" si="365"/>
        <v/>
      </c>
      <c r="L3378" s="66" t="str">
        <f t="shared" si="366"/>
        <v/>
      </c>
      <c r="M3378" s="66" t="str">
        <f t="shared" si="367"/>
        <v/>
      </c>
      <c r="N3378" s="66" t="str">
        <f t="shared" si="368"/>
        <v/>
      </c>
      <c r="O3378" s="66" t="str">
        <f t="shared" si="369"/>
        <v/>
      </c>
      <c r="P3378" s="66" t="str">
        <f t="shared" si="370"/>
        <v/>
      </c>
    </row>
    <row r="3379" spans="8:16">
      <c r="H3379" s="66" t="e">
        <f>IF(LEFT(A3379,6)="CEPNTR","GPINS",VLOOKUP(LEFT(A3379,6),'Code Library'!$A$3:$B$920,2,0))&amp;"_"&amp;RIGHT(A3379,3)</f>
        <v>#N/A</v>
      </c>
      <c r="I3379" s="66">
        <f t="shared" si="364"/>
        <v>0</v>
      </c>
      <c r="K3379" s="66" t="str">
        <f t="shared" si="365"/>
        <v/>
      </c>
      <c r="L3379" s="66" t="str">
        <f t="shared" si="366"/>
        <v/>
      </c>
      <c r="M3379" s="66" t="str">
        <f t="shared" si="367"/>
        <v/>
      </c>
      <c r="N3379" s="66" t="str">
        <f t="shared" si="368"/>
        <v/>
      </c>
      <c r="O3379" s="66" t="str">
        <f t="shared" si="369"/>
        <v/>
      </c>
      <c r="P3379" s="66" t="str">
        <f t="shared" si="370"/>
        <v/>
      </c>
    </row>
    <row r="3380" spans="8:16">
      <c r="H3380" s="66" t="e">
        <f>IF(LEFT(A3380,6)="CEPNTR","GPINS",VLOOKUP(LEFT(A3380,6),'Code Library'!$A$3:$B$920,2,0))&amp;"_"&amp;RIGHT(A3380,3)</f>
        <v>#N/A</v>
      </c>
      <c r="I3380" s="66">
        <f t="shared" si="364"/>
        <v>0</v>
      </c>
      <c r="K3380" s="66" t="str">
        <f t="shared" si="365"/>
        <v/>
      </c>
      <c r="L3380" s="66" t="str">
        <f t="shared" si="366"/>
        <v/>
      </c>
      <c r="M3380" s="66" t="str">
        <f t="shared" si="367"/>
        <v/>
      </c>
      <c r="N3380" s="66" t="str">
        <f t="shared" si="368"/>
        <v/>
      </c>
      <c r="O3380" s="66" t="str">
        <f t="shared" si="369"/>
        <v/>
      </c>
      <c r="P3380" s="66" t="str">
        <f t="shared" si="370"/>
        <v/>
      </c>
    </row>
    <row r="3381" spans="8:16">
      <c r="H3381" s="66" t="e">
        <f>IF(LEFT(A3381,6)="CEPNTR","GPINS",VLOOKUP(LEFT(A3381,6),'Code Library'!$A$3:$B$920,2,0))&amp;"_"&amp;RIGHT(A3381,3)</f>
        <v>#N/A</v>
      </c>
      <c r="I3381" s="66">
        <f t="shared" si="364"/>
        <v>0</v>
      </c>
      <c r="K3381" s="66" t="str">
        <f t="shared" si="365"/>
        <v/>
      </c>
      <c r="L3381" s="66" t="str">
        <f t="shared" si="366"/>
        <v/>
      </c>
      <c r="M3381" s="66" t="str">
        <f t="shared" si="367"/>
        <v/>
      </c>
      <c r="N3381" s="66" t="str">
        <f t="shared" si="368"/>
        <v/>
      </c>
      <c r="O3381" s="66" t="str">
        <f t="shared" si="369"/>
        <v/>
      </c>
      <c r="P3381" s="66" t="str">
        <f t="shared" si="370"/>
        <v/>
      </c>
    </row>
    <row r="3382" spans="8:16">
      <c r="H3382" s="66" t="e">
        <f>IF(LEFT(A3382,6)="CEPNTR","GPINS",VLOOKUP(LEFT(A3382,6),'Code Library'!$A$3:$B$920,2,0))&amp;"_"&amp;RIGHT(A3382,3)</f>
        <v>#N/A</v>
      </c>
      <c r="I3382" s="66">
        <f t="shared" si="364"/>
        <v>0</v>
      </c>
      <c r="K3382" s="66" t="str">
        <f t="shared" si="365"/>
        <v/>
      </c>
      <c r="L3382" s="66" t="str">
        <f t="shared" si="366"/>
        <v/>
      </c>
      <c r="M3382" s="66" t="str">
        <f t="shared" si="367"/>
        <v/>
      </c>
      <c r="N3382" s="66" t="str">
        <f t="shared" si="368"/>
        <v/>
      </c>
      <c r="O3382" s="66" t="str">
        <f t="shared" si="369"/>
        <v/>
      </c>
      <c r="P3382" s="66" t="str">
        <f t="shared" si="370"/>
        <v/>
      </c>
    </row>
    <row r="3383" spans="8:16">
      <c r="H3383" s="66" t="e">
        <f>IF(LEFT(A3383,6)="CEPNTR","GPINS",VLOOKUP(LEFT(A3383,6),'Code Library'!$A$3:$B$920,2,0))&amp;"_"&amp;RIGHT(A3383,3)</f>
        <v>#N/A</v>
      </c>
      <c r="I3383" s="66">
        <f t="shared" si="364"/>
        <v>0</v>
      </c>
      <c r="K3383" s="66" t="str">
        <f t="shared" si="365"/>
        <v/>
      </c>
      <c r="L3383" s="66" t="str">
        <f t="shared" si="366"/>
        <v/>
      </c>
      <c r="M3383" s="66" t="str">
        <f t="shared" si="367"/>
        <v/>
      </c>
      <c r="N3383" s="66" t="str">
        <f t="shared" si="368"/>
        <v/>
      </c>
      <c r="O3383" s="66" t="str">
        <f t="shared" si="369"/>
        <v/>
      </c>
      <c r="P3383" s="66" t="str">
        <f t="shared" si="370"/>
        <v/>
      </c>
    </row>
    <row r="3384" spans="8:16">
      <c r="H3384" s="66" t="e">
        <f>IF(LEFT(A3384,6)="CEPNTR","GPINS",VLOOKUP(LEFT(A3384,6),'Code Library'!$A$3:$B$920,2,0))&amp;"_"&amp;RIGHT(A3384,3)</f>
        <v>#N/A</v>
      </c>
      <c r="I3384" s="66">
        <f t="shared" si="364"/>
        <v>0</v>
      </c>
      <c r="K3384" s="66" t="str">
        <f t="shared" si="365"/>
        <v/>
      </c>
      <c r="L3384" s="66" t="str">
        <f t="shared" si="366"/>
        <v/>
      </c>
      <c r="M3384" s="66" t="str">
        <f t="shared" si="367"/>
        <v/>
      </c>
      <c r="N3384" s="66" t="str">
        <f t="shared" si="368"/>
        <v/>
      </c>
      <c r="O3384" s="66" t="str">
        <f t="shared" si="369"/>
        <v/>
      </c>
      <c r="P3384" s="66" t="str">
        <f t="shared" si="370"/>
        <v/>
      </c>
    </row>
    <row r="3385" spans="8:16">
      <c r="H3385" s="66" t="e">
        <f>IF(LEFT(A3385,6)="CEPNTR","GPINS",VLOOKUP(LEFT(A3385,6),'Code Library'!$A$3:$B$920,2,0))&amp;"_"&amp;RIGHT(A3385,3)</f>
        <v>#N/A</v>
      </c>
      <c r="I3385" s="66">
        <f t="shared" si="364"/>
        <v>0</v>
      </c>
      <c r="K3385" s="66" t="str">
        <f t="shared" si="365"/>
        <v/>
      </c>
      <c r="L3385" s="66" t="str">
        <f t="shared" si="366"/>
        <v/>
      </c>
      <c r="M3385" s="66" t="str">
        <f t="shared" si="367"/>
        <v/>
      </c>
      <c r="N3385" s="66" t="str">
        <f t="shared" si="368"/>
        <v/>
      </c>
      <c r="O3385" s="66" t="str">
        <f t="shared" si="369"/>
        <v/>
      </c>
      <c r="P3385" s="66" t="str">
        <f t="shared" si="370"/>
        <v/>
      </c>
    </row>
    <row r="3386" spans="8:16">
      <c r="H3386" s="66" t="e">
        <f>IF(LEFT(A3386,6)="CEPNTR","GPINS",VLOOKUP(LEFT(A3386,6),'Code Library'!$A$3:$B$920,2,0))&amp;"_"&amp;RIGHT(A3386,3)</f>
        <v>#N/A</v>
      </c>
      <c r="I3386" s="66">
        <f t="shared" si="364"/>
        <v>0</v>
      </c>
      <c r="K3386" s="66" t="str">
        <f t="shared" si="365"/>
        <v/>
      </c>
      <c r="L3386" s="66" t="str">
        <f t="shared" si="366"/>
        <v/>
      </c>
      <c r="M3386" s="66" t="str">
        <f t="shared" si="367"/>
        <v/>
      </c>
      <c r="N3386" s="66" t="str">
        <f t="shared" si="368"/>
        <v/>
      </c>
      <c r="O3386" s="66" t="str">
        <f t="shared" si="369"/>
        <v/>
      </c>
      <c r="P3386" s="66" t="str">
        <f t="shared" si="370"/>
        <v/>
      </c>
    </row>
    <row r="3387" spans="8:16">
      <c r="H3387" s="66" t="e">
        <f>IF(LEFT(A3387,6)="CEPNTR","GPINS",VLOOKUP(LEFT(A3387,6),'Code Library'!$A$3:$B$920,2,0))&amp;"_"&amp;RIGHT(A3387,3)</f>
        <v>#N/A</v>
      </c>
      <c r="I3387" s="66">
        <f t="shared" si="364"/>
        <v>0</v>
      </c>
      <c r="K3387" s="66" t="str">
        <f t="shared" si="365"/>
        <v/>
      </c>
      <c r="L3387" s="66" t="str">
        <f t="shared" si="366"/>
        <v/>
      </c>
      <c r="M3387" s="66" t="str">
        <f t="shared" si="367"/>
        <v/>
      </c>
      <c r="N3387" s="66" t="str">
        <f t="shared" si="368"/>
        <v/>
      </c>
      <c r="O3387" s="66" t="str">
        <f t="shared" si="369"/>
        <v/>
      </c>
      <c r="P3387" s="66" t="str">
        <f t="shared" si="370"/>
        <v/>
      </c>
    </row>
    <row r="3388" spans="8:16">
      <c r="H3388" s="66" t="e">
        <f>IF(LEFT(A3388,6)="CEPNTR","GPINS",VLOOKUP(LEFT(A3388,6),'Code Library'!$A$3:$B$920,2,0))&amp;"_"&amp;RIGHT(A3388,3)</f>
        <v>#N/A</v>
      </c>
      <c r="I3388" s="66">
        <f t="shared" si="364"/>
        <v>0</v>
      </c>
      <c r="K3388" s="66" t="str">
        <f t="shared" si="365"/>
        <v/>
      </c>
      <c r="L3388" s="66" t="str">
        <f t="shared" si="366"/>
        <v/>
      </c>
      <c r="M3388" s="66" t="str">
        <f t="shared" si="367"/>
        <v/>
      </c>
      <c r="N3388" s="66" t="str">
        <f t="shared" si="368"/>
        <v/>
      </c>
      <c r="O3388" s="66" t="str">
        <f t="shared" si="369"/>
        <v/>
      </c>
      <c r="P3388" s="66" t="str">
        <f t="shared" si="370"/>
        <v/>
      </c>
    </row>
    <row r="3389" spans="8:16">
      <c r="H3389" s="66" t="e">
        <f>IF(LEFT(A3389,6)="CEPNTR","GPINS",VLOOKUP(LEFT(A3389,6),'Code Library'!$A$3:$B$920,2,0))&amp;"_"&amp;RIGHT(A3389,3)</f>
        <v>#N/A</v>
      </c>
      <c r="I3389" s="66">
        <f t="shared" si="364"/>
        <v>0</v>
      </c>
      <c r="K3389" s="66" t="str">
        <f t="shared" si="365"/>
        <v/>
      </c>
      <c r="L3389" s="66" t="str">
        <f t="shared" si="366"/>
        <v/>
      </c>
      <c r="M3389" s="66" t="str">
        <f t="shared" si="367"/>
        <v/>
      </c>
      <c r="N3389" s="66" t="str">
        <f t="shared" si="368"/>
        <v/>
      </c>
      <c r="O3389" s="66" t="str">
        <f t="shared" si="369"/>
        <v/>
      </c>
      <c r="P3389" s="66" t="str">
        <f t="shared" si="370"/>
        <v/>
      </c>
    </row>
    <row r="3390" spans="8:16">
      <c r="H3390" s="66" t="e">
        <f>IF(LEFT(A3390,6)="CEPNTR","GPINS",VLOOKUP(LEFT(A3390,6),'Code Library'!$A$3:$B$920,2,0))&amp;"_"&amp;RIGHT(A3390,3)</f>
        <v>#N/A</v>
      </c>
      <c r="I3390" s="66">
        <f t="shared" si="364"/>
        <v>0</v>
      </c>
      <c r="K3390" s="66" t="str">
        <f t="shared" si="365"/>
        <v/>
      </c>
      <c r="L3390" s="66" t="str">
        <f t="shared" si="366"/>
        <v/>
      </c>
      <c r="M3390" s="66" t="str">
        <f t="shared" si="367"/>
        <v/>
      </c>
      <c r="N3390" s="66" t="str">
        <f t="shared" si="368"/>
        <v/>
      </c>
      <c r="O3390" s="66" t="str">
        <f t="shared" si="369"/>
        <v/>
      </c>
      <c r="P3390" s="66" t="str">
        <f t="shared" si="370"/>
        <v/>
      </c>
    </row>
    <row r="3391" spans="8:16">
      <c r="H3391" s="66" t="e">
        <f>IF(LEFT(A3391,6)="CEPNTR","GPINS",VLOOKUP(LEFT(A3391,6),'Code Library'!$A$3:$B$920,2,0))&amp;"_"&amp;RIGHT(A3391,3)</f>
        <v>#N/A</v>
      </c>
      <c r="I3391" s="66">
        <f t="shared" si="364"/>
        <v>0</v>
      </c>
      <c r="K3391" s="66" t="str">
        <f t="shared" si="365"/>
        <v/>
      </c>
      <c r="L3391" s="66" t="str">
        <f t="shared" si="366"/>
        <v/>
      </c>
      <c r="M3391" s="66" t="str">
        <f t="shared" si="367"/>
        <v/>
      </c>
      <c r="N3391" s="66" t="str">
        <f t="shared" si="368"/>
        <v/>
      </c>
      <c r="O3391" s="66" t="str">
        <f t="shared" si="369"/>
        <v/>
      </c>
      <c r="P3391" s="66" t="str">
        <f t="shared" si="370"/>
        <v/>
      </c>
    </row>
    <row r="3392" spans="8:16">
      <c r="H3392" s="66" t="e">
        <f>IF(LEFT(A3392,6)="CEPNTR","GPINS",VLOOKUP(LEFT(A3392,6),'Code Library'!$A$3:$B$920,2,0))&amp;"_"&amp;RIGHT(A3392,3)</f>
        <v>#N/A</v>
      </c>
      <c r="I3392" s="66">
        <f t="shared" si="364"/>
        <v>0</v>
      </c>
      <c r="K3392" s="66" t="str">
        <f t="shared" si="365"/>
        <v/>
      </c>
      <c r="L3392" s="66" t="str">
        <f t="shared" si="366"/>
        <v/>
      </c>
      <c r="M3392" s="66" t="str">
        <f t="shared" si="367"/>
        <v/>
      </c>
      <c r="N3392" s="66" t="str">
        <f t="shared" si="368"/>
        <v/>
      </c>
      <c r="O3392" s="66" t="str">
        <f t="shared" si="369"/>
        <v/>
      </c>
      <c r="P3392" s="66" t="str">
        <f t="shared" si="370"/>
        <v/>
      </c>
    </row>
    <row r="3393" spans="8:16">
      <c r="H3393" s="66" t="e">
        <f>IF(LEFT(A3393,6)="CEPNTR","GPINS",VLOOKUP(LEFT(A3393,6),'Code Library'!$A$3:$B$920,2,0))&amp;"_"&amp;RIGHT(A3393,3)</f>
        <v>#N/A</v>
      </c>
      <c r="I3393" s="66">
        <f t="shared" si="364"/>
        <v>0</v>
      </c>
      <c r="K3393" s="66" t="str">
        <f t="shared" si="365"/>
        <v/>
      </c>
      <c r="L3393" s="66" t="str">
        <f t="shared" si="366"/>
        <v/>
      </c>
      <c r="M3393" s="66" t="str">
        <f t="shared" si="367"/>
        <v/>
      </c>
      <c r="N3393" s="66" t="str">
        <f t="shared" si="368"/>
        <v/>
      </c>
      <c r="O3393" s="66" t="str">
        <f t="shared" si="369"/>
        <v/>
      </c>
      <c r="P3393" s="66" t="str">
        <f t="shared" si="370"/>
        <v/>
      </c>
    </row>
    <row r="3394" spans="8:16">
      <c r="H3394" s="66" t="e">
        <f>IF(LEFT(A3394,6)="CEPNTR","GPINS",VLOOKUP(LEFT(A3394,6),'Code Library'!$A$3:$B$920,2,0))&amp;"_"&amp;RIGHT(A3394,3)</f>
        <v>#N/A</v>
      </c>
      <c r="I3394" s="66">
        <f t="shared" si="364"/>
        <v>0</v>
      </c>
      <c r="K3394" s="66" t="str">
        <f t="shared" si="365"/>
        <v/>
      </c>
      <c r="L3394" s="66" t="str">
        <f t="shared" si="366"/>
        <v/>
      </c>
      <c r="M3394" s="66" t="str">
        <f t="shared" si="367"/>
        <v/>
      </c>
      <c r="N3394" s="66" t="str">
        <f t="shared" si="368"/>
        <v/>
      </c>
      <c r="O3394" s="66" t="str">
        <f t="shared" si="369"/>
        <v/>
      </c>
      <c r="P3394" s="66" t="str">
        <f t="shared" si="370"/>
        <v/>
      </c>
    </row>
    <row r="3395" spans="8:16">
      <c r="H3395" s="66" t="e">
        <f>IF(LEFT(A3395,6)="CEPNTR","GPINS",VLOOKUP(LEFT(A3395,6),'Code Library'!$A$3:$B$920,2,0))&amp;"_"&amp;RIGHT(A3395,3)</f>
        <v>#N/A</v>
      </c>
      <c r="I3395" s="66">
        <f t="shared" ref="I3395:I3458" si="371">A3395</f>
        <v>0</v>
      </c>
      <c r="K3395" s="66" t="str">
        <f t="shared" ref="K3395:K3458" si="372">RIGHT($B3395,2)</f>
        <v/>
      </c>
      <c r="L3395" s="66" t="str">
        <f t="shared" ref="L3395:L3458" si="373">LEFT(RIGHT($B3395,7),4)</f>
        <v/>
      </c>
      <c r="M3395" s="66" t="str">
        <f t="shared" ref="M3395:M3458" si="374">LEFT(RIGHT($B3395,10),2)</f>
        <v/>
      </c>
      <c r="N3395" s="66" t="str">
        <f t="shared" ref="N3395:N3458" si="375">LEFT(RIGHT($B3395,14),3)</f>
        <v/>
      </c>
      <c r="O3395" s="66" t="str">
        <f t="shared" ref="O3395:O3458" si="376">LEFT(RIGHT($B3395,16),1)</f>
        <v/>
      </c>
      <c r="P3395" s="66" t="str">
        <f t="shared" ref="P3395:P3458" si="377">LEFT(RIGHT($B3395,19),2)</f>
        <v/>
      </c>
    </row>
    <row r="3396" spans="8:16">
      <c r="H3396" s="66" t="e">
        <f>IF(LEFT(A3396,6)="CEPNTR","GPINS",VLOOKUP(LEFT(A3396,6),'Code Library'!$A$3:$B$920,2,0))&amp;"_"&amp;RIGHT(A3396,3)</f>
        <v>#N/A</v>
      </c>
      <c r="I3396" s="66">
        <f t="shared" si="371"/>
        <v>0</v>
      </c>
      <c r="K3396" s="66" t="str">
        <f t="shared" si="372"/>
        <v/>
      </c>
      <c r="L3396" s="66" t="str">
        <f t="shared" si="373"/>
        <v/>
      </c>
      <c r="M3396" s="66" t="str">
        <f t="shared" si="374"/>
        <v/>
      </c>
      <c r="N3396" s="66" t="str">
        <f t="shared" si="375"/>
        <v/>
      </c>
      <c r="O3396" s="66" t="str">
        <f t="shared" si="376"/>
        <v/>
      </c>
      <c r="P3396" s="66" t="str">
        <f t="shared" si="377"/>
        <v/>
      </c>
    </row>
    <row r="3397" spans="8:16">
      <c r="H3397" s="66" t="e">
        <f>IF(LEFT(A3397,6)="CEPNTR","GPINS",VLOOKUP(LEFT(A3397,6),'Code Library'!$A$3:$B$920,2,0))&amp;"_"&amp;RIGHT(A3397,3)</f>
        <v>#N/A</v>
      </c>
      <c r="I3397" s="66">
        <f t="shared" si="371"/>
        <v>0</v>
      </c>
      <c r="K3397" s="66" t="str">
        <f t="shared" si="372"/>
        <v/>
      </c>
      <c r="L3397" s="66" t="str">
        <f t="shared" si="373"/>
        <v/>
      </c>
      <c r="M3397" s="66" t="str">
        <f t="shared" si="374"/>
        <v/>
      </c>
      <c r="N3397" s="66" t="str">
        <f t="shared" si="375"/>
        <v/>
      </c>
      <c r="O3397" s="66" t="str">
        <f t="shared" si="376"/>
        <v/>
      </c>
      <c r="P3397" s="66" t="str">
        <f t="shared" si="377"/>
        <v/>
      </c>
    </row>
    <row r="3398" spans="8:16">
      <c r="H3398" s="66" t="e">
        <f>IF(LEFT(A3398,6)="CEPNTR","GPINS",VLOOKUP(LEFT(A3398,6),'Code Library'!$A$3:$B$920,2,0))&amp;"_"&amp;RIGHT(A3398,3)</f>
        <v>#N/A</v>
      </c>
      <c r="I3398" s="66">
        <f t="shared" si="371"/>
        <v>0</v>
      </c>
      <c r="K3398" s="66" t="str">
        <f t="shared" si="372"/>
        <v/>
      </c>
      <c r="L3398" s="66" t="str">
        <f t="shared" si="373"/>
        <v/>
      </c>
      <c r="M3398" s="66" t="str">
        <f t="shared" si="374"/>
        <v/>
      </c>
      <c r="N3398" s="66" t="str">
        <f t="shared" si="375"/>
        <v/>
      </c>
      <c r="O3398" s="66" t="str">
        <f t="shared" si="376"/>
        <v/>
      </c>
      <c r="P3398" s="66" t="str">
        <f t="shared" si="377"/>
        <v/>
      </c>
    </row>
    <row r="3399" spans="8:16">
      <c r="H3399" s="66" t="e">
        <f>IF(LEFT(A3399,6)="CEPNTR","GPINS",VLOOKUP(LEFT(A3399,6),'Code Library'!$A$3:$B$920,2,0))&amp;"_"&amp;RIGHT(A3399,3)</f>
        <v>#N/A</v>
      </c>
      <c r="I3399" s="66">
        <f t="shared" si="371"/>
        <v>0</v>
      </c>
      <c r="K3399" s="66" t="str">
        <f t="shared" si="372"/>
        <v/>
      </c>
      <c r="L3399" s="66" t="str">
        <f t="shared" si="373"/>
        <v/>
      </c>
      <c r="M3399" s="66" t="str">
        <f t="shared" si="374"/>
        <v/>
      </c>
      <c r="N3399" s="66" t="str">
        <f t="shared" si="375"/>
        <v/>
      </c>
      <c r="O3399" s="66" t="str">
        <f t="shared" si="376"/>
        <v/>
      </c>
      <c r="P3399" s="66" t="str">
        <f t="shared" si="377"/>
        <v/>
      </c>
    </row>
    <row r="3400" spans="8:16">
      <c r="H3400" s="66" t="e">
        <f>IF(LEFT(A3400,6)="CEPNTR","GPINS",VLOOKUP(LEFT(A3400,6),'Code Library'!$A$3:$B$920,2,0))&amp;"_"&amp;RIGHT(A3400,3)</f>
        <v>#N/A</v>
      </c>
      <c r="I3400" s="66">
        <f t="shared" si="371"/>
        <v>0</v>
      </c>
      <c r="K3400" s="66" t="str">
        <f t="shared" si="372"/>
        <v/>
      </c>
      <c r="L3400" s="66" t="str">
        <f t="shared" si="373"/>
        <v/>
      </c>
      <c r="M3400" s="66" t="str">
        <f t="shared" si="374"/>
        <v/>
      </c>
      <c r="N3400" s="66" t="str">
        <f t="shared" si="375"/>
        <v/>
      </c>
      <c r="O3400" s="66" t="str">
        <f t="shared" si="376"/>
        <v/>
      </c>
      <c r="P3400" s="66" t="str">
        <f t="shared" si="377"/>
        <v/>
      </c>
    </row>
    <row r="3401" spans="8:16">
      <c r="H3401" s="66" t="e">
        <f>IF(LEFT(A3401,6)="CEPNTR","GPINS",VLOOKUP(LEFT(A3401,6),'Code Library'!$A$3:$B$920,2,0))&amp;"_"&amp;RIGHT(A3401,3)</f>
        <v>#N/A</v>
      </c>
      <c r="I3401" s="66">
        <f t="shared" si="371"/>
        <v>0</v>
      </c>
      <c r="K3401" s="66" t="str">
        <f t="shared" si="372"/>
        <v/>
      </c>
      <c r="L3401" s="66" t="str">
        <f t="shared" si="373"/>
        <v/>
      </c>
      <c r="M3401" s="66" t="str">
        <f t="shared" si="374"/>
        <v/>
      </c>
      <c r="N3401" s="66" t="str">
        <f t="shared" si="375"/>
        <v/>
      </c>
      <c r="O3401" s="66" t="str">
        <f t="shared" si="376"/>
        <v/>
      </c>
      <c r="P3401" s="66" t="str">
        <f t="shared" si="377"/>
        <v/>
      </c>
    </row>
    <row r="3402" spans="8:16">
      <c r="H3402" s="66" t="e">
        <f>IF(LEFT(A3402,6)="CEPNTR","GPINS",VLOOKUP(LEFT(A3402,6),'Code Library'!$A$3:$B$920,2,0))&amp;"_"&amp;RIGHT(A3402,3)</f>
        <v>#N/A</v>
      </c>
      <c r="I3402" s="66">
        <f t="shared" si="371"/>
        <v>0</v>
      </c>
      <c r="K3402" s="66" t="str">
        <f t="shared" si="372"/>
        <v/>
      </c>
      <c r="L3402" s="66" t="str">
        <f t="shared" si="373"/>
        <v/>
      </c>
      <c r="M3402" s="66" t="str">
        <f t="shared" si="374"/>
        <v/>
      </c>
      <c r="N3402" s="66" t="str">
        <f t="shared" si="375"/>
        <v/>
      </c>
      <c r="O3402" s="66" t="str">
        <f t="shared" si="376"/>
        <v/>
      </c>
      <c r="P3402" s="66" t="str">
        <f t="shared" si="377"/>
        <v/>
      </c>
    </row>
    <row r="3403" spans="8:16">
      <c r="H3403" s="66" t="e">
        <f>IF(LEFT(A3403,6)="CEPNTR","GPINS",VLOOKUP(LEFT(A3403,6),'Code Library'!$A$3:$B$920,2,0))&amp;"_"&amp;RIGHT(A3403,3)</f>
        <v>#N/A</v>
      </c>
      <c r="I3403" s="66">
        <f t="shared" si="371"/>
        <v>0</v>
      </c>
      <c r="K3403" s="66" t="str">
        <f t="shared" si="372"/>
        <v/>
      </c>
      <c r="L3403" s="66" t="str">
        <f t="shared" si="373"/>
        <v/>
      </c>
      <c r="M3403" s="66" t="str">
        <f t="shared" si="374"/>
        <v/>
      </c>
      <c r="N3403" s="66" t="str">
        <f t="shared" si="375"/>
        <v/>
      </c>
      <c r="O3403" s="66" t="str">
        <f t="shared" si="376"/>
        <v/>
      </c>
      <c r="P3403" s="66" t="str">
        <f t="shared" si="377"/>
        <v/>
      </c>
    </row>
    <row r="3404" spans="8:16">
      <c r="H3404" s="66" t="e">
        <f>IF(LEFT(A3404,6)="CEPNTR","GPINS",VLOOKUP(LEFT(A3404,6),'Code Library'!$A$3:$B$920,2,0))&amp;"_"&amp;RIGHT(A3404,3)</f>
        <v>#N/A</v>
      </c>
      <c r="I3404" s="66">
        <f t="shared" si="371"/>
        <v>0</v>
      </c>
      <c r="K3404" s="66" t="str">
        <f t="shared" si="372"/>
        <v/>
      </c>
      <c r="L3404" s="66" t="str">
        <f t="shared" si="373"/>
        <v/>
      </c>
      <c r="M3404" s="66" t="str">
        <f t="shared" si="374"/>
        <v/>
      </c>
      <c r="N3404" s="66" t="str">
        <f t="shared" si="375"/>
        <v/>
      </c>
      <c r="O3404" s="66" t="str">
        <f t="shared" si="376"/>
        <v/>
      </c>
      <c r="P3404" s="66" t="str">
        <f t="shared" si="377"/>
        <v/>
      </c>
    </row>
    <row r="3405" spans="8:16">
      <c r="H3405" s="66" t="e">
        <f>IF(LEFT(A3405,6)="CEPNTR","GPINS",VLOOKUP(LEFT(A3405,6),'Code Library'!$A$3:$B$920,2,0))&amp;"_"&amp;RIGHT(A3405,3)</f>
        <v>#N/A</v>
      </c>
      <c r="I3405" s="66">
        <f t="shared" si="371"/>
        <v>0</v>
      </c>
      <c r="K3405" s="66" t="str">
        <f t="shared" si="372"/>
        <v/>
      </c>
      <c r="L3405" s="66" t="str">
        <f t="shared" si="373"/>
        <v/>
      </c>
      <c r="M3405" s="66" t="str">
        <f t="shared" si="374"/>
        <v/>
      </c>
      <c r="N3405" s="66" t="str">
        <f t="shared" si="375"/>
        <v/>
      </c>
      <c r="O3405" s="66" t="str">
        <f t="shared" si="376"/>
        <v/>
      </c>
      <c r="P3405" s="66" t="str">
        <f t="shared" si="377"/>
        <v/>
      </c>
    </row>
    <row r="3406" spans="8:16">
      <c r="H3406" s="66" t="e">
        <f>IF(LEFT(A3406,6)="CEPNTR","GPINS",VLOOKUP(LEFT(A3406,6),'Code Library'!$A$3:$B$920,2,0))&amp;"_"&amp;RIGHT(A3406,3)</f>
        <v>#N/A</v>
      </c>
      <c r="I3406" s="66">
        <f t="shared" si="371"/>
        <v>0</v>
      </c>
      <c r="K3406" s="66" t="str">
        <f t="shared" si="372"/>
        <v/>
      </c>
      <c r="L3406" s="66" t="str">
        <f t="shared" si="373"/>
        <v/>
      </c>
      <c r="M3406" s="66" t="str">
        <f t="shared" si="374"/>
        <v/>
      </c>
      <c r="N3406" s="66" t="str">
        <f t="shared" si="375"/>
        <v/>
      </c>
      <c r="O3406" s="66" t="str">
        <f t="shared" si="376"/>
        <v/>
      </c>
      <c r="P3406" s="66" t="str">
        <f t="shared" si="377"/>
        <v/>
      </c>
    </row>
    <row r="3407" spans="8:16">
      <c r="H3407" s="66" t="e">
        <f>IF(LEFT(A3407,6)="CEPNTR","GPINS",VLOOKUP(LEFT(A3407,6),'Code Library'!$A$3:$B$920,2,0))&amp;"_"&amp;RIGHT(A3407,3)</f>
        <v>#N/A</v>
      </c>
      <c r="I3407" s="66">
        <f t="shared" si="371"/>
        <v>0</v>
      </c>
      <c r="K3407" s="66" t="str">
        <f t="shared" si="372"/>
        <v/>
      </c>
      <c r="L3407" s="66" t="str">
        <f t="shared" si="373"/>
        <v/>
      </c>
      <c r="M3407" s="66" t="str">
        <f t="shared" si="374"/>
        <v/>
      </c>
      <c r="N3407" s="66" t="str">
        <f t="shared" si="375"/>
        <v/>
      </c>
      <c r="O3407" s="66" t="str">
        <f t="shared" si="376"/>
        <v/>
      </c>
      <c r="P3407" s="66" t="str">
        <f t="shared" si="377"/>
        <v/>
      </c>
    </row>
    <row r="3408" spans="8:16">
      <c r="H3408" s="66" t="e">
        <f>IF(LEFT(A3408,6)="CEPNTR","GPINS",VLOOKUP(LEFT(A3408,6),'Code Library'!$A$3:$B$920,2,0))&amp;"_"&amp;RIGHT(A3408,3)</f>
        <v>#N/A</v>
      </c>
      <c r="I3408" s="66">
        <f t="shared" si="371"/>
        <v>0</v>
      </c>
      <c r="K3408" s="66" t="str">
        <f t="shared" si="372"/>
        <v/>
      </c>
      <c r="L3408" s="66" t="str">
        <f t="shared" si="373"/>
        <v/>
      </c>
      <c r="M3408" s="66" t="str">
        <f t="shared" si="374"/>
        <v/>
      </c>
      <c r="N3408" s="66" t="str">
        <f t="shared" si="375"/>
        <v/>
      </c>
      <c r="O3408" s="66" t="str">
        <f t="shared" si="376"/>
        <v/>
      </c>
      <c r="P3408" s="66" t="str">
        <f t="shared" si="377"/>
        <v/>
      </c>
    </row>
    <row r="3409" spans="8:16">
      <c r="H3409" s="66" t="e">
        <f>IF(LEFT(A3409,6)="CEPNTR","GPINS",VLOOKUP(LEFT(A3409,6),'Code Library'!$A$3:$B$920,2,0))&amp;"_"&amp;RIGHT(A3409,3)</f>
        <v>#N/A</v>
      </c>
      <c r="I3409" s="66">
        <f t="shared" si="371"/>
        <v>0</v>
      </c>
      <c r="K3409" s="66" t="str">
        <f t="shared" si="372"/>
        <v/>
      </c>
      <c r="L3409" s="66" t="str">
        <f t="shared" si="373"/>
        <v/>
      </c>
      <c r="M3409" s="66" t="str">
        <f t="shared" si="374"/>
        <v/>
      </c>
      <c r="N3409" s="66" t="str">
        <f t="shared" si="375"/>
        <v/>
      </c>
      <c r="O3409" s="66" t="str">
        <f t="shared" si="376"/>
        <v/>
      </c>
      <c r="P3409" s="66" t="str">
        <f t="shared" si="377"/>
        <v/>
      </c>
    </row>
    <row r="3410" spans="8:16">
      <c r="H3410" s="66" t="e">
        <f>IF(LEFT(A3410,6)="CEPNTR","GPINS",VLOOKUP(LEFT(A3410,6),'Code Library'!$A$3:$B$920,2,0))&amp;"_"&amp;RIGHT(A3410,3)</f>
        <v>#N/A</v>
      </c>
      <c r="I3410" s="66">
        <f t="shared" si="371"/>
        <v>0</v>
      </c>
      <c r="K3410" s="66" t="str">
        <f t="shared" si="372"/>
        <v/>
      </c>
      <c r="L3410" s="66" t="str">
        <f t="shared" si="373"/>
        <v/>
      </c>
      <c r="M3410" s="66" t="str">
        <f t="shared" si="374"/>
        <v/>
      </c>
      <c r="N3410" s="66" t="str">
        <f t="shared" si="375"/>
        <v/>
      </c>
      <c r="O3410" s="66" t="str">
        <f t="shared" si="376"/>
        <v/>
      </c>
      <c r="P3410" s="66" t="str">
        <f t="shared" si="377"/>
        <v/>
      </c>
    </row>
    <row r="3411" spans="8:16">
      <c r="H3411" s="66" t="e">
        <f>IF(LEFT(A3411,6)="CEPNTR","GPINS",VLOOKUP(LEFT(A3411,6),'Code Library'!$A$3:$B$920,2,0))&amp;"_"&amp;RIGHT(A3411,3)</f>
        <v>#N/A</v>
      </c>
      <c r="I3411" s="66">
        <f t="shared" si="371"/>
        <v>0</v>
      </c>
      <c r="K3411" s="66" t="str">
        <f t="shared" si="372"/>
        <v/>
      </c>
      <c r="L3411" s="66" t="str">
        <f t="shared" si="373"/>
        <v/>
      </c>
      <c r="M3411" s="66" t="str">
        <f t="shared" si="374"/>
        <v/>
      </c>
      <c r="N3411" s="66" t="str">
        <f t="shared" si="375"/>
        <v/>
      </c>
      <c r="O3411" s="66" t="str">
        <f t="shared" si="376"/>
        <v/>
      </c>
      <c r="P3411" s="66" t="str">
        <f t="shared" si="377"/>
        <v/>
      </c>
    </row>
    <row r="3412" spans="8:16">
      <c r="H3412" s="66" t="e">
        <f>IF(LEFT(A3412,6)="CEPNTR","GPINS",VLOOKUP(LEFT(A3412,6),'Code Library'!$A$3:$B$920,2,0))&amp;"_"&amp;RIGHT(A3412,3)</f>
        <v>#N/A</v>
      </c>
      <c r="I3412" s="66">
        <f t="shared" si="371"/>
        <v>0</v>
      </c>
      <c r="K3412" s="66" t="str">
        <f t="shared" si="372"/>
        <v/>
      </c>
      <c r="L3412" s="66" t="str">
        <f t="shared" si="373"/>
        <v/>
      </c>
      <c r="M3412" s="66" t="str">
        <f t="shared" si="374"/>
        <v/>
      </c>
      <c r="N3412" s="66" t="str">
        <f t="shared" si="375"/>
        <v/>
      </c>
      <c r="O3412" s="66" t="str">
        <f t="shared" si="376"/>
        <v/>
      </c>
      <c r="P3412" s="66" t="str">
        <f t="shared" si="377"/>
        <v/>
      </c>
    </row>
    <row r="3413" spans="8:16">
      <c r="H3413" s="66" t="e">
        <f>IF(LEFT(A3413,6)="CEPNTR","GPINS",VLOOKUP(LEFT(A3413,6),'Code Library'!$A$3:$B$920,2,0))&amp;"_"&amp;RIGHT(A3413,3)</f>
        <v>#N/A</v>
      </c>
      <c r="I3413" s="66">
        <f t="shared" si="371"/>
        <v>0</v>
      </c>
      <c r="K3413" s="66" t="str">
        <f t="shared" si="372"/>
        <v/>
      </c>
      <c r="L3413" s="66" t="str">
        <f t="shared" si="373"/>
        <v/>
      </c>
      <c r="M3413" s="66" t="str">
        <f t="shared" si="374"/>
        <v/>
      </c>
      <c r="N3413" s="66" t="str">
        <f t="shared" si="375"/>
        <v/>
      </c>
      <c r="O3413" s="66" t="str">
        <f t="shared" si="376"/>
        <v/>
      </c>
      <c r="P3413" s="66" t="str">
        <f t="shared" si="377"/>
        <v/>
      </c>
    </row>
    <row r="3414" spans="8:16">
      <c r="H3414" s="66" t="e">
        <f>IF(LEFT(A3414,6)="CEPNTR","GPINS",VLOOKUP(LEFT(A3414,6),'Code Library'!$A$3:$B$920,2,0))&amp;"_"&amp;RIGHT(A3414,3)</f>
        <v>#N/A</v>
      </c>
      <c r="I3414" s="66">
        <f t="shared" si="371"/>
        <v>0</v>
      </c>
      <c r="K3414" s="66" t="str">
        <f t="shared" si="372"/>
        <v/>
      </c>
      <c r="L3414" s="66" t="str">
        <f t="shared" si="373"/>
        <v/>
      </c>
      <c r="M3414" s="66" t="str">
        <f t="shared" si="374"/>
        <v/>
      </c>
      <c r="N3414" s="66" t="str">
        <f t="shared" si="375"/>
        <v/>
      </c>
      <c r="O3414" s="66" t="str">
        <f t="shared" si="376"/>
        <v/>
      </c>
      <c r="P3414" s="66" t="str">
        <f t="shared" si="377"/>
        <v/>
      </c>
    </row>
    <row r="3415" spans="8:16">
      <c r="H3415" s="66" t="e">
        <f>IF(LEFT(A3415,6)="CEPNTR","GPINS",VLOOKUP(LEFT(A3415,6),'Code Library'!$A$3:$B$920,2,0))&amp;"_"&amp;RIGHT(A3415,3)</f>
        <v>#N/A</v>
      </c>
      <c r="I3415" s="66">
        <f t="shared" si="371"/>
        <v>0</v>
      </c>
      <c r="K3415" s="66" t="str">
        <f t="shared" si="372"/>
        <v/>
      </c>
      <c r="L3415" s="66" t="str">
        <f t="shared" si="373"/>
        <v/>
      </c>
      <c r="M3415" s="66" t="str">
        <f t="shared" si="374"/>
        <v/>
      </c>
      <c r="N3415" s="66" t="str">
        <f t="shared" si="375"/>
        <v/>
      </c>
      <c r="O3415" s="66" t="str">
        <f t="shared" si="376"/>
        <v/>
      </c>
      <c r="P3415" s="66" t="str">
        <f t="shared" si="377"/>
        <v/>
      </c>
    </row>
    <row r="3416" spans="8:16">
      <c r="H3416" s="66" t="e">
        <f>IF(LEFT(A3416,6)="CEPNTR","GPINS",VLOOKUP(LEFT(A3416,6),'Code Library'!$A$3:$B$920,2,0))&amp;"_"&amp;RIGHT(A3416,3)</f>
        <v>#N/A</v>
      </c>
      <c r="I3416" s="66">
        <f t="shared" si="371"/>
        <v>0</v>
      </c>
      <c r="K3416" s="66" t="str">
        <f t="shared" si="372"/>
        <v/>
      </c>
      <c r="L3416" s="66" t="str">
        <f t="shared" si="373"/>
        <v/>
      </c>
      <c r="M3416" s="66" t="str">
        <f t="shared" si="374"/>
        <v/>
      </c>
      <c r="N3416" s="66" t="str">
        <f t="shared" si="375"/>
        <v/>
      </c>
      <c r="O3416" s="66" t="str">
        <f t="shared" si="376"/>
        <v/>
      </c>
      <c r="P3416" s="66" t="str">
        <f t="shared" si="377"/>
        <v/>
      </c>
    </row>
    <row r="3417" spans="8:16">
      <c r="H3417" s="66" t="e">
        <f>IF(LEFT(A3417,6)="CEPNTR","GPINS",VLOOKUP(LEFT(A3417,6),'Code Library'!$A$3:$B$920,2,0))&amp;"_"&amp;RIGHT(A3417,3)</f>
        <v>#N/A</v>
      </c>
      <c r="I3417" s="66">
        <f t="shared" si="371"/>
        <v>0</v>
      </c>
      <c r="K3417" s="66" t="str">
        <f t="shared" si="372"/>
        <v/>
      </c>
      <c r="L3417" s="66" t="str">
        <f t="shared" si="373"/>
        <v/>
      </c>
      <c r="M3417" s="66" t="str">
        <f t="shared" si="374"/>
        <v/>
      </c>
      <c r="N3417" s="66" t="str">
        <f t="shared" si="375"/>
        <v/>
      </c>
      <c r="O3417" s="66" t="str">
        <f t="shared" si="376"/>
        <v/>
      </c>
      <c r="P3417" s="66" t="str">
        <f t="shared" si="377"/>
        <v/>
      </c>
    </row>
    <row r="3418" spans="8:16">
      <c r="H3418" s="66" t="e">
        <f>IF(LEFT(A3418,6)="CEPNTR","GPINS",VLOOKUP(LEFT(A3418,6),'Code Library'!$A$3:$B$920,2,0))&amp;"_"&amp;RIGHT(A3418,3)</f>
        <v>#N/A</v>
      </c>
      <c r="I3418" s="66">
        <f t="shared" si="371"/>
        <v>0</v>
      </c>
      <c r="K3418" s="66" t="str">
        <f t="shared" si="372"/>
        <v/>
      </c>
      <c r="L3418" s="66" t="str">
        <f t="shared" si="373"/>
        <v/>
      </c>
      <c r="M3418" s="66" t="str">
        <f t="shared" si="374"/>
        <v/>
      </c>
      <c r="N3418" s="66" t="str">
        <f t="shared" si="375"/>
        <v/>
      </c>
      <c r="O3418" s="66" t="str">
        <f t="shared" si="376"/>
        <v/>
      </c>
      <c r="P3418" s="66" t="str">
        <f t="shared" si="377"/>
        <v/>
      </c>
    </row>
    <row r="3419" spans="8:16">
      <c r="H3419" s="66" t="e">
        <f>IF(LEFT(A3419,6)="CEPNTR","GPINS",VLOOKUP(LEFT(A3419,6),'Code Library'!$A$3:$B$920,2,0))&amp;"_"&amp;RIGHT(A3419,3)</f>
        <v>#N/A</v>
      </c>
      <c r="I3419" s="66">
        <f t="shared" si="371"/>
        <v>0</v>
      </c>
      <c r="K3419" s="66" t="str">
        <f t="shared" si="372"/>
        <v/>
      </c>
      <c r="L3419" s="66" t="str">
        <f t="shared" si="373"/>
        <v/>
      </c>
      <c r="M3419" s="66" t="str">
        <f t="shared" si="374"/>
        <v/>
      </c>
      <c r="N3419" s="66" t="str">
        <f t="shared" si="375"/>
        <v/>
      </c>
      <c r="O3419" s="66" t="str">
        <f t="shared" si="376"/>
        <v/>
      </c>
      <c r="P3419" s="66" t="str">
        <f t="shared" si="377"/>
        <v/>
      </c>
    </row>
    <row r="3420" spans="8:16">
      <c r="H3420" s="66" t="e">
        <f>IF(LEFT(A3420,6)="CEPNTR","GPINS",VLOOKUP(LEFT(A3420,6),'Code Library'!$A$3:$B$920,2,0))&amp;"_"&amp;RIGHT(A3420,3)</f>
        <v>#N/A</v>
      </c>
      <c r="I3420" s="66">
        <f t="shared" si="371"/>
        <v>0</v>
      </c>
      <c r="K3420" s="66" t="str">
        <f t="shared" si="372"/>
        <v/>
      </c>
      <c r="L3420" s="66" t="str">
        <f t="shared" si="373"/>
        <v/>
      </c>
      <c r="M3420" s="66" t="str">
        <f t="shared" si="374"/>
        <v/>
      </c>
      <c r="N3420" s="66" t="str">
        <f t="shared" si="375"/>
        <v/>
      </c>
      <c r="O3420" s="66" t="str">
        <f t="shared" si="376"/>
        <v/>
      </c>
      <c r="P3420" s="66" t="str">
        <f t="shared" si="377"/>
        <v/>
      </c>
    </row>
    <row r="3421" spans="8:16">
      <c r="H3421" s="66" t="e">
        <f>IF(LEFT(A3421,6)="CEPNTR","GPINS",VLOOKUP(LEFT(A3421,6),'Code Library'!$A$3:$B$920,2,0))&amp;"_"&amp;RIGHT(A3421,3)</f>
        <v>#N/A</v>
      </c>
      <c r="I3421" s="66">
        <f t="shared" si="371"/>
        <v>0</v>
      </c>
      <c r="K3421" s="66" t="str">
        <f t="shared" si="372"/>
        <v/>
      </c>
      <c r="L3421" s="66" t="str">
        <f t="shared" si="373"/>
        <v/>
      </c>
      <c r="M3421" s="66" t="str">
        <f t="shared" si="374"/>
        <v/>
      </c>
      <c r="N3421" s="66" t="str">
        <f t="shared" si="375"/>
        <v/>
      </c>
      <c r="O3421" s="66" t="str">
        <f t="shared" si="376"/>
        <v/>
      </c>
      <c r="P3421" s="66" t="str">
        <f t="shared" si="377"/>
        <v/>
      </c>
    </row>
    <row r="3422" spans="8:16">
      <c r="H3422" s="66" t="e">
        <f>IF(LEFT(A3422,6)="CEPNTR","GPINS",VLOOKUP(LEFT(A3422,6),'Code Library'!$A$3:$B$920,2,0))&amp;"_"&amp;RIGHT(A3422,3)</f>
        <v>#N/A</v>
      </c>
      <c r="I3422" s="66">
        <f t="shared" si="371"/>
        <v>0</v>
      </c>
      <c r="K3422" s="66" t="str">
        <f t="shared" si="372"/>
        <v/>
      </c>
      <c r="L3422" s="66" t="str">
        <f t="shared" si="373"/>
        <v/>
      </c>
      <c r="M3422" s="66" t="str">
        <f t="shared" si="374"/>
        <v/>
      </c>
      <c r="N3422" s="66" t="str">
        <f t="shared" si="375"/>
        <v/>
      </c>
      <c r="O3422" s="66" t="str">
        <f t="shared" si="376"/>
        <v/>
      </c>
      <c r="P3422" s="66" t="str">
        <f t="shared" si="377"/>
        <v/>
      </c>
    </row>
    <row r="3423" spans="8:16">
      <c r="H3423" s="66" t="e">
        <f>IF(LEFT(A3423,6)="CEPNTR","GPINS",VLOOKUP(LEFT(A3423,6),'Code Library'!$A$3:$B$920,2,0))&amp;"_"&amp;RIGHT(A3423,3)</f>
        <v>#N/A</v>
      </c>
      <c r="I3423" s="66">
        <f t="shared" si="371"/>
        <v>0</v>
      </c>
      <c r="K3423" s="66" t="str">
        <f t="shared" si="372"/>
        <v/>
      </c>
      <c r="L3423" s="66" t="str">
        <f t="shared" si="373"/>
        <v/>
      </c>
      <c r="M3423" s="66" t="str">
        <f t="shared" si="374"/>
        <v/>
      </c>
      <c r="N3423" s="66" t="str">
        <f t="shared" si="375"/>
        <v/>
      </c>
      <c r="O3423" s="66" t="str">
        <f t="shared" si="376"/>
        <v/>
      </c>
      <c r="P3423" s="66" t="str">
        <f t="shared" si="377"/>
        <v/>
      </c>
    </row>
    <row r="3424" spans="8:16">
      <c r="H3424" s="66" t="e">
        <f>IF(LEFT(A3424,6)="CEPNTR","GPINS",VLOOKUP(LEFT(A3424,6),'Code Library'!$A$3:$B$920,2,0))&amp;"_"&amp;RIGHT(A3424,3)</f>
        <v>#N/A</v>
      </c>
      <c r="I3424" s="66">
        <f t="shared" si="371"/>
        <v>0</v>
      </c>
      <c r="K3424" s="66" t="str">
        <f t="shared" si="372"/>
        <v/>
      </c>
      <c r="L3424" s="66" t="str">
        <f t="shared" si="373"/>
        <v/>
      </c>
      <c r="M3424" s="66" t="str">
        <f t="shared" si="374"/>
        <v/>
      </c>
      <c r="N3424" s="66" t="str">
        <f t="shared" si="375"/>
        <v/>
      </c>
      <c r="O3424" s="66" t="str">
        <f t="shared" si="376"/>
        <v/>
      </c>
      <c r="P3424" s="66" t="str">
        <f t="shared" si="377"/>
        <v/>
      </c>
    </row>
    <row r="3425" spans="8:16">
      <c r="H3425" s="66" t="e">
        <f>IF(LEFT(A3425,6)="CEPNTR","GPINS",VLOOKUP(LEFT(A3425,6),'Code Library'!$A$3:$B$920,2,0))&amp;"_"&amp;RIGHT(A3425,3)</f>
        <v>#N/A</v>
      </c>
      <c r="I3425" s="66">
        <f t="shared" si="371"/>
        <v>0</v>
      </c>
      <c r="K3425" s="66" t="str">
        <f t="shared" si="372"/>
        <v/>
      </c>
      <c r="L3425" s="66" t="str">
        <f t="shared" si="373"/>
        <v/>
      </c>
      <c r="M3425" s="66" t="str">
        <f t="shared" si="374"/>
        <v/>
      </c>
      <c r="N3425" s="66" t="str">
        <f t="shared" si="375"/>
        <v/>
      </c>
      <c r="O3425" s="66" t="str">
        <f t="shared" si="376"/>
        <v/>
      </c>
      <c r="P3425" s="66" t="str">
        <f t="shared" si="377"/>
        <v/>
      </c>
    </row>
    <row r="3426" spans="8:16">
      <c r="H3426" s="66" t="e">
        <f>IF(LEFT(A3426,6)="CEPNTR","GPINS",VLOOKUP(LEFT(A3426,6),'Code Library'!$A$3:$B$920,2,0))&amp;"_"&amp;RIGHT(A3426,3)</f>
        <v>#N/A</v>
      </c>
      <c r="I3426" s="66">
        <f t="shared" si="371"/>
        <v>0</v>
      </c>
      <c r="K3426" s="66" t="str">
        <f t="shared" si="372"/>
        <v/>
      </c>
      <c r="L3426" s="66" t="str">
        <f t="shared" si="373"/>
        <v/>
      </c>
      <c r="M3426" s="66" t="str">
        <f t="shared" si="374"/>
        <v/>
      </c>
      <c r="N3426" s="66" t="str">
        <f t="shared" si="375"/>
        <v/>
      </c>
      <c r="O3426" s="66" t="str">
        <f t="shared" si="376"/>
        <v/>
      </c>
      <c r="P3426" s="66" t="str">
        <f t="shared" si="377"/>
        <v/>
      </c>
    </row>
    <row r="3427" spans="8:16">
      <c r="H3427" s="66" t="e">
        <f>IF(LEFT(A3427,6)="CEPNTR","GPINS",VLOOKUP(LEFT(A3427,6),'Code Library'!$A$3:$B$920,2,0))&amp;"_"&amp;RIGHT(A3427,3)</f>
        <v>#N/A</v>
      </c>
      <c r="I3427" s="66">
        <f t="shared" si="371"/>
        <v>0</v>
      </c>
      <c r="K3427" s="66" t="str">
        <f t="shared" si="372"/>
        <v/>
      </c>
      <c r="L3427" s="66" t="str">
        <f t="shared" si="373"/>
        <v/>
      </c>
      <c r="M3427" s="66" t="str">
        <f t="shared" si="374"/>
        <v/>
      </c>
      <c r="N3427" s="66" t="str">
        <f t="shared" si="375"/>
        <v/>
      </c>
      <c r="O3427" s="66" t="str">
        <f t="shared" si="376"/>
        <v/>
      </c>
      <c r="P3427" s="66" t="str">
        <f t="shared" si="377"/>
        <v/>
      </c>
    </row>
    <row r="3428" spans="8:16">
      <c r="H3428" s="66" t="e">
        <f>IF(LEFT(A3428,6)="CEPNTR","GPINS",VLOOKUP(LEFT(A3428,6),'Code Library'!$A$3:$B$920,2,0))&amp;"_"&amp;RIGHT(A3428,3)</f>
        <v>#N/A</v>
      </c>
      <c r="I3428" s="66">
        <f t="shared" si="371"/>
        <v>0</v>
      </c>
      <c r="K3428" s="66" t="str">
        <f t="shared" si="372"/>
        <v/>
      </c>
      <c r="L3428" s="66" t="str">
        <f t="shared" si="373"/>
        <v/>
      </c>
      <c r="M3428" s="66" t="str">
        <f t="shared" si="374"/>
        <v/>
      </c>
      <c r="N3428" s="66" t="str">
        <f t="shared" si="375"/>
        <v/>
      </c>
      <c r="O3428" s="66" t="str">
        <f t="shared" si="376"/>
        <v/>
      </c>
      <c r="P3428" s="66" t="str">
        <f t="shared" si="377"/>
        <v/>
      </c>
    </row>
    <row r="3429" spans="8:16">
      <c r="H3429" s="66" t="e">
        <f>IF(LEFT(A3429,6)="CEPNTR","GPINS",VLOOKUP(LEFT(A3429,6),'Code Library'!$A$3:$B$920,2,0))&amp;"_"&amp;RIGHT(A3429,3)</f>
        <v>#N/A</v>
      </c>
      <c r="I3429" s="66">
        <f t="shared" si="371"/>
        <v>0</v>
      </c>
      <c r="K3429" s="66" t="str">
        <f t="shared" si="372"/>
        <v/>
      </c>
      <c r="L3429" s="66" t="str">
        <f t="shared" si="373"/>
        <v/>
      </c>
      <c r="M3429" s="66" t="str">
        <f t="shared" si="374"/>
        <v/>
      </c>
      <c r="N3429" s="66" t="str">
        <f t="shared" si="375"/>
        <v/>
      </c>
      <c r="O3429" s="66" t="str">
        <f t="shared" si="376"/>
        <v/>
      </c>
      <c r="P3429" s="66" t="str">
        <f t="shared" si="377"/>
        <v/>
      </c>
    </row>
    <row r="3430" spans="8:16">
      <c r="H3430" s="66" t="e">
        <f>IF(LEFT(A3430,6)="CEPNTR","GPINS",VLOOKUP(LEFT(A3430,6),'Code Library'!$A$3:$B$920,2,0))&amp;"_"&amp;RIGHT(A3430,3)</f>
        <v>#N/A</v>
      </c>
      <c r="I3430" s="66">
        <f t="shared" si="371"/>
        <v>0</v>
      </c>
      <c r="K3430" s="66" t="str">
        <f t="shared" si="372"/>
        <v/>
      </c>
      <c r="L3430" s="66" t="str">
        <f t="shared" si="373"/>
        <v/>
      </c>
      <c r="M3430" s="66" t="str">
        <f t="shared" si="374"/>
        <v/>
      </c>
      <c r="N3430" s="66" t="str">
        <f t="shared" si="375"/>
        <v/>
      </c>
      <c r="O3430" s="66" t="str">
        <f t="shared" si="376"/>
        <v/>
      </c>
      <c r="P3430" s="66" t="str">
        <f t="shared" si="377"/>
        <v/>
      </c>
    </row>
    <row r="3431" spans="8:16">
      <c r="H3431" s="66" t="e">
        <f>IF(LEFT(A3431,6)="CEPNTR","GPINS",VLOOKUP(LEFT(A3431,6),'Code Library'!$A$3:$B$920,2,0))&amp;"_"&amp;RIGHT(A3431,3)</f>
        <v>#N/A</v>
      </c>
      <c r="I3431" s="66">
        <f t="shared" si="371"/>
        <v>0</v>
      </c>
      <c r="K3431" s="66" t="str">
        <f t="shared" si="372"/>
        <v/>
      </c>
      <c r="L3431" s="66" t="str">
        <f t="shared" si="373"/>
        <v/>
      </c>
      <c r="M3431" s="66" t="str">
        <f t="shared" si="374"/>
        <v/>
      </c>
      <c r="N3431" s="66" t="str">
        <f t="shared" si="375"/>
        <v/>
      </c>
      <c r="O3431" s="66" t="str">
        <f t="shared" si="376"/>
        <v/>
      </c>
      <c r="P3431" s="66" t="str">
        <f t="shared" si="377"/>
        <v/>
      </c>
    </row>
    <row r="3432" spans="8:16">
      <c r="H3432" s="66" t="e">
        <f>IF(LEFT(A3432,6)="CEPNTR","GPINS",VLOOKUP(LEFT(A3432,6),'Code Library'!$A$3:$B$920,2,0))&amp;"_"&amp;RIGHT(A3432,3)</f>
        <v>#N/A</v>
      </c>
      <c r="I3432" s="66">
        <f t="shared" si="371"/>
        <v>0</v>
      </c>
      <c r="K3432" s="66" t="str">
        <f t="shared" si="372"/>
        <v/>
      </c>
      <c r="L3432" s="66" t="str">
        <f t="shared" si="373"/>
        <v/>
      </c>
      <c r="M3432" s="66" t="str">
        <f t="shared" si="374"/>
        <v/>
      </c>
      <c r="N3432" s="66" t="str">
        <f t="shared" si="375"/>
        <v/>
      </c>
      <c r="O3432" s="66" t="str">
        <f t="shared" si="376"/>
        <v/>
      </c>
      <c r="P3432" s="66" t="str">
        <f t="shared" si="377"/>
        <v/>
      </c>
    </row>
    <row r="3433" spans="8:16">
      <c r="H3433" s="66" t="e">
        <f>IF(LEFT(A3433,6)="CEPNTR","GPINS",VLOOKUP(LEFT(A3433,6),'Code Library'!$A$3:$B$920,2,0))&amp;"_"&amp;RIGHT(A3433,3)</f>
        <v>#N/A</v>
      </c>
      <c r="I3433" s="66">
        <f t="shared" si="371"/>
        <v>0</v>
      </c>
      <c r="K3433" s="66" t="str">
        <f t="shared" si="372"/>
        <v/>
      </c>
      <c r="L3433" s="66" t="str">
        <f t="shared" si="373"/>
        <v/>
      </c>
      <c r="M3433" s="66" t="str">
        <f t="shared" si="374"/>
        <v/>
      </c>
      <c r="N3433" s="66" t="str">
        <f t="shared" si="375"/>
        <v/>
      </c>
      <c r="O3433" s="66" t="str">
        <f t="shared" si="376"/>
        <v/>
      </c>
      <c r="P3433" s="66" t="str">
        <f t="shared" si="377"/>
        <v/>
      </c>
    </row>
    <row r="3434" spans="8:16">
      <c r="H3434" s="66" t="e">
        <f>IF(LEFT(A3434,6)="CEPNTR","GPINS",VLOOKUP(LEFT(A3434,6),'Code Library'!$A$3:$B$920,2,0))&amp;"_"&amp;RIGHT(A3434,3)</f>
        <v>#N/A</v>
      </c>
      <c r="I3434" s="66">
        <f t="shared" si="371"/>
        <v>0</v>
      </c>
      <c r="K3434" s="66" t="str">
        <f t="shared" si="372"/>
        <v/>
      </c>
      <c r="L3434" s="66" t="str">
        <f t="shared" si="373"/>
        <v/>
      </c>
      <c r="M3434" s="66" t="str">
        <f t="shared" si="374"/>
        <v/>
      </c>
      <c r="N3434" s="66" t="str">
        <f t="shared" si="375"/>
        <v/>
      </c>
      <c r="O3434" s="66" t="str">
        <f t="shared" si="376"/>
        <v/>
      </c>
      <c r="P3434" s="66" t="str">
        <f t="shared" si="377"/>
        <v/>
      </c>
    </row>
    <row r="3435" spans="8:16">
      <c r="H3435" s="66" t="e">
        <f>IF(LEFT(A3435,6)="CEPNTR","GPINS",VLOOKUP(LEFT(A3435,6),'Code Library'!$A$3:$B$920,2,0))&amp;"_"&amp;RIGHT(A3435,3)</f>
        <v>#N/A</v>
      </c>
      <c r="I3435" s="66">
        <f t="shared" si="371"/>
        <v>0</v>
      </c>
      <c r="K3435" s="66" t="str">
        <f t="shared" si="372"/>
        <v/>
      </c>
      <c r="L3435" s="66" t="str">
        <f t="shared" si="373"/>
        <v/>
      </c>
      <c r="M3435" s="66" t="str">
        <f t="shared" si="374"/>
        <v/>
      </c>
      <c r="N3435" s="66" t="str">
        <f t="shared" si="375"/>
        <v/>
      </c>
      <c r="O3435" s="66" t="str">
        <f t="shared" si="376"/>
        <v/>
      </c>
      <c r="P3435" s="66" t="str">
        <f t="shared" si="377"/>
        <v/>
      </c>
    </row>
    <row r="3436" spans="8:16">
      <c r="H3436" s="66" t="e">
        <f>IF(LEFT(A3436,6)="CEPNTR","GPINS",VLOOKUP(LEFT(A3436,6),'Code Library'!$A$3:$B$920,2,0))&amp;"_"&amp;RIGHT(A3436,3)</f>
        <v>#N/A</v>
      </c>
      <c r="I3436" s="66">
        <f t="shared" si="371"/>
        <v>0</v>
      </c>
      <c r="K3436" s="66" t="str">
        <f t="shared" si="372"/>
        <v/>
      </c>
      <c r="L3436" s="66" t="str">
        <f t="shared" si="373"/>
        <v/>
      </c>
      <c r="M3436" s="66" t="str">
        <f t="shared" si="374"/>
        <v/>
      </c>
      <c r="N3436" s="66" t="str">
        <f t="shared" si="375"/>
        <v/>
      </c>
      <c r="O3436" s="66" t="str">
        <f t="shared" si="376"/>
        <v/>
      </c>
      <c r="P3436" s="66" t="str">
        <f t="shared" si="377"/>
        <v/>
      </c>
    </row>
    <row r="3437" spans="8:16">
      <c r="H3437" s="66" t="e">
        <f>IF(LEFT(A3437,6)="CEPNTR","GPINS",VLOOKUP(LEFT(A3437,6),'Code Library'!$A$3:$B$920,2,0))&amp;"_"&amp;RIGHT(A3437,3)</f>
        <v>#N/A</v>
      </c>
      <c r="I3437" s="66">
        <f t="shared" si="371"/>
        <v>0</v>
      </c>
      <c r="K3437" s="66" t="str">
        <f t="shared" si="372"/>
        <v/>
      </c>
      <c r="L3437" s="66" t="str">
        <f t="shared" si="373"/>
        <v/>
      </c>
      <c r="M3437" s="66" t="str">
        <f t="shared" si="374"/>
        <v/>
      </c>
      <c r="N3437" s="66" t="str">
        <f t="shared" si="375"/>
        <v/>
      </c>
      <c r="O3437" s="66" t="str">
        <f t="shared" si="376"/>
        <v/>
      </c>
      <c r="P3437" s="66" t="str">
        <f t="shared" si="377"/>
        <v/>
      </c>
    </row>
    <row r="3438" spans="8:16">
      <c r="H3438" s="66" t="e">
        <f>IF(LEFT(A3438,6)="CEPNTR","GPINS",VLOOKUP(LEFT(A3438,6),'Code Library'!$A$3:$B$920,2,0))&amp;"_"&amp;RIGHT(A3438,3)</f>
        <v>#N/A</v>
      </c>
      <c r="I3438" s="66">
        <f t="shared" si="371"/>
        <v>0</v>
      </c>
      <c r="K3438" s="66" t="str">
        <f t="shared" si="372"/>
        <v/>
      </c>
      <c r="L3438" s="66" t="str">
        <f t="shared" si="373"/>
        <v/>
      </c>
      <c r="M3438" s="66" t="str">
        <f t="shared" si="374"/>
        <v/>
      </c>
      <c r="N3438" s="66" t="str">
        <f t="shared" si="375"/>
        <v/>
      </c>
      <c r="O3438" s="66" t="str">
        <f t="shared" si="376"/>
        <v/>
      </c>
      <c r="P3438" s="66" t="str">
        <f t="shared" si="377"/>
        <v/>
      </c>
    </row>
    <row r="3439" spans="8:16">
      <c r="H3439" s="66" t="e">
        <f>IF(LEFT(A3439,6)="CEPNTR","GPINS",VLOOKUP(LEFT(A3439,6),'Code Library'!$A$3:$B$920,2,0))&amp;"_"&amp;RIGHT(A3439,3)</f>
        <v>#N/A</v>
      </c>
      <c r="I3439" s="66">
        <f t="shared" si="371"/>
        <v>0</v>
      </c>
      <c r="K3439" s="66" t="str">
        <f t="shared" si="372"/>
        <v/>
      </c>
      <c r="L3439" s="66" t="str">
        <f t="shared" si="373"/>
        <v/>
      </c>
      <c r="M3439" s="66" t="str">
        <f t="shared" si="374"/>
        <v/>
      </c>
      <c r="N3439" s="66" t="str">
        <f t="shared" si="375"/>
        <v/>
      </c>
      <c r="O3439" s="66" t="str">
        <f t="shared" si="376"/>
        <v/>
      </c>
      <c r="P3439" s="66" t="str">
        <f t="shared" si="377"/>
        <v/>
      </c>
    </row>
    <row r="3440" spans="8:16">
      <c r="H3440" s="66" t="e">
        <f>IF(LEFT(A3440,6)="CEPNTR","GPINS",VLOOKUP(LEFT(A3440,6),'Code Library'!$A$3:$B$920,2,0))&amp;"_"&amp;RIGHT(A3440,3)</f>
        <v>#N/A</v>
      </c>
      <c r="I3440" s="66">
        <f t="shared" si="371"/>
        <v>0</v>
      </c>
      <c r="K3440" s="66" t="str">
        <f t="shared" si="372"/>
        <v/>
      </c>
      <c r="L3440" s="66" t="str">
        <f t="shared" si="373"/>
        <v/>
      </c>
      <c r="M3440" s="66" t="str">
        <f t="shared" si="374"/>
        <v/>
      </c>
      <c r="N3440" s="66" t="str">
        <f t="shared" si="375"/>
        <v/>
      </c>
      <c r="O3440" s="66" t="str">
        <f t="shared" si="376"/>
        <v/>
      </c>
      <c r="P3440" s="66" t="str">
        <f t="shared" si="377"/>
        <v/>
      </c>
    </row>
    <row r="3441" spans="8:16">
      <c r="H3441" s="66" t="e">
        <f>IF(LEFT(A3441,6)="CEPNTR","GPINS",VLOOKUP(LEFT(A3441,6),'Code Library'!$A$3:$B$920,2,0))&amp;"_"&amp;RIGHT(A3441,3)</f>
        <v>#N/A</v>
      </c>
      <c r="I3441" s="66">
        <f t="shared" si="371"/>
        <v>0</v>
      </c>
      <c r="K3441" s="66" t="str">
        <f t="shared" si="372"/>
        <v/>
      </c>
      <c r="L3441" s="66" t="str">
        <f t="shared" si="373"/>
        <v/>
      </c>
      <c r="M3441" s="66" t="str">
        <f t="shared" si="374"/>
        <v/>
      </c>
      <c r="N3441" s="66" t="str">
        <f t="shared" si="375"/>
        <v/>
      </c>
      <c r="O3441" s="66" t="str">
        <f t="shared" si="376"/>
        <v/>
      </c>
      <c r="P3441" s="66" t="str">
        <f t="shared" si="377"/>
        <v/>
      </c>
    </row>
    <row r="3442" spans="8:16">
      <c r="H3442" s="66" t="e">
        <f>IF(LEFT(A3442,6)="CEPNTR","GPINS",VLOOKUP(LEFT(A3442,6),'Code Library'!$A$3:$B$920,2,0))&amp;"_"&amp;RIGHT(A3442,3)</f>
        <v>#N/A</v>
      </c>
      <c r="I3442" s="66">
        <f t="shared" si="371"/>
        <v>0</v>
      </c>
      <c r="K3442" s="66" t="str">
        <f t="shared" si="372"/>
        <v/>
      </c>
      <c r="L3442" s="66" t="str">
        <f t="shared" si="373"/>
        <v/>
      </c>
      <c r="M3442" s="66" t="str">
        <f t="shared" si="374"/>
        <v/>
      </c>
      <c r="N3442" s="66" t="str">
        <f t="shared" si="375"/>
        <v/>
      </c>
      <c r="O3442" s="66" t="str">
        <f t="shared" si="376"/>
        <v/>
      </c>
      <c r="P3442" s="66" t="str">
        <f t="shared" si="377"/>
        <v/>
      </c>
    </row>
    <row r="3443" spans="8:16">
      <c r="H3443" s="66" t="e">
        <f>IF(LEFT(A3443,6)="CEPNTR","GPINS",VLOOKUP(LEFT(A3443,6),'Code Library'!$A$3:$B$920,2,0))&amp;"_"&amp;RIGHT(A3443,3)</f>
        <v>#N/A</v>
      </c>
      <c r="I3443" s="66">
        <f t="shared" si="371"/>
        <v>0</v>
      </c>
      <c r="K3443" s="66" t="str">
        <f t="shared" si="372"/>
        <v/>
      </c>
      <c r="L3443" s="66" t="str">
        <f t="shared" si="373"/>
        <v/>
      </c>
      <c r="M3443" s="66" t="str">
        <f t="shared" si="374"/>
        <v/>
      </c>
      <c r="N3443" s="66" t="str">
        <f t="shared" si="375"/>
        <v/>
      </c>
      <c r="O3443" s="66" t="str">
        <f t="shared" si="376"/>
        <v/>
      </c>
      <c r="P3443" s="66" t="str">
        <f t="shared" si="377"/>
        <v/>
      </c>
    </row>
    <row r="3444" spans="8:16">
      <c r="H3444" s="66" t="e">
        <f>IF(LEFT(A3444,6)="CEPNTR","GPINS",VLOOKUP(LEFT(A3444,6),'Code Library'!$A$3:$B$920,2,0))&amp;"_"&amp;RIGHT(A3444,3)</f>
        <v>#N/A</v>
      </c>
      <c r="I3444" s="66">
        <f t="shared" si="371"/>
        <v>0</v>
      </c>
      <c r="K3444" s="66" t="str">
        <f t="shared" si="372"/>
        <v/>
      </c>
      <c r="L3444" s="66" t="str">
        <f t="shared" si="373"/>
        <v/>
      </c>
      <c r="M3444" s="66" t="str">
        <f t="shared" si="374"/>
        <v/>
      </c>
      <c r="N3444" s="66" t="str">
        <f t="shared" si="375"/>
        <v/>
      </c>
      <c r="O3444" s="66" t="str">
        <f t="shared" si="376"/>
        <v/>
      </c>
      <c r="P3444" s="66" t="str">
        <f t="shared" si="377"/>
        <v/>
      </c>
    </row>
    <row r="3445" spans="8:16">
      <c r="H3445" s="66" t="e">
        <f>IF(LEFT(A3445,6)="CEPNTR","GPINS",VLOOKUP(LEFT(A3445,6),'Code Library'!$A$3:$B$920,2,0))&amp;"_"&amp;RIGHT(A3445,3)</f>
        <v>#N/A</v>
      </c>
      <c r="I3445" s="66">
        <f t="shared" si="371"/>
        <v>0</v>
      </c>
      <c r="K3445" s="66" t="str">
        <f t="shared" si="372"/>
        <v/>
      </c>
      <c r="L3445" s="66" t="str">
        <f t="shared" si="373"/>
        <v/>
      </c>
      <c r="M3445" s="66" t="str">
        <f t="shared" si="374"/>
        <v/>
      </c>
      <c r="N3445" s="66" t="str">
        <f t="shared" si="375"/>
        <v/>
      </c>
      <c r="O3445" s="66" t="str">
        <f t="shared" si="376"/>
        <v/>
      </c>
      <c r="P3445" s="66" t="str">
        <f t="shared" si="377"/>
        <v/>
      </c>
    </row>
    <row r="3446" spans="8:16">
      <c r="H3446" s="66" t="e">
        <f>IF(LEFT(A3446,6)="CEPNTR","GPINS",VLOOKUP(LEFT(A3446,6),'Code Library'!$A$3:$B$920,2,0))&amp;"_"&amp;RIGHT(A3446,3)</f>
        <v>#N/A</v>
      </c>
      <c r="I3446" s="66">
        <f t="shared" si="371"/>
        <v>0</v>
      </c>
      <c r="K3446" s="66" t="str">
        <f t="shared" si="372"/>
        <v/>
      </c>
      <c r="L3446" s="66" t="str">
        <f t="shared" si="373"/>
        <v/>
      </c>
      <c r="M3446" s="66" t="str">
        <f t="shared" si="374"/>
        <v/>
      </c>
      <c r="N3446" s="66" t="str">
        <f t="shared" si="375"/>
        <v/>
      </c>
      <c r="O3446" s="66" t="str">
        <f t="shared" si="376"/>
        <v/>
      </c>
      <c r="P3446" s="66" t="str">
        <f t="shared" si="377"/>
        <v/>
      </c>
    </row>
    <row r="3447" spans="8:16">
      <c r="H3447" s="66" t="e">
        <f>IF(LEFT(A3447,6)="CEPNTR","GPINS",VLOOKUP(LEFT(A3447,6),'Code Library'!$A$3:$B$920,2,0))&amp;"_"&amp;RIGHT(A3447,3)</f>
        <v>#N/A</v>
      </c>
      <c r="I3447" s="66">
        <f t="shared" si="371"/>
        <v>0</v>
      </c>
      <c r="K3447" s="66" t="str">
        <f t="shared" si="372"/>
        <v/>
      </c>
      <c r="L3447" s="66" t="str">
        <f t="shared" si="373"/>
        <v/>
      </c>
      <c r="M3447" s="66" t="str">
        <f t="shared" si="374"/>
        <v/>
      </c>
      <c r="N3447" s="66" t="str">
        <f t="shared" si="375"/>
        <v/>
      </c>
      <c r="O3447" s="66" t="str">
        <f t="shared" si="376"/>
        <v/>
      </c>
      <c r="P3447" s="66" t="str">
        <f t="shared" si="377"/>
        <v/>
      </c>
    </row>
    <row r="3448" spans="8:16">
      <c r="H3448" s="66" t="e">
        <f>IF(LEFT(A3448,6)="CEPNTR","GPINS",VLOOKUP(LEFT(A3448,6),'Code Library'!$A$3:$B$920,2,0))&amp;"_"&amp;RIGHT(A3448,3)</f>
        <v>#N/A</v>
      </c>
      <c r="I3448" s="66">
        <f t="shared" si="371"/>
        <v>0</v>
      </c>
      <c r="K3448" s="66" t="str">
        <f t="shared" si="372"/>
        <v/>
      </c>
      <c r="L3448" s="66" t="str">
        <f t="shared" si="373"/>
        <v/>
      </c>
      <c r="M3448" s="66" t="str">
        <f t="shared" si="374"/>
        <v/>
      </c>
      <c r="N3448" s="66" t="str">
        <f t="shared" si="375"/>
        <v/>
      </c>
      <c r="O3448" s="66" t="str">
        <f t="shared" si="376"/>
        <v/>
      </c>
      <c r="P3448" s="66" t="str">
        <f t="shared" si="377"/>
        <v/>
      </c>
    </row>
    <row r="3449" spans="8:16">
      <c r="H3449" s="66" t="e">
        <f>IF(LEFT(A3449,6)="CEPNTR","GPINS",VLOOKUP(LEFT(A3449,6),'Code Library'!$A$3:$B$920,2,0))&amp;"_"&amp;RIGHT(A3449,3)</f>
        <v>#N/A</v>
      </c>
      <c r="I3449" s="66">
        <f t="shared" si="371"/>
        <v>0</v>
      </c>
      <c r="K3449" s="66" t="str">
        <f t="shared" si="372"/>
        <v/>
      </c>
      <c r="L3449" s="66" t="str">
        <f t="shared" si="373"/>
        <v/>
      </c>
      <c r="M3449" s="66" t="str">
        <f t="shared" si="374"/>
        <v/>
      </c>
      <c r="N3449" s="66" t="str">
        <f t="shared" si="375"/>
        <v/>
      </c>
      <c r="O3449" s="66" t="str">
        <f t="shared" si="376"/>
        <v/>
      </c>
      <c r="P3449" s="66" t="str">
        <f t="shared" si="377"/>
        <v/>
      </c>
    </row>
    <row r="3450" spans="8:16">
      <c r="H3450" s="66" t="e">
        <f>IF(LEFT(A3450,6)="CEPNTR","GPINS",VLOOKUP(LEFT(A3450,6),'Code Library'!$A$3:$B$920,2,0))&amp;"_"&amp;RIGHT(A3450,3)</f>
        <v>#N/A</v>
      </c>
      <c r="I3450" s="66">
        <f t="shared" si="371"/>
        <v>0</v>
      </c>
      <c r="K3450" s="66" t="str">
        <f t="shared" si="372"/>
        <v/>
      </c>
      <c r="L3450" s="66" t="str">
        <f t="shared" si="373"/>
        <v/>
      </c>
      <c r="M3450" s="66" t="str">
        <f t="shared" si="374"/>
        <v/>
      </c>
      <c r="N3450" s="66" t="str">
        <f t="shared" si="375"/>
        <v/>
      </c>
      <c r="O3450" s="66" t="str">
        <f t="shared" si="376"/>
        <v/>
      </c>
      <c r="P3450" s="66" t="str">
        <f t="shared" si="377"/>
        <v/>
      </c>
    </row>
    <row r="3451" spans="8:16">
      <c r="H3451" s="66" t="e">
        <f>IF(LEFT(A3451,6)="CEPNTR","GPINS",VLOOKUP(LEFT(A3451,6),'Code Library'!$A$3:$B$920,2,0))&amp;"_"&amp;RIGHT(A3451,3)</f>
        <v>#N/A</v>
      </c>
      <c r="I3451" s="66">
        <f t="shared" si="371"/>
        <v>0</v>
      </c>
      <c r="K3451" s="66" t="str">
        <f t="shared" si="372"/>
        <v/>
      </c>
      <c r="L3451" s="66" t="str">
        <f t="shared" si="373"/>
        <v/>
      </c>
      <c r="M3451" s="66" t="str">
        <f t="shared" si="374"/>
        <v/>
      </c>
      <c r="N3451" s="66" t="str">
        <f t="shared" si="375"/>
        <v/>
      </c>
      <c r="O3451" s="66" t="str">
        <f t="shared" si="376"/>
        <v/>
      </c>
      <c r="P3451" s="66" t="str">
        <f t="shared" si="377"/>
        <v/>
      </c>
    </row>
    <row r="3452" spans="8:16">
      <c r="H3452" s="66" t="e">
        <f>IF(LEFT(A3452,6)="CEPNTR","GPINS",VLOOKUP(LEFT(A3452,6),'Code Library'!$A$3:$B$920,2,0))&amp;"_"&amp;RIGHT(A3452,3)</f>
        <v>#N/A</v>
      </c>
      <c r="I3452" s="66">
        <f t="shared" si="371"/>
        <v>0</v>
      </c>
      <c r="K3452" s="66" t="str">
        <f t="shared" si="372"/>
        <v/>
      </c>
      <c r="L3452" s="66" t="str">
        <f t="shared" si="373"/>
        <v/>
      </c>
      <c r="M3452" s="66" t="str">
        <f t="shared" si="374"/>
        <v/>
      </c>
      <c r="N3452" s="66" t="str">
        <f t="shared" si="375"/>
        <v/>
      </c>
      <c r="O3452" s="66" t="str">
        <f t="shared" si="376"/>
        <v/>
      </c>
      <c r="P3452" s="66" t="str">
        <f t="shared" si="377"/>
        <v/>
      </c>
    </row>
    <row r="3453" spans="8:16">
      <c r="H3453" s="66" t="e">
        <f>IF(LEFT(A3453,6)="CEPNTR","GPINS",VLOOKUP(LEFT(A3453,6),'Code Library'!$A$3:$B$920,2,0))&amp;"_"&amp;RIGHT(A3453,3)</f>
        <v>#N/A</v>
      </c>
      <c r="I3453" s="66">
        <f t="shared" si="371"/>
        <v>0</v>
      </c>
      <c r="K3453" s="66" t="str">
        <f t="shared" si="372"/>
        <v/>
      </c>
      <c r="L3453" s="66" t="str">
        <f t="shared" si="373"/>
        <v/>
      </c>
      <c r="M3453" s="66" t="str">
        <f t="shared" si="374"/>
        <v/>
      </c>
      <c r="N3453" s="66" t="str">
        <f t="shared" si="375"/>
        <v/>
      </c>
      <c r="O3453" s="66" t="str">
        <f t="shared" si="376"/>
        <v/>
      </c>
      <c r="P3453" s="66" t="str">
        <f t="shared" si="377"/>
        <v/>
      </c>
    </row>
    <row r="3454" spans="8:16">
      <c r="H3454" s="66" t="e">
        <f>IF(LEFT(A3454,6)="CEPNTR","GPINS",VLOOKUP(LEFT(A3454,6),'Code Library'!$A$3:$B$920,2,0))&amp;"_"&amp;RIGHT(A3454,3)</f>
        <v>#N/A</v>
      </c>
      <c r="I3454" s="66">
        <f t="shared" si="371"/>
        <v>0</v>
      </c>
      <c r="K3454" s="66" t="str">
        <f t="shared" si="372"/>
        <v/>
      </c>
      <c r="L3454" s="66" t="str">
        <f t="shared" si="373"/>
        <v/>
      </c>
      <c r="M3454" s="66" t="str">
        <f t="shared" si="374"/>
        <v/>
      </c>
      <c r="N3454" s="66" t="str">
        <f t="shared" si="375"/>
        <v/>
      </c>
      <c r="O3454" s="66" t="str">
        <f t="shared" si="376"/>
        <v/>
      </c>
      <c r="P3454" s="66" t="str">
        <f t="shared" si="377"/>
        <v/>
      </c>
    </row>
    <row r="3455" spans="8:16">
      <c r="H3455" s="66" t="e">
        <f>IF(LEFT(A3455,6)="CEPNTR","GPINS",VLOOKUP(LEFT(A3455,6),'Code Library'!$A$3:$B$920,2,0))&amp;"_"&amp;RIGHT(A3455,3)</f>
        <v>#N/A</v>
      </c>
      <c r="I3455" s="66">
        <f t="shared" si="371"/>
        <v>0</v>
      </c>
      <c r="K3455" s="66" t="str">
        <f t="shared" si="372"/>
        <v/>
      </c>
      <c r="L3455" s="66" t="str">
        <f t="shared" si="373"/>
        <v/>
      </c>
      <c r="M3455" s="66" t="str">
        <f t="shared" si="374"/>
        <v/>
      </c>
      <c r="N3455" s="66" t="str">
        <f t="shared" si="375"/>
        <v/>
      </c>
      <c r="O3455" s="66" t="str">
        <f t="shared" si="376"/>
        <v/>
      </c>
      <c r="P3455" s="66" t="str">
        <f t="shared" si="377"/>
        <v/>
      </c>
    </row>
    <row r="3456" spans="8:16">
      <c r="H3456" s="66" t="e">
        <f>IF(LEFT(A3456,6)="CEPNTR","GPINS",VLOOKUP(LEFT(A3456,6),'Code Library'!$A$3:$B$920,2,0))&amp;"_"&amp;RIGHT(A3456,3)</f>
        <v>#N/A</v>
      </c>
      <c r="I3456" s="66">
        <f t="shared" si="371"/>
        <v>0</v>
      </c>
      <c r="K3456" s="66" t="str">
        <f t="shared" si="372"/>
        <v/>
      </c>
      <c r="L3456" s="66" t="str">
        <f t="shared" si="373"/>
        <v/>
      </c>
      <c r="M3456" s="66" t="str">
        <f t="shared" si="374"/>
        <v/>
      </c>
      <c r="N3456" s="66" t="str">
        <f t="shared" si="375"/>
        <v/>
      </c>
      <c r="O3456" s="66" t="str">
        <f t="shared" si="376"/>
        <v/>
      </c>
      <c r="P3456" s="66" t="str">
        <f t="shared" si="377"/>
        <v/>
      </c>
    </row>
    <row r="3457" spans="8:16">
      <c r="H3457" s="66" t="e">
        <f>IF(LEFT(A3457,6)="CEPNTR","GPINS",VLOOKUP(LEFT(A3457,6),'Code Library'!$A$3:$B$920,2,0))&amp;"_"&amp;RIGHT(A3457,3)</f>
        <v>#N/A</v>
      </c>
      <c r="I3457" s="66">
        <f t="shared" si="371"/>
        <v>0</v>
      </c>
      <c r="K3457" s="66" t="str">
        <f t="shared" si="372"/>
        <v/>
      </c>
      <c r="L3457" s="66" t="str">
        <f t="shared" si="373"/>
        <v/>
      </c>
      <c r="M3457" s="66" t="str">
        <f t="shared" si="374"/>
        <v/>
      </c>
      <c r="N3457" s="66" t="str">
        <f t="shared" si="375"/>
        <v/>
      </c>
      <c r="O3457" s="66" t="str">
        <f t="shared" si="376"/>
        <v/>
      </c>
      <c r="P3457" s="66" t="str">
        <f t="shared" si="377"/>
        <v/>
      </c>
    </row>
    <row r="3458" spans="8:16">
      <c r="H3458" s="66" t="e">
        <f>IF(LEFT(A3458,6)="CEPNTR","GPINS",VLOOKUP(LEFT(A3458,6),'Code Library'!$A$3:$B$920,2,0))&amp;"_"&amp;RIGHT(A3458,3)</f>
        <v>#N/A</v>
      </c>
      <c r="I3458" s="66">
        <f t="shared" si="371"/>
        <v>0</v>
      </c>
      <c r="K3458" s="66" t="str">
        <f t="shared" si="372"/>
        <v/>
      </c>
      <c r="L3458" s="66" t="str">
        <f t="shared" si="373"/>
        <v/>
      </c>
      <c r="M3458" s="66" t="str">
        <f t="shared" si="374"/>
        <v/>
      </c>
      <c r="N3458" s="66" t="str">
        <f t="shared" si="375"/>
        <v/>
      </c>
      <c r="O3458" s="66" t="str">
        <f t="shared" si="376"/>
        <v/>
      </c>
      <c r="P3458" s="66" t="str">
        <f t="shared" si="377"/>
        <v/>
      </c>
    </row>
    <row r="3459" spans="8:16">
      <c r="H3459" s="66" t="e">
        <f>IF(LEFT(A3459,6)="CEPNTR","GPINS",VLOOKUP(LEFT(A3459,6),'Code Library'!$A$3:$B$920,2,0))&amp;"_"&amp;RIGHT(A3459,3)</f>
        <v>#N/A</v>
      </c>
      <c r="I3459" s="66">
        <f t="shared" ref="I3459:I3522" si="378">A3459</f>
        <v>0</v>
      </c>
      <c r="K3459" s="66" t="str">
        <f t="shared" ref="K3459:K3522" si="379">RIGHT($B3459,2)</f>
        <v/>
      </c>
      <c r="L3459" s="66" t="str">
        <f t="shared" ref="L3459:L3522" si="380">LEFT(RIGHT($B3459,7),4)</f>
        <v/>
      </c>
      <c r="M3459" s="66" t="str">
        <f t="shared" ref="M3459:M3522" si="381">LEFT(RIGHT($B3459,10),2)</f>
        <v/>
      </c>
      <c r="N3459" s="66" t="str">
        <f t="shared" ref="N3459:N3522" si="382">LEFT(RIGHT($B3459,14),3)</f>
        <v/>
      </c>
      <c r="O3459" s="66" t="str">
        <f t="shared" ref="O3459:O3522" si="383">LEFT(RIGHT($B3459,16),1)</f>
        <v/>
      </c>
      <c r="P3459" s="66" t="str">
        <f t="shared" ref="P3459:P3522" si="384">LEFT(RIGHT($B3459,19),2)</f>
        <v/>
      </c>
    </row>
    <row r="3460" spans="8:16">
      <c r="H3460" s="66" t="e">
        <f>IF(LEFT(A3460,6)="CEPNTR","GPINS",VLOOKUP(LEFT(A3460,6),'Code Library'!$A$3:$B$920,2,0))&amp;"_"&amp;RIGHT(A3460,3)</f>
        <v>#N/A</v>
      </c>
      <c r="I3460" s="66">
        <f t="shared" si="378"/>
        <v>0</v>
      </c>
      <c r="K3460" s="66" t="str">
        <f t="shared" si="379"/>
        <v/>
      </c>
      <c r="L3460" s="66" t="str">
        <f t="shared" si="380"/>
        <v/>
      </c>
      <c r="M3460" s="66" t="str">
        <f t="shared" si="381"/>
        <v/>
      </c>
      <c r="N3460" s="66" t="str">
        <f t="shared" si="382"/>
        <v/>
      </c>
      <c r="O3460" s="66" t="str">
        <f t="shared" si="383"/>
        <v/>
      </c>
      <c r="P3460" s="66" t="str">
        <f t="shared" si="384"/>
        <v/>
      </c>
    </row>
    <row r="3461" spans="8:16">
      <c r="H3461" s="66" t="e">
        <f>IF(LEFT(A3461,6)="CEPNTR","GPINS",VLOOKUP(LEFT(A3461,6),'Code Library'!$A$3:$B$920,2,0))&amp;"_"&amp;RIGHT(A3461,3)</f>
        <v>#N/A</v>
      </c>
      <c r="I3461" s="66">
        <f t="shared" si="378"/>
        <v>0</v>
      </c>
      <c r="K3461" s="66" t="str">
        <f t="shared" si="379"/>
        <v/>
      </c>
      <c r="L3461" s="66" t="str">
        <f t="shared" si="380"/>
        <v/>
      </c>
      <c r="M3461" s="66" t="str">
        <f t="shared" si="381"/>
        <v/>
      </c>
      <c r="N3461" s="66" t="str">
        <f t="shared" si="382"/>
        <v/>
      </c>
      <c r="O3461" s="66" t="str">
        <f t="shared" si="383"/>
        <v/>
      </c>
      <c r="P3461" s="66" t="str">
        <f t="shared" si="384"/>
        <v/>
      </c>
    </row>
    <row r="3462" spans="8:16">
      <c r="H3462" s="66" t="e">
        <f>IF(LEFT(A3462,6)="CEPNTR","GPINS",VLOOKUP(LEFT(A3462,6),'Code Library'!$A$3:$B$920,2,0))&amp;"_"&amp;RIGHT(A3462,3)</f>
        <v>#N/A</v>
      </c>
      <c r="I3462" s="66">
        <f t="shared" si="378"/>
        <v>0</v>
      </c>
      <c r="K3462" s="66" t="str">
        <f t="shared" si="379"/>
        <v/>
      </c>
      <c r="L3462" s="66" t="str">
        <f t="shared" si="380"/>
        <v/>
      </c>
      <c r="M3462" s="66" t="str">
        <f t="shared" si="381"/>
        <v/>
      </c>
      <c r="N3462" s="66" t="str">
        <f t="shared" si="382"/>
        <v/>
      </c>
      <c r="O3462" s="66" t="str">
        <f t="shared" si="383"/>
        <v/>
      </c>
      <c r="P3462" s="66" t="str">
        <f t="shared" si="384"/>
        <v/>
      </c>
    </row>
    <row r="3463" spans="8:16">
      <c r="H3463" s="66" t="e">
        <f>IF(LEFT(A3463,6)="CEPNTR","GPINS",VLOOKUP(LEFT(A3463,6),'Code Library'!$A$3:$B$920,2,0))&amp;"_"&amp;RIGHT(A3463,3)</f>
        <v>#N/A</v>
      </c>
      <c r="I3463" s="66">
        <f t="shared" si="378"/>
        <v>0</v>
      </c>
      <c r="K3463" s="66" t="str">
        <f t="shared" si="379"/>
        <v/>
      </c>
      <c r="L3463" s="66" t="str">
        <f t="shared" si="380"/>
        <v/>
      </c>
      <c r="M3463" s="66" t="str">
        <f t="shared" si="381"/>
        <v/>
      </c>
      <c r="N3463" s="66" t="str">
        <f t="shared" si="382"/>
        <v/>
      </c>
      <c r="O3463" s="66" t="str">
        <f t="shared" si="383"/>
        <v/>
      </c>
      <c r="P3463" s="66" t="str">
        <f t="shared" si="384"/>
        <v/>
      </c>
    </row>
    <row r="3464" spans="8:16">
      <c r="H3464" s="66" t="e">
        <f>IF(LEFT(A3464,6)="CEPNTR","GPINS",VLOOKUP(LEFT(A3464,6),'Code Library'!$A$3:$B$920,2,0))&amp;"_"&amp;RIGHT(A3464,3)</f>
        <v>#N/A</v>
      </c>
      <c r="I3464" s="66">
        <f t="shared" si="378"/>
        <v>0</v>
      </c>
      <c r="K3464" s="66" t="str">
        <f t="shared" si="379"/>
        <v/>
      </c>
      <c r="L3464" s="66" t="str">
        <f t="shared" si="380"/>
        <v/>
      </c>
      <c r="M3464" s="66" t="str">
        <f t="shared" si="381"/>
        <v/>
      </c>
      <c r="N3464" s="66" t="str">
        <f t="shared" si="382"/>
        <v/>
      </c>
      <c r="O3464" s="66" t="str">
        <f t="shared" si="383"/>
        <v/>
      </c>
      <c r="P3464" s="66" t="str">
        <f t="shared" si="384"/>
        <v/>
      </c>
    </row>
    <row r="3465" spans="8:16">
      <c r="H3465" s="66" t="e">
        <f>IF(LEFT(A3465,6)="CEPNTR","GPINS",VLOOKUP(LEFT(A3465,6),'Code Library'!$A$3:$B$920,2,0))&amp;"_"&amp;RIGHT(A3465,3)</f>
        <v>#N/A</v>
      </c>
      <c r="I3465" s="66">
        <f t="shared" si="378"/>
        <v>0</v>
      </c>
      <c r="K3465" s="66" t="str">
        <f t="shared" si="379"/>
        <v/>
      </c>
      <c r="L3465" s="66" t="str">
        <f t="shared" si="380"/>
        <v/>
      </c>
      <c r="M3465" s="66" t="str">
        <f t="shared" si="381"/>
        <v/>
      </c>
      <c r="N3465" s="66" t="str">
        <f t="shared" si="382"/>
        <v/>
      </c>
      <c r="O3465" s="66" t="str">
        <f t="shared" si="383"/>
        <v/>
      </c>
      <c r="P3465" s="66" t="str">
        <f t="shared" si="384"/>
        <v/>
      </c>
    </row>
    <row r="3466" spans="8:16">
      <c r="H3466" s="66" t="e">
        <f>IF(LEFT(A3466,6)="CEPNTR","GPINS",VLOOKUP(LEFT(A3466,6),'Code Library'!$A$3:$B$920,2,0))&amp;"_"&amp;RIGHT(A3466,3)</f>
        <v>#N/A</v>
      </c>
      <c r="I3466" s="66">
        <f t="shared" si="378"/>
        <v>0</v>
      </c>
      <c r="K3466" s="66" t="str">
        <f t="shared" si="379"/>
        <v/>
      </c>
      <c r="L3466" s="66" t="str">
        <f t="shared" si="380"/>
        <v/>
      </c>
      <c r="M3466" s="66" t="str">
        <f t="shared" si="381"/>
        <v/>
      </c>
      <c r="N3466" s="66" t="str">
        <f t="shared" si="382"/>
        <v/>
      </c>
      <c r="O3466" s="66" t="str">
        <f t="shared" si="383"/>
        <v/>
      </c>
      <c r="P3466" s="66" t="str">
        <f t="shared" si="384"/>
        <v/>
      </c>
    </row>
    <row r="3467" spans="8:16">
      <c r="H3467" s="66" t="e">
        <f>IF(LEFT(A3467,6)="CEPNTR","GPINS",VLOOKUP(LEFT(A3467,6),'Code Library'!$A$3:$B$920,2,0))&amp;"_"&amp;RIGHT(A3467,3)</f>
        <v>#N/A</v>
      </c>
      <c r="I3467" s="66">
        <f t="shared" si="378"/>
        <v>0</v>
      </c>
      <c r="K3467" s="66" t="str">
        <f t="shared" si="379"/>
        <v/>
      </c>
      <c r="L3467" s="66" t="str">
        <f t="shared" si="380"/>
        <v/>
      </c>
      <c r="M3467" s="66" t="str">
        <f t="shared" si="381"/>
        <v/>
      </c>
      <c r="N3467" s="66" t="str">
        <f t="shared" si="382"/>
        <v/>
      </c>
      <c r="O3467" s="66" t="str">
        <f t="shared" si="383"/>
        <v/>
      </c>
      <c r="P3467" s="66" t="str">
        <f t="shared" si="384"/>
        <v/>
      </c>
    </row>
    <row r="3468" spans="8:16">
      <c r="H3468" s="66" t="e">
        <f>IF(LEFT(A3468,6)="CEPNTR","GPINS",VLOOKUP(LEFT(A3468,6),'Code Library'!$A$3:$B$920,2,0))&amp;"_"&amp;RIGHT(A3468,3)</f>
        <v>#N/A</v>
      </c>
      <c r="I3468" s="66">
        <f t="shared" si="378"/>
        <v>0</v>
      </c>
      <c r="K3468" s="66" t="str">
        <f t="shared" si="379"/>
        <v/>
      </c>
      <c r="L3468" s="66" t="str">
        <f t="shared" si="380"/>
        <v/>
      </c>
      <c r="M3468" s="66" t="str">
        <f t="shared" si="381"/>
        <v/>
      </c>
      <c r="N3468" s="66" t="str">
        <f t="shared" si="382"/>
        <v/>
      </c>
      <c r="O3468" s="66" t="str">
        <f t="shared" si="383"/>
        <v/>
      </c>
      <c r="P3468" s="66" t="str">
        <f t="shared" si="384"/>
        <v/>
      </c>
    </row>
    <row r="3469" spans="8:16">
      <c r="H3469" s="66" t="e">
        <f>IF(LEFT(A3469,6)="CEPNTR","GPINS",VLOOKUP(LEFT(A3469,6),'Code Library'!$A$3:$B$920,2,0))&amp;"_"&amp;RIGHT(A3469,3)</f>
        <v>#N/A</v>
      </c>
      <c r="I3469" s="66">
        <f t="shared" si="378"/>
        <v>0</v>
      </c>
      <c r="K3469" s="66" t="str">
        <f t="shared" si="379"/>
        <v/>
      </c>
      <c r="L3469" s="66" t="str">
        <f t="shared" si="380"/>
        <v/>
      </c>
      <c r="M3469" s="66" t="str">
        <f t="shared" si="381"/>
        <v/>
      </c>
      <c r="N3469" s="66" t="str">
        <f t="shared" si="382"/>
        <v/>
      </c>
      <c r="O3469" s="66" t="str">
        <f t="shared" si="383"/>
        <v/>
      </c>
      <c r="P3469" s="66" t="str">
        <f t="shared" si="384"/>
        <v/>
      </c>
    </row>
    <row r="3470" spans="8:16">
      <c r="H3470" s="66" t="e">
        <f>IF(LEFT(A3470,6)="CEPNTR","GPINS",VLOOKUP(LEFT(A3470,6),'Code Library'!$A$3:$B$920,2,0))&amp;"_"&amp;RIGHT(A3470,3)</f>
        <v>#N/A</v>
      </c>
      <c r="I3470" s="66">
        <f t="shared" si="378"/>
        <v>0</v>
      </c>
      <c r="K3470" s="66" t="str">
        <f t="shared" si="379"/>
        <v/>
      </c>
      <c r="L3470" s="66" t="str">
        <f t="shared" si="380"/>
        <v/>
      </c>
      <c r="M3470" s="66" t="str">
        <f t="shared" si="381"/>
        <v/>
      </c>
      <c r="N3470" s="66" t="str">
        <f t="shared" si="382"/>
        <v/>
      </c>
      <c r="O3470" s="66" t="str">
        <f t="shared" si="383"/>
        <v/>
      </c>
      <c r="P3470" s="66" t="str">
        <f t="shared" si="384"/>
        <v/>
      </c>
    </row>
    <row r="3471" spans="8:16">
      <c r="H3471" s="66" t="e">
        <f>IF(LEFT(A3471,6)="CEPNTR","GPINS",VLOOKUP(LEFT(A3471,6),'Code Library'!$A$3:$B$920,2,0))&amp;"_"&amp;RIGHT(A3471,3)</f>
        <v>#N/A</v>
      </c>
      <c r="I3471" s="66">
        <f t="shared" si="378"/>
        <v>0</v>
      </c>
      <c r="K3471" s="66" t="str">
        <f t="shared" si="379"/>
        <v/>
      </c>
      <c r="L3471" s="66" t="str">
        <f t="shared" si="380"/>
        <v/>
      </c>
      <c r="M3471" s="66" t="str">
        <f t="shared" si="381"/>
        <v/>
      </c>
      <c r="N3471" s="66" t="str">
        <f t="shared" si="382"/>
        <v/>
      </c>
      <c r="O3471" s="66" t="str">
        <f t="shared" si="383"/>
        <v/>
      </c>
      <c r="P3471" s="66" t="str">
        <f t="shared" si="384"/>
        <v/>
      </c>
    </row>
    <row r="3472" spans="8:16">
      <c r="H3472" s="66" t="e">
        <f>IF(LEFT(A3472,6)="CEPNTR","GPINS",VLOOKUP(LEFT(A3472,6),'Code Library'!$A$3:$B$920,2,0))&amp;"_"&amp;RIGHT(A3472,3)</f>
        <v>#N/A</v>
      </c>
      <c r="I3472" s="66">
        <f t="shared" si="378"/>
        <v>0</v>
      </c>
      <c r="K3472" s="66" t="str">
        <f t="shared" si="379"/>
        <v/>
      </c>
      <c r="L3472" s="66" t="str">
        <f t="shared" si="380"/>
        <v/>
      </c>
      <c r="M3472" s="66" t="str">
        <f t="shared" si="381"/>
        <v/>
      </c>
      <c r="N3472" s="66" t="str">
        <f t="shared" si="382"/>
        <v/>
      </c>
      <c r="O3472" s="66" t="str">
        <f t="shared" si="383"/>
        <v/>
      </c>
      <c r="P3472" s="66" t="str">
        <f t="shared" si="384"/>
        <v/>
      </c>
    </row>
    <row r="3473" spans="8:16">
      <c r="H3473" s="66" t="e">
        <f>IF(LEFT(A3473,6)="CEPNTR","GPINS",VLOOKUP(LEFT(A3473,6),'Code Library'!$A$3:$B$920,2,0))&amp;"_"&amp;RIGHT(A3473,3)</f>
        <v>#N/A</v>
      </c>
      <c r="I3473" s="66">
        <f t="shared" si="378"/>
        <v>0</v>
      </c>
      <c r="K3473" s="66" t="str">
        <f t="shared" si="379"/>
        <v/>
      </c>
      <c r="L3473" s="66" t="str">
        <f t="shared" si="380"/>
        <v/>
      </c>
      <c r="M3473" s="66" t="str">
        <f t="shared" si="381"/>
        <v/>
      </c>
      <c r="N3473" s="66" t="str">
        <f t="shared" si="382"/>
        <v/>
      </c>
      <c r="O3473" s="66" t="str">
        <f t="shared" si="383"/>
        <v/>
      </c>
      <c r="P3473" s="66" t="str">
        <f t="shared" si="384"/>
        <v/>
      </c>
    </row>
    <row r="3474" spans="8:16">
      <c r="H3474" s="66" t="e">
        <f>IF(LEFT(A3474,6)="CEPNTR","GPINS",VLOOKUP(LEFT(A3474,6),'Code Library'!$A$3:$B$920,2,0))&amp;"_"&amp;RIGHT(A3474,3)</f>
        <v>#N/A</v>
      </c>
      <c r="I3474" s="66">
        <f t="shared" si="378"/>
        <v>0</v>
      </c>
      <c r="K3474" s="66" t="str">
        <f t="shared" si="379"/>
        <v/>
      </c>
      <c r="L3474" s="66" t="str">
        <f t="shared" si="380"/>
        <v/>
      </c>
      <c r="M3474" s="66" t="str">
        <f t="shared" si="381"/>
        <v/>
      </c>
      <c r="N3474" s="66" t="str">
        <f t="shared" si="382"/>
        <v/>
      </c>
      <c r="O3474" s="66" t="str">
        <f t="shared" si="383"/>
        <v/>
      </c>
      <c r="P3474" s="66" t="str">
        <f t="shared" si="384"/>
        <v/>
      </c>
    </row>
    <row r="3475" spans="8:16">
      <c r="H3475" s="66" t="e">
        <f>IF(LEFT(A3475,6)="CEPNTR","GPINS",VLOOKUP(LEFT(A3475,6),'Code Library'!$A$3:$B$920,2,0))&amp;"_"&amp;RIGHT(A3475,3)</f>
        <v>#N/A</v>
      </c>
      <c r="I3475" s="66">
        <f t="shared" si="378"/>
        <v>0</v>
      </c>
      <c r="K3475" s="66" t="str">
        <f t="shared" si="379"/>
        <v/>
      </c>
      <c r="L3475" s="66" t="str">
        <f t="shared" si="380"/>
        <v/>
      </c>
      <c r="M3475" s="66" t="str">
        <f t="shared" si="381"/>
        <v/>
      </c>
      <c r="N3475" s="66" t="str">
        <f t="shared" si="382"/>
        <v/>
      </c>
      <c r="O3475" s="66" t="str">
        <f t="shared" si="383"/>
        <v/>
      </c>
      <c r="P3475" s="66" t="str">
        <f t="shared" si="384"/>
        <v/>
      </c>
    </row>
    <row r="3476" spans="8:16">
      <c r="H3476" s="66" t="e">
        <f>IF(LEFT(A3476,6)="CEPNTR","GPINS",VLOOKUP(LEFT(A3476,6),'Code Library'!$A$3:$B$920,2,0))&amp;"_"&amp;RIGHT(A3476,3)</f>
        <v>#N/A</v>
      </c>
      <c r="I3476" s="66">
        <f t="shared" si="378"/>
        <v>0</v>
      </c>
      <c r="K3476" s="66" t="str">
        <f t="shared" si="379"/>
        <v/>
      </c>
      <c r="L3476" s="66" t="str">
        <f t="shared" si="380"/>
        <v/>
      </c>
      <c r="M3476" s="66" t="str">
        <f t="shared" si="381"/>
        <v/>
      </c>
      <c r="N3476" s="66" t="str">
        <f t="shared" si="382"/>
        <v/>
      </c>
      <c r="O3476" s="66" t="str">
        <f t="shared" si="383"/>
        <v/>
      </c>
      <c r="P3476" s="66" t="str">
        <f t="shared" si="384"/>
        <v/>
      </c>
    </row>
    <row r="3477" spans="8:16">
      <c r="H3477" s="66" t="e">
        <f>IF(LEFT(A3477,6)="CEPNTR","GPINS",VLOOKUP(LEFT(A3477,6),'Code Library'!$A$3:$B$920,2,0))&amp;"_"&amp;RIGHT(A3477,3)</f>
        <v>#N/A</v>
      </c>
      <c r="I3477" s="66">
        <f t="shared" si="378"/>
        <v>0</v>
      </c>
      <c r="K3477" s="66" t="str">
        <f t="shared" si="379"/>
        <v/>
      </c>
      <c r="L3477" s="66" t="str">
        <f t="shared" si="380"/>
        <v/>
      </c>
      <c r="M3477" s="66" t="str">
        <f t="shared" si="381"/>
        <v/>
      </c>
      <c r="N3477" s="66" t="str">
        <f t="shared" si="382"/>
        <v/>
      </c>
      <c r="O3477" s="66" t="str">
        <f t="shared" si="383"/>
        <v/>
      </c>
      <c r="P3477" s="66" t="str">
        <f t="shared" si="384"/>
        <v/>
      </c>
    </row>
    <row r="3478" spans="8:16">
      <c r="H3478" s="66" t="e">
        <f>IF(LEFT(A3478,6)="CEPNTR","GPINS",VLOOKUP(LEFT(A3478,6),'Code Library'!$A$3:$B$920,2,0))&amp;"_"&amp;RIGHT(A3478,3)</f>
        <v>#N/A</v>
      </c>
      <c r="I3478" s="66">
        <f t="shared" si="378"/>
        <v>0</v>
      </c>
      <c r="K3478" s="66" t="str">
        <f t="shared" si="379"/>
        <v/>
      </c>
      <c r="L3478" s="66" t="str">
        <f t="shared" si="380"/>
        <v/>
      </c>
      <c r="M3478" s="66" t="str">
        <f t="shared" si="381"/>
        <v/>
      </c>
      <c r="N3478" s="66" t="str">
        <f t="shared" si="382"/>
        <v/>
      </c>
      <c r="O3478" s="66" t="str">
        <f t="shared" si="383"/>
        <v/>
      </c>
      <c r="P3478" s="66" t="str">
        <f t="shared" si="384"/>
        <v/>
      </c>
    </row>
    <row r="3479" spans="8:16">
      <c r="H3479" s="66" t="e">
        <f>IF(LEFT(A3479,6)="CEPNTR","GPINS",VLOOKUP(LEFT(A3479,6),'Code Library'!$A$3:$B$920,2,0))&amp;"_"&amp;RIGHT(A3479,3)</f>
        <v>#N/A</v>
      </c>
      <c r="I3479" s="66">
        <f t="shared" si="378"/>
        <v>0</v>
      </c>
      <c r="K3479" s="66" t="str">
        <f t="shared" si="379"/>
        <v/>
      </c>
      <c r="L3479" s="66" t="str">
        <f t="shared" si="380"/>
        <v/>
      </c>
      <c r="M3479" s="66" t="str">
        <f t="shared" si="381"/>
        <v/>
      </c>
      <c r="N3479" s="66" t="str">
        <f t="shared" si="382"/>
        <v/>
      </c>
      <c r="O3479" s="66" t="str">
        <f t="shared" si="383"/>
        <v/>
      </c>
      <c r="P3479" s="66" t="str">
        <f t="shared" si="384"/>
        <v/>
      </c>
    </row>
    <row r="3480" spans="8:16">
      <c r="H3480" s="66" t="e">
        <f>IF(LEFT(A3480,6)="CEPNTR","GPINS",VLOOKUP(LEFT(A3480,6),'Code Library'!$A$3:$B$920,2,0))&amp;"_"&amp;RIGHT(A3480,3)</f>
        <v>#N/A</v>
      </c>
      <c r="I3480" s="66">
        <f t="shared" si="378"/>
        <v>0</v>
      </c>
      <c r="K3480" s="66" t="str">
        <f t="shared" si="379"/>
        <v/>
      </c>
      <c r="L3480" s="66" t="str">
        <f t="shared" si="380"/>
        <v/>
      </c>
      <c r="M3480" s="66" t="str">
        <f t="shared" si="381"/>
        <v/>
      </c>
      <c r="N3480" s="66" t="str">
        <f t="shared" si="382"/>
        <v/>
      </c>
      <c r="O3480" s="66" t="str">
        <f t="shared" si="383"/>
        <v/>
      </c>
      <c r="P3480" s="66" t="str">
        <f t="shared" si="384"/>
        <v/>
      </c>
    </row>
    <row r="3481" spans="8:16">
      <c r="H3481" s="66" t="e">
        <f>IF(LEFT(A3481,6)="CEPNTR","GPINS",VLOOKUP(LEFT(A3481,6),'Code Library'!$A$3:$B$920,2,0))&amp;"_"&amp;RIGHT(A3481,3)</f>
        <v>#N/A</v>
      </c>
      <c r="I3481" s="66">
        <f t="shared" si="378"/>
        <v>0</v>
      </c>
      <c r="K3481" s="66" t="str">
        <f t="shared" si="379"/>
        <v/>
      </c>
      <c r="L3481" s="66" t="str">
        <f t="shared" si="380"/>
        <v/>
      </c>
      <c r="M3481" s="66" t="str">
        <f t="shared" si="381"/>
        <v/>
      </c>
      <c r="N3481" s="66" t="str">
        <f t="shared" si="382"/>
        <v/>
      </c>
      <c r="O3481" s="66" t="str">
        <f t="shared" si="383"/>
        <v/>
      </c>
      <c r="P3481" s="66" t="str">
        <f t="shared" si="384"/>
        <v/>
      </c>
    </row>
    <row r="3482" spans="8:16">
      <c r="H3482" s="66" t="e">
        <f>IF(LEFT(A3482,6)="CEPNTR","GPINS",VLOOKUP(LEFT(A3482,6),'Code Library'!$A$3:$B$920,2,0))&amp;"_"&amp;RIGHT(A3482,3)</f>
        <v>#N/A</v>
      </c>
      <c r="I3482" s="66">
        <f t="shared" si="378"/>
        <v>0</v>
      </c>
      <c r="K3482" s="66" t="str">
        <f t="shared" si="379"/>
        <v/>
      </c>
      <c r="L3482" s="66" t="str">
        <f t="shared" si="380"/>
        <v/>
      </c>
      <c r="M3482" s="66" t="str">
        <f t="shared" si="381"/>
        <v/>
      </c>
      <c r="N3482" s="66" t="str">
        <f t="shared" si="382"/>
        <v/>
      </c>
      <c r="O3482" s="66" t="str">
        <f t="shared" si="383"/>
        <v/>
      </c>
      <c r="P3482" s="66" t="str">
        <f t="shared" si="384"/>
        <v/>
      </c>
    </row>
    <row r="3483" spans="8:16">
      <c r="H3483" s="66" t="e">
        <f>IF(LEFT(A3483,6)="CEPNTR","GPINS",VLOOKUP(LEFT(A3483,6),'Code Library'!$A$3:$B$920,2,0))&amp;"_"&amp;RIGHT(A3483,3)</f>
        <v>#N/A</v>
      </c>
      <c r="I3483" s="66">
        <f t="shared" si="378"/>
        <v>0</v>
      </c>
      <c r="K3483" s="66" t="str">
        <f t="shared" si="379"/>
        <v/>
      </c>
      <c r="L3483" s="66" t="str">
        <f t="shared" si="380"/>
        <v/>
      </c>
      <c r="M3483" s="66" t="str">
        <f t="shared" si="381"/>
        <v/>
      </c>
      <c r="N3483" s="66" t="str">
        <f t="shared" si="382"/>
        <v/>
      </c>
      <c r="O3483" s="66" t="str">
        <f t="shared" si="383"/>
        <v/>
      </c>
      <c r="P3483" s="66" t="str">
        <f t="shared" si="384"/>
        <v/>
      </c>
    </row>
    <row r="3484" spans="8:16">
      <c r="H3484" s="66" t="e">
        <f>IF(LEFT(A3484,6)="CEPNTR","GPINS",VLOOKUP(LEFT(A3484,6),'Code Library'!$A$3:$B$920,2,0))&amp;"_"&amp;RIGHT(A3484,3)</f>
        <v>#N/A</v>
      </c>
      <c r="I3484" s="66">
        <f t="shared" si="378"/>
        <v>0</v>
      </c>
      <c r="K3484" s="66" t="str">
        <f t="shared" si="379"/>
        <v/>
      </c>
      <c r="L3484" s="66" t="str">
        <f t="shared" si="380"/>
        <v/>
      </c>
      <c r="M3484" s="66" t="str">
        <f t="shared" si="381"/>
        <v/>
      </c>
      <c r="N3484" s="66" t="str">
        <f t="shared" si="382"/>
        <v/>
      </c>
      <c r="O3484" s="66" t="str">
        <f t="shared" si="383"/>
        <v/>
      </c>
      <c r="P3484" s="66" t="str">
        <f t="shared" si="384"/>
        <v/>
      </c>
    </row>
    <row r="3485" spans="8:16">
      <c r="H3485" s="66" t="e">
        <f>IF(LEFT(A3485,6)="CEPNTR","GPINS",VLOOKUP(LEFT(A3485,6),'Code Library'!$A$3:$B$920,2,0))&amp;"_"&amp;RIGHT(A3485,3)</f>
        <v>#N/A</v>
      </c>
      <c r="I3485" s="66">
        <f t="shared" si="378"/>
        <v>0</v>
      </c>
      <c r="K3485" s="66" t="str">
        <f t="shared" si="379"/>
        <v/>
      </c>
      <c r="L3485" s="66" t="str">
        <f t="shared" si="380"/>
        <v/>
      </c>
      <c r="M3485" s="66" t="str">
        <f t="shared" si="381"/>
        <v/>
      </c>
      <c r="N3485" s="66" t="str">
        <f t="shared" si="382"/>
        <v/>
      </c>
      <c r="O3485" s="66" t="str">
        <f t="shared" si="383"/>
        <v/>
      </c>
      <c r="P3485" s="66" t="str">
        <f t="shared" si="384"/>
        <v/>
      </c>
    </row>
    <row r="3486" spans="8:16">
      <c r="H3486" s="66" t="e">
        <f>IF(LEFT(A3486,6)="CEPNTR","GPINS",VLOOKUP(LEFT(A3486,6),'Code Library'!$A$3:$B$920,2,0))&amp;"_"&amp;RIGHT(A3486,3)</f>
        <v>#N/A</v>
      </c>
      <c r="I3486" s="66">
        <f t="shared" si="378"/>
        <v>0</v>
      </c>
      <c r="K3486" s="66" t="str">
        <f t="shared" si="379"/>
        <v/>
      </c>
      <c r="L3486" s="66" t="str">
        <f t="shared" si="380"/>
        <v/>
      </c>
      <c r="M3486" s="66" t="str">
        <f t="shared" si="381"/>
        <v/>
      </c>
      <c r="N3486" s="66" t="str">
        <f t="shared" si="382"/>
        <v/>
      </c>
      <c r="O3486" s="66" t="str">
        <f t="shared" si="383"/>
        <v/>
      </c>
      <c r="P3486" s="66" t="str">
        <f t="shared" si="384"/>
        <v/>
      </c>
    </row>
    <row r="3487" spans="8:16">
      <c r="H3487" s="66" t="e">
        <f>IF(LEFT(A3487,6)="CEPNTR","GPINS",VLOOKUP(LEFT(A3487,6),'Code Library'!$A$3:$B$920,2,0))&amp;"_"&amp;RIGHT(A3487,3)</f>
        <v>#N/A</v>
      </c>
      <c r="I3487" s="66">
        <f t="shared" si="378"/>
        <v>0</v>
      </c>
      <c r="K3487" s="66" t="str">
        <f t="shared" si="379"/>
        <v/>
      </c>
      <c r="L3487" s="66" t="str">
        <f t="shared" si="380"/>
        <v/>
      </c>
      <c r="M3487" s="66" t="str">
        <f t="shared" si="381"/>
        <v/>
      </c>
      <c r="N3487" s="66" t="str">
        <f t="shared" si="382"/>
        <v/>
      </c>
      <c r="O3487" s="66" t="str">
        <f t="shared" si="383"/>
        <v/>
      </c>
      <c r="P3487" s="66" t="str">
        <f t="shared" si="384"/>
        <v/>
      </c>
    </row>
    <row r="3488" spans="8:16">
      <c r="H3488" s="66" t="e">
        <f>IF(LEFT(A3488,6)="CEPNTR","GPINS",VLOOKUP(LEFT(A3488,6),'Code Library'!$A$3:$B$920,2,0))&amp;"_"&amp;RIGHT(A3488,3)</f>
        <v>#N/A</v>
      </c>
      <c r="I3488" s="66">
        <f t="shared" si="378"/>
        <v>0</v>
      </c>
      <c r="K3488" s="66" t="str">
        <f t="shared" si="379"/>
        <v/>
      </c>
      <c r="L3488" s="66" t="str">
        <f t="shared" si="380"/>
        <v/>
      </c>
      <c r="M3488" s="66" t="str">
        <f t="shared" si="381"/>
        <v/>
      </c>
      <c r="N3488" s="66" t="str">
        <f t="shared" si="382"/>
        <v/>
      </c>
      <c r="O3488" s="66" t="str">
        <f t="shared" si="383"/>
        <v/>
      </c>
      <c r="P3488" s="66" t="str">
        <f t="shared" si="384"/>
        <v/>
      </c>
    </row>
    <row r="3489" spans="8:16">
      <c r="H3489" s="66" t="e">
        <f>IF(LEFT(A3489,6)="CEPNTR","GPINS",VLOOKUP(LEFT(A3489,6),'Code Library'!$A$3:$B$920,2,0))&amp;"_"&amp;RIGHT(A3489,3)</f>
        <v>#N/A</v>
      </c>
      <c r="I3489" s="66">
        <f t="shared" si="378"/>
        <v>0</v>
      </c>
      <c r="K3489" s="66" t="str">
        <f t="shared" si="379"/>
        <v/>
      </c>
      <c r="L3489" s="66" t="str">
        <f t="shared" si="380"/>
        <v/>
      </c>
      <c r="M3489" s="66" t="str">
        <f t="shared" si="381"/>
        <v/>
      </c>
      <c r="N3489" s="66" t="str">
        <f t="shared" si="382"/>
        <v/>
      </c>
      <c r="O3489" s="66" t="str">
        <f t="shared" si="383"/>
        <v/>
      </c>
      <c r="P3489" s="66" t="str">
        <f t="shared" si="384"/>
        <v/>
      </c>
    </row>
    <row r="3490" spans="8:16">
      <c r="H3490" s="66" t="e">
        <f>IF(LEFT(A3490,6)="CEPNTR","GPINS",VLOOKUP(LEFT(A3490,6),'Code Library'!$A$3:$B$920,2,0))&amp;"_"&amp;RIGHT(A3490,3)</f>
        <v>#N/A</v>
      </c>
      <c r="I3490" s="66">
        <f t="shared" si="378"/>
        <v>0</v>
      </c>
      <c r="K3490" s="66" t="str">
        <f t="shared" si="379"/>
        <v/>
      </c>
      <c r="L3490" s="66" t="str">
        <f t="shared" si="380"/>
        <v/>
      </c>
      <c r="M3490" s="66" t="str">
        <f t="shared" si="381"/>
        <v/>
      </c>
      <c r="N3490" s="66" t="str">
        <f t="shared" si="382"/>
        <v/>
      </c>
      <c r="O3490" s="66" t="str">
        <f t="shared" si="383"/>
        <v/>
      </c>
      <c r="P3490" s="66" t="str">
        <f t="shared" si="384"/>
        <v/>
      </c>
    </row>
    <row r="3491" spans="8:16">
      <c r="H3491" s="66" t="e">
        <f>IF(LEFT(A3491,6)="CEPNTR","GPINS",VLOOKUP(LEFT(A3491,6),'Code Library'!$A$3:$B$920,2,0))&amp;"_"&amp;RIGHT(A3491,3)</f>
        <v>#N/A</v>
      </c>
      <c r="I3491" s="66">
        <f t="shared" si="378"/>
        <v>0</v>
      </c>
      <c r="K3491" s="66" t="str">
        <f t="shared" si="379"/>
        <v/>
      </c>
      <c r="L3491" s="66" t="str">
        <f t="shared" si="380"/>
        <v/>
      </c>
      <c r="M3491" s="66" t="str">
        <f t="shared" si="381"/>
        <v/>
      </c>
      <c r="N3491" s="66" t="str">
        <f t="shared" si="382"/>
        <v/>
      </c>
      <c r="O3491" s="66" t="str">
        <f t="shared" si="383"/>
        <v/>
      </c>
      <c r="P3491" s="66" t="str">
        <f t="shared" si="384"/>
        <v/>
      </c>
    </row>
    <row r="3492" spans="8:16">
      <c r="H3492" s="66" t="e">
        <f>IF(LEFT(A3492,6)="CEPNTR","GPINS",VLOOKUP(LEFT(A3492,6),'Code Library'!$A$3:$B$920,2,0))&amp;"_"&amp;RIGHT(A3492,3)</f>
        <v>#N/A</v>
      </c>
      <c r="I3492" s="66">
        <f t="shared" si="378"/>
        <v>0</v>
      </c>
      <c r="K3492" s="66" t="str">
        <f t="shared" si="379"/>
        <v/>
      </c>
      <c r="L3492" s="66" t="str">
        <f t="shared" si="380"/>
        <v/>
      </c>
      <c r="M3492" s="66" t="str">
        <f t="shared" si="381"/>
        <v/>
      </c>
      <c r="N3492" s="66" t="str">
        <f t="shared" si="382"/>
        <v/>
      </c>
      <c r="O3492" s="66" t="str">
        <f t="shared" si="383"/>
        <v/>
      </c>
      <c r="P3492" s="66" t="str">
        <f t="shared" si="384"/>
        <v/>
      </c>
    </row>
    <row r="3493" spans="8:16">
      <c r="H3493" s="66" t="e">
        <f>IF(LEFT(A3493,6)="CEPNTR","GPINS",VLOOKUP(LEFT(A3493,6),'Code Library'!$A$3:$B$920,2,0))&amp;"_"&amp;RIGHT(A3493,3)</f>
        <v>#N/A</v>
      </c>
      <c r="I3493" s="66">
        <f t="shared" si="378"/>
        <v>0</v>
      </c>
      <c r="K3493" s="66" t="str">
        <f t="shared" si="379"/>
        <v/>
      </c>
      <c r="L3493" s="66" t="str">
        <f t="shared" si="380"/>
        <v/>
      </c>
      <c r="M3493" s="66" t="str">
        <f t="shared" si="381"/>
        <v/>
      </c>
      <c r="N3493" s="66" t="str">
        <f t="shared" si="382"/>
        <v/>
      </c>
      <c r="O3493" s="66" t="str">
        <f t="shared" si="383"/>
        <v/>
      </c>
      <c r="P3493" s="66" t="str">
        <f t="shared" si="384"/>
        <v/>
      </c>
    </row>
    <row r="3494" spans="8:16">
      <c r="H3494" s="66" t="e">
        <f>IF(LEFT(A3494,6)="CEPNTR","GPINS",VLOOKUP(LEFT(A3494,6),'Code Library'!$A$3:$B$920,2,0))&amp;"_"&amp;RIGHT(A3494,3)</f>
        <v>#N/A</v>
      </c>
      <c r="I3494" s="66">
        <f t="shared" si="378"/>
        <v>0</v>
      </c>
      <c r="K3494" s="66" t="str">
        <f t="shared" si="379"/>
        <v/>
      </c>
      <c r="L3494" s="66" t="str">
        <f t="shared" si="380"/>
        <v/>
      </c>
      <c r="M3494" s="66" t="str">
        <f t="shared" si="381"/>
        <v/>
      </c>
      <c r="N3494" s="66" t="str">
        <f t="shared" si="382"/>
        <v/>
      </c>
      <c r="O3494" s="66" t="str">
        <f t="shared" si="383"/>
        <v/>
      </c>
      <c r="P3494" s="66" t="str">
        <f t="shared" si="384"/>
        <v/>
      </c>
    </row>
    <row r="3495" spans="8:16">
      <c r="H3495" s="66" t="e">
        <f>IF(LEFT(A3495,6)="CEPNTR","GPINS",VLOOKUP(LEFT(A3495,6),'Code Library'!$A$3:$B$920,2,0))&amp;"_"&amp;RIGHT(A3495,3)</f>
        <v>#N/A</v>
      </c>
      <c r="I3495" s="66">
        <f t="shared" si="378"/>
        <v>0</v>
      </c>
      <c r="K3495" s="66" t="str">
        <f t="shared" si="379"/>
        <v/>
      </c>
      <c r="L3495" s="66" t="str">
        <f t="shared" si="380"/>
        <v/>
      </c>
      <c r="M3495" s="66" t="str">
        <f t="shared" si="381"/>
        <v/>
      </c>
      <c r="N3495" s="66" t="str">
        <f t="shared" si="382"/>
        <v/>
      </c>
      <c r="O3495" s="66" t="str">
        <f t="shared" si="383"/>
        <v/>
      </c>
      <c r="P3495" s="66" t="str">
        <f t="shared" si="384"/>
        <v/>
      </c>
    </row>
    <row r="3496" spans="8:16">
      <c r="H3496" s="66" t="e">
        <f>IF(LEFT(A3496,6)="CEPNTR","GPINS",VLOOKUP(LEFT(A3496,6),'Code Library'!$A$3:$B$920,2,0))&amp;"_"&amp;RIGHT(A3496,3)</f>
        <v>#N/A</v>
      </c>
      <c r="I3496" s="66">
        <f t="shared" si="378"/>
        <v>0</v>
      </c>
      <c r="K3496" s="66" t="str">
        <f t="shared" si="379"/>
        <v/>
      </c>
      <c r="L3496" s="66" t="str">
        <f t="shared" si="380"/>
        <v/>
      </c>
      <c r="M3496" s="66" t="str">
        <f t="shared" si="381"/>
        <v/>
      </c>
      <c r="N3496" s="66" t="str">
        <f t="shared" si="382"/>
        <v/>
      </c>
      <c r="O3496" s="66" t="str">
        <f t="shared" si="383"/>
        <v/>
      </c>
      <c r="P3496" s="66" t="str">
        <f t="shared" si="384"/>
        <v/>
      </c>
    </row>
    <row r="3497" spans="8:16">
      <c r="H3497" s="66" t="e">
        <f>IF(LEFT(A3497,6)="CEPNTR","GPINS",VLOOKUP(LEFT(A3497,6),'Code Library'!$A$3:$B$920,2,0))&amp;"_"&amp;RIGHT(A3497,3)</f>
        <v>#N/A</v>
      </c>
      <c r="I3497" s="66">
        <f t="shared" si="378"/>
        <v>0</v>
      </c>
      <c r="K3497" s="66" t="str">
        <f t="shared" si="379"/>
        <v/>
      </c>
      <c r="L3497" s="66" t="str">
        <f t="shared" si="380"/>
        <v/>
      </c>
      <c r="M3497" s="66" t="str">
        <f t="shared" si="381"/>
        <v/>
      </c>
      <c r="N3497" s="66" t="str">
        <f t="shared" si="382"/>
        <v/>
      </c>
      <c r="O3497" s="66" t="str">
        <f t="shared" si="383"/>
        <v/>
      </c>
      <c r="P3497" s="66" t="str">
        <f t="shared" si="384"/>
        <v/>
      </c>
    </row>
    <row r="3498" spans="8:16">
      <c r="H3498" s="66" t="e">
        <f>IF(LEFT(A3498,6)="CEPNTR","GPINS",VLOOKUP(LEFT(A3498,6),'Code Library'!$A$3:$B$920,2,0))&amp;"_"&amp;RIGHT(A3498,3)</f>
        <v>#N/A</v>
      </c>
      <c r="I3498" s="66">
        <f t="shared" si="378"/>
        <v>0</v>
      </c>
      <c r="K3498" s="66" t="str">
        <f t="shared" si="379"/>
        <v/>
      </c>
      <c r="L3498" s="66" t="str">
        <f t="shared" si="380"/>
        <v/>
      </c>
      <c r="M3498" s="66" t="str">
        <f t="shared" si="381"/>
        <v/>
      </c>
      <c r="N3498" s="66" t="str">
        <f t="shared" si="382"/>
        <v/>
      </c>
      <c r="O3498" s="66" t="str">
        <f t="shared" si="383"/>
        <v/>
      </c>
      <c r="P3498" s="66" t="str">
        <f t="shared" si="384"/>
        <v/>
      </c>
    </row>
    <row r="3499" spans="8:16">
      <c r="H3499" s="66" t="e">
        <f>IF(LEFT(A3499,6)="CEPNTR","GPINS",VLOOKUP(LEFT(A3499,6),'Code Library'!$A$3:$B$920,2,0))&amp;"_"&amp;RIGHT(A3499,3)</f>
        <v>#N/A</v>
      </c>
      <c r="I3499" s="66">
        <f t="shared" si="378"/>
        <v>0</v>
      </c>
      <c r="K3499" s="66" t="str">
        <f t="shared" si="379"/>
        <v/>
      </c>
      <c r="L3499" s="66" t="str">
        <f t="shared" si="380"/>
        <v/>
      </c>
      <c r="M3499" s="66" t="str">
        <f t="shared" si="381"/>
        <v/>
      </c>
      <c r="N3499" s="66" t="str">
        <f t="shared" si="382"/>
        <v/>
      </c>
      <c r="O3499" s="66" t="str">
        <f t="shared" si="383"/>
        <v/>
      </c>
      <c r="P3499" s="66" t="str">
        <f t="shared" si="384"/>
        <v/>
      </c>
    </row>
    <row r="3500" spans="8:16">
      <c r="H3500" s="66" t="e">
        <f>IF(LEFT(A3500,6)="CEPNTR","GPINS",VLOOKUP(LEFT(A3500,6),'Code Library'!$A$3:$B$920,2,0))&amp;"_"&amp;RIGHT(A3500,3)</f>
        <v>#N/A</v>
      </c>
      <c r="I3500" s="66">
        <f t="shared" si="378"/>
        <v>0</v>
      </c>
      <c r="K3500" s="66" t="str">
        <f t="shared" si="379"/>
        <v/>
      </c>
      <c r="L3500" s="66" t="str">
        <f t="shared" si="380"/>
        <v/>
      </c>
      <c r="M3500" s="66" t="str">
        <f t="shared" si="381"/>
        <v/>
      </c>
      <c r="N3500" s="66" t="str">
        <f t="shared" si="382"/>
        <v/>
      </c>
      <c r="O3500" s="66" t="str">
        <f t="shared" si="383"/>
        <v/>
      </c>
      <c r="P3500" s="66" t="str">
        <f t="shared" si="384"/>
        <v/>
      </c>
    </row>
    <row r="3501" spans="8:16">
      <c r="H3501" s="66" t="e">
        <f>IF(LEFT(A3501,6)="CEPNTR","GPINS",VLOOKUP(LEFT(A3501,6),'Code Library'!$A$3:$B$920,2,0))&amp;"_"&amp;RIGHT(A3501,3)</f>
        <v>#N/A</v>
      </c>
      <c r="I3501" s="66">
        <f t="shared" si="378"/>
        <v>0</v>
      </c>
      <c r="K3501" s="66" t="str">
        <f t="shared" si="379"/>
        <v/>
      </c>
      <c r="L3501" s="66" t="str">
        <f t="shared" si="380"/>
        <v/>
      </c>
      <c r="M3501" s="66" t="str">
        <f t="shared" si="381"/>
        <v/>
      </c>
      <c r="N3501" s="66" t="str">
        <f t="shared" si="382"/>
        <v/>
      </c>
      <c r="O3501" s="66" t="str">
        <f t="shared" si="383"/>
        <v/>
      </c>
      <c r="P3501" s="66" t="str">
        <f t="shared" si="384"/>
        <v/>
      </c>
    </row>
    <row r="3502" spans="8:16">
      <c r="H3502" s="66" t="e">
        <f>IF(LEFT(A3502,6)="CEPNTR","GPINS",VLOOKUP(LEFT(A3502,6),'Code Library'!$A$3:$B$920,2,0))&amp;"_"&amp;RIGHT(A3502,3)</f>
        <v>#N/A</v>
      </c>
      <c r="I3502" s="66">
        <f t="shared" si="378"/>
        <v>0</v>
      </c>
      <c r="K3502" s="66" t="str">
        <f t="shared" si="379"/>
        <v/>
      </c>
      <c r="L3502" s="66" t="str">
        <f t="shared" si="380"/>
        <v/>
      </c>
      <c r="M3502" s="66" t="str">
        <f t="shared" si="381"/>
        <v/>
      </c>
      <c r="N3502" s="66" t="str">
        <f t="shared" si="382"/>
        <v/>
      </c>
      <c r="O3502" s="66" t="str">
        <f t="shared" si="383"/>
        <v/>
      </c>
      <c r="P3502" s="66" t="str">
        <f t="shared" si="384"/>
        <v/>
      </c>
    </row>
    <row r="3503" spans="8:16">
      <c r="H3503" s="66" t="e">
        <f>IF(LEFT(A3503,6)="CEPNTR","GPINS",VLOOKUP(LEFT(A3503,6),'Code Library'!$A$3:$B$920,2,0))&amp;"_"&amp;RIGHT(A3503,3)</f>
        <v>#N/A</v>
      </c>
      <c r="I3503" s="66">
        <f t="shared" si="378"/>
        <v>0</v>
      </c>
      <c r="K3503" s="66" t="str">
        <f t="shared" si="379"/>
        <v/>
      </c>
      <c r="L3503" s="66" t="str">
        <f t="shared" si="380"/>
        <v/>
      </c>
      <c r="M3503" s="66" t="str">
        <f t="shared" si="381"/>
        <v/>
      </c>
      <c r="N3503" s="66" t="str">
        <f t="shared" si="382"/>
        <v/>
      </c>
      <c r="O3503" s="66" t="str">
        <f t="shared" si="383"/>
        <v/>
      </c>
      <c r="P3503" s="66" t="str">
        <f t="shared" si="384"/>
        <v/>
      </c>
    </row>
    <row r="3504" spans="8:16">
      <c r="H3504" s="66" t="e">
        <f>IF(LEFT(A3504,6)="CEPNTR","GPINS",VLOOKUP(LEFT(A3504,6),'Code Library'!$A$3:$B$920,2,0))&amp;"_"&amp;RIGHT(A3504,3)</f>
        <v>#N/A</v>
      </c>
      <c r="I3504" s="66">
        <f t="shared" si="378"/>
        <v>0</v>
      </c>
      <c r="K3504" s="66" t="str">
        <f t="shared" si="379"/>
        <v/>
      </c>
      <c r="L3504" s="66" t="str">
        <f t="shared" si="380"/>
        <v/>
      </c>
      <c r="M3504" s="66" t="str">
        <f t="shared" si="381"/>
        <v/>
      </c>
      <c r="N3504" s="66" t="str">
        <f t="shared" si="382"/>
        <v/>
      </c>
      <c r="O3504" s="66" t="str">
        <f t="shared" si="383"/>
        <v/>
      </c>
      <c r="P3504" s="66" t="str">
        <f t="shared" si="384"/>
        <v/>
      </c>
    </row>
    <row r="3505" spans="8:16">
      <c r="H3505" s="66" t="e">
        <f>IF(LEFT(A3505,6)="CEPNTR","GPINS",VLOOKUP(LEFT(A3505,6),'Code Library'!$A$3:$B$920,2,0))&amp;"_"&amp;RIGHT(A3505,3)</f>
        <v>#N/A</v>
      </c>
      <c r="I3505" s="66">
        <f t="shared" si="378"/>
        <v>0</v>
      </c>
      <c r="K3505" s="66" t="str">
        <f t="shared" si="379"/>
        <v/>
      </c>
      <c r="L3505" s="66" t="str">
        <f t="shared" si="380"/>
        <v/>
      </c>
      <c r="M3505" s="66" t="str">
        <f t="shared" si="381"/>
        <v/>
      </c>
      <c r="N3505" s="66" t="str">
        <f t="shared" si="382"/>
        <v/>
      </c>
      <c r="O3505" s="66" t="str">
        <f t="shared" si="383"/>
        <v/>
      </c>
      <c r="P3505" s="66" t="str">
        <f t="shared" si="384"/>
        <v/>
      </c>
    </row>
    <row r="3506" spans="8:16">
      <c r="H3506" s="66" t="e">
        <f>IF(LEFT(A3506,6)="CEPNTR","GPINS",VLOOKUP(LEFT(A3506,6),'Code Library'!$A$3:$B$920,2,0))&amp;"_"&amp;RIGHT(A3506,3)</f>
        <v>#N/A</v>
      </c>
      <c r="I3506" s="66">
        <f t="shared" si="378"/>
        <v>0</v>
      </c>
      <c r="K3506" s="66" t="str">
        <f t="shared" si="379"/>
        <v/>
      </c>
      <c r="L3506" s="66" t="str">
        <f t="shared" si="380"/>
        <v/>
      </c>
      <c r="M3506" s="66" t="str">
        <f t="shared" si="381"/>
        <v/>
      </c>
      <c r="N3506" s="66" t="str">
        <f t="shared" si="382"/>
        <v/>
      </c>
      <c r="O3506" s="66" t="str">
        <f t="shared" si="383"/>
        <v/>
      </c>
      <c r="P3506" s="66" t="str">
        <f t="shared" si="384"/>
        <v/>
      </c>
    </row>
    <row r="3507" spans="8:16">
      <c r="H3507" s="66" t="e">
        <f>IF(LEFT(A3507,6)="CEPNTR","GPINS",VLOOKUP(LEFT(A3507,6),'Code Library'!$A$3:$B$920,2,0))&amp;"_"&amp;RIGHT(A3507,3)</f>
        <v>#N/A</v>
      </c>
      <c r="I3507" s="66">
        <f t="shared" si="378"/>
        <v>0</v>
      </c>
      <c r="K3507" s="66" t="str">
        <f t="shared" si="379"/>
        <v/>
      </c>
      <c r="L3507" s="66" t="str">
        <f t="shared" si="380"/>
        <v/>
      </c>
      <c r="M3507" s="66" t="str">
        <f t="shared" si="381"/>
        <v/>
      </c>
      <c r="N3507" s="66" t="str">
        <f t="shared" si="382"/>
        <v/>
      </c>
      <c r="O3507" s="66" t="str">
        <f t="shared" si="383"/>
        <v/>
      </c>
      <c r="P3507" s="66" t="str">
        <f t="shared" si="384"/>
        <v/>
      </c>
    </row>
    <row r="3508" spans="8:16">
      <c r="H3508" s="66" t="e">
        <f>IF(LEFT(A3508,6)="CEPNTR","GPINS",VLOOKUP(LEFT(A3508,6),'Code Library'!$A$3:$B$920,2,0))&amp;"_"&amp;RIGHT(A3508,3)</f>
        <v>#N/A</v>
      </c>
      <c r="I3508" s="66">
        <f t="shared" si="378"/>
        <v>0</v>
      </c>
      <c r="K3508" s="66" t="str">
        <f t="shared" si="379"/>
        <v/>
      </c>
      <c r="L3508" s="66" t="str">
        <f t="shared" si="380"/>
        <v/>
      </c>
      <c r="M3508" s="66" t="str">
        <f t="shared" si="381"/>
        <v/>
      </c>
      <c r="N3508" s="66" t="str">
        <f t="shared" si="382"/>
        <v/>
      </c>
      <c r="O3508" s="66" t="str">
        <f t="shared" si="383"/>
        <v/>
      </c>
      <c r="P3508" s="66" t="str">
        <f t="shared" si="384"/>
        <v/>
      </c>
    </row>
    <row r="3509" spans="8:16">
      <c r="H3509" s="66" t="e">
        <f>IF(LEFT(A3509,6)="CEPNTR","GPINS",VLOOKUP(LEFT(A3509,6),'Code Library'!$A$3:$B$920,2,0))&amp;"_"&amp;RIGHT(A3509,3)</f>
        <v>#N/A</v>
      </c>
      <c r="I3509" s="66">
        <f t="shared" si="378"/>
        <v>0</v>
      </c>
      <c r="K3509" s="66" t="str">
        <f t="shared" si="379"/>
        <v/>
      </c>
      <c r="L3509" s="66" t="str">
        <f t="shared" si="380"/>
        <v/>
      </c>
      <c r="M3509" s="66" t="str">
        <f t="shared" si="381"/>
        <v/>
      </c>
      <c r="N3509" s="66" t="str">
        <f t="shared" si="382"/>
        <v/>
      </c>
      <c r="O3509" s="66" t="str">
        <f t="shared" si="383"/>
        <v/>
      </c>
      <c r="P3509" s="66" t="str">
        <f t="shared" si="384"/>
        <v/>
      </c>
    </row>
    <row r="3510" spans="8:16">
      <c r="H3510" s="66" t="e">
        <f>IF(LEFT(A3510,6)="CEPNTR","GPINS",VLOOKUP(LEFT(A3510,6),'Code Library'!$A$3:$B$920,2,0))&amp;"_"&amp;RIGHT(A3510,3)</f>
        <v>#N/A</v>
      </c>
      <c r="I3510" s="66">
        <f t="shared" si="378"/>
        <v>0</v>
      </c>
      <c r="K3510" s="66" t="str">
        <f t="shared" si="379"/>
        <v/>
      </c>
      <c r="L3510" s="66" t="str">
        <f t="shared" si="380"/>
        <v/>
      </c>
      <c r="M3510" s="66" t="str">
        <f t="shared" si="381"/>
        <v/>
      </c>
      <c r="N3510" s="66" t="str">
        <f t="shared" si="382"/>
        <v/>
      </c>
      <c r="O3510" s="66" t="str">
        <f t="shared" si="383"/>
        <v/>
      </c>
      <c r="P3510" s="66" t="str">
        <f t="shared" si="384"/>
        <v/>
      </c>
    </row>
    <row r="3511" spans="8:16">
      <c r="H3511" s="66" t="e">
        <f>IF(LEFT(A3511,6)="CEPNTR","GPINS",VLOOKUP(LEFT(A3511,6),'Code Library'!$A$3:$B$920,2,0))&amp;"_"&amp;RIGHT(A3511,3)</f>
        <v>#N/A</v>
      </c>
      <c r="I3511" s="66">
        <f t="shared" si="378"/>
        <v>0</v>
      </c>
      <c r="K3511" s="66" t="str">
        <f t="shared" si="379"/>
        <v/>
      </c>
      <c r="L3511" s="66" t="str">
        <f t="shared" si="380"/>
        <v/>
      </c>
      <c r="M3511" s="66" t="str">
        <f t="shared" si="381"/>
        <v/>
      </c>
      <c r="N3511" s="66" t="str">
        <f t="shared" si="382"/>
        <v/>
      </c>
      <c r="O3511" s="66" t="str">
        <f t="shared" si="383"/>
        <v/>
      </c>
      <c r="P3511" s="66" t="str">
        <f t="shared" si="384"/>
        <v/>
      </c>
    </row>
    <row r="3512" spans="8:16">
      <c r="H3512" s="66" t="e">
        <f>IF(LEFT(A3512,6)="CEPNTR","GPINS",VLOOKUP(LEFT(A3512,6),'Code Library'!$A$3:$B$920,2,0))&amp;"_"&amp;RIGHT(A3512,3)</f>
        <v>#N/A</v>
      </c>
      <c r="I3512" s="66">
        <f t="shared" si="378"/>
        <v>0</v>
      </c>
      <c r="K3512" s="66" t="str">
        <f t="shared" si="379"/>
        <v/>
      </c>
      <c r="L3512" s="66" t="str">
        <f t="shared" si="380"/>
        <v/>
      </c>
      <c r="M3512" s="66" t="str">
        <f t="shared" si="381"/>
        <v/>
      </c>
      <c r="N3512" s="66" t="str">
        <f t="shared" si="382"/>
        <v/>
      </c>
      <c r="O3512" s="66" t="str">
        <f t="shared" si="383"/>
        <v/>
      </c>
      <c r="P3512" s="66" t="str">
        <f t="shared" si="384"/>
        <v/>
      </c>
    </row>
    <row r="3513" spans="8:16">
      <c r="H3513" s="66" t="e">
        <f>IF(LEFT(A3513,6)="CEPNTR","GPINS",VLOOKUP(LEFT(A3513,6),'Code Library'!$A$3:$B$920,2,0))&amp;"_"&amp;RIGHT(A3513,3)</f>
        <v>#N/A</v>
      </c>
      <c r="I3513" s="66">
        <f t="shared" si="378"/>
        <v>0</v>
      </c>
      <c r="K3513" s="66" t="str">
        <f t="shared" si="379"/>
        <v/>
      </c>
      <c r="L3513" s="66" t="str">
        <f t="shared" si="380"/>
        <v/>
      </c>
      <c r="M3513" s="66" t="str">
        <f t="shared" si="381"/>
        <v/>
      </c>
      <c r="N3513" s="66" t="str">
        <f t="shared" si="382"/>
        <v/>
      </c>
      <c r="O3513" s="66" t="str">
        <f t="shared" si="383"/>
        <v/>
      </c>
      <c r="P3513" s="66" t="str">
        <f t="shared" si="384"/>
        <v/>
      </c>
    </row>
    <row r="3514" spans="8:16">
      <c r="H3514" s="66" t="e">
        <f>IF(LEFT(A3514,6)="CEPNTR","GPINS",VLOOKUP(LEFT(A3514,6),'Code Library'!$A$3:$B$920,2,0))&amp;"_"&amp;RIGHT(A3514,3)</f>
        <v>#N/A</v>
      </c>
      <c r="I3514" s="66">
        <f t="shared" si="378"/>
        <v>0</v>
      </c>
      <c r="K3514" s="66" t="str">
        <f t="shared" si="379"/>
        <v/>
      </c>
      <c r="L3514" s="66" t="str">
        <f t="shared" si="380"/>
        <v/>
      </c>
      <c r="M3514" s="66" t="str">
        <f t="shared" si="381"/>
        <v/>
      </c>
      <c r="N3514" s="66" t="str">
        <f t="shared" si="382"/>
        <v/>
      </c>
      <c r="O3514" s="66" t="str">
        <f t="shared" si="383"/>
        <v/>
      </c>
      <c r="P3514" s="66" t="str">
        <f t="shared" si="384"/>
        <v/>
      </c>
    </row>
    <row r="3515" spans="8:16">
      <c r="H3515" s="66" t="e">
        <f>IF(LEFT(A3515,6)="CEPNTR","GPINS",VLOOKUP(LEFT(A3515,6),'Code Library'!$A$3:$B$920,2,0))&amp;"_"&amp;RIGHT(A3515,3)</f>
        <v>#N/A</v>
      </c>
      <c r="I3515" s="66">
        <f t="shared" si="378"/>
        <v>0</v>
      </c>
      <c r="K3515" s="66" t="str">
        <f t="shared" si="379"/>
        <v/>
      </c>
      <c r="L3515" s="66" t="str">
        <f t="shared" si="380"/>
        <v/>
      </c>
      <c r="M3515" s="66" t="str">
        <f t="shared" si="381"/>
        <v/>
      </c>
      <c r="N3515" s="66" t="str">
        <f t="shared" si="382"/>
        <v/>
      </c>
      <c r="O3515" s="66" t="str">
        <f t="shared" si="383"/>
        <v/>
      </c>
      <c r="P3515" s="66" t="str">
        <f t="shared" si="384"/>
        <v/>
      </c>
    </row>
    <row r="3516" spans="8:16">
      <c r="H3516" s="66" t="e">
        <f>IF(LEFT(A3516,6)="CEPNTR","GPINS",VLOOKUP(LEFT(A3516,6),'Code Library'!$A$3:$B$920,2,0))&amp;"_"&amp;RIGHT(A3516,3)</f>
        <v>#N/A</v>
      </c>
      <c r="I3516" s="66">
        <f t="shared" si="378"/>
        <v>0</v>
      </c>
      <c r="K3516" s="66" t="str">
        <f t="shared" si="379"/>
        <v/>
      </c>
      <c r="L3516" s="66" t="str">
        <f t="shared" si="380"/>
        <v/>
      </c>
      <c r="M3516" s="66" t="str">
        <f t="shared" si="381"/>
        <v/>
      </c>
      <c r="N3516" s="66" t="str">
        <f t="shared" si="382"/>
        <v/>
      </c>
      <c r="O3516" s="66" t="str">
        <f t="shared" si="383"/>
        <v/>
      </c>
      <c r="P3516" s="66" t="str">
        <f t="shared" si="384"/>
        <v/>
      </c>
    </row>
    <row r="3517" spans="8:16">
      <c r="H3517" s="66" t="e">
        <f>IF(LEFT(A3517,6)="CEPNTR","GPINS",VLOOKUP(LEFT(A3517,6),'Code Library'!$A$3:$B$920,2,0))&amp;"_"&amp;RIGHT(A3517,3)</f>
        <v>#N/A</v>
      </c>
      <c r="I3517" s="66">
        <f t="shared" si="378"/>
        <v>0</v>
      </c>
      <c r="K3517" s="66" t="str">
        <f t="shared" si="379"/>
        <v/>
      </c>
      <c r="L3517" s="66" t="str">
        <f t="shared" si="380"/>
        <v/>
      </c>
      <c r="M3517" s="66" t="str">
        <f t="shared" si="381"/>
        <v/>
      </c>
      <c r="N3517" s="66" t="str">
        <f t="shared" si="382"/>
        <v/>
      </c>
      <c r="O3517" s="66" t="str">
        <f t="shared" si="383"/>
        <v/>
      </c>
      <c r="P3517" s="66" t="str">
        <f t="shared" si="384"/>
        <v/>
      </c>
    </row>
    <row r="3518" spans="8:16">
      <c r="H3518" s="66" t="e">
        <f>IF(LEFT(A3518,6)="CEPNTR","GPINS",VLOOKUP(LEFT(A3518,6),'Code Library'!$A$3:$B$920,2,0))&amp;"_"&amp;RIGHT(A3518,3)</f>
        <v>#N/A</v>
      </c>
      <c r="I3518" s="66">
        <f t="shared" si="378"/>
        <v>0</v>
      </c>
      <c r="K3518" s="66" t="str">
        <f t="shared" si="379"/>
        <v/>
      </c>
      <c r="L3518" s="66" t="str">
        <f t="shared" si="380"/>
        <v/>
      </c>
      <c r="M3518" s="66" t="str">
        <f t="shared" si="381"/>
        <v/>
      </c>
      <c r="N3518" s="66" t="str">
        <f t="shared" si="382"/>
        <v/>
      </c>
      <c r="O3518" s="66" t="str">
        <f t="shared" si="383"/>
        <v/>
      </c>
      <c r="P3518" s="66" t="str">
        <f t="shared" si="384"/>
        <v/>
      </c>
    </row>
    <row r="3519" spans="8:16">
      <c r="H3519" s="66" t="e">
        <f>IF(LEFT(A3519,6)="CEPNTR","GPINS",VLOOKUP(LEFT(A3519,6),'Code Library'!$A$3:$B$920,2,0))&amp;"_"&amp;RIGHT(A3519,3)</f>
        <v>#N/A</v>
      </c>
      <c r="I3519" s="66">
        <f t="shared" si="378"/>
        <v>0</v>
      </c>
      <c r="K3519" s="66" t="str">
        <f t="shared" si="379"/>
        <v/>
      </c>
      <c r="L3519" s="66" t="str">
        <f t="shared" si="380"/>
        <v/>
      </c>
      <c r="M3519" s="66" t="str">
        <f t="shared" si="381"/>
        <v/>
      </c>
      <c r="N3519" s="66" t="str">
        <f t="shared" si="382"/>
        <v/>
      </c>
      <c r="O3519" s="66" t="str">
        <f t="shared" si="383"/>
        <v/>
      </c>
      <c r="P3519" s="66" t="str">
        <f t="shared" si="384"/>
        <v/>
      </c>
    </row>
    <row r="3520" spans="8:16">
      <c r="H3520" s="66" t="e">
        <f>IF(LEFT(A3520,6)="CEPNTR","GPINS",VLOOKUP(LEFT(A3520,6),'Code Library'!$A$3:$B$920,2,0))&amp;"_"&amp;RIGHT(A3520,3)</f>
        <v>#N/A</v>
      </c>
      <c r="I3520" s="66">
        <f t="shared" si="378"/>
        <v>0</v>
      </c>
      <c r="K3520" s="66" t="str">
        <f t="shared" si="379"/>
        <v/>
      </c>
      <c r="L3520" s="66" t="str">
        <f t="shared" si="380"/>
        <v/>
      </c>
      <c r="M3520" s="66" t="str">
        <f t="shared" si="381"/>
        <v/>
      </c>
      <c r="N3520" s="66" t="str">
        <f t="shared" si="382"/>
        <v/>
      </c>
      <c r="O3520" s="66" t="str">
        <f t="shared" si="383"/>
        <v/>
      </c>
      <c r="P3520" s="66" t="str">
        <f t="shared" si="384"/>
        <v/>
      </c>
    </row>
    <row r="3521" spans="8:16">
      <c r="H3521" s="66" t="e">
        <f>IF(LEFT(A3521,6)="CEPNTR","GPINS",VLOOKUP(LEFT(A3521,6),'Code Library'!$A$3:$B$920,2,0))&amp;"_"&amp;RIGHT(A3521,3)</f>
        <v>#N/A</v>
      </c>
      <c r="I3521" s="66">
        <f t="shared" si="378"/>
        <v>0</v>
      </c>
      <c r="K3521" s="66" t="str">
        <f t="shared" si="379"/>
        <v/>
      </c>
      <c r="L3521" s="66" t="str">
        <f t="shared" si="380"/>
        <v/>
      </c>
      <c r="M3521" s="66" t="str">
        <f t="shared" si="381"/>
        <v/>
      </c>
      <c r="N3521" s="66" t="str">
        <f t="shared" si="382"/>
        <v/>
      </c>
      <c r="O3521" s="66" t="str">
        <f t="shared" si="383"/>
        <v/>
      </c>
      <c r="P3521" s="66" t="str">
        <f t="shared" si="384"/>
        <v/>
      </c>
    </row>
    <row r="3522" spans="8:16">
      <c r="H3522" s="66" t="e">
        <f>IF(LEFT(A3522,6)="CEPNTR","GPINS",VLOOKUP(LEFT(A3522,6),'Code Library'!$A$3:$B$920,2,0))&amp;"_"&amp;RIGHT(A3522,3)</f>
        <v>#N/A</v>
      </c>
      <c r="I3522" s="66">
        <f t="shared" si="378"/>
        <v>0</v>
      </c>
      <c r="K3522" s="66" t="str">
        <f t="shared" si="379"/>
        <v/>
      </c>
      <c r="L3522" s="66" t="str">
        <f t="shared" si="380"/>
        <v/>
      </c>
      <c r="M3522" s="66" t="str">
        <f t="shared" si="381"/>
        <v/>
      </c>
      <c r="N3522" s="66" t="str">
        <f t="shared" si="382"/>
        <v/>
      </c>
      <c r="O3522" s="66" t="str">
        <f t="shared" si="383"/>
        <v/>
      </c>
      <c r="P3522" s="66" t="str">
        <f t="shared" si="384"/>
        <v/>
      </c>
    </row>
    <row r="3523" spans="8:16">
      <c r="H3523" s="66" t="e">
        <f>IF(LEFT(A3523,6)="CEPNTR","GPINS",VLOOKUP(LEFT(A3523,6),'Code Library'!$A$3:$B$920,2,0))&amp;"_"&amp;RIGHT(A3523,3)</f>
        <v>#N/A</v>
      </c>
      <c r="I3523" s="66">
        <f t="shared" ref="I3523:I3586" si="385">A3523</f>
        <v>0</v>
      </c>
      <c r="K3523" s="66" t="str">
        <f t="shared" ref="K3523:K3586" si="386">RIGHT($B3523,2)</f>
        <v/>
      </c>
      <c r="L3523" s="66" t="str">
        <f t="shared" ref="L3523:L3586" si="387">LEFT(RIGHT($B3523,7),4)</f>
        <v/>
      </c>
      <c r="M3523" s="66" t="str">
        <f t="shared" ref="M3523:M3586" si="388">LEFT(RIGHT($B3523,10),2)</f>
        <v/>
      </c>
      <c r="N3523" s="66" t="str">
        <f t="shared" ref="N3523:N3586" si="389">LEFT(RIGHT($B3523,14),3)</f>
        <v/>
      </c>
      <c r="O3523" s="66" t="str">
        <f t="shared" ref="O3523:O3586" si="390">LEFT(RIGHT($B3523,16),1)</f>
        <v/>
      </c>
      <c r="P3523" s="66" t="str">
        <f t="shared" ref="P3523:P3586" si="391">LEFT(RIGHT($B3523,19),2)</f>
        <v/>
      </c>
    </row>
    <row r="3524" spans="8:16">
      <c r="H3524" s="66" t="e">
        <f>IF(LEFT(A3524,6)="CEPNTR","GPINS",VLOOKUP(LEFT(A3524,6),'Code Library'!$A$3:$B$920,2,0))&amp;"_"&amp;RIGHT(A3524,3)</f>
        <v>#N/A</v>
      </c>
      <c r="I3524" s="66">
        <f t="shared" si="385"/>
        <v>0</v>
      </c>
      <c r="K3524" s="66" t="str">
        <f t="shared" si="386"/>
        <v/>
      </c>
      <c r="L3524" s="66" t="str">
        <f t="shared" si="387"/>
        <v/>
      </c>
      <c r="M3524" s="66" t="str">
        <f t="shared" si="388"/>
        <v/>
      </c>
      <c r="N3524" s="66" t="str">
        <f t="shared" si="389"/>
        <v/>
      </c>
      <c r="O3524" s="66" t="str">
        <f t="shared" si="390"/>
        <v/>
      </c>
      <c r="P3524" s="66" t="str">
        <f t="shared" si="391"/>
        <v/>
      </c>
    </row>
    <row r="3525" spans="8:16">
      <c r="H3525" s="66" t="e">
        <f>IF(LEFT(A3525,6)="CEPNTR","GPINS",VLOOKUP(LEFT(A3525,6),'Code Library'!$A$3:$B$920,2,0))&amp;"_"&amp;RIGHT(A3525,3)</f>
        <v>#N/A</v>
      </c>
      <c r="I3525" s="66">
        <f t="shared" si="385"/>
        <v>0</v>
      </c>
      <c r="K3525" s="66" t="str">
        <f t="shared" si="386"/>
        <v/>
      </c>
      <c r="L3525" s="66" t="str">
        <f t="shared" si="387"/>
        <v/>
      </c>
      <c r="M3525" s="66" t="str">
        <f t="shared" si="388"/>
        <v/>
      </c>
      <c r="N3525" s="66" t="str">
        <f t="shared" si="389"/>
        <v/>
      </c>
      <c r="O3525" s="66" t="str">
        <f t="shared" si="390"/>
        <v/>
      </c>
      <c r="P3525" s="66" t="str">
        <f t="shared" si="391"/>
        <v/>
      </c>
    </row>
    <row r="3526" spans="8:16">
      <c r="H3526" s="66" t="e">
        <f>IF(LEFT(A3526,6)="CEPNTR","GPINS",VLOOKUP(LEFT(A3526,6),'Code Library'!$A$3:$B$920,2,0))&amp;"_"&amp;RIGHT(A3526,3)</f>
        <v>#N/A</v>
      </c>
      <c r="I3526" s="66">
        <f t="shared" si="385"/>
        <v>0</v>
      </c>
      <c r="K3526" s="66" t="str">
        <f t="shared" si="386"/>
        <v/>
      </c>
      <c r="L3526" s="66" t="str">
        <f t="shared" si="387"/>
        <v/>
      </c>
      <c r="M3526" s="66" t="str">
        <f t="shared" si="388"/>
        <v/>
      </c>
      <c r="N3526" s="66" t="str">
        <f t="shared" si="389"/>
        <v/>
      </c>
      <c r="O3526" s="66" t="str">
        <f t="shared" si="390"/>
        <v/>
      </c>
      <c r="P3526" s="66" t="str">
        <f t="shared" si="391"/>
        <v/>
      </c>
    </row>
    <row r="3527" spans="8:16">
      <c r="H3527" s="66" t="e">
        <f>IF(LEFT(A3527,6)="CEPNTR","GPINS",VLOOKUP(LEFT(A3527,6),'Code Library'!$A$3:$B$920,2,0))&amp;"_"&amp;RIGHT(A3527,3)</f>
        <v>#N/A</v>
      </c>
      <c r="I3527" s="66">
        <f t="shared" si="385"/>
        <v>0</v>
      </c>
      <c r="K3527" s="66" t="str">
        <f t="shared" si="386"/>
        <v/>
      </c>
      <c r="L3527" s="66" t="str">
        <f t="shared" si="387"/>
        <v/>
      </c>
      <c r="M3527" s="66" t="str">
        <f t="shared" si="388"/>
        <v/>
      </c>
      <c r="N3527" s="66" t="str">
        <f t="shared" si="389"/>
        <v/>
      </c>
      <c r="O3527" s="66" t="str">
        <f t="shared" si="390"/>
        <v/>
      </c>
      <c r="P3527" s="66" t="str">
        <f t="shared" si="391"/>
        <v/>
      </c>
    </row>
    <row r="3528" spans="8:16">
      <c r="H3528" s="66" t="e">
        <f>IF(LEFT(A3528,6)="CEPNTR","GPINS",VLOOKUP(LEFT(A3528,6),'Code Library'!$A$3:$B$920,2,0))&amp;"_"&amp;RIGHT(A3528,3)</f>
        <v>#N/A</v>
      </c>
      <c r="I3528" s="66">
        <f t="shared" si="385"/>
        <v>0</v>
      </c>
      <c r="K3528" s="66" t="str">
        <f t="shared" si="386"/>
        <v/>
      </c>
      <c r="L3528" s="66" t="str">
        <f t="shared" si="387"/>
        <v/>
      </c>
      <c r="M3528" s="66" t="str">
        <f t="shared" si="388"/>
        <v/>
      </c>
      <c r="N3528" s="66" t="str">
        <f t="shared" si="389"/>
        <v/>
      </c>
      <c r="O3528" s="66" t="str">
        <f t="shared" si="390"/>
        <v/>
      </c>
      <c r="P3528" s="66" t="str">
        <f t="shared" si="391"/>
        <v/>
      </c>
    </row>
    <row r="3529" spans="8:16">
      <c r="H3529" s="66" t="e">
        <f>IF(LEFT(A3529,6)="CEPNTR","GPINS",VLOOKUP(LEFT(A3529,6),'Code Library'!$A$3:$B$920,2,0))&amp;"_"&amp;RIGHT(A3529,3)</f>
        <v>#N/A</v>
      </c>
      <c r="I3529" s="66">
        <f t="shared" si="385"/>
        <v>0</v>
      </c>
      <c r="K3529" s="66" t="str">
        <f t="shared" si="386"/>
        <v/>
      </c>
      <c r="L3529" s="66" t="str">
        <f t="shared" si="387"/>
        <v/>
      </c>
      <c r="M3529" s="66" t="str">
        <f t="shared" si="388"/>
        <v/>
      </c>
      <c r="N3529" s="66" t="str">
        <f t="shared" si="389"/>
        <v/>
      </c>
      <c r="O3529" s="66" t="str">
        <f t="shared" si="390"/>
        <v/>
      </c>
      <c r="P3529" s="66" t="str">
        <f t="shared" si="391"/>
        <v/>
      </c>
    </row>
    <row r="3530" spans="8:16">
      <c r="H3530" s="66" t="e">
        <f>IF(LEFT(A3530,6)="CEPNTR","GPINS",VLOOKUP(LEFT(A3530,6),'Code Library'!$A$3:$B$920,2,0))&amp;"_"&amp;RIGHT(A3530,3)</f>
        <v>#N/A</v>
      </c>
      <c r="I3530" s="66">
        <f t="shared" si="385"/>
        <v>0</v>
      </c>
      <c r="K3530" s="66" t="str">
        <f t="shared" si="386"/>
        <v/>
      </c>
      <c r="L3530" s="66" t="str">
        <f t="shared" si="387"/>
        <v/>
      </c>
      <c r="M3530" s="66" t="str">
        <f t="shared" si="388"/>
        <v/>
      </c>
      <c r="N3530" s="66" t="str">
        <f t="shared" si="389"/>
        <v/>
      </c>
      <c r="O3530" s="66" t="str">
        <f t="shared" si="390"/>
        <v/>
      </c>
      <c r="P3530" s="66" t="str">
        <f t="shared" si="391"/>
        <v/>
      </c>
    </row>
    <row r="3531" spans="8:16">
      <c r="H3531" s="66" t="e">
        <f>IF(LEFT(A3531,6)="CEPNTR","GPINS",VLOOKUP(LEFT(A3531,6),'Code Library'!$A$3:$B$920,2,0))&amp;"_"&amp;RIGHT(A3531,3)</f>
        <v>#N/A</v>
      </c>
      <c r="I3531" s="66">
        <f t="shared" si="385"/>
        <v>0</v>
      </c>
      <c r="K3531" s="66" t="str">
        <f t="shared" si="386"/>
        <v/>
      </c>
      <c r="L3531" s="66" t="str">
        <f t="shared" si="387"/>
        <v/>
      </c>
      <c r="M3531" s="66" t="str">
        <f t="shared" si="388"/>
        <v/>
      </c>
      <c r="N3531" s="66" t="str">
        <f t="shared" si="389"/>
        <v/>
      </c>
      <c r="O3531" s="66" t="str">
        <f t="shared" si="390"/>
        <v/>
      </c>
      <c r="P3531" s="66" t="str">
        <f t="shared" si="391"/>
        <v/>
      </c>
    </row>
    <row r="3532" spans="8:16">
      <c r="H3532" s="66" t="e">
        <f>IF(LEFT(A3532,6)="CEPNTR","GPINS",VLOOKUP(LEFT(A3532,6),'Code Library'!$A$3:$B$920,2,0))&amp;"_"&amp;RIGHT(A3532,3)</f>
        <v>#N/A</v>
      </c>
      <c r="I3532" s="66">
        <f t="shared" si="385"/>
        <v>0</v>
      </c>
      <c r="K3532" s="66" t="str">
        <f t="shared" si="386"/>
        <v/>
      </c>
      <c r="L3532" s="66" t="str">
        <f t="shared" si="387"/>
        <v/>
      </c>
      <c r="M3532" s="66" t="str">
        <f t="shared" si="388"/>
        <v/>
      </c>
      <c r="N3532" s="66" t="str">
        <f t="shared" si="389"/>
        <v/>
      </c>
      <c r="O3532" s="66" t="str">
        <f t="shared" si="390"/>
        <v/>
      </c>
      <c r="P3532" s="66" t="str">
        <f t="shared" si="391"/>
        <v/>
      </c>
    </row>
    <row r="3533" spans="8:16">
      <c r="H3533" s="66" t="e">
        <f>IF(LEFT(A3533,6)="CEPNTR","GPINS",VLOOKUP(LEFT(A3533,6),'Code Library'!$A$3:$B$920,2,0))&amp;"_"&amp;RIGHT(A3533,3)</f>
        <v>#N/A</v>
      </c>
      <c r="I3533" s="66">
        <f t="shared" si="385"/>
        <v>0</v>
      </c>
      <c r="K3533" s="66" t="str">
        <f t="shared" si="386"/>
        <v/>
      </c>
      <c r="L3533" s="66" t="str">
        <f t="shared" si="387"/>
        <v/>
      </c>
      <c r="M3533" s="66" t="str">
        <f t="shared" si="388"/>
        <v/>
      </c>
      <c r="N3533" s="66" t="str">
        <f t="shared" si="389"/>
        <v/>
      </c>
      <c r="O3533" s="66" t="str">
        <f t="shared" si="390"/>
        <v/>
      </c>
      <c r="P3533" s="66" t="str">
        <f t="shared" si="391"/>
        <v/>
      </c>
    </row>
    <row r="3534" spans="8:16">
      <c r="H3534" s="66" t="e">
        <f>IF(LEFT(A3534,6)="CEPNTR","GPINS",VLOOKUP(LEFT(A3534,6),'Code Library'!$A$3:$B$920,2,0))&amp;"_"&amp;RIGHT(A3534,3)</f>
        <v>#N/A</v>
      </c>
      <c r="I3534" s="66">
        <f t="shared" si="385"/>
        <v>0</v>
      </c>
      <c r="K3534" s="66" t="str">
        <f t="shared" si="386"/>
        <v/>
      </c>
      <c r="L3534" s="66" t="str">
        <f t="shared" si="387"/>
        <v/>
      </c>
      <c r="M3534" s="66" t="str">
        <f t="shared" si="388"/>
        <v/>
      </c>
      <c r="N3534" s="66" t="str">
        <f t="shared" si="389"/>
        <v/>
      </c>
      <c r="O3534" s="66" t="str">
        <f t="shared" si="390"/>
        <v/>
      </c>
      <c r="P3534" s="66" t="str">
        <f t="shared" si="391"/>
        <v/>
      </c>
    </row>
    <row r="3535" spans="8:16">
      <c r="H3535" s="66" t="e">
        <f>IF(LEFT(A3535,6)="CEPNTR","GPINS",VLOOKUP(LEFT(A3535,6),'Code Library'!$A$3:$B$920,2,0))&amp;"_"&amp;RIGHT(A3535,3)</f>
        <v>#N/A</v>
      </c>
      <c r="I3535" s="66">
        <f t="shared" si="385"/>
        <v>0</v>
      </c>
      <c r="K3535" s="66" t="str">
        <f t="shared" si="386"/>
        <v/>
      </c>
      <c r="L3535" s="66" t="str">
        <f t="shared" si="387"/>
        <v/>
      </c>
      <c r="M3535" s="66" t="str">
        <f t="shared" si="388"/>
        <v/>
      </c>
      <c r="N3535" s="66" t="str">
        <f t="shared" si="389"/>
        <v/>
      </c>
      <c r="O3535" s="66" t="str">
        <f t="shared" si="390"/>
        <v/>
      </c>
      <c r="P3535" s="66" t="str">
        <f t="shared" si="391"/>
        <v/>
      </c>
    </row>
    <row r="3536" spans="8:16">
      <c r="H3536" s="66" t="e">
        <f>IF(LEFT(A3536,6)="CEPNTR","GPINS",VLOOKUP(LEFT(A3536,6),'Code Library'!$A$3:$B$920,2,0))&amp;"_"&amp;RIGHT(A3536,3)</f>
        <v>#N/A</v>
      </c>
      <c r="I3536" s="66">
        <f t="shared" si="385"/>
        <v>0</v>
      </c>
      <c r="K3536" s="66" t="str">
        <f t="shared" si="386"/>
        <v/>
      </c>
      <c r="L3536" s="66" t="str">
        <f t="shared" si="387"/>
        <v/>
      </c>
      <c r="M3536" s="66" t="str">
        <f t="shared" si="388"/>
        <v/>
      </c>
      <c r="N3536" s="66" t="str">
        <f t="shared" si="389"/>
        <v/>
      </c>
      <c r="O3536" s="66" t="str">
        <f t="shared" si="390"/>
        <v/>
      </c>
      <c r="P3536" s="66" t="str">
        <f t="shared" si="391"/>
        <v/>
      </c>
    </row>
    <row r="3537" spans="8:16">
      <c r="H3537" s="66" t="e">
        <f>IF(LEFT(A3537,6)="CEPNTR","GPINS",VLOOKUP(LEFT(A3537,6),'Code Library'!$A$3:$B$920,2,0))&amp;"_"&amp;RIGHT(A3537,3)</f>
        <v>#N/A</v>
      </c>
      <c r="I3537" s="66">
        <f t="shared" si="385"/>
        <v>0</v>
      </c>
      <c r="K3537" s="66" t="str">
        <f t="shared" si="386"/>
        <v/>
      </c>
      <c r="L3537" s="66" t="str">
        <f t="shared" si="387"/>
        <v/>
      </c>
      <c r="M3537" s="66" t="str">
        <f t="shared" si="388"/>
        <v/>
      </c>
      <c r="N3537" s="66" t="str">
        <f t="shared" si="389"/>
        <v/>
      </c>
      <c r="O3537" s="66" t="str">
        <f t="shared" si="390"/>
        <v/>
      </c>
      <c r="P3537" s="66" t="str">
        <f t="shared" si="391"/>
        <v/>
      </c>
    </row>
    <row r="3538" spans="8:16">
      <c r="H3538" s="66" t="e">
        <f>IF(LEFT(A3538,6)="CEPNTR","GPINS",VLOOKUP(LEFT(A3538,6),'Code Library'!$A$3:$B$920,2,0))&amp;"_"&amp;RIGHT(A3538,3)</f>
        <v>#N/A</v>
      </c>
      <c r="I3538" s="66">
        <f t="shared" si="385"/>
        <v>0</v>
      </c>
      <c r="K3538" s="66" t="str">
        <f t="shared" si="386"/>
        <v/>
      </c>
      <c r="L3538" s="66" t="str">
        <f t="shared" si="387"/>
        <v/>
      </c>
      <c r="M3538" s="66" t="str">
        <f t="shared" si="388"/>
        <v/>
      </c>
      <c r="N3538" s="66" t="str">
        <f t="shared" si="389"/>
        <v/>
      </c>
      <c r="O3538" s="66" t="str">
        <f t="shared" si="390"/>
        <v/>
      </c>
      <c r="P3538" s="66" t="str">
        <f t="shared" si="391"/>
        <v/>
      </c>
    </row>
    <row r="3539" spans="8:16">
      <c r="H3539" s="66" t="e">
        <f>IF(LEFT(A3539,6)="CEPNTR","GPINS",VLOOKUP(LEFT(A3539,6),'Code Library'!$A$3:$B$920,2,0))&amp;"_"&amp;RIGHT(A3539,3)</f>
        <v>#N/A</v>
      </c>
      <c r="I3539" s="66">
        <f t="shared" si="385"/>
        <v>0</v>
      </c>
      <c r="K3539" s="66" t="str">
        <f t="shared" si="386"/>
        <v/>
      </c>
      <c r="L3539" s="66" t="str">
        <f t="shared" si="387"/>
        <v/>
      </c>
      <c r="M3539" s="66" t="str">
        <f t="shared" si="388"/>
        <v/>
      </c>
      <c r="N3539" s="66" t="str">
        <f t="shared" si="389"/>
        <v/>
      </c>
      <c r="O3539" s="66" t="str">
        <f t="shared" si="390"/>
        <v/>
      </c>
      <c r="P3539" s="66" t="str">
        <f t="shared" si="391"/>
        <v/>
      </c>
    </row>
    <row r="3540" spans="8:16">
      <c r="H3540" s="66" t="e">
        <f>IF(LEFT(A3540,6)="CEPNTR","GPINS",VLOOKUP(LEFT(A3540,6),'Code Library'!$A$3:$B$920,2,0))&amp;"_"&amp;RIGHT(A3540,3)</f>
        <v>#N/A</v>
      </c>
      <c r="I3540" s="66">
        <f t="shared" si="385"/>
        <v>0</v>
      </c>
      <c r="K3540" s="66" t="str">
        <f t="shared" si="386"/>
        <v/>
      </c>
      <c r="L3540" s="66" t="str">
        <f t="shared" si="387"/>
        <v/>
      </c>
      <c r="M3540" s="66" t="str">
        <f t="shared" si="388"/>
        <v/>
      </c>
      <c r="N3540" s="66" t="str">
        <f t="shared" si="389"/>
        <v/>
      </c>
      <c r="O3540" s="66" t="str">
        <f t="shared" si="390"/>
        <v/>
      </c>
      <c r="P3540" s="66" t="str">
        <f t="shared" si="391"/>
        <v/>
      </c>
    </row>
    <row r="3541" spans="8:16">
      <c r="H3541" s="66" t="e">
        <f>IF(LEFT(A3541,6)="CEPNTR","GPINS",VLOOKUP(LEFT(A3541,6),'Code Library'!$A$3:$B$920,2,0))&amp;"_"&amp;RIGHT(A3541,3)</f>
        <v>#N/A</v>
      </c>
      <c r="I3541" s="66">
        <f t="shared" si="385"/>
        <v>0</v>
      </c>
      <c r="K3541" s="66" t="str">
        <f t="shared" si="386"/>
        <v/>
      </c>
      <c r="L3541" s="66" t="str">
        <f t="shared" si="387"/>
        <v/>
      </c>
      <c r="M3541" s="66" t="str">
        <f t="shared" si="388"/>
        <v/>
      </c>
      <c r="N3541" s="66" t="str">
        <f t="shared" si="389"/>
        <v/>
      </c>
      <c r="O3541" s="66" t="str">
        <f t="shared" si="390"/>
        <v/>
      </c>
      <c r="P3541" s="66" t="str">
        <f t="shared" si="391"/>
        <v/>
      </c>
    </row>
    <row r="3542" spans="8:16">
      <c r="H3542" s="66" t="e">
        <f>IF(LEFT(A3542,6)="CEPNTR","GPINS",VLOOKUP(LEFT(A3542,6),'Code Library'!$A$3:$B$920,2,0))&amp;"_"&amp;RIGHT(A3542,3)</f>
        <v>#N/A</v>
      </c>
      <c r="I3542" s="66">
        <f t="shared" si="385"/>
        <v>0</v>
      </c>
      <c r="K3542" s="66" t="str">
        <f t="shared" si="386"/>
        <v/>
      </c>
      <c r="L3542" s="66" t="str">
        <f t="shared" si="387"/>
        <v/>
      </c>
      <c r="M3542" s="66" t="str">
        <f t="shared" si="388"/>
        <v/>
      </c>
      <c r="N3542" s="66" t="str">
        <f t="shared" si="389"/>
        <v/>
      </c>
      <c r="O3542" s="66" t="str">
        <f t="shared" si="390"/>
        <v/>
      </c>
      <c r="P3542" s="66" t="str">
        <f t="shared" si="391"/>
        <v/>
      </c>
    </row>
    <row r="3543" spans="8:16">
      <c r="H3543" s="66" t="e">
        <f>IF(LEFT(A3543,6)="CEPNTR","GPINS",VLOOKUP(LEFT(A3543,6),'Code Library'!$A$3:$B$920,2,0))&amp;"_"&amp;RIGHT(A3543,3)</f>
        <v>#N/A</v>
      </c>
      <c r="I3543" s="66">
        <f t="shared" si="385"/>
        <v>0</v>
      </c>
      <c r="K3543" s="66" t="str">
        <f t="shared" si="386"/>
        <v/>
      </c>
      <c r="L3543" s="66" t="str">
        <f t="shared" si="387"/>
        <v/>
      </c>
      <c r="M3543" s="66" t="str">
        <f t="shared" si="388"/>
        <v/>
      </c>
      <c r="N3543" s="66" t="str">
        <f t="shared" si="389"/>
        <v/>
      </c>
      <c r="O3543" s="66" t="str">
        <f t="shared" si="390"/>
        <v/>
      </c>
      <c r="P3543" s="66" t="str">
        <f t="shared" si="391"/>
        <v/>
      </c>
    </row>
    <row r="3544" spans="8:16">
      <c r="H3544" s="66" t="e">
        <f>IF(LEFT(A3544,6)="CEPNTR","GPINS",VLOOKUP(LEFT(A3544,6),'Code Library'!$A$3:$B$920,2,0))&amp;"_"&amp;RIGHT(A3544,3)</f>
        <v>#N/A</v>
      </c>
      <c r="I3544" s="66">
        <f t="shared" si="385"/>
        <v>0</v>
      </c>
      <c r="K3544" s="66" t="str">
        <f t="shared" si="386"/>
        <v/>
      </c>
      <c r="L3544" s="66" t="str">
        <f t="shared" si="387"/>
        <v/>
      </c>
      <c r="M3544" s="66" t="str">
        <f t="shared" si="388"/>
        <v/>
      </c>
      <c r="N3544" s="66" t="str">
        <f t="shared" si="389"/>
        <v/>
      </c>
      <c r="O3544" s="66" t="str">
        <f t="shared" si="390"/>
        <v/>
      </c>
      <c r="P3544" s="66" t="str">
        <f t="shared" si="391"/>
        <v/>
      </c>
    </row>
    <row r="3545" spans="8:16">
      <c r="H3545" s="66" t="e">
        <f>IF(LEFT(A3545,6)="CEPNTR","GPINS",VLOOKUP(LEFT(A3545,6),'Code Library'!$A$3:$B$920,2,0))&amp;"_"&amp;RIGHT(A3545,3)</f>
        <v>#N/A</v>
      </c>
      <c r="I3545" s="66">
        <f t="shared" si="385"/>
        <v>0</v>
      </c>
      <c r="K3545" s="66" t="str">
        <f t="shared" si="386"/>
        <v/>
      </c>
      <c r="L3545" s="66" t="str">
        <f t="shared" si="387"/>
        <v/>
      </c>
      <c r="M3545" s="66" t="str">
        <f t="shared" si="388"/>
        <v/>
      </c>
      <c r="N3545" s="66" t="str">
        <f t="shared" si="389"/>
        <v/>
      </c>
      <c r="O3545" s="66" t="str">
        <f t="shared" si="390"/>
        <v/>
      </c>
      <c r="P3545" s="66" t="str">
        <f t="shared" si="391"/>
        <v/>
      </c>
    </row>
    <row r="3546" spans="8:16">
      <c r="H3546" s="66" t="e">
        <f>IF(LEFT(A3546,6)="CEPNTR","GPINS",VLOOKUP(LEFT(A3546,6),'Code Library'!$A$3:$B$920,2,0))&amp;"_"&amp;RIGHT(A3546,3)</f>
        <v>#N/A</v>
      </c>
      <c r="I3546" s="66">
        <f t="shared" si="385"/>
        <v>0</v>
      </c>
      <c r="K3546" s="66" t="str">
        <f t="shared" si="386"/>
        <v/>
      </c>
      <c r="L3546" s="66" t="str">
        <f t="shared" si="387"/>
        <v/>
      </c>
      <c r="M3546" s="66" t="str">
        <f t="shared" si="388"/>
        <v/>
      </c>
      <c r="N3546" s="66" t="str">
        <f t="shared" si="389"/>
        <v/>
      </c>
      <c r="O3546" s="66" t="str">
        <f t="shared" si="390"/>
        <v/>
      </c>
      <c r="P3546" s="66" t="str">
        <f t="shared" si="391"/>
        <v/>
      </c>
    </row>
    <row r="3547" spans="8:16">
      <c r="H3547" s="66" t="e">
        <f>IF(LEFT(A3547,6)="CEPNTR","GPINS",VLOOKUP(LEFT(A3547,6),'Code Library'!$A$3:$B$920,2,0))&amp;"_"&amp;RIGHT(A3547,3)</f>
        <v>#N/A</v>
      </c>
      <c r="I3547" s="66">
        <f t="shared" si="385"/>
        <v>0</v>
      </c>
      <c r="K3547" s="66" t="str">
        <f t="shared" si="386"/>
        <v/>
      </c>
      <c r="L3547" s="66" t="str">
        <f t="shared" si="387"/>
        <v/>
      </c>
      <c r="M3547" s="66" t="str">
        <f t="shared" si="388"/>
        <v/>
      </c>
      <c r="N3547" s="66" t="str">
        <f t="shared" si="389"/>
        <v/>
      </c>
      <c r="O3547" s="66" t="str">
        <f t="shared" si="390"/>
        <v/>
      </c>
      <c r="P3547" s="66" t="str">
        <f t="shared" si="391"/>
        <v/>
      </c>
    </row>
    <row r="3548" spans="8:16">
      <c r="H3548" s="66" t="e">
        <f>IF(LEFT(A3548,6)="CEPNTR","GPINS",VLOOKUP(LEFT(A3548,6),'Code Library'!$A$3:$B$920,2,0))&amp;"_"&amp;RIGHT(A3548,3)</f>
        <v>#N/A</v>
      </c>
      <c r="I3548" s="66">
        <f t="shared" si="385"/>
        <v>0</v>
      </c>
      <c r="K3548" s="66" t="str">
        <f t="shared" si="386"/>
        <v/>
      </c>
      <c r="L3548" s="66" t="str">
        <f t="shared" si="387"/>
        <v/>
      </c>
      <c r="M3548" s="66" t="str">
        <f t="shared" si="388"/>
        <v/>
      </c>
      <c r="N3548" s="66" t="str">
        <f t="shared" si="389"/>
        <v/>
      </c>
      <c r="O3548" s="66" t="str">
        <f t="shared" si="390"/>
        <v/>
      </c>
      <c r="P3548" s="66" t="str">
        <f t="shared" si="391"/>
        <v/>
      </c>
    </row>
    <row r="3549" spans="8:16">
      <c r="H3549" s="66" t="e">
        <f>IF(LEFT(A3549,6)="CEPNTR","GPINS",VLOOKUP(LEFT(A3549,6),'Code Library'!$A$3:$B$920,2,0))&amp;"_"&amp;RIGHT(A3549,3)</f>
        <v>#N/A</v>
      </c>
      <c r="I3549" s="66">
        <f t="shared" si="385"/>
        <v>0</v>
      </c>
      <c r="K3549" s="66" t="str">
        <f t="shared" si="386"/>
        <v/>
      </c>
      <c r="L3549" s="66" t="str">
        <f t="shared" si="387"/>
        <v/>
      </c>
      <c r="M3549" s="66" t="str">
        <f t="shared" si="388"/>
        <v/>
      </c>
      <c r="N3549" s="66" t="str">
        <f t="shared" si="389"/>
        <v/>
      </c>
      <c r="O3549" s="66" t="str">
        <f t="shared" si="390"/>
        <v/>
      </c>
      <c r="P3549" s="66" t="str">
        <f t="shared" si="391"/>
        <v/>
      </c>
    </row>
    <row r="3550" spans="8:16">
      <c r="H3550" s="66" t="e">
        <f>IF(LEFT(A3550,6)="CEPNTR","GPINS",VLOOKUP(LEFT(A3550,6),'Code Library'!$A$3:$B$920,2,0))&amp;"_"&amp;RIGHT(A3550,3)</f>
        <v>#N/A</v>
      </c>
      <c r="I3550" s="66">
        <f t="shared" si="385"/>
        <v>0</v>
      </c>
      <c r="K3550" s="66" t="str">
        <f t="shared" si="386"/>
        <v/>
      </c>
      <c r="L3550" s="66" t="str">
        <f t="shared" si="387"/>
        <v/>
      </c>
      <c r="M3550" s="66" t="str">
        <f t="shared" si="388"/>
        <v/>
      </c>
      <c r="N3550" s="66" t="str">
        <f t="shared" si="389"/>
        <v/>
      </c>
      <c r="O3550" s="66" t="str">
        <f t="shared" si="390"/>
        <v/>
      </c>
      <c r="P3550" s="66" t="str">
        <f t="shared" si="391"/>
        <v/>
      </c>
    </row>
    <row r="3551" spans="8:16">
      <c r="H3551" s="66" t="e">
        <f>IF(LEFT(A3551,6)="CEPNTR","GPINS",VLOOKUP(LEFT(A3551,6),'Code Library'!$A$3:$B$920,2,0))&amp;"_"&amp;RIGHT(A3551,3)</f>
        <v>#N/A</v>
      </c>
      <c r="I3551" s="66">
        <f t="shared" si="385"/>
        <v>0</v>
      </c>
      <c r="K3551" s="66" t="str">
        <f t="shared" si="386"/>
        <v/>
      </c>
      <c r="L3551" s="66" t="str">
        <f t="shared" si="387"/>
        <v/>
      </c>
      <c r="M3551" s="66" t="str">
        <f t="shared" si="388"/>
        <v/>
      </c>
      <c r="N3551" s="66" t="str">
        <f t="shared" si="389"/>
        <v/>
      </c>
      <c r="O3551" s="66" t="str">
        <f t="shared" si="390"/>
        <v/>
      </c>
      <c r="P3551" s="66" t="str">
        <f t="shared" si="391"/>
        <v/>
      </c>
    </row>
    <row r="3552" spans="8:16">
      <c r="H3552" s="66" t="e">
        <f>IF(LEFT(A3552,6)="CEPNTR","GPINS",VLOOKUP(LEFT(A3552,6),'Code Library'!$A$3:$B$920,2,0))&amp;"_"&amp;RIGHT(A3552,3)</f>
        <v>#N/A</v>
      </c>
      <c r="I3552" s="66">
        <f t="shared" si="385"/>
        <v>0</v>
      </c>
      <c r="K3552" s="66" t="str">
        <f t="shared" si="386"/>
        <v/>
      </c>
      <c r="L3552" s="66" t="str">
        <f t="shared" si="387"/>
        <v/>
      </c>
      <c r="M3552" s="66" t="str">
        <f t="shared" si="388"/>
        <v/>
      </c>
      <c r="N3552" s="66" t="str">
        <f t="shared" si="389"/>
        <v/>
      </c>
      <c r="O3552" s="66" t="str">
        <f t="shared" si="390"/>
        <v/>
      </c>
      <c r="P3552" s="66" t="str">
        <f t="shared" si="391"/>
        <v/>
      </c>
    </row>
    <row r="3553" spans="8:16">
      <c r="H3553" s="66" t="e">
        <f>IF(LEFT(A3553,6)="CEPNTR","GPINS",VLOOKUP(LEFT(A3553,6),'Code Library'!$A$3:$B$920,2,0))&amp;"_"&amp;RIGHT(A3553,3)</f>
        <v>#N/A</v>
      </c>
      <c r="I3553" s="66">
        <f t="shared" si="385"/>
        <v>0</v>
      </c>
      <c r="K3553" s="66" t="str">
        <f t="shared" si="386"/>
        <v/>
      </c>
      <c r="L3553" s="66" t="str">
        <f t="shared" si="387"/>
        <v/>
      </c>
      <c r="M3553" s="66" t="str">
        <f t="shared" si="388"/>
        <v/>
      </c>
      <c r="N3553" s="66" t="str">
        <f t="shared" si="389"/>
        <v/>
      </c>
      <c r="O3553" s="66" t="str">
        <f t="shared" si="390"/>
        <v/>
      </c>
      <c r="P3553" s="66" t="str">
        <f t="shared" si="391"/>
        <v/>
      </c>
    </row>
    <row r="3554" spans="8:16">
      <c r="H3554" s="66" t="e">
        <f>IF(LEFT(A3554,6)="CEPNTR","GPINS",VLOOKUP(LEFT(A3554,6),'Code Library'!$A$3:$B$920,2,0))&amp;"_"&amp;RIGHT(A3554,3)</f>
        <v>#N/A</v>
      </c>
      <c r="I3554" s="66">
        <f t="shared" si="385"/>
        <v>0</v>
      </c>
      <c r="K3554" s="66" t="str">
        <f t="shared" si="386"/>
        <v/>
      </c>
      <c r="L3554" s="66" t="str">
        <f t="shared" si="387"/>
        <v/>
      </c>
      <c r="M3554" s="66" t="str">
        <f t="shared" si="388"/>
        <v/>
      </c>
      <c r="N3554" s="66" t="str">
        <f t="shared" si="389"/>
        <v/>
      </c>
      <c r="O3554" s="66" t="str">
        <f t="shared" si="390"/>
        <v/>
      </c>
      <c r="P3554" s="66" t="str">
        <f t="shared" si="391"/>
        <v/>
      </c>
    </row>
    <row r="3555" spans="8:16">
      <c r="H3555" s="66" t="e">
        <f>IF(LEFT(A3555,6)="CEPNTR","GPINS",VLOOKUP(LEFT(A3555,6),'Code Library'!$A$3:$B$920,2,0))&amp;"_"&amp;RIGHT(A3555,3)</f>
        <v>#N/A</v>
      </c>
      <c r="I3555" s="66">
        <f t="shared" si="385"/>
        <v>0</v>
      </c>
      <c r="K3555" s="66" t="str">
        <f t="shared" si="386"/>
        <v/>
      </c>
      <c r="L3555" s="66" t="str">
        <f t="shared" si="387"/>
        <v/>
      </c>
      <c r="M3555" s="66" t="str">
        <f t="shared" si="388"/>
        <v/>
      </c>
      <c r="N3555" s="66" t="str">
        <f t="shared" si="389"/>
        <v/>
      </c>
      <c r="O3555" s="66" t="str">
        <f t="shared" si="390"/>
        <v/>
      </c>
      <c r="P3555" s="66" t="str">
        <f t="shared" si="391"/>
        <v/>
      </c>
    </row>
    <row r="3556" spans="8:16">
      <c r="H3556" s="66" t="e">
        <f>IF(LEFT(A3556,6)="CEPNTR","GPINS",VLOOKUP(LEFT(A3556,6),'Code Library'!$A$3:$B$920,2,0))&amp;"_"&amp;RIGHT(A3556,3)</f>
        <v>#N/A</v>
      </c>
      <c r="I3556" s="66">
        <f t="shared" si="385"/>
        <v>0</v>
      </c>
      <c r="K3556" s="66" t="str">
        <f t="shared" si="386"/>
        <v/>
      </c>
      <c r="L3556" s="66" t="str">
        <f t="shared" si="387"/>
        <v/>
      </c>
      <c r="M3556" s="66" t="str">
        <f t="shared" si="388"/>
        <v/>
      </c>
      <c r="N3556" s="66" t="str">
        <f t="shared" si="389"/>
        <v/>
      </c>
      <c r="O3556" s="66" t="str">
        <f t="shared" si="390"/>
        <v/>
      </c>
      <c r="P3556" s="66" t="str">
        <f t="shared" si="391"/>
        <v/>
      </c>
    </row>
    <row r="3557" spans="8:16">
      <c r="H3557" s="66" t="e">
        <f>IF(LEFT(A3557,6)="CEPNTR","GPINS",VLOOKUP(LEFT(A3557,6),'Code Library'!$A$3:$B$920,2,0))&amp;"_"&amp;RIGHT(A3557,3)</f>
        <v>#N/A</v>
      </c>
      <c r="I3557" s="66">
        <f t="shared" si="385"/>
        <v>0</v>
      </c>
      <c r="K3557" s="66" t="str">
        <f t="shared" si="386"/>
        <v/>
      </c>
      <c r="L3557" s="66" t="str">
        <f t="shared" si="387"/>
        <v/>
      </c>
      <c r="M3557" s="66" t="str">
        <f t="shared" si="388"/>
        <v/>
      </c>
      <c r="N3557" s="66" t="str">
        <f t="shared" si="389"/>
        <v/>
      </c>
      <c r="O3557" s="66" t="str">
        <f t="shared" si="390"/>
        <v/>
      </c>
      <c r="P3557" s="66" t="str">
        <f t="shared" si="391"/>
        <v/>
      </c>
    </row>
    <row r="3558" spans="8:16">
      <c r="H3558" s="66" t="e">
        <f>IF(LEFT(A3558,6)="CEPNTR","GPINS",VLOOKUP(LEFT(A3558,6),'Code Library'!$A$3:$B$920,2,0))&amp;"_"&amp;RIGHT(A3558,3)</f>
        <v>#N/A</v>
      </c>
      <c r="I3558" s="66">
        <f t="shared" si="385"/>
        <v>0</v>
      </c>
      <c r="K3558" s="66" t="str">
        <f t="shared" si="386"/>
        <v/>
      </c>
      <c r="L3558" s="66" t="str">
        <f t="shared" si="387"/>
        <v/>
      </c>
      <c r="M3558" s="66" t="str">
        <f t="shared" si="388"/>
        <v/>
      </c>
      <c r="N3558" s="66" t="str">
        <f t="shared" si="389"/>
        <v/>
      </c>
      <c r="O3558" s="66" t="str">
        <f t="shared" si="390"/>
        <v/>
      </c>
      <c r="P3558" s="66" t="str">
        <f t="shared" si="391"/>
        <v/>
      </c>
    </row>
    <row r="3559" spans="8:16">
      <c r="H3559" s="66" t="e">
        <f>IF(LEFT(A3559,6)="CEPNTR","GPINS",VLOOKUP(LEFT(A3559,6),'Code Library'!$A$3:$B$920,2,0))&amp;"_"&amp;RIGHT(A3559,3)</f>
        <v>#N/A</v>
      </c>
      <c r="I3559" s="66">
        <f t="shared" si="385"/>
        <v>0</v>
      </c>
      <c r="K3559" s="66" t="str">
        <f t="shared" si="386"/>
        <v/>
      </c>
      <c r="L3559" s="66" t="str">
        <f t="shared" si="387"/>
        <v/>
      </c>
      <c r="M3559" s="66" t="str">
        <f t="shared" si="388"/>
        <v/>
      </c>
      <c r="N3559" s="66" t="str">
        <f t="shared" si="389"/>
        <v/>
      </c>
      <c r="O3559" s="66" t="str">
        <f t="shared" si="390"/>
        <v/>
      </c>
      <c r="P3559" s="66" t="str">
        <f t="shared" si="391"/>
        <v/>
      </c>
    </row>
    <row r="3560" spans="8:16">
      <c r="H3560" s="66" t="e">
        <f>IF(LEFT(A3560,6)="CEPNTR","GPINS",VLOOKUP(LEFT(A3560,6),'Code Library'!$A$3:$B$920,2,0))&amp;"_"&amp;RIGHT(A3560,3)</f>
        <v>#N/A</v>
      </c>
      <c r="I3560" s="66">
        <f t="shared" si="385"/>
        <v>0</v>
      </c>
      <c r="K3560" s="66" t="str">
        <f t="shared" si="386"/>
        <v/>
      </c>
      <c r="L3560" s="66" t="str">
        <f t="shared" si="387"/>
        <v/>
      </c>
      <c r="M3560" s="66" t="str">
        <f t="shared" si="388"/>
        <v/>
      </c>
      <c r="N3560" s="66" t="str">
        <f t="shared" si="389"/>
        <v/>
      </c>
      <c r="O3560" s="66" t="str">
        <f t="shared" si="390"/>
        <v/>
      </c>
      <c r="P3560" s="66" t="str">
        <f t="shared" si="391"/>
        <v/>
      </c>
    </row>
    <row r="3561" spans="8:16">
      <c r="H3561" s="66" t="e">
        <f>IF(LEFT(A3561,6)="CEPNTR","GPINS",VLOOKUP(LEFT(A3561,6),'Code Library'!$A$3:$B$920,2,0))&amp;"_"&amp;RIGHT(A3561,3)</f>
        <v>#N/A</v>
      </c>
      <c r="I3561" s="66">
        <f t="shared" si="385"/>
        <v>0</v>
      </c>
      <c r="K3561" s="66" t="str">
        <f t="shared" si="386"/>
        <v/>
      </c>
      <c r="L3561" s="66" t="str">
        <f t="shared" si="387"/>
        <v/>
      </c>
      <c r="M3561" s="66" t="str">
        <f t="shared" si="388"/>
        <v/>
      </c>
      <c r="N3561" s="66" t="str">
        <f t="shared" si="389"/>
        <v/>
      </c>
      <c r="O3561" s="66" t="str">
        <f t="shared" si="390"/>
        <v/>
      </c>
      <c r="P3561" s="66" t="str">
        <f t="shared" si="391"/>
        <v/>
      </c>
    </row>
    <row r="3562" spans="8:16">
      <c r="H3562" s="66" t="e">
        <f>IF(LEFT(A3562,6)="CEPNTR","GPINS",VLOOKUP(LEFT(A3562,6),'Code Library'!$A$3:$B$920,2,0))&amp;"_"&amp;RIGHT(A3562,3)</f>
        <v>#N/A</v>
      </c>
      <c r="I3562" s="66">
        <f t="shared" si="385"/>
        <v>0</v>
      </c>
      <c r="K3562" s="66" t="str">
        <f t="shared" si="386"/>
        <v/>
      </c>
      <c r="L3562" s="66" t="str">
        <f t="shared" si="387"/>
        <v/>
      </c>
      <c r="M3562" s="66" t="str">
        <f t="shared" si="388"/>
        <v/>
      </c>
      <c r="N3562" s="66" t="str">
        <f t="shared" si="389"/>
        <v/>
      </c>
      <c r="O3562" s="66" t="str">
        <f t="shared" si="390"/>
        <v/>
      </c>
      <c r="P3562" s="66" t="str">
        <f t="shared" si="391"/>
        <v/>
      </c>
    </row>
    <row r="3563" spans="8:16">
      <c r="H3563" s="66" t="e">
        <f>IF(LEFT(A3563,6)="CEPNTR","GPINS",VLOOKUP(LEFT(A3563,6),'Code Library'!$A$3:$B$920,2,0))&amp;"_"&amp;RIGHT(A3563,3)</f>
        <v>#N/A</v>
      </c>
      <c r="I3563" s="66">
        <f t="shared" si="385"/>
        <v>0</v>
      </c>
      <c r="K3563" s="66" t="str">
        <f t="shared" si="386"/>
        <v/>
      </c>
      <c r="L3563" s="66" t="str">
        <f t="shared" si="387"/>
        <v/>
      </c>
      <c r="M3563" s="66" t="str">
        <f t="shared" si="388"/>
        <v/>
      </c>
      <c r="N3563" s="66" t="str">
        <f t="shared" si="389"/>
        <v/>
      </c>
      <c r="O3563" s="66" t="str">
        <f t="shared" si="390"/>
        <v/>
      </c>
      <c r="P3563" s="66" t="str">
        <f t="shared" si="391"/>
        <v/>
      </c>
    </row>
    <row r="3564" spans="8:16">
      <c r="H3564" s="66" t="e">
        <f>IF(LEFT(A3564,6)="CEPNTR","GPINS",VLOOKUP(LEFT(A3564,6),'Code Library'!$A$3:$B$920,2,0))&amp;"_"&amp;RIGHT(A3564,3)</f>
        <v>#N/A</v>
      </c>
      <c r="I3564" s="66">
        <f t="shared" si="385"/>
        <v>0</v>
      </c>
      <c r="K3564" s="66" t="str">
        <f t="shared" si="386"/>
        <v/>
      </c>
      <c r="L3564" s="66" t="str">
        <f t="shared" si="387"/>
        <v/>
      </c>
      <c r="M3564" s="66" t="str">
        <f t="shared" si="388"/>
        <v/>
      </c>
      <c r="N3564" s="66" t="str">
        <f t="shared" si="389"/>
        <v/>
      </c>
      <c r="O3564" s="66" t="str">
        <f t="shared" si="390"/>
        <v/>
      </c>
      <c r="P3564" s="66" t="str">
        <f t="shared" si="391"/>
        <v/>
      </c>
    </row>
    <row r="3565" spans="8:16">
      <c r="H3565" s="66" t="e">
        <f>IF(LEFT(A3565,6)="CEPNTR","GPINS",VLOOKUP(LEFT(A3565,6),'Code Library'!$A$3:$B$920,2,0))&amp;"_"&amp;RIGHT(A3565,3)</f>
        <v>#N/A</v>
      </c>
      <c r="I3565" s="66">
        <f t="shared" si="385"/>
        <v>0</v>
      </c>
      <c r="K3565" s="66" t="str">
        <f t="shared" si="386"/>
        <v/>
      </c>
      <c r="L3565" s="66" t="str">
        <f t="shared" si="387"/>
        <v/>
      </c>
      <c r="M3565" s="66" t="str">
        <f t="shared" si="388"/>
        <v/>
      </c>
      <c r="N3565" s="66" t="str">
        <f t="shared" si="389"/>
        <v/>
      </c>
      <c r="O3565" s="66" t="str">
        <f t="shared" si="390"/>
        <v/>
      </c>
      <c r="P3565" s="66" t="str">
        <f t="shared" si="391"/>
        <v/>
      </c>
    </row>
    <row r="3566" spans="8:16">
      <c r="H3566" s="66" t="e">
        <f>IF(LEFT(A3566,6)="CEPNTR","GPINS",VLOOKUP(LEFT(A3566,6),'Code Library'!$A$3:$B$920,2,0))&amp;"_"&amp;RIGHT(A3566,3)</f>
        <v>#N/A</v>
      </c>
      <c r="I3566" s="66">
        <f t="shared" si="385"/>
        <v>0</v>
      </c>
      <c r="K3566" s="66" t="str">
        <f t="shared" si="386"/>
        <v/>
      </c>
      <c r="L3566" s="66" t="str">
        <f t="shared" si="387"/>
        <v/>
      </c>
      <c r="M3566" s="66" t="str">
        <f t="shared" si="388"/>
        <v/>
      </c>
      <c r="N3566" s="66" t="str">
        <f t="shared" si="389"/>
        <v/>
      </c>
      <c r="O3566" s="66" t="str">
        <f t="shared" si="390"/>
        <v/>
      </c>
      <c r="P3566" s="66" t="str">
        <f t="shared" si="391"/>
        <v/>
      </c>
    </row>
    <row r="3567" spans="8:16">
      <c r="H3567" s="66" t="e">
        <f>IF(LEFT(A3567,6)="CEPNTR","GPINS",VLOOKUP(LEFT(A3567,6),'Code Library'!$A$3:$B$920,2,0))&amp;"_"&amp;RIGHT(A3567,3)</f>
        <v>#N/A</v>
      </c>
      <c r="I3567" s="66">
        <f t="shared" si="385"/>
        <v>0</v>
      </c>
      <c r="K3567" s="66" t="str">
        <f t="shared" si="386"/>
        <v/>
      </c>
      <c r="L3567" s="66" t="str">
        <f t="shared" si="387"/>
        <v/>
      </c>
      <c r="M3567" s="66" t="str">
        <f t="shared" si="388"/>
        <v/>
      </c>
      <c r="N3567" s="66" t="str">
        <f t="shared" si="389"/>
        <v/>
      </c>
      <c r="O3567" s="66" t="str">
        <f t="shared" si="390"/>
        <v/>
      </c>
      <c r="P3567" s="66" t="str">
        <f t="shared" si="391"/>
        <v/>
      </c>
    </row>
    <row r="3568" spans="8:16">
      <c r="H3568" s="66" t="e">
        <f>IF(LEFT(A3568,6)="CEPNTR","GPINS",VLOOKUP(LEFT(A3568,6),'Code Library'!$A$3:$B$920,2,0))&amp;"_"&amp;RIGHT(A3568,3)</f>
        <v>#N/A</v>
      </c>
      <c r="I3568" s="66">
        <f t="shared" si="385"/>
        <v>0</v>
      </c>
      <c r="K3568" s="66" t="str">
        <f t="shared" si="386"/>
        <v/>
      </c>
      <c r="L3568" s="66" t="str">
        <f t="shared" si="387"/>
        <v/>
      </c>
      <c r="M3568" s="66" t="str">
        <f t="shared" si="388"/>
        <v/>
      </c>
      <c r="N3568" s="66" t="str">
        <f t="shared" si="389"/>
        <v/>
      </c>
      <c r="O3568" s="66" t="str">
        <f t="shared" si="390"/>
        <v/>
      </c>
      <c r="P3568" s="66" t="str">
        <f t="shared" si="391"/>
        <v/>
      </c>
    </row>
    <row r="3569" spans="8:16">
      <c r="H3569" s="66" t="e">
        <f>IF(LEFT(A3569,6)="CEPNTR","GPINS",VLOOKUP(LEFT(A3569,6),'Code Library'!$A$3:$B$920,2,0))&amp;"_"&amp;RIGHT(A3569,3)</f>
        <v>#N/A</v>
      </c>
      <c r="I3569" s="66">
        <f t="shared" si="385"/>
        <v>0</v>
      </c>
      <c r="K3569" s="66" t="str">
        <f t="shared" si="386"/>
        <v/>
      </c>
      <c r="L3569" s="66" t="str">
        <f t="shared" si="387"/>
        <v/>
      </c>
      <c r="M3569" s="66" t="str">
        <f t="shared" si="388"/>
        <v/>
      </c>
      <c r="N3569" s="66" t="str">
        <f t="shared" si="389"/>
        <v/>
      </c>
      <c r="O3569" s="66" t="str">
        <f t="shared" si="390"/>
        <v/>
      </c>
      <c r="P3569" s="66" t="str">
        <f t="shared" si="391"/>
        <v/>
      </c>
    </row>
    <row r="3570" spans="8:16">
      <c r="H3570" s="66" t="e">
        <f>IF(LEFT(A3570,6)="CEPNTR","GPINS",VLOOKUP(LEFT(A3570,6),'Code Library'!$A$3:$B$920,2,0))&amp;"_"&amp;RIGHT(A3570,3)</f>
        <v>#N/A</v>
      </c>
      <c r="I3570" s="66">
        <f t="shared" si="385"/>
        <v>0</v>
      </c>
      <c r="K3570" s="66" t="str">
        <f t="shared" si="386"/>
        <v/>
      </c>
      <c r="L3570" s="66" t="str">
        <f t="shared" si="387"/>
        <v/>
      </c>
      <c r="M3570" s="66" t="str">
        <f t="shared" si="388"/>
        <v/>
      </c>
      <c r="N3570" s="66" t="str">
        <f t="shared" si="389"/>
        <v/>
      </c>
      <c r="O3570" s="66" t="str">
        <f t="shared" si="390"/>
        <v/>
      </c>
      <c r="P3570" s="66" t="str">
        <f t="shared" si="391"/>
        <v/>
      </c>
    </row>
    <row r="3571" spans="8:16">
      <c r="H3571" s="66" t="e">
        <f>IF(LEFT(A3571,6)="CEPNTR","GPINS",VLOOKUP(LEFT(A3571,6),'Code Library'!$A$3:$B$920,2,0))&amp;"_"&amp;RIGHT(A3571,3)</f>
        <v>#N/A</v>
      </c>
      <c r="I3571" s="66">
        <f t="shared" si="385"/>
        <v>0</v>
      </c>
      <c r="K3571" s="66" t="str">
        <f t="shared" si="386"/>
        <v/>
      </c>
      <c r="L3571" s="66" t="str">
        <f t="shared" si="387"/>
        <v/>
      </c>
      <c r="M3571" s="66" t="str">
        <f t="shared" si="388"/>
        <v/>
      </c>
      <c r="N3571" s="66" t="str">
        <f t="shared" si="389"/>
        <v/>
      </c>
      <c r="O3571" s="66" t="str">
        <f t="shared" si="390"/>
        <v/>
      </c>
      <c r="P3571" s="66" t="str">
        <f t="shared" si="391"/>
        <v/>
      </c>
    </row>
    <row r="3572" spans="8:16">
      <c r="H3572" s="66" t="e">
        <f>IF(LEFT(A3572,6)="CEPNTR","GPINS",VLOOKUP(LEFT(A3572,6),'Code Library'!$A$3:$B$920,2,0))&amp;"_"&amp;RIGHT(A3572,3)</f>
        <v>#N/A</v>
      </c>
      <c r="I3572" s="66">
        <f t="shared" si="385"/>
        <v>0</v>
      </c>
      <c r="K3572" s="66" t="str">
        <f t="shared" si="386"/>
        <v/>
      </c>
      <c r="L3572" s="66" t="str">
        <f t="shared" si="387"/>
        <v/>
      </c>
      <c r="M3572" s="66" t="str">
        <f t="shared" si="388"/>
        <v/>
      </c>
      <c r="N3572" s="66" t="str">
        <f t="shared" si="389"/>
        <v/>
      </c>
      <c r="O3572" s="66" t="str">
        <f t="shared" si="390"/>
        <v/>
      </c>
      <c r="P3572" s="66" t="str">
        <f t="shared" si="391"/>
        <v/>
      </c>
    </row>
    <row r="3573" spans="8:16">
      <c r="H3573" s="66" t="e">
        <f>IF(LEFT(A3573,6)="CEPNTR","GPINS",VLOOKUP(LEFT(A3573,6),'Code Library'!$A$3:$B$920,2,0))&amp;"_"&amp;RIGHT(A3573,3)</f>
        <v>#N/A</v>
      </c>
      <c r="I3573" s="66">
        <f t="shared" si="385"/>
        <v>0</v>
      </c>
      <c r="K3573" s="66" t="str">
        <f t="shared" si="386"/>
        <v/>
      </c>
      <c r="L3573" s="66" t="str">
        <f t="shared" si="387"/>
        <v/>
      </c>
      <c r="M3573" s="66" t="str">
        <f t="shared" si="388"/>
        <v/>
      </c>
      <c r="N3573" s="66" t="str">
        <f t="shared" si="389"/>
        <v/>
      </c>
      <c r="O3573" s="66" t="str">
        <f t="shared" si="390"/>
        <v/>
      </c>
      <c r="P3573" s="66" t="str">
        <f t="shared" si="391"/>
        <v/>
      </c>
    </row>
    <row r="3574" spans="8:16">
      <c r="H3574" s="66" t="e">
        <f>IF(LEFT(A3574,6)="CEPNTR","GPINS",VLOOKUP(LEFT(A3574,6),'Code Library'!$A$3:$B$920,2,0))&amp;"_"&amp;RIGHT(A3574,3)</f>
        <v>#N/A</v>
      </c>
      <c r="I3574" s="66">
        <f t="shared" si="385"/>
        <v>0</v>
      </c>
      <c r="K3574" s="66" t="str">
        <f t="shared" si="386"/>
        <v/>
      </c>
      <c r="L3574" s="66" t="str">
        <f t="shared" si="387"/>
        <v/>
      </c>
      <c r="M3574" s="66" t="str">
        <f t="shared" si="388"/>
        <v/>
      </c>
      <c r="N3574" s="66" t="str">
        <f t="shared" si="389"/>
        <v/>
      </c>
      <c r="O3574" s="66" t="str">
        <f t="shared" si="390"/>
        <v/>
      </c>
      <c r="P3574" s="66" t="str">
        <f t="shared" si="391"/>
        <v/>
      </c>
    </row>
    <row r="3575" spans="8:16">
      <c r="H3575" s="66" t="e">
        <f>IF(LEFT(A3575,6)="CEPNTR","GPINS",VLOOKUP(LEFT(A3575,6),'Code Library'!$A$3:$B$920,2,0))&amp;"_"&amp;RIGHT(A3575,3)</f>
        <v>#N/A</v>
      </c>
      <c r="I3575" s="66">
        <f t="shared" si="385"/>
        <v>0</v>
      </c>
      <c r="K3575" s="66" t="str">
        <f t="shared" si="386"/>
        <v/>
      </c>
      <c r="L3575" s="66" t="str">
        <f t="shared" si="387"/>
        <v/>
      </c>
      <c r="M3575" s="66" t="str">
        <f t="shared" si="388"/>
        <v/>
      </c>
      <c r="N3575" s="66" t="str">
        <f t="shared" si="389"/>
        <v/>
      </c>
      <c r="O3575" s="66" t="str">
        <f t="shared" si="390"/>
        <v/>
      </c>
      <c r="P3575" s="66" t="str">
        <f t="shared" si="391"/>
        <v/>
      </c>
    </row>
    <row r="3576" spans="8:16">
      <c r="H3576" s="66" t="e">
        <f>IF(LEFT(A3576,6)="CEPNTR","GPINS",VLOOKUP(LEFT(A3576,6),'Code Library'!$A$3:$B$920,2,0))&amp;"_"&amp;RIGHT(A3576,3)</f>
        <v>#N/A</v>
      </c>
      <c r="I3576" s="66">
        <f t="shared" si="385"/>
        <v>0</v>
      </c>
      <c r="K3576" s="66" t="str">
        <f t="shared" si="386"/>
        <v/>
      </c>
      <c r="L3576" s="66" t="str">
        <f t="shared" si="387"/>
        <v/>
      </c>
      <c r="M3576" s="66" t="str">
        <f t="shared" si="388"/>
        <v/>
      </c>
      <c r="N3576" s="66" t="str">
        <f t="shared" si="389"/>
        <v/>
      </c>
      <c r="O3576" s="66" t="str">
        <f t="shared" si="390"/>
        <v/>
      </c>
      <c r="P3576" s="66" t="str">
        <f t="shared" si="391"/>
        <v/>
      </c>
    </row>
    <row r="3577" spans="8:16">
      <c r="H3577" s="66" t="e">
        <f>IF(LEFT(A3577,6)="CEPNTR","GPINS",VLOOKUP(LEFT(A3577,6),'Code Library'!$A$3:$B$920,2,0))&amp;"_"&amp;RIGHT(A3577,3)</f>
        <v>#N/A</v>
      </c>
      <c r="I3577" s="66">
        <f t="shared" si="385"/>
        <v>0</v>
      </c>
      <c r="K3577" s="66" t="str">
        <f t="shared" si="386"/>
        <v/>
      </c>
      <c r="L3577" s="66" t="str">
        <f t="shared" si="387"/>
        <v/>
      </c>
      <c r="M3577" s="66" t="str">
        <f t="shared" si="388"/>
        <v/>
      </c>
      <c r="N3577" s="66" t="str">
        <f t="shared" si="389"/>
        <v/>
      </c>
      <c r="O3577" s="66" t="str">
        <f t="shared" si="390"/>
        <v/>
      </c>
      <c r="P3577" s="66" t="str">
        <f t="shared" si="391"/>
        <v/>
      </c>
    </row>
    <row r="3578" spans="8:16">
      <c r="H3578" s="66" t="e">
        <f>IF(LEFT(A3578,6)="CEPNTR","GPINS",VLOOKUP(LEFT(A3578,6),'Code Library'!$A$3:$B$920,2,0))&amp;"_"&amp;RIGHT(A3578,3)</f>
        <v>#N/A</v>
      </c>
      <c r="I3578" s="66">
        <f t="shared" si="385"/>
        <v>0</v>
      </c>
      <c r="K3578" s="66" t="str">
        <f t="shared" si="386"/>
        <v/>
      </c>
      <c r="L3578" s="66" t="str">
        <f t="shared" si="387"/>
        <v/>
      </c>
      <c r="M3578" s="66" t="str">
        <f t="shared" si="388"/>
        <v/>
      </c>
      <c r="N3578" s="66" t="str">
        <f t="shared" si="389"/>
        <v/>
      </c>
      <c r="O3578" s="66" t="str">
        <f t="shared" si="390"/>
        <v/>
      </c>
      <c r="P3578" s="66" t="str">
        <f t="shared" si="391"/>
        <v/>
      </c>
    </row>
    <row r="3579" spans="8:16">
      <c r="H3579" s="66" t="e">
        <f>IF(LEFT(A3579,6)="CEPNTR","GPINS",VLOOKUP(LEFT(A3579,6),'Code Library'!$A$3:$B$920,2,0))&amp;"_"&amp;RIGHT(A3579,3)</f>
        <v>#N/A</v>
      </c>
      <c r="I3579" s="66">
        <f t="shared" si="385"/>
        <v>0</v>
      </c>
      <c r="K3579" s="66" t="str">
        <f t="shared" si="386"/>
        <v/>
      </c>
      <c r="L3579" s="66" t="str">
        <f t="shared" si="387"/>
        <v/>
      </c>
      <c r="M3579" s="66" t="str">
        <f t="shared" si="388"/>
        <v/>
      </c>
      <c r="N3579" s="66" t="str">
        <f t="shared" si="389"/>
        <v/>
      </c>
      <c r="O3579" s="66" t="str">
        <f t="shared" si="390"/>
        <v/>
      </c>
      <c r="P3579" s="66" t="str">
        <f t="shared" si="391"/>
        <v/>
      </c>
    </row>
    <row r="3580" spans="8:16">
      <c r="H3580" s="66" t="e">
        <f>IF(LEFT(A3580,6)="CEPNTR","GPINS",VLOOKUP(LEFT(A3580,6),'Code Library'!$A$3:$B$920,2,0))&amp;"_"&amp;RIGHT(A3580,3)</f>
        <v>#N/A</v>
      </c>
      <c r="I3580" s="66">
        <f t="shared" si="385"/>
        <v>0</v>
      </c>
      <c r="K3580" s="66" t="str">
        <f t="shared" si="386"/>
        <v/>
      </c>
      <c r="L3580" s="66" t="str">
        <f t="shared" si="387"/>
        <v/>
      </c>
      <c r="M3580" s="66" t="str">
        <f t="shared" si="388"/>
        <v/>
      </c>
      <c r="N3580" s="66" t="str">
        <f t="shared" si="389"/>
        <v/>
      </c>
      <c r="O3580" s="66" t="str">
        <f t="shared" si="390"/>
        <v/>
      </c>
      <c r="P3580" s="66" t="str">
        <f t="shared" si="391"/>
        <v/>
      </c>
    </row>
    <row r="3581" spans="8:16">
      <c r="H3581" s="66" t="e">
        <f>IF(LEFT(A3581,6)="CEPNTR","GPINS",VLOOKUP(LEFT(A3581,6),'Code Library'!$A$3:$B$920,2,0))&amp;"_"&amp;RIGHT(A3581,3)</f>
        <v>#N/A</v>
      </c>
      <c r="I3581" s="66">
        <f t="shared" si="385"/>
        <v>0</v>
      </c>
      <c r="K3581" s="66" t="str">
        <f t="shared" si="386"/>
        <v/>
      </c>
      <c r="L3581" s="66" t="str">
        <f t="shared" si="387"/>
        <v/>
      </c>
      <c r="M3581" s="66" t="str">
        <f t="shared" si="388"/>
        <v/>
      </c>
      <c r="N3581" s="66" t="str">
        <f t="shared" si="389"/>
        <v/>
      </c>
      <c r="O3581" s="66" t="str">
        <f t="shared" si="390"/>
        <v/>
      </c>
      <c r="P3581" s="66" t="str">
        <f t="shared" si="391"/>
        <v/>
      </c>
    </row>
    <row r="3582" spans="8:16">
      <c r="H3582" s="66" t="e">
        <f>IF(LEFT(A3582,6)="CEPNTR","GPINS",VLOOKUP(LEFT(A3582,6),'Code Library'!$A$3:$B$920,2,0))&amp;"_"&amp;RIGHT(A3582,3)</f>
        <v>#N/A</v>
      </c>
      <c r="I3582" s="66">
        <f t="shared" si="385"/>
        <v>0</v>
      </c>
      <c r="K3582" s="66" t="str">
        <f t="shared" si="386"/>
        <v/>
      </c>
      <c r="L3582" s="66" t="str">
        <f t="shared" si="387"/>
        <v/>
      </c>
      <c r="M3582" s="66" t="str">
        <f t="shared" si="388"/>
        <v/>
      </c>
      <c r="N3582" s="66" t="str">
        <f t="shared" si="389"/>
        <v/>
      </c>
      <c r="O3582" s="66" t="str">
        <f t="shared" si="390"/>
        <v/>
      </c>
      <c r="P3582" s="66" t="str">
        <f t="shared" si="391"/>
        <v/>
      </c>
    </row>
    <row r="3583" spans="8:16">
      <c r="H3583" s="66" t="e">
        <f>IF(LEFT(A3583,6)="CEPNTR","GPINS",VLOOKUP(LEFT(A3583,6),'Code Library'!$A$3:$B$920,2,0))&amp;"_"&amp;RIGHT(A3583,3)</f>
        <v>#N/A</v>
      </c>
      <c r="I3583" s="66">
        <f t="shared" si="385"/>
        <v>0</v>
      </c>
      <c r="K3583" s="66" t="str">
        <f t="shared" si="386"/>
        <v/>
      </c>
      <c r="L3583" s="66" t="str">
        <f t="shared" si="387"/>
        <v/>
      </c>
      <c r="M3583" s="66" t="str">
        <f t="shared" si="388"/>
        <v/>
      </c>
      <c r="N3583" s="66" t="str">
        <f t="shared" si="389"/>
        <v/>
      </c>
      <c r="O3583" s="66" t="str">
        <f t="shared" si="390"/>
        <v/>
      </c>
      <c r="P3583" s="66" t="str">
        <f t="shared" si="391"/>
        <v/>
      </c>
    </row>
    <row r="3584" spans="8:16">
      <c r="H3584" s="66" t="e">
        <f>IF(LEFT(A3584,6)="CEPNTR","GPINS",VLOOKUP(LEFT(A3584,6),'Code Library'!$A$3:$B$920,2,0))&amp;"_"&amp;RIGHT(A3584,3)</f>
        <v>#N/A</v>
      </c>
      <c r="I3584" s="66">
        <f t="shared" si="385"/>
        <v>0</v>
      </c>
      <c r="K3584" s="66" t="str">
        <f t="shared" si="386"/>
        <v/>
      </c>
      <c r="L3584" s="66" t="str">
        <f t="shared" si="387"/>
        <v/>
      </c>
      <c r="M3584" s="66" t="str">
        <f t="shared" si="388"/>
        <v/>
      </c>
      <c r="N3584" s="66" t="str">
        <f t="shared" si="389"/>
        <v/>
      </c>
      <c r="O3584" s="66" t="str">
        <f t="shared" si="390"/>
        <v/>
      </c>
      <c r="P3584" s="66" t="str">
        <f t="shared" si="391"/>
        <v/>
      </c>
    </row>
    <row r="3585" spans="8:16">
      <c r="H3585" s="66" t="e">
        <f>IF(LEFT(A3585,6)="CEPNTR","GPINS",VLOOKUP(LEFT(A3585,6),'Code Library'!$A$3:$B$920,2,0))&amp;"_"&amp;RIGHT(A3585,3)</f>
        <v>#N/A</v>
      </c>
      <c r="I3585" s="66">
        <f t="shared" si="385"/>
        <v>0</v>
      </c>
      <c r="K3585" s="66" t="str">
        <f t="shared" si="386"/>
        <v/>
      </c>
      <c r="L3585" s="66" t="str">
        <f t="shared" si="387"/>
        <v/>
      </c>
      <c r="M3585" s="66" t="str">
        <f t="shared" si="388"/>
        <v/>
      </c>
      <c r="N3585" s="66" t="str">
        <f t="shared" si="389"/>
        <v/>
      </c>
      <c r="O3585" s="66" t="str">
        <f t="shared" si="390"/>
        <v/>
      </c>
      <c r="P3585" s="66" t="str">
        <f t="shared" si="391"/>
        <v/>
      </c>
    </row>
    <row r="3586" spans="8:16">
      <c r="H3586" s="66" t="e">
        <f>IF(LEFT(A3586,6)="CEPNTR","GPINS",VLOOKUP(LEFT(A3586,6),'Code Library'!$A$3:$B$920,2,0))&amp;"_"&amp;RIGHT(A3586,3)</f>
        <v>#N/A</v>
      </c>
      <c r="I3586" s="66">
        <f t="shared" si="385"/>
        <v>0</v>
      </c>
      <c r="K3586" s="66" t="str">
        <f t="shared" si="386"/>
        <v/>
      </c>
      <c r="L3586" s="66" t="str">
        <f t="shared" si="387"/>
        <v/>
      </c>
      <c r="M3586" s="66" t="str">
        <f t="shared" si="388"/>
        <v/>
      </c>
      <c r="N3586" s="66" t="str">
        <f t="shared" si="389"/>
        <v/>
      </c>
      <c r="O3586" s="66" t="str">
        <f t="shared" si="390"/>
        <v/>
      </c>
      <c r="P3586" s="66" t="str">
        <f t="shared" si="391"/>
        <v/>
      </c>
    </row>
    <row r="3587" spans="8:16">
      <c r="H3587" s="66" t="e">
        <f>IF(LEFT(A3587,6)="CEPNTR","GPINS",VLOOKUP(LEFT(A3587,6),'Code Library'!$A$3:$B$920,2,0))&amp;"_"&amp;RIGHT(A3587,3)</f>
        <v>#N/A</v>
      </c>
      <c r="I3587" s="66">
        <f t="shared" ref="I3587:I3650" si="392">A3587</f>
        <v>0</v>
      </c>
      <c r="K3587" s="66" t="str">
        <f t="shared" ref="K3587:K3650" si="393">RIGHT($B3587,2)</f>
        <v/>
      </c>
      <c r="L3587" s="66" t="str">
        <f t="shared" ref="L3587:L3650" si="394">LEFT(RIGHT($B3587,7),4)</f>
        <v/>
      </c>
      <c r="M3587" s="66" t="str">
        <f t="shared" ref="M3587:M3650" si="395">LEFT(RIGHT($B3587,10),2)</f>
        <v/>
      </c>
      <c r="N3587" s="66" t="str">
        <f t="shared" ref="N3587:N3650" si="396">LEFT(RIGHT($B3587,14),3)</f>
        <v/>
      </c>
      <c r="O3587" s="66" t="str">
        <f t="shared" ref="O3587:O3650" si="397">LEFT(RIGHT($B3587,16),1)</f>
        <v/>
      </c>
      <c r="P3587" s="66" t="str">
        <f t="shared" ref="P3587:P3650" si="398">LEFT(RIGHT($B3587,19),2)</f>
        <v/>
      </c>
    </row>
    <row r="3588" spans="8:16">
      <c r="H3588" s="66" t="e">
        <f>IF(LEFT(A3588,6)="CEPNTR","GPINS",VLOOKUP(LEFT(A3588,6),'Code Library'!$A$3:$B$920,2,0))&amp;"_"&amp;RIGHT(A3588,3)</f>
        <v>#N/A</v>
      </c>
      <c r="I3588" s="66">
        <f t="shared" si="392"/>
        <v>0</v>
      </c>
      <c r="K3588" s="66" t="str">
        <f t="shared" si="393"/>
        <v/>
      </c>
      <c r="L3588" s="66" t="str">
        <f t="shared" si="394"/>
        <v/>
      </c>
      <c r="M3588" s="66" t="str">
        <f t="shared" si="395"/>
        <v/>
      </c>
      <c r="N3588" s="66" t="str">
        <f t="shared" si="396"/>
        <v/>
      </c>
      <c r="O3588" s="66" t="str">
        <f t="shared" si="397"/>
        <v/>
      </c>
      <c r="P3588" s="66" t="str">
        <f t="shared" si="398"/>
        <v/>
      </c>
    </row>
    <row r="3589" spans="8:16">
      <c r="H3589" s="66" t="e">
        <f>IF(LEFT(A3589,6)="CEPNTR","GPINS",VLOOKUP(LEFT(A3589,6),'Code Library'!$A$3:$B$920,2,0))&amp;"_"&amp;RIGHT(A3589,3)</f>
        <v>#N/A</v>
      </c>
      <c r="I3589" s="66">
        <f t="shared" si="392"/>
        <v>0</v>
      </c>
      <c r="K3589" s="66" t="str">
        <f t="shared" si="393"/>
        <v/>
      </c>
      <c r="L3589" s="66" t="str">
        <f t="shared" si="394"/>
        <v/>
      </c>
      <c r="M3589" s="66" t="str">
        <f t="shared" si="395"/>
        <v/>
      </c>
      <c r="N3589" s="66" t="str">
        <f t="shared" si="396"/>
        <v/>
      </c>
      <c r="O3589" s="66" t="str">
        <f t="shared" si="397"/>
        <v/>
      </c>
      <c r="P3589" s="66" t="str">
        <f t="shared" si="398"/>
        <v/>
      </c>
    </row>
    <row r="3590" spans="8:16">
      <c r="H3590" s="66" t="e">
        <f>IF(LEFT(A3590,6)="CEPNTR","GPINS",VLOOKUP(LEFT(A3590,6),'Code Library'!$A$3:$B$920,2,0))&amp;"_"&amp;RIGHT(A3590,3)</f>
        <v>#N/A</v>
      </c>
      <c r="I3590" s="66">
        <f t="shared" si="392"/>
        <v>0</v>
      </c>
      <c r="K3590" s="66" t="str">
        <f t="shared" si="393"/>
        <v/>
      </c>
      <c r="L3590" s="66" t="str">
        <f t="shared" si="394"/>
        <v/>
      </c>
      <c r="M3590" s="66" t="str">
        <f t="shared" si="395"/>
        <v/>
      </c>
      <c r="N3590" s="66" t="str">
        <f t="shared" si="396"/>
        <v/>
      </c>
      <c r="O3590" s="66" t="str">
        <f t="shared" si="397"/>
        <v/>
      </c>
      <c r="P3590" s="66" t="str">
        <f t="shared" si="398"/>
        <v/>
      </c>
    </row>
    <row r="3591" spans="8:16">
      <c r="H3591" s="66" t="e">
        <f>IF(LEFT(A3591,6)="CEPNTR","GPINS",VLOOKUP(LEFT(A3591,6),'Code Library'!$A$3:$B$920,2,0))&amp;"_"&amp;RIGHT(A3591,3)</f>
        <v>#N/A</v>
      </c>
      <c r="I3591" s="66">
        <f t="shared" si="392"/>
        <v>0</v>
      </c>
      <c r="K3591" s="66" t="str">
        <f t="shared" si="393"/>
        <v/>
      </c>
      <c r="L3591" s="66" t="str">
        <f t="shared" si="394"/>
        <v/>
      </c>
      <c r="M3591" s="66" t="str">
        <f t="shared" si="395"/>
        <v/>
      </c>
      <c r="N3591" s="66" t="str">
        <f t="shared" si="396"/>
        <v/>
      </c>
      <c r="O3591" s="66" t="str">
        <f t="shared" si="397"/>
        <v/>
      </c>
      <c r="P3591" s="66" t="str">
        <f t="shared" si="398"/>
        <v/>
      </c>
    </row>
    <row r="3592" spans="8:16">
      <c r="H3592" s="66" t="e">
        <f>IF(LEFT(A3592,6)="CEPNTR","GPINS",VLOOKUP(LEFT(A3592,6),'Code Library'!$A$3:$B$920,2,0))&amp;"_"&amp;RIGHT(A3592,3)</f>
        <v>#N/A</v>
      </c>
      <c r="I3592" s="66">
        <f t="shared" si="392"/>
        <v>0</v>
      </c>
      <c r="K3592" s="66" t="str">
        <f t="shared" si="393"/>
        <v/>
      </c>
      <c r="L3592" s="66" t="str">
        <f t="shared" si="394"/>
        <v/>
      </c>
      <c r="M3592" s="66" t="str">
        <f t="shared" si="395"/>
        <v/>
      </c>
      <c r="N3592" s="66" t="str">
        <f t="shared" si="396"/>
        <v/>
      </c>
      <c r="O3592" s="66" t="str">
        <f t="shared" si="397"/>
        <v/>
      </c>
      <c r="P3592" s="66" t="str">
        <f t="shared" si="398"/>
        <v/>
      </c>
    </row>
    <row r="3593" spans="8:16">
      <c r="H3593" s="66" t="e">
        <f>IF(LEFT(A3593,6)="CEPNTR","GPINS",VLOOKUP(LEFT(A3593,6),'Code Library'!$A$3:$B$920,2,0))&amp;"_"&amp;RIGHT(A3593,3)</f>
        <v>#N/A</v>
      </c>
      <c r="I3593" s="66">
        <f t="shared" si="392"/>
        <v>0</v>
      </c>
      <c r="K3593" s="66" t="str">
        <f t="shared" si="393"/>
        <v/>
      </c>
      <c r="L3593" s="66" t="str">
        <f t="shared" si="394"/>
        <v/>
      </c>
      <c r="M3593" s="66" t="str">
        <f t="shared" si="395"/>
        <v/>
      </c>
      <c r="N3593" s="66" t="str">
        <f t="shared" si="396"/>
        <v/>
      </c>
      <c r="O3593" s="66" t="str">
        <f t="shared" si="397"/>
        <v/>
      </c>
      <c r="P3593" s="66" t="str">
        <f t="shared" si="398"/>
        <v/>
      </c>
    </row>
    <row r="3594" spans="8:16">
      <c r="H3594" s="66" t="e">
        <f>IF(LEFT(A3594,6)="CEPNTR","GPINS",VLOOKUP(LEFT(A3594,6),'Code Library'!$A$3:$B$920,2,0))&amp;"_"&amp;RIGHT(A3594,3)</f>
        <v>#N/A</v>
      </c>
      <c r="I3594" s="66">
        <f t="shared" si="392"/>
        <v>0</v>
      </c>
      <c r="K3594" s="66" t="str">
        <f t="shared" si="393"/>
        <v/>
      </c>
      <c r="L3594" s="66" t="str">
        <f t="shared" si="394"/>
        <v/>
      </c>
      <c r="M3594" s="66" t="str">
        <f t="shared" si="395"/>
        <v/>
      </c>
      <c r="N3594" s="66" t="str">
        <f t="shared" si="396"/>
        <v/>
      </c>
      <c r="O3594" s="66" t="str">
        <f t="shared" si="397"/>
        <v/>
      </c>
      <c r="P3594" s="66" t="str">
        <f t="shared" si="398"/>
        <v/>
      </c>
    </row>
    <row r="3595" spans="8:16">
      <c r="H3595" s="66" t="e">
        <f>IF(LEFT(A3595,6)="CEPNTR","GPINS",VLOOKUP(LEFT(A3595,6),'Code Library'!$A$3:$B$920,2,0))&amp;"_"&amp;RIGHT(A3595,3)</f>
        <v>#N/A</v>
      </c>
      <c r="I3595" s="66">
        <f t="shared" si="392"/>
        <v>0</v>
      </c>
      <c r="K3595" s="66" t="str">
        <f t="shared" si="393"/>
        <v/>
      </c>
      <c r="L3595" s="66" t="str">
        <f t="shared" si="394"/>
        <v/>
      </c>
      <c r="M3595" s="66" t="str">
        <f t="shared" si="395"/>
        <v/>
      </c>
      <c r="N3595" s="66" t="str">
        <f t="shared" si="396"/>
        <v/>
      </c>
      <c r="O3595" s="66" t="str">
        <f t="shared" si="397"/>
        <v/>
      </c>
      <c r="P3595" s="66" t="str">
        <f t="shared" si="398"/>
        <v/>
      </c>
    </row>
    <row r="3596" spans="8:16">
      <c r="H3596" s="66" t="e">
        <f>IF(LEFT(A3596,6)="CEPNTR","GPINS",VLOOKUP(LEFT(A3596,6),'Code Library'!$A$3:$B$920,2,0))&amp;"_"&amp;RIGHT(A3596,3)</f>
        <v>#N/A</v>
      </c>
      <c r="I3596" s="66">
        <f t="shared" si="392"/>
        <v>0</v>
      </c>
      <c r="K3596" s="66" t="str">
        <f t="shared" si="393"/>
        <v/>
      </c>
      <c r="L3596" s="66" t="str">
        <f t="shared" si="394"/>
        <v/>
      </c>
      <c r="M3596" s="66" t="str">
        <f t="shared" si="395"/>
        <v/>
      </c>
      <c r="N3596" s="66" t="str">
        <f t="shared" si="396"/>
        <v/>
      </c>
      <c r="O3596" s="66" t="str">
        <f t="shared" si="397"/>
        <v/>
      </c>
      <c r="P3596" s="66" t="str">
        <f t="shared" si="398"/>
        <v/>
      </c>
    </row>
    <row r="3597" spans="8:16">
      <c r="H3597" s="66" t="e">
        <f>IF(LEFT(A3597,6)="CEPNTR","GPINS",VLOOKUP(LEFT(A3597,6),'Code Library'!$A$3:$B$920,2,0))&amp;"_"&amp;RIGHT(A3597,3)</f>
        <v>#N/A</v>
      </c>
      <c r="I3597" s="66">
        <f t="shared" si="392"/>
        <v>0</v>
      </c>
      <c r="K3597" s="66" t="str">
        <f t="shared" si="393"/>
        <v/>
      </c>
      <c r="L3597" s="66" t="str">
        <f t="shared" si="394"/>
        <v/>
      </c>
      <c r="M3597" s="66" t="str">
        <f t="shared" si="395"/>
        <v/>
      </c>
      <c r="N3597" s="66" t="str">
        <f t="shared" si="396"/>
        <v/>
      </c>
      <c r="O3597" s="66" t="str">
        <f t="shared" si="397"/>
        <v/>
      </c>
      <c r="P3597" s="66" t="str">
        <f t="shared" si="398"/>
        <v/>
      </c>
    </row>
    <row r="3598" spans="8:16">
      <c r="H3598" s="66" t="e">
        <f>IF(LEFT(A3598,6)="CEPNTR","GPINS",VLOOKUP(LEFT(A3598,6),'Code Library'!$A$3:$B$920,2,0))&amp;"_"&amp;RIGHT(A3598,3)</f>
        <v>#N/A</v>
      </c>
      <c r="I3598" s="66">
        <f t="shared" si="392"/>
        <v>0</v>
      </c>
      <c r="K3598" s="66" t="str">
        <f t="shared" si="393"/>
        <v/>
      </c>
      <c r="L3598" s="66" t="str">
        <f t="shared" si="394"/>
        <v/>
      </c>
      <c r="M3598" s="66" t="str">
        <f t="shared" si="395"/>
        <v/>
      </c>
      <c r="N3598" s="66" t="str">
        <f t="shared" si="396"/>
        <v/>
      </c>
      <c r="O3598" s="66" t="str">
        <f t="shared" si="397"/>
        <v/>
      </c>
      <c r="P3598" s="66" t="str">
        <f t="shared" si="398"/>
        <v/>
      </c>
    </row>
    <row r="3599" spans="8:16">
      <c r="H3599" s="66" t="e">
        <f>IF(LEFT(A3599,6)="CEPNTR","GPINS",VLOOKUP(LEFT(A3599,6),'Code Library'!$A$3:$B$920,2,0))&amp;"_"&amp;RIGHT(A3599,3)</f>
        <v>#N/A</v>
      </c>
      <c r="I3599" s="66">
        <f t="shared" si="392"/>
        <v>0</v>
      </c>
      <c r="K3599" s="66" t="str">
        <f t="shared" si="393"/>
        <v/>
      </c>
      <c r="L3599" s="66" t="str">
        <f t="shared" si="394"/>
        <v/>
      </c>
      <c r="M3599" s="66" t="str">
        <f t="shared" si="395"/>
        <v/>
      </c>
      <c r="N3599" s="66" t="str">
        <f t="shared" si="396"/>
        <v/>
      </c>
      <c r="O3599" s="66" t="str">
        <f t="shared" si="397"/>
        <v/>
      </c>
      <c r="P3599" s="66" t="str">
        <f t="shared" si="398"/>
        <v/>
      </c>
    </row>
    <row r="3600" spans="8:16">
      <c r="H3600" s="66" t="e">
        <f>IF(LEFT(A3600,6)="CEPNTR","GPINS",VLOOKUP(LEFT(A3600,6),'Code Library'!$A$3:$B$920,2,0))&amp;"_"&amp;RIGHT(A3600,3)</f>
        <v>#N/A</v>
      </c>
      <c r="I3600" s="66">
        <f t="shared" si="392"/>
        <v>0</v>
      </c>
      <c r="K3600" s="66" t="str">
        <f t="shared" si="393"/>
        <v/>
      </c>
      <c r="L3600" s="66" t="str">
        <f t="shared" si="394"/>
        <v/>
      </c>
      <c r="M3600" s="66" t="str">
        <f t="shared" si="395"/>
        <v/>
      </c>
      <c r="N3600" s="66" t="str">
        <f t="shared" si="396"/>
        <v/>
      </c>
      <c r="O3600" s="66" t="str">
        <f t="shared" si="397"/>
        <v/>
      </c>
      <c r="P3600" s="66" t="str">
        <f t="shared" si="398"/>
        <v/>
      </c>
    </row>
    <row r="3601" spans="8:16">
      <c r="H3601" s="66" t="e">
        <f>IF(LEFT(A3601,6)="CEPNTR","GPINS",VLOOKUP(LEFT(A3601,6),'Code Library'!$A$3:$B$920,2,0))&amp;"_"&amp;RIGHT(A3601,3)</f>
        <v>#N/A</v>
      </c>
      <c r="I3601" s="66">
        <f t="shared" si="392"/>
        <v>0</v>
      </c>
      <c r="K3601" s="66" t="str">
        <f t="shared" si="393"/>
        <v/>
      </c>
      <c r="L3601" s="66" t="str">
        <f t="shared" si="394"/>
        <v/>
      </c>
      <c r="M3601" s="66" t="str">
        <f t="shared" si="395"/>
        <v/>
      </c>
      <c r="N3601" s="66" t="str">
        <f t="shared" si="396"/>
        <v/>
      </c>
      <c r="O3601" s="66" t="str">
        <f t="shared" si="397"/>
        <v/>
      </c>
      <c r="P3601" s="66" t="str">
        <f t="shared" si="398"/>
        <v/>
      </c>
    </row>
    <row r="3602" spans="8:16">
      <c r="H3602" s="66" t="e">
        <f>IF(LEFT(A3602,6)="CEPNTR","GPINS",VLOOKUP(LEFT(A3602,6),'Code Library'!$A$3:$B$920,2,0))&amp;"_"&amp;RIGHT(A3602,3)</f>
        <v>#N/A</v>
      </c>
      <c r="I3602" s="66">
        <f t="shared" si="392"/>
        <v>0</v>
      </c>
      <c r="K3602" s="66" t="str">
        <f t="shared" si="393"/>
        <v/>
      </c>
      <c r="L3602" s="66" t="str">
        <f t="shared" si="394"/>
        <v/>
      </c>
      <c r="M3602" s="66" t="str">
        <f t="shared" si="395"/>
        <v/>
      </c>
      <c r="N3602" s="66" t="str">
        <f t="shared" si="396"/>
        <v/>
      </c>
      <c r="O3602" s="66" t="str">
        <f t="shared" si="397"/>
        <v/>
      </c>
      <c r="P3602" s="66" t="str">
        <f t="shared" si="398"/>
        <v/>
      </c>
    </row>
    <row r="3603" spans="8:16">
      <c r="H3603" s="66" t="e">
        <f>IF(LEFT(A3603,6)="CEPNTR","GPINS",VLOOKUP(LEFT(A3603,6),'Code Library'!$A$3:$B$920,2,0))&amp;"_"&amp;RIGHT(A3603,3)</f>
        <v>#N/A</v>
      </c>
      <c r="I3603" s="66">
        <f t="shared" si="392"/>
        <v>0</v>
      </c>
      <c r="K3603" s="66" t="str">
        <f t="shared" si="393"/>
        <v/>
      </c>
      <c r="L3603" s="66" t="str">
        <f t="shared" si="394"/>
        <v/>
      </c>
      <c r="M3603" s="66" t="str">
        <f t="shared" si="395"/>
        <v/>
      </c>
      <c r="N3603" s="66" t="str">
        <f t="shared" si="396"/>
        <v/>
      </c>
      <c r="O3603" s="66" t="str">
        <f t="shared" si="397"/>
        <v/>
      </c>
      <c r="P3603" s="66" t="str">
        <f t="shared" si="398"/>
        <v/>
      </c>
    </row>
    <row r="3604" spans="8:16">
      <c r="H3604" s="66" t="e">
        <f>IF(LEFT(A3604,6)="CEPNTR","GPINS",VLOOKUP(LEFT(A3604,6),'Code Library'!$A$3:$B$920,2,0))&amp;"_"&amp;RIGHT(A3604,3)</f>
        <v>#N/A</v>
      </c>
      <c r="I3604" s="66">
        <f t="shared" si="392"/>
        <v>0</v>
      </c>
      <c r="K3604" s="66" t="str">
        <f t="shared" si="393"/>
        <v/>
      </c>
      <c r="L3604" s="66" t="str">
        <f t="shared" si="394"/>
        <v/>
      </c>
      <c r="M3604" s="66" t="str">
        <f t="shared" si="395"/>
        <v/>
      </c>
      <c r="N3604" s="66" t="str">
        <f t="shared" si="396"/>
        <v/>
      </c>
      <c r="O3604" s="66" t="str">
        <f t="shared" si="397"/>
        <v/>
      </c>
      <c r="P3604" s="66" t="str">
        <f t="shared" si="398"/>
        <v/>
      </c>
    </row>
    <row r="3605" spans="8:16">
      <c r="H3605" s="66" t="e">
        <f>IF(LEFT(A3605,6)="CEPNTR","GPINS",VLOOKUP(LEFT(A3605,6),'Code Library'!$A$3:$B$920,2,0))&amp;"_"&amp;RIGHT(A3605,3)</f>
        <v>#N/A</v>
      </c>
      <c r="I3605" s="66">
        <f t="shared" si="392"/>
        <v>0</v>
      </c>
      <c r="K3605" s="66" t="str">
        <f t="shared" si="393"/>
        <v/>
      </c>
      <c r="L3605" s="66" t="str">
        <f t="shared" si="394"/>
        <v/>
      </c>
      <c r="M3605" s="66" t="str">
        <f t="shared" si="395"/>
        <v/>
      </c>
      <c r="N3605" s="66" t="str">
        <f t="shared" si="396"/>
        <v/>
      </c>
      <c r="O3605" s="66" t="str">
        <f t="shared" si="397"/>
        <v/>
      </c>
      <c r="P3605" s="66" t="str">
        <f t="shared" si="398"/>
        <v/>
      </c>
    </row>
    <row r="3606" spans="8:16">
      <c r="H3606" s="66" t="e">
        <f>IF(LEFT(A3606,6)="CEPNTR","GPINS",VLOOKUP(LEFT(A3606,6),'Code Library'!$A$3:$B$920,2,0))&amp;"_"&amp;RIGHT(A3606,3)</f>
        <v>#N/A</v>
      </c>
      <c r="I3606" s="66">
        <f t="shared" si="392"/>
        <v>0</v>
      </c>
      <c r="K3606" s="66" t="str">
        <f t="shared" si="393"/>
        <v/>
      </c>
      <c r="L3606" s="66" t="str">
        <f t="shared" si="394"/>
        <v/>
      </c>
      <c r="M3606" s="66" t="str">
        <f t="shared" si="395"/>
        <v/>
      </c>
      <c r="N3606" s="66" t="str">
        <f t="shared" si="396"/>
        <v/>
      </c>
      <c r="O3606" s="66" t="str">
        <f t="shared" si="397"/>
        <v/>
      </c>
      <c r="P3606" s="66" t="str">
        <f t="shared" si="398"/>
        <v/>
      </c>
    </row>
    <row r="3607" spans="8:16">
      <c r="H3607" s="66" t="e">
        <f>IF(LEFT(A3607,6)="CEPNTR","GPINS",VLOOKUP(LEFT(A3607,6),'Code Library'!$A$3:$B$920,2,0))&amp;"_"&amp;RIGHT(A3607,3)</f>
        <v>#N/A</v>
      </c>
      <c r="I3607" s="66">
        <f t="shared" si="392"/>
        <v>0</v>
      </c>
      <c r="K3607" s="66" t="str">
        <f t="shared" si="393"/>
        <v/>
      </c>
      <c r="L3607" s="66" t="str">
        <f t="shared" si="394"/>
        <v/>
      </c>
      <c r="M3607" s="66" t="str">
        <f t="shared" si="395"/>
        <v/>
      </c>
      <c r="N3607" s="66" t="str">
        <f t="shared" si="396"/>
        <v/>
      </c>
      <c r="O3607" s="66" t="str">
        <f t="shared" si="397"/>
        <v/>
      </c>
      <c r="P3607" s="66" t="str">
        <f t="shared" si="398"/>
        <v/>
      </c>
    </row>
    <row r="3608" spans="8:16">
      <c r="H3608" s="66" t="e">
        <f>IF(LEFT(A3608,6)="CEPNTR","GPINS",VLOOKUP(LEFT(A3608,6),'Code Library'!$A$3:$B$920,2,0))&amp;"_"&amp;RIGHT(A3608,3)</f>
        <v>#N/A</v>
      </c>
      <c r="I3608" s="66">
        <f t="shared" si="392"/>
        <v>0</v>
      </c>
      <c r="K3608" s="66" t="str">
        <f t="shared" si="393"/>
        <v/>
      </c>
      <c r="L3608" s="66" t="str">
        <f t="shared" si="394"/>
        <v/>
      </c>
      <c r="M3608" s="66" t="str">
        <f t="shared" si="395"/>
        <v/>
      </c>
      <c r="N3608" s="66" t="str">
        <f t="shared" si="396"/>
        <v/>
      </c>
      <c r="O3608" s="66" t="str">
        <f t="shared" si="397"/>
        <v/>
      </c>
      <c r="P3608" s="66" t="str">
        <f t="shared" si="398"/>
        <v/>
      </c>
    </row>
    <row r="3609" spans="8:16">
      <c r="H3609" s="66" t="e">
        <f>IF(LEFT(A3609,6)="CEPNTR","GPINS",VLOOKUP(LEFT(A3609,6),'Code Library'!$A$3:$B$920,2,0))&amp;"_"&amp;RIGHT(A3609,3)</f>
        <v>#N/A</v>
      </c>
      <c r="I3609" s="66">
        <f t="shared" si="392"/>
        <v>0</v>
      </c>
      <c r="K3609" s="66" t="str">
        <f t="shared" si="393"/>
        <v/>
      </c>
      <c r="L3609" s="66" t="str">
        <f t="shared" si="394"/>
        <v/>
      </c>
      <c r="M3609" s="66" t="str">
        <f t="shared" si="395"/>
        <v/>
      </c>
      <c r="N3609" s="66" t="str">
        <f t="shared" si="396"/>
        <v/>
      </c>
      <c r="O3609" s="66" t="str">
        <f t="shared" si="397"/>
        <v/>
      </c>
      <c r="P3609" s="66" t="str">
        <f t="shared" si="398"/>
        <v/>
      </c>
    </row>
    <row r="3610" spans="8:16">
      <c r="H3610" s="66" t="e">
        <f>IF(LEFT(A3610,6)="CEPNTR","GPINS",VLOOKUP(LEFT(A3610,6),'Code Library'!$A$3:$B$920,2,0))&amp;"_"&amp;RIGHT(A3610,3)</f>
        <v>#N/A</v>
      </c>
      <c r="I3610" s="66">
        <f t="shared" si="392"/>
        <v>0</v>
      </c>
      <c r="K3610" s="66" t="str">
        <f t="shared" si="393"/>
        <v/>
      </c>
      <c r="L3610" s="66" t="str">
        <f t="shared" si="394"/>
        <v/>
      </c>
      <c r="M3610" s="66" t="str">
        <f t="shared" si="395"/>
        <v/>
      </c>
      <c r="N3610" s="66" t="str">
        <f t="shared" si="396"/>
        <v/>
      </c>
      <c r="O3610" s="66" t="str">
        <f t="shared" si="397"/>
        <v/>
      </c>
      <c r="P3610" s="66" t="str">
        <f t="shared" si="398"/>
        <v/>
      </c>
    </row>
    <row r="3611" spans="8:16">
      <c r="H3611" s="66" t="e">
        <f>IF(LEFT(A3611,6)="CEPNTR","GPINS",VLOOKUP(LEFT(A3611,6),'Code Library'!$A$3:$B$920,2,0))&amp;"_"&amp;RIGHT(A3611,3)</f>
        <v>#N/A</v>
      </c>
      <c r="I3611" s="66">
        <f t="shared" si="392"/>
        <v>0</v>
      </c>
      <c r="K3611" s="66" t="str">
        <f t="shared" si="393"/>
        <v/>
      </c>
      <c r="L3611" s="66" t="str">
        <f t="shared" si="394"/>
        <v/>
      </c>
      <c r="M3611" s="66" t="str">
        <f t="shared" si="395"/>
        <v/>
      </c>
      <c r="N3611" s="66" t="str">
        <f t="shared" si="396"/>
        <v/>
      </c>
      <c r="O3611" s="66" t="str">
        <f t="shared" si="397"/>
        <v/>
      </c>
      <c r="P3611" s="66" t="str">
        <f t="shared" si="398"/>
        <v/>
      </c>
    </row>
    <row r="3612" spans="8:16">
      <c r="H3612" s="66" t="e">
        <f>IF(LEFT(A3612,6)="CEPNTR","GPINS",VLOOKUP(LEFT(A3612,6),'Code Library'!$A$3:$B$920,2,0))&amp;"_"&amp;RIGHT(A3612,3)</f>
        <v>#N/A</v>
      </c>
      <c r="I3612" s="66">
        <f t="shared" si="392"/>
        <v>0</v>
      </c>
      <c r="K3612" s="66" t="str">
        <f t="shared" si="393"/>
        <v/>
      </c>
      <c r="L3612" s="66" t="str">
        <f t="shared" si="394"/>
        <v/>
      </c>
      <c r="M3612" s="66" t="str">
        <f t="shared" si="395"/>
        <v/>
      </c>
      <c r="N3612" s="66" t="str">
        <f t="shared" si="396"/>
        <v/>
      </c>
      <c r="O3612" s="66" t="str">
        <f t="shared" si="397"/>
        <v/>
      </c>
      <c r="P3612" s="66" t="str">
        <f t="shared" si="398"/>
        <v/>
      </c>
    </row>
    <row r="3613" spans="8:16">
      <c r="H3613" s="66" t="e">
        <f>IF(LEFT(A3613,6)="CEPNTR","GPINS",VLOOKUP(LEFT(A3613,6),'Code Library'!$A$3:$B$920,2,0))&amp;"_"&amp;RIGHT(A3613,3)</f>
        <v>#N/A</v>
      </c>
      <c r="I3613" s="66">
        <f t="shared" si="392"/>
        <v>0</v>
      </c>
      <c r="K3613" s="66" t="str">
        <f t="shared" si="393"/>
        <v/>
      </c>
      <c r="L3613" s="66" t="str">
        <f t="shared" si="394"/>
        <v/>
      </c>
      <c r="M3613" s="66" t="str">
        <f t="shared" si="395"/>
        <v/>
      </c>
      <c r="N3613" s="66" t="str">
        <f t="shared" si="396"/>
        <v/>
      </c>
      <c r="O3613" s="66" t="str">
        <f t="shared" si="397"/>
        <v/>
      </c>
      <c r="P3613" s="66" t="str">
        <f t="shared" si="398"/>
        <v/>
      </c>
    </row>
    <row r="3614" spans="8:16">
      <c r="H3614" s="66" t="e">
        <f>IF(LEFT(A3614,6)="CEPNTR","GPINS",VLOOKUP(LEFT(A3614,6),'Code Library'!$A$3:$B$920,2,0))&amp;"_"&amp;RIGHT(A3614,3)</f>
        <v>#N/A</v>
      </c>
      <c r="I3614" s="66">
        <f t="shared" si="392"/>
        <v>0</v>
      </c>
      <c r="K3614" s="66" t="str">
        <f t="shared" si="393"/>
        <v/>
      </c>
      <c r="L3614" s="66" t="str">
        <f t="shared" si="394"/>
        <v/>
      </c>
      <c r="M3614" s="66" t="str">
        <f t="shared" si="395"/>
        <v/>
      </c>
      <c r="N3614" s="66" t="str">
        <f t="shared" si="396"/>
        <v/>
      </c>
      <c r="O3614" s="66" t="str">
        <f t="shared" si="397"/>
        <v/>
      </c>
      <c r="P3614" s="66" t="str">
        <f t="shared" si="398"/>
        <v/>
      </c>
    </row>
    <row r="3615" spans="8:16">
      <c r="H3615" s="66" t="e">
        <f>IF(LEFT(A3615,6)="CEPNTR","GPINS",VLOOKUP(LEFT(A3615,6),'Code Library'!$A$3:$B$920,2,0))&amp;"_"&amp;RIGHT(A3615,3)</f>
        <v>#N/A</v>
      </c>
      <c r="I3615" s="66">
        <f t="shared" si="392"/>
        <v>0</v>
      </c>
      <c r="K3615" s="66" t="str">
        <f t="shared" si="393"/>
        <v/>
      </c>
      <c r="L3615" s="66" t="str">
        <f t="shared" si="394"/>
        <v/>
      </c>
      <c r="M3615" s="66" t="str">
        <f t="shared" si="395"/>
        <v/>
      </c>
      <c r="N3615" s="66" t="str">
        <f t="shared" si="396"/>
        <v/>
      </c>
      <c r="O3615" s="66" t="str">
        <f t="shared" si="397"/>
        <v/>
      </c>
      <c r="P3615" s="66" t="str">
        <f t="shared" si="398"/>
        <v/>
      </c>
    </row>
    <row r="3616" spans="8:16">
      <c r="H3616" s="66" t="e">
        <f>IF(LEFT(A3616,6)="CEPNTR","GPINS",VLOOKUP(LEFT(A3616,6),'Code Library'!$A$3:$B$920,2,0))&amp;"_"&amp;RIGHT(A3616,3)</f>
        <v>#N/A</v>
      </c>
      <c r="I3616" s="66">
        <f t="shared" si="392"/>
        <v>0</v>
      </c>
      <c r="K3616" s="66" t="str">
        <f t="shared" si="393"/>
        <v/>
      </c>
      <c r="L3616" s="66" t="str">
        <f t="shared" si="394"/>
        <v/>
      </c>
      <c r="M3616" s="66" t="str">
        <f t="shared" si="395"/>
        <v/>
      </c>
      <c r="N3616" s="66" t="str">
        <f t="shared" si="396"/>
        <v/>
      </c>
      <c r="O3616" s="66" t="str">
        <f t="shared" si="397"/>
        <v/>
      </c>
      <c r="P3616" s="66" t="str">
        <f t="shared" si="398"/>
        <v/>
      </c>
    </row>
    <row r="3617" spans="8:16">
      <c r="H3617" s="66" t="e">
        <f>IF(LEFT(A3617,6)="CEPNTR","GPINS",VLOOKUP(LEFT(A3617,6),'Code Library'!$A$3:$B$920,2,0))&amp;"_"&amp;RIGHT(A3617,3)</f>
        <v>#N/A</v>
      </c>
      <c r="I3617" s="66">
        <f t="shared" si="392"/>
        <v>0</v>
      </c>
      <c r="K3617" s="66" t="str">
        <f t="shared" si="393"/>
        <v/>
      </c>
      <c r="L3617" s="66" t="str">
        <f t="shared" si="394"/>
        <v/>
      </c>
      <c r="M3617" s="66" t="str">
        <f t="shared" si="395"/>
        <v/>
      </c>
      <c r="N3617" s="66" t="str">
        <f t="shared" si="396"/>
        <v/>
      </c>
      <c r="O3617" s="66" t="str">
        <f t="shared" si="397"/>
        <v/>
      </c>
      <c r="P3617" s="66" t="str">
        <f t="shared" si="398"/>
        <v/>
      </c>
    </row>
    <row r="3618" spans="8:16">
      <c r="H3618" s="66" t="e">
        <f>IF(LEFT(A3618,6)="CEPNTR","GPINS",VLOOKUP(LEFT(A3618,6),'Code Library'!$A$3:$B$920,2,0))&amp;"_"&amp;RIGHT(A3618,3)</f>
        <v>#N/A</v>
      </c>
      <c r="I3618" s="66">
        <f t="shared" si="392"/>
        <v>0</v>
      </c>
      <c r="K3618" s="66" t="str">
        <f t="shared" si="393"/>
        <v/>
      </c>
      <c r="L3618" s="66" t="str">
        <f t="shared" si="394"/>
        <v/>
      </c>
      <c r="M3618" s="66" t="str">
        <f t="shared" si="395"/>
        <v/>
      </c>
      <c r="N3618" s="66" t="str">
        <f t="shared" si="396"/>
        <v/>
      </c>
      <c r="O3618" s="66" t="str">
        <f t="shared" si="397"/>
        <v/>
      </c>
      <c r="P3618" s="66" t="str">
        <f t="shared" si="398"/>
        <v/>
      </c>
    </row>
    <row r="3619" spans="8:16">
      <c r="H3619" s="66" t="e">
        <f>IF(LEFT(A3619,6)="CEPNTR","GPINS",VLOOKUP(LEFT(A3619,6),'Code Library'!$A$3:$B$920,2,0))&amp;"_"&amp;RIGHT(A3619,3)</f>
        <v>#N/A</v>
      </c>
      <c r="I3619" s="66">
        <f t="shared" si="392"/>
        <v>0</v>
      </c>
      <c r="K3619" s="66" t="str">
        <f t="shared" si="393"/>
        <v/>
      </c>
      <c r="L3619" s="66" t="str">
        <f t="shared" si="394"/>
        <v/>
      </c>
      <c r="M3619" s="66" t="str">
        <f t="shared" si="395"/>
        <v/>
      </c>
      <c r="N3619" s="66" t="str">
        <f t="shared" si="396"/>
        <v/>
      </c>
      <c r="O3619" s="66" t="str">
        <f t="shared" si="397"/>
        <v/>
      </c>
      <c r="P3619" s="66" t="str">
        <f t="shared" si="398"/>
        <v/>
      </c>
    </row>
    <row r="3620" spans="8:16">
      <c r="H3620" s="66" t="e">
        <f>IF(LEFT(A3620,6)="CEPNTR","GPINS",VLOOKUP(LEFT(A3620,6),'Code Library'!$A$3:$B$920,2,0))&amp;"_"&amp;RIGHT(A3620,3)</f>
        <v>#N/A</v>
      </c>
      <c r="I3620" s="66">
        <f t="shared" si="392"/>
        <v>0</v>
      </c>
      <c r="K3620" s="66" t="str">
        <f t="shared" si="393"/>
        <v/>
      </c>
      <c r="L3620" s="66" t="str">
        <f t="shared" si="394"/>
        <v/>
      </c>
      <c r="M3620" s="66" t="str">
        <f t="shared" si="395"/>
        <v/>
      </c>
      <c r="N3620" s="66" t="str">
        <f t="shared" si="396"/>
        <v/>
      </c>
      <c r="O3620" s="66" t="str">
        <f t="shared" si="397"/>
        <v/>
      </c>
      <c r="P3620" s="66" t="str">
        <f t="shared" si="398"/>
        <v/>
      </c>
    </row>
    <row r="3621" spans="8:16">
      <c r="H3621" s="66" t="e">
        <f>IF(LEFT(A3621,6)="CEPNTR","GPINS",VLOOKUP(LEFT(A3621,6),'Code Library'!$A$3:$B$920,2,0))&amp;"_"&amp;RIGHT(A3621,3)</f>
        <v>#N/A</v>
      </c>
      <c r="I3621" s="66">
        <f t="shared" si="392"/>
        <v>0</v>
      </c>
      <c r="K3621" s="66" t="str">
        <f t="shared" si="393"/>
        <v/>
      </c>
      <c r="L3621" s="66" t="str">
        <f t="shared" si="394"/>
        <v/>
      </c>
      <c r="M3621" s="66" t="str">
        <f t="shared" si="395"/>
        <v/>
      </c>
      <c r="N3621" s="66" t="str">
        <f t="shared" si="396"/>
        <v/>
      </c>
      <c r="O3621" s="66" t="str">
        <f t="shared" si="397"/>
        <v/>
      </c>
      <c r="P3621" s="66" t="str">
        <f t="shared" si="398"/>
        <v/>
      </c>
    </row>
    <row r="3622" spans="8:16">
      <c r="H3622" s="66" t="e">
        <f>IF(LEFT(A3622,6)="CEPNTR","GPINS",VLOOKUP(LEFT(A3622,6),'Code Library'!$A$3:$B$920,2,0))&amp;"_"&amp;RIGHT(A3622,3)</f>
        <v>#N/A</v>
      </c>
      <c r="I3622" s="66">
        <f t="shared" si="392"/>
        <v>0</v>
      </c>
      <c r="K3622" s="66" t="str">
        <f t="shared" si="393"/>
        <v/>
      </c>
      <c r="L3622" s="66" t="str">
        <f t="shared" si="394"/>
        <v/>
      </c>
      <c r="M3622" s="66" t="str">
        <f t="shared" si="395"/>
        <v/>
      </c>
      <c r="N3622" s="66" t="str">
        <f t="shared" si="396"/>
        <v/>
      </c>
      <c r="O3622" s="66" t="str">
        <f t="shared" si="397"/>
        <v/>
      </c>
      <c r="P3622" s="66" t="str">
        <f t="shared" si="398"/>
        <v/>
      </c>
    </row>
    <row r="3623" spans="8:16">
      <c r="H3623" s="66" t="e">
        <f>IF(LEFT(A3623,6)="CEPNTR","GPINS",VLOOKUP(LEFT(A3623,6),'Code Library'!$A$3:$B$920,2,0))&amp;"_"&amp;RIGHT(A3623,3)</f>
        <v>#N/A</v>
      </c>
      <c r="I3623" s="66">
        <f t="shared" si="392"/>
        <v>0</v>
      </c>
      <c r="K3623" s="66" t="str">
        <f t="shared" si="393"/>
        <v/>
      </c>
      <c r="L3623" s="66" t="str">
        <f t="shared" si="394"/>
        <v/>
      </c>
      <c r="M3623" s="66" t="str">
        <f t="shared" si="395"/>
        <v/>
      </c>
      <c r="N3623" s="66" t="str">
        <f t="shared" si="396"/>
        <v/>
      </c>
      <c r="O3623" s="66" t="str">
        <f t="shared" si="397"/>
        <v/>
      </c>
      <c r="P3623" s="66" t="str">
        <f t="shared" si="398"/>
        <v/>
      </c>
    </row>
    <row r="3624" spans="8:16">
      <c r="H3624" s="66" t="e">
        <f>IF(LEFT(A3624,6)="CEPNTR","GPINS",VLOOKUP(LEFT(A3624,6),'Code Library'!$A$3:$B$920,2,0))&amp;"_"&amp;RIGHT(A3624,3)</f>
        <v>#N/A</v>
      </c>
      <c r="I3624" s="66">
        <f t="shared" si="392"/>
        <v>0</v>
      </c>
      <c r="K3624" s="66" t="str">
        <f t="shared" si="393"/>
        <v/>
      </c>
      <c r="L3624" s="66" t="str">
        <f t="shared" si="394"/>
        <v/>
      </c>
      <c r="M3624" s="66" t="str">
        <f t="shared" si="395"/>
        <v/>
      </c>
      <c r="N3624" s="66" t="str">
        <f t="shared" si="396"/>
        <v/>
      </c>
      <c r="O3624" s="66" t="str">
        <f t="shared" si="397"/>
        <v/>
      </c>
      <c r="P3624" s="66" t="str">
        <f t="shared" si="398"/>
        <v/>
      </c>
    </row>
    <row r="3625" spans="8:16">
      <c r="H3625" s="66" t="e">
        <f>IF(LEFT(A3625,6)="CEPNTR","GPINS",VLOOKUP(LEFT(A3625,6),'Code Library'!$A$3:$B$920,2,0))&amp;"_"&amp;RIGHT(A3625,3)</f>
        <v>#N/A</v>
      </c>
      <c r="I3625" s="66">
        <f t="shared" si="392"/>
        <v>0</v>
      </c>
      <c r="K3625" s="66" t="str">
        <f t="shared" si="393"/>
        <v/>
      </c>
      <c r="L3625" s="66" t="str">
        <f t="shared" si="394"/>
        <v/>
      </c>
      <c r="M3625" s="66" t="str">
        <f t="shared" si="395"/>
        <v/>
      </c>
      <c r="N3625" s="66" t="str">
        <f t="shared" si="396"/>
        <v/>
      </c>
      <c r="O3625" s="66" t="str">
        <f t="shared" si="397"/>
        <v/>
      </c>
      <c r="P3625" s="66" t="str">
        <f t="shared" si="398"/>
        <v/>
      </c>
    </row>
    <row r="3626" spans="8:16">
      <c r="H3626" s="66" t="e">
        <f>IF(LEFT(A3626,6)="CEPNTR","GPINS",VLOOKUP(LEFT(A3626,6),'Code Library'!$A$3:$B$920,2,0))&amp;"_"&amp;RIGHT(A3626,3)</f>
        <v>#N/A</v>
      </c>
      <c r="I3626" s="66">
        <f t="shared" si="392"/>
        <v>0</v>
      </c>
      <c r="K3626" s="66" t="str">
        <f t="shared" si="393"/>
        <v/>
      </c>
      <c r="L3626" s="66" t="str">
        <f t="shared" si="394"/>
        <v/>
      </c>
      <c r="M3626" s="66" t="str">
        <f t="shared" si="395"/>
        <v/>
      </c>
      <c r="N3626" s="66" t="str">
        <f t="shared" si="396"/>
        <v/>
      </c>
      <c r="O3626" s="66" t="str">
        <f t="shared" si="397"/>
        <v/>
      </c>
      <c r="P3626" s="66" t="str">
        <f t="shared" si="398"/>
        <v/>
      </c>
    </row>
    <row r="3627" spans="8:16">
      <c r="H3627" s="66" t="e">
        <f>IF(LEFT(A3627,6)="CEPNTR","GPINS",VLOOKUP(LEFT(A3627,6),'Code Library'!$A$3:$B$920,2,0))&amp;"_"&amp;RIGHT(A3627,3)</f>
        <v>#N/A</v>
      </c>
      <c r="I3627" s="66">
        <f t="shared" si="392"/>
        <v>0</v>
      </c>
      <c r="K3627" s="66" t="str">
        <f t="shared" si="393"/>
        <v/>
      </c>
      <c r="L3627" s="66" t="str">
        <f t="shared" si="394"/>
        <v/>
      </c>
      <c r="M3627" s="66" t="str">
        <f t="shared" si="395"/>
        <v/>
      </c>
      <c r="N3627" s="66" t="str">
        <f t="shared" si="396"/>
        <v/>
      </c>
      <c r="O3627" s="66" t="str">
        <f t="shared" si="397"/>
        <v/>
      </c>
      <c r="P3627" s="66" t="str">
        <f t="shared" si="398"/>
        <v/>
      </c>
    </row>
    <row r="3628" spans="8:16">
      <c r="H3628" s="66" t="e">
        <f>IF(LEFT(A3628,6)="CEPNTR","GPINS",VLOOKUP(LEFT(A3628,6),'Code Library'!$A$3:$B$920,2,0))&amp;"_"&amp;RIGHT(A3628,3)</f>
        <v>#N/A</v>
      </c>
      <c r="I3628" s="66">
        <f t="shared" si="392"/>
        <v>0</v>
      </c>
      <c r="K3628" s="66" t="str">
        <f t="shared" si="393"/>
        <v/>
      </c>
      <c r="L3628" s="66" t="str">
        <f t="shared" si="394"/>
        <v/>
      </c>
      <c r="M3628" s="66" t="str">
        <f t="shared" si="395"/>
        <v/>
      </c>
      <c r="N3628" s="66" t="str">
        <f t="shared" si="396"/>
        <v/>
      </c>
      <c r="O3628" s="66" t="str">
        <f t="shared" si="397"/>
        <v/>
      </c>
      <c r="P3628" s="66" t="str">
        <f t="shared" si="398"/>
        <v/>
      </c>
    </row>
    <row r="3629" spans="8:16">
      <c r="H3629" s="66" t="e">
        <f>IF(LEFT(A3629,6)="CEPNTR","GPINS",VLOOKUP(LEFT(A3629,6),'Code Library'!$A$3:$B$920,2,0))&amp;"_"&amp;RIGHT(A3629,3)</f>
        <v>#N/A</v>
      </c>
      <c r="I3629" s="66">
        <f t="shared" si="392"/>
        <v>0</v>
      </c>
      <c r="K3629" s="66" t="str">
        <f t="shared" si="393"/>
        <v/>
      </c>
      <c r="L3629" s="66" t="str">
        <f t="shared" si="394"/>
        <v/>
      </c>
      <c r="M3629" s="66" t="str">
        <f t="shared" si="395"/>
        <v/>
      </c>
      <c r="N3629" s="66" t="str">
        <f t="shared" si="396"/>
        <v/>
      </c>
      <c r="O3629" s="66" t="str">
        <f t="shared" si="397"/>
        <v/>
      </c>
      <c r="P3629" s="66" t="str">
        <f t="shared" si="398"/>
        <v/>
      </c>
    </row>
    <row r="3630" spans="8:16">
      <c r="H3630" s="66" t="e">
        <f>IF(LEFT(A3630,6)="CEPNTR","GPINS",VLOOKUP(LEFT(A3630,6),'Code Library'!$A$3:$B$920,2,0))&amp;"_"&amp;RIGHT(A3630,3)</f>
        <v>#N/A</v>
      </c>
      <c r="I3630" s="66">
        <f t="shared" si="392"/>
        <v>0</v>
      </c>
      <c r="K3630" s="66" t="str">
        <f t="shared" si="393"/>
        <v/>
      </c>
      <c r="L3630" s="66" t="str">
        <f t="shared" si="394"/>
        <v/>
      </c>
      <c r="M3630" s="66" t="str">
        <f t="shared" si="395"/>
        <v/>
      </c>
      <c r="N3630" s="66" t="str">
        <f t="shared" si="396"/>
        <v/>
      </c>
      <c r="O3630" s="66" t="str">
        <f t="shared" si="397"/>
        <v/>
      </c>
      <c r="P3630" s="66" t="str">
        <f t="shared" si="398"/>
        <v/>
      </c>
    </row>
    <row r="3631" spans="8:16">
      <c r="H3631" s="66" t="e">
        <f>IF(LEFT(A3631,6)="CEPNTR","GPINS",VLOOKUP(LEFT(A3631,6),'Code Library'!$A$3:$B$920,2,0))&amp;"_"&amp;RIGHT(A3631,3)</f>
        <v>#N/A</v>
      </c>
      <c r="I3631" s="66">
        <f t="shared" si="392"/>
        <v>0</v>
      </c>
      <c r="K3631" s="66" t="str">
        <f t="shared" si="393"/>
        <v/>
      </c>
      <c r="L3631" s="66" t="str">
        <f t="shared" si="394"/>
        <v/>
      </c>
      <c r="M3631" s="66" t="str">
        <f t="shared" si="395"/>
        <v/>
      </c>
      <c r="N3631" s="66" t="str">
        <f t="shared" si="396"/>
        <v/>
      </c>
      <c r="O3631" s="66" t="str">
        <f t="shared" si="397"/>
        <v/>
      </c>
      <c r="P3631" s="66" t="str">
        <f t="shared" si="398"/>
        <v/>
      </c>
    </row>
    <row r="3632" spans="8:16">
      <c r="H3632" s="66" t="e">
        <f>IF(LEFT(A3632,6)="CEPNTR","GPINS",VLOOKUP(LEFT(A3632,6),'Code Library'!$A$3:$B$920,2,0))&amp;"_"&amp;RIGHT(A3632,3)</f>
        <v>#N/A</v>
      </c>
      <c r="I3632" s="66">
        <f t="shared" si="392"/>
        <v>0</v>
      </c>
      <c r="K3632" s="66" t="str">
        <f t="shared" si="393"/>
        <v/>
      </c>
      <c r="L3632" s="66" t="str">
        <f t="shared" si="394"/>
        <v/>
      </c>
      <c r="M3632" s="66" t="str">
        <f t="shared" si="395"/>
        <v/>
      </c>
      <c r="N3632" s="66" t="str">
        <f t="shared" si="396"/>
        <v/>
      </c>
      <c r="O3632" s="66" t="str">
        <f t="shared" si="397"/>
        <v/>
      </c>
      <c r="P3632" s="66" t="str">
        <f t="shared" si="398"/>
        <v/>
      </c>
    </row>
    <row r="3633" spans="8:16">
      <c r="H3633" s="66" t="e">
        <f>IF(LEFT(A3633,6)="CEPNTR","GPINS",VLOOKUP(LEFT(A3633,6),'Code Library'!$A$3:$B$920,2,0))&amp;"_"&amp;RIGHT(A3633,3)</f>
        <v>#N/A</v>
      </c>
      <c r="I3633" s="66">
        <f t="shared" si="392"/>
        <v>0</v>
      </c>
      <c r="K3633" s="66" t="str">
        <f t="shared" si="393"/>
        <v/>
      </c>
      <c r="L3633" s="66" t="str">
        <f t="shared" si="394"/>
        <v/>
      </c>
      <c r="M3633" s="66" t="str">
        <f t="shared" si="395"/>
        <v/>
      </c>
      <c r="N3633" s="66" t="str">
        <f t="shared" si="396"/>
        <v/>
      </c>
      <c r="O3633" s="66" t="str">
        <f t="shared" si="397"/>
        <v/>
      </c>
      <c r="P3633" s="66" t="str">
        <f t="shared" si="398"/>
        <v/>
      </c>
    </row>
    <row r="3634" spans="8:16">
      <c r="H3634" s="66" t="e">
        <f>IF(LEFT(A3634,6)="CEPNTR","GPINS",VLOOKUP(LEFT(A3634,6),'Code Library'!$A$3:$B$920,2,0))&amp;"_"&amp;RIGHT(A3634,3)</f>
        <v>#N/A</v>
      </c>
      <c r="I3634" s="66">
        <f t="shared" si="392"/>
        <v>0</v>
      </c>
      <c r="K3634" s="66" t="str">
        <f t="shared" si="393"/>
        <v/>
      </c>
      <c r="L3634" s="66" t="str">
        <f t="shared" si="394"/>
        <v/>
      </c>
      <c r="M3634" s="66" t="str">
        <f t="shared" si="395"/>
        <v/>
      </c>
      <c r="N3634" s="66" t="str">
        <f t="shared" si="396"/>
        <v/>
      </c>
      <c r="O3634" s="66" t="str">
        <f t="shared" si="397"/>
        <v/>
      </c>
      <c r="P3634" s="66" t="str">
        <f t="shared" si="398"/>
        <v/>
      </c>
    </row>
    <row r="3635" spans="8:16">
      <c r="H3635" s="66" t="e">
        <f>IF(LEFT(A3635,6)="CEPNTR","GPINS",VLOOKUP(LEFT(A3635,6),'Code Library'!$A$3:$B$920,2,0))&amp;"_"&amp;RIGHT(A3635,3)</f>
        <v>#N/A</v>
      </c>
      <c r="I3635" s="66">
        <f t="shared" si="392"/>
        <v>0</v>
      </c>
      <c r="K3635" s="66" t="str">
        <f t="shared" si="393"/>
        <v/>
      </c>
      <c r="L3635" s="66" t="str">
        <f t="shared" si="394"/>
        <v/>
      </c>
      <c r="M3635" s="66" t="str">
        <f t="shared" si="395"/>
        <v/>
      </c>
      <c r="N3635" s="66" t="str">
        <f t="shared" si="396"/>
        <v/>
      </c>
      <c r="O3635" s="66" t="str">
        <f t="shared" si="397"/>
        <v/>
      </c>
      <c r="P3635" s="66" t="str">
        <f t="shared" si="398"/>
        <v/>
      </c>
    </row>
    <row r="3636" spans="8:16">
      <c r="H3636" s="66" t="e">
        <f>IF(LEFT(A3636,6)="CEPNTR","GPINS",VLOOKUP(LEFT(A3636,6),'Code Library'!$A$3:$B$920,2,0))&amp;"_"&amp;RIGHT(A3636,3)</f>
        <v>#N/A</v>
      </c>
      <c r="I3636" s="66">
        <f t="shared" si="392"/>
        <v>0</v>
      </c>
      <c r="K3636" s="66" t="str">
        <f t="shared" si="393"/>
        <v/>
      </c>
      <c r="L3636" s="66" t="str">
        <f t="shared" si="394"/>
        <v/>
      </c>
      <c r="M3636" s="66" t="str">
        <f t="shared" si="395"/>
        <v/>
      </c>
      <c r="N3636" s="66" t="str">
        <f t="shared" si="396"/>
        <v/>
      </c>
      <c r="O3636" s="66" t="str">
        <f t="shared" si="397"/>
        <v/>
      </c>
      <c r="P3636" s="66" t="str">
        <f t="shared" si="398"/>
        <v/>
      </c>
    </row>
    <row r="3637" spans="8:16">
      <c r="H3637" s="66" t="e">
        <f>IF(LEFT(A3637,6)="CEPNTR","GPINS",VLOOKUP(LEFT(A3637,6),'Code Library'!$A$3:$B$920,2,0))&amp;"_"&amp;RIGHT(A3637,3)</f>
        <v>#N/A</v>
      </c>
      <c r="I3637" s="66">
        <f t="shared" si="392"/>
        <v>0</v>
      </c>
      <c r="K3637" s="66" t="str">
        <f t="shared" si="393"/>
        <v/>
      </c>
      <c r="L3637" s="66" t="str">
        <f t="shared" si="394"/>
        <v/>
      </c>
      <c r="M3637" s="66" t="str">
        <f t="shared" si="395"/>
        <v/>
      </c>
      <c r="N3637" s="66" t="str">
        <f t="shared" si="396"/>
        <v/>
      </c>
      <c r="O3637" s="66" t="str">
        <f t="shared" si="397"/>
        <v/>
      </c>
      <c r="P3637" s="66" t="str">
        <f t="shared" si="398"/>
        <v/>
      </c>
    </row>
    <row r="3638" spans="8:16">
      <c r="H3638" s="66" t="e">
        <f>IF(LEFT(A3638,6)="CEPNTR","GPINS",VLOOKUP(LEFT(A3638,6),'Code Library'!$A$3:$B$920,2,0))&amp;"_"&amp;RIGHT(A3638,3)</f>
        <v>#N/A</v>
      </c>
      <c r="I3638" s="66">
        <f t="shared" si="392"/>
        <v>0</v>
      </c>
      <c r="K3638" s="66" t="str">
        <f t="shared" si="393"/>
        <v/>
      </c>
      <c r="L3638" s="66" t="str">
        <f t="shared" si="394"/>
        <v/>
      </c>
      <c r="M3638" s="66" t="str">
        <f t="shared" si="395"/>
        <v/>
      </c>
      <c r="N3638" s="66" t="str">
        <f t="shared" si="396"/>
        <v/>
      </c>
      <c r="O3638" s="66" t="str">
        <f t="shared" si="397"/>
        <v/>
      </c>
      <c r="P3638" s="66" t="str">
        <f t="shared" si="398"/>
        <v/>
      </c>
    </row>
    <row r="3639" spans="8:16">
      <c r="H3639" s="66" t="e">
        <f>IF(LEFT(A3639,6)="CEPNTR","GPINS",VLOOKUP(LEFT(A3639,6),'Code Library'!$A$3:$B$920,2,0))&amp;"_"&amp;RIGHT(A3639,3)</f>
        <v>#N/A</v>
      </c>
      <c r="I3639" s="66">
        <f t="shared" si="392"/>
        <v>0</v>
      </c>
      <c r="K3639" s="66" t="str">
        <f t="shared" si="393"/>
        <v/>
      </c>
      <c r="L3639" s="66" t="str">
        <f t="shared" si="394"/>
        <v/>
      </c>
      <c r="M3639" s="66" t="str">
        <f t="shared" si="395"/>
        <v/>
      </c>
      <c r="N3639" s="66" t="str">
        <f t="shared" si="396"/>
        <v/>
      </c>
      <c r="O3639" s="66" t="str">
        <f t="shared" si="397"/>
        <v/>
      </c>
      <c r="P3639" s="66" t="str">
        <f t="shared" si="398"/>
        <v/>
      </c>
    </row>
    <row r="3640" spans="8:16">
      <c r="H3640" s="66" t="e">
        <f>IF(LEFT(A3640,6)="CEPNTR","GPINS",VLOOKUP(LEFT(A3640,6),'Code Library'!$A$3:$B$920,2,0))&amp;"_"&amp;RIGHT(A3640,3)</f>
        <v>#N/A</v>
      </c>
      <c r="I3640" s="66">
        <f t="shared" si="392"/>
        <v>0</v>
      </c>
      <c r="K3640" s="66" t="str">
        <f t="shared" si="393"/>
        <v/>
      </c>
      <c r="L3640" s="66" t="str">
        <f t="shared" si="394"/>
        <v/>
      </c>
      <c r="M3640" s="66" t="str">
        <f t="shared" si="395"/>
        <v/>
      </c>
      <c r="N3640" s="66" t="str">
        <f t="shared" si="396"/>
        <v/>
      </c>
      <c r="O3640" s="66" t="str">
        <f t="shared" si="397"/>
        <v/>
      </c>
      <c r="P3640" s="66" t="str">
        <f t="shared" si="398"/>
        <v/>
      </c>
    </row>
    <row r="3641" spans="8:16">
      <c r="H3641" s="66" t="e">
        <f>IF(LEFT(A3641,6)="CEPNTR","GPINS",VLOOKUP(LEFT(A3641,6),'Code Library'!$A$3:$B$920,2,0))&amp;"_"&amp;RIGHT(A3641,3)</f>
        <v>#N/A</v>
      </c>
      <c r="I3641" s="66">
        <f t="shared" si="392"/>
        <v>0</v>
      </c>
      <c r="K3641" s="66" t="str">
        <f t="shared" si="393"/>
        <v/>
      </c>
      <c r="L3641" s="66" t="str">
        <f t="shared" si="394"/>
        <v/>
      </c>
      <c r="M3641" s="66" t="str">
        <f t="shared" si="395"/>
        <v/>
      </c>
      <c r="N3641" s="66" t="str">
        <f t="shared" si="396"/>
        <v/>
      </c>
      <c r="O3641" s="66" t="str">
        <f t="shared" si="397"/>
        <v/>
      </c>
      <c r="P3641" s="66" t="str">
        <f t="shared" si="398"/>
        <v/>
      </c>
    </row>
    <row r="3642" spans="8:16">
      <c r="H3642" s="66" t="e">
        <f>IF(LEFT(A3642,6)="CEPNTR","GPINS",VLOOKUP(LEFT(A3642,6),'Code Library'!$A$3:$B$920,2,0))&amp;"_"&amp;RIGHT(A3642,3)</f>
        <v>#N/A</v>
      </c>
      <c r="I3642" s="66">
        <f t="shared" si="392"/>
        <v>0</v>
      </c>
      <c r="K3642" s="66" t="str">
        <f t="shared" si="393"/>
        <v/>
      </c>
      <c r="L3642" s="66" t="str">
        <f t="shared" si="394"/>
        <v/>
      </c>
      <c r="M3642" s="66" t="str">
        <f t="shared" si="395"/>
        <v/>
      </c>
      <c r="N3642" s="66" t="str">
        <f t="shared" si="396"/>
        <v/>
      </c>
      <c r="O3642" s="66" t="str">
        <f t="shared" si="397"/>
        <v/>
      </c>
      <c r="P3642" s="66" t="str">
        <f t="shared" si="398"/>
        <v/>
      </c>
    </row>
    <row r="3643" spans="8:16">
      <c r="H3643" s="66" t="e">
        <f>IF(LEFT(A3643,6)="CEPNTR","GPINS",VLOOKUP(LEFT(A3643,6),'Code Library'!$A$3:$B$920,2,0))&amp;"_"&amp;RIGHT(A3643,3)</f>
        <v>#N/A</v>
      </c>
      <c r="I3643" s="66">
        <f t="shared" si="392"/>
        <v>0</v>
      </c>
      <c r="K3643" s="66" t="str">
        <f t="shared" si="393"/>
        <v/>
      </c>
      <c r="L3643" s="66" t="str">
        <f t="shared" si="394"/>
        <v/>
      </c>
      <c r="M3643" s="66" t="str">
        <f t="shared" si="395"/>
        <v/>
      </c>
      <c r="N3643" s="66" t="str">
        <f t="shared" si="396"/>
        <v/>
      </c>
      <c r="O3643" s="66" t="str">
        <f t="shared" si="397"/>
        <v/>
      </c>
      <c r="P3643" s="66" t="str">
        <f t="shared" si="398"/>
        <v/>
      </c>
    </row>
    <row r="3644" spans="8:16">
      <c r="H3644" s="66" t="e">
        <f>IF(LEFT(A3644,6)="CEPNTR","GPINS",VLOOKUP(LEFT(A3644,6),'Code Library'!$A$3:$B$920,2,0))&amp;"_"&amp;RIGHT(A3644,3)</f>
        <v>#N/A</v>
      </c>
      <c r="I3644" s="66">
        <f t="shared" si="392"/>
        <v>0</v>
      </c>
      <c r="K3644" s="66" t="str">
        <f t="shared" si="393"/>
        <v/>
      </c>
      <c r="L3644" s="66" t="str">
        <f t="shared" si="394"/>
        <v/>
      </c>
      <c r="M3644" s="66" t="str">
        <f t="shared" si="395"/>
        <v/>
      </c>
      <c r="N3644" s="66" t="str">
        <f t="shared" si="396"/>
        <v/>
      </c>
      <c r="O3644" s="66" t="str">
        <f t="shared" si="397"/>
        <v/>
      </c>
      <c r="P3644" s="66" t="str">
        <f t="shared" si="398"/>
        <v/>
      </c>
    </row>
    <row r="3645" spans="8:16">
      <c r="H3645" s="66" t="e">
        <f>IF(LEFT(A3645,6)="CEPNTR","GPINS",VLOOKUP(LEFT(A3645,6),'Code Library'!$A$3:$B$920,2,0))&amp;"_"&amp;RIGHT(A3645,3)</f>
        <v>#N/A</v>
      </c>
      <c r="I3645" s="66">
        <f t="shared" si="392"/>
        <v>0</v>
      </c>
      <c r="K3645" s="66" t="str">
        <f t="shared" si="393"/>
        <v/>
      </c>
      <c r="L3645" s="66" t="str">
        <f t="shared" si="394"/>
        <v/>
      </c>
      <c r="M3645" s="66" t="str">
        <f t="shared" si="395"/>
        <v/>
      </c>
      <c r="N3645" s="66" t="str">
        <f t="shared" si="396"/>
        <v/>
      </c>
      <c r="O3645" s="66" t="str">
        <f t="shared" si="397"/>
        <v/>
      </c>
      <c r="P3645" s="66" t="str">
        <f t="shared" si="398"/>
        <v/>
      </c>
    </row>
    <row r="3646" spans="8:16">
      <c r="H3646" s="66" t="e">
        <f>IF(LEFT(A3646,6)="CEPNTR","GPINS",VLOOKUP(LEFT(A3646,6),'Code Library'!$A$3:$B$920,2,0))&amp;"_"&amp;RIGHT(A3646,3)</f>
        <v>#N/A</v>
      </c>
      <c r="I3646" s="66">
        <f t="shared" si="392"/>
        <v>0</v>
      </c>
      <c r="K3646" s="66" t="str">
        <f t="shared" si="393"/>
        <v/>
      </c>
      <c r="L3646" s="66" t="str">
        <f t="shared" si="394"/>
        <v/>
      </c>
      <c r="M3646" s="66" t="str">
        <f t="shared" si="395"/>
        <v/>
      </c>
      <c r="N3646" s="66" t="str">
        <f t="shared" si="396"/>
        <v/>
      </c>
      <c r="O3646" s="66" t="str">
        <f t="shared" si="397"/>
        <v/>
      </c>
      <c r="P3646" s="66" t="str">
        <f t="shared" si="398"/>
        <v/>
      </c>
    </row>
    <row r="3647" spans="8:16">
      <c r="H3647" s="66" t="e">
        <f>IF(LEFT(A3647,6)="CEPNTR","GPINS",VLOOKUP(LEFT(A3647,6),'Code Library'!$A$3:$B$920,2,0))&amp;"_"&amp;RIGHT(A3647,3)</f>
        <v>#N/A</v>
      </c>
      <c r="I3647" s="66">
        <f t="shared" si="392"/>
        <v>0</v>
      </c>
      <c r="K3647" s="66" t="str">
        <f t="shared" si="393"/>
        <v/>
      </c>
      <c r="L3647" s="66" t="str">
        <f t="shared" si="394"/>
        <v/>
      </c>
      <c r="M3647" s="66" t="str">
        <f t="shared" si="395"/>
        <v/>
      </c>
      <c r="N3647" s="66" t="str">
        <f t="shared" si="396"/>
        <v/>
      </c>
      <c r="O3647" s="66" t="str">
        <f t="shared" si="397"/>
        <v/>
      </c>
      <c r="P3647" s="66" t="str">
        <f t="shared" si="398"/>
        <v/>
      </c>
    </row>
    <row r="3648" spans="8:16">
      <c r="H3648" s="66" t="e">
        <f>IF(LEFT(A3648,6)="CEPNTR","GPINS",VLOOKUP(LEFT(A3648,6),'Code Library'!$A$3:$B$920,2,0))&amp;"_"&amp;RIGHT(A3648,3)</f>
        <v>#N/A</v>
      </c>
      <c r="I3648" s="66">
        <f t="shared" si="392"/>
        <v>0</v>
      </c>
      <c r="K3648" s="66" t="str">
        <f t="shared" si="393"/>
        <v/>
      </c>
      <c r="L3648" s="66" t="str">
        <f t="shared" si="394"/>
        <v/>
      </c>
      <c r="M3648" s="66" t="str">
        <f t="shared" si="395"/>
        <v/>
      </c>
      <c r="N3648" s="66" t="str">
        <f t="shared" si="396"/>
        <v/>
      </c>
      <c r="O3648" s="66" t="str">
        <f t="shared" si="397"/>
        <v/>
      </c>
      <c r="P3648" s="66" t="str">
        <f t="shared" si="398"/>
        <v/>
      </c>
    </row>
    <row r="3649" spans="8:16">
      <c r="H3649" s="66" t="e">
        <f>IF(LEFT(A3649,6)="CEPNTR","GPINS",VLOOKUP(LEFT(A3649,6),'Code Library'!$A$3:$B$920,2,0))&amp;"_"&amp;RIGHT(A3649,3)</f>
        <v>#N/A</v>
      </c>
      <c r="I3649" s="66">
        <f t="shared" si="392"/>
        <v>0</v>
      </c>
      <c r="K3649" s="66" t="str">
        <f t="shared" si="393"/>
        <v/>
      </c>
      <c r="L3649" s="66" t="str">
        <f t="shared" si="394"/>
        <v/>
      </c>
      <c r="M3649" s="66" t="str">
        <f t="shared" si="395"/>
        <v/>
      </c>
      <c r="N3649" s="66" t="str">
        <f t="shared" si="396"/>
        <v/>
      </c>
      <c r="O3649" s="66" t="str">
        <f t="shared" si="397"/>
        <v/>
      </c>
      <c r="P3649" s="66" t="str">
        <f t="shared" si="398"/>
        <v/>
      </c>
    </row>
    <row r="3650" spans="8:16">
      <c r="H3650" s="66" t="e">
        <f>IF(LEFT(A3650,6)="CEPNTR","GPINS",VLOOKUP(LEFT(A3650,6),'Code Library'!$A$3:$B$920,2,0))&amp;"_"&amp;RIGHT(A3650,3)</f>
        <v>#N/A</v>
      </c>
      <c r="I3650" s="66">
        <f t="shared" si="392"/>
        <v>0</v>
      </c>
      <c r="K3650" s="66" t="str">
        <f t="shared" si="393"/>
        <v/>
      </c>
      <c r="L3650" s="66" t="str">
        <f t="shared" si="394"/>
        <v/>
      </c>
      <c r="M3650" s="66" t="str">
        <f t="shared" si="395"/>
        <v/>
      </c>
      <c r="N3650" s="66" t="str">
        <f t="shared" si="396"/>
        <v/>
      </c>
      <c r="O3650" s="66" t="str">
        <f t="shared" si="397"/>
        <v/>
      </c>
      <c r="P3650" s="66" t="str">
        <f t="shared" si="398"/>
        <v/>
      </c>
    </row>
    <row r="3651" spans="8:16">
      <c r="H3651" s="66" t="e">
        <f>IF(LEFT(A3651,6)="CEPNTR","GPINS",VLOOKUP(LEFT(A3651,6),'Code Library'!$A$3:$B$920,2,0))&amp;"_"&amp;RIGHT(A3651,3)</f>
        <v>#N/A</v>
      </c>
      <c r="I3651" s="66">
        <f t="shared" ref="I3651:I3714" si="399">A3651</f>
        <v>0</v>
      </c>
      <c r="K3651" s="66" t="str">
        <f t="shared" ref="K3651:K3714" si="400">RIGHT($B3651,2)</f>
        <v/>
      </c>
      <c r="L3651" s="66" t="str">
        <f t="shared" ref="L3651:L3714" si="401">LEFT(RIGHT($B3651,7),4)</f>
        <v/>
      </c>
      <c r="M3651" s="66" t="str">
        <f t="shared" ref="M3651:M3714" si="402">LEFT(RIGHT($B3651,10),2)</f>
        <v/>
      </c>
      <c r="N3651" s="66" t="str">
        <f t="shared" ref="N3651:N3714" si="403">LEFT(RIGHT($B3651,14),3)</f>
        <v/>
      </c>
      <c r="O3651" s="66" t="str">
        <f t="shared" ref="O3651:O3714" si="404">LEFT(RIGHT($B3651,16),1)</f>
        <v/>
      </c>
      <c r="P3651" s="66" t="str">
        <f t="shared" ref="P3651:P3714" si="405">LEFT(RIGHT($B3651,19),2)</f>
        <v/>
      </c>
    </row>
    <row r="3652" spans="8:16">
      <c r="H3652" s="66" t="e">
        <f>IF(LEFT(A3652,6)="CEPNTR","GPINS",VLOOKUP(LEFT(A3652,6),'Code Library'!$A$3:$B$920,2,0))&amp;"_"&amp;RIGHT(A3652,3)</f>
        <v>#N/A</v>
      </c>
      <c r="I3652" s="66">
        <f t="shared" si="399"/>
        <v>0</v>
      </c>
      <c r="K3652" s="66" t="str">
        <f t="shared" si="400"/>
        <v/>
      </c>
      <c r="L3652" s="66" t="str">
        <f t="shared" si="401"/>
        <v/>
      </c>
      <c r="M3652" s="66" t="str">
        <f t="shared" si="402"/>
        <v/>
      </c>
      <c r="N3652" s="66" t="str">
        <f t="shared" si="403"/>
        <v/>
      </c>
      <c r="O3652" s="66" t="str">
        <f t="shared" si="404"/>
        <v/>
      </c>
      <c r="P3652" s="66" t="str">
        <f t="shared" si="405"/>
        <v/>
      </c>
    </row>
    <row r="3653" spans="8:16">
      <c r="H3653" s="66" t="e">
        <f>IF(LEFT(A3653,6)="CEPNTR","GPINS",VLOOKUP(LEFT(A3653,6),'Code Library'!$A$3:$B$920,2,0))&amp;"_"&amp;RIGHT(A3653,3)</f>
        <v>#N/A</v>
      </c>
      <c r="I3653" s="66">
        <f t="shared" si="399"/>
        <v>0</v>
      </c>
      <c r="K3653" s="66" t="str">
        <f t="shared" si="400"/>
        <v/>
      </c>
      <c r="L3653" s="66" t="str">
        <f t="shared" si="401"/>
        <v/>
      </c>
      <c r="M3653" s="66" t="str">
        <f t="shared" si="402"/>
        <v/>
      </c>
      <c r="N3653" s="66" t="str">
        <f t="shared" si="403"/>
        <v/>
      </c>
      <c r="O3653" s="66" t="str">
        <f t="shared" si="404"/>
        <v/>
      </c>
      <c r="P3653" s="66" t="str">
        <f t="shared" si="405"/>
        <v/>
      </c>
    </row>
    <row r="3654" spans="8:16">
      <c r="H3654" s="66" t="e">
        <f>IF(LEFT(A3654,6)="CEPNTR","GPINS",VLOOKUP(LEFT(A3654,6),'Code Library'!$A$3:$B$920,2,0))&amp;"_"&amp;RIGHT(A3654,3)</f>
        <v>#N/A</v>
      </c>
      <c r="I3654" s="66">
        <f t="shared" si="399"/>
        <v>0</v>
      </c>
      <c r="K3654" s="66" t="str">
        <f t="shared" si="400"/>
        <v/>
      </c>
      <c r="L3654" s="66" t="str">
        <f t="shared" si="401"/>
        <v/>
      </c>
      <c r="M3654" s="66" t="str">
        <f t="shared" si="402"/>
        <v/>
      </c>
      <c r="N3654" s="66" t="str">
        <f t="shared" si="403"/>
        <v/>
      </c>
      <c r="O3654" s="66" t="str">
        <f t="shared" si="404"/>
        <v/>
      </c>
      <c r="P3654" s="66" t="str">
        <f t="shared" si="405"/>
        <v/>
      </c>
    </row>
    <row r="3655" spans="8:16">
      <c r="H3655" s="66" t="e">
        <f>IF(LEFT(A3655,6)="CEPNTR","GPINS",VLOOKUP(LEFT(A3655,6),'Code Library'!$A$3:$B$920,2,0))&amp;"_"&amp;RIGHT(A3655,3)</f>
        <v>#N/A</v>
      </c>
      <c r="I3655" s="66">
        <f t="shared" si="399"/>
        <v>0</v>
      </c>
      <c r="K3655" s="66" t="str">
        <f t="shared" si="400"/>
        <v/>
      </c>
      <c r="L3655" s="66" t="str">
        <f t="shared" si="401"/>
        <v/>
      </c>
      <c r="M3655" s="66" t="str">
        <f t="shared" si="402"/>
        <v/>
      </c>
      <c r="N3655" s="66" t="str">
        <f t="shared" si="403"/>
        <v/>
      </c>
      <c r="O3655" s="66" t="str">
        <f t="shared" si="404"/>
        <v/>
      </c>
      <c r="P3655" s="66" t="str">
        <f t="shared" si="405"/>
        <v/>
      </c>
    </row>
    <row r="3656" spans="8:16">
      <c r="H3656" s="66" t="e">
        <f>IF(LEFT(A3656,6)="CEPNTR","GPINS",VLOOKUP(LEFT(A3656,6),'Code Library'!$A$3:$B$920,2,0))&amp;"_"&amp;RIGHT(A3656,3)</f>
        <v>#N/A</v>
      </c>
      <c r="I3656" s="66">
        <f t="shared" si="399"/>
        <v>0</v>
      </c>
      <c r="K3656" s="66" t="str">
        <f t="shared" si="400"/>
        <v/>
      </c>
      <c r="L3656" s="66" t="str">
        <f t="shared" si="401"/>
        <v/>
      </c>
      <c r="M3656" s="66" t="str">
        <f t="shared" si="402"/>
        <v/>
      </c>
      <c r="N3656" s="66" t="str">
        <f t="shared" si="403"/>
        <v/>
      </c>
      <c r="O3656" s="66" t="str">
        <f t="shared" si="404"/>
        <v/>
      </c>
      <c r="P3656" s="66" t="str">
        <f t="shared" si="405"/>
        <v/>
      </c>
    </row>
    <row r="3657" spans="8:16">
      <c r="H3657" s="66" t="e">
        <f>IF(LEFT(A3657,6)="CEPNTR","GPINS",VLOOKUP(LEFT(A3657,6),'Code Library'!$A$3:$B$920,2,0))&amp;"_"&amp;RIGHT(A3657,3)</f>
        <v>#N/A</v>
      </c>
      <c r="I3657" s="66">
        <f t="shared" si="399"/>
        <v>0</v>
      </c>
      <c r="K3657" s="66" t="str">
        <f t="shared" si="400"/>
        <v/>
      </c>
      <c r="L3657" s="66" t="str">
        <f t="shared" si="401"/>
        <v/>
      </c>
      <c r="M3657" s="66" t="str">
        <f t="shared" si="402"/>
        <v/>
      </c>
      <c r="N3657" s="66" t="str">
        <f t="shared" si="403"/>
        <v/>
      </c>
      <c r="O3657" s="66" t="str">
        <f t="shared" si="404"/>
        <v/>
      </c>
      <c r="P3657" s="66" t="str">
        <f t="shared" si="405"/>
        <v/>
      </c>
    </row>
    <row r="3658" spans="8:16">
      <c r="H3658" s="66" t="e">
        <f>IF(LEFT(A3658,6)="CEPNTR","GPINS",VLOOKUP(LEFT(A3658,6),'Code Library'!$A$3:$B$920,2,0))&amp;"_"&amp;RIGHT(A3658,3)</f>
        <v>#N/A</v>
      </c>
      <c r="I3658" s="66">
        <f t="shared" si="399"/>
        <v>0</v>
      </c>
      <c r="K3658" s="66" t="str">
        <f t="shared" si="400"/>
        <v/>
      </c>
      <c r="L3658" s="66" t="str">
        <f t="shared" si="401"/>
        <v/>
      </c>
      <c r="M3658" s="66" t="str">
        <f t="shared" si="402"/>
        <v/>
      </c>
      <c r="N3658" s="66" t="str">
        <f t="shared" si="403"/>
        <v/>
      </c>
      <c r="O3658" s="66" t="str">
        <f t="shared" si="404"/>
        <v/>
      </c>
      <c r="P3658" s="66" t="str">
        <f t="shared" si="405"/>
        <v/>
      </c>
    </row>
    <row r="3659" spans="8:16">
      <c r="H3659" s="66" t="e">
        <f>IF(LEFT(A3659,6)="CEPNTR","GPINS",VLOOKUP(LEFT(A3659,6),'Code Library'!$A$3:$B$920,2,0))&amp;"_"&amp;RIGHT(A3659,3)</f>
        <v>#N/A</v>
      </c>
      <c r="I3659" s="66">
        <f t="shared" si="399"/>
        <v>0</v>
      </c>
      <c r="K3659" s="66" t="str">
        <f t="shared" si="400"/>
        <v/>
      </c>
      <c r="L3659" s="66" t="str">
        <f t="shared" si="401"/>
        <v/>
      </c>
      <c r="M3659" s="66" t="str">
        <f t="shared" si="402"/>
        <v/>
      </c>
      <c r="N3659" s="66" t="str">
        <f t="shared" si="403"/>
        <v/>
      </c>
      <c r="O3659" s="66" t="str">
        <f t="shared" si="404"/>
        <v/>
      </c>
      <c r="P3659" s="66" t="str">
        <f t="shared" si="405"/>
        <v/>
      </c>
    </row>
    <row r="3660" spans="8:16">
      <c r="H3660" s="66" t="e">
        <f>IF(LEFT(A3660,6)="CEPNTR","GPINS",VLOOKUP(LEFT(A3660,6),'Code Library'!$A$3:$B$920,2,0))&amp;"_"&amp;RIGHT(A3660,3)</f>
        <v>#N/A</v>
      </c>
      <c r="I3660" s="66">
        <f t="shared" si="399"/>
        <v>0</v>
      </c>
      <c r="K3660" s="66" t="str">
        <f t="shared" si="400"/>
        <v/>
      </c>
      <c r="L3660" s="66" t="str">
        <f t="shared" si="401"/>
        <v/>
      </c>
      <c r="M3660" s="66" t="str">
        <f t="shared" si="402"/>
        <v/>
      </c>
      <c r="N3660" s="66" t="str">
        <f t="shared" si="403"/>
        <v/>
      </c>
      <c r="O3660" s="66" t="str">
        <f t="shared" si="404"/>
        <v/>
      </c>
      <c r="P3660" s="66" t="str">
        <f t="shared" si="405"/>
        <v/>
      </c>
    </row>
    <row r="3661" spans="8:16">
      <c r="H3661" s="66" t="e">
        <f>IF(LEFT(A3661,6)="CEPNTR","GPINS",VLOOKUP(LEFT(A3661,6),'Code Library'!$A$3:$B$920,2,0))&amp;"_"&amp;RIGHT(A3661,3)</f>
        <v>#N/A</v>
      </c>
      <c r="I3661" s="66">
        <f t="shared" si="399"/>
        <v>0</v>
      </c>
      <c r="K3661" s="66" t="str">
        <f t="shared" si="400"/>
        <v/>
      </c>
      <c r="L3661" s="66" t="str">
        <f t="shared" si="401"/>
        <v/>
      </c>
      <c r="M3661" s="66" t="str">
        <f t="shared" si="402"/>
        <v/>
      </c>
      <c r="N3661" s="66" t="str">
        <f t="shared" si="403"/>
        <v/>
      </c>
      <c r="O3661" s="66" t="str">
        <f t="shared" si="404"/>
        <v/>
      </c>
      <c r="P3661" s="66" t="str">
        <f t="shared" si="405"/>
        <v/>
      </c>
    </row>
    <row r="3662" spans="8:16">
      <c r="H3662" s="66" t="e">
        <f>IF(LEFT(A3662,6)="CEPNTR","GPINS",VLOOKUP(LEFT(A3662,6),'Code Library'!$A$3:$B$920,2,0))&amp;"_"&amp;RIGHT(A3662,3)</f>
        <v>#N/A</v>
      </c>
      <c r="I3662" s="66">
        <f t="shared" si="399"/>
        <v>0</v>
      </c>
      <c r="K3662" s="66" t="str">
        <f t="shared" si="400"/>
        <v/>
      </c>
      <c r="L3662" s="66" t="str">
        <f t="shared" si="401"/>
        <v/>
      </c>
      <c r="M3662" s="66" t="str">
        <f t="shared" si="402"/>
        <v/>
      </c>
      <c r="N3662" s="66" t="str">
        <f t="shared" si="403"/>
        <v/>
      </c>
      <c r="O3662" s="66" t="str">
        <f t="shared" si="404"/>
        <v/>
      </c>
      <c r="P3662" s="66" t="str">
        <f t="shared" si="405"/>
        <v/>
      </c>
    </row>
    <row r="3663" spans="8:16">
      <c r="H3663" s="66" t="e">
        <f>IF(LEFT(A3663,6)="CEPNTR","GPINS",VLOOKUP(LEFT(A3663,6),'Code Library'!$A$3:$B$920,2,0))&amp;"_"&amp;RIGHT(A3663,3)</f>
        <v>#N/A</v>
      </c>
      <c r="I3663" s="66">
        <f t="shared" si="399"/>
        <v>0</v>
      </c>
      <c r="K3663" s="66" t="str">
        <f t="shared" si="400"/>
        <v/>
      </c>
      <c r="L3663" s="66" t="str">
        <f t="shared" si="401"/>
        <v/>
      </c>
      <c r="M3663" s="66" t="str">
        <f t="shared" si="402"/>
        <v/>
      </c>
      <c r="N3663" s="66" t="str">
        <f t="shared" si="403"/>
        <v/>
      </c>
      <c r="O3663" s="66" t="str">
        <f t="shared" si="404"/>
        <v/>
      </c>
      <c r="P3663" s="66" t="str">
        <f t="shared" si="405"/>
        <v/>
      </c>
    </row>
    <row r="3664" spans="8:16">
      <c r="H3664" s="66" t="e">
        <f>IF(LEFT(A3664,6)="CEPNTR","GPINS",VLOOKUP(LEFT(A3664,6),'Code Library'!$A$3:$B$920,2,0))&amp;"_"&amp;RIGHT(A3664,3)</f>
        <v>#N/A</v>
      </c>
      <c r="I3664" s="66">
        <f t="shared" si="399"/>
        <v>0</v>
      </c>
      <c r="K3664" s="66" t="str">
        <f t="shared" si="400"/>
        <v/>
      </c>
      <c r="L3664" s="66" t="str">
        <f t="shared" si="401"/>
        <v/>
      </c>
      <c r="M3664" s="66" t="str">
        <f t="shared" si="402"/>
        <v/>
      </c>
      <c r="N3664" s="66" t="str">
        <f t="shared" si="403"/>
        <v/>
      </c>
      <c r="O3664" s="66" t="str">
        <f t="shared" si="404"/>
        <v/>
      </c>
      <c r="P3664" s="66" t="str">
        <f t="shared" si="405"/>
        <v/>
      </c>
    </row>
    <row r="3665" spans="8:16">
      <c r="H3665" s="66" t="e">
        <f>IF(LEFT(A3665,6)="CEPNTR","GPINS",VLOOKUP(LEFT(A3665,6),'Code Library'!$A$3:$B$920,2,0))&amp;"_"&amp;RIGHT(A3665,3)</f>
        <v>#N/A</v>
      </c>
      <c r="I3665" s="66">
        <f t="shared" si="399"/>
        <v>0</v>
      </c>
      <c r="K3665" s="66" t="str">
        <f t="shared" si="400"/>
        <v/>
      </c>
      <c r="L3665" s="66" t="str">
        <f t="shared" si="401"/>
        <v/>
      </c>
      <c r="M3665" s="66" t="str">
        <f t="shared" si="402"/>
        <v/>
      </c>
      <c r="N3665" s="66" t="str">
        <f t="shared" si="403"/>
        <v/>
      </c>
      <c r="O3665" s="66" t="str">
        <f t="shared" si="404"/>
        <v/>
      </c>
      <c r="P3665" s="66" t="str">
        <f t="shared" si="405"/>
        <v/>
      </c>
    </row>
    <row r="3666" spans="8:16">
      <c r="H3666" s="66" t="e">
        <f>IF(LEFT(A3666,6)="CEPNTR","GPINS",VLOOKUP(LEFT(A3666,6),'Code Library'!$A$3:$B$920,2,0))&amp;"_"&amp;RIGHT(A3666,3)</f>
        <v>#N/A</v>
      </c>
      <c r="I3666" s="66">
        <f t="shared" si="399"/>
        <v>0</v>
      </c>
      <c r="K3666" s="66" t="str">
        <f t="shared" si="400"/>
        <v/>
      </c>
      <c r="L3666" s="66" t="str">
        <f t="shared" si="401"/>
        <v/>
      </c>
      <c r="M3666" s="66" t="str">
        <f t="shared" si="402"/>
        <v/>
      </c>
      <c r="N3666" s="66" t="str">
        <f t="shared" si="403"/>
        <v/>
      </c>
      <c r="O3666" s="66" t="str">
        <f t="shared" si="404"/>
        <v/>
      </c>
      <c r="P3666" s="66" t="str">
        <f t="shared" si="405"/>
        <v/>
      </c>
    </row>
    <row r="3667" spans="8:16">
      <c r="H3667" s="66" t="e">
        <f>IF(LEFT(A3667,6)="CEPNTR","GPINS",VLOOKUP(LEFT(A3667,6),'Code Library'!$A$3:$B$920,2,0))&amp;"_"&amp;RIGHT(A3667,3)</f>
        <v>#N/A</v>
      </c>
      <c r="I3667" s="66">
        <f t="shared" si="399"/>
        <v>0</v>
      </c>
      <c r="K3667" s="66" t="str">
        <f t="shared" si="400"/>
        <v/>
      </c>
      <c r="L3667" s="66" t="str">
        <f t="shared" si="401"/>
        <v/>
      </c>
      <c r="M3667" s="66" t="str">
        <f t="shared" si="402"/>
        <v/>
      </c>
      <c r="N3667" s="66" t="str">
        <f t="shared" si="403"/>
        <v/>
      </c>
      <c r="O3667" s="66" t="str">
        <f t="shared" si="404"/>
        <v/>
      </c>
      <c r="P3667" s="66" t="str">
        <f t="shared" si="405"/>
        <v/>
      </c>
    </row>
    <row r="3668" spans="8:16">
      <c r="H3668" s="66" t="e">
        <f>IF(LEFT(A3668,6)="CEPNTR","GPINS",VLOOKUP(LEFT(A3668,6),'Code Library'!$A$3:$B$920,2,0))&amp;"_"&amp;RIGHT(A3668,3)</f>
        <v>#N/A</v>
      </c>
      <c r="I3668" s="66">
        <f t="shared" si="399"/>
        <v>0</v>
      </c>
      <c r="K3668" s="66" t="str">
        <f t="shared" si="400"/>
        <v/>
      </c>
      <c r="L3668" s="66" t="str">
        <f t="shared" si="401"/>
        <v/>
      </c>
      <c r="M3668" s="66" t="str">
        <f t="shared" si="402"/>
        <v/>
      </c>
      <c r="N3668" s="66" t="str">
        <f t="shared" si="403"/>
        <v/>
      </c>
      <c r="O3668" s="66" t="str">
        <f t="shared" si="404"/>
        <v/>
      </c>
      <c r="P3668" s="66" t="str">
        <f t="shared" si="405"/>
        <v/>
      </c>
    </row>
    <row r="3669" spans="8:16">
      <c r="H3669" s="66" t="e">
        <f>IF(LEFT(A3669,6)="CEPNTR","GPINS",VLOOKUP(LEFT(A3669,6),'Code Library'!$A$3:$B$920,2,0))&amp;"_"&amp;RIGHT(A3669,3)</f>
        <v>#N/A</v>
      </c>
      <c r="I3669" s="66">
        <f t="shared" si="399"/>
        <v>0</v>
      </c>
      <c r="K3669" s="66" t="str">
        <f t="shared" si="400"/>
        <v/>
      </c>
      <c r="L3669" s="66" t="str">
        <f t="shared" si="401"/>
        <v/>
      </c>
      <c r="M3669" s="66" t="str">
        <f t="shared" si="402"/>
        <v/>
      </c>
      <c r="N3669" s="66" t="str">
        <f t="shared" si="403"/>
        <v/>
      </c>
      <c r="O3669" s="66" t="str">
        <f t="shared" si="404"/>
        <v/>
      </c>
      <c r="P3669" s="66" t="str">
        <f t="shared" si="405"/>
        <v/>
      </c>
    </row>
    <row r="3670" spans="8:16">
      <c r="H3670" s="66" t="e">
        <f>IF(LEFT(A3670,6)="CEPNTR","GPINS",VLOOKUP(LEFT(A3670,6),'Code Library'!$A$3:$B$920,2,0))&amp;"_"&amp;RIGHT(A3670,3)</f>
        <v>#N/A</v>
      </c>
      <c r="I3670" s="66">
        <f t="shared" si="399"/>
        <v>0</v>
      </c>
      <c r="K3670" s="66" t="str">
        <f t="shared" si="400"/>
        <v/>
      </c>
      <c r="L3670" s="66" t="str">
        <f t="shared" si="401"/>
        <v/>
      </c>
      <c r="M3670" s="66" t="str">
        <f t="shared" si="402"/>
        <v/>
      </c>
      <c r="N3670" s="66" t="str">
        <f t="shared" si="403"/>
        <v/>
      </c>
      <c r="O3670" s="66" t="str">
        <f t="shared" si="404"/>
        <v/>
      </c>
      <c r="P3670" s="66" t="str">
        <f t="shared" si="405"/>
        <v/>
      </c>
    </row>
    <row r="3671" spans="8:16">
      <c r="H3671" s="66" t="e">
        <f>IF(LEFT(A3671,6)="CEPNTR","GPINS",VLOOKUP(LEFT(A3671,6),'Code Library'!$A$3:$B$920,2,0))&amp;"_"&amp;RIGHT(A3671,3)</f>
        <v>#N/A</v>
      </c>
      <c r="I3671" s="66">
        <f t="shared" si="399"/>
        <v>0</v>
      </c>
      <c r="K3671" s="66" t="str">
        <f t="shared" si="400"/>
        <v/>
      </c>
      <c r="L3671" s="66" t="str">
        <f t="shared" si="401"/>
        <v/>
      </c>
      <c r="M3671" s="66" t="str">
        <f t="shared" si="402"/>
        <v/>
      </c>
      <c r="N3671" s="66" t="str">
        <f t="shared" si="403"/>
        <v/>
      </c>
      <c r="O3671" s="66" t="str">
        <f t="shared" si="404"/>
        <v/>
      </c>
      <c r="P3671" s="66" t="str">
        <f t="shared" si="405"/>
        <v/>
      </c>
    </row>
    <row r="3672" spans="8:16">
      <c r="H3672" s="66" t="e">
        <f>IF(LEFT(A3672,6)="CEPNTR","GPINS",VLOOKUP(LEFT(A3672,6),'Code Library'!$A$3:$B$920,2,0))&amp;"_"&amp;RIGHT(A3672,3)</f>
        <v>#N/A</v>
      </c>
      <c r="I3672" s="66">
        <f t="shared" si="399"/>
        <v>0</v>
      </c>
      <c r="K3672" s="66" t="str">
        <f t="shared" si="400"/>
        <v/>
      </c>
      <c r="L3672" s="66" t="str">
        <f t="shared" si="401"/>
        <v/>
      </c>
      <c r="M3672" s="66" t="str">
        <f t="shared" si="402"/>
        <v/>
      </c>
      <c r="N3672" s="66" t="str">
        <f t="shared" si="403"/>
        <v/>
      </c>
      <c r="O3672" s="66" t="str">
        <f t="shared" si="404"/>
        <v/>
      </c>
      <c r="P3672" s="66" t="str">
        <f t="shared" si="405"/>
        <v/>
      </c>
    </row>
    <row r="3673" spans="8:16">
      <c r="H3673" s="66" t="e">
        <f>IF(LEFT(A3673,6)="CEPNTR","GPINS",VLOOKUP(LEFT(A3673,6),'Code Library'!$A$3:$B$920,2,0))&amp;"_"&amp;RIGHT(A3673,3)</f>
        <v>#N/A</v>
      </c>
      <c r="I3673" s="66">
        <f t="shared" si="399"/>
        <v>0</v>
      </c>
      <c r="K3673" s="66" t="str">
        <f t="shared" si="400"/>
        <v/>
      </c>
      <c r="L3673" s="66" t="str">
        <f t="shared" si="401"/>
        <v/>
      </c>
      <c r="M3673" s="66" t="str">
        <f t="shared" si="402"/>
        <v/>
      </c>
      <c r="N3673" s="66" t="str">
        <f t="shared" si="403"/>
        <v/>
      </c>
      <c r="O3673" s="66" t="str">
        <f t="shared" si="404"/>
        <v/>
      </c>
      <c r="P3673" s="66" t="str">
        <f t="shared" si="405"/>
        <v/>
      </c>
    </row>
    <row r="3674" spans="8:16">
      <c r="H3674" s="66" t="e">
        <f>IF(LEFT(A3674,6)="CEPNTR","GPINS",VLOOKUP(LEFT(A3674,6),'Code Library'!$A$3:$B$920,2,0))&amp;"_"&amp;RIGHT(A3674,3)</f>
        <v>#N/A</v>
      </c>
      <c r="I3674" s="66">
        <f t="shared" si="399"/>
        <v>0</v>
      </c>
      <c r="K3674" s="66" t="str">
        <f t="shared" si="400"/>
        <v/>
      </c>
      <c r="L3674" s="66" t="str">
        <f t="shared" si="401"/>
        <v/>
      </c>
      <c r="M3674" s="66" t="str">
        <f t="shared" si="402"/>
        <v/>
      </c>
      <c r="N3674" s="66" t="str">
        <f t="shared" si="403"/>
        <v/>
      </c>
      <c r="O3674" s="66" t="str">
        <f t="shared" si="404"/>
        <v/>
      </c>
      <c r="P3674" s="66" t="str">
        <f t="shared" si="405"/>
        <v/>
      </c>
    </row>
    <row r="3675" spans="8:16">
      <c r="H3675" s="66" t="e">
        <f>IF(LEFT(A3675,6)="CEPNTR","GPINS",VLOOKUP(LEFT(A3675,6),'Code Library'!$A$3:$B$920,2,0))&amp;"_"&amp;RIGHT(A3675,3)</f>
        <v>#N/A</v>
      </c>
      <c r="I3675" s="66">
        <f t="shared" si="399"/>
        <v>0</v>
      </c>
      <c r="K3675" s="66" t="str">
        <f t="shared" si="400"/>
        <v/>
      </c>
      <c r="L3675" s="66" t="str">
        <f t="shared" si="401"/>
        <v/>
      </c>
      <c r="M3675" s="66" t="str">
        <f t="shared" si="402"/>
        <v/>
      </c>
      <c r="N3675" s="66" t="str">
        <f t="shared" si="403"/>
        <v/>
      </c>
      <c r="O3675" s="66" t="str">
        <f t="shared" si="404"/>
        <v/>
      </c>
      <c r="P3675" s="66" t="str">
        <f t="shared" si="405"/>
        <v/>
      </c>
    </row>
    <row r="3676" spans="8:16">
      <c r="H3676" s="66" t="e">
        <f>IF(LEFT(A3676,6)="CEPNTR","GPINS",VLOOKUP(LEFT(A3676,6),'Code Library'!$A$3:$B$920,2,0))&amp;"_"&amp;RIGHT(A3676,3)</f>
        <v>#N/A</v>
      </c>
      <c r="I3676" s="66">
        <f t="shared" si="399"/>
        <v>0</v>
      </c>
      <c r="K3676" s="66" t="str">
        <f t="shared" si="400"/>
        <v/>
      </c>
      <c r="L3676" s="66" t="str">
        <f t="shared" si="401"/>
        <v/>
      </c>
      <c r="M3676" s="66" t="str">
        <f t="shared" si="402"/>
        <v/>
      </c>
      <c r="N3676" s="66" t="str">
        <f t="shared" si="403"/>
        <v/>
      </c>
      <c r="O3676" s="66" t="str">
        <f t="shared" si="404"/>
        <v/>
      </c>
      <c r="P3676" s="66" t="str">
        <f t="shared" si="405"/>
        <v/>
      </c>
    </row>
    <row r="3677" spans="8:16">
      <c r="H3677" s="66" t="e">
        <f>IF(LEFT(A3677,6)="CEPNTR","GPINS",VLOOKUP(LEFT(A3677,6),'Code Library'!$A$3:$B$920,2,0))&amp;"_"&amp;RIGHT(A3677,3)</f>
        <v>#N/A</v>
      </c>
      <c r="I3677" s="66">
        <f t="shared" si="399"/>
        <v>0</v>
      </c>
      <c r="K3677" s="66" t="str">
        <f t="shared" si="400"/>
        <v/>
      </c>
      <c r="L3677" s="66" t="str">
        <f t="shared" si="401"/>
        <v/>
      </c>
      <c r="M3677" s="66" t="str">
        <f t="shared" si="402"/>
        <v/>
      </c>
      <c r="N3677" s="66" t="str">
        <f t="shared" si="403"/>
        <v/>
      </c>
      <c r="O3677" s="66" t="str">
        <f t="shared" si="404"/>
        <v/>
      </c>
      <c r="P3677" s="66" t="str">
        <f t="shared" si="405"/>
        <v/>
      </c>
    </row>
    <row r="3678" spans="8:16">
      <c r="H3678" s="66" t="e">
        <f>IF(LEFT(A3678,6)="CEPNTR","GPINS",VLOOKUP(LEFT(A3678,6),'Code Library'!$A$3:$B$920,2,0))&amp;"_"&amp;RIGHT(A3678,3)</f>
        <v>#N/A</v>
      </c>
      <c r="I3678" s="66">
        <f t="shared" si="399"/>
        <v>0</v>
      </c>
      <c r="K3678" s="66" t="str">
        <f t="shared" si="400"/>
        <v/>
      </c>
      <c r="L3678" s="66" t="str">
        <f t="shared" si="401"/>
        <v/>
      </c>
      <c r="M3678" s="66" t="str">
        <f t="shared" si="402"/>
        <v/>
      </c>
      <c r="N3678" s="66" t="str">
        <f t="shared" si="403"/>
        <v/>
      </c>
      <c r="O3678" s="66" t="str">
        <f t="shared" si="404"/>
        <v/>
      </c>
      <c r="P3678" s="66" t="str">
        <f t="shared" si="405"/>
        <v/>
      </c>
    </row>
    <row r="3679" spans="8:16">
      <c r="H3679" s="66" t="e">
        <f>IF(LEFT(A3679,6)="CEPNTR","GPINS",VLOOKUP(LEFT(A3679,6),'Code Library'!$A$3:$B$920,2,0))&amp;"_"&amp;RIGHT(A3679,3)</f>
        <v>#N/A</v>
      </c>
      <c r="I3679" s="66">
        <f t="shared" si="399"/>
        <v>0</v>
      </c>
      <c r="K3679" s="66" t="str">
        <f t="shared" si="400"/>
        <v/>
      </c>
      <c r="L3679" s="66" t="str">
        <f t="shared" si="401"/>
        <v/>
      </c>
      <c r="M3679" s="66" t="str">
        <f t="shared" si="402"/>
        <v/>
      </c>
      <c r="N3679" s="66" t="str">
        <f t="shared" si="403"/>
        <v/>
      </c>
      <c r="O3679" s="66" t="str">
        <f t="shared" si="404"/>
        <v/>
      </c>
      <c r="P3679" s="66" t="str">
        <f t="shared" si="405"/>
        <v/>
      </c>
    </row>
    <row r="3680" spans="8:16">
      <c r="H3680" s="66" t="e">
        <f>IF(LEFT(A3680,6)="CEPNTR","GPINS",VLOOKUP(LEFT(A3680,6),'Code Library'!$A$3:$B$920,2,0))&amp;"_"&amp;RIGHT(A3680,3)</f>
        <v>#N/A</v>
      </c>
      <c r="I3680" s="66">
        <f t="shared" si="399"/>
        <v>0</v>
      </c>
      <c r="K3680" s="66" t="str">
        <f t="shared" si="400"/>
        <v/>
      </c>
      <c r="L3680" s="66" t="str">
        <f t="shared" si="401"/>
        <v/>
      </c>
      <c r="M3680" s="66" t="str">
        <f t="shared" si="402"/>
        <v/>
      </c>
      <c r="N3680" s="66" t="str">
        <f t="shared" si="403"/>
        <v/>
      </c>
      <c r="O3680" s="66" t="str">
        <f t="shared" si="404"/>
        <v/>
      </c>
      <c r="P3680" s="66" t="str">
        <f t="shared" si="405"/>
        <v/>
      </c>
    </row>
    <row r="3681" spans="8:16">
      <c r="H3681" s="66" t="e">
        <f>IF(LEFT(A3681,6)="CEPNTR","GPINS",VLOOKUP(LEFT(A3681,6),'Code Library'!$A$3:$B$920,2,0))&amp;"_"&amp;RIGHT(A3681,3)</f>
        <v>#N/A</v>
      </c>
      <c r="I3681" s="66">
        <f t="shared" si="399"/>
        <v>0</v>
      </c>
      <c r="K3681" s="66" t="str">
        <f t="shared" si="400"/>
        <v/>
      </c>
      <c r="L3681" s="66" t="str">
        <f t="shared" si="401"/>
        <v/>
      </c>
      <c r="M3681" s="66" t="str">
        <f t="shared" si="402"/>
        <v/>
      </c>
      <c r="N3681" s="66" t="str">
        <f t="shared" si="403"/>
        <v/>
      </c>
      <c r="O3681" s="66" t="str">
        <f t="shared" si="404"/>
        <v/>
      </c>
      <c r="P3681" s="66" t="str">
        <f t="shared" si="405"/>
        <v/>
      </c>
    </row>
    <row r="3682" spans="8:16">
      <c r="H3682" s="66" t="e">
        <f>IF(LEFT(A3682,6)="CEPNTR","GPINS",VLOOKUP(LEFT(A3682,6),'Code Library'!$A$3:$B$920,2,0))&amp;"_"&amp;RIGHT(A3682,3)</f>
        <v>#N/A</v>
      </c>
      <c r="I3682" s="66">
        <f t="shared" si="399"/>
        <v>0</v>
      </c>
      <c r="K3682" s="66" t="str">
        <f t="shared" si="400"/>
        <v/>
      </c>
      <c r="L3682" s="66" t="str">
        <f t="shared" si="401"/>
        <v/>
      </c>
      <c r="M3682" s="66" t="str">
        <f t="shared" si="402"/>
        <v/>
      </c>
      <c r="N3682" s="66" t="str">
        <f t="shared" si="403"/>
        <v/>
      </c>
      <c r="O3682" s="66" t="str">
        <f t="shared" si="404"/>
        <v/>
      </c>
      <c r="P3682" s="66" t="str">
        <f t="shared" si="405"/>
        <v/>
      </c>
    </row>
    <row r="3683" spans="8:16">
      <c r="H3683" s="66" t="e">
        <f>IF(LEFT(A3683,6)="CEPNTR","GPINS",VLOOKUP(LEFT(A3683,6),'Code Library'!$A$3:$B$920,2,0))&amp;"_"&amp;RIGHT(A3683,3)</f>
        <v>#N/A</v>
      </c>
      <c r="I3683" s="66">
        <f t="shared" si="399"/>
        <v>0</v>
      </c>
      <c r="K3683" s="66" t="str">
        <f t="shared" si="400"/>
        <v/>
      </c>
      <c r="L3683" s="66" t="str">
        <f t="shared" si="401"/>
        <v/>
      </c>
      <c r="M3683" s="66" t="str">
        <f t="shared" si="402"/>
        <v/>
      </c>
      <c r="N3683" s="66" t="str">
        <f t="shared" si="403"/>
        <v/>
      </c>
      <c r="O3683" s="66" t="str">
        <f t="shared" si="404"/>
        <v/>
      </c>
      <c r="P3683" s="66" t="str">
        <f t="shared" si="405"/>
        <v/>
      </c>
    </row>
    <row r="3684" spans="8:16">
      <c r="H3684" s="66" t="e">
        <f>IF(LEFT(A3684,6)="CEPNTR","GPINS",VLOOKUP(LEFT(A3684,6),'Code Library'!$A$3:$B$920,2,0))&amp;"_"&amp;RIGHT(A3684,3)</f>
        <v>#N/A</v>
      </c>
      <c r="I3684" s="66">
        <f t="shared" si="399"/>
        <v>0</v>
      </c>
      <c r="K3684" s="66" t="str">
        <f t="shared" si="400"/>
        <v/>
      </c>
      <c r="L3684" s="66" t="str">
        <f t="shared" si="401"/>
        <v/>
      </c>
      <c r="M3684" s="66" t="str">
        <f t="shared" si="402"/>
        <v/>
      </c>
      <c r="N3684" s="66" t="str">
        <f t="shared" si="403"/>
        <v/>
      </c>
      <c r="O3684" s="66" t="str">
        <f t="shared" si="404"/>
        <v/>
      </c>
      <c r="P3684" s="66" t="str">
        <f t="shared" si="405"/>
        <v/>
      </c>
    </row>
    <row r="3685" spans="8:16">
      <c r="H3685" s="66" t="e">
        <f>IF(LEFT(A3685,6)="CEPNTR","GPINS",VLOOKUP(LEFT(A3685,6),'Code Library'!$A$3:$B$920,2,0))&amp;"_"&amp;RIGHT(A3685,3)</f>
        <v>#N/A</v>
      </c>
      <c r="I3685" s="66">
        <f t="shared" si="399"/>
        <v>0</v>
      </c>
      <c r="K3685" s="66" t="str">
        <f t="shared" si="400"/>
        <v/>
      </c>
      <c r="L3685" s="66" t="str">
        <f t="shared" si="401"/>
        <v/>
      </c>
      <c r="M3685" s="66" t="str">
        <f t="shared" si="402"/>
        <v/>
      </c>
      <c r="N3685" s="66" t="str">
        <f t="shared" si="403"/>
        <v/>
      </c>
      <c r="O3685" s="66" t="str">
        <f t="shared" si="404"/>
        <v/>
      </c>
      <c r="P3685" s="66" t="str">
        <f t="shared" si="405"/>
        <v/>
      </c>
    </row>
    <row r="3686" spans="8:16">
      <c r="H3686" s="66" t="e">
        <f>IF(LEFT(A3686,6)="CEPNTR","GPINS",VLOOKUP(LEFT(A3686,6),'Code Library'!$A$3:$B$920,2,0))&amp;"_"&amp;RIGHT(A3686,3)</f>
        <v>#N/A</v>
      </c>
      <c r="I3686" s="66">
        <f t="shared" si="399"/>
        <v>0</v>
      </c>
      <c r="K3686" s="66" t="str">
        <f t="shared" si="400"/>
        <v/>
      </c>
      <c r="L3686" s="66" t="str">
        <f t="shared" si="401"/>
        <v/>
      </c>
      <c r="M3686" s="66" t="str">
        <f t="shared" si="402"/>
        <v/>
      </c>
      <c r="N3686" s="66" t="str">
        <f t="shared" si="403"/>
        <v/>
      </c>
      <c r="O3686" s="66" t="str">
        <f t="shared" si="404"/>
        <v/>
      </c>
      <c r="P3686" s="66" t="str">
        <f t="shared" si="405"/>
        <v/>
      </c>
    </row>
    <row r="3687" spans="8:16">
      <c r="H3687" s="66" t="e">
        <f>IF(LEFT(A3687,6)="CEPNTR","GPINS",VLOOKUP(LEFT(A3687,6),'Code Library'!$A$3:$B$920,2,0))&amp;"_"&amp;RIGHT(A3687,3)</f>
        <v>#N/A</v>
      </c>
      <c r="I3687" s="66">
        <f t="shared" si="399"/>
        <v>0</v>
      </c>
      <c r="K3687" s="66" t="str">
        <f t="shared" si="400"/>
        <v/>
      </c>
      <c r="L3687" s="66" t="str">
        <f t="shared" si="401"/>
        <v/>
      </c>
      <c r="M3687" s="66" t="str">
        <f t="shared" si="402"/>
        <v/>
      </c>
      <c r="N3687" s="66" t="str">
        <f t="shared" si="403"/>
        <v/>
      </c>
      <c r="O3687" s="66" t="str">
        <f t="shared" si="404"/>
        <v/>
      </c>
      <c r="P3687" s="66" t="str">
        <f t="shared" si="405"/>
        <v/>
      </c>
    </row>
    <row r="3688" spans="8:16">
      <c r="H3688" s="66" t="e">
        <f>IF(LEFT(A3688,6)="CEPNTR","GPINS",VLOOKUP(LEFT(A3688,6),'Code Library'!$A$3:$B$920,2,0))&amp;"_"&amp;RIGHT(A3688,3)</f>
        <v>#N/A</v>
      </c>
      <c r="I3688" s="66">
        <f t="shared" si="399"/>
        <v>0</v>
      </c>
      <c r="K3688" s="66" t="str">
        <f t="shared" si="400"/>
        <v/>
      </c>
      <c r="L3688" s="66" t="str">
        <f t="shared" si="401"/>
        <v/>
      </c>
      <c r="M3688" s="66" t="str">
        <f t="shared" si="402"/>
        <v/>
      </c>
      <c r="N3688" s="66" t="str">
        <f t="shared" si="403"/>
        <v/>
      </c>
      <c r="O3688" s="66" t="str">
        <f t="shared" si="404"/>
        <v/>
      </c>
      <c r="P3688" s="66" t="str">
        <f t="shared" si="405"/>
        <v/>
      </c>
    </row>
    <row r="3689" spans="8:16">
      <c r="H3689" s="66" t="e">
        <f>IF(LEFT(A3689,6)="CEPNTR","GPINS",VLOOKUP(LEFT(A3689,6),'Code Library'!$A$3:$B$920,2,0))&amp;"_"&amp;RIGHT(A3689,3)</f>
        <v>#N/A</v>
      </c>
      <c r="I3689" s="66">
        <f t="shared" si="399"/>
        <v>0</v>
      </c>
      <c r="K3689" s="66" t="str">
        <f t="shared" si="400"/>
        <v/>
      </c>
      <c r="L3689" s="66" t="str">
        <f t="shared" si="401"/>
        <v/>
      </c>
      <c r="M3689" s="66" t="str">
        <f t="shared" si="402"/>
        <v/>
      </c>
      <c r="N3689" s="66" t="str">
        <f t="shared" si="403"/>
        <v/>
      </c>
      <c r="O3689" s="66" t="str">
        <f t="shared" si="404"/>
        <v/>
      </c>
      <c r="P3689" s="66" t="str">
        <f t="shared" si="405"/>
        <v/>
      </c>
    </row>
    <row r="3690" spans="8:16">
      <c r="H3690" s="66" t="e">
        <f>IF(LEFT(A3690,6)="CEPNTR","GPINS",VLOOKUP(LEFT(A3690,6),'Code Library'!$A$3:$B$920,2,0))&amp;"_"&amp;RIGHT(A3690,3)</f>
        <v>#N/A</v>
      </c>
      <c r="I3690" s="66">
        <f t="shared" si="399"/>
        <v>0</v>
      </c>
      <c r="K3690" s="66" t="str">
        <f t="shared" si="400"/>
        <v/>
      </c>
      <c r="L3690" s="66" t="str">
        <f t="shared" si="401"/>
        <v/>
      </c>
      <c r="M3690" s="66" t="str">
        <f t="shared" si="402"/>
        <v/>
      </c>
      <c r="N3690" s="66" t="str">
        <f t="shared" si="403"/>
        <v/>
      </c>
      <c r="O3690" s="66" t="str">
        <f t="shared" si="404"/>
        <v/>
      </c>
      <c r="P3690" s="66" t="str">
        <f t="shared" si="405"/>
        <v/>
      </c>
    </row>
    <row r="3691" spans="8:16">
      <c r="H3691" s="66" t="e">
        <f>IF(LEFT(A3691,6)="CEPNTR","GPINS",VLOOKUP(LEFT(A3691,6),'Code Library'!$A$3:$B$920,2,0))&amp;"_"&amp;RIGHT(A3691,3)</f>
        <v>#N/A</v>
      </c>
      <c r="I3691" s="66">
        <f t="shared" si="399"/>
        <v>0</v>
      </c>
      <c r="K3691" s="66" t="str">
        <f t="shared" si="400"/>
        <v/>
      </c>
      <c r="L3691" s="66" t="str">
        <f t="shared" si="401"/>
        <v/>
      </c>
      <c r="M3691" s="66" t="str">
        <f t="shared" si="402"/>
        <v/>
      </c>
      <c r="N3691" s="66" t="str">
        <f t="shared" si="403"/>
        <v/>
      </c>
      <c r="O3691" s="66" t="str">
        <f t="shared" si="404"/>
        <v/>
      </c>
      <c r="P3691" s="66" t="str">
        <f t="shared" si="405"/>
        <v/>
      </c>
    </row>
    <row r="3692" spans="8:16">
      <c r="H3692" s="66" t="e">
        <f>IF(LEFT(A3692,6)="CEPNTR","GPINS",VLOOKUP(LEFT(A3692,6),'Code Library'!$A$3:$B$920,2,0))&amp;"_"&amp;RIGHT(A3692,3)</f>
        <v>#N/A</v>
      </c>
      <c r="I3692" s="66">
        <f t="shared" si="399"/>
        <v>0</v>
      </c>
      <c r="K3692" s="66" t="str">
        <f t="shared" si="400"/>
        <v/>
      </c>
      <c r="L3692" s="66" t="str">
        <f t="shared" si="401"/>
        <v/>
      </c>
      <c r="M3692" s="66" t="str">
        <f t="shared" si="402"/>
        <v/>
      </c>
      <c r="N3692" s="66" t="str">
        <f t="shared" si="403"/>
        <v/>
      </c>
      <c r="O3692" s="66" t="str">
        <f t="shared" si="404"/>
        <v/>
      </c>
      <c r="P3692" s="66" t="str">
        <f t="shared" si="405"/>
        <v/>
      </c>
    </row>
    <row r="3693" spans="8:16">
      <c r="H3693" s="66" t="e">
        <f>IF(LEFT(A3693,6)="CEPNTR","GPINS",VLOOKUP(LEFT(A3693,6),'Code Library'!$A$3:$B$920,2,0))&amp;"_"&amp;RIGHT(A3693,3)</f>
        <v>#N/A</v>
      </c>
      <c r="I3693" s="66">
        <f t="shared" si="399"/>
        <v>0</v>
      </c>
      <c r="K3693" s="66" t="str">
        <f t="shared" si="400"/>
        <v/>
      </c>
      <c r="L3693" s="66" t="str">
        <f t="shared" si="401"/>
        <v/>
      </c>
      <c r="M3693" s="66" t="str">
        <f t="shared" si="402"/>
        <v/>
      </c>
      <c r="N3693" s="66" t="str">
        <f t="shared" si="403"/>
        <v/>
      </c>
      <c r="O3693" s="66" t="str">
        <f t="shared" si="404"/>
        <v/>
      </c>
      <c r="P3693" s="66" t="str">
        <f t="shared" si="405"/>
        <v/>
      </c>
    </row>
    <row r="3694" spans="8:16">
      <c r="H3694" s="66" t="e">
        <f>IF(LEFT(A3694,6)="CEPNTR","GPINS",VLOOKUP(LEFT(A3694,6),'Code Library'!$A$3:$B$920,2,0))&amp;"_"&amp;RIGHT(A3694,3)</f>
        <v>#N/A</v>
      </c>
      <c r="I3694" s="66">
        <f t="shared" si="399"/>
        <v>0</v>
      </c>
      <c r="K3694" s="66" t="str">
        <f t="shared" si="400"/>
        <v/>
      </c>
      <c r="L3694" s="66" t="str">
        <f t="shared" si="401"/>
        <v/>
      </c>
      <c r="M3694" s="66" t="str">
        <f t="shared" si="402"/>
        <v/>
      </c>
      <c r="N3694" s="66" t="str">
        <f t="shared" si="403"/>
        <v/>
      </c>
      <c r="O3694" s="66" t="str">
        <f t="shared" si="404"/>
        <v/>
      </c>
      <c r="P3694" s="66" t="str">
        <f t="shared" si="405"/>
        <v/>
      </c>
    </row>
    <row r="3695" spans="8:16">
      <c r="H3695" s="66" t="e">
        <f>IF(LEFT(A3695,6)="CEPNTR","GPINS",VLOOKUP(LEFT(A3695,6),'Code Library'!$A$3:$B$920,2,0))&amp;"_"&amp;RIGHT(A3695,3)</f>
        <v>#N/A</v>
      </c>
      <c r="I3695" s="66">
        <f t="shared" si="399"/>
        <v>0</v>
      </c>
      <c r="K3695" s="66" t="str">
        <f t="shared" si="400"/>
        <v/>
      </c>
      <c r="L3695" s="66" t="str">
        <f t="shared" si="401"/>
        <v/>
      </c>
      <c r="M3695" s="66" t="str">
        <f t="shared" si="402"/>
        <v/>
      </c>
      <c r="N3695" s="66" t="str">
        <f t="shared" si="403"/>
        <v/>
      </c>
      <c r="O3695" s="66" t="str">
        <f t="shared" si="404"/>
        <v/>
      </c>
      <c r="P3695" s="66" t="str">
        <f t="shared" si="405"/>
        <v/>
      </c>
    </row>
    <row r="3696" spans="8:16">
      <c r="H3696" s="66" t="e">
        <f>IF(LEFT(A3696,6)="CEPNTR","GPINS",VLOOKUP(LEFT(A3696,6),'Code Library'!$A$3:$B$920,2,0))&amp;"_"&amp;RIGHT(A3696,3)</f>
        <v>#N/A</v>
      </c>
      <c r="I3696" s="66">
        <f t="shared" si="399"/>
        <v>0</v>
      </c>
      <c r="K3696" s="66" t="str">
        <f t="shared" si="400"/>
        <v/>
      </c>
      <c r="L3696" s="66" t="str">
        <f t="shared" si="401"/>
        <v/>
      </c>
      <c r="M3696" s="66" t="str">
        <f t="shared" si="402"/>
        <v/>
      </c>
      <c r="N3696" s="66" t="str">
        <f t="shared" si="403"/>
        <v/>
      </c>
      <c r="O3696" s="66" t="str">
        <f t="shared" si="404"/>
        <v/>
      </c>
      <c r="P3696" s="66" t="str">
        <f t="shared" si="405"/>
        <v/>
      </c>
    </row>
    <row r="3697" spans="8:16">
      <c r="H3697" s="66" t="e">
        <f>IF(LEFT(A3697,6)="CEPNTR","GPINS",VLOOKUP(LEFT(A3697,6),'Code Library'!$A$3:$B$920,2,0))&amp;"_"&amp;RIGHT(A3697,3)</f>
        <v>#N/A</v>
      </c>
      <c r="I3697" s="66">
        <f t="shared" si="399"/>
        <v>0</v>
      </c>
      <c r="K3697" s="66" t="str">
        <f t="shared" si="400"/>
        <v/>
      </c>
      <c r="L3697" s="66" t="str">
        <f t="shared" si="401"/>
        <v/>
      </c>
      <c r="M3697" s="66" t="str">
        <f t="shared" si="402"/>
        <v/>
      </c>
      <c r="N3697" s="66" t="str">
        <f t="shared" si="403"/>
        <v/>
      </c>
      <c r="O3697" s="66" t="str">
        <f t="shared" si="404"/>
        <v/>
      </c>
      <c r="P3697" s="66" t="str">
        <f t="shared" si="405"/>
        <v/>
      </c>
    </row>
    <row r="3698" spans="8:16">
      <c r="H3698" s="66" t="e">
        <f>IF(LEFT(A3698,6)="CEPNTR","GPINS",VLOOKUP(LEFT(A3698,6),'Code Library'!$A$3:$B$920,2,0))&amp;"_"&amp;RIGHT(A3698,3)</f>
        <v>#N/A</v>
      </c>
      <c r="I3698" s="66">
        <f t="shared" si="399"/>
        <v>0</v>
      </c>
      <c r="K3698" s="66" t="str">
        <f t="shared" si="400"/>
        <v/>
      </c>
      <c r="L3698" s="66" t="str">
        <f t="shared" si="401"/>
        <v/>
      </c>
      <c r="M3698" s="66" t="str">
        <f t="shared" si="402"/>
        <v/>
      </c>
      <c r="N3698" s="66" t="str">
        <f t="shared" si="403"/>
        <v/>
      </c>
      <c r="O3698" s="66" t="str">
        <f t="shared" si="404"/>
        <v/>
      </c>
      <c r="P3698" s="66" t="str">
        <f t="shared" si="405"/>
        <v/>
      </c>
    </row>
    <row r="3699" spans="8:16">
      <c r="H3699" s="66" t="e">
        <f>IF(LEFT(A3699,6)="CEPNTR","GPINS",VLOOKUP(LEFT(A3699,6),'Code Library'!$A$3:$B$920,2,0))&amp;"_"&amp;RIGHT(A3699,3)</f>
        <v>#N/A</v>
      </c>
      <c r="I3699" s="66">
        <f t="shared" si="399"/>
        <v>0</v>
      </c>
      <c r="K3699" s="66" t="str">
        <f t="shared" si="400"/>
        <v/>
      </c>
      <c r="L3699" s="66" t="str">
        <f t="shared" si="401"/>
        <v/>
      </c>
      <c r="M3699" s="66" t="str">
        <f t="shared" si="402"/>
        <v/>
      </c>
      <c r="N3699" s="66" t="str">
        <f t="shared" si="403"/>
        <v/>
      </c>
      <c r="O3699" s="66" t="str">
        <f t="shared" si="404"/>
        <v/>
      </c>
      <c r="P3699" s="66" t="str">
        <f t="shared" si="405"/>
        <v/>
      </c>
    </row>
    <row r="3700" spans="8:16">
      <c r="H3700" s="66" t="e">
        <f>IF(LEFT(A3700,6)="CEPNTR","GPINS",VLOOKUP(LEFT(A3700,6),'Code Library'!$A$3:$B$920,2,0))&amp;"_"&amp;RIGHT(A3700,3)</f>
        <v>#N/A</v>
      </c>
      <c r="I3700" s="66">
        <f t="shared" si="399"/>
        <v>0</v>
      </c>
      <c r="K3700" s="66" t="str">
        <f t="shared" si="400"/>
        <v/>
      </c>
      <c r="L3700" s="66" t="str">
        <f t="shared" si="401"/>
        <v/>
      </c>
      <c r="M3700" s="66" t="str">
        <f t="shared" si="402"/>
        <v/>
      </c>
      <c r="N3700" s="66" t="str">
        <f t="shared" si="403"/>
        <v/>
      </c>
      <c r="O3700" s="66" t="str">
        <f t="shared" si="404"/>
        <v/>
      </c>
      <c r="P3700" s="66" t="str">
        <f t="shared" si="405"/>
        <v/>
      </c>
    </row>
    <row r="3701" spans="8:16">
      <c r="H3701" s="66" t="e">
        <f>IF(LEFT(A3701,6)="CEPNTR","GPINS",VLOOKUP(LEFT(A3701,6),'Code Library'!$A$3:$B$920,2,0))&amp;"_"&amp;RIGHT(A3701,3)</f>
        <v>#N/A</v>
      </c>
      <c r="I3701" s="66">
        <f t="shared" si="399"/>
        <v>0</v>
      </c>
      <c r="K3701" s="66" t="str">
        <f t="shared" si="400"/>
        <v/>
      </c>
      <c r="L3701" s="66" t="str">
        <f t="shared" si="401"/>
        <v/>
      </c>
      <c r="M3701" s="66" t="str">
        <f t="shared" si="402"/>
        <v/>
      </c>
      <c r="N3701" s="66" t="str">
        <f t="shared" si="403"/>
        <v/>
      </c>
      <c r="O3701" s="66" t="str">
        <f t="shared" si="404"/>
        <v/>
      </c>
      <c r="P3701" s="66" t="str">
        <f t="shared" si="405"/>
        <v/>
      </c>
    </row>
    <row r="3702" spans="8:16">
      <c r="H3702" s="66" t="e">
        <f>IF(LEFT(A3702,6)="CEPNTR","GPINS",VLOOKUP(LEFT(A3702,6),'Code Library'!$A$3:$B$920,2,0))&amp;"_"&amp;RIGHT(A3702,3)</f>
        <v>#N/A</v>
      </c>
      <c r="I3702" s="66">
        <f t="shared" si="399"/>
        <v>0</v>
      </c>
      <c r="K3702" s="66" t="str">
        <f t="shared" si="400"/>
        <v/>
      </c>
      <c r="L3702" s="66" t="str">
        <f t="shared" si="401"/>
        <v/>
      </c>
      <c r="M3702" s="66" t="str">
        <f t="shared" si="402"/>
        <v/>
      </c>
      <c r="N3702" s="66" t="str">
        <f t="shared" si="403"/>
        <v/>
      </c>
      <c r="O3702" s="66" t="str">
        <f t="shared" si="404"/>
        <v/>
      </c>
      <c r="P3702" s="66" t="str">
        <f t="shared" si="405"/>
        <v/>
      </c>
    </row>
    <row r="3703" spans="8:16">
      <c r="H3703" s="66" t="e">
        <f>IF(LEFT(A3703,6)="CEPNTR","GPINS",VLOOKUP(LEFT(A3703,6),'Code Library'!$A$3:$B$920,2,0))&amp;"_"&amp;RIGHT(A3703,3)</f>
        <v>#N/A</v>
      </c>
      <c r="I3703" s="66">
        <f t="shared" si="399"/>
        <v>0</v>
      </c>
      <c r="K3703" s="66" t="str">
        <f t="shared" si="400"/>
        <v/>
      </c>
      <c r="L3703" s="66" t="str">
        <f t="shared" si="401"/>
        <v/>
      </c>
      <c r="M3703" s="66" t="str">
        <f t="shared" si="402"/>
        <v/>
      </c>
      <c r="N3703" s="66" t="str">
        <f t="shared" si="403"/>
        <v/>
      </c>
      <c r="O3703" s="66" t="str">
        <f t="shared" si="404"/>
        <v/>
      </c>
      <c r="P3703" s="66" t="str">
        <f t="shared" si="405"/>
        <v/>
      </c>
    </row>
    <row r="3704" spans="8:16">
      <c r="H3704" s="66" t="e">
        <f>IF(LEFT(A3704,6)="CEPNTR","GPINS",VLOOKUP(LEFT(A3704,6),'Code Library'!$A$3:$B$920,2,0))&amp;"_"&amp;RIGHT(A3704,3)</f>
        <v>#N/A</v>
      </c>
      <c r="I3704" s="66">
        <f t="shared" si="399"/>
        <v>0</v>
      </c>
      <c r="K3704" s="66" t="str">
        <f t="shared" si="400"/>
        <v/>
      </c>
      <c r="L3704" s="66" t="str">
        <f t="shared" si="401"/>
        <v/>
      </c>
      <c r="M3704" s="66" t="str">
        <f t="shared" si="402"/>
        <v/>
      </c>
      <c r="N3704" s="66" t="str">
        <f t="shared" si="403"/>
        <v/>
      </c>
      <c r="O3704" s="66" t="str">
        <f t="shared" si="404"/>
        <v/>
      </c>
      <c r="P3704" s="66" t="str">
        <f t="shared" si="405"/>
        <v/>
      </c>
    </row>
    <row r="3705" spans="8:16">
      <c r="H3705" s="66" t="e">
        <f>IF(LEFT(A3705,6)="CEPNTR","GPINS",VLOOKUP(LEFT(A3705,6),'Code Library'!$A$3:$B$920,2,0))&amp;"_"&amp;RIGHT(A3705,3)</f>
        <v>#N/A</v>
      </c>
      <c r="I3705" s="66">
        <f t="shared" si="399"/>
        <v>0</v>
      </c>
      <c r="K3705" s="66" t="str">
        <f t="shared" si="400"/>
        <v/>
      </c>
      <c r="L3705" s="66" t="str">
        <f t="shared" si="401"/>
        <v/>
      </c>
      <c r="M3705" s="66" t="str">
        <f t="shared" si="402"/>
        <v/>
      </c>
      <c r="N3705" s="66" t="str">
        <f t="shared" si="403"/>
        <v/>
      </c>
      <c r="O3705" s="66" t="str">
        <f t="shared" si="404"/>
        <v/>
      </c>
      <c r="P3705" s="66" t="str">
        <f t="shared" si="405"/>
        <v/>
      </c>
    </row>
    <row r="3706" spans="8:16">
      <c r="H3706" s="66" t="e">
        <f>IF(LEFT(A3706,6)="CEPNTR","GPINS",VLOOKUP(LEFT(A3706,6),'Code Library'!$A$3:$B$920,2,0))&amp;"_"&amp;RIGHT(A3706,3)</f>
        <v>#N/A</v>
      </c>
      <c r="I3706" s="66">
        <f t="shared" si="399"/>
        <v>0</v>
      </c>
      <c r="K3706" s="66" t="str">
        <f t="shared" si="400"/>
        <v/>
      </c>
      <c r="L3706" s="66" t="str">
        <f t="shared" si="401"/>
        <v/>
      </c>
      <c r="M3706" s="66" t="str">
        <f t="shared" si="402"/>
        <v/>
      </c>
      <c r="N3706" s="66" t="str">
        <f t="shared" si="403"/>
        <v/>
      </c>
      <c r="O3706" s="66" t="str">
        <f t="shared" si="404"/>
        <v/>
      </c>
      <c r="P3706" s="66" t="str">
        <f t="shared" si="405"/>
        <v/>
      </c>
    </row>
    <row r="3707" spans="8:16">
      <c r="H3707" s="66" t="e">
        <f>IF(LEFT(A3707,6)="CEPNTR","GPINS",VLOOKUP(LEFT(A3707,6),'Code Library'!$A$3:$B$920,2,0))&amp;"_"&amp;RIGHT(A3707,3)</f>
        <v>#N/A</v>
      </c>
      <c r="I3707" s="66">
        <f t="shared" si="399"/>
        <v>0</v>
      </c>
      <c r="K3707" s="66" t="str">
        <f t="shared" si="400"/>
        <v/>
      </c>
      <c r="L3707" s="66" t="str">
        <f t="shared" si="401"/>
        <v/>
      </c>
      <c r="M3707" s="66" t="str">
        <f t="shared" si="402"/>
        <v/>
      </c>
      <c r="N3707" s="66" t="str">
        <f t="shared" si="403"/>
        <v/>
      </c>
      <c r="O3707" s="66" t="str">
        <f t="shared" si="404"/>
        <v/>
      </c>
      <c r="P3707" s="66" t="str">
        <f t="shared" si="405"/>
        <v/>
      </c>
    </row>
    <row r="3708" spans="8:16">
      <c r="H3708" s="66" t="e">
        <f>IF(LEFT(A3708,6)="CEPNTR","GPINS",VLOOKUP(LEFT(A3708,6),'Code Library'!$A$3:$B$920,2,0))&amp;"_"&amp;RIGHT(A3708,3)</f>
        <v>#N/A</v>
      </c>
      <c r="I3708" s="66">
        <f t="shared" si="399"/>
        <v>0</v>
      </c>
      <c r="K3708" s="66" t="str">
        <f t="shared" si="400"/>
        <v/>
      </c>
      <c r="L3708" s="66" t="str">
        <f t="shared" si="401"/>
        <v/>
      </c>
      <c r="M3708" s="66" t="str">
        <f t="shared" si="402"/>
        <v/>
      </c>
      <c r="N3708" s="66" t="str">
        <f t="shared" si="403"/>
        <v/>
      </c>
      <c r="O3708" s="66" t="str">
        <f t="shared" si="404"/>
        <v/>
      </c>
      <c r="P3708" s="66" t="str">
        <f t="shared" si="405"/>
        <v/>
      </c>
    </row>
    <row r="3709" spans="8:16">
      <c r="H3709" s="66" t="e">
        <f>IF(LEFT(A3709,6)="CEPNTR","GPINS",VLOOKUP(LEFT(A3709,6),'Code Library'!$A$3:$B$920,2,0))&amp;"_"&amp;RIGHT(A3709,3)</f>
        <v>#N/A</v>
      </c>
      <c r="I3709" s="66">
        <f t="shared" si="399"/>
        <v>0</v>
      </c>
      <c r="K3709" s="66" t="str">
        <f t="shared" si="400"/>
        <v/>
      </c>
      <c r="L3709" s="66" t="str">
        <f t="shared" si="401"/>
        <v/>
      </c>
      <c r="M3709" s="66" t="str">
        <f t="shared" si="402"/>
        <v/>
      </c>
      <c r="N3709" s="66" t="str">
        <f t="shared" si="403"/>
        <v/>
      </c>
      <c r="O3709" s="66" t="str">
        <f t="shared" si="404"/>
        <v/>
      </c>
      <c r="P3709" s="66" t="str">
        <f t="shared" si="405"/>
        <v/>
      </c>
    </row>
    <row r="3710" spans="8:16">
      <c r="H3710" s="66" t="e">
        <f>IF(LEFT(A3710,6)="CEPNTR","GPINS",VLOOKUP(LEFT(A3710,6),'Code Library'!$A$3:$B$920,2,0))&amp;"_"&amp;RIGHT(A3710,3)</f>
        <v>#N/A</v>
      </c>
      <c r="I3710" s="66">
        <f t="shared" si="399"/>
        <v>0</v>
      </c>
      <c r="K3710" s="66" t="str">
        <f t="shared" si="400"/>
        <v/>
      </c>
      <c r="L3710" s="66" t="str">
        <f t="shared" si="401"/>
        <v/>
      </c>
      <c r="M3710" s="66" t="str">
        <f t="shared" si="402"/>
        <v/>
      </c>
      <c r="N3710" s="66" t="str">
        <f t="shared" si="403"/>
        <v/>
      </c>
      <c r="O3710" s="66" t="str">
        <f t="shared" si="404"/>
        <v/>
      </c>
      <c r="P3710" s="66" t="str">
        <f t="shared" si="405"/>
        <v/>
      </c>
    </row>
    <row r="3711" spans="8:16">
      <c r="H3711" s="66" t="e">
        <f>IF(LEFT(A3711,6)="CEPNTR","GPINS",VLOOKUP(LEFT(A3711,6),'Code Library'!$A$3:$B$920,2,0))&amp;"_"&amp;RIGHT(A3711,3)</f>
        <v>#N/A</v>
      </c>
      <c r="I3711" s="66">
        <f t="shared" si="399"/>
        <v>0</v>
      </c>
      <c r="K3711" s="66" t="str">
        <f t="shared" si="400"/>
        <v/>
      </c>
      <c r="L3711" s="66" t="str">
        <f t="shared" si="401"/>
        <v/>
      </c>
      <c r="M3711" s="66" t="str">
        <f t="shared" si="402"/>
        <v/>
      </c>
      <c r="N3711" s="66" t="str">
        <f t="shared" si="403"/>
        <v/>
      </c>
      <c r="O3711" s="66" t="str">
        <f t="shared" si="404"/>
        <v/>
      </c>
      <c r="P3711" s="66" t="str">
        <f t="shared" si="405"/>
        <v/>
      </c>
    </row>
    <row r="3712" spans="8:16">
      <c r="H3712" s="66" t="e">
        <f>IF(LEFT(A3712,6)="CEPNTR","GPINS",VLOOKUP(LEFT(A3712,6),'Code Library'!$A$3:$B$920,2,0))&amp;"_"&amp;RIGHT(A3712,3)</f>
        <v>#N/A</v>
      </c>
      <c r="I3712" s="66">
        <f t="shared" si="399"/>
        <v>0</v>
      </c>
      <c r="K3712" s="66" t="str">
        <f t="shared" si="400"/>
        <v/>
      </c>
      <c r="L3712" s="66" t="str">
        <f t="shared" si="401"/>
        <v/>
      </c>
      <c r="M3712" s="66" t="str">
        <f t="shared" si="402"/>
        <v/>
      </c>
      <c r="N3712" s="66" t="str">
        <f t="shared" si="403"/>
        <v/>
      </c>
      <c r="O3712" s="66" t="str">
        <f t="shared" si="404"/>
        <v/>
      </c>
      <c r="P3712" s="66" t="str">
        <f t="shared" si="405"/>
        <v/>
      </c>
    </row>
    <row r="3713" spans="8:16">
      <c r="H3713" s="66" t="e">
        <f>IF(LEFT(A3713,6)="CEPNTR","GPINS",VLOOKUP(LEFT(A3713,6),'Code Library'!$A$3:$B$920,2,0))&amp;"_"&amp;RIGHT(A3713,3)</f>
        <v>#N/A</v>
      </c>
      <c r="I3713" s="66">
        <f t="shared" si="399"/>
        <v>0</v>
      </c>
      <c r="K3713" s="66" t="str">
        <f t="shared" si="400"/>
        <v/>
      </c>
      <c r="L3713" s="66" t="str">
        <f t="shared" si="401"/>
        <v/>
      </c>
      <c r="M3713" s="66" t="str">
        <f t="shared" si="402"/>
        <v/>
      </c>
      <c r="N3713" s="66" t="str">
        <f t="shared" si="403"/>
        <v/>
      </c>
      <c r="O3713" s="66" t="str">
        <f t="shared" si="404"/>
        <v/>
      </c>
      <c r="P3713" s="66" t="str">
        <f t="shared" si="405"/>
        <v/>
      </c>
    </row>
    <row r="3714" spans="8:16">
      <c r="H3714" s="66" t="e">
        <f>IF(LEFT(A3714,6)="CEPNTR","GPINS",VLOOKUP(LEFT(A3714,6),'Code Library'!$A$3:$B$920,2,0))&amp;"_"&amp;RIGHT(A3714,3)</f>
        <v>#N/A</v>
      </c>
      <c r="I3714" s="66">
        <f t="shared" si="399"/>
        <v>0</v>
      </c>
      <c r="K3714" s="66" t="str">
        <f t="shared" si="400"/>
        <v/>
      </c>
      <c r="L3714" s="66" t="str">
        <f t="shared" si="401"/>
        <v/>
      </c>
      <c r="M3714" s="66" t="str">
        <f t="shared" si="402"/>
        <v/>
      </c>
      <c r="N3714" s="66" t="str">
        <f t="shared" si="403"/>
        <v/>
      </c>
      <c r="O3714" s="66" t="str">
        <f t="shared" si="404"/>
        <v/>
      </c>
      <c r="P3714" s="66" t="str">
        <f t="shared" si="405"/>
        <v/>
      </c>
    </row>
    <row r="3715" spans="8:16">
      <c r="H3715" s="66" t="e">
        <f>IF(LEFT(A3715,6)="CEPNTR","GPINS",VLOOKUP(LEFT(A3715,6),'Code Library'!$A$3:$B$920,2,0))&amp;"_"&amp;RIGHT(A3715,3)</f>
        <v>#N/A</v>
      </c>
      <c r="I3715" s="66">
        <f t="shared" ref="I3715:I3778" si="406">A3715</f>
        <v>0</v>
      </c>
      <c r="K3715" s="66" t="str">
        <f t="shared" ref="K3715:K3778" si="407">RIGHT($B3715,2)</f>
        <v/>
      </c>
      <c r="L3715" s="66" t="str">
        <f t="shared" ref="L3715:L3778" si="408">LEFT(RIGHT($B3715,7),4)</f>
        <v/>
      </c>
      <c r="M3715" s="66" t="str">
        <f t="shared" ref="M3715:M3778" si="409">LEFT(RIGHT($B3715,10),2)</f>
        <v/>
      </c>
      <c r="N3715" s="66" t="str">
        <f t="shared" ref="N3715:N3778" si="410">LEFT(RIGHT($B3715,14),3)</f>
        <v/>
      </c>
      <c r="O3715" s="66" t="str">
        <f t="shared" ref="O3715:O3778" si="411">LEFT(RIGHT($B3715,16),1)</f>
        <v/>
      </c>
      <c r="P3715" s="66" t="str">
        <f t="shared" ref="P3715:P3778" si="412">LEFT(RIGHT($B3715,19),2)</f>
        <v/>
      </c>
    </row>
    <row r="3716" spans="8:16">
      <c r="H3716" s="66" t="e">
        <f>IF(LEFT(A3716,6)="CEPNTR","GPINS",VLOOKUP(LEFT(A3716,6),'Code Library'!$A$3:$B$920,2,0))&amp;"_"&amp;RIGHT(A3716,3)</f>
        <v>#N/A</v>
      </c>
      <c r="I3716" s="66">
        <f t="shared" si="406"/>
        <v>0</v>
      </c>
      <c r="K3716" s="66" t="str">
        <f t="shared" si="407"/>
        <v/>
      </c>
      <c r="L3716" s="66" t="str">
        <f t="shared" si="408"/>
        <v/>
      </c>
      <c r="M3716" s="66" t="str">
        <f t="shared" si="409"/>
        <v/>
      </c>
      <c r="N3716" s="66" t="str">
        <f t="shared" si="410"/>
        <v/>
      </c>
      <c r="O3716" s="66" t="str">
        <f t="shared" si="411"/>
        <v/>
      </c>
      <c r="P3716" s="66" t="str">
        <f t="shared" si="412"/>
        <v/>
      </c>
    </row>
    <row r="3717" spans="8:16">
      <c r="H3717" s="66" t="e">
        <f>IF(LEFT(A3717,6)="CEPNTR","GPINS",VLOOKUP(LEFT(A3717,6),'Code Library'!$A$3:$B$920,2,0))&amp;"_"&amp;RIGHT(A3717,3)</f>
        <v>#N/A</v>
      </c>
      <c r="I3717" s="66">
        <f t="shared" si="406"/>
        <v>0</v>
      </c>
      <c r="K3717" s="66" t="str">
        <f t="shared" si="407"/>
        <v/>
      </c>
      <c r="L3717" s="66" t="str">
        <f t="shared" si="408"/>
        <v/>
      </c>
      <c r="M3717" s="66" t="str">
        <f t="shared" si="409"/>
        <v/>
      </c>
      <c r="N3717" s="66" t="str">
        <f t="shared" si="410"/>
        <v/>
      </c>
      <c r="O3717" s="66" t="str">
        <f t="shared" si="411"/>
        <v/>
      </c>
      <c r="P3717" s="66" t="str">
        <f t="shared" si="412"/>
        <v/>
      </c>
    </row>
    <row r="3718" spans="8:16">
      <c r="H3718" s="66" t="e">
        <f>IF(LEFT(A3718,6)="CEPNTR","GPINS",VLOOKUP(LEFT(A3718,6),'Code Library'!$A$3:$B$920,2,0))&amp;"_"&amp;RIGHT(A3718,3)</f>
        <v>#N/A</v>
      </c>
      <c r="I3718" s="66">
        <f t="shared" si="406"/>
        <v>0</v>
      </c>
      <c r="K3718" s="66" t="str">
        <f t="shared" si="407"/>
        <v/>
      </c>
      <c r="L3718" s="66" t="str">
        <f t="shared" si="408"/>
        <v/>
      </c>
      <c r="M3718" s="66" t="str">
        <f t="shared" si="409"/>
        <v/>
      </c>
      <c r="N3718" s="66" t="str">
        <f t="shared" si="410"/>
        <v/>
      </c>
      <c r="O3718" s="66" t="str">
        <f t="shared" si="411"/>
        <v/>
      </c>
      <c r="P3718" s="66" t="str">
        <f t="shared" si="412"/>
        <v/>
      </c>
    </row>
    <row r="3719" spans="8:16">
      <c r="H3719" s="66" t="e">
        <f>IF(LEFT(A3719,6)="CEPNTR","GPINS",VLOOKUP(LEFT(A3719,6),'Code Library'!$A$3:$B$920,2,0))&amp;"_"&amp;RIGHT(A3719,3)</f>
        <v>#N/A</v>
      </c>
      <c r="I3719" s="66">
        <f t="shared" si="406"/>
        <v>0</v>
      </c>
      <c r="K3719" s="66" t="str">
        <f t="shared" si="407"/>
        <v/>
      </c>
      <c r="L3719" s="66" t="str">
        <f t="shared" si="408"/>
        <v/>
      </c>
      <c r="M3719" s="66" t="str">
        <f t="shared" si="409"/>
        <v/>
      </c>
      <c r="N3719" s="66" t="str">
        <f t="shared" si="410"/>
        <v/>
      </c>
      <c r="O3719" s="66" t="str">
        <f t="shared" si="411"/>
        <v/>
      </c>
      <c r="P3719" s="66" t="str">
        <f t="shared" si="412"/>
        <v/>
      </c>
    </row>
    <row r="3720" spans="8:16">
      <c r="H3720" s="66" t="e">
        <f>IF(LEFT(A3720,6)="CEPNTR","GPINS",VLOOKUP(LEFT(A3720,6),'Code Library'!$A$3:$B$920,2,0))&amp;"_"&amp;RIGHT(A3720,3)</f>
        <v>#N/A</v>
      </c>
      <c r="I3720" s="66">
        <f t="shared" si="406"/>
        <v>0</v>
      </c>
      <c r="K3720" s="66" t="str">
        <f t="shared" si="407"/>
        <v/>
      </c>
      <c r="L3720" s="66" t="str">
        <f t="shared" si="408"/>
        <v/>
      </c>
      <c r="M3720" s="66" t="str">
        <f t="shared" si="409"/>
        <v/>
      </c>
      <c r="N3720" s="66" t="str">
        <f t="shared" si="410"/>
        <v/>
      </c>
      <c r="O3720" s="66" t="str">
        <f t="shared" si="411"/>
        <v/>
      </c>
      <c r="P3720" s="66" t="str">
        <f t="shared" si="412"/>
        <v/>
      </c>
    </row>
    <row r="3721" spans="8:16">
      <c r="H3721" s="66" t="e">
        <f>IF(LEFT(A3721,6)="CEPNTR","GPINS",VLOOKUP(LEFT(A3721,6),'Code Library'!$A$3:$B$920,2,0))&amp;"_"&amp;RIGHT(A3721,3)</f>
        <v>#N/A</v>
      </c>
      <c r="I3721" s="66">
        <f t="shared" si="406"/>
        <v>0</v>
      </c>
      <c r="K3721" s="66" t="str">
        <f t="shared" si="407"/>
        <v/>
      </c>
      <c r="L3721" s="66" t="str">
        <f t="shared" si="408"/>
        <v/>
      </c>
      <c r="M3721" s="66" t="str">
        <f t="shared" si="409"/>
        <v/>
      </c>
      <c r="N3721" s="66" t="str">
        <f t="shared" si="410"/>
        <v/>
      </c>
      <c r="O3721" s="66" t="str">
        <f t="shared" si="411"/>
        <v/>
      </c>
      <c r="P3721" s="66" t="str">
        <f t="shared" si="412"/>
        <v/>
      </c>
    </row>
    <row r="3722" spans="8:16">
      <c r="H3722" s="66" t="e">
        <f>IF(LEFT(A3722,6)="CEPNTR","GPINS",VLOOKUP(LEFT(A3722,6),'Code Library'!$A$3:$B$920,2,0))&amp;"_"&amp;RIGHT(A3722,3)</f>
        <v>#N/A</v>
      </c>
      <c r="I3722" s="66">
        <f t="shared" si="406"/>
        <v>0</v>
      </c>
      <c r="K3722" s="66" t="str">
        <f t="shared" si="407"/>
        <v/>
      </c>
      <c r="L3722" s="66" t="str">
        <f t="shared" si="408"/>
        <v/>
      </c>
      <c r="M3722" s="66" t="str">
        <f t="shared" si="409"/>
        <v/>
      </c>
      <c r="N3722" s="66" t="str">
        <f t="shared" si="410"/>
        <v/>
      </c>
      <c r="O3722" s="66" t="str">
        <f t="shared" si="411"/>
        <v/>
      </c>
      <c r="P3722" s="66" t="str">
        <f t="shared" si="412"/>
        <v/>
      </c>
    </row>
    <row r="3723" spans="8:16">
      <c r="H3723" s="66" t="e">
        <f>IF(LEFT(A3723,6)="CEPNTR","GPINS",VLOOKUP(LEFT(A3723,6),'Code Library'!$A$3:$B$920,2,0))&amp;"_"&amp;RIGHT(A3723,3)</f>
        <v>#N/A</v>
      </c>
      <c r="I3723" s="66">
        <f t="shared" si="406"/>
        <v>0</v>
      </c>
      <c r="K3723" s="66" t="str">
        <f t="shared" si="407"/>
        <v/>
      </c>
      <c r="L3723" s="66" t="str">
        <f t="shared" si="408"/>
        <v/>
      </c>
      <c r="M3723" s="66" t="str">
        <f t="shared" si="409"/>
        <v/>
      </c>
      <c r="N3723" s="66" t="str">
        <f t="shared" si="410"/>
        <v/>
      </c>
      <c r="O3723" s="66" t="str">
        <f t="shared" si="411"/>
        <v/>
      </c>
      <c r="P3723" s="66" t="str">
        <f t="shared" si="412"/>
        <v/>
      </c>
    </row>
    <row r="3724" spans="8:16">
      <c r="H3724" s="66" t="e">
        <f>IF(LEFT(A3724,6)="CEPNTR","GPINS",VLOOKUP(LEFT(A3724,6),'Code Library'!$A$3:$B$920,2,0))&amp;"_"&amp;RIGHT(A3724,3)</f>
        <v>#N/A</v>
      </c>
      <c r="I3724" s="66">
        <f t="shared" si="406"/>
        <v>0</v>
      </c>
      <c r="K3724" s="66" t="str">
        <f t="shared" si="407"/>
        <v/>
      </c>
      <c r="L3724" s="66" t="str">
        <f t="shared" si="408"/>
        <v/>
      </c>
      <c r="M3724" s="66" t="str">
        <f t="shared" si="409"/>
        <v/>
      </c>
      <c r="N3724" s="66" t="str">
        <f t="shared" si="410"/>
        <v/>
      </c>
      <c r="O3724" s="66" t="str">
        <f t="shared" si="411"/>
        <v/>
      </c>
      <c r="P3724" s="66" t="str">
        <f t="shared" si="412"/>
        <v/>
      </c>
    </row>
    <row r="3725" spans="8:16">
      <c r="H3725" s="66" t="e">
        <f>IF(LEFT(A3725,6)="CEPNTR","GPINS",VLOOKUP(LEFT(A3725,6),'Code Library'!$A$3:$B$920,2,0))&amp;"_"&amp;RIGHT(A3725,3)</f>
        <v>#N/A</v>
      </c>
      <c r="I3725" s="66">
        <f t="shared" si="406"/>
        <v>0</v>
      </c>
      <c r="K3725" s="66" t="str">
        <f t="shared" si="407"/>
        <v/>
      </c>
      <c r="L3725" s="66" t="str">
        <f t="shared" si="408"/>
        <v/>
      </c>
      <c r="M3725" s="66" t="str">
        <f t="shared" si="409"/>
        <v/>
      </c>
      <c r="N3725" s="66" t="str">
        <f t="shared" si="410"/>
        <v/>
      </c>
      <c r="O3725" s="66" t="str">
        <f t="shared" si="411"/>
        <v/>
      </c>
      <c r="P3725" s="66" t="str">
        <f t="shared" si="412"/>
        <v/>
      </c>
    </row>
    <row r="3726" spans="8:16">
      <c r="H3726" s="66" t="e">
        <f>IF(LEFT(A3726,6)="CEPNTR","GPINS",VLOOKUP(LEFT(A3726,6),'Code Library'!$A$3:$B$920,2,0))&amp;"_"&amp;RIGHT(A3726,3)</f>
        <v>#N/A</v>
      </c>
      <c r="I3726" s="66">
        <f t="shared" si="406"/>
        <v>0</v>
      </c>
      <c r="K3726" s="66" t="str">
        <f t="shared" si="407"/>
        <v/>
      </c>
      <c r="L3726" s="66" t="str">
        <f t="shared" si="408"/>
        <v/>
      </c>
      <c r="M3726" s="66" t="str">
        <f t="shared" si="409"/>
        <v/>
      </c>
      <c r="N3726" s="66" t="str">
        <f t="shared" si="410"/>
        <v/>
      </c>
      <c r="O3726" s="66" t="str">
        <f t="shared" si="411"/>
        <v/>
      </c>
      <c r="P3726" s="66" t="str">
        <f t="shared" si="412"/>
        <v/>
      </c>
    </row>
    <row r="3727" spans="8:16">
      <c r="H3727" s="66" t="e">
        <f>IF(LEFT(A3727,6)="CEPNTR","GPINS",VLOOKUP(LEFT(A3727,6),'Code Library'!$A$3:$B$920,2,0))&amp;"_"&amp;RIGHT(A3727,3)</f>
        <v>#N/A</v>
      </c>
      <c r="I3727" s="66">
        <f t="shared" si="406"/>
        <v>0</v>
      </c>
      <c r="K3727" s="66" t="str">
        <f t="shared" si="407"/>
        <v/>
      </c>
      <c r="L3727" s="66" t="str">
        <f t="shared" si="408"/>
        <v/>
      </c>
      <c r="M3727" s="66" t="str">
        <f t="shared" si="409"/>
        <v/>
      </c>
      <c r="N3727" s="66" t="str">
        <f t="shared" si="410"/>
        <v/>
      </c>
      <c r="O3727" s="66" t="str">
        <f t="shared" si="411"/>
        <v/>
      </c>
      <c r="P3727" s="66" t="str">
        <f t="shared" si="412"/>
        <v/>
      </c>
    </row>
    <row r="3728" spans="8:16">
      <c r="H3728" s="66" t="e">
        <f>IF(LEFT(A3728,6)="CEPNTR","GPINS",VLOOKUP(LEFT(A3728,6),'Code Library'!$A$3:$B$920,2,0))&amp;"_"&amp;RIGHT(A3728,3)</f>
        <v>#N/A</v>
      </c>
      <c r="I3728" s="66">
        <f t="shared" si="406"/>
        <v>0</v>
      </c>
      <c r="K3728" s="66" t="str">
        <f t="shared" si="407"/>
        <v/>
      </c>
      <c r="L3728" s="66" t="str">
        <f t="shared" si="408"/>
        <v/>
      </c>
      <c r="M3728" s="66" t="str">
        <f t="shared" si="409"/>
        <v/>
      </c>
      <c r="N3728" s="66" t="str">
        <f t="shared" si="410"/>
        <v/>
      </c>
      <c r="O3728" s="66" t="str">
        <f t="shared" si="411"/>
        <v/>
      </c>
      <c r="P3728" s="66" t="str">
        <f t="shared" si="412"/>
        <v/>
      </c>
    </row>
    <row r="3729" spans="8:16">
      <c r="H3729" s="66" t="e">
        <f>IF(LEFT(A3729,6)="CEPNTR","GPINS",VLOOKUP(LEFT(A3729,6),'Code Library'!$A$3:$B$920,2,0))&amp;"_"&amp;RIGHT(A3729,3)</f>
        <v>#N/A</v>
      </c>
      <c r="I3729" s="66">
        <f t="shared" si="406"/>
        <v>0</v>
      </c>
      <c r="K3729" s="66" t="str">
        <f t="shared" si="407"/>
        <v/>
      </c>
      <c r="L3729" s="66" t="str">
        <f t="shared" si="408"/>
        <v/>
      </c>
      <c r="M3729" s="66" t="str">
        <f t="shared" si="409"/>
        <v/>
      </c>
      <c r="N3729" s="66" t="str">
        <f t="shared" si="410"/>
        <v/>
      </c>
      <c r="O3729" s="66" t="str">
        <f t="shared" si="411"/>
        <v/>
      </c>
      <c r="P3729" s="66" t="str">
        <f t="shared" si="412"/>
        <v/>
      </c>
    </row>
    <row r="3730" spans="8:16">
      <c r="H3730" s="66" t="e">
        <f>IF(LEFT(A3730,6)="CEPNTR","GPINS",VLOOKUP(LEFT(A3730,6),'Code Library'!$A$3:$B$920,2,0))&amp;"_"&amp;RIGHT(A3730,3)</f>
        <v>#N/A</v>
      </c>
      <c r="I3730" s="66">
        <f t="shared" si="406"/>
        <v>0</v>
      </c>
      <c r="K3730" s="66" t="str">
        <f t="shared" si="407"/>
        <v/>
      </c>
      <c r="L3730" s="66" t="str">
        <f t="shared" si="408"/>
        <v/>
      </c>
      <c r="M3730" s="66" t="str">
        <f t="shared" si="409"/>
        <v/>
      </c>
      <c r="N3730" s="66" t="str">
        <f t="shared" si="410"/>
        <v/>
      </c>
      <c r="O3730" s="66" t="str">
        <f t="shared" si="411"/>
        <v/>
      </c>
      <c r="P3730" s="66" t="str">
        <f t="shared" si="412"/>
        <v/>
      </c>
    </row>
    <row r="3731" spans="8:16">
      <c r="H3731" s="66" t="e">
        <f>IF(LEFT(A3731,6)="CEPNTR","GPINS",VLOOKUP(LEFT(A3731,6),'Code Library'!$A$3:$B$920,2,0))&amp;"_"&amp;RIGHT(A3731,3)</f>
        <v>#N/A</v>
      </c>
      <c r="I3731" s="66">
        <f t="shared" si="406"/>
        <v>0</v>
      </c>
      <c r="K3731" s="66" t="str">
        <f t="shared" si="407"/>
        <v/>
      </c>
      <c r="L3731" s="66" t="str">
        <f t="shared" si="408"/>
        <v/>
      </c>
      <c r="M3731" s="66" t="str">
        <f t="shared" si="409"/>
        <v/>
      </c>
      <c r="N3731" s="66" t="str">
        <f t="shared" si="410"/>
        <v/>
      </c>
      <c r="O3731" s="66" t="str">
        <f t="shared" si="411"/>
        <v/>
      </c>
      <c r="P3731" s="66" t="str">
        <f t="shared" si="412"/>
        <v/>
      </c>
    </row>
    <row r="3732" spans="8:16">
      <c r="H3732" s="66" t="e">
        <f>IF(LEFT(A3732,6)="CEPNTR","GPINS",VLOOKUP(LEFT(A3732,6),'Code Library'!$A$3:$B$920,2,0))&amp;"_"&amp;RIGHT(A3732,3)</f>
        <v>#N/A</v>
      </c>
      <c r="I3732" s="66">
        <f t="shared" si="406"/>
        <v>0</v>
      </c>
      <c r="K3732" s="66" t="str">
        <f t="shared" si="407"/>
        <v/>
      </c>
      <c r="L3732" s="66" t="str">
        <f t="shared" si="408"/>
        <v/>
      </c>
      <c r="M3732" s="66" t="str">
        <f t="shared" si="409"/>
        <v/>
      </c>
      <c r="N3732" s="66" t="str">
        <f t="shared" si="410"/>
        <v/>
      </c>
      <c r="O3732" s="66" t="str">
        <f t="shared" si="411"/>
        <v/>
      </c>
      <c r="P3732" s="66" t="str">
        <f t="shared" si="412"/>
        <v/>
      </c>
    </row>
    <row r="3733" spans="8:16">
      <c r="H3733" s="66" t="e">
        <f>IF(LEFT(A3733,6)="CEPNTR","GPINS",VLOOKUP(LEFT(A3733,6),'Code Library'!$A$3:$B$920,2,0))&amp;"_"&amp;RIGHT(A3733,3)</f>
        <v>#N/A</v>
      </c>
      <c r="I3733" s="66">
        <f t="shared" si="406"/>
        <v>0</v>
      </c>
      <c r="K3733" s="66" t="str">
        <f t="shared" si="407"/>
        <v/>
      </c>
      <c r="L3733" s="66" t="str">
        <f t="shared" si="408"/>
        <v/>
      </c>
      <c r="M3733" s="66" t="str">
        <f t="shared" si="409"/>
        <v/>
      </c>
      <c r="N3733" s="66" t="str">
        <f t="shared" si="410"/>
        <v/>
      </c>
      <c r="O3733" s="66" t="str">
        <f t="shared" si="411"/>
        <v/>
      </c>
      <c r="P3733" s="66" t="str">
        <f t="shared" si="412"/>
        <v/>
      </c>
    </row>
    <row r="3734" spans="8:16">
      <c r="H3734" s="66" t="e">
        <f>IF(LEFT(A3734,6)="CEPNTR","GPINS",VLOOKUP(LEFT(A3734,6),'Code Library'!$A$3:$B$920,2,0))&amp;"_"&amp;RIGHT(A3734,3)</f>
        <v>#N/A</v>
      </c>
      <c r="I3734" s="66">
        <f t="shared" si="406"/>
        <v>0</v>
      </c>
      <c r="K3734" s="66" t="str">
        <f t="shared" si="407"/>
        <v/>
      </c>
      <c r="L3734" s="66" t="str">
        <f t="shared" si="408"/>
        <v/>
      </c>
      <c r="M3734" s="66" t="str">
        <f t="shared" si="409"/>
        <v/>
      </c>
      <c r="N3734" s="66" t="str">
        <f t="shared" si="410"/>
        <v/>
      </c>
      <c r="O3734" s="66" t="str">
        <f t="shared" si="411"/>
        <v/>
      </c>
      <c r="P3734" s="66" t="str">
        <f t="shared" si="412"/>
        <v/>
      </c>
    </row>
    <row r="3735" spans="8:16">
      <c r="H3735" s="66" t="e">
        <f>IF(LEFT(A3735,6)="CEPNTR","GPINS",VLOOKUP(LEFT(A3735,6),'Code Library'!$A$3:$B$920,2,0))&amp;"_"&amp;RIGHT(A3735,3)</f>
        <v>#N/A</v>
      </c>
      <c r="I3735" s="66">
        <f t="shared" si="406"/>
        <v>0</v>
      </c>
      <c r="K3735" s="66" t="str">
        <f t="shared" si="407"/>
        <v/>
      </c>
      <c r="L3735" s="66" t="str">
        <f t="shared" si="408"/>
        <v/>
      </c>
      <c r="M3735" s="66" t="str">
        <f t="shared" si="409"/>
        <v/>
      </c>
      <c r="N3735" s="66" t="str">
        <f t="shared" si="410"/>
        <v/>
      </c>
      <c r="O3735" s="66" t="str">
        <f t="shared" si="411"/>
        <v/>
      </c>
      <c r="P3735" s="66" t="str">
        <f t="shared" si="412"/>
        <v/>
      </c>
    </row>
    <row r="3736" spans="8:16">
      <c r="H3736" s="66" t="e">
        <f>IF(LEFT(A3736,6)="CEPNTR","GPINS",VLOOKUP(LEFT(A3736,6),'Code Library'!$A$3:$B$920,2,0))&amp;"_"&amp;RIGHT(A3736,3)</f>
        <v>#N/A</v>
      </c>
      <c r="I3736" s="66">
        <f t="shared" si="406"/>
        <v>0</v>
      </c>
      <c r="K3736" s="66" t="str">
        <f t="shared" si="407"/>
        <v/>
      </c>
      <c r="L3736" s="66" t="str">
        <f t="shared" si="408"/>
        <v/>
      </c>
      <c r="M3736" s="66" t="str">
        <f t="shared" si="409"/>
        <v/>
      </c>
      <c r="N3736" s="66" t="str">
        <f t="shared" si="410"/>
        <v/>
      </c>
      <c r="O3736" s="66" t="str">
        <f t="shared" si="411"/>
        <v/>
      </c>
      <c r="P3736" s="66" t="str">
        <f t="shared" si="412"/>
        <v/>
      </c>
    </row>
    <row r="3737" spans="8:16">
      <c r="H3737" s="66" t="e">
        <f>IF(LEFT(A3737,6)="CEPNTR","GPINS",VLOOKUP(LEFT(A3737,6),'Code Library'!$A$3:$B$920,2,0))&amp;"_"&amp;RIGHT(A3737,3)</f>
        <v>#N/A</v>
      </c>
      <c r="I3737" s="66">
        <f t="shared" si="406"/>
        <v>0</v>
      </c>
      <c r="K3737" s="66" t="str">
        <f t="shared" si="407"/>
        <v/>
      </c>
      <c r="L3737" s="66" t="str">
        <f t="shared" si="408"/>
        <v/>
      </c>
      <c r="M3737" s="66" t="str">
        <f t="shared" si="409"/>
        <v/>
      </c>
      <c r="N3737" s="66" t="str">
        <f t="shared" si="410"/>
        <v/>
      </c>
      <c r="O3737" s="66" t="str">
        <f t="shared" si="411"/>
        <v/>
      </c>
      <c r="P3737" s="66" t="str">
        <f t="shared" si="412"/>
        <v/>
      </c>
    </row>
    <row r="3738" spans="8:16">
      <c r="H3738" s="66" t="e">
        <f>IF(LEFT(A3738,6)="CEPNTR","GPINS",VLOOKUP(LEFT(A3738,6),'Code Library'!$A$3:$B$920,2,0))&amp;"_"&amp;RIGHT(A3738,3)</f>
        <v>#N/A</v>
      </c>
      <c r="I3738" s="66">
        <f t="shared" si="406"/>
        <v>0</v>
      </c>
      <c r="K3738" s="66" t="str">
        <f t="shared" si="407"/>
        <v/>
      </c>
      <c r="L3738" s="66" t="str">
        <f t="shared" si="408"/>
        <v/>
      </c>
      <c r="M3738" s="66" t="str">
        <f t="shared" si="409"/>
        <v/>
      </c>
      <c r="N3738" s="66" t="str">
        <f t="shared" si="410"/>
        <v/>
      </c>
      <c r="O3738" s="66" t="str">
        <f t="shared" si="411"/>
        <v/>
      </c>
      <c r="P3738" s="66" t="str">
        <f t="shared" si="412"/>
        <v/>
      </c>
    </row>
    <row r="3739" spans="8:16">
      <c r="H3739" s="66" t="e">
        <f>IF(LEFT(A3739,6)="CEPNTR","GPINS",VLOOKUP(LEFT(A3739,6),'Code Library'!$A$3:$B$920,2,0))&amp;"_"&amp;RIGHT(A3739,3)</f>
        <v>#N/A</v>
      </c>
      <c r="I3739" s="66">
        <f t="shared" si="406"/>
        <v>0</v>
      </c>
      <c r="K3739" s="66" t="str">
        <f t="shared" si="407"/>
        <v/>
      </c>
      <c r="L3739" s="66" t="str">
        <f t="shared" si="408"/>
        <v/>
      </c>
      <c r="M3739" s="66" t="str">
        <f t="shared" si="409"/>
        <v/>
      </c>
      <c r="N3739" s="66" t="str">
        <f t="shared" si="410"/>
        <v/>
      </c>
      <c r="O3739" s="66" t="str">
        <f t="shared" si="411"/>
        <v/>
      </c>
      <c r="P3739" s="66" t="str">
        <f t="shared" si="412"/>
        <v/>
      </c>
    </row>
    <row r="3740" spans="8:16">
      <c r="H3740" s="66" t="e">
        <f>IF(LEFT(A3740,6)="CEPNTR","GPINS",VLOOKUP(LEFT(A3740,6),'Code Library'!$A$3:$B$920,2,0))&amp;"_"&amp;RIGHT(A3740,3)</f>
        <v>#N/A</v>
      </c>
      <c r="I3740" s="66">
        <f t="shared" si="406"/>
        <v>0</v>
      </c>
      <c r="K3740" s="66" t="str">
        <f t="shared" si="407"/>
        <v/>
      </c>
      <c r="L3740" s="66" t="str">
        <f t="shared" si="408"/>
        <v/>
      </c>
      <c r="M3740" s="66" t="str">
        <f t="shared" si="409"/>
        <v/>
      </c>
      <c r="N3740" s="66" t="str">
        <f t="shared" si="410"/>
        <v/>
      </c>
      <c r="O3740" s="66" t="str">
        <f t="shared" si="411"/>
        <v/>
      </c>
      <c r="P3740" s="66" t="str">
        <f t="shared" si="412"/>
        <v/>
      </c>
    </row>
    <row r="3741" spans="8:16">
      <c r="H3741" s="66" t="e">
        <f>IF(LEFT(A3741,6)="CEPNTR","GPINS",VLOOKUP(LEFT(A3741,6),'Code Library'!$A$3:$B$920,2,0))&amp;"_"&amp;RIGHT(A3741,3)</f>
        <v>#N/A</v>
      </c>
      <c r="I3741" s="66">
        <f t="shared" si="406"/>
        <v>0</v>
      </c>
      <c r="K3741" s="66" t="str">
        <f t="shared" si="407"/>
        <v/>
      </c>
      <c r="L3741" s="66" t="str">
        <f t="shared" si="408"/>
        <v/>
      </c>
      <c r="M3741" s="66" t="str">
        <f t="shared" si="409"/>
        <v/>
      </c>
      <c r="N3741" s="66" t="str">
        <f t="shared" si="410"/>
        <v/>
      </c>
      <c r="O3741" s="66" t="str">
        <f t="shared" si="411"/>
        <v/>
      </c>
      <c r="P3741" s="66" t="str">
        <f t="shared" si="412"/>
        <v/>
      </c>
    </row>
    <row r="3742" spans="8:16">
      <c r="H3742" s="66" t="e">
        <f>IF(LEFT(A3742,6)="CEPNTR","GPINS",VLOOKUP(LEFT(A3742,6),'Code Library'!$A$3:$B$920,2,0))&amp;"_"&amp;RIGHT(A3742,3)</f>
        <v>#N/A</v>
      </c>
      <c r="I3742" s="66">
        <f t="shared" si="406"/>
        <v>0</v>
      </c>
      <c r="K3742" s="66" t="str">
        <f t="shared" si="407"/>
        <v/>
      </c>
      <c r="L3742" s="66" t="str">
        <f t="shared" si="408"/>
        <v/>
      </c>
      <c r="M3742" s="66" t="str">
        <f t="shared" si="409"/>
        <v/>
      </c>
      <c r="N3742" s="66" t="str">
        <f t="shared" si="410"/>
        <v/>
      </c>
      <c r="O3742" s="66" t="str">
        <f t="shared" si="411"/>
        <v/>
      </c>
      <c r="P3742" s="66" t="str">
        <f t="shared" si="412"/>
        <v/>
      </c>
    </row>
    <row r="3743" spans="8:16">
      <c r="H3743" s="66" t="e">
        <f>IF(LEFT(A3743,6)="CEPNTR","GPINS",VLOOKUP(LEFT(A3743,6),'Code Library'!$A$3:$B$920,2,0))&amp;"_"&amp;RIGHT(A3743,3)</f>
        <v>#N/A</v>
      </c>
      <c r="I3743" s="66">
        <f t="shared" si="406"/>
        <v>0</v>
      </c>
      <c r="K3743" s="66" t="str">
        <f t="shared" si="407"/>
        <v/>
      </c>
      <c r="L3743" s="66" t="str">
        <f t="shared" si="408"/>
        <v/>
      </c>
      <c r="M3743" s="66" t="str">
        <f t="shared" si="409"/>
        <v/>
      </c>
      <c r="N3743" s="66" t="str">
        <f t="shared" si="410"/>
        <v/>
      </c>
      <c r="O3743" s="66" t="str">
        <f t="shared" si="411"/>
        <v/>
      </c>
      <c r="P3743" s="66" t="str">
        <f t="shared" si="412"/>
        <v/>
      </c>
    </row>
    <row r="3744" spans="8:16">
      <c r="H3744" s="66" t="e">
        <f>IF(LEFT(A3744,6)="CEPNTR","GPINS",VLOOKUP(LEFT(A3744,6),'Code Library'!$A$3:$B$920,2,0))&amp;"_"&amp;RIGHT(A3744,3)</f>
        <v>#N/A</v>
      </c>
      <c r="I3744" s="66">
        <f t="shared" si="406"/>
        <v>0</v>
      </c>
      <c r="K3744" s="66" t="str">
        <f t="shared" si="407"/>
        <v/>
      </c>
      <c r="L3744" s="66" t="str">
        <f t="shared" si="408"/>
        <v/>
      </c>
      <c r="M3744" s="66" t="str">
        <f t="shared" si="409"/>
        <v/>
      </c>
      <c r="N3744" s="66" t="str">
        <f t="shared" si="410"/>
        <v/>
      </c>
      <c r="O3744" s="66" t="str">
        <f t="shared" si="411"/>
        <v/>
      </c>
      <c r="P3744" s="66" t="str">
        <f t="shared" si="412"/>
        <v/>
      </c>
    </row>
    <row r="3745" spans="8:16">
      <c r="H3745" s="66" t="e">
        <f>IF(LEFT(A3745,6)="CEPNTR","GPINS",VLOOKUP(LEFT(A3745,6),'Code Library'!$A$3:$B$920,2,0))&amp;"_"&amp;RIGHT(A3745,3)</f>
        <v>#N/A</v>
      </c>
      <c r="I3745" s="66">
        <f t="shared" si="406"/>
        <v>0</v>
      </c>
      <c r="K3745" s="66" t="str">
        <f t="shared" si="407"/>
        <v/>
      </c>
      <c r="L3745" s="66" t="str">
        <f t="shared" si="408"/>
        <v/>
      </c>
      <c r="M3745" s="66" t="str">
        <f t="shared" si="409"/>
        <v/>
      </c>
      <c r="N3745" s="66" t="str">
        <f t="shared" si="410"/>
        <v/>
      </c>
      <c r="O3745" s="66" t="str">
        <f t="shared" si="411"/>
        <v/>
      </c>
      <c r="P3745" s="66" t="str">
        <f t="shared" si="412"/>
        <v/>
      </c>
    </row>
    <row r="3746" spans="8:16">
      <c r="H3746" s="66" t="e">
        <f>IF(LEFT(A3746,6)="CEPNTR","GPINS",VLOOKUP(LEFT(A3746,6),'Code Library'!$A$3:$B$920,2,0))&amp;"_"&amp;RIGHT(A3746,3)</f>
        <v>#N/A</v>
      </c>
      <c r="I3746" s="66">
        <f t="shared" si="406"/>
        <v>0</v>
      </c>
      <c r="K3746" s="66" t="str">
        <f t="shared" si="407"/>
        <v/>
      </c>
      <c r="L3746" s="66" t="str">
        <f t="shared" si="408"/>
        <v/>
      </c>
      <c r="M3746" s="66" t="str">
        <f t="shared" si="409"/>
        <v/>
      </c>
      <c r="N3746" s="66" t="str">
        <f t="shared" si="410"/>
        <v/>
      </c>
      <c r="O3746" s="66" t="str">
        <f t="shared" si="411"/>
        <v/>
      </c>
      <c r="P3746" s="66" t="str">
        <f t="shared" si="412"/>
        <v/>
      </c>
    </row>
    <row r="3747" spans="8:16">
      <c r="H3747" s="66" t="e">
        <f>IF(LEFT(A3747,6)="CEPNTR","GPINS",VLOOKUP(LEFT(A3747,6),'Code Library'!$A$3:$B$920,2,0))&amp;"_"&amp;RIGHT(A3747,3)</f>
        <v>#N/A</v>
      </c>
      <c r="I3747" s="66">
        <f t="shared" si="406"/>
        <v>0</v>
      </c>
      <c r="K3747" s="66" t="str">
        <f t="shared" si="407"/>
        <v/>
      </c>
      <c r="L3747" s="66" t="str">
        <f t="shared" si="408"/>
        <v/>
      </c>
      <c r="M3747" s="66" t="str">
        <f t="shared" si="409"/>
        <v/>
      </c>
      <c r="N3747" s="66" t="str">
        <f t="shared" si="410"/>
        <v/>
      </c>
      <c r="O3747" s="66" t="str">
        <f t="shared" si="411"/>
        <v/>
      </c>
      <c r="P3747" s="66" t="str">
        <f t="shared" si="412"/>
        <v/>
      </c>
    </row>
    <row r="3748" spans="8:16">
      <c r="H3748" s="66" t="e">
        <f>IF(LEFT(A3748,6)="CEPNTR","GPINS",VLOOKUP(LEFT(A3748,6),'Code Library'!$A$3:$B$920,2,0))&amp;"_"&amp;RIGHT(A3748,3)</f>
        <v>#N/A</v>
      </c>
      <c r="I3748" s="66">
        <f t="shared" si="406"/>
        <v>0</v>
      </c>
      <c r="K3748" s="66" t="str">
        <f t="shared" si="407"/>
        <v/>
      </c>
      <c r="L3748" s="66" t="str">
        <f t="shared" si="408"/>
        <v/>
      </c>
      <c r="M3748" s="66" t="str">
        <f t="shared" si="409"/>
        <v/>
      </c>
      <c r="N3748" s="66" t="str">
        <f t="shared" si="410"/>
        <v/>
      </c>
      <c r="O3748" s="66" t="str">
        <f t="shared" si="411"/>
        <v/>
      </c>
      <c r="P3748" s="66" t="str">
        <f t="shared" si="412"/>
        <v/>
      </c>
    </row>
    <row r="3749" spans="8:16">
      <c r="H3749" s="66" t="e">
        <f>IF(LEFT(A3749,6)="CEPNTR","GPINS",VLOOKUP(LEFT(A3749,6),'Code Library'!$A$3:$B$920,2,0))&amp;"_"&amp;RIGHT(A3749,3)</f>
        <v>#N/A</v>
      </c>
      <c r="I3749" s="66">
        <f t="shared" si="406"/>
        <v>0</v>
      </c>
      <c r="K3749" s="66" t="str">
        <f t="shared" si="407"/>
        <v/>
      </c>
      <c r="L3749" s="66" t="str">
        <f t="shared" si="408"/>
        <v/>
      </c>
      <c r="M3749" s="66" t="str">
        <f t="shared" si="409"/>
        <v/>
      </c>
      <c r="N3749" s="66" t="str">
        <f t="shared" si="410"/>
        <v/>
      </c>
      <c r="O3749" s="66" t="str">
        <f t="shared" si="411"/>
        <v/>
      </c>
      <c r="P3749" s="66" t="str">
        <f t="shared" si="412"/>
        <v/>
      </c>
    </row>
    <row r="3750" spans="8:16">
      <c r="H3750" s="66" t="e">
        <f>IF(LEFT(A3750,6)="CEPNTR","GPINS",VLOOKUP(LEFT(A3750,6),'Code Library'!$A$3:$B$920,2,0))&amp;"_"&amp;RIGHT(A3750,3)</f>
        <v>#N/A</v>
      </c>
      <c r="I3750" s="66">
        <f t="shared" si="406"/>
        <v>0</v>
      </c>
      <c r="K3750" s="66" t="str">
        <f t="shared" si="407"/>
        <v/>
      </c>
      <c r="L3750" s="66" t="str">
        <f t="shared" si="408"/>
        <v/>
      </c>
      <c r="M3750" s="66" t="str">
        <f t="shared" si="409"/>
        <v/>
      </c>
      <c r="N3750" s="66" t="str">
        <f t="shared" si="410"/>
        <v/>
      </c>
      <c r="O3750" s="66" t="str">
        <f t="shared" si="411"/>
        <v/>
      </c>
      <c r="P3750" s="66" t="str">
        <f t="shared" si="412"/>
        <v/>
      </c>
    </row>
    <row r="3751" spans="8:16">
      <c r="H3751" s="66" t="e">
        <f>IF(LEFT(A3751,6)="CEPNTR","GPINS",VLOOKUP(LEFT(A3751,6),'Code Library'!$A$3:$B$920,2,0))&amp;"_"&amp;RIGHT(A3751,3)</f>
        <v>#N/A</v>
      </c>
      <c r="I3751" s="66">
        <f t="shared" si="406"/>
        <v>0</v>
      </c>
      <c r="K3751" s="66" t="str">
        <f t="shared" si="407"/>
        <v/>
      </c>
      <c r="L3751" s="66" t="str">
        <f t="shared" si="408"/>
        <v/>
      </c>
      <c r="M3751" s="66" t="str">
        <f t="shared" si="409"/>
        <v/>
      </c>
      <c r="N3751" s="66" t="str">
        <f t="shared" si="410"/>
        <v/>
      </c>
      <c r="O3751" s="66" t="str">
        <f t="shared" si="411"/>
        <v/>
      </c>
      <c r="P3751" s="66" t="str">
        <f t="shared" si="412"/>
        <v/>
      </c>
    </row>
    <row r="3752" spans="8:16">
      <c r="H3752" s="66" t="e">
        <f>IF(LEFT(A3752,6)="CEPNTR","GPINS",VLOOKUP(LEFT(A3752,6),'Code Library'!$A$3:$B$920,2,0))&amp;"_"&amp;RIGHT(A3752,3)</f>
        <v>#N/A</v>
      </c>
      <c r="I3752" s="66">
        <f t="shared" si="406"/>
        <v>0</v>
      </c>
      <c r="K3752" s="66" t="str">
        <f t="shared" si="407"/>
        <v/>
      </c>
      <c r="L3752" s="66" t="str">
        <f t="shared" si="408"/>
        <v/>
      </c>
      <c r="M3752" s="66" t="str">
        <f t="shared" si="409"/>
        <v/>
      </c>
      <c r="N3752" s="66" t="str">
        <f t="shared" si="410"/>
        <v/>
      </c>
      <c r="O3752" s="66" t="str">
        <f t="shared" si="411"/>
        <v/>
      </c>
      <c r="P3752" s="66" t="str">
        <f t="shared" si="412"/>
        <v/>
      </c>
    </row>
    <row r="3753" spans="8:16">
      <c r="H3753" s="66" t="e">
        <f>IF(LEFT(A3753,6)="CEPNTR","GPINS",VLOOKUP(LEFT(A3753,6),'Code Library'!$A$3:$B$920,2,0))&amp;"_"&amp;RIGHT(A3753,3)</f>
        <v>#N/A</v>
      </c>
      <c r="I3753" s="66">
        <f t="shared" si="406"/>
        <v>0</v>
      </c>
      <c r="K3753" s="66" t="str">
        <f t="shared" si="407"/>
        <v/>
      </c>
      <c r="L3753" s="66" t="str">
        <f t="shared" si="408"/>
        <v/>
      </c>
      <c r="M3753" s="66" t="str">
        <f t="shared" si="409"/>
        <v/>
      </c>
      <c r="N3753" s="66" t="str">
        <f t="shared" si="410"/>
        <v/>
      </c>
      <c r="O3753" s="66" t="str">
        <f t="shared" si="411"/>
        <v/>
      </c>
      <c r="P3753" s="66" t="str">
        <f t="shared" si="412"/>
        <v/>
      </c>
    </row>
    <row r="3754" spans="8:16">
      <c r="H3754" s="66" t="e">
        <f>IF(LEFT(A3754,6)="CEPNTR","GPINS",VLOOKUP(LEFT(A3754,6),'Code Library'!$A$3:$B$920,2,0))&amp;"_"&amp;RIGHT(A3754,3)</f>
        <v>#N/A</v>
      </c>
      <c r="I3754" s="66">
        <f t="shared" si="406"/>
        <v>0</v>
      </c>
      <c r="K3754" s="66" t="str">
        <f t="shared" si="407"/>
        <v/>
      </c>
      <c r="L3754" s="66" t="str">
        <f t="shared" si="408"/>
        <v/>
      </c>
      <c r="M3754" s="66" t="str">
        <f t="shared" si="409"/>
        <v/>
      </c>
      <c r="N3754" s="66" t="str">
        <f t="shared" si="410"/>
        <v/>
      </c>
      <c r="O3754" s="66" t="str">
        <f t="shared" si="411"/>
        <v/>
      </c>
      <c r="P3754" s="66" t="str">
        <f t="shared" si="412"/>
        <v/>
      </c>
    </row>
    <row r="3755" spans="8:16">
      <c r="H3755" s="66" t="e">
        <f>IF(LEFT(A3755,6)="CEPNTR","GPINS",VLOOKUP(LEFT(A3755,6),'Code Library'!$A$3:$B$920,2,0))&amp;"_"&amp;RIGHT(A3755,3)</f>
        <v>#N/A</v>
      </c>
      <c r="I3755" s="66">
        <f t="shared" si="406"/>
        <v>0</v>
      </c>
      <c r="K3755" s="66" t="str">
        <f t="shared" si="407"/>
        <v/>
      </c>
      <c r="L3755" s="66" t="str">
        <f t="shared" si="408"/>
        <v/>
      </c>
      <c r="M3755" s="66" t="str">
        <f t="shared" si="409"/>
        <v/>
      </c>
      <c r="N3755" s="66" t="str">
        <f t="shared" si="410"/>
        <v/>
      </c>
      <c r="O3755" s="66" t="str">
        <f t="shared" si="411"/>
        <v/>
      </c>
      <c r="P3755" s="66" t="str">
        <f t="shared" si="412"/>
        <v/>
      </c>
    </row>
    <row r="3756" spans="8:16">
      <c r="H3756" s="66" t="e">
        <f>IF(LEFT(A3756,6)="CEPNTR","GPINS",VLOOKUP(LEFT(A3756,6),'Code Library'!$A$3:$B$920,2,0))&amp;"_"&amp;RIGHT(A3756,3)</f>
        <v>#N/A</v>
      </c>
      <c r="I3756" s="66">
        <f t="shared" si="406"/>
        <v>0</v>
      </c>
      <c r="K3756" s="66" t="str">
        <f t="shared" si="407"/>
        <v/>
      </c>
      <c r="L3756" s="66" t="str">
        <f t="shared" si="408"/>
        <v/>
      </c>
      <c r="M3756" s="66" t="str">
        <f t="shared" si="409"/>
        <v/>
      </c>
      <c r="N3756" s="66" t="str">
        <f t="shared" si="410"/>
        <v/>
      </c>
      <c r="O3756" s="66" t="str">
        <f t="shared" si="411"/>
        <v/>
      </c>
      <c r="P3756" s="66" t="str">
        <f t="shared" si="412"/>
        <v/>
      </c>
    </row>
    <row r="3757" spans="8:16">
      <c r="H3757" s="66" t="e">
        <f>IF(LEFT(A3757,6)="CEPNTR","GPINS",VLOOKUP(LEFT(A3757,6),'Code Library'!$A$3:$B$920,2,0))&amp;"_"&amp;RIGHT(A3757,3)</f>
        <v>#N/A</v>
      </c>
      <c r="I3757" s="66">
        <f t="shared" si="406"/>
        <v>0</v>
      </c>
      <c r="K3757" s="66" t="str">
        <f t="shared" si="407"/>
        <v/>
      </c>
      <c r="L3757" s="66" t="str">
        <f t="shared" si="408"/>
        <v/>
      </c>
      <c r="M3757" s="66" t="str">
        <f t="shared" si="409"/>
        <v/>
      </c>
      <c r="N3757" s="66" t="str">
        <f t="shared" si="410"/>
        <v/>
      </c>
      <c r="O3757" s="66" t="str">
        <f t="shared" si="411"/>
        <v/>
      </c>
      <c r="P3757" s="66" t="str">
        <f t="shared" si="412"/>
        <v/>
      </c>
    </row>
    <row r="3758" spans="8:16">
      <c r="H3758" s="66" t="e">
        <f>IF(LEFT(A3758,6)="CEPNTR","GPINS",VLOOKUP(LEFT(A3758,6),'Code Library'!$A$3:$B$920,2,0))&amp;"_"&amp;RIGHT(A3758,3)</f>
        <v>#N/A</v>
      </c>
      <c r="I3758" s="66">
        <f t="shared" si="406"/>
        <v>0</v>
      </c>
      <c r="K3758" s="66" t="str">
        <f t="shared" si="407"/>
        <v/>
      </c>
      <c r="L3758" s="66" t="str">
        <f t="shared" si="408"/>
        <v/>
      </c>
      <c r="M3758" s="66" t="str">
        <f t="shared" si="409"/>
        <v/>
      </c>
      <c r="N3758" s="66" t="str">
        <f t="shared" si="410"/>
        <v/>
      </c>
      <c r="O3758" s="66" t="str">
        <f t="shared" si="411"/>
        <v/>
      </c>
      <c r="P3758" s="66" t="str">
        <f t="shared" si="412"/>
        <v/>
      </c>
    </row>
    <row r="3759" spans="8:16">
      <c r="H3759" s="66" t="e">
        <f>IF(LEFT(A3759,6)="CEPNTR","GPINS",VLOOKUP(LEFT(A3759,6),'Code Library'!$A$3:$B$920,2,0))&amp;"_"&amp;RIGHT(A3759,3)</f>
        <v>#N/A</v>
      </c>
      <c r="I3759" s="66">
        <f t="shared" si="406"/>
        <v>0</v>
      </c>
      <c r="K3759" s="66" t="str">
        <f t="shared" si="407"/>
        <v/>
      </c>
      <c r="L3759" s="66" t="str">
        <f t="shared" si="408"/>
        <v/>
      </c>
      <c r="M3759" s="66" t="str">
        <f t="shared" si="409"/>
        <v/>
      </c>
      <c r="N3759" s="66" t="str">
        <f t="shared" si="410"/>
        <v/>
      </c>
      <c r="O3759" s="66" t="str">
        <f t="shared" si="411"/>
        <v/>
      </c>
      <c r="P3759" s="66" t="str">
        <f t="shared" si="412"/>
        <v/>
      </c>
    </row>
    <row r="3760" spans="8:16">
      <c r="H3760" s="66" t="e">
        <f>IF(LEFT(A3760,6)="CEPNTR","GPINS",VLOOKUP(LEFT(A3760,6),'Code Library'!$A$3:$B$920,2,0))&amp;"_"&amp;RIGHT(A3760,3)</f>
        <v>#N/A</v>
      </c>
      <c r="I3760" s="66">
        <f t="shared" si="406"/>
        <v>0</v>
      </c>
      <c r="K3760" s="66" t="str">
        <f t="shared" si="407"/>
        <v/>
      </c>
      <c r="L3760" s="66" t="str">
        <f t="shared" si="408"/>
        <v/>
      </c>
      <c r="M3760" s="66" t="str">
        <f t="shared" si="409"/>
        <v/>
      </c>
      <c r="N3760" s="66" t="str">
        <f t="shared" si="410"/>
        <v/>
      </c>
      <c r="O3760" s="66" t="str">
        <f t="shared" si="411"/>
        <v/>
      </c>
      <c r="P3760" s="66" t="str">
        <f t="shared" si="412"/>
        <v/>
      </c>
    </row>
    <row r="3761" spans="8:16">
      <c r="H3761" s="66" t="e">
        <f>IF(LEFT(A3761,6)="CEPNTR","GPINS",VLOOKUP(LEFT(A3761,6),'Code Library'!$A$3:$B$920,2,0))&amp;"_"&amp;RIGHT(A3761,3)</f>
        <v>#N/A</v>
      </c>
      <c r="I3761" s="66">
        <f t="shared" si="406"/>
        <v>0</v>
      </c>
      <c r="K3761" s="66" t="str">
        <f t="shared" si="407"/>
        <v/>
      </c>
      <c r="L3761" s="66" t="str">
        <f t="shared" si="408"/>
        <v/>
      </c>
      <c r="M3761" s="66" t="str">
        <f t="shared" si="409"/>
        <v/>
      </c>
      <c r="N3761" s="66" t="str">
        <f t="shared" si="410"/>
        <v/>
      </c>
      <c r="O3761" s="66" t="str">
        <f t="shared" si="411"/>
        <v/>
      </c>
      <c r="P3761" s="66" t="str">
        <f t="shared" si="412"/>
        <v/>
      </c>
    </row>
    <row r="3762" spans="8:16">
      <c r="H3762" s="66" t="e">
        <f>IF(LEFT(A3762,6)="CEPNTR","GPINS",VLOOKUP(LEFT(A3762,6),'Code Library'!$A$3:$B$920,2,0))&amp;"_"&amp;RIGHT(A3762,3)</f>
        <v>#N/A</v>
      </c>
      <c r="I3762" s="66">
        <f t="shared" si="406"/>
        <v>0</v>
      </c>
      <c r="K3762" s="66" t="str">
        <f t="shared" si="407"/>
        <v/>
      </c>
      <c r="L3762" s="66" t="str">
        <f t="shared" si="408"/>
        <v/>
      </c>
      <c r="M3762" s="66" t="str">
        <f t="shared" si="409"/>
        <v/>
      </c>
      <c r="N3762" s="66" t="str">
        <f t="shared" si="410"/>
        <v/>
      </c>
      <c r="O3762" s="66" t="str">
        <f t="shared" si="411"/>
        <v/>
      </c>
      <c r="P3762" s="66" t="str">
        <f t="shared" si="412"/>
        <v/>
      </c>
    </row>
    <row r="3763" spans="8:16">
      <c r="H3763" s="66" t="e">
        <f>IF(LEFT(A3763,6)="CEPNTR","GPINS",VLOOKUP(LEFT(A3763,6),'Code Library'!$A$3:$B$920,2,0))&amp;"_"&amp;RIGHT(A3763,3)</f>
        <v>#N/A</v>
      </c>
      <c r="I3763" s="66">
        <f t="shared" si="406"/>
        <v>0</v>
      </c>
      <c r="K3763" s="66" t="str">
        <f t="shared" si="407"/>
        <v/>
      </c>
      <c r="L3763" s="66" t="str">
        <f t="shared" si="408"/>
        <v/>
      </c>
      <c r="M3763" s="66" t="str">
        <f t="shared" si="409"/>
        <v/>
      </c>
      <c r="N3763" s="66" t="str">
        <f t="shared" si="410"/>
        <v/>
      </c>
      <c r="O3763" s="66" t="str">
        <f t="shared" si="411"/>
        <v/>
      </c>
      <c r="P3763" s="66" t="str">
        <f t="shared" si="412"/>
        <v/>
      </c>
    </row>
    <row r="3764" spans="8:16">
      <c r="H3764" s="66" t="e">
        <f>IF(LEFT(A3764,6)="CEPNTR","GPINS",VLOOKUP(LEFT(A3764,6),'Code Library'!$A$3:$B$920,2,0))&amp;"_"&amp;RIGHT(A3764,3)</f>
        <v>#N/A</v>
      </c>
      <c r="I3764" s="66">
        <f t="shared" si="406"/>
        <v>0</v>
      </c>
      <c r="K3764" s="66" t="str">
        <f t="shared" si="407"/>
        <v/>
      </c>
      <c r="L3764" s="66" t="str">
        <f t="shared" si="408"/>
        <v/>
      </c>
      <c r="M3764" s="66" t="str">
        <f t="shared" si="409"/>
        <v/>
      </c>
      <c r="N3764" s="66" t="str">
        <f t="shared" si="410"/>
        <v/>
      </c>
      <c r="O3764" s="66" t="str">
        <f t="shared" si="411"/>
        <v/>
      </c>
      <c r="P3764" s="66" t="str">
        <f t="shared" si="412"/>
        <v/>
      </c>
    </row>
    <row r="3765" spans="8:16">
      <c r="H3765" s="66" t="e">
        <f>IF(LEFT(A3765,6)="CEPNTR","GPINS",VLOOKUP(LEFT(A3765,6),'Code Library'!$A$3:$B$920,2,0))&amp;"_"&amp;RIGHT(A3765,3)</f>
        <v>#N/A</v>
      </c>
      <c r="I3765" s="66">
        <f t="shared" si="406"/>
        <v>0</v>
      </c>
      <c r="K3765" s="66" t="str">
        <f t="shared" si="407"/>
        <v/>
      </c>
      <c r="L3765" s="66" t="str">
        <f t="shared" si="408"/>
        <v/>
      </c>
      <c r="M3765" s="66" t="str">
        <f t="shared" si="409"/>
        <v/>
      </c>
      <c r="N3765" s="66" t="str">
        <f t="shared" si="410"/>
        <v/>
      </c>
      <c r="O3765" s="66" t="str">
        <f t="shared" si="411"/>
        <v/>
      </c>
      <c r="P3765" s="66" t="str">
        <f t="shared" si="412"/>
        <v/>
      </c>
    </row>
    <row r="3766" spans="8:16">
      <c r="H3766" s="66" t="e">
        <f>IF(LEFT(A3766,6)="CEPNTR","GPINS",VLOOKUP(LEFT(A3766,6),'Code Library'!$A$3:$B$920,2,0))&amp;"_"&amp;RIGHT(A3766,3)</f>
        <v>#N/A</v>
      </c>
      <c r="I3766" s="66">
        <f t="shared" si="406"/>
        <v>0</v>
      </c>
      <c r="K3766" s="66" t="str">
        <f t="shared" si="407"/>
        <v/>
      </c>
      <c r="L3766" s="66" t="str">
        <f t="shared" si="408"/>
        <v/>
      </c>
      <c r="M3766" s="66" t="str">
        <f t="shared" si="409"/>
        <v/>
      </c>
      <c r="N3766" s="66" t="str">
        <f t="shared" si="410"/>
        <v/>
      </c>
      <c r="O3766" s="66" t="str">
        <f t="shared" si="411"/>
        <v/>
      </c>
      <c r="P3766" s="66" t="str">
        <f t="shared" si="412"/>
        <v/>
      </c>
    </row>
    <row r="3767" spans="8:16">
      <c r="H3767" s="66" t="e">
        <f>IF(LEFT(A3767,6)="CEPNTR","GPINS",VLOOKUP(LEFT(A3767,6),'Code Library'!$A$3:$B$920,2,0))&amp;"_"&amp;RIGHT(A3767,3)</f>
        <v>#N/A</v>
      </c>
      <c r="I3767" s="66">
        <f t="shared" si="406"/>
        <v>0</v>
      </c>
      <c r="K3767" s="66" t="str">
        <f t="shared" si="407"/>
        <v/>
      </c>
      <c r="L3767" s="66" t="str">
        <f t="shared" si="408"/>
        <v/>
      </c>
      <c r="M3767" s="66" t="str">
        <f t="shared" si="409"/>
        <v/>
      </c>
      <c r="N3767" s="66" t="str">
        <f t="shared" si="410"/>
        <v/>
      </c>
      <c r="O3767" s="66" t="str">
        <f t="shared" si="411"/>
        <v/>
      </c>
      <c r="P3767" s="66" t="str">
        <f t="shared" si="412"/>
        <v/>
      </c>
    </row>
    <row r="3768" spans="8:16">
      <c r="H3768" s="66" t="e">
        <f>IF(LEFT(A3768,6)="CEPNTR","GPINS",VLOOKUP(LEFT(A3768,6),'Code Library'!$A$3:$B$920,2,0))&amp;"_"&amp;RIGHT(A3768,3)</f>
        <v>#N/A</v>
      </c>
      <c r="I3768" s="66">
        <f t="shared" si="406"/>
        <v>0</v>
      </c>
      <c r="K3768" s="66" t="str">
        <f t="shared" si="407"/>
        <v/>
      </c>
      <c r="L3768" s="66" t="str">
        <f t="shared" si="408"/>
        <v/>
      </c>
      <c r="M3768" s="66" t="str">
        <f t="shared" si="409"/>
        <v/>
      </c>
      <c r="N3768" s="66" t="str">
        <f t="shared" si="410"/>
        <v/>
      </c>
      <c r="O3768" s="66" t="str">
        <f t="shared" si="411"/>
        <v/>
      </c>
      <c r="P3768" s="66" t="str">
        <f t="shared" si="412"/>
        <v/>
      </c>
    </row>
    <row r="3769" spans="8:16">
      <c r="H3769" s="66" t="e">
        <f>IF(LEFT(A3769,6)="CEPNTR","GPINS",VLOOKUP(LEFT(A3769,6),'Code Library'!$A$3:$B$920,2,0))&amp;"_"&amp;RIGHT(A3769,3)</f>
        <v>#N/A</v>
      </c>
      <c r="I3769" s="66">
        <f t="shared" si="406"/>
        <v>0</v>
      </c>
      <c r="K3769" s="66" t="str">
        <f t="shared" si="407"/>
        <v/>
      </c>
      <c r="L3769" s="66" t="str">
        <f t="shared" si="408"/>
        <v/>
      </c>
      <c r="M3769" s="66" t="str">
        <f t="shared" si="409"/>
        <v/>
      </c>
      <c r="N3769" s="66" t="str">
        <f t="shared" si="410"/>
        <v/>
      </c>
      <c r="O3769" s="66" t="str">
        <f t="shared" si="411"/>
        <v/>
      </c>
      <c r="P3769" s="66" t="str">
        <f t="shared" si="412"/>
        <v/>
      </c>
    </row>
    <row r="3770" spans="8:16">
      <c r="H3770" s="66" t="e">
        <f>IF(LEFT(A3770,6)="CEPNTR","GPINS",VLOOKUP(LEFT(A3770,6),'Code Library'!$A$3:$B$920,2,0))&amp;"_"&amp;RIGHT(A3770,3)</f>
        <v>#N/A</v>
      </c>
      <c r="I3770" s="66">
        <f t="shared" si="406"/>
        <v>0</v>
      </c>
      <c r="K3770" s="66" t="str">
        <f t="shared" si="407"/>
        <v/>
      </c>
      <c r="L3770" s="66" t="str">
        <f t="shared" si="408"/>
        <v/>
      </c>
      <c r="M3770" s="66" t="str">
        <f t="shared" si="409"/>
        <v/>
      </c>
      <c r="N3770" s="66" t="str">
        <f t="shared" si="410"/>
        <v/>
      </c>
      <c r="O3770" s="66" t="str">
        <f t="shared" si="411"/>
        <v/>
      </c>
      <c r="P3770" s="66" t="str">
        <f t="shared" si="412"/>
        <v/>
      </c>
    </row>
    <row r="3771" spans="8:16">
      <c r="H3771" s="66" t="e">
        <f>IF(LEFT(A3771,6)="CEPNTR","GPINS",VLOOKUP(LEFT(A3771,6),'Code Library'!$A$3:$B$920,2,0))&amp;"_"&amp;RIGHT(A3771,3)</f>
        <v>#N/A</v>
      </c>
      <c r="I3771" s="66">
        <f t="shared" si="406"/>
        <v>0</v>
      </c>
      <c r="K3771" s="66" t="str">
        <f t="shared" si="407"/>
        <v/>
      </c>
      <c r="L3771" s="66" t="str">
        <f t="shared" si="408"/>
        <v/>
      </c>
      <c r="M3771" s="66" t="str">
        <f t="shared" si="409"/>
        <v/>
      </c>
      <c r="N3771" s="66" t="str">
        <f t="shared" si="410"/>
        <v/>
      </c>
      <c r="O3771" s="66" t="str">
        <f t="shared" si="411"/>
        <v/>
      </c>
      <c r="P3771" s="66" t="str">
        <f t="shared" si="412"/>
        <v/>
      </c>
    </row>
    <row r="3772" spans="8:16">
      <c r="H3772" s="66" t="e">
        <f>IF(LEFT(A3772,6)="CEPNTR","GPINS",VLOOKUP(LEFT(A3772,6),'Code Library'!$A$3:$B$920,2,0))&amp;"_"&amp;RIGHT(A3772,3)</f>
        <v>#N/A</v>
      </c>
      <c r="I3772" s="66">
        <f t="shared" si="406"/>
        <v>0</v>
      </c>
      <c r="K3772" s="66" t="str">
        <f t="shared" si="407"/>
        <v/>
      </c>
      <c r="L3772" s="66" t="str">
        <f t="shared" si="408"/>
        <v/>
      </c>
      <c r="M3772" s="66" t="str">
        <f t="shared" si="409"/>
        <v/>
      </c>
      <c r="N3772" s="66" t="str">
        <f t="shared" si="410"/>
        <v/>
      </c>
      <c r="O3772" s="66" t="str">
        <f t="shared" si="411"/>
        <v/>
      </c>
      <c r="P3772" s="66" t="str">
        <f t="shared" si="412"/>
        <v/>
      </c>
    </row>
    <row r="3773" spans="8:16">
      <c r="H3773" s="66" t="e">
        <f>IF(LEFT(A3773,6)="CEPNTR","GPINS",VLOOKUP(LEFT(A3773,6),'Code Library'!$A$3:$B$920,2,0))&amp;"_"&amp;RIGHT(A3773,3)</f>
        <v>#N/A</v>
      </c>
      <c r="I3773" s="66">
        <f t="shared" si="406"/>
        <v>0</v>
      </c>
      <c r="K3773" s="66" t="str">
        <f t="shared" si="407"/>
        <v/>
      </c>
      <c r="L3773" s="66" t="str">
        <f t="shared" si="408"/>
        <v/>
      </c>
      <c r="M3773" s="66" t="str">
        <f t="shared" si="409"/>
        <v/>
      </c>
      <c r="N3773" s="66" t="str">
        <f t="shared" si="410"/>
        <v/>
      </c>
      <c r="O3773" s="66" t="str">
        <f t="shared" si="411"/>
        <v/>
      </c>
      <c r="P3773" s="66" t="str">
        <f t="shared" si="412"/>
        <v/>
      </c>
    </row>
    <row r="3774" spans="8:16">
      <c r="H3774" s="66" t="e">
        <f>IF(LEFT(A3774,6)="CEPNTR","GPINS",VLOOKUP(LEFT(A3774,6),'Code Library'!$A$3:$B$920,2,0))&amp;"_"&amp;RIGHT(A3774,3)</f>
        <v>#N/A</v>
      </c>
      <c r="I3774" s="66">
        <f t="shared" si="406"/>
        <v>0</v>
      </c>
      <c r="K3774" s="66" t="str">
        <f t="shared" si="407"/>
        <v/>
      </c>
      <c r="L3774" s="66" t="str">
        <f t="shared" si="408"/>
        <v/>
      </c>
      <c r="M3774" s="66" t="str">
        <f t="shared" si="409"/>
        <v/>
      </c>
      <c r="N3774" s="66" t="str">
        <f t="shared" si="410"/>
        <v/>
      </c>
      <c r="O3774" s="66" t="str">
        <f t="shared" si="411"/>
        <v/>
      </c>
      <c r="P3774" s="66" t="str">
        <f t="shared" si="412"/>
        <v/>
      </c>
    </row>
    <row r="3775" spans="8:16">
      <c r="H3775" s="66" t="e">
        <f>IF(LEFT(A3775,6)="CEPNTR","GPINS",VLOOKUP(LEFT(A3775,6),'Code Library'!$A$3:$B$920,2,0))&amp;"_"&amp;RIGHT(A3775,3)</f>
        <v>#N/A</v>
      </c>
      <c r="I3775" s="66">
        <f t="shared" si="406"/>
        <v>0</v>
      </c>
      <c r="K3775" s="66" t="str">
        <f t="shared" si="407"/>
        <v/>
      </c>
      <c r="L3775" s="66" t="str">
        <f t="shared" si="408"/>
        <v/>
      </c>
      <c r="M3775" s="66" t="str">
        <f t="shared" si="409"/>
        <v/>
      </c>
      <c r="N3775" s="66" t="str">
        <f t="shared" si="410"/>
        <v/>
      </c>
      <c r="O3775" s="66" t="str">
        <f t="shared" si="411"/>
        <v/>
      </c>
      <c r="P3775" s="66" t="str">
        <f t="shared" si="412"/>
        <v/>
      </c>
    </row>
    <row r="3776" spans="8:16">
      <c r="H3776" s="66" t="e">
        <f>IF(LEFT(A3776,6)="CEPNTR","GPINS",VLOOKUP(LEFT(A3776,6),'Code Library'!$A$3:$B$920,2,0))&amp;"_"&amp;RIGHT(A3776,3)</f>
        <v>#N/A</v>
      </c>
      <c r="I3776" s="66">
        <f t="shared" si="406"/>
        <v>0</v>
      </c>
      <c r="K3776" s="66" t="str">
        <f t="shared" si="407"/>
        <v/>
      </c>
      <c r="L3776" s="66" t="str">
        <f t="shared" si="408"/>
        <v/>
      </c>
      <c r="M3776" s="66" t="str">
        <f t="shared" si="409"/>
        <v/>
      </c>
      <c r="N3776" s="66" t="str">
        <f t="shared" si="410"/>
        <v/>
      </c>
      <c r="O3776" s="66" t="str">
        <f t="shared" si="411"/>
        <v/>
      </c>
      <c r="P3776" s="66" t="str">
        <f t="shared" si="412"/>
        <v/>
      </c>
    </row>
    <row r="3777" spans="8:16">
      <c r="H3777" s="66" t="e">
        <f>IF(LEFT(A3777,6)="CEPNTR","GPINS",VLOOKUP(LEFT(A3777,6),'Code Library'!$A$3:$B$920,2,0))&amp;"_"&amp;RIGHT(A3777,3)</f>
        <v>#N/A</v>
      </c>
      <c r="I3777" s="66">
        <f t="shared" si="406"/>
        <v>0</v>
      </c>
      <c r="K3777" s="66" t="str">
        <f t="shared" si="407"/>
        <v/>
      </c>
      <c r="L3777" s="66" t="str">
        <f t="shared" si="408"/>
        <v/>
      </c>
      <c r="M3777" s="66" t="str">
        <f t="shared" si="409"/>
        <v/>
      </c>
      <c r="N3777" s="66" t="str">
        <f t="shared" si="410"/>
        <v/>
      </c>
      <c r="O3777" s="66" t="str">
        <f t="shared" si="411"/>
        <v/>
      </c>
      <c r="P3777" s="66" t="str">
        <f t="shared" si="412"/>
        <v/>
      </c>
    </row>
    <row r="3778" spans="8:16">
      <c r="H3778" s="66" t="e">
        <f>IF(LEFT(A3778,6)="CEPNTR","GPINS",VLOOKUP(LEFT(A3778,6),'Code Library'!$A$3:$B$920,2,0))&amp;"_"&amp;RIGHT(A3778,3)</f>
        <v>#N/A</v>
      </c>
      <c r="I3778" s="66">
        <f t="shared" si="406"/>
        <v>0</v>
      </c>
      <c r="K3778" s="66" t="str">
        <f t="shared" si="407"/>
        <v/>
      </c>
      <c r="L3778" s="66" t="str">
        <f t="shared" si="408"/>
        <v/>
      </c>
      <c r="M3778" s="66" t="str">
        <f t="shared" si="409"/>
        <v/>
      </c>
      <c r="N3778" s="66" t="str">
        <f t="shared" si="410"/>
        <v/>
      </c>
      <c r="O3778" s="66" t="str">
        <f t="shared" si="411"/>
        <v/>
      </c>
      <c r="P3778" s="66" t="str">
        <f t="shared" si="412"/>
        <v/>
      </c>
    </row>
    <row r="3779" spans="8:16">
      <c r="H3779" s="66" t="e">
        <f>IF(LEFT(A3779,6)="CEPNTR","GPINS",VLOOKUP(LEFT(A3779,6),'Code Library'!$A$3:$B$920,2,0))&amp;"_"&amp;RIGHT(A3779,3)</f>
        <v>#N/A</v>
      </c>
      <c r="I3779" s="66">
        <f t="shared" ref="I3779:I3842" si="413">A3779</f>
        <v>0</v>
      </c>
      <c r="K3779" s="66" t="str">
        <f t="shared" ref="K3779:K3842" si="414">RIGHT($B3779,2)</f>
        <v/>
      </c>
      <c r="L3779" s="66" t="str">
        <f t="shared" ref="L3779:L3842" si="415">LEFT(RIGHT($B3779,7),4)</f>
        <v/>
      </c>
      <c r="M3779" s="66" t="str">
        <f t="shared" ref="M3779:M3842" si="416">LEFT(RIGHT($B3779,10),2)</f>
        <v/>
      </c>
      <c r="N3779" s="66" t="str">
        <f t="shared" ref="N3779:N3842" si="417">LEFT(RIGHT($B3779,14),3)</f>
        <v/>
      </c>
      <c r="O3779" s="66" t="str">
        <f t="shared" ref="O3779:O3842" si="418">LEFT(RIGHT($B3779,16),1)</f>
        <v/>
      </c>
      <c r="P3779" s="66" t="str">
        <f t="shared" ref="P3779:P3842" si="419">LEFT(RIGHT($B3779,19),2)</f>
        <v/>
      </c>
    </row>
    <row r="3780" spans="8:16">
      <c r="H3780" s="66" t="e">
        <f>IF(LEFT(A3780,6)="CEPNTR","GPINS",VLOOKUP(LEFT(A3780,6),'Code Library'!$A$3:$B$920,2,0))&amp;"_"&amp;RIGHT(A3780,3)</f>
        <v>#N/A</v>
      </c>
      <c r="I3780" s="66">
        <f t="shared" si="413"/>
        <v>0</v>
      </c>
      <c r="K3780" s="66" t="str">
        <f t="shared" si="414"/>
        <v/>
      </c>
      <c r="L3780" s="66" t="str">
        <f t="shared" si="415"/>
        <v/>
      </c>
      <c r="M3780" s="66" t="str">
        <f t="shared" si="416"/>
        <v/>
      </c>
      <c r="N3780" s="66" t="str">
        <f t="shared" si="417"/>
        <v/>
      </c>
      <c r="O3780" s="66" t="str">
        <f t="shared" si="418"/>
        <v/>
      </c>
      <c r="P3780" s="66" t="str">
        <f t="shared" si="419"/>
        <v/>
      </c>
    </row>
    <row r="3781" spans="8:16">
      <c r="H3781" s="66" t="e">
        <f>IF(LEFT(A3781,6)="CEPNTR","GPINS",VLOOKUP(LEFT(A3781,6),'Code Library'!$A$3:$B$920,2,0))&amp;"_"&amp;RIGHT(A3781,3)</f>
        <v>#N/A</v>
      </c>
      <c r="I3781" s="66">
        <f t="shared" si="413"/>
        <v>0</v>
      </c>
      <c r="K3781" s="66" t="str">
        <f t="shared" si="414"/>
        <v/>
      </c>
      <c r="L3781" s="66" t="str">
        <f t="shared" si="415"/>
        <v/>
      </c>
      <c r="M3781" s="66" t="str">
        <f t="shared" si="416"/>
        <v/>
      </c>
      <c r="N3781" s="66" t="str">
        <f t="shared" si="417"/>
        <v/>
      </c>
      <c r="O3781" s="66" t="str">
        <f t="shared" si="418"/>
        <v/>
      </c>
      <c r="P3781" s="66" t="str">
        <f t="shared" si="419"/>
        <v/>
      </c>
    </row>
    <row r="3782" spans="8:16">
      <c r="H3782" s="66" t="e">
        <f>IF(LEFT(A3782,6)="CEPNTR","GPINS",VLOOKUP(LEFT(A3782,6),'Code Library'!$A$3:$B$920,2,0))&amp;"_"&amp;RIGHT(A3782,3)</f>
        <v>#N/A</v>
      </c>
      <c r="I3782" s="66">
        <f t="shared" si="413"/>
        <v>0</v>
      </c>
      <c r="K3782" s="66" t="str">
        <f t="shared" si="414"/>
        <v/>
      </c>
      <c r="L3782" s="66" t="str">
        <f t="shared" si="415"/>
        <v/>
      </c>
      <c r="M3782" s="66" t="str">
        <f t="shared" si="416"/>
        <v/>
      </c>
      <c r="N3782" s="66" t="str">
        <f t="shared" si="417"/>
        <v/>
      </c>
      <c r="O3782" s="66" t="str">
        <f t="shared" si="418"/>
        <v/>
      </c>
      <c r="P3782" s="66" t="str">
        <f t="shared" si="419"/>
        <v/>
      </c>
    </row>
    <row r="3783" spans="8:16">
      <c r="H3783" s="66" t="e">
        <f>IF(LEFT(A3783,6)="CEPNTR","GPINS",VLOOKUP(LEFT(A3783,6),'Code Library'!$A$3:$B$920,2,0))&amp;"_"&amp;RIGHT(A3783,3)</f>
        <v>#N/A</v>
      </c>
      <c r="I3783" s="66">
        <f t="shared" si="413"/>
        <v>0</v>
      </c>
      <c r="K3783" s="66" t="str">
        <f t="shared" si="414"/>
        <v/>
      </c>
      <c r="L3783" s="66" t="str">
        <f t="shared" si="415"/>
        <v/>
      </c>
      <c r="M3783" s="66" t="str">
        <f t="shared" si="416"/>
        <v/>
      </c>
      <c r="N3783" s="66" t="str">
        <f t="shared" si="417"/>
        <v/>
      </c>
      <c r="O3783" s="66" t="str">
        <f t="shared" si="418"/>
        <v/>
      </c>
      <c r="P3783" s="66" t="str">
        <f t="shared" si="419"/>
        <v/>
      </c>
    </row>
    <row r="3784" spans="8:16">
      <c r="H3784" s="66" t="e">
        <f>IF(LEFT(A3784,6)="CEPNTR","GPINS",VLOOKUP(LEFT(A3784,6),'Code Library'!$A$3:$B$920,2,0))&amp;"_"&amp;RIGHT(A3784,3)</f>
        <v>#N/A</v>
      </c>
      <c r="I3784" s="66">
        <f t="shared" si="413"/>
        <v>0</v>
      </c>
      <c r="K3784" s="66" t="str">
        <f t="shared" si="414"/>
        <v/>
      </c>
      <c r="L3784" s="66" t="str">
        <f t="shared" si="415"/>
        <v/>
      </c>
      <c r="M3784" s="66" t="str">
        <f t="shared" si="416"/>
        <v/>
      </c>
      <c r="N3784" s="66" t="str">
        <f t="shared" si="417"/>
        <v/>
      </c>
      <c r="O3784" s="66" t="str">
        <f t="shared" si="418"/>
        <v/>
      </c>
      <c r="P3784" s="66" t="str">
        <f t="shared" si="419"/>
        <v/>
      </c>
    </row>
    <row r="3785" spans="8:16">
      <c r="H3785" s="66" t="e">
        <f>IF(LEFT(A3785,6)="CEPNTR","GPINS",VLOOKUP(LEFT(A3785,6),'Code Library'!$A$3:$B$920,2,0))&amp;"_"&amp;RIGHT(A3785,3)</f>
        <v>#N/A</v>
      </c>
      <c r="I3785" s="66">
        <f t="shared" si="413"/>
        <v>0</v>
      </c>
      <c r="K3785" s="66" t="str">
        <f t="shared" si="414"/>
        <v/>
      </c>
      <c r="L3785" s="66" t="str">
        <f t="shared" si="415"/>
        <v/>
      </c>
      <c r="M3785" s="66" t="str">
        <f t="shared" si="416"/>
        <v/>
      </c>
      <c r="N3785" s="66" t="str">
        <f t="shared" si="417"/>
        <v/>
      </c>
      <c r="O3785" s="66" t="str">
        <f t="shared" si="418"/>
        <v/>
      </c>
      <c r="P3785" s="66" t="str">
        <f t="shared" si="419"/>
        <v/>
      </c>
    </row>
    <row r="3786" spans="8:16">
      <c r="H3786" s="66" t="e">
        <f>IF(LEFT(A3786,6)="CEPNTR","GPINS",VLOOKUP(LEFT(A3786,6),'Code Library'!$A$3:$B$920,2,0))&amp;"_"&amp;RIGHT(A3786,3)</f>
        <v>#N/A</v>
      </c>
      <c r="I3786" s="66">
        <f t="shared" si="413"/>
        <v>0</v>
      </c>
      <c r="K3786" s="66" t="str">
        <f t="shared" si="414"/>
        <v/>
      </c>
      <c r="L3786" s="66" t="str">
        <f t="shared" si="415"/>
        <v/>
      </c>
      <c r="M3786" s="66" t="str">
        <f t="shared" si="416"/>
        <v/>
      </c>
      <c r="N3786" s="66" t="str">
        <f t="shared" si="417"/>
        <v/>
      </c>
      <c r="O3786" s="66" t="str">
        <f t="shared" si="418"/>
        <v/>
      </c>
      <c r="P3786" s="66" t="str">
        <f t="shared" si="419"/>
        <v/>
      </c>
    </row>
    <row r="3787" spans="8:16">
      <c r="H3787" s="66" t="e">
        <f>IF(LEFT(A3787,6)="CEPNTR","GPINS",VLOOKUP(LEFT(A3787,6),'Code Library'!$A$3:$B$920,2,0))&amp;"_"&amp;RIGHT(A3787,3)</f>
        <v>#N/A</v>
      </c>
      <c r="I3787" s="66">
        <f t="shared" si="413"/>
        <v>0</v>
      </c>
      <c r="K3787" s="66" t="str">
        <f t="shared" si="414"/>
        <v/>
      </c>
      <c r="L3787" s="66" t="str">
        <f t="shared" si="415"/>
        <v/>
      </c>
      <c r="M3787" s="66" t="str">
        <f t="shared" si="416"/>
        <v/>
      </c>
      <c r="N3787" s="66" t="str">
        <f t="shared" si="417"/>
        <v/>
      </c>
      <c r="O3787" s="66" t="str">
        <f t="shared" si="418"/>
        <v/>
      </c>
      <c r="P3787" s="66" t="str">
        <f t="shared" si="419"/>
        <v/>
      </c>
    </row>
    <row r="3788" spans="8:16">
      <c r="H3788" s="66" t="e">
        <f>IF(LEFT(A3788,6)="CEPNTR","GPINS",VLOOKUP(LEFT(A3788,6),'Code Library'!$A$3:$B$920,2,0))&amp;"_"&amp;RIGHT(A3788,3)</f>
        <v>#N/A</v>
      </c>
      <c r="I3788" s="66">
        <f t="shared" si="413"/>
        <v>0</v>
      </c>
      <c r="K3788" s="66" t="str">
        <f t="shared" si="414"/>
        <v/>
      </c>
      <c r="L3788" s="66" t="str">
        <f t="shared" si="415"/>
        <v/>
      </c>
      <c r="M3788" s="66" t="str">
        <f t="shared" si="416"/>
        <v/>
      </c>
      <c r="N3788" s="66" t="str">
        <f t="shared" si="417"/>
        <v/>
      </c>
      <c r="O3788" s="66" t="str">
        <f t="shared" si="418"/>
        <v/>
      </c>
      <c r="P3788" s="66" t="str">
        <f t="shared" si="419"/>
        <v/>
      </c>
    </row>
    <row r="3789" spans="8:16">
      <c r="H3789" s="66" t="e">
        <f>IF(LEFT(A3789,6)="CEPNTR","GPINS",VLOOKUP(LEFT(A3789,6),'Code Library'!$A$3:$B$920,2,0))&amp;"_"&amp;RIGHT(A3789,3)</f>
        <v>#N/A</v>
      </c>
      <c r="I3789" s="66">
        <f t="shared" si="413"/>
        <v>0</v>
      </c>
      <c r="K3789" s="66" t="str">
        <f t="shared" si="414"/>
        <v/>
      </c>
      <c r="L3789" s="66" t="str">
        <f t="shared" si="415"/>
        <v/>
      </c>
      <c r="M3789" s="66" t="str">
        <f t="shared" si="416"/>
        <v/>
      </c>
      <c r="N3789" s="66" t="str">
        <f t="shared" si="417"/>
        <v/>
      </c>
      <c r="O3789" s="66" t="str">
        <f t="shared" si="418"/>
        <v/>
      </c>
      <c r="P3789" s="66" t="str">
        <f t="shared" si="419"/>
        <v/>
      </c>
    </row>
    <row r="3790" spans="8:16">
      <c r="H3790" s="66" t="e">
        <f>IF(LEFT(A3790,6)="CEPNTR","GPINS",VLOOKUP(LEFT(A3790,6),'Code Library'!$A$3:$B$920,2,0))&amp;"_"&amp;RIGHT(A3790,3)</f>
        <v>#N/A</v>
      </c>
      <c r="I3790" s="66">
        <f t="shared" si="413"/>
        <v>0</v>
      </c>
      <c r="K3790" s="66" t="str">
        <f t="shared" si="414"/>
        <v/>
      </c>
      <c r="L3790" s="66" t="str">
        <f t="shared" si="415"/>
        <v/>
      </c>
      <c r="M3790" s="66" t="str">
        <f t="shared" si="416"/>
        <v/>
      </c>
      <c r="N3790" s="66" t="str">
        <f t="shared" si="417"/>
        <v/>
      </c>
      <c r="O3790" s="66" t="str">
        <f t="shared" si="418"/>
        <v/>
      </c>
      <c r="P3790" s="66" t="str">
        <f t="shared" si="419"/>
        <v/>
      </c>
    </row>
    <row r="3791" spans="8:16">
      <c r="H3791" s="66" t="e">
        <f>IF(LEFT(A3791,6)="CEPNTR","GPINS",VLOOKUP(LEFT(A3791,6),'Code Library'!$A$3:$B$920,2,0))&amp;"_"&amp;RIGHT(A3791,3)</f>
        <v>#N/A</v>
      </c>
      <c r="I3791" s="66">
        <f t="shared" si="413"/>
        <v>0</v>
      </c>
      <c r="K3791" s="66" t="str">
        <f t="shared" si="414"/>
        <v/>
      </c>
      <c r="L3791" s="66" t="str">
        <f t="shared" si="415"/>
        <v/>
      </c>
      <c r="M3791" s="66" t="str">
        <f t="shared" si="416"/>
        <v/>
      </c>
      <c r="N3791" s="66" t="str">
        <f t="shared" si="417"/>
        <v/>
      </c>
      <c r="O3791" s="66" t="str">
        <f t="shared" si="418"/>
        <v/>
      </c>
      <c r="P3791" s="66" t="str">
        <f t="shared" si="419"/>
        <v/>
      </c>
    </row>
    <row r="3792" spans="8:16">
      <c r="H3792" s="66" t="e">
        <f>IF(LEFT(A3792,6)="CEPNTR","GPINS",VLOOKUP(LEFT(A3792,6),'Code Library'!$A$3:$B$920,2,0))&amp;"_"&amp;RIGHT(A3792,3)</f>
        <v>#N/A</v>
      </c>
      <c r="I3792" s="66">
        <f t="shared" si="413"/>
        <v>0</v>
      </c>
      <c r="K3792" s="66" t="str">
        <f t="shared" si="414"/>
        <v/>
      </c>
      <c r="L3792" s="66" t="str">
        <f t="shared" si="415"/>
        <v/>
      </c>
      <c r="M3792" s="66" t="str">
        <f t="shared" si="416"/>
        <v/>
      </c>
      <c r="N3792" s="66" t="str">
        <f t="shared" si="417"/>
        <v/>
      </c>
      <c r="O3792" s="66" t="str">
        <f t="shared" si="418"/>
        <v/>
      </c>
      <c r="P3792" s="66" t="str">
        <f t="shared" si="419"/>
        <v/>
      </c>
    </row>
    <row r="3793" spans="8:16">
      <c r="H3793" s="66" t="e">
        <f>IF(LEFT(A3793,6)="CEPNTR","GPINS",VLOOKUP(LEFT(A3793,6),'Code Library'!$A$3:$B$920,2,0))&amp;"_"&amp;RIGHT(A3793,3)</f>
        <v>#N/A</v>
      </c>
      <c r="I3793" s="66">
        <f t="shared" si="413"/>
        <v>0</v>
      </c>
      <c r="K3793" s="66" t="str">
        <f t="shared" si="414"/>
        <v/>
      </c>
      <c r="L3793" s="66" t="str">
        <f t="shared" si="415"/>
        <v/>
      </c>
      <c r="M3793" s="66" t="str">
        <f t="shared" si="416"/>
        <v/>
      </c>
      <c r="N3793" s="66" t="str">
        <f t="shared" si="417"/>
        <v/>
      </c>
      <c r="O3793" s="66" t="str">
        <f t="shared" si="418"/>
        <v/>
      </c>
      <c r="P3793" s="66" t="str">
        <f t="shared" si="419"/>
        <v/>
      </c>
    </row>
    <row r="3794" spans="8:16">
      <c r="H3794" s="66" t="e">
        <f>IF(LEFT(A3794,6)="CEPNTR","GPINS",VLOOKUP(LEFT(A3794,6),'Code Library'!$A$3:$B$920,2,0))&amp;"_"&amp;RIGHT(A3794,3)</f>
        <v>#N/A</v>
      </c>
      <c r="I3794" s="66">
        <f t="shared" si="413"/>
        <v>0</v>
      </c>
      <c r="K3794" s="66" t="str">
        <f t="shared" si="414"/>
        <v/>
      </c>
      <c r="L3794" s="66" t="str">
        <f t="shared" si="415"/>
        <v/>
      </c>
      <c r="M3794" s="66" t="str">
        <f t="shared" si="416"/>
        <v/>
      </c>
      <c r="N3794" s="66" t="str">
        <f t="shared" si="417"/>
        <v/>
      </c>
      <c r="O3794" s="66" t="str">
        <f t="shared" si="418"/>
        <v/>
      </c>
      <c r="P3794" s="66" t="str">
        <f t="shared" si="419"/>
        <v/>
      </c>
    </row>
    <row r="3795" spans="8:16">
      <c r="H3795" s="66" t="e">
        <f>IF(LEFT(A3795,6)="CEPNTR","GPINS",VLOOKUP(LEFT(A3795,6),'Code Library'!$A$3:$B$920,2,0))&amp;"_"&amp;RIGHT(A3795,3)</f>
        <v>#N/A</v>
      </c>
      <c r="I3795" s="66">
        <f t="shared" si="413"/>
        <v>0</v>
      </c>
      <c r="K3795" s="66" t="str">
        <f t="shared" si="414"/>
        <v/>
      </c>
      <c r="L3795" s="66" t="str">
        <f t="shared" si="415"/>
        <v/>
      </c>
      <c r="M3795" s="66" t="str">
        <f t="shared" si="416"/>
        <v/>
      </c>
      <c r="N3795" s="66" t="str">
        <f t="shared" si="417"/>
        <v/>
      </c>
      <c r="O3795" s="66" t="str">
        <f t="shared" si="418"/>
        <v/>
      </c>
      <c r="P3795" s="66" t="str">
        <f t="shared" si="419"/>
        <v/>
      </c>
    </row>
    <row r="3796" spans="8:16">
      <c r="H3796" s="66" t="e">
        <f>IF(LEFT(A3796,6)="CEPNTR","GPINS",VLOOKUP(LEFT(A3796,6),'Code Library'!$A$3:$B$920,2,0))&amp;"_"&amp;RIGHT(A3796,3)</f>
        <v>#N/A</v>
      </c>
      <c r="I3796" s="66">
        <f t="shared" si="413"/>
        <v>0</v>
      </c>
      <c r="K3796" s="66" t="str">
        <f t="shared" si="414"/>
        <v/>
      </c>
      <c r="L3796" s="66" t="str">
        <f t="shared" si="415"/>
        <v/>
      </c>
      <c r="M3796" s="66" t="str">
        <f t="shared" si="416"/>
        <v/>
      </c>
      <c r="N3796" s="66" t="str">
        <f t="shared" si="417"/>
        <v/>
      </c>
      <c r="O3796" s="66" t="str">
        <f t="shared" si="418"/>
        <v/>
      </c>
      <c r="P3796" s="66" t="str">
        <f t="shared" si="419"/>
        <v/>
      </c>
    </row>
    <row r="3797" spans="8:16">
      <c r="H3797" s="66" t="e">
        <f>IF(LEFT(A3797,6)="CEPNTR","GPINS",VLOOKUP(LEFT(A3797,6),'Code Library'!$A$3:$B$920,2,0))&amp;"_"&amp;RIGHT(A3797,3)</f>
        <v>#N/A</v>
      </c>
      <c r="I3797" s="66">
        <f t="shared" si="413"/>
        <v>0</v>
      </c>
      <c r="K3797" s="66" t="str">
        <f t="shared" si="414"/>
        <v/>
      </c>
      <c r="L3797" s="66" t="str">
        <f t="shared" si="415"/>
        <v/>
      </c>
      <c r="M3797" s="66" t="str">
        <f t="shared" si="416"/>
        <v/>
      </c>
      <c r="N3797" s="66" t="str">
        <f t="shared" si="417"/>
        <v/>
      </c>
      <c r="O3797" s="66" t="str">
        <f t="shared" si="418"/>
        <v/>
      </c>
      <c r="P3797" s="66" t="str">
        <f t="shared" si="419"/>
        <v/>
      </c>
    </row>
    <row r="3798" spans="8:16">
      <c r="H3798" s="66" t="e">
        <f>IF(LEFT(A3798,6)="CEPNTR","GPINS",VLOOKUP(LEFT(A3798,6),'Code Library'!$A$3:$B$920,2,0))&amp;"_"&amp;RIGHT(A3798,3)</f>
        <v>#N/A</v>
      </c>
      <c r="I3798" s="66">
        <f t="shared" si="413"/>
        <v>0</v>
      </c>
      <c r="K3798" s="66" t="str">
        <f t="shared" si="414"/>
        <v/>
      </c>
      <c r="L3798" s="66" t="str">
        <f t="shared" si="415"/>
        <v/>
      </c>
      <c r="M3798" s="66" t="str">
        <f t="shared" si="416"/>
        <v/>
      </c>
      <c r="N3798" s="66" t="str">
        <f t="shared" si="417"/>
        <v/>
      </c>
      <c r="O3798" s="66" t="str">
        <f t="shared" si="418"/>
        <v/>
      </c>
      <c r="P3798" s="66" t="str">
        <f t="shared" si="419"/>
        <v/>
      </c>
    </row>
    <row r="3799" spans="8:16">
      <c r="H3799" s="66" t="e">
        <f>IF(LEFT(A3799,6)="CEPNTR","GPINS",VLOOKUP(LEFT(A3799,6),'Code Library'!$A$3:$B$920,2,0))&amp;"_"&amp;RIGHT(A3799,3)</f>
        <v>#N/A</v>
      </c>
      <c r="I3799" s="66">
        <f t="shared" si="413"/>
        <v>0</v>
      </c>
      <c r="K3799" s="66" t="str">
        <f t="shared" si="414"/>
        <v/>
      </c>
      <c r="L3799" s="66" t="str">
        <f t="shared" si="415"/>
        <v/>
      </c>
      <c r="M3799" s="66" t="str">
        <f t="shared" si="416"/>
        <v/>
      </c>
      <c r="N3799" s="66" t="str">
        <f t="shared" si="417"/>
        <v/>
      </c>
      <c r="O3799" s="66" t="str">
        <f t="shared" si="418"/>
        <v/>
      </c>
      <c r="P3799" s="66" t="str">
        <f t="shared" si="419"/>
        <v/>
      </c>
    </row>
    <row r="3800" spans="8:16">
      <c r="H3800" s="66" t="e">
        <f>IF(LEFT(A3800,6)="CEPNTR","GPINS",VLOOKUP(LEFT(A3800,6),'Code Library'!$A$3:$B$920,2,0))&amp;"_"&amp;RIGHT(A3800,3)</f>
        <v>#N/A</v>
      </c>
      <c r="I3800" s="66">
        <f t="shared" si="413"/>
        <v>0</v>
      </c>
      <c r="K3800" s="66" t="str">
        <f t="shared" si="414"/>
        <v/>
      </c>
      <c r="L3800" s="66" t="str">
        <f t="shared" si="415"/>
        <v/>
      </c>
      <c r="M3800" s="66" t="str">
        <f t="shared" si="416"/>
        <v/>
      </c>
      <c r="N3800" s="66" t="str">
        <f t="shared" si="417"/>
        <v/>
      </c>
      <c r="O3800" s="66" t="str">
        <f t="shared" si="418"/>
        <v/>
      </c>
      <c r="P3800" s="66" t="str">
        <f t="shared" si="419"/>
        <v/>
      </c>
    </row>
    <row r="3801" spans="8:16">
      <c r="H3801" s="66" t="e">
        <f>IF(LEFT(A3801,6)="CEPNTR","GPINS",VLOOKUP(LEFT(A3801,6),'Code Library'!$A$3:$B$920,2,0))&amp;"_"&amp;RIGHT(A3801,3)</f>
        <v>#N/A</v>
      </c>
      <c r="I3801" s="66">
        <f t="shared" si="413"/>
        <v>0</v>
      </c>
      <c r="K3801" s="66" t="str">
        <f t="shared" si="414"/>
        <v/>
      </c>
      <c r="L3801" s="66" t="str">
        <f t="shared" si="415"/>
        <v/>
      </c>
      <c r="M3801" s="66" t="str">
        <f t="shared" si="416"/>
        <v/>
      </c>
      <c r="N3801" s="66" t="str">
        <f t="shared" si="417"/>
        <v/>
      </c>
      <c r="O3801" s="66" t="str">
        <f t="shared" si="418"/>
        <v/>
      </c>
      <c r="P3801" s="66" t="str">
        <f t="shared" si="419"/>
        <v/>
      </c>
    </row>
    <row r="3802" spans="8:16">
      <c r="H3802" s="66" t="e">
        <f>IF(LEFT(A3802,6)="CEPNTR","GPINS",VLOOKUP(LEFT(A3802,6),'Code Library'!$A$3:$B$920,2,0))&amp;"_"&amp;RIGHT(A3802,3)</f>
        <v>#N/A</v>
      </c>
      <c r="I3802" s="66">
        <f t="shared" si="413"/>
        <v>0</v>
      </c>
      <c r="K3802" s="66" t="str">
        <f t="shared" si="414"/>
        <v/>
      </c>
      <c r="L3802" s="66" t="str">
        <f t="shared" si="415"/>
        <v/>
      </c>
      <c r="M3802" s="66" t="str">
        <f t="shared" si="416"/>
        <v/>
      </c>
      <c r="N3802" s="66" t="str">
        <f t="shared" si="417"/>
        <v/>
      </c>
      <c r="O3802" s="66" t="str">
        <f t="shared" si="418"/>
        <v/>
      </c>
      <c r="P3802" s="66" t="str">
        <f t="shared" si="419"/>
        <v/>
      </c>
    </row>
    <row r="3803" spans="8:16">
      <c r="H3803" s="66" t="e">
        <f>IF(LEFT(A3803,6)="CEPNTR","GPINS",VLOOKUP(LEFT(A3803,6),'Code Library'!$A$3:$B$920,2,0))&amp;"_"&amp;RIGHT(A3803,3)</f>
        <v>#N/A</v>
      </c>
      <c r="I3803" s="66">
        <f t="shared" si="413"/>
        <v>0</v>
      </c>
      <c r="K3803" s="66" t="str">
        <f t="shared" si="414"/>
        <v/>
      </c>
      <c r="L3803" s="66" t="str">
        <f t="shared" si="415"/>
        <v/>
      </c>
      <c r="M3803" s="66" t="str">
        <f t="shared" si="416"/>
        <v/>
      </c>
      <c r="N3803" s="66" t="str">
        <f t="shared" si="417"/>
        <v/>
      </c>
      <c r="O3803" s="66" t="str">
        <f t="shared" si="418"/>
        <v/>
      </c>
      <c r="P3803" s="66" t="str">
        <f t="shared" si="419"/>
        <v/>
      </c>
    </row>
    <row r="3804" spans="8:16">
      <c r="H3804" s="66" t="e">
        <f>IF(LEFT(A3804,6)="CEPNTR","GPINS",VLOOKUP(LEFT(A3804,6),'Code Library'!$A$3:$B$920,2,0))&amp;"_"&amp;RIGHT(A3804,3)</f>
        <v>#N/A</v>
      </c>
      <c r="I3804" s="66">
        <f t="shared" si="413"/>
        <v>0</v>
      </c>
      <c r="K3804" s="66" t="str">
        <f t="shared" si="414"/>
        <v/>
      </c>
      <c r="L3804" s="66" t="str">
        <f t="shared" si="415"/>
        <v/>
      </c>
      <c r="M3804" s="66" t="str">
        <f t="shared" si="416"/>
        <v/>
      </c>
      <c r="N3804" s="66" t="str">
        <f t="shared" si="417"/>
        <v/>
      </c>
      <c r="O3804" s="66" t="str">
        <f t="shared" si="418"/>
        <v/>
      </c>
      <c r="P3804" s="66" t="str">
        <f t="shared" si="419"/>
        <v/>
      </c>
    </row>
    <row r="3805" spans="8:16">
      <c r="H3805" s="66" t="e">
        <f>IF(LEFT(A3805,6)="CEPNTR","GPINS",VLOOKUP(LEFT(A3805,6),'Code Library'!$A$3:$B$920,2,0))&amp;"_"&amp;RIGHT(A3805,3)</f>
        <v>#N/A</v>
      </c>
      <c r="I3805" s="66">
        <f t="shared" si="413"/>
        <v>0</v>
      </c>
      <c r="K3805" s="66" t="str">
        <f t="shared" si="414"/>
        <v/>
      </c>
      <c r="L3805" s="66" t="str">
        <f t="shared" si="415"/>
        <v/>
      </c>
      <c r="M3805" s="66" t="str">
        <f t="shared" si="416"/>
        <v/>
      </c>
      <c r="N3805" s="66" t="str">
        <f t="shared" si="417"/>
        <v/>
      </c>
      <c r="O3805" s="66" t="str">
        <f t="shared" si="418"/>
        <v/>
      </c>
      <c r="P3805" s="66" t="str">
        <f t="shared" si="419"/>
        <v/>
      </c>
    </row>
    <row r="3806" spans="8:16">
      <c r="H3806" s="66" t="e">
        <f>IF(LEFT(A3806,6)="CEPNTR","GPINS",VLOOKUP(LEFT(A3806,6),'Code Library'!$A$3:$B$920,2,0))&amp;"_"&amp;RIGHT(A3806,3)</f>
        <v>#N/A</v>
      </c>
      <c r="I3806" s="66">
        <f t="shared" si="413"/>
        <v>0</v>
      </c>
      <c r="K3806" s="66" t="str">
        <f t="shared" si="414"/>
        <v/>
      </c>
      <c r="L3806" s="66" t="str">
        <f t="shared" si="415"/>
        <v/>
      </c>
      <c r="M3806" s="66" t="str">
        <f t="shared" si="416"/>
        <v/>
      </c>
      <c r="N3806" s="66" t="str">
        <f t="shared" si="417"/>
        <v/>
      </c>
      <c r="O3806" s="66" t="str">
        <f t="shared" si="418"/>
        <v/>
      </c>
      <c r="P3806" s="66" t="str">
        <f t="shared" si="419"/>
        <v/>
      </c>
    </row>
    <row r="3807" spans="8:16">
      <c r="H3807" s="66" t="e">
        <f>IF(LEFT(A3807,6)="CEPNTR","GPINS",VLOOKUP(LEFT(A3807,6),'Code Library'!$A$3:$B$920,2,0))&amp;"_"&amp;RIGHT(A3807,3)</f>
        <v>#N/A</v>
      </c>
      <c r="I3807" s="66">
        <f t="shared" si="413"/>
        <v>0</v>
      </c>
      <c r="K3807" s="66" t="str">
        <f t="shared" si="414"/>
        <v/>
      </c>
      <c r="L3807" s="66" t="str">
        <f t="shared" si="415"/>
        <v/>
      </c>
      <c r="M3807" s="66" t="str">
        <f t="shared" si="416"/>
        <v/>
      </c>
      <c r="N3807" s="66" t="str">
        <f t="shared" si="417"/>
        <v/>
      </c>
      <c r="O3807" s="66" t="str">
        <f t="shared" si="418"/>
        <v/>
      </c>
      <c r="P3807" s="66" t="str">
        <f t="shared" si="419"/>
        <v/>
      </c>
    </row>
    <row r="3808" spans="8:16">
      <c r="H3808" s="66" t="e">
        <f>IF(LEFT(A3808,6)="CEPNTR","GPINS",VLOOKUP(LEFT(A3808,6),'Code Library'!$A$3:$B$920,2,0))&amp;"_"&amp;RIGHT(A3808,3)</f>
        <v>#N/A</v>
      </c>
      <c r="I3808" s="66">
        <f t="shared" si="413"/>
        <v>0</v>
      </c>
      <c r="K3808" s="66" t="str">
        <f t="shared" si="414"/>
        <v/>
      </c>
      <c r="L3808" s="66" t="str">
        <f t="shared" si="415"/>
        <v/>
      </c>
      <c r="M3808" s="66" t="str">
        <f t="shared" si="416"/>
        <v/>
      </c>
      <c r="N3808" s="66" t="str">
        <f t="shared" si="417"/>
        <v/>
      </c>
      <c r="O3808" s="66" t="str">
        <f t="shared" si="418"/>
        <v/>
      </c>
      <c r="P3808" s="66" t="str">
        <f t="shared" si="419"/>
        <v/>
      </c>
    </row>
    <row r="3809" spans="8:16">
      <c r="H3809" s="66" t="e">
        <f>IF(LEFT(A3809,6)="CEPNTR","GPINS",VLOOKUP(LEFT(A3809,6),'Code Library'!$A$3:$B$920,2,0))&amp;"_"&amp;RIGHT(A3809,3)</f>
        <v>#N/A</v>
      </c>
      <c r="I3809" s="66">
        <f t="shared" si="413"/>
        <v>0</v>
      </c>
      <c r="K3809" s="66" t="str">
        <f t="shared" si="414"/>
        <v/>
      </c>
      <c r="L3809" s="66" t="str">
        <f t="shared" si="415"/>
        <v/>
      </c>
      <c r="M3809" s="66" t="str">
        <f t="shared" si="416"/>
        <v/>
      </c>
      <c r="N3809" s="66" t="str">
        <f t="shared" si="417"/>
        <v/>
      </c>
      <c r="O3809" s="66" t="str">
        <f t="shared" si="418"/>
        <v/>
      </c>
      <c r="P3809" s="66" t="str">
        <f t="shared" si="419"/>
        <v/>
      </c>
    </row>
    <row r="3810" spans="8:16">
      <c r="H3810" s="66" t="e">
        <f>IF(LEFT(A3810,6)="CEPNTR","GPINS",VLOOKUP(LEFT(A3810,6),'Code Library'!$A$3:$B$920,2,0))&amp;"_"&amp;RIGHT(A3810,3)</f>
        <v>#N/A</v>
      </c>
      <c r="I3810" s="66">
        <f t="shared" si="413"/>
        <v>0</v>
      </c>
      <c r="K3810" s="66" t="str">
        <f t="shared" si="414"/>
        <v/>
      </c>
      <c r="L3810" s="66" t="str">
        <f t="shared" si="415"/>
        <v/>
      </c>
      <c r="M3810" s="66" t="str">
        <f t="shared" si="416"/>
        <v/>
      </c>
      <c r="N3810" s="66" t="str">
        <f t="shared" si="417"/>
        <v/>
      </c>
      <c r="O3810" s="66" t="str">
        <f t="shared" si="418"/>
        <v/>
      </c>
      <c r="P3810" s="66" t="str">
        <f t="shared" si="419"/>
        <v/>
      </c>
    </row>
    <row r="3811" spans="8:16">
      <c r="H3811" s="66" t="e">
        <f>IF(LEFT(A3811,6)="CEPNTR","GPINS",VLOOKUP(LEFT(A3811,6),'Code Library'!$A$3:$B$920,2,0))&amp;"_"&amp;RIGHT(A3811,3)</f>
        <v>#N/A</v>
      </c>
      <c r="I3811" s="66">
        <f t="shared" si="413"/>
        <v>0</v>
      </c>
      <c r="K3811" s="66" t="str">
        <f t="shared" si="414"/>
        <v/>
      </c>
      <c r="L3811" s="66" t="str">
        <f t="shared" si="415"/>
        <v/>
      </c>
      <c r="M3811" s="66" t="str">
        <f t="shared" si="416"/>
        <v/>
      </c>
      <c r="N3811" s="66" t="str">
        <f t="shared" si="417"/>
        <v/>
      </c>
      <c r="O3811" s="66" t="str">
        <f t="shared" si="418"/>
        <v/>
      </c>
      <c r="P3811" s="66" t="str">
        <f t="shared" si="419"/>
        <v/>
      </c>
    </row>
    <row r="3812" spans="8:16">
      <c r="H3812" s="66" t="e">
        <f>IF(LEFT(A3812,6)="CEPNTR","GPINS",VLOOKUP(LEFT(A3812,6),'Code Library'!$A$3:$B$920,2,0))&amp;"_"&amp;RIGHT(A3812,3)</f>
        <v>#N/A</v>
      </c>
      <c r="I3812" s="66">
        <f t="shared" si="413"/>
        <v>0</v>
      </c>
      <c r="K3812" s="66" t="str">
        <f t="shared" si="414"/>
        <v/>
      </c>
      <c r="L3812" s="66" t="str">
        <f t="shared" si="415"/>
        <v/>
      </c>
      <c r="M3812" s="66" t="str">
        <f t="shared" si="416"/>
        <v/>
      </c>
      <c r="N3812" s="66" t="str">
        <f t="shared" si="417"/>
        <v/>
      </c>
      <c r="O3812" s="66" t="str">
        <f t="shared" si="418"/>
        <v/>
      </c>
      <c r="P3812" s="66" t="str">
        <f t="shared" si="419"/>
        <v/>
      </c>
    </row>
    <row r="3813" spans="8:16">
      <c r="H3813" s="66" t="e">
        <f>IF(LEFT(A3813,6)="CEPNTR","GPINS",VLOOKUP(LEFT(A3813,6),'Code Library'!$A$3:$B$920,2,0))&amp;"_"&amp;RIGHT(A3813,3)</f>
        <v>#N/A</v>
      </c>
      <c r="I3813" s="66">
        <f t="shared" si="413"/>
        <v>0</v>
      </c>
      <c r="K3813" s="66" t="str">
        <f t="shared" si="414"/>
        <v/>
      </c>
      <c r="L3813" s="66" t="str">
        <f t="shared" si="415"/>
        <v/>
      </c>
      <c r="M3813" s="66" t="str">
        <f t="shared" si="416"/>
        <v/>
      </c>
      <c r="N3813" s="66" t="str">
        <f t="shared" si="417"/>
        <v/>
      </c>
      <c r="O3813" s="66" t="str">
        <f t="shared" si="418"/>
        <v/>
      </c>
      <c r="P3813" s="66" t="str">
        <f t="shared" si="419"/>
        <v/>
      </c>
    </row>
    <row r="3814" spans="8:16">
      <c r="H3814" s="66" t="e">
        <f>IF(LEFT(A3814,6)="CEPNTR","GPINS",VLOOKUP(LEFT(A3814,6),'Code Library'!$A$3:$B$920,2,0))&amp;"_"&amp;RIGHT(A3814,3)</f>
        <v>#N/A</v>
      </c>
      <c r="I3814" s="66">
        <f t="shared" si="413"/>
        <v>0</v>
      </c>
      <c r="K3814" s="66" t="str">
        <f t="shared" si="414"/>
        <v/>
      </c>
      <c r="L3814" s="66" t="str">
        <f t="shared" si="415"/>
        <v/>
      </c>
      <c r="M3814" s="66" t="str">
        <f t="shared" si="416"/>
        <v/>
      </c>
      <c r="N3814" s="66" t="str">
        <f t="shared" si="417"/>
        <v/>
      </c>
      <c r="O3814" s="66" t="str">
        <f t="shared" si="418"/>
        <v/>
      </c>
      <c r="P3814" s="66" t="str">
        <f t="shared" si="419"/>
        <v/>
      </c>
    </row>
    <row r="3815" spans="8:16">
      <c r="H3815" s="66" t="e">
        <f>IF(LEFT(A3815,6)="CEPNTR","GPINS",VLOOKUP(LEFT(A3815,6),'Code Library'!$A$3:$B$920,2,0))&amp;"_"&amp;RIGHT(A3815,3)</f>
        <v>#N/A</v>
      </c>
      <c r="I3815" s="66">
        <f t="shared" si="413"/>
        <v>0</v>
      </c>
      <c r="K3815" s="66" t="str">
        <f t="shared" si="414"/>
        <v/>
      </c>
      <c r="L3815" s="66" t="str">
        <f t="shared" si="415"/>
        <v/>
      </c>
      <c r="M3815" s="66" t="str">
        <f t="shared" si="416"/>
        <v/>
      </c>
      <c r="N3815" s="66" t="str">
        <f t="shared" si="417"/>
        <v/>
      </c>
      <c r="O3815" s="66" t="str">
        <f t="shared" si="418"/>
        <v/>
      </c>
      <c r="P3815" s="66" t="str">
        <f t="shared" si="419"/>
        <v/>
      </c>
    </row>
    <row r="3816" spans="8:16">
      <c r="H3816" s="66" t="e">
        <f>IF(LEFT(A3816,6)="CEPNTR","GPINS",VLOOKUP(LEFT(A3816,6),'Code Library'!$A$3:$B$920,2,0))&amp;"_"&amp;RIGHT(A3816,3)</f>
        <v>#N/A</v>
      </c>
      <c r="I3816" s="66">
        <f t="shared" si="413"/>
        <v>0</v>
      </c>
      <c r="K3816" s="66" t="str">
        <f t="shared" si="414"/>
        <v/>
      </c>
      <c r="L3816" s="66" t="str">
        <f t="shared" si="415"/>
        <v/>
      </c>
      <c r="M3816" s="66" t="str">
        <f t="shared" si="416"/>
        <v/>
      </c>
      <c r="N3816" s="66" t="str">
        <f t="shared" si="417"/>
        <v/>
      </c>
      <c r="O3816" s="66" t="str">
        <f t="shared" si="418"/>
        <v/>
      </c>
      <c r="P3816" s="66" t="str">
        <f t="shared" si="419"/>
        <v/>
      </c>
    </row>
    <row r="3817" spans="8:16">
      <c r="H3817" s="66" t="e">
        <f>IF(LEFT(A3817,6)="CEPNTR","GPINS",VLOOKUP(LEFT(A3817,6),'Code Library'!$A$3:$B$920,2,0))&amp;"_"&amp;RIGHT(A3817,3)</f>
        <v>#N/A</v>
      </c>
      <c r="I3817" s="66">
        <f t="shared" si="413"/>
        <v>0</v>
      </c>
      <c r="K3817" s="66" t="str">
        <f t="shared" si="414"/>
        <v/>
      </c>
      <c r="L3817" s="66" t="str">
        <f t="shared" si="415"/>
        <v/>
      </c>
      <c r="M3817" s="66" t="str">
        <f t="shared" si="416"/>
        <v/>
      </c>
      <c r="N3817" s="66" t="str">
        <f t="shared" si="417"/>
        <v/>
      </c>
      <c r="O3817" s="66" t="str">
        <f t="shared" si="418"/>
        <v/>
      </c>
      <c r="P3817" s="66" t="str">
        <f t="shared" si="419"/>
        <v/>
      </c>
    </row>
    <row r="3818" spans="8:16">
      <c r="H3818" s="66" t="e">
        <f>IF(LEFT(A3818,6)="CEPNTR","GPINS",VLOOKUP(LEFT(A3818,6),'Code Library'!$A$3:$B$920,2,0))&amp;"_"&amp;RIGHT(A3818,3)</f>
        <v>#N/A</v>
      </c>
      <c r="I3818" s="66">
        <f t="shared" si="413"/>
        <v>0</v>
      </c>
      <c r="K3818" s="66" t="str">
        <f t="shared" si="414"/>
        <v/>
      </c>
      <c r="L3818" s="66" t="str">
        <f t="shared" si="415"/>
        <v/>
      </c>
      <c r="M3818" s="66" t="str">
        <f t="shared" si="416"/>
        <v/>
      </c>
      <c r="N3818" s="66" t="str">
        <f t="shared" si="417"/>
        <v/>
      </c>
      <c r="O3818" s="66" t="str">
        <f t="shared" si="418"/>
        <v/>
      </c>
      <c r="P3818" s="66" t="str">
        <f t="shared" si="419"/>
        <v/>
      </c>
    </row>
    <row r="3819" spans="8:16">
      <c r="H3819" s="66" t="e">
        <f>IF(LEFT(A3819,6)="CEPNTR","GPINS",VLOOKUP(LEFT(A3819,6),'Code Library'!$A$3:$B$920,2,0))&amp;"_"&amp;RIGHT(A3819,3)</f>
        <v>#N/A</v>
      </c>
      <c r="I3819" s="66">
        <f t="shared" si="413"/>
        <v>0</v>
      </c>
      <c r="K3819" s="66" t="str">
        <f t="shared" si="414"/>
        <v/>
      </c>
      <c r="L3819" s="66" t="str">
        <f t="shared" si="415"/>
        <v/>
      </c>
      <c r="M3819" s="66" t="str">
        <f t="shared" si="416"/>
        <v/>
      </c>
      <c r="N3819" s="66" t="str">
        <f t="shared" si="417"/>
        <v/>
      </c>
      <c r="O3819" s="66" t="str">
        <f t="shared" si="418"/>
        <v/>
      </c>
      <c r="P3819" s="66" t="str">
        <f t="shared" si="419"/>
        <v/>
      </c>
    </row>
    <row r="3820" spans="8:16">
      <c r="H3820" s="66" t="e">
        <f>IF(LEFT(A3820,6)="CEPNTR","GPINS",VLOOKUP(LEFT(A3820,6),'Code Library'!$A$3:$B$920,2,0))&amp;"_"&amp;RIGHT(A3820,3)</f>
        <v>#N/A</v>
      </c>
      <c r="I3820" s="66">
        <f t="shared" si="413"/>
        <v>0</v>
      </c>
      <c r="K3820" s="66" t="str">
        <f t="shared" si="414"/>
        <v/>
      </c>
      <c r="L3820" s="66" t="str">
        <f t="shared" si="415"/>
        <v/>
      </c>
      <c r="M3820" s="66" t="str">
        <f t="shared" si="416"/>
        <v/>
      </c>
      <c r="N3820" s="66" t="str">
        <f t="shared" si="417"/>
        <v/>
      </c>
      <c r="O3820" s="66" t="str">
        <f t="shared" si="418"/>
        <v/>
      </c>
      <c r="P3820" s="66" t="str">
        <f t="shared" si="419"/>
        <v/>
      </c>
    </row>
    <row r="3821" spans="8:16">
      <c r="H3821" s="66" t="e">
        <f>IF(LEFT(A3821,6)="CEPNTR","GPINS",VLOOKUP(LEFT(A3821,6),'Code Library'!$A$3:$B$920,2,0))&amp;"_"&amp;RIGHT(A3821,3)</f>
        <v>#N/A</v>
      </c>
      <c r="I3821" s="66">
        <f t="shared" si="413"/>
        <v>0</v>
      </c>
      <c r="K3821" s="66" t="str">
        <f t="shared" si="414"/>
        <v/>
      </c>
      <c r="L3821" s="66" t="str">
        <f t="shared" si="415"/>
        <v/>
      </c>
      <c r="M3821" s="66" t="str">
        <f t="shared" si="416"/>
        <v/>
      </c>
      <c r="N3821" s="66" t="str">
        <f t="shared" si="417"/>
        <v/>
      </c>
      <c r="O3821" s="66" t="str">
        <f t="shared" si="418"/>
        <v/>
      </c>
      <c r="P3821" s="66" t="str">
        <f t="shared" si="419"/>
        <v/>
      </c>
    </row>
    <row r="3822" spans="8:16">
      <c r="H3822" s="66" t="e">
        <f>IF(LEFT(A3822,6)="CEPNTR","GPINS",VLOOKUP(LEFT(A3822,6),'Code Library'!$A$3:$B$920,2,0))&amp;"_"&amp;RIGHT(A3822,3)</f>
        <v>#N/A</v>
      </c>
      <c r="I3822" s="66">
        <f t="shared" si="413"/>
        <v>0</v>
      </c>
      <c r="K3822" s="66" t="str">
        <f t="shared" si="414"/>
        <v/>
      </c>
      <c r="L3822" s="66" t="str">
        <f t="shared" si="415"/>
        <v/>
      </c>
      <c r="M3822" s="66" t="str">
        <f t="shared" si="416"/>
        <v/>
      </c>
      <c r="N3822" s="66" t="str">
        <f t="shared" si="417"/>
        <v/>
      </c>
      <c r="O3822" s="66" t="str">
        <f t="shared" si="418"/>
        <v/>
      </c>
      <c r="P3822" s="66" t="str">
        <f t="shared" si="419"/>
        <v/>
      </c>
    </row>
    <row r="3823" spans="8:16">
      <c r="H3823" s="66" t="e">
        <f>IF(LEFT(A3823,6)="CEPNTR","GPINS",VLOOKUP(LEFT(A3823,6),'Code Library'!$A$3:$B$920,2,0))&amp;"_"&amp;RIGHT(A3823,3)</f>
        <v>#N/A</v>
      </c>
      <c r="I3823" s="66">
        <f t="shared" si="413"/>
        <v>0</v>
      </c>
      <c r="K3823" s="66" t="str">
        <f t="shared" si="414"/>
        <v/>
      </c>
      <c r="L3823" s="66" t="str">
        <f t="shared" si="415"/>
        <v/>
      </c>
      <c r="M3823" s="66" t="str">
        <f t="shared" si="416"/>
        <v/>
      </c>
      <c r="N3823" s="66" t="str">
        <f t="shared" si="417"/>
        <v/>
      </c>
      <c r="O3823" s="66" t="str">
        <f t="shared" si="418"/>
        <v/>
      </c>
      <c r="P3823" s="66" t="str">
        <f t="shared" si="419"/>
        <v/>
      </c>
    </row>
    <row r="3824" spans="8:16">
      <c r="H3824" s="66" t="e">
        <f>IF(LEFT(A3824,6)="CEPNTR","GPINS",VLOOKUP(LEFT(A3824,6),'Code Library'!$A$3:$B$920,2,0))&amp;"_"&amp;RIGHT(A3824,3)</f>
        <v>#N/A</v>
      </c>
      <c r="I3824" s="66">
        <f t="shared" si="413"/>
        <v>0</v>
      </c>
      <c r="K3824" s="66" t="str">
        <f t="shared" si="414"/>
        <v/>
      </c>
      <c r="L3824" s="66" t="str">
        <f t="shared" si="415"/>
        <v/>
      </c>
      <c r="M3824" s="66" t="str">
        <f t="shared" si="416"/>
        <v/>
      </c>
      <c r="N3824" s="66" t="str">
        <f t="shared" si="417"/>
        <v/>
      </c>
      <c r="O3824" s="66" t="str">
        <f t="shared" si="418"/>
        <v/>
      </c>
      <c r="P3824" s="66" t="str">
        <f t="shared" si="419"/>
        <v/>
      </c>
    </row>
    <row r="3825" spans="8:16">
      <c r="H3825" s="66" t="e">
        <f>IF(LEFT(A3825,6)="CEPNTR","GPINS",VLOOKUP(LEFT(A3825,6),'Code Library'!$A$3:$B$920,2,0))&amp;"_"&amp;RIGHT(A3825,3)</f>
        <v>#N/A</v>
      </c>
      <c r="I3825" s="66">
        <f t="shared" si="413"/>
        <v>0</v>
      </c>
      <c r="K3825" s="66" t="str">
        <f t="shared" si="414"/>
        <v/>
      </c>
      <c r="L3825" s="66" t="str">
        <f t="shared" si="415"/>
        <v/>
      </c>
      <c r="M3825" s="66" t="str">
        <f t="shared" si="416"/>
        <v/>
      </c>
      <c r="N3825" s="66" t="str">
        <f t="shared" si="417"/>
        <v/>
      </c>
      <c r="O3825" s="66" t="str">
        <f t="shared" si="418"/>
        <v/>
      </c>
      <c r="P3825" s="66" t="str">
        <f t="shared" si="419"/>
        <v/>
      </c>
    </row>
    <row r="3826" spans="8:16">
      <c r="H3826" s="66" t="e">
        <f>IF(LEFT(A3826,6)="CEPNTR","GPINS",VLOOKUP(LEFT(A3826,6),'Code Library'!$A$3:$B$920,2,0))&amp;"_"&amp;RIGHT(A3826,3)</f>
        <v>#N/A</v>
      </c>
      <c r="I3826" s="66">
        <f t="shared" si="413"/>
        <v>0</v>
      </c>
      <c r="K3826" s="66" t="str">
        <f t="shared" si="414"/>
        <v/>
      </c>
      <c r="L3826" s="66" t="str">
        <f t="shared" si="415"/>
        <v/>
      </c>
      <c r="M3826" s="66" t="str">
        <f t="shared" si="416"/>
        <v/>
      </c>
      <c r="N3826" s="66" t="str">
        <f t="shared" si="417"/>
        <v/>
      </c>
      <c r="O3826" s="66" t="str">
        <f t="shared" si="418"/>
        <v/>
      </c>
      <c r="P3826" s="66" t="str">
        <f t="shared" si="419"/>
        <v/>
      </c>
    </row>
    <row r="3827" spans="8:16">
      <c r="H3827" s="66" t="e">
        <f>IF(LEFT(A3827,6)="CEPNTR","GPINS",VLOOKUP(LEFT(A3827,6),'Code Library'!$A$3:$B$920,2,0))&amp;"_"&amp;RIGHT(A3827,3)</f>
        <v>#N/A</v>
      </c>
      <c r="I3827" s="66">
        <f t="shared" si="413"/>
        <v>0</v>
      </c>
      <c r="K3827" s="66" t="str">
        <f t="shared" si="414"/>
        <v/>
      </c>
      <c r="L3827" s="66" t="str">
        <f t="shared" si="415"/>
        <v/>
      </c>
      <c r="M3827" s="66" t="str">
        <f t="shared" si="416"/>
        <v/>
      </c>
      <c r="N3827" s="66" t="str">
        <f t="shared" si="417"/>
        <v/>
      </c>
      <c r="O3827" s="66" t="str">
        <f t="shared" si="418"/>
        <v/>
      </c>
      <c r="P3827" s="66" t="str">
        <f t="shared" si="419"/>
        <v/>
      </c>
    </row>
    <row r="3828" spans="8:16">
      <c r="H3828" s="66" t="e">
        <f>IF(LEFT(A3828,6)="CEPNTR","GPINS",VLOOKUP(LEFT(A3828,6),'Code Library'!$A$3:$B$920,2,0))&amp;"_"&amp;RIGHT(A3828,3)</f>
        <v>#N/A</v>
      </c>
      <c r="I3828" s="66">
        <f t="shared" si="413"/>
        <v>0</v>
      </c>
      <c r="K3828" s="66" t="str">
        <f t="shared" si="414"/>
        <v/>
      </c>
      <c r="L3828" s="66" t="str">
        <f t="shared" si="415"/>
        <v/>
      </c>
      <c r="M3828" s="66" t="str">
        <f t="shared" si="416"/>
        <v/>
      </c>
      <c r="N3828" s="66" t="str">
        <f t="shared" si="417"/>
        <v/>
      </c>
      <c r="O3828" s="66" t="str">
        <f t="shared" si="418"/>
        <v/>
      </c>
      <c r="P3828" s="66" t="str">
        <f t="shared" si="419"/>
        <v/>
      </c>
    </row>
    <row r="3829" spans="8:16">
      <c r="H3829" s="66" t="e">
        <f>IF(LEFT(A3829,6)="CEPNTR","GPINS",VLOOKUP(LEFT(A3829,6),'Code Library'!$A$3:$B$920,2,0))&amp;"_"&amp;RIGHT(A3829,3)</f>
        <v>#N/A</v>
      </c>
      <c r="I3829" s="66">
        <f t="shared" si="413"/>
        <v>0</v>
      </c>
      <c r="K3829" s="66" t="str">
        <f t="shared" si="414"/>
        <v/>
      </c>
      <c r="L3829" s="66" t="str">
        <f t="shared" si="415"/>
        <v/>
      </c>
      <c r="M3829" s="66" t="str">
        <f t="shared" si="416"/>
        <v/>
      </c>
      <c r="N3829" s="66" t="str">
        <f t="shared" si="417"/>
        <v/>
      </c>
      <c r="O3829" s="66" t="str">
        <f t="shared" si="418"/>
        <v/>
      </c>
      <c r="P3829" s="66" t="str">
        <f t="shared" si="419"/>
        <v/>
      </c>
    </row>
    <row r="3830" spans="8:16">
      <c r="H3830" s="66" t="e">
        <f>IF(LEFT(A3830,6)="CEPNTR","GPINS",VLOOKUP(LEFT(A3830,6),'Code Library'!$A$3:$B$920,2,0))&amp;"_"&amp;RIGHT(A3830,3)</f>
        <v>#N/A</v>
      </c>
      <c r="I3830" s="66">
        <f t="shared" si="413"/>
        <v>0</v>
      </c>
      <c r="K3830" s="66" t="str">
        <f t="shared" si="414"/>
        <v/>
      </c>
      <c r="L3830" s="66" t="str">
        <f t="shared" si="415"/>
        <v/>
      </c>
      <c r="M3830" s="66" t="str">
        <f t="shared" si="416"/>
        <v/>
      </c>
      <c r="N3830" s="66" t="str">
        <f t="shared" si="417"/>
        <v/>
      </c>
      <c r="O3830" s="66" t="str">
        <f t="shared" si="418"/>
        <v/>
      </c>
      <c r="P3830" s="66" t="str">
        <f t="shared" si="419"/>
        <v/>
      </c>
    </row>
    <row r="3831" spans="8:16">
      <c r="H3831" s="66" t="e">
        <f>IF(LEFT(A3831,6)="CEPNTR","GPINS",VLOOKUP(LEFT(A3831,6),'Code Library'!$A$3:$B$920,2,0))&amp;"_"&amp;RIGHT(A3831,3)</f>
        <v>#N/A</v>
      </c>
      <c r="I3831" s="66">
        <f t="shared" si="413"/>
        <v>0</v>
      </c>
      <c r="K3831" s="66" t="str">
        <f t="shared" si="414"/>
        <v/>
      </c>
      <c r="L3831" s="66" t="str">
        <f t="shared" si="415"/>
        <v/>
      </c>
      <c r="M3831" s="66" t="str">
        <f t="shared" si="416"/>
        <v/>
      </c>
      <c r="N3831" s="66" t="str">
        <f t="shared" si="417"/>
        <v/>
      </c>
      <c r="O3831" s="66" t="str">
        <f t="shared" si="418"/>
        <v/>
      </c>
      <c r="P3831" s="66" t="str">
        <f t="shared" si="419"/>
        <v/>
      </c>
    </row>
    <row r="3832" spans="8:16">
      <c r="H3832" s="66" t="e">
        <f>IF(LEFT(A3832,6)="CEPNTR","GPINS",VLOOKUP(LEFT(A3832,6),'Code Library'!$A$3:$B$920,2,0))&amp;"_"&amp;RIGHT(A3832,3)</f>
        <v>#N/A</v>
      </c>
      <c r="I3832" s="66">
        <f t="shared" si="413"/>
        <v>0</v>
      </c>
      <c r="K3832" s="66" t="str">
        <f t="shared" si="414"/>
        <v/>
      </c>
      <c r="L3832" s="66" t="str">
        <f t="shared" si="415"/>
        <v/>
      </c>
      <c r="M3832" s="66" t="str">
        <f t="shared" si="416"/>
        <v/>
      </c>
      <c r="N3832" s="66" t="str">
        <f t="shared" si="417"/>
        <v/>
      </c>
      <c r="O3832" s="66" t="str">
        <f t="shared" si="418"/>
        <v/>
      </c>
      <c r="P3832" s="66" t="str">
        <f t="shared" si="419"/>
        <v/>
      </c>
    </row>
    <row r="3833" spans="8:16">
      <c r="H3833" s="66" t="e">
        <f>IF(LEFT(A3833,6)="CEPNTR","GPINS",VLOOKUP(LEFT(A3833,6),'Code Library'!$A$3:$B$920,2,0))&amp;"_"&amp;RIGHT(A3833,3)</f>
        <v>#N/A</v>
      </c>
      <c r="I3833" s="66">
        <f t="shared" si="413"/>
        <v>0</v>
      </c>
      <c r="K3833" s="66" t="str">
        <f t="shared" si="414"/>
        <v/>
      </c>
      <c r="L3833" s="66" t="str">
        <f t="shared" si="415"/>
        <v/>
      </c>
      <c r="M3833" s="66" t="str">
        <f t="shared" si="416"/>
        <v/>
      </c>
      <c r="N3833" s="66" t="str">
        <f t="shared" si="417"/>
        <v/>
      </c>
      <c r="O3833" s="66" t="str">
        <f t="shared" si="418"/>
        <v/>
      </c>
      <c r="P3833" s="66" t="str">
        <f t="shared" si="419"/>
        <v/>
      </c>
    </row>
    <row r="3834" spans="8:16">
      <c r="H3834" s="66" t="e">
        <f>IF(LEFT(A3834,6)="CEPNTR","GPINS",VLOOKUP(LEFT(A3834,6),'Code Library'!$A$3:$B$920,2,0))&amp;"_"&amp;RIGHT(A3834,3)</f>
        <v>#N/A</v>
      </c>
      <c r="I3834" s="66">
        <f t="shared" si="413"/>
        <v>0</v>
      </c>
      <c r="K3834" s="66" t="str">
        <f t="shared" si="414"/>
        <v/>
      </c>
      <c r="L3834" s="66" t="str">
        <f t="shared" si="415"/>
        <v/>
      </c>
      <c r="M3834" s="66" t="str">
        <f t="shared" si="416"/>
        <v/>
      </c>
      <c r="N3834" s="66" t="str">
        <f t="shared" si="417"/>
        <v/>
      </c>
      <c r="O3834" s="66" t="str">
        <f t="shared" si="418"/>
        <v/>
      </c>
      <c r="P3834" s="66" t="str">
        <f t="shared" si="419"/>
        <v/>
      </c>
    </row>
    <row r="3835" spans="8:16">
      <c r="H3835" s="66" t="e">
        <f>IF(LEFT(A3835,6)="CEPNTR","GPINS",VLOOKUP(LEFT(A3835,6),'Code Library'!$A$3:$B$920,2,0))&amp;"_"&amp;RIGHT(A3835,3)</f>
        <v>#N/A</v>
      </c>
      <c r="I3835" s="66">
        <f t="shared" si="413"/>
        <v>0</v>
      </c>
      <c r="K3835" s="66" t="str">
        <f t="shared" si="414"/>
        <v/>
      </c>
      <c r="L3835" s="66" t="str">
        <f t="shared" si="415"/>
        <v/>
      </c>
      <c r="M3835" s="66" t="str">
        <f t="shared" si="416"/>
        <v/>
      </c>
      <c r="N3835" s="66" t="str">
        <f t="shared" si="417"/>
        <v/>
      </c>
      <c r="O3835" s="66" t="str">
        <f t="shared" si="418"/>
        <v/>
      </c>
      <c r="P3835" s="66" t="str">
        <f t="shared" si="419"/>
        <v/>
      </c>
    </row>
    <row r="3836" spans="8:16">
      <c r="H3836" s="66" t="e">
        <f>IF(LEFT(A3836,6)="CEPNTR","GPINS",VLOOKUP(LEFT(A3836,6),'Code Library'!$A$3:$B$920,2,0))&amp;"_"&amp;RIGHT(A3836,3)</f>
        <v>#N/A</v>
      </c>
      <c r="I3836" s="66">
        <f t="shared" si="413"/>
        <v>0</v>
      </c>
      <c r="K3836" s="66" t="str">
        <f t="shared" si="414"/>
        <v/>
      </c>
      <c r="L3836" s="66" t="str">
        <f t="shared" si="415"/>
        <v/>
      </c>
      <c r="M3836" s="66" t="str">
        <f t="shared" si="416"/>
        <v/>
      </c>
      <c r="N3836" s="66" t="str">
        <f t="shared" si="417"/>
        <v/>
      </c>
      <c r="O3836" s="66" t="str">
        <f t="shared" si="418"/>
        <v/>
      </c>
      <c r="P3836" s="66" t="str">
        <f t="shared" si="419"/>
        <v/>
      </c>
    </row>
    <row r="3837" spans="8:16">
      <c r="H3837" s="66" t="e">
        <f>IF(LEFT(A3837,6)="CEPNTR","GPINS",VLOOKUP(LEFT(A3837,6),'Code Library'!$A$3:$B$920,2,0))&amp;"_"&amp;RIGHT(A3837,3)</f>
        <v>#N/A</v>
      </c>
      <c r="I3837" s="66">
        <f t="shared" si="413"/>
        <v>0</v>
      </c>
      <c r="K3837" s="66" t="str">
        <f t="shared" si="414"/>
        <v/>
      </c>
      <c r="L3837" s="66" t="str">
        <f t="shared" si="415"/>
        <v/>
      </c>
      <c r="M3837" s="66" t="str">
        <f t="shared" si="416"/>
        <v/>
      </c>
      <c r="N3837" s="66" t="str">
        <f t="shared" si="417"/>
        <v/>
      </c>
      <c r="O3837" s="66" t="str">
        <f t="shared" si="418"/>
        <v/>
      </c>
      <c r="P3837" s="66" t="str">
        <f t="shared" si="419"/>
        <v/>
      </c>
    </row>
    <row r="3838" spans="8:16">
      <c r="H3838" s="66" t="e">
        <f>IF(LEFT(A3838,6)="CEPNTR","GPINS",VLOOKUP(LEFT(A3838,6),'Code Library'!$A$3:$B$920,2,0))&amp;"_"&amp;RIGHT(A3838,3)</f>
        <v>#N/A</v>
      </c>
      <c r="I3838" s="66">
        <f t="shared" si="413"/>
        <v>0</v>
      </c>
      <c r="K3838" s="66" t="str">
        <f t="shared" si="414"/>
        <v/>
      </c>
      <c r="L3838" s="66" t="str">
        <f t="shared" si="415"/>
        <v/>
      </c>
      <c r="M3838" s="66" t="str">
        <f t="shared" si="416"/>
        <v/>
      </c>
      <c r="N3838" s="66" t="str">
        <f t="shared" si="417"/>
        <v/>
      </c>
      <c r="O3838" s="66" t="str">
        <f t="shared" si="418"/>
        <v/>
      </c>
      <c r="P3838" s="66" t="str">
        <f t="shared" si="419"/>
        <v/>
      </c>
    </row>
    <row r="3839" spans="8:16">
      <c r="H3839" s="66" t="e">
        <f>IF(LEFT(A3839,6)="CEPNTR","GPINS",VLOOKUP(LEFT(A3839,6),'Code Library'!$A$3:$B$920,2,0))&amp;"_"&amp;RIGHT(A3839,3)</f>
        <v>#N/A</v>
      </c>
      <c r="I3839" s="66">
        <f t="shared" si="413"/>
        <v>0</v>
      </c>
      <c r="K3839" s="66" t="str">
        <f t="shared" si="414"/>
        <v/>
      </c>
      <c r="L3839" s="66" t="str">
        <f t="shared" si="415"/>
        <v/>
      </c>
      <c r="M3839" s="66" t="str">
        <f t="shared" si="416"/>
        <v/>
      </c>
      <c r="N3839" s="66" t="str">
        <f t="shared" si="417"/>
        <v/>
      </c>
      <c r="O3839" s="66" t="str">
        <f t="shared" si="418"/>
        <v/>
      </c>
      <c r="P3839" s="66" t="str">
        <f t="shared" si="419"/>
        <v/>
      </c>
    </row>
    <row r="3840" spans="8:16">
      <c r="H3840" s="66" t="e">
        <f>IF(LEFT(A3840,6)="CEPNTR","GPINS",VLOOKUP(LEFT(A3840,6),'Code Library'!$A$3:$B$920,2,0))&amp;"_"&amp;RIGHT(A3840,3)</f>
        <v>#N/A</v>
      </c>
      <c r="I3840" s="66">
        <f t="shared" si="413"/>
        <v>0</v>
      </c>
      <c r="K3840" s="66" t="str">
        <f t="shared" si="414"/>
        <v/>
      </c>
      <c r="L3840" s="66" t="str">
        <f t="shared" si="415"/>
        <v/>
      </c>
      <c r="M3840" s="66" t="str">
        <f t="shared" si="416"/>
        <v/>
      </c>
      <c r="N3840" s="66" t="str">
        <f t="shared" si="417"/>
        <v/>
      </c>
      <c r="O3840" s="66" t="str">
        <f t="shared" si="418"/>
        <v/>
      </c>
      <c r="P3840" s="66" t="str">
        <f t="shared" si="419"/>
        <v/>
      </c>
    </row>
    <row r="3841" spans="8:16">
      <c r="H3841" s="66" t="e">
        <f>IF(LEFT(A3841,6)="CEPNTR","GPINS",VLOOKUP(LEFT(A3841,6),'Code Library'!$A$3:$B$920,2,0))&amp;"_"&amp;RIGHT(A3841,3)</f>
        <v>#N/A</v>
      </c>
      <c r="I3841" s="66">
        <f t="shared" si="413"/>
        <v>0</v>
      </c>
      <c r="K3841" s="66" t="str">
        <f t="shared" si="414"/>
        <v/>
      </c>
      <c r="L3841" s="66" t="str">
        <f t="shared" si="415"/>
        <v/>
      </c>
      <c r="M3841" s="66" t="str">
        <f t="shared" si="416"/>
        <v/>
      </c>
      <c r="N3841" s="66" t="str">
        <f t="shared" si="417"/>
        <v/>
      </c>
      <c r="O3841" s="66" t="str">
        <f t="shared" si="418"/>
        <v/>
      </c>
      <c r="P3841" s="66" t="str">
        <f t="shared" si="419"/>
        <v/>
      </c>
    </row>
    <row r="3842" spans="8:16">
      <c r="H3842" s="66" t="e">
        <f>IF(LEFT(A3842,6)="CEPNTR","GPINS",VLOOKUP(LEFT(A3842,6),'Code Library'!$A$3:$B$920,2,0))&amp;"_"&amp;RIGHT(A3842,3)</f>
        <v>#N/A</v>
      </c>
      <c r="I3842" s="66">
        <f t="shared" si="413"/>
        <v>0</v>
      </c>
      <c r="K3842" s="66" t="str">
        <f t="shared" si="414"/>
        <v/>
      </c>
      <c r="L3842" s="66" t="str">
        <f t="shared" si="415"/>
        <v/>
      </c>
      <c r="M3842" s="66" t="str">
        <f t="shared" si="416"/>
        <v/>
      </c>
      <c r="N3842" s="66" t="str">
        <f t="shared" si="417"/>
        <v/>
      </c>
      <c r="O3842" s="66" t="str">
        <f t="shared" si="418"/>
        <v/>
      </c>
      <c r="P3842" s="66" t="str">
        <f t="shared" si="419"/>
        <v/>
      </c>
    </row>
    <row r="3843" spans="8:16">
      <c r="H3843" s="66" t="e">
        <f>IF(LEFT(A3843,6)="CEPNTR","GPINS",VLOOKUP(LEFT(A3843,6),'Code Library'!$A$3:$B$920,2,0))&amp;"_"&amp;RIGHT(A3843,3)</f>
        <v>#N/A</v>
      </c>
      <c r="I3843" s="66">
        <f t="shared" ref="I3843:I3906" si="420">A3843</f>
        <v>0</v>
      </c>
      <c r="K3843" s="66" t="str">
        <f t="shared" ref="K3843:K3906" si="421">RIGHT($B3843,2)</f>
        <v/>
      </c>
      <c r="L3843" s="66" t="str">
        <f t="shared" ref="L3843:L3906" si="422">LEFT(RIGHT($B3843,7),4)</f>
        <v/>
      </c>
      <c r="M3843" s="66" t="str">
        <f t="shared" ref="M3843:M3906" si="423">LEFT(RIGHT($B3843,10),2)</f>
        <v/>
      </c>
      <c r="N3843" s="66" t="str">
        <f t="shared" ref="N3843:N3906" si="424">LEFT(RIGHT($B3843,14),3)</f>
        <v/>
      </c>
      <c r="O3843" s="66" t="str">
        <f t="shared" ref="O3843:O3906" si="425">LEFT(RIGHT($B3843,16),1)</f>
        <v/>
      </c>
      <c r="P3843" s="66" t="str">
        <f t="shared" ref="P3843:P3906" si="426">LEFT(RIGHT($B3843,19),2)</f>
        <v/>
      </c>
    </row>
    <row r="3844" spans="8:16">
      <c r="H3844" s="66" t="e">
        <f>IF(LEFT(A3844,6)="CEPNTR","GPINS",VLOOKUP(LEFT(A3844,6),'Code Library'!$A$3:$B$920,2,0))&amp;"_"&amp;RIGHT(A3844,3)</f>
        <v>#N/A</v>
      </c>
      <c r="I3844" s="66">
        <f t="shared" si="420"/>
        <v>0</v>
      </c>
      <c r="K3844" s="66" t="str">
        <f t="shared" si="421"/>
        <v/>
      </c>
      <c r="L3844" s="66" t="str">
        <f t="shared" si="422"/>
        <v/>
      </c>
      <c r="M3844" s="66" t="str">
        <f t="shared" si="423"/>
        <v/>
      </c>
      <c r="N3844" s="66" t="str">
        <f t="shared" si="424"/>
        <v/>
      </c>
      <c r="O3844" s="66" t="str">
        <f t="shared" si="425"/>
        <v/>
      </c>
      <c r="P3844" s="66" t="str">
        <f t="shared" si="426"/>
        <v/>
      </c>
    </row>
    <row r="3845" spans="8:16">
      <c r="H3845" s="66" t="e">
        <f>IF(LEFT(A3845,6)="CEPNTR","GPINS",VLOOKUP(LEFT(A3845,6),'Code Library'!$A$3:$B$920,2,0))&amp;"_"&amp;RIGHT(A3845,3)</f>
        <v>#N/A</v>
      </c>
      <c r="I3845" s="66">
        <f t="shared" si="420"/>
        <v>0</v>
      </c>
      <c r="K3845" s="66" t="str">
        <f t="shared" si="421"/>
        <v/>
      </c>
      <c r="L3845" s="66" t="str">
        <f t="shared" si="422"/>
        <v/>
      </c>
      <c r="M3845" s="66" t="str">
        <f t="shared" si="423"/>
        <v/>
      </c>
      <c r="N3845" s="66" t="str">
        <f t="shared" si="424"/>
        <v/>
      </c>
      <c r="O3845" s="66" t="str">
        <f t="shared" si="425"/>
        <v/>
      </c>
      <c r="P3845" s="66" t="str">
        <f t="shared" si="426"/>
        <v/>
      </c>
    </row>
    <row r="3846" spans="8:16">
      <c r="H3846" s="66" t="e">
        <f>IF(LEFT(A3846,6)="CEPNTR","GPINS",VLOOKUP(LEFT(A3846,6),'Code Library'!$A$3:$B$920,2,0))&amp;"_"&amp;RIGHT(A3846,3)</f>
        <v>#N/A</v>
      </c>
      <c r="I3846" s="66">
        <f t="shared" si="420"/>
        <v>0</v>
      </c>
      <c r="K3846" s="66" t="str">
        <f t="shared" si="421"/>
        <v/>
      </c>
      <c r="L3846" s="66" t="str">
        <f t="shared" si="422"/>
        <v/>
      </c>
      <c r="M3846" s="66" t="str">
        <f t="shared" si="423"/>
        <v/>
      </c>
      <c r="N3846" s="66" t="str">
        <f t="shared" si="424"/>
        <v/>
      </c>
      <c r="O3846" s="66" t="str">
        <f t="shared" si="425"/>
        <v/>
      </c>
      <c r="P3846" s="66" t="str">
        <f t="shared" si="426"/>
        <v/>
      </c>
    </row>
    <row r="3847" spans="8:16">
      <c r="H3847" s="66" t="e">
        <f>IF(LEFT(A3847,6)="CEPNTR","GPINS",VLOOKUP(LEFT(A3847,6),'Code Library'!$A$3:$B$920,2,0))&amp;"_"&amp;RIGHT(A3847,3)</f>
        <v>#N/A</v>
      </c>
      <c r="I3847" s="66">
        <f t="shared" si="420"/>
        <v>0</v>
      </c>
      <c r="K3847" s="66" t="str">
        <f t="shared" si="421"/>
        <v/>
      </c>
      <c r="L3847" s="66" t="str">
        <f t="shared" si="422"/>
        <v/>
      </c>
      <c r="M3847" s="66" t="str">
        <f t="shared" si="423"/>
        <v/>
      </c>
      <c r="N3847" s="66" t="str">
        <f t="shared" si="424"/>
        <v/>
      </c>
      <c r="O3847" s="66" t="str">
        <f t="shared" si="425"/>
        <v/>
      </c>
      <c r="P3847" s="66" t="str">
        <f t="shared" si="426"/>
        <v/>
      </c>
    </row>
    <row r="3848" spans="8:16">
      <c r="H3848" s="66" t="e">
        <f>IF(LEFT(A3848,6)="CEPNTR","GPINS",VLOOKUP(LEFT(A3848,6),'Code Library'!$A$3:$B$920,2,0))&amp;"_"&amp;RIGHT(A3848,3)</f>
        <v>#N/A</v>
      </c>
      <c r="I3848" s="66">
        <f t="shared" si="420"/>
        <v>0</v>
      </c>
      <c r="K3848" s="66" t="str">
        <f t="shared" si="421"/>
        <v/>
      </c>
      <c r="L3848" s="66" t="str">
        <f t="shared" si="422"/>
        <v/>
      </c>
      <c r="M3848" s="66" t="str">
        <f t="shared" si="423"/>
        <v/>
      </c>
      <c r="N3848" s="66" t="str">
        <f t="shared" si="424"/>
        <v/>
      </c>
      <c r="O3848" s="66" t="str">
        <f t="shared" si="425"/>
        <v/>
      </c>
      <c r="P3848" s="66" t="str">
        <f t="shared" si="426"/>
        <v/>
      </c>
    </row>
    <row r="3849" spans="8:16">
      <c r="H3849" s="66" t="e">
        <f>IF(LEFT(A3849,6)="CEPNTR","GPINS",VLOOKUP(LEFT(A3849,6),'Code Library'!$A$3:$B$920,2,0))&amp;"_"&amp;RIGHT(A3849,3)</f>
        <v>#N/A</v>
      </c>
      <c r="I3849" s="66">
        <f t="shared" si="420"/>
        <v>0</v>
      </c>
      <c r="K3849" s="66" t="str">
        <f t="shared" si="421"/>
        <v/>
      </c>
      <c r="L3849" s="66" t="str">
        <f t="shared" si="422"/>
        <v/>
      </c>
      <c r="M3849" s="66" t="str">
        <f t="shared" si="423"/>
        <v/>
      </c>
      <c r="N3849" s="66" t="str">
        <f t="shared" si="424"/>
        <v/>
      </c>
      <c r="O3849" s="66" t="str">
        <f t="shared" si="425"/>
        <v/>
      </c>
      <c r="P3849" s="66" t="str">
        <f t="shared" si="426"/>
        <v/>
      </c>
    </row>
    <row r="3850" spans="8:16">
      <c r="H3850" s="66" t="e">
        <f>IF(LEFT(A3850,6)="CEPNTR","GPINS",VLOOKUP(LEFT(A3850,6),'Code Library'!$A$3:$B$920,2,0))&amp;"_"&amp;RIGHT(A3850,3)</f>
        <v>#N/A</v>
      </c>
      <c r="I3850" s="66">
        <f t="shared" si="420"/>
        <v>0</v>
      </c>
      <c r="K3850" s="66" t="str">
        <f t="shared" si="421"/>
        <v/>
      </c>
      <c r="L3850" s="66" t="str">
        <f t="shared" si="422"/>
        <v/>
      </c>
      <c r="M3850" s="66" t="str">
        <f t="shared" si="423"/>
        <v/>
      </c>
      <c r="N3850" s="66" t="str">
        <f t="shared" si="424"/>
        <v/>
      </c>
      <c r="O3850" s="66" t="str">
        <f t="shared" si="425"/>
        <v/>
      </c>
      <c r="P3850" s="66" t="str">
        <f t="shared" si="426"/>
        <v/>
      </c>
    </row>
    <row r="3851" spans="8:16">
      <c r="H3851" s="66" t="e">
        <f>IF(LEFT(A3851,6)="CEPNTR","GPINS",VLOOKUP(LEFT(A3851,6),'Code Library'!$A$3:$B$920,2,0))&amp;"_"&amp;RIGHT(A3851,3)</f>
        <v>#N/A</v>
      </c>
      <c r="I3851" s="66">
        <f t="shared" si="420"/>
        <v>0</v>
      </c>
      <c r="K3851" s="66" t="str">
        <f t="shared" si="421"/>
        <v/>
      </c>
      <c r="L3851" s="66" t="str">
        <f t="shared" si="422"/>
        <v/>
      </c>
      <c r="M3851" s="66" t="str">
        <f t="shared" si="423"/>
        <v/>
      </c>
      <c r="N3851" s="66" t="str">
        <f t="shared" si="424"/>
        <v/>
      </c>
      <c r="O3851" s="66" t="str">
        <f t="shared" si="425"/>
        <v/>
      </c>
      <c r="P3851" s="66" t="str">
        <f t="shared" si="426"/>
        <v/>
      </c>
    </row>
    <row r="3852" spans="8:16">
      <c r="H3852" s="66" t="e">
        <f>IF(LEFT(A3852,6)="CEPNTR","GPINS",VLOOKUP(LEFT(A3852,6),'Code Library'!$A$3:$B$920,2,0))&amp;"_"&amp;RIGHT(A3852,3)</f>
        <v>#N/A</v>
      </c>
      <c r="I3852" s="66">
        <f t="shared" si="420"/>
        <v>0</v>
      </c>
      <c r="K3852" s="66" t="str">
        <f t="shared" si="421"/>
        <v/>
      </c>
      <c r="L3852" s="66" t="str">
        <f t="shared" si="422"/>
        <v/>
      </c>
      <c r="M3852" s="66" t="str">
        <f t="shared" si="423"/>
        <v/>
      </c>
      <c r="N3852" s="66" t="str">
        <f t="shared" si="424"/>
        <v/>
      </c>
      <c r="O3852" s="66" t="str">
        <f t="shared" si="425"/>
        <v/>
      </c>
      <c r="P3852" s="66" t="str">
        <f t="shared" si="426"/>
        <v/>
      </c>
    </row>
    <row r="3853" spans="8:16">
      <c r="H3853" s="66" t="e">
        <f>IF(LEFT(A3853,6)="CEPNTR","GPINS",VLOOKUP(LEFT(A3853,6),'Code Library'!$A$3:$B$920,2,0))&amp;"_"&amp;RIGHT(A3853,3)</f>
        <v>#N/A</v>
      </c>
      <c r="I3853" s="66">
        <f t="shared" si="420"/>
        <v>0</v>
      </c>
      <c r="K3853" s="66" t="str">
        <f t="shared" si="421"/>
        <v/>
      </c>
      <c r="L3853" s="66" t="str">
        <f t="shared" si="422"/>
        <v/>
      </c>
      <c r="M3853" s="66" t="str">
        <f t="shared" si="423"/>
        <v/>
      </c>
      <c r="N3853" s="66" t="str">
        <f t="shared" si="424"/>
        <v/>
      </c>
      <c r="O3853" s="66" t="str">
        <f t="shared" si="425"/>
        <v/>
      </c>
      <c r="P3853" s="66" t="str">
        <f t="shared" si="426"/>
        <v/>
      </c>
    </row>
    <row r="3854" spans="8:16">
      <c r="H3854" s="66" t="e">
        <f>IF(LEFT(A3854,6)="CEPNTR","GPINS",VLOOKUP(LEFT(A3854,6),'Code Library'!$A$3:$B$920,2,0))&amp;"_"&amp;RIGHT(A3854,3)</f>
        <v>#N/A</v>
      </c>
      <c r="I3854" s="66">
        <f t="shared" si="420"/>
        <v>0</v>
      </c>
      <c r="K3854" s="66" t="str">
        <f t="shared" si="421"/>
        <v/>
      </c>
      <c r="L3854" s="66" t="str">
        <f t="shared" si="422"/>
        <v/>
      </c>
      <c r="M3854" s="66" t="str">
        <f t="shared" si="423"/>
        <v/>
      </c>
      <c r="N3854" s="66" t="str">
        <f t="shared" si="424"/>
        <v/>
      </c>
      <c r="O3854" s="66" t="str">
        <f t="shared" si="425"/>
        <v/>
      </c>
      <c r="P3854" s="66" t="str">
        <f t="shared" si="426"/>
        <v/>
      </c>
    </row>
    <row r="3855" spans="8:16">
      <c r="H3855" s="66" t="e">
        <f>IF(LEFT(A3855,6)="CEPNTR","GPINS",VLOOKUP(LEFT(A3855,6),'Code Library'!$A$3:$B$920,2,0))&amp;"_"&amp;RIGHT(A3855,3)</f>
        <v>#N/A</v>
      </c>
      <c r="I3855" s="66">
        <f t="shared" si="420"/>
        <v>0</v>
      </c>
      <c r="K3855" s="66" t="str">
        <f t="shared" si="421"/>
        <v/>
      </c>
      <c r="L3855" s="66" t="str">
        <f t="shared" si="422"/>
        <v/>
      </c>
      <c r="M3855" s="66" t="str">
        <f t="shared" si="423"/>
        <v/>
      </c>
      <c r="N3855" s="66" t="str">
        <f t="shared" si="424"/>
        <v/>
      </c>
      <c r="O3855" s="66" t="str">
        <f t="shared" si="425"/>
        <v/>
      </c>
      <c r="P3855" s="66" t="str">
        <f t="shared" si="426"/>
        <v/>
      </c>
    </row>
    <row r="3856" spans="8:16">
      <c r="H3856" s="66" t="e">
        <f>IF(LEFT(A3856,6)="CEPNTR","GPINS",VLOOKUP(LEFT(A3856,6),'Code Library'!$A$3:$B$920,2,0))&amp;"_"&amp;RIGHT(A3856,3)</f>
        <v>#N/A</v>
      </c>
      <c r="I3856" s="66">
        <f t="shared" si="420"/>
        <v>0</v>
      </c>
      <c r="K3856" s="66" t="str">
        <f t="shared" si="421"/>
        <v/>
      </c>
      <c r="L3856" s="66" t="str">
        <f t="shared" si="422"/>
        <v/>
      </c>
      <c r="M3856" s="66" t="str">
        <f t="shared" si="423"/>
        <v/>
      </c>
      <c r="N3856" s="66" t="str">
        <f t="shared" si="424"/>
        <v/>
      </c>
      <c r="O3856" s="66" t="str">
        <f t="shared" si="425"/>
        <v/>
      </c>
      <c r="P3856" s="66" t="str">
        <f t="shared" si="426"/>
        <v/>
      </c>
    </row>
    <row r="3857" spans="8:16">
      <c r="H3857" s="66" t="e">
        <f>IF(LEFT(A3857,6)="CEPNTR","GPINS",VLOOKUP(LEFT(A3857,6),'Code Library'!$A$3:$B$920,2,0))&amp;"_"&amp;RIGHT(A3857,3)</f>
        <v>#N/A</v>
      </c>
      <c r="I3857" s="66">
        <f t="shared" si="420"/>
        <v>0</v>
      </c>
      <c r="K3857" s="66" t="str">
        <f t="shared" si="421"/>
        <v/>
      </c>
      <c r="L3857" s="66" t="str">
        <f t="shared" si="422"/>
        <v/>
      </c>
      <c r="M3857" s="66" t="str">
        <f t="shared" si="423"/>
        <v/>
      </c>
      <c r="N3857" s="66" t="str">
        <f t="shared" si="424"/>
        <v/>
      </c>
      <c r="O3857" s="66" t="str">
        <f t="shared" si="425"/>
        <v/>
      </c>
      <c r="P3857" s="66" t="str">
        <f t="shared" si="426"/>
        <v/>
      </c>
    </row>
    <row r="3858" spans="8:16">
      <c r="H3858" s="66" t="e">
        <f>IF(LEFT(A3858,6)="CEPNTR","GPINS",VLOOKUP(LEFT(A3858,6),'Code Library'!$A$3:$B$920,2,0))&amp;"_"&amp;RIGHT(A3858,3)</f>
        <v>#N/A</v>
      </c>
      <c r="I3858" s="66">
        <f t="shared" si="420"/>
        <v>0</v>
      </c>
      <c r="K3858" s="66" t="str">
        <f t="shared" si="421"/>
        <v/>
      </c>
      <c r="L3858" s="66" t="str">
        <f t="shared" si="422"/>
        <v/>
      </c>
      <c r="M3858" s="66" t="str">
        <f t="shared" si="423"/>
        <v/>
      </c>
      <c r="N3858" s="66" t="str">
        <f t="shared" si="424"/>
        <v/>
      </c>
      <c r="O3858" s="66" t="str">
        <f t="shared" si="425"/>
        <v/>
      </c>
      <c r="P3858" s="66" t="str">
        <f t="shared" si="426"/>
        <v/>
      </c>
    </row>
    <row r="3859" spans="8:16">
      <c r="H3859" s="66" t="e">
        <f>IF(LEFT(A3859,6)="CEPNTR","GPINS",VLOOKUP(LEFT(A3859,6),'Code Library'!$A$3:$B$920,2,0))&amp;"_"&amp;RIGHT(A3859,3)</f>
        <v>#N/A</v>
      </c>
      <c r="I3859" s="66">
        <f t="shared" si="420"/>
        <v>0</v>
      </c>
      <c r="K3859" s="66" t="str">
        <f t="shared" si="421"/>
        <v/>
      </c>
      <c r="L3859" s="66" t="str">
        <f t="shared" si="422"/>
        <v/>
      </c>
      <c r="M3859" s="66" t="str">
        <f t="shared" si="423"/>
        <v/>
      </c>
      <c r="N3859" s="66" t="str">
        <f t="shared" si="424"/>
        <v/>
      </c>
      <c r="O3859" s="66" t="str">
        <f t="shared" si="425"/>
        <v/>
      </c>
      <c r="P3859" s="66" t="str">
        <f t="shared" si="426"/>
        <v/>
      </c>
    </row>
    <row r="3860" spans="8:16">
      <c r="H3860" s="66" t="e">
        <f>IF(LEFT(A3860,6)="CEPNTR","GPINS",VLOOKUP(LEFT(A3860,6),'Code Library'!$A$3:$B$920,2,0))&amp;"_"&amp;RIGHT(A3860,3)</f>
        <v>#N/A</v>
      </c>
      <c r="I3860" s="66">
        <f t="shared" si="420"/>
        <v>0</v>
      </c>
      <c r="K3860" s="66" t="str">
        <f t="shared" si="421"/>
        <v/>
      </c>
      <c r="L3860" s="66" t="str">
        <f t="shared" si="422"/>
        <v/>
      </c>
      <c r="M3860" s="66" t="str">
        <f t="shared" si="423"/>
        <v/>
      </c>
      <c r="N3860" s="66" t="str">
        <f t="shared" si="424"/>
        <v/>
      </c>
      <c r="O3860" s="66" t="str">
        <f t="shared" si="425"/>
        <v/>
      </c>
      <c r="P3860" s="66" t="str">
        <f t="shared" si="426"/>
        <v/>
      </c>
    </row>
    <row r="3861" spans="8:16">
      <c r="H3861" s="66" t="e">
        <f>IF(LEFT(A3861,6)="CEPNTR","GPINS",VLOOKUP(LEFT(A3861,6),'Code Library'!$A$3:$B$920,2,0))&amp;"_"&amp;RIGHT(A3861,3)</f>
        <v>#N/A</v>
      </c>
      <c r="I3861" s="66">
        <f t="shared" si="420"/>
        <v>0</v>
      </c>
      <c r="K3861" s="66" t="str">
        <f t="shared" si="421"/>
        <v/>
      </c>
      <c r="L3861" s="66" t="str">
        <f t="shared" si="422"/>
        <v/>
      </c>
      <c r="M3861" s="66" t="str">
        <f t="shared" si="423"/>
        <v/>
      </c>
      <c r="N3861" s="66" t="str">
        <f t="shared" si="424"/>
        <v/>
      </c>
      <c r="O3861" s="66" t="str">
        <f t="shared" si="425"/>
        <v/>
      </c>
      <c r="P3861" s="66" t="str">
        <f t="shared" si="426"/>
        <v/>
      </c>
    </row>
    <row r="3862" spans="8:16">
      <c r="H3862" s="66" t="e">
        <f>IF(LEFT(A3862,6)="CEPNTR","GPINS",VLOOKUP(LEFT(A3862,6),'Code Library'!$A$3:$B$920,2,0))&amp;"_"&amp;RIGHT(A3862,3)</f>
        <v>#N/A</v>
      </c>
      <c r="I3862" s="66">
        <f t="shared" si="420"/>
        <v>0</v>
      </c>
      <c r="K3862" s="66" t="str">
        <f t="shared" si="421"/>
        <v/>
      </c>
      <c r="L3862" s="66" t="str">
        <f t="shared" si="422"/>
        <v/>
      </c>
      <c r="M3862" s="66" t="str">
        <f t="shared" si="423"/>
        <v/>
      </c>
      <c r="N3862" s="66" t="str">
        <f t="shared" si="424"/>
        <v/>
      </c>
      <c r="O3862" s="66" t="str">
        <f t="shared" si="425"/>
        <v/>
      </c>
      <c r="P3862" s="66" t="str">
        <f t="shared" si="426"/>
        <v/>
      </c>
    </row>
    <row r="3863" spans="8:16">
      <c r="H3863" s="66" t="e">
        <f>IF(LEFT(A3863,6)="CEPNTR","GPINS",VLOOKUP(LEFT(A3863,6),'Code Library'!$A$3:$B$920,2,0))&amp;"_"&amp;RIGHT(A3863,3)</f>
        <v>#N/A</v>
      </c>
      <c r="I3863" s="66">
        <f t="shared" si="420"/>
        <v>0</v>
      </c>
      <c r="K3863" s="66" t="str">
        <f t="shared" si="421"/>
        <v/>
      </c>
      <c r="L3863" s="66" t="str">
        <f t="shared" si="422"/>
        <v/>
      </c>
      <c r="M3863" s="66" t="str">
        <f t="shared" si="423"/>
        <v/>
      </c>
      <c r="N3863" s="66" t="str">
        <f t="shared" si="424"/>
        <v/>
      </c>
      <c r="O3863" s="66" t="str">
        <f t="shared" si="425"/>
        <v/>
      </c>
      <c r="P3863" s="66" t="str">
        <f t="shared" si="426"/>
        <v/>
      </c>
    </row>
    <row r="3864" spans="8:16">
      <c r="H3864" s="66" t="e">
        <f>IF(LEFT(A3864,6)="CEPNTR","GPINS",VLOOKUP(LEFT(A3864,6),'Code Library'!$A$3:$B$920,2,0))&amp;"_"&amp;RIGHT(A3864,3)</f>
        <v>#N/A</v>
      </c>
      <c r="I3864" s="66">
        <f t="shared" si="420"/>
        <v>0</v>
      </c>
      <c r="K3864" s="66" t="str">
        <f t="shared" si="421"/>
        <v/>
      </c>
      <c r="L3864" s="66" t="str">
        <f t="shared" si="422"/>
        <v/>
      </c>
      <c r="M3864" s="66" t="str">
        <f t="shared" si="423"/>
        <v/>
      </c>
      <c r="N3864" s="66" t="str">
        <f t="shared" si="424"/>
        <v/>
      </c>
      <c r="O3864" s="66" t="str">
        <f t="shared" si="425"/>
        <v/>
      </c>
      <c r="P3864" s="66" t="str">
        <f t="shared" si="426"/>
        <v/>
      </c>
    </row>
    <row r="3865" spans="8:16">
      <c r="H3865" s="66" t="e">
        <f>IF(LEFT(A3865,6)="CEPNTR","GPINS",VLOOKUP(LEFT(A3865,6),'Code Library'!$A$3:$B$920,2,0))&amp;"_"&amp;RIGHT(A3865,3)</f>
        <v>#N/A</v>
      </c>
      <c r="I3865" s="66">
        <f t="shared" si="420"/>
        <v>0</v>
      </c>
      <c r="K3865" s="66" t="str">
        <f t="shared" si="421"/>
        <v/>
      </c>
      <c r="L3865" s="66" t="str">
        <f t="shared" si="422"/>
        <v/>
      </c>
      <c r="M3865" s="66" t="str">
        <f t="shared" si="423"/>
        <v/>
      </c>
      <c r="N3865" s="66" t="str">
        <f t="shared" si="424"/>
        <v/>
      </c>
      <c r="O3865" s="66" t="str">
        <f t="shared" si="425"/>
        <v/>
      </c>
      <c r="P3865" s="66" t="str">
        <f t="shared" si="426"/>
        <v/>
      </c>
    </row>
    <row r="3866" spans="8:16">
      <c r="H3866" s="66" t="e">
        <f>IF(LEFT(A3866,6)="CEPNTR","GPINS",VLOOKUP(LEFT(A3866,6),'Code Library'!$A$3:$B$920,2,0))&amp;"_"&amp;RIGHT(A3866,3)</f>
        <v>#N/A</v>
      </c>
      <c r="I3866" s="66">
        <f t="shared" si="420"/>
        <v>0</v>
      </c>
      <c r="K3866" s="66" t="str">
        <f t="shared" si="421"/>
        <v/>
      </c>
      <c r="L3866" s="66" t="str">
        <f t="shared" si="422"/>
        <v/>
      </c>
      <c r="M3866" s="66" t="str">
        <f t="shared" si="423"/>
        <v/>
      </c>
      <c r="N3866" s="66" t="str">
        <f t="shared" si="424"/>
        <v/>
      </c>
      <c r="O3866" s="66" t="str">
        <f t="shared" si="425"/>
        <v/>
      </c>
      <c r="P3866" s="66" t="str">
        <f t="shared" si="426"/>
        <v/>
      </c>
    </row>
    <row r="3867" spans="8:16">
      <c r="H3867" s="66" t="e">
        <f>IF(LEFT(A3867,6)="CEPNTR","GPINS",VLOOKUP(LEFT(A3867,6),'Code Library'!$A$3:$B$920,2,0))&amp;"_"&amp;RIGHT(A3867,3)</f>
        <v>#N/A</v>
      </c>
      <c r="I3867" s="66">
        <f t="shared" si="420"/>
        <v>0</v>
      </c>
      <c r="K3867" s="66" t="str">
        <f t="shared" si="421"/>
        <v/>
      </c>
      <c r="L3867" s="66" t="str">
        <f t="shared" si="422"/>
        <v/>
      </c>
      <c r="M3867" s="66" t="str">
        <f t="shared" si="423"/>
        <v/>
      </c>
      <c r="N3867" s="66" t="str">
        <f t="shared" si="424"/>
        <v/>
      </c>
      <c r="O3867" s="66" t="str">
        <f t="shared" si="425"/>
        <v/>
      </c>
      <c r="P3867" s="66" t="str">
        <f t="shared" si="426"/>
        <v/>
      </c>
    </row>
    <row r="3868" spans="8:16">
      <c r="H3868" s="66" t="e">
        <f>IF(LEFT(A3868,6)="CEPNTR","GPINS",VLOOKUP(LEFT(A3868,6),'Code Library'!$A$3:$B$920,2,0))&amp;"_"&amp;RIGHT(A3868,3)</f>
        <v>#N/A</v>
      </c>
      <c r="I3868" s="66">
        <f t="shared" si="420"/>
        <v>0</v>
      </c>
      <c r="K3868" s="66" t="str">
        <f t="shared" si="421"/>
        <v/>
      </c>
      <c r="L3868" s="66" t="str">
        <f t="shared" si="422"/>
        <v/>
      </c>
      <c r="M3868" s="66" t="str">
        <f t="shared" si="423"/>
        <v/>
      </c>
      <c r="N3868" s="66" t="str">
        <f t="shared" si="424"/>
        <v/>
      </c>
      <c r="O3868" s="66" t="str">
        <f t="shared" si="425"/>
        <v/>
      </c>
      <c r="P3868" s="66" t="str">
        <f t="shared" si="426"/>
        <v/>
      </c>
    </row>
    <row r="3869" spans="8:16">
      <c r="H3869" s="66" t="e">
        <f>IF(LEFT(A3869,6)="CEPNTR","GPINS",VLOOKUP(LEFT(A3869,6),'Code Library'!$A$3:$B$920,2,0))&amp;"_"&amp;RIGHT(A3869,3)</f>
        <v>#N/A</v>
      </c>
      <c r="I3869" s="66">
        <f t="shared" si="420"/>
        <v>0</v>
      </c>
      <c r="K3869" s="66" t="str">
        <f t="shared" si="421"/>
        <v/>
      </c>
      <c r="L3869" s="66" t="str">
        <f t="shared" si="422"/>
        <v/>
      </c>
      <c r="M3869" s="66" t="str">
        <f t="shared" si="423"/>
        <v/>
      </c>
      <c r="N3869" s="66" t="str">
        <f t="shared" si="424"/>
        <v/>
      </c>
      <c r="O3869" s="66" t="str">
        <f t="shared" si="425"/>
        <v/>
      </c>
      <c r="P3869" s="66" t="str">
        <f t="shared" si="426"/>
        <v/>
      </c>
    </row>
    <row r="3870" spans="8:16">
      <c r="H3870" s="66" t="e">
        <f>IF(LEFT(A3870,6)="CEPNTR","GPINS",VLOOKUP(LEFT(A3870,6),'Code Library'!$A$3:$B$920,2,0))&amp;"_"&amp;RIGHT(A3870,3)</f>
        <v>#N/A</v>
      </c>
      <c r="I3870" s="66">
        <f t="shared" si="420"/>
        <v>0</v>
      </c>
      <c r="K3870" s="66" t="str">
        <f t="shared" si="421"/>
        <v/>
      </c>
      <c r="L3870" s="66" t="str">
        <f t="shared" si="422"/>
        <v/>
      </c>
      <c r="M3870" s="66" t="str">
        <f t="shared" si="423"/>
        <v/>
      </c>
      <c r="N3870" s="66" t="str">
        <f t="shared" si="424"/>
        <v/>
      </c>
      <c r="O3870" s="66" t="str">
        <f t="shared" si="425"/>
        <v/>
      </c>
      <c r="P3870" s="66" t="str">
        <f t="shared" si="426"/>
        <v/>
      </c>
    </row>
    <row r="3871" spans="8:16">
      <c r="H3871" s="66" t="e">
        <f>IF(LEFT(A3871,6)="CEPNTR","GPINS",VLOOKUP(LEFT(A3871,6),'Code Library'!$A$3:$B$920,2,0))&amp;"_"&amp;RIGHT(A3871,3)</f>
        <v>#N/A</v>
      </c>
      <c r="I3871" s="66">
        <f t="shared" si="420"/>
        <v>0</v>
      </c>
      <c r="K3871" s="66" t="str">
        <f t="shared" si="421"/>
        <v/>
      </c>
      <c r="L3871" s="66" t="str">
        <f t="shared" si="422"/>
        <v/>
      </c>
      <c r="M3871" s="66" t="str">
        <f t="shared" si="423"/>
        <v/>
      </c>
      <c r="N3871" s="66" t="str">
        <f t="shared" si="424"/>
        <v/>
      </c>
      <c r="O3871" s="66" t="str">
        <f t="shared" si="425"/>
        <v/>
      </c>
      <c r="P3871" s="66" t="str">
        <f t="shared" si="426"/>
        <v/>
      </c>
    </row>
    <row r="3872" spans="8:16">
      <c r="H3872" s="66" t="e">
        <f>IF(LEFT(A3872,6)="CEPNTR","GPINS",VLOOKUP(LEFT(A3872,6),'Code Library'!$A$3:$B$920,2,0))&amp;"_"&amp;RIGHT(A3872,3)</f>
        <v>#N/A</v>
      </c>
      <c r="I3872" s="66">
        <f t="shared" si="420"/>
        <v>0</v>
      </c>
      <c r="K3872" s="66" t="str">
        <f t="shared" si="421"/>
        <v/>
      </c>
      <c r="L3872" s="66" t="str">
        <f t="shared" si="422"/>
        <v/>
      </c>
      <c r="M3872" s="66" t="str">
        <f t="shared" si="423"/>
        <v/>
      </c>
      <c r="N3872" s="66" t="str">
        <f t="shared" si="424"/>
        <v/>
      </c>
      <c r="O3872" s="66" t="str">
        <f t="shared" si="425"/>
        <v/>
      </c>
      <c r="P3872" s="66" t="str">
        <f t="shared" si="426"/>
        <v/>
      </c>
    </row>
    <row r="3873" spans="8:16">
      <c r="H3873" s="66" t="e">
        <f>IF(LEFT(A3873,6)="CEPNTR","GPINS",VLOOKUP(LEFT(A3873,6),'Code Library'!$A$3:$B$920,2,0))&amp;"_"&amp;RIGHT(A3873,3)</f>
        <v>#N/A</v>
      </c>
      <c r="I3873" s="66">
        <f t="shared" si="420"/>
        <v>0</v>
      </c>
      <c r="K3873" s="66" t="str">
        <f t="shared" si="421"/>
        <v/>
      </c>
      <c r="L3873" s="66" t="str">
        <f t="shared" si="422"/>
        <v/>
      </c>
      <c r="M3873" s="66" t="str">
        <f t="shared" si="423"/>
        <v/>
      </c>
      <c r="N3873" s="66" t="str">
        <f t="shared" si="424"/>
        <v/>
      </c>
      <c r="O3873" s="66" t="str">
        <f t="shared" si="425"/>
        <v/>
      </c>
      <c r="P3873" s="66" t="str">
        <f t="shared" si="426"/>
        <v/>
      </c>
    </row>
    <row r="3874" spans="8:16">
      <c r="H3874" s="66" t="e">
        <f>IF(LEFT(A3874,6)="CEPNTR","GPINS",VLOOKUP(LEFT(A3874,6),'Code Library'!$A$3:$B$920,2,0))&amp;"_"&amp;RIGHT(A3874,3)</f>
        <v>#N/A</v>
      </c>
      <c r="I3874" s="66">
        <f t="shared" si="420"/>
        <v>0</v>
      </c>
      <c r="K3874" s="66" t="str">
        <f t="shared" si="421"/>
        <v/>
      </c>
      <c r="L3874" s="66" t="str">
        <f t="shared" si="422"/>
        <v/>
      </c>
      <c r="M3874" s="66" t="str">
        <f t="shared" si="423"/>
        <v/>
      </c>
      <c r="N3874" s="66" t="str">
        <f t="shared" si="424"/>
        <v/>
      </c>
      <c r="O3874" s="66" t="str">
        <f t="shared" si="425"/>
        <v/>
      </c>
      <c r="P3874" s="66" t="str">
        <f t="shared" si="426"/>
        <v/>
      </c>
    </row>
    <row r="3875" spans="8:16">
      <c r="H3875" s="66" t="e">
        <f>IF(LEFT(A3875,6)="CEPNTR","GPINS",VLOOKUP(LEFT(A3875,6),'Code Library'!$A$3:$B$920,2,0))&amp;"_"&amp;RIGHT(A3875,3)</f>
        <v>#N/A</v>
      </c>
      <c r="I3875" s="66">
        <f t="shared" si="420"/>
        <v>0</v>
      </c>
      <c r="K3875" s="66" t="str">
        <f t="shared" si="421"/>
        <v/>
      </c>
      <c r="L3875" s="66" t="str">
        <f t="shared" si="422"/>
        <v/>
      </c>
      <c r="M3875" s="66" t="str">
        <f t="shared" si="423"/>
        <v/>
      </c>
      <c r="N3875" s="66" t="str">
        <f t="shared" si="424"/>
        <v/>
      </c>
      <c r="O3875" s="66" t="str">
        <f t="shared" si="425"/>
        <v/>
      </c>
      <c r="P3875" s="66" t="str">
        <f t="shared" si="426"/>
        <v/>
      </c>
    </row>
    <row r="3876" spans="8:16">
      <c r="H3876" s="66" t="e">
        <f>IF(LEFT(A3876,6)="CEPNTR","GPINS",VLOOKUP(LEFT(A3876,6),'Code Library'!$A$3:$B$920,2,0))&amp;"_"&amp;RIGHT(A3876,3)</f>
        <v>#N/A</v>
      </c>
      <c r="I3876" s="66">
        <f t="shared" si="420"/>
        <v>0</v>
      </c>
      <c r="K3876" s="66" t="str">
        <f t="shared" si="421"/>
        <v/>
      </c>
      <c r="L3876" s="66" t="str">
        <f t="shared" si="422"/>
        <v/>
      </c>
      <c r="M3876" s="66" t="str">
        <f t="shared" si="423"/>
        <v/>
      </c>
      <c r="N3876" s="66" t="str">
        <f t="shared" si="424"/>
        <v/>
      </c>
      <c r="O3876" s="66" t="str">
        <f t="shared" si="425"/>
        <v/>
      </c>
      <c r="P3876" s="66" t="str">
        <f t="shared" si="426"/>
        <v/>
      </c>
    </row>
    <row r="3877" spans="8:16">
      <c r="H3877" s="66" t="e">
        <f>IF(LEFT(A3877,6)="CEPNTR","GPINS",VLOOKUP(LEFT(A3877,6),'Code Library'!$A$3:$B$920,2,0))&amp;"_"&amp;RIGHT(A3877,3)</f>
        <v>#N/A</v>
      </c>
      <c r="I3877" s="66">
        <f t="shared" si="420"/>
        <v>0</v>
      </c>
      <c r="K3877" s="66" t="str">
        <f t="shared" si="421"/>
        <v/>
      </c>
      <c r="L3877" s="66" t="str">
        <f t="shared" si="422"/>
        <v/>
      </c>
      <c r="M3877" s="66" t="str">
        <f t="shared" si="423"/>
        <v/>
      </c>
      <c r="N3877" s="66" t="str">
        <f t="shared" si="424"/>
        <v/>
      </c>
      <c r="O3877" s="66" t="str">
        <f t="shared" si="425"/>
        <v/>
      </c>
      <c r="P3877" s="66" t="str">
        <f t="shared" si="426"/>
        <v/>
      </c>
    </row>
    <row r="3878" spans="8:16">
      <c r="H3878" s="66" t="e">
        <f>IF(LEFT(A3878,6)="CEPNTR","GPINS",VLOOKUP(LEFT(A3878,6),'Code Library'!$A$3:$B$920,2,0))&amp;"_"&amp;RIGHT(A3878,3)</f>
        <v>#N/A</v>
      </c>
      <c r="I3878" s="66">
        <f t="shared" si="420"/>
        <v>0</v>
      </c>
      <c r="K3878" s="66" t="str">
        <f t="shared" si="421"/>
        <v/>
      </c>
      <c r="L3878" s="66" t="str">
        <f t="shared" si="422"/>
        <v/>
      </c>
      <c r="M3878" s="66" t="str">
        <f t="shared" si="423"/>
        <v/>
      </c>
      <c r="N3878" s="66" t="str">
        <f t="shared" si="424"/>
        <v/>
      </c>
      <c r="O3878" s="66" t="str">
        <f t="shared" si="425"/>
        <v/>
      </c>
      <c r="P3878" s="66" t="str">
        <f t="shared" si="426"/>
        <v/>
      </c>
    </row>
    <row r="3879" spans="8:16">
      <c r="H3879" s="66" t="e">
        <f>IF(LEFT(A3879,6)="CEPNTR","GPINS",VLOOKUP(LEFT(A3879,6),'Code Library'!$A$3:$B$920,2,0))&amp;"_"&amp;RIGHT(A3879,3)</f>
        <v>#N/A</v>
      </c>
      <c r="I3879" s="66">
        <f t="shared" si="420"/>
        <v>0</v>
      </c>
      <c r="K3879" s="66" t="str">
        <f t="shared" si="421"/>
        <v/>
      </c>
      <c r="L3879" s="66" t="str">
        <f t="shared" si="422"/>
        <v/>
      </c>
      <c r="M3879" s="66" t="str">
        <f t="shared" si="423"/>
        <v/>
      </c>
      <c r="N3879" s="66" t="str">
        <f t="shared" si="424"/>
        <v/>
      </c>
      <c r="O3879" s="66" t="str">
        <f t="shared" si="425"/>
        <v/>
      </c>
      <c r="P3879" s="66" t="str">
        <f t="shared" si="426"/>
        <v/>
      </c>
    </row>
    <row r="3880" spans="8:16">
      <c r="H3880" s="66" t="e">
        <f>IF(LEFT(A3880,6)="CEPNTR","GPINS",VLOOKUP(LEFT(A3880,6),'Code Library'!$A$3:$B$920,2,0))&amp;"_"&amp;RIGHT(A3880,3)</f>
        <v>#N/A</v>
      </c>
      <c r="I3880" s="66">
        <f t="shared" si="420"/>
        <v>0</v>
      </c>
      <c r="K3880" s="66" t="str">
        <f t="shared" si="421"/>
        <v/>
      </c>
      <c r="L3880" s="66" t="str">
        <f t="shared" si="422"/>
        <v/>
      </c>
      <c r="M3880" s="66" t="str">
        <f t="shared" si="423"/>
        <v/>
      </c>
      <c r="N3880" s="66" t="str">
        <f t="shared" si="424"/>
        <v/>
      </c>
      <c r="O3880" s="66" t="str">
        <f t="shared" si="425"/>
        <v/>
      </c>
      <c r="P3880" s="66" t="str">
        <f t="shared" si="426"/>
        <v/>
      </c>
    </row>
    <row r="3881" spans="8:16">
      <c r="H3881" s="66" t="e">
        <f>IF(LEFT(A3881,6)="CEPNTR","GPINS",VLOOKUP(LEFT(A3881,6),'Code Library'!$A$3:$B$920,2,0))&amp;"_"&amp;RIGHT(A3881,3)</f>
        <v>#N/A</v>
      </c>
      <c r="I3881" s="66">
        <f t="shared" si="420"/>
        <v>0</v>
      </c>
      <c r="K3881" s="66" t="str">
        <f t="shared" si="421"/>
        <v/>
      </c>
      <c r="L3881" s="66" t="str">
        <f t="shared" si="422"/>
        <v/>
      </c>
      <c r="M3881" s="66" t="str">
        <f t="shared" si="423"/>
        <v/>
      </c>
      <c r="N3881" s="66" t="str">
        <f t="shared" si="424"/>
        <v/>
      </c>
      <c r="O3881" s="66" t="str">
        <f t="shared" si="425"/>
        <v/>
      </c>
      <c r="P3881" s="66" t="str">
        <f t="shared" si="426"/>
        <v/>
      </c>
    </row>
    <row r="3882" spans="8:16">
      <c r="H3882" s="66" t="e">
        <f>IF(LEFT(A3882,6)="CEPNTR","GPINS",VLOOKUP(LEFT(A3882,6),'Code Library'!$A$3:$B$920,2,0))&amp;"_"&amp;RIGHT(A3882,3)</f>
        <v>#N/A</v>
      </c>
      <c r="I3882" s="66">
        <f t="shared" si="420"/>
        <v>0</v>
      </c>
      <c r="K3882" s="66" t="str">
        <f t="shared" si="421"/>
        <v/>
      </c>
      <c r="L3882" s="66" t="str">
        <f t="shared" si="422"/>
        <v/>
      </c>
      <c r="M3882" s="66" t="str">
        <f t="shared" si="423"/>
        <v/>
      </c>
      <c r="N3882" s="66" t="str">
        <f t="shared" si="424"/>
        <v/>
      </c>
      <c r="O3882" s="66" t="str">
        <f t="shared" si="425"/>
        <v/>
      </c>
      <c r="P3882" s="66" t="str">
        <f t="shared" si="426"/>
        <v/>
      </c>
    </row>
    <row r="3883" spans="8:16">
      <c r="H3883" s="66" t="e">
        <f>IF(LEFT(A3883,6)="CEPNTR","GPINS",VLOOKUP(LEFT(A3883,6),'Code Library'!$A$3:$B$920,2,0))&amp;"_"&amp;RIGHT(A3883,3)</f>
        <v>#N/A</v>
      </c>
      <c r="I3883" s="66">
        <f t="shared" si="420"/>
        <v>0</v>
      </c>
      <c r="K3883" s="66" t="str">
        <f t="shared" si="421"/>
        <v/>
      </c>
      <c r="L3883" s="66" t="str">
        <f t="shared" si="422"/>
        <v/>
      </c>
      <c r="M3883" s="66" t="str">
        <f t="shared" si="423"/>
        <v/>
      </c>
      <c r="N3883" s="66" t="str">
        <f t="shared" si="424"/>
        <v/>
      </c>
      <c r="O3883" s="66" t="str">
        <f t="shared" si="425"/>
        <v/>
      </c>
      <c r="P3883" s="66" t="str">
        <f t="shared" si="426"/>
        <v/>
      </c>
    </row>
    <row r="3884" spans="8:16">
      <c r="H3884" s="66" t="e">
        <f>IF(LEFT(A3884,6)="CEPNTR","GPINS",VLOOKUP(LEFT(A3884,6),'Code Library'!$A$3:$B$920,2,0))&amp;"_"&amp;RIGHT(A3884,3)</f>
        <v>#N/A</v>
      </c>
      <c r="I3884" s="66">
        <f t="shared" si="420"/>
        <v>0</v>
      </c>
      <c r="K3884" s="66" t="str">
        <f t="shared" si="421"/>
        <v/>
      </c>
      <c r="L3884" s="66" t="str">
        <f t="shared" si="422"/>
        <v/>
      </c>
      <c r="M3884" s="66" t="str">
        <f t="shared" si="423"/>
        <v/>
      </c>
      <c r="N3884" s="66" t="str">
        <f t="shared" si="424"/>
        <v/>
      </c>
      <c r="O3884" s="66" t="str">
        <f t="shared" si="425"/>
        <v/>
      </c>
      <c r="P3884" s="66" t="str">
        <f t="shared" si="426"/>
        <v/>
      </c>
    </row>
    <row r="3885" spans="8:16">
      <c r="H3885" s="66" t="e">
        <f>IF(LEFT(A3885,6)="CEPNTR","GPINS",VLOOKUP(LEFT(A3885,6),'Code Library'!$A$3:$B$920,2,0))&amp;"_"&amp;RIGHT(A3885,3)</f>
        <v>#N/A</v>
      </c>
      <c r="I3885" s="66">
        <f t="shared" si="420"/>
        <v>0</v>
      </c>
      <c r="K3885" s="66" t="str">
        <f t="shared" si="421"/>
        <v/>
      </c>
      <c r="L3885" s="66" t="str">
        <f t="shared" si="422"/>
        <v/>
      </c>
      <c r="M3885" s="66" t="str">
        <f t="shared" si="423"/>
        <v/>
      </c>
      <c r="N3885" s="66" t="str">
        <f t="shared" si="424"/>
        <v/>
      </c>
      <c r="O3885" s="66" t="str">
        <f t="shared" si="425"/>
        <v/>
      </c>
      <c r="P3885" s="66" t="str">
        <f t="shared" si="426"/>
        <v/>
      </c>
    </row>
    <row r="3886" spans="8:16">
      <c r="H3886" s="66" t="e">
        <f>IF(LEFT(A3886,6)="CEPNTR","GPINS",VLOOKUP(LEFT(A3886,6),'Code Library'!$A$3:$B$920,2,0))&amp;"_"&amp;RIGHT(A3886,3)</f>
        <v>#N/A</v>
      </c>
      <c r="I3886" s="66">
        <f t="shared" si="420"/>
        <v>0</v>
      </c>
      <c r="K3886" s="66" t="str">
        <f t="shared" si="421"/>
        <v/>
      </c>
      <c r="L3886" s="66" t="str">
        <f t="shared" si="422"/>
        <v/>
      </c>
      <c r="M3886" s="66" t="str">
        <f t="shared" si="423"/>
        <v/>
      </c>
      <c r="N3886" s="66" t="str">
        <f t="shared" si="424"/>
        <v/>
      </c>
      <c r="O3886" s="66" t="str">
        <f t="shared" si="425"/>
        <v/>
      </c>
      <c r="P3886" s="66" t="str">
        <f t="shared" si="426"/>
        <v/>
      </c>
    </row>
    <row r="3887" spans="8:16">
      <c r="H3887" s="66" t="e">
        <f>IF(LEFT(A3887,6)="CEPNTR","GPINS",VLOOKUP(LEFT(A3887,6),'Code Library'!$A$3:$B$920,2,0))&amp;"_"&amp;RIGHT(A3887,3)</f>
        <v>#N/A</v>
      </c>
      <c r="I3887" s="66">
        <f t="shared" si="420"/>
        <v>0</v>
      </c>
      <c r="K3887" s="66" t="str">
        <f t="shared" si="421"/>
        <v/>
      </c>
      <c r="L3887" s="66" t="str">
        <f t="shared" si="422"/>
        <v/>
      </c>
      <c r="M3887" s="66" t="str">
        <f t="shared" si="423"/>
        <v/>
      </c>
      <c r="N3887" s="66" t="str">
        <f t="shared" si="424"/>
        <v/>
      </c>
      <c r="O3887" s="66" t="str">
        <f t="shared" si="425"/>
        <v/>
      </c>
      <c r="P3887" s="66" t="str">
        <f t="shared" si="426"/>
        <v/>
      </c>
    </row>
    <row r="3888" spans="8:16">
      <c r="H3888" s="66" t="e">
        <f>IF(LEFT(A3888,6)="CEPNTR","GPINS",VLOOKUP(LEFT(A3888,6),'Code Library'!$A$3:$B$920,2,0))&amp;"_"&amp;RIGHT(A3888,3)</f>
        <v>#N/A</v>
      </c>
      <c r="I3888" s="66">
        <f t="shared" si="420"/>
        <v>0</v>
      </c>
      <c r="K3888" s="66" t="str">
        <f t="shared" si="421"/>
        <v/>
      </c>
      <c r="L3888" s="66" t="str">
        <f t="shared" si="422"/>
        <v/>
      </c>
      <c r="M3888" s="66" t="str">
        <f t="shared" si="423"/>
        <v/>
      </c>
      <c r="N3888" s="66" t="str">
        <f t="shared" si="424"/>
        <v/>
      </c>
      <c r="O3888" s="66" t="str">
        <f t="shared" si="425"/>
        <v/>
      </c>
      <c r="P3888" s="66" t="str">
        <f t="shared" si="426"/>
        <v/>
      </c>
    </row>
    <row r="3889" spans="8:16">
      <c r="H3889" s="66" t="e">
        <f>IF(LEFT(A3889,6)="CEPNTR","GPINS",VLOOKUP(LEFT(A3889,6),'Code Library'!$A$3:$B$920,2,0))&amp;"_"&amp;RIGHT(A3889,3)</f>
        <v>#N/A</v>
      </c>
      <c r="I3889" s="66">
        <f t="shared" si="420"/>
        <v>0</v>
      </c>
      <c r="K3889" s="66" t="str">
        <f t="shared" si="421"/>
        <v/>
      </c>
      <c r="L3889" s="66" t="str">
        <f t="shared" si="422"/>
        <v/>
      </c>
      <c r="M3889" s="66" t="str">
        <f t="shared" si="423"/>
        <v/>
      </c>
      <c r="N3889" s="66" t="str">
        <f t="shared" si="424"/>
        <v/>
      </c>
      <c r="O3889" s="66" t="str">
        <f t="shared" si="425"/>
        <v/>
      </c>
      <c r="P3889" s="66" t="str">
        <f t="shared" si="426"/>
        <v/>
      </c>
    </row>
    <row r="3890" spans="8:16">
      <c r="H3890" s="66" t="e">
        <f>IF(LEFT(A3890,6)="CEPNTR","GPINS",VLOOKUP(LEFT(A3890,6),'Code Library'!$A$3:$B$920,2,0))&amp;"_"&amp;RIGHT(A3890,3)</f>
        <v>#N/A</v>
      </c>
      <c r="I3890" s="66">
        <f t="shared" si="420"/>
        <v>0</v>
      </c>
      <c r="K3890" s="66" t="str">
        <f t="shared" si="421"/>
        <v/>
      </c>
      <c r="L3890" s="66" t="str">
        <f t="shared" si="422"/>
        <v/>
      </c>
      <c r="M3890" s="66" t="str">
        <f t="shared" si="423"/>
        <v/>
      </c>
      <c r="N3890" s="66" t="str">
        <f t="shared" si="424"/>
        <v/>
      </c>
      <c r="O3890" s="66" t="str">
        <f t="shared" si="425"/>
        <v/>
      </c>
      <c r="P3890" s="66" t="str">
        <f t="shared" si="426"/>
        <v/>
      </c>
    </row>
    <row r="3891" spans="8:16">
      <c r="H3891" s="66" t="e">
        <f>IF(LEFT(A3891,6)="CEPNTR","GPINS",VLOOKUP(LEFT(A3891,6),'Code Library'!$A$3:$B$920,2,0))&amp;"_"&amp;RIGHT(A3891,3)</f>
        <v>#N/A</v>
      </c>
      <c r="I3891" s="66">
        <f t="shared" si="420"/>
        <v>0</v>
      </c>
      <c r="K3891" s="66" t="str">
        <f t="shared" si="421"/>
        <v/>
      </c>
      <c r="L3891" s="66" t="str">
        <f t="shared" si="422"/>
        <v/>
      </c>
      <c r="M3891" s="66" t="str">
        <f t="shared" si="423"/>
        <v/>
      </c>
      <c r="N3891" s="66" t="str">
        <f t="shared" si="424"/>
        <v/>
      </c>
      <c r="O3891" s="66" t="str">
        <f t="shared" si="425"/>
        <v/>
      </c>
      <c r="P3891" s="66" t="str">
        <f t="shared" si="426"/>
        <v/>
      </c>
    </row>
    <row r="3892" spans="8:16">
      <c r="H3892" s="66" t="e">
        <f>IF(LEFT(A3892,6)="CEPNTR","GPINS",VLOOKUP(LEFT(A3892,6),'Code Library'!$A$3:$B$920,2,0))&amp;"_"&amp;RIGHT(A3892,3)</f>
        <v>#N/A</v>
      </c>
      <c r="I3892" s="66">
        <f t="shared" si="420"/>
        <v>0</v>
      </c>
      <c r="K3892" s="66" t="str">
        <f t="shared" si="421"/>
        <v/>
      </c>
      <c r="L3892" s="66" t="str">
        <f t="shared" si="422"/>
        <v/>
      </c>
      <c r="M3892" s="66" t="str">
        <f t="shared" si="423"/>
        <v/>
      </c>
      <c r="N3892" s="66" t="str">
        <f t="shared" si="424"/>
        <v/>
      </c>
      <c r="O3892" s="66" t="str">
        <f t="shared" si="425"/>
        <v/>
      </c>
      <c r="P3892" s="66" t="str">
        <f t="shared" si="426"/>
        <v/>
      </c>
    </row>
    <row r="3893" spans="8:16">
      <c r="H3893" s="66" t="e">
        <f>IF(LEFT(A3893,6)="CEPNTR","GPINS",VLOOKUP(LEFT(A3893,6),'Code Library'!$A$3:$B$920,2,0))&amp;"_"&amp;RIGHT(A3893,3)</f>
        <v>#N/A</v>
      </c>
      <c r="I3893" s="66">
        <f t="shared" si="420"/>
        <v>0</v>
      </c>
      <c r="K3893" s="66" t="str">
        <f t="shared" si="421"/>
        <v/>
      </c>
      <c r="L3893" s="66" t="str">
        <f t="shared" si="422"/>
        <v/>
      </c>
      <c r="M3893" s="66" t="str">
        <f t="shared" si="423"/>
        <v/>
      </c>
      <c r="N3893" s="66" t="str">
        <f t="shared" si="424"/>
        <v/>
      </c>
      <c r="O3893" s="66" t="str">
        <f t="shared" si="425"/>
        <v/>
      </c>
      <c r="P3893" s="66" t="str">
        <f t="shared" si="426"/>
        <v/>
      </c>
    </row>
    <row r="3894" spans="8:16">
      <c r="H3894" s="66" t="e">
        <f>IF(LEFT(A3894,6)="CEPNTR","GPINS",VLOOKUP(LEFT(A3894,6),'Code Library'!$A$3:$B$920,2,0))&amp;"_"&amp;RIGHT(A3894,3)</f>
        <v>#N/A</v>
      </c>
      <c r="I3894" s="66">
        <f t="shared" si="420"/>
        <v>0</v>
      </c>
      <c r="K3894" s="66" t="str">
        <f t="shared" si="421"/>
        <v/>
      </c>
      <c r="L3894" s="66" t="str">
        <f t="shared" si="422"/>
        <v/>
      </c>
      <c r="M3894" s="66" t="str">
        <f t="shared" si="423"/>
        <v/>
      </c>
      <c r="N3894" s="66" t="str">
        <f t="shared" si="424"/>
        <v/>
      </c>
      <c r="O3894" s="66" t="str">
        <f t="shared" si="425"/>
        <v/>
      </c>
      <c r="P3894" s="66" t="str">
        <f t="shared" si="426"/>
        <v/>
      </c>
    </row>
    <row r="3895" spans="8:16">
      <c r="H3895" s="66" t="e">
        <f>IF(LEFT(A3895,6)="CEPNTR","GPINS",VLOOKUP(LEFT(A3895,6),'Code Library'!$A$3:$B$920,2,0))&amp;"_"&amp;RIGHT(A3895,3)</f>
        <v>#N/A</v>
      </c>
      <c r="I3895" s="66">
        <f t="shared" si="420"/>
        <v>0</v>
      </c>
      <c r="K3895" s="66" t="str">
        <f t="shared" si="421"/>
        <v/>
      </c>
      <c r="L3895" s="66" t="str">
        <f t="shared" si="422"/>
        <v/>
      </c>
      <c r="M3895" s="66" t="str">
        <f t="shared" si="423"/>
        <v/>
      </c>
      <c r="N3895" s="66" t="str">
        <f t="shared" si="424"/>
        <v/>
      </c>
      <c r="O3895" s="66" t="str">
        <f t="shared" si="425"/>
        <v/>
      </c>
      <c r="P3895" s="66" t="str">
        <f t="shared" si="426"/>
        <v/>
      </c>
    </row>
    <row r="3896" spans="8:16">
      <c r="H3896" s="66" t="e">
        <f>IF(LEFT(A3896,6)="CEPNTR","GPINS",VLOOKUP(LEFT(A3896,6),'Code Library'!$A$3:$B$920,2,0))&amp;"_"&amp;RIGHT(A3896,3)</f>
        <v>#N/A</v>
      </c>
      <c r="I3896" s="66">
        <f t="shared" si="420"/>
        <v>0</v>
      </c>
      <c r="K3896" s="66" t="str">
        <f t="shared" si="421"/>
        <v/>
      </c>
      <c r="L3896" s="66" t="str">
        <f t="shared" si="422"/>
        <v/>
      </c>
      <c r="M3896" s="66" t="str">
        <f t="shared" si="423"/>
        <v/>
      </c>
      <c r="N3896" s="66" t="str">
        <f t="shared" si="424"/>
        <v/>
      </c>
      <c r="O3896" s="66" t="str">
        <f t="shared" si="425"/>
        <v/>
      </c>
      <c r="P3896" s="66" t="str">
        <f t="shared" si="426"/>
        <v/>
      </c>
    </row>
    <row r="3897" spans="8:16">
      <c r="H3897" s="66" t="e">
        <f>IF(LEFT(A3897,6)="CEPNTR","GPINS",VLOOKUP(LEFT(A3897,6),'Code Library'!$A$3:$B$920,2,0))&amp;"_"&amp;RIGHT(A3897,3)</f>
        <v>#N/A</v>
      </c>
      <c r="I3897" s="66">
        <f t="shared" si="420"/>
        <v>0</v>
      </c>
      <c r="K3897" s="66" t="str">
        <f t="shared" si="421"/>
        <v/>
      </c>
      <c r="L3897" s="66" t="str">
        <f t="shared" si="422"/>
        <v/>
      </c>
      <c r="M3897" s="66" t="str">
        <f t="shared" si="423"/>
        <v/>
      </c>
      <c r="N3897" s="66" t="str">
        <f t="shared" si="424"/>
        <v/>
      </c>
      <c r="O3897" s="66" t="str">
        <f t="shared" si="425"/>
        <v/>
      </c>
      <c r="P3897" s="66" t="str">
        <f t="shared" si="426"/>
        <v/>
      </c>
    </row>
    <row r="3898" spans="8:16">
      <c r="H3898" s="66" t="e">
        <f>IF(LEFT(A3898,6)="CEPNTR","GPINS",VLOOKUP(LEFT(A3898,6),'Code Library'!$A$3:$B$920,2,0))&amp;"_"&amp;RIGHT(A3898,3)</f>
        <v>#N/A</v>
      </c>
      <c r="I3898" s="66">
        <f t="shared" si="420"/>
        <v>0</v>
      </c>
      <c r="K3898" s="66" t="str">
        <f t="shared" si="421"/>
        <v/>
      </c>
      <c r="L3898" s="66" t="str">
        <f t="shared" si="422"/>
        <v/>
      </c>
      <c r="M3898" s="66" t="str">
        <f t="shared" si="423"/>
        <v/>
      </c>
      <c r="N3898" s="66" t="str">
        <f t="shared" si="424"/>
        <v/>
      </c>
      <c r="O3898" s="66" t="str">
        <f t="shared" si="425"/>
        <v/>
      </c>
      <c r="P3898" s="66" t="str">
        <f t="shared" si="426"/>
        <v/>
      </c>
    </row>
    <row r="3899" spans="8:16">
      <c r="H3899" s="66" t="e">
        <f>IF(LEFT(A3899,6)="CEPNTR","GPINS",VLOOKUP(LEFT(A3899,6),'Code Library'!$A$3:$B$920,2,0))&amp;"_"&amp;RIGHT(A3899,3)</f>
        <v>#N/A</v>
      </c>
      <c r="I3899" s="66">
        <f t="shared" si="420"/>
        <v>0</v>
      </c>
      <c r="K3899" s="66" t="str">
        <f t="shared" si="421"/>
        <v/>
      </c>
      <c r="L3899" s="66" t="str">
        <f t="shared" si="422"/>
        <v/>
      </c>
      <c r="M3899" s="66" t="str">
        <f t="shared" si="423"/>
        <v/>
      </c>
      <c r="N3899" s="66" t="str">
        <f t="shared" si="424"/>
        <v/>
      </c>
      <c r="O3899" s="66" t="str">
        <f t="shared" si="425"/>
        <v/>
      </c>
      <c r="P3899" s="66" t="str">
        <f t="shared" si="426"/>
        <v/>
      </c>
    </row>
    <row r="3900" spans="8:16">
      <c r="H3900" s="66" t="e">
        <f>IF(LEFT(A3900,6)="CEPNTR","GPINS",VLOOKUP(LEFT(A3900,6),'Code Library'!$A$3:$B$920,2,0))&amp;"_"&amp;RIGHT(A3900,3)</f>
        <v>#N/A</v>
      </c>
      <c r="I3900" s="66">
        <f t="shared" si="420"/>
        <v>0</v>
      </c>
      <c r="K3900" s="66" t="str">
        <f t="shared" si="421"/>
        <v/>
      </c>
      <c r="L3900" s="66" t="str">
        <f t="shared" si="422"/>
        <v/>
      </c>
      <c r="M3900" s="66" t="str">
        <f t="shared" si="423"/>
        <v/>
      </c>
      <c r="N3900" s="66" t="str">
        <f t="shared" si="424"/>
        <v/>
      </c>
      <c r="O3900" s="66" t="str">
        <f t="shared" si="425"/>
        <v/>
      </c>
      <c r="P3900" s="66" t="str">
        <f t="shared" si="426"/>
        <v/>
      </c>
    </row>
    <row r="3901" spans="8:16">
      <c r="H3901" s="66" t="e">
        <f>IF(LEFT(A3901,6)="CEPNTR","GPINS",VLOOKUP(LEFT(A3901,6),'Code Library'!$A$3:$B$920,2,0))&amp;"_"&amp;RIGHT(A3901,3)</f>
        <v>#N/A</v>
      </c>
      <c r="I3901" s="66">
        <f t="shared" si="420"/>
        <v>0</v>
      </c>
      <c r="K3901" s="66" t="str">
        <f t="shared" si="421"/>
        <v/>
      </c>
      <c r="L3901" s="66" t="str">
        <f t="shared" si="422"/>
        <v/>
      </c>
      <c r="M3901" s="66" t="str">
        <f t="shared" si="423"/>
        <v/>
      </c>
      <c r="N3901" s="66" t="str">
        <f t="shared" si="424"/>
        <v/>
      </c>
      <c r="O3901" s="66" t="str">
        <f t="shared" si="425"/>
        <v/>
      </c>
      <c r="P3901" s="66" t="str">
        <f t="shared" si="426"/>
        <v/>
      </c>
    </row>
    <row r="3902" spans="8:16">
      <c r="H3902" s="66" t="e">
        <f>IF(LEFT(A3902,6)="CEPNTR","GPINS",VLOOKUP(LEFT(A3902,6),'Code Library'!$A$3:$B$920,2,0))&amp;"_"&amp;RIGHT(A3902,3)</f>
        <v>#N/A</v>
      </c>
      <c r="I3902" s="66">
        <f t="shared" si="420"/>
        <v>0</v>
      </c>
      <c r="K3902" s="66" t="str">
        <f t="shared" si="421"/>
        <v/>
      </c>
      <c r="L3902" s="66" t="str">
        <f t="shared" si="422"/>
        <v/>
      </c>
      <c r="M3902" s="66" t="str">
        <f t="shared" si="423"/>
        <v/>
      </c>
      <c r="N3902" s="66" t="str">
        <f t="shared" si="424"/>
        <v/>
      </c>
      <c r="O3902" s="66" t="str">
        <f t="shared" si="425"/>
        <v/>
      </c>
      <c r="P3902" s="66" t="str">
        <f t="shared" si="426"/>
        <v/>
      </c>
    </row>
    <row r="3903" spans="8:16">
      <c r="H3903" s="66" t="e">
        <f>IF(LEFT(A3903,6)="CEPNTR","GPINS",VLOOKUP(LEFT(A3903,6),'Code Library'!$A$3:$B$920,2,0))&amp;"_"&amp;RIGHT(A3903,3)</f>
        <v>#N/A</v>
      </c>
      <c r="I3903" s="66">
        <f t="shared" si="420"/>
        <v>0</v>
      </c>
      <c r="K3903" s="66" t="str">
        <f t="shared" si="421"/>
        <v/>
      </c>
      <c r="L3903" s="66" t="str">
        <f t="shared" si="422"/>
        <v/>
      </c>
      <c r="M3903" s="66" t="str">
        <f t="shared" si="423"/>
        <v/>
      </c>
      <c r="N3903" s="66" t="str">
        <f t="shared" si="424"/>
        <v/>
      </c>
      <c r="O3903" s="66" t="str">
        <f t="shared" si="425"/>
        <v/>
      </c>
      <c r="P3903" s="66" t="str">
        <f t="shared" si="426"/>
        <v/>
      </c>
    </row>
    <row r="3904" spans="8:16">
      <c r="H3904" s="66" t="e">
        <f>IF(LEFT(A3904,6)="CEPNTR","GPINS",VLOOKUP(LEFT(A3904,6),'Code Library'!$A$3:$B$920,2,0))&amp;"_"&amp;RIGHT(A3904,3)</f>
        <v>#N/A</v>
      </c>
      <c r="I3904" s="66">
        <f t="shared" si="420"/>
        <v>0</v>
      </c>
      <c r="K3904" s="66" t="str">
        <f t="shared" si="421"/>
        <v/>
      </c>
      <c r="L3904" s="66" t="str">
        <f t="shared" si="422"/>
        <v/>
      </c>
      <c r="M3904" s="66" t="str">
        <f t="shared" si="423"/>
        <v/>
      </c>
      <c r="N3904" s="66" t="str">
        <f t="shared" si="424"/>
        <v/>
      </c>
      <c r="O3904" s="66" t="str">
        <f t="shared" si="425"/>
        <v/>
      </c>
      <c r="P3904" s="66" t="str">
        <f t="shared" si="426"/>
        <v/>
      </c>
    </row>
    <row r="3905" spans="8:16">
      <c r="H3905" s="66" t="e">
        <f>IF(LEFT(A3905,6)="CEPNTR","GPINS",VLOOKUP(LEFT(A3905,6),'Code Library'!$A$3:$B$920,2,0))&amp;"_"&amp;RIGHT(A3905,3)</f>
        <v>#N/A</v>
      </c>
      <c r="I3905" s="66">
        <f t="shared" si="420"/>
        <v>0</v>
      </c>
      <c r="K3905" s="66" t="str">
        <f t="shared" si="421"/>
        <v/>
      </c>
      <c r="L3905" s="66" t="str">
        <f t="shared" si="422"/>
        <v/>
      </c>
      <c r="M3905" s="66" t="str">
        <f t="shared" si="423"/>
        <v/>
      </c>
      <c r="N3905" s="66" t="str">
        <f t="shared" si="424"/>
        <v/>
      </c>
      <c r="O3905" s="66" t="str">
        <f t="shared" si="425"/>
        <v/>
      </c>
      <c r="P3905" s="66" t="str">
        <f t="shared" si="426"/>
        <v/>
      </c>
    </row>
    <row r="3906" spans="8:16">
      <c r="H3906" s="66" t="e">
        <f>IF(LEFT(A3906,6)="CEPNTR","GPINS",VLOOKUP(LEFT(A3906,6),'Code Library'!$A$3:$B$920,2,0))&amp;"_"&amp;RIGHT(A3906,3)</f>
        <v>#N/A</v>
      </c>
      <c r="I3906" s="66">
        <f t="shared" si="420"/>
        <v>0</v>
      </c>
      <c r="K3906" s="66" t="str">
        <f t="shared" si="421"/>
        <v/>
      </c>
      <c r="L3906" s="66" t="str">
        <f t="shared" si="422"/>
        <v/>
      </c>
      <c r="M3906" s="66" t="str">
        <f t="shared" si="423"/>
        <v/>
      </c>
      <c r="N3906" s="66" t="str">
        <f t="shared" si="424"/>
        <v/>
      </c>
      <c r="O3906" s="66" t="str">
        <f t="shared" si="425"/>
        <v/>
      </c>
      <c r="P3906" s="66" t="str">
        <f t="shared" si="426"/>
        <v/>
      </c>
    </row>
    <row r="3907" spans="8:16">
      <c r="H3907" s="66" t="e">
        <f>IF(LEFT(A3907,6)="CEPNTR","GPINS",VLOOKUP(LEFT(A3907,6),'Code Library'!$A$3:$B$920,2,0))&amp;"_"&amp;RIGHT(A3907,3)</f>
        <v>#N/A</v>
      </c>
      <c r="I3907" s="66">
        <f t="shared" ref="I3907:I3970" si="427">A3907</f>
        <v>0</v>
      </c>
      <c r="K3907" s="66" t="str">
        <f t="shared" ref="K3907:K3970" si="428">RIGHT($B3907,2)</f>
        <v/>
      </c>
      <c r="L3907" s="66" t="str">
        <f t="shared" ref="L3907:L3970" si="429">LEFT(RIGHT($B3907,7),4)</f>
        <v/>
      </c>
      <c r="M3907" s="66" t="str">
        <f t="shared" ref="M3907:M3970" si="430">LEFT(RIGHT($B3907,10),2)</f>
        <v/>
      </c>
      <c r="N3907" s="66" t="str">
        <f t="shared" ref="N3907:N3970" si="431">LEFT(RIGHT($B3907,14),3)</f>
        <v/>
      </c>
      <c r="O3907" s="66" t="str">
        <f t="shared" ref="O3907:O3970" si="432">LEFT(RIGHT($B3907,16),1)</f>
        <v/>
      </c>
      <c r="P3907" s="66" t="str">
        <f t="shared" ref="P3907:P3970" si="433">LEFT(RIGHT($B3907,19),2)</f>
        <v/>
      </c>
    </row>
    <row r="3908" spans="8:16">
      <c r="H3908" s="66" t="e">
        <f>IF(LEFT(A3908,6)="CEPNTR","GPINS",VLOOKUP(LEFT(A3908,6),'Code Library'!$A$3:$B$920,2,0))&amp;"_"&amp;RIGHT(A3908,3)</f>
        <v>#N/A</v>
      </c>
      <c r="I3908" s="66">
        <f t="shared" si="427"/>
        <v>0</v>
      </c>
      <c r="K3908" s="66" t="str">
        <f t="shared" si="428"/>
        <v/>
      </c>
      <c r="L3908" s="66" t="str">
        <f t="shared" si="429"/>
        <v/>
      </c>
      <c r="M3908" s="66" t="str">
        <f t="shared" si="430"/>
        <v/>
      </c>
      <c r="N3908" s="66" t="str">
        <f t="shared" si="431"/>
        <v/>
      </c>
      <c r="O3908" s="66" t="str">
        <f t="shared" si="432"/>
        <v/>
      </c>
      <c r="P3908" s="66" t="str">
        <f t="shared" si="433"/>
        <v/>
      </c>
    </row>
    <row r="3909" spans="8:16">
      <c r="H3909" s="66" t="e">
        <f>IF(LEFT(A3909,6)="CEPNTR","GPINS",VLOOKUP(LEFT(A3909,6),'Code Library'!$A$3:$B$920,2,0))&amp;"_"&amp;RIGHT(A3909,3)</f>
        <v>#N/A</v>
      </c>
      <c r="I3909" s="66">
        <f t="shared" si="427"/>
        <v>0</v>
      </c>
      <c r="K3909" s="66" t="str">
        <f t="shared" si="428"/>
        <v/>
      </c>
      <c r="L3909" s="66" t="str">
        <f t="shared" si="429"/>
        <v/>
      </c>
      <c r="M3909" s="66" t="str">
        <f t="shared" si="430"/>
        <v/>
      </c>
      <c r="N3909" s="66" t="str">
        <f t="shared" si="431"/>
        <v/>
      </c>
      <c r="O3909" s="66" t="str">
        <f t="shared" si="432"/>
        <v/>
      </c>
      <c r="P3909" s="66" t="str">
        <f t="shared" si="433"/>
        <v/>
      </c>
    </row>
    <row r="3910" spans="8:16">
      <c r="H3910" s="66" t="e">
        <f>IF(LEFT(A3910,6)="CEPNTR","GPINS",VLOOKUP(LEFT(A3910,6),'Code Library'!$A$3:$B$920,2,0))&amp;"_"&amp;RIGHT(A3910,3)</f>
        <v>#N/A</v>
      </c>
      <c r="I3910" s="66">
        <f t="shared" si="427"/>
        <v>0</v>
      </c>
      <c r="K3910" s="66" t="str">
        <f t="shared" si="428"/>
        <v/>
      </c>
      <c r="L3910" s="66" t="str">
        <f t="shared" si="429"/>
        <v/>
      </c>
      <c r="M3910" s="66" t="str">
        <f t="shared" si="430"/>
        <v/>
      </c>
      <c r="N3910" s="66" t="str">
        <f t="shared" si="431"/>
        <v/>
      </c>
      <c r="O3910" s="66" t="str">
        <f t="shared" si="432"/>
        <v/>
      </c>
      <c r="P3910" s="66" t="str">
        <f t="shared" si="433"/>
        <v/>
      </c>
    </row>
    <row r="3911" spans="8:16">
      <c r="H3911" s="66" t="e">
        <f>IF(LEFT(A3911,6)="CEPNTR","GPINS",VLOOKUP(LEFT(A3911,6),'Code Library'!$A$3:$B$920,2,0))&amp;"_"&amp;RIGHT(A3911,3)</f>
        <v>#N/A</v>
      </c>
      <c r="I3911" s="66">
        <f t="shared" si="427"/>
        <v>0</v>
      </c>
      <c r="K3911" s="66" t="str">
        <f t="shared" si="428"/>
        <v/>
      </c>
      <c r="L3911" s="66" t="str">
        <f t="shared" si="429"/>
        <v/>
      </c>
      <c r="M3911" s="66" t="str">
        <f t="shared" si="430"/>
        <v/>
      </c>
      <c r="N3911" s="66" t="str">
        <f t="shared" si="431"/>
        <v/>
      </c>
      <c r="O3911" s="66" t="str">
        <f t="shared" si="432"/>
        <v/>
      </c>
      <c r="P3911" s="66" t="str">
        <f t="shared" si="433"/>
        <v/>
      </c>
    </row>
    <row r="3912" spans="8:16">
      <c r="H3912" s="66" t="e">
        <f>IF(LEFT(A3912,6)="CEPNTR","GPINS",VLOOKUP(LEFT(A3912,6),'Code Library'!$A$3:$B$920,2,0))&amp;"_"&amp;RIGHT(A3912,3)</f>
        <v>#N/A</v>
      </c>
      <c r="I3912" s="66">
        <f t="shared" si="427"/>
        <v>0</v>
      </c>
      <c r="K3912" s="66" t="str">
        <f t="shared" si="428"/>
        <v/>
      </c>
      <c r="L3912" s="66" t="str">
        <f t="shared" si="429"/>
        <v/>
      </c>
      <c r="M3912" s="66" t="str">
        <f t="shared" si="430"/>
        <v/>
      </c>
      <c r="N3912" s="66" t="str">
        <f t="shared" si="431"/>
        <v/>
      </c>
      <c r="O3912" s="66" t="str">
        <f t="shared" si="432"/>
        <v/>
      </c>
      <c r="P3912" s="66" t="str">
        <f t="shared" si="433"/>
        <v/>
      </c>
    </row>
    <row r="3913" spans="8:16">
      <c r="H3913" s="66" t="e">
        <f>IF(LEFT(A3913,6)="CEPNTR","GPINS",VLOOKUP(LEFT(A3913,6),'Code Library'!$A$3:$B$920,2,0))&amp;"_"&amp;RIGHT(A3913,3)</f>
        <v>#N/A</v>
      </c>
      <c r="I3913" s="66">
        <f t="shared" si="427"/>
        <v>0</v>
      </c>
      <c r="K3913" s="66" t="str">
        <f t="shared" si="428"/>
        <v/>
      </c>
      <c r="L3913" s="66" t="str">
        <f t="shared" si="429"/>
        <v/>
      </c>
      <c r="M3913" s="66" t="str">
        <f t="shared" si="430"/>
        <v/>
      </c>
      <c r="N3913" s="66" t="str">
        <f t="shared" si="431"/>
        <v/>
      </c>
      <c r="O3913" s="66" t="str">
        <f t="shared" si="432"/>
        <v/>
      </c>
      <c r="P3913" s="66" t="str">
        <f t="shared" si="433"/>
        <v/>
      </c>
    </row>
    <row r="3914" spans="8:16">
      <c r="H3914" s="66" t="e">
        <f>IF(LEFT(A3914,6)="CEPNTR","GPINS",VLOOKUP(LEFT(A3914,6),'Code Library'!$A$3:$B$920,2,0))&amp;"_"&amp;RIGHT(A3914,3)</f>
        <v>#N/A</v>
      </c>
      <c r="I3914" s="66">
        <f t="shared" si="427"/>
        <v>0</v>
      </c>
      <c r="K3914" s="66" t="str">
        <f t="shared" si="428"/>
        <v/>
      </c>
      <c r="L3914" s="66" t="str">
        <f t="shared" si="429"/>
        <v/>
      </c>
      <c r="M3914" s="66" t="str">
        <f t="shared" si="430"/>
        <v/>
      </c>
      <c r="N3914" s="66" t="str">
        <f t="shared" si="431"/>
        <v/>
      </c>
      <c r="O3914" s="66" t="str">
        <f t="shared" si="432"/>
        <v/>
      </c>
      <c r="P3914" s="66" t="str">
        <f t="shared" si="433"/>
        <v/>
      </c>
    </row>
    <row r="3915" spans="8:16">
      <c r="H3915" s="66" t="e">
        <f>IF(LEFT(A3915,6)="CEPNTR","GPINS",VLOOKUP(LEFT(A3915,6),'Code Library'!$A$3:$B$920,2,0))&amp;"_"&amp;RIGHT(A3915,3)</f>
        <v>#N/A</v>
      </c>
      <c r="I3915" s="66">
        <f t="shared" si="427"/>
        <v>0</v>
      </c>
      <c r="K3915" s="66" t="str">
        <f t="shared" si="428"/>
        <v/>
      </c>
      <c r="L3915" s="66" t="str">
        <f t="shared" si="429"/>
        <v/>
      </c>
      <c r="M3915" s="66" t="str">
        <f t="shared" si="430"/>
        <v/>
      </c>
      <c r="N3915" s="66" t="str">
        <f t="shared" si="431"/>
        <v/>
      </c>
      <c r="O3915" s="66" t="str">
        <f t="shared" si="432"/>
        <v/>
      </c>
      <c r="P3915" s="66" t="str">
        <f t="shared" si="433"/>
        <v/>
      </c>
    </row>
    <row r="3916" spans="8:16">
      <c r="H3916" s="66" t="e">
        <f>IF(LEFT(A3916,6)="CEPNTR","GPINS",VLOOKUP(LEFT(A3916,6),'Code Library'!$A$3:$B$920,2,0))&amp;"_"&amp;RIGHT(A3916,3)</f>
        <v>#N/A</v>
      </c>
      <c r="I3916" s="66">
        <f t="shared" si="427"/>
        <v>0</v>
      </c>
      <c r="K3916" s="66" t="str">
        <f t="shared" si="428"/>
        <v/>
      </c>
      <c r="L3916" s="66" t="str">
        <f t="shared" si="429"/>
        <v/>
      </c>
      <c r="M3916" s="66" t="str">
        <f t="shared" si="430"/>
        <v/>
      </c>
      <c r="N3916" s="66" t="str">
        <f t="shared" si="431"/>
        <v/>
      </c>
      <c r="O3916" s="66" t="str">
        <f t="shared" si="432"/>
        <v/>
      </c>
      <c r="P3916" s="66" t="str">
        <f t="shared" si="433"/>
        <v/>
      </c>
    </row>
    <row r="3917" spans="8:16">
      <c r="H3917" s="66" t="e">
        <f>IF(LEFT(A3917,6)="CEPNTR","GPINS",VLOOKUP(LEFT(A3917,6),'Code Library'!$A$3:$B$920,2,0))&amp;"_"&amp;RIGHT(A3917,3)</f>
        <v>#N/A</v>
      </c>
      <c r="I3917" s="66">
        <f t="shared" si="427"/>
        <v>0</v>
      </c>
      <c r="K3917" s="66" t="str">
        <f t="shared" si="428"/>
        <v/>
      </c>
      <c r="L3917" s="66" t="str">
        <f t="shared" si="429"/>
        <v/>
      </c>
      <c r="M3917" s="66" t="str">
        <f t="shared" si="430"/>
        <v/>
      </c>
      <c r="N3917" s="66" t="str">
        <f t="shared" si="431"/>
        <v/>
      </c>
      <c r="O3917" s="66" t="str">
        <f t="shared" si="432"/>
        <v/>
      </c>
      <c r="P3917" s="66" t="str">
        <f t="shared" si="433"/>
        <v/>
      </c>
    </row>
    <row r="3918" spans="8:16">
      <c r="H3918" s="66" t="e">
        <f>IF(LEFT(A3918,6)="CEPNTR","GPINS",VLOOKUP(LEFT(A3918,6),'Code Library'!$A$3:$B$920,2,0))&amp;"_"&amp;RIGHT(A3918,3)</f>
        <v>#N/A</v>
      </c>
      <c r="I3918" s="66">
        <f t="shared" si="427"/>
        <v>0</v>
      </c>
      <c r="K3918" s="66" t="str">
        <f t="shared" si="428"/>
        <v/>
      </c>
      <c r="L3918" s="66" t="str">
        <f t="shared" si="429"/>
        <v/>
      </c>
      <c r="M3918" s="66" t="str">
        <f t="shared" si="430"/>
        <v/>
      </c>
      <c r="N3918" s="66" t="str">
        <f t="shared" si="431"/>
        <v/>
      </c>
      <c r="O3918" s="66" t="str">
        <f t="shared" si="432"/>
        <v/>
      </c>
      <c r="P3918" s="66" t="str">
        <f t="shared" si="433"/>
        <v/>
      </c>
    </row>
    <row r="3919" spans="8:16">
      <c r="H3919" s="66" t="e">
        <f>IF(LEFT(A3919,6)="CEPNTR","GPINS",VLOOKUP(LEFT(A3919,6),'Code Library'!$A$3:$B$920,2,0))&amp;"_"&amp;RIGHT(A3919,3)</f>
        <v>#N/A</v>
      </c>
      <c r="I3919" s="66">
        <f t="shared" si="427"/>
        <v>0</v>
      </c>
      <c r="K3919" s="66" t="str">
        <f t="shared" si="428"/>
        <v/>
      </c>
      <c r="L3919" s="66" t="str">
        <f t="shared" si="429"/>
        <v/>
      </c>
      <c r="M3919" s="66" t="str">
        <f t="shared" si="430"/>
        <v/>
      </c>
      <c r="N3919" s="66" t="str">
        <f t="shared" si="431"/>
        <v/>
      </c>
      <c r="O3919" s="66" t="str">
        <f t="shared" si="432"/>
        <v/>
      </c>
      <c r="P3919" s="66" t="str">
        <f t="shared" si="433"/>
        <v/>
      </c>
    </row>
    <row r="3920" spans="8:16">
      <c r="H3920" s="66" t="e">
        <f>IF(LEFT(A3920,6)="CEPNTR","GPINS",VLOOKUP(LEFT(A3920,6),'Code Library'!$A$3:$B$920,2,0))&amp;"_"&amp;RIGHT(A3920,3)</f>
        <v>#N/A</v>
      </c>
      <c r="I3920" s="66">
        <f t="shared" si="427"/>
        <v>0</v>
      </c>
      <c r="K3920" s="66" t="str">
        <f t="shared" si="428"/>
        <v/>
      </c>
      <c r="L3920" s="66" t="str">
        <f t="shared" si="429"/>
        <v/>
      </c>
      <c r="M3920" s="66" t="str">
        <f t="shared" si="430"/>
        <v/>
      </c>
      <c r="N3920" s="66" t="str">
        <f t="shared" si="431"/>
        <v/>
      </c>
      <c r="O3920" s="66" t="str">
        <f t="shared" si="432"/>
        <v/>
      </c>
      <c r="P3920" s="66" t="str">
        <f t="shared" si="433"/>
        <v/>
      </c>
    </row>
    <row r="3921" spans="8:16">
      <c r="H3921" s="66" t="e">
        <f>IF(LEFT(A3921,6)="CEPNTR","GPINS",VLOOKUP(LEFT(A3921,6),'Code Library'!$A$3:$B$920,2,0))&amp;"_"&amp;RIGHT(A3921,3)</f>
        <v>#N/A</v>
      </c>
      <c r="I3921" s="66">
        <f t="shared" si="427"/>
        <v>0</v>
      </c>
      <c r="K3921" s="66" t="str">
        <f t="shared" si="428"/>
        <v/>
      </c>
      <c r="L3921" s="66" t="str">
        <f t="shared" si="429"/>
        <v/>
      </c>
      <c r="M3921" s="66" t="str">
        <f t="shared" si="430"/>
        <v/>
      </c>
      <c r="N3921" s="66" t="str">
        <f t="shared" si="431"/>
        <v/>
      </c>
      <c r="O3921" s="66" t="str">
        <f t="shared" si="432"/>
        <v/>
      </c>
      <c r="P3921" s="66" t="str">
        <f t="shared" si="433"/>
        <v/>
      </c>
    </row>
    <row r="3922" spans="8:16">
      <c r="H3922" s="66" t="e">
        <f>IF(LEFT(A3922,6)="CEPNTR","GPINS",VLOOKUP(LEFT(A3922,6),'Code Library'!$A$3:$B$920,2,0))&amp;"_"&amp;RIGHT(A3922,3)</f>
        <v>#N/A</v>
      </c>
      <c r="I3922" s="66">
        <f t="shared" si="427"/>
        <v>0</v>
      </c>
      <c r="K3922" s="66" t="str">
        <f t="shared" si="428"/>
        <v/>
      </c>
      <c r="L3922" s="66" t="str">
        <f t="shared" si="429"/>
        <v/>
      </c>
      <c r="M3922" s="66" t="str">
        <f t="shared" si="430"/>
        <v/>
      </c>
      <c r="N3922" s="66" t="str">
        <f t="shared" si="431"/>
        <v/>
      </c>
      <c r="O3922" s="66" t="str">
        <f t="shared" si="432"/>
        <v/>
      </c>
      <c r="P3922" s="66" t="str">
        <f t="shared" si="433"/>
        <v/>
      </c>
    </row>
    <row r="3923" spans="8:16">
      <c r="H3923" s="66" t="e">
        <f>IF(LEFT(A3923,6)="CEPNTR","GPINS",VLOOKUP(LEFT(A3923,6),'Code Library'!$A$3:$B$920,2,0))&amp;"_"&amp;RIGHT(A3923,3)</f>
        <v>#N/A</v>
      </c>
      <c r="I3923" s="66">
        <f t="shared" si="427"/>
        <v>0</v>
      </c>
      <c r="K3923" s="66" t="str">
        <f t="shared" si="428"/>
        <v/>
      </c>
      <c r="L3923" s="66" t="str">
        <f t="shared" si="429"/>
        <v/>
      </c>
      <c r="M3923" s="66" t="str">
        <f t="shared" si="430"/>
        <v/>
      </c>
      <c r="N3923" s="66" t="str">
        <f t="shared" si="431"/>
        <v/>
      </c>
      <c r="O3923" s="66" t="str">
        <f t="shared" si="432"/>
        <v/>
      </c>
      <c r="P3923" s="66" t="str">
        <f t="shared" si="433"/>
        <v/>
      </c>
    </row>
    <row r="3924" spans="8:16">
      <c r="H3924" s="66" t="e">
        <f>IF(LEFT(A3924,6)="CEPNTR","GPINS",VLOOKUP(LEFT(A3924,6),'Code Library'!$A$3:$B$920,2,0))&amp;"_"&amp;RIGHT(A3924,3)</f>
        <v>#N/A</v>
      </c>
      <c r="I3924" s="66">
        <f t="shared" si="427"/>
        <v>0</v>
      </c>
      <c r="K3924" s="66" t="str">
        <f t="shared" si="428"/>
        <v/>
      </c>
      <c r="L3924" s="66" t="str">
        <f t="shared" si="429"/>
        <v/>
      </c>
      <c r="M3924" s="66" t="str">
        <f t="shared" si="430"/>
        <v/>
      </c>
      <c r="N3924" s="66" t="str">
        <f t="shared" si="431"/>
        <v/>
      </c>
      <c r="O3924" s="66" t="str">
        <f t="shared" si="432"/>
        <v/>
      </c>
      <c r="P3924" s="66" t="str">
        <f t="shared" si="433"/>
        <v/>
      </c>
    </row>
    <row r="3925" spans="8:16">
      <c r="H3925" s="66" t="e">
        <f>IF(LEFT(A3925,6)="CEPNTR","GPINS",VLOOKUP(LEFT(A3925,6),'Code Library'!$A$3:$B$920,2,0))&amp;"_"&amp;RIGHT(A3925,3)</f>
        <v>#N/A</v>
      </c>
      <c r="I3925" s="66">
        <f t="shared" si="427"/>
        <v>0</v>
      </c>
      <c r="K3925" s="66" t="str">
        <f t="shared" si="428"/>
        <v/>
      </c>
      <c r="L3925" s="66" t="str">
        <f t="shared" si="429"/>
        <v/>
      </c>
      <c r="M3925" s="66" t="str">
        <f t="shared" si="430"/>
        <v/>
      </c>
      <c r="N3925" s="66" t="str">
        <f t="shared" si="431"/>
        <v/>
      </c>
      <c r="O3925" s="66" t="str">
        <f t="shared" si="432"/>
        <v/>
      </c>
      <c r="P3925" s="66" t="str">
        <f t="shared" si="433"/>
        <v/>
      </c>
    </row>
    <row r="3926" spans="8:16">
      <c r="H3926" s="66" t="e">
        <f>IF(LEFT(A3926,6)="CEPNTR","GPINS",VLOOKUP(LEFT(A3926,6),'Code Library'!$A$3:$B$920,2,0))&amp;"_"&amp;RIGHT(A3926,3)</f>
        <v>#N/A</v>
      </c>
      <c r="I3926" s="66">
        <f t="shared" si="427"/>
        <v>0</v>
      </c>
      <c r="K3926" s="66" t="str">
        <f t="shared" si="428"/>
        <v/>
      </c>
      <c r="L3926" s="66" t="str">
        <f t="shared" si="429"/>
        <v/>
      </c>
      <c r="M3926" s="66" t="str">
        <f t="shared" si="430"/>
        <v/>
      </c>
      <c r="N3926" s="66" t="str">
        <f t="shared" si="431"/>
        <v/>
      </c>
      <c r="O3926" s="66" t="str">
        <f t="shared" si="432"/>
        <v/>
      </c>
      <c r="P3926" s="66" t="str">
        <f t="shared" si="433"/>
        <v/>
      </c>
    </row>
    <row r="3927" spans="8:16">
      <c r="H3927" s="66" t="e">
        <f>IF(LEFT(A3927,6)="CEPNTR","GPINS",VLOOKUP(LEFT(A3927,6),'Code Library'!$A$3:$B$920,2,0))&amp;"_"&amp;RIGHT(A3927,3)</f>
        <v>#N/A</v>
      </c>
      <c r="I3927" s="66">
        <f t="shared" si="427"/>
        <v>0</v>
      </c>
      <c r="K3927" s="66" t="str">
        <f t="shared" si="428"/>
        <v/>
      </c>
      <c r="L3927" s="66" t="str">
        <f t="shared" si="429"/>
        <v/>
      </c>
      <c r="M3927" s="66" t="str">
        <f t="shared" si="430"/>
        <v/>
      </c>
      <c r="N3927" s="66" t="str">
        <f t="shared" si="431"/>
        <v/>
      </c>
      <c r="O3927" s="66" t="str">
        <f t="shared" si="432"/>
        <v/>
      </c>
      <c r="P3927" s="66" t="str">
        <f t="shared" si="433"/>
        <v/>
      </c>
    </row>
    <row r="3928" spans="8:16">
      <c r="H3928" s="66" t="e">
        <f>IF(LEFT(A3928,6)="CEPNTR","GPINS",VLOOKUP(LEFT(A3928,6),'Code Library'!$A$3:$B$920,2,0))&amp;"_"&amp;RIGHT(A3928,3)</f>
        <v>#N/A</v>
      </c>
      <c r="I3928" s="66">
        <f t="shared" si="427"/>
        <v>0</v>
      </c>
      <c r="K3928" s="66" t="str">
        <f t="shared" si="428"/>
        <v/>
      </c>
      <c r="L3928" s="66" t="str">
        <f t="shared" si="429"/>
        <v/>
      </c>
      <c r="M3928" s="66" t="str">
        <f t="shared" si="430"/>
        <v/>
      </c>
      <c r="N3928" s="66" t="str">
        <f t="shared" si="431"/>
        <v/>
      </c>
      <c r="O3928" s="66" t="str">
        <f t="shared" si="432"/>
        <v/>
      </c>
      <c r="P3928" s="66" t="str">
        <f t="shared" si="433"/>
        <v/>
      </c>
    </row>
    <row r="3929" spans="8:16">
      <c r="H3929" s="66" t="e">
        <f>IF(LEFT(A3929,6)="CEPNTR","GPINS",VLOOKUP(LEFT(A3929,6),'Code Library'!$A$3:$B$920,2,0))&amp;"_"&amp;RIGHT(A3929,3)</f>
        <v>#N/A</v>
      </c>
      <c r="I3929" s="66">
        <f t="shared" si="427"/>
        <v>0</v>
      </c>
      <c r="K3929" s="66" t="str">
        <f t="shared" si="428"/>
        <v/>
      </c>
      <c r="L3929" s="66" t="str">
        <f t="shared" si="429"/>
        <v/>
      </c>
      <c r="M3929" s="66" t="str">
        <f t="shared" si="430"/>
        <v/>
      </c>
      <c r="N3929" s="66" t="str">
        <f t="shared" si="431"/>
        <v/>
      </c>
      <c r="O3929" s="66" t="str">
        <f t="shared" si="432"/>
        <v/>
      </c>
      <c r="P3929" s="66" t="str">
        <f t="shared" si="433"/>
        <v/>
      </c>
    </row>
    <row r="3930" spans="8:16">
      <c r="H3930" s="66" t="e">
        <f>IF(LEFT(A3930,6)="CEPNTR","GPINS",VLOOKUP(LEFT(A3930,6),'Code Library'!$A$3:$B$920,2,0))&amp;"_"&amp;RIGHT(A3930,3)</f>
        <v>#N/A</v>
      </c>
      <c r="I3930" s="66">
        <f t="shared" si="427"/>
        <v>0</v>
      </c>
      <c r="K3930" s="66" t="str">
        <f t="shared" si="428"/>
        <v/>
      </c>
      <c r="L3930" s="66" t="str">
        <f t="shared" si="429"/>
        <v/>
      </c>
      <c r="M3930" s="66" t="str">
        <f t="shared" si="430"/>
        <v/>
      </c>
      <c r="N3930" s="66" t="str">
        <f t="shared" si="431"/>
        <v/>
      </c>
      <c r="O3930" s="66" t="str">
        <f t="shared" si="432"/>
        <v/>
      </c>
      <c r="P3930" s="66" t="str">
        <f t="shared" si="433"/>
        <v/>
      </c>
    </row>
    <row r="3931" spans="8:16">
      <c r="H3931" s="66" t="e">
        <f>IF(LEFT(A3931,6)="CEPNTR","GPINS",VLOOKUP(LEFT(A3931,6),'Code Library'!$A$3:$B$920,2,0))&amp;"_"&amp;RIGHT(A3931,3)</f>
        <v>#N/A</v>
      </c>
      <c r="I3931" s="66">
        <f t="shared" si="427"/>
        <v>0</v>
      </c>
      <c r="K3931" s="66" t="str">
        <f t="shared" si="428"/>
        <v/>
      </c>
      <c r="L3931" s="66" t="str">
        <f t="shared" si="429"/>
        <v/>
      </c>
      <c r="M3931" s="66" t="str">
        <f t="shared" si="430"/>
        <v/>
      </c>
      <c r="N3931" s="66" t="str">
        <f t="shared" si="431"/>
        <v/>
      </c>
      <c r="O3931" s="66" t="str">
        <f t="shared" si="432"/>
        <v/>
      </c>
      <c r="P3931" s="66" t="str">
        <f t="shared" si="433"/>
        <v/>
      </c>
    </row>
    <row r="3932" spans="8:16">
      <c r="H3932" s="66" t="e">
        <f>IF(LEFT(A3932,6)="CEPNTR","GPINS",VLOOKUP(LEFT(A3932,6),'Code Library'!$A$3:$B$920,2,0))&amp;"_"&amp;RIGHT(A3932,3)</f>
        <v>#N/A</v>
      </c>
      <c r="I3932" s="66">
        <f t="shared" si="427"/>
        <v>0</v>
      </c>
      <c r="K3932" s="66" t="str">
        <f t="shared" si="428"/>
        <v/>
      </c>
      <c r="L3932" s="66" t="str">
        <f t="shared" si="429"/>
        <v/>
      </c>
      <c r="M3932" s="66" t="str">
        <f t="shared" si="430"/>
        <v/>
      </c>
      <c r="N3932" s="66" t="str">
        <f t="shared" si="431"/>
        <v/>
      </c>
      <c r="O3932" s="66" t="str">
        <f t="shared" si="432"/>
        <v/>
      </c>
      <c r="P3932" s="66" t="str">
        <f t="shared" si="433"/>
        <v/>
      </c>
    </row>
    <row r="3933" spans="8:16">
      <c r="H3933" s="66" t="e">
        <f>IF(LEFT(A3933,6)="CEPNTR","GPINS",VLOOKUP(LEFT(A3933,6),'Code Library'!$A$3:$B$920,2,0))&amp;"_"&amp;RIGHT(A3933,3)</f>
        <v>#N/A</v>
      </c>
      <c r="I3933" s="66">
        <f t="shared" si="427"/>
        <v>0</v>
      </c>
      <c r="K3933" s="66" t="str">
        <f t="shared" si="428"/>
        <v/>
      </c>
      <c r="L3933" s="66" t="str">
        <f t="shared" si="429"/>
        <v/>
      </c>
      <c r="M3933" s="66" t="str">
        <f t="shared" si="430"/>
        <v/>
      </c>
      <c r="N3933" s="66" t="str">
        <f t="shared" si="431"/>
        <v/>
      </c>
      <c r="O3933" s="66" t="str">
        <f t="shared" si="432"/>
        <v/>
      </c>
      <c r="P3933" s="66" t="str">
        <f t="shared" si="433"/>
        <v/>
      </c>
    </row>
    <row r="3934" spans="8:16">
      <c r="H3934" s="66" t="e">
        <f>IF(LEFT(A3934,6)="CEPNTR","GPINS",VLOOKUP(LEFT(A3934,6),'Code Library'!$A$3:$B$920,2,0))&amp;"_"&amp;RIGHT(A3934,3)</f>
        <v>#N/A</v>
      </c>
      <c r="I3934" s="66">
        <f t="shared" si="427"/>
        <v>0</v>
      </c>
      <c r="K3934" s="66" t="str">
        <f t="shared" si="428"/>
        <v/>
      </c>
      <c r="L3934" s="66" t="str">
        <f t="shared" si="429"/>
        <v/>
      </c>
      <c r="M3934" s="66" t="str">
        <f t="shared" si="430"/>
        <v/>
      </c>
      <c r="N3934" s="66" t="str">
        <f t="shared" si="431"/>
        <v/>
      </c>
      <c r="O3934" s="66" t="str">
        <f t="shared" si="432"/>
        <v/>
      </c>
      <c r="P3934" s="66" t="str">
        <f t="shared" si="433"/>
        <v/>
      </c>
    </row>
    <row r="3935" spans="8:16">
      <c r="H3935" s="66" t="e">
        <f>IF(LEFT(A3935,6)="CEPNTR","GPINS",VLOOKUP(LEFT(A3935,6),'Code Library'!$A$3:$B$920,2,0))&amp;"_"&amp;RIGHT(A3935,3)</f>
        <v>#N/A</v>
      </c>
      <c r="I3935" s="66">
        <f t="shared" si="427"/>
        <v>0</v>
      </c>
      <c r="K3935" s="66" t="str">
        <f t="shared" si="428"/>
        <v/>
      </c>
      <c r="L3935" s="66" t="str">
        <f t="shared" si="429"/>
        <v/>
      </c>
      <c r="M3935" s="66" t="str">
        <f t="shared" si="430"/>
        <v/>
      </c>
      <c r="N3935" s="66" t="str">
        <f t="shared" si="431"/>
        <v/>
      </c>
      <c r="O3935" s="66" t="str">
        <f t="shared" si="432"/>
        <v/>
      </c>
      <c r="P3935" s="66" t="str">
        <f t="shared" si="433"/>
        <v/>
      </c>
    </row>
    <row r="3936" spans="8:16">
      <c r="H3936" s="66" t="e">
        <f>IF(LEFT(A3936,6)="CEPNTR","GPINS",VLOOKUP(LEFT(A3936,6),'Code Library'!$A$3:$B$920,2,0))&amp;"_"&amp;RIGHT(A3936,3)</f>
        <v>#N/A</v>
      </c>
      <c r="I3936" s="66">
        <f t="shared" si="427"/>
        <v>0</v>
      </c>
      <c r="K3936" s="66" t="str">
        <f t="shared" si="428"/>
        <v/>
      </c>
      <c r="L3936" s="66" t="str">
        <f t="shared" si="429"/>
        <v/>
      </c>
      <c r="M3936" s="66" t="str">
        <f t="shared" si="430"/>
        <v/>
      </c>
      <c r="N3936" s="66" t="str">
        <f t="shared" si="431"/>
        <v/>
      </c>
      <c r="O3936" s="66" t="str">
        <f t="shared" si="432"/>
        <v/>
      </c>
      <c r="P3936" s="66" t="str">
        <f t="shared" si="433"/>
        <v/>
      </c>
    </row>
    <row r="3937" spans="8:16">
      <c r="H3937" s="66" t="e">
        <f>IF(LEFT(A3937,6)="CEPNTR","GPINS",VLOOKUP(LEFT(A3937,6),'Code Library'!$A$3:$B$920,2,0))&amp;"_"&amp;RIGHT(A3937,3)</f>
        <v>#N/A</v>
      </c>
      <c r="I3937" s="66">
        <f t="shared" si="427"/>
        <v>0</v>
      </c>
      <c r="K3937" s="66" t="str">
        <f t="shared" si="428"/>
        <v/>
      </c>
      <c r="L3937" s="66" t="str">
        <f t="shared" si="429"/>
        <v/>
      </c>
      <c r="M3937" s="66" t="str">
        <f t="shared" si="430"/>
        <v/>
      </c>
      <c r="N3937" s="66" t="str">
        <f t="shared" si="431"/>
        <v/>
      </c>
      <c r="O3937" s="66" t="str">
        <f t="shared" si="432"/>
        <v/>
      </c>
      <c r="P3937" s="66" t="str">
        <f t="shared" si="433"/>
        <v/>
      </c>
    </row>
    <row r="3938" spans="8:16">
      <c r="H3938" s="66" t="e">
        <f>IF(LEFT(A3938,6)="CEPNTR","GPINS",VLOOKUP(LEFT(A3938,6),'Code Library'!$A$3:$B$920,2,0))&amp;"_"&amp;RIGHT(A3938,3)</f>
        <v>#N/A</v>
      </c>
      <c r="I3938" s="66">
        <f t="shared" si="427"/>
        <v>0</v>
      </c>
      <c r="K3938" s="66" t="str">
        <f t="shared" si="428"/>
        <v/>
      </c>
      <c r="L3938" s="66" t="str">
        <f t="shared" si="429"/>
        <v/>
      </c>
      <c r="M3938" s="66" t="str">
        <f t="shared" si="430"/>
        <v/>
      </c>
      <c r="N3938" s="66" t="str">
        <f t="shared" si="431"/>
        <v/>
      </c>
      <c r="O3938" s="66" t="str">
        <f t="shared" si="432"/>
        <v/>
      </c>
      <c r="P3938" s="66" t="str">
        <f t="shared" si="433"/>
        <v/>
      </c>
    </row>
    <row r="3939" spans="8:16">
      <c r="H3939" s="66" t="e">
        <f>IF(LEFT(A3939,6)="CEPNTR","GPINS",VLOOKUP(LEFT(A3939,6),'Code Library'!$A$3:$B$920,2,0))&amp;"_"&amp;RIGHT(A3939,3)</f>
        <v>#N/A</v>
      </c>
      <c r="I3939" s="66">
        <f t="shared" si="427"/>
        <v>0</v>
      </c>
      <c r="K3939" s="66" t="str">
        <f t="shared" si="428"/>
        <v/>
      </c>
      <c r="L3939" s="66" t="str">
        <f t="shared" si="429"/>
        <v/>
      </c>
      <c r="M3939" s="66" t="str">
        <f t="shared" si="430"/>
        <v/>
      </c>
      <c r="N3939" s="66" t="str">
        <f t="shared" si="431"/>
        <v/>
      </c>
      <c r="O3939" s="66" t="str">
        <f t="shared" si="432"/>
        <v/>
      </c>
      <c r="P3939" s="66" t="str">
        <f t="shared" si="433"/>
        <v/>
      </c>
    </row>
    <row r="3940" spans="8:16">
      <c r="H3940" s="66" t="e">
        <f>IF(LEFT(A3940,6)="CEPNTR","GPINS",VLOOKUP(LEFT(A3940,6),'Code Library'!$A$3:$B$920,2,0))&amp;"_"&amp;RIGHT(A3940,3)</f>
        <v>#N/A</v>
      </c>
      <c r="I3940" s="66">
        <f t="shared" si="427"/>
        <v>0</v>
      </c>
      <c r="K3940" s="66" t="str">
        <f t="shared" si="428"/>
        <v/>
      </c>
      <c r="L3940" s="66" t="str">
        <f t="shared" si="429"/>
        <v/>
      </c>
      <c r="M3940" s="66" t="str">
        <f t="shared" si="430"/>
        <v/>
      </c>
      <c r="N3940" s="66" t="str">
        <f t="shared" si="431"/>
        <v/>
      </c>
      <c r="O3940" s="66" t="str">
        <f t="shared" si="432"/>
        <v/>
      </c>
      <c r="P3940" s="66" t="str">
        <f t="shared" si="433"/>
        <v/>
      </c>
    </row>
    <row r="3941" spans="8:16">
      <c r="H3941" s="66" t="e">
        <f>IF(LEFT(A3941,6)="CEPNTR","GPINS",VLOOKUP(LEFT(A3941,6),'Code Library'!$A$3:$B$920,2,0))&amp;"_"&amp;RIGHT(A3941,3)</f>
        <v>#N/A</v>
      </c>
      <c r="I3941" s="66">
        <f t="shared" si="427"/>
        <v>0</v>
      </c>
      <c r="K3941" s="66" t="str">
        <f t="shared" si="428"/>
        <v/>
      </c>
      <c r="L3941" s="66" t="str">
        <f t="shared" si="429"/>
        <v/>
      </c>
      <c r="M3941" s="66" t="str">
        <f t="shared" si="430"/>
        <v/>
      </c>
      <c r="N3941" s="66" t="str">
        <f t="shared" si="431"/>
        <v/>
      </c>
      <c r="O3941" s="66" t="str">
        <f t="shared" si="432"/>
        <v/>
      </c>
      <c r="P3941" s="66" t="str">
        <f t="shared" si="433"/>
        <v/>
      </c>
    </row>
    <row r="3942" spans="8:16">
      <c r="H3942" s="66" t="e">
        <f>IF(LEFT(A3942,6)="CEPNTR","GPINS",VLOOKUP(LEFT(A3942,6),'Code Library'!$A$3:$B$920,2,0))&amp;"_"&amp;RIGHT(A3942,3)</f>
        <v>#N/A</v>
      </c>
      <c r="I3942" s="66">
        <f t="shared" si="427"/>
        <v>0</v>
      </c>
      <c r="K3942" s="66" t="str">
        <f t="shared" si="428"/>
        <v/>
      </c>
      <c r="L3942" s="66" t="str">
        <f t="shared" si="429"/>
        <v/>
      </c>
      <c r="M3942" s="66" t="str">
        <f t="shared" si="430"/>
        <v/>
      </c>
      <c r="N3942" s="66" t="str">
        <f t="shared" si="431"/>
        <v/>
      </c>
      <c r="O3942" s="66" t="str">
        <f t="shared" si="432"/>
        <v/>
      </c>
      <c r="P3942" s="66" t="str">
        <f t="shared" si="433"/>
        <v/>
      </c>
    </row>
    <row r="3943" spans="8:16">
      <c r="H3943" s="66" t="e">
        <f>IF(LEFT(A3943,6)="CEPNTR","GPINS",VLOOKUP(LEFT(A3943,6),'Code Library'!$A$3:$B$920,2,0))&amp;"_"&amp;RIGHT(A3943,3)</f>
        <v>#N/A</v>
      </c>
      <c r="I3943" s="66">
        <f t="shared" si="427"/>
        <v>0</v>
      </c>
      <c r="K3943" s="66" t="str">
        <f t="shared" si="428"/>
        <v/>
      </c>
      <c r="L3943" s="66" t="str">
        <f t="shared" si="429"/>
        <v/>
      </c>
      <c r="M3943" s="66" t="str">
        <f t="shared" si="430"/>
        <v/>
      </c>
      <c r="N3943" s="66" t="str">
        <f t="shared" si="431"/>
        <v/>
      </c>
      <c r="O3943" s="66" t="str">
        <f t="shared" si="432"/>
        <v/>
      </c>
      <c r="P3943" s="66" t="str">
        <f t="shared" si="433"/>
        <v/>
      </c>
    </row>
    <row r="3944" spans="8:16">
      <c r="H3944" s="66" t="e">
        <f>IF(LEFT(A3944,6)="CEPNTR","GPINS",VLOOKUP(LEFT(A3944,6),'Code Library'!$A$3:$B$920,2,0))&amp;"_"&amp;RIGHT(A3944,3)</f>
        <v>#N/A</v>
      </c>
      <c r="I3944" s="66">
        <f t="shared" si="427"/>
        <v>0</v>
      </c>
      <c r="K3944" s="66" t="str">
        <f t="shared" si="428"/>
        <v/>
      </c>
      <c r="L3944" s="66" t="str">
        <f t="shared" si="429"/>
        <v/>
      </c>
      <c r="M3944" s="66" t="str">
        <f t="shared" si="430"/>
        <v/>
      </c>
      <c r="N3944" s="66" t="str">
        <f t="shared" si="431"/>
        <v/>
      </c>
      <c r="O3944" s="66" t="str">
        <f t="shared" si="432"/>
        <v/>
      </c>
      <c r="P3944" s="66" t="str">
        <f t="shared" si="433"/>
        <v/>
      </c>
    </row>
    <row r="3945" spans="8:16">
      <c r="H3945" s="66" t="e">
        <f>IF(LEFT(A3945,6)="CEPNTR","GPINS",VLOOKUP(LEFT(A3945,6),'Code Library'!$A$3:$B$920,2,0))&amp;"_"&amp;RIGHT(A3945,3)</f>
        <v>#N/A</v>
      </c>
      <c r="I3945" s="66">
        <f t="shared" si="427"/>
        <v>0</v>
      </c>
      <c r="K3945" s="66" t="str">
        <f t="shared" si="428"/>
        <v/>
      </c>
      <c r="L3945" s="66" t="str">
        <f t="shared" si="429"/>
        <v/>
      </c>
      <c r="M3945" s="66" t="str">
        <f t="shared" si="430"/>
        <v/>
      </c>
      <c r="N3945" s="66" t="str">
        <f t="shared" si="431"/>
        <v/>
      </c>
      <c r="O3945" s="66" t="str">
        <f t="shared" si="432"/>
        <v/>
      </c>
      <c r="P3945" s="66" t="str">
        <f t="shared" si="433"/>
        <v/>
      </c>
    </row>
    <row r="3946" spans="8:16">
      <c r="H3946" s="66" t="e">
        <f>IF(LEFT(A3946,6)="CEPNTR","GPINS",VLOOKUP(LEFT(A3946,6),'Code Library'!$A$3:$B$920,2,0))&amp;"_"&amp;RIGHT(A3946,3)</f>
        <v>#N/A</v>
      </c>
      <c r="I3946" s="66">
        <f t="shared" si="427"/>
        <v>0</v>
      </c>
      <c r="K3946" s="66" t="str">
        <f t="shared" si="428"/>
        <v/>
      </c>
      <c r="L3946" s="66" t="str">
        <f t="shared" si="429"/>
        <v/>
      </c>
      <c r="M3946" s="66" t="str">
        <f t="shared" si="430"/>
        <v/>
      </c>
      <c r="N3946" s="66" t="str">
        <f t="shared" si="431"/>
        <v/>
      </c>
      <c r="O3946" s="66" t="str">
        <f t="shared" si="432"/>
        <v/>
      </c>
      <c r="P3946" s="66" t="str">
        <f t="shared" si="433"/>
        <v/>
      </c>
    </row>
    <row r="3947" spans="8:16">
      <c r="H3947" s="66" t="e">
        <f>IF(LEFT(A3947,6)="CEPNTR","GPINS",VLOOKUP(LEFT(A3947,6),'Code Library'!$A$3:$B$920,2,0))&amp;"_"&amp;RIGHT(A3947,3)</f>
        <v>#N/A</v>
      </c>
      <c r="I3947" s="66">
        <f t="shared" si="427"/>
        <v>0</v>
      </c>
      <c r="K3947" s="66" t="str">
        <f t="shared" si="428"/>
        <v/>
      </c>
      <c r="L3947" s="66" t="str">
        <f t="shared" si="429"/>
        <v/>
      </c>
      <c r="M3947" s="66" t="str">
        <f t="shared" si="430"/>
        <v/>
      </c>
      <c r="N3947" s="66" t="str">
        <f t="shared" si="431"/>
        <v/>
      </c>
      <c r="O3947" s="66" t="str">
        <f t="shared" si="432"/>
        <v/>
      </c>
      <c r="P3947" s="66" t="str">
        <f t="shared" si="433"/>
        <v/>
      </c>
    </row>
    <row r="3948" spans="8:16">
      <c r="H3948" s="66" t="e">
        <f>IF(LEFT(A3948,6)="CEPNTR","GPINS",VLOOKUP(LEFT(A3948,6),'Code Library'!$A$3:$B$920,2,0))&amp;"_"&amp;RIGHT(A3948,3)</f>
        <v>#N/A</v>
      </c>
      <c r="I3948" s="66">
        <f t="shared" si="427"/>
        <v>0</v>
      </c>
      <c r="K3948" s="66" t="str">
        <f t="shared" si="428"/>
        <v/>
      </c>
      <c r="L3948" s="66" t="str">
        <f t="shared" si="429"/>
        <v/>
      </c>
      <c r="M3948" s="66" t="str">
        <f t="shared" si="430"/>
        <v/>
      </c>
      <c r="N3948" s="66" t="str">
        <f t="shared" si="431"/>
        <v/>
      </c>
      <c r="O3948" s="66" t="str">
        <f t="shared" si="432"/>
        <v/>
      </c>
      <c r="P3948" s="66" t="str">
        <f t="shared" si="433"/>
        <v/>
      </c>
    </row>
    <row r="3949" spans="8:16">
      <c r="H3949" s="66" t="e">
        <f>IF(LEFT(A3949,6)="CEPNTR","GPINS",VLOOKUP(LEFT(A3949,6),'Code Library'!$A$3:$B$920,2,0))&amp;"_"&amp;RIGHT(A3949,3)</f>
        <v>#N/A</v>
      </c>
      <c r="I3949" s="66">
        <f t="shared" si="427"/>
        <v>0</v>
      </c>
      <c r="K3949" s="66" t="str">
        <f t="shared" si="428"/>
        <v/>
      </c>
      <c r="L3949" s="66" t="str">
        <f t="shared" si="429"/>
        <v/>
      </c>
      <c r="M3949" s="66" t="str">
        <f t="shared" si="430"/>
        <v/>
      </c>
      <c r="N3949" s="66" t="str">
        <f t="shared" si="431"/>
        <v/>
      </c>
      <c r="O3949" s="66" t="str">
        <f t="shared" si="432"/>
        <v/>
      </c>
      <c r="P3949" s="66" t="str">
        <f t="shared" si="433"/>
        <v/>
      </c>
    </row>
    <row r="3950" spans="8:16">
      <c r="H3950" s="66" t="e">
        <f>IF(LEFT(A3950,6)="CEPNTR","GPINS",VLOOKUP(LEFT(A3950,6),'Code Library'!$A$3:$B$920,2,0))&amp;"_"&amp;RIGHT(A3950,3)</f>
        <v>#N/A</v>
      </c>
      <c r="I3950" s="66">
        <f t="shared" si="427"/>
        <v>0</v>
      </c>
      <c r="K3950" s="66" t="str">
        <f t="shared" si="428"/>
        <v/>
      </c>
      <c r="L3950" s="66" t="str">
        <f t="shared" si="429"/>
        <v/>
      </c>
      <c r="M3950" s="66" t="str">
        <f t="shared" si="430"/>
        <v/>
      </c>
      <c r="N3950" s="66" t="str">
        <f t="shared" si="431"/>
        <v/>
      </c>
      <c r="O3950" s="66" t="str">
        <f t="shared" si="432"/>
        <v/>
      </c>
      <c r="P3950" s="66" t="str">
        <f t="shared" si="433"/>
        <v/>
      </c>
    </row>
    <row r="3951" spans="8:16">
      <c r="H3951" s="66" t="e">
        <f>IF(LEFT(A3951,6)="CEPNTR","GPINS",VLOOKUP(LEFT(A3951,6),'Code Library'!$A$3:$B$920,2,0))&amp;"_"&amp;RIGHT(A3951,3)</f>
        <v>#N/A</v>
      </c>
      <c r="I3951" s="66">
        <f t="shared" si="427"/>
        <v>0</v>
      </c>
      <c r="K3951" s="66" t="str">
        <f t="shared" si="428"/>
        <v/>
      </c>
      <c r="L3951" s="66" t="str">
        <f t="shared" si="429"/>
        <v/>
      </c>
      <c r="M3951" s="66" t="str">
        <f t="shared" si="430"/>
        <v/>
      </c>
      <c r="N3951" s="66" t="str">
        <f t="shared" si="431"/>
        <v/>
      </c>
      <c r="O3951" s="66" t="str">
        <f t="shared" si="432"/>
        <v/>
      </c>
      <c r="P3951" s="66" t="str">
        <f t="shared" si="433"/>
        <v/>
      </c>
    </row>
    <row r="3952" spans="8:16">
      <c r="H3952" s="66" t="e">
        <f>IF(LEFT(A3952,6)="CEPNTR","GPINS",VLOOKUP(LEFT(A3952,6),'Code Library'!$A$3:$B$920,2,0))&amp;"_"&amp;RIGHT(A3952,3)</f>
        <v>#N/A</v>
      </c>
      <c r="I3952" s="66">
        <f t="shared" si="427"/>
        <v>0</v>
      </c>
      <c r="K3952" s="66" t="str">
        <f t="shared" si="428"/>
        <v/>
      </c>
      <c r="L3952" s="66" t="str">
        <f t="shared" si="429"/>
        <v/>
      </c>
      <c r="M3952" s="66" t="str">
        <f t="shared" si="430"/>
        <v/>
      </c>
      <c r="N3952" s="66" t="str">
        <f t="shared" si="431"/>
        <v/>
      </c>
      <c r="O3952" s="66" t="str">
        <f t="shared" si="432"/>
        <v/>
      </c>
      <c r="P3952" s="66" t="str">
        <f t="shared" si="433"/>
        <v/>
      </c>
    </row>
    <row r="3953" spans="8:16">
      <c r="H3953" s="66" t="e">
        <f>IF(LEFT(A3953,6)="CEPNTR","GPINS",VLOOKUP(LEFT(A3953,6),'Code Library'!$A$3:$B$920,2,0))&amp;"_"&amp;RIGHT(A3953,3)</f>
        <v>#N/A</v>
      </c>
      <c r="I3953" s="66">
        <f t="shared" si="427"/>
        <v>0</v>
      </c>
      <c r="K3953" s="66" t="str">
        <f t="shared" si="428"/>
        <v/>
      </c>
      <c r="L3953" s="66" t="str">
        <f t="shared" si="429"/>
        <v/>
      </c>
      <c r="M3953" s="66" t="str">
        <f t="shared" si="430"/>
        <v/>
      </c>
      <c r="N3953" s="66" t="str">
        <f t="shared" si="431"/>
        <v/>
      </c>
      <c r="O3953" s="66" t="str">
        <f t="shared" si="432"/>
        <v/>
      </c>
      <c r="P3953" s="66" t="str">
        <f t="shared" si="433"/>
        <v/>
      </c>
    </row>
    <row r="3954" spans="8:16">
      <c r="H3954" s="66" t="e">
        <f>IF(LEFT(A3954,6)="CEPNTR","GPINS",VLOOKUP(LEFT(A3954,6),'Code Library'!$A$3:$B$920,2,0))&amp;"_"&amp;RIGHT(A3954,3)</f>
        <v>#N/A</v>
      </c>
      <c r="I3954" s="66">
        <f t="shared" si="427"/>
        <v>0</v>
      </c>
      <c r="K3954" s="66" t="str">
        <f t="shared" si="428"/>
        <v/>
      </c>
      <c r="L3954" s="66" t="str">
        <f t="shared" si="429"/>
        <v/>
      </c>
      <c r="M3954" s="66" t="str">
        <f t="shared" si="430"/>
        <v/>
      </c>
      <c r="N3954" s="66" t="str">
        <f t="shared" si="431"/>
        <v/>
      </c>
      <c r="O3954" s="66" t="str">
        <f t="shared" si="432"/>
        <v/>
      </c>
      <c r="P3954" s="66" t="str">
        <f t="shared" si="433"/>
        <v/>
      </c>
    </row>
    <row r="3955" spans="8:16">
      <c r="H3955" s="66" t="e">
        <f>IF(LEFT(A3955,6)="CEPNTR","GPINS",VLOOKUP(LEFT(A3955,6),'Code Library'!$A$3:$B$920,2,0))&amp;"_"&amp;RIGHT(A3955,3)</f>
        <v>#N/A</v>
      </c>
      <c r="I3955" s="66">
        <f t="shared" si="427"/>
        <v>0</v>
      </c>
      <c r="K3955" s="66" t="str">
        <f t="shared" si="428"/>
        <v/>
      </c>
      <c r="L3955" s="66" t="str">
        <f t="shared" si="429"/>
        <v/>
      </c>
      <c r="M3955" s="66" t="str">
        <f t="shared" si="430"/>
        <v/>
      </c>
      <c r="N3955" s="66" t="str">
        <f t="shared" si="431"/>
        <v/>
      </c>
      <c r="O3955" s="66" t="str">
        <f t="shared" si="432"/>
        <v/>
      </c>
      <c r="P3955" s="66" t="str">
        <f t="shared" si="433"/>
        <v/>
      </c>
    </row>
    <row r="3956" spans="8:16">
      <c r="H3956" s="66" t="e">
        <f>IF(LEFT(A3956,6)="CEPNTR","GPINS",VLOOKUP(LEFT(A3956,6),'Code Library'!$A$3:$B$920,2,0))&amp;"_"&amp;RIGHT(A3956,3)</f>
        <v>#N/A</v>
      </c>
      <c r="I3956" s="66">
        <f t="shared" si="427"/>
        <v>0</v>
      </c>
      <c r="K3956" s="66" t="str">
        <f t="shared" si="428"/>
        <v/>
      </c>
      <c r="L3956" s="66" t="str">
        <f t="shared" si="429"/>
        <v/>
      </c>
      <c r="M3956" s="66" t="str">
        <f t="shared" si="430"/>
        <v/>
      </c>
      <c r="N3956" s="66" t="str">
        <f t="shared" si="431"/>
        <v/>
      </c>
      <c r="O3956" s="66" t="str">
        <f t="shared" si="432"/>
        <v/>
      </c>
      <c r="P3956" s="66" t="str">
        <f t="shared" si="433"/>
        <v/>
      </c>
    </row>
    <row r="3957" spans="8:16">
      <c r="H3957" s="66" t="e">
        <f>IF(LEFT(A3957,6)="CEPNTR","GPINS",VLOOKUP(LEFT(A3957,6),'Code Library'!$A$3:$B$920,2,0))&amp;"_"&amp;RIGHT(A3957,3)</f>
        <v>#N/A</v>
      </c>
      <c r="I3957" s="66">
        <f t="shared" si="427"/>
        <v>0</v>
      </c>
      <c r="K3957" s="66" t="str">
        <f t="shared" si="428"/>
        <v/>
      </c>
      <c r="L3957" s="66" t="str">
        <f t="shared" si="429"/>
        <v/>
      </c>
      <c r="M3957" s="66" t="str">
        <f t="shared" si="430"/>
        <v/>
      </c>
      <c r="N3957" s="66" t="str">
        <f t="shared" si="431"/>
        <v/>
      </c>
      <c r="O3957" s="66" t="str">
        <f t="shared" si="432"/>
        <v/>
      </c>
      <c r="P3957" s="66" t="str">
        <f t="shared" si="433"/>
        <v/>
      </c>
    </row>
    <row r="3958" spans="8:16">
      <c r="H3958" s="66" t="e">
        <f>IF(LEFT(A3958,6)="CEPNTR","GPINS",VLOOKUP(LEFT(A3958,6),'Code Library'!$A$3:$B$920,2,0))&amp;"_"&amp;RIGHT(A3958,3)</f>
        <v>#N/A</v>
      </c>
      <c r="I3958" s="66">
        <f t="shared" si="427"/>
        <v>0</v>
      </c>
      <c r="K3958" s="66" t="str">
        <f t="shared" si="428"/>
        <v/>
      </c>
      <c r="L3958" s="66" t="str">
        <f t="shared" si="429"/>
        <v/>
      </c>
      <c r="M3958" s="66" t="str">
        <f t="shared" si="430"/>
        <v/>
      </c>
      <c r="N3958" s="66" t="str">
        <f t="shared" si="431"/>
        <v/>
      </c>
      <c r="O3958" s="66" t="str">
        <f t="shared" si="432"/>
        <v/>
      </c>
      <c r="P3958" s="66" t="str">
        <f t="shared" si="433"/>
        <v/>
      </c>
    </row>
    <row r="3959" spans="8:16">
      <c r="H3959" s="66" t="e">
        <f>IF(LEFT(A3959,6)="CEPNTR","GPINS",VLOOKUP(LEFT(A3959,6),'Code Library'!$A$3:$B$920,2,0))&amp;"_"&amp;RIGHT(A3959,3)</f>
        <v>#N/A</v>
      </c>
      <c r="I3959" s="66">
        <f t="shared" si="427"/>
        <v>0</v>
      </c>
      <c r="K3959" s="66" t="str">
        <f t="shared" si="428"/>
        <v/>
      </c>
      <c r="L3959" s="66" t="str">
        <f t="shared" si="429"/>
        <v/>
      </c>
      <c r="M3959" s="66" t="str">
        <f t="shared" si="430"/>
        <v/>
      </c>
      <c r="N3959" s="66" t="str">
        <f t="shared" si="431"/>
        <v/>
      </c>
      <c r="O3959" s="66" t="str">
        <f t="shared" si="432"/>
        <v/>
      </c>
      <c r="P3959" s="66" t="str">
        <f t="shared" si="433"/>
        <v/>
      </c>
    </row>
    <row r="3960" spans="8:16">
      <c r="H3960" s="66" t="e">
        <f>IF(LEFT(A3960,6)="CEPNTR","GPINS",VLOOKUP(LEFT(A3960,6),'Code Library'!$A$3:$B$920,2,0))&amp;"_"&amp;RIGHT(A3960,3)</f>
        <v>#N/A</v>
      </c>
      <c r="I3960" s="66">
        <f t="shared" si="427"/>
        <v>0</v>
      </c>
      <c r="K3960" s="66" t="str">
        <f t="shared" si="428"/>
        <v/>
      </c>
      <c r="L3960" s="66" t="str">
        <f t="shared" si="429"/>
        <v/>
      </c>
      <c r="M3960" s="66" t="str">
        <f t="shared" si="430"/>
        <v/>
      </c>
      <c r="N3960" s="66" t="str">
        <f t="shared" si="431"/>
        <v/>
      </c>
      <c r="O3960" s="66" t="str">
        <f t="shared" si="432"/>
        <v/>
      </c>
      <c r="P3960" s="66" t="str">
        <f t="shared" si="433"/>
        <v/>
      </c>
    </row>
    <row r="3961" spans="8:16">
      <c r="H3961" s="66" t="e">
        <f>IF(LEFT(A3961,6)="CEPNTR","GPINS",VLOOKUP(LEFT(A3961,6),'Code Library'!$A$3:$B$920,2,0))&amp;"_"&amp;RIGHT(A3961,3)</f>
        <v>#N/A</v>
      </c>
      <c r="I3961" s="66">
        <f t="shared" si="427"/>
        <v>0</v>
      </c>
      <c r="K3961" s="66" t="str">
        <f t="shared" si="428"/>
        <v/>
      </c>
      <c r="L3961" s="66" t="str">
        <f t="shared" si="429"/>
        <v/>
      </c>
      <c r="M3961" s="66" t="str">
        <f t="shared" si="430"/>
        <v/>
      </c>
      <c r="N3961" s="66" t="str">
        <f t="shared" si="431"/>
        <v/>
      </c>
      <c r="O3961" s="66" t="str">
        <f t="shared" si="432"/>
        <v/>
      </c>
      <c r="P3961" s="66" t="str">
        <f t="shared" si="433"/>
        <v/>
      </c>
    </row>
    <row r="3962" spans="8:16">
      <c r="H3962" s="66" t="e">
        <f>IF(LEFT(A3962,6)="CEPNTR","GPINS",VLOOKUP(LEFT(A3962,6),'Code Library'!$A$3:$B$920,2,0))&amp;"_"&amp;RIGHT(A3962,3)</f>
        <v>#N/A</v>
      </c>
      <c r="I3962" s="66">
        <f t="shared" si="427"/>
        <v>0</v>
      </c>
      <c r="K3962" s="66" t="str">
        <f t="shared" si="428"/>
        <v/>
      </c>
      <c r="L3962" s="66" t="str">
        <f t="shared" si="429"/>
        <v/>
      </c>
      <c r="M3962" s="66" t="str">
        <f t="shared" si="430"/>
        <v/>
      </c>
      <c r="N3962" s="66" t="str">
        <f t="shared" si="431"/>
        <v/>
      </c>
      <c r="O3962" s="66" t="str">
        <f t="shared" si="432"/>
        <v/>
      </c>
      <c r="P3962" s="66" t="str">
        <f t="shared" si="433"/>
        <v/>
      </c>
    </row>
    <row r="3963" spans="8:16">
      <c r="H3963" s="66" t="e">
        <f>IF(LEFT(A3963,6)="CEPNTR","GPINS",VLOOKUP(LEFT(A3963,6),'Code Library'!$A$3:$B$920,2,0))&amp;"_"&amp;RIGHT(A3963,3)</f>
        <v>#N/A</v>
      </c>
      <c r="I3963" s="66">
        <f t="shared" si="427"/>
        <v>0</v>
      </c>
      <c r="K3963" s="66" t="str">
        <f t="shared" si="428"/>
        <v/>
      </c>
      <c r="L3963" s="66" t="str">
        <f t="shared" si="429"/>
        <v/>
      </c>
      <c r="M3963" s="66" t="str">
        <f t="shared" si="430"/>
        <v/>
      </c>
      <c r="N3963" s="66" t="str">
        <f t="shared" si="431"/>
        <v/>
      </c>
      <c r="O3963" s="66" t="str">
        <f t="shared" si="432"/>
        <v/>
      </c>
      <c r="P3963" s="66" t="str">
        <f t="shared" si="433"/>
        <v/>
      </c>
    </row>
    <row r="3964" spans="8:16">
      <c r="H3964" s="66" t="e">
        <f>IF(LEFT(A3964,6)="CEPNTR","GPINS",VLOOKUP(LEFT(A3964,6),'Code Library'!$A$3:$B$920,2,0))&amp;"_"&amp;RIGHT(A3964,3)</f>
        <v>#N/A</v>
      </c>
      <c r="I3964" s="66">
        <f t="shared" si="427"/>
        <v>0</v>
      </c>
      <c r="K3964" s="66" t="str">
        <f t="shared" si="428"/>
        <v/>
      </c>
      <c r="L3964" s="66" t="str">
        <f t="shared" si="429"/>
        <v/>
      </c>
      <c r="M3964" s="66" t="str">
        <f t="shared" si="430"/>
        <v/>
      </c>
      <c r="N3964" s="66" t="str">
        <f t="shared" si="431"/>
        <v/>
      </c>
      <c r="O3964" s="66" t="str">
        <f t="shared" si="432"/>
        <v/>
      </c>
      <c r="P3964" s="66" t="str">
        <f t="shared" si="433"/>
        <v/>
      </c>
    </row>
    <row r="3965" spans="8:16">
      <c r="H3965" s="66" t="e">
        <f>IF(LEFT(A3965,6)="CEPNTR","GPINS",VLOOKUP(LEFT(A3965,6),'Code Library'!$A$3:$B$920,2,0))&amp;"_"&amp;RIGHT(A3965,3)</f>
        <v>#N/A</v>
      </c>
      <c r="I3965" s="66">
        <f t="shared" si="427"/>
        <v>0</v>
      </c>
      <c r="K3965" s="66" t="str">
        <f t="shared" si="428"/>
        <v/>
      </c>
      <c r="L3965" s="66" t="str">
        <f t="shared" si="429"/>
        <v/>
      </c>
      <c r="M3965" s="66" t="str">
        <f t="shared" si="430"/>
        <v/>
      </c>
      <c r="N3965" s="66" t="str">
        <f t="shared" si="431"/>
        <v/>
      </c>
      <c r="O3965" s="66" t="str">
        <f t="shared" si="432"/>
        <v/>
      </c>
      <c r="P3965" s="66" t="str">
        <f t="shared" si="433"/>
        <v/>
      </c>
    </row>
    <row r="3966" spans="8:16">
      <c r="H3966" s="66" t="e">
        <f>IF(LEFT(A3966,6)="CEPNTR","GPINS",VLOOKUP(LEFT(A3966,6),'Code Library'!$A$3:$B$920,2,0))&amp;"_"&amp;RIGHT(A3966,3)</f>
        <v>#N/A</v>
      </c>
      <c r="I3966" s="66">
        <f t="shared" si="427"/>
        <v>0</v>
      </c>
      <c r="K3966" s="66" t="str">
        <f t="shared" si="428"/>
        <v/>
      </c>
      <c r="L3966" s="66" t="str">
        <f t="shared" si="429"/>
        <v/>
      </c>
      <c r="M3966" s="66" t="str">
        <f t="shared" si="430"/>
        <v/>
      </c>
      <c r="N3966" s="66" t="str">
        <f t="shared" si="431"/>
        <v/>
      </c>
      <c r="O3966" s="66" t="str">
        <f t="shared" si="432"/>
        <v/>
      </c>
      <c r="P3966" s="66" t="str">
        <f t="shared" si="433"/>
        <v/>
      </c>
    </row>
    <row r="3967" spans="8:16">
      <c r="H3967" s="66" t="e">
        <f>IF(LEFT(A3967,6)="CEPNTR","GPINS",VLOOKUP(LEFT(A3967,6),'Code Library'!$A$3:$B$920,2,0))&amp;"_"&amp;RIGHT(A3967,3)</f>
        <v>#N/A</v>
      </c>
      <c r="I3967" s="66">
        <f t="shared" si="427"/>
        <v>0</v>
      </c>
      <c r="K3967" s="66" t="str">
        <f t="shared" si="428"/>
        <v/>
      </c>
      <c r="L3967" s="66" t="str">
        <f t="shared" si="429"/>
        <v/>
      </c>
      <c r="M3967" s="66" t="str">
        <f t="shared" si="430"/>
        <v/>
      </c>
      <c r="N3967" s="66" t="str">
        <f t="shared" si="431"/>
        <v/>
      </c>
      <c r="O3967" s="66" t="str">
        <f t="shared" si="432"/>
        <v/>
      </c>
      <c r="P3967" s="66" t="str">
        <f t="shared" si="433"/>
        <v/>
      </c>
    </row>
    <row r="3968" spans="8:16">
      <c r="H3968" s="66" t="e">
        <f>IF(LEFT(A3968,6)="CEPNTR","GPINS",VLOOKUP(LEFT(A3968,6),'Code Library'!$A$3:$B$920,2,0))&amp;"_"&amp;RIGHT(A3968,3)</f>
        <v>#N/A</v>
      </c>
      <c r="I3968" s="66">
        <f t="shared" si="427"/>
        <v>0</v>
      </c>
      <c r="K3968" s="66" t="str">
        <f t="shared" si="428"/>
        <v/>
      </c>
      <c r="L3968" s="66" t="str">
        <f t="shared" si="429"/>
        <v/>
      </c>
      <c r="M3968" s="66" t="str">
        <f t="shared" si="430"/>
        <v/>
      </c>
      <c r="N3968" s="66" t="str">
        <f t="shared" si="431"/>
        <v/>
      </c>
      <c r="O3968" s="66" t="str">
        <f t="shared" si="432"/>
        <v/>
      </c>
      <c r="P3968" s="66" t="str">
        <f t="shared" si="433"/>
        <v/>
      </c>
    </row>
    <row r="3969" spans="8:16">
      <c r="H3969" s="66" t="e">
        <f>IF(LEFT(A3969,6)="CEPNTR","GPINS",VLOOKUP(LEFT(A3969,6),'Code Library'!$A$3:$B$920,2,0))&amp;"_"&amp;RIGHT(A3969,3)</f>
        <v>#N/A</v>
      </c>
      <c r="I3969" s="66">
        <f t="shared" si="427"/>
        <v>0</v>
      </c>
      <c r="K3969" s="66" t="str">
        <f t="shared" si="428"/>
        <v/>
      </c>
      <c r="L3969" s="66" t="str">
        <f t="shared" si="429"/>
        <v/>
      </c>
      <c r="M3969" s="66" t="str">
        <f t="shared" si="430"/>
        <v/>
      </c>
      <c r="N3969" s="66" t="str">
        <f t="shared" si="431"/>
        <v/>
      </c>
      <c r="O3969" s="66" t="str">
        <f t="shared" si="432"/>
        <v/>
      </c>
      <c r="P3969" s="66" t="str">
        <f t="shared" si="433"/>
        <v/>
      </c>
    </row>
    <row r="3970" spans="8:16">
      <c r="H3970" s="66" t="e">
        <f>IF(LEFT(A3970,6)="CEPNTR","GPINS",VLOOKUP(LEFT(A3970,6),'Code Library'!$A$3:$B$920,2,0))&amp;"_"&amp;RIGHT(A3970,3)</f>
        <v>#N/A</v>
      </c>
      <c r="I3970" s="66">
        <f t="shared" si="427"/>
        <v>0</v>
      </c>
      <c r="K3970" s="66" t="str">
        <f t="shared" si="428"/>
        <v/>
      </c>
      <c r="L3970" s="66" t="str">
        <f t="shared" si="429"/>
        <v/>
      </c>
      <c r="M3970" s="66" t="str">
        <f t="shared" si="430"/>
        <v/>
      </c>
      <c r="N3970" s="66" t="str">
        <f t="shared" si="431"/>
        <v/>
      </c>
      <c r="O3970" s="66" t="str">
        <f t="shared" si="432"/>
        <v/>
      </c>
      <c r="P3970" s="66" t="str">
        <f t="shared" si="433"/>
        <v/>
      </c>
    </row>
    <row r="3971" spans="8:16">
      <c r="H3971" s="66" t="e">
        <f>IF(LEFT(A3971,6)="CEPNTR","GPINS",VLOOKUP(LEFT(A3971,6),'Code Library'!$A$3:$B$920,2,0))&amp;"_"&amp;RIGHT(A3971,3)</f>
        <v>#N/A</v>
      </c>
      <c r="I3971" s="66">
        <f t="shared" ref="I3971:I4034" si="434">A3971</f>
        <v>0</v>
      </c>
      <c r="K3971" s="66" t="str">
        <f t="shared" ref="K3971:K4034" si="435">RIGHT($B3971,2)</f>
        <v/>
      </c>
      <c r="L3971" s="66" t="str">
        <f t="shared" ref="L3971:L4034" si="436">LEFT(RIGHT($B3971,7),4)</f>
        <v/>
      </c>
      <c r="M3971" s="66" t="str">
        <f t="shared" ref="M3971:M4034" si="437">LEFT(RIGHT($B3971,10),2)</f>
        <v/>
      </c>
      <c r="N3971" s="66" t="str">
        <f t="shared" ref="N3971:N4034" si="438">LEFT(RIGHT($B3971,14),3)</f>
        <v/>
      </c>
      <c r="O3971" s="66" t="str">
        <f t="shared" ref="O3971:O4034" si="439">LEFT(RIGHT($B3971,16),1)</f>
        <v/>
      </c>
      <c r="P3971" s="66" t="str">
        <f t="shared" ref="P3971:P4034" si="440">LEFT(RIGHT($B3971,19),2)</f>
        <v/>
      </c>
    </row>
    <row r="3972" spans="8:16">
      <c r="H3972" s="66" t="e">
        <f>IF(LEFT(A3972,6)="CEPNTR","GPINS",VLOOKUP(LEFT(A3972,6),'Code Library'!$A$3:$B$920,2,0))&amp;"_"&amp;RIGHT(A3972,3)</f>
        <v>#N/A</v>
      </c>
      <c r="I3972" s="66">
        <f t="shared" si="434"/>
        <v>0</v>
      </c>
      <c r="K3972" s="66" t="str">
        <f t="shared" si="435"/>
        <v/>
      </c>
      <c r="L3972" s="66" t="str">
        <f t="shared" si="436"/>
        <v/>
      </c>
      <c r="M3972" s="66" t="str">
        <f t="shared" si="437"/>
        <v/>
      </c>
      <c r="N3972" s="66" t="str">
        <f t="shared" si="438"/>
        <v/>
      </c>
      <c r="O3972" s="66" t="str">
        <f t="shared" si="439"/>
        <v/>
      </c>
      <c r="P3972" s="66" t="str">
        <f t="shared" si="440"/>
        <v/>
      </c>
    </row>
    <row r="3973" spans="8:16">
      <c r="H3973" s="66" t="e">
        <f>IF(LEFT(A3973,6)="CEPNTR","GPINS",VLOOKUP(LEFT(A3973,6),'Code Library'!$A$3:$B$920,2,0))&amp;"_"&amp;RIGHT(A3973,3)</f>
        <v>#N/A</v>
      </c>
      <c r="I3973" s="66">
        <f t="shared" si="434"/>
        <v>0</v>
      </c>
      <c r="K3973" s="66" t="str">
        <f t="shared" si="435"/>
        <v/>
      </c>
      <c r="L3973" s="66" t="str">
        <f t="shared" si="436"/>
        <v/>
      </c>
      <c r="M3973" s="66" t="str">
        <f t="shared" si="437"/>
        <v/>
      </c>
      <c r="N3973" s="66" t="str">
        <f t="shared" si="438"/>
        <v/>
      </c>
      <c r="O3973" s="66" t="str">
        <f t="shared" si="439"/>
        <v/>
      </c>
      <c r="P3973" s="66" t="str">
        <f t="shared" si="440"/>
        <v/>
      </c>
    </row>
    <row r="3974" spans="8:16">
      <c r="H3974" s="66" t="e">
        <f>IF(LEFT(A3974,6)="CEPNTR","GPINS",VLOOKUP(LEFT(A3974,6),'Code Library'!$A$3:$B$920,2,0))&amp;"_"&amp;RIGHT(A3974,3)</f>
        <v>#N/A</v>
      </c>
      <c r="I3974" s="66">
        <f t="shared" si="434"/>
        <v>0</v>
      </c>
      <c r="K3974" s="66" t="str">
        <f t="shared" si="435"/>
        <v/>
      </c>
      <c r="L3974" s="66" t="str">
        <f t="shared" si="436"/>
        <v/>
      </c>
      <c r="M3974" s="66" t="str">
        <f t="shared" si="437"/>
        <v/>
      </c>
      <c r="N3974" s="66" t="str">
        <f t="shared" si="438"/>
        <v/>
      </c>
      <c r="O3974" s="66" t="str">
        <f t="shared" si="439"/>
        <v/>
      </c>
      <c r="P3974" s="66" t="str">
        <f t="shared" si="440"/>
        <v/>
      </c>
    </row>
    <row r="3975" spans="8:16">
      <c r="H3975" s="66" t="e">
        <f>IF(LEFT(A3975,6)="CEPNTR","GPINS",VLOOKUP(LEFT(A3975,6),'Code Library'!$A$3:$B$920,2,0))&amp;"_"&amp;RIGHT(A3975,3)</f>
        <v>#N/A</v>
      </c>
      <c r="I3975" s="66">
        <f t="shared" si="434"/>
        <v>0</v>
      </c>
      <c r="K3975" s="66" t="str">
        <f t="shared" si="435"/>
        <v/>
      </c>
      <c r="L3975" s="66" t="str">
        <f t="shared" si="436"/>
        <v/>
      </c>
      <c r="M3975" s="66" t="str">
        <f t="shared" si="437"/>
        <v/>
      </c>
      <c r="N3975" s="66" t="str">
        <f t="shared" si="438"/>
        <v/>
      </c>
      <c r="O3975" s="66" t="str">
        <f t="shared" si="439"/>
        <v/>
      </c>
      <c r="P3975" s="66" t="str">
        <f t="shared" si="440"/>
        <v/>
      </c>
    </row>
    <row r="3976" spans="8:16">
      <c r="H3976" s="66" t="e">
        <f>IF(LEFT(A3976,6)="CEPNTR","GPINS",VLOOKUP(LEFT(A3976,6),'Code Library'!$A$3:$B$920,2,0))&amp;"_"&amp;RIGHT(A3976,3)</f>
        <v>#N/A</v>
      </c>
      <c r="I3976" s="66">
        <f t="shared" si="434"/>
        <v>0</v>
      </c>
      <c r="K3976" s="66" t="str">
        <f t="shared" si="435"/>
        <v/>
      </c>
      <c r="L3976" s="66" t="str">
        <f t="shared" si="436"/>
        <v/>
      </c>
      <c r="M3976" s="66" t="str">
        <f t="shared" si="437"/>
        <v/>
      </c>
      <c r="N3976" s="66" t="str">
        <f t="shared" si="438"/>
        <v/>
      </c>
      <c r="O3976" s="66" t="str">
        <f t="shared" si="439"/>
        <v/>
      </c>
      <c r="P3976" s="66" t="str">
        <f t="shared" si="440"/>
        <v/>
      </c>
    </row>
    <row r="3977" spans="8:16">
      <c r="H3977" s="66" t="e">
        <f>IF(LEFT(A3977,6)="CEPNTR","GPINS",VLOOKUP(LEFT(A3977,6),'Code Library'!$A$3:$B$920,2,0))&amp;"_"&amp;RIGHT(A3977,3)</f>
        <v>#N/A</v>
      </c>
      <c r="I3977" s="66">
        <f t="shared" si="434"/>
        <v>0</v>
      </c>
      <c r="K3977" s="66" t="str">
        <f t="shared" si="435"/>
        <v/>
      </c>
      <c r="L3977" s="66" t="str">
        <f t="shared" si="436"/>
        <v/>
      </c>
      <c r="M3977" s="66" t="str">
        <f t="shared" si="437"/>
        <v/>
      </c>
      <c r="N3977" s="66" t="str">
        <f t="shared" si="438"/>
        <v/>
      </c>
      <c r="O3977" s="66" t="str">
        <f t="shared" si="439"/>
        <v/>
      </c>
      <c r="P3977" s="66" t="str">
        <f t="shared" si="440"/>
        <v/>
      </c>
    </row>
    <row r="3978" spans="8:16">
      <c r="H3978" s="66" t="e">
        <f>IF(LEFT(A3978,6)="CEPNTR","GPINS",VLOOKUP(LEFT(A3978,6),'Code Library'!$A$3:$B$920,2,0))&amp;"_"&amp;RIGHT(A3978,3)</f>
        <v>#N/A</v>
      </c>
      <c r="I3978" s="66">
        <f t="shared" si="434"/>
        <v>0</v>
      </c>
      <c r="K3978" s="66" t="str">
        <f t="shared" si="435"/>
        <v/>
      </c>
      <c r="L3978" s="66" t="str">
        <f t="shared" si="436"/>
        <v/>
      </c>
      <c r="M3978" s="66" t="str">
        <f t="shared" si="437"/>
        <v/>
      </c>
      <c r="N3978" s="66" t="str">
        <f t="shared" si="438"/>
        <v/>
      </c>
      <c r="O3978" s="66" t="str">
        <f t="shared" si="439"/>
        <v/>
      </c>
      <c r="P3978" s="66" t="str">
        <f t="shared" si="440"/>
        <v/>
      </c>
    </row>
    <row r="3979" spans="8:16">
      <c r="H3979" s="66" t="e">
        <f>IF(LEFT(A3979,6)="CEPNTR","GPINS",VLOOKUP(LEFT(A3979,6),'Code Library'!$A$3:$B$920,2,0))&amp;"_"&amp;RIGHT(A3979,3)</f>
        <v>#N/A</v>
      </c>
      <c r="I3979" s="66">
        <f t="shared" si="434"/>
        <v>0</v>
      </c>
      <c r="K3979" s="66" t="str">
        <f t="shared" si="435"/>
        <v/>
      </c>
      <c r="L3979" s="66" t="str">
        <f t="shared" si="436"/>
        <v/>
      </c>
      <c r="M3979" s="66" t="str">
        <f t="shared" si="437"/>
        <v/>
      </c>
      <c r="N3979" s="66" t="str">
        <f t="shared" si="438"/>
        <v/>
      </c>
      <c r="O3979" s="66" t="str">
        <f t="shared" si="439"/>
        <v/>
      </c>
      <c r="P3979" s="66" t="str">
        <f t="shared" si="440"/>
        <v/>
      </c>
    </row>
    <row r="3980" spans="8:16">
      <c r="H3980" s="66" t="e">
        <f>IF(LEFT(A3980,6)="CEPNTR","GPINS",VLOOKUP(LEFT(A3980,6),'Code Library'!$A$3:$B$920,2,0))&amp;"_"&amp;RIGHT(A3980,3)</f>
        <v>#N/A</v>
      </c>
      <c r="I3980" s="66">
        <f t="shared" si="434"/>
        <v>0</v>
      </c>
      <c r="K3980" s="66" t="str">
        <f t="shared" si="435"/>
        <v/>
      </c>
      <c r="L3980" s="66" t="str">
        <f t="shared" si="436"/>
        <v/>
      </c>
      <c r="M3980" s="66" t="str">
        <f t="shared" si="437"/>
        <v/>
      </c>
      <c r="N3980" s="66" t="str">
        <f t="shared" si="438"/>
        <v/>
      </c>
      <c r="O3980" s="66" t="str">
        <f t="shared" si="439"/>
        <v/>
      </c>
      <c r="P3980" s="66" t="str">
        <f t="shared" si="440"/>
        <v/>
      </c>
    </row>
    <row r="3981" spans="8:16">
      <c r="H3981" s="66" t="e">
        <f>IF(LEFT(A3981,6)="CEPNTR","GPINS",VLOOKUP(LEFT(A3981,6),'Code Library'!$A$3:$B$920,2,0))&amp;"_"&amp;RIGHT(A3981,3)</f>
        <v>#N/A</v>
      </c>
      <c r="I3981" s="66">
        <f t="shared" si="434"/>
        <v>0</v>
      </c>
      <c r="K3981" s="66" t="str">
        <f t="shared" si="435"/>
        <v/>
      </c>
      <c r="L3981" s="66" t="str">
        <f t="shared" si="436"/>
        <v/>
      </c>
      <c r="M3981" s="66" t="str">
        <f t="shared" si="437"/>
        <v/>
      </c>
      <c r="N3981" s="66" t="str">
        <f t="shared" si="438"/>
        <v/>
      </c>
      <c r="O3981" s="66" t="str">
        <f t="shared" si="439"/>
        <v/>
      </c>
      <c r="P3981" s="66" t="str">
        <f t="shared" si="440"/>
        <v/>
      </c>
    </row>
    <row r="3982" spans="8:16">
      <c r="H3982" s="66" t="e">
        <f>IF(LEFT(A3982,6)="CEPNTR","GPINS",VLOOKUP(LEFT(A3982,6),'Code Library'!$A$3:$B$920,2,0))&amp;"_"&amp;RIGHT(A3982,3)</f>
        <v>#N/A</v>
      </c>
      <c r="I3982" s="66">
        <f t="shared" si="434"/>
        <v>0</v>
      </c>
      <c r="K3982" s="66" t="str">
        <f t="shared" si="435"/>
        <v/>
      </c>
      <c r="L3982" s="66" t="str">
        <f t="shared" si="436"/>
        <v/>
      </c>
      <c r="M3982" s="66" t="str">
        <f t="shared" si="437"/>
        <v/>
      </c>
      <c r="N3982" s="66" t="str">
        <f t="shared" si="438"/>
        <v/>
      </c>
      <c r="O3982" s="66" t="str">
        <f t="shared" si="439"/>
        <v/>
      </c>
      <c r="P3982" s="66" t="str">
        <f t="shared" si="440"/>
        <v/>
      </c>
    </row>
    <row r="3983" spans="8:16">
      <c r="H3983" s="66" t="e">
        <f>IF(LEFT(A3983,6)="CEPNTR","GPINS",VLOOKUP(LEFT(A3983,6),'Code Library'!$A$3:$B$920,2,0))&amp;"_"&amp;RIGHT(A3983,3)</f>
        <v>#N/A</v>
      </c>
      <c r="I3983" s="66">
        <f t="shared" si="434"/>
        <v>0</v>
      </c>
      <c r="K3983" s="66" t="str">
        <f t="shared" si="435"/>
        <v/>
      </c>
      <c r="L3983" s="66" t="str">
        <f t="shared" si="436"/>
        <v/>
      </c>
      <c r="M3983" s="66" t="str">
        <f t="shared" si="437"/>
        <v/>
      </c>
      <c r="N3983" s="66" t="str">
        <f t="shared" si="438"/>
        <v/>
      </c>
      <c r="O3983" s="66" t="str">
        <f t="shared" si="439"/>
        <v/>
      </c>
      <c r="P3983" s="66" t="str">
        <f t="shared" si="440"/>
        <v/>
      </c>
    </row>
    <row r="3984" spans="8:16">
      <c r="H3984" s="66" t="e">
        <f>IF(LEFT(A3984,6)="CEPNTR","GPINS",VLOOKUP(LEFT(A3984,6),'Code Library'!$A$3:$B$920,2,0))&amp;"_"&amp;RIGHT(A3984,3)</f>
        <v>#N/A</v>
      </c>
      <c r="I3984" s="66">
        <f t="shared" si="434"/>
        <v>0</v>
      </c>
      <c r="K3984" s="66" t="str">
        <f t="shared" si="435"/>
        <v/>
      </c>
      <c r="L3984" s="66" t="str">
        <f t="shared" si="436"/>
        <v/>
      </c>
      <c r="M3984" s="66" t="str">
        <f t="shared" si="437"/>
        <v/>
      </c>
      <c r="N3984" s="66" t="str">
        <f t="shared" si="438"/>
        <v/>
      </c>
      <c r="O3984" s="66" t="str">
        <f t="shared" si="439"/>
        <v/>
      </c>
      <c r="P3984" s="66" t="str">
        <f t="shared" si="440"/>
        <v/>
      </c>
    </row>
    <row r="3985" spans="8:16">
      <c r="H3985" s="66" t="e">
        <f>IF(LEFT(A3985,6)="CEPNTR","GPINS",VLOOKUP(LEFT(A3985,6),'Code Library'!$A$3:$B$920,2,0))&amp;"_"&amp;RIGHT(A3985,3)</f>
        <v>#N/A</v>
      </c>
      <c r="I3985" s="66">
        <f t="shared" si="434"/>
        <v>0</v>
      </c>
      <c r="K3985" s="66" t="str">
        <f t="shared" si="435"/>
        <v/>
      </c>
      <c r="L3985" s="66" t="str">
        <f t="shared" si="436"/>
        <v/>
      </c>
      <c r="M3985" s="66" t="str">
        <f t="shared" si="437"/>
        <v/>
      </c>
      <c r="N3985" s="66" t="str">
        <f t="shared" si="438"/>
        <v/>
      </c>
      <c r="O3985" s="66" t="str">
        <f t="shared" si="439"/>
        <v/>
      </c>
      <c r="P3985" s="66" t="str">
        <f t="shared" si="440"/>
        <v/>
      </c>
    </row>
    <row r="3986" spans="8:16">
      <c r="H3986" s="66" t="e">
        <f>IF(LEFT(A3986,6)="CEPNTR","GPINS",VLOOKUP(LEFT(A3986,6),'Code Library'!$A$3:$B$920,2,0))&amp;"_"&amp;RIGHT(A3986,3)</f>
        <v>#N/A</v>
      </c>
      <c r="I3986" s="66">
        <f t="shared" si="434"/>
        <v>0</v>
      </c>
      <c r="K3986" s="66" t="str">
        <f t="shared" si="435"/>
        <v/>
      </c>
      <c r="L3986" s="66" t="str">
        <f t="shared" si="436"/>
        <v/>
      </c>
      <c r="M3986" s="66" t="str">
        <f t="shared" si="437"/>
        <v/>
      </c>
      <c r="N3986" s="66" t="str">
        <f t="shared" si="438"/>
        <v/>
      </c>
      <c r="O3986" s="66" t="str">
        <f t="shared" si="439"/>
        <v/>
      </c>
      <c r="P3986" s="66" t="str">
        <f t="shared" si="440"/>
        <v/>
      </c>
    </row>
    <row r="3987" spans="8:16">
      <c r="H3987" s="66" t="e">
        <f>IF(LEFT(A3987,6)="CEPNTR","GPINS",VLOOKUP(LEFT(A3987,6),'Code Library'!$A$3:$B$920,2,0))&amp;"_"&amp;RIGHT(A3987,3)</f>
        <v>#N/A</v>
      </c>
      <c r="I3987" s="66">
        <f t="shared" si="434"/>
        <v>0</v>
      </c>
      <c r="K3987" s="66" t="str">
        <f t="shared" si="435"/>
        <v/>
      </c>
      <c r="L3987" s="66" t="str">
        <f t="shared" si="436"/>
        <v/>
      </c>
      <c r="M3987" s="66" t="str">
        <f t="shared" si="437"/>
        <v/>
      </c>
      <c r="N3987" s="66" t="str">
        <f t="shared" si="438"/>
        <v/>
      </c>
      <c r="O3987" s="66" t="str">
        <f t="shared" si="439"/>
        <v/>
      </c>
      <c r="P3987" s="66" t="str">
        <f t="shared" si="440"/>
        <v/>
      </c>
    </row>
    <row r="3988" spans="8:16">
      <c r="H3988" s="66" t="e">
        <f>IF(LEFT(A3988,6)="CEPNTR","GPINS",VLOOKUP(LEFT(A3988,6),'Code Library'!$A$3:$B$920,2,0))&amp;"_"&amp;RIGHT(A3988,3)</f>
        <v>#N/A</v>
      </c>
      <c r="I3988" s="66">
        <f t="shared" si="434"/>
        <v>0</v>
      </c>
      <c r="K3988" s="66" t="str">
        <f t="shared" si="435"/>
        <v/>
      </c>
      <c r="L3988" s="66" t="str">
        <f t="shared" si="436"/>
        <v/>
      </c>
      <c r="M3988" s="66" t="str">
        <f t="shared" si="437"/>
        <v/>
      </c>
      <c r="N3988" s="66" t="str">
        <f t="shared" si="438"/>
        <v/>
      </c>
      <c r="O3988" s="66" t="str">
        <f t="shared" si="439"/>
        <v/>
      </c>
      <c r="P3988" s="66" t="str">
        <f t="shared" si="440"/>
        <v/>
      </c>
    </row>
    <row r="3989" spans="8:16">
      <c r="H3989" s="66" t="e">
        <f>IF(LEFT(A3989,6)="CEPNTR","GPINS",VLOOKUP(LEFT(A3989,6),'Code Library'!$A$3:$B$920,2,0))&amp;"_"&amp;RIGHT(A3989,3)</f>
        <v>#N/A</v>
      </c>
      <c r="I3989" s="66">
        <f t="shared" si="434"/>
        <v>0</v>
      </c>
      <c r="K3989" s="66" t="str">
        <f t="shared" si="435"/>
        <v/>
      </c>
      <c r="L3989" s="66" t="str">
        <f t="shared" si="436"/>
        <v/>
      </c>
      <c r="M3989" s="66" t="str">
        <f t="shared" si="437"/>
        <v/>
      </c>
      <c r="N3989" s="66" t="str">
        <f t="shared" si="438"/>
        <v/>
      </c>
      <c r="O3989" s="66" t="str">
        <f t="shared" si="439"/>
        <v/>
      </c>
      <c r="P3989" s="66" t="str">
        <f t="shared" si="440"/>
        <v/>
      </c>
    </row>
    <row r="3990" spans="8:16">
      <c r="H3990" s="66" t="e">
        <f>IF(LEFT(A3990,6)="CEPNTR","GPINS",VLOOKUP(LEFT(A3990,6),'Code Library'!$A$3:$B$920,2,0))&amp;"_"&amp;RIGHT(A3990,3)</f>
        <v>#N/A</v>
      </c>
      <c r="I3990" s="66">
        <f t="shared" si="434"/>
        <v>0</v>
      </c>
      <c r="K3990" s="66" t="str">
        <f t="shared" si="435"/>
        <v/>
      </c>
      <c r="L3990" s="66" t="str">
        <f t="shared" si="436"/>
        <v/>
      </c>
      <c r="M3990" s="66" t="str">
        <f t="shared" si="437"/>
        <v/>
      </c>
      <c r="N3990" s="66" t="str">
        <f t="shared" si="438"/>
        <v/>
      </c>
      <c r="O3990" s="66" t="str">
        <f t="shared" si="439"/>
        <v/>
      </c>
      <c r="P3990" s="66" t="str">
        <f t="shared" si="440"/>
        <v/>
      </c>
    </row>
    <row r="3991" spans="8:16">
      <c r="H3991" s="66" t="e">
        <f>IF(LEFT(A3991,6)="CEPNTR","GPINS",VLOOKUP(LEFT(A3991,6),'Code Library'!$A$3:$B$920,2,0))&amp;"_"&amp;RIGHT(A3991,3)</f>
        <v>#N/A</v>
      </c>
      <c r="I3991" s="66">
        <f t="shared" si="434"/>
        <v>0</v>
      </c>
      <c r="K3991" s="66" t="str">
        <f t="shared" si="435"/>
        <v/>
      </c>
      <c r="L3991" s="66" t="str">
        <f t="shared" si="436"/>
        <v/>
      </c>
      <c r="M3991" s="66" t="str">
        <f t="shared" si="437"/>
        <v/>
      </c>
      <c r="N3991" s="66" t="str">
        <f t="shared" si="438"/>
        <v/>
      </c>
      <c r="O3991" s="66" t="str">
        <f t="shared" si="439"/>
        <v/>
      </c>
      <c r="P3991" s="66" t="str">
        <f t="shared" si="440"/>
        <v/>
      </c>
    </row>
    <row r="3992" spans="8:16">
      <c r="H3992" s="66" t="e">
        <f>IF(LEFT(A3992,6)="CEPNTR","GPINS",VLOOKUP(LEFT(A3992,6),'Code Library'!$A$3:$B$920,2,0))&amp;"_"&amp;RIGHT(A3992,3)</f>
        <v>#N/A</v>
      </c>
      <c r="I3992" s="66">
        <f t="shared" si="434"/>
        <v>0</v>
      </c>
      <c r="K3992" s="66" t="str">
        <f t="shared" si="435"/>
        <v/>
      </c>
      <c r="L3992" s="66" t="str">
        <f t="shared" si="436"/>
        <v/>
      </c>
      <c r="M3992" s="66" t="str">
        <f t="shared" si="437"/>
        <v/>
      </c>
      <c r="N3992" s="66" t="str">
        <f t="shared" si="438"/>
        <v/>
      </c>
      <c r="O3992" s="66" t="str">
        <f t="shared" si="439"/>
        <v/>
      </c>
      <c r="P3992" s="66" t="str">
        <f t="shared" si="440"/>
        <v/>
      </c>
    </row>
    <row r="3993" spans="8:16">
      <c r="H3993" s="66" t="e">
        <f>IF(LEFT(A3993,6)="CEPNTR","GPINS",VLOOKUP(LEFT(A3993,6),'Code Library'!$A$3:$B$920,2,0))&amp;"_"&amp;RIGHT(A3993,3)</f>
        <v>#N/A</v>
      </c>
      <c r="I3993" s="66">
        <f t="shared" si="434"/>
        <v>0</v>
      </c>
      <c r="K3993" s="66" t="str">
        <f t="shared" si="435"/>
        <v/>
      </c>
      <c r="L3993" s="66" t="str">
        <f t="shared" si="436"/>
        <v/>
      </c>
      <c r="M3993" s="66" t="str">
        <f t="shared" si="437"/>
        <v/>
      </c>
      <c r="N3993" s="66" t="str">
        <f t="shared" si="438"/>
        <v/>
      </c>
      <c r="O3993" s="66" t="str">
        <f t="shared" si="439"/>
        <v/>
      </c>
      <c r="P3993" s="66" t="str">
        <f t="shared" si="440"/>
        <v/>
      </c>
    </row>
    <row r="3994" spans="8:16">
      <c r="H3994" s="66" t="e">
        <f>IF(LEFT(A3994,6)="CEPNTR","GPINS",VLOOKUP(LEFT(A3994,6),'Code Library'!$A$3:$B$920,2,0))&amp;"_"&amp;RIGHT(A3994,3)</f>
        <v>#N/A</v>
      </c>
      <c r="I3994" s="66">
        <f t="shared" si="434"/>
        <v>0</v>
      </c>
      <c r="K3994" s="66" t="str">
        <f t="shared" si="435"/>
        <v/>
      </c>
      <c r="L3994" s="66" t="str">
        <f t="shared" si="436"/>
        <v/>
      </c>
      <c r="M3994" s="66" t="str">
        <f t="shared" si="437"/>
        <v/>
      </c>
      <c r="N3994" s="66" t="str">
        <f t="shared" si="438"/>
        <v/>
      </c>
      <c r="O3994" s="66" t="str">
        <f t="shared" si="439"/>
        <v/>
      </c>
      <c r="P3994" s="66" t="str">
        <f t="shared" si="440"/>
        <v/>
      </c>
    </row>
    <row r="3995" spans="8:16">
      <c r="H3995" s="66" t="e">
        <f>IF(LEFT(A3995,6)="CEPNTR","GPINS",VLOOKUP(LEFT(A3995,6),'Code Library'!$A$3:$B$920,2,0))&amp;"_"&amp;RIGHT(A3995,3)</f>
        <v>#N/A</v>
      </c>
      <c r="I3995" s="66">
        <f t="shared" si="434"/>
        <v>0</v>
      </c>
      <c r="K3995" s="66" t="str">
        <f t="shared" si="435"/>
        <v/>
      </c>
      <c r="L3995" s="66" t="str">
        <f t="shared" si="436"/>
        <v/>
      </c>
      <c r="M3995" s="66" t="str">
        <f t="shared" si="437"/>
        <v/>
      </c>
      <c r="N3995" s="66" t="str">
        <f t="shared" si="438"/>
        <v/>
      </c>
      <c r="O3995" s="66" t="str">
        <f t="shared" si="439"/>
        <v/>
      </c>
      <c r="P3995" s="66" t="str">
        <f t="shared" si="440"/>
        <v/>
      </c>
    </row>
    <row r="3996" spans="8:16">
      <c r="H3996" s="66" t="e">
        <f>IF(LEFT(A3996,6)="CEPNTR","GPINS",VLOOKUP(LEFT(A3996,6),'Code Library'!$A$3:$B$920,2,0))&amp;"_"&amp;RIGHT(A3996,3)</f>
        <v>#N/A</v>
      </c>
      <c r="I3996" s="66">
        <f t="shared" si="434"/>
        <v>0</v>
      </c>
      <c r="K3996" s="66" t="str">
        <f t="shared" si="435"/>
        <v/>
      </c>
      <c r="L3996" s="66" t="str">
        <f t="shared" si="436"/>
        <v/>
      </c>
      <c r="M3996" s="66" t="str">
        <f t="shared" si="437"/>
        <v/>
      </c>
      <c r="N3996" s="66" t="str">
        <f t="shared" si="438"/>
        <v/>
      </c>
      <c r="O3996" s="66" t="str">
        <f t="shared" si="439"/>
        <v/>
      </c>
      <c r="P3996" s="66" t="str">
        <f t="shared" si="440"/>
        <v/>
      </c>
    </row>
    <row r="3997" spans="8:16">
      <c r="H3997" s="66" t="e">
        <f>IF(LEFT(A3997,6)="CEPNTR","GPINS",VLOOKUP(LEFT(A3997,6),'Code Library'!$A$3:$B$920,2,0))&amp;"_"&amp;RIGHT(A3997,3)</f>
        <v>#N/A</v>
      </c>
      <c r="I3997" s="66">
        <f t="shared" si="434"/>
        <v>0</v>
      </c>
      <c r="K3997" s="66" t="str">
        <f t="shared" si="435"/>
        <v/>
      </c>
      <c r="L3997" s="66" t="str">
        <f t="shared" si="436"/>
        <v/>
      </c>
      <c r="M3997" s="66" t="str">
        <f t="shared" si="437"/>
        <v/>
      </c>
      <c r="N3997" s="66" t="str">
        <f t="shared" si="438"/>
        <v/>
      </c>
      <c r="O3997" s="66" t="str">
        <f t="shared" si="439"/>
        <v/>
      </c>
      <c r="P3997" s="66" t="str">
        <f t="shared" si="440"/>
        <v/>
      </c>
    </row>
    <row r="3998" spans="8:16">
      <c r="H3998" s="66" t="e">
        <f>IF(LEFT(A3998,6)="CEPNTR","GPINS",VLOOKUP(LEFT(A3998,6),'Code Library'!$A$3:$B$920,2,0))&amp;"_"&amp;RIGHT(A3998,3)</f>
        <v>#N/A</v>
      </c>
      <c r="I3998" s="66">
        <f t="shared" si="434"/>
        <v>0</v>
      </c>
      <c r="K3998" s="66" t="str">
        <f t="shared" si="435"/>
        <v/>
      </c>
      <c r="L3998" s="66" t="str">
        <f t="shared" si="436"/>
        <v/>
      </c>
      <c r="M3998" s="66" t="str">
        <f t="shared" si="437"/>
        <v/>
      </c>
      <c r="N3998" s="66" t="str">
        <f t="shared" si="438"/>
        <v/>
      </c>
      <c r="O3998" s="66" t="str">
        <f t="shared" si="439"/>
        <v/>
      </c>
      <c r="P3998" s="66" t="str">
        <f t="shared" si="440"/>
        <v/>
      </c>
    </row>
    <row r="3999" spans="8:16">
      <c r="H3999" s="66" t="e">
        <f>IF(LEFT(A3999,6)="CEPNTR","GPINS",VLOOKUP(LEFT(A3999,6),'Code Library'!$A$3:$B$920,2,0))&amp;"_"&amp;RIGHT(A3999,3)</f>
        <v>#N/A</v>
      </c>
      <c r="I3999" s="66">
        <f t="shared" si="434"/>
        <v>0</v>
      </c>
      <c r="K3999" s="66" t="str">
        <f t="shared" si="435"/>
        <v/>
      </c>
      <c r="L3999" s="66" t="str">
        <f t="shared" si="436"/>
        <v/>
      </c>
      <c r="M3999" s="66" t="str">
        <f t="shared" si="437"/>
        <v/>
      </c>
      <c r="N3999" s="66" t="str">
        <f t="shared" si="438"/>
        <v/>
      </c>
      <c r="O3999" s="66" t="str">
        <f t="shared" si="439"/>
        <v/>
      </c>
      <c r="P3999" s="66" t="str">
        <f t="shared" si="440"/>
        <v/>
      </c>
    </row>
    <row r="4000" spans="8:16">
      <c r="H4000" s="66" t="e">
        <f>IF(LEFT(A4000,6)="CEPNTR","GPINS",VLOOKUP(LEFT(A4000,6),'Code Library'!$A$3:$B$920,2,0))&amp;"_"&amp;RIGHT(A4000,3)</f>
        <v>#N/A</v>
      </c>
      <c r="I4000" s="66">
        <f t="shared" si="434"/>
        <v>0</v>
      </c>
      <c r="K4000" s="66" t="str">
        <f t="shared" si="435"/>
        <v/>
      </c>
      <c r="L4000" s="66" t="str">
        <f t="shared" si="436"/>
        <v/>
      </c>
      <c r="M4000" s="66" t="str">
        <f t="shared" si="437"/>
        <v/>
      </c>
      <c r="N4000" s="66" t="str">
        <f t="shared" si="438"/>
        <v/>
      </c>
      <c r="O4000" s="66" t="str">
        <f t="shared" si="439"/>
        <v/>
      </c>
      <c r="P4000" s="66" t="str">
        <f t="shared" si="440"/>
        <v/>
      </c>
    </row>
    <row r="4001" spans="8:16">
      <c r="H4001" s="66" t="e">
        <f>IF(LEFT(A4001,6)="CEPNTR","GPINS",VLOOKUP(LEFT(A4001,6),'Code Library'!$A$3:$B$920,2,0))&amp;"_"&amp;RIGHT(A4001,3)</f>
        <v>#N/A</v>
      </c>
      <c r="I4001" s="66">
        <f t="shared" si="434"/>
        <v>0</v>
      </c>
      <c r="K4001" s="66" t="str">
        <f t="shared" si="435"/>
        <v/>
      </c>
      <c r="L4001" s="66" t="str">
        <f t="shared" si="436"/>
        <v/>
      </c>
      <c r="M4001" s="66" t="str">
        <f t="shared" si="437"/>
        <v/>
      </c>
      <c r="N4001" s="66" t="str">
        <f t="shared" si="438"/>
        <v/>
      </c>
      <c r="O4001" s="66" t="str">
        <f t="shared" si="439"/>
        <v/>
      </c>
      <c r="P4001" s="66" t="str">
        <f t="shared" si="440"/>
        <v/>
      </c>
    </row>
    <row r="4002" spans="8:16">
      <c r="H4002" s="66" t="e">
        <f>IF(LEFT(A4002,6)="CEPNTR","GPINS",VLOOKUP(LEFT(A4002,6),'Code Library'!$A$3:$B$920,2,0))&amp;"_"&amp;RIGHT(A4002,3)</f>
        <v>#N/A</v>
      </c>
      <c r="I4002" s="66">
        <f t="shared" si="434"/>
        <v>0</v>
      </c>
      <c r="K4002" s="66" t="str">
        <f t="shared" si="435"/>
        <v/>
      </c>
      <c r="L4002" s="66" t="str">
        <f t="shared" si="436"/>
        <v/>
      </c>
      <c r="M4002" s="66" t="str">
        <f t="shared" si="437"/>
        <v/>
      </c>
      <c r="N4002" s="66" t="str">
        <f t="shared" si="438"/>
        <v/>
      </c>
      <c r="O4002" s="66" t="str">
        <f t="shared" si="439"/>
        <v/>
      </c>
      <c r="P4002" s="66" t="str">
        <f t="shared" si="440"/>
        <v/>
      </c>
    </row>
    <row r="4003" spans="8:16">
      <c r="H4003" s="66" t="e">
        <f>IF(LEFT(A4003,6)="CEPNTR","GPINS",VLOOKUP(LEFT(A4003,6),'Code Library'!$A$3:$B$920,2,0))&amp;"_"&amp;RIGHT(A4003,3)</f>
        <v>#N/A</v>
      </c>
      <c r="I4003" s="66">
        <f t="shared" si="434"/>
        <v>0</v>
      </c>
      <c r="K4003" s="66" t="str">
        <f t="shared" si="435"/>
        <v/>
      </c>
      <c r="L4003" s="66" t="str">
        <f t="shared" si="436"/>
        <v/>
      </c>
      <c r="M4003" s="66" t="str">
        <f t="shared" si="437"/>
        <v/>
      </c>
      <c r="N4003" s="66" t="str">
        <f t="shared" si="438"/>
        <v/>
      </c>
      <c r="O4003" s="66" t="str">
        <f t="shared" si="439"/>
        <v/>
      </c>
      <c r="P4003" s="66" t="str">
        <f t="shared" si="440"/>
        <v/>
      </c>
    </row>
    <row r="4004" spans="8:16">
      <c r="H4004" s="66" t="e">
        <f>IF(LEFT(A4004,6)="CEPNTR","GPINS",VLOOKUP(LEFT(A4004,6),'Code Library'!$A$3:$B$920,2,0))&amp;"_"&amp;RIGHT(A4004,3)</f>
        <v>#N/A</v>
      </c>
      <c r="I4004" s="66">
        <f t="shared" si="434"/>
        <v>0</v>
      </c>
      <c r="K4004" s="66" t="str">
        <f t="shared" si="435"/>
        <v/>
      </c>
      <c r="L4004" s="66" t="str">
        <f t="shared" si="436"/>
        <v/>
      </c>
      <c r="M4004" s="66" t="str">
        <f t="shared" si="437"/>
        <v/>
      </c>
      <c r="N4004" s="66" t="str">
        <f t="shared" si="438"/>
        <v/>
      </c>
      <c r="O4004" s="66" t="str">
        <f t="shared" si="439"/>
        <v/>
      </c>
      <c r="P4004" s="66" t="str">
        <f t="shared" si="440"/>
        <v/>
      </c>
    </row>
    <row r="4005" spans="8:16">
      <c r="H4005" s="66" t="e">
        <f>IF(LEFT(A4005,6)="CEPNTR","GPINS",VLOOKUP(LEFT(A4005,6),'Code Library'!$A$3:$B$920,2,0))&amp;"_"&amp;RIGHT(A4005,3)</f>
        <v>#N/A</v>
      </c>
      <c r="I4005" s="66">
        <f t="shared" si="434"/>
        <v>0</v>
      </c>
      <c r="K4005" s="66" t="str">
        <f t="shared" si="435"/>
        <v/>
      </c>
      <c r="L4005" s="66" t="str">
        <f t="shared" si="436"/>
        <v/>
      </c>
      <c r="M4005" s="66" t="str">
        <f t="shared" si="437"/>
        <v/>
      </c>
      <c r="N4005" s="66" t="str">
        <f t="shared" si="438"/>
        <v/>
      </c>
      <c r="O4005" s="66" t="str">
        <f t="shared" si="439"/>
        <v/>
      </c>
      <c r="P4005" s="66" t="str">
        <f t="shared" si="440"/>
        <v/>
      </c>
    </row>
    <row r="4006" spans="8:16">
      <c r="H4006" s="66" t="e">
        <f>IF(LEFT(A4006,6)="CEPNTR","GPINS",VLOOKUP(LEFT(A4006,6),'Code Library'!$A$3:$B$920,2,0))&amp;"_"&amp;RIGHT(A4006,3)</f>
        <v>#N/A</v>
      </c>
      <c r="I4006" s="66">
        <f t="shared" si="434"/>
        <v>0</v>
      </c>
      <c r="K4006" s="66" t="str">
        <f t="shared" si="435"/>
        <v/>
      </c>
      <c r="L4006" s="66" t="str">
        <f t="shared" si="436"/>
        <v/>
      </c>
      <c r="M4006" s="66" t="str">
        <f t="shared" si="437"/>
        <v/>
      </c>
      <c r="N4006" s="66" t="str">
        <f t="shared" si="438"/>
        <v/>
      </c>
      <c r="O4006" s="66" t="str">
        <f t="shared" si="439"/>
        <v/>
      </c>
      <c r="P4006" s="66" t="str">
        <f t="shared" si="440"/>
        <v/>
      </c>
    </row>
    <row r="4007" spans="8:16">
      <c r="H4007" s="66" t="e">
        <f>IF(LEFT(A4007,6)="CEPNTR","GPINS",VLOOKUP(LEFT(A4007,6),'Code Library'!$A$3:$B$920,2,0))&amp;"_"&amp;RIGHT(A4007,3)</f>
        <v>#N/A</v>
      </c>
      <c r="I4007" s="66">
        <f t="shared" si="434"/>
        <v>0</v>
      </c>
      <c r="K4007" s="66" t="str">
        <f t="shared" si="435"/>
        <v/>
      </c>
      <c r="L4007" s="66" t="str">
        <f t="shared" si="436"/>
        <v/>
      </c>
      <c r="M4007" s="66" t="str">
        <f t="shared" si="437"/>
        <v/>
      </c>
      <c r="N4007" s="66" t="str">
        <f t="shared" si="438"/>
        <v/>
      </c>
      <c r="O4007" s="66" t="str">
        <f t="shared" si="439"/>
        <v/>
      </c>
      <c r="P4007" s="66" t="str">
        <f t="shared" si="440"/>
        <v/>
      </c>
    </row>
    <row r="4008" spans="8:16">
      <c r="H4008" s="66" t="e">
        <f>IF(LEFT(A4008,6)="CEPNTR","GPINS",VLOOKUP(LEFT(A4008,6),'Code Library'!$A$3:$B$920,2,0))&amp;"_"&amp;RIGHT(A4008,3)</f>
        <v>#N/A</v>
      </c>
      <c r="I4008" s="66">
        <f t="shared" si="434"/>
        <v>0</v>
      </c>
      <c r="K4008" s="66" t="str">
        <f t="shared" si="435"/>
        <v/>
      </c>
      <c r="L4008" s="66" t="str">
        <f t="shared" si="436"/>
        <v/>
      </c>
      <c r="M4008" s="66" t="str">
        <f t="shared" si="437"/>
        <v/>
      </c>
      <c r="N4008" s="66" t="str">
        <f t="shared" si="438"/>
        <v/>
      </c>
      <c r="O4008" s="66" t="str">
        <f t="shared" si="439"/>
        <v/>
      </c>
      <c r="P4008" s="66" t="str">
        <f t="shared" si="440"/>
        <v/>
      </c>
    </row>
    <row r="4009" spans="8:16">
      <c r="H4009" s="66" t="e">
        <f>IF(LEFT(A4009,6)="CEPNTR","GPINS",VLOOKUP(LEFT(A4009,6),'Code Library'!$A$3:$B$920,2,0))&amp;"_"&amp;RIGHT(A4009,3)</f>
        <v>#N/A</v>
      </c>
      <c r="I4009" s="66">
        <f t="shared" si="434"/>
        <v>0</v>
      </c>
      <c r="K4009" s="66" t="str">
        <f t="shared" si="435"/>
        <v/>
      </c>
      <c r="L4009" s="66" t="str">
        <f t="shared" si="436"/>
        <v/>
      </c>
      <c r="M4009" s="66" t="str">
        <f t="shared" si="437"/>
        <v/>
      </c>
      <c r="N4009" s="66" t="str">
        <f t="shared" si="438"/>
        <v/>
      </c>
      <c r="O4009" s="66" t="str">
        <f t="shared" si="439"/>
        <v/>
      </c>
      <c r="P4009" s="66" t="str">
        <f t="shared" si="440"/>
        <v/>
      </c>
    </row>
    <row r="4010" spans="8:16">
      <c r="H4010" s="66" t="e">
        <f>IF(LEFT(A4010,6)="CEPNTR","GPINS",VLOOKUP(LEFT(A4010,6),'Code Library'!$A$3:$B$920,2,0))&amp;"_"&amp;RIGHT(A4010,3)</f>
        <v>#N/A</v>
      </c>
      <c r="I4010" s="66">
        <f t="shared" si="434"/>
        <v>0</v>
      </c>
      <c r="K4010" s="66" t="str">
        <f t="shared" si="435"/>
        <v/>
      </c>
      <c r="L4010" s="66" t="str">
        <f t="shared" si="436"/>
        <v/>
      </c>
      <c r="M4010" s="66" t="str">
        <f t="shared" si="437"/>
        <v/>
      </c>
      <c r="N4010" s="66" t="str">
        <f t="shared" si="438"/>
        <v/>
      </c>
      <c r="O4010" s="66" t="str">
        <f t="shared" si="439"/>
        <v/>
      </c>
      <c r="P4010" s="66" t="str">
        <f t="shared" si="440"/>
        <v/>
      </c>
    </row>
    <row r="4011" spans="8:16">
      <c r="H4011" s="66" t="e">
        <f>IF(LEFT(A4011,6)="CEPNTR","GPINS",VLOOKUP(LEFT(A4011,6),'Code Library'!$A$3:$B$920,2,0))&amp;"_"&amp;RIGHT(A4011,3)</f>
        <v>#N/A</v>
      </c>
      <c r="I4011" s="66">
        <f t="shared" si="434"/>
        <v>0</v>
      </c>
      <c r="K4011" s="66" t="str">
        <f t="shared" si="435"/>
        <v/>
      </c>
      <c r="L4011" s="66" t="str">
        <f t="shared" si="436"/>
        <v/>
      </c>
      <c r="M4011" s="66" t="str">
        <f t="shared" si="437"/>
        <v/>
      </c>
      <c r="N4011" s="66" t="str">
        <f t="shared" si="438"/>
        <v/>
      </c>
      <c r="O4011" s="66" t="str">
        <f t="shared" si="439"/>
        <v/>
      </c>
      <c r="P4011" s="66" t="str">
        <f t="shared" si="440"/>
        <v/>
      </c>
    </row>
    <row r="4012" spans="8:16">
      <c r="H4012" s="66" t="e">
        <f>IF(LEFT(A4012,6)="CEPNTR","GPINS",VLOOKUP(LEFT(A4012,6),'Code Library'!$A$3:$B$920,2,0))&amp;"_"&amp;RIGHT(A4012,3)</f>
        <v>#N/A</v>
      </c>
      <c r="I4012" s="66">
        <f t="shared" si="434"/>
        <v>0</v>
      </c>
      <c r="K4012" s="66" t="str">
        <f t="shared" si="435"/>
        <v/>
      </c>
      <c r="L4012" s="66" t="str">
        <f t="shared" si="436"/>
        <v/>
      </c>
      <c r="M4012" s="66" t="str">
        <f t="shared" si="437"/>
        <v/>
      </c>
      <c r="N4012" s="66" t="str">
        <f t="shared" si="438"/>
        <v/>
      </c>
      <c r="O4012" s="66" t="str">
        <f t="shared" si="439"/>
        <v/>
      </c>
      <c r="P4012" s="66" t="str">
        <f t="shared" si="440"/>
        <v/>
      </c>
    </row>
    <row r="4013" spans="8:16">
      <c r="H4013" s="66" t="e">
        <f>IF(LEFT(A4013,6)="CEPNTR","GPINS",VLOOKUP(LEFT(A4013,6),'Code Library'!$A$3:$B$920,2,0))&amp;"_"&amp;RIGHT(A4013,3)</f>
        <v>#N/A</v>
      </c>
      <c r="I4013" s="66">
        <f t="shared" si="434"/>
        <v>0</v>
      </c>
      <c r="K4013" s="66" t="str">
        <f t="shared" si="435"/>
        <v/>
      </c>
      <c r="L4013" s="66" t="str">
        <f t="shared" si="436"/>
        <v/>
      </c>
      <c r="M4013" s="66" t="str">
        <f t="shared" si="437"/>
        <v/>
      </c>
      <c r="N4013" s="66" t="str">
        <f t="shared" si="438"/>
        <v/>
      </c>
      <c r="O4013" s="66" t="str">
        <f t="shared" si="439"/>
        <v/>
      </c>
      <c r="P4013" s="66" t="str">
        <f t="shared" si="440"/>
        <v/>
      </c>
    </row>
    <row r="4014" spans="8:16">
      <c r="H4014" s="66" t="e">
        <f>IF(LEFT(A4014,6)="CEPNTR","GPINS",VLOOKUP(LEFT(A4014,6),'Code Library'!$A$3:$B$920,2,0))&amp;"_"&amp;RIGHT(A4014,3)</f>
        <v>#N/A</v>
      </c>
      <c r="I4014" s="66">
        <f t="shared" si="434"/>
        <v>0</v>
      </c>
      <c r="K4014" s="66" t="str">
        <f t="shared" si="435"/>
        <v/>
      </c>
      <c r="L4014" s="66" t="str">
        <f t="shared" si="436"/>
        <v/>
      </c>
      <c r="M4014" s="66" t="str">
        <f t="shared" si="437"/>
        <v/>
      </c>
      <c r="N4014" s="66" t="str">
        <f t="shared" si="438"/>
        <v/>
      </c>
      <c r="O4014" s="66" t="str">
        <f t="shared" si="439"/>
        <v/>
      </c>
      <c r="P4014" s="66" t="str">
        <f t="shared" si="440"/>
        <v/>
      </c>
    </row>
    <row r="4015" spans="8:16">
      <c r="H4015" s="66" t="e">
        <f>IF(LEFT(A4015,6)="CEPNTR","GPINS",VLOOKUP(LEFT(A4015,6),'Code Library'!$A$3:$B$920,2,0))&amp;"_"&amp;RIGHT(A4015,3)</f>
        <v>#N/A</v>
      </c>
      <c r="I4015" s="66">
        <f t="shared" si="434"/>
        <v>0</v>
      </c>
      <c r="K4015" s="66" t="str">
        <f t="shared" si="435"/>
        <v/>
      </c>
      <c r="L4015" s="66" t="str">
        <f t="shared" si="436"/>
        <v/>
      </c>
      <c r="M4015" s="66" t="str">
        <f t="shared" si="437"/>
        <v/>
      </c>
      <c r="N4015" s="66" t="str">
        <f t="shared" si="438"/>
        <v/>
      </c>
      <c r="O4015" s="66" t="str">
        <f t="shared" si="439"/>
        <v/>
      </c>
      <c r="P4015" s="66" t="str">
        <f t="shared" si="440"/>
        <v/>
      </c>
    </row>
    <row r="4016" spans="8:16">
      <c r="H4016" s="66" t="e">
        <f>IF(LEFT(A4016,6)="CEPNTR","GPINS",VLOOKUP(LEFT(A4016,6),'Code Library'!$A$3:$B$920,2,0))&amp;"_"&amp;RIGHT(A4016,3)</f>
        <v>#N/A</v>
      </c>
      <c r="I4016" s="66">
        <f t="shared" si="434"/>
        <v>0</v>
      </c>
      <c r="K4016" s="66" t="str">
        <f t="shared" si="435"/>
        <v/>
      </c>
      <c r="L4016" s="66" t="str">
        <f t="shared" si="436"/>
        <v/>
      </c>
      <c r="M4016" s="66" t="str">
        <f t="shared" si="437"/>
        <v/>
      </c>
      <c r="N4016" s="66" t="str">
        <f t="shared" si="438"/>
        <v/>
      </c>
      <c r="O4016" s="66" t="str">
        <f t="shared" si="439"/>
        <v/>
      </c>
      <c r="P4016" s="66" t="str">
        <f t="shared" si="440"/>
        <v/>
      </c>
    </row>
    <row r="4017" spans="8:16">
      <c r="H4017" s="66" t="e">
        <f>IF(LEFT(A4017,6)="CEPNTR","GPINS",VLOOKUP(LEFT(A4017,6),'Code Library'!$A$3:$B$920,2,0))&amp;"_"&amp;RIGHT(A4017,3)</f>
        <v>#N/A</v>
      </c>
      <c r="I4017" s="66">
        <f t="shared" si="434"/>
        <v>0</v>
      </c>
      <c r="K4017" s="66" t="str">
        <f t="shared" si="435"/>
        <v/>
      </c>
      <c r="L4017" s="66" t="str">
        <f t="shared" si="436"/>
        <v/>
      </c>
      <c r="M4017" s="66" t="str">
        <f t="shared" si="437"/>
        <v/>
      </c>
      <c r="N4017" s="66" t="str">
        <f t="shared" si="438"/>
        <v/>
      </c>
      <c r="O4017" s="66" t="str">
        <f t="shared" si="439"/>
        <v/>
      </c>
      <c r="P4017" s="66" t="str">
        <f t="shared" si="440"/>
        <v/>
      </c>
    </row>
    <row r="4018" spans="8:16">
      <c r="H4018" s="66" t="e">
        <f>IF(LEFT(A4018,6)="CEPNTR","GPINS",VLOOKUP(LEFT(A4018,6),'Code Library'!$A$3:$B$920,2,0))&amp;"_"&amp;RIGHT(A4018,3)</f>
        <v>#N/A</v>
      </c>
      <c r="I4018" s="66">
        <f t="shared" si="434"/>
        <v>0</v>
      </c>
      <c r="K4018" s="66" t="str">
        <f t="shared" si="435"/>
        <v/>
      </c>
      <c r="L4018" s="66" t="str">
        <f t="shared" si="436"/>
        <v/>
      </c>
      <c r="M4018" s="66" t="str">
        <f t="shared" si="437"/>
        <v/>
      </c>
      <c r="N4018" s="66" t="str">
        <f t="shared" si="438"/>
        <v/>
      </c>
      <c r="O4018" s="66" t="str">
        <f t="shared" si="439"/>
        <v/>
      </c>
      <c r="P4018" s="66" t="str">
        <f t="shared" si="440"/>
        <v/>
      </c>
    </row>
    <row r="4019" spans="8:16">
      <c r="H4019" s="66" t="e">
        <f>IF(LEFT(A4019,6)="CEPNTR","GPINS",VLOOKUP(LEFT(A4019,6),'Code Library'!$A$3:$B$920,2,0))&amp;"_"&amp;RIGHT(A4019,3)</f>
        <v>#N/A</v>
      </c>
      <c r="I4019" s="66">
        <f t="shared" si="434"/>
        <v>0</v>
      </c>
      <c r="K4019" s="66" t="str">
        <f t="shared" si="435"/>
        <v/>
      </c>
      <c r="L4019" s="66" t="str">
        <f t="shared" si="436"/>
        <v/>
      </c>
      <c r="M4019" s="66" t="str">
        <f t="shared" si="437"/>
        <v/>
      </c>
      <c r="N4019" s="66" t="str">
        <f t="shared" si="438"/>
        <v/>
      </c>
      <c r="O4019" s="66" t="str">
        <f t="shared" si="439"/>
        <v/>
      </c>
      <c r="P4019" s="66" t="str">
        <f t="shared" si="440"/>
        <v/>
      </c>
    </row>
    <row r="4020" spans="8:16">
      <c r="H4020" s="66" t="e">
        <f>IF(LEFT(A4020,6)="CEPNTR","GPINS",VLOOKUP(LEFT(A4020,6),'Code Library'!$A$3:$B$920,2,0))&amp;"_"&amp;RIGHT(A4020,3)</f>
        <v>#N/A</v>
      </c>
      <c r="I4020" s="66">
        <f t="shared" si="434"/>
        <v>0</v>
      </c>
      <c r="K4020" s="66" t="str">
        <f t="shared" si="435"/>
        <v/>
      </c>
      <c r="L4020" s="66" t="str">
        <f t="shared" si="436"/>
        <v/>
      </c>
      <c r="M4020" s="66" t="str">
        <f t="shared" si="437"/>
        <v/>
      </c>
      <c r="N4020" s="66" t="str">
        <f t="shared" si="438"/>
        <v/>
      </c>
      <c r="O4020" s="66" t="str">
        <f t="shared" si="439"/>
        <v/>
      </c>
      <c r="P4020" s="66" t="str">
        <f t="shared" si="440"/>
        <v/>
      </c>
    </row>
    <row r="4021" spans="8:16">
      <c r="H4021" s="66" t="e">
        <f>IF(LEFT(A4021,6)="CEPNTR","GPINS",VLOOKUP(LEFT(A4021,6),'Code Library'!$A$3:$B$920,2,0))&amp;"_"&amp;RIGHT(A4021,3)</f>
        <v>#N/A</v>
      </c>
      <c r="I4021" s="66">
        <f t="shared" si="434"/>
        <v>0</v>
      </c>
      <c r="K4021" s="66" t="str">
        <f t="shared" si="435"/>
        <v/>
      </c>
      <c r="L4021" s="66" t="str">
        <f t="shared" si="436"/>
        <v/>
      </c>
      <c r="M4021" s="66" t="str">
        <f t="shared" si="437"/>
        <v/>
      </c>
      <c r="N4021" s="66" t="str">
        <f t="shared" si="438"/>
        <v/>
      </c>
      <c r="O4021" s="66" t="str">
        <f t="shared" si="439"/>
        <v/>
      </c>
      <c r="P4021" s="66" t="str">
        <f t="shared" si="440"/>
        <v/>
      </c>
    </row>
    <row r="4022" spans="8:16">
      <c r="H4022" s="66" t="e">
        <f>IF(LEFT(A4022,6)="CEPNTR","GPINS",VLOOKUP(LEFT(A4022,6),'Code Library'!$A$3:$B$920,2,0))&amp;"_"&amp;RIGHT(A4022,3)</f>
        <v>#N/A</v>
      </c>
      <c r="I4022" s="66">
        <f t="shared" si="434"/>
        <v>0</v>
      </c>
      <c r="K4022" s="66" t="str">
        <f t="shared" si="435"/>
        <v/>
      </c>
      <c r="L4022" s="66" t="str">
        <f t="shared" si="436"/>
        <v/>
      </c>
      <c r="M4022" s="66" t="str">
        <f t="shared" si="437"/>
        <v/>
      </c>
      <c r="N4022" s="66" t="str">
        <f t="shared" si="438"/>
        <v/>
      </c>
      <c r="O4022" s="66" t="str">
        <f t="shared" si="439"/>
        <v/>
      </c>
      <c r="P4022" s="66" t="str">
        <f t="shared" si="440"/>
        <v/>
      </c>
    </row>
    <row r="4023" spans="8:16">
      <c r="H4023" s="66" t="e">
        <f>IF(LEFT(A4023,6)="CEPNTR","GPINS",VLOOKUP(LEFT(A4023,6),'Code Library'!$A$3:$B$920,2,0))&amp;"_"&amp;RIGHT(A4023,3)</f>
        <v>#N/A</v>
      </c>
      <c r="I4023" s="66">
        <f t="shared" si="434"/>
        <v>0</v>
      </c>
      <c r="K4023" s="66" t="str">
        <f t="shared" si="435"/>
        <v/>
      </c>
      <c r="L4023" s="66" t="str">
        <f t="shared" si="436"/>
        <v/>
      </c>
      <c r="M4023" s="66" t="str">
        <f t="shared" si="437"/>
        <v/>
      </c>
      <c r="N4023" s="66" t="str">
        <f t="shared" si="438"/>
        <v/>
      </c>
      <c r="O4023" s="66" t="str">
        <f t="shared" si="439"/>
        <v/>
      </c>
      <c r="P4023" s="66" t="str">
        <f t="shared" si="440"/>
        <v/>
      </c>
    </row>
    <row r="4024" spans="8:16">
      <c r="H4024" s="66" t="e">
        <f>IF(LEFT(A4024,6)="CEPNTR","GPINS",VLOOKUP(LEFT(A4024,6),'Code Library'!$A$3:$B$920,2,0))&amp;"_"&amp;RIGHT(A4024,3)</f>
        <v>#N/A</v>
      </c>
      <c r="I4024" s="66">
        <f t="shared" si="434"/>
        <v>0</v>
      </c>
      <c r="K4024" s="66" t="str">
        <f t="shared" si="435"/>
        <v/>
      </c>
      <c r="L4024" s="66" t="str">
        <f t="shared" si="436"/>
        <v/>
      </c>
      <c r="M4024" s="66" t="str">
        <f t="shared" si="437"/>
        <v/>
      </c>
      <c r="N4024" s="66" t="str">
        <f t="shared" si="438"/>
        <v/>
      </c>
      <c r="O4024" s="66" t="str">
        <f t="shared" si="439"/>
        <v/>
      </c>
      <c r="P4024" s="66" t="str">
        <f t="shared" si="440"/>
        <v/>
      </c>
    </row>
    <row r="4025" spans="8:16">
      <c r="H4025" s="66" t="e">
        <f>IF(LEFT(A4025,6)="CEPNTR","GPINS",VLOOKUP(LEFT(A4025,6),'Code Library'!$A$3:$B$920,2,0))&amp;"_"&amp;RIGHT(A4025,3)</f>
        <v>#N/A</v>
      </c>
      <c r="I4025" s="66">
        <f t="shared" si="434"/>
        <v>0</v>
      </c>
      <c r="K4025" s="66" t="str">
        <f t="shared" si="435"/>
        <v/>
      </c>
      <c r="L4025" s="66" t="str">
        <f t="shared" si="436"/>
        <v/>
      </c>
      <c r="M4025" s="66" t="str">
        <f t="shared" si="437"/>
        <v/>
      </c>
      <c r="N4025" s="66" t="str">
        <f t="shared" si="438"/>
        <v/>
      </c>
      <c r="O4025" s="66" t="str">
        <f t="shared" si="439"/>
        <v/>
      </c>
      <c r="P4025" s="66" t="str">
        <f t="shared" si="440"/>
        <v/>
      </c>
    </row>
    <row r="4026" spans="8:16">
      <c r="H4026" s="66" t="e">
        <f>IF(LEFT(A4026,6)="CEPNTR","GPINS",VLOOKUP(LEFT(A4026,6),'Code Library'!$A$3:$B$920,2,0))&amp;"_"&amp;RIGHT(A4026,3)</f>
        <v>#N/A</v>
      </c>
      <c r="I4026" s="66">
        <f t="shared" si="434"/>
        <v>0</v>
      </c>
      <c r="K4026" s="66" t="str">
        <f t="shared" si="435"/>
        <v/>
      </c>
      <c r="L4026" s="66" t="str">
        <f t="shared" si="436"/>
        <v/>
      </c>
      <c r="M4026" s="66" t="str">
        <f t="shared" si="437"/>
        <v/>
      </c>
      <c r="N4026" s="66" t="str">
        <f t="shared" si="438"/>
        <v/>
      </c>
      <c r="O4026" s="66" t="str">
        <f t="shared" si="439"/>
        <v/>
      </c>
      <c r="P4026" s="66" t="str">
        <f t="shared" si="440"/>
        <v/>
      </c>
    </row>
    <row r="4027" spans="8:16">
      <c r="H4027" s="66" t="e">
        <f>IF(LEFT(A4027,6)="CEPNTR","GPINS",VLOOKUP(LEFT(A4027,6),'Code Library'!$A$3:$B$920,2,0))&amp;"_"&amp;RIGHT(A4027,3)</f>
        <v>#N/A</v>
      </c>
      <c r="I4027" s="66">
        <f t="shared" si="434"/>
        <v>0</v>
      </c>
      <c r="K4027" s="66" t="str">
        <f t="shared" si="435"/>
        <v/>
      </c>
      <c r="L4027" s="66" t="str">
        <f t="shared" si="436"/>
        <v/>
      </c>
      <c r="M4027" s="66" t="str">
        <f t="shared" si="437"/>
        <v/>
      </c>
      <c r="N4027" s="66" t="str">
        <f t="shared" si="438"/>
        <v/>
      </c>
      <c r="O4027" s="66" t="str">
        <f t="shared" si="439"/>
        <v/>
      </c>
      <c r="P4027" s="66" t="str">
        <f t="shared" si="440"/>
        <v/>
      </c>
    </row>
    <row r="4028" spans="8:16">
      <c r="H4028" s="66" t="e">
        <f>IF(LEFT(A4028,6)="CEPNTR","GPINS",VLOOKUP(LEFT(A4028,6),'Code Library'!$A$3:$B$920,2,0))&amp;"_"&amp;RIGHT(A4028,3)</f>
        <v>#N/A</v>
      </c>
      <c r="I4028" s="66">
        <f t="shared" si="434"/>
        <v>0</v>
      </c>
      <c r="K4028" s="66" t="str">
        <f t="shared" si="435"/>
        <v/>
      </c>
      <c r="L4028" s="66" t="str">
        <f t="shared" si="436"/>
        <v/>
      </c>
      <c r="M4028" s="66" t="str">
        <f t="shared" si="437"/>
        <v/>
      </c>
      <c r="N4028" s="66" t="str">
        <f t="shared" si="438"/>
        <v/>
      </c>
      <c r="O4028" s="66" t="str">
        <f t="shared" si="439"/>
        <v/>
      </c>
      <c r="P4028" s="66" t="str">
        <f t="shared" si="440"/>
        <v/>
      </c>
    </row>
    <row r="4029" spans="8:16">
      <c r="H4029" s="66" t="e">
        <f>IF(LEFT(A4029,6)="CEPNTR","GPINS",VLOOKUP(LEFT(A4029,6),'Code Library'!$A$3:$B$920,2,0))&amp;"_"&amp;RIGHT(A4029,3)</f>
        <v>#N/A</v>
      </c>
      <c r="I4029" s="66">
        <f t="shared" si="434"/>
        <v>0</v>
      </c>
      <c r="K4029" s="66" t="str">
        <f t="shared" si="435"/>
        <v/>
      </c>
      <c r="L4029" s="66" t="str">
        <f t="shared" si="436"/>
        <v/>
      </c>
      <c r="M4029" s="66" t="str">
        <f t="shared" si="437"/>
        <v/>
      </c>
      <c r="N4029" s="66" t="str">
        <f t="shared" si="438"/>
        <v/>
      </c>
      <c r="O4029" s="66" t="str">
        <f t="shared" si="439"/>
        <v/>
      </c>
      <c r="P4029" s="66" t="str">
        <f t="shared" si="440"/>
        <v/>
      </c>
    </row>
    <row r="4030" spans="8:16">
      <c r="H4030" s="66" t="e">
        <f>IF(LEFT(A4030,6)="CEPNTR","GPINS",VLOOKUP(LEFT(A4030,6),'Code Library'!$A$3:$B$920,2,0))&amp;"_"&amp;RIGHT(A4030,3)</f>
        <v>#N/A</v>
      </c>
      <c r="I4030" s="66">
        <f t="shared" si="434"/>
        <v>0</v>
      </c>
      <c r="K4030" s="66" t="str">
        <f t="shared" si="435"/>
        <v/>
      </c>
      <c r="L4030" s="66" t="str">
        <f t="shared" si="436"/>
        <v/>
      </c>
      <c r="M4030" s="66" t="str">
        <f t="shared" si="437"/>
        <v/>
      </c>
      <c r="N4030" s="66" t="str">
        <f t="shared" si="438"/>
        <v/>
      </c>
      <c r="O4030" s="66" t="str">
        <f t="shared" si="439"/>
        <v/>
      </c>
      <c r="P4030" s="66" t="str">
        <f t="shared" si="440"/>
        <v/>
      </c>
    </row>
    <row r="4031" spans="8:16">
      <c r="H4031" s="66" t="e">
        <f>IF(LEFT(A4031,6)="CEPNTR","GPINS",VLOOKUP(LEFT(A4031,6),'Code Library'!$A$3:$B$920,2,0))&amp;"_"&amp;RIGHT(A4031,3)</f>
        <v>#N/A</v>
      </c>
      <c r="I4031" s="66">
        <f t="shared" si="434"/>
        <v>0</v>
      </c>
      <c r="K4031" s="66" t="str">
        <f t="shared" si="435"/>
        <v/>
      </c>
      <c r="L4031" s="66" t="str">
        <f t="shared" si="436"/>
        <v/>
      </c>
      <c r="M4031" s="66" t="str">
        <f t="shared" si="437"/>
        <v/>
      </c>
      <c r="N4031" s="66" t="str">
        <f t="shared" si="438"/>
        <v/>
      </c>
      <c r="O4031" s="66" t="str">
        <f t="shared" si="439"/>
        <v/>
      </c>
      <c r="P4031" s="66" t="str">
        <f t="shared" si="440"/>
        <v/>
      </c>
    </row>
    <row r="4032" spans="8:16">
      <c r="H4032" s="66" t="e">
        <f>IF(LEFT(A4032,6)="CEPNTR","GPINS",VLOOKUP(LEFT(A4032,6),'Code Library'!$A$3:$B$920,2,0))&amp;"_"&amp;RIGHT(A4032,3)</f>
        <v>#N/A</v>
      </c>
      <c r="I4032" s="66">
        <f t="shared" si="434"/>
        <v>0</v>
      </c>
      <c r="K4032" s="66" t="str">
        <f t="shared" si="435"/>
        <v/>
      </c>
      <c r="L4032" s="66" t="str">
        <f t="shared" si="436"/>
        <v/>
      </c>
      <c r="M4032" s="66" t="str">
        <f t="shared" si="437"/>
        <v/>
      </c>
      <c r="N4032" s="66" t="str">
        <f t="shared" si="438"/>
        <v/>
      </c>
      <c r="O4032" s="66" t="str">
        <f t="shared" si="439"/>
        <v/>
      </c>
      <c r="P4032" s="66" t="str">
        <f t="shared" si="440"/>
        <v/>
      </c>
    </row>
    <row r="4033" spans="8:16">
      <c r="H4033" s="66" t="e">
        <f>IF(LEFT(A4033,6)="CEPNTR","GPINS",VLOOKUP(LEFT(A4033,6),'Code Library'!$A$3:$B$920,2,0))&amp;"_"&amp;RIGHT(A4033,3)</f>
        <v>#N/A</v>
      </c>
      <c r="I4033" s="66">
        <f t="shared" si="434"/>
        <v>0</v>
      </c>
      <c r="K4033" s="66" t="str">
        <f t="shared" si="435"/>
        <v/>
      </c>
      <c r="L4033" s="66" t="str">
        <f t="shared" si="436"/>
        <v/>
      </c>
      <c r="M4033" s="66" t="str">
        <f t="shared" si="437"/>
        <v/>
      </c>
      <c r="N4033" s="66" t="str">
        <f t="shared" si="438"/>
        <v/>
      </c>
      <c r="O4033" s="66" t="str">
        <f t="shared" si="439"/>
        <v/>
      </c>
      <c r="P4033" s="66" t="str">
        <f t="shared" si="440"/>
        <v/>
      </c>
    </row>
    <row r="4034" spans="8:16">
      <c r="H4034" s="66" t="e">
        <f>IF(LEFT(A4034,6)="CEPNTR","GPINS",VLOOKUP(LEFT(A4034,6),'Code Library'!$A$3:$B$920,2,0))&amp;"_"&amp;RIGHT(A4034,3)</f>
        <v>#N/A</v>
      </c>
      <c r="I4034" s="66">
        <f t="shared" si="434"/>
        <v>0</v>
      </c>
      <c r="K4034" s="66" t="str">
        <f t="shared" si="435"/>
        <v/>
      </c>
      <c r="L4034" s="66" t="str">
        <f t="shared" si="436"/>
        <v/>
      </c>
      <c r="M4034" s="66" t="str">
        <f t="shared" si="437"/>
        <v/>
      </c>
      <c r="N4034" s="66" t="str">
        <f t="shared" si="438"/>
        <v/>
      </c>
      <c r="O4034" s="66" t="str">
        <f t="shared" si="439"/>
        <v/>
      </c>
      <c r="P4034" s="66" t="str">
        <f t="shared" si="440"/>
        <v/>
      </c>
    </row>
    <row r="4035" spans="8:16">
      <c r="H4035" s="66" t="e">
        <f>IF(LEFT(A4035,6)="CEPNTR","GPINS",VLOOKUP(LEFT(A4035,6),'Code Library'!$A$3:$B$920,2,0))&amp;"_"&amp;RIGHT(A4035,3)</f>
        <v>#N/A</v>
      </c>
      <c r="I4035" s="66">
        <f t="shared" ref="I4035:I4098" si="441">A4035</f>
        <v>0</v>
      </c>
      <c r="K4035" s="66" t="str">
        <f t="shared" ref="K4035:K4098" si="442">RIGHT($B4035,2)</f>
        <v/>
      </c>
      <c r="L4035" s="66" t="str">
        <f t="shared" ref="L4035:L4098" si="443">LEFT(RIGHT($B4035,7),4)</f>
        <v/>
      </c>
      <c r="M4035" s="66" t="str">
        <f t="shared" ref="M4035:M4098" si="444">LEFT(RIGHT($B4035,10),2)</f>
        <v/>
      </c>
      <c r="N4035" s="66" t="str">
        <f t="shared" ref="N4035:N4098" si="445">LEFT(RIGHT($B4035,14),3)</f>
        <v/>
      </c>
      <c r="O4035" s="66" t="str">
        <f t="shared" ref="O4035:O4098" si="446">LEFT(RIGHT($B4035,16),1)</f>
        <v/>
      </c>
      <c r="P4035" s="66" t="str">
        <f t="shared" ref="P4035:P4098" si="447">LEFT(RIGHT($B4035,19),2)</f>
        <v/>
      </c>
    </row>
    <row r="4036" spans="8:16">
      <c r="H4036" s="66" t="e">
        <f>IF(LEFT(A4036,6)="CEPNTR","GPINS",VLOOKUP(LEFT(A4036,6),'Code Library'!$A$3:$B$920,2,0))&amp;"_"&amp;RIGHT(A4036,3)</f>
        <v>#N/A</v>
      </c>
      <c r="I4036" s="66">
        <f t="shared" si="441"/>
        <v>0</v>
      </c>
      <c r="K4036" s="66" t="str">
        <f t="shared" si="442"/>
        <v/>
      </c>
      <c r="L4036" s="66" t="str">
        <f t="shared" si="443"/>
        <v/>
      </c>
      <c r="M4036" s="66" t="str">
        <f t="shared" si="444"/>
        <v/>
      </c>
      <c r="N4036" s="66" t="str">
        <f t="shared" si="445"/>
        <v/>
      </c>
      <c r="O4036" s="66" t="str">
        <f t="shared" si="446"/>
        <v/>
      </c>
      <c r="P4036" s="66" t="str">
        <f t="shared" si="447"/>
        <v/>
      </c>
    </row>
    <row r="4037" spans="8:16">
      <c r="H4037" s="66" t="e">
        <f>IF(LEFT(A4037,6)="CEPNTR","GPINS",VLOOKUP(LEFT(A4037,6),'Code Library'!$A$3:$B$920,2,0))&amp;"_"&amp;RIGHT(A4037,3)</f>
        <v>#N/A</v>
      </c>
      <c r="I4037" s="66">
        <f t="shared" si="441"/>
        <v>0</v>
      </c>
      <c r="K4037" s="66" t="str">
        <f t="shared" si="442"/>
        <v/>
      </c>
      <c r="L4037" s="66" t="str">
        <f t="shared" si="443"/>
        <v/>
      </c>
      <c r="M4037" s="66" t="str">
        <f t="shared" si="444"/>
        <v/>
      </c>
      <c r="N4037" s="66" t="str">
        <f t="shared" si="445"/>
        <v/>
      </c>
      <c r="O4037" s="66" t="str">
        <f t="shared" si="446"/>
        <v/>
      </c>
      <c r="P4037" s="66" t="str">
        <f t="shared" si="447"/>
        <v/>
      </c>
    </row>
    <row r="4038" spans="8:16">
      <c r="H4038" s="66" t="e">
        <f>IF(LEFT(A4038,6)="CEPNTR","GPINS",VLOOKUP(LEFT(A4038,6),'Code Library'!$A$3:$B$920,2,0))&amp;"_"&amp;RIGHT(A4038,3)</f>
        <v>#N/A</v>
      </c>
      <c r="I4038" s="66">
        <f t="shared" si="441"/>
        <v>0</v>
      </c>
      <c r="K4038" s="66" t="str">
        <f t="shared" si="442"/>
        <v/>
      </c>
      <c r="L4038" s="66" t="str">
        <f t="shared" si="443"/>
        <v/>
      </c>
      <c r="M4038" s="66" t="str">
        <f t="shared" si="444"/>
        <v/>
      </c>
      <c r="N4038" s="66" t="str">
        <f t="shared" si="445"/>
        <v/>
      </c>
      <c r="O4038" s="66" t="str">
        <f t="shared" si="446"/>
        <v/>
      </c>
      <c r="P4038" s="66" t="str">
        <f t="shared" si="447"/>
        <v/>
      </c>
    </row>
    <row r="4039" spans="8:16">
      <c r="H4039" s="66" t="e">
        <f>IF(LEFT(A4039,6)="CEPNTR","GPINS",VLOOKUP(LEFT(A4039,6),'Code Library'!$A$3:$B$920,2,0))&amp;"_"&amp;RIGHT(A4039,3)</f>
        <v>#N/A</v>
      </c>
      <c r="I4039" s="66">
        <f t="shared" si="441"/>
        <v>0</v>
      </c>
      <c r="K4039" s="66" t="str">
        <f t="shared" si="442"/>
        <v/>
      </c>
      <c r="L4039" s="66" t="str">
        <f t="shared" si="443"/>
        <v/>
      </c>
      <c r="M4039" s="66" t="str">
        <f t="shared" si="444"/>
        <v/>
      </c>
      <c r="N4039" s="66" t="str">
        <f t="shared" si="445"/>
        <v/>
      </c>
      <c r="O4039" s="66" t="str">
        <f t="shared" si="446"/>
        <v/>
      </c>
      <c r="P4039" s="66" t="str">
        <f t="shared" si="447"/>
        <v/>
      </c>
    </row>
    <row r="4040" spans="8:16">
      <c r="H4040" s="66" t="e">
        <f>IF(LEFT(A4040,6)="CEPNTR","GPINS",VLOOKUP(LEFT(A4040,6),'Code Library'!$A$3:$B$920,2,0))&amp;"_"&amp;RIGHT(A4040,3)</f>
        <v>#N/A</v>
      </c>
      <c r="I4040" s="66">
        <f t="shared" si="441"/>
        <v>0</v>
      </c>
      <c r="K4040" s="66" t="str">
        <f t="shared" si="442"/>
        <v/>
      </c>
      <c r="L4040" s="66" t="str">
        <f t="shared" si="443"/>
        <v/>
      </c>
      <c r="M4040" s="66" t="str">
        <f t="shared" si="444"/>
        <v/>
      </c>
      <c r="N4040" s="66" t="str">
        <f t="shared" si="445"/>
        <v/>
      </c>
      <c r="O4040" s="66" t="str">
        <f t="shared" si="446"/>
        <v/>
      </c>
      <c r="P4040" s="66" t="str">
        <f t="shared" si="447"/>
        <v/>
      </c>
    </row>
    <row r="4041" spans="8:16">
      <c r="H4041" s="66" t="e">
        <f>IF(LEFT(A4041,6)="CEPNTR","GPINS",VLOOKUP(LEFT(A4041,6),'Code Library'!$A$3:$B$920,2,0))&amp;"_"&amp;RIGHT(A4041,3)</f>
        <v>#N/A</v>
      </c>
      <c r="I4041" s="66">
        <f t="shared" si="441"/>
        <v>0</v>
      </c>
      <c r="K4041" s="66" t="str">
        <f t="shared" si="442"/>
        <v/>
      </c>
      <c r="L4041" s="66" t="str">
        <f t="shared" si="443"/>
        <v/>
      </c>
      <c r="M4041" s="66" t="str">
        <f t="shared" si="444"/>
        <v/>
      </c>
      <c r="N4041" s="66" t="str">
        <f t="shared" si="445"/>
        <v/>
      </c>
      <c r="O4041" s="66" t="str">
        <f t="shared" si="446"/>
        <v/>
      </c>
      <c r="P4041" s="66" t="str">
        <f t="shared" si="447"/>
        <v/>
      </c>
    </row>
    <row r="4042" spans="8:16">
      <c r="H4042" s="66" t="e">
        <f>IF(LEFT(A4042,6)="CEPNTR","GPINS",VLOOKUP(LEFT(A4042,6),'Code Library'!$A$3:$B$920,2,0))&amp;"_"&amp;RIGHT(A4042,3)</f>
        <v>#N/A</v>
      </c>
      <c r="I4042" s="66">
        <f t="shared" si="441"/>
        <v>0</v>
      </c>
      <c r="K4042" s="66" t="str">
        <f t="shared" si="442"/>
        <v/>
      </c>
      <c r="L4042" s="66" t="str">
        <f t="shared" si="443"/>
        <v/>
      </c>
      <c r="M4042" s="66" t="str">
        <f t="shared" si="444"/>
        <v/>
      </c>
      <c r="N4042" s="66" t="str">
        <f t="shared" si="445"/>
        <v/>
      </c>
      <c r="O4042" s="66" t="str">
        <f t="shared" si="446"/>
        <v/>
      </c>
      <c r="P4042" s="66" t="str">
        <f t="shared" si="447"/>
        <v/>
      </c>
    </row>
    <row r="4043" spans="8:16">
      <c r="H4043" s="66" t="e">
        <f>IF(LEFT(A4043,6)="CEPNTR","GPINS",VLOOKUP(LEFT(A4043,6),'Code Library'!$A$3:$B$920,2,0))&amp;"_"&amp;RIGHT(A4043,3)</f>
        <v>#N/A</v>
      </c>
      <c r="I4043" s="66">
        <f t="shared" si="441"/>
        <v>0</v>
      </c>
      <c r="K4043" s="66" t="str">
        <f t="shared" si="442"/>
        <v/>
      </c>
      <c r="L4043" s="66" t="str">
        <f t="shared" si="443"/>
        <v/>
      </c>
      <c r="M4043" s="66" t="str">
        <f t="shared" si="444"/>
        <v/>
      </c>
      <c r="N4043" s="66" t="str">
        <f t="shared" si="445"/>
        <v/>
      </c>
      <c r="O4043" s="66" t="str">
        <f t="shared" si="446"/>
        <v/>
      </c>
      <c r="P4043" s="66" t="str">
        <f t="shared" si="447"/>
        <v/>
      </c>
    </row>
    <row r="4044" spans="8:16">
      <c r="H4044" s="66" t="e">
        <f>IF(LEFT(A4044,6)="CEPNTR","GPINS",VLOOKUP(LEFT(A4044,6),'Code Library'!$A$3:$B$920,2,0))&amp;"_"&amp;RIGHT(A4044,3)</f>
        <v>#N/A</v>
      </c>
      <c r="I4044" s="66">
        <f t="shared" si="441"/>
        <v>0</v>
      </c>
      <c r="K4044" s="66" t="str">
        <f t="shared" si="442"/>
        <v/>
      </c>
      <c r="L4044" s="66" t="str">
        <f t="shared" si="443"/>
        <v/>
      </c>
      <c r="M4044" s="66" t="str">
        <f t="shared" si="444"/>
        <v/>
      </c>
      <c r="N4044" s="66" t="str">
        <f t="shared" si="445"/>
        <v/>
      </c>
      <c r="O4044" s="66" t="str">
        <f t="shared" si="446"/>
        <v/>
      </c>
      <c r="P4044" s="66" t="str">
        <f t="shared" si="447"/>
        <v/>
      </c>
    </row>
    <row r="4045" spans="8:16">
      <c r="H4045" s="66" t="e">
        <f>IF(LEFT(A4045,6)="CEPNTR","GPINS",VLOOKUP(LEFT(A4045,6),'Code Library'!$A$3:$B$920,2,0))&amp;"_"&amp;RIGHT(A4045,3)</f>
        <v>#N/A</v>
      </c>
      <c r="I4045" s="66">
        <f t="shared" si="441"/>
        <v>0</v>
      </c>
      <c r="K4045" s="66" t="str">
        <f t="shared" si="442"/>
        <v/>
      </c>
      <c r="L4045" s="66" t="str">
        <f t="shared" si="443"/>
        <v/>
      </c>
      <c r="M4045" s="66" t="str">
        <f t="shared" si="444"/>
        <v/>
      </c>
      <c r="N4045" s="66" t="str">
        <f t="shared" si="445"/>
        <v/>
      </c>
      <c r="O4045" s="66" t="str">
        <f t="shared" si="446"/>
        <v/>
      </c>
      <c r="P4045" s="66" t="str">
        <f t="shared" si="447"/>
        <v/>
      </c>
    </row>
    <row r="4046" spans="8:16">
      <c r="H4046" s="66" t="e">
        <f>IF(LEFT(A4046,6)="CEPNTR","GPINS",VLOOKUP(LEFT(A4046,6),'Code Library'!$A$3:$B$920,2,0))&amp;"_"&amp;RIGHT(A4046,3)</f>
        <v>#N/A</v>
      </c>
      <c r="I4046" s="66">
        <f t="shared" si="441"/>
        <v>0</v>
      </c>
      <c r="K4046" s="66" t="str">
        <f t="shared" si="442"/>
        <v/>
      </c>
      <c r="L4046" s="66" t="str">
        <f t="shared" si="443"/>
        <v/>
      </c>
      <c r="M4046" s="66" t="str">
        <f t="shared" si="444"/>
        <v/>
      </c>
      <c r="N4046" s="66" t="str">
        <f t="shared" si="445"/>
        <v/>
      </c>
      <c r="O4046" s="66" t="str">
        <f t="shared" si="446"/>
        <v/>
      </c>
      <c r="P4046" s="66" t="str">
        <f t="shared" si="447"/>
        <v/>
      </c>
    </row>
    <row r="4047" spans="8:16">
      <c r="H4047" s="66" t="e">
        <f>IF(LEFT(A4047,6)="CEPNTR","GPINS",VLOOKUP(LEFT(A4047,6),'Code Library'!$A$3:$B$920,2,0))&amp;"_"&amp;RIGHT(A4047,3)</f>
        <v>#N/A</v>
      </c>
      <c r="I4047" s="66">
        <f t="shared" si="441"/>
        <v>0</v>
      </c>
      <c r="K4047" s="66" t="str">
        <f t="shared" si="442"/>
        <v/>
      </c>
      <c r="L4047" s="66" t="str">
        <f t="shared" si="443"/>
        <v/>
      </c>
      <c r="M4047" s="66" t="str">
        <f t="shared" si="444"/>
        <v/>
      </c>
      <c r="N4047" s="66" t="str">
        <f t="shared" si="445"/>
        <v/>
      </c>
      <c r="O4047" s="66" t="str">
        <f t="shared" si="446"/>
        <v/>
      </c>
      <c r="P4047" s="66" t="str">
        <f t="shared" si="447"/>
        <v/>
      </c>
    </row>
    <row r="4048" spans="8:16">
      <c r="H4048" s="66" t="e">
        <f>IF(LEFT(A4048,6)="CEPNTR","GPINS",VLOOKUP(LEFT(A4048,6),'Code Library'!$A$3:$B$920,2,0))&amp;"_"&amp;RIGHT(A4048,3)</f>
        <v>#N/A</v>
      </c>
      <c r="I4048" s="66">
        <f t="shared" si="441"/>
        <v>0</v>
      </c>
      <c r="K4048" s="66" t="str">
        <f t="shared" si="442"/>
        <v/>
      </c>
      <c r="L4048" s="66" t="str">
        <f t="shared" si="443"/>
        <v/>
      </c>
      <c r="M4048" s="66" t="str">
        <f t="shared" si="444"/>
        <v/>
      </c>
      <c r="N4048" s="66" t="str">
        <f t="shared" si="445"/>
        <v/>
      </c>
      <c r="O4048" s="66" t="str">
        <f t="shared" si="446"/>
        <v/>
      </c>
      <c r="P4048" s="66" t="str">
        <f t="shared" si="447"/>
        <v/>
      </c>
    </row>
    <row r="4049" spans="8:16">
      <c r="H4049" s="66" t="e">
        <f>IF(LEFT(A4049,6)="CEPNTR","GPINS",VLOOKUP(LEFT(A4049,6),'Code Library'!$A$3:$B$920,2,0))&amp;"_"&amp;RIGHT(A4049,3)</f>
        <v>#N/A</v>
      </c>
      <c r="I4049" s="66">
        <f t="shared" si="441"/>
        <v>0</v>
      </c>
      <c r="K4049" s="66" t="str">
        <f t="shared" si="442"/>
        <v/>
      </c>
      <c r="L4049" s="66" t="str">
        <f t="shared" si="443"/>
        <v/>
      </c>
      <c r="M4049" s="66" t="str">
        <f t="shared" si="444"/>
        <v/>
      </c>
      <c r="N4049" s="66" t="str">
        <f t="shared" si="445"/>
        <v/>
      </c>
      <c r="O4049" s="66" t="str">
        <f t="shared" si="446"/>
        <v/>
      </c>
      <c r="P4049" s="66" t="str">
        <f t="shared" si="447"/>
        <v/>
      </c>
    </row>
    <row r="4050" spans="8:16">
      <c r="H4050" s="66" t="e">
        <f>IF(LEFT(A4050,6)="CEPNTR","GPINS",VLOOKUP(LEFT(A4050,6),'Code Library'!$A$3:$B$920,2,0))&amp;"_"&amp;RIGHT(A4050,3)</f>
        <v>#N/A</v>
      </c>
      <c r="I4050" s="66">
        <f t="shared" si="441"/>
        <v>0</v>
      </c>
      <c r="K4050" s="66" t="str">
        <f t="shared" si="442"/>
        <v/>
      </c>
      <c r="L4050" s="66" t="str">
        <f t="shared" si="443"/>
        <v/>
      </c>
      <c r="M4050" s="66" t="str">
        <f t="shared" si="444"/>
        <v/>
      </c>
      <c r="N4050" s="66" t="str">
        <f t="shared" si="445"/>
        <v/>
      </c>
      <c r="O4050" s="66" t="str">
        <f t="shared" si="446"/>
        <v/>
      </c>
      <c r="P4050" s="66" t="str">
        <f t="shared" si="447"/>
        <v/>
      </c>
    </row>
    <row r="4051" spans="8:16">
      <c r="H4051" s="66" t="e">
        <f>IF(LEFT(A4051,6)="CEPNTR","GPINS",VLOOKUP(LEFT(A4051,6),'Code Library'!$A$3:$B$920,2,0))&amp;"_"&amp;RIGHT(A4051,3)</f>
        <v>#N/A</v>
      </c>
      <c r="I4051" s="66">
        <f t="shared" si="441"/>
        <v>0</v>
      </c>
      <c r="K4051" s="66" t="str">
        <f t="shared" si="442"/>
        <v/>
      </c>
      <c r="L4051" s="66" t="str">
        <f t="shared" si="443"/>
        <v/>
      </c>
      <c r="M4051" s="66" t="str">
        <f t="shared" si="444"/>
        <v/>
      </c>
      <c r="N4051" s="66" t="str">
        <f t="shared" si="445"/>
        <v/>
      </c>
      <c r="O4051" s="66" t="str">
        <f t="shared" si="446"/>
        <v/>
      </c>
      <c r="P4051" s="66" t="str">
        <f t="shared" si="447"/>
        <v/>
      </c>
    </row>
    <row r="4052" spans="8:16">
      <c r="H4052" s="66" t="e">
        <f>IF(LEFT(A4052,6)="CEPNTR","GPINS",VLOOKUP(LEFT(A4052,6),'Code Library'!$A$3:$B$920,2,0))&amp;"_"&amp;RIGHT(A4052,3)</f>
        <v>#N/A</v>
      </c>
      <c r="I4052" s="66">
        <f t="shared" si="441"/>
        <v>0</v>
      </c>
      <c r="K4052" s="66" t="str">
        <f t="shared" si="442"/>
        <v/>
      </c>
      <c r="L4052" s="66" t="str">
        <f t="shared" si="443"/>
        <v/>
      </c>
      <c r="M4052" s="66" t="str">
        <f t="shared" si="444"/>
        <v/>
      </c>
      <c r="N4052" s="66" t="str">
        <f t="shared" si="445"/>
        <v/>
      </c>
      <c r="O4052" s="66" t="str">
        <f t="shared" si="446"/>
        <v/>
      </c>
      <c r="P4052" s="66" t="str">
        <f t="shared" si="447"/>
        <v/>
      </c>
    </row>
    <row r="4053" spans="8:16">
      <c r="H4053" s="66" t="e">
        <f>IF(LEFT(A4053,6)="CEPNTR","GPINS",VLOOKUP(LEFT(A4053,6),'Code Library'!$A$3:$B$920,2,0))&amp;"_"&amp;RIGHT(A4053,3)</f>
        <v>#N/A</v>
      </c>
      <c r="I4053" s="66">
        <f t="shared" si="441"/>
        <v>0</v>
      </c>
      <c r="K4053" s="66" t="str">
        <f t="shared" si="442"/>
        <v/>
      </c>
      <c r="L4053" s="66" t="str">
        <f t="shared" si="443"/>
        <v/>
      </c>
      <c r="M4053" s="66" t="str">
        <f t="shared" si="444"/>
        <v/>
      </c>
      <c r="N4053" s="66" t="str">
        <f t="shared" si="445"/>
        <v/>
      </c>
      <c r="O4053" s="66" t="str">
        <f t="shared" si="446"/>
        <v/>
      </c>
      <c r="P4053" s="66" t="str">
        <f t="shared" si="447"/>
        <v/>
      </c>
    </row>
    <row r="4054" spans="8:16">
      <c r="H4054" s="66" t="e">
        <f>IF(LEFT(A4054,6)="CEPNTR","GPINS",VLOOKUP(LEFT(A4054,6),'Code Library'!$A$3:$B$920,2,0))&amp;"_"&amp;RIGHT(A4054,3)</f>
        <v>#N/A</v>
      </c>
      <c r="I4054" s="66">
        <f t="shared" si="441"/>
        <v>0</v>
      </c>
      <c r="K4054" s="66" t="str">
        <f t="shared" si="442"/>
        <v/>
      </c>
      <c r="L4054" s="66" t="str">
        <f t="shared" si="443"/>
        <v/>
      </c>
      <c r="M4054" s="66" t="str">
        <f t="shared" si="444"/>
        <v/>
      </c>
      <c r="N4054" s="66" t="str">
        <f t="shared" si="445"/>
        <v/>
      </c>
      <c r="O4054" s="66" t="str">
        <f t="shared" si="446"/>
        <v/>
      </c>
      <c r="P4054" s="66" t="str">
        <f t="shared" si="447"/>
        <v/>
      </c>
    </row>
    <row r="4055" spans="8:16">
      <c r="H4055" s="66" t="e">
        <f>IF(LEFT(A4055,6)="CEPNTR","GPINS",VLOOKUP(LEFT(A4055,6),'Code Library'!$A$3:$B$920,2,0))&amp;"_"&amp;RIGHT(A4055,3)</f>
        <v>#N/A</v>
      </c>
      <c r="I4055" s="66">
        <f t="shared" si="441"/>
        <v>0</v>
      </c>
      <c r="K4055" s="66" t="str">
        <f t="shared" si="442"/>
        <v/>
      </c>
      <c r="L4055" s="66" t="str">
        <f t="shared" si="443"/>
        <v/>
      </c>
      <c r="M4055" s="66" t="str">
        <f t="shared" si="444"/>
        <v/>
      </c>
      <c r="N4055" s="66" t="str">
        <f t="shared" si="445"/>
        <v/>
      </c>
      <c r="O4055" s="66" t="str">
        <f t="shared" si="446"/>
        <v/>
      </c>
      <c r="P4055" s="66" t="str">
        <f t="shared" si="447"/>
        <v/>
      </c>
    </row>
    <row r="4056" spans="8:16">
      <c r="H4056" s="66" t="e">
        <f>IF(LEFT(A4056,6)="CEPNTR","GPINS",VLOOKUP(LEFT(A4056,6),'Code Library'!$A$3:$B$920,2,0))&amp;"_"&amp;RIGHT(A4056,3)</f>
        <v>#N/A</v>
      </c>
      <c r="I4056" s="66">
        <f t="shared" si="441"/>
        <v>0</v>
      </c>
      <c r="K4056" s="66" t="str">
        <f t="shared" si="442"/>
        <v/>
      </c>
      <c r="L4056" s="66" t="str">
        <f t="shared" si="443"/>
        <v/>
      </c>
      <c r="M4056" s="66" t="str">
        <f t="shared" si="444"/>
        <v/>
      </c>
      <c r="N4056" s="66" t="str">
        <f t="shared" si="445"/>
        <v/>
      </c>
      <c r="O4056" s="66" t="str">
        <f t="shared" si="446"/>
        <v/>
      </c>
      <c r="P4056" s="66" t="str">
        <f t="shared" si="447"/>
        <v/>
      </c>
    </row>
    <row r="4057" spans="8:16">
      <c r="H4057" s="66" t="e">
        <f>IF(LEFT(A4057,6)="CEPNTR","GPINS",VLOOKUP(LEFT(A4057,6),'Code Library'!$A$3:$B$920,2,0))&amp;"_"&amp;RIGHT(A4057,3)</f>
        <v>#N/A</v>
      </c>
      <c r="I4057" s="66">
        <f t="shared" si="441"/>
        <v>0</v>
      </c>
      <c r="K4057" s="66" t="str">
        <f t="shared" si="442"/>
        <v/>
      </c>
      <c r="L4057" s="66" t="str">
        <f t="shared" si="443"/>
        <v/>
      </c>
      <c r="M4057" s="66" t="str">
        <f t="shared" si="444"/>
        <v/>
      </c>
      <c r="N4057" s="66" t="str">
        <f t="shared" si="445"/>
        <v/>
      </c>
      <c r="O4057" s="66" t="str">
        <f t="shared" si="446"/>
        <v/>
      </c>
      <c r="P4057" s="66" t="str">
        <f t="shared" si="447"/>
        <v/>
      </c>
    </row>
    <row r="4058" spans="8:16">
      <c r="H4058" s="66" t="e">
        <f>IF(LEFT(A4058,6)="CEPNTR","GPINS",VLOOKUP(LEFT(A4058,6),'Code Library'!$A$3:$B$920,2,0))&amp;"_"&amp;RIGHT(A4058,3)</f>
        <v>#N/A</v>
      </c>
      <c r="I4058" s="66">
        <f t="shared" si="441"/>
        <v>0</v>
      </c>
      <c r="K4058" s="66" t="str">
        <f t="shared" si="442"/>
        <v/>
      </c>
      <c r="L4058" s="66" t="str">
        <f t="shared" si="443"/>
        <v/>
      </c>
      <c r="M4058" s="66" t="str">
        <f t="shared" si="444"/>
        <v/>
      </c>
      <c r="N4058" s="66" t="str">
        <f t="shared" si="445"/>
        <v/>
      </c>
      <c r="O4058" s="66" t="str">
        <f t="shared" si="446"/>
        <v/>
      </c>
      <c r="P4058" s="66" t="str">
        <f t="shared" si="447"/>
        <v/>
      </c>
    </row>
    <row r="4059" spans="8:16">
      <c r="H4059" s="66" t="e">
        <f>IF(LEFT(A4059,6)="CEPNTR","GPINS",VLOOKUP(LEFT(A4059,6),'Code Library'!$A$3:$B$920,2,0))&amp;"_"&amp;RIGHT(A4059,3)</f>
        <v>#N/A</v>
      </c>
      <c r="I4059" s="66">
        <f t="shared" si="441"/>
        <v>0</v>
      </c>
      <c r="K4059" s="66" t="str">
        <f t="shared" si="442"/>
        <v/>
      </c>
      <c r="L4059" s="66" t="str">
        <f t="shared" si="443"/>
        <v/>
      </c>
      <c r="M4059" s="66" t="str">
        <f t="shared" si="444"/>
        <v/>
      </c>
      <c r="N4059" s="66" t="str">
        <f t="shared" si="445"/>
        <v/>
      </c>
      <c r="O4059" s="66" t="str">
        <f t="shared" si="446"/>
        <v/>
      </c>
      <c r="P4059" s="66" t="str">
        <f t="shared" si="447"/>
        <v/>
      </c>
    </row>
    <row r="4060" spans="8:16">
      <c r="H4060" s="66" t="e">
        <f>IF(LEFT(A4060,6)="CEPNTR","GPINS",VLOOKUP(LEFT(A4060,6),'Code Library'!$A$3:$B$920,2,0))&amp;"_"&amp;RIGHT(A4060,3)</f>
        <v>#N/A</v>
      </c>
      <c r="I4060" s="66">
        <f t="shared" si="441"/>
        <v>0</v>
      </c>
      <c r="K4060" s="66" t="str">
        <f t="shared" si="442"/>
        <v/>
      </c>
      <c r="L4060" s="66" t="str">
        <f t="shared" si="443"/>
        <v/>
      </c>
      <c r="M4060" s="66" t="str">
        <f t="shared" si="444"/>
        <v/>
      </c>
      <c r="N4060" s="66" t="str">
        <f t="shared" si="445"/>
        <v/>
      </c>
      <c r="O4060" s="66" t="str">
        <f t="shared" si="446"/>
        <v/>
      </c>
      <c r="P4060" s="66" t="str">
        <f t="shared" si="447"/>
        <v/>
      </c>
    </row>
    <row r="4061" spans="8:16">
      <c r="H4061" s="66" t="e">
        <f>IF(LEFT(A4061,6)="CEPNTR","GPINS",VLOOKUP(LEFT(A4061,6),'Code Library'!$A$3:$B$920,2,0))&amp;"_"&amp;RIGHT(A4061,3)</f>
        <v>#N/A</v>
      </c>
      <c r="I4061" s="66">
        <f t="shared" si="441"/>
        <v>0</v>
      </c>
      <c r="K4061" s="66" t="str">
        <f t="shared" si="442"/>
        <v/>
      </c>
      <c r="L4061" s="66" t="str">
        <f t="shared" si="443"/>
        <v/>
      </c>
      <c r="M4061" s="66" t="str">
        <f t="shared" si="444"/>
        <v/>
      </c>
      <c r="N4061" s="66" t="str">
        <f t="shared" si="445"/>
        <v/>
      </c>
      <c r="O4061" s="66" t="str">
        <f t="shared" si="446"/>
        <v/>
      </c>
      <c r="P4061" s="66" t="str">
        <f t="shared" si="447"/>
        <v/>
      </c>
    </row>
    <row r="4062" spans="8:16">
      <c r="H4062" s="66" t="e">
        <f>IF(LEFT(A4062,6)="CEPNTR","GPINS",VLOOKUP(LEFT(A4062,6),'Code Library'!$A$3:$B$920,2,0))&amp;"_"&amp;RIGHT(A4062,3)</f>
        <v>#N/A</v>
      </c>
      <c r="I4062" s="66">
        <f t="shared" si="441"/>
        <v>0</v>
      </c>
      <c r="K4062" s="66" t="str">
        <f t="shared" si="442"/>
        <v/>
      </c>
      <c r="L4062" s="66" t="str">
        <f t="shared" si="443"/>
        <v/>
      </c>
      <c r="M4062" s="66" t="str">
        <f t="shared" si="444"/>
        <v/>
      </c>
      <c r="N4062" s="66" t="str">
        <f t="shared" si="445"/>
        <v/>
      </c>
      <c r="O4062" s="66" t="str">
        <f t="shared" si="446"/>
        <v/>
      </c>
      <c r="P4062" s="66" t="str">
        <f t="shared" si="447"/>
        <v/>
      </c>
    </row>
    <row r="4063" spans="8:16">
      <c r="H4063" s="66" t="e">
        <f>IF(LEFT(A4063,6)="CEPNTR","GPINS",VLOOKUP(LEFT(A4063,6),'Code Library'!$A$3:$B$920,2,0))&amp;"_"&amp;RIGHT(A4063,3)</f>
        <v>#N/A</v>
      </c>
      <c r="I4063" s="66">
        <f t="shared" si="441"/>
        <v>0</v>
      </c>
      <c r="K4063" s="66" t="str">
        <f t="shared" si="442"/>
        <v/>
      </c>
      <c r="L4063" s="66" t="str">
        <f t="shared" si="443"/>
        <v/>
      </c>
      <c r="M4063" s="66" t="str">
        <f t="shared" si="444"/>
        <v/>
      </c>
      <c r="N4063" s="66" t="str">
        <f t="shared" si="445"/>
        <v/>
      </c>
      <c r="O4063" s="66" t="str">
        <f t="shared" si="446"/>
        <v/>
      </c>
      <c r="P4063" s="66" t="str">
        <f t="shared" si="447"/>
        <v/>
      </c>
    </row>
    <row r="4064" spans="8:16">
      <c r="H4064" s="66" t="e">
        <f>IF(LEFT(A4064,6)="CEPNTR","GPINS",VLOOKUP(LEFT(A4064,6),'Code Library'!$A$3:$B$920,2,0))&amp;"_"&amp;RIGHT(A4064,3)</f>
        <v>#N/A</v>
      </c>
      <c r="I4064" s="66">
        <f t="shared" si="441"/>
        <v>0</v>
      </c>
      <c r="K4064" s="66" t="str">
        <f t="shared" si="442"/>
        <v/>
      </c>
      <c r="L4064" s="66" t="str">
        <f t="shared" si="443"/>
        <v/>
      </c>
      <c r="M4064" s="66" t="str">
        <f t="shared" si="444"/>
        <v/>
      </c>
      <c r="N4064" s="66" t="str">
        <f t="shared" si="445"/>
        <v/>
      </c>
      <c r="O4064" s="66" t="str">
        <f t="shared" si="446"/>
        <v/>
      </c>
      <c r="P4064" s="66" t="str">
        <f t="shared" si="447"/>
        <v/>
      </c>
    </row>
    <row r="4065" spans="8:16">
      <c r="H4065" s="66" t="e">
        <f>IF(LEFT(A4065,6)="CEPNTR","GPINS",VLOOKUP(LEFT(A4065,6),'Code Library'!$A$3:$B$920,2,0))&amp;"_"&amp;RIGHT(A4065,3)</f>
        <v>#N/A</v>
      </c>
      <c r="I4065" s="66">
        <f t="shared" si="441"/>
        <v>0</v>
      </c>
      <c r="K4065" s="66" t="str">
        <f t="shared" si="442"/>
        <v/>
      </c>
      <c r="L4065" s="66" t="str">
        <f t="shared" si="443"/>
        <v/>
      </c>
      <c r="M4065" s="66" t="str">
        <f t="shared" si="444"/>
        <v/>
      </c>
      <c r="N4065" s="66" t="str">
        <f t="shared" si="445"/>
        <v/>
      </c>
      <c r="O4065" s="66" t="str">
        <f t="shared" si="446"/>
        <v/>
      </c>
      <c r="P4065" s="66" t="str">
        <f t="shared" si="447"/>
        <v/>
      </c>
    </row>
    <row r="4066" spans="8:16">
      <c r="H4066" s="66" t="e">
        <f>IF(LEFT(A4066,6)="CEPNTR","GPINS",VLOOKUP(LEFT(A4066,6),'Code Library'!$A$3:$B$920,2,0))&amp;"_"&amp;RIGHT(A4066,3)</f>
        <v>#N/A</v>
      </c>
      <c r="I4066" s="66">
        <f t="shared" si="441"/>
        <v>0</v>
      </c>
      <c r="K4066" s="66" t="str">
        <f t="shared" si="442"/>
        <v/>
      </c>
      <c r="L4066" s="66" t="str">
        <f t="shared" si="443"/>
        <v/>
      </c>
      <c r="M4066" s="66" t="str">
        <f t="shared" si="444"/>
        <v/>
      </c>
      <c r="N4066" s="66" t="str">
        <f t="shared" si="445"/>
        <v/>
      </c>
      <c r="O4066" s="66" t="str">
        <f t="shared" si="446"/>
        <v/>
      </c>
      <c r="P4066" s="66" t="str">
        <f t="shared" si="447"/>
        <v/>
      </c>
    </row>
    <row r="4067" spans="8:16">
      <c r="H4067" s="66" t="e">
        <f>IF(LEFT(A4067,6)="CEPNTR","GPINS",VLOOKUP(LEFT(A4067,6),'Code Library'!$A$3:$B$920,2,0))&amp;"_"&amp;RIGHT(A4067,3)</f>
        <v>#N/A</v>
      </c>
      <c r="I4067" s="66">
        <f t="shared" si="441"/>
        <v>0</v>
      </c>
      <c r="K4067" s="66" t="str">
        <f t="shared" si="442"/>
        <v/>
      </c>
      <c r="L4067" s="66" t="str">
        <f t="shared" si="443"/>
        <v/>
      </c>
      <c r="M4067" s="66" t="str">
        <f t="shared" si="444"/>
        <v/>
      </c>
      <c r="N4067" s="66" t="str">
        <f t="shared" si="445"/>
        <v/>
      </c>
      <c r="O4067" s="66" t="str">
        <f t="shared" si="446"/>
        <v/>
      </c>
      <c r="P4067" s="66" t="str">
        <f t="shared" si="447"/>
        <v/>
      </c>
    </row>
    <row r="4068" spans="8:16">
      <c r="H4068" s="66" t="e">
        <f>IF(LEFT(A4068,6)="CEPNTR","GPINS",VLOOKUP(LEFT(A4068,6),'Code Library'!$A$3:$B$920,2,0))&amp;"_"&amp;RIGHT(A4068,3)</f>
        <v>#N/A</v>
      </c>
      <c r="I4068" s="66">
        <f t="shared" si="441"/>
        <v>0</v>
      </c>
      <c r="K4068" s="66" t="str">
        <f t="shared" si="442"/>
        <v/>
      </c>
      <c r="L4068" s="66" t="str">
        <f t="shared" si="443"/>
        <v/>
      </c>
      <c r="M4068" s="66" t="str">
        <f t="shared" si="444"/>
        <v/>
      </c>
      <c r="N4068" s="66" t="str">
        <f t="shared" si="445"/>
        <v/>
      </c>
      <c r="O4068" s="66" t="str">
        <f t="shared" si="446"/>
        <v/>
      </c>
      <c r="P4068" s="66" t="str">
        <f t="shared" si="447"/>
        <v/>
      </c>
    </row>
    <row r="4069" spans="8:16">
      <c r="H4069" s="66" t="e">
        <f>IF(LEFT(A4069,6)="CEPNTR","GPINS",VLOOKUP(LEFT(A4069,6),'Code Library'!$A$3:$B$920,2,0))&amp;"_"&amp;RIGHT(A4069,3)</f>
        <v>#N/A</v>
      </c>
      <c r="I4069" s="66">
        <f t="shared" si="441"/>
        <v>0</v>
      </c>
      <c r="K4069" s="66" t="str">
        <f t="shared" si="442"/>
        <v/>
      </c>
      <c r="L4069" s="66" t="str">
        <f t="shared" si="443"/>
        <v/>
      </c>
      <c r="M4069" s="66" t="str">
        <f t="shared" si="444"/>
        <v/>
      </c>
      <c r="N4069" s="66" t="str">
        <f t="shared" si="445"/>
        <v/>
      </c>
      <c r="O4069" s="66" t="str">
        <f t="shared" si="446"/>
        <v/>
      </c>
      <c r="P4069" s="66" t="str">
        <f t="shared" si="447"/>
        <v/>
      </c>
    </row>
    <row r="4070" spans="8:16">
      <c r="H4070" s="66" t="e">
        <f>IF(LEFT(A4070,6)="CEPNTR","GPINS",VLOOKUP(LEFT(A4070,6),'Code Library'!$A$3:$B$920,2,0))&amp;"_"&amp;RIGHT(A4070,3)</f>
        <v>#N/A</v>
      </c>
      <c r="I4070" s="66">
        <f t="shared" si="441"/>
        <v>0</v>
      </c>
      <c r="K4070" s="66" t="str">
        <f t="shared" si="442"/>
        <v/>
      </c>
      <c r="L4070" s="66" t="str">
        <f t="shared" si="443"/>
        <v/>
      </c>
      <c r="M4070" s="66" t="str">
        <f t="shared" si="444"/>
        <v/>
      </c>
      <c r="N4070" s="66" t="str">
        <f t="shared" si="445"/>
        <v/>
      </c>
      <c r="O4070" s="66" t="str">
        <f t="shared" si="446"/>
        <v/>
      </c>
      <c r="P4070" s="66" t="str">
        <f t="shared" si="447"/>
        <v/>
      </c>
    </row>
    <row r="4071" spans="8:16">
      <c r="H4071" s="66" t="e">
        <f>IF(LEFT(A4071,6)="CEPNTR","GPINS",VLOOKUP(LEFT(A4071,6),'Code Library'!$A$3:$B$920,2,0))&amp;"_"&amp;RIGHT(A4071,3)</f>
        <v>#N/A</v>
      </c>
      <c r="I4071" s="66">
        <f t="shared" si="441"/>
        <v>0</v>
      </c>
      <c r="K4071" s="66" t="str">
        <f t="shared" si="442"/>
        <v/>
      </c>
      <c r="L4071" s="66" t="str">
        <f t="shared" si="443"/>
        <v/>
      </c>
      <c r="M4071" s="66" t="str">
        <f t="shared" si="444"/>
        <v/>
      </c>
      <c r="N4071" s="66" t="str">
        <f t="shared" si="445"/>
        <v/>
      </c>
      <c r="O4071" s="66" t="str">
        <f t="shared" si="446"/>
        <v/>
      </c>
      <c r="P4071" s="66" t="str">
        <f t="shared" si="447"/>
        <v/>
      </c>
    </row>
    <row r="4072" spans="8:16">
      <c r="H4072" s="66" t="e">
        <f>IF(LEFT(A4072,6)="CEPNTR","GPINS",VLOOKUP(LEFT(A4072,6),'Code Library'!$A$3:$B$920,2,0))&amp;"_"&amp;RIGHT(A4072,3)</f>
        <v>#N/A</v>
      </c>
      <c r="I4072" s="66">
        <f t="shared" si="441"/>
        <v>0</v>
      </c>
      <c r="K4072" s="66" t="str">
        <f t="shared" si="442"/>
        <v/>
      </c>
      <c r="L4072" s="66" t="str">
        <f t="shared" si="443"/>
        <v/>
      </c>
      <c r="M4072" s="66" t="str">
        <f t="shared" si="444"/>
        <v/>
      </c>
      <c r="N4072" s="66" t="str">
        <f t="shared" si="445"/>
        <v/>
      </c>
      <c r="O4072" s="66" t="str">
        <f t="shared" si="446"/>
        <v/>
      </c>
      <c r="P4072" s="66" t="str">
        <f t="shared" si="447"/>
        <v/>
      </c>
    </row>
    <row r="4073" spans="8:16">
      <c r="H4073" s="66" t="e">
        <f>IF(LEFT(A4073,6)="CEPNTR","GPINS",VLOOKUP(LEFT(A4073,6),'Code Library'!$A$3:$B$920,2,0))&amp;"_"&amp;RIGHT(A4073,3)</f>
        <v>#N/A</v>
      </c>
      <c r="I4073" s="66">
        <f t="shared" si="441"/>
        <v>0</v>
      </c>
      <c r="K4073" s="66" t="str">
        <f t="shared" si="442"/>
        <v/>
      </c>
      <c r="L4073" s="66" t="str">
        <f t="shared" si="443"/>
        <v/>
      </c>
      <c r="M4073" s="66" t="str">
        <f t="shared" si="444"/>
        <v/>
      </c>
      <c r="N4073" s="66" t="str">
        <f t="shared" si="445"/>
        <v/>
      </c>
      <c r="O4073" s="66" t="str">
        <f t="shared" si="446"/>
        <v/>
      </c>
      <c r="P4073" s="66" t="str">
        <f t="shared" si="447"/>
        <v/>
      </c>
    </row>
    <row r="4074" spans="8:16">
      <c r="H4074" s="66" t="e">
        <f>IF(LEFT(A4074,6)="CEPNTR","GPINS",VLOOKUP(LEFT(A4074,6),'Code Library'!$A$3:$B$920,2,0))&amp;"_"&amp;RIGHT(A4074,3)</f>
        <v>#N/A</v>
      </c>
      <c r="I4074" s="66">
        <f t="shared" si="441"/>
        <v>0</v>
      </c>
      <c r="K4074" s="66" t="str">
        <f t="shared" si="442"/>
        <v/>
      </c>
      <c r="L4074" s="66" t="str">
        <f t="shared" si="443"/>
        <v/>
      </c>
      <c r="M4074" s="66" t="str">
        <f t="shared" si="444"/>
        <v/>
      </c>
      <c r="N4074" s="66" t="str">
        <f t="shared" si="445"/>
        <v/>
      </c>
      <c r="O4074" s="66" t="str">
        <f t="shared" si="446"/>
        <v/>
      </c>
      <c r="P4074" s="66" t="str">
        <f t="shared" si="447"/>
        <v/>
      </c>
    </row>
    <row r="4075" spans="8:16">
      <c r="H4075" s="66" t="e">
        <f>IF(LEFT(A4075,6)="CEPNTR","GPINS",VLOOKUP(LEFT(A4075,6),'Code Library'!$A$3:$B$920,2,0))&amp;"_"&amp;RIGHT(A4075,3)</f>
        <v>#N/A</v>
      </c>
      <c r="I4075" s="66">
        <f t="shared" si="441"/>
        <v>0</v>
      </c>
      <c r="K4075" s="66" t="str">
        <f t="shared" si="442"/>
        <v/>
      </c>
      <c r="L4075" s="66" t="str">
        <f t="shared" si="443"/>
        <v/>
      </c>
      <c r="M4075" s="66" t="str">
        <f t="shared" si="444"/>
        <v/>
      </c>
      <c r="N4075" s="66" t="str">
        <f t="shared" si="445"/>
        <v/>
      </c>
      <c r="O4075" s="66" t="str">
        <f t="shared" si="446"/>
        <v/>
      </c>
      <c r="P4075" s="66" t="str">
        <f t="shared" si="447"/>
        <v/>
      </c>
    </row>
    <row r="4076" spans="8:16">
      <c r="H4076" s="66" t="e">
        <f>IF(LEFT(A4076,6)="CEPNTR","GPINS",VLOOKUP(LEFT(A4076,6),'Code Library'!$A$3:$B$920,2,0))&amp;"_"&amp;RIGHT(A4076,3)</f>
        <v>#N/A</v>
      </c>
      <c r="I4076" s="66">
        <f t="shared" si="441"/>
        <v>0</v>
      </c>
      <c r="K4076" s="66" t="str">
        <f t="shared" si="442"/>
        <v/>
      </c>
      <c r="L4076" s="66" t="str">
        <f t="shared" si="443"/>
        <v/>
      </c>
      <c r="M4076" s="66" t="str">
        <f t="shared" si="444"/>
        <v/>
      </c>
      <c r="N4076" s="66" t="str">
        <f t="shared" si="445"/>
        <v/>
      </c>
      <c r="O4076" s="66" t="str">
        <f t="shared" si="446"/>
        <v/>
      </c>
      <c r="P4076" s="66" t="str">
        <f t="shared" si="447"/>
        <v/>
      </c>
    </row>
    <row r="4077" spans="8:16">
      <c r="H4077" s="66" t="e">
        <f>IF(LEFT(A4077,6)="CEPNTR","GPINS",VLOOKUP(LEFT(A4077,6),'Code Library'!$A$3:$B$920,2,0))&amp;"_"&amp;RIGHT(A4077,3)</f>
        <v>#N/A</v>
      </c>
      <c r="I4077" s="66">
        <f t="shared" si="441"/>
        <v>0</v>
      </c>
      <c r="K4077" s="66" t="str">
        <f t="shared" si="442"/>
        <v/>
      </c>
      <c r="L4077" s="66" t="str">
        <f t="shared" si="443"/>
        <v/>
      </c>
      <c r="M4077" s="66" t="str">
        <f t="shared" si="444"/>
        <v/>
      </c>
      <c r="N4077" s="66" t="str">
        <f t="shared" si="445"/>
        <v/>
      </c>
      <c r="O4077" s="66" t="str">
        <f t="shared" si="446"/>
        <v/>
      </c>
      <c r="P4077" s="66" t="str">
        <f t="shared" si="447"/>
        <v/>
      </c>
    </row>
    <row r="4078" spans="8:16">
      <c r="H4078" s="66" t="e">
        <f>IF(LEFT(A4078,6)="CEPNTR","GPINS",VLOOKUP(LEFT(A4078,6),'Code Library'!$A$3:$B$920,2,0))&amp;"_"&amp;RIGHT(A4078,3)</f>
        <v>#N/A</v>
      </c>
      <c r="I4078" s="66">
        <f t="shared" si="441"/>
        <v>0</v>
      </c>
      <c r="K4078" s="66" t="str">
        <f t="shared" si="442"/>
        <v/>
      </c>
      <c r="L4078" s="66" t="str">
        <f t="shared" si="443"/>
        <v/>
      </c>
      <c r="M4078" s="66" t="str">
        <f t="shared" si="444"/>
        <v/>
      </c>
      <c r="N4078" s="66" t="str">
        <f t="shared" si="445"/>
        <v/>
      </c>
      <c r="O4078" s="66" t="str">
        <f t="shared" si="446"/>
        <v/>
      </c>
      <c r="P4078" s="66" t="str">
        <f t="shared" si="447"/>
        <v/>
      </c>
    </row>
    <row r="4079" spans="8:16">
      <c r="H4079" s="66" t="e">
        <f>IF(LEFT(A4079,6)="CEPNTR","GPINS",VLOOKUP(LEFT(A4079,6),'Code Library'!$A$3:$B$920,2,0))&amp;"_"&amp;RIGHT(A4079,3)</f>
        <v>#N/A</v>
      </c>
      <c r="I4079" s="66">
        <f t="shared" si="441"/>
        <v>0</v>
      </c>
      <c r="K4079" s="66" t="str">
        <f t="shared" si="442"/>
        <v/>
      </c>
      <c r="L4079" s="66" t="str">
        <f t="shared" si="443"/>
        <v/>
      </c>
      <c r="M4079" s="66" t="str">
        <f t="shared" si="444"/>
        <v/>
      </c>
      <c r="N4079" s="66" t="str">
        <f t="shared" si="445"/>
        <v/>
      </c>
      <c r="O4079" s="66" t="str">
        <f t="shared" si="446"/>
        <v/>
      </c>
      <c r="P4079" s="66" t="str">
        <f t="shared" si="447"/>
        <v/>
      </c>
    </row>
    <row r="4080" spans="8:16">
      <c r="H4080" s="66" t="e">
        <f>IF(LEFT(A4080,6)="CEPNTR","GPINS",VLOOKUP(LEFT(A4080,6),'Code Library'!$A$3:$B$920,2,0))&amp;"_"&amp;RIGHT(A4080,3)</f>
        <v>#N/A</v>
      </c>
      <c r="I4080" s="66">
        <f t="shared" si="441"/>
        <v>0</v>
      </c>
      <c r="K4080" s="66" t="str">
        <f t="shared" si="442"/>
        <v/>
      </c>
      <c r="L4080" s="66" t="str">
        <f t="shared" si="443"/>
        <v/>
      </c>
      <c r="M4080" s="66" t="str">
        <f t="shared" si="444"/>
        <v/>
      </c>
      <c r="N4080" s="66" t="str">
        <f t="shared" si="445"/>
        <v/>
      </c>
      <c r="O4080" s="66" t="str">
        <f t="shared" si="446"/>
        <v/>
      </c>
      <c r="P4080" s="66" t="str">
        <f t="shared" si="447"/>
        <v/>
      </c>
    </row>
    <row r="4081" spans="8:16">
      <c r="H4081" s="66" t="e">
        <f>IF(LEFT(A4081,6)="CEPNTR","GPINS",VLOOKUP(LEFT(A4081,6),'Code Library'!$A$3:$B$920,2,0))&amp;"_"&amp;RIGHT(A4081,3)</f>
        <v>#N/A</v>
      </c>
      <c r="I4081" s="66">
        <f t="shared" si="441"/>
        <v>0</v>
      </c>
      <c r="K4081" s="66" t="str">
        <f t="shared" si="442"/>
        <v/>
      </c>
      <c r="L4081" s="66" t="str">
        <f t="shared" si="443"/>
        <v/>
      </c>
      <c r="M4081" s="66" t="str">
        <f t="shared" si="444"/>
        <v/>
      </c>
      <c r="N4081" s="66" t="str">
        <f t="shared" si="445"/>
        <v/>
      </c>
      <c r="O4081" s="66" t="str">
        <f t="shared" si="446"/>
        <v/>
      </c>
      <c r="P4081" s="66" t="str">
        <f t="shared" si="447"/>
        <v/>
      </c>
    </row>
    <row r="4082" spans="8:16">
      <c r="H4082" s="66" t="e">
        <f>IF(LEFT(A4082,6)="CEPNTR","GPINS",VLOOKUP(LEFT(A4082,6),'Code Library'!$A$3:$B$920,2,0))&amp;"_"&amp;RIGHT(A4082,3)</f>
        <v>#N/A</v>
      </c>
      <c r="I4082" s="66">
        <f t="shared" si="441"/>
        <v>0</v>
      </c>
      <c r="K4082" s="66" t="str">
        <f t="shared" si="442"/>
        <v/>
      </c>
      <c r="L4082" s="66" t="str">
        <f t="shared" si="443"/>
        <v/>
      </c>
      <c r="M4082" s="66" t="str">
        <f t="shared" si="444"/>
        <v/>
      </c>
      <c r="N4082" s="66" t="str">
        <f t="shared" si="445"/>
        <v/>
      </c>
      <c r="O4082" s="66" t="str">
        <f t="shared" si="446"/>
        <v/>
      </c>
      <c r="P4082" s="66" t="str">
        <f t="shared" si="447"/>
        <v/>
      </c>
    </row>
    <row r="4083" spans="8:16">
      <c r="H4083" s="66" t="e">
        <f>IF(LEFT(A4083,6)="CEPNTR","GPINS",VLOOKUP(LEFT(A4083,6),'Code Library'!$A$3:$B$920,2,0))&amp;"_"&amp;RIGHT(A4083,3)</f>
        <v>#N/A</v>
      </c>
      <c r="I4083" s="66">
        <f t="shared" si="441"/>
        <v>0</v>
      </c>
      <c r="K4083" s="66" t="str">
        <f t="shared" si="442"/>
        <v/>
      </c>
      <c r="L4083" s="66" t="str">
        <f t="shared" si="443"/>
        <v/>
      </c>
      <c r="M4083" s="66" t="str">
        <f t="shared" si="444"/>
        <v/>
      </c>
      <c r="N4083" s="66" t="str">
        <f t="shared" si="445"/>
        <v/>
      </c>
      <c r="O4083" s="66" t="str">
        <f t="shared" si="446"/>
        <v/>
      </c>
      <c r="P4083" s="66" t="str">
        <f t="shared" si="447"/>
        <v/>
      </c>
    </row>
    <row r="4084" spans="8:16">
      <c r="H4084" s="66" t="e">
        <f>IF(LEFT(A4084,6)="CEPNTR","GPINS",VLOOKUP(LEFT(A4084,6),'Code Library'!$A$3:$B$920,2,0))&amp;"_"&amp;RIGHT(A4084,3)</f>
        <v>#N/A</v>
      </c>
      <c r="I4084" s="66">
        <f t="shared" si="441"/>
        <v>0</v>
      </c>
      <c r="K4084" s="66" t="str">
        <f t="shared" si="442"/>
        <v/>
      </c>
      <c r="L4084" s="66" t="str">
        <f t="shared" si="443"/>
        <v/>
      </c>
      <c r="M4084" s="66" t="str">
        <f t="shared" si="444"/>
        <v/>
      </c>
      <c r="N4084" s="66" t="str">
        <f t="shared" si="445"/>
        <v/>
      </c>
      <c r="O4084" s="66" t="str">
        <f t="shared" si="446"/>
        <v/>
      </c>
      <c r="P4084" s="66" t="str">
        <f t="shared" si="447"/>
        <v/>
      </c>
    </row>
    <row r="4085" spans="8:16">
      <c r="H4085" s="66" t="e">
        <f>IF(LEFT(A4085,6)="CEPNTR","GPINS",VLOOKUP(LEFT(A4085,6),'Code Library'!$A$3:$B$920,2,0))&amp;"_"&amp;RIGHT(A4085,3)</f>
        <v>#N/A</v>
      </c>
      <c r="I4085" s="66">
        <f t="shared" si="441"/>
        <v>0</v>
      </c>
      <c r="K4085" s="66" t="str">
        <f t="shared" si="442"/>
        <v/>
      </c>
      <c r="L4085" s="66" t="str">
        <f t="shared" si="443"/>
        <v/>
      </c>
      <c r="M4085" s="66" t="str">
        <f t="shared" si="444"/>
        <v/>
      </c>
      <c r="N4085" s="66" t="str">
        <f t="shared" si="445"/>
        <v/>
      </c>
      <c r="O4085" s="66" t="str">
        <f t="shared" si="446"/>
        <v/>
      </c>
      <c r="P4085" s="66" t="str">
        <f t="shared" si="447"/>
        <v/>
      </c>
    </row>
    <row r="4086" spans="8:16">
      <c r="H4086" s="66" t="e">
        <f>IF(LEFT(A4086,6)="CEPNTR","GPINS",VLOOKUP(LEFT(A4086,6),'Code Library'!$A$3:$B$920,2,0))&amp;"_"&amp;RIGHT(A4086,3)</f>
        <v>#N/A</v>
      </c>
      <c r="I4086" s="66">
        <f t="shared" si="441"/>
        <v>0</v>
      </c>
      <c r="K4086" s="66" t="str">
        <f t="shared" si="442"/>
        <v/>
      </c>
      <c r="L4086" s="66" t="str">
        <f t="shared" si="443"/>
        <v/>
      </c>
      <c r="M4086" s="66" t="str">
        <f t="shared" si="444"/>
        <v/>
      </c>
      <c r="N4086" s="66" t="str">
        <f t="shared" si="445"/>
        <v/>
      </c>
      <c r="O4086" s="66" t="str">
        <f t="shared" si="446"/>
        <v/>
      </c>
      <c r="P4086" s="66" t="str">
        <f t="shared" si="447"/>
        <v/>
      </c>
    </row>
    <row r="4087" spans="8:16">
      <c r="H4087" s="66" t="e">
        <f>IF(LEFT(A4087,6)="CEPNTR","GPINS",VLOOKUP(LEFT(A4087,6),'Code Library'!$A$3:$B$920,2,0))&amp;"_"&amp;RIGHT(A4087,3)</f>
        <v>#N/A</v>
      </c>
      <c r="I4087" s="66">
        <f t="shared" si="441"/>
        <v>0</v>
      </c>
      <c r="K4087" s="66" t="str">
        <f t="shared" si="442"/>
        <v/>
      </c>
      <c r="L4087" s="66" t="str">
        <f t="shared" si="443"/>
        <v/>
      </c>
      <c r="M4087" s="66" t="str">
        <f t="shared" si="444"/>
        <v/>
      </c>
      <c r="N4087" s="66" t="str">
        <f t="shared" si="445"/>
        <v/>
      </c>
      <c r="O4087" s="66" t="str">
        <f t="shared" si="446"/>
        <v/>
      </c>
      <c r="P4087" s="66" t="str">
        <f t="shared" si="447"/>
        <v/>
      </c>
    </row>
    <row r="4088" spans="8:16">
      <c r="H4088" s="66" t="e">
        <f>IF(LEFT(A4088,6)="CEPNTR","GPINS",VLOOKUP(LEFT(A4088,6),'Code Library'!$A$3:$B$920,2,0))&amp;"_"&amp;RIGHT(A4088,3)</f>
        <v>#N/A</v>
      </c>
      <c r="I4088" s="66">
        <f t="shared" si="441"/>
        <v>0</v>
      </c>
      <c r="K4088" s="66" t="str">
        <f t="shared" si="442"/>
        <v/>
      </c>
      <c r="L4088" s="66" t="str">
        <f t="shared" si="443"/>
        <v/>
      </c>
      <c r="M4088" s="66" t="str">
        <f t="shared" si="444"/>
        <v/>
      </c>
      <c r="N4088" s="66" t="str">
        <f t="shared" si="445"/>
        <v/>
      </c>
      <c r="O4088" s="66" t="str">
        <f t="shared" si="446"/>
        <v/>
      </c>
      <c r="P4088" s="66" t="str">
        <f t="shared" si="447"/>
        <v/>
      </c>
    </row>
    <row r="4089" spans="8:16">
      <c r="H4089" s="66" t="e">
        <f>IF(LEFT(A4089,6)="CEPNTR","GPINS",VLOOKUP(LEFT(A4089,6),'Code Library'!$A$3:$B$920,2,0))&amp;"_"&amp;RIGHT(A4089,3)</f>
        <v>#N/A</v>
      </c>
      <c r="I4089" s="66">
        <f t="shared" si="441"/>
        <v>0</v>
      </c>
      <c r="K4089" s="66" t="str">
        <f t="shared" si="442"/>
        <v/>
      </c>
      <c r="L4089" s="66" t="str">
        <f t="shared" si="443"/>
        <v/>
      </c>
      <c r="M4089" s="66" t="str">
        <f t="shared" si="444"/>
        <v/>
      </c>
      <c r="N4089" s="66" t="str">
        <f t="shared" si="445"/>
        <v/>
      </c>
      <c r="O4089" s="66" t="str">
        <f t="shared" si="446"/>
        <v/>
      </c>
      <c r="P4089" s="66" t="str">
        <f t="shared" si="447"/>
        <v/>
      </c>
    </row>
    <row r="4090" spans="8:16">
      <c r="H4090" s="66" t="e">
        <f>IF(LEFT(A4090,6)="CEPNTR","GPINS",VLOOKUP(LEFT(A4090,6),'Code Library'!$A$3:$B$920,2,0))&amp;"_"&amp;RIGHT(A4090,3)</f>
        <v>#N/A</v>
      </c>
      <c r="I4090" s="66">
        <f t="shared" si="441"/>
        <v>0</v>
      </c>
      <c r="K4090" s="66" t="str">
        <f t="shared" si="442"/>
        <v/>
      </c>
      <c r="L4090" s="66" t="str">
        <f t="shared" si="443"/>
        <v/>
      </c>
      <c r="M4090" s="66" t="str">
        <f t="shared" si="444"/>
        <v/>
      </c>
      <c r="N4090" s="66" t="str">
        <f t="shared" si="445"/>
        <v/>
      </c>
      <c r="O4090" s="66" t="str">
        <f t="shared" si="446"/>
        <v/>
      </c>
      <c r="P4090" s="66" t="str">
        <f t="shared" si="447"/>
        <v/>
      </c>
    </row>
    <row r="4091" spans="8:16">
      <c r="H4091" s="66" t="e">
        <f>IF(LEFT(A4091,6)="CEPNTR","GPINS",VLOOKUP(LEFT(A4091,6),'Code Library'!$A$3:$B$920,2,0))&amp;"_"&amp;RIGHT(A4091,3)</f>
        <v>#N/A</v>
      </c>
      <c r="I4091" s="66">
        <f t="shared" si="441"/>
        <v>0</v>
      </c>
      <c r="K4091" s="66" t="str">
        <f t="shared" si="442"/>
        <v/>
      </c>
      <c r="L4091" s="66" t="str">
        <f t="shared" si="443"/>
        <v/>
      </c>
      <c r="M4091" s="66" t="str">
        <f t="shared" si="444"/>
        <v/>
      </c>
      <c r="N4091" s="66" t="str">
        <f t="shared" si="445"/>
        <v/>
      </c>
      <c r="O4091" s="66" t="str">
        <f t="shared" si="446"/>
        <v/>
      </c>
      <c r="P4091" s="66" t="str">
        <f t="shared" si="447"/>
        <v/>
      </c>
    </row>
    <row r="4092" spans="8:16">
      <c r="H4092" s="66" t="e">
        <f>IF(LEFT(A4092,6)="CEPNTR","GPINS",VLOOKUP(LEFT(A4092,6),'Code Library'!$A$3:$B$920,2,0))&amp;"_"&amp;RIGHT(A4092,3)</f>
        <v>#N/A</v>
      </c>
      <c r="I4092" s="66">
        <f t="shared" si="441"/>
        <v>0</v>
      </c>
      <c r="K4092" s="66" t="str">
        <f t="shared" si="442"/>
        <v/>
      </c>
      <c r="L4092" s="66" t="str">
        <f t="shared" si="443"/>
        <v/>
      </c>
      <c r="M4092" s="66" t="str">
        <f t="shared" si="444"/>
        <v/>
      </c>
      <c r="N4092" s="66" t="str">
        <f t="shared" si="445"/>
        <v/>
      </c>
      <c r="O4092" s="66" t="str">
        <f t="shared" si="446"/>
        <v/>
      </c>
      <c r="P4092" s="66" t="str">
        <f t="shared" si="447"/>
        <v/>
      </c>
    </row>
    <row r="4093" spans="8:16">
      <c r="H4093" s="66" t="e">
        <f>IF(LEFT(A4093,6)="CEPNTR","GPINS",VLOOKUP(LEFT(A4093,6),'Code Library'!$A$3:$B$920,2,0))&amp;"_"&amp;RIGHT(A4093,3)</f>
        <v>#N/A</v>
      </c>
      <c r="I4093" s="66">
        <f t="shared" si="441"/>
        <v>0</v>
      </c>
      <c r="K4093" s="66" t="str">
        <f t="shared" si="442"/>
        <v/>
      </c>
      <c r="L4093" s="66" t="str">
        <f t="shared" si="443"/>
        <v/>
      </c>
      <c r="M4093" s="66" t="str">
        <f t="shared" si="444"/>
        <v/>
      </c>
      <c r="N4093" s="66" t="str">
        <f t="shared" si="445"/>
        <v/>
      </c>
      <c r="O4093" s="66" t="str">
        <f t="shared" si="446"/>
        <v/>
      </c>
      <c r="P4093" s="66" t="str">
        <f t="shared" si="447"/>
        <v/>
      </c>
    </row>
    <row r="4094" spans="8:16">
      <c r="H4094" s="66" t="e">
        <f>IF(LEFT(A4094,6)="CEPNTR","GPINS",VLOOKUP(LEFT(A4094,6),'Code Library'!$A$3:$B$920,2,0))&amp;"_"&amp;RIGHT(A4094,3)</f>
        <v>#N/A</v>
      </c>
      <c r="I4094" s="66">
        <f t="shared" si="441"/>
        <v>0</v>
      </c>
      <c r="K4094" s="66" t="str">
        <f t="shared" si="442"/>
        <v/>
      </c>
      <c r="L4094" s="66" t="str">
        <f t="shared" si="443"/>
        <v/>
      </c>
      <c r="M4094" s="66" t="str">
        <f t="shared" si="444"/>
        <v/>
      </c>
      <c r="N4094" s="66" t="str">
        <f t="shared" si="445"/>
        <v/>
      </c>
      <c r="O4094" s="66" t="str">
        <f t="shared" si="446"/>
        <v/>
      </c>
      <c r="P4094" s="66" t="str">
        <f t="shared" si="447"/>
        <v/>
      </c>
    </row>
    <row r="4095" spans="8:16">
      <c r="H4095" s="66" t="e">
        <f>IF(LEFT(A4095,6)="CEPNTR","GPINS",VLOOKUP(LEFT(A4095,6),'Code Library'!$A$3:$B$920,2,0))&amp;"_"&amp;RIGHT(A4095,3)</f>
        <v>#N/A</v>
      </c>
      <c r="I4095" s="66">
        <f t="shared" si="441"/>
        <v>0</v>
      </c>
      <c r="K4095" s="66" t="str">
        <f t="shared" si="442"/>
        <v/>
      </c>
      <c r="L4095" s="66" t="str">
        <f t="shared" si="443"/>
        <v/>
      </c>
      <c r="M4095" s="66" t="str">
        <f t="shared" si="444"/>
        <v/>
      </c>
      <c r="N4095" s="66" t="str">
        <f t="shared" si="445"/>
        <v/>
      </c>
      <c r="O4095" s="66" t="str">
        <f t="shared" si="446"/>
        <v/>
      </c>
      <c r="P4095" s="66" t="str">
        <f t="shared" si="447"/>
        <v/>
      </c>
    </row>
    <row r="4096" spans="8:16">
      <c r="H4096" s="66" t="e">
        <f>IF(LEFT(A4096,6)="CEPNTR","GPINS",VLOOKUP(LEFT(A4096,6),'Code Library'!$A$3:$B$920,2,0))&amp;"_"&amp;RIGHT(A4096,3)</f>
        <v>#N/A</v>
      </c>
      <c r="I4096" s="66">
        <f t="shared" si="441"/>
        <v>0</v>
      </c>
      <c r="K4096" s="66" t="str">
        <f t="shared" si="442"/>
        <v/>
      </c>
      <c r="L4096" s="66" t="str">
        <f t="shared" si="443"/>
        <v/>
      </c>
      <c r="M4096" s="66" t="str">
        <f t="shared" si="444"/>
        <v/>
      </c>
      <c r="N4096" s="66" t="str">
        <f t="shared" si="445"/>
        <v/>
      </c>
      <c r="O4096" s="66" t="str">
        <f t="shared" si="446"/>
        <v/>
      </c>
      <c r="P4096" s="66" t="str">
        <f t="shared" si="447"/>
        <v/>
      </c>
    </row>
    <row r="4097" spans="8:16">
      <c r="H4097" s="66" t="e">
        <f>IF(LEFT(A4097,6)="CEPNTR","GPINS",VLOOKUP(LEFT(A4097,6),'Code Library'!$A$3:$B$920,2,0))&amp;"_"&amp;RIGHT(A4097,3)</f>
        <v>#N/A</v>
      </c>
      <c r="I4097" s="66">
        <f t="shared" si="441"/>
        <v>0</v>
      </c>
      <c r="K4097" s="66" t="str">
        <f t="shared" si="442"/>
        <v/>
      </c>
      <c r="L4097" s="66" t="str">
        <f t="shared" si="443"/>
        <v/>
      </c>
      <c r="M4097" s="66" t="str">
        <f t="shared" si="444"/>
        <v/>
      </c>
      <c r="N4097" s="66" t="str">
        <f t="shared" si="445"/>
        <v/>
      </c>
      <c r="O4097" s="66" t="str">
        <f t="shared" si="446"/>
        <v/>
      </c>
      <c r="P4097" s="66" t="str">
        <f t="shared" si="447"/>
        <v/>
      </c>
    </row>
    <row r="4098" spans="8:16">
      <c r="H4098" s="66" t="e">
        <f>IF(LEFT(A4098,6)="CEPNTR","GPINS",VLOOKUP(LEFT(A4098,6),'Code Library'!$A$3:$B$920,2,0))&amp;"_"&amp;RIGHT(A4098,3)</f>
        <v>#N/A</v>
      </c>
      <c r="I4098" s="66">
        <f t="shared" si="441"/>
        <v>0</v>
      </c>
      <c r="K4098" s="66" t="str">
        <f t="shared" si="442"/>
        <v/>
      </c>
      <c r="L4098" s="66" t="str">
        <f t="shared" si="443"/>
        <v/>
      </c>
      <c r="M4098" s="66" t="str">
        <f t="shared" si="444"/>
        <v/>
      </c>
      <c r="N4098" s="66" t="str">
        <f t="shared" si="445"/>
        <v/>
      </c>
      <c r="O4098" s="66" t="str">
        <f t="shared" si="446"/>
        <v/>
      </c>
      <c r="P4098" s="66" t="str">
        <f t="shared" si="447"/>
        <v/>
      </c>
    </row>
    <row r="4099" spans="8:16">
      <c r="H4099" s="66" t="e">
        <f>IF(LEFT(A4099,6)="CEPNTR","GPINS",VLOOKUP(LEFT(A4099,6),'Code Library'!$A$3:$B$920,2,0))&amp;"_"&amp;RIGHT(A4099,3)</f>
        <v>#N/A</v>
      </c>
      <c r="I4099" s="66">
        <f t="shared" ref="I4099:I4162" si="448">A4099</f>
        <v>0</v>
      </c>
      <c r="K4099" s="66" t="str">
        <f t="shared" ref="K4099:K4162" si="449">RIGHT($B4099,2)</f>
        <v/>
      </c>
      <c r="L4099" s="66" t="str">
        <f t="shared" ref="L4099:L4162" si="450">LEFT(RIGHT($B4099,7),4)</f>
        <v/>
      </c>
      <c r="M4099" s="66" t="str">
        <f t="shared" ref="M4099:M4162" si="451">LEFT(RIGHT($B4099,10),2)</f>
        <v/>
      </c>
      <c r="N4099" s="66" t="str">
        <f t="shared" ref="N4099:N4162" si="452">LEFT(RIGHT($B4099,14),3)</f>
        <v/>
      </c>
      <c r="O4099" s="66" t="str">
        <f t="shared" ref="O4099:O4162" si="453">LEFT(RIGHT($B4099,16),1)</f>
        <v/>
      </c>
      <c r="P4099" s="66" t="str">
        <f t="shared" ref="P4099:P4162" si="454">LEFT(RIGHT($B4099,19),2)</f>
        <v/>
      </c>
    </row>
    <row r="4100" spans="8:16">
      <c r="H4100" s="66" t="e">
        <f>IF(LEFT(A4100,6)="CEPNTR","GPINS",VLOOKUP(LEFT(A4100,6),'Code Library'!$A$3:$B$920,2,0))&amp;"_"&amp;RIGHT(A4100,3)</f>
        <v>#N/A</v>
      </c>
      <c r="I4100" s="66">
        <f t="shared" si="448"/>
        <v>0</v>
      </c>
      <c r="K4100" s="66" t="str">
        <f t="shared" si="449"/>
        <v/>
      </c>
      <c r="L4100" s="66" t="str">
        <f t="shared" si="450"/>
        <v/>
      </c>
      <c r="M4100" s="66" t="str">
        <f t="shared" si="451"/>
        <v/>
      </c>
      <c r="N4100" s="66" t="str">
        <f t="shared" si="452"/>
        <v/>
      </c>
      <c r="O4100" s="66" t="str">
        <f t="shared" si="453"/>
        <v/>
      </c>
      <c r="P4100" s="66" t="str">
        <f t="shared" si="454"/>
        <v/>
      </c>
    </row>
    <row r="4101" spans="8:16">
      <c r="H4101" s="66" t="e">
        <f>IF(LEFT(A4101,6)="CEPNTR","GPINS",VLOOKUP(LEFT(A4101,6),'Code Library'!$A$3:$B$920,2,0))&amp;"_"&amp;RIGHT(A4101,3)</f>
        <v>#N/A</v>
      </c>
      <c r="I4101" s="66">
        <f t="shared" si="448"/>
        <v>0</v>
      </c>
      <c r="K4101" s="66" t="str">
        <f t="shared" si="449"/>
        <v/>
      </c>
      <c r="L4101" s="66" t="str">
        <f t="shared" si="450"/>
        <v/>
      </c>
      <c r="M4101" s="66" t="str">
        <f t="shared" si="451"/>
        <v/>
      </c>
      <c r="N4101" s="66" t="str">
        <f t="shared" si="452"/>
        <v/>
      </c>
      <c r="O4101" s="66" t="str">
        <f t="shared" si="453"/>
        <v/>
      </c>
      <c r="P4101" s="66" t="str">
        <f t="shared" si="454"/>
        <v/>
      </c>
    </row>
    <row r="4102" spans="8:16">
      <c r="H4102" s="66" t="e">
        <f>IF(LEFT(A4102,6)="CEPNTR","GPINS",VLOOKUP(LEFT(A4102,6),'Code Library'!$A$3:$B$920,2,0))&amp;"_"&amp;RIGHT(A4102,3)</f>
        <v>#N/A</v>
      </c>
      <c r="I4102" s="66">
        <f t="shared" si="448"/>
        <v>0</v>
      </c>
      <c r="K4102" s="66" t="str">
        <f t="shared" si="449"/>
        <v/>
      </c>
      <c r="L4102" s="66" t="str">
        <f t="shared" si="450"/>
        <v/>
      </c>
      <c r="M4102" s="66" t="str">
        <f t="shared" si="451"/>
        <v/>
      </c>
      <c r="N4102" s="66" t="str">
        <f t="shared" si="452"/>
        <v/>
      </c>
      <c r="O4102" s="66" t="str">
        <f t="shared" si="453"/>
        <v/>
      </c>
      <c r="P4102" s="66" t="str">
        <f t="shared" si="454"/>
        <v/>
      </c>
    </row>
    <row r="4103" spans="8:16">
      <c r="H4103" s="66" t="e">
        <f>IF(LEFT(A4103,6)="CEPNTR","GPINS",VLOOKUP(LEFT(A4103,6),'Code Library'!$A$3:$B$920,2,0))&amp;"_"&amp;RIGHT(A4103,3)</f>
        <v>#N/A</v>
      </c>
      <c r="I4103" s="66">
        <f t="shared" si="448"/>
        <v>0</v>
      </c>
      <c r="K4103" s="66" t="str">
        <f t="shared" si="449"/>
        <v/>
      </c>
      <c r="L4103" s="66" t="str">
        <f t="shared" si="450"/>
        <v/>
      </c>
      <c r="M4103" s="66" t="str">
        <f t="shared" si="451"/>
        <v/>
      </c>
      <c r="N4103" s="66" t="str">
        <f t="shared" si="452"/>
        <v/>
      </c>
      <c r="O4103" s="66" t="str">
        <f t="shared" si="453"/>
        <v/>
      </c>
      <c r="P4103" s="66" t="str">
        <f t="shared" si="454"/>
        <v/>
      </c>
    </row>
    <row r="4104" spans="8:16">
      <c r="H4104" s="66" t="e">
        <f>IF(LEFT(A4104,6)="CEPNTR","GPINS",VLOOKUP(LEFT(A4104,6),'Code Library'!$A$3:$B$920,2,0))&amp;"_"&amp;RIGHT(A4104,3)</f>
        <v>#N/A</v>
      </c>
      <c r="I4104" s="66">
        <f t="shared" si="448"/>
        <v>0</v>
      </c>
      <c r="K4104" s="66" t="str">
        <f t="shared" si="449"/>
        <v/>
      </c>
      <c r="L4104" s="66" t="str">
        <f t="shared" si="450"/>
        <v/>
      </c>
      <c r="M4104" s="66" t="str">
        <f t="shared" si="451"/>
        <v/>
      </c>
      <c r="N4104" s="66" t="str">
        <f t="shared" si="452"/>
        <v/>
      </c>
      <c r="O4104" s="66" t="str">
        <f t="shared" si="453"/>
        <v/>
      </c>
      <c r="P4104" s="66" t="str">
        <f t="shared" si="454"/>
        <v/>
      </c>
    </row>
    <row r="4105" spans="8:16">
      <c r="H4105" s="66" t="e">
        <f>IF(LEFT(A4105,6)="CEPNTR","GPINS",VLOOKUP(LEFT(A4105,6),'Code Library'!$A$3:$B$920,2,0))&amp;"_"&amp;RIGHT(A4105,3)</f>
        <v>#N/A</v>
      </c>
      <c r="I4105" s="66">
        <f t="shared" si="448"/>
        <v>0</v>
      </c>
      <c r="K4105" s="66" t="str">
        <f t="shared" si="449"/>
        <v/>
      </c>
      <c r="L4105" s="66" t="str">
        <f t="shared" si="450"/>
        <v/>
      </c>
      <c r="M4105" s="66" t="str">
        <f t="shared" si="451"/>
        <v/>
      </c>
      <c r="N4105" s="66" t="str">
        <f t="shared" si="452"/>
        <v/>
      </c>
      <c r="O4105" s="66" t="str">
        <f t="shared" si="453"/>
        <v/>
      </c>
      <c r="P4105" s="66" t="str">
        <f t="shared" si="454"/>
        <v/>
      </c>
    </row>
    <row r="4106" spans="8:16">
      <c r="H4106" s="66" t="e">
        <f>IF(LEFT(A4106,6)="CEPNTR","GPINS",VLOOKUP(LEFT(A4106,6),'Code Library'!$A$3:$B$920,2,0))&amp;"_"&amp;RIGHT(A4106,3)</f>
        <v>#N/A</v>
      </c>
      <c r="I4106" s="66">
        <f t="shared" si="448"/>
        <v>0</v>
      </c>
      <c r="K4106" s="66" t="str">
        <f t="shared" si="449"/>
        <v/>
      </c>
      <c r="L4106" s="66" t="str">
        <f t="shared" si="450"/>
        <v/>
      </c>
      <c r="M4106" s="66" t="str">
        <f t="shared" si="451"/>
        <v/>
      </c>
      <c r="N4106" s="66" t="str">
        <f t="shared" si="452"/>
        <v/>
      </c>
      <c r="O4106" s="66" t="str">
        <f t="shared" si="453"/>
        <v/>
      </c>
      <c r="P4106" s="66" t="str">
        <f t="shared" si="454"/>
        <v/>
      </c>
    </row>
    <row r="4107" spans="8:16">
      <c r="H4107" s="66" t="e">
        <f>IF(LEFT(A4107,6)="CEPNTR","GPINS",VLOOKUP(LEFT(A4107,6),'Code Library'!$A$3:$B$920,2,0))&amp;"_"&amp;RIGHT(A4107,3)</f>
        <v>#N/A</v>
      </c>
      <c r="I4107" s="66">
        <f t="shared" si="448"/>
        <v>0</v>
      </c>
      <c r="K4107" s="66" t="str">
        <f t="shared" si="449"/>
        <v/>
      </c>
      <c r="L4107" s="66" t="str">
        <f t="shared" si="450"/>
        <v/>
      </c>
      <c r="M4107" s="66" t="str">
        <f t="shared" si="451"/>
        <v/>
      </c>
      <c r="N4107" s="66" t="str">
        <f t="shared" si="452"/>
        <v/>
      </c>
      <c r="O4107" s="66" t="str">
        <f t="shared" si="453"/>
        <v/>
      </c>
      <c r="P4107" s="66" t="str">
        <f t="shared" si="454"/>
        <v/>
      </c>
    </row>
    <row r="4108" spans="8:16">
      <c r="H4108" s="66" t="e">
        <f>IF(LEFT(A4108,6)="CEPNTR","GPINS",VLOOKUP(LEFT(A4108,6),'Code Library'!$A$3:$B$920,2,0))&amp;"_"&amp;RIGHT(A4108,3)</f>
        <v>#N/A</v>
      </c>
      <c r="I4108" s="66">
        <f t="shared" si="448"/>
        <v>0</v>
      </c>
      <c r="K4108" s="66" t="str">
        <f t="shared" si="449"/>
        <v/>
      </c>
      <c r="L4108" s="66" t="str">
        <f t="shared" si="450"/>
        <v/>
      </c>
      <c r="M4108" s="66" t="str">
        <f t="shared" si="451"/>
        <v/>
      </c>
      <c r="N4108" s="66" t="str">
        <f t="shared" si="452"/>
        <v/>
      </c>
      <c r="O4108" s="66" t="str">
        <f t="shared" si="453"/>
        <v/>
      </c>
      <c r="P4108" s="66" t="str">
        <f t="shared" si="454"/>
        <v/>
      </c>
    </row>
    <row r="4109" spans="8:16">
      <c r="H4109" s="66" t="e">
        <f>IF(LEFT(A4109,6)="CEPNTR","GPINS",VLOOKUP(LEFT(A4109,6),'Code Library'!$A$3:$B$920,2,0))&amp;"_"&amp;RIGHT(A4109,3)</f>
        <v>#N/A</v>
      </c>
      <c r="I4109" s="66">
        <f t="shared" si="448"/>
        <v>0</v>
      </c>
      <c r="K4109" s="66" t="str">
        <f t="shared" si="449"/>
        <v/>
      </c>
      <c r="L4109" s="66" t="str">
        <f t="shared" si="450"/>
        <v/>
      </c>
      <c r="M4109" s="66" t="str">
        <f t="shared" si="451"/>
        <v/>
      </c>
      <c r="N4109" s="66" t="str">
        <f t="shared" si="452"/>
        <v/>
      </c>
      <c r="O4109" s="66" t="str">
        <f t="shared" si="453"/>
        <v/>
      </c>
      <c r="P4109" s="66" t="str">
        <f t="shared" si="454"/>
        <v/>
      </c>
    </row>
    <row r="4110" spans="8:16">
      <c r="H4110" s="66" t="e">
        <f>IF(LEFT(A4110,6)="CEPNTR","GPINS",VLOOKUP(LEFT(A4110,6),'Code Library'!$A$3:$B$920,2,0))&amp;"_"&amp;RIGHT(A4110,3)</f>
        <v>#N/A</v>
      </c>
      <c r="I4110" s="66">
        <f t="shared" si="448"/>
        <v>0</v>
      </c>
      <c r="K4110" s="66" t="str">
        <f t="shared" si="449"/>
        <v/>
      </c>
      <c r="L4110" s="66" t="str">
        <f t="shared" si="450"/>
        <v/>
      </c>
      <c r="M4110" s="66" t="str">
        <f t="shared" si="451"/>
        <v/>
      </c>
      <c r="N4110" s="66" t="str">
        <f t="shared" si="452"/>
        <v/>
      </c>
      <c r="O4110" s="66" t="str">
        <f t="shared" si="453"/>
        <v/>
      </c>
      <c r="P4110" s="66" t="str">
        <f t="shared" si="454"/>
        <v/>
      </c>
    </row>
    <row r="4111" spans="8:16">
      <c r="H4111" s="66" t="e">
        <f>IF(LEFT(A4111,6)="CEPNTR","GPINS",VLOOKUP(LEFT(A4111,6),'Code Library'!$A$3:$B$920,2,0))&amp;"_"&amp;RIGHT(A4111,3)</f>
        <v>#N/A</v>
      </c>
      <c r="I4111" s="66">
        <f t="shared" si="448"/>
        <v>0</v>
      </c>
      <c r="K4111" s="66" t="str">
        <f t="shared" si="449"/>
        <v/>
      </c>
      <c r="L4111" s="66" t="str">
        <f t="shared" si="450"/>
        <v/>
      </c>
      <c r="M4111" s="66" t="str">
        <f t="shared" si="451"/>
        <v/>
      </c>
      <c r="N4111" s="66" t="str">
        <f t="shared" si="452"/>
        <v/>
      </c>
      <c r="O4111" s="66" t="str">
        <f t="shared" si="453"/>
        <v/>
      </c>
      <c r="P4111" s="66" t="str">
        <f t="shared" si="454"/>
        <v/>
      </c>
    </row>
    <row r="4112" spans="8:16">
      <c r="H4112" s="66" t="e">
        <f>IF(LEFT(A4112,6)="CEPNTR","GPINS",VLOOKUP(LEFT(A4112,6),'Code Library'!$A$3:$B$920,2,0))&amp;"_"&amp;RIGHT(A4112,3)</f>
        <v>#N/A</v>
      </c>
      <c r="I4112" s="66">
        <f t="shared" si="448"/>
        <v>0</v>
      </c>
      <c r="K4112" s="66" t="str">
        <f t="shared" si="449"/>
        <v/>
      </c>
      <c r="L4112" s="66" t="str">
        <f t="shared" si="450"/>
        <v/>
      </c>
      <c r="M4112" s="66" t="str">
        <f t="shared" si="451"/>
        <v/>
      </c>
      <c r="N4112" s="66" t="str">
        <f t="shared" si="452"/>
        <v/>
      </c>
      <c r="O4112" s="66" t="str">
        <f t="shared" si="453"/>
        <v/>
      </c>
      <c r="P4112" s="66" t="str">
        <f t="shared" si="454"/>
        <v/>
      </c>
    </row>
    <row r="4113" spans="8:16">
      <c r="H4113" s="66" t="e">
        <f>IF(LEFT(A4113,6)="CEPNTR","GPINS",VLOOKUP(LEFT(A4113,6),'Code Library'!$A$3:$B$920,2,0))&amp;"_"&amp;RIGHT(A4113,3)</f>
        <v>#N/A</v>
      </c>
      <c r="I4113" s="66">
        <f t="shared" si="448"/>
        <v>0</v>
      </c>
      <c r="K4113" s="66" t="str">
        <f t="shared" si="449"/>
        <v/>
      </c>
      <c r="L4113" s="66" t="str">
        <f t="shared" si="450"/>
        <v/>
      </c>
      <c r="M4113" s="66" t="str">
        <f t="shared" si="451"/>
        <v/>
      </c>
      <c r="N4113" s="66" t="str">
        <f t="shared" si="452"/>
        <v/>
      </c>
      <c r="O4113" s="66" t="str">
        <f t="shared" si="453"/>
        <v/>
      </c>
      <c r="P4113" s="66" t="str">
        <f t="shared" si="454"/>
        <v/>
      </c>
    </row>
    <row r="4114" spans="8:16">
      <c r="H4114" s="66" t="e">
        <f>IF(LEFT(A4114,6)="CEPNTR","GPINS",VLOOKUP(LEFT(A4114,6),'Code Library'!$A$3:$B$920,2,0))&amp;"_"&amp;RIGHT(A4114,3)</f>
        <v>#N/A</v>
      </c>
      <c r="I4114" s="66">
        <f t="shared" si="448"/>
        <v>0</v>
      </c>
      <c r="K4114" s="66" t="str">
        <f t="shared" si="449"/>
        <v/>
      </c>
      <c r="L4114" s="66" t="str">
        <f t="shared" si="450"/>
        <v/>
      </c>
      <c r="M4114" s="66" t="str">
        <f t="shared" si="451"/>
        <v/>
      </c>
      <c r="N4114" s="66" t="str">
        <f t="shared" si="452"/>
        <v/>
      </c>
      <c r="O4114" s="66" t="str">
        <f t="shared" si="453"/>
        <v/>
      </c>
      <c r="P4114" s="66" t="str">
        <f t="shared" si="454"/>
        <v/>
      </c>
    </row>
    <row r="4115" spans="8:16">
      <c r="H4115" s="66" t="e">
        <f>IF(LEFT(A4115,6)="CEPNTR","GPINS",VLOOKUP(LEFT(A4115,6),'Code Library'!$A$3:$B$920,2,0))&amp;"_"&amp;RIGHT(A4115,3)</f>
        <v>#N/A</v>
      </c>
      <c r="I4115" s="66">
        <f t="shared" si="448"/>
        <v>0</v>
      </c>
      <c r="K4115" s="66" t="str">
        <f t="shared" si="449"/>
        <v/>
      </c>
      <c r="L4115" s="66" t="str">
        <f t="shared" si="450"/>
        <v/>
      </c>
      <c r="M4115" s="66" t="str">
        <f t="shared" si="451"/>
        <v/>
      </c>
      <c r="N4115" s="66" t="str">
        <f t="shared" si="452"/>
        <v/>
      </c>
      <c r="O4115" s="66" t="str">
        <f t="shared" si="453"/>
        <v/>
      </c>
      <c r="P4115" s="66" t="str">
        <f t="shared" si="454"/>
        <v/>
      </c>
    </row>
    <row r="4116" spans="8:16">
      <c r="H4116" s="66" t="e">
        <f>IF(LEFT(A4116,6)="CEPNTR","GPINS",VLOOKUP(LEFT(A4116,6),'Code Library'!$A$3:$B$920,2,0))&amp;"_"&amp;RIGHT(A4116,3)</f>
        <v>#N/A</v>
      </c>
      <c r="I4116" s="66">
        <f t="shared" si="448"/>
        <v>0</v>
      </c>
      <c r="K4116" s="66" t="str">
        <f t="shared" si="449"/>
        <v/>
      </c>
      <c r="L4116" s="66" t="str">
        <f t="shared" si="450"/>
        <v/>
      </c>
      <c r="M4116" s="66" t="str">
        <f t="shared" si="451"/>
        <v/>
      </c>
      <c r="N4116" s="66" t="str">
        <f t="shared" si="452"/>
        <v/>
      </c>
      <c r="O4116" s="66" t="str">
        <f t="shared" si="453"/>
        <v/>
      </c>
      <c r="P4116" s="66" t="str">
        <f t="shared" si="454"/>
        <v/>
      </c>
    </row>
    <row r="4117" spans="8:16">
      <c r="H4117" s="66" t="e">
        <f>IF(LEFT(A4117,6)="CEPNTR","GPINS",VLOOKUP(LEFT(A4117,6),'Code Library'!$A$3:$B$920,2,0))&amp;"_"&amp;RIGHT(A4117,3)</f>
        <v>#N/A</v>
      </c>
      <c r="I4117" s="66">
        <f t="shared" si="448"/>
        <v>0</v>
      </c>
      <c r="K4117" s="66" t="str">
        <f t="shared" si="449"/>
        <v/>
      </c>
      <c r="L4117" s="66" t="str">
        <f t="shared" si="450"/>
        <v/>
      </c>
      <c r="M4117" s="66" t="str">
        <f t="shared" si="451"/>
        <v/>
      </c>
      <c r="N4117" s="66" t="str">
        <f t="shared" si="452"/>
        <v/>
      </c>
      <c r="O4117" s="66" t="str">
        <f t="shared" si="453"/>
        <v/>
      </c>
      <c r="P4117" s="66" t="str">
        <f t="shared" si="454"/>
        <v/>
      </c>
    </row>
    <row r="4118" spans="8:16">
      <c r="H4118" s="66" t="e">
        <f>IF(LEFT(A4118,6)="CEPNTR","GPINS",VLOOKUP(LEFT(A4118,6),'Code Library'!$A$3:$B$920,2,0))&amp;"_"&amp;RIGHT(A4118,3)</f>
        <v>#N/A</v>
      </c>
      <c r="I4118" s="66">
        <f t="shared" si="448"/>
        <v>0</v>
      </c>
      <c r="K4118" s="66" t="str">
        <f t="shared" si="449"/>
        <v/>
      </c>
      <c r="L4118" s="66" t="str">
        <f t="shared" si="450"/>
        <v/>
      </c>
      <c r="M4118" s="66" t="str">
        <f t="shared" si="451"/>
        <v/>
      </c>
      <c r="N4118" s="66" t="str">
        <f t="shared" si="452"/>
        <v/>
      </c>
      <c r="O4118" s="66" t="str">
        <f t="shared" si="453"/>
        <v/>
      </c>
      <c r="P4118" s="66" t="str">
        <f t="shared" si="454"/>
        <v/>
      </c>
    </row>
    <row r="4119" spans="8:16">
      <c r="H4119" s="66" t="e">
        <f>IF(LEFT(A4119,6)="CEPNTR","GPINS",VLOOKUP(LEFT(A4119,6),'Code Library'!$A$3:$B$920,2,0))&amp;"_"&amp;RIGHT(A4119,3)</f>
        <v>#N/A</v>
      </c>
      <c r="I4119" s="66">
        <f t="shared" si="448"/>
        <v>0</v>
      </c>
      <c r="K4119" s="66" t="str">
        <f t="shared" si="449"/>
        <v/>
      </c>
      <c r="L4119" s="66" t="str">
        <f t="shared" si="450"/>
        <v/>
      </c>
      <c r="M4119" s="66" t="str">
        <f t="shared" si="451"/>
        <v/>
      </c>
      <c r="N4119" s="66" t="str">
        <f t="shared" si="452"/>
        <v/>
      </c>
      <c r="O4119" s="66" t="str">
        <f t="shared" si="453"/>
        <v/>
      </c>
      <c r="P4119" s="66" t="str">
        <f t="shared" si="454"/>
        <v/>
      </c>
    </row>
    <row r="4120" spans="8:16">
      <c r="H4120" s="66" t="e">
        <f>IF(LEFT(A4120,6)="CEPNTR","GPINS",VLOOKUP(LEFT(A4120,6),'Code Library'!$A$3:$B$920,2,0))&amp;"_"&amp;RIGHT(A4120,3)</f>
        <v>#N/A</v>
      </c>
      <c r="I4120" s="66">
        <f t="shared" si="448"/>
        <v>0</v>
      </c>
      <c r="K4120" s="66" t="str">
        <f t="shared" si="449"/>
        <v/>
      </c>
      <c r="L4120" s="66" t="str">
        <f t="shared" si="450"/>
        <v/>
      </c>
      <c r="M4120" s="66" t="str">
        <f t="shared" si="451"/>
        <v/>
      </c>
      <c r="N4120" s="66" t="str">
        <f t="shared" si="452"/>
        <v/>
      </c>
      <c r="O4120" s="66" t="str">
        <f t="shared" si="453"/>
        <v/>
      </c>
      <c r="P4120" s="66" t="str">
        <f t="shared" si="454"/>
        <v/>
      </c>
    </row>
    <row r="4121" spans="8:16">
      <c r="H4121" s="66" t="e">
        <f>IF(LEFT(A4121,6)="CEPNTR","GPINS",VLOOKUP(LEFT(A4121,6),'Code Library'!$A$3:$B$920,2,0))&amp;"_"&amp;RIGHT(A4121,3)</f>
        <v>#N/A</v>
      </c>
      <c r="I4121" s="66">
        <f t="shared" si="448"/>
        <v>0</v>
      </c>
      <c r="K4121" s="66" t="str">
        <f t="shared" si="449"/>
        <v/>
      </c>
      <c r="L4121" s="66" t="str">
        <f t="shared" si="450"/>
        <v/>
      </c>
      <c r="M4121" s="66" t="str">
        <f t="shared" si="451"/>
        <v/>
      </c>
      <c r="N4121" s="66" t="str">
        <f t="shared" si="452"/>
        <v/>
      </c>
      <c r="O4121" s="66" t="str">
        <f t="shared" si="453"/>
        <v/>
      </c>
      <c r="P4121" s="66" t="str">
        <f t="shared" si="454"/>
        <v/>
      </c>
    </row>
    <row r="4122" spans="8:16">
      <c r="H4122" s="66" t="e">
        <f>IF(LEFT(A4122,6)="CEPNTR","GPINS",VLOOKUP(LEFT(A4122,6),'Code Library'!$A$3:$B$920,2,0))&amp;"_"&amp;RIGHT(A4122,3)</f>
        <v>#N/A</v>
      </c>
      <c r="I4122" s="66">
        <f t="shared" si="448"/>
        <v>0</v>
      </c>
      <c r="K4122" s="66" t="str">
        <f t="shared" si="449"/>
        <v/>
      </c>
      <c r="L4122" s="66" t="str">
        <f t="shared" si="450"/>
        <v/>
      </c>
      <c r="M4122" s="66" t="str">
        <f t="shared" si="451"/>
        <v/>
      </c>
      <c r="N4122" s="66" t="str">
        <f t="shared" si="452"/>
        <v/>
      </c>
      <c r="O4122" s="66" t="str">
        <f t="shared" si="453"/>
        <v/>
      </c>
      <c r="P4122" s="66" t="str">
        <f t="shared" si="454"/>
        <v/>
      </c>
    </row>
    <row r="4123" spans="8:16">
      <c r="H4123" s="66" t="e">
        <f>IF(LEFT(A4123,6)="CEPNTR","GPINS",VLOOKUP(LEFT(A4123,6),'Code Library'!$A$3:$B$920,2,0))&amp;"_"&amp;RIGHT(A4123,3)</f>
        <v>#N/A</v>
      </c>
      <c r="I4123" s="66">
        <f t="shared" si="448"/>
        <v>0</v>
      </c>
      <c r="K4123" s="66" t="str">
        <f t="shared" si="449"/>
        <v/>
      </c>
      <c r="L4123" s="66" t="str">
        <f t="shared" si="450"/>
        <v/>
      </c>
      <c r="M4123" s="66" t="str">
        <f t="shared" si="451"/>
        <v/>
      </c>
      <c r="N4123" s="66" t="str">
        <f t="shared" si="452"/>
        <v/>
      </c>
      <c r="O4123" s="66" t="str">
        <f t="shared" si="453"/>
        <v/>
      </c>
      <c r="P4123" s="66" t="str">
        <f t="shared" si="454"/>
        <v/>
      </c>
    </row>
    <row r="4124" spans="8:16">
      <c r="H4124" s="66" t="e">
        <f>IF(LEFT(A4124,6)="CEPNTR","GPINS",VLOOKUP(LEFT(A4124,6),'Code Library'!$A$3:$B$920,2,0))&amp;"_"&amp;RIGHT(A4124,3)</f>
        <v>#N/A</v>
      </c>
      <c r="I4124" s="66">
        <f t="shared" si="448"/>
        <v>0</v>
      </c>
      <c r="K4124" s="66" t="str">
        <f t="shared" si="449"/>
        <v/>
      </c>
      <c r="L4124" s="66" t="str">
        <f t="shared" si="450"/>
        <v/>
      </c>
      <c r="M4124" s="66" t="str">
        <f t="shared" si="451"/>
        <v/>
      </c>
      <c r="N4124" s="66" t="str">
        <f t="shared" si="452"/>
        <v/>
      </c>
      <c r="O4124" s="66" t="str">
        <f t="shared" si="453"/>
        <v/>
      </c>
      <c r="P4124" s="66" t="str">
        <f t="shared" si="454"/>
        <v/>
      </c>
    </row>
    <row r="4125" spans="8:16">
      <c r="H4125" s="66" t="e">
        <f>IF(LEFT(A4125,6)="CEPNTR","GPINS",VLOOKUP(LEFT(A4125,6),'Code Library'!$A$3:$B$920,2,0))&amp;"_"&amp;RIGHT(A4125,3)</f>
        <v>#N/A</v>
      </c>
      <c r="I4125" s="66">
        <f t="shared" si="448"/>
        <v>0</v>
      </c>
      <c r="K4125" s="66" t="str">
        <f t="shared" si="449"/>
        <v/>
      </c>
      <c r="L4125" s="66" t="str">
        <f t="shared" si="450"/>
        <v/>
      </c>
      <c r="M4125" s="66" t="str">
        <f t="shared" si="451"/>
        <v/>
      </c>
      <c r="N4125" s="66" t="str">
        <f t="shared" si="452"/>
        <v/>
      </c>
      <c r="O4125" s="66" t="str">
        <f t="shared" si="453"/>
        <v/>
      </c>
      <c r="P4125" s="66" t="str">
        <f t="shared" si="454"/>
        <v/>
      </c>
    </row>
    <row r="4126" spans="8:16">
      <c r="H4126" s="66" t="e">
        <f>IF(LEFT(A4126,6)="CEPNTR","GPINS",VLOOKUP(LEFT(A4126,6),'Code Library'!$A$3:$B$920,2,0))&amp;"_"&amp;RIGHT(A4126,3)</f>
        <v>#N/A</v>
      </c>
      <c r="I4126" s="66">
        <f t="shared" si="448"/>
        <v>0</v>
      </c>
      <c r="K4126" s="66" t="str">
        <f t="shared" si="449"/>
        <v/>
      </c>
      <c r="L4126" s="66" t="str">
        <f t="shared" si="450"/>
        <v/>
      </c>
      <c r="M4126" s="66" t="str">
        <f t="shared" si="451"/>
        <v/>
      </c>
      <c r="N4126" s="66" t="str">
        <f t="shared" si="452"/>
        <v/>
      </c>
      <c r="O4126" s="66" t="str">
        <f t="shared" si="453"/>
        <v/>
      </c>
      <c r="P4126" s="66" t="str">
        <f t="shared" si="454"/>
        <v/>
      </c>
    </row>
    <row r="4127" spans="8:16">
      <c r="H4127" s="66" t="e">
        <f>IF(LEFT(A4127,6)="CEPNTR","GPINS",VLOOKUP(LEFT(A4127,6),'Code Library'!$A$3:$B$920,2,0))&amp;"_"&amp;RIGHT(A4127,3)</f>
        <v>#N/A</v>
      </c>
      <c r="I4127" s="66">
        <f t="shared" si="448"/>
        <v>0</v>
      </c>
      <c r="K4127" s="66" t="str">
        <f t="shared" si="449"/>
        <v/>
      </c>
      <c r="L4127" s="66" t="str">
        <f t="shared" si="450"/>
        <v/>
      </c>
      <c r="M4127" s="66" t="str">
        <f t="shared" si="451"/>
        <v/>
      </c>
      <c r="N4127" s="66" t="str">
        <f t="shared" si="452"/>
        <v/>
      </c>
      <c r="O4127" s="66" t="str">
        <f t="shared" si="453"/>
        <v/>
      </c>
      <c r="P4127" s="66" t="str">
        <f t="shared" si="454"/>
        <v/>
      </c>
    </row>
    <row r="4128" spans="8:16">
      <c r="H4128" s="66" t="e">
        <f>IF(LEFT(A4128,6)="CEPNTR","GPINS",VLOOKUP(LEFT(A4128,6),'Code Library'!$A$3:$B$920,2,0))&amp;"_"&amp;RIGHT(A4128,3)</f>
        <v>#N/A</v>
      </c>
      <c r="I4128" s="66">
        <f t="shared" si="448"/>
        <v>0</v>
      </c>
      <c r="K4128" s="66" t="str">
        <f t="shared" si="449"/>
        <v/>
      </c>
      <c r="L4128" s="66" t="str">
        <f t="shared" si="450"/>
        <v/>
      </c>
      <c r="M4128" s="66" t="str">
        <f t="shared" si="451"/>
        <v/>
      </c>
      <c r="N4128" s="66" t="str">
        <f t="shared" si="452"/>
        <v/>
      </c>
      <c r="O4128" s="66" t="str">
        <f t="shared" si="453"/>
        <v/>
      </c>
      <c r="P4128" s="66" t="str">
        <f t="shared" si="454"/>
        <v/>
      </c>
    </row>
    <row r="4129" spans="8:16">
      <c r="H4129" s="66" t="e">
        <f>IF(LEFT(A4129,6)="CEPNTR","GPINS",VLOOKUP(LEFT(A4129,6),'Code Library'!$A$3:$B$920,2,0))&amp;"_"&amp;RIGHT(A4129,3)</f>
        <v>#N/A</v>
      </c>
      <c r="I4129" s="66">
        <f t="shared" si="448"/>
        <v>0</v>
      </c>
      <c r="K4129" s="66" t="str">
        <f t="shared" si="449"/>
        <v/>
      </c>
      <c r="L4129" s="66" t="str">
        <f t="shared" si="450"/>
        <v/>
      </c>
      <c r="M4129" s="66" t="str">
        <f t="shared" si="451"/>
        <v/>
      </c>
      <c r="N4129" s="66" t="str">
        <f t="shared" si="452"/>
        <v/>
      </c>
      <c r="O4129" s="66" t="str">
        <f t="shared" si="453"/>
        <v/>
      </c>
      <c r="P4129" s="66" t="str">
        <f t="shared" si="454"/>
        <v/>
      </c>
    </row>
    <row r="4130" spans="8:16">
      <c r="H4130" s="66" t="e">
        <f>IF(LEFT(A4130,6)="CEPNTR","GPINS",VLOOKUP(LEFT(A4130,6),'Code Library'!$A$3:$B$920,2,0))&amp;"_"&amp;RIGHT(A4130,3)</f>
        <v>#N/A</v>
      </c>
      <c r="I4130" s="66">
        <f t="shared" si="448"/>
        <v>0</v>
      </c>
      <c r="K4130" s="66" t="str">
        <f t="shared" si="449"/>
        <v/>
      </c>
      <c r="L4130" s="66" t="str">
        <f t="shared" si="450"/>
        <v/>
      </c>
      <c r="M4130" s="66" t="str">
        <f t="shared" si="451"/>
        <v/>
      </c>
      <c r="N4130" s="66" t="str">
        <f t="shared" si="452"/>
        <v/>
      </c>
      <c r="O4130" s="66" t="str">
        <f t="shared" si="453"/>
        <v/>
      </c>
      <c r="P4130" s="66" t="str">
        <f t="shared" si="454"/>
        <v/>
      </c>
    </row>
    <row r="4131" spans="8:16">
      <c r="H4131" s="66" t="e">
        <f>IF(LEFT(A4131,6)="CEPNTR","GPINS",VLOOKUP(LEFT(A4131,6),'Code Library'!$A$3:$B$920,2,0))&amp;"_"&amp;RIGHT(A4131,3)</f>
        <v>#N/A</v>
      </c>
      <c r="I4131" s="66">
        <f t="shared" si="448"/>
        <v>0</v>
      </c>
      <c r="K4131" s="66" t="str">
        <f t="shared" si="449"/>
        <v/>
      </c>
      <c r="L4131" s="66" t="str">
        <f t="shared" si="450"/>
        <v/>
      </c>
      <c r="M4131" s="66" t="str">
        <f t="shared" si="451"/>
        <v/>
      </c>
      <c r="N4131" s="66" t="str">
        <f t="shared" si="452"/>
        <v/>
      </c>
      <c r="O4131" s="66" t="str">
        <f t="shared" si="453"/>
        <v/>
      </c>
      <c r="P4131" s="66" t="str">
        <f t="shared" si="454"/>
        <v/>
      </c>
    </row>
    <row r="4132" spans="8:16">
      <c r="H4132" s="66" t="e">
        <f>IF(LEFT(A4132,6)="CEPNTR","GPINS",VLOOKUP(LEFT(A4132,6),'Code Library'!$A$3:$B$920,2,0))&amp;"_"&amp;RIGHT(A4132,3)</f>
        <v>#N/A</v>
      </c>
      <c r="I4132" s="66">
        <f t="shared" si="448"/>
        <v>0</v>
      </c>
      <c r="K4132" s="66" t="str">
        <f t="shared" si="449"/>
        <v/>
      </c>
      <c r="L4132" s="66" t="str">
        <f t="shared" si="450"/>
        <v/>
      </c>
      <c r="M4132" s="66" t="str">
        <f t="shared" si="451"/>
        <v/>
      </c>
      <c r="N4132" s="66" t="str">
        <f t="shared" si="452"/>
        <v/>
      </c>
      <c r="O4132" s="66" t="str">
        <f t="shared" si="453"/>
        <v/>
      </c>
      <c r="P4132" s="66" t="str">
        <f t="shared" si="454"/>
        <v/>
      </c>
    </row>
    <row r="4133" spans="8:16">
      <c r="H4133" s="66" t="e">
        <f>IF(LEFT(A4133,6)="CEPNTR","GPINS",VLOOKUP(LEFT(A4133,6),'Code Library'!$A$3:$B$920,2,0))&amp;"_"&amp;RIGHT(A4133,3)</f>
        <v>#N/A</v>
      </c>
      <c r="I4133" s="66">
        <f t="shared" si="448"/>
        <v>0</v>
      </c>
      <c r="K4133" s="66" t="str">
        <f t="shared" si="449"/>
        <v/>
      </c>
      <c r="L4133" s="66" t="str">
        <f t="shared" si="450"/>
        <v/>
      </c>
      <c r="M4133" s="66" t="str">
        <f t="shared" si="451"/>
        <v/>
      </c>
      <c r="N4133" s="66" t="str">
        <f t="shared" si="452"/>
        <v/>
      </c>
      <c r="O4133" s="66" t="str">
        <f t="shared" si="453"/>
        <v/>
      </c>
      <c r="P4133" s="66" t="str">
        <f t="shared" si="454"/>
        <v/>
      </c>
    </row>
    <row r="4134" spans="8:16">
      <c r="H4134" s="66" t="e">
        <f>IF(LEFT(A4134,6)="CEPNTR","GPINS",VLOOKUP(LEFT(A4134,6),'Code Library'!$A$3:$B$920,2,0))&amp;"_"&amp;RIGHT(A4134,3)</f>
        <v>#N/A</v>
      </c>
      <c r="I4134" s="66">
        <f t="shared" si="448"/>
        <v>0</v>
      </c>
      <c r="K4134" s="66" t="str">
        <f t="shared" si="449"/>
        <v/>
      </c>
      <c r="L4134" s="66" t="str">
        <f t="shared" si="450"/>
        <v/>
      </c>
      <c r="M4134" s="66" t="str">
        <f t="shared" si="451"/>
        <v/>
      </c>
      <c r="N4134" s="66" t="str">
        <f t="shared" si="452"/>
        <v/>
      </c>
      <c r="O4134" s="66" t="str">
        <f t="shared" si="453"/>
        <v/>
      </c>
      <c r="P4134" s="66" t="str">
        <f t="shared" si="454"/>
        <v/>
      </c>
    </row>
    <row r="4135" spans="8:16">
      <c r="H4135" s="66" t="e">
        <f>IF(LEFT(A4135,6)="CEPNTR","GPINS",VLOOKUP(LEFT(A4135,6),'Code Library'!$A$3:$B$920,2,0))&amp;"_"&amp;RIGHT(A4135,3)</f>
        <v>#N/A</v>
      </c>
      <c r="I4135" s="66">
        <f t="shared" si="448"/>
        <v>0</v>
      </c>
      <c r="K4135" s="66" t="str">
        <f t="shared" si="449"/>
        <v/>
      </c>
      <c r="L4135" s="66" t="str">
        <f t="shared" si="450"/>
        <v/>
      </c>
      <c r="M4135" s="66" t="str">
        <f t="shared" si="451"/>
        <v/>
      </c>
      <c r="N4135" s="66" t="str">
        <f t="shared" si="452"/>
        <v/>
      </c>
      <c r="O4135" s="66" t="str">
        <f t="shared" si="453"/>
        <v/>
      </c>
      <c r="P4135" s="66" t="str">
        <f t="shared" si="454"/>
        <v/>
      </c>
    </row>
    <row r="4136" spans="8:16">
      <c r="H4136" s="66" t="e">
        <f>IF(LEFT(A4136,6)="CEPNTR","GPINS",VLOOKUP(LEFT(A4136,6),'Code Library'!$A$3:$B$920,2,0))&amp;"_"&amp;RIGHT(A4136,3)</f>
        <v>#N/A</v>
      </c>
      <c r="I4136" s="66">
        <f t="shared" si="448"/>
        <v>0</v>
      </c>
      <c r="K4136" s="66" t="str">
        <f t="shared" si="449"/>
        <v/>
      </c>
      <c r="L4136" s="66" t="str">
        <f t="shared" si="450"/>
        <v/>
      </c>
      <c r="M4136" s="66" t="str">
        <f t="shared" si="451"/>
        <v/>
      </c>
      <c r="N4136" s="66" t="str">
        <f t="shared" si="452"/>
        <v/>
      </c>
      <c r="O4136" s="66" t="str">
        <f t="shared" si="453"/>
        <v/>
      </c>
      <c r="P4136" s="66" t="str">
        <f t="shared" si="454"/>
        <v/>
      </c>
    </row>
    <row r="4137" spans="8:16">
      <c r="H4137" s="66" t="e">
        <f>IF(LEFT(A4137,6)="CEPNTR","GPINS",VLOOKUP(LEFT(A4137,6),'Code Library'!$A$3:$B$920,2,0))&amp;"_"&amp;RIGHT(A4137,3)</f>
        <v>#N/A</v>
      </c>
      <c r="I4137" s="66">
        <f t="shared" si="448"/>
        <v>0</v>
      </c>
      <c r="K4137" s="66" t="str">
        <f t="shared" si="449"/>
        <v/>
      </c>
      <c r="L4137" s="66" t="str">
        <f t="shared" si="450"/>
        <v/>
      </c>
      <c r="M4137" s="66" t="str">
        <f t="shared" si="451"/>
        <v/>
      </c>
      <c r="N4137" s="66" t="str">
        <f t="shared" si="452"/>
        <v/>
      </c>
      <c r="O4137" s="66" t="str">
        <f t="shared" si="453"/>
        <v/>
      </c>
      <c r="P4137" s="66" t="str">
        <f t="shared" si="454"/>
        <v/>
      </c>
    </row>
    <row r="4138" spans="8:16">
      <c r="H4138" s="66" t="e">
        <f>IF(LEFT(A4138,6)="CEPNTR","GPINS",VLOOKUP(LEFT(A4138,6),'Code Library'!$A$3:$B$920,2,0))&amp;"_"&amp;RIGHT(A4138,3)</f>
        <v>#N/A</v>
      </c>
      <c r="I4138" s="66">
        <f t="shared" si="448"/>
        <v>0</v>
      </c>
      <c r="K4138" s="66" t="str">
        <f t="shared" si="449"/>
        <v/>
      </c>
      <c r="L4138" s="66" t="str">
        <f t="shared" si="450"/>
        <v/>
      </c>
      <c r="M4138" s="66" t="str">
        <f t="shared" si="451"/>
        <v/>
      </c>
      <c r="N4138" s="66" t="str">
        <f t="shared" si="452"/>
        <v/>
      </c>
      <c r="O4138" s="66" t="str">
        <f t="shared" si="453"/>
        <v/>
      </c>
      <c r="P4138" s="66" t="str">
        <f t="shared" si="454"/>
        <v/>
      </c>
    </row>
    <row r="4139" spans="8:16">
      <c r="H4139" s="66" t="e">
        <f>IF(LEFT(A4139,6)="CEPNTR","GPINS",VLOOKUP(LEFT(A4139,6),'Code Library'!$A$3:$B$920,2,0))&amp;"_"&amp;RIGHT(A4139,3)</f>
        <v>#N/A</v>
      </c>
      <c r="I4139" s="66">
        <f t="shared" si="448"/>
        <v>0</v>
      </c>
      <c r="K4139" s="66" t="str">
        <f t="shared" si="449"/>
        <v/>
      </c>
      <c r="L4139" s="66" t="str">
        <f t="shared" si="450"/>
        <v/>
      </c>
      <c r="M4139" s="66" t="str">
        <f t="shared" si="451"/>
        <v/>
      </c>
      <c r="N4139" s="66" t="str">
        <f t="shared" si="452"/>
        <v/>
      </c>
      <c r="O4139" s="66" t="str">
        <f t="shared" si="453"/>
        <v/>
      </c>
      <c r="P4139" s="66" t="str">
        <f t="shared" si="454"/>
        <v/>
      </c>
    </row>
    <row r="4140" spans="8:16">
      <c r="H4140" s="66" t="e">
        <f>IF(LEFT(A4140,6)="CEPNTR","GPINS",VLOOKUP(LEFT(A4140,6),'Code Library'!$A$3:$B$920,2,0))&amp;"_"&amp;RIGHT(A4140,3)</f>
        <v>#N/A</v>
      </c>
      <c r="I4140" s="66">
        <f t="shared" si="448"/>
        <v>0</v>
      </c>
      <c r="K4140" s="66" t="str">
        <f t="shared" si="449"/>
        <v/>
      </c>
      <c r="L4140" s="66" t="str">
        <f t="shared" si="450"/>
        <v/>
      </c>
      <c r="M4140" s="66" t="str">
        <f t="shared" si="451"/>
        <v/>
      </c>
      <c r="N4140" s="66" t="str">
        <f t="shared" si="452"/>
        <v/>
      </c>
      <c r="O4140" s="66" t="str">
        <f t="shared" si="453"/>
        <v/>
      </c>
      <c r="P4140" s="66" t="str">
        <f t="shared" si="454"/>
        <v/>
      </c>
    </row>
    <row r="4141" spans="8:16">
      <c r="H4141" s="66" t="e">
        <f>IF(LEFT(A4141,6)="CEPNTR","GPINS",VLOOKUP(LEFT(A4141,6),'Code Library'!$A$3:$B$920,2,0))&amp;"_"&amp;RIGHT(A4141,3)</f>
        <v>#N/A</v>
      </c>
      <c r="I4141" s="66">
        <f t="shared" si="448"/>
        <v>0</v>
      </c>
      <c r="K4141" s="66" t="str">
        <f t="shared" si="449"/>
        <v/>
      </c>
      <c r="L4141" s="66" t="str">
        <f t="shared" si="450"/>
        <v/>
      </c>
      <c r="M4141" s="66" t="str">
        <f t="shared" si="451"/>
        <v/>
      </c>
      <c r="N4141" s="66" t="str">
        <f t="shared" si="452"/>
        <v/>
      </c>
      <c r="O4141" s="66" t="str">
        <f t="shared" si="453"/>
        <v/>
      </c>
      <c r="P4141" s="66" t="str">
        <f t="shared" si="454"/>
        <v/>
      </c>
    </row>
    <row r="4142" spans="8:16">
      <c r="H4142" s="66" t="e">
        <f>IF(LEFT(A4142,6)="CEPNTR","GPINS",VLOOKUP(LEFT(A4142,6),'Code Library'!$A$3:$B$920,2,0))&amp;"_"&amp;RIGHT(A4142,3)</f>
        <v>#N/A</v>
      </c>
      <c r="I4142" s="66">
        <f t="shared" si="448"/>
        <v>0</v>
      </c>
      <c r="K4142" s="66" t="str">
        <f t="shared" si="449"/>
        <v/>
      </c>
      <c r="L4142" s="66" t="str">
        <f t="shared" si="450"/>
        <v/>
      </c>
      <c r="M4142" s="66" t="str">
        <f t="shared" si="451"/>
        <v/>
      </c>
      <c r="N4142" s="66" t="str">
        <f t="shared" si="452"/>
        <v/>
      </c>
      <c r="O4142" s="66" t="str">
        <f t="shared" si="453"/>
        <v/>
      </c>
      <c r="P4142" s="66" t="str">
        <f t="shared" si="454"/>
        <v/>
      </c>
    </row>
    <row r="4143" spans="8:16">
      <c r="H4143" s="66" t="e">
        <f>IF(LEFT(A4143,6)="CEPNTR","GPINS",VLOOKUP(LEFT(A4143,6),'Code Library'!$A$3:$B$920,2,0))&amp;"_"&amp;RIGHT(A4143,3)</f>
        <v>#N/A</v>
      </c>
      <c r="I4143" s="66">
        <f t="shared" si="448"/>
        <v>0</v>
      </c>
      <c r="K4143" s="66" t="str">
        <f t="shared" si="449"/>
        <v/>
      </c>
      <c r="L4143" s="66" t="str">
        <f t="shared" si="450"/>
        <v/>
      </c>
      <c r="M4143" s="66" t="str">
        <f t="shared" si="451"/>
        <v/>
      </c>
      <c r="N4143" s="66" t="str">
        <f t="shared" si="452"/>
        <v/>
      </c>
      <c r="O4143" s="66" t="str">
        <f t="shared" si="453"/>
        <v/>
      </c>
      <c r="P4143" s="66" t="str">
        <f t="shared" si="454"/>
        <v/>
      </c>
    </row>
    <row r="4144" spans="8:16">
      <c r="H4144" s="66" t="e">
        <f>IF(LEFT(A4144,6)="CEPNTR","GPINS",VLOOKUP(LEFT(A4144,6),'Code Library'!$A$3:$B$920,2,0))&amp;"_"&amp;RIGHT(A4144,3)</f>
        <v>#N/A</v>
      </c>
      <c r="I4144" s="66">
        <f t="shared" si="448"/>
        <v>0</v>
      </c>
      <c r="K4144" s="66" t="str">
        <f t="shared" si="449"/>
        <v/>
      </c>
      <c r="L4144" s="66" t="str">
        <f t="shared" si="450"/>
        <v/>
      </c>
      <c r="M4144" s="66" t="str">
        <f t="shared" si="451"/>
        <v/>
      </c>
      <c r="N4144" s="66" t="str">
        <f t="shared" si="452"/>
        <v/>
      </c>
      <c r="O4144" s="66" t="str">
        <f t="shared" si="453"/>
        <v/>
      </c>
      <c r="P4144" s="66" t="str">
        <f t="shared" si="454"/>
        <v/>
      </c>
    </row>
    <row r="4145" spans="8:16">
      <c r="H4145" s="66" t="e">
        <f>IF(LEFT(A4145,6)="CEPNTR","GPINS",VLOOKUP(LEFT(A4145,6),'Code Library'!$A$3:$B$920,2,0))&amp;"_"&amp;RIGHT(A4145,3)</f>
        <v>#N/A</v>
      </c>
      <c r="I4145" s="66">
        <f t="shared" si="448"/>
        <v>0</v>
      </c>
      <c r="K4145" s="66" t="str">
        <f t="shared" si="449"/>
        <v/>
      </c>
      <c r="L4145" s="66" t="str">
        <f t="shared" si="450"/>
        <v/>
      </c>
      <c r="M4145" s="66" t="str">
        <f t="shared" si="451"/>
        <v/>
      </c>
      <c r="N4145" s="66" t="str">
        <f t="shared" si="452"/>
        <v/>
      </c>
      <c r="O4145" s="66" t="str">
        <f t="shared" si="453"/>
        <v/>
      </c>
      <c r="P4145" s="66" t="str">
        <f t="shared" si="454"/>
        <v/>
      </c>
    </row>
    <row r="4146" spans="8:16">
      <c r="H4146" s="66" t="e">
        <f>IF(LEFT(A4146,6)="CEPNTR","GPINS",VLOOKUP(LEFT(A4146,6),'Code Library'!$A$3:$B$920,2,0))&amp;"_"&amp;RIGHT(A4146,3)</f>
        <v>#N/A</v>
      </c>
      <c r="I4146" s="66">
        <f t="shared" si="448"/>
        <v>0</v>
      </c>
      <c r="K4146" s="66" t="str">
        <f t="shared" si="449"/>
        <v/>
      </c>
      <c r="L4146" s="66" t="str">
        <f t="shared" si="450"/>
        <v/>
      </c>
      <c r="M4146" s="66" t="str">
        <f t="shared" si="451"/>
        <v/>
      </c>
      <c r="N4146" s="66" t="str">
        <f t="shared" si="452"/>
        <v/>
      </c>
      <c r="O4146" s="66" t="str">
        <f t="shared" si="453"/>
        <v/>
      </c>
      <c r="P4146" s="66" t="str">
        <f t="shared" si="454"/>
        <v/>
      </c>
    </row>
    <row r="4147" spans="8:16">
      <c r="H4147" s="66" t="e">
        <f>IF(LEFT(A4147,6)="CEPNTR","GPINS",VLOOKUP(LEFT(A4147,6),'Code Library'!$A$3:$B$920,2,0))&amp;"_"&amp;RIGHT(A4147,3)</f>
        <v>#N/A</v>
      </c>
      <c r="I4147" s="66">
        <f t="shared" si="448"/>
        <v>0</v>
      </c>
      <c r="K4147" s="66" t="str">
        <f t="shared" si="449"/>
        <v/>
      </c>
      <c r="L4147" s="66" t="str">
        <f t="shared" si="450"/>
        <v/>
      </c>
      <c r="M4147" s="66" t="str">
        <f t="shared" si="451"/>
        <v/>
      </c>
      <c r="N4147" s="66" t="str">
        <f t="shared" si="452"/>
        <v/>
      </c>
      <c r="O4147" s="66" t="str">
        <f t="shared" si="453"/>
        <v/>
      </c>
      <c r="P4147" s="66" t="str">
        <f t="shared" si="454"/>
        <v/>
      </c>
    </row>
    <row r="4148" spans="8:16">
      <c r="H4148" s="66" t="e">
        <f>IF(LEFT(A4148,6)="CEPNTR","GPINS",VLOOKUP(LEFT(A4148,6),'Code Library'!$A$3:$B$920,2,0))&amp;"_"&amp;RIGHT(A4148,3)</f>
        <v>#N/A</v>
      </c>
      <c r="I4148" s="66">
        <f t="shared" si="448"/>
        <v>0</v>
      </c>
      <c r="K4148" s="66" t="str">
        <f t="shared" si="449"/>
        <v/>
      </c>
      <c r="L4148" s="66" t="str">
        <f t="shared" si="450"/>
        <v/>
      </c>
      <c r="M4148" s="66" t="str">
        <f t="shared" si="451"/>
        <v/>
      </c>
      <c r="N4148" s="66" t="str">
        <f t="shared" si="452"/>
        <v/>
      </c>
      <c r="O4148" s="66" t="str">
        <f t="shared" si="453"/>
        <v/>
      </c>
      <c r="P4148" s="66" t="str">
        <f t="shared" si="454"/>
        <v/>
      </c>
    </row>
    <row r="4149" spans="8:16">
      <c r="H4149" s="66" t="e">
        <f>IF(LEFT(A4149,6)="CEPNTR","GPINS",VLOOKUP(LEFT(A4149,6),'Code Library'!$A$3:$B$920,2,0))&amp;"_"&amp;RIGHT(A4149,3)</f>
        <v>#N/A</v>
      </c>
      <c r="I4149" s="66">
        <f t="shared" si="448"/>
        <v>0</v>
      </c>
      <c r="K4149" s="66" t="str">
        <f t="shared" si="449"/>
        <v/>
      </c>
      <c r="L4149" s="66" t="str">
        <f t="shared" si="450"/>
        <v/>
      </c>
      <c r="M4149" s="66" t="str">
        <f t="shared" si="451"/>
        <v/>
      </c>
      <c r="N4149" s="66" t="str">
        <f t="shared" si="452"/>
        <v/>
      </c>
      <c r="O4149" s="66" t="str">
        <f t="shared" si="453"/>
        <v/>
      </c>
      <c r="P4149" s="66" t="str">
        <f t="shared" si="454"/>
        <v/>
      </c>
    </row>
    <row r="4150" spans="8:16">
      <c r="H4150" s="66" t="e">
        <f>IF(LEFT(A4150,6)="CEPNTR","GPINS",VLOOKUP(LEFT(A4150,6),'Code Library'!$A$3:$B$920,2,0))&amp;"_"&amp;RIGHT(A4150,3)</f>
        <v>#N/A</v>
      </c>
      <c r="I4150" s="66">
        <f t="shared" si="448"/>
        <v>0</v>
      </c>
      <c r="K4150" s="66" t="str">
        <f t="shared" si="449"/>
        <v/>
      </c>
      <c r="L4150" s="66" t="str">
        <f t="shared" si="450"/>
        <v/>
      </c>
      <c r="M4150" s="66" t="str">
        <f t="shared" si="451"/>
        <v/>
      </c>
      <c r="N4150" s="66" t="str">
        <f t="shared" si="452"/>
        <v/>
      </c>
      <c r="O4150" s="66" t="str">
        <f t="shared" si="453"/>
        <v/>
      </c>
      <c r="P4150" s="66" t="str">
        <f t="shared" si="454"/>
        <v/>
      </c>
    </row>
    <row r="4151" spans="8:16">
      <c r="H4151" s="66" t="e">
        <f>IF(LEFT(A4151,6)="CEPNTR","GPINS",VLOOKUP(LEFT(A4151,6),'Code Library'!$A$3:$B$920,2,0))&amp;"_"&amp;RIGHT(A4151,3)</f>
        <v>#N/A</v>
      </c>
      <c r="I4151" s="66">
        <f t="shared" si="448"/>
        <v>0</v>
      </c>
      <c r="K4151" s="66" t="str">
        <f t="shared" si="449"/>
        <v/>
      </c>
      <c r="L4151" s="66" t="str">
        <f t="shared" si="450"/>
        <v/>
      </c>
      <c r="M4151" s="66" t="str">
        <f t="shared" si="451"/>
        <v/>
      </c>
      <c r="N4151" s="66" t="str">
        <f t="shared" si="452"/>
        <v/>
      </c>
      <c r="O4151" s="66" t="str">
        <f t="shared" si="453"/>
        <v/>
      </c>
      <c r="P4151" s="66" t="str">
        <f t="shared" si="454"/>
        <v/>
      </c>
    </row>
    <row r="4152" spans="8:16">
      <c r="H4152" s="66" t="e">
        <f>IF(LEFT(A4152,6)="CEPNTR","GPINS",VLOOKUP(LEFT(A4152,6),'Code Library'!$A$3:$B$920,2,0))&amp;"_"&amp;RIGHT(A4152,3)</f>
        <v>#N/A</v>
      </c>
      <c r="I4152" s="66">
        <f t="shared" si="448"/>
        <v>0</v>
      </c>
      <c r="K4152" s="66" t="str">
        <f t="shared" si="449"/>
        <v/>
      </c>
      <c r="L4152" s="66" t="str">
        <f t="shared" si="450"/>
        <v/>
      </c>
      <c r="M4152" s="66" t="str">
        <f t="shared" si="451"/>
        <v/>
      </c>
      <c r="N4152" s="66" t="str">
        <f t="shared" si="452"/>
        <v/>
      </c>
      <c r="O4152" s="66" t="str">
        <f t="shared" si="453"/>
        <v/>
      </c>
      <c r="P4152" s="66" t="str">
        <f t="shared" si="454"/>
        <v/>
      </c>
    </row>
    <row r="4153" spans="8:16">
      <c r="H4153" s="66" t="e">
        <f>IF(LEFT(A4153,6)="CEPNTR","GPINS",VLOOKUP(LEFT(A4153,6),'Code Library'!$A$3:$B$920,2,0))&amp;"_"&amp;RIGHT(A4153,3)</f>
        <v>#N/A</v>
      </c>
      <c r="I4153" s="66">
        <f t="shared" si="448"/>
        <v>0</v>
      </c>
      <c r="K4153" s="66" t="str">
        <f t="shared" si="449"/>
        <v/>
      </c>
      <c r="L4153" s="66" t="str">
        <f t="shared" si="450"/>
        <v/>
      </c>
      <c r="M4153" s="66" t="str">
        <f t="shared" si="451"/>
        <v/>
      </c>
      <c r="N4153" s="66" t="str">
        <f t="shared" si="452"/>
        <v/>
      </c>
      <c r="O4153" s="66" t="str">
        <f t="shared" si="453"/>
        <v/>
      </c>
      <c r="P4153" s="66" t="str">
        <f t="shared" si="454"/>
        <v/>
      </c>
    </row>
    <row r="4154" spans="8:16">
      <c r="H4154" s="66" t="e">
        <f>IF(LEFT(A4154,6)="CEPNTR","GPINS",VLOOKUP(LEFT(A4154,6),'Code Library'!$A$3:$B$920,2,0))&amp;"_"&amp;RIGHT(A4154,3)</f>
        <v>#N/A</v>
      </c>
      <c r="I4154" s="66">
        <f t="shared" si="448"/>
        <v>0</v>
      </c>
      <c r="K4154" s="66" t="str">
        <f t="shared" si="449"/>
        <v/>
      </c>
      <c r="L4154" s="66" t="str">
        <f t="shared" si="450"/>
        <v/>
      </c>
      <c r="M4154" s="66" t="str">
        <f t="shared" si="451"/>
        <v/>
      </c>
      <c r="N4154" s="66" t="str">
        <f t="shared" si="452"/>
        <v/>
      </c>
      <c r="O4154" s="66" t="str">
        <f t="shared" si="453"/>
        <v/>
      </c>
      <c r="P4154" s="66" t="str">
        <f t="shared" si="454"/>
        <v/>
      </c>
    </row>
    <row r="4155" spans="8:16">
      <c r="H4155" s="66" t="e">
        <f>IF(LEFT(A4155,6)="CEPNTR","GPINS",VLOOKUP(LEFT(A4155,6),'Code Library'!$A$3:$B$920,2,0))&amp;"_"&amp;RIGHT(A4155,3)</f>
        <v>#N/A</v>
      </c>
      <c r="I4155" s="66">
        <f t="shared" si="448"/>
        <v>0</v>
      </c>
      <c r="K4155" s="66" t="str">
        <f t="shared" si="449"/>
        <v/>
      </c>
      <c r="L4155" s="66" t="str">
        <f t="shared" si="450"/>
        <v/>
      </c>
      <c r="M4155" s="66" t="str">
        <f t="shared" si="451"/>
        <v/>
      </c>
      <c r="N4155" s="66" t="str">
        <f t="shared" si="452"/>
        <v/>
      </c>
      <c r="O4155" s="66" t="str">
        <f t="shared" si="453"/>
        <v/>
      </c>
      <c r="P4155" s="66" t="str">
        <f t="shared" si="454"/>
        <v/>
      </c>
    </row>
    <row r="4156" spans="8:16">
      <c r="H4156" s="66" t="e">
        <f>IF(LEFT(A4156,6)="CEPNTR","GPINS",VLOOKUP(LEFT(A4156,6),'Code Library'!$A$3:$B$920,2,0))&amp;"_"&amp;RIGHT(A4156,3)</f>
        <v>#N/A</v>
      </c>
      <c r="I4156" s="66">
        <f t="shared" si="448"/>
        <v>0</v>
      </c>
      <c r="K4156" s="66" t="str">
        <f t="shared" si="449"/>
        <v/>
      </c>
      <c r="L4156" s="66" t="str">
        <f t="shared" si="450"/>
        <v/>
      </c>
      <c r="M4156" s="66" t="str">
        <f t="shared" si="451"/>
        <v/>
      </c>
      <c r="N4156" s="66" t="str">
        <f t="shared" si="452"/>
        <v/>
      </c>
      <c r="O4156" s="66" t="str">
        <f t="shared" si="453"/>
        <v/>
      </c>
      <c r="P4156" s="66" t="str">
        <f t="shared" si="454"/>
        <v/>
      </c>
    </row>
    <row r="4157" spans="8:16">
      <c r="H4157" s="66" t="e">
        <f>IF(LEFT(A4157,6)="CEPNTR","GPINS",VLOOKUP(LEFT(A4157,6),'Code Library'!$A$3:$B$920,2,0))&amp;"_"&amp;RIGHT(A4157,3)</f>
        <v>#N/A</v>
      </c>
      <c r="I4157" s="66">
        <f t="shared" si="448"/>
        <v>0</v>
      </c>
      <c r="K4157" s="66" t="str">
        <f t="shared" si="449"/>
        <v/>
      </c>
      <c r="L4157" s="66" t="str">
        <f t="shared" si="450"/>
        <v/>
      </c>
      <c r="M4157" s="66" t="str">
        <f t="shared" si="451"/>
        <v/>
      </c>
      <c r="N4157" s="66" t="str">
        <f t="shared" si="452"/>
        <v/>
      </c>
      <c r="O4157" s="66" t="str">
        <f t="shared" si="453"/>
        <v/>
      </c>
      <c r="P4157" s="66" t="str">
        <f t="shared" si="454"/>
        <v/>
      </c>
    </row>
    <row r="4158" spans="8:16">
      <c r="H4158" s="66" t="e">
        <f>IF(LEFT(A4158,6)="CEPNTR","GPINS",VLOOKUP(LEFT(A4158,6),'Code Library'!$A$3:$B$920,2,0))&amp;"_"&amp;RIGHT(A4158,3)</f>
        <v>#N/A</v>
      </c>
      <c r="I4158" s="66">
        <f t="shared" si="448"/>
        <v>0</v>
      </c>
      <c r="K4158" s="66" t="str">
        <f t="shared" si="449"/>
        <v/>
      </c>
      <c r="L4158" s="66" t="str">
        <f t="shared" si="450"/>
        <v/>
      </c>
      <c r="M4158" s="66" t="str">
        <f t="shared" si="451"/>
        <v/>
      </c>
      <c r="N4158" s="66" t="str">
        <f t="shared" si="452"/>
        <v/>
      </c>
      <c r="O4158" s="66" t="str">
        <f t="shared" si="453"/>
        <v/>
      </c>
      <c r="P4158" s="66" t="str">
        <f t="shared" si="454"/>
        <v/>
      </c>
    </row>
    <row r="4159" spans="8:16">
      <c r="H4159" s="66" t="e">
        <f>IF(LEFT(A4159,6)="CEPNTR","GPINS",VLOOKUP(LEFT(A4159,6),'Code Library'!$A$3:$B$920,2,0))&amp;"_"&amp;RIGHT(A4159,3)</f>
        <v>#N/A</v>
      </c>
      <c r="I4159" s="66">
        <f t="shared" si="448"/>
        <v>0</v>
      </c>
      <c r="K4159" s="66" t="str">
        <f t="shared" si="449"/>
        <v/>
      </c>
      <c r="L4159" s="66" t="str">
        <f t="shared" si="450"/>
        <v/>
      </c>
      <c r="M4159" s="66" t="str">
        <f t="shared" si="451"/>
        <v/>
      </c>
      <c r="N4159" s="66" t="str">
        <f t="shared" si="452"/>
        <v/>
      </c>
      <c r="O4159" s="66" t="str">
        <f t="shared" si="453"/>
        <v/>
      </c>
      <c r="P4159" s="66" t="str">
        <f t="shared" si="454"/>
        <v/>
      </c>
    </row>
    <row r="4160" spans="8:16">
      <c r="H4160" s="66" t="e">
        <f>IF(LEFT(A4160,6)="CEPNTR","GPINS",VLOOKUP(LEFT(A4160,6),'Code Library'!$A$3:$B$920,2,0))&amp;"_"&amp;RIGHT(A4160,3)</f>
        <v>#N/A</v>
      </c>
      <c r="I4160" s="66">
        <f t="shared" si="448"/>
        <v>0</v>
      </c>
      <c r="K4160" s="66" t="str">
        <f t="shared" si="449"/>
        <v/>
      </c>
      <c r="L4160" s="66" t="str">
        <f t="shared" si="450"/>
        <v/>
      </c>
      <c r="M4160" s="66" t="str">
        <f t="shared" si="451"/>
        <v/>
      </c>
      <c r="N4160" s="66" t="str">
        <f t="shared" si="452"/>
        <v/>
      </c>
      <c r="O4160" s="66" t="str">
        <f t="shared" si="453"/>
        <v/>
      </c>
      <c r="P4160" s="66" t="str">
        <f t="shared" si="454"/>
        <v/>
      </c>
    </row>
    <row r="4161" spans="8:16">
      <c r="H4161" s="66" t="e">
        <f>IF(LEFT(A4161,6)="CEPNTR","GPINS",VLOOKUP(LEFT(A4161,6),'Code Library'!$A$3:$B$920,2,0))&amp;"_"&amp;RIGHT(A4161,3)</f>
        <v>#N/A</v>
      </c>
      <c r="I4161" s="66">
        <f t="shared" si="448"/>
        <v>0</v>
      </c>
      <c r="K4161" s="66" t="str">
        <f t="shared" si="449"/>
        <v/>
      </c>
      <c r="L4161" s="66" t="str">
        <f t="shared" si="450"/>
        <v/>
      </c>
      <c r="M4161" s="66" t="str">
        <f t="shared" si="451"/>
        <v/>
      </c>
      <c r="N4161" s="66" t="str">
        <f t="shared" si="452"/>
        <v/>
      </c>
      <c r="O4161" s="66" t="str">
        <f t="shared" si="453"/>
        <v/>
      </c>
      <c r="P4161" s="66" t="str">
        <f t="shared" si="454"/>
        <v/>
      </c>
    </row>
    <row r="4162" spans="8:16">
      <c r="H4162" s="66" t="e">
        <f>IF(LEFT(A4162,6)="CEPNTR","GPINS",VLOOKUP(LEFT(A4162,6),'Code Library'!$A$3:$B$920,2,0))&amp;"_"&amp;RIGHT(A4162,3)</f>
        <v>#N/A</v>
      </c>
      <c r="I4162" s="66">
        <f t="shared" si="448"/>
        <v>0</v>
      </c>
      <c r="K4162" s="66" t="str">
        <f t="shared" si="449"/>
        <v/>
      </c>
      <c r="L4162" s="66" t="str">
        <f t="shared" si="450"/>
        <v/>
      </c>
      <c r="M4162" s="66" t="str">
        <f t="shared" si="451"/>
        <v/>
      </c>
      <c r="N4162" s="66" t="str">
        <f t="shared" si="452"/>
        <v/>
      </c>
      <c r="O4162" s="66" t="str">
        <f t="shared" si="453"/>
        <v/>
      </c>
      <c r="P4162" s="66" t="str">
        <f t="shared" si="454"/>
        <v/>
      </c>
    </row>
    <row r="4163" spans="8:16">
      <c r="H4163" s="66" t="e">
        <f>IF(LEFT(A4163,6)="CEPNTR","GPINS",VLOOKUP(LEFT(A4163,6),'Code Library'!$A$3:$B$920,2,0))&amp;"_"&amp;RIGHT(A4163,3)</f>
        <v>#N/A</v>
      </c>
      <c r="I4163" s="66">
        <f t="shared" ref="I4163:I4226" si="455">A4163</f>
        <v>0</v>
      </c>
      <c r="K4163" s="66" t="str">
        <f t="shared" ref="K4163:K4226" si="456">RIGHT($B4163,2)</f>
        <v/>
      </c>
      <c r="L4163" s="66" t="str">
        <f t="shared" ref="L4163:L4226" si="457">LEFT(RIGHT($B4163,7),4)</f>
        <v/>
      </c>
      <c r="M4163" s="66" t="str">
        <f t="shared" ref="M4163:M4226" si="458">LEFT(RIGHT($B4163,10),2)</f>
        <v/>
      </c>
      <c r="N4163" s="66" t="str">
        <f t="shared" ref="N4163:N4226" si="459">LEFT(RIGHT($B4163,14),3)</f>
        <v/>
      </c>
      <c r="O4163" s="66" t="str">
        <f t="shared" ref="O4163:O4226" si="460">LEFT(RIGHT($B4163,16),1)</f>
        <v/>
      </c>
      <c r="P4163" s="66" t="str">
        <f t="shared" ref="P4163:P4226" si="461">LEFT(RIGHT($B4163,19),2)</f>
        <v/>
      </c>
    </row>
    <row r="4164" spans="8:16">
      <c r="H4164" s="66" t="e">
        <f>IF(LEFT(A4164,6)="CEPNTR","GPINS",VLOOKUP(LEFT(A4164,6),'Code Library'!$A$3:$B$920,2,0))&amp;"_"&amp;RIGHT(A4164,3)</f>
        <v>#N/A</v>
      </c>
      <c r="I4164" s="66">
        <f t="shared" si="455"/>
        <v>0</v>
      </c>
      <c r="K4164" s="66" t="str">
        <f t="shared" si="456"/>
        <v/>
      </c>
      <c r="L4164" s="66" t="str">
        <f t="shared" si="457"/>
        <v/>
      </c>
      <c r="M4164" s="66" t="str">
        <f t="shared" si="458"/>
        <v/>
      </c>
      <c r="N4164" s="66" t="str">
        <f t="shared" si="459"/>
        <v/>
      </c>
      <c r="O4164" s="66" t="str">
        <f t="shared" si="460"/>
        <v/>
      </c>
      <c r="P4164" s="66" t="str">
        <f t="shared" si="461"/>
        <v/>
      </c>
    </row>
    <row r="4165" spans="8:16">
      <c r="H4165" s="66" t="e">
        <f>IF(LEFT(A4165,6)="CEPNTR","GPINS",VLOOKUP(LEFT(A4165,6),'Code Library'!$A$3:$B$920,2,0))&amp;"_"&amp;RIGHT(A4165,3)</f>
        <v>#N/A</v>
      </c>
      <c r="I4165" s="66">
        <f t="shared" si="455"/>
        <v>0</v>
      </c>
      <c r="K4165" s="66" t="str">
        <f t="shared" si="456"/>
        <v/>
      </c>
      <c r="L4165" s="66" t="str">
        <f t="shared" si="457"/>
        <v/>
      </c>
      <c r="M4165" s="66" t="str">
        <f t="shared" si="458"/>
        <v/>
      </c>
      <c r="N4165" s="66" t="str">
        <f t="shared" si="459"/>
        <v/>
      </c>
      <c r="O4165" s="66" t="str">
        <f t="shared" si="460"/>
        <v/>
      </c>
      <c r="P4165" s="66" t="str">
        <f t="shared" si="461"/>
        <v/>
      </c>
    </row>
    <row r="4166" spans="8:16">
      <c r="H4166" s="66" t="e">
        <f>IF(LEFT(A4166,6)="CEPNTR","GPINS",VLOOKUP(LEFT(A4166,6),'Code Library'!$A$3:$B$920,2,0))&amp;"_"&amp;RIGHT(A4166,3)</f>
        <v>#N/A</v>
      </c>
      <c r="I4166" s="66">
        <f t="shared" si="455"/>
        <v>0</v>
      </c>
      <c r="K4166" s="66" t="str">
        <f t="shared" si="456"/>
        <v/>
      </c>
      <c r="L4166" s="66" t="str">
        <f t="shared" si="457"/>
        <v/>
      </c>
      <c r="M4166" s="66" t="str">
        <f t="shared" si="458"/>
        <v/>
      </c>
      <c r="N4166" s="66" t="str">
        <f t="shared" si="459"/>
        <v/>
      </c>
      <c r="O4166" s="66" t="str">
        <f t="shared" si="460"/>
        <v/>
      </c>
      <c r="P4166" s="66" t="str">
        <f t="shared" si="461"/>
        <v/>
      </c>
    </row>
    <row r="4167" spans="8:16">
      <c r="H4167" s="66" t="e">
        <f>IF(LEFT(A4167,6)="CEPNTR","GPINS",VLOOKUP(LEFT(A4167,6),'Code Library'!$A$3:$B$920,2,0))&amp;"_"&amp;RIGHT(A4167,3)</f>
        <v>#N/A</v>
      </c>
      <c r="I4167" s="66">
        <f t="shared" si="455"/>
        <v>0</v>
      </c>
      <c r="K4167" s="66" t="str">
        <f t="shared" si="456"/>
        <v/>
      </c>
      <c r="L4167" s="66" t="str">
        <f t="shared" si="457"/>
        <v/>
      </c>
      <c r="M4167" s="66" t="str">
        <f t="shared" si="458"/>
        <v/>
      </c>
      <c r="N4167" s="66" t="str">
        <f t="shared" si="459"/>
        <v/>
      </c>
      <c r="O4167" s="66" t="str">
        <f t="shared" si="460"/>
        <v/>
      </c>
      <c r="P4167" s="66" t="str">
        <f t="shared" si="461"/>
        <v/>
      </c>
    </row>
    <row r="4168" spans="8:16">
      <c r="H4168" s="66" t="e">
        <f>IF(LEFT(A4168,6)="CEPNTR","GPINS",VLOOKUP(LEFT(A4168,6),'Code Library'!$A$3:$B$920,2,0))&amp;"_"&amp;RIGHT(A4168,3)</f>
        <v>#N/A</v>
      </c>
      <c r="I4168" s="66">
        <f t="shared" si="455"/>
        <v>0</v>
      </c>
      <c r="K4168" s="66" t="str">
        <f t="shared" si="456"/>
        <v/>
      </c>
      <c r="L4168" s="66" t="str">
        <f t="shared" si="457"/>
        <v/>
      </c>
      <c r="M4168" s="66" t="str">
        <f t="shared" si="458"/>
        <v/>
      </c>
      <c r="N4168" s="66" t="str">
        <f t="shared" si="459"/>
        <v/>
      </c>
      <c r="O4168" s="66" t="str">
        <f t="shared" si="460"/>
        <v/>
      </c>
      <c r="P4168" s="66" t="str">
        <f t="shared" si="461"/>
        <v/>
      </c>
    </row>
    <row r="4169" spans="8:16">
      <c r="H4169" s="66" t="e">
        <f>IF(LEFT(A4169,6)="CEPNTR","GPINS",VLOOKUP(LEFT(A4169,6),'Code Library'!$A$3:$B$920,2,0))&amp;"_"&amp;RIGHT(A4169,3)</f>
        <v>#N/A</v>
      </c>
      <c r="I4169" s="66">
        <f t="shared" si="455"/>
        <v>0</v>
      </c>
      <c r="K4169" s="66" t="str">
        <f t="shared" si="456"/>
        <v/>
      </c>
      <c r="L4169" s="66" t="str">
        <f t="shared" si="457"/>
        <v/>
      </c>
      <c r="M4169" s="66" t="str">
        <f t="shared" si="458"/>
        <v/>
      </c>
      <c r="N4169" s="66" t="str">
        <f t="shared" si="459"/>
        <v/>
      </c>
      <c r="O4169" s="66" t="str">
        <f t="shared" si="460"/>
        <v/>
      </c>
      <c r="P4169" s="66" t="str">
        <f t="shared" si="461"/>
        <v/>
      </c>
    </row>
    <row r="4170" spans="8:16">
      <c r="H4170" s="66" t="e">
        <f>IF(LEFT(A4170,6)="CEPNTR","GPINS",VLOOKUP(LEFT(A4170,6),'Code Library'!$A$3:$B$920,2,0))&amp;"_"&amp;RIGHT(A4170,3)</f>
        <v>#N/A</v>
      </c>
      <c r="I4170" s="66">
        <f t="shared" si="455"/>
        <v>0</v>
      </c>
      <c r="K4170" s="66" t="str">
        <f t="shared" si="456"/>
        <v/>
      </c>
      <c r="L4170" s="66" t="str">
        <f t="shared" si="457"/>
        <v/>
      </c>
      <c r="M4170" s="66" t="str">
        <f t="shared" si="458"/>
        <v/>
      </c>
      <c r="N4170" s="66" t="str">
        <f t="shared" si="459"/>
        <v/>
      </c>
      <c r="O4170" s="66" t="str">
        <f t="shared" si="460"/>
        <v/>
      </c>
      <c r="P4170" s="66" t="str">
        <f t="shared" si="461"/>
        <v/>
      </c>
    </row>
    <row r="4171" spans="8:16">
      <c r="H4171" s="66" t="e">
        <f>IF(LEFT(A4171,6)="CEPNTR","GPINS",VLOOKUP(LEFT(A4171,6),'Code Library'!$A$3:$B$920,2,0))&amp;"_"&amp;RIGHT(A4171,3)</f>
        <v>#N/A</v>
      </c>
      <c r="I4171" s="66">
        <f t="shared" si="455"/>
        <v>0</v>
      </c>
      <c r="K4171" s="66" t="str">
        <f t="shared" si="456"/>
        <v/>
      </c>
      <c r="L4171" s="66" t="str">
        <f t="shared" si="457"/>
        <v/>
      </c>
      <c r="M4171" s="66" t="str">
        <f t="shared" si="458"/>
        <v/>
      </c>
      <c r="N4171" s="66" t="str">
        <f t="shared" si="459"/>
        <v/>
      </c>
      <c r="O4171" s="66" t="str">
        <f t="shared" si="460"/>
        <v/>
      </c>
      <c r="P4171" s="66" t="str">
        <f t="shared" si="461"/>
        <v/>
      </c>
    </row>
    <row r="4172" spans="8:16">
      <c r="H4172" s="66" t="e">
        <f>IF(LEFT(A4172,6)="CEPNTR","GPINS",VLOOKUP(LEFT(A4172,6),'Code Library'!$A$3:$B$920,2,0))&amp;"_"&amp;RIGHT(A4172,3)</f>
        <v>#N/A</v>
      </c>
      <c r="I4172" s="66">
        <f t="shared" si="455"/>
        <v>0</v>
      </c>
      <c r="K4172" s="66" t="str">
        <f t="shared" si="456"/>
        <v/>
      </c>
      <c r="L4172" s="66" t="str">
        <f t="shared" si="457"/>
        <v/>
      </c>
      <c r="M4172" s="66" t="str">
        <f t="shared" si="458"/>
        <v/>
      </c>
      <c r="N4172" s="66" t="str">
        <f t="shared" si="459"/>
        <v/>
      </c>
      <c r="O4172" s="66" t="str">
        <f t="shared" si="460"/>
        <v/>
      </c>
      <c r="P4172" s="66" t="str">
        <f t="shared" si="461"/>
        <v/>
      </c>
    </row>
    <row r="4173" spans="8:16">
      <c r="H4173" s="66" t="e">
        <f>IF(LEFT(A4173,6)="CEPNTR","GPINS",VLOOKUP(LEFT(A4173,6),'Code Library'!$A$3:$B$920,2,0))&amp;"_"&amp;RIGHT(A4173,3)</f>
        <v>#N/A</v>
      </c>
      <c r="I4173" s="66">
        <f t="shared" si="455"/>
        <v>0</v>
      </c>
      <c r="K4173" s="66" t="str">
        <f t="shared" si="456"/>
        <v/>
      </c>
      <c r="L4173" s="66" t="str">
        <f t="shared" si="457"/>
        <v/>
      </c>
      <c r="M4173" s="66" t="str">
        <f t="shared" si="458"/>
        <v/>
      </c>
      <c r="N4173" s="66" t="str">
        <f t="shared" si="459"/>
        <v/>
      </c>
      <c r="O4173" s="66" t="str">
        <f t="shared" si="460"/>
        <v/>
      </c>
      <c r="P4173" s="66" t="str">
        <f t="shared" si="461"/>
        <v/>
      </c>
    </row>
    <row r="4174" spans="8:16">
      <c r="H4174" s="66" t="e">
        <f>IF(LEFT(A4174,6)="CEPNTR","GPINS",VLOOKUP(LEFT(A4174,6),'Code Library'!$A$3:$B$920,2,0))&amp;"_"&amp;RIGHT(A4174,3)</f>
        <v>#N/A</v>
      </c>
      <c r="I4174" s="66">
        <f t="shared" si="455"/>
        <v>0</v>
      </c>
      <c r="K4174" s="66" t="str">
        <f t="shared" si="456"/>
        <v/>
      </c>
      <c r="L4174" s="66" t="str">
        <f t="shared" si="457"/>
        <v/>
      </c>
      <c r="M4174" s="66" t="str">
        <f t="shared" si="458"/>
        <v/>
      </c>
      <c r="N4174" s="66" t="str">
        <f t="shared" si="459"/>
        <v/>
      </c>
      <c r="O4174" s="66" t="str">
        <f t="shared" si="460"/>
        <v/>
      </c>
      <c r="P4174" s="66" t="str">
        <f t="shared" si="461"/>
        <v/>
      </c>
    </row>
    <row r="4175" spans="8:16">
      <c r="H4175" s="66" t="e">
        <f>IF(LEFT(A4175,6)="CEPNTR","GPINS",VLOOKUP(LEFT(A4175,6),'Code Library'!$A$3:$B$920,2,0))&amp;"_"&amp;RIGHT(A4175,3)</f>
        <v>#N/A</v>
      </c>
      <c r="I4175" s="66">
        <f t="shared" si="455"/>
        <v>0</v>
      </c>
      <c r="K4175" s="66" t="str">
        <f t="shared" si="456"/>
        <v/>
      </c>
      <c r="L4175" s="66" t="str">
        <f t="shared" si="457"/>
        <v/>
      </c>
      <c r="M4175" s="66" t="str">
        <f t="shared" si="458"/>
        <v/>
      </c>
      <c r="N4175" s="66" t="str">
        <f t="shared" si="459"/>
        <v/>
      </c>
      <c r="O4175" s="66" t="str">
        <f t="shared" si="460"/>
        <v/>
      </c>
      <c r="P4175" s="66" t="str">
        <f t="shared" si="461"/>
        <v/>
      </c>
    </row>
    <row r="4176" spans="8:16">
      <c r="H4176" s="66" t="e">
        <f>IF(LEFT(A4176,6)="CEPNTR","GPINS",VLOOKUP(LEFT(A4176,6),'Code Library'!$A$3:$B$920,2,0))&amp;"_"&amp;RIGHT(A4176,3)</f>
        <v>#N/A</v>
      </c>
      <c r="I4176" s="66">
        <f t="shared" si="455"/>
        <v>0</v>
      </c>
      <c r="K4176" s="66" t="str">
        <f t="shared" si="456"/>
        <v/>
      </c>
      <c r="L4176" s="66" t="str">
        <f t="shared" si="457"/>
        <v/>
      </c>
      <c r="M4176" s="66" t="str">
        <f t="shared" si="458"/>
        <v/>
      </c>
      <c r="N4176" s="66" t="str">
        <f t="shared" si="459"/>
        <v/>
      </c>
      <c r="O4176" s="66" t="str">
        <f t="shared" si="460"/>
        <v/>
      </c>
      <c r="P4176" s="66" t="str">
        <f t="shared" si="461"/>
        <v/>
      </c>
    </row>
    <row r="4177" spans="8:16">
      <c r="H4177" s="66" t="e">
        <f>IF(LEFT(A4177,6)="CEPNTR","GPINS",VLOOKUP(LEFT(A4177,6),'Code Library'!$A$3:$B$920,2,0))&amp;"_"&amp;RIGHT(A4177,3)</f>
        <v>#N/A</v>
      </c>
      <c r="I4177" s="66">
        <f t="shared" si="455"/>
        <v>0</v>
      </c>
      <c r="K4177" s="66" t="str">
        <f t="shared" si="456"/>
        <v/>
      </c>
      <c r="L4177" s="66" t="str">
        <f t="shared" si="457"/>
        <v/>
      </c>
      <c r="M4177" s="66" t="str">
        <f t="shared" si="458"/>
        <v/>
      </c>
      <c r="N4177" s="66" t="str">
        <f t="shared" si="459"/>
        <v/>
      </c>
      <c r="O4177" s="66" t="str">
        <f t="shared" si="460"/>
        <v/>
      </c>
      <c r="P4177" s="66" t="str">
        <f t="shared" si="461"/>
        <v/>
      </c>
    </row>
    <row r="4178" spans="8:16">
      <c r="H4178" s="66" t="e">
        <f>IF(LEFT(A4178,6)="CEPNTR","GPINS",VLOOKUP(LEFT(A4178,6),'Code Library'!$A$3:$B$920,2,0))&amp;"_"&amp;RIGHT(A4178,3)</f>
        <v>#N/A</v>
      </c>
      <c r="I4178" s="66">
        <f t="shared" si="455"/>
        <v>0</v>
      </c>
      <c r="K4178" s="66" t="str">
        <f t="shared" si="456"/>
        <v/>
      </c>
      <c r="L4178" s="66" t="str">
        <f t="shared" si="457"/>
        <v/>
      </c>
      <c r="M4178" s="66" t="str">
        <f t="shared" si="458"/>
        <v/>
      </c>
      <c r="N4178" s="66" t="str">
        <f t="shared" si="459"/>
        <v/>
      </c>
      <c r="O4178" s="66" t="str">
        <f t="shared" si="460"/>
        <v/>
      </c>
      <c r="P4178" s="66" t="str">
        <f t="shared" si="461"/>
        <v/>
      </c>
    </row>
    <row r="4179" spans="8:16">
      <c r="H4179" s="66" t="e">
        <f>IF(LEFT(A4179,6)="CEPNTR","GPINS",VLOOKUP(LEFT(A4179,6),'Code Library'!$A$3:$B$920,2,0))&amp;"_"&amp;RIGHT(A4179,3)</f>
        <v>#N/A</v>
      </c>
      <c r="I4179" s="66">
        <f t="shared" si="455"/>
        <v>0</v>
      </c>
      <c r="K4179" s="66" t="str">
        <f t="shared" si="456"/>
        <v/>
      </c>
      <c r="L4179" s="66" t="str">
        <f t="shared" si="457"/>
        <v/>
      </c>
      <c r="M4179" s="66" t="str">
        <f t="shared" si="458"/>
        <v/>
      </c>
      <c r="N4179" s="66" t="str">
        <f t="shared" si="459"/>
        <v/>
      </c>
      <c r="O4179" s="66" t="str">
        <f t="shared" si="460"/>
        <v/>
      </c>
      <c r="P4179" s="66" t="str">
        <f t="shared" si="461"/>
        <v/>
      </c>
    </row>
    <row r="4180" spans="8:16">
      <c r="H4180" s="66" t="e">
        <f>IF(LEFT(A4180,6)="CEPNTR","GPINS",VLOOKUP(LEFT(A4180,6),'Code Library'!$A$3:$B$920,2,0))&amp;"_"&amp;RIGHT(A4180,3)</f>
        <v>#N/A</v>
      </c>
      <c r="I4180" s="66">
        <f t="shared" si="455"/>
        <v>0</v>
      </c>
      <c r="K4180" s="66" t="str">
        <f t="shared" si="456"/>
        <v/>
      </c>
      <c r="L4180" s="66" t="str">
        <f t="shared" si="457"/>
        <v/>
      </c>
      <c r="M4180" s="66" t="str">
        <f t="shared" si="458"/>
        <v/>
      </c>
      <c r="N4180" s="66" t="str">
        <f t="shared" si="459"/>
        <v/>
      </c>
      <c r="O4180" s="66" t="str">
        <f t="shared" si="460"/>
        <v/>
      </c>
      <c r="P4180" s="66" t="str">
        <f t="shared" si="461"/>
        <v/>
      </c>
    </row>
    <row r="4181" spans="8:16">
      <c r="H4181" s="66" t="e">
        <f>IF(LEFT(A4181,6)="CEPNTR","GPINS",VLOOKUP(LEFT(A4181,6),'Code Library'!$A$3:$B$920,2,0))&amp;"_"&amp;RIGHT(A4181,3)</f>
        <v>#N/A</v>
      </c>
      <c r="I4181" s="66">
        <f t="shared" si="455"/>
        <v>0</v>
      </c>
      <c r="K4181" s="66" t="str">
        <f t="shared" si="456"/>
        <v/>
      </c>
      <c r="L4181" s="66" t="str">
        <f t="shared" si="457"/>
        <v/>
      </c>
      <c r="M4181" s="66" t="str">
        <f t="shared" si="458"/>
        <v/>
      </c>
      <c r="N4181" s="66" t="str">
        <f t="shared" si="459"/>
        <v/>
      </c>
      <c r="O4181" s="66" t="str">
        <f t="shared" si="460"/>
        <v/>
      </c>
      <c r="P4181" s="66" t="str">
        <f t="shared" si="461"/>
        <v/>
      </c>
    </row>
    <row r="4182" spans="8:16">
      <c r="H4182" s="66" t="e">
        <f>IF(LEFT(A4182,6)="CEPNTR","GPINS",VLOOKUP(LEFT(A4182,6),'Code Library'!$A$3:$B$920,2,0))&amp;"_"&amp;RIGHT(A4182,3)</f>
        <v>#N/A</v>
      </c>
      <c r="I4182" s="66">
        <f t="shared" si="455"/>
        <v>0</v>
      </c>
      <c r="K4182" s="66" t="str">
        <f t="shared" si="456"/>
        <v/>
      </c>
      <c r="L4182" s="66" t="str">
        <f t="shared" si="457"/>
        <v/>
      </c>
      <c r="M4182" s="66" t="str">
        <f t="shared" si="458"/>
        <v/>
      </c>
      <c r="N4182" s="66" t="str">
        <f t="shared" si="459"/>
        <v/>
      </c>
      <c r="O4182" s="66" t="str">
        <f t="shared" si="460"/>
        <v/>
      </c>
      <c r="P4182" s="66" t="str">
        <f t="shared" si="461"/>
        <v/>
      </c>
    </row>
    <row r="4183" spans="8:16">
      <c r="H4183" s="66" t="e">
        <f>IF(LEFT(A4183,6)="CEPNTR","GPINS",VLOOKUP(LEFT(A4183,6),'Code Library'!$A$3:$B$920,2,0))&amp;"_"&amp;RIGHT(A4183,3)</f>
        <v>#N/A</v>
      </c>
      <c r="I4183" s="66">
        <f t="shared" si="455"/>
        <v>0</v>
      </c>
      <c r="K4183" s="66" t="str">
        <f t="shared" si="456"/>
        <v/>
      </c>
      <c r="L4183" s="66" t="str">
        <f t="shared" si="457"/>
        <v/>
      </c>
      <c r="M4183" s="66" t="str">
        <f t="shared" si="458"/>
        <v/>
      </c>
      <c r="N4183" s="66" t="str">
        <f t="shared" si="459"/>
        <v/>
      </c>
      <c r="O4183" s="66" t="str">
        <f t="shared" si="460"/>
        <v/>
      </c>
      <c r="P4183" s="66" t="str">
        <f t="shared" si="461"/>
        <v/>
      </c>
    </row>
    <row r="4184" spans="8:16">
      <c r="H4184" s="66" t="e">
        <f>IF(LEFT(A4184,6)="CEPNTR","GPINS",VLOOKUP(LEFT(A4184,6),'Code Library'!$A$3:$B$920,2,0))&amp;"_"&amp;RIGHT(A4184,3)</f>
        <v>#N/A</v>
      </c>
      <c r="I4184" s="66">
        <f t="shared" si="455"/>
        <v>0</v>
      </c>
      <c r="K4184" s="66" t="str">
        <f t="shared" si="456"/>
        <v/>
      </c>
      <c r="L4184" s="66" t="str">
        <f t="shared" si="457"/>
        <v/>
      </c>
      <c r="M4184" s="66" t="str">
        <f t="shared" si="458"/>
        <v/>
      </c>
      <c r="N4184" s="66" t="str">
        <f t="shared" si="459"/>
        <v/>
      </c>
      <c r="O4184" s="66" t="str">
        <f t="shared" si="460"/>
        <v/>
      </c>
      <c r="P4184" s="66" t="str">
        <f t="shared" si="461"/>
        <v/>
      </c>
    </row>
    <row r="4185" spans="8:16">
      <c r="H4185" s="66" t="e">
        <f>IF(LEFT(A4185,6)="CEPNTR","GPINS",VLOOKUP(LEFT(A4185,6),'Code Library'!$A$3:$B$920,2,0))&amp;"_"&amp;RIGHT(A4185,3)</f>
        <v>#N/A</v>
      </c>
      <c r="I4185" s="66">
        <f t="shared" si="455"/>
        <v>0</v>
      </c>
      <c r="K4185" s="66" t="str">
        <f t="shared" si="456"/>
        <v/>
      </c>
      <c r="L4185" s="66" t="str">
        <f t="shared" si="457"/>
        <v/>
      </c>
      <c r="M4185" s="66" t="str">
        <f t="shared" si="458"/>
        <v/>
      </c>
      <c r="N4185" s="66" t="str">
        <f t="shared" si="459"/>
        <v/>
      </c>
      <c r="O4185" s="66" t="str">
        <f t="shared" si="460"/>
        <v/>
      </c>
      <c r="P4185" s="66" t="str">
        <f t="shared" si="461"/>
        <v/>
      </c>
    </row>
    <row r="4186" spans="8:16">
      <c r="H4186" s="66" t="e">
        <f>IF(LEFT(A4186,6)="CEPNTR","GPINS",VLOOKUP(LEFT(A4186,6),'Code Library'!$A$3:$B$920,2,0))&amp;"_"&amp;RIGHT(A4186,3)</f>
        <v>#N/A</v>
      </c>
      <c r="I4186" s="66">
        <f t="shared" si="455"/>
        <v>0</v>
      </c>
      <c r="K4186" s="66" t="str">
        <f t="shared" si="456"/>
        <v/>
      </c>
      <c r="L4186" s="66" t="str">
        <f t="shared" si="457"/>
        <v/>
      </c>
      <c r="M4186" s="66" t="str">
        <f t="shared" si="458"/>
        <v/>
      </c>
      <c r="N4186" s="66" t="str">
        <f t="shared" si="459"/>
        <v/>
      </c>
      <c r="O4186" s="66" t="str">
        <f t="shared" si="460"/>
        <v/>
      </c>
      <c r="P4186" s="66" t="str">
        <f t="shared" si="461"/>
        <v/>
      </c>
    </row>
    <row r="4187" spans="8:16">
      <c r="H4187" s="66" t="e">
        <f>IF(LEFT(A4187,6)="CEPNTR","GPINS",VLOOKUP(LEFT(A4187,6),'Code Library'!$A$3:$B$920,2,0))&amp;"_"&amp;RIGHT(A4187,3)</f>
        <v>#N/A</v>
      </c>
      <c r="I4187" s="66">
        <f t="shared" si="455"/>
        <v>0</v>
      </c>
      <c r="K4187" s="66" t="str">
        <f t="shared" si="456"/>
        <v/>
      </c>
      <c r="L4187" s="66" t="str">
        <f t="shared" si="457"/>
        <v/>
      </c>
      <c r="M4187" s="66" t="str">
        <f t="shared" si="458"/>
        <v/>
      </c>
      <c r="N4187" s="66" t="str">
        <f t="shared" si="459"/>
        <v/>
      </c>
      <c r="O4187" s="66" t="str">
        <f t="shared" si="460"/>
        <v/>
      </c>
      <c r="P4187" s="66" t="str">
        <f t="shared" si="461"/>
        <v/>
      </c>
    </row>
    <row r="4188" spans="8:16">
      <c r="H4188" s="66" t="e">
        <f>IF(LEFT(A4188,6)="CEPNTR","GPINS",VLOOKUP(LEFT(A4188,6),'Code Library'!$A$3:$B$920,2,0))&amp;"_"&amp;RIGHT(A4188,3)</f>
        <v>#N/A</v>
      </c>
      <c r="I4188" s="66">
        <f t="shared" si="455"/>
        <v>0</v>
      </c>
      <c r="K4188" s="66" t="str">
        <f t="shared" si="456"/>
        <v/>
      </c>
      <c r="L4188" s="66" t="str">
        <f t="shared" si="457"/>
        <v/>
      </c>
      <c r="M4188" s="66" t="str">
        <f t="shared" si="458"/>
        <v/>
      </c>
      <c r="N4188" s="66" t="str">
        <f t="shared" si="459"/>
        <v/>
      </c>
      <c r="O4188" s="66" t="str">
        <f t="shared" si="460"/>
        <v/>
      </c>
      <c r="P4188" s="66" t="str">
        <f t="shared" si="461"/>
        <v/>
      </c>
    </row>
    <row r="4189" spans="8:16">
      <c r="H4189" s="66" t="e">
        <f>IF(LEFT(A4189,6)="CEPNTR","GPINS",VLOOKUP(LEFT(A4189,6),'Code Library'!$A$3:$B$920,2,0))&amp;"_"&amp;RIGHT(A4189,3)</f>
        <v>#N/A</v>
      </c>
      <c r="I4189" s="66">
        <f t="shared" si="455"/>
        <v>0</v>
      </c>
      <c r="K4189" s="66" t="str">
        <f t="shared" si="456"/>
        <v/>
      </c>
      <c r="L4189" s="66" t="str">
        <f t="shared" si="457"/>
        <v/>
      </c>
      <c r="M4189" s="66" t="str">
        <f t="shared" si="458"/>
        <v/>
      </c>
      <c r="N4189" s="66" t="str">
        <f t="shared" si="459"/>
        <v/>
      </c>
      <c r="O4189" s="66" t="str">
        <f t="shared" si="460"/>
        <v/>
      </c>
      <c r="P4189" s="66" t="str">
        <f t="shared" si="461"/>
        <v/>
      </c>
    </row>
    <row r="4190" spans="8:16">
      <c r="H4190" s="66" t="e">
        <f>IF(LEFT(A4190,6)="CEPNTR","GPINS",VLOOKUP(LEFT(A4190,6),'Code Library'!$A$3:$B$920,2,0))&amp;"_"&amp;RIGHT(A4190,3)</f>
        <v>#N/A</v>
      </c>
      <c r="I4190" s="66">
        <f t="shared" si="455"/>
        <v>0</v>
      </c>
      <c r="K4190" s="66" t="str">
        <f t="shared" si="456"/>
        <v/>
      </c>
      <c r="L4190" s="66" t="str">
        <f t="shared" si="457"/>
        <v/>
      </c>
      <c r="M4190" s="66" t="str">
        <f t="shared" si="458"/>
        <v/>
      </c>
      <c r="N4190" s="66" t="str">
        <f t="shared" si="459"/>
        <v/>
      </c>
      <c r="O4190" s="66" t="str">
        <f t="shared" si="460"/>
        <v/>
      </c>
      <c r="P4190" s="66" t="str">
        <f t="shared" si="461"/>
        <v/>
      </c>
    </row>
    <row r="4191" spans="8:16">
      <c r="H4191" s="66" t="e">
        <f>IF(LEFT(A4191,6)="CEPNTR","GPINS",VLOOKUP(LEFT(A4191,6),'Code Library'!$A$3:$B$920,2,0))&amp;"_"&amp;RIGHT(A4191,3)</f>
        <v>#N/A</v>
      </c>
      <c r="I4191" s="66">
        <f t="shared" si="455"/>
        <v>0</v>
      </c>
      <c r="K4191" s="66" t="str">
        <f t="shared" si="456"/>
        <v/>
      </c>
      <c r="L4191" s="66" t="str">
        <f t="shared" si="457"/>
        <v/>
      </c>
      <c r="M4191" s="66" t="str">
        <f t="shared" si="458"/>
        <v/>
      </c>
      <c r="N4191" s="66" t="str">
        <f t="shared" si="459"/>
        <v/>
      </c>
      <c r="O4191" s="66" t="str">
        <f t="shared" si="460"/>
        <v/>
      </c>
      <c r="P4191" s="66" t="str">
        <f t="shared" si="461"/>
        <v/>
      </c>
    </row>
    <row r="4192" spans="8:16">
      <c r="H4192" s="66" t="e">
        <f>IF(LEFT(A4192,6)="CEPNTR","GPINS",VLOOKUP(LEFT(A4192,6),'Code Library'!$A$3:$B$920,2,0))&amp;"_"&amp;RIGHT(A4192,3)</f>
        <v>#N/A</v>
      </c>
      <c r="I4192" s="66">
        <f t="shared" si="455"/>
        <v>0</v>
      </c>
      <c r="K4192" s="66" t="str">
        <f t="shared" si="456"/>
        <v/>
      </c>
      <c r="L4192" s="66" t="str">
        <f t="shared" si="457"/>
        <v/>
      </c>
      <c r="M4192" s="66" t="str">
        <f t="shared" si="458"/>
        <v/>
      </c>
      <c r="N4192" s="66" t="str">
        <f t="shared" si="459"/>
        <v/>
      </c>
      <c r="O4192" s="66" t="str">
        <f t="shared" si="460"/>
        <v/>
      </c>
      <c r="P4192" s="66" t="str">
        <f t="shared" si="461"/>
        <v/>
      </c>
    </row>
    <row r="4193" spans="8:16">
      <c r="H4193" s="66" t="e">
        <f>IF(LEFT(A4193,6)="CEPNTR","GPINS",VLOOKUP(LEFT(A4193,6),'Code Library'!$A$3:$B$920,2,0))&amp;"_"&amp;RIGHT(A4193,3)</f>
        <v>#N/A</v>
      </c>
      <c r="I4193" s="66">
        <f t="shared" si="455"/>
        <v>0</v>
      </c>
      <c r="K4193" s="66" t="str">
        <f t="shared" si="456"/>
        <v/>
      </c>
      <c r="L4193" s="66" t="str">
        <f t="shared" si="457"/>
        <v/>
      </c>
      <c r="M4193" s="66" t="str">
        <f t="shared" si="458"/>
        <v/>
      </c>
      <c r="N4193" s="66" t="str">
        <f t="shared" si="459"/>
        <v/>
      </c>
      <c r="O4193" s="66" t="str">
        <f t="shared" si="460"/>
        <v/>
      </c>
      <c r="P4193" s="66" t="str">
        <f t="shared" si="461"/>
        <v/>
      </c>
    </row>
    <row r="4194" spans="8:16">
      <c r="H4194" s="66" t="e">
        <f>IF(LEFT(A4194,6)="CEPNTR","GPINS",VLOOKUP(LEFT(A4194,6),'Code Library'!$A$3:$B$920,2,0))&amp;"_"&amp;RIGHT(A4194,3)</f>
        <v>#N/A</v>
      </c>
      <c r="I4194" s="66">
        <f t="shared" si="455"/>
        <v>0</v>
      </c>
      <c r="K4194" s="66" t="str">
        <f t="shared" si="456"/>
        <v/>
      </c>
      <c r="L4194" s="66" t="str">
        <f t="shared" si="457"/>
        <v/>
      </c>
      <c r="M4194" s="66" t="str">
        <f t="shared" si="458"/>
        <v/>
      </c>
      <c r="N4194" s="66" t="str">
        <f t="shared" si="459"/>
        <v/>
      </c>
      <c r="O4194" s="66" t="str">
        <f t="shared" si="460"/>
        <v/>
      </c>
      <c r="P4194" s="66" t="str">
        <f t="shared" si="461"/>
        <v/>
      </c>
    </row>
    <row r="4195" spans="8:16">
      <c r="H4195" s="66" t="e">
        <f>IF(LEFT(A4195,6)="CEPNTR","GPINS",VLOOKUP(LEFT(A4195,6),'Code Library'!$A$3:$B$920,2,0))&amp;"_"&amp;RIGHT(A4195,3)</f>
        <v>#N/A</v>
      </c>
      <c r="I4195" s="66">
        <f t="shared" si="455"/>
        <v>0</v>
      </c>
      <c r="K4195" s="66" t="str">
        <f t="shared" si="456"/>
        <v/>
      </c>
      <c r="L4195" s="66" t="str">
        <f t="shared" si="457"/>
        <v/>
      </c>
      <c r="M4195" s="66" t="str">
        <f t="shared" si="458"/>
        <v/>
      </c>
      <c r="N4195" s="66" t="str">
        <f t="shared" si="459"/>
        <v/>
      </c>
      <c r="O4195" s="66" t="str">
        <f t="shared" si="460"/>
        <v/>
      </c>
      <c r="P4195" s="66" t="str">
        <f t="shared" si="461"/>
        <v/>
      </c>
    </row>
    <row r="4196" spans="8:16">
      <c r="H4196" s="66" t="e">
        <f>IF(LEFT(A4196,6)="CEPNTR","GPINS",VLOOKUP(LEFT(A4196,6),'Code Library'!$A$3:$B$920,2,0))&amp;"_"&amp;RIGHT(A4196,3)</f>
        <v>#N/A</v>
      </c>
      <c r="I4196" s="66">
        <f t="shared" si="455"/>
        <v>0</v>
      </c>
      <c r="K4196" s="66" t="str">
        <f t="shared" si="456"/>
        <v/>
      </c>
      <c r="L4196" s="66" t="str">
        <f t="shared" si="457"/>
        <v/>
      </c>
      <c r="M4196" s="66" t="str">
        <f t="shared" si="458"/>
        <v/>
      </c>
      <c r="N4196" s="66" t="str">
        <f t="shared" si="459"/>
        <v/>
      </c>
      <c r="O4196" s="66" t="str">
        <f t="shared" si="460"/>
        <v/>
      </c>
      <c r="P4196" s="66" t="str">
        <f t="shared" si="461"/>
        <v/>
      </c>
    </row>
    <row r="4197" spans="8:16">
      <c r="H4197" s="66" t="e">
        <f>IF(LEFT(A4197,6)="CEPNTR","GPINS",VLOOKUP(LEFT(A4197,6),'Code Library'!$A$3:$B$920,2,0))&amp;"_"&amp;RIGHT(A4197,3)</f>
        <v>#N/A</v>
      </c>
      <c r="I4197" s="66">
        <f t="shared" si="455"/>
        <v>0</v>
      </c>
      <c r="K4197" s="66" t="str">
        <f t="shared" si="456"/>
        <v/>
      </c>
      <c r="L4197" s="66" t="str">
        <f t="shared" si="457"/>
        <v/>
      </c>
      <c r="M4197" s="66" t="str">
        <f t="shared" si="458"/>
        <v/>
      </c>
      <c r="N4197" s="66" t="str">
        <f t="shared" si="459"/>
        <v/>
      </c>
      <c r="O4197" s="66" t="str">
        <f t="shared" si="460"/>
        <v/>
      </c>
      <c r="P4197" s="66" t="str">
        <f t="shared" si="461"/>
        <v/>
      </c>
    </row>
    <row r="4198" spans="8:16">
      <c r="H4198" s="66" t="e">
        <f>IF(LEFT(A4198,6)="CEPNTR","GPINS",VLOOKUP(LEFT(A4198,6),'Code Library'!$A$3:$B$920,2,0))&amp;"_"&amp;RIGHT(A4198,3)</f>
        <v>#N/A</v>
      </c>
      <c r="I4198" s="66">
        <f t="shared" si="455"/>
        <v>0</v>
      </c>
      <c r="K4198" s="66" t="str">
        <f t="shared" si="456"/>
        <v/>
      </c>
      <c r="L4198" s="66" t="str">
        <f t="shared" si="457"/>
        <v/>
      </c>
      <c r="M4198" s="66" t="str">
        <f t="shared" si="458"/>
        <v/>
      </c>
      <c r="N4198" s="66" t="str">
        <f t="shared" si="459"/>
        <v/>
      </c>
      <c r="O4198" s="66" t="str">
        <f t="shared" si="460"/>
        <v/>
      </c>
      <c r="P4198" s="66" t="str">
        <f t="shared" si="461"/>
        <v/>
      </c>
    </row>
    <row r="4199" spans="8:16">
      <c r="H4199" s="66" t="e">
        <f>IF(LEFT(A4199,6)="CEPNTR","GPINS",VLOOKUP(LEFT(A4199,6),'Code Library'!$A$3:$B$920,2,0))&amp;"_"&amp;RIGHT(A4199,3)</f>
        <v>#N/A</v>
      </c>
      <c r="I4199" s="66">
        <f t="shared" si="455"/>
        <v>0</v>
      </c>
      <c r="K4199" s="66" t="str">
        <f t="shared" si="456"/>
        <v/>
      </c>
      <c r="L4199" s="66" t="str">
        <f t="shared" si="457"/>
        <v/>
      </c>
      <c r="M4199" s="66" t="str">
        <f t="shared" si="458"/>
        <v/>
      </c>
      <c r="N4199" s="66" t="str">
        <f t="shared" si="459"/>
        <v/>
      </c>
      <c r="O4199" s="66" t="str">
        <f t="shared" si="460"/>
        <v/>
      </c>
      <c r="P4199" s="66" t="str">
        <f t="shared" si="461"/>
        <v/>
      </c>
    </row>
    <row r="4200" spans="8:16">
      <c r="H4200" s="66" t="e">
        <f>IF(LEFT(A4200,6)="CEPNTR","GPINS",VLOOKUP(LEFT(A4200,6),'Code Library'!$A$3:$B$920,2,0))&amp;"_"&amp;RIGHT(A4200,3)</f>
        <v>#N/A</v>
      </c>
      <c r="I4200" s="66">
        <f t="shared" si="455"/>
        <v>0</v>
      </c>
      <c r="K4200" s="66" t="str">
        <f t="shared" si="456"/>
        <v/>
      </c>
      <c r="L4200" s="66" t="str">
        <f t="shared" si="457"/>
        <v/>
      </c>
      <c r="M4200" s="66" t="str">
        <f t="shared" si="458"/>
        <v/>
      </c>
      <c r="N4200" s="66" t="str">
        <f t="shared" si="459"/>
        <v/>
      </c>
      <c r="O4200" s="66" t="str">
        <f t="shared" si="460"/>
        <v/>
      </c>
      <c r="P4200" s="66" t="str">
        <f t="shared" si="461"/>
        <v/>
      </c>
    </row>
    <row r="4201" spans="8:16">
      <c r="H4201" s="66" t="e">
        <f>IF(LEFT(A4201,6)="CEPNTR","GPINS",VLOOKUP(LEFT(A4201,6),'Code Library'!$A$3:$B$920,2,0))&amp;"_"&amp;RIGHT(A4201,3)</f>
        <v>#N/A</v>
      </c>
      <c r="I4201" s="66">
        <f t="shared" si="455"/>
        <v>0</v>
      </c>
      <c r="K4201" s="66" t="str">
        <f t="shared" si="456"/>
        <v/>
      </c>
      <c r="L4201" s="66" t="str">
        <f t="shared" si="457"/>
        <v/>
      </c>
      <c r="M4201" s="66" t="str">
        <f t="shared" si="458"/>
        <v/>
      </c>
      <c r="N4201" s="66" t="str">
        <f t="shared" si="459"/>
        <v/>
      </c>
      <c r="O4201" s="66" t="str">
        <f t="shared" si="460"/>
        <v/>
      </c>
      <c r="P4201" s="66" t="str">
        <f t="shared" si="461"/>
        <v/>
      </c>
    </row>
    <row r="4202" spans="8:16">
      <c r="H4202" s="66" t="e">
        <f>IF(LEFT(A4202,6)="CEPNTR","GPINS",VLOOKUP(LEFT(A4202,6),'Code Library'!$A$3:$B$920,2,0))&amp;"_"&amp;RIGHT(A4202,3)</f>
        <v>#N/A</v>
      </c>
      <c r="I4202" s="66">
        <f t="shared" si="455"/>
        <v>0</v>
      </c>
      <c r="K4202" s="66" t="str">
        <f t="shared" si="456"/>
        <v/>
      </c>
      <c r="L4202" s="66" t="str">
        <f t="shared" si="457"/>
        <v/>
      </c>
      <c r="M4202" s="66" t="str">
        <f t="shared" si="458"/>
        <v/>
      </c>
      <c r="N4202" s="66" t="str">
        <f t="shared" si="459"/>
        <v/>
      </c>
      <c r="O4202" s="66" t="str">
        <f t="shared" si="460"/>
        <v/>
      </c>
      <c r="P4202" s="66" t="str">
        <f t="shared" si="461"/>
        <v/>
      </c>
    </row>
    <row r="4203" spans="8:16">
      <c r="H4203" s="66" t="e">
        <f>IF(LEFT(A4203,6)="CEPNTR","GPINS",VLOOKUP(LEFT(A4203,6),'Code Library'!$A$3:$B$920,2,0))&amp;"_"&amp;RIGHT(A4203,3)</f>
        <v>#N/A</v>
      </c>
      <c r="I4203" s="66">
        <f t="shared" si="455"/>
        <v>0</v>
      </c>
      <c r="K4203" s="66" t="str">
        <f t="shared" si="456"/>
        <v/>
      </c>
      <c r="L4203" s="66" t="str">
        <f t="shared" si="457"/>
        <v/>
      </c>
      <c r="M4203" s="66" t="str">
        <f t="shared" si="458"/>
        <v/>
      </c>
      <c r="N4203" s="66" t="str">
        <f t="shared" si="459"/>
        <v/>
      </c>
      <c r="O4203" s="66" t="str">
        <f t="shared" si="460"/>
        <v/>
      </c>
      <c r="P4203" s="66" t="str">
        <f t="shared" si="461"/>
        <v/>
      </c>
    </row>
    <row r="4204" spans="8:16">
      <c r="H4204" s="66" t="e">
        <f>IF(LEFT(A4204,6)="CEPNTR","GPINS",VLOOKUP(LEFT(A4204,6),'Code Library'!$A$3:$B$920,2,0))&amp;"_"&amp;RIGHT(A4204,3)</f>
        <v>#N/A</v>
      </c>
      <c r="I4204" s="66">
        <f t="shared" si="455"/>
        <v>0</v>
      </c>
      <c r="K4204" s="66" t="str">
        <f t="shared" si="456"/>
        <v/>
      </c>
      <c r="L4204" s="66" t="str">
        <f t="shared" si="457"/>
        <v/>
      </c>
      <c r="M4204" s="66" t="str">
        <f t="shared" si="458"/>
        <v/>
      </c>
      <c r="N4204" s="66" t="str">
        <f t="shared" si="459"/>
        <v/>
      </c>
      <c r="O4204" s="66" t="str">
        <f t="shared" si="460"/>
        <v/>
      </c>
      <c r="P4204" s="66" t="str">
        <f t="shared" si="461"/>
        <v/>
      </c>
    </row>
    <row r="4205" spans="8:16">
      <c r="H4205" s="66" t="e">
        <f>IF(LEFT(A4205,6)="CEPNTR","GPINS",VLOOKUP(LEFT(A4205,6),'Code Library'!$A$3:$B$920,2,0))&amp;"_"&amp;RIGHT(A4205,3)</f>
        <v>#N/A</v>
      </c>
      <c r="I4205" s="66">
        <f t="shared" si="455"/>
        <v>0</v>
      </c>
      <c r="K4205" s="66" t="str">
        <f t="shared" si="456"/>
        <v/>
      </c>
      <c r="L4205" s="66" t="str">
        <f t="shared" si="457"/>
        <v/>
      </c>
      <c r="M4205" s="66" t="str">
        <f t="shared" si="458"/>
        <v/>
      </c>
      <c r="N4205" s="66" t="str">
        <f t="shared" si="459"/>
        <v/>
      </c>
      <c r="O4205" s="66" t="str">
        <f t="shared" si="460"/>
        <v/>
      </c>
      <c r="P4205" s="66" t="str">
        <f t="shared" si="461"/>
        <v/>
      </c>
    </row>
    <row r="4206" spans="8:16">
      <c r="H4206" s="66" t="e">
        <f>IF(LEFT(A4206,6)="CEPNTR","GPINS",VLOOKUP(LEFT(A4206,6),'Code Library'!$A$3:$B$920,2,0))&amp;"_"&amp;RIGHT(A4206,3)</f>
        <v>#N/A</v>
      </c>
      <c r="I4206" s="66">
        <f t="shared" si="455"/>
        <v>0</v>
      </c>
      <c r="K4206" s="66" t="str">
        <f t="shared" si="456"/>
        <v/>
      </c>
      <c r="L4206" s="66" t="str">
        <f t="shared" si="457"/>
        <v/>
      </c>
      <c r="M4206" s="66" t="str">
        <f t="shared" si="458"/>
        <v/>
      </c>
      <c r="N4206" s="66" t="str">
        <f t="shared" si="459"/>
        <v/>
      </c>
      <c r="O4206" s="66" t="str">
        <f t="shared" si="460"/>
        <v/>
      </c>
      <c r="P4206" s="66" t="str">
        <f t="shared" si="461"/>
        <v/>
      </c>
    </row>
    <row r="4207" spans="8:16">
      <c r="H4207" s="66" t="e">
        <f>IF(LEFT(A4207,6)="CEPNTR","GPINS",VLOOKUP(LEFT(A4207,6),'Code Library'!$A$3:$B$920,2,0))&amp;"_"&amp;RIGHT(A4207,3)</f>
        <v>#N/A</v>
      </c>
      <c r="I4207" s="66">
        <f t="shared" si="455"/>
        <v>0</v>
      </c>
      <c r="K4207" s="66" t="str">
        <f t="shared" si="456"/>
        <v/>
      </c>
      <c r="L4207" s="66" t="str">
        <f t="shared" si="457"/>
        <v/>
      </c>
      <c r="M4207" s="66" t="str">
        <f t="shared" si="458"/>
        <v/>
      </c>
      <c r="N4207" s="66" t="str">
        <f t="shared" si="459"/>
        <v/>
      </c>
      <c r="O4207" s="66" t="str">
        <f t="shared" si="460"/>
        <v/>
      </c>
      <c r="P4207" s="66" t="str">
        <f t="shared" si="461"/>
        <v/>
      </c>
    </row>
    <row r="4208" spans="8:16">
      <c r="H4208" s="66" t="e">
        <f>IF(LEFT(A4208,6)="CEPNTR","GPINS",VLOOKUP(LEFT(A4208,6),'Code Library'!$A$3:$B$920,2,0))&amp;"_"&amp;RIGHT(A4208,3)</f>
        <v>#N/A</v>
      </c>
      <c r="I4208" s="66">
        <f t="shared" si="455"/>
        <v>0</v>
      </c>
      <c r="K4208" s="66" t="str">
        <f t="shared" si="456"/>
        <v/>
      </c>
      <c r="L4208" s="66" t="str">
        <f t="shared" si="457"/>
        <v/>
      </c>
      <c r="M4208" s="66" t="str">
        <f t="shared" si="458"/>
        <v/>
      </c>
      <c r="N4208" s="66" t="str">
        <f t="shared" si="459"/>
        <v/>
      </c>
      <c r="O4208" s="66" t="str">
        <f t="shared" si="460"/>
        <v/>
      </c>
      <c r="P4208" s="66" t="str">
        <f t="shared" si="461"/>
        <v/>
      </c>
    </row>
    <row r="4209" spans="8:16">
      <c r="H4209" s="66" t="e">
        <f>IF(LEFT(A4209,6)="CEPNTR","GPINS",VLOOKUP(LEFT(A4209,6),'Code Library'!$A$3:$B$920,2,0))&amp;"_"&amp;RIGHT(A4209,3)</f>
        <v>#N/A</v>
      </c>
      <c r="I4209" s="66">
        <f t="shared" si="455"/>
        <v>0</v>
      </c>
      <c r="K4209" s="66" t="str">
        <f t="shared" si="456"/>
        <v/>
      </c>
      <c r="L4209" s="66" t="str">
        <f t="shared" si="457"/>
        <v/>
      </c>
      <c r="M4209" s="66" t="str">
        <f t="shared" si="458"/>
        <v/>
      </c>
      <c r="N4209" s="66" t="str">
        <f t="shared" si="459"/>
        <v/>
      </c>
      <c r="O4209" s="66" t="str">
        <f t="shared" si="460"/>
        <v/>
      </c>
      <c r="P4209" s="66" t="str">
        <f t="shared" si="461"/>
        <v/>
      </c>
    </row>
    <row r="4210" spans="8:16">
      <c r="H4210" s="66" t="e">
        <f>IF(LEFT(A4210,6)="CEPNTR","GPINS",VLOOKUP(LEFT(A4210,6),'Code Library'!$A$3:$B$920,2,0))&amp;"_"&amp;RIGHT(A4210,3)</f>
        <v>#N/A</v>
      </c>
      <c r="I4210" s="66">
        <f t="shared" si="455"/>
        <v>0</v>
      </c>
      <c r="K4210" s="66" t="str">
        <f t="shared" si="456"/>
        <v/>
      </c>
      <c r="L4210" s="66" t="str">
        <f t="shared" si="457"/>
        <v/>
      </c>
      <c r="M4210" s="66" t="str">
        <f t="shared" si="458"/>
        <v/>
      </c>
      <c r="N4210" s="66" t="str">
        <f t="shared" si="459"/>
        <v/>
      </c>
      <c r="O4210" s="66" t="str">
        <f t="shared" si="460"/>
        <v/>
      </c>
      <c r="P4210" s="66" t="str">
        <f t="shared" si="461"/>
        <v/>
      </c>
    </row>
    <row r="4211" spans="8:16">
      <c r="H4211" s="66" t="e">
        <f>IF(LEFT(A4211,6)="CEPNTR","GPINS",VLOOKUP(LEFT(A4211,6),'Code Library'!$A$3:$B$920,2,0))&amp;"_"&amp;RIGHT(A4211,3)</f>
        <v>#N/A</v>
      </c>
      <c r="I4211" s="66">
        <f t="shared" si="455"/>
        <v>0</v>
      </c>
      <c r="K4211" s="66" t="str">
        <f t="shared" si="456"/>
        <v/>
      </c>
      <c r="L4211" s="66" t="str">
        <f t="shared" si="457"/>
        <v/>
      </c>
      <c r="M4211" s="66" t="str">
        <f t="shared" si="458"/>
        <v/>
      </c>
      <c r="N4211" s="66" t="str">
        <f t="shared" si="459"/>
        <v/>
      </c>
      <c r="O4211" s="66" t="str">
        <f t="shared" si="460"/>
        <v/>
      </c>
      <c r="P4211" s="66" t="str">
        <f t="shared" si="461"/>
        <v/>
      </c>
    </row>
    <row r="4212" spans="8:16">
      <c r="H4212" s="66" t="e">
        <f>IF(LEFT(A4212,6)="CEPNTR","GPINS",VLOOKUP(LEFT(A4212,6),'Code Library'!$A$3:$B$920,2,0))&amp;"_"&amp;RIGHT(A4212,3)</f>
        <v>#N/A</v>
      </c>
      <c r="I4212" s="66">
        <f t="shared" si="455"/>
        <v>0</v>
      </c>
      <c r="K4212" s="66" t="str">
        <f t="shared" si="456"/>
        <v/>
      </c>
      <c r="L4212" s="66" t="str">
        <f t="shared" si="457"/>
        <v/>
      </c>
      <c r="M4212" s="66" t="str">
        <f t="shared" si="458"/>
        <v/>
      </c>
      <c r="N4212" s="66" t="str">
        <f t="shared" si="459"/>
        <v/>
      </c>
      <c r="O4212" s="66" t="str">
        <f t="shared" si="460"/>
        <v/>
      </c>
      <c r="P4212" s="66" t="str">
        <f t="shared" si="461"/>
        <v/>
      </c>
    </row>
    <row r="4213" spans="8:16">
      <c r="H4213" s="66" t="e">
        <f>IF(LEFT(A4213,6)="CEPNTR","GPINS",VLOOKUP(LEFT(A4213,6),'Code Library'!$A$3:$B$920,2,0))&amp;"_"&amp;RIGHT(A4213,3)</f>
        <v>#N/A</v>
      </c>
      <c r="I4213" s="66">
        <f t="shared" si="455"/>
        <v>0</v>
      </c>
      <c r="K4213" s="66" t="str">
        <f t="shared" si="456"/>
        <v/>
      </c>
      <c r="L4213" s="66" t="str">
        <f t="shared" si="457"/>
        <v/>
      </c>
      <c r="M4213" s="66" t="str">
        <f t="shared" si="458"/>
        <v/>
      </c>
      <c r="N4213" s="66" t="str">
        <f t="shared" si="459"/>
        <v/>
      </c>
      <c r="O4213" s="66" t="str">
        <f t="shared" si="460"/>
        <v/>
      </c>
      <c r="P4213" s="66" t="str">
        <f t="shared" si="461"/>
        <v/>
      </c>
    </row>
    <row r="4214" spans="8:16">
      <c r="H4214" s="66" t="e">
        <f>IF(LEFT(A4214,6)="CEPNTR","GPINS",VLOOKUP(LEFT(A4214,6),'Code Library'!$A$3:$B$920,2,0))&amp;"_"&amp;RIGHT(A4214,3)</f>
        <v>#N/A</v>
      </c>
      <c r="I4214" s="66">
        <f t="shared" si="455"/>
        <v>0</v>
      </c>
      <c r="K4214" s="66" t="str">
        <f t="shared" si="456"/>
        <v/>
      </c>
      <c r="L4214" s="66" t="str">
        <f t="shared" si="457"/>
        <v/>
      </c>
      <c r="M4214" s="66" t="str">
        <f t="shared" si="458"/>
        <v/>
      </c>
      <c r="N4214" s="66" t="str">
        <f t="shared" si="459"/>
        <v/>
      </c>
      <c r="O4214" s="66" t="str">
        <f t="shared" si="460"/>
        <v/>
      </c>
      <c r="P4214" s="66" t="str">
        <f t="shared" si="461"/>
        <v/>
      </c>
    </row>
    <row r="4215" spans="8:16">
      <c r="H4215" s="66" t="e">
        <f>IF(LEFT(A4215,6)="CEPNTR","GPINS",VLOOKUP(LEFT(A4215,6),'Code Library'!$A$3:$B$920,2,0))&amp;"_"&amp;RIGHT(A4215,3)</f>
        <v>#N/A</v>
      </c>
      <c r="I4215" s="66">
        <f t="shared" si="455"/>
        <v>0</v>
      </c>
      <c r="K4215" s="66" t="str">
        <f t="shared" si="456"/>
        <v/>
      </c>
      <c r="L4215" s="66" t="str">
        <f t="shared" si="457"/>
        <v/>
      </c>
      <c r="M4215" s="66" t="str">
        <f t="shared" si="458"/>
        <v/>
      </c>
      <c r="N4215" s="66" t="str">
        <f t="shared" si="459"/>
        <v/>
      </c>
      <c r="O4215" s="66" t="str">
        <f t="shared" si="460"/>
        <v/>
      </c>
      <c r="P4215" s="66" t="str">
        <f t="shared" si="461"/>
        <v/>
      </c>
    </row>
    <row r="4216" spans="8:16">
      <c r="H4216" s="66" t="e">
        <f>IF(LEFT(A4216,6)="CEPNTR","GPINS",VLOOKUP(LEFT(A4216,6),'Code Library'!$A$3:$B$920,2,0))&amp;"_"&amp;RIGHT(A4216,3)</f>
        <v>#N/A</v>
      </c>
      <c r="I4216" s="66">
        <f t="shared" si="455"/>
        <v>0</v>
      </c>
      <c r="K4216" s="66" t="str">
        <f t="shared" si="456"/>
        <v/>
      </c>
      <c r="L4216" s="66" t="str">
        <f t="shared" si="457"/>
        <v/>
      </c>
      <c r="M4216" s="66" t="str">
        <f t="shared" si="458"/>
        <v/>
      </c>
      <c r="N4216" s="66" t="str">
        <f t="shared" si="459"/>
        <v/>
      </c>
      <c r="O4216" s="66" t="str">
        <f t="shared" si="460"/>
        <v/>
      </c>
      <c r="P4216" s="66" t="str">
        <f t="shared" si="461"/>
        <v/>
      </c>
    </row>
    <row r="4217" spans="8:16">
      <c r="H4217" s="66" t="e">
        <f>IF(LEFT(A4217,6)="CEPNTR","GPINS",VLOOKUP(LEFT(A4217,6),'Code Library'!$A$3:$B$920,2,0))&amp;"_"&amp;RIGHT(A4217,3)</f>
        <v>#N/A</v>
      </c>
      <c r="I4217" s="66">
        <f t="shared" si="455"/>
        <v>0</v>
      </c>
      <c r="K4217" s="66" t="str">
        <f t="shared" si="456"/>
        <v/>
      </c>
      <c r="L4217" s="66" t="str">
        <f t="shared" si="457"/>
        <v/>
      </c>
      <c r="M4217" s="66" t="str">
        <f t="shared" si="458"/>
        <v/>
      </c>
      <c r="N4217" s="66" t="str">
        <f t="shared" si="459"/>
        <v/>
      </c>
      <c r="O4217" s="66" t="str">
        <f t="shared" si="460"/>
        <v/>
      </c>
      <c r="P4217" s="66" t="str">
        <f t="shared" si="461"/>
        <v/>
      </c>
    </row>
    <row r="4218" spans="8:16">
      <c r="H4218" s="66" t="e">
        <f>IF(LEFT(A4218,6)="CEPNTR","GPINS",VLOOKUP(LEFT(A4218,6),'Code Library'!$A$3:$B$920,2,0))&amp;"_"&amp;RIGHT(A4218,3)</f>
        <v>#N/A</v>
      </c>
      <c r="I4218" s="66">
        <f t="shared" si="455"/>
        <v>0</v>
      </c>
      <c r="K4218" s="66" t="str">
        <f t="shared" si="456"/>
        <v/>
      </c>
      <c r="L4218" s="66" t="str">
        <f t="shared" si="457"/>
        <v/>
      </c>
      <c r="M4218" s="66" t="str">
        <f t="shared" si="458"/>
        <v/>
      </c>
      <c r="N4218" s="66" t="str">
        <f t="shared" si="459"/>
        <v/>
      </c>
      <c r="O4218" s="66" t="str">
        <f t="shared" si="460"/>
        <v/>
      </c>
      <c r="P4218" s="66" t="str">
        <f t="shared" si="461"/>
        <v/>
      </c>
    </row>
    <row r="4219" spans="8:16">
      <c r="H4219" s="66" t="e">
        <f>IF(LEFT(A4219,6)="CEPNTR","GPINS",VLOOKUP(LEFT(A4219,6),'Code Library'!$A$3:$B$920,2,0))&amp;"_"&amp;RIGHT(A4219,3)</f>
        <v>#N/A</v>
      </c>
      <c r="I4219" s="66">
        <f t="shared" si="455"/>
        <v>0</v>
      </c>
      <c r="K4219" s="66" t="str">
        <f t="shared" si="456"/>
        <v/>
      </c>
      <c r="L4219" s="66" t="str">
        <f t="shared" si="457"/>
        <v/>
      </c>
      <c r="M4219" s="66" t="str">
        <f t="shared" si="458"/>
        <v/>
      </c>
      <c r="N4219" s="66" t="str">
        <f t="shared" si="459"/>
        <v/>
      </c>
      <c r="O4219" s="66" t="str">
        <f t="shared" si="460"/>
        <v/>
      </c>
      <c r="P4219" s="66" t="str">
        <f t="shared" si="461"/>
        <v/>
      </c>
    </row>
    <row r="4220" spans="8:16">
      <c r="H4220" s="66" t="e">
        <f>IF(LEFT(A4220,6)="CEPNTR","GPINS",VLOOKUP(LEFT(A4220,6),'Code Library'!$A$3:$B$920,2,0))&amp;"_"&amp;RIGHT(A4220,3)</f>
        <v>#N/A</v>
      </c>
      <c r="I4220" s="66">
        <f t="shared" si="455"/>
        <v>0</v>
      </c>
      <c r="K4220" s="66" t="str">
        <f t="shared" si="456"/>
        <v/>
      </c>
      <c r="L4220" s="66" t="str">
        <f t="shared" si="457"/>
        <v/>
      </c>
      <c r="M4220" s="66" t="str">
        <f t="shared" si="458"/>
        <v/>
      </c>
      <c r="N4220" s="66" t="str">
        <f t="shared" si="459"/>
        <v/>
      </c>
      <c r="O4220" s="66" t="str">
        <f t="shared" si="460"/>
        <v/>
      </c>
      <c r="P4220" s="66" t="str">
        <f t="shared" si="461"/>
        <v/>
      </c>
    </row>
    <row r="4221" spans="8:16">
      <c r="H4221" s="66" t="e">
        <f>IF(LEFT(A4221,6)="CEPNTR","GPINS",VLOOKUP(LEFT(A4221,6),'Code Library'!$A$3:$B$920,2,0))&amp;"_"&amp;RIGHT(A4221,3)</f>
        <v>#N/A</v>
      </c>
      <c r="I4221" s="66">
        <f t="shared" si="455"/>
        <v>0</v>
      </c>
      <c r="K4221" s="66" t="str">
        <f t="shared" si="456"/>
        <v/>
      </c>
      <c r="L4221" s="66" t="str">
        <f t="shared" si="457"/>
        <v/>
      </c>
      <c r="M4221" s="66" t="str">
        <f t="shared" si="458"/>
        <v/>
      </c>
      <c r="N4221" s="66" t="str">
        <f t="shared" si="459"/>
        <v/>
      </c>
      <c r="O4221" s="66" t="str">
        <f t="shared" si="460"/>
        <v/>
      </c>
      <c r="P4221" s="66" t="str">
        <f t="shared" si="461"/>
        <v/>
      </c>
    </row>
    <row r="4222" spans="8:16">
      <c r="H4222" s="66" t="e">
        <f>IF(LEFT(A4222,6)="CEPNTR","GPINS",VLOOKUP(LEFT(A4222,6),'Code Library'!$A$3:$B$920,2,0))&amp;"_"&amp;RIGHT(A4222,3)</f>
        <v>#N/A</v>
      </c>
      <c r="I4222" s="66">
        <f t="shared" si="455"/>
        <v>0</v>
      </c>
      <c r="K4222" s="66" t="str">
        <f t="shared" si="456"/>
        <v/>
      </c>
      <c r="L4222" s="66" t="str">
        <f t="shared" si="457"/>
        <v/>
      </c>
      <c r="M4222" s="66" t="str">
        <f t="shared" si="458"/>
        <v/>
      </c>
      <c r="N4222" s="66" t="str">
        <f t="shared" si="459"/>
        <v/>
      </c>
      <c r="O4222" s="66" t="str">
        <f t="shared" si="460"/>
        <v/>
      </c>
      <c r="P4222" s="66" t="str">
        <f t="shared" si="461"/>
        <v/>
      </c>
    </row>
    <row r="4223" spans="8:16">
      <c r="H4223" s="66" t="e">
        <f>IF(LEFT(A4223,6)="CEPNTR","GPINS",VLOOKUP(LEFT(A4223,6),'Code Library'!$A$3:$B$920,2,0))&amp;"_"&amp;RIGHT(A4223,3)</f>
        <v>#N/A</v>
      </c>
      <c r="I4223" s="66">
        <f t="shared" si="455"/>
        <v>0</v>
      </c>
      <c r="K4223" s="66" t="str">
        <f t="shared" si="456"/>
        <v/>
      </c>
      <c r="L4223" s="66" t="str">
        <f t="shared" si="457"/>
        <v/>
      </c>
      <c r="M4223" s="66" t="str">
        <f t="shared" si="458"/>
        <v/>
      </c>
      <c r="N4223" s="66" t="str">
        <f t="shared" si="459"/>
        <v/>
      </c>
      <c r="O4223" s="66" t="str">
        <f t="shared" si="460"/>
        <v/>
      </c>
      <c r="P4223" s="66" t="str">
        <f t="shared" si="461"/>
        <v/>
      </c>
    </row>
    <row r="4224" spans="8:16">
      <c r="H4224" s="66" t="e">
        <f>IF(LEFT(A4224,6)="CEPNTR","GPINS",VLOOKUP(LEFT(A4224,6),'Code Library'!$A$3:$B$920,2,0))&amp;"_"&amp;RIGHT(A4224,3)</f>
        <v>#N/A</v>
      </c>
      <c r="I4224" s="66">
        <f t="shared" si="455"/>
        <v>0</v>
      </c>
      <c r="K4224" s="66" t="str">
        <f t="shared" si="456"/>
        <v/>
      </c>
      <c r="L4224" s="66" t="str">
        <f t="shared" si="457"/>
        <v/>
      </c>
      <c r="M4224" s="66" t="str">
        <f t="shared" si="458"/>
        <v/>
      </c>
      <c r="N4224" s="66" t="str">
        <f t="shared" si="459"/>
        <v/>
      </c>
      <c r="O4224" s="66" t="str">
        <f t="shared" si="460"/>
        <v/>
      </c>
      <c r="P4224" s="66" t="str">
        <f t="shared" si="461"/>
        <v/>
      </c>
    </row>
    <row r="4225" spans="8:16">
      <c r="H4225" s="66" t="e">
        <f>IF(LEFT(A4225,6)="CEPNTR","GPINS",VLOOKUP(LEFT(A4225,6),'Code Library'!$A$3:$B$920,2,0))&amp;"_"&amp;RIGHT(A4225,3)</f>
        <v>#N/A</v>
      </c>
      <c r="I4225" s="66">
        <f t="shared" si="455"/>
        <v>0</v>
      </c>
      <c r="K4225" s="66" t="str">
        <f t="shared" si="456"/>
        <v/>
      </c>
      <c r="L4225" s="66" t="str">
        <f t="shared" si="457"/>
        <v/>
      </c>
      <c r="M4225" s="66" t="str">
        <f t="shared" si="458"/>
        <v/>
      </c>
      <c r="N4225" s="66" t="str">
        <f t="shared" si="459"/>
        <v/>
      </c>
      <c r="O4225" s="66" t="str">
        <f t="shared" si="460"/>
        <v/>
      </c>
      <c r="P4225" s="66" t="str">
        <f t="shared" si="461"/>
        <v/>
      </c>
    </row>
    <row r="4226" spans="8:16">
      <c r="H4226" s="66" t="e">
        <f>IF(LEFT(A4226,6)="CEPNTR","GPINS",VLOOKUP(LEFT(A4226,6),'Code Library'!$A$3:$B$920,2,0))&amp;"_"&amp;RIGHT(A4226,3)</f>
        <v>#N/A</v>
      </c>
      <c r="I4226" s="66">
        <f t="shared" si="455"/>
        <v>0</v>
      </c>
      <c r="K4226" s="66" t="str">
        <f t="shared" si="456"/>
        <v/>
      </c>
      <c r="L4226" s="66" t="str">
        <f t="shared" si="457"/>
        <v/>
      </c>
      <c r="M4226" s="66" t="str">
        <f t="shared" si="458"/>
        <v/>
      </c>
      <c r="N4226" s="66" t="str">
        <f t="shared" si="459"/>
        <v/>
      </c>
      <c r="O4226" s="66" t="str">
        <f t="shared" si="460"/>
        <v/>
      </c>
      <c r="P4226" s="66" t="str">
        <f t="shared" si="461"/>
        <v/>
      </c>
    </row>
    <row r="4227" spans="8:16">
      <c r="H4227" s="66" t="e">
        <f>IF(LEFT(A4227,6)="CEPNTR","GPINS",VLOOKUP(LEFT(A4227,6),'Code Library'!$A$3:$B$920,2,0))&amp;"_"&amp;RIGHT(A4227,3)</f>
        <v>#N/A</v>
      </c>
      <c r="I4227" s="66">
        <f t="shared" ref="I4227:I4290" si="462">A4227</f>
        <v>0</v>
      </c>
      <c r="K4227" s="66" t="str">
        <f t="shared" ref="K4227:K4290" si="463">RIGHT($B4227,2)</f>
        <v/>
      </c>
      <c r="L4227" s="66" t="str">
        <f t="shared" ref="L4227:L4290" si="464">LEFT(RIGHT($B4227,7),4)</f>
        <v/>
      </c>
      <c r="M4227" s="66" t="str">
        <f t="shared" ref="M4227:M4290" si="465">LEFT(RIGHT($B4227,10),2)</f>
        <v/>
      </c>
      <c r="N4227" s="66" t="str">
        <f t="shared" ref="N4227:N4290" si="466">LEFT(RIGHT($B4227,14),3)</f>
        <v/>
      </c>
      <c r="O4227" s="66" t="str">
        <f t="shared" ref="O4227:O4290" si="467">LEFT(RIGHT($B4227,16),1)</f>
        <v/>
      </c>
      <c r="P4227" s="66" t="str">
        <f t="shared" ref="P4227:P4290" si="468">LEFT(RIGHT($B4227,19),2)</f>
        <v/>
      </c>
    </row>
    <row r="4228" spans="8:16">
      <c r="H4228" s="66" t="e">
        <f>IF(LEFT(A4228,6)="CEPNTR","GPINS",VLOOKUP(LEFT(A4228,6),'Code Library'!$A$3:$B$920,2,0))&amp;"_"&amp;RIGHT(A4228,3)</f>
        <v>#N/A</v>
      </c>
      <c r="I4228" s="66">
        <f t="shared" si="462"/>
        <v>0</v>
      </c>
      <c r="K4228" s="66" t="str">
        <f t="shared" si="463"/>
        <v/>
      </c>
      <c r="L4228" s="66" t="str">
        <f t="shared" si="464"/>
        <v/>
      </c>
      <c r="M4228" s="66" t="str">
        <f t="shared" si="465"/>
        <v/>
      </c>
      <c r="N4228" s="66" t="str">
        <f t="shared" si="466"/>
        <v/>
      </c>
      <c r="O4228" s="66" t="str">
        <f t="shared" si="467"/>
        <v/>
      </c>
      <c r="P4228" s="66" t="str">
        <f t="shared" si="468"/>
        <v/>
      </c>
    </row>
    <row r="4229" spans="8:16">
      <c r="H4229" s="66" t="e">
        <f>IF(LEFT(A4229,6)="CEPNTR","GPINS",VLOOKUP(LEFT(A4229,6),'Code Library'!$A$3:$B$920,2,0))&amp;"_"&amp;RIGHT(A4229,3)</f>
        <v>#N/A</v>
      </c>
      <c r="I4229" s="66">
        <f t="shared" si="462"/>
        <v>0</v>
      </c>
      <c r="K4229" s="66" t="str">
        <f t="shared" si="463"/>
        <v/>
      </c>
      <c r="L4229" s="66" t="str">
        <f t="shared" si="464"/>
        <v/>
      </c>
      <c r="M4229" s="66" t="str">
        <f t="shared" si="465"/>
        <v/>
      </c>
      <c r="N4229" s="66" t="str">
        <f t="shared" si="466"/>
        <v/>
      </c>
      <c r="O4229" s="66" t="str">
        <f t="shared" si="467"/>
        <v/>
      </c>
      <c r="P4229" s="66" t="str">
        <f t="shared" si="468"/>
        <v/>
      </c>
    </row>
    <row r="4230" spans="8:16">
      <c r="H4230" s="66" t="e">
        <f>IF(LEFT(A4230,6)="CEPNTR","GPINS",VLOOKUP(LEFT(A4230,6),'Code Library'!$A$3:$B$920,2,0))&amp;"_"&amp;RIGHT(A4230,3)</f>
        <v>#N/A</v>
      </c>
      <c r="I4230" s="66">
        <f t="shared" si="462"/>
        <v>0</v>
      </c>
      <c r="K4230" s="66" t="str">
        <f t="shared" si="463"/>
        <v/>
      </c>
      <c r="L4230" s="66" t="str">
        <f t="shared" si="464"/>
        <v/>
      </c>
      <c r="M4230" s="66" t="str">
        <f t="shared" si="465"/>
        <v/>
      </c>
      <c r="N4230" s="66" t="str">
        <f t="shared" si="466"/>
        <v/>
      </c>
      <c r="O4230" s="66" t="str">
        <f t="shared" si="467"/>
        <v/>
      </c>
      <c r="P4230" s="66" t="str">
        <f t="shared" si="468"/>
        <v/>
      </c>
    </row>
    <row r="4231" spans="8:16">
      <c r="H4231" s="66" t="e">
        <f>IF(LEFT(A4231,6)="CEPNTR","GPINS",VLOOKUP(LEFT(A4231,6),'Code Library'!$A$3:$B$920,2,0))&amp;"_"&amp;RIGHT(A4231,3)</f>
        <v>#N/A</v>
      </c>
      <c r="I4231" s="66">
        <f t="shared" si="462"/>
        <v>0</v>
      </c>
      <c r="K4231" s="66" t="str">
        <f t="shared" si="463"/>
        <v/>
      </c>
      <c r="L4231" s="66" t="str">
        <f t="shared" si="464"/>
        <v/>
      </c>
      <c r="M4231" s="66" t="str">
        <f t="shared" si="465"/>
        <v/>
      </c>
      <c r="N4231" s="66" t="str">
        <f t="shared" si="466"/>
        <v/>
      </c>
      <c r="O4231" s="66" t="str">
        <f t="shared" si="467"/>
        <v/>
      </c>
      <c r="P4231" s="66" t="str">
        <f t="shared" si="468"/>
        <v/>
      </c>
    </row>
    <row r="4232" spans="8:16">
      <c r="H4232" s="66" t="e">
        <f>IF(LEFT(A4232,6)="CEPNTR","GPINS",VLOOKUP(LEFT(A4232,6),'Code Library'!$A$3:$B$920,2,0))&amp;"_"&amp;RIGHT(A4232,3)</f>
        <v>#N/A</v>
      </c>
      <c r="I4232" s="66">
        <f t="shared" si="462"/>
        <v>0</v>
      </c>
      <c r="K4232" s="66" t="str">
        <f t="shared" si="463"/>
        <v/>
      </c>
      <c r="L4232" s="66" t="str">
        <f t="shared" si="464"/>
        <v/>
      </c>
      <c r="M4232" s="66" t="str">
        <f t="shared" si="465"/>
        <v/>
      </c>
      <c r="N4232" s="66" t="str">
        <f t="shared" si="466"/>
        <v/>
      </c>
      <c r="O4232" s="66" t="str">
        <f t="shared" si="467"/>
        <v/>
      </c>
      <c r="P4232" s="66" t="str">
        <f t="shared" si="468"/>
        <v/>
      </c>
    </row>
    <row r="4233" spans="8:16">
      <c r="H4233" s="66" t="e">
        <f>IF(LEFT(A4233,6)="CEPNTR","GPINS",VLOOKUP(LEFT(A4233,6),'Code Library'!$A$3:$B$920,2,0))&amp;"_"&amp;RIGHT(A4233,3)</f>
        <v>#N/A</v>
      </c>
      <c r="I4233" s="66">
        <f t="shared" si="462"/>
        <v>0</v>
      </c>
      <c r="K4233" s="66" t="str">
        <f t="shared" si="463"/>
        <v/>
      </c>
      <c r="L4233" s="66" t="str">
        <f t="shared" si="464"/>
        <v/>
      </c>
      <c r="M4233" s="66" t="str">
        <f t="shared" si="465"/>
        <v/>
      </c>
      <c r="N4233" s="66" t="str">
        <f t="shared" si="466"/>
        <v/>
      </c>
      <c r="O4233" s="66" t="str">
        <f t="shared" si="467"/>
        <v/>
      </c>
      <c r="P4233" s="66" t="str">
        <f t="shared" si="468"/>
        <v/>
      </c>
    </row>
    <row r="4234" spans="8:16">
      <c r="H4234" s="66" t="e">
        <f>IF(LEFT(A4234,6)="CEPNTR","GPINS",VLOOKUP(LEFT(A4234,6),'Code Library'!$A$3:$B$920,2,0))&amp;"_"&amp;RIGHT(A4234,3)</f>
        <v>#N/A</v>
      </c>
      <c r="I4234" s="66">
        <f t="shared" si="462"/>
        <v>0</v>
      </c>
      <c r="K4234" s="66" t="str">
        <f t="shared" si="463"/>
        <v/>
      </c>
      <c r="L4234" s="66" t="str">
        <f t="shared" si="464"/>
        <v/>
      </c>
      <c r="M4234" s="66" t="str">
        <f t="shared" si="465"/>
        <v/>
      </c>
      <c r="N4234" s="66" t="str">
        <f t="shared" si="466"/>
        <v/>
      </c>
      <c r="O4234" s="66" t="str">
        <f t="shared" si="467"/>
        <v/>
      </c>
      <c r="P4234" s="66" t="str">
        <f t="shared" si="468"/>
        <v/>
      </c>
    </row>
    <row r="4235" spans="8:16">
      <c r="H4235" s="66" t="e">
        <f>IF(LEFT(A4235,6)="CEPNTR","GPINS",VLOOKUP(LEFT(A4235,6),'Code Library'!$A$3:$B$920,2,0))&amp;"_"&amp;RIGHT(A4235,3)</f>
        <v>#N/A</v>
      </c>
      <c r="I4235" s="66">
        <f t="shared" si="462"/>
        <v>0</v>
      </c>
      <c r="K4235" s="66" t="str">
        <f t="shared" si="463"/>
        <v/>
      </c>
      <c r="L4235" s="66" t="str">
        <f t="shared" si="464"/>
        <v/>
      </c>
      <c r="M4235" s="66" t="str">
        <f t="shared" si="465"/>
        <v/>
      </c>
      <c r="N4235" s="66" t="str">
        <f t="shared" si="466"/>
        <v/>
      </c>
      <c r="O4235" s="66" t="str">
        <f t="shared" si="467"/>
        <v/>
      </c>
      <c r="P4235" s="66" t="str">
        <f t="shared" si="468"/>
        <v/>
      </c>
    </row>
    <row r="4236" spans="8:16">
      <c r="H4236" s="66" t="e">
        <f>IF(LEFT(A4236,6)="CEPNTR","GPINS",VLOOKUP(LEFT(A4236,6),'Code Library'!$A$3:$B$920,2,0))&amp;"_"&amp;RIGHT(A4236,3)</f>
        <v>#N/A</v>
      </c>
      <c r="I4236" s="66">
        <f t="shared" si="462"/>
        <v>0</v>
      </c>
      <c r="K4236" s="66" t="str">
        <f t="shared" si="463"/>
        <v/>
      </c>
      <c r="L4236" s="66" t="str">
        <f t="shared" si="464"/>
        <v/>
      </c>
      <c r="M4236" s="66" t="str">
        <f t="shared" si="465"/>
        <v/>
      </c>
      <c r="N4236" s="66" t="str">
        <f t="shared" si="466"/>
        <v/>
      </c>
      <c r="O4236" s="66" t="str">
        <f t="shared" si="467"/>
        <v/>
      </c>
      <c r="P4236" s="66" t="str">
        <f t="shared" si="468"/>
        <v/>
      </c>
    </row>
    <row r="4237" spans="8:16">
      <c r="H4237" s="66" t="e">
        <f>IF(LEFT(A4237,6)="CEPNTR","GPINS",VLOOKUP(LEFT(A4237,6),'Code Library'!$A$3:$B$920,2,0))&amp;"_"&amp;RIGHT(A4237,3)</f>
        <v>#N/A</v>
      </c>
      <c r="I4237" s="66">
        <f t="shared" si="462"/>
        <v>0</v>
      </c>
      <c r="K4237" s="66" t="str">
        <f t="shared" si="463"/>
        <v/>
      </c>
      <c r="L4237" s="66" t="str">
        <f t="shared" si="464"/>
        <v/>
      </c>
      <c r="M4237" s="66" t="str">
        <f t="shared" si="465"/>
        <v/>
      </c>
      <c r="N4237" s="66" t="str">
        <f t="shared" si="466"/>
        <v/>
      </c>
      <c r="O4237" s="66" t="str">
        <f t="shared" si="467"/>
        <v/>
      </c>
      <c r="P4237" s="66" t="str">
        <f t="shared" si="468"/>
        <v/>
      </c>
    </row>
    <row r="4238" spans="8:16">
      <c r="H4238" s="66" t="e">
        <f>IF(LEFT(A4238,6)="CEPNTR","GPINS",VLOOKUP(LEFT(A4238,6),'Code Library'!$A$3:$B$920,2,0))&amp;"_"&amp;RIGHT(A4238,3)</f>
        <v>#N/A</v>
      </c>
      <c r="I4238" s="66">
        <f t="shared" si="462"/>
        <v>0</v>
      </c>
      <c r="K4238" s="66" t="str">
        <f t="shared" si="463"/>
        <v/>
      </c>
      <c r="L4238" s="66" t="str">
        <f t="shared" si="464"/>
        <v/>
      </c>
      <c r="M4238" s="66" t="str">
        <f t="shared" si="465"/>
        <v/>
      </c>
      <c r="N4238" s="66" t="str">
        <f t="shared" si="466"/>
        <v/>
      </c>
      <c r="O4238" s="66" t="str">
        <f t="shared" si="467"/>
        <v/>
      </c>
      <c r="P4238" s="66" t="str">
        <f t="shared" si="468"/>
        <v/>
      </c>
    </row>
    <row r="4239" spans="8:16">
      <c r="H4239" s="66" t="e">
        <f>IF(LEFT(A4239,6)="CEPNTR","GPINS",VLOOKUP(LEFT(A4239,6),'Code Library'!$A$3:$B$920,2,0))&amp;"_"&amp;RIGHT(A4239,3)</f>
        <v>#N/A</v>
      </c>
      <c r="I4239" s="66">
        <f t="shared" si="462"/>
        <v>0</v>
      </c>
      <c r="K4239" s="66" t="str">
        <f t="shared" si="463"/>
        <v/>
      </c>
      <c r="L4239" s="66" t="str">
        <f t="shared" si="464"/>
        <v/>
      </c>
      <c r="M4239" s="66" t="str">
        <f t="shared" si="465"/>
        <v/>
      </c>
      <c r="N4239" s="66" t="str">
        <f t="shared" si="466"/>
        <v/>
      </c>
      <c r="O4239" s="66" t="str">
        <f t="shared" si="467"/>
        <v/>
      </c>
      <c r="P4239" s="66" t="str">
        <f t="shared" si="468"/>
        <v/>
      </c>
    </row>
    <row r="4240" spans="8:16">
      <c r="H4240" s="66" t="e">
        <f>IF(LEFT(A4240,6)="CEPNTR","GPINS",VLOOKUP(LEFT(A4240,6),'Code Library'!$A$3:$B$920,2,0))&amp;"_"&amp;RIGHT(A4240,3)</f>
        <v>#N/A</v>
      </c>
      <c r="I4240" s="66">
        <f t="shared" si="462"/>
        <v>0</v>
      </c>
      <c r="K4240" s="66" t="str">
        <f t="shared" si="463"/>
        <v/>
      </c>
      <c r="L4240" s="66" t="str">
        <f t="shared" si="464"/>
        <v/>
      </c>
      <c r="M4240" s="66" t="str">
        <f t="shared" si="465"/>
        <v/>
      </c>
      <c r="N4240" s="66" t="str">
        <f t="shared" si="466"/>
        <v/>
      </c>
      <c r="O4240" s="66" t="str">
        <f t="shared" si="467"/>
        <v/>
      </c>
      <c r="P4240" s="66" t="str">
        <f t="shared" si="468"/>
        <v/>
      </c>
    </row>
    <row r="4241" spans="8:16">
      <c r="H4241" s="66" t="e">
        <f>IF(LEFT(A4241,6)="CEPNTR","GPINS",VLOOKUP(LEFT(A4241,6),'Code Library'!$A$3:$B$920,2,0))&amp;"_"&amp;RIGHT(A4241,3)</f>
        <v>#N/A</v>
      </c>
      <c r="I4241" s="66">
        <f t="shared" si="462"/>
        <v>0</v>
      </c>
      <c r="K4241" s="66" t="str">
        <f t="shared" si="463"/>
        <v/>
      </c>
      <c r="L4241" s="66" t="str">
        <f t="shared" si="464"/>
        <v/>
      </c>
      <c r="M4241" s="66" t="str">
        <f t="shared" si="465"/>
        <v/>
      </c>
      <c r="N4241" s="66" t="str">
        <f t="shared" si="466"/>
        <v/>
      </c>
      <c r="O4241" s="66" t="str">
        <f t="shared" si="467"/>
        <v/>
      </c>
      <c r="P4241" s="66" t="str">
        <f t="shared" si="468"/>
        <v/>
      </c>
    </row>
    <row r="4242" spans="8:16">
      <c r="H4242" s="66" t="e">
        <f>IF(LEFT(A4242,6)="CEPNTR","GPINS",VLOOKUP(LEFT(A4242,6),'Code Library'!$A$3:$B$920,2,0))&amp;"_"&amp;RIGHT(A4242,3)</f>
        <v>#N/A</v>
      </c>
      <c r="I4242" s="66">
        <f t="shared" si="462"/>
        <v>0</v>
      </c>
      <c r="K4242" s="66" t="str">
        <f t="shared" si="463"/>
        <v/>
      </c>
      <c r="L4242" s="66" t="str">
        <f t="shared" si="464"/>
        <v/>
      </c>
      <c r="M4242" s="66" t="str">
        <f t="shared" si="465"/>
        <v/>
      </c>
      <c r="N4242" s="66" t="str">
        <f t="shared" si="466"/>
        <v/>
      </c>
      <c r="O4242" s="66" t="str">
        <f t="shared" si="467"/>
        <v/>
      </c>
      <c r="P4242" s="66" t="str">
        <f t="shared" si="468"/>
        <v/>
      </c>
    </row>
    <row r="4243" spans="8:16">
      <c r="H4243" s="66" t="e">
        <f>IF(LEFT(A4243,6)="CEPNTR","GPINS",VLOOKUP(LEFT(A4243,6),'Code Library'!$A$3:$B$920,2,0))&amp;"_"&amp;RIGHT(A4243,3)</f>
        <v>#N/A</v>
      </c>
      <c r="I4243" s="66">
        <f t="shared" si="462"/>
        <v>0</v>
      </c>
      <c r="K4243" s="66" t="str">
        <f t="shared" si="463"/>
        <v/>
      </c>
      <c r="L4243" s="66" t="str">
        <f t="shared" si="464"/>
        <v/>
      </c>
      <c r="M4243" s="66" t="str">
        <f t="shared" si="465"/>
        <v/>
      </c>
      <c r="N4243" s="66" t="str">
        <f t="shared" si="466"/>
        <v/>
      </c>
      <c r="O4243" s="66" t="str">
        <f t="shared" si="467"/>
        <v/>
      </c>
      <c r="P4243" s="66" t="str">
        <f t="shared" si="468"/>
        <v/>
      </c>
    </row>
    <row r="4244" spans="8:16">
      <c r="H4244" s="66" t="e">
        <f>IF(LEFT(A4244,6)="CEPNTR","GPINS",VLOOKUP(LEFT(A4244,6),'Code Library'!$A$3:$B$920,2,0))&amp;"_"&amp;RIGHT(A4244,3)</f>
        <v>#N/A</v>
      </c>
      <c r="I4244" s="66">
        <f t="shared" si="462"/>
        <v>0</v>
      </c>
      <c r="K4244" s="66" t="str">
        <f t="shared" si="463"/>
        <v/>
      </c>
      <c r="L4244" s="66" t="str">
        <f t="shared" si="464"/>
        <v/>
      </c>
      <c r="M4244" s="66" t="str">
        <f t="shared" si="465"/>
        <v/>
      </c>
      <c r="N4244" s="66" t="str">
        <f t="shared" si="466"/>
        <v/>
      </c>
      <c r="O4244" s="66" t="str">
        <f t="shared" si="467"/>
        <v/>
      </c>
      <c r="P4244" s="66" t="str">
        <f t="shared" si="468"/>
        <v/>
      </c>
    </row>
    <row r="4245" spans="8:16">
      <c r="H4245" s="66" t="e">
        <f>IF(LEFT(A4245,6)="CEPNTR","GPINS",VLOOKUP(LEFT(A4245,6),'Code Library'!$A$3:$B$920,2,0))&amp;"_"&amp;RIGHT(A4245,3)</f>
        <v>#N/A</v>
      </c>
      <c r="I4245" s="66">
        <f t="shared" si="462"/>
        <v>0</v>
      </c>
      <c r="K4245" s="66" t="str">
        <f t="shared" si="463"/>
        <v/>
      </c>
      <c r="L4245" s="66" t="str">
        <f t="shared" si="464"/>
        <v/>
      </c>
      <c r="M4245" s="66" t="str">
        <f t="shared" si="465"/>
        <v/>
      </c>
      <c r="N4245" s="66" t="str">
        <f t="shared" si="466"/>
        <v/>
      </c>
      <c r="O4245" s="66" t="str">
        <f t="shared" si="467"/>
        <v/>
      </c>
      <c r="P4245" s="66" t="str">
        <f t="shared" si="468"/>
        <v/>
      </c>
    </row>
    <row r="4246" spans="8:16">
      <c r="H4246" s="66" t="e">
        <f>IF(LEFT(A4246,6)="CEPNTR","GPINS",VLOOKUP(LEFT(A4246,6),'Code Library'!$A$3:$B$920,2,0))&amp;"_"&amp;RIGHT(A4246,3)</f>
        <v>#N/A</v>
      </c>
      <c r="I4246" s="66">
        <f t="shared" si="462"/>
        <v>0</v>
      </c>
      <c r="K4246" s="66" t="str">
        <f t="shared" si="463"/>
        <v/>
      </c>
      <c r="L4246" s="66" t="str">
        <f t="shared" si="464"/>
        <v/>
      </c>
      <c r="M4246" s="66" t="str">
        <f t="shared" si="465"/>
        <v/>
      </c>
      <c r="N4246" s="66" t="str">
        <f t="shared" si="466"/>
        <v/>
      </c>
      <c r="O4246" s="66" t="str">
        <f t="shared" si="467"/>
        <v/>
      </c>
      <c r="P4246" s="66" t="str">
        <f t="shared" si="468"/>
        <v/>
      </c>
    </row>
    <row r="4247" spans="8:16">
      <c r="H4247" s="66" t="e">
        <f>IF(LEFT(A4247,6)="CEPNTR","GPINS",VLOOKUP(LEFT(A4247,6),'Code Library'!$A$3:$B$920,2,0))&amp;"_"&amp;RIGHT(A4247,3)</f>
        <v>#N/A</v>
      </c>
      <c r="I4247" s="66">
        <f t="shared" si="462"/>
        <v>0</v>
      </c>
      <c r="K4247" s="66" t="str">
        <f t="shared" si="463"/>
        <v/>
      </c>
      <c r="L4247" s="66" t="str">
        <f t="shared" si="464"/>
        <v/>
      </c>
      <c r="M4247" s="66" t="str">
        <f t="shared" si="465"/>
        <v/>
      </c>
      <c r="N4247" s="66" t="str">
        <f t="shared" si="466"/>
        <v/>
      </c>
      <c r="O4247" s="66" t="str">
        <f t="shared" si="467"/>
        <v/>
      </c>
      <c r="P4247" s="66" t="str">
        <f t="shared" si="468"/>
        <v/>
      </c>
    </row>
    <row r="4248" spans="8:16">
      <c r="H4248" s="66" t="e">
        <f>IF(LEFT(A4248,6)="CEPNTR","GPINS",VLOOKUP(LEFT(A4248,6),'Code Library'!$A$3:$B$920,2,0))&amp;"_"&amp;RIGHT(A4248,3)</f>
        <v>#N/A</v>
      </c>
      <c r="I4248" s="66">
        <f t="shared" si="462"/>
        <v>0</v>
      </c>
      <c r="K4248" s="66" t="str">
        <f t="shared" si="463"/>
        <v/>
      </c>
      <c r="L4248" s="66" t="str">
        <f t="shared" si="464"/>
        <v/>
      </c>
      <c r="M4248" s="66" t="str">
        <f t="shared" si="465"/>
        <v/>
      </c>
      <c r="N4248" s="66" t="str">
        <f t="shared" si="466"/>
        <v/>
      </c>
      <c r="O4248" s="66" t="str">
        <f t="shared" si="467"/>
        <v/>
      </c>
      <c r="P4248" s="66" t="str">
        <f t="shared" si="468"/>
        <v/>
      </c>
    </row>
    <row r="4249" spans="8:16">
      <c r="H4249" s="66" t="e">
        <f>IF(LEFT(A4249,6)="CEPNTR","GPINS",VLOOKUP(LEFT(A4249,6),'Code Library'!$A$3:$B$920,2,0))&amp;"_"&amp;RIGHT(A4249,3)</f>
        <v>#N/A</v>
      </c>
      <c r="I4249" s="66">
        <f t="shared" si="462"/>
        <v>0</v>
      </c>
      <c r="K4249" s="66" t="str">
        <f t="shared" si="463"/>
        <v/>
      </c>
      <c r="L4249" s="66" t="str">
        <f t="shared" si="464"/>
        <v/>
      </c>
      <c r="M4249" s="66" t="str">
        <f t="shared" si="465"/>
        <v/>
      </c>
      <c r="N4249" s="66" t="str">
        <f t="shared" si="466"/>
        <v/>
      </c>
      <c r="O4249" s="66" t="str">
        <f t="shared" si="467"/>
        <v/>
      </c>
      <c r="P4249" s="66" t="str">
        <f t="shared" si="468"/>
        <v/>
      </c>
    </row>
    <row r="4250" spans="8:16">
      <c r="H4250" s="66" t="e">
        <f>IF(LEFT(A4250,6)="CEPNTR","GPINS",VLOOKUP(LEFT(A4250,6),'Code Library'!$A$3:$B$920,2,0))&amp;"_"&amp;RIGHT(A4250,3)</f>
        <v>#N/A</v>
      </c>
      <c r="I4250" s="66">
        <f t="shared" si="462"/>
        <v>0</v>
      </c>
      <c r="K4250" s="66" t="str">
        <f t="shared" si="463"/>
        <v/>
      </c>
      <c r="L4250" s="66" t="str">
        <f t="shared" si="464"/>
        <v/>
      </c>
      <c r="M4250" s="66" t="str">
        <f t="shared" si="465"/>
        <v/>
      </c>
      <c r="N4250" s="66" t="str">
        <f t="shared" si="466"/>
        <v/>
      </c>
      <c r="O4250" s="66" t="str">
        <f t="shared" si="467"/>
        <v/>
      </c>
      <c r="P4250" s="66" t="str">
        <f t="shared" si="468"/>
        <v/>
      </c>
    </row>
    <row r="4251" spans="8:16">
      <c r="H4251" s="66" t="e">
        <f>IF(LEFT(A4251,6)="CEPNTR","GPINS",VLOOKUP(LEFT(A4251,6),'Code Library'!$A$3:$B$920,2,0))&amp;"_"&amp;RIGHT(A4251,3)</f>
        <v>#N/A</v>
      </c>
      <c r="I4251" s="66">
        <f t="shared" si="462"/>
        <v>0</v>
      </c>
      <c r="K4251" s="66" t="str">
        <f t="shared" si="463"/>
        <v/>
      </c>
      <c r="L4251" s="66" t="str">
        <f t="shared" si="464"/>
        <v/>
      </c>
      <c r="M4251" s="66" t="str">
        <f t="shared" si="465"/>
        <v/>
      </c>
      <c r="N4251" s="66" t="str">
        <f t="shared" si="466"/>
        <v/>
      </c>
      <c r="O4251" s="66" t="str">
        <f t="shared" si="467"/>
        <v/>
      </c>
      <c r="P4251" s="66" t="str">
        <f t="shared" si="468"/>
        <v/>
      </c>
    </row>
    <row r="4252" spans="8:16">
      <c r="H4252" s="66" t="e">
        <f>IF(LEFT(A4252,6)="CEPNTR","GPINS",VLOOKUP(LEFT(A4252,6),'Code Library'!$A$3:$B$920,2,0))&amp;"_"&amp;RIGHT(A4252,3)</f>
        <v>#N/A</v>
      </c>
      <c r="I4252" s="66">
        <f t="shared" si="462"/>
        <v>0</v>
      </c>
      <c r="K4252" s="66" t="str">
        <f t="shared" si="463"/>
        <v/>
      </c>
      <c r="L4252" s="66" t="str">
        <f t="shared" si="464"/>
        <v/>
      </c>
      <c r="M4252" s="66" t="str">
        <f t="shared" si="465"/>
        <v/>
      </c>
      <c r="N4252" s="66" t="str">
        <f t="shared" si="466"/>
        <v/>
      </c>
      <c r="O4252" s="66" t="str">
        <f t="shared" si="467"/>
        <v/>
      </c>
      <c r="P4252" s="66" t="str">
        <f t="shared" si="468"/>
        <v/>
      </c>
    </row>
    <row r="4253" spans="8:16">
      <c r="H4253" s="66" t="e">
        <f>IF(LEFT(A4253,6)="CEPNTR","GPINS",VLOOKUP(LEFT(A4253,6),'Code Library'!$A$3:$B$920,2,0))&amp;"_"&amp;RIGHT(A4253,3)</f>
        <v>#N/A</v>
      </c>
      <c r="I4253" s="66">
        <f t="shared" si="462"/>
        <v>0</v>
      </c>
      <c r="K4253" s="66" t="str">
        <f t="shared" si="463"/>
        <v/>
      </c>
      <c r="L4253" s="66" t="str">
        <f t="shared" si="464"/>
        <v/>
      </c>
      <c r="M4253" s="66" t="str">
        <f t="shared" si="465"/>
        <v/>
      </c>
      <c r="N4253" s="66" t="str">
        <f t="shared" si="466"/>
        <v/>
      </c>
      <c r="O4253" s="66" t="str">
        <f t="shared" si="467"/>
        <v/>
      </c>
      <c r="P4253" s="66" t="str">
        <f t="shared" si="468"/>
        <v/>
      </c>
    </row>
    <row r="4254" spans="8:16">
      <c r="H4254" s="66" t="e">
        <f>IF(LEFT(A4254,6)="CEPNTR","GPINS",VLOOKUP(LEFT(A4254,6),'Code Library'!$A$3:$B$920,2,0))&amp;"_"&amp;RIGHT(A4254,3)</f>
        <v>#N/A</v>
      </c>
      <c r="I4254" s="66">
        <f t="shared" si="462"/>
        <v>0</v>
      </c>
      <c r="K4254" s="66" t="str">
        <f t="shared" si="463"/>
        <v/>
      </c>
      <c r="L4254" s="66" t="str">
        <f t="shared" si="464"/>
        <v/>
      </c>
      <c r="M4254" s="66" t="str">
        <f t="shared" si="465"/>
        <v/>
      </c>
      <c r="N4254" s="66" t="str">
        <f t="shared" si="466"/>
        <v/>
      </c>
      <c r="O4254" s="66" t="str">
        <f t="shared" si="467"/>
        <v/>
      </c>
      <c r="P4254" s="66" t="str">
        <f t="shared" si="468"/>
        <v/>
      </c>
    </row>
    <row r="4255" spans="8:16">
      <c r="H4255" s="66" t="e">
        <f>IF(LEFT(A4255,6)="CEPNTR","GPINS",VLOOKUP(LEFT(A4255,6),'Code Library'!$A$3:$B$920,2,0))&amp;"_"&amp;RIGHT(A4255,3)</f>
        <v>#N/A</v>
      </c>
      <c r="I4255" s="66">
        <f t="shared" si="462"/>
        <v>0</v>
      </c>
      <c r="K4255" s="66" t="str">
        <f t="shared" si="463"/>
        <v/>
      </c>
      <c r="L4255" s="66" t="str">
        <f t="shared" si="464"/>
        <v/>
      </c>
      <c r="M4255" s="66" t="str">
        <f t="shared" si="465"/>
        <v/>
      </c>
      <c r="N4255" s="66" t="str">
        <f t="shared" si="466"/>
        <v/>
      </c>
      <c r="O4255" s="66" t="str">
        <f t="shared" si="467"/>
        <v/>
      </c>
      <c r="P4255" s="66" t="str">
        <f t="shared" si="468"/>
        <v/>
      </c>
    </row>
    <row r="4256" spans="8:16">
      <c r="H4256" s="66" t="e">
        <f>IF(LEFT(A4256,6)="CEPNTR","GPINS",VLOOKUP(LEFT(A4256,6),'Code Library'!$A$3:$B$920,2,0))&amp;"_"&amp;RIGHT(A4256,3)</f>
        <v>#N/A</v>
      </c>
      <c r="I4256" s="66">
        <f t="shared" si="462"/>
        <v>0</v>
      </c>
      <c r="K4256" s="66" t="str">
        <f t="shared" si="463"/>
        <v/>
      </c>
      <c r="L4256" s="66" t="str">
        <f t="shared" si="464"/>
        <v/>
      </c>
      <c r="M4256" s="66" t="str">
        <f t="shared" si="465"/>
        <v/>
      </c>
      <c r="N4256" s="66" t="str">
        <f t="shared" si="466"/>
        <v/>
      </c>
      <c r="O4256" s="66" t="str">
        <f t="shared" si="467"/>
        <v/>
      </c>
      <c r="P4256" s="66" t="str">
        <f t="shared" si="468"/>
        <v/>
      </c>
    </row>
    <row r="4257" spans="8:16">
      <c r="H4257" s="66" t="e">
        <f>IF(LEFT(A4257,6)="CEPNTR","GPINS",VLOOKUP(LEFT(A4257,6),'Code Library'!$A$3:$B$920,2,0))&amp;"_"&amp;RIGHT(A4257,3)</f>
        <v>#N/A</v>
      </c>
      <c r="I4257" s="66">
        <f t="shared" si="462"/>
        <v>0</v>
      </c>
      <c r="K4257" s="66" t="str">
        <f t="shared" si="463"/>
        <v/>
      </c>
      <c r="L4257" s="66" t="str">
        <f t="shared" si="464"/>
        <v/>
      </c>
      <c r="M4257" s="66" t="str">
        <f t="shared" si="465"/>
        <v/>
      </c>
      <c r="N4257" s="66" t="str">
        <f t="shared" si="466"/>
        <v/>
      </c>
      <c r="O4257" s="66" t="str">
        <f t="shared" si="467"/>
        <v/>
      </c>
      <c r="P4257" s="66" t="str">
        <f t="shared" si="468"/>
        <v/>
      </c>
    </row>
    <row r="4258" spans="8:16">
      <c r="H4258" s="66" t="e">
        <f>IF(LEFT(A4258,6)="CEPNTR","GPINS",VLOOKUP(LEFT(A4258,6),'Code Library'!$A$3:$B$920,2,0))&amp;"_"&amp;RIGHT(A4258,3)</f>
        <v>#N/A</v>
      </c>
      <c r="I4258" s="66">
        <f t="shared" si="462"/>
        <v>0</v>
      </c>
      <c r="K4258" s="66" t="str">
        <f t="shared" si="463"/>
        <v/>
      </c>
      <c r="L4258" s="66" t="str">
        <f t="shared" si="464"/>
        <v/>
      </c>
      <c r="M4258" s="66" t="str">
        <f t="shared" si="465"/>
        <v/>
      </c>
      <c r="N4258" s="66" t="str">
        <f t="shared" si="466"/>
        <v/>
      </c>
      <c r="O4258" s="66" t="str">
        <f t="shared" si="467"/>
        <v/>
      </c>
      <c r="P4258" s="66" t="str">
        <f t="shared" si="468"/>
        <v/>
      </c>
    </row>
    <row r="4259" spans="8:16">
      <c r="H4259" s="66" t="e">
        <f>IF(LEFT(A4259,6)="CEPNTR","GPINS",VLOOKUP(LEFT(A4259,6),'Code Library'!$A$3:$B$920,2,0))&amp;"_"&amp;RIGHT(A4259,3)</f>
        <v>#N/A</v>
      </c>
      <c r="I4259" s="66">
        <f t="shared" si="462"/>
        <v>0</v>
      </c>
      <c r="K4259" s="66" t="str">
        <f t="shared" si="463"/>
        <v/>
      </c>
      <c r="L4259" s="66" t="str">
        <f t="shared" si="464"/>
        <v/>
      </c>
      <c r="M4259" s="66" t="str">
        <f t="shared" si="465"/>
        <v/>
      </c>
      <c r="N4259" s="66" t="str">
        <f t="shared" si="466"/>
        <v/>
      </c>
      <c r="O4259" s="66" t="str">
        <f t="shared" si="467"/>
        <v/>
      </c>
      <c r="P4259" s="66" t="str">
        <f t="shared" si="468"/>
        <v/>
      </c>
    </row>
    <row r="4260" spans="8:16">
      <c r="H4260" s="66" t="e">
        <f>IF(LEFT(A4260,6)="CEPNTR","GPINS",VLOOKUP(LEFT(A4260,6),'Code Library'!$A$3:$B$920,2,0))&amp;"_"&amp;RIGHT(A4260,3)</f>
        <v>#N/A</v>
      </c>
      <c r="I4260" s="66">
        <f t="shared" si="462"/>
        <v>0</v>
      </c>
      <c r="K4260" s="66" t="str">
        <f t="shared" si="463"/>
        <v/>
      </c>
      <c r="L4260" s="66" t="str">
        <f t="shared" si="464"/>
        <v/>
      </c>
      <c r="M4260" s="66" t="str">
        <f t="shared" si="465"/>
        <v/>
      </c>
      <c r="N4260" s="66" t="str">
        <f t="shared" si="466"/>
        <v/>
      </c>
      <c r="O4260" s="66" t="str">
        <f t="shared" si="467"/>
        <v/>
      </c>
      <c r="P4260" s="66" t="str">
        <f t="shared" si="468"/>
        <v/>
      </c>
    </row>
    <row r="4261" spans="8:16">
      <c r="H4261" s="66" t="e">
        <f>IF(LEFT(A4261,6)="CEPNTR","GPINS",VLOOKUP(LEFT(A4261,6),'Code Library'!$A$3:$B$920,2,0))&amp;"_"&amp;RIGHT(A4261,3)</f>
        <v>#N/A</v>
      </c>
      <c r="I4261" s="66">
        <f t="shared" si="462"/>
        <v>0</v>
      </c>
      <c r="K4261" s="66" t="str">
        <f t="shared" si="463"/>
        <v/>
      </c>
      <c r="L4261" s="66" t="str">
        <f t="shared" si="464"/>
        <v/>
      </c>
      <c r="M4261" s="66" t="str">
        <f t="shared" si="465"/>
        <v/>
      </c>
      <c r="N4261" s="66" t="str">
        <f t="shared" si="466"/>
        <v/>
      </c>
      <c r="O4261" s="66" t="str">
        <f t="shared" si="467"/>
        <v/>
      </c>
      <c r="P4261" s="66" t="str">
        <f t="shared" si="468"/>
        <v/>
      </c>
    </row>
    <row r="4262" spans="8:16">
      <c r="H4262" s="66" t="e">
        <f>IF(LEFT(A4262,6)="CEPNTR","GPINS",VLOOKUP(LEFT(A4262,6),'Code Library'!$A$3:$B$920,2,0))&amp;"_"&amp;RIGHT(A4262,3)</f>
        <v>#N/A</v>
      </c>
      <c r="I4262" s="66">
        <f t="shared" si="462"/>
        <v>0</v>
      </c>
      <c r="K4262" s="66" t="str">
        <f t="shared" si="463"/>
        <v/>
      </c>
      <c r="L4262" s="66" t="str">
        <f t="shared" si="464"/>
        <v/>
      </c>
      <c r="M4262" s="66" t="str">
        <f t="shared" si="465"/>
        <v/>
      </c>
      <c r="N4262" s="66" t="str">
        <f t="shared" si="466"/>
        <v/>
      </c>
      <c r="O4262" s="66" t="str">
        <f t="shared" si="467"/>
        <v/>
      </c>
      <c r="P4262" s="66" t="str">
        <f t="shared" si="468"/>
        <v/>
      </c>
    </row>
    <row r="4263" spans="8:16">
      <c r="H4263" s="66" t="e">
        <f>IF(LEFT(A4263,6)="CEPNTR","GPINS",VLOOKUP(LEFT(A4263,6),'Code Library'!$A$3:$B$920,2,0))&amp;"_"&amp;RIGHT(A4263,3)</f>
        <v>#N/A</v>
      </c>
      <c r="I4263" s="66">
        <f t="shared" si="462"/>
        <v>0</v>
      </c>
      <c r="K4263" s="66" t="str">
        <f t="shared" si="463"/>
        <v/>
      </c>
      <c r="L4263" s="66" t="str">
        <f t="shared" si="464"/>
        <v/>
      </c>
      <c r="M4263" s="66" t="str">
        <f t="shared" si="465"/>
        <v/>
      </c>
      <c r="N4263" s="66" t="str">
        <f t="shared" si="466"/>
        <v/>
      </c>
      <c r="O4263" s="66" t="str">
        <f t="shared" si="467"/>
        <v/>
      </c>
      <c r="P4263" s="66" t="str">
        <f t="shared" si="468"/>
        <v/>
      </c>
    </row>
    <row r="4264" spans="8:16">
      <c r="H4264" s="66" t="e">
        <f>IF(LEFT(A4264,6)="CEPNTR","GPINS",VLOOKUP(LEFT(A4264,6),'Code Library'!$A$3:$B$920,2,0))&amp;"_"&amp;RIGHT(A4264,3)</f>
        <v>#N/A</v>
      </c>
      <c r="I4264" s="66">
        <f t="shared" si="462"/>
        <v>0</v>
      </c>
      <c r="K4264" s="66" t="str">
        <f t="shared" si="463"/>
        <v/>
      </c>
      <c r="L4264" s="66" t="str">
        <f t="shared" si="464"/>
        <v/>
      </c>
      <c r="M4264" s="66" t="str">
        <f t="shared" si="465"/>
        <v/>
      </c>
      <c r="N4264" s="66" t="str">
        <f t="shared" si="466"/>
        <v/>
      </c>
      <c r="O4264" s="66" t="str">
        <f t="shared" si="467"/>
        <v/>
      </c>
      <c r="P4264" s="66" t="str">
        <f t="shared" si="468"/>
        <v/>
      </c>
    </row>
    <row r="4265" spans="8:16">
      <c r="H4265" s="66" t="e">
        <f>IF(LEFT(A4265,6)="CEPNTR","GPINS",VLOOKUP(LEFT(A4265,6),'Code Library'!$A$3:$B$920,2,0))&amp;"_"&amp;RIGHT(A4265,3)</f>
        <v>#N/A</v>
      </c>
      <c r="I4265" s="66">
        <f t="shared" si="462"/>
        <v>0</v>
      </c>
      <c r="K4265" s="66" t="str">
        <f t="shared" si="463"/>
        <v/>
      </c>
      <c r="L4265" s="66" t="str">
        <f t="shared" si="464"/>
        <v/>
      </c>
      <c r="M4265" s="66" t="str">
        <f t="shared" si="465"/>
        <v/>
      </c>
      <c r="N4265" s="66" t="str">
        <f t="shared" si="466"/>
        <v/>
      </c>
      <c r="O4265" s="66" t="str">
        <f t="shared" si="467"/>
        <v/>
      </c>
      <c r="P4265" s="66" t="str">
        <f t="shared" si="468"/>
        <v/>
      </c>
    </row>
    <row r="4266" spans="8:16">
      <c r="H4266" s="66" t="e">
        <f>IF(LEFT(A4266,6)="CEPNTR","GPINS",VLOOKUP(LEFT(A4266,6),'Code Library'!$A$3:$B$920,2,0))&amp;"_"&amp;RIGHT(A4266,3)</f>
        <v>#N/A</v>
      </c>
      <c r="I4266" s="66">
        <f t="shared" si="462"/>
        <v>0</v>
      </c>
      <c r="K4266" s="66" t="str">
        <f t="shared" si="463"/>
        <v/>
      </c>
      <c r="L4266" s="66" t="str">
        <f t="shared" si="464"/>
        <v/>
      </c>
      <c r="M4266" s="66" t="str">
        <f t="shared" si="465"/>
        <v/>
      </c>
      <c r="N4266" s="66" t="str">
        <f t="shared" si="466"/>
        <v/>
      </c>
      <c r="O4266" s="66" t="str">
        <f t="shared" si="467"/>
        <v/>
      </c>
      <c r="P4266" s="66" t="str">
        <f t="shared" si="468"/>
        <v/>
      </c>
    </row>
    <row r="4267" spans="8:16">
      <c r="H4267" s="66" t="e">
        <f>IF(LEFT(A4267,6)="CEPNTR","GPINS",VLOOKUP(LEFT(A4267,6),'Code Library'!$A$3:$B$920,2,0))&amp;"_"&amp;RIGHT(A4267,3)</f>
        <v>#N/A</v>
      </c>
      <c r="I4267" s="66">
        <f t="shared" si="462"/>
        <v>0</v>
      </c>
      <c r="K4267" s="66" t="str">
        <f t="shared" si="463"/>
        <v/>
      </c>
      <c r="L4267" s="66" t="str">
        <f t="shared" si="464"/>
        <v/>
      </c>
      <c r="M4267" s="66" t="str">
        <f t="shared" si="465"/>
        <v/>
      </c>
      <c r="N4267" s="66" t="str">
        <f t="shared" si="466"/>
        <v/>
      </c>
      <c r="O4267" s="66" t="str">
        <f t="shared" si="467"/>
        <v/>
      </c>
      <c r="P4267" s="66" t="str">
        <f t="shared" si="468"/>
        <v/>
      </c>
    </row>
    <row r="4268" spans="8:16">
      <c r="H4268" s="66" t="e">
        <f>IF(LEFT(A4268,6)="CEPNTR","GPINS",VLOOKUP(LEFT(A4268,6),'Code Library'!$A$3:$B$920,2,0))&amp;"_"&amp;RIGHT(A4268,3)</f>
        <v>#N/A</v>
      </c>
      <c r="I4268" s="66">
        <f t="shared" si="462"/>
        <v>0</v>
      </c>
      <c r="K4268" s="66" t="str">
        <f t="shared" si="463"/>
        <v/>
      </c>
      <c r="L4268" s="66" t="str">
        <f t="shared" si="464"/>
        <v/>
      </c>
      <c r="M4268" s="66" t="str">
        <f t="shared" si="465"/>
        <v/>
      </c>
      <c r="N4268" s="66" t="str">
        <f t="shared" si="466"/>
        <v/>
      </c>
      <c r="O4268" s="66" t="str">
        <f t="shared" si="467"/>
        <v/>
      </c>
      <c r="P4268" s="66" t="str">
        <f t="shared" si="468"/>
        <v/>
      </c>
    </row>
    <row r="4269" spans="8:16">
      <c r="H4269" s="66" t="e">
        <f>IF(LEFT(A4269,6)="CEPNTR","GPINS",VLOOKUP(LEFT(A4269,6),'Code Library'!$A$3:$B$920,2,0))&amp;"_"&amp;RIGHT(A4269,3)</f>
        <v>#N/A</v>
      </c>
      <c r="I4269" s="66">
        <f t="shared" si="462"/>
        <v>0</v>
      </c>
      <c r="K4269" s="66" t="str">
        <f t="shared" si="463"/>
        <v/>
      </c>
      <c r="L4269" s="66" t="str">
        <f t="shared" si="464"/>
        <v/>
      </c>
      <c r="M4269" s="66" t="str">
        <f t="shared" si="465"/>
        <v/>
      </c>
      <c r="N4269" s="66" t="str">
        <f t="shared" si="466"/>
        <v/>
      </c>
      <c r="O4269" s="66" t="str">
        <f t="shared" si="467"/>
        <v/>
      </c>
      <c r="P4269" s="66" t="str">
        <f t="shared" si="468"/>
        <v/>
      </c>
    </row>
    <row r="4270" spans="8:16">
      <c r="H4270" s="66" t="e">
        <f>IF(LEFT(A4270,6)="CEPNTR","GPINS",VLOOKUP(LEFT(A4270,6),'Code Library'!$A$3:$B$920,2,0))&amp;"_"&amp;RIGHT(A4270,3)</f>
        <v>#N/A</v>
      </c>
      <c r="I4270" s="66">
        <f t="shared" si="462"/>
        <v>0</v>
      </c>
      <c r="K4270" s="66" t="str">
        <f t="shared" si="463"/>
        <v/>
      </c>
      <c r="L4270" s="66" t="str">
        <f t="shared" si="464"/>
        <v/>
      </c>
      <c r="M4270" s="66" t="str">
        <f t="shared" si="465"/>
        <v/>
      </c>
      <c r="N4270" s="66" t="str">
        <f t="shared" si="466"/>
        <v/>
      </c>
      <c r="O4270" s="66" t="str">
        <f t="shared" si="467"/>
        <v/>
      </c>
      <c r="P4270" s="66" t="str">
        <f t="shared" si="468"/>
        <v/>
      </c>
    </row>
    <row r="4271" spans="8:16">
      <c r="H4271" s="66" t="e">
        <f>IF(LEFT(A4271,6)="CEPNTR","GPINS",VLOOKUP(LEFT(A4271,6),'Code Library'!$A$3:$B$920,2,0))&amp;"_"&amp;RIGHT(A4271,3)</f>
        <v>#N/A</v>
      </c>
      <c r="I4271" s="66">
        <f t="shared" si="462"/>
        <v>0</v>
      </c>
      <c r="K4271" s="66" t="str">
        <f t="shared" si="463"/>
        <v/>
      </c>
      <c r="L4271" s="66" t="str">
        <f t="shared" si="464"/>
        <v/>
      </c>
      <c r="M4271" s="66" t="str">
        <f t="shared" si="465"/>
        <v/>
      </c>
      <c r="N4271" s="66" t="str">
        <f t="shared" si="466"/>
        <v/>
      </c>
      <c r="O4271" s="66" t="str">
        <f t="shared" si="467"/>
        <v/>
      </c>
      <c r="P4271" s="66" t="str">
        <f t="shared" si="468"/>
        <v/>
      </c>
    </row>
    <row r="4272" spans="8:16">
      <c r="H4272" s="66" t="e">
        <f>IF(LEFT(A4272,6)="CEPNTR","GPINS",VLOOKUP(LEFT(A4272,6),'Code Library'!$A$3:$B$920,2,0))&amp;"_"&amp;RIGHT(A4272,3)</f>
        <v>#N/A</v>
      </c>
      <c r="I4272" s="66">
        <f t="shared" si="462"/>
        <v>0</v>
      </c>
      <c r="K4272" s="66" t="str">
        <f t="shared" si="463"/>
        <v/>
      </c>
      <c r="L4272" s="66" t="str">
        <f t="shared" si="464"/>
        <v/>
      </c>
      <c r="M4272" s="66" t="str">
        <f t="shared" si="465"/>
        <v/>
      </c>
      <c r="N4272" s="66" t="str">
        <f t="shared" si="466"/>
        <v/>
      </c>
      <c r="O4272" s="66" t="str">
        <f t="shared" si="467"/>
        <v/>
      </c>
      <c r="P4272" s="66" t="str">
        <f t="shared" si="468"/>
        <v/>
      </c>
    </row>
    <row r="4273" spans="8:16">
      <c r="H4273" s="66" t="e">
        <f>IF(LEFT(A4273,6)="CEPNTR","GPINS",VLOOKUP(LEFT(A4273,6),'Code Library'!$A$3:$B$920,2,0))&amp;"_"&amp;RIGHT(A4273,3)</f>
        <v>#N/A</v>
      </c>
      <c r="I4273" s="66">
        <f t="shared" si="462"/>
        <v>0</v>
      </c>
      <c r="K4273" s="66" t="str">
        <f t="shared" si="463"/>
        <v/>
      </c>
      <c r="L4273" s="66" t="str">
        <f t="shared" si="464"/>
        <v/>
      </c>
      <c r="M4273" s="66" t="str">
        <f t="shared" si="465"/>
        <v/>
      </c>
      <c r="N4273" s="66" t="str">
        <f t="shared" si="466"/>
        <v/>
      </c>
      <c r="O4273" s="66" t="str">
        <f t="shared" si="467"/>
        <v/>
      </c>
      <c r="P4273" s="66" t="str">
        <f t="shared" si="468"/>
        <v/>
      </c>
    </row>
    <row r="4274" spans="8:16">
      <c r="H4274" s="66" t="e">
        <f>IF(LEFT(A4274,6)="CEPNTR","GPINS",VLOOKUP(LEFT(A4274,6),'Code Library'!$A$3:$B$920,2,0))&amp;"_"&amp;RIGHT(A4274,3)</f>
        <v>#N/A</v>
      </c>
      <c r="I4274" s="66">
        <f t="shared" si="462"/>
        <v>0</v>
      </c>
      <c r="K4274" s="66" t="str">
        <f t="shared" si="463"/>
        <v/>
      </c>
      <c r="L4274" s="66" t="str">
        <f t="shared" si="464"/>
        <v/>
      </c>
      <c r="M4274" s="66" t="str">
        <f t="shared" si="465"/>
        <v/>
      </c>
      <c r="N4274" s="66" t="str">
        <f t="shared" si="466"/>
        <v/>
      </c>
      <c r="O4274" s="66" t="str">
        <f t="shared" si="467"/>
        <v/>
      </c>
      <c r="P4274" s="66" t="str">
        <f t="shared" si="468"/>
        <v/>
      </c>
    </row>
    <row r="4275" spans="8:16">
      <c r="H4275" s="66" t="e">
        <f>IF(LEFT(A4275,6)="CEPNTR","GPINS",VLOOKUP(LEFT(A4275,6),'Code Library'!$A$3:$B$920,2,0))&amp;"_"&amp;RIGHT(A4275,3)</f>
        <v>#N/A</v>
      </c>
      <c r="I4275" s="66">
        <f t="shared" si="462"/>
        <v>0</v>
      </c>
      <c r="K4275" s="66" t="str">
        <f t="shared" si="463"/>
        <v/>
      </c>
      <c r="L4275" s="66" t="str">
        <f t="shared" si="464"/>
        <v/>
      </c>
      <c r="M4275" s="66" t="str">
        <f t="shared" si="465"/>
        <v/>
      </c>
      <c r="N4275" s="66" t="str">
        <f t="shared" si="466"/>
        <v/>
      </c>
      <c r="O4275" s="66" t="str">
        <f t="shared" si="467"/>
        <v/>
      </c>
      <c r="P4275" s="66" t="str">
        <f t="shared" si="468"/>
        <v/>
      </c>
    </row>
    <row r="4276" spans="8:16">
      <c r="H4276" s="66" t="e">
        <f>IF(LEFT(A4276,6)="CEPNTR","GPINS",VLOOKUP(LEFT(A4276,6),'Code Library'!$A$3:$B$920,2,0))&amp;"_"&amp;RIGHT(A4276,3)</f>
        <v>#N/A</v>
      </c>
      <c r="I4276" s="66">
        <f t="shared" si="462"/>
        <v>0</v>
      </c>
      <c r="K4276" s="66" t="str">
        <f t="shared" si="463"/>
        <v/>
      </c>
      <c r="L4276" s="66" t="str">
        <f t="shared" si="464"/>
        <v/>
      </c>
      <c r="M4276" s="66" t="str">
        <f t="shared" si="465"/>
        <v/>
      </c>
      <c r="N4276" s="66" t="str">
        <f t="shared" si="466"/>
        <v/>
      </c>
      <c r="O4276" s="66" t="str">
        <f t="shared" si="467"/>
        <v/>
      </c>
      <c r="P4276" s="66" t="str">
        <f t="shared" si="468"/>
        <v/>
      </c>
    </row>
    <row r="4277" spans="8:16">
      <c r="H4277" s="66" t="e">
        <f>IF(LEFT(A4277,6)="CEPNTR","GPINS",VLOOKUP(LEFT(A4277,6),'Code Library'!$A$3:$B$920,2,0))&amp;"_"&amp;RIGHT(A4277,3)</f>
        <v>#N/A</v>
      </c>
      <c r="I4277" s="66">
        <f t="shared" si="462"/>
        <v>0</v>
      </c>
      <c r="K4277" s="66" t="str">
        <f t="shared" si="463"/>
        <v/>
      </c>
      <c r="L4277" s="66" t="str">
        <f t="shared" si="464"/>
        <v/>
      </c>
      <c r="M4277" s="66" t="str">
        <f t="shared" si="465"/>
        <v/>
      </c>
      <c r="N4277" s="66" t="str">
        <f t="shared" si="466"/>
        <v/>
      </c>
      <c r="O4277" s="66" t="str">
        <f t="shared" si="467"/>
        <v/>
      </c>
      <c r="P4277" s="66" t="str">
        <f t="shared" si="468"/>
        <v/>
      </c>
    </row>
    <row r="4278" spans="8:16">
      <c r="H4278" s="66" t="e">
        <f>IF(LEFT(A4278,6)="CEPNTR","GPINS",VLOOKUP(LEFT(A4278,6),'Code Library'!$A$3:$B$920,2,0))&amp;"_"&amp;RIGHT(A4278,3)</f>
        <v>#N/A</v>
      </c>
      <c r="I4278" s="66">
        <f t="shared" si="462"/>
        <v>0</v>
      </c>
      <c r="K4278" s="66" t="str">
        <f t="shared" si="463"/>
        <v/>
      </c>
      <c r="L4278" s="66" t="str">
        <f t="shared" si="464"/>
        <v/>
      </c>
      <c r="M4278" s="66" t="str">
        <f t="shared" si="465"/>
        <v/>
      </c>
      <c r="N4278" s="66" t="str">
        <f t="shared" si="466"/>
        <v/>
      </c>
      <c r="O4278" s="66" t="str">
        <f t="shared" si="467"/>
        <v/>
      </c>
      <c r="P4278" s="66" t="str">
        <f t="shared" si="468"/>
        <v/>
      </c>
    </row>
    <row r="4279" spans="8:16">
      <c r="H4279" s="66" t="e">
        <f>IF(LEFT(A4279,6)="CEPNTR","GPINS",VLOOKUP(LEFT(A4279,6),'Code Library'!$A$3:$B$920,2,0))&amp;"_"&amp;RIGHT(A4279,3)</f>
        <v>#N/A</v>
      </c>
      <c r="I4279" s="66">
        <f t="shared" si="462"/>
        <v>0</v>
      </c>
      <c r="K4279" s="66" t="str">
        <f t="shared" si="463"/>
        <v/>
      </c>
      <c r="L4279" s="66" t="str">
        <f t="shared" si="464"/>
        <v/>
      </c>
      <c r="M4279" s="66" t="str">
        <f t="shared" si="465"/>
        <v/>
      </c>
      <c r="N4279" s="66" t="str">
        <f t="shared" si="466"/>
        <v/>
      </c>
      <c r="O4279" s="66" t="str">
        <f t="shared" si="467"/>
        <v/>
      </c>
      <c r="P4279" s="66" t="str">
        <f t="shared" si="468"/>
        <v/>
      </c>
    </row>
    <row r="4280" spans="8:16">
      <c r="H4280" s="66" t="e">
        <f>IF(LEFT(A4280,6)="CEPNTR","GPINS",VLOOKUP(LEFT(A4280,6),'Code Library'!$A$3:$B$920,2,0))&amp;"_"&amp;RIGHT(A4280,3)</f>
        <v>#N/A</v>
      </c>
      <c r="I4280" s="66">
        <f t="shared" si="462"/>
        <v>0</v>
      </c>
      <c r="K4280" s="66" t="str">
        <f t="shared" si="463"/>
        <v/>
      </c>
      <c r="L4280" s="66" t="str">
        <f t="shared" si="464"/>
        <v/>
      </c>
      <c r="M4280" s="66" t="str">
        <f t="shared" si="465"/>
        <v/>
      </c>
      <c r="N4280" s="66" t="str">
        <f t="shared" si="466"/>
        <v/>
      </c>
      <c r="O4280" s="66" t="str">
        <f t="shared" si="467"/>
        <v/>
      </c>
      <c r="P4280" s="66" t="str">
        <f t="shared" si="468"/>
        <v/>
      </c>
    </row>
    <row r="4281" spans="8:16">
      <c r="H4281" s="66" t="e">
        <f>IF(LEFT(A4281,6)="CEPNTR","GPINS",VLOOKUP(LEFT(A4281,6),'Code Library'!$A$3:$B$920,2,0))&amp;"_"&amp;RIGHT(A4281,3)</f>
        <v>#N/A</v>
      </c>
      <c r="I4281" s="66">
        <f t="shared" si="462"/>
        <v>0</v>
      </c>
      <c r="K4281" s="66" t="str">
        <f t="shared" si="463"/>
        <v/>
      </c>
      <c r="L4281" s="66" t="str">
        <f t="shared" si="464"/>
        <v/>
      </c>
      <c r="M4281" s="66" t="str">
        <f t="shared" si="465"/>
        <v/>
      </c>
      <c r="N4281" s="66" t="str">
        <f t="shared" si="466"/>
        <v/>
      </c>
      <c r="O4281" s="66" t="str">
        <f t="shared" si="467"/>
        <v/>
      </c>
      <c r="P4281" s="66" t="str">
        <f t="shared" si="468"/>
        <v/>
      </c>
    </row>
    <row r="4282" spans="8:16">
      <c r="H4282" s="66" t="e">
        <f>IF(LEFT(A4282,6)="CEPNTR","GPINS",VLOOKUP(LEFT(A4282,6),'Code Library'!$A$3:$B$920,2,0))&amp;"_"&amp;RIGHT(A4282,3)</f>
        <v>#N/A</v>
      </c>
      <c r="I4282" s="66">
        <f t="shared" si="462"/>
        <v>0</v>
      </c>
      <c r="K4282" s="66" t="str">
        <f t="shared" si="463"/>
        <v/>
      </c>
      <c r="L4282" s="66" t="str">
        <f t="shared" si="464"/>
        <v/>
      </c>
      <c r="M4282" s="66" t="str">
        <f t="shared" si="465"/>
        <v/>
      </c>
      <c r="N4282" s="66" t="str">
        <f t="shared" si="466"/>
        <v/>
      </c>
      <c r="O4282" s="66" t="str">
        <f t="shared" si="467"/>
        <v/>
      </c>
      <c r="P4282" s="66" t="str">
        <f t="shared" si="468"/>
        <v/>
      </c>
    </row>
    <row r="4283" spans="8:16">
      <c r="H4283" s="66" t="e">
        <f>IF(LEFT(A4283,6)="CEPNTR","GPINS",VLOOKUP(LEFT(A4283,6),'Code Library'!$A$3:$B$920,2,0))&amp;"_"&amp;RIGHT(A4283,3)</f>
        <v>#N/A</v>
      </c>
      <c r="I4283" s="66">
        <f t="shared" si="462"/>
        <v>0</v>
      </c>
      <c r="K4283" s="66" t="str">
        <f t="shared" si="463"/>
        <v/>
      </c>
      <c r="L4283" s="66" t="str">
        <f t="shared" si="464"/>
        <v/>
      </c>
      <c r="M4283" s="66" t="str">
        <f t="shared" si="465"/>
        <v/>
      </c>
      <c r="N4283" s="66" t="str">
        <f t="shared" si="466"/>
        <v/>
      </c>
      <c r="O4283" s="66" t="str">
        <f t="shared" si="467"/>
        <v/>
      </c>
      <c r="P4283" s="66" t="str">
        <f t="shared" si="468"/>
        <v/>
      </c>
    </row>
    <row r="4284" spans="8:16">
      <c r="H4284" s="66" t="e">
        <f>IF(LEFT(A4284,6)="CEPNTR","GPINS",VLOOKUP(LEFT(A4284,6),'Code Library'!$A$3:$B$920,2,0))&amp;"_"&amp;RIGHT(A4284,3)</f>
        <v>#N/A</v>
      </c>
      <c r="I4284" s="66">
        <f t="shared" si="462"/>
        <v>0</v>
      </c>
      <c r="K4284" s="66" t="str">
        <f t="shared" si="463"/>
        <v/>
      </c>
      <c r="L4284" s="66" t="str">
        <f t="shared" si="464"/>
        <v/>
      </c>
      <c r="M4284" s="66" t="str">
        <f t="shared" si="465"/>
        <v/>
      </c>
      <c r="N4284" s="66" t="str">
        <f t="shared" si="466"/>
        <v/>
      </c>
      <c r="O4284" s="66" t="str">
        <f t="shared" si="467"/>
        <v/>
      </c>
      <c r="P4284" s="66" t="str">
        <f t="shared" si="468"/>
        <v/>
      </c>
    </row>
    <row r="4285" spans="8:16">
      <c r="H4285" s="66" t="e">
        <f>IF(LEFT(A4285,6)="CEPNTR","GPINS",VLOOKUP(LEFT(A4285,6),'Code Library'!$A$3:$B$920,2,0))&amp;"_"&amp;RIGHT(A4285,3)</f>
        <v>#N/A</v>
      </c>
      <c r="I4285" s="66">
        <f t="shared" si="462"/>
        <v>0</v>
      </c>
      <c r="K4285" s="66" t="str">
        <f t="shared" si="463"/>
        <v/>
      </c>
      <c r="L4285" s="66" t="str">
        <f t="shared" si="464"/>
        <v/>
      </c>
      <c r="M4285" s="66" t="str">
        <f t="shared" si="465"/>
        <v/>
      </c>
      <c r="N4285" s="66" t="str">
        <f t="shared" si="466"/>
        <v/>
      </c>
      <c r="O4285" s="66" t="str">
        <f t="shared" si="467"/>
        <v/>
      </c>
      <c r="P4285" s="66" t="str">
        <f t="shared" si="468"/>
        <v/>
      </c>
    </row>
    <row r="4286" spans="8:16">
      <c r="H4286" s="66" t="e">
        <f>IF(LEFT(A4286,6)="CEPNTR","GPINS",VLOOKUP(LEFT(A4286,6),'Code Library'!$A$3:$B$920,2,0))&amp;"_"&amp;RIGHT(A4286,3)</f>
        <v>#N/A</v>
      </c>
      <c r="I4286" s="66">
        <f t="shared" si="462"/>
        <v>0</v>
      </c>
      <c r="K4286" s="66" t="str">
        <f t="shared" si="463"/>
        <v/>
      </c>
      <c r="L4286" s="66" t="str">
        <f t="shared" si="464"/>
        <v/>
      </c>
      <c r="M4286" s="66" t="str">
        <f t="shared" si="465"/>
        <v/>
      </c>
      <c r="N4286" s="66" t="str">
        <f t="shared" si="466"/>
        <v/>
      </c>
      <c r="O4286" s="66" t="str">
        <f t="shared" si="467"/>
        <v/>
      </c>
      <c r="P4286" s="66" t="str">
        <f t="shared" si="468"/>
        <v/>
      </c>
    </row>
    <row r="4287" spans="8:16">
      <c r="H4287" s="66" t="e">
        <f>IF(LEFT(A4287,6)="CEPNTR","GPINS",VLOOKUP(LEFT(A4287,6),'Code Library'!$A$3:$B$920,2,0))&amp;"_"&amp;RIGHT(A4287,3)</f>
        <v>#N/A</v>
      </c>
      <c r="I4287" s="66">
        <f t="shared" si="462"/>
        <v>0</v>
      </c>
      <c r="K4287" s="66" t="str">
        <f t="shared" si="463"/>
        <v/>
      </c>
      <c r="L4287" s="66" t="str">
        <f t="shared" si="464"/>
        <v/>
      </c>
      <c r="M4287" s="66" t="str">
        <f t="shared" si="465"/>
        <v/>
      </c>
      <c r="N4287" s="66" t="str">
        <f t="shared" si="466"/>
        <v/>
      </c>
      <c r="O4287" s="66" t="str">
        <f t="shared" si="467"/>
        <v/>
      </c>
      <c r="P4287" s="66" t="str">
        <f t="shared" si="468"/>
        <v/>
      </c>
    </row>
    <row r="4288" spans="8:16">
      <c r="H4288" s="66" t="e">
        <f>IF(LEFT(A4288,6)="CEPNTR","GPINS",VLOOKUP(LEFT(A4288,6),'Code Library'!$A$3:$B$920,2,0))&amp;"_"&amp;RIGHT(A4288,3)</f>
        <v>#N/A</v>
      </c>
      <c r="I4288" s="66">
        <f t="shared" si="462"/>
        <v>0</v>
      </c>
      <c r="K4288" s="66" t="str">
        <f t="shared" si="463"/>
        <v/>
      </c>
      <c r="L4288" s="66" t="str">
        <f t="shared" si="464"/>
        <v/>
      </c>
      <c r="M4288" s="66" t="str">
        <f t="shared" si="465"/>
        <v/>
      </c>
      <c r="N4288" s="66" t="str">
        <f t="shared" si="466"/>
        <v/>
      </c>
      <c r="O4288" s="66" t="str">
        <f t="shared" si="467"/>
        <v/>
      </c>
      <c r="P4288" s="66" t="str">
        <f t="shared" si="468"/>
        <v/>
      </c>
    </row>
    <row r="4289" spans="8:16">
      <c r="H4289" s="66" t="e">
        <f>IF(LEFT(A4289,6)="CEPNTR","GPINS",VLOOKUP(LEFT(A4289,6),'Code Library'!$A$3:$B$920,2,0))&amp;"_"&amp;RIGHT(A4289,3)</f>
        <v>#N/A</v>
      </c>
      <c r="I4289" s="66">
        <f t="shared" si="462"/>
        <v>0</v>
      </c>
      <c r="K4289" s="66" t="str">
        <f t="shared" si="463"/>
        <v/>
      </c>
      <c r="L4289" s="66" t="str">
        <f t="shared" si="464"/>
        <v/>
      </c>
      <c r="M4289" s="66" t="str">
        <f t="shared" si="465"/>
        <v/>
      </c>
      <c r="N4289" s="66" t="str">
        <f t="shared" si="466"/>
        <v/>
      </c>
      <c r="O4289" s="66" t="str">
        <f t="shared" si="467"/>
        <v/>
      </c>
      <c r="P4289" s="66" t="str">
        <f t="shared" si="468"/>
        <v/>
      </c>
    </row>
    <row r="4290" spans="8:16">
      <c r="H4290" s="66" t="e">
        <f>IF(LEFT(A4290,6)="CEPNTR","GPINS",VLOOKUP(LEFT(A4290,6),'Code Library'!$A$3:$B$920,2,0))&amp;"_"&amp;RIGHT(A4290,3)</f>
        <v>#N/A</v>
      </c>
      <c r="I4290" s="66">
        <f t="shared" si="462"/>
        <v>0</v>
      </c>
      <c r="K4290" s="66" t="str">
        <f t="shared" si="463"/>
        <v/>
      </c>
      <c r="L4290" s="66" t="str">
        <f t="shared" si="464"/>
        <v/>
      </c>
      <c r="M4290" s="66" t="str">
        <f t="shared" si="465"/>
        <v/>
      </c>
      <c r="N4290" s="66" t="str">
        <f t="shared" si="466"/>
        <v/>
      </c>
      <c r="O4290" s="66" t="str">
        <f t="shared" si="467"/>
        <v/>
      </c>
      <c r="P4290" s="66" t="str">
        <f t="shared" si="468"/>
        <v/>
      </c>
    </row>
    <row r="4291" spans="8:16">
      <c r="H4291" s="66" t="e">
        <f>IF(LEFT(A4291,6)="CEPNTR","GPINS",VLOOKUP(LEFT(A4291,6),'Code Library'!$A$3:$B$920,2,0))&amp;"_"&amp;RIGHT(A4291,3)</f>
        <v>#N/A</v>
      </c>
      <c r="I4291" s="66">
        <f t="shared" ref="I4291:I4354" si="469">A4291</f>
        <v>0</v>
      </c>
      <c r="K4291" s="66" t="str">
        <f t="shared" ref="K4291:K4354" si="470">RIGHT($B4291,2)</f>
        <v/>
      </c>
      <c r="L4291" s="66" t="str">
        <f t="shared" ref="L4291:L4354" si="471">LEFT(RIGHT($B4291,7),4)</f>
        <v/>
      </c>
      <c r="M4291" s="66" t="str">
        <f t="shared" ref="M4291:M4354" si="472">LEFT(RIGHT($B4291,10),2)</f>
        <v/>
      </c>
      <c r="N4291" s="66" t="str">
        <f t="shared" ref="N4291:N4354" si="473">LEFT(RIGHT($B4291,14),3)</f>
        <v/>
      </c>
      <c r="O4291" s="66" t="str">
        <f t="shared" ref="O4291:O4354" si="474">LEFT(RIGHT($B4291,16),1)</f>
        <v/>
      </c>
      <c r="P4291" s="66" t="str">
        <f t="shared" ref="P4291:P4354" si="475">LEFT(RIGHT($B4291,19),2)</f>
        <v/>
      </c>
    </row>
    <row r="4292" spans="8:16">
      <c r="H4292" s="66" t="e">
        <f>IF(LEFT(A4292,6)="CEPNTR","GPINS",VLOOKUP(LEFT(A4292,6),'Code Library'!$A$3:$B$920,2,0))&amp;"_"&amp;RIGHT(A4292,3)</f>
        <v>#N/A</v>
      </c>
      <c r="I4292" s="66">
        <f t="shared" si="469"/>
        <v>0</v>
      </c>
      <c r="K4292" s="66" t="str">
        <f t="shared" si="470"/>
        <v/>
      </c>
      <c r="L4292" s="66" t="str">
        <f t="shared" si="471"/>
        <v/>
      </c>
      <c r="M4292" s="66" t="str">
        <f t="shared" si="472"/>
        <v/>
      </c>
      <c r="N4292" s="66" t="str">
        <f t="shared" si="473"/>
        <v/>
      </c>
      <c r="O4292" s="66" t="str">
        <f t="shared" si="474"/>
        <v/>
      </c>
      <c r="P4292" s="66" t="str">
        <f t="shared" si="475"/>
        <v/>
      </c>
    </row>
    <row r="4293" spans="8:16">
      <c r="H4293" s="66" t="e">
        <f>IF(LEFT(A4293,6)="CEPNTR","GPINS",VLOOKUP(LEFT(A4293,6),'Code Library'!$A$3:$B$920,2,0))&amp;"_"&amp;RIGHT(A4293,3)</f>
        <v>#N/A</v>
      </c>
      <c r="I4293" s="66">
        <f t="shared" si="469"/>
        <v>0</v>
      </c>
      <c r="K4293" s="66" t="str">
        <f t="shared" si="470"/>
        <v/>
      </c>
      <c r="L4293" s="66" t="str">
        <f t="shared" si="471"/>
        <v/>
      </c>
      <c r="M4293" s="66" t="str">
        <f t="shared" si="472"/>
        <v/>
      </c>
      <c r="N4293" s="66" t="str">
        <f t="shared" si="473"/>
        <v/>
      </c>
      <c r="O4293" s="66" t="str">
        <f t="shared" si="474"/>
        <v/>
      </c>
      <c r="P4293" s="66" t="str">
        <f t="shared" si="475"/>
        <v/>
      </c>
    </row>
    <row r="4294" spans="8:16">
      <c r="H4294" s="66" t="e">
        <f>IF(LEFT(A4294,6)="CEPNTR","GPINS",VLOOKUP(LEFT(A4294,6),'Code Library'!$A$3:$B$920,2,0))&amp;"_"&amp;RIGHT(A4294,3)</f>
        <v>#N/A</v>
      </c>
      <c r="I4294" s="66">
        <f t="shared" si="469"/>
        <v>0</v>
      </c>
      <c r="K4294" s="66" t="str">
        <f t="shared" si="470"/>
        <v/>
      </c>
      <c r="L4294" s="66" t="str">
        <f t="shared" si="471"/>
        <v/>
      </c>
      <c r="M4294" s="66" t="str">
        <f t="shared" si="472"/>
        <v/>
      </c>
      <c r="N4294" s="66" t="str">
        <f t="shared" si="473"/>
        <v/>
      </c>
      <c r="O4294" s="66" t="str">
        <f t="shared" si="474"/>
        <v/>
      </c>
      <c r="P4294" s="66" t="str">
        <f t="shared" si="475"/>
        <v/>
      </c>
    </row>
    <row r="4295" spans="8:16">
      <c r="H4295" s="66" t="e">
        <f>IF(LEFT(A4295,6)="CEPNTR","GPINS",VLOOKUP(LEFT(A4295,6),'Code Library'!$A$3:$B$920,2,0))&amp;"_"&amp;RIGHT(A4295,3)</f>
        <v>#N/A</v>
      </c>
      <c r="I4295" s="66">
        <f t="shared" si="469"/>
        <v>0</v>
      </c>
      <c r="K4295" s="66" t="str">
        <f t="shared" si="470"/>
        <v/>
      </c>
      <c r="L4295" s="66" t="str">
        <f t="shared" si="471"/>
        <v/>
      </c>
      <c r="M4295" s="66" t="str">
        <f t="shared" si="472"/>
        <v/>
      </c>
      <c r="N4295" s="66" t="str">
        <f t="shared" si="473"/>
        <v/>
      </c>
      <c r="O4295" s="66" t="str">
        <f t="shared" si="474"/>
        <v/>
      </c>
      <c r="P4295" s="66" t="str">
        <f t="shared" si="475"/>
        <v/>
      </c>
    </row>
    <row r="4296" spans="8:16">
      <c r="H4296" s="66" t="e">
        <f>IF(LEFT(A4296,6)="CEPNTR","GPINS",VLOOKUP(LEFT(A4296,6),'Code Library'!$A$3:$B$920,2,0))&amp;"_"&amp;RIGHT(A4296,3)</f>
        <v>#N/A</v>
      </c>
      <c r="I4296" s="66">
        <f t="shared" si="469"/>
        <v>0</v>
      </c>
      <c r="K4296" s="66" t="str">
        <f t="shared" si="470"/>
        <v/>
      </c>
      <c r="L4296" s="66" t="str">
        <f t="shared" si="471"/>
        <v/>
      </c>
      <c r="M4296" s="66" t="str">
        <f t="shared" si="472"/>
        <v/>
      </c>
      <c r="N4296" s="66" t="str">
        <f t="shared" si="473"/>
        <v/>
      </c>
      <c r="O4296" s="66" t="str">
        <f t="shared" si="474"/>
        <v/>
      </c>
      <c r="P4296" s="66" t="str">
        <f t="shared" si="475"/>
        <v/>
      </c>
    </row>
    <row r="4297" spans="8:16">
      <c r="H4297" s="66" t="e">
        <f>IF(LEFT(A4297,6)="CEPNTR","GPINS",VLOOKUP(LEFT(A4297,6),'Code Library'!$A$3:$B$920,2,0))&amp;"_"&amp;RIGHT(A4297,3)</f>
        <v>#N/A</v>
      </c>
      <c r="I4297" s="66">
        <f t="shared" si="469"/>
        <v>0</v>
      </c>
      <c r="K4297" s="66" t="str">
        <f t="shared" si="470"/>
        <v/>
      </c>
      <c r="L4297" s="66" t="str">
        <f t="shared" si="471"/>
        <v/>
      </c>
      <c r="M4297" s="66" t="str">
        <f t="shared" si="472"/>
        <v/>
      </c>
      <c r="N4297" s="66" t="str">
        <f t="shared" si="473"/>
        <v/>
      </c>
      <c r="O4297" s="66" t="str">
        <f t="shared" si="474"/>
        <v/>
      </c>
      <c r="P4297" s="66" t="str">
        <f t="shared" si="475"/>
        <v/>
      </c>
    </row>
    <row r="4298" spans="8:16">
      <c r="H4298" s="66" t="e">
        <f>IF(LEFT(A4298,6)="CEPNTR","GPINS",VLOOKUP(LEFT(A4298,6),'Code Library'!$A$3:$B$920,2,0))&amp;"_"&amp;RIGHT(A4298,3)</f>
        <v>#N/A</v>
      </c>
      <c r="I4298" s="66">
        <f t="shared" si="469"/>
        <v>0</v>
      </c>
      <c r="K4298" s="66" t="str">
        <f t="shared" si="470"/>
        <v/>
      </c>
      <c r="L4298" s="66" t="str">
        <f t="shared" si="471"/>
        <v/>
      </c>
      <c r="M4298" s="66" t="str">
        <f t="shared" si="472"/>
        <v/>
      </c>
      <c r="N4298" s="66" t="str">
        <f t="shared" si="473"/>
        <v/>
      </c>
      <c r="O4298" s="66" t="str">
        <f t="shared" si="474"/>
        <v/>
      </c>
      <c r="P4298" s="66" t="str">
        <f t="shared" si="475"/>
        <v/>
      </c>
    </row>
    <row r="4299" spans="8:16">
      <c r="H4299" s="66" t="e">
        <f>IF(LEFT(A4299,6)="CEPNTR","GPINS",VLOOKUP(LEFT(A4299,6),'Code Library'!$A$3:$B$920,2,0))&amp;"_"&amp;RIGHT(A4299,3)</f>
        <v>#N/A</v>
      </c>
      <c r="I4299" s="66">
        <f t="shared" si="469"/>
        <v>0</v>
      </c>
      <c r="K4299" s="66" t="str">
        <f t="shared" si="470"/>
        <v/>
      </c>
      <c r="L4299" s="66" t="str">
        <f t="shared" si="471"/>
        <v/>
      </c>
      <c r="M4299" s="66" t="str">
        <f t="shared" si="472"/>
        <v/>
      </c>
      <c r="N4299" s="66" t="str">
        <f t="shared" si="473"/>
        <v/>
      </c>
      <c r="O4299" s="66" t="str">
        <f t="shared" si="474"/>
        <v/>
      </c>
      <c r="P4299" s="66" t="str">
        <f t="shared" si="475"/>
        <v/>
      </c>
    </row>
    <row r="4300" spans="8:16">
      <c r="H4300" s="66" t="e">
        <f>IF(LEFT(A4300,6)="CEPNTR","GPINS",VLOOKUP(LEFT(A4300,6),'Code Library'!$A$3:$B$920,2,0))&amp;"_"&amp;RIGHT(A4300,3)</f>
        <v>#N/A</v>
      </c>
      <c r="I4300" s="66">
        <f t="shared" si="469"/>
        <v>0</v>
      </c>
      <c r="K4300" s="66" t="str">
        <f t="shared" si="470"/>
        <v/>
      </c>
      <c r="L4300" s="66" t="str">
        <f t="shared" si="471"/>
        <v/>
      </c>
      <c r="M4300" s="66" t="str">
        <f t="shared" si="472"/>
        <v/>
      </c>
      <c r="N4300" s="66" t="str">
        <f t="shared" si="473"/>
        <v/>
      </c>
      <c r="O4300" s="66" t="str">
        <f t="shared" si="474"/>
        <v/>
      </c>
      <c r="P4300" s="66" t="str">
        <f t="shared" si="475"/>
        <v/>
      </c>
    </row>
    <row r="4301" spans="8:16">
      <c r="H4301" s="66" t="e">
        <f>IF(LEFT(A4301,6)="CEPNTR","GPINS",VLOOKUP(LEFT(A4301,6),'Code Library'!$A$3:$B$920,2,0))&amp;"_"&amp;RIGHT(A4301,3)</f>
        <v>#N/A</v>
      </c>
      <c r="I4301" s="66">
        <f t="shared" si="469"/>
        <v>0</v>
      </c>
      <c r="K4301" s="66" t="str">
        <f t="shared" si="470"/>
        <v/>
      </c>
      <c r="L4301" s="66" t="str">
        <f t="shared" si="471"/>
        <v/>
      </c>
      <c r="M4301" s="66" t="str">
        <f t="shared" si="472"/>
        <v/>
      </c>
      <c r="N4301" s="66" t="str">
        <f t="shared" si="473"/>
        <v/>
      </c>
      <c r="O4301" s="66" t="str">
        <f t="shared" si="474"/>
        <v/>
      </c>
      <c r="P4301" s="66" t="str">
        <f t="shared" si="475"/>
        <v/>
      </c>
    </row>
    <row r="4302" spans="8:16">
      <c r="H4302" s="66" t="e">
        <f>IF(LEFT(A4302,6)="CEPNTR","GPINS",VLOOKUP(LEFT(A4302,6),'Code Library'!$A$3:$B$920,2,0))&amp;"_"&amp;RIGHT(A4302,3)</f>
        <v>#N/A</v>
      </c>
      <c r="I4302" s="66">
        <f t="shared" si="469"/>
        <v>0</v>
      </c>
      <c r="K4302" s="66" t="str">
        <f t="shared" si="470"/>
        <v/>
      </c>
      <c r="L4302" s="66" t="str">
        <f t="shared" si="471"/>
        <v/>
      </c>
      <c r="M4302" s="66" t="str">
        <f t="shared" si="472"/>
        <v/>
      </c>
      <c r="N4302" s="66" t="str">
        <f t="shared" si="473"/>
        <v/>
      </c>
      <c r="O4302" s="66" t="str">
        <f t="shared" si="474"/>
        <v/>
      </c>
      <c r="P4302" s="66" t="str">
        <f t="shared" si="475"/>
        <v/>
      </c>
    </row>
    <row r="4303" spans="8:16">
      <c r="H4303" s="66" t="e">
        <f>IF(LEFT(A4303,6)="CEPNTR","GPINS",VLOOKUP(LEFT(A4303,6),'Code Library'!$A$3:$B$920,2,0))&amp;"_"&amp;RIGHT(A4303,3)</f>
        <v>#N/A</v>
      </c>
      <c r="I4303" s="66">
        <f t="shared" si="469"/>
        <v>0</v>
      </c>
      <c r="K4303" s="66" t="str">
        <f t="shared" si="470"/>
        <v/>
      </c>
      <c r="L4303" s="66" t="str">
        <f t="shared" si="471"/>
        <v/>
      </c>
      <c r="M4303" s="66" t="str">
        <f t="shared" si="472"/>
        <v/>
      </c>
      <c r="N4303" s="66" t="str">
        <f t="shared" si="473"/>
        <v/>
      </c>
      <c r="O4303" s="66" t="str">
        <f t="shared" si="474"/>
        <v/>
      </c>
      <c r="P4303" s="66" t="str">
        <f t="shared" si="475"/>
        <v/>
      </c>
    </row>
    <row r="4304" spans="8:16">
      <c r="H4304" s="66" t="e">
        <f>IF(LEFT(A4304,6)="CEPNTR","GPINS",VLOOKUP(LEFT(A4304,6),'Code Library'!$A$3:$B$920,2,0))&amp;"_"&amp;RIGHT(A4304,3)</f>
        <v>#N/A</v>
      </c>
      <c r="I4304" s="66">
        <f t="shared" si="469"/>
        <v>0</v>
      </c>
      <c r="K4304" s="66" t="str">
        <f t="shared" si="470"/>
        <v/>
      </c>
      <c r="L4304" s="66" t="str">
        <f t="shared" si="471"/>
        <v/>
      </c>
      <c r="M4304" s="66" t="str">
        <f t="shared" si="472"/>
        <v/>
      </c>
      <c r="N4304" s="66" t="str">
        <f t="shared" si="473"/>
        <v/>
      </c>
      <c r="O4304" s="66" t="str">
        <f t="shared" si="474"/>
        <v/>
      </c>
      <c r="P4304" s="66" t="str">
        <f t="shared" si="475"/>
        <v/>
      </c>
    </row>
    <row r="4305" spans="8:16">
      <c r="H4305" s="66" t="e">
        <f>IF(LEFT(A4305,6)="CEPNTR","GPINS",VLOOKUP(LEFT(A4305,6),'Code Library'!$A$3:$B$920,2,0))&amp;"_"&amp;RIGHT(A4305,3)</f>
        <v>#N/A</v>
      </c>
      <c r="I4305" s="66">
        <f t="shared" si="469"/>
        <v>0</v>
      </c>
      <c r="K4305" s="66" t="str">
        <f t="shared" si="470"/>
        <v/>
      </c>
      <c r="L4305" s="66" t="str">
        <f t="shared" si="471"/>
        <v/>
      </c>
      <c r="M4305" s="66" t="str">
        <f t="shared" si="472"/>
        <v/>
      </c>
      <c r="N4305" s="66" t="str">
        <f t="shared" si="473"/>
        <v/>
      </c>
      <c r="O4305" s="66" t="str">
        <f t="shared" si="474"/>
        <v/>
      </c>
      <c r="P4305" s="66" t="str">
        <f t="shared" si="475"/>
        <v/>
      </c>
    </row>
    <row r="4306" spans="8:16">
      <c r="H4306" s="66" t="e">
        <f>IF(LEFT(A4306,6)="CEPNTR","GPINS",VLOOKUP(LEFT(A4306,6),'Code Library'!$A$3:$B$920,2,0))&amp;"_"&amp;RIGHT(A4306,3)</f>
        <v>#N/A</v>
      </c>
      <c r="I4306" s="66">
        <f t="shared" si="469"/>
        <v>0</v>
      </c>
      <c r="K4306" s="66" t="str">
        <f t="shared" si="470"/>
        <v/>
      </c>
      <c r="L4306" s="66" t="str">
        <f t="shared" si="471"/>
        <v/>
      </c>
      <c r="M4306" s="66" t="str">
        <f t="shared" si="472"/>
        <v/>
      </c>
      <c r="N4306" s="66" t="str">
        <f t="shared" si="473"/>
        <v/>
      </c>
      <c r="O4306" s="66" t="str">
        <f t="shared" si="474"/>
        <v/>
      </c>
      <c r="P4306" s="66" t="str">
        <f t="shared" si="475"/>
        <v/>
      </c>
    </row>
    <row r="4307" spans="8:16">
      <c r="H4307" s="66" t="e">
        <f>IF(LEFT(A4307,6)="CEPNTR","GPINS",VLOOKUP(LEFT(A4307,6),'Code Library'!$A$3:$B$920,2,0))&amp;"_"&amp;RIGHT(A4307,3)</f>
        <v>#N/A</v>
      </c>
      <c r="I4307" s="66">
        <f t="shared" si="469"/>
        <v>0</v>
      </c>
      <c r="K4307" s="66" t="str">
        <f t="shared" si="470"/>
        <v/>
      </c>
      <c r="L4307" s="66" t="str">
        <f t="shared" si="471"/>
        <v/>
      </c>
      <c r="M4307" s="66" t="str">
        <f t="shared" si="472"/>
        <v/>
      </c>
      <c r="N4307" s="66" t="str">
        <f t="shared" si="473"/>
        <v/>
      </c>
      <c r="O4307" s="66" t="str">
        <f t="shared" si="474"/>
        <v/>
      </c>
      <c r="P4307" s="66" t="str">
        <f t="shared" si="475"/>
        <v/>
      </c>
    </row>
    <row r="4308" spans="8:16">
      <c r="H4308" s="66" t="e">
        <f>IF(LEFT(A4308,6)="CEPNTR","GPINS",VLOOKUP(LEFT(A4308,6),'Code Library'!$A$3:$B$920,2,0))&amp;"_"&amp;RIGHT(A4308,3)</f>
        <v>#N/A</v>
      </c>
      <c r="I4308" s="66">
        <f t="shared" si="469"/>
        <v>0</v>
      </c>
      <c r="K4308" s="66" t="str">
        <f t="shared" si="470"/>
        <v/>
      </c>
      <c r="L4308" s="66" t="str">
        <f t="shared" si="471"/>
        <v/>
      </c>
      <c r="M4308" s="66" t="str">
        <f t="shared" si="472"/>
        <v/>
      </c>
      <c r="N4308" s="66" t="str">
        <f t="shared" si="473"/>
        <v/>
      </c>
      <c r="O4308" s="66" t="str">
        <f t="shared" si="474"/>
        <v/>
      </c>
      <c r="P4308" s="66" t="str">
        <f t="shared" si="475"/>
        <v/>
      </c>
    </row>
    <row r="4309" spans="8:16">
      <c r="H4309" s="66" t="e">
        <f>IF(LEFT(A4309,6)="CEPNTR","GPINS",VLOOKUP(LEFT(A4309,6),'Code Library'!$A$3:$B$920,2,0))&amp;"_"&amp;RIGHT(A4309,3)</f>
        <v>#N/A</v>
      </c>
      <c r="I4309" s="66">
        <f t="shared" si="469"/>
        <v>0</v>
      </c>
      <c r="K4309" s="66" t="str">
        <f t="shared" si="470"/>
        <v/>
      </c>
      <c r="L4309" s="66" t="str">
        <f t="shared" si="471"/>
        <v/>
      </c>
      <c r="M4309" s="66" t="str">
        <f t="shared" si="472"/>
        <v/>
      </c>
      <c r="N4309" s="66" t="str">
        <f t="shared" si="473"/>
        <v/>
      </c>
      <c r="O4309" s="66" t="str">
        <f t="shared" si="474"/>
        <v/>
      </c>
      <c r="P4309" s="66" t="str">
        <f t="shared" si="475"/>
        <v/>
      </c>
    </row>
    <row r="4310" spans="8:16">
      <c r="H4310" s="66" t="e">
        <f>IF(LEFT(A4310,6)="CEPNTR","GPINS",VLOOKUP(LEFT(A4310,6),'Code Library'!$A$3:$B$920,2,0))&amp;"_"&amp;RIGHT(A4310,3)</f>
        <v>#N/A</v>
      </c>
      <c r="I4310" s="66">
        <f t="shared" si="469"/>
        <v>0</v>
      </c>
      <c r="K4310" s="66" t="str">
        <f t="shared" si="470"/>
        <v/>
      </c>
      <c r="L4310" s="66" t="str">
        <f t="shared" si="471"/>
        <v/>
      </c>
      <c r="M4310" s="66" t="str">
        <f t="shared" si="472"/>
        <v/>
      </c>
      <c r="N4310" s="66" t="str">
        <f t="shared" si="473"/>
        <v/>
      </c>
      <c r="O4310" s="66" t="str">
        <f t="shared" si="474"/>
        <v/>
      </c>
      <c r="P4310" s="66" t="str">
        <f t="shared" si="475"/>
        <v/>
      </c>
    </row>
    <row r="4311" spans="8:16">
      <c r="H4311" s="66" t="e">
        <f>IF(LEFT(A4311,6)="CEPNTR","GPINS",VLOOKUP(LEFT(A4311,6),'Code Library'!$A$3:$B$920,2,0))&amp;"_"&amp;RIGHT(A4311,3)</f>
        <v>#N/A</v>
      </c>
      <c r="I4311" s="66">
        <f t="shared" si="469"/>
        <v>0</v>
      </c>
      <c r="K4311" s="66" t="str">
        <f t="shared" si="470"/>
        <v/>
      </c>
      <c r="L4311" s="66" t="str">
        <f t="shared" si="471"/>
        <v/>
      </c>
      <c r="M4311" s="66" t="str">
        <f t="shared" si="472"/>
        <v/>
      </c>
      <c r="N4311" s="66" t="str">
        <f t="shared" si="473"/>
        <v/>
      </c>
      <c r="O4311" s="66" t="str">
        <f t="shared" si="474"/>
        <v/>
      </c>
      <c r="P4311" s="66" t="str">
        <f t="shared" si="475"/>
        <v/>
      </c>
    </row>
    <row r="4312" spans="8:16">
      <c r="H4312" s="66" t="e">
        <f>IF(LEFT(A4312,6)="CEPNTR","GPINS",VLOOKUP(LEFT(A4312,6),'Code Library'!$A$3:$B$920,2,0))&amp;"_"&amp;RIGHT(A4312,3)</f>
        <v>#N/A</v>
      </c>
      <c r="I4312" s="66">
        <f t="shared" si="469"/>
        <v>0</v>
      </c>
      <c r="K4312" s="66" t="str">
        <f t="shared" si="470"/>
        <v/>
      </c>
      <c r="L4312" s="66" t="str">
        <f t="shared" si="471"/>
        <v/>
      </c>
      <c r="M4312" s="66" t="str">
        <f t="shared" si="472"/>
        <v/>
      </c>
      <c r="N4312" s="66" t="str">
        <f t="shared" si="473"/>
        <v/>
      </c>
      <c r="O4312" s="66" t="str">
        <f t="shared" si="474"/>
        <v/>
      </c>
      <c r="P4312" s="66" t="str">
        <f t="shared" si="475"/>
        <v/>
      </c>
    </row>
    <row r="4313" spans="8:16">
      <c r="H4313" s="66" t="e">
        <f>IF(LEFT(A4313,6)="CEPNTR","GPINS",VLOOKUP(LEFT(A4313,6),'Code Library'!$A$3:$B$920,2,0))&amp;"_"&amp;RIGHT(A4313,3)</f>
        <v>#N/A</v>
      </c>
      <c r="I4313" s="66">
        <f t="shared" si="469"/>
        <v>0</v>
      </c>
      <c r="K4313" s="66" t="str">
        <f t="shared" si="470"/>
        <v/>
      </c>
      <c r="L4313" s="66" t="str">
        <f t="shared" si="471"/>
        <v/>
      </c>
      <c r="M4313" s="66" t="str">
        <f t="shared" si="472"/>
        <v/>
      </c>
      <c r="N4313" s="66" t="str">
        <f t="shared" si="473"/>
        <v/>
      </c>
      <c r="O4313" s="66" t="str">
        <f t="shared" si="474"/>
        <v/>
      </c>
      <c r="P4313" s="66" t="str">
        <f t="shared" si="475"/>
        <v/>
      </c>
    </row>
    <row r="4314" spans="8:16">
      <c r="H4314" s="66" t="e">
        <f>IF(LEFT(A4314,6)="CEPNTR","GPINS",VLOOKUP(LEFT(A4314,6),'Code Library'!$A$3:$B$920,2,0))&amp;"_"&amp;RIGHT(A4314,3)</f>
        <v>#N/A</v>
      </c>
      <c r="I4314" s="66">
        <f t="shared" si="469"/>
        <v>0</v>
      </c>
      <c r="K4314" s="66" t="str">
        <f t="shared" si="470"/>
        <v/>
      </c>
      <c r="L4314" s="66" t="str">
        <f t="shared" si="471"/>
        <v/>
      </c>
      <c r="M4314" s="66" t="str">
        <f t="shared" si="472"/>
        <v/>
      </c>
      <c r="N4314" s="66" t="str">
        <f t="shared" si="473"/>
        <v/>
      </c>
      <c r="O4314" s="66" t="str">
        <f t="shared" si="474"/>
        <v/>
      </c>
      <c r="P4314" s="66" t="str">
        <f t="shared" si="475"/>
        <v/>
      </c>
    </row>
    <row r="4315" spans="8:16">
      <c r="H4315" s="66" t="e">
        <f>IF(LEFT(A4315,6)="CEPNTR","GPINS",VLOOKUP(LEFT(A4315,6),'Code Library'!$A$3:$B$920,2,0))&amp;"_"&amp;RIGHT(A4315,3)</f>
        <v>#N/A</v>
      </c>
      <c r="I4315" s="66">
        <f t="shared" si="469"/>
        <v>0</v>
      </c>
      <c r="K4315" s="66" t="str">
        <f t="shared" si="470"/>
        <v/>
      </c>
      <c r="L4315" s="66" t="str">
        <f t="shared" si="471"/>
        <v/>
      </c>
      <c r="M4315" s="66" t="str">
        <f t="shared" si="472"/>
        <v/>
      </c>
      <c r="N4315" s="66" t="str">
        <f t="shared" si="473"/>
        <v/>
      </c>
      <c r="O4315" s="66" t="str">
        <f t="shared" si="474"/>
        <v/>
      </c>
      <c r="P4315" s="66" t="str">
        <f t="shared" si="475"/>
        <v/>
      </c>
    </row>
    <row r="4316" spans="8:16">
      <c r="H4316" s="66" t="e">
        <f>IF(LEFT(A4316,6)="CEPNTR","GPINS",VLOOKUP(LEFT(A4316,6),'Code Library'!$A$3:$B$920,2,0))&amp;"_"&amp;RIGHT(A4316,3)</f>
        <v>#N/A</v>
      </c>
      <c r="I4316" s="66">
        <f t="shared" si="469"/>
        <v>0</v>
      </c>
      <c r="K4316" s="66" t="str">
        <f t="shared" si="470"/>
        <v/>
      </c>
      <c r="L4316" s="66" t="str">
        <f t="shared" si="471"/>
        <v/>
      </c>
      <c r="M4316" s="66" t="str">
        <f t="shared" si="472"/>
        <v/>
      </c>
      <c r="N4316" s="66" t="str">
        <f t="shared" si="473"/>
        <v/>
      </c>
      <c r="O4316" s="66" t="str">
        <f t="shared" si="474"/>
        <v/>
      </c>
      <c r="P4316" s="66" t="str">
        <f t="shared" si="475"/>
        <v/>
      </c>
    </row>
    <row r="4317" spans="8:16">
      <c r="H4317" s="66" t="e">
        <f>IF(LEFT(A4317,6)="CEPNTR","GPINS",VLOOKUP(LEFT(A4317,6),'Code Library'!$A$3:$B$920,2,0))&amp;"_"&amp;RIGHT(A4317,3)</f>
        <v>#N/A</v>
      </c>
      <c r="I4317" s="66">
        <f t="shared" si="469"/>
        <v>0</v>
      </c>
      <c r="K4317" s="66" t="str">
        <f t="shared" si="470"/>
        <v/>
      </c>
      <c r="L4317" s="66" t="str">
        <f t="shared" si="471"/>
        <v/>
      </c>
      <c r="M4317" s="66" t="str">
        <f t="shared" si="472"/>
        <v/>
      </c>
      <c r="N4317" s="66" t="str">
        <f t="shared" si="473"/>
        <v/>
      </c>
      <c r="O4317" s="66" t="str">
        <f t="shared" si="474"/>
        <v/>
      </c>
      <c r="P4317" s="66" t="str">
        <f t="shared" si="475"/>
        <v/>
      </c>
    </row>
    <row r="4318" spans="8:16">
      <c r="H4318" s="66" t="e">
        <f>IF(LEFT(A4318,6)="CEPNTR","GPINS",VLOOKUP(LEFT(A4318,6),'Code Library'!$A$3:$B$920,2,0))&amp;"_"&amp;RIGHT(A4318,3)</f>
        <v>#N/A</v>
      </c>
      <c r="I4318" s="66">
        <f t="shared" si="469"/>
        <v>0</v>
      </c>
      <c r="K4318" s="66" t="str">
        <f t="shared" si="470"/>
        <v/>
      </c>
      <c r="L4318" s="66" t="str">
        <f t="shared" si="471"/>
        <v/>
      </c>
      <c r="M4318" s="66" t="str">
        <f t="shared" si="472"/>
        <v/>
      </c>
      <c r="N4318" s="66" t="str">
        <f t="shared" si="473"/>
        <v/>
      </c>
      <c r="O4318" s="66" t="str">
        <f t="shared" si="474"/>
        <v/>
      </c>
      <c r="P4318" s="66" t="str">
        <f t="shared" si="475"/>
        <v/>
      </c>
    </row>
    <row r="4319" spans="8:16">
      <c r="H4319" s="66" t="e">
        <f>IF(LEFT(A4319,6)="CEPNTR","GPINS",VLOOKUP(LEFT(A4319,6),'Code Library'!$A$3:$B$920,2,0))&amp;"_"&amp;RIGHT(A4319,3)</f>
        <v>#N/A</v>
      </c>
      <c r="I4319" s="66">
        <f t="shared" si="469"/>
        <v>0</v>
      </c>
      <c r="K4319" s="66" t="str">
        <f t="shared" si="470"/>
        <v/>
      </c>
      <c r="L4319" s="66" t="str">
        <f t="shared" si="471"/>
        <v/>
      </c>
      <c r="M4319" s="66" t="str">
        <f t="shared" si="472"/>
        <v/>
      </c>
      <c r="N4319" s="66" t="str">
        <f t="shared" si="473"/>
        <v/>
      </c>
      <c r="O4319" s="66" t="str">
        <f t="shared" si="474"/>
        <v/>
      </c>
      <c r="P4319" s="66" t="str">
        <f t="shared" si="475"/>
        <v/>
      </c>
    </row>
    <row r="4320" spans="8:16">
      <c r="H4320" s="66" t="e">
        <f>IF(LEFT(A4320,6)="CEPNTR","GPINS",VLOOKUP(LEFT(A4320,6),'Code Library'!$A$3:$B$920,2,0))&amp;"_"&amp;RIGHT(A4320,3)</f>
        <v>#N/A</v>
      </c>
      <c r="I4320" s="66">
        <f t="shared" si="469"/>
        <v>0</v>
      </c>
      <c r="K4320" s="66" t="str">
        <f t="shared" si="470"/>
        <v/>
      </c>
      <c r="L4320" s="66" t="str">
        <f t="shared" si="471"/>
        <v/>
      </c>
      <c r="M4320" s="66" t="str">
        <f t="shared" si="472"/>
        <v/>
      </c>
      <c r="N4320" s="66" t="str">
        <f t="shared" si="473"/>
        <v/>
      </c>
      <c r="O4320" s="66" t="str">
        <f t="shared" si="474"/>
        <v/>
      </c>
      <c r="P4320" s="66" t="str">
        <f t="shared" si="475"/>
        <v/>
      </c>
    </row>
    <row r="4321" spans="8:16">
      <c r="H4321" s="66" t="e">
        <f>IF(LEFT(A4321,6)="CEPNTR","GPINS",VLOOKUP(LEFT(A4321,6),'Code Library'!$A$3:$B$920,2,0))&amp;"_"&amp;RIGHT(A4321,3)</f>
        <v>#N/A</v>
      </c>
      <c r="I4321" s="66">
        <f t="shared" si="469"/>
        <v>0</v>
      </c>
      <c r="K4321" s="66" t="str">
        <f t="shared" si="470"/>
        <v/>
      </c>
      <c r="L4321" s="66" t="str">
        <f t="shared" si="471"/>
        <v/>
      </c>
      <c r="M4321" s="66" t="str">
        <f t="shared" si="472"/>
        <v/>
      </c>
      <c r="N4321" s="66" t="str">
        <f t="shared" si="473"/>
        <v/>
      </c>
      <c r="O4321" s="66" t="str">
        <f t="shared" si="474"/>
        <v/>
      </c>
      <c r="P4321" s="66" t="str">
        <f t="shared" si="475"/>
        <v/>
      </c>
    </row>
    <row r="4322" spans="8:16">
      <c r="H4322" s="66" t="e">
        <f>IF(LEFT(A4322,6)="CEPNTR","GPINS",VLOOKUP(LEFT(A4322,6),'Code Library'!$A$3:$B$920,2,0))&amp;"_"&amp;RIGHT(A4322,3)</f>
        <v>#N/A</v>
      </c>
      <c r="I4322" s="66">
        <f t="shared" si="469"/>
        <v>0</v>
      </c>
      <c r="K4322" s="66" t="str">
        <f t="shared" si="470"/>
        <v/>
      </c>
      <c r="L4322" s="66" t="str">
        <f t="shared" si="471"/>
        <v/>
      </c>
      <c r="M4322" s="66" t="str">
        <f t="shared" si="472"/>
        <v/>
      </c>
      <c r="N4322" s="66" t="str">
        <f t="shared" si="473"/>
        <v/>
      </c>
      <c r="O4322" s="66" t="str">
        <f t="shared" si="474"/>
        <v/>
      </c>
      <c r="P4322" s="66" t="str">
        <f t="shared" si="475"/>
        <v/>
      </c>
    </row>
    <row r="4323" spans="8:16">
      <c r="H4323" s="66" t="e">
        <f>IF(LEFT(A4323,6)="CEPNTR","GPINS",VLOOKUP(LEFT(A4323,6),'Code Library'!$A$3:$B$920,2,0))&amp;"_"&amp;RIGHT(A4323,3)</f>
        <v>#N/A</v>
      </c>
      <c r="I4323" s="66">
        <f t="shared" si="469"/>
        <v>0</v>
      </c>
      <c r="K4323" s="66" t="str">
        <f t="shared" si="470"/>
        <v/>
      </c>
      <c r="L4323" s="66" t="str">
        <f t="shared" si="471"/>
        <v/>
      </c>
      <c r="M4323" s="66" t="str">
        <f t="shared" si="472"/>
        <v/>
      </c>
      <c r="N4323" s="66" t="str">
        <f t="shared" si="473"/>
        <v/>
      </c>
      <c r="O4323" s="66" t="str">
        <f t="shared" si="474"/>
        <v/>
      </c>
      <c r="P4323" s="66" t="str">
        <f t="shared" si="475"/>
        <v/>
      </c>
    </row>
    <row r="4324" spans="8:16">
      <c r="H4324" s="66" t="e">
        <f>IF(LEFT(A4324,6)="CEPNTR","GPINS",VLOOKUP(LEFT(A4324,6),'Code Library'!$A$3:$B$920,2,0))&amp;"_"&amp;RIGHT(A4324,3)</f>
        <v>#N/A</v>
      </c>
      <c r="I4324" s="66">
        <f t="shared" si="469"/>
        <v>0</v>
      </c>
      <c r="K4324" s="66" t="str">
        <f t="shared" si="470"/>
        <v/>
      </c>
      <c r="L4324" s="66" t="str">
        <f t="shared" si="471"/>
        <v/>
      </c>
      <c r="M4324" s="66" t="str">
        <f t="shared" si="472"/>
        <v/>
      </c>
      <c r="N4324" s="66" t="str">
        <f t="shared" si="473"/>
        <v/>
      </c>
      <c r="O4324" s="66" t="str">
        <f t="shared" si="474"/>
        <v/>
      </c>
      <c r="P4324" s="66" t="str">
        <f t="shared" si="475"/>
        <v/>
      </c>
    </row>
    <row r="4325" spans="8:16">
      <c r="H4325" s="66" t="e">
        <f>IF(LEFT(A4325,6)="CEPNTR","GPINS",VLOOKUP(LEFT(A4325,6),'Code Library'!$A$3:$B$920,2,0))&amp;"_"&amp;RIGHT(A4325,3)</f>
        <v>#N/A</v>
      </c>
      <c r="I4325" s="66">
        <f t="shared" si="469"/>
        <v>0</v>
      </c>
      <c r="K4325" s="66" t="str">
        <f t="shared" si="470"/>
        <v/>
      </c>
      <c r="L4325" s="66" t="str">
        <f t="shared" si="471"/>
        <v/>
      </c>
      <c r="M4325" s="66" t="str">
        <f t="shared" si="472"/>
        <v/>
      </c>
      <c r="N4325" s="66" t="str">
        <f t="shared" si="473"/>
        <v/>
      </c>
      <c r="O4325" s="66" t="str">
        <f t="shared" si="474"/>
        <v/>
      </c>
      <c r="P4325" s="66" t="str">
        <f t="shared" si="475"/>
        <v/>
      </c>
    </row>
    <row r="4326" spans="8:16">
      <c r="H4326" s="66" t="e">
        <f>IF(LEFT(A4326,6)="CEPNTR","GPINS",VLOOKUP(LEFT(A4326,6),'Code Library'!$A$3:$B$920,2,0))&amp;"_"&amp;RIGHT(A4326,3)</f>
        <v>#N/A</v>
      </c>
      <c r="I4326" s="66">
        <f t="shared" si="469"/>
        <v>0</v>
      </c>
      <c r="K4326" s="66" t="str">
        <f t="shared" si="470"/>
        <v/>
      </c>
      <c r="L4326" s="66" t="str">
        <f t="shared" si="471"/>
        <v/>
      </c>
      <c r="M4326" s="66" t="str">
        <f t="shared" si="472"/>
        <v/>
      </c>
      <c r="N4326" s="66" t="str">
        <f t="shared" si="473"/>
        <v/>
      </c>
      <c r="O4326" s="66" t="str">
        <f t="shared" si="474"/>
        <v/>
      </c>
      <c r="P4326" s="66" t="str">
        <f t="shared" si="475"/>
        <v/>
      </c>
    </row>
    <row r="4327" spans="8:16">
      <c r="H4327" s="66" t="e">
        <f>IF(LEFT(A4327,6)="CEPNTR","GPINS",VLOOKUP(LEFT(A4327,6),'Code Library'!$A$3:$B$920,2,0))&amp;"_"&amp;RIGHT(A4327,3)</f>
        <v>#N/A</v>
      </c>
      <c r="I4327" s="66">
        <f t="shared" si="469"/>
        <v>0</v>
      </c>
      <c r="K4327" s="66" t="str">
        <f t="shared" si="470"/>
        <v/>
      </c>
      <c r="L4327" s="66" t="str">
        <f t="shared" si="471"/>
        <v/>
      </c>
      <c r="M4327" s="66" t="str">
        <f t="shared" si="472"/>
        <v/>
      </c>
      <c r="N4327" s="66" t="str">
        <f t="shared" si="473"/>
        <v/>
      </c>
      <c r="O4327" s="66" t="str">
        <f t="shared" si="474"/>
        <v/>
      </c>
      <c r="P4327" s="66" t="str">
        <f t="shared" si="475"/>
        <v/>
      </c>
    </row>
    <row r="4328" spans="8:16">
      <c r="H4328" s="66" t="e">
        <f>IF(LEFT(A4328,6)="CEPNTR","GPINS",VLOOKUP(LEFT(A4328,6),'Code Library'!$A$3:$B$920,2,0))&amp;"_"&amp;RIGHT(A4328,3)</f>
        <v>#N/A</v>
      </c>
      <c r="I4328" s="66">
        <f t="shared" si="469"/>
        <v>0</v>
      </c>
      <c r="K4328" s="66" t="str">
        <f t="shared" si="470"/>
        <v/>
      </c>
      <c r="L4328" s="66" t="str">
        <f t="shared" si="471"/>
        <v/>
      </c>
      <c r="M4328" s="66" t="str">
        <f t="shared" si="472"/>
        <v/>
      </c>
      <c r="N4328" s="66" t="str">
        <f t="shared" si="473"/>
        <v/>
      </c>
      <c r="O4328" s="66" t="str">
        <f t="shared" si="474"/>
        <v/>
      </c>
      <c r="P4328" s="66" t="str">
        <f t="shared" si="475"/>
        <v/>
      </c>
    </row>
    <row r="4329" spans="8:16">
      <c r="H4329" s="66" t="e">
        <f>IF(LEFT(A4329,6)="CEPNTR","GPINS",VLOOKUP(LEFT(A4329,6),'Code Library'!$A$3:$B$920,2,0))&amp;"_"&amp;RIGHT(A4329,3)</f>
        <v>#N/A</v>
      </c>
      <c r="I4329" s="66">
        <f t="shared" si="469"/>
        <v>0</v>
      </c>
      <c r="K4329" s="66" t="str">
        <f t="shared" si="470"/>
        <v/>
      </c>
      <c r="L4329" s="66" t="str">
        <f t="shared" si="471"/>
        <v/>
      </c>
      <c r="M4329" s="66" t="str">
        <f t="shared" si="472"/>
        <v/>
      </c>
      <c r="N4329" s="66" t="str">
        <f t="shared" si="473"/>
        <v/>
      </c>
      <c r="O4329" s="66" t="str">
        <f t="shared" si="474"/>
        <v/>
      </c>
      <c r="P4329" s="66" t="str">
        <f t="shared" si="475"/>
        <v/>
      </c>
    </row>
    <row r="4330" spans="8:16">
      <c r="H4330" s="66" t="e">
        <f>IF(LEFT(A4330,6)="CEPNTR","GPINS",VLOOKUP(LEFT(A4330,6),'Code Library'!$A$3:$B$920,2,0))&amp;"_"&amp;RIGHT(A4330,3)</f>
        <v>#N/A</v>
      </c>
      <c r="I4330" s="66">
        <f t="shared" si="469"/>
        <v>0</v>
      </c>
      <c r="K4330" s="66" t="str">
        <f t="shared" si="470"/>
        <v/>
      </c>
      <c r="L4330" s="66" t="str">
        <f t="shared" si="471"/>
        <v/>
      </c>
      <c r="M4330" s="66" t="str">
        <f t="shared" si="472"/>
        <v/>
      </c>
      <c r="N4330" s="66" t="str">
        <f t="shared" si="473"/>
        <v/>
      </c>
      <c r="O4330" s="66" t="str">
        <f t="shared" si="474"/>
        <v/>
      </c>
      <c r="P4330" s="66" t="str">
        <f t="shared" si="475"/>
        <v/>
      </c>
    </row>
    <row r="4331" spans="8:16">
      <c r="H4331" s="66" t="e">
        <f>IF(LEFT(A4331,6)="CEPNTR","GPINS",VLOOKUP(LEFT(A4331,6),'Code Library'!$A$3:$B$920,2,0))&amp;"_"&amp;RIGHT(A4331,3)</f>
        <v>#N/A</v>
      </c>
      <c r="I4331" s="66">
        <f t="shared" si="469"/>
        <v>0</v>
      </c>
      <c r="K4331" s="66" t="str">
        <f t="shared" si="470"/>
        <v/>
      </c>
      <c r="L4331" s="66" t="str">
        <f t="shared" si="471"/>
        <v/>
      </c>
      <c r="M4331" s="66" t="str">
        <f t="shared" si="472"/>
        <v/>
      </c>
      <c r="N4331" s="66" t="str">
        <f t="shared" si="473"/>
        <v/>
      </c>
      <c r="O4331" s="66" t="str">
        <f t="shared" si="474"/>
        <v/>
      </c>
      <c r="P4331" s="66" t="str">
        <f t="shared" si="475"/>
        <v/>
      </c>
    </row>
    <row r="4332" spans="8:16">
      <c r="H4332" s="66" t="e">
        <f>IF(LEFT(A4332,6)="CEPNTR","GPINS",VLOOKUP(LEFT(A4332,6),'Code Library'!$A$3:$B$920,2,0))&amp;"_"&amp;RIGHT(A4332,3)</f>
        <v>#N/A</v>
      </c>
      <c r="I4332" s="66">
        <f t="shared" si="469"/>
        <v>0</v>
      </c>
      <c r="K4332" s="66" t="str">
        <f t="shared" si="470"/>
        <v/>
      </c>
      <c r="L4332" s="66" t="str">
        <f t="shared" si="471"/>
        <v/>
      </c>
      <c r="M4332" s="66" t="str">
        <f t="shared" si="472"/>
        <v/>
      </c>
      <c r="N4332" s="66" t="str">
        <f t="shared" si="473"/>
        <v/>
      </c>
      <c r="O4332" s="66" t="str">
        <f t="shared" si="474"/>
        <v/>
      </c>
      <c r="P4332" s="66" t="str">
        <f t="shared" si="475"/>
        <v/>
      </c>
    </row>
    <row r="4333" spans="8:16">
      <c r="H4333" s="66" t="e">
        <f>IF(LEFT(A4333,6)="CEPNTR","GPINS",VLOOKUP(LEFT(A4333,6),'Code Library'!$A$3:$B$920,2,0))&amp;"_"&amp;RIGHT(A4333,3)</f>
        <v>#N/A</v>
      </c>
      <c r="I4333" s="66">
        <f t="shared" si="469"/>
        <v>0</v>
      </c>
      <c r="K4333" s="66" t="str">
        <f t="shared" si="470"/>
        <v/>
      </c>
      <c r="L4333" s="66" t="str">
        <f t="shared" si="471"/>
        <v/>
      </c>
      <c r="M4333" s="66" t="str">
        <f t="shared" si="472"/>
        <v/>
      </c>
      <c r="N4333" s="66" t="str">
        <f t="shared" si="473"/>
        <v/>
      </c>
      <c r="O4333" s="66" t="str">
        <f t="shared" si="474"/>
        <v/>
      </c>
      <c r="P4333" s="66" t="str">
        <f t="shared" si="475"/>
        <v/>
      </c>
    </row>
    <row r="4334" spans="8:16">
      <c r="H4334" s="66" t="e">
        <f>IF(LEFT(A4334,6)="CEPNTR","GPINS",VLOOKUP(LEFT(A4334,6),'Code Library'!$A$3:$B$920,2,0))&amp;"_"&amp;RIGHT(A4334,3)</f>
        <v>#N/A</v>
      </c>
      <c r="I4334" s="66">
        <f t="shared" si="469"/>
        <v>0</v>
      </c>
      <c r="K4334" s="66" t="str">
        <f t="shared" si="470"/>
        <v/>
      </c>
      <c r="L4334" s="66" t="str">
        <f t="shared" si="471"/>
        <v/>
      </c>
      <c r="M4334" s="66" t="str">
        <f t="shared" si="472"/>
        <v/>
      </c>
      <c r="N4334" s="66" t="str">
        <f t="shared" si="473"/>
        <v/>
      </c>
      <c r="O4334" s="66" t="str">
        <f t="shared" si="474"/>
        <v/>
      </c>
      <c r="P4334" s="66" t="str">
        <f t="shared" si="475"/>
        <v/>
      </c>
    </row>
    <row r="4335" spans="8:16">
      <c r="H4335" s="66" t="e">
        <f>IF(LEFT(A4335,6)="CEPNTR","GPINS",VLOOKUP(LEFT(A4335,6),'Code Library'!$A$3:$B$920,2,0))&amp;"_"&amp;RIGHT(A4335,3)</f>
        <v>#N/A</v>
      </c>
      <c r="I4335" s="66">
        <f t="shared" si="469"/>
        <v>0</v>
      </c>
      <c r="K4335" s="66" t="str">
        <f t="shared" si="470"/>
        <v/>
      </c>
      <c r="L4335" s="66" t="str">
        <f t="shared" si="471"/>
        <v/>
      </c>
      <c r="M4335" s="66" t="str">
        <f t="shared" si="472"/>
        <v/>
      </c>
      <c r="N4335" s="66" t="str">
        <f t="shared" si="473"/>
        <v/>
      </c>
      <c r="O4335" s="66" t="str">
        <f t="shared" si="474"/>
        <v/>
      </c>
      <c r="P4335" s="66" t="str">
        <f t="shared" si="475"/>
        <v/>
      </c>
    </row>
    <row r="4336" spans="8:16">
      <c r="H4336" s="66" t="e">
        <f>IF(LEFT(A4336,6)="CEPNTR","GPINS",VLOOKUP(LEFT(A4336,6),'Code Library'!$A$3:$B$920,2,0))&amp;"_"&amp;RIGHT(A4336,3)</f>
        <v>#N/A</v>
      </c>
      <c r="I4336" s="66">
        <f t="shared" si="469"/>
        <v>0</v>
      </c>
      <c r="K4336" s="66" t="str">
        <f t="shared" si="470"/>
        <v/>
      </c>
      <c r="L4336" s="66" t="str">
        <f t="shared" si="471"/>
        <v/>
      </c>
      <c r="M4336" s="66" t="str">
        <f t="shared" si="472"/>
        <v/>
      </c>
      <c r="N4336" s="66" t="str">
        <f t="shared" si="473"/>
        <v/>
      </c>
      <c r="O4336" s="66" t="str">
        <f t="shared" si="474"/>
        <v/>
      </c>
      <c r="P4336" s="66" t="str">
        <f t="shared" si="475"/>
        <v/>
      </c>
    </row>
    <row r="4337" spans="8:16">
      <c r="H4337" s="66" t="e">
        <f>IF(LEFT(A4337,6)="CEPNTR","GPINS",VLOOKUP(LEFT(A4337,6),'Code Library'!$A$3:$B$920,2,0))&amp;"_"&amp;RIGHT(A4337,3)</f>
        <v>#N/A</v>
      </c>
      <c r="I4337" s="66">
        <f t="shared" si="469"/>
        <v>0</v>
      </c>
      <c r="K4337" s="66" t="str">
        <f t="shared" si="470"/>
        <v/>
      </c>
      <c r="L4337" s="66" t="str">
        <f t="shared" si="471"/>
        <v/>
      </c>
      <c r="M4337" s="66" t="str">
        <f t="shared" si="472"/>
        <v/>
      </c>
      <c r="N4337" s="66" t="str">
        <f t="shared" si="473"/>
        <v/>
      </c>
      <c r="O4337" s="66" t="str">
        <f t="shared" si="474"/>
        <v/>
      </c>
      <c r="P4337" s="66" t="str">
        <f t="shared" si="475"/>
        <v/>
      </c>
    </row>
    <row r="4338" spans="8:16">
      <c r="H4338" s="66" t="e">
        <f>IF(LEFT(A4338,6)="CEPNTR","GPINS",VLOOKUP(LEFT(A4338,6),'Code Library'!$A$3:$B$920,2,0))&amp;"_"&amp;RIGHT(A4338,3)</f>
        <v>#N/A</v>
      </c>
      <c r="I4338" s="66">
        <f t="shared" si="469"/>
        <v>0</v>
      </c>
      <c r="K4338" s="66" t="str">
        <f t="shared" si="470"/>
        <v/>
      </c>
      <c r="L4338" s="66" t="str">
        <f t="shared" si="471"/>
        <v/>
      </c>
      <c r="M4338" s="66" t="str">
        <f t="shared" si="472"/>
        <v/>
      </c>
      <c r="N4338" s="66" t="str">
        <f t="shared" si="473"/>
        <v/>
      </c>
      <c r="O4338" s="66" t="str">
        <f t="shared" si="474"/>
        <v/>
      </c>
      <c r="P4338" s="66" t="str">
        <f t="shared" si="475"/>
        <v/>
      </c>
    </row>
    <row r="4339" spans="8:16">
      <c r="H4339" s="66" t="e">
        <f>IF(LEFT(A4339,6)="CEPNTR","GPINS",VLOOKUP(LEFT(A4339,6),'Code Library'!$A$3:$B$920,2,0))&amp;"_"&amp;RIGHT(A4339,3)</f>
        <v>#N/A</v>
      </c>
      <c r="I4339" s="66">
        <f t="shared" si="469"/>
        <v>0</v>
      </c>
      <c r="K4339" s="66" t="str">
        <f t="shared" si="470"/>
        <v/>
      </c>
      <c r="L4339" s="66" t="str">
        <f t="shared" si="471"/>
        <v/>
      </c>
      <c r="M4339" s="66" t="str">
        <f t="shared" si="472"/>
        <v/>
      </c>
      <c r="N4339" s="66" t="str">
        <f t="shared" si="473"/>
        <v/>
      </c>
      <c r="O4339" s="66" t="str">
        <f t="shared" si="474"/>
        <v/>
      </c>
      <c r="P4339" s="66" t="str">
        <f t="shared" si="475"/>
        <v/>
      </c>
    </row>
    <row r="4340" spans="8:16">
      <c r="H4340" s="66" t="e">
        <f>IF(LEFT(A4340,6)="CEPNTR","GPINS",VLOOKUP(LEFT(A4340,6),'Code Library'!$A$3:$B$920,2,0))&amp;"_"&amp;RIGHT(A4340,3)</f>
        <v>#N/A</v>
      </c>
      <c r="I4340" s="66">
        <f t="shared" si="469"/>
        <v>0</v>
      </c>
      <c r="K4340" s="66" t="str">
        <f t="shared" si="470"/>
        <v/>
      </c>
      <c r="L4340" s="66" t="str">
        <f t="shared" si="471"/>
        <v/>
      </c>
      <c r="M4340" s="66" t="str">
        <f t="shared" si="472"/>
        <v/>
      </c>
      <c r="N4340" s="66" t="str">
        <f t="shared" si="473"/>
        <v/>
      </c>
      <c r="O4340" s="66" t="str">
        <f t="shared" si="474"/>
        <v/>
      </c>
      <c r="P4340" s="66" t="str">
        <f t="shared" si="475"/>
        <v/>
      </c>
    </row>
    <row r="4341" spans="8:16">
      <c r="H4341" s="66" t="e">
        <f>IF(LEFT(A4341,6)="CEPNTR","GPINS",VLOOKUP(LEFT(A4341,6),'Code Library'!$A$3:$B$920,2,0))&amp;"_"&amp;RIGHT(A4341,3)</f>
        <v>#N/A</v>
      </c>
      <c r="I4341" s="66">
        <f t="shared" si="469"/>
        <v>0</v>
      </c>
      <c r="K4341" s="66" t="str">
        <f t="shared" si="470"/>
        <v/>
      </c>
      <c r="L4341" s="66" t="str">
        <f t="shared" si="471"/>
        <v/>
      </c>
      <c r="M4341" s="66" t="str">
        <f t="shared" si="472"/>
        <v/>
      </c>
      <c r="N4341" s="66" t="str">
        <f t="shared" si="473"/>
        <v/>
      </c>
      <c r="O4341" s="66" t="str">
        <f t="shared" si="474"/>
        <v/>
      </c>
      <c r="P4341" s="66" t="str">
        <f t="shared" si="475"/>
        <v/>
      </c>
    </row>
    <row r="4342" spans="8:16">
      <c r="H4342" s="66" t="e">
        <f>IF(LEFT(A4342,6)="CEPNTR","GPINS",VLOOKUP(LEFT(A4342,6),'Code Library'!$A$3:$B$920,2,0))&amp;"_"&amp;RIGHT(A4342,3)</f>
        <v>#N/A</v>
      </c>
      <c r="I4342" s="66">
        <f t="shared" si="469"/>
        <v>0</v>
      </c>
      <c r="K4342" s="66" t="str">
        <f t="shared" si="470"/>
        <v/>
      </c>
      <c r="L4342" s="66" t="str">
        <f t="shared" si="471"/>
        <v/>
      </c>
      <c r="M4342" s="66" t="str">
        <f t="shared" si="472"/>
        <v/>
      </c>
      <c r="N4342" s="66" t="str">
        <f t="shared" si="473"/>
        <v/>
      </c>
      <c r="O4342" s="66" t="str">
        <f t="shared" si="474"/>
        <v/>
      </c>
      <c r="P4342" s="66" t="str">
        <f t="shared" si="475"/>
        <v/>
      </c>
    </row>
    <row r="4343" spans="8:16">
      <c r="H4343" s="66" t="e">
        <f>IF(LEFT(A4343,6)="CEPNTR","GPINS",VLOOKUP(LEFT(A4343,6),'Code Library'!$A$3:$B$920,2,0))&amp;"_"&amp;RIGHT(A4343,3)</f>
        <v>#N/A</v>
      </c>
      <c r="I4343" s="66">
        <f t="shared" si="469"/>
        <v>0</v>
      </c>
      <c r="K4343" s="66" t="str">
        <f t="shared" si="470"/>
        <v/>
      </c>
      <c r="L4343" s="66" t="str">
        <f t="shared" si="471"/>
        <v/>
      </c>
      <c r="M4343" s="66" t="str">
        <f t="shared" si="472"/>
        <v/>
      </c>
      <c r="N4343" s="66" t="str">
        <f t="shared" si="473"/>
        <v/>
      </c>
      <c r="O4343" s="66" t="str">
        <f t="shared" si="474"/>
        <v/>
      </c>
      <c r="P4343" s="66" t="str">
        <f t="shared" si="475"/>
        <v/>
      </c>
    </row>
    <row r="4344" spans="8:16">
      <c r="H4344" s="66" t="e">
        <f>IF(LEFT(A4344,6)="CEPNTR","GPINS",VLOOKUP(LEFT(A4344,6),'Code Library'!$A$3:$B$920,2,0))&amp;"_"&amp;RIGHT(A4344,3)</f>
        <v>#N/A</v>
      </c>
      <c r="I4344" s="66">
        <f t="shared" si="469"/>
        <v>0</v>
      </c>
      <c r="K4344" s="66" t="str">
        <f t="shared" si="470"/>
        <v/>
      </c>
      <c r="L4344" s="66" t="str">
        <f t="shared" si="471"/>
        <v/>
      </c>
      <c r="M4344" s="66" t="str">
        <f t="shared" si="472"/>
        <v/>
      </c>
      <c r="N4344" s="66" t="str">
        <f t="shared" si="473"/>
        <v/>
      </c>
      <c r="O4344" s="66" t="str">
        <f t="shared" si="474"/>
        <v/>
      </c>
      <c r="P4344" s="66" t="str">
        <f t="shared" si="475"/>
        <v/>
      </c>
    </row>
    <row r="4345" spans="8:16">
      <c r="H4345" s="66" t="e">
        <f>IF(LEFT(A4345,6)="CEPNTR","GPINS",VLOOKUP(LEFT(A4345,6),'Code Library'!$A$3:$B$920,2,0))&amp;"_"&amp;RIGHT(A4345,3)</f>
        <v>#N/A</v>
      </c>
      <c r="I4345" s="66">
        <f t="shared" si="469"/>
        <v>0</v>
      </c>
      <c r="K4345" s="66" t="str">
        <f t="shared" si="470"/>
        <v/>
      </c>
      <c r="L4345" s="66" t="str">
        <f t="shared" si="471"/>
        <v/>
      </c>
      <c r="M4345" s="66" t="str">
        <f t="shared" si="472"/>
        <v/>
      </c>
      <c r="N4345" s="66" t="str">
        <f t="shared" si="473"/>
        <v/>
      </c>
      <c r="O4345" s="66" t="str">
        <f t="shared" si="474"/>
        <v/>
      </c>
      <c r="P4345" s="66" t="str">
        <f t="shared" si="475"/>
        <v/>
      </c>
    </row>
    <row r="4346" spans="8:16">
      <c r="H4346" s="66" t="e">
        <f>IF(LEFT(A4346,6)="CEPNTR","GPINS",VLOOKUP(LEFT(A4346,6),'Code Library'!$A$3:$B$920,2,0))&amp;"_"&amp;RIGHT(A4346,3)</f>
        <v>#N/A</v>
      </c>
      <c r="I4346" s="66">
        <f t="shared" si="469"/>
        <v>0</v>
      </c>
      <c r="K4346" s="66" t="str">
        <f t="shared" si="470"/>
        <v/>
      </c>
      <c r="L4346" s="66" t="str">
        <f t="shared" si="471"/>
        <v/>
      </c>
      <c r="M4346" s="66" t="str">
        <f t="shared" si="472"/>
        <v/>
      </c>
      <c r="N4346" s="66" t="str">
        <f t="shared" si="473"/>
        <v/>
      </c>
      <c r="O4346" s="66" t="str">
        <f t="shared" si="474"/>
        <v/>
      </c>
      <c r="P4346" s="66" t="str">
        <f t="shared" si="475"/>
        <v/>
      </c>
    </row>
    <row r="4347" spans="8:16">
      <c r="H4347" s="66" t="e">
        <f>IF(LEFT(A4347,6)="CEPNTR","GPINS",VLOOKUP(LEFT(A4347,6),'Code Library'!$A$3:$B$920,2,0))&amp;"_"&amp;RIGHT(A4347,3)</f>
        <v>#N/A</v>
      </c>
      <c r="I4347" s="66">
        <f t="shared" si="469"/>
        <v>0</v>
      </c>
      <c r="K4347" s="66" t="str">
        <f t="shared" si="470"/>
        <v/>
      </c>
      <c r="L4347" s="66" t="str">
        <f t="shared" si="471"/>
        <v/>
      </c>
      <c r="M4347" s="66" t="str">
        <f t="shared" si="472"/>
        <v/>
      </c>
      <c r="N4347" s="66" t="str">
        <f t="shared" si="473"/>
        <v/>
      </c>
      <c r="O4347" s="66" t="str">
        <f t="shared" si="474"/>
        <v/>
      </c>
      <c r="P4347" s="66" t="str">
        <f t="shared" si="475"/>
        <v/>
      </c>
    </row>
    <row r="4348" spans="8:16">
      <c r="H4348" s="66" t="e">
        <f>IF(LEFT(A4348,6)="CEPNTR","GPINS",VLOOKUP(LEFT(A4348,6),'Code Library'!$A$3:$B$920,2,0))&amp;"_"&amp;RIGHT(A4348,3)</f>
        <v>#N/A</v>
      </c>
      <c r="I4348" s="66">
        <f t="shared" si="469"/>
        <v>0</v>
      </c>
      <c r="K4348" s="66" t="str">
        <f t="shared" si="470"/>
        <v/>
      </c>
      <c r="L4348" s="66" t="str">
        <f t="shared" si="471"/>
        <v/>
      </c>
      <c r="M4348" s="66" t="str">
        <f t="shared" si="472"/>
        <v/>
      </c>
      <c r="N4348" s="66" t="str">
        <f t="shared" si="473"/>
        <v/>
      </c>
      <c r="O4348" s="66" t="str">
        <f t="shared" si="474"/>
        <v/>
      </c>
      <c r="P4348" s="66" t="str">
        <f t="shared" si="475"/>
        <v/>
      </c>
    </row>
    <row r="4349" spans="8:16">
      <c r="H4349" s="66" t="e">
        <f>IF(LEFT(A4349,6)="CEPNTR","GPINS",VLOOKUP(LEFT(A4349,6),'Code Library'!$A$3:$B$920,2,0))&amp;"_"&amp;RIGHT(A4349,3)</f>
        <v>#N/A</v>
      </c>
      <c r="I4349" s="66">
        <f t="shared" si="469"/>
        <v>0</v>
      </c>
      <c r="K4349" s="66" t="str">
        <f t="shared" si="470"/>
        <v/>
      </c>
      <c r="L4349" s="66" t="str">
        <f t="shared" si="471"/>
        <v/>
      </c>
      <c r="M4349" s="66" t="str">
        <f t="shared" si="472"/>
        <v/>
      </c>
      <c r="N4349" s="66" t="str">
        <f t="shared" si="473"/>
        <v/>
      </c>
      <c r="O4349" s="66" t="str">
        <f t="shared" si="474"/>
        <v/>
      </c>
      <c r="P4349" s="66" t="str">
        <f t="shared" si="475"/>
        <v/>
      </c>
    </row>
    <row r="4350" spans="8:16">
      <c r="H4350" s="66" t="e">
        <f>IF(LEFT(A4350,6)="CEPNTR","GPINS",VLOOKUP(LEFT(A4350,6),'Code Library'!$A$3:$B$920,2,0))&amp;"_"&amp;RIGHT(A4350,3)</f>
        <v>#N/A</v>
      </c>
      <c r="I4350" s="66">
        <f t="shared" si="469"/>
        <v>0</v>
      </c>
      <c r="K4350" s="66" t="str">
        <f t="shared" si="470"/>
        <v/>
      </c>
      <c r="L4350" s="66" t="str">
        <f t="shared" si="471"/>
        <v/>
      </c>
      <c r="M4350" s="66" t="str">
        <f t="shared" si="472"/>
        <v/>
      </c>
      <c r="N4350" s="66" t="str">
        <f t="shared" si="473"/>
        <v/>
      </c>
      <c r="O4350" s="66" t="str">
        <f t="shared" si="474"/>
        <v/>
      </c>
      <c r="P4350" s="66" t="str">
        <f t="shared" si="475"/>
        <v/>
      </c>
    </row>
    <row r="4351" spans="8:16">
      <c r="H4351" s="66" t="e">
        <f>IF(LEFT(A4351,6)="CEPNTR","GPINS",VLOOKUP(LEFT(A4351,6),'Code Library'!$A$3:$B$920,2,0))&amp;"_"&amp;RIGHT(A4351,3)</f>
        <v>#N/A</v>
      </c>
      <c r="I4351" s="66">
        <f t="shared" si="469"/>
        <v>0</v>
      </c>
      <c r="K4351" s="66" t="str">
        <f t="shared" si="470"/>
        <v/>
      </c>
      <c r="L4351" s="66" t="str">
        <f t="shared" si="471"/>
        <v/>
      </c>
      <c r="M4351" s="66" t="str">
        <f t="shared" si="472"/>
        <v/>
      </c>
      <c r="N4351" s="66" t="str">
        <f t="shared" si="473"/>
        <v/>
      </c>
      <c r="O4351" s="66" t="str">
        <f t="shared" si="474"/>
        <v/>
      </c>
      <c r="P4351" s="66" t="str">
        <f t="shared" si="475"/>
        <v/>
      </c>
    </row>
    <row r="4352" spans="8:16">
      <c r="H4352" s="66" t="e">
        <f>IF(LEFT(A4352,6)="CEPNTR","GPINS",VLOOKUP(LEFT(A4352,6),'Code Library'!$A$3:$B$920,2,0))&amp;"_"&amp;RIGHT(A4352,3)</f>
        <v>#N/A</v>
      </c>
      <c r="I4352" s="66">
        <f t="shared" si="469"/>
        <v>0</v>
      </c>
      <c r="K4352" s="66" t="str">
        <f t="shared" si="470"/>
        <v/>
      </c>
      <c r="L4352" s="66" t="str">
        <f t="shared" si="471"/>
        <v/>
      </c>
      <c r="M4352" s="66" t="str">
        <f t="shared" si="472"/>
        <v/>
      </c>
      <c r="N4352" s="66" t="str">
        <f t="shared" si="473"/>
        <v/>
      </c>
      <c r="O4352" s="66" t="str">
        <f t="shared" si="474"/>
        <v/>
      </c>
      <c r="P4352" s="66" t="str">
        <f t="shared" si="475"/>
        <v/>
      </c>
    </row>
    <row r="4353" spans="8:16">
      <c r="H4353" s="66" t="e">
        <f>IF(LEFT(A4353,6)="CEPNTR","GPINS",VLOOKUP(LEFT(A4353,6),'Code Library'!$A$3:$B$920,2,0))&amp;"_"&amp;RIGHT(A4353,3)</f>
        <v>#N/A</v>
      </c>
      <c r="I4353" s="66">
        <f t="shared" si="469"/>
        <v>0</v>
      </c>
      <c r="K4353" s="66" t="str">
        <f t="shared" si="470"/>
        <v/>
      </c>
      <c r="L4353" s="66" t="str">
        <f t="shared" si="471"/>
        <v/>
      </c>
      <c r="M4353" s="66" t="str">
        <f t="shared" si="472"/>
        <v/>
      </c>
      <c r="N4353" s="66" t="str">
        <f t="shared" si="473"/>
        <v/>
      </c>
      <c r="O4353" s="66" t="str">
        <f t="shared" si="474"/>
        <v/>
      </c>
      <c r="P4353" s="66" t="str">
        <f t="shared" si="475"/>
        <v/>
      </c>
    </row>
    <row r="4354" spans="8:16">
      <c r="H4354" s="66" t="e">
        <f>IF(LEFT(A4354,6)="CEPNTR","GPINS",VLOOKUP(LEFT(A4354,6),'Code Library'!$A$3:$B$920,2,0))&amp;"_"&amp;RIGHT(A4354,3)</f>
        <v>#N/A</v>
      </c>
      <c r="I4354" s="66">
        <f t="shared" si="469"/>
        <v>0</v>
      </c>
      <c r="K4354" s="66" t="str">
        <f t="shared" si="470"/>
        <v/>
      </c>
      <c r="L4354" s="66" t="str">
        <f t="shared" si="471"/>
        <v/>
      </c>
      <c r="M4354" s="66" t="str">
        <f t="shared" si="472"/>
        <v/>
      </c>
      <c r="N4354" s="66" t="str">
        <f t="shared" si="473"/>
        <v/>
      </c>
      <c r="O4354" s="66" t="str">
        <f t="shared" si="474"/>
        <v/>
      </c>
      <c r="P4354" s="66" t="str">
        <f t="shared" si="475"/>
        <v/>
      </c>
    </row>
    <row r="4355" spans="8:16">
      <c r="H4355" s="66" t="e">
        <f>IF(LEFT(A4355,6)="CEPNTR","GPINS",VLOOKUP(LEFT(A4355,6),'Code Library'!$A$3:$B$920,2,0))&amp;"_"&amp;RIGHT(A4355,3)</f>
        <v>#N/A</v>
      </c>
      <c r="I4355" s="66">
        <f t="shared" ref="I4355:I4418" si="476">A4355</f>
        <v>0</v>
      </c>
      <c r="K4355" s="66" t="str">
        <f t="shared" ref="K4355:K4418" si="477">RIGHT($B4355,2)</f>
        <v/>
      </c>
      <c r="L4355" s="66" t="str">
        <f t="shared" ref="L4355:L4418" si="478">LEFT(RIGHT($B4355,7),4)</f>
        <v/>
      </c>
      <c r="M4355" s="66" t="str">
        <f t="shared" ref="M4355:M4418" si="479">LEFT(RIGHT($B4355,10),2)</f>
        <v/>
      </c>
      <c r="N4355" s="66" t="str">
        <f t="shared" ref="N4355:N4418" si="480">LEFT(RIGHT($B4355,14),3)</f>
        <v/>
      </c>
      <c r="O4355" s="66" t="str">
        <f t="shared" ref="O4355:O4418" si="481">LEFT(RIGHT($B4355,16),1)</f>
        <v/>
      </c>
      <c r="P4355" s="66" t="str">
        <f t="shared" ref="P4355:P4418" si="482">LEFT(RIGHT($B4355,19),2)</f>
        <v/>
      </c>
    </row>
    <row r="4356" spans="8:16">
      <c r="H4356" s="66" t="e">
        <f>IF(LEFT(A4356,6)="CEPNTR","GPINS",VLOOKUP(LEFT(A4356,6),'Code Library'!$A$3:$B$920,2,0))&amp;"_"&amp;RIGHT(A4356,3)</f>
        <v>#N/A</v>
      </c>
      <c r="I4356" s="66">
        <f t="shared" si="476"/>
        <v>0</v>
      </c>
      <c r="K4356" s="66" t="str">
        <f t="shared" si="477"/>
        <v/>
      </c>
      <c r="L4356" s="66" t="str">
        <f t="shared" si="478"/>
        <v/>
      </c>
      <c r="M4356" s="66" t="str">
        <f t="shared" si="479"/>
        <v/>
      </c>
      <c r="N4356" s="66" t="str">
        <f t="shared" si="480"/>
        <v/>
      </c>
      <c r="O4356" s="66" t="str">
        <f t="shared" si="481"/>
        <v/>
      </c>
      <c r="P4356" s="66" t="str">
        <f t="shared" si="482"/>
        <v/>
      </c>
    </row>
    <row r="4357" spans="8:16">
      <c r="H4357" s="66" t="e">
        <f>IF(LEFT(A4357,6)="CEPNTR","GPINS",VLOOKUP(LEFT(A4357,6),'Code Library'!$A$3:$B$920,2,0))&amp;"_"&amp;RIGHT(A4357,3)</f>
        <v>#N/A</v>
      </c>
      <c r="I4357" s="66">
        <f t="shared" si="476"/>
        <v>0</v>
      </c>
      <c r="K4357" s="66" t="str">
        <f t="shared" si="477"/>
        <v/>
      </c>
      <c r="L4357" s="66" t="str">
        <f t="shared" si="478"/>
        <v/>
      </c>
      <c r="M4357" s="66" t="str">
        <f t="shared" si="479"/>
        <v/>
      </c>
      <c r="N4357" s="66" t="str">
        <f t="shared" si="480"/>
        <v/>
      </c>
      <c r="O4357" s="66" t="str">
        <f t="shared" si="481"/>
        <v/>
      </c>
      <c r="P4357" s="66" t="str">
        <f t="shared" si="482"/>
        <v/>
      </c>
    </row>
    <row r="4358" spans="8:16">
      <c r="H4358" s="66" t="e">
        <f>IF(LEFT(A4358,6)="CEPNTR","GPINS",VLOOKUP(LEFT(A4358,6),'Code Library'!$A$3:$B$920,2,0))&amp;"_"&amp;RIGHT(A4358,3)</f>
        <v>#N/A</v>
      </c>
      <c r="I4358" s="66">
        <f t="shared" si="476"/>
        <v>0</v>
      </c>
      <c r="K4358" s="66" t="str">
        <f t="shared" si="477"/>
        <v/>
      </c>
      <c r="L4358" s="66" t="str">
        <f t="shared" si="478"/>
        <v/>
      </c>
      <c r="M4358" s="66" t="str">
        <f t="shared" si="479"/>
        <v/>
      </c>
      <c r="N4358" s="66" t="str">
        <f t="shared" si="480"/>
        <v/>
      </c>
      <c r="O4358" s="66" t="str">
        <f t="shared" si="481"/>
        <v/>
      </c>
      <c r="P4358" s="66" t="str">
        <f t="shared" si="482"/>
        <v/>
      </c>
    </row>
    <row r="4359" spans="8:16">
      <c r="H4359" s="66" t="e">
        <f>IF(LEFT(A4359,6)="CEPNTR","GPINS",VLOOKUP(LEFT(A4359,6),'Code Library'!$A$3:$B$920,2,0))&amp;"_"&amp;RIGHT(A4359,3)</f>
        <v>#N/A</v>
      </c>
      <c r="I4359" s="66">
        <f t="shared" si="476"/>
        <v>0</v>
      </c>
      <c r="K4359" s="66" t="str">
        <f t="shared" si="477"/>
        <v/>
      </c>
      <c r="L4359" s="66" t="str">
        <f t="shared" si="478"/>
        <v/>
      </c>
      <c r="M4359" s="66" t="str">
        <f t="shared" si="479"/>
        <v/>
      </c>
      <c r="N4359" s="66" t="str">
        <f t="shared" si="480"/>
        <v/>
      </c>
      <c r="O4359" s="66" t="str">
        <f t="shared" si="481"/>
        <v/>
      </c>
      <c r="P4359" s="66" t="str">
        <f t="shared" si="482"/>
        <v/>
      </c>
    </row>
    <row r="4360" spans="8:16">
      <c r="H4360" s="66" t="e">
        <f>IF(LEFT(A4360,6)="CEPNTR","GPINS",VLOOKUP(LEFT(A4360,6),'Code Library'!$A$3:$B$920,2,0))&amp;"_"&amp;RIGHT(A4360,3)</f>
        <v>#N/A</v>
      </c>
      <c r="I4360" s="66">
        <f t="shared" si="476"/>
        <v>0</v>
      </c>
      <c r="K4360" s="66" t="str">
        <f t="shared" si="477"/>
        <v/>
      </c>
      <c r="L4360" s="66" t="str">
        <f t="shared" si="478"/>
        <v/>
      </c>
      <c r="M4360" s="66" t="str">
        <f t="shared" si="479"/>
        <v/>
      </c>
      <c r="N4360" s="66" t="str">
        <f t="shared" si="480"/>
        <v/>
      </c>
      <c r="O4360" s="66" t="str">
        <f t="shared" si="481"/>
        <v/>
      </c>
      <c r="P4360" s="66" t="str">
        <f t="shared" si="482"/>
        <v/>
      </c>
    </row>
    <row r="4361" spans="8:16">
      <c r="H4361" s="66" t="e">
        <f>IF(LEFT(A4361,6)="CEPNTR","GPINS",VLOOKUP(LEFT(A4361,6),'Code Library'!$A$3:$B$920,2,0))&amp;"_"&amp;RIGHT(A4361,3)</f>
        <v>#N/A</v>
      </c>
      <c r="I4361" s="66">
        <f t="shared" si="476"/>
        <v>0</v>
      </c>
      <c r="K4361" s="66" t="str">
        <f t="shared" si="477"/>
        <v/>
      </c>
      <c r="L4361" s="66" t="str">
        <f t="shared" si="478"/>
        <v/>
      </c>
      <c r="M4361" s="66" t="str">
        <f t="shared" si="479"/>
        <v/>
      </c>
      <c r="N4361" s="66" t="str">
        <f t="shared" si="480"/>
        <v/>
      </c>
      <c r="O4361" s="66" t="str">
        <f t="shared" si="481"/>
        <v/>
      </c>
      <c r="P4361" s="66" t="str">
        <f t="shared" si="482"/>
        <v/>
      </c>
    </row>
    <row r="4362" spans="8:16">
      <c r="H4362" s="66" t="e">
        <f>IF(LEFT(A4362,6)="CEPNTR","GPINS",VLOOKUP(LEFT(A4362,6),'Code Library'!$A$3:$B$920,2,0))&amp;"_"&amp;RIGHT(A4362,3)</f>
        <v>#N/A</v>
      </c>
      <c r="I4362" s="66">
        <f t="shared" si="476"/>
        <v>0</v>
      </c>
      <c r="K4362" s="66" t="str">
        <f t="shared" si="477"/>
        <v/>
      </c>
      <c r="L4362" s="66" t="str">
        <f t="shared" si="478"/>
        <v/>
      </c>
      <c r="M4362" s="66" t="str">
        <f t="shared" si="479"/>
        <v/>
      </c>
      <c r="N4362" s="66" t="str">
        <f t="shared" si="480"/>
        <v/>
      </c>
      <c r="O4362" s="66" t="str">
        <f t="shared" si="481"/>
        <v/>
      </c>
      <c r="P4362" s="66" t="str">
        <f t="shared" si="482"/>
        <v/>
      </c>
    </row>
    <row r="4363" spans="8:16">
      <c r="H4363" s="66" t="e">
        <f>IF(LEFT(A4363,6)="CEPNTR","GPINS",VLOOKUP(LEFT(A4363,6),'Code Library'!$A$3:$B$920,2,0))&amp;"_"&amp;RIGHT(A4363,3)</f>
        <v>#N/A</v>
      </c>
      <c r="I4363" s="66">
        <f t="shared" si="476"/>
        <v>0</v>
      </c>
      <c r="K4363" s="66" t="str">
        <f t="shared" si="477"/>
        <v/>
      </c>
      <c r="L4363" s="66" t="str">
        <f t="shared" si="478"/>
        <v/>
      </c>
      <c r="M4363" s="66" t="str">
        <f t="shared" si="479"/>
        <v/>
      </c>
      <c r="N4363" s="66" t="str">
        <f t="shared" si="480"/>
        <v/>
      </c>
      <c r="O4363" s="66" t="str">
        <f t="shared" si="481"/>
        <v/>
      </c>
      <c r="P4363" s="66" t="str">
        <f t="shared" si="482"/>
        <v/>
      </c>
    </row>
    <row r="4364" spans="8:16">
      <c r="H4364" s="66" t="e">
        <f>IF(LEFT(A4364,6)="CEPNTR","GPINS",VLOOKUP(LEFT(A4364,6),'Code Library'!$A$3:$B$920,2,0))&amp;"_"&amp;RIGHT(A4364,3)</f>
        <v>#N/A</v>
      </c>
      <c r="I4364" s="66">
        <f t="shared" si="476"/>
        <v>0</v>
      </c>
      <c r="K4364" s="66" t="str">
        <f t="shared" si="477"/>
        <v/>
      </c>
      <c r="L4364" s="66" t="str">
        <f t="shared" si="478"/>
        <v/>
      </c>
      <c r="M4364" s="66" t="str">
        <f t="shared" si="479"/>
        <v/>
      </c>
      <c r="N4364" s="66" t="str">
        <f t="shared" si="480"/>
        <v/>
      </c>
      <c r="O4364" s="66" t="str">
        <f t="shared" si="481"/>
        <v/>
      </c>
      <c r="P4364" s="66" t="str">
        <f t="shared" si="482"/>
        <v/>
      </c>
    </row>
    <row r="4365" spans="8:16">
      <c r="H4365" s="66" t="e">
        <f>IF(LEFT(A4365,6)="CEPNTR","GPINS",VLOOKUP(LEFT(A4365,6),'Code Library'!$A$3:$B$920,2,0))&amp;"_"&amp;RIGHT(A4365,3)</f>
        <v>#N/A</v>
      </c>
      <c r="I4365" s="66">
        <f t="shared" si="476"/>
        <v>0</v>
      </c>
      <c r="K4365" s="66" t="str">
        <f t="shared" si="477"/>
        <v/>
      </c>
      <c r="L4365" s="66" t="str">
        <f t="shared" si="478"/>
        <v/>
      </c>
      <c r="M4365" s="66" t="str">
        <f t="shared" si="479"/>
        <v/>
      </c>
      <c r="N4365" s="66" t="str">
        <f t="shared" si="480"/>
        <v/>
      </c>
      <c r="O4365" s="66" t="str">
        <f t="shared" si="481"/>
        <v/>
      </c>
      <c r="P4365" s="66" t="str">
        <f t="shared" si="482"/>
        <v/>
      </c>
    </row>
    <row r="4366" spans="8:16">
      <c r="H4366" s="66" t="e">
        <f>IF(LEFT(A4366,6)="CEPNTR","GPINS",VLOOKUP(LEFT(A4366,6),'Code Library'!$A$3:$B$920,2,0))&amp;"_"&amp;RIGHT(A4366,3)</f>
        <v>#N/A</v>
      </c>
      <c r="I4366" s="66">
        <f t="shared" si="476"/>
        <v>0</v>
      </c>
      <c r="K4366" s="66" t="str">
        <f t="shared" si="477"/>
        <v/>
      </c>
      <c r="L4366" s="66" t="str">
        <f t="shared" si="478"/>
        <v/>
      </c>
      <c r="M4366" s="66" t="str">
        <f t="shared" si="479"/>
        <v/>
      </c>
      <c r="N4366" s="66" t="str">
        <f t="shared" si="480"/>
        <v/>
      </c>
      <c r="O4366" s="66" t="str">
        <f t="shared" si="481"/>
        <v/>
      </c>
      <c r="P4366" s="66" t="str">
        <f t="shared" si="482"/>
        <v/>
      </c>
    </row>
    <row r="4367" spans="8:16">
      <c r="H4367" s="66" t="e">
        <f>IF(LEFT(A4367,6)="CEPNTR","GPINS",VLOOKUP(LEFT(A4367,6),'Code Library'!$A$3:$B$920,2,0))&amp;"_"&amp;RIGHT(A4367,3)</f>
        <v>#N/A</v>
      </c>
      <c r="I4367" s="66">
        <f t="shared" si="476"/>
        <v>0</v>
      </c>
      <c r="K4367" s="66" t="str">
        <f t="shared" si="477"/>
        <v/>
      </c>
      <c r="L4367" s="66" t="str">
        <f t="shared" si="478"/>
        <v/>
      </c>
      <c r="M4367" s="66" t="str">
        <f t="shared" si="479"/>
        <v/>
      </c>
      <c r="N4367" s="66" t="str">
        <f t="shared" si="480"/>
        <v/>
      </c>
      <c r="O4367" s="66" t="str">
        <f t="shared" si="481"/>
        <v/>
      </c>
      <c r="P4367" s="66" t="str">
        <f t="shared" si="482"/>
        <v/>
      </c>
    </row>
    <row r="4368" spans="8:16">
      <c r="H4368" s="66" t="e">
        <f>IF(LEFT(A4368,6)="CEPNTR","GPINS",VLOOKUP(LEFT(A4368,6),'Code Library'!$A$3:$B$920,2,0))&amp;"_"&amp;RIGHT(A4368,3)</f>
        <v>#N/A</v>
      </c>
      <c r="I4368" s="66">
        <f t="shared" si="476"/>
        <v>0</v>
      </c>
      <c r="K4368" s="66" t="str">
        <f t="shared" si="477"/>
        <v/>
      </c>
      <c r="L4368" s="66" t="str">
        <f t="shared" si="478"/>
        <v/>
      </c>
      <c r="M4368" s="66" t="str">
        <f t="shared" si="479"/>
        <v/>
      </c>
      <c r="N4368" s="66" t="str">
        <f t="shared" si="480"/>
        <v/>
      </c>
      <c r="O4368" s="66" t="str">
        <f t="shared" si="481"/>
        <v/>
      </c>
      <c r="P4368" s="66" t="str">
        <f t="shared" si="482"/>
        <v/>
      </c>
    </row>
    <row r="4369" spans="8:16">
      <c r="H4369" s="66" t="e">
        <f>IF(LEFT(A4369,6)="CEPNTR","GPINS",VLOOKUP(LEFT(A4369,6),'Code Library'!$A$3:$B$920,2,0))&amp;"_"&amp;RIGHT(A4369,3)</f>
        <v>#N/A</v>
      </c>
      <c r="I4369" s="66">
        <f t="shared" si="476"/>
        <v>0</v>
      </c>
      <c r="K4369" s="66" t="str">
        <f t="shared" si="477"/>
        <v/>
      </c>
      <c r="L4369" s="66" t="str">
        <f t="shared" si="478"/>
        <v/>
      </c>
      <c r="M4369" s="66" t="str">
        <f t="shared" si="479"/>
        <v/>
      </c>
      <c r="N4369" s="66" t="str">
        <f t="shared" si="480"/>
        <v/>
      </c>
      <c r="O4369" s="66" t="str">
        <f t="shared" si="481"/>
        <v/>
      </c>
      <c r="P4369" s="66" t="str">
        <f t="shared" si="482"/>
        <v/>
      </c>
    </row>
    <row r="4370" spans="8:16">
      <c r="H4370" s="66" t="e">
        <f>IF(LEFT(A4370,6)="CEPNTR","GPINS",VLOOKUP(LEFT(A4370,6),'Code Library'!$A$3:$B$920,2,0))&amp;"_"&amp;RIGHT(A4370,3)</f>
        <v>#N/A</v>
      </c>
      <c r="I4370" s="66">
        <f t="shared" si="476"/>
        <v>0</v>
      </c>
      <c r="K4370" s="66" t="str">
        <f t="shared" si="477"/>
        <v/>
      </c>
      <c r="L4370" s="66" t="str">
        <f t="shared" si="478"/>
        <v/>
      </c>
      <c r="M4370" s="66" t="str">
        <f t="shared" si="479"/>
        <v/>
      </c>
      <c r="N4370" s="66" t="str">
        <f t="shared" si="480"/>
        <v/>
      </c>
      <c r="O4370" s="66" t="str">
        <f t="shared" si="481"/>
        <v/>
      </c>
      <c r="P4370" s="66" t="str">
        <f t="shared" si="482"/>
        <v/>
      </c>
    </row>
    <row r="4371" spans="8:16">
      <c r="H4371" s="66" t="e">
        <f>IF(LEFT(A4371,6)="CEPNTR","GPINS",VLOOKUP(LEFT(A4371,6),'Code Library'!$A$3:$B$920,2,0))&amp;"_"&amp;RIGHT(A4371,3)</f>
        <v>#N/A</v>
      </c>
      <c r="I4371" s="66">
        <f t="shared" si="476"/>
        <v>0</v>
      </c>
      <c r="K4371" s="66" t="str">
        <f t="shared" si="477"/>
        <v/>
      </c>
      <c r="L4371" s="66" t="str">
        <f t="shared" si="478"/>
        <v/>
      </c>
      <c r="M4371" s="66" t="str">
        <f t="shared" si="479"/>
        <v/>
      </c>
      <c r="N4371" s="66" t="str">
        <f t="shared" si="480"/>
        <v/>
      </c>
      <c r="O4371" s="66" t="str">
        <f t="shared" si="481"/>
        <v/>
      </c>
      <c r="P4371" s="66" t="str">
        <f t="shared" si="482"/>
        <v/>
      </c>
    </row>
    <row r="4372" spans="8:16">
      <c r="H4372" s="66" t="e">
        <f>IF(LEFT(A4372,6)="CEPNTR","GPINS",VLOOKUP(LEFT(A4372,6),'Code Library'!$A$3:$B$920,2,0))&amp;"_"&amp;RIGHT(A4372,3)</f>
        <v>#N/A</v>
      </c>
      <c r="I4372" s="66">
        <f t="shared" si="476"/>
        <v>0</v>
      </c>
      <c r="K4372" s="66" t="str">
        <f t="shared" si="477"/>
        <v/>
      </c>
      <c r="L4372" s="66" t="str">
        <f t="shared" si="478"/>
        <v/>
      </c>
      <c r="M4372" s="66" t="str">
        <f t="shared" si="479"/>
        <v/>
      </c>
      <c r="N4372" s="66" t="str">
        <f t="shared" si="480"/>
        <v/>
      </c>
      <c r="O4372" s="66" t="str">
        <f t="shared" si="481"/>
        <v/>
      </c>
      <c r="P4372" s="66" t="str">
        <f t="shared" si="482"/>
        <v/>
      </c>
    </row>
    <row r="4373" spans="8:16">
      <c r="H4373" s="66" t="e">
        <f>IF(LEFT(A4373,6)="CEPNTR","GPINS",VLOOKUP(LEFT(A4373,6),'Code Library'!$A$3:$B$920,2,0))&amp;"_"&amp;RIGHT(A4373,3)</f>
        <v>#N/A</v>
      </c>
      <c r="I4373" s="66">
        <f t="shared" si="476"/>
        <v>0</v>
      </c>
      <c r="K4373" s="66" t="str">
        <f t="shared" si="477"/>
        <v/>
      </c>
      <c r="L4373" s="66" t="str">
        <f t="shared" si="478"/>
        <v/>
      </c>
      <c r="M4373" s="66" t="str">
        <f t="shared" si="479"/>
        <v/>
      </c>
      <c r="N4373" s="66" t="str">
        <f t="shared" si="480"/>
        <v/>
      </c>
      <c r="O4373" s="66" t="str">
        <f t="shared" si="481"/>
        <v/>
      </c>
      <c r="P4373" s="66" t="str">
        <f t="shared" si="482"/>
        <v/>
      </c>
    </row>
    <row r="4374" spans="8:16">
      <c r="H4374" s="66" t="e">
        <f>IF(LEFT(A4374,6)="CEPNTR","GPINS",VLOOKUP(LEFT(A4374,6),'Code Library'!$A$3:$B$920,2,0))&amp;"_"&amp;RIGHT(A4374,3)</f>
        <v>#N/A</v>
      </c>
      <c r="I4374" s="66">
        <f t="shared" si="476"/>
        <v>0</v>
      </c>
      <c r="K4374" s="66" t="str">
        <f t="shared" si="477"/>
        <v/>
      </c>
      <c r="L4374" s="66" t="str">
        <f t="shared" si="478"/>
        <v/>
      </c>
      <c r="M4374" s="66" t="str">
        <f t="shared" si="479"/>
        <v/>
      </c>
      <c r="N4374" s="66" t="str">
        <f t="shared" si="480"/>
        <v/>
      </c>
      <c r="O4374" s="66" t="str">
        <f t="shared" si="481"/>
        <v/>
      </c>
      <c r="P4374" s="66" t="str">
        <f t="shared" si="482"/>
        <v/>
      </c>
    </row>
    <row r="4375" spans="8:16">
      <c r="H4375" s="66" t="e">
        <f>IF(LEFT(A4375,6)="CEPNTR","GPINS",VLOOKUP(LEFT(A4375,6),'Code Library'!$A$3:$B$920,2,0))&amp;"_"&amp;RIGHT(A4375,3)</f>
        <v>#N/A</v>
      </c>
      <c r="I4375" s="66">
        <f t="shared" si="476"/>
        <v>0</v>
      </c>
      <c r="K4375" s="66" t="str">
        <f t="shared" si="477"/>
        <v/>
      </c>
      <c r="L4375" s="66" t="str">
        <f t="shared" si="478"/>
        <v/>
      </c>
      <c r="M4375" s="66" t="str">
        <f t="shared" si="479"/>
        <v/>
      </c>
      <c r="N4375" s="66" t="str">
        <f t="shared" si="480"/>
        <v/>
      </c>
      <c r="O4375" s="66" t="str">
        <f t="shared" si="481"/>
        <v/>
      </c>
      <c r="P4375" s="66" t="str">
        <f t="shared" si="482"/>
        <v/>
      </c>
    </row>
    <row r="4376" spans="8:16">
      <c r="H4376" s="66" t="e">
        <f>IF(LEFT(A4376,6)="CEPNTR","GPINS",VLOOKUP(LEFT(A4376,6),'Code Library'!$A$3:$B$920,2,0))&amp;"_"&amp;RIGHT(A4376,3)</f>
        <v>#N/A</v>
      </c>
      <c r="I4376" s="66">
        <f t="shared" si="476"/>
        <v>0</v>
      </c>
      <c r="K4376" s="66" t="str">
        <f t="shared" si="477"/>
        <v/>
      </c>
      <c r="L4376" s="66" t="str">
        <f t="shared" si="478"/>
        <v/>
      </c>
      <c r="M4376" s="66" t="str">
        <f t="shared" si="479"/>
        <v/>
      </c>
      <c r="N4376" s="66" t="str">
        <f t="shared" si="480"/>
        <v/>
      </c>
      <c r="O4376" s="66" t="str">
        <f t="shared" si="481"/>
        <v/>
      </c>
      <c r="P4376" s="66" t="str">
        <f t="shared" si="482"/>
        <v/>
      </c>
    </row>
    <row r="4377" spans="8:16">
      <c r="H4377" s="66" t="e">
        <f>IF(LEFT(A4377,6)="CEPNTR","GPINS",VLOOKUP(LEFT(A4377,6),'Code Library'!$A$3:$B$920,2,0))&amp;"_"&amp;RIGHT(A4377,3)</f>
        <v>#N/A</v>
      </c>
      <c r="I4377" s="66">
        <f t="shared" si="476"/>
        <v>0</v>
      </c>
      <c r="K4377" s="66" t="str">
        <f t="shared" si="477"/>
        <v/>
      </c>
      <c r="L4377" s="66" t="str">
        <f t="shared" si="478"/>
        <v/>
      </c>
      <c r="M4377" s="66" t="str">
        <f t="shared" si="479"/>
        <v/>
      </c>
      <c r="N4377" s="66" t="str">
        <f t="shared" si="480"/>
        <v/>
      </c>
      <c r="O4377" s="66" t="str">
        <f t="shared" si="481"/>
        <v/>
      </c>
      <c r="P4377" s="66" t="str">
        <f t="shared" si="482"/>
        <v/>
      </c>
    </row>
    <row r="4378" spans="8:16">
      <c r="H4378" s="66" t="e">
        <f>IF(LEFT(A4378,6)="CEPNTR","GPINS",VLOOKUP(LEFT(A4378,6),'Code Library'!$A$3:$B$920,2,0))&amp;"_"&amp;RIGHT(A4378,3)</f>
        <v>#N/A</v>
      </c>
      <c r="I4378" s="66">
        <f t="shared" si="476"/>
        <v>0</v>
      </c>
      <c r="K4378" s="66" t="str">
        <f t="shared" si="477"/>
        <v/>
      </c>
      <c r="L4378" s="66" t="str">
        <f t="shared" si="478"/>
        <v/>
      </c>
      <c r="M4378" s="66" t="str">
        <f t="shared" si="479"/>
        <v/>
      </c>
      <c r="N4378" s="66" t="str">
        <f t="shared" si="480"/>
        <v/>
      </c>
      <c r="O4378" s="66" t="str">
        <f t="shared" si="481"/>
        <v/>
      </c>
      <c r="P4378" s="66" t="str">
        <f t="shared" si="482"/>
        <v/>
      </c>
    </row>
    <row r="4379" spans="8:16">
      <c r="H4379" s="66" t="e">
        <f>IF(LEFT(A4379,6)="CEPNTR","GPINS",VLOOKUP(LEFT(A4379,6),'Code Library'!$A$3:$B$920,2,0))&amp;"_"&amp;RIGHT(A4379,3)</f>
        <v>#N/A</v>
      </c>
      <c r="I4379" s="66">
        <f t="shared" si="476"/>
        <v>0</v>
      </c>
      <c r="K4379" s="66" t="str">
        <f t="shared" si="477"/>
        <v/>
      </c>
      <c r="L4379" s="66" t="str">
        <f t="shared" si="478"/>
        <v/>
      </c>
      <c r="M4379" s="66" t="str">
        <f t="shared" si="479"/>
        <v/>
      </c>
      <c r="N4379" s="66" t="str">
        <f t="shared" si="480"/>
        <v/>
      </c>
      <c r="O4379" s="66" t="str">
        <f t="shared" si="481"/>
        <v/>
      </c>
      <c r="P4379" s="66" t="str">
        <f t="shared" si="482"/>
        <v/>
      </c>
    </row>
    <row r="4380" spans="8:16">
      <c r="H4380" s="66" t="e">
        <f>IF(LEFT(A4380,6)="CEPNTR","GPINS",VLOOKUP(LEFT(A4380,6),'Code Library'!$A$3:$B$920,2,0))&amp;"_"&amp;RIGHT(A4380,3)</f>
        <v>#N/A</v>
      </c>
      <c r="I4380" s="66">
        <f t="shared" si="476"/>
        <v>0</v>
      </c>
      <c r="K4380" s="66" t="str">
        <f t="shared" si="477"/>
        <v/>
      </c>
      <c r="L4380" s="66" t="str">
        <f t="shared" si="478"/>
        <v/>
      </c>
      <c r="M4380" s="66" t="str">
        <f t="shared" si="479"/>
        <v/>
      </c>
      <c r="N4380" s="66" t="str">
        <f t="shared" si="480"/>
        <v/>
      </c>
      <c r="O4380" s="66" t="str">
        <f t="shared" si="481"/>
        <v/>
      </c>
      <c r="P4380" s="66" t="str">
        <f t="shared" si="482"/>
        <v/>
      </c>
    </row>
    <row r="4381" spans="8:16">
      <c r="H4381" s="66" t="e">
        <f>IF(LEFT(A4381,6)="CEPNTR","GPINS",VLOOKUP(LEFT(A4381,6),'Code Library'!$A$3:$B$920,2,0))&amp;"_"&amp;RIGHT(A4381,3)</f>
        <v>#N/A</v>
      </c>
      <c r="I4381" s="66">
        <f t="shared" si="476"/>
        <v>0</v>
      </c>
      <c r="K4381" s="66" t="str">
        <f t="shared" si="477"/>
        <v/>
      </c>
      <c r="L4381" s="66" t="str">
        <f t="shared" si="478"/>
        <v/>
      </c>
      <c r="M4381" s="66" t="str">
        <f t="shared" si="479"/>
        <v/>
      </c>
      <c r="N4381" s="66" t="str">
        <f t="shared" si="480"/>
        <v/>
      </c>
      <c r="O4381" s="66" t="str">
        <f t="shared" si="481"/>
        <v/>
      </c>
      <c r="P4381" s="66" t="str">
        <f t="shared" si="482"/>
        <v/>
      </c>
    </row>
    <row r="4382" spans="8:16">
      <c r="H4382" s="66" t="e">
        <f>IF(LEFT(A4382,6)="CEPNTR","GPINS",VLOOKUP(LEFT(A4382,6),'Code Library'!$A$3:$B$920,2,0))&amp;"_"&amp;RIGHT(A4382,3)</f>
        <v>#N/A</v>
      </c>
      <c r="I4382" s="66">
        <f t="shared" si="476"/>
        <v>0</v>
      </c>
      <c r="K4382" s="66" t="str">
        <f t="shared" si="477"/>
        <v/>
      </c>
      <c r="L4382" s="66" t="str">
        <f t="shared" si="478"/>
        <v/>
      </c>
      <c r="M4382" s="66" t="str">
        <f t="shared" si="479"/>
        <v/>
      </c>
      <c r="N4382" s="66" t="str">
        <f t="shared" si="480"/>
        <v/>
      </c>
      <c r="O4382" s="66" t="str">
        <f t="shared" si="481"/>
        <v/>
      </c>
      <c r="P4382" s="66" t="str">
        <f t="shared" si="482"/>
        <v/>
      </c>
    </row>
    <row r="4383" spans="8:16">
      <c r="H4383" s="66" t="e">
        <f>IF(LEFT(A4383,6)="CEPNTR","GPINS",VLOOKUP(LEFT(A4383,6),'Code Library'!$A$3:$B$920,2,0))&amp;"_"&amp;RIGHT(A4383,3)</f>
        <v>#N/A</v>
      </c>
      <c r="I4383" s="66">
        <f t="shared" si="476"/>
        <v>0</v>
      </c>
      <c r="K4383" s="66" t="str">
        <f t="shared" si="477"/>
        <v/>
      </c>
      <c r="L4383" s="66" t="str">
        <f t="shared" si="478"/>
        <v/>
      </c>
      <c r="M4383" s="66" t="str">
        <f t="shared" si="479"/>
        <v/>
      </c>
      <c r="N4383" s="66" t="str">
        <f t="shared" si="480"/>
        <v/>
      </c>
      <c r="O4383" s="66" t="str">
        <f t="shared" si="481"/>
        <v/>
      </c>
      <c r="P4383" s="66" t="str">
        <f t="shared" si="482"/>
        <v/>
      </c>
    </row>
    <row r="4384" spans="8:16">
      <c r="H4384" s="66" t="e">
        <f>IF(LEFT(A4384,6)="CEPNTR","GPINS",VLOOKUP(LEFT(A4384,6),'Code Library'!$A$3:$B$920,2,0))&amp;"_"&amp;RIGHT(A4384,3)</f>
        <v>#N/A</v>
      </c>
      <c r="I4384" s="66">
        <f t="shared" si="476"/>
        <v>0</v>
      </c>
      <c r="K4384" s="66" t="str">
        <f t="shared" si="477"/>
        <v/>
      </c>
      <c r="L4384" s="66" t="str">
        <f t="shared" si="478"/>
        <v/>
      </c>
      <c r="M4384" s="66" t="str">
        <f t="shared" si="479"/>
        <v/>
      </c>
      <c r="N4384" s="66" t="str">
        <f t="shared" si="480"/>
        <v/>
      </c>
      <c r="O4384" s="66" t="str">
        <f t="shared" si="481"/>
        <v/>
      </c>
      <c r="P4384" s="66" t="str">
        <f t="shared" si="482"/>
        <v/>
      </c>
    </row>
    <row r="4385" spans="8:16">
      <c r="H4385" s="66" t="e">
        <f>IF(LEFT(A4385,6)="CEPNTR","GPINS",VLOOKUP(LEFT(A4385,6),'Code Library'!$A$3:$B$920,2,0))&amp;"_"&amp;RIGHT(A4385,3)</f>
        <v>#N/A</v>
      </c>
      <c r="I4385" s="66">
        <f t="shared" si="476"/>
        <v>0</v>
      </c>
      <c r="K4385" s="66" t="str">
        <f t="shared" si="477"/>
        <v/>
      </c>
      <c r="L4385" s="66" t="str">
        <f t="shared" si="478"/>
        <v/>
      </c>
      <c r="M4385" s="66" t="str">
        <f t="shared" si="479"/>
        <v/>
      </c>
      <c r="N4385" s="66" t="str">
        <f t="shared" si="480"/>
        <v/>
      </c>
      <c r="O4385" s="66" t="str">
        <f t="shared" si="481"/>
        <v/>
      </c>
      <c r="P4385" s="66" t="str">
        <f t="shared" si="482"/>
        <v/>
      </c>
    </row>
    <row r="4386" spans="8:16">
      <c r="H4386" s="66" t="e">
        <f>IF(LEFT(A4386,6)="CEPNTR","GPINS",VLOOKUP(LEFT(A4386,6),'Code Library'!$A$3:$B$920,2,0))&amp;"_"&amp;RIGHT(A4386,3)</f>
        <v>#N/A</v>
      </c>
      <c r="I4386" s="66">
        <f t="shared" si="476"/>
        <v>0</v>
      </c>
      <c r="K4386" s="66" t="str">
        <f t="shared" si="477"/>
        <v/>
      </c>
      <c r="L4386" s="66" t="str">
        <f t="shared" si="478"/>
        <v/>
      </c>
      <c r="M4386" s="66" t="str">
        <f t="shared" si="479"/>
        <v/>
      </c>
      <c r="N4386" s="66" t="str">
        <f t="shared" si="480"/>
        <v/>
      </c>
      <c r="O4386" s="66" t="str">
        <f t="shared" si="481"/>
        <v/>
      </c>
      <c r="P4386" s="66" t="str">
        <f t="shared" si="482"/>
        <v/>
      </c>
    </row>
    <row r="4387" spans="8:16">
      <c r="H4387" s="66" t="e">
        <f>IF(LEFT(A4387,6)="CEPNTR","GPINS",VLOOKUP(LEFT(A4387,6),'Code Library'!$A$3:$B$920,2,0))&amp;"_"&amp;RIGHT(A4387,3)</f>
        <v>#N/A</v>
      </c>
      <c r="I4387" s="66">
        <f t="shared" si="476"/>
        <v>0</v>
      </c>
      <c r="K4387" s="66" t="str">
        <f t="shared" si="477"/>
        <v/>
      </c>
      <c r="L4387" s="66" t="str">
        <f t="shared" si="478"/>
        <v/>
      </c>
      <c r="M4387" s="66" t="str">
        <f t="shared" si="479"/>
        <v/>
      </c>
      <c r="N4387" s="66" t="str">
        <f t="shared" si="480"/>
        <v/>
      </c>
      <c r="O4387" s="66" t="str">
        <f t="shared" si="481"/>
        <v/>
      </c>
      <c r="P4387" s="66" t="str">
        <f t="shared" si="482"/>
        <v/>
      </c>
    </row>
    <row r="4388" spans="8:16">
      <c r="H4388" s="66" t="e">
        <f>IF(LEFT(A4388,6)="CEPNTR","GPINS",VLOOKUP(LEFT(A4388,6),'Code Library'!$A$3:$B$920,2,0))&amp;"_"&amp;RIGHT(A4388,3)</f>
        <v>#N/A</v>
      </c>
      <c r="I4388" s="66">
        <f t="shared" si="476"/>
        <v>0</v>
      </c>
      <c r="K4388" s="66" t="str">
        <f t="shared" si="477"/>
        <v/>
      </c>
      <c r="L4388" s="66" t="str">
        <f t="shared" si="478"/>
        <v/>
      </c>
      <c r="M4388" s="66" t="str">
        <f t="shared" si="479"/>
        <v/>
      </c>
      <c r="N4388" s="66" t="str">
        <f t="shared" si="480"/>
        <v/>
      </c>
      <c r="O4388" s="66" t="str">
        <f t="shared" si="481"/>
        <v/>
      </c>
      <c r="P4388" s="66" t="str">
        <f t="shared" si="482"/>
        <v/>
      </c>
    </row>
    <row r="4389" spans="8:16">
      <c r="H4389" s="66" t="e">
        <f>IF(LEFT(A4389,6)="CEPNTR","GPINS",VLOOKUP(LEFT(A4389,6),'Code Library'!$A$3:$B$920,2,0))&amp;"_"&amp;RIGHT(A4389,3)</f>
        <v>#N/A</v>
      </c>
      <c r="I4389" s="66">
        <f t="shared" si="476"/>
        <v>0</v>
      </c>
      <c r="K4389" s="66" t="str">
        <f t="shared" si="477"/>
        <v/>
      </c>
      <c r="L4389" s="66" t="str">
        <f t="shared" si="478"/>
        <v/>
      </c>
      <c r="M4389" s="66" t="str">
        <f t="shared" si="479"/>
        <v/>
      </c>
      <c r="N4389" s="66" t="str">
        <f t="shared" si="480"/>
        <v/>
      </c>
      <c r="O4389" s="66" t="str">
        <f t="shared" si="481"/>
        <v/>
      </c>
      <c r="P4389" s="66" t="str">
        <f t="shared" si="482"/>
        <v/>
      </c>
    </row>
    <row r="4390" spans="8:16">
      <c r="H4390" s="66" t="e">
        <f>IF(LEFT(A4390,6)="CEPNTR","GPINS",VLOOKUP(LEFT(A4390,6),'Code Library'!$A$3:$B$920,2,0))&amp;"_"&amp;RIGHT(A4390,3)</f>
        <v>#N/A</v>
      </c>
      <c r="I4390" s="66">
        <f t="shared" si="476"/>
        <v>0</v>
      </c>
      <c r="K4390" s="66" t="str">
        <f t="shared" si="477"/>
        <v/>
      </c>
      <c r="L4390" s="66" t="str">
        <f t="shared" si="478"/>
        <v/>
      </c>
      <c r="M4390" s="66" t="str">
        <f t="shared" si="479"/>
        <v/>
      </c>
      <c r="N4390" s="66" t="str">
        <f t="shared" si="480"/>
        <v/>
      </c>
      <c r="O4390" s="66" t="str">
        <f t="shared" si="481"/>
        <v/>
      </c>
      <c r="P4390" s="66" t="str">
        <f t="shared" si="482"/>
        <v/>
      </c>
    </row>
    <row r="4391" spans="8:16">
      <c r="H4391" s="66" t="e">
        <f>IF(LEFT(A4391,6)="CEPNTR","GPINS",VLOOKUP(LEFT(A4391,6),'Code Library'!$A$3:$B$920,2,0))&amp;"_"&amp;RIGHT(A4391,3)</f>
        <v>#N/A</v>
      </c>
      <c r="I4391" s="66">
        <f t="shared" si="476"/>
        <v>0</v>
      </c>
      <c r="K4391" s="66" t="str">
        <f t="shared" si="477"/>
        <v/>
      </c>
      <c r="L4391" s="66" t="str">
        <f t="shared" si="478"/>
        <v/>
      </c>
      <c r="M4391" s="66" t="str">
        <f t="shared" si="479"/>
        <v/>
      </c>
      <c r="N4391" s="66" t="str">
        <f t="shared" si="480"/>
        <v/>
      </c>
      <c r="O4391" s="66" t="str">
        <f t="shared" si="481"/>
        <v/>
      </c>
      <c r="P4391" s="66" t="str">
        <f t="shared" si="482"/>
        <v/>
      </c>
    </row>
    <row r="4392" spans="8:16">
      <c r="H4392" s="66" t="e">
        <f>IF(LEFT(A4392,6)="CEPNTR","GPINS",VLOOKUP(LEFT(A4392,6),'Code Library'!$A$3:$B$920,2,0))&amp;"_"&amp;RIGHT(A4392,3)</f>
        <v>#N/A</v>
      </c>
      <c r="I4392" s="66">
        <f t="shared" si="476"/>
        <v>0</v>
      </c>
      <c r="K4392" s="66" t="str">
        <f t="shared" si="477"/>
        <v/>
      </c>
      <c r="L4392" s="66" t="str">
        <f t="shared" si="478"/>
        <v/>
      </c>
      <c r="M4392" s="66" t="str">
        <f t="shared" si="479"/>
        <v/>
      </c>
      <c r="N4392" s="66" t="str">
        <f t="shared" si="480"/>
        <v/>
      </c>
      <c r="O4392" s="66" t="str">
        <f t="shared" si="481"/>
        <v/>
      </c>
      <c r="P4392" s="66" t="str">
        <f t="shared" si="482"/>
        <v/>
      </c>
    </row>
    <row r="4393" spans="8:16">
      <c r="H4393" s="66" t="e">
        <f>IF(LEFT(A4393,6)="CEPNTR","GPINS",VLOOKUP(LEFT(A4393,6),'Code Library'!$A$3:$B$920,2,0))&amp;"_"&amp;RIGHT(A4393,3)</f>
        <v>#N/A</v>
      </c>
      <c r="I4393" s="66">
        <f t="shared" si="476"/>
        <v>0</v>
      </c>
      <c r="K4393" s="66" t="str">
        <f t="shared" si="477"/>
        <v/>
      </c>
      <c r="L4393" s="66" t="str">
        <f t="shared" si="478"/>
        <v/>
      </c>
      <c r="M4393" s="66" t="str">
        <f t="shared" si="479"/>
        <v/>
      </c>
      <c r="N4393" s="66" t="str">
        <f t="shared" si="480"/>
        <v/>
      </c>
      <c r="O4393" s="66" t="str">
        <f t="shared" si="481"/>
        <v/>
      </c>
      <c r="P4393" s="66" t="str">
        <f t="shared" si="482"/>
        <v/>
      </c>
    </row>
    <row r="4394" spans="8:16">
      <c r="H4394" s="66" t="e">
        <f>IF(LEFT(A4394,6)="CEPNTR","GPINS",VLOOKUP(LEFT(A4394,6),'Code Library'!$A$3:$B$920,2,0))&amp;"_"&amp;RIGHT(A4394,3)</f>
        <v>#N/A</v>
      </c>
      <c r="I4394" s="66">
        <f t="shared" si="476"/>
        <v>0</v>
      </c>
      <c r="K4394" s="66" t="str">
        <f t="shared" si="477"/>
        <v/>
      </c>
      <c r="L4394" s="66" t="str">
        <f t="shared" si="478"/>
        <v/>
      </c>
      <c r="M4394" s="66" t="str">
        <f t="shared" si="479"/>
        <v/>
      </c>
      <c r="N4394" s="66" t="str">
        <f t="shared" si="480"/>
        <v/>
      </c>
      <c r="O4394" s="66" t="str">
        <f t="shared" si="481"/>
        <v/>
      </c>
      <c r="P4394" s="66" t="str">
        <f t="shared" si="482"/>
        <v/>
      </c>
    </row>
    <row r="4395" spans="8:16">
      <c r="H4395" s="66" t="e">
        <f>IF(LEFT(A4395,6)="CEPNTR","GPINS",VLOOKUP(LEFT(A4395,6),'Code Library'!$A$3:$B$920,2,0))&amp;"_"&amp;RIGHT(A4395,3)</f>
        <v>#N/A</v>
      </c>
      <c r="I4395" s="66">
        <f t="shared" si="476"/>
        <v>0</v>
      </c>
      <c r="K4395" s="66" t="str">
        <f t="shared" si="477"/>
        <v/>
      </c>
      <c r="L4395" s="66" t="str">
        <f t="shared" si="478"/>
        <v/>
      </c>
      <c r="M4395" s="66" t="str">
        <f t="shared" si="479"/>
        <v/>
      </c>
      <c r="N4395" s="66" t="str">
        <f t="shared" si="480"/>
        <v/>
      </c>
      <c r="O4395" s="66" t="str">
        <f t="shared" si="481"/>
        <v/>
      </c>
      <c r="P4395" s="66" t="str">
        <f t="shared" si="482"/>
        <v/>
      </c>
    </row>
    <row r="4396" spans="8:16">
      <c r="H4396" s="66" t="e">
        <f>IF(LEFT(A4396,6)="CEPNTR","GPINS",VLOOKUP(LEFT(A4396,6),'Code Library'!$A$3:$B$920,2,0))&amp;"_"&amp;RIGHT(A4396,3)</f>
        <v>#N/A</v>
      </c>
      <c r="I4396" s="66">
        <f t="shared" si="476"/>
        <v>0</v>
      </c>
      <c r="K4396" s="66" t="str">
        <f t="shared" si="477"/>
        <v/>
      </c>
      <c r="L4396" s="66" t="str">
        <f t="shared" si="478"/>
        <v/>
      </c>
      <c r="M4396" s="66" t="str">
        <f t="shared" si="479"/>
        <v/>
      </c>
      <c r="N4396" s="66" t="str">
        <f t="shared" si="480"/>
        <v/>
      </c>
      <c r="O4396" s="66" t="str">
        <f t="shared" si="481"/>
        <v/>
      </c>
      <c r="P4396" s="66" t="str">
        <f t="shared" si="482"/>
        <v/>
      </c>
    </row>
    <row r="4397" spans="8:16">
      <c r="H4397" s="66" t="e">
        <f>IF(LEFT(A4397,6)="CEPNTR","GPINS",VLOOKUP(LEFT(A4397,6),'Code Library'!$A$3:$B$920,2,0))&amp;"_"&amp;RIGHT(A4397,3)</f>
        <v>#N/A</v>
      </c>
      <c r="I4397" s="66">
        <f t="shared" si="476"/>
        <v>0</v>
      </c>
      <c r="K4397" s="66" t="str">
        <f t="shared" si="477"/>
        <v/>
      </c>
      <c r="L4397" s="66" t="str">
        <f t="shared" si="478"/>
        <v/>
      </c>
      <c r="M4397" s="66" t="str">
        <f t="shared" si="479"/>
        <v/>
      </c>
      <c r="N4397" s="66" t="str">
        <f t="shared" si="480"/>
        <v/>
      </c>
      <c r="O4397" s="66" t="str">
        <f t="shared" si="481"/>
        <v/>
      </c>
      <c r="P4397" s="66" t="str">
        <f t="shared" si="482"/>
        <v/>
      </c>
    </row>
    <row r="4398" spans="8:16">
      <c r="H4398" s="66" t="e">
        <f>IF(LEFT(A4398,6)="CEPNTR","GPINS",VLOOKUP(LEFT(A4398,6),'Code Library'!$A$3:$B$920,2,0))&amp;"_"&amp;RIGHT(A4398,3)</f>
        <v>#N/A</v>
      </c>
      <c r="I4398" s="66">
        <f t="shared" si="476"/>
        <v>0</v>
      </c>
      <c r="K4398" s="66" t="str">
        <f t="shared" si="477"/>
        <v/>
      </c>
      <c r="L4398" s="66" t="str">
        <f t="shared" si="478"/>
        <v/>
      </c>
      <c r="M4398" s="66" t="str">
        <f t="shared" si="479"/>
        <v/>
      </c>
      <c r="N4398" s="66" t="str">
        <f t="shared" si="480"/>
        <v/>
      </c>
      <c r="O4398" s="66" t="str">
        <f t="shared" si="481"/>
        <v/>
      </c>
      <c r="P4398" s="66" t="str">
        <f t="shared" si="482"/>
        <v/>
      </c>
    </row>
    <row r="4399" spans="8:16">
      <c r="H4399" s="66" t="e">
        <f>IF(LEFT(A4399,6)="CEPNTR","GPINS",VLOOKUP(LEFT(A4399,6),'Code Library'!$A$3:$B$920,2,0))&amp;"_"&amp;RIGHT(A4399,3)</f>
        <v>#N/A</v>
      </c>
      <c r="I4399" s="66">
        <f t="shared" si="476"/>
        <v>0</v>
      </c>
      <c r="K4399" s="66" t="str">
        <f t="shared" si="477"/>
        <v/>
      </c>
      <c r="L4399" s="66" t="str">
        <f t="shared" si="478"/>
        <v/>
      </c>
      <c r="M4399" s="66" t="str">
        <f t="shared" si="479"/>
        <v/>
      </c>
      <c r="N4399" s="66" t="str">
        <f t="shared" si="480"/>
        <v/>
      </c>
      <c r="O4399" s="66" t="str">
        <f t="shared" si="481"/>
        <v/>
      </c>
      <c r="P4399" s="66" t="str">
        <f t="shared" si="482"/>
        <v/>
      </c>
    </row>
    <row r="4400" spans="8:16">
      <c r="H4400" s="66" t="e">
        <f>IF(LEFT(A4400,6)="CEPNTR","GPINS",VLOOKUP(LEFT(A4400,6),'Code Library'!$A$3:$B$920,2,0))&amp;"_"&amp;RIGHT(A4400,3)</f>
        <v>#N/A</v>
      </c>
      <c r="I4400" s="66">
        <f t="shared" si="476"/>
        <v>0</v>
      </c>
      <c r="K4400" s="66" t="str">
        <f t="shared" si="477"/>
        <v/>
      </c>
      <c r="L4400" s="66" t="str">
        <f t="shared" si="478"/>
        <v/>
      </c>
      <c r="M4400" s="66" t="str">
        <f t="shared" si="479"/>
        <v/>
      </c>
      <c r="N4400" s="66" t="str">
        <f t="shared" si="480"/>
        <v/>
      </c>
      <c r="O4400" s="66" t="str">
        <f t="shared" si="481"/>
        <v/>
      </c>
      <c r="P4400" s="66" t="str">
        <f t="shared" si="482"/>
        <v/>
      </c>
    </row>
    <row r="4401" spans="8:16">
      <c r="H4401" s="66" t="e">
        <f>IF(LEFT(A4401,6)="CEPNTR","GPINS",VLOOKUP(LEFT(A4401,6),'Code Library'!$A$3:$B$920,2,0))&amp;"_"&amp;RIGHT(A4401,3)</f>
        <v>#N/A</v>
      </c>
      <c r="I4401" s="66">
        <f t="shared" si="476"/>
        <v>0</v>
      </c>
      <c r="K4401" s="66" t="str">
        <f t="shared" si="477"/>
        <v/>
      </c>
      <c r="L4401" s="66" t="str">
        <f t="shared" si="478"/>
        <v/>
      </c>
      <c r="M4401" s="66" t="str">
        <f t="shared" si="479"/>
        <v/>
      </c>
      <c r="N4401" s="66" t="str">
        <f t="shared" si="480"/>
        <v/>
      </c>
      <c r="O4401" s="66" t="str">
        <f t="shared" si="481"/>
        <v/>
      </c>
      <c r="P4401" s="66" t="str">
        <f t="shared" si="482"/>
        <v/>
      </c>
    </row>
    <row r="4402" spans="8:16">
      <c r="H4402" s="66" t="e">
        <f>IF(LEFT(A4402,6)="CEPNTR","GPINS",VLOOKUP(LEFT(A4402,6),'Code Library'!$A$3:$B$920,2,0))&amp;"_"&amp;RIGHT(A4402,3)</f>
        <v>#N/A</v>
      </c>
      <c r="I4402" s="66">
        <f t="shared" si="476"/>
        <v>0</v>
      </c>
      <c r="K4402" s="66" t="str">
        <f t="shared" si="477"/>
        <v/>
      </c>
      <c r="L4402" s="66" t="str">
        <f t="shared" si="478"/>
        <v/>
      </c>
      <c r="M4402" s="66" t="str">
        <f t="shared" si="479"/>
        <v/>
      </c>
      <c r="N4402" s="66" t="str">
        <f t="shared" si="480"/>
        <v/>
      </c>
      <c r="O4402" s="66" t="str">
        <f t="shared" si="481"/>
        <v/>
      </c>
      <c r="P4402" s="66" t="str">
        <f t="shared" si="482"/>
        <v/>
      </c>
    </row>
    <row r="4403" spans="8:16">
      <c r="H4403" s="66" t="e">
        <f>IF(LEFT(A4403,6)="CEPNTR","GPINS",VLOOKUP(LEFT(A4403,6),'Code Library'!$A$3:$B$920,2,0))&amp;"_"&amp;RIGHT(A4403,3)</f>
        <v>#N/A</v>
      </c>
      <c r="I4403" s="66">
        <f t="shared" si="476"/>
        <v>0</v>
      </c>
      <c r="K4403" s="66" t="str">
        <f t="shared" si="477"/>
        <v/>
      </c>
      <c r="L4403" s="66" t="str">
        <f t="shared" si="478"/>
        <v/>
      </c>
      <c r="M4403" s="66" t="str">
        <f t="shared" si="479"/>
        <v/>
      </c>
      <c r="N4403" s="66" t="str">
        <f t="shared" si="480"/>
        <v/>
      </c>
      <c r="O4403" s="66" t="str">
        <f t="shared" si="481"/>
        <v/>
      </c>
      <c r="P4403" s="66" t="str">
        <f t="shared" si="482"/>
        <v/>
      </c>
    </row>
    <row r="4404" spans="8:16">
      <c r="H4404" s="66" t="e">
        <f>IF(LEFT(A4404,6)="CEPNTR","GPINS",VLOOKUP(LEFT(A4404,6),'Code Library'!$A$3:$B$920,2,0))&amp;"_"&amp;RIGHT(A4404,3)</f>
        <v>#N/A</v>
      </c>
      <c r="I4404" s="66">
        <f t="shared" si="476"/>
        <v>0</v>
      </c>
      <c r="K4404" s="66" t="str">
        <f t="shared" si="477"/>
        <v/>
      </c>
      <c r="L4404" s="66" t="str">
        <f t="shared" si="478"/>
        <v/>
      </c>
      <c r="M4404" s="66" t="str">
        <f t="shared" si="479"/>
        <v/>
      </c>
      <c r="N4404" s="66" t="str">
        <f t="shared" si="480"/>
        <v/>
      </c>
      <c r="O4404" s="66" t="str">
        <f t="shared" si="481"/>
        <v/>
      </c>
      <c r="P4404" s="66" t="str">
        <f t="shared" si="482"/>
        <v/>
      </c>
    </row>
    <row r="4405" spans="8:16">
      <c r="H4405" s="66" t="e">
        <f>IF(LEFT(A4405,6)="CEPNTR","GPINS",VLOOKUP(LEFT(A4405,6),'Code Library'!$A$3:$B$920,2,0))&amp;"_"&amp;RIGHT(A4405,3)</f>
        <v>#N/A</v>
      </c>
      <c r="I4405" s="66">
        <f t="shared" si="476"/>
        <v>0</v>
      </c>
      <c r="K4405" s="66" t="str">
        <f t="shared" si="477"/>
        <v/>
      </c>
      <c r="L4405" s="66" t="str">
        <f t="shared" si="478"/>
        <v/>
      </c>
      <c r="M4405" s="66" t="str">
        <f t="shared" si="479"/>
        <v/>
      </c>
      <c r="N4405" s="66" t="str">
        <f t="shared" si="480"/>
        <v/>
      </c>
      <c r="O4405" s="66" t="str">
        <f t="shared" si="481"/>
        <v/>
      </c>
      <c r="P4405" s="66" t="str">
        <f t="shared" si="482"/>
        <v/>
      </c>
    </row>
    <row r="4406" spans="8:16">
      <c r="H4406" s="66" t="e">
        <f>IF(LEFT(A4406,6)="CEPNTR","GPINS",VLOOKUP(LEFT(A4406,6),'Code Library'!$A$3:$B$920,2,0))&amp;"_"&amp;RIGHT(A4406,3)</f>
        <v>#N/A</v>
      </c>
      <c r="I4406" s="66">
        <f t="shared" si="476"/>
        <v>0</v>
      </c>
      <c r="K4406" s="66" t="str">
        <f t="shared" si="477"/>
        <v/>
      </c>
      <c r="L4406" s="66" t="str">
        <f t="shared" si="478"/>
        <v/>
      </c>
      <c r="M4406" s="66" t="str">
        <f t="shared" si="479"/>
        <v/>
      </c>
      <c r="N4406" s="66" t="str">
        <f t="shared" si="480"/>
        <v/>
      </c>
      <c r="O4406" s="66" t="str">
        <f t="shared" si="481"/>
        <v/>
      </c>
      <c r="P4406" s="66" t="str">
        <f t="shared" si="482"/>
        <v/>
      </c>
    </row>
    <row r="4407" spans="8:16">
      <c r="H4407" s="66" t="e">
        <f>IF(LEFT(A4407,6)="CEPNTR","GPINS",VLOOKUP(LEFT(A4407,6),'Code Library'!$A$3:$B$920,2,0))&amp;"_"&amp;RIGHT(A4407,3)</f>
        <v>#N/A</v>
      </c>
      <c r="I4407" s="66">
        <f t="shared" si="476"/>
        <v>0</v>
      </c>
      <c r="K4407" s="66" t="str">
        <f t="shared" si="477"/>
        <v/>
      </c>
      <c r="L4407" s="66" t="str">
        <f t="shared" si="478"/>
        <v/>
      </c>
      <c r="M4407" s="66" t="str">
        <f t="shared" si="479"/>
        <v/>
      </c>
      <c r="N4407" s="66" t="str">
        <f t="shared" si="480"/>
        <v/>
      </c>
      <c r="O4407" s="66" t="str">
        <f t="shared" si="481"/>
        <v/>
      </c>
      <c r="P4407" s="66" t="str">
        <f t="shared" si="482"/>
        <v/>
      </c>
    </row>
    <row r="4408" spans="8:16">
      <c r="H4408" s="66" t="e">
        <f>IF(LEFT(A4408,6)="CEPNTR","GPINS",VLOOKUP(LEFT(A4408,6),'Code Library'!$A$3:$B$920,2,0))&amp;"_"&amp;RIGHT(A4408,3)</f>
        <v>#N/A</v>
      </c>
      <c r="I4408" s="66">
        <f t="shared" si="476"/>
        <v>0</v>
      </c>
      <c r="K4408" s="66" t="str">
        <f t="shared" si="477"/>
        <v/>
      </c>
      <c r="L4408" s="66" t="str">
        <f t="shared" si="478"/>
        <v/>
      </c>
      <c r="M4408" s="66" t="str">
        <f t="shared" si="479"/>
        <v/>
      </c>
      <c r="N4408" s="66" t="str">
        <f t="shared" si="480"/>
        <v/>
      </c>
      <c r="O4408" s="66" t="str">
        <f t="shared" si="481"/>
        <v/>
      </c>
      <c r="P4408" s="66" t="str">
        <f t="shared" si="482"/>
        <v/>
      </c>
    </row>
    <row r="4409" spans="8:16">
      <c r="H4409" s="66" t="e">
        <f>IF(LEFT(A4409,6)="CEPNTR","GPINS",VLOOKUP(LEFT(A4409,6),'Code Library'!$A$3:$B$920,2,0))&amp;"_"&amp;RIGHT(A4409,3)</f>
        <v>#N/A</v>
      </c>
      <c r="I4409" s="66">
        <f t="shared" si="476"/>
        <v>0</v>
      </c>
      <c r="K4409" s="66" t="str">
        <f t="shared" si="477"/>
        <v/>
      </c>
      <c r="L4409" s="66" t="str">
        <f t="shared" si="478"/>
        <v/>
      </c>
      <c r="M4409" s="66" t="str">
        <f t="shared" si="479"/>
        <v/>
      </c>
      <c r="N4409" s="66" t="str">
        <f t="shared" si="480"/>
        <v/>
      </c>
      <c r="O4409" s="66" t="str">
        <f t="shared" si="481"/>
        <v/>
      </c>
      <c r="P4409" s="66" t="str">
        <f t="shared" si="482"/>
        <v/>
      </c>
    </row>
    <row r="4410" spans="8:16">
      <c r="H4410" s="66" t="e">
        <f>IF(LEFT(A4410,6)="CEPNTR","GPINS",VLOOKUP(LEFT(A4410,6),'Code Library'!$A$3:$B$920,2,0))&amp;"_"&amp;RIGHT(A4410,3)</f>
        <v>#N/A</v>
      </c>
      <c r="I4410" s="66">
        <f t="shared" si="476"/>
        <v>0</v>
      </c>
      <c r="K4410" s="66" t="str">
        <f t="shared" si="477"/>
        <v/>
      </c>
      <c r="L4410" s="66" t="str">
        <f t="shared" si="478"/>
        <v/>
      </c>
      <c r="M4410" s="66" t="str">
        <f t="shared" si="479"/>
        <v/>
      </c>
      <c r="N4410" s="66" t="str">
        <f t="shared" si="480"/>
        <v/>
      </c>
      <c r="O4410" s="66" t="str">
        <f t="shared" si="481"/>
        <v/>
      </c>
      <c r="P4410" s="66" t="str">
        <f t="shared" si="482"/>
        <v/>
      </c>
    </row>
    <row r="4411" spans="8:16">
      <c r="H4411" s="66" t="e">
        <f>IF(LEFT(A4411,6)="CEPNTR","GPINS",VLOOKUP(LEFT(A4411,6),'Code Library'!$A$3:$B$920,2,0))&amp;"_"&amp;RIGHT(A4411,3)</f>
        <v>#N/A</v>
      </c>
      <c r="I4411" s="66">
        <f t="shared" si="476"/>
        <v>0</v>
      </c>
      <c r="K4411" s="66" t="str">
        <f t="shared" si="477"/>
        <v/>
      </c>
      <c r="L4411" s="66" t="str">
        <f t="shared" si="478"/>
        <v/>
      </c>
      <c r="M4411" s="66" t="str">
        <f t="shared" si="479"/>
        <v/>
      </c>
      <c r="N4411" s="66" t="str">
        <f t="shared" si="480"/>
        <v/>
      </c>
      <c r="O4411" s="66" t="str">
        <f t="shared" si="481"/>
        <v/>
      </c>
      <c r="P4411" s="66" t="str">
        <f t="shared" si="482"/>
        <v/>
      </c>
    </row>
    <row r="4412" spans="8:16">
      <c r="H4412" s="66" t="e">
        <f>IF(LEFT(A4412,6)="CEPNTR","GPINS",VLOOKUP(LEFT(A4412,6),'Code Library'!$A$3:$B$920,2,0))&amp;"_"&amp;RIGHT(A4412,3)</f>
        <v>#N/A</v>
      </c>
      <c r="I4412" s="66">
        <f t="shared" si="476"/>
        <v>0</v>
      </c>
      <c r="K4412" s="66" t="str">
        <f t="shared" si="477"/>
        <v/>
      </c>
      <c r="L4412" s="66" t="str">
        <f t="shared" si="478"/>
        <v/>
      </c>
      <c r="M4412" s="66" t="str">
        <f t="shared" si="479"/>
        <v/>
      </c>
      <c r="N4412" s="66" t="str">
        <f t="shared" si="480"/>
        <v/>
      </c>
      <c r="O4412" s="66" t="str">
        <f t="shared" si="481"/>
        <v/>
      </c>
      <c r="P4412" s="66" t="str">
        <f t="shared" si="482"/>
        <v/>
      </c>
    </row>
    <row r="4413" spans="8:16">
      <c r="H4413" s="66" t="e">
        <f>IF(LEFT(A4413,6)="CEPNTR","GPINS",VLOOKUP(LEFT(A4413,6),'Code Library'!$A$3:$B$920,2,0))&amp;"_"&amp;RIGHT(A4413,3)</f>
        <v>#N/A</v>
      </c>
      <c r="I4413" s="66">
        <f t="shared" si="476"/>
        <v>0</v>
      </c>
      <c r="K4413" s="66" t="str">
        <f t="shared" si="477"/>
        <v/>
      </c>
      <c r="L4413" s="66" t="str">
        <f t="shared" si="478"/>
        <v/>
      </c>
      <c r="M4413" s="66" t="str">
        <f t="shared" si="479"/>
        <v/>
      </c>
      <c r="N4413" s="66" t="str">
        <f t="shared" si="480"/>
        <v/>
      </c>
      <c r="O4413" s="66" t="str">
        <f t="shared" si="481"/>
        <v/>
      </c>
      <c r="P4413" s="66" t="str">
        <f t="shared" si="482"/>
        <v/>
      </c>
    </row>
    <row r="4414" spans="8:16">
      <c r="H4414" s="66" t="e">
        <f>IF(LEFT(A4414,6)="CEPNTR","GPINS",VLOOKUP(LEFT(A4414,6),'Code Library'!$A$3:$B$920,2,0))&amp;"_"&amp;RIGHT(A4414,3)</f>
        <v>#N/A</v>
      </c>
      <c r="I4414" s="66">
        <f t="shared" si="476"/>
        <v>0</v>
      </c>
      <c r="K4414" s="66" t="str">
        <f t="shared" si="477"/>
        <v/>
      </c>
      <c r="L4414" s="66" t="str">
        <f t="shared" si="478"/>
        <v/>
      </c>
      <c r="M4414" s="66" t="str">
        <f t="shared" si="479"/>
        <v/>
      </c>
      <c r="N4414" s="66" t="str">
        <f t="shared" si="480"/>
        <v/>
      </c>
      <c r="O4414" s="66" t="str">
        <f t="shared" si="481"/>
        <v/>
      </c>
      <c r="P4414" s="66" t="str">
        <f t="shared" si="482"/>
        <v/>
      </c>
    </row>
    <row r="4415" spans="8:16">
      <c r="H4415" s="66" t="e">
        <f>IF(LEFT(A4415,6)="CEPNTR","GPINS",VLOOKUP(LEFT(A4415,6),'Code Library'!$A$3:$B$920,2,0))&amp;"_"&amp;RIGHT(A4415,3)</f>
        <v>#N/A</v>
      </c>
      <c r="I4415" s="66">
        <f t="shared" si="476"/>
        <v>0</v>
      </c>
      <c r="K4415" s="66" t="str">
        <f t="shared" si="477"/>
        <v/>
      </c>
      <c r="L4415" s="66" t="str">
        <f t="shared" si="478"/>
        <v/>
      </c>
      <c r="M4415" s="66" t="str">
        <f t="shared" si="479"/>
        <v/>
      </c>
      <c r="N4415" s="66" t="str">
        <f t="shared" si="480"/>
        <v/>
      </c>
      <c r="O4415" s="66" t="str">
        <f t="shared" si="481"/>
        <v/>
      </c>
      <c r="P4415" s="66" t="str">
        <f t="shared" si="482"/>
        <v/>
      </c>
    </row>
    <row r="4416" spans="8:16">
      <c r="H4416" s="66" t="e">
        <f>IF(LEFT(A4416,6)="CEPNTR","GPINS",VLOOKUP(LEFT(A4416,6),'Code Library'!$A$3:$B$920,2,0))&amp;"_"&amp;RIGHT(A4416,3)</f>
        <v>#N/A</v>
      </c>
      <c r="I4416" s="66">
        <f t="shared" si="476"/>
        <v>0</v>
      </c>
      <c r="K4416" s="66" t="str">
        <f t="shared" si="477"/>
        <v/>
      </c>
      <c r="L4416" s="66" t="str">
        <f t="shared" si="478"/>
        <v/>
      </c>
      <c r="M4416" s="66" t="str">
        <f t="shared" si="479"/>
        <v/>
      </c>
      <c r="N4416" s="66" t="str">
        <f t="shared" si="480"/>
        <v/>
      </c>
      <c r="O4416" s="66" t="str">
        <f t="shared" si="481"/>
        <v/>
      </c>
      <c r="P4416" s="66" t="str">
        <f t="shared" si="482"/>
        <v/>
      </c>
    </row>
    <row r="4417" spans="8:16">
      <c r="H4417" s="66" t="e">
        <f>IF(LEFT(A4417,6)="CEPNTR","GPINS",VLOOKUP(LEFT(A4417,6),'Code Library'!$A$3:$B$920,2,0))&amp;"_"&amp;RIGHT(A4417,3)</f>
        <v>#N/A</v>
      </c>
      <c r="I4417" s="66">
        <f t="shared" si="476"/>
        <v>0</v>
      </c>
      <c r="K4417" s="66" t="str">
        <f t="shared" si="477"/>
        <v/>
      </c>
      <c r="L4417" s="66" t="str">
        <f t="shared" si="478"/>
        <v/>
      </c>
      <c r="M4417" s="66" t="str">
        <f t="shared" si="479"/>
        <v/>
      </c>
      <c r="N4417" s="66" t="str">
        <f t="shared" si="480"/>
        <v/>
      </c>
      <c r="O4417" s="66" t="str">
        <f t="shared" si="481"/>
        <v/>
      </c>
      <c r="P4417" s="66" t="str">
        <f t="shared" si="482"/>
        <v/>
      </c>
    </row>
    <row r="4418" spans="8:16">
      <c r="H4418" s="66" t="e">
        <f>IF(LEFT(A4418,6)="CEPNTR","GPINS",VLOOKUP(LEFT(A4418,6),'Code Library'!$A$3:$B$920,2,0))&amp;"_"&amp;RIGHT(A4418,3)</f>
        <v>#N/A</v>
      </c>
      <c r="I4418" s="66">
        <f t="shared" si="476"/>
        <v>0</v>
      </c>
      <c r="K4418" s="66" t="str">
        <f t="shared" si="477"/>
        <v/>
      </c>
      <c r="L4418" s="66" t="str">
        <f t="shared" si="478"/>
        <v/>
      </c>
      <c r="M4418" s="66" t="str">
        <f t="shared" si="479"/>
        <v/>
      </c>
      <c r="N4418" s="66" t="str">
        <f t="shared" si="480"/>
        <v/>
      </c>
      <c r="O4418" s="66" t="str">
        <f t="shared" si="481"/>
        <v/>
      </c>
      <c r="P4418" s="66" t="str">
        <f t="shared" si="482"/>
        <v/>
      </c>
    </row>
    <row r="4419" spans="8:16">
      <c r="H4419" s="66" t="e">
        <f>IF(LEFT(A4419,6)="CEPNTR","GPINS",VLOOKUP(LEFT(A4419,6),'Code Library'!$A$3:$B$920,2,0))&amp;"_"&amp;RIGHT(A4419,3)</f>
        <v>#N/A</v>
      </c>
      <c r="I4419" s="66">
        <f t="shared" ref="I4419:I4482" si="483">A4419</f>
        <v>0</v>
      </c>
      <c r="K4419" s="66" t="str">
        <f t="shared" ref="K4419:K4482" si="484">RIGHT($B4419,2)</f>
        <v/>
      </c>
      <c r="L4419" s="66" t="str">
        <f t="shared" ref="L4419:L4482" si="485">LEFT(RIGHT($B4419,7),4)</f>
        <v/>
      </c>
      <c r="M4419" s="66" t="str">
        <f t="shared" ref="M4419:M4482" si="486">LEFT(RIGHT($B4419,10),2)</f>
        <v/>
      </c>
      <c r="N4419" s="66" t="str">
        <f t="shared" ref="N4419:N4482" si="487">LEFT(RIGHT($B4419,14),3)</f>
        <v/>
      </c>
      <c r="O4419" s="66" t="str">
        <f t="shared" ref="O4419:O4482" si="488">LEFT(RIGHT($B4419,16),1)</f>
        <v/>
      </c>
      <c r="P4419" s="66" t="str">
        <f t="shared" ref="P4419:P4482" si="489">LEFT(RIGHT($B4419,19),2)</f>
        <v/>
      </c>
    </row>
    <row r="4420" spans="8:16">
      <c r="H4420" s="66" t="e">
        <f>IF(LEFT(A4420,6)="CEPNTR","GPINS",VLOOKUP(LEFT(A4420,6),'Code Library'!$A$3:$B$920,2,0))&amp;"_"&amp;RIGHT(A4420,3)</f>
        <v>#N/A</v>
      </c>
      <c r="I4420" s="66">
        <f t="shared" si="483"/>
        <v>0</v>
      </c>
      <c r="K4420" s="66" t="str">
        <f t="shared" si="484"/>
        <v/>
      </c>
      <c r="L4420" s="66" t="str">
        <f t="shared" si="485"/>
        <v/>
      </c>
      <c r="M4420" s="66" t="str">
        <f t="shared" si="486"/>
        <v/>
      </c>
      <c r="N4420" s="66" t="str">
        <f t="shared" si="487"/>
        <v/>
      </c>
      <c r="O4420" s="66" t="str">
        <f t="shared" si="488"/>
        <v/>
      </c>
      <c r="P4420" s="66" t="str">
        <f t="shared" si="489"/>
        <v/>
      </c>
    </row>
    <row r="4421" spans="8:16">
      <c r="H4421" s="66" t="e">
        <f>IF(LEFT(A4421,6)="CEPNTR","GPINS",VLOOKUP(LEFT(A4421,6),'Code Library'!$A$3:$B$920,2,0))&amp;"_"&amp;RIGHT(A4421,3)</f>
        <v>#N/A</v>
      </c>
      <c r="I4421" s="66">
        <f t="shared" si="483"/>
        <v>0</v>
      </c>
      <c r="K4421" s="66" t="str">
        <f t="shared" si="484"/>
        <v/>
      </c>
      <c r="L4421" s="66" t="str">
        <f t="shared" si="485"/>
        <v/>
      </c>
      <c r="M4421" s="66" t="str">
        <f t="shared" si="486"/>
        <v/>
      </c>
      <c r="N4421" s="66" t="str">
        <f t="shared" si="487"/>
        <v/>
      </c>
      <c r="O4421" s="66" t="str">
        <f t="shared" si="488"/>
        <v/>
      </c>
      <c r="P4421" s="66" t="str">
        <f t="shared" si="489"/>
        <v/>
      </c>
    </row>
    <row r="4422" spans="8:16">
      <c r="H4422" s="66" t="e">
        <f>IF(LEFT(A4422,6)="CEPNTR","GPINS",VLOOKUP(LEFT(A4422,6),'Code Library'!$A$3:$B$920,2,0))&amp;"_"&amp;RIGHT(A4422,3)</f>
        <v>#N/A</v>
      </c>
      <c r="I4422" s="66">
        <f t="shared" si="483"/>
        <v>0</v>
      </c>
      <c r="K4422" s="66" t="str">
        <f t="shared" si="484"/>
        <v/>
      </c>
      <c r="L4422" s="66" t="str">
        <f t="shared" si="485"/>
        <v/>
      </c>
      <c r="M4422" s="66" t="str">
        <f t="shared" si="486"/>
        <v/>
      </c>
      <c r="N4422" s="66" t="str">
        <f t="shared" si="487"/>
        <v/>
      </c>
      <c r="O4422" s="66" t="str">
        <f t="shared" si="488"/>
        <v/>
      </c>
      <c r="P4422" s="66" t="str">
        <f t="shared" si="489"/>
        <v/>
      </c>
    </row>
    <row r="4423" spans="8:16">
      <c r="H4423" s="66" t="e">
        <f>IF(LEFT(A4423,6)="CEPNTR","GPINS",VLOOKUP(LEFT(A4423,6),'Code Library'!$A$3:$B$920,2,0))&amp;"_"&amp;RIGHT(A4423,3)</f>
        <v>#N/A</v>
      </c>
      <c r="I4423" s="66">
        <f t="shared" si="483"/>
        <v>0</v>
      </c>
      <c r="K4423" s="66" t="str">
        <f t="shared" si="484"/>
        <v/>
      </c>
      <c r="L4423" s="66" t="str">
        <f t="shared" si="485"/>
        <v/>
      </c>
      <c r="M4423" s="66" t="str">
        <f t="shared" si="486"/>
        <v/>
      </c>
      <c r="N4423" s="66" t="str">
        <f t="shared" si="487"/>
        <v/>
      </c>
      <c r="O4423" s="66" t="str">
        <f t="shared" si="488"/>
        <v/>
      </c>
      <c r="P4423" s="66" t="str">
        <f t="shared" si="489"/>
        <v/>
      </c>
    </row>
    <row r="4424" spans="8:16">
      <c r="H4424" s="66" t="e">
        <f>IF(LEFT(A4424,6)="CEPNTR","GPINS",VLOOKUP(LEFT(A4424,6),'Code Library'!$A$3:$B$920,2,0))&amp;"_"&amp;RIGHT(A4424,3)</f>
        <v>#N/A</v>
      </c>
      <c r="I4424" s="66">
        <f t="shared" si="483"/>
        <v>0</v>
      </c>
      <c r="K4424" s="66" t="str">
        <f t="shared" si="484"/>
        <v/>
      </c>
      <c r="L4424" s="66" t="str">
        <f t="shared" si="485"/>
        <v/>
      </c>
      <c r="M4424" s="66" t="str">
        <f t="shared" si="486"/>
        <v/>
      </c>
      <c r="N4424" s="66" t="str">
        <f t="shared" si="487"/>
        <v/>
      </c>
      <c r="O4424" s="66" t="str">
        <f t="shared" si="488"/>
        <v/>
      </c>
      <c r="P4424" s="66" t="str">
        <f t="shared" si="489"/>
        <v/>
      </c>
    </row>
    <row r="4425" spans="8:16">
      <c r="H4425" s="66" t="e">
        <f>IF(LEFT(A4425,6)="CEPNTR","GPINS",VLOOKUP(LEFT(A4425,6),'Code Library'!$A$3:$B$920,2,0))&amp;"_"&amp;RIGHT(A4425,3)</f>
        <v>#N/A</v>
      </c>
      <c r="I4425" s="66">
        <f t="shared" si="483"/>
        <v>0</v>
      </c>
      <c r="K4425" s="66" t="str">
        <f t="shared" si="484"/>
        <v/>
      </c>
      <c r="L4425" s="66" t="str">
        <f t="shared" si="485"/>
        <v/>
      </c>
      <c r="M4425" s="66" t="str">
        <f t="shared" si="486"/>
        <v/>
      </c>
      <c r="N4425" s="66" t="str">
        <f t="shared" si="487"/>
        <v/>
      </c>
      <c r="O4425" s="66" t="str">
        <f t="shared" si="488"/>
        <v/>
      </c>
      <c r="P4425" s="66" t="str">
        <f t="shared" si="489"/>
        <v/>
      </c>
    </row>
    <row r="4426" spans="8:16">
      <c r="H4426" s="66" t="e">
        <f>IF(LEFT(A4426,6)="CEPNTR","GPINS",VLOOKUP(LEFT(A4426,6),'Code Library'!$A$3:$B$920,2,0))&amp;"_"&amp;RIGHT(A4426,3)</f>
        <v>#N/A</v>
      </c>
      <c r="I4426" s="66">
        <f t="shared" si="483"/>
        <v>0</v>
      </c>
      <c r="K4426" s="66" t="str">
        <f t="shared" si="484"/>
        <v/>
      </c>
      <c r="L4426" s="66" t="str">
        <f t="shared" si="485"/>
        <v/>
      </c>
      <c r="M4426" s="66" t="str">
        <f t="shared" si="486"/>
        <v/>
      </c>
      <c r="N4426" s="66" t="str">
        <f t="shared" si="487"/>
        <v/>
      </c>
      <c r="O4426" s="66" t="str">
        <f t="shared" si="488"/>
        <v/>
      </c>
      <c r="P4426" s="66" t="str">
        <f t="shared" si="489"/>
        <v/>
      </c>
    </row>
    <row r="4427" spans="8:16">
      <c r="H4427" s="66" t="e">
        <f>IF(LEFT(A4427,6)="CEPNTR","GPINS",VLOOKUP(LEFT(A4427,6),'Code Library'!$A$3:$B$920,2,0))&amp;"_"&amp;RIGHT(A4427,3)</f>
        <v>#N/A</v>
      </c>
      <c r="I4427" s="66">
        <f t="shared" si="483"/>
        <v>0</v>
      </c>
      <c r="K4427" s="66" t="str">
        <f t="shared" si="484"/>
        <v/>
      </c>
      <c r="L4427" s="66" t="str">
        <f t="shared" si="485"/>
        <v/>
      </c>
      <c r="M4427" s="66" t="str">
        <f t="shared" si="486"/>
        <v/>
      </c>
      <c r="N4427" s="66" t="str">
        <f t="shared" si="487"/>
        <v/>
      </c>
      <c r="O4427" s="66" t="str">
        <f t="shared" si="488"/>
        <v/>
      </c>
      <c r="P4427" s="66" t="str">
        <f t="shared" si="489"/>
        <v/>
      </c>
    </row>
    <row r="4428" spans="8:16">
      <c r="H4428" s="66" t="e">
        <f>IF(LEFT(A4428,6)="CEPNTR","GPINS",VLOOKUP(LEFT(A4428,6),'Code Library'!$A$3:$B$920,2,0))&amp;"_"&amp;RIGHT(A4428,3)</f>
        <v>#N/A</v>
      </c>
      <c r="I4428" s="66">
        <f t="shared" si="483"/>
        <v>0</v>
      </c>
      <c r="K4428" s="66" t="str">
        <f t="shared" si="484"/>
        <v/>
      </c>
      <c r="L4428" s="66" t="str">
        <f t="shared" si="485"/>
        <v/>
      </c>
      <c r="M4428" s="66" t="str">
        <f t="shared" si="486"/>
        <v/>
      </c>
      <c r="N4428" s="66" t="str">
        <f t="shared" si="487"/>
        <v/>
      </c>
      <c r="O4428" s="66" t="str">
        <f t="shared" si="488"/>
        <v/>
      </c>
      <c r="P4428" s="66" t="str">
        <f t="shared" si="489"/>
        <v/>
      </c>
    </row>
    <row r="4429" spans="8:16">
      <c r="H4429" s="66" t="e">
        <f>IF(LEFT(A4429,6)="CEPNTR","GPINS",VLOOKUP(LEFT(A4429,6),'Code Library'!$A$3:$B$920,2,0))&amp;"_"&amp;RIGHT(A4429,3)</f>
        <v>#N/A</v>
      </c>
      <c r="I4429" s="66">
        <f t="shared" si="483"/>
        <v>0</v>
      </c>
      <c r="K4429" s="66" t="str">
        <f t="shared" si="484"/>
        <v/>
      </c>
      <c r="L4429" s="66" t="str">
        <f t="shared" si="485"/>
        <v/>
      </c>
      <c r="M4429" s="66" t="str">
        <f t="shared" si="486"/>
        <v/>
      </c>
      <c r="N4429" s="66" t="str">
        <f t="shared" si="487"/>
        <v/>
      </c>
      <c r="O4429" s="66" t="str">
        <f t="shared" si="488"/>
        <v/>
      </c>
      <c r="P4429" s="66" t="str">
        <f t="shared" si="489"/>
        <v/>
      </c>
    </row>
    <row r="4430" spans="8:16">
      <c r="H4430" s="66" t="e">
        <f>IF(LEFT(A4430,6)="CEPNTR","GPINS",VLOOKUP(LEFT(A4430,6),'Code Library'!$A$3:$B$920,2,0))&amp;"_"&amp;RIGHT(A4430,3)</f>
        <v>#N/A</v>
      </c>
      <c r="I4430" s="66">
        <f t="shared" si="483"/>
        <v>0</v>
      </c>
      <c r="K4430" s="66" t="str">
        <f t="shared" si="484"/>
        <v/>
      </c>
      <c r="L4430" s="66" t="str">
        <f t="shared" si="485"/>
        <v/>
      </c>
      <c r="M4430" s="66" t="str">
        <f t="shared" si="486"/>
        <v/>
      </c>
      <c r="N4430" s="66" t="str">
        <f t="shared" si="487"/>
        <v/>
      </c>
      <c r="O4430" s="66" t="str">
        <f t="shared" si="488"/>
        <v/>
      </c>
      <c r="P4430" s="66" t="str">
        <f t="shared" si="489"/>
        <v/>
      </c>
    </row>
    <row r="4431" spans="8:16">
      <c r="H4431" s="66" t="e">
        <f>IF(LEFT(A4431,6)="CEPNTR","GPINS",VLOOKUP(LEFT(A4431,6),'Code Library'!$A$3:$B$920,2,0))&amp;"_"&amp;RIGHT(A4431,3)</f>
        <v>#N/A</v>
      </c>
      <c r="I4431" s="66">
        <f t="shared" si="483"/>
        <v>0</v>
      </c>
      <c r="K4431" s="66" t="str">
        <f t="shared" si="484"/>
        <v/>
      </c>
      <c r="L4431" s="66" t="str">
        <f t="shared" si="485"/>
        <v/>
      </c>
      <c r="M4431" s="66" t="str">
        <f t="shared" si="486"/>
        <v/>
      </c>
      <c r="N4431" s="66" t="str">
        <f t="shared" si="487"/>
        <v/>
      </c>
      <c r="O4431" s="66" t="str">
        <f t="shared" si="488"/>
        <v/>
      </c>
      <c r="P4431" s="66" t="str">
        <f t="shared" si="489"/>
        <v/>
      </c>
    </row>
    <row r="4432" spans="8:16">
      <c r="H4432" s="66" t="e">
        <f>IF(LEFT(A4432,6)="CEPNTR","GPINS",VLOOKUP(LEFT(A4432,6),'Code Library'!$A$3:$B$920,2,0))&amp;"_"&amp;RIGHT(A4432,3)</f>
        <v>#N/A</v>
      </c>
      <c r="I4432" s="66">
        <f t="shared" si="483"/>
        <v>0</v>
      </c>
      <c r="K4432" s="66" t="str">
        <f t="shared" si="484"/>
        <v/>
      </c>
      <c r="L4432" s="66" t="str">
        <f t="shared" si="485"/>
        <v/>
      </c>
      <c r="M4432" s="66" t="str">
        <f t="shared" si="486"/>
        <v/>
      </c>
      <c r="N4432" s="66" t="str">
        <f t="shared" si="487"/>
        <v/>
      </c>
      <c r="O4432" s="66" t="str">
        <f t="shared" si="488"/>
        <v/>
      </c>
      <c r="P4432" s="66" t="str">
        <f t="shared" si="489"/>
        <v/>
      </c>
    </row>
    <row r="4433" spans="8:16">
      <c r="H4433" s="66" t="e">
        <f>IF(LEFT(A4433,6)="CEPNTR","GPINS",VLOOKUP(LEFT(A4433,6),'Code Library'!$A$3:$B$920,2,0))&amp;"_"&amp;RIGHT(A4433,3)</f>
        <v>#N/A</v>
      </c>
      <c r="I4433" s="66">
        <f t="shared" si="483"/>
        <v>0</v>
      </c>
      <c r="K4433" s="66" t="str">
        <f t="shared" si="484"/>
        <v/>
      </c>
      <c r="L4433" s="66" t="str">
        <f t="shared" si="485"/>
        <v/>
      </c>
      <c r="M4433" s="66" t="str">
        <f t="shared" si="486"/>
        <v/>
      </c>
      <c r="N4433" s="66" t="str">
        <f t="shared" si="487"/>
        <v/>
      </c>
      <c r="O4433" s="66" t="str">
        <f t="shared" si="488"/>
        <v/>
      </c>
      <c r="P4433" s="66" t="str">
        <f t="shared" si="489"/>
        <v/>
      </c>
    </row>
    <row r="4434" spans="8:16">
      <c r="H4434" s="66" t="e">
        <f>IF(LEFT(A4434,6)="CEPNTR","GPINS",VLOOKUP(LEFT(A4434,6),'Code Library'!$A$3:$B$920,2,0))&amp;"_"&amp;RIGHT(A4434,3)</f>
        <v>#N/A</v>
      </c>
      <c r="I4434" s="66">
        <f t="shared" si="483"/>
        <v>0</v>
      </c>
      <c r="K4434" s="66" t="str">
        <f t="shared" si="484"/>
        <v/>
      </c>
      <c r="L4434" s="66" t="str">
        <f t="shared" si="485"/>
        <v/>
      </c>
      <c r="M4434" s="66" t="str">
        <f t="shared" si="486"/>
        <v/>
      </c>
      <c r="N4434" s="66" t="str">
        <f t="shared" si="487"/>
        <v/>
      </c>
      <c r="O4434" s="66" t="str">
        <f t="shared" si="488"/>
        <v/>
      </c>
      <c r="P4434" s="66" t="str">
        <f t="shared" si="489"/>
        <v/>
      </c>
    </row>
    <row r="4435" spans="8:16">
      <c r="H4435" s="66" t="e">
        <f>IF(LEFT(A4435,6)="CEPNTR","GPINS",VLOOKUP(LEFT(A4435,6),'Code Library'!$A$3:$B$920,2,0))&amp;"_"&amp;RIGHT(A4435,3)</f>
        <v>#N/A</v>
      </c>
      <c r="I4435" s="66">
        <f t="shared" si="483"/>
        <v>0</v>
      </c>
      <c r="K4435" s="66" t="str">
        <f t="shared" si="484"/>
        <v/>
      </c>
      <c r="L4435" s="66" t="str">
        <f t="shared" si="485"/>
        <v/>
      </c>
      <c r="M4435" s="66" t="str">
        <f t="shared" si="486"/>
        <v/>
      </c>
      <c r="N4435" s="66" t="str">
        <f t="shared" si="487"/>
        <v/>
      </c>
      <c r="O4435" s="66" t="str">
        <f t="shared" si="488"/>
        <v/>
      </c>
      <c r="P4435" s="66" t="str">
        <f t="shared" si="489"/>
        <v/>
      </c>
    </row>
    <row r="4436" spans="8:16">
      <c r="H4436" s="66" t="e">
        <f>IF(LEFT(A4436,6)="CEPNTR","GPINS",VLOOKUP(LEFT(A4436,6),'Code Library'!$A$3:$B$920,2,0))&amp;"_"&amp;RIGHT(A4436,3)</f>
        <v>#N/A</v>
      </c>
      <c r="I4436" s="66">
        <f t="shared" si="483"/>
        <v>0</v>
      </c>
      <c r="K4436" s="66" t="str">
        <f t="shared" si="484"/>
        <v/>
      </c>
      <c r="L4436" s="66" t="str">
        <f t="shared" si="485"/>
        <v/>
      </c>
      <c r="M4436" s="66" t="str">
        <f t="shared" si="486"/>
        <v/>
      </c>
      <c r="N4436" s="66" t="str">
        <f t="shared" si="487"/>
        <v/>
      </c>
      <c r="O4436" s="66" t="str">
        <f t="shared" si="488"/>
        <v/>
      </c>
      <c r="P4436" s="66" t="str">
        <f t="shared" si="489"/>
        <v/>
      </c>
    </row>
    <row r="4437" spans="8:16">
      <c r="H4437" s="66" t="e">
        <f>IF(LEFT(A4437,6)="CEPNTR","GPINS",VLOOKUP(LEFT(A4437,6),'Code Library'!$A$3:$B$920,2,0))&amp;"_"&amp;RIGHT(A4437,3)</f>
        <v>#N/A</v>
      </c>
      <c r="I4437" s="66">
        <f t="shared" si="483"/>
        <v>0</v>
      </c>
      <c r="K4437" s="66" t="str">
        <f t="shared" si="484"/>
        <v/>
      </c>
      <c r="L4437" s="66" t="str">
        <f t="shared" si="485"/>
        <v/>
      </c>
      <c r="M4437" s="66" t="str">
        <f t="shared" si="486"/>
        <v/>
      </c>
      <c r="N4437" s="66" t="str">
        <f t="shared" si="487"/>
        <v/>
      </c>
      <c r="O4437" s="66" t="str">
        <f t="shared" si="488"/>
        <v/>
      </c>
      <c r="P4437" s="66" t="str">
        <f t="shared" si="489"/>
        <v/>
      </c>
    </row>
    <row r="4438" spans="8:16">
      <c r="H4438" s="66" t="e">
        <f>IF(LEFT(A4438,6)="CEPNTR","GPINS",VLOOKUP(LEFT(A4438,6),'Code Library'!$A$3:$B$920,2,0))&amp;"_"&amp;RIGHT(A4438,3)</f>
        <v>#N/A</v>
      </c>
      <c r="I4438" s="66">
        <f t="shared" si="483"/>
        <v>0</v>
      </c>
      <c r="K4438" s="66" t="str">
        <f t="shared" si="484"/>
        <v/>
      </c>
      <c r="L4438" s="66" t="str">
        <f t="shared" si="485"/>
        <v/>
      </c>
      <c r="M4438" s="66" t="str">
        <f t="shared" si="486"/>
        <v/>
      </c>
      <c r="N4438" s="66" t="str">
        <f t="shared" si="487"/>
        <v/>
      </c>
      <c r="O4438" s="66" t="str">
        <f t="shared" si="488"/>
        <v/>
      </c>
      <c r="P4438" s="66" t="str">
        <f t="shared" si="489"/>
        <v/>
      </c>
    </row>
    <row r="4439" spans="8:16">
      <c r="H4439" s="66" t="e">
        <f>IF(LEFT(A4439,6)="CEPNTR","GPINS",VLOOKUP(LEFT(A4439,6),'Code Library'!$A$3:$B$920,2,0))&amp;"_"&amp;RIGHT(A4439,3)</f>
        <v>#N/A</v>
      </c>
      <c r="I4439" s="66">
        <f t="shared" si="483"/>
        <v>0</v>
      </c>
      <c r="K4439" s="66" t="str">
        <f t="shared" si="484"/>
        <v/>
      </c>
      <c r="L4439" s="66" t="str">
        <f t="shared" si="485"/>
        <v/>
      </c>
      <c r="M4439" s="66" t="str">
        <f t="shared" si="486"/>
        <v/>
      </c>
      <c r="N4439" s="66" t="str">
        <f t="shared" si="487"/>
        <v/>
      </c>
      <c r="O4439" s="66" t="str">
        <f t="shared" si="488"/>
        <v/>
      </c>
      <c r="P4439" s="66" t="str">
        <f t="shared" si="489"/>
        <v/>
      </c>
    </row>
    <row r="4440" spans="8:16">
      <c r="H4440" s="66" t="e">
        <f>IF(LEFT(A4440,6)="CEPNTR","GPINS",VLOOKUP(LEFT(A4440,6),'Code Library'!$A$3:$B$920,2,0))&amp;"_"&amp;RIGHT(A4440,3)</f>
        <v>#N/A</v>
      </c>
      <c r="I4440" s="66">
        <f t="shared" si="483"/>
        <v>0</v>
      </c>
      <c r="K4440" s="66" t="str">
        <f t="shared" si="484"/>
        <v/>
      </c>
      <c r="L4440" s="66" t="str">
        <f t="shared" si="485"/>
        <v/>
      </c>
      <c r="M4440" s="66" t="str">
        <f t="shared" si="486"/>
        <v/>
      </c>
      <c r="N4440" s="66" t="str">
        <f t="shared" si="487"/>
        <v/>
      </c>
      <c r="O4440" s="66" t="str">
        <f t="shared" si="488"/>
        <v/>
      </c>
      <c r="P4440" s="66" t="str">
        <f t="shared" si="489"/>
        <v/>
      </c>
    </row>
    <row r="4441" spans="8:16">
      <c r="H4441" s="66" t="e">
        <f>IF(LEFT(A4441,6)="CEPNTR","GPINS",VLOOKUP(LEFT(A4441,6),'Code Library'!$A$3:$B$920,2,0))&amp;"_"&amp;RIGHT(A4441,3)</f>
        <v>#N/A</v>
      </c>
      <c r="I4441" s="66">
        <f t="shared" si="483"/>
        <v>0</v>
      </c>
      <c r="K4441" s="66" t="str">
        <f t="shared" si="484"/>
        <v/>
      </c>
      <c r="L4441" s="66" t="str">
        <f t="shared" si="485"/>
        <v/>
      </c>
      <c r="M4441" s="66" t="str">
        <f t="shared" si="486"/>
        <v/>
      </c>
      <c r="N4441" s="66" t="str">
        <f t="shared" si="487"/>
        <v/>
      </c>
      <c r="O4441" s="66" t="str">
        <f t="shared" si="488"/>
        <v/>
      </c>
      <c r="P4441" s="66" t="str">
        <f t="shared" si="489"/>
        <v/>
      </c>
    </row>
    <row r="4442" spans="8:16">
      <c r="H4442" s="66" t="e">
        <f>IF(LEFT(A4442,6)="CEPNTR","GPINS",VLOOKUP(LEFT(A4442,6),'Code Library'!$A$3:$B$920,2,0))&amp;"_"&amp;RIGHT(A4442,3)</f>
        <v>#N/A</v>
      </c>
      <c r="I4442" s="66">
        <f t="shared" si="483"/>
        <v>0</v>
      </c>
      <c r="K4442" s="66" t="str">
        <f t="shared" si="484"/>
        <v/>
      </c>
      <c r="L4442" s="66" t="str">
        <f t="shared" si="485"/>
        <v/>
      </c>
      <c r="M4442" s="66" t="str">
        <f t="shared" si="486"/>
        <v/>
      </c>
      <c r="N4442" s="66" t="str">
        <f t="shared" si="487"/>
        <v/>
      </c>
      <c r="O4442" s="66" t="str">
        <f t="shared" si="488"/>
        <v/>
      </c>
      <c r="P4442" s="66" t="str">
        <f t="shared" si="489"/>
        <v/>
      </c>
    </row>
    <row r="4443" spans="8:16">
      <c r="H4443" s="66" t="e">
        <f>IF(LEFT(A4443,6)="CEPNTR","GPINS",VLOOKUP(LEFT(A4443,6),'Code Library'!$A$3:$B$920,2,0))&amp;"_"&amp;RIGHT(A4443,3)</f>
        <v>#N/A</v>
      </c>
      <c r="I4443" s="66">
        <f t="shared" si="483"/>
        <v>0</v>
      </c>
      <c r="K4443" s="66" t="str">
        <f t="shared" si="484"/>
        <v/>
      </c>
      <c r="L4443" s="66" t="str">
        <f t="shared" si="485"/>
        <v/>
      </c>
      <c r="M4443" s="66" t="str">
        <f t="shared" si="486"/>
        <v/>
      </c>
      <c r="N4443" s="66" t="str">
        <f t="shared" si="487"/>
        <v/>
      </c>
      <c r="O4443" s="66" t="str">
        <f t="shared" si="488"/>
        <v/>
      </c>
      <c r="P4443" s="66" t="str">
        <f t="shared" si="489"/>
        <v/>
      </c>
    </row>
    <row r="4444" spans="8:16">
      <c r="H4444" s="66" t="e">
        <f>IF(LEFT(A4444,6)="CEPNTR","GPINS",VLOOKUP(LEFT(A4444,6),'Code Library'!$A$3:$B$920,2,0))&amp;"_"&amp;RIGHT(A4444,3)</f>
        <v>#N/A</v>
      </c>
      <c r="I4444" s="66">
        <f t="shared" si="483"/>
        <v>0</v>
      </c>
      <c r="K4444" s="66" t="str">
        <f t="shared" si="484"/>
        <v/>
      </c>
      <c r="L4444" s="66" t="str">
        <f t="shared" si="485"/>
        <v/>
      </c>
      <c r="M4444" s="66" t="str">
        <f t="shared" si="486"/>
        <v/>
      </c>
      <c r="N4444" s="66" t="str">
        <f t="shared" si="487"/>
        <v/>
      </c>
      <c r="O4444" s="66" t="str">
        <f t="shared" si="488"/>
        <v/>
      </c>
      <c r="P4444" s="66" t="str">
        <f t="shared" si="489"/>
        <v/>
      </c>
    </row>
    <row r="4445" spans="8:16">
      <c r="H4445" s="66" t="e">
        <f>IF(LEFT(A4445,6)="CEPNTR","GPINS",VLOOKUP(LEFT(A4445,6),'Code Library'!$A$3:$B$920,2,0))&amp;"_"&amp;RIGHT(A4445,3)</f>
        <v>#N/A</v>
      </c>
      <c r="I4445" s="66">
        <f t="shared" si="483"/>
        <v>0</v>
      </c>
      <c r="K4445" s="66" t="str">
        <f t="shared" si="484"/>
        <v/>
      </c>
      <c r="L4445" s="66" t="str">
        <f t="shared" si="485"/>
        <v/>
      </c>
      <c r="M4445" s="66" t="str">
        <f t="shared" si="486"/>
        <v/>
      </c>
      <c r="N4445" s="66" t="str">
        <f t="shared" si="487"/>
        <v/>
      </c>
      <c r="O4445" s="66" t="str">
        <f t="shared" si="488"/>
        <v/>
      </c>
      <c r="P4445" s="66" t="str">
        <f t="shared" si="489"/>
        <v/>
      </c>
    </row>
    <row r="4446" spans="8:16">
      <c r="H4446" s="66" t="e">
        <f>IF(LEFT(A4446,6)="CEPNTR","GPINS",VLOOKUP(LEFT(A4446,6),'Code Library'!$A$3:$B$920,2,0))&amp;"_"&amp;RIGHT(A4446,3)</f>
        <v>#N/A</v>
      </c>
      <c r="I4446" s="66">
        <f t="shared" si="483"/>
        <v>0</v>
      </c>
      <c r="K4446" s="66" t="str">
        <f t="shared" si="484"/>
        <v/>
      </c>
      <c r="L4446" s="66" t="str">
        <f t="shared" si="485"/>
        <v/>
      </c>
      <c r="M4446" s="66" t="str">
        <f t="shared" si="486"/>
        <v/>
      </c>
      <c r="N4446" s="66" t="str">
        <f t="shared" si="487"/>
        <v/>
      </c>
      <c r="O4446" s="66" t="str">
        <f t="shared" si="488"/>
        <v/>
      </c>
      <c r="P4446" s="66" t="str">
        <f t="shared" si="489"/>
        <v/>
      </c>
    </row>
    <row r="4447" spans="8:16">
      <c r="H4447" s="66" t="e">
        <f>IF(LEFT(A4447,6)="CEPNTR","GPINS",VLOOKUP(LEFT(A4447,6),'Code Library'!$A$3:$B$920,2,0))&amp;"_"&amp;RIGHT(A4447,3)</f>
        <v>#N/A</v>
      </c>
      <c r="I4447" s="66">
        <f t="shared" si="483"/>
        <v>0</v>
      </c>
      <c r="K4447" s="66" t="str">
        <f t="shared" si="484"/>
        <v/>
      </c>
      <c r="L4447" s="66" t="str">
        <f t="shared" si="485"/>
        <v/>
      </c>
      <c r="M4447" s="66" t="str">
        <f t="shared" si="486"/>
        <v/>
      </c>
      <c r="N4447" s="66" t="str">
        <f t="shared" si="487"/>
        <v/>
      </c>
      <c r="O4447" s="66" t="str">
        <f t="shared" si="488"/>
        <v/>
      </c>
      <c r="P4447" s="66" t="str">
        <f t="shared" si="489"/>
        <v/>
      </c>
    </row>
    <row r="4448" spans="8:16">
      <c r="H4448" s="66" t="e">
        <f>IF(LEFT(A4448,6)="CEPNTR","GPINS",VLOOKUP(LEFT(A4448,6),'Code Library'!$A$3:$B$920,2,0))&amp;"_"&amp;RIGHT(A4448,3)</f>
        <v>#N/A</v>
      </c>
      <c r="I4448" s="66">
        <f t="shared" si="483"/>
        <v>0</v>
      </c>
      <c r="K4448" s="66" t="str">
        <f t="shared" si="484"/>
        <v/>
      </c>
      <c r="L4448" s="66" t="str">
        <f t="shared" si="485"/>
        <v/>
      </c>
      <c r="M4448" s="66" t="str">
        <f t="shared" si="486"/>
        <v/>
      </c>
      <c r="N4448" s="66" t="str">
        <f t="shared" si="487"/>
        <v/>
      </c>
      <c r="O4448" s="66" t="str">
        <f t="shared" si="488"/>
        <v/>
      </c>
      <c r="P4448" s="66" t="str">
        <f t="shared" si="489"/>
        <v/>
      </c>
    </row>
    <row r="4449" spans="8:16">
      <c r="H4449" s="66" t="e">
        <f>IF(LEFT(A4449,6)="CEPNTR","GPINS",VLOOKUP(LEFT(A4449,6),'Code Library'!$A$3:$B$920,2,0))&amp;"_"&amp;RIGHT(A4449,3)</f>
        <v>#N/A</v>
      </c>
      <c r="I4449" s="66">
        <f t="shared" si="483"/>
        <v>0</v>
      </c>
      <c r="K4449" s="66" t="str">
        <f t="shared" si="484"/>
        <v/>
      </c>
      <c r="L4449" s="66" t="str">
        <f t="shared" si="485"/>
        <v/>
      </c>
      <c r="M4449" s="66" t="str">
        <f t="shared" si="486"/>
        <v/>
      </c>
      <c r="N4449" s="66" t="str">
        <f t="shared" si="487"/>
        <v/>
      </c>
      <c r="O4449" s="66" t="str">
        <f t="shared" si="488"/>
        <v/>
      </c>
      <c r="P4449" s="66" t="str">
        <f t="shared" si="489"/>
        <v/>
      </c>
    </row>
    <row r="4450" spans="8:16">
      <c r="H4450" s="66" t="e">
        <f>IF(LEFT(A4450,6)="CEPNTR","GPINS",VLOOKUP(LEFT(A4450,6),'Code Library'!$A$3:$B$920,2,0))&amp;"_"&amp;RIGHT(A4450,3)</f>
        <v>#N/A</v>
      </c>
      <c r="I4450" s="66">
        <f t="shared" si="483"/>
        <v>0</v>
      </c>
      <c r="K4450" s="66" t="str">
        <f t="shared" si="484"/>
        <v/>
      </c>
      <c r="L4450" s="66" t="str">
        <f t="shared" si="485"/>
        <v/>
      </c>
      <c r="M4450" s="66" t="str">
        <f t="shared" si="486"/>
        <v/>
      </c>
      <c r="N4450" s="66" t="str">
        <f t="shared" si="487"/>
        <v/>
      </c>
      <c r="O4450" s="66" t="str">
        <f t="shared" si="488"/>
        <v/>
      </c>
      <c r="P4450" s="66" t="str">
        <f t="shared" si="489"/>
        <v/>
      </c>
    </row>
    <row r="4451" spans="8:16">
      <c r="H4451" s="66" t="e">
        <f>IF(LEFT(A4451,6)="CEPNTR","GPINS",VLOOKUP(LEFT(A4451,6),'Code Library'!$A$3:$B$920,2,0))&amp;"_"&amp;RIGHT(A4451,3)</f>
        <v>#N/A</v>
      </c>
      <c r="I4451" s="66">
        <f t="shared" si="483"/>
        <v>0</v>
      </c>
      <c r="K4451" s="66" t="str">
        <f t="shared" si="484"/>
        <v/>
      </c>
      <c r="L4451" s="66" t="str">
        <f t="shared" si="485"/>
        <v/>
      </c>
      <c r="M4451" s="66" t="str">
        <f t="shared" si="486"/>
        <v/>
      </c>
      <c r="N4451" s="66" t="str">
        <f t="shared" si="487"/>
        <v/>
      </c>
      <c r="O4451" s="66" t="str">
        <f t="shared" si="488"/>
        <v/>
      </c>
      <c r="P4451" s="66" t="str">
        <f t="shared" si="489"/>
        <v/>
      </c>
    </row>
    <row r="4452" spans="8:16">
      <c r="H4452" s="66" t="e">
        <f>IF(LEFT(A4452,6)="CEPNTR","GPINS",VLOOKUP(LEFT(A4452,6),'Code Library'!$A$3:$B$920,2,0))&amp;"_"&amp;RIGHT(A4452,3)</f>
        <v>#N/A</v>
      </c>
      <c r="I4452" s="66">
        <f t="shared" si="483"/>
        <v>0</v>
      </c>
      <c r="K4452" s="66" t="str">
        <f t="shared" si="484"/>
        <v/>
      </c>
      <c r="L4452" s="66" t="str">
        <f t="shared" si="485"/>
        <v/>
      </c>
      <c r="M4452" s="66" t="str">
        <f t="shared" si="486"/>
        <v/>
      </c>
      <c r="N4452" s="66" t="str">
        <f t="shared" si="487"/>
        <v/>
      </c>
      <c r="O4452" s="66" t="str">
        <f t="shared" si="488"/>
        <v/>
      </c>
      <c r="P4452" s="66" t="str">
        <f t="shared" si="489"/>
        <v/>
      </c>
    </row>
    <row r="4453" spans="8:16">
      <c r="H4453" s="66" t="e">
        <f>IF(LEFT(A4453,6)="CEPNTR","GPINS",VLOOKUP(LEFT(A4453,6),'Code Library'!$A$3:$B$920,2,0))&amp;"_"&amp;RIGHT(A4453,3)</f>
        <v>#N/A</v>
      </c>
      <c r="I4453" s="66">
        <f t="shared" si="483"/>
        <v>0</v>
      </c>
      <c r="K4453" s="66" t="str">
        <f t="shared" si="484"/>
        <v/>
      </c>
      <c r="L4453" s="66" t="str">
        <f t="shared" si="485"/>
        <v/>
      </c>
      <c r="M4453" s="66" t="str">
        <f t="shared" si="486"/>
        <v/>
      </c>
      <c r="N4453" s="66" t="str">
        <f t="shared" si="487"/>
        <v/>
      </c>
      <c r="O4453" s="66" t="str">
        <f t="shared" si="488"/>
        <v/>
      </c>
      <c r="P4453" s="66" t="str">
        <f t="shared" si="489"/>
        <v/>
      </c>
    </row>
    <row r="4454" spans="8:16">
      <c r="H4454" s="66" t="e">
        <f>IF(LEFT(A4454,6)="CEPNTR","GPINS",VLOOKUP(LEFT(A4454,6),'Code Library'!$A$3:$B$920,2,0))&amp;"_"&amp;RIGHT(A4454,3)</f>
        <v>#N/A</v>
      </c>
      <c r="I4454" s="66">
        <f t="shared" si="483"/>
        <v>0</v>
      </c>
      <c r="K4454" s="66" t="str">
        <f t="shared" si="484"/>
        <v/>
      </c>
      <c r="L4454" s="66" t="str">
        <f t="shared" si="485"/>
        <v/>
      </c>
      <c r="M4454" s="66" t="str">
        <f t="shared" si="486"/>
        <v/>
      </c>
      <c r="N4454" s="66" t="str">
        <f t="shared" si="487"/>
        <v/>
      </c>
      <c r="O4454" s="66" t="str">
        <f t="shared" si="488"/>
        <v/>
      </c>
      <c r="P4454" s="66" t="str">
        <f t="shared" si="489"/>
        <v/>
      </c>
    </row>
    <row r="4455" spans="8:16">
      <c r="H4455" s="66" t="e">
        <f>IF(LEFT(A4455,6)="CEPNTR","GPINS",VLOOKUP(LEFT(A4455,6),'Code Library'!$A$3:$B$920,2,0))&amp;"_"&amp;RIGHT(A4455,3)</f>
        <v>#N/A</v>
      </c>
      <c r="I4455" s="66">
        <f t="shared" si="483"/>
        <v>0</v>
      </c>
      <c r="K4455" s="66" t="str">
        <f t="shared" si="484"/>
        <v/>
      </c>
      <c r="L4455" s="66" t="str">
        <f t="shared" si="485"/>
        <v/>
      </c>
      <c r="M4455" s="66" t="str">
        <f t="shared" si="486"/>
        <v/>
      </c>
      <c r="N4455" s="66" t="str">
        <f t="shared" si="487"/>
        <v/>
      </c>
      <c r="O4455" s="66" t="str">
        <f t="shared" si="488"/>
        <v/>
      </c>
      <c r="P4455" s="66" t="str">
        <f t="shared" si="489"/>
        <v/>
      </c>
    </row>
    <row r="4456" spans="8:16">
      <c r="H4456" s="66" t="e">
        <f>IF(LEFT(A4456,6)="CEPNTR","GPINS",VLOOKUP(LEFT(A4456,6),'Code Library'!$A$3:$B$920,2,0))&amp;"_"&amp;RIGHT(A4456,3)</f>
        <v>#N/A</v>
      </c>
      <c r="I4456" s="66">
        <f t="shared" si="483"/>
        <v>0</v>
      </c>
      <c r="K4456" s="66" t="str">
        <f t="shared" si="484"/>
        <v/>
      </c>
      <c r="L4456" s="66" t="str">
        <f t="shared" si="485"/>
        <v/>
      </c>
      <c r="M4456" s="66" t="str">
        <f t="shared" si="486"/>
        <v/>
      </c>
      <c r="N4456" s="66" t="str">
        <f t="shared" si="487"/>
        <v/>
      </c>
      <c r="O4456" s="66" t="str">
        <f t="shared" si="488"/>
        <v/>
      </c>
      <c r="P4456" s="66" t="str">
        <f t="shared" si="489"/>
        <v/>
      </c>
    </row>
    <row r="4457" spans="8:16">
      <c r="H4457" s="66" t="e">
        <f>IF(LEFT(A4457,6)="CEPNTR","GPINS",VLOOKUP(LEFT(A4457,6),'Code Library'!$A$3:$B$920,2,0))&amp;"_"&amp;RIGHT(A4457,3)</f>
        <v>#N/A</v>
      </c>
      <c r="I4457" s="66">
        <f t="shared" si="483"/>
        <v>0</v>
      </c>
      <c r="K4457" s="66" t="str">
        <f t="shared" si="484"/>
        <v/>
      </c>
      <c r="L4457" s="66" t="str">
        <f t="shared" si="485"/>
        <v/>
      </c>
      <c r="M4457" s="66" t="str">
        <f t="shared" si="486"/>
        <v/>
      </c>
      <c r="N4457" s="66" t="str">
        <f t="shared" si="487"/>
        <v/>
      </c>
      <c r="O4457" s="66" t="str">
        <f t="shared" si="488"/>
        <v/>
      </c>
      <c r="P4457" s="66" t="str">
        <f t="shared" si="489"/>
        <v/>
      </c>
    </row>
    <row r="4458" spans="8:16">
      <c r="H4458" s="66" t="e">
        <f>IF(LEFT(A4458,6)="CEPNTR","GPINS",VLOOKUP(LEFT(A4458,6),'Code Library'!$A$3:$B$920,2,0))&amp;"_"&amp;RIGHT(A4458,3)</f>
        <v>#N/A</v>
      </c>
      <c r="I4458" s="66">
        <f t="shared" si="483"/>
        <v>0</v>
      </c>
      <c r="K4458" s="66" t="str">
        <f t="shared" si="484"/>
        <v/>
      </c>
      <c r="L4458" s="66" t="str">
        <f t="shared" si="485"/>
        <v/>
      </c>
      <c r="M4458" s="66" t="str">
        <f t="shared" si="486"/>
        <v/>
      </c>
      <c r="N4458" s="66" t="str">
        <f t="shared" si="487"/>
        <v/>
      </c>
      <c r="O4458" s="66" t="str">
        <f t="shared" si="488"/>
        <v/>
      </c>
      <c r="P4458" s="66" t="str">
        <f t="shared" si="489"/>
        <v/>
      </c>
    </row>
    <row r="4459" spans="8:16">
      <c r="H4459" s="66" t="e">
        <f>IF(LEFT(A4459,6)="CEPNTR","GPINS",VLOOKUP(LEFT(A4459,6),'Code Library'!$A$3:$B$920,2,0))&amp;"_"&amp;RIGHT(A4459,3)</f>
        <v>#N/A</v>
      </c>
      <c r="I4459" s="66">
        <f t="shared" si="483"/>
        <v>0</v>
      </c>
      <c r="K4459" s="66" t="str">
        <f t="shared" si="484"/>
        <v/>
      </c>
      <c r="L4459" s="66" t="str">
        <f t="shared" si="485"/>
        <v/>
      </c>
      <c r="M4459" s="66" t="str">
        <f t="shared" si="486"/>
        <v/>
      </c>
      <c r="N4459" s="66" t="str">
        <f t="shared" si="487"/>
        <v/>
      </c>
      <c r="O4459" s="66" t="str">
        <f t="shared" si="488"/>
        <v/>
      </c>
      <c r="P4459" s="66" t="str">
        <f t="shared" si="489"/>
        <v/>
      </c>
    </row>
    <row r="4460" spans="8:16">
      <c r="H4460" s="66" t="e">
        <f>IF(LEFT(A4460,6)="CEPNTR","GPINS",VLOOKUP(LEFT(A4460,6),'Code Library'!$A$3:$B$920,2,0))&amp;"_"&amp;RIGHT(A4460,3)</f>
        <v>#N/A</v>
      </c>
      <c r="I4460" s="66">
        <f t="shared" si="483"/>
        <v>0</v>
      </c>
      <c r="K4460" s="66" t="str">
        <f t="shared" si="484"/>
        <v/>
      </c>
      <c r="L4460" s="66" t="str">
        <f t="shared" si="485"/>
        <v/>
      </c>
      <c r="M4460" s="66" t="str">
        <f t="shared" si="486"/>
        <v/>
      </c>
      <c r="N4460" s="66" t="str">
        <f t="shared" si="487"/>
        <v/>
      </c>
      <c r="O4460" s="66" t="str">
        <f t="shared" si="488"/>
        <v/>
      </c>
      <c r="P4460" s="66" t="str">
        <f t="shared" si="489"/>
        <v/>
      </c>
    </row>
    <row r="4461" spans="8:16">
      <c r="H4461" s="66" t="e">
        <f>IF(LEFT(A4461,6)="CEPNTR","GPINS",VLOOKUP(LEFT(A4461,6),'Code Library'!$A$3:$B$920,2,0))&amp;"_"&amp;RIGHT(A4461,3)</f>
        <v>#N/A</v>
      </c>
      <c r="I4461" s="66">
        <f t="shared" si="483"/>
        <v>0</v>
      </c>
      <c r="K4461" s="66" t="str">
        <f t="shared" si="484"/>
        <v/>
      </c>
      <c r="L4461" s="66" t="str">
        <f t="shared" si="485"/>
        <v/>
      </c>
      <c r="M4461" s="66" t="str">
        <f t="shared" si="486"/>
        <v/>
      </c>
      <c r="N4461" s="66" t="str">
        <f t="shared" si="487"/>
        <v/>
      </c>
      <c r="O4461" s="66" t="str">
        <f t="shared" si="488"/>
        <v/>
      </c>
      <c r="P4461" s="66" t="str">
        <f t="shared" si="489"/>
        <v/>
      </c>
    </row>
    <row r="4462" spans="8:16">
      <c r="H4462" s="66" t="e">
        <f>IF(LEFT(A4462,6)="CEPNTR","GPINS",VLOOKUP(LEFT(A4462,6),'Code Library'!$A$3:$B$920,2,0))&amp;"_"&amp;RIGHT(A4462,3)</f>
        <v>#N/A</v>
      </c>
      <c r="I4462" s="66">
        <f t="shared" si="483"/>
        <v>0</v>
      </c>
      <c r="K4462" s="66" t="str">
        <f t="shared" si="484"/>
        <v/>
      </c>
      <c r="L4462" s="66" t="str">
        <f t="shared" si="485"/>
        <v/>
      </c>
      <c r="M4462" s="66" t="str">
        <f t="shared" si="486"/>
        <v/>
      </c>
      <c r="N4462" s="66" t="str">
        <f t="shared" si="487"/>
        <v/>
      </c>
      <c r="O4462" s="66" t="str">
        <f t="shared" si="488"/>
        <v/>
      </c>
      <c r="P4462" s="66" t="str">
        <f t="shared" si="489"/>
        <v/>
      </c>
    </row>
    <row r="4463" spans="8:16">
      <c r="H4463" s="66" t="e">
        <f>IF(LEFT(A4463,6)="CEPNTR","GPINS",VLOOKUP(LEFT(A4463,6),'Code Library'!$A$3:$B$920,2,0))&amp;"_"&amp;RIGHT(A4463,3)</f>
        <v>#N/A</v>
      </c>
      <c r="I4463" s="66">
        <f t="shared" si="483"/>
        <v>0</v>
      </c>
      <c r="K4463" s="66" t="str">
        <f t="shared" si="484"/>
        <v/>
      </c>
      <c r="L4463" s="66" t="str">
        <f t="shared" si="485"/>
        <v/>
      </c>
      <c r="M4463" s="66" t="str">
        <f t="shared" si="486"/>
        <v/>
      </c>
      <c r="N4463" s="66" t="str">
        <f t="shared" si="487"/>
        <v/>
      </c>
      <c r="O4463" s="66" t="str">
        <f t="shared" si="488"/>
        <v/>
      </c>
      <c r="P4463" s="66" t="str">
        <f t="shared" si="489"/>
        <v/>
      </c>
    </row>
    <row r="4464" spans="8:16">
      <c r="H4464" s="66" t="e">
        <f>IF(LEFT(A4464,6)="CEPNTR","GPINS",VLOOKUP(LEFT(A4464,6),'Code Library'!$A$3:$B$920,2,0))&amp;"_"&amp;RIGHT(A4464,3)</f>
        <v>#N/A</v>
      </c>
      <c r="I4464" s="66">
        <f t="shared" si="483"/>
        <v>0</v>
      </c>
      <c r="K4464" s="66" t="str">
        <f t="shared" si="484"/>
        <v/>
      </c>
      <c r="L4464" s="66" t="str">
        <f t="shared" si="485"/>
        <v/>
      </c>
      <c r="M4464" s="66" t="str">
        <f t="shared" si="486"/>
        <v/>
      </c>
      <c r="N4464" s="66" t="str">
        <f t="shared" si="487"/>
        <v/>
      </c>
      <c r="O4464" s="66" t="str">
        <f t="shared" si="488"/>
        <v/>
      </c>
      <c r="P4464" s="66" t="str">
        <f t="shared" si="489"/>
        <v/>
      </c>
    </row>
    <row r="4465" spans="8:16">
      <c r="H4465" s="66" t="e">
        <f>IF(LEFT(A4465,6)="CEPNTR","GPINS",VLOOKUP(LEFT(A4465,6),'Code Library'!$A$3:$B$920,2,0))&amp;"_"&amp;RIGHT(A4465,3)</f>
        <v>#N/A</v>
      </c>
      <c r="I4465" s="66">
        <f t="shared" si="483"/>
        <v>0</v>
      </c>
      <c r="K4465" s="66" t="str">
        <f t="shared" si="484"/>
        <v/>
      </c>
      <c r="L4465" s="66" t="str">
        <f t="shared" si="485"/>
        <v/>
      </c>
      <c r="M4465" s="66" t="str">
        <f t="shared" si="486"/>
        <v/>
      </c>
      <c r="N4465" s="66" t="str">
        <f t="shared" si="487"/>
        <v/>
      </c>
      <c r="O4465" s="66" t="str">
        <f t="shared" si="488"/>
        <v/>
      </c>
      <c r="P4465" s="66" t="str">
        <f t="shared" si="489"/>
        <v/>
      </c>
    </row>
    <row r="4466" spans="8:16">
      <c r="H4466" s="66" t="e">
        <f>IF(LEFT(A4466,6)="CEPNTR","GPINS",VLOOKUP(LEFT(A4466,6),'Code Library'!$A$3:$B$920,2,0))&amp;"_"&amp;RIGHT(A4466,3)</f>
        <v>#N/A</v>
      </c>
      <c r="I4466" s="66">
        <f t="shared" si="483"/>
        <v>0</v>
      </c>
      <c r="K4466" s="66" t="str">
        <f t="shared" si="484"/>
        <v/>
      </c>
      <c r="L4466" s="66" t="str">
        <f t="shared" si="485"/>
        <v/>
      </c>
      <c r="M4466" s="66" t="str">
        <f t="shared" si="486"/>
        <v/>
      </c>
      <c r="N4466" s="66" t="str">
        <f t="shared" si="487"/>
        <v/>
      </c>
      <c r="O4466" s="66" t="str">
        <f t="shared" si="488"/>
        <v/>
      </c>
      <c r="P4466" s="66" t="str">
        <f t="shared" si="489"/>
        <v/>
      </c>
    </row>
    <row r="4467" spans="8:16">
      <c r="H4467" s="66" t="e">
        <f>IF(LEFT(A4467,6)="CEPNTR","GPINS",VLOOKUP(LEFT(A4467,6),'Code Library'!$A$3:$B$920,2,0))&amp;"_"&amp;RIGHT(A4467,3)</f>
        <v>#N/A</v>
      </c>
      <c r="I4467" s="66">
        <f t="shared" si="483"/>
        <v>0</v>
      </c>
      <c r="K4467" s="66" t="str">
        <f t="shared" si="484"/>
        <v/>
      </c>
      <c r="L4467" s="66" t="str">
        <f t="shared" si="485"/>
        <v/>
      </c>
      <c r="M4467" s="66" t="str">
        <f t="shared" si="486"/>
        <v/>
      </c>
      <c r="N4467" s="66" t="str">
        <f t="shared" si="487"/>
        <v/>
      </c>
      <c r="O4467" s="66" t="str">
        <f t="shared" si="488"/>
        <v/>
      </c>
      <c r="P4467" s="66" t="str">
        <f t="shared" si="489"/>
        <v/>
      </c>
    </row>
    <row r="4468" spans="8:16">
      <c r="H4468" s="66" t="e">
        <f>IF(LEFT(A4468,6)="CEPNTR","GPINS",VLOOKUP(LEFT(A4468,6),'Code Library'!$A$3:$B$920,2,0))&amp;"_"&amp;RIGHT(A4468,3)</f>
        <v>#N/A</v>
      </c>
      <c r="I4468" s="66">
        <f t="shared" si="483"/>
        <v>0</v>
      </c>
      <c r="K4468" s="66" t="str">
        <f t="shared" si="484"/>
        <v/>
      </c>
      <c r="L4468" s="66" t="str">
        <f t="shared" si="485"/>
        <v/>
      </c>
      <c r="M4468" s="66" t="str">
        <f t="shared" si="486"/>
        <v/>
      </c>
      <c r="N4468" s="66" t="str">
        <f t="shared" si="487"/>
        <v/>
      </c>
      <c r="O4468" s="66" t="str">
        <f t="shared" si="488"/>
        <v/>
      </c>
      <c r="P4468" s="66" t="str">
        <f t="shared" si="489"/>
        <v/>
      </c>
    </row>
    <row r="4469" spans="8:16">
      <c r="H4469" s="66" t="e">
        <f>IF(LEFT(A4469,6)="CEPNTR","GPINS",VLOOKUP(LEFT(A4469,6),'Code Library'!$A$3:$B$920,2,0))&amp;"_"&amp;RIGHT(A4469,3)</f>
        <v>#N/A</v>
      </c>
      <c r="I4469" s="66">
        <f t="shared" si="483"/>
        <v>0</v>
      </c>
      <c r="K4469" s="66" t="str">
        <f t="shared" si="484"/>
        <v/>
      </c>
      <c r="L4469" s="66" t="str">
        <f t="shared" si="485"/>
        <v/>
      </c>
      <c r="M4469" s="66" t="str">
        <f t="shared" si="486"/>
        <v/>
      </c>
      <c r="N4469" s="66" t="str">
        <f t="shared" si="487"/>
        <v/>
      </c>
      <c r="O4469" s="66" t="str">
        <f t="shared" si="488"/>
        <v/>
      </c>
      <c r="P4469" s="66" t="str">
        <f t="shared" si="489"/>
        <v/>
      </c>
    </row>
    <row r="4470" spans="8:16">
      <c r="H4470" s="66" t="e">
        <f>IF(LEFT(A4470,6)="CEPNTR","GPINS",VLOOKUP(LEFT(A4470,6),'Code Library'!$A$3:$B$920,2,0))&amp;"_"&amp;RIGHT(A4470,3)</f>
        <v>#N/A</v>
      </c>
      <c r="I4470" s="66">
        <f t="shared" si="483"/>
        <v>0</v>
      </c>
      <c r="K4470" s="66" t="str">
        <f t="shared" si="484"/>
        <v/>
      </c>
      <c r="L4470" s="66" t="str">
        <f t="shared" si="485"/>
        <v/>
      </c>
      <c r="M4470" s="66" t="str">
        <f t="shared" si="486"/>
        <v/>
      </c>
      <c r="N4470" s="66" t="str">
        <f t="shared" si="487"/>
        <v/>
      </c>
      <c r="O4470" s="66" t="str">
        <f t="shared" si="488"/>
        <v/>
      </c>
      <c r="P4470" s="66" t="str">
        <f t="shared" si="489"/>
        <v/>
      </c>
    </row>
    <row r="4471" spans="8:16">
      <c r="H4471" s="66" t="e">
        <f>IF(LEFT(A4471,6)="CEPNTR","GPINS",VLOOKUP(LEFT(A4471,6),'Code Library'!$A$3:$B$920,2,0))&amp;"_"&amp;RIGHT(A4471,3)</f>
        <v>#N/A</v>
      </c>
      <c r="I4471" s="66">
        <f t="shared" si="483"/>
        <v>0</v>
      </c>
      <c r="K4471" s="66" t="str">
        <f t="shared" si="484"/>
        <v/>
      </c>
      <c r="L4471" s="66" t="str">
        <f t="shared" si="485"/>
        <v/>
      </c>
      <c r="M4471" s="66" t="str">
        <f t="shared" si="486"/>
        <v/>
      </c>
      <c r="N4471" s="66" t="str">
        <f t="shared" si="487"/>
        <v/>
      </c>
      <c r="O4471" s="66" t="str">
        <f t="shared" si="488"/>
        <v/>
      </c>
      <c r="P4471" s="66" t="str">
        <f t="shared" si="489"/>
        <v/>
      </c>
    </row>
    <row r="4472" spans="8:16">
      <c r="H4472" s="66" t="e">
        <f>IF(LEFT(A4472,6)="CEPNTR","GPINS",VLOOKUP(LEFT(A4472,6),'Code Library'!$A$3:$B$920,2,0))&amp;"_"&amp;RIGHT(A4472,3)</f>
        <v>#N/A</v>
      </c>
      <c r="I4472" s="66">
        <f t="shared" si="483"/>
        <v>0</v>
      </c>
      <c r="K4472" s="66" t="str">
        <f t="shared" si="484"/>
        <v/>
      </c>
      <c r="L4472" s="66" t="str">
        <f t="shared" si="485"/>
        <v/>
      </c>
      <c r="M4472" s="66" t="str">
        <f t="shared" si="486"/>
        <v/>
      </c>
      <c r="N4472" s="66" t="str">
        <f t="shared" si="487"/>
        <v/>
      </c>
      <c r="O4472" s="66" t="str">
        <f t="shared" si="488"/>
        <v/>
      </c>
      <c r="P4472" s="66" t="str">
        <f t="shared" si="489"/>
        <v/>
      </c>
    </row>
    <row r="4473" spans="8:16">
      <c r="H4473" s="66" t="e">
        <f>IF(LEFT(A4473,6)="CEPNTR","GPINS",VLOOKUP(LEFT(A4473,6),'Code Library'!$A$3:$B$920,2,0))&amp;"_"&amp;RIGHT(A4473,3)</f>
        <v>#N/A</v>
      </c>
      <c r="I4473" s="66">
        <f t="shared" si="483"/>
        <v>0</v>
      </c>
      <c r="K4473" s="66" t="str">
        <f t="shared" si="484"/>
        <v/>
      </c>
      <c r="L4473" s="66" t="str">
        <f t="shared" si="485"/>
        <v/>
      </c>
      <c r="M4473" s="66" t="str">
        <f t="shared" si="486"/>
        <v/>
      </c>
      <c r="N4473" s="66" t="str">
        <f t="shared" si="487"/>
        <v/>
      </c>
      <c r="O4473" s="66" t="str">
        <f t="shared" si="488"/>
        <v/>
      </c>
      <c r="P4473" s="66" t="str">
        <f t="shared" si="489"/>
        <v/>
      </c>
    </row>
    <row r="4474" spans="8:16">
      <c r="H4474" s="66" t="e">
        <f>IF(LEFT(A4474,6)="CEPNTR","GPINS",VLOOKUP(LEFT(A4474,6),'Code Library'!$A$3:$B$920,2,0))&amp;"_"&amp;RIGHT(A4474,3)</f>
        <v>#N/A</v>
      </c>
      <c r="I4474" s="66">
        <f t="shared" si="483"/>
        <v>0</v>
      </c>
      <c r="K4474" s="66" t="str">
        <f t="shared" si="484"/>
        <v/>
      </c>
      <c r="L4474" s="66" t="str">
        <f t="shared" si="485"/>
        <v/>
      </c>
      <c r="M4474" s="66" t="str">
        <f t="shared" si="486"/>
        <v/>
      </c>
      <c r="N4474" s="66" t="str">
        <f t="shared" si="487"/>
        <v/>
      </c>
      <c r="O4474" s="66" t="str">
        <f t="shared" si="488"/>
        <v/>
      </c>
      <c r="P4474" s="66" t="str">
        <f t="shared" si="489"/>
        <v/>
      </c>
    </row>
    <row r="4475" spans="8:16">
      <c r="H4475" s="66" t="e">
        <f>IF(LEFT(A4475,6)="CEPNTR","GPINS",VLOOKUP(LEFT(A4475,6),'Code Library'!$A$3:$B$920,2,0))&amp;"_"&amp;RIGHT(A4475,3)</f>
        <v>#N/A</v>
      </c>
      <c r="I4475" s="66">
        <f t="shared" si="483"/>
        <v>0</v>
      </c>
      <c r="K4475" s="66" t="str">
        <f t="shared" si="484"/>
        <v/>
      </c>
      <c r="L4475" s="66" t="str">
        <f t="shared" si="485"/>
        <v/>
      </c>
      <c r="M4475" s="66" t="str">
        <f t="shared" si="486"/>
        <v/>
      </c>
      <c r="N4475" s="66" t="str">
        <f t="shared" si="487"/>
        <v/>
      </c>
      <c r="O4475" s="66" t="str">
        <f t="shared" si="488"/>
        <v/>
      </c>
      <c r="P4475" s="66" t="str">
        <f t="shared" si="489"/>
        <v/>
      </c>
    </row>
    <row r="4476" spans="8:16">
      <c r="H4476" s="66" t="e">
        <f>IF(LEFT(A4476,6)="CEPNTR","GPINS",VLOOKUP(LEFT(A4476,6),'Code Library'!$A$3:$B$920,2,0))&amp;"_"&amp;RIGHT(A4476,3)</f>
        <v>#N/A</v>
      </c>
      <c r="I4476" s="66">
        <f t="shared" si="483"/>
        <v>0</v>
      </c>
      <c r="K4476" s="66" t="str">
        <f t="shared" si="484"/>
        <v/>
      </c>
      <c r="L4476" s="66" t="str">
        <f t="shared" si="485"/>
        <v/>
      </c>
      <c r="M4476" s="66" t="str">
        <f t="shared" si="486"/>
        <v/>
      </c>
      <c r="N4476" s="66" t="str">
        <f t="shared" si="487"/>
        <v/>
      </c>
      <c r="O4476" s="66" t="str">
        <f t="shared" si="488"/>
        <v/>
      </c>
      <c r="P4476" s="66" t="str">
        <f t="shared" si="489"/>
        <v/>
      </c>
    </row>
    <row r="4477" spans="8:16">
      <c r="H4477" s="66" t="e">
        <f>IF(LEFT(A4477,6)="CEPNTR","GPINS",VLOOKUP(LEFT(A4477,6),'Code Library'!$A$3:$B$920,2,0))&amp;"_"&amp;RIGHT(A4477,3)</f>
        <v>#N/A</v>
      </c>
      <c r="I4477" s="66">
        <f t="shared" si="483"/>
        <v>0</v>
      </c>
      <c r="K4477" s="66" t="str">
        <f t="shared" si="484"/>
        <v/>
      </c>
      <c r="L4477" s="66" t="str">
        <f t="shared" si="485"/>
        <v/>
      </c>
      <c r="M4477" s="66" t="str">
        <f t="shared" si="486"/>
        <v/>
      </c>
      <c r="N4477" s="66" t="str">
        <f t="shared" si="487"/>
        <v/>
      </c>
      <c r="O4477" s="66" t="str">
        <f t="shared" si="488"/>
        <v/>
      </c>
      <c r="P4477" s="66" t="str">
        <f t="shared" si="489"/>
        <v/>
      </c>
    </row>
    <row r="4478" spans="8:16">
      <c r="H4478" s="66" t="e">
        <f>IF(LEFT(A4478,6)="CEPNTR","GPINS",VLOOKUP(LEFT(A4478,6),'Code Library'!$A$3:$B$920,2,0))&amp;"_"&amp;RIGHT(A4478,3)</f>
        <v>#N/A</v>
      </c>
      <c r="I4478" s="66">
        <f t="shared" si="483"/>
        <v>0</v>
      </c>
      <c r="K4478" s="66" t="str">
        <f t="shared" si="484"/>
        <v/>
      </c>
      <c r="L4478" s="66" t="str">
        <f t="shared" si="485"/>
        <v/>
      </c>
      <c r="M4478" s="66" t="str">
        <f t="shared" si="486"/>
        <v/>
      </c>
      <c r="N4478" s="66" t="str">
        <f t="shared" si="487"/>
        <v/>
      </c>
      <c r="O4478" s="66" t="str">
        <f t="shared" si="488"/>
        <v/>
      </c>
      <c r="P4478" s="66" t="str">
        <f t="shared" si="489"/>
        <v/>
      </c>
    </row>
    <row r="4479" spans="8:16">
      <c r="H4479" s="66" t="e">
        <f>IF(LEFT(A4479,6)="CEPNTR","GPINS",VLOOKUP(LEFT(A4479,6),'Code Library'!$A$3:$B$920,2,0))&amp;"_"&amp;RIGHT(A4479,3)</f>
        <v>#N/A</v>
      </c>
      <c r="I4479" s="66">
        <f t="shared" si="483"/>
        <v>0</v>
      </c>
      <c r="K4479" s="66" t="str">
        <f t="shared" si="484"/>
        <v/>
      </c>
      <c r="L4479" s="66" t="str">
        <f t="shared" si="485"/>
        <v/>
      </c>
      <c r="M4479" s="66" t="str">
        <f t="shared" si="486"/>
        <v/>
      </c>
      <c r="N4479" s="66" t="str">
        <f t="shared" si="487"/>
        <v/>
      </c>
      <c r="O4479" s="66" t="str">
        <f t="shared" si="488"/>
        <v/>
      </c>
      <c r="P4479" s="66" t="str">
        <f t="shared" si="489"/>
        <v/>
      </c>
    </row>
    <row r="4480" spans="8:16">
      <c r="H4480" s="66" t="e">
        <f>IF(LEFT(A4480,6)="CEPNTR","GPINS",VLOOKUP(LEFT(A4480,6),'Code Library'!$A$3:$B$920,2,0))&amp;"_"&amp;RIGHT(A4480,3)</f>
        <v>#N/A</v>
      </c>
      <c r="I4480" s="66">
        <f t="shared" si="483"/>
        <v>0</v>
      </c>
      <c r="K4480" s="66" t="str">
        <f t="shared" si="484"/>
        <v/>
      </c>
      <c r="L4480" s="66" t="str">
        <f t="shared" si="485"/>
        <v/>
      </c>
      <c r="M4480" s="66" t="str">
        <f t="shared" si="486"/>
        <v/>
      </c>
      <c r="N4480" s="66" t="str">
        <f t="shared" si="487"/>
        <v/>
      </c>
      <c r="O4480" s="66" t="str">
        <f t="shared" si="488"/>
        <v/>
      </c>
      <c r="P4480" s="66" t="str">
        <f t="shared" si="489"/>
        <v/>
      </c>
    </row>
    <row r="4481" spans="8:16">
      <c r="H4481" s="66" t="e">
        <f>IF(LEFT(A4481,6)="CEPNTR","GPINS",VLOOKUP(LEFT(A4481,6),'Code Library'!$A$3:$B$920,2,0))&amp;"_"&amp;RIGHT(A4481,3)</f>
        <v>#N/A</v>
      </c>
      <c r="I4481" s="66">
        <f t="shared" si="483"/>
        <v>0</v>
      </c>
      <c r="K4481" s="66" t="str">
        <f t="shared" si="484"/>
        <v/>
      </c>
      <c r="L4481" s="66" t="str">
        <f t="shared" si="485"/>
        <v/>
      </c>
      <c r="M4481" s="66" t="str">
        <f t="shared" si="486"/>
        <v/>
      </c>
      <c r="N4481" s="66" t="str">
        <f t="shared" si="487"/>
        <v/>
      </c>
      <c r="O4481" s="66" t="str">
        <f t="shared" si="488"/>
        <v/>
      </c>
      <c r="P4481" s="66" t="str">
        <f t="shared" si="489"/>
        <v/>
      </c>
    </row>
    <row r="4482" spans="8:16">
      <c r="H4482" s="66" t="e">
        <f>IF(LEFT(A4482,6)="CEPNTR","GPINS",VLOOKUP(LEFT(A4482,6),'Code Library'!$A$3:$B$920,2,0))&amp;"_"&amp;RIGHT(A4482,3)</f>
        <v>#N/A</v>
      </c>
      <c r="I4482" s="66">
        <f t="shared" si="483"/>
        <v>0</v>
      </c>
      <c r="K4482" s="66" t="str">
        <f t="shared" si="484"/>
        <v/>
      </c>
      <c r="L4482" s="66" t="str">
        <f t="shared" si="485"/>
        <v/>
      </c>
      <c r="M4482" s="66" t="str">
        <f t="shared" si="486"/>
        <v/>
      </c>
      <c r="N4482" s="66" t="str">
        <f t="shared" si="487"/>
        <v/>
      </c>
      <c r="O4482" s="66" t="str">
        <f t="shared" si="488"/>
        <v/>
      </c>
      <c r="P4482" s="66" t="str">
        <f t="shared" si="489"/>
        <v/>
      </c>
    </row>
    <row r="4483" spans="8:16">
      <c r="H4483" s="66" t="e">
        <f>IF(LEFT(A4483,6)="CEPNTR","GPINS",VLOOKUP(LEFT(A4483,6),'Code Library'!$A$3:$B$920,2,0))&amp;"_"&amp;RIGHT(A4483,3)</f>
        <v>#N/A</v>
      </c>
      <c r="I4483" s="66">
        <f t="shared" ref="I4483:I4546" si="490">A4483</f>
        <v>0</v>
      </c>
      <c r="K4483" s="66" t="str">
        <f t="shared" ref="K4483:K4546" si="491">RIGHT($B4483,2)</f>
        <v/>
      </c>
      <c r="L4483" s="66" t="str">
        <f t="shared" ref="L4483:L4546" si="492">LEFT(RIGHT($B4483,7),4)</f>
        <v/>
      </c>
      <c r="M4483" s="66" t="str">
        <f t="shared" ref="M4483:M4546" si="493">LEFT(RIGHT($B4483,10),2)</f>
        <v/>
      </c>
      <c r="N4483" s="66" t="str">
        <f t="shared" ref="N4483:N4546" si="494">LEFT(RIGHT($B4483,14),3)</f>
        <v/>
      </c>
      <c r="O4483" s="66" t="str">
        <f t="shared" ref="O4483:O4546" si="495">LEFT(RIGHT($B4483,16),1)</f>
        <v/>
      </c>
      <c r="P4483" s="66" t="str">
        <f t="shared" ref="P4483:P4546" si="496">LEFT(RIGHT($B4483,19),2)</f>
        <v/>
      </c>
    </row>
    <row r="4484" spans="8:16">
      <c r="H4484" s="66" t="e">
        <f>IF(LEFT(A4484,6)="CEPNTR","GPINS",VLOOKUP(LEFT(A4484,6),'Code Library'!$A$3:$B$920,2,0))&amp;"_"&amp;RIGHT(A4484,3)</f>
        <v>#N/A</v>
      </c>
      <c r="I4484" s="66">
        <f t="shared" si="490"/>
        <v>0</v>
      </c>
      <c r="K4484" s="66" t="str">
        <f t="shared" si="491"/>
        <v/>
      </c>
      <c r="L4484" s="66" t="str">
        <f t="shared" si="492"/>
        <v/>
      </c>
      <c r="M4484" s="66" t="str">
        <f t="shared" si="493"/>
        <v/>
      </c>
      <c r="N4484" s="66" t="str">
        <f t="shared" si="494"/>
        <v/>
      </c>
      <c r="O4484" s="66" t="str">
        <f t="shared" si="495"/>
        <v/>
      </c>
      <c r="P4484" s="66" t="str">
        <f t="shared" si="496"/>
        <v/>
      </c>
    </row>
    <row r="4485" spans="8:16">
      <c r="H4485" s="66" t="e">
        <f>IF(LEFT(A4485,6)="CEPNTR","GPINS",VLOOKUP(LEFT(A4485,6),'Code Library'!$A$3:$B$920,2,0))&amp;"_"&amp;RIGHT(A4485,3)</f>
        <v>#N/A</v>
      </c>
      <c r="I4485" s="66">
        <f t="shared" si="490"/>
        <v>0</v>
      </c>
      <c r="K4485" s="66" t="str">
        <f t="shared" si="491"/>
        <v/>
      </c>
      <c r="L4485" s="66" t="str">
        <f t="shared" si="492"/>
        <v/>
      </c>
      <c r="M4485" s="66" t="str">
        <f t="shared" si="493"/>
        <v/>
      </c>
      <c r="N4485" s="66" t="str">
        <f t="shared" si="494"/>
        <v/>
      </c>
      <c r="O4485" s="66" t="str">
        <f t="shared" si="495"/>
        <v/>
      </c>
      <c r="P4485" s="66" t="str">
        <f t="shared" si="496"/>
        <v/>
      </c>
    </row>
    <row r="4486" spans="8:16">
      <c r="H4486" s="66" t="e">
        <f>IF(LEFT(A4486,6)="CEPNTR","GPINS",VLOOKUP(LEFT(A4486,6),'Code Library'!$A$3:$B$920,2,0))&amp;"_"&amp;RIGHT(A4486,3)</f>
        <v>#N/A</v>
      </c>
      <c r="I4486" s="66">
        <f t="shared" si="490"/>
        <v>0</v>
      </c>
      <c r="K4486" s="66" t="str">
        <f t="shared" si="491"/>
        <v/>
      </c>
      <c r="L4486" s="66" t="str">
        <f t="shared" si="492"/>
        <v/>
      </c>
      <c r="M4486" s="66" t="str">
        <f t="shared" si="493"/>
        <v/>
      </c>
      <c r="N4486" s="66" t="str">
        <f t="shared" si="494"/>
        <v/>
      </c>
      <c r="O4486" s="66" t="str">
        <f t="shared" si="495"/>
        <v/>
      </c>
      <c r="P4486" s="66" t="str">
        <f t="shared" si="496"/>
        <v/>
      </c>
    </row>
    <row r="4487" spans="8:16">
      <c r="H4487" s="66" t="e">
        <f>IF(LEFT(A4487,6)="CEPNTR","GPINS",VLOOKUP(LEFT(A4487,6),'Code Library'!$A$3:$B$920,2,0))&amp;"_"&amp;RIGHT(A4487,3)</f>
        <v>#N/A</v>
      </c>
      <c r="I4487" s="66">
        <f t="shared" si="490"/>
        <v>0</v>
      </c>
      <c r="K4487" s="66" t="str">
        <f t="shared" si="491"/>
        <v/>
      </c>
      <c r="L4487" s="66" t="str">
        <f t="shared" si="492"/>
        <v/>
      </c>
      <c r="M4487" s="66" t="str">
        <f t="shared" si="493"/>
        <v/>
      </c>
      <c r="N4487" s="66" t="str">
        <f t="shared" si="494"/>
        <v/>
      </c>
      <c r="O4487" s="66" t="str">
        <f t="shared" si="495"/>
        <v/>
      </c>
      <c r="P4487" s="66" t="str">
        <f t="shared" si="496"/>
        <v/>
      </c>
    </row>
    <row r="4488" spans="8:16">
      <c r="H4488" s="66" t="e">
        <f>IF(LEFT(A4488,6)="CEPNTR","GPINS",VLOOKUP(LEFT(A4488,6),'Code Library'!$A$3:$B$920,2,0))&amp;"_"&amp;RIGHT(A4488,3)</f>
        <v>#N/A</v>
      </c>
      <c r="I4488" s="66">
        <f t="shared" si="490"/>
        <v>0</v>
      </c>
      <c r="K4488" s="66" t="str">
        <f t="shared" si="491"/>
        <v/>
      </c>
      <c r="L4488" s="66" t="str">
        <f t="shared" si="492"/>
        <v/>
      </c>
      <c r="M4488" s="66" t="str">
        <f t="shared" si="493"/>
        <v/>
      </c>
      <c r="N4488" s="66" t="str">
        <f t="shared" si="494"/>
        <v/>
      </c>
      <c r="O4488" s="66" t="str">
        <f t="shared" si="495"/>
        <v/>
      </c>
      <c r="P4488" s="66" t="str">
        <f t="shared" si="496"/>
        <v/>
      </c>
    </row>
    <row r="4489" spans="8:16">
      <c r="H4489" s="66" t="e">
        <f>IF(LEFT(A4489,6)="CEPNTR","GPINS",VLOOKUP(LEFT(A4489,6),'Code Library'!$A$3:$B$920,2,0))&amp;"_"&amp;RIGHT(A4489,3)</f>
        <v>#N/A</v>
      </c>
      <c r="I4489" s="66">
        <f t="shared" si="490"/>
        <v>0</v>
      </c>
      <c r="K4489" s="66" t="str">
        <f t="shared" si="491"/>
        <v/>
      </c>
      <c r="L4489" s="66" t="str">
        <f t="shared" si="492"/>
        <v/>
      </c>
      <c r="M4489" s="66" t="str">
        <f t="shared" si="493"/>
        <v/>
      </c>
      <c r="N4489" s="66" t="str">
        <f t="shared" si="494"/>
        <v/>
      </c>
      <c r="O4489" s="66" t="str">
        <f t="shared" si="495"/>
        <v/>
      </c>
      <c r="P4489" s="66" t="str">
        <f t="shared" si="496"/>
        <v/>
      </c>
    </row>
    <row r="4490" spans="8:16">
      <c r="H4490" s="66" t="e">
        <f>IF(LEFT(A4490,6)="CEPNTR","GPINS",VLOOKUP(LEFT(A4490,6),'Code Library'!$A$3:$B$920,2,0))&amp;"_"&amp;RIGHT(A4490,3)</f>
        <v>#N/A</v>
      </c>
      <c r="I4490" s="66">
        <f t="shared" si="490"/>
        <v>0</v>
      </c>
      <c r="K4490" s="66" t="str">
        <f t="shared" si="491"/>
        <v/>
      </c>
      <c r="L4490" s="66" t="str">
        <f t="shared" si="492"/>
        <v/>
      </c>
      <c r="M4490" s="66" t="str">
        <f t="shared" si="493"/>
        <v/>
      </c>
      <c r="N4490" s="66" t="str">
        <f t="shared" si="494"/>
        <v/>
      </c>
      <c r="O4490" s="66" t="str">
        <f t="shared" si="495"/>
        <v/>
      </c>
      <c r="P4490" s="66" t="str">
        <f t="shared" si="496"/>
        <v/>
      </c>
    </row>
    <row r="4491" spans="8:16">
      <c r="H4491" s="66" t="e">
        <f>IF(LEFT(A4491,6)="CEPNTR","GPINS",VLOOKUP(LEFT(A4491,6),'Code Library'!$A$3:$B$920,2,0))&amp;"_"&amp;RIGHT(A4491,3)</f>
        <v>#N/A</v>
      </c>
      <c r="I4491" s="66">
        <f t="shared" si="490"/>
        <v>0</v>
      </c>
      <c r="K4491" s="66" t="str">
        <f t="shared" si="491"/>
        <v/>
      </c>
      <c r="L4491" s="66" t="str">
        <f t="shared" si="492"/>
        <v/>
      </c>
      <c r="M4491" s="66" t="str">
        <f t="shared" si="493"/>
        <v/>
      </c>
      <c r="N4491" s="66" t="str">
        <f t="shared" si="494"/>
        <v/>
      </c>
      <c r="O4491" s="66" t="str">
        <f t="shared" si="495"/>
        <v/>
      </c>
      <c r="P4491" s="66" t="str">
        <f t="shared" si="496"/>
        <v/>
      </c>
    </row>
    <row r="4492" spans="8:16">
      <c r="H4492" s="66" t="e">
        <f>IF(LEFT(A4492,6)="CEPNTR","GPINS",VLOOKUP(LEFT(A4492,6),'Code Library'!$A$3:$B$920,2,0))&amp;"_"&amp;RIGHT(A4492,3)</f>
        <v>#N/A</v>
      </c>
      <c r="I4492" s="66">
        <f t="shared" si="490"/>
        <v>0</v>
      </c>
      <c r="K4492" s="66" t="str">
        <f t="shared" si="491"/>
        <v/>
      </c>
      <c r="L4492" s="66" t="str">
        <f t="shared" si="492"/>
        <v/>
      </c>
      <c r="M4492" s="66" t="str">
        <f t="shared" si="493"/>
        <v/>
      </c>
      <c r="N4492" s="66" t="str">
        <f t="shared" si="494"/>
        <v/>
      </c>
      <c r="O4492" s="66" t="str">
        <f t="shared" si="495"/>
        <v/>
      </c>
      <c r="P4492" s="66" t="str">
        <f t="shared" si="496"/>
        <v/>
      </c>
    </row>
    <row r="4493" spans="8:16">
      <c r="H4493" s="66" t="e">
        <f>IF(LEFT(A4493,6)="CEPNTR","GPINS",VLOOKUP(LEFT(A4493,6),'Code Library'!$A$3:$B$920,2,0))&amp;"_"&amp;RIGHT(A4493,3)</f>
        <v>#N/A</v>
      </c>
      <c r="I4493" s="66">
        <f t="shared" si="490"/>
        <v>0</v>
      </c>
      <c r="K4493" s="66" t="str">
        <f t="shared" si="491"/>
        <v/>
      </c>
      <c r="L4493" s="66" t="str">
        <f t="shared" si="492"/>
        <v/>
      </c>
      <c r="M4493" s="66" t="str">
        <f t="shared" si="493"/>
        <v/>
      </c>
      <c r="N4493" s="66" t="str">
        <f t="shared" si="494"/>
        <v/>
      </c>
      <c r="O4493" s="66" t="str">
        <f t="shared" si="495"/>
        <v/>
      </c>
      <c r="P4493" s="66" t="str">
        <f t="shared" si="496"/>
        <v/>
      </c>
    </row>
    <row r="4494" spans="8:16">
      <c r="H4494" s="66" t="e">
        <f>IF(LEFT(A4494,6)="CEPNTR","GPINS",VLOOKUP(LEFT(A4494,6),'Code Library'!$A$3:$B$920,2,0))&amp;"_"&amp;RIGHT(A4494,3)</f>
        <v>#N/A</v>
      </c>
      <c r="I4494" s="66">
        <f t="shared" si="490"/>
        <v>0</v>
      </c>
      <c r="K4494" s="66" t="str">
        <f t="shared" si="491"/>
        <v/>
      </c>
      <c r="L4494" s="66" t="str">
        <f t="shared" si="492"/>
        <v/>
      </c>
      <c r="M4494" s="66" t="str">
        <f t="shared" si="493"/>
        <v/>
      </c>
      <c r="N4494" s="66" t="str">
        <f t="shared" si="494"/>
        <v/>
      </c>
      <c r="O4494" s="66" t="str">
        <f t="shared" si="495"/>
        <v/>
      </c>
      <c r="P4494" s="66" t="str">
        <f t="shared" si="496"/>
        <v/>
      </c>
    </row>
    <row r="4495" spans="8:16">
      <c r="H4495" s="66" t="e">
        <f>IF(LEFT(A4495,6)="CEPNTR","GPINS",VLOOKUP(LEFT(A4495,6),'Code Library'!$A$3:$B$920,2,0))&amp;"_"&amp;RIGHT(A4495,3)</f>
        <v>#N/A</v>
      </c>
      <c r="I4495" s="66">
        <f t="shared" si="490"/>
        <v>0</v>
      </c>
      <c r="K4495" s="66" t="str">
        <f t="shared" si="491"/>
        <v/>
      </c>
      <c r="L4495" s="66" t="str">
        <f t="shared" si="492"/>
        <v/>
      </c>
      <c r="M4495" s="66" t="str">
        <f t="shared" si="493"/>
        <v/>
      </c>
      <c r="N4495" s="66" t="str">
        <f t="shared" si="494"/>
        <v/>
      </c>
      <c r="O4495" s="66" t="str">
        <f t="shared" si="495"/>
        <v/>
      </c>
      <c r="P4495" s="66" t="str">
        <f t="shared" si="496"/>
        <v/>
      </c>
    </row>
    <row r="4496" spans="8:16">
      <c r="H4496" s="66" t="e">
        <f>IF(LEFT(A4496,6)="CEPNTR","GPINS",VLOOKUP(LEFT(A4496,6),'Code Library'!$A$3:$B$920,2,0))&amp;"_"&amp;RIGHT(A4496,3)</f>
        <v>#N/A</v>
      </c>
      <c r="I4496" s="66">
        <f t="shared" si="490"/>
        <v>0</v>
      </c>
      <c r="K4496" s="66" t="str">
        <f t="shared" si="491"/>
        <v/>
      </c>
      <c r="L4496" s="66" t="str">
        <f t="shared" si="492"/>
        <v/>
      </c>
      <c r="M4496" s="66" t="str">
        <f t="shared" si="493"/>
        <v/>
      </c>
      <c r="N4496" s="66" t="str">
        <f t="shared" si="494"/>
        <v/>
      </c>
      <c r="O4496" s="66" t="str">
        <f t="shared" si="495"/>
        <v/>
      </c>
      <c r="P4496" s="66" t="str">
        <f t="shared" si="496"/>
        <v/>
      </c>
    </row>
    <row r="4497" spans="8:16">
      <c r="H4497" s="66" t="e">
        <f>IF(LEFT(A4497,6)="CEPNTR","GPINS",VLOOKUP(LEFT(A4497,6),'Code Library'!$A$3:$B$920,2,0))&amp;"_"&amp;RIGHT(A4497,3)</f>
        <v>#N/A</v>
      </c>
      <c r="I4497" s="66">
        <f t="shared" si="490"/>
        <v>0</v>
      </c>
      <c r="K4497" s="66" t="str">
        <f t="shared" si="491"/>
        <v/>
      </c>
      <c r="L4497" s="66" t="str">
        <f t="shared" si="492"/>
        <v/>
      </c>
      <c r="M4497" s="66" t="str">
        <f t="shared" si="493"/>
        <v/>
      </c>
      <c r="N4497" s="66" t="str">
        <f t="shared" si="494"/>
        <v/>
      </c>
      <c r="O4497" s="66" t="str">
        <f t="shared" si="495"/>
        <v/>
      </c>
      <c r="P4497" s="66" t="str">
        <f t="shared" si="496"/>
        <v/>
      </c>
    </row>
    <row r="4498" spans="8:16">
      <c r="H4498" s="66" t="e">
        <f>IF(LEFT(A4498,6)="CEPNTR","GPINS",VLOOKUP(LEFT(A4498,6),'Code Library'!$A$3:$B$920,2,0))&amp;"_"&amp;RIGHT(A4498,3)</f>
        <v>#N/A</v>
      </c>
      <c r="I4498" s="66">
        <f t="shared" si="490"/>
        <v>0</v>
      </c>
      <c r="K4498" s="66" t="str">
        <f t="shared" si="491"/>
        <v/>
      </c>
      <c r="L4498" s="66" t="str">
        <f t="shared" si="492"/>
        <v/>
      </c>
      <c r="M4498" s="66" t="str">
        <f t="shared" si="493"/>
        <v/>
      </c>
      <c r="N4498" s="66" t="str">
        <f t="shared" si="494"/>
        <v/>
      </c>
      <c r="O4498" s="66" t="str">
        <f t="shared" si="495"/>
        <v/>
      </c>
      <c r="P4498" s="66" t="str">
        <f t="shared" si="496"/>
        <v/>
      </c>
    </row>
    <row r="4499" spans="8:16">
      <c r="H4499" s="66" t="e">
        <f>IF(LEFT(A4499,6)="CEPNTR","GPINS",VLOOKUP(LEFT(A4499,6),'Code Library'!$A$3:$B$920,2,0))&amp;"_"&amp;RIGHT(A4499,3)</f>
        <v>#N/A</v>
      </c>
      <c r="I4499" s="66">
        <f t="shared" si="490"/>
        <v>0</v>
      </c>
      <c r="K4499" s="66" t="str">
        <f t="shared" si="491"/>
        <v/>
      </c>
      <c r="L4499" s="66" t="str">
        <f t="shared" si="492"/>
        <v/>
      </c>
      <c r="M4499" s="66" t="str">
        <f t="shared" si="493"/>
        <v/>
      </c>
      <c r="N4499" s="66" t="str">
        <f t="shared" si="494"/>
        <v/>
      </c>
      <c r="O4499" s="66" t="str">
        <f t="shared" si="495"/>
        <v/>
      </c>
      <c r="P4499" s="66" t="str">
        <f t="shared" si="496"/>
        <v/>
      </c>
    </row>
    <row r="4500" spans="8:16">
      <c r="H4500" s="66" t="e">
        <f>IF(LEFT(A4500,6)="CEPNTR","GPINS",VLOOKUP(LEFT(A4500,6),'Code Library'!$A$3:$B$920,2,0))&amp;"_"&amp;RIGHT(A4500,3)</f>
        <v>#N/A</v>
      </c>
      <c r="I4500" s="66">
        <f t="shared" si="490"/>
        <v>0</v>
      </c>
      <c r="K4500" s="66" t="str">
        <f t="shared" si="491"/>
        <v/>
      </c>
      <c r="L4500" s="66" t="str">
        <f t="shared" si="492"/>
        <v/>
      </c>
      <c r="M4500" s="66" t="str">
        <f t="shared" si="493"/>
        <v/>
      </c>
      <c r="N4500" s="66" t="str">
        <f t="shared" si="494"/>
        <v/>
      </c>
      <c r="O4500" s="66" t="str">
        <f t="shared" si="495"/>
        <v/>
      </c>
      <c r="P4500" s="66" t="str">
        <f t="shared" si="496"/>
        <v/>
      </c>
    </row>
    <row r="4501" spans="8:16">
      <c r="H4501" s="66" t="e">
        <f>IF(LEFT(A4501,6)="CEPNTR","GPINS",VLOOKUP(LEFT(A4501,6),'Code Library'!$A$3:$B$920,2,0))&amp;"_"&amp;RIGHT(A4501,3)</f>
        <v>#N/A</v>
      </c>
      <c r="I4501" s="66">
        <f t="shared" si="490"/>
        <v>0</v>
      </c>
      <c r="K4501" s="66" t="str">
        <f t="shared" si="491"/>
        <v/>
      </c>
      <c r="L4501" s="66" t="str">
        <f t="shared" si="492"/>
        <v/>
      </c>
      <c r="M4501" s="66" t="str">
        <f t="shared" si="493"/>
        <v/>
      </c>
      <c r="N4501" s="66" t="str">
        <f t="shared" si="494"/>
        <v/>
      </c>
      <c r="O4501" s="66" t="str">
        <f t="shared" si="495"/>
        <v/>
      </c>
      <c r="P4501" s="66" t="str">
        <f t="shared" si="496"/>
        <v/>
      </c>
    </row>
    <row r="4502" spans="8:16">
      <c r="H4502" s="66" t="e">
        <f>IF(LEFT(A4502,6)="CEPNTR","GPINS",VLOOKUP(LEFT(A4502,6),'Code Library'!$A$3:$B$920,2,0))&amp;"_"&amp;RIGHT(A4502,3)</f>
        <v>#N/A</v>
      </c>
      <c r="I4502" s="66">
        <f t="shared" si="490"/>
        <v>0</v>
      </c>
      <c r="K4502" s="66" t="str">
        <f t="shared" si="491"/>
        <v/>
      </c>
      <c r="L4502" s="66" t="str">
        <f t="shared" si="492"/>
        <v/>
      </c>
      <c r="M4502" s="66" t="str">
        <f t="shared" si="493"/>
        <v/>
      </c>
      <c r="N4502" s="66" t="str">
        <f t="shared" si="494"/>
        <v/>
      </c>
      <c r="O4502" s="66" t="str">
        <f t="shared" si="495"/>
        <v/>
      </c>
      <c r="P4502" s="66" t="str">
        <f t="shared" si="496"/>
        <v/>
      </c>
    </row>
    <row r="4503" spans="8:16">
      <c r="H4503" s="66" t="e">
        <f>IF(LEFT(A4503,6)="CEPNTR","GPINS",VLOOKUP(LEFT(A4503,6),'Code Library'!$A$3:$B$920,2,0))&amp;"_"&amp;RIGHT(A4503,3)</f>
        <v>#N/A</v>
      </c>
      <c r="I4503" s="66">
        <f t="shared" si="490"/>
        <v>0</v>
      </c>
      <c r="K4503" s="66" t="str">
        <f t="shared" si="491"/>
        <v/>
      </c>
      <c r="L4503" s="66" t="str">
        <f t="shared" si="492"/>
        <v/>
      </c>
      <c r="M4503" s="66" t="str">
        <f t="shared" si="493"/>
        <v/>
      </c>
      <c r="N4503" s="66" t="str">
        <f t="shared" si="494"/>
        <v/>
      </c>
      <c r="O4503" s="66" t="str">
        <f t="shared" si="495"/>
        <v/>
      </c>
      <c r="P4503" s="66" t="str">
        <f t="shared" si="496"/>
        <v/>
      </c>
    </row>
    <row r="4504" spans="8:16">
      <c r="H4504" s="66" t="e">
        <f>IF(LEFT(A4504,6)="CEPNTR","GPINS",VLOOKUP(LEFT(A4504,6),'Code Library'!$A$3:$B$920,2,0))&amp;"_"&amp;RIGHT(A4504,3)</f>
        <v>#N/A</v>
      </c>
      <c r="I4504" s="66">
        <f t="shared" si="490"/>
        <v>0</v>
      </c>
      <c r="K4504" s="66" t="str">
        <f t="shared" si="491"/>
        <v/>
      </c>
      <c r="L4504" s="66" t="str">
        <f t="shared" si="492"/>
        <v/>
      </c>
      <c r="M4504" s="66" t="str">
        <f t="shared" si="493"/>
        <v/>
      </c>
      <c r="N4504" s="66" t="str">
        <f t="shared" si="494"/>
        <v/>
      </c>
      <c r="O4504" s="66" t="str">
        <f t="shared" si="495"/>
        <v/>
      </c>
      <c r="P4504" s="66" t="str">
        <f t="shared" si="496"/>
        <v/>
      </c>
    </row>
    <row r="4505" spans="8:16">
      <c r="H4505" s="66" t="e">
        <f>IF(LEFT(A4505,6)="CEPNTR","GPINS",VLOOKUP(LEFT(A4505,6),'Code Library'!$A$3:$B$920,2,0))&amp;"_"&amp;RIGHT(A4505,3)</f>
        <v>#N/A</v>
      </c>
      <c r="I4505" s="66">
        <f t="shared" si="490"/>
        <v>0</v>
      </c>
      <c r="K4505" s="66" t="str">
        <f t="shared" si="491"/>
        <v/>
      </c>
      <c r="L4505" s="66" t="str">
        <f t="shared" si="492"/>
        <v/>
      </c>
      <c r="M4505" s="66" t="str">
        <f t="shared" si="493"/>
        <v/>
      </c>
      <c r="N4505" s="66" t="str">
        <f t="shared" si="494"/>
        <v/>
      </c>
      <c r="O4505" s="66" t="str">
        <f t="shared" si="495"/>
        <v/>
      </c>
      <c r="P4505" s="66" t="str">
        <f t="shared" si="496"/>
        <v/>
      </c>
    </row>
    <row r="4506" spans="8:16">
      <c r="H4506" s="66" t="e">
        <f>IF(LEFT(A4506,6)="CEPNTR","GPINS",VLOOKUP(LEFT(A4506,6),'Code Library'!$A$3:$B$920,2,0))&amp;"_"&amp;RIGHT(A4506,3)</f>
        <v>#N/A</v>
      </c>
      <c r="I4506" s="66">
        <f t="shared" si="490"/>
        <v>0</v>
      </c>
      <c r="K4506" s="66" t="str">
        <f t="shared" si="491"/>
        <v/>
      </c>
      <c r="L4506" s="66" t="str">
        <f t="shared" si="492"/>
        <v/>
      </c>
      <c r="M4506" s="66" t="str">
        <f t="shared" si="493"/>
        <v/>
      </c>
      <c r="N4506" s="66" t="str">
        <f t="shared" si="494"/>
        <v/>
      </c>
      <c r="O4506" s="66" t="str">
        <f t="shared" si="495"/>
        <v/>
      </c>
      <c r="P4506" s="66" t="str">
        <f t="shared" si="496"/>
        <v/>
      </c>
    </row>
    <row r="4507" spans="8:16">
      <c r="H4507" s="66" t="e">
        <f>IF(LEFT(A4507,6)="CEPNTR","GPINS",VLOOKUP(LEFT(A4507,6),'Code Library'!$A$3:$B$920,2,0))&amp;"_"&amp;RIGHT(A4507,3)</f>
        <v>#N/A</v>
      </c>
      <c r="I4507" s="66">
        <f t="shared" si="490"/>
        <v>0</v>
      </c>
      <c r="K4507" s="66" t="str">
        <f t="shared" si="491"/>
        <v/>
      </c>
      <c r="L4507" s="66" t="str">
        <f t="shared" si="492"/>
        <v/>
      </c>
      <c r="M4507" s="66" t="str">
        <f t="shared" si="493"/>
        <v/>
      </c>
      <c r="N4507" s="66" t="str">
        <f t="shared" si="494"/>
        <v/>
      </c>
      <c r="O4507" s="66" t="str">
        <f t="shared" si="495"/>
        <v/>
      </c>
      <c r="P4507" s="66" t="str">
        <f t="shared" si="496"/>
        <v/>
      </c>
    </row>
    <row r="4508" spans="8:16">
      <c r="H4508" s="66" t="e">
        <f>IF(LEFT(A4508,6)="CEPNTR","GPINS",VLOOKUP(LEFT(A4508,6),'Code Library'!$A$3:$B$920,2,0))&amp;"_"&amp;RIGHT(A4508,3)</f>
        <v>#N/A</v>
      </c>
      <c r="I4508" s="66">
        <f t="shared" si="490"/>
        <v>0</v>
      </c>
      <c r="K4508" s="66" t="str">
        <f t="shared" si="491"/>
        <v/>
      </c>
      <c r="L4508" s="66" t="str">
        <f t="shared" si="492"/>
        <v/>
      </c>
      <c r="M4508" s="66" t="str">
        <f t="shared" si="493"/>
        <v/>
      </c>
      <c r="N4508" s="66" t="str">
        <f t="shared" si="494"/>
        <v/>
      </c>
      <c r="O4508" s="66" t="str">
        <f t="shared" si="495"/>
        <v/>
      </c>
      <c r="P4508" s="66" t="str">
        <f t="shared" si="496"/>
        <v/>
      </c>
    </row>
    <row r="4509" spans="8:16">
      <c r="H4509" s="66" t="e">
        <f>IF(LEFT(A4509,6)="CEPNTR","GPINS",VLOOKUP(LEFT(A4509,6),'Code Library'!$A$3:$B$920,2,0))&amp;"_"&amp;RIGHT(A4509,3)</f>
        <v>#N/A</v>
      </c>
      <c r="I4509" s="66">
        <f t="shared" si="490"/>
        <v>0</v>
      </c>
      <c r="K4509" s="66" t="str">
        <f t="shared" si="491"/>
        <v/>
      </c>
      <c r="L4509" s="66" t="str">
        <f t="shared" si="492"/>
        <v/>
      </c>
      <c r="M4509" s="66" t="str">
        <f t="shared" si="493"/>
        <v/>
      </c>
      <c r="N4509" s="66" t="str">
        <f t="shared" si="494"/>
        <v/>
      </c>
      <c r="O4509" s="66" t="str">
        <f t="shared" si="495"/>
        <v/>
      </c>
      <c r="P4509" s="66" t="str">
        <f t="shared" si="496"/>
        <v/>
      </c>
    </row>
    <row r="4510" spans="8:16">
      <c r="H4510" s="66" t="e">
        <f>IF(LEFT(A4510,6)="CEPNTR","GPINS",VLOOKUP(LEFT(A4510,6),'Code Library'!$A$3:$B$920,2,0))&amp;"_"&amp;RIGHT(A4510,3)</f>
        <v>#N/A</v>
      </c>
      <c r="I4510" s="66">
        <f t="shared" si="490"/>
        <v>0</v>
      </c>
      <c r="K4510" s="66" t="str">
        <f t="shared" si="491"/>
        <v/>
      </c>
      <c r="L4510" s="66" t="str">
        <f t="shared" si="492"/>
        <v/>
      </c>
      <c r="M4510" s="66" t="str">
        <f t="shared" si="493"/>
        <v/>
      </c>
      <c r="N4510" s="66" t="str">
        <f t="shared" si="494"/>
        <v/>
      </c>
      <c r="O4510" s="66" t="str">
        <f t="shared" si="495"/>
        <v/>
      </c>
      <c r="P4510" s="66" t="str">
        <f t="shared" si="496"/>
        <v/>
      </c>
    </row>
    <row r="4511" spans="8:16">
      <c r="H4511" s="66" t="e">
        <f>IF(LEFT(A4511,6)="CEPNTR","GPINS",VLOOKUP(LEFT(A4511,6),'Code Library'!$A$3:$B$920,2,0))&amp;"_"&amp;RIGHT(A4511,3)</f>
        <v>#N/A</v>
      </c>
      <c r="I4511" s="66">
        <f t="shared" si="490"/>
        <v>0</v>
      </c>
      <c r="K4511" s="66" t="str">
        <f t="shared" si="491"/>
        <v/>
      </c>
      <c r="L4511" s="66" t="str">
        <f t="shared" si="492"/>
        <v/>
      </c>
      <c r="M4511" s="66" t="str">
        <f t="shared" si="493"/>
        <v/>
      </c>
      <c r="N4511" s="66" t="str">
        <f t="shared" si="494"/>
        <v/>
      </c>
      <c r="O4511" s="66" t="str">
        <f t="shared" si="495"/>
        <v/>
      </c>
      <c r="P4511" s="66" t="str">
        <f t="shared" si="496"/>
        <v/>
      </c>
    </row>
    <row r="4512" spans="8:16">
      <c r="H4512" s="66" t="e">
        <f>IF(LEFT(A4512,6)="CEPNTR","GPINS",VLOOKUP(LEFT(A4512,6),'Code Library'!$A$3:$B$920,2,0))&amp;"_"&amp;RIGHT(A4512,3)</f>
        <v>#N/A</v>
      </c>
      <c r="I4512" s="66">
        <f t="shared" si="490"/>
        <v>0</v>
      </c>
      <c r="K4512" s="66" t="str">
        <f t="shared" si="491"/>
        <v/>
      </c>
      <c r="L4512" s="66" t="str">
        <f t="shared" si="492"/>
        <v/>
      </c>
      <c r="M4512" s="66" t="str">
        <f t="shared" si="493"/>
        <v/>
      </c>
      <c r="N4512" s="66" t="str">
        <f t="shared" si="494"/>
        <v/>
      </c>
      <c r="O4512" s="66" t="str">
        <f t="shared" si="495"/>
        <v/>
      </c>
      <c r="P4512" s="66" t="str">
        <f t="shared" si="496"/>
        <v/>
      </c>
    </row>
    <row r="4513" spans="8:16">
      <c r="H4513" s="66" t="e">
        <f>IF(LEFT(A4513,6)="CEPNTR","GPINS",VLOOKUP(LEFT(A4513,6),'Code Library'!$A$3:$B$920,2,0))&amp;"_"&amp;RIGHT(A4513,3)</f>
        <v>#N/A</v>
      </c>
      <c r="I4513" s="66">
        <f t="shared" si="490"/>
        <v>0</v>
      </c>
      <c r="K4513" s="66" t="str">
        <f t="shared" si="491"/>
        <v/>
      </c>
      <c r="L4513" s="66" t="str">
        <f t="shared" si="492"/>
        <v/>
      </c>
      <c r="M4513" s="66" t="str">
        <f t="shared" si="493"/>
        <v/>
      </c>
      <c r="N4513" s="66" t="str">
        <f t="shared" si="494"/>
        <v/>
      </c>
      <c r="O4513" s="66" t="str">
        <f t="shared" si="495"/>
        <v/>
      </c>
      <c r="P4513" s="66" t="str">
        <f t="shared" si="496"/>
        <v/>
      </c>
    </row>
    <row r="4514" spans="8:16">
      <c r="H4514" s="66" t="e">
        <f>IF(LEFT(A4514,6)="CEPNTR","GPINS",VLOOKUP(LEFT(A4514,6),'Code Library'!$A$3:$B$920,2,0))&amp;"_"&amp;RIGHT(A4514,3)</f>
        <v>#N/A</v>
      </c>
      <c r="I4514" s="66">
        <f t="shared" si="490"/>
        <v>0</v>
      </c>
      <c r="K4514" s="66" t="str">
        <f t="shared" si="491"/>
        <v/>
      </c>
      <c r="L4514" s="66" t="str">
        <f t="shared" si="492"/>
        <v/>
      </c>
      <c r="M4514" s="66" t="str">
        <f t="shared" si="493"/>
        <v/>
      </c>
      <c r="N4514" s="66" t="str">
        <f t="shared" si="494"/>
        <v/>
      </c>
      <c r="O4514" s="66" t="str">
        <f t="shared" si="495"/>
        <v/>
      </c>
      <c r="P4514" s="66" t="str">
        <f t="shared" si="496"/>
        <v/>
      </c>
    </row>
    <row r="4515" spans="8:16">
      <c r="H4515" s="66" t="e">
        <f>IF(LEFT(A4515,6)="CEPNTR","GPINS",VLOOKUP(LEFT(A4515,6),'Code Library'!$A$3:$B$920,2,0))&amp;"_"&amp;RIGHT(A4515,3)</f>
        <v>#N/A</v>
      </c>
      <c r="I4515" s="66">
        <f t="shared" si="490"/>
        <v>0</v>
      </c>
      <c r="K4515" s="66" t="str">
        <f t="shared" si="491"/>
        <v/>
      </c>
      <c r="L4515" s="66" t="str">
        <f t="shared" si="492"/>
        <v/>
      </c>
      <c r="M4515" s="66" t="str">
        <f t="shared" si="493"/>
        <v/>
      </c>
      <c r="N4515" s="66" t="str">
        <f t="shared" si="494"/>
        <v/>
      </c>
      <c r="O4515" s="66" t="str">
        <f t="shared" si="495"/>
        <v/>
      </c>
      <c r="P4515" s="66" t="str">
        <f t="shared" si="496"/>
        <v/>
      </c>
    </row>
    <row r="4516" spans="8:16">
      <c r="H4516" s="66" t="e">
        <f>IF(LEFT(A4516,6)="CEPNTR","GPINS",VLOOKUP(LEFT(A4516,6),'Code Library'!$A$3:$B$920,2,0))&amp;"_"&amp;RIGHT(A4516,3)</f>
        <v>#N/A</v>
      </c>
      <c r="I4516" s="66">
        <f t="shared" si="490"/>
        <v>0</v>
      </c>
      <c r="K4516" s="66" t="str">
        <f t="shared" si="491"/>
        <v/>
      </c>
      <c r="L4516" s="66" t="str">
        <f t="shared" si="492"/>
        <v/>
      </c>
      <c r="M4516" s="66" t="str">
        <f t="shared" si="493"/>
        <v/>
      </c>
      <c r="N4516" s="66" t="str">
        <f t="shared" si="494"/>
        <v/>
      </c>
      <c r="O4516" s="66" t="str">
        <f t="shared" si="495"/>
        <v/>
      </c>
      <c r="P4516" s="66" t="str">
        <f t="shared" si="496"/>
        <v/>
      </c>
    </row>
    <row r="4517" spans="8:16">
      <c r="H4517" s="66" t="e">
        <f>IF(LEFT(A4517,6)="CEPNTR","GPINS",VLOOKUP(LEFT(A4517,6),'Code Library'!$A$3:$B$920,2,0))&amp;"_"&amp;RIGHT(A4517,3)</f>
        <v>#N/A</v>
      </c>
      <c r="I4517" s="66">
        <f t="shared" si="490"/>
        <v>0</v>
      </c>
      <c r="K4517" s="66" t="str">
        <f t="shared" si="491"/>
        <v/>
      </c>
      <c r="L4517" s="66" t="str">
        <f t="shared" si="492"/>
        <v/>
      </c>
      <c r="M4517" s="66" t="str">
        <f t="shared" si="493"/>
        <v/>
      </c>
      <c r="N4517" s="66" t="str">
        <f t="shared" si="494"/>
        <v/>
      </c>
      <c r="O4517" s="66" t="str">
        <f t="shared" si="495"/>
        <v/>
      </c>
      <c r="P4517" s="66" t="str">
        <f t="shared" si="496"/>
        <v/>
      </c>
    </row>
    <row r="4518" spans="8:16">
      <c r="H4518" s="66" t="e">
        <f>IF(LEFT(A4518,6)="CEPNTR","GPINS",VLOOKUP(LEFT(A4518,6),'Code Library'!$A$3:$B$920,2,0))&amp;"_"&amp;RIGHT(A4518,3)</f>
        <v>#N/A</v>
      </c>
      <c r="I4518" s="66">
        <f t="shared" si="490"/>
        <v>0</v>
      </c>
      <c r="K4518" s="66" t="str">
        <f t="shared" si="491"/>
        <v/>
      </c>
      <c r="L4518" s="66" t="str">
        <f t="shared" si="492"/>
        <v/>
      </c>
      <c r="M4518" s="66" t="str">
        <f t="shared" si="493"/>
        <v/>
      </c>
      <c r="N4518" s="66" t="str">
        <f t="shared" si="494"/>
        <v/>
      </c>
      <c r="O4518" s="66" t="str">
        <f t="shared" si="495"/>
        <v/>
      </c>
      <c r="P4518" s="66" t="str">
        <f t="shared" si="496"/>
        <v/>
      </c>
    </row>
    <row r="4519" spans="8:16">
      <c r="H4519" s="66" t="e">
        <f>IF(LEFT(A4519,6)="CEPNTR","GPINS",VLOOKUP(LEFT(A4519,6),'Code Library'!$A$3:$B$920,2,0))&amp;"_"&amp;RIGHT(A4519,3)</f>
        <v>#N/A</v>
      </c>
      <c r="I4519" s="66">
        <f t="shared" si="490"/>
        <v>0</v>
      </c>
      <c r="K4519" s="66" t="str">
        <f t="shared" si="491"/>
        <v/>
      </c>
      <c r="L4519" s="66" t="str">
        <f t="shared" si="492"/>
        <v/>
      </c>
      <c r="M4519" s="66" t="str">
        <f t="shared" si="493"/>
        <v/>
      </c>
      <c r="N4519" s="66" t="str">
        <f t="shared" si="494"/>
        <v/>
      </c>
      <c r="O4519" s="66" t="str">
        <f t="shared" si="495"/>
        <v/>
      </c>
      <c r="P4519" s="66" t="str">
        <f t="shared" si="496"/>
        <v/>
      </c>
    </row>
    <row r="4520" spans="8:16">
      <c r="H4520" s="66" t="e">
        <f>IF(LEFT(A4520,6)="CEPNTR","GPINS",VLOOKUP(LEFT(A4520,6),'Code Library'!$A$3:$B$920,2,0))&amp;"_"&amp;RIGHT(A4520,3)</f>
        <v>#N/A</v>
      </c>
      <c r="I4520" s="66">
        <f t="shared" si="490"/>
        <v>0</v>
      </c>
      <c r="K4520" s="66" t="str">
        <f t="shared" si="491"/>
        <v/>
      </c>
      <c r="L4520" s="66" t="str">
        <f t="shared" si="492"/>
        <v/>
      </c>
      <c r="M4520" s="66" t="str">
        <f t="shared" si="493"/>
        <v/>
      </c>
      <c r="N4520" s="66" t="str">
        <f t="shared" si="494"/>
        <v/>
      </c>
      <c r="O4520" s="66" t="str">
        <f t="shared" si="495"/>
        <v/>
      </c>
      <c r="P4520" s="66" t="str">
        <f t="shared" si="496"/>
        <v/>
      </c>
    </row>
    <row r="4521" spans="8:16">
      <c r="H4521" s="66" t="e">
        <f>IF(LEFT(A4521,6)="CEPNTR","GPINS",VLOOKUP(LEFT(A4521,6),'Code Library'!$A$3:$B$920,2,0))&amp;"_"&amp;RIGHT(A4521,3)</f>
        <v>#N/A</v>
      </c>
      <c r="I4521" s="66">
        <f t="shared" si="490"/>
        <v>0</v>
      </c>
      <c r="K4521" s="66" t="str">
        <f t="shared" si="491"/>
        <v/>
      </c>
      <c r="L4521" s="66" t="str">
        <f t="shared" si="492"/>
        <v/>
      </c>
      <c r="M4521" s="66" t="str">
        <f t="shared" si="493"/>
        <v/>
      </c>
      <c r="N4521" s="66" t="str">
        <f t="shared" si="494"/>
        <v/>
      </c>
      <c r="O4521" s="66" t="str">
        <f t="shared" si="495"/>
        <v/>
      </c>
      <c r="P4521" s="66" t="str">
        <f t="shared" si="496"/>
        <v/>
      </c>
    </row>
    <row r="4522" spans="8:16">
      <c r="H4522" s="66" t="e">
        <f>IF(LEFT(A4522,6)="CEPNTR","GPINS",VLOOKUP(LEFT(A4522,6),'Code Library'!$A$3:$B$920,2,0))&amp;"_"&amp;RIGHT(A4522,3)</f>
        <v>#N/A</v>
      </c>
      <c r="I4522" s="66">
        <f t="shared" si="490"/>
        <v>0</v>
      </c>
      <c r="K4522" s="66" t="str">
        <f t="shared" si="491"/>
        <v/>
      </c>
      <c r="L4522" s="66" t="str">
        <f t="shared" si="492"/>
        <v/>
      </c>
      <c r="M4522" s="66" t="str">
        <f t="shared" si="493"/>
        <v/>
      </c>
      <c r="N4522" s="66" t="str">
        <f t="shared" si="494"/>
        <v/>
      </c>
      <c r="O4522" s="66" t="str">
        <f t="shared" si="495"/>
        <v/>
      </c>
      <c r="P4522" s="66" t="str">
        <f t="shared" si="496"/>
        <v/>
      </c>
    </row>
    <row r="4523" spans="8:16">
      <c r="H4523" s="66" t="e">
        <f>IF(LEFT(A4523,6)="CEPNTR","GPINS",VLOOKUP(LEFT(A4523,6),'Code Library'!$A$3:$B$920,2,0))&amp;"_"&amp;RIGHT(A4523,3)</f>
        <v>#N/A</v>
      </c>
      <c r="I4523" s="66">
        <f t="shared" si="490"/>
        <v>0</v>
      </c>
      <c r="K4523" s="66" t="str">
        <f t="shared" si="491"/>
        <v/>
      </c>
      <c r="L4523" s="66" t="str">
        <f t="shared" si="492"/>
        <v/>
      </c>
      <c r="M4523" s="66" t="str">
        <f t="shared" si="493"/>
        <v/>
      </c>
      <c r="N4523" s="66" t="str">
        <f t="shared" si="494"/>
        <v/>
      </c>
      <c r="O4523" s="66" t="str">
        <f t="shared" si="495"/>
        <v/>
      </c>
      <c r="P4523" s="66" t="str">
        <f t="shared" si="496"/>
        <v/>
      </c>
    </row>
    <row r="4524" spans="8:16">
      <c r="H4524" s="66" t="e">
        <f>IF(LEFT(A4524,6)="CEPNTR","GPINS",VLOOKUP(LEFT(A4524,6),'Code Library'!$A$3:$B$920,2,0))&amp;"_"&amp;RIGHT(A4524,3)</f>
        <v>#N/A</v>
      </c>
      <c r="I4524" s="66">
        <f t="shared" si="490"/>
        <v>0</v>
      </c>
      <c r="K4524" s="66" t="str">
        <f t="shared" si="491"/>
        <v/>
      </c>
      <c r="L4524" s="66" t="str">
        <f t="shared" si="492"/>
        <v/>
      </c>
      <c r="M4524" s="66" t="str">
        <f t="shared" si="493"/>
        <v/>
      </c>
      <c r="N4524" s="66" t="str">
        <f t="shared" si="494"/>
        <v/>
      </c>
      <c r="O4524" s="66" t="str">
        <f t="shared" si="495"/>
        <v/>
      </c>
      <c r="P4524" s="66" t="str">
        <f t="shared" si="496"/>
        <v/>
      </c>
    </row>
    <row r="4525" spans="8:16">
      <c r="H4525" s="66" t="e">
        <f>IF(LEFT(A4525,6)="CEPNTR","GPINS",VLOOKUP(LEFT(A4525,6),'Code Library'!$A$3:$B$920,2,0))&amp;"_"&amp;RIGHT(A4525,3)</f>
        <v>#N/A</v>
      </c>
      <c r="I4525" s="66">
        <f t="shared" si="490"/>
        <v>0</v>
      </c>
      <c r="K4525" s="66" t="str">
        <f t="shared" si="491"/>
        <v/>
      </c>
      <c r="L4525" s="66" t="str">
        <f t="shared" si="492"/>
        <v/>
      </c>
      <c r="M4525" s="66" t="str">
        <f t="shared" si="493"/>
        <v/>
      </c>
      <c r="N4525" s="66" t="str">
        <f t="shared" si="494"/>
        <v/>
      </c>
      <c r="O4525" s="66" t="str">
        <f t="shared" si="495"/>
        <v/>
      </c>
      <c r="P4525" s="66" t="str">
        <f t="shared" si="496"/>
        <v/>
      </c>
    </row>
    <row r="4526" spans="8:16">
      <c r="H4526" s="66" t="e">
        <f>IF(LEFT(A4526,6)="CEPNTR","GPINS",VLOOKUP(LEFT(A4526,6),'Code Library'!$A$3:$B$920,2,0))&amp;"_"&amp;RIGHT(A4526,3)</f>
        <v>#N/A</v>
      </c>
      <c r="I4526" s="66">
        <f t="shared" si="490"/>
        <v>0</v>
      </c>
      <c r="K4526" s="66" t="str">
        <f t="shared" si="491"/>
        <v/>
      </c>
      <c r="L4526" s="66" t="str">
        <f t="shared" si="492"/>
        <v/>
      </c>
      <c r="M4526" s="66" t="str">
        <f t="shared" si="493"/>
        <v/>
      </c>
      <c r="N4526" s="66" t="str">
        <f t="shared" si="494"/>
        <v/>
      </c>
      <c r="O4526" s="66" t="str">
        <f t="shared" si="495"/>
        <v/>
      </c>
      <c r="P4526" s="66" t="str">
        <f t="shared" si="496"/>
        <v/>
      </c>
    </row>
    <row r="4527" spans="8:16">
      <c r="H4527" s="66" t="e">
        <f>IF(LEFT(A4527,6)="CEPNTR","GPINS",VLOOKUP(LEFT(A4527,6),'Code Library'!$A$3:$B$920,2,0))&amp;"_"&amp;RIGHT(A4527,3)</f>
        <v>#N/A</v>
      </c>
      <c r="I4527" s="66">
        <f t="shared" si="490"/>
        <v>0</v>
      </c>
      <c r="K4527" s="66" t="str">
        <f t="shared" si="491"/>
        <v/>
      </c>
      <c r="L4527" s="66" t="str">
        <f t="shared" si="492"/>
        <v/>
      </c>
      <c r="M4527" s="66" t="str">
        <f t="shared" si="493"/>
        <v/>
      </c>
      <c r="N4527" s="66" t="str">
        <f t="shared" si="494"/>
        <v/>
      </c>
      <c r="O4527" s="66" t="str">
        <f t="shared" si="495"/>
        <v/>
      </c>
      <c r="P4527" s="66" t="str">
        <f t="shared" si="496"/>
        <v/>
      </c>
    </row>
    <row r="4528" spans="8:16">
      <c r="H4528" s="66" t="e">
        <f>IF(LEFT(A4528,6)="CEPNTR","GPINS",VLOOKUP(LEFT(A4528,6),'Code Library'!$A$3:$B$920,2,0))&amp;"_"&amp;RIGHT(A4528,3)</f>
        <v>#N/A</v>
      </c>
      <c r="I4528" s="66">
        <f t="shared" si="490"/>
        <v>0</v>
      </c>
      <c r="K4528" s="66" t="str">
        <f t="shared" si="491"/>
        <v/>
      </c>
      <c r="L4528" s="66" t="str">
        <f t="shared" si="492"/>
        <v/>
      </c>
      <c r="M4528" s="66" t="str">
        <f t="shared" si="493"/>
        <v/>
      </c>
      <c r="N4528" s="66" t="str">
        <f t="shared" si="494"/>
        <v/>
      </c>
      <c r="O4528" s="66" t="str">
        <f t="shared" si="495"/>
        <v/>
      </c>
      <c r="P4528" s="66" t="str">
        <f t="shared" si="496"/>
        <v/>
      </c>
    </row>
    <row r="4529" spans="8:16">
      <c r="H4529" s="66" t="e">
        <f>IF(LEFT(A4529,6)="CEPNTR","GPINS",VLOOKUP(LEFT(A4529,6),'Code Library'!$A$3:$B$920,2,0))&amp;"_"&amp;RIGHT(A4529,3)</f>
        <v>#N/A</v>
      </c>
      <c r="I4529" s="66">
        <f t="shared" si="490"/>
        <v>0</v>
      </c>
      <c r="K4529" s="66" t="str">
        <f t="shared" si="491"/>
        <v/>
      </c>
      <c r="L4529" s="66" t="str">
        <f t="shared" si="492"/>
        <v/>
      </c>
      <c r="M4529" s="66" t="str">
        <f t="shared" si="493"/>
        <v/>
      </c>
      <c r="N4529" s="66" t="str">
        <f t="shared" si="494"/>
        <v/>
      </c>
      <c r="O4529" s="66" t="str">
        <f t="shared" si="495"/>
        <v/>
      </c>
      <c r="P4529" s="66" t="str">
        <f t="shared" si="496"/>
        <v/>
      </c>
    </row>
    <row r="4530" spans="8:16">
      <c r="H4530" s="66" t="e">
        <f>IF(LEFT(A4530,6)="CEPNTR","GPINS",VLOOKUP(LEFT(A4530,6),'Code Library'!$A$3:$B$920,2,0))&amp;"_"&amp;RIGHT(A4530,3)</f>
        <v>#N/A</v>
      </c>
      <c r="I4530" s="66">
        <f t="shared" si="490"/>
        <v>0</v>
      </c>
      <c r="K4530" s="66" t="str">
        <f t="shared" si="491"/>
        <v/>
      </c>
      <c r="L4530" s="66" t="str">
        <f t="shared" si="492"/>
        <v/>
      </c>
      <c r="M4530" s="66" t="str">
        <f t="shared" si="493"/>
        <v/>
      </c>
      <c r="N4530" s="66" t="str">
        <f t="shared" si="494"/>
        <v/>
      </c>
      <c r="O4530" s="66" t="str">
        <f t="shared" si="495"/>
        <v/>
      </c>
      <c r="P4530" s="66" t="str">
        <f t="shared" si="496"/>
        <v/>
      </c>
    </row>
    <row r="4531" spans="8:16">
      <c r="H4531" s="66" t="e">
        <f>IF(LEFT(A4531,6)="CEPNTR","GPINS",VLOOKUP(LEFT(A4531,6),'Code Library'!$A$3:$B$920,2,0))&amp;"_"&amp;RIGHT(A4531,3)</f>
        <v>#N/A</v>
      </c>
      <c r="I4531" s="66">
        <f t="shared" si="490"/>
        <v>0</v>
      </c>
      <c r="K4531" s="66" t="str">
        <f t="shared" si="491"/>
        <v/>
      </c>
      <c r="L4531" s="66" t="str">
        <f t="shared" si="492"/>
        <v/>
      </c>
      <c r="M4531" s="66" t="str">
        <f t="shared" si="493"/>
        <v/>
      </c>
      <c r="N4531" s="66" t="str">
        <f t="shared" si="494"/>
        <v/>
      </c>
      <c r="O4531" s="66" t="str">
        <f t="shared" si="495"/>
        <v/>
      </c>
      <c r="P4531" s="66" t="str">
        <f t="shared" si="496"/>
        <v/>
      </c>
    </row>
    <row r="4532" spans="8:16">
      <c r="H4532" s="66" t="e">
        <f>IF(LEFT(A4532,6)="CEPNTR","GPINS",VLOOKUP(LEFT(A4532,6),'Code Library'!$A$3:$B$920,2,0))&amp;"_"&amp;RIGHT(A4532,3)</f>
        <v>#N/A</v>
      </c>
      <c r="I4532" s="66">
        <f t="shared" si="490"/>
        <v>0</v>
      </c>
      <c r="K4532" s="66" t="str">
        <f t="shared" si="491"/>
        <v/>
      </c>
      <c r="L4532" s="66" t="str">
        <f t="shared" si="492"/>
        <v/>
      </c>
      <c r="M4532" s="66" t="str">
        <f t="shared" si="493"/>
        <v/>
      </c>
      <c r="N4532" s="66" t="str">
        <f t="shared" si="494"/>
        <v/>
      </c>
      <c r="O4532" s="66" t="str">
        <f t="shared" si="495"/>
        <v/>
      </c>
      <c r="P4532" s="66" t="str">
        <f t="shared" si="496"/>
        <v/>
      </c>
    </row>
    <row r="4533" spans="8:16">
      <c r="H4533" s="66" t="e">
        <f>IF(LEFT(A4533,6)="CEPNTR","GPINS",VLOOKUP(LEFT(A4533,6),'Code Library'!$A$3:$B$920,2,0))&amp;"_"&amp;RIGHT(A4533,3)</f>
        <v>#N/A</v>
      </c>
      <c r="I4533" s="66">
        <f t="shared" si="490"/>
        <v>0</v>
      </c>
      <c r="K4533" s="66" t="str">
        <f t="shared" si="491"/>
        <v/>
      </c>
      <c r="L4533" s="66" t="str">
        <f t="shared" si="492"/>
        <v/>
      </c>
      <c r="M4533" s="66" t="str">
        <f t="shared" si="493"/>
        <v/>
      </c>
      <c r="N4533" s="66" t="str">
        <f t="shared" si="494"/>
        <v/>
      </c>
      <c r="O4533" s="66" t="str">
        <f t="shared" si="495"/>
        <v/>
      </c>
      <c r="P4533" s="66" t="str">
        <f t="shared" si="496"/>
        <v/>
      </c>
    </row>
    <row r="4534" spans="8:16">
      <c r="H4534" s="66" t="e">
        <f>IF(LEFT(A4534,6)="CEPNTR","GPINS",VLOOKUP(LEFT(A4534,6),'Code Library'!$A$3:$B$920,2,0))&amp;"_"&amp;RIGHT(A4534,3)</f>
        <v>#N/A</v>
      </c>
      <c r="I4534" s="66">
        <f t="shared" si="490"/>
        <v>0</v>
      </c>
      <c r="K4534" s="66" t="str">
        <f t="shared" si="491"/>
        <v/>
      </c>
      <c r="L4534" s="66" t="str">
        <f t="shared" si="492"/>
        <v/>
      </c>
      <c r="M4534" s="66" t="str">
        <f t="shared" si="493"/>
        <v/>
      </c>
      <c r="N4534" s="66" t="str">
        <f t="shared" si="494"/>
        <v/>
      </c>
      <c r="O4534" s="66" t="str">
        <f t="shared" si="495"/>
        <v/>
      </c>
      <c r="P4534" s="66" t="str">
        <f t="shared" si="496"/>
        <v/>
      </c>
    </row>
    <row r="4535" spans="8:16">
      <c r="H4535" s="66" t="e">
        <f>IF(LEFT(A4535,6)="CEPNTR","GPINS",VLOOKUP(LEFT(A4535,6),'Code Library'!$A$3:$B$920,2,0))&amp;"_"&amp;RIGHT(A4535,3)</f>
        <v>#N/A</v>
      </c>
      <c r="I4535" s="66">
        <f t="shared" si="490"/>
        <v>0</v>
      </c>
      <c r="K4535" s="66" t="str">
        <f t="shared" si="491"/>
        <v/>
      </c>
      <c r="L4535" s="66" t="str">
        <f t="shared" si="492"/>
        <v/>
      </c>
      <c r="M4535" s="66" t="str">
        <f t="shared" si="493"/>
        <v/>
      </c>
      <c r="N4535" s="66" t="str">
        <f t="shared" si="494"/>
        <v/>
      </c>
      <c r="O4535" s="66" t="str">
        <f t="shared" si="495"/>
        <v/>
      </c>
      <c r="P4535" s="66" t="str">
        <f t="shared" si="496"/>
        <v/>
      </c>
    </row>
    <row r="4536" spans="8:16">
      <c r="H4536" s="66" t="e">
        <f>IF(LEFT(A4536,6)="CEPNTR","GPINS",VLOOKUP(LEFT(A4536,6),'Code Library'!$A$3:$B$920,2,0))&amp;"_"&amp;RIGHT(A4536,3)</f>
        <v>#N/A</v>
      </c>
      <c r="I4536" s="66">
        <f t="shared" si="490"/>
        <v>0</v>
      </c>
      <c r="K4536" s="66" t="str">
        <f t="shared" si="491"/>
        <v/>
      </c>
      <c r="L4536" s="66" t="str">
        <f t="shared" si="492"/>
        <v/>
      </c>
      <c r="M4536" s="66" t="str">
        <f t="shared" si="493"/>
        <v/>
      </c>
      <c r="N4536" s="66" t="str">
        <f t="shared" si="494"/>
        <v/>
      </c>
      <c r="O4536" s="66" t="str">
        <f t="shared" si="495"/>
        <v/>
      </c>
      <c r="P4536" s="66" t="str">
        <f t="shared" si="496"/>
        <v/>
      </c>
    </row>
    <row r="4537" spans="8:16">
      <c r="H4537" s="66" t="e">
        <f>IF(LEFT(A4537,6)="CEPNTR","GPINS",VLOOKUP(LEFT(A4537,6),'Code Library'!$A$3:$B$920,2,0))&amp;"_"&amp;RIGHT(A4537,3)</f>
        <v>#N/A</v>
      </c>
      <c r="I4537" s="66">
        <f t="shared" si="490"/>
        <v>0</v>
      </c>
      <c r="K4537" s="66" t="str">
        <f t="shared" si="491"/>
        <v/>
      </c>
      <c r="L4537" s="66" t="str">
        <f t="shared" si="492"/>
        <v/>
      </c>
      <c r="M4537" s="66" t="str">
        <f t="shared" si="493"/>
        <v/>
      </c>
      <c r="N4537" s="66" t="str">
        <f t="shared" si="494"/>
        <v/>
      </c>
      <c r="O4537" s="66" t="str">
        <f t="shared" si="495"/>
        <v/>
      </c>
      <c r="P4537" s="66" t="str">
        <f t="shared" si="496"/>
        <v/>
      </c>
    </row>
    <row r="4538" spans="8:16">
      <c r="H4538" s="66" t="e">
        <f>IF(LEFT(A4538,6)="CEPNTR","GPINS",VLOOKUP(LEFT(A4538,6),'Code Library'!$A$3:$B$920,2,0))&amp;"_"&amp;RIGHT(A4538,3)</f>
        <v>#N/A</v>
      </c>
      <c r="I4538" s="66">
        <f t="shared" si="490"/>
        <v>0</v>
      </c>
      <c r="K4538" s="66" t="str">
        <f t="shared" si="491"/>
        <v/>
      </c>
      <c r="L4538" s="66" t="str">
        <f t="shared" si="492"/>
        <v/>
      </c>
      <c r="M4538" s="66" t="str">
        <f t="shared" si="493"/>
        <v/>
      </c>
      <c r="N4538" s="66" t="str">
        <f t="shared" si="494"/>
        <v/>
      </c>
      <c r="O4538" s="66" t="str">
        <f t="shared" si="495"/>
        <v/>
      </c>
      <c r="P4538" s="66" t="str">
        <f t="shared" si="496"/>
        <v/>
      </c>
    </row>
    <row r="4539" spans="8:16">
      <c r="H4539" s="66" t="e">
        <f>IF(LEFT(A4539,6)="CEPNTR","GPINS",VLOOKUP(LEFT(A4539,6),'Code Library'!$A$3:$B$920,2,0))&amp;"_"&amp;RIGHT(A4539,3)</f>
        <v>#N/A</v>
      </c>
      <c r="I4539" s="66">
        <f t="shared" si="490"/>
        <v>0</v>
      </c>
      <c r="K4539" s="66" t="str">
        <f t="shared" si="491"/>
        <v/>
      </c>
      <c r="L4539" s="66" t="str">
        <f t="shared" si="492"/>
        <v/>
      </c>
      <c r="M4539" s="66" t="str">
        <f t="shared" si="493"/>
        <v/>
      </c>
      <c r="N4539" s="66" t="str">
        <f t="shared" si="494"/>
        <v/>
      </c>
      <c r="O4539" s="66" t="str">
        <f t="shared" si="495"/>
        <v/>
      </c>
      <c r="P4539" s="66" t="str">
        <f t="shared" si="496"/>
        <v/>
      </c>
    </row>
    <row r="4540" spans="8:16">
      <c r="H4540" s="66" t="e">
        <f>IF(LEFT(A4540,6)="CEPNTR","GPINS",VLOOKUP(LEFT(A4540,6),'Code Library'!$A$3:$B$920,2,0))&amp;"_"&amp;RIGHT(A4540,3)</f>
        <v>#N/A</v>
      </c>
      <c r="I4540" s="66">
        <f t="shared" si="490"/>
        <v>0</v>
      </c>
      <c r="K4540" s="66" t="str">
        <f t="shared" si="491"/>
        <v/>
      </c>
      <c r="L4540" s="66" t="str">
        <f t="shared" si="492"/>
        <v/>
      </c>
      <c r="M4540" s="66" t="str">
        <f t="shared" si="493"/>
        <v/>
      </c>
      <c r="N4540" s="66" t="str">
        <f t="shared" si="494"/>
        <v/>
      </c>
      <c r="O4540" s="66" t="str">
        <f t="shared" si="495"/>
        <v/>
      </c>
      <c r="P4540" s="66" t="str">
        <f t="shared" si="496"/>
        <v/>
      </c>
    </row>
    <row r="4541" spans="8:16">
      <c r="H4541" s="66" t="e">
        <f>IF(LEFT(A4541,6)="CEPNTR","GPINS",VLOOKUP(LEFT(A4541,6),'Code Library'!$A$3:$B$920,2,0))&amp;"_"&amp;RIGHT(A4541,3)</f>
        <v>#N/A</v>
      </c>
      <c r="I4541" s="66">
        <f t="shared" si="490"/>
        <v>0</v>
      </c>
      <c r="K4541" s="66" t="str">
        <f t="shared" si="491"/>
        <v/>
      </c>
      <c r="L4541" s="66" t="str">
        <f t="shared" si="492"/>
        <v/>
      </c>
      <c r="M4541" s="66" t="str">
        <f t="shared" si="493"/>
        <v/>
      </c>
      <c r="N4541" s="66" t="str">
        <f t="shared" si="494"/>
        <v/>
      </c>
      <c r="O4541" s="66" t="str">
        <f t="shared" si="495"/>
        <v/>
      </c>
      <c r="P4541" s="66" t="str">
        <f t="shared" si="496"/>
        <v/>
      </c>
    </row>
    <row r="4542" spans="8:16">
      <c r="H4542" s="66" t="e">
        <f>IF(LEFT(A4542,6)="CEPNTR","GPINS",VLOOKUP(LEFT(A4542,6),'Code Library'!$A$3:$B$920,2,0))&amp;"_"&amp;RIGHT(A4542,3)</f>
        <v>#N/A</v>
      </c>
      <c r="I4542" s="66">
        <f t="shared" si="490"/>
        <v>0</v>
      </c>
      <c r="K4542" s="66" t="str">
        <f t="shared" si="491"/>
        <v/>
      </c>
      <c r="L4542" s="66" t="str">
        <f t="shared" si="492"/>
        <v/>
      </c>
      <c r="M4542" s="66" t="str">
        <f t="shared" si="493"/>
        <v/>
      </c>
      <c r="N4542" s="66" t="str">
        <f t="shared" si="494"/>
        <v/>
      </c>
      <c r="O4542" s="66" t="str">
        <f t="shared" si="495"/>
        <v/>
      </c>
      <c r="P4542" s="66" t="str">
        <f t="shared" si="496"/>
        <v/>
      </c>
    </row>
    <row r="4543" spans="8:16">
      <c r="H4543" s="66" t="e">
        <f>IF(LEFT(A4543,6)="CEPNTR","GPINS",VLOOKUP(LEFT(A4543,6),'Code Library'!$A$3:$B$920,2,0))&amp;"_"&amp;RIGHT(A4543,3)</f>
        <v>#N/A</v>
      </c>
      <c r="I4543" s="66">
        <f t="shared" si="490"/>
        <v>0</v>
      </c>
      <c r="K4543" s="66" t="str">
        <f t="shared" si="491"/>
        <v/>
      </c>
      <c r="L4543" s="66" t="str">
        <f t="shared" si="492"/>
        <v/>
      </c>
      <c r="M4543" s="66" t="str">
        <f t="shared" si="493"/>
        <v/>
      </c>
      <c r="N4543" s="66" t="str">
        <f t="shared" si="494"/>
        <v/>
      </c>
      <c r="O4543" s="66" t="str">
        <f t="shared" si="495"/>
        <v/>
      </c>
      <c r="P4543" s="66" t="str">
        <f t="shared" si="496"/>
        <v/>
      </c>
    </row>
    <row r="4544" spans="8:16">
      <c r="H4544" s="66" t="e">
        <f>IF(LEFT(A4544,6)="CEPNTR","GPINS",VLOOKUP(LEFT(A4544,6),'Code Library'!$A$3:$B$920,2,0))&amp;"_"&amp;RIGHT(A4544,3)</f>
        <v>#N/A</v>
      </c>
      <c r="I4544" s="66">
        <f t="shared" si="490"/>
        <v>0</v>
      </c>
      <c r="K4544" s="66" t="str">
        <f t="shared" si="491"/>
        <v/>
      </c>
      <c r="L4544" s="66" t="str">
        <f t="shared" si="492"/>
        <v/>
      </c>
      <c r="M4544" s="66" t="str">
        <f t="shared" si="493"/>
        <v/>
      </c>
      <c r="N4544" s="66" t="str">
        <f t="shared" si="494"/>
        <v/>
      </c>
      <c r="O4544" s="66" t="str">
        <f t="shared" si="495"/>
        <v/>
      </c>
      <c r="P4544" s="66" t="str">
        <f t="shared" si="496"/>
        <v/>
      </c>
    </row>
    <row r="4545" spans="8:16">
      <c r="H4545" s="66" t="e">
        <f>IF(LEFT(A4545,6)="CEPNTR","GPINS",VLOOKUP(LEFT(A4545,6),'Code Library'!$A$3:$B$920,2,0))&amp;"_"&amp;RIGHT(A4545,3)</f>
        <v>#N/A</v>
      </c>
      <c r="I4545" s="66">
        <f t="shared" si="490"/>
        <v>0</v>
      </c>
      <c r="K4545" s="66" t="str">
        <f t="shared" si="491"/>
        <v/>
      </c>
      <c r="L4545" s="66" t="str">
        <f t="shared" si="492"/>
        <v/>
      </c>
      <c r="M4545" s="66" t="str">
        <f t="shared" si="493"/>
        <v/>
      </c>
      <c r="N4545" s="66" t="str">
        <f t="shared" si="494"/>
        <v/>
      </c>
      <c r="O4545" s="66" t="str">
        <f t="shared" si="495"/>
        <v/>
      </c>
      <c r="P4545" s="66" t="str">
        <f t="shared" si="496"/>
        <v/>
      </c>
    </row>
    <row r="4546" spans="8:16">
      <c r="H4546" s="66" t="e">
        <f>IF(LEFT(A4546,6)="CEPNTR","GPINS",VLOOKUP(LEFT(A4546,6),'Code Library'!$A$3:$B$920,2,0))&amp;"_"&amp;RIGHT(A4546,3)</f>
        <v>#N/A</v>
      </c>
      <c r="I4546" s="66">
        <f t="shared" si="490"/>
        <v>0</v>
      </c>
      <c r="K4546" s="66" t="str">
        <f t="shared" si="491"/>
        <v/>
      </c>
      <c r="L4546" s="66" t="str">
        <f t="shared" si="492"/>
        <v/>
      </c>
      <c r="M4546" s="66" t="str">
        <f t="shared" si="493"/>
        <v/>
      </c>
      <c r="N4546" s="66" t="str">
        <f t="shared" si="494"/>
        <v/>
      </c>
      <c r="O4546" s="66" t="str">
        <f t="shared" si="495"/>
        <v/>
      </c>
      <c r="P4546" s="66" t="str">
        <f t="shared" si="496"/>
        <v/>
      </c>
    </row>
    <row r="4547" spans="8:16">
      <c r="H4547" s="66" t="e">
        <f>IF(LEFT(A4547,6)="CEPNTR","GPINS",VLOOKUP(LEFT(A4547,6),'Code Library'!$A$3:$B$920,2,0))&amp;"_"&amp;RIGHT(A4547,3)</f>
        <v>#N/A</v>
      </c>
      <c r="I4547" s="66">
        <f t="shared" ref="I4547:I4610" si="497">A4547</f>
        <v>0</v>
      </c>
      <c r="K4547" s="66" t="str">
        <f t="shared" ref="K4547:K4610" si="498">RIGHT($B4547,2)</f>
        <v/>
      </c>
      <c r="L4547" s="66" t="str">
        <f t="shared" ref="L4547:L4610" si="499">LEFT(RIGHT($B4547,7),4)</f>
        <v/>
      </c>
      <c r="M4547" s="66" t="str">
        <f t="shared" ref="M4547:M4610" si="500">LEFT(RIGHT($B4547,10),2)</f>
        <v/>
      </c>
      <c r="N4547" s="66" t="str">
        <f t="shared" ref="N4547:N4610" si="501">LEFT(RIGHT($B4547,14),3)</f>
        <v/>
      </c>
      <c r="O4547" s="66" t="str">
        <f t="shared" ref="O4547:O4610" si="502">LEFT(RIGHT($B4547,16),1)</f>
        <v/>
      </c>
      <c r="P4547" s="66" t="str">
        <f t="shared" ref="P4547:P4610" si="503">LEFT(RIGHT($B4547,19),2)</f>
        <v/>
      </c>
    </row>
    <row r="4548" spans="8:16">
      <c r="H4548" s="66" t="e">
        <f>IF(LEFT(A4548,6)="CEPNTR","GPINS",VLOOKUP(LEFT(A4548,6),'Code Library'!$A$3:$B$920,2,0))&amp;"_"&amp;RIGHT(A4548,3)</f>
        <v>#N/A</v>
      </c>
      <c r="I4548" s="66">
        <f t="shared" si="497"/>
        <v>0</v>
      </c>
      <c r="K4548" s="66" t="str">
        <f t="shared" si="498"/>
        <v/>
      </c>
      <c r="L4548" s="66" t="str">
        <f t="shared" si="499"/>
        <v/>
      </c>
      <c r="M4548" s="66" t="str">
        <f t="shared" si="500"/>
        <v/>
      </c>
      <c r="N4548" s="66" t="str">
        <f t="shared" si="501"/>
        <v/>
      </c>
      <c r="O4548" s="66" t="str">
        <f t="shared" si="502"/>
        <v/>
      </c>
      <c r="P4548" s="66" t="str">
        <f t="shared" si="503"/>
        <v/>
      </c>
    </row>
    <row r="4549" spans="8:16">
      <c r="H4549" s="66" t="e">
        <f>IF(LEFT(A4549,6)="CEPNTR","GPINS",VLOOKUP(LEFT(A4549,6),'Code Library'!$A$3:$B$920,2,0))&amp;"_"&amp;RIGHT(A4549,3)</f>
        <v>#N/A</v>
      </c>
      <c r="I4549" s="66">
        <f t="shared" si="497"/>
        <v>0</v>
      </c>
      <c r="K4549" s="66" t="str">
        <f t="shared" si="498"/>
        <v/>
      </c>
      <c r="L4549" s="66" t="str">
        <f t="shared" si="499"/>
        <v/>
      </c>
      <c r="M4549" s="66" t="str">
        <f t="shared" si="500"/>
        <v/>
      </c>
      <c r="N4549" s="66" t="str">
        <f t="shared" si="501"/>
        <v/>
      </c>
      <c r="O4549" s="66" t="str">
        <f t="shared" si="502"/>
        <v/>
      </c>
      <c r="P4549" s="66" t="str">
        <f t="shared" si="503"/>
        <v/>
      </c>
    </row>
    <row r="4550" spans="8:16">
      <c r="H4550" s="66" t="e">
        <f>IF(LEFT(A4550,6)="CEPNTR","GPINS",VLOOKUP(LEFT(A4550,6),'Code Library'!$A$3:$B$920,2,0))&amp;"_"&amp;RIGHT(A4550,3)</f>
        <v>#N/A</v>
      </c>
      <c r="I4550" s="66">
        <f t="shared" si="497"/>
        <v>0</v>
      </c>
      <c r="K4550" s="66" t="str">
        <f t="shared" si="498"/>
        <v/>
      </c>
      <c r="L4550" s="66" t="str">
        <f t="shared" si="499"/>
        <v/>
      </c>
      <c r="M4550" s="66" t="str">
        <f t="shared" si="500"/>
        <v/>
      </c>
      <c r="N4550" s="66" t="str">
        <f t="shared" si="501"/>
        <v/>
      </c>
      <c r="O4550" s="66" t="str">
        <f t="shared" si="502"/>
        <v/>
      </c>
      <c r="P4550" s="66" t="str">
        <f t="shared" si="503"/>
        <v/>
      </c>
    </row>
    <row r="4551" spans="8:16">
      <c r="H4551" s="66" t="e">
        <f>IF(LEFT(A4551,6)="CEPNTR","GPINS",VLOOKUP(LEFT(A4551,6),'Code Library'!$A$3:$B$920,2,0))&amp;"_"&amp;RIGHT(A4551,3)</f>
        <v>#N/A</v>
      </c>
      <c r="I4551" s="66">
        <f t="shared" si="497"/>
        <v>0</v>
      </c>
      <c r="K4551" s="66" t="str">
        <f t="shared" si="498"/>
        <v/>
      </c>
      <c r="L4551" s="66" t="str">
        <f t="shared" si="499"/>
        <v/>
      </c>
      <c r="M4551" s="66" t="str">
        <f t="shared" si="500"/>
        <v/>
      </c>
      <c r="N4551" s="66" t="str">
        <f t="shared" si="501"/>
        <v/>
      </c>
      <c r="O4551" s="66" t="str">
        <f t="shared" si="502"/>
        <v/>
      </c>
      <c r="P4551" s="66" t="str">
        <f t="shared" si="503"/>
        <v/>
      </c>
    </row>
    <row r="4552" spans="8:16">
      <c r="H4552" s="66" t="e">
        <f>IF(LEFT(A4552,6)="CEPNTR","GPINS",VLOOKUP(LEFT(A4552,6),'Code Library'!$A$3:$B$920,2,0))&amp;"_"&amp;RIGHT(A4552,3)</f>
        <v>#N/A</v>
      </c>
      <c r="I4552" s="66">
        <f t="shared" si="497"/>
        <v>0</v>
      </c>
      <c r="K4552" s="66" t="str">
        <f t="shared" si="498"/>
        <v/>
      </c>
      <c r="L4552" s="66" t="str">
        <f t="shared" si="499"/>
        <v/>
      </c>
      <c r="M4552" s="66" t="str">
        <f t="shared" si="500"/>
        <v/>
      </c>
      <c r="N4552" s="66" t="str">
        <f t="shared" si="501"/>
        <v/>
      </c>
      <c r="O4552" s="66" t="str">
        <f t="shared" si="502"/>
        <v/>
      </c>
      <c r="P4552" s="66" t="str">
        <f t="shared" si="503"/>
        <v/>
      </c>
    </row>
    <row r="4553" spans="8:16">
      <c r="H4553" s="66" t="e">
        <f>IF(LEFT(A4553,6)="CEPNTR","GPINS",VLOOKUP(LEFT(A4553,6),'Code Library'!$A$3:$B$920,2,0))&amp;"_"&amp;RIGHT(A4553,3)</f>
        <v>#N/A</v>
      </c>
      <c r="I4553" s="66">
        <f t="shared" si="497"/>
        <v>0</v>
      </c>
      <c r="K4553" s="66" t="str">
        <f t="shared" si="498"/>
        <v/>
      </c>
      <c r="L4553" s="66" t="str">
        <f t="shared" si="499"/>
        <v/>
      </c>
      <c r="M4553" s="66" t="str">
        <f t="shared" si="500"/>
        <v/>
      </c>
      <c r="N4553" s="66" t="str">
        <f t="shared" si="501"/>
        <v/>
      </c>
      <c r="O4553" s="66" t="str">
        <f t="shared" si="502"/>
        <v/>
      </c>
      <c r="P4553" s="66" t="str">
        <f t="shared" si="503"/>
        <v/>
      </c>
    </row>
    <row r="4554" spans="8:16">
      <c r="H4554" s="66" t="e">
        <f>IF(LEFT(A4554,6)="CEPNTR","GPINS",VLOOKUP(LEFT(A4554,6),'Code Library'!$A$3:$B$920,2,0))&amp;"_"&amp;RIGHT(A4554,3)</f>
        <v>#N/A</v>
      </c>
      <c r="I4554" s="66">
        <f t="shared" si="497"/>
        <v>0</v>
      </c>
      <c r="K4554" s="66" t="str">
        <f t="shared" si="498"/>
        <v/>
      </c>
      <c r="L4554" s="66" t="str">
        <f t="shared" si="499"/>
        <v/>
      </c>
      <c r="M4554" s="66" t="str">
        <f t="shared" si="500"/>
        <v/>
      </c>
      <c r="N4554" s="66" t="str">
        <f t="shared" si="501"/>
        <v/>
      </c>
      <c r="O4554" s="66" t="str">
        <f t="shared" si="502"/>
        <v/>
      </c>
      <c r="P4554" s="66" t="str">
        <f t="shared" si="503"/>
        <v/>
      </c>
    </row>
    <row r="4555" spans="8:16">
      <c r="H4555" s="66" t="e">
        <f>IF(LEFT(A4555,6)="CEPNTR","GPINS",VLOOKUP(LEFT(A4555,6),'Code Library'!$A$3:$B$920,2,0))&amp;"_"&amp;RIGHT(A4555,3)</f>
        <v>#N/A</v>
      </c>
      <c r="I4555" s="66">
        <f t="shared" si="497"/>
        <v>0</v>
      </c>
      <c r="K4555" s="66" t="str">
        <f t="shared" si="498"/>
        <v/>
      </c>
      <c r="L4555" s="66" t="str">
        <f t="shared" si="499"/>
        <v/>
      </c>
      <c r="M4555" s="66" t="str">
        <f t="shared" si="500"/>
        <v/>
      </c>
      <c r="N4555" s="66" t="str">
        <f t="shared" si="501"/>
        <v/>
      </c>
      <c r="O4555" s="66" t="str">
        <f t="shared" si="502"/>
        <v/>
      </c>
      <c r="P4555" s="66" t="str">
        <f t="shared" si="503"/>
        <v/>
      </c>
    </row>
    <row r="4556" spans="8:16">
      <c r="H4556" s="66" t="e">
        <f>IF(LEFT(A4556,6)="CEPNTR","GPINS",VLOOKUP(LEFT(A4556,6),'Code Library'!$A$3:$B$920,2,0))&amp;"_"&amp;RIGHT(A4556,3)</f>
        <v>#N/A</v>
      </c>
      <c r="I4556" s="66">
        <f t="shared" si="497"/>
        <v>0</v>
      </c>
      <c r="K4556" s="66" t="str">
        <f t="shared" si="498"/>
        <v/>
      </c>
      <c r="L4556" s="66" t="str">
        <f t="shared" si="499"/>
        <v/>
      </c>
      <c r="M4556" s="66" t="str">
        <f t="shared" si="500"/>
        <v/>
      </c>
      <c r="N4556" s="66" t="str">
        <f t="shared" si="501"/>
        <v/>
      </c>
      <c r="O4556" s="66" t="str">
        <f t="shared" si="502"/>
        <v/>
      </c>
      <c r="P4556" s="66" t="str">
        <f t="shared" si="503"/>
        <v/>
      </c>
    </row>
    <row r="4557" spans="8:16">
      <c r="H4557" s="66" t="e">
        <f>IF(LEFT(A4557,6)="CEPNTR","GPINS",VLOOKUP(LEFT(A4557,6),'Code Library'!$A$3:$B$920,2,0))&amp;"_"&amp;RIGHT(A4557,3)</f>
        <v>#N/A</v>
      </c>
      <c r="I4557" s="66">
        <f t="shared" si="497"/>
        <v>0</v>
      </c>
      <c r="K4557" s="66" t="str">
        <f t="shared" si="498"/>
        <v/>
      </c>
      <c r="L4557" s="66" t="str">
        <f t="shared" si="499"/>
        <v/>
      </c>
      <c r="M4557" s="66" t="str">
        <f t="shared" si="500"/>
        <v/>
      </c>
      <c r="N4557" s="66" t="str">
        <f t="shared" si="501"/>
        <v/>
      </c>
      <c r="O4557" s="66" t="str">
        <f t="shared" si="502"/>
        <v/>
      </c>
      <c r="P4557" s="66" t="str">
        <f t="shared" si="503"/>
        <v/>
      </c>
    </row>
    <row r="4558" spans="8:16">
      <c r="H4558" s="66" t="e">
        <f>IF(LEFT(A4558,6)="CEPNTR","GPINS",VLOOKUP(LEFT(A4558,6),'Code Library'!$A$3:$B$920,2,0))&amp;"_"&amp;RIGHT(A4558,3)</f>
        <v>#N/A</v>
      </c>
      <c r="I4558" s="66">
        <f t="shared" si="497"/>
        <v>0</v>
      </c>
      <c r="K4558" s="66" t="str">
        <f t="shared" si="498"/>
        <v/>
      </c>
      <c r="L4558" s="66" t="str">
        <f t="shared" si="499"/>
        <v/>
      </c>
      <c r="M4558" s="66" t="str">
        <f t="shared" si="500"/>
        <v/>
      </c>
      <c r="N4558" s="66" t="str">
        <f t="shared" si="501"/>
        <v/>
      </c>
      <c r="O4558" s="66" t="str">
        <f t="shared" si="502"/>
        <v/>
      </c>
      <c r="P4558" s="66" t="str">
        <f t="shared" si="503"/>
        <v/>
      </c>
    </row>
    <row r="4559" spans="8:16">
      <c r="H4559" s="66" t="e">
        <f>IF(LEFT(A4559,6)="CEPNTR","GPINS",VLOOKUP(LEFT(A4559,6),'Code Library'!$A$3:$B$920,2,0))&amp;"_"&amp;RIGHT(A4559,3)</f>
        <v>#N/A</v>
      </c>
      <c r="I4559" s="66">
        <f t="shared" si="497"/>
        <v>0</v>
      </c>
      <c r="K4559" s="66" t="str">
        <f t="shared" si="498"/>
        <v/>
      </c>
      <c r="L4559" s="66" t="str">
        <f t="shared" si="499"/>
        <v/>
      </c>
      <c r="M4559" s="66" t="str">
        <f t="shared" si="500"/>
        <v/>
      </c>
      <c r="N4559" s="66" t="str">
        <f t="shared" si="501"/>
        <v/>
      </c>
      <c r="O4559" s="66" t="str">
        <f t="shared" si="502"/>
        <v/>
      </c>
      <c r="P4559" s="66" t="str">
        <f t="shared" si="503"/>
        <v/>
      </c>
    </row>
    <row r="4560" spans="8:16">
      <c r="H4560" s="66" t="e">
        <f>IF(LEFT(A4560,6)="CEPNTR","GPINS",VLOOKUP(LEFT(A4560,6),'Code Library'!$A$3:$B$920,2,0))&amp;"_"&amp;RIGHT(A4560,3)</f>
        <v>#N/A</v>
      </c>
      <c r="I4560" s="66">
        <f t="shared" si="497"/>
        <v>0</v>
      </c>
      <c r="K4560" s="66" t="str">
        <f t="shared" si="498"/>
        <v/>
      </c>
      <c r="L4560" s="66" t="str">
        <f t="shared" si="499"/>
        <v/>
      </c>
      <c r="M4560" s="66" t="str">
        <f t="shared" si="500"/>
        <v/>
      </c>
      <c r="N4560" s="66" t="str">
        <f t="shared" si="501"/>
        <v/>
      </c>
      <c r="O4560" s="66" t="str">
        <f t="shared" si="502"/>
        <v/>
      </c>
      <c r="P4560" s="66" t="str">
        <f t="shared" si="503"/>
        <v/>
      </c>
    </row>
    <row r="4561" spans="8:16">
      <c r="H4561" s="66" t="e">
        <f>IF(LEFT(A4561,6)="CEPNTR","GPINS",VLOOKUP(LEFT(A4561,6),'Code Library'!$A$3:$B$920,2,0))&amp;"_"&amp;RIGHT(A4561,3)</f>
        <v>#N/A</v>
      </c>
      <c r="I4561" s="66">
        <f t="shared" si="497"/>
        <v>0</v>
      </c>
      <c r="K4561" s="66" t="str">
        <f t="shared" si="498"/>
        <v/>
      </c>
      <c r="L4561" s="66" t="str">
        <f t="shared" si="499"/>
        <v/>
      </c>
      <c r="M4561" s="66" t="str">
        <f t="shared" si="500"/>
        <v/>
      </c>
      <c r="N4561" s="66" t="str">
        <f t="shared" si="501"/>
        <v/>
      </c>
      <c r="O4561" s="66" t="str">
        <f t="shared" si="502"/>
        <v/>
      </c>
      <c r="P4561" s="66" t="str">
        <f t="shared" si="503"/>
        <v/>
      </c>
    </row>
    <row r="4562" spans="8:16">
      <c r="H4562" s="66" t="e">
        <f>IF(LEFT(A4562,6)="CEPNTR","GPINS",VLOOKUP(LEFT(A4562,6),'Code Library'!$A$3:$B$920,2,0))&amp;"_"&amp;RIGHT(A4562,3)</f>
        <v>#N/A</v>
      </c>
      <c r="I4562" s="66">
        <f t="shared" si="497"/>
        <v>0</v>
      </c>
      <c r="K4562" s="66" t="str">
        <f t="shared" si="498"/>
        <v/>
      </c>
      <c r="L4562" s="66" t="str">
        <f t="shared" si="499"/>
        <v/>
      </c>
      <c r="M4562" s="66" t="str">
        <f t="shared" si="500"/>
        <v/>
      </c>
      <c r="N4562" s="66" t="str">
        <f t="shared" si="501"/>
        <v/>
      </c>
      <c r="O4562" s="66" t="str">
        <f t="shared" si="502"/>
        <v/>
      </c>
      <c r="P4562" s="66" t="str">
        <f t="shared" si="503"/>
        <v/>
      </c>
    </row>
    <row r="4563" spans="8:16">
      <c r="H4563" s="66" t="e">
        <f>IF(LEFT(A4563,6)="CEPNTR","GPINS",VLOOKUP(LEFT(A4563,6),'Code Library'!$A$3:$B$920,2,0))&amp;"_"&amp;RIGHT(A4563,3)</f>
        <v>#N/A</v>
      </c>
      <c r="I4563" s="66">
        <f t="shared" si="497"/>
        <v>0</v>
      </c>
      <c r="K4563" s="66" t="str">
        <f t="shared" si="498"/>
        <v/>
      </c>
      <c r="L4563" s="66" t="str">
        <f t="shared" si="499"/>
        <v/>
      </c>
      <c r="M4563" s="66" t="str">
        <f t="shared" si="500"/>
        <v/>
      </c>
      <c r="N4563" s="66" t="str">
        <f t="shared" si="501"/>
        <v/>
      </c>
      <c r="O4563" s="66" t="str">
        <f t="shared" si="502"/>
        <v/>
      </c>
      <c r="P4563" s="66" t="str">
        <f t="shared" si="503"/>
        <v/>
      </c>
    </row>
    <row r="4564" spans="8:16">
      <c r="H4564" s="66" t="e">
        <f>IF(LEFT(A4564,6)="CEPNTR","GPINS",VLOOKUP(LEFT(A4564,6),'Code Library'!$A$3:$B$920,2,0))&amp;"_"&amp;RIGHT(A4564,3)</f>
        <v>#N/A</v>
      </c>
      <c r="I4564" s="66">
        <f t="shared" si="497"/>
        <v>0</v>
      </c>
      <c r="K4564" s="66" t="str">
        <f t="shared" si="498"/>
        <v/>
      </c>
      <c r="L4564" s="66" t="str">
        <f t="shared" si="499"/>
        <v/>
      </c>
      <c r="M4564" s="66" t="str">
        <f t="shared" si="500"/>
        <v/>
      </c>
      <c r="N4564" s="66" t="str">
        <f t="shared" si="501"/>
        <v/>
      </c>
      <c r="O4564" s="66" t="str">
        <f t="shared" si="502"/>
        <v/>
      </c>
      <c r="P4564" s="66" t="str">
        <f t="shared" si="503"/>
        <v/>
      </c>
    </row>
    <row r="4565" spans="8:16">
      <c r="H4565" s="66" t="e">
        <f>IF(LEFT(A4565,6)="CEPNTR","GPINS",VLOOKUP(LEFT(A4565,6),'Code Library'!$A$3:$B$920,2,0))&amp;"_"&amp;RIGHT(A4565,3)</f>
        <v>#N/A</v>
      </c>
      <c r="I4565" s="66">
        <f t="shared" si="497"/>
        <v>0</v>
      </c>
      <c r="K4565" s="66" t="str">
        <f t="shared" si="498"/>
        <v/>
      </c>
      <c r="L4565" s="66" t="str">
        <f t="shared" si="499"/>
        <v/>
      </c>
      <c r="M4565" s="66" t="str">
        <f t="shared" si="500"/>
        <v/>
      </c>
      <c r="N4565" s="66" t="str">
        <f t="shared" si="501"/>
        <v/>
      </c>
      <c r="O4565" s="66" t="str">
        <f t="shared" si="502"/>
        <v/>
      </c>
      <c r="P4565" s="66" t="str">
        <f t="shared" si="503"/>
        <v/>
      </c>
    </row>
    <row r="4566" spans="8:16">
      <c r="H4566" s="66" t="e">
        <f>IF(LEFT(A4566,6)="CEPNTR","GPINS",VLOOKUP(LEFT(A4566,6),'Code Library'!$A$3:$B$920,2,0))&amp;"_"&amp;RIGHT(A4566,3)</f>
        <v>#N/A</v>
      </c>
      <c r="I4566" s="66">
        <f t="shared" si="497"/>
        <v>0</v>
      </c>
      <c r="K4566" s="66" t="str">
        <f t="shared" si="498"/>
        <v/>
      </c>
      <c r="L4566" s="66" t="str">
        <f t="shared" si="499"/>
        <v/>
      </c>
      <c r="M4566" s="66" t="str">
        <f t="shared" si="500"/>
        <v/>
      </c>
      <c r="N4566" s="66" t="str">
        <f t="shared" si="501"/>
        <v/>
      </c>
      <c r="O4566" s="66" t="str">
        <f t="shared" si="502"/>
        <v/>
      </c>
      <c r="P4566" s="66" t="str">
        <f t="shared" si="503"/>
        <v/>
      </c>
    </row>
    <row r="4567" spans="8:16">
      <c r="H4567" s="66" t="e">
        <f>IF(LEFT(A4567,6)="CEPNTR","GPINS",VLOOKUP(LEFT(A4567,6),'Code Library'!$A$3:$B$920,2,0))&amp;"_"&amp;RIGHT(A4567,3)</f>
        <v>#N/A</v>
      </c>
      <c r="I4567" s="66">
        <f t="shared" si="497"/>
        <v>0</v>
      </c>
      <c r="K4567" s="66" t="str">
        <f t="shared" si="498"/>
        <v/>
      </c>
      <c r="L4567" s="66" t="str">
        <f t="shared" si="499"/>
        <v/>
      </c>
      <c r="M4567" s="66" t="str">
        <f t="shared" si="500"/>
        <v/>
      </c>
      <c r="N4567" s="66" t="str">
        <f t="shared" si="501"/>
        <v/>
      </c>
      <c r="O4567" s="66" t="str">
        <f t="shared" si="502"/>
        <v/>
      </c>
      <c r="P4567" s="66" t="str">
        <f t="shared" si="503"/>
        <v/>
      </c>
    </row>
    <row r="4568" spans="8:16">
      <c r="H4568" s="66" t="e">
        <f>IF(LEFT(A4568,6)="CEPNTR","GPINS",VLOOKUP(LEFT(A4568,6),'Code Library'!$A$3:$B$920,2,0))&amp;"_"&amp;RIGHT(A4568,3)</f>
        <v>#N/A</v>
      </c>
      <c r="I4568" s="66">
        <f t="shared" si="497"/>
        <v>0</v>
      </c>
      <c r="K4568" s="66" t="str">
        <f t="shared" si="498"/>
        <v/>
      </c>
      <c r="L4568" s="66" t="str">
        <f t="shared" si="499"/>
        <v/>
      </c>
      <c r="M4568" s="66" t="str">
        <f t="shared" si="500"/>
        <v/>
      </c>
      <c r="N4568" s="66" t="str">
        <f t="shared" si="501"/>
        <v/>
      </c>
      <c r="O4568" s="66" t="str">
        <f t="shared" si="502"/>
        <v/>
      </c>
      <c r="P4568" s="66" t="str">
        <f t="shared" si="503"/>
        <v/>
      </c>
    </row>
    <row r="4569" spans="8:16">
      <c r="H4569" s="66" t="e">
        <f>IF(LEFT(A4569,6)="CEPNTR","GPINS",VLOOKUP(LEFT(A4569,6),'Code Library'!$A$3:$B$920,2,0))&amp;"_"&amp;RIGHT(A4569,3)</f>
        <v>#N/A</v>
      </c>
      <c r="I4569" s="66">
        <f t="shared" si="497"/>
        <v>0</v>
      </c>
      <c r="K4569" s="66" t="str">
        <f t="shared" si="498"/>
        <v/>
      </c>
      <c r="L4569" s="66" t="str">
        <f t="shared" si="499"/>
        <v/>
      </c>
      <c r="M4569" s="66" t="str">
        <f t="shared" si="500"/>
        <v/>
      </c>
      <c r="N4569" s="66" t="str">
        <f t="shared" si="501"/>
        <v/>
      </c>
      <c r="O4569" s="66" t="str">
        <f t="shared" si="502"/>
        <v/>
      </c>
      <c r="P4569" s="66" t="str">
        <f t="shared" si="503"/>
        <v/>
      </c>
    </row>
    <row r="4570" spans="8:16">
      <c r="H4570" s="66" t="e">
        <f>IF(LEFT(A4570,6)="CEPNTR","GPINS",VLOOKUP(LEFT(A4570,6),'Code Library'!$A$3:$B$920,2,0))&amp;"_"&amp;RIGHT(A4570,3)</f>
        <v>#N/A</v>
      </c>
      <c r="I4570" s="66">
        <f t="shared" si="497"/>
        <v>0</v>
      </c>
      <c r="K4570" s="66" t="str">
        <f t="shared" si="498"/>
        <v/>
      </c>
      <c r="L4570" s="66" t="str">
        <f t="shared" si="499"/>
        <v/>
      </c>
      <c r="M4570" s="66" t="str">
        <f t="shared" si="500"/>
        <v/>
      </c>
      <c r="N4570" s="66" t="str">
        <f t="shared" si="501"/>
        <v/>
      </c>
      <c r="O4570" s="66" t="str">
        <f t="shared" si="502"/>
        <v/>
      </c>
      <c r="P4570" s="66" t="str">
        <f t="shared" si="503"/>
        <v/>
      </c>
    </row>
    <row r="4571" spans="8:16">
      <c r="H4571" s="66" t="e">
        <f>IF(LEFT(A4571,6)="CEPNTR","GPINS",VLOOKUP(LEFT(A4571,6),'Code Library'!$A$3:$B$920,2,0))&amp;"_"&amp;RIGHT(A4571,3)</f>
        <v>#N/A</v>
      </c>
      <c r="I4571" s="66">
        <f t="shared" si="497"/>
        <v>0</v>
      </c>
      <c r="K4571" s="66" t="str">
        <f t="shared" si="498"/>
        <v/>
      </c>
      <c r="L4571" s="66" t="str">
        <f t="shared" si="499"/>
        <v/>
      </c>
      <c r="M4571" s="66" t="str">
        <f t="shared" si="500"/>
        <v/>
      </c>
      <c r="N4571" s="66" t="str">
        <f t="shared" si="501"/>
        <v/>
      </c>
      <c r="O4571" s="66" t="str">
        <f t="shared" si="502"/>
        <v/>
      </c>
      <c r="P4571" s="66" t="str">
        <f t="shared" si="503"/>
        <v/>
      </c>
    </row>
    <row r="4572" spans="8:16">
      <c r="H4572" s="66" t="e">
        <f>IF(LEFT(A4572,6)="CEPNTR","GPINS",VLOOKUP(LEFT(A4572,6),'Code Library'!$A$3:$B$920,2,0))&amp;"_"&amp;RIGHT(A4572,3)</f>
        <v>#N/A</v>
      </c>
      <c r="I4572" s="66">
        <f t="shared" si="497"/>
        <v>0</v>
      </c>
      <c r="K4572" s="66" t="str">
        <f t="shared" si="498"/>
        <v/>
      </c>
      <c r="L4572" s="66" t="str">
        <f t="shared" si="499"/>
        <v/>
      </c>
      <c r="M4572" s="66" t="str">
        <f t="shared" si="500"/>
        <v/>
      </c>
      <c r="N4572" s="66" t="str">
        <f t="shared" si="501"/>
        <v/>
      </c>
      <c r="O4572" s="66" t="str">
        <f t="shared" si="502"/>
        <v/>
      </c>
      <c r="P4572" s="66" t="str">
        <f t="shared" si="503"/>
        <v/>
      </c>
    </row>
    <row r="4573" spans="8:16">
      <c r="H4573" s="66" t="e">
        <f>IF(LEFT(A4573,6)="CEPNTR","GPINS",VLOOKUP(LEFT(A4573,6),'Code Library'!$A$3:$B$920,2,0))&amp;"_"&amp;RIGHT(A4573,3)</f>
        <v>#N/A</v>
      </c>
      <c r="I4573" s="66">
        <f t="shared" si="497"/>
        <v>0</v>
      </c>
      <c r="K4573" s="66" t="str">
        <f t="shared" si="498"/>
        <v/>
      </c>
      <c r="L4573" s="66" t="str">
        <f t="shared" si="499"/>
        <v/>
      </c>
      <c r="M4573" s="66" t="str">
        <f t="shared" si="500"/>
        <v/>
      </c>
      <c r="N4573" s="66" t="str">
        <f t="shared" si="501"/>
        <v/>
      </c>
      <c r="O4573" s="66" t="str">
        <f t="shared" si="502"/>
        <v/>
      </c>
      <c r="P4573" s="66" t="str">
        <f t="shared" si="503"/>
        <v/>
      </c>
    </row>
    <row r="4574" spans="8:16">
      <c r="H4574" s="66" t="e">
        <f>IF(LEFT(A4574,6)="CEPNTR","GPINS",VLOOKUP(LEFT(A4574,6),'Code Library'!$A$3:$B$920,2,0))&amp;"_"&amp;RIGHT(A4574,3)</f>
        <v>#N/A</v>
      </c>
      <c r="I4574" s="66">
        <f t="shared" si="497"/>
        <v>0</v>
      </c>
      <c r="K4574" s="66" t="str">
        <f t="shared" si="498"/>
        <v/>
      </c>
      <c r="L4574" s="66" t="str">
        <f t="shared" si="499"/>
        <v/>
      </c>
      <c r="M4574" s="66" t="str">
        <f t="shared" si="500"/>
        <v/>
      </c>
      <c r="N4574" s="66" t="str">
        <f t="shared" si="501"/>
        <v/>
      </c>
      <c r="O4574" s="66" t="str">
        <f t="shared" si="502"/>
        <v/>
      </c>
      <c r="P4574" s="66" t="str">
        <f t="shared" si="503"/>
        <v/>
      </c>
    </row>
    <row r="4575" spans="8:16">
      <c r="H4575" s="66" t="e">
        <f>IF(LEFT(A4575,6)="CEPNTR","GPINS",VLOOKUP(LEFT(A4575,6),'Code Library'!$A$3:$B$920,2,0))&amp;"_"&amp;RIGHT(A4575,3)</f>
        <v>#N/A</v>
      </c>
      <c r="I4575" s="66">
        <f t="shared" si="497"/>
        <v>0</v>
      </c>
      <c r="K4575" s="66" t="str">
        <f t="shared" si="498"/>
        <v/>
      </c>
      <c r="L4575" s="66" t="str">
        <f t="shared" si="499"/>
        <v/>
      </c>
      <c r="M4575" s="66" t="str">
        <f t="shared" si="500"/>
        <v/>
      </c>
      <c r="N4575" s="66" t="str">
        <f t="shared" si="501"/>
        <v/>
      </c>
      <c r="O4575" s="66" t="str">
        <f t="shared" si="502"/>
        <v/>
      </c>
      <c r="P4575" s="66" t="str">
        <f t="shared" si="503"/>
        <v/>
      </c>
    </row>
    <row r="4576" spans="8:16">
      <c r="H4576" s="66" t="e">
        <f>IF(LEFT(A4576,6)="CEPNTR","GPINS",VLOOKUP(LEFT(A4576,6),'Code Library'!$A$3:$B$920,2,0))&amp;"_"&amp;RIGHT(A4576,3)</f>
        <v>#N/A</v>
      </c>
      <c r="I4576" s="66">
        <f t="shared" si="497"/>
        <v>0</v>
      </c>
      <c r="K4576" s="66" t="str">
        <f t="shared" si="498"/>
        <v/>
      </c>
      <c r="L4576" s="66" t="str">
        <f t="shared" si="499"/>
        <v/>
      </c>
      <c r="M4576" s="66" t="str">
        <f t="shared" si="500"/>
        <v/>
      </c>
      <c r="N4576" s="66" t="str">
        <f t="shared" si="501"/>
        <v/>
      </c>
      <c r="O4576" s="66" t="str">
        <f t="shared" si="502"/>
        <v/>
      </c>
      <c r="P4576" s="66" t="str">
        <f t="shared" si="503"/>
        <v/>
      </c>
    </row>
    <row r="4577" spans="8:16">
      <c r="H4577" s="66" t="e">
        <f>IF(LEFT(A4577,6)="CEPNTR","GPINS",VLOOKUP(LEFT(A4577,6),'Code Library'!$A$3:$B$920,2,0))&amp;"_"&amp;RIGHT(A4577,3)</f>
        <v>#N/A</v>
      </c>
      <c r="I4577" s="66">
        <f t="shared" si="497"/>
        <v>0</v>
      </c>
      <c r="K4577" s="66" t="str">
        <f t="shared" si="498"/>
        <v/>
      </c>
      <c r="L4577" s="66" t="str">
        <f t="shared" si="499"/>
        <v/>
      </c>
      <c r="M4577" s="66" t="str">
        <f t="shared" si="500"/>
        <v/>
      </c>
      <c r="N4577" s="66" t="str">
        <f t="shared" si="501"/>
        <v/>
      </c>
      <c r="O4577" s="66" t="str">
        <f t="shared" si="502"/>
        <v/>
      </c>
      <c r="P4577" s="66" t="str">
        <f t="shared" si="503"/>
        <v/>
      </c>
    </row>
    <row r="4578" spans="8:16">
      <c r="H4578" s="66" t="e">
        <f>IF(LEFT(A4578,6)="CEPNTR","GPINS",VLOOKUP(LEFT(A4578,6),'Code Library'!$A$3:$B$920,2,0))&amp;"_"&amp;RIGHT(A4578,3)</f>
        <v>#N/A</v>
      </c>
      <c r="I4578" s="66">
        <f t="shared" si="497"/>
        <v>0</v>
      </c>
      <c r="K4578" s="66" t="str">
        <f t="shared" si="498"/>
        <v/>
      </c>
      <c r="L4578" s="66" t="str">
        <f t="shared" si="499"/>
        <v/>
      </c>
      <c r="M4578" s="66" t="str">
        <f t="shared" si="500"/>
        <v/>
      </c>
      <c r="N4578" s="66" t="str">
        <f t="shared" si="501"/>
        <v/>
      </c>
      <c r="O4578" s="66" t="str">
        <f t="shared" si="502"/>
        <v/>
      </c>
      <c r="P4578" s="66" t="str">
        <f t="shared" si="503"/>
        <v/>
      </c>
    </row>
    <row r="4579" spans="8:16">
      <c r="H4579" s="66" t="e">
        <f>IF(LEFT(A4579,6)="CEPNTR","GPINS",VLOOKUP(LEFT(A4579,6),'Code Library'!$A$3:$B$920,2,0))&amp;"_"&amp;RIGHT(A4579,3)</f>
        <v>#N/A</v>
      </c>
      <c r="I4579" s="66">
        <f t="shared" si="497"/>
        <v>0</v>
      </c>
      <c r="K4579" s="66" t="str">
        <f t="shared" si="498"/>
        <v/>
      </c>
      <c r="L4579" s="66" t="str">
        <f t="shared" si="499"/>
        <v/>
      </c>
      <c r="M4579" s="66" t="str">
        <f t="shared" si="500"/>
        <v/>
      </c>
      <c r="N4579" s="66" t="str">
        <f t="shared" si="501"/>
        <v/>
      </c>
      <c r="O4579" s="66" t="str">
        <f t="shared" si="502"/>
        <v/>
      </c>
      <c r="P4579" s="66" t="str">
        <f t="shared" si="503"/>
        <v/>
      </c>
    </row>
    <row r="4580" spans="8:16">
      <c r="H4580" s="66" t="e">
        <f>IF(LEFT(A4580,6)="CEPNTR","GPINS",VLOOKUP(LEFT(A4580,6),'Code Library'!$A$3:$B$920,2,0))&amp;"_"&amp;RIGHT(A4580,3)</f>
        <v>#N/A</v>
      </c>
      <c r="I4580" s="66">
        <f t="shared" si="497"/>
        <v>0</v>
      </c>
      <c r="K4580" s="66" t="str">
        <f t="shared" si="498"/>
        <v/>
      </c>
      <c r="L4580" s="66" t="str">
        <f t="shared" si="499"/>
        <v/>
      </c>
      <c r="M4580" s="66" t="str">
        <f t="shared" si="500"/>
        <v/>
      </c>
      <c r="N4580" s="66" t="str">
        <f t="shared" si="501"/>
        <v/>
      </c>
      <c r="O4580" s="66" t="str">
        <f t="shared" si="502"/>
        <v/>
      </c>
      <c r="P4580" s="66" t="str">
        <f t="shared" si="503"/>
        <v/>
      </c>
    </row>
    <row r="4581" spans="8:16">
      <c r="H4581" s="66" t="e">
        <f>IF(LEFT(A4581,6)="CEPNTR","GPINS",VLOOKUP(LEFT(A4581,6),'Code Library'!$A$3:$B$920,2,0))&amp;"_"&amp;RIGHT(A4581,3)</f>
        <v>#N/A</v>
      </c>
      <c r="I4581" s="66">
        <f t="shared" si="497"/>
        <v>0</v>
      </c>
      <c r="K4581" s="66" t="str">
        <f t="shared" si="498"/>
        <v/>
      </c>
      <c r="L4581" s="66" t="str">
        <f t="shared" si="499"/>
        <v/>
      </c>
      <c r="M4581" s="66" t="str">
        <f t="shared" si="500"/>
        <v/>
      </c>
      <c r="N4581" s="66" t="str">
        <f t="shared" si="501"/>
        <v/>
      </c>
      <c r="O4581" s="66" t="str">
        <f t="shared" si="502"/>
        <v/>
      </c>
      <c r="P4581" s="66" t="str">
        <f t="shared" si="503"/>
        <v/>
      </c>
    </row>
    <row r="4582" spans="8:16">
      <c r="H4582" s="66" t="e">
        <f>IF(LEFT(A4582,6)="CEPNTR","GPINS",VLOOKUP(LEFT(A4582,6),'Code Library'!$A$3:$B$920,2,0))&amp;"_"&amp;RIGHT(A4582,3)</f>
        <v>#N/A</v>
      </c>
      <c r="I4582" s="66">
        <f t="shared" si="497"/>
        <v>0</v>
      </c>
      <c r="K4582" s="66" t="str">
        <f t="shared" si="498"/>
        <v/>
      </c>
      <c r="L4582" s="66" t="str">
        <f t="shared" si="499"/>
        <v/>
      </c>
      <c r="M4582" s="66" t="str">
        <f t="shared" si="500"/>
        <v/>
      </c>
      <c r="N4582" s="66" t="str">
        <f t="shared" si="501"/>
        <v/>
      </c>
      <c r="O4582" s="66" t="str">
        <f t="shared" si="502"/>
        <v/>
      </c>
      <c r="P4582" s="66" t="str">
        <f t="shared" si="503"/>
        <v/>
      </c>
    </row>
    <row r="4583" spans="8:16">
      <c r="H4583" s="66" t="e">
        <f>IF(LEFT(A4583,6)="CEPNTR","GPINS",VLOOKUP(LEFT(A4583,6),'Code Library'!$A$3:$B$920,2,0))&amp;"_"&amp;RIGHT(A4583,3)</f>
        <v>#N/A</v>
      </c>
      <c r="I4583" s="66">
        <f t="shared" si="497"/>
        <v>0</v>
      </c>
      <c r="K4583" s="66" t="str">
        <f t="shared" si="498"/>
        <v/>
      </c>
      <c r="L4583" s="66" t="str">
        <f t="shared" si="499"/>
        <v/>
      </c>
      <c r="M4583" s="66" t="str">
        <f t="shared" si="500"/>
        <v/>
      </c>
      <c r="N4583" s="66" t="str">
        <f t="shared" si="501"/>
        <v/>
      </c>
      <c r="O4583" s="66" t="str">
        <f t="shared" si="502"/>
        <v/>
      </c>
      <c r="P4583" s="66" t="str">
        <f t="shared" si="503"/>
        <v/>
      </c>
    </row>
    <row r="4584" spans="8:16">
      <c r="H4584" s="66" t="e">
        <f>IF(LEFT(A4584,6)="CEPNTR","GPINS",VLOOKUP(LEFT(A4584,6),'Code Library'!$A$3:$B$920,2,0))&amp;"_"&amp;RIGHT(A4584,3)</f>
        <v>#N/A</v>
      </c>
      <c r="I4584" s="66">
        <f t="shared" si="497"/>
        <v>0</v>
      </c>
      <c r="K4584" s="66" t="str">
        <f t="shared" si="498"/>
        <v/>
      </c>
      <c r="L4584" s="66" t="str">
        <f t="shared" si="499"/>
        <v/>
      </c>
      <c r="M4584" s="66" t="str">
        <f t="shared" si="500"/>
        <v/>
      </c>
      <c r="N4584" s="66" t="str">
        <f t="shared" si="501"/>
        <v/>
      </c>
      <c r="O4584" s="66" t="str">
        <f t="shared" si="502"/>
        <v/>
      </c>
      <c r="P4584" s="66" t="str">
        <f t="shared" si="503"/>
        <v/>
      </c>
    </row>
    <row r="4585" spans="8:16">
      <c r="H4585" s="66" t="e">
        <f>IF(LEFT(A4585,6)="CEPNTR","GPINS",VLOOKUP(LEFT(A4585,6),'Code Library'!$A$3:$B$920,2,0))&amp;"_"&amp;RIGHT(A4585,3)</f>
        <v>#N/A</v>
      </c>
      <c r="I4585" s="66">
        <f t="shared" si="497"/>
        <v>0</v>
      </c>
      <c r="K4585" s="66" t="str">
        <f t="shared" si="498"/>
        <v/>
      </c>
      <c r="L4585" s="66" t="str">
        <f t="shared" si="499"/>
        <v/>
      </c>
      <c r="M4585" s="66" t="str">
        <f t="shared" si="500"/>
        <v/>
      </c>
      <c r="N4585" s="66" t="str">
        <f t="shared" si="501"/>
        <v/>
      </c>
      <c r="O4585" s="66" t="str">
        <f t="shared" si="502"/>
        <v/>
      </c>
      <c r="P4585" s="66" t="str">
        <f t="shared" si="503"/>
        <v/>
      </c>
    </row>
    <row r="4586" spans="8:16">
      <c r="H4586" s="66" t="e">
        <f>IF(LEFT(A4586,6)="CEPNTR","GPINS",VLOOKUP(LEFT(A4586,6),'Code Library'!$A$3:$B$920,2,0))&amp;"_"&amp;RIGHT(A4586,3)</f>
        <v>#N/A</v>
      </c>
      <c r="I4586" s="66">
        <f t="shared" si="497"/>
        <v>0</v>
      </c>
      <c r="K4586" s="66" t="str">
        <f t="shared" si="498"/>
        <v/>
      </c>
      <c r="L4586" s="66" t="str">
        <f t="shared" si="499"/>
        <v/>
      </c>
      <c r="M4586" s="66" t="str">
        <f t="shared" si="500"/>
        <v/>
      </c>
      <c r="N4586" s="66" t="str">
        <f t="shared" si="501"/>
        <v/>
      </c>
      <c r="O4586" s="66" t="str">
        <f t="shared" si="502"/>
        <v/>
      </c>
      <c r="P4586" s="66" t="str">
        <f t="shared" si="503"/>
        <v/>
      </c>
    </row>
    <row r="4587" spans="8:16">
      <c r="H4587" s="66" t="e">
        <f>IF(LEFT(A4587,6)="CEPNTR","GPINS",VLOOKUP(LEFT(A4587,6),'Code Library'!$A$3:$B$920,2,0))&amp;"_"&amp;RIGHT(A4587,3)</f>
        <v>#N/A</v>
      </c>
      <c r="I4587" s="66">
        <f t="shared" si="497"/>
        <v>0</v>
      </c>
      <c r="K4587" s="66" t="str">
        <f t="shared" si="498"/>
        <v/>
      </c>
      <c r="L4587" s="66" t="str">
        <f t="shared" si="499"/>
        <v/>
      </c>
      <c r="M4587" s="66" t="str">
        <f t="shared" si="500"/>
        <v/>
      </c>
      <c r="N4587" s="66" t="str">
        <f t="shared" si="501"/>
        <v/>
      </c>
      <c r="O4587" s="66" t="str">
        <f t="shared" si="502"/>
        <v/>
      </c>
      <c r="P4587" s="66" t="str">
        <f t="shared" si="503"/>
        <v/>
      </c>
    </row>
    <row r="4588" spans="8:16">
      <c r="H4588" s="66" t="e">
        <f>IF(LEFT(A4588,6)="CEPNTR","GPINS",VLOOKUP(LEFT(A4588,6),'Code Library'!$A$3:$B$920,2,0))&amp;"_"&amp;RIGHT(A4588,3)</f>
        <v>#N/A</v>
      </c>
      <c r="I4588" s="66">
        <f t="shared" si="497"/>
        <v>0</v>
      </c>
      <c r="K4588" s="66" t="str">
        <f t="shared" si="498"/>
        <v/>
      </c>
      <c r="L4588" s="66" t="str">
        <f t="shared" si="499"/>
        <v/>
      </c>
      <c r="M4588" s="66" t="str">
        <f t="shared" si="500"/>
        <v/>
      </c>
      <c r="N4588" s="66" t="str">
        <f t="shared" si="501"/>
        <v/>
      </c>
      <c r="O4588" s="66" t="str">
        <f t="shared" si="502"/>
        <v/>
      </c>
      <c r="P4588" s="66" t="str">
        <f t="shared" si="503"/>
        <v/>
      </c>
    </row>
    <row r="4589" spans="8:16">
      <c r="H4589" s="66" t="e">
        <f>IF(LEFT(A4589,6)="CEPNTR","GPINS",VLOOKUP(LEFT(A4589,6),'Code Library'!$A$3:$B$920,2,0))&amp;"_"&amp;RIGHT(A4589,3)</f>
        <v>#N/A</v>
      </c>
      <c r="I4589" s="66">
        <f t="shared" si="497"/>
        <v>0</v>
      </c>
      <c r="K4589" s="66" t="str">
        <f t="shared" si="498"/>
        <v/>
      </c>
      <c r="L4589" s="66" t="str">
        <f t="shared" si="499"/>
        <v/>
      </c>
      <c r="M4589" s="66" t="str">
        <f t="shared" si="500"/>
        <v/>
      </c>
      <c r="N4589" s="66" t="str">
        <f t="shared" si="501"/>
        <v/>
      </c>
      <c r="O4589" s="66" t="str">
        <f t="shared" si="502"/>
        <v/>
      </c>
      <c r="P4589" s="66" t="str">
        <f t="shared" si="503"/>
        <v/>
      </c>
    </row>
    <row r="4590" spans="8:16">
      <c r="H4590" s="66" t="e">
        <f>IF(LEFT(A4590,6)="CEPNTR","GPINS",VLOOKUP(LEFT(A4590,6),'Code Library'!$A$3:$B$920,2,0))&amp;"_"&amp;RIGHT(A4590,3)</f>
        <v>#N/A</v>
      </c>
      <c r="I4590" s="66">
        <f t="shared" si="497"/>
        <v>0</v>
      </c>
      <c r="K4590" s="66" t="str">
        <f t="shared" si="498"/>
        <v/>
      </c>
      <c r="L4590" s="66" t="str">
        <f t="shared" si="499"/>
        <v/>
      </c>
      <c r="M4590" s="66" t="str">
        <f t="shared" si="500"/>
        <v/>
      </c>
      <c r="N4590" s="66" t="str">
        <f t="shared" si="501"/>
        <v/>
      </c>
      <c r="O4590" s="66" t="str">
        <f t="shared" si="502"/>
        <v/>
      </c>
      <c r="P4590" s="66" t="str">
        <f t="shared" si="503"/>
        <v/>
      </c>
    </row>
    <row r="4591" spans="8:16">
      <c r="H4591" s="66" t="e">
        <f>IF(LEFT(A4591,6)="CEPNTR","GPINS",VLOOKUP(LEFT(A4591,6),'Code Library'!$A$3:$B$920,2,0))&amp;"_"&amp;RIGHT(A4591,3)</f>
        <v>#N/A</v>
      </c>
      <c r="I4591" s="66">
        <f t="shared" si="497"/>
        <v>0</v>
      </c>
      <c r="K4591" s="66" t="str">
        <f t="shared" si="498"/>
        <v/>
      </c>
      <c r="L4591" s="66" t="str">
        <f t="shared" si="499"/>
        <v/>
      </c>
      <c r="M4591" s="66" t="str">
        <f t="shared" si="500"/>
        <v/>
      </c>
      <c r="N4591" s="66" t="str">
        <f t="shared" si="501"/>
        <v/>
      </c>
      <c r="O4591" s="66" t="str">
        <f t="shared" si="502"/>
        <v/>
      </c>
      <c r="P4591" s="66" t="str">
        <f t="shared" si="503"/>
        <v/>
      </c>
    </row>
    <row r="4592" spans="8:16">
      <c r="H4592" s="66" t="e">
        <f>IF(LEFT(A4592,6)="CEPNTR","GPINS",VLOOKUP(LEFT(A4592,6),'Code Library'!$A$3:$B$920,2,0))&amp;"_"&amp;RIGHT(A4592,3)</f>
        <v>#N/A</v>
      </c>
      <c r="I4592" s="66">
        <f t="shared" si="497"/>
        <v>0</v>
      </c>
      <c r="K4592" s="66" t="str">
        <f t="shared" si="498"/>
        <v/>
      </c>
      <c r="L4592" s="66" t="str">
        <f t="shared" si="499"/>
        <v/>
      </c>
      <c r="M4592" s="66" t="str">
        <f t="shared" si="500"/>
        <v/>
      </c>
      <c r="N4592" s="66" t="str">
        <f t="shared" si="501"/>
        <v/>
      </c>
      <c r="O4592" s="66" t="str">
        <f t="shared" si="502"/>
        <v/>
      </c>
      <c r="P4592" s="66" t="str">
        <f t="shared" si="503"/>
        <v/>
      </c>
    </row>
    <row r="4593" spans="8:16">
      <c r="H4593" s="66" t="e">
        <f>IF(LEFT(A4593,6)="CEPNTR","GPINS",VLOOKUP(LEFT(A4593,6),'Code Library'!$A$3:$B$920,2,0))&amp;"_"&amp;RIGHT(A4593,3)</f>
        <v>#N/A</v>
      </c>
      <c r="I4593" s="66">
        <f t="shared" si="497"/>
        <v>0</v>
      </c>
      <c r="K4593" s="66" t="str">
        <f t="shared" si="498"/>
        <v/>
      </c>
      <c r="L4593" s="66" t="str">
        <f t="shared" si="499"/>
        <v/>
      </c>
      <c r="M4593" s="66" t="str">
        <f t="shared" si="500"/>
        <v/>
      </c>
      <c r="N4593" s="66" t="str">
        <f t="shared" si="501"/>
        <v/>
      </c>
      <c r="O4593" s="66" t="str">
        <f t="shared" si="502"/>
        <v/>
      </c>
      <c r="P4593" s="66" t="str">
        <f t="shared" si="503"/>
        <v/>
      </c>
    </row>
    <row r="4594" spans="8:16">
      <c r="H4594" s="66" t="e">
        <f>IF(LEFT(A4594,6)="CEPNTR","GPINS",VLOOKUP(LEFT(A4594,6),'Code Library'!$A$3:$B$920,2,0))&amp;"_"&amp;RIGHT(A4594,3)</f>
        <v>#N/A</v>
      </c>
      <c r="I4594" s="66">
        <f t="shared" si="497"/>
        <v>0</v>
      </c>
      <c r="K4594" s="66" t="str">
        <f t="shared" si="498"/>
        <v/>
      </c>
      <c r="L4594" s="66" t="str">
        <f t="shared" si="499"/>
        <v/>
      </c>
      <c r="M4594" s="66" t="str">
        <f t="shared" si="500"/>
        <v/>
      </c>
      <c r="N4594" s="66" t="str">
        <f t="shared" si="501"/>
        <v/>
      </c>
      <c r="O4594" s="66" t="str">
        <f t="shared" si="502"/>
        <v/>
      </c>
      <c r="P4594" s="66" t="str">
        <f t="shared" si="503"/>
        <v/>
      </c>
    </row>
    <row r="4595" spans="8:16">
      <c r="H4595" s="66" t="e">
        <f>IF(LEFT(A4595,6)="CEPNTR","GPINS",VLOOKUP(LEFT(A4595,6),'Code Library'!$A$3:$B$920,2,0))&amp;"_"&amp;RIGHT(A4595,3)</f>
        <v>#N/A</v>
      </c>
      <c r="I4595" s="66">
        <f t="shared" si="497"/>
        <v>0</v>
      </c>
      <c r="K4595" s="66" t="str">
        <f t="shared" si="498"/>
        <v/>
      </c>
      <c r="L4595" s="66" t="str">
        <f t="shared" si="499"/>
        <v/>
      </c>
      <c r="M4595" s="66" t="str">
        <f t="shared" si="500"/>
        <v/>
      </c>
      <c r="N4595" s="66" t="str">
        <f t="shared" si="501"/>
        <v/>
      </c>
      <c r="O4595" s="66" t="str">
        <f t="shared" si="502"/>
        <v/>
      </c>
      <c r="P4595" s="66" t="str">
        <f t="shared" si="503"/>
        <v/>
      </c>
    </row>
    <row r="4596" spans="8:16">
      <c r="H4596" s="66" t="e">
        <f>IF(LEFT(A4596,6)="CEPNTR","GPINS",VLOOKUP(LEFT(A4596,6),'Code Library'!$A$3:$B$920,2,0))&amp;"_"&amp;RIGHT(A4596,3)</f>
        <v>#N/A</v>
      </c>
      <c r="I4596" s="66">
        <f t="shared" si="497"/>
        <v>0</v>
      </c>
      <c r="K4596" s="66" t="str">
        <f t="shared" si="498"/>
        <v/>
      </c>
      <c r="L4596" s="66" t="str">
        <f t="shared" si="499"/>
        <v/>
      </c>
      <c r="M4596" s="66" t="str">
        <f t="shared" si="500"/>
        <v/>
      </c>
      <c r="N4596" s="66" t="str">
        <f t="shared" si="501"/>
        <v/>
      </c>
      <c r="O4596" s="66" t="str">
        <f t="shared" si="502"/>
        <v/>
      </c>
      <c r="P4596" s="66" t="str">
        <f t="shared" si="503"/>
        <v/>
      </c>
    </row>
    <row r="4597" spans="8:16">
      <c r="H4597" s="66" t="e">
        <f>IF(LEFT(A4597,6)="CEPNTR","GPINS",VLOOKUP(LEFT(A4597,6),'Code Library'!$A$3:$B$920,2,0))&amp;"_"&amp;RIGHT(A4597,3)</f>
        <v>#N/A</v>
      </c>
      <c r="I4597" s="66">
        <f t="shared" si="497"/>
        <v>0</v>
      </c>
      <c r="K4597" s="66" t="str">
        <f t="shared" si="498"/>
        <v/>
      </c>
      <c r="L4597" s="66" t="str">
        <f t="shared" si="499"/>
        <v/>
      </c>
      <c r="M4597" s="66" t="str">
        <f t="shared" si="500"/>
        <v/>
      </c>
      <c r="N4597" s="66" t="str">
        <f t="shared" si="501"/>
        <v/>
      </c>
      <c r="O4597" s="66" t="str">
        <f t="shared" si="502"/>
        <v/>
      </c>
      <c r="P4597" s="66" t="str">
        <f t="shared" si="503"/>
        <v/>
      </c>
    </row>
    <row r="4598" spans="8:16">
      <c r="H4598" s="66" t="e">
        <f>IF(LEFT(A4598,6)="CEPNTR","GPINS",VLOOKUP(LEFT(A4598,6),'Code Library'!$A$3:$B$920,2,0))&amp;"_"&amp;RIGHT(A4598,3)</f>
        <v>#N/A</v>
      </c>
      <c r="I4598" s="66">
        <f t="shared" si="497"/>
        <v>0</v>
      </c>
      <c r="K4598" s="66" t="str">
        <f t="shared" si="498"/>
        <v/>
      </c>
      <c r="L4598" s="66" t="str">
        <f t="shared" si="499"/>
        <v/>
      </c>
      <c r="M4598" s="66" t="str">
        <f t="shared" si="500"/>
        <v/>
      </c>
      <c r="N4598" s="66" t="str">
        <f t="shared" si="501"/>
        <v/>
      </c>
      <c r="O4598" s="66" t="str">
        <f t="shared" si="502"/>
        <v/>
      </c>
      <c r="P4598" s="66" t="str">
        <f t="shared" si="503"/>
        <v/>
      </c>
    </row>
    <row r="4599" spans="8:16">
      <c r="H4599" s="66" t="e">
        <f>IF(LEFT(A4599,6)="CEPNTR","GPINS",VLOOKUP(LEFT(A4599,6),'Code Library'!$A$3:$B$920,2,0))&amp;"_"&amp;RIGHT(A4599,3)</f>
        <v>#N/A</v>
      </c>
      <c r="I4599" s="66">
        <f t="shared" si="497"/>
        <v>0</v>
      </c>
      <c r="K4599" s="66" t="str">
        <f t="shared" si="498"/>
        <v/>
      </c>
      <c r="L4599" s="66" t="str">
        <f t="shared" si="499"/>
        <v/>
      </c>
      <c r="M4599" s="66" t="str">
        <f t="shared" si="500"/>
        <v/>
      </c>
      <c r="N4599" s="66" t="str">
        <f t="shared" si="501"/>
        <v/>
      </c>
      <c r="O4599" s="66" t="str">
        <f t="shared" si="502"/>
        <v/>
      </c>
      <c r="P4599" s="66" t="str">
        <f t="shared" si="503"/>
        <v/>
      </c>
    </row>
    <row r="4600" spans="8:16">
      <c r="H4600" s="66" t="e">
        <f>IF(LEFT(A4600,6)="CEPNTR","GPINS",VLOOKUP(LEFT(A4600,6),'Code Library'!$A$3:$B$920,2,0))&amp;"_"&amp;RIGHT(A4600,3)</f>
        <v>#N/A</v>
      </c>
      <c r="I4600" s="66">
        <f t="shared" si="497"/>
        <v>0</v>
      </c>
      <c r="K4600" s="66" t="str">
        <f t="shared" si="498"/>
        <v/>
      </c>
      <c r="L4600" s="66" t="str">
        <f t="shared" si="499"/>
        <v/>
      </c>
      <c r="M4600" s="66" t="str">
        <f t="shared" si="500"/>
        <v/>
      </c>
      <c r="N4600" s="66" t="str">
        <f t="shared" si="501"/>
        <v/>
      </c>
      <c r="O4600" s="66" t="str">
        <f t="shared" si="502"/>
        <v/>
      </c>
      <c r="P4600" s="66" t="str">
        <f t="shared" si="503"/>
        <v/>
      </c>
    </row>
    <row r="4601" spans="8:16">
      <c r="H4601" s="66" t="e">
        <f>IF(LEFT(A4601,6)="CEPNTR","GPINS",VLOOKUP(LEFT(A4601,6),'Code Library'!$A$3:$B$920,2,0))&amp;"_"&amp;RIGHT(A4601,3)</f>
        <v>#N/A</v>
      </c>
      <c r="I4601" s="66">
        <f t="shared" si="497"/>
        <v>0</v>
      </c>
      <c r="K4601" s="66" t="str">
        <f t="shared" si="498"/>
        <v/>
      </c>
      <c r="L4601" s="66" t="str">
        <f t="shared" si="499"/>
        <v/>
      </c>
      <c r="M4601" s="66" t="str">
        <f t="shared" si="500"/>
        <v/>
      </c>
      <c r="N4601" s="66" t="str">
        <f t="shared" si="501"/>
        <v/>
      </c>
      <c r="O4601" s="66" t="str">
        <f t="shared" si="502"/>
        <v/>
      </c>
      <c r="P4601" s="66" t="str">
        <f t="shared" si="503"/>
        <v/>
      </c>
    </row>
    <row r="4602" spans="8:16">
      <c r="H4602" s="66" t="e">
        <f>IF(LEFT(A4602,6)="CEPNTR","GPINS",VLOOKUP(LEFT(A4602,6),'Code Library'!$A$3:$B$920,2,0))&amp;"_"&amp;RIGHT(A4602,3)</f>
        <v>#N/A</v>
      </c>
      <c r="I4602" s="66">
        <f t="shared" si="497"/>
        <v>0</v>
      </c>
      <c r="K4602" s="66" t="str">
        <f t="shared" si="498"/>
        <v/>
      </c>
      <c r="L4602" s="66" t="str">
        <f t="shared" si="499"/>
        <v/>
      </c>
      <c r="M4602" s="66" t="str">
        <f t="shared" si="500"/>
        <v/>
      </c>
      <c r="N4602" s="66" t="str">
        <f t="shared" si="501"/>
        <v/>
      </c>
      <c r="O4602" s="66" t="str">
        <f t="shared" si="502"/>
        <v/>
      </c>
      <c r="P4602" s="66" t="str">
        <f t="shared" si="503"/>
        <v/>
      </c>
    </row>
    <row r="4603" spans="8:16">
      <c r="H4603" s="66" t="e">
        <f>IF(LEFT(A4603,6)="CEPNTR","GPINS",VLOOKUP(LEFT(A4603,6),'Code Library'!$A$3:$B$920,2,0))&amp;"_"&amp;RIGHT(A4603,3)</f>
        <v>#N/A</v>
      </c>
      <c r="I4603" s="66">
        <f t="shared" si="497"/>
        <v>0</v>
      </c>
      <c r="K4603" s="66" t="str">
        <f t="shared" si="498"/>
        <v/>
      </c>
      <c r="L4603" s="66" t="str">
        <f t="shared" si="499"/>
        <v/>
      </c>
      <c r="M4603" s="66" t="str">
        <f t="shared" si="500"/>
        <v/>
      </c>
      <c r="N4603" s="66" t="str">
        <f t="shared" si="501"/>
        <v/>
      </c>
      <c r="O4603" s="66" t="str">
        <f t="shared" si="502"/>
        <v/>
      </c>
      <c r="P4603" s="66" t="str">
        <f t="shared" si="503"/>
        <v/>
      </c>
    </row>
    <row r="4604" spans="8:16">
      <c r="H4604" s="66" t="e">
        <f>IF(LEFT(A4604,6)="CEPNTR","GPINS",VLOOKUP(LEFT(A4604,6),'Code Library'!$A$3:$B$920,2,0))&amp;"_"&amp;RIGHT(A4604,3)</f>
        <v>#N/A</v>
      </c>
      <c r="I4604" s="66">
        <f t="shared" si="497"/>
        <v>0</v>
      </c>
      <c r="K4604" s="66" t="str">
        <f t="shared" si="498"/>
        <v/>
      </c>
      <c r="L4604" s="66" t="str">
        <f t="shared" si="499"/>
        <v/>
      </c>
      <c r="M4604" s="66" t="str">
        <f t="shared" si="500"/>
        <v/>
      </c>
      <c r="N4604" s="66" t="str">
        <f t="shared" si="501"/>
        <v/>
      </c>
      <c r="O4604" s="66" t="str">
        <f t="shared" si="502"/>
        <v/>
      </c>
      <c r="P4604" s="66" t="str">
        <f t="shared" si="503"/>
        <v/>
      </c>
    </row>
    <row r="4605" spans="8:16">
      <c r="H4605" s="66" t="e">
        <f>IF(LEFT(A4605,6)="CEPNTR","GPINS",VLOOKUP(LEFT(A4605,6),'Code Library'!$A$3:$B$920,2,0))&amp;"_"&amp;RIGHT(A4605,3)</f>
        <v>#N/A</v>
      </c>
      <c r="I4605" s="66">
        <f t="shared" si="497"/>
        <v>0</v>
      </c>
      <c r="K4605" s="66" t="str">
        <f t="shared" si="498"/>
        <v/>
      </c>
      <c r="L4605" s="66" t="str">
        <f t="shared" si="499"/>
        <v/>
      </c>
      <c r="M4605" s="66" t="str">
        <f t="shared" si="500"/>
        <v/>
      </c>
      <c r="N4605" s="66" t="str">
        <f t="shared" si="501"/>
        <v/>
      </c>
      <c r="O4605" s="66" t="str">
        <f t="shared" si="502"/>
        <v/>
      </c>
      <c r="P4605" s="66" t="str">
        <f t="shared" si="503"/>
        <v/>
      </c>
    </row>
    <row r="4606" spans="8:16">
      <c r="H4606" s="66" t="e">
        <f>IF(LEFT(A4606,6)="CEPNTR","GPINS",VLOOKUP(LEFT(A4606,6),'Code Library'!$A$3:$B$920,2,0))&amp;"_"&amp;RIGHT(A4606,3)</f>
        <v>#N/A</v>
      </c>
      <c r="I4606" s="66">
        <f t="shared" si="497"/>
        <v>0</v>
      </c>
      <c r="K4606" s="66" t="str">
        <f t="shared" si="498"/>
        <v/>
      </c>
      <c r="L4606" s="66" t="str">
        <f t="shared" si="499"/>
        <v/>
      </c>
      <c r="M4606" s="66" t="str">
        <f t="shared" si="500"/>
        <v/>
      </c>
      <c r="N4606" s="66" t="str">
        <f t="shared" si="501"/>
        <v/>
      </c>
      <c r="O4606" s="66" t="str">
        <f t="shared" si="502"/>
        <v/>
      </c>
      <c r="P4606" s="66" t="str">
        <f t="shared" si="503"/>
        <v/>
      </c>
    </row>
    <row r="4607" spans="8:16">
      <c r="H4607" s="66" t="e">
        <f>IF(LEFT(A4607,6)="CEPNTR","GPINS",VLOOKUP(LEFT(A4607,6),'Code Library'!$A$3:$B$920,2,0))&amp;"_"&amp;RIGHT(A4607,3)</f>
        <v>#N/A</v>
      </c>
      <c r="I4607" s="66">
        <f t="shared" si="497"/>
        <v>0</v>
      </c>
      <c r="K4607" s="66" t="str">
        <f t="shared" si="498"/>
        <v/>
      </c>
      <c r="L4607" s="66" t="str">
        <f t="shared" si="499"/>
        <v/>
      </c>
      <c r="M4607" s="66" t="str">
        <f t="shared" si="500"/>
        <v/>
      </c>
      <c r="N4607" s="66" t="str">
        <f t="shared" si="501"/>
        <v/>
      </c>
      <c r="O4607" s="66" t="str">
        <f t="shared" si="502"/>
        <v/>
      </c>
      <c r="P4607" s="66" t="str">
        <f t="shared" si="503"/>
        <v/>
      </c>
    </row>
    <row r="4608" spans="8:16">
      <c r="H4608" s="66" t="e">
        <f>IF(LEFT(A4608,6)="CEPNTR","GPINS",VLOOKUP(LEFT(A4608,6),'Code Library'!$A$3:$B$920,2,0))&amp;"_"&amp;RIGHT(A4608,3)</f>
        <v>#N/A</v>
      </c>
      <c r="I4608" s="66">
        <f t="shared" si="497"/>
        <v>0</v>
      </c>
      <c r="K4608" s="66" t="str">
        <f t="shared" si="498"/>
        <v/>
      </c>
      <c r="L4608" s="66" t="str">
        <f t="shared" si="499"/>
        <v/>
      </c>
      <c r="M4608" s="66" t="str">
        <f t="shared" si="500"/>
        <v/>
      </c>
      <c r="N4608" s="66" t="str">
        <f t="shared" si="501"/>
        <v/>
      </c>
      <c r="O4608" s="66" t="str">
        <f t="shared" si="502"/>
        <v/>
      </c>
      <c r="P4608" s="66" t="str">
        <f t="shared" si="503"/>
        <v/>
      </c>
    </row>
    <row r="4609" spans="8:16">
      <c r="H4609" s="66" t="e">
        <f>IF(LEFT(A4609,6)="CEPNTR","GPINS",VLOOKUP(LEFT(A4609,6),'Code Library'!$A$3:$B$920,2,0))&amp;"_"&amp;RIGHT(A4609,3)</f>
        <v>#N/A</v>
      </c>
      <c r="I4609" s="66">
        <f t="shared" si="497"/>
        <v>0</v>
      </c>
      <c r="K4609" s="66" t="str">
        <f t="shared" si="498"/>
        <v/>
      </c>
      <c r="L4609" s="66" t="str">
        <f t="shared" si="499"/>
        <v/>
      </c>
      <c r="M4609" s="66" t="str">
        <f t="shared" si="500"/>
        <v/>
      </c>
      <c r="N4609" s="66" t="str">
        <f t="shared" si="501"/>
        <v/>
      </c>
      <c r="O4609" s="66" t="str">
        <f t="shared" si="502"/>
        <v/>
      </c>
      <c r="P4609" s="66" t="str">
        <f t="shared" si="503"/>
        <v/>
      </c>
    </row>
    <row r="4610" spans="8:16">
      <c r="H4610" s="66" t="e">
        <f>IF(LEFT(A4610,6)="CEPNTR","GPINS",VLOOKUP(LEFT(A4610,6),'Code Library'!$A$3:$B$920,2,0))&amp;"_"&amp;RIGHT(A4610,3)</f>
        <v>#N/A</v>
      </c>
      <c r="I4610" s="66">
        <f t="shared" si="497"/>
        <v>0</v>
      </c>
      <c r="K4610" s="66" t="str">
        <f t="shared" si="498"/>
        <v/>
      </c>
      <c r="L4610" s="66" t="str">
        <f t="shared" si="499"/>
        <v/>
      </c>
      <c r="M4610" s="66" t="str">
        <f t="shared" si="500"/>
        <v/>
      </c>
      <c r="N4610" s="66" t="str">
        <f t="shared" si="501"/>
        <v/>
      </c>
      <c r="O4610" s="66" t="str">
        <f t="shared" si="502"/>
        <v/>
      </c>
      <c r="P4610" s="66" t="str">
        <f t="shared" si="503"/>
        <v/>
      </c>
    </row>
    <row r="4611" spans="8:16">
      <c r="H4611" s="66" t="e">
        <f>IF(LEFT(A4611,6)="CEPNTR","GPINS",VLOOKUP(LEFT(A4611,6),'Code Library'!$A$3:$B$920,2,0))&amp;"_"&amp;RIGHT(A4611,3)</f>
        <v>#N/A</v>
      </c>
      <c r="I4611" s="66">
        <f t="shared" ref="I4611:I4674" si="504">A4611</f>
        <v>0</v>
      </c>
      <c r="K4611" s="66" t="str">
        <f t="shared" ref="K4611:K4674" si="505">RIGHT($B4611,2)</f>
        <v/>
      </c>
      <c r="L4611" s="66" t="str">
        <f t="shared" ref="L4611:L4674" si="506">LEFT(RIGHT($B4611,7),4)</f>
        <v/>
      </c>
      <c r="M4611" s="66" t="str">
        <f t="shared" ref="M4611:M4674" si="507">LEFT(RIGHT($B4611,10),2)</f>
        <v/>
      </c>
      <c r="N4611" s="66" t="str">
        <f t="shared" ref="N4611:N4674" si="508">LEFT(RIGHT($B4611,14),3)</f>
        <v/>
      </c>
      <c r="O4611" s="66" t="str">
        <f t="shared" ref="O4611:O4674" si="509">LEFT(RIGHT($B4611,16),1)</f>
        <v/>
      </c>
      <c r="P4611" s="66" t="str">
        <f t="shared" ref="P4611:P4674" si="510">LEFT(RIGHT($B4611,19),2)</f>
        <v/>
      </c>
    </row>
    <row r="4612" spans="8:16">
      <c r="H4612" s="66" t="e">
        <f>IF(LEFT(A4612,6)="CEPNTR","GPINS",VLOOKUP(LEFT(A4612,6),'Code Library'!$A$3:$B$920,2,0))&amp;"_"&amp;RIGHT(A4612,3)</f>
        <v>#N/A</v>
      </c>
      <c r="I4612" s="66">
        <f t="shared" si="504"/>
        <v>0</v>
      </c>
      <c r="K4612" s="66" t="str">
        <f t="shared" si="505"/>
        <v/>
      </c>
      <c r="L4612" s="66" t="str">
        <f t="shared" si="506"/>
        <v/>
      </c>
      <c r="M4612" s="66" t="str">
        <f t="shared" si="507"/>
        <v/>
      </c>
      <c r="N4612" s="66" t="str">
        <f t="shared" si="508"/>
        <v/>
      </c>
      <c r="O4612" s="66" t="str">
        <f t="shared" si="509"/>
        <v/>
      </c>
      <c r="P4612" s="66" t="str">
        <f t="shared" si="510"/>
        <v/>
      </c>
    </row>
    <row r="4613" spans="8:16">
      <c r="H4613" s="66" t="e">
        <f>IF(LEFT(A4613,6)="CEPNTR","GPINS",VLOOKUP(LEFT(A4613,6),'Code Library'!$A$3:$B$920,2,0))&amp;"_"&amp;RIGHT(A4613,3)</f>
        <v>#N/A</v>
      </c>
      <c r="I4613" s="66">
        <f t="shared" si="504"/>
        <v>0</v>
      </c>
      <c r="K4613" s="66" t="str">
        <f t="shared" si="505"/>
        <v/>
      </c>
      <c r="L4613" s="66" t="str">
        <f t="shared" si="506"/>
        <v/>
      </c>
      <c r="M4613" s="66" t="str">
        <f t="shared" si="507"/>
        <v/>
      </c>
      <c r="N4613" s="66" t="str">
        <f t="shared" si="508"/>
        <v/>
      </c>
      <c r="O4613" s="66" t="str">
        <f t="shared" si="509"/>
        <v/>
      </c>
      <c r="P4613" s="66" t="str">
        <f t="shared" si="510"/>
        <v/>
      </c>
    </row>
    <row r="4614" spans="8:16">
      <c r="H4614" s="66" t="e">
        <f>IF(LEFT(A4614,6)="CEPNTR","GPINS",VLOOKUP(LEFT(A4614,6),'Code Library'!$A$3:$B$920,2,0))&amp;"_"&amp;RIGHT(A4614,3)</f>
        <v>#N/A</v>
      </c>
      <c r="I4614" s="66">
        <f t="shared" si="504"/>
        <v>0</v>
      </c>
      <c r="K4614" s="66" t="str">
        <f t="shared" si="505"/>
        <v/>
      </c>
      <c r="L4614" s="66" t="str">
        <f t="shared" si="506"/>
        <v/>
      </c>
      <c r="M4614" s="66" t="str">
        <f t="shared" si="507"/>
        <v/>
      </c>
      <c r="N4614" s="66" t="str">
        <f t="shared" si="508"/>
        <v/>
      </c>
      <c r="O4614" s="66" t="str">
        <f t="shared" si="509"/>
        <v/>
      </c>
      <c r="P4614" s="66" t="str">
        <f t="shared" si="510"/>
        <v/>
      </c>
    </row>
    <row r="4615" spans="8:16">
      <c r="H4615" s="66" t="e">
        <f>IF(LEFT(A4615,6)="CEPNTR","GPINS",VLOOKUP(LEFT(A4615,6),'Code Library'!$A$3:$B$920,2,0))&amp;"_"&amp;RIGHT(A4615,3)</f>
        <v>#N/A</v>
      </c>
      <c r="I4615" s="66">
        <f t="shared" si="504"/>
        <v>0</v>
      </c>
      <c r="K4615" s="66" t="str">
        <f t="shared" si="505"/>
        <v/>
      </c>
      <c r="L4615" s="66" t="str">
        <f t="shared" si="506"/>
        <v/>
      </c>
      <c r="M4615" s="66" t="str">
        <f t="shared" si="507"/>
        <v/>
      </c>
      <c r="N4615" s="66" t="str">
        <f t="shared" si="508"/>
        <v/>
      </c>
      <c r="O4615" s="66" t="str">
        <f t="shared" si="509"/>
        <v/>
      </c>
      <c r="P4615" s="66" t="str">
        <f t="shared" si="510"/>
        <v/>
      </c>
    </row>
    <row r="4616" spans="8:16">
      <c r="H4616" s="66" t="e">
        <f>IF(LEFT(A4616,6)="CEPNTR","GPINS",VLOOKUP(LEFT(A4616,6),'Code Library'!$A$3:$B$920,2,0))&amp;"_"&amp;RIGHT(A4616,3)</f>
        <v>#N/A</v>
      </c>
      <c r="I4616" s="66">
        <f t="shared" si="504"/>
        <v>0</v>
      </c>
      <c r="K4616" s="66" t="str">
        <f t="shared" si="505"/>
        <v/>
      </c>
      <c r="L4616" s="66" t="str">
        <f t="shared" si="506"/>
        <v/>
      </c>
      <c r="M4616" s="66" t="str">
        <f t="shared" si="507"/>
        <v/>
      </c>
      <c r="N4616" s="66" t="str">
        <f t="shared" si="508"/>
        <v/>
      </c>
      <c r="O4616" s="66" t="str">
        <f t="shared" si="509"/>
        <v/>
      </c>
      <c r="P4616" s="66" t="str">
        <f t="shared" si="510"/>
        <v/>
      </c>
    </row>
    <row r="4617" spans="8:16">
      <c r="H4617" s="66" t="e">
        <f>IF(LEFT(A4617,6)="CEPNTR","GPINS",VLOOKUP(LEFT(A4617,6),'Code Library'!$A$3:$B$920,2,0))&amp;"_"&amp;RIGHT(A4617,3)</f>
        <v>#N/A</v>
      </c>
      <c r="I4617" s="66">
        <f t="shared" si="504"/>
        <v>0</v>
      </c>
      <c r="K4617" s="66" t="str">
        <f t="shared" si="505"/>
        <v/>
      </c>
      <c r="L4617" s="66" t="str">
        <f t="shared" si="506"/>
        <v/>
      </c>
      <c r="M4617" s="66" t="str">
        <f t="shared" si="507"/>
        <v/>
      </c>
      <c r="N4617" s="66" t="str">
        <f t="shared" si="508"/>
        <v/>
      </c>
      <c r="O4617" s="66" t="str">
        <f t="shared" si="509"/>
        <v/>
      </c>
      <c r="P4617" s="66" t="str">
        <f t="shared" si="510"/>
        <v/>
      </c>
    </row>
    <row r="4618" spans="8:16">
      <c r="H4618" s="66" t="e">
        <f>IF(LEFT(A4618,6)="CEPNTR","GPINS",VLOOKUP(LEFT(A4618,6),'Code Library'!$A$3:$B$920,2,0))&amp;"_"&amp;RIGHT(A4618,3)</f>
        <v>#N/A</v>
      </c>
      <c r="I4618" s="66">
        <f t="shared" si="504"/>
        <v>0</v>
      </c>
      <c r="K4618" s="66" t="str">
        <f t="shared" si="505"/>
        <v/>
      </c>
      <c r="L4618" s="66" t="str">
        <f t="shared" si="506"/>
        <v/>
      </c>
      <c r="M4618" s="66" t="str">
        <f t="shared" si="507"/>
        <v/>
      </c>
      <c r="N4618" s="66" t="str">
        <f t="shared" si="508"/>
        <v/>
      </c>
      <c r="O4618" s="66" t="str">
        <f t="shared" si="509"/>
        <v/>
      </c>
      <c r="P4618" s="66" t="str">
        <f t="shared" si="510"/>
        <v/>
      </c>
    </row>
    <row r="4619" spans="8:16">
      <c r="H4619" s="66" t="e">
        <f>IF(LEFT(A4619,6)="CEPNTR","GPINS",VLOOKUP(LEFT(A4619,6),'Code Library'!$A$3:$B$920,2,0))&amp;"_"&amp;RIGHT(A4619,3)</f>
        <v>#N/A</v>
      </c>
      <c r="I4619" s="66">
        <f t="shared" si="504"/>
        <v>0</v>
      </c>
      <c r="K4619" s="66" t="str">
        <f t="shared" si="505"/>
        <v/>
      </c>
      <c r="L4619" s="66" t="str">
        <f t="shared" si="506"/>
        <v/>
      </c>
      <c r="M4619" s="66" t="str">
        <f t="shared" si="507"/>
        <v/>
      </c>
      <c r="N4619" s="66" t="str">
        <f t="shared" si="508"/>
        <v/>
      </c>
      <c r="O4619" s="66" t="str">
        <f t="shared" si="509"/>
        <v/>
      </c>
      <c r="P4619" s="66" t="str">
        <f t="shared" si="510"/>
        <v/>
      </c>
    </row>
    <row r="4620" spans="8:16">
      <c r="H4620" s="66" t="e">
        <f>IF(LEFT(A4620,6)="CEPNTR","GPINS",VLOOKUP(LEFT(A4620,6),'Code Library'!$A$3:$B$920,2,0))&amp;"_"&amp;RIGHT(A4620,3)</f>
        <v>#N/A</v>
      </c>
      <c r="I4620" s="66">
        <f t="shared" si="504"/>
        <v>0</v>
      </c>
      <c r="K4620" s="66" t="str">
        <f t="shared" si="505"/>
        <v/>
      </c>
      <c r="L4620" s="66" t="str">
        <f t="shared" si="506"/>
        <v/>
      </c>
      <c r="M4620" s="66" t="str">
        <f t="shared" si="507"/>
        <v/>
      </c>
      <c r="N4620" s="66" t="str">
        <f t="shared" si="508"/>
        <v/>
      </c>
      <c r="O4620" s="66" t="str">
        <f t="shared" si="509"/>
        <v/>
      </c>
      <c r="P4620" s="66" t="str">
        <f t="shared" si="510"/>
        <v/>
      </c>
    </row>
    <row r="4621" spans="8:16">
      <c r="H4621" s="66" t="e">
        <f>IF(LEFT(A4621,6)="CEPNTR","GPINS",VLOOKUP(LEFT(A4621,6),'Code Library'!$A$3:$B$920,2,0))&amp;"_"&amp;RIGHT(A4621,3)</f>
        <v>#N/A</v>
      </c>
      <c r="I4621" s="66">
        <f t="shared" si="504"/>
        <v>0</v>
      </c>
      <c r="K4621" s="66" t="str">
        <f t="shared" si="505"/>
        <v/>
      </c>
      <c r="L4621" s="66" t="str">
        <f t="shared" si="506"/>
        <v/>
      </c>
      <c r="M4621" s="66" t="str">
        <f t="shared" si="507"/>
        <v/>
      </c>
      <c r="N4621" s="66" t="str">
        <f t="shared" si="508"/>
        <v/>
      </c>
      <c r="O4621" s="66" t="str">
        <f t="shared" si="509"/>
        <v/>
      </c>
      <c r="P4621" s="66" t="str">
        <f t="shared" si="510"/>
        <v/>
      </c>
    </row>
    <row r="4622" spans="8:16">
      <c r="H4622" s="66" t="e">
        <f>IF(LEFT(A4622,6)="CEPNTR","GPINS",VLOOKUP(LEFT(A4622,6),'Code Library'!$A$3:$B$920,2,0))&amp;"_"&amp;RIGHT(A4622,3)</f>
        <v>#N/A</v>
      </c>
      <c r="I4622" s="66">
        <f t="shared" si="504"/>
        <v>0</v>
      </c>
      <c r="K4622" s="66" t="str">
        <f t="shared" si="505"/>
        <v/>
      </c>
      <c r="L4622" s="66" t="str">
        <f t="shared" si="506"/>
        <v/>
      </c>
      <c r="M4622" s="66" t="str">
        <f t="shared" si="507"/>
        <v/>
      </c>
      <c r="N4622" s="66" t="str">
        <f t="shared" si="508"/>
        <v/>
      </c>
      <c r="O4622" s="66" t="str">
        <f t="shared" si="509"/>
        <v/>
      </c>
      <c r="P4622" s="66" t="str">
        <f t="shared" si="510"/>
        <v/>
      </c>
    </row>
    <row r="4623" spans="8:16">
      <c r="H4623" s="66" t="e">
        <f>IF(LEFT(A4623,6)="CEPNTR","GPINS",VLOOKUP(LEFT(A4623,6),'Code Library'!$A$3:$B$920,2,0))&amp;"_"&amp;RIGHT(A4623,3)</f>
        <v>#N/A</v>
      </c>
      <c r="I4623" s="66">
        <f t="shared" si="504"/>
        <v>0</v>
      </c>
      <c r="K4623" s="66" t="str">
        <f t="shared" si="505"/>
        <v/>
      </c>
      <c r="L4623" s="66" t="str">
        <f t="shared" si="506"/>
        <v/>
      </c>
      <c r="M4623" s="66" t="str">
        <f t="shared" si="507"/>
        <v/>
      </c>
      <c r="N4623" s="66" t="str">
        <f t="shared" si="508"/>
        <v/>
      </c>
      <c r="O4623" s="66" t="str">
        <f t="shared" si="509"/>
        <v/>
      </c>
      <c r="P4623" s="66" t="str">
        <f t="shared" si="510"/>
        <v/>
      </c>
    </row>
    <row r="4624" spans="8:16">
      <c r="H4624" s="66" t="e">
        <f>IF(LEFT(A4624,6)="CEPNTR","GPINS",VLOOKUP(LEFT(A4624,6),'Code Library'!$A$3:$B$920,2,0))&amp;"_"&amp;RIGHT(A4624,3)</f>
        <v>#N/A</v>
      </c>
      <c r="I4624" s="66">
        <f t="shared" si="504"/>
        <v>0</v>
      </c>
      <c r="K4624" s="66" t="str">
        <f t="shared" si="505"/>
        <v/>
      </c>
      <c r="L4624" s="66" t="str">
        <f t="shared" si="506"/>
        <v/>
      </c>
      <c r="M4624" s="66" t="str">
        <f t="shared" si="507"/>
        <v/>
      </c>
      <c r="N4624" s="66" t="str">
        <f t="shared" si="508"/>
        <v/>
      </c>
      <c r="O4624" s="66" t="str">
        <f t="shared" si="509"/>
        <v/>
      </c>
      <c r="P4624" s="66" t="str">
        <f t="shared" si="510"/>
        <v/>
      </c>
    </row>
    <row r="4625" spans="8:16">
      <c r="H4625" s="66" t="e">
        <f>IF(LEFT(A4625,6)="CEPNTR","GPINS",VLOOKUP(LEFT(A4625,6),'Code Library'!$A$3:$B$920,2,0))&amp;"_"&amp;RIGHT(A4625,3)</f>
        <v>#N/A</v>
      </c>
      <c r="I4625" s="66">
        <f t="shared" si="504"/>
        <v>0</v>
      </c>
      <c r="K4625" s="66" t="str">
        <f t="shared" si="505"/>
        <v/>
      </c>
      <c r="L4625" s="66" t="str">
        <f t="shared" si="506"/>
        <v/>
      </c>
      <c r="M4625" s="66" t="str">
        <f t="shared" si="507"/>
        <v/>
      </c>
      <c r="N4625" s="66" t="str">
        <f t="shared" si="508"/>
        <v/>
      </c>
      <c r="O4625" s="66" t="str">
        <f t="shared" si="509"/>
        <v/>
      </c>
      <c r="P4625" s="66" t="str">
        <f t="shared" si="510"/>
        <v/>
      </c>
    </row>
    <row r="4626" spans="8:16">
      <c r="H4626" s="66" t="e">
        <f>IF(LEFT(A4626,6)="CEPNTR","GPINS",VLOOKUP(LEFT(A4626,6),'Code Library'!$A$3:$B$920,2,0))&amp;"_"&amp;RIGHT(A4626,3)</f>
        <v>#N/A</v>
      </c>
      <c r="I4626" s="66">
        <f t="shared" si="504"/>
        <v>0</v>
      </c>
      <c r="K4626" s="66" t="str">
        <f t="shared" si="505"/>
        <v/>
      </c>
      <c r="L4626" s="66" t="str">
        <f t="shared" si="506"/>
        <v/>
      </c>
      <c r="M4626" s="66" t="str">
        <f t="shared" si="507"/>
        <v/>
      </c>
      <c r="N4626" s="66" t="str">
        <f t="shared" si="508"/>
        <v/>
      </c>
      <c r="O4626" s="66" t="str">
        <f t="shared" si="509"/>
        <v/>
      </c>
      <c r="P4626" s="66" t="str">
        <f t="shared" si="510"/>
        <v/>
      </c>
    </row>
    <row r="4627" spans="8:16">
      <c r="H4627" s="66" t="e">
        <f>IF(LEFT(A4627,6)="CEPNTR","GPINS",VLOOKUP(LEFT(A4627,6),'Code Library'!$A$3:$B$920,2,0))&amp;"_"&amp;RIGHT(A4627,3)</f>
        <v>#N/A</v>
      </c>
      <c r="I4627" s="66">
        <f t="shared" si="504"/>
        <v>0</v>
      </c>
      <c r="K4627" s="66" t="str">
        <f t="shared" si="505"/>
        <v/>
      </c>
      <c r="L4627" s="66" t="str">
        <f t="shared" si="506"/>
        <v/>
      </c>
      <c r="M4627" s="66" t="str">
        <f t="shared" si="507"/>
        <v/>
      </c>
      <c r="N4627" s="66" t="str">
        <f t="shared" si="508"/>
        <v/>
      </c>
      <c r="O4627" s="66" t="str">
        <f t="shared" si="509"/>
        <v/>
      </c>
      <c r="P4627" s="66" t="str">
        <f t="shared" si="510"/>
        <v/>
      </c>
    </row>
    <row r="4628" spans="8:16">
      <c r="H4628" s="66" t="e">
        <f>IF(LEFT(A4628,6)="CEPNTR","GPINS",VLOOKUP(LEFT(A4628,6),'Code Library'!$A$3:$B$920,2,0))&amp;"_"&amp;RIGHT(A4628,3)</f>
        <v>#N/A</v>
      </c>
      <c r="I4628" s="66">
        <f t="shared" si="504"/>
        <v>0</v>
      </c>
      <c r="K4628" s="66" t="str">
        <f t="shared" si="505"/>
        <v/>
      </c>
      <c r="L4628" s="66" t="str">
        <f t="shared" si="506"/>
        <v/>
      </c>
      <c r="M4628" s="66" t="str">
        <f t="shared" si="507"/>
        <v/>
      </c>
      <c r="N4628" s="66" t="str">
        <f t="shared" si="508"/>
        <v/>
      </c>
      <c r="O4628" s="66" t="str">
        <f t="shared" si="509"/>
        <v/>
      </c>
      <c r="P4628" s="66" t="str">
        <f t="shared" si="510"/>
        <v/>
      </c>
    </row>
    <row r="4629" spans="8:16">
      <c r="H4629" s="66" t="e">
        <f>IF(LEFT(A4629,6)="CEPNTR","GPINS",VLOOKUP(LEFT(A4629,6),'Code Library'!$A$3:$B$920,2,0))&amp;"_"&amp;RIGHT(A4629,3)</f>
        <v>#N/A</v>
      </c>
      <c r="I4629" s="66">
        <f t="shared" si="504"/>
        <v>0</v>
      </c>
      <c r="K4629" s="66" t="str">
        <f t="shared" si="505"/>
        <v/>
      </c>
      <c r="L4629" s="66" t="str">
        <f t="shared" si="506"/>
        <v/>
      </c>
      <c r="M4629" s="66" t="str">
        <f t="shared" si="507"/>
        <v/>
      </c>
      <c r="N4629" s="66" t="str">
        <f t="shared" si="508"/>
        <v/>
      </c>
      <c r="O4629" s="66" t="str">
        <f t="shared" si="509"/>
        <v/>
      </c>
      <c r="P4629" s="66" t="str">
        <f t="shared" si="510"/>
        <v/>
      </c>
    </row>
    <row r="4630" spans="8:16">
      <c r="H4630" s="66" t="e">
        <f>IF(LEFT(A4630,6)="CEPNTR","GPINS",VLOOKUP(LEFT(A4630,6),'Code Library'!$A$3:$B$920,2,0))&amp;"_"&amp;RIGHT(A4630,3)</f>
        <v>#N/A</v>
      </c>
      <c r="I4630" s="66">
        <f t="shared" si="504"/>
        <v>0</v>
      </c>
      <c r="K4630" s="66" t="str">
        <f t="shared" si="505"/>
        <v/>
      </c>
      <c r="L4630" s="66" t="str">
        <f t="shared" si="506"/>
        <v/>
      </c>
      <c r="M4630" s="66" t="str">
        <f t="shared" si="507"/>
        <v/>
      </c>
      <c r="N4630" s="66" t="str">
        <f t="shared" si="508"/>
        <v/>
      </c>
      <c r="O4630" s="66" t="str">
        <f t="shared" si="509"/>
        <v/>
      </c>
      <c r="P4630" s="66" t="str">
        <f t="shared" si="510"/>
        <v/>
      </c>
    </row>
    <row r="4631" spans="8:16">
      <c r="H4631" s="66" t="e">
        <f>IF(LEFT(A4631,6)="CEPNTR","GPINS",VLOOKUP(LEFT(A4631,6),'Code Library'!$A$3:$B$920,2,0))&amp;"_"&amp;RIGHT(A4631,3)</f>
        <v>#N/A</v>
      </c>
      <c r="I4631" s="66">
        <f t="shared" si="504"/>
        <v>0</v>
      </c>
      <c r="K4631" s="66" t="str">
        <f t="shared" si="505"/>
        <v/>
      </c>
      <c r="L4631" s="66" t="str">
        <f t="shared" si="506"/>
        <v/>
      </c>
      <c r="M4631" s="66" t="str">
        <f t="shared" si="507"/>
        <v/>
      </c>
      <c r="N4631" s="66" t="str">
        <f t="shared" si="508"/>
        <v/>
      </c>
      <c r="O4631" s="66" t="str">
        <f t="shared" si="509"/>
        <v/>
      </c>
      <c r="P4631" s="66" t="str">
        <f t="shared" si="510"/>
        <v/>
      </c>
    </row>
    <row r="4632" spans="8:16">
      <c r="H4632" s="66" t="e">
        <f>IF(LEFT(A4632,6)="CEPNTR","GPINS",VLOOKUP(LEFT(A4632,6),'Code Library'!$A$3:$B$920,2,0))&amp;"_"&amp;RIGHT(A4632,3)</f>
        <v>#N/A</v>
      </c>
      <c r="I4632" s="66">
        <f t="shared" si="504"/>
        <v>0</v>
      </c>
      <c r="K4632" s="66" t="str">
        <f t="shared" si="505"/>
        <v/>
      </c>
      <c r="L4632" s="66" t="str">
        <f t="shared" si="506"/>
        <v/>
      </c>
      <c r="M4632" s="66" t="str">
        <f t="shared" si="507"/>
        <v/>
      </c>
      <c r="N4632" s="66" t="str">
        <f t="shared" si="508"/>
        <v/>
      </c>
      <c r="O4632" s="66" t="str">
        <f t="shared" si="509"/>
        <v/>
      </c>
      <c r="P4632" s="66" t="str">
        <f t="shared" si="510"/>
        <v/>
      </c>
    </row>
    <row r="4633" spans="8:16">
      <c r="H4633" s="66" t="e">
        <f>IF(LEFT(A4633,6)="CEPNTR","GPINS",VLOOKUP(LEFT(A4633,6),'Code Library'!$A$3:$B$920,2,0))&amp;"_"&amp;RIGHT(A4633,3)</f>
        <v>#N/A</v>
      </c>
      <c r="I4633" s="66">
        <f t="shared" si="504"/>
        <v>0</v>
      </c>
      <c r="K4633" s="66" t="str">
        <f t="shared" si="505"/>
        <v/>
      </c>
      <c r="L4633" s="66" t="str">
        <f t="shared" si="506"/>
        <v/>
      </c>
      <c r="M4633" s="66" t="str">
        <f t="shared" si="507"/>
        <v/>
      </c>
      <c r="N4633" s="66" t="str">
        <f t="shared" si="508"/>
        <v/>
      </c>
      <c r="O4633" s="66" t="str">
        <f t="shared" si="509"/>
        <v/>
      </c>
      <c r="P4633" s="66" t="str">
        <f t="shared" si="510"/>
        <v/>
      </c>
    </row>
    <row r="4634" spans="8:16">
      <c r="H4634" s="66" t="e">
        <f>IF(LEFT(A4634,6)="CEPNTR","GPINS",VLOOKUP(LEFT(A4634,6),'Code Library'!$A$3:$B$920,2,0))&amp;"_"&amp;RIGHT(A4634,3)</f>
        <v>#N/A</v>
      </c>
      <c r="I4634" s="66">
        <f t="shared" si="504"/>
        <v>0</v>
      </c>
      <c r="K4634" s="66" t="str">
        <f t="shared" si="505"/>
        <v/>
      </c>
      <c r="L4634" s="66" t="str">
        <f t="shared" si="506"/>
        <v/>
      </c>
      <c r="M4634" s="66" t="str">
        <f t="shared" si="507"/>
        <v/>
      </c>
      <c r="N4634" s="66" t="str">
        <f t="shared" si="508"/>
        <v/>
      </c>
      <c r="O4634" s="66" t="str">
        <f t="shared" si="509"/>
        <v/>
      </c>
      <c r="P4634" s="66" t="str">
        <f t="shared" si="510"/>
        <v/>
      </c>
    </row>
    <row r="4635" spans="8:16">
      <c r="H4635" s="66" t="e">
        <f>IF(LEFT(A4635,6)="CEPNTR","GPINS",VLOOKUP(LEFT(A4635,6),'Code Library'!$A$3:$B$920,2,0))&amp;"_"&amp;RIGHT(A4635,3)</f>
        <v>#N/A</v>
      </c>
      <c r="I4635" s="66">
        <f t="shared" si="504"/>
        <v>0</v>
      </c>
      <c r="K4635" s="66" t="str">
        <f t="shared" si="505"/>
        <v/>
      </c>
      <c r="L4635" s="66" t="str">
        <f t="shared" si="506"/>
        <v/>
      </c>
      <c r="M4635" s="66" t="str">
        <f t="shared" si="507"/>
        <v/>
      </c>
      <c r="N4635" s="66" t="str">
        <f t="shared" si="508"/>
        <v/>
      </c>
      <c r="O4635" s="66" t="str">
        <f t="shared" si="509"/>
        <v/>
      </c>
      <c r="P4635" s="66" t="str">
        <f t="shared" si="510"/>
        <v/>
      </c>
    </row>
    <row r="4636" spans="8:16">
      <c r="H4636" s="66" t="e">
        <f>IF(LEFT(A4636,6)="CEPNTR","GPINS",VLOOKUP(LEFT(A4636,6),'Code Library'!$A$3:$B$920,2,0))&amp;"_"&amp;RIGHT(A4636,3)</f>
        <v>#N/A</v>
      </c>
      <c r="I4636" s="66">
        <f t="shared" si="504"/>
        <v>0</v>
      </c>
      <c r="K4636" s="66" t="str">
        <f t="shared" si="505"/>
        <v/>
      </c>
      <c r="L4636" s="66" t="str">
        <f t="shared" si="506"/>
        <v/>
      </c>
      <c r="M4636" s="66" t="str">
        <f t="shared" si="507"/>
        <v/>
      </c>
      <c r="N4636" s="66" t="str">
        <f t="shared" si="508"/>
        <v/>
      </c>
      <c r="O4636" s="66" t="str">
        <f t="shared" si="509"/>
        <v/>
      </c>
      <c r="P4636" s="66" t="str">
        <f t="shared" si="510"/>
        <v/>
      </c>
    </row>
    <row r="4637" spans="8:16">
      <c r="H4637" s="66" t="e">
        <f>IF(LEFT(A4637,6)="CEPNTR","GPINS",VLOOKUP(LEFT(A4637,6),'Code Library'!$A$3:$B$920,2,0))&amp;"_"&amp;RIGHT(A4637,3)</f>
        <v>#N/A</v>
      </c>
      <c r="I4637" s="66">
        <f t="shared" si="504"/>
        <v>0</v>
      </c>
      <c r="K4637" s="66" t="str">
        <f t="shared" si="505"/>
        <v/>
      </c>
      <c r="L4637" s="66" t="str">
        <f t="shared" si="506"/>
        <v/>
      </c>
      <c r="M4637" s="66" t="str">
        <f t="shared" si="507"/>
        <v/>
      </c>
      <c r="N4637" s="66" t="str">
        <f t="shared" si="508"/>
        <v/>
      </c>
      <c r="O4637" s="66" t="str">
        <f t="shared" si="509"/>
        <v/>
      </c>
      <c r="P4637" s="66" t="str">
        <f t="shared" si="510"/>
        <v/>
      </c>
    </row>
    <row r="4638" spans="8:16">
      <c r="H4638" s="66" t="e">
        <f>IF(LEFT(A4638,6)="CEPNTR","GPINS",VLOOKUP(LEFT(A4638,6),'Code Library'!$A$3:$B$920,2,0))&amp;"_"&amp;RIGHT(A4638,3)</f>
        <v>#N/A</v>
      </c>
      <c r="I4638" s="66">
        <f t="shared" si="504"/>
        <v>0</v>
      </c>
      <c r="K4638" s="66" t="str">
        <f t="shared" si="505"/>
        <v/>
      </c>
      <c r="L4638" s="66" t="str">
        <f t="shared" si="506"/>
        <v/>
      </c>
      <c r="M4638" s="66" t="str">
        <f t="shared" si="507"/>
        <v/>
      </c>
      <c r="N4638" s="66" t="str">
        <f t="shared" si="508"/>
        <v/>
      </c>
      <c r="O4638" s="66" t="str">
        <f t="shared" si="509"/>
        <v/>
      </c>
      <c r="P4638" s="66" t="str">
        <f t="shared" si="510"/>
        <v/>
      </c>
    </row>
    <row r="4639" spans="8:16">
      <c r="H4639" s="66" t="e">
        <f>IF(LEFT(A4639,6)="CEPNTR","GPINS",VLOOKUP(LEFT(A4639,6),'Code Library'!$A$3:$B$920,2,0))&amp;"_"&amp;RIGHT(A4639,3)</f>
        <v>#N/A</v>
      </c>
      <c r="I4639" s="66">
        <f t="shared" si="504"/>
        <v>0</v>
      </c>
      <c r="K4639" s="66" t="str">
        <f t="shared" si="505"/>
        <v/>
      </c>
      <c r="L4639" s="66" t="str">
        <f t="shared" si="506"/>
        <v/>
      </c>
      <c r="M4639" s="66" t="str">
        <f t="shared" si="507"/>
        <v/>
      </c>
      <c r="N4639" s="66" t="str">
        <f t="shared" si="508"/>
        <v/>
      </c>
      <c r="O4639" s="66" t="str">
        <f t="shared" si="509"/>
        <v/>
      </c>
      <c r="P4639" s="66" t="str">
        <f t="shared" si="510"/>
        <v/>
      </c>
    </row>
    <row r="4640" spans="8:16">
      <c r="H4640" s="66" t="e">
        <f>IF(LEFT(A4640,6)="CEPNTR","GPINS",VLOOKUP(LEFT(A4640,6),'Code Library'!$A$3:$B$920,2,0))&amp;"_"&amp;RIGHT(A4640,3)</f>
        <v>#N/A</v>
      </c>
      <c r="I4640" s="66">
        <f t="shared" si="504"/>
        <v>0</v>
      </c>
      <c r="K4640" s="66" t="str">
        <f t="shared" si="505"/>
        <v/>
      </c>
      <c r="L4640" s="66" t="str">
        <f t="shared" si="506"/>
        <v/>
      </c>
      <c r="M4640" s="66" t="str">
        <f t="shared" si="507"/>
        <v/>
      </c>
      <c r="N4640" s="66" t="str">
        <f t="shared" si="508"/>
        <v/>
      </c>
      <c r="O4640" s="66" t="str">
        <f t="shared" si="509"/>
        <v/>
      </c>
      <c r="P4640" s="66" t="str">
        <f t="shared" si="510"/>
        <v/>
      </c>
    </row>
    <row r="4641" spans="8:16">
      <c r="H4641" s="66" t="e">
        <f>IF(LEFT(A4641,6)="CEPNTR","GPINS",VLOOKUP(LEFT(A4641,6),'Code Library'!$A$3:$B$920,2,0))&amp;"_"&amp;RIGHT(A4641,3)</f>
        <v>#N/A</v>
      </c>
      <c r="I4641" s="66">
        <f t="shared" si="504"/>
        <v>0</v>
      </c>
      <c r="K4641" s="66" t="str">
        <f t="shared" si="505"/>
        <v/>
      </c>
      <c r="L4641" s="66" t="str">
        <f t="shared" si="506"/>
        <v/>
      </c>
      <c r="M4641" s="66" t="str">
        <f t="shared" si="507"/>
        <v/>
      </c>
      <c r="N4641" s="66" t="str">
        <f t="shared" si="508"/>
        <v/>
      </c>
      <c r="O4641" s="66" t="str">
        <f t="shared" si="509"/>
        <v/>
      </c>
      <c r="P4641" s="66" t="str">
        <f t="shared" si="510"/>
        <v/>
      </c>
    </row>
    <row r="4642" spans="8:16">
      <c r="H4642" s="66" t="e">
        <f>IF(LEFT(A4642,6)="CEPNTR","GPINS",VLOOKUP(LEFT(A4642,6),'Code Library'!$A$3:$B$920,2,0))&amp;"_"&amp;RIGHT(A4642,3)</f>
        <v>#N/A</v>
      </c>
      <c r="I4642" s="66">
        <f t="shared" si="504"/>
        <v>0</v>
      </c>
      <c r="K4642" s="66" t="str">
        <f t="shared" si="505"/>
        <v/>
      </c>
      <c r="L4642" s="66" t="str">
        <f t="shared" si="506"/>
        <v/>
      </c>
      <c r="M4642" s="66" t="str">
        <f t="shared" si="507"/>
        <v/>
      </c>
      <c r="N4642" s="66" t="str">
        <f t="shared" si="508"/>
        <v/>
      </c>
      <c r="O4642" s="66" t="str">
        <f t="shared" si="509"/>
        <v/>
      </c>
      <c r="P4642" s="66" t="str">
        <f t="shared" si="510"/>
        <v/>
      </c>
    </row>
    <row r="4643" spans="8:16">
      <c r="H4643" s="66" t="e">
        <f>IF(LEFT(A4643,6)="CEPNTR","GPINS",VLOOKUP(LEFT(A4643,6),'Code Library'!$A$3:$B$920,2,0))&amp;"_"&amp;RIGHT(A4643,3)</f>
        <v>#N/A</v>
      </c>
      <c r="I4643" s="66">
        <f t="shared" si="504"/>
        <v>0</v>
      </c>
      <c r="K4643" s="66" t="str">
        <f t="shared" si="505"/>
        <v/>
      </c>
      <c r="L4643" s="66" t="str">
        <f t="shared" si="506"/>
        <v/>
      </c>
      <c r="M4643" s="66" t="str">
        <f t="shared" si="507"/>
        <v/>
      </c>
      <c r="N4643" s="66" t="str">
        <f t="shared" si="508"/>
        <v/>
      </c>
      <c r="O4643" s="66" t="str">
        <f t="shared" si="509"/>
        <v/>
      </c>
      <c r="P4643" s="66" t="str">
        <f t="shared" si="510"/>
        <v/>
      </c>
    </row>
    <row r="4644" spans="8:16">
      <c r="H4644" s="66" t="e">
        <f>IF(LEFT(A4644,6)="CEPNTR","GPINS",VLOOKUP(LEFT(A4644,6),'Code Library'!$A$3:$B$920,2,0))&amp;"_"&amp;RIGHT(A4644,3)</f>
        <v>#N/A</v>
      </c>
      <c r="I4644" s="66">
        <f t="shared" si="504"/>
        <v>0</v>
      </c>
      <c r="K4644" s="66" t="str">
        <f t="shared" si="505"/>
        <v/>
      </c>
      <c r="L4644" s="66" t="str">
        <f t="shared" si="506"/>
        <v/>
      </c>
      <c r="M4644" s="66" t="str">
        <f t="shared" si="507"/>
        <v/>
      </c>
      <c r="N4644" s="66" t="str">
        <f t="shared" si="508"/>
        <v/>
      </c>
      <c r="O4644" s="66" t="str">
        <f t="shared" si="509"/>
        <v/>
      </c>
      <c r="P4644" s="66" t="str">
        <f t="shared" si="510"/>
        <v/>
      </c>
    </row>
    <row r="4645" spans="8:16">
      <c r="H4645" s="66" t="e">
        <f>IF(LEFT(A4645,6)="CEPNTR","GPINS",VLOOKUP(LEFT(A4645,6),'Code Library'!$A$3:$B$920,2,0))&amp;"_"&amp;RIGHT(A4645,3)</f>
        <v>#N/A</v>
      </c>
      <c r="I4645" s="66">
        <f t="shared" si="504"/>
        <v>0</v>
      </c>
      <c r="K4645" s="66" t="str">
        <f t="shared" si="505"/>
        <v/>
      </c>
      <c r="L4645" s="66" t="str">
        <f t="shared" si="506"/>
        <v/>
      </c>
      <c r="M4645" s="66" t="str">
        <f t="shared" si="507"/>
        <v/>
      </c>
      <c r="N4645" s="66" t="str">
        <f t="shared" si="508"/>
        <v/>
      </c>
      <c r="O4645" s="66" t="str">
        <f t="shared" si="509"/>
        <v/>
      </c>
      <c r="P4645" s="66" t="str">
        <f t="shared" si="510"/>
        <v/>
      </c>
    </row>
    <row r="4646" spans="8:16">
      <c r="H4646" s="66" t="e">
        <f>IF(LEFT(A4646,6)="CEPNTR","GPINS",VLOOKUP(LEFT(A4646,6),'Code Library'!$A$3:$B$920,2,0))&amp;"_"&amp;RIGHT(A4646,3)</f>
        <v>#N/A</v>
      </c>
      <c r="I4646" s="66">
        <f t="shared" si="504"/>
        <v>0</v>
      </c>
      <c r="K4646" s="66" t="str">
        <f t="shared" si="505"/>
        <v/>
      </c>
      <c r="L4646" s="66" t="str">
        <f t="shared" si="506"/>
        <v/>
      </c>
      <c r="M4646" s="66" t="str">
        <f t="shared" si="507"/>
        <v/>
      </c>
      <c r="N4646" s="66" t="str">
        <f t="shared" si="508"/>
        <v/>
      </c>
      <c r="O4646" s="66" t="str">
        <f t="shared" si="509"/>
        <v/>
      </c>
      <c r="P4646" s="66" t="str">
        <f t="shared" si="510"/>
        <v/>
      </c>
    </row>
    <row r="4647" spans="8:16">
      <c r="H4647" s="66" t="e">
        <f>IF(LEFT(A4647,6)="CEPNTR","GPINS",VLOOKUP(LEFT(A4647,6),'Code Library'!$A$3:$B$920,2,0))&amp;"_"&amp;RIGHT(A4647,3)</f>
        <v>#N/A</v>
      </c>
      <c r="I4647" s="66">
        <f t="shared" si="504"/>
        <v>0</v>
      </c>
      <c r="K4647" s="66" t="str">
        <f t="shared" si="505"/>
        <v/>
      </c>
      <c r="L4647" s="66" t="str">
        <f t="shared" si="506"/>
        <v/>
      </c>
      <c r="M4647" s="66" t="str">
        <f t="shared" si="507"/>
        <v/>
      </c>
      <c r="N4647" s="66" t="str">
        <f t="shared" si="508"/>
        <v/>
      </c>
      <c r="O4647" s="66" t="str">
        <f t="shared" si="509"/>
        <v/>
      </c>
      <c r="P4647" s="66" t="str">
        <f t="shared" si="510"/>
        <v/>
      </c>
    </row>
    <row r="4648" spans="8:16">
      <c r="H4648" s="66" t="e">
        <f>IF(LEFT(A4648,6)="CEPNTR","GPINS",VLOOKUP(LEFT(A4648,6),'Code Library'!$A$3:$B$920,2,0))&amp;"_"&amp;RIGHT(A4648,3)</f>
        <v>#N/A</v>
      </c>
      <c r="I4648" s="66">
        <f t="shared" si="504"/>
        <v>0</v>
      </c>
      <c r="K4648" s="66" t="str">
        <f t="shared" si="505"/>
        <v/>
      </c>
      <c r="L4648" s="66" t="str">
        <f t="shared" si="506"/>
        <v/>
      </c>
      <c r="M4648" s="66" t="str">
        <f t="shared" si="507"/>
        <v/>
      </c>
      <c r="N4648" s="66" t="str">
        <f t="shared" si="508"/>
        <v/>
      </c>
      <c r="O4648" s="66" t="str">
        <f t="shared" si="509"/>
        <v/>
      </c>
      <c r="P4648" s="66" t="str">
        <f t="shared" si="510"/>
        <v/>
      </c>
    </row>
    <row r="4649" spans="8:16">
      <c r="H4649" s="66" t="e">
        <f>IF(LEFT(A4649,6)="CEPNTR","GPINS",VLOOKUP(LEFT(A4649,6),'Code Library'!$A$3:$B$920,2,0))&amp;"_"&amp;RIGHT(A4649,3)</f>
        <v>#N/A</v>
      </c>
      <c r="I4649" s="66">
        <f t="shared" si="504"/>
        <v>0</v>
      </c>
      <c r="K4649" s="66" t="str">
        <f t="shared" si="505"/>
        <v/>
      </c>
      <c r="L4649" s="66" t="str">
        <f t="shared" si="506"/>
        <v/>
      </c>
      <c r="M4649" s="66" t="str">
        <f t="shared" si="507"/>
        <v/>
      </c>
      <c r="N4649" s="66" t="str">
        <f t="shared" si="508"/>
        <v/>
      </c>
      <c r="O4649" s="66" t="str">
        <f t="shared" si="509"/>
        <v/>
      </c>
      <c r="P4649" s="66" t="str">
        <f t="shared" si="510"/>
        <v/>
      </c>
    </row>
    <row r="4650" spans="8:16">
      <c r="H4650" s="66" t="e">
        <f>IF(LEFT(A4650,6)="CEPNTR","GPINS",VLOOKUP(LEFT(A4650,6),'Code Library'!$A$3:$B$920,2,0))&amp;"_"&amp;RIGHT(A4650,3)</f>
        <v>#N/A</v>
      </c>
      <c r="I4650" s="66">
        <f t="shared" si="504"/>
        <v>0</v>
      </c>
      <c r="K4650" s="66" t="str">
        <f t="shared" si="505"/>
        <v/>
      </c>
      <c r="L4650" s="66" t="str">
        <f t="shared" si="506"/>
        <v/>
      </c>
      <c r="M4650" s="66" t="str">
        <f t="shared" si="507"/>
        <v/>
      </c>
      <c r="N4650" s="66" t="str">
        <f t="shared" si="508"/>
        <v/>
      </c>
      <c r="O4650" s="66" t="str">
        <f t="shared" si="509"/>
        <v/>
      </c>
      <c r="P4650" s="66" t="str">
        <f t="shared" si="510"/>
        <v/>
      </c>
    </row>
    <row r="4651" spans="8:16">
      <c r="H4651" s="66" t="e">
        <f>IF(LEFT(A4651,6)="CEPNTR","GPINS",VLOOKUP(LEFT(A4651,6),'Code Library'!$A$3:$B$920,2,0))&amp;"_"&amp;RIGHT(A4651,3)</f>
        <v>#N/A</v>
      </c>
      <c r="I4651" s="66">
        <f t="shared" si="504"/>
        <v>0</v>
      </c>
      <c r="K4651" s="66" t="str">
        <f t="shared" si="505"/>
        <v/>
      </c>
      <c r="L4651" s="66" t="str">
        <f t="shared" si="506"/>
        <v/>
      </c>
      <c r="M4651" s="66" t="str">
        <f t="shared" si="507"/>
        <v/>
      </c>
      <c r="N4651" s="66" t="str">
        <f t="shared" si="508"/>
        <v/>
      </c>
      <c r="O4651" s="66" t="str">
        <f t="shared" si="509"/>
        <v/>
      </c>
      <c r="P4651" s="66" t="str">
        <f t="shared" si="510"/>
        <v/>
      </c>
    </row>
    <row r="4652" spans="8:16">
      <c r="H4652" s="66" t="e">
        <f>IF(LEFT(A4652,6)="CEPNTR","GPINS",VLOOKUP(LEFT(A4652,6),'Code Library'!$A$3:$B$920,2,0))&amp;"_"&amp;RIGHT(A4652,3)</f>
        <v>#N/A</v>
      </c>
      <c r="I4652" s="66">
        <f t="shared" si="504"/>
        <v>0</v>
      </c>
      <c r="K4652" s="66" t="str">
        <f t="shared" si="505"/>
        <v/>
      </c>
      <c r="L4652" s="66" t="str">
        <f t="shared" si="506"/>
        <v/>
      </c>
      <c r="M4652" s="66" t="str">
        <f t="shared" si="507"/>
        <v/>
      </c>
      <c r="N4652" s="66" t="str">
        <f t="shared" si="508"/>
        <v/>
      </c>
      <c r="O4652" s="66" t="str">
        <f t="shared" si="509"/>
        <v/>
      </c>
      <c r="P4652" s="66" t="str">
        <f t="shared" si="510"/>
        <v/>
      </c>
    </row>
    <row r="4653" spans="8:16">
      <c r="H4653" s="66" t="e">
        <f>IF(LEFT(A4653,6)="CEPNTR","GPINS",VLOOKUP(LEFT(A4653,6),'Code Library'!$A$3:$B$920,2,0))&amp;"_"&amp;RIGHT(A4653,3)</f>
        <v>#N/A</v>
      </c>
      <c r="I4653" s="66">
        <f t="shared" si="504"/>
        <v>0</v>
      </c>
      <c r="K4653" s="66" t="str">
        <f t="shared" si="505"/>
        <v/>
      </c>
      <c r="L4653" s="66" t="str">
        <f t="shared" si="506"/>
        <v/>
      </c>
      <c r="M4653" s="66" t="str">
        <f t="shared" si="507"/>
        <v/>
      </c>
      <c r="N4653" s="66" t="str">
        <f t="shared" si="508"/>
        <v/>
      </c>
      <c r="O4653" s="66" t="str">
        <f t="shared" si="509"/>
        <v/>
      </c>
      <c r="P4653" s="66" t="str">
        <f t="shared" si="510"/>
        <v/>
      </c>
    </row>
    <row r="4654" spans="8:16">
      <c r="H4654" s="66" t="e">
        <f>IF(LEFT(A4654,6)="CEPNTR","GPINS",VLOOKUP(LEFT(A4654,6),'Code Library'!$A$3:$B$920,2,0))&amp;"_"&amp;RIGHT(A4654,3)</f>
        <v>#N/A</v>
      </c>
      <c r="I4654" s="66">
        <f t="shared" si="504"/>
        <v>0</v>
      </c>
      <c r="K4654" s="66" t="str">
        <f t="shared" si="505"/>
        <v/>
      </c>
      <c r="L4654" s="66" t="str">
        <f t="shared" si="506"/>
        <v/>
      </c>
      <c r="M4654" s="66" t="str">
        <f t="shared" si="507"/>
        <v/>
      </c>
      <c r="N4654" s="66" t="str">
        <f t="shared" si="508"/>
        <v/>
      </c>
      <c r="O4654" s="66" t="str">
        <f t="shared" si="509"/>
        <v/>
      </c>
      <c r="P4654" s="66" t="str">
        <f t="shared" si="510"/>
        <v/>
      </c>
    </row>
    <row r="4655" spans="8:16">
      <c r="H4655" s="66" t="e">
        <f>IF(LEFT(A4655,6)="CEPNTR","GPINS",VLOOKUP(LEFT(A4655,6),'Code Library'!$A$3:$B$920,2,0))&amp;"_"&amp;RIGHT(A4655,3)</f>
        <v>#N/A</v>
      </c>
      <c r="I4655" s="66">
        <f t="shared" si="504"/>
        <v>0</v>
      </c>
      <c r="K4655" s="66" t="str">
        <f t="shared" si="505"/>
        <v/>
      </c>
      <c r="L4655" s="66" t="str">
        <f t="shared" si="506"/>
        <v/>
      </c>
      <c r="M4655" s="66" t="str">
        <f t="shared" si="507"/>
        <v/>
      </c>
      <c r="N4655" s="66" t="str">
        <f t="shared" si="508"/>
        <v/>
      </c>
      <c r="O4655" s="66" t="str">
        <f t="shared" si="509"/>
        <v/>
      </c>
      <c r="P4655" s="66" t="str">
        <f t="shared" si="510"/>
        <v/>
      </c>
    </row>
    <row r="4656" spans="8:16">
      <c r="H4656" s="66" t="e">
        <f>IF(LEFT(A4656,6)="CEPNTR","GPINS",VLOOKUP(LEFT(A4656,6),'Code Library'!$A$3:$B$920,2,0))&amp;"_"&amp;RIGHT(A4656,3)</f>
        <v>#N/A</v>
      </c>
      <c r="I4656" s="66">
        <f t="shared" si="504"/>
        <v>0</v>
      </c>
      <c r="K4656" s="66" t="str">
        <f t="shared" si="505"/>
        <v/>
      </c>
      <c r="L4656" s="66" t="str">
        <f t="shared" si="506"/>
        <v/>
      </c>
      <c r="M4656" s="66" t="str">
        <f t="shared" si="507"/>
        <v/>
      </c>
      <c r="N4656" s="66" t="str">
        <f t="shared" si="508"/>
        <v/>
      </c>
      <c r="O4656" s="66" t="str">
        <f t="shared" si="509"/>
        <v/>
      </c>
      <c r="P4656" s="66" t="str">
        <f t="shared" si="510"/>
        <v/>
      </c>
    </row>
    <row r="4657" spans="8:16">
      <c r="H4657" s="66" t="e">
        <f>IF(LEFT(A4657,6)="CEPNTR","GPINS",VLOOKUP(LEFT(A4657,6),'Code Library'!$A$3:$B$920,2,0))&amp;"_"&amp;RIGHT(A4657,3)</f>
        <v>#N/A</v>
      </c>
      <c r="I4657" s="66">
        <f t="shared" si="504"/>
        <v>0</v>
      </c>
      <c r="K4657" s="66" t="str">
        <f t="shared" si="505"/>
        <v/>
      </c>
      <c r="L4657" s="66" t="str">
        <f t="shared" si="506"/>
        <v/>
      </c>
      <c r="M4657" s="66" t="str">
        <f t="shared" si="507"/>
        <v/>
      </c>
      <c r="N4657" s="66" t="str">
        <f t="shared" si="508"/>
        <v/>
      </c>
      <c r="O4657" s="66" t="str">
        <f t="shared" si="509"/>
        <v/>
      </c>
      <c r="P4657" s="66" t="str">
        <f t="shared" si="510"/>
        <v/>
      </c>
    </row>
    <row r="4658" spans="8:16">
      <c r="H4658" s="66" t="e">
        <f>IF(LEFT(A4658,6)="CEPNTR","GPINS",VLOOKUP(LEFT(A4658,6),'Code Library'!$A$3:$B$920,2,0))&amp;"_"&amp;RIGHT(A4658,3)</f>
        <v>#N/A</v>
      </c>
      <c r="I4658" s="66">
        <f t="shared" si="504"/>
        <v>0</v>
      </c>
      <c r="K4658" s="66" t="str">
        <f t="shared" si="505"/>
        <v/>
      </c>
      <c r="L4658" s="66" t="str">
        <f t="shared" si="506"/>
        <v/>
      </c>
      <c r="M4658" s="66" t="str">
        <f t="shared" si="507"/>
        <v/>
      </c>
      <c r="N4658" s="66" t="str">
        <f t="shared" si="508"/>
        <v/>
      </c>
      <c r="O4658" s="66" t="str">
        <f t="shared" si="509"/>
        <v/>
      </c>
      <c r="P4658" s="66" t="str">
        <f t="shared" si="510"/>
        <v/>
      </c>
    </row>
    <row r="4659" spans="8:16">
      <c r="H4659" s="66" t="e">
        <f>IF(LEFT(A4659,6)="CEPNTR","GPINS",VLOOKUP(LEFT(A4659,6),'Code Library'!$A$3:$B$920,2,0))&amp;"_"&amp;RIGHT(A4659,3)</f>
        <v>#N/A</v>
      </c>
      <c r="I4659" s="66">
        <f t="shared" si="504"/>
        <v>0</v>
      </c>
      <c r="K4659" s="66" t="str">
        <f t="shared" si="505"/>
        <v/>
      </c>
      <c r="L4659" s="66" t="str">
        <f t="shared" si="506"/>
        <v/>
      </c>
      <c r="M4659" s="66" t="str">
        <f t="shared" si="507"/>
        <v/>
      </c>
      <c r="N4659" s="66" t="str">
        <f t="shared" si="508"/>
        <v/>
      </c>
      <c r="O4659" s="66" t="str">
        <f t="shared" si="509"/>
        <v/>
      </c>
      <c r="P4659" s="66" t="str">
        <f t="shared" si="510"/>
        <v/>
      </c>
    </row>
    <row r="4660" spans="8:16">
      <c r="H4660" s="66" t="e">
        <f>IF(LEFT(A4660,6)="CEPNTR","GPINS",VLOOKUP(LEFT(A4660,6),'Code Library'!$A$3:$B$920,2,0))&amp;"_"&amp;RIGHT(A4660,3)</f>
        <v>#N/A</v>
      </c>
      <c r="I4660" s="66">
        <f t="shared" si="504"/>
        <v>0</v>
      </c>
      <c r="K4660" s="66" t="str">
        <f t="shared" si="505"/>
        <v/>
      </c>
      <c r="L4660" s="66" t="str">
        <f t="shared" si="506"/>
        <v/>
      </c>
      <c r="M4660" s="66" t="str">
        <f t="shared" si="507"/>
        <v/>
      </c>
      <c r="N4660" s="66" t="str">
        <f t="shared" si="508"/>
        <v/>
      </c>
      <c r="O4660" s="66" t="str">
        <f t="shared" si="509"/>
        <v/>
      </c>
      <c r="P4660" s="66" t="str">
        <f t="shared" si="510"/>
        <v/>
      </c>
    </row>
    <row r="4661" spans="8:16">
      <c r="H4661" s="66" t="e">
        <f>IF(LEFT(A4661,6)="CEPNTR","GPINS",VLOOKUP(LEFT(A4661,6),'Code Library'!$A$3:$B$920,2,0))&amp;"_"&amp;RIGHT(A4661,3)</f>
        <v>#N/A</v>
      </c>
      <c r="I4661" s="66">
        <f t="shared" si="504"/>
        <v>0</v>
      </c>
      <c r="K4661" s="66" t="str">
        <f t="shared" si="505"/>
        <v/>
      </c>
      <c r="L4661" s="66" t="str">
        <f t="shared" si="506"/>
        <v/>
      </c>
      <c r="M4661" s="66" t="str">
        <f t="shared" si="507"/>
        <v/>
      </c>
      <c r="N4661" s="66" t="str">
        <f t="shared" si="508"/>
        <v/>
      </c>
      <c r="O4661" s="66" t="str">
        <f t="shared" si="509"/>
        <v/>
      </c>
      <c r="P4661" s="66" t="str">
        <f t="shared" si="510"/>
        <v/>
      </c>
    </row>
    <row r="4662" spans="8:16">
      <c r="H4662" s="66" t="e">
        <f>IF(LEFT(A4662,6)="CEPNTR","GPINS",VLOOKUP(LEFT(A4662,6),'Code Library'!$A$3:$B$920,2,0))&amp;"_"&amp;RIGHT(A4662,3)</f>
        <v>#N/A</v>
      </c>
      <c r="I4662" s="66">
        <f t="shared" si="504"/>
        <v>0</v>
      </c>
      <c r="K4662" s="66" t="str">
        <f t="shared" si="505"/>
        <v/>
      </c>
      <c r="L4662" s="66" t="str">
        <f t="shared" si="506"/>
        <v/>
      </c>
      <c r="M4662" s="66" t="str">
        <f t="shared" si="507"/>
        <v/>
      </c>
      <c r="N4662" s="66" t="str">
        <f t="shared" si="508"/>
        <v/>
      </c>
      <c r="O4662" s="66" t="str">
        <f t="shared" si="509"/>
        <v/>
      </c>
      <c r="P4662" s="66" t="str">
        <f t="shared" si="510"/>
        <v/>
      </c>
    </row>
    <row r="4663" spans="8:16">
      <c r="H4663" s="66" t="e">
        <f>IF(LEFT(A4663,6)="CEPNTR","GPINS",VLOOKUP(LEFT(A4663,6),'Code Library'!$A$3:$B$920,2,0))&amp;"_"&amp;RIGHT(A4663,3)</f>
        <v>#N/A</v>
      </c>
      <c r="I4663" s="66">
        <f t="shared" si="504"/>
        <v>0</v>
      </c>
      <c r="K4663" s="66" t="str">
        <f t="shared" si="505"/>
        <v/>
      </c>
      <c r="L4663" s="66" t="str">
        <f t="shared" si="506"/>
        <v/>
      </c>
      <c r="M4663" s="66" t="str">
        <f t="shared" si="507"/>
        <v/>
      </c>
      <c r="N4663" s="66" t="str">
        <f t="shared" si="508"/>
        <v/>
      </c>
      <c r="O4663" s="66" t="str">
        <f t="shared" si="509"/>
        <v/>
      </c>
      <c r="P4663" s="66" t="str">
        <f t="shared" si="510"/>
        <v/>
      </c>
    </row>
    <row r="4664" spans="8:16">
      <c r="H4664" s="66" t="e">
        <f>IF(LEFT(A4664,6)="CEPNTR","GPINS",VLOOKUP(LEFT(A4664,6),'Code Library'!$A$3:$B$920,2,0))&amp;"_"&amp;RIGHT(A4664,3)</f>
        <v>#N/A</v>
      </c>
      <c r="I4664" s="66">
        <f t="shared" si="504"/>
        <v>0</v>
      </c>
      <c r="K4664" s="66" t="str">
        <f t="shared" si="505"/>
        <v/>
      </c>
      <c r="L4664" s="66" t="str">
        <f t="shared" si="506"/>
        <v/>
      </c>
      <c r="M4664" s="66" t="str">
        <f t="shared" si="507"/>
        <v/>
      </c>
      <c r="N4664" s="66" t="str">
        <f t="shared" si="508"/>
        <v/>
      </c>
      <c r="O4664" s="66" t="str">
        <f t="shared" si="509"/>
        <v/>
      </c>
      <c r="P4664" s="66" t="str">
        <f t="shared" si="510"/>
        <v/>
      </c>
    </row>
    <row r="4665" spans="8:16">
      <c r="H4665" s="66" t="e">
        <f>IF(LEFT(A4665,6)="CEPNTR","GPINS",VLOOKUP(LEFT(A4665,6),'Code Library'!$A$3:$B$920,2,0))&amp;"_"&amp;RIGHT(A4665,3)</f>
        <v>#N/A</v>
      </c>
      <c r="I4665" s="66">
        <f t="shared" si="504"/>
        <v>0</v>
      </c>
      <c r="K4665" s="66" t="str">
        <f t="shared" si="505"/>
        <v/>
      </c>
      <c r="L4665" s="66" t="str">
        <f t="shared" si="506"/>
        <v/>
      </c>
      <c r="M4665" s="66" t="str">
        <f t="shared" si="507"/>
        <v/>
      </c>
      <c r="N4665" s="66" t="str">
        <f t="shared" si="508"/>
        <v/>
      </c>
      <c r="O4665" s="66" t="str">
        <f t="shared" si="509"/>
        <v/>
      </c>
      <c r="P4665" s="66" t="str">
        <f t="shared" si="510"/>
        <v/>
      </c>
    </row>
    <row r="4666" spans="8:16">
      <c r="H4666" s="66" t="e">
        <f>IF(LEFT(A4666,6)="CEPNTR","GPINS",VLOOKUP(LEFT(A4666,6),'Code Library'!$A$3:$B$920,2,0))&amp;"_"&amp;RIGHT(A4666,3)</f>
        <v>#N/A</v>
      </c>
      <c r="I4666" s="66">
        <f t="shared" si="504"/>
        <v>0</v>
      </c>
      <c r="K4666" s="66" t="str">
        <f t="shared" si="505"/>
        <v/>
      </c>
      <c r="L4666" s="66" t="str">
        <f t="shared" si="506"/>
        <v/>
      </c>
      <c r="M4666" s="66" t="str">
        <f t="shared" si="507"/>
        <v/>
      </c>
      <c r="N4666" s="66" t="str">
        <f t="shared" si="508"/>
        <v/>
      </c>
      <c r="O4666" s="66" t="str">
        <f t="shared" si="509"/>
        <v/>
      </c>
      <c r="P4666" s="66" t="str">
        <f t="shared" si="510"/>
        <v/>
      </c>
    </row>
    <row r="4667" spans="8:16">
      <c r="H4667" s="66" t="e">
        <f>IF(LEFT(A4667,6)="CEPNTR","GPINS",VLOOKUP(LEFT(A4667,6),'Code Library'!$A$3:$B$920,2,0))&amp;"_"&amp;RIGHT(A4667,3)</f>
        <v>#N/A</v>
      </c>
      <c r="I4667" s="66">
        <f t="shared" si="504"/>
        <v>0</v>
      </c>
      <c r="K4667" s="66" t="str">
        <f t="shared" si="505"/>
        <v/>
      </c>
      <c r="L4667" s="66" t="str">
        <f t="shared" si="506"/>
        <v/>
      </c>
      <c r="M4667" s="66" t="str">
        <f t="shared" si="507"/>
        <v/>
      </c>
      <c r="N4667" s="66" t="str">
        <f t="shared" si="508"/>
        <v/>
      </c>
      <c r="O4667" s="66" t="str">
        <f t="shared" si="509"/>
        <v/>
      </c>
      <c r="P4667" s="66" t="str">
        <f t="shared" si="510"/>
        <v/>
      </c>
    </row>
    <row r="4668" spans="8:16">
      <c r="H4668" s="66" t="e">
        <f>IF(LEFT(A4668,6)="CEPNTR","GPINS",VLOOKUP(LEFT(A4668,6),'Code Library'!$A$3:$B$920,2,0))&amp;"_"&amp;RIGHT(A4668,3)</f>
        <v>#N/A</v>
      </c>
      <c r="I4668" s="66">
        <f t="shared" si="504"/>
        <v>0</v>
      </c>
      <c r="K4668" s="66" t="str">
        <f t="shared" si="505"/>
        <v/>
      </c>
      <c r="L4668" s="66" t="str">
        <f t="shared" si="506"/>
        <v/>
      </c>
      <c r="M4668" s="66" t="str">
        <f t="shared" si="507"/>
        <v/>
      </c>
      <c r="N4668" s="66" t="str">
        <f t="shared" si="508"/>
        <v/>
      </c>
      <c r="O4668" s="66" t="str">
        <f t="shared" si="509"/>
        <v/>
      </c>
      <c r="P4668" s="66" t="str">
        <f t="shared" si="510"/>
        <v/>
      </c>
    </row>
    <row r="4669" spans="8:16">
      <c r="H4669" s="66" t="e">
        <f>IF(LEFT(A4669,6)="CEPNTR","GPINS",VLOOKUP(LEFT(A4669,6),'Code Library'!$A$3:$B$920,2,0))&amp;"_"&amp;RIGHT(A4669,3)</f>
        <v>#N/A</v>
      </c>
      <c r="I4669" s="66">
        <f t="shared" si="504"/>
        <v>0</v>
      </c>
      <c r="K4669" s="66" t="str">
        <f t="shared" si="505"/>
        <v/>
      </c>
      <c r="L4669" s="66" t="str">
        <f t="shared" si="506"/>
        <v/>
      </c>
      <c r="M4669" s="66" t="str">
        <f t="shared" si="507"/>
        <v/>
      </c>
      <c r="N4669" s="66" t="str">
        <f t="shared" si="508"/>
        <v/>
      </c>
      <c r="O4669" s="66" t="str">
        <f t="shared" si="509"/>
        <v/>
      </c>
      <c r="P4669" s="66" t="str">
        <f t="shared" si="510"/>
        <v/>
      </c>
    </row>
    <row r="4670" spans="8:16">
      <c r="H4670" s="66" t="e">
        <f>IF(LEFT(A4670,6)="CEPNTR","GPINS",VLOOKUP(LEFT(A4670,6),'Code Library'!$A$3:$B$920,2,0))&amp;"_"&amp;RIGHT(A4670,3)</f>
        <v>#N/A</v>
      </c>
      <c r="I4670" s="66">
        <f t="shared" si="504"/>
        <v>0</v>
      </c>
      <c r="K4670" s="66" t="str">
        <f t="shared" si="505"/>
        <v/>
      </c>
      <c r="L4670" s="66" t="str">
        <f t="shared" si="506"/>
        <v/>
      </c>
      <c r="M4670" s="66" t="str">
        <f t="shared" si="507"/>
        <v/>
      </c>
      <c r="N4670" s="66" t="str">
        <f t="shared" si="508"/>
        <v/>
      </c>
      <c r="O4670" s="66" t="str">
        <f t="shared" si="509"/>
        <v/>
      </c>
      <c r="P4670" s="66" t="str">
        <f t="shared" si="510"/>
        <v/>
      </c>
    </row>
    <row r="4671" spans="8:16">
      <c r="H4671" s="66" t="e">
        <f>IF(LEFT(A4671,6)="CEPNTR","GPINS",VLOOKUP(LEFT(A4671,6),'Code Library'!$A$3:$B$920,2,0))&amp;"_"&amp;RIGHT(A4671,3)</f>
        <v>#N/A</v>
      </c>
      <c r="I4671" s="66">
        <f t="shared" si="504"/>
        <v>0</v>
      </c>
      <c r="K4671" s="66" t="str">
        <f t="shared" si="505"/>
        <v/>
      </c>
      <c r="L4671" s="66" t="str">
        <f t="shared" si="506"/>
        <v/>
      </c>
      <c r="M4671" s="66" t="str">
        <f t="shared" si="507"/>
        <v/>
      </c>
      <c r="N4671" s="66" t="str">
        <f t="shared" si="508"/>
        <v/>
      </c>
      <c r="O4671" s="66" t="str">
        <f t="shared" si="509"/>
        <v/>
      </c>
      <c r="P4671" s="66" t="str">
        <f t="shared" si="510"/>
        <v/>
      </c>
    </row>
    <row r="4672" spans="8:16">
      <c r="H4672" s="66" t="e">
        <f>IF(LEFT(A4672,6)="CEPNTR","GPINS",VLOOKUP(LEFT(A4672,6),'Code Library'!$A$3:$B$920,2,0))&amp;"_"&amp;RIGHT(A4672,3)</f>
        <v>#N/A</v>
      </c>
      <c r="I4672" s="66">
        <f t="shared" si="504"/>
        <v>0</v>
      </c>
      <c r="K4672" s="66" t="str">
        <f t="shared" si="505"/>
        <v/>
      </c>
      <c r="L4672" s="66" t="str">
        <f t="shared" si="506"/>
        <v/>
      </c>
      <c r="M4672" s="66" t="str">
        <f t="shared" si="507"/>
        <v/>
      </c>
      <c r="N4672" s="66" t="str">
        <f t="shared" si="508"/>
        <v/>
      </c>
      <c r="O4672" s="66" t="str">
        <f t="shared" si="509"/>
        <v/>
      </c>
      <c r="P4672" s="66" t="str">
        <f t="shared" si="510"/>
        <v/>
      </c>
    </row>
    <row r="4673" spans="8:16">
      <c r="H4673" s="66" t="e">
        <f>IF(LEFT(A4673,6)="CEPNTR","GPINS",VLOOKUP(LEFT(A4673,6),'Code Library'!$A$3:$B$920,2,0))&amp;"_"&amp;RIGHT(A4673,3)</f>
        <v>#N/A</v>
      </c>
      <c r="I4673" s="66">
        <f t="shared" si="504"/>
        <v>0</v>
      </c>
      <c r="K4673" s="66" t="str">
        <f t="shared" si="505"/>
        <v/>
      </c>
      <c r="L4673" s="66" t="str">
        <f t="shared" si="506"/>
        <v/>
      </c>
      <c r="M4673" s="66" t="str">
        <f t="shared" si="507"/>
        <v/>
      </c>
      <c r="N4673" s="66" t="str">
        <f t="shared" si="508"/>
        <v/>
      </c>
      <c r="O4673" s="66" t="str">
        <f t="shared" si="509"/>
        <v/>
      </c>
      <c r="P4673" s="66" t="str">
        <f t="shared" si="510"/>
        <v/>
      </c>
    </row>
    <row r="4674" spans="8:16">
      <c r="H4674" s="66" t="e">
        <f>IF(LEFT(A4674,6)="CEPNTR","GPINS",VLOOKUP(LEFT(A4674,6),'Code Library'!$A$3:$B$920,2,0))&amp;"_"&amp;RIGHT(A4674,3)</f>
        <v>#N/A</v>
      </c>
      <c r="I4674" s="66">
        <f t="shared" si="504"/>
        <v>0</v>
      </c>
      <c r="K4674" s="66" t="str">
        <f t="shared" si="505"/>
        <v/>
      </c>
      <c r="L4674" s="66" t="str">
        <f t="shared" si="506"/>
        <v/>
      </c>
      <c r="M4674" s="66" t="str">
        <f t="shared" si="507"/>
        <v/>
      </c>
      <c r="N4674" s="66" t="str">
        <f t="shared" si="508"/>
        <v/>
      </c>
      <c r="O4674" s="66" t="str">
        <f t="shared" si="509"/>
        <v/>
      </c>
      <c r="P4674" s="66" t="str">
        <f t="shared" si="510"/>
        <v/>
      </c>
    </row>
    <row r="4675" spans="8:16">
      <c r="H4675" s="66" t="e">
        <f>IF(LEFT(A4675,6)="CEPNTR","GPINS",VLOOKUP(LEFT(A4675,6),'Code Library'!$A$3:$B$920,2,0))&amp;"_"&amp;RIGHT(A4675,3)</f>
        <v>#N/A</v>
      </c>
      <c r="I4675" s="66">
        <f t="shared" ref="I4675:I4738" si="511">A4675</f>
        <v>0</v>
      </c>
      <c r="K4675" s="66" t="str">
        <f t="shared" ref="K4675:K4738" si="512">RIGHT($B4675,2)</f>
        <v/>
      </c>
      <c r="L4675" s="66" t="str">
        <f t="shared" ref="L4675:L4738" si="513">LEFT(RIGHT($B4675,7),4)</f>
        <v/>
      </c>
      <c r="M4675" s="66" t="str">
        <f t="shared" ref="M4675:M4738" si="514">LEFT(RIGHT($B4675,10),2)</f>
        <v/>
      </c>
      <c r="N4675" s="66" t="str">
        <f t="shared" ref="N4675:N4738" si="515">LEFT(RIGHT($B4675,14),3)</f>
        <v/>
      </c>
      <c r="O4675" s="66" t="str">
        <f t="shared" ref="O4675:O4738" si="516">LEFT(RIGHT($B4675,16),1)</f>
        <v/>
      </c>
      <c r="P4675" s="66" t="str">
        <f t="shared" ref="P4675:P4738" si="517">LEFT(RIGHT($B4675,19),2)</f>
        <v/>
      </c>
    </row>
    <row r="4676" spans="8:16">
      <c r="H4676" s="66" t="e">
        <f>IF(LEFT(A4676,6)="CEPNTR","GPINS",VLOOKUP(LEFT(A4676,6),'Code Library'!$A$3:$B$920,2,0))&amp;"_"&amp;RIGHT(A4676,3)</f>
        <v>#N/A</v>
      </c>
      <c r="I4676" s="66">
        <f t="shared" si="511"/>
        <v>0</v>
      </c>
      <c r="K4676" s="66" t="str">
        <f t="shared" si="512"/>
        <v/>
      </c>
      <c r="L4676" s="66" t="str">
        <f t="shared" si="513"/>
        <v/>
      </c>
      <c r="M4676" s="66" t="str">
        <f t="shared" si="514"/>
        <v/>
      </c>
      <c r="N4676" s="66" t="str">
        <f t="shared" si="515"/>
        <v/>
      </c>
      <c r="O4676" s="66" t="str">
        <f t="shared" si="516"/>
        <v/>
      </c>
      <c r="P4676" s="66" t="str">
        <f t="shared" si="517"/>
        <v/>
      </c>
    </row>
    <row r="4677" spans="8:16">
      <c r="H4677" s="66" t="e">
        <f>IF(LEFT(A4677,6)="CEPNTR","GPINS",VLOOKUP(LEFT(A4677,6),'Code Library'!$A$3:$B$920,2,0))&amp;"_"&amp;RIGHT(A4677,3)</f>
        <v>#N/A</v>
      </c>
      <c r="I4677" s="66">
        <f t="shared" si="511"/>
        <v>0</v>
      </c>
      <c r="K4677" s="66" t="str">
        <f t="shared" si="512"/>
        <v/>
      </c>
      <c r="L4677" s="66" t="str">
        <f t="shared" si="513"/>
        <v/>
      </c>
      <c r="M4677" s="66" t="str">
        <f t="shared" si="514"/>
        <v/>
      </c>
      <c r="N4677" s="66" t="str">
        <f t="shared" si="515"/>
        <v/>
      </c>
      <c r="O4677" s="66" t="str">
        <f t="shared" si="516"/>
        <v/>
      </c>
      <c r="P4677" s="66" t="str">
        <f t="shared" si="517"/>
        <v/>
      </c>
    </row>
    <row r="4678" spans="8:16">
      <c r="H4678" s="66" t="e">
        <f>IF(LEFT(A4678,6)="CEPNTR","GPINS",VLOOKUP(LEFT(A4678,6),'Code Library'!$A$3:$B$920,2,0))&amp;"_"&amp;RIGHT(A4678,3)</f>
        <v>#N/A</v>
      </c>
      <c r="I4678" s="66">
        <f t="shared" si="511"/>
        <v>0</v>
      </c>
      <c r="K4678" s="66" t="str">
        <f t="shared" si="512"/>
        <v/>
      </c>
      <c r="L4678" s="66" t="str">
        <f t="shared" si="513"/>
        <v/>
      </c>
      <c r="M4678" s="66" t="str">
        <f t="shared" si="514"/>
        <v/>
      </c>
      <c r="N4678" s="66" t="str">
        <f t="shared" si="515"/>
        <v/>
      </c>
      <c r="O4678" s="66" t="str">
        <f t="shared" si="516"/>
        <v/>
      </c>
      <c r="P4678" s="66" t="str">
        <f t="shared" si="517"/>
        <v/>
      </c>
    </row>
    <row r="4679" spans="8:16">
      <c r="H4679" s="66" t="e">
        <f>IF(LEFT(A4679,6)="CEPNTR","GPINS",VLOOKUP(LEFT(A4679,6),'Code Library'!$A$3:$B$920,2,0))&amp;"_"&amp;RIGHT(A4679,3)</f>
        <v>#N/A</v>
      </c>
      <c r="I4679" s="66">
        <f t="shared" si="511"/>
        <v>0</v>
      </c>
      <c r="K4679" s="66" t="str">
        <f t="shared" si="512"/>
        <v/>
      </c>
      <c r="L4679" s="66" t="str">
        <f t="shared" si="513"/>
        <v/>
      </c>
      <c r="M4679" s="66" t="str">
        <f t="shared" si="514"/>
        <v/>
      </c>
      <c r="N4679" s="66" t="str">
        <f t="shared" si="515"/>
        <v/>
      </c>
      <c r="O4679" s="66" t="str">
        <f t="shared" si="516"/>
        <v/>
      </c>
      <c r="P4679" s="66" t="str">
        <f t="shared" si="517"/>
        <v/>
      </c>
    </row>
    <row r="4680" spans="8:16">
      <c r="H4680" s="66" t="e">
        <f>IF(LEFT(A4680,6)="CEPNTR","GPINS",VLOOKUP(LEFT(A4680,6),'Code Library'!$A$3:$B$920,2,0))&amp;"_"&amp;RIGHT(A4680,3)</f>
        <v>#N/A</v>
      </c>
      <c r="I4680" s="66">
        <f t="shared" si="511"/>
        <v>0</v>
      </c>
      <c r="K4680" s="66" t="str">
        <f t="shared" si="512"/>
        <v/>
      </c>
      <c r="L4680" s="66" t="str">
        <f t="shared" si="513"/>
        <v/>
      </c>
      <c r="M4680" s="66" t="str">
        <f t="shared" si="514"/>
        <v/>
      </c>
      <c r="N4680" s="66" t="str">
        <f t="shared" si="515"/>
        <v/>
      </c>
      <c r="O4680" s="66" t="str">
        <f t="shared" si="516"/>
        <v/>
      </c>
      <c r="P4680" s="66" t="str">
        <f t="shared" si="517"/>
        <v/>
      </c>
    </row>
    <row r="4681" spans="8:16">
      <c r="H4681" s="66" t="e">
        <f>IF(LEFT(A4681,6)="CEPNTR","GPINS",VLOOKUP(LEFT(A4681,6),'Code Library'!$A$3:$B$920,2,0))&amp;"_"&amp;RIGHT(A4681,3)</f>
        <v>#N/A</v>
      </c>
      <c r="I4681" s="66">
        <f t="shared" si="511"/>
        <v>0</v>
      </c>
      <c r="K4681" s="66" t="str">
        <f t="shared" si="512"/>
        <v/>
      </c>
      <c r="L4681" s="66" t="str">
        <f t="shared" si="513"/>
        <v/>
      </c>
      <c r="M4681" s="66" t="str">
        <f t="shared" si="514"/>
        <v/>
      </c>
      <c r="N4681" s="66" t="str">
        <f t="shared" si="515"/>
        <v/>
      </c>
      <c r="O4681" s="66" t="str">
        <f t="shared" si="516"/>
        <v/>
      </c>
      <c r="P4681" s="66" t="str">
        <f t="shared" si="517"/>
        <v/>
      </c>
    </row>
    <row r="4682" spans="8:16">
      <c r="H4682" s="66" t="e">
        <f>IF(LEFT(A4682,6)="CEPNTR","GPINS",VLOOKUP(LEFT(A4682,6),'Code Library'!$A$3:$B$920,2,0))&amp;"_"&amp;RIGHT(A4682,3)</f>
        <v>#N/A</v>
      </c>
      <c r="I4682" s="66">
        <f t="shared" si="511"/>
        <v>0</v>
      </c>
      <c r="K4682" s="66" t="str">
        <f t="shared" si="512"/>
        <v/>
      </c>
      <c r="L4682" s="66" t="str">
        <f t="shared" si="513"/>
        <v/>
      </c>
      <c r="M4682" s="66" t="str">
        <f t="shared" si="514"/>
        <v/>
      </c>
      <c r="N4682" s="66" t="str">
        <f t="shared" si="515"/>
        <v/>
      </c>
      <c r="O4682" s="66" t="str">
        <f t="shared" si="516"/>
        <v/>
      </c>
      <c r="P4682" s="66" t="str">
        <f t="shared" si="517"/>
        <v/>
      </c>
    </row>
    <row r="4683" spans="8:16">
      <c r="H4683" s="66" t="e">
        <f>IF(LEFT(A4683,6)="CEPNTR","GPINS",VLOOKUP(LEFT(A4683,6),'Code Library'!$A$3:$B$920,2,0))&amp;"_"&amp;RIGHT(A4683,3)</f>
        <v>#N/A</v>
      </c>
      <c r="I4683" s="66">
        <f t="shared" si="511"/>
        <v>0</v>
      </c>
      <c r="K4683" s="66" t="str">
        <f t="shared" si="512"/>
        <v/>
      </c>
      <c r="L4683" s="66" t="str">
        <f t="shared" si="513"/>
        <v/>
      </c>
      <c r="M4683" s="66" t="str">
        <f t="shared" si="514"/>
        <v/>
      </c>
      <c r="N4683" s="66" t="str">
        <f t="shared" si="515"/>
        <v/>
      </c>
      <c r="O4683" s="66" t="str">
        <f t="shared" si="516"/>
        <v/>
      </c>
      <c r="P4683" s="66" t="str">
        <f t="shared" si="517"/>
        <v/>
      </c>
    </row>
    <row r="4684" spans="8:16">
      <c r="H4684" s="66" t="e">
        <f>IF(LEFT(A4684,6)="CEPNTR","GPINS",VLOOKUP(LEFT(A4684,6),'Code Library'!$A$3:$B$920,2,0))&amp;"_"&amp;RIGHT(A4684,3)</f>
        <v>#N/A</v>
      </c>
      <c r="I4684" s="66">
        <f t="shared" si="511"/>
        <v>0</v>
      </c>
      <c r="K4684" s="66" t="str">
        <f t="shared" si="512"/>
        <v/>
      </c>
      <c r="L4684" s="66" t="str">
        <f t="shared" si="513"/>
        <v/>
      </c>
      <c r="M4684" s="66" t="str">
        <f t="shared" si="514"/>
        <v/>
      </c>
      <c r="N4684" s="66" t="str">
        <f t="shared" si="515"/>
        <v/>
      </c>
      <c r="O4684" s="66" t="str">
        <f t="shared" si="516"/>
        <v/>
      </c>
      <c r="P4684" s="66" t="str">
        <f t="shared" si="517"/>
        <v/>
      </c>
    </row>
    <row r="4685" spans="8:16">
      <c r="H4685" s="66" t="e">
        <f>IF(LEFT(A4685,6)="CEPNTR","GPINS",VLOOKUP(LEFT(A4685,6),'Code Library'!$A$3:$B$920,2,0))&amp;"_"&amp;RIGHT(A4685,3)</f>
        <v>#N/A</v>
      </c>
      <c r="I4685" s="66">
        <f t="shared" si="511"/>
        <v>0</v>
      </c>
      <c r="K4685" s="66" t="str">
        <f t="shared" si="512"/>
        <v/>
      </c>
      <c r="L4685" s="66" t="str">
        <f t="shared" si="513"/>
        <v/>
      </c>
      <c r="M4685" s="66" t="str">
        <f t="shared" si="514"/>
        <v/>
      </c>
      <c r="N4685" s="66" t="str">
        <f t="shared" si="515"/>
        <v/>
      </c>
      <c r="O4685" s="66" t="str">
        <f t="shared" si="516"/>
        <v/>
      </c>
      <c r="P4685" s="66" t="str">
        <f t="shared" si="517"/>
        <v/>
      </c>
    </row>
    <row r="4686" spans="8:16">
      <c r="H4686" s="66" t="e">
        <f>IF(LEFT(A4686,6)="CEPNTR","GPINS",VLOOKUP(LEFT(A4686,6),'Code Library'!$A$3:$B$920,2,0))&amp;"_"&amp;RIGHT(A4686,3)</f>
        <v>#N/A</v>
      </c>
      <c r="I4686" s="66">
        <f t="shared" si="511"/>
        <v>0</v>
      </c>
      <c r="K4686" s="66" t="str">
        <f t="shared" si="512"/>
        <v/>
      </c>
      <c r="L4686" s="66" t="str">
        <f t="shared" si="513"/>
        <v/>
      </c>
      <c r="M4686" s="66" t="str">
        <f t="shared" si="514"/>
        <v/>
      </c>
      <c r="N4686" s="66" t="str">
        <f t="shared" si="515"/>
        <v/>
      </c>
      <c r="O4686" s="66" t="str">
        <f t="shared" si="516"/>
        <v/>
      </c>
      <c r="P4686" s="66" t="str">
        <f t="shared" si="517"/>
        <v/>
      </c>
    </row>
    <row r="4687" spans="8:16">
      <c r="H4687" s="66" t="e">
        <f>IF(LEFT(A4687,6)="CEPNTR","GPINS",VLOOKUP(LEFT(A4687,6),'Code Library'!$A$3:$B$920,2,0))&amp;"_"&amp;RIGHT(A4687,3)</f>
        <v>#N/A</v>
      </c>
      <c r="I4687" s="66">
        <f t="shared" si="511"/>
        <v>0</v>
      </c>
      <c r="K4687" s="66" t="str">
        <f t="shared" si="512"/>
        <v/>
      </c>
      <c r="L4687" s="66" t="str">
        <f t="shared" si="513"/>
        <v/>
      </c>
      <c r="M4687" s="66" t="str">
        <f t="shared" si="514"/>
        <v/>
      </c>
      <c r="N4687" s="66" t="str">
        <f t="shared" si="515"/>
        <v/>
      </c>
      <c r="O4687" s="66" t="str">
        <f t="shared" si="516"/>
        <v/>
      </c>
      <c r="P4687" s="66" t="str">
        <f t="shared" si="517"/>
        <v/>
      </c>
    </row>
    <row r="4688" spans="8:16">
      <c r="H4688" s="66" t="e">
        <f>IF(LEFT(A4688,6)="CEPNTR","GPINS",VLOOKUP(LEFT(A4688,6),'Code Library'!$A$3:$B$920,2,0))&amp;"_"&amp;RIGHT(A4688,3)</f>
        <v>#N/A</v>
      </c>
      <c r="I4688" s="66">
        <f t="shared" si="511"/>
        <v>0</v>
      </c>
      <c r="K4688" s="66" t="str">
        <f t="shared" si="512"/>
        <v/>
      </c>
      <c r="L4688" s="66" t="str">
        <f t="shared" si="513"/>
        <v/>
      </c>
      <c r="M4688" s="66" t="str">
        <f t="shared" si="514"/>
        <v/>
      </c>
      <c r="N4688" s="66" t="str">
        <f t="shared" si="515"/>
        <v/>
      </c>
      <c r="O4688" s="66" t="str">
        <f t="shared" si="516"/>
        <v/>
      </c>
      <c r="P4688" s="66" t="str">
        <f t="shared" si="517"/>
        <v/>
      </c>
    </row>
    <row r="4689" spans="8:16">
      <c r="H4689" s="66" t="e">
        <f>IF(LEFT(A4689,6)="CEPNTR","GPINS",VLOOKUP(LEFT(A4689,6),'Code Library'!$A$3:$B$920,2,0))&amp;"_"&amp;RIGHT(A4689,3)</f>
        <v>#N/A</v>
      </c>
      <c r="I4689" s="66">
        <f t="shared" si="511"/>
        <v>0</v>
      </c>
      <c r="K4689" s="66" t="str">
        <f t="shared" si="512"/>
        <v/>
      </c>
      <c r="L4689" s="66" t="str">
        <f t="shared" si="513"/>
        <v/>
      </c>
      <c r="M4689" s="66" t="str">
        <f t="shared" si="514"/>
        <v/>
      </c>
      <c r="N4689" s="66" t="str">
        <f t="shared" si="515"/>
        <v/>
      </c>
      <c r="O4689" s="66" t="str">
        <f t="shared" si="516"/>
        <v/>
      </c>
      <c r="P4689" s="66" t="str">
        <f t="shared" si="517"/>
        <v/>
      </c>
    </row>
    <row r="4690" spans="8:16">
      <c r="H4690" s="66" t="e">
        <f>IF(LEFT(A4690,6)="CEPNTR","GPINS",VLOOKUP(LEFT(A4690,6),'Code Library'!$A$3:$B$920,2,0))&amp;"_"&amp;RIGHT(A4690,3)</f>
        <v>#N/A</v>
      </c>
      <c r="I4690" s="66">
        <f t="shared" si="511"/>
        <v>0</v>
      </c>
      <c r="K4690" s="66" t="str">
        <f t="shared" si="512"/>
        <v/>
      </c>
      <c r="L4690" s="66" t="str">
        <f t="shared" si="513"/>
        <v/>
      </c>
      <c r="M4690" s="66" t="str">
        <f t="shared" si="514"/>
        <v/>
      </c>
      <c r="N4690" s="66" t="str">
        <f t="shared" si="515"/>
        <v/>
      </c>
      <c r="O4690" s="66" t="str">
        <f t="shared" si="516"/>
        <v/>
      </c>
      <c r="P4690" s="66" t="str">
        <f t="shared" si="517"/>
        <v/>
      </c>
    </row>
    <row r="4691" spans="8:16">
      <c r="H4691" s="66" t="e">
        <f>IF(LEFT(A4691,6)="CEPNTR","GPINS",VLOOKUP(LEFT(A4691,6),'Code Library'!$A$3:$B$920,2,0))&amp;"_"&amp;RIGHT(A4691,3)</f>
        <v>#N/A</v>
      </c>
      <c r="I4691" s="66">
        <f t="shared" si="511"/>
        <v>0</v>
      </c>
      <c r="K4691" s="66" t="str">
        <f t="shared" si="512"/>
        <v/>
      </c>
      <c r="L4691" s="66" t="str">
        <f t="shared" si="513"/>
        <v/>
      </c>
      <c r="M4691" s="66" t="str">
        <f t="shared" si="514"/>
        <v/>
      </c>
      <c r="N4691" s="66" t="str">
        <f t="shared" si="515"/>
        <v/>
      </c>
      <c r="O4691" s="66" t="str">
        <f t="shared" si="516"/>
        <v/>
      </c>
      <c r="P4691" s="66" t="str">
        <f t="shared" si="517"/>
        <v/>
      </c>
    </row>
    <row r="4692" spans="8:16">
      <c r="H4692" s="66" t="e">
        <f>IF(LEFT(A4692,6)="CEPNTR","GPINS",VLOOKUP(LEFT(A4692,6),'Code Library'!$A$3:$B$920,2,0))&amp;"_"&amp;RIGHT(A4692,3)</f>
        <v>#N/A</v>
      </c>
      <c r="I4692" s="66">
        <f t="shared" si="511"/>
        <v>0</v>
      </c>
      <c r="K4692" s="66" t="str">
        <f t="shared" si="512"/>
        <v/>
      </c>
      <c r="L4692" s="66" t="str">
        <f t="shared" si="513"/>
        <v/>
      </c>
      <c r="M4692" s="66" t="str">
        <f t="shared" si="514"/>
        <v/>
      </c>
      <c r="N4692" s="66" t="str">
        <f t="shared" si="515"/>
        <v/>
      </c>
      <c r="O4692" s="66" t="str">
        <f t="shared" si="516"/>
        <v/>
      </c>
      <c r="P4692" s="66" t="str">
        <f t="shared" si="517"/>
        <v/>
      </c>
    </row>
    <row r="4693" spans="8:16">
      <c r="H4693" s="66" t="e">
        <f>IF(LEFT(A4693,6)="CEPNTR","GPINS",VLOOKUP(LEFT(A4693,6),'Code Library'!$A$3:$B$920,2,0))&amp;"_"&amp;RIGHT(A4693,3)</f>
        <v>#N/A</v>
      </c>
      <c r="I4693" s="66">
        <f t="shared" si="511"/>
        <v>0</v>
      </c>
      <c r="K4693" s="66" t="str">
        <f t="shared" si="512"/>
        <v/>
      </c>
      <c r="L4693" s="66" t="str">
        <f t="shared" si="513"/>
        <v/>
      </c>
      <c r="M4693" s="66" t="str">
        <f t="shared" si="514"/>
        <v/>
      </c>
      <c r="N4693" s="66" t="str">
        <f t="shared" si="515"/>
        <v/>
      </c>
      <c r="O4693" s="66" t="str">
        <f t="shared" si="516"/>
        <v/>
      </c>
      <c r="P4693" s="66" t="str">
        <f t="shared" si="517"/>
        <v/>
      </c>
    </row>
    <row r="4694" spans="8:16">
      <c r="H4694" s="66" t="e">
        <f>IF(LEFT(A4694,6)="CEPNTR","GPINS",VLOOKUP(LEFT(A4694,6),'Code Library'!$A$3:$B$920,2,0))&amp;"_"&amp;RIGHT(A4694,3)</f>
        <v>#N/A</v>
      </c>
      <c r="I4694" s="66">
        <f t="shared" si="511"/>
        <v>0</v>
      </c>
      <c r="K4694" s="66" t="str">
        <f t="shared" si="512"/>
        <v/>
      </c>
      <c r="L4694" s="66" t="str">
        <f t="shared" si="513"/>
        <v/>
      </c>
      <c r="M4694" s="66" t="str">
        <f t="shared" si="514"/>
        <v/>
      </c>
      <c r="N4694" s="66" t="str">
        <f t="shared" si="515"/>
        <v/>
      </c>
      <c r="O4694" s="66" t="str">
        <f t="shared" si="516"/>
        <v/>
      </c>
      <c r="P4694" s="66" t="str">
        <f t="shared" si="517"/>
        <v/>
      </c>
    </row>
    <row r="4695" spans="8:16">
      <c r="H4695" s="66" t="e">
        <f>IF(LEFT(A4695,6)="CEPNTR","GPINS",VLOOKUP(LEFT(A4695,6),'Code Library'!$A$3:$B$920,2,0))&amp;"_"&amp;RIGHT(A4695,3)</f>
        <v>#N/A</v>
      </c>
      <c r="I4695" s="66">
        <f t="shared" si="511"/>
        <v>0</v>
      </c>
      <c r="K4695" s="66" t="str">
        <f t="shared" si="512"/>
        <v/>
      </c>
      <c r="L4695" s="66" t="str">
        <f t="shared" si="513"/>
        <v/>
      </c>
      <c r="M4695" s="66" t="str">
        <f t="shared" si="514"/>
        <v/>
      </c>
      <c r="N4695" s="66" t="str">
        <f t="shared" si="515"/>
        <v/>
      </c>
      <c r="O4695" s="66" t="str">
        <f t="shared" si="516"/>
        <v/>
      </c>
      <c r="P4695" s="66" t="str">
        <f t="shared" si="517"/>
        <v/>
      </c>
    </row>
    <row r="4696" spans="8:16">
      <c r="H4696" s="66" t="e">
        <f>IF(LEFT(A4696,6)="CEPNTR","GPINS",VLOOKUP(LEFT(A4696,6),'Code Library'!$A$3:$B$920,2,0))&amp;"_"&amp;RIGHT(A4696,3)</f>
        <v>#N/A</v>
      </c>
      <c r="I4696" s="66">
        <f t="shared" si="511"/>
        <v>0</v>
      </c>
      <c r="K4696" s="66" t="str">
        <f t="shared" si="512"/>
        <v/>
      </c>
      <c r="L4696" s="66" t="str">
        <f t="shared" si="513"/>
        <v/>
      </c>
      <c r="M4696" s="66" t="str">
        <f t="shared" si="514"/>
        <v/>
      </c>
      <c r="N4696" s="66" t="str">
        <f t="shared" si="515"/>
        <v/>
      </c>
      <c r="O4696" s="66" t="str">
        <f t="shared" si="516"/>
        <v/>
      </c>
      <c r="P4696" s="66" t="str">
        <f t="shared" si="517"/>
        <v/>
      </c>
    </row>
    <row r="4697" spans="8:16">
      <c r="H4697" s="66" t="e">
        <f>IF(LEFT(A4697,6)="CEPNTR","GPINS",VLOOKUP(LEFT(A4697,6),'Code Library'!$A$3:$B$920,2,0))&amp;"_"&amp;RIGHT(A4697,3)</f>
        <v>#N/A</v>
      </c>
      <c r="I4697" s="66">
        <f t="shared" si="511"/>
        <v>0</v>
      </c>
      <c r="K4697" s="66" t="str">
        <f t="shared" si="512"/>
        <v/>
      </c>
      <c r="L4697" s="66" t="str">
        <f t="shared" si="513"/>
        <v/>
      </c>
      <c r="M4697" s="66" t="str">
        <f t="shared" si="514"/>
        <v/>
      </c>
      <c r="N4697" s="66" t="str">
        <f t="shared" si="515"/>
        <v/>
      </c>
      <c r="O4697" s="66" t="str">
        <f t="shared" si="516"/>
        <v/>
      </c>
      <c r="P4697" s="66" t="str">
        <f t="shared" si="517"/>
        <v/>
      </c>
    </row>
    <row r="4698" spans="8:16">
      <c r="H4698" s="66" t="e">
        <f>IF(LEFT(A4698,6)="CEPNTR","GPINS",VLOOKUP(LEFT(A4698,6),'Code Library'!$A$3:$B$920,2,0))&amp;"_"&amp;RIGHT(A4698,3)</f>
        <v>#N/A</v>
      </c>
      <c r="I4698" s="66">
        <f t="shared" si="511"/>
        <v>0</v>
      </c>
      <c r="K4698" s="66" t="str">
        <f t="shared" si="512"/>
        <v/>
      </c>
      <c r="L4698" s="66" t="str">
        <f t="shared" si="513"/>
        <v/>
      </c>
      <c r="M4698" s="66" t="str">
        <f t="shared" si="514"/>
        <v/>
      </c>
      <c r="N4698" s="66" t="str">
        <f t="shared" si="515"/>
        <v/>
      </c>
      <c r="O4698" s="66" t="str">
        <f t="shared" si="516"/>
        <v/>
      </c>
      <c r="P4698" s="66" t="str">
        <f t="shared" si="517"/>
        <v/>
      </c>
    </row>
    <row r="4699" spans="8:16">
      <c r="H4699" s="66" t="e">
        <f>IF(LEFT(A4699,6)="CEPNTR","GPINS",VLOOKUP(LEFT(A4699,6),'Code Library'!$A$3:$B$920,2,0))&amp;"_"&amp;RIGHT(A4699,3)</f>
        <v>#N/A</v>
      </c>
      <c r="I4699" s="66">
        <f t="shared" si="511"/>
        <v>0</v>
      </c>
      <c r="K4699" s="66" t="str">
        <f t="shared" si="512"/>
        <v/>
      </c>
      <c r="L4699" s="66" t="str">
        <f t="shared" si="513"/>
        <v/>
      </c>
      <c r="M4699" s="66" t="str">
        <f t="shared" si="514"/>
        <v/>
      </c>
      <c r="N4699" s="66" t="str">
        <f t="shared" si="515"/>
        <v/>
      </c>
      <c r="O4699" s="66" t="str">
        <f t="shared" si="516"/>
        <v/>
      </c>
      <c r="P4699" s="66" t="str">
        <f t="shared" si="517"/>
        <v/>
      </c>
    </row>
    <row r="4700" spans="8:16">
      <c r="H4700" s="66" t="e">
        <f>IF(LEFT(A4700,6)="CEPNTR","GPINS",VLOOKUP(LEFT(A4700,6),'Code Library'!$A$3:$B$920,2,0))&amp;"_"&amp;RIGHT(A4700,3)</f>
        <v>#N/A</v>
      </c>
      <c r="I4700" s="66">
        <f t="shared" si="511"/>
        <v>0</v>
      </c>
      <c r="K4700" s="66" t="str">
        <f t="shared" si="512"/>
        <v/>
      </c>
      <c r="L4700" s="66" t="str">
        <f t="shared" si="513"/>
        <v/>
      </c>
      <c r="M4700" s="66" t="str">
        <f t="shared" si="514"/>
        <v/>
      </c>
      <c r="N4700" s="66" t="str">
        <f t="shared" si="515"/>
        <v/>
      </c>
      <c r="O4700" s="66" t="str">
        <f t="shared" si="516"/>
        <v/>
      </c>
      <c r="P4700" s="66" t="str">
        <f t="shared" si="517"/>
        <v/>
      </c>
    </row>
    <row r="4701" spans="8:16">
      <c r="H4701" s="66" t="e">
        <f>IF(LEFT(A4701,6)="CEPNTR","GPINS",VLOOKUP(LEFT(A4701,6),'Code Library'!$A$3:$B$920,2,0))&amp;"_"&amp;RIGHT(A4701,3)</f>
        <v>#N/A</v>
      </c>
      <c r="I4701" s="66">
        <f t="shared" si="511"/>
        <v>0</v>
      </c>
      <c r="K4701" s="66" t="str">
        <f t="shared" si="512"/>
        <v/>
      </c>
      <c r="L4701" s="66" t="str">
        <f t="shared" si="513"/>
        <v/>
      </c>
      <c r="M4701" s="66" t="str">
        <f t="shared" si="514"/>
        <v/>
      </c>
      <c r="N4701" s="66" t="str">
        <f t="shared" si="515"/>
        <v/>
      </c>
      <c r="O4701" s="66" t="str">
        <f t="shared" si="516"/>
        <v/>
      </c>
      <c r="P4701" s="66" t="str">
        <f t="shared" si="517"/>
        <v/>
      </c>
    </row>
    <row r="4702" spans="8:16">
      <c r="H4702" s="66" t="e">
        <f>IF(LEFT(A4702,6)="CEPNTR","GPINS",VLOOKUP(LEFT(A4702,6),'Code Library'!$A$3:$B$920,2,0))&amp;"_"&amp;RIGHT(A4702,3)</f>
        <v>#N/A</v>
      </c>
      <c r="I4702" s="66">
        <f t="shared" si="511"/>
        <v>0</v>
      </c>
      <c r="K4702" s="66" t="str">
        <f t="shared" si="512"/>
        <v/>
      </c>
      <c r="L4702" s="66" t="str">
        <f t="shared" si="513"/>
        <v/>
      </c>
      <c r="M4702" s="66" t="str">
        <f t="shared" si="514"/>
        <v/>
      </c>
      <c r="N4702" s="66" t="str">
        <f t="shared" si="515"/>
        <v/>
      </c>
      <c r="O4702" s="66" t="str">
        <f t="shared" si="516"/>
        <v/>
      </c>
      <c r="P4702" s="66" t="str">
        <f t="shared" si="517"/>
        <v/>
      </c>
    </row>
    <row r="4703" spans="8:16">
      <c r="H4703" s="66" t="e">
        <f>IF(LEFT(A4703,6)="CEPNTR","GPINS",VLOOKUP(LEFT(A4703,6),'Code Library'!$A$3:$B$920,2,0))&amp;"_"&amp;RIGHT(A4703,3)</f>
        <v>#N/A</v>
      </c>
      <c r="I4703" s="66">
        <f t="shared" si="511"/>
        <v>0</v>
      </c>
      <c r="K4703" s="66" t="str">
        <f t="shared" si="512"/>
        <v/>
      </c>
      <c r="L4703" s="66" t="str">
        <f t="shared" si="513"/>
        <v/>
      </c>
      <c r="M4703" s="66" t="str">
        <f t="shared" si="514"/>
        <v/>
      </c>
      <c r="N4703" s="66" t="str">
        <f t="shared" si="515"/>
        <v/>
      </c>
      <c r="O4703" s="66" t="str">
        <f t="shared" si="516"/>
        <v/>
      </c>
      <c r="P4703" s="66" t="str">
        <f t="shared" si="517"/>
        <v/>
      </c>
    </row>
    <row r="4704" spans="8:16">
      <c r="H4704" s="66" t="e">
        <f>IF(LEFT(A4704,6)="CEPNTR","GPINS",VLOOKUP(LEFT(A4704,6),'Code Library'!$A$3:$B$920,2,0))&amp;"_"&amp;RIGHT(A4704,3)</f>
        <v>#N/A</v>
      </c>
      <c r="I4704" s="66">
        <f t="shared" si="511"/>
        <v>0</v>
      </c>
      <c r="K4704" s="66" t="str">
        <f t="shared" si="512"/>
        <v/>
      </c>
      <c r="L4704" s="66" t="str">
        <f t="shared" si="513"/>
        <v/>
      </c>
      <c r="M4704" s="66" t="str">
        <f t="shared" si="514"/>
        <v/>
      </c>
      <c r="N4704" s="66" t="str">
        <f t="shared" si="515"/>
        <v/>
      </c>
      <c r="O4704" s="66" t="str">
        <f t="shared" si="516"/>
        <v/>
      </c>
      <c r="P4704" s="66" t="str">
        <f t="shared" si="517"/>
        <v/>
      </c>
    </row>
    <row r="4705" spans="8:16">
      <c r="H4705" s="66" t="e">
        <f>IF(LEFT(A4705,6)="CEPNTR","GPINS",VLOOKUP(LEFT(A4705,6),'Code Library'!$A$3:$B$920,2,0))&amp;"_"&amp;RIGHT(A4705,3)</f>
        <v>#N/A</v>
      </c>
      <c r="I4705" s="66">
        <f t="shared" si="511"/>
        <v>0</v>
      </c>
      <c r="K4705" s="66" t="str">
        <f t="shared" si="512"/>
        <v/>
      </c>
      <c r="L4705" s="66" t="str">
        <f t="shared" si="513"/>
        <v/>
      </c>
      <c r="M4705" s="66" t="str">
        <f t="shared" si="514"/>
        <v/>
      </c>
      <c r="N4705" s="66" t="str">
        <f t="shared" si="515"/>
        <v/>
      </c>
      <c r="O4705" s="66" t="str">
        <f t="shared" si="516"/>
        <v/>
      </c>
      <c r="P4705" s="66" t="str">
        <f t="shared" si="517"/>
        <v/>
      </c>
    </row>
    <row r="4706" spans="8:16">
      <c r="H4706" s="66" t="e">
        <f>IF(LEFT(A4706,6)="CEPNTR","GPINS",VLOOKUP(LEFT(A4706,6),'Code Library'!$A$3:$B$920,2,0))&amp;"_"&amp;RIGHT(A4706,3)</f>
        <v>#N/A</v>
      </c>
      <c r="I4706" s="66">
        <f t="shared" si="511"/>
        <v>0</v>
      </c>
      <c r="K4706" s="66" t="str">
        <f t="shared" si="512"/>
        <v/>
      </c>
      <c r="L4706" s="66" t="str">
        <f t="shared" si="513"/>
        <v/>
      </c>
      <c r="M4706" s="66" t="str">
        <f t="shared" si="514"/>
        <v/>
      </c>
      <c r="N4706" s="66" t="str">
        <f t="shared" si="515"/>
        <v/>
      </c>
      <c r="O4706" s="66" t="str">
        <f t="shared" si="516"/>
        <v/>
      </c>
      <c r="P4706" s="66" t="str">
        <f t="shared" si="517"/>
        <v/>
      </c>
    </row>
    <row r="4707" spans="8:16">
      <c r="H4707" s="66" t="e">
        <f>IF(LEFT(A4707,6)="CEPNTR","GPINS",VLOOKUP(LEFT(A4707,6),'Code Library'!$A$3:$B$920,2,0))&amp;"_"&amp;RIGHT(A4707,3)</f>
        <v>#N/A</v>
      </c>
      <c r="I4707" s="66">
        <f t="shared" si="511"/>
        <v>0</v>
      </c>
      <c r="K4707" s="66" t="str">
        <f t="shared" si="512"/>
        <v/>
      </c>
      <c r="L4707" s="66" t="str">
        <f t="shared" si="513"/>
        <v/>
      </c>
      <c r="M4707" s="66" t="str">
        <f t="shared" si="514"/>
        <v/>
      </c>
      <c r="N4707" s="66" t="str">
        <f t="shared" si="515"/>
        <v/>
      </c>
      <c r="O4707" s="66" t="str">
        <f t="shared" si="516"/>
        <v/>
      </c>
      <c r="P4707" s="66" t="str">
        <f t="shared" si="517"/>
        <v/>
      </c>
    </row>
    <row r="4708" spans="8:16">
      <c r="H4708" s="66" t="e">
        <f>IF(LEFT(A4708,6)="CEPNTR","GPINS",VLOOKUP(LEFT(A4708,6),'Code Library'!$A$3:$B$920,2,0))&amp;"_"&amp;RIGHT(A4708,3)</f>
        <v>#N/A</v>
      </c>
      <c r="I4708" s="66">
        <f t="shared" si="511"/>
        <v>0</v>
      </c>
      <c r="K4708" s="66" t="str">
        <f t="shared" si="512"/>
        <v/>
      </c>
      <c r="L4708" s="66" t="str">
        <f t="shared" si="513"/>
        <v/>
      </c>
      <c r="M4708" s="66" t="str">
        <f t="shared" si="514"/>
        <v/>
      </c>
      <c r="N4708" s="66" t="str">
        <f t="shared" si="515"/>
        <v/>
      </c>
      <c r="O4708" s="66" t="str">
        <f t="shared" si="516"/>
        <v/>
      </c>
      <c r="P4708" s="66" t="str">
        <f t="shared" si="517"/>
        <v/>
      </c>
    </row>
    <row r="4709" spans="8:16">
      <c r="H4709" s="66" t="e">
        <f>IF(LEFT(A4709,6)="CEPNTR","GPINS",VLOOKUP(LEFT(A4709,6),'Code Library'!$A$3:$B$920,2,0))&amp;"_"&amp;RIGHT(A4709,3)</f>
        <v>#N/A</v>
      </c>
      <c r="I4709" s="66">
        <f t="shared" si="511"/>
        <v>0</v>
      </c>
      <c r="K4709" s="66" t="str">
        <f t="shared" si="512"/>
        <v/>
      </c>
      <c r="L4709" s="66" t="str">
        <f t="shared" si="513"/>
        <v/>
      </c>
      <c r="M4709" s="66" t="str">
        <f t="shared" si="514"/>
        <v/>
      </c>
      <c r="N4709" s="66" t="str">
        <f t="shared" si="515"/>
        <v/>
      </c>
      <c r="O4709" s="66" t="str">
        <f t="shared" si="516"/>
        <v/>
      </c>
      <c r="P4709" s="66" t="str">
        <f t="shared" si="517"/>
        <v/>
      </c>
    </row>
    <row r="4710" spans="8:16">
      <c r="H4710" s="66" t="e">
        <f>IF(LEFT(A4710,6)="CEPNTR","GPINS",VLOOKUP(LEFT(A4710,6),'Code Library'!$A$3:$B$920,2,0))&amp;"_"&amp;RIGHT(A4710,3)</f>
        <v>#N/A</v>
      </c>
      <c r="I4710" s="66">
        <f t="shared" si="511"/>
        <v>0</v>
      </c>
      <c r="K4710" s="66" t="str">
        <f t="shared" si="512"/>
        <v/>
      </c>
      <c r="L4710" s="66" t="str">
        <f t="shared" si="513"/>
        <v/>
      </c>
      <c r="M4710" s="66" t="str">
        <f t="shared" si="514"/>
        <v/>
      </c>
      <c r="N4710" s="66" t="str">
        <f t="shared" si="515"/>
        <v/>
      </c>
      <c r="O4710" s="66" t="str">
        <f t="shared" si="516"/>
        <v/>
      </c>
      <c r="P4710" s="66" t="str">
        <f t="shared" si="517"/>
        <v/>
      </c>
    </row>
    <row r="4711" spans="8:16">
      <c r="H4711" s="66" t="e">
        <f>IF(LEFT(A4711,6)="CEPNTR","GPINS",VLOOKUP(LEFT(A4711,6),'Code Library'!$A$3:$B$920,2,0))&amp;"_"&amp;RIGHT(A4711,3)</f>
        <v>#N/A</v>
      </c>
      <c r="I4711" s="66">
        <f t="shared" si="511"/>
        <v>0</v>
      </c>
      <c r="K4711" s="66" t="str">
        <f t="shared" si="512"/>
        <v/>
      </c>
      <c r="L4711" s="66" t="str">
        <f t="shared" si="513"/>
        <v/>
      </c>
      <c r="M4711" s="66" t="str">
        <f t="shared" si="514"/>
        <v/>
      </c>
      <c r="N4711" s="66" t="str">
        <f t="shared" si="515"/>
        <v/>
      </c>
      <c r="O4711" s="66" t="str">
        <f t="shared" si="516"/>
        <v/>
      </c>
      <c r="P4711" s="66" t="str">
        <f t="shared" si="517"/>
        <v/>
      </c>
    </row>
    <row r="4712" spans="8:16">
      <c r="H4712" s="66" t="e">
        <f>IF(LEFT(A4712,6)="CEPNTR","GPINS",VLOOKUP(LEFT(A4712,6),'Code Library'!$A$3:$B$920,2,0))&amp;"_"&amp;RIGHT(A4712,3)</f>
        <v>#N/A</v>
      </c>
      <c r="I4712" s="66">
        <f t="shared" si="511"/>
        <v>0</v>
      </c>
      <c r="K4712" s="66" t="str">
        <f t="shared" si="512"/>
        <v/>
      </c>
      <c r="L4712" s="66" t="str">
        <f t="shared" si="513"/>
        <v/>
      </c>
      <c r="M4712" s="66" t="str">
        <f t="shared" si="514"/>
        <v/>
      </c>
      <c r="N4712" s="66" t="str">
        <f t="shared" si="515"/>
        <v/>
      </c>
      <c r="O4712" s="66" t="str">
        <f t="shared" si="516"/>
        <v/>
      </c>
      <c r="P4712" s="66" t="str">
        <f t="shared" si="517"/>
        <v/>
      </c>
    </row>
    <row r="4713" spans="8:16">
      <c r="H4713" s="66" t="e">
        <f>IF(LEFT(A4713,6)="CEPNTR","GPINS",VLOOKUP(LEFT(A4713,6),'Code Library'!$A$3:$B$920,2,0))&amp;"_"&amp;RIGHT(A4713,3)</f>
        <v>#N/A</v>
      </c>
      <c r="I4713" s="66">
        <f t="shared" si="511"/>
        <v>0</v>
      </c>
      <c r="K4713" s="66" t="str">
        <f t="shared" si="512"/>
        <v/>
      </c>
      <c r="L4713" s="66" t="str">
        <f t="shared" si="513"/>
        <v/>
      </c>
      <c r="M4713" s="66" t="str">
        <f t="shared" si="514"/>
        <v/>
      </c>
      <c r="N4713" s="66" t="str">
        <f t="shared" si="515"/>
        <v/>
      </c>
      <c r="O4713" s="66" t="str">
        <f t="shared" si="516"/>
        <v/>
      </c>
      <c r="P4713" s="66" t="str">
        <f t="shared" si="517"/>
        <v/>
      </c>
    </row>
    <row r="4714" spans="8:16">
      <c r="H4714" s="66" t="e">
        <f>IF(LEFT(A4714,6)="CEPNTR","GPINS",VLOOKUP(LEFT(A4714,6),'Code Library'!$A$3:$B$920,2,0))&amp;"_"&amp;RIGHT(A4714,3)</f>
        <v>#N/A</v>
      </c>
      <c r="I4714" s="66">
        <f t="shared" si="511"/>
        <v>0</v>
      </c>
      <c r="K4714" s="66" t="str">
        <f t="shared" si="512"/>
        <v/>
      </c>
      <c r="L4714" s="66" t="str">
        <f t="shared" si="513"/>
        <v/>
      </c>
      <c r="M4714" s="66" t="str">
        <f t="shared" si="514"/>
        <v/>
      </c>
      <c r="N4714" s="66" t="str">
        <f t="shared" si="515"/>
        <v/>
      </c>
      <c r="O4714" s="66" t="str">
        <f t="shared" si="516"/>
        <v/>
      </c>
      <c r="P4714" s="66" t="str">
        <f t="shared" si="517"/>
        <v/>
      </c>
    </row>
    <row r="4715" spans="8:16">
      <c r="H4715" s="66" t="e">
        <f>IF(LEFT(A4715,6)="CEPNTR","GPINS",VLOOKUP(LEFT(A4715,6),'Code Library'!$A$3:$B$920,2,0))&amp;"_"&amp;RIGHT(A4715,3)</f>
        <v>#N/A</v>
      </c>
      <c r="I4715" s="66">
        <f t="shared" si="511"/>
        <v>0</v>
      </c>
      <c r="K4715" s="66" t="str">
        <f t="shared" si="512"/>
        <v/>
      </c>
      <c r="L4715" s="66" t="str">
        <f t="shared" si="513"/>
        <v/>
      </c>
      <c r="M4715" s="66" t="str">
        <f t="shared" si="514"/>
        <v/>
      </c>
      <c r="N4715" s="66" t="str">
        <f t="shared" si="515"/>
        <v/>
      </c>
      <c r="O4715" s="66" t="str">
        <f t="shared" si="516"/>
        <v/>
      </c>
      <c r="P4715" s="66" t="str">
        <f t="shared" si="517"/>
        <v/>
      </c>
    </row>
    <row r="4716" spans="8:16">
      <c r="H4716" s="66" t="e">
        <f>IF(LEFT(A4716,6)="CEPNTR","GPINS",VLOOKUP(LEFT(A4716,6),'Code Library'!$A$3:$B$920,2,0))&amp;"_"&amp;RIGHT(A4716,3)</f>
        <v>#N/A</v>
      </c>
      <c r="I4716" s="66">
        <f t="shared" si="511"/>
        <v>0</v>
      </c>
      <c r="K4716" s="66" t="str">
        <f t="shared" si="512"/>
        <v/>
      </c>
      <c r="L4716" s="66" t="str">
        <f t="shared" si="513"/>
        <v/>
      </c>
      <c r="M4716" s="66" t="str">
        <f t="shared" si="514"/>
        <v/>
      </c>
      <c r="N4716" s="66" t="str">
        <f t="shared" si="515"/>
        <v/>
      </c>
      <c r="O4716" s="66" t="str">
        <f t="shared" si="516"/>
        <v/>
      </c>
      <c r="P4716" s="66" t="str">
        <f t="shared" si="517"/>
        <v/>
      </c>
    </row>
    <row r="4717" spans="8:16">
      <c r="H4717" s="66" t="e">
        <f>IF(LEFT(A4717,6)="CEPNTR","GPINS",VLOOKUP(LEFT(A4717,6),'Code Library'!$A$3:$B$920,2,0))&amp;"_"&amp;RIGHT(A4717,3)</f>
        <v>#N/A</v>
      </c>
      <c r="I4717" s="66">
        <f t="shared" si="511"/>
        <v>0</v>
      </c>
      <c r="K4717" s="66" t="str">
        <f t="shared" si="512"/>
        <v/>
      </c>
      <c r="L4717" s="66" t="str">
        <f t="shared" si="513"/>
        <v/>
      </c>
      <c r="M4717" s="66" t="str">
        <f t="shared" si="514"/>
        <v/>
      </c>
      <c r="N4717" s="66" t="str">
        <f t="shared" si="515"/>
        <v/>
      </c>
      <c r="O4717" s="66" t="str">
        <f t="shared" si="516"/>
        <v/>
      </c>
      <c r="P4717" s="66" t="str">
        <f t="shared" si="517"/>
        <v/>
      </c>
    </row>
    <row r="4718" spans="8:16">
      <c r="H4718" s="66" t="e">
        <f>IF(LEFT(A4718,6)="CEPNTR","GPINS",VLOOKUP(LEFT(A4718,6),'Code Library'!$A$3:$B$920,2,0))&amp;"_"&amp;RIGHT(A4718,3)</f>
        <v>#N/A</v>
      </c>
      <c r="I4718" s="66">
        <f t="shared" si="511"/>
        <v>0</v>
      </c>
      <c r="K4718" s="66" t="str">
        <f t="shared" si="512"/>
        <v/>
      </c>
      <c r="L4718" s="66" t="str">
        <f t="shared" si="513"/>
        <v/>
      </c>
      <c r="M4718" s="66" t="str">
        <f t="shared" si="514"/>
        <v/>
      </c>
      <c r="N4718" s="66" t="str">
        <f t="shared" si="515"/>
        <v/>
      </c>
      <c r="O4718" s="66" t="str">
        <f t="shared" si="516"/>
        <v/>
      </c>
      <c r="P4718" s="66" t="str">
        <f t="shared" si="517"/>
        <v/>
      </c>
    </row>
    <row r="4719" spans="8:16">
      <c r="H4719" s="66" t="e">
        <f>IF(LEFT(A4719,6)="CEPNTR","GPINS",VLOOKUP(LEFT(A4719,6),'Code Library'!$A$3:$B$920,2,0))&amp;"_"&amp;RIGHT(A4719,3)</f>
        <v>#N/A</v>
      </c>
      <c r="I4719" s="66">
        <f t="shared" si="511"/>
        <v>0</v>
      </c>
      <c r="K4719" s="66" t="str">
        <f t="shared" si="512"/>
        <v/>
      </c>
      <c r="L4719" s="66" t="str">
        <f t="shared" si="513"/>
        <v/>
      </c>
      <c r="M4719" s="66" t="str">
        <f t="shared" si="514"/>
        <v/>
      </c>
      <c r="N4719" s="66" t="str">
        <f t="shared" si="515"/>
        <v/>
      </c>
      <c r="O4719" s="66" t="str">
        <f t="shared" si="516"/>
        <v/>
      </c>
      <c r="P4719" s="66" t="str">
        <f t="shared" si="517"/>
        <v/>
      </c>
    </row>
    <row r="4720" spans="8:16">
      <c r="H4720" s="66" t="e">
        <f>IF(LEFT(A4720,6)="CEPNTR","GPINS",VLOOKUP(LEFT(A4720,6),'Code Library'!$A$3:$B$920,2,0))&amp;"_"&amp;RIGHT(A4720,3)</f>
        <v>#N/A</v>
      </c>
      <c r="I4720" s="66">
        <f t="shared" si="511"/>
        <v>0</v>
      </c>
      <c r="K4720" s="66" t="str">
        <f t="shared" si="512"/>
        <v/>
      </c>
      <c r="L4720" s="66" t="str">
        <f t="shared" si="513"/>
        <v/>
      </c>
      <c r="M4720" s="66" t="str">
        <f t="shared" si="514"/>
        <v/>
      </c>
      <c r="N4720" s="66" t="str">
        <f t="shared" si="515"/>
        <v/>
      </c>
      <c r="O4720" s="66" t="str">
        <f t="shared" si="516"/>
        <v/>
      </c>
      <c r="P4720" s="66" t="str">
        <f t="shared" si="517"/>
        <v/>
      </c>
    </row>
    <row r="4721" spans="8:16">
      <c r="H4721" s="66" t="e">
        <f>IF(LEFT(A4721,6)="CEPNTR","GPINS",VLOOKUP(LEFT(A4721,6),'Code Library'!$A$3:$B$920,2,0))&amp;"_"&amp;RIGHT(A4721,3)</f>
        <v>#N/A</v>
      </c>
      <c r="I4721" s="66">
        <f t="shared" si="511"/>
        <v>0</v>
      </c>
      <c r="K4721" s="66" t="str">
        <f t="shared" si="512"/>
        <v/>
      </c>
      <c r="L4721" s="66" t="str">
        <f t="shared" si="513"/>
        <v/>
      </c>
      <c r="M4721" s="66" t="str">
        <f t="shared" si="514"/>
        <v/>
      </c>
      <c r="N4721" s="66" t="str">
        <f t="shared" si="515"/>
        <v/>
      </c>
      <c r="O4721" s="66" t="str">
        <f t="shared" si="516"/>
        <v/>
      </c>
      <c r="P4721" s="66" t="str">
        <f t="shared" si="517"/>
        <v/>
      </c>
    </row>
    <row r="4722" spans="8:16">
      <c r="H4722" s="66" t="e">
        <f>IF(LEFT(A4722,6)="CEPNTR","GPINS",VLOOKUP(LEFT(A4722,6),'Code Library'!$A$3:$B$920,2,0))&amp;"_"&amp;RIGHT(A4722,3)</f>
        <v>#N/A</v>
      </c>
      <c r="I4722" s="66">
        <f t="shared" si="511"/>
        <v>0</v>
      </c>
      <c r="K4722" s="66" t="str">
        <f t="shared" si="512"/>
        <v/>
      </c>
      <c r="L4722" s="66" t="str">
        <f t="shared" si="513"/>
        <v/>
      </c>
      <c r="M4722" s="66" t="str">
        <f t="shared" si="514"/>
        <v/>
      </c>
      <c r="N4722" s="66" t="str">
        <f t="shared" si="515"/>
        <v/>
      </c>
      <c r="O4722" s="66" t="str">
        <f t="shared" si="516"/>
        <v/>
      </c>
      <c r="P4722" s="66" t="str">
        <f t="shared" si="517"/>
        <v/>
      </c>
    </row>
    <row r="4723" spans="8:16">
      <c r="H4723" s="66" t="e">
        <f>IF(LEFT(A4723,6)="CEPNTR","GPINS",VLOOKUP(LEFT(A4723,6),'Code Library'!$A$3:$B$920,2,0))&amp;"_"&amp;RIGHT(A4723,3)</f>
        <v>#N/A</v>
      </c>
      <c r="I4723" s="66">
        <f t="shared" si="511"/>
        <v>0</v>
      </c>
      <c r="K4723" s="66" t="str">
        <f t="shared" si="512"/>
        <v/>
      </c>
      <c r="L4723" s="66" t="str">
        <f t="shared" si="513"/>
        <v/>
      </c>
      <c r="M4723" s="66" t="str">
        <f t="shared" si="514"/>
        <v/>
      </c>
      <c r="N4723" s="66" t="str">
        <f t="shared" si="515"/>
        <v/>
      </c>
      <c r="O4723" s="66" t="str">
        <f t="shared" si="516"/>
        <v/>
      </c>
      <c r="P4723" s="66" t="str">
        <f t="shared" si="517"/>
        <v/>
      </c>
    </row>
    <row r="4724" spans="8:16">
      <c r="H4724" s="66" t="e">
        <f>IF(LEFT(A4724,6)="CEPNTR","GPINS",VLOOKUP(LEFT(A4724,6),'Code Library'!$A$3:$B$920,2,0))&amp;"_"&amp;RIGHT(A4724,3)</f>
        <v>#N/A</v>
      </c>
      <c r="I4724" s="66">
        <f t="shared" si="511"/>
        <v>0</v>
      </c>
      <c r="K4724" s="66" t="str">
        <f t="shared" si="512"/>
        <v/>
      </c>
      <c r="L4724" s="66" t="str">
        <f t="shared" si="513"/>
        <v/>
      </c>
      <c r="M4724" s="66" t="str">
        <f t="shared" si="514"/>
        <v/>
      </c>
      <c r="N4724" s="66" t="str">
        <f t="shared" si="515"/>
        <v/>
      </c>
      <c r="O4724" s="66" t="str">
        <f t="shared" si="516"/>
        <v/>
      </c>
      <c r="P4724" s="66" t="str">
        <f t="shared" si="517"/>
        <v/>
      </c>
    </row>
    <row r="4725" spans="8:16">
      <c r="H4725" s="66" t="e">
        <f>IF(LEFT(A4725,6)="CEPNTR","GPINS",VLOOKUP(LEFT(A4725,6),'Code Library'!$A$3:$B$920,2,0))&amp;"_"&amp;RIGHT(A4725,3)</f>
        <v>#N/A</v>
      </c>
      <c r="I4725" s="66">
        <f t="shared" si="511"/>
        <v>0</v>
      </c>
      <c r="K4725" s="66" t="str">
        <f t="shared" si="512"/>
        <v/>
      </c>
      <c r="L4725" s="66" t="str">
        <f t="shared" si="513"/>
        <v/>
      </c>
      <c r="M4725" s="66" t="str">
        <f t="shared" si="514"/>
        <v/>
      </c>
      <c r="N4725" s="66" t="str">
        <f t="shared" si="515"/>
        <v/>
      </c>
      <c r="O4725" s="66" t="str">
        <f t="shared" si="516"/>
        <v/>
      </c>
      <c r="P4725" s="66" t="str">
        <f t="shared" si="517"/>
        <v/>
      </c>
    </row>
    <row r="4726" spans="8:16">
      <c r="H4726" s="66" t="e">
        <f>IF(LEFT(A4726,6)="CEPNTR","GPINS",VLOOKUP(LEFT(A4726,6),'Code Library'!$A$3:$B$920,2,0))&amp;"_"&amp;RIGHT(A4726,3)</f>
        <v>#N/A</v>
      </c>
      <c r="I4726" s="66">
        <f t="shared" si="511"/>
        <v>0</v>
      </c>
      <c r="K4726" s="66" t="str">
        <f t="shared" si="512"/>
        <v/>
      </c>
      <c r="L4726" s="66" t="str">
        <f t="shared" si="513"/>
        <v/>
      </c>
      <c r="M4726" s="66" t="str">
        <f t="shared" si="514"/>
        <v/>
      </c>
      <c r="N4726" s="66" t="str">
        <f t="shared" si="515"/>
        <v/>
      </c>
      <c r="O4726" s="66" t="str">
        <f t="shared" si="516"/>
        <v/>
      </c>
      <c r="P4726" s="66" t="str">
        <f t="shared" si="517"/>
        <v/>
      </c>
    </row>
    <row r="4727" spans="8:16">
      <c r="H4727" s="66" t="e">
        <f>IF(LEFT(A4727,6)="CEPNTR","GPINS",VLOOKUP(LEFT(A4727,6),'Code Library'!$A$3:$B$920,2,0))&amp;"_"&amp;RIGHT(A4727,3)</f>
        <v>#N/A</v>
      </c>
      <c r="I4727" s="66">
        <f t="shared" si="511"/>
        <v>0</v>
      </c>
      <c r="K4727" s="66" t="str">
        <f t="shared" si="512"/>
        <v/>
      </c>
      <c r="L4727" s="66" t="str">
        <f t="shared" si="513"/>
        <v/>
      </c>
      <c r="M4727" s="66" t="str">
        <f t="shared" si="514"/>
        <v/>
      </c>
      <c r="N4727" s="66" t="str">
        <f t="shared" si="515"/>
        <v/>
      </c>
      <c r="O4727" s="66" t="str">
        <f t="shared" si="516"/>
        <v/>
      </c>
      <c r="P4727" s="66" t="str">
        <f t="shared" si="517"/>
        <v/>
      </c>
    </row>
    <row r="4728" spans="8:16">
      <c r="H4728" s="66" t="e">
        <f>IF(LEFT(A4728,6)="CEPNTR","GPINS",VLOOKUP(LEFT(A4728,6),'Code Library'!$A$3:$B$920,2,0))&amp;"_"&amp;RIGHT(A4728,3)</f>
        <v>#N/A</v>
      </c>
      <c r="I4728" s="66">
        <f t="shared" si="511"/>
        <v>0</v>
      </c>
      <c r="K4728" s="66" t="str">
        <f t="shared" si="512"/>
        <v/>
      </c>
      <c r="L4728" s="66" t="str">
        <f t="shared" si="513"/>
        <v/>
      </c>
      <c r="M4728" s="66" t="str">
        <f t="shared" si="514"/>
        <v/>
      </c>
      <c r="N4728" s="66" t="str">
        <f t="shared" si="515"/>
        <v/>
      </c>
      <c r="O4728" s="66" t="str">
        <f t="shared" si="516"/>
        <v/>
      </c>
      <c r="P4728" s="66" t="str">
        <f t="shared" si="517"/>
        <v/>
      </c>
    </row>
    <row r="4729" spans="8:16">
      <c r="H4729" s="66" t="e">
        <f>IF(LEFT(A4729,6)="CEPNTR","GPINS",VLOOKUP(LEFT(A4729,6),'Code Library'!$A$3:$B$920,2,0))&amp;"_"&amp;RIGHT(A4729,3)</f>
        <v>#N/A</v>
      </c>
      <c r="I4729" s="66">
        <f t="shared" si="511"/>
        <v>0</v>
      </c>
      <c r="K4729" s="66" t="str">
        <f t="shared" si="512"/>
        <v/>
      </c>
      <c r="L4729" s="66" t="str">
        <f t="shared" si="513"/>
        <v/>
      </c>
      <c r="M4729" s="66" t="str">
        <f t="shared" si="514"/>
        <v/>
      </c>
      <c r="N4729" s="66" t="str">
        <f t="shared" si="515"/>
        <v/>
      </c>
      <c r="O4729" s="66" t="str">
        <f t="shared" si="516"/>
        <v/>
      </c>
      <c r="P4729" s="66" t="str">
        <f t="shared" si="517"/>
        <v/>
      </c>
    </row>
    <row r="4730" spans="8:16">
      <c r="H4730" s="66" t="e">
        <f>IF(LEFT(A4730,6)="CEPNTR","GPINS",VLOOKUP(LEFT(A4730,6),'Code Library'!$A$3:$B$920,2,0))&amp;"_"&amp;RIGHT(A4730,3)</f>
        <v>#N/A</v>
      </c>
      <c r="I4730" s="66">
        <f t="shared" si="511"/>
        <v>0</v>
      </c>
      <c r="K4730" s="66" t="str">
        <f t="shared" si="512"/>
        <v/>
      </c>
      <c r="L4730" s="66" t="str">
        <f t="shared" si="513"/>
        <v/>
      </c>
      <c r="M4730" s="66" t="str">
        <f t="shared" si="514"/>
        <v/>
      </c>
      <c r="N4730" s="66" t="str">
        <f t="shared" si="515"/>
        <v/>
      </c>
      <c r="O4730" s="66" t="str">
        <f t="shared" si="516"/>
        <v/>
      </c>
      <c r="P4730" s="66" t="str">
        <f t="shared" si="517"/>
        <v/>
      </c>
    </row>
    <row r="4731" spans="8:16">
      <c r="H4731" s="66" t="e">
        <f>IF(LEFT(A4731,6)="CEPNTR","GPINS",VLOOKUP(LEFT(A4731,6),'Code Library'!$A$3:$B$920,2,0))&amp;"_"&amp;RIGHT(A4731,3)</f>
        <v>#N/A</v>
      </c>
      <c r="I4731" s="66">
        <f t="shared" si="511"/>
        <v>0</v>
      </c>
      <c r="K4731" s="66" t="str">
        <f t="shared" si="512"/>
        <v/>
      </c>
      <c r="L4731" s="66" t="str">
        <f t="shared" si="513"/>
        <v/>
      </c>
      <c r="M4731" s="66" t="str">
        <f t="shared" si="514"/>
        <v/>
      </c>
      <c r="N4731" s="66" t="str">
        <f t="shared" si="515"/>
        <v/>
      </c>
      <c r="O4731" s="66" t="str">
        <f t="shared" si="516"/>
        <v/>
      </c>
      <c r="P4731" s="66" t="str">
        <f t="shared" si="517"/>
        <v/>
      </c>
    </row>
    <row r="4732" spans="8:16">
      <c r="H4732" s="66" t="e">
        <f>IF(LEFT(A4732,6)="CEPNTR","GPINS",VLOOKUP(LEFT(A4732,6),'Code Library'!$A$3:$B$920,2,0))&amp;"_"&amp;RIGHT(A4732,3)</f>
        <v>#N/A</v>
      </c>
      <c r="I4732" s="66">
        <f t="shared" si="511"/>
        <v>0</v>
      </c>
      <c r="K4732" s="66" t="str">
        <f t="shared" si="512"/>
        <v/>
      </c>
      <c r="L4732" s="66" t="str">
        <f t="shared" si="513"/>
        <v/>
      </c>
      <c r="M4732" s="66" t="str">
        <f t="shared" si="514"/>
        <v/>
      </c>
      <c r="N4732" s="66" t="str">
        <f t="shared" si="515"/>
        <v/>
      </c>
      <c r="O4732" s="66" t="str">
        <f t="shared" si="516"/>
        <v/>
      </c>
      <c r="P4732" s="66" t="str">
        <f t="shared" si="517"/>
        <v/>
      </c>
    </row>
    <row r="4733" spans="8:16">
      <c r="H4733" s="66" t="e">
        <f>IF(LEFT(A4733,6)="CEPNTR","GPINS",VLOOKUP(LEFT(A4733,6),'Code Library'!$A$3:$B$920,2,0))&amp;"_"&amp;RIGHT(A4733,3)</f>
        <v>#N/A</v>
      </c>
      <c r="I4733" s="66">
        <f t="shared" si="511"/>
        <v>0</v>
      </c>
      <c r="K4733" s="66" t="str">
        <f t="shared" si="512"/>
        <v/>
      </c>
      <c r="L4733" s="66" t="str">
        <f t="shared" si="513"/>
        <v/>
      </c>
      <c r="M4733" s="66" t="str">
        <f t="shared" si="514"/>
        <v/>
      </c>
      <c r="N4733" s="66" t="str">
        <f t="shared" si="515"/>
        <v/>
      </c>
      <c r="O4733" s="66" t="str">
        <f t="shared" si="516"/>
        <v/>
      </c>
      <c r="P4733" s="66" t="str">
        <f t="shared" si="517"/>
        <v/>
      </c>
    </row>
    <row r="4734" spans="8:16">
      <c r="H4734" s="66" t="e">
        <f>IF(LEFT(A4734,6)="CEPNTR","GPINS",VLOOKUP(LEFT(A4734,6),'Code Library'!$A$3:$B$920,2,0))&amp;"_"&amp;RIGHT(A4734,3)</f>
        <v>#N/A</v>
      </c>
      <c r="I4734" s="66">
        <f t="shared" si="511"/>
        <v>0</v>
      </c>
      <c r="K4734" s="66" t="str">
        <f t="shared" si="512"/>
        <v/>
      </c>
      <c r="L4734" s="66" t="str">
        <f t="shared" si="513"/>
        <v/>
      </c>
      <c r="M4734" s="66" t="str">
        <f t="shared" si="514"/>
        <v/>
      </c>
      <c r="N4734" s="66" t="str">
        <f t="shared" si="515"/>
        <v/>
      </c>
      <c r="O4734" s="66" t="str">
        <f t="shared" si="516"/>
        <v/>
      </c>
      <c r="P4734" s="66" t="str">
        <f t="shared" si="517"/>
        <v/>
      </c>
    </row>
    <row r="4735" spans="8:16">
      <c r="H4735" s="66" t="e">
        <f>IF(LEFT(A4735,6)="CEPNTR","GPINS",VLOOKUP(LEFT(A4735,6),'Code Library'!$A$3:$B$920,2,0))&amp;"_"&amp;RIGHT(A4735,3)</f>
        <v>#N/A</v>
      </c>
      <c r="I4735" s="66">
        <f t="shared" si="511"/>
        <v>0</v>
      </c>
      <c r="K4735" s="66" t="str">
        <f t="shared" si="512"/>
        <v/>
      </c>
      <c r="L4735" s="66" t="str">
        <f t="shared" si="513"/>
        <v/>
      </c>
      <c r="M4735" s="66" t="str">
        <f t="shared" si="514"/>
        <v/>
      </c>
      <c r="N4735" s="66" t="str">
        <f t="shared" si="515"/>
        <v/>
      </c>
      <c r="O4735" s="66" t="str">
        <f t="shared" si="516"/>
        <v/>
      </c>
      <c r="P4735" s="66" t="str">
        <f t="shared" si="517"/>
        <v/>
      </c>
    </row>
    <row r="4736" spans="8:16">
      <c r="H4736" s="66" t="e">
        <f>IF(LEFT(A4736,6)="CEPNTR","GPINS",VLOOKUP(LEFT(A4736,6),'Code Library'!$A$3:$B$920,2,0))&amp;"_"&amp;RIGHT(A4736,3)</f>
        <v>#N/A</v>
      </c>
      <c r="I4736" s="66">
        <f t="shared" si="511"/>
        <v>0</v>
      </c>
      <c r="K4736" s="66" t="str">
        <f t="shared" si="512"/>
        <v/>
      </c>
      <c r="L4736" s="66" t="str">
        <f t="shared" si="513"/>
        <v/>
      </c>
      <c r="M4736" s="66" t="str">
        <f t="shared" si="514"/>
        <v/>
      </c>
      <c r="N4736" s="66" t="str">
        <f t="shared" si="515"/>
        <v/>
      </c>
      <c r="O4736" s="66" t="str">
        <f t="shared" si="516"/>
        <v/>
      </c>
      <c r="P4736" s="66" t="str">
        <f t="shared" si="517"/>
        <v/>
      </c>
    </row>
    <row r="4737" spans="8:16">
      <c r="H4737" s="66" t="e">
        <f>IF(LEFT(A4737,6)="CEPNTR","GPINS",VLOOKUP(LEFT(A4737,6),'Code Library'!$A$3:$B$920,2,0))&amp;"_"&amp;RIGHT(A4737,3)</f>
        <v>#N/A</v>
      </c>
      <c r="I4737" s="66">
        <f t="shared" si="511"/>
        <v>0</v>
      </c>
      <c r="K4737" s="66" t="str">
        <f t="shared" si="512"/>
        <v/>
      </c>
      <c r="L4737" s="66" t="str">
        <f t="shared" si="513"/>
        <v/>
      </c>
      <c r="M4737" s="66" t="str">
        <f t="shared" si="514"/>
        <v/>
      </c>
      <c r="N4737" s="66" t="str">
        <f t="shared" si="515"/>
        <v/>
      </c>
      <c r="O4737" s="66" t="str">
        <f t="shared" si="516"/>
        <v/>
      </c>
      <c r="P4737" s="66" t="str">
        <f t="shared" si="517"/>
        <v/>
      </c>
    </row>
    <row r="4738" spans="8:16">
      <c r="H4738" s="66" t="e">
        <f>IF(LEFT(A4738,6)="CEPNTR","GPINS",VLOOKUP(LEFT(A4738,6),'Code Library'!$A$3:$B$920,2,0))&amp;"_"&amp;RIGHT(A4738,3)</f>
        <v>#N/A</v>
      </c>
      <c r="I4738" s="66">
        <f t="shared" si="511"/>
        <v>0</v>
      </c>
      <c r="K4738" s="66" t="str">
        <f t="shared" si="512"/>
        <v/>
      </c>
      <c r="L4738" s="66" t="str">
        <f t="shared" si="513"/>
        <v/>
      </c>
      <c r="M4738" s="66" t="str">
        <f t="shared" si="514"/>
        <v/>
      </c>
      <c r="N4738" s="66" t="str">
        <f t="shared" si="515"/>
        <v/>
      </c>
      <c r="O4738" s="66" t="str">
        <f t="shared" si="516"/>
        <v/>
      </c>
      <c r="P4738" s="66" t="str">
        <f t="shared" si="517"/>
        <v/>
      </c>
    </row>
    <row r="4739" spans="8:16">
      <c r="H4739" s="66" t="e">
        <f>IF(LEFT(A4739,6)="CEPNTR","GPINS",VLOOKUP(LEFT(A4739,6),'Code Library'!$A$3:$B$920,2,0))&amp;"_"&amp;RIGHT(A4739,3)</f>
        <v>#N/A</v>
      </c>
      <c r="I4739" s="66">
        <f t="shared" ref="I4739:I4802" si="518">A4739</f>
        <v>0</v>
      </c>
      <c r="K4739" s="66" t="str">
        <f t="shared" ref="K4739:K4802" si="519">RIGHT($B4739,2)</f>
        <v/>
      </c>
      <c r="L4739" s="66" t="str">
        <f t="shared" ref="L4739:L4802" si="520">LEFT(RIGHT($B4739,7),4)</f>
        <v/>
      </c>
      <c r="M4739" s="66" t="str">
        <f t="shared" ref="M4739:M4802" si="521">LEFT(RIGHT($B4739,10),2)</f>
        <v/>
      </c>
      <c r="N4739" s="66" t="str">
        <f t="shared" ref="N4739:N4802" si="522">LEFT(RIGHT($B4739,14),3)</f>
        <v/>
      </c>
      <c r="O4739" s="66" t="str">
        <f t="shared" ref="O4739:O4802" si="523">LEFT(RIGHT($B4739,16),1)</f>
        <v/>
      </c>
      <c r="P4739" s="66" t="str">
        <f t="shared" ref="P4739:P4802" si="524">LEFT(RIGHT($B4739,19),2)</f>
        <v/>
      </c>
    </row>
    <row r="4740" spans="8:16">
      <c r="H4740" s="66" t="e">
        <f>IF(LEFT(A4740,6)="CEPNTR","GPINS",VLOOKUP(LEFT(A4740,6),'Code Library'!$A$3:$B$920,2,0))&amp;"_"&amp;RIGHT(A4740,3)</f>
        <v>#N/A</v>
      </c>
      <c r="I4740" s="66">
        <f t="shared" si="518"/>
        <v>0</v>
      </c>
      <c r="K4740" s="66" t="str">
        <f t="shared" si="519"/>
        <v/>
      </c>
      <c r="L4740" s="66" t="str">
        <f t="shared" si="520"/>
        <v/>
      </c>
      <c r="M4740" s="66" t="str">
        <f t="shared" si="521"/>
        <v/>
      </c>
      <c r="N4740" s="66" t="str">
        <f t="shared" si="522"/>
        <v/>
      </c>
      <c r="O4740" s="66" t="str">
        <f t="shared" si="523"/>
        <v/>
      </c>
      <c r="P4740" s="66" t="str">
        <f t="shared" si="524"/>
        <v/>
      </c>
    </row>
    <row r="4741" spans="8:16">
      <c r="H4741" s="66" t="e">
        <f>IF(LEFT(A4741,6)="CEPNTR","GPINS",VLOOKUP(LEFT(A4741,6),'Code Library'!$A$3:$B$920,2,0))&amp;"_"&amp;RIGHT(A4741,3)</f>
        <v>#N/A</v>
      </c>
      <c r="I4741" s="66">
        <f t="shared" si="518"/>
        <v>0</v>
      </c>
      <c r="K4741" s="66" t="str">
        <f t="shared" si="519"/>
        <v/>
      </c>
      <c r="L4741" s="66" t="str">
        <f t="shared" si="520"/>
        <v/>
      </c>
      <c r="M4741" s="66" t="str">
        <f t="shared" si="521"/>
        <v/>
      </c>
      <c r="N4741" s="66" t="str">
        <f t="shared" si="522"/>
        <v/>
      </c>
      <c r="O4741" s="66" t="str">
        <f t="shared" si="523"/>
        <v/>
      </c>
      <c r="P4741" s="66" t="str">
        <f t="shared" si="524"/>
        <v/>
      </c>
    </row>
    <row r="4742" spans="8:16">
      <c r="H4742" s="66" t="e">
        <f>IF(LEFT(A4742,6)="CEPNTR","GPINS",VLOOKUP(LEFT(A4742,6),'Code Library'!$A$3:$B$920,2,0))&amp;"_"&amp;RIGHT(A4742,3)</f>
        <v>#N/A</v>
      </c>
      <c r="I4742" s="66">
        <f t="shared" si="518"/>
        <v>0</v>
      </c>
      <c r="K4742" s="66" t="str">
        <f t="shared" si="519"/>
        <v/>
      </c>
      <c r="L4742" s="66" t="str">
        <f t="shared" si="520"/>
        <v/>
      </c>
      <c r="M4742" s="66" t="str">
        <f t="shared" si="521"/>
        <v/>
      </c>
      <c r="N4742" s="66" t="str">
        <f t="shared" si="522"/>
        <v/>
      </c>
      <c r="O4742" s="66" t="str">
        <f t="shared" si="523"/>
        <v/>
      </c>
      <c r="P4742" s="66" t="str">
        <f t="shared" si="524"/>
        <v/>
      </c>
    </row>
    <row r="4743" spans="8:16">
      <c r="H4743" s="66" t="e">
        <f>IF(LEFT(A4743,6)="CEPNTR","GPINS",VLOOKUP(LEFT(A4743,6),'Code Library'!$A$3:$B$920,2,0))&amp;"_"&amp;RIGHT(A4743,3)</f>
        <v>#N/A</v>
      </c>
      <c r="I4743" s="66">
        <f t="shared" si="518"/>
        <v>0</v>
      </c>
      <c r="K4743" s="66" t="str">
        <f t="shared" si="519"/>
        <v/>
      </c>
      <c r="L4743" s="66" t="str">
        <f t="shared" si="520"/>
        <v/>
      </c>
      <c r="M4743" s="66" t="str">
        <f t="shared" si="521"/>
        <v/>
      </c>
      <c r="N4743" s="66" t="str">
        <f t="shared" si="522"/>
        <v/>
      </c>
      <c r="O4743" s="66" t="str">
        <f t="shared" si="523"/>
        <v/>
      </c>
      <c r="P4743" s="66" t="str">
        <f t="shared" si="524"/>
        <v/>
      </c>
    </row>
    <row r="4744" spans="8:16">
      <c r="H4744" s="66" t="e">
        <f>IF(LEFT(A4744,6)="CEPNTR","GPINS",VLOOKUP(LEFT(A4744,6),'Code Library'!$A$3:$B$920,2,0))&amp;"_"&amp;RIGHT(A4744,3)</f>
        <v>#N/A</v>
      </c>
      <c r="I4744" s="66">
        <f t="shared" si="518"/>
        <v>0</v>
      </c>
      <c r="K4744" s="66" t="str">
        <f t="shared" si="519"/>
        <v/>
      </c>
      <c r="L4744" s="66" t="str">
        <f t="shared" si="520"/>
        <v/>
      </c>
      <c r="M4744" s="66" t="str">
        <f t="shared" si="521"/>
        <v/>
      </c>
      <c r="N4744" s="66" t="str">
        <f t="shared" si="522"/>
        <v/>
      </c>
      <c r="O4744" s="66" t="str">
        <f t="shared" si="523"/>
        <v/>
      </c>
      <c r="P4744" s="66" t="str">
        <f t="shared" si="524"/>
        <v/>
      </c>
    </row>
    <row r="4745" spans="8:16">
      <c r="H4745" s="66" t="e">
        <f>IF(LEFT(A4745,6)="CEPNTR","GPINS",VLOOKUP(LEFT(A4745,6),'Code Library'!$A$3:$B$920,2,0))&amp;"_"&amp;RIGHT(A4745,3)</f>
        <v>#N/A</v>
      </c>
      <c r="I4745" s="66">
        <f t="shared" si="518"/>
        <v>0</v>
      </c>
      <c r="K4745" s="66" t="str">
        <f t="shared" si="519"/>
        <v/>
      </c>
      <c r="L4745" s="66" t="str">
        <f t="shared" si="520"/>
        <v/>
      </c>
      <c r="M4745" s="66" t="str">
        <f t="shared" si="521"/>
        <v/>
      </c>
      <c r="N4745" s="66" t="str">
        <f t="shared" si="522"/>
        <v/>
      </c>
      <c r="O4745" s="66" t="str">
        <f t="shared" si="523"/>
        <v/>
      </c>
      <c r="P4745" s="66" t="str">
        <f t="shared" si="524"/>
        <v/>
      </c>
    </row>
    <row r="4746" spans="8:16">
      <c r="H4746" s="66" t="e">
        <f>IF(LEFT(A4746,6)="CEPNTR","GPINS",VLOOKUP(LEFT(A4746,6),'Code Library'!$A$3:$B$920,2,0))&amp;"_"&amp;RIGHT(A4746,3)</f>
        <v>#N/A</v>
      </c>
      <c r="I4746" s="66">
        <f t="shared" si="518"/>
        <v>0</v>
      </c>
      <c r="K4746" s="66" t="str">
        <f t="shared" si="519"/>
        <v/>
      </c>
      <c r="L4746" s="66" t="str">
        <f t="shared" si="520"/>
        <v/>
      </c>
      <c r="M4746" s="66" t="str">
        <f t="shared" si="521"/>
        <v/>
      </c>
      <c r="N4746" s="66" t="str">
        <f t="shared" si="522"/>
        <v/>
      </c>
      <c r="O4746" s="66" t="str">
        <f t="shared" si="523"/>
        <v/>
      </c>
      <c r="P4746" s="66" t="str">
        <f t="shared" si="524"/>
        <v/>
      </c>
    </row>
    <row r="4747" spans="8:16">
      <c r="H4747" s="66" t="e">
        <f>IF(LEFT(A4747,6)="CEPNTR","GPINS",VLOOKUP(LEFT(A4747,6),'Code Library'!$A$3:$B$920,2,0))&amp;"_"&amp;RIGHT(A4747,3)</f>
        <v>#N/A</v>
      </c>
      <c r="I4747" s="66">
        <f t="shared" si="518"/>
        <v>0</v>
      </c>
      <c r="K4747" s="66" t="str">
        <f t="shared" si="519"/>
        <v/>
      </c>
      <c r="L4747" s="66" t="str">
        <f t="shared" si="520"/>
        <v/>
      </c>
      <c r="M4747" s="66" t="str">
        <f t="shared" si="521"/>
        <v/>
      </c>
      <c r="N4747" s="66" t="str">
        <f t="shared" si="522"/>
        <v/>
      </c>
      <c r="O4747" s="66" t="str">
        <f t="shared" si="523"/>
        <v/>
      </c>
      <c r="P4747" s="66" t="str">
        <f t="shared" si="524"/>
        <v/>
      </c>
    </row>
    <row r="4748" spans="8:16">
      <c r="H4748" s="66" t="e">
        <f>IF(LEFT(A4748,6)="CEPNTR","GPINS",VLOOKUP(LEFT(A4748,6),'Code Library'!$A$3:$B$920,2,0))&amp;"_"&amp;RIGHT(A4748,3)</f>
        <v>#N/A</v>
      </c>
      <c r="I4748" s="66">
        <f t="shared" si="518"/>
        <v>0</v>
      </c>
      <c r="K4748" s="66" t="str">
        <f t="shared" si="519"/>
        <v/>
      </c>
      <c r="L4748" s="66" t="str">
        <f t="shared" si="520"/>
        <v/>
      </c>
      <c r="M4748" s="66" t="str">
        <f t="shared" si="521"/>
        <v/>
      </c>
      <c r="N4748" s="66" t="str">
        <f t="shared" si="522"/>
        <v/>
      </c>
      <c r="O4748" s="66" t="str">
        <f t="shared" si="523"/>
        <v/>
      </c>
      <c r="P4748" s="66" t="str">
        <f t="shared" si="524"/>
        <v/>
      </c>
    </row>
    <row r="4749" spans="8:16">
      <c r="H4749" s="66" t="e">
        <f>IF(LEFT(A4749,6)="CEPNTR","GPINS",VLOOKUP(LEFT(A4749,6),'Code Library'!$A$3:$B$920,2,0))&amp;"_"&amp;RIGHT(A4749,3)</f>
        <v>#N/A</v>
      </c>
      <c r="I4749" s="66">
        <f t="shared" si="518"/>
        <v>0</v>
      </c>
      <c r="K4749" s="66" t="str">
        <f t="shared" si="519"/>
        <v/>
      </c>
      <c r="L4749" s="66" t="str">
        <f t="shared" si="520"/>
        <v/>
      </c>
      <c r="M4749" s="66" t="str">
        <f t="shared" si="521"/>
        <v/>
      </c>
      <c r="N4749" s="66" t="str">
        <f t="shared" si="522"/>
        <v/>
      </c>
      <c r="O4749" s="66" t="str">
        <f t="shared" si="523"/>
        <v/>
      </c>
      <c r="P4749" s="66" t="str">
        <f t="shared" si="524"/>
        <v/>
      </c>
    </row>
    <row r="4750" spans="8:16">
      <c r="H4750" s="66" t="e">
        <f>IF(LEFT(A4750,6)="CEPNTR","GPINS",VLOOKUP(LEFT(A4750,6),'Code Library'!$A$3:$B$920,2,0))&amp;"_"&amp;RIGHT(A4750,3)</f>
        <v>#N/A</v>
      </c>
      <c r="I4750" s="66">
        <f t="shared" si="518"/>
        <v>0</v>
      </c>
      <c r="K4750" s="66" t="str">
        <f t="shared" si="519"/>
        <v/>
      </c>
      <c r="L4750" s="66" t="str">
        <f t="shared" si="520"/>
        <v/>
      </c>
      <c r="M4750" s="66" t="str">
        <f t="shared" si="521"/>
        <v/>
      </c>
      <c r="N4750" s="66" t="str">
        <f t="shared" si="522"/>
        <v/>
      </c>
      <c r="O4750" s="66" t="str">
        <f t="shared" si="523"/>
        <v/>
      </c>
      <c r="P4750" s="66" t="str">
        <f t="shared" si="524"/>
        <v/>
      </c>
    </row>
    <row r="4751" spans="8:16">
      <c r="H4751" s="66" t="e">
        <f>IF(LEFT(A4751,6)="CEPNTR","GPINS",VLOOKUP(LEFT(A4751,6),'Code Library'!$A$3:$B$920,2,0))&amp;"_"&amp;RIGHT(A4751,3)</f>
        <v>#N/A</v>
      </c>
      <c r="I4751" s="66">
        <f t="shared" si="518"/>
        <v>0</v>
      </c>
      <c r="K4751" s="66" t="str">
        <f t="shared" si="519"/>
        <v/>
      </c>
      <c r="L4751" s="66" t="str">
        <f t="shared" si="520"/>
        <v/>
      </c>
      <c r="M4751" s="66" t="str">
        <f t="shared" si="521"/>
        <v/>
      </c>
      <c r="N4751" s="66" t="str">
        <f t="shared" si="522"/>
        <v/>
      </c>
      <c r="O4751" s="66" t="str">
        <f t="shared" si="523"/>
        <v/>
      </c>
      <c r="P4751" s="66" t="str">
        <f t="shared" si="524"/>
        <v/>
      </c>
    </row>
    <row r="4752" spans="8:16">
      <c r="H4752" s="66" t="e">
        <f>IF(LEFT(A4752,6)="CEPNTR","GPINS",VLOOKUP(LEFT(A4752,6),'Code Library'!$A$3:$B$920,2,0))&amp;"_"&amp;RIGHT(A4752,3)</f>
        <v>#N/A</v>
      </c>
      <c r="I4752" s="66">
        <f t="shared" si="518"/>
        <v>0</v>
      </c>
      <c r="K4752" s="66" t="str">
        <f t="shared" si="519"/>
        <v/>
      </c>
      <c r="L4752" s="66" t="str">
        <f t="shared" si="520"/>
        <v/>
      </c>
      <c r="M4752" s="66" t="str">
        <f t="shared" si="521"/>
        <v/>
      </c>
      <c r="N4752" s="66" t="str">
        <f t="shared" si="522"/>
        <v/>
      </c>
      <c r="O4752" s="66" t="str">
        <f t="shared" si="523"/>
        <v/>
      </c>
      <c r="P4752" s="66" t="str">
        <f t="shared" si="524"/>
        <v/>
      </c>
    </row>
    <row r="4753" spans="8:16">
      <c r="H4753" s="66" t="e">
        <f>IF(LEFT(A4753,6)="CEPNTR","GPINS",VLOOKUP(LEFT(A4753,6),'Code Library'!$A$3:$B$920,2,0))&amp;"_"&amp;RIGHT(A4753,3)</f>
        <v>#N/A</v>
      </c>
      <c r="I4753" s="66">
        <f t="shared" si="518"/>
        <v>0</v>
      </c>
      <c r="K4753" s="66" t="str">
        <f t="shared" si="519"/>
        <v/>
      </c>
      <c r="L4753" s="66" t="str">
        <f t="shared" si="520"/>
        <v/>
      </c>
      <c r="M4753" s="66" t="str">
        <f t="shared" si="521"/>
        <v/>
      </c>
      <c r="N4753" s="66" t="str">
        <f t="shared" si="522"/>
        <v/>
      </c>
      <c r="O4753" s="66" t="str">
        <f t="shared" si="523"/>
        <v/>
      </c>
      <c r="P4753" s="66" t="str">
        <f t="shared" si="524"/>
        <v/>
      </c>
    </row>
    <row r="4754" spans="8:16">
      <c r="H4754" s="66" t="e">
        <f>IF(LEFT(A4754,6)="CEPNTR","GPINS",VLOOKUP(LEFT(A4754,6),'Code Library'!$A$3:$B$920,2,0))&amp;"_"&amp;RIGHT(A4754,3)</f>
        <v>#N/A</v>
      </c>
      <c r="I4754" s="66">
        <f t="shared" si="518"/>
        <v>0</v>
      </c>
      <c r="K4754" s="66" t="str">
        <f t="shared" si="519"/>
        <v/>
      </c>
      <c r="L4754" s="66" t="str">
        <f t="shared" si="520"/>
        <v/>
      </c>
      <c r="M4754" s="66" t="str">
        <f t="shared" si="521"/>
        <v/>
      </c>
      <c r="N4754" s="66" t="str">
        <f t="shared" si="522"/>
        <v/>
      </c>
      <c r="O4754" s="66" t="str">
        <f t="shared" si="523"/>
        <v/>
      </c>
      <c r="P4754" s="66" t="str">
        <f t="shared" si="524"/>
        <v/>
      </c>
    </row>
    <row r="4755" spans="8:16">
      <c r="H4755" s="66" t="e">
        <f>IF(LEFT(A4755,6)="CEPNTR","GPINS",VLOOKUP(LEFT(A4755,6),'Code Library'!$A$3:$B$920,2,0))&amp;"_"&amp;RIGHT(A4755,3)</f>
        <v>#N/A</v>
      </c>
      <c r="I4755" s="66">
        <f t="shared" si="518"/>
        <v>0</v>
      </c>
      <c r="K4755" s="66" t="str">
        <f t="shared" si="519"/>
        <v/>
      </c>
      <c r="L4755" s="66" t="str">
        <f t="shared" si="520"/>
        <v/>
      </c>
      <c r="M4755" s="66" t="str">
        <f t="shared" si="521"/>
        <v/>
      </c>
      <c r="N4755" s="66" t="str">
        <f t="shared" si="522"/>
        <v/>
      </c>
      <c r="O4755" s="66" t="str">
        <f t="shared" si="523"/>
        <v/>
      </c>
      <c r="P4755" s="66" t="str">
        <f t="shared" si="524"/>
        <v/>
      </c>
    </row>
    <row r="4756" spans="8:16">
      <c r="H4756" s="66" t="e">
        <f>IF(LEFT(A4756,6)="CEPNTR","GPINS",VLOOKUP(LEFT(A4756,6),'Code Library'!$A$3:$B$920,2,0))&amp;"_"&amp;RIGHT(A4756,3)</f>
        <v>#N/A</v>
      </c>
      <c r="I4756" s="66">
        <f t="shared" si="518"/>
        <v>0</v>
      </c>
      <c r="K4756" s="66" t="str">
        <f t="shared" si="519"/>
        <v/>
      </c>
      <c r="L4756" s="66" t="str">
        <f t="shared" si="520"/>
        <v/>
      </c>
      <c r="M4756" s="66" t="str">
        <f t="shared" si="521"/>
        <v/>
      </c>
      <c r="N4756" s="66" t="str">
        <f t="shared" si="522"/>
        <v/>
      </c>
      <c r="O4756" s="66" t="str">
        <f t="shared" si="523"/>
        <v/>
      </c>
      <c r="P4756" s="66" t="str">
        <f t="shared" si="524"/>
        <v/>
      </c>
    </row>
    <row r="4757" spans="8:16">
      <c r="H4757" s="66" t="e">
        <f>IF(LEFT(A4757,6)="CEPNTR","GPINS",VLOOKUP(LEFT(A4757,6),'Code Library'!$A$3:$B$920,2,0))&amp;"_"&amp;RIGHT(A4757,3)</f>
        <v>#N/A</v>
      </c>
      <c r="I4757" s="66">
        <f t="shared" si="518"/>
        <v>0</v>
      </c>
      <c r="K4757" s="66" t="str">
        <f t="shared" si="519"/>
        <v/>
      </c>
      <c r="L4757" s="66" t="str">
        <f t="shared" si="520"/>
        <v/>
      </c>
      <c r="M4757" s="66" t="str">
        <f t="shared" si="521"/>
        <v/>
      </c>
      <c r="N4757" s="66" t="str">
        <f t="shared" si="522"/>
        <v/>
      </c>
      <c r="O4757" s="66" t="str">
        <f t="shared" si="523"/>
        <v/>
      </c>
      <c r="P4757" s="66" t="str">
        <f t="shared" si="524"/>
        <v/>
      </c>
    </row>
    <row r="4758" spans="8:16">
      <c r="H4758" s="66" t="e">
        <f>IF(LEFT(A4758,6)="CEPNTR","GPINS",VLOOKUP(LEFT(A4758,6),'Code Library'!$A$3:$B$920,2,0))&amp;"_"&amp;RIGHT(A4758,3)</f>
        <v>#N/A</v>
      </c>
      <c r="I4758" s="66">
        <f t="shared" si="518"/>
        <v>0</v>
      </c>
      <c r="K4758" s="66" t="str">
        <f t="shared" si="519"/>
        <v/>
      </c>
      <c r="L4758" s="66" t="str">
        <f t="shared" si="520"/>
        <v/>
      </c>
      <c r="M4758" s="66" t="str">
        <f t="shared" si="521"/>
        <v/>
      </c>
      <c r="N4758" s="66" t="str">
        <f t="shared" si="522"/>
        <v/>
      </c>
      <c r="O4758" s="66" t="str">
        <f t="shared" si="523"/>
        <v/>
      </c>
      <c r="P4758" s="66" t="str">
        <f t="shared" si="524"/>
        <v/>
      </c>
    </row>
    <row r="4759" spans="8:16">
      <c r="H4759" s="66" t="e">
        <f>IF(LEFT(A4759,6)="CEPNTR","GPINS",VLOOKUP(LEFT(A4759,6),'Code Library'!$A$3:$B$920,2,0))&amp;"_"&amp;RIGHT(A4759,3)</f>
        <v>#N/A</v>
      </c>
      <c r="I4759" s="66">
        <f t="shared" si="518"/>
        <v>0</v>
      </c>
      <c r="K4759" s="66" t="str">
        <f t="shared" si="519"/>
        <v/>
      </c>
      <c r="L4759" s="66" t="str">
        <f t="shared" si="520"/>
        <v/>
      </c>
      <c r="M4759" s="66" t="str">
        <f t="shared" si="521"/>
        <v/>
      </c>
      <c r="N4759" s="66" t="str">
        <f t="shared" si="522"/>
        <v/>
      </c>
      <c r="O4759" s="66" t="str">
        <f t="shared" si="523"/>
        <v/>
      </c>
      <c r="P4759" s="66" t="str">
        <f t="shared" si="524"/>
        <v/>
      </c>
    </row>
    <row r="4760" spans="8:16">
      <c r="H4760" s="66" t="e">
        <f>IF(LEFT(A4760,6)="CEPNTR","GPINS",VLOOKUP(LEFT(A4760,6),'Code Library'!$A$3:$B$920,2,0))&amp;"_"&amp;RIGHT(A4760,3)</f>
        <v>#N/A</v>
      </c>
      <c r="I4760" s="66">
        <f t="shared" si="518"/>
        <v>0</v>
      </c>
      <c r="K4760" s="66" t="str">
        <f t="shared" si="519"/>
        <v/>
      </c>
      <c r="L4760" s="66" t="str">
        <f t="shared" si="520"/>
        <v/>
      </c>
      <c r="M4760" s="66" t="str">
        <f t="shared" si="521"/>
        <v/>
      </c>
      <c r="N4760" s="66" t="str">
        <f t="shared" si="522"/>
        <v/>
      </c>
      <c r="O4760" s="66" t="str">
        <f t="shared" si="523"/>
        <v/>
      </c>
      <c r="P4760" s="66" t="str">
        <f t="shared" si="524"/>
        <v/>
      </c>
    </row>
    <row r="4761" spans="8:16">
      <c r="H4761" s="66" t="e">
        <f>IF(LEFT(A4761,6)="CEPNTR","GPINS",VLOOKUP(LEFT(A4761,6),'Code Library'!$A$3:$B$920,2,0))&amp;"_"&amp;RIGHT(A4761,3)</f>
        <v>#N/A</v>
      </c>
      <c r="I4761" s="66">
        <f t="shared" si="518"/>
        <v>0</v>
      </c>
      <c r="K4761" s="66" t="str">
        <f t="shared" si="519"/>
        <v/>
      </c>
      <c r="L4761" s="66" t="str">
        <f t="shared" si="520"/>
        <v/>
      </c>
      <c r="M4761" s="66" t="str">
        <f t="shared" si="521"/>
        <v/>
      </c>
      <c r="N4761" s="66" t="str">
        <f t="shared" si="522"/>
        <v/>
      </c>
      <c r="O4761" s="66" t="str">
        <f t="shared" si="523"/>
        <v/>
      </c>
      <c r="P4761" s="66" t="str">
        <f t="shared" si="524"/>
        <v/>
      </c>
    </row>
    <row r="4762" spans="8:16">
      <c r="H4762" s="66" t="e">
        <f>IF(LEFT(A4762,6)="CEPNTR","GPINS",VLOOKUP(LEFT(A4762,6),'Code Library'!$A$3:$B$920,2,0))&amp;"_"&amp;RIGHT(A4762,3)</f>
        <v>#N/A</v>
      </c>
      <c r="I4762" s="66">
        <f t="shared" si="518"/>
        <v>0</v>
      </c>
      <c r="K4762" s="66" t="str">
        <f t="shared" si="519"/>
        <v/>
      </c>
      <c r="L4762" s="66" t="str">
        <f t="shared" si="520"/>
        <v/>
      </c>
      <c r="M4762" s="66" t="str">
        <f t="shared" si="521"/>
        <v/>
      </c>
      <c r="N4762" s="66" t="str">
        <f t="shared" si="522"/>
        <v/>
      </c>
      <c r="O4762" s="66" t="str">
        <f t="shared" si="523"/>
        <v/>
      </c>
      <c r="P4762" s="66" t="str">
        <f t="shared" si="524"/>
        <v/>
      </c>
    </row>
    <row r="4763" spans="8:16">
      <c r="H4763" s="66" t="e">
        <f>IF(LEFT(A4763,6)="CEPNTR","GPINS",VLOOKUP(LEFT(A4763,6),'Code Library'!$A$3:$B$920,2,0))&amp;"_"&amp;RIGHT(A4763,3)</f>
        <v>#N/A</v>
      </c>
      <c r="I4763" s="66">
        <f t="shared" si="518"/>
        <v>0</v>
      </c>
      <c r="K4763" s="66" t="str">
        <f t="shared" si="519"/>
        <v/>
      </c>
      <c r="L4763" s="66" t="str">
        <f t="shared" si="520"/>
        <v/>
      </c>
      <c r="M4763" s="66" t="str">
        <f t="shared" si="521"/>
        <v/>
      </c>
      <c r="N4763" s="66" t="str">
        <f t="shared" si="522"/>
        <v/>
      </c>
      <c r="O4763" s="66" t="str">
        <f t="shared" si="523"/>
        <v/>
      </c>
      <c r="P4763" s="66" t="str">
        <f t="shared" si="524"/>
        <v/>
      </c>
    </row>
    <row r="4764" spans="8:16">
      <c r="H4764" s="66" t="e">
        <f>IF(LEFT(A4764,6)="CEPNTR","GPINS",VLOOKUP(LEFT(A4764,6),'Code Library'!$A$3:$B$920,2,0))&amp;"_"&amp;RIGHT(A4764,3)</f>
        <v>#N/A</v>
      </c>
      <c r="I4764" s="66">
        <f t="shared" si="518"/>
        <v>0</v>
      </c>
      <c r="K4764" s="66" t="str">
        <f t="shared" si="519"/>
        <v/>
      </c>
      <c r="L4764" s="66" t="str">
        <f t="shared" si="520"/>
        <v/>
      </c>
      <c r="M4764" s="66" t="str">
        <f t="shared" si="521"/>
        <v/>
      </c>
      <c r="N4764" s="66" t="str">
        <f t="shared" si="522"/>
        <v/>
      </c>
      <c r="O4764" s="66" t="str">
        <f t="shared" si="523"/>
        <v/>
      </c>
      <c r="P4764" s="66" t="str">
        <f t="shared" si="524"/>
        <v/>
      </c>
    </row>
    <row r="4765" spans="8:16">
      <c r="H4765" s="66" t="e">
        <f>IF(LEFT(A4765,6)="CEPNTR","GPINS",VLOOKUP(LEFT(A4765,6),'Code Library'!$A$3:$B$920,2,0))&amp;"_"&amp;RIGHT(A4765,3)</f>
        <v>#N/A</v>
      </c>
      <c r="I4765" s="66">
        <f t="shared" si="518"/>
        <v>0</v>
      </c>
      <c r="K4765" s="66" t="str">
        <f t="shared" si="519"/>
        <v/>
      </c>
      <c r="L4765" s="66" t="str">
        <f t="shared" si="520"/>
        <v/>
      </c>
      <c r="M4765" s="66" t="str">
        <f t="shared" si="521"/>
        <v/>
      </c>
      <c r="N4765" s="66" t="str">
        <f t="shared" si="522"/>
        <v/>
      </c>
      <c r="O4765" s="66" t="str">
        <f t="shared" si="523"/>
        <v/>
      </c>
      <c r="P4765" s="66" t="str">
        <f t="shared" si="524"/>
        <v/>
      </c>
    </row>
    <row r="4766" spans="8:16">
      <c r="H4766" s="66" t="e">
        <f>IF(LEFT(A4766,6)="CEPNTR","GPINS",VLOOKUP(LEFT(A4766,6),'Code Library'!$A$3:$B$920,2,0))&amp;"_"&amp;RIGHT(A4766,3)</f>
        <v>#N/A</v>
      </c>
      <c r="I4766" s="66">
        <f t="shared" si="518"/>
        <v>0</v>
      </c>
      <c r="K4766" s="66" t="str">
        <f t="shared" si="519"/>
        <v/>
      </c>
      <c r="L4766" s="66" t="str">
        <f t="shared" si="520"/>
        <v/>
      </c>
      <c r="M4766" s="66" t="str">
        <f t="shared" si="521"/>
        <v/>
      </c>
      <c r="N4766" s="66" t="str">
        <f t="shared" si="522"/>
        <v/>
      </c>
      <c r="O4766" s="66" t="str">
        <f t="shared" si="523"/>
        <v/>
      </c>
      <c r="P4766" s="66" t="str">
        <f t="shared" si="524"/>
        <v/>
      </c>
    </row>
    <row r="4767" spans="8:16">
      <c r="H4767" s="66" t="e">
        <f>IF(LEFT(A4767,6)="CEPNTR","GPINS",VLOOKUP(LEFT(A4767,6),'Code Library'!$A$3:$B$920,2,0))&amp;"_"&amp;RIGHT(A4767,3)</f>
        <v>#N/A</v>
      </c>
      <c r="I4767" s="66">
        <f t="shared" si="518"/>
        <v>0</v>
      </c>
      <c r="K4767" s="66" t="str">
        <f t="shared" si="519"/>
        <v/>
      </c>
      <c r="L4767" s="66" t="str">
        <f t="shared" si="520"/>
        <v/>
      </c>
      <c r="M4767" s="66" t="str">
        <f t="shared" si="521"/>
        <v/>
      </c>
      <c r="N4767" s="66" t="str">
        <f t="shared" si="522"/>
        <v/>
      </c>
      <c r="O4767" s="66" t="str">
        <f t="shared" si="523"/>
        <v/>
      </c>
      <c r="P4767" s="66" t="str">
        <f t="shared" si="524"/>
        <v/>
      </c>
    </row>
    <row r="4768" spans="8:16">
      <c r="H4768" s="66" t="e">
        <f>IF(LEFT(A4768,6)="CEPNTR","GPINS",VLOOKUP(LEFT(A4768,6),'Code Library'!$A$3:$B$920,2,0))&amp;"_"&amp;RIGHT(A4768,3)</f>
        <v>#N/A</v>
      </c>
      <c r="I4768" s="66">
        <f t="shared" si="518"/>
        <v>0</v>
      </c>
      <c r="K4768" s="66" t="str">
        <f t="shared" si="519"/>
        <v/>
      </c>
      <c r="L4768" s="66" t="str">
        <f t="shared" si="520"/>
        <v/>
      </c>
      <c r="M4768" s="66" t="str">
        <f t="shared" si="521"/>
        <v/>
      </c>
      <c r="N4768" s="66" t="str">
        <f t="shared" si="522"/>
        <v/>
      </c>
      <c r="O4768" s="66" t="str">
        <f t="shared" si="523"/>
        <v/>
      </c>
      <c r="P4768" s="66" t="str">
        <f t="shared" si="524"/>
        <v/>
      </c>
    </row>
    <row r="4769" spans="8:16">
      <c r="H4769" s="66" t="e">
        <f>IF(LEFT(A4769,6)="CEPNTR","GPINS",VLOOKUP(LEFT(A4769,6),'Code Library'!$A$3:$B$920,2,0))&amp;"_"&amp;RIGHT(A4769,3)</f>
        <v>#N/A</v>
      </c>
      <c r="I4769" s="66">
        <f t="shared" si="518"/>
        <v>0</v>
      </c>
      <c r="K4769" s="66" t="str">
        <f t="shared" si="519"/>
        <v/>
      </c>
      <c r="L4769" s="66" t="str">
        <f t="shared" si="520"/>
        <v/>
      </c>
      <c r="M4769" s="66" t="str">
        <f t="shared" si="521"/>
        <v/>
      </c>
      <c r="N4769" s="66" t="str">
        <f t="shared" si="522"/>
        <v/>
      </c>
      <c r="O4769" s="66" t="str">
        <f t="shared" si="523"/>
        <v/>
      </c>
      <c r="P4769" s="66" t="str">
        <f t="shared" si="524"/>
        <v/>
      </c>
    </row>
    <row r="4770" spans="8:16">
      <c r="H4770" s="66" t="e">
        <f>IF(LEFT(A4770,6)="CEPNTR","GPINS",VLOOKUP(LEFT(A4770,6),'Code Library'!$A$3:$B$920,2,0))&amp;"_"&amp;RIGHT(A4770,3)</f>
        <v>#N/A</v>
      </c>
      <c r="I4770" s="66">
        <f t="shared" si="518"/>
        <v>0</v>
      </c>
      <c r="K4770" s="66" t="str">
        <f t="shared" si="519"/>
        <v/>
      </c>
      <c r="L4770" s="66" t="str">
        <f t="shared" si="520"/>
        <v/>
      </c>
      <c r="M4770" s="66" t="str">
        <f t="shared" si="521"/>
        <v/>
      </c>
      <c r="N4770" s="66" t="str">
        <f t="shared" si="522"/>
        <v/>
      </c>
      <c r="O4770" s="66" t="str">
        <f t="shared" si="523"/>
        <v/>
      </c>
      <c r="P4770" s="66" t="str">
        <f t="shared" si="524"/>
        <v/>
      </c>
    </row>
    <row r="4771" spans="8:16">
      <c r="H4771" s="66" t="e">
        <f>IF(LEFT(A4771,6)="CEPNTR","GPINS",VLOOKUP(LEFT(A4771,6),'Code Library'!$A$3:$B$920,2,0))&amp;"_"&amp;RIGHT(A4771,3)</f>
        <v>#N/A</v>
      </c>
      <c r="I4771" s="66">
        <f t="shared" si="518"/>
        <v>0</v>
      </c>
      <c r="K4771" s="66" t="str">
        <f t="shared" si="519"/>
        <v/>
      </c>
      <c r="L4771" s="66" t="str">
        <f t="shared" si="520"/>
        <v/>
      </c>
      <c r="M4771" s="66" t="str">
        <f t="shared" si="521"/>
        <v/>
      </c>
      <c r="N4771" s="66" t="str">
        <f t="shared" si="522"/>
        <v/>
      </c>
      <c r="O4771" s="66" t="str">
        <f t="shared" si="523"/>
        <v/>
      </c>
      <c r="P4771" s="66" t="str">
        <f t="shared" si="524"/>
        <v/>
      </c>
    </row>
    <row r="4772" spans="8:16">
      <c r="H4772" s="66" t="e">
        <f>IF(LEFT(A4772,6)="CEPNTR","GPINS",VLOOKUP(LEFT(A4772,6),'Code Library'!$A$3:$B$920,2,0))&amp;"_"&amp;RIGHT(A4772,3)</f>
        <v>#N/A</v>
      </c>
      <c r="I4772" s="66">
        <f t="shared" si="518"/>
        <v>0</v>
      </c>
      <c r="K4772" s="66" t="str">
        <f t="shared" si="519"/>
        <v/>
      </c>
      <c r="L4772" s="66" t="str">
        <f t="shared" si="520"/>
        <v/>
      </c>
      <c r="M4772" s="66" t="str">
        <f t="shared" si="521"/>
        <v/>
      </c>
      <c r="N4772" s="66" t="str">
        <f t="shared" si="522"/>
        <v/>
      </c>
      <c r="O4772" s="66" t="str">
        <f t="shared" si="523"/>
        <v/>
      </c>
      <c r="P4772" s="66" t="str">
        <f t="shared" si="524"/>
        <v/>
      </c>
    </row>
    <row r="4773" spans="8:16">
      <c r="H4773" s="66" t="e">
        <f>IF(LEFT(A4773,6)="CEPNTR","GPINS",VLOOKUP(LEFT(A4773,6),'Code Library'!$A$3:$B$920,2,0))&amp;"_"&amp;RIGHT(A4773,3)</f>
        <v>#N/A</v>
      </c>
      <c r="I4773" s="66">
        <f t="shared" si="518"/>
        <v>0</v>
      </c>
      <c r="K4773" s="66" t="str">
        <f t="shared" si="519"/>
        <v/>
      </c>
      <c r="L4773" s="66" t="str">
        <f t="shared" si="520"/>
        <v/>
      </c>
      <c r="M4773" s="66" t="str">
        <f t="shared" si="521"/>
        <v/>
      </c>
      <c r="N4773" s="66" t="str">
        <f t="shared" si="522"/>
        <v/>
      </c>
      <c r="O4773" s="66" t="str">
        <f t="shared" si="523"/>
        <v/>
      </c>
      <c r="P4773" s="66" t="str">
        <f t="shared" si="524"/>
        <v/>
      </c>
    </row>
    <row r="4774" spans="8:16">
      <c r="H4774" s="66" t="e">
        <f>IF(LEFT(A4774,6)="CEPNTR","GPINS",VLOOKUP(LEFT(A4774,6),'Code Library'!$A$3:$B$920,2,0))&amp;"_"&amp;RIGHT(A4774,3)</f>
        <v>#N/A</v>
      </c>
      <c r="I4774" s="66">
        <f t="shared" si="518"/>
        <v>0</v>
      </c>
      <c r="K4774" s="66" t="str">
        <f t="shared" si="519"/>
        <v/>
      </c>
      <c r="L4774" s="66" t="str">
        <f t="shared" si="520"/>
        <v/>
      </c>
      <c r="M4774" s="66" t="str">
        <f t="shared" si="521"/>
        <v/>
      </c>
      <c r="N4774" s="66" t="str">
        <f t="shared" si="522"/>
        <v/>
      </c>
      <c r="O4774" s="66" t="str">
        <f t="shared" si="523"/>
        <v/>
      </c>
      <c r="P4774" s="66" t="str">
        <f t="shared" si="524"/>
        <v/>
      </c>
    </row>
    <row r="4775" spans="8:16">
      <c r="H4775" s="66" t="e">
        <f>IF(LEFT(A4775,6)="CEPNTR","GPINS",VLOOKUP(LEFT(A4775,6),'Code Library'!$A$3:$B$920,2,0))&amp;"_"&amp;RIGHT(A4775,3)</f>
        <v>#N/A</v>
      </c>
      <c r="I4775" s="66">
        <f t="shared" si="518"/>
        <v>0</v>
      </c>
      <c r="K4775" s="66" t="str">
        <f t="shared" si="519"/>
        <v/>
      </c>
      <c r="L4775" s="66" t="str">
        <f t="shared" si="520"/>
        <v/>
      </c>
      <c r="M4775" s="66" t="str">
        <f t="shared" si="521"/>
        <v/>
      </c>
      <c r="N4775" s="66" t="str">
        <f t="shared" si="522"/>
        <v/>
      </c>
      <c r="O4775" s="66" t="str">
        <f t="shared" si="523"/>
        <v/>
      </c>
      <c r="P4775" s="66" t="str">
        <f t="shared" si="524"/>
        <v/>
      </c>
    </row>
    <row r="4776" spans="8:16">
      <c r="H4776" s="66" t="e">
        <f>IF(LEFT(A4776,6)="CEPNTR","GPINS",VLOOKUP(LEFT(A4776,6),'Code Library'!$A$3:$B$920,2,0))&amp;"_"&amp;RIGHT(A4776,3)</f>
        <v>#N/A</v>
      </c>
      <c r="I4776" s="66">
        <f t="shared" si="518"/>
        <v>0</v>
      </c>
      <c r="K4776" s="66" t="str">
        <f t="shared" si="519"/>
        <v/>
      </c>
      <c r="L4776" s="66" t="str">
        <f t="shared" si="520"/>
        <v/>
      </c>
      <c r="M4776" s="66" t="str">
        <f t="shared" si="521"/>
        <v/>
      </c>
      <c r="N4776" s="66" t="str">
        <f t="shared" si="522"/>
        <v/>
      </c>
      <c r="O4776" s="66" t="str">
        <f t="shared" si="523"/>
        <v/>
      </c>
      <c r="P4776" s="66" t="str">
        <f t="shared" si="524"/>
        <v/>
      </c>
    </row>
    <row r="4777" spans="8:16">
      <c r="H4777" s="66" t="e">
        <f>IF(LEFT(A4777,6)="CEPNTR","GPINS",VLOOKUP(LEFT(A4777,6),'Code Library'!$A$3:$B$920,2,0))&amp;"_"&amp;RIGHT(A4777,3)</f>
        <v>#N/A</v>
      </c>
      <c r="I4777" s="66">
        <f t="shared" si="518"/>
        <v>0</v>
      </c>
      <c r="K4777" s="66" t="str">
        <f t="shared" si="519"/>
        <v/>
      </c>
      <c r="L4777" s="66" t="str">
        <f t="shared" si="520"/>
        <v/>
      </c>
      <c r="M4777" s="66" t="str">
        <f t="shared" si="521"/>
        <v/>
      </c>
      <c r="N4777" s="66" t="str">
        <f t="shared" si="522"/>
        <v/>
      </c>
      <c r="O4777" s="66" t="str">
        <f t="shared" si="523"/>
        <v/>
      </c>
      <c r="P4777" s="66" t="str">
        <f t="shared" si="524"/>
        <v/>
      </c>
    </row>
    <row r="4778" spans="8:16">
      <c r="H4778" s="66" t="e">
        <f>IF(LEFT(A4778,6)="CEPNTR","GPINS",VLOOKUP(LEFT(A4778,6),'Code Library'!$A$3:$B$920,2,0))&amp;"_"&amp;RIGHT(A4778,3)</f>
        <v>#N/A</v>
      </c>
      <c r="I4778" s="66">
        <f t="shared" si="518"/>
        <v>0</v>
      </c>
      <c r="K4778" s="66" t="str">
        <f t="shared" si="519"/>
        <v/>
      </c>
      <c r="L4778" s="66" t="str">
        <f t="shared" si="520"/>
        <v/>
      </c>
      <c r="M4778" s="66" t="str">
        <f t="shared" si="521"/>
        <v/>
      </c>
      <c r="N4778" s="66" t="str">
        <f t="shared" si="522"/>
        <v/>
      </c>
      <c r="O4778" s="66" t="str">
        <f t="shared" si="523"/>
        <v/>
      </c>
      <c r="P4778" s="66" t="str">
        <f t="shared" si="524"/>
        <v/>
      </c>
    </row>
    <row r="4779" spans="8:16">
      <c r="H4779" s="66" t="e">
        <f>IF(LEFT(A4779,6)="CEPNTR","GPINS",VLOOKUP(LEFT(A4779,6),'Code Library'!$A$3:$B$920,2,0))&amp;"_"&amp;RIGHT(A4779,3)</f>
        <v>#N/A</v>
      </c>
      <c r="I4779" s="66">
        <f t="shared" si="518"/>
        <v>0</v>
      </c>
      <c r="K4779" s="66" t="str">
        <f t="shared" si="519"/>
        <v/>
      </c>
      <c r="L4779" s="66" t="str">
        <f t="shared" si="520"/>
        <v/>
      </c>
      <c r="M4779" s="66" t="str">
        <f t="shared" si="521"/>
        <v/>
      </c>
      <c r="N4779" s="66" t="str">
        <f t="shared" si="522"/>
        <v/>
      </c>
      <c r="O4779" s="66" t="str">
        <f t="shared" si="523"/>
        <v/>
      </c>
      <c r="P4779" s="66" t="str">
        <f t="shared" si="524"/>
        <v/>
      </c>
    </row>
    <row r="4780" spans="8:16">
      <c r="H4780" s="66" t="e">
        <f>IF(LEFT(A4780,6)="CEPNTR","GPINS",VLOOKUP(LEFT(A4780,6),'Code Library'!$A$3:$B$920,2,0))&amp;"_"&amp;RIGHT(A4780,3)</f>
        <v>#N/A</v>
      </c>
      <c r="I4780" s="66">
        <f t="shared" si="518"/>
        <v>0</v>
      </c>
      <c r="K4780" s="66" t="str">
        <f t="shared" si="519"/>
        <v/>
      </c>
      <c r="L4780" s="66" t="str">
        <f t="shared" si="520"/>
        <v/>
      </c>
      <c r="M4780" s="66" t="str">
        <f t="shared" si="521"/>
        <v/>
      </c>
      <c r="N4780" s="66" t="str">
        <f t="shared" si="522"/>
        <v/>
      </c>
      <c r="O4780" s="66" t="str">
        <f t="shared" si="523"/>
        <v/>
      </c>
      <c r="P4780" s="66" t="str">
        <f t="shared" si="524"/>
        <v/>
      </c>
    </row>
    <row r="4781" spans="8:16">
      <c r="H4781" s="66" t="e">
        <f>IF(LEFT(A4781,6)="CEPNTR","GPINS",VLOOKUP(LEFT(A4781,6),'Code Library'!$A$3:$B$920,2,0))&amp;"_"&amp;RIGHT(A4781,3)</f>
        <v>#N/A</v>
      </c>
      <c r="I4781" s="66">
        <f t="shared" si="518"/>
        <v>0</v>
      </c>
      <c r="K4781" s="66" t="str">
        <f t="shared" si="519"/>
        <v/>
      </c>
      <c r="L4781" s="66" t="str">
        <f t="shared" si="520"/>
        <v/>
      </c>
      <c r="M4781" s="66" t="str">
        <f t="shared" si="521"/>
        <v/>
      </c>
      <c r="N4781" s="66" t="str">
        <f t="shared" si="522"/>
        <v/>
      </c>
      <c r="O4781" s="66" t="str">
        <f t="shared" si="523"/>
        <v/>
      </c>
      <c r="P4781" s="66" t="str">
        <f t="shared" si="524"/>
        <v/>
      </c>
    </row>
    <row r="4782" spans="8:16">
      <c r="H4782" s="66" t="e">
        <f>IF(LEFT(A4782,6)="CEPNTR","GPINS",VLOOKUP(LEFT(A4782,6),'Code Library'!$A$3:$B$920,2,0))&amp;"_"&amp;RIGHT(A4782,3)</f>
        <v>#N/A</v>
      </c>
      <c r="I4782" s="66">
        <f t="shared" si="518"/>
        <v>0</v>
      </c>
      <c r="K4782" s="66" t="str">
        <f t="shared" si="519"/>
        <v/>
      </c>
      <c r="L4782" s="66" t="str">
        <f t="shared" si="520"/>
        <v/>
      </c>
      <c r="M4782" s="66" t="str">
        <f t="shared" si="521"/>
        <v/>
      </c>
      <c r="N4782" s="66" t="str">
        <f t="shared" si="522"/>
        <v/>
      </c>
      <c r="O4782" s="66" t="str">
        <f t="shared" si="523"/>
        <v/>
      </c>
      <c r="P4782" s="66" t="str">
        <f t="shared" si="524"/>
        <v/>
      </c>
    </row>
    <row r="4783" spans="8:16">
      <c r="H4783" s="66" t="e">
        <f>IF(LEFT(A4783,6)="CEPNTR","GPINS",VLOOKUP(LEFT(A4783,6),'Code Library'!$A$3:$B$920,2,0))&amp;"_"&amp;RIGHT(A4783,3)</f>
        <v>#N/A</v>
      </c>
      <c r="I4783" s="66">
        <f t="shared" si="518"/>
        <v>0</v>
      </c>
      <c r="K4783" s="66" t="str">
        <f t="shared" si="519"/>
        <v/>
      </c>
      <c r="L4783" s="66" t="str">
        <f t="shared" si="520"/>
        <v/>
      </c>
      <c r="M4783" s="66" t="str">
        <f t="shared" si="521"/>
        <v/>
      </c>
      <c r="N4783" s="66" t="str">
        <f t="shared" si="522"/>
        <v/>
      </c>
      <c r="O4783" s="66" t="str">
        <f t="shared" si="523"/>
        <v/>
      </c>
      <c r="P4783" s="66" t="str">
        <f t="shared" si="524"/>
        <v/>
      </c>
    </row>
    <row r="4784" spans="8:16">
      <c r="H4784" s="66" t="e">
        <f>IF(LEFT(A4784,6)="CEPNTR","GPINS",VLOOKUP(LEFT(A4784,6),'Code Library'!$A$3:$B$920,2,0))&amp;"_"&amp;RIGHT(A4784,3)</f>
        <v>#N/A</v>
      </c>
      <c r="I4784" s="66">
        <f t="shared" si="518"/>
        <v>0</v>
      </c>
      <c r="K4784" s="66" t="str">
        <f t="shared" si="519"/>
        <v/>
      </c>
      <c r="L4784" s="66" t="str">
        <f t="shared" si="520"/>
        <v/>
      </c>
      <c r="M4784" s="66" t="str">
        <f t="shared" si="521"/>
        <v/>
      </c>
      <c r="N4784" s="66" t="str">
        <f t="shared" si="522"/>
        <v/>
      </c>
      <c r="O4784" s="66" t="str">
        <f t="shared" si="523"/>
        <v/>
      </c>
      <c r="P4784" s="66" t="str">
        <f t="shared" si="524"/>
        <v/>
      </c>
    </row>
    <row r="4785" spans="8:16">
      <c r="H4785" s="66" t="e">
        <f>IF(LEFT(A4785,6)="CEPNTR","GPINS",VLOOKUP(LEFT(A4785,6),'Code Library'!$A$3:$B$920,2,0))&amp;"_"&amp;RIGHT(A4785,3)</f>
        <v>#N/A</v>
      </c>
      <c r="I4785" s="66">
        <f t="shared" si="518"/>
        <v>0</v>
      </c>
      <c r="K4785" s="66" t="str">
        <f t="shared" si="519"/>
        <v/>
      </c>
      <c r="L4785" s="66" t="str">
        <f t="shared" si="520"/>
        <v/>
      </c>
      <c r="M4785" s="66" t="str">
        <f t="shared" si="521"/>
        <v/>
      </c>
      <c r="N4785" s="66" t="str">
        <f t="shared" si="522"/>
        <v/>
      </c>
      <c r="O4785" s="66" t="str">
        <f t="shared" si="523"/>
        <v/>
      </c>
      <c r="P4785" s="66" t="str">
        <f t="shared" si="524"/>
        <v/>
      </c>
    </row>
    <row r="4786" spans="8:16">
      <c r="H4786" s="66" t="e">
        <f>IF(LEFT(A4786,6)="CEPNTR","GPINS",VLOOKUP(LEFT(A4786,6),'Code Library'!$A$3:$B$920,2,0))&amp;"_"&amp;RIGHT(A4786,3)</f>
        <v>#N/A</v>
      </c>
      <c r="I4786" s="66">
        <f t="shared" si="518"/>
        <v>0</v>
      </c>
      <c r="K4786" s="66" t="str">
        <f t="shared" si="519"/>
        <v/>
      </c>
      <c r="L4786" s="66" t="str">
        <f t="shared" si="520"/>
        <v/>
      </c>
      <c r="M4786" s="66" t="str">
        <f t="shared" si="521"/>
        <v/>
      </c>
      <c r="N4786" s="66" t="str">
        <f t="shared" si="522"/>
        <v/>
      </c>
      <c r="O4786" s="66" t="str">
        <f t="shared" si="523"/>
        <v/>
      </c>
      <c r="P4786" s="66" t="str">
        <f t="shared" si="524"/>
        <v/>
      </c>
    </row>
    <row r="4787" spans="8:16">
      <c r="H4787" s="66" t="e">
        <f>IF(LEFT(A4787,6)="CEPNTR","GPINS",VLOOKUP(LEFT(A4787,6),'Code Library'!$A$3:$B$920,2,0))&amp;"_"&amp;RIGHT(A4787,3)</f>
        <v>#N/A</v>
      </c>
      <c r="I4787" s="66">
        <f t="shared" si="518"/>
        <v>0</v>
      </c>
      <c r="K4787" s="66" t="str">
        <f t="shared" si="519"/>
        <v/>
      </c>
      <c r="L4787" s="66" t="str">
        <f t="shared" si="520"/>
        <v/>
      </c>
      <c r="M4787" s="66" t="str">
        <f t="shared" si="521"/>
        <v/>
      </c>
      <c r="N4787" s="66" t="str">
        <f t="shared" si="522"/>
        <v/>
      </c>
      <c r="O4787" s="66" t="str">
        <f t="shared" si="523"/>
        <v/>
      </c>
      <c r="P4787" s="66" t="str">
        <f t="shared" si="524"/>
        <v/>
      </c>
    </row>
    <row r="4788" spans="8:16">
      <c r="H4788" s="66" t="e">
        <f>IF(LEFT(A4788,6)="CEPNTR","GPINS",VLOOKUP(LEFT(A4788,6),'Code Library'!$A$3:$B$920,2,0))&amp;"_"&amp;RIGHT(A4788,3)</f>
        <v>#N/A</v>
      </c>
      <c r="I4788" s="66">
        <f t="shared" si="518"/>
        <v>0</v>
      </c>
      <c r="K4788" s="66" t="str">
        <f t="shared" si="519"/>
        <v/>
      </c>
      <c r="L4788" s="66" t="str">
        <f t="shared" si="520"/>
        <v/>
      </c>
      <c r="M4788" s="66" t="str">
        <f t="shared" si="521"/>
        <v/>
      </c>
      <c r="N4788" s="66" t="str">
        <f t="shared" si="522"/>
        <v/>
      </c>
      <c r="O4788" s="66" t="str">
        <f t="shared" si="523"/>
        <v/>
      </c>
      <c r="P4788" s="66" t="str">
        <f t="shared" si="524"/>
        <v/>
      </c>
    </row>
    <row r="4789" spans="8:16">
      <c r="H4789" s="66" t="e">
        <f>IF(LEFT(A4789,6)="CEPNTR","GPINS",VLOOKUP(LEFT(A4789,6),'Code Library'!$A$3:$B$920,2,0))&amp;"_"&amp;RIGHT(A4789,3)</f>
        <v>#N/A</v>
      </c>
      <c r="I4789" s="66">
        <f t="shared" si="518"/>
        <v>0</v>
      </c>
      <c r="K4789" s="66" t="str">
        <f t="shared" si="519"/>
        <v/>
      </c>
      <c r="L4789" s="66" t="str">
        <f t="shared" si="520"/>
        <v/>
      </c>
      <c r="M4789" s="66" t="str">
        <f t="shared" si="521"/>
        <v/>
      </c>
      <c r="N4789" s="66" t="str">
        <f t="shared" si="522"/>
        <v/>
      </c>
      <c r="O4789" s="66" t="str">
        <f t="shared" si="523"/>
        <v/>
      </c>
      <c r="P4789" s="66" t="str">
        <f t="shared" si="524"/>
        <v/>
      </c>
    </row>
    <row r="4790" spans="8:16">
      <c r="H4790" s="66" t="e">
        <f>IF(LEFT(A4790,6)="CEPNTR","GPINS",VLOOKUP(LEFT(A4790,6),'Code Library'!$A$3:$B$920,2,0))&amp;"_"&amp;RIGHT(A4790,3)</f>
        <v>#N/A</v>
      </c>
      <c r="I4790" s="66">
        <f t="shared" si="518"/>
        <v>0</v>
      </c>
      <c r="K4790" s="66" t="str">
        <f t="shared" si="519"/>
        <v/>
      </c>
      <c r="L4790" s="66" t="str">
        <f t="shared" si="520"/>
        <v/>
      </c>
      <c r="M4790" s="66" t="str">
        <f t="shared" si="521"/>
        <v/>
      </c>
      <c r="N4790" s="66" t="str">
        <f t="shared" si="522"/>
        <v/>
      </c>
      <c r="O4790" s="66" t="str">
        <f t="shared" si="523"/>
        <v/>
      </c>
      <c r="P4790" s="66" t="str">
        <f t="shared" si="524"/>
        <v/>
      </c>
    </row>
    <row r="4791" spans="8:16">
      <c r="H4791" s="66" t="e">
        <f>IF(LEFT(A4791,6)="CEPNTR","GPINS",VLOOKUP(LEFT(A4791,6),'Code Library'!$A$3:$B$920,2,0))&amp;"_"&amp;RIGHT(A4791,3)</f>
        <v>#N/A</v>
      </c>
      <c r="I4791" s="66">
        <f t="shared" si="518"/>
        <v>0</v>
      </c>
      <c r="K4791" s="66" t="str">
        <f t="shared" si="519"/>
        <v/>
      </c>
      <c r="L4791" s="66" t="str">
        <f t="shared" si="520"/>
        <v/>
      </c>
      <c r="M4791" s="66" t="str">
        <f t="shared" si="521"/>
        <v/>
      </c>
      <c r="N4791" s="66" t="str">
        <f t="shared" si="522"/>
        <v/>
      </c>
      <c r="O4791" s="66" t="str">
        <f t="shared" si="523"/>
        <v/>
      </c>
      <c r="P4791" s="66" t="str">
        <f t="shared" si="524"/>
        <v/>
      </c>
    </row>
    <row r="4792" spans="8:16">
      <c r="H4792" s="66" t="e">
        <f>IF(LEFT(A4792,6)="CEPNTR","GPINS",VLOOKUP(LEFT(A4792,6),'Code Library'!$A$3:$B$920,2,0))&amp;"_"&amp;RIGHT(A4792,3)</f>
        <v>#N/A</v>
      </c>
      <c r="I4792" s="66">
        <f t="shared" si="518"/>
        <v>0</v>
      </c>
      <c r="K4792" s="66" t="str">
        <f t="shared" si="519"/>
        <v/>
      </c>
      <c r="L4792" s="66" t="str">
        <f t="shared" si="520"/>
        <v/>
      </c>
      <c r="M4792" s="66" t="str">
        <f t="shared" si="521"/>
        <v/>
      </c>
      <c r="N4792" s="66" t="str">
        <f t="shared" si="522"/>
        <v/>
      </c>
      <c r="O4792" s="66" t="str">
        <f t="shared" si="523"/>
        <v/>
      </c>
      <c r="P4792" s="66" t="str">
        <f t="shared" si="524"/>
        <v/>
      </c>
    </row>
    <row r="4793" spans="8:16">
      <c r="H4793" s="66" t="e">
        <f>IF(LEFT(A4793,6)="CEPNTR","GPINS",VLOOKUP(LEFT(A4793,6),'Code Library'!$A$3:$B$920,2,0))&amp;"_"&amp;RIGHT(A4793,3)</f>
        <v>#N/A</v>
      </c>
      <c r="I4793" s="66">
        <f t="shared" si="518"/>
        <v>0</v>
      </c>
      <c r="K4793" s="66" t="str">
        <f t="shared" si="519"/>
        <v/>
      </c>
      <c r="L4793" s="66" t="str">
        <f t="shared" si="520"/>
        <v/>
      </c>
      <c r="M4793" s="66" t="str">
        <f t="shared" si="521"/>
        <v/>
      </c>
      <c r="N4793" s="66" t="str">
        <f t="shared" si="522"/>
        <v/>
      </c>
      <c r="O4793" s="66" t="str">
        <f t="shared" si="523"/>
        <v/>
      </c>
      <c r="P4793" s="66" t="str">
        <f t="shared" si="524"/>
        <v/>
      </c>
    </row>
    <row r="4794" spans="8:16">
      <c r="H4794" s="66" t="e">
        <f>IF(LEFT(A4794,6)="CEPNTR","GPINS",VLOOKUP(LEFT(A4794,6),'Code Library'!$A$3:$B$920,2,0))&amp;"_"&amp;RIGHT(A4794,3)</f>
        <v>#N/A</v>
      </c>
      <c r="I4794" s="66">
        <f t="shared" si="518"/>
        <v>0</v>
      </c>
      <c r="K4794" s="66" t="str">
        <f t="shared" si="519"/>
        <v/>
      </c>
      <c r="L4794" s="66" t="str">
        <f t="shared" si="520"/>
        <v/>
      </c>
      <c r="M4794" s="66" t="str">
        <f t="shared" si="521"/>
        <v/>
      </c>
      <c r="N4794" s="66" t="str">
        <f t="shared" si="522"/>
        <v/>
      </c>
      <c r="O4794" s="66" t="str">
        <f t="shared" si="523"/>
        <v/>
      </c>
      <c r="P4794" s="66" t="str">
        <f t="shared" si="524"/>
        <v/>
      </c>
    </row>
    <row r="4795" spans="8:16">
      <c r="H4795" s="66" t="e">
        <f>IF(LEFT(A4795,6)="CEPNTR","GPINS",VLOOKUP(LEFT(A4795,6),'Code Library'!$A$3:$B$920,2,0))&amp;"_"&amp;RIGHT(A4795,3)</f>
        <v>#N/A</v>
      </c>
      <c r="I4795" s="66">
        <f t="shared" si="518"/>
        <v>0</v>
      </c>
      <c r="K4795" s="66" t="str">
        <f t="shared" si="519"/>
        <v/>
      </c>
      <c r="L4795" s="66" t="str">
        <f t="shared" si="520"/>
        <v/>
      </c>
      <c r="M4795" s="66" t="str">
        <f t="shared" si="521"/>
        <v/>
      </c>
      <c r="N4795" s="66" t="str">
        <f t="shared" si="522"/>
        <v/>
      </c>
      <c r="O4795" s="66" t="str">
        <f t="shared" si="523"/>
        <v/>
      </c>
      <c r="P4795" s="66" t="str">
        <f t="shared" si="524"/>
        <v/>
      </c>
    </row>
    <row r="4796" spans="8:16">
      <c r="H4796" s="66" t="e">
        <f>IF(LEFT(A4796,6)="CEPNTR","GPINS",VLOOKUP(LEFT(A4796,6),'Code Library'!$A$3:$B$920,2,0))&amp;"_"&amp;RIGHT(A4796,3)</f>
        <v>#N/A</v>
      </c>
      <c r="I4796" s="66">
        <f t="shared" si="518"/>
        <v>0</v>
      </c>
      <c r="K4796" s="66" t="str">
        <f t="shared" si="519"/>
        <v/>
      </c>
      <c r="L4796" s="66" t="str">
        <f t="shared" si="520"/>
        <v/>
      </c>
      <c r="M4796" s="66" t="str">
        <f t="shared" si="521"/>
        <v/>
      </c>
      <c r="N4796" s="66" t="str">
        <f t="shared" si="522"/>
        <v/>
      </c>
      <c r="O4796" s="66" t="str">
        <f t="shared" si="523"/>
        <v/>
      </c>
      <c r="P4796" s="66" t="str">
        <f t="shared" si="524"/>
        <v/>
      </c>
    </row>
    <row r="4797" spans="8:16">
      <c r="H4797" s="66" t="e">
        <f>IF(LEFT(A4797,6)="CEPNTR","GPINS",VLOOKUP(LEFT(A4797,6),'Code Library'!$A$3:$B$920,2,0))&amp;"_"&amp;RIGHT(A4797,3)</f>
        <v>#N/A</v>
      </c>
      <c r="I4797" s="66">
        <f t="shared" si="518"/>
        <v>0</v>
      </c>
      <c r="K4797" s="66" t="str">
        <f t="shared" si="519"/>
        <v/>
      </c>
      <c r="L4797" s="66" t="str">
        <f t="shared" si="520"/>
        <v/>
      </c>
      <c r="M4797" s="66" t="str">
        <f t="shared" si="521"/>
        <v/>
      </c>
      <c r="N4797" s="66" t="str">
        <f t="shared" si="522"/>
        <v/>
      </c>
      <c r="O4797" s="66" t="str">
        <f t="shared" si="523"/>
        <v/>
      </c>
      <c r="P4797" s="66" t="str">
        <f t="shared" si="524"/>
        <v/>
      </c>
    </row>
    <row r="4798" spans="8:16">
      <c r="H4798" s="66" t="e">
        <f>IF(LEFT(A4798,6)="CEPNTR","GPINS",VLOOKUP(LEFT(A4798,6),'Code Library'!$A$3:$B$920,2,0))&amp;"_"&amp;RIGHT(A4798,3)</f>
        <v>#N/A</v>
      </c>
      <c r="I4798" s="66">
        <f t="shared" si="518"/>
        <v>0</v>
      </c>
      <c r="K4798" s="66" t="str">
        <f t="shared" si="519"/>
        <v/>
      </c>
      <c r="L4798" s="66" t="str">
        <f t="shared" si="520"/>
        <v/>
      </c>
      <c r="M4798" s="66" t="str">
        <f t="shared" si="521"/>
        <v/>
      </c>
      <c r="N4798" s="66" t="str">
        <f t="shared" si="522"/>
        <v/>
      </c>
      <c r="O4798" s="66" t="str">
        <f t="shared" si="523"/>
        <v/>
      </c>
      <c r="P4798" s="66" t="str">
        <f t="shared" si="524"/>
        <v/>
      </c>
    </row>
    <row r="4799" spans="8:16">
      <c r="H4799" s="66" t="e">
        <f>IF(LEFT(A4799,6)="CEPNTR","GPINS",VLOOKUP(LEFT(A4799,6),'Code Library'!$A$3:$B$920,2,0))&amp;"_"&amp;RIGHT(A4799,3)</f>
        <v>#N/A</v>
      </c>
      <c r="I4799" s="66">
        <f t="shared" si="518"/>
        <v>0</v>
      </c>
      <c r="K4799" s="66" t="str">
        <f t="shared" si="519"/>
        <v/>
      </c>
      <c r="L4799" s="66" t="str">
        <f t="shared" si="520"/>
        <v/>
      </c>
      <c r="M4799" s="66" t="str">
        <f t="shared" si="521"/>
        <v/>
      </c>
      <c r="N4799" s="66" t="str">
        <f t="shared" si="522"/>
        <v/>
      </c>
      <c r="O4799" s="66" t="str">
        <f t="shared" si="523"/>
        <v/>
      </c>
      <c r="P4799" s="66" t="str">
        <f t="shared" si="524"/>
        <v/>
      </c>
    </row>
    <row r="4800" spans="8:16">
      <c r="H4800" s="66" t="e">
        <f>IF(LEFT(A4800,6)="CEPNTR","GPINS",VLOOKUP(LEFT(A4800,6),'Code Library'!$A$3:$B$920,2,0))&amp;"_"&amp;RIGHT(A4800,3)</f>
        <v>#N/A</v>
      </c>
      <c r="I4800" s="66">
        <f t="shared" si="518"/>
        <v>0</v>
      </c>
      <c r="K4800" s="66" t="str">
        <f t="shared" si="519"/>
        <v/>
      </c>
      <c r="L4800" s="66" t="str">
        <f t="shared" si="520"/>
        <v/>
      </c>
      <c r="M4800" s="66" t="str">
        <f t="shared" si="521"/>
        <v/>
      </c>
      <c r="N4800" s="66" t="str">
        <f t="shared" si="522"/>
        <v/>
      </c>
      <c r="O4800" s="66" t="str">
        <f t="shared" si="523"/>
        <v/>
      </c>
      <c r="P4800" s="66" t="str">
        <f t="shared" si="524"/>
        <v/>
      </c>
    </row>
    <row r="4801" spans="8:16">
      <c r="H4801" s="66" t="e">
        <f>IF(LEFT(A4801,6)="CEPNTR","GPINS",VLOOKUP(LEFT(A4801,6),'Code Library'!$A$3:$B$920,2,0))&amp;"_"&amp;RIGHT(A4801,3)</f>
        <v>#N/A</v>
      </c>
      <c r="I4801" s="66">
        <f t="shared" si="518"/>
        <v>0</v>
      </c>
      <c r="K4801" s="66" t="str">
        <f t="shared" si="519"/>
        <v/>
      </c>
      <c r="L4801" s="66" t="str">
        <f t="shared" si="520"/>
        <v/>
      </c>
      <c r="M4801" s="66" t="str">
        <f t="shared" si="521"/>
        <v/>
      </c>
      <c r="N4801" s="66" t="str">
        <f t="shared" si="522"/>
        <v/>
      </c>
      <c r="O4801" s="66" t="str">
        <f t="shared" si="523"/>
        <v/>
      </c>
      <c r="P4801" s="66" t="str">
        <f t="shared" si="524"/>
        <v/>
      </c>
    </row>
    <row r="4802" spans="8:16">
      <c r="H4802" s="66" t="e">
        <f>IF(LEFT(A4802,6)="CEPNTR","GPINS",VLOOKUP(LEFT(A4802,6),'Code Library'!$A$3:$B$920,2,0))&amp;"_"&amp;RIGHT(A4802,3)</f>
        <v>#N/A</v>
      </c>
      <c r="I4802" s="66">
        <f t="shared" si="518"/>
        <v>0</v>
      </c>
      <c r="K4802" s="66" t="str">
        <f t="shared" si="519"/>
        <v/>
      </c>
      <c r="L4802" s="66" t="str">
        <f t="shared" si="520"/>
        <v/>
      </c>
      <c r="M4802" s="66" t="str">
        <f t="shared" si="521"/>
        <v/>
      </c>
      <c r="N4802" s="66" t="str">
        <f t="shared" si="522"/>
        <v/>
      </c>
      <c r="O4802" s="66" t="str">
        <f t="shared" si="523"/>
        <v/>
      </c>
      <c r="P4802" s="66" t="str">
        <f t="shared" si="524"/>
        <v/>
      </c>
    </row>
    <row r="4803" spans="8:16">
      <c r="H4803" s="66" t="e">
        <f>IF(LEFT(A4803,6)="CEPNTR","GPINS",VLOOKUP(LEFT(A4803,6),'Code Library'!$A$3:$B$920,2,0))&amp;"_"&amp;RIGHT(A4803,3)</f>
        <v>#N/A</v>
      </c>
      <c r="I4803" s="66">
        <f t="shared" ref="I4803:I4866" si="525">A4803</f>
        <v>0</v>
      </c>
      <c r="K4803" s="66" t="str">
        <f t="shared" ref="K4803:K4866" si="526">RIGHT($B4803,2)</f>
        <v/>
      </c>
      <c r="L4803" s="66" t="str">
        <f t="shared" ref="L4803:L4866" si="527">LEFT(RIGHT($B4803,7),4)</f>
        <v/>
      </c>
      <c r="M4803" s="66" t="str">
        <f t="shared" ref="M4803:M4866" si="528">LEFT(RIGHT($B4803,10),2)</f>
        <v/>
      </c>
      <c r="N4803" s="66" t="str">
        <f t="shared" ref="N4803:N4866" si="529">LEFT(RIGHT($B4803,14),3)</f>
        <v/>
      </c>
      <c r="O4803" s="66" t="str">
        <f t="shared" ref="O4803:O4866" si="530">LEFT(RIGHT($B4803,16),1)</f>
        <v/>
      </c>
      <c r="P4803" s="66" t="str">
        <f t="shared" ref="P4803:P4866" si="531">LEFT(RIGHT($B4803,19),2)</f>
        <v/>
      </c>
    </row>
    <row r="4804" spans="8:16">
      <c r="H4804" s="66" t="e">
        <f>IF(LEFT(A4804,6)="CEPNTR","GPINS",VLOOKUP(LEFT(A4804,6),'Code Library'!$A$3:$B$920,2,0))&amp;"_"&amp;RIGHT(A4804,3)</f>
        <v>#N/A</v>
      </c>
      <c r="I4804" s="66">
        <f t="shared" si="525"/>
        <v>0</v>
      </c>
      <c r="K4804" s="66" t="str">
        <f t="shared" si="526"/>
        <v/>
      </c>
      <c r="L4804" s="66" t="str">
        <f t="shared" si="527"/>
        <v/>
      </c>
      <c r="M4804" s="66" t="str">
        <f t="shared" si="528"/>
        <v/>
      </c>
      <c r="N4804" s="66" t="str">
        <f t="shared" si="529"/>
        <v/>
      </c>
      <c r="O4804" s="66" t="str">
        <f t="shared" si="530"/>
        <v/>
      </c>
      <c r="P4804" s="66" t="str">
        <f t="shared" si="531"/>
        <v/>
      </c>
    </row>
    <row r="4805" spans="8:16">
      <c r="H4805" s="66" t="e">
        <f>IF(LEFT(A4805,6)="CEPNTR","GPINS",VLOOKUP(LEFT(A4805,6),'Code Library'!$A$3:$B$920,2,0))&amp;"_"&amp;RIGHT(A4805,3)</f>
        <v>#N/A</v>
      </c>
      <c r="I4805" s="66">
        <f t="shared" si="525"/>
        <v>0</v>
      </c>
      <c r="K4805" s="66" t="str">
        <f t="shared" si="526"/>
        <v/>
      </c>
      <c r="L4805" s="66" t="str">
        <f t="shared" si="527"/>
        <v/>
      </c>
      <c r="M4805" s="66" t="str">
        <f t="shared" si="528"/>
        <v/>
      </c>
      <c r="N4805" s="66" t="str">
        <f t="shared" si="529"/>
        <v/>
      </c>
      <c r="O4805" s="66" t="str">
        <f t="shared" si="530"/>
        <v/>
      </c>
      <c r="P4805" s="66" t="str">
        <f t="shared" si="531"/>
        <v/>
      </c>
    </row>
    <row r="4806" spans="8:16">
      <c r="H4806" s="66" t="e">
        <f>IF(LEFT(A4806,6)="CEPNTR","GPINS",VLOOKUP(LEFT(A4806,6),'Code Library'!$A$3:$B$920,2,0))&amp;"_"&amp;RIGHT(A4806,3)</f>
        <v>#N/A</v>
      </c>
      <c r="I4806" s="66">
        <f t="shared" si="525"/>
        <v>0</v>
      </c>
      <c r="K4806" s="66" t="str">
        <f t="shared" si="526"/>
        <v/>
      </c>
      <c r="L4806" s="66" t="str">
        <f t="shared" si="527"/>
        <v/>
      </c>
      <c r="M4806" s="66" t="str">
        <f t="shared" si="528"/>
        <v/>
      </c>
      <c r="N4806" s="66" t="str">
        <f t="shared" si="529"/>
        <v/>
      </c>
      <c r="O4806" s="66" t="str">
        <f t="shared" si="530"/>
        <v/>
      </c>
      <c r="P4806" s="66" t="str">
        <f t="shared" si="531"/>
        <v/>
      </c>
    </row>
    <row r="4807" spans="8:16">
      <c r="H4807" s="66" t="e">
        <f>IF(LEFT(A4807,6)="CEPNTR","GPINS",VLOOKUP(LEFT(A4807,6),'Code Library'!$A$3:$B$920,2,0))&amp;"_"&amp;RIGHT(A4807,3)</f>
        <v>#N/A</v>
      </c>
      <c r="I4807" s="66">
        <f t="shared" si="525"/>
        <v>0</v>
      </c>
      <c r="K4807" s="66" t="str">
        <f t="shared" si="526"/>
        <v/>
      </c>
      <c r="L4807" s="66" t="str">
        <f t="shared" si="527"/>
        <v/>
      </c>
      <c r="M4807" s="66" t="str">
        <f t="shared" si="528"/>
        <v/>
      </c>
      <c r="N4807" s="66" t="str">
        <f t="shared" si="529"/>
        <v/>
      </c>
      <c r="O4807" s="66" t="str">
        <f t="shared" si="530"/>
        <v/>
      </c>
      <c r="P4807" s="66" t="str">
        <f t="shared" si="531"/>
        <v/>
      </c>
    </row>
    <row r="4808" spans="8:16">
      <c r="H4808" s="66" t="e">
        <f>IF(LEFT(A4808,6)="CEPNTR","GPINS",VLOOKUP(LEFT(A4808,6),'Code Library'!$A$3:$B$920,2,0))&amp;"_"&amp;RIGHT(A4808,3)</f>
        <v>#N/A</v>
      </c>
      <c r="I4808" s="66">
        <f t="shared" si="525"/>
        <v>0</v>
      </c>
      <c r="K4808" s="66" t="str">
        <f t="shared" si="526"/>
        <v/>
      </c>
      <c r="L4808" s="66" t="str">
        <f t="shared" si="527"/>
        <v/>
      </c>
      <c r="M4808" s="66" t="str">
        <f t="shared" si="528"/>
        <v/>
      </c>
      <c r="N4808" s="66" t="str">
        <f t="shared" si="529"/>
        <v/>
      </c>
      <c r="O4808" s="66" t="str">
        <f t="shared" si="530"/>
        <v/>
      </c>
      <c r="P4808" s="66" t="str">
        <f t="shared" si="531"/>
        <v/>
      </c>
    </row>
    <row r="4809" spans="8:16">
      <c r="H4809" s="66" t="e">
        <f>IF(LEFT(A4809,6)="CEPNTR","GPINS",VLOOKUP(LEFT(A4809,6),'Code Library'!$A$3:$B$920,2,0))&amp;"_"&amp;RIGHT(A4809,3)</f>
        <v>#N/A</v>
      </c>
      <c r="I4809" s="66">
        <f t="shared" si="525"/>
        <v>0</v>
      </c>
      <c r="K4809" s="66" t="str">
        <f t="shared" si="526"/>
        <v/>
      </c>
      <c r="L4809" s="66" t="str">
        <f t="shared" si="527"/>
        <v/>
      </c>
      <c r="M4809" s="66" t="str">
        <f t="shared" si="528"/>
        <v/>
      </c>
      <c r="N4809" s="66" t="str">
        <f t="shared" si="529"/>
        <v/>
      </c>
      <c r="O4809" s="66" t="str">
        <f t="shared" si="530"/>
        <v/>
      </c>
      <c r="P4809" s="66" t="str">
        <f t="shared" si="531"/>
        <v/>
      </c>
    </row>
    <row r="4810" spans="8:16">
      <c r="H4810" s="66" t="e">
        <f>IF(LEFT(A4810,6)="CEPNTR","GPINS",VLOOKUP(LEFT(A4810,6),'Code Library'!$A$3:$B$920,2,0))&amp;"_"&amp;RIGHT(A4810,3)</f>
        <v>#N/A</v>
      </c>
      <c r="I4810" s="66">
        <f t="shared" si="525"/>
        <v>0</v>
      </c>
      <c r="K4810" s="66" t="str">
        <f t="shared" si="526"/>
        <v/>
      </c>
      <c r="L4810" s="66" t="str">
        <f t="shared" si="527"/>
        <v/>
      </c>
      <c r="M4810" s="66" t="str">
        <f t="shared" si="528"/>
        <v/>
      </c>
      <c r="N4810" s="66" t="str">
        <f t="shared" si="529"/>
        <v/>
      </c>
      <c r="O4810" s="66" t="str">
        <f t="shared" si="530"/>
        <v/>
      </c>
      <c r="P4810" s="66" t="str">
        <f t="shared" si="531"/>
        <v/>
      </c>
    </row>
    <row r="4811" spans="8:16">
      <c r="H4811" s="66" t="e">
        <f>IF(LEFT(A4811,6)="CEPNTR","GPINS",VLOOKUP(LEFT(A4811,6),'Code Library'!$A$3:$B$920,2,0))&amp;"_"&amp;RIGHT(A4811,3)</f>
        <v>#N/A</v>
      </c>
      <c r="I4811" s="66">
        <f t="shared" si="525"/>
        <v>0</v>
      </c>
      <c r="K4811" s="66" t="str">
        <f t="shared" si="526"/>
        <v/>
      </c>
      <c r="L4811" s="66" t="str">
        <f t="shared" si="527"/>
        <v/>
      </c>
      <c r="M4811" s="66" t="str">
        <f t="shared" si="528"/>
        <v/>
      </c>
      <c r="N4811" s="66" t="str">
        <f t="shared" si="529"/>
        <v/>
      </c>
      <c r="O4811" s="66" t="str">
        <f t="shared" si="530"/>
        <v/>
      </c>
      <c r="P4811" s="66" t="str">
        <f t="shared" si="531"/>
        <v/>
      </c>
    </row>
    <row r="4812" spans="8:16">
      <c r="H4812" s="66" t="e">
        <f>IF(LEFT(A4812,6)="CEPNTR","GPINS",VLOOKUP(LEFT(A4812,6),'Code Library'!$A$3:$B$920,2,0))&amp;"_"&amp;RIGHT(A4812,3)</f>
        <v>#N/A</v>
      </c>
      <c r="I4812" s="66">
        <f t="shared" si="525"/>
        <v>0</v>
      </c>
      <c r="K4812" s="66" t="str">
        <f t="shared" si="526"/>
        <v/>
      </c>
      <c r="L4812" s="66" t="str">
        <f t="shared" si="527"/>
        <v/>
      </c>
      <c r="M4812" s="66" t="str">
        <f t="shared" si="528"/>
        <v/>
      </c>
      <c r="N4812" s="66" t="str">
        <f t="shared" si="529"/>
        <v/>
      </c>
      <c r="O4812" s="66" t="str">
        <f t="shared" si="530"/>
        <v/>
      </c>
      <c r="P4812" s="66" t="str">
        <f t="shared" si="531"/>
        <v/>
      </c>
    </row>
    <row r="4813" spans="8:16">
      <c r="H4813" s="66" t="e">
        <f>IF(LEFT(A4813,6)="CEPNTR","GPINS",VLOOKUP(LEFT(A4813,6),'Code Library'!$A$3:$B$920,2,0))&amp;"_"&amp;RIGHT(A4813,3)</f>
        <v>#N/A</v>
      </c>
      <c r="I4813" s="66">
        <f t="shared" si="525"/>
        <v>0</v>
      </c>
      <c r="K4813" s="66" t="str">
        <f t="shared" si="526"/>
        <v/>
      </c>
      <c r="L4813" s="66" t="str">
        <f t="shared" si="527"/>
        <v/>
      </c>
      <c r="M4813" s="66" t="str">
        <f t="shared" si="528"/>
        <v/>
      </c>
      <c r="N4813" s="66" t="str">
        <f t="shared" si="529"/>
        <v/>
      </c>
      <c r="O4813" s="66" t="str">
        <f t="shared" si="530"/>
        <v/>
      </c>
      <c r="P4813" s="66" t="str">
        <f t="shared" si="531"/>
        <v/>
      </c>
    </row>
    <row r="4814" spans="8:16">
      <c r="H4814" s="66" t="e">
        <f>IF(LEFT(A4814,6)="CEPNTR","GPINS",VLOOKUP(LEFT(A4814,6),'Code Library'!$A$3:$B$920,2,0))&amp;"_"&amp;RIGHT(A4814,3)</f>
        <v>#N/A</v>
      </c>
      <c r="I4814" s="66">
        <f t="shared" si="525"/>
        <v>0</v>
      </c>
      <c r="K4814" s="66" t="str">
        <f t="shared" si="526"/>
        <v/>
      </c>
      <c r="L4814" s="66" t="str">
        <f t="shared" si="527"/>
        <v/>
      </c>
      <c r="M4814" s="66" t="str">
        <f t="shared" si="528"/>
        <v/>
      </c>
      <c r="N4814" s="66" t="str">
        <f t="shared" si="529"/>
        <v/>
      </c>
      <c r="O4814" s="66" t="str">
        <f t="shared" si="530"/>
        <v/>
      </c>
      <c r="P4814" s="66" t="str">
        <f t="shared" si="531"/>
        <v/>
      </c>
    </row>
    <row r="4815" spans="8:16">
      <c r="H4815" s="66" t="e">
        <f>IF(LEFT(A4815,6)="CEPNTR","GPINS",VLOOKUP(LEFT(A4815,6),'Code Library'!$A$3:$B$920,2,0))&amp;"_"&amp;RIGHT(A4815,3)</f>
        <v>#N/A</v>
      </c>
      <c r="I4815" s="66">
        <f t="shared" si="525"/>
        <v>0</v>
      </c>
      <c r="K4815" s="66" t="str">
        <f t="shared" si="526"/>
        <v/>
      </c>
      <c r="L4815" s="66" t="str">
        <f t="shared" si="527"/>
        <v/>
      </c>
      <c r="M4815" s="66" t="str">
        <f t="shared" si="528"/>
        <v/>
      </c>
      <c r="N4815" s="66" t="str">
        <f t="shared" si="529"/>
        <v/>
      </c>
      <c r="O4815" s="66" t="str">
        <f t="shared" si="530"/>
        <v/>
      </c>
      <c r="P4815" s="66" t="str">
        <f t="shared" si="531"/>
        <v/>
      </c>
    </row>
    <row r="4816" spans="8:16">
      <c r="H4816" s="66" t="e">
        <f>IF(LEFT(A4816,6)="CEPNTR","GPINS",VLOOKUP(LEFT(A4816,6),'Code Library'!$A$3:$B$920,2,0))&amp;"_"&amp;RIGHT(A4816,3)</f>
        <v>#N/A</v>
      </c>
      <c r="I4816" s="66">
        <f t="shared" si="525"/>
        <v>0</v>
      </c>
      <c r="K4816" s="66" t="str">
        <f t="shared" si="526"/>
        <v/>
      </c>
      <c r="L4816" s="66" t="str">
        <f t="shared" si="527"/>
        <v/>
      </c>
      <c r="M4816" s="66" t="str">
        <f t="shared" si="528"/>
        <v/>
      </c>
      <c r="N4816" s="66" t="str">
        <f t="shared" si="529"/>
        <v/>
      </c>
      <c r="O4816" s="66" t="str">
        <f t="shared" si="530"/>
        <v/>
      </c>
      <c r="P4816" s="66" t="str">
        <f t="shared" si="531"/>
        <v/>
      </c>
    </row>
    <row r="4817" spans="8:16">
      <c r="H4817" s="66" t="e">
        <f>IF(LEFT(A4817,6)="CEPNTR","GPINS",VLOOKUP(LEFT(A4817,6),'Code Library'!$A$3:$B$920,2,0))&amp;"_"&amp;RIGHT(A4817,3)</f>
        <v>#N/A</v>
      </c>
      <c r="I4817" s="66">
        <f t="shared" si="525"/>
        <v>0</v>
      </c>
      <c r="K4817" s="66" t="str">
        <f t="shared" si="526"/>
        <v/>
      </c>
      <c r="L4817" s="66" t="str">
        <f t="shared" si="527"/>
        <v/>
      </c>
      <c r="M4817" s="66" t="str">
        <f t="shared" si="528"/>
        <v/>
      </c>
      <c r="N4817" s="66" t="str">
        <f t="shared" si="529"/>
        <v/>
      </c>
      <c r="O4817" s="66" t="str">
        <f t="shared" si="530"/>
        <v/>
      </c>
      <c r="P4817" s="66" t="str">
        <f t="shared" si="531"/>
        <v/>
      </c>
    </row>
    <row r="4818" spans="8:16">
      <c r="H4818" s="66" t="e">
        <f>IF(LEFT(A4818,6)="CEPNTR","GPINS",VLOOKUP(LEFT(A4818,6),'Code Library'!$A$3:$B$920,2,0))&amp;"_"&amp;RIGHT(A4818,3)</f>
        <v>#N/A</v>
      </c>
      <c r="I4818" s="66">
        <f t="shared" si="525"/>
        <v>0</v>
      </c>
      <c r="K4818" s="66" t="str">
        <f t="shared" si="526"/>
        <v/>
      </c>
      <c r="L4818" s="66" t="str">
        <f t="shared" si="527"/>
        <v/>
      </c>
      <c r="M4818" s="66" t="str">
        <f t="shared" si="528"/>
        <v/>
      </c>
      <c r="N4818" s="66" t="str">
        <f t="shared" si="529"/>
        <v/>
      </c>
      <c r="O4818" s="66" t="str">
        <f t="shared" si="530"/>
        <v/>
      </c>
      <c r="P4818" s="66" t="str">
        <f t="shared" si="531"/>
        <v/>
      </c>
    </row>
    <row r="4819" spans="8:16">
      <c r="H4819" s="66" t="e">
        <f>IF(LEFT(A4819,6)="CEPNTR","GPINS",VLOOKUP(LEFT(A4819,6),'Code Library'!$A$3:$B$920,2,0))&amp;"_"&amp;RIGHT(A4819,3)</f>
        <v>#N/A</v>
      </c>
      <c r="I4819" s="66">
        <f t="shared" si="525"/>
        <v>0</v>
      </c>
      <c r="K4819" s="66" t="str">
        <f t="shared" si="526"/>
        <v/>
      </c>
      <c r="L4819" s="66" t="str">
        <f t="shared" si="527"/>
        <v/>
      </c>
      <c r="M4819" s="66" t="str">
        <f t="shared" si="528"/>
        <v/>
      </c>
      <c r="N4819" s="66" t="str">
        <f t="shared" si="529"/>
        <v/>
      </c>
      <c r="O4819" s="66" t="str">
        <f t="shared" si="530"/>
        <v/>
      </c>
      <c r="P4819" s="66" t="str">
        <f t="shared" si="531"/>
        <v/>
      </c>
    </row>
    <row r="4820" spans="8:16">
      <c r="H4820" s="66" t="e">
        <f>IF(LEFT(A4820,6)="CEPNTR","GPINS",VLOOKUP(LEFT(A4820,6),'Code Library'!$A$3:$B$920,2,0))&amp;"_"&amp;RIGHT(A4820,3)</f>
        <v>#N/A</v>
      </c>
      <c r="I4820" s="66">
        <f t="shared" si="525"/>
        <v>0</v>
      </c>
      <c r="K4820" s="66" t="str">
        <f t="shared" si="526"/>
        <v/>
      </c>
      <c r="L4820" s="66" t="str">
        <f t="shared" si="527"/>
        <v/>
      </c>
      <c r="M4820" s="66" t="str">
        <f t="shared" si="528"/>
        <v/>
      </c>
      <c r="N4820" s="66" t="str">
        <f t="shared" si="529"/>
        <v/>
      </c>
      <c r="O4820" s="66" t="str">
        <f t="shared" si="530"/>
        <v/>
      </c>
      <c r="P4820" s="66" t="str">
        <f t="shared" si="531"/>
        <v/>
      </c>
    </row>
    <row r="4821" spans="8:16">
      <c r="H4821" s="66" t="e">
        <f>IF(LEFT(A4821,6)="CEPNTR","GPINS",VLOOKUP(LEFT(A4821,6),'Code Library'!$A$3:$B$920,2,0))&amp;"_"&amp;RIGHT(A4821,3)</f>
        <v>#N/A</v>
      </c>
      <c r="I4821" s="66">
        <f t="shared" si="525"/>
        <v>0</v>
      </c>
      <c r="K4821" s="66" t="str">
        <f t="shared" si="526"/>
        <v/>
      </c>
      <c r="L4821" s="66" t="str">
        <f t="shared" si="527"/>
        <v/>
      </c>
      <c r="M4821" s="66" t="str">
        <f t="shared" si="528"/>
        <v/>
      </c>
      <c r="N4821" s="66" t="str">
        <f t="shared" si="529"/>
        <v/>
      </c>
      <c r="O4821" s="66" t="str">
        <f t="shared" si="530"/>
        <v/>
      </c>
      <c r="P4821" s="66" t="str">
        <f t="shared" si="531"/>
        <v/>
      </c>
    </row>
    <row r="4822" spans="8:16">
      <c r="H4822" s="66" t="e">
        <f>IF(LEFT(A4822,6)="CEPNTR","GPINS",VLOOKUP(LEFT(A4822,6),'Code Library'!$A$3:$B$920,2,0))&amp;"_"&amp;RIGHT(A4822,3)</f>
        <v>#N/A</v>
      </c>
      <c r="I4822" s="66">
        <f t="shared" si="525"/>
        <v>0</v>
      </c>
      <c r="K4822" s="66" t="str">
        <f t="shared" si="526"/>
        <v/>
      </c>
      <c r="L4822" s="66" t="str">
        <f t="shared" si="527"/>
        <v/>
      </c>
      <c r="M4822" s="66" t="str">
        <f t="shared" si="528"/>
        <v/>
      </c>
      <c r="N4822" s="66" t="str">
        <f t="shared" si="529"/>
        <v/>
      </c>
      <c r="O4822" s="66" t="str">
        <f t="shared" si="530"/>
        <v/>
      </c>
      <c r="P4822" s="66" t="str">
        <f t="shared" si="531"/>
        <v/>
      </c>
    </row>
    <row r="4823" spans="8:16">
      <c r="H4823" s="66" t="e">
        <f>IF(LEFT(A4823,6)="CEPNTR","GPINS",VLOOKUP(LEFT(A4823,6),'Code Library'!$A$3:$B$920,2,0))&amp;"_"&amp;RIGHT(A4823,3)</f>
        <v>#N/A</v>
      </c>
      <c r="I4823" s="66">
        <f t="shared" si="525"/>
        <v>0</v>
      </c>
      <c r="K4823" s="66" t="str">
        <f t="shared" si="526"/>
        <v/>
      </c>
      <c r="L4823" s="66" t="str">
        <f t="shared" si="527"/>
        <v/>
      </c>
      <c r="M4823" s="66" t="str">
        <f t="shared" si="528"/>
        <v/>
      </c>
      <c r="N4823" s="66" t="str">
        <f t="shared" si="529"/>
        <v/>
      </c>
      <c r="O4823" s="66" t="str">
        <f t="shared" si="530"/>
        <v/>
      </c>
      <c r="P4823" s="66" t="str">
        <f t="shared" si="531"/>
        <v/>
      </c>
    </row>
    <row r="4824" spans="8:16">
      <c r="H4824" s="66" t="e">
        <f>IF(LEFT(A4824,6)="CEPNTR","GPINS",VLOOKUP(LEFT(A4824,6),'Code Library'!$A$3:$B$920,2,0))&amp;"_"&amp;RIGHT(A4824,3)</f>
        <v>#N/A</v>
      </c>
      <c r="I4824" s="66">
        <f t="shared" si="525"/>
        <v>0</v>
      </c>
      <c r="K4824" s="66" t="str">
        <f t="shared" si="526"/>
        <v/>
      </c>
      <c r="L4824" s="66" t="str">
        <f t="shared" si="527"/>
        <v/>
      </c>
      <c r="M4824" s="66" t="str">
        <f t="shared" si="528"/>
        <v/>
      </c>
      <c r="N4824" s="66" t="str">
        <f t="shared" si="529"/>
        <v/>
      </c>
      <c r="O4824" s="66" t="str">
        <f t="shared" si="530"/>
        <v/>
      </c>
      <c r="P4824" s="66" t="str">
        <f t="shared" si="531"/>
        <v/>
      </c>
    </row>
    <row r="4825" spans="8:16">
      <c r="H4825" s="66" t="e">
        <f>IF(LEFT(A4825,6)="CEPNTR","GPINS",VLOOKUP(LEFT(A4825,6),'Code Library'!$A$3:$B$920,2,0))&amp;"_"&amp;RIGHT(A4825,3)</f>
        <v>#N/A</v>
      </c>
      <c r="I4825" s="66">
        <f t="shared" si="525"/>
        <v>0</v>
      </c>
      <c r="K4825" s="66" t="str">
        <f t="shared" si="526"/>
        <v/>
      </c>
      <c r="L4825" s="66" t="str">
        <f t="shared" si="527"/>
        <v/>
      </c>
      <c r="M4825" s="66" t="str">
        <f t="shared" si="528"/>
        <v/>
      </c>
      <c r="N4825" s="66" t="str">
        <f t="shared" si="529"/>
        <v/>
      </c>
      <c r="O4825" s="66" t="str">
        <f t="shared" si="530"/>
        <v/>
      </c>
      <c r="P4825" s="66" t="str">
        <f t="shared" si="531"/>
        <v/>
      </c>
    </row>
    <row r="4826" spans="8:16">
      <c r="H4826" s="66" t="e">
        <f>IF(LEFT(A4826,6)="CEPNTR","GPINS",VLOOKUP(LEFT(A4826,6),'Code Library'!$A$3:$B$920,2,0))&amp;"_"&amp;RIGHT(A4826,3)</f>
        <v>#N/A</v>
      </c>
      <c r="I4826" s="66">
        <f t="shared" si="525"/>
        <v>0</v>
      </c>
      <c r="K4826" s="66" t="str">
        <f t="shared" si="526"/>
        <v/>
      </c>
      <c r="L4826" s="66" t="str">
        <f t="shared" si="527"/>
        <v/>
      </c>
      <c r="M4826" s="66" t="str">
        <f t="shared" si="528"/>
        <v/>
      </c>
      <c r="N4826" s="66" t="str">
        <f t="shared" si="529"/>
        <v/>
      </c>
      <c r="O4826" s="66" t="str">
        <f t="shared" si="530"/>
        <v/>
      </c>
      <c r="P4826" s="66" t="str">
        <f t="shared" si="531"/>
        <v/>
      </c>
    </row>
    <row r="4827" spans="8:16">
      <c r="H4827" s="66" t="e">
        <f>IF(LEFT(A4827,6)="CEPNTR","GPINS",VLOOKUP(LEFT(A4827,6),'Code Library'!$A$3:$B$920,2,0))&amp;"_"&amp;RIGHT(A4827,3)</f>
        <v>#N/A</v>
      </c>
      <c r="I4827" s="66">
        <f t="shared" si="525"/>
        <v>0</v>
      </c>
      <c r="K4827" s="66" t="str">
        <f t="shared" si="526"/>
        <v/>
      </c>
      <c r="L4827" s="66" t="str">
        <f t="shared" si="527"/>
        <v/>
      </c>
      <c r="M4827" s="66" t="str">
        <f t="shared" si="528"/>
        <v/>
      </c>
      <c r="N4827" s="66" t="str">
        <f t="shared" si="529"/>
        <v/>
      </c>
      <c r="O4827" s="66" t="str">
        <f t="shared" si="530"/>
        <v/>
      </c>
      <c r="P4827" s="66" t="str">
        <f t="shared" si="531"/>
        <v/>
      </c>
    </row>
    <row r="4828" spans="8:16">
      <c r="H4828" s="66" t="e">
        <f>IF(LEFT(A4828,6)="CEPNTR","GPINS",VLOOKUP(LEFT(A4828,6),'Code Library'!$A$3:$B$920,2,0))&amp;"_"&amp;RIGHT(A4828,3)</f>
        <v>#N/A</v>
      </c>
      <c r="I4828" s="66">
        <f t="shared" si="525"/>
        <v>0</v>
      </c>
      <c r="K4828" s="66" t="str">
        <f t="shared" si="526"/>
        <v/>
      </c>
      <c r="L4828" s="66" t="str">
        <f t="shared" si="527"/>
        <v/>
      </c>
      <c r="M4828" s="66" t="str">
        <f t="shared" si="528"/>
        <v/>
      </c>
      <c r="N4828" s="66" t="str">
        <f t="shared" si="529"/>
        <v/>
      </c>
      <c r="O4828" s="66" t="str">
        <f t="shared" si="530"/>
        <v/>
      </c>
      <c r="P4828" s="66" t="str">
        <f t="shared" si="531"/>
        <v/>
      </c>
    </row>
    <row r="4829" spans="8:16">
      <c r="H4829" s="66" t="e">
        <f>IF(LEFT(A4829,6)="CEPNTR","GPINS",VLOOKUP(LEFT(A4829,6),'Code Library'!$A$3:$B$920,2,0))&amp;"_"&amp;RIGHT(A4829,3)</f>
        <v>#N/A</v>
      </c>
      <c r="I4829" s="66">
        <f t="shared" si="525"/>
        <v>0</v>
      </c>
      <c r="K4829" s="66" t="str">
        <f t="shared" si="526"/>
        <v/>
      </c>
      <c r="L4829" s="66" t="str">
        <f t="shared" si="527"/>
        <v/>
      </c>
      <c r="M4829" s="66" t="str">
        <f t="shared" si="528"/>
        <v/>
      </c>
      <c r="N4829" s="66" t="str">
        <f t="shared" si="529"/>
        <v/>
      </c>
      <c r="O4829" s="66" t="str">
        <f t="shared" si="530"/>
        <v/>
      </c>
      <c r="P4829" s="66" t="str">
        <f t="shared" si="531"/>
        <v/>
      </c>
    </row>
    <row r="4830" spans="8:16">
      <c r="H4830" s="66" t="e">
        <f>IF(LEFT(A4830,6)="CEPNTR","GPINS",VLOOKUP(LEFT(A4830,6),'Code Library'!$A$3:$B$920,2,0))&amp;"_"&amp;RIGHT(A4830,3)</f>
        <v>#N/A</v>
      </c>
      <c r="I4830" s="66">
        <f t="shared" si="525"/>
        <v>0</v>
      </c>
      <c r="K4830" s="66" t="str">
        <f t="shared" si="526"/>
        <v/>
      </c>
      <c r="L4830" s="66" t="str">
        <f t="shared" si="527"/>
        <v/>
      </c>
      <c r="M4830" s="66" t="str">
        <f t="shared" si="528"/>
        <v/>
      </c>
      <c r="N4830" s="66" t="str">
        <f t="shared" si="529"/>
        <v/>
      </c>
      <c r="O4830" s="66" t="str">
        <f t="shared" si="530"/>
        <v/>
      </c>
      <c r="P4830" s="66" t="str">
        <f t="shared" si="531"/>
        <v/>
      </c>
    </row>
    <row r="4831" spans="8:16">
      <c r="H4831" s="66" t="e">
        <f>IF(LEFT(A4831,6)="CEPNTR","GPINS",VLOOKUP(LEFT(A4831,6),'Code Library'!$A$3:$B$920,2,0))&amp;"_"&amp;RIGHT(A4831,3)</f>
        <v>#N/A</v>
      </c>
      <c r="I4831" s="66">
        <f t="shared" si="525"/>
        <v>0</v>
      </c>
      <c r="K4831" s="66" t="str">
        <f t="shared" si="526"/>
        <v/>
      </c>
      <c r="L4831" s="66" t="str">
        <f t="shared" si="527"/>
        <v/>
      </c>
      <c r="M4831" s="66" t="str">
        <f t="shared" si="528"/>
        <v/>
      </c>
      <c r="N4831" s="66" t="str">
        <f t="shared" si="529"/>
        <v/>
      </c>
      <c r="O4831" s="66" t="str">
        <f t="shared" si="530"/>
        <v/>
      </c>
      <c r="P4831" s="66" t="str">
        <f t="shared" si="531"/>
        <v/>
      </c>
    </row>
    <row r="4832" spans="8:16">
      <c r="H4832" s="66" t="e">
        <f>IF(LEFT(A4832,6)="CEPNTR","GPINS",VLOOKUP(LEFT(A4832,6),'Code Library'!$A$3:$B$920,2,0))&amp;"_"&amp;RIGHT(A4832,3)</f>
        <v>#N/A</v>
      </c>
      <c r="I4832" s="66">
        <f t="shared" si="525"/>
        <v>0</v>
      </c>
      <c r="K4832" s="66" t="str">
        <f t="shared" si="526"/>
        <v/>
      </c>
      <c r="L4832" s="66" t="str">
        <f t="shared" si="527"/>
        <v/>
      </c>
      <c r="M4832" s="66" t="str">
        <f t="shared" si="528"/>
        <v/>
      </c>
      <c r="N4832" s="66" t="str">
        <f t="shared" si="529"/>
        <v/>
      </c>
      <c r="O4832" s="66" t="str">
        <f t="shared" si="530"/>
        <v/>
      </c>
      <c r="P4832" s="66" t="str">
        <f t="shared" si="531"/>
        <v/>
      </c>
    </row>
    <row r="4833" spans="8:16">
      <c r="H4833" s="66" t="e">
        <f>IF(LEFT(A4833,6)="CEPNTR","GPINS",VLOOKUP(LEFT(A4833,6),'Code Library'!$A$3:$B$920,2,0))&amp;"_"&amp;RIGHT(A4833,3)</f>
        <v>#N/A</v>
      </c>
      <c r="I4833" s="66">
        <f t="shared" si="525"/>
        <v>0</v>
      </c>
      <c r="K4833" s="66" t="str">
        <f t="shared" si="526"/>
        <v/>
      </c>
      <c r="L4833" s="66" t="str">
        <f t="shared" si="527"/>
        <v/>
      </c>
      <c r="M4833" s="66" t="str">
        <f t="shared" si="528"/>
        <v/>
      </c>
      <c r="N4833" s="66" t="str">
        <f t="shared" si="529"/>
        <v/>
      </c>
      <c r="O4833" s="66" t="str">
        <f t="shared" si="530"/>
        <v/>
      </c>
      <c r="P4833" s="66" t="str">
        <f t="shared" si="531"/>
        <v/>
      </c>
    </row>
    <row r="4834" spans="8:16">
      <c r="H4834" s="66" t="e">
        <f>IF(LEFT(A4834,6)="CEPNTR","GPINS",VLOOKUP(LEFT(A4834,6),'Code Library'!$A$3:$B$920,2,0))&amp;"_"&amp;RIGHT(A4834,3)</f>
        <v>#N/A</v>
      </c>
      <c r="I4834" s="66">
        <f t="shared" si="525"/>
        <v>0</v>
      </c>
      <c r="K4834" s="66" t="str">
        <f t="shared" si="526"/>
        <v/>
      </c>
      <c r="L4834" s="66" t="str">
        <f t="shared" si="527"/>
        <v/>
      </c>
      <c r="M4834" s="66" t="str">
        <f t="shared" si="528"/>
        <v/>
      </c>
      <c r="N4834" s="66" t="str">
        <f t="shared" si="529"/>
        <v/>
      </c>
      <c r="O4834" s="66" t="str">
        <f t="shared" si="530"/>
        <v/>
      </c>
      <c r="P4834" s="66" t="str">
        <f t="shared" si="531"/>
        <v/>
      </c>
    </row>
    <row r="4835" spans="8:16">
      <c r="H4835" s="66" t="e">
        <f>IF(LEFT(A4835,6)="CEPNTR","GPINS",VLOOKUP(LEFT(A4835,6),'Code Library'!$A$3:$B$920,2,0))&amp;"_"&amp;RIGHT(A4835,3)</f>
        <v>#N/A</v>
      </c>
      <c r="I4835" s="66">
        <f t="shared" si="525"/>
        <v>0</v>
      </c>
      <c r="K4835" s="66" t="str">
        <f t="shared" si="526"/>
        <v/>
      </c>
      <c r="L4835" s="66" t="str">
        <f t="shared" si="527"/>
        <v/>
      </c>
      <c r="M4835" s="66" t="str">
        <f t="shared" si="528"/>
        <v/>
      </c>
      <c r="N4835" s="66" t="str">
        <f t="shared" si="529"/>
        <v/>
      </c>
      <c r="O4835" s="66" t="str">
        <f t="shared" si="530"/>
        <v/>
      </c>
      <c r="P4835" s="66" t="str">
        <f t="shared" si="531"/>
        <v/>
      </c>
    </row>
    <row r="4836" spans="8:16">
      <c r="H4836" s="66" t="e">
        <f>IF(LEFT(A4836,6)="CEPNTR","GPINS",VLOOKUP(LEFT(A4836,6),'Code Library'!$A$3:$B$920,2,0))&amp;"_"&amp;RIGHT(A4836,3)</f>
        <v>#N/A</v>
      </c>
      <c r="I4836" s="66">
        <f t="shared" si="525"/>
        <v>0</v>
      </c>
      <c r="K4836" s="66" t="str">
        <f t="shared" si="526"/>
        <v/>
      </c>
      <c r="L4836" s="66" t="str">
        <f t="shared" si="527"/>
        <v/>
      </c>
      <c r="M4836" s="66" t="str">
        <f t="shared" si="528"/>
        <v/>
      </c>
      <c r="N4836" s="66" t="str">
        <f t="shared" si="529"/>
        <v/>
      </c>
      <c r="O4836" s="66" t="str">
        <f t="shared" si="530"/>
        <v/>
      </c>
      <c r="P4836" s="66" t="str">
        <f t="shared" si="531"/>
        <v/>
      </c>
    </row>
    <row r="4837" spans="8:16">
      <c r="H4837" s="66" t="e">
        <f>IF(LEFT(A4837,6)="CEPNTR","GPINS",VLOOKUP(LEFT(A4837,6),'Code Library'!$A$3:$B$920,2,0))&amp;"_"&amp;RIGHT(A4837,3)</f>
        <v>#N/A</v>
      </c>
      <c r="I4837" s="66">
        <f t="shared" si="525"/>
        <v>0</v>
      </c>
      <c r="K4837" s="66" t="str">
        <f t="shared" si="526"/>
        <v/>
      </c>
      <c r="L4837" s="66" t="str">
        <f t="shared" si="527"/>
        <v/>
      </c>
      <c r="M4837" s="66" t="str">
        <f t="shared" si="528"/>
        <v/>
      </c>
      <c r="N4837" s="66" t="str">
        <f t="shared" si="529"/>
        <v/>
      </c>
      <c r="O4837" s="66" t="str">
        <f t="shared" si="530"/>
        <v/>
      </c>
      <c r="P4837" s="66" t="str">
        <f t="shared" si="531"/>
        <v/>
      </c>
    </row>
    <row r="4838" spans="8:16">
      <c r="H4838" s="66" t="e">
        <f>IF(LEFT(A4838,6)="CEPNTR","GPINS",VLOOKUP(LEFT(A4838,6),'Code Library'!$A$3:$B$920,2,0))&amp;"_"&amp;RIGHT(A4838,3)</f>
        <v>#N/A</v>
      </c>
      <c r="I4838" s="66">
        <f t="shared" si="525"/>
        <v>0</v>
      </c>
      <c r="K4838" s="66" t="str">
        <f t="shared" si="526"/>
        <v/>
      </c>
      <c r="L4838" s="66" t="str">
        <f t="shared" si="527"/>
        <v/>
      </c>
      <c r="M4838" s="66" t="str">
        <f t="shared" si="528"/>
        <v/>
      </c>
      <c r="N4838" s="66" t="str">
        <f t="shared" si="529"/>
        <v/>
      </c>
      <c r="O4838" s="66" t="str">
        <f t="shared" si="530"/>
        <v/>
      </c>
      <c r="P4838" s="66" t="str">
        <f t="shared" si="531"/>
        <v/>
      </c>
    </row>
    <row r="4839" spans="8:16">
      <c r="H4839" s="66" t="e">
        <f>IF(LEFT(A4839,6)="CEPNTR","GPINS",VLOOKUP(LEFT(A4839,6),'Code Library'!$A$3:$B$920,2,0))&amp;"_"&amp;RIGHT(A4839,3)</f>
        <v>#N/A</v>
      </c>
      <c r="I4839" s="66">
        <f t="shared" si="525"/>
        <v>0</v>
      </c>
      <c r="K4839" s="66" t="str">
        <f t="shared" si="526"/>
        <v/>
      </c>
      <c r="L4839" s="66" t="str">
        <f t="shared" si="527"/>
        <v/>
      </c>
      <c r="M4839" s="66" t="str">
        <f t="shared" si="528"/>
        <v/>
      </c>
      <c r="N4839" s="66" t="str">
        <f t="shared" si="529"/>
        <v/>
      </c>
      <c r="O4839" s="66" t="str">
        <f t="shared" si="530"/>
        <v/>
      </c>
      <c r="P4839" s="66" t="str">
        <f t="shared" si="531"/>
        <v/>
      </c>
    </row>
    <row r="4840" spans="8:16">
      <c r="H4840" s="66" t="e">
        <f>IF(LEFT(A4840,6)="CEPNTR","GPINS",VLOOKUP(LEFT(A4840,6),'Code Library'!$A$3:$B$920,2,0))&amp;"_"&amp;RIGHT(A4840,3)</f>
        <v>#N/A</v>
      </c>
      <c r="I4840" s="66">
        <f t="shared" si="525"/>
        <v>0</v>
      </c>
      <c r="K4840" s="66" t="str">
        <f t="shared" si="526"/>
        <v/>
      </c>
      <c r="L4840" s="66" t="str">
        <f t="shared" si="527"/>
        <v/>
      </c>
      <c r="M4840" s="66" t="str">
        <f t="shared" si="528"/>
        <v/>
      </c>
      <c r="N4840" s="66" t="str">
        <f t="shared" si="529"/>
        <v/>
      </c>
      <c r="O4840" s="66" t="str">
        <f t="shared" si="530"/>
        <v/>
      </c>
      <c r="P4840" s="66" t="str">
        <f t="shared" si="531"/>
        <v/>
      </c>
    </row>
    <row r="4841" spans="8:16">
      <c r="H4841" s="66" t="e">
        <f>IF(LEFT(A4841,6)="CEPNTR","GPINS",VLOOKUP(LEFT(A4841,6),'Code Library'!$A$3:$B$920,2,0))&amp;"_"&amp;RIGHT(A4841,3)</f>
        <v>#N/A</v>
      </c>
      <c r="I4841" s="66">
        <f t="shared" si="525"/>
        <v>0</v>
      </c>
      <c r="K4841" s="66" t="str">
        <f t="shared" si="526"/>
        <v/>
      </c>
      <c r="L4841" s="66" t="str">
        <f t="shared" si="527"/>
        <v/>
      </c>
      <c r="M4841" s="66" t="str">
        <f t="shared" si="528"/>
        <v/>
      </c>
      <c r="N4841" s="66" t="str">
        <f t="shared" si="529"/>
        <v/>
      </c>
      <c r="O4841" s="66" t="str">
        <f t="shared" si="530"/>
        <v/>
      </c>
      <c r="P4841" s="66" t="str">
        <f t="shared" si="531"/>
        <v/>
      </c>
    </row>
    <row r="4842" spans="8:16">
      <c r="H4842" s="66" t="e">
        <f>IF(LEFT(A4842,6)="CEPNTR","GPINS",VLOOKUP(LEFT(A4842,6),'Code Library'!$A$3:$B$920,2,0))&amp;"_"&amp;RIGHT(A4842,3)</f>
        <v>#N/A</v>
      </c>
      <c r="I4842" s="66">
        <f t="shared" si="525"/>
        <v>0</v>
      </c>
      <c r="K4842" s="66" t="str">
        <f t="shared" si="526"/>
        <v/>
      </c>
      <c r="L4842" s="66" t="str">
        <f t="shared" si="527"/>
        <v/>
      </c>
      <c r="M4842" s="66" t="str">
        <f t="shared" si="528"/>
        <v/>
      </c>
      <c r="N4842" s="66" t="str">
        <f t="shared" si="529"/>
        <v/>
      </c>
      <c r="O4842" s="66" t="str">
        <f t="shared" si="530"/>
        <v/>
      </c>
      <c r="P4842" s="66" t="str">
        <f t="shared" si="531"/>
        <v/>
      </c>
    </row>
    <row r="4843" spans="8:16">
      <c r="H4843" s="66" t="e">
        <f>IF(LEFT(A4843,6)="CEPNTR","GPINS",VLOOKUP(LEFT(A4843,6),'Code Library'!$A$3:$B$920,2,0))&amp;"_"&amp;RIGHT(A4843,3)</f>
        <v>#N/A</v>
      </c>
      <c r="I4843" s="66">
        <f t="shared" si="525"/>
        <v>0</v>
      </c>
      <c r="K4843" s="66" t="str">
        <f t="shared" si="526"/>
        <v/>
      </c>
      <c r="L4843" s="66" t="str">
        <f t="shared" si="527"/>
        <v/>
      </c>
      <c r="M4843" s="66" t="str">
        <f t="shared" si="528"/>
        <v/>
      </c>
      <c r="N4843" s="66" t="str">
        <f t="shared" si="529"/>
        <v/>
      </c>
      <c r="O4843" s="66" t="str">
        <f t="shared" si="530"/>
        <v/>
      </c>
      <c r="P4843" s="66" t="str">
        <f t="shared" si="531"/>
        <v/>
      </c>
    </row>
    <row r="4844" spans="8:16">
      <c r="H4844" s="66" t="e">
        <f>IF(LEFT(A4844,6)="CEPNTR","GPINS",VLOOKUP(LEFT(A4844,6),'Code Library'!$A$3:$B$920,2,0))&amp;"_"&amp;RIGHT(A4844,3)</f>
        <v>#N/A</v>
      </c>
      <c r="I4844" s="66">
        <f t="shared" si="525"/>
        <v>0</v>
      </c>
      <c r="K4844" s="66" t="str">
        <f t="shared" si="526"/>
        <v/>
      </c>
      <c r="L4844" s="66" t="str">
        <f t="shared" si="527"/>
        <v/>
      </c>
      <c r="M4844" s="66" t="str">
        <f t="shared" si="528"/>
        <v/>
      </c>
      <c r="N4844" s="66" t="str">
        <f t="shared" si="529"/>
        <v/>
      </c>
      <c r="O4844" s="66" t="str">
        <f t="shared" si="530"/>
        <v/>
      </c>
      <c r="P4844" s="66" t="str">
        <f t="shared" si="531"/>
        <v/>
      </c>
    </row>
    <row r="4845" spans="8:16">
      <c r="H4845" s="66" t="e">
        <f>IF(LEFT(A4845,6)="CEPNTR","GPINS",VLOOKUP(LEFT(A4845,6),'Code Library'!$A$3:$B$920,2,0))&amp;"_"&amp;RIGHT(A4845,3)</f>
        <v>#N/A</v>
      </c>
      <c r="I4845" s="66">
        <f t="shared" si="525"/>
        <v>0</v>
      </c>
      <c r="K4845" s="66" t="str">
        <f t="shared" si="526"/>
        <v/>
      </c>
      <c r="L4845" s="66" t="str">
        <f t="shared" si="527"/>
        <v/>
      </c>
      <c r="M4845" s="66" t="str">
        <f t="shared" si="528"/>
        <v/>
      </c>
      <c r="N4845" s="66" t="str">
        <f t="shared" si="529"/>
        <v/>
      </c>
      <c r="O4845" s="66" t="str">
        <f t="shared" si="530"/>
        <v/>
      </c>
      <c r="P4845" s="66" t="str">
        <f t="shared" si="531"/>
        <v/>
      </c>
    </row>
    <row r="4846" spans="8:16">
      <c r="H4846" s="66" t="e">
        <f>IF(LEFT(A4846,6)="CEPNTR","GPINS",VLOOKUP(LEFT(A4846,6),'Code Library'!$A$3:$B$920,2,0))&amp;"_"&amp;RIGHT(A4846,3)</f>
        <v>#N/A</v>
      </c>
      <c r="I4846" s="66">
        <f t="shared" si="525"/>
        <v>0</v>
      </c>
      <c r="K4846" s="66" t="str">
        <f t="shared" si="526"/>
        <v/>
      </c>
      <c r="L4846" s="66" t="str">
        <f t="shared" si="527"/>
        <v/>
      </c>
      <c r="M4846" s="66" t="str">
        <f t="shared" si="528"/>
        <v/>
      </c>
      <c r="N4846" s="66" t="str">
        <f t="shared" si="529"/>
        <v/>
      </c>
      <c r="O4846" s="66" t="str">
        <f t="shared" si="530"/>
        <v/>
      </c>
      <c r="P4846" s="66" t="str">
        <f t="shared" si="531"/>
        <v/>
      </c>
    </row>
    <row r="4847" spans="8:16">
      <c r="H4847" s="66" t="e">
        <f>IF(LEFT(A4847,6)="CEPNTR","GPINS",VLOOKUP(LEFT(A4847,6),'Code Library'!$A$3:$B$920,2,0))&amp;"_"&amp;RIGHT(A4847,3)</f>
        <v>#N/A</v>
      </c>
      <c r="I4847" s="66">
        <f t="shared" si="525"/>
        <v>0</v>
      </c>
      <c r="K4847" s="66" t="str">
        <f t="shared" si="526"/>
        <v/>
      </c>
      <c r="L4847" s="66" t="str">
        <f t="shared" si="527"/>
        <v/>
      </c>
      <c r="M4847" s="66" t="str">
        <f t="shared" si="528"/>
        <v/>
      </c>
      <c r="N4847" s="66" t="str">
        <f t="shared" si="529"/>
        <v/>
      </c>
      <c r="O4847" s="66" t="str">
        <f t="shared" si="530"/>
        <v/>
      </c>
      <c r="P4847" s="66" t="str">
        <f t="shared" si="531"/>
        <v/>
      </c>
    </row>
    <row r="4848" spans="8:16">
      <c r="H4848" s="66" t="e">
        <f>IF(LEFT(A4848,6)="CEPNTR","GPINS",VLOOKUP(LEFT(A4848,6),'Code Library'!$A$3:$B$920,2,0))&amp;"_"&amp;RIGHT(A4848,3)</f>
        <v>#N/A</v>
      </c>
      <c r="I4848" s="66">
        <f t="shared" si="525"/>
        <v>0</v>
      </c>
      <c r="K4848" s="66" t="str">
        <f t="shared" si="526"/>
        <v/>
      </c>
      <c r="L4848" s="66" t="str">
        <f t="shared" si="527"/>
        <v/>
      </c>
      <c r="M4848" s="66" t="str">
        <f t="shared" si="528"/>
        <v/>
      </c>
      <c r="N4848" s="66" t="str">
        <f t="shared" si="529"/>
        <v/>
      </c>
      <c r="O4848" s="66" t="str">
        <f t="shared" si="530"/>
        <v/>
      </c>
      <c r="P4848" s="66" t="str">
        <f t="shared" si="531"/>
        <v/>
      </c>
    </row>
    <row r="4849" spans="8:16">
      <c r="H4849" s="66" t="e">
        <f>IF(LEFT(A4849,6)="CEPNTR","GPINS",VLOOKUP(LEFT(A4849,6),'Code Library'!$A$3:$B$920,2,0))&amp;"_"&amp;RIGHT(A4849,3)</f>
        <v>#N/A</v>
      </c>
      <c r="I4849" s="66">
        <f t="shared" si="525"/>
        <v>0</v>
      </c>
      <c r="K4849" s="66" t="str">
        <f t="shared" si="526"/>
        <v/>
      </c>
      <c r="L4849" s="66" t="str">
        <f t="shared" si="527"/>
        <v/>
      </c>
      <c r="M4849" s="66" t="str">
        <f t="shared" si="528"/>
        <v/>
      </c>
      <c r="N4849" s="66" t="str">
        <f t="shared" si="529"/>
        <v/>
      </c>
      <c r="O4849" s="66" t="str">
        <f t="shared" si="530"/>
        <v/>
      </c>
      <c r="P4849" s="66" t="str">
        <f t="shared" si="531"/>
        <v/>
      </c>
    </row>
    <row r="4850" spans="8:16">
      <c r="H4850" s="66" t="e">
        <f>IF(LEFT(A4850,6)="CEPNTR","GPINS",VLOOKUP(LEFT(A4850,6),'Code Library'!$A$3:$B$920,2,0))&amp;"_"&amp;RIGHT(A4850,3)</f>
        <v>#N/A</v>
      </c>
      <c r="I4850" s="66">
        <f t="shared" si="525"/>
        <v>0</v>
      </c>
      <c r="K4850" s="66" t="str">
        <f t="shared" si="526"/>
        <v/>
      </c>
      <c r="L4850" s="66" t="str">
        <f t="shared" si="527"/>
        <v/>
      </c>
      <c r="M4850" s="66" t="str">
        <f t="shared" si="528"/>
        <v/>
      </c>
      <c r="N4850" s="66" t="str">
        <f t="shared" si="529"/>
        <v/>
      </c>
      <c r="O4850" s="66" t="str">
        <f t="shared" si="530"/>
        <v/>
      </c>
      <c r="P4850" s="66" t="str">
        <f t="shared" si="531"/>
        <v/>
      </c>
    </row>
    <row r="4851" spans="8:16">
      <c r="H4851" s="66" t="e">
        <f>IF(LEFT(A4851,6)="CEPNTR","GPINS",VLOOKUP(LEFT(A4851,6),'Code Library'!$A$3:$B$920,2,0))&amp;"_"&amp;RIGHT(A4851,3)</f>
        <v>#N/A</v>
      </c>
      <c r="I4851" s="66">
        <f t="shared" si="525"/>
        <v>0</v>
      </c>
      <c r="K4851" s="66" t="str">
        <f t="shared" si="526"/>
        <v/>
      </c>
      <c r="L4851" s="66" t="str">
        <f t="shared" si="527"/>
        <v/>
      </c>
      <c r="M4851" s="66" t="str">
        <f t="shared" si="528"/>
        <v/>
      </c>
      <c r="N4851" s="66" t="str">
        <f t="shared" si="529"/>
        <v/>
      </c>
      <c r="O4851" s="66" t="str">
        <f t="shared" si="530"/>
        <v/>
      </c>
      <c r="P4851" s="66" t="str">
        <f t="shared" si="531"/>
        <v/>
      </c>
    </row>
    <row r="4852" spans="8:16">
      <c r="H4852" s="66" t="e">
        <f>IF(LEFT(A4852,6)="CEPNTR","GPINS",VLOOKUP(LEFT(A4852,6),'Code Library'!$A$3:$B$920,2,0))&amp;"_"&amp;RIGHT(A4852,3)</f>
        <v>#N/A</v>
      </c>
      <c r="I4852" s="66">
        <f t="shared" si="525"/>
        <v>0</v>
      </c>
      <c r="K4852" s="66" t="str">
        <f t="shared" si="526"/>
        <v/>
      </c>
      <c r="L4852" s="66" t="str">
        <f t="shared" si="527"/>
        <v/>
      </c>
      <c r="M4852" s="66" t="str">
        <f t="shared" si="528"/>
        <v/>
      </c>
      <c r="N4852" s="66" t="str">
        <f t="shared" si="529"/>
        <v/>
      </c>
      <c r="O4852" s="66" t="str">
        <f t="shared" si="530"/>
        <v/>
      </c>
      <c r="P4852" s="66" t="str">
        <f t="shared" si="531"/>
        <v/>
      </c>
    </row>
    <row r="4853" spans="8:16">
      <c r="H4853" s="66" t="e">
        <f>IF(LEFT(A4853,6)="CEPNTR","GPINS",VLOOKUP(LEFT(A4853,6),'Code Library'!$A$3:$B$920,2,0))&amp;"_"&amp;RIGHT(A4853,3)</f>
        <v>#N/A</v>
      </c>
      <c r="I4853" s="66">
        <f t="shared" si="525"/>
        <v>0</v>
      </c>
      <c r="K4853" s="66" t="str">
        <f t="shared" si="526"/>
        <v/>
      </c>
      <c r="L4853" s="66" t="str">
        <f t="shared" si="527"/>
        <v/>
      </c>
      <c r="M4853" s="66" t="str">
        <f t="shared" si="528"/>
        <v/>
      </c>
      <c r="N4853" s="66" t="str">
        <f t="shared" si="529"/>
        <v/>
      </c>
      <c r="O4853" s="66" t="str">
        <f t="shared" si="530"/>
        <v/>
      </c>
      <c r="P4853" s="66" t="str">
        <f t="shared" si="531"/>
        <v/>
      </c>
    </row>
    <row r="4854" spans="8:16">
      <c r="H4854" s="66" t="e">
        <f>IF(LEFT(A4854,6)="CEPNTR","GPINS",VLOOKUP(LEFT(A4854,6),'Code Library'!$A$3:$B$920,2,0))&amp;"_"&amp;RIGHT(A4854,3)</f>
        <v>#N/A</v>
      </c>
      <c r="I4854" s="66">
        <f t="shared" si="525"/>
        <v>0</v>
      </c>
      <c r="K4854" s="66" t="str">
        <f t="shared" si="526"/>
        <v/>
      </c>
      <c r="L4854" s="66" t="str">
        <f t="shared" si="527"/>
        <v/>
      </c>
      <c r="M4854" s="66" t="str">
        <f t="shared" si="528"/>
        <v/>
      </c>
      <c r="N4854" s="66" t="str">
        <f t="shared" si="529"/>
        <v/>
      </c>
      <c r="O4854" s="66" t="str">
        <f t="shared" si="530"/>
        <v/>
      </c>
      <c r="P4854" s="66" t="str">
        <f t="shared" si="531"/>
        <v/>
      </c>
    </row>
    <row r="4855" spans="8:16">
      <c r="H4855" s="66" t="e">
        <f>IF(LEFT(A4855,6)="CEPNTR","GPINS",VLOOKUP(LEFT(A4855,6),'Code Library'!$A$3:$B$920,2,0))&amp;"_"&amp;RIGHT(A4855,3)</f>
        <v>#N/A</v>
      </c>
      <c r="I4855" s="66">
        <f t="shared" si="525"/>
        <v>0</v>
      </c>
      <c r="K4855" s="66" t="str">
        <f t="shared" si="526"/>
        <v/>
      </c>
      <c r="L4855" s="66" t="str">
        <f t="shared" si="527"/>
        <v/>
      </c>
      <c r="M4855" s="66" t="str">
        <f t="shared" si="528"/>
        <v/>
      </c>
      <c r="N4855" s="66" t="str">
        <f t="shared" si="529"/>
        <v/>
      </c>
      <c r="O4855" s="66" t="str">
        <f t="shared" si="530"/>
        <v/>
      </c>
      <c r="P4855" s="66" t="str">
        <f t="shared" si="531"/>
        <v/>
      </c>
    </row>
    <row r="4856" spans="8:16">
      <c r="H4856" s="66" t="e">
        <f>IF(LEFT(A4856,6)="CEPNTR","GPINS",VLOOKUP(LEFT(A4856,6),'Code Library'!$A$3:$B$920,2,0))&amp;"_"&amp;RIGHT(A4856,3)</f>
        <v>#N/A</v>
      </c>
      <c r="I4856" s="66">
        <f t="shared" si="525"/>
        <v>0</v>
      </c>
      <c r="K4856" s="66" t="str">
        <f t="shared" si="526"/>
        <v/>
      </c>
      <c r="L4856" s="66" t="str">
        <f t="shared" si="527"/>
        <v/>
      </c>
      <c r="M4856" s="66" t="str">
        <f t="shared" si="528"/>
        <v/>
      </c>
      <c r="N4856" s="66" t="str">
        <f t="shared" si="529"/>
        <v/>
      </c>
      <c r="O4856" s="66" t="str">
        <f t="shared" si="530"/>
        <v/>
      </c>
      <c r="P4856" s="66" t="str">
        <f t="shared" si="531"/>
        <v/>
      </c>
    </row>
    <row r="4857" spans="8:16">
      <c r="H4857" s="66" t="e">
        <f>IF(LEFT(A4857,6)="CEPNTR","GPINS",VLOOKUP(LEFT(A4857,6),'Code Library'!$A$3:$B$920,2,0))&amp;"_"&amp;RIGHT(A4857,3)</f>
        <v>#N/A</v>
      </c>
      <c r="I4857" s="66">
        <f t="shared" si="525"/>
        <v>0</v>
      </c>
      <c r="K4857" s="66" t="str">
        <f t="shared" si="526"/>
        <v/>
      </c>
      <c r="L4857" s="66" t="str">
        <f t="shared" si="527"/>
        <v/>
      </c>
      <c r="M4857" s="66" t="str">
        <f t="shared" si="528"/>
        <v/>
      </c>
      <c r="N4857" s="66" t="str">
        <f t="shared" si="529"/>
        <v/>
      </c>
      <c r="O4857" s="66" t="str">
        <f t="shared" si="530"/>
        <v/>
      </c>
      <c r="P4857" s="66" t="str">
        <f t="shared" si="531"/>
        <v/>
      </c>
    </row>
    <row r="4858" spans="8:16">
      <c r="H4858" s="66" t="e">
        <f>IF(LEFT(A4858,6)="CEPNTR","GPINS",VLOOKUP(LEFT(A4858,6),'Code Library'!$A$3:$B$920,2,0))&amp;"_"&amp;RIGHT(A4858,3)</f>
        <v>#N/A</v>
      </c>
      <c r="I4858" s="66">
        <f t="shared" si="525"/>
        <v>0</v>
      </c>
      <c r="K4858" s="66" t="str">
        <f t="shared" si="526"/>
        <v/>
      </c>
      <c r="L4858" s="66" t="str">
        <f t="shared" si="527"/>
        <v/>
      </c>
      <c r="M4858" s="66" t="str">
        <f t="shared" si="528"/>
        <v/>
      </c>
      <c r="N4858" s="66" t="str">
        <f t="shared" si="529"/>
        <v/>
      </c>
      <c r="O4858" s="66" t="str">
        <f t="shared" si="530"/>
        <v/>
      </c>
      <c r="P4858" s="66" t="str">
        <f t="shared" si="531"/>
        <v/>
      </c>
    </row>
    <row r="4859" spans="8:16">
      <c r="H4859" s="66" t="e">
        <f>IF(LEFT(A4859,6)="CEPNTR","GPINS",VLOOKUP(LEFT(A4859,6),'Code Library'!$A$3:$B$920,2,0))&amp;"_"&amp;RIGHT(A4859,3)</f>
        <v>#N/A</v>
      </c>
      <c r="I4859" s="66">
        <f t="shared" si="525"/>
        <v>0</v>
      </c>
      <c r="K4859" s="66" t="str">
        <f t="shared" si="526"/>
        <v/>
      </c>
      <c r="L4859" s="66" t="str">
        <f t="shared" si="527"/>
        <v/>
      </c>
      <c r="M4859" s="66" t="str">
        <f t="shared" si="528"/>
        <v/>
      </c>
      <c r="N4859" s="66" t="str">
        <f t="shared" si="529"/>
        <v/>
      </c>
      <c r="O4859" s="66" t="str">
        <f t="shared" si="530"/>
        <v/>
      </c>
      <c r="P4859" s="66" t="str">
        <f t="shared" si="531"/>
        <v/>
      </c>
    </row>
    <row r="4860" spans="8:16">
      <c r="H4860" s="66" t="e">
        <f>IF(LEFT(A4860,6)="CEPNTR","GPINS",VLOOKUP(LEFT(A4860,6),'Code Library'!$A$3:$B$920,2,0))&amp;"_"&amp;RIGHT(A4860,3)</f>
        <v>#N/A</v>
      </c>
      <c r="I4860" s="66">
        <f t="shared" si="525"/>
        <v>0</v>
      </c>
      <c r="K4860" s="66" t="str">
        <f t="shared" si="526"/>
        <v/>
      </c>
      <c r="L4860" s="66" t="str">
        <f t="shared" si="527"/>
        <v/>
      </c>
      <c r="M4860" s="66" t="str">
        <f t="shared" si="528"/>
        <v/>
      </c>
      <c r="N4860" s="66" t="str">
        <f t="shared" si="529"/>
        <v/>
      </c>
      <c r="O4860" s="66" t="str">
        <f t="shared" si="530"/>
        <v/>
      </c>
      <c r="P4860" s="66" t="str">
        <f t="shared" si="531"/>
        <v/>
      </c>
    </row>
    <row r="4861" spans="8:16">
      <c r="H4861" s="66" t="e">
        <f>IF(LEFT(A4861,6)="CEPNTR","GPINS",VLOOKUP(LEFT(A4861,6),'Code Library'!$A$3:$B$920,2,0))&amp;"_"&amp;RIGHT(A4861,3)</f>
        <v>#N/A</v>
      </c>
      <c r="I4861" s="66">
        <f t="shared" si="525"/>
        <v>0</v>
      </c>
      <c r="K4861" s="66" t="str">
        <f t="shared" si="526"/>
        <v/>
      </c>
      <c r="L4861" s="66" t="str">
        <f t="shared" si="527"/>
        <v/>
      </c>
      <c r="M4861" s="66" t="str">
        <f t="shared" si="528"/>
        <v/>
      </c>
      <c r="N4861" s="66" t="str">
        <f t="shared" si="529"/>
        <v/>
      </c>
      <c r="O4861" s="66" t="str">
        <f t="shared" si="530"/>
        <v/>
      </c>
      <c r="P4861" s="66" t="str">
        <f t="shared" si="531"/>
        <v/>
      </c>
    </row>
    <row r="4862" spans="8:16">
      <c r="H4862" s="66" t="e">
        <f>IF(LEFT(A4862,6)="CEPNTR","GPINS",VLOOKUP(LEFT(A4862,6),'Code Library'!$A$3:$B$920,2,0))&amp;"_"&amp;RIGHT(A4862,3)</f>
        <v>#N/A</v>
      </c>
      <c r="I4862" s="66">
        <f t="shared" si="525"/>
        <v>0</v>
      </c>
      <c r="K4862" s="66" t="str">
        <f t="shared" si="526"/>
        <v/>
      </c>
      <c r="L4862" s="66" t="str">
        <f t="shared" si="527"/>
        <v/>
      </c>
      <c r="M4862" s="66" t="str">
        <f t="shared" si="528"/>
        <v/>
      </c>
      <c r="N4862" s="66" t="str">
        <f t="shared" si="529"/>
        <v/>
      </c>
      <c r="O4862" s="66" t="str">
        <f t="shared" si="530"/>
        <v/>
      </c>
      <c r="P4862" s="66" t="str">
        <f t="shared" si="531"/>
        <v/>
      </c>
    </row>
    <row r="4863" spans="8:16">
      <c r="H4863" s="66" t="e">
        <f>IF(LEFT(A4863,6)="CEPNTR","GPINS",VLOOKUP(LEFT(A4863,6),'Code Library'!$A$3:$B$920,2,0))&amp;"_"&amp;RIGHT(A4863,3)</f>
        <v>#N/A</v>
      </c>
      <c r="I4863" s="66">
        <f t="shared" si="525"/>
        <v>0</v>
      </c>
      <c r="K4863" s="66" t="str">
        <f t="shared" si="526"/>
        <v/>
      </c>
      <c r="L4863" s="66" t="str">
        <f t="shared" si="527"/>
        <v/>
      </c>
      <c r="M4863" s="66" t="str">
        <f t="shared" si="528"/>
        <v/>
      </c>
      <c r="N4863" s="66" t="str">
        <f t="shared" si="529"/>
        <v/>
      </c>
      <c r="O4863" s="66" t="str">
        <f t="shared" si="530"/>
        <v/>
      </c>
      <c r="P4863" s="66" t="str">
        <f t="shared" si="531"/>
        <v/>
      </c>
    </row>
    <row r="4864" spans="8:16">
      <c r="H4864" s="66" t="e">
        <f>IF(LEFT(A4864,6)="CEPNTR","GPINS",VLOOKUP(LEFT(A4864,6),'Code Library'!$A$3:$B$920,2,0))&amp;"_"&amp;RIGHT(A4864,3)</f>
        <v>#N/A</v>
      </c>
      <c r="I4864" s="66">
        <f t="shared" si="525"/>
        <v>0</v>
      </c>
      <c r="K4864" s="66" t="str">
        <f t="shared" si="526"/>
        <v/>
      </c>
      <c r="L4864" s="66" t="str">
        <f t="shared" si="527"/>
        <v/>
      </c>
      <c r="M4864" s="66" t="str">
        <f t="shared" si="528"/>
        <v/>
      </c>
      <c r="N4864" s="66" t="str">
        <f t="shared" si="529"/>
        <v/>
      </c>
      <c r="O4864" s="66" t="str">
        <f t="shared" si="530"/>
        <v/>
      </c>
      <c r="P4864" s="66" t="str">
        <f t="shared" si="531"/>
        <v/>
      </c>
    </row>
    <row r="4865" spans="8:16">
      <c r="H4865" s="66" t="e">
        <f>IF(LEFT(A4865,6)="CEPNTR","GPINS",VLOOKUP(LEFT(A4865,6),'Code Library'!$A$3:$B$920,2,0))&amp;"_"&amp;RIGHT(A4865,3)</f>
        <v>#N/A</v>
      </c>
      <c r="I4865" s="66">
        <f t="shared" si="525"/>
        <v>0</v>
      </c>
      <c r="K4865" s="66" t="str">
        <f t="shared" si="526"/>
        <v/>
      </c>
      <c r="L4865" s="66" t="str">
        <f t="shared" si="527"/>
        <v/>
      </c>
      <c r="M4865" s="66" t="str">
        <f t="shared" si="528"/>
        <v/>
      </c>
      <c r="N4865" s="66" t="str">
        <f t="shared" si="529"/>
        <v/>
      </c>
      <c r="O4865" s="66" t="str">
        <f t="shared" si="530"/>
        <v/>
      </c>
      <c r="P4865" s="66" t="str">
        <f t="shared" si="531"/>
        <v/>
      </c>
    </row>
    <row r="4866" spans="8:16">
      <c r="H4866" s="66" t="e">
        <f>IF(LEFT(A4866,6)="CEPNTR","GPINS",VLOOKUP(LEFT(A4866,6),'Code Library'!$A$3:$B$920,2,0))&amp;"_"&amp;RIGHT(A4866,3)</f>
        <v>#N/A</v>
      </c>
      <c r="I4866" s="66">
        <f t="shared" si="525"/>
        <v>0</v>
      </c>
      <c r="K4866" s="66" t="str">
        <f t="shared" si="526"/>
        <v/>
      </c>
      <c r="L4866" s="66" t="str">
        <f t="shared" si="527"/>
        <v/>
      </c>
      <c r="M4866" s="66" t="str">
        <f t="shared" si="528"/>
        <v/>
      </c>
      <c r="N4866" s="66" t="str">
        <f t="shared" si="529"/>
        <v/>
      </c>
      <c r="O4866" s="66" t="str">
        <f t="shared" si="530"/>
        <v/>
      </c>
      <c r="P4866" s="66" t="str">
        <f t="shared" si="531"/>
        <v/>
      </c>
    </row>
    <row r="4867" spans="8:16">
      <c r="H4867" s="66" t="e">
        <f>IF(LEFT(A4867,6)="CEPNTR","GPINS",VLOOKUP(LEFT(A4867,6),'Code Library'!$A$3:$B$920,2,0))&amp;"_"&amp;RIGHT(A4867,3)</f>
        <v>#N/A</v>
      </c>
      <c r="I4867" s="66">
        <f t="shared" ref="I4867:I4930" si="532">A4867</f>
        <v>0</v>
      </c>
      <c r="K4867" s="66" t="str">
        <f t="shared" ref="K4867:K4930" si="533">RIGHT($B4867,2)</f>
        <v/>
      </c>
      <c r="L4867" s="66" t="str">
        <f t="shared" ref="L4867:L4930" si="534">LEFT(RIGHT($B4867,7),4)</f>
        <v/>
      </c>
      <c r="M4867" s="66" t="str">
        <f t="shared" ref="M4867:M4930" si="535">LEFT(RIGHT($B4867,10),2)</f>
        <v/>
      </c>
      <c r="N4867" s="66" t="str">
        <f t="shared" ref="N4867:N4930" si="536">LEFT(RIGHT($B4867,14),3)</f>
        <v/>
      </c>
      <c r="O4867" s="66" t="str">
        <f t="shared" ref="O4867:O4930" si="537">LEFT(RIGHT($B4867,16),1)</f>
        <v/>
      </c>
      <c r="P4867" s="66" t="str">
        <f t="shared" ref="P4867:P4930" si="538">LEFT(RIGHT($B4867,19),2)</f>
        <v/>
      </c>
    </row>
    <row r="4868" spans="8:16">
      <c r="H4868" s="66" t="e">
        <f>IF(LEFT(A4868,6)="CEPNTR","GPINS",VLOOKUP(LEFT(A4868,6),'Code Library'!$A$3:$B$920,2,0))&amp;"_"&amp;RIGHT(A4868,3)</f>
        <v>#N/A</v>
      </c>
      <c r="I4868" s="66">
        <f t="shared" si="532"/>
        <v>0</v>
      </c>
      <c r="K4868" s="66" t="str">
        <f t="shared" si="533"/>
        <v/>
      </c>
      <c r="L4868" s="66" t="str">
        <f t="shared" si="534"/>
        <v/>
      </c>
      <c r="M4868" s="66" t="str">
        <f t="shared" si="535"/>
        <v/>
      </c>
      <c r="N4868" s="66" t="str">
        <f t="shared" si="536"/>
        <v/>
      </c>
      <c r="O4868" s="66" t="str">
        <f t="shared" si="537"/>
        <v/>
      </c>
      <c r="P4868" s="66" t="str">
        <f t="shared" si="538"/>
        <v/>
      </c>
    </row>
    <row r="4869" spans="8:16">
      <c r="H4869" s="66" t="e">
        <f>IF(LEFT(A4869,6)="CEPNTR","GPINS",VLOOKUP(LEFT(A4869,6),'Code Library'!$A$3:$B$920,2,0))&amp;"_"&amp;RIGHT(A4869,3)</f>
        <v>#N/A</v>
      </c>
      <c r="I4869" s="66">
        <f t="shared" si="532"/>
        <v>0</v>
      </c>
      <c r="K4869" s="66" t="str">
        <f t="shared" si="533"/>
        <v/>
      </c>
      <c r="L4869" s="66" t="str">
        <f t="shared" si="534"/>
        <v/>
      </c>
      <c r="M4869" s="66" t="str">
        <f t="shared" si="535"/>
        <v/>
      </c>
      <c r="N4869" s="66" t="str">
        <f t="shared" si="536"/>
        <v/>
      </c>
      <c r="O4869" s="66" t="str">
        <f t="shared" si="537"/>
        <v/>
      </c>
      <c r="P4869" s="66" t="str">
        <f t="shared" si="538"/>
        <v/>
      </c>
    </row>
    <row r="4870" spans="8:16">
      <c r="H4870" s="66" t="e">
        <f>IF(LEFT(A4870,6)="CEPNTR","GPINS",VLOOKUP(LEFT(A4870,6),'Code Library'!$A$3:$B$920,2,0))&amp;"_"&amp;RIGHT(A4870,3)</f>
        <v>#N/A</v>
      </c>
      <c r="I4870" s="66">
        <f t="shared" si="532"/>
        <v>0</v>
      </c>
      <c r="K4870" s="66" t="str">
        <f t="shared" si="533"/>
        <v/>
      </c>
      <c r="L4870" s="66" t="str">
        <f t="shared" si="534"/>
        <v/>
      </c>
      <c r="M4870" s="66" t="str">
        <f t="shared" si="535"/>
        <v/>
      </c>
      <c r="N4870" s="66" t="str">
        <f t="shared" si="536"/>
        <v/>
      </c>
      <c r="O4870" s="66" t="str">
        <f t="shared" si="537"/>
        <v/>
      </c>
      <c r="P4870" s="66" t="str">
        <f t="shared" si="538"/>
        <v/>
      </c>
    </row>
    <row r="4871" spans="8:16">
      <c r="H4871" s="66" t="e">
        <f>IF(LEFT(A4871,6)="CEPNTR","GPINS",VLOOKUP(LEFT(A4871,6),'Code Library'!$A$3:$B$920,2,0))&amp;"_"&amp;RIGHT(A4871,3)</f>
        <v>#N/A</v>
      </c>
      <c r="I4871" s="66">
        <f t="shared" si="532"/>
        <v>0</v>
      </c>
      <c r="K4871" s="66" t="str">
        <f t="shared" si="533"/>
        <v/>
      </c>
      <c r="L4871" s="66" t="str">
        <f t="shared" si="534"/>
        <v/>
      </c>
      <c r="M4871" s="66" t="str">
        <f t="shared" si="535"/>
        <v/>
      </c>
      <c r="N4871" s="66" t="str">
        <f t="shared" si="536"/>
        <v/>
      </c>
      <c r="O4871" s="66" t="str">
        <f t="shared" si="537"/>
        <v/>
      </c>
      <c r="P4871" s="66" t="str">
        <f t="shared" si="538"/>
        <v/>
      </c>
    </row>
    <row r="4872" spans="8:16">
      <c r="H4872" s="66" t="e">
        <f>IF(LEFT(A4872,6)="CEPNTR","GPINS",VLOOKUP(LEFT(A4872,6),'Code Library'!$A$3:$B$920,2,0))&amp;"_"&amp;RIGHT(A4872,3)</f>
        <v>#N/A</v>
      </c>
      <c r="I4872" s="66">
        <f t="shared" si="532"/>
        <v>0</v>
      </c>
      <c r="K4872" s="66" t="str">
        <f t="shared" si="533"/>
        <v/>
      </c>
      <c r="L4872" s="66" t="str">
        <f t="shared" si="534"/>
        <v/>
      </c>
      <c r="M4872" s="66" t="str">
        <f t="shared" si="535"/>
        <v/>
      </c>
      <c r="N4872" s="66" t="str">
        <f t="shared" si="536"/>
        <v/>
      </c>
      <c r="O4872" s="66" t="str">
        <f t="shared" si="537"/>
        <v/>
      </c>
      <c r="P4872" s="66" t="str">
        <f t="shared" si="538"/>
        <v/>
      </c>
    </row>
    <row r="4873" spans="8:16">
      <c r="H4873" s="66" t="e">
        <f>IF(LEFT(A4873,6)="CEPNTR","GPINS",VLOOKUP(LEFT(A4873,6),'Code Library'!$A$3:$B$920,2,0))&amp;"_"&amp;RIGHT(A4873,3)</f>
        <v>#N/A</v>
      </c>
      <c r="I4873" s="66">
        <f t="shared" si="532"/>
        <v>0</v>
      </c>
      <c r="K4873" s="66" t="str">
        <f t="shared" si="533"/>
        <v/>
      </c>
      <c r="L4873" s="66" t="str">
        <f t="shared" si="534"/>
        <v/>
      </c>
      <c r="M4873" s="66" t="str">
        <f t="shared" si="535"/>
        <v/>
      </c>
      <c r="N4873" s="66" t="str">
        <f t="shared" si="536"/>
        <v/>
      </c>
      <c r="O4873" s="66" t="str">
        <f t="shared" si="537"/>
        <v/>
      </c>
      <c r="P4873" s="66" t="str">
        <f t="shared" si="538"/>
        <v/>
      </c>
    </row>
    <row r="4874" spans="8:16">
      <c r="H4874" s="66" t="e">
        <f>IF(LEFT(A4874,6)="CEPNTR","GPINS",VLOOKUP(LEFT(A4874,6),'Code Library'!$A$3:$B$920,2,0))&amp;"_"&amp;RIGHT(A4874,3)</f>
        <v>#N/A</v>
      </c>
      <c r="I4874" s="66">
        <f t="shared" si="532"/>
        <v>0</v>
      </c>
      <c r="K4874" s="66" t="str">
        <f t="shared" si="533"/>
        <v/>
      </c>
      <c r="L4874" s="66" t="str">
        <f t="shared" si="534"/>
        <v/>
      </c>
      <c r="M4874" s="66" t="str">
        <f t="shared" si="535"/>
        <v/>
      </c>
      <c r="N4874" s="66" t="str">
        <f t="shared" si="536"/>
        <v/>
      </c>
      <c r="O4874" s="66" t="str">
        <f t="shared" si="537"/>
        <v/>
      </c>
      <c r="P4874" s="66" t="str">
        <f t="shared" si="538"/>
        <v/>
      </c>
    </row>
    <row r="4875" spans="8:16">
      <c r="H4875" s="66" t="e">
        <f>IF(LEFT(A4875,6)="CEPNTR","GPINS",VLOOKUP(LEFT(A4875,6),'Code Library'!$A$3:$B$920,2,0))&amp;"_"&amp;RIGHT(A4875,3)</f>
        <v>#N/A</v>
      </c>
      <c r="I4875" s="66">
        <f t="shared" si="532"/>
        <v>0</v>
      </c>
      <c r="K4875" s="66" t="str">
        <f t="shared" si="533"/>
        <v/>
      </c>
      <c r="L4875" s="66" t="str">
        <f t="shared" si="534"/>
        <v/>
      </c>
      <c r="M4875" s="66" t="str">
        <f t="shared" si="535"/>
        <v/>
      </c>
      <c r="N4875" s="66" t="str">
        <f t="shared" si="536"/>
        <v/>
      </c>
      <c r="O4875" s="66" t="str">
        <f t="shared" si="537"/>
        <v/>
      </c>
      <c r="P4875" s="66" t="str">
        <f t="shared" si="538"/>
        <v/>
      </c>
    </row>
    <row r="4876" spans="8:16">
      <c r="H4876" s="66" t="e">
        <f>IF(LEFT(A4876,6)="CEPNTR","GPINS",VLOOKUP(LEFT(A4876,6),'Code Library'!$A$3:$B$920,2,0))&amp;"_"&amp;RIGHT(A4876,3)</f>
        <v>#N/A</v>
      </c>
      <c r="I4876" s="66">
        <f t="shared" si="532"/>
        <v>0</v>
      </c>
      <c r="K4876" s="66" t="str">
        <f t="shared" si="533"/>
        <v/>
      </c>
      <c r="L4876" s="66" t="str">
        <f t="shared" si="534"/>
        <v/>
      </c>
      <c r="M4876" s="66" t="str">
        <f t="shared" si="535"/>
        <v/>
      </c>
      <c r="N4876" s="66" t="str">
        <f t="shared" si="536"/>
        <v/>
      </c>
      <c r="O4876" s="66" t="str">
        <f t="shared" si="537"/>
        <v/>
      </c>
      <c r="P4876" s="66" t="str">
        <f t="shared" si="538"/>
        <v/>
      </c>
    </row>
    <row r="4877" spans="8:16">
      <c r="H4877" s="66" t="e">
        <f>IF(LEFT(A4877,6)="CEPNTR","GPINS",VLOOKUP(LEFT(A4877,6),'Code Library'!$A$3:$B$920,2,0))&amp;"_"&amp;RIGHT(A4877,3)</f>
        <v>#N/A</v>
      </c>
      <c r="I4877" s="66">
        <f t="shared" si="532"/>
        <v>0</v>
      </c>
      <c r="K4877" s="66" t="str">
        <f t="shared" si="533"/>
        <v/>
      </c>
      <c r="L4877" s="66" t="str">
        <f t="shared" si="534"/>
        <v/>
      </c>
      <c r="M4877" s="66" t="str">
        <f t="shared" si="535"/>
        <v/>
      </c>
      <c r="N4877" s="66" t="str">
        <f t="shared" si="536"/>
        <v/>
      </c>
      <c r="O4877" s="66" t="str">
        <f t="shared" si="537"/>
        <v/>
      </c>
      <c r="P4877" s="66" t="str">
        <f t="shared" si="538"/>
        <v/>
      </c>
    </row>
    <row r="4878" spans="8:16">
      <c r="H4878" s="66" t="e">
        <f>IF(LEFT(A4878,6)="CEPNTR","GPINS",VLOOKUP(LEFT(A4878,6),'Code Library'!$A$3:$B$920,2,0))&amp;"_"&amp;RIGHT(A4878,3)</f>
        <v>#N/A</v>
      </c>
      <c r="I4878" s="66">
        <f t="shared" si="532"/>
        <v>0</v>
      </c>
      <c r="K4878" s="66" t="str">
        <f t="shared" si="533"/>
        <v/>
      </c>
      <c r="L4878" s="66" t="str">
        <f t="shared" si="534"/>
        <v/>
      </c>
      <c r="M4878" s="66" t="str">
        <f t="shared" si="535"/>
        <v/>
      </c>
      <c r="N4878" s="66" t="str">
        <f t="shared" si="536"/>
        <v/>
      </c>
      <c r="O4878" s="66" t="str">
        <f t="shared" si="537"/>
        <v/>
      </c>
      <c r="P4878" s="66" t="str">
        <f t="shared" si="538"/>
        <v/>
      </c>
    </row>
    <row r="4879" spans="8:16">
      <c r="H4879" s="66" t="e">
        <f>IF(LEFT(A4879,6)="CEPNTR","GPINS",VLOOKUP(LEFT(A4879,6),'Code Library'!$A$3:$B$920,2,0))&amp;"_"&amp;RIGHT(A4879,3)</f>
        <v>#N/A</v>
      </c>
      <c r="I4879" s="66">
        <f t="shared" si="532"/>
        <v>0</v>
      </c>
      <c r="K4879" s="66" t="str">
        <f t="shared" si="533"/>
        <v/>
      </c>
      <c r="L4879" s="66" t="str">
        <f t="shared" si="534"/>
        <v/>
      </c>
      <c r="M4879" s="66" t="str">
        <f t="shared" si="535"/>
        <v/>
      </c>
      <c r="N4879" s="66" t="str">
        <f t="shared" si="536"/>
        <v/>
      </c>
      <c r="O4879" s="66" t="str">
        <f t="shared" si="537"/>
        <v/>
      </c>
      <c r="P4879" s="66" t="str">
        <f t="shared" si="538"/>
        <v/>
      </c>
    </row>
    <row r="4880" spans="8:16">
      <c r="H4880" s="66" t="e">
        <f>IF(LEFT(A4880,6)="CEPNTR","GPINS",VLOOKUP(LEFT(A4880,6),'Code Library'!$A$3:$B$920,2,0))&amp;"_"&amp;RIGHT(A4880,3)</f>
        <v>#N/A</v>
      </c>
      <c r="I4880" s="66">
        <f t="shared" si="532"/>
        <v>0</v>
      </c>
      <c r="K4880" s="66" t="str">
        <f t="shared" si="533"/>
        <v/>
      </c>
      <c r="L4880" s="66" t="str">
        <f t="shared" si="534"/>
        <v/>
      </c>
      <c r="M4880" s="66" t="str">
        <f t="shared" si="535"/>
        <v/>
      </c>
      <c r="N4880" s="66" t="str">
        <f t="shared" si="536"/>
        <v/>
      </c>
      <c r="O4880" s="66" t="str">
        <f t="shared" si="537"/>
        <v/>
      </c>
      <c r="P4880" s="66" t="str">
        <f t="shared" si="538"/>
        <v/>
      </c>
    </row>
    <row r="4881" spans="8:16">
      <c r="H4881" s="66" t="e">
        <f>IF(LEFT(A4881,6)="CEPNTR","GPINS",VLOOKUP(LEFT(A4881,6),'Code Library'!$A$3:$B$920,2,0))&amp;"_"&amp;RIGHT(A4881,3)</f>
        <v>#N/A</v>
      </c>
      <c r="I4881" s="66">
        <f t="shared" si="532"/>
        <v>0</v>
      </c>
      <c r="K4881" s="66" t="str">
        <f t="shared" si="533"/>
        <v/>
      </c>
      <c r="L4881" s="66" t="str">
        <f t="shared" si="534"/>
        <v/>
      </c>
      <c r="M4881" s="66" t="str">
        <f t="shared" si="535"/>
        <v/>
      </c>
      <c r="N4881" s="66" t="str">
        <f t="shared" si="536"/>
        <v/>
      </c>
      <c r="O4881" s="66" t="str">
        <f t="shared" si="537"/>
        <v/>
      </c>
      <c r="P4881" s="66" t="str">
        <f t="shared" si="538"/>
        <v/>
      </c>
    </row>
    <row r="4882" spans="8:16">
      <c r="H4882" s="66" t="e">
        <f>IF(LEFT(A4882,6)="CEPNTR","GPINS",VLOOKUP(LEFT(A4882,6),'Code Library'!$A$3:$B$920,2,0))&amp;"_"&amp;RIGHT(A4882,3)</f>
        <v>#N/A</v>
      </c>
      <c r="I4882" s="66">
        <f t="shared" si="532"/>
        <v>0</v>
      </c>
      <c r="K4882" s="66" t="str">
        <f t="shared" si="533"/>
        <v/>
      </c>
      <c r="L4882" s="66" t="str">
        <f t="shared" si="534"/>
        <v/>
      </c>
      <c r="M4882" s="66" t="str">
        <f t="shared" si="535"/>
        <v/>
      </c>
      <c r="N4882" s="66" t="str">
        <f t="shared" si="536"/>
        <v/>
      </c>
      <c r="O4882" s="66" t="str">
        <f t="shared" si="537"/>
        <v/>
      </c>
      <c r="P4882" s="66" t="str">
        <f t="shared" si="538"/>
        <v/>
      </c>
    </row>
    <row r="4883" spans="8:16">
      <c r="H4883" s="66" t="e">
        <f>IF(LEFT(A4883,6)="CEPNTR","GPINS",VLOOKUP(LEFT(A4883,6),'Code Library'!$A$3:$B$920,2,0))&amp;"_"&amp;RIGHT(A4883,3)</f>
        <v>#N/A</v>
      </c>
      <c r="I4883" s="66">
        <f t="shared" si="532"/>
        <v>0</v>
      </c>
      <c r="K4883" s="66" t="str">
        <f t="shared" si="533"/>
        <v/>
      </c>
      <c r="L4883" s="66" t="str">
        <f t="shared" si="534"/>
        <v/>
      </c>
      <c r="M4883" s="66" t="str">
        <f t="shared" si="535"/>
        <v/>
      </c>
      <c r="N4883" s="66" t="str">
        <f t="shared" si="536"/>
        <v/>
      </c>
      <c r="O4883" s="66" t="str">
        <f t="shared" si="537"/>
        <v/>
      </c>
      <c r="P4883" s="66" t="str">
        <f t="shared" si="538"/>
        <v/>
      </c>
    </row>
    <row r="4884" spans="8:16">
      <c r="H4884" s="66" t="e">
        <f>IF(LEFT(A4884,6)="CEPNTR","GPINS",VLOOKUP(LEFT(A4884,6),'Code Library'!$A$3:$B$920,2,0))&amp;"_"&amp;RIGHT(A4884,3)</f>
        <v>#N/A</v>
      </c>
      <c r="I4884" s="66">
        <f t="shared" si="532"/>
        <v>0</v>
      </c>
      <c r="K4884" s="66" t="str">
        <f t="shared" si="533"/>
        <v/>
      </c>
      <c r="L4884" s="66" t="str">
        <f t="shared" si="534"/>
        <v/>
      </c>
      <c r="M4884" s="66" t="str">
        <f t="shared" si="535"/>
        <v/>
      </c>
      <c r="N4884" s="66" t="str">
        <f t="shared" si="536"/>
        <v/>
      </c>
      <c r="O4884" s="66" t="str">
        <f t="shared" si="537"/>
        <v/>
      </c>
      <c r="P4884" s="66" t="str">
        <f t="shared" si="538"/>
        <v/>
      </c>
    </row>
    <row r="4885" spans="8:16">
      <c r="H4885" s="66" t="e">
        <f>IF(LEFT(A4885,6)="CEPNTR","GPINS",VLOOKUP(LEFT(A4885,6),'Code Library'!$A$3:$B$920,2,0))&amp;"_"&amp;RIGHT(A4885,3)</f>
        <v>#N/A</v>
      </c>
      <c r="I4885" s="66">
        <f t="shared" si="532"/>
        <v>0</v>
      </c>
      <c r="K4885" s="66" t="str">
        <f t="shared" si="533"/>
        <v/>
      </c>
      <c r="L4885" s="66" t="str">
        <f t="shared" si="534"/>
        <v/>
      </c>
      <c r="M4885" s="66" t="str">
        <f t="shared" si="535"/>
        <v/>
      </c>
      <c r="N4885" s="66" t="str">
        <f t="shared" si="536"/>
        <v/>
      </c>
      <c r="O4885" s="66" t="str">
        <f t="shared" si="537"/>
        <v/>
      </c>
      <c r="P4885" s="66" t="str">
        <f t="shared" si="538"/>
        <v/>
      </c>
    </row>
    <row r="4886" spans="8:16">
      <c r="H4886" s="66" t="e">
        <f>IF(LEFT(A4886,6)="CEPNTR","GPINS",VLOOKUP(LEFT(A4886,6),'Code Library'!$A$3:$B$920,2,0))&amp;"_"&amp;RIGHT(A4886,3)</f>
        <v>#N/A</v>
      </c>
      <c r="I4886" s="66">
        <f t="shared" si="532"/>
        <v>0</v>
      </c>
      <c r="K4886" s="66" t="str">
        <f t="shared" si="533"/>
        <v/>
      </c>
      <c r="L4886" s="66" t="str">
        <f t="shared" si="534"/>
        <v/>
      </c>
      <c r="M4886" s="66" t="str">
        <f t="shared" si="535"/>
        <v/>
      </c>
      <c r="N4886" s="66" t="str">
        <f t="shared" si="536"/>
        <v/>
      </c>
      <c r="O4886" s="66" t="str">
        <f t="shared" si="537"/>
        <v/>
      </c>
      <c r="P4886" s="66" t="str">
        <f t="shared" si="538"/>
        <v/>
      </c>
    </row>
    <row r="4887" spans="8:16">
      <c r="H4887" s="66" t="e">
        <f>IF(LEFT(A4887,6)="CEPNTR","GPINS",VLOOKUP(LEFT(A4887,6),'Code Library'!$A$3:$B$920,2,0))&amp;"_"&amp;RIGHT(A4887,3)</f>
        <v>#N/A</v>
      </c>
      <c r="I4887" s="66">
        <f t="shared" si="532"/>
        <v>0</v>
      </c>
      <c r="K4887" s="66" t="str">
        <f t="shared" si="533"/>
        <v/>
      </c>
      <c r="L4887" s="66" t="str">
        <f t="shared" si="534"/>
        <v/>
      </c>
      <c r="M4887" s="66" t="str">
        <f t="shared" si="535"/>
        <v/>
      </c>
      <c r="N4887" s="66" t="str">
        <f t="shared" si="536"/>
        <v/>
      </c>
      <c r="O4887" s="66" t="str">
        <f t="shared" si="537"/>
        <v/>
      </c>
      <c r="P4887" s="66" t="str">
        <f t="shared" si="538"/>
        <v/>
      </c>
    </row>
    <row r="4888" spans="8:16">
      <c r="H4888" s="66" t="e">
        <f>IF(LEFT(A4888,6)="CEPNTR","GPINS",VLOOKUP(LEFT(A4888,6),'Code Library'!$A$3:$B$920,2,0))&amp;"_"&amp;RIGHT(A4888,3)</f>
        <v>#N/A</v>
      </c>
      <c r="I4888" s="66">
        <f t="shared" si="532"/>
        <v>0</v>
      </c>
      <c r="K4888" s="66" t="str">
        <f t="shared" si="533"/>
        <v/>
      </c>
      <c r="L4888" s="66" t="str">
        <f t="shared" si="534"/>
        <v/>
      </c>
      <c r="M4888" s="66" t="str">
        <f t="shared" si="535"/>
        <v/>
      </c>
      <c r="N4888" s="66" t="str">
        <f t="shared" si="536"/>
        <v/>
      </c>
      <c r="O4888" s="66" t="str">
        <f t="shared" si="537"/>
        <v/>
      </c>
      <c r="P4888" s="66" t="str">
        <f t="shared" si="538"/>
        <v/>
      </c>
    </row>
    <row r="4889" spans="8:16">
      <c r="H4889" s="66" t="e">
        <f>IF(LEFT(A4889,6)="CEPNTR","GPINS",VLOOKUP(LEFT(A4889,6),'Code Library'!$A$3:$B$920,2,0))&amp;"_"&amp;RIGHT(A4889,3)</f>
        <v>#N/A</v>
      </c>
      <c r="I4889" s="66">
        <f t="shared" si="532"/>
        <v>0</v>
      </c>
      <c r="K4889" s="66" t="str">
        <f t="shared" si="533"/>
        <v/>
      </c>
      <c r="L4889" s="66" t="str">
        <f t="shared" si="534"/>
        <v/>
      </c>
      <c r="M4889" s="66" t="str">
        <f t="shared" si="535"/>
        <v/>
      </c>
      <c r="N4889" s="66" t="str">
        <f t="shared" si="536"/>
        <v/>
      </c>
      <c r="O4889" s="66" t="str">
        <f t="shared" si="537"/>
        <v/>
      </c>
      <c r="P4889" s="66" t="str">
        <f t="shared" si="538"/>
        <v/>
      </c>
    </row>
    <row r="4890" spans="8:16">
      <c r="H4890" s="66" t="e">
        <f>IF(LEFT(A4890,6)="CEPNTR","GPINS",VLOOKUP(LEFT(A4890,6),'Code Library'!$A$3:$B$920,2,0))&amp;"_"&amp;RIGHT(A4890,3)</f>
        <v>#N/A</v>
      </c>
      <c r="I4890" s="66">
        <f t="shared" si="532"/>
        <v>0</v>
      </c>
      <c r="K4890" s="66" t="str">
        <f t="shared" si="533"/>
        <v/>
      </c>
      <c r="L4890" s="66" t="str">
        <f t="shared" si="534"/>
        <v/>
      </c>
      <c r="M4890" s="66" t="str">
        <f t="shared" si="535"/>
        <v/>
      </c>
      <c r="N4890" s="66" t="str">
        <f t="shared" si="536"/>
        <v/>
      </c>
      <c r="O4890" s="66" t="str">
        <f t="shared" si="537"/>
        <v/>
      </c>
      <c r="P4890" s="66" t="str">
        <f t="shared" si="538"/>
        <v/>
      </c>
    </row>
    <row r="4891" spans="8:16">
      <c r="H4891" s="66" t="e">
        <f>IF(LEFT(A4891,6)="CEPNTR","GPINS",VLOOKUP(LEFT(A4891,6),'Code Library'!$A$3:$B$920,2,0))&amp;"_"&amp;RIGHT(A4891,3)</f>
        <v>#N/A</v>
      </c>
      <c r="I4891" s="66">
        <f t="shared" si="532"/>
        <v>0</v>
      </c>
      <c r="K4891" s="66" t="str">
        <f t="shared" si="533"/>
        <v/>
      </c>
      <c r="L4891" s="66" t="str">
        <f t="shared" si="534"/>
        <v/>
      </c>
      <c r="M4891" s="66" t="str">
        <f t="shared" si="535"/>
        <v/>
      </c>
      <c r="N4891" s="66" t="str">
        <f t="shared" si="536"/>
        <v/>
      </c>
      <c r="O4891" s="66" t="str">
        <f t="shared" si="537"/>
        <v/>
      </c>
      <c r="P4891" s="66" t="str">
        <f t="shared" si="538"/>
        <v/>
      </c>
    </row>
    <row r="4892" spans="8:16">
      <c r="H4892" s="66" t="e">
        <f>IF(LEFT(A4892,6)="CEPNTR","GPINS",VLOOKUP(LEFT(A4892,6),'Code Library'!$A$3:$B$920,2,0))&amp;"_"&amp;RIGHT(A4892,3)</f>
        <v>#N/A</v>
      </c>
      <c r="I4892" s="66">
        <f t="shared" si="532"/>
        <v>0</v>
      </c>
      <c r="K4892" s="66" t="str">
        <f t="shared" si="533"/>
        <v/>
      </c>
      <c r="L4892" s="66" t="str">
        <f t="shared" si="534"/>
        <v/>
      </c>
      <c r="M4892" s="66" t="str">
        <f t="shared" si="535"/>
        <v/>
      </c>
      <c r="N4892" s="66" t="str">
        <f t="shared" si="536"/>
        <v/>
      </c>
      <c r="O4892" s="66" t="str">
        <f t="shared" si="537"/>
        <v/>
      </c>
      <c r="P4892" s="66" t="str">
        <f t="shared" si="538"/>
        <v/>
      </c>
    </row>
    <row r="4893" spans="8:16">
      <c r="H4893" s="66" t="e">
        <f>IF(LEFT(A4893,6)="CEPNTR","GPINS",VLOOKUP(LEFT(A4893,6),'Code Library'!$A$3:$B$920,2,0))&amp;"_"&amp;RIGHT(A4893,3)</f>
        <v>#N/A</v>
      </c>
      <c r="I4893" s="66">
        <f t="shared" si="532"/>
        <v>0</v>
      </c>
      <c r="K4893" s="66" t="str">
        <f t="shared" si="533"/>
        <v/>
      </c>
      <c r="L4893" s="66" t="str">
        <f t="shared" si="534"/>
        <v/>
      </c>
      <c r="M4893" s="66" t="str">
        <f t="shared" si="535"/>
        <v/>
      </c>
      <c r="N4893" s="66" t="str">
        <f t="shared" si="536"/>
        <v/>
      </c>
      <c r="O4893" s="66" t="str">
        <f t="shared" si="537"/>
        <v/>
      </c>
      <c r="P4893" s="66" t="str">
        <f t="shared" si="538"/>
        <v/>
      </c>
    </row>
    <row r="4894" spans="8:16">
      <c r="H4894" s="66" t="e">
        <f>IF(LEFT(A4894,6)="CEPNTR","GPINS",VLOOKUP(LEFT(A4894,6),'Code Library'!$A$3:$B$920,2,0))&amp;"_"&amp;RIGHT(A4894,3)</f>
        <v>#N/A</v>
      </c>
      <c r="I4894" s="66">
        <f t="shared" si="532"/>
        <v>0</v>
      </c>
      <c r="K4894" s="66" t="str">
        <f t="shared" si="533"/>
        <v/>
      </c>
      <c r="L4894" s="66" t="str">
        <f t="shared" si="534"/>
        <v/>
      </c>
      <c r="M4894" s="66" t="str">
        <f t="shared" si="535"/>
        <v/>
      </c>
      <c r="N4894" s="66" t="str">
        <f t="shared" si="536"/>
        <v/>
      </c>
      <c r="O4894" s="66" t="str">
        <f t="shared" si="537"/>
        <v/>
      </c>
      <c r="P4894" s="66" t="str">
        <f t="shared" si="538"/>
        <v/>
      </c>
    </row>
    <row r="4895" spans="8:16">
      <c r="H4895" s="66" t="e">
        <f>IF(LEFT(A4895,6)="CEPNTR","GPINS",VLOOKUP(LEFT(A4895,6),'Code Library'!$A$3:$B$920,2,0))&amp;"_"&amp;RIGHT(A4895,3)</f>
        <v>#N/A</v>
      </c>
      <c r="I4895" s="66">
        <f t="shared" si="532"/>
        <v>0</v>
      </c>
      <c r="K4895" s="66" t="str">
        <f t="shared" si="533"/>
        <v/>
      </c>
      <c r="L4895" s="66" t="str">
        <f t="shared" si="534"/>
        <v/>
      </c>
      <c r="M4895" s="66" t="str">
        <f t="shared" si="535"/>
        <v/>
      </c>
      <c r="N4895" s="66" t="str">
        <f t="shared" si="536"/>
        <v/>
      </c>
      <c r="O4895" s="66" t="str">
        <f t="shared" si="537"/>
        <v/>
      </c>
      <c r="P4895" s="66" t="str">
        <f t="shared" si="538"/>
        <v/>
      </c>
    </row>
    <row r="4896" spans="8:16">
      <c r="H4896" s="66" t="e">
        <f>IF(LEFT(A4896,6)="CEPNTR","GPINS",VLOOKUP(LEFT(A4896,6),'Code Library'!$A$3:$B$920,2,0))&amp;"_"&amp;RIGHT(A4896,3)</f>
        <v>#N/A</v>
      </c>
      <c r="I4896" s="66">
        <f t="shared" si="532"/>
        <v>0</v>
      </c>
      <c r="K4896" s="66" t="str">
        <f t="shared" si="533"/>
        <v/>
      </c>
      <c r="L4896" s="66" t="str">
        <f t="shared" si="534"/>
        <v/>
      </c>
      <c r="M4896" s="66" t="str">
        <f t="shared" si="535"/>
        <v/>
      </c>
      <c r="N4896" s="66" t="str">
        <f t="shared" si="536"/>
        <v/>
      </c>
      <c r="O4896" s="66" t="str">
        <f t="shared" si="537"/>
        <v/>
      </c>
      <c r="P4896" s="66" t="str">
        <f t="shared" si="538"/>
        <v/>
      </c>
    </row>
    <row r="4897" spans="8:16">
      <c r="H4897" s="66" t="e">
        <f>IF(LEFT(A4897,6)="CEPNTR","GPINS",VLOOKUP(LEFT(A4897,6),'Code Library'!$A$3:$B$920,2,0))&amp;"_"&amp;RIGHT(A4897,3)</f>
        <v>#N/A</v>
      </c>
      <c r="I4897" s="66">
        <f t="shared" si="532"/>
        <v>0</v>
      </c>
      <c r="K4897" s="66" t="str">
        <f t="shared" si="533"/>
        <v/>
      </c>
      <c r="L4897" s="66" t="str">
        <f t="shared" si="534"/>
        <v/>
      </c>
      <c r="M4897" s="66" t="str">
        <f t="shared" si="535"/>
        <v/>
      </c>
      <c r="N4897" s="66" t="str">
        <f t="shared" si="536"/>
        <v/>
      </c>
      <c r="O4897" s="66" t="str">
        <f t="shared" si="537"/>
        <v/>
      </c>
      <c r="P4897" s="66" t="str">
        <f t="shared" si="538"/>
        <v/>
      </c>
    </row>
    <row r="4898" spans="8:16">
      <c r="H4898" s="66" t="e">
        <f>IF(LEFT(A4898,6)="CEPNTR","GPINS",VLOOKUP(LEFT(A4898,6),'Code Library'!$A$3:$B$920,2,0))&amp;"_"&amp;RIGHT(A4898,3)</f>
        <v>#N/A</v>
      </c>
      <c r="I4898" s="66">
        <f t="shared" si="532"/>
        <v>0</v>
      </c>
      <c r="K4898" s="66" t="str">
        <f t="shared" si="533"/>
        <v/>
      </c>
      <c r="L4898" s="66" t="str">
        <f t="shared" si="534"/>
        <v/>
      </c>
      <c r="M4898" s="66" t="str">
        <f t="shared" si="535"/>
        <v/>
      </c>
      <c r="N4898" s="66" t="str">
        <f t="shared" si="536"/>
        <v/>
      </c>
      <c r="O4898" s="66" t="str">
        <f t="shared" si="537"/>
        <v/>
      </c>
      <c r="P4898" s="66" t="str">
        <f t="shared" si="538"/>
        <v/>
      </c>
    </row>
    <row r="4899" spans="8:16">
      <c r="H4899" s="66" t="e">
        <f>IF(LEFT(A4899,6)="CEPNTR","GPINS",VLOOKUP(LEFT(A4899,6),'Code Library'!$A$3:$B$920,2,0))&amp;"_"&amp;RIGHT(A4899,3)</f>
        <v>#N/A</v>
      </c>
      <c r="I4899" s="66">
        <f t="shared" si="532"/>
        <v>0</v>
      </c>
      <c r="K4899" s="66" t="str">
        <f t="shared" si="533"/>
        <v/>
      </c>
      <c r="L4899" s="66" t="str">
        <f t="shared" si="534"/>
        <v/>
      </c>
      <c r="M4899" s="66" t="str">
        <f t="shared" si="535"/>
        <v/>
      </c>
      <c r="N4899" s="66" t="str">
        <f t="shared" si="536"/>
        <v/>
      </c>
      <c r="O4899" s="66" t="str">
        <f t="shared" si="537"/>
        <v/>
      </c>
      <c r="P4899" s="66" t="str">
        <f t="shared" si="538"/>
        <v/>
      </c>
    </row>
    <row r="4900" spans="8:16">
      <c r="H4900" s="66" t="e">
        <f>IF(LEFT(A4900,6)="CEPNTR","GPINS",VLOOKUP(LEFT(A4900,6),'Code Library'!$A$3:$B$920,2,0))&amp;"_"&amp;RIGHT(A4900,3)</f>
        <v>#N/A</v>
      </c>
      <c r="I4900" s="66">
        <f t="shared" si="532"/>
        <v>0</v>
      </c>
      <c r="K4900" s="66" t="str">
        <f t="shared" si="533"/>
        <v/>
      </c>
      <c r="L4900" s="66" t="str">
        <f t="shared" si="534"/>
        <v/>
      </c>
      <c r="M4900" s="66" t="str">
        <f t="shared" si="535"/>
        <v/>
      </c>
      <c r="N4900" s="66" t="str">
        <f t="shared" si="536"/>
        <v/>
      </c>
      <c r="O4900" s="66" t="str">
        <f t="shared" si="537"/>
        <v/>
      </c>
      <c r="P4900" s="66" t="str">
        <f t="shared" si="538"/>
        <v/>
      </c>
    </row>
    <row r="4901" spans="8:16">
      <c r="H4901" s="66" t="e">
        <f>IF(LEFT(A4901,6)="CEPNTR","GPINS",VLOOKUP(LEFT(A4901,6),'Code Library'!$A$3:$B$920,2,0))&amp;"_"&amp;RIGHT(A4901,3)</f>
        <v>#N/A</v>
      </c>
      <c r="I4901" s="66">
        <f t="shared" si="532"/>
        <v>0</v>
      </c>
      <c r="K4901" s="66" t="str">
        <f t="shared" si="533"/>
        <v/>
      </c>
      <c r="L4901" s="66" t="str">
        <f t="shared" si="534"/>
        <v/>
      </c>
      <c r="M4901" s="66" t="str">
        <f t="shared" si="535"/>
        <v/>
      </c>
      <c r="N4901" s="66" t="str">
        <f t="shared" si="536"/>
        <v/>
      </c>
      <c r="O4901" s="66" t="str">
        <f t="shared" si="537"/>
        <v/>
      </c>
      <c r="P4901" s="66" t="str">
        <f t="shared" si="538"/>
        <v/>
      </c>
    </row>
    <row r="4902" spans="8:16">
      <c r="H4902" s="66" t="e">
        <f>IF(LEFT(A4902,6)="CEPNTR","GPINS",VLOOKUP(LEFT(A4902,6),'Code Library'!$A$3:$B$920,2,0))&amp;"_"&amp;RIGHT(A4902,3)</f>
        <v>#N/A</v>
      </c>
      <c r="I4902" s="66">
        <f t="shared" si="532"/>
        <v>0</v>
      </c>
      <c r="K4902" s="66" t="str">
        <f t="shared" si="533"/>
        <v/>
      </c>
      <c r="L4902" s="66" t="str">
        <f t="shared" si="534"/>
        <v/>
      </c>
      <c r="M4902" s="66" t="str">
        <f t="shared" si="535"/>
        <v/>
      </c>
      <c r="N4902" s="66" t="str">
        <f t="shared" si="536"/>
        <v/>
      </c>
      <c r="O4902" s="66" t="str">
        <f t="shared" si="537"/>
        <v/>
      </c>
      <c r="P4902" s="66" t="str">
        <f t="shared" si="538"/>
        <v/>
      </c>
    </row>
    <row r="4903" spans="8:16">
      <c r="H4903" s="66" t="e">
        <f>IF(LEFT(A4903,6)="CEPNTR","GPINS",VLOOKUP(LEFT(A4903,6),'Code Library'!$A$3:$B$920,2,0))&amp;"_"&amp;RIGHT(A4903,3)</f>
        <v>#N/A</v>
      </c>
      <c r="I4903" s="66">
        <f t="shared" si="532"/>
        <v>0</v>
      </c>
      <c r="K4903" s="66" t="str">
        <f t="shared" si="533"/>
        <v/>
      </c>
      <c r="L4903" s="66" t="str">
        <f t="shared" si="534"/>
        <v/>
      </c>
      <c r="M4903" s="66" t="str">
        <f t="shared" si="535"/>
        <v/>
      </c>
      <c r="N4903" s="66" t="str">
        <f t="shared" si="536"/>
        <v/>
      </c>
      <c r="O4903" s="66" t="str">
        <f t="shared" si="537"/>
        <v/>
      </c>
      <c r="P4903" s="66" t="str">
        <f t="shared" si="538"/>
        <v/>
      </c>
    </row>
    <row r="4904" spans="8:16">
      <c r="H4904" s="66" t="e">
        <f>IF(LEFT(A4904,6)="CEPNTR","GPINS",VLOOKUP(LEFT(A4904,6),'Code Library'!$A$3:$B$920,2,0))&amp;"_"&amp;RIGHT(A4904,3)</f>
        <v>#N/A</v>
      </c>
      <c r="I4904" s="66">
        <f t="shared" si="532"/>
        <v>0</v>
      </c>
      <c r="K4904" s="66" t="str">
        <f t="shared" si="533"/>
        <v/>
      </c>
      <c r="L4904" s="66" t="str">
        <f t="shared" si="534"/>
        <v/>
      </c>
      <c r="M4904" s="66" t="str">
        <f t="shared" si="535"/>
        <v/>
      </c>
      <c r="N4904" s="66" t="str">
        <f t="shared" si="536"/>
        <v/>
      </c>
      <c r="O4904" s="66" t="str">
        <f t="shared" si="537"/>
        <v/>
      </c>
      <c r="P4904" s="66" t="str">
        <f t="shared" si="538"/>
        <v/>
      </c>
    </row>
    <row r="4905" spans="8:16">
      <c r="H4905" s="66" t="e">
        <f>IF(LEFT(A4905,6)="CEPNTR","GPINS",VLOOKUP(LEFT(A4905,6),'Code Library'!$A$3:$B$920,2,0))&amp;"_"&amp;RIGHT(A4905,3)</f>
        <v>#N/A</v>
      </c>
      <c r="I4905" s="66">
        <f t="shared" si="532"/>
        <v>0</v>
      </c>
      <c r="K4905" s="66" t="str">
        <f t="shared" si="533"/>
        <v/>
      </c>
      <c r="L4905" s="66" t="str">
        <f t="shared" si="534"/>
        <v/>
      </c>
      <c r="M4905" s="66" t="str">
        <f t="shared" si="535"/>
        <v/>
      </c>
      <c r="N4905" s="66" t="str">
        <f t="shared" si="536"/>
        <v/>
      </c>
      <c r="O4905" s="66" t="str">
        <f t="shared" si="537"/>
        <v/>
      </c>
      <c r="P4905" s="66" t="str">
        <f t="shared" si="538"/>
        <v/>
      </c>
    </row>
    <row r="4906" spans="8:16">
      <c r="H4906" s="66" t="e">
        <f>IF(LEFT(A4906,6)="CEPNTR","GPINS",VLOOKUP(LEFT(A4906,6),'Code Library'!$A$3:$B$920,2,0))&amp;"_"&amp;RIGHT(A4906,3)</f>
        <v>#N/A</v>
      </c>
      <c r="I4906" s="66">
        <f t="shared" si="532"/>
        <v>0</v>
      </c>
      <c r="K4906" s="66" t="str">
        <f t="shared" si="533"/>
        <v/>
      </c>
      <c r="L4906" s="66" t="str">
        <f t="shared" si="534"/>
        <v/>
      </c>
      <c r="M4906" s="66" t="str">
        <f t="shared" si="535"/>
        <v/>
      </c>
      <c r="N4906" s="66" t="str">
        <f t="shared" si="536"/>
        <v/>
      </c>
      <c r="O4906" s="66" t="str">
        <f t="shared" si="537"/>
        <v/>
      </c>
      <c r="P4906" s="66" t="str">
        <f t="shared" si="538"/>
        <v/>
      </c>
    </row>
    <row r="4907" spans="8:16">
      <c r="H4907" s="66" t="e">
        <f>IF(LEFT(A4907,6)="CEPNTR","GPINS",VLOOKUP(LEFT(A4907,6),'Code Library'!$A$3:$B$920,2,0))&amp;"_"&amp;RIGHT(A4907,3)</f>
        <v>#N/A</v>
      </c>
      <c r="I4907" s="66">
        <f t="shared" si="532"/>
        <v>0</v>
      </c>
      <c r="K4907" s="66" t="str">
        <f t="shared" si="533"/>
        <v/>
      </c>
      <c r="L4907" s="66" t="str">
        <f t="shared" si="534"/>
        <v/>
      </c>
      <c r="M4907" s="66" t="str">
        <f t="shared" si="535"/>
        <v/>
      </c>
      <c r="N4907" s="66" t="str">
        <f t="shared" si="536"/>
        <v/>
      </c>
      <c r="O4907" s="66" t="str">
        <f t="shared" si="537"/>
        <v/>
      </c>
      <c r="P4907" s="66" t="str">
        <f t="shared" si="538"/>
        <v/>
      </c>
    </row>
    <row r="4908" spans="8:16">
      <c r="H4908" s="66" t="e">
        <f>IF(LEFT(A4908,6)="CEPNTR","GPINS",VLOOKUP(LEFT(A4908,6),'Code Library'!$A$3:$B$920,2,0))&amp;"_"&amp;RIGHT(A4908,3)</f>
        <v>#N/A</v>
      </c>
      <c r="I4908" s="66">
        <f t="shared" si="532"/>
        <v>0</v>
      </c>
      <c r="K4908" s="66" t="str">
        <f t="shared" si="533"/>
        <v/>
      </c>
      <c r="L4908" s="66" t="str">
        <f t="shared" si="534"/>
        <v/>
      </c>
      <c r="M4908" s="66" t="str">
        <f t="shared" si="535"/>
        <v/>
      </c>
      <c r="N4908" s="66" t="str">
        <f t="shared" si="536"/>
        <v/>
      </c>
      <c r="O4908" s="66" t="str">
        <f t="shared" si="537"/>
        <v/>
      </c>
      <c r="P4908" s="66" t="str">
        <f t="shared" si="538"/>
        <v/>
      </c>
    </row>
    <row r="4909" spans="8:16">
      <c r="H4909" s="66" t="e">
        <f>IF(LEFT(A4909,6)="CEPNTR","GPINS",VLOOKUP(LEFT(A4909,6),'Code Library'!$A$3:$B$920,2,0))&amp;"_"&amp;RIGHT(A4909,3)</f>
        <v>#N/A</v>
      </c>
      <c r="I4909" s="66">
        <f t="shared" si="532"/>
        <v>0</v>
      </c>
      <c r="K4909" s="66" t="str">
        <f t="shared" si="533"/>
        <v/>
      </c>
      <c r="L4909" s="66" t="str">
        <f t="shared" si="534"/>
        <v/>
      </c>
      <c r="M4909" s="66" t="str">
        <f t="shared" si="535"/>
        <v/>
      </c>
      <c r="N4909" s="66" t="str">
        <f t="shared" si="536"/>
        <v/>
      </c>
      <c r="O4909" s="66" t="str">
        <f t="shared" si="537"/>
        <v/>
      </c>
      <c r="P4909" s="66" t="str">
        <f t="shared" si="538"/>
        <v/>
      </c>
    </row>
    <row r="4910" spans="8:16">
      <c r="H4910" s="66" t="e">
        <f>IF(LEFT(A4910,6)="CEPNTR","GPINS",VLOOKUP(LEFT(A4910,6),'Code Library'!$A$3:$B$920,2,0))&amp;"_"&amp;RIGHT(A4910,3)</f>
        <v>#N/A</v>
      </c>
      <c r="I4910" s="66">
        <f t="shared" si="532"/>
        <v>0</v>
      </c>
      <c r="K4910" s="66" t="str">
        <f t="shared" si="533"/>
        <v/>
      </c>
      <c r="L4910" s="66" t="str">
        <f t="shared" si="534"/>
        <v/>
      </c>
      <c r="M4910" s="66" t="str">
        <f t="shared" si="535"/>
        <v/>
      </c>
      <c r="N4910" s="66" t="str">
        <f t="shared" si="536"/>
        <v/>
      </c>
      <c r="O4910" s="66" t="str">
        <f t="shared" si="537"/>
        <v/>
      </c>
      <c r="P4910" s="66" t="str">
        <f t="shared" si="538"/>
        <v/>
      </c>
    </row>
    <row r="4911" spans="8:16">
      <c r="H4911" s="66" t="e">
        <f>IF(LEFT(A4911,6)="CEPNTR","GPINS",VLOOKUP(LEFT(A4911,6),'Code Library'!$A$3:$B$920,2,0))&amp;"_"&amp;RIGHT(A4911,3)</f>
        <v>#N/A</v>
      </c>
      <c r="I4911" s="66">
        <f t="shared" si="532"/>
        <v>0</v>
      </c>
      <c r="K4911" s="66" t="str">
        <f t="shared" si="533"/>
        <v/>
      </c>
      <c r="L4911" s="66" t="str">
        <f t="shared" si="534"/>
        <v/>
      </c>
      <c r="M4911" s="66" t="str">
        <f t="shared" si="535"/>
        <v/>
      </c>
      <c r="N4911" s="66" t="str">
        <f t="shared" si="536"/>
        <v/>
      </c>
      <c r="O4911" s="66" t="str">
        <f t="shared" si="537"/>
        <v/>
      </c>
      <c r="P4911" s="66" t="str">
        <f t="shared" si="538"/>
        <v/>
      </c>
    </row>
    <row r="4912" spans="8:16">
      <c r="H4912" s="66" t="e">
        <f>IF(LEFT(A4912,6)="CEPNTR","GPINS",VLOOKUP(LEFT(A4912,6),'Code Library'!$A$3:$B$920,2,0))&amp;"_"&amp;RIGHT(A4912,3)</f>
        <v>#N/A</v>
      </c>
      <c r="I4912" s="66">
        <f t="shared" si="532"/>
        <v>0</v>
      </c>
      <c r="K4912" s="66" t="str">
        <f t="shared" si="533"/>
        <v/>
      </c>
      <c r="L4912" s="66" t="str">
        <f t="shared" si="534"/>
        <v/>
      </c>
      <c r="M4912" s="66" t="str">
        <f t="shared" si="535"/>
        <v/>
      </c>
      <c r="N4912" s="66" t="str">
        <f t="shared" si="536"/>
        <v/>
      </c>
      <c r="O4912" s="66" t="str">
        <f t="shared" si="537"/>
        <v/>
      </c>
      <c r="P4912" s="66" t="str">
        <f t="shared" si="538"/>
        <v/>
      </c>
    </row>
    <row r="4913" spans="8:16">
      <c r="H4913" s="66" t="e">
        <f>IF(LEFT(A4913,6)="CEPNTR","GPINS",VLOOKUP(LEFT(A4913,6),'Code Library'!$A$3:$B$920,2,0))&amp;"_"&amp;RIGHT(A4913,3)</f>
        <v>#N/A</v>
      </c>
      <c r="I4913" s="66">
        <f t="shared" si="532"/>
        <v>0</v>
      </c>
      <c r="K4913" s="66" t="str">
        <f t="shared" si="533"/>
        <v/>
      </c>
      <c r="L4913" s="66" t="str">
        <f t="shared" si="534"/>
        <v/>
      </c>
      <c r="M4913" s="66" t="str">
        <f t="shared" si="535"/>
        <v/>
      </c>
      <c r="N4913" s="66" t="str">
        <f t="shared" si="536"/>
        <v/>
      </c>
      <c r="O4913" s="66" t="str">
        <f t="shared" si="537"/>
        <v/>
      </c>
      <c r="P4913" s="66" t="str">
        <f t="shared" si="538"/>
        <v/>
      </c>
    </row>
    <row r="4914" spans="8:16">
      <c r="H4914" s="66" t="e">
        <f>IF(LEFT(A4914,6)="CEPNTR","GPINS",VLOOKUP(LEFT(A4914,6),'Code Library'!$A$3:$B$920,2,0))&amp;"_"&amp;RIGHT(A4914,3)</f>
        <v>#N/A</v>
      </c>
      <c r="I4914" s="66">
        <f t="shared" si="532"/>
        <v>0</v>
      </c>
      <c r="K4914" s="66" t="str">
        <f t="shared" si="533"/>
        <v/>
      </c>
      <c r="L4914" s="66" t="str">
        <f t="shared" si="534"/>
        <v/>
      </c>
      <c r="M4914" s="66" t="str">
        <f t="shared" si="535"/>
        <v/>
      </c>
      <c r="N4914" s="66" t="str">
        <f t="shared" si="536"/>
        <v/>
      </c>
      <c r="O4914" s="66" t="str">
        <f t="shared" si="537"/>
        <v/>
      </c>
      <c r="P4914" s="66" t="str">
        <f t="shared" si="538"/>
        <v/>
      </c>
    </row>
    <row r="4915" spans="8:16">
      <c r="H4915" s="66" t="e">
        <f>IF(LEFT(A4915,6)="CEPNTR","GPINS",VLOOKUP(LEFT(A4915,6),'Code Library'!$A$3:$B$920,2,0))&amp;"_"&amp;RIGHT(A4915,3)</f>
        <v>#N/A</v>
      </c>
      <c r="I4915" s="66">
        <f t="shared" si="532"/>
        <v>0</v>
      </c>
      <c r="K4915" s="66" t="str">
        <f t="shared" si="533"/>
        <v/>
      </c>
      <c r="L4915" s="66" t="str">
        <f t="shared" si="534"/>
        <v/>
      </c>
      <c r="M4915" s="66" t="str">
        <f t="shared" si="535"/>
        <v/>
      </c>
      <c r="N4915" s="66" t="str">
        <f t="shared" si="536"/>
        <v/>
      </c>
      <c r="O4915" s="66" t="str">
        <f t="shared" si="537"/>
        <v/>
      </c>
      <c r="P4915" s="66" t="str">
        <f t="shared" si="538"/>
        <v/>
      </c>
    </row>
    <row r="4916" spans="8:16">
      <c r="H4916" s="66" t="e">
        <f>IF(LEFT(A4916,6)="CEPNTR","GPINS",VLOOKUP(LEFT(A4916,6),'Code Library'!$A$3:$B$920,2,0))&amp;"_"&amp;RIGHT(A4916,3)</f>
        <v>#N/A</v>
      </c>
      <c r="I4916" s="66">
        <f t="shared" si="532"/>
        <v>0</v>
      </c>
      <c r="K4916" s="66" t="str">
        <f t="shared" si="533"/>
        <v/>
      </c>
      <c r="L4916" s="66" t="str">
        <f t="shared" si="534"/>
        <v/>
      </c>
      <c r="M4916" s="66" t="str">
        <f t="shared" si="535"/>
        <v/>
      </c>
      <c r="N4916" s="66" t="str">
        <f t="shared" si="536"/>
        <v/>
      </c>
      <c r="O4916" s="66" t="str">
        <f t="shared" si="537"/>
        <v/>
      </c>
      <c r="P4916" s="66" t="str">
        <f t="shared" si="538"/>
        <v/>
      </c>
    </row>
    <row r="4917" spans="8:16">
      <c r="H4917" s="66" t="e">
        <f>IF(LEFT(A4917,6)="CEPNTR","GPINS",VLOOKUP(LEFT(A4917,6),'Code Library'!$A$3:$B$920,2,0))&amp;"_"&amp;RIGHT(A4917,3)</f>
        <v>#N/A</v>
      </c>
      <c r="I4917" s="66">
        <f t="shared" si="532"/>
        <v>0</v>
      </c>
      <c r="K4917" s="66" t="str">
        <f t="shared" si="533"/>
        <v/>
      </c>
      <c r="L4917" s="66" t="str">
        <f t="shared" si="534"/>
        <v/>
      </c>
      <c r="M4917" s="66" t="str">
        <f t="shared" si="535"/>
        <v/>
      </c>
      <c r="N4917" s="66" t="str">
        <f t="shared" si="536"/>
        <v/>
      </c>
      <c r="O4917" s="66" t="str">
        <f t="shared" si="537"/>
        <v/>
      </c>
      <c r="P4917" s="66" t="str">
        <f t="shared" si="538"/>
        <v/>
      </c>
    </row>
    <row r="4918" spans="8:16">
      <c r="H4918" s="66" t="e">
        <f>IF(LEFT(A4918,6)="CEPNTR","GPINS",VLOOKUP(LEFT(A4918,6),'Code Library'!$A$3:$B$920,2,0))&amp;"_"&amp;RIGHT(A4918,3)</f>
        <v>#N/A</v>
      </c>
      <c r="I4918" s="66">
        <f t="shared" si="532"/>
        <v>0</v>
      </c>
      <c r="K4918" s="66" t="str">
        <f t="shared" si="533"/>
        <v/>
      </c>
      <c r="L4918" s="66" t="str">
        <f t="shared" si="534"/>
        <v/>
      </c>
      <c r="M4918" s="66" t="str">
        <f t="shared" si="535"/>
        <v/>
      </c>
      <c r="N4918" s="66" t="str">
        <f t="shared" si="536"/>
        <v/>
      </c>
      <c r="O4918" s="66" t="str">
        <f t="shared" si="537"/>
        <v/>
      </c>
      <c r="P4918" s="66" t="str">
        <f t="shared" si="538"/>
        <v/>
      </c>
    </row>
    <row r="4919" spans="8:16">
      <c r="H4919" s="66" t="e">
        <f>IF(LEFT(A4919,6)="CEPNTR","GPINS",VLOOKUP(LEFT(A4919,6),'Code Library'!$A$3:$B$920,2,0))&amp;"_"&amp;RIGHT(A4919,3)</f>
        <v>#N/A</v>
      </c>
      <c r="I4919" s="66">
        <f t="shared" si="532"/>
        <v>0</v>
      </c>
      <c r="K4919" s="66" t="str">
        <f t="shared" si="533"/>
        <v/>
      </c>
      <c r="L4919" s="66" t="str">
        <f t="shared" si="534"/>
        <v/>
      </c>
      <c r="M4919" s="66" t="str">
        <f t="shared" si="535"/>
        <v/>
      </c>
      <c r="N4919" s="66" t="str">
        <f t="shared" si="536"/>
        <v/>
      </c>
      <c r="O4919" s="66" t="str">
        <f t="shared" si="537"/>
        <v/>
      </c>
      <c r="P4919" s="66" t="str">
        <f t="shared" si="538"/>
        <v/>
      </c>
    </row>
    <row r="4920" spans="8:16">
      <c r="H4920" s="66" t="e">
        <f>IF(LEFT(A4920,6)="CEPNTR","GPINS",VLOOKUP(LEFT(A4920,6),'Code Library'!$A$3:$B$920,2,0))&amp;"_"&amp;RIGHT(A4920,3)</f>
        <v>#N/A</v>
      </c>
      <c r="I4920" s="66">
        <f t="shared" si="532"/>
        <v>0</v>
      </c>
      <c r="K4920" s="66" t="str">
        <f t="shared" si="533"/>
        <v/>
      </c>
      <c r="L4920" s="66" t="str">
        <f t="shared" si="534"/>
        <v/>
      </c>
      <c r="M4920" s="66" t="str">
        <f t="shared" si="535"/>
        <v/>
      </c>
      <c r="N4920" s="66" t="str">
        <f t="shared" si="536"/>
        <v/>
      </c>
      <c r="O4920" s="66" t="str">
        <f t="shared" si="537"/>
        <v/>
      </c>
      <c r="P4920" s="66" t="str">
        <f t="shared" si="538"/>
        <v/>
      </c>
    </row>
    <row r="4921" spans="8:16">
      <c r="H4921" s="66" t="e">
        <f>IF(LEFT(A4921,6)="CEPNTR","GPINS",VLOOKUP(LEFT(A4921,6),'Code Library'!$A$3:$B$920,2,0))&amp;"_"&amp;RIGHT(A4921,3)</f>
        <v>#N/A</v>
      </c>
      <c r="I4921" s="66">
        <f t="shared" si="532"/>
        <v>0</v>
      </c>
      <c r="K4921" s="66" t="str">
        <f t="shared" si="533"/>
        <v/>
      </c>
      <c r="L4921" s="66" t="str">
        <f t="shared" si="534"/>
        <v/>
      </c>
      <c r="M4921" s="66" t="str">
        <f t="shared" si="535"/>
        <v/>
      </c>
      <c r="N4921" s="66" t="str">
        <f t="shared" si="536"/>
        <v/>
      </c>
      <c r="O4921" s="66" t="str">
        <f t="shared" si="537"/>
        <v/>
      </c>
      <c r="P4921" s="66" t="str">
        <f t="shared" si="538"/>
        <v/>
      </c>
    </row>
    <row r="4922" spans="8:16">
      <c r="H4922" s="66" t="e">
        <f>IF(LEFT(A4922,6)="CEPNTR","GPINS",VLOOKUP(LEFT(A4922,6),'Code Library'!$A$3:$B$920,2,0))&amp;"_"&amp;RIGHT(A4922,3)</f>
        <v>#N/A</v>
      </c>
      <c r="I4922" s="66">
        <f t="shared" si="532"/>
        <v>0</v>
      </c>
      <c r="K4922" s="66" t="str">
        <f t="shared" si="533"/>
        <v/>
      </c>
      <c r="L4922" s="66" t="str">
        <f t="shared" si="534"/>
        <v/>
      </c>
      <c r="M4922" s="66" t="str">
        <f t="shared" si="535"/>
        <v/>
      </c>
      <c r="N4922" s="66" t="str">
        <f t="shared" si="536"/>
        <v/>
      </c>
      <c r="O4922" s="66" t="str">
        <f t="shared" si="537"/>
        <v/>
      </c>
      <c r="P4922" s="66" t="str">
        <f t="shared" si="538"/>
        <v/>
      </c>
    </row>
    <row r="4923" spans="8:16">
      <c r="H4923" s="66" t="e">
        <f>IF(LEFT(A4923,6)="CEPNTR","GPINS",VLOOKUP(LEFT(A4923,6),'Code Library'!$A$3:$B$920,2,0))&amp;"_"&amp;RIGHT(A4923,3)</f>
        <v>#N/A</v>
      </c>
      <c r="I4923" s="66">
        <f t="shared" si="532"/>
        <v>0</v>
      </c>
      <c r="K4923" s="66" t="str">
        <f t="shared" si="533"/>
        <v/>
      </c>
      <c r="L4923" s="66" t="str">
        <f t="shared" si="534"/>
        <v/>
      </c>
      <c r="M4923" s="66" t="str">
        <f t="shared" si="535"/>
        <v/>
      </c>
      <c r="N4923" s="66" t="str">
        <f t="shared" si="536"/>
        <v/>
      </c>
      <c r="O4923" s="66" t="str">
        <f t="shared" si="537"/>
        <v/>
      </c>
      <c r="P4923" s="66" t="str">
        <f t="shared" si="538"/>
        <v/>
      </c>
    </row>
    <row r="4924" spans="8:16">
      <c r="H4924" s="66" t="e">
        <f>IF(LEFT(A4924,6)="CEPNTR","GPINS",VLOOKUP(LEFT(A4924,6),'Code Library'!$A$3:$B$920,2,0))&amp;"_"&amp;RIGHT(A4924,3)</f>
        <v>#N/A</v>
      </c>
      <c r="I4924" s="66">
        <f t="shared" si="532"/>
        <v>0</v>
      </c>
      <c r="K4924" s="66" t="str">
        <f t="shared" si="533"/>
        <v/>
      </c>
      <c r="L4924" s="66" t="str">
        <f t="shared" si="534"/>
        <v/>
      </c>
      <c r="M4924" s="66" t="str">
        <f t="shared" si="535"/>
        <v/>
      </c>
      <c r="N4924" s="66" t="str">
        <f t="shared" si="536"/>
        <v/>
      </c>
      <c r="O4924" s="66" t="str">
        <f t="shared" si="537"/>
        <v/>
      </c>
      <c r="P4924" s="66" t="str">
        <f t="shared" si="538"/>
        <v/>
      </c>
    </row>
    <row r="4925" spans="8:16">
      <c r="H4925" s="66" t="e">
        <f>IF(LEFT(A4925,6)="CEPNTR","GPINS",VLOOKUP(LEFT(A4925,6),'Code Library'!$A$3:$B$920,2,0))&amp;"_"&amp;RIGHT(A4925,3)</f>
        <v>#N/A</v>
      </c>
      <c r="I4925" s="66">
        <f t="shared" si="532"/>
        <v>0</v>
      </c>
      <c r="K4925" s="66" t="str">
        <f t="shared" si="533"/>
        <v/>
      </c>
      <c r="L4925" s="66" t="str">
        <f t="shared" si="534"/>
        <v/>
      </c>
      <c r="M4925" s="66" t="str">
        <f t="shared" si="535"/>
        <v/>
      </c>
      <c r="N4925" s="66" t="str">
        <f t="shared" si="536"/>
        <v/>
      </c>
      <c r="O4925" s="66" t="str">
        <f t="shared" si="537"/>
        <v/>
      </c>
      <c r="P4925" s="66" t="str">
        <f t="shared" si="538"/>
        <v/>
      </c>
    </row>
    <row r="4926" spans="8:16">
      <c r="H4926" s="66" t="e">
        <f>IF(LEFT(A4926,6)="CEPNTR","GPINS",VLOOKUP(LEFT(A4926,6),'Code Library'!$A$3:$B$920,2,0))&amp;"_"&amp;RIGHT(A4926,3)</f>
        <v>#N/A</v>
      </c>
      <c r="I4926" s="66">
        <f t="shared" si="532"/>
        <v>0</v>
      </c>
      <c r="K4926" s="66" t="str">
        <f t="shared" si="533"/>
        <v/>
      </c>
      <c r="L4926" s="66" t="str">
        <f t="shared" si="534"/>
        <v/>
      </c>
      <c r="M4926" s="66" t="str">
        <f t="shared" si="535"/>
        <v/>
      </c>
      <c r="N4926" s="66" t="str">
        <f t="shared" si="536"/>
        <v/>
      </c>
      <c r="O4926" s="66" t="str">
        <f t="shared" si="537"/>
        <v/>
      </c>
      <c r="P4926" s="66" t="str">
        <f t="shared" si="538"/>
        <v/>
      </c>
    </row>
    <row r="4927" spans="8:16">
      <c r="H4927" s="66" t="e">
        <f>IF(LEFT(A4927,6)="CEPNTR","GPINS",VLOOKUP(LEFT(A4927,6),'Code Library'!$A$3:$B$920,2,0))&amp;"_"&amp;RIGHT(A4927,3)</f>
        <v>#N/A</v>
      </c>
      <c r="I4927" s="66">
        <f t="shared" si="532"/>
        <v>0</v>
      </c>
      <c r="K4927" s="66" t="str">
        <f t="shared" si="533"/>
        <v/>
      </c>
      <c r="L4927" s="66" t="str">
        <f t="shared" si="534"/>
        <v/>
      </c>
      <c r="M4927" s="66" t="str">
        <f t="shared" si="535"/>
        <v/>
      </c>
      <c r="N4927" s="66" t="str">
        <f t="shared" si="536"/>
        <v/>
      </c>
      <c r="O4927" s="66" t="str">
        <f t="shared" si="537"/>
        <v/>
      </c>
      <c r="P4927" s="66" t="str">
        <f t="shared" si="538"/>
        <v/>
      </c>
    </row>
    <row r="4928" spans="8:16">
      <c r="H4928" s="66" t="e">
        <f>IF(LEFT(A4928,6)="CEPNTR","GPINS",VLOOKUP(LEFT(A4928,6),'Code Library'!$A$3:$B$920,2,0))&amp;"_"&amp;RIGHT(A4928,3)</f>
        <v>#N/A</v>
      </c>
      <c r="I4928" s="66">
        <f t="shared" si="532"/>
        <v>0</v>
      </c>
      <c r="K4928" s="66" t="str">
        <f t="shared" si="533"/>
        <v/>
      </c>
      <c r="L4928" s="66" t="str">
        <f t="shared" si="534"/>
        <v/>
      </c>
      <c r="M4928" s="66" t="str">
        <f t="shared" si="535"/>
        <v/>
      </c>
      <c r="N4928" s="66" t="str">
        <f t="shared" si="536"/>
        <v/>
      </c>
      <c r="O4928" s="66" t="str">
        <f t="shared" si="537"/>
        <v/>
      </c>
      <c r="P4928" s="66" t="str">
        <f t="shared" si="538"/>
        <v/>
      </c>
    </row>
    <row r="4929" spans="8:16">
      <c r="H4929" s="66" t="e">
        <f>IF(LEFT(A4929,6)="CEPNTR","GPINS",VLOOKUP(LEFT(A4929,6),'Code Library'!$A$3:$B$920,2,0))&amp;"_"&amp;RIGHT(A4929,3)</f>
        <v>#N/A</v>
      </c>
      <c r="I4929" s="66">
        <f t="shared" si="532"/>
        <v>0</v>
      </c>
      <c r="K4929" s="66" t="str">
        <f t="shared" si="533"/>
        <v/>
      </c>
      <c r="L4929" s="66" t="str">
        <f t="shared" si="534"/>
        <v/>
      </c>
      <c r="M4929" s="66" t="str">
        <f t="shared" si="535"/>
        <v/>
      </c>
      <c r="N4929" s="66" t="str">
        <f t="shared" si="536"/>
        <v/>
      </c>
      <c r="O4929" s="66" t="str">
        <f t="shared" si="537"/>
        <v/>
      </c>
      <c r="P4929" s="66" t="str">
        <f t="shared" si="538"/>
        <v/>
      </c>
    </row>
    <row r="4930" spans="8:16">
      <c r="H4930" s="66" t="e">
        <f>IF(LEFT(A4930,6)="CEPNTR","GPINS",VLOOKUP(LEFT(A4930,6),'Code Library'!$A$3:$B$920,2,0))&amp;"_"&amp;RIGHT(A4930,3)</f>
        <v>#N/A</v>
      </c>
      <c r="I4930" s="66">
        <f t="shared" si="532"/>
        <v>0</v>
      </c>
      <c r="K4930" s="66" t="str">
        <f t="shared" si="533"/>
        <v/>
      </c>
      <c r="L4930" s="66" t="str">
        <f t="shared" si="534"/>
        <v/>
      </c>
      <c r="M4930" s="66" t="str">
        <f t="shared" si="535"/>
        <v/>
      </c>
      <c r="N4930" s="66" t="str">
        <f t="shared" si="536"/>
        <v/>
      </c>
      <c r="O4930" s="66" t="str">
        <f t="shared" si="537"/>
        <v/>
      </c>
      <c r="P4930" s="66" t="str">
        <f t="shared" si="538"/>
        <v/>
      </c>
    </row>
    <row r="4931" spans="8:16">
      <c r="H4931" s="66" t="e">
        <f>IF(LEFT(A4931,6)="CEPNTR","GPINS",VLOOKUP(LEFT(A4931,6),'Code Library'!$A$3:$B$920,2,0))&amp;"_"&amp;RIGHT(A4931,3)</f>
        <v>#N/A</v>
      </c>
      <c r="I4931" s="66">
        <f t="shared" ref="I4931:I4994" si="539">A4931</f>
        <v>0</v>
      </c>
      <c r="K4931" s="66" t="str">
        <f t="shared" ref="K4931:K4994" si="540">RIGHT($B4931,2)</f>
        <v/>
      </c>
      <c r="L4931" s="66" t="str">
        <f t="shared" ref="L4931:L4994" si="541">LEFT(RIGHT($B4931,7),4)</f>
        <v/>
      </c>
      <c r="M4931" s="66" t="str">
        <f t="shared" ref="M4931:M4994" si="542">LEFT(RIGHT($B4931,10),2)</f>
        <v/>
      </c>
      <c r="N4931" s="66" t="str">
        <f t="shared" ref="N4931:N4994" si="543">LEFT(RIGHT($B4931,14),3)</f>
        <v/>
      </c>
      <c r="O4931" s="66" t="str">
        <f t="shared" ref="O4931:O4994" si="544">LEFT(RIGHT($B4931,16),1)</f>
        <v/>
      </c>
      <c r="P4931" s="66" t="str">
        <f t="shared" ref="P4931:P4994" si="545">LEFT(RIGHT($B4931,19),2)</f>
        <v/>
      </c>
    </row>
    <row r="4932" spans="8:16">
      <c r="H4932" s="66" t="e">
        <f>IF(LEFT(A4932,6)="CEPNTR","GPINS",VLOOKUP(LEFT(A4932,6),'Code Library'!$A$3:$B$920,2,0))&amp;"_"&amp;RIGHT(A4932,3)</f>
        <v>#N/A</v>
      </c>
      <c r="I4932" s="66">
        <f t="shared" si="539"/>
        <v>0</v>
      </c>
      <c r="K4932" s="66" t="str">
        <f t="shared" si="540"/>
        <v/>
      </c>
      <c r="L4932" s="66" t="str">
        <f t="shared" si="541"/>
        <v/>
      </c>
      <c r="M4932" s="66" t="str">
        <f t="shared" si="542"/>
        <v/>
      </c>
      <c r="N4932" s="66" t="str">
        <f t="shared" si="543"/>
        <v/>
      </c>
      <c r="O4932" s="66" t="str">
        <f t="shared" si="544"/>
        <v/>
      </c>
      <c r="P4932" s="66" t="str">
        <f t="shared" si="545"/>
        <v/>
      </c>
    </row>
    <row r="4933" spans="8:16">
      <c r="H4933" s="66" t="e">
        <f>IF(LEFT(A4933,6)="CEPNTR","GPINS",VLOOKUP(LEFT(A4933,6),'Code Library'!$A$3:$B$920,2,0))&amp;"_"&amp;RIGHT(A4933,3)</f>
        <v>#N/A</v>
      </c>
      <c r="I4933" s="66">
        <f t="shared" si="539"/>
        <v>0</v>
      </c>
      <c r="K4933" s="66" t="str">
        <f t="shared" si="540"/>
        <v/>
      </c>
      <c r="L4933" s="66" t="str">
        <f t="shared" si="541"/>
        <v/>
      </c>
      <c r="M4933" s="66" t="str">
        <f t="shared" si="542"/>
        <v/>
      </c>
      <c r="N4933" s="66" t="str">
        <f t="shared" si="543"/>
        <v/>
      </c>
      <c r="O4933" s="66" t="str">
        <f t="shared" si="544"/>
        <v/>
      </c>
      <c r="P4933" s="66" t="str">
        <f t="shared" si="545"/>
        <v/>
      </c>
    </row>
    <row r="4934" spans="8:16">
      <c r="H4934" s="66" t="e">
        <f>IF(LEFT(A4934,6)="CEPNTR","GPINS",VLOOKUP(LEFT(A4934,6),'Code Library'!$A$3:$B$920,2,0))&amp;"_"&amp;RIGHT(A4934,3)</f>
        <v>#N/A</v>
      </c>
      <c r="I4934" s="66">
        <f t="shared" si="539"/>
        <v>0</v>
      </c>
      <c r="K4934" s="66" t="str">
        <f t="shared" si="540"/>
        <v/>
      </c>
      <c r="L4934" s="66" t="str">
        <f t="shared" si="541"/>
        <v/>
      </c>
      <c r="M4934" s="66" t="str">
        <f t="shared" si="542"/>
        <v/>
      </c>
      <c r="N4934" s="66" t="str">
        <f t="shared" si="543"/>
        <v/>
      </c>
      <c r="O4934" s="66" t="str">
        <f t="shared" si="544"/>
        <v/>
      </c>
      <c r="P4934" s="66" t="str">
        <f t="shared" si="545"/>
        <v/>
      </c>
    </row>
    <row r="4935" spans="8:16">
      <c r="H4935" s="66" t="e">
        <f>IF(LEFT(A4935,6)="CEPNTR","GPINS",VLOOKUP(LEFT(A4935,6),'Code Library'!$A$3:$B$920,2,0))&amp;"_"&amp;RIGHT(A4935,3)</f>
        <v>#N/A</v>
      </c>
      <c r="I4935" s="66">
        <f t="shared" si="539"/>
        <v>0</v>
      </c>
      <c r="K4935" s="66" t="str">
        <f t="shared" si="540"/>
        <v/>
      </c>
      <c r="L4935" s="66" t="str">
        <f t="shared" si="541"/>
        <v/>
      </c>
      <c r="M4935" s="66" t="str">
        <f t="shared" si="542"/>
        <v/>
      </c>
      <c r="N4935" s="66" t="str">
        <f t="shared" si="543"/>
        <v/>
      </c>
      <c r="O4935" s="66" t="str">
        <f t="shared" si="544"/>
        <v/>
      </c>
      <c r="P4935" s="66" t="str">
        <f t="shared" si="545"/>
        <v/>
      </c>
    </row>
    <row r="4936" spans="8:16">
      <c r="H4936" s="66" t="e">
        <f>IF(LEFT(A4936,6)="CEPNTR","GPINS",VLOOKUP(LEFT(A4936,6),'Code Library'!$A$3:$B$920,2,0))&amp;"_"&amp;RIGHT(A4936,3)</f>
        <v>#N/A</v>
      </c>
      <c r="I4936" s="66">
        <f t="shared" si="539"/>
        <v>0</v>
      </c>
      <c r="K4936" s="66" t="str">
        <f t="shared" si="540"/>
        <v/>
      </c>
      <c r="L4936" s="66" t="str">
        <f t="shared" si="541"/>
        <v/>
      </c>
      <c r="M4936" s="66" t="str">
        <f t="shared" si="542"/>
        <v/>
      </c>
      <c r="N4936" s="66" t="str">
        <f t="shared" si="543"/>
        <v/>
      </c>
      <c r="O4936" s="66" t="str">
        <f t="shared" si="544"/>
        <v/>
      </c>
      <c r="P4936" s="66" t="str">
        <f t="shared" si="545"/>
        <v/>
      </c>
    </row>
    <row r="4937" spans="8:16">
      <c r="H4937" s="66" t="e">
        <f>IF(LEFT(A4937,6)="CEPNTR","GPINS",VLOOKUP(LEFT(A4937,6),'Code Library'!$A$3:$B$920,2,0))&amp;"_"&amp;RIGHT(A4937,3)</f>
        <v>#N/A</v>
      </c>
      <c r="I4937" s="66">
        <f t="shared" si="539"/>
        <v>0</v>
      </c>
      <c r="K4937" s="66" t="str">
        <f t="shared" si="540"/>
        <v/>
      </c>
      <c r="L4937" s="66" t="str">
        <f t="shared" si="541"/>
        <v/>
      </c>
      <c r="M4937" s="66" t="str">
        <f t="shared" si="542"/>
        <v/>
      </c>
      <c r="N4937" s="66" t="str">
        <f t="shared" si="543"/>
        <v/>
      </c>
      <c r="O4937" s="66" t="str">
        <f t="shared" si="544"/>
        <v/>
      </c>
      <c r="P4937" s="66" t="str">
        <f t="shared" si="545"/>
        <v/>
      </c>
    </row>
    <row r="4938" spans="8:16">
      <c r="H4938" s="66" t="e">
        <f>IF(LEFT(A4938,6)="CEPNTR","GPINS",VLOOKUP(LEFT(A4938,6),'Code Library'!$A$3:$B$920,2,0))&amp;"_"&amp;RIGHT(A4938,3)</f>
        <v>#N/A</v>
      </c>
      <c r="I4938" s="66">
        <f t="shared" si="539"/>
        <v>0</v>
      </c>
      <c r="K4938" s="66" t="str">
        <f t="shared" si="540"/>
        <v/>
      </c>
      <c r="L4938" s="66" t="str">
        <f t="shared" si="541"/>
        <v/>
      </c>
      <c r="M4938" s="66" t="str">
        <f t="shared" si="542"/>
        <v/>
      </c>
      <c r="N4938" s="66" t="str">
        <f t="shared" si="543"/>
        <v/>
      </c>
      <c r="O4938" s="66" t="str">
        <f t="shared" si="544"/>
        <v/>
      </c>
      <c r="P4938" s="66" t="str">
        <f t="shared" si="545"/>
        <v/>
      </c>
    </row>
    <row r="4939" spans="8:16">
      <c r="H4939" s="66" t="e">
        <f>IF(LEFT(A4939,6)="CEPNTR","GPINS",VLOOKUP(LEFT(A4939,6),'Code Library'!$A$3:$B$920,2,0))&amp;"_"&amp;RIGHT(A4939,3)</f>
        <v>#N/A</v>
      </c>
      <c r="I4939" s="66">
        <f t="shared" si="539"/>
        <v>0</v>
      </c>
      <c r="K4939" s="66" t="str">
        <f t="shared" si="540"/>
        <v/>
      </c>
      <c r="L4939" s="66" t="str">
        <f t="shared" si="541"/>
        <v/>
      </c>
      <c r="M4939" s="66" t="str">
        <f t="shared" si="542"/>
        <v/>
      </c>
      <c r="N4939" s="66" t="str">
        <f t="shared" si="543"/>
        <v/>
      </c>
      <c r="O4939" s="66" t="str">
        <f t="shared" si="544"/>
        <v/>
      </c>
      <c r="P4939" s="66" t="str">
        <f t="shared" si="545"/>
        <v/>
      </c>
    </row>
    <row r="4940" spans="8:16">
      <c r="H4940" s="66" t="e">
        <f>IF(LEFT(A4940,6)="CEPNTR","GPINS",VLOOKUP(LEFT(A4940,6),'Code Library'!$A$3:$B$920,2,0))&amp;"_"&amp;RIGHT(A4940,3)</f>
        <v>#N/A</v>
      </c>
      <c r="I4940" s="66">
        <f t="shared" si="539"/>
        <v>0</v>
      </c>
      <c r="K4940" s="66" t="str">
        <f t="shared" si="540"/>
        <v/>
      </c>
      <c r="L4940" s="66" t="str">
        <f t="shared" si="541"/>
        <v/>
      </c>
      <c r="M4940" s="66" t="str">
        <f t="shared" si="542"/>
        <v/>
      </c>
      <c r="N4940" s="66" t="str">
        <f t="shared" si="543"/>
        <v/>
      </c>
      <c r="O4940" s="66" t="str">
        <f t="shared" si="544"/>
        <v/>
      </c>
      <c r="P4940" s="66" t="str">
        <f t="shared" si="545"/>
        <v/>
      </c>
    </row>
    <row r="4941" spans="8:16">
      <c r="H4941" s="66" t="e">
        <f>IF(LEFT(A4941,6)="CEPNTR","GPINS",VLOOKUP(LEFT(A4941,6),'Code Library'!$A$3:$B$920,2,0))&amp;"_"&amp;RIGHT(A4941,3)</f>
        <v>#N/A</v>
      </c>
      <c r="I4941" s="66">
        <f t="shared" si="539"/>
        <v>0</v>
      </c>
      <c r="K4941" s="66" t="str">
        <f t="shared" si="540"/>
        <v/>
      </c>
      <c r="L4941" s="66" t="str">
        <f t="shared" si="541"/>
        <v/>
      </c>
      <c r="M4941" s="66" t="str">
        <f t="shared" si="542"/>
        <v/>
      </c>
      <c r="N4941" s="66" t="str">
        <f t="shared" si="543"/>
        <v/>
      </c>
      <c r="O4941" s="66" t="str">
        <f t="shared" si="544"/>
        <v/>
      </c>
      <c r="P4941" s="66" t="str">
        <f t="shared" si="545"/>
        <v/>
      </c>
    </row>
    <row r="4942" spans="8:16">
      <c r="H4942" s="66" t="e">
        <f>IF(LEFT(A4942,6)="CEPNTR","GPINS",VLOOKUP(LEFT(A4942,6),'Code Library'!$A$3:$B$920,2,0))&amp;"_"&amp;RIGHT(A4942,3)</f>
        <v>#N/A</v>
      </c>
      <c r="I4942" s="66">
        <f t="shared" si="539"/>
        <v>0</v>
      </c>
      <c r="K4942" s="66" t="str">
        <f t="shared" si="540"/>
        <v/>
      </c>
      <c r="L4942" s="66" t="str">
        <f t="shared" si="541"/>
        <v/>
      </c>
      <c r="M4942" s="66" t="str">
        <f t="shared" si="542"/>
        <v/>
      </c>
      <c r="N4942" s="66" t="str">
        <f t="shared" si="543"/>
        <v/>
      </c>
      <c r="O4942" s="66" t="str">
        <f t="shared" si="544"/>
        <v/>
      </c>
      <c r="P4942" s="66" t="str">
        <f t="shared" si="545"/>
        <v/>
      </c>
    </row>
    <row r="4943" spans="8:16">
      <c r="H4943" s="66" t="e">
        <f>IF(LEFT(A4943,6)="CEPNTR","GPINS",VLOOKUP(LEFT(A4943,6),'Code Library'!$A$3:$B$920,2,0))&amp;"_"&amp;RIGHT(A4943,3)</f>
        <v>#N/A</v>
      </c>
      <c r="I4943" s="66">
        <f t="shared" si="539"/>
        <v>0</v>
      </c>
      <c r="K4943" s="66" t="str">
        <f t="shared" si="540"/>
        <v/>
      </c>
      <c r="L4943" s="66" t="str">
        <f t="shared" si="541"/>
        <v/>
      </c>
      <c r="M4943" s="66" t="str">
        <f t="shared" si="542"/>
        <v/>
      </c>
      <c r="N4943" s="66" t="str">
        <f t="shared" si="543"/>
        <v/>
      </c>
      <c r="O4943" s="66" t="str">
        <f t="shared" si="544"/>
        <v/>
      </c>
      <c r="P4943" s="66" t="str">
        <f t="shared" si="545"/>
        <v/>
      </c>
    </row>
    <row r="4944" spans="8:16">
      <c r="H4944" s="66" t="e">
        <f>IF(LEFT(A4944,6)="CEPNTR","GPINS",VLOOKUP(LEFT(A4944,6),'Code Library'!$A$3:$B$920,2,0))&amp;"_"&amp;RIGHT(A4944,3)</f>
        <v>#N/A</v>
      </c>
      <c r="I4944" s="66">
        <f t="shared" si="539"/>
        <v>0</v>
      </c>
      <c r="K4944" s="66" t="str">
        <f t="shared" si="540"/>
        <v/>
      </c>
      <c r="L4944" s="66" t="str">
        <f t="shared" si="541"/>
        <v/>
      </c>
      <c r="M4944" s="66" t="str">
        <f t="shared" si="542"/>
        <v/>
      </c>
      <c r="N4944" s="66" t="str">
        <f t="shared" si="543"/>
        <v/>
      </c>
      <c r="O4944" s="66" t="str">
        <f t="shared" si="544"/>
        <v/>
      </c>
      <c r="P4944" s="66" t="str">
        <f t="shared" si="545"/>
        <v/>
      </c>
    </row>
    <row r="4945" spans="8:16">
      <c r="H4945" s="66" t="e">
        <f>IF(LEFT(A4945,6)="CEPNTR","GPINS",VLOOKUP(LEFT(A4945,6),'Code Library'!$A$3:$B$920,2,0))&amp;"_"&amp;RIGHT(A4945,3)</f>
        <v>#N/A</v>
      </c>
      <c r="I4945" s="66">
        <f t="shared" si="539"/>
        <v>0</v>
      </c>
      <c r="K4945" s="66" t="str">
        <f t="shared" si="540"/>
        <v/>
      </c>
      <c r="L4945" s="66" t="str">
        <f t="shared" si="541"/>
        <v/>
      </c>
      <c r="M4945" s="66" t="str">
        <f t="shared" si="542"/>
        <v/>
      </c>
      <c r="N4945" s="66" t="str">
        <f t="shared" si="543"/>
        <v/>
      </c>
      <c r="O4945" s="66" t="str">
        <f t="shared" si="544"/>
        <v/>
      </c>
      <c r="P4945" s="66" t="str">
        <f t="shared" si="545"/>
        <v/>
      </c>
    </row>
    <row r="4946" spans="8:16">
      <c r="H4946" s="66" t="e">
        <f>IF(LEFT(A4946,6)="CEPNTR","GPINS",VLOOKUP(LEFT(A4946,6),'Code Library'!$A$3:$B$920,2,0))&amp;"_"&amp;RIGHT(A4946,3)</f>
        <v>#N/A</v>
      </c>
      <c r="I4946" s="66">
        <f t="shared" si="539"/>
        <v>0</v>
      </c>
      <c r="K4946" s="66" t="str">
        <f t="shared" si="540"/>
        <v/>
      </c>
      <c r="L4946" s="66" t="str">
        <f t="shared" si="541"/>
        <v/>
      </c>
      <c r="M4946" s="66" t="str">
        <f t="shared" si="542"/>
        <v/>
      </c>
      <c r="N4946" s="66" t="str">
        <f t="shared" si="543"/>
        <v/>
      </c>
      <c r="O4946" s="66" t="str">
        <f t="shared" si="544"/>
        <v/>
      </c>
      <c r="P4946" s="66" t="str">
        <f t="shared" si="545"/>
        <v/>
      </c>
    </row>
    <row r="4947" spans="8:16">
      <c r="H4947" s="66" t="e">
        <f>IF(LEFT(A4947,6)="CEPNTR","GPINS",VLOOKUP(LEFT(A4947,6),'Code Library'!$A$3:$B$920,2,0))&amp;"_"&amp;RIGHT(A4947,3)</f>
        <v>#N/A</v>
      </c>
      <c r="I4947" s="66">
        <f t="shared" si="539"/>
        <v>0</v>
      </c>
      <c r="K4947" s="66" t="str">
        <f t="shared" si="540"/>
        <v/>
      </c>
      <c r="L4947" s="66" t="str">
        <f t="shared" si="541"/>
        <v/>
      </c>
      <c r="M4947" s="66" t="str">
        <f t="shared" si="542"/>
        <v/>
      </c>
      <c r="N4947" s="66" t="str">
        <f t="shared" si="543"/>
        <v/>
      </c>
      <c r="O4947" s="66" t="str">
        <f t="shared" si="544"/>
        <v/>
      </c>
      <c r="P4947" s="66" t="str">
        <f t="shared" si="545"/>
        <v/>
      </c>
    </row>
    <row r="4948" spans="8:16">
      <c r="H4948" s="66" t="e">
        <f>IF(LEFT(A4948,6)="CEPNTR","GPINS",VLOOKUP(LEFT(A4948,6),'Code Library'!$A$3:$B$920,2,0))&amp;"_"&amp;RIGHT(A4948,3)</f>
        <v>#N/A</v>
      </c>
      <c r="I4948" s="66">
        <f t="shared" si="539"/>
        <v>0</v>
      </c>
      <c r="K4948" s="66" t="str">
        <f t="shared" si="540"/>
        <v/>
      </c>
      <c r="L4948" s="66" t="str">
        <f t="shared" si="541"/>
        <v/>
      </c>
      <c r="M4948" s="66" t="str">
        <f t="shared" si="542"/>
        <v/>
      </c>
      <c r="N4948" s="66" t="str">
        <f t="shared" si="543"/>
        <v/>
      </c>
      <c r="O4948" s="66" t="str">
        <f t="shared" si="544"/>
        <v/>
      </c>
      <c r="P4948" s="66" t="str">
        <f t="shared" si="545"/>
        <v/>
      </c>
    </row>
    <row r="4949" spans="8:16">
      <c r="H4949" s="66" t="e">
        <f>IF(LEFT(A4949,6)="CEPNTR","GPINS",VLOOKUP(LEFT(A4949,6),'Code Library'!$A$3:$B$920,2,0))&amp;"_"&amp;RIGHT(A4949,3)</f>
        <v>#N/A</v>
      </c>
      <c r="I4949" s="66">
        <f t="shared" si="539"/>
        <v>0</v>
      </c>
      <c r="K4949" s="66" t="str">
        <f t="shared" si="540"/>
        <v/>
      </c>
      <c r="L4949" s="66" t="str">
        <f t="shared" si="541"/>
        <v/>
      </c>
      <c r="M4949" s="66" t="str">
        <f t="shared" si="542"/>
        <v/>
      </c>
      <c r="N4949" s="66" t="str">
        <f t="shared" si="543"/>
        <v/>
      </c>
      <c r="O4949" s="66" t="str">
        <f t="shared" si="544"/>
        <v/>
      </c>
      <c r="P4949" s="66" t="str">
        <f t="shared" si="545"/>
        <v/>
      </c>
    </row>
    <row r="4950" spans="8:16">
      <c r="H4950" s="66" t="e">
        <f>IF(LEFT(A4950,6)="CEPNTR","GPINS",VLOOKUP(LEFT(A4950,6),'Code Library'!$A$3:$B$920,2,0))&amp;"_"&amp;RIGHT(A4950,3)</f>
        <v>#N/A</v>
      </c>
      <c r="I4950" s="66">
        <f t="shared" si="539"/>
        <v>0</v>
      </c>
      <c r="K4950" s="66" t="str">
        <f t="shared" si="540"/>
        <v/>
      </c>
      <c r="L4950" s="66" t="str">
        <f t="shared" si="541"/>
        <v/>
      </c>
      <c r="M4950" s="66" t="str">
        <f t="shared" si="542"/>
        <v/>
      </c>
      <c r="N4950" s="66" t="str">
        <f t="shared" si="543"/>
        <v/>
      </c>
      <c r="O4950" s="66" t="str">
        <f t="shared" si="544"/>
        <v/>
      </c>
      <c r="P4950" s="66" t="str">
        <f t="shared" si="545"/>
        <v/>
      </c>
    </row>
    <row r="4951" spans="8:16">
      <c r="H4951" s="66" t="e">
        <f>IF(LEFT(A4951,6)="CEPNTR","GPINS",VLOOKUP(LEFT(A4951,6),'Code Library'!$A$3:$B$920,2,0))&amp;"_"&amp;RIGHT(A4951,3)</f>
        <v>#N/A</v>
      </c>
      <c r="I4951" s="66">
        <f t="shared" si="539"/>
        <v>0</v>
      </c>
      <c r="K4951" s="66" t="str">
        <f t="shared" si="540"/>
        <v/>
      </c>
      <c r="L4951" s="66" t="str">
        <f t="shared" si="541"/>
        <v/>
      </c>
      <c r="M4951" s="66" t="str">
        <f t="shared" si="542"/>
        <v/>
      </c>
      <c r="N4951" s="66" t="str">
        <f t="shared" si="543"/>
        <v/>
      </c>
      <c r="O4951" s="66" t="str">
        <f t="shared" si="544"/>
        <v/>
      </c>
      <c r="P4951" s="66" t="str">
        <f t="shared" si="545"/>
        <v/>
      </c>
    </row>
    <row r="4952" spans="8:16">
      <c r="H4952" s="66" t="e">
        <f>IF(LEFT(A4952,6)="CEPNTR","GPINS",VLOOKUP(LEFT(A4952,6),'Code Library'!$A$3:$B$920,2,0))&amp;"_"&amp;RIGHT(A4952,3)</f>
        <v>#N/A</v>
      </c>
      <c r="I4952" s="66">
        <f t="shared" si="539"/>
        <v>0</v>
      </c>
      <c r="K4952" s="66" t="str">
        <f t="shared" si="540"/>
        <v/>
      </c>
      <c r="L4952" s="66" t="str">
        <f t="shared" si="541"/>
        <v/>
      </c>
      <c r="M4952" s="66" t="str">
        <f t="shared" si="542"/>
        <v/>
      </c>
      <c r="N4952" s="66" t="str">
        <f t="shared" si="543"/>
        <v/>
      </c>
      <c r="O4952" s="66" t="str">
        <f t="shared" si="544"/>
        <v/>
      </c>
      <c r="P4952" s="66" t="str">
        <f t="shared" si="545"/>
        <v/>
      </c>
    </row>
    <row r="4953" spans="8:16">
      <c r="H4953" s="66" t="e">
        <f>IF(LEFT(A4953,6)="CEPNTR","GPINS",VLOOKUP(LEFT(A4953,6),'Code Library'!$A$3:$B$920,2,0))&amp;"_"&amp;RIGHT(A4953,3)</f>
        <v>#N/A</v>
      </c>
      <c r="I4953" s="66">
        <f t="shared" si="539"/>
        <v>0</v>
      </c>
      <c r="K4953" s="66" t="str">
        <f t="shared" si="540"/>
        <v/>
      </c>
      <c r="L4953" s="66" t="str">
        <f t="shared" si="541"/>
        <v/>
      </c>
      <c r="M4953" s="66" t="str">
        <f t="shared" si="542"/>
        <v/>
      </c>
      <c r="N4953" s="66" t="str">
        <f t="shared" si="543"/>
        <v/>
      </c>
      <c r="O4953" s="66" t="str">
        <f t="shared" si="544"/>
        <v/>
      </c>
      <c r="P4953" s="66" t="str">
        <f t="shared" si="545"/>
        <v/>
      </c>
    </row>
    <row r="4954" spans="8:16">
      <c r="H4954" s="66" t="e">
        <f>IF(LEFT(A4954,6)="CEPNTR","GPINS",VLOOKUP(LEFT(A4954,6),'Code Library'!$A$3:$B$920,2,0))&amp;"_"&amp;RIGHT(A4954,3)</f>
        <v>#N/A</v>
      </c>
      <c r="I4954" s="66">
        <f t="shared" si="539"/>
        <v>0</v>
      </c>
      <c r="K4954" s="66" t="str">
        <f t="shared" si="540"/>
        <v/>
      </c>
      <c r="L4954" s="66" t="str">
        <f t="shared" si="541"/>
        <v/>
      </c>
      <c r="M4954" s="66" t="str">
        <f t="shared" si="542"/>
        <v/>
      </c>
      <c r="N4954" s="66" t="str">
        <f t="shared" si="543"/>
        <v/>
      </c>
      <c r="O4954" s="66" t="str">
        <f t="shared" si="544"/>
        <v/>
      </c>
      <c r="P4954" s="66" t="str">
        <f t="shared" si="545"/>
        <v/>
      </c>
    </row>
    <row r="4955" spans="8:16">
      <c r="H4955" s="66" t="e">
        <f>IF(LEFT(A4955,6)="CEPNTR","GPINS",VLOOKUP(LEFT(A4955,6),'Code Library'!$A$3:$B$920,2,0))&amp;"_"&amp;RIGHT(A4955,3)</f>
        <v>#N/A</v>
      </c>
      <c r="I4955" s="66">
        <f t="shared" si="539"/>
        <v>0</v>
      </c>
      <c r="K4955" s="66" t="str">
        <f t="shared" si="540"/>
        <v/>
      </c>
      <c r="L4955" s="66" t="str">
        <f t="shared" si="541"/>
        <v/>
      </c>
      <c r="M4955" s="66" t="str">
        <f t="shared" si="542"/>
        <v/>
      </c>
      <c r="N4955" s="66" t="str">
        <f t="shared" si="543"/>
        <v/>
      </c>
      <c r="O4955" s="66" t="str">
        <f t="shared" si="544"/>
        <v/>
      </c>
      <c r="P4955" s="66" t="str">
        <f t="shared" si="545"/>
        <v/>
      </c>
    </row>
    <row r="4956" spans="8:16">
      <c r="H4956" s="66" t="e">
        <f>IF(LEFT(A4956,6)="CEPNTR","GPINS",VLOOKUP(LEFT(A4956,6),'Code Library'!$A$3:$B$920,2,0))&amp;"_"&amp;RIGHT(A4956,3)</f>
        <v>#N/A</v>
      </c>
      <c r="I4956" s="66">
        <f t="shared" si="539"/>
        <v>0</v>
      </c>
      <c r="K4956" s="66" t="str">
        <f t="shared" si="540"/>
        <v/>
      </c>
      <c r="L4956" s="66" t="str">
        <f t="shared" si="541"/>
        <v/>
      </c>
      <c r="M4956" s="66" t="str">
        <f t="shared" si="542"/>
        <v/>
      </c>
      <c r="N4956" s="66" t="str">
        <f t="shared" si="543"/>
        <v/>
      </c>
      <c r="O4956" s="66" t="str">
        <f t="shared" si="544"/>
        <v/>
      </c>
      <c r="P4956" s="66" t="str">
        <f t="shared" si="545"/>
        <v/>
      </c>
    </row>
    <row r="4957" spans="8:16">
      <c r="H4957" s="66" t="e">
        <f>IF(LEFT(A4957,6)="CEPNTR","GPINS",VLOOKUP(LEFT(A4957,6),'Code Library'!$A$3:$B$920,2,0))&amp;"_"&amp;RIGHT(A4957,3)</f>
        <v>#N/A</v>
      </c>
      <c r="I4957" s="66">
        <f t="shared" si="539"/>
        <v>0</v>
      </c>
      <c r="K4957" s="66" t="str">
        <f t="shared" si="540"/>
        <v/>
      </c>
      <c r="L4957" s="66" t="str">
        <f t="shared" si="541"/>
        <v/>
      </c>
      <c r="M4957" s="66" t="str">
        <f t="shared" si="542"/>
        <v/>
      </c>
      <c r="N4957" s="66" t="str">
        <f t="shared" si="543"/>
        <v/>
      </c>
      <c r="O4957" s="66" t="str">
        <f t="shared" si="544"/>
        <v/>
      </c>
      <c r="P4957" s="66" t="str">
        <f t="shared" si="545"/>
        <v/>
      </c>
    </row>
    <row r="4958" spans="8:16">
      <c r="H4958" s="66" t="e">
        <f>IF(LEFT(A4958,6)="CEPNTR","GPINS",VLOOKUP(LEFT(A4958,6),'Code Library'!$A$3:$B$920,2,0))&amp;"_"&amp;RIGHT(A4958,3)</f>
        <v>#N/A</v>
      </c>
      <c r="I4958" s="66">
        <f t="shared" si="539"/>
        <v>0</v>
      </c>
      <c r="K4958" s="66" t="str">
        <f t="shared" si="540"/>
        <v/>
      </c>
      <c r="L4958" s="66" t="str">
        <f t="shared" si="541"/>
        <v/>
      </c>
      <c r="M4958" s="66" t="str">
        <f t="shared" si="542"/>
        <v/>
      </c>
      <c r="N4958" s="66" t="str">
        <f t="shared" si="543"/>
        <v/>
      </c>
      <c r="O4958" s="66" t="str">
        <f t="shared" si="544"/>
        <v/>
      </c>
      <c r="P4958" s="66" t="str">
        <f t="shared" si="545"/>
        <v/>
      </c>
    </row>
    <row r="4959" spans="8:16">
      <c r="H4959" s="66" t="e">
        <f>IF(LEFT(A4959,6)="CEPNTR","GPINS",VLOOKUP(LEFT(A4959,6),'Code Library'!$A$3:$B$920,2,0))&amp;"_"&amp;RIGHT(A4959,3)</f>
        <v>#N/A</v>
      </c>
      <c r="I4959" s="66">
        <f t="shared" si="539"/>
        <v>0</v>
      </c>
      <c r="K4959" s="66" t="str">
        <f t="shared" si="540"/>
        <v/>
      </c>
      <c r="L4959" s="66" t="str">
        <f t="shared" si="541"/>
        <v/>
      </c>
      <c r="M4959" s="66" t="str">
        <f t="shared" si="542"/>
        <v/>
      </c>
      <c r="N4959" s="66" t="str">
        <f t="shared" si="543"/>
        <v/>
      </c>
      <c r="O4959" s="66" t="str">
        <f t="shared" si="544"/>
        <v/>
      </c>
      <c r="P4959" s="66" t="str">
        <f t="shared" si="545"/>
        <v/>
      </c>
    </row>
    <row r="4960" spans="8:16">
      <c r="H4960" s="66" t="e">
        <f>IF(LEFT(A4960,6)="CEPNTR","GPINS",VLOOKUP(LEFT(A4960,6),'Code Library'!$A$3:$B$920,2,0))&amp;"_"&amp;RIGHT(A4960,3)</f>
        <v>#N/A</v>
      </c>
      <c r="I4960" s="66">
        <f t="shared" si="539"/>
        <v>0</v>
      </c>
      <c r="K4960" s="66" t="str">
        <f t="shared" si="540"/>
        <v/>
      </c>
      <c r="L4960" s="66" t="str">
        <f t="shared" si="541"/>
        <v/>
      </c>
      <c r="M4960" s="66" t="str">
        <f t="shared" si="542"/>
        <v/>
      </c>
      <c r="N4960" s="66" t="str">
        <f t="shared" si="543"/>
        <v/>
      </c>
      <c r="O4960" s="66" t="str">
        <f t="shared" si="544"/>
        <v/>
      </c>
      <c r="P4960" s="66" t="str">
        <f t="shared" si="545"/>
        <v/>
      </c>
    </row>
    <row r="4961" spans="8:16">
      <c r="H4961" s="66" t="e">
        <f>IF(LEFT(A4961,6)="CEPNTR","GPINS",VLOOKUP(LEFT(A4961,6),'Code Library'!$A$3:$B$920,2,0))&amp;"_"&amp;RIGHT(A4961,3)</f>
        <v>#N/A</v>
      </c>
      <c r="I4961" s="66">
        <f t="shared" si="539"/>
        <v>0</v>
      </c>
      <c r="K4961" s="66" t="str">
        <f t="shared" si="540"/>
        <v/>
      </c>
      <c r="L4961" s="66" t="str">
        <f t="shared" si="541"/>
        <v/>
      </c>
      <c r="M4961" s="66" t="str">
        <f t="shared" si="542"/>
        <v/>
      </c>
      <c r="N4961" s="66" t="str">
        <f t="shared" si="543"/>
        <v/>
      </c>
      <c r="O4961" s="66" t="str">
        <f t="shared" si="544"/>
        <v/>
      </c>
      <c r="P4961" s="66" t="str">
        <f t="shared" si="545"/>
        <v/>
      </c>
    </row>
    <row r="4962" spans="8:16">
      <c r="H4962" s="66" t="e">
        <f>IF(LEFT(A4962,6)="CEPNTR","GPINS",VLOOKUP(LEFT(A4962,6),'Code Library'!$A$3:$B$920,2,0))&amp;"_"&amp;RIGHT(A4962,3)</f>
        <v>#N/A</v>
      </c>
      <c r="I4962" s="66">
        <f t="shared" si="539"/>
        <v>0</v>
      </c>
      <c r="K4962" s="66" t="str">
        <f t="shared" si="540"/>
        <v/>
      </c>
      <c r="L4962" s="66" t="str">
        <f t="shared" si="541"/>
        <v/>
      </c>
      <c r="M4962" s="66" t="str">
        <f t="shared" si="542"/>
        <v/>
      </c>
      <c r="N4962" s="66" t="str">
        <f t="shared" si="543"/>
        <v/>
      </c>
      <c r="O4962" s="66" t="str">
        <f t="shared" si="544"/>
        <v/>
      </c>
      <c r="P4962" s="66" t="str">
        <f t="shared" si="545"/>
        <v/>
      </c>
    </row>
    <row r="4963" spans="8:16">
      <c r="H4963" s="66" t="e">
        <f>IF(LEFT(A4963,6)="CEPNTR","GPINS",VLOOKUP(LEFT(A4963,6),'Code Library'!$A$3:$B$920,2,0))&amp;"_"&amp;RIGHT(A4963,3)</f>
        <v>#N/A</v>
      </c>
      <c r="I4963" s="66">
        <f t="shared" si="539"/>
        <v>0</v>
      </c>
      <c r="K4963" s="66" t="str">
        <f t="shared" si="540"/>
        <v/>
      </c>
      <c r="L4963" s="66" t="str">
        <f t="shared" si="541"/>
        <v/>
      </c>
      <c r="M4963" s="66" t="str">
        <f t="shared" si="542"/>
        <v/>
      </c>
      <c r="N4963" s="66" t="str">
        <f t="shared" si="543"/>
        <v/>
      </c>
      <c r="O4963" s="66" t="str">
        <f t="shared" si="544"/>
        <v/>
      </c>
      <c r="P4963" s="66" t="str">
        <f t="shared" si="545"/>
        <v/>
      </c>
    </row>
    <row r="4964" spans="8:16">
      <c r="H4964" s="66" t="e">
        <f>IF(LEFT(A4964,6)="CEPNTR","GPINS",VLOOKUP(LEFT(A4964,6),'Code Library'!$A$3:$B$920,2,0))&amp;"_"&amp;RIGHT(A4964,3)</f>
        <v>#N/A</v>
      </c>
      <c r="I4964" s="66">
        <f t="shared" si="539"/>
        <v>0</v>
      </c>
      <c r="K4964" s="66" t="str">
        <f t="shared" si="540"/>
        <v/>
      </c>
      <c r="L4964" s="66" t="str">
        <f t="shared" si="541"/>
        <v/>
      </c>
      <c r="M4964" s="66" t="str">
        <f t="shared" si="542"/>
        <v/>
      </c>
      <c r="N4964" s="66" t="str">
        <f t="shared" si="543"/>
        <v/>
      </c>
      <c r="O4964" s="66" t="str">
        <f t="shared" si="544"/>
        <v/>
      </c>
      <c r="P4964" s="66" t="str">
        <f t="shared" si="545"/>
        <v/>
      </c>
    </row>
    <row r="4965" spans="8:16">
      <c r="H4965" s="66" t="e">
        <f>IF(LEFT(A4965,6)="CEPNTR","GPINS",VLOOKUP(LEFT(A4965,6),'Code Library'!$A$3:$B$920,2,0))&amp;"_"&amp;RIGHT(A4965,3)</f>
        <v>#N/A</v>
      </c>
      <c r="I4965" s="66">
        <f t="shared" si="539"/>
        <v>0</v>
      </c>
      <c r="K4965" s="66" t="str">
        <f t="shared" si="540"/>
        <v/>
      </c>
      <c r="L4965" s="66" t="str">
        <f t="shared" si="541"/>
        <v/>
      </c>
      <c r="M4965" s="66" t="str">
        <f t="shared" si="542"/>
        <v/>
      </c>
      <c r="N4965" s="66" t="str">
        <f t="shared" si="543"/>
        <v/>
      </c>
      <c r="O4965" s="66" t="str">
        <f t="shared" si="544"/>
        <v/>
      </c>
      <c r="P4965" s="66" t="str">
        <f t="shared" si="545"/>
        <v/>
      </c>
    </row>
    <row r="4966" spans="8:16">
      <c r="H4966" s="66" t="e">
        <f>IF(LEFT(A4966,6)="CEPNTR","GPINS",VLOOKUP(LEFT(A4966,6),'Code Library'!$A$3:$B$920,2,0))&amp;"_"&amp;RIGHT(A4966,3)</f>
        <v>#N/A</v>
      </c>
      <c r="I4966" s="66">
        <f t="shared" si="539"/>
        <v>0</v>
      </c>
      <c r="K4966" s="66" t="str">
        <f t="shared" si="540"/>
        <v/>
      </c>
      <c r="L4966" s="66" t="str">
        <f t="shared" si="541"/>
        <v/>
      </c>
      <c r="M4966" s="66" t="str">
        <f t="shared" si="542"/>
        <v/>
      </c>
      <c r="N4966" s="66" t="str">
        <f t="shared" si="543"/>
        <v/>
      </c>
      <c r="O4966" s="66" t="str">
        <f t="shared" si="544"/>
        <v/>
      </c>
      <c r="P4966" s="66" t="str">
        <f t="shared" si="545"/>
        <v/>
      </c>
    </row>
    <row r="4967" spans="8:16">
      <c r="H4967" s="66" t="e">
        <f>IF(LEFT(A4967,6)="CEPNTR","GPINS",VLOOKUP(LEFT(A4967,6),'Code Library'!$A$3:$B$920,2,0))&amp;"_"&amp;RIGHT(A4967,3)</f>
        <v>#N/A</v>
      </c>
      <c r="I4967" s="66">
        <f t="shared" si="539"/>
        <v>0</v>
      </c>
      <c r="K4967" s="66" t="str">
        <f t="shared" si="540"/>
        <v/>
      </c>
      <c r="L4967" s="66" t="str">
        <f t="shared" si="541"/>
        <v/>
      </c>
      <c r="M4967" s="66" t="str">
        <f t="shared" si="542"/>
        <v/>
      </c>
      <c r="N4967" s="66" t="str">
        <f t="shared" si="543"/>
        <v/>
      </c>
      <c r="O4967" s="66" t="str">
        <f t="shared" si="544"/>
        <v/>
      </c>
      <c r="P4967" s="66" t="str">
        <f t="shared" si="545"/>
        <v/>
      </c>
    </row>
    <row r="4968" spans="8:16">
      <c r="H4968" s="66" t="e">
        <f>IF(LEFT(A4968,6)="CEPNTR","GPINS",VLOOKUP(LEFT(A4968,6),'Code Library'!$A$3:$B$920,2,0))&amp;"_"&amp;RIGHT(A4968,3)</f>
        <v>#N/A</v>
      </c>
      <c r="I4968" s="66">
        <f t="shared" si="539"/>
        <v>0</v>
      </c>
      <c r="K4968" s="66" t="str">
        <f t="shared" si="540"/>
        <v/>
      </c>
      <c r="L4968" s="66" t="str">
        <f t="shared" si="541"/>
        <v/>
      </c>
      <c r="M4968" s="66" t="str">
        <f t="shared" si="542"/>
        <v/>
      </c>
      <c r="N4968" s="66" t="str">
        <f t="shared" si="543"/>
        <v/>
      </c>
      <c r="O4968" s="66" t="str">
        <f t="shared" si="544"/>
        <v/>
      </c>
      <c r="P4968" s="66" t="str">
        <f t="shared" si="545"/>
        <v/>
      </c>
    </row>
    <row r="4969" spans="8:16">
      <c r="H4969" s="66" t="e">
        <f>IF(LEFT(A4969,6)="CEPNTR","GPINS",VLOOKUP(LEFT(A4969,6),'Code Library'!$A$3:$B$920,2,0))&amp;"_"&amp;RIGHT(A4969,3)</f>
        <v>#N/A</v>
      </c>
      <c r="I4969" s="66">
        <f t="shared" si="539"/>
        <v>0</v>
      </c>
      <c r="K4969" s="66" t="str">
        <f t="shared" si="540"/>
        <v/>
      </c>
      <c r="L4969" s="66" t="str">
        <f t="shared" si="541"/>
        <v/>
      </c>
      <c r="M4969" s="66" t="str">
        <f t="shared" si="542"/>
        <v/>
      </c>
      <c r="N4969" s="66" t="str">
        <f t="shared" si="543"/>
        <v/>
      </c>
      <c r="O4969" s="66" t="str">
        <f t="shared" si="544"/>
        <v/>
      </c>
      <c r="P4969" s="66" t="str">
        <f t="shared" si="545"/>
        <v/>
      </c>
    </row>
    <row r="4970" spans="8:16">
      <c r="H4970" s="66" t="e">
        <f>IF(LEFT(A4970,6)="CEPNTR","GPINS",VLOOKUP(LEFT(A4970,6),'Code Library'!$A$3:$B$920,2,0))&amp;"_"&amp;RIGHT(A4970,3)</f>
        <v>#N/A</v>
      </c>
      <c r="I4970" s="66">
        <f t="shared" si="539"/>
        <v>0</v>
      </c>
      <c r="K4970" s="66" t="str">
        <f t="shared" si="540"/>
        <v/>
      </c>
      <c r="L4970" s="66" t="str">
        <f t="shared" si="541"/>
        <v/>
      </c>
      <c r="M4970" s="66" t="str">
        <f t="shared" si="542"/>
        <v/>
      </c>
      <c r="N4970" s="66" t="str">
        <f t="shared" si="543"/>
        <v/>
      </c>
      <c r="O4970" s="66" t="str">
        <f t="shared" si="544"/>
        <v/>
      </c>
      <c r="P4970" s="66" t="str">
        <f t="shared" si="545"/>
        <v/>
      </c>
    </row>
    <row r="4971" spans="8:16">
      <c r="H4971" s="66" t="e">
        <f>IF(LEFT(A4971,6)="CEPNTR","GPINS",VLOOKUP(LEFT(A4971,6),'Code Library'!$A$3:$B$920,2,0))&amp;"_"&amp;RIGHT(A4971,3)</f>
        <v>#N/A</v>
      </c>
      <c r="I4971" s="66">
        <f t="shared" si="539"/>
        <v>0</v>
      </c>
      <c r="K4971" s="66" t="str">
        <f t="shared" si="540"/>
        <v/>
      </c>
      <c r="L4971" s="66" t="str">
        <f t="shared" si="541"/>
        <v/>
      </c>
      <c r="M4971" s="66" t="str">
        <f t="shared" si="542"/>
        <v/>
      </c>
      <c r="N4971" s="66" t="str">
        <f t="shared" si="543"/>
        <v/>
      </c>
      <c r="O4971" s="66" t="str">
        <f t="shared" si="544"/>
        <v/>
      </c>
      <c r="P4971" s="66" t="str">
        <f t="shared" si="545"/>
        <v/>
      </c>
    </row>
    <row r="4972" spans="8:16">
      <c r="H4972" s="66" t="e">
        <f>IF(LEFT(A4972,6)="CEPNTR","GPINS",VLOOKUP(LEFT(A4972,6),'Code Library'!$A$3:$B$920,2,0))&amp;"_"&amp;RIGHT(A4972,3)</f>
        <v>#N/A</v>
      </c>
      <c r="I4972" s="66">
        <f t="shared" si="539"/>
        <v>0</v>
      </c>
      <c r="K4972" s="66" t="str">
        <f t="shared" si="540"/>
        <v/>
      </c>
      <c r="L4972" s="66" t="str">
        <f t="shared" si="541"/>
        <v/>
      </c>
      <c r="M4972" s="66" t="str">
        <f t="shared" si="542"/>
        <v/>
      </c>
      <c r="N4972" s="66" t="str">
        <f t="shared" si="543"/>
        <v/>
      </c>
      <c r="O4972" s="66" t="str">
        <f t="shared" si="544"/>
        <v/>
      </c>
      <c r="P4972" s="66" t="str">
        <f t="shared" si="545"/>
        <v/>
      </c>
    </row>
    <row r="4973" spans="8:16">
      <c r="H4973" s="66" t="e">
        <f>IF(LEFT(A4973,6)="CEPNTR","GPINS",VLOOKUP(LEFT(A4973,6),'Code Library'!$A$3:$B$920,2,0))&amp;"_"&amp;RIGHT(A4973,3)</f>
        <v>#N/A</v>
      </c>
      <c r="I4973" s="66">
        <f t="shared" si="539"/>
        <v>0</v>
      </c>
      <c r="K4973" s="66" t="str">
        <f t="shared" si="540"/>
        <v/>
      </c>
      <c r="L4973" s="66" t="str">
        <f t="shared" si="541"/>
        <v/>
      </c>
      <c r="M4973" s="66" t="str">
        <f t="shared" si="542"/>
        <v/>
      </c>
      <c r="N4973" s="66" t="str">
        <f t="shared" si="543"/>
        <v/>
      </c>
      <c r="O4973" s="66" t="str">
        <f t="shared" si="544"/>
        <v/>
      </c>
      <c r="P4973" s="66" t="str">
        <f t="shared" si="545"/>
        <v/>
      </c>
    </row>
    <row r="4974" spans="8:16">
      <c r="H4974" s="66" t="e">
        <f>IF(LEFT(A4974,6)="CEPNTR","GPINS",VLOOKUP(LEFT(A4974,6),'Code Library'!$A$3:$B$920,2,0))&amp;"_"&amp;RIGHT(A4974,3)</f>
        <v>#N/A</v>
      </c>
      <c r="I4974" s="66">
        <f t="shared" si="539"/>
        <v>0</v>
      </c>
      <c r="K4974" s="66" t="str">
        <f t="shared" si="540"/>
        <v/>
      </c>
      <c r="L4974" s="66" t="str">
        <f t="shared" si="541"/>
        <v/>
      </c>
      <c r="M4974" s="66" t="str">
        <f t="shared" si="542"/>
        <v/>
      </c>
      <c r="N4974" s="66" t="str">
        <f t="shared" si="543"/>
        <v/>
      </c>
      <c r="O4974" s="66" t="str">
        <f t="shared" si="544"/>
        <v/>
      </c>
      <c r="P4974" s="66" t="str">
        <f t="shared" si="545"/>
        <v/>
      </c>
    </row>
    <row r="4975" spans="8:16">
      <c r="H4975" s="66" t="e">
        <f>IF(LEFT(A4975,6)="CEPNTR","GPINS",VLOOKUP(LEFT(A4975,6),'Code Library'!$A$3:$B$920,2,0))&amp;"_"&amp;RIGHT(A4975,3)</f>
        <v>#N/A</v>
      </c>
      <c r="I4975" s="66">
        <f t="shared" si="539"/>
        <v>0</v>
      </c>
      <c r="K4975" s="66" t="str">
        <f t="shared" si="540"/>
        <v/>
      </c>
      <c r="L4975" s="66" t="str">
        <f t="shared" si="541"/>
        <v/>
      </c>
      <c r="M4975" s="66" t="str">
        <f t="shared" si="542"/>
        <v/>
      </c>
      <c r="N4975" s="66" t="str">
        <f t="shared" si="543"/>
        <v/>
      </c>
      <c r="O4975" s="66" t="str">
        <f t="shared" si="544"/>
        <v/>
      </c>
      <c r="P4975" s="66" t="str">
        <f t="shared" si="545"/>
        <v/>
      </c>
    </row>
    <row r="4976" spans="8:16">
      <c r="H4976" s="66" t="e">
        <f>IF(LEFT(A4976,6)="CEPNTR","GPINS",VLOOKUP(LEFT(A4976,6),'Code Library'!$A$3:$B$920,2,0))&amp;"_"&amp;RIGHT(A4976,3)</f>
        <v>#N/A</v>
      </c>
      <c r="I4976" s="66">
        <f t="shared" si="539"/>
        <v>0</v>
      </c>
      <c r="K4976" s="66" t="str">
        <f t="shared" si="540"/>
        <v/>
      </c>
      <c r="L4976" s="66" t="str">
        <f t="shared" si="541"/>
        <v/>
      </c>
      <c r="M4976" s="66" t="str">
        <f t="shared" si="542"/>
        <v/>
      </c>
      <c r="N4976" s="66" t="str">
        <f t="shared" si="543"/>
        <v/>
      </c>
      <c r="O4976" s="66" t="str">
        <f t="shared" si="544"/>
        <v/>
      </c>
      <c r="P4976" s="66" t="str">
        <f t="shared" si="545"/>
        <v/>
      </c>
    </row>
    <row r="4977" spans="8:16">
      <c r="H4977" s="66" t="e">
        <f>IF(LEFT(A4977,6)="CEPNTR","GPINS",VLOOKUP(LEFT(A4977,6),'Code Library'!$A$3:$B$920,2,0))&amp;"_"&amp;RIGHT(A4977,3)</f>
        <v>#N/A</v>
      </c>
      <c r="I4977" s="66">
        <f t="shared" si="539"/>
        <v>0</v>
      </c>
      <c r="K4977" s="66" t="str">
        <f t="shared" si="540"/>
        <v/>
      </c>
      <c r="L4977" s="66" t="str">
        <f t="shared" si="541"/>
        <v/>
      </c>
      <c r="M4977" s="66" t="str">
        <f t="shared" si="542"/>
        <v/>
      </c>
      <c r="N4977" s="66" t="str">
        <f t="shared" si="543"/>
        <v/>
      </c>
      <c r="O4977" s="66" t="str">
        <f t="shared" si="544"/>
        <v/>
      </c>
      <c r="P4977" s="66" t="str">
        <f t="shared" si="545"/>
        <v/>
      </c>
    </row>
    <row r="4978" spans="8:16">
      <c r="H4978" s="66" t="e">
        <f>IF(LEFT(A4978,6)="CEPNTR","GPINS",VLOOKUP(LEFT(A4978,6),'Code Library'!$A$3:$B$920,2,0))&amp;"_"&amp;RIGHT(A4978,3)</f>
        <v>#N/A</v>
      </c>
      <c r="I4978" s="66">
        <f t="shared" si="539"/>
        <v>0</v>
      </c>
      <c r="K4978" s="66" t="str">
        <f t="shared" si="540"/>
        <v/>
      </c>
      <c r="L4978" s="66" t="str">
        <f t="shared" si="541"/>
        <v/>
      </c>
      <c r="M4978" s="66" t="str">
        <f t="shared" si="542"/>
        <v/>
      </c>
      <c r="N4978" s="66" t="str">
        <f t="shared" si="543"/>
        <v/>
      </c>
      <c r="O4978" s="66" t="str">
        <f t="shared" si="544"/>
        <v/>
      </c>
      <c r="P4978" s="66" t="str">
        <f t="shared" si="545"/>
        <v/>
      </c>
    </row>
    <row r="4979" spans="8:16">
      <c r="H4979" s="66" t="e">
        <f>IF(LEFT(A4979,6)="CEPNTR","GPINS",VLOOKUP(LEFT(A4979,6),'Code Library'!$A$3:$B$920,2,0))&amp;"_"&amp;RIGHT(A4979,3)</f>
        <v>#N/A</v>
      </c>
      <c r="I4979" s="66">
        <f t="shared" si="539"/>
        <v>0</v>
      </c>
      <c r="K4979" s="66" t="str">
        <f t="shared" si="540"/>
        <v/>
      </c>
      <c r="L4979" s="66" t="str">
        <f t="shared" si="541"/>
        <v/>
      </c>
      <c r="M4979" s="66" t="str">
        <f t="shared" si="542"/>
        <v/>
      </c>
      <c r="N4979" s="66" t="str">
        <f t="shared" si="543"/>
        <v/>
      </c>
      <c r="O4979" s="66" t="str">
        <f t="shared" si="544"/>
        <v/>
      </c>
      <c r="P4979" s="66" t="str">
        <f t="shared" si="545"/>
        <v/>
      </c>
    </row>
    <row r="4980" spans="8:16">
      <c r="H4980" s="66" t="e">
        <f>IF(LEFT(A4980,6)="CEPNTR","GPINS",VLOOKUP(LEFT(A4980,6),'Code Library'!$A$3:$B$920,2,0))&amp;"_"&amp;RIGHT(A4980,3)</f>
        <v>#N/A</v>
      </c>
      <c r="I4980" s="66">
        <f t="shared" si="539"/>
        <v>0</v>
      </c>
      <c r="K4980" s="66" t="str">
        <f t="shared" si="540"/>
        <v/>
      </c>
      <c r="L4980" s="66" t="str">
        <f t="shared" si="541"/>
        <v/>
      </c>
      <c r="M4980" s="66" t="str">
        <f t="shared" si="542"/>
        <v/>
      </c>
      <c r="N4980" s="66" t="str">
        <f t="shared" si="543"/>
        <v/>
      </c>
      <c r="O4980" s="66" t="str">
        <f t="shared" si="544"/>
        <v/>
      </c>
      <c r="P4980" s="66" t="str">
        <f t="shared" si="545"/>
        <v/>
      </c>
    </row>
    <row r="4981" spans="8:16">
      <c r="H4981" s="66" t="e">
        <f>IF(LEFT(A4981,6)="CEPNTR","GPINS",VLOOKUP(LEFT(A4981,6),'Code Library'!$A$3:$B$920,2,0))&amp;"_"&amp;RIGHT(A4981,3)</f>
        <v>#N/A</v>
      </c>
      <c r="I4981" s="66">
        <f t="shared" si="539"/>
        <v>0</v>
      </c>
      <c r="K4981" s="66" t="str">
        <f t="shared" si="540"/>
        <v/>
      </c>
      <c r="L4981" s="66" t="str">
        <f t="shared" si="541"/>
        <v/>
      </c>
      <c r="M4981" s="66" t="str">
        <f t="shared" si="542"/>
        <v/>
      </c>
      <c r="N4981" s="66" t="str">
        <f t="shared" si="543"/>
        <v/>
      </c>
      <c r="O4981" s="66" t="str">
        <f t="shared" si="544"/>
        <v/>
      </c>
      <c r="P4981" s="66" t="str">
        <f t="shared" si="545"/>
        <v/>
      </c>
    </row>
    <row r="4982" spans="8:16">
      <c r="H4982" s="66" t="e">
        <f>IF(LEFT(A4982,6)="CEPNTR","GPINS",VLOOKUP(LEFT(A4982,6),'Code Library'!$A$3:$B$920,2,0))&amp;"_"&amp;RIGHT(A4982,3)</f>
        <v>#N/A</v>
      </c>
      <c r="I4982" s="66">
        <f t="shared" si="539"/>
        <v>0</v>
      </c>
      <c r="K4982" s="66" t="str">
        <f t="shared" si="540"/>
        <v/>
      </c>
      <c r="L4982" s="66" t="str">
        <f t="shared" si="541"/>
        <v/>
      </c>
      <c r="M4982" s="66" t="str">
        <f t="shared" si="542"/>
        <v/>
      </c>
      <c r="N4982" s="66" t="str">
        <f t="shared" si="543"/>
        <v/>
      </c>
      <c r="O4982" s="66" t="str">
        <f t="shared" si="544"/>
        <v/>
      </c>
      <c r="P4982" s="66" t="str">
        <f t="shared" si="545"/>
        <v/>
      </c>
    </row>
    <row r="4983" spans="8:16">
      <c r="H4983" s="66" t="e">
        <f>IF(LEFT(A4983,6)="CEPNTR","GPINS",VLOOKUP(LEFT(A4983,6),'Code Library'!$A$3:$B$920,2,0))&amp;"_"&amp;RIGHT(A4983,3)</f>
        <v>#N/A</v>
      </c>
      <c r="I4983" s="66">
        <f t="shared" si="539"/>
        <v>0</v>
      </c>
      <c r="K4983" s="66" t="str">
        <f t="shared" si="540"/>
        <v/>
      </c>
      <c r="L4983" s="66" t="str">
        <f t="shared" si="541"/>
        <v/>
      </c>
      <c r="M4983" s="66" t="str">
        <f t="shared" si="542"/>
        <v/>
      </c>
      <c r="N4983" s="66" t="str">
        <f t="shared" si="543"/>
        <v/>
      </c>
      <c r="O4983" s="66" t="str">
        <f t="shared" si="544"/>
        <v/>
      </c>
      <c r="P4983" s="66" t="str">
        <f t="shared" si="545"/>
        <v/>
      </c>
    </row>
    <row r="4984" spans="8:16">
      <c r="H4984" s="66" t="e">
        <f>IF(LEFT(A4984,6)="CEPNTR","GPINS",VLOOKUP(LEFT(A4984,6),'Code Library'!$A$3:$B$920,2,0))&amp;"_"&amp;RIGHT(A4984,3)</f>
        <v>#N/A</v>
      </c>
      <c r="I4984" s="66">
        <f t="shared" si="539"/>
        <v>0</v>
      </c>
      <c r="K4984" s="66" t="str">
        <f t="shared" si="540"/>
        <v/>
      </c>
      <c r="L4984" s="66" t="str">
        <f t="shared" si="541"/>
        <v/>
      </c>
      <c r="M4984" s="66" t="str">
        <f t="shared" si="542"/>
        <v/>
      </c>
      <c r="N4984" s="66" t="str">
        <f t="shared" si="543"/>
        <v/>
      </c>
      <c r="O4984" s="66" t="str">
        <f t="shared" si="544"/>
        <v/>
      </c>
      <c r="P4984" s="66" t="str">
        <f t="shared" si="545"/>
        <v/>
      </c>
    </row>
    <row r="4985" spans="8:16">
      <c r="H4985" s="66" t="e">
        <f>IF(LEFT(A4985,6)="CEPNTR","GPINS",VLOOKUP(LEFT(A4985,6),'Code Library'!$A$3:$B$920,2,0))&amp;"_"&amp;RIGHT(A4985,3)</f>
        <v>#N/A</v>
      </c>
      <c r="I4985" s="66">
        <f t="shared" si="539"/>
        <v>0</v>
      </c>
      <c r="K4985" s="66" t="str">
        <f t="shared" si="540"/>
        <v/>
      </c>
      <c r="L4985" s="66" t="str">
        <f t="shared" si="541"/>
        <v/>
      </c>
      <c r="M4985" s="66" t="str">
        <f t="shared" si="542"/>
        <v/>
      </c>
      <c r="N4985" s="66" t="str">
        <f t="shared" si="543"/>
        <v/>
      </c>
      <c r="O4985" s="66" t="str">
        <f t="shared" si="544"/>
        <v/>
      </c>
      <c r="P4985" s="66" t="str">
        <f t="shared" si="545"/>
        <v/>
      </c>
    </row>
    <row r="4986" spans="8:16">
      <c r="H4986" s="66" t="e">
        <f>IF(LEFT(A4986,6)="CEPNTR","GPINS",VLOOKUP(LEFT(A4986,6),'Code Library'!$A$3:$B$920,2,0))&amp;"_"&amp;RIGHT(A4986,3)</f>
        <v>#N/A</v>
      </c>
      <c r="I4986" s="66">
        <f t="shared" si="539"/>
        <v>0</v>
      </c>
      <c r="K4986" s="66" t="str">
        <f t="shared" si="540"/>
        <v/>
      </c>
      <c r="L4986" s="66" t="str">
        <f t="shared" si="541"/>
        <v/>
      </c>
      <c r="M4986" s="66" t="str">
        <f t="shared" si="542"/>
        <v/>
      </c>
      <c r="N4986" s="66" t="str">
        <f t="shared" si="543"/>
        <v/>
      </c>
      <c r="O4986" s="66" t="str">
        <f t="shared" si="544"/>
        <v/>
      </c>
      <c r="P4986" s="66" t="str">
        <f t="shared" si="545"/>
        <v/>
      </c>
    </row>
    <row r="4987" spans="8:16">
      <c r="H4987" s="66" t="e">
        <f>IF(LEFT(A4987,6)="CEPNTR","GPINS",VLOOKUP(LEFT(A4987,6),'Code Library'!$A$3:$B$920,2,0))&amp;"_"&amp;RIGHT(A4987,3)</f>
        <v>#N/A</v>
      </c>
      <c r="I4987" s="66">
        <f t="shared" si="539"/>
        <v>0</v>
      </c>
      <c r="K4987" s="66" t="str">
        <f t="shared" si="540"/>
        <v/>
      </c>
      <c r="L4987" s="66" t="str">
        <f t="shared" si="541"/>
        <v/>
      </c>
      <c r="M4987" s="66" t="str">
        <f t="shared" si="542"/>
        <v/>
      </c>
      <c r="N4987" s="66" t="str">
        <f t="shared" si="543"/>
        <v/>
      </c>
      <c r="O4987" s="66" t="str">
        <f t="shared" si="544"/>
        <v/>
      </c>
      <c r="P4987" s="66" t="str">
        <f t="shared" si="545"/>
        <v/>
      </c>
    </row>
    <row r="4988" spans="8:16">
      <c r="H4988" s="66" t="e">
        <f>IF(LEFT(A4988,6)="CEPNTR","GPINS",VLOOKUP(LEFT(A4988,6),'Code Library'!$A$3:$B$920,2,0))&amp;"_"&amp;RIGHT(A4988,3)</f>
        <v>#N/A</v>
      </c>
      <c r="I4988" s="66">
        <f t="shared" si="539"/>
        <v>0</v>
      </c>
      <c r="K4988" s="66" t="str">
        <f t="shared" si="540"/>
        <v/>
      </c>
      <c r="L4988" s="66" t="str">
        <f t="shared" si="541"/>
        <v/>
      </c>
      <c r="M4988" s="66" t="str">
        <f t="shared" si="542"/>
        <v/>
      </c>
      <c r="N4988" s="66" t="str">
        <f t="shared" si="543"/>
        <v/>
      </c>
      <c r="O4988" s="66" t="str">
        <f t="shared" si="544"/>
        <v/>
      </c>
      <c r="P4988" s="66" t="str">
        <f t="shared" si="545"/>
        <v/>
      </c>
    </row>
    <row r="4989" spans="8:16">
      <c r="H4989" s="66" t="e">
        <f>IF(LEFT(A4989,6)="CEPNTR","GPINS",VLOOKUP(LEFT(A4989,6),'Code Library'!$A$3:$B$920,2,0))&amp;"_"&amp;RIGHT(A4989,3)</f>
        <v>#N/A</v>
      </c>
      <c r="I4989" s="66">
        <f t="shared" si="539"/>
        <v>0</v>
      </c>
      <c r="K4989" s="66" t="str">
        <f t="shared" si="540"/>
        <v/>
      </c>
      <c r="L4989" s="66" t="str">
        <f t="shared" si="541"/>
        <v/>
      </c>
      <c r="M4989" s="66" t="str">
        <f t="shared" si="542"/>
        <v/>
      </c>
      <c r="N4989" s="66" t="str">
        <f t="shared" si="543"/>
        <v/>
      </c>
      <c r="O4989" s="66" t="str">
        <f t="shared" si="544"/>
        <v/>
      </c>
      <c r="P4989" s="66" t="str">
        <f t="shared" si="545"/>
        <v/>
      </c>
    </row>
    <row r="4990" spans="8:16">
      <c r="H4990" s="66" t="e">
        <f>IF(LEFT(A4990,6)="CEPNTR","GPINS",VLOOKUP(LEFT(A4990,6),'Code Library'!$A$3:$B$920,2,0))&amp;"_"&amp;RIGHT(A4990,3)</f>
        <v>#N/A</v>
      </c>
      <c r="I4990" s="66">
        <f t="shared" si="539"/>
        <v>0</v>
      </c>
      <c r="K4990" s="66" t="str">
        <f t="shared" si="540"/>
        <v/>
      </c>
      <c r="L4990" s="66" t="str">
        <f t="shared" si="541"/>
        <v/>
      </c>
      <c r="M4990" s="66" t="str">
        <f t="shared" si="542"/>
        <v/>
      </c>
      <c r="N4990" s="66" t="str">
        <f t="shared" si="543"/>
        <v/>
      </c>
      <c r="O4990" s="66" t="str">
        <f t="shared" si="544"/>
        <v/>
      </c>
      <c r="P4990" s="66" t="str">
        <f t="shared" si="545"/>
        <v/>
      </c>
    </row>
    <row r="4991" spans="8:16">
      <c r="H4991" s="66" t="e">
        <f>IF(LEFT(A4991,6)="CEPNTR","GPINS",VLOOKUP(LEFT(A4991,6),'Code Library'!$A$3:$B$920,2,0))&amp;"_"&amp;RIGHT(A4991,3)</f>
        <v>#N/A</v>
      </c>
      <c r="I4991" s="66">
        <f t="shared" si="539"/>
        <v>0</v>
      </c>
      <c r="K4991" s="66" t="str">
        <f t="shared" si="540"/>
        <v/>
      </c>
      <c r="L4991" s="66" t="str">
        <f t="shared" si="541"/>
        <v/>
      </c>
      <c r="M4991" s="66" t="str">
        <f t="shared" si="542"/>
        <v/>
      </c>
      <c r="N4991" s="66" t="str">
        <f t="shared" si="543"/>
        <v/>
      </c>
      <c r="O4991" s="66" t="str">
        <f t="shared" si="544"/>
        <v/>
      </c>
      <c r="P4991" s="66" t="str">
        <f t="shared" si="545"/>
        <v/>
      </c>
    </row>
    <row r="4992" spans="8:16">
      <c r="H4992" s="66" t="e">
        <f>IF(LEFT(A4992,6)="CEPNTR","GPINS",VLOOKUP(LEFT(A4992,6),'Code Library'!$A$3:$B$920,2,0))&amp;"_"&amp;RIGHT(A4992,3)</f>
        <v>#N/A</v>
      </c>
      <c r="I4992" s="66">
        <f t="shared" si="539"/>
        <v>0</v>
      </c>
      <c r="K4992" s="66" t="str">
        <f t="shared" si="540"/>
        <v/>
      </c>
      <c r="L4992" s="66" t="str">
        <f t="shared" si="541"/>
        <v/>
      </c>
      <c r="M4992" s="66" t="str">
        <f t="shared" si="542"/>
        <v/>
      </c>
      <c r="N4992" s="66" t="str">
        <f t="shared" si="543"/>
        <v/>
      </c>
      <c r="O4992" s="66" t="str">
        <f t="shared" si="544"/>
        <v/>
      </c>
      <c r="P4992" s="66" t="str">
        <f t="shared" si="545"/>
        <v/>
      </c>
    </row>
    <row r="4993" spans="8:16">
      <c r="H4993" s="66" t="e">
        <f>IF(LEFT(A4993,6)="CEPNTR","GPINS",VLOOKUP(LEFT(A4993,6),'Code Library'!$A$3:$B$920,2,0))&amp;"_"&amp;RIGHT(A4993,3)</f>
        <v>#N/A</v>
      </c>
      <c r="I4993" s="66">
        <f t="shared" si="539"/>
        <v>0</v>
      </c>
      <c r="K4993" s="66" t="str">
        <f t="shared" si="540"/>
        <v/>
      </c>
      <c r="L4993" s="66" t="str">
        <f t="shared" si="541"/>
        <v/>
      </c>
      <c r="M4993" s="66" t="str">
        <f t="shared" si="542"/>
        <v/>
      </c>
      <c r="N4993" s="66" t="str">
        <f t="shared" si="543"/>
        <v/>
      </c>
      <c r="O4993" s="66" t="str">
        <f t="shared" si="544"/>
        <v/>
      </c>
      <c r="P4993" s="66" t="str">
        <f t="shared" si="545"/>
        <v/>
      </c>
    </row>
    <row r="4994" spans="8:16">
      <c r="H4994" s="66" t="e">
        <f>IF(LEFT(A4994,6)="CEPNTR","GPINS",VLOOKUP(LEFT(A4994,6),'Code Library'!$A$3:$B$920,2,0))&amp;"_"&amp;RIGHT(A4994,3)</f>
        <v>#N/A</v>
      </c>
      <c r="I4994" s="66">
        <f t="shared" si="539"/>
        <v>0</v>
      </c>
      <c r="K4994" s="66" t="str">
        <f t="shared" si="540"/>
        <v/>
      </c>
      <c r="L4994" s="66" t="str">
        <f t="shared" si="541"/>
        <v/>
      </c>
      <c r="M4994" s="66" t="str">
        <f t="shared" si="542"/>
        <v/>
      </c>
      <c r="N4994" s="66" t="str">
        <f t="shared" si="543"/>
        <v/>
      </c>
      <c r="O4994" s="66" t="str">
        <f t="shared" si="544"/>
        <v/>
      </c>
      <c r="P4994" s="66" t="str">
        <f t="shared" si="545"/>
        <v/>
      </c>
    </row>
    <row r="4995" spans="8:16">
      <c r="H4995" s="66" t="e">
        <f>IF(LEFT(A4995,6)="CEPNTR","GPINS",VLOOKUP(LEFT(A4995,6),'Code Library'!$A$3:$B$920,2,0))&amp;"_"&amp;RIGHT(A4995,3)</f>
        <v>#N/A</v>
      </c>
      <c r="I4995" s="66">
        <f t="shared" ref="I4995:I5000" si="546">A4995</f>
        <v>0</v>
      </c>
      <c r="K4995" s="66" t="str">
        <f t="shared" ref="K4995:K5000" si="547">RIGHT($B4995,2)</f>
        <v/>
      </c>
      <c r="L4995" s="66" t="str">
        <f t="shared" ref="L4995:L5000" si="548">LEFT(RIGHT($B4995,7),4)</f>
        <v/>
      </c>
      <c r="M4995" s="66" t="str">
        <f t="shared" ref="M4995:M5000" si="549">LEFT(RIGHT($B4995,10),2)</f>
        <v/>
      </c>
      <c r="N4995" s="66" t="str">
        <f t="shared" ref="N4995:N5000" si="550">LEFT(RIGHT($B4995,14),3)</f>
        <v/>
      </c>
      <c r="O4995" s="66" t="str">
        <f t="shared" ref="O4995:O5000" si="551">LEFT(RIGHT($B4995,16),1)</f>
        <v/>
      </c>
      <c r="P4995" s="66" t="str">
        <f t="shared" ref="P4995:P5000" si="552">LEFT(RIGHT($B4995,19),2)</f>
        <v/>
      </c>
    </row>
    <row r="4996" spans="8:16">
      <c r="H4996" s="66" t="e">
        <f>IF(LEFT(A4996,6)="CEPNTR","GPINS",VLOOKUP(LEFT(A4996,6),'Code Library'!$A$3:$B$920,2,0))&amp;"_"&amp;RIGHT(A4996,3)</f>
        <v>#N/A</v>
      </c>
      <c r="I4996" s="66">
        <f t="shared" si="546"/>
        <v>0</v>
      </c>
      <c r="K4996" s="66" t="str">
        <f t="shared" si="547"/>
        <v/>
      </c>
      <c r="L4996" s="66" t="str">
        <f t="shared" si="548"/>
        <v/>
      </c>
      <c r="M4996" s="66" t="str">
        <f t="shared" si="549"/>
        <v/>
      </c>
      <c r="N4996" s="66" t="str">
        <f t="shared" si="550"/>
        <v/>
      </c>
      <c r="O4996" s="66" t="str">
        <f t="shared" si="551"/>
        <v/>
      </c>
      <c r="P4996" s="66" t="str">
        <f t="shared" si="552"/>
        <v/>
      </c>
    </row>
    <row r="4997" spans="8:16">
      <c r="H4997" s="66" t="e">
        <f>IF(LEFT(A4997,6)="CEPNTR","GPINS",VLOOKUP(LEFT(A4997,6),'Code Library'!$A$3:$B$920,2,0))&amp;"_"&amp;RIGHT(A4997,3)</f>
        <v>#N/A</v>
      </c>
      <c r="I4997" s="66">
        <f t="shared" si="546"/>
        <v>0</v>
      </c>
      <c r="K4997" s="66" t="str">
        <f t="shared" si="547"/>
        <v/>
      </c>
      <c r="L4997" s="66" t="str">
        <f t="shared" si="548"/>
        <v/>
      </c>
      <c r="M4997" s="66" t="str">
        <f t="shared" si="549"/>
        <v/>
      </c>
      <c r="N4997" s="66" t="str">
        <f t="shared" si="550"/>
        <v/>
      </c>
      <c r="O4997" s="66" t="str">
        <f t="shared" si="551"/>
        <v/>
      </c>
      <c r="P4997" s="66" t="str">
        <f t="shared" si="552"/>
        <v/>
      </c>
    </row>
    <row r="4998" spans="8:16">
      <c r="H4998" s="66" t="e">
        <f>IF(LEFT(A4998,6)="CEPNTR","GPINS",VLOOKUP(LEFT(A4998,6),'Code Library'!$A$3:$B$920,2,0))&amp;"_"&amp;RIGHT(A4998,3)</f>
        <v>#N/A</v>
      </c>
      <c r="I4998" s="66">
        <f t="shared" si="546"/>
        <v>0</v>
      </c>
      <c r="K4998" s="66" t="str">
        <f t="shared" si="547"/>
        <v/>
      </c>
      <c r="L4998" s="66" t="str">
        <f t="shared" si="548"/>
        <v/>
      </c>
      <c r="M4998" s="66" t="str">
        <f t="shared" si="549"/>
        <v/>
      </c>
      <c r="N4998" s="66" t="str">
        <f t="shared" si="550"/>
        <v/>
      </c>
      <c r="O4998" s="66" t="str">
        <f t="shared" si="551"/>
        <v/>
      </c>
      <c r="P4998" s="66" t="str">
        <f t="shared" si="552"/>
        <v/>
      </c>
    </row>
    <row r="4999" spans="8:16">
      <c r="H4999" s="66" t="e">
        <f>IF(LEFT(A4999,6)="CEPNTR","GPINS",VLOOKUP(LEFT(A4999,6),'Code Library'!$A$3:$B$920,2,0))&amp;"_"&amp;RIGHT(A4999,3)</f>
        <v>#N/A</v>
      </c>
      <c r="I4999" s="66">
        <f t="shared" si="546"/>
        <v>0</v>
      </c>
      <c r="K4999" s="66" t="str">
        <f t="shared" si="547"/>
        <v/>
      </c>
      <c r="L4999" s="66" t="str">
        <f t="shared" si="548"/>
        <v/>
      </c>
      <c r="M4999" s="66" t="str">
        <f t="shared" si="549"/>
        <v/>
      </c>
      <c r="N4999" s="66" t="str">
        <f t="shared" si="550"/>
        <v/>
      </c>
      <c r="O4999" s="66" t="str">
        <f t="shared" si="551"/>
        <v/>
      </c>
      <c r="P4999" s="66" t="str">
        <f t="shared" si="552"/>
        <v/>
      </c>
    </row>
    <row r="5000" spans="8:16">
      <c r="H5000" s="66" t="e">
        <f>IF(LEFT(A5000,6)="CEPNTR","GPINS",VLOOKUP(LEFT(A5000,6),'Code Library'!$A$3:$B$920,2,0))&amp;"_"&amp;RIGHT(A5000,3)</f>
        <v>#N/A</v>
      </c>
      <c r="I5000" s="66">
        <f t="shared" si="546"/>
        <v>0</v>
      </c>
      <c r="K5000" s="66" t="str">
        <f t="shared" si="547"/>
        <v/>
      </c>
      <c r="L5000" s="66" t="str">
        <f t="shared" si="548"/>
        <v/>
      </c>
      <c r="M5000" s="66" t="str">
        <f t="shared" si="549"/>
        <v/>
      </c>
      <c r="N5000" s="66" t="str">
        <f t="shared" si="550"/>
        <v/>
      </c>
      <c r="O5000" s="66" t="str">
        <f t="shared" si="551"/>
        <v/>
      </c>
      <c r="P5000" s="66" t="str">
        <f t="shared" si="552"/>
        <v/>
      </c>
    </row>
  </sheetData>
  <autoFilter ref="A1:P573" xr:uid="{0E9AE526-2D88-42DC-8356-F11898E50B37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E8D0E-7389-46E6-A7A3-8D8EABA6E6C2}">
  <sheetPr codeName="Sheet28">
    <tabColor rgb="FF0070C0"/>
  </sheetPr>
  <dimension ref="A1"/>
  <sheetViews>
    <sheetView workbookViewId="0">
      <selection activeCell="N104" sqref="N104"/>
    </sheetView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9BC47-58C3-42BC-AB24-2499C79E9042}">
  <sheetPr codeName="Sheet11">
    <tabColor rgb="FFFF0000"/>
  </sheetPr>
  <dimension ref="A1:O26"/>
  <sheetViews>
    <sheetView zoomScale="70" zoomScaleNormal="70" workbookViewId="0">
      <selection activeCell="L4" sqref="L4"/>
    </sheetView>
  </sheetViews>
  <sheetFormatPr defaultColWidth="8.5703125" defaultRowHeight="12.75" outlineLevelRow="1"/>
  <cols>
    <col min="1" max="1" width="23.140625" style="14" bestFit="1" customWidth="1"/>
    <col min="2" max="2" width="12.42578125" style="14" bestFit="1" customWidth="1"/>
    <col min="3" max="3" width="11.42578125" style="14" customWidth="1"/>
    <col min="4" max="4" width="8.5703125" style="14"/>
    <col min="5" max="5" width="17.5703125" style="14" bestFit="1" customWidth="1"/>
    <col min="6" max="6" width="18.5703125" style="14" bestFit="1" customWidth="1"/>
    <col min="7" max="7" width="17.5703125" style="14" bestFit="1" customWidth="1"/>
    <col min="8" max="8" width="16.140625" style="14" bestFit="1" customWidth="1"/>
    <col min="9" max="9" width="11.5703125" style="14" bestFit="1" customWidth="1"/>
    <col min="10" max="10" width="12.5703125" style="14" bestFit="1" customWidth="1"/>
    <col min="11" max="11" width="16.42578125" style="14" bestFit="1" customWidth="1"/>
    <col min="12" max="12" width="18.42578125" style="14" bestFit="1" customWidth="1"/>
    <col min="13" max="15" width="11.140625" style="14" bestFit="1" customWidth="1"/>
    <col min="16" max="16384" width="8.5703125" style="14"/>
  </cols>
  <sheetData>
    <row r="1" spans="1:15" ht="15">
      <c r="A1" s="12" t="s">
        <v>1875</v>
      </c>
      <c r="B1" s="13" t="s">
        <v>1876</v>
      </c>
      <c r="C1" s="13" t="s">
        <v>1877</v>
      </c>
      <c r="E1" s="15" t="s">
        <v>1878</v>
      </c>
      <c r="F1" s="16" t="s">
        <v>1879</v>
      </c>
      <c r="G1" s="16" t="s">
        <v>1880</v>
      </c>
      <c r="H1" s="16" t="s">
        <v>1881</v>
      </c>
      <c r="I1" s="16" t="s">
        <v>1882</v>
      </c>
      <c r="K1" s="17" t="s">
        <v>1883</v>
      </c>
      <c r="L1" s="16" t="s">
        <v>1879</v>
      </c>
      <c r="M1" s="16" t="s">
        <v>1880</v>
      </c>
      <c r="N1" s="16" t="s">
        <v>1881</v>
      </c>
      <c r="O1" s="16" t="s">
        <v>1882</v>
      </c>
    </row>
    <row r="2" spans="1:15" ht="15">
      <c r="A2" s="18" t="s">
        <v>1884</v>
      </c>
      <c r="B2" s="19"/>
      <c r="C2" s="20"/>
      <c r="E2" s="16" t="s">
        <v>1885</v>
      </c>
      <c r="F2" s="21" t="e">
        <f ca="1">SUM(F3:F4)</f>
        <v>#REF!</v>
      </c>
      <c r="G2" s="22" t="e">
        <f ca="1">SUM(G3:G4)</f>
        <v>#VALUE!</v>
      </c>
      <c r="H2" s="22" t="e">
        <f ca="1">SUM(H3:H4)</f>
        <v>#VALUE!</v>
      </c>
      <c r="I2" s="22" t="e">
        <f ca="1">SUM(I3:I4)</f>
        <v>#VALUE!</v>
      </c>
      <c r="K2" s="16" t="s">
        <v>1885</v>
      </c>
      <c r="L2" s="21" t="e">
        <f ca="1">SUM(L3:L4)</f>
        <v>#REF!</v>
      </c>
      <c r="M2" s="22" t="e">
        <f ca="1">SUM(M3:M4)</f>
        <v>#VALUE!</v>
      </c>
      <c r="N2" s="22" t="e">
        <f t="shared" ref="N2:O2" ca="1" si="0">SUM(N3:N4)</f>
        <v>#VALUE!</v>
      </c>
      <c r="O2" s="22" t="e">
        <f t="shared" ca="1" si="0"/>
        <v>#VALUE!</v>
      </c>
    </row>
    <row r="3" spans="1:15" ht="15">
      <c r="A3" s="18" t="s">
        <v>1886</v>
      </c>
      <c r="B3" s="19"/>
      <c r="C3" s="20"/>
      <c r="E3" s="18" t="s">
        <v>1887</v>
      </c>
      <c r="F3" s="23" t="e">
        <f>-SUM(#REF!,#REF!,#REF!)/10^6</f>
        <v>#REF!</v>
      </c>
      <c r="G3" s="24" t="e">
        <f ca="1">-SUMIFS([6]Sheet1!$G:$G,[6]Sheet1!$E:$E,"ULP*B_")/10^6
-SUMIFS([6]Sheet1!$G:$G,[6]Sheet1!$E:$E,"SHP*B_")/10^6</f>
        <v>#VALUE!</v>
      </c>
      <c r="H3" s="24" t="e">
        <f ca="1">-SUMIFS([6]Sheet1!$G:$G,[6]Sheet1!$E:$E,"ULP*H_")/10^6
-SUMIFS([6]Sheet1!$G:$G,[6]Sheet1!$E:$E,"SHP*H_")/10^6</f>
        <v>#VALUE!</v>
      </c>
      <c r="I3" s="24" t="e">
        <f ca="1">-SUMIFS([6]Sheet1!$G:$G,[6]Sheet1!$E:$E,"ULP*P_")/10^6
-SUMIFS([6]Sheet1!$G:$G,[6]Sheet1!$E:$E,"SHP*P_")/10^6</f>
        <v>#VALUE!</v>
      </c>
      <c r="K3" s="18" t="s">
        <v>1887</v>
      </c>
      <c r="L3" s="23" t="e">
        <f>-SUM(#REF!,#REF!,#REF!)/10^6</f>
        <v>#REF!</v>
      </c>
      <c r="M3" s="19" t="e">
        <f ca="1">G3</f>
        <v>#VALUE!</v>
      </c>
      <c r="N3" s="19" t="e">
        <f ca="1">H3</f>
        <v>#VALUE!</v>
      </c>
      <c r="O3" s="19" t="e">
        <f ca="1">I3</f>
        <v>#VALUE!</v>
      </c>
    </row>
    <row r="4" spans="1:15" ht="15">
      <c r="A4" s="25" t="s">
        <v>1888</v>
      </c>
      <c r="B4" s="26"/>
      <c r="C4" s="27"/>
      <c r="E4" s="18" t="s">
        <v>1889</v>
      </c>
      <c r="F4" s="24" t="e">
        <f ca="1">-(SUM(#REF!,#REF!)-SUM(#REF!,#REF!))/10^6+'[5]IS PL mapping Total'!AK35</f>
        <v>#REF!</v>
      </c>
      <c r="G4" s="24" t="e">
        <f ca="1">-SUMIFS([6]Sheet1!$J:$J,[6]Sheet1!$E:$E,"ULP*B_")/10^6
-SUMIFS([6]Sheet1!$J:$J,[6]Sheet1!$E:$E,"SHP*B_")/10^6
+'[5]IS PL mapping Total'!AK35</f>
        <v>#VALUE!</v>
      </c>
      <c r="H4" s="24" t="e">
        <f ca="1">-SUMIFS([6]Sheet1!$J:$J,[6]Sheet1!$E:$E,"ULP*H_")/10^6
-SUMIFS([6]Sheet1!$J:$J,[6]Sheet1!$E:$E,"SHP*H_")/10^6
-SUMIFS([6]Sheet1!$K:$K,[6]Sheet1!$E:$E,"ULP*H_")/10^6
-SUMIFS([6]Sheet1!$K:$K,[6]Sheet1!$E:$E,"SHP*H_")/10^6-103</f>
        <v>#VALUE!</v>
      </c>
      <c r="I4" s="24" t="e">
        <f ca="1">-SUMIFS([6]Sheet1!$J:$J,[6]Sheet1!$E:$E,"ULP*P_")/10^6
-SUMIFS([6]Sheet1!$J:$J,[6]Sheet1!$E:$E,"SHP*P_")/10^6</f>
        <v>#VALUE!</v>
      </c>
      <c r="K4" s="18" t="s">
        <v>1889</v>
      </c>
      <c r="L4" s="28" t="e">
        <f ca="1">F4</f>
        <v>#REF!</v>
      </c>
      <c r="M4" s="28" t="e">
        <f ca="1">G4*B26</f>
        <v>#VALUE!</v>
      </c>
      <c r="N4" s="28" t="e">
        <f ca="1">H4</f>
        <v>#VALUE!</v>
      </c>
      <c r="O4" s="28" t="e">
        <f ca="1">I4+G4*(1-B26)</f>
        <v>#VALUE!</v>
      </c>
    </row>
    <row r="5" spans="1:15" ht="15">
      <c r="A5" s="18"/>
      <c r="B5" s="19"/>
      <c r="C5" s="18"/>
      <c r="G5" s="29"/>
    </row>
    <row r="6" spans="1:15" ht="15" outlineLevel="1">
      <c r="A6" s="18" t="s">
        <v>1890</v>
      </c>
      <c r="B6" s="19"/>
      <c r="C6" s="30"/>
      <c r="E6" s="15" t="s">
        <v>1891</v>
      </c>
      <c r="F6" s="16" t="s">
        <v>1879</v>
      </c>
      <c r="G6" s="16" t="s">
        <v>1880</v>
      </c>
      <c r="I6" s="31" t="e">
        <f ca="1">SUM('[5]IS PL mapping Total'!L54,'[5]IS PL mapping Total'!L56)+F3+F8</f>
        <v>#REF!</v>
      </c>
    </row>
    <row r="7" spans="1:15" ht="15" outlineLevel="1">
      <c r="A7" s="18" t="s">
        <v>1892</v>
      </c>
      <c r="B7" s="19"/>
      <c r="C7" s="30"/>
      <c r="E7" s="16" t="s">
        <v>1893</v>
      </c>
      <c r="F7" s="32">
        <f ca="1">SUM(F8:F9)</f>
        <v>-111119.23537800001</v>
      </c>
      <c r="G7" s="32">
        <f ca="1">SUM(G8:G9)</f>
        <v>-111119.23537800001</v>
      </c>
    </row>
    <row r="8" spans="1:15" ht="15" outlineLevel="1">
      <c r="A8" s="33" t="s">
        <v>1894</v>
      </c>
      <c r="B8" s="34"/>
      <c r="C8" s="35"/>
      <c r="E8" s="18" t="s">
        <v>1887</v>
      </c>
      <c r="F8" s="19">
        <f ca="1">-SUM('[7]Grp Saving #Policy&amp;Fund Alloc'!$B$17)</f>
        <v>-111089.23537800001</v>
      </c>
      <c r="G8" s="19">
        <f ca="1">F8</f>
        <v>-111089.23537800001</v>
      </c>
    </row>
    <row r="9" spans="1:15" ht="15" outlineLevel="1">
      <c r="A9" s="18"/>
      <c r="B9" s="19"/>
      <c r="C9" s="30"/>
      <c r="E9" s="18" t="s">
        <v>1889</v>
      </c>
      <c r="F9" s="19">
        <f ca="1">-'[7]Grp Saving #Policy&amp;Fund Alloc'!$B$23</f>
        <v>-29.999999999999996</v>
      </c>
      <c r="G9" s="19">
        <f ca="1">F9</f>
        <v>-29.999999999999996</v>
      </c>
    </row>
    <row r="10" spans="1:15" ht="15" outlineLevel="1">
      <c r="A10" s="18" t="s">
        <v>1895</v>
      </c>
      <c r="B10" s="19"/>
      <c r="C10" s="30"/>
    </row>
    <row r="11" spans="1:15" ht="15">
      <c r="A11" s="18" t="s">
        <v>1896</v>
      </c>
      <c r="B11" s="19"/>
      <c r="C11" s="30"/>
    </row>
    <row r="12" spans="1:15" ht="15">
      <c r="A12" s="33" t="s">
        <v>1897</v>
      </c>
      <c r="B12" s="34"/>
      <c r="C12" s="35"/>
    </row>
    <row r="13" spans="1:15" ht="15">
      <c r="A13" s="18"/>
      <c r="B13" s="19"/>
      <c r="C13" s="30"/>
    </row>
    <row r="14" spans="1:15" ht="15">
      <c r="A14" s="18" t="s">
        <v>1898</v>
      </c>
      <c r="B14" s="19"/>
      <c r="C14" s="30"/>
    </row>
    <row r="15" spans="1:15" ht="15">
      <c r="A15" s="18" t="s">
        <v>1899</v>
      </c>
      <c r="B15" s="19"/>
      <c r="C15" s="30"/>
    </row>
    <row r="16" spans="1:15" ht="15">
      <c r="A16" s="33" t="s">
        <v>1900</v>
      </c>
      <c r="B16" s="34"/>
      <c r="C16" s="35"/>
    </row>
    <row r="18" spans="1:9" ht="15">
      <c r="A18" s="12" t="s">
        <v>1901</v>
      </c>
      <c r="B18" s="13" t="str">
        <f ca="1">'[8]Summary Total'!F1</f>
        <v>Amount</v>
      </c>
      <c r="C18" s="13" t="s">
        <v>1877</v>
      </c>
    </row>
    <row r="19" spans="1:9" ht="15">
      <c r="A19" s="25" t="s">
        <v>1902</v>
      </c>
      <c r="B19" s="36">
        <f ca="1">'[8]Summary Total'!F2</f>
        <v>1796674.7670290067</v>
      </c>
      <c r="C19" s="30">
        <f ca="1">B19/$B$19</f>
        <v>1</v>
      </c>
    </row>
    <row r="20" spans="1:9" ht="15">
      <c r="A20" s="18" t="s">
        <v>1903</v>
      </c>
      <c r="B20" s="36">
        <f ca="1">'[8]Summary Total'!F3</f>
        <v>143042.29704895269</v>
      </c>
      <c r="C20" s="35">
        <f ca="1">B20/$B$19</f>
        <v>7.9615019743104865E-2</v>
      </c>
    </row>
    <row r="21" spans="1:9" ht="15">
      <c r="A21" s="18" t="s">
        <v>1904</v>
      </c>
      <c r="B21" s="36">
        <f ca="1">'[8]Summary Total'!F4</f>
        <v>1256669.6880536166</v>
      </c>
      <c r="C21" s="35">
        <f ca="1">B21/$B$19</f>
        <v>0.699441941922329</v>
      </c>
    </row>
    <row r="22" spans="1:9" ht="15">
      <c r="A22" s="18" t="s">
        <v>1905</v>
      </c>
      <c r="B22" s="36">
        <f ca="1">'[8]Summary Total'!F5</f>
        <v>396962.78192643798</v>
      </c>
      <c r="C22" s="35">
        <f ca="1">B22/$B$19</f>
        <v>0.22094303833456638</v>
      </c>
      <c r="E22" s="14" t="s">
        <v>1906</v>
      </c>
    </row>
    <row r="23" spans="1:9" ht="15">
      <c r="A23" s="25" t="s">
        <v>1907</v>
      </c>
      <c r="B23" s="36">
        <f ca="1">'[8]Summary Total'!F6</f>
        <v>6574985.0122971293</v>
      </c>
      <c r="E23" s="14" t="s">
        <v>1908</v>
      </c>
      <c r="F23" s="37">
        <f ca="1">-SUM('[9]manual_J v2'!$P$197:$P$198)/10^6</f>
        <v>168485.07001238424</v>
      </c>
      <c r="G23" s="37">
        <f ca="1">$F23*'[5]IS PL mapping Total'!W$15/'[5]IS PL mapping Total'!$K$15</f>
        <v>38273.534414983907</v>
      </c>
      <c r="H23" s="37">
        <f ca="1">$F23*'[5]IS PL mapping Total'!X$15/'[5]IS PL mapping Total'!$K$15</f>
        <v>75557.659194486361</v>
      </c>
      <c r="I23" s="37">
        <f ca="1">$F23*'[5]IS PL mapping Total'!Y$15/'[5]IS PL mapping Total'!$K$15</f>
        <v>54653.876402913906</v>
      </c>
    </row>
    <row r="25" spans="1:9" ht="15">
      <c r="A25" s="16" t="str">
        <f ca="1">'[8]Summary Total'!E8</f>
        <v>Claim Base Ori</v>
      </c>
      <c r="B25" s="38">
        <f ca="1">'[8]Summary Total'!F8</f>
        <v>373990.5793533792</v>
      </c>
    </row>
    <row r="26" spans="1:9">
      <c r="A26" s="16" t="s">
        <v>1909</v>
      </c>
      <c r="B26" s="39">
        <f ca="1">B20/B25</f>
        <v>0.38247566902960339</v>
      </c>
    </row>
  </sheetData>
  <pageMargins left="0.7" right="0.7" top="0.75" bottom="0.75" header="0.3" footer="0.3"/>
  <pageSetup orientation="portrait" horizontalDpi="200" verticalDpi="20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1EA50-3CB6-4D20-A552-48CAFBC476C2}">
  <sheetPr codeName="Sheet10"/>
  <dimension ref="A1:W206"/>
  <sheetViews>
    <sheetView zoomScale="60" zoomScaleNormal="60" workbookViewId="0">
      <pane xSplit="4" ySplit="10" topLeftCell="E149" activePane="bottomRight" state="frozen"/>
      <selection activeCell="N104" sqref="N104"/>
      <selection pane="topRight" activeCell="N104" sqref="N104"/>
      <selection pane="bottomLeft" activeCell="N104" sqref="N104"/>
      <selection pane="bottomRight" activeCell="D185" sqref="D185"/>
    </sheetView>
  </sheetViews>
  <sheetFormatPr defaultRowHeight="15"/>
  <cols>
    <col min="1" max="1" width="36.85546875" style="58" bestFit="1" customWidth="1"/>
    <col min="2" max="2" width="19.140625" customWidth="1"/>
    <col min="3" max="3" width="22.85546875" bestFit="1" customWidth="1"/>
    <col min="4" max="4" width="30" style="59" bestFit="1" customWidth="1"/>
    <col min="5" max="5" width="30" customWidth="1"/>
    <col min="6" max="6" width="27.140625" customWidth="1"/>
    <col min="7" max="8" width="35.5703125" customWidth="1"/>
    <col min="9" max="9" width="22.42578125" customWidth="1"/>
    <col min="10" max="10" width="24.140625" bestFit="1" customWidth="1"/>
    <col min="11" max="11" width="22.85546875" bestFit="1" customWidth="1"/>
    <col min="12" max="12" width="28.5703125" bestFit="1" customWidth="1"/>
    <col min="13" max="13" width="18.42578125" customWidth="1"/>
    <col min="14" max="14" width="25.42578125" bestFit="1" customWidth="1"/>
    <col min="15" max="15" width="22.28515625" bestFit="1" customWidth="1"/>
    <col min="16" max="16" width="25.140625" bestFit="1" customWidth="1"/>
    <col min="17" max="17" width="18.42578125" customWidth="1"/>
    <col min="18" max="18" width="20.85546875" bestFit="1" customWidth="1"/>
    <col min="19" max="19" width="20.140625" bestFit="1" customWidth="1"/>
    <col min="20" max="20" width="20.140625" customWidth="1"/>
    <col min="21" max="21" width="141.140625" bestFit="1" customWidth="1"/>
  </cols>
  <sheetData>
    <row r="1" spans="1:23">
      <c r="A1"/>
      <c r="D1"/>
      <c r="E1" s="72" t="s">
        <v>18</v>
      </c>
      <c r="F1" s="72"/>
      <c r="G1" s="72"/>
      <c r="H1" s="72"/>
      <c r="I1" s="74" t="s">
        <v>19</v>
      </c>
      <c r="J1" s="75"/>
      <c r="K1" s="75"/>
      <c r="L1" s="76"/>
      <c r="M1" s="74" t="s">
        <v>20</v>
      </c>
      <c r="N1" s="75"/>
      <c r="O1" s="75"/>
      <c r="P1" s="76"/>
      <c r="Q1" s="74" t="s">
        <v>1910</v>
      </c>
      <c r="R1" s="75"/>
      <c r="S1" s="75"/>
      <c r="T1" s="76"/>
    </row>
    <row r="2" spans="1:23">
      <c r="A2"/>
      <c r="D2" s="3" t="s">
        <v>1911</v>
      </c>
      <c r="E2" s="51" t="s">
        <v>23</v>
      </c>
      <c r="F2" s="51" t="s">
        <v>24</v>
      </c>
      <c r="G2" s="51" t="s">
        <v>25</v>
      </c>
      <c r="H2" s="51" t="s">
        <v>26</v>
      </c>
      <c r="I2" s="51" t="s">
        <v>27</v>
      </c>
      <c r="J2" s="51" t="str">
        <f>F2</f>
        <v>sa_if_m</v>
      </c>
      <c r="K2" s="51" t="str">
        <f>G2</f>
        <v>anp_if_m</v>
      </c>
      <c r="L2" s="51" t="s">
        <v>26</v>
      </c>
      <c r="M2" s="51" t="s">
        <v>27</v>
      </c>
      <c r="N2" s="51" t="str">
        <f>J2</f>
        <v>sa_if_m</v>
      </c>
      <c r="O2" s="50" t="str">
        <f>K2</f>
        <v>anp_if_m</v>
      </c>
      <c r="P2" s="51" t="s">
        <v>26</v>
      </c>
      <c r="Q2" s="51" t="s">
        <v>27</v>
      </c>
      <c r="R2" s="51" t="str">
        <f>N2</f>
        <v>sa_if_m</v>
      </c>
      <c r="S2" s="50" t="str">
        <f>O2</f>
        <v>anp_if_m</v>
      </c>
      <c r="T2" s="51" t="s">
        <v>26</v>
      </c>
    </row>
    <row r="3" spans="1:23">
      <c r="A3"/>
      <c r="D3" s="3" t="s">
        <v>1912</v>
      </c>
      <c r="E3" s="1">
        <f>SUM(DV_AZUL_Stat!C:C)</f>
        <v>702213</v>
      </c>
      <c r="F3" s="1">
        <f>SUM(DV_AZUL_Stat!E:E)</f>
        <v>217698190378349.25</v>
      </c>
      <c r="G3" s="1">
        <f>SUM(DV_AZUL_Stat!D:D)</f>
        <v>11805927008072.543</v>
      </c>
      <c r="H3" s="1">
        <f>SUM(DV_AZUL_Stat!F:F)</f>
        <v>13875898220892.736</v>
      </c>
      <c r="I3" s="1">
        <f>SUM(IT_AZUL_FULL_Stat!C:C)</f>
        <v>705622</v>
      </c>
      <c r="J3" s="1">
        <f>SUM(IT_AZUL_FULL_Stat!E:E)</f>
        <v>218914507985959.13</v>
      </c>
      <c r="K3" s="1">
        <f>SUM(IT_AZUL_FULL_Stat!D:D)</f>
        <v>11923855254706.744</v>
      </c>
      <c r="L3" s="1">
        <f>SUM(IT_AZUL_FULL_Stat!F:F)</f>
        <v>13917365413759.914</v>
      </c>
      <c r="M3" s="7">
        <f>E3-I3</f>
        <v>-3409</v>
      </c>
      <c r="N3" s="7">
        <f>F3-J3</f>
        <v>-1216317607609.875</v>
      </c>
      <c r="O3" s="7">
        <f>G3-K3</f>
        <v>-117928246634.20117</v>
      </c>
      <c r="P3" s="7">
        <f>H3-L3</f>
        <v>-41467192867.177734</v>
      </c>
      <c r="Q3" s="52"/>
      <c r="R3" s="52"/>
      <c r="S3" s="52"/>
      <c r="T3" s="52"/>
    </row>
    <row r="4" spans="1:23">
      <c r="A4"/>
      <c r="D4" s="3" t="s">
        <v>1913</v>
      </c>
      <c r="E4" s="7">
        <f>SUM($E$11:$E$393)</f>
        <v>702213</v>
      </c>
      <c r="F4" s="7">
        <f>SUM($F$11:$F$393)</f>
        <v>217698190378349.28</v>
      </c>
      <c r="G4" s="7">
        <f>SUM($G$11:$G$393)</f>
        <v>11805927008072.539</v>
      </c>
      <c r="H4" s="7">
        <f>SUM($H$11:$H$393)</f>
        <v>13875898220892.742</v>
      </c>
      <c r="I4" s="7">
        <f>SUM($I$11:$I$393)</f>
        <v>705622</v>
      </c>
      <c r="J4" s="7">
        <f>SUM($J$11:$J$393)</f>
        <v>218914507985959.13</v>
      </c>
      <c r="K4" s="7">
        <f>SUM($K$11:$K$393)</f>
        <v>11923855254706.744</v>
      </c>
      <c r="L4" s="7">
        <f>SUM($L$11:$L$393)</f>
        <v>13917365413759.916</v>
      </c>
      <c r="M4" s="7">
        <f>SUM(M11:M393)</f>
        <v>-3409</v>
      </c>
      <c r="N4" s="7">
        <f>SUM(N11:N393)</f>
        <v>-1216317607609.834</v>
      </c>
      <c r="O4" s="7">
        <f>SUM(O11:O393)</f>
        <v>-117928246634.20531</v>
      </c>
      <c r="P4" s="7">
        <f>SUM(P11:P393)</f>
        <v>-41467192867.180626</v>
      </c>
      <c r="Q4" s="53"/>
      <c r="R4" s="53"/>
      <c r="S4" s="53"/>
      <c r="T4" s="53"/>
    </row>
    <row r="5" spans="1:23">
      <c r="A5"/>
      <c r="D5" s="3" t="s">
        <v>1914</v>
      </c>
      <c r="E5" s="54">
        <f>E3-E4</f>
        <v>0</v>
      </c>
      <c r="F5" s="54">
        <f t="shared" ref="F5:K5" si="0">F3-F4</f>
        <v>0</v>
      </c>
      <c r="G5" s="54">
        <f t="shared" si="0"/>
        <v>0</v>
      </c>
      <c r="H5" s="54">
        <f t="shared" si="0"/>
        <v>0</v>
      </c>
      <c r="I5" s="54">
        <f t="shared" si="0"/>
        <v>0</v>
      </c>
      <c r="J5" s="54">
        <f t="shared" si="0"/>
        <v>0</v>
      </c>
      <c r="K5" s="54">
        <f t="shared" si="0"/>
        <v>0</v>
      </c>
      <c r="L5" s="54">
        <f>L3-L4</f>
        <v>0</v>
      </c>
      <c r="M5" s="54">
        <f>M3-M4</f>
        <v>0</v>
      </c>
      <c r="N5" s="54">
        <f>N3-N4</f>
        <v>-4.1015625E-2</v>
      </c>
      <c r="O5" s="54">
        <f>O3-O4</f>
        <v>4.1351318359375E-3</v>
      </c>
      <c r="P5" s="54">
        <f>P3-P4</f>
        <v>2.89154052734375E-3</v>
      </c>
      <c r="Q5" s="53"/>
      <c r="R5" s="53"/>
      <c r="S5" s="53"/>
      <c r="T5" s="53"/>
      <c r="U5" s="55"/>
    </row>
    <row r="6" spans="1:23" ht="30">
      <c r="A6"/>
      <c r="D6" s="56" t="s">
        <v>1915</v>
      </c>
      <c r="E6" s="10">
        <f>SUMIFS(E$11:E$890,$B$11:$B$890,"U*")</f>
        <v>697531</v>
      </c>
      <c r="F6" s="10">
        <f>SUMIFS(F$11:F$890,$B$11:$B$890,"U*")</f>
        <v>217684088375899.28</v>
      </c>
      <c r="G6" s="10">
        <f>SUMIFS(G$11:G$149,$B$11:$B$149,"U*")</f>
        <v>11636437161437.467</v>
      </c>
      <c r="H6" s="10">
        <f>SUMIFS(H$11:H$890,$B$11:$B$890,"U*")</f>
        <v>13766609686663.229</v>
      </c>
      <c r="I6" s="10">
        <f>SUMIFS(I$11:I$890,$B$11:$B$890,"U*")</f>
        <v>698430</v>
      </c>
      <c r="J6" s="10">
        <f>SUMIFS(J$11:J$890,$B$11:$B$890,"U*")</f>
        <v>217986372861316.13</v>
      </c>
      <c r="K6" s="10">
        <f>SUMIFS(K$11:K$890,$B$11:$B$890,"U*")</f>
        <v>11796221347963.938</v>
      </c>
      <c r="L6" s="10">
        <f>SUMIFS(L$11:L$890,$B$11:$B$890,"U*")</f>
        <v>13769650633885.428</v>
      </c>
      <c r="M6" s="10">
        <f>SUM(M11:M890)</f>
        <v>-3409</v>
      </c>
      <c r="N6" s="10">
        <f>SUM(N11:N890)</f>
        <v>-1216317607609.834</v>
      </c>
      <c r="O6" s="10">
        <f>SUM(O11:O890)</f>
        <v>-117928246634.20531</v>
      </c>
      <c r="P6" s="10">
        <f>SUM(P11:P890)</f>
        <v>-41467192867.180626</v>
      </c>
      <c r="Q6" s="57">
        <f>SUM(Q11:Q890)/SUM(I11:I890)</f>
        <v>-6.6496838197078738E-6</v>
      </c>
      <c r="R6" s="57">
        <f>SUM(R11:R890)/SUM(J11:J890)</f>
        <v>-2.2695492134640038E-14</v>
      </c>
      <c r="S6" s="57">
        <f>SUM(S11:S890)/SUM(K11:K890)</f>
        <v>-4.2383860913737252E-13</v>
      </c>
      <c r="T6" s="57">
        <f>SUM(T11:T890)/SUM(L11:L890)</f>
        <v>-3.4685341310630812E-13</v>
      </c>
      <c r="U6" s="67" t="s">
        <v>2641</v>
      </c>
    </row>
    <row r="7" spans="1:23">
      <c r="A7"/>
      <c r="D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</row>
    <row r="8" spans="1:23">
      <c r="A8"/>
      <c r="D8"/>
    </row>
    <row r="9" spans="1:23">
      <c r="A9" s="71" t="s">
        <v>1916</v>
      </c>
      <c r="B9" s="71" t="s">
        <v>1917</v>
      </c>
      <c r="C9" s="71" t="s">
        <v>1918</v>
      </c>
      <c r="D9" s="71" t="s">
        <v>459</v>
      </c>
      <c r="E9" s="72" t="s">
        <v>18</v>
      </c>
      <c r="F9" s="72"/>
      <c r="G9" s="72"/>
      <c r="H9" s="73"/>
      <c r="I9" s="74" t="s">
        <v>19</v>
      </c>
      <c r="J9" s="75"/>
      <c r="K9" s="75"/>
      <c r="L9" s="76"/>
      <c r="M9" s="74" t="s">
        <v>20</v>
      </c>
      <c r="N9" s="75"/>
      <c r="O9" s="75"/>
      <c r="P9" s="76"/>
      <c r="Q9" s="74" t="s">
        <v>21</v>
      </c>
      <c r="R9" s="75"/>
      <c r="S9" s="75"/>
      <c r="T9" s="76"/>
      <c r="U9" s="69" t="s">
        <v>22</v>
      </c>
    </row>
    <row r="10" spans="1:23">
      <c r="A10" s="78"/>
      <c r="B10" s="78"/>
      <c r="C10" s="78"/>
      <c r="D10" s="72"/>
      <c r="E10" s="51" t="s">
        <v>23</v>
      </c>
      <c r="F10" s="51" t="s">
        <v>24</v>
      </c>
      <c r="G10" s="51" t="s">
        <v>25</v>
      </c>
      <c r="H10" s="51" t="s">
        <v>26</v>
      </c>
      <c r="I10" s="51" t="s">
        <v>27</v>
      </c>
      <c r="J10" s="51" t="str">
        <f>F10</f>
        <v>sa_if_m</v>
      </c>
      <c r="K10" s="51" t="str">
        <f>G10</f>
        <v>anp_if_m</v>
      </c>
      <c r="L10" s="51" t="s">
        <v>26</v>
      </c>
      <c r="M10" s="51" t="s">
        <v>27</v>
      </c>
      <c r="N10" s="51" t="str">
        <f>J10</f>
        <v>sa_if_m</v>
      </c>
      <c r="O10" s="50" t="str">
        <f>K10</f>
        <v>anp_if_m</v>
      </c>
      <c r="P10" s="51" t="s">
        <v>26</v>
      </c>
      <c r="Q10" s="51" t="s">
        <v>27</v>
      </c>
      <c r="R10" s="51" t="str">
        <f>N10</f>
        <v>sa_if_m</v>
      </c>
      <c r="S10" s="50" t="str">
        <f>O10</f>
        <v>anp_if_m</v>
      </c>
      <c r="T10" s="51" t="s">
        <v>26</v>
      </c>
      <c r="U10" s="70"/>
    </row>
    <row r="11" spans="1:23">
      <c r="A11" s="58" t="str">
        <f>_xlfn.XLOOKUP(B11,[10]Sheet1!$D:$D,[10]Sheet1!$E:$E)</f>
        <v>Allianz Tasbih</v>
      </c>
      <c r="B11" t="str">
        <f t="shared" ref="B11:B74" si="1">LEFT(C11,6)</f>
        <v>UEATSB</v>
      </c>
      <c r="C11" t="str">
        <f>VLOOKUP(D11,DV_AZUL_Stat!H:I,2,FALSE)</f>
        <v>UEATSB_IDR</v>
      </c>
      <c r="D11" s="59" t="s">
        <v>1919</v>
      </c>
      <c r="E11" s="1">
        <f>SUMIF(DV_AZUL_Stat!H:H,Summary_Checking_UL!$D11,DV_AZUL_Stat!C:C)</f>
        <v>1975</v>
      </c>
      <c r="F11" s="1">
        <f>SUMIF(DV_AZUL_Stat!H:H,Summary_Checking_UL!$D11,DV_AZUL_Stat!E:E)</f>
        <v>321182000000</v>
      </c>
      <c r="G11" s="1">
        <f>SUMIF(DV_AZUL_Stat!H:H,Summary_Checking_UL!$D11,DV_AZUL_Stat!D:D)</f>
        <v>51395012680</v>
      </c>
      <c r="H11" s="1">
        <f>SUMIF(DV_AZUL_Stat!H:H,Summary_Checking_UL!$D11,DV_AZUL_Stat!F:F)</f>
        <v>25680120900</v>
      </c>
      <c r="I11" s="46">
        <f>SUMIF(IT_AZUL_FULL_Stat!$H:$H,Summary_Checking_UL!$D11,IT_AZUL_FULL_Stat!C:C)</f>
        <v>1975</v>
      </c>
      <c r="J11" s="46">
        <f>SUMIF(IT_AZUL_FULL_Stat!$H:$H,Summary_Checking_UL!$D11,IT_AZUL_FULL_Stat!E:E)</f>
        <v>321182000000</v>
      </c>
      <c r="K11" s="46">
        <f>SUMIF(IT_AZUL_FULL_Stat!$H:$H,Summary_Checking_UL!$D11,IT_AZUL_FULL_Stat!D:D)</f>
        <v>51395012680</v>
      </c>
      <c r="L11" s="46">
        <f>SUMIF(IT_AZUL_FULL_Stat!$H:$H,Summary_Checking_UL!$D11,IT_AZUL_FULL_Stat!F:F)</f>
        <v>25680120888.311699</v>
      </c>
      <c r="M11" s="7">
        <f t="shared" ref="M11:P26" si="2">E11-I11</f>
        <v>0</v>
      </c>
      <c r="N11" s="7">
        <f t="shared" si="2"/>
        <v>0</v>
      </c>
      <c r="O11" s="7">
        <f t="shared" si="2"/>
        <v>0</v>
      </c>
      <c r="P11" s="7">
        <f t="shared" si="2"/>
        <v>11.688301086425781</v>
      </c>
      <c r="Q11" s="48">
        <f t="shared" ref="Q11:T28" si="3">IFERROR(M11/I11,0)</f>
        <v>0</v>
      </c>
      <c r="R11" s="48">
        <f t="shared" si="3"/>
        <v>0</v>
      </c>
      <c r="S11" s="48">
        <f t="shared" si="3"/>
        <v>0</v>
      </c>
      <c r="T11" s="48">
        <f t="shared" si="3"/>
        <v>4.5514976885275135E-10</v>
      </c>
      <c r="W11" s="46" t="str">
        <f>RIGHT(D11,3)</f>
        <v>IDR</v>
      </c>
    </row>
    <row r="12" spans="1:23">
      <c r="A12" s="58" t="str">
        <f>_xlfn.XLOOKUP(B12,[10]Sheet1!$D:$D,[10]Sheet1!$E:$E)</f>
        <v>Allianz Asset Link Maxima</v>
      </c>
      <c r="B12" t="str">
        <f t="shared" si="1"/>
        <v>ULAALM</v>
      </c>
      <c r="C12" t="str">
        <f>VLOOKUP(D12,DV_AZUL_Stat!H:I,2,FALSE)</f>
        <v>ULAALM_IDR</v>
      </c>
      <c r="D12" s="59" t="s">
        <v>1920</v>
      </c>
      <c r="E12" s="1">
        <f>SUMIF(DV_AZUL_Stat!H:H,Summary_Checking_UL!$D12,DV_AZUL_Stat!C:C)</f>
        <v>61</v>
      </c>
      <c r="F12" s="1">
        <f>SUMIF(DV_AZUL_Stat!H:H,Summary_Checking_UL!$D12,DV_AZUL_Stat!E:E)</f>
        <v>4740000000</v>
      </c>
      <c r="G12" s="1">
        <f>SUMIF(DV_AZUL_Stat!H:H,Summary_Checking_UL!$D12,DV_AZUL_Stat!D:D)</f>
        <v>3160000000</v>
      </c>
      <c r="H12" s="1">
        <f>SUMIF(DV_AZUL_Stat!H:H,Summary_Checking_UL!$D12,DV_AZUL_Stat!F:F)</f>
        <v>9829611135.9103184</v>
      </c>
      <c r="I12" s="46">
        <f>SUMIF(IT_AZUL_FULL_Stat!$H:$H,Summary_Checking_UL!$D12,IT_AZUL_FULL_Stat!C:C)</f>
        <v>61</v>
      </c>
      <c r="J12" s="46">
        <f>SUMIF(IT_AZUL_FULL_Stat!$H:$H,Summary_Checking_UL!$D12,IT_AZUL_FULL_Stat!E:E)</f>
        <v>4740000000</v>
      </c>
      <c r="K12" s="46">
        <f>SUMIF(IT_AZUL_FULL_Stat!$H:$H,Summary_Checking_UL!$D12,IT_AZUL_FULL_Stat!D:D)</f>
        <v>3160000000</v>
      </c>
      <c r="L12" s="46">
        <f>SUMIF(IT_AZUL_FULL_Stat!$H:$H,Summary_Checking_UL!$D12,IT_AZUL_FULL_Stat!F:F)</f>
        <v>9829611142.0338192</v>
      </c>
      <c r="M12" s="7">
        <f t="shared" si="2"/>
        <v>0</v>
      </c>
      <c r="N12" s="7">
        <f t="shared" si="2"/>
        <v>0</v>
      </c>
      <c r="O12" s="7">
        <f t="shared" si="2"/>
        <v>0</v>
      </c>
      <c r="P12" s="7">
        <f t="shared" si="2"/>
        <v>-6.1235008239746094</v>
      </c>
      <c r="Q12" s="48">
        <f t="shared" si="3"/>
        <v>0</v>
      </c>
      <c r="R12" s="48">
        <f t="shared" si="3"/>
        <v>0</v>
      </c>
      <c r="S12" s="48">
        <f t="shared" si="3"/>
        <v>0</v>
      </c>
      <c r="T12" s="48">
        <f t="shared" si="3"/>
        <v>-6.2296470689354366E-10</v>
      </c>
      <c r="W12" s="46" t="str">
        <f t="shared" ref="W12:W75" si="4">RIGHT(D12,3)</f>
        <v>IDR</v>
      </c>
    </row>
    <row r="13" spans="1:23">
      <c r="A13" s="58" t="str">
        <f>_xlfn.XLOOKUP(B13,[10]Sheet1!$D:$D,[10]Sheet1!$E:$E)</f>
        <v>Allianz Asset Link Maxima</v>
      </c>
      <c r="B13" t="str">
        <f t="shared" si="1"/>
        <v>ULAALM</v>
      </c>
      <c r="C13" t="str">
        <f>VLOOKUP(D13,DV_AZUL_Stat!H:I,2,FALSE)</f>
        <v>ULAALM_USD</v>
      </c>
      <c r="D13" s="59" t="s">
        <v>1921</v>
      </c>
      <c r="E13" s="1">
        <f>SUMIF(DV_AZUL_Stat!H:H,Summary_Checking_UL!$D13,DV_AZUL_Stat!C:C)</f>
        <v>50</v>
      </c>
      <c r="F13" s="1">
        <f>SUMIF(DV_AZUL_Stat!H:H,Summary_Checking_UL!$D13,DV_AZUL_Stat!E:E)</f>
        <v>382500</v>
      </c>
      <c r="G13" s="1">
        <f>SUMIF(DV_AZUL_Stat!H:H,Summary_Checking_UL!$D13,DV_AZUL_Stat!D:D)</f>
        <v>255000</v>
      </c>
      <c r="H13" s="1">
        <f>SUMIF(DV_AZUL_Stat!H:H,Summary_Checking_UL!$D13,DV_AZUL_Stat!F:F)</f>
        <v>756913.80981722102</v>
      </c>
      <c r="I13" s="46">
        <f>SUMIF(IT_AZUL_FULL_Stat!$H:$H,Summary_Checking_UL!$D13,IT_AZUL_FULL_Stat!C:C)</f>
        <v>50</v>
      </c>
      <c r="J13" s="46">
        <f>SUMIF(IT_AZUL_FULL_Stat!$H:$H,Summary_Checking_UL!$D13,IT_AZUL_FULL_Stat!E:E)</f>
        <v>382500</v>
      </c>
      <c r="K13" s="46">
        <f>SUMIF(IT_AZUL_FULL_Stat!$H:$H,Summary_Checking_UL!$D13,IT_AZUL_FULL_Stat!D:D)</f>
        <v>255000</v>
      </c>
      <c r="L13" s="46">
        <f>SUMIF(IT_AZUL_FULL_Stat!$H:$H,Summary_Checking_UL!$D13,IT_AZUL_FULL_Stat!F:F)</f>
        <v>756914.10087835195</v>
      </c>
      <c r="M13" s="7">
        <f t="shared" si="2"/>
        <v>0</v>
      </c>
      <c r="N13" s="7">
        <f t="shared" si="2"/>
        <v>0</v>
      </c>
      <c r="O13" s="7">
        <f t="shared" si="2"/>
        <v>0</v>
      </c>
      <c r="P13" s="7">
        <f t="shared" si="2"/>
        <v>-0.2910611309343949</v>
      </c>
      <c r="Q13" s="48">
        <f t="shared" si="3"/>
        <v>0</v>
      </c>
      <c r="R13" s="48">
        <f t="shared" si="3"/>
        <v>0</v>
      </c>
      <c r="S13" s="48">
        <f t="shared" si="3"/>
        <v>0</v>
      </c>
      <c r="T13" s="48">
        <f t="shared" si="3"/>
        <v>-3.8453654198889474E-7</v>
      </c>
      <c r="W13" s="46" t="str">
        <f t="shared" si="4"/>
        <v>USD</v>
      </c>
    </row>
    <row r="14" spans="1:23">
      <c r="A14" s="58" t="e">
        <f>_xlfn.XLOOKUP(B14,[10]Sheet1!$D:$D,[10]Sheet1!$E:$E)</f>
        <v>#N/A</v>
      </c>
      <c r="B14" t="str">
        <f t="shared" si="1"/>
        <v>ULAAOP</v>
      </c>
      <c r="C14" t="str">
        <f>VLOOKUP(D14,DV_AZUL_Stat!H:I,2,FALSE)</f>
        <v>ULAAOP_IDR</v>
      </c>
      <c r="D14" s="59" t="s">
        <v>1922</v>
      </c>
      <c r="E14" s="1">
        <f>SUMIF(DV_AZUL_Stat!H:H,Summary_Checking_UL!$D14,DV_AZUL_Stat!C:C)</f>
        <v>193</v>
      </c>
      <c r="F14" s="1">
        <f>SUMIF(DV_AZUL_Stat!H:H,Summary_Checking_UL!$D14,DV_AZUL_Stat!E:E)</f>
        <v>22040000000</v>
      </c>
      <c r="G14" s="1">
        <f>SUMIF(DV_AZUL_Stat!H:H,Summary_Checking_UL!$D14,DV_AZUL_Stat!D:D)</f>
        <v>11020000000</v>
      </c>
      <c r="H14" s="1">
        <f>SUMIF(DV_AZUL_Stat!H:H,Summary_Checking_UL!$D14,DV_AZUL_Stat!F:F)</f>
        <v>63349488531.868614</v>
      </c>
      <c r="I14" s="46">
        <f>SUMIF(IT_AZUL_FULL_Stat!$H:$H,Summary_Checking_UL!$D14,IT_AZUL_FULL_Stat!C:C)</f>
        <v>193</v>
      </c>
      <c r="J14" s="46">
        <f>SUMIF(IT_AZUL_FULL_Stat!$H:$H,Summary_Checking_UL!$D14,IT_AZUL_FULL_Stat!E:E)</f>
        <v>22040000000</v>
      </c>
      <c r="K14" s="46">
        <f>SUMIF(IT_AZUL_FULL_Stat!$H:$H,Summary_Checking_UL!$D14,IT_AZUL_FULL_Stat!D:D)</f>
        <v>11020000000</v>
      </c>
      <c r="L14" s="46">
        <f>SUMIF(IT_AZUL_FULL_Stat!$H:$H,Summary_Checking_UL!$D14,IT_AZUL_FULL_Stat!F:F)</f>
        <v>63349488529.609001</v>
      </c>
      <c r="M14" s="7">
        <f t="shared" si="2"/>
        <v>0</v>
      </c>
      <c r="N14" s="7">
        <f t="shared" si="2"/>
        <v>0</v>
      </c>
      <c r="O14" s="7">
        <f t="shared" si="2"/>
        <v>0</v>
      </c>
      <c r="P14" s="7">
        <f t="shared" si="2"/>
        <v>2.259613037109375</v>
      </c>
      <c r="Q14" s="48">
        <f t="shared" si="3"/>
        <v>0</v>
      </c>
      <c r="R14" s="48">
        <f t="shared" si="3"/>
        <v>0</v>
      </c>
      <c r="S14" s="48">
        <f t="shared" si="3"/>
        <v>0</v>
      </c>
      <c r="T14" s="48">
        <f t="shared" si="3"/>
        <v>3.5669002063895932E-11</v>
      </c>
      <c r="W14" s="46" t="str">
        <f t="shared" si="4"/>
        <v>IDR</v>
      </c>
    </row>
    <row r="15" spans="1:23">
      <c r="A15" s="58" t="e">
        <f>_xlfn.XLOOKUP(B15,[10]Sheet1!$D:$D,[10]Sheet1!$E:$E)</f>
        <v>#N/A</v>
      </c>
      <c r="B15" t="str">
        <f t="shared" si="1"/>
        <v>ULAAOP</v>
      </c>
      <c r="C15" t="str">
        <f>VLOOKUP(D15,DV_AZUL_Stat!H:I,2,FALSE)</f>
        <v>ULAAOP_USD</v>
      </c>
      <c r="D15" s="59" t="s">
        <v>1923</v>
      </c>
      <c r="E15" s="1">
        <f>SUMIF(DV_AZUL_Stat!H:H,Summary_Checking_UL!$D15,DV_AZUL_Stat!C:C)</f>
        <v>74</v>
      </c>
      <c r="F15" s="1">
        <f>SUMIF(DV_AZUL_Stat!H:H,Summary_Checking_UL!$D15,DV_AZUL_Stat!E:E)</f>
        <v>2736000</v>
      </c>
      <c r="G15" s="1">
        <f>SUMIF(DV_AZUL_Stat!H:H,Summary_Checking_UL!$D15,DV_AZUL_Stat!D:D)</f>
        <v>1368000</v>
      </c>
      <c r="H15" s="1">
        <f>SUMIF(DV_AZUL_Stat!H:H,Summary_Checking_UL!$D15,DV_AZUL_Stat!F:F)</f>
        <v>5252372.2748207692</v>
      </c>
      <c r="I15" s="46">
        <f>SUMIF(IT_AZUL_FULL_Stat!$H:$H,Summary_Checking_UL!$D15,IT_AZUL_FULL_Stat!C:C)</f>
        <v>74</v>
      </c>
      <c r="J15" s="46">
        <f>SUMIF(IT_AZUL_FULL_Stat!$H:$H,Summary_Checking_UL!$D15,IT_AZUL_FULL_Stat!E:E)</f>
        <v>2736000</v>
      </c>
      <c r="K15" s="46">
        <f>SUMIF(IT_AZUL_FULL_Stat!$H:$H,Summary_Checking_UL!$D15,IT_AZUL_FULL_Stat!D:D)</f>
        <v>1368000</v>
      </c>
      <c r="L15" s="46">
        <f>SUMIF(IT_AZUL_FULL_Stat!$H:$H,Summary_Checking_UL!$D15,IT_AZUL_FULL_Stat!F:F)</f>
        <v>5252373.6138863303</v>
      </c>
      <c r="M15" s="7">
        <f t="shared" si="2"/>
        <v>0</v>
      </c>
      <c r="N15" s="7">
        <f t="shared" si="2"/>
        <v>0</v>
      </c>
      <c r="O15" s="7">
        <f t="shared" si="2"/>
        <v>0</v>
      </c>
      <c r="P15" s="7">
        <f t="shared" si="2"/>
        <v>-1.3390655610710382</v>
      </c>
      <c r="Q15" s="48">
        <f t="shared" si="3"/>
        <v>0</v>
      </c>
      <c r="R15" s="48">
        <f t="shared" si="3"/>
        <v>0</v>
      </c>
      <c r="S15" s="48">
        <f t="shared" si="3"/>
        <v>0</v>
      </c>
      <c r="T15" s="48">
        <f t="shared" si="3"/>
        <v>-2.5494484199120755E-7</v>
      </c>
      <c r="W15" s="46" t="str">
        <f t="shared" si="4"/>
        <v>USD</v>
      </c>
    </row>
    <row r="16" spans="1:23">
      <c r="A16" s="58" t="str">
        <f>_xlfn.XLOOKUP(B16,[10]Sheet1!$D:$D,[10]Sheet1!$E:$E)</f>
        <v>Allisya Benefit Account</v>
      </c>
      <c r="B16" t="str">
        <f t="shared" si="1"/>
        <v>ULABA_</v>
      </c>
      <c r="C16" t="str">
        <f>VLOOKUP(D16,DV_AZUL_Stat!H:I,2,FALSE)</f>
        <v>ULABA__IDR</v>
      </c>
      <c r="D16" s="59" t="s">
        <v>1924</v>
      </c>
      <c r="E16" s="1">
        <f>SUMIF(DV_AZUL_Stat!H:H,Summary_Checking_UL!$D16,DV_AZUL_Stat!C:C)</f>
        <v>402</v>
      </c>
      <c r="F16" s="1">
        <f>SUMIF(DV_AZUL_Stat!H:H,Summary_Checking_UL!$D16,DV_AZUL_Stat!E:E)</f>
        <v>21661800000</v>
      </c>
      <c r="G16" s="1">
        <f>SUMIF(DV_AZUL_Stat!H:H,Summary_Checking_UL!$D16,DV_AZUL_Stat!D:D)</f>
        <v>657168000</v>
      </c>
      <c r="H16" s="1">
        <f>SUMIF(DV_AZUL_Stat!H:H,Summary_Checking_UL!$D16,DV_AZUL_Stat!F:F)</f>
        <v>4434482118.6371603</v>
      </c>
      <c r="I16" s="46">
        <f>SUMIF(IT_AZUL_FULL_Stat!$H:$H,Summary_Checking_UL!$D16,IT_AZUL_FULL_Stat!C:C)</f>
        <v>402</v>
      </c>
      <c r="J16" s="46">
        <f>SUMIF(IT_AZUL_FULL_Stat!$H:$H,Summary_Checking_UL!$D16,IT_AZUL_FULL_Stat!E:E)</f>
        <v>21661800000</v>
      </c>
      <c r="K16" s="46">
        <f>SUMIF(IT_AZUL_FULL_Stat!$H:$H,Summary_Checking_UL!$D16,IT_AZUL_FULL_Stat!D:D)</f>
        <v>657168000</v>
      </c>
      <c r="L16" s="46">
        <f>SUMIF(IT_AZUL_FULL_Stat!$H:$H,Summary_Checking_UL!$D16,IT_AZUL_FULL_Stat!F:F)</f>
        <v>4434482120.9341497</v>
      </c>
      <c r="M16" s="7">
        <f t="shared" si="2"/>
        <v>0</v>
      </c>
      <c r="N16" s="7">
        <f t="shared" si="2"/>
        <v>0</v>
      </c>
      <c r="O16" s="7">
        <f t="shared" si="2"/>
        <v>0</v>
      </c>
      <c r="P16" s="7">
        <f t="shared" si="2"/>
        <v>-2.2969894409179688</v>
      </c>
      <c r="Q16" s="48">
        <f t="shared" si="3"/>
        <v>0</v>
      </c>
      <c r="R16" s="48">
        <f t="shared" si="3"/>
        <v>0</v>
      </c>
      <c r="S16" s="48">
        <f t="shared" si="3"/>
        <v>0</v>
      </c>
      <c r="T16" s="48">
        <f t="shared" si="3"/>
        <v>-5.1798369646692688E-10</v>
      </c>
      <c r="W16" s="46" t="str">
        <f t="shared" si="4"/>
        <v>IDR</v>
      </c>
    </row>
    <row r="17" spans="1:23">
      <c r="A17" s="58" t="str">
        <f>_xlfn.XLOOKUP(B17,[10]Sheet1!$D:$D,[10]Sheet1!$E:$E)</f>
        <v>Allisya Invest</v>
      </c>
      <c r="B17" t="str">
        <f t="shared" si="1"/>
        <v>ULAI__</v>
      </c>
      <c r="C17" t="str">
        <f>VLOOKUP(D17,DV_AZUL_Stat!H:I,2,FALSE)</f>
        <v>ULAI___IDR</v>
      </c>
      <c r="D17" s="59" t="s">
        <v>1925</v>
      </c>
      <c r="E17" s="1">
        <f>SUMIF(DV_AZUL_Stat!H:H,Summary_Checking_UL!$D17,DV_AZUL_Stat!C:C)</f>
        <v>63</v>
      </c>
      <c r="F17" s="1">
        <f>SUMIF(DV_AZUL_Stat!H:H,Summary_Checking_UL!$D17,DV_AZUL_Stat!E:E)</f>
        <v>3756000000</v>
      </c>
      <c r="G17" s="1">
        <f>SUMIF(DV_AZUL_Stat!H:H,Summary_Checking_UL!$D17,DV_AZUL_Stat!D:D)</f>
        <v>2258000000</v>
      </c>
      <c r="H17" s="1">
        <f>SUMIF(DV_AZUL_Stat!H:H,Summary_Checking_UL!$D17,DV_AZUL_Stat!F:F)</f>
        <v>1867319166.139405</v>
      </c>
      <c r="I17" s="46">
        <f>SUMIF(IT_AZUL_FULL_Stat!$H:$H,Summary_Checking_UL!$D17,IT_AZUL_FULL_Stat!C:C)</f>
        <v>63</v>
      </c>
      <c r="J17" s="46">
        <f>SUMIF(IT_AZUL_FULL_Stat!$H:$H,Summary_Checking_UL!$D17,IT_AZUL_FULL_Stat!E:E)</f>
        <v>3756000000</v>
      </c>
      <c r="K17" s="46">
        <f>SUMIF(IT_AZUL_FULL_Stat!$H:$H,Summary_Checking_UL!$D17,IT_AZUL_FULL_Stat!D:D)</f>
        <v>2258000000</v>
      </c>
      <c r="L17" s="46">
        <f>SUMIF(IT_AZUL_FULL_Stat!$H:$H,Summary_Checking_UL!$D17,IT_AZUL_FULL_Stat!F:F)</f>
        <v>1867319167.3246801</v>
      </c>
      <c r="M17" s="7">
        <f t="shared" si="2"/>
        <v>0</v>
      </c>
      <c r="N17" s="7">
        <f t="shared" si="2"/>
        <v>0</v>
      </c>
      <c r="O17" s="7">
        <f t="shared" si="2"/>
        <v>0</v>
      </c>
      <c r="P17" s="7">
        <f t="shared" si="2"/>
        <v>-1.1852750778198242</v>
      </c>
      <c r="Q17" s="48">
        <f t="shared" si="3"/>
        <v>0</v>
      </c>
      <c r="R17" s="48">
        <f t="shared" si="3"/>
        <v>0</v>
      </c>
      <c r="S17" s="48">
        <f t="shared" si="3"/>
        <v>0</v>
      </c>
      <c r="T17" s="48">
        <f t="shared" si="3"/>
        <v>-6.3474691341490121E-10</v>
      </c>
      <c r="W17" s="46" t="str">
        <f t="shared" si="4"/>
        <v>IDR</v>
      </c>
    </row>
    <row r="18" spans="1:23">
      <c r="A18" s="58" t="str">
        <f>_xlfn.XLOOKUP(B18,[10]Sheet1!$D:$D,[10]Sheet1!$E:$E)</f>
        <v>Allisya Maxi Account Plus</v>
      </c>
      <c r="B18" t="str">
        <f t="shared" si="1"/>
        <v>ULAMAP</v>
      </c>
      <c r="C18" t="str">
        <f>VLOOKUP(D18,DV_AZUL_Stat!H:I,2,FALSE)</f>
        <v>ULAMAP_IDR</v>
      </c>
      <c r="D18" s="59" t="s">
        <v>1926</v>
      </c>
      <c r="E18" s="1">
        <f>SUMIF(DV_AZUL_Stat!H:H,Summary_Checking_UL!$D18,DV_AZUL_Stat!C:C)</f>
        <v>7</v>
      </c>
      <c r="F18" s="1">
        <f>SUMIF(DV_AZUL_Stat!H:H,Summary_Checking_UL!$D18,DV_AZUL_Stat!E:E)</f>
        <v>344500000</v>
      </c>
      <c r="G18" s="1">
        <f>SUMIF(DV_AZUL_Stat!H:H,Summary_Checking_UL!$D18,DV_AZUL_Stat!D:D)</f>
        <v>224000000</v>
      </c>
      <c r="H18" s="1">
        <f>SUMIF(DV_AZUL_Stat!H:H,Summary_Checking_UL!$D18,DV_AZUL_Stat!F:F)</f>
        <v>88506434.068287</v>
      </c>
      <c r="I18" s="46">
        <f>SUMIF(IT_AZUL_FULL_Stat!$H:$H,Summary_Checking_UL!$D18,IT_AZUL_FULL_Stat!C:C)</f>
        <v>7</v>
      </c>
      <c r="J18" s="46">
        <f>SUMIF(IT_AZUL_FULL_Stat!$H:$H,Summary_Checking_UL!$D18,IT_AZUL_FULL_Stat!E:E)</f>
        <v>344500000</v>
      </c>
      <c r="K18" s="46">
        <f>SUMIF(IT_AZUL_FULL_Stat!$H:$H,Summary_Checking_UL!$D18,IT_AZUL_FULL_Stat!D:D)</f>
        <v>224000000</v>
      </c>
      <c r="L18" s="46">
        <f>SUMIF(IT_AZUL_FULL_Stat!$H:$H,Summary_Checking_UL!$D18,IT_AZUL_FULL_Stat!F:F)</f>
        <v>88506433.906810001</v>
      </c>
      <c r="M18" s="7">
        <f t="shared" si="2"/>
        <v>0</v>
      </c>
      <c r="N18" s="7">
        <f t="shared" si="2"/>
        <v>0</v>
      </c>
      <c r="O18" s="7">
        <f t="shared" si="2"/>
        <v>0</v>
      </c>
      <c r="P18" s="7">
        <f t="shared" si="2"/>
        <v>0.16147699952125549</v>
      </c>
      <c r="Q18" s="48">
        <f t="shared" si="3"/>
        <v>0</v>
      </c>
      <c r="R18" s="48">
        <f t="shared" si="3"/>
        <v>0</v>
      </c>
      <c r="S18" s="48">
        <f t="shared" si="3"/>
        <v>0</v>
      </c>
      <c r="T18" s="48">
        <f t="shared" si="3"/>
        <v>1.8244662268426439E-9</v>
      </c>
      <c r="W18" s="46" t="str">
        <f t="shared" si="4"/>
        <v>IDR</v>
      </c>
    </row>
    <row r="19" spans="1:23">
      <c r="A19" s="58" t="str">
        <f>_xlfn.XLOOKUP(B19,[10]Sheet1!$D:$D,[10]Sheet1!$E:$E)</f>
        <v>AlliSya Maxi Fund Plus</v>
      </c>
      <c r="B19" t="str">
        <f t="shared" si="1"/>
        <v>ULAMF2</v>
      </c>
      <c r="C19" t="str">
        <f>VLOOKUP(D19,DV_AZUL_Stat!H:I,2,FALSE)</f>
        <v>ULAMF2_IDR</v>
      </c>
      <c r="D19" s="59" t="s">
        <v>1927</v>
      </c>
      <c r="E19" s="1">
        <f>SUMIF(DV_AZUL_Stat!H:H,Summary_Checking_UL!$D19,DV_AZUL_Stat!C:C)</f>
        <v>173</v>
      </c>
      <c r="F19" s="1">
        <f>SUMIF(DV_AZUL_Stat!H:H,Summary_Checking_UL!$D19,DV_AZUL_Stat!E:E)</f>
        <v>13339288807</v>
      </c>
      <c r="G19" s="1">
        <f>SUMIF(DV_AZUL_Stat!H:H,Summary_Checking_UL!$D19,DV_AZUL_Stat!D:D)</f>
        <v>7915716045</v>
      </c>
      <c r="H19" s="1">
        <f>SUMIF(DV_AZUL_Stat!H:H,Summary_Checking_UL!$D19,DV_AZUL_Stat!F:F)</f>
        <v>4377208408.6165686</v>
      </c>
      <c r="I19" s="46">
        <f>SUMIF(IT_AZUL_FULL_Stat!$H:$H,Summary_Checking_UL!$D19,IT_AZUL_FULL_Stat!C:C)</f>
        <v>173</v>
      </c>
      <c r="J19" s="46">
        <f>SUMIF(IT_AZUL_FULL_Stat!$H:$H,Summary_Checking_UL!$D19,IT_AZUL_FULL_Stat!E:E)</f>
        <v>13339288807</v>
      </c>
      <c r="K19" s="46">
        <f>SUMIF(IT_AZUL_FULL_Stat!$H:$H,Summary_Checking_UL!$D19,IT_AZUL_FULL_Stat!D:D)</f>
        <v>7915716045</v>
      </c>
      <c r="L19" s="46">
        <f>SUMIF(IT_AZUL_FULL_Stat!$H:$H,Summary_Checking_UL!$D19,IT_AZUL_FULL_Stat!F:F)</f>
        <v>4377208408.7439098</v>
      </c>
      <c r="M19" s="7">
        <f t="shared" si="2"/>
        <v>0</v>
      </c>
      <c r="N19" s="7">
        <f t="shared" si="2"/>
        <v>0</v>
      </c>
      <c r="O19" s="7">
        <f t="shared" si="2"/>
        <v>0</v>
      </c>
      <c r="P19" s="7">
        <f t="shared" si="2"/>
        <v>-0.12734127044677734</v>
      </c>
      <c r="Q19" s="48">
        <f t="shared" si="3"/>
        <v>0</v>
      </c>
      <c r="R19" s="48">
        <f t="shared" si="3"/>
        <v>0</v>
      </c>
      <c r="S19" s="48">
        <f t="shared" si="3"/>
        <v>0</v>
      </c>
      <c r="T19" s="48">
        <f t="shared" si="3"/>
        <v>-2.9091891122296226E-11</v>
      </c>
      <c r="W19" s="46" t="str">
        <f t="shared" si="4"/>
        <v>IDR</v>
      </c>
    </row>
    <row r="20" spans="1:23">
      <c r="A20" s="58" t="str">
        <f>_xlfn.XLOOKUP(B20,[10]Sheet1!$D:$D,[10]Sheet1!$E:$E)</f>
        <v>Allisya Protection</v>
      </c>
      <c r="B20" t="str">
        <f t="shared" si="1"/>
        <v>ULAP__</v>
      </c>
      <c r="C20" t="str">
        <f>VLOOKUP(D20,DV_AZUL_Stat!H:I,2,FALSE)</f>
        <v>ULAP___IDR</v>
      </c>
      <c r="D20" s="59" t="s">
        <v>1928</v>
      </c>
      <c r="E20" s="1">
        <f>SUMIF(DV_AZUL_Stat!H:H,Summary_Checking_UL!$D20,DV_AZUL_Stat!C:C)</f>
        <v>61</v>
      </c>
      <c r="F20" s="1">
        <f>SUMIF(DV_AZUL_Stat!H:H,Summary_Checking_UL!$D20,DV_AZUL_Stat!E:E)</f>
        <v>11617000000</v>
      </c>
      <c r="G20" s="1">
        <f>SUMIF(DV_AZUL_Stat!H:H,Summary_Checking_UL!$D20,DV_AZUL_Stat!D:D)</f>
        <v>376359996</v>
      </c>
      <c r="H20" s="1">
        <f>SUMIF(DV_AZUL_Stat!H:H,Summary_Checking_UL!$D20,DV_AZUL_Stat!F:F)</f>
        <v>1730062527.4560361</v>
      </c>
      <c r="I20" s="46">
        <f>SUMIF(IT_AZUL_FULL_Stat!$H:$H,Summary_Checking_UL!$D20,IT_AZUL_FULL_Stat!C:C)</f>
        <v>61</v>
      </c>
      <c r="J20" s="46">
        <f>SUMIF(IT_AZUL_FULL_Stat!$H:$H,Summary_Checking_UL!$D20,IT_AZUL_FULL_Stat!E:E)</f>
        <v>11617000000</v>
      </c>
      <c r="K20" s="46">
        <f>SUMIF(IT_AZUL_FULL_Stat!$H:$H,Summary_Checking_UL!$D20,IT_AZUL_FULL_Stat!D:D)</f>
        <v>376359996</v>
      </c>
      <c r="L20" s="46">
        <f>SUMIF(IT_AZUL_FULL_Stat!$H:$H,Summary_Checking_UL!$D20,IT_AZUL_FULL_Stat!F:F)</f>
        <v>1730062528.6904099</v>
      </c>
      <c r="M20" s="7">
        <f t="shared" si="2"/>
        <v>0</v>
      </c>
      <c r="N20" s="7">
        <f t="shared" si="2"/>
        <v>0</v>
      </c>
      <c r="O20" s="7">
        <f t="shared" si="2"/>
        <v>0</v>
      </c>
      <c r="P20" s="7">
        <f t="shared" si="2"/>
        <v>-1.2343738079071045</v>
      </c>
      <c r="Q20" s="48">
        <f t="shared" si="3"/>
        <v>0</v>
      </c>
      <c r="R20" s="48">
        <f t="shared" si="3"/>
        <v>0</v>
      </c>
      <c r="S20" s="48">
        <f t="shared" si="3"/>
        <v>0</v>
      </c>
      <c r="T20" s="48">
        <f t="shared" si="3"/>
        <v>-7.1348508359491349E-10</v>
      </c>
      <c r="W20" s="46" t="str">
        <f t="shared" si="4"/>
        <v>IDR</v>
      </c>
    </row>
    <row r="21" spans="1:23">
      <c r="A21" s="58" t="str">
        <f>_xlfn.XLOOKUP(B21,[10]Sheet1!$D:$D,[10]Sheet1!$E:$E)</f>
        <v>Allisya Protection Plus</v>
      </c>
      <c r="B21" t="str">
        <f t="shared" si="1"/>
        <v>ULAPO1</v>
      </c>
      <c r="C21" t="str">
        <f>VLOOKUP(D21,DV_AZUL_Stat!H:I,2,FALSE)</f>
        <v>ULAPO1_IDR</v>
      </c>
      <c r="D21" s="59" t="s">
        <v>1929</v>
      </c>
      <c r="E21" s="1">
        <f>SUMIF(DV_AZUL_Stat!H:H,Summary_Checking_UL!$D21,DV_AZUL_Stat!C:C)</f>
        <v>33634</v>
      </c>
      <c r="F21" s="1">
        <f>SUMIF(DV_AZUL_Stat!H:H,Summary_Checking_UL!$D21,DV_AZUL_Stat!E:E)</f>
        <v>11521900083000</v>
      </c>
      <c r="G21" s="1">
        <f>SUMIF(DV_AZUL_Stat!H:H,Summary_Checking_UL!$D21,DV_AZUL_Stat!D:D)</f>
        <v>373901723496.37427</v>
      </c>
      <c r="H21" s="1">
        <f>SUMIF(DV_AZUL_Stat!H:H,Summary_Checking_UL!$D21,DV_AZUL_Stat!F:F)</f>
        <v>634492693813.99524</v>
      </c>
      <c r="I21" s="46">
        <f>SUMIF(IT_AZUL_FULL_Stat!$H:$H,Summary_Checking_UL!$D21,IT_AZUL_FULL_Stat!C:C)</f>
        <v>33634</v>
      </c>
      <c r="J21" s="46">
        <f>SUMIF(IT_AZUL_FULL_Stat!$H:$H,Summary_Checking_UL!$D21,IT_AZUL_FULL_Stat!E:E)</f>
        <v>11521900083000</v>
      </c>
      <c r="K21" s="46">
        <f>SUMIF(IT_AZUL_FULL_Stat!$H:$H,Summary_Checking_UL!$D21,IT_AZUL_FULL_Stat!D:D)</f>
        <v>373901723496.37402</v>
      </c>
      <c r="L21" s="46">
        <f>SUMIF(IT_AZUL_FULL_Stat!$H:$H,Summary_Checking_UL!$D21,IT_AZUL_FULL_Stat!F:F)</f>
        <v>634492693772.08105</v>
      </c>
      <c r="M21" s="7">
        <f t="shared" si="2"/>
        <v>0</v>
      </c>
      <c r="N21" s="7">
        <f t="shared" si="2"/>
        <v>0</v>
      </c>
      <c r="O21" s="7">
        <f t="shared" si="2"/>
        <v>0</v>
      </c>
      <c r="P21" s="7">
        <f t="shared" si="2"/>
        <v>41.9141845703125</v>
      </c>
      <c r="Q21" s="48">
        <f t="shared" si="3"/>
        <v>0</v>
      </c>
      <c r="R21" s="48">
        <f t="shared" si="3"/>
        <v>0</v>
      </c>
      <c r="S21" s="48">
        <f t="shared" si="3"/>
        <v>0</v>
      </c>
      <c r="T21" s="48">
        <f t="shared" si="3"/>
        <v>6.6059365193208483E-11</v>
      </c>
      <c r="W21" s="46" t="str">
        <f t="shared" si="4"/>
        <v>IDR</v>
      </c>
    </row>
    <row r="22" spans="1:23">
      <c r="A22" s="58" t="str">
        <f>_xlfn.XLOOKUP(B22,[10]Sheet1!$D:$D,[10]Sheet1!$E:$E)</f>
        <v>Allisya Protection - Revamped</v>
      </c>
      <c r="B22" t="str">
        <f t="shared" si="1"/>
        <v>ULAPR_</v>
      </c>
      <c r="C22" t="str">
        <f>VLOOKUP(D22,DV_AZUL_Stat!H:I,2,FALSE)</f>
        <v>ULAPR__IDR</v>
      </c>
      <c r="D22" s="59" t="s">
        <v>1930</v>
      </c>
      <c r="E22" s="1">
        <f>SUMIF(DV_AZUL_Stat!H:H,Summary_Checking_UL!$D22,DV_AZUL_Stat!C:C)</f>
        <v>2412</v>
      </c>
      <c r="F22" s="1">
        <f>SUMIF(DV_AZUL_Stat!H:H,Summary_Checking_UL!$D22,DV_AZUL_Stat!E:E)</f>
        <v>455556100000</v>
      </c>
      <c r="G22" s="1">
        <f>SUMIF(DV_AZUL_Stat!H:H,Summary_Checking_UL!$D22,DV_AZUL_Stat!D:D)</f>
        <v>11792067792</v>
      </c>
      <c r="H22" s="1">
        <f>SUMIF(DV_AZUL_Stat!H:H,Summary_Checking_UL!$D22,DV_AZUL_Stat!F:F)</f>
        <v>50038060429.841591</v>
      </c>
      <c r="I22" s="46">
        <f>SUMIF(IT_AZUL_FULL_Stat!$H:$H,Summary_Checking_UL!$D22,IT_AZUL_FULL_Stat!C:C)</f>
        <v>2412</v>
      </c>
      <c r="J22" s="46">
        <f>SUMIF(IT_AZUL_FULL_Stat!$H:$H,Summary_Checking_UL!$D22,IT_AZUL_FULL_Stat!E:E)</f>
        <v>455556100000</v>
      </c>
      <c r="K22" s="46">
        <f>SUMIF(IT_AZUL_FULL_Stat!$H:$H,Summary_Checking_UL!$D22,IT_AZUL_FULL_Stat!D:D)</f>
        <v>11792067792</v>
      </c>
      <c r="L22" s="46">
        <f>SUMIF(IT_AZUL_FULL_Stat!$H:$H,Summary_Checking_UL!$D22,IT_AZUL_FULL_Stat!F:F)</f>
        <v>50038060421.545601</v>
      </c>
      <c r="M22" s="7">
        <f t="shared" si="2"/>
        <v>0</v>
      </c>
      <c r="N22" s="7">
        <f t="shared" si="2"/>
        <v>0</v>
      </c>
      <c r="O22" s="7">
        <f t="shared" si="2"/>
        <v>0</v>
      </c>
      <c r="P22" s="7">
        <f t="shared" si="2"/>
        <v>8.295989990234375</v>
      </c>
      <c r="Q22" s="48">
        <f t="shared" si="3"/>
        <v>0</v>
      </c>
      <c r="R22" s="48">
        <f t="shared" si="3"/>
        <v>0</v>
      </c>
      <c r="S22" s="48">
        <f t="shared" si="3"/>
        <v>0</v>
      </c>
      <c r="T22" s="48">
        <f t="shared" si="3"/>
        <v>1.6579359632137646E-10</v>
      </c>
      <c r="W22" s="46" t="str">
        <f t="shared" si="4"/>
        <v>IDR</v>
      </c>
    </row>
    <row r="23" spans="1:23">
      <c r="A23" s="58" t="str">
        <f>_xlfn.XLOOKUP(B23,[10]Sheet1!$D:$D,[10]Sheet1!$E:$E)</f>
        <v>RencanaKu Syariah Pensiun</v>
      </c>
      <c r="B23" t="str">
        <f t="shared" si="1"/>
        <v>ULARK_</v>
      </c>
      <c r="C23" t="str">
        <f>VLOOKUP(D23,DV_AZUL_Stat!H:I,2,FALSE)</f>
        <v>ULARK__IDR</v>
      </c>
      <c r="D23" s="59" t="s">
        <v>1931</v>
      </c>
      <c r="E23" s="1">
        <f>SUMIF(DV_AZUL_Stat!H:H,Summary_Checking_UL!$D23,DV_AZUL_Stat!C:C)</f>
        <v>8</v>
      </c>
      <c r="F23" s="1">
        <f>SUMIF(DV_AZUL_Stat!H:H,Summary_Checking_UL!$D23,DV_AZUL_Stat!E:E)</f>
        <v>393000000</v>
      </c>
      <c r="G23" s="1">
        <f>SUMIF(DV_AZUL_Stat!H:H,Summary_Checking_UL!$D23,DV_AZUL_Stat!D:D)</f>
        <v>14400000</v>
      </c>
      <c r="H23" s="1">
        <f>SUMIF(DV_AZUL_Stat!H:H,Summary_Checking_UL!$D23,DV_AZUL_Stat!F:F)</f>
        <v>213627305.69828299</v>
      </c>
      <c r="I23" s="46">
        <f>SUMIF(IT_AZUL_FULL_Stat!$H:$H,Summary_Checking_UL!$D23,IT_AZUL_FULL_Stat!C:C)</f>
        <v>8</v>
      </c>
      <c r="J23" s="46">
        <f>SUMIF(IT_AZUL_FULL_Stat!$H:$H,Summary_Checking_UL!$D23,IT_AZUL_FULL_Stat!E:E)</f>
        <v>393000000</v>
      </c>
      <c r="K23" s="46">
        <f>SUMIF(IT_AZUL_FULL_Stat!$H:$H,Summary_Checking_UL!$D23,IT_AZUL_FULL_Stat!D:D)</f>
        <v>14400000</v>
      </c>
      <c r="L23" s="46">
        <f>SUMIF(IT_AZUL_FULL_Stat!$H:$H,Summary_Checking_UL!$D23,IT_AZUL_FULL_Stat!F:F)</f>
        <v>213627306.06205299</v>
      </c>
      <c r="M23" s="7">
        <f t="shared" si="2"/>
        <v>0</v>
      </c>
      <c r="N23" s="7">
        <f t="shared" si="2"/>
        <v>0</v>
      </c>
      <c r="O23" s="7">
        <f t="shared" si="2"/>
        <v>0</v>
      </c>
      <c r="P23" s="7">
        <f t="shared" si="2"/>
        <v>-0.3637700080871582</v>
      </c>
      <c r="Q23" s="48">
        <f t="shared" si="3"/>
        <v>0</v>
      </c>
      <c r="R23" s="48">
        <f t="shared" si="3"/>
        <v>0</v>
      </c>
      <c r="S23" s="48">
        <f t="shared" si="3"/>
        <v>0</v>
      </c>
      <c r="T23" s="48">
        <f t="shared" si="3"/>
        <v>-1.7028254242998917E-9</v>
      </c>
      <c r="W23" s="46" t="str">
        <f t="shared" si="4"/>
        <v>IDR</v>
      </c>
    </row>
    <row r="24" spans="1:23">
      <c r="A24" s="58" t="str">
        <f>_xlfn.XLOOKUP(B24,[10]Sheet1!$D:$D,[10]Sheet1!$E:$E)</f>
        <v>M Allisya Relink</v>
      </c>
      <c r="B24" t="str">
        <f t="shared" si="1"/>
        <v>ULARLK</v>
      </c>
      <c r="C24" t="str">
        <f>VLOOKUP(D24,DV_AZUL_Stat!H:I,2,FALSE)</f>
        <v>ULARLK_IDR</v>
      </c>
      <c r="D24" s="59" t="s">
        <v>1932</v>
      </c>
      <c r="E24" s="1">
        <f>SUMIF(DV_AZUL_Stat!H:H,Summary_Checking_UL!$D24,DV_AZUL_Stat!C:C)</f>
        <v>292</v>
      </c>
      <c r="F24" s="1">
        <f>SUMIF(DV_AZUL_Stat!H:H,Summary_Checking_UL!$D24,DV_AZUL_Stat!E:E)</f>
        <v>139944000000</v>
      </c>
      <c r="G24" s="1">
        <f>SUMIF(DV_AZUL_Stat!H:H,Summary_Checking_UL!$D24,DV_AZUL_Stat!D:D)</f>
        <v>3524500000</v>
      </c>
      <c r="H24" s="1">
        <f>SUMIF(DV_AZUL_Stat!H:H,Summary_Checking_UL!$D24,DV_AZUL_Stat!F:F)</f>
        <v>8603716577.7483215</v>
      </c>
      <c r="I24" s="46">
        <f>SUMIF(IT_AZUL_FULL_Stat!$H:$H,Summary_Checking_UL!$D24,IT_AZUL_FULL_Stat!C:C)</f>
        <v>292</v>
      </c>
      <c r="J24" s="46">
        <f>SUMIF(IT_AZUL_FULL_Stat!$H:$H,Summary_Checking_UL!$D24,IT_AZUL_FULL_Stat!E:E)</f>
        <v>139944000000</v>
      </c>
      <c r="K24" s="46">
        <f>SUMIF(IT_AZUL_FULL_Stat!$H:$H,Summary_Checking_UL!$D24,IT_AZUL_FULL_Stat!D:D)</f>
        <v>3524500000</v>
      </c>
      <c r="L24" s="46">
        <f>SUMIF(IT_AZUL_FULL_Stat!$H:$H,Summary_Checking_UL!$D24,IT_AZUL_FULL_Stat!F:F)</f>
        <v>8603716582.7648792</v>
      </c>
      <c r="M24" s="7">
        <f t="shared" si="2"/>
        <v>0</v>
      </c>
      <c r="N24" s="7">
        <f t="shared" si="2"/>
        <v>0</v>
      </c>
      <c r="O24" s="7">
        <f t="shared" si="2"/>
        <v>0</v>
      </c>
      <c r="P24" s="7">
        <f t="shared" si="2"/>
        <v>-5.0165576934814453</v>
      </c>
      <c r="Q24" s="48">
        <f t="shared" si="3"/>
        <v>0</v>
      </c>
      <c r="R24" s="48">
        <f t="shared" si="3"/>
        <v>0</v>
      </c>
      <c r="S24" s="48">
        <f t="shared" si="3"/>
        <v>0</v>
      </c>
      <c r="T24" s="48">
        <f t="shared" si="3"/>
        <v>-5.8306868261219858E-10</v>
      </c>
      <c r="W24" s="46" t="str">
        <f t="shared" si="4"/>
        <v>IDR</v>
      </c>
    </row>
    <row r="25" spans="1:23">
      <c r="A25" s="58" t="str">
        <f>_xlfn.XLOOKUP(B25,[10]Sheet1!$D:$D,[10]Sheet1!$E:$E)</f>
        <v>Raina Protection Link</v>
      </c>
      <c r="B25" t="str">
        <f>LEFT(C25,6)</f>
        <v>ULARP2</v>
      </c>
      <c r="C25" t="str">
        <f>VLOOKUP(D25,DV_AZUL_Stat!H:I,2,FALSE)</f>
        <v>ULARP2_IDR</v>
      </c>
      <c r="D25" s="59" t="s">
        <v>1933</v>
      </c>
      <c r="E25" s="1">
        <f>SUMIF(DV_AZUL_Stat!H:H,Summary_Checking_UL!$D25,DV_AZUL_Stat!C:C)</f>
        <v>34</v>
      </c>
      <c r="F25" s="1">
        <f>SUMIF(DV_AZUL_Stat!H:H,Summary_Checking_UL!$D25,DV_AZUL_Stat!E:E)</f>
        <v>74500000000</v>
      </c>
      <c r="G25" s="1">
        <f>SUMIF(DV_AZUL_Stat!H:H,Summary_Checking_UL!$D25,DV_AZUL_Stat!D:D)</f>
        <v>3746800004</v>
      </c>
      <c r="H25" s="1">
        <f>SUMIF(DV_AZUL_Stat!H:H,Summary_Checking_UL!$D25,DV_AZUL_Stat!F:F)</f>
        <v>4144499607.0840597</v>
      </c>
      <c r="I25" s="46">
        <f>SUMIF(IT_AZUL_FULL_Stat!$H:$H,Summary_Checking_UL!$D25,IT_AZUL_FULL_Stat!C:C)</f>
        <v>0</v>
      </c>
      <c r="J25" s="46">
        <f>SUMIF(IT_AZUL_FULL_Stat!$H:$H,Summary_Checking_UL!$D25,IT_AZUL_FULL_Stat!E:E)</f>
        <v>0</v>
      </c>
      <c r="K25" s="46">
        <f>SUMIF(IT_AZUL_FULL_Stat!$H:$H,Summary_Checking_UL!$D25,IT_AZUL_FULL_Stat!D:D)</f>
        <v>0</v>
      </c>
      <c r="L25" s="46">
        <f>SUMIF(IT_AZUL_FULL_Stat!$H:$H,Summary_Checking_UL!$D25,IT_AZUL_FULL_Stat!F:F)</f>
        <v>0</v>
      </c>
      <c r="M25" s="7">
        <f t="shared" si="2"/>
        <v>34</v>
      </c>
      <c r="N25" s="7">
        <f t="shared" si="2"/>
        <v>74500000000</v>
      </c>
      <c r="O25" s="7">
        <f t="shared" si="2"/>
        <v>3746800004</v>
      </c>
      <c r="P25" s="7">
        <f t="shared" si="2"/>
        <v>4144499607.0840597</v>
      </c>
      <c r="Q25" s="48">
        <f t="shared" si="3"/>
        <v>0</v>
      </c>
      <c r="R25" s="48">
        <f t="shared" si="3"/>
        <v>0</v>
      </c>
      <c r="S25" s="48">
        <f t="shared" si="3"/>
        <v>0</v>
      </c>
      <c r="T25" s="48">
        <f t="shared" si="3"/>
        <v>0</v>
      </c>
      <c r="U25" s="44" t="s">
        <v>1934</v>
      </c>
      <c r="W25" s="46" t="str">
        <f t="shared" si="4"/>
        <v>IDR</v>
      </c>
    </row>
    <row r="26" spans="1:23">
      <c r="A26" s="58" t="str">
        <f>_xlfn.XLOOKUP(B26,[10]Sheet1!$D:$D,[10]Sheet1!$E:$E)</f>
        <v>Raina ProtectionLink ARPL</v>
      </c>
      <c r="B26" t="str">
        <f t="shared" si="1"/>
        <v>ULARPL</v>
      </c>
      <c r="C26" t="str">
        <f>VLOOKUP(D26,DV_AZUL_Stat!H:I,2,FALSE)</f>
        <v>ULARPL_IDR</v>
      </c>
      <c r="D26" s="59" t="s">
        <v>1935</v>
      </c>
      <c r="E26" s="1">
        <f>SUMIF(DV_AZUL_Stat!H:H,Summary_Checking_UL!$D26,DV_AZUL_Stat!C:C)</f>
        <v>201</v>
      </c>
      <c r="F26" s="1">
        <f>SUMIF(DV_AZUL_Stat!H:H,Summary_Checking_UL!$D26,DV_AZUL_Stat!E:E)</f>
        <v>131120000000</v>
      </c>
      <c r="G26" s="1">
        <f>SUMIF(DV_AZUL_Stat!H:H,Summary_Checking_UL!$D26,DV_AZUL_Stat!D:D)</f>
        <v>8500999992</v>
      </c>
      <c r="H26" s="1">
        <f>SUMIF(DV_AZUL_Stat!H:H,Summary_Checking_UL!$D26,DV_AZUL_Stat!F:F)</f>
        <v>11102844976.844685</v>
      </c>
      <c r="I26" s="46">
        <f>SUMIF(IT_AZUL_FULL_Stat!$H:$H,Summary_Checking_UL!$D26,IT_AZUL_FULL_Stat!C:C)</f>
        <v>239</v>
      </c>
      <c r="J26" s="46">
        <f>SUMIF(IT_AZUL_FULL_Stat!$H:$H,Summary_Checking_UL!$D26,IT_AZUL_FULL_Stat!E:E)</f>
        <v>219120000000</v>
      </c>
      <c r="K26" s="46">
        <f>SUMIF(IT_AZUL_FULL_Stat!$H:$H,Summary_Checking_UL!$D26,IT_AZUL_FULL_Stat!D:D)</f>
        <v>12555299996</v>
      </c>
      <c r="L26" s="46">
        <f>SUMIF(IT_AZUL_FULL_Stat!$H:$H,Summary_Checking_UL!$D26,IT_AZUL_FULL_Stat!F:F)</f>
        <v>15373032777.858601</v>
      </c>
      <c r="M26" s="7">
        <f t="shared" si="2"/>
        <v>-38</v>
      </c>
      <c r="N26" s="7">
        <f t="shared" si="2"/>
        <v>-88000000000</v>
      </c>
      <c r="O26" s="7">
        <f t="shared" si="2"/>
        <v>-4054300004</v>
      </c>
      <c r="P26" s="7">
        <f t="shared" si="2"/>
        <v>-4270187801.013916</v>
      </c>
      <c r="Q26" s="48">
        <f t="shared" si="3"/>
        <v>-0.15899581589958159</v>
      </c>
      <c r="R26" s="48">
        <f t="shared" si="3"/>
        <v>-0.40160642570281124</v>
      </c>
      <c r="S26" s="48">
        <f t="shared" si="3"/>
        <v>-0.32291542259377803</v>
      </c>
      <c r="T26" s="48">
        <f t="shared" si="3"/>
        <v>-0.27777133261331244</v>
      </c>
      <c r="U26" s="60"/>
      <c r="W26" s="46" t="str">
        <f t="shared" si="4"/>
        <v>IDR</v>
      </c>
    </row>
    <row r="27" spans="1:23">
      <c r="A27" s="58" t="str">
        <f>_xlfn.XLOOKUP(B27,[10]Sheet1!$D:$D,[10]Sheet1!$E:$E)</f>
        <v>Raina Protection Link</v>
      </c>
      <c r="B27" t="str">
        <f>LEFT(C27,6)</f>
        <v>ULARPN</v>
      </c>
      <c r="C27" t="str">
        <f>VLOOKUP(D27,DV_AZUL_Stat!H:I,2,FALSE)</f>
        <v>ULARPN_IDR</v>
      </c>
      <c r="D27" s="59" t="s">
        <v>1936</v>
      </c>
      <c r="E27" s="1">
        <f>SUMIF(DV_AZUL_Stat!H:H,Summary_Checking_UL!$D27,DV_AZUL_Stat!C:C)</f>
        <v>4</v>
      </c>
      <c r="F27" s="1">
        <f>SUMIF(DV_AZUL_Stat!H:H,Summary_Checking_UL!$D27,DV_AZUL_Stat!E:E)</f>
        <v>13500000000</v>
      </c>
      <c r="G27" s="1">
        <f>SUMIF(DV_AZUL_Stat!H:H,Summary_Checking_UL!$D27,DV_AZUL_Stat!D:D)</f>
        <v>307500000</v>
      </c>
      <c r="H27" s="1">
        <f>SUMIF(DV_AZUL_Stat!H:H,Summary_Checking_UL!$D27,DV_AZUL_Stat!F:F)</f>
        <v>125688192.204822</v>
      </c>
      <c r="I27" s="46">
        <f>SUMIF(IT_AZUL_FULL_Stat!$H:$H,Summary_Checking_UL!$D27,IT_AZUL_FULL_Stat!C:C)</f>
        <v>0</v>
      </c>
      <c r="J27" s="46">
        <f>SUMIF(IT_AZUL_FULL_Stat!$H:$H,Summary_Checking_UL!$D27,IT_AZUL_FULL_Stat!E:E)</f>
        <v>0</v>
      </c>
      <c r="K27" s="46">
        <f>SUMIF(IT_AZUL_FULL_Stat!$H:$H,Summary_Checking_UL!$D27,IT_AZUL_FULL_Stat!D:D)</f>
        <v>0</v>
      </c>
      <c r="L27" s="46">
        <f>SUMIF(IT_AZUL_FULL_Stat!$H:$H,Summary_Checking_UL!$D27,IT_AZUL_FULL_Stat!F:F)</f>
        <v>0</v>
      </c>
      <c r="M27" s="7">
        <f t="shared" ref="M27:P90" si="5">E27-I27</f>
        <v>4</v>
      </c>
      <c r="N27" s="7">
        <f t="shared" si="5"/>
        <v>13500000000</v>
      </c>
      <c r="O27" s="7">
        <f t="shared" si="5"/>
        <v>307500000</v>
      </c>
      <c r="P27" s="7">
        <f t="shared" si="5"/>
        <v>125688192.204822</v>
      </c>
      <c r="Q27" s="48">
        <f t="shared" si="3"/>
        <v>0</v>
      </c>
      <c r="R27" s="48">
        <f t="shared" si="3"/>
        <v>0</v>
      </c>
      <c r="S27" s="48">
        <f t="shared" si="3"/>
        <v>0</v>
      </c>
      <c r="T27" s="48">
        <f t="shared" si="3"/>
        <v>0</v>
      </c>
      <c r="W27" s="46" t="str">
        <f t="shared" si="4"/>
        <v>IDR</v>
      </c>
    </row>
    <row r="28" spans="1:23">
      <c r="A28" s="58" t="str">
        <f>_xlfn.XLOOKUP(B28,[10]Sheet1!$D:$D,[10]Sheet1!$E:$E)</f>
        <v>Smart Fund Amanah</v>
      </c>
      <c r="B28" t="str">
        <f t="shared" si="1"/>
        <v>ULASFA</v>
      </c>
      <c r="C28" t="str">
        <f>VLOOKUP(D28,DV_AZUL_Stat!H:I,2,FALSE)</f>
        <v>ULASFA_IDR</v>
      </c>
      <c r="D28" s="59" t="s">
        <v>1937</v>
      </c>
      <c r="E28" s="1">
        <f>SUMIF(DV_AZUL_Stat!H:H,Summary_Checking_UL!$D28,DV_AZUL_Stat!C:C)</f>
        <v>14</v>
      </c>
      <c r="F28" s="1">
        <f>SUMIF(DV_AZUL_Stat!H:H,Summary_Checking_UL!$D28,DV_AZUL_Stat!E:E)</f>
        <v>5250000000</v>
      </c>
      <c r="G28" s="1">
        <f>SUMIF(DV_AZUL_Stat!H:H,Summary_Checking_UL!$D28,DV_AZUL_Stat!D:D)</f>
        <v>2625000000</v>
      </c>
      <c r="H28" s="1">
        <f>SUMIF(DV_AZUL_Stat!H:H,Summary_Checking_UL!$D28,DV_AZUL_Stat!F:F)</f>
        <v>874698204.773458</v>
      </c>
      <c r="I28" s="46">
        <f>SUMIF(IT_AZUL_FULL_Stat!$H:$H,Summary_Checking_UL!$D28,IT_AZUL_FULL_Stat!C:C)</f>
        <v>14</v>
      </c>
      <c r="J28" s="46">
        <f>SUMIF(IT_AZUL_FULL_Stat!$H:$H,Summary_Checking_UL!$D28,IT_AZUL_FULL_Stat!E:E)</f>
        <v>5250000000</v>
      </c>
      <c r="K28" s="46">
        <f>SUMIF(IT_AZUL_FULL_Stat!$H:$H,Summary_Checking_UL!$D28,IT_AZUL_FULL_Stat!D:D)</f>
        <v>2625000000</v>
      </c>
      <c r="L28" s="46">
        <f>SUMIF(IT_AZUL_FULL_Stat!$H:$H,Summary_Checking_UL!$D28,IT_AZUL_FULL_Stat!F:F)</f>
        <v>874698206.61152399</v>
      </c>
      <c r="M28" s="7">
        <f t="shared" si="5"/>
        <v>0</v>
      </c>
      <c r="N28" s="7">
        <f t="shared" si="5"/>
        <v>0</v>
      </c>
      <c r="O28" s="7">
        <f t="shared" si="5"/>
        <v>0</v>
      </c>
      <c r="P28" s="7">
        <f t="shared" si="5"/>
        <v>-1.8380659818649292</v>
      </c>
      <c r="Q28" s="48">
        <f t="shared" si="3"/>
        <v>0</v>
      </c>
      <c r="R28" s="48">
        <f t="shared" si="3"/>
        <v>0</v>
      </c>
      <c r="S28" s="48">
        <f t="shared" si="3"/>
        <v>0</v>
      </c>
      <c r="T28" s="48">
        <f t="shared" si="3"/>
        <v>-2.1013716136281751E-9</v>
      </c>
      <c r="W28" s="46" t="str">
        <f t="shared" si="4"/>
        <v>IDR</v>
      </c>
    </row>
    <row r="29" spans="1:23">
      <c r="A29" s="58" t="e">
        <f>_xlfn.XLOOKUP(B29,[10]Sheet1!$D:$D,[10]Sheet1!$E:$E)</f>
        <v>#N/A</v>
      </c>
      <c r="B29" t="str">
        <f t="shared" si="1"/>
        <v>ULASLF</v>
      </c>
      <c r="C29" t="str">
        <f>VLOOKUP(D29,DV_AZUL_Stat!H:I,2,FALSE)</f>
        <v>ULASLF_IDR</v>
      </c>
      <c r="D29" s="59" t="s">
        <v>1938</v>
      </c>
      <c r="E29" s="1">
        <f>SUMIF(DV_AZUL_Stat!H:H,Summary_Checking_UL!$D29,DV_AZUL_Stat!C:C)</f>
        <v>33562</v>
      </c>
      <c r="F29" s="1">
        <f>SUMIF(DV_AZUL_Stat!H:H,Summary_Checking_UL!$D29,DV_AZUL_Stat!E:E)</f>
        <v>8517222318239</v>
      </c>
      <c r="G29" s="1">
        <f>SUMIF(DV_AZUL_Stat!H:H,Summary_Checking_UL!$D29,DV_AZUL_Stat!D:D)</f>
        <v>594014540428</v>
      </c>
      <c r="H29" s="1">
        <f>SUMIF(DV_AZUL_Stat!H:H,Summary_Checking_UL!$D29,DV_AZUL_Stat!F:F)</f>
        <v>86513112617.873795</v>
      </c>
      <c r="I29" s="46">
        <f>SUMIF(IT_AZUL_FULL_Stat!$H:$H,Summary_Checking_UL!$D29,IT_AZUL_FULL_Stat!C:C)</f>
        <v>33562</v>
      </c>
      <c r="J29" s="46">
        <f>SUMIF(IT_AZUL_FULL_Stat!$H:$H,Summary_Checking_UL!$D29,IT_AZUL_FULL_Stat!E:E)</f>
        <v>8517222318239</v>
      </c>
      <c r="K29" s="46">
        <f>SUMIF(IT_AZUL_FULL_Stat!$H:$H,Summary_Checking_UL!$D29,IT_AZUL_FULL_Stat!D:D)</f>
        <v>594014540428</v>
      </c>
      <c r="L29" s="46">
        <f>SUMIF(IT_AZUL_FULL_Stat!$H:$H,Summary_Checking_UL!$D29,IT_AZUL_FULL_Stat!F:F)</f>
        <v>86513112652.315598</v>
      </c>
      <c r="M29" s="7">
        <f t="shared" si="5"/>
        <v>0</v>
      </c>
      <c r="N29" s="7">
        <f t="shared" si="5"/>
        <v>0</v>
      </c>
      <c r="O29" s="7">
        <f t="shared" si="5"/>
        <v>0</v>
      </c>
      <c r="P29" s="7">
        <f t="shared" si="5"/>
        <v>-34.441802978515625</v>
      </c>
      <c r="Q29" s="48">
        <f t="shared" ref="Q29:T92" si="6">IFERROR(M29/I29,0)</f>
        <v>0</v>
      </c>
      <c r="R29" s="48">
        <f t="shared" si="6"/>
        <v>0</v>
      </c>
      <c r="S29" s="48">
        <f t="shared" si="6"/>
        <v>0</v>
      </c>
      <c r="T29" s="48">
        <f t="shared" si="6"/>
        <v>-3.981107825461388E-10</v>
      </c>
      <c r="W29" s="46" t="str">
        <f t="shared" si="4"/>
        <v>IDR</v>
      </c>
    </row>
    <row r="30" spans="1:23">
      <c r="A30" s="58" t="str">
        <f>_xlfn.XLOOKUP(B30,[10]Sheet1!$D:$D,[10]Sheet1!$E:$E)</f>
        <v>Allisya Aman</v>
      </c>
      <c r="B30" t="str">
        <f t="shared" si="1"/>
        <v>ULASMN</v>
      </c>
      <c r="C30" t="str">
        <f>VLOOKUP(D30,DV_AZUL_Stat!H:I,2,FALSE)</f>
        <v>ULASMN_IDR</v>
      </c>
      <c r="D30" s="59" t="s">
        <v>1939</v>
      </c>
      <c r="E30" s="1">
        <f>SUMIF(DV_AZUL_Stat!H:H,Summary_Checking_UL!$D30,DV_AZUL_Stat!C:C)</f>
        <v>216</v>
      </c>
      <c r="F30" s="1">
        <f>SUMIF(DV_AZUL_Stat!H:H,Summary_Checking_UL!$D30,DV_AZUL_Stat!E:E)</f>
        <v>91524088900</v>
      </c>
      <c r="G30" s="1">
        <f>SUMIF(DV_AZUL_Stat!H:H,Summary_Checking_UL!$D30,DV_AZUL_Stat!D:D)</f>
        <v>5853815376</v>
      </c>
      <c r="H30" s="1">
        <f>SUMIF(DV_AZUL_Stat!H:H,Summary_Checking_UL!$D30,DV_AZUL_Stat!F:F)</f>
        <v>2348880910</v>
      </c>
      <c r="I30" s="46">
        <f>SUMIF(IT_AZUL_FULL_Stat!$H:$H,Summary_Checking_UL!$D30,IT_AZUL_FULL_Stat!C:C)</f>
        <v>1115</v>
      </c>
      <c r="J30" s="46">
        <f>SUMIF(IT_AZUL_FULL_Stat!$H:$H,Summary_Checking_UL!$D30,IT_AZUL_FULL_Stat!E:E)</f>
        <v>393808574317</v>
      </c>
      <c r="K30" s="46">
        <f>SUMIF(IT_AZUL_FULL_Stat!$H:$H,Summary_Checking_UL!$D30,IT_AZUL_FULL_Stat!D:D)</f>
        <v>27250764615</v>
      </c>
      <c r="L30" s="46">
        <f>SUMIF(IT_AZUL_FULL_Stat!$H:$H,Summary_Checking_UL!$D30,IT_AZUL_FULL_Stat!F:F)</f>
        <v>5389828288.0321798</v>
      </c>
      <c r="M30" s="7">
        <f>E30-I30</f>
        <v>-899</v>
      </c>
      <c r="N30" s="7">
        <f t="shared" si="5"/>
        <v>-302284485417</v>
      </c>
      <c r="O30" s="7">
        <f t="shared" si="5"/>
        <v>-21396949239</v>
      </c>
      <c r="P30" s="7">
        <f t="shared" si="5"/>
        <v>-3040947378.0321798</v>
      </c>
      <c r="Q30" s="48">
        <f t="shared" si="6"/>
        <v>-0.80627802690582961</v>
      </c>
      <c r="R30" s="48">
        <f t="shared" si="6"/>
        <v>-0.76759244244812508</v>
      </c>
      <c r="S30" s="48">
        <f t="shared" si="6"/>
        <v>-0.78518711461116919</v>
      </c>
      <c r="T30" s="48">
        <f t="shared" si="6"/>
        <v>-0.56420116106192808</v>
      </c>
      <c r="W30" s="46" t="str">
        <f t="shared" si="4"/>
        <v>IDR</v>
      </c>
    </row>
    <row r="31" spans="1:23">
      <c r="A31" s="58" t="str">
        <f>_xlfn.XLOOKUP(B31,[10]Sheet1!$D:$D,[10]Sheet1!$E:$E)</f>
        <v>Allisya Protection Plus Revamped</v>
      </c>
      <c r="B31" t="str">
        <f t="shared" si="1"/>
        <v>ULASPO</v>
      </c>
      <c r="C31" t="str">
        <f>VLOOKUP(D31,DV_AZUL_Stat!H:I,2,FALSE)</f>
        <v>ULASPO_IDR</v>
      </c>
      <c r="D31" s="59" t="s">
        <v>1940</v>
      </c>
      <c r="E31" s="1">
        <f>SUMIF(DV_AZUL_Stat!H:H,Summary_Checking_UL!$D31,DV_AZUL_Stat!C:C)</f>
        <v>1166</v>
      </c>
      <c r="F31" s="1">
        <f>SUMIF(DV_AZUL_Stat!H:H,Summary_Checking_UL!$D31,DV_AZUL_Stat!E:E)</f>
        <v>465220900000</v>
      </c>
      <c r="G31" s="1">
        <f>SUMIF(DV_AZUL_Stat!H:H,Summary_Checking_UL!$D31,DV_AZUL_Stat!D:D)</f>
        <v>16083342400</v>
      </c>
      <c r="H31" s="1">
        <f>SUMIF(DV_AZUL_Stat!H:H,Summary_Checking_UL!$D31,DV_AZUL_Stat!F:F)</f>
        <v>17156555404.444277</v>
      </c>
      <c r="I31" s="46">
        <f>SUMIF(IT_AZUL_FULL_Stat!$H:$H,Summary_Checking_UL!$D31,IT_AZUL_FULL_Stat!C:C)</f>
        <v>1166</v>
      </c>
      <c r="J31" s="46">
        <f>SUMIF(IT_AZUL_FULL_Stat!$H:$H,Summary_Checking_UL!$D31,IT_AZUL_FULL_Stat!E:E)</f>
        <v>465220900000</v>
      </c>
      <c r="K31" s="46">
        <f>SUMIF(IT_AZUL_FULL_Stat!$H:$H,Summary_Checking_UL!$D31,IT_AZUL_FULL_Stat!D:D)</f>
        <v>16083342400</v>
      </c>
      <c r="L31" s="46">
        <f>SUMIF(IT_AZUL_FULL_Stat!$H:$H,Summary_Checking_UL!$D31,IT_AZUL_FULL_Stat!F:F)</f>
        <v>17156555398.858999</v>
      </c>
      <c r="M31" s="7">
        <f t="shared" si="5"/>
        <v>0</v>
      </c>
      <c r="N31" s="7">
        <f t="shared" si="5"/>
        <v>0</v>
      </c>
      <c r="O31" s="7">
        <f t="shared" si="5"/>
        <v>0</v>
      </c>
      <c r="P31" s="7">
        <f t="shared" si="5"/>
        <v>5.5852775573730469</v>
      </c>
      <c r="Q31" s="48">
        <f t="shared" si="6"/>
        <v>0</v>
      </c>
      <c r="R31" s="48">
        <f t="shared" si="6"/>
        <v>0</v>
      </c>
      <c r="S31" s="48">
        <f t="shared" si="6"/>
        <v>0</v>
      </c>
      <c r="T31" s="48">
        <f t="shared" si="6"/>
        <v>3.255477237432228E-10</v>
      </c>
      <c r="W31" s="46" t="str">
        <f t="shared" si="4"/>
        <v>IDR</v>
      </c>
    </row>
    <row r="32" spans="1:23">
      <c r="A32" s="58" t="str">
        <f>_xlfn.XLOOKUP(B32,[10]Sheet1!$D:$D,[10]Sheet1!$E:$E)</f>
        <v>AlliSya Protection Plus New aft 0119</v>
      </c>
      <c r="B32" t="str">
        <f t="shared" si="1"/>
        <v>ULASPP</v>
      </c>
      <c r="C32" t="str">
        <f>VLOOKUP(D32,DV_AZUL_Stat!H:I,2,FALSE)</f>
        <v>ULASPP_IDR</v>
      </c>
      <c r="D32" s="59" t="s">
        <v>1941</v>
      </c>
      <c r="E32" s="1">
        <f>SUMIF(DV_AZUL_Stat!H:H,Summary_Checking_UL!$D32,DV_AZUL_Stat!C:C)</f>
        <v>57295</v>
      </c>
      <c r="F32" s="1">
        <f>SUMIF(DV_AZUL_Stat!H:H,Summary_Checking_UL!$D32,DV_AZUL_Stat!E:E)</f>
        <v>15076550223431.988</v>
      </c>
      <c r="G32" s="1">
        <f>SUMIF(DV_AZUL_Stat!H:H,Summary_Checking_UL!$D32,DV_AZUL_Stat!D:D)</f>
        <v>963897618892.84985</v>
      </c>
      <c r="H32" s="1">
        <f>SUMIF(DV_AZUL_Stat!H:H,Summary_Checking_UL!$D32,DV_AZUL_Stat!F:F)</f>
        <v>357411103966.74207</v>
      </c>
      <c r="I32" s="46">
        <f>SUMIF(IT_AZUL_FULL_Stat!$H:$H,Summary_Checking_UL!$D32,IT_AZUL_FULL_Stat!C:C)</f>
        <v>57295</v>
      </c>
      <c r="J32" s="46">
        <f>SUMIF(IT_AZUL_FULL_Stat!$H:$H,Summary_Checking_UL!$D32,IT_AZUL_FULL_Stat!E:E)</f>
        <v>15076550223431.9</v>
      </c>
      <c r="K32" s="46">
        <f>SUMIF(IT_AZUL_FULL_Stat!$H:$H,Summary_Checking_UL!$D32,IT_AZUL_FULL_Stat!D:D)</f>
        <v>963897618892.85095</v>
      </c>
      <c r="L32" s="46">
        <f>SUMIF(IT_AZUL_FULL_Stat!$H:$H,Summary_Checking_UL!$D32,IT_AZUL_FULL_Stat!F:F)</f>
        <v>357411103872.31647</v>
      </c>
      <c r="M32" s="7">
        <f t="shared" si="5"/>
        <v>0</v>
      </c>
      <c r="N32" s="7">
        <f t="shared" si="5"/>
        <v>8.7890625E-2</v>
      </c>
      <c r="O32" s="7">
        <f t="shared" si="5"/>
        <v>-1.0986328125E-3</v>
      </c>
      <c r="P32" s="7">
        <f t="shared" si="5"/>
        <v>94.42559814453125</v>
      </c>
      <c r="Q32" s="48">
        <f t="shared" si="6"/>
        <v>0</v>
      </c>
      <c r="R32" s="48">
        <f t="shared" si="6"/>
        <v>5.829624396660771E-15</v>
      </c>
      <c r="S32" s="48">
        <f t="shared" si="6"/>
        <v>-1.1397816437827786E-15</v>
      </c>
      <c r="T32" s="48">
        <f t="shared" si="6"/>
        <v>2.6419324168021476E-10</v>
      </c>
      <c r="W32" s="46" t="str">
        <f t="shared" si="4"/>
        <v>IDR</v>
      </c>
    </row>
    <row r="33" spans="1:23">
      <c r="A33" s="58" t="str">
        <f>_xlfn.XLOOKUP(B33,[10]Sheet1!$D:$D,[10]Sheet1!$E:$E)</f>
        <v>Allisya SafeSaving</v>
      </c>
      <c r="B33" t="str">
        <f t="shared" si="1"/>
        <v>ULASS_</v>
      </c>
      <c r="C33" t="str">
        <f>VLOOKUP(D33,DV_AZUL_Stat!H:I,2,FALSE)</f>
        <v>ULASS__IDR</v>
      </c>
      <c r="D33" s="59" t="s">
        <v>1942</v>
      </c>
      <c r="E33" s="1">
        <f>SUMIF(DV_AZUL_Stat!H:H,Summary_Checking_UL!$D33,DV_AZUL_Stat!C:C)</f>
        <v>85</v>
      </c>
      <c r="F33" s="1">
        <f>SUMIF(DV_AZUL_Stat!H:H,Summary_Checking_UL!$D33,DV_AZUL_Stat!E:E)</f>
        <v>13997000000</v>
      </c>
      <c r="G33" s="1">
        <f>SUMIF(DV_AZUL_Stat!H:H,Summary_Checking_UL!$D33,DV_AZUL_Stat!D:D)</f>
        <v>463800000</v>
      </c>
      <c r="H33" s="1">
        <f>SUMIF(DV_AZUL_Stat!H:H,Summary_Checking_UL!$D33,DV_AZUL_Stat!F:F)</f>
        <v>1926216797.1382401</v>
      </c>
      <c r="I33" s="46">
        <f>SUMIF(IT_AZUL_FULL_Stat!$H:$H,Summary_Checking_UL!$D33,IT_AZUL_FULL_Stat!C:C)</f>
        <v>85</v>
      </c>
      <c r="J33" s="46">
        <f>SUMIF(IT_AZUL_FULL_Stat!$H:$H,Summary_Checking_UL!$D33,IT_AZUL_FULL_Stat!E:E)</f>
        <v>13997000000</v>
      </c>
      <c r="K33" s="46">
        <f>SUMIF(IT_AZUL_FULL_Stat!$H:$H,Summary_Checking_UL!$D33,IT_AZUL_FULL_Stat!D:D)</f>
        <v>463800000</v>
      </c>
      <c r="L33" s="46">
        <f>SUMIF(IT_AZUL_FULL_Stat!$H:$H,Summary_Checking_UL!$D33,IT_AZUL_FULL_Stat!F:F)</f>
        <v>1926216798.5644801</v>
      </c>
      <c r="M33" s="7">
        <f t="shared" si="5"/>
        <v>0</v>
      </c>
      <c r="N33" s="7">
        <f t="shared" si="5"/>
        <v>0</v>
      </c>
      <c r="O33" s="7">
        <f t="shared" si="5"/>
        <v>0</v>
      </c>
      <c r="P33" s="7">
        <f t="shared" si="5"/>
        <v>-1.4262399673461914</v>
      </c>
      <c r="Q33" s="48">
        <f t="shared" si="6"/>
        <v>0</v>
      </c>
      <c r="R33" s="48">
        <f t="shared" si="6"/>
        <v>0</v>
      </c>
      <c r="S33" s="48">
        <f t="shared" si="6"/>
        <v>0</v>
      </c>
      <c r="T33" s="48">
        <f t="shared" si="6"/>
        <v>-7.4043584730914083E-10</v>
      </c>
      <c r="W33" s="46" t="str">
        <f t="shared" si="4"/>
        <v>IDR</v>
      </c>
    </row>
    <row r="34" spans="1:23">
      <c r="A34" s="58" t="str">
        <f>_xlfn.XLOOKUP(B34,[10]Sheet1!$D:$D,[10]Sheet1!$E:$E)</f>
        <v>Allianz Wealth Link Prestige Life</v>
      </c>
      <c r="B34" t="str">
        <f t="shared" si="1"/>
        <v>ULAWPL</v>
      </c>
      <c r="C34" t="str">
        <f>VLOOKUP(D34,DV_AZUL_Stat!H:I,2,FALSE)</f>
        <v>ULAWPL_IDR</v>
      </c>
      <c r="D34" s="59" t="s">
        <v>1943</v>
      </c>
      <c r="E34" s="1">
        <f>SUMIF(DV_AZUL_Stat!H:H,Summary_Checking_UL!$D34,DV_AZUL_Stat!C:C)</f>
        <v>54</v>
      </c>
      <c r="F34" s="1">
        <f>SUMIF(DV_AZUL_Stat!H:H,Summary_Checking_UL!$D34,DV_AZUL_Stat!E:E)</f>
        <v>338500000000</v>
      </c>
      <c r="G34" s="1">
        <f>SUMIF(DV_AZUL_Stat!H:H,Summary_Checking_UL!$D34,DV_AZUL_Stat!D:D)</f>
        <v>9041000004</v>
      </c>
      <c r="H34" s="1">
        <f>SUMIF(DV_AZUL_Stat!H:H,Summary_Checking_UL!$D34,DV_AZUL_Stat!F:F)</f>
        <v>19632887052.742172</v>
      </c>
      <c r="I34" s="46">
        <f>SUMIF(IT_AZUL_FULL_Stat!$H:$H,Summary_Checking_UL!$D34,IT_AZUL_FULL_Stat!C:C)</f>
        <v>54</v>
      </c>
      <c r="J34" s="46">
        <f>SUMIF(IT_AZUL_FULL_Stat!$H:$H,Summary_Checking_UL!$D34,IT_AZUL_FULL_Stat!E:E)</f>
        <v>338500000000</v>
      </c>
      <c r="K34" s="46">
        <f>SUMIF(IT_AZUL_FULL_Stat!$H:$H,Summary_Checking_UL!$D34,IT_AZUL_FULL_Stat!D:D)</f>
        <v>9041000004</v>
      </c>
      <c r="L34" s="46">
        <f>SUMIF(IT_AZUL_FULL_Stat!$H:$H,Summary_Checking_UL!$D34,IT_AZUL_FULL_Stat!F:F)</f>
        <v>19632887048.895199</v>
      </c>
      <c r="M34" s="7">
        <f t="shared" si="5"/>
        <v>0</v>
      </c>
      <c r="N34" s="7">
        <f t="shared" si="5"/>
        <v>0</v>
      </c>
      <c r="O34" s="7">
        <f t="shared" si="5"/>
        <v>0</v>
      </c>
      <c r="P34" s="7">
        <f t="shared" si="5"/>
        <v>3.8469734191894531</v>
      </c>
      <c r="Q34" s="48">
        <f t="shared" si="6"/>
        <v>0</v>
      </c>
      <c r="R34" s="48">
        <f t="shared" si="6"/>
        <v>0</v>
      </c>
      <c r="S34" s="48">
        <f t="shared" si="6"/>
        <v>0</v>
      </c>
      <c r="T34" s="48">
        <f t="shared" si="6"/>
        <v>1.9594537520684885E-10</v>
      </c>
      <c r="W34" s="46" t="str">
        <f t="shared" si="4"/>
        <v>IDR</v>
      </c>
    </row>
    <row r="35" spans="1:23">
      <c r="A35" s="58" t="str">
        <f>_xlfn.XLOOKUP(B35,[10]Sheet1!$D:$D,[10]Sheet1!$E:$E)</f>
        <v>Allianz Wealth Link Prestige Life</v>
      </c>
      <c r="B35" t="str">
        <f t="shared" si="1"/>
        <v>ULAWPL</v>
      </c>
      <c r="C35" t="str">
        <f>VLOOKUP(D35,DV_AZUL_Stat!H:I,2,FALSE)</f>
        <v>ULAWPL_USD</v>
      </c>
      <c r="D35" s="59" t="s">
        <v>1944</v>
      </c>
      <c r="E35" s="1">
        <f>SUMIF(DV_AZUL_Stat!H:H,Summary_Checking_UL!$D35,DV_AZUL_Stat!C:C)</f>
        <v>57</v>
      </c>
      <c r="F35" s="1">
        <f>SUMIF(DV_AZUL_Stat!H:H,Summary_Checking_UL!$D35,DV_AZUL_Stat!E:E)</f>
        <v>23636000</v>
      </c>
      <c r="G35" s="1">
        <f>SUMIF(DV_AZUL_Stat!H:H,Summary_Checking_UL!$D35,DV_AZUL_Stat!D:D)</f>
        <v>1029000</v>
      </c>
      <c r="H35" s="1">
        <f>SUMIF(DV_AZUL_Stat!H:H,Summary_Checking_UL!$D35,DV_AZUL_Stat!F:F)</f>
        <v>2702602.1351933801</v>
      </c>
      <c r="I35" s="46">
        <f>SUMIF(IT_AZUL_FULL_Stat!$H:$H,Summary_Checking_UL!$D35,IT_AZUL_FULL_Stat!C:C)</f>
        <v>57</v>
      </c>
      <c r="J35" s="46">
        <f>SUMIF(IT_AZUL_FULL_Stat!$H:$H,Summary_Checking_UL!$D35,IT_AZUL_FULL_Stat!E:E)</f>
        <v>23636000</v>
      </c>
      <c r="K35" s="46">
        <f>SUMIF(IT_AZUL_FULL_Stat!$H:$H,Summary_Checking_UL!$D35,IT_AZUL_FULL_Stat!D:D)</f>
        <v>1029000</v>
      </c>
      <c r="L35" s="46">
        <f>SUMIF(IT_AZUL_FULL_Stat!$H:$H,Summary_Checking_UL!$D35,IT_AZUL_FULL_Stat!F:F)</f>
        <v>2702602.7701941002</v>
      </c>
      <c r="M35" s="7">
        <f t="shared" si="5"/>
        <v>0</v>
      </c>
      <c r="N35" s="7">
        <f t="shared" si="5"/>
        <v>0</v>
      </c>
      <c r="O35" s="7">
        <f t="shared" si="5"/>
        <v>0</v>
      </c>
      <c r="P35" s="7">
        <f t="shared" si="5"/>
        <v>-0.63500072015449405</v>
      </c>
      <c r="Q35" s="48">
        <f t="shared" si="6"/>
        <v>0</v>
      </c>
      <c r="R35" s="48">
        <f t="shared" si="6"/>
        <v>0</v>
      </c>
      <c r="S35" s="48">
        <f t="shared" si="6"/>
        <v>0</v>
      </c>
      <c r="T35" s="48">
        <f t="shared" si="6"/>
        <v>-2.3495895407111141E-7</v>
      </c>
      <c r="W35" s="46" t="str">
        <f t="shared" si="4"/>
        <v>USD</v>
      </c>
    </row>
    <row r="36" spans="1:23">
      <c r="A36" s="58" t="str">
        <f>_xlfn.XLOOKUP(B36,[10]Sheet1!$D:$D,[10]Sheet1!$E:$E)</f>
        <v>Allianz Wealthlink Preferred Life</v>
      </c>
      <c r="B36" t="str">
        <f t="shared" si="1"/>
        <v>ULAWPR</v>
      </c>
      <c r="C36" t="str">
        <f>VLOOKUP(D36,DV_AZUL_Stat!H:I,2,FALSE)</f>
        <v>ULAWPR_IDR</v>
      </c>
      <c r="D36" s="59" t="s">
        <v>1945</v>
      </c>
      <c r="E36" s="1">
        <f>SUMIF(DV_AZUL_Stat!H:H,Summary_Checking_UL!$D36,DV_AZUL_Stat!C:C)</f>
        <v>42</v>
      </c>
      <c r="F36" s="1">
        <f>SUMIF(DV_AZUL_Stat!H:H,Summary_Checking_UL!$D36,DV_AZUL_Stat!E:E)</f>
        <v>30315000000</v>
      </c>
      <c r="G36" s="1">
        <f>SUMIF(DV_AZUL_Stat!H:H,Summary_Checking_UL!$D36,DV_AZUL_Stat!D:D)</f>
        <v>2024500004</v>
      </c>
      <c r="H36" s="1">
        <f>SUMIF(DV_AZUL_Stat!H:H,Summary_Checking_UL!$D36,DV_AZUL_Stat!F:F)</f>
        <v>4379222853.4660349</v>
      </c>
      <c r="I36" s="46">
        <f>SUMIF(IT_AZUL_FULL_Stat!$H:$H,Summary_Checking_UL!$D36,IT_AZUL_FULL_Stat!C:C)</f>
        <v>42</v>
      </c>
      <c r="J36" s="46">
        <f>SUMIF(IT_AZUL_FULL_Stat!$H:$H,Summary_Checking_UL!$D36,IT_AZUL_FULL_Stat!E:E)</f>
        <v>30315000000</v>
      </c>
      <c r="K36" s="46">
        <f>SUMIF(IT_AZUL_FULL_Stat!$H:$H,Summary_Checking_UL!$D36,IT_AZUL_FULL_Stat!D:D)</f>
        <v>2024500004</v>
      </c>
      <c r="L36" s="46">
        <f>SUMIF(IT_AZUL_FULL_Stat!$H:$H,Summary_Checking_UL!$D36,IT_AZUL_FULL_Stat!F:F)</f>
        <v>4379222854.1746502</v>
      </c>
      <c r="M36" s="7">
        <f t="shared" si="5"/>
        <v>0</v>
      </c>
      <c r="N36" s="7">
        <f t="shared" si="5"/>
        <v>0</v>
      </c>
      <c r="O36" s="7">
        <f t="shared" si="5"/>
        <v>0</v>
      </c>
      <c r="P36" s="7">
        <f t="shared" si="5"/>
        <v>-0.70861530303955078</v>
      </c>
      <c r="Q36" s="48">
        <f t="shared" si="6"/>
        <v>0</v>
      </c>
      <c r="R36" s="48">
        <f t="shared" si="6"/>
        <v>0</v>
      </c>
      <c r="S36" s="48">
        <f t="shared" si="6"/>
        <v>0</v>
      </c>
      <c r="T36" s="48">
        <f t="shared" si="6"/>
        <v>-1.6181302633731873E-10</v>
      </c>
      <c r="W36" s="46" t="str">
        <f t="shared" si="4"/>
        <v>IDR</v>
      </c>
    </row>
    <row r="37" spans="1:23">
      <c r="A37" s="58" t="str">
        <f>_xlfn.XLOOKUP(B37,[10]Sheet1!$D:$D,[10]Sheet1!$E:$E)</f>
        <v>Allianz Wealthlink Preferred Life</v>
      </c>
      <c r="B37" t="str">
        <f t="shared" si="1"/>
        <v>ULAWPR</v>
      </c>
      <c r="C37" t="str">
        <f>VLOOKUP(D37,DV_AZUL_Stat!H:I,2,FALSE)</f>
        <v>ULAWPR_USD</v>
      </c>
      <c r="D37" s="59" t="s">
        <v>1946</v>
      </c>
      <c r="E37" s="1">
        <f>SUMIF(DV_AZUL_Stat!H:H,Summary_Checking_UL!$D37,DV_AZUL_Stat!C:C)</f>
        <v>2</v>
      </c>
      <c r="F37" s="1">
        <f>SUMIF(DV_AZUL_Stat!H:H,Summary_Checking_UL!$D37,DV_AZUL_Stat!E:E)</f>
        <v>25000</v>
      </c>
      <c r="G37" s="1">
        <f>SUMIF(DV_AZUL_Stat!H:H,Summary_Checking_UL!$D37,DV_AZUL_Stat!D:D)</f>
        <v>5000</v>
      </c>
      <c r="H37" s="1">
        <f>SUMIF(DV_AZUL_Stat!H:H,Summary_Checking_UL!$D37,DV_AZUL_Stat!F:F)</f>
        <v>16358.62679056</v>
      </c>
      <c r="I37" s="46">
        <f>SUMIF(IT_AZUL_FULL_Stat!$H:$H,Summary_Checking_UL!$D37,IT_AZUL_FULL_Stat!C:C)</f>
        <v>2</v>
      </c>
      <c r="J37" s="46">
        <f>SUMIF(IT_AZUL_FULL_Stat!$H:$H,Summary_Checking_UL!$D37,IT_AZUL_FULL_Stat!E:E)</f>
        <v>25000</v>
      </c>
      <c r="K37" s="46">
        <f>SUMIF(IT_AZUL_FULL_Stat!$H:$H,Summary_Checking_UL!$D37,IT_AZUL_FULL_Stat!D:D)</f>
        <v>5000</v>
      </c>
      <c r="L37" s="46">
        <f>SUMIF(IT_AZUL_FULL_Stat!$H:$H,Summary_Checking_UL!$D37,IT_AZUL_FULL_Stat!F:F)</f>
        <v>16359.142858560001</v>
      </c>
      <c r="M37" s="7">
        <f t="shared" si="5"/>
        <v>0</v>
      </c>
      <c r="N37" s="7">
        <f t="shared" si="5"/>
        <v>0</v>
      </c>
      <c r="O37" s="7">
        <f t="shared" si="5"/>
        <v>0</v>
      </c>
      <c r="P37" s="7">
        <f t="shared" si="5"/>
        <v>-0.51606800000081421</v>
      </c>
      <c r="Q37" s="48">
        <f t="shared" si="6"/>
        <v>0</v>
      </c>
      <c r="R37" s="48">
        <f t="shared" si="6"/>
        <v>0</v>
      </c>
      <c r="S37" s="48">
        <f t="shared" si="6"/>
        <v>0</v>
      </c>
      <c r="T37" s="48">
        <f t="shared" si="6"/>
        <v>-3.1546151559571417E-5</v>
      </c>
      <c r="W37" s="46" t="str">
        <f t="shared" si="4"/>
        <v>USD</v>
      </c>
    </row>
    <row r="38" spans="1:23">
      <c r="A38" s="58" t="str">
        <f>_xlfn.XLOOKUP(B38,[10]Sheet1!$D:$D,[10]Sheet1!$E:$E)</f>
        <v>Proteksi Maxima Care</v>
      </c>
      <c r="B38" t="str">
        <f t="shared" si="1"/>
        <v>ULBPMC</v>
      </c>
      <c r="C38" t="str">
        <f>VLOOKUP(D38,DV_AZUL_Stat!H:I,2,FALSE)</f>
        <v>ULBPMC_IDR</v>
      </c>
      <c r="D38" s="59" t="s">
        <v>1947</v>
      </c>
      <c r="E38" s="1">
        <f>SUMIF(DV_AZUL_Stat!H:H,Summary_Checking_UL!$D38,DV_AZUL_Stat!C:C)</f>
        <v>12</v>
      </c>
      <c r="F38" s="1">
        <f>SUMIF(DV_AZUL_Stat!H:H,Summary_Checking_UL!$D38,DV_AZUL_Stat!E:E)</f>
        <v>975000000</v>
      </c>
      <c r="G38" s="1">
        <f>SUMIF(DV_AZUL_Stat!H:H,Summary_Checking_UL!$D38,DV_AZUL_Stat!D:D)</f>
        <v>650000000</v>
      </c>
      <c r="H38" s="1">
        <f>SUMIF(DV_AZUL_Stat!H:H,Summary_Checking_UL!$D38,DV_AZUL_Stat!F:F)</f>
        <v>7831206334.2973299</v>
      </c>
      <c r="I38" s="46">
        <f>SUMIF(IT_AZUL_FULL_Stat!$H:$H,Summary_Checking_UL!$D38,IT_AZUL_FULL_Stat!C:C)</f>
        <v>12</v>
      </c>
      <c r="J38" s="46">
        <f>SUMIF(IT_AZUL_FULL_Stat!$H:$H,Summary_Checking_UL!$D38,IT_AZUL_FULL_Stat!E:E)</f>
        <v>975000000</v>
      </c>
      <c r="K38" s="46">
        <f>SUMIF(IT_AZUL_FULL_Stat!$H:$H,Summary_Checking_UL!$D38,IT_AZUL_FULL_Stat!D:D)</f>
        <v>650000000</v>
      </c>
      <c r="L38" s="46">
        <f>SUMIF(IT_AZUL_FULL_Stat!$H:$H,Summary_Checking_UL!$D38,IT_AZUL_FULL_Stat!F:F)</f>
        <v>7831206333.6890097</v>
      </c>
      <c r="M38" s="7">
        <f t="shared" si="5"/>
        <v>0</v>
      </c>
      <c r="N38" s="7">
        <f t="shared" si="5"/>
        <v>0</v>
      </c>
      <c r="O38" s="7">
        <f t="shared" si="5"/>
        <v>0</v>
      </c>
      <c r="P38" s="7">
        <f t="shared" si="5"/>
        <v>0.60832023620605469</v>
      </c>
      <c r="Q38" s="48">
        <f t="shared" si="6"/>
        <v>0</v>
      </c>
      <c r="R38" s="48">
        <f t="shared" si="6"/>
        <v>0</v>
      </c>
      <c r="S38" s="48">
        <f t="shared" si="6"/>
        <v>0</v>
      </c>
      <c r="T38" s="48">
        <f t="shared" si="6"/>
        <v>7.7678994817072593E-11</v>
      </c>
      <c r="W38" s="46" t="str">
        <f t="shared" si="4"/>
        <v>IDR</v>
      </c>
    </row>
    <row r="39" spans="1:23">
      <c r="A39" s="58" t="str">
        <f>_xlfn.XLOOKUP(B39,[10]Sheet1!$D:$D,[10]Sheet1!$E:$E)</f>
        <v>Proteksi Maxima Care</v>
      </c>
      <c r="B39" t="str">
        <f t="shared" si="1"/>
        <v>ULBPMC</v>
      </c>
      <c r="C39" t="str">
        <f>VLOOKUP(D39,DV_AZUL_Stat!H:I,2,FALSE)</f>
        <v>ULBPMC_USD</v>
      </c>
      <c r="D39" s="59" t="s">
        <v>1948</v>
      </c>
      <c r="E39" s="1">
        <f>SUMIF(DV_AZUL_Stat!H:H,Summary_Checking_UL!$D39,DV_AZUL_Stat!C:C)</f>
        <v>47</v>
      </c>
      <c r="F39" s="1">
        <f>SUMIF(DV_AZUL_Stat!H:H,Summary_Checking_UL!$D39,DV_AZUL_Stat!E:E)</f>
        <v>352500</v>
      </c>
      <c r="G39" s="1">
        <f>SUMIF(DV_AZUL_Stat!H:H,Summary_Checking_UL!$D39,DV_AZUL_Stat!D:D)</f>
        <v>235000</v>
      </c>
      <c r="H39" s="1">
        <f>SUMIF(DV_AZUL_Stat!H:H,Summary_Checking_UL!$D39,DV_AZUL_Stat!F:F)</f>
        <v>1781106.63948528</v>
      </c>
      <c r="I39" s="46">
        <f>SUMIF(IT_AZUL_FULL_Stat!$H:$H,Summary_Checking_UL!$D39,IT_AZUL_FULL_Stat!C:C)</f>
        <v>47</v>
      </c>
      <c r="J39" s="46">
        <f>SUMIF(IT_AZUL_FULL_Stat!$H:$H,Summary_Checking_UL!$D39,IT_AZUL_FULL_Stat!E:E)</f>
        <v>352500</v>
      </c>
      <c r="K39" s="46">
        <f>SUMIF(IT_AZUL_FULL_Stat!$H:$H,Summary_Checking_UL!$D39,IT_AZUL_FULL_Stat!D:D)</f>
        <v>235000</v>
      </c>
      <c r="L39" s="46">
        <f>SUMIF(IT_AZUL_FULL_Stat!$H:$H,Summary_Checking_UL!$D39,IT_AZUL_FULL_Stat!F:F)</f>
        <v>1781110.3917797201</v>
      </c>
      <c r="M39" s="7">
        <f t="shared" si="5"/>
        <v>0</v>
      </c>
      <c r="N39" s="7">
        <f t="shared" si="5"/>
        <v>0</v>
      </c>
      <c r="O39" s="7">
        <f t="shared" si="5"/>
        <v>0</v>
      </c>
      <c r="P39" s="7">
        <f t="shared" si="5"/>
        <v>-3.752294440055266</v>
      </c>
      <c r="Q39" s="48">
        <f t="shared" si="6"/>
        <v>0</v>
      </c>
      <c r="R39" s="48">
        <f t="shared" si="6"/>
        <v>0</v>
      </c>
      <c r="S39" s="48">
        <f t="shared" si="6"/>
        <v>0</v>
      </c>
      <c r="T39" s="48">
        <f t="shared" si="6"/>
        <v>-2.106716381743133E-6</v>
      </c>
      <c r="W39" s="46" t="str">
        <f t="shared" si="4"/>
        <v>USD</v>
      </c>
    </row>
    <row r="40" spans="1:23">
      <c r="A40" s="58" t="str">
        <f>_xlfn.XLOOKUP(B40,[10]Sheet1!$D:$D,[10]Sheet1!$E:$E)</f>
        <v>Proteksi Optima Care</v>
      </c>
      <c r="B40" t="str">
        <f t="shared" si="1"/>
        <v>ULBPOC</v>
      </c>
      <c r="C40" t="str">
        <f>VLOOKUP(D40,DV_AZUL_Stat!H:I,2,FALSE)</f>
        <v>ULBPOC_IDR</v>
      </c>
      <c r="D40" s="59" t="s">
        <v>1949</v>
      </c>
      <c r="E40" s="1">
        <f>SUMIF(DV_AZUL_Stat!H:H,Summary_Checking_UL!$D40,DV_AZUL_Stat!C:C)</f>
        <v>62</v>
      </c>
      <c r="F40" s="1">
        <f>SUMIF(DV_AZUL_Stat!H:H,Summary_Checking_UL!$D40,DV_AZUL_Stat!E:E)</f>
        <v>39273000000</v>
      </c>
      <c r="G40" s="1">
        <f>SUMIF(DV_AZUL_Stat!H:H,Summary_Checking_UL!$D40,DV_AZUL_Stat!D:D)</f>
        <v>641000000</v>
      </c>
      <c r="H40" s="1">
        <f>SUMIF(DV_AZUL_Stat!H:H,Summary_Checking_UL!$D40,DV_AZUL_Stat!F:F)</f>
        <v>1105454327.793427</v>
      </c>
      <c r="I40" s="46">
        <f>SUMIF(IT_AZUL_FULL_Stat!$H:$H,Summary_Checking_UL!$D40,IT_AZUL_FULL_Stat!C:C)</f>
        <v>62</v>
      </c>
      <c r="J40" s="46">
        <f>SUMIF(IT_AZUL_FULL_Stat!$H:$H,Summary_Checking_UL!$D40,IT_AZUL_FULL_Stat!E:E)</f>
        <v>39273000000</v>
      </c>
      <c r="K40" s="46">
        <f>SUMIF(IT_AZUL_FULL_Stat!$H:$H,Summary_Checking_UL!$D40,IT_AZUL_FULL_Stat!D:D)</f>
        <v>641000000</v>
      </c>
      <c r="L40" s="46">
        <f>SUMIF(IT_AZUL_FULL_Stat!$H:$H,Summary_Checking_UL!$D40,IT_AZUL_FULL_Stat!F:F)</f>
        <v>1105454324.07671</v>
      </c>
      <c r="M40" s="7">
        <f t="shared" si="5"/>
        <v>0</v>
      </c>
      <c r="N40" s="7">
        <f t="shared" si="5"/>
        <v>0</v>
      </c>
      <c r="O40" s="7">
        <f t="shared" si="5"/>
        <v>0</v>
      </c>
      <c r="P40" s="7">
        <f t="shared" si="5"/>
        <v>3.716717004776001</v>
      </c>
      <c r="Q40" s="48">
        <f t="shared" si="6"/>
        <v>0</v>
      </c>
      <c r="R40" s="48">
        <f t="shared" si="6"/>
        <v>0</v>
      </c>
      <c r="S40" s="48">
        <f t="shared" si="6"/>
        <v>0</v>
      </c>
      <c r="T40" s="48">
        <f t="shared" si="6"/>
        <v>3.3621624374939707E-9</v>
      </c>
      <c r="W40" s="46" t="str">
        <f t="shared" si="4"/>
        <v>IDR</v>
      </c>
    </row>
    <row r="41" spans="1:23">
      <c r="A41" s="58" t="str">
        <f>_xlfn.XLOOKUP(B41,[10]Sheet1!$D:$D,[10]Sheet1!$E:$E)</f>
        <v>Care Invest Plus</v>
      </c>
      <c r="B41" t="str">
        <f t="shared" si="1"/>
        <v>ULCIP_</v>
      </c>
      <c r="C41" t="str">
        <f>VLOOKUP(D41,DV_AZUL_Stat!H:I,2,FALSE)</f>
        <v>ULCIP__IDR</v>
      </c>
      <c r="D41" s="59" t="s">
        <v>1950</v>
      </c>
      <c r="E41" s="1">
        <f>SUMIF(DV_AZUL_Stat!H:H,Summary_Checking_UL!$D41,DV_AZUL_Stat!C:C)</f>
        <v>2459</v>
      </c>
      <c r="F41" s="1">
        <f>SUMIF(DV_AZUL_Stat!H:H,Summary_Checking_UL!$D41,DV_AZUL_Stat!E:E)</f>
        <v>2422585100000</v>
      </c>
      <c r="G41" s="1">
        <f>SUMIF(DV_AZUL_Stat!H:H,Summary_Checking_UL!$D41,DV_AZUL_Stat!D:D)</f>
        <v>152437239800</v>
      </c>
      <c r="H41" s="1">
        <f>SUMIF(DV_AZUL_Stat!H:H,Summary_Checking_UL!$D41,DV_AZUL_Stat!F:F)</f>
        <v>487960378190.54413</v>
      </c>
      <c r="I41" s="46">
        <f>SUMIF(IT_AZUL_FULL_Stat!$H:$H,Summary_Checking_UL!$D41,IT_AZUL_FULL_Stat!C:C)</f>
        <v>2459</v>
      </c>
      <c r="J41" s="46">
        <f>SUMIF(IT_AZUL_FULL_Stat!$H:$H,Summary_Checking_UL!$D41,IT_AZUL_FULL_Stat!E:E)</f>
        <v>2422585100000</v>
      </c>
      <c r="K41" s="46">
        <f>SUMIF(IT_AZUL_FULL_Stat!$H:$H,Summary_Checking_UL!$D41,IT_AZUL_FULL_Stat!D:D)</f>
        <v>152437239800</v>
      </c>
      <c r="L41" s="46">
        <f>SUMIF(IT_AZUL_FULL_Stat!$H:$H,Summary_Checking_UL!$D41,IT_AZUL_FULL_Stat!F:F)</f>
        <v>487960378196.87799</v>
      </c>
      <c r="M41" s="7">
        <f t="shared" si="5"/>
        <v>0</v>
      </c>
      <c r="N41" s="7">
        <f t="shared" si="5"/>
        <v>0</v>
      </c>
      <c r="O41" s="7">
        <f t="shared" si="5"/>
        <v>0</v>
      </c>
      <c r="P41" s="7">
        <f t="shared" si="5"/>
        <v>-6.3338623046875</v>
      </c>
      <c r="Q41" s="48">
        <f t="shared" si="6"/>
        <v>0</v>
      </c>
      <c r="R41" s="48">
        <f t="shared" si="6"/>
        <v>0</v>
      </c>
      <c r="S41" s="48">
        <f t="shared" si="6"/>
        <v>0</v>
      </c>
      <c r="T41" s="48">
        <f t="shared" si="6"/>
        <v>-1.2980279931933261E-11</v>
      </c>
      <c r="W41" s="46" t="str">
        <f t="shared" si="4"/>
        <v>IDR</v>
      </c>
    </row>
    <row r="42" spans="1:23">
      <c r="A42" s="58" t="str">
        <f>_xlfn.XLOOKUP(B42,[10]Sheet1!$D:$D,[10]Sheet1!$E:$E)</f>
        <v>Care Invest Plus</v>
      </c>
      <c r="B42" t="str">
        <f t="shared" si="1"/>
        <v>ULCIP_</v>
      </c>
      <c r="C42" t="str">
        <f>VLOOKUP(D42,DV_AZUL_Stat!H:I,2,FALSE)</f>
        <v>ULCIP__USD</v>
      </c>
      <c r="D42" s="59" t="s">
        <v>1951</v>
      </c>
      <c r="E42" s="1">
        <f>SUMIF(DV_AZUL_Stat!H:H,Summary_Checking_UL!$D42,DV_AZUL_Stat!C:C)</f>
        <v>2199</v>
      </c>
      <c r="F42" s="1">
        <f>SUMIF(DV_AZUL_Stat!H:H,Summary_Checking_UL!$D42,DV_AZUL_Stat!E:E)</f>
        <v>160683100</v>
      </c>
      <c r="G42" s="1">
        <f>SUMIF(DV_AZUL_Stat!H:H,Summary_Checking_UL!$D42,DV_AZUL_Stat!D:D)</f>
        <v>13039430</v>
      </c>
      <c r="H42" s="1">
        <f>SUMIF(DV_AZUL_Stat!H:H,Summary_Checking_UL!$D42,DV_AZUL_Stat!F:F)</f>
        <v>63129852.619765095</v>
      </c>
      <c r="I42" s="46">
        <f>SUMIF(IT_AZUL_FULL_Stat!$H:$H,Summary_Checking_UL!$D42,IT_AZUL_FULL_Stat!C:C)</f>
        <v>2199</v>
      </c>
      <c r="J42" s="46">
        <f>SUMIF(IT_AZUL_FULL_Stat!$H:$H,Summary_Checking_UL!$D42,IT_AZUL_FULL_Stat!E:E)</f>
        <v>160683100</v>
      </c>
      <c r="K42" s="46">
        <f>SUMIF(IT_AZUL_FULL_Stat!$H:$H,Summary_Checking_UL!$D42,IT_AZUL_FULL_Stat!D:D)</f>
        <v>13039430</v>
      </c>
      <c r="L42" s="46">
        <f>SUMIF(IT_AZUL_FULL_Stat!$H:$H,Summary_Checking_UL!$D42,IT_AZUL_FULL_Stat!F:F)</f>
        <v>63129856.193581499</v>
      </c>
      <c r="M42" s="7">
        <f t="shared" si="5"/>
        <v>0</v>
      </c>
      <c r="N42" s="7">
        <f t="shared" si="5"/>
        <v>0</v>
      </c>
      <c r="O42" s="7">
        <f t="shared" si="5"/>
        <v>0</v>
      </c>
      <c r="P42" s="7">
        <f t="shared" si="5"/>
        <v>-3.5738164037466049</v>
      </c>
      <c r="Q42" s="48">
        <f t="shared" si="6"/>
        <v>0</v>
      </c>
      <c r="R42" s="48">
        <f t="shared" si="6"/>
        <v>0</v>
      </c>
      <c r="S42" s="48">
        <f t="shared" si="6"/>
        <v>0</v>
      </c>
      <c r="T42" s="48">
        <f t="shared" si="6"/>
        <v>-5.6610558287790933E-8</v>
      </c>
      <c r="W42" s="46" t="str">
        <f t="shared" si="4"/>
        <v>USD</v>
      </c>
    </row>
    <row r="43" spans="1:23">
      <c r="A43" s="58" t="str">
        <f>_xlfn.XLOOKUP(B43,[10]Sheet1!$D:$D,[10]Sheet1!$E:$E)</f>
        <v>Care Invest Plus Advanced</v>
      </c>
      <c r="B43" t="str">
        <f t="shared" si="1"/>
        <v>ULCIPA</v>
      </c>
      <c r="C43" t="str">
        <f>VLOOKUP(D43,DV_AZUL_Stat!H:I,2,FALSE)</f>
        <v>ULCIPA_IDR</v>
      </c>
      <c r="D43" s="59" t="s">
        <v>1952</v>
      </c>
      <c r="E43" s="1">
        <f>SUMIF(DV_AZUL_Stat!H:H,Summary_Checking_UL!$D43,DV_AZUL_Stat!C:C)</f>
        <v>200</v>
      </c>
      <c r="F43" s="1">
        <f>SUMIF(DV_AZUL_Stat!H:H,Summary_Checking_UL!$D43,DV_AZUL_Stat!E:E)</f>
        <v>74763000000</v>
      </c>
      <c r="G43" s="1">
        <f>SUMIF(DV_AZUL_Stat!H:H,Summary_Checking_UL!$D43,DV_AZUL_Stat!D:D)</f>
        <v>2542900012</v>
      </c>
      <c r="H43" s="1">
        <f>SUMIF(DV_AZUL_Stat!H:H,Summary_Checking_UL!$D43,DV_AZUL_Stat!F:F)</f>
        <v>7002930222.0432024</v>
      </c>
      <c r="I43" s="46">
        <f>SUMIF(IT_AZUL_FULL_Stat!$H:$H,Summary_Checking_UL!$D43,IT_AZUL_FULL_Stat!C:C)</f>
        <v>200</v>
      </c>
      <c r="J43" s="46">
        <f>SUMIF(IT_AZUL_FULL_Stat!$H:$H,Summary_Checking_UL!$D43,IT_AZUL_FULL_Stat!E:E)</f>
        <v>74763000000</v>
      </c>
      <c r="K43" s="46">
        <f>SUMIF(IT_AZUL_FULL_Stat!$H:$H,Summary_Checking_UL!$D43,IT_AZUL_FULL_Stat!D:D)</f>
        <v>2542900012</v>
      </c>
      <c r="L43" s="46">
        <f>SUMIF(IT_AZUL_FULL_Stat!$H:$H,Summary_Checking_UL!$D43,IT_AZUL_FULL_Stat!F:F)</f>
        <v>7002930225.0716105</v>
      </c>
      <c r="M43" s="7">
        <f t="shared" si="5"/>
        <v>0</v>
      </c>
      <c r="N43" s="7">
        <f t="shared" si="5"/>
        <v>0</v>
      </c>
      <c r="O43" s="7">
        <f t="shared" si="5"/>
        <v>0</v>
      </c>
      <c r="P43" s="7">
        <f t="shared" si="5"/>
        <v>-3.0284080505371094</v>
      </c>
      <c r="Q43" s="48">
        <f t="shared" si="6"/>
        <v>0</v>
      </c>
      <c r="R43" s="48">
        <f t="shared" si="6"/>
        <v>0</v>
      </c>
      <c r="S43" s="48">
        <f t="shared" si="6"/>
        <v>0</v>
      </c>
      <c r="T43" s="48">
        <f t="shared" si="6"/>
        <v>-4.3244869693188205E-10</v>
      </c>
      <c r="W43" s="46" t="str">
        <f t="shared" si="4"/>
        <v>IDR</v>
      </c>
    </row>
    <row r="44" spans="1:23">
      <c r="A44" s="58" t="str">
        <f>_xlfn.XLOOKUP(B44,[10]Sheet1!$D:$D,[10]Sheet1!$E:$E)</f>
        <v>Care Protection Link</v>
      </c>
      <c r="B44" t="str">
        <f t="shared" si="1"/>
        <v>ULCP__</v>
      </c>
      <c r="C44" t="str">
        <f>VLOOKUP(D44,DV_AZUL_Stat!H:I,2,FALSE)</f>
        <v>ULCP___IDR</v>
      </c>
      <c r="D44" s="59" t="s">
        <v>1953</v>
      </c>
      <c r="E44" s="1">
        <f>SUMIF(DV_AZUL_Stat!H:H,Summary_Checking_UL!$D44,DV_AZUL_Stat!C:C)</f>
        <v>123</v>
      </c>
      <c r="F44" s="1">
        <f>SUMIF(DV_AZUL_Stat!H:H,Summary_Checking_UL!$D44,DV_AZUL_Stat!E:E)</f>
        <v>36435000000</v>
      </c>
      <c r="G44" s="1">
        <f>SUMIF(DV_AZUL_Stat!H:H,Summary_Checking_UL!$D44,DV_AZUL_Stat!D:D)</f>
        <v>1001199996</v>
      </c>
      <c r="H44" s="1">
        <f>SUMIF(DV_AZUL_Stat!H:H,Summary_Checking_UL!$D44,DV_AZUL_Stat!F:F)</f>
        <v>2959131279.061192</v>
      </c>
      <c r="I44" s="46">
        <f>SUMIF(IT_AZUL_FULL_Stat!$H:$H,Summary_Checking_UL!$D44,IT_AZUL_FULL_Stat!C:C)</f>
        <v>123</v>
      </c>
      <c r="J44" s="46">
        <f>SUMIF(IT_AZUL_FULL_Stat!$H:$H,Summary_Checking_UL!$D44,IT_AZUL_FULL_Stat!E:E)</f>
        <v>36435000000</v>
      </c>
      <c r="K44" s="46">
        <f>SUMIF(IT_AZUL_FULL_Stat!$H:$H,Summary_Checking_UL!$D44,IT_AZUL_FULL_Stat!D:D)</f>
        <v>1001199996</v>
      </c>
      <c r="L44" s="46">
        <f>SUMIF(IT_AZUL_FULL_Stat!$H:$H,Summary_Checking_UL!$D44,IT_AZUL_FULL_Stat!F:F)</f>
        <v>2959131276.1937699</v>
      </c>
      <c r="M44" s="7">
        <f t="shared" si="5"/>
        <v>0</v>
      </c>
      <c r="N44" s="7">
        <f t="shared" si="5"/>
        <v>0</v>
      </c>
      <c r="O44" s="7">
        <f t="shared" si="5"/>
        <v>0</v>
      </c>
      <c r="P44" s="7">
        <f t="shared" si="5"/>
        <v>2.8674221038818359</v>
      </c>
      <c r="Q44" s="48">
        <f t="shared" si="6"/>
        <v>0</v>
      </c>
      <c r="R44" s="48">
        <f t="shared" si="6"/>
        <v>0</v>
      </c>
      <c r="S44" s="48">
        <f t="shared" si="6"/>
        <v>0</v>
      </c>
      <c r="T44" s="48">
        <f t="shared" si="6"/>
        <v>9.6900807576543339E-10</v>
      </c>
      <c r="W44" s="46" t="str">
        <f t="shared" si="4"/>
        <v>IDR</v>
      </c>
    </row>
    <row r="45" spans="1:23">
      <c r="A45" s="58" t="str">
        <f>_xlfn.XLOOKUP(B45,[10]Sheet1!$D:$D,[10]Sheet1!$E:$E)</f>
        <v>Care Protection Amanah</v>
      </c>
      <c r="B45" t="str">
        <f t="shared" si="1"/>
        <v>ULCPRA</v>
      </c>
      <c r="C45" t="str">
        <f>VLOOKUP(D45,DV_AZUL_Stat!H:I,2,FALSE)</f>
        <v>ULCPRA_IDR</v>
      </c>
      <c r="D45" s="59" t="s">
        <v>1954</v>
      </c>
      <c r="E45" s="1">
        <f>SUMIF(DV_AZUL_Stat!H:H,Summary_Checking_UL!$D45,DV_AZUL_Stat!C:C)</f>
        <v>2</v>
      </c>
      <c r="F45" s="1">
        <f>SUMIF(DV_AZUL_Stat!H:H,Summary_Checking_UL!$D45,DV_AZUL_Stat!E:E)</f>
        <v>1000000000</v>
      </c>
      <c r="G45" s="1">
        <f>SUMIF(DV_AZUL_Stat!H:H,Summary_Checking_UL!$D45,DV_AZUL_Stat!D:D)</f>
        <v>150000000</v>
      </c>
      <c r="H45" s="1">
        <f>SUMIF(DV_AZUL_Stat!H:H,Summary_Checking_UL!$D45,DV_AZUL_Stat!F:F)</f>
        <v>20472186.404442001</v>
      </c>
      <c r="I45" s="46">
        <f>SUMIF(IT_AZUL_FULL_Stat!$H:$H,Summary_Checking_UL!$D45,IT_AZUL_FULL_Stat!C:C)</f>
        <v>2</v>
      </c>
      <c r="J45" s="46">
        <f>SUMIF(IT_AZUL_FULL_Stat!$H:$H,Summary_Checking_UL!$D45,IT_AZUL_FULL_Stat!E:E)</f>
        <v>1000000000</v>
      </c>
      <c r="K45" s="46">
        <f>SUMIF(IT_AZUL_FULL_Stat!$H:$H,Summary_Checking_UL!$D45,IT_AZUL_FULL_Stat!D:D)</f>
        <v>150000000</v>
      </c>
      <c r="L45" s="46">
        <f>SUMIF(IT_AZUL_FULL_Stat!$H:$H,Summary_Checking_UL!$D45,IT_AZUL_FULL_Stat!F:F)</f>
        <v>20472185.957391001</v>
      </c>
      <c r="M45" s="7">
        <f t="shared" si="5"/>
        <v>0</v>
      </c>
      <c r="N45" s="7">
        <f t="shared" si="5"/>
        <v>0</v>
      </c>
      <c r="O45" s="7">
        <f t="shared" si="5"/>
        <v>0</v>
      </c>
      <c r="P45" s="7">
        <f t="shared" si="5"/>
        <v>0.44705099985003471</v>
      </c>
      <c r="Q45" s="48">
        <f t="shared" si="6"/>
        <v>0</v>
      </c>
      <c r="R45" s="48">
        <f t="shared" si="6"/>
        <v>0</v>
      </c>
      <c r="S45" s="48">
        <f t="shared" si="6"/>
        <v>0</v>
      </c>
      <c r="T45" s="48">
        <f t="shared" si="6"/>
        <v>2.183699389896551E-8</v>
      </c>
      <c r="W45" s="46" t="str">
        <f t="shared" si="4"/>
        <v>IDR</v>
      </c>
    </row>
    <row r="46" spans="1:23">
      <c r="A46" s="58" t="str">
        <f>_xlfn.XLOOKUP(B46,[10]Sheet1!$D:$D,[10]Sheet1!$E:$E)</f>
        <v>Danamon RencanaKu Staff</v>
      </c>
      <c r="B46" t="str">
        <f t="shared" si="1"/>
        <v>ULDMSA</v>
      </c>
      <c r="C46" t="str">
        <f>VLOOKUP(D46,DV_AZUL_Stat!H:I,2,FALSE)</f>
        <v>ULDMSA_IDR</v>
      </c>
      <c r="D46" s="59" t="s">
        <v>1955</v>
      </c>
      <c r="E46" s="1">
        <f>SUMIF(DV_AZUL_Stat!H:H,Summary_Checking_UL!$D46,DV_AZUL_Stat!C:C)</f>
        <v>743</v>
      </c>
      <c r="F46" s="1">
        <f>SUMIF(DV_AZUL_Stat!H:H,Summary_Checking_UL!$D46,DV_AZUL_Stat!E:E)</f>
        <v>134000900000</v>
      </c>
      <c r="G46" s="1">
        <f>SUMIF(DV_AZUL_Stat!H:H,Summary_Checking_UL!$D46,DV_AZUL_Stat!D:D)</f>
        <v>2926355972</v>
      </c>
      <c r="H46" s="1">
        <f>SUMIF(DV_AZUL_Stat!H:H,Summary_Checking_UL!$D46,DV_AZUL_Stat!F:F)</f>
        <v>21533274312.672901</v>
      </c>
      <c r="I46" s="46">
        <f>SUMIF(IT_AZUL_FULL_Stat!$H:$H,Summary_Checking_UL!$D46,IT_AZUL_FULL_Stat!C:C)</f>
        <v>743</v>
      </c>
      <c r="J46" s="46">
        <f>SUMIF(IT_AZUL_FULL_Stat!$H:$H,Summary_Checking_UL!$D46,IT_AZUL_FULL_Stat!E:E)</f>
        <v>134000900000</v>
      </c>
      <c r="K46" s="46">
        <f>SUMIF(IT_AZUL_FULL_Stat!$H:$H,Summary_Checking_UL!$D46,IT_AZUL_FULL_Stat!D:D)</f>
        <v>2926355972</v>
      </c>
      <c r="L46" s="46">
        <f>SUMIF(IT_AZUL_FULL_Stat!$H:$H,Summary_Checking_UL!$D46,IT_AZUL_FULL_Stat!F:F)</f>
        <v>21533274313.2813</v>
      </c>
      <c r="M46" s="7">
        <f t="shared" si="5"/>
        <v>0</v>
      </c>
      <c r="N46" s="7">
        <f t="shared" si="5"/>
        <v>0</v>
      </c>
      <c r="O46" s="7">
        <f t="shared" si="5"/>
        <v>0</v>
      </c>
      <c r="P46" s="7">
        <f t="shared" si="5"/>
        <v>-0.6083984375</v>
      </c>
      <c r="Q46" s="48">
        <f t="shared" si="6"/>
        <v>0</v>
      </c>
      <c r="R46" s="48">
        <f t="shared" si="6"/>
        <v>0</v>
      </c>
      <c r="S46" s="48">
        <f t="shared" si="6"/>
        <v>0</v>
      </c>
      <c r="T46" s="48">
        <f t="shared" si="6"/>
        <v>-2.8253874847298621E-11</v>
      </c>
      <c r="W46" s="46" t="str">
        <f t="shared" si="4"/>
        <v>IDR</v>
      </c>
    </row>
    <row r="47" spans="1:23">
      <c r="A47" s="58" t="str">
        <f>_xlfn.XLOOKUP(B47,[10]Sheet1!$D:$D,[10]Sheet1!$E:$E)</f>
        <v>Danamon RencanaKu</v>
      </c>
      <c r="B47" t="str">
        <f t="shared" si="1"/>
        <v>ULDRK_</v>
      </c>
      <c r="C47" t="str">
        <f>VLOOKUP(D47,DV_AZUL_Stat!H:I,2,FALSE)</f>
        <v>ULDRK__IDR</v>
      </c>
      <c r="D47" s="59" t="s">
        <v>1956</v>
      </c>
      <c r="E47" s="1">
        <f>SUMIF(DV_AZUL_Stat!H:H,Summary_Checking_UL!$D47,DV_AZUL_Stat!C:C)</f>
        <v>9</v>
      </c>
      <c r="F47" s="1">
        <f>SUMIF(DV_AZUL_Stat!H:H,Summary_Checking_UL!$D47,DV_AZUL_Stat!E:E)</f>
        <v>1950000000</v>
      </c>
      <c r="G47" s="1">
        <f>SUMIF(DV_AZUL_Stat!H:H,Summary_Checking_UL!$D47,DV_AZUL_Stat!D:D)</f>
        <v>49300000</v>
      </c>
      <c r="H47" s="1">
        <f>SUMIF(DV_AZUL_Stat!H:H,Summary_Checking_UL!$D47,DV_AZUL_Stat!F:F)</f>
        <v>327196937.25291002</v>
      </c>
      <c r="I47" s="46">
        <f>SUMIF(IT_AZUL_FULL_Stat!$H:$H,Summary_Checking_UL!$D47,IT_AZUL_FULL_Stat!C:C)</f>
        <v>9</v>
      </c>
      <c r="J47" s="46">
        <f>SUMIF(IT_AZUL_FULL_Stat!$H:$H,Summary_Checking_UL!$D47,IT_AZUL_FULL_Stat!E:E)</f>
        <v>1950000000</v>
      </c>
      <c r="K47" s="46">
        <f>SUMIF(IT_AZUL_FULL_Stat!$H:$H,Summary_Checking_UL!$D47,IT_AZUL_FULL_Stat!D:D)</f>
        <v>49300000</v>
      </c>
      <c r="L47" s="46">
        <f>SUMIF(IT_AZUL_FULL_Stat!$H:$H,Summary_Checking_UL!$D47,IT_AZUL_FULL_Stat!F:F)</f>
        <v>327196936.64886498</v>
      </c>
      <c r="M47" s="7">
        <f t="shared" si="5"/>
        <v>0</v>
      </c>
      <c r="N47" s="7">
        <f t="shared" si="5"/>
        <v>0</v>
      </c>
      <c r="O47" s="7">
        <f t="shared" si="5"/>
        <v>0</v>
      </c>
      <c r="P47" s="7">
        <f t="shared" si="5"/>
        <v>0.60404503345489502</v>
      </c>
      <c r="Q47" s="48">
        <f t="shared" si="6"/>
        <v>0</v>
      </c>
      <c r="R47" s="48">
        <f t="shared" si="6"/>
        <v>0</v>
      </c>
      <c r="S47" s="48">
        <f t="shared" si="6"/>
        <v>0</v>
      </c>
      <c r="T47" s="48">
        <f t="shared" si="6"/>
        <v>1.8461206869523128E-9</v>
      </c>
      <c r="W47" s="46" t="str">
        <f t="shared" si="4"/>
        <v>IDR</v>
      </c>
    </row>
    <row r="48" spans="1:23">
      <c r="A48" s="58" t="str">
        <f>_xlfn.XLOOKUP(B48,[10]Sheet1!$D:$D,[10]Sheet1!$E:$E)</f>
        <v>Danamon RencanaKu - Affluent</v>
      </c>
      <c r="B48" t="str">
        <f t="shared" si="1"/>
        <v>ULDRKA</v>
      </c>
      <c r="C48" t="str">
        <f>VLOOKUP(D48,DV_AZUL_Stat!H:I,2,FALSE)</f>
        <v>ULDRKA_IDR</v>
      </c>
      <c r="D48" s="59" t="s">
        <v>1957</v>
      </c>
      <c r="E48" s="1">
        <f>SUMIF(DV_AZUL_Stat!H:H,Summary_Checking_UL!$D48,DV_AZUL_Stat!C:C)</f>
        <v>518</v>
      </c>
      <c r="F48" s="1">
        <f>SUMIF(DV_AZUL_Stat!H:H,Summary_Checking_UL!$D48,DV_AZUL_Stat!E:E)</f>
        <v>128687000000</v>
      </c>
      <c r="G48" s="1">
        <f>SUMIF(DV_AZUL_Stat!H:H,Summary_Checking_UL!$D48,DV_AZUL_Stat!D:D)</f>
        <v>4347539996</v>
      </c>
      <c r="H48" s="1">
        <f>SUMIF(DV_AZUL_Stat!H:H,Summary_Checking_UL!$D48,DV_AZUL_Stat!F:F)</f>
        <v>31043163342.178101</v>
      </c>
      <c r="I48" s="46">
        <f>SUMIF(IT_AZUL_FULL_Stat!$H:$H,Summary_Checking_UL!$D48,IT_AZUL_FULL_Stat!C:C)</f>
        <v>518</v>
      </c>
      <c r="J48" s="46">
        <f>SUMIF(IT_AZUL_FULL_Stat!$H:$H,Summary_Checking_UL!$D48,IT_AZUL_FULL_Stat!E:E)</f>
        <v>128687000000</v>
      </c>
      <c r="K48" s="46">
        <f>SUMIF(IT_AZUL_FULL_Stat!$H:$H,Summary_Checking_UL!$D48,IT_AZUL_FULL_Stat!D:D)</f>
        <v>4347539996</v>
      </c>
      <c r="L48" s="46">
        <f>SUMIF(IT_AZUL_FULL_Stat!$H:$H,Summary_Checking_UL!$D48,IT_AZUL_FULL_Stat!F:F)</f>
        <v>31043163338.790901</v>
      </c>
      <c r="M48" s="7">
        <f t="shared" si="5"/>
        <v>0</v>
      </c>
      <c r="N48" s="7">
        <f t="shared" si="5"/>
        <v>0</v>
      </c>
      <c r="O48" s="7">
        <f t="shared" si="5"/>
        <v>0</v>
      </c>
      <c r="P48" s="7">
        <f t="shared" si="5"/>
        <v>3.3871994018554688</v>
      </c>
      <c r="Q48" s="48">
        <f t="shared" si="6"/>
        <v>0</v>
      </c>
      <c r="R48" s="48">
        <f t="shared" si="6"/>
        <v>0</v>
      </c>
      <c r="S48" s="48">
        <f t="shared" si="6"/>
        <v>0</v>
      </c>
      <c r="T48" s="48">
        <f t="shared" si="6"/>
        <v>1.0911257222368487E-10</v>
      </c>
      <c r="W48" s="46" t="str">
        <f t="shared" si="4"/>
        <v>IDR</v>
      </c>
    </row>
    <row r="49" spans="1:23">
      <c r="A49" s="58" t="str">
        <f>_xlfn.XLOOKUP(B49,[10]Sheet1!$D:$D,[10]Sheet1!$E:$E)</f>
        <v>Danamon RencanaKu - Affluent</v>
      </c>
      <c r="B49" t="str">
        <f t="shared" si="1"/>
        <v>ULDRKA</v>
      </c>
      <c r="C49" t="str">
        <f>VLOOKUP(D49,DV_AZUL_Stat!H:I,2,FALSE)</f>
        <v>ULDRKA_USD</v>
      </c>
      <c r="D49" s="59" t="s">
        <v>1958</v>
      </c>
      <c r="E49" s="1">
        <f>SUMIF(DV_AZUL_Stat!H:H,Summary_Checking_UL!$D49,DV_AZUL_Stat!C:C)</f>
        <v>1</v>
      </c>
      <c r="F49" s="1">
        <f>SUMIF(DV_AZUL_Stat!H:H,Summary_Checking_UL!$D49,DV_AZUL_Stat!E:E)</f>
        <v>20000</v>
      </c>
      <c r="G49" s="1">
        <f>SUMIF(DV_AZUL_Stat!H:H,Summary_Checking_UL!$D49,DV_AZUL_Stat!D:D)</f>
        <v>1250</v>
      </c>
      <c r="H49" s="1">
        <f>SUMIF(DV_AZUL_Stat!H:H,Summary_Checking_UL!$D49,DV_AZUL_Stat!F:F)</f>
        <v>5285.0109048000004</v>
      </c>
      <c r="I49" s="46">
        <f>SUMIF(IT_AZUL_FULL_Stat!$H:$H,Summary_Checking_UL!$D49,IT_AZUL_FULL_Stat!C:C)</f>
        <v>1</v>
      </c>
      <c r="J49" s="46">
        <f>SUMIF(IT_AZUL_FULL_Stat!$H:$H,Summary_Checking_UL!$D49,IT_AZUL_FULL_Stat!E:E)</f>
        <v>20000</v>
      </c>
      <c r="K49" s="46">
        <f>SUMIF(IT_AZUL_FULL_Stat!$H:$H,Summary_Checking_UL!$D49,IT_AZUL_FULL_Stat!D:D)</f>
        <v>1250</v>
      </c>
      <c r="L49" s="46">
        <f>SUMIF(IT_AZUL_FULL_Stat!$H:$H,Summary_Checking_UL!$D49,IT_AZUL_FULL_Stat!F:F)</f>
        <v>5285.0109048000004</v>
      </c>
      <c r="M49" s="7">
        <f t="shared" si="5"/>
        <v>0</v>
      </c>
      <c r="N49" s="7">
        <f t="shared" si="5"/>
        <v>0</v>
      </c>
      <c r="O49" s="7">
        <f t="shared" si="5"/>
        <v>0</v>
      </c>
      <c r="P49" s="7">
        <f t="shared" si="5"/>
        <v>0</v>
      </c>
      <c r="Q49" s="48">
        <f t="shared" si="6"/>
        <v>0</v>
      </c>
      <c r="R49" s="48">
        <f t="shared" si="6"/>
        <v>0</v>
      </c>
      <c r="S49" s="48">
        <f t="shared" si="6"/>
        <v>0</v>
      </c>
      <c r="T49" s="48">
        <f t="shared" si="6"/>
        <v>0</v>
      </c>
      <c r="W49" s="46" t="str">
        <f t="shared" si="4"/>
        <v>USD</v>
      </c>
    </row>
    <row r="50" spans="1:23">
      <c r="A50" s="58" t="str">
        <f>_xlfn.XLOOKUP(B50,[10]Sheet1!$D:$D,[10]Sheet1!$E:$E)</f>
        <v>Danamon RencanaKu - FS</v>
      </c>
      <c r="B50" t="str">
        <f t="shared" si="1"/>
        <v>ULDRKS</v>
      </c>
      <c r="C50" t="str">
        <f>VLOOKUP(D50,DV_AZUL_Stat!H:I,2,FALSE)</f>
        <v>ULDRKS_IDR</v>
      </c>
      <c r="D50" s="59" t="s">
        <v>1959</v>
      </c>
      <c r="E50" s="1">
        <f>SUMIF(DV_AZUL_Stat!H:H,Summary_Checking_UL!$D50,DV_AZUL_Stat!C:C)</f>
        <v>3628</v>
      </c>
      <c r="F50" s="1">
        <f>SUMIF(DV_AZUL_Stat!H:H,Summary_Checking_UL!$D50,DV_AZUL_Stat!E:E)</f>
        <v>710550000000</v>
      </c>
      <c r="G50" s="1">
        <f>SUMIF(DV_AZUL_Stat!H:H,Summary_Checking_UL!$D50,DV_AZUL_Stat!D:D)</f>
        <v>23069599979.999901</v>
      </c>
      <c r="H50" s="1">
        <f>SUMIF(DV_AZUL_Stat!H:H,Summary_Checking_UL!$D50,DV_AZUL_Stat!F:F)</f>
        <v>167431753978.15799</v>
      </c>
      <c r="I50" s="46">
        <f>SUMIF(IT_AZUL_FULL_Stat!$H:$H,Summary_Checking_UL!$D50,IT_AZUL_FULL_Stat!C:C)</f>
        <v>3628</v>
      </c>
      <c r="J50" s="46">
        <f>SUMIF(IT_AZUL_FULL_Stat!$H:$H,Summary_Checking_UL!$D50,IT_AZUL_FULL_Stat!E:E)</f>
        <v>710550000000</v>
      </c>
      <c r="K50" s="46">
        <f>SUMIF(IT_AZUL_FULL_Stat!$H:$H,Summary_Checking_UL!$D50,IT_AZUL_FULL_Stat!D:D)</f>
        <v>23069599979.999901</v>
      </c>
      <c r="L50" s="46">
        <f>SUMIF(IT_AZUL_FULL_Stat!$H:$H,Summary_Checking_UL!$D50,IT_AZUL_FULL_Stat!F:F)</f>
        <v>167431753954.578</v>
      </c>
      <c r="M50" s="7">
        <f t="shared" si="5"/>
        <v>0</v>
      </c>
      <c r="N50" s="7">
        <f t="shared" si="5"/>
        <v>0</v>
      </c>
      <c r="O50" s="7">
        <f t="shared" si="5"/>
        <v>0</v>
      </c>
      <c r="P50" s="7">
        <f t="shared" si="5"/>
        <v>23.579986572265625</v>
      </c>
      <c r="Q50" s="48">
        <f t="shared" si="6"/>
        <v>0</v>
      </c>
      <c r="R50" s="48">
        <f t="shared" si="6"/>
        <v>0</v>
      </c>
      <c r="S50" s="48">
        <f t="shared" si="6"/>
        <v>0</v>
      </c>
      <c r="T50" s="48">
        <f t="shared" si="6"/>
        <v>1.408334202761954E-10</v>
      </c>
      <c r="W50" s="46" t="str">
        <f t="shared" si="4"/>
        <v>IDR</v>
      </c>
    </row>
    <row r="51" spans="1:23">
      <c r="A51" s="58" t="str">
        <f>_xlfn.XLOOKUP(B51,[10]Sheet1!$D:$D,[10]Sheet1!$E:$E)</f>
        <v>Danamon RencanaKu - FS</v>
      </c>
      <c r="B51" t="str">
        <f t="shared" si="1"/>
        <v>ULDRKS</v>
      </c>
      <c r="C51" t="str">
        <f>VLOOKUP(D51,DV_AZUL_Stat!H:I,2,FALSE)</f>
        <v>ULDRKS_USD</v>
      </c>
      <c r="D51" s="59" t="s">
        <v>1960</v>
      </c>
      <c r="E51" s="1">
        <f>SUMIF(DV_AZUL_Stat!H:H,Summary_Checking_UL!$D51,DV_AZUL_Stat!C:C)</f>
        <v>71</v>
      </c>
      <c r="F51" s="1">
        <f>SUMIF(DV_AZUL_Stat!H:H,Summary_Checking_UL!$D51,DV_AZUL_Stat!E:E)</f>
        <v>1808150</v>
      </c>
      <c r="G51" s="1">
        <f>SUMIF(DV_AZUL_Stat!H:H,Summary_Checking_UL!$D51,DV_AZUL_Stat!D:D)</f>
        <v>115715</v>
      </c>
      <c r="H51" s="1">
        <f>SUMIF(DV_AZUL_Stat!H:H,Summary_Checking_UL!$D51,DV_AZUL_Stat!F:F)</f>
        <v>887418.9264616</v>
      </c>
      <c r="I51" s="46">
        <f>SUMIF(IT_AZUL_FULL_Stat!$H:$H,Summary_Checking_UL!$D51,IT_AZUL_FULL_Stat!C:C)</f>
        <v>71</v>
      </c>
      <c r="J51" s="46">
        <f>SUMIF(IT_AZUL_FULL_Stat!$H:$H,Summary_Checking_UL!$D51,IT_AZUL_FULL_Stat!E:E)</f>
        <v>1808150</v>
      </c>
      <c r="K51" s="46">
        <f>SUMIF(IT_AZUL_FULL_Stat!$H:$H,Summary_Checking_UL!$D51,IT_AZUL_FULL_Stat!D:D)</f>
        <v>115715</v>
      </c>
      <c r="L51" s="46">
        <f>SUMIF(IT_AZUL_FULL_Stat!$H:$H,Summary_Checking_UL!$D51,IT_AZUL_FULL_Stat!F:F)</f>
        <v>887417.97611279995</v>
      </c>
      <c r="M51" s="7">
        <f t="shared" si="5"/>
        <v>0</v>
      </c>
      <c r="N51" s="7">
        <f t="shared" si="5"/>
        <v>0</v>
      </c>
      <c r="O51" s="7">
        <f t="shared" si="5"/>
        <v>0</v>
      </c>
      <c r="P51" s="7">
        <f t="shared" si="5"/>
        <v>0.95034880004823208</v>
      </c>
      <c r="Q51" s="48">
        <f t="shared" si="6"/>
        <v>0</v>
      </c>
      <c r="R51" s="48">
        <f t="shared" si="6"/>
        <v>0</v>
      </c>
      <c r="S51" s="48">
        <f t="shared" si="6"/>
        <v>0</v>
      </c>
      <c r="T51" s="48">
        <f t="shared" si="6"/>
        <v>1.0709145246427067E-6</v>
      </c>
      <c r="W51" s="46" t="str">
        <f t="shared" si="4"/>
        <v>USD</v>
      </c>
    </row>
    <row r="52" spans="1:23">
      <c r="A52" s="58" t="str">
        <f>_xlfn.XLOOKUP(B52,[10]Sheet1!$D:$D,[10]Sheet1!$E:$E)</f>
        <v>Danamon RencanaKu Pensiun</v>
      </c>
      <c r="B52" t="str">
        <f t="shared" si="1"/>
        <v>ULDRP_</v>
      </c>
      <c r="C52" t="str">
        <f>VLOOKUP(D52,DV_AZUL_Stat!H:I,2,FALSE)</f>
        <v>ULDRP__IDR</v>
      </c>
      <c r="D52" s="59" t="s">
        <v>1961</v>
      </c>
      <c r="E52" s="1">
        <f>SUMIF(DV_AZUL_Stat!H:H,Summary_Checking_UL!$D52,DV_AZUL_Stat!C:C)</f>
        <v>1</v>
      </c>
      <c r="F52" s="1">
        <f>SUMIF(DV_AZUL_Stat!H:H,Summary_Checking_UL!$D52,DV_AZUL_Stat!E:E)</f>
        <v>300000000</v>
      </c>
      <c r="G52" s="1">
        <f>SUMIF(DV_AZUL_Stat!H:H,Summary_Checking_UL!$D52,DV_AZUL_Stat!D:D)</f>
        <v>15000000</v>
      </c>
      <c r="H52" s="1">
        <f>SUMIF(DV_AZUL_Stat!H:H,Summary_Checking_UL!$D52,DV_AZUL_Stat!F:F)</f>
        <v>56795458.352840997</v>
      </c>
      <c r="I52" s="46">
        <f>SUMIF(IT_AZUL_FULL_Stat!$H:$H,Summary_Checking_UL!$D52,IT_AZUL_FULL_Stat!C:C)</f>
        <v>1</v>
      </c>
      <c r="J52" s="46">
        <f>SUMIF(IT_AZUL_FULL_Stat!$H:$H,Summary_Checking_UL!$D52,IT_AZUL_FULL_Stat!E:E)</f>
        <v>300000000</v>
      </c>
      <c r="K52" s="46">
        <f>SUMIF(IT_AZUL_FULL_Stat!$H:$H,Summary_Checking_UL!$D52,IT_AZUL_FULL_Stat!D:D)</f>
        <v>15000000</v>
      </c>
      <c r="L52" s="46">
        <f>SUMIF(IT_AZUL_FULL_Stat!$H:$H,Summary_Checking_UL!$D52,IT_AZUL_FULL_Stat!F:F)</f>
        <v>56795458.125846997</v>
      </c>
      <c r="M52" s="7">
        <f t="shared" si="5"/>
        <v>0</v>
      </c>
      <c r="N52" s="7">
        <f t="shared" si="5"/>
        <v>0</v>
      </c>
      <c r="O52" s="7">
        <f t="shared" si="5"/>
        <v>0</v>
      </c>
      <c r="P52" s="7">
        <f t="shared" si="5"/>
        <v>0.22699400037527084</v>
      </c>
      <c r="Q52" s="48">
        <f t="shared" si="6"/>
        <v>0</v>
      </c>
      <c r="R52" s="48">
        <f t="shared" si="6"/>
        <v>0</v>
      </c>
      <c r="S52" s="48">
        <f t="shared" si="6"/>
        <v>0</v>
      </c>
      <c r="T52" s="48">
        <f t="shared" si="6"/>
        <v>3.9966928318862937E-9</v>
      </c>
      <c r="W52" s="46" t="str">
        <f t="shared" si="4"/>
        <v>IDR</v>
      </c>
    </row>
    <row r="53" spans="1:23">
      <c r="A53" s="58" t="str">
        <f>_xlfn.XLOOKUP(B53,[10]Sheet1!$D:$D,[10]Sheet1!$E:$E)</f>
        <v>Edu CareInvest</v>
      </c>
      <c r="B53" t="str">
        <f t="shared" si="1"/>
        <v>ULFC__</v>
      </c>
      <c r="C53" t="str">
        <f>VLOOKUP(D53,DV_AZUL_Stat!H:I,2,FALSE)</f>
        <v>ULFC___IDR</v>
      </c>
      <c r="D53" s="59" t="s">
        <v>1962</v>
      </c>
      <c r="E53" s="1">
        <f>SUMIF(DV_AZUL_Stat!H:H,Summary_Checking_UL!$D53,DV_AZUL_Stat!C:C)</f>
        <v>7</v>
      </c>
      <c r="F53" s="1">
        <f>SUMIF(DV_AZUL_Stat!H:H,Summary_Checking_UL!$D53,DV_AZUL_Stat!E:E)</f>
        <v>4250000000</v>
      </c>
      <c r="G53" s="1">
        <f>SUMIF(DV_AZUL_Stat!H:H,Summary_Checking_UL!$D53,DV_AZUL_Stat!D:D)</f>
        <v>425000000</v>
      </c>
      <c r="H53" s="1">
        <f>SUMIF(DV_AZUL_Stat!H:H,Summary_Checking_UL!$D53,DV_AZUL_Stat!F:F)</f>
        <v>599140978</v>
      </c>
      <c r="I53" s="46">
        <f>SUMIF(IT_AZUL_FULL_Stat!$H:$H,Summary_Checking_UL!$D53,IT_AZUL_FULL_Stat!C:C)</f>
        <v>7</v>
      </c>
      <c r="J53" s="46">
        <f>SUMIF(IT_AZUL_FULL_Stat!$H:$H,Summary_Checking_UL!$D53,IT_AZUL_FULL_Stat!E:E)</f>
        <v>4250000000</v>
      </c>
      <c r="K53" s="46">
        <f>SUMIF(IT_AZUL_FULL_Stat!$H:$H,Summary_Checking_UL!$D53,IT_AZUL_FULL_Stat!D:D)</f>
        <v>425000000</v>
      </c>
      <c r="L53" s="46">
        <f>SUMIF(IT_AZUL_FULL_Stat!$H:$H,Summary_Checking_UL!$D53,IT_AZUL_FULL_Stat!F:F)</f>
        <v>599140978.99232495</v>
      </c>
      <c r="M53" s="7">
        <f t="shared" si="5"/>
        <v>0</v>
      </c>
      <c r="N53" s="7">
        <f t="shared" si="5"/>
        <v>0</v>
      </c>
      <c r="O53" s="7">
        <f t="shared" si="5"/>
        <v>0</v>
      </c>
      <c r="P53" s="7">
        <f t="shared" si="5"/>
        <v>-0.99232494831085205</v>
      </c>
      <c r="Q53" s="48">
        <f t="shared" si="6"/>
        <v>0</v>
      </c>
      <c r="R53" s="48">
        <f t="shared" si="6"/>
        <v>0</v>
      </c>
      <c r="S53" s="48">
        <f t="shared" si="6"/>
        <v>0</v>
      </c>
      <c r="T53" s="48">
        <f t="shared" si="6"/>
        <v>-1.6562461642663968E-9</v>
      </c>
      <c r="W53" s="46" t="str">
        <f t="shared" si="4"/>
        <v>IDR</v>
      </c>
    </row>
    <row r="54" spans="1:23">
      <c r="A54" s="58" t="str">
        <f>_xlfn.XLOOKUP(B54,[10]Sheet1!$D:$D,[10]Sheet1!$E:$E)</f>
        <v>Edu CareInvest</v>
      </c>
      <c r="B54" t="str">
        <f t="shared" si="1"/>
        <v>ULFCK_</v>
      </c>
      <c r="C54" t="str">
        <f>VLOOKUP(D54,DV_AZUL_Stat!H:I,2,FALSE)</f>
        <v>ULFCK__USD</v>
      </c>
      <c r="D54" s="59" t="s">
        <v>1963</v>
      </c>
      <c r="E54" s="1">
        <f>SUMIF(DV_AZUL_Stat!H:H,Summary_Checking_UL!$D54,DV_AZUL_Stat!C:C)</f>
        <v>3</v>
      </c>
      <c r="F54" s="1">
        <f>SUMIF(DV_AZUL_Stat!H:H,Summary_Checking_UL!$D54,DV_AZUL_Stat!E:E)</f>
        <v>210000</v>
      </c>
      <c r="G54" s="1">
        <f>SUMIF(DV_AZUL_Stat!H:H,Summary_Checking_UL!$D54,DV_AZUL_Stat!D:D)</f>
        <v>7500</v>
      </c>
      <c r="H54" s="1">
        <f>SUMIF(DV_AZUL_Stat!H:H,Summary_Checking_UL!$D54,DV_AZUL_Stat!F:F)</f>
        <v>13198</v>
      </c>
      <c r="I54" s="46">
        <f>SUMIF(IT_AZUL_FULL_Stat!$H:$H,Summary_Checking_UL!$D54,IT_AZUL_FULL_Stat!C:C)</f>
        <v>3</v>
      </c>
      <c r="J54" s="46">
        <f>SUMIF(IT_AZUL_FULL_Stat!$H:$H,Summary_Checking_UL!$D54,IT_AZUL_FULL_Stat!E:E)</f>
        <v>210000</v>
      </c>
      <c r="K54" s="46">
        <f>SUMIF(IT_AZUL_FULL_Stat!$H:$H,Summary_Checking_UL!$D54,IT_AZUL_FULL_Stat!D:D)</f>
        <v>7500</v>
      </c>
      <c r="L54" s="46">
        <f>SUMIF(IT_AZUL_FULL_Stat!$H:$H,Summary_Checking_UL!$D54,IT_AZUL_FULL_Stat!F:F)</f>
        <v>13198.7175723089</v>
      </c>
      <c r="M54" s="7">
        <f t="shared" si="5"/>
        <v>0</v>
      </c>
      <c r="N54" s="7">
        <f t="shared" si="5"/>
        <v>0</v>
      </c>
      <c r="O54" s="7">
        <f t="shared" si="5"/>
        <v>0</v>
      </c>
      <c r="P54" s="7">
        <f t="shared" si="5"/>
        <v>-0.71757230890034407</v>
      </c>
      <c r="Q54" s="48">
        <f t="shared" si="6"/>
        <v>0</v>
      </c>
      <c r="R54" s="48">
        <f t="shared" si="6"/>
        <v>0</v>
      </c>
      <c r="S54" s="48">
        <f t="shared" si="6"/>
        <v>0</v>
      </c>
      <c r="T54" s="48">
        <f t="shared" si="6"/>
        <v>-5.4366820486091857E-5</v>
      </c>
      <c r="W54" s="46" t="str">
        <f t="shared" si="4"/>
        <v>USD</v>
      </c>
    </row>
    <row r="55" spans="1:23">
      <c r="A55" s="58" t="str">
        <f>_xlfn.XLOOKUP(B55,[10]Sheet1!$D:$D,[10]Sheet1!$E:$E)</f>
        <v>First Invest Shield</v>
      </c>
      <c r="B55" t="str">
        <f t="shared" si="1"/>
        <v>ULFIVS</v>
      </c>
      <c r="C55" t="str">
        <f>VLOOKUP(D55,DV_AZUL_Stat!H:I,2,FALSE)</f>
        <v>ULFIVS_IDR</v>
      </c>
      <c r="D55" s="59" t="s">
        <v>1964</v>
      </c>
      <c r="E55" s="1">
        <f>SUMIF(DV_AZUL_Stat!H:H,Summary_Checking_UL!$D55,DV_AZUL_Stat!C:C)</f>
        <v>60</v>
      </c>
      <c r="F55" s="1">
        <f>SUMIF(DV_AZUL_Stat!H:H,Summary_Checking_UL!$D55,DV_AZUL_Stat!E:E)</f>
        <v>4500000000</v>
      </c>
      <c r="G55" s="1">
        <f>SUMIF(DV_AZUL_Stat!H:H,Summary_Checking_UL!$D55,DV_AZUL_Stat!D:D)</f>
        <v>3000000000</v>
      </c>
      <c r="H55" s="1">
        <f>SUMIF(DV_AZUL_Stat!H:H,Summary_Checking_UL!$D55,DV_AZUL_Stat!F:F)</f>
        <v>17628444746.593643</v>
      </c>
      <c r="I55" s="46">
        <f>SUMIF(IT_AZUL_FULL_Stat!$H:$H,Summary_Checking_UL!$D55,IT_AZUL_FULL_Stat!C:C)</f>
        <v>60</v>
      </c>
      <c r="J55" s="46">
        <f>SUMIF(IT_AZUL_FULL_Stat!$H:$H,Summary_Checking_UL!$D55,IT_AZUL_FULL_Stat!E:E)</f>
        <v>4500000000</v>
      </c>
      <c r="K55" s="46">
        <f>SUMIF(IT_AZUL_FULL_Stat!$H:$H,Summary_Checking_UL!$D55,IT_AZUL_FULL_Stat!D:D)</f>
        <v>3000000000</v>
      </c>
      <c r="L55" s="46">
        <f>SUMIF(IT_AZUL_FULL_Stat!$H:$H,Summary_Checking_UL!$D55,IT_AZUL_FULL_Stat!F:F)</f>
        <v>17628444746.638401</v>
      </c>
      <c r="M55" s="7">
        <f t="shared" si="5"/>
        <v>0</v>
      </c>
      <c r="N55" s="7">
        <f t="shared" si="5"/>
        <v>0</v>
      </c>
      <c r="O55" s="7">
        <f t="shared" si="5"/>
        <v>0</v>
      </c>
      <c r="P55" s="7">
        <f t="shared" si="5"/>
        <v>-4.4757843017578125E-2</v>
      </c>
      <c r="Q55" s="48">
        <f t="shared" si="6"/>
        <v>0</v>
      </c>
      <c r="R55" s="48">
        <f t="shared" si="6"/>
        <v>0</v>
      </c>
      <c r="S55" s="48">
        <f t="shared" si="6"/>
        <v>0</v>
      </c>
      <c r="T55" s="48">
        <f t="shared" si="6"/>
        <v>-2.5389558557690164E-12</v>
      </c>
      <c r="W55" s="46" t="str">
        <f t="shared" si="4"/>
        <v>IDR</v>
      </c>
    </row>
    <row r="56" spans="1:23">
      <c r="A56" s="58" t="str">
        <f>_xlfn.XLOOKUP(B56,[10]Sheet1!$D:$D,[10]Sheet1!$E:$E)</f>
        <v>First Invest Shield</v>
      </c>
      <c r="B56" t="str">
        <f t="shared" si="1"/>
        <v>ULFIVS</v>
      </c>
      <c r="C56" t="str">
        <f>VLOOKUP(D56,DV_AZUL_Stat!H:I,2,FALSE)</f>
        <v>ULFIVS_USD</v>
      </c>
      <c r="D56" s="59" t="s">
        <v>1965</v>
      </c>
      <c r="E56" s="1">
        <f>SUMIF(DV_AZUL_Stat!H:H,Summary_Checking_UL!$D56,DV_AZUL_Stat!C:C)</f>
        <v>77</v>
      </c>
      <c r="F56" s="1">
        <f>SUMIF(DV_AZUL_Stat!H:H,Summary_Checking_UL!$D56,DV_AZUL_Stat!E:E)</f>
        <v>594750</v>
      </c>
      <c r="G56" s="1">
        <f>SUMIF(DV_AZUL_Stat!H:H,Summary_Checking_UL!$D56,DV_AZUL_Stat!D:D)</f>
        <v>396500</v>
      </c>
      <c r="H56" s="1">
        <f>SUMIF(DV_AZUL_Stat!H:H,Summary_Checking_UL!$D56,DV_AZUL_Stat!F:F)</f>
        <v>1480627.1579122548</v>
      </c>
      <c r="I56" s="46">
        <f>SUMIF(IT_AZUL_FULL_Stat!$H:$H,Summary_Checking_UL!$D56,IT_AZUL_FULL_Stat!C:C)</f>
        <v>77</v>
      </c>
      <c r="J56" s="46">
        <f>SUMIF(IT_AZUL_FULL_Stat!$H:$H,Summary_Checking_UL!$D56,IT_AZUL_FULL_Stat!E:E)</f>
        <v>594750</v>
      </c>
      <c r="K56" s="46">
        <f>SUMIF(IT_AZUL_FULL_Stat!$H:$H,Summary_Checking_UL!$D56,IT_AZUL_FULL_Stat!D:D)</f>
        <v>396500</v>
      </c>
      <c r="L56" s="46">
        <f>SUMIF(IT_AZUL_FULL_Stat!$H:$H,Summary_Checking_UL!$D56,IT_AZUL_FULL_Stat!F:F)</f>
        <v>1480626.4340308299</v>
      </c>
      <c r="M56" s="7">
        <f t="shared" si="5"/>
        <v>0</v>
      </c>
      <c r="N56" s="7">
        <f t="shared" si="5"/>
        <v>0</v>
      </c>
      <c r="O56" s="7">
        <f t="shared" si="5"/>
        <v>0</v>
      </c>
      <c r="P56" s="7">
        <f t="shared" si="5"/>
        <v>0.72388142487034202</v>
      </c>
      <c r="Q56" s="48">
        <f t="shared" si="6"/>
        <v>0</v>
      </c>
      <c r="R56" s="48">
        <f t="shared" si="6"/>
        <v>0</v>
      </c>
      <c r="S56" s="48">
        <f t="shared" si="6"/>
        <v>0</v>
      </c>
      <c r="T56" s="48">
        <f t="shared" si="6"/>
        <v>4.8890213509133472E-7</v>
      </c>
      <c r="W56" s="46" t="str">
        <f t="shared" si="4"/>
        <v>USD</v>
      </c>
    </row>
    <row r="57" spans="1:23">
      <c r="A57" s="58" t="str">
        <f>_xlfn.XLOOKUP(B57,[10]Sheet1!$D:$D,[10]Sheet1!$E:$E)</f>
        <v>First Life Shield</v>
      </c>
      <c r="B57" t="str">
        <f t="shared" si="1"/>
        <v>ULFLFS</v>
      </c>
      <c r="C57" t="str">
        <f>VLOOKUP(D57,DV_AZUL_Stat!H:I,2,FALSE)</f>
        <v>ULFLFS_IDR</v>
      </c>
      <c r="D57" s="59" t="s">
        <v>1966</v>
      </c>
      <c r="E57" s="1">
        <f>SUMIF(DV_AZUL_Stat!H:H,Summary_Checking_UL!$D57,DV_AZUL_Stat!C:C)</f>
        <v>154</v>
      </c>
      <c r="F57" s="1">
        <f>SUMIF(DV_AZUL_Stat!H:H,Summary_Checking_UL!$D57,DV_AZUL_Stat!E:E)</f>
        <v>111830000000</v>
      </c>
      <c r="G57" s="1">
        <f>SUMIF(DV_AZUL_Stat!H:H,Summary_Checking_UL!$D57,DV_AZUL_Stat!D:D)</f>
        <v>6759000000</v>
      </c>
      <c r="H57" s="1">
        <f>SUMIF(DV_AZUL_Stat!H:H,Summary_Checking_UL!$D57,DV_AZUL_Stat!F:F)</f>
        <v>20318528091.524509</v>
      </c>
      <c r="I57" s="46">
        <f>SUMIF(IT_AZUL_FULL_Stat!$H:$H,Summary_Checking_UL!$D57,IT_AZUL_FULL_Stat!C:C)</f>
        <v>154</v>
      </c>
      <c r="J57" s="46">
        <f>SUMIF(IT_AZUL_FULL_Stat!$H:$H,Summary_Checking_UL!$D57,IT_AZUL_FULL_Stat!E:E)</f>
        <v>111830000000</v>
      </c>
      <c r="K57" s="46">
        <f>SUMIF(IT_AZUL_FULL_Stat!$H:$H,Summary_Checking_UL!$D57,IT_AZUL_FULL_Stat!D:D)</f>
        <v>6759000000</v>
      </c>
      <c r="L57" s="46">
        <f>SUMIF(IT_AZUL_FULL_Stat!$H:$H,Summary_Checking_UL!$D57,IT_AZUL_FULL_Stat!F:F)</f>
        <v>20318528086.643902</v>
      </c>
      <c r="M57" s="7">
        <f t="shared" si="5"/>
        <v>0</v>
      </c>
      <c r="N57" s="7">
        <f t="shared" si="5"/>
        <v>0</v>
      </c>
      <c r="O57" s="7">
        <f t="shared" si="5"/>
        <v>0</v>
      </c>
      <c r="P57" s="7">
        <f t="shared" si="5"/>
        <v>4.8806076049804688</v>
      </c>
      <c r="Q57" s="48">
        <f t="shared" si="6"/>
        <v>0</v>
      </c>
      <c r="R57" s="48">
        <f t="shared" si="6"/>
        <v>0</v>
      </c>
      <c r="S57" s="48">
        <f t="shared" si="6"/>
        <v>0</v>
      </c>
      <c r="T57" s="48">
        <f t="shared" si="6"/>
        <v>2.4020478177199593E-10</v>
      </c>
      <c r="W57" s="46" t="str">
        <f t="shared" si="4"/>
        <v>IDR</v>
      </c>
    </row>
    <row r="58" spans="1:23">
      <c r="A58" s="58" t="str">
        <f>_xlfn.XLOOKUP(B58,[10]Sheet1!$D:$D,[10]Sheet1!$E:$E)</f>
        <v>First Life Shield</v>
      </c>
      <c r="B58" t="str">
        <f t="shared" si="1"/>
        <v>ULFLFS</v>
      </c>
      <c r="C58" t="str">
        <f>VLOOKUP(D58,DV_AZUL_Stat!H:I,2,FALSE)</f>
        <v>ULFLFS_USD</v>
      </c>
      <c r="D58" s="59" t="s">
        <v>1967</v>
      </c>
      <c r="E58" s="1">
        <f>SUMIF(DV_AZUL_Stat!H:H,Summary_Checking_UL!$D58,DV_AZUL_Stat!C:C)</f>
        <v>49</v>
      </c>
      <c r="F58" s="1">
        <f>SUMIF(DV_AZUL_Stat!H:H,Summary_Checking_UL!$D58,DV_AZUL_Stat!E:E)</f>
        <v>1468000</v>
      </c>
      <c r="G58" s="1">
        <f>SUMIF(DV_AZUL_Stat!H:H,Summary_Checking_UL!$D58,DV_AZUL_Stat!D:D)</f>
        <v>167000</v>
      </c>
      <c r="H58" s="1">
        <f>SUMIF(DV_AZUL_Stat!H:H,Summary_Checking_UL!$D58,DV_AZUL_Stat!F:F)</f>
        <v>688295.73254987993</v>
      </c>
      <c r="I58" s="46">
        <f>SUMIF(IT_AZUL_FULL_Stat!$H:$H,Summary_Checking_UL!$D58,IT_AZUL_FULL_Stat!C:C)</f>
        <v>49</v>
      </c>
      <c r="J58" s="46">
        <f>SUMIF(IT_AZUL_FULL_Stat!$H:$H,Summary_Checking_UL!$D58,IT_AZUL_FULL_Stat!E:E)</f>
        <v>1468000</v>
      </c>
      <c r="K58" s="46">
        <f>SUMIF(IT_AZUL_FULL_Stat!$H:$H,Summary_Checking_UL!$D58,IT_AZUL_FULL_Stat!D:D)</f>
        <v>167000</v>
      </c>
      <c r="L58" s="46">
        <f>SUMIF(IT_AZUL_FULL_Stat!$H:$H,Summary_Checking_UL!$D58,IT_AZUL_FULL_Stat!F:F)</f>
        <v>688297.86493751302</v>
      </c>
      <c r="M58" s="7">
        <f t="shared" si="5"/>
        <v>0</v>
      </c>
      <c r="N58" s="7">
        <f t="shared" si="5"/>
        <v>0</v>
      </c>
      <c r="O58" s="7">
        <f t="shared" si="5"/>
        <v>0</v>
      </c>
      <c r="P58" s="7">
        <f t="shared" si="5"/>
        <v>-2.1323876330861822</v>
      </c>
      <c r="Q58" s="48">
        <f t="shared" si="6"/>
        <v>0</v>
      </c>
      <c r="R58" s="48">
        <f t="shared" si="6"/>
        <v>0</v>
      </c>
      <c r="S58" s="48">
        <f t="shared" si="6"/>
        <v>0</v>
      </c>
      <c r="T58" s="48">
        <f t="shared" si="6"/>
        <v>-3.0980593456871621E-6</v>
      </c>
      <c r="W58" s="46" t="str">
        <f t="shared" si="4"/>
        <v>USD</v>
      </c>
    </row>
    <row r="59" spans="1:23">
      <c r="A59" s="58" t="str">
        <f>_xlfn.XLOOKUP(B59,[10]Sheet1!$D:$D,[10]Sheet1!$E:$E)</f>
        <v>Family Shield</v>
      </c>
      <c r="B59" t="str">
        <f t="shared" si="1"/>
        <v>ULFS__</v>
      </c>
      <c r="C59" t="str">
        <f>VLOOKUP(D59,DV_AZUL_Stat!H:I,2,FALSE)</f>
        <v>ULFS___IDR</v>
      </c>
      <c r="D59" s="59" t="s">
        <v>1968</v>
      </c>
      <c r="E59" s="1">
        <f>SUMIF(DV_AZUL_Stat!H:H,Summary_Checking_UL!$D59,DV_AZUL_Stat!C:C)</f>
        <v>88</v>
      </c>
      <c r="F59" s="1">
        <f>SUMIF(DV_AZUL_Stat!H:H,Summary_Checking_UL!$D59,DV_AZUL_Stat!E:E)</f>
        <v>41348500000</v>
      </c>
      <c r="G59" s="1">
        <f>SUMIF(DV_AZUL_Stat!H:H,Summary_Checking_UL!$D59,DV_AZUL_Stat!D:D)</f>
        <v>1726999996</v>
      </c>
      <c r="H59" s="1">
        <f>SUMIF(DV_AZUL_Stat!H:H,Summary_Checking_UL!$D59,DV_AZUL_Stat!F:F)</f>
        <v>5503152634.0286102</v>
      </c>
      <c r="I59" s="46">
        <f>SUMIF(IT_AZUL_FULL_Stat!$H:$H,Summary_Checking_UL!$D59,IT_AZUL_FULL_Stat!C:C)</f>
        <v>88</v>
      </c>
      <c r="J59" s="46">
        <f>SUMIF(IT_AZUL_FULL_Stat!$H:$H,Summary_Checking_UL!$D59,IT_AZUL_FULL_Stat!E:E)</f>
        <v>41348500000</v>
      </c>
      <c r="K59" s="46">
        <f>SUMIF(IT_AZUL_FULL_Stat!$H:$H,Summary_Checking_UL!$D59,IT_AZUL_FULL_Stat!D:D)</f>
        <v>1726999996</v>
      </c>
      <c r="L59" s="46">
        <f>SUMIF(IT_AZUL_FULL_Stat!$H:$H,Summary_Checking_UL!$D59,IT_AZUL_FULL_Stat!F:F)</f>
        <v>5503152635.5432596</v>
      </c>
      <c r="M59" s="7">
        <f t="shared" si="5"/>
        <v>0</v>
      </c>
      <c r="N59" s="7">
        <f t="shared" si="5"/>
        <v>0</v>
      </c>
      <c r="O59" s="7">
        <f t="shared" si="5"/>
        <v>0</v>
      </c>
      <c r="P59" s="7">
        <f t="shared" si="5"/>
        <v>-1.5146493911743164</v>
      </c>
      <c r="Q59" s="48">
        <f t="shared" si="6"/>
        <v>0</v>
      </c>
      <c r="R59" s="48">
        <f t="shared" si="6"/>
        <v>0</v>
      </c>
      <c r="S59" s="48">
        <f t="shared" si="6"/>
        <v>0</v>
      </c>
      <c r="T59" s="48">
        <f t="shared" si="6"/>
        <v>-2.7523303304212156E-10</v>
      </c>
      <c r="W59" s="46" t="str">
        <f t="shared" si="4"/>
        <v>IDR</v>
      </c>
    </row>
    <row r="60" spans="1:23">
      <c r="A60" s="58" t="str">
        <f>_xlfn.XLOOKUP(B60,[10]Sheet1!$D:$D,[10]Sheet1!$E:$E)</f>
        <v>Family Shield</v>
      </c>
      <c r="B60" t="str">
        <f t="shared" si="1"/>
        <v>ULFS__</v>
      </c>
      <c r="C60" t="str">
        <f>VLOOKUP(D60,DV_AZUL_Stat!H:I,2,FALSE)</f>
        <v>ULFS___USD</v>
      </c>
      <c r="D60" s="59" t="s">
        <v>1969</v>
      </c>
      <c r="E60" s="1">
        <f>SUMIF(DV_AZUL_Stat!H:H,Summary_Checking_UL!$D60,DV_AZUL_Stat!C:C)</f>
        <v>5</v>
      </c>
      <c r="F60" s="1">
        <f>SUMIF(DV_AZUL_Stat!H:H,Summary_Checking_UL!$D60,DV_AZUL_Stat!E:E)</f>
        <v>180500</v>
      </c>
      <c r="G60" s="1">
        <f>SUMIF(DV_AZUL_Stat!H:H,Summary_Checking_UL!$D60,DV_AZUL_Stat!D:D)</f>
        <v>17500</v>
      </c>
      <c r="H60" s="1">
        <f>SUMIF(DV_AZUL_Stat!H:H,Summary_Checking_UL!$D60,DV_AZUL_Stat!F:F)</f>
        <v>31946.713656799999</v>
      </c>
      <c r="I60" s="46">
        <f>SUMIF(IT_AZUL_FULL_Stat!$H:$H,Summary_Checking_UL!$D60,IT_AZUL_FULL_Stat!C:C)</f>
        <v>5</v>
      </c>
      <c r="J60" s="46">
        <f>SUMIF(IT_AZUL_FULL_Stat!$H:$H,Summary_Checking_UL!$D60,IT_AZUL_FULL_Stat!E:E)</f>
        <v>180500</v>
      </c>
      <c r="K60" s="46">
        <f>SUMIF(IT_AZUL_FULL_Stat!$H:$H,Summary_Checking_UL!$D60,IT_AZUL_FULL_Stat!D:D)</f>
        <v>17500</v>
      </c>
      <c r="L60" s="46">
        <f>SUMIF(IT_AZUL_FULL_Stat!$H:$H,Summary_Checking_UL!$D60,IT_AZUL_FULL_Stat!F:F)</f>
        <v>31946.8783392</v>
      </c>
      <c r="M60" s="7">
        <f t="shared" si="5"/>
        <v>0</v>
      </c>
      <c r="N60" s="7">
        <f t="shared" si="5"/>
        <v>0</v>
      </c>
      <c r="O60" s="7">
        <f t="shared" si="5"/>
        <v>0</v>
      </c>
      <c r="P60" s="7">
        <f t="shared" si="5"/>
        <v>-0.16468240000176593</v>
      </c>
      <c r="Q60" s="48">
        <f t="shared" si="6"/>
        <v>0</v>
      </c>
      <c r="R60" s="48">
        <f t="shared" si="6"/>
        <v>0</v>
      </c>
      <c r="S60" s="48">
        <f t="shared" si="6"/>
        <v>0</v>
      </c>
      <c r="T60" s="48">
        <f t="shared" si="6"/>
        <v>-5.1548823723316511E-6</v>
      </c>
      <c r="W60" s="46" t="str">
        <f t="shared" si="4"/>
        <v>USD</v>
      </c>
    </row>
    <row r="61" spans="1:23">
      <c r="A61" s="58" t="str">
        <f>_xlfn.XLOOKUP(B61,[10]Sheet1!$D:$D,[10]Sheet1!$E:$E)</f>
        <v>Family Trust</v>
      </c>
      <c r="B61" t="str">
        <f t="shared" si="1"/>
        <v>ULFT__</v>
      </c>
      <c r="C61" t="str">
        <f>VLOOKUP(D61,DV_AZUL_Stat!H:I,2,FALSE)</f>
        <v>ULFT___IDR</v>
      </c>
      <c r="D61" s="59" t="s">
        <v>1970</v>
      </c>
      <c r="E61" s="1">
        <f>SUMIF(DV_AZUL_Stat!H:H,Summary_Checking_UL!$D61,DV_AZUL_Stat!C:C)</f>
        <v>22</v>
      </c>
      <c r="F61" s="1">
        <f>SUMIF(DV_AZUL_Stat!H:H,Summary_Checking_UL!$D61,DV_AZUL_Stat!E:E)</f>
        <v>5075000000</v>
      </c>
      <c r="G61" s="1">
        <f>SUMIF(DV_AZUL_Stat!H:H,Summary_Checking_UL!$D61,DV_AZUL_Stat!D:D)</f>
        <v>88300000</v>
      </c>
      <c r="H61" s="1">
        <f>SUMIF(DV_AZUL_Stat!H:H,Summary_Checking_UL!$D61,DV_AZUL_Stat!F:F)</f>
        <v>413385170.14604598</v>
      </c>
      <c r="I61" s="46">
        <f>SUMIF(IT_AZUL_FULL_Stat!$H:$H,Summary_Checking_UL!$D61,IT_AZUL_FULL_Stat!C:C)</f>
        <v>22</v>
      </c>
      <c r="J61" s="46">
        <f>SUMIF(IT_AZUL_FULL_Stat!$H:$H,Summary_Checking_UL!$D61,IT_AZUL_FULL_Stat!E:E)</f>
        <v>5075000000</v>
      </c>
      <c r="K61" s="46">
        <f>SUMIF(IT_AZUL_FULL_Stat!$H:$H,Summary_Checking_UL!$D61,IT_AZUL_FULL_Stat!D:D)</f>
        <v>88300000</v>
      </c>
      <c r="L61" s="46">
        <f>SUMIF(IT_AZUL_FULL_Stat!$H:$H,Summary_Checking_UL!$D61,IT_AZUL_FULL_Stat!F:F)</f>
        <v>413385171.19383502</v>
      </c>
      <c r="M61" s="7">
        <f t="shared" si="5"/>
        <v>0</v>
      </c>
      <c r="N61" s="7">
        <f t="shared" si="5"/>
        <v>0</v>
      </c>
      <c r="O61" s="7">
        <f t="shared" si="5"/>
        <v>0</v>
      </c>
      <c r="P61" s="7">
        <f t="shared" si="5"/>
        <v>-1.0477890372276306</v>
      </c>
      <c r="Q61" s="48">
        <f t="shared" si="6"/>
        <v>0</v>
      </c>
      <c r="R61" s="48">
        <f t="shared" si="6"/>
        <v>0</v>
      </c>
      <c r="S61" s="48">
        <f t="shared" si="6"/>
        <v>0</v>
      </c>
      <c r="T61" s="48">
        <f t="shared" si="6"/>
        <v>-2.5346555954140059E-9</v>
      </c>
      <c r="W61" s="46" t="str">
        <f t="shared" si="4"/>
        <v>IDR</v>
      </c>
    </row>
    <row r="62" spans="1:23">
      <c r="A62" s="58" t="str">
        <f>_xlfn.XLOOKUP(B62,[10]Sheet1!$D:$D,[10]Sheet1!$E:$E)</f>
        <v>Guardia Investa</v>
      </c>
      <c r="B62" t="str">
        <f t="shared" si="1"/>
        <v>ULGI1_</v>
      </c>
      <c r="C62" t="str">
        <f>VLOOKUP(D62,DV_AZUL_Stat!H:I,2,FALSE)</f>
        <v>ULGI1__IDR</v>
      </c>
      <c r="D62" s="59" t="s">
        <v>1971</v>
      </c>
      <c r="E62" s="1">
        <f>SUMIF(DV_AZUL_Stat!H:H,Summary_Checking_UL!$D62,DV_AZUL_Stat!C:C)</f>
        <v>231</v>
      </c>
      <c r="F62" s="1">
        <f>SUMIF(DV_AZUL_Stat!H:H,Summary_Checking_UL!$D62,DV_AZUL_Stat!E:E)</f>
        <v>4593750000</v>
      </c>
      <c r="G62" s="1">
        <f>SUMIF(DV_AZUL_Stat!H:H,Summary_Checking_UL!$D62,DV_AZUL_Stat!D:D)</f>
        <v>3675000000</v>
      </c>
      <c r="H62" s="1">
        <f>SUMIF(DV_AZUL_Stat!H:H,Summary_Checking_UL!$D62,DV_AZUL_Stat!F:F)</f>
        <v>22003150419.136375</v>
      </c>
      <c r="I62" s="46">
        <f>SUMIF(IT_AZUL_FULL_Stat!$H:$H,Summary_Checking_UL!$D62,IT_AZUL_FULL_Stat!C:C)</f>
        <v>231</v>
      </c>
      <c r="J62" s="46">
        <f>SUMIF(IT_AZUL_FULL_Stat!$H:$H,Summary_Checking_UL!$D62,IT_AZUL_FULL_Stat!E:E)</f>
        <v>4593750000</v>
      </c>
      <c r="K62" s="46">
        <f>SUMIF(IT_AZUL_FULL_Stat!$H:$H,Summary_Checking_UL!$D62,IT_AZUL_FULL_Stat!D:D)</f>
        <v>3675000000</v>
      </c>
      <c r="L62" s="46">
        <f>SUMIF(IT_AZUL_FULL_Stat!$H:$H,Summary_Checking_UL!$D62,IT_AZUL_FULL_Stat!F:F)</f>
        <v>22003150421.405701</v>
      </c>
      <c r="M62" s="7">
        <f t="shared" si="5"/>
        <v>0</v>
      </c>
      <c r="N62" s="7">
        <f t="shared" si="5"/>
        <v>0</v>
      </c>
      <c r="O62" s="7">
        <f t="shared" si="5"/>
        <v>0</v>
      </c>
      <c r="P62" s="7">
        <f t="shared" si="5"/>
        <v>-2.2693252563476563</v>
      </c>
      <c r="Q62" s="48">
        <f t="shared" si="6"/>
        <v>0</v>
      </c>
      <c r="R62" s="48">
        <f t="shared" si="6"/>
        <v>0</v>
      </c>
      <c r="S62" s="48">
        <f t="shared" si="6"/>
        <v>0</v>
      </c>
      <c r="T62" s="48">
        <f t="shared" si="6"/>
        <v>-1.0313637878601011E-10</v>
      </c>
      <c r="W62" s="46" t="str">
        <f t="shared" si="4"/>
        <v>IDR</v>
      </c>
    </row>
    <row r="63" spans="1:23">
      <c r="A63" s="58" t="str">
        <f>_xlfn.XLOOKUP(B63,[10]Sheet1!$D:$D,[10]Sheet1!$E:$E)</f>
        <v>Guardia Supreme Life</v>
      </c>
      <c r="B63" t="str">
        <f t="shared" si="1"/>
        <v>ULGSU_</v>
      </c>
      <c r="C63" t="str">
        <f>VLOOKUP(D63,DV_AZUL_Stat!H:I,2,FALSE)</f>
        <v>ULGSU__IDR</v>
      </c>
      <c r="D63" s="59" t="s">
        <v>1972</v>
      </c>
      <c r="E63" s="1">
        <f>SUMIF(DV_AZUL_Stat!H:H,Summary_Checking_UL!$D63,DV_AZUL_Stat!C:C)</f>
        <v>142</v>
      </c>
      <c r="F63" s="1">
        <f>SUMIF(DV_AZUL_Stat!H:H,Summary_Checking_UL!$D63,DV_AZUL_Stat!E:E)</f>
        <v>296491647585</v>
      </c>
      <c r="G63" s="1">
        <f>SUMIF(DV_AZUL_Stat!H:H,Summary_Checking_UL!$D63,DV_AZUL_Stat!D:D)</f>
        <v>9279000000</v>
      </c>
      <c r="H63" s="1">
        <f>SUMIF(DV_AZUL_Stat!H:H,Summary_Checking_UL!$D63,DV_AZUL_Stat!F:F)</f>
        <v>30905579033.64098</v>
      </c>
      <c r="I63" s="46">
        <f>SUMIF(IT_AZUL_FULL_Stat!$H:$H,Summary_Checking_UL!$D63,IT_AZUL_FULL_Stat!C:C)</f>
        <v>142</v>
      </c>
      <c r="J63" s="46">
        <f>SUMIF(IT_AZUL_FULL_Stat!$H:$H,Summary_Checking_UL!$D63,IT_AZUL_FULL_Stat!E:E)</f>
        <v>296491647585</v>
      </c>
      <c r="K63" s="46">
        <f>SUMIF(IT_AZUL_FULL_Stat!$H:$H,Summary_Checking_UL!$D63,IT_AZUL_FULL_Stat!D:D)</f>
        <v>9279000000</v>
      </c>
      <c r="L63" s="46">
        <f>SUMIF(IT_AZUL_FULL_Stat!$H:$H,Summary_Checking_UL!$D63,IT_AZUL_FULL_Stat!F:F)</f>
        <v>30905579034.852001</v>
      </c>
      <c r="M63" s="7">
        <f t="shared" si="5"/>
        <v>0</v>
      </c>
      <c r="N63" s="7">
        <f t="shared" si="5"/>
        <v>0</v>
      </c>
      <c r="O63" s="7">
        <f t="shared" si="5"/>
        <v>0</v>
      </c>
      <c r="P63" s="7">
        <f t="shared" si="5"/>
        <v>-1.2110214233398438</v>
      </c>
      <c r="Q63" s="48">
        <f t="shared" si="6"/>
        <v>0</v>
      </c>
      <c r="R63" s="48">
        <f t="shared" si="6"/>
        <v>0</v>
      </c>
      <c r="S63" s="48">
        <f t="shared" si="6"/>
        <v>0</v>
      </c>
      <c r="T63" s="48">
        <f t="shared" si="6"/>
        <v>-3.9184557000992715E-11</v>
      </c>
      <c r="W63" s="46" t="str">
        <f t="shared" si="4"/>
        <v>IDR</v>
      </c>
    </row>
    <row r="64" spans="1:23">
      <c r="A64" s="58" t="str">
        <f>_xlfn.XLOOKUP(B64,[10]Sheet1!$D:$D,[10]Sheet1!$E:$E)</f>
        <v>Guardia Supreme Life</v>
      </c>
      <c r="B64" t="str">
        <f t="shared" si="1"/>
        <v>ULGSU_</v>
      </c>
      <c r="C64" t="str">
        <f>VLOOKUP(D64,DV_AZUL_Stat!H:I,2,FALSE)</f>
        <v>ULGSU__USD</v>
      </c>
      <c r="D64" s="59" t="s">
        <v>1973</v>
      </c>
      <c r="E64" s="1">
        <f>SUMIF(DV_AZUL_Stat!H:H,Summary_Checking_UL!$D64,DV_AZUL_Stat!C:C)</f>
        <v>41</v>
      </c>
      <c r="F64" s="1">
        <f>SUMIF(DV_AZUL_Stat!H:H,Summary_Checking_UL!$D64,DV_AZUL_Stat!E:E)</f>
        <v>7194743.75</v>
      </c>
      <c r="G64" s="1">
        <f>SUMIF(DV_AZUL_Stat!H:H,Summary_Checking_UL!$D64,DV_AZUL_Stat!D:D)</f>
        <v>257600</v>
      </c>
      <c r="H64" s="1">
        <f>SUMIF(DV_AZUL_Stat!H:H,Summary_Checking_UL!$D64,DV_AZUL_Stat!F:F)</f>
        <v>775866.23069073004</v>
      </c>
      <c r="I64" s="46">
        <f>SUMIF(IT_AZUL_FULL_Stat!$H:$H,Summary_Checking_UL!$D64,IT_AZUL_FULL_Stat!C:C)</f>
        <v>41</v>
      </c>
      <c r="J64" s="46">
        <f>SUMIF(IT_AZUL_FULL_Stat!$H:$H,Summary_Checking_UL!$D64,IT_AZUL_FULL_Stat!E:E)</f>
        <v>7194743.75</v>
      </c>
      <c r="K64" s="46">
        <f>SUMIF(IT_AZUL_FULL_Stat!$H:$H,Summary_Checking_UL!$D64,IT_AZUL_FULL_Stat!D:D)</f>
        <v>257600</v>
      </c>
      <c r="L64" s="46">
        <f>SUMIF(IT_AZUL_FULL_Stat!$H:$H,Summary_Checking_UL!$D64,IT_AZUL_FULL_Stat!F:F)</f>
        <v>775867.00660642004</v>
      </c>
      <c r="M64" s="7">
        <f t="shared" si="5"/>
        <v>0</v>
      </c>
      <c r="N64" s="7">
        <f t="shared" si="5"/>
        <v>0</v>
      </c>
      <c r="O64" s="7">
        <f t="shared" si="5"/>
        <v>0</v>
      </c>
      <c r="P64" s="7">
        <f t="shared" si="5"/>
        <v>-0.77591568999923766</v>
      </c>
      <c r="Q64" s="48">
        <f t="shared" si="6"/>
        <v>0</v>
      </c>
      <c r="R64" s="48">
        <f t="shared" si="6"/>
        <v>0</v>
      </c>
      <c r="S64" s="48">
        <f t="shared" si="6"/>
        <v>0</v>
      </c>
      <c r="T64" s="48">
        <f t="shared" si="6"/>
        <v>-1.0000627470847491E-6</v>
      </c>
      <c r="W64" s="46" t="str">
        <f t="shared" si="4"/>
        <v>USD</v>
      </c>
    </row>
    <row r="65" spans="1:23">
      <c r="A65" s="58" t="str">
        <f>_xlfn.XLOOKUP(B65,[10]Sheet1!$D:$D,[10]Sheet1!$E:$E)</f>
        <v>Guardia Maxima</v>
      </c>
      <c r="B65" t="str">
        <f t="shared" si="1"/>
        <v>ULGUMA</v>
      </c>
      <c r="C65" t="str">
        <f>VLOOKUP(D65,DV_AZUL_Stat!H:I,2,FALSE)</f>
        <v>ULGUMA_IDR</v>
      </c>
      <c r="D65" s="59" t="s">
        <v>1974</v>
      </c>
      <c r="E65" s="1">
        <f>SUMIF(DV_AZUL_Stat!H:H,Summary_Checking_UL!$D65,DV_AZUL_Stat!C:C)</f>
        <v>65</v>
      </c>
      <c r="F65" s="1">
        <f>SUMIF(DV_AZUL_Stat!H:H,Summary_Checking_UL!$D65,DV_AZUL_Stat!E:E)</f>
        <v>143275000000</v>
      </c>
      <c r="G65" s="1">
        <f>SUMIF(DV_AZUL_Stat!H:H,Summary_Checking_UL!$D65,DV_AZUL_Stat!D:D)</f>
        <v>4515000000</v>
      </c>
      <c r="H65" s="1">
        <f>SUMIF(DV_AZUL_Stat!H:H,Summary_Checking_UL!$D65,DV_AZUL_Stat!F:F)</f>
        <v>15858910442.00811</v>
      </c>
      <c r="I65" s="46">
        <f>SUMIF(IT_AZUL_FULL_Stat!$H:$H,Summary_Checking_UL!$D65,IT_AZUL_FULL_Stat!C:C)</f>
        <v>65</v>
      </c>
      <c r="J65" s="46">
        <f>SUMIF(IT_AZUL_FULL_Stat!$H:$H,Summary_Checking_UL!$D65,IT_AZUL_FULL_Stat!E:E)</f>
        <v>143275000000</v>
      </c>
      <c r="K65" s="46">
        <f>SUMIF(IT_AZUL_FULL_Stat!$H:$H,Summary_Checking_UL!$D65,IT_AZUL_FULL_Stat!D:D)</f>
        <v>4515000000</v>
      </c>
      <c r="L65" s="46">
        <f>SUMIF(IT_AZUL_FULL_Stat!$H:$H,Summary_Checking_UL!$D65,IT_AZUL_FULL_Stat!F:F)</f>
        <v>15858910441.914499</v>
      </c>
      <c r="M65" s="7">
        <f t="shared" si="5"/>
        <v>0</v>
      </c>
      <c r="N65" s="7">
        <f t="shared" si="5"/>
        <v>0</v>
      </c>
      <c r="O65" s="7">
        <f t="shared" si="5"/>
        <v>0</v>
      </c>
      <c r="P65" s="7">
        <f t="shared" si="5"/>
        <v>9.3610763549804688E-2</v>
      </c>
      <c r="Q65" s="48">
        <f t="shared" si="6"/>
        <v>0</v>
      </c>
      <c r="R65" s="48">
        <f t="shared" si="6"/>
        <v>0</v>
      </c>
      <c r="S65" s="48">
        <f t="shared" si="6"/>
        <v>0</v>
      </c>
      <c r="T65" s="48">
        <f t="shared" si="6"/>
        <v>5.9027235126061991E-12</v>
      </c>
      <c r="W65" s="46" t="str">
        <f t="shared" si="4"/>
        <v>IDR</v>
      </c>
    </row>
    <row r="66" spans="1:23">
      <c r="A66" s="58" t="str">
        <f>_xlfn.XLOOKUP(B66,[10]Sheet1!$D:$D,[10]Sheet1!$E:$E)</f>
        <v>Guardia Maxima</v>
      </c>
      <c r="B66" t="str">
        <f t="shared" si="1"/>
        <v>ULGUMA</v>
      </c>
      <c r="C66" t="str">
        <f>VLOOKUP(D66,DV_AZUL_Stat!H:I,2,FALSE)</f>
        <v>ULGUMA_USD</v>
      </c>
      <c r="D66" s="59" t="s">
        <v>1975</v>
      </c>
      <c r="E66" s="1">
        <f>SUMIF(DV_AZUL_Stat!H:H,Summary_Checking_UL!$D66,DV_AZUL_Stat!C:C)</f>
        <v>13</v>
      </c>
      <c r="F66" s="1">
        <f>SUMIF(DV_AZUL_Stat!H:H,Summary_Checking_UL!$D66,DV_AZUL_Stat!E:E)</f>
        <v>2380000</v>
      </c>
      <c r="G66" s="1">
        <f>SUMIF(DV_AZUL_Stat!H:H,Summary_Checking_UL!$D66,DV_AZUL_Stat!D:D)</f>
        <v>92700</v>
      </c>
      <c r="H66" s="1">
        <f>SUMIF(DV_AZUL_Stat!H:H,Summary_Checking_UL!$D66,DV_AZUL_Stat!F:F)</f>
        <v>221192.73692632001</v>
      </c>
      <c r="I66" s="46">
        <f>SUMIF(IT_AZUL_FULL_Stat!$H:$H,Summary_Checking_UL!$D66,IT_AZUL_FULL_Stat!C:C)</f>
        <v>13</v>
      </c>
      <c r="J66" s="46">
        <f>SUMIF(IT_AZUL_FULL_Stat!$H:$H,Summary_Checking_UL!$D66,IT_AZUL_FULL_Stat!E:E)</f>
        <v>2380000</v>
      </c>
      <c r="K66" s="46">
        <f>SUMIF(IT_AZUL_FULL_Stat!$H:$H,Summary_Checking_UL!$D66,IT_AZUL_FULL_Stat!D:D)</f>
        <v>92700</v>
      </c>
      <c r="L66" s="46">
        <f>SUMIF(IT_AZUL_FULL_Stat!$H:$H,Summary_Checking_UL!$D66,IT_AZUL_FULL_Stat!F:F)</f>
        <v>221193.73183159</v>
      </c>
      <c r="M66" s="7">
        <f t="shared" si="5"/>
        <v>0</v>
      </c>
      <c r="N66" s="7">
        <f t="shared" si="5"/>
        <v>0</v>
      </c>
      <c r="O66" s="7">
        <f t="shared" si="5"/>
        <v>0</v>
      </c>
      <c r="P66" s="7">
        <f t="shared" si="5"/>
        <v>-0.99490526999579743</v>
      </c>
      <c r="Q66" s="48">
        <f t="shared" si="6"/>
        <v>0</v>
      </c>
      <c r="R66" s="48">
        <f t="shared" si="6"/>
        <v>0</v>
      </c>
      <c r="S66" s="48">
        <f t="shared" si="6"/>
        <v>0</v>
      </c>
      <c r="T66" s="48">
        <f t="shared" si="6"/>
        <v>-4.4978908839663102E-6</v>
      </c>
      <c r="W66" s="46" t="str">
        <f t="shared" si="4"/>
        <v>USD</v>
      </c>
    </row>
    <row r="67" spans="1:23">
      <c r="A67" s="58" t="e">
        <f>_xlfn.XLOOKUP(B67,[10]Sheet1!$D:$D,[10]Sheet1!$E:$E)</f>
        <v>#N/A</v>
      </c>
      <c r="B67" t="str">
        <f t="shared" si="1"/>
        <v>ULGUOP</v>
      </c>
      <c r="C67" t="str">
        <f>VLOOKUP(D67,DV_AZUL_Stat!H:I,2,FALSE)</f>
        <v>ULGUOP_IDR</v>
      </c>
      <c r="D67" s="59" t="s">
        <v>1976</v>
      </c>
      <c r="E67" s="1">
        <f>SUMIF(DV_AZUL_Stat!H:H,Summary_Checking_UL!$D67,DV_AZUL_Stat!C:C)</f>
        <v>612</v>
      </c>
      <c r="F67" s="1">
        <f>SUMIF(DV_AZUL_Stat!H:H,Summary_Checking_UL!$D67,DV_AZUL_Stat!E:E)</f>
        <v>68134000000</v>
      </c>
      <c r="G67" s="1">
        <f>SUMIF(DV_AZUL_Stat!H:H,Summary_Checking_UL!$D67,DV_AZUL_Stat!D:D)</f>
        <v>34067000000</v>
      </c>
      <c r="H67" s="1">
        <f>SUMIF(DV_AZUL_Stat!H:H,Summary_Checking_UL!$D67,DV_AZUL_Stat!F:F)</f>
        <v>203179983720.29041</v>
      </c>
      <c r="I67" s="46">
        <f>SUMIF(IT_AZUL_FULL_Stat!$H:$H,Summary_Checking_UL!$D67,IT_AZUL_FULL_Stat!C:C)</f>
        <v>612</v>
      </c>
      <c r="J67" s="46">
        <f>SUMIF(IT_AZUL_FULL_Stat!$H:$H,Summary_Checking_UL!$D67,IT_AZUL_FULL_Stat!E:E)</f>
        <v>68134000000</v>
      </c>
      <c r="K67" s="46">
        <f>SUMIF(IT_AZUL_FULL_Stat!$H:$H,Summary_Checking_UL!$D67,IT_AZUL_FULL_Stat!D:D)</f>
        <v>34067000000</v>
      </c>
      <c r="L67" s="46">
        <f>SUMIF(IT_AZUL_FULL_Stat!$H:$H,Summary_Checking_UL!$D67,IT_AZUL_FULL_Stat!F:F)</f>
        <v>203179983719.06</v>
      </c>
      <c r="M67" s="7">
        <f t="shared" si="5"/>
        <v>0</v>
      </c>
      <c r="N67" s="7">
        <f t="shared" si="5"/>
        <v>0</v>
      </c>
      <c r="O67" s="7">
        <f t="shared" si="5"/>
        <v>0</v>
      </c>
      <c r="P67" s="7">
        <f t="shared" si="5"/>
        <v>1.23040771484375</v>
      </c>
      <c r="Q67" s="48">
        <f t="shared" si="6"/>
        <v>0</v>
      </c>
      <c r="R67" s="48">
        <f t="shared" si="6"/>
        <v>0</v>
      </c>
      <c r="S67" s="48">
        <f t="shared" si="6"/>
        <v>0</v>
      </c>
      <c r="T67" s="48">
        <f t="shared" si="6"/>
        <v>6.0557526008322408E-12</v>
      </c>
      <c r="W67" s="46" t="str">
        <f t="shared" si="4"/>
        <v>IDR</v>
      </c>
    </row>
    <row r="68" spans="1:23">
      <c r="A68" s="58" t="e">
        <f>_xlfn.XLOOKUP(B68,[10]Sheet1!$D:$D,[10]Sheet1!$E:$E)</f>
        <v>#N/A</v>
      </c>
      <c r="B68" t="str">
        <f t="shared" si="1"/>
        <v>ULGUOP</v>
      </c>
      <c r="C68" t="str">
        <f>VLOOKUP(D68,DV_AZUL_Stat!H:I,2,FALSE)</f>
        <v>ULGUOP_USD</v>
      </c>
      <c r="D68" s="59" t="s">
        <v>1977</v>
      </c>
      <c r="E68" s="1">
        <f>SUMIF(DV_AZUL_Stat!H:H,Summary_Checking_UL!$D68,DV_AZUL_Stat!C:C)</f>
        <v>41</v>
      </c>
      <c r="F68" s="1">
        <f>SUMIF(DV_AZUL_Stat!H:H,Summary_Checking_UL!$D68,DV_AZUL_Stat!E:E)</f>
        <v>1480000</v>
      </c>
      <c r="G68" s="1">
        <f>SUMIF(DV_AZUL_Stat!H:H,Summary_Checking_UL!$D68,DV_AZUL_Stat!D:D)</f>
        <v>740000</v>
      </c>
      <c r="H68" s="1">
        <f>SUMIF(DV_AZUL_Stat!H:H,Summary_Checking_UL!$D68,DV_AZUL_Stat!F:F)</f>
        <v>1757853.03694836</v>
      </c>
      <c r="I68" s="46">
        <f>SUMIF(IT_AZUL_FULL_Stat!$H:$H,Summary_Checking_UL!$D68,IT_AZUL_FULL_Stat!C:C)</f>
        <v>41</v>
      </c>
      <c r="J68" s="46">
        <f>SUMIF(IT_AZUL_FULL_Stat!$H:$H,Summary_Checking_UL!$D68,IT_AZUL_FULL_Stat!E:E)</f>
        <v>1480000</v>
      </c>
      <c r="K68" s="46">
        <f>SUMIF(IT_AZUL_FULL_Stat!$H:$H,Summary_Checking_UL!$D68,IT_AZUL_FULL_Stat!D:D)</f>
        <v>740000</v>
      </c>
      <c r="L68" s="46">
        <f>SUMIF(IT_AZUL_FULL_Stat!$H:$H,Summary_Checking_UL!$D68,IT_AZUL_FULL_Stat!F:F)</f>
        <v>1757851.9082122999</v>
      </c>
      <c r="M68" s="7">
        <f t="shared" si="5"/>
        <v>0</v>
      </c>
      <c r="N68" s="7">
        <f t="shared" si="5"/>
        <v>0</v>
      </c>
      <c r="O68" s="7">
        <f t="shared" si="5"/>
        <v>0</v>
      </c>
      <c r="P68" s="7">
        <f t="shared" si="5"/>
        <v>1.1287360601127148</v>
      </c>
      <c r="Q68" s="48">
        <f t="shared" si="6"/>
        <v>0</v>
      </c>
      <c r="R68" s="48">
        <f t="shared" si="6"/>
        <v>0</v>
      </c>
      <c r="S68" s="48">
        <f t="shared" si="6"/>
        <v>0</v>
      </c>
      <c r="T68" s="48">
        <f t="shared" si="6"/>
        <v>6.421110076676577E-7</v>
      </c>
      <c r="W68" s="46" t="str">
        <f t="shared" si="4"/>
        <v>USD</v>
      </c>
    </row>
    <row r="69" spans="1:23">
      <c r="A69" s="58" t="str">
        <f>_xlfn.XLOOKUP(B69,[10]Sheet1!$D:$D,[10]Sheet1!$E:$E)</f>
        <v>Guardia Premium</v>
      </c>
      <c r="B69" t="str">
        <f t="shared" si="1"/>
        <v>ULGUP_</v>
      </c>
      <c r="C69" t="str">
        <f>VLOOKUP(D69,DV_AZUL_Stat!H:I,2,FALSE)</f>
        <v>ULGUP__IDR</v>
      </c>
      <c r="D69" s="59" t="s">
        <v>1978</v>
      </c>
      <c r="E69" s="1">
        <f>SUMIF(DV_AZUL_Stat!H:H,Summary_Checking_UL!$D69,DV_AZUL_Stat!C:C)</f>
        <v>2920</v>
      </c>
      <c r="F69" s="1">
        <f>SUMIF(DV_AZUL_Stat!H:H,Summary_Checking_UL!$D69,DV_AZUL_Stat!E:E)</f>
        <v>2050262250000</v>
      </c>
      <c r="G69" s="1">
        <f>SUMIF(DV_AZUL_Stat!H:H,Summary_Checking_UL!$D69,DV_AZUL_Stat!D:D)</f>
        <v>121149862068</v>
      </c>
      <c r="H69" s="1">
        <f>SUMIF(DV_AZUL_Stat!H:H,Summary_Checking_UL!$D69,DV_AZUL_Stat!F:F)</f>
        <v>317760367349.74622</v>
      </c>
      <c r="I69" s="46">
        <f>SUMIF(IT_AZUL_FULL_Stat!$H:$H,Summary_Checking_UL!$D69,IT_AZUL_FULL_Stat!C:C)</f>
        <v>2920</v>
      </c>
      <c r="J69" s="46">
        <f>SUMIF(IT_AZUL_FULL_Stat!$H:$H,Summary_Checking_UL!$D69,IT_AZUL_FULL_Stat!E:E)</f>
        <v>2050262250000</v>
      </c>
      <c r="K69" s="46">
        <f>SUMIF(IT_AZUL_FULL_Stat!$H:$H,Summary_Checking_UL!$D69,IT_AZUL_FULL_Stat!D:D)</f>
        <v>121149862068</v>
      </c>
      <c r="L69" s="46">
        <f>SUMIF(IT_AZUL_FULL_Stat!$H:$H,Summary_Checking_UL!$D69,IT_AZUL_FULL_Stat!F:F)</f>
        <v>317760367353.19397</v>
      </c>
      <c r="M69" s="7">
        <f t="shared" si="5"/>
        <v>0</v>
      </c>
      <c r="N69" s="7">
        <f t="shared" si="5"/>
        <v>0</v>
      </c>
      <c r="O69" s="7">
        <f t="shared" si="5"/>
        <v>0</v>
      </c>
      <c r="P69" s="7">
        <f t="shared" si="5"/>
        <v>-3.44775390625</v>
      </c>
      <c r="Q69" s="48">
        <f t="shared" si="6"/>
        <v>0</v>
      </c>
      <c r="R69" s="48">
        <f t="shared" si="6"/>
        <v>0</v>
      </c>
      <c r="S69" s="48">
        <f t="shared" si="6"/>
        <v>0</v>
      </c>
      <c r="T69" s="48">
        <f t="shared" si="6"/>
        <v>-1.0850169689090854E-11</v>
      </c>
      <c r="W69" s="46" t="str">
        <f t="shared" si="4"/>
        <v>IDR</v>
      </c>
    </row>
    <row r="70" spans="1:23">
      <c r="A70" s="58" t="str">
        <f>_xlfn.XLOOKUP(B70,[10]Sheet1!$D:$D,[10]Sheet1!$E:$E)</f>
        <v>Guardia Prima</v>
      </c>
      <c r="B70" t="str">
        <f t="shared" si="1"/>
        <v>ULGUPM</v>
      </c>
      <c r="C70" t="str">
        <f>VLOOKUP(D70,DV_AZUL_Stat!H:I,2,FALSE)</f>
        <v>ULGUPM_IDR</v>
      </c>
      <c r="D70" s="59" t="s">
        <v>1979</v>
      </c>
      <c r="E70" s="1">
        <f>SUMIF(DV_AZUL_Stat!H:H,Summary_Checking_UL!$D70,DV_AZUL_Stat!C:C)</f>
        <v>635</v>
      </c>
      <c r="F70" s="1">
        <f>SUMIF(DV_AZUL_Stat!H:H,Summary_Checking_UL!$D70,DV_AZUL_Stat!E:E)</f>
        <v>359910500000</v>
      </c>
      <c r="G70" s="1">
        <f>SUMIF(DV_AZUL_Stat!H:H,Summary_Checking_UL!$D70,DV_AZUL_Stat!D:D)</f>
        <v>38003700012</v>
      </c>
      <c r="H70" s="1">
        <f>SUMIF(DV_AZUL_Stat!H:H,Summary_Checking_UL!$D70,DV_AZUL_Stat!F:F)</f>
        <v>79629965396.30603</v>
      </c>
      <c r="I70" s="46">
        <f>SUMIF(IT_AZUL_FULL_Stat!$H:$H,Summary_Checking_UL!$D70,IT_AZUL_FULL_Stat!C:C)</f>
        <v>635</v>
      </c>
      <c r="J70" s="46">
        <f>SUMIF(IT_AZUL_FULL_Stat!$H:$H,Summary_Checking_UL!$D70,IT_AZUL_FULL_Stat!E:E)</f>
        <v>359910500000</v>
      </c>
      <c r="K70" s="46">
        <f>SUMIF(IT_AZUL_FULL_Stat!$H:$H,Summary_Checking_UL!$D70,IT_AZUL_FULL_Stat!D:D)</f>
        <v>38003700012</v>
      </c>
      <c r="L70" s="46">
        <f>SUMIF(IT_AZUL_FULL_Stat!$H:$H,Summary_Checking_UL!$D70,IT_AZUL_FULL_Stat!F:F)</f>
        <v>79629965391.879501</v>
      </c>
      <c r="M70" s="7">
        <f t="shared" si="5"/>
        <v>0</v>
      </c>
      <c r="N70" s="7">
        <f t="shared" si="5"/>
        <v>0</v>
      </c>
      <c r="O70" s="7">
        <f t="shared" si="5"/>
        <v>0</v>
      </c>
      <c r="P70" s="7">
        <f t="shared" si="5"/>
        <v>4.4265289306640625</v>
      </c>
      <c r="Q70" s="48">
        <f t="shared" si="6"/>
        <v>0</v>
      </c>
      <c r="R70" s="48">
        <f t="shared" si="6"/>
        <v>0</v>
      </c>
      <c r="S70" s="48">
        <f t="shared" si="6"/>
        <v>0</v>
      </c>
      <c r="T70" s="48">
        <f t="shared" si="6"/>
        <v>5.558873357384971E-11</v>
      </c>
      <c r="W70" s="46" t="str">
        <f t="shared" si="4"/>
        <v>IDR</v>
      </c>
    </row>
    <row r="71" spans="1:23">
      <c r="A71" s="58" t="str">
        <f>_xlfn.XLOOKUP(B71,[10]Sheet1!$D:$D,[10]Sheet1!$E:$E)</f>
        <v>Guardia Prima</v>
      </c>
      <c r="B71" t="str">
        <f t="shared" si="1"/>
        <v>ULGUPM</v>
      </c>
      <c r="C71" t="str">
        <f>VLOOKUP(D71,DV_AZUL_Stat!H:I,2,FALSE)</f>
        <v>ULGUPM_USD</v>
      </c>
      <c r="D71" s="59" t="s">
        <v>1980</v>
      </c>
      <c r="E71" s="1">
        <f>SUMIF(DV_AZUL_Stat!H:H,Summary_Checking_UL!$D71,DV_AZUL_Stat!C:C)</f>
        <v>58</v>
      </c>
      <c r="F71" s="1">
        <f>SUMIF(DV_AZUL_Stat!H:H,Summary_Checking_UL!$D71,DV_AZUL_Stat!E:E)</f>
        <v>3192000</v>
      </c>
      <c r="G71" s="1">
        <f>SUMIF(DV_AZUL_Stat!H:H,Summary_Checking_UL!$D71,DV_AZUL_Stat!D:D)</f>
        <v>404000</v>
      </c>
      <c r="H71" s="1">
        <f>SUMIF(DV_AZUL_Stat!H:H,Summary_Checking_UL!$D71,DV_AZUL_Stat!F:F)</f>
        <v>872575.08754512004</v>
      </c>
      <c r="I71" s="46">
        <f>SUMIF(IT_AZUL_FULL_Stat!$H:$H,Summary_Checking_UL!$D71,IT_AZUL_FULL_Stat!C:C)</f>
        <v>58</v>
      </c>
      <c r="J71" s="46">
        <f>SUMIF(IT_AZUL_FULL_Stat!$H:$H,Summary_Checking_UL!$D71,IT_AZUL_FULL_Stat!E:E)</f>
        <v>3192000</v>
      </c>
      <c r="K71" s="46">
        <f>SUMIF(IT_AZUL_FULL_Stat!$H:$H,Summary_Checking_UL!$D71,IT_AZUL_FULL_Stat!D:D)</f>
        <v>404000</v>
      </c>
      <c r="L71" s="46">
        <f>SUMIF(IT_AZUL_FULL_Stat!$H:$H,Summary_Checking_UL!$D71,IT_AZUL_FULL_Stat!F:F)</f>
        <v>872572.89961570001</v>
      </c>
      <c r="M71" s="7">
        <f t="shared" si="5"/>
        <v>0</v>
      </c>
      <c r="N71" s="7">
        <f t="shared" si="5"/>
        <v>0</v>
      </c>
      <c r="O71" s="7">
        <f t="shared" si="5"/>
        <v>0</v>
      </c>
      <c r="P71" s="7">
        <f t="shared" si="5"/>
        <v>2.1879294200334698</v>
      </c>
      <c r="Q71" s="48">
        <f t="shared" si="6"/>
        <v>0</v>
      </c>
      <c r="R71" s="48">
        <f t="shared" si="6"/>
        <v>0</v>
      </c>
      <c r="S71" s="48">
        <f t="shared" si="6"/>
        <v>0</v>
      </c>
      <c r="T71" s="48">
        <f t="shared" si="6"/>
        <v>2.507445992188253E-6</v>
      </c>
      <c r="W71" s="46" t="str">
        <f t="shared" si="4"/>
        <v>USD</v>
      </c>
    </row>
    <row r="72" spans="1:23">
      <c r="A72" s="58" t="str">
        <f>_xlfn.XLOOKUP(B72,[10]Sheet1!$D:$D,[10]Sheet1!$E:$E)</f>
        <v>Guardia Signature</v>
      </c>
      <c r="B72" t="str">
        <f t="shared" si="1"/>
        <v>ULGUSI</v>
      </c>
      <c r="C72" t="str">
        <f>VLOOKUP(D72,DV_AZUL_Stat!H:I,2,FALSE)</f>
        <v>ULGUSI_IDR</v>
      </c>
      <c r="D72" s="59" t="s">
        <v>1981</v>
      </c>
      <c r="E72" s="1">
        <f>SUMIF(DV_AZUL_Stat!H:H,Summary_Checking_UL!$D72,DV_AZUL_Stat!C:C)</f>
        <v>173</v>
      </c>
      <c r="F72" s="1">
        <f>SUMIF(DV_AZUL_Stat!H:H,Summary_Checking_UL!$D72,DV_AZUL_Stat!E:E)</f>
        <v>1067293211378</v>
      </c>
      <c r="G72" s="1">
        <f>SUMIF(DV_AZUL_Stat!H:H,Summary_Checking_UL!$D72,DV_AZUL_Stat!D:D)</f>
        <v>29249999996</v>
      </c>
      <c r="H72" s="1">
        <f>SUMIF(DV_AZUL_Stat!H:H,Summary_Checking_UL!$D72,DV_AZUL_Stat!F:F)</f>
        <v>85611355535.155441</v>
      </c>
      <c r="I72" s="46">
        <f>SUMIF(IT_AZUL_FULL_Stat!$H:$H,Summary_Checking_UL!$D72,IT_AZUL_FULL_Stat!C:C)</f>
        <v>173</v>
      </c>
      <c r="J72" s="46">
        <f>SUMIF(IT_AZUL_FULL_Stat!$H:$H,Summary_Checking_UL!$D72,IT_AZUL_FULL_Stat!E:E)</f>
        <v>1067293211378</v>
      </c>
      <c r="K72" s="46">
        <f>SUMIF(IT_AZUL_FULL_Stat!$H:$H,Summary_Checking_UL!$D72,IT_AZUL_FULL_Stat!D:D)</f>
        <v>29249999996</v>
      </c>
      <c r="L72" s="46">
        <f>SUMIF(IT_AZUL_FULL_Stat!$H:$H,Summary_Checking_UL!$D72,IT_AZUL_FULL_Stat!F:F)</f>
        <v>85611355539.874802</v>
      </c>
      <c r="M72" s="7">
        <f t="shared" si="5"/>
        <v>0</v>
      </c>
      <c r="N72" s="7">
        <f t="shared" si="5"/>
        <v>0</v>
      </c>
      <c r="O72" s="7">
        <f t="shared" si="5"/>
        <v>0</v>
      </c>
      <c r="P72" s="7">
        <f t="shared" si="5"/>
        <v>-4.7193603515625</v>
      </c>
      <c r="Q72" s="48">
        <f t="shared" si="6"/>
        <v>0</v>
      </c>
      <c r="R72" s="48">
        <f t="shared" si="6"/>
        <v>0</v>
      </c>
      <c r="S72" s="48">
        <f t="shared" si="6"/>
        <v>0</v>
      </c>
      <c r="T72" s="48">
        <f t="shared" si="6"/>
        <v>-5.512540155218528E-11</v>
      </c>
      <c r="W72" s="46" t="str">
        <f t="shared" si="4"/>
        <v>IDR</v>
      </c>
    </row>
    <row r="73" spans="1:23">
      <c r="A73" s="58" t="str">
        <f>_xlfn.XLOOKUP(B73,[10]Sheet1!$D:$D,[10]Sheet1!$E:$E)</f>
        <v>Guardia Signature</v>
      </c>
      <c r="B73" t="str">
        <f t="shared" si="1"/>
        <v>ULGUSI</v>
      </c>
      <c r="C73" t="str">
        <f>VLOOKUP(D73,DV_AZUL_Stat!H:I,2,FALSE)</f>
        <v>ULGUSI_USD</v>
      </c>
      <c r="D73" s="59" t="s">
        <v>1982</v>
      </c>
      <c r="E73" s="1">
        <f>SUMIF(DV_AZUL_Stat!H:H,Summary_Checking_UL!$D73,DV_AZUL_Stat!C:C)</f>
        <v>85</v>
      </c>
      <c r="F73" s="1">
        <f>SUMIF(DV_AZUL_Stat!H:H,Summary_Checking_UL!$D73,DV_AZUL_Stat!E:E)</f>
        <v>34803060</v>
      </c>
      <c r="G73" s="1">
        <f>SUMIF(DV_AZUL_Stat!H:H,Summary_Checking_UL!$D73,DV_AZUL_Stat!D:D)</f>
        <v>1222000</v>
      </c>
      <c r="H73" s="1">
        <f>SUMIF(DV_AZUL_Stat!H:H,Summary_Checking_UL!$D73,DV_AZUL_Stat!F:F)</f>
        <v>3876869.3689288399</v>
      </c>
      <c r="I73" s="46">
        <f>SUMIF(IT_AZUL_FULL_Stat!$H:$H,Summary_Checking_UL!$D73,IT_AZUL_FULL_Stat!C:C)</f>
        <v>85</v>
      </c>
      <c r="J73" s="46">
        <f>SUMIF(IT_AZUL_FULL_Stat!$H:$H,Summary_Checking_UL!$D73,IT_AZUL_FULL_Stat!E:E)</f>
        <v>34803060</v>
      </c>
      <c r="K73" s="46">
        <f>SUMIF(IT_AZUL_FULL_Stat!$H:$H,Summary_Checking_UL!$D73,IT_AZUL_FULL_Stat!D:D)</f>
        <v>1222000</v>
      </c>
      <c r="L73" s="46">
        <f>SUMIF(IT_AZUL_FULL_Stat!$H:$H,Summary_Checking_UL!$D73,IT_AZUL_FULL_Stat!F:F)</f>
        <v>3876878.9220510102</v>
      </c>
      <c r="M73" s="7">
        <f t="shared" si="5"/>
        <v>0</v>
      </c>
      <c r="N73" s="7">
        <f t="shared" si="5"/>
        <v>0</v>
      </c>
      <c r="O73" s="7">
        <f t="shared" si="5"/>
        <v>0</v>
      </c>
      <c r="P73" s="7">
        <f t="shared" si="5"/>
        <v>-9.5531221702694893</v>
      </c>
      <c r="Q73" s="48">
        <f t="shared" si="6"/>
        <v>0</v>
      </c>
      <c r="R73" s="48">
        <f t="shared" si="6"/>
        <v>0</v>
      </c>
      <c r="S73" s="48">
        <f t="shared" si="6"/>
        <v>0</v>
      </c>
      <c r="T73" s="48">
        <f t="shared" si="6"/>
        <v>-2.4641270368112344E-6</v>
      </c>
      <c r="W73" s="46" t="str">
        <f t="shared" si="4"/>
        <v>USD</v>
      </c>
    </row>
    <row r="74" spans="1:23">
      <c r="A74" s="58" t="e">
        <f>_xlfn.XLOOKUP(B74,[10]Sheet1!$D:$D,[10]Sheet1!$E:$E)</f>
        <v>#N/A</v>
      </c>
      <c r="B74" t="str">
        <f t="shared" si="1"/>
        <v>ULGUTI</v>
      </c>
      <c r="C74" t="str">
        <f>VLOOKUP(D74,DV_AZUL_Stat!H:I,2,FALSE)</f>
        <v>ULGUTI_IDR</v>
      </c>
      <c r="D74" s="59" t="s">
        <v>1983</v>
      </c>
      <c r="E74" s="1">
        <f>SUMIF(DV_AZUL_Stat!H:H,Summary_Checking_UL!$D74,DV_AZUL_Stat!C:C)</f>
        <v>40</v>
      </c>
      <c r="F74" s="1">
        <f>SUMIF(DV_AZUL_Stat!H:H,Summary_Checking_UL!$D74,DV_AZUL_Stat!E:E)</f>
        <v>227010000000</v>
      </c>
      <c r="G74" s="1">
        <f>SUMIF(DV_AZUL_Stat!H:H,Summary_Checking_UL!$D74,DV_AZUL_Stat!D:D)</f>
        <v>6833000000</v>
      </c>
      <c r="H74" s="1">
        <f>SUMIF(DV_AZUL_Stat!H:H,Summary_Checking_UL!$D74,DV_AZUL_Stat!F:F)</f>
        <v>19096087724.97987</v>
      </c>
      <c r="I74" s="46">
        <f>SUMIF(IT_AZUL_FULL_Stat!$H:$H,Summary_Checking_UL!$D74,IT_AZUL_FULL_Stat!C:C)</f>
        <v>40</v>
      </c>
      <c r="J74" s="46">
        <f>SUMIF(IT_AZUL_FULL_Stat!$H:$H,Summary_Checking_UL!$D74,IT_AZUL_FULL_Stat!E:E)</f>
        <v>227010000000</v>
      </c>
      <c r="K74" s="46">
        <f>SUMIF(IT_AZUL_FULL_Stat!$H:$H,Summary_Checking_UL!$D74,IT_AZUL_FULL_Stat!D:D)</f>
        <v>6833000000</v>
      </c>
      <c r="L74" s="46">
        <f>SUMIF(IT_AZUL_FULL_Stat!$H:$H,Summary_Checking_UL!$D74,IT_AZUL_FULL_Stat!F:F)</f>
        <v>19096087727.3088</v>
      </c>
      <c r="M74" s="7">
        <f t="shared" si="5"/>
        <v>0</v>
      </c>
      <c r="N74" s="7">
        <f t="shared" si="5"/>
        <v>0</v>
      </c>
      <c r="O74" s="7">
        <f t="shared" si="5"/>
        <v>0</v>
      </c>
      <c r="P74" s="7">
        <f t="shared" si="5"/>
        <v>-2.3289299011230469</v>
      </c>
      <c r="Q74" s="48">
        <f t="shared" si="6"/>
        <v>0</v>
      </c>
      <c r="R74" s="48">
        <f t="shared" si="6"/>
        <v>0</v>
      </c>
      <c r="S74" s="48">
        <f t="shared" si="6"/>
        <v>0</v>
      </c>
      <c r="T74" s="48">
        <f t="shared" si="6"/>
        <v>-1.2195848355852005E-10</v>
      </c>
      <c r="W74" s="46" t="str">
        <f t="shared" si="4"/>
        <v>IDR</v>
      </c>
    </row>
    <row r="75" spans="1:23">
      <c r="A75" s="58" t="e">
        <f>_xlfn.XLOOKUP(B75,[10]Sheet1!$D:$D,[10]Sheet1!$E:$E)</f>
        <v>#N/A</v>
      </c>
      <c r="B75" t="str">
        <f t="shared" ref="B75:B138" si="7">LEFT(C75,6)</f>
        <v>ULGUTI</v>
      </c>
      <c r="C75" t="str">
        <f>VLOOKUP(D75,DV_AZUL_Stat!H:I,2,FALSE)</f>
        <v>ULGUTI_USD</v>
      </c>
      <c r="D75" s="59" t="s">
        <v>1984</v>
      </c>
      <c r="E75" s="1">
        <f>SUMIF(DV_AZUL_Stat!H:H,Summary_Checking_UL!$D75,DV_AZUL_Stat!C:C)</f>
        <v>7</v>
      </c>
      <c r="F75" s="1">
        <f>SUMIF(DV_AZUL_Stat!H:H,Summary_Checking_UL!$D75,DV_AZUL_Stat!E:E)</f>
        <v>2840000</v>
      </c>
      <c r="G75" s="1">
        <f>SUMIF(DV_AZUL_Stat!H:H,Summary_Checking_UL!$D75,DV_AZUL_Stat!D:D)</f>
        <v>88000</v>
      </c>
      <c r="H75" s="1">
        <f>SUMIF(DV_AZUL_Stat!H:H,Summary_Checking_UL!$D75,DV_AZUL_Stat!F:F)</f>
        <v>76797</v>
      </c>
      <c r="I75" s="46">
        <f>SUMIF(IT_AZUL_FULL_Stat!$H:$H,Summary_Checking_UL!$D75,IT_AZUL_FULL_Stat!C:C)</f>
        <v>7</v>
      </c>
      <c r="J75" s="46">
        <f>SUMIF(IT_AZUL_FULL_Stat!$H:$H,Summary_Checking_UL!$D75,IT_AZUL_FULL_Stat!E:E)</f>
        <v>2840000</v>
      </c>
      <c r="K75" s="46">
        <f>SUMIF(IT_AZUL_FULL_Stat!$H:$H,Summary_Checking_UL!$D75,IT_AZUL_FULL_Stat!D:D)</f>
        <v>88000</v>
      </c>
      <c r="L75" s="46">
        <f>SUMIF(IT_AZUL_FULL_Stat!$H:$H,Summary_Checking_UL!$D75,IT_AZUL_FULL_Stat!F:F)</f>
        <v>76795.866294830004</v>
      </c>
      <c r="M75" s="7">
        <f t="shared" si="5"/>
        <v>0</v>
      </c>
      <c r="N75" s="7">
        <f t="shared" si="5"/>
        <v>0</v>
      </c>
      <c r="O75" s="7">
        <f t="shared" si="5"/>
        <v>0</v>
      </c>
      <c r="P75" s="7">
        <f t="shared" si="5"/>
        <v>1.1337051699956646</v>
      </c>
      <c r="Q75" s="48">
        <f t="shared" si="6"/>
        <v>0</v>
      </c>
      <c r="R75" s="48">
        <f t="shared" si="6"/>
        <v>0</v>
      </c>
      <c r="S75" s="48">
        <f t="shared" si="6"/>
        <v>0</v>
      </c>
      <c r="T75" s="48">
        <f t="shared" si="6"/>
        <v>1.4762580653016048E-5</v>
      </c>
      <c r="W75" s="46" t="str">
        <f t="shared" si="4"/>
        <v>USD</v>
      </c>
    </row>
    <row r="76" spans="1:23">
      <c r="A76" s="58" t="str">
        <f>_xlfn.XLOOKUP(B76,[10]Sheet1!$D:$D,[10]Sheet1!$E:$E)</f>
        <v>Guardia Wealthlink</v>
      </c>
      <c r="B76" t="str">
        <f t="shared" si="7"/>
        <v>ULGW__</v>
      </c>
      <c r="C76" t="str">
        <f>VLOOKUP(D76,DV_AZUL_Stat!H:I,2,FALSE)</f>
        <v>ULGW___IDR</v>
      </c>
      <c r="D76" s="59" t="s">
        <v>1985</v>
      </c>
      <c r="E76" s="1">
        <f>SUMIF(DV_AZUL_Stat!H:H,Summary_Checking_UL!$D76,DV_AZUL_Stat!C:C)</f>
        <v>913</v>
      </c>
      <c r="F76" s="1">
        <f>SUMIF(DV_AZUL_Stat!H:H,Summary_Checking_UL!$D76,DV_AZUL_Stat!E:E)</f>
        <v>70615500000</v>
      </c>
      <c r="G76" s="1">
        <f>SUMIF(DV_AZUL_Stat!H:H,Summary_Checking_UL!$D76,DV_AZUL_Stat!D:D)</f>
        <v>47278666667</v>
      </c>
      <c r="H76" s="1">
        <f>SUMIF(DV_AZUL_Stat!H:H,Summary_Checking_UL!$D76,DV_AZUL_Stat!F:F)</f>
        <v>322129993794.80768</v>
      </c>
      <c r="I76" s="46">
        <f>SUMIF(IT_AZUL_FULL_Stat!$H:$H,Summary_Checking_UL!$D76,IT_AZUL_FULL_Stat!C:C)</f>
        <v>913</v>
      </c>
      <c r="J76" s="46">
        <f>SUMIF(IT_AZUL_FULL_Stat!$H:$H,Summary_Checking_UL!$D76,IT_AZUL_FULL_Stat!E:E)</f>
        <v>70615500000</v>
      </c>
      <c r="K76" s="46">
        <f>SUMIF(IT_AZUL_FULL_Stat!$H:$H,Summary_Checking_UL!$D76,IT_AZUL_FULL_Stat!D:D)</f>
        <v>47278666667</v>
      </c>
      <c r="L76" s="46">
        <f>SUMIF(IT_AZUL_FULL_Stat!$H:$H,Summary_Checking_UL!$D76,IT_AZUL_FULL_Stat!F:F)</f>
        <v>322129993797.91498</v>
      </c>
      <c r="M76" s="7">
        <f t="shared" si="5"/>
        <v>0</v>
      </c>
      <c r="N76" s="7">
        <f t="shared" si="5"/>
        <v>0</v>
      </c>
      <c r="O76" s="7">
        <f t="shared" si="5"/>
        <v>0</v>
      </c>
      <c r="P76" s="7">
        <f t="shared" si="5"/>
        <v>-3.1072998046875</v>
      </c>
      <c r="Q76" s="48">
        <f t="shared" si="6"/>
        <v>0</v>
      </c>
      <c r="R76" s="48">
        <f t="shared" si="6"/>
        <v>0</v>
      </c>
      <c r="S76" s="48">
        <f t="shared" si="6"/>
        <v>0</v>
      </c>
      <c r="T76" s="48">
        <f t="shared" si="6"/>
        <v>-9.6461051889406898E-12</v>
      </c>
      <c r="W76" s="46" t="str">
        <f t="shared" ref="W76:W139" si="8">RIGHT(D76,3)</f>
        <v>IDR</v>
      </c>
    </row>
    <row r="77" spans="1:23">
      <c r="A77" s="58" t="str">
        <f>_xlfn.XLOOKUP(B77,[10]Sheet1!$D:$D,[10]Sheet1!$E:$E)</f>
        <v>Guardia Wealthlink</v>
      </c>
      <c r="B77" t="str">
        <f t="shared" si="7"/>
        <v>ULGW__</v>
      </c>
      <c r="C77" t="str">
        <f>VLOOKUP(D77,DV_AZUL_Stat!H:I,2,FALSE)</f>
        <v>ULGW___USD</v>
      </c>
      <c r="D77" s="59" t="s">
        <v>1986</v>
      </c>
      <c r="E77" s="1">
        <f>SUMIF(DV_AZUL_Stat!H:H,Summary_Checking_UL!$D77,DV_AZUL_Stat!C:C)</f>
        <v>275</v>
      </c>
      <c r="F77" s="1">
        <f>SUMIF(DV_AZUL_Stat!H:H,Summary_Checking_UL!$D77,DV_AZUL_Stat!E:E)</f>
        <v>2825750</v>
      </c>
      <c r="G77" s="1">
        <f>SUMIF(DV_AZUL_Stat!H:H,Summary_Checking_UL!$D77,DV_AZUL_Stat!D:D)</f>
        <v>1909000</v>
      </c>
      <c r="H77" s="1">
        <f>SUMIF(DV_AZUL_Stat!H:H,Summary_Checking_UL!$D77,DV_AZUL_Stat!F:F)</f>
        <v>5055292.0430794396</v>
      </c>
      <c r="I77" s="46">
        <f>SUMIF(IT_AZUL_FULL_Stat!$H:$H,Summary_Checking_UL!$D77,IT_AZUL_FULL_Stat!C:C)</f>
        <v>275</v>
      </c>
      <c r="J77" s="46">
        <f>SUMIF(IT_AZUL_FULL_Stat!$H:$H,Summary_Checking_UL!$D77,IT_AZUL_FULL_Stat!E:E)</f>
        <v>2825750</v>
      </c>
      <c r="K77" s="46">
        <f>SUMIF(IT_AZUL_FULL_Stat!$H:$H,Summary_Checking_UL!$D77,IT_AZUL_FULL_Stat!D:D)</f>
        <v>1909000</v>
      </c>
      <c r="L77" s="46">
        <f>SUMIF(IT_AZUL_FULL_Stat!$H:$H,Summary_Checking_UL!$D77,IT_AZUL_FULL_Stat!F:F)</f>
        <v>5055284.7945347596</v>
      </c>
      <c r="M77" s="7">
        <f t="shared" si="5"/>
        <v>0</v>
      </c>
      <c r="N77" s="7">
        <f t="shared" si="5"/>
        <v>0</v>
      </c>
      <c r="O77" s="7">
        <f t="shared" si="5"/>
        <v>0</v>
      </c>
      <c r="P77" s="7">
        <f t="shared" si="5"/>
        <v>7.248544679954648</v>
      </c>
      <c r="Q77" s="48">
        <f t="shared" si="6"/>
        <v>0</v>
      </c>
      <c r="R77" s="48">
        <f t="shared" si="6"/>
        <v>0</v>
      </c>
      <c r="S77" s="48">
        <f t="shared" si="6"/>
        <v>0</v>
      </c>
      <c r="T77" s="48">
        <f t="shared" si="6"/>
        <v>1.4338548617065074E-6</v>
      </c>
      <c r="W77" s="46" t="str">
        <f t="shared" si="8"/>
        <v>USD</v>
      </c>
    </row>
    <row r="78" spans="1:23">
      <c r="A78" s="58" t="str">
        <f>_xlfn.XLOOKUP(B78,[10]Sheet1!$D:$D,[10]Sheet1!$E:$E)</f>
        <v>Protect Invest Plus</v>
      </c>
      <c r="B78" t="str">
        <f t="shared" si="7"/>
        <v>ULHPIP</v>
      </c>
      <c r="C78" t="str">
        <f>VLOOKUP(D78,DV_AZUL_Stat!H:I,2,FALSE)</f>
        <v>ULHPIP_IDR</v>
      </c>
      <c r="D78" s="59" t="s">
        <v>1987</v>
      </c>
      <c r="E78" s="1">
        <f>SUMIF(DV_AZUL_Stat!H:H,Summary_Checking_UL!$D78,DV_AZUL_Stat!C:C)</f>
        <v>1171</v>
      </c>
      <c r="F78" s="1">
        <f>SUMIF(DV_AZUL_Stat!H:H,Summary_Checking_UL!$D78,DV_AZUL_Stat!E:E)</f>
        <v>1036951666666</v>
      </c>
      <c r="G78" s="1">
        <f>SUMIF(DV_AZUL_Stat!H:H,Summary_Checking_UL!$D78,DV_AZUL_Stat!D:D)</f>
        <v>90208186690</v>
      </c>
      <c r="H78" s="1">
        <f>SUMIF(DV_AZUL_Stat!H:H,Summary_Checking_UL!$D78,DV_AZUL_Stat!F:F)</f>
        <v>164346074449.96765</v>
      </c>
      <c r="I78" s="46">
        <f>SUMIF(IT_AZUL_FULL_Stat!$H:$H,Summary_Checking_UL!$D78,IT_AZUL_FULL_Stat!C:C)</f>
        <v>1171</v>
      </c>
      <c r="J78" s="46">
        <f>SUMIF(IT_AZUL_FULL_Stat!$H:$H,Summary_Checking_UL!$D78,IT_AZUL_FULL_Stat!E:E)</f>
        <v>1036951666666</v>
      </c>
      <c r="K78" s="46">
        <f>SUMIF(IT_AZUL_FULL_Stat!$H:$H,Summary_Checking_UL!$D78,IT_AZUL_FULL_Stat!D:D)</f>
        <v>90208186690</v>
      </c>
      <c r="L78" s="46">
        <f>SUMIF(IT_AZUL_FULL_Stat!$H:$H,Summary_Checking_UL!$D78,IT_AZUL_FULL_Stat!F:F)</f>
        <v>164346074465.20099</v>
      </c>
      <c r="M78" s="7">
        <f t="shared" si="5"/>
        <v>0</v>
      </c>
      <c r="N78" s="7">
        <f t="shared" si="5"/>
        <v>0</v>
      </c>
      <c r="O78" s="7">
        <f t="shared" si="5"/>
        <v>0</v>
      </c>
      <c r="P78" s="7">
        <f t="shared" si="5"/>
        <v>-15.23333740234375</v>
      </c>
      <c r="Q78" s="48">
        <f t="shared" si="6"/>
        <v>0</v>
      </c>
      <c r="R78" s="48">
        <f t="shared" si="6"/>
        <v>0</v>
      </c>
      <c r="S78" s="48">
        <f t="shared" si="6"/>
        <v>0</v>
      </c>
      <c r="T78" s="48">
        <f t="shared" si="6"/>
        <v>-9.2690607012760088E-11</v>
      </c>
      <c r="W78" s="46" t="str">
        <f t="shared" si="8"/>
        <v>IDR</v>
      </c>
    </row>
    <row r="79" spans="1:23">
      <c r="A79" s="58" t="str">
        <f>_xlfn.XLOOKUP(B79,[10]Sheet1!$D:$D,[10]Sheet1!$E:$E)</f>
        <v>Protect Invest Plus</v>
      </c>
      <c r="B79" t="str">
        <f t="shared" si="7"/>
        <v>ULHPIP</v>
      </c>
      <c r="C79" t="str">
        <f>VLOOKUP(D79,DV_AZUL_Stat!H:I,2,FALSE)</f>
        <v>ULHPIP_USD</v>
      </c>
      <c r="D79" s="59" t="s">
        <v>1988</v>
      </c>
      <c r="E79" s="1">
        <f>SUMIF(DV_AZUL_Stat!H:H,Summary_Checking_UL!$D79,DV_AZUL_Stat!C:C)</f>
        <v>789</v>
      </c>
      <c r="F79" s="1">
        <f>SUMIF(DV_AZUL_Stat!H:H,Summary_Checking_UL!$D79,DV_AZUL_Stat!E:E)</f>
        <v>63011540</v>
      </c>
      <c r="G79" s="1">
        <f>SUMIF(DV_AZUL_Stat!H:H,Summary_Checking_UL!$D79,DV_AZUL_Stat!D:D)</f>
        <v>5735172</v>
      </c>
      <c r="H79" s="1">
        <f>SUMIF(DV_AZUL_Stat!H:H,Summary_Checking_UL!$D79,DV_AZUL_Stat!F:F)</f>
        <v>12219606.65024785</v>
      </c>
      <c r="I79" s="46">
        <f>SUMIF(IT_AZUL_FULL_Stat!$H:$H,Summary_Checking_UL!$D79,IT_AZUL_FULL_Stat!C:C)</f>
        <v>789</v>
      </c>
      <c r="J79" s="46">
        <f>SUMIF(IT_AZUL_FULL_Stat!$H:$H,Summary_Checking_UL!$D79,IT_AZUL_FULL_Stat!E:E)</f>
        <v>63011540</v>
      </c>
      <c r="K79" s="46">
        <f>SUMIF(IT_AZUL_FULL_Stat!$H:$H,Summary_Checking_UL!$D79,IT_AZUL_FULL_Stat!D:D)</f>
        <v>5735172</v>
      </c>
      <c r="L79" s="46">
        <f>SUMIF(IT_AZUL_FULL_Stat!$H:$H,Summary_Checking_UL!$D79,IT_AZUL_FULL_Stat!F:F)</f>
        <v>12219614.2256319</v>
      </c>
      <c r="M79" s="7">
        <f t="shared" si="5"/>
        <v>0</v>
      </c>
      <c r="N79" s="7">
        <f t="shared" si="5"/>
        <v>0</v>
      </c>
      <c r="O79" s="7">
        <f t="shared" si="5"/>
        <v>0</v>
      </c>
      <c r="P79" s="7">
        <f t="shared" si="5"/>
        <v>-7.5753840506076813</v>
      </c>
      <c r="Q79" s="48">
        <f t="shared" si="6"/>
        <v>0</v>
      </c>
      <c r="R79" s="48">
        <f t="shared" si="6"/>
        <v>0</v>
      </c>
      <c r="S79" s="48">
        <f t="shared" si="6"/>
        <v>0</v>
      </c>
      <c r="T79" s="48">
        <f t="shared" si="6"/>
        <v>-6.1993643258537018E-7</v>
      </c>
      <c r="W79" s="46" t="str">
        <f t="shared" si="8"/>
        <v>USD</v>
      </c>
    </row>
    <row r="80" spans="1:23">
      <c r="A80" s="58" t="str">
        <f>_xlfn.XLOOKUP(B80,[10]Sheet1!$D:$D,[10]Sheet1!$E:$E)</f>
        <v>Premium Wealth Assurance</v>
      </c>
      <c r="B80" t="str">
        <f t="shared" si="7"/>
        <v>ULHPWA</v>
      </c>
      <c r="C80" t="str">
        <f>VLOOKUP(D80,DV_AZUL_Stat!H:I,2,FALSE)</f>
        <v>ULHPWA_IDR</v>
      </c>
      <c r="D80" s="59" t="s">
        <v>1989</v>
      </c>
      <c r="E80" s="1">
        <f>SUMIF(DV_AZUL_Stat!H:H,Summary_Checking_UL!$D80,DV_AZUL_Stat!C:C)</f>
        <v>608</v>
      </c>
      <c r="F80" s="1">
        <f>SUMIF(DV_AZUL_Stat!H:H,Summary_Checking_UL!$D80,DV_AZUL_Stat!E:E)</f>
        <v>3556325267142</v>
      </c>
      <c r="G80" s="1">
        <f>SUMIF(DV_AZUL_Stat!H:H,Summary_Checking_UL!$D80,DV_AZUL_Stat!D:D)</f>
        <v>104087049244</v>
      </c>
      <c r="H80" s="1">
        <f>SUMIF(DV_AZUL_Stat!H:H,Summary_Checking_UL!$D80,DV_AZUL_Stat!F:F)</f>
        <v>282701385448.18365</v>
      </c>
      <c r="I80" s="46">
        <f>SUMIF(IT_AZUL_FULL_Stat!$H:$H,Summary_Checking_UL!$D80,IT_AZUL_FULL_Stat!C:C)</f>
        <v>608</v>
      </c>
      <c r="J80" s="46">
        <f>SUMIF(IT_AZUL_FULL_Stat!$H:$H,Summary_Checking_UL!$D80,IT_AZUL_FULL_Stat!E:E)</f>
        <v>3556325267142</v>
      </c>
      <c r="K80" s="46">
        <f>SUMIF(IT_AZUL_FULL_Stat!$H:$H,Summary_Checking_UL!$D80,IT_AZUL_FULL_Stat!D:D)</f>
        <v>104087049244</v>
      </c>
      <c r="L80" s="46">
        <f>SUMIF(IT_AZUL_FULL_Stat!$H:$H,Summary_Checking_UL!$D80,IT_AZUL_FULL_Stat!F:F)</f>
        <v>282701385459.46503</v>
      </c>
      <c r="M80" s="7">
        <f t="shared" si="5"/>
        <v>0</v>
      </c>
      <c r="N80" s="7">
        <f t="shared" si="5"/>
        <v>0</v>
      </c>
      <c r="O80" s="7">
        <f t="shared" si="5"/>
        <v>0</v>
      </c>
      <c r="P80" s="7">
        <f t="shared" si="5"/>
        <v>-11.2813720703125</v>
      </c>
      <c r="Q80" s="48">
        <f t="shared" si="6"/>
        <v>0</v>
      </c>
      <c r="R80" s="48">
        <f t="shared" si="6"/>
        <v>0</v>
      </c>
      <c r="S80" s="48">
        <f t="shared" si="6"/>
        <v>0</v>
      </c>
      <c r="T80" s="48">
        <f t="shared" si="6"/>
        <v>-3.9905612956148999E-11</v>
      </c>
      <c r="W80" s="46" t="str">
        <f t="shared" si="8"/>
        <v>IDR</v>
      </c>
    </row>
    <row r="81" spans="1:23">
      <c r="A81" s="58" t="str">
        <f>_xlfn.XLOOKUP(B81,[10]Sheet1!$D:$D,[10]Sheet1!$E:$E)</f>
        <v>Premium Wealth Assurance</v>
      </c>
      <c r="B81" t="str">
        <f t="shared" si="7"/>
        <v>ULHPWA</v>
      </c>
      <c r="C81" t="str">
        <f>VLOOKUP(D81,DV_AZUL_Stat!H:I,2,FALSE)</f>
        <v>ULHPWA_USD</v>
      </c>
      <c r="D81" s="59" t="s">
        <v>1990</v>
      </c>
      <c r="E81" s="1">
        <f>SUMIF(DV_AZUL_Stat!H:H,Summary_Checking_UL!$D81,DV_AZUL_Stat!C:C)</f>
        <v>536</v>
      </c>
      <c r="F81" s="1">
        <f>SUMIF(DV_AZUL_Stat!H:H,Summary_Checking_UL!$D81,DV_AZUL_Stat!E:E)</f>
        <v>246986915.48800001</v>
      </c>
      <c r="G81" s="1">
        <f>SUMIF(DV_AZUL_Stat!H:H,Summary_Checking_UL!$D81,DV_AZUL_Stat!D:D)</f>
        <v>8677480</v>
      </c>
      <c r="H81" s="1">
        <f>SUMIF(DV_AZUL_Stat!H:H,Summary_Checking_UL!$D81,DV_AZUL_Stat!F:F)</f>
        <v>29252524.071750812</v>
      </c>
      <c r="I81" s="46">
        <f>SUMIF(IT_AZUL_FULL_Stat!$H:$H,Summary_Checking_UL!$D81,IT_AZUL_FULL_Stat!C:C)</f>
        <v>536</v>
      </c>
      <c r="J81" s="46">
        <f>SUMIF(IT_AZUL_FULL_Stat!$H:$H,Summary_Checking_UL!$D81,IT_AZUL_FULL_Stat!E:E)</f>
        <v>246986915.48800001</v>
      </c>
      <c r="K81" s="46">
        <f>SUMIF(IT_AZUL_FULL_Stat!$H:$H,Summary_Checking_UL!$D81,IT_AZUL_FULL_Stat!D:D)</f>
        <v>8677480</v>
      </c>
      <c r="L81" s="46">
        <f>SUMIF(IT_AZUL_FULL_Stat!$H:$H,Summary_Checking_UL!$D81,IT_AZUL_FULL_Stat!F:F)</f>
        <v>29252533.920004301</v>
      </c>
      <c r="M81" s="7">
        <f t="shared" si="5"/>
        <v>0</v>
      </c>
      <c r="N81" s="7">
        <f t="shared" si="5"/>
        <v>0</v>
      </c>
      <c r="O81" s="7">
        <f t="shared" si="5"/>
        <v>0</v>
      </c>
      <c r="P81" s="7">
        <f t="shared" si="5"/>
        <v>-9.8482534885406494</v>
      </c>
      <c r="Q81" s="48">
        <f t="shared" si="6"/>
        <v>0</v>
      </c>
      <c r="R81" s="48">
        <f t="shared" si="6"/>
        <v>0</v>
      </c>
      <c r="S81" s="48">
        <f t="shared" si="6"/>
        <v>0</v>
      </c>
      <c r="T81" s="48">
        <f t="shared" si="6"/>
        <v>-3.3666326190655011E-7</v>
      </c>
      <c r="W81" s="46" t="str">
        <f t="shared" si="8"/>
        <v>USD</v>
      </c>
    </row>
    <row r="82" spans="1:23">
      <c r="A82" s="58" t="e">
        <f>_xlfn.XLOOKUP(B82,[10]Sheet1!$D:$D,[10]Sheet1!$E:$E)</f>
        <v>#N/A</v>
      </c>
      <c r="B82" t="str">
        <f t="shared" si="7"/>
        <v>ULHSWA</v>
      </c>
      <c r="C82" t="str">
        <f>VLOOKUP(D82,DV_AZUL_Stat!H:I,2,FALSE)</f>
        <v>ULHSWA_IDR</v>
      </c>
      <c r="D82" s="59" t="s">
        <v>1991</v>
      </c>
      <c r="E82" s="1">
        <f>SUMIF(DV_AZUL_Stat!H:H,Summary_Checking_UL!$D82,DV_AZUL_Stat!C:C)</f>
        <v>150</v>
      </c>
      <c r="F82" s="1">
        <f>SUMIF(DV_AZUL_Stat!H:H,Summary_Checking_UL!$D82,DV_AZUL_Stat!E:E)</f>
        <v>882080000000</v>
      </c>
      <c r="G82" s="1">
        <f>SUMIF(DV_AZUL_Stat!H:H,Summary_Checking_UL!$D82,DV_AZUL_Stat!D:D)</f>
        <v>29329999988</v>
      </c>
      <c r="H82" s="1">
        <f>SUMIF(DV_AZUL_Stat!H:H,Summary_Checking_UL!$D82,DV_AZUL_Stat!F:F)</f>
        <v>44979220269.727798</v>
      </c>
      <c r="I82" s="46">
        <f>SUMIF(IT_AZUL_FULL_Stat!$H:$H,Summary_Checking_UL!$D82,IT_AZUL_FULL_Stat!C:C)</f>
        <v>150</v>
      </c>
      <c r="J82" s="46">
        <f>SUMIF(IT_AZUL_FULL_Stat!$H:$H,Summary_Checking_UL!$D82,IT_AZUL_FULL_Stat!E:E)</f>
        <v>882080000000</v>
      </c>
      <c r="K82" s="46">
        <f>SUMIF(IT_AZUL_FULL_Stat!$H:$H,Summary_Checking_UL!$D82,IT_AZUL_FULL_Stat!D:D)</f>
        <v>29329999988</v>
      </c>
      <c r="L82" s="46">
        <f>SUMIF(IT_AZUL_FULL_Stat!$H:$H,Summary_Checking_UL!$D82,IT_AZUL_FULL_Stat!F:F)</f>
        <v>44979220268.338097</v>
      </c>
      <c r="M82" s="7">
        <f t="shared" si="5"/>
        <v>0</v>
      </c>
      <c r="N82" s="7">
        <f t="shared" si="5"/>
        <v>0</v>
      </c>
      <c r="O82" s="7">
        <f t="shared" si="5"/>
        <v>0</v>
      </c>
      <c r="P82" s="7">
        <f t="shared" si="5"/>
        <v>1.3897018432617188</v>
      </c>
      <c r="Q82" s="48">
        <f t="shared" si="6"/>
        <v>0</v>
      </c>
      <c r="R82" s="48">
        <f t="shared" si="6"/>
        <v>0</v>
      </c>
      <c r="S82" s="48">
        <f t="shared" si="6"/>
        <v>0</v>
      </c>
      <c r="T82" s="48">
        <f t="shared" si="6"/>
        <v>3.0896530330472663E-11</v>
      </c>
      <c r="W82" s="46" t="str">
        <f t="shared" si="8"/>
        <v>IDR</v>
      </c>
    </row>
    <row r="83" spans="1:23">
      <c r="A83" s="58" t="e">
        <f>_xlfn.XLOOKUP(B83,[10]Sheet1!$D:$D,[10]Sheet1!$E:$E)</f>
        <v>#N/A</v>
      </c>
      <c r="B83" t="str">
        <f t="shared" si="7"/>
        <v>ULHSWA</v>
      </c>
      <c r="C83" t="str">
        <f>VLOOKUP(D83,DV_AZUL_Stat!H:I,2,FALSE)</f>
        <v>ULHSWA_USD</v>
      </c>
      <c r="D83" s="59" t="s">
        <v>1992</v>
      </c>
      <c r="E83" s="1">
        <f>SUMIF(DV_AZUL_Stat!H:H,Summary_Checking_UL!$D83,DV_AZUL_Stat!C:C)</f>
        <v>105</v>
      </c>
      <c r="F83" s="1">
        <f>SUMIF(DV_AZUL_Stat!H:H,Summary_Checking_UL!$D83,DV_AZUL_Stat!E:E)</f>
        <v>47710000</v>
      </c>
      <c r="G83" s="1">
        <f>SUMIF(DV_AZUL_Stat!H:H,Summary_Checking_UL!$D83,DV_AZUL_Stat!D:D)</f>
        <v>1971016</v>
      </c>
      <c r="H83" s="1">
        <f>SUMIF(DV_AZUL_Stat!H:H,Summary_Checking_UL!$D83,DV_AZUL_Stat!F:F)</f>
        <v>3317620.4690396497</v>
      </c>
      <c r="I83" s="46">
        <f>SUMIF(IT_AZUL_FULL_Stat!$H:$H,Summary_Checking_UL!$D83,IT_AZUL_FULL_Stat!C:C)</f>
        <v>105</v>
      </c>
      <c r="J83" s="46">
        <f>SUMIF(IT_AZUL_FULL_Stat!$H:$H,Summary_Checking_UL!$D83,IT_AZUL_FULL_Stat!E:E)</f>
        <v>47710000</v>
      </c>
      <c r="K83" s="46">
        <f>SUMIF(IT_AZUL_FULL_Stat!$H:$H,Summary_Checking_UL!$D83,IT_AZUL_FULL_Stat!D:D)</f>
        <v>1971016</v>
      </c>
      <c r="L83" s="46">
        <f>SUMIF(IT_AZUL_FULL_Stat!$H:$H,Summary_Checking_UL!$D83,IT_AZUL_FULL_Stat!F:F)</f>
        <v>3317615.2172485502</v>
      </c>
      <c r="M83" s="7">
        <f t="shared" si="5"/>
        <v>0</v>
      </c>
      <c r="N83" s="7">
        <f t="shared" si="5"/>
        <v>0</v>
      </c>
      <c r="O83" s="7">
        <f t="shared" si="5"/>
        <v>0</v>
      </c>
      <c r="P83" s="7">
        <f t="shared" si="5"/>
        <v>5.2517910995520651</v>
      </c>
      <c r="Q83" s="48">
        <f t="shared" si="6"/>
        <v>0</v>
      </c>
      <c r="R83" s="48">
        <f t="shared" si="6"/>
        <v>0</v>
      </c>
      <c r="S83" s="48">
        <f t="shared" si="6"/>
        <v>0</v>
      </c>
      <c r="T83" s="48">
        <f t="shared" si="6"/>
        <v>1.5830018720216793E-6</v>
      </c>
      <c r="W83" s="46" t="str">
        <f t="shared" si="8"/>
        <v>USD</v>
      </c>
    </row>
    <row r="84" spans="1:23">
      <c r="A84" s="58" t="str">
        <f>_xlfn.XLOOKUP(B84,[10]Sheet1!$D:$D,[10]Sheet1!$E:$E)</f>
        <v>Harta Maxima (Gold, Silver, Platinum)</v>
      </c>
      <c r="B84" t="str">
        <f t="shared" si="7"/>
        <v>ULHTKG</v>
      </c>
      <c r="C84" t="str">
        <f>VLOOKUP(D84,DV_AZUL_Stat!H:I,2,FALSE)</f>
        <v>ULHTKG_IDR</v>
      </c>
      <c r="D84" s="59" t="s">
        <v>1993</v>
      </c>
      <c r="E84" s="1">
        <f>SUMIF(DV_AZUL_Stat!H:H,Summary_Checking_UL!$D84,DV_AZUL_Stat!C:C)</f>
        <v>7</v>
      </c>
      <c r="F84" s="1">
        <f>SUMIF(DV_AZUL_Stat!H:H,Summary_Checking_UL!$D84,DV_AZUL_Stat!E:E)</f>
        <v>1075000000</v>
      </c>
      <c r="G84" s="1">
        <f>SUMIF(DV_AZUL_Stat!H:H,Summary_Checking_UL!$D84,DV_AZUL_Stat!D:D)</f>
        <v>860000000</v>
      </c>
      <c r="H84" s="1">
        <f>SUMIF(DV_AZUL_Stat!H:H,Summary_Checking_UL!$D84,DV_AZUL_Stat!F:F)</f>
        <v>884190274</v>
      </c>
      <c r="I84" s="46">
        <f>SUMIF(IT_AZUL_FULL_Stat!$H:$H,Summary_Checking_UL!$D84,IT_AZUL_FULL_Stat!C:C)</f>
        <v>7</v>
      </c>
      <c r="J84" s="46">
        <f>SUMIF(IT_AZUL_FULL_Stat!$H:$H,Summary_Checking_UL!$D84,IT_AZUL_FULL_Stat!E:E)</f>
        <v>1075000000</v>
      </c>
      <c r="K84" s="46">
        <f>SUMIF(IT_AZUL_FULL_Stat!$H:$H,Summary_Checking_UL!$D84,IT_AZUL_FULL_Stat!D:D)</f>
        <v>860000000</v>
      </c>
      <c r="L84" s="46">
        <f>SUMIF(IT_AZUL_FULL_Stat!$H:$H,Summary_Checking_UL!$D84,IT_AZUL_FULL_Stat!F:F)</f>
        <v>884190273.13039196</v>
      </c>
      <c r="M84" s="7">
        <f t="shared" si="5"/>
        <v>0</v>
      </c>
      <c r="N84" s="7">
        <f t="shared" si="5"/>
        <v>0</v>
      </c>
      <c r="O84" s="7">
        <f t="shared" si="5"/>
        <v>0</v>
      </c>
      <c r="P84" s="7">
        <f t="shared" si="5"/>
        <v>0.86960804462432861</v>
      </c>
      <c r="Q84" s="48">
        <f t="shared" si="6"/>
        <v>0</v>
      </c>
      <c r="R84" s="48">
        <f t="shared" si="6"/>
        <v>0</v>
      </c>
      <c r="S84" s="48">
        <f t="shared" si="6"/>
        <v>0</v>
      </c>
      <c r="T84" s="48">
        <f t="shared" si="6"/>
        <v>9.8350781619160282E-10</v>
      </c>
      <c r="W84" s="46" t="str">
        <f t="shared" si="8"/>
        <v>IDR</v>
      </c>
    </row>
    <row r="85" spans="1:23">
      <c r="A85" s="58" t="str">
        <f>_xlfn.XLOOKUP(B85,[10]Sheet1!$D:$D,[10]Sheet1!$E:$E)</f>
        <v>Harta Maxima (Gold, Silver, Platinum)</v>
      </c>
      <c r="B85" t="str">
        <f t="shared" si="7"/>
        <v>ULHTKP</v>
      </c>
      <c r="C85" t="str">
        <f>VLOOKUP(D85,DV_AZUL_Stat!H:I,2,FALSE)</f>
        <v>ULHTKP_IDR</v>
      </c>
      <c r="D85" s="59" t="s">
        <v>1994</v>
      </c>
      <c r="E85" s="1">
        <f>SUMIF(DV_AZUL_Stat!H:H,Summary_Checking_UL!$D85,DV_AZUL_Stat!C:C)</f>
        <v>3</v>
      </c>
      <c r="F85" s="1">
        <f>SUMIF(DV_AZUL_Stat!H:H,Summary_Checking_UL!$D85,DV_AZUL_Stat!E:E)</f>
        <v>1500000000</v>
      </c>
      <c r="G85" s="1">
        <f>SUMIF(DV_AZUL_Stat!H:H,Summary_Checking_UL!$D85,DV_AZUL_Stat!D:D)</f>
        <v>1200000000</v>
      </c>
      <c r="H85" s="1">
        <f>SUMIF(DV_AZUL_Stat!H:H,Summary_Checking_UL!$D85,DV_AZUL_Stat!F:F)</f>
        <v>81687683</v>
      </c>
      <c r="I85" s="46">
        <f>SUMIF(IT_AZUL_FULL_Stat!$H:$H,Summary_Checking_UL!$D85,IT_AZUL_FULL_Stat!C:C)</f>
        <v>3</v>
      </c>
      <c r="J85" s="46">
        <f>SUMIF(IT_AZUL_FULL_Stat!$H:$H,Summary_Checking_UL!$D85,IT_AZUL_FULL_Stat!E:E)</f>
        <v>1500000000</v>
      </c>
      <c r="K85" s="46">
        <f>SUMIF(IT_AZUL_FULL_Stat!$H:$H,Summary_Checking_UL!$D85,IT_AZUL_FULL_Stat!D:D)</f>
        <v>1200000000</v>
      </c>
      <c r="L85" s="46">
        <f>SUMIF(IT_AZUL_FULL_Stat!$H:$H,Summary_Checking_UL!$D85,IT_AZUL_FULL_Stat!F:F)</f>
        <v>81687683.372244999</v>
      </c>
      <c r="M85" s="7">
        <f t="shared" si="5"/>
        <v>0</v>
      </c>
      <c r="N85" s="7">
        <f t="shared" si="5"/>
        <v>0</v>
      </c>
      <c r="O85" s="7">
        <f t="shared" si="5"/>
        <v>0</v>
      </c>
      <c r="P85" s="7">
        <f t="shared" si="5"/>
        <v>-0.37224499881267548</v>
      </c>
      <c r="Q85" s="48">
        <f t="shared" si="6"/>
        <v>0</v>
      </c>
      <c r="R85" s="48">
        <f t="shared" si="6"/>
        <v>0</v>
      </c>
      <c r="S85" s="48">
        <f t="shared" si="6"/>
        <v>0</v>
      </c>
      <c r="T85" s="48">
        <f t="shared" si="6"/>
        <v>-4.5569293122976856E-9</v>
      </c>
      <c r="W85" s="46" t="str">
        <f t="shared" si="8"/>
        <v>IDR</v>
      </c>
    </row>
    <row r="86" spans="1:23">
      <c r="A86" s="58" t="str">
        <f>_xlfn.XLOOKUP(B86,[10]Sheet1!$D:$D,[10]Sheet1!$E:$E)</f>
        <v>Harta Maxima (Gold, Silver, Platinum)</v>
      </c>
      <c r="B86" t="str">
        <f t="shared" si="7"/>
        <v>ULHTKS</v>
      </c>
      <c r="C86" t="str">
        <f>VLOOKUP(D86,DV_AZUL_Stat!H:I,2,FALSE)</f>
        <v>ULHTKS_IDR</v>
      </c>
      <c r="D86" s="59" t="s">
        <v>1995</v>
      </c>
      <c r="E86" s="1">
        <f>SUMIF(DV_AZUL_Stat!H:H,Summary_Checking_UL!$D86,DV_AZUL_Stat!C:C)</f>
        <v>6</v>
      </c>
      <c r="F86" s="1">
        <f>SUMIF(DV_AZUL_Stat!H:H,Summary_Checking_UL!$D86,DV_AZUL_Stat!E:E)</f>
        <v>250000000</v>
      </c>
      <c r="G86" s="1">
        <f>SUMIF(DV_AZUL_Stat!H:H,Summary_Checking_UL!$D86,DV_AZUL_Stat!D:D)</f>
        <v>200000000</v>
      </c>
      <c r="H86" s="1">
        <f>SUMIF(DV_AZUL_Stat!H:H,Summary_Checking_UL!$D86,DV_AZUL_Stat!F:F)</f>
        <v>272297686</v>
      </c>
      <c r="I86" s="46">
        <f>SUMIF(IT_AZUL_FULL_Stat!$H:$H,Summary_Checking_UL!$D86,IT_AZUL_FULL_Stat!C:C)</f>
        <v>6</v>
      </c>
      <c r="J86" s="46">
        <f>SUMIF(IT_AZUL_FULL_Stat!$H:$H,Summary_Checking_UL!$D86,IT_AZUL_FULL_Stat!E:E)</f>
        <v>250000000</v>
      </c>
      <c r="K86" s="46">
        <f>SUMIF(IT_AZUL_FULL_Stat!$H:$H,Summary_Checking_UL!$D86,IT_AZUL_FULL_Stat!D:D)</f>
        <v>200000000</v>
      </c>
      <c r="L86" s="46">
        <f>SUMIF(IT_AZUL_FULL_Stat!$H:$H,Summary_Checking_UL!$D86,IT_AZUL_FULL_Stat!F:F)</f>
        <v>272297684.919824</v>
      </c>
      <c r="M86" s="7">
        <f t="shared" si="5"/>
        <v>0</v>
      </c>
      <c r="N86" s="7">
        <f t="shared" si="5"/>
        <v>0</v>
      </c>
      <c r="O86" s="7">
        <f t="shared" si="5"/>
        <v>0</v>
      </c>
      <c r="P86" s="7">
        <f t="shared" si="5"/>
        <v>1.0801759958267212</v>
      </c>
      <c r="Q86" s="48">
        <f t="shared" si="6"/>
        <v>0</v>
      </c>
      <c r="R86" s="48">
        <f t="shared" si="6"/>
        <v>0</v>
      </c>
      <c r="S86" s="48">
        <f t="shared" si="6"/>
        <v>0</v>
      </c>
      <c r="T86" s="48">
        <f t="shared" si="6"/>
        <v>3.9668937917880968E-9</v>
      </c>
      <c r="W86" s="46" t="str">
        <f t="shared" si="8"/>
        <v>IDR</v>
      </c>
    </row>
    <row r="87" spans="1:23">
      <c r="A87" s="58" t="str">
        <f>_xlfn.XLOOKUP(B87,[10]Sheet1!$D:$D,[10]Sheet1!$E:$E)</f>
        <v>Ultima Wealth Assurance</v>
      </c>
      <c r="B87" t="str">
        <f t="shared" si="7"/>
        <v>ULHUWA</v>
      </c>
      <c r="C87" t="str">
        <f>VLOOKUP(D87,DV_AZUL_Stat!H:I,2,FALSE)</f>
        <v>ULHUWA_IDR</v>
      </c>
      <c r="D87" s="59" t="s">
        <v>1996</v>
      </c>
      <c r="E87" s="1">
        <f>SUMIF(DV_AZUL_Stat!H:H,Summary_Checking_UL!$D87,DV_AZUL_Stat!C:C)</f>
        <v>176</v>
      </c>
      <c r="F87" s="1">
        <f>SUMIF(DV_AZUL_Stat!H:H,Summary_Checking_UL!$D87,DV_AZUL_Stat!E:E)</f>
        <v>19400000000</v>
      </c>
      <c r="G87" s="1">
        <f>SUMIF(DV_AZUL_Stat!H:H,Summary_Checking_UL!$D87,DV_AZUL_Stat!D:D)</f>
        <v>9700000000</v>
      </c>
      <c r="H87" s="1">
        <f>SUMIF(DV_AZUL_Stat!H:H,Summary_Checking_UL!$D87,DV_AZUL_Stat!F:F)</f>
        <v>84710349761.525223</v>
      </c>
      <c r="I87" s="46">
        <f>SUMIF(IT_AZUL_FULL_Stat!$H:$H,Summary_Checking_UL!$D87,IT_AZUL_FULL_Stat!C:C)</f>
        <v>176</v>
      </c>
      <c r="J87" s="46">
        <f>SUMIF(IT_AZUL_FULL_Stat!$H:$H,Summary_Checking_UL!$D87,IT_AZUL_FULL_Stat!E:E)</f>
        <v>19400000000</v>
      </c>
      <c r="K87" s="46">
        <f>SUMIF(IT_AZUL_FULL_Stat!$H:$H,Summary_Checking_UL!$D87,IT_AZUL_FULL_Stat!D:D)</f>
        <v>9700000000</v>
      </c>
      <c r="L87" s="46">
        <f>SUMIF(IT_AZUL_FULL_Stat!$H:$H,Summary_Checking_UL!$D87,IT_AZUL_FULL_Stat!F:F)</f>
        <v>84710349763.652603</v>
      </c>
      <c r="M87" s="7">
        <f t="shared" si="5"/>
        <v>0</v>
      </c>
      <c r="N87" s="7">
        <f t="shared" si="5"/>
        <v>0</v>
      </c>
      <c r="O87" s="7">
        <f t="shared" si="5"/>
        <v>0</v>
      </c>
      <c r="P87" s="7">
        <f t="shared" si="5"/>
        <v>-2.12738037109375</v>
      </c>
      <c r="Q87" s="48">
        <f t="shared" si="6"/>
        <v>0</v>
      </c>
      <c r="R87" s="48">
        <f t="shared" si="6"/>
        <v>0</v>
      </c>
      <c r="S87" s="48">
        <f t="shared" si="6"/>
        <v>0</v>
      </c>
      <c r="T87" s="48">
        <f t="shared" si="6"/>
        <v>-2.5113582661732361E-11</v>
      </c>
      <c r="W87" s="46" t="str">
        <f t="shared" si="8"/>
        <v>IDR</v>
      </c>
    </row>
    <row r="88" spans="1:23">
      <c r="A88" s="58" t="str">
        <f>_xlfn.XLOOKUP(B88,[10]Sheet1!$D:$D,[10]Sheet1!$E:$E)</f>
        <v>Ultima Wealth Assurance</v>
      </c>
      <c r="B88" t="str">
        <f t="shared" si="7"/>
        <v>ULHUWA</v>
      </c>
      <c r="C88" t="str">
        <f>VLOOKUP(D88,DV_AZUL_Stat!H:I,2,FALSE)</f>
        <v>ULHUWA_USD</v>
      </c>
      <c r="D88" s="59" t="s">
        <v>1997</v>
      </c>
      <c r="E88" s="1">
        <f>SUMIF(DV_AZUL_Stat!H:H,Summary_Checking_UL!$D88,DV_AZUL_Stat!C:C)</f>
        <v>958</v>
      </c>
      <c r="F88" s="1">
        <f>SUMIF(DV_AZUL_Stat!H:H,Summary_Checking_UL!$D88,DV_AZUL_Stat!E:E)</f>
        <v>20680000</v>
      </c>
      <c r="G88" s="1">
        <f>SUMIF(DV_AZUL_Stat!H:H,Summary_Checking_UL!$D88,DV_AZUL_Stat!D:D)</f>
        <v>4929000</v>
      </c>
      <c r="H88" s="1">
        <f>SUMIF(DV_AZUL_Stat!H:H,Summary_Checking_UL!$D88,DV_AZUL_Stat!F:F)</f>
        <v>41289746.289561711</v>
      </c>
      <c r="I88" s="46">
        <f>SUMIF(IT_AZUL_FULL_Stat!$H:$H,Summary_Checking_UL!$D88,IT_AZUL_FULL_Stat!C:C)</f>
        <v>958</v>
      </c>
      <c r="J88" s="46">
        <f>SUMIF(IT_AZUL_FULL_Stat!$H:$H,Summary_Checking_UL!$D88,IT_AZUL_FULL_Stat!E:E)</f>
        <v>20680000</v>
      </c>
      <c r="K88" s="46">
        <f>SUMIF(IT_AZUL_FULL_Stat!$H:$H,Summary_Checking_UL!$D88,IT_AZUL_FULL_Stat!D:D)</f>
        <v>4929000</v>
      </c>
      <c r="L88" s="46">
        <f>SUMIF(IT_AZUL_FULL_Stat!$H:$H,Summary_Checking_UL!$D88,IT_AZUL_FULL_Stat!F:F)</f>
        <v>41289736.758791797</v>
      </c>
      <c r="M88" s="7">
        <f t="shared" si="5"/>
        <v>0</v>
      </c>
      <c r="N88" s="7">
        <f t="shared" si="5"/>
        <v>0</v>
      </c>
      <c r="O88" s="7">
        <f t="shared" si="5"/>
        <v>0</v>
      </c>
      <c r="P88" s="7">
        <f t="shared" si="5"/>
        <v>9.5307699143886566</v>
      </c>
      <c r="Q88" s="48">
        <f t="shared" si="6"/>
        <v>0</v>
      </c>
      <c r="R88" s="48">
        <f t="shared" si="6"/>
        <v>0</v>
      </c>
      <c r="S88" s="48">
        <f t="shared" si="6"/>
        <v>0</v>
      </c>
      <c r="T88" s="48">
        <f t="shared" si="6"/>
        <v>2.3082660880271358E-7</v>
      </c>
      <c r="W88" s="46" t="str">
        <f t="shared" si="8"/>
        <v>USD</v>
      </c>
    </row>
    <row r="89" spans="1:23">
      <c r="A89" s="58" t="str">
        <f>_xlfn.XLOOKUP(B89,[10]Sheet1!$D:$D,[10]Sheet1!$E:$E)</f>
        <v>Smartlink Maxi Account</v>
      </c>
      <c r="B89" t="str">
        <f t="shared" si="7"/>
        <v>ULMA__</v>
      </c>
      <c r="C89" t="str">
        <f>VLOOKUP(D89,DV_AZUL_Stat!H:I,2,FALSE)</f>
        <v>ULMA___IDR</v>
      </c>
      <c r="D89" s="59" t="s">
        <v>1998</v>
      </c>
      <c r="E89" s="1">
        <f>SUMIF(DV_AZUL_Stat!H:H,Summary_Checking_UL!$D89,DV_AZUL_Stat!C:C)</f>
        <v>543</v>
      </c>
      <c r="F89" s="1">
        <f>SUMIF(DV_AZUL_Stat!H:H,Summary_Checking_UL!$D89,DV_AZUL_Stat!E:E)</f>
        <v>39172884023</v>
      </c>
      <c r="G89" s="1">
        <f>SUMIF(DV_AZUL_Stat!H:H,Summary_Checking_UL!$D89,DV_AZUL_Stat!D:D)</f>
        <v>25966183030</v>
      </c>
      <c r="H89" s="1">
        <f>SUMIF(DV_AZUL_Stat!H:H,Summary_Checking_UL!$D89,DV_AZUL_Stat!F:F)</f>
        <v>24385776397.547901</v>
      </c>
      <c r="I89" s="46">
        <f>SUMIF(IT_AZUL_FULL_Stat!$H:$H,Summary_Checking_UL!$D89,IT_AZUL_FULL_Stat!C:C)</f>
        <v>543</v>
      </c>
      <c r="J89" s="46">
        <f>SUMIF(IT_AZUL_FULL_Stat!$H:$H,Summary_Checking_UL!$D89,IT_AZUL_FULL_Stat!E:E)</f>
        <v>39172884023</v>
      </c>
      <c r="K89" s="46">
        <f>SUMIF(IT_AZUL_FULL_Stat!$H:$H,Summary_Checking_UL!$D89,IT_AZUL_FULL_Stat!D:D)</f>
        <v>25966183030</v>
      </c>
      <c r="L89" s="46">
        <f>SUMIF(IT_AZUL_FULL_Stat!$H:$H,Summary_Checking_UL!$D89,IT_AZUL_FULL_Stat!F:F)</f>
        <v>24385776401.9035</v>
      </c>
      <c r="M89" s="7">
        <f t="shared" si="5"/>
        <v>0</v>
      </c>
      <c r="N89" s="7">
        <f t="shared" si="5"/>
        <v>0</v>
      </c>
      <c r="O89" s="7">
        <f t="shared" si="5"/>
        <v>0</v>
      </c>
      <c r="P89" s="7">
        <f t="shared" si="5"/>
        <v>-4.3555984497070313</v>
      </c>
      <c r="Q89" s="48">
        <f t="shared" si="6"/>
        <v>0</v>
      </c>
      <c r="R89" s="48">
        <f t="shared" si="6"/>
        <v>0</v>
      </c>
      <c r="S89" s="48">
        <f t="shared" si="6"/>
        <v>0</v>
      </c>
      <c r="T89" s="48">
        <f t="shared" si="6"/>
        <v>-1.7861225240165176E-10</v>
      </c>
      <c r="W89" s="46" t="str">
        <f t="shared" si="8"/>
        <v>IDR</v>
      </c>
    </row>
    <row r="90" spans="1:23">
      <c r="A90" s="58" t="str">
        <f>_xlfn.XLOOKUP(B90,[10]Sheet1!$D:$D,[10]Sheet1!$E:$E)</f>
        <v>Smartlink Maxi Account</v>
      </c>
      <c r="B90" t="str">
        <f t="shared" si="7"/>
        <v>ULMA__</v>
      </c>
      <c r="C90" t="str">
        <f>VLOOKUP(D90,DV_AZUL_Stat!H:I,2,FALSE)</f>
        <v>ULMA___USD</v>
      </c>
      <c r="D90" s="59" t="s">
        <v>1999</v>
      </c>
      <c r="E90" s="1">
        <f>SUMIF(DV_AZUL_Stat!H:H,Summary_Checking_UL!$D90,DV_AZUL_Stat!C:C)</f>
        <v>66</v>
      </c>
      <c r="F90" s="1">
        <f>SUMIF(DV_AZUL_Stat!H:H,Summary_Checking_UL!$D90,DV_AZUL_Stat!E:E)</f>
        <v>695325</v>
      </c>
      <c r="G90" s="1">
        <f>SUMIF(DV_AZUL_Stat!H:H,Summary_Checking_UL!$D90,DV_AZUL_Stat!D:D)</f>
        <v>526900</v>
      </c>
      <c r="H90" s="1">
        <f>SUMIF(DV_AZUL_Stat!H:H,Summary_Checking_UL!$D90,DV_AZUL_Stat!F:F)</f>
        <v>644414.94177559996</v>
      </c>
      <c r="I90" s="46">
        <f>SUMIF(IT_AZUL_FULL_Stat!$H:$H,Summary_Checking_UL!$D90,IT_AZUL_FULL_Stat!C:C)</f>
        <v>66</v>
      </c>
      <c r="J90" s="46">
        <f>SUMIF(IT_AZUL_FULL_Stat!$H:$H,Summary_Checking_UL!$D90,IT_AZUL_FULL_Stat!E:E)</f>
        <v>695325</v>
      </c>
      <c r="K90" s="46">
        <f>SUMIF(IT_AZUL_FULL_Stat!$H:$H,Summary_Checking_UL!$D90,IT_AZUL_FULL_Stat!D:D)</f>
        <v>526900</v>
      </c>
      <c r="L90" s="46">
        <f>SUMIF(IT_AZUL_FULL_Stat!$H:$H,Summary_Checking_UL!$D90,IT_AZUL_FULL_Stat!F:F)</f>
        <v>644416.49474400003</v>
      </c>
      <c r="M90" s="7">
        <f t="shared" si="5"/>
        <v>0</v>
      </c>
      <c r="N90" s="7">
        <f t="shared" si="5"/>
        <v>0</v>
      </c>
      <c r="O90" s="7">
        <f t="shared" si="5"/>
        <v>0</v>
      </c>
      <c r="P90" s="7">
        <f t="shared" ref="P90:P153" si="9">H90-L90</f>
        <v>-1.5529684000648558</v>
      </c>
      <c r="Q90" s="48">
        <f t="shared" si="6"/>
        <v>0</v>
      </c>
      <c r="R90" s="48">
        <f t="shared" si="6"/>
        <v>0</v>
      </c>
      <c r="S90" s="48">
        <f t="shared" si="6"/>
        <v>0</v>
      </c>
      <c r="T90" s="48">
        <f t="shared" si="6"/>
        <v>-2.4098830689952866E-6</v>
      </c>
      <c r="W90" s="46" t="str">
        <f t="shared" si="8"/>
        <v>USD</v>
      </c>
    </row>
    <row r="91" spans="1:23">
      <c r="A91" s="58" t="str">
        <f>_xlfn.XLOOKUP(B91,[10]Sheet1!$D:$D,[10]Sheet1!$E:$E)</f>
        <v>Smartlink Maxi Account Plus</v>
      </c>
      <c r="B91" t="str">
        <f t="shared" si="7"/>
        <v>ULMAP_</v>
      </c>
      <c r="C91" t="str">
        <f>VLOOKUP(D91,DV_AZUL_Stat!H:I,2,FALSE)</f>
        <v>ULMAP__IDR</v>
      </c>
      <c r="D91" s="59" t="s">
        <v>2000</v>
      </c>
      <c r="E91" s="1">
        <f>SUMIF(DV_AZUL_Stat!H:H,Summary_Checking_UL!$D91,DV_AZUL_Stat!C:C)</f>
        <v>82</v>
      </c>
      <c r="F91" s="1">
        <f>SUMIF(DV_AZUL_Stat!H:H,Summary_Checking_UL!$D91,DV_AZUL_Stat!E:E)</f>
        <v>7430875000</v>
      </c>
      <c r="G91" s="1">
        <f>SUMIF(DV_AZUL_Stat!H:H,Summary_Checking_UL!$D91,DV_AZUL_Stat!D:D)</f>
        <v>4590300000</v>
      </c>
      <c r="H91" s="1">
        <f>SUMIF(DV_AZUL_Stat!H:H,Summary_Checking_UL!$D91,DV_AZUL_Stat!F:F)</f>
        <v>7652757926.9150496</v>
      </c>
      <c r="I91" s="46">
        <f>SUMIF(IT_AZUL_FULL_Stat!$H:$H,Summary_Checking_UL!$D91,IT_AZUL_FULL_Stat!C:C)</f>
        <v>82</v>
      </c>
      <c r="J91" s="46">
        <f>SUMIF(IT_AZUL_FULL_Stat!$H:$H,Summary_Checking_UL!$D91,IT_AZUL_FULL_Stat!E:E)</f>
        <v>7430875000</v>
      </c>
      <c r="K91" s="46">
        <f>SUMIF(IT_AZUL_FULL_Stat!$H:$H,Summary_Checking_UL!$D91,IT_AZUL_FULL_Stat!D:D)</f>
        <v>4590300000</v>
      </c>
      <c r="L91" s="46">
        <f>SUMIF(IT_AZUL_FULL_Stat!$H:$H,Summary_Checking_UL!$D91,IT_AZUL_FULL_Stat!F:F)</f>
        <v>7652757929.0075703</v>
      </c>
      <c r="M91" s="7">
        <f t="shared" ref="M91:P154" si="10">E91-I91</f>
        <v>0</v>
      </c>
      <c r="N91" s="7">
        <f t="shared" si="10"/>
        <v>0</v>
      </c>
      <c r="O91" s="7">
        <f t="shared" si="10"/>
        <v>0</v>
      </c>
      <c r="P91" s="7">
        <f t="shared" si="9"/>
        <v>-2.0925207138061523</v>
      </c>
      <c r="Q91" s="48">
        <f t="shared" si="6"/>
        <v>0</v>
      </c>
      <c r="R91" s="48">
        <f t="shared" si="6"/>
        <v>0</v>
      </c>
      <c r="S91" s="48">
        <f t="shared" si="6"/>
        <v>0</v>
      </c>
      <c r="T91" s="48">
        <f t="shared" si="6"/>
        <v>-2.7343354294201696E-10</v>
      </c>
      <c r="W91" s="46" t="str">
        <f t="shared" si="8"/>
        <v>IDR</v>
      </c>
    </row>
    <row r="92" spans="1:23">
      <c r="A92" s="58" t="str">
        <f>_xlfn.XLOOKUP(B92,[10]Sheet1!$D:$D,[10]Sheet1!$E:$E)</f>
        <v>Smartlink Maxi Account Plus</v>
      </c>
      <c r="B92" t="str">
        <f t="shared" si="7"/>
        <v>ULMAP_</v>
      </c>
      <c r="C92" t="str">
        <f>VLOOKUP(D92,DV_AZUL_Stat!H:I,2,FALSE)</f>
        <v>ULMAP__USD</v>
      </c>
      <c r="D92" s="59" t="s">
        <v>2001</v>
      </c>
      <c r="E92" s="1">
        <f>SUMIF(DV_AZUL_Stat!H:H,Summary_Checking_UL!$D92,DV_AZUL_Stat!C:C)</f>
        <v>16</v>
      </c>
      <c r="F92" s="1">
        <f>SUMIF(DV_AZUL_Stat!H:H,Summary_Checking_UL!$D92,DV_AZUL_Stat!E:E)</f>
        <v>227925</v>
      </c>
      <c r="G92" s="1">
        <f>SUMIF(DV_AZUL_Stat!H:H,Summary_Checking_UL!$D92,DV_AZUL_Stat!D:D)</f>
        <v>167650</v>
      </c>
      <c r="H92" s="1">
        <f>SUMIF(DV_AZUL_Stat!H:H,Summary_Checking_UL!$D92,DV_AZUL_Stat!F:F)</f>
        <v>413080.9777928</v>
      </c>
      <c r="I92" s="46">
        <f>SUMIF(IT_AZUL_FULL_Stat!$H:$H,Summary_Checking_UL!$D92,IT_AZUL_FULL_Stat!C:C)</f>
        <v>16</v>
      </c>
      <c r="J92" s="46">
        <f>SUMIF(IT_AZUL_FULL_Stat!$H:$H,Summary_Checking_UL!$D92,IT_AZUL_FULL_Stat!E:E)</f>
        <v>227925</v>
      </c>
      <c r="K92" s="46">
        <f>SUMIF(IT_AZUL_FULL_Stat!$H:$H,Summary_Checking_UL!$D92,IT_AZUL_FULL_Stat!D:D)</f>
        <v>167650</v>
      </c>
      <c r="L92" s="46">
        <f>SUMIF(IT_AZUL_FULL_Stat!$H:$H,Summary_Checking_UL!$D92,IT_AZUL_FULL_Stat!F:F)</f>
        <v>413080.9480116</v>
      </c>
      <c r="M92" s="7">
        <f t="shared" si="10"/>
        <v>0</v>
      </c>
      <c r="N92" s="7">
        <f t="shared" si="10"/>
        <v>0</v>
      </c>
      <c r="O92" s="7">
        <f t="shared" si="10"/>
        <v>0</v>
      </c>
      <c r="P92" s="7">
        <f t="shared" si="9"/>
        <v>2.9781199991703033E-2</v>
      </c>
      <c r="Q92" s="48">
        <f t="shared" si="6"/>
        <v>0</v>
      </c>
      <c r="R92" s="48">
        <f t="shared" si="6"/>
        <v>0</v>
      </c>
      <c r="S92" s="48">
        <f t="shared" si="6"/>
        <v>0</v>
      </c>
      <c r="T92" s="48">
        <f t="shared" ref="T92:T147" si="11">IFERROR(P92/L92,0)</f>
        <v>7.2095312395929542E-8</v>
      </c>
      <c r="W92" s="46" t="str">
        <f t="shared" si="8"/>
        <v>USD</v>
      </c>
    </row>
    <row r="93" spans="1:23">
      <c r="A93" s="58" t="str">
        <f>_xlfn.XLOOKUP(B93,[10]Sheet1!$D:$D,[10]Sheet1!$E:$E)</f>
        <v>Smartlink My Amway Education</v>
      </c>
      <c r="B93" t="str">
        <f t="shared" si="7"/>
        <v>ULME__</v>
      </c>
      <c r="C93" t="str">
        <f>VLOOKUP(D93,DV_AZUL_Stat!H:I,2,FALSE)</f>
        <v>ULME___IDR</v>
      </c>
      <c r="D93" s="59" t="s">
        <v>2002</v>
      </c>
      <c r="E93" s="1">
        <f>SUMIF(DV_AZUL_Stat!H:H,Summary_Checking_UL!$D93,DV_AZUL_Stat!C:C)</f>
        <v>7</v>
      </c>
      <c r="F93" s="1">
        <f>SUMIF(DV_AZUL_Stat!H:H,Summary_Checking_UL!$D93,DV_AZUL_Stat!E:E)</f>
        <v>550000000</v>
      </c>
      <c r="G93" s="1">
        <f>SUMIF(DV_AZUL_Stat!H:H,Summary_Checking_UL!$D93,DV_AZUL_Stat!D:D)</f>
        <v>22000000</v>
      </c>
      <c r="H93" s="1">
        <f>SUMIF(DV_AZUL_Stat!H:H,Summary_Checking_UL!$D93,DV_AZUL_Stat!F:F)</f>
        <v>310278277.41378498</v>
      </c>
      <c r="I93" s="46">
        <f>SUMIF(IT_AZUL_FULL_Stat!$H:$H,Summary_Checking_UL!$D93,IT_AZUL_FULL_Stat!C:C)</f>
        <v>7</v>
      </c>
      <c r="J93" s="46">
        <f>SUMIF(IT_AZUL_FULL_Stat!$H:$H,Summary_Checking_UL!$D93,IT_AZUL_FULL_Stat!E:E)</f>
        <v>550000000</v>
      </c>
      <c r="K93" s="46">
        <f>SUMIF(IT_AZUL_FULL_Stat!$H:$H,Summary_Checking_UL!$D93,IT_AZUL_FULL_Stat!D:D)</f>
        <v>22000000</v>
      </c>
      <c r="L93" s="46">
        <f>SUMIF(IT_AZUL_FULL_Stat!$H:$H,Summary_Checking_UL!$D93,IT_AZUL_FULL_Stat!F:F)</f>
        <v>310278276.86740202</v>
      </c>
      <c r="M93" s="7">
        <f t="shared" si="10"/>
        <v>0</v>
      </c>
      <c r="N93" s="7">
        <f t="shared" si="10"/>
        <v>0</v>
      </c>
      <c r="O93" s="7">
        <f t="shared" si="10"/>
        <v>0</v>
      </c>
      <c r="P93" s="7">
        <f t="shared" si="9"/>
        <v>0.54638296365737915</v>
      </c>
      <c r="Q93" s="48">
        <f t="shared" ref="Q93:S147" si="12">IFERROR(M93/I93,0)</f>
        <v>0</v>
      </c>
      <c r="R93" s="48">
        <f t="shared" si="12"/>
        <v>0</v>
      </c>
      <c r="S93" s="48">
        <f t="shared" si="12"/>
        <v>0</v>
      </c>
      <c r="T93" s="48">
        <f t="shared" si="11"/>
        <v>1.7609449464967762E-9</v>
      </c>
      <c r="W93" s="46" t="str">
        <f t="shared" si="8"/>
        <v>IDR</v>
      </c>
    </row>
    <row r="94" spans="1:23">
      <c r="A94" s="58" t="str">
        <f>_xlfn.XLOOKUP(B94,[10]Sheet1!$D:$D,[10]Sheet1!$E:$E)</f>
        <v>Smartlink My Life</v>
      </c>
      <c r="B94" t="str">
        <f t="shared" si="7"/>
        <v>ULML__</v>
      </c>
      <c r="C94" t="str">
        <f>VLOOKUP(D94,DV_AZUL_Stat!H:I,2,FALSE)</f>
        <v>ULML___IDR</v>
      </c>
      <c r="D94" s="59" t="s">
        <v>2003</v>
      </c>
      <c r="E94" s="1">
        <f>SUMIF(DV_AZUL_Stat!H:H,Summary_Checking_UL!$D94,DV_AZUL_Stat!C:C)</f>
        <v>71</v>
      </c>
      <c r="F94" s="1">
        <f>SUMIF(DV_AZUL_Stat!H:H,Summary_Checking_UL!$D94,DV_AZUL_Stat!E:E)</f>
        <v>9160000000</v>
      </c>
      <c r="G94" s="1">
        <f>SUMIF(DV_AZUL_Stat!H:H,Summary_Checking_UL!$D94,DV_AZUL_Stat!D:D)</f>
        <v>274000000</v>
      </c>
      <c r="H94" s="1">
        <f>SUMIF(DV_AZUL_Stat!H:H,Summary_Checking_UL!$D94,DV_AZUL_Stat!F:F)</f>
        <v>3415683027.7275701</v>
      </c>
      <c r="I94" s="46">
        <f>SUMIF(IT_AZUL_FULL_Stat!$H:$H,Summary_Checking_UL!$D94,IT_AZUL_FULL_Stat!C:C)</f>
        <v>71</v>
      </c>
      <c r="J94" s="46">
        <f>SUMIF(IT_AZUL_FULL_Stat!$H:$H,Summary_Checking_UL!$D94,IT_AZUL_FULL_Stat!E:E)</f>
        <v>9160000000</v>
      </c>
      <c r="K94" s="46">
        <f>SUMIF(IT_AZUL_FULL_Stat!$H:$H,Summary_Checking_UL!$D94,IT_AZUL_FULL_Stat!D:D)</f>
        <v>274000000</v>
      </c>
      <c r="L94" s="46">
        <f>SUMIF(IT_AZUL_FULL_Stat!$H:$H,Summary_Checking_UL!$D94,IT_AZUL_FULL_Stat!F:F)</f>
        <v>3415683023.8096099</v>
      </c>
      <c r="M94" s="7">
        <f t="shared" si="10"/>
        <v>0</v>
      </c>
      <c r="N94" s="7">
        <f t="shared" si="10"/>
        <v>0</v>
      </c>
      <c r="O94" s="7">
        <f t="shared" si="10"/>
        <v>0</v>
      </c>
      <c r="P94" s="7">
        <f t="shared" si="9"/>
        <v>3.9179601669311523</v>
      </c>
      <c r="Q94" s="48">
        <f t="shared" si="12"/>
        <v>0</v>
      </c>
      <c r="R94" s="48">
        <f t="shared" si="12"/>
        <v>0</v>
      </c>
      <c r="S94" s="48">
        <f t="shared" si="12"/>
        <v>0</v>
      </c>
      <c r="T94" s="48">
        <f t="shared" si="11"/>
        <v>1.1470502794376213E-9</v>
      </c>
      <c r="W94" s="46" t="str">
        <f t="shared" si="8"/>
        <v>IDR</v>
      </c>
    </row>
    <row r="95" spans="1:23">
      <c r="A95" s="58" t="str">
        <f>_xlfn.XLOOKUP(B95,[10]Sheet1!$D:$D,[10]Sheet1!$E:$E)</f>
        <v>My Protection Bijak</v>
      </c>
      <c r="B95" t="str">
        <f t="shared" si="7"/>
        <v>ULMPB_</v>
      </c>
      <c r="C95" t="str">
        <f>VLOOKUP(D95,DV_AZUL_Stat!H:I,2,FALSE)</f>
        <v>ULMPB__IDR</v>
      </c>
      <c r="D95" s="59" t="s">
        <v>2004</v>
      </c>
      <c r="E95" s="1">
        <f>SUMIF(DV_AZUL_Stat!H:H,Summary_Checking_UL!$D95,DV_AZUL_Stat!C:C)</f>
        <v>1825</v>
      </c>
      <c r="F95" s="1">
        <f>SUMIF(DV_AZUL_Stat!H:H,Summary_Checking_UL!$D95,DV_AZUL_Stat!E:E)</f>
        <v>956756250000</v>
      </c>
      <c r="G95" s="1">
        <f>SUMIF(DV_AZUL_Stat!H:H,Summary_Checking_UL!$D95,DV_AZUL_Stat!D:D)</f>
        <v>84513149936</v>
      </c>
      <c r="H95" s="1">
        <f>SUMIF(DV_AZUL_Stat!H:H,Summary_Checking_UL!$D95,DV_AZUL_Stat!F:F)</f>
        <v>247611244559.95929</v>
      </c>
      <c r="I95" s="46">
        <f>SUMIF(IT_AZUL_FULL_Stat!$H:$H,Summary_Checking_UL!$D95,IT_AZUL_FULL_Stat!C:C)</f>
        <v>1825</v>
      </c>
      <c r="J95" s="46">
        <f>SUMIF(IT_AZUL_FULL_Stat!$H:$H,Summary_Checking_UL!$D95,IT_AZUL_FULL_Stat!E:E)</f>
        <v>956756250000</v>
      </c>
      <c r="K95" s="46">
        <f>SUMIF(IT_AZUL_FULL_Stat!$H:$H,Summary_Checking_UL!$D95,IT_AZUL_FULL_Stat!D:D)</f>
        <v>84513149936</v>
      </c>
      <c r="L95" s="46">
        <f>SUMIF(IT_AZUL_FULL_Stat!$H:$H,Summary_Checking_UL!$D95,IT_AZUL_FULL_Stat!F:F)</f>
        <v>247611244560.202</v>
      </c>
      <c r="M95" s="7">
        <f t="shared" si="10"/>
        <v>0</v>
      </c>
      <c r="N95" s="7">
        <f t="shared" si="10"/>
        <v>0</v>
      </c>
      <c r="O95" s="7">
        <f t="shared" si="10"/>
        <v>0</v>
      </c>
      <c r="P95" s="7">
        <f t="shared" si="9"/>
        <v>-0.242706298828125</v>
      </c>
      <c r="Q95" s="48">
        <f t="shared" si="12"/>
        <v>0</v>
      </c>
      <c r="R95" s="48">
        <f t="shared" si="12"/>
        <v>0</v>
      </c>
      <c r="S95" s="48">
        <f t="shared" si="12"/>
        <v>0</v>
      </c>
      <c r="T95" s="48">
        <f t="shared" si="11"/>
        <v>-9.8019094108270808E-13</v>
      </c>
      <c r="W95" s="46" t="str">
        <f t="shared" si="8"/>
        <v>IDR</v>
      </c>
    </row>
    <row r="96" spans="1:23">
      <c r="A96" s="58" t="e">
        <f>_xlfn.XLOOKUP(B96,[10]Sheet1!$D:$D,[10]Sheet1!$E:$E)</f>
        <v>#N/A</v>
      </c>
      <c r="B96" t="str">
        <f t="shared" si="7"/>
        <v>ULMPB2</v>
      </c>
      <c r="C96" t="str">
        <f>VLOOKUP(D96,DV_AZUL_Stat!H:I,2,FALSE)</f>
        <v>ULMPB2_IDR</v>
      </c>
      <c r="D96" s="59" t="s">
        <v>2005</v>
      </c>
      <c r="E96" s="1">
        <f>SUMIF(DV_AZUL_Stat!H:H,Summary_Checking_UL!$D96,DV_AZUL_Stat!C:C)</f>
        <v>994</v>
      </c>
      <c r="F96" s="1">
        <f>SUMIF(DV_AZUL_Stat!H:H,Summary_Checking_UL!$D96,DV_AZUL_Stat!E:E)</f>
        <v>460078274980</v>
      </c>
      <c r="G96" s="1">
        <f>SUMIF(DV_AZUL_Stat!H:H,Summary_Checking_UL!$D96,DV_AZUL_Stat!D:D)</f>
        <v>59069355004</v>
      </c>
      <c r="H96" s="1">
        <f>SUMIF(DV_AZUL_Stat!H:H,Summary_Checking_UL!$D96,DV_AZUL_Stat!F:F)</f>
        <v>103522911772.02103</v>
      </c>
      <c r="I96" s="46">
        <f>SUMIF(IT_AZUL_FULL_Stat!$H:$H,Summary_Checking_UL!$D96,IT_AZUL_FULL_Stat!C:C)</f>
        <v>994</v>
      </c>
      <c r="J96" s="46">
        <f>SUMIF(IT_AZUL_FULL_Stat!$H:$H,Summary_Checking_UL!$D96,IT_AZUL_FULL_Stat!E:E)</f>
        <v>460078274980</v>
      </c>
      <c r="K96" s="46">
        <f>SUMIF(IT_AZUL_FULL_Stat!$H:$H,Summary_Checking_UL!$D96,IT_AZUL_FULL_Stat!D:D)</f>
        <v>59069355004</v>
      </c>
      <c r="L96" s="46">
        <f>SUMIF(IT_AZUL_FULL_Stat!$H:$H,Summary_Checking_UL!$D96,IT_AZUL_FULL_Stat!F:F)</f>
        <v>103522911763.40401</v>
      </c>
      <c r="M96" s="7">
        <f t="shared" si="10"/>
        <v>0</v>
      </c>
      <c r="N96" s="7">
        <f t="shared" si="10"/>
        <v>0</v>
      </c>
      <c r="O96" s="7">
        <f t="shared" si="10"/>
        <v>0</v>
      </c>
      <c r="P96" s="7">
        <f t="shared" si="9"/>
        <v>8.6170196533203125</v>
      </c>
      <c r="Q96" s="48">
        <f t="shared" si="12"/>
        <v>0</v>
      </c>
      <c r="R96" s="48">
        <f t="shared" si="12"/>
        <v>0</v>
      </c>
      <c r="S96" s="48">
        <f t="shared" si="12"/>
        <v>0</v>
      </c>
      <c r="T96" s="48">
        <f t="shared" si="11"/>
        <v>8.323780220763151E-11</v>
      </c>
      <c r="W96" s="46" t="str">
        <f t="shared" si="8"/>
        <v>IDR</v>
      </c>
    </row>
    <row r="97" spans="1:23">
      <c r="A97" s="58" t="str">
        <f>_xlfn.XLOOKUP(B97,[10]Sheet1!$D:$D,[10]Sheet1!$E:$E)</f>
        <v>My Protection Investa</v>
      </c>
      <c r="B97" t="str">
        <f t="shared" si="7"/>
        <v>ULMPI_</v>
      </c>
      <c r="C97" t="str">
        <f>VLOOKUP(D97,DV_AZUL_Stat!H:I,2,FALSE)</f>
        <v>ULMPI__IDR</v>
      </c>
      <c r="D97" s="59" t="s">
        <v>2006</v>
      </c>
      <c r="E97" s="1">
        <f>SUMIF(DV_AZUL_Stat!H:H,Summary_Checking_UL!$D97,DV_AZUL_Stat!C:C)</f>
        <v>1038</v>
      </c>
      <c r="F97" s="1">
        <f>SUMIF(DV_AZUL_Stat!H:H,Summary_Checking_UL!$D97,DV_AZUL_Stat!E:E)</f>
        <v>26036775000</v>
      </c>
      <c r="G97" s="1">
        <f>SUMIF(DV_AZUL_Stat!H:H,Summary_Checking_UL!$D97,DV_AZUL_Stat!D:D)</f>
        <v>17357850000</v>
      </c>
      <c r="H97" s="1">
        <f>SUMIF(DV_AZUL_Stat!H:H,Summary_Checking_UL!$D97,DV_AZUL_Stat!F:F)</f>
        <v>230539301424.91028</v>
      </c>
      <c r="I97" s="46">
        <f>SUMIF(IT_AZUL_FULL_Stat!$H:$H,Summary_Checking_UL!$D97,IT_AZUL_FULL_Stat!C:C)</f>
        <v>1038</v>
      </c>
      <c r="J97" s="46">
        <f>SUMIF(IT_AZUL_FULL_Stat!$H:$H,Summary_Checking_UL!$D97,IT_AZUL_FULL_Stat!E:E)</f>
        <v>26036775000</v>
      </c>
      <c r="K97" s="46">
        <f>SUMIF(IT_AZUL_FULL_Stat!$H:$H,Summary_Checking_UL!$D97,IT_AZUL_FULL_Stat!D:D)</f>
        <v>17357850000</v>
      </c>
      <c r="L97" s="46">
        <f>SUMIF(IT_AZUL_FULL_Stat!$H:$H,Summary_Checking_UL!$D97,IT_AZUL_FULL_Stat!F:F)</f>
        <v>230539301433.70901</v>
      </c>
      <c r="M97" s="7">
        <f t="shared" si="10"/>
        <v>0</v>
      </c>
      <c r="N97" s="7">
        <f t="shared" si="10"/>
        <v>0</v>
      </c>
      <c r="O97" s="7">
        <f t="shared" si="10"/>
        <v>0</v>
      </c>
      <c r="P97" s="7">
        <f t="shared" si="9"/>
        <v>-8.798736572265625</v>
      </c>
      <c r="Q97" s="48">
        <f t="shared" si="12"/>
        <v>0</v>
      </c>
      <c r="R97" s="48">
        <f t="shared" si="12"/>
        <v>0</v>
      </c>
      <c r="S97" s="48">
        <f t="shared" si="12"/>
        <v>0</v>
      </c>
      <c r="T97" s="48">
        <f t="shared" si="11"/>
        <v>-3.8165885458777967E-11</v>
      </c>
      <c r="W97" s="46" t="str">
        <f t="shared" si="8"/>
        <v>IDR</v>
      </c>
    </row>
    <row r="98" spans="1:23">
      <c r="A98" s="58" t="str">
        <f>_xlfn.XLOOKUP(B98,[10]Sheet1!$D:$D,[10]Sheet1!$E:$E)</f>
        <v>My Protection Investa</v>
      </c>
      <c r="B98" t="str">
        <f t="shared" si="7"/>
        <v>ULMPI_</v>
      </c>
      <c r="C98" t="str">
        <f>VLOOKUP(D98,DV_AZUL_Stat!H:I,2,FALSE)</f>
        <v>ULMPI__USD</v>
      </c>
      <c r="D98" s="59" t="s">
        <v>2007</v>
      </c>
      <c r="E98" s="1">
        <f>SUMIF(DV_AZUL_Stat!H:H,Summary_Checking_UL!$D98,DV_AZUL_Stat!C:C)</f>
        <v>609</v>
      </c>
      <c r="F98" s="1">
        <f>SUMIF(DV_AZUL_Stat!H:H,Summary_Checking_UL!$D98,DV_AZUL_Stat!E:E)</f>
        <v>1383750</v>
      </c>
      <c r="G98" s="1">
        <f>SUMIF(DV_AZUL_Stat!H:H,Summary_Checking_UL!$D98,DV_AZUL_Stat!D:D)</f>
        <v>922500</v>
      </c>
      <c r="H98" s="1">
        <f>SUMIF(DV_AZUL_Stat!H:H,Summary_Checking_UL!$D98,DV_AZUL_Stat!F:F)</f>
        <v>10410180.530411953</v>
      </c>
      <c r="I98" s="46">
        <f>SUMIF(IT_AZUL_FULL_Stat!$H:$H,Summary_Checking_UL!$D98,IT_AZUL_FULL_Stat!C:C)</f>
        <v>609</v>
      </c>
      <c r="J98" s="46">
        <f>SUMIF(IT_AZUL_FULL_Stat!$H:$H,Summary_Checking_UL!$D98,IT_AZUL_FULL_Stat!E:E)</f>
        <v>1383750</v>
      </c>
      <c r="K98" s="46">
        <f>SUMIF(IT_AZUL_FULL_Stat!$H:$H,Summary_Checking_UL!$D98,IT_AZUL_FULL_Stat!D:D)</f>
        <v>922500</v>
      </c>
      <c r="L98" s="46">
        <f>SUMIF(IT_AZUL_FULL_Stat!$H:$H,Summary_Checking_UL!$D98,IT_AZUL_FULL_Stat!F:F)</f>
        <v>10410186.8296989</v>
      </c>
      <c r="M98" s="7">
        <f t="shared" si="10"/>
        <v>0</v>
      </c>
      <c r="N98" s="7">
        <f t="shared" si="10"/>
        <v>0</v>
      </c>
      <c r="O98" s="7">
        <f t="shared" si="10"/>
        <v>0</v>
      </c>
      <c r="P98" s="7">
        <f t="shared" si="9"/>
        <v>-6.2992869466543198</v>
      </c>
      <c r="Q98" s="48">
        <f t="shared" si="12"/>
        <v>0</v>
      </c>
      <c r="R98" s="48">
        <f t="shared" si="12"/>
        <v>0</v>
      </c>
      <c r="S98" s="48">
        <f t="shared" si="12"/>
        <v>0</v>
      </c>
      <c r="T98" s="48">
        <f t="shared" si="11"/>
        <v>-6.0510796296981716E-7</v>
      </c>
      <c r="W98" s="46" t="str">
        <f t="shared" si="8"/>
        <v>USD</v>
      </c>
    </row>
    <row r="99" spans="1:23">
      <c r="A99" s="58" t="e">
        <f>_xlfn.XLOOKUP(B99,[10]Sheet1!$D:$D,[10]Sheet1!$E:$E)</f>
        <v>#N/A</v>
      </c>
      <c r="B99" t="str">
        <f t="shared" si="7"/>
        <v>ULMPI2</v>
      </c>
      <c r="C99" t="str">
        <f>VLOOKUP(D99,DV_AZUL_Stat!H:I,2,FALSE)</f>
        <v>ULMPI2_IDR</v>
      </c>
      <c r="D99" s="59" t="s">
        <v>2008</v>
      </c>
      <c r="E99" s="1">
        <f>SUMIF(DV_AZUL_Stat!H:H,Summary_Checking_UL!$D99,DV_AZUL_Stat!C:C)</f>
        <v>499</v>
      </c>
      <c r="F99" s="1">
        <f>SUMIF(DV_AZUL_Stat!H:H,Summary_Checking_UL!$D99,DV_AZUL_Stat!E:E)</f>
        <v>53404000000</v>
      </c>
      <c r="G99" s="1">
        <f>SUMIF(DV_AZUL_Stat!H:H,Summary_Checking_UL!$D99,DV_AZUL_Stat!D:D)</f>
        <v>26702000000</v>
      </c>
      <c r="H99" s="1">
        <f>SUMIF(DV_AZUL_Stat!H:H,Summary_Checking_UL!$D99,DV_AZUL_Stat!F:F)</f>
        <v>257480166690.67206</v>
      </c>
      <c r="I99" s="46">
        <f>SUMIF(IT_AZUL_FULL_Stat!$H:$H,Summary_Checking_UL!$D99,IT_AZUL_FULL_Stat!C:C)</f>
        <v>499</v>
      </c>
      <c r="J99" s="46">
        <f>SUMIF(IT_AZUL_FULL_Stat!$H:$H,Summary_Checking_UL!$D99,IT_AZUL_FULL_Stat!E:E)</f>
        <v>53404000000</v>
      </c>
      <c r="K99" s="46">
        <f>SUMIF(IT_AZUL_FULL_Stat!$H:$H,Summary_Checking_UL!$D99,IT_AZUL_FULL_Stat!D:D)</f>
        <v>26702000000</v>
      </c>
      <c r="L99" s="46">
        <f>SUMIF(IT_AZUL_FULL_Stat!$H:$H,Summary_Checking_UL!$D99,IT_AZUL_FULL_Stat!F:F)</f>
        <v>257480166691.68701</v>
      </c>
      <c r="M99" s="7">
        <f t="shared" si="10"/>
        <v>0</v>
      </c>
      <c r="N99" s="7">
        <f t="shared" si="10"/>
        <v>0</v>
      </c>
      <c r="O99" s="7">
        <f t="shared" si="10"/>
        <v>0</v>
      </c>
      <c r="P99" s="7">
        <f t="shared" si="9"/>
        <v>-1.01495361328125</v>
      </c>
      <c r="Q99" s="48">
        <f t="shared" si="12"/>
        <v>0</v>
      </c>
      <c r="R99" s="48">
        <f t="shared" si="12"/>
        <v>0</v>
      </c>
      <c r="S99" s="48">
        <f t="shared" si="12"/>
        <v>0</v>
      </c>
      <c r="T99" s="48">
        <f t="shared" si="11"/>
        <v>-3.9418710432038056E-12</v>
      </c>
      <c r="W99" s="46" t="str">
        <f t="shared" si="8"/>
        <v>IDR</v>
      </c>
    </row>
    <row r="100" spans="1:23">
      <c r="A100" s="58" t="e">
        <f>_xlfn.XLOOKUP(B100,[10]Sheet1!$D:$D,[10]Sheet1!$E:$E)</f>
        <v>#N/A</v>
      </c>
      <c r="B100" t="str">
        <f t="shared" si="7"/>
        <v>ULMPI2</v>
      </c>
      <c r="C100" t="str">
        <f>VLOOKUP(D100,DV_AZUL_Stat!H:I,2,FALSE)</f>
        <v>ULMPI2_USD</v>
      </c>
      <c r="D100" s="59" t="s">
        <v>2009</v>
      </c>
      <c r="E100" s="1">
        <f>SUMIF(DV_AZUL_Stat!H:H,Summary_Checking_UL!$D100,DV_AZUL_Stat!C:C)</f>
        <v>292</v>
      </c>
      <c r="F100" s="1">
        <f>SUMIF(DV_AZUL_Stat!H:H,Summary_Checking_UL!$D100,DV_AZUL_Stat!E:E)</f>
        <v>10572000</v>
      </c>
      <c r="G100" s="1">
        <f>SUMIF(DV_AZUL_Stat!H:H,Summary_Checking_UL!$D100,DV_AZUL_Stat!D:D)</f>
        <v>5286000</v>
      </c>
      <c r="H100" s="1">
        <f>SUMIF(DV_AZUL_Stat!H:H,Summary_Checking_UL!$D100,DV_AZUL_Stat!F:F)</f>
        <v>17335951.174185678</v>
      </c>
      <c r="I100" s="46">
        <f>SUMIF(IT_AZUL_FULL_Stat!$H:$H,Summary_Checking_UL!$D100,IT_AZUL_FULL_Stat!C:C)</f>
        <v>292</v>
      </c>
      <c r="J100" s="46">
        <f>SUMIF(IT_AZUL_FULL_Stat!$H:$H,Summary_Checking_UL!$D100,IT_AZUL_FULL_Stat!E:E)</f>
        <v>10572000</v>
      </c>
      <c r="K100" s="46">
        <f>SUMIF(IT_AZUL_FULL_Stat!$H:$H,Summary_Checking_UL!$D100,IT_AZUL_FULL_Stat!D:D)</f>
        <v>5286000</v>
      </c>
      <c r="L100" s="46">
        <f>SUMIF(IT_AZUL_FULL_Stat!$H:$H,Summary_Checking_UL!$D100,IT_AZUL_FULL_Stat!F:F)</f>
        <v>17335954.471777201</v>
      </c>
      <c r="M100" s="7">
        <f t="shared" si="10"/>
        <v>0</v>
      </c>
      <c r="N100" s="7">
        <f t="shared" si="10"/>
        <v>0</v>
      </c>
      <c r="O100" s="7">
        <f t="shared" si="10"/>
        <v>0</v>
      </c>
      <c r="P100" s="7">
        <f t="shared" si="9"/>
        <v>-3.2975915223360062</v>
      </c>
      <c r="Q100" s="48">
        <f t="shared" si="12"/>
        <v>0</v>
      </c>
      <c r="R100" s="48">
        <f t="shared" si="12"/>
        <v>0</v>
      </c>
      <c r="S100" s="48">
        <f t="shared" si="12"/>
        <v>0</v>
      </c>
      <c r="T100" s="48">
        <f t="shared" si="11"/>
        <v>-1.9021690024073722E-7</v>
      </c>
      <c r="W100" s="46" t="str">
        <f t="shared" si="8"/>
        <v>USD</v>
      </c>
    </row>
    <row r="101" spans="1:23">
      <c r="A101" s="58" t="str">
        <f>_xlfn.XLOOKUP(B101,[10]Sheet1!$D:$D,[10]Sheet1!$E:$E)</f>
        <v>MyProtection Infinite</v>
      </c>
      <c r="B101" t="str">
        <f t="shared" si="7"/>
        <v>ULMPIN</v>
      </c>
      <c r="C101" t="str">
        <f>VLOOKUP(D101,DV_AZUL_Stat!H:I,2,FALSE)</f>
        <v>ULMPIN_IDR</v>
      </c>
      <c r="D101" s="59" t="s">
        <v>2010</v>
      </c>
      <c r="E101" s="1">
        <f>SUMIF(DV_AZUL_Stat!H:H,Summary_Checking_UL!$D101,DV_AZUL_Stat!C:C)</f>
        <v>520</v>
      </c>
      <c r="F101" s="1">
        <f>SUMIF(DV_AZUL_Stat!H:H,Summary_Checking_UL!$D101,DV_AZUL_Stat!E:E)</f>
        <v>3049565320061.2002</v>
      </c>
      <c r="G101" s="1">
        <f>SUMIF(DV_AZUL_Stat!H:H,Summary_Checking_UL!$D101,DV_AZUL_Stat!D:D)</f>
        <v>86246999996</v>
      </c>
      <c r="H101" s="1">
        <f>SUMIF(DV_AZUL_Stat!H:H,Summary_Checking_UL!$D101,DV_AZUL_Stat!F:F)</f>
        <v>279873162626.03723</v>
      </c>
      <c r="I101" s="46">
        <f>SUMIF(IT_AZUL_FULL_Stat!$H:$H,Summary_Checking_UL!$D101,IT_AZUL_FULL_Stat!C:C)</f>
        <v>520</v>
      </c>
      <c r="J101" s="46">
        <f>SUMIF(IT_AZUL_FULL_Stat!$H:$H,Summary_Checking_UL!$D101,IT_AZUL_FULL_Stat!E:E)</f>
        <v>3049565320061.2002</v>
      </c>
      <c r="K101" s="46">
        <f>SUMIF(IT_AZUL_FULL_Stat!$H:$H,Summary_Checking_UL!$D101,IT_AZUL_FULL_Stat!D:D)</f>
        <v>86246999996</v>
      </c>
      <c r="L101" s="46">
        <f>SUMIF(IT_AZUL_FULL_Stat!$H:$H,Summary_Checking_UL!$D101,IT_AZUL_FULL_Stat!F:F)</f>
        <v>279873162631.685</v>
      </c>
      <c r="M101" s="7">
        <f t="shared" si="10"/>
        <v>0</v>
      </c>
      <c r="N101" s="7">
        <f t="shared" si="10"/>
        <v>0</v>
      </c>
      <c r="O101" s="7">
        <f t="shared" si="10"/>
        <v>0</v>
      </c>
      <c r="P101" s="7">
        <f t="shared" si="9"/>
        <v>-5.64776611328125</v>
      </c>
      <c r="Q101" s="48">
        <f t="shared" si="12"/>
        <v>0</v>
      </c>
      <c r="R101" s="48">
        <f t="shared" si="12"/>
        <v>0</v>
      </c>
      <c r="S101" s="48">
        <f t="shared" si="12"/>
        <v>0</v>
      </c>
      <c r="T101" s="48">
        <f t="shared" si="11"/>
        <v>-2.0179734491776723E-11</v>
      </c>
      <c r="W101" s="46" t="str">
        <f t="shared" si="8"/>
        <v>IDR</v>
      </c>
    </row>
    <row r="102" spans="1:23">
      <c r="A102" s="58" t="str">
        <f>_xlfn.XLOOKUP(B102,[10]Sheet1!$D:$D,[10]Sheet1!$E:$E)</f>
        <v>MyProtection Infinite</v>
      </c>
      <c r="B102" t="str">
        <f t="shared" si="7"/>
        <v>ULMPIN</v>
      </c>
      <c r="C102" t="str">
        <f>VLOOKUP(D102,DV_AZUL_Stat!H:I,2,FALSE)</f>
        <v>ULMPIN_USD</v>
      </c>
      <c r="D102" s="59" t="s">
        <v>2011</v>
      </c>
      <c r="E102" s="1">
        <f>SUMIF(DV_AZUL_Stat!H:H,Summary_Checking_UL!$D102,DV_AZUL_Stat!C:C)</f>
        <v>269</v>
      </c>
      <c r="F102" s="1">
        <f>SUMIF(DV_AZUL_Stat!H:H,Summary_Checking_UL!$D102,DV_AZUL_Stat!E:E)</f>
        <v>111968334.55800001</v>
      </c>
      <c r="G102" s="1">
        <f>SUMIF(DV_AZUL_Stat!H:H,Summary_Checking_UL!$D102,DV_AZUL_Stat!D:D)</f>
        <v>4484358</v>
      </c>
      <c r="H102" s="1">
        <f>SUMIF(DV_AZUL_Stat!H:H,Summary_Checking_UL!$D102,DV_AZUL_Stat!F:F)</f>
        <v>17268040.140251067</v>
      </c>
      <c r="I102" s="46">
        <f>SUMIF(IT_AZUL_FULL_Stat!$H:$H,Summary_Checking_UL!$D102,IT_AZUL_FULL_Stat!C:C)</f>
        <v>269</v>
      </c>
      <c r="J102" s="46">
        <f>SUMIF(IT_AZUL_FULL_Stat!$H:$H,Summary_Checking_UL!$D102,IT_AZUL_FULL_Stat!E:E)</f>
        <v>111968334.558</v>
      </c>
      <c r="K102" s="46">
        <f>SUMIF(IT_AZUL_FULL_Stat!$H:$H,Summary_Checking_UL!$D102,IT_AZUL_FULL_Stat!D:D)</f>
        <v>4484358</v>
      </c>
      <c r="L102" s="46">
        <f>SUMIF(IT_AZUL_FULL_Stat!$H:$H,Summary_Checking_UL!$D102,IT_AZUL_FULL_Stat!F:F)</f>
        <v>17268045.069698401</v>
      </c>
      <c r="M102" s="7">
        <f t="shared" si="10"/>
        <v>0</v>
      </c>
      <c r="N102" s="7">
        <f t="shared" si="10"/>
        <v>0</v>
      </c>
      <c r="O102" s="7">
        <f t="shared" si="10"/>
        <v>0</v>
      </c>
      <c r="P102" s="7">
        <f t="shared" si="9"/>
        <v>-4.9294473342597485</v>
      </c>
      <c r="Q102" s="48">
        <f t="shared" si="12"/>
        <v>0</v>
      </c>
      <c r="R102" s="48">
        <f t="shared" si="12"/>
        <v>0</v>
      </c>
      <c r="S102" s="48">
        <f t="shared" si="12"/>
        <v>0</v>
      </c>
      <c r="T102" s="48">
        <f t="shared" si="11"/>
        <v>-2.8546643898386844E-7</v>
      </c>
      <c r="W102" s="46" t="str">
        <f t="shared" si="8"/>
        <v>USD</v>
      </c>
    </row>
    <row r="103" spans="1:23">
      <c r="A103" s="58" t="e">
        <f>_xlfn.XLOOKUP(B103,[10]Sheet1!$D:$D,[10]Sheet1!$E:$E)</f>
        <v>#N/A</v>
      </c>
      <c r="B103" t="str">
        <f t="shared" si="7"/>
        <v>ULMPN2</v>
      </c>
      <c r="C103" t="str">
        <f>VLOOKUP(D103,DV_AZUL_Stat!H:I,2,FALSE)</f>
        <v>ULMPN2_IDR</v>
      </c>
      <c r="D103" s="59" t="s">
        <v>2012</v>
      </c>
      <c r="E103" s="1">
        <f>SUMIF(DV_AZUL_Stat!H:H,Summary_Checking_UL!$D103,DV_AZUL_Stat!C:C)</f>
        <v>74</v>
      </c>
      <c r="F103" s="1">
        <f>SUMIF(DV_AZUL_Stat!H:H,Summary_Checking_UL!$D103,DV_AZUL_Stat!E:E)</f>
        <v>460688305012</v>
      </c>
      <c r="G103" s="1">
        <f>SUMIF(DV_AZUL_Stat!H:H,Summary_Checking_UL!$D103,DV_AZUL_Stat!D:D)</f>
        <v>13890000000</v>
      </c>
      <c r="H103" s="1">
        <f>SUMIF(DV_AZUL_Stat!H:H,Summary_Checking_UL!$D103,DV_AZUL_Stat!F:F)</f>
        <v>26800339816.519638</v>
      </c>
      <c r="I103" s="46">
        <f>SUMIF(IT_AZUL_FULL_Stat!$H:$H,Summary_Checking_UL!$D103,IT_AZUL_FULL_Stat!C:C)</f>
        <v>74</v>
      </c>
      <c r="J103" s="46">
        <f>SUMIF(IT_AZUL_FULL_Stat!$H:$H,Summary_Checking_UL!$D103,IT_AZUL_FULL_Stat!E:E)</f>
        <v>460688305012</v>
      </c>
      <c r="K103" s="46">
        <f>SUMIF(IT_AZUL_FULL_Stat!$H:$H,Summary_Checking_UL!$D103,IT_AZUL_FULL_Stat!D:D)</f>
        <v>13890000000</v>
      </c>
      <c r="L103" s="46">
        <f>SUMIF(IT_AZUL_FULL_Stat!$H:$H,Summary_Checking_UL!$D103,IT_AZUL_FULL_Stat!F:F)</f>
        <v>26800339815.436798</v>
      </c>
      <c r="M103" s="7">
        <f t="shared" si="10"/>
        <v>0</v>
      </c>
      <c r="N103" s="7">
        <f t="shared" si="10"/>
        <v>0</v>
      </c>
      <c r="O103" s="7">
        <f t="shared" si="10"/>
        <v>0</v>
      </c>
      <c r="P103" s="7">
        <f t="shared" si="9"/>
        <v>1.0828399658203125</v>
      </c>
      <c r="Q103" s="48">
        <f t="shared" si="12"/>
        <v>0</v>
      </c>
      <c r="R103" s="48">
        <f t="shared" si="12"/>
        <v>0</v>
      </c>
      <c r="S103" s="48">
        <f t="shared" si="12"/>
        <v>0</v>
      </c>
      <c r="T103" s="48">
        <f t="shared" si="11"/>
        <v>4.0403964027224935E-11</v>
      </c>
      <c r="W103" s="46" t="str">
        <f t="shared" si="8"/>
        <v>IDR</v>
      </c>
    </row>
    <row r="104" spans="1:23">
      <c r="A104" s="58" t="e">
        <f>_xlfn.XLOOKUP(B104,[10]Sheet1!$D:$D,[10]Sheet1!$E:$E)</f>
        <v>#N/A</v>
      </c>
      <c r="B104" t="str">
        <f t="shared" si="7"/>
        <v>ULMPN2</v>
      </c>
      <c r="C104" t="str">
        <f>VLOOKUP(D104,DV_AZUL_Stat!H:I,2,FALSE)</f>
        <v>ULMPN2_USD</v>
      </c>
      <c r="D104" s="59" t="s">
        <v>2013</v>
      </c>
      <c r="E104" s="1">
        <f>SUMIF(DV_AZUL_Stat!H:H,Summary_Checking_UL!$D104,DV_AZUL_Stat!C:C)</f>
        <v>13</v>
      </c>
      <c r="F104" s="1">
        <f>SUMIF(DV_AZUL_Stat!H:H,Summary_Checking_UL!$D104,DV_AZUL_Stat!E:E)</f>
        <v>5160000</v>
      </c>
      <c r="G104" s="1">
        <f>SUMIF(DV_AZUL_Stat!H:H,Summary_Checking_UL!$D104,DV_AZUL_Stat!D:D)</f>
        <v>206000</v>
      </c>
      <c r="H104" s="1">
        <f>SUMIF(DV_AZUL_Stat!H:H,Summary_Checking_UL!$D104,DV_AZUL_Stat!F:F)</f>
        <v>379594.26532533998</v>
      </c>
      <c r="I104" s="46">
        <f>SUMIF(IT_AZUL_FULL_Stat!$H:$H,Summary_Checking_UL!$D104,IT_AZUL_FULL_Stat!C:C)</f>
        <v>13</v>
      </c>
      <c r="J104" s="46">
        <f>SUMIF(IT_AZUL_FULL_Stat!$H:$H,Summary_Checking_UL!$D104,IT_AZUL_FULL_Stat!E:E)</f>
        <v>5160000</v>
      </c>
      <c r="K104" s="46">
        <f>SUMIF(IT_AZUL_FULL_Stat!$H:$H,Summary_Checking_UL!$D104,IT_AZUL_FULL_Stat!D:D)</f>
        <v>206000</v>
      </c>
      <c r="L104" s="46">
        <f>SUMIF(IT_AZUL_FULL_Stat!$H:$H,Summary_Checking_UL!$D104,IT_AZUL_FULL_Stat!F:F)</f>
        <v>379594.24535878003</v>
      </c>
      <c r="M104" s="7">
        <f t="shared" si="10"/>
        <v>0</v>
      </c>
      <c r="N104" s="7">
        <f t="shared" si="10"/>
        <v>0</v>
      </c>
      <c r="O104" s="7">
        <f t="shared" si="10"/>
        <v>0</v>
      </c>
      <c r="P104" s="7">
        <f t="shared" si="9"/>
        <v>1.9966559950262308E-2</v>
      </c>
      <c r="Q104" s="48">
        <f t="shared" si="12"/>
        <v>0</v>
      </c>
      <c r="R104" s="48">
        <f t="shared" si="12"/>
        <v>0</v>
      </c>
      <c r="S104" s="48">
        <f t="shared" si="12"/>
        <v>0</v>
      </c>
      <c r="T104" s="48">
        <f t="shared" si="11"/>
        <v>5.2599743527172205E-8</v>
      </c>
      <c r="W104" s="46" t="str">
        <f t="shared" si="8"/>
        <v>USD</v>
      </c>
    </row>
    <row r="105" spans="1:23">
      <c r="A105" s="58" t="str">
        <f>_xlfn.XLOOKUP(B105,[10]Sheet1!$D:$D,[10]Sheet1!$E:$E)</f>
        <v>My Protection Prima</v>
      </c>
      <c r="B105" t="str">
        <f t="shared" si="7"/>
        <v>ULMPP_</v>
      </c>
      <c r="C105" t="str">
        <f>VLOOKUP(D105,DV_AZUL_Stat!H:I,2,FALSE)</f>
        <v>ULMPP__IDR</v>
      </c>
      <c r="D105" s="59" t="s">
        <v>2014</v>
      </c>
      <c r="E105" s="1">
        <f>SUMIF(DV_AZUL_Stat!H:H,Summary_Checking_UL!$D105,DV_AZUL_Stat!C:C)</f>
        <v>4265</v>
      </c>
      <c r="F105" s="1">
        <f>SUMIF(DV_AZUL_Stat!H:H,Summary_Checking_UL!$D105,DV_AZUL_Stat!E:E)</f>
        <v>2960407000020</v>
      </c>
      <c r="G105" s="1">
        <f>SUMIF(DV_AZUL_Stat!H:H,Summary_Checking_UL!$D105,DV_AZUL_Stat!D:D)</f>
        <v>192416028664</v>
      </c>
      <c r="H105" s="1">
        <f>SUMIF(DV_AZUL_Stat!H:H,Summary_Checking_UL!$D105,DV_AZUL_Stat!F:F)</f>
        <v>636261785289.80457</v>
      </c>
      <c r="I105" s="46">
        <f>SUMIF(IT_AZUL_FULL_Stat!$H:$H,Summary_Checking_UL!$D105,IT_AZUL_FULL_Stat!C:C)</f>
        <v>4265</v>
      </c>
      <c r="J105" s="46">
        <f>SUMIF(IT_AZUL_FULL_Stat!$H:$H,Summary_Checking_UL!$D105,IT_AZUL_FULL_Stat!E:E)</f>
        <v>2960407000020</v>
      </c>
      <c r="K105" s="46">
        <f>SUMIF(IT_AZUL_FULL_Stat!$H:$H,Summary_Checking_UL!$D105,IT_AZUL_FULL_Stat!D:D)</f>
        <v>192416028664</v>
      </c>
      <c r="L105" s="46">
        <f>SUMIF(IT_AZUL_FULL_Stat!$H:$H,Summary_Checking_UL!$D105,IT_AZUL_FULL_Stat!F:F)</f>
        <v>636261785303.78699</v>
      </c>
      <c r="M105" s="7">
        <f t="shared" si="10"/>
        <v>0</v>
      </c>
      <c r="N105" s="7">
        <f t="shared" si="10"/>
        <v>0</v>
      </c>
      <c r="O105" s="7">
        <f t="shared" si="10"/>
        <v>0</v>
      </c>
      <c r="P105" s="7">
        <f t="shared" si="9"/>
        <v>-13.982421875</v>
      </c>
      <c r="Q105" s="48">
        <f t="shared" si="12"/>
        <v>0</v>
      </c>
      <c r="R105" s="48">
        <f t="shared" si="12"/>
        <v>0</v>
      </c>
      <c r="S105" s="48">
        <f t="shared" si="12"/>
        <v>0</v>
      </c>
      <c r="T105" s="48">
        <f t="shared" si="11"/>
        <v>-2.1975894510659647E-11</v>
      </c>
      <c r="W105" s="46" t="str">
        <f t="shared" si="8"/>
        <v>IDR</v>
      </c>
    </row>
    <row r="106" spans="1:23">
      <c r="A106" s="58" t="str">
        <f>_xlfn.XLOOKUP(B106,[10]Sheet1!$D:$D,[10]Sheet1!$E:$E)</f>
        <v>My Protection Prima</v>
      </c>
      <c r="B106" t="str">
        <f t="shared" si="7"/>
        <v>ULMPP_</v>
      </c>
      <c r="C106" t="str">
        <f>VLOOKUP(D106,DV_AZUL_Stat!H:I,2,FALSE)</f>
        <v>ULMPP__USD</v>
      </c>
      <c r="D106" s="59" t="s">
        <v>2015</v>
      </c>
      <c r="E106" s="1">
        <f>SUMIF(DV_AZUL_Stat!H:H,Summary_Checking_UL!$D106,DV_AZUL_Stat!C:C)</f>
        <v>641</v>
      </c>
      <c r="F106" s="1">
        <f>SUMIF(DV_AZUL_Stat!H:H,Summary_Checking_UL!$D106,DV_AZUL_Stat!E:E)</f>
        <v>20367000</v>
      </c>
      <c r="G106" s="1">
        <f>SUMIF(DV_AZUL_Stat!H:H,Summary_Checking_UL!$D106,DV_AZUL_Stat!D:D)</f>
        <v>2783880</v>
      </c>
      <c r="H106" s="1">
        <f>SUMIF(DV_AZUL_Stat!H:H,Summary_Checking_UL!$D106,DV_AZUL_Stat!F:F)</f>
        <v>10994139.954268927</v>
      </c>
      <c r="I106" s="46">
        <f>SUMIF(IT_AZUL_FULL_Stat!$H:$H,Summary_Checking_UL!$D106,IT_AZUL_FULL_Stat!C:C)</f>
        <v>641</v>
      </c>
      <c r="J106" s="46">
        <f>SUMIF(IT_AZUL_FULL_Stat!$H:$H,Summary_Checking_UL!$D106,IT_AZUL_FULL_Stat!E:E)</f>
        <v>20367000</v>
      </c>
      <c r="K106" s="46">
        <f>SUMIF(IT_AZUL_FULL_Stat!$H:$H,Summary_Checking_UL!$D106,IT_AZUL_FULL_Stat!D:D)</f>
        <v>2783880</v>
      </c>
      <c r="L106" s="46">
        <f>SUMIF(IT_AZUL_FULL_Stat!$H:$H,Summary_Checking_UL!$D106,IT_AZUL_FULL_Stat!F:F)</f>
        <v>10994125.698561599</v>
      </c>
      <c r="M106" s="7">
        <f t="shared" si="10"/>
        <v>0</v>
      </c>
      <c r="N106" s="7">
        <f t="shared" si="10"/>
        <v>0</v>
      </c>
      <c r="O106" s="7">
        <f t="shared" si="10"/>
        <v>0</v>
      </c>
      <c r="P106" s="7">
        <f t="shared" si="9"/>
        <v>14.255707327276468</v>
      </c>
      <c r="Q106" s="48">
        <f t="shared" si="12"/>
        <v>0</v>
      </c>
      <c r="R106" s="48">
        <f t="shared" si="12"/>
        <v>0</v>
      </c>
      <c r="S106" s="48">
        <f t="shared" si="12"/>
        <v>0</v>
      </c>
      <c r="T106" s="48">
        <f t="shared" si="11"/>
        <v>1.2966658484850316E-6</v>
      </c>
      <c r="W106" s="46" t="str">
        <f t="shared" si="8"/>
        <v>USD</v>
      </c>
    </row>
    <row r="107" spans="1:23">
      <c r="A107" s="58" t="str">
        <f>_xlfn.XLOOKUP(B107,[10]Sheet1!$D:$D,[10]Sheet1!$E:$E)</f>
        <v>MyProtection Prima II</v>
      </c>
      <c r="B107" t="str">
        <f t="shared" si="7"/>
        <v>ULMPP2</v>
      </c>
      <c r="C107" t="str">
        <f>VLOOKUP(D107,DV_AZUL_Stat!H:I,2,FALSE)</f>
        <v>ULMPP2_IDR</v>
      </c>
      <c r="D107" s="59" t="s">
        <v>2016</v>
      </c>
      <c r="E107" s="1">
        <f>SUMIF(DV_AZUL_Stat!H:H,Summary_Checking_UL!$D107,DV_AZUL_Stat!C:C)</f>
        <v>1095</v>
      </c>
      <c r="F107" s="1">
        <f>SUMIF(DV_AZUL_Stat!H:H,Summary_Checking_UL!$D107,DV_AZUL_Stat!E:E)</f>
        <v>616816789658</v>
      </c>
      <c r="G107" s="1">
        <f>SUMIF(DV_AZUL_Stat!H:H,Summary_Checking_UL!$D107,DV_AZUL_Stat!D:D)</f>
        <v>56241204968</v>
      </c>
      <c r="H107" s="1">
        <f>SUMIF(DV_AZUL_Stat!H:H,Summary_Checking_UL!$D107,DV_AZUL_Stat!F:F)</f>
        <v>149701823341.70132</v>
      </c>
      <c r="I107" s="46">
        <f>SUMIF(IT_AZUL_FULL_Stat!$H:$H,Summary_Checking_UL!$D107,IT_AZUL_FULL_Stat!C:C)</f>
        <v>1095</v>
      </c>
      <c r="J107" s="46">
        <f>SUMIF(IT_AZUL_FULL_Stat!$H:$H,Summary_Checking_UL!$D107,IT_AZUL_FULL_Stat!E:E)</f>
        <v>616816789658</v>
      </c>
      <c r="K107" s="46">
        <f>SUMIF(IT_AZUL_FULL_Stat!$H:$H,Summary_Checking_UL!$D107,IT_AZUL_FULL_Stat!D:D)</f>
        <v>56241204968</v>
      </c>
      <c r="L107" s="46">
        <f>SUMIF(IT_AZUL_FULL_Stat!$H:$H,Summary_Checking_UL!$D107,IT_AZUL_FULL_Stat!F:F)</f>
        <v>149701823349.108</v>
      </c>
      <c r="M107" s="7">
        <f t="shared" si="10"/>
        <v>0</v>
      </c>
      <c r="N107" s="7">
        <f t="shared" si="10"/>
        <v>0</v>
      </c>
      <c r="O107" s="7">
        <f t="shared" si="10"/>
        <v>0</v>
      </c>
      <c r="P107" s="7">
        <f t="shared" si="9"/>
        <v>-7.40667724609375</v>
      </c>
      <c r="Q107" s="48">
        <f t="shared" si="12"/>
        <v>0</v>
      </c>
      <c r="R107" s="48">
        <f t="shared" si="12"/>
        <v>0</v>
      </c>
      <c r="S107" s="48">
        <f t="shared" si="12"/>
        <v>0</v>
      </c>
      <c r="T107" s="48">
        <f t="shared" si="11"/>
        <v>-4.947619928997934E-11</v>
      </c>
      <c r="W107" s="46" t="str">
        <f t="shared" si="8"/>
        <v>IDR</v>
      </c>
    </row>
    <row r="108" spans="1:23">
      <c r="A108" s="58" t="str">
        <f>_xlfn.XLOOKUP(B108,[10]Sheet1!$D:$D,[10]Sheet1!$E:$E)</f>
        <v>MyProtection Prima II</v>
      </c>
      <c r="B108" t="str">
        <f t="shared" si="7"/>
        <v>ULMPP2</v>
      </c>
      <c r="C108" t="str">
        <f>VLOOKUP(D108,DV_AZUL_Stat!H:I,2,FALSE)</f>
        <v>ULMPP2_USD</v>
      </c>
      <c r="D108" s="59" t="s">
        <v>2017</v>
      </c>
      <c r="E108" s="1">
        <f>SUMIF(DV_AZUL_Stat!H:H,Summary_Checking_UL!$D108,DV_AZUL_Stat!C:C)</f>
        <v>75</v>
      </c>
      <c r="F108" s="1">
        <f>SUMIF(DV_AZUL_Stat!H:H,Summary_Checking_UL!$D108,DV_AZUL_Stat!E:E)</f>
        <v>3710500</v>
      </c>
      <c r="G108" s="1">
        <f>SUMIF(DV_AZUL_Stat!H:H,Summary_Checking_UL!$D108,DV_AZUL_Stat!D:D)</f>
        <v>419096</v>
      </c>
      <c r="H108" s="1">
        <f>SUMIF(DV_AZUL_Stat!H:H,Summary_Checking_UL!$D108,DV_AZUL_Stat!F:F)</f>
        <v>1461920.11234057</v>
      </c>
      <c r="I108" s="46">
        <f>SUMIF(IT_AZUL_FULL_Stat!$H:$H,Summary_Checking_UL!$D108,IT_AZUL_FULL_Stat!C:C)</f>
        <v>75</v>
      </c>
      <c r="J108" s="46">
        <f>SUMIF(IT_AZUL_FULL_Stat!$H:$H,Summary_Checking_UL!$D108,IT_AZUL_FULL_Stat!E:E)</f>
        <v>3710500</v>
      </c>
      <c r="K108" s="46">
        <f>SUMIF(IT_AZUL_FULL_Stat!$H:$H,Summary_Checking_UL!$D108,IT_AZUL_FULL_Stat!D:D)</f>
        <v>419096</v>
      </c>
      <c r="L108" s="46">
        <f>SUMIF(IT_AZUL_FULL_Stat!$H:$H,Summary_Checking_UL!$D108,IT_AZUL_FULL_Stat!F:F)</f>
        <v>1461915.6524769501</v>
      </c>
      <c r="M108" s="7">
        <f t="shared" si="10"/>
        <v>0</v>
      </c>
      <c r="N108" s="7">
        <f t="shared" si="10"/>
        <v>0</v>
      </c>
      <c r="O108" s="7">
        <f t="shared" si="10"/>
        <v>0</v>
      </c>
      <c r="P108" s="7">
        <f t="shared" si="9"/>
        <v>4.4598636198788881</v>
      </c>
      <c r="Q108" s="48">
        <f t="shared" si="12"/>
        <v>0</v>
      </c>
      <c r="R108" s="48">
        <f t="shared" si="12"/>
        <v>0</v>
      </c>
      <c r="S108" s="48">
        <f t="shared" si="12"/>
        <v>0</v>
      </c>
      <c r="T108" s="48">
        <f t="shared" si="11"/>
        <v>3.0506983165016808E-6</v>
      </c>
      <c r="W108" s="46" t="str">
        <f t="shared" si="8"/>
        <v>USD</v>
      </c>
    </row>
    <row r="109" spans="1:23">
      <c r="A109" s="58" t="str">
        <f>_xlfn.XLOOKUP(B109,[10]Sheet1!$D:$D,[10]Sheet1!$E:$E)</f>
        <v>My Protection Sejahtera</v>
      </c>
      <c r="B109" t="str">
        <f t="shared" si="7"/>
        <v>ULMPS_</v>
      </c>
      <c r="C109" t="str">
        <f>VLOOKUP(D109,DV_AZUL_Stat!H:I,2,FALSE)</f>
        <v>ULMPS__IDR</v>
      </c>
      <c r="D109" s="59" t="s">
        <v>2018</v>
      </c>
      <c r="E109" s="1">
        <f>SUMIF(DV_AZUL_Stat!H:H,Summary_Checking_UL!$D109,DV_AZUL_Stat!C:C)</f>
        <v>1556</v>
      </c>
      <c r="F109" s="1">
        <f>SUMIF(DV_AZUL_Stat!H:H,Summary_Checking_UL!$D109,DV_AZUL_Stat!E:E)</f>
        <v>961019165000</v>
      </c>
      <c r="G109" s="1">
        <f>SUMIF(DV_AZUL_Stat!H:H,Summary_Checking_UL!$D109,DV_AZUL_Stat!D:D)</f>
        <v>14901432928</v>
      </c>
      <c r="H109" s="1">
        <f>SUMIF(DV_AZUL_Stat!H:H,Summary_Checking_UL!$D109,DV_AZUL_Stat!F:F)</f>
        <v>19545790332.387817</v>
      </c>
      <c r="I109" s="46">
        <f>SUMIF(IT_AZUL_FULL_Stat!$H:$H,Summary_Checking_UL!$D109,IT_AZUL_FULL_Stat!C:C)</f>
        <v>1556</v>
      </c>
      <c r="J109" s="46">
        <f>SUMIF(IT_AZUL_FULL_Stat!$H:$H,Summary_Checking_UL!$D109,IT_AZUL_FULL_Stat!E:E)</f>
        <v>961019165000</v>
      </c>
      <c r="K109" s="46">
        <f>SUMIF(IT_AZUL_FULL_Stat!$H:$H,Summary_Checking_UL!$D109,IT_AZUL_FULL_Stat!D:D)</f>
        <v>14901432928</v>
      </c>
      <c r="L109" s="46">
        <f>SUMIF(IT_AZUL_FULL_Stat!$H:$H,Summary_Checking_UL!$D109,IT_AZUL_FULL_Stat!F:F)</f>
        <v>19545790319.092499</v>
      </c>
      <c r="M109" s="7">
        <f t="shared" si="10"/>
        <v>0</v>
      </c>
      <c r="N109" s="7">
        <f t="shared" si="10"/>
        <v>0</v>
      </c>
      <c r="O109" s="7">
        <f t="shared" si="10"/>
        <v>0</v>
      </c>
      <c r="P109" s="7">
        <f t="shared" si="9"/>
        <v>13.295318603515625</v>
      </c>
      <c r="Q109" s="48">
        <f t="shared" si="12"/>
        <v>0</v>
      </c>
      <c r="R109" s="48">
        <f t="shared" si="12"/>
        <v>0</v>
      </c>
      <c r="S109" s="48">
        <f t="shared" si="12"/>
        <v>0</v>
      </c>
      <c r="T109" s="48">
        <f t="shared" si="11"/>
        <v>6.8021391749652822E-10</v>
      </c>
      <c r="W109" s="46" t="str">
        <f t="shared" si="8"/>
        <v>IDR</v>
      </c>
    </row>
    <row r="110" spans="1:23">
      <c r="A110" s="58" t="str">
        <f>_xlfn.XLOOKUP(B110,[10]Sheet1!$D:$D,[10]Sheet1!$E:$E)</f>
        <v>MyProtection Supreme</v>
      </c>
      <c r="B110" t="str">
        <f t="shared" si="7"/>
        <v>ULMSU_</v>
      </c>
      <c r="C110" t="str">
        <f>VLOOKUP(D110,DV_AZUL_Stat!H:I,2,FALSE)</f>
        <v>ULMSU__IDR</v>
      </c>
      <c r="D110" s="59" t="s">
        <v>2019</v>
      </c>
      <c r="E110" s="1">
        <f>SUMIF(DV_AZUL_Stat!H:H,Summary_Checking_UL!$D110,DV_AZUL_Stat!C:C)</f>
        <v>202</v>
      </c>
      <c r="F110" s="1">
        <f>SUMIF(DV_AZUL_Stat!H:H,Summary_Checking_UL!$D110,DV_AZUL_Stat!E:E)</f>
        <v>475200000000</v>
      </c>
      <c r="G110" s="1">
        <f>SUMIF(DV_AZUL_Stat!H:H,Summary_Checking_UL!$D110,DV_AZUL_Stat!D:D)</f>
        <v>14987400000</v>
      </c>
      <c r="H110" s="1">
        <f>SUMIF(DV_AZUL_Stat!H:H,Summary_Checking_UL!$D110,DV_AZUL_Stat!F:F)</f>
        <v>39590969650.676605</v>
      </c>
      <c r="I110" s="46">
        <f>SUMIF(IT_AZUL_FULL_Stat!$H:$H,Summary_Checking_UL!$D110,IT_AZUL_FULL_Stat!C:C)</f>
        <v>202</v>
      </c>
      <c r="J110" s="46">
        <f>SUMIF(IT_AZUL_FULL_Stat!$H:$H,Summary_Checking_UL!$D110,IT_AZUL_FULL_Stat!E:E)</f>
        <v>475200000000</v>
      </c>
      <c r="K110" s="46">
        <f>SUMIF(IT_AZUL_FULL_Stat!$H:$H,Summary_Checking_UL!$D110,IT_AZUL_FULL_Stat!D:D)</f>
        <v>14987400000</v>
      </c>
      <c r="L110" s="46">
        <f>SUMIF(IT_AZUL_FULL_Stat!$H:$H,Summary_Checking_UL!$D110,IT_AZUL_FULL_Stat!F:F)</f>
        <v>39590969644.666801</v>
      </c>
      <c r="M110" s="7">
        <f t="shared" si="10"/>
        <v>0</v>
      </c>
      <c r="N110" s="7">
        <f t="shared" si="10"/>
        <v>0</v>
      </c>
      <c r="O110" s="7">
        <f t="shared" si="10"/>
        <v>0</v>
      </c>
      <c r="P110" s="7">
        <f t="shared" si="9"/>
        <v>6.0098037719726563</v>
      </c>
      <c r="Q110" s="48">
        <f t="shared" si="12"/>
        <v>0</v>
      </c>
      <c r="R110" s="48">
        <f t="shared" si="12"/>
        <v>0</v>
      </c>
      <c r="S110" s="48">
        <f t="shared" si="12"/>
        <v>0</v>
      </c>
      <c r="T110" s="48">
        <f t="shared" si="11"/>
        <v>1.5179733726936445E-10</v>
      </c>
      <c r="W110" s="46" t="str">
        <f t="shared" si="8"/>
        <v>IDR</v>
      </c>
    </row>
    <row r="111" spans="1:23">
      <c r="A111" s="58" t="str">
        <f>_xlfn.XLOOKUP(B111,[10]Sheet1!$D:$D,[10]Sheet1!$E:$E)</f>
        <v>MyProtection Supreme</v>
      </c>
      <c r="B111" t="str">
        <f t="shared" si="7"/>
        <v>ULMSU_</v>
      </c>
      <c r="C111" t="str">
        <f>VLOOKUP(D111,DV_AZUL_Stat!H:I,2,FALSE)</f>
        <v>ULMSU__USD</v>
      </c>
      <c r="D111" s="59" t="s">
        <v>2020</v>
      </c>
      <c r="E111" s="1">
        <f>SUMIF(DV_AZUL_Stat!H:H,Summary_Checking_UL!$D111,DV_AZUL_Stat!C:C)</f>
        <v>40</v>
      </c>
      <c r="F111" s="1">
        <f>SUMIF(DV_AZUL_Stat!H:H,Summary_Checking_UL!$D111,DV_AZUL_Stat!E:E)</f>
        <v>7852999.8200000003</v>
      </c>
      <c r="G111" s="1">
        <f>SUMIF(DV_AZUL_Stat!H:H,Summary_Checking_UL!$D111,DV_AZUL_Stat!D:D)</f>
        <v>304900</v>
      </c>
      <c r="H111" s="1">
        <f>SUMIF(DV_AZUL_Stat!H:H,Summary_Checking_UL!$D111,DV_AZUL_Stat!F:F)</f>
        <v>1242377.18122621</v>
      </c>
      <c r="I111" s="46">
        <f>SUMIF(IT_AZUL_FULL_Stat!$H:$H,Summary_Checking_UL!$D111,IT_AZUL_FULL_Stat!C:C)</f>
        <v>40</v>
      </c>
      <c r="J111" s="46">
        <f>SUMIF(IT_AZUL_FULL_Stat!$H:$H,Summary_Checking_UL!$D111,IT_AZUL_FULL_Stat!E:E)</f>
        <v>7852999.8200000003</v>
      </c>
      <c r="K111" s="46">
        <f>SUMIF(IT_AZUL_FULL_Stat!$H:$H,Summary_Checking_UL!$D111,IT_AZUL_FULL_Stat!D:D)</f>
        <v>304900</v>
      </c>
      <c r="L111" s="46">
        <f>SUMIF(IT_AZUL_FULL_Stat!$H:$H,Summary_Checking_UL!$D111,IT_AZUL_FULL_Stat!F:F)</f>
        <v>1242375.47382279</v>
      </c>
      <c r="M111" s="7">
        <f t="shared" si="10"/>
        <v>0</v>
      </c>
      <c r="N111" s="7">
        <f t="shared" si="10"/>
        <v>0</v>
      </c>
      <c r="O111" s="7">
        <f t="shared" si="10"/>
        <v>0</v>
      </c>
      <c r="P111" s="7">
        <f t="shared" si="9"/>
        <v>1.7074034200049937</v>
      </c>
      <c r="Q111" s="48">
        <f t="shared" si="12"/>
        <v>0</v>
      </c>
      <c r="R111" s="48">
        <f t="shared" si="12"/>
        <v>0</v>
      </c>
      <c r="S111" s="48">
        <f t="shared" si="12"/>
        <v>0</v>
      </c>
      <c r="T111" s="48">
        <f t="shared" si="11"/>
        <v>1.3743054784809238E-6</v>
      </c>
      <c r="W111" s="46" t="str">
        <f t="shared" si="8"/>
        <v>USD</v>
      </c>
    </row>
    <row r="112" spans="1:23">
      <c r="A112" s="58" t="str">
        <f>_xlfn.XLOOKUP(B112,[10]Sheet1!$D:$D,[10]Sheet1!$E:$E)</f>
        <v>MyProtection Supreme II</v>
      </c>
      <c r="B112" t="str">
        <f t="shared" si="7"/>
        <v>ULMSU2</v>
      </c>
      <c r="C112" t="str">
        <f>VLOOKUP(D112,DV_AZUL_Stat!H:I,2,FALSE)</f>
        <v>ULMSU2_IDR</v>
      </c>
      <c r="D112" s="59" t="s">
        <v>2021</v>
      </c>
      <c r="E112" s="1">
        <f>SUMIF(DV_AZUL_Stat!H:H,Summary_Checking_UL!$D112,DV_AZUL_Stat!C:C)</f>
        <v>47</v>
      </c>
      <c r="F112" s="1">
        <f>SUMIF(DV_AZUL_Stat!H:H,Summary_Checking_UL!$D112,DV_AZUL_Stat!E:E)</f>
        <v>107127500000</v>
      </c>
      <c r="G112" s="1">
        <f>SUMIF(DV_AZUL_Stat!H:H,Summary_Checking_UL!$D112,DV_AZUL_Stat!D:D)</f>
        <v>3425115000</v>
      </c>
      <c r="H112" s="1">
        <f>SUMIF(DV_AZUL_Stat!H:H,Summary_Checking_UL!$D112,DV_AZUL_Stat!F:F)</f>
        <v>4289439006.714613</v>
      </c>
      <c r="I112" s="46">
        <f>SUMIF(IT_AZUL_FULL_Stat!$H:$H,Summary_Checking_UL!$D112,IT_AZUL_FULL_Stat!C:C)</f>
        <v>47</v>
      </c>
      <c r="J112" s="46">
        <f>SUMIF(IT_AZUL_FULL_Stat!$H:$H,Summary_Checking_UL!$D112,IT_AZUL_FULL_Stat!E:E)</f>
        <v>107127500000</v>
      </c>
      <c r="K112" s="46">
        <f>SUMIF(IT_AZUL_FULL_Stat!$H:$H,Summary_Checking_UL!$D112,IT_AZUL_FULL_Stat!D:D)</f>
        <v>3425115000</v>
      </c>
      <c r="L112" s="46">
        <f>SUMIF(IT_AZUL_FULL_Stat!$H:$H,Summary_Checking_UL!$D112,IT_AZUL_FULL_Stat!F:F)</f>
        <v>4289439005.2395802</v>
      </c>
      <c r="M112" s="7">
        <f t="shared" si="10"/>
        <v>0</v>
      </c>
      <c r="N112" s="7">
        <f t="shared" si="10"/>
        <v>0</v>
      </c>
      <c r="O112" s="7">
        <f t="shared" si="10"/>
        <v>0</v>
      </c>
      <c r="P112" s="7">
        <f t="shared" si="9"/>
        <v>1.4750328063964844</v>
      </c>
      <c r="Q112" s="48">
        <f t="shared" si="12"/>
        <v>0</v>
      </c>
      <c r="R112" s="48">
        <f t="shared" si="12"/>
        <v>0</v>
      </c>
      <c r="S112" s="48">
        <f t="shared" si="12"/>
        <v>0</v>
      </c>
      <c r="T112" s="48">
        <f t="shared" si="11"/>
        <v>3.4387545891076231E-10</v>
      </c>
      <c r="W112" s="46" t="str">
        <f t="shared" si="8"/>
        <v>IDR</v>
      </c>
    </row>
    <row r="113" spans="1:23">
      <c r="A113" s="58" t="str">
        <f>_xlfn.XLOOKUP(B113,[10]Sheet1!$D:$D,[10]Sheet1!$E:$E)</f>
        <v>MyProtection Supreme II</v>
      </c>
      <c r="B113" t="str">
        <f t="shared" si="7"/>
        <v>ULMSU2</v>
      </c>
      <c r="C113" t="str">
        <f>VLOOKUP(D113,DV_AZUL_Stat!H:I,2,FALSE)</f>
        <v>ULMSU2_USD</v>
      </c>
      <c r="D113" s="59" t="s">
        <v>2022</v>
      </c>
      <c r="E113" s="1">
        <f>SUMIF(DV_AZUL_Stat!H:H,Summary_Checking_UL!$D113,DV_AZUL_Stat!C:C)</f>
        <v>17</v>
      </c>
      <c r="F113" s="1">
        <f>SUMIF(DV_AZUL_Stat!H:H,Summary_Checking_UL!$D113,DV_AZUL_Stat!E:E)</f>
        <v>3327525</v>
      </c>
      <c r="G113" s="1">
        <f>SUMIF(DV_AZUL_Stat!H:H,Summary_Checking_UL!$D113,DV_AZUL_Stat!D:D)</f>
        <v>123497</v>
      </c>
      <c r="H113" s="1">
        <f>SUMIF(DV_AZUL_Stat!H:H,Summary_Checking_UL!$D113,DV_AZUL_Stat!F:F)</f>
        <v>159782.96886387002</v>
      </c>
      <c r="I113" s="46">
        <f>SUMIF(IT_AZUL_FULL_Stat!$H:$H,Summary_Checking_UL!$D113,IT_AZUL_FULL_Stat!C:C)</f>
        <v>17</v>
      </c>
      <c r="J113" s="46">
        <f>SUMIF(IT_AZUL_FULL_Stat!$H:$H,Summary_Checking_UL!$D113,IT_AZUL_FULL_Stat!E:E)</f>
        <v>3327525</v>
      </c>
      <c r="K113" s="46">
        <f>SUMIF(IT_AZUL_FULL_Stat!$H:$H,Summary_Checking_UL!$D113,IT_AZUL_FULL_Stat!D:D)</f>
        <v>123497</v>
      </c>
      <c r="L113" s="46">
        <f>SUMIF(IT_AZUL_FULL_Stat!$H:$H,Summary_Checking_UL!$D113,IT_AZUL_FULL_Stat!F:F)</f>
        <v>159782.36608819</v>
      </c>
      <c r="M113" s="7">
        <f t="shared" si="10"/>
        <v>0</v>
      </c>
      <c r="N113" s="7">
        <f t="shared" si="10"/>
        <v>0</v>
      </c>
      <c r="O113" s="7">
        <f t="shared" si="10"/>
        <v>0</v>
      </c>
      <c r="P113" s="7">
        <f t="shared" si="9"/>
        <v>0.60277568001765758</v>
      </c>
      <c r="Q113" s="48">
        <f t="shared" si="12"/>
        <v>0</v>
      </c>
      <c r="R113" s="48">
        <f t="shared" si="12"/>
        <v>0</v>
      </c>
      <c r="S113" s="48">
        <f t="shared" si="12"/>
        <v>0</v>
      </c>
      <c r="T113" s="48">
        <f t="shared" si="11"/>
        <v>3.7724793716282974E-6</v>
      </c>
      <c r="W113" s="46" t="str">
        <f t="shared" si="8"/>
        <v>USD</v>
      </c>
    </row>
    <row r="114" spans="1:23">
      <c r="A114" s="58" t="str">
        <f>_xlfn.XLOOKUP(B114,[10]Sheet1!$D:$D,[10]Sheet1!$E:$E)</f>
        <v>New Harta Maxima</v>
      </c>
      <c r="B114" t="str">
        <f t="shared" si="7"/>
        <v>ULNHM1</v>
      </c>
      <c r="C114" t="str">
        <f>VLOOKUP(D114,DV_AZUL_Stat!H:I,2,FALSE)</f>
        <v>ULNHM1_IDR</v>
      </c>
      <c r="D114" s="59" t="s">
        <v>2023</v>
      </c>
      <c r="E114" s="1">
        <f>SUMIF(DV_AZUL_Stat!H:H,Summary_Checking_UL!$D114,DV_AZUL_Stat!C:C)</f>
        <v>303</v>
      </c>
      <c r="F114" s="1">
        <f>SUMIF(DV_AZUL_Stat!H:H,Summary_Checking_UL!$D114,DV_AZUL_Stat!E:E)</f>
        <v>4545000000</v>
      </c>
      <c r="G114" s="1">
        <f>SUMIF(DV_AZUL_Stat!H:H,Summary_Checking_UL!$D114,DV_AZUL_Stat!D:D)</f>
        <v>3030000000</v>
      </c>
      <c r="H114" s="1">
        <f>SUMIF(DV_AZUL_Stat!H:H,Summary_Checking_UL!$D114,DV_AZUL_Stat!F:F)</f>
        <v>10401027770.2995</v>
      </c>
      <c r="I114" s="46">
        <f>SUMIF(IT_AZUL_FULL_Stat!$H:$H,Summary_Checking_UL!$D114,IT_AZUL_FULL_Stat!C:C)</f>
        <v>303</v>
      </c>
      <c r="J114" s="46">
        <f>SUMIF(IT_AZUL_FULL_Stat!$H:$H,Summary_Checking_UL!$D114,IT_AZUL_FULL_Stat!E:E)</f>
        <v>4545000000</v>
      </c>
      <c r="K114" s="46">
        <f>SUMIF(IT_AZUL_FULL_Stat!$H:$H,Summary_Checking_UL!$D114,IT_AZUL_FULL_Stat!D:D)</f>
        <v>3030000000</v>
      </c>
      <c r="L114" s="46">
        <f>SUMIF(IT_AZUL_FULL_Stat!$H:$H,Summary_Checking_UL!$D114,IT_AZUL_FULL_Stat!F:F)</f>
        <v>10401027770.5488</v>
      </c>
      <c r="M114" s="7">
        <f t="shared" si="10"/>
        <v>0</v>
      </c>
      <c r="N114" s="7">
        <f t="shared" si="10"/>
        <v>0</v>
      </c>
      <c r="O114" s="7">
        <f t="shared" si="10"/>
        <v>0</v>
      </c>
      <c r="P114" s="7">
        <f t="shared" si="9"/>
        <v>-0.24930000305175781</v>
      </c>
      <c r="Q114" s="48">
        <f t="shared" si="12"/>
        <v>0</v>
      </c>
      <c r="R114" s="48">
        <f t="shared" si="12"/>
        <v>0</v>
      </c>
      <c r="S114" s="48">
        <f t="shared" si="12"/>
        <v>0</v>
      </c>
      <c r="T114" s="48">
        <f t="shared" si="11"/>
        <v>-2.3968785446152477E-11</v>
      </c>
      <c r="W114" s="46" t="str">
        <f t="shared" si="8"/>
        <v>IDR</v>
      </c>
    </row>
    <row r="115" spans="1:23">
      <c r="A115" s="58" t="str">
        <f>_xlfn.XLOOKUP(B115,[10]Sheet1!$D:$D,[10]Sheet1!$E:$E)</f>
        <v>New Harta Maxima</v>
      </c>
      <c r="B115" t="str">
        <f t="shared" si="7"/>
        <v>ULNHM2</v>
      </c>
      <c r="C115" t="str">
        <f>VLOOKUP(D115,DV_AZUL_Stat!H:I,2,FALSE)</f>
        <v>ULNHM2_IDR</v>
      </c>
      <c r="D115" s="59" t="s">
        <v>2024</v>
      </c>
      <c r="E115" s="1">
        <f>SUMIF(DV_AZUL_Stat!H:H,Summary_Checking_UL!$D115,DV_AZUL_Stat!C:C)</f>
        <v>104</v>
      </c>
      <c r="F115" s="1">
        <f>SUMIF(DV_AZUL_Stat!H:H,Summary_Checking_UL!$D115,DV_AZUL_Stat!E:E)</f>
        <v>1560000000</v>
      </c>
      <c r="G115" s="1">
        <f>SUMIF(DV_AZUL_Stat!H:H,Summary_Checking_UL!$D115,DV_AZUL_Stat!D:D)</f>
        <v>1040000000</v>
      </c>
      <c r="H115" s="1">
        <f>SUMIF(DV_AZUL_Stat!H:H,Summary_Checking_UL!$D115,DV_AZUL_Stat!F:F)</f>
        <v>12075517337.630501</v>
      </c>
      <c r="I115" s="46">
        <f>SUMIF(IT_AZUL_FULL_Stat!$H:$H,Summary_Checking_UL!$D115,IT_AZUL_FULL_Stat!C:C)</f>
        <v>104</v>
      </c>
      <c r="J115" s="46">
        <f>SUMIF(IT_AZUL_FULL_Stat!$H:$H,Summary_Checking_UL!$D115,IT_AZUL_FULL_Stat!E:E)</f>
        <v>1560000000</v>
      </c>
      <c r="K115" s="46">
        <f>SUMIF(IT_AZUL_FULL_Stat!$H:$H,Summary_Checking_UL!$D115,IT_AZUL_FULL_Stat!D:D)</f>
        <v>1040000000</v>
      </c>
      <c r="L115" s="46">
        <f>SUMIF(IT_AZUL_FULL_Stat!$H:$H,Summary_Checking_UL!$D115,IT_AZUL_FULL_Stat!F:F)</f>
        <v>12075517333.267401</v>
      </c>
      <c r="M115" s="7">
        <f t="shared" si="10"/>
        <v>0</v>
      </c>
      <c r="N115" s="7">
        <f t="shared" si="10"/>
        <v>0</v>
      </c>
      <c r="O115" s="7">
        <f t="shared" si="10"/>
        <v>0</v>
      </c>
      <c r="P115" s="7">
        <f t="shared" si="9"/>
        <v>4.3631000518798828</v>
      </c>
      <c r="Q115" s="48">
        <f t="shared" si="12"/>
        <v>0</v>
      </c>
      <c r="R115" s="48">
        <f t="shared" si="12"/>
        <v>0</v>
      </c>
      <c r="S115" s="48">
        <f t="shared" si="12"/>
        <v>0</v>
      </c>
      <c r="T115" s="48">
        <f t="shared" si="11"/>
        <v>3.613178575678722E-10</v>
      </c>
      <c r="W115" s="46" t="str">
        <f t="shared" si="8"/>
        <v>IDR</v>
      </c>
    </row>
    <row r="116" spans="1:23">
      <c r="A116" s="58" t="str">
        <f>_xlfn.XLOOKUP(B116,[10]Sheet1!$D:$D,[10]Sheet1!$E:$E)</f>
        <v>New Harta Maxima</v>
      </c>
      <c r="B116" t="str">
        <f t="shared" si="7"/>
        <v>ULNHM3</v>
      </c>
      <c r="C116" t="str">
        <f>VLOOKUP(D116,DV_AZUL_Stat!H:I,2,FALSE)</f>
        <v>ULNHM3_IDR</v>
      </c>
      <c r="D116" s="59" t="s">
        <v>2025</v>
      </c>
      <c r="E116" s="1">
        <f>SUMIF(DV_AZUL_Stat!H:H,Summary_Checking_UL!$D116,DV_AZUL_Stat!C:C)</f>
        <v>61</v>
      </c>
      <c r="F116" s="1">
        <f>SUMIF(DV_AZUL_Stat!H:H,Summary_Checking_UL!$D116,DV_AZUL_Stat!E:E)</f>
        <v>915000000</v>
      </c>
      <c r="G116" s="1">
        <f>SUMIF(DV_AZUL_Stat!H:H,Summary_Checking_UL!$D116,DV_AZUL_Stat!D:D)</f>
        <v>610000000</v>
      </c>
      <c r="H116" s="1">
        <f>SUMIF(DV_AZUL_Stat!H:H,Summary_Checking_UL!$D116,DV_AZUL_Stat!F:F)</f>
        <v>21104278485.5499</v>
      </c>
      <c r="I116" s="46">
        <f>SUMIF(IT_AZUL_FULL_Stat!$H:$H,Summary_Checking_UL!$D116,IT_AZUL_FULL_Stat!C:C)</f>
        <v>61</v>
      </c>
      <c r="J116" s="46">
        <f>SUMIF(IT_AZUL_FULL_Stat!$H:$H,Summary_Checking_UL!$D116,IT_AZUL_FULL_Stat!E:E)</f>
        <v>915000000</v>
      </c>
      <c r="K116" s="46">
        <f>SUMIF(IT_AZUL_FULL_Stat!$H:$H,Summary_Checking_UL!$D116,IT_AZUL_FULL_Stat!D:D)</f>
        <v>610000000</v>
      </c>
      <c r="L116" s="46">
        <f>SUMIF(IT_AZUL_FULL_Stat!$H:$H,Summary_Checking_UL!$D116,IT_AZUL_FULL_Stat!F:F)</f>
        <v>21104278485.649502</v>
      </c>
      <c r="M116" s="7">
        <f t="shared" si="10"/>
        <v>0</v>
      </c>
      <c r="N116" s="7">
        <f t="shared" si="10"/>
        <v>0</v>
      </c>
      <c r="O116" s="7">
        <f t="shared" si="10"/>
        <v>0</v>
      </c>
      <c r="P116" s="7">
        <f t="shared" si="9"/>
        <v>-9.960174560546875E-2</v>
      </c>
      <c r="Q116" s="48">
        <f t="shared" si="12"/>
        <v>0</v>
      </c>
      <c r="R116" s="48">
        <f t="shared" si="12"/>
        <v>0</v>
      </c>
      <c r="S116" s="48">
        <f t="shared" si="12"/>
        <v>0</v>
      </c>
      <c r="T116" s="48">
        <f t="shared" si="11"/>
        <v>-4.719504894384141E-12</v>
      </c>
      <c r="W116" s="46" t="str">
        <f t="shared" si="8"/>
        <v>IDR</v>
      </c>
    </row>
    <row r="117" spans="1:23">
      <c r="A117" s="58" t="str">
        <f>_xlfn.XLOOKUP(B117,[10]Sheet1!$D:$D,[10]Sheet1!$E:$E)</f>
        <v>Optima Care Invest</v>
      </c>
      <c r="B117" t="str">
        <f t="shared" si="7"/>
        <v>ULOC__</v>
      </c>
      <c r="C117" t="str">
        <f>VLOOKUP(D117,DV_AZUL_Stat!H:I,2,FALSE)</f>
        <v>ULOC___IDR</v>
      </c>
      <c r="D117" s="59" t="s">
        <v>2026</v>
      </c>
      <c r="E117" s="1">
        <f>SUMIF(DV_AZUL_Stat!H:H,Summary_Checking_UL!$D117,DV_AZUL_Stat!C:C)</f>
        <v>381</v>
      </c>
      <c r="F117" s="1">
        <f>SUMIF(DV_AZUL_Stat!H:H,Summary_Checking_UL!$D117,DV_AZUL_Stat!E:E)</f>
        <v>7353000000</v>
      </c>
      <c r="G117" s="1">
        <f>SUMIF(DV_AZUL_Stat!H:H,Summary_Checking_UL!$D117,DV_AZUL_Stat!D:D)</f>
        <v>4902000000</v>
      </c>
      <c r="H117" s="1">
        <f>SUMIF(DV_AZUL_Stat!H:H,Summary_Checking_UL!$D117,DV_AZUL_Stat!F:F)</f>
        <v>99115528633.857697</v>
      </c>
      <c r="I117" s="46">
        <f>SUMIF(IT_AZUL_FULL_Stat!$H:$H,Summary_Checking_UL!$D117,IT_AZUL_FULL_Stat!C:C)</f>
        <v>381</v>
      </c>
      <c r="J117" s="46">
        <f>SUMIF(IT_AZUL_FULL_Stat!$H:$H,Summary_Checking_UL!$D117,IT_AZUL_FULL_Stat!E:E)</f>
        <v>7353000000</v>
      </c>
      <c r="K117" s="46">
        <f>SUMIF(IT_AZUL_FULL_Stat!$H:$H,Summary_Checking_UL!$D117,IT_AZUL_FULL_Stat!D:D)</f>
        <v>4902000000</v>
      </c>
      <c r="L117" s="46">
        <f>SUMIF(IT_AZUL_FULL_Stat!$H:$H,Summary_Checking_UL!$D117,IT_AZUL_FULL_Stat!F:F)</f>
        <v>99115528642.654999</v>
      </c>
      <c r="M117" s="7">
        <f t="shared" si="10"/>
        <v>0</v>
      </c>
      <c r="N117" s="7">
        <f t="shared" si="10"/>
        <v>0</v>
      </c>
      <c r="O117" s="7">
        <f t="shared" si="10"/>
        <v>0</v>
      </c>
      <c r="P117" s="7">
        <f t="shared" si="9"/>
        <v>-8.79730224609375</v>
      </c>
      <c r="Q117" s="48">
        <f t="shared" si="12"/>
        <v>0</v>
      </c>
      <c r="R117" s="48">
        <f t="shared" si="12"/>
        <v>0</v>
      </c>
      <c r="S117" s="48">
        <f t="shared" si="12"/>
        <v>0</v>
      </c>
      <c r="T117" s="48">
        <f t="shared" si="11"/>
        <v>-8.8758062097524599E-11</v>
      </c>
      <c r="W117" s="46" t="str">
        <f t="shared" si="8"/>
        <v>IDR</v>
      </c>
    </row>
    <row r="118" spans="1:23">
      <c r="A118" s="58" t="str">
        <f>_xlfn.XLOOKUP(B118,[10]Sheet1!$D:$D,[10]Sheet1!$E:$E)</f>
        <v>Optima Care Invest</v>
      </c>
      <c r="B118" t="str">
        <f t="shared" si="7"/>
        <v>ULOC__</v>
      </c>
      <c r="C118" t="str">
        <f>VLOOKUP(D118,DV_AZUL_Stat!H:I,2,FALSE)</f>
        <v>ULOC___USD</v>
      </c>
      <c r="D118" s="59" t="s">
        <v>2027</v>
      </c>
      <c r="E118" s="1">
        <f>SUMIF(DV_AZUL_Stat!H:H,Summary_Checking_UL!$D118,DV_AZUL_Stat!C:C)</f>
        <v>888</v>
      </c>
      <c r="F118" s="1">
        <f>SUMIF(DV_AZUL_Stat!H:H,Summary_Checking_UL!$D118,DV_AZUL_Stat!E:E)</f>
        <v>1710145.5</v>
      </c>
      <c r="G118" s="1">
        <f>SUMIF(DV_AZUL_Stat!H:H,Summary_Checking_UL!$D118,DV_AZUL_Stat!D:D)</f>
        <v>1140097</v>
      </c>
      <c r="H118" s="1">
        <f>SUMIF(DV_AZUL_Stat!H:H,Summary_Checking_UL!$D118,DV_AZUL_Stat!F:F)</f>
        <v>26334697.239528783</v>
      </c>
      <c r="I118" s="46">
        <f>SUMIF(IT_AZUL_FULL_Stat!$H:$H,Summary_Checking_UL!$D118,IT_AZUL_FULL_Stat!C:C)</f>
        <v>888</v>
      </c>
      <c r="J118" s="46">
        <f>SUMIF(IT_AZUL_FULL_Stat!$H:$H,Summary_Checking_UL!$D118,IT_AZUL_FULL_Stat!E:E)</f>
        <v>1710145.5</v>
      </c>
      <c r="K118" s="46">
        <f>SUMIF(IT_AZUL_FULL_Stat!$H:$H,Summary_Checking_UL!$D118,IT_AZUL_FULL_Stat!D:D)</f>
        <v>1140097</v>
      </c>
      <c r="L118" s="46">
        <f>SUMIF(IT_AZUL_FULL_Stat!$H:$H,Summary_Checking_UL!$D118,IT_AZUL_FULL_Stat!F:F)</f>
        <v>26334698.556526501</v>
      </c>
      <c r="M118" s="7">
        <f t="shared" si="10"/>
        <v>0</v>
      </c>
      <c r="N118" s="7">
        <f t="shared" si="10"/>
        <v>0</v>
      </c>
      <c r="O118" s="7">
        <f t="shared" si="10"/>
        <v>0</v>
      </c>
      <c r="P118" s="7">
        <f t="shared" si="9"/>
        <v>-1.3169977180659771</v>
      </c>
      <c r="Q118" s="48">
        <f t="shared" si="12"/>
        <v>0</v>
      </c>
      <c r="R118" s="48">
        <f t="shared" si="12"/>
        <v>0</v>
      </c>
      <c r="S118" s="48">
        <f t="shared" si="12"/>
        <v>0</v>
      </c>
      <c r="T118" s="48">
        <f t="shared" si="11"/>
        <v>-5.0009978858846174E-8</v>
      </c>
      <c r="W118" s="46" t="str">
        <f t="shared" si="8"/>
        <v>USD</v>
      </c>
    </row>
    <row r="119" spans="1:23">
      <c r="A119" s="58" t="str">
        <f>_xlfn.XLOOKUP(B119,[10]Sheet1!$D:$D,[10]Sheet1!$E:$E)</f>
        <v xml:space="preserve">Perencanaan Dana Plus </v>
      </c>
      <c r="B119" t="str">
        <f t="shared" si="7"/>
        <v>ULPPN_</v>
      </c>
      <c r="C119" t="str">
        <f>VLOOKUP(D119,DV_AZUL_Stat!H:I,2,FALSE)</f>
        <v>ULPPN__IDR</v>
      </c>
      <c r="D119" s="59" t="s">
        <v>2028</v>
      </c>
      <c r="E119" s="1">
        <f>SUMIF(DV_AZUL_Stat!H:H,Summary_Checking_UL!$D119,DV_AZUL_Stat!C:C)</f>
        <v>67</v>
      </c>
      <c r="F119" s="1">
        <f>SUMIF(DV_AZUL_Stat!H:H,Summary_Checking_UL!$D119,DV_AZUL_Stat!E:E)</f>
        <v>9660000000</v>
      </c>
      <c r="G119" s="1">
        <f>SUMIF(DV_AZUL_Stat!H:H,Summary_Checking_UL!$D119,DV_AZUL_Stat!D:D)</f>
        <v>356600000</v>
      </c>
      <c r="H119" s="1">
        <f>SUMIF(DV_AZUL_Stat!H:H,Summary_Checking_UL!$D119,DV_AZUL_Stat!F:F)</f>
        <v>4367269118.9012003</v>
      </c>
      <c r="I119" s="46">
        <f>SUMIF(IT_AZUL_FULL_Stat!$H:$H,Summary_Checking_UL!$D119,IT_AZUL_FULL_Stat!C:C)</f>
        <v>67</v>
      </c>
      <c r="J119" s="46">
        <f>SUMIF(IT_AZUL_FULL_Stat!$H:$H,Summary_Checking_UL!$D119,IT_AZUL_FULL_Stat!E:E)</f>
        <v>9660000000</v>
      </c>
      <c r="K119" s="46">
        <f>SUMIF(IT_AZUL_FULL_Stat!$H:$H,Summary_Checking_UL!$D119,IT_AZUL_FULL_Stat!D:D)</f>
        <v>356600000</v>
      </c>
      <c r="L119" s="46">
        <f>SUMIF(IT_AZUL_FULL_Stat!$H:$H,Summary_Checking_UL!$D119,IT_AZUL_FULL_Stat!F:F)</f>
        <v>4367269119.6864901</v>
      </c>
      <c r="M119" s="7">
        <f t="shared" si="10"/>
        <v>0</v>
      </c>
      <c r="N119" s="7">
        <f t="shared" si="10"/>
        <v>0</v>
      </c>
      <c r="O119" s="7">
        <f t="shared" si="10"/>
        <v>0</v>
      </c>
      <c r="P119" s="7">
        <f t="shared" si="9"/>
        <v>-0.78528976440429688</v>
      </c>
      <c r="Q119" s="48">
        <f t="shared" si="12"/>
        <v>0</v>
      </c>
      <c r="R119" s="48">
        <f t="shared" si="12"/>
        <v>0</v>
      </c>
      <c r="S119" s="48">
        <f t="shared" si="12"/>
        <v>0</v>
      </c>
      <c r="T119" s="48">
        <f t="shared" si="11"/>
        <v>-1.7981254254848163E-10</v>
      </c>
      <c r="W119" s="46" t="str">
        <f t="shared" si="8"/>
        <v>IDR</v>
      </c>
    </row>
    <row r="120" spans="1:23">
      <c r="A120" s="58" t="str">
        <f>_xlfn.XLOOKUP(B120,[10]Sheet1!$D:$D,[10]Sheet1!$E:$E)</f>
        <v>Perencanaan Dana Plus - Revamped</v>
      </c>
      <c r="B120" t="str">
        <f t="shared" si="7"/>
        <v>ULPPNR</v>
      </c>
      <c r="C120" t="str">
        <f>VLOOKUP(D120,DV_AZUL_Stat!H:I,2,FALSE)</f>
        <v>ULPPNR_IDR</v>
      </c>
      <c r="D120" s="59" t="s">
        <v>2029</v>
      </c>
      <c r="E120" s="1">
        <f>SUMIF(DV_AZUL_Stat!H:H,Summary_Checking_UL!$D120,DV_AZUL_Stat!C:C)</f>
        <v>121</v>
      </c>
      <c r="F120" s="1">
        <f>SUMIF(DV_AZUL_Stat!H:H,Summary_Checking_UL!$D120,DV_AZUL_Stat!E:E)</f>
        <v>18504000000</v>
      </c>
      <c r="G120" s="1">
        <f>SUMIF(DV_AZUL_Stat!H:H,Summary_Checking_UL!$D120,DV_AZUL_Stat!D:D)</f>
        <v>614000004</v>
      </c>
      <c r="H120" s="1">
        <f>SUMIF(DV_AZUL_Stat!H:H,Summary_Checking_UL!$D120,DV_AZUL_Stat!F:F)</f>
        <v>5075761191.0419397</v>
      </c>
      <c r="I120" s="46">
        <f>SUMIF(IT_AZUL_FULL_Stat!$H:$H,Summary_Checking_UL!$D120,IT_AZUL_FULL_Stat!C:C)</f>
        <v>121</v>
      </c>
      <c r="J120" s="46">
        <f>SUMIF(IT_AZUL_FULL_Stat!$H:$H,Summary_Checking_UL!$D120,IT_AZUL_FULL_Stat!E:E)</f>
        <v>18504000000</v>
      </c>
      <c r="K120" s="46">
        <f>SUMIF(IT_AZUL_FULL_Stat!$H:$H,Summary_Checking_UL!$D120,IT_AZUL_FULL_Stat!D:D)</f>
        <v>614000004</v>
      </c>
      <c r="L120" s="46">
        <f>SUMIF(IT_AZUL_FULL_Stat!$H:$H,Summary_Checking_UL!$D120,IT_AZUL_FULL_Stat!F:F)</f>
        <v>5075761187.49335</v>
      </c>
      <c r="M120" s="7">
        <f t="shared" si="10"/>
        <v>0</v>
      </c>
      <c r="N120" s="7">
        <f t="shared" si="10"/>
        <v>0</v>
      </c>
      <c r="O120" s="7">
        <f t="shared" si="10"/>
        <v>0</v>
      </c>
      <c r="P120" s="7">
        <f t="shared" si="9"/>
        <v>3.5485897064208984</v>
      </c>
      <c r="Q120" s="48">
        <f t="shared" si="12"/>
        <v>0</v>
      </c>
      <c r="R120" s="48">
        <f t="shared" si="12"/>
        <v>0</v>
      </c>
      <c r="S120" s="48">
        <f t="shared" si="12"/>
        <v>0</v>
      </c>
      <c r="T120" s="48">
        <f t="shared" si="11"/>
        <v>6.9912463871716535E-10</v>
      </c>
      <c r="W120" s="46" t="str">
        <f t="shared" si="8"/>
        <v>IDR</v>
      </c>
    </row>
    <row r="121" spans="1:23">
      <c r="A121" s="58" t="str">
        <f>_xlfn.XLOOKUP(B121,[10]Sheet1!$D:$D,[10]Sheet1!$E:$E)</f>
        <v>Premium Shield</v>
      </c>
      <c r="B121" t="str">
        <f t="shared" si="7"/>
        <v>ULPS__</v>
      </c>
      <c r="C121" t="str">
        <f>VLOOKUP(D121,DV_AZUL_Stat!H:I,2,FALSE)</f>
        <v>ULPS___IDR</v>
      </c>
      <c r="D121" s="59" t="s">
        <v>2030</v>
      </c>
      <c r="E121" s="1">
        <f>SUMIF(DV_AZUL_Stat!H:H,Summary_Checking_UL!$D121,DV_AZUL_Stat!C:C)</f>
        <v>253</v>
      </c>
      <c r="F121" s="1">
        <f>SUMIF(DV_AZUL_Stat!H:H,Summary_Checking_UL!$D121,DV_AZUL_Stat!E:E)</f>
        <v>80633500000</v>
      </c>
      <c r="G121" s="1">
        <f>SUMIF(DV_AZUL_Stat!H:H,Summary_Checking_UL!$D121,DV_AZUL_Stat!D:D)</f>
        <v>7005749996</v>
      </c>
      <c r="H121" s="1">
        <f>SUMIF(DV_AZUL_Stat!H:H,Summary_Checking_UL!$D121,DV_AZUL_Stat!F:F)</f>
        <v>22388190728.925999</v>
      </c>
      <c r="I121" s="46">
        <f>SUMIF(IT_AZUL_FULL_Stat!$H:$H,Summary_Checking_UL!$D121,IT_AZUL_FULL_Stat!C:C)</f>
        <v>253</v>
      </c>
      <c r="J121" s="46">
        <f>SUMIF(IT_AZUL_FULL_Stat!$H:$H,Summary_Checking_UL!$D121,IT_AZUL_FULL_Stat!E:E)</f>
        <v>80633500000</v>
      </c>
      <c r="K121" s="46">
        <f>SUMIF(IT_AZUL_FULL_Stat!$H:$H,Summary_Checking_UL!$D121,IT_AZUL_FULL_Stat!D:D)</f>
        <v>7005749996</v>
      </c>
      <c r="L121" s="46">
        <f>SUMIF(IT_AZUL_FULL_Stat!$H:$H,Summary_Checking_UL!$D121,IT_AZUL_FULL_Stat!F:F)</f>
        <v>22388190725.006302</v>
      </c>
      <c r="M121" s="7">
        <f t="shared" si="10"/>
        <v>0</v>
      </c>
      <c r="N121" s="7">
        <f t="shared" si="10"/>
        <v>0</v>
      </c>
      <c r="O121" s="7">
        <f t="shared" si="10"/>
        <v>0</v>
      </c>
      <c r="P121" s="7">
        <f t="shared" si="9"/>
        <v>3.9196968078613281</v>
      </c>
      <c r="Q121" s="48">
        <f t="shared" si="12"/>
        <v>0</v>
      </c>
      <c r="R121" s="48">
        <f t="shared" si="12"/>
        <v>0</v>
      </c>
      <c r="S121" s="48">
        <f t="shared" si="12"/>
        <v>0</v>
      </c>
      <c r="T121" s="48">
        <f t="shared" si="11"/>
        <v>1.7507876612303717E-10</v>
      </c>
      <c r="W121" s="46" t="str">
        <f t="shared" si="8"/>
        <v>IDR</v>
      </c>
    </row>
    <row r="122" spans="1:23">
      <c r="A122" s="58" t="str">
        <f>_xlfn.XLOOKUP(B122,[10]Sheet1!$D:$D,[10]Sheet1!$E:$E)</f>
        <v>Premium Shield - Revamped</v>
      </c>
      <c r="B122" t="str">
        <f t="shared" si="7"/>
        <v>ULPSR_</v>
      </c>
      <c r="C122" t="str">
        <f>VLOOKUP(D122,DV_AZUL_Stat!H:I,2,FALSE)</f>
        <v>ULPSR__IDR</v>
      </c>
      <c r="D122" s="59" t="s">
        <v>2031</v>
      </c>
      <c r="E122" s="1">
        <f>SUMIF(DV_AZUL_Stat!H:H,Summary_Checking_UL!$D122,DV_AZUL_Stat!C:C)</f>
        <v>176</v>
      </c>
      <c r="F122" s="1">
        <f>SUMIF(DV_AZUL_Stat!H:H,Summary_Checking_UL!$D122,DV_AZUL_Stat!E:E)</f>
        <v>85565000000</v>
      </c>
      <c r="G122" s="1">
        <f>SUMIF(DV_AZUL_Stat!H:H,Summary_Checking_UL!$D122,DV_AZUL_Stat!D:D)</f>
        <v>11879200012</v>
      </c>
      <c r="H122" s="1">
        <f>SUMIF(DV_AZUL_Stat!H:H,Summary_Checking_UL!$D122,DV_AZUL_Stat!F:F)</f>
        <v>23542689928.300301</v>
      </c>
      <c r="I122" s="46">
        <f>SUMIF(IT_AZUL_FULL_Stat!$H:$H,Summary_Checking_UL!$D122,IT_AZUL_FULL_Stat!C:C)</f>
        <v>176</v>
      </c>
      <c r="J122" s="46">
        <f>SUMIF(IT_AZUL_FULL_Stat!$H:$H,Summary_Checking_UL!$D122,IT_AZUL_FULL_Stat!E:E)</f>
        <v>85565000000</v>
      </c>
      <c r="K122" s="46">
        <f>SUMIF(IT_AZUL_FULL_Stat!$H:$H,Summary_Checking_UL!$D122,IT_AZUL_FULL_Stat!D:D)</f>
        <v>11879200012</v>
      </c>
      <c r="L122" s="46">
        <f>SUMIF(IT_AZUL_FULL_Stat!$H:$H,Summary_Checking_UL!$D122,IT_AZUL_FULL_Stat!F:F)</f>
        <v>23542689923.2034</v>
      </c>
      <c r="M122" s="7">
        <f t="shared" si="10"/>
        <v>0</v>
      </c>
      <c r="N122" s="7">
        <f t="shared" si="10"/>
        <v>0</v>
      </c>
      <c r="O122" s="7">
        <f t="shared" si="10"/>
        <v>0</v>
      </c>
      <c r="P122" s="7">
        <f t="shared" si="9"/>
        <v>5.0969009399414063</v>
      </c>
      <c r="Q122" s="48">
        <f t="shared" si="12"/>
        <v>0</v>
      </c>
      <c r="R122" s="48">
        <f t="shared" si="12"/>
        <v>0</v>
      </c>
      <c r="S122" s="48">
        <f t="shared" si="12"/>
        <v>0</v>
      </c>
      <c r="T122" s="48">
        <f t="shared" si="11"/>
        <v>2.1649611648318743E-10</v>
      </c>
      <c r="W122" s="46" t="str">
        <f t="shared" si="8"/>
        <v>IDR</v>
      </c>
    </row>
    <row r="123" spans="1:23">
      <c r="A123" s="58" t="str">
        <f>_xlfn.XLOOKUP(B123,[10]Sheet1!$D:$D,[10]Sheet1!$E:$E)</f>
        <v>Retire CareInvest</v>
      </c>
      <c r="B123" t="str">
        <f t="shared" si="7"/>
        <v>ULRC__</v>
      </c>
      <c r="C123" t="str">
        <f>VLOOKUP(D123,DV_AZUL_Stat!H:I,2,FALSE)</f>
        <v>ULRC___IDR</v>
      </c>
      <c r="D123" s="59" t="s">
        <v>2032</v>
      </c>
      <c r="E123" s="1">
        <f>SUMIF(DV_AZUL_Stat!H:H,Summary_Checking_UL!$D123,DV_AZUL_Stat!C:C)</f>
        <v>4</v>
      </c>
      <c r="F123" s="1">
        <f>SUMIF(DV_AZUL_Stat!H:H,Summary_Checking_UL!$D123,DV_AZUL_Stat!E:E)</f>
        <v>1950000000</v>
      </c>
      <c r="G123" s="1">
        <f>SUMIF(DV_AZUL_Stat!H:H,Summary_Checking_UL!$D123,DV_AZUL_Stat!D:D)</f>
        <v>225000000</v>
      </c>
      <c r="H123" s="1">
        <f>SUMIF(DV_AZUL_Stat!H:H,Summary_Checking_UL!$D123,DV_AZUL_Stat!F:F)</f>
        <v>619161755</v>
      </c>
      <c r="I123" s="46">
        <f>SUMIF(IT_AZUL_FULL_Stat!$H:$H,Summary_Checking_UL!$D123,IT_AZUL_FULL_Stat!C:C)</f>
        <v>4</v>
      </c>
      <c r="J123" s="46">
        <f>SUMIF(IT_AZUL_FULL_Stat!$H:$H,Summary_Checking_UL!$D123,IT_AZUL_FULL_Stat!E:E)</f>
        <v>1950000000</v>
      </c>
      <c r="K123" s="46">
        <f>SUMIF(IT_AZUL_FULL_Stat!$H:$H,Summary_Checking_UL!$D123,IT_AZUL_FULL_Stat!D:D)</f>
        <v>225000000</v>
      </c>
      <c r="L123" s="46">
        <f>SUMIF(IT_AZUL_FULL_Stat!$H:$H,Summary_Checking_UL!$D123,IT_AZUL_FULL_Stat!F:F)</f>
        <v>619161755.42332697</v>
      </c>
      <c r="M123" s="7">
        <f t="shared" si="10"/>
        <v>0</v>
      </c>
      <c r="N123" s="7">
        <f t="shared" si="10"/>
        <v>0</v>
      </c>
      <c r="O123" s="7">
        <f t="shared" si="10"/>
        <v>0</v>
      </c>
      <c r="P123" s="7">
        <f t="shared" si="9"/>
        <v>-0.42332696914672852</v>
      </c>
      <c r="Q123" s="48">
        <f t="shared" si="12"/>
        <v>0</v>
      </c>
      <c r="R123" s="48">
        <f t="shared" si="12"/>
        <v>0</v>
      </c>
      <c r="S123" s="48">
        <f t="shared" si="12"/>
        <v>0</v>
      </c>
      <c r="T123" s="48">
        <f t="shared" si="11"/>
        <v>-6.8370981482423075E-10</v>
      </c>
      <c r="W123" s="46" t="str">
        <f t="shared" si="8"/>
        <v>IDR</v>
      </c>
    </row>
    <row r="124" spans="1:23">
      <c r="A124" s="58" t="e">
        <f>_xlfn.XLOOKUP(B124,[10]Sheet1!$D:$D,[10]Sheet1!$E:$E)</f>
        <v>#N/A</v>
      </c>
      <c r="B124" t="str">
        <f t="shared" si="7"/>
        <v>ULRPLF</v>
      </c>
      <c r="C124" t="str">
        <f>VLOOKUP(D124,DV_AZUL_Stat!H:I,2,FALSE)</f>
        <v>ULRPLF_IDR</v>
      </c>
      <c r="D124" s="59" t="s">
        <v>2033</v>
      </c>
      <c r="E124" s="1">
        <f>SUMIF(DV_AZUL_Stat!H:H,Summary_Checking_UL!$D124,DV_AZUL_Stat!C:C)</f>
        <v>75001</v>
      </c>
      <c r="F124" s="1">
        <f>SUMIF(DV_AZUL_Stat!H:H,Summary_Checking_UL!$D124,DV_AZUL_Stat!E:E)</f>
        <v>18745045268012</v>
      </c>
      <c r="G124" s="1">
        <f>SUMIF(DV_AZUL_Stat!H:H,Summary_Checking_UL!$D124,DV_AZUL_Stat!D:D)</f>
        <v>1442471730688</v>
      </c>
      <c r="H124" s="1">
        <f>SUMIF(DV_AZUL_Stat!H:H,Summary_Checking_UL!$D124,DV_AZUL_Stat!F:F)</f>
        <v>183078181360.47498</v>
      </c>
      <c r="I124" s="46">
        <f>SUMIF(IT_AZUL_FULL_Stat!$H:$H,Summary_Checking_UL!$D124,IT_AZUL_FULL_Stat!C:C)</f>
        <v>75001</v>
      </c>
      <c r="J124" s="46">
        <f>SUMIF(IT_AZUL_FULL_Stat!$H:$H,Summary_Checking_UL!$D124,IT_AZUL_FULL_Stat!E:E)</f>
        <v>18745045268012</v>
      </c>
      <c r="K124" s="46">
        <f>SUMIF(IT_AZUL_FULL_Stat!$H:$H,Summary_Checking_UL!$D124,IT_AZUL_FULL_Stat!D:D)</f>
        <v>1442471730688</v>
      </c>
      <c r="L124" s="46">
        <f>SUMIF(IT_AZUL_FULL_Stat!$H:$H,Summary_Checking_UL!$D124,IT_AZUL_FULL_Stat!F:F)</f>
        <v>183078181253.16</v>
      </c>
      <c r="M124" s="7">
        <f t="shared" si="10"/>
        <v>0</v>
      </c>
      <c r="N124" s="7">
        <f t="shared" si="10"/>
        <v>0</v>
      </c>
      <c r="O124" s="7">
        <f t="shared" si="10"/>
        <v>0</v>
      </c>
      <c r="P124" s="7">
        <f t="shared" si="9"/>
        <v>107.31497192382813</v>
      </c>
      <c r="Q124" s="48">
        <f t="shared" si="12"/>
        <v>0</v>
      </c>
      <c r="R124" s="48">
        <f t="shared" si="12"/>
        <v>0</v>
      </c>
      <c r="S124" s="48">
        <f t="shared" si="12"/>
        <v>0</v>
      </c>
      <c r="T124" s="48">
        <f t="shared" si="11"/>
        <v>5.8617018799981014E-10</v>
      </c>
      <c r="W124" s="46" t="str">
        <f t="shared" si="8"/>
        <v>IDR</v>
      </c>
    </row>
    <row r="125" spans="1:23">
      <c r="A125" s="58" t="str">
        <f>_xlfn.XLOOKUP(B125,[10]Sheet1!$D:$D,[10]Sheet1!$E:$E)</f>
        <v>Smartlink Flexi Account Plus Revamped</v>
      </c>
      <c r="B125" t="str">
        <f t="shared" si="7"/>
        <v>ULRPOA</v>
      </c>
      <c r="C125" t="str">
        <f>VLOOKUP(D125,DV_AZUL_Stat!H:I,2,FALSE)</f>
        <v>ULRPOA_IDR</v>
      </c>
      <c r="D125" s="59" t="s">
        <v>2034</v>
      </c>
      <c r="E125" s="1">
        <f>SUMIF(DV_AZUL_Stat!H:H,Summary_Checking_UL!$D125,DV_AZUL_Stat!C:C)</f>
        <v>241510</v>
      </c>
      <c r="F125" s="1">
        <f>SUMIF(DV_AZUL_Stat!H:H,Summary_Checking_UL!$D125,DV_AZUL_Stat!E:E)</f>
        <v>64213299870567.977</v>
      </c>
      <c r="G125" s="1">
        <f>SUMIF(DV_AZUL_Stat!H:H,Summary_Checking_UL!$D125,DV_AZUL_Stat!D:D)</f>
        <v>4458950113323.9082</v>
      </c>
      <c r="H125" s="1">
        <f>SUMIF(DV_AZUL_Stat!H:H,Summary_Checking_UL!$D125,DV_AZUL_Stat!F:F)</f>
        <v>1986594661695.7041</v>
      </c>
      <c r="I125" s="46">
        <f>SUMIF(IT_AZUL_FULL_Stat!$H:$H,Summary_Checking_UL!$D125,IT_AZUL_FULL_Stat!C:C)</f>
        <v>241510</v>
      </c>
      <c r="J125" s="46">
        <f>SUMIF(IT_AZUL_FULL_Stat!$H:$H,Summary_Checking_UL!$D125,IT_AZUL_FULL_Stat!E:E)</f>
        <v>64213299870567.898</v>
      </c>
      <c r="K125" s="46">
        <f>SUMIF(IT_AZUL_FULL_Stat!$H:$H,Summary_Checking_UL!$D125,IT_AZUL_FULL_Stat!D:D)</f>
        <v>4458950113323.9063</v>
      </c>
      <c r="L125" s="46">
        <f>SUMIF(IT_AZUL_FULL_Stat!$H:$H,Summary_Checking_UL!$D125,IT_AZUL_FULL_Stat!F:F)</f>
        <v>1986594661675.4871</v>
      </c>
      <c r="M125" s="7">
        <f t="shared" si="10"/>
        <v>0</v>
      </c>
      <c r="N125" s="7">
        <f t="shared" si="10"/>
        <v>7.8125E-2</v>
      </c>
      <c r="O125" s="7">
        <f t="shared" si="10"/>
        <v>0</v>
      </c>
      <c r="P125" s="7">
        <f t="shared" si="9"/>
        <v>20.217041015625</v>
      </c>
      <c r="Q125" s="48">
        <f t="shared" si="12"/>
        <v>0</v>
      </c>
      <c r="R125" s="48">
        <f t="shared" si="12"/>
        <v>1.216648266908465E-15</v>
      </c>
      <c r="S125" s="48">
        <f t="shared" si="12"/>
        <v>0</v>
      </c>
      <c r="T125" s="48">
        <f t="shared" si="11"/>
        <v>1.0176731774046961E-11</v>
      </c>
      <c r="W125" s="46" t="str">
        <f t="shared" si="8"/>
        <v>IDR</v>
      </c>
    </row>
    <row r="126" spans="1:23">
      <c r="A126" s="58" t="str">
        <f>_xlfn.XLOOKUP(B126,[10]Sheet1!$D:$D,[10]Sheet1!$E:$E)</f>
        <v>Smartlink Benefit Account</v>
      </c>
      <c r="B126" t="str">
        <f t="shared" si="7"/>
        <v>ULSBA_</v>
      </c>
      <c r="C126" t="str">
        <f>VLOOKUP(D126,DV_AZUL_Stat!H:I,2,FALSE)</f>
        <v>ULSBA__IDR</v>
      </c>
      <c r="D126" s="59" t="s">
        <v>2035</v>
      </c>
      <c r="E126" s="1">
        <f>SUMIF(DV_AZUL_Stat!H:H,Summary_Checking_UL!$D126,DV_AZUL_Stat!C:C)</f>
        <v>145</v>
      </c>
      <c r="F126" s="1">
        <f>SUMIF(DV_AZUL_Stat!H:H,Summary_Checking_UL!$D126,DV_AZUL_Stat!E:E)</f>
        <v>10966500000</v>
      </c>
      <c r="G126" s="1">
        <f>SUMIF(DV_AZUL_Stat!H:H,Summary_Checking_UL!$D126,DV_AZUL_Stat!D:D)</f>
        <v>296100000</v>
      </c>
      <c r="H126" s="1">
        <f>SUMIF(DV_AZUL_Stat!H:H,Summary_Checking_UL!$D126,DV_AZUL_Stat!F:F)</f>
        <v>4325659369.12391</v>
      </c>
      <c r="I126" s="46">
        <f>SUMIF(IT_AZUL_FULL_Stat!$H:$H,Summary_Checking_UL!$D126,IT_AZUL_FULL_Stat!C:C)</f>
        <v>145</v>
      </c>
      <c r="J126" s="46">
        <f>SUMIF(IT_AZUL_FULL_Stat!$H:$H,Summary_Checking_UL!$D126,IT_AZUL_FULL_Stat!E:E)</f>
        <v>10966500000</v>
      </c>
      <c r="K126" s="46">
        <f>SUMIF(IT_AZUL_FULL_Stat!$H:$H,Summary_Checking_UL!$D126,IT_AZUL_FULL_Stat!D:D)</f>
        <v>296100000</v>
      </c>
      <c r="L126" s="46">
        <f>SUMIF(IT_AZUL_FULL_Stat!$H:$H,Summary_Checking_UL!$D126,IT_AZUL_FULL_Stat!F:F)</f>
        <v>4325659368.1932697</v>
      </c>
      <c r="M126" s="7">
        <f t="shared" si="10"/>
        <v>0</v>
      </c>
      <c r="N126" s="7">
        <f t="shared" si="10"/>
        <v>0</v>
      </c>
      <c r="O126" s="7">
        <f t="shared" si="10"/>
        <v>0</v>
      </c>
      <c r="P126" s="7">
        <f t="shared" si="9"/>
        <v>0.93064022064208984</v>
      </c>
      <c r="Q126" s="48">
        <f t="shared" si="12"/>
        <v>0</v>
      </c>
      <c r="R126" s="48">
        <f t="shared" si="12"/>
        <v>0</v>
      </c>
      <c r="S126" s="48">
        <f t="shared" si="12"/>
        <v>0</v>
      </c>
      <c r="T126" s="48">
        <f t="shared" si="11"/>
        <v>2.1514412981408595E-10</v>
      </c>
      <c r="W126" s="46" t="str">
        <f t="shared" si="8"/>
        <v>IDR</v>
      </c>
    </row>
    <row r="127" spans="1:23">
      <c r="A127" s="58" t="str">
        <f>_xlfn.XLOOKUP(B127,[10]Sheet1!$D:$D,[10]Sheet1!$E:$E)</f>
        <v>Smartlink Benefit Account  - Revamped</v>
      </c>
      <c r="B127" t="str">
        <f t="shared" si="7"/>
        <v>ULSBAR</v>
      </c>
      <c r="C127" t="str">
        <f>VLOOKUP(D127,DV_AZUL_Stat!H:I,2,FALSE)</f>
        <v>ULSBAR_IDR</v>
      </c>
      <c r="D127" s="59" t="s">
        <v>2036</v>
      </c>
      <c r="E127" s="1">
        <f>SUMIF(DV_AZUL_Stat!H:H,Summary_Checking_UL!$D127,DV_AZUL_Stat!C:C)</f>
        <v>815</v>
      </c>
      <c r="F127" s="1">
        <f>SUMIF(DV_AZUL_Stat!H:H,Summary_Checking_UL!$D127,DV_AZUL_Stat!E:E)</f>
        <v>44103500001</v>
      </c>
      <c r="G127" s="1">
        <f>SUMIF(DV_AZUL_Stat!H:H,Summary_Checking_UL!$D127,DV_AZUL_Stat!D:D)</f>
        <v>1692235560</v>
      </c>
      <c r="H127" s="1">
        <f>SUMIF(DV_AZUL_Stat!H:H,Summary_Checking_UL!$D127,DV_AZUL_Stat!F:F)</f>
        <v>12580796119.420948</v>
      </c>
      <c r="I127" s="46">
        <f>SUMIF(IT_AZUL_FULL_Stat!$H:$H,Summary_Checking_UL!$D127,IT_AZUL_FULL_Stat!C:C)</f>
        <v>815</v>
      </c>
      <c r="J127" s="46">
        <f>SUMIF(IT_AZUL_FULL_Stat!$H:$H,Summary_Checking_UL!$D127,IT_AZUL_FULL_Stat!E:E)</f>
        <v>44103500001</v>
      </c>
      <c r="K127" s="46">
        <f>SUMIF(IT_AZUL_FULL_Stat!$H:$H,Summary_Checking_UL!$D127,IT_AZUL_FULL_Stat!D:D)</f>
        <v>1692235560</v>
      </c>
      <c r="L127" s="46">
        <f>SUMIF(IT_AZUL_FULL_Stat!$H:$H,Summary_Checking_UL!$D127,IT_AZUL_FULL_Stat!F:F)</f>
        <v>12580796116.3151</v>
      </c>
      <c r="M127" s="7">
        <f t="shared" si="10"/>
        <v>0</v>
      </c>
      <c r="N127" s="7">
        <f t="shared" si="10"/>
        <v>0</v>
      </c>
      <c r="O127" s="7">
        <f t="shared" si="10"/>
        <v>0</v>
      </c>
      <c r="P127" s="7">
        <f t="shared" si="9"/>
        <v>3.1058483123779297</v>
      </c>
      <c r="Q127" s="48">
        <f t="shared" si="12"/>
        <v>0</v>
      </c>
      <c r="R127" s="48">
        <f t="shared" si="12"/>
        <v>0</v>
      </c>
      <c r="S127" s="48">
        <f t="shared" si="12"/>
        <v>0</v>
      </c>
      <c r="T127" s="48">
        <f t="shared" si="11"/>
        <v>2.4687216004956839E-10</v>
      </c>
      <c r="W127" s="46" t="str">
        <f t="shared" si="8"/>
        <v>IDR</v>
      </c>
    </row>
    <row r="128" spans="1:23">
      <c r="A128" s="58" t="str">
        <f>_xlfn.XLOOKUP(B128,[10]Sheet1!$D:$D,[10]Sheet1!$E:$E)</f>
        <v>Smartlink Dollar Invest Plus</v>
      </c>
      <c r="B128" t="str">
        <f t="shared" si="7"/>
        <v>ULSDIP</v>
      </c>
      <c r="C128" t="str">
        <f>VLOOKUP(D128,DV_AZUL_Stat!H:I,2,FALSE)</f>
        <v>ULSDIP_USD</v>
      </c>
      <c r="D128" s="59" t="s">
        <v>2037</v>
      </c>
      <c r="E128" s="1">
        <f>SUMIF(DV_AZUL_Stat!H:H,Summary_Checking_UL!$D128,DV_AZUL_Stat!C:C)</f>
        <v>3</v>
      </c>
      <c r="F128" s="1">
        <f>SUMIF(DV_AZUL_Stat!H:H,Summary_Checking_UL!$D128,DV_AZUL_Stat!E:E)</f>
        <v>450000</v>
      </c>
      <c r="G128" s="1">
        <f>SUMIF(DV_AZUL_Stat!H:H,Summary_Checking_UL!$D128,DV_AZUL_Stat!D:D)</f>
        <v>225000</v>
      </c>
      <c r="H128" s="1">
        <f>SUMIF(DV_AZUL_Stat!H:H,Summary_Checking_UL!$D128,DV_AZUL_Stat!F:F)</f>
        <v>65829</v>
      </c>
      <c r="I128" s="46">
        <f>SUMIF(IT_AZUL_FULL_Stat!$H:$H,Summary_Checking_UL!$D128,IT_AZUL_FULL_Stat!C:C)</f>
        <v>3</v>
      </c>
      <c r="J128" s="46">
        <f>SUMIF(IT_AZUL_FULL_Stat!$H:$H,Summary_Checking_UL!$D128,IT_AZUL_FULL_Stat!E:E)</f>
        <v>450000</v>
      </c>
      <c r="K128" s="46">
        <f>SUMIF(IT_AZUL_FULL_Stat!$H:$H,Summary_Checking_UL!$D128,IT_AZUL_FULL_Stat!D:D)</f>
        <v>225000</v>
      </c>
      <c r="L128" s="46">
        <f>SUMIF(IT_AZUL_FULL_Stat!$H:$H,Summary_Checking_UL!$D128,IT_AZUL_FULL_Stat!F:F)</f>
        <v>65829.029177999997</v>
      </c>
      <c r="M128" s="7">
        <f t="shared" si="10"/>
        <v>0</v>
      </c>
      <c r="N128" s="7">
        <f t="shared" si="10"/>
        <v>0</v>
      </c>
      <c r="O128" s="7">
        <f t="shared" si="10"/>
        <v>0</v>
      </c>
      <c r="P128" s="7">
        <f t="shared" si="9"/>
        <v>-2.9177999997045845E-2</v>
      </c>
      <c r="Q128" s="48">
        <f t="shared" si="12"/>
        <v>0</v>
      </c>
      <c r="R128" s="48">
        <f t="shared" si="12"/>
        <v>0</v>
      </c>
      <c r="S128" s="48">
        <f t="shared" si="12"/>
        <v>0</v>
      </c>
      <c r="T128" s="48">
        <f t="shared" si="11"/>
        <v>-4.432391053215943E-7</v>
      </c>
      <c r="W128" s="46" t="str">
        <f t="shared" si="8"/>
        <v>USD</v>
      </c>
    </row>
    <row r="129" spans="1:23">
      <c r="A129" s="58" t="str">
        <f>_xlfn.XLOOKUP(B129,[10]Sheet1!$D:$D,[10]Sheet1!$E:$E)</f>
        <v>Allianz Executive Protection</v>
      </c>
      <c r="B129" t="str">
        <f t="shared" si="7"/>
        <v>ULSEXP</v>
      </c>
      <c r="C129" t="str">
        <f>VLOOKUP(D129,DV_AZUL_Stat!H:I,2,FALSE)</f>
        <v>ULSEXP_IDR</v>
      </c>
      <c r="D129" s="59" t="s">
        <v>2038</v>
      </c>
      <c r="E129" s="1">
        <f>SUMIF(DV_AZUL_Stat!H:H,Summary_Checking_UL!$D129,DV_AZUL_Stat!C:C)</f>
        <v>63</v>
      </c>
      <c r="F129" s="1">
        <f>SUMIF(DV_AZUL_Stat!H:H,Summary_Checking_UL!$D129,DV_AZUL_Stat!E:E)</f>
        <v>20073000000</v>
      </c>
      <c r="G129" s="1">
        <f>SUMIF(DV_AZUL_Stat!H:H,Summary_Checking_UL!$D129,DV_AZUL_Stat!D:D)</f>
        <v>339700000</v>
      </c>
      <c r="H129" s="1">
        <f>SUMIF(DV_AZUL_Stat!H:H,Summary_Checking_UL!$D129,DV_AZUL_Stat!F:F)</f>
        <v>2479949930.2483902</v>
      </c>
      <c r="I129" s="46">
        <f>SUMIF(IT_AZUL_FULL_Stat!$H:$H,Summary_Checking_UL!$D129,IT_AZUL_FULL_Stat!C:C)</f>
        <v>63</v>
      </c>
      <c r="J129" s="46">
        <f>SUMIF(IT_AZUL_FULL_Stat!$H:$H,Summary_Checking_UL!$D129,IT_AZUL_FULL_Stat!E:E)</f>
        <v>20073000000</v>
      </c>
      <c r="K129" s="46">
        <f>SUMIF(IT_AZUL_FULL_Stat!$H:$H,Summary_Checking_UL!$D129,IT_AZUL_FULL_Stat!D:D)</f>
        <v>339700000</v>
      </c>
      <c r="L129" s="46">
        <f>SUMIF(IT_AZUL_FULL_Stat!$H:$H,Summary_Checking_UL!$D129,IT_AZUL_FULL_Stat!F:F)</f>
        <v>2479949930.6093998</v>
      </c>
      <c r="M129" s="7">
        <f t="shared" si="10"/>
        <v>0</v>
      </c>
      <c r="N129" s="7">
        <f t="shared" si="10"/>
        <v>0</v>
      </c>
      <c r="O129" s="7">
        <f t="shared" si="10"/>
        <v>0</v>
      </c>
      <c r="P129" s="7">
        <f t="shared" si="9"/>
        <v>-0.36100959777832031</v>
      </c>
      <c r="Q129" s="48">
        <f t="shared" si="12"/>
        <v>0</v>
      </c>
      <c r="R129" s="48">
        <f t="shared" si="12"/>
        <v>0</v>
      </c>
      <c r="S129" s="48">
        <f t="shared" si="12"/>
        <v>0</v>
      </c>
      <c r="T129" s="48">
        <f t="shared" si="11"/>
        <v>-1.4557132517978264E-10</v>
      </c>
      <c r="W129" s="46" t="str">
        <f t="shared" si="8"/>
        <v>IDR</v>
      </c>
    </row>
    <row r="130" spans="1:23">
      <c r="A130" s="58" t="str">
        <f>_xlfn.XLOOKUP(B130,[10]Sheet1!$D:$D,[10]Sheet1!$E:$E)</f>
        <v>Smartlink Flexi Account</v>
      </c>
      <c r="B130" t="str">
        <f t="shared" si="7"/>
        <v>ULSFA_</v>
      </c>
      <c r="C130" t="str">
        <f>VLOOKUP(D130,DV_AZUL_Stat!H:I,2,FALSE)</f>
        <v>ULSFA__IDR</v>
      </c>
      <c r="D130" s="59" t="s">
        <v>2039</v>
      </c>
      <c r="E130" s="1">
        <f>SUMIF(DV_AZUL_Stat!H:H,Summary_Checking_UL!$D130,DV_AZUL_Stat!C:C)</f>
        <v>1194</v>
      </c>
      <c r="F130" s="1">
        <f>SUMIF(DV_AZUL_Stat!H:H,Summary_Checking_UL!$D130,DV_AZUL_Stat!E:E)</f>
        <v>147250093700</v>
      </c>
      <c r="G130" s="1">
        <f>SUMIF(DV_AZUL_Stat!H:H,Summary_Checking_UL!$D130,DV_AZUL_Stat!D:D)</f>
        <v>6690693572</v>
      </c>
      <c r="H130" s="1">
        <f>SUMIF(DV_AZUL_Stat!H:H,Summary_Checking_UL!$D130,DV_AZUL_Stat!F:F)</f>
        <v>44884387196.386009</v>
      </c>
      <c r="I130" s="46">
        <f>SUMIF(IT_AZUL_FULL_Stat!$H:$H,Summary_Checking_UL!$D130,IT_AZUL_FULL_Stat!C:C)</f>
        <v>1194</v>
      </c>
      <c r="J130" s="46">
        <f>SUMIF(IT_AZUL_FULL_Stat!$H:$H,Summary_Checking_UL!$D130,IT_AZUL_FULL_Stat!E:E)</f>
        <v>147250093700</v>
      </c>
      <c r="K130" s="46">
        <f>SUMIF(IT_AZUL_FULL_Stat!$H:$H,Summary_Checking_UL!$D130,IT_AZUL_FULL_Stat!D:D)</f>
        <v>6690693572</v>
      </c>
      <c r="L130" s="46">
        <f>SUMIF(IT_AZUL_FULL_Stat!$H:$H,Summary_Checking_UL!$D130,IT_AZUL_FULL_Stat!F:F)</f>
        <v>44884387200.348999</v>
      </c>
      <c r="M130" s="7">
        <f t="shared" si="10"/>
        <v>0</v>
      </c>
      <c r="N130" s="7">
        <f t="shared" si="10"/>
        <v>0</v>
      </c>
      <c r="O130" s="7">
        <f t="shared" si="10"/>
        <v>0</v>
      </c>
      <c r="P130" s="7">
        <f t="shared" si="9"/>
        <v>-3.9629898071289063</v>
      </c>
      <c r="Q130" s="48">
        <f t="shared" si="12"/>
        <v>0</v>
      </c>
      <c r="R130" s="48">
        <f t="shared" si="12"/>
        <v>0</v>
      </c>
      <c r="S130" s="48">
        <f t="shared" si="12"/>
        <v>0</v>
      </c>
      <c r="T130" s="48">
        <f t="shared" si="11"/>
        <v>-8.8293280900537541E-11</v>
      </c>
      <c r="W130" s="46" t="str">
        <f t="shared" si="8"/>
        <v>IDR</v>
      </c>
    </row>
    <row r="131" spans="1:23">
      <c r="A131" s="58" t="str">
        <f>_xlfn.XLOOKUP(B131,[10]Sheet1!$D:$D,[10]Sheet1!$E:$E)</f>
        <v>Smartlink Maxi Fund Plus</v>
      </c>
      <c r="B131" t="str">
        <f t="shared" si="7"/>
        <v>ULSMFP</v>
      </c>
      <c r="C131" t="str">
        <f>VLOOKUP(D131,DV_AZUL_Stat!H:I,2,FALSE)</f>
        <v>ULSMFP_IDR</v>
      </c>
      <c r="D131" s="59" t="s">
        <v>2040</v>
      </c>
      <c r="E131" s="1">
        <f>SUMIF(DV_AZUL_Stat!H:H,Summary_Checking_UL!$D131,DV_AZUL_Stat!C:C)</f>
        <v>218</v>
      </c>
      <c r="F131" s="1">
        <f>SUMIF(DV_AZUL_Stat!H:H,Summary_Checking_UL!$D131,DV_AZUL_Stat!E:E)</f>
        <v>20515050000</v>
      </c>
      <c r="G131" s="1">
        <f>SUMIF(DV_AZUL_Stat!H:H,Summary_Checking_UL!$D131,DV_AZUL_Stat!D:D)</f>
        <v>11060951652</v>
      </c>
      <c r="H131" s="1">
        <f>SUMIF(DV_AZUL_Stat!H:H,Summary_Checking_UL!$D131,DV_AZUL_Stat!F:F)</f>
        <v>10621929056.704655</v>
      </c>
      <c r="I131" s="46">
        <f>SUMIF(IT_AZUL_FULL_Stat!$H:$H,Summary_Checking_UL!$D131,IT_AZUL_FULL_Stat!C:C)</f>
        <v>218</v>
      </c>
      <c r="J131" s="46">
        <f>SUMIF(IT_AZUL_FULL_Stat!$H:$H,Summary_Checking_UL!$D131,IT_AZUL_FULL_Stat!E:E)</f>
        <v>20515050000</v>
      </c>
      <c r="K131" s="46">
        <f>SUMIF(IT_AZUL_FULL_Stat!$H:$H,Summary_Checking_UL!$D131,IT_AZUL_FULL_Stat!D:D)</f>
        <v>11060951652</v>
      </c>
      <c r="L131" s="46">
        <f>SUMIF(IT_AZUL_FULL_Stat!$H:$H,Summary_Checking_UL!$D131,IT_AZUL_FULL_Stat!F:F)</f>
        <v>10621929059.3536</v>
      </c>
      <c r="M131" s="7">
        <f t="shared" si="10"/>
        <v>0</v>
      </c>
      <c r="N131" s="7">
        <f t="shared" si="10"/>
        <v>0</v>
      </c>
      <c r="O131" s="7">
        <f t="shared" si="10"/>
        <v>0</v>
      </c>
      <c r="P131" s="7">
        <f t="shared" si="9"/>
        <v>-2.6489448547363281</v>
      </c>
      <c r="Q131" s="48">
        <f t="shared" si="12"/>
        <v>0</v>
      </c>
      <c r="R131" s="48">
        <f t="shared" si="12"/>
        <v>0</v>
      </c>
      <c r="S131" s="48">
        <f t="shared" si="12"/>
        <v>0</v>
      </c>
      <c r="T131" s="48">
        <f t="shared" si="11"/>
        <v>-2.4938453645608609E-10</v>
      </c>
      <c r="W131" s="46" t="str">
        <f t="shared" si="8"/>
        <v>IDR</v>
      </c>
    </row>
    <row r="132" spans="1:23">
      <c r="A132" s="58" t="str">
        <f>_xlfn.XLOOKUP(B132,[10]Sheet1!$D:$D,[10]Sheet1!$E:$E)</f>
        <v>Smartlink Maxi Fund Plus</v>
      </c>
      <c r="B132" t="str">
        <f t="shared" si="7"/>
        <v>ULSMFP</v>
      </c>
      <c r="C132" t="str">
        <f>VLOOKUP(D132,DV_AZUL_Stat!H:I,2,FALSE)</f>
        <v>ULSMFP_USD</v>
      </c>
      <c r="D132" s="59" t="s">
        <v>2041</v>
      </c>
      <c r="E132" s="1">
        <f>SUMIF(DV_AZUL_Stat!H:H,Summary_Checking_UL!$D132,DV_AZUL_Stat!C:C)</f>
        <v>39</v>
      </c>
      <c r="F132" s="1">
        <f>SUMIF(DV_AZUL_Stat!H:H,Summary_Checking_UL!$D132,DV_AZUL_Stat!E:E)</f>
        <v>1153750</v>
      </c>
      <c r="G132" s="1">
        <f>SUMIF(DV_AZUL_Stat!H:H,Summary_Checking_UL!$D132,DV_AZUL_Stat!D:D)</f>
        <v>639500</v>
      </c>
      <c r="H132" s="1">
        <f>SUMIF(DV_AZUL_Stat!H:H,Summary_Checking_UL!$D132,DV_AZUL_Stat!F:F)</f>
        <v>708720.36089640006</v>
      </c>
      <c r="I132" s="46">
        <f>SUMIF(IT_AZUL_FULL_Stat!$H:$H,Summary_Checking_UL!$D132,IT_AZUL_FULL_Stat!C:C)</f>
        <v>39</v>
      </c>
      <c r="J132" s="46">
        <f>SUMIF(IT_AZUL_FULL_Stat!$H:$H,Summary_Checking_UL!$D132,IT_AZUL_FULL_Stat!E:E)</f>
        <v>1153750</v>
      </c>
      <c r="K132" s="46">
        <f>SUMIF(IT_AZUL_FULL_Stat!$H:$H,Summary_Checking_UL!$D132,IT_AZUL_FULL_Stat!D:D)</f>
        <v>639500</v>
      </c>
      <c r="L132" s="46">
        <f>SUMIF(IT_AZUL_FULL_Stat!$H:$H,Summary_Checking_UL!$D132,IT_AZUL_FULL_Stat!F:F)</f>
        <v>708717.6736332</v>
      </c>
      <c r="M132" s="7">
        <f t="shared" si="10"/>
        <v>0</v>
      </c>
      <c r="N132" s="7">
        <f t="shared" si="10"/>
        <v>0</v>
      </c>
      <c r="O132" s="7">
        <f t="shared" si="10"/>
        <v>0</v>
      </c>
      <c r="P132" s="7">
        <f t="shared" si="9"/>
        <v>2.6872632000595331</v>
      </c>
      <c r="Q132" s="48">
        <f t="shared" si="12"/>
        <v>0</v>
      </c>
      <c r="R132" s="48">
        <f t="shared" si="12"/>
        <v>0</v>
      </c>
      <c r="S132" s="48">
        <f t="shared" si="12"/>
        <v>0</v>
      </c>
      <c r="T132" s="48">
        <f t="shared" si="11"/>
        <v>3.7917259580721816E-6</v>
      </c>
      <c r="W132" s="46" t="str">
        <f t="shared" si="8"/>
        <v>USD</v>
      </c>
    </row>
    <row r="133" spans="1:23">
      <c r="A133" s="58" t="str">
        <f>_xlfn.XLOOKUP(B133,[10]Sheet1!$D:$D,[10]Sheet1!$E:$E)</f>
        <v>Smartlink Maxima Plus Permata</v>
      </c>
      <c r="B133" t="str">
        <f t="shared" si="7"/>
        <v>ULSMP1</v>
      </c>
      <c r="C133" t="str">
        <f>VLOOKUP(D133,DV_AZUL_Stat!H:I,2,FALSE)</f>
        <v>ULSMP1_IDR</v>
      </c>
      <c r="D133" s="59" t="s">
        <v>2042</v>
      </c>
      <c r="E133" s="1">
        <f>SUMIF(DV_AZUL_Stat!H:H,Summary_Checking_UL!$D133,DV_AZUL_Stat!C:C)</f>
        <v>159</v>
      </c>
      <c r="F133" s="1">
        <f>SUMIF(DV_AZUL_Stat!H:H,Summary_Checking_UL!$D133,DV_AZUL_Stat!E:E)</f>
        <v>3056250000</v>
      </c>
      <c r="G133" s="1">
        <f>SUMIF(DV_AZUL_Stat!H:H,Summary_Checking_UL!$D133,DV_AZUL_Stat!D:D)</f>
        <v>2445000000</v>
      </c>
      <c r="H133" s="1">
        <f>SUMIF(DV_AZUL_Stat!H:H,Summary_Checking_UL!$D133,DV_AZUL_Stat!F:F)</f>
        <v>26366765585.874535</v>
      </c>
      <c r="I133" s="46">
        <f>SUMIF(IT_AZUL_FULL_Stat!$H:$H,Summary_Checking_UL!$D133,IT_AZUL_FULL_Stat!C:C)</f>
        <v>159</v>
      </c>
      <c r="J133" s="46">
        <f>SUMIF(IT_AZUL_FULL_Stat!$H:$H,Summary_Checking_UL!$D133,IT_AZUL_FULL_Stat!E:E)</f>
        <v>3056250000</v>
      </c>
      <c r="K133" s="46">
        <f>SUMIF(IT_AZUL_FULL_Stat!$H:$H,Summary_Checking_UL!$D133,IT_AZUL_FULL_Stat!D:D)</f>
        <v>2445000000</v>
      </c>
      <c r="L133" s="46">
        <f>SUMIF(IT_AZUL_FULL_Stat!$H:$H,Summary_Checking_UL!$D133,IT_AZUL_FULL_Stat!F:F)</f>
        <v>26366765581.044102</v>
      </c>
      <c r="M133" s="7">
        <f t="shared" si="10"/>
        <v>0</v>
      </c>
      <c r="N133" s="7">
        <f t="shared" si="10"/>
        <v>0</v>
      </c>
      <c r="O133" s="7">
        <f t="shared" si="10"/>
        <v>0</v>
      </c>
      <c r="P133" s="7">
        <f t="shared" si="9"/>
        <v>4.8304328918457031</v>
      </c>
      <c r="Q133" s="48">
        <f t="shared" si="12"/>
        <v>0</v>
      </c>
      <c r="R133" s="48">
        <f t="shared" si="12"/>
        <v>0</v>
      </c>
      <c r="S133" s="48">
        <f t="shared" si="12"/>
        <v>0</v>
      </c>
      <c r="T133" s="48">
        <f t="shared" si="11"/>
        <v>1.8320157157685103E-10</v>
      </c>
      <c r="W133" s="46" t="str">
        <f t="shared" si="8"/>
        <v>IDR</v>
      </c>
    </row>
    <row r="134" spans="1:23">
      <c r="A134" s="58" t="str">
        <f>_xlfn.XLOOKUP(B134,[10]Sheet1!$D:$D,[10]Sheet1!$E:$E)</f>
        <v>Smartlink Maxima Plus Permata</v>
      </c>
      <c r="B134" t="str">
        <f t="shared" si="7"/>
        <v>ULSMP2</v>
      </c>
      <c r="C134" t="str">
        <f>VLOOKUP(D134,DV_AZUL_Stat!H:I,2,FALSE)</f>
        <v>ULSMP2_IDR</v>
      </c>
      <c r="D134" s="59" t="s">
        <v>2043</v>
      </c>
      <c r="E134" s="1">
        <f>SUMIF(DV_AZUL_Stat!H:H,Summary_Checking_UL!$D134,DV_AZUL_Stat!C:C)</f>
        <v>4</v>
      </c>
      <c r="F134" s="1">
        <f>SUMIF(DV_AZUL_Stat!H:H,Summary_Checking_UL!$D134,DV_AZUL_Stat!E:E)</f>
        <v>625000000</v>
      </c>
      <c r="G134" s="1">
        <f>SUMIF(DV_AZUL_Stat!H:H,Summary_Checking_UL!$D134,DV_AZUL_Stat!D:D)</f>
        <v>500000000</v>
      </c>
      <c r="H134" s="1">
        <f>SUMIF(DV_AZUL_Stat!H:H,Summary_Checking_UL!$D134,DV_AZUL_Stat!F:F)</f>
        <v>577093355.61795998</v>
      </c>
      <c r="I134" s="46">
        <f>SUMIF(IT_AZUL_FULL_Stat!$H:$H,Summary_Checking_UL!$D134,IT_AZUL_FULL_Stat!C:C)</f>
        <v>4</v>
      </c>
      <c r="J134" s="46">
        <f>SUMIF(IT_AZUL_FULL_Stat!$H:$H,Summary_Checking_UL!$D134,IT_AZUL_FULL_Stat!E:E)</f>
        <v>625000000</v>
      </c>
      <c r="K134" s="46">
        <f>SUMIF(IT_AZUL_FULL_Stat!$H:$H,Summary_Checking_UL!$D134,IT_AZUL_FULL_Stat!D:D)</f>
        <v>500000000</v>
      </c>
      <c r="L134" s="46">
        <f>SUMIF(IT_AZUL_FULL_Stat!$H:$H,Summary_Checking_UL!$D134,IT_AZUL_FULL_Stat!F:F)</f>
        <v>577093355.83651805</v>
      </c>
      <c r="M134" s="7">
        <f t="shared" si="10"/>
        <v>0</v>
      </c>
      <c r="N134" s="7">
        <f t="shared" si="10"/>
        <v>0</v>
      </c>
      <c r="O134" s="7">
        <f t="shared" si="10"/>
        <v>0</v>
      </c>
      <c r="P134" s="7">
        <f t="shared" si="9"/>
        <v>-0.21855807304382324</v>
      </c>
      <c r="Q134" s="48">
        <f t="shared" si="12"/>
        <v>0</v>
      </c>
      <c r="R134" s="48">
        <f t="shared" si="12"/>
        <v>0</v>
      </c>
      <c r="S134" s="48">
        <f t="shared" si="12"/>
        <v>0</v>
      </c>
      <c r="T134" s="48">
        <f t="shared" si="11"/>
        <v>-3.7872221337051313E-10</v>
      </c>
      <c r="W134" s="46" t="str">
        <f t="shared" si="8"/>
        <v>IDR</v>
      </c>
    </row>
    <row r="135" spans="1:23">
      <c r="A135" s="58" t="str">
        <f>_xlfn.XLOOKUP(B135,[10]Sheet1!$D:$D,[10]Sheet1!$E:$E)</f>
        <v>Smartlink Maxima Plus</v>
      </c>
      <c r="B135" t="str">
        <f t="shared" si="7"/>
        <v>ULSMP4</v>
      </c>
      <c r="C135" t="str">
        <f>VLOOKUP(D135,DV_AZUL_Stat!H:I,2,FALSE)</f>
        <v>ULSMP4_IDR</v>
      </c>
      <c r="D135" s="59" t="s">
        <v>2044</v>
      </c>
      <c r="E135" s="1">
        <f>SUMIF(DV_AZUL_Stat!H:H,Summary_Checking_UL!$D135,DV_AZUL_Stat!C:C)</f>
        <v>50</v>
      </c>
      <c r="F135" s="1">
        <f>SUMIF(DV_AZUL_Stat!H:H,Summary_Checking_UL!$D135,DV_AZUL_Stat!E:E)</f>
        <v>1250000000</v>
      </c>
      <c r="G135" s="1">
        <f>SUMIF(DV_AZUL_Stat!H:H,Summary_Checking_UL!$D135,DV_AZUL_Stat!D:D)</f>
        <v>1000000000</v>
      </c>
      <c r="H135" s="1">
        <f>SUMIF(DV_AZUL_Stat!H:H,Summary_Checking_UL!$D135,DV_AZUL_Stat!F:F)</f>
        <v>5932405166.5115013</v>
      </c>
      <c r="I135" s="46">
        <f>SUMIF(IT_AZUL_FULL_Stat!$H:$H,Summary_Checking_UL!$D135,IT_AZUL_FULL_Stat!C:C)</f>
        <v>50</v>
      </c>
      <c r="J135" s="46">
        <f>SUMIF(IT_AZUL_FULL_Stat!$H:$H,Summary_Checking_UL!$D135,IT_AZUL_FULL_Stat!E:E)</f>
        <v>1250000000</v>
      </c>
      <c r="K135" s="46">
        <f>SUMIF(IT_AZUL_FULL_Stat!$H:$H,Summary_Checking_UL!$D135,IT_AZUL_FULL_Stat!D:D)</f>
        <v>1000000000</v>
      </c>
      <c r="L135" s="46">
        <f>SUMIF(IT_AZUL_FULL_Stat!$H:$H,Summary_Checking_UL!$D135,IT_AZUL_FULL_Stat!F:F)</f>
        <v>5932405166.90133</v>
      </c>
      <c r="M135" s="7">
        <f t="shared" si="10"/>
        <v>0</v>
      </c>
      <c r="N135" s="7">
        <f t="shared" si="10"/>
        <v>0</v>
      </c>
      <c r="O135" s="7">
        <f t="shared" si="10"/>
        <v>0</v>
      </c>
      <c r="P135" s="7">
        <f t="shared" si="9"/>
        <v>-0.38982868194580078</v>
      </c>
      <c r="Q135" s="48">
        <f t="shared" si="12"/>
        <v>0</v>
      </c>
      <c r="R135" s="48">
        <f t="shared" si="12"/>
        <v>0</v>
      </c>
      <c r="S135" s="48">
        <f t="shared" si="12"/>
        <v>0</v>
      </c>
      <c r="T135" s="48">
        <f t="shared" si="11"/>
        <v>-6.5711742704421487E-11</v>
      </c>
      <c r="W135" s="46" t="str">
        <f t="shared" si="8"/>
        <v>IDR</v>
      </c>
    </row>
    <row r="136" spans="1:23">
      <c r="A136" s="58" t="str">
        <f>_xlfn.XLOOKUP(B136,[10]Sheet1!$D:$D,[10]Sheet1!$E:$E)</f>
        <v>Smartlink Maxima Plus</v>
      </c>
      <c r="B136" t="str">
        <f t="shared" si="7"/>
        <v>ULSMP5</v>
      </c>
      <c r="C136" t="str">
        <f>VLOOKUP(D136,DV_AZUL_Stat!H:I,2,FALSE)</f>
        <v>ULSMP5_IDR</v>
      </c>
      <c r="D136" s="59" t="s">
        <v>2045</v>
      </c>
      <c r="E136" s="1">
        <f>SUMIF(DV_AZUL_Stat!H:H,Summary_Checking_UL!$D136,DV_AZUL_Stat!C:C)</f>
        <v>18</v>
      </c>
      <c r="F136" s="1">
        <f>SUMIF(DV_AZUL_Stat!H:H,Summary_Checking_UL!$D136,DV_AZUL_Stat!E:E)</f>
        <v>450000000</v>
      </c>
      <c r="G136" s="1">
        <f>SUMIF(DV_AZUL_Stat!H:H,Summary_Checking_UL!$D136,DV_AZUL_Stat!D:D)</f>
        <v>360000000</v>
      </c>
      <c r="H136" s="1">
        <f>SUMIF(DV_AZUL_Stat!H:H,Summary_Checking_UL!$D136,DV_AZUL_Stat!F:F)</f>
        <v>3436947014.4991469</v>
      </c>
      <c r="I136" s="46">
        <f>SUMIF(IT_AZUL_FULL_Stat!$H:$H,Summary_Checking_UL!$D136,IT_AZUL_FULL_Stat!C:C)</f>
        <v>18</v>
      </c>
      <c r="J136" s="46">
        <f>SUMIF(IT_AZUL_FULL_Stat!$H:$H,Summary_Checking_UL!$D136,IT_AZUL_FULL_Stat!E:E)</f>
        <v>450000000</v>
      </c>
      <c r="K136" s="46">
        <f>SUMIF(IT_AZUL_FULL_Stat!$H:$H,Summary_Checking_UL!$D136,IT_AZUL_FULL_Stat!D:D)</f>
        <v>360000000</v>
      </c>
      <c r="L136" s="46">
        <f>SUMIF(IT_AZUL_FULL_Stat!$H:$H,Summary_Checking_UL!$D136,IT_AZUL_FULL_Stat!F:F)</f>
        <v>3436947016.96453</v>
      </c>
      <c r="M136" s="7">
        <f t="shared" si="10"/>
        <v>0</v>
      </c>
      <c r="N136" s="7">
        <f t="shared" si="10"/>
        <v>0</v>
      </c>
      <c r="O136" s="7">
        <f t="shared" si="10"/>
        <v>0</v>
      </c>
      <c r="P136" s="7">
        <f t="shared" si="9"/>
        <v>-2.4653830528259277</v>
      </c>
      <c r="Q136" s="48">
        <f t="shared" si="12"/>
        <v>0</v>
      </c>
      <c r="R136" s="48">
        <f t="shared" si="12"/>
        <v>0</v>
      </c>
      <c r="S136" s="48">
        <f t="shared" si="12"/>
        <v>0</v>
      </c>
      <c r="T136" s="48">
        <f t="shared" si="11"/>
        <v>-7.1731773596071445E-10</v>
      </c>
      <c r="W136" s="46" t="str">
        <f t="shared" si="8"/>
        <v>IDR</v>
      </c>
    </row>
    <row r="137" spans="1:23">
      <c r="A137" s="58" t="str">
        <f>_xlfn.XLOOKUP(B137,[10]Sheet1!$D:$D,[10]Sheet1!$E:$E)</f>
        <v>Smartlink Maxima Plus</v>
      </c>
      <c r="B137" t="str">
        <f t="shared" si="7"/>
        <v>ULSMP6</v>
      </c>
      <c r="C137" t="str">
        <f>VLOOKUP(D137,DV_AZUL_Stat!H:I,2,FALSE)</f>
        <v>ULSMP6_IDR</v>
      </c>
      <c r="D137" s="59" t="s">
        <v>2046</v>
      </c>
      <c r="E137" s="1">
        <f>SUMIF(DV_AZUL_Stat!H:H,Summary_Checking_UL!$D137,DV_AZUL_Stat!C:C)</f>
        <v>13</v>
      </c>
      <c r="F137" s="1">
        <f>SUMIF(DV_AZUL_Stat!H:H,Summary_Checking_UL!$D137,DV_AZUL_Stat!E:E)</f>
        <v>325000000</v>
      </c>
      <c r="G137" s="1">
        <f>SUMIF(DV_AZUL_Stat!H:H,Summary_Checking_UL!$D137,DV_AZUL_Stat!D:D)</f>
        <v>260000000</v>
      </c>
      <c r="H137" s="1">
        <f>SUMIF(DV_AZUL_Stat!H:H,Summary_Checking_UL!$D137,DV_AZUL_Stat!F:F)</f>
        <v>3155866810.9380703</v>
      </c>
      <c r="I137" s="46">
        <f>SUMIF(IT_AZUL_FULL_Stat!$H:$H,Summary_Checking_UL!$D137,IT_AZUL_FULL_Stat!C:C)</f>
        <v>13</v>
      </c>
      <c r="J137" s="46">
        <f>SUMIF(IT_AZUL_FULL_Stat!$H:$H,Summary_Checking_UL!$D137,IT_AZUL_FULL_Stat!E:E)</f>
        <v>325000000</v>
      </c>
      <c r="K137" s="46">
        <f>SUMIF(IT_AZUL_FULL_Stat!$H:$H,Summary_Checking_UL!$D137,IT_AZUL_FULL_Stat!D:D)</f>
        <v>260000000</v>
      </c>
      <c r="L137" s="46">
        <f>SUMIF(IT_AZUL_FULL_Stat!$H:$H,Summary_Checking_UL!$D137,IT_AZUL_FULL_Stat!F:F)</f>
        <v>3155866812.7372298</v>
      </c>
      <c r="M137" s="7">
        <f t="shared" si="10"/>
        <v>0</v>
      </c>
      <c r="N137" s="7">
        <f t="shared" si="10"/>
        <v>0</v>
      </c>
      <c r="O137" s="7">
        <f t="shared" si="10"/>
        <v>0</v>
      </c>
      <c r="P137" s="7">
        <f t="shared" si="9"/>
        <v>-1.7991595268249512</v>
      </c>
      <c r="Q137" s="48">
        <f t="shared" si="12"/>
        <v>0</v>
      </c>
      <c r="R137" s="48">
        <f t="shared" si="12"/>
        <v>0</v>
      </c>
      <c r="S137" s="48">
        <f t="shared" si="12"/>
        <v>0</v>
      </c>
      <c r="T137" s="48">
        <f t="shared" si="11"/>
        <v>-5.7009995465063896E-10</v>
      </c>
      <c r="W137" s="46" t="str">
        <f t="shared" si="8"/>
        <v>IDR</v>
      </c>
    </row>
    <row r="138" spans="1:23">
      <c r="A138" s="58" t="str">
        <f>_xlfn.XLOOKUP(B138,[10]Sheet1!$D:$D,[10]Sheet1!$E:$E)</f>
        <v>Smartlink Protekta Value</v>
      </c>
      <c r="B138" t="str">
        <f t="shared" si="7"/>
        <v>ULSMPV</v>
      </c>
      <c r="C138" t="str">
        <f>VLOOKUP(D138,DV_AZUL_Stat!H:I,2,FALSE)</f>
        <v>ULSMPV_IDR</v>
      </c>
      <c r="D138" s="59" t="s">
        <v>2047</v>
      </c>
      <c r="E138" s="1">
        <f>SUMIF(DV_AZUL_Stat!H:H,Summary_Checking_UL!$D138,DV_AZUL_Stat!C:C)</f>
        <v>3</v>
      </c>
      <c r="F138" s="1">
        <f>SUMIF(DV_AZUL_Stat!H:H,Summary_Checking_UL!$D138,DV_AZUL_Stat!E:E)</f>
        <v>550000000</v>
      </c>
      <c r="G138" s="1">
        <f>SUMIF(DV_AZUL_Stat!H:H,Summary_Checking_UL!$D138,DV_AZUL_Stat!D:D)</f>
        <v>18000000</v>
      </c>
      <c r="H138" s="1">
        <f>SUMIF(DV_AZUL_Stat!H:H,Summary_Checking_UL!$D138,DV_AZUL_Stat!F:F)</f>
        <v>92473567.415160999</v>
      </c>
      <c r="I138" s="46">
        <f>SUMIF(IT_AZUL_FULL_Stat!$H:$H,Summary_Checking_UL!$D138,IT_AZUL_FULL_Stat!C:C)</f>
        <v>3</v>
      </c>
      <c r="J138" s="46">
        <f>SUMIF(IT_AZUL_FULL_Stat!$H:$H,Summary_Checking_UL!$D138,IT_AZUL_FULL_Stat!E:E)</f>
        <v>550000000</v>
      </c>
      <c r="K138" s="46">
        <f>SUMIF(IT_AZUL_FULL_Stat!$H:$H,Summary_Checking_UL!$D138,IT_AZUL_FULL_Stat!D:D)</f>
        <v>18000000</v>
      </c>
      <c r="L138" s="46">
        <f>SUMIF(IT_AZUL_FULL_Stat!$H:$H,Summary_Checking_UL!$D138,IT_AZUL_FULL_Stat!F:F)</f>
        <v>92473566.682711005</v>
      </c>
      <c r="M138" s="7">
        <f t="shared" si="10"/>
        <v>0</v>
      </c>
      <c r="N138" s="7">
        <f t="shared" si="10"/>
        <v>0</v>
      </c>
      <c r="O138" s="7">
        <f t="shared" si="10"/>
        <v>0</v>
      </c>
      <c r="P138" s="7">
        <f t="shared" si="9"/>
        <v>0.73244999349117279</v>
      </c>
      <c r="Q138" s="48">
        <f t="shared" si="12"/>
        <v>0</v>
      </c>
      <c r="R138" s="48">
        <f t="shared" si="12"/>
        <v>0</v>
      </c>
      <c r="S138" s="48">
        <f t="shared" si="12"/>
        <v>0</v>
      </c>
      <c r="T138" s="48">
        <f t="shared" si="11"/>
        <v>7.9206417548952691E-9</v>
      </c>
      <c r="W138" s="46" t="str">
        <f t="shared" si="8"/>
        <v>IDR</v>
      </c>
    </row>
    <row r="139" spans="1:23">
      <c r="A139" s="58" t="str">
        <f>_xlfn.XLOOKUP(B139,[10]Sheet1!$D:$D,[10]Sheet1!$E:$E)</f>
        <v>Smartlink New Flexi Account</v>
      </c>
      <c r="B139" t="str">
        <f t="shared" ref="B139" si="13">LEFT(C139,6)</f>
        <v>ULSNF2</v>
      </c>
      <c r="C139" t="str">
        <f>VLOOKUP(D139,DV_AZUL_Stat!H:I,2,FALSE)</f>
        <v>ULSNF2_IDR</v>
      </c>
      <c r="D139" s="59" t="s">
        <v>2048</v>
      </c>
      <c r="E139" s="1">
        <f>SUMIF(DV_AZUL_Stat!H:H,Summary_Checking_UL!$D139,DV_AZUL_Stat!C:C)</f>
        <v>2599</v>
      </c>
      <c r="F139" s="1">
        <f>SUMIF(DV_AZUL_Stat!H:H,Summary_Checking_UL!$D139,DV_AZUL_Stat!E:E)</f>
        <v>593306500000</v>
      </c>
      <c r="G139" s="1">
        <f>SUMIF(DV_AZUL_Stat!H:H,Summary_Checking_UL!$D139,DV_AZUL_Stat!D:D)</f>
        <v>14185347591.99799</v>
      </c>
      <c r="H139" s="1">
        <f>SUMIF(DV_AZUL_Stat!H:H,Summary_Checking_UL!$D139,DV_AZUL_Stat!F:F)</f>
        <v>109550361789.605</v>
      </c>
      <c r="I139" s="46">
        <f>SUMIF(IT_AZUL_FULL_Stat!$H:$H,Summary_Checking_UL!$D139,IT_AZUL_FULL_Stat!C:C)</f>
        <v>2599</v>
      </c>
      <c r="J139" s="46">
        <f>SUMIF(IT_AZUL_FULL_Stat!$H:$H,Summary_Checking_UL!$D139,IT_AZUL_FULL_Stat!E:E)</f>
        <v>593306500000</v>
      </c>
      <c r="K139" s="46">
        <f>SUMIF(IT_AZUL_FULL_Stat!$H:$H,Summary_Checking_UL!$D139,IT_AZUL_FULL_Stat!D:D)</f>
        <v>14185347591.9979</v>
      </c>
      <c r="L139" s="46">
        <f>SUMIF(IT_AZUL_FULL_Stat!$H:$H,Summary_Checking_UL!$D139,IT_AZUL_FULL_Stat!F:F)</f>
        <v>109550361788.87</v>
      </c>
      <c r="M139" s="7">
        <f t="shared" si="10"/>
        <v>0</v>
      </c>
      <c r="N139" s="7">
        <f t="shared" si="10"/>
        <v>0</v>
      </c>
      <c r="O139" s="7">
        <f t="shared" si="10"/>
        <v>8.96453857421875E-5</v>
      </c>
      <c r="P139" s="7">
        <f t="shared" si="9"/>
        <v>0.7350006103515625</v>
      </c>
      <c r="Q139" s="48">
        <f t="shared" si="12"/>
        <v>0</v>
      </c>
      <c r="R139" s="48">
        <f t="shared" si="12"/>
        <v>0</v>
      </c>
      <c r="S139" s="48">
        <f t="shared" si="12"/>
        <v>6.3195762501270949E-15</v>
      </c>
      <c r="T139" s="48">
        <f t="shared" si="11"/>
        <v>6.7092485898685225E-12</v>
      </c>
      <c r="W139" s="46" t="str">
        <f t="shared" si="8"/>
        <v>IDR</v>
      </c>
    </row>
    <row r="140" spans="1:23">
      <c r="A140" s="58" t="str">
        <f>_xlfn.XLOOKUP(B140,[10]Sheet1!$D:$D,[10]Sheet1!$E:$E)</f>
        <v>Smartlink New Flexi Account</v>
      </c>
      <c r="B140" t="str">
        <f t="shared" ref="B140:B174" si="14">LEFT(C140,LEN(C140)-4)</f>
        <v>ULSNF2</v>
      </c>
      <c r="C140" t="str">
        <f>VLOOKUP(D140,DV_AZUL_Stat!H:I,2,FALSE)</f>
        <v>ULSNF2_USD</v>
      </c>
      <c r="D140" s="59" t="s">
        <v>2049</v>
      </c>
      <c r="E140" s="1">
        <f>SUMIF(DV_AZUL_Stat!H:H,Summary_Checking_UL!$D140,DV_AZUL_Stat!C:C)</f>
        <v>28</v>
      </c>
      <c r="F140" s="1">
        <f>SUMIF(DV_AZUL_Stat!H:H,Summary_Checking_UL!$D140,DV_AZUL_Stat!E:E)</f>
        <v>1038500</v>
      </c>
      <c r="G140" s="1">
        <f>SUMIF(DV_AZUL_Stat!H:H,Summary_Checking_UL!$D140,DV_AZUL_Stat!D:D)</f>
        <v>53761</v>
      </c>
      <c r="H140" s="1">
        <f>SUMIF(DV_AZUL_Stat!H:H,Summary_Checking_UL!$D140,DV_AZUL_Stat!F:F)</f>
        <v>657178.50992159999</v>
      </c>
      <c r="I140" s="46">
        <f>SUMIF(IT_AZUL_FULL_Stat!$H:$H,Summary_Checking_UL!$D140,IT_AZUL_FULL_Stat!C:C)</f>
        <v>28</v>
      </c>
      <c r="J140" s="46">
        <f>SUMIF(IT_AZUL_FULL_Stat!$H:$H,Summary_Checking_UL!$D140,IT_AZUL_FULL_Stat!E:E)</f>
        <v>1038500</v>
      </c>
      <c r="K140" s="46">
        <f>SUMIF(IT_AZUL_FULL_Stat!$H:$H,Summary_Checking_UL!$D140,IT_AZUL_FULL_Stat!D:D)</f>
        <v>53761</v>
      </c>
      <c r="L140" s="46">
        <f>SUMIF(IT_AZUL_FULL_Stat!$H:$H,Summary_Checking_UL!$D140,IT_AZUL_FULL_Stat!F:F)</f>
        <v>657180.20382960001</v>
      </c>
      <c r="M140" s="7">
        <f t="shared" si="10"/>
        <v>0</v>
      </c>
      <c r="N140" s="7">
        <f t="shared" si="10"/>
        <v>0</v>
      </c>
      <c r="O140" s="7">
        <f t="shared" si="10"/>
        <v>0</v>
      </c>
      <c r="P140" s="7">
        <f t="shared" si="9"/>
        <v>-1.6939080000156537</v>
      </c>
      <c r="Q140" s="48">
        <f t="shared" si="12"/>
        <v>0</v>
      </c>
      <c r="R140" s="48">
        <f t="shared" si="12"/>
        <v>0</v>
      </c>
      <c r="S140" s="48">
        <f t="shared" si="12"/>
        <v>0</v>
      </c>
      <c r="T140" s="48">
        <f t="shared" si="11"/>
        <v>-2.5775396004698682E-6</v>
      </c>
      <c r="U140" s="44"/>
      <c r="W140" s="46" t="str">
        <f t="shared" ref="W140:W178" si="15">RIGHT(D140,3)</f>
        <v>USD</v>
      </c>
    </row>
    <row r="141" spans="1:23">
      <c r="A141" s="58" t="s">
        <v>2050</v>
      </c>
      <c r="B141" t="str">
        <f t="shared" si="14"/>
        <v>ULSNFA</v>
      </c>
      <c r="C141" t="str">
        <f>VLOOKUP(D141,DV_AZUL_Stat!H:I,2,FALSE)</f>
        <v>ULSNFA_IDR</v>
      </c>
      <c r="D141" s="59" t="s">
        <v>2051</v>
      </c>
      <c r="E141" s="1">
        <f>SUMIF(DV_AZUL_Stat!H:H,Summary_Checking_UL!$D141,DV_AZUL_Stat!C:C)</f>
        <v>4511</v>
      </c>
      <c r="F141" s="1">
        <f>SUMIF(DV_AZUL_Stat!H:H,Summary_Checking_UL!$D141,DV_AZUL_Stat!E:E)</f>
        <v>743215350000</v>
      </c>
      <c r="G141" s="1">
        <f>SUMIF(DV_AZUL_Stat!H:H,Summary_Checking_UL!$D141,DV_AZUL_Stat!D:D)</f>
        <v>23186589441.9184</v>
      </c>
      <c r="H141" s="1">
        <f>SUMIF(DV_AZUL_Stat!H:H,Summary_Checking_UL!$D141,DV_AZUL_Stat!F:F)</f>
        <v>182639947412.8898</v>
      </c>
      <c r="I141" s="46">
        <f>SUMIF(IT_AZUL_FULL_Stat!$H:$H,Summary_Checking_UL!$D141,IT_AZUL_FULL_Stat!C:C)</f>
        <v>4511</v>
      </c>
      <c r="J141" s="46">
        <f>SUMIF(IT_AZUL_FULL_Stat!$H:$H,Summary_Checking_UL!$D141,IT_AZUL_FULL_Stat!E:E)</f>
        <v>743215350000</v>
      </c>
      <c r="K141" s="46">
        <f>SUMIF(IT_AZUL_FULL_Stat!$H:$H,Summary_Checking_UL!$D141,IT_AZUL_FULL_Stat!D:D)</f>
        <v>23186589441.9184</v>
      </c>
      <c r="L141" s="46">
        <f>SUMIF(IT_AZUL_FULL_Stat!$H:$H,Summary_Checking_UL!$D141,IT_AZUL_FULL_Stat!F:F)</f>
        <v>182639947425.905</v>
      </c>
      <c r="M141" s="7">
        <f t="shared" si="10"/>
        <v>0</v>
      </c>
      <c r="N141" s="7">
        <f t="shared" si="10"/>
        <v>0</v>
      </c>
      <c r="O141" s="7">
        <f t="shared" si="10"/>
        <v>0</v>
      </c>
      <c r="P141" s="7">
        <f t="shared" si="9"/>
        <v>-13.01519775390625</v>
      </c>
      <c r="Q141" s="48">
        <f t="shared" si="12"/>
        <v>0</v>
      </c>
      <c r="R141" s="48">
        <f t="shared" si="12"/>
        <v>0</v>
      </c>
      <c r="S141" s="48">
        <f t="shared" si="12"/>
        <v>0</v>
      </c>
      <c r="T141" s="48">
        <f t="shared" si="11"/>
        <v>-7.1261506244061809E-11</v>
      </c>
      <c r="U141" s="44"/>
      <c r="W141" s="46" t="str">
        <f t="shared" si="15"/>
        <v>IDR</v>
      </c>
    </row>
    <row r="142" spans="1:23">
      <c r="A142" s="58" t="s">
        <v>2052</v>
      </c>
      <c r="B142" t="str">
        <f t="shared" si="14"/>
        <v>ULSNFA</v>
      </c>
      <c r="C142" t="str">
        <f>VLOOKUP(D142,DV_AZUL_Stat!H:I,2,FALSE)</f>
        <v>ULSNFA_USD</v>
      </c>
      <c r="D142" s="59" t="s">
        <v>2053</v>
      </c>
      <c r="E142" s="1">
        <f>SUMIF(DV_AZUL_Stat!H:H,Summary_Checking_UL!$D142,DV_AZUL_Stat!C:C)</f>
        <v>62</v>
      </c>
      <c r="F142" s="1">
        <f>SUMIF(DV_AZUL_Stat!H:H,Summary_Checking_UL!$D142,DV_AZUL_Stat!E:E)</f>
        <v>2185500</v>
      </c>
      <c r="G142" s="1">
        <f>SUMIF(DV_AZUL_Stat!H:H,Summary_Checking_UL!$D142,DV_AZUL_Stat!D:D)</f>
        <v>133450</v>
      </c>
      <c r="H142" s="1">
        <f>SUMIF(DV_AZUL_Stat!H:H,Summary_Checking_UL!$D142,DV_AZUL_Stat!F:F)</f>
        <v>1040049.557534</v>
      </c>
      <c r="I142" s="46">
        <f>SUMIF(IT_AZUL_FULL_Stat!$H:$H,Summary_Checking_UL!$D142,IT_AZUL_FULL_Stat!C:C)</f>
        <v>62</v>
      </c>
      <c r="J142" s="46">
        <f>SUMIF(IT_AZUL_FULL_Stat!$H:$H,Summary_Checking_UL!$D142,IT_AZUL_FULL_Stat!E:E)</f>
        <v>2185500</v>
      </c>
      <c r="K142" s="46">
        <f>SUMIF(IT_AZUL_FULL_Stat!$H:$H,Summary_Checking_UL!$D142,IT_AZUL_FULL_Stat!D:D)</f>
        <v>133450</v>
      </c>
      <c r="L142" s="46">
        <f>SUMIF(IT_AZUL_FULL_Stat!$H:$H,Summary_Checking_UL!$D142,IT_AZUL_FULL_Stat!F:F)</f>
        <v>1040046.484422</v>
      </c>
      <c r="M142" s="7">
        <f t="shared" si="10"/>
        <v>0</v>
      </c>
      <c r="N142" s="7">
        <f t="shared" si="10"/>
        <v>0</v>
      </c>
      <c r="O142" s="7">
        <f t="shared" si="10"/>
        <v>0</v>
      </c>
      <c r="P142" s="7">
        <f t="shared" si="9"/>
        <v>3.0731120000127703</v>
      </c>
      <c r="Q142" s="48">
        <f t="shared" si="12"/>
        <v>0</v>
      </c>
      <c r="R142" s="48">
        <f t="shared" si="12"/>
        <v>0</v>
      </c>
      <c r="S142" s="48">
        <f t="shared" si="12"/>
        <v>0</v>
      </c>
      <c r="T142" s="48">
        <f t="shared" si="11"/>
        <v>2.9547833159790305E-6</v>
      </c>
      <c r="U142" s="44"/>
      <c r="W142" s="46" t="str">
        <f t="shared" si="15"/>
        <v>USD</v>
      </c>
    </row>
    <row r="143" spans="1:23">
      <c r="A143" s="58" t="str">
        <f>_xlfn.XLOOKUP(B143,[10]Sheet1!$D:$D,[10]Sheet1!$E:$E)</f>
        <v>Smartlink New Flexi Account - Revamped</v>
      </c>
      <c r="B143" t="str">
        <f t="shared" si="14"/>
        <v>ULSNFR</v>
      </c>
      <c r="C143" t="str">
        <f>VLOOKUP(D143,DV_AZUL_Stat!H:I,2,FALSE)</f>
        <v>ULSNFR_IDR</v>
      </c>
      <c r="D143" s="59" t="s">
        <v>2054</v>
      </c>
      <c r="E143" s="1">
        <f>SUMIF(DV_AZUL_Stat!H:H,Summary_Checking_UL!$D143,DV_AZUL_Stat!C:C)</f>
        <v>12492</v>
      </c>
      <c r="F143" s="1">
        <f>SUMIF(DV_AZUL_Stat!H:H,Summary_Checking_UL!$D143,DV_AZUL_Stat!E:E)</f>
        <v>2695444976000</v>
      </c>
      <c r="G143" s="1">
        <f>SUMIF(DV_AZUL_Stat!H:H,Summary_Checking_UL!$D143,DV_AZUL_Stat!D:D)</f>
        <v>69232172925.839996</v>
      </c>
      <c r="H143" s="1">
        <f>SUMIF(DV_AZUL_Stat!H:H,Summary_Checking_UL!$D143,DV_AZUL_Stat!F:F)</f>
        <v>421046506505.08826</v>
      </c>
      <c r="I143" s="46">
        <f>SUMIF(IT_AZUL_FULL_Stat!$H:$H,Summary_Checking_UL!$D143,IT_AZUL_FULL_Stat!C:C)</f>
        <v>12492</v>
      </c>
      <c r="J143" s="46">
        <f>SUMIF(IT_AZUL_FULL_Stat!$H:$H,Summary_Checking_UL!$D143,IT_AZUL_FULL_Stat!E:E)</f>
        <v>2695444976000</v>
      </c>
      <c r="K143" s="46">
        <f>SUMIF(IT_AZUL_FULL_Stat!$H:$H,Summary_Checking_UL!$D143,IT_AZUL_FULL_Stat!D:D)</f>
        <v>69232172925.839996</v>
      </c>
      <c r="L143" s="46">
        <f>SUMIF(IT_AZUL_FULL_Stat!$H:$H,Summary_Checking_UL!$D143,IT_AZUL_FULL_Stat!F:F)</f>
        <v>421046506544.42297</v>
      </c>
      <c r="M143" s="7">
        <f t="shared" si="10"/>
        <v>0</v>
      </c>
      <c r="N143" s="7">
        <f t="shared" si="10"/>
        <v>0</v>
      </c>
      <c r="O143" s="7">
        <f t="shared" si="10"/>
        <v>0</v>
      </c>
      <c r="P143" s="7">
        <f t="shared" si="9"/>
        <v>-39.334716796875</v>
      </c>
      <c r="Q143" s="48">
        <f t="shared" si="12"/>
        <v>0</v>
      </c>
      <c r="R143" s="48">
        <f t="shared" si="12"/>
        <v>0</v>
      </c>
      <c r="S143" s="48">
        <f t="shared" si="12"/>
        <v>0</v>
      </c>
      <c r="T143" s="48">
        <f t="shared" si="11"/>
        <v>-9.342131138837735E-11</v>
      </c>
      <c r="W143" s="46" t="str">
        <f t="shared" si="15"/>
        <v>IDR</v>
      </c>
    </row>
    <row r="144" spans="1:23">
      <c r="A144" s="58" t="str">
        <f>_xlfn.XLOOKUP(B144,[10]Sheet1!$D:$D,[10]Sheet1!$E:$E)</f>
        <v>Smartlink New Flexi Account - Revamped</v>
      </c>
      <c r="B144" t="str">
        <f t="shared" si="14"/>
        <v>ULSNFR</v>
      </c>
      <c r="C144" t="str">
        <f>VLOOKUP(D144,DV_AZUL_Stat!H:I,2,FALSE)</f>
        <v>ULSNFR_USD</v>
      </c>
      <c r="D144" s="59" t="s">
        <v>2055</v>
      </c>
      <c r="E144" s="1">
        <f>SUMIF(DV_AZUL_Stat!H:H,Summary_Checking_UL!$D144,DV_AZUL_Stat!C:C)</f>
        <v>229</v>
      </c>
      <c r="F144" s="1">
        <f>SUMIF(DV_AZUL_Stat!H:H,Summary_Checking_UL!$D144,DV_AZUL_Stat!E:E)</f>
        <v>20157520</v>
      </c>
      <c r="G144" s="1">
        <f>SUMIF(DV_AZUL_Stat!H:H,Summary_Checking_UL!$D144,DV_AZUL_Stat!D:D)</f>
        <v>709733</v>
      </c>
      <c r="H144" s="1">
        <f>SUMIF(DV_AZUL_Stat!H:H,Summary_Checking_UL!$D144,DV_AZUL_Stat!F:F)</f>
        <v>4036405.5117763998</v>
      </c>
      <c r="I144" s="46">
        <f>SUMIF(IT_AZUL_FULL_Stat!$H:$H,Summary_Checking_UL!$D144,IT_AZUL_FULL_Stat!C:C)</f>
        <v>229</v>
      </c>
      <c r="J144" s="46">
        <f>SUMIF(IT_AZUL_FULL_Stat!$H:$H,Summary_Checking_UL!$D144,IT_AZUL_FULL_Stat!E:E)</f>
        <v>20157520</v>
      </c>
      <c r="K144" s="46">
        <f>SUMIF(IT_AZUL_FULL_Stat!$H:$H,Summary_Checking_UL!$D144,IT_AZUL_FULL_Stat!D:D)</f>
        <v>709733</v>
      </c>
      <c r="L144" s="46">
        <f>SUMIF(IT_AZUL_FULL_Stat!$H:$H,Summary_Checking_UL!$D144,IT_AZUL_FULL_Stat!F:F)</f>
        <v>4036401.1398084001</v>
      </c>
      <c r="M144" s="7">
        <f t="shared" si="10"/>
        <v>0</v>
      </c>
      <c r="N144" s="7">
        <f t="shared" si="10"/>
        <v>0</v>
      </c>
      <c r="O144" s="7">
        <f t="shared" si="10"/>
        <v>0</v>
      </c>
      <c r="P144" s="7">
        <f t="shared" si="9"/>
        <v>4.3719679997302592</v>
      </c>
      <c r="Q144" s="48">
        <f t="shared" si="12"/>
        <v>0</v>
      </c>
      <c r="R144" s="48">
        <f t="shared" si="12"/>
        <v>0</v>
      </c>
      <c r="S144" s="48">
        <f t="shared" si="12"/>
        <v>0</v>
      </c>
      <c r="T144" s="48">
        <f t="shared" si="11"/>
        <v>1.0831351613228877E-6</v>
      </c>
      <c r="W144" s="46" t="str">
        <f t="shared" si="15"/>
        <v>USD</v>
      </c>
    </row>
    <row r="145" spans="1:23">
      <c r="A145" s="58" t="str">
        <f>_xlfn.XLOOKUP(B145,[10]Sheet1!$D:$D,[10]Sheet1!$E:$E)</f>
        <v>Dream CareInvest</v>
      </c>
      <c r="B145" t="str">
        <f t="shared" si="14"/>
        <v>ULSNW_</v>
      </c>
      <c r="C145" t="str">
        <f>VLOOKUP(D145,DV_AZUL_Stat!H:I,2,FALSE)</f>
        <v>ULSNW__IDR</v>
      </c>
      <c r="D145" s="59" t="s">
        <v>2056</v>
      </c>
      <c r="E145" s="1">
        <f>SUMIF(DV_AZUL_Stat!H:H,Summary_Checking_UL!$D145,DV_AZUL_Stat!C:C)</f>
        <v>2268</v>
      </c>
      <c r="F145" s="1">
        <f>SUMIF(DV_AZUL_Stat!H:H,Summary_Checking_UL!$D145,DV_AZUL_Stat!E:E)</f>
        <v>2056968000001</v>
      </c>
      <c r="G145" s="1">
        <f>SUMIF(DV_AZUL_Stat!H:H,Summary_Checking_UL!$D145,DV_AZUL_Stat!D:D)</f>
        <v>153644591097</v>
      </c>
      <c r="H145" s="1">
        <f>SUMIF(DV_AZUL_Stat!H:H,Summary_Checking_UL!$D145,DV_AZUL_Stat!F:F)</f>
        <v>335424024200.28485</v>
      </c>
      <c r="I145" s="46">
        <f>SUMIF(IT_AZUL_FULL_Stat!$H:$H,Summary_Checking_UL!$D145,IT_AZUL_FULL_Stat!C:C)</f>
        <v>2268</v>
      </c>
      <c r="J145" s="46">
        <f>SUMIF(IT_AZUL_FULL_Stat!$H:$H,Summary_Checking_UL!$D145,IT_AZUL_FULL_Stat!E:E)</f>
        <v>2056968000001</v>
      </c>
      <c r="K145" s="46">
        <f>SUMIF(IT_AZUL_FULL_Stat!$H:$H,Summary_Checking_UL!$D145,IT_AZUL_FULL_Stat!D:D)</f>
        <v>153644591097</v>
      </c>
      <c r="L145" s="46">
        <f>SUMIF(IT_AZUL_FULL_Stat!$H:$H,Summary_Checking_UL!$D145,IT_AZUL_FULL_Stat!F:F)</f>
        <v>335424024204.96698</v>
      </c>
      <c r="M145" s="7">
        <f t="shared" si="10"/>
        <v>0</v>
      </c>
      <c r="N145" s="7">
        <f t="shared" si="10"/>
        <v>0</v>
      </c>
      <c r="O145" s="7">
        <f t="shared" si="10"/>
        <v>0</v>
      </c>
      <c r="P145" s="7">
        <f t="shared" si="9"/>
        <v>-4.68212890625</v>
      </c>
      <c r="Q145" s="48">
        <f t="shared" si="12"/>
        <v>0</v>
      </c>
      <c r="R145" s="48">
        <f t="shared" si="12"/>
        <v>0</v>
      </c>
      <c r="S145" s="48">
        <f t="shared" si="12"/>
        <v>0</v>
      </c>
      <c r="T145" s="48">
        <f t="shared" si="11"/>
        <v>-1.3958835886450696E-11</v>
      </c>
      <c r="W145" s="46" t="str">
        <f t="shared" si="15"/>
        <v>IDR</v>
      </c>
    </row>
    <row r="146" spans="1:23">
      <c r="A146" s="58" t="str">
        <f>_xlfn.XLOOKUP(B146,[10]Sheet1!$D:$D,[10]Sheet1!$E:$E)</f>
        <v>Dream CareInvest</v>
      </c>
      <c r="B146" t="str">
        <f t="shared" si="14"/>
        <v>ULSNW_</v>
      </c>
      <c r="C146" t="str">
        <f>VLOOKUP(D146,DV_AZUL_Stat!H:I,2,FALSE)</f>
        <v>ULSNW__USD</v>
      </c>
      <c r="D146" s="59" t="s">
        <v>2057</v>
      </c>
      <c r="E146" s="1">
        <f>SUMIF(DV_AZUL_Stat!H:H,Summary_Checking_UL!$D146,DV_AZUL_Stat!C:C)</f>
        <v>195</v>
      </c>
      <c r="F146" s="1">
        <f>SUMIF(DV_AZUL_Stat!H:H,Summary_Checking_UL!$D146,DV_AZUL_Stat!E:E)</f>
        <v>19581125</v>
      </c>
      <c r="G146" s="1">
        <f>SUMIF(DV_AZUL_Stat!H:H,Summary_Checking_UL!$D146,DV_AZUL_Stat!D:D)</f>
        <v>1681000</v>
      </c>
      <c r="H146" s="1">
        <f>SUMIF(DV_AZUL_Stat!H:H,Summary_Checking_UL!$D146,DV_AZUL_Stat!F:F)</f>
        <v>4428074.9949333593</v>
      </c>
      <c r="I146" s="46">
        <f>SUMIF(IT_AZUL_FULL_Stat!$H:$H,Summary_Checking_UL!$D146,IT_AZUL_FULL_Stat!C:C)</f>
        <v>195</v>
      </c>
      <c r="J146" s="46">
        <f>SUMIF(IT_AZUL_FULL_Stat!$H:$H,Summary_Checking_UL!$D146,IT_AZUL_FULL_Stat!E:E)</f>
        <v>19581125</v>
      </c>
      <c r="K146" s="46">
        <f>SUMIF(IT_AZUL_FULL_Stat!$H:$H,Summary_Checking_UL!$D146,IT_AZUL_FULL_Stat!D:D)</f>
        <v>1681000</v>
      </c>
      <c r="L146" s="46">
        <f>SUMIF(IT_AZUL_FULL_Stat!$H:$H,Summary_Checking_UL!$D146,IT_AZUL_FULL_Stat!F:F)</f>
        <v>4428077.6794842295</v>
      </c>
      <c r="M146" s="7">
        <f t="shared" si="10"/>
        <v>0</v>
      </c>
      <c r="N146" s="7">
        <f t="shared" si="10"/>
        <v>0</v>
      </c>
      <c r="O146" s="7">
        <f t="shared" si="10"/>
        <v>0</v>
      </c>
      <c r="P146" s="7">
        <f t="shared" si="9"/>
        <v>-2.6845508702099323</v>
      </c>
      <c r="Q146" s="48">
        <f t="shared" si="12"/>
        <v>0</v>
      </c>
      <c r="R146" s="48">
        <f t="shared" si="12"/>
        <v>0</v>
      </c>
      <c r="S146" s="48">
        <f t="shared" si="12"/>
        <v>0</v>
      </c>
      <c r="T146" s="48">
        <f t="shared" si="11"/>
        <v>-6.0625649876192359E-7</v>
      </c>
      <c r="W146" s="46" t="str">
        <f t="shared" si="15"/>
        <v>USD</v>
      </c>
    </row>
    <row r="147" spans="1:23">
      <c r="A147" s="58" t="str">
        <f>_xlfn.XLOOKUP(B147,[10]Sheet1!$D:$D,[10]Sheet1!$E:$E)</f>
        <v>Smartlink Perencanaan Dana</v>
      </c>
      <c r="B147" t="str">
        <f t="shared" si="14"/>
        <v>ULSPN1</v>
      </c>
      <c r="C147" t="str">
        <f>VLOOKUP(D147,DV_AZUL_Stat!H:I,2,FALSE)</f>
        <v>ULSPN1_IDR</v>
      </c>
      <c r="D147" s="59" t="s">
        <v>2058</v>
      </c>
      <c r="E147" s="1">
        <f>SUMIF(DV_AZUL_Stat!H:H,Summary_Checking_UL!$D147,DV_AZUL_Stat!C:C)</f>
        <v>42</v>
      </c>
      <c r="F147" s="1">
        <f>SUMIF(DV_AZUL_Stat!H:H,Summary_Checking_UL!$D147,DV_AZUL_Stat!E:E)</f>
        <v>1056000000</v>
      </c>
      <c r="G147" s="1">
        <f>SUMIF(DV_AZUL_Stat!H:H,Summary_Checking_UL!$D147,DV_AZUL_Stat!D:D)</f>
        <v>42240000</v>
      </c>
      <c r="H147" s="1">
        <f>SUMIF(DV_AZUL_Stat!H:H,Summary_Checking_UL!$D147,DV_AZUL_Stat!F:F)</f>
        <v>913848887.00624704</v>
      </c>
      <c r="I147" s="46">
        <f>SUMIF(IT_AZUL_FULL_Stat!$H:$H,Summary_Checking_UL!$D147,IT_AZUL_FULL_Stat!C:C)</f>
        <v>42</v>
      </c>
      <c r="J147" s="46">
        <f>SUMIF(IT_AZUL_FULL_Stat!$H:$H,Summary_Checking_UL!$D147,IT_AZUL_FULL_Stat!E:E)</f>
        <v>1056000000</v>
      </c>
      <c r="K147" s="46">
        <f>SUMIF(IT_AZUL_FULL_Stat!$H:$H,Summary_Checking_UL!$D147,IT_AZUL_FULL_Stat!D:D)</f>
        <v>42240000</v>
      </c>
      <c r="L147" s="46">
        <f>SUMIF(IT_AZUL_FULL_Stat!$H:$H,Summary_Checking_UL!$D147,IT_AZUL_FULL_Stat!F:F)</f>
        <v>913848887.64155996</v>
      </c>
      <c r="M147" s="7">
        <f t="shared" si="10"/>
        <v>0</v>
      </c>
      <c r="N147" s="7">
        <f t="shared" si="10"/>
        <v>0</v>
      </c>
      <c r="O147" s="7">
        <f t="shared" si="10"/>
        <v>0</v>
      </c>
      <c r="P147" s="7">
        <f t="shared" si="9"/>
        <v>-0.63531291484832764</v>
      </c>
      <c r="Q147" s="48">
        <f t="shared" si="12"/>
        <v>0</v>
      </c>
      <c r="R147" s="48">
        <f t="shared" si="12"/>
        <v>0</v>
      </c>
      <c r="S147" s="48">
        <f t="shared" si="12"/>
        <v>0</v>
      </c>
      <c r="T147" s="48">
        <f t="shared" si="11"/>
        <v>-6.9520565537692832E-10</v>
      </c>
      <c r="U147" s="79"/>
      <c r="W147" s="46" t="str">
        <f t="shared" si="15"/>
        <v>IDR</v>
      </c>
    </row>
    <row r="148" spans="1:23">
      <c r="A148" s="58" t="str">
        <f>_xlfn.XLOOKUP(B148,[10]Sheet1!$D:$D,[10]Sheet1!$E:$E)</f>
        <v>Smartlink Perencanaan Dana</v>
      </c>
      <c r="B148" t="str">
        <f t="shared" si="14"/>
        <v>ULSPN2</v>
      </c>
      <c r="C148" t="str">
        <f>VLOOKUP(D148,DV_AZUL_Stat!H:I,2,FALSE)</f>
        <v>ULSPN2_IDR</v>
      </c>
      <c r="D148" s="59" t="s">
        <v>2059</v>
      </c>
      <c r="E148" s="1">
        <f>SUMIF(DV_AZUL_Stat!H:H,Summary_Checking_UL!$D148,DV_AZUL_Stat!C:C)</f>
        <v>16</v>
      </c>
      <c r="F148" s="1">
        <f>SUMIF(DV_AZUL_Stat!H:H,Summary_Checking_UL!$D148,DV_AZUL_Stat!E:E)</f>
        <v>366000000</v>
      </c>
      <c r="G148" s="1">
        <f>SUMIF(DV_AZUL_Stat!H:H,Summary_Checking_UL!$D148,DV_AZUL_Stat!D:D)</f>
        <v>14640000</v>
      </c>
      <c r="H148" s="1">
        <f>SUMIF(DV_AZUL_Stat!H:H,Summary_Checking_UL!$D148,DV_AZUL_Stat!F:F)</f>
        <v>906301443.94114399</v>
      </c>
      <c r="I148" s="46">
        <f>SUMIF(IT_AZUL_FULL_Stat!$H:$H,Summary_Checking_UL!$D148,IT_AZUL_FULL_Stat!C:C)</f>
        <v>16</v>
      </c>
      <c r="J148" s="46">
        <f>SUMIF(IT_AZUL_FULL_Stat!$H:$H,Summary_Checking_UL!$D148,IT_AZUL_FULL_Stat!E:E)</f>
        <v>366000000</v>
      </c>
      <c r="K148" s="46">
        <f>SUMIF(IT_AZUL_FULL_Stat!$H:$H,Summary_Checking_UL!$D148,IT_AZUL_FULL_Stat!D:D)</f>
        <v>14640000</v>
      </c>
      <c r="L148" s="46">
        <f>SUMIF(IT_AZUL_FULL_Stat!$H:$H,Summary_Checking_UL!$D148,IT_AZUL_FULL_Stat!F:F)</f>
        <v>906301443.82913101</v>
      </c>
      <c r="M148" s="7">
        <f t="shared" si="10"/>
        <v>0</v>
      </c>
      <c r="N148" s="7">
        <f t="shared" si="10"/>
        <v>0</v>
      </c>
      <c r="O148" s="7">
        <f t="shared" si="10"/>
        <v>0</v>
      </c>
      <c r="P148" s="7">
        <f t="shared" si="9"/>
        <v>0.11201298236846924</v>
      </c>
      <c r="Q148" s="48">
        <f t="shared" ref="Q148:Q179" si="16">IFERROR(M148/I148,0)</f>
        <v>0</v>
      </c>
      <c r="R148" s="48">
        <f t="shared" ref="R148:R179" si="17">IFERROR(N148/J148,0)</f>
        <v>0</v>
      </c>
      <c r="S148" s="48">
        <f t="shared" ref="S148:S179" si="18">IFERROR(O148/K148,0)</f>
        <v>0</v>
      </c>
      <c r="T148" s="48">
        <f t="shared" ref="T148:T179" si="19">IFERROR(P148/L148,0)</f>
        <v>1.2359351640797731E-10</v>
      </c>
      <c r="U148" s="79"/>
      <c r="W148" s="46" t="str">
        <f t="shared" si="15"/>
        <v>IDR</v>
      </c>
    </row>
    <row r="149" spans="1:23">
      <c r="A149" s="58" t="str">
        <f>_xlfn.XLOOKUP(B149,[10]Sheet1!$D:$D,[10]Sheet1!$E:$E)</f>
        <v>Smartlink Flexi Account Plus</v>
      </c>
      <c r="B149" t="str">
        <f t="shared" si="14"/>
        <v>ULSPO1</v>
      </c>
      <c r="C149" t="str">
        <f>VLOOKUP(D149,DV_AZUL_Stat!H:I,2,FALSE)</f>
        <v>ULSPO1_IDR</v>
      </c>
      <c r="D149" s="59" t="s">
        <v>2060</v>
      </c>
      <c r="E149" s="1">
        <f>SUMIF(DV_AZUL_Stat!H:H,Summary_Checking_UL!$D149,DV_AZUL_Stat!C:C)</f>
        <v>179215</v>
      </c>
      <c r="F149" s="1">
        <f>SUMIF(DV_AZUL_Stat!H:H,Summary_Checking_UL!$D149,DV_AZUL_Stat!E:E)</f>
        <v>64693412580494</v>
      </c>
      <c r="G149" s="1">
        <f>SUMIF(DV_AZUL_Stat!H:H,Summary_Checking_UL!$D149,DV_AZUL_Stat!D:D)</f>
        <v>2017455250334.5786</v>
      </c>
      <c r="H149" s="1">
        <f>SUMIF(DV_AZUL_Stat!H:H,Summary_Checking_UL!$D149,DV_AZUL_Stat!F:F)</f>
        <v>3978605812330.0234</v>
      </c>
      <c r="I149" s="46">
        <f>SUMIF(IT_AZUL_FULL_Stat!$H:$H,Summary_Checking_UL!$D149,IT_AZUL_FULL_Stat!C:C)</f>
        <v>179215</v>
      </c>
      <c r="J149" s="46">
        <f>SUMIF(IT_AZUL_FULL_Stat!$H:$H,Summary_Checking_UL!$D149,IT_AZUL_FULL_Stat!E:E)</f>
        <v>64693412580494</v>
      </c>
      <c r="K149" s="46">
        <f>SUMIF(IT_AZUL_FULL_Stat!$H:$H,Summary_Checking_UL!$D149,IT_AZUL_FULL_Stat!D:D)</f>
        <v>2017455250334.5801</v>
      </c>
      <c r="L149" s="46">
        <f>SUMIF(IT_AZUL_FULL_Stat!$H:$H,Summary_Checking_UL!$D149,IT_AZUL_FULL_Stat!F:F)</f>
        <v>3978605812375.5801</v>
      </c>
      <c r="M149" s="7">
        <f t="shared" si="10"/>
        <v>0</v>
      </c>
      <c r="N149" s="7">
        <f t="shared" si="10"/>
        <v>0</v>
      </c>
      <c r="O149" s="7">
        <f t="shared" si="10"/>
        <v>0</v>
      </c>
      <c r="P149" s="7">
        <f t="shared" si="9"/>
        <v>-45.556640625</v>
      </c>
      <c r="Q149" s="48">
        <f t="shared" si="16"/>
        <v>0</v>
      </c>
      <c r="R149" s="48">
        <f t="shared" si="17"/>
        <v>0</v>
      </c>
      <c r="S149" s="48">
        <f t="shared" si="18"/>
        <v>0</v>
      </c>
      <c r="T149" s="48">
        <f t="shared" si="19"/>
        <v>-1.1450403174723824E-11</v>
      </c>
      <c r="U149" s="79"/>
      <c r="W149" s="46" t="str">
        <f t="shared" si="15"/>
        <v>IDR</v>
      </c>
    </row>
    <row r="150" spans="1:23">
      <c r="A150" s="58" t="str">
        <f>_xlfn.XLOOKUP(B150,[10]Sheet1!$D:$D,[10]Sheet1!$E:$E)</f>
        <v>Smartlink Protection Plus</v>
      </c>
      <c r="B150" t="str">
        <f t="shared" si="14"/>
        <v>ULSPP_</v>
      </c>
      <c r="C150" t="str">
        <f>VLOOKUP(D150,DV_AZUL_Stat!H:I,2,FALSE)</f>
        <v>ULSPP__IDR</v>
      </c>
      <c r="D150" s="59" t="s">
        <v>2061</v>
      </c>
      <c r="E150" s="1">
        <f>SUMIF(DV_AZUL_Stat!H:H,Summary_Checking_UL!$D150,DV_AZUL_Stat!C:C)</f>
        <v>315</v>
      </c>
      <c r="F150" s="1">
        <f>SUMIF(DV_AZUL_Stat!H:H,Summary_Checking_UL!$D150,DV_AZUL_Stat!E:E)</f>
        <v>109805000000</v>
      </c>
      <c r="G150" s="1">
        <f>SUMIF(DV_AZUL_Stat!H:H,Summary_Checking_UL!$D150,DV_AZUL_Stat!D:D)</f>
        <v>4977100003.9991999</v>
      </c>
      <c r="H150" s="1">
        <f>SUMIF(DV_AZUL_Stat!H:H,Summary_Checking_UL!$D150,DV_AZUL_Stat!F:F)</f>
        <v>24909999385.048</v>
      </c>
      <c r="I150" s="46">
        <f>SUMIF(IT_AZUL_FULL_Stat!$H:$H,Summary_Checking_UL!$D150,IT_AZUL_FULL_Stat!C:C)</f>
        <v>315</v>
      </c>
      <c r="J150" s="46">
        <f>SUMIF(IT_AZUL_FULL_Stat!$H:$H,Summary_Checking_UL!$D150,IT_AZUL_FULL_Stat!E:E)</f>
        <v>109805000000</v>
      </c>
      <c r="K150" s="46">
        <f>SUMIF(IT_AZUL_FULL_Stat!$H:$H,Summary_Checking_UL!$D150,IT_AZUL_FULL_Stat!D:D)</f>
        <v>4977100003.9991999</v>
      </c>
      <c r="L150" s="46">
        <f>SUMIF(IT_AZUL_FULL_Stat!$H:$H,Summary_Checking_UL!$D150,IT_AZUL_FULL_Stat!F:F)</f>
        <v>24909999391.652401</v>
      </c>
      <c r="M150" s="7">
        <f t="shared" si="10"/>
        <v>0</v>
      </c>
      <c r="N150" s="7">
        <f t="shared" si="10"/>
        <v>0</v>
      </c>
      <c r="O150" s="7">
        <f t="shared" si="10"/>
        <v>0</v>
      </c>
      <c r="P150" s="7">
        <f t="shared" si="9"/>
        <v>-6.604400634765625</v>
      </c>
      <c r="Q150" s="48">
        <f t="shared" si="16"/>
        <v>0</v>
      </c>
      <c r="R150" s="48">
        <f t="shared" si="17"/>
        <v>0</v>
      </c>
      <c r="S150" s="48">
        <f t="shared" si="18"/>
        <v>0</v>
      </c>
      <c r="T150" s="48">
        <f t="shared" si="19"/>
        <v>-2.6513050164821873E-10</v>
      </c>
      <c r="W150" s="46" t="str">
        <f t="shared" si="15"/>
        <v>IDR</v>
      </c>
    </row>
    <row r="151" spans="1:23">
      <c r="A151" s="58" t="str">
        <f>_xlfn.XLOOKUP(B151,[10]Sheet1!$D:$D,[10]Sheet1!$E:$E)</f>
        <v>Smartlink Protection Plus</v>
      </c>
      <c r="B151" t="str">
        <f t="shared" si="14"/>
        <v>ULSPP_</v>
      </c>
      <c r="C151" t="str">
        <f>VLOOKUP(D151,DV_AZUL_Stat!H:I,2,FALSE)</f>
        <v>ULSPP__USD</v>
      </c>
      <c r="D151" s="59" t="s">
        <v>2062</v>
      </c>
      <c r="E151" s="1">
        <f>SUMIF(DV_AZUL_Stat!H:H,Summary_Checking_UL!$D151,DV_AZUL_Stat!C:C)</f>
        <v>23</v>
      </c>
      <c r="F151" s="1">
        <f>SUMIF(DV_AZUL_Stat!H:H,Summary_Checking_UL!$D151,DV_AZUL_Stat!E:E)</f>
        <v>903500</v>
      </c>
      <c r="G151" s="1">
        <f>SUMIF(DV_AZUL_Stat!H:H,Summary_Checking_UL!$D151,DV_AZUL_Stat!D:D)</f>
        <v>69700</v>
      </c>
      <c r="H151" s="1">
        <f>SUMIF(DV_AZUL_Stat!H:H,Summary_Checking_UL!$D151,DV_AZUL_Stat!F:F)</f>
        <v>163479.93942760001</v>
      </c>
      <c r="I151" s="46">
        <f>SUMIF(IT_AZUL_FULL_Stat!$H:$H,Summary_Checking_UL!$D151,IT_AZUL_FULL_Stat!C:C)</f>
        <v>23</v>
      </c>
      <c r="J151" s="46">
        <f>SUMIF(IT_AZUL_FULL_Stat!$H:$H,Summary_Checking_UL!$D151,IT_AZUL_FULL_Stat!E:E)</f>
        <v>903500</v>
      </c>
      <c r="K151" s="46">
        <f>SUMIF(IT_AZUL_FULL_Stat!$H:$H,Summary_Checking_UL!$D151,IT_AZUL_FULL_Stat!D:D)</f>
        <v>69700</v>
      </c>
      <c r="L151" s="46">
        <f>SUMIF(IT_AZUL_FULL_Stat!$H:$H,Summary_Checking_UL!$D151,IT_AZUL_FULL_Stat!F:F)</f>
        <v>163479.7542576</v>
      </c>
      <c r="M151" s="7">
        <f t="shared" si="10"/>
        <v>0</v>
      </c>
      <c r="N151" s="7">
        <f t="shared" si="10"/>
        <v>0</v>
      </c>
      <c r="O151" s="7">
        <f t="shared" si="10"/>
        <v>0</v>
      </c>
      <c r="P151" s="7">
        <f t="shared" si="9"/>
        <v>0.18517000001156703</v>
      </c>
      <c r="Q151" s="48">
        <f t="shared" si="16"/>
        <v>0</v>
      </c>
      <c r="R151" s="48">
        <f t="shared" si="17"/>
        <v>0</v>
      </c>
      <c r="S151" s="48">
        <f t="shared" si="18"/>
        <v>0</v>
      </c>
      <c r="T151" s="48">
        <f t="shared" si="19"/>
        <v>1.1326784827422059E-6</v>
      </c>
      <c r="W151" s="46" t="str">
        <f t="shared" si="15"/>
        <v>USD</v>
      </c>
    </row>
    <row r="152" spans="1:23">
      <c r="A152" s="58" t="str">
        <f>_xlfn.XLOOKUP(B152,[10]Sheet1!$D:$D,[10]Sheet1!$E:$E)</f>
        <v>Smartlink Protection Plus - Revamped</v>
      </c>
      <c r="B152" t="str">
        <f t="shared" si="14"/>
        <v>ULSPPR</v>
      </c>
      <c r="C152" t="str">
        <f>VLOOKUP(D152,DV_AZUL_Stat!H:I,2,FALSE)</f>
        <v>ULSPPR_IDR</v>
      </c>
      <c r="D152" s="59" t="s">
        <v>2063</v>
      </c>
      <c r="E152" s="1">
        <f>SUMIF(DV_AZUL_Stat!H:H,Summary_Checking_UL!$D152,DV_AZUL_Stat!C:C)</f>
        <v>122</v>
      </c>
      <c r="F152" s="1">
        <f>SUMIF(DV_AZUL_Stat!H:H,Summary_Checking_UL!$D152,DV_AZUL_Stat!E:E)</f>
        <v>69415000000</v>
      </c>
      <c r="G152" s="1">
        <f>SUMIF(DV_AZUL_Stat!H:H,Summary_Checking_UL!$D152,DV_AZUL_Stat!D:D)</f>
        <v>2761308004</v>
      </c>
      <c r="H152" s="1">
        <f>SUMIF(DV_AZUL_Stat!H:H,Summary_Checking_UL!$D152,DV_AZUL_Stat!F:F)</f>
        <v>10402212285.3885</v>
      </c>
      <c r="I152" s="46">
        <f>SUMIF(IT_AZUL_FULL_Stat!$H:$H,Summary_Checking_UL!$D152,IT_AZUL_FULL_Stat!C:C)</f>
        <v>122</v>
      </c>
      <c r="J152" s="46">
        <f>SUMIF(IT_AZUL_FULL_Stat!$H:$H,Summary_Checking_UL!$D152,IT_AZUL_FULL_Stat!E:E)</f>
        <v>69415000000</v>
      </c>
      <c r="K152" s="46">
        <f>SUMIF(IT_AZUL_FULL_Stat!$H:$H,Summary_Checking_UL!$D152,IT_AZUL_FULL_Stat!D:D)</f>
        <v>2761308004</v>
      </c>
      <c r="L152" s="46">
        <f>SUMIF(IT_AZUL_FULL_Stat!$H:$H,Summary_Checking_UL!$D152,IT_AZUL_FULL_Stat!F:F)</f>
        <v>10402212285.446699</v>
      </c>
      <c r="M152" s="7">
        <f t="shared" si="10"/>
        <v>0</v>
      </c>
      <c r="N152" s="7">
        <f t="shared" si="10"/>
        <v>0</v>
      </c>
      <c r="O152" s="7">
        <f t="shared" si="10"/>
        <v>0</v>
      </c>
      <c r="P152" s="7">
        <f t="shared" si="9"/>
        <v>-5.8198928833007813E-2</v>
      </c>
      <c r="Q152" s="48">
        <f t="shared" si="16"/>
        <v>0</v>
      </c>
      <c r="R152" s="48">
        <f t="shared" si="17"/>
        <v>0</v>
      </c>
      <c r="S152" s="48">
        <f t="shared" si="18"/>
        <v>0</v>
      </c>
      <c r="T152" s="48">
        <f t="shared" si="19"/>
        <v>-5.5948607119306254E-12</v>
      </c>
      <c r="W152" s="46" t="str">
        <f t="shared" si="15"/>
        <v>IDR</v>
      </c>
    </row>
    <row r="153" spans="1:23">
      <c r="A153" s="58" t="str">
        <f>_xlfn.XLOOKUP(B153,[10]Sheet1!$D:$D,[10]Sheet1!$E:$E)</f>
        <v>Smartlink Protection Plus - Revamped</v>
      </c>
      <c r="B153" t="str">
        <f t="shared" si="14"/>
        <v>ULSPPR</v>
      </c>
      <c r="C153" t="str">
        <f>VLOOKUP(D153,DV_AZUL_Stat!H:I,2,FALSE)</f>
        <v>ULSPPR_USD</v>
      </c>
      <c r="D153" s="59" t="s">
        <v>2064</v>
      </c>
      <c r="E153" s="1">
        <f>SUMIF(DV_AZUL_Stat!H:H,Summary_Checking_UL!$D153,DV_AZUL_Stat!C:C)</f>
        <v>13</v>
      </c>
      <c r="F153" s="1">
        <f>SUMIF(DV_AZUL_Stat!H:H,Summary_Checking_UL!$D153,DV_AZUL_Stat!E:E)</f>
        <v>665000</v>
      </c>
      <c r="G153" s="1">
        <f>SUMIF(DV_AZUL_Stat!H:H,Summary_Checking_UL!$D153,DV_AZUL_Stat!D:D)</f>
        <v>32750</v>
      </c>
      <c r="H153" s="1">
        <f>SUMIF(DV_AZUL_Stat!H:H,Summary_Checking_UL!$D153,DV_AZUL_Stat!F:F)</f>
        <v>156142.741174</v>
      </c>
      <c r="I153" s="46">
        <f>SUMIF(IT_AZUL_FULL_Stat!$H:$H,Summary_Checking_UL!$D153,IT_AZUL_FULL_Stat!C:C)</f>
        <v>13</v>
      </c>
      <c r="J153" s="46">
        <f>SUMIF(IT_AZUL_FULL_Stat!$H:$H,Summary_Checking_UL!$D153,IT_AZUL_FULL_Stat!E:E)</f>
        <v>665000</v>
      </c>
      <c r="K153" s="46">
        <f>SUMIF(IT_AZUL_FULL_Stat!$H:$H,Summary_Checking_UL!$D153,IT_AZUL_FULL_Stat!D:D)</f>
        <v>32750</v>
      </c>
      <c r="L153" s="46">
        <f>SUMIF(IT_AZUL_FULL_Stat!$H:$H,Summary_Checking_UL!$D153,IT_AZUL_FULL_Stat!F:F)</f>
        <v>156143.18049</v>
      </c>
      <c r="M153" s="7">
        <f t="shared" si="10"/>
        <v>0</v>
      </c>
      <c r="N153" s="7">
        <f t="shared" si="10"/>
        <v>0</v>
      </c>
      <c r="O153" s="7">
        <f t="shared" si="10"/>
        <v>0</v>
      </c>
      <c r="P153" s="7">
        <f t="shared" si="9"/>
        <v>-0.43931600000360049</v>
      </c>
      <c r="Q153" s="48">
        <f t="shared" si="16"/>
        <v>0</v>
      </c>
      <c r="R153" s="48">
        <f t="shared" si="17"/>
        <v>0</v>
      </c>
      <c r="S153" s="48">
        <f t="shared" si="18"/>
        <v>0</v>
      </c>
      <c r="T153" s="48">
        <f t="shared" si="19"/>
        <v>-2.8135458662041019E-6</v>
      </c>
      <c r="W153" s="46" t="str">
        <f t="shared" si="15"/>
        <v>USD</v>
      </c>
    </row>
    <row r="154" spans="1:23">
      <c r="A154" s="58" t="str">
        <f>_xlfn.XLOOKUP(B154,[10]Sheet1!$D:$D,[10]Sheet1!$E:$E)</f>
        <v>SafeSaving</v>
      </c>
      <c r="B154" t="str">
        <f t="shared" si="14"/>
        <v>ULSS__</v>
      </c>
      <c r="C154" t="str">
        <f>VLOOKUP(D154,DV_AZUL_Stat!H:I,2,FALSE)</f>
        <v>ULSS___IDR</v>
      </c>
      <c r="D154" s="59" t="s">
        <v>2065</v>
      </c>
      <c r="E154" s="1">
        <f>SUMIF(DV_AZUL_Stat!H:H,Summary_Checking_UL!$D154,DV_AZUL_Stat!C:C)</f>
        <v>176</v>
      </c>
      <c r="F154" s="1">
        <f>SUMIF(DV_AZUL_Stat!H:H,Summary_Checking_UL!$D154,DV_AZUL_Stat!E:E)</f>
        <v>24321000000</v>
      </c>
      <c r="G154" s="1">
        <f>SUMIF(DV_AZUL_Stat!H:H,Summary_Checking_UL!$D154,DV_AZUL_Stat!D:D)</f>
        <v>761559996</v>
      </c>
      <c r="H154" s="1">
        <f>SUMIF(DV_AZUL_Stat!H:H,Summary_Checking_UL!$D154,DV_AZUL_Stat!F:F)</f>
        <v>7873781297.9971704</v>
      </c>
      <c r="I154" s="46">
        <f>SUMIF(IT_AZUL_FULL_Stat!$H:$H,Summary_Checking_UL!$D154,IT_AZUL_FULL_Stat!C:C)</f>
        <v>176</v>
      </c>
      <c r="J154" s="46">
        <f>SUMIF(IT_AZUL_FULL_Stat!$H:$H,Summary_Checking_UL!$D154,IT_AZUL_FULL_Stat!E:E)</f>
        <v>24321000000</v>
      </c>
      <c r="K154" s="46">
        <f>SUMIF(IT_AZUL_FULL_Stat!$H:$H,Summary_Checking_UL!$D154,IT_AZUL_FULL_Stat!D:D)</f>
        <v>761559996</v>
      </c>
      <c r="L154" s="46">
        <f>SUMIF(IT_AZUL_FULL_Stat!$H:$H,Summary_Checking_UL!$D154,IT_AZUL_FULL_Stat!F:F)</f>
        <v>7873781299.2996101</v>
      </c>
      <c r="M154" s="7">
        <f t="shared" si="10"/>
        <v>0</v>
      </c>
      <c r="N154" s="7">
        <f t="shared" si="10"/>
        <v>0</v>
      </c>
      <c r="O154" s="7">
        <f t="shared" si="10"/>
        <v>0</v>
      </c>
      <c r="P154" s="7">
        <f t="shared" si="10"/>
        <v>-1.3024396896362305</v>
      </c>
      <c r="Q154" s="48">
        <f t="shared" si="16"/>
        <v>0</v>
      </c>
      <c r="R154" s="48">
        <f t="shared" si="17"/>
        <v>0</v>
      </c>
      <c r="S154" s="48">
        <f t="shared" si="18"/>
        <v>0</v>
      </c>
      <c r="T154" s="48">
        <f t="shared" si="19"/>
        <v>-1.6541476580662526E-10</v>
      </c>
      <c r="W154" s="46" t="str">
        <f t="shared" si="15"/>
        <v>IDR</v>
      </c>
    </row>
    <row r="155" spans="1:23">
      <c r="A155" s="58" t="str">
        <f>_xlfn.XLOOKUP(B155,[10]Sheet1!$D:$D,[10]Sheet1!$E:$E)</f>
        <v>SafeSaving</v>
      </c>
      <c r="B155" t="str">
        <f t="shared" si="14"/>
        <v>ULSS__</v>
      </c>
      <c r="C155" t="str">
        <f>VLOOKUP(D155,DV_AZUL_Stat!H:I,2,FALSE)</f>
        <v>ULSS___USD</v>
      </c>
      <c r="D155" s="59" t="s">
        <v>2066</v>
      </c>
      <c r="E155" s="1">
        <f>SUMIF(DV_AZUL_Stat!H:H,Summary_Checking_UL!$D155,DV_AZUL_Stat!C:C)</f>
        <v>3</v>
      </c>
      <c r="F155" s="1">
        <f>SUMIF(DV_AZUL_Stat!H:H,Summary_Checking_UL!$D155,DV_AZUL_Stat!E:E)</f>
        <v>45000</v>
      </c>
      <c r="G155" s="1">
        <f>SUMIF(DV_AZUL_Stat!H:H,Summary_Checking_UL!$D155,DV_AZUL_Stat!D:D)</f>
        <v>2700</v>
      </c>
      <c r="H155" s="1">
        <f>SUMIF(DV_AZUL_Stat!H:H,Summary_Checking_UL!$D155,DV_AZUL_Stat!F:F)</f>
        <v>34586.810802400003</v>
      </c>
      <c r="I155" s="46">
        <f>SUMIF(IT_AZUL_FULL_Stat!$H:$H,Summary_Checking_UL!$D155,IT_AZUL_FULL_Stat!C:C)</f>
        <v>3</v>
      </c>
      <c r="J155" s="46">
        <f>SUMIF(IT_AZUL_FULL_Stat!$H:$H,Summary_Checking_UL!$D155,IT_AZUL_FULL_Stat!E:E)</f>
        <v>45000</v>
      </c>
      <c r="K155" s="46">
        <f>SUMIF(IT_AZUL_FULL_Stat!$H:$H,Summary_Checking_UL!$D155,IT_AZUL_FULL_Stat!D:D)</f>
        <v>2700</v>
      </c>
      <c r="L155" s="46">
        <f>SUMIF(IT_AZUL_FULL_Stat!$H:$H,Summary_Checking_UL!$D155,IT_AZUL_FULL_Stat!F:F)</f>
        <v>34586.600558400001</v>
      </c>
      <c r="M155" s="7">
        <f t="shared" ref="M155:P178" si="20">E155-I155</f>
        <v>0</v>
      </c>
      <c r="N155" s="7">
        <f t="shared" si="20"/>
        <v>0</v>
      </c>
      <c r="O155" s="7">
        <f t="shared" si="20"/>
        <v>0</v>
      </c>
      <c r="P155" s="7">
        <f t="shared" si="20"/>
        <v>0.21024400000169408</v>
      </c>
      <c r="Q155" s="48">
        <f t="shared" si="16"/>
        <v>0</v>
      </c>
      <c r="R155" s="48">
        <f t="shared" si="17"/>
        <v>0</v>
      </c>
      <c r="S155" s="48">
        <f t="shared" si="18"/>
        <v>0</v>
      </c>
      <c r="T155" s="48">
        <f t="shared" si="19"/>
        <v>6.0787702927523588E-6</v>
      </c>
      <c r="W155" s="46" t="str">
        <f t="shared" si="15"/>
        <v>USD</v>
      </c>
    </row>
    <row r="156" spans="1:23">
      <c r="A156" s="58" t="str">
        <f>_xlfn.XLOOKUP(B156,[10]Sheet1!$D:$D,[10]Sheet1!$E:$E)</f>
        <v>Smartlink Staff Account</v>
      </c>
      <c r="B156" t="str">
        <f t="shared" si="14"/>
        <v>ULSSA_</v>
      </c>
      <c r="C156" t="str">
        <f>VLOOKUP(D156,DV_AZUL_Stat!H:I,2,FALSE)</f>
        <v>ULSSA__IDR</v>
      </c>
      <c r="D156" s="59" t="s">
        <v>2067</v>
      </c>
      <c r="E156" s="1">
        <f>SUMIF(DV_AZUL_Stat!H:H,Summary_Checking_UL!$D156,DV_AZUL_Stat!C:C)</f>
        <v>78</v>
      </c>
      <c r="F156" s="1">
        <f>SUMIF(DV_AZUL_Stat!H:H,Summary_Checking_UL!$D156,DV_AZUL_Stat!E:E)</f>
        <v>39300000000</v>
      </c>
      <c r="G156" s="1">
        <f>SUMIF(DV_AZUL_Stat!H:H,Summary_Checking_UL!$D156,DV_AZUL_Stat!D:D)</f>
        <v>885112008.08000004</v>
      </c>
      <c r="H156" s="1">
        <f>SUMIF(DV_AZUL_Stat!H:H,Summary_Checking_UL!$D156,DV_AZUL_Stat!F:F)</f>
        <v>5603125884.85991</v>
      </c>
      <c r="I156" s="46">
        <f>SUMIF(IT_AZUL_FULL_Stat!$H:$H,Summary_Checking_UL!$D156,IT_AZUL_FULL_Stat!C:C)</f>
        <v>78</v>
      </c>
      <c r="J156" s="46">
        <f>SUMIF(IT_AZUL_FULL_Stat!$H:$H,Summary_Checking_UL!$D156,IT_AZUL_FULL_Stat!E:E)</f>
        <v>39300000000</v>
      </c>
      <c r="K156" s="46">
        <f>SUMIF(IT_AZUL_FULL_Stat!$H:$H,Summary_Checking_UL!$D156,IT_AZUL_FULL_Stat!D:D)</f>
        <v>885112008.08000004</v>
      </c>
      <c r="L156" s="46">
        <f>SUMIF(IT_AZUL_FULL_Stat!$H:$H,Summary_Checking_UL!$D156,IT_AZUL_FULL_Stat!F:F)</f>
        <v>5603125885.47896</v>
      </c>
      <c r="M156" s="7">
        <f t="shared" si="20"/>
        <v>0</v>
      </c>
      <c r="N156" s="7">
        <f t="shared" si="20"/>
        <v>0</v>
      </c>
      <c r="O156" s="7">
        <f t="shared" si="20"/>
        <v>0</v>
      </c>
      <c r="P156" s="7">
        <f t="shared" si="20"/>
        <v>-0.61905002593994141</v>
      </c>
      <c r="Q156" s="48">
        <f t="shared" si="16"/>
        <v>0</v>
      </c>
      <c r="R156" s="48">
        <f t="shared" si="17"/>
        <v>0</v>
      </c>
      <c r="S156" s="48">
        <f t="shared" si="18"/>
        <v>0</v>
      </c>
      <c r="T156" s="48">
        <f t="shared" si="19"/>
        <v>-1.1048297657282145E-10</v>
      </c>
      <c r="W156" s="46" t="str">
        <f t="shared" si="15"/>
        <v>IDR</v>
      </c>
    </row>
    <row r="157" spans="1:23">
      <c r="A157" s="58" t="str">
        <f>_xlfn.XLOOKUP(B157,[10]Sheet1!$D:$D,[10]Sheet1!$E:$E)</f>
        <v>Smartlink New Staff Account</v>
      </c>
      <c r="B157" t="str">
        <f t="shared" si="14"/>
        <v>ULSSA2</v>
      </c>
      <c r="C157" t="str">
        <f>VLOOKUP(D157,DV_AZUL_Stat!H:I,2,FALSE)</f>
        <v>ULSSA2_IDR</v>
      </c>
      <c r="D157" s="59" t="s">
        <v>2068</v>
      </c>
      <c r="E157" s="1">
        <f>SUMIF(DV_AZUL_Stat!H:H,Summary_Checking_UL!$D157,DV_AZUL_Stat!C:C)</f>
        <v>869</v>
      </c>
      <c r="F157" s="1">
        <f>SUMIF(DV_AZUL_Stat!H:H,Summary_Checking_UL!$D157,DV_AZUL_Stat!E:E)</f>
        <v>339859650000</v>
      </c>
      <c r="G157" s="1">
        <f>SUMIF(DV_AZUL_Stat!H:H,Summary_Checking_UL!$D157,DV_AZUL_Stat!D:D)</f>
        <v>6452571992</v>
      </c>
      <c r="H157" s="1">
        <f>SUMIF(DV_AZUL_Stat!H:H,Summary_Checking_UL!$D157,DV_AZUL_Stat!F:F)</f>
        <v>18327749423.774826</v>
      </c>
      <c r="I157" s="46">
        <f>SUMIF(IT_AZUL_FULL_Stat!$H:$H,Summary_Checking_UL!$D157,IT_AZUL_FULL_Stat!C:C)</f>
        <v>869</v>
      </c>
      <c r="J157" s="46">
        <f>SUMIF(IT_AZUL_FULL_Stat!$H:$H,Summary_Checking_UL!$D157,IT_AZUL_FULL_Stat!E:E)</f>
        <v>339859650000</v>
      </c>
      <c r="K157" s="46">
        <f>SUMIF(IT_AZUL_FULL_Stat!$H:$H,Summary_Checking_UL!$D157,IT_AZUL_FULL_Stat!D:D)</f>
        <v>6452571992</v>
      </c>
      <c r="L157" s="46">
        <f>SUMIF(IT_AZUL_FULL_Stat!$H:$H,Summary_Checking_UL!$D157,IT_AZUL_FULL_Stat!F:F)</f>
        <v>18327749405.462101</v>
      </c>
      <c r="M157" s="7">
        <f t="shared" si="20"/>
        <v>0</v>
      </c>
      <c r="N157" s="7">
        <f t="shared" si="20"/>
        <v>0</v>
      </c>
      <c r="O157" s="7">
        <f t="shared" si="20"/>
        <v>0</v>
      </c>
      <c r="P157" s="7">
        <f t="shared" si="20"/>
        <v>18.312725067138672</v>
      </c>
      <c r="Q157" s="48">
        <f t="shared" si="16"/>
        <v>0</v>
      </c>
      <c r="R157" s="48">
        <f t="shared" si="17"/>
        <v>0</v>
      </c>
      <c r="S157" s="48">
        <f t="shared" si="18"/>
        <v>0</v>
      </c>
      <c r="T157" s="48">
        <f t="shared" si="19"/>
        <v>9.9918024095642912E-10</v>
      </c>
      <c r="W157" s="46" t="str">
        <f t="shared" si="15"/>
        <v>IDR</v>
      </c>
    </row>
    <row r="158" spans="1:23">
      <c r="A158" s="58" t="str">
        <f>_xlfn.XLOOKUP(B158,[10]Sheet1!$D:$D,[10]Sheet1!$E:$E)</f>
        <v>SafeSaving Platinum</v>
      </c>
      <c r="B158" t="str">
        <f t="shared" si="14"/>
        <v>ULSSP_</v>
      </c>
      <c r="C158" t="str">
        <f>VLOOKUP(D158,DV_AZUL_Stat!H:I,2,FALSE)</f>
        <v>ULSSP__IDR</v>
      </c>
      <c r="D158" s="59" t="s">
        <v>2069</v>
      </c>
      <c r="E158" s="1">
        <f>SUMIF(DV_AZUL_Stat!H:H,Summary_Checking_UL!$D158,DV_AZUL_Stat!C:C)</f>
        <v>103</v>
      </c>
      <c r="F158" s="1">
        <f>SUMIF(DV_AZUL_Stat!H:H,Summary_Checking_UL!$D158,DV_AZUL_Stat!E:E)</f>
        <v>37075000000</v>
      </c>
      <c r="G158" s="1">
        <f>SUMIF(DV_AZUL_Stat!H:H,Summary_Checking_UL!$D158,DV_AZUL_Stat!D:D)</f>
        <v>4521000000</v>
      </c>
      <c r="H158" s="1">
        <f>SUMIF(DV_AZUL_Stat!H:H,Summary_Checking_UL!$D158,DV_AZUL_Stat!F:F)</f>
        <v>12640180771.586599</v>
      </c>
      <c r="I158" s="46">
        <f>SUMIF(IT_AZUL_FULL_Stat!$H:$H,Summary_Checking_UL!$D158,IT_AZUL_FULL_Stat!C:C)</f>
        <v>103</v>
      </c>
      <c r="J158" s="46">
        <f>SUMIF(IT_AZUL_FULL_Stat!$H:$H,Summary_Checking_UL!$D158,IT_AZUL_FULL_Stat!E:E)</f>
        <v>37075000000</v>
      </c>
      <c r="K158" s="46">
        <f>SUMIF(IT_AZUL_FULL_Stat!$H:$H,Summary_Checking_UL!$D158,IT_AZUL_FULL_Stat!D:D)</f>
        <v>4521000000</v>
      </c>
      <c r="L158" s="46">
        <f>SUMIF(IT_AZUL_FULL_Stat!$H:$H,Summary_Checking_UL!$D158,IT_AZUL_FULL_Stat!F:F)</f>
        <v>12640180767.9526</v>
      </c>
      <c r="M158" s="7">
        <f t="shared" si="20"/>
        <v>0</v>
      </c>
      <c r="N158" s="7">
        <f t="shared" si="20"/>
        <v>0</v>
      </c>
      <c r="O158" s="7">
        <f t="shared" si="20"/>
        <v>0</v>
      </c>
      <c r="P158" s="7">
        <f t="shared" si="20"/>
        <v>3.6339988708496094</v>
      </c>
      <c r="Q158" s="48">
        <f t="shared" si="16"/>
        <v>0</v>
      </c>
      <c r="R158" s="48">
        <f t="shared" si="17"/>
        <v>0</v>
      </c>
      <c r="S158" s="48">
        <f t="shared" si="18"/>
        <v>0</v>
      </c>
      <c r="T158" s="48">
        <f t="shared" si="19"/>
        <v>2.8749579911571378E-10</v>
      </c>
      <c r="W158" s="46" t="str">
        <f t="shared" si="15"/>
        <v>IDR</v>
      </c>
    </row>
    <row r="159" spans="1:23">
      <c r="A159" s="58" t="str">
        <f>_xlfn.XLOOKUP(B159,[10]Sheet1!$D:$D,[10]Sheet1!$E:$E)</f>
        <v>Smartlink Signature Protection</v>
      </c>
      <c r="B159" t="str">
        <f t="shared" si="14"/>
        <v>ULSSP1</v>
      </c>
      <c r="C159" t="str">
        <f>VLOOKUP(D159,DV_AZUL_Stat!H:I,2,FALSE)</f>
        <v>ULSSP1_IDR</v>
      </c>
      <c r="D159" s="59" t="s">
        <v>2070</v>
      </c>
      <c r="E159" s="1">
        <f>SUMIF(DV_AZUL_Stat!H:H,Summary_Checking_UL!$D159,DV_AZUL_Stat!C:C)</f>
        <v>63</v>
      </c>
      <c r="F159" s="1">
        <f>SUMIF(DV_AZUL_Stat!H:H,Summary_Checking_UL!$D159,DV_AZUL_Stat!E:E)</f>
        <v>38290000000</v>
      </c>
      <c r="G159" s="1">
        <f>SUMIF(DV_AZUL_Stat!H:H,Summary_Checking_UL!$D159,DV_AZUL_Stat!D:D)</f>
        <v>4293000000</v>
      </c>
      <c r="H159" s="1">
        <f>SUMIF(DV_AZUL_Stat!H:H,Summary_Checking_UL!$D159,DV_AZUL_Stat!F:F)</f>
        <v>9460239589.1150894</v>
      </c>
      <c r="I159" s="46">
        <f>SUMIF(IT_AZUL_FULL_Stat!$H:$H,Summary_Checking_UL!$D159,IT_AZUL_FULL_Stat!C:C)</f>
        <v>89</v>
      </c>
      <c r="J159" s="46">
        <f>SUMIF(IT_AZUL_FULL_Stat!$H:$H,Summary_Checking_UL!$D159,IT_AZUL_FULL_Stat!E:E)</f>
        <v>56165000000</v>
      </c>
      <c r="K159" s="46">
        <f>SUMIF(IT_AZUL_FULL_Stat!$H:$H,Summary_Checking_UL!$D159,IT_AZUL_FULL_Stat!D:D)</f>
        <v>6123000000</v>
      </c>
      <c r="L159" s="46">
        <f>SUMIF(IT_AZUL_FULL_Stat!$H:$H,Summary_Checking_UL!$D159,IT_AZUL_FULL_Stat!F:F)</f>
        <v>14121211655.3398</v>
      </c>
      <c r="M159" s="7">
        <f t="shared" si="20"/>
        <v>-26</v>
      </c>
      <c r="N159" s="7">
        <f t="shared" si="20"/>
        <v>-17875000000</v>
      </c>
      <c r="O159" s="7">
        <f t="shared" si="20"/>
        <v>-1830000000</v>
      </c>
      <c r="P159" s="7">
        <f t="shared" si="20"/>
        <v>-4660972066.2247105</v>
      </c>
      <c r="Q159" s="48">
        <f t="shared" si="16"/>
        <v>-0.29213483146067415</v>
      </c>
      <c r="R159" s="48">
        <f t="shared" si="17"/>
        <v>-0.31825870203863615</v>
      </c>
      <c r="S159" s="48">
        <f t="shared" si="18"/>
        <v>-0.29887310142087214</v>
      </c>
      <c r="T159" s="48">
        <f t="shared" si="19"/>
        <v>-0.33006884819704607</v>
      </c>
      <c r="U159" s="44" t="s">
        <v>2071</v>
      </c>
      <c r="W159" s="46" t="str">
        <f t="shared" si="15"/>
        <v>IDR</v>
      </c>
    </row>
    <row r="160" spans="1:23">
      <c r="A160" s="58" t="str">
        <f>_xlfn.XLOOKUP(B160,[10]Sheet1!$D:$D,[10]Sheet1!$E:$E)</f>
        <v>Smartlink Signature Protection</v>
      </c>
      <c r="B160" t="str">
        <f t="shared" si="14"/>
        <v>ULSSP2</v>
      </c>
      <c r="C160" t="str">
        <f>VLOOKUP(D160,DV_AZUL_Stat!H:I,2,FALSE)</f>
        <v>ULSSP2_IDR</v>
      </c>
      <c r="D160" s="59" t="s">
        <v>2072</v>
      </c>
      <c r="E160" s="1">
        <f>SUMIF(DV_AZUL_Stat!H:H,Summary_Checking_UL!$D160,DV_AZUL_Stat!C:C)</f>
        <v>26</v>
      </c>
      <c r="F160" s="1">
        <f>SUMIF(DV_AZUL_Stat!H:H,Summary_Checking_UL!$D160,DV_AZUL_Stat!E:E)</f>
        <v>17875000000</v>
      </c>
      <c r="G160" s="1">
        <f>SUMIF(DV_AZUL_Stat!H:H,Summary_Checking_UL!$D160,DV_AZUL_Stat!D:D)</f>
        <v>1830000000</v>
      </c>
      <c r="H160" s="1">
        <f>SUMIF(DV_AZUL_Stat!H:H,Summary_Checking_UL!$D160,DV_AZUL_Stat!F:F)</f>
        <v>4660972067.5243998</v>
      </c>
      <c r="I160" s="46">
        <f>SUMIF(IT_AZUL_FULL_Stat!$H:$H,Summary_Checking_UL!$D160,IT_AZUL_FULL_Stat!C:C)</f>
        <v>0</v>
      </c>
      <c r="J160" s="46">
        <f>SUMIF(IT_AZUL_FULL_Stat!$H:$H,Summary_Checking_UL!$D160,IT_AZUL_FULL_Stat!E:E)</f>
        <v>0</v>
      </c>
      <c r="K160" s="46">
        <f>SUMIF(IT_AZUL_FULL_Stat!$H:$H,Summary_Checking_UL!$D160,IT_AZUL_FULL_Stat!D:D)</f>
        <v>0</v>
      </c>
      <c r="L160" s="46">
        <f>SUMIF(IT_AZUL_FULL_Stat!$H:$H,Summary_Checking_UL!$D160,IT_AZUL_FULL_Stat!F:F)</f>
        <v>0</v>
      </c>
      <c r="M160" s="7">
        <f t="shared" si="20"/>
        <v>26</v>
      </c>
      <c r="N160" s="7">
        <f t="shared" si="20"/>
        <v>17875000000</v>
      </c>
      <c r="O160" s="7">
        <f t="shared" si="20"/>
        <v>1830000000</v>
      </c>
      <c r="P160" s="7">
        <f t="shared" si="20"/>
        <v>4660972067.5243998</v>
      </c>
      <c r="Q160" s="48">
        <f t="shared" si="16"/>
        <v>0</v>
      </c>
      <c r="R160" s="48">
        <f t="shared" si="17"/>
        <v>0</v>
      </c>
      <c r="S160" s="48">
        <f t="shared" si="18"/>
        <v>0</v>
      </c>
      <c r="T160" s="48">
        <f t="shared" si="19"/>
        <v>0</v>
      </c>
      <c r="W160" s="46" t="str">
        <f t="shared" si="15"/>
        <v>IDR</v>
      </c>
    </row>
    <row r="161" spans="1:23">
      <c r="A161" s="58" t="str">
        <f>_xlfn.XLOOKUP(B161,[10]Sheet1!$D:$D,[10]Sheet1!$E:$E)</f>
        <v>SafeSaving Platinum - Revamped</v>
      </c>
      <c r="B161" t="str">
        <f t="shared" si="14"/>
        <v>ULSSPR</v>
      </c>
      <c r="C161" t="str">
        <f>VLOOKUP(D161,DV_AZUL_Stat!H:I,2,FALSE)</f>
        <v>ULSSPR_IDR</v>
      </c>
      <c r="D161" s="59" t="s">
        <v>2073</v>
      </c>
      <c r="E161" s="1">
        <f>SUMIF(DV_AZUL_Stat!H:H,Summary_Checking_UL!$D161,DV_AZUL_Stat!C:C)</f>
        <v>47</v>
      </c>
      <c r="F161" s="1">
        <f>SUMIF(DV_AZUL_Stat!H:H,Summary_Checking_UL!$D161,DV_AZUL_Stat!E:E)</f>
        <v>17900000000</v>
      </c>
      <c r="G161" s="1">
        <f>SUMIF(DV_AZUL_Stat!H:H,Summary_Checking_UL!$D161,DV_AZUL_Stat!D:D)</f>
        <v>1900000000</v>
      </c>
      <c r="H161" s="1">
        <f>SUMIF(DV_AZUL_Stat!H:H,Summary_Checking_UL!$D161,DV_AZUL_Stat!F:F)</f>
        <v>6851493656</v>
      </c>
      <c r="I161" s="46">
        <f>SUMIF(IT_AZUL_FULL_Stat!$H:$H,Summary_Checking_UL!$D161,IT_AZUL_FULL_Stat!C:C)</f>
        <v>47</v>
      </c>
      <c r="J161" s="46">
        <f>SUMIF(IT_AZUL_FULL_Stat!$H:$H,Summary_Checking_UL!$D161,IT_AZUL_FULL_Stat!E:E)</f>
        <v>17900000000</v>
      </c>
      <c r="K161" s="46">
        <f>SUMIF(IT_AZUL_FULL_Stat!$H:$H,Summary_Checking_UL!$D161,IT_AZUL_FULL_Stat!D:D)</f>
        <v>1900000000</v>
      </c>
      <c r="L161" s="46">
        <f>SUMIF(IT_AZUL_FULL_Stat!$H:$H,Summary_Checking_UL!$D161,IT_AZUL_FULL_Stat!F:F)</f>
        <v>6851493653.9612598</v>
      </c>
      <c r="M161" s="7">
        <f t="shared" si="20"/>
        <v>0</v>
      </c>
      <c r="N161" s="7">
        <f t="shared" si="20"/>
        <v>0</v>
      </c>
      <c r="O161" s="7">
        <f t="shared" si="20"/>
        <v>0</v>
      </c>
      <c r="P161" s="7">
        <f t="shared" si="20"/>
        <v>2.0387401580810547</v>
      </c>
      <c r="Q161" s="48">
        <f t="shared" si="16"/>
        <v>0</v>
      </c>
      <c r="R161" s="48">
        <f t="shared" si="17"/>
        <v>0</v>
      </c>
      <c r="S161" s="48">
        <f t="shared" si="18"/>
        <v>0</v>
      </c>
      <c r="T161" s="48">
        <f t="shared" si="19"/>
        <v>2.9756141668500801E-10</v>
      </c>
      <c r="W161" s="46" t="str">
        <f t="shared" si="15"/>
        <v>IDR</v>
      </c>
    </row>
    <row r="162" spans="1:23">
      <c r="A162" s="58" t="str">
        <f>_xlfn.XLOOKUP(B162,[10]Sheet1!$D:$D,[10]Sheet1!$E:$E)</f>
        <v>SafeSaving - Revamped</v>
      </c>
      <c r="B162" t="str">
        <f t="shared" si="14"/>
        <v>ULSSR_</v>
      </c>
      <c r="C162" t="str">
        <f>VLOOKUP(D162,DV_AZUL_Stat!H:I,2,FALSE)</f>
        <v>ULSSR__IDR</v>
      </c>
      <c r="D162" s="59" t="s">
        <v>2074</v>
      </c>
      <c r="E162" s="1">
        <f>SUMIF(DV_AZUL_Stat!H:H,Summary_Checking_UL!$D162,DV_AZUL_Stat!C:C)</f>
        <v>2100</v>
      </c>
      <c r="F162" s="1">
        <f>SUMIF(DV_AZUL_Stat!H:H,Summary_Checking_UL!$D162,DV_AZUL_Stat!E:E)</f>
        <v>314414200040</v>
      </c>
      <c r="G162" s="1">
        <f>SUMIF(DV_AZUL_Stat!H:H,Summary_Checking_UL!$D162,DV_AZUL_Stat!D:D)</f>
        <v>10942799984</v>
      </c>
      <c r="H162" s="1">
        <f>SUMIF(DV_AZUL_Stat!H:H,Summary_Checking_UL!$D162,DV_AZUL_Stat!F:F)</f>
        <v>95950486652.801102</v>
      </c>
      <c r="I162" s="46">
        <f>SUMIF(IT_AZUL_FULL_Stat!$H:$H,Summary_Checking_UL!$D162,IT_AZUL_FULL_Stat!C:C)</f>
        <v>2100</v>
      </c>
      <c r="J162" s="46">
        <f>SUMIF(IT_AZUL_FULL_Stat!$H:$H,Summary_Checking_UL!$D162,IT_AZUL_FULL_Stat!E:E)</f>
        <v>314414200040</v>
      </c>
      <c r="K162" s="46">
        <f>SUMIF(IT_AZUL_FULL_Stat!$H:$H,Summary_Checking_UL!$D162,IT_AZUL_FULL_Stat!D:D)</f>
        <v>10942799984</v>
      </c>
      <c r="L162" s="46">
        <f>SUMIF(IT_AZUL_FULL_Stat!$H:$H,Summary_Checking_UL!$D162,IT_AZUL_FULL_Stat!F:F)</f>
        <v>95950486638.532593</v>
      </c>
      <c r="M162" s="7">
        <f t="shared" si="20"/>
        <v>0</v>
      </c>
      <c r="N162" s="7">
        <f t="shared" si="20"/>
        <v>0</v>
      </c>
      <c r="O162" s="7">
        <f t="shared" si="20"/>
        <v>0</v>
      </c>
      <c r="P162" s="7">
        <f t="shared" si="20"/>
        <v>14.268508911132813</v>
      </c>
      <c r="Q162" s="48">
        <f t="shared" si="16"/>
        <v>0</v>
      </c>
      <c r="R162" s="48">
        <f t="shared" si="17"/>
        <v>0</v>
      </c>
      <c r="S162" s="48">
        <f t="shared" si="18"/>
        <v>0</v>
      </c>
      <c r="T162" s="48">
        <f t="shared" si="19"/>
        <v>1.4870699890127235E-10</v>
      </c>
      <c r="W162" s="46" t="str">
        <f t="shared" si="15"/>
        <v>IDR</v>
      </c>
    </row>
    <row r="163" spans="1:23">
      <c r="A163" s="58" t="str">
        <f>_xlfn.XLOOKUP(B163,[10]Sheet1!$D:$D,[10]Sheet1!$E:$E)</f>
        <v>SafeSaving - Revamped</v>
      </c>
      <c r="B163" t="str">
        <f t="shared" si="14"/>
        <v>ULSSR_</v>
      </c>
      <c r="C163" t="str">
        <f>VLOOKUP(D163,DV_AZUL_Stat!H:I,2,FALSE)</f>
        <v>ULSSR__USD</v>
      </c>
      <c r="D163" s="59" t="s">
        <v>2075</v>
      </c>
      <c r="E163" s="1">
        <f>SUMIF(DV_AZUL_Stat!H:H,Summary_Checking_UL!$D163,DV_AZUL_Stat!C:C)</f>
        <v>14</v>
      </c>
      <c r="F163" s="1">
        <f>SUMIF(DV_AZUL_Stat!H:H,Summary_Checking_UL!$D163,DV_AZUL_Stat!E:E)</f>
        <v>462000</v>
      </c>
      <c r="G163" s="1">
        <f>SUMIF(DV_AZUL_Stat!H:H,Summary_Checking_UL!$D163,DV_AZUL_Stat!D:D)</f>
        <v>13650</v>
      </c>
      <c r="H163" s="1">
        <f>SUMIF(DV_AZUL_Stat!H:H,Summary_Checking_UL!$D163,DV_AZUL_Stat!F:F)</f>
        <v>210324.6436604</v>
      </c>
      <c r="I163" s="46">
        <f>SUMIF(IT_AZUL_FULL_Stat!$H:$H,Summary_Checking_UL!$D163,IT_AZUL_FULL_Stat!C:C)</f>
        <v>14</v>
      </c>
      <c r="J163" s="46">
        <f>SUMIF(IT_AZUL_FULL_Stat!$H:$H,Summary_Checking_UL!$D163,IT_AZUL_FULL_Stat!E:E)</f>
        <v>462000</v>
      </c>
      <c r="K163" s="46">
        <f>SUMIF(IT_AZUL_FULL_Stat!$H:$H,Summary_Checking_UL!$D163,IT_AZUL_FULL_Stat!D:D)</f>
        <v>13650</v>
      </c>
      <c r="L163" s="46">
        <f>SUMIF(IT_AZUL_FULL_Stat!$H:$H,Summary_Checking_UL!$D163,IT_AZUL_FULL_Stat!F:F)</f>
        <v>210324.13345679999</v>
      </c>
      <c r="M163" s="7">
        <f t="shared" si="20"/>
        <v>0</v>
      </c>
      <c r="N163" s="7">
        <f t="shared" si="20"/>
        <v>0</v>
      </c>
      <c r="O163" s="7">
        <f t="shared" si="20"/>
        <v>0</v>
      </c>
      <c r="P163" s="7">
        <f t="shared" si="20"/>
        <v>0.51020360001712106</v>
      </c>
      <c r="Q163" s="48">
        <f t="shared" si="16"/>
        <v>0</v>
      </c>
      <c r="R163" s="48">
        <f t="shared" si="17"/>
        <v>0</v>
      </c>
      <c r="S163" s="48">
        <f t="shared" si="18"/>
        <v>0</v>
      </c>
      <c r="T163" s="48">
        <f t="shared" si="19"/>
        <v>2.425796753000366E-6</v>
      </c>
      <c r="W163" s="46" t="str">
        <f t="shared" si="15"/>
        <v>USD</v>
      </c>
    </row>
    <row r="164" spans="1:23">
      <c r="A164" s="58" t="str">
        <f>_xlfn.XLOOKUP(B164,[10]Sheet1!$D:$D,[10]Sheet1!$E:$E)</f>
        <v>Value Shield</v>
      </c>
      <c r="B164" t="str">
        <f t="shared" si="14"/>
        <v>ULSUS_</v>
      </c>
      <c r="C164" t="str">
        <f>VLOOKUP(D164,DV_AZUL_Stat!H:I,2,FALSE)</f>
        <v>ULSUS__IDR</v>
      </c>
      <c r="D164" s="59" t="s">
        <v>2076</v>
      </c>
      <c r="E164" s="1">
        <f>SUMIF(DV_AZUL_Stat!H:H,Summary_Checking_UL!$D164,DV_AZUL_Stat!C:C)</f>
        <v>1483</v>
      </c>
      <c r="F164" s="1">
        <f>SUMIF(DV_AZUL_Stat!H:H,Summary_Checking_UL!$D164,DV_AZUL_Stat!E:E)</f>
        <v>993764999999</v>
      </c>
      <c r="G164" s="1">
        <f>SUMIF(DV_AZUL_Stat!H:H,Summary_Checking_UL!$D164,DV_AZUL_Stat!D:D)</f>
        <v>70548872680</v>
      </c>
      <c r="H164" s="1">
        <f>SUMIF(DV_AZUL_Stat!H:H,Summary_Checking_UL!$D164,DV_AZUL_Stat!F:F)</f>
        <v>121781478354.883</v>
      </c>
      <c r="I164" s="46">
        <f>SUMIF(IT_AZUL_FULL_Stat!$H:$H,Summary_Checking_UL!$D164,IT_AZUL_FULL_Stat!C:C)</f>
        <v>1483</v>
      </c>
      <c r="J164" s="46">
        <f>SUMIF(IT_AZUL_FULL_Stat!$H:$H,Summary_Checking_UL!$D164,IT_AZUL_FULL_Stat!E:E)</f>
        <v>993764999999</v>
      </c>
      <c r="K164" s="46">
        <f>SUMIF(IT_AZUL_FULL_Stat!$H:$H,Summary_Checking_UL!$D164,IT_AZUL_FULL_Stat!D:D)</f>
        <v>70548872680</v>
      </c>
      <c r="L164" s="46">
        <f>SUMIF(IT_AZUL_FULL_Stat!$H:$H,Summary_Checking_UL!$D164,IT_AZUL_FULL_Stat!F:F)</f>
        <v>121781478355.302</v>
      </c>
      <c r="M164" s="7">
        <f t="shared" si="20"/>
        <v>0</v>
      </c>
      <c r="N164" s="7">
        <f t="shared" si="20"/>
        <v>0</v>
      </c>
      <c r="O164" s="7">
        <f t="shared" si="20"/>
        <v>0</v>
      </c>
      <c r="P164" s="7">
        <f t="shared" si="20"/>
        <v>-0.41900634765625</v>
      </c>
      <c r="Q164" s="48">
        <f t="shared" si="16"/>
        <v>0</v>
      </c>
      <c r="R164" s="48">
        <f t="shared" si="17"/>
        <v>0</v>
      </c>
      <c r="S164" s="48">
        <f t="shared" si="18"/>
        <v>0</v>
      </c>
      <c r="T164" s="48">
        <f t="shared" si="19"/>
        <v>-3.4406410015304901E-12</v>
      </c>
      <c r="W164" s="46" t="str">
        <f t="shared" si="15"/>
        <v>IDR</v>
      </c>
    </row>
    <row r="165" spans="1:23">
      <c r="A165" s="58" t="str">
        <f>_xlfn.XLOOKUP(B165,[10]Sheet1!$D:$D,[10]Sheet1!$E:$E)</f>
        <v>Smartlink Value Max</v>
      </c>
      <c r="B165" t="str">
        <f t="shared" si="14"/>
        <v>ULSVM1</v>
      </c>
      <c r="C165" t="str">
        <f>VLOOKUP(D165,DV_AZUL_Stat!H:I,2,FALSE)</f>
        <v>ULSVM1_IDR</v>
      </c>
      <c r="D165" s="59" t="s">
        <v>2077</v>
      </c>
      <c r="E165" s="1">
        <f>SUMIF(DV_AZUL_Stat!H:H,Summary_Checking_UL!$D165,DV_AZUL_Stat!C:C)</f>
        <v>16</v>
      </c>
      <c r="F165" s="1">
        <f>SUMIF(DV_AZUL_Stat!H:H,Summary_Checking_UL!$D165,DV_AZUL_Stat!E:E)</f>
        <v>900000000</v>
      </c>
      <c r="G165" s="1">
        <f>SUMIF(DV_AZUL_Stat!H:H,Summary_Checking_UL!$D165,DV_AZUL_Stat!D:D)</f>
        <v>320000000</v>
      </c>
      <c r="H165" s="1">
        <f>SUMIF(DV_AZUL_Stat!H:H,Summary_Checking_UL!$D165,DV_AZUL_Stat!F:F)</f>
        <v>771251276.53955102</v>
      </c>
      <c r="I165" s="46">
        <f>SUMIF(IT_AZUL_FULL_Stat!$H:$H,Summary_Checking_UL!$D165,IT_AZUL_FULL_Stat!C:C)</f>
        <v>16</v>
      </c>
      <c r="J165" s="46">
        <f>SUMIF(IT_AZUL_FULL_Stat!$H:$H,Summary_Checking_UL!$D165,IT_AZUL_FULL_Stat!E:E)</f>
        <v>900000000</v>
      </c>
      <c r="K165" s="46">
        <f>SUMIF(IT_AZUL_FULL_Stat!$H:$H,Summary_Checking_UL!$D165,IT_AZUL_FULL_Stat!D:D)</f>
        <v>320000000</v>
      </c>
      <c r="L165" s="46">
        <f>SUMIF(IT_AZUL_FULL_Stat!$H:$H,Summary_Checking_UL!$D165,IT_AZUL_FULL_Stat!F:F)</f>
        <v>771251275.91829705</v>
      </c>
      <c r="M165" s="7">
        <f t="shared" si="20"/>
        <v>0</v>
      </c>
      <c r="N165" s="7">
        <f t="shared" si="20"/>
        <v>0</v>
      </c>
      <c r="O165" s="7">
        <f t="shared" si="20"/>
        <v>0</v>
      </c>
      <c r="P165" s="7">
        <f t="shared" si="20"/>
        <v>0.62125396728515625</v>
      </c>
      <c r="Q165" s="48">
        <f t="shared" si="16"/>
        <v>0</v>
      </c>
      <c r="R165" s="48">
        <f t="shared" si="17"/>
        <v>0</v>
      </c>
      <c r="S165" s="48">
        <f t="shared" si="18"/>
        <v>0</v>
      </c>
      <c r="T165" s="48">
        <f t="shared" si="19"/>
        <v>8.0551434621026043E-10</v>
      </c>
      <c r="W165" s="46" t="str">
        <f t="shared" si="15"/>
        <v>IDR</v>
      </c>
    </row>
    <row r="166" spans="1:23">
      <c r="A166" s="58" t="str">
        <f>_xlfn.XLOOKUP(B166,[10]Sheet1!$D:$D,[10]Sheet1!$E:$E)</f>
        <v>Smartlink Value Max</v>
      </c>
      <c r="B166" t="str">
        <f t="shared" si="14"/>
        <v>ULSVM2</v>
      </c>
      <c r="C166" t="str">
        <f>VLOOKUP(D166,DV_AZUL_Stat!H:I,2,FALSE)</f>
        <v>ULSVM2_IDR</v>
      </c>
      <c r="D166" s="59" t="s">
        <v>2078</v>
      </c>
      <c r="E166" s="1">
        <f>SUMIF(DV_AZUL_Stat!H:H,Summary_Checking_UL!$D166,DV_AZUL_Stat!C:C)</f>
        <v>16</v>
      </c>
      <c r="F166" s="1">
        <f>SUMIF(DV_AZUL_Stat!H:H,Summary_Checking_UL!$D166,DV_AZUL_Stat!E:E)</f>
        <v>1450000000</v>
      </c>
      <c r="G166" s="1">
        <f>SUMIF(DV_AZUL_Stat!H:H,Summary_Checking_UL!$D166,DV_AZUL_Stat!D:D)</f>
        <v>320000000</v>
      </c>
      <c r="H166" s="1">
        <f>SUMIF(DV_AZUL_Stat!H:H,Summary_Checking_UL!$D166,DV_AZUL_Stat!F:F)</f>
        <v>1533572695.54492</v>
      </c>
      <c r="I166" s="46">
        <f>SUMIF(IT_AZUL_FULL_Stat!$H:$H,Summary_Checking_UL!$D166,IT_AZUL_FULL_Stat!C:C)</f>
        <v>16</v>
      </c>
      <c r="J166" s="46">
        <f>SUMIF(IT_AZUL_FULL_Stat!$H:$H,Summary_Checking_UL!$D166,IT_AZUL_FULL_Stat!E:E)</f>
        <v>1450000000</v>
      </c>
      <c r="K166" s="46">
        <f>SUMIF(IT_AZUL_FULL_Stat!$H:$H,Summary_Checking_UL!$D166,IT_AZUL_FULL_Stat!D:D)</f>
        <v>320000000</v>
      </c>
      <c r="L166" s="46">
        <f>SUMIF(IT_AZUL_FULL_Stat!$H:$H,Summary_Checking_UL!$D166,IT_AZUL_FULL_Stat!F:F)</f>
        <v>1533572696.12972</v>
      </c>
      <c r="M166" s="7">
        <f t="shared" si="20"/>
        <v>0</v>
      </c>
      <c r="N166" s="7">
        <f t="shared" si="20"/>
        <v>0</v>
      </c>
      <c r="O166" s="7">
        <f t="shared" si="20"/>
        <v>0</v>
      </c>
      <c r="P166" s="7">
        <f t="shared" si="20"/>
        <v>-0.58480000495910645</v>
      </c>
      <c r="Q166" s="48">
        <f t="shared" si="16"/>
        <v>0</v>
      </c>
      <c r="R166" s="48">
        <f t="shared" si="17"/>
        <v>0</v>
      </c>
      <c r="S166" s="48">
        <f t="shared" si="18"/>
        <v>0</v>
      </c>
      <c r="T166" s="48">
        <f t="shared" si="19"/>
        <v>-3.8133177933786067E-10</v>
      </c>
      <c r="W166" s="46" t="str">
        <f t="shared" si="15"/>
        <v>IDR</v>
      </c>
    </row>
    <row r="167" spans="1:23">
      <c r="A167" s="58" t="str">
        <f>_xlfn.XLOOKUP(B167,[10]Sheet1!$D:$D,[10]Sheet1!$E:$E)</f>
        <v>Smartlink Value Max</v>
      </c>
      <c r="B167" t="str">
        <f t="shared" si="14"/>
        <v>ULSVM3</v>
      </c>
      <c r="C167" t="str">
        <f>VLOOKUP(D167,DV_AZUL_Stat!H:I,2,FALSE)</f>
        <v>ULSVM3_IDR</v>
      </c>
      <c r="D167" s="59" t="s">
        <v>2079</v>
      </c>
      <c r="E167" s="1">
        <f>SUMIF(DV_AZUL_Stat!H:H,Summary_Checking_UL!$D167,DV_AZUL_Stat!C:C)</f>
        <v>7</v>
      </c>
      <c r="F167" s="1">
        <f>SUMIF(DV_AZUL_Stat!H:H,Summary_Checking_UL!$D167,DV_AZUL_Stat!E:E)</f>
        <v>500000000</v>
      </c>
      <c r="G167" s="1">
        <f>SUMIF(DV_AZUL_Stat!H:H,Summary_Checking_UL!$D167,DV_AZUL_Stat!D:D)</f>
        <v>140000000</v>
      </c>
      <c r="H167" s="1">
        <f>SUMIF(DV_AZUL_Stat!H:H,Summary_Checking_UL!$D167,DV_AZUL_Stat!F:F)</f>
        <v>1860261009.79581</v>
      </c>
      <c r="I167" s="46">
        <f>SUMIF(IT_AZUL_FULL_Stat!$H:$H,Summary_Checking_UL!$D167,IT_AZUL_FULL_Stat!C:C)</f>
        <v>7</v>
      </c>
      <c r="J167" s="46">
        <f>SUMIF(IT_AZUL_FULL_Stat!$H:$H,Summary_Checking_UL!$D167,IT_AZUL_FULL_Stat!E:E)</f>
        <v>500000000</v>
      </c>
      <c r="K167" s="46">
        <f>SUMIF(IT_AZUL_FULL_Stat!$H:$H,Summary_Checking_UL!$D167,IT_AZUL_FULL_Stat!D:D)</f>
        <v>140000000</v>
      </c>
      <c r="L167" s="46">
        <f>SUMIF(IT_AZUL_FULL_Stat!$H:$H,Summary_Checking_UL!$D167,IT_AZUL_FULL_Stat!F:F)</f>
        <v>1860261009.7562301</v>
      </c>
      <c r="M167" s="7">
        <f t="shared" si="20"/>
        <v>0</v>
      </c>
      <c r="N167" s="7">
        <f t="shared" si="20"/>
        <v>0</v>
      </c>
      <c r="O167" s="7">
        <f t="shared" si="20"/>
        <v>0</v>
      </c>
      <c r="P167" s="7">
        <f t="shared" si="20"/>
        <v>3.9579868316650391E-2</v>
      </c>
      <c r="Q167" s="48">
        <f t="shared" si="16"/>
        <v>0</v>
      </c>
      <c r="R167" s="48">
        <f t="shared" si="17"/>
        <v>0</v>
      </c>
      <c r="S167" s="48">
        <f t="shared" si="18"/>
        <v>0</v>
      </c>
      <c r="T167" s="48">
        <f t="shared" si="19"/>
        <v>2.1276513408103394E-11</v>
      </c>
      <c r="W167" s="46" t="str">
        <f t="shared" si="15"/>
        <v>IDR</v>
      </c>
    </row>
    <row r="168" spans="1:23">
      <c r="A168" s="58" t="str">
        <f>_xlfn.XLOOKUP(B168,[10]Sheet1!$D:$D,[10]Sheet1!$E:$E)</f>
        <v>Smartlink Value Protection</v>
      </c>
      <c r="B168" t="str">
        <f t="shared" si="14"/>
        <v>ULSVP_</v>
      </c>
      <c r="C168" t="str">
        <f>VLOOKUP(D168,DV_AZUL_Stat!H:I,2,FALSE)</f>
        <v>ULSVP__IDR</v>
      </c>
      <c r="D168" s="59" t="s">
        <v>2080</v>
      </c>
      <c r="E168" s="1">
        <f>SUMIF(DV_AZUL_Stat!H:H,Summary_Checking_UL!$D168,DV_AZUL_Stat!C:C)</f>
        <v>165</v>
      </c>
      <c r="F168" s="1">
        <f>SUMIF(DV_AZUL_Stat!H:H,Summary_Checking_UL!$D168,DV_AZUL_Stat!E:E)</f>
        <v>146175000000</v>
      </c>
      <c r="G168" s="1">
        <f>SUMIF(DV_AZUL_Stat!H:H,Summary_Checking_UL!$D168,DV_AZUL_Stat!D:D)</f>
        <v>11889999996</v>
      </c>
      <c r="H168" s="1">
        <f>SUMIF(DV_AZUL_Stat!H:H,Summary_Checking_UL!$D168,DV_AZUL_Stat!F:F)</f>
        <v>25952044102.870701</v>
      </c>
      <c r="I168" s="46">
        <f>SUMIF(IT_AZUL_FULL_Stat!$H:$H,Summary_Checking_UL!$D168,IT_AZUL_FULL_Stat!C:C)</f>
        <v>165</v>
      </c>
      <c r="J168" s="46">
        <f>SUMIF(IT_AZUL_FULL_Stat!$H:$H,Summary_Checking_UL!$D168,IT_AZUL_FULL_Stat!E:E)</f>
        <v>146175000000</v>
      </c>
      <c r="K168" s="46">
        <f>SUMIF(IT_AZUL_FULL_Stat!$H:$H,Summary_Checking_UL!$D168,IT_AZUL_FULL_Stat!D:D)</f>
        <v>11889999996</v>
      </c>
      <c r="L168" s="46">
        <f>SUMIF(IT_AZUL_FULL_Stat!$H:$H,Summary_Checking_UL!$D168,IT_AZUL_FULL_Stat!F:F)</f>
        <v>25952044100.7341</v>
      </c>
      <c r="M168" s="7">
        <f t="shared" si="20"/>
        <v>0</v>
      </c>
      <c r="N168" s="7">
        <f t="shared" si="20"/>
        <v>0</v>
      </c>
      <c r="O168" s="7">
        <f t="shared" si="20"/>
        <v>0</v>
      </c>
      <c r="P168" s="7">
        <f t="shared" si="20"/>
        <v>2.1366004943847656</v>
      </c>
      <c r="Q168" s="48">
        <f t="shared" si="16"/>
        <v>0</v>
      </c>
      <c r="R168" s="48">
        <f t="shared" si="17"/>
        <v>0</v>
      </c>
      <c r="S168" s="48">
        <f t="shared" si="18"/>
        <v>0</v>
      </c>
      <c r="T168" s="48">
        <f t="shared" si="19"/>
        <v>8.2328794066912362E-11</v>
      </c>
      <c r="W168" s="46" t="str">
        <f t="shared" si="15"/>
        <v>IDR</v>
      </c>
    </row>
    <row r="169" spans="1:23">
      <c r="A169" s="58" t="str">
        <f>_xlfn.XLOOKUP(B169,[10]Sheet1!$D:$D,[10]Sheet1!$E:$E)</f>
        <v>Ultima Link</v>
      </c>
      <c r="B169" t="str">
        <f t="shared" si="14"/>
        <v>ULUML_</v>
      </c>
      <c r="C169" t="str">
        <f>VLOOKUP(D169,DV_AZUL_Stat!H:I,2,FALSE)</f>
        <v>ULUML__IDR</v>
      </c>
      <c r="D169" s="59" t="s">
        <v>2081</v>
      </c>
      <c r="E169" s="1">
        <f>SUMIF(DV_AZUL_Stat!H:H,Summary_Checking_UL!$D169,DV_AZUL_Stat!C:C)</f>
        <v>3</v>
      </c>
      <c r="F169" s="1">
        <f>SUMIF(DV_AZUL_Stat!H:H,Summary_Checking_UL!$D169,DV_AZUL_Stat!E:E)</f>
        <v>750000000</v>
      </c>
      <c r="G169" s="1">
        <f>SUMIF(DV_AZUL_Stat!H:H,Summary_Checking_UL!$D169,DV_AZUL_Stat!D:D)</f>
        <v>600000000</v>
      </c>
      <c r="H169" s="1">
        <f>SUMIF(DV_AZUL_Stat!H:H,Summary_Checking_UL!$D169,DV_AZUL_Stat!F:F)</f>
        <v>1000037145</v>
      </c>
      <c r="I169" s="46">
        <f>SUMIF(IT_AZUL_FULL_Stat!$H:$H,Summary_Checking_UL!$D169,IT_AZUL_FULL_Stat!C:C)</f>
        <v>3</v>
      </c>
      <c r="J169" s="46">
        <f>SUMIF(IT_AZUL_FULL_Stat!$H:$H,Summary_Checking_UL!$D169,IT_AZUL_FULL_Stat!E:E)</f>
        <v>750000000</v>
      </c>
      <c r="K169" s="46">
        <f>SUMIF(IT_AZUL_FULL_Stat!$H:$H,Summary_Checking_UL!$D169,IT_AZUL_FULL_Stat!D:D)</f>
        <v>600000000</v>
      </c>
      <c r="L169" s="46">
        <f>SUMIF(IT_AZUL_FULL_Stat!$H:$H,Summary_Checking_UL!$D169,IT_AZUL_FULL_Stat!F:F)</f>
        <v>1000037145.02421</v>
      </c>
      <c r="M169" s="7">
        <f t="shared" si="20"/>
        <v>0</v>
      </c>
      <c r="N169" s="7">
        <f t="shared" si="20"/>
        <v>0</v>
      </c>
      <c r="O169" s="7">
        <f t="shared" si="20"/>
        <v>0</v>
      </c>
      <c r="P169" s="7">
        <f t="shared" si="20"/>
        <v>-2.4209976196289063E-2</v>
      </c>
      <c r="Q169" s="48">
        <f t="shared" si="16"/>
        <v>0</v>
      </c>
      <c r="R169" s="48">
        <f t="shared" si="17"/>
        <v>0</v>
      </c>
      <c r="S169" s="48">
        <f t="shared" si="18"/>
        <v>0</v>
      </c>
      <c r="T169" s="48">
        <f t="shared" si="19"/>
        <v>-2.4209076949539669E-11</v>
      </c>
      <c r="W169" s="46" t="str">
        <f t="shared" si="15"/>
        <v>IDR</v>
      </c>
    </row>
    <row r="170" spans="1:23">
      <c r="A170" s="58" t="e">
        <f>_xlfn.XLOOKUP(B170,[10]Sheet1!$D:$D,[10]Sheet1!$E:$E)</f>
        <v>#N/A</v>
      </c>
      <c r="B170" t="str">
        <f t="shared" si="14"/>
        <v>ULWPL2</v>
      </c>
      <c r="C170" t="str">
        <f>VLOOKUP(D170,DV_AZUL_Stat!H:I,2,FALSE)</f>
        <v>ULWPL2_IDR</v>
      </c>
      <c r="D170" s="59" t="s">
        <v>2082</v>
      </c>
      <c r="E170" s="1">
        <f>SUMIF(DV_AZUL_Stat!H:H,Summary_Checking_UL!$D170,DV_AZUL_Stat!C:C)</f>
        <v>46</v>
      </c>
      <c r="F170" s="1">
        <f>SUMIF(DV_AZUL_Stat!H:H,Summary_Checking_UL!$D170,DV_AZUL_Stat!E:E)</f>
        <v>250046735522</v>
      </c>
      <c r="G170" s="1">
        <f>SUMIF(DV_AZUL_Stat!H:H,Summary_Checking_UL!$D170,DV_AZUL_Stat!D:D)</f>
        <v>7341999996</v>
      </c>
      <c r="H170" s="1">
        <f>SUMIF(DV_AZUL_Stat!H:H,Summary_Checking_UL!$D170,DV_AZUL_Stat!F:F)</f>
        <v>9847813574.7113724</v>
      </c>
      <c r="I170" s="46">
        <f>SUMIF(IT_AZUL_FULL_Stat!$H:$H,Summary_Checking_UL!$D170,IT_AZUL_FULL_Stat!C:C)</f>
        <v>46</v>
      </c>
      <c r="J170" s="46">
        <f>SUMIF(IT_AZUL_FULL_Stat!$H:$H,Summary_Checking_UL!$D170,IT_AZUL_FULL_Stat!E:E)</f>
        <v>250046735522</v>
      </c>
      <c r="K170" s="46">
        <f>SUMIF(IT_AZUL_FULL_Stat!$H:$H,Summary_Checking_UL!$D170,IT_AZUL_FULL_Stat!D:D)</f>
        <v>7341999996</v>
      </c>
      <c r="L170" s="46">
        <f>SUMIF(IT_AZUL_FULL_Stat!$H:$H,Summary_Checking_UL!$D170,IT_AZUL_FULL_Stat!F:F)</f>
        <v>9847813574.0116405</v>
      </c>
      <c r="M170" s="7">
        <f t="shared" si="20"/>
        <v>0</v>
      </c>
      <c r="N170" s="7">
        <f t="shared" si="20"/>
        <v>0</v>
      </c>
      <c r="O170" s="7">
        <f t="shared" si="20"/>
        <v>0</v>
      </c>
      <c r="P170" s="7">
        <f t="shared" si="20"/>
        <v>0.69973182678222656</v>
      </c>
      <c r="Q170" s="48">
        <f t="shared" si="16"/>
        <v>0</v>
      </c>
      <c r="R170" s="48">
        <f t="shared" si="17"/>
        <v>0</v>
      </c>
      <c r="S170" s="48">
        <f t="shared" si="18"/>
        <v>0</v>
      </c>
      <c r="T170" s="48">
        <f t="shared" si="19"/>
        <v>7.1054536270753273E-11</v>
      </c>
      <c r="W170" s="46" t="str">
        <f t="shared" si="15"/>
        <v>IDR</v>
      </c>
    </row>
    <row r="171" spans="1:23">
      <c r="A171" s="58" t="e">
        <f>_xlfn.XLOOKUP(B171,[10]Sheet1!$D:$D,[10]Sheet1!$E:$E)</f>
        <v>#N/A</v>
      </c>
      <c r="B171" t="str">
        <f t="shared" si="14"/>
        <v>ULWPL2</v>
      </c>
      <c r="C171" t="str">
        <f>VLOOKUP(D171,DV_AZUL_Stat!H:I,2,FALSE)</f>
        <v>ULWPL2_USD</v>
      </c>
      <c r="D171" s="59" t="s">
        <v>2083</v>
      </c>
      <c r="E171" s="1">
        <f>SUMIF(DV_AZUL_Stat!H:H,Summary_Checking_UL!$D171,DV_AZUL_Stat!C:C)</f>
        <v>25</v>
      </c>
      <c r="F171" s="1">
        <f>SUMIF(DV_AZUL_Stat!H:H,Summary_Checking_UL!$D171,DV_AZUL_Stat!E:E)</f>
        <v>9926000</v>
      </c>
      <c r="G171" s="1">
        <f>SUMIF(DV_AZUL_Stat!H:H,Summary_Checking_UL!$D171,DV_AZUL_Stat!D:D)</f>
        <v>426400</v>
      </c>
      <c r="H171" s="1">
        <f>SUMIF(DV_AZUL_Stat!H:H,Summary_Checking_UL!$D171,DV_AZUL_Stat!F:F)</f>
        <v>603806.67527600995</v>
      </c>
      <c r="I171" s="46">
        <f>SUMIF(IT_AZUL_FULL_Stat!$H:$H,Summary_Checking_UL!$D171,IT_AZUL_FULL_Stat!C:C)</f>
        <v>25</v>
      </c>
      <c r="J171" s="46">
        <f>SUMIF(IT_AZUL_FULL_Stat!$H:$H,Summary_Checking_UL!$D171,IT_AZUL_FULL_Stat!E:E)</f>
        <v>9926000</v>
      </c>
      <c r="K171" s="46">
        <f>SUMIF(IT_AZUL_FULL_Stat!$H:$H,Summary_Checking_UL!$D171,IT_AZUL_FULL_Stat!D:D)</f>
        <v>426400</v>
      </c>
      <c r="L171" s="46">
        <f>SUMIF(IT_AZUL_FULL_Stat!$H:$H,Summary_Checking_UL!$D171,IT_AZUL_FULL_Stat!F:F)</f>
        <v>603805.40763355</v>
      </c>
      <c r="M171" s="7">
        <f t="shared" si="20"/>
        <v>0</v>
      </c>
      <c r="N171" s="7">
        <f t="shared" si="20"/>
        <v>0</v>
      </c>
      <c r="O171" s="7">
        <f t="shared" si="20"/>
        <v>0</v>
      </c>
      <c r="P171" s="7">
        <f t="shared" si="20"/>
        <v>1.2676424599485472</v>
      </c>
      <c r="Q171" s="48">
        <f t="shared" si="16"/>
        <v>0</v>
      </c>
      <c r="R171" s="48">
        <f t="shared" si="17"/>
        <v>0</v>
      </c>
      <c r="S171" s="48">
        <f t="shared" si="18"/>
        <v>0</v>
      </c>
      <c r="T171" s="48">
        <f t="shared" si="19"/>
        <v>2.0994221713196057E-6</v>
      </c>
      <c r="W171" s="46" t="str">
        <f t="shared" si="15"/>
        <v>USD</v>
      </c>
    </row>
    <row r="172" spans="1:23">
      <c r="A172" s="58" t="str">
        <f>_xlfn.XLOOKUP(B172,[10]Sheet1!$D:$D,[10]Sheet1!$E:$E)</f>
        <v>Allianz Wealthlink Protection Life</v>
      </c>
      <c r="B172" t="str">
        <f t="shared" si="14"/>
        <v>ULWPR2</v>
      </c>
      <c r="C172" t="str">
        <f>VLOOKUP(D172,DV_AZUL_Stat!H:I,2,FALSE)</f>
        <v>ULWPR2_IDR</v>
      </c>
      <c r="D172" s="59" t="s">
        <v>2084</v>
      </c>
      <c r="E172" s="1">
        <f>SUMIF(DV_AZUL_Stat!H:H,Summary_Checking_UL!$D172,DV_AZUL_Stat!C:C)</f>
        <v>130</v>
      </c>
      <c r="F172" s="1">
        <f>SUMIF(DV_AZUL_Stat!H:H,Summary_Checking_UL!$D172,DV_AZUL_Stat!E:E)</f>
        <v>112025000000</v>
      </c>
      <c r="G172" s="1">
        <f>SUMIF(DV_AZUL_Stat!H:H,Summary_Checking_UL!$D172,DV_AZUL_Stat!D:D)</f>
        <v>6824999996</v>
      </c>
      <c r="H172" s="1">
        <f>SUMIF(DV_AZUL_Stat!H:H,Summary_Checking_UL!$D172,DV_AZUL_Stat!F:F)</f>
        <v>98433619457.373077</v>
      </c>
      <c r="I172" s="46">
        <f>SUMIF(IT_AZUL_FULL_Stat!$H:$H,Summary_Checking_UL!$D172,IT_AZUL_FULL_Stat!C:C)</f>
        <v>130</v>
      </c>
      <c r="J172" s="46">
        <f>SUMIF(IT_AZUL_FULL_Stat!$H:$H,Summary_Checking_UL!$D172,IT_AZUL_FULL_Stat!E:E)</f>
        <v>112025000000</v>
      </c>
      <c r="K172" s="46">
        <f>SUMIF(IT_AZUL_FULL_Stat!$H:$H,Summary_Checking_UL!$D172,IT_AZUL_FULL_Stat!D:D)</f>
        <v>6824999996</v>
      </c>
      <c r="L172" s="46">
        <f>SUMIF(IT_AZUL_FULL_Stat!$H:$H,Summary_Checking_UL!$D172,IT_AZUL_FULL_Stat!F:F)</f>
        <v>98433619457.231094</v>
      </c>
      <c r="M172" s="7">
        <f t="shared" si="20"/>
        <v>0</v>
      </c>
      <c r="N172" s="7">
        <f t="shared" si="20"/>
        <v>0</v>
      </c>
      <c r="O172" s="7">
        <f t="shared" si="20"/>
        <v>0</v>
      </c>
      <c r="P172" s="7">
        <f t="shared" si="20"/>
        <v>0.1419830322265625</v>
      </c>
      <c r="Q172" s="48">
        <f t="shared" si="16"/>
        <v>0</v>
      </c>
      <c r="R172" s="48">
        <f t="shared" si="17"/>
        <v>0</v>
      </c>
      <c r="S172" s="48">
        <f t="shared" si="18"/>
        <v>0</v>
      </c>
      <c r="T172" s="48">
        <f t="shared" si="19"/>
        <v>1.4424241738693089E-12</v>
      </c>
      <c r="W172" s="46" t="str">
        <f t="shared" si="15"/>
        <v>IDR</v>
      </c>
    </row>
    <row r="173" spans="1:23">
      <c r="A173" s="58" t="str">
        <f>_xlfn.XLOOKUP(B173,[10]Sheet1!$D:$D,[10]Sheet1!$E:$E)</f>
        <v>Allianz Wealthlink Protection Life</v>
      </c>
      <c r="B173" t="str">
        <f t="shared" si="14"/>
        <v>ULWPR2</v>
      </c>
      <c r="C173" t="str">
        <f>VLOOKUP(D173,DV_AZUL_Stat!H:I,2,FALSE)</f>
        <v>ULWPR2_USD</v>
      </c>
      <c r="D173" s="59" t="s">
        <v>2085</v>
      </c>
      <c r="E173" s="1">
        <f>SUMIF(DV_AZUL_Stat!H:H,Summary_Checking_UL!$D173,DV_AZUL_Stat!C:C)</f>
        <v>15</v>
      </c>
      <c r="F173" s="1">
        <f>SUMIF(DV_AZUL_Stat!H:H,Summary_Checking_UL!$D173,DV_AZUL_Stat!E:E)</f>
        <v>1187500</v>
      </c>
      <c r="G173" s="1">
        <f>SUMIF(DV_AZUL_Stat!H:H,Summary_Checking_UL!$D173,DV_AZUL_Stat!D:D)</f>
        <v>68000</v>
      </c>
      <c r="H173" s="1">
        <f>SUMIF(DV_AZUL_Stat!H:H,Summary_Checking_UL!$D173,DV_AZUL_Stat!F:F)</f>
        <v>172738.06810433001</v>
      </c>
      <c r="I173" s="46">
        <f>SUMIF(IT_AZUL_FULL_Stat!$H:$H,Summary_Checking_UL!$D173,IT_AZUL_FULL_Stat!C:C)</f>
        <v>15</v>
      </c>
      <c r="J173" s="46">
        <f>SUMIF(IT_AZUL_FULL_Stat!$H:$H,Summary_Checking_UL!$D173,IT_AZUL_FULL_Stat!E:E)</f>
        <v>1187500</v>
      </c>
      <c r="K173" s="46">
        <f>SUMIF(IT_AZUL_FULL_Stat!$H:$H,Summary_Checking_UL!$D173,IT_AZUL_FULL_Stat!D:D)</f>
        <v>68000</v>
      </c>
      <c r="L173" s="46">
        <f>SUMIF(IT_AZUL_FULL_Stat!$H:$H,Summary_Checking_UL!$D173,IT_AZUL_FULL_Stat!F:F)</f>
        <v>172737.5844235</v>
      </c>
      <c r="M173" s="7">
        <f t="shared" si="20"/>
        <v>0</v>
      </c>
      <c r="N173" s="7">
        <f t="shared" si="20"/>
        <v>0</v>
      </c>
      <c r="O173" s="7">
        <f t="shared" si="20"/>
        <v>0</v>
      </c>
      <c r="P173" s="7">
        <f t="shared" si="20"/>
        <v>0.48368083001696505</v>
      </c>
      <c r="Q173" s="48">
        <f t="shared" si="16"/>
        <v>0</v>
      </c>
      <c r="R173" s="48">
        <f t="shared" si="17"/>
        <v>0</v>
      </c>
      <c r="S173" s="48">
        <f t="shared" si="18"/>
        <v>0</v>
      </c>
      <c r="T173" s="48">
        <f t="shared" si="19"/>
        <v>2.8000902735280055E-6</v>
      </c>
      <c r="W173" s="46" t="str">
        <f t="shared" si="15"/>
        <v>USD</v>
      </c>
    </row>
    <row r="174" spans="1:23">
      <c r="A174" s="58" t="str">
        <f>_xlfn.XLOOKUP(B174,[10]Sheet1!$D:$D,[10]Sheet1!$E:$E)</f>
        <v>Allianz Wealthlink Supreme Life</v>
      </c>
      <c r="B174" t="str">
        <f t="shared" si="14"/>
        <v>ULWSL_</v>
      </c>
      <c r="C174" t="str">
        <f>VLOOKUP(D174,DV_AZUL_Stat!H:I,2,FALSE)</f>
        <v>ULWSL__USD</v>
      </c>
      <c r="D174" s="59" t="s">
        <v>2296</v>
      </c>
      <c r="E174" s="1">
        <f>SUMIF(DV_AZUL_Stat!H:H,Summary_Checking_UL!$D174,DV_AZUL_Stat!C:C)</f>
        <v>1</v>
      </c>
      <c r="F174" s="1">
        <f>SUMIF(DV_AZUL_Stat!H:H,Summary_Checking_UL!$D174,DV_AZUL_Stat!E:E)</f>
        <v>481250</v>
      </c>
      <c r="G174" s="1">
        <f>SUMIF(DV_AZUL_Stat!H:H,Summary_Checking_UL!$D174,DV_AZUL_Stat!D:D)</f>
        <v>19250</v>
      </c>
      <c r="H174" s="1">
        <f>SUMIF(DV_AZUL_Stat!H:H,Summary_Checking_UL!$D174,DV_AZUL_Stat!F:F)</f>
        <v>9885</v>
      </c>
      <c r="I174" s="46">
        <f>SUMIF(IT_AZUL_FULL_Stat!$H:$H,Summary_Checking_UL!$D174,IT_AZUL_FULL_Stat!C:C)</f>
        <v>1</v>
      </c>
      <c r="J174" s="46">
        <f>SUMIF(IT_AZUL_FULL_Stat!$H:$H,Summary_Checking_UL!$D174,IT_AZUL_FULL_Stat!E:E)</f>
        <v>481250</v>
      </c>
      <c r="K174" s="46">
        <f>SUMIF(IT_AZUL_FULL_Stat!$H:$H,Summary_Checking_UL!$D174,IT_AZUL_FULL_Stat!D:D)</f>
        <v>19250</v>
      </c>
      <c r="L174" s="46">
        <f>SUMIF(IT_AZUL_FULL_Stat!$H:$H,Summary_Checking_UL!$D174,IT_AZUL_FULL_Stat!F:F)</f>
        <v>9885.0839745600006</v>
      </c>
      <c r="M174" s="7">
        <f t="shared" si="20"/>
        <v>0</v>
      </c>
      <c r="N174" s="7">
        <f t="shared" si="20"/>
        <v>0</v>
      </c>
      <c r="O174" s="7">
        <f t="shared" si="20"/>
        <v>0</v>
      </c>
      <c r="P174" s="7">
        <f t="shared" si="20"/>
        <v>-8.3974560000569909E-2</v>
      </c>
      <c r="Q174" s="48">
        <f t="shared" si="16"/>
        <v>0</v>
      </c>
      <c r="R174" s="48">
        <f t="shared" si="17"/>
        <v>0</v>
      </c>
      <c r="S174" s="48">
        <f t="shared" si="18"/>
        <v>0</v>
      </c>
      <c r="T174" s="48">
        <f t="shared" si="19"/>
        <v>-8.4950780607109349E-6</v>
      </c>
      <c r="U174" s="44" t="s">
        <v>2087</v>
      </c>
      <c r="W174" s="46" t="str">
        <f t="shared" si="15"/>
        <v>USD</v>
      </c>
    </row>
    <row r="175" spans="1:23">
      <c r="A175" s="58" t="str">
        <f>_xlfn.XLOOKUP(B175,[10]Sheet1!$D:$D,[10]Sheet1!$E:$E)</f>
        <v>Smart Legacy</v>
      </c>
      <c r="B175" t="str">
        <f>LEFT(C175,LEN(C175)-4)</f>
        <v>UVSG1_</v>
      </c>
      <c r="C175" t="str">
        <f>VLOOKUP(D175,DV_AZUL_Stat!H:I,2,FALSE)</f>
        <v>UVSG1__USD</v>
      </c>
      <c r="D175" s="59" t="s">
        <v>2086</v>
      </c>
      <c r="E175" s="1">
        <f>SUMIF(DV_AZUL_Stat!H:H,Summary_Checking_UL!$D175,DV_AZUL_Stat!C:C)</f>
        <v>5</v>
      </c>
      <c r="F175" s="1">
        <f>SUMIF(DV_AZUL_Stat!H:H,Summary_Checking_UL!$D175,DV_AZUL_Stat!E:E)</f>
        <v>1525000</v>
      </c>
      <c r="G175" s="1">
        <f>SUMIF(DV_AZUL_Stat!H:H,Summary_Checking_UL!$D175,DV_AZUL_Stat!D:D)</f>
        <v>273575.75</v>
      </c>
      <c r="H175" s="1">
        <f>SUMIF(DV_AZUL_Stat!H:H,Summary_Checking_UL!$D175,DV_AZUL_Stat!F:F)</f>
        <v>310409</v>
      </c>
      <c r="I175" s="46">
        <f>SUMIF(IT_AZUL_FULL_Stat!$H:$H,Summary_Checking_UL!$D175,IT_AZUL_FULL_Stat!C:C)</f>
        <v>9</v>
      </c>
      <c r="J175" s="46">
        <f>SUMIF(IT_AZUL_FULL_Stat!$H:$H,Summary_Checking_UL!$D175,IT_AZUL_FULL_Stat!E:E)</f>
        <v>2825000</v>
      </c>
      <c r="K175" s="46">
        <f>SUMIF(IT_AZUL_FULL_Stat!$H:$H,Summary_Checking_UL!$D175,IT_AZUL_FULL_Stat!D:D)</f>
        <v>998028.75</v>
      </c>
      <c r="L175" s="46">
        <f>SUMIF(IT_AZUL_FULL_Stat!$H:$H,Summary_Checking_UL!$D175,IT_AZUL_FULL_Stat!F:F)</f>
        <v>1144566.4543000001</v>
      </c>
      <c r="M175" s="7">
        <f t="shared" si="20"/>
        <v>-4</v>
      </c>
      <c r="N175" s="7">
        <f t="shared" si="20"/>
        <v>-1300000</v>
      </c>
      <c r="O175" s="7">
        <f t="shared" si="20"/>
        <v>-724453</v>
      </c>
      <c r="P175" s="7">
        <f t="shared" si="20"/>
        <v>-834157.4543000001</v>
      </c>
      <c r="Q175" s="48">
        <f t="shared" si="16"/>
        <v>-0.44444444444444442</v>
      </c>
      <c r="R175" s="48">
        <f t="shared" si="17"/>
        <v>-0.46017699115044247</v>
      </c>
      <c r="S175" s="48">
        <f t="shared" si="18"/>
        <v>-0.72588389863518465</v>
      </c>
      <c r="T175" s="48">
        <f t="shared" si="19"/>
        <v>-0.72879774797362762</v>
      </c>
      <c r="W175" s="46" t="str">
        <f t="shared" si="15"/>
        <v>USD</v>
      </c>
    </row>
    <row r="176" spans="1:23">
      <c r="A176" s="58" t="str">
        <f>_xlfn.XLOOKUP(B176,[10]Sheet1!$D:$D,[10]Sheet1!$E:$E)</f>
        <v>Permata Smart Legacy</v>
      </c>
      <c r="B176" t="str">
        <f>LEFT(C176,LEN(C176)-4)</f>
        <v>UVSG2_</v>
      </c>
      <c r="C176" t="str">
        <f>VLOOKUP(D176,DV_AZUL_Stat!H:I,2,FALSE)</f>
        <v>UVSG2__USD</v>
      </c>
      <c r="D176" s="59" t="s">
        <v>2088</v>
      </c>
      <c r="E176" s="1">
        <f>SUMIF(DV_AZUL_Stat!H:H,Summary_Checking_UL!$D176,DV_AZUL_Stat!C:C)</f>
        <v>47</v>
      </c>
      <c r="F176" s="1">
        <f>SUMIF(DV_AZUL_Stat!H:H,Summary_Checking_UL!$D176,DV_AZUL_Stat!E:E)</f>
        <v>21480000</v>
      </c>
      <c r="G176" s="1">
        <f>SUMIF(DV_AZUL_Stat!H:H,Summary_Checking_UL!$D176,DV_AZUL_Stat!D:D)</f>
        <v>9886705.6400000006</v>
      </c>
      <c r="H176" s="1">
        <f>SUMIF(DV_AZUL_Stat!H:H,Summary_Checking_UL!$D176,DV_AZUL_Stat!F:F)</f>
        <v>12164231</v>
      </c>
      <c r="I176" s="46">
        <f>SUMIF(IT_AZUL_FULL_Stat!$H:$H,Summary_Checking_UL!$D176,IT_AZUL_FULL_Stat!C:C)</f>
        <v>43</v>
      </c>
      <c r="J176" s="46">
        <f>SUMIF(IT_AZUL_FULL_Stat!$H:$H,Summary_Checking_UL!$D176,IT_AZUL_FULL_Stat!E:E)</f>
        <v>20180000</v>
      </c>
      <c r="K176" s="46">
        <f>SUMIF(IT_AZUL_FULL_Stat!$H:$H,Summary_Checking_UL!$D176,IT_AZUL_FULL_Stat!D:D)</f>
        <v>9162252.6400000006</v>
      </c>
      <c r="L176" s="46">
        <f>SUMIF(IT_AZUL_FULL_Stat!$H:$H,Summary_Checking_UL!$D176,IT_AZUL_FULL_Stat!F:F)</f>
        <v>11330070.687100001</v>
      </c>
      <c r="M176" s="7">
        <f t="shared" si="20"/>
        <v>4</v>
      </c>
      <c r="N176" s="7">
        <f t="shared" si="20"/>
        <v>1300000</v>
      </c>
      <c r="O176" s="7">
        <f t="shared" si="20"/>
        <v>724453</v>
      </c>
      <c r="P176" s="7">
        <f t="shared" si="20"/>
        <v>834160.31289999932</v>
      </c>
      <c r="Q176" s="48">
        <f t="shared" si="16"/>
        <v>9.3023255813953487E-2</v>
      </c>
      <c r="R176" s="48">
        <f t="shared" si="17"/>
        <v>6.4420218037661056E-2</v>
      </c>
      <c r="S176" s="48">
        <f t="shared" si="18"/>
        <v>7.906931062315696E-2</v>
      </c>
      <c r="T176" s="48">
        <f t="shared" si="19"/>
        <v>7.3623575345363332E-2</v>
      </c>
      <c r="W176" s="46" t="str">
        <f t="shared" si="15"/>
        <v>USD</v>
      </c>
    </row>
    <row r="177" spans="1:23">
      <c r="A177" s="58" t="e">
        <f>_xlfn.XLOOKUP(B177,[10]Sheet1!$D:$D,[10]Sheet1!$E:$E)</f>
        <v>#N/A</v>
      </c>
      <c r="B177" t="str">
        <f>LEFT(C177,LEN(C177)-4)</f>
        <v/>
      </c>
      <c r="C177" t="str">
        <f>VLOOKUP(D177,DV_AZUL_Stat!H:I,2,FALSE)</f>
        <v>_IDR</v>
      </c>
      <c r="D177" s="59" t="s">
        <v>2089</v>
      </c>
      <c r="E177" s="1">
        <f>SUMIF(DV_AZUL_Stat!H:H,Summary_Checking_UL!$D177,DV_AZUL_Stat!C:C)</f>
        <v>4598</v>
      </c>
      <c r="F177" s="1">
        <f>SUMIF(DV_AZUL_Stat!H:H,Summary_Checking_UL!$D177,DV_AZUL_Stat!E:E)</f>
        <v>13726000000</v>
      </c>
      <c r="G177" s="1">
        <f>SUMIF(DV_AZUL_Stat!H:H,Summary_Checking_UL!$D177,DV_AZUL_Stat!D:D)</f>
        <v>27921572487.195</v>
      </c>
      <c r="H177" s="1">
        <f>SUMIF(DV_AZUL_Stat!H:H,Summary_Checking_UL!$D177,DV_AZUL_Stat!F:F)</f>
        <v>104343925307.79851</v>
      </c>
      <c r="I177" s="46">
        <f>SUMIF(IT_AZUL_FULL_Stat!$H:$H,Summary_Checking_UL!$D177,IT_AZUL_FULL_Stat!C:C)</f>
        <v>4598</v>
      </c>
      <c r="J177" s="46">
        <f>SUMIF(IT_AZUL_FULL_Stat!$H:$H,Summary_Checking_UL!$D177,IT_AZUL_FULL_Stat!E:E)</f>
        <v>13726000000</v>
      </c>
      <c r="K177" s="46">
        <f>SUMIF(IT_AZUL_FULL_Stat!$H:$H,Summary_Checking_UL!$D177,IT_AZUL_FULL_Stat!D:D)</f>
        <v>27921572487.1656</v>
      </c>
      <c r="L177" s="46">
        <f>SUMIF(IT_AZUL_FULL_Stat!$H:$H,Summary_Checking_UL!$D177,IT_AZUL_FULL_Stat!F:F)</f>
        <v>104343925307.51601</v>
      </c>
      <c r="M177" s="7">
        <f t="shared" si="20"/>
        <v>0</v>
      </c>
      <c r="N177" s="7">
        <f t="shared" si="20"/>
        <v>0</v>
      </c>
      <c r="O177" s="7">
        <f t="shared" si="20"/>
        <v>2.9399871826171875E-2</v>
      </c>
      <c r="P177" s="7">
        <f t="shared" si="20"/>
        <v>0.282501220703125</v>
      </c>
      <c r="Q177" s="48">
        <f t="shared" si="16"/>
        <v>0</v>
      </c>
      <c r="R177" s="48">
        <f t="shared" si="17"/>
        <v>0</v>
      </c>
      <c r="S177" s="48">
        <f t="shared" si="18"/>
        <v>1.0529447021540706E-12</v>
      </c>
      <c r="T177" s="48">
        <f t="shared" si="19"/>
        <v>2.707404574540921E-12</v>
      </c>
      <c r="W177" s="46" t="str">
        <f t="shared" si="15"/>
        <v>IDR</v>
      </c>
    </row>
    <row r="178" spans="1:23">
      <c r="A178" s="58" t="e">
        <f>_xlfn.XLOOKUP(B178,[10]Sheet1!$D:$D,[10]Sheet1!$E:$E)</f>
        <v>#N/A</v>
      </c>
      <c r="B178" t="str">
        <f>LEFT(C178,LEN(C178)-4)</f>
        <v/>
      </c>
      <c r="C178" t="str">
        <f>VLOOKUP(D178,DV_AZUL_Stat!H:I,2,FALSE)</f>
        <v>_USD</v>
      </c>
      <c r="D178" s="59" t="s">
        <v>2090</v>
      </c>
      <c r="E178" s="1">
        <f>SUMIF(DV_AZUL_Stat!H:H,Summary_Checking_UL!$D178,DV_AZUL_Stat!C:C)</f>
        <v>7</v>
      </c>
      <c r="F178" s="1">
        <f>SUMIF(DV_AZUL_Stat!H:H,Summary_Checking_UL!$D178,DV_AZUL_Stat!E:E)</f>
        <v>2450</v>
      </c>
      <c r="G178" s="1">
        <f>SUMIF(DV_AZUL_Stat!H:H,Summary_Checking_UL!$D178,DV_AZUL_Stat!D:D)</f>
        <v>33273</v>
      </c>
      <c r="H178" s="1">
        <f>SUMIF(DV_AZUL_Stat!H:H,Summary_Checking_UL!$D178,DV_AZUL_Stat!F:F)</f>
        <v>21741.493771699999</v>
      </c>
      <c r="I178" s="46">
        <f>SUMIF(IT_AZUL_FULL_Stat!$H:$H,Summary_Checking_UL!$D178,IT_AZUL_FULL_Stat!C:C)</f>
        <v>7</v>
      </c>
      <c r="J178" s="46">
        <f>SUMIF(IT_AZUL_FULL_Stat!$H:$H,Summary_Checking_UL!$D178,IT_AZUL_FULL_Stat!E:E)</f>
        <v>2450</v>
      </c>
      <c r="K178" s="46">
        <f>SUMIF(IT_AZUL_FULL_Stat!$H:$H,Summary_Checking_UL!$D178,IT_AZUL_FULL_Stat!D:D)</f>
        <v>33273</v>
      </c>
      <c r="L178" s="46">
        <f>SUMIF(IT_AZUL_FULL_Stat!$H:$H,Summary_Checking_UL!$D178,IT_AZUL_FULL_Stat!F:F)</f>
        <v>21741.493772227499</v>
      </c>
      <c r="M178" s="7">
        <f t="shared" si="20"/>
        <v>0</v>
      </c>
      <c r="N178" s="7">
        <f t="shared" si="20"/>
        <v>0</v>
      </c>
      <c r="O178" s="7">
        <f t="shared" si="20"/>
        <v>0</v>
      </c>
      <c r="P178" s="7">
        <f t="shared" si="20"/>
        <v>-5.2749965107068419E-7</v>
      </c>
      <c r="Q178" s="48">
        <f t="shared" si="16"/>
        <v>0</v>
      </c>
      <c r="R178" s="48">
        <f t="shared" si="17"/>
        <v>0</v>
      </c>
      <c r="S178" s="48">
        <f t="shared" si="18"/>
        <v>0</v>
      </c>
      <c r="T178" s="48">
        <f t="shared" si="19"/>
        <v>-2.4262346304121488E-11</v>
      </c>
      <c r="W178" s="46" t="str">
        <f t="shared" si="15"/>
        <v>USD</v>
      </c>
    </row>
    <row r="179" spans="1:23">
      <c r="A179" s="58" t="e">
        <f>_xlfn.XLOOKUP(B179,[10]Sheet1!$D:$D,[10]Sheet1!$E:$E)</f>
        <v>#N/A</v>
      </c>
      <c r="B179" t="str">
        <f t="shared" ref="B179" si="21">LEFT(C179,LEN(C179)-4)</f>
        <v/>
      </c>
      <c r="C179" t="str">
        <f>VLOOKUP(D179,DV_AZUL_Stat!H:I,2,FALSE)</f>
        <v>_IDR</v>
      </c>
      <c r="D179" s="59" t="s">
        <v>2091</v>
      </c>
      <c r="E179" s="1">
        <f>SUMIF(DV_AZUL_Stat!H:H,Summary_Checking_UL!$D179,DV_AZUL_Stat!C:C)</f>
        <v>77</v>
      </c>
      <c r="F179" s="1">
        <f>SUMIF(DV_AZUL_Stat!H:H,Summary_Checking_UL!$D179,DV_AZUL_Stat!E:E)</f>
        <v>376000000</v>
      </c>
      <c r="G179" s="1">
        <f>SUMIF(DV_AZUL_Stat!H:H,Summary_Checking_UL!$D179,DV_AZUL_Stat!D:D)</f>
        <v>3181003587.4064102</v>
      </c>
      <c r="H179" s="1">
        <f>SUMIF(DV_AZUL_Stat!H:H,Summary_Checking_UL!$D179,DV_AZUL_Stat!F:F)</f>
        <v>4944587180.2204504</v>
      </c>
      <c r="I179" s="8">
        <f>SUMIF(IT_AZUL_FULL_Stat!$H:$H,Summary_Checking_UL!$D179,IT_AZUL_FULL_Stat!C:C)</f>
        <v>84</v>
      </c>
      <c r="J179" s="8">
        <f>SUMIF(IT_AZUL_FULL_Stat!$H:$H,Summary_Checking_UL!$D179,IT_AZUL_FULL_Stat!E:E)</f>
        <v>411000000</v>
      </c>
      <c r="K179" s="8">
        <f>SUMIF(IT_AZUL_FULL_Stat!$H:$H,Summary_Checking_UL!$D179,IT_AZUL_FULL_Stat!D:D)</f>
        <v>3181003587.64011</v>
      </c>
      <c r="L179" s="46">
        <f>SUMIF(IT_AZUL_FULL_Stat!$H:$H,Summary_Checking_UL!$D179,IT_AZUL_FULL_Stat!F:F)</f>
        <v>4944587180.1998301</v>
      </c>
      <c r="M179" s="7">
        <f t="shared" ref="M179" si="22">E179-I179</f>
        <v>-7</v>
      </c>
      <c r="N179" s="7">
        <f t="shared" ref="N179" si="23">F179-J179</f>
        <v>-35000000</v>
      </c>
      <c r="O179" s="7">
        <f t="shared" ref="O179" si="24">G179-K179</f>
        <v>-0.23369979858398438</v>
      </c>
      <c r="P179" s="7">
        <f t="shared" ref="P179" si="25">H179-L179</f>
        <v>2.0620346069335938E-2</v>
      </c>
      <c r="Q179" s="48">
        <f t="shared" si="16"/>
        <v>-8.3333333333333329E-2</v>
      </c>
      <c r="R179" s="48">
        <f t="shared" si="17"/>
        <v>-8.5158150851581502E-2</v>
      </c>
      <c r="S179" s="48">
        <f t="shared" si="18"/>
        <v>-7.3467316884530512E-11</v>
      </c>
      <c r="T179" s="48">
        <f t="shared" si="19"/>
        <v>4.1702866827605593E-12</v>
      </c>
      <c r="W179" t="str">
        <f t="shared" ref="W179" si="26">RIGHT(D179,3)</f>
        <v>IDR</v>
      </c>
    </row>
    <row r="180" spans="1:23">
      <c r="A180" s="58" t="e">
        <f>_xlfn.XLOOKUP(B180,[10]Sheet1!$D:$D,[10]Sheet1!$E:$E)</f>
        <v>#N/A</v>
      </c>
      <c r="B180" t="e">
        <f t="shared" ref="B180:B181" si="27">LEFT(C180,LEN(C180)-4)</f>
        <v>#N/A</v>
      </c>
      <c r="C180" t="e">
        <f>VLOOKUP(D180,DV_AZUL_Stat!H:I,2,FALSE)</f>
        <v>#N/A</v>
      </c>
      <c r="D180" s="59" t="s">
        <v>2322</v>
      </c>
      <c r="E180" s="1">
        <f>SUMIF(DV_AZUL_Stat!H:H,Summary_Checking_UL!$D180,DV_AZUL_Stat!C:C)</f>
        <v>0</v>
      </c>
      <c r="F180" s="1">
        <f>SUMIF(DV_AZUL_Stat!H:H,Summary_Checking_UL!$D180,DV_AZUL_Stat!E:E)</f>
        <v>0</v>
      </c>
      <c r="G180" s="1">
        <f>SUMIF(DV_AZUL_Stat!H:H,Summary_Checking_UL!$D180,DV_AZUL_Stat!D:D)</f>
        <v>0</v>
      </c>
      <c r="H180" s="1">
        <f>SUMIF(DV_AZUL_Stat!H:H,Summary_Checking_UL!$D180,DV_AZUL_Stat!F:F)</f>
        <v>0</v>
      </c>
      <c r="I180" s="8">
        <f>SUMIF(IT_AZUL_FULL_Stat!$H:$H,Summary_Checking_UL!$D180,IT_AZUL_FULL_Stat!C:C)</f>
        <v>163</v>
      </c>
      <c r="J180" s="8">
        <f>SUMIF(IT_AZUL_FULL_Stat!$H:$H,Summary_Checking_UL!$D180,IT_AZUL_FULL_Stat!E:E)</f>
        <v>71046500000</v>
      </c>
      <c r="K180" s="8">
        <f>SUMIF(IT_AZUL_FULL_Stat!$H:$H,Summary_Checking_UL!$D180,IT_AZUL_FULL_Stat!D:D)</f>
        <v>7416195489</v>
      </c>
      <c r="L180" s="46">
        <f>SUMIF(IT_AZUL_FULL_Stat!$H:$H,Summary_Checking_UL!$D180,IT_AZUL_FULL_Stat!F:F)</f>
        <v>2939038095.9644198</v>
      </c>
      <c r="M180" s="7">
        <f t="shared" ref="M180:M181" si="28">E180-I180</f>
        <v>-163</v>
      </c>
      <c r="N180" s="7">
        <f t="shared" ref="N180:N181" si="29">F180-J180</f>
        <v>-71046500000</v>
      </c>
      <c r="O180" s="7">
        <f t="shared" ref="O180:O181" si="30">G180-K180</f>
        <v>-7416195489</v>
      </c>
      <c r="P180" s="7">
        <f t="shared" ref="P180:P181" si="31">H180-L180</f>
        <v>-2939038095.9644198</v>
      </c>
      <c r="Q180" s="48">
        <f t="shared" ref="Q180:Q181" si="32">IFERROR(M180/I180,0)</f>
        <v>-1</v>
      </c>
      <c r="R180" s="48">
        <f t="shared" ref="R180:R181" si="33">IFERROR(N180/J180,0)</f>
        <v>-1</v>
      </c>
      <c r="S180" s="48">
        <f t="shared" ref="S180:S181" si="34">IFERROR(O180/K180,0)</f>
        <v>-1</v>
      </c>
      <c r="T180" s="48">
        <f t="shared" ref="T180:T181" si="35">IFERROR(P180/L180,0)</f>
        <v>-1</v>
      </c>
      <c r="W180" t="str">
        <f t="shared" ref="W180:W181" si="36">RIGHT(D180,3)</f>
        <v>IDR</v>
      </c>
    </row>
    <row r="181" spans="1:23">
      <c r="A181" s="58" t="e">
        <f>_xlfn.XLOOKUP(B181,[10]Sheet1!$D:$D,[10]Sheet1!$E:$E)</f>
        <v>#N/A</v>
      </c>
      <c r="B181" t="e">
        <f t="shared" si="27"/>
        <v>#N/A</v>
      </c>
      <c r="C181" t="e">
        <f>VLOOKUP(D181,DV_AZUL_Stat!H:I,2,FALSE)</f>
        <v>#N/A</v>
      </c>
      <c r="D181" s="59" t="s">
        <v>2314</v>
      </c>
      <c r="E181" s="1">
        <f>SUMIF(DV_AZUL_Stat!H:H,Summary_Checking_UL!$D181,DV_AZUL_Stat!C:C)</f>
        <v>0</v>
      </c>
      <c r="F181" s="1">
        <f>SUMIF(DV_AZUL_Stat!H:H,Summary_Checking_UL!$D181,DV_AZUL_Stat!E:E)</f>
        <v>0</v>
      </c>
      <c r="G181" s="1">
        <f>SUMIF(DV_AZUL_Stat!H:H,Summary_Checking_UL!$D181,DV_AZUL_Stat!D:D)</f>
        <v>0</v>
      </c>
      <c r="H181" s="1">
        <f>SUMIF(DV_AZUL_Stat!H:H,Summary_Checking_UL!$D181,DV_AZUL_Stat!F:F)</f>
        <v>0</v>
      </c>
      <c r="I181" s="8">
        <f>SUMIF(IT_AZUL_FULL_Stat!$H:$H,Summary_Checking_UL!$D181,IT_AZUL_FULL_Stat!C:C)</f>
        <v>2246</v>
      </c>
      <c r="J181" s="8">
        <f>SUMIF(IT_AZUL_FULL_Stat!$H:$H,Summary_Checking_UL!$D181,IT_AZUL_FULL_Stat!E:E)</f>
        <v>813790230000</v>
      </c>
      <c r="K181" s="8">
        <f>SUMIF(IT_AZUL_FULL_Stat!$H:$H,Summary_Checking_UL!$D181,IT_AZUL_FULL_Stat!D:D)</f>
        <v>85480971455</v>
      </c>
      <c r="L181" s="46">
        <f>SUMIF(IT_AZUL_FULL_Stat!$H:$H,Summary_Checking_UL!$D181,IT_AZUL_FULL_Stat!F:F)</f>
        <v>35063504837.305603</v>
      </c>
      <c r="M181" s="7">
        <f t="shared" si="28"/>
        <v>-2246</v>
      </c>
      <c r="N181" s="7">
        <f t="shared" si="29"/>
        <v>-813790230000</v>
      </c>
      <c r="O181" s="7">
        <f t="shared" si="30"/>
        <v>-85480971455</v>
      </c>
      <c r="P181" s="7">
        <f t="shared" si="31"/>
        <v>-35063504837.305603</v>
      </c>
      <c r="Q181" s="48">
        <f t="shared" si="32"/>
        <v>-1</v>
      </c>
      <c r="R181" s="48">
        <f t="shared" si="33"/>
        <v>-1</v>
      </c>
      <c r="S181" s="48">
        <f t="shared" si="34"/>
        <v>-1</v>
      </c>
      <c r="T181" s="48">
        <f t="shared" si="35"/>
        <v>-1</v>
      </c>
      <c r="W181" t="str">
        <f t="shared" si="36"/>
        <v>IDR</v>
      </c>
    </row>
    <row r="182" spans="1:23">
      <c r="A182" s="58" t="e">
        <f>_xlfn.XLOOKUP(B182,[10]Sheet1!$D:$D,[10]Sheet1!$E:$E)</f>
        <v>#N/A</v>
      </c>
      <c r="B182" t="e">
        <f t="shared" ref="B182" si="37">LEFT(C182,LEN(C182)-4)</f>
        <v>#N/A</v>
      </c>
      <c r="C182" t="e">
        <f>VLOOKUP(D182,DV_AZUL_Stat!H:I,2,FALSE)</f>
        <v>#N/A</v>
      </c>
      <c r="D182" s="59" t="s">
        <v>2329</v>
      </c>
      <c r="E182" s="1">
        <f>SUMIF(DV_AZUL_Stat!H:H,Summary_Checking_UL!$D182,DV_AZUL_Stat!C:C)</f>
        <v>0</v>
      </c>
      <c r="F182" s="1">
        <f>SUMIF(DV_AZUL_Stat!H:H,Summary_Checking_UL!$D182,DV_AZUL_Stat!E:E)</f>
        <v>0</v>
      </c>
      <c r="G182" s="1">
        <f>SUMIF(DV_AZUL_Stat!H:H,Summary_Checking_UL!$D182,DV_AZUL_Stat!D:D)</f>
        <v>0</v>
      </c>
      <c r="H182" s="1">
        <f>SUMIF(DV_AZUL_Stat!H:H,Summary_Checking_UL!$D182,DV_AZUL_Stat!F:F)</f>
        <v>0</v>
      </c>
      <c r="I182" s="8">
        <f>SUMIF(IT_AZUL_FULL_Stat!$H:$H,Summary_Checking_UL!$D182,IT_AZUL_FULL_Stat!C:C)</f>
        <v>94</v>
      </c>
      <c r="J182" s="8">
        <f>SUMIF(IT_AZUL_FULL_Stat!$H:$H,Summary_Checking_UL!$D182,IT_AZUL_FULL_Stat!E:E)</f>
        <v>29161392193</v>
      </c>
      <c r="K182" s="8">
        <f>SUMIF(IT_AZUL_FULL_Stat!$H:$H,Summary_Checking_UL!$D182,IT_AZUL_FULL_Stat!D:D)</f>
        <v>3634130451</v>
      </c>
      <c r="L182" s="46">
        <f>SUMIF(IT_AZUL_FULL_Stat!$H:$H,Summary_Checking_UL!$D182,IT_AZUL_FULL_Stat!F:F)</f>
        <v>423702712.00948602</v>
      </c>
      <c r="M182" s="7">
        <f t="shared" ref="M182" si="38">E182-I182</f>
        <v>-94</v>
      </c>
      <c r="N182" s="7">
        <f t="shared" ref="N182" si="39">F182-J182</f>
        <v>-29161392193</v>
      </c>
      <c r="O182" s="7">
        <f t="shared" ref="O182" si="40">G182-K182</f>
        <v>-3634130451</v>
      </c>
      <c r="P182" s="7">
        <f t="shared" ref="P182" si="41">H182-L182</f>
        <v>-423702712.00948602</v>
      </c>
      <c r="Q182" s="48">
        <f t="shared" ref="Q182" si="42">IFERROR(M182/I182,0)</f>
        <v>-1</v>
      </c>
      <c r="R182" s="48">
        <f t="shared" ref="R182" si="43">IFERROR(N182/J182,0)</f>
        <v>-1</v>
      </c>
      <c r="S182" s="48">
        <f t="shared" ref="S182" si="44">IFERROR(O182/K182,0)</f>
        <v>-1</v>
      </c>
      <c r="T182" s="48">
        <f t="shared" ref="T182" si="45">IFERROR(P182/L182,0)</f>
        <v>-1</v>
      </c>
      <c r="W182" t="str">
        <f t="shared" ref="W182" si="46">RIGHT(D182,3)</f>
        <v>IDR</v>
      </c>
    </row>
    <row r="183" spans="1:23">
      <c r="A183" s="58" t="e">
        <f>_xlfn.XLOOKUP(B183,[10]Sheet1!$D:$D,[10]Sheet1!$E:$E)</f>
        <v>#N/A</v>
      </c>
      <c r="B183" t="str">
        <f t="shared" ref="B183:B184" si="47">LEFT(C183,LEN(C183)-4)</f>
        <v>ULPIPX</v>
      </c>
      <c r="C183" t="str">
        <f>VLOOKUP(D183,DV_AZUL_Stat!H:I,2,FALSE)</f>
        <v>ULPIPX_IDR</v>
      </c>
      <c r="D183" s="59" t="s">
        <v>2638</v>
      </c>
      <c r="E183" s="1">
        <f>SUMIF(DV_AZUL_Stat!H:H,Summary_Checking_UL!$D183,DV_AZUL_Stat!C:C)</f>
        <v>32</v>
      </c>
      <c r="F183" s="1">
        <f>SUMIF(DV_AZUL_Stat!H:H,Summary_Checking_UL!$D183,DV_AZUL_Stat!E:E)</f>
        <v>5105000000</v>
      </c>
      <c r="G183" s="1">
        <f>SUMIF(DV_AZUL_Stat!H:H,Summary_Checking_UL!$D183,DV_AZUL_Stat!D:D)</f>
        <v>986000000</v>
      </c>
      <c r="H183" s="1">
        <f>SUMIF(DV_AZUL_Stat!H:H,Summary_Checking_UL!$D183,DV_AZUL_Stat!F:F)</f>
        <v>9326870883.83288</v>
      </c>
      <c r="I183" s="8">
        <f>SUMIF(IT_AZUL_FULL_Stat!$H:$H,Summary_Checking_UL!$D183,IT_AZUL_FULL_Stat!C:C)</f>
        <v>32</v>
      </c>
      <c r="J183" s="8">
        <f>SUMIF(IT_AZUL_FULL_Stat!$H:$H,Summary_Checking_UL!$D183,IT_AZUL_FULL_Stat!E:E)</f>
        <v>5105000000</v>
      </c>
      <c r="K183" s="8">
        <f>SUMIF(IT_AZUL_FULL_Stat!$H:$H,Summary_Checking_UL!$D183,IT_AZUL_FULL_Stat!D:D)</f>
        <v>986000000</v>
      </c>
      <c r="L183" s="46">
        <f>SUMIF(IT_AZUL_FULL_Stat!$H:$H,Summary_Checking_UL!$D183,IT_AZUL_FULL_Stat!F:F)</f>
        <v>9326870883.9862995</v>
      </c>
      <c r="M183" s="7">
        <f t="shared" ref="M183:M184" si="48">E183-I183</f>
        <v>0</v>
      </c>
      <c r="N183" s="7">
        <f t="shared" ref="N183:N184" si="49">F183-J183</f>
        <v>0</v>
      </c>
      <c r="O183" s="7">
        <f t="shared" ref="O183:O184" si="50">G183-K183</f>
        <v>0</v>
      </c>
      <c r="P183" s="7">
        <f t="shared" ref="P183:P184" si="51">H183-L183</f>
        <v>-0.15341949462890625</v>
      </c>
      <c r="Q183" s="48">
        <f t="shared" ref="Q183:Q184" si="52">IFERROR(M183/I183,0)</f>
        <v>0</v>
      </c>
      <c r="R183" s="48">
        <f t="shared" ref="R183:R184" si="53">IFERROR(N183/J183,0)</f>
        <v>0</v>
      </c>
      <c r="S183" s="48">
        <f t="shared" ref="S183:S184" si="54">IFERROR(O183/K183,0)</f>
        <v>0</v>
      </c>
      <c r="T183" s="48">
        <f t="shared" ref="T183:T184" si="55">IFERROR(P183/L183,0)</f>
        <v>-1.6449192503813759E-11</v>
      </c>
      <c r="W183" t="str">
        <f t="shared" ref="W183:W185" si="56">RIGHT(D183,3)</f>
        <v>IDR</v>
      </c>
    </row>
    <row r="184" spans="1:23">
      <c r="A184" s="58" t="e">
        <f>_xlfn.XLOOKUP(B184,[10]Sheet1!$D:$D,[10]Sheet1!$E:$E)</f>
        <v>#N/A</v>
      </c>
      <c r="B184" t="str">
        <f t="shared" si="47"/>
        <v>ULPIPX</v>
      </c>
      <c r="C184" t="str">
        <f>VLOOKUP(D184,DV_AZUL_Stat!H:I,2,FALSE)</f>
        <v>ULPIPX_USD</v>
      </c>
      <c r="D184" s="59" t="s">
        <v>2639</v>
      </c>
      <c r="E184" s="1">
        <f>SUMIF(DV_AZUL_Stat!H:H,Summary_Checking_UL!$D184,DV_AZUL_Stat!C:C)</f>
        <v>44</v>
      </c>
      <c r="F184" s="1">
        <f>SUMIF(DV_AZUL_Stat!H:H,Summary_Checking_UL!$D184,DV_AZUL_Stat!E:E)</f>
        <v>2200000</v>
      </c>
      <c r="G184" s="1">
        <f>SUMIF(DV_AZUL_Stat!H:H,Summary_Checking_UL!$D184,DV_AZUL_Stat!D:D)</f>
        <v>119900</v>
      </c>
      <c r="H184" s="1">
        <f>SUMIF(DV_AZUL_Stat!H:H,Summary_Checking_UL!$D184,DV_AZUL_Stat!F:F)</f>
        <v>1035949.55371793</v>
      </c>
      <c r="I184" s="8">
        <f>SUMIF(IT_AZUL_FULL_Stat!$H:$H,Summary_Checking_UL!$D184,IT_AZUL_FULL_Stat!C:C)</f>
        <v>44</v>
      </c>
      <c r="J184" s="8">
        <f>SUMIF(IT_AZUL_FULL_Stat!$H:$H,Summary_Checking_UL!$D184,IT_AZUL_FULL_Stat!E:E)</f>
        <v>2200000</v>
      </c>
      <c r="K184" s="8">
        <f>SUMIF(IT_AZUL_FULL_Stat!$H:$H,Summary_Checking_UL!$D184,IT_AZUL_FULL_Stat!D:D)</f>
        <v>119900</v>
      </c>
      <c r="L184" s="46">
        <f>SUMIF(IT_AZUL_FULL_Stat!$H:$H,Summary_Checking_UL!$D184,IT_AZUL_FULL_Stat!F:F)</f>
        <v>1035949.88061497</v>
      </c>
      <c r="M184" s="7">
        <f t="shared" si="48"/>
        <v>0</v>
      </c>
      <c r="N184" s="7">
        <f t="shared" si="49"/>
        <v>0</v>
      </c>
      <c r="O184" s="7">
        <f t="shared" si="50"/>
        <v>0</v>
      </c>
      <c r="P184" s="7">
        <f t="shared" si="51"/>
        <v>-0.3268970400094986</v>
      </c>
      <c r="Q184" s="48">
        <f t="shared" si="52"/>
        <v>0</v>
      </c>
      <c r="R184" s="48">
        <f t="shared" si="53"/>
        <v>0</v>
      </c>
      <c r="S184" s="48">
        <f t="shared" si="54"/>
        <v>0</v>
      </c>
      <c r="T184" s="48">
        <f t="shared" si="55"/>
        <v>-3.1555294915951244E-7</v>
      </c>
      <c r="W184" t="str">
        <f t="shared" si="56"/>
        <v>USD</v>
      </c>
    </row>
    <row r="185" spans="1:23">
      <c r="A185" s="58" t="str">
        <f>_xlfn.XLOOKUP(B185,[10]Sheet1!$D:$D,[10]Sheet1!$E:$E)</f>
        <v>Allianz Wealthlink Supreme Life</v>
      </c>
      <c r="B185" t="str">
        <f t="shared" ref="B185" si="57">LEFT(C185,LEN(C185)-4)</f>
        <v>ULWSL_</v>
      </c>
      <c r="C185" t="str">
        <f>VLOOKUP(D185,DV_AZUL_Stat!H:I,2,FALSE)</f>
        <v>ULWSL__IDR</v>
      </c>
      <c r="D185" s="59" t="s">
        <v>2642</v>
      </c>
      <c r="E185" s="1">
        <f>SUMIF(DV_AZUL_Stat!H:H,Summary_Checking_UL!$D185,DV_AZUL_Stat!C:C)</f>
        <v>1</v>
      </c>
      <c r="F185" s="1">
        <f>SUMIF(DV_AZUL_Stat!H:H,Summary_Checking_UL!$D185,DV_AZUL_Stat!E:E)</f>
        <v>2000000000</v>
      </c>
      <c r="G185" s="1">
        <f>SUMIF(DV_AZUL_Stat!H:H,Summary_Checking_UL!$D185,DV_AZUL_Stat!D:D)</f>
        <v>80000000</v>
      </c>
      <c r="H185" s="1">
        <f>SUMIF(DV_AZUL_Stat!H:H,Summary_Checking_UL!$D185,DV_AZUL_Stat!F:F)</f>
        <v>44204238</v>
      </c>
      <c r="I185" s="8">
        <f>SUMIF(IT_AZUL_FULL_Stat!$H:$H,Summary_Checking_UL!$D185,IT_AZUL_FULL_Stat!C:C)</f>
        <v>1</v>
      </c>
      <c r="J185" s="8">
        <f>SUMIF(IT_AZUL_FULL_Stat!$H:$H,Summary_Checking_UL!$D185,IT_AZUL_FULL_Stat!E:E)</f>
        <v>2000000000</v>
      </c>
      <c r="K185" s="8">
        <f>SUMIF(IT_AZUL_FULL_Stat!$H:$H,Summary_Checking_UL!$D185,IT_AZUL_FULL_Stat!D:D)</f>
        <v>80000000</v>
      </c>
      <c r="L185" s="46">
        <f>SUMIF(IT_AZUL_FULL_Stat!$H:$H,Summary_Checking_UL!$D185,IT_AZUL_FULL_Stat!F:F)</f>
        <v>44204238.269768998</v>
      </c>
      <c r="M185" s="7">
        <f t="shared" ref="M185" si="58">E185-I185</f>
        <v>0</v>
      </c>
      <c r="N185" s="7">
        <f t="shared" ref="N185" si="59">F185-J185</f>
        <v>0</v>
      </c>
      <c r="O185" s="7">
        <f t="shared" ref="O185" si="60">G185-K185</f>
        <v>0</v>
      </c>
      <c r="P185" s="7">
        <f t="shared" ref="P185" si="61">H185-L185</f>
        <v>-0.26976899802684784</v>
      </c>
      <c r="Q185" s="48">
        <f t="shared" ref="Q185" si="62">IFERROR(M185/I185,0)</f>
        <v>0</v>
      </c>
      <c r="R185" s="48">
        <f t="shared" ref="R185" si="63">IFERROR(N185/J185,0)</f>
        <v>0</v>
      </c>
      <c r="S185" s="48">
        <f t="shared" ref="S185" si="64">IFERROR(O185/K185,0)</f>
        <v>0</v>
      </c>
      <c r="T185" s="48">
        <f t="shared" ref="T185" si="65">IFERROR(P185/L185,0)</f>
        <v>-6.102785809372066E-9</v>
      </c>
      <c r="W185" t="str">
        <f t="shared" ref="W185" si="66">RIGHT(D185,3)</f>
        <v>IDR</v>
      </c>
    </row>
    <row r="186" spans="1:23">
      <c r="D186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</row>
    <row r="187" spans="1:23">
      <c r="D187"/>
    </row>
    <row r="188" spans="1:23">
      <c r="D188"/>
    </row>
    <row r="189" spans="1:23">
      <c r="D189"/>
    </row>
    <row r="190" spans="1:23">
      <c r="D190"/>
    </row>
    <row r="191" spans="1:23">
      <c r="D191"/>
    </row>
    <row r="192" spans="1:23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</sheetData>
  <mergeCells count="14">
    <mergeCell ref="M9:P9"/>
    <mergeCell ref="Q9:T9"/>
    <mergeCell ref="U9:U10"/>
    <mergeCell ref="U147:U149"/>
    <mergeCell ref="E1:H1"/>
    <mergeCell ref="I1:L1"/>
    <mergeCell ref="M1:P1"/>
    <mergeCell ref="Q1:T1"/>
    <mergeCell ref="I9:L9"/>
    <mergeCell ref="A9:A10"/>
    <mergeCell ref="B9:B10"/>
    <mergeCell ref="C9:C10"/>
    <mergeCell ref="D9:D10"/>
    <mergeCell ref="E9:H9"/>
  </mergeCells>
  <conditionalFormatting sqref="Q11:T181">
    <cfRule type="cellIs" dxfId="10" priority="7" operator="lessThan">
      <formula>-0.001</formula>
    </cfRule>
    <cfRule type="cellIs" dxfId="9" priority="8" operator="greaterThan">
      <formula>0.001</formula>
    </cfRule>
  </conditionalFormatting>
  <conditionalFormatting sqref="Q180:T182">
    <cfRule type="cellIs" dxfId="8" priority="5" operator="lessThan">
      <formula>-0.001</formula>
    </cfRule>
    <cfRule type="cellIs" dxfId="7" priority="6" operator="greaterThan">
      <formula>0.001</formula>
    </cfRule>
  </conditionalFormatting>
  <conditionalFormatting sqref="Q183:T184">
    <cfRule type="cellIs" dxfId="6" priority="3" operator="lessThan">
      <formula>-0.001</formula>
    </cfRule>
    <cfRule type="cellIs" dxfId="5" priority="4" operator="greaterThan">
      <formula>0.001</formula>
    </cfRule>
  </conditionalFormatting>
  <conditionalFormatting sqref="Q185:T185">
    <cfRule type="cellIs" dxfId="1" priority="1" operator="lessThan">
      <formula>-0.001</formula>
    </cfRule>
    <cfRule type="cellIs" dxfId="0" priority="2" operator="greaterThan">
      <formula>0.001</formula>
    </cfRule>
  </conditionalFormatting>
  <pageMargins left="0.7" right="0.7" top="0.75" bottom="0.75" header="0.3" footer="0.3"/>
  <pageSetup paperSize="9" orientation="portrait" horizontalDpi="300" verticalDpi="300" r:id="rId1"/>
  <ignoredErrors>
    <ignoredError sqref="G6" formula="1"/>
  </ignoredError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689A3-5902-46CF-A50A-158D4543C547}">
  <sheetPr codeName="Sheet12"/>
  <dimension ref="A1:W141"/>
  <sheetViews>
    <sheetView zoomScale="55" zoomScaleNormal="55" workbookViewId="0">
      <pane xSplit="4" ySplit="10" topLeftCell="G102" activePane="bottomRight" state="frozen"/>
      <selection activeCell="N4" sqref="N4"/>
      <selection pane="topRight" activeCell="N4" sqref="N4"/>
      <selection pane="bottomLeft" activeCell="N4" sqref="N4"/>
      <selection pane="bottomRight" activeCell="O137" sqref="O137"/>
    </sheetView>
  </sheetViews>
  <sheetFormatPr defaultRowHeight="15"/>
  <cols>
    <col min="1" max="1" width="36.85546875" style="58" bestFit="1" customWidth="1"/>
    <col min="2" max="2" width="19.140625" customWidth="1"/>
    <col min="3" max="3" width="22.85546875" bestFit="1" customWidth="1"/>
    <col min="4" max="4" width="30" style="59" bestFit="1" customWidth="1"/>
    <col min="5" max="5" width="30" customWidth="1"/>
    <col min="6" max="6" width="27.140625" customWidth="1"/>
    <col min="7" max="8" width="35.5703125" customWidth="1"/>
    <col min="9" max="9" width="22.42578125" customWidth="1"/>
    <col min="10" max="10" width="24.140625" bestFit="1" customWidth="1"/>
    <col min="11" max="11" width="22.85546875" bestFit="1" customWidth="1"/>
    <col min="12" max="12" width="22.85546875" customWidth="1"/>
    <col min="13" max="13" width="18.42578125" customWidth="1"/>
    <col min="14" max="14" width="25.28515625" bestFit="1" customWidth="1"/>
    <col min="15" max="15" width="23.28515625" bestFit="1" customWidth="1"/>
    <col min="16" max="16" width="20.140625" customWidth="1"/>
    <col min="17" max="17" width="18.42578125" customWidth="1"/>
    <col min="18" max="18" width="20.85546875" bestFit="1" customWidth="1"/>
    <col min="19" max="19" width="20.140625" bestFit="1" customWidth="1"/>
    <col min="20" max="20" width="20.140625" customWidth="1"/>
    <col min="21" max="21" width="141.140625" bestFit="1" customWidth="1"/>
  </cols>
  <sheetData>
    <row r="1" spans="1:23">
      <c r="A1"/>
      <c r="D1"/>
      <c r="E1" s="72" t="s">
        <v>18</v>
      </c>
      <c r="F1" s="72"/>
      <c r="G1" s="72"/>
      <c r="H1" s="72"/>
      <c r="I1" s="74" t="s">
        <v>19</v>
      </c>
      <c r="J1" s="75"/>
      <c r="K1" s="75"/>
      <c r="L1" s="76"/>
      <c r="M1" s="74" t="s">
        <v>20</v>
      </c>
      <c r="N1" s="75"/>
      <c r="O1" s="75"/>
      <c r="P1" s="76"/>
      <c r="Q1" s="74" t="s">
        <v>1910</v>
      </c>
      <c r="R1" s="75"/>
      <c r="S1" s="75"/>
      <c r="T1" s="76"/>
      <c r="U1" s="80" t="s">
        <v>22</v>
      </c>
    </row>
    <row r="2" spans="1:23">
      <c r="A2"/>
      <c r="D2" s="3" t="s">
        <v>1911</v>
      </c>
      <c r="E2" s="51" t="s">
        <v>23</v>
      </c>
      <c r="F2" s="51" t="s">
        <v>24</v>
      </c>
      <c r="G2" s="51" t="s">
        <v>25</v>
      </c>
      <c r="H2" s="51" t="s">
        <v>26</v>
      </c>
      <c r="I2" s="51" t="s">
        <v>27</v>
      </c>
      <c r="J2" s="51" t="str">
        <f>F2</f>
        <v>sa_if_m</v>
      </c>
      <c r="K2" s="51" t="str">
        <f>G2</f>
        <v>anp_if_m</v>
      </c>
      <c r="L2" s="51" t="s">
        <v>26</v>
      </c>
      <c r="M2" s="51" t="s">
        <v>27</v>
      </c>
      <c r="N2" s="51" t="str">
        <f>J2</f>
        <v>sa_if_m</v>
      </c>
      <c r="O2" s="50" t="str">
        <f>K2</f>
        <v>anp_if_m</v>
      </c>
      <c r="P2" s="51" t="s">
        <v>26</v>
      </c>
      <c r="Q2" s="51" t="s">
        <v>27</v>
      </c>
      <c r="R2" s="51" t="str">
        <f>N2</f>
        <v>sa_if_m</v>
      </c>
      <c r="S2" s="50" t="str">
        <f>O2</f>
        <v>anp_if_m</v>
      </c>
      <c r="T2" s="51" t="s">
        <v>26</v>
      </c>
      <c r="U2" s="80"/>
    </row>
    <row r="3" spans="1:23">
      <c r="A3"/>
      <c r="D3" s="3" t="s">
        <v>1912</v>
      </c>
      <c r="E3" s="1">
        <f>SUM(DV_AZTRAD_Stat!$C:$C)</f>
        <v>470770</v>
      </c>
      <c r="F3" s="1">
        <f>SUM(DV_AZTRAD_Stat!$E:$E)</f>
        <v>99452485915085.797</v>
      </c>
      <c r="G3" s="1">
        <f>SUM(DV_AZTRAD_Stat!$D:$D)</f>
        <v>4425262287171.6807</v>
      </c>
      <c r="H3" s="1">
        <v>0</v>
      </c>
      <c r="I3" s="1">
        <f>SUM(IT_AZTRAD_FULL_Stat!$C:$C)+SUM(Summary!$C:$C)-SUMIFS(IT_AZTRAD_FULL_Stat!$C:$C,IT_AZTRAD_FULL_Stat!$A:$A,"BASE_NA*")</f>
        <v>467368</v>
      </c>
      <c r="J3" s="1">
        <f>SUM(IT_AZTRAD_FULL_Stat!$E:$E)+SUM(Summary!$E:$E)-SUMIFS(IT_AZTRAD_FULL_Stat!$E:$E,IT_AZTRAD_FULL_Stat!$A:$A,"BASE_NA*")</f>
        <v>95679515934153</v>
      </c>
      <c r="K3" s="1">
        <f>SUM(IT_AZTRAD_FULL_Stat!$D:$D)+SUM(Summary!$D:$D)-SUMIFS(IT_AZTRAD_FULL_Stat!$D:$D,IT_AZTRAD_FULL_Stat!$A:$A,"BASE_NA*")</f>
        <v>4308204442004.6465</v>
      </c>
      <c r="L3" s="1">
        <v>0</v>
      </c>
      <c r="M3" s="7">
        <f>E3-I3</f>
        <v>3402</v>
      </c>
      <c r="N3" s="7">
        <f>F3-J3</f>
        <v>3772969980932.7969</v>
      </c>
      <c r="O3" s="7">
        <f>G3-K3</f>
        <v>117057845167.03418</v>
      </c>
      <c r="P3" s="7">
        <f>H3-L3</f>
        <v>0</v>
      </c>
      <c r="Q3" s="52"/>
      <c r="R3" s="52"/>
      <c r="S3" s="52"/>
      <c r="T3" s="52"/>
    </row>
    <row r="4" spans="1:23">
      <c r="A4"/>
      <c r="D4" s="3" t="s">
        <v>1913</v>
      </c>
      <c r="E4" s="7">
        <f>SUM($E$11:$E$340)</f>
        <v>470516</v>
      </c>
      <c r="F4" s="7">
        <f>SUM($F$11:$F$340)</f>
        <v>99304959582785.797</v>
      </c>
      <c r="G4" s="7">
        <f>SUM($G$11:$G$340)</f>
        <v>4417943677171.6807</v>
      </c>
      <c r="H4" s="7">
        <f>SUM($H$11:$H$340)</f>
        <v>0</v>
      </c>
      <c r="I4" s="7">
        <f ca="1">SUM($I$11:$I$340)</f>
        <v>467114</v>
      </c>
      <c r="J4" s="7">
        <f ca="1">SUM($J$11:$J$340)</f>
        <v>95531989601853</v>
      </c>
      <c r="K4" s="7">
        <f ca="1">SUM($K$11:$K$340)</f>
        <v>4300885832004.647</v>
      </c>
      <c r="L4" s="7">
        <f>SUM($L$11:$L$340)</f>
        <v>0</v>
      </c>
      <c r="M4" s="7">
        <f ca="1">SUM(M11:M340)</f>
        <v>3402</v>
      </c>
      <c r="N4" s="11">
        <f ca="1">SUM(N11:N340)+SUM('[11]Summary by Group Raw Data'!$F$4:$F$12)</f>
        <v>3772969980932.7974</v>
      </c>
      <c r="O4" s="11">
        <f ca="1">SUM(O11:O340)-SUM('[12]Export Worksheet'!$K:$K)</f>
        <v>117057845167.03532</v>
      </c>
      <c r="P4" s="7">
        <f>SUM(P11:P340)</f>
        <v>0</v>
      </c>
      <c r="Q4" s="53"/>
      <c r="R4" s="53"/>
      <c r="S4" s="53"/>
      <c r="T4" s="53"/>
    </row>
    <row r="5" spans="1:23">
      <c r="A5"/>
      <c r="D5" s="3" t="s">
        <v>1914</v>
      </c>
      <c r="E5" s="54">
        <f>E3-E4</f>
        <v>254</v>
      </c>
      <c r="F5" s="54">
        <f t="shared" ref="F5:P5" si="0">F3-F4</f>
        <v>147526332300</v>
      </c>
      <c r="G5" s="54">
        <f t="shared" si="0"/>
        <v>7318610000</v>
      </c>
      <c r="H5" s="54">
        <f t="shared" si="0"/>
        <v>0</v>
      </c>
      <c r="I5" s="54">
        <f ca="1">I3-I4</f>
        <v>254</v>
      </c>
      <c r="J5" s="54">
        <f t="shared" ca="1" si="0"/>
        <v>147526332300</v>
      </c>
      <c r="K5" s="54">
        <f t="shared" ca="1" si="0"/>
        <v>7318609999.9995117</v>
      </c>
      <c r="L5" s="54">
        <f t="shared" si="0"/>
        <v>0</v>
      </c>
      <c r="M5" s="54">
        <f ca="1">M3-M4</f>
        <v>0</v>
      </c>
      <c r="N5" s="54">
        <f ca="1">N3-N4</f>
        <v>0</v>
      </c>
      <c r="O5" s="54">
        <f ca="1">O3-O4</f>
        <v>-1.1444091796875E-3</v>
      </c>
      <c r="P5" s="54">
        <f t="shared" si="0"/>
        <v>0</v>
      </c>
      <c r="Q5" s="53"/>
      <c r="R5" s="53"/>
      <c r="S5" s="53"/>
      <c r="T5" s="53"/>
      <c r="U5" t="s">
        <v>2537</v>
      </c>
    </row>
    <row r="6" spans="1:23" s="3" customFormat="1">
      <c r="D6" s="56" t="s">
        <v>2092</v>
      </c>
      <c r="E6" s="10">
        <f t="shared" ref="E6:L6" si="1">SUMIFS(E$11:E$837,$B$11:$B$837,"C*")+SUMIFS(E$11:E$837,$B$11:$B$837,"WPCI77")</f>
        <v>470516</v>
      </c>
      <c r="F6" s="10">
        <f t="shared" si="1"/>
        <v>99304959582785.797</v>
      </c>
      <c r="G6" s="10">
        <f t="shared" si="1"/>
        <v>4417943677171.6807</v>
      </c>
      <c r="H6" s="10">
        <f t="shared" si="1"/>
        <v>0</v>
      </c>
      <c r="I6" s="10">
        <f t="shared" ca="1" si="1"/>
        <v>467114</v>
      </c>
      <c r="J6" s="10">
        <f t="shared" ca="1" si="1"/>
        <v>95531989601853</v>
      </c>
      <c r="K6" s="10">
        <f t="shared" ca="1" si="1"/>
        <v>4300885832004.647</v>
      </c>
      <c r="L6" s="10">
        <f t="shared" si="1"/>
        <v>0</v>
      </c>
      <c r="M6" s="10">
        <f ca="1">SUM(M11:M837)</f>
        <v>3402</v>
      </c>
      <c r="N6" s="10">
        <f ca="1">SUM(N11:N837)</f>
        <v>1216282607609.9966</v>
      </c>
      <c r="O6" s="10">
        <f ca="1">SUM(O11:O837)</f>
        <v>117928246633.994</v>
      </c>
      <c r="P6" s="10">
        <f>SUM(P11:P837)</f>
        <v>0</v>
      </c>
      <c r="Q6" s="57">
        <f ca="1">SUM(M11:M837)/SUM(I11:I837)</f>
        <v>7.2830187063543375E-3</v>
      </c>
      <c r="R6" s="57">
        <f ca="1">SUM(N11:N837)/SUM(J11:J837)</f>
        <v>1.2731678809151534E-2</v>
      </c>
      <c r="S6" s="57">
        <f ca="1">SUM(O11:O837)/SUM(K11:K837)</f>
        <v>2.7419525009578675E-2</v>
      </c>
      <c r="T6" s="57">
        <f>IFERROR(SUM(P11:P837)/SUM(L11:L837),0)</f>
        <v>0</v>
      </c>
      <c r="U6" s="55" t="s">
        <v>2331</v>
      </c>
    </row>
    <row r="7" spans="1:23">
      <c r="A7"/>
      <c r="D7"/>
    </row>
    <row r="8" spans="1:23">
      <c r="A8"/>
      <c r="D8"/>
    </row>
    <row r="9" spans="1:23">
      <c r="A9" s="71" t="s">
        <v>1916</v>
      </c>
      <c r="B9" s="71" t="s">
        <v>1917</v>
      </c>
      <c r="C9" s="71" t="s">
        <v>1918</v>
      </c>
      <c r="D9" s="71" t="s">
        <v>459</v>
      </c>
      <c r="E9" s="72" t="s">
        <v>18</v>
      </c>
      <c r="F9" s="72"/>
      <c r="G9" s="72"/>
      <c r="H9" s="72"/>
      <c r="I9" s="74" t="s">
        <v>19</v>
      </c>
      <c r="J9" s="75"/>
      <c r="K9" s="75"/>
      <c r="L9" s="76"/>
      <c r="M9" s="74" t="s">
        <v>20</v>
      </c>
      <c r="N9" s="75"/>
      <c r="O9" s="75"/>
      <c r="P9" s="76"/>
      <c r="Q9" s="74" t="s">
        <v>21</v>
      </c>
      <c r="R9" s="75"/>
      <c r="S9" s="75"/>
      <c r="T9" s="76"/>
      <c r="U9" s="80" t="s">
        <v>22</v>
      </c>
    </row>
    <row r="10" spans="1:23">
      <c r="A10" s="78"/>
      <c r="B10" s="78"/>
      <c r="C10" s="78"/>
      <c r="D10" s="78"/>
      <c r="E10" s="51" t="s">
        <v>23</v>
      </c>
      <c r="F10" s="51" t="s">
        <v>24</v>
      </c>
      <c r="G10" s="51" t="s">
        <v>25</v>
      </c>
      <c r="H10" s="51" t="s">
        <v>26</v>
      </c>
      <c r="I10" s="51" t="s">
        <v>27</v>
      </c>
      <c r="J10" s="51" t="str">
        <f>F10</f>
        <v>sa_if_m</v>
      </c>
      <c r="K10" s="51" t="str">
        <f>G10</f>
        <v>anp_if_m</v>
      </c>
      <c r="L10" s="51" t="s">
        <v>26</v>
      </c>
      <c r="M10" s="51" t="s">
        <v>27</v>
      </c>
      <c r="N10" s="51" t="str">
        <f>J10</f>
        <v>sa_if_m</v>
      </c>
      <c r="O10" s="50" t="str">
        <f>K10</f>
        <v>anp_if_m</v>
      </c>
      <c r="P10" s="51" t="s">
        <v>26</v>
      </c>
      <c r="Q10" s="51" t="s">
        <v>27</v>
      </c>
      <c r="R10" s="51" t="str">
        <f>N10</f>
        <v>sa_if_m</v>
      </c>
      <c r="S10" s="50" t="str">
        <f>O10</f>
        <v>anp_if_m</v>
      </c>
      <c r="T10" s="51" t="s">
        <v>26</v>
      </c>
      <c r="U10" s="80"/>
    </row>
    <row r="11" spans="1:23">
      <c r="A11" s="58" t="str">
        <f ca="1">_xlfn.XLOOKUP(B11,[10]Sheet1!$D:$D,[10]Sheet1!$E:$E)</f>
        <v>Allianz Secure PASTI</v>
      </c>
      <c r="B11" t="str">
        <f>LEFT(C11,6)</f>
        <v>CEALSP</v>
      </c>
      <c r="C11" t="str">
        <f>VLOOKUP(D11,DV_AZTRAD_Stat!H:I,2,FALSE)</f>
        <v>CEALSP_IDR</v>
      </c>
      <c r="D11" s="59" t="s">
        <v>2093</v>
      </c>
      <c r="E11" s="1">
        <f>SUMIF(DV_AZTRAD_Stat!$H:$H,Summary_Checking_TRAD!$D11,DV_AZTRAD_Stat!$C:$C)</f>
        <v>179</v>
      </c>
      <c r="F11" s="1">
        <f>SUMIF(DV_AZTRAD_Stat!$H:$H,Summary_Checking_TRAD!$D11,DV_AZTRAD_Stat!$E:$E)</f>
        <v>69111000000</v>
      </c>
      <c r="G11" s="1">
        <f>SUMIF(DV_AZTRAD_Stat!$H:$H,Summary_Checking_TRAD!$D11,DV_AZTRAD_Stat!$D:$D)</f>
        <v>5353981630</v>
      </c>
      <c r="H11" s="1">
        <v>0</v>
      </c>
      <c r="I11" s="1">
        <f>SUMIF(IT_AZTRAD_FULL_Stat!$H:$H,Summary_Checking_TRAD!$D11,IT_AZTRAD_FULL_Stat!C:C)
+SUMIF(Summary!$H:$H,Summary_Checking_TRAD!$D11,Summary!C:C)</f>
        <v>179</v>
      </c>
      <c r="J11" s="1">
        <f>SUMIF(IT_AZTRAD_FULL_Stat!$H:$H,Summary_Checking_TRAD!$D11,IT_AZTRAD_FULL_Stat!E:E)
+SUMIF(Summary!$H:$H,Summary_Checking_TRAD!$D11,Summary!E:E)</f>
        <v>69111000000</v>
      </c>
      <c r="K11" s="1">
        <f>SUMIF(IT_AZTRAD_FULL_Stat!$H:$H,Summary_Checking_TRAD!$D11,IT_AZTRAD_FULL_Stat!D:D)
+SUMIF(Summary!$H:$H,Summary_Checking_TRAD!$D11,Summary!D:D)</f>
        <v>5353981630</v>
      </c>
      <c r="L11" s="1">
        <v>0</v>
      </c>
      <c r="M11" s="7">
        <f t="shared" ref="M11:P75" si="2">E11-I11</f>
        <v>0</v>
      </c>
      <c r="N11" s="7">
        <f t="shared" si="2"/>
        <v>0</v>
      </c>
      <c r="O11" s="7">
        <f t="shared" si="2"/>
        <v>0</v>
      </c>
      <c r="P11" s="7">
        <f>H11-L11</f>
        <v>0</v>
      </c>
      <c r="Q11" s="48">
        <f>IFERROR(M11/I11,0)</f>
        <v>0</v>
      </c>
      <c r="R11" s="48">
        <f t="shared" ref="R11:T26" si="3">IFERROR(N11/J11,0)</f>
        <v>0</v>
      </c>
      <c r="S11" s="48">
        <f t="shared" si="3"/>
        <v>0</v>
      </c>
      <c r="T11" s="48">
        <f t="shared" si="3"/>
        <v>0</v>
      </c>
      <c r="V11" s="48"/>
      <c r="W11" s="7" t="str">
        <f>RIGHT(D11,3)</f>
        <v>IDR</v>
      </c>
    </row>
    <row r="12" spans="1:23">
      <c r="A12" s="58" t="str">
        <f ca="1">_xlfn.XLOOKUP(B12,[10]Sheet1!$D:$D,[10]Sheet1!$E:$E)</f>
        <v>Berencana Aken</v>
      </c>
      <c r="B12" t="str">
        <f t="shared" ref="B12:B87" si="4">LEFT(C12,6)</f>
        <v>CEBEA_</v>
      </c>
      <c r="C12" t="str">
        <f>VLOOKUP(D12,DV_AZTRAD_Stat!H:I,2,FALSE)</f>
        <v>CEBEA__IDR</v>
      </c>
      <c r="D12" s="59" t="s">
        <v>2094</v>
      </c>
      <c r="E12" s="1">
        <f>SUMIF(DV_AZTRAD_Stat!$H:$H,Summary_Checking_TRAD!$D12,DV_AZTRAD_Stat!$C:$C)</f>
        <v>3353</v>
      </c>
      <c r="F12" s="1">
        <f>SUMIF(DV_AZTRAD_Stat!$H:$H,Summary_Checking_TRAD!$D12,DV_AZTRAD_Stat!$E:$E)</f>
        <v>16747600000</v>
      </c>
      <c r="G12" s="1">
        <f>SUMIF(DV_AZTRAD_Stat!$H:$H,Summary_Checking_TRAD!$D12,DV_AZTRAD_Stat!$D:$D)</f>
        <v>1586885620</v>
      </c>
      <c r="H12" s="1">
        <v>0</v>
      </c>
      <c r="I12" s="1">
        <f>SUMIF(IT_AZTRAD_FULL_Stat!$H:$H,Summary_Checking_TRAD!$D12,IT_AZTRAD_FULL_Stat!C:C)
+SUMIF(Summary!$H:$H,Summary_Checking_TRAD!$D12,Summary!C:C)</f>
        <v>3353</v>
      </c>
      <c r="J12" s="1">
        <f>SUMIF(IT_AZTRAD_FULL_Stat!$H:$H,Summary_Checking_TRAD!$D12,IT_AZTRAD_FULL_Stat!E:E)
+SUMIF(Summary!$H:$H,Summary_Checking_TRAD!$D12,Summary!E:E)</f>
        <v>16747600000</v>
      </c>
      <c r="K12" s="1">
        <f>SUMIF(IT_AZTRAD_FULL_Stat!$H:$H,Summary_Checking_TRAD!$D12,IT_AZTRAD_FULL_Stat!D:D)
+SUMIF(Summary!$H:$H,Summary_Checking_TRAD!$D12,Summary!D:D)</f>
        <v>1586885620</v>
      </c>
      <c r="L12" s="1">
        <v>0</v>
      </c>
      <c r="M12" s="7">
        <f t="shared" si="2"/>
        <v>0</v>
      </c>
      <c r="N12" s="7">
        <f t="shared" si="2"/>
        <v>0</v>
      </c>
      <c r="O12" s="7">
        <f t="shared" si="2"/>
        <v>0</v>
      </c>
      <c r="P12" s="7">
        <f t="shared" si="2"/>
        <v>0</v>
      </c>
      <c r="Q12" s="48">
        <f t="shared" ref="Q12:T87" si="5">IFERROR(M12/I12,0)</f>
        <v>0</v>
      </c>
      <c r="R12" s="48">
        <f t="shared" si="3"/>
        <v>0</v>
      </c>
      <c r="S12" s="48">
        <f t="shared" si="3"/>
        <v>0</v>
      </c>
      <c r="T12" s="48">
        <f t="shared" si="3"/>
        <v>0</v>
      </c>
      <c r="V12" s="48"/>
      <c r="W12" s="7" t="str">
        <f t="shared" ref="W12:W76" si="6">RIGHT(D12,3)</f>
        <v>IDR</v>
      </c>
    </row>
    <row r="13" spans="1:23">
      <c r="A13" s="58" t="str">
        <f ca="1">_xlfn.XLOOKUP(B13,[10]Sheet1!$D:$D,[10]Sheet1!$E:$E)</f>
        <v>Berencana Aken</v>
      </c>
      <c r="B13" t="str">
        <f t="shared" si="4"/>
        <v>CEBEA_</v>
      </c>
      <c r="C13" t="str">
        <f>VLOOKUP(D13,DV_AZTRAD_Stat!H:I,2,FALSE)</f>
        <v>CEBEA__USD</v>
      </c>
      <c r="D13" s="59" t="s">
        <v>2095</v>
      </c>
      <c r="E13" s="1">
        <f>SUMIF(DV_AZTRAD_Stat!$H:$H,Summary_Checking_TRAD!$D13,DV_AZTRAD_Stat!$C:$C)</f>
        <v>32</v>
      </c>
      <c r="F13" s="1">
        <f>SUMIF(DV_AZTRAD_Stat!$H:$H,Summary_Checking_TRAD!$D13,DV_AZTRAD_Stat!$E:$E)</f>
        <v>100100</v>
      </c>
      <c r="G13" s="1">
        <f>SUMIF(DV_AZTRAD_Stat!$H:$H,Summary_Checking_TRAD!$D13,DV_AZTRAD_Stat!$D:$D)</f>
        <v>18259.689999999999</v>
      </c>
      <c r="H13" s="1">
        <v>0</v>
      </c>
      <c r="I13" s="1">
        <f>SUMIF(IT_AZTRAD_FULL_Stat!$H:$H,Summary_Checking_TRAD!$D13,IT_AZTRAD_FULL_Stat!C:C)
+SUMIF(Summary!$H:$H,Summary_Checking_TRAD!$D13,Summary!C:C)</f>
        <v>32</v>
      </c>
      <c r="J13" s="1">
        <f>SUMIF(IT_AZTRAD_FULL_Stat!$H:$H,Summary_Checking_TRAD!$D13,IT_AZTRAD_FULL_Stat!E:E)
+SUMIF(Summary!$H:$H,Summary_Checking_TRAD!$D13,Summary!E:E)</f>
        <v>100100</v>
      </c>
      <c r="K13" s="1">
        <f>SUMIF(IT_AZTRAD_FULL_Stat!$H:$H,Summary_Checking_TRAD!$D13,IT_AZTRAD_FULL_Stat!D:D)
+SUMIF(Summary!$H:$H,Summary_Checking_TRAD!$D13,Summary!D:D)</f>
        <v>18259.689999999999</v>
      </c>
      <c r="L13" s="1">
        <v>0</v>
      </c>
      <c r="M13" s="7">
        <f t="shared" si="2"/>
        <v>0</v>
      </c>
      <c r="N13" s="7">
        <f t="shared" si="2"/>
        <v>0</v>
      </c>
      <c r="O13" s="7">
        <f t="shared" si="2"/>
        <v>0</v>
      </c>
      <c r="P13" s="7">
        <f t="shared" si="2"/>
        <v>0</v>
      </c>
      <c r="Q13" s="48">
        <f t="shared" si="5"/>
        <v>0</v>
      </c>
      <c r="R13" s="48">
        <f t="shared" si="3"/>
        <v>0</v>
      </c>
      <c r="S13" s="48">
        <f t="shared" si="3"/>
        <v>0</v>
      </c>
      <c r="T13" s="48">
        <f t="shared" si="3"/>
        <v>0</v>
      </c>
      <c r="V13" s="48"/>
      <c r="W13" s="7" t="str">
        <f t="shared" si="6"/>
        <v>USD</v>
      </c>
    </row>
    <row r="14" spans="1:23">
      <c r="A14" s="58" t="str">
        <f ca="1">_xlfn.XLOOKUP(B14,[10]Sheet1!$D:$D,[10]Sheet1!$E:$E)</f>
        <v>Beasiswa Aken</v>
      </c>
      <c r="B14" t="str">
        <f t="shared" si="4"/>
        <v>CEBSA_</v>
      </c>
      <c r="C14" t="str">
        <f>VLOOKUP(D14,DV_AZTRAD_Stat!H:I,2,FALSE)</f>
        <v>CEBSA__IDR</v>
      </c>
      <c r="D14" s="59" t="s">
        <v>2096</v>
      </c>
      <c r="E14" s="1">
        <f>SUMIF(DV_AZTRAD_Stat!$H:$H,Summary_Checking_TRAD!$D14,DV_AZTRAD_Stat!$C:$C)</f>
        <v>9916</v>
      </c>
      <c r="F14" s="1">
        <f>SUMIF(DV_AZTRAD_Stat!$H:$H,Summary_Checking_TRAD!$D14,DV_AZTRAD_Stat!$E:$E)</f>
        <v>40759850000</v>
      </c>
      <c r="G14" s="1">
        <f>SUMIF(DV_AZTRAD_Stat!$H:$H,Summary_Checking_TRAD!$D14,DV_AZTRAD_Stat!$D:$D)</f>
        <v>4277120293</v>
      </c>
      <c r="H14" s="1">
        <v>0</v>
      </c>
      <c r="I14" s="1">
        <f>SUMIF(IT_AZTRAD_FULL_Stat!$H:$H,Summary_Checking_TRAD!$D14,IT_AZTRAD_FULL_Stat!C:C)
+SUMIF(Summary!$H:$H,Summary_Checking_TRAD!$D14,Summary!C:C)</f>
        <v>9916</v>
      </c>
      <c r="J14" s="1">
        <f>SUMIF(IT_AZTRAD_FULL_Stat!$H:$H,Summary_Checking_TRAD!$D14,IT_AZTRAD_FULL_Stat!E:E)
+SUMIF(Summary!$H:$H,Summary_Checking_TRAD!$D14,Summary!E:E)</f>
        <v>40759850000</v>
      </c>
      <c r="K14" s="1">
        <f>SUMIF(IT_AZTRAD_FULL_Stat!$H:$H,Summary_Checking_TRAD!$D14,IT_AZTRAD_FULL_Stat!D:D)
+SUMIF(Summary!$H:$H,Summary_Checking_TRAD!$D14,Summary!D:D)</f>
        <v>4277120293</v>
      </c>
      <c r="L14" s="1">
        <v>0</v>
      </c>
      <c r="M14" s="7">
        <f>E14-I14</f>
        <v>0</v>
      </c>
      <c r="N14" s="7">
        <f t="shared" si="2"/>
        <v>0</v>
      </c>
      <c r="O14" s="7">
        <f t="shared" si="2"/>
        <v>0</v>
      </c>
      <c r="P14" s="7">
        <f t="shared" si="2"/>
        <v>0</v>
      </c>
      <c r="Q14" s="48">
        <f t="shared" si="5"/>
        <v>0</v>
      </c>
      <c r="R14" s="48">
        <f t="shared" si="3"/>
        <v>0</v>
      </c>
      <c r="S14" s="48">
        <f t="shared" si="3"/>
        <v>0</v>
      </c>
      <c r="T14" s="48">
        <f t="shared" si="3"/>
        <v>0</v>
      </c>
      <c r="V14" s="48"/>
      <c r="W14" s="7" t="str">
        <f t="shared" si="6"/>
        <v>IDR</v>
      </c>
    </row>
    <row r="15" spans="1:23">
      <c r="A15" s="58" t="str">
        <f ca="1">_xlfn.XLOOKUP(B15,[10]Sheet1!$D:$D,[10]Sheet1!$E:$E)</f>
        <v>Beasiswa Aken</v>
      </c>
      <c r="B15" t="str">
        <f t="shared" si="4"/>
        <v>CEBSA_</v>
      </c>
      <c r="C15" t="str">
        <f>VLOOKUP(D15,DV_AZTRAD_Stat!H:I,2,FALSE)</f>
        <v>CEBSA__USD</v>
      </c>
      <c r="D15" s="59" t="s">
        <v>2097</v>
      </c>
      <c r="E15" s="1">
        <f>SUMIF(DV_AZTRAD_Stat!$H:$H,Summary_Checking_TRAD!$D15,DV_AZTRAD_Stat!$C:$C)</f>
        <v>56</v>
      </c>
      <c r="F15" s="1">
        <f>SUMIF(DV_AZTRAD_Stat!$H:$H,Summary_Checking_TRAD!$D15,DV_AZTRAD_Stat!$E:$E)</f>
        <v>182600</v>
      </c>
      <c r="G15" s="1">
        <f>SUMIF(DV_AZTRAD_Stat!$H:$H,Summary_Checking_TRAD!$D15,DV_AZTRAD_Stat!$D:$D)</f>
        <v>29628.5</v>
      </c>
      <c r="H15" s="1">
        <v>0</v>
      </c>
      <c r="I15" s="1">
        <f>SUMIF(IT_AZTRAD_FULL_Stat!$H:$H,Summary_Checking_TRAD!$D15,IT_AZTRAD_FULL_Stat!C:C)
+SUMIF(Summary!$H:$H,Summary_Checking_TRAD!$D15,Summary!C:C)</f>
        <v>56</v>
      </c>
      <c r="J15" s="1">
        <f>SUMIF(IT_AZTRAD_FULL_Stat!$H:$H,Summary_Checking_TRAD!$D15,IT_AZTRAD_FULL_Stat!E:E)
+SUMIF(Summary!$H:$H,Summary_Checking_TRAD!$D15,Summary!E:E)</f>
        <v>182600</v>
      </c>
      <c r="K15" s="1">
        <f>SUMIF(IT_AZTRAD_FULL_Stat!$H:$H,Summary_Checking_TRAD!$D15,IT_AZTRAD_FULL_Stat!D:D)
+SUMIF(Summary!$H:$H,Summary_Checking_TRAD!$D15,Summary!D:D)</f>
        <v>29628.5</v>
      </c>
      <c r="L15" s="1">
        <v>0</v>
      </c>
      <c r="M15" s="7">
        <f t="shared" si="2"/>
        <v>0</v>
      </c>
      <c r="N15" s="7">
        <f t="shared" si="2"/>
        <v>0</v>
      </c>
      <c r="O15" s="7">
        <f t="shared" si="2"/>
        <v>0</v>
      </c>
      <c r="P15" s="7">
        <f t="shared" si="2"/>
        <v>0</v>
      </c>
      <c r="Q15" s="48">
        <f t="shared" si="5"/>
        <v>0</v>
      </c>
      <c r="R15" s="48">
        <f t="shared" si="3"/>
        <v>0</v>
      </c>
      <c r="S15" s="48">
        <f t="shared" si="3"/>
        <v>0</v>
      </c>
      <c r="T15" s="48">
        <f t="shared" si="3"/>
        <v>0</v>
      </c>
      <c r="V15" s="48"/>
      <c r="W15" s="7" t="str">
        <f t="shared" si="6"/>
        <v>USD</v>
      </c>
    </row>
    <row r="16" spans="1:23">
      <c r="A16" s="58" t="str">
        <f ca="1">_xlfn.XLOOKUP(B16,[10]Sheet1!$D:$D,[10]Sheet1!$E:$E)</f>
        <v>College Care</v>
      </c>
      <c r="B16" t="str">
        <f t="shared" si="4"/>
        <v>CECC__</v>
      </c>
      <c r="C16" t="str">
        <f>VLOOKUP(D16,DV_AZTRAD_Stat!H:I,2,FALSE)</f>
        <v>CECC___IDR</v>
      </c>
      <c r="D16" s="59" t="s">
        <v>2098</v>
      </c>
      <c r="E16" s="1">
        <f>SUMIF(DV_AZTRAD_Stat!$H:$H,Summary_Checking_TRAD!$D16,DV_AZTRAD_Stat!$C:$C)</f>
        <v>557</v>
      </c>
      <c r="F16" s="1">
        <f>SUMIF(DV_AZTRAD_Stat!$H:$H,Summary_Checking_TRAD!$D16,DV_AZTRAD_Stat!$E:$E)</f>
        <v>226435645226</v>
      </c>
      <c r="G16" s="1">
        <f>SUMIF(DV_AZTRAD_Stat!$H:$H,Summary_Checking_TRAD!$D16,DV_AZTRAD_Stat!$D:$D)</f>
        <v>69290135346</v>
      </c>
      <c r="H16" s="1">
        <v>0</v>
      </c>
      <c r="I16" s="1">
        <f>SUMIF(IT_AZTRAD_FULL_Stat!$H:$H,Summary_Checking_TRAD!$D16,IT_AZTRAD_FULL_Stat!C:C)
+SUMIF(Summary!$H:$H,Summary_Checking_TRAD!$D16,Summary!C:C)</f>
        <v>557</v>
      </c>
      <c r="J16" s="1">
        <f>SUMIF(IT_AZTRAD_FULL_Stat!$H:$H,Summary_Checking_TRAD!$D16,IT_AZTRAD_FULL_Stat!E:E)
+SUMIF(Summary!$H:$H,Summary_Checking_TRAD!$D16,Summary!E:E)</f>
        <v>226435645226</v>
      </c>
      <c r="K16" s="1">
        <f>SUMIF(IT_AZTRAD_FULL_Stat!$H:$H,Summary_Checking_TRAD!$D16,IT_AZTRAD_FULL_Stat!D:D)
+SUMIF(Summary!$H:$H,Summary_Checking_TRAD!$D16,Summary!D:D)</f>
        <v>69290135346</v>
      </c>
      <c r="L16" s="1">
        <v>0</v>
      </c>
      <c r="M16" s="7">
        <f t="shared" si="2"/>
        <v>0</v>
      </c>
      <c r="N16" s="7">
        <f t="shared" si="2"/>
        <v>0</v>
      </c>
      <c r="O16" s="7">
        <f t="shared" si="2"/>
        <v>0</v>
      </c>
      <c r="P16" s="7">
        <f t="shared" si="2"/>
        <v>0</v>
      </c>
      <c r="Q16" s="48">
        <f t="shared" si="5"/>
        <v>0</v>
      </c>
      <c r="R16" s="48">
        <f t="shared" si="3"/>
        <v>0</v>
      </c>
      <c r="S16" s="48">
        <f t="shared" si="3"/>
        <v>0</v>
      </c>
      <c r="T16" s="48">
        <f t="shared" si="3"/>
        <v>0</v>
      </c>
      <c r="V16" s="48"/>
      <c r="W16" s="7" t="str">
        <f t="shared" si="6"/>
        <v>IDR</v>
      </c>
    </row>
    <row r="17" spans="1:23">
      <c r="A17" s="58" t="str">
        <f ca="1">_xlfn.XLOOKUP(B17,[10]Sheet1!$D:$D,[10]Sheet1!$E:$E)</f>
        <v>Euro Cash Plan</v>
      </c>
      <c r="B17" t="str">
        <f t="shared" si="4"/>
        <v>CEECP_</v>
      </c>
      <c r="C17" t="str">
        <f>VLOOKUP(D17,DV_AZTRAD_Stat!H:I,2,FALSE)</f>
        <v>CEECP__IDR</v>
      </c>
      <c r="D17" s="59" t="s">
        <v>2099</v>
      </c>
      <c r="E17" s="1">
        <f>SUMIF(DV_AZTRAD_Stat!$H:$H,Summary_Checking_TRAD!$D17,DV_AZTRAD_Stat!$C:$C)</f>
        <v>3682</v>
      </c>
      <c r="F17" s="1">
        <f>SUMIF(DV_AZTRAD_Stat!$H:$H,Summary_Checking_TRAD!$D17,DV_AZTRAD_Stat!$E:$E)</f>
        <v>59142200000</v>
      </c>
      <c r="G17" s="1">
        <f>SUMIF(DV_AZTRAD_Stat!$H:$H,Summary_Checking_TRAD!$D17,DV_AZTRAD_Stat!$D:$D)</f>
        <v>7151513119</v>
      </c>
      <c r="H17" s="1">
        <v>0</v>
      </c>
      <c r="I17" s="1">
        <f>SUMIF(IT_AZTRAD_FULL_Stat!$H:$H,Summary_Checking_TRAD!$D17,IT_AZTRAD_FULL_Stat!C:C)
+SUMIF(Summary!$H:$H,Summary_Checking_TRAD!$D17,Summary!C:C)</f>
        <v>3682</v>
      </c>
      <c r="J17" s="1">
        <f>SUMIF(IT_AZTRAD_FULL_Stat!$H:$H,Summary_Checking_TRAD!$D17,IT_AZTRAD_FULL_Stat!E:E)
+SUMIF(Summary!$H:$H,Summary_Checking_TRAD!$D17,Summary!E:E)</f>
        <v>59142200000</v>
      </c>
      <c r="K17" s="1">
        <f>SUMIF(IT_AZTRAD_FULL_Stat!$H:$H,Summary_Checking_TRAD!$D17,IT_AZTRAD_FULL_Stat!D:D)
+SUMIF(Summary!$H:$H,Summary_Checking_TRAD!$D17,Summary!D:D)</f>
        <v>7151513119</v>
      </c>
      <c r="L17" s="1">
        <v>0</v>
      </c>
      <c r="M17" s="7">
        <f t="shared" si="2"/>
        <v>0</v>
      </c>
      <c r="N17" s="7">
        <f t="shared" si="2"/>
        <v>0</v>
      </c>
      <c r="O17" s="7">
        <f t="shared" si="2"/>
        <v>0</v>
      </c>
      <c r="P17" s="7">
        <f t="shared" si="2"/>
        <v>0</v>
      </c>
      <c r="Q17" s="48">
        <f t="shared" si="5"/>
        <v>0</v>
      </c>
      <c r="R17" s="48">
        <f t="shared" si="3"/>
        <v>0</v>
      </c>
      <c r="S17" s="48">
        <f t="shared" si="3"/>
        <v>0</v>
      </c>
      <c r="T17" s="48">
        <f t="shared" si="3"/>
        <v>0</v>
      </c>
      <c r="V17" s="48"/>
      <c r="W17" s="7" t="str">
        <f t="shared" si="6"/>
        <v>IDR</v>
      </c>
    </row>
    <row r="18" spans="1:23">
      <c r="A18" s="58" t="str">
        <f ca="1">_xlfn.XLOOKUP(B18,[10]Sheet1!$D:$D,[10]Sheet1!$E:$E)</f>
        <v>Euro Cash Plan</v>
      </c>
      <c r="B18" t="str">
        <f t="shared" si="4"/>
        <v>CEECP_</v>
      </c>
      <c r="C18" t="str">
        <f>VLOOKUP(D18,DV_AZTRAD_Stat!H:I,2,FALSE)</f>
        <v>CEECP__USD</v>
      </c>
      <c r="D18" s="59" t="s">
        <v>2100</v>
      </c>
      <c r="E18" s="1">
        <f>SUMIF(DV_AZTRAD_Stat!$H:$H,Summary_Checking_TRAD!$D18,DV_AZTRAD_Stat!$C:$C)</f>
        <v>84</v>
      </c>
      <c r="F18" s="1">
        <f>SUMIF(DV_AZTRAD_Stat!$H:$H,Summary_Checking_TRAD!$D18,DV_AZTRAD_Stat!$E:$E)</f>
        <v>868000</v>
      </c>
      <c r="G18" s="1">
        <f>SUMIF(DV_AZTRAD_Stat!$H:$H,Summary_Checking_TRAD!$D18,DV_AZTRAD_Stat!$D:$D)</f>
        <v>201031.5</v>
      </c>
      <c r="H18" s="1">
        <v>0</v>
      </c>
      <c r="I18" s="1">
        <f>SUMIF(IT_AZTRAD_FULL_Stat!$H:$H,Summary_Checking_TRAD!$D18,IT_AZTRAD_FULL_Stat!C:C)
+SUMIF(Summary!$H:$H,Summary_Checking_TRAD!$D18,Summary!C:C)</f>
        <v>84</v>
      </c>
      <c r="J18" s="1">
        <f>SUMIF(IT_AZTRAD_FULL_Stat!$H:$H,Summary_Checking_TRAD!$D18,IT_AZTRAD_FULL_Stat!E:E)
+SUMIF(Summary!$H:$H,Summary_Checking_TRAD!$D18,Summary!E:E)</f>
        <v>868000</v>
      </c>
      <c r="K18" s="1">
        <f>SUMIF(IT_AZTRAD_FULL_Stat!$H:$H,Summary_Checking_TRAD!$D18,IT_AZTRAD_FULL_Stat!D:D)
+SUMIF(Summary!$H:$H,Summary_Checking_TRAD!$D18,Summary!D:D)</f>
        <v>201031.5</v>
      </c>
      <c r="L18" s="1">
        <v>0</v>
      </c>
      <c r="M18" s="7">
        <f t="shared" si="2"/>
        <v>0</v>
      </c>
      <c r="N18" s="7">
        <f t="shared" si="2"/>
        <v>0</v>
      </c>
      <c r="O18" s="7">
        <f t="shared" si="2"/>
        <v>0</v>
      </c>
      <c r="P18" s="7">
        <f t="shared" si="2"/>
        <v>0</v>
      </c>
      <c r="Q18" s="48">
        <f t="shared" si="5"/>
        <v>0</v>
      </c>
      <c r="R18" s="48">
        <f t="shared" si="3"/>
        <v>0</v>
      </c>
      <c r="S18" s="48">
        <f t="shared" si="3"/>
        <v>0</v>
      </c>
      <c r="T18" s="48">
        <f t="shared" si="3"/>
        <v>0</v>
      </c>
      <c r="V18" s="48"/>
      <c r="W18" s="7" t="str">
        <f t="shared" si="6"/>
        <v>USD</v>
      </c>
    </row>
    <row r="19" spans="1:23">
      <c r="A19" s="58" t="str">
        <f ca="1">_xlfn.XLOOKUP(B19,[10]Sheet1!$D:$D,[10]Sheet1!$E:$E)</f>
        <v>Euro Education Plan</v>
      </c>
      <c r="B19" t="str">
        <f t="shared" si="4"/>
        <v>CEEDU_</v>
      </c>
      <c r="C19" t="str">
        <f>VLOOKUP(D19,DV_AZTRAD_Stat!H:I,2,FALSE)</f>
        <v>CEEDU__IDR</v>
      </c>
      <c r="D19" s="59" t="s">
        <v>2101</v>
      </c>
      <c r="E19" s="1">
        <f>SUMIF(DV_AZTRAD_Stat!$H:$H,Summary_Checking_TRAD!$D19,DV_AZTRAD_Stat!$C:$C)</f>
        <v>3</v>
      </c>
      <c r="F19" s="1">
        <f>SUMIF(DV_AZTRAD_Stat!$H:$H,Summary_Checking_TRAD!$D19,DV_AZTRAD_Stat!$E:$E)</f>
        <v>65000000</v>
      </c>
      <c r="G19" s="1">
        <f>SUMIF(DV_AZTRAD_Stat!$H:$H,Summary_Checking_TRAD!$D19,DV_AZTRAD_Stat!$D:$D)</f>
        <v>5811000</v>
      </c>
      <c r="H19" s="1">
        <v>0</v>
      </c>
      <c r="I19" s="1">
        <f>SUMIF(IT_AZTRAD_FULL_Stat!$H:$H,Summary_Checking_TRAD!$D19,IT_AZTRAD_FULL_Stat!C:C)
+SUMIF(Summary!$H:$H,Summary_Checking_TRAD!$D19,Summary!C:C)</f>
        <v>3</v>
      </c>
      <c r="J19" s="1">
        <f>SUMIF(IT_AZTRAD_FULL_Stat!$H:$H,Summary_Checking_TRAD!$D19,IT_AZTRAD_FULL_Stat!E:E)
+SUMIF(Summary!$H:$H,Summary_Checking_TRAD!$D19,Summary!E:E)</f>
        <v>65000000</v>
      </c>
      <c r="K19" s="1">
        <f>SUMIF(IT_AZTRAD_FULL_Stat!$H:$H,Summary_Checking_TRAD!$D19,IT_AZTRAD_FULL_Stat!D:D)
+SUMIF(Summary!$H:$H,Summary_Checking_TRAD!$D19,Summary!D:D)</f>
        <v>5811000</v>
      </c>
      <c r="L19" s="1">
        <v>0</v>
      </c>
      <c r="M19" s="7">
        <f t="shared" si="2"/>
        <v>0</v>
      </c>
      <c r="N19" s="7">
        <f t="shared" si="2"/>
        <v>0</v>
      </c>
      <c r="O19" s="7">
        <f t="shared" si="2"/>
        <v>0</v>
      </c>
      <c r="P19" s="7">
        <f t="shared" si="2"/>
        <v>0</v>
      </c>
      <c r="Q19" s="48">
        <f t="shared" si="5"/>
        <v>0</v>
      </c>
      <c r="R19" s="48">
        <f t="shared" si="3"/>
        <v>0</v>
      </c>
      <c r="S19" s="48">
        <f t="shared" si="3"/>
        <v>0</v>
      </c>
      <c r="T19" s="48">
        <f t="shared" si="3"/>
        <v>0</v>
      </c>
      <c r="V19" s="48"/>
      <c r="W19" s="7" t="str">
        <f t="shared" si="6"/>
        <v>IDR</v>
      </c>
    </row>
    <row r="20" spans="1:23">
      <c r="A20" s="58" t="e">
        <f ca="1">_xlfn.XLOOKUP(B20,[10]Sheet1!$D:$D,[10]Sheet1!$E:$E)</f>
        <v>#N/A</v>
      </c>
      <c r="B20" t="e">
        <f t="shared" si="4"/>
        <v>#N/A</v>
      </c>
      <c r="C20" t="e">
        <f>VLOOKUP(D20,DV_AZTRAD_Stat!H:I,2,FALSE)</f>
        <v>#N/A</v>
      </c>
      <c r="D20" s="59" t="s">
        <v>2102</v>
      </c>
      <c r="E20" s="1">
        <f>SUMIF(DV_AZTRAD_Stat!$H:$H,Summary_Checking_TRAD!$D20,DV_AZTRAD_Stat!$C:$C)</f>
        <v>0</v>
      </c>
      <c r="F20" s="1">
        <f>SUMIF(DV_AZTRAD_Stat!$H:$H,Summary_Checking_TRAD!$D20,DV_AZTRAD_Stat!$E:$E)</f>
        <v>0</v>
      </c>
      <c r="G20" s="1">
        <f>SUMIF(DV_AZTRAD_Stat!$H:$H,Summary_Checking_TRAD!$D20,DV_AZTRAD_Stat!$D:$D)</f>
        <v>0</v>
      </c>
      <c r="H20" s="1">
        <v>0</v>
      </c>
      <c r="I20" s="1">
        <f>SUMIF(IT_AZTRAD_FULL_Stat!$H:$H,Summary_Checking_TRAD!$D20,IT_AZTRAD_FULL_Stat!C:C)
+SUMIF(Summary!$H:$H,Summary_Checking_TRAD!$D20,Summary!C:C)</f>
        <v>0</v>
      </c>
      <c r="J20" s="1">
        <f>SUMIF(IT_AZTRAD_FULL_Stat!$H:$H,Summary_Checking_TRAD!$D20,IT_AZTRAD_FULL_Stat!E:E)
+SUMIF(Summary!$H:$H,Summary_Checking_TRAD!$D20,Summary!E:E)</f>
        <v>0</v>
      </c>
      <c r="K20" s="1">
        <f>SUMIF(IT_AZTRAD_FULL_Stat!$H:$H,Summary_Checking_TRAD!$D20,IT_AZTRAD_FULL_Stat!D:D)
+SUMIF(Summary!$H:$H,Summary_Checking_TRAD!$D20,Summary!D:D)</f>
        <v>0</v>
      </c>
      <c r="L20" s="1">
        <v>0</v>
      </c>
      <c r="M20" s="7">
        <f t="shared" si="2"/>
        <v>0</v>
      </c>
      <c r="N20" s="7">
        <f t="shared" si="2"/>
        <v>0</v>
      </c>
      <c r="O20" s="7">
        <f t="shared" si="2"/>
        <v>0</v>
      </c>
      <c r="P20" s="7">
        <f t="shared" si="2"/>
        <v>0</v>
      </c>
      <c r="Q20" s="48">
        <f t="shared" si="5"/>
        <v>0</v>
      </c>
      <c r="R20" s="48">
        <f t="shared" si="3"/>
        <v>0</v>
      </c>
      <c r="S20" s="48">
        <f t="shared" si="3"/>
        <v>0</v>
      </c>
      <c r="T20" s="48">
        <f t="shared" si="3"/>
        <v>0</v>
      </c>
      <c r="V20" s="48"/>
      <c r="W20" s="7" t="str">
        <f t="shared" si="6"/>
        <v>USD</v>
      </c>
    </row>
    <row r="21" spans="1:23">
      <c r="A21" s="58" t="str">
        <f ca="1">_xlfn.XLOOKUP(B21,[10]Sheet1!$D:$D,[10]Sheet1!$E:$E)</f>
        <v>Euro Endowment Plan</v>
      </c>
      <c r="B21" t="str">
        <f t="shared" si="4"/>
        <v>CEEEP_</v>
      </c>
      <c r="C21" t="str">
        <f>VLOOKUP(D21,DV_AZTRAD_Stat!H:I,2,FALSE)</f>
        <v>CEEEP__IDR</v>
      </c>
      <c r="D21" s="59" t="s">
        <v>2103</v>
      </c>
      <c r="E21" s="1">
        <f>SUMIF(DV_AZTRAD_Stat!$H:$H,Summary_Checking_TRAD!$D21,DV_AZTRAD_Stat!$C:$C)</f>
        <v>5</v>
      </c>
      <c r="F21" s="1">
        <f>SUMIF(DV_AZTRAD_Stat!$H:$H,Summary_Checking_TRAD!$D21,DV_AZTRAD_Stat!$E:$E)</f>
        <v>300000000</v>
      </c>
      <c r="G21" s="1">
        <f>SUMIF(DV_AZTRAD_Stat!$H:$H,Summary_Checking_TRAD!$D21,DV_AZTRAD_Stat!$D:$D)</f>
        <v>6508400</v>
      </c>
      <c r="H21" s="1">
        <v>0</v>
      </c>
      <c r="I21" s="1">
        <f>SUMIF(IT_AZTRAD_FULL_Stat!$H:$H,Summary_Checking_TRAD!$D21,IT_AZTRAD_FULL_Stat!C:C)
+SUMIF(Summary!$H:$H,Summary_Checking_TRAD!$D21,Summary!C:C)</f>
        <v>5</v>
      </c>
      <c r="J21" s="1">
        <f>SUMIF(IT_AZTRAD_FULL_Stat!$H:$H,Summary_Checking_TRAD!$D21,IT_AZTRAD_FULL_Stat!E:E)
+SUMIF(Summary!$H:$H,Summary_Checking_TRAD!$D21,Summary!E:E)</f>
        <v>300000000</v>
      </c>
      <c r="K21" s="1">
        <f>SUMIF(IT_AZTRAD_FULL_Stat!$H:$H,Summary_Checking_TRAD!$D21,IT_AZTRAD_FULL_Stat!D:D)
+SUMIF(Summary!$H:$H,Summary_Checking_TRAD!$D21,Summary!D:D)</f>
        <v>6508400</v>
      </c>
      <c r="L21" s="1">
        <v>0</v>
      </c>
      <c r="M21" s="7">
        <f t="shared" si="2"/>
        <v>0</v>
      </c>
      <c r="N21" s="7">
        <f t="shared" si="2"/>
        <v>0</v>
      </c>
      <c r="O21" s="7">
        <f t="shared" si="2"/>
        <v>0</v>
      </c>
      <c r="P21" s="7">
        <f t="shared" si="2"/>
        <v>0</v>
      </c>
      <c r="Q21" s="48">
        <f t="shared" si="5"/>
        <v>0</v>
      </c>
      <c r="R21" s="48">
        <f t="shared" si="3"/>
        <v>0</v>
      </c>
      <c r="S21" s="48">
        <f t="shared" si="3"/>
        <v>0</v>
      </c>
      <c r="T21" s="48">
        <f t="shared" si="3"/>
        <v>0</v>
      </c>
      <c r="V21" s="48"/>
      <c r="W21" s="7" t="str">
        <f t="shared" si="6"/>
        <v>IDR</v>
      </c>
    </row>
    <row r="22" spans="1:23">
      <c r="A22" s="58" t="str">
        <f ca="1">_xlfn.XLOOKUP(B22,[10]Sheet1!$D:$D,[10]Sheet1!$E:$E)</f>
        <v>Euro Family Plan</v>
      </c>
      <c r="B22" t="str">
        <f t="shared" si="4"/>
        <v>CEEFP_</v>
      </c>
      <c r="C22" t="str">
        <f>VLOOKUP(D22,DV_AZTRAD_Stat!H:I,2,FALSE)</f>
        <v>CEEFP__IDR</v>
      </c>
      <c r="D22" s="59" t="s">
        <v>2104</v>
      </c>
      <c r="E22" s="1">
        <f>SUMIF(DV_AZTRAD_Stat!$H:$H,Summary_Checking_TRAD!$D22,DV_AZTRAD_Stat!$C:$C)</f>
        <v>5436</v>
      </c>
      <c r="F22" s="1">
        <f>SUMIF(DV_AZTRAD_Stat!$H:$H,Summary_Checking_TRAD!$D22,DV_AZTRAD_Stat!$E:$E)</f>
        <v>121961300000</v>
      </c>
      <c r="G22" s="1">
        <f>SUMIF(DV_AZTRAD_Stat!$H:$H,Summary_Checking_TRAD!$D22,DV_AZTRAD_Stat!$D:$D)</f>
        <v>17451001969</v>
      </c>
      <c r="H22" s="1">
        <v>0</v>
      </c>
      <c r="I22" s="1">
        <f>SUMIF(IT_AZTRAD_FULL_Stat!$H:$H,Summary_Checking_TRAD!$D22,IT_AZTRAD_FULL_Stat!C:C)
+SUMIF(Summary!$H:$H,Summary_Checking_TRAD!$D22,Summary!C:C)</f>
        <v>5436</v>
      </c>
      <c r="J22" s="1">
        <f>SUMIF(IT_AZTRAD_FULL_Stat!$H:$H,Summary_Checking_TRAD!$D22,IT_AZTRAD_FULL_Stat!E:E)
+SUMIF(Summary!$H:$H,Summary_Checking_TRAD!$D22,Summary!E:E)</f>
        <v>121961300000</v>
      </c>
      <c r="K22" s="1">
        <f>SUMIF(IT_AZTRAD_FULL_Stat!$H:$H,Summary_Checking_TRAD!$D22,IT_AZTRAD_FULL_Stat!D:D)
+SUMIF(Summary!$H:$H,Summary_Checking_TRAD!$D22,Summary!D:D)</f>
        <v>17451001969</v>
      </c>
      <c r="L22" s="1">
        <v>0</v>
      </c>
      <c r="M22" s="7">
        <f t="shared" si="2"/>
        <v>0</v>
      </c>
      <c r="N22" s="7">
        <f t="shared" si="2"/>
        <v>0</v>
      </c>
      <c r="O22" s="7">
        <f t="shared" si="2"/>
        <v>0</v>
      </c>
      <c r="P22" s="7">
        <f t="shared" si="2"/>
        <v>0</v>
      </c>
      <c r="Q22" s="48">
        <f t="shared" si="5"/>
        <v>0</v>
      </c>
      <c r="R22" s="48">
        <f t="shared" si="3"/>
        <v>0</v>
      </c>
      <c r="S22" s="48">
        <f t="shared" si="3"/>
        <v>0</v>
      </c>
      <c r="T22" s="48">
        <f t="shared" si="3"/>
        <v>0</v>
      </c>
      <c r="V22" s="48"/>
      <c r="W22" s="7" t="str">
        <f t="shared" si="6"/>
        <v>IDR</v>
      </c>
    </row>
    <row r="23" spans="1:23">
      <c r="A23" s="58" t="str">
        <f ca="1">_xlfn.XLOOKUP(B23,[10]Sheet1!$D:$D,[10]Sheet1!$E:$E)</f>
        <v>Euro Family Plan</v>
      </c>
      <c r="B23" t="str">
        <f t="shared" si="4"/>
        <v>CEEFP_</v>
      </c>
      <c r="C23" t="str">
        <f>VLOOKUP(D23,DV_AZTRAD_Stat!H:I,2,FALSE)</f>
        <v>CEEFP__USD</v>
      </c>
      <c r="D23" s="59" t="s">
        <v>2105</v>
      </c>
      <c r="E23" s="1">
        <f>SUMIF(DV_AZTRAD_Stat!$H:$H,Summary_Checking_TRAD!$D23,DV_AZTRAD_Stat!$C:$C)</f>
        <v>221</v>
      </c>
      <c r="F23" s="1">
        <f>SUMIF(DV_AZTRAD_Stat!$H:$H,Summary_Checking_TRAD!$D23,DV_AZTRAD_Stat!$E:$E)</f>
        <v>2805120</v>
      </c>
      <c r="G23" s="1">
        <f>SUMIF(DV_AZTRAD_Stat!$H:$H,Summary_Checking_TRAD!$D23,DV_AZTRAD_Stat!$D:$D)</f>
        <v>580760.56000000006</v>
      </c>
      <c r="H23" s="1">
        <v>0</v>
      </c>
      <c r="I23" s="1">
        <f>SUMIF(IT_AZTRAD_FULL_Stat!$H:$H,Summary_Checking_TRAD!$D23,IT_AZTRAD_FULL_Stat!C:C)
+SUMIF(Summary!$H:$H,Summary_Checking_TRAD!$D23,Summary!C:C)</f>
        <v>221</v>
      </c>
      <c r="J23" s="1">
        <f>SUMIF(IT_AZTRAD_FULL_Stat!$H:$H,Summary_Checking_TRAD!$D23,IT_AZTRAD_FULL_Stat!E:E)
+SUMIF(Summary!$H:$H,Summary_Checking_TRAD!$D23,Summary!E:E)</f>
        <v>2805120</v>
      </c>
      <c r="K23" s="1">
        <f>SUMIF(IT_AZTRAD_FULL_Stat!$H:$H,Summary_Checking_TRAD!$D23,IT_AZTRAD_FULL_Stat!D:D)
+SUMIF(Summary!$H:$H,Summary_Checking_TRAD!$D23,Summary!D:D)</f>
        <v>580760.56000000006</v>
      </c>
      <c r="L23" s="1">
        <v>0</v>
      </c>
      <c r="M23" s="7">
        <f t="shared" si="2"/>
        <v>0</v>
      </c>
      <c r="N23" s="7">
        <f t="shared" si="2"/>
        <v>0</v>
      </c>
      <c r="O23" s="7">
        <f t="shared" si="2"/>
        <v>0</v>
      </c>
      <c r="P23" s="7">
        <f t="shared" si="2"/>
        <v>0</v>
      </c>
      <c r="Q23" s="48">
        <f t="shared" si="5"/>
        <v>0</v>
      </c>
      <c r="R23" s="48">
        <f t="shared" si="3"/>
        <v>0</v>
      </c>
      <c r="S23" s="48">
        <f t="shared" si="3"/>
        <v>0</v>
      </c>
      <c r="T23" s="48">
        <f t="shared" si="3"/>
        <v>0</v>
      </c>
      <c r="V23" s="48"/>
      <c r="W23" s="7" t="str">
        <f t="shared" si="6"/>
        <v>USD</v>
      </c>
    </row>
    <row r="24" spans="1:23">
      <c r="A24" s="58" t="str">
        <f ca="1">_xlfn.XLOOKUP(B24,[10]Sheet1!$D:$D,[10]Sheet1!$E:$E)</f>
        <v>Euro Scholarship Plan</v>
      </c>
      <c r="B24" t="str">
        <f t="shared" si="4"/>
        <v>CEESP_</v>
      </c>
      <c r="C24" t="str">
        <f>VLOOKUP(D24,DV_AZTRAD_Stat!H:I,2,FALSE)</f>
        <v>CEESP__IDR</v>
      </c>
      <c r="D24" s="59" t="s">
        <v>2106</v>
      </c>
      <c r="E24" s="1">
        <f>SUMIF(DV_AZTRAD_Stat!$H:$H,Summary_Checking_TRAD!$D24,DV_AZTRAD_Stat!$C:$C)</f>
        <v>10865</v>
      </c>
      <c r="F24" s="1">
        <f>SUMIF(DV_AZTRAD_Stat!$H:$H,Summary_Checking_TRAD!$D24,DV_AZTRAD_Stat!$E:$E)</f>
        <v>141294900000</v>
      </c>
      <c r="G24" s="1">
        <f>SUMIF(DV_AZTRAD_Stat!$H:$H,Summary_Checking_TRAD!$D24,DV_AZTRAD_Stat!$D:$D)</f>
        <v>16842154769</v>
      </c>
      <c r="H24" s="1">
        <v>0</v>
      </c>
      <c r="I24" s="1">
        <f>SUMIF(IT_AZTRAD_FULL_Stat!$H:$H,Summary_Checking_TRAD!$D24,IT_AZTRAD_FULL_Stat!C:C)
+SUMIF(Summary!$H:$H,Summary_Checking_TRAD!$D24,Summary!C:C)</f>
        <v>10865</v>
      </c>
      <c r="J24" s="1">
        <f>SUMIF(IT_AZTRAD_FULL_Stat!$H:$H,Summary_Checking_TRAD!$D24,IT_AZTRAD_FULL_Stat!E:E)
+SUMIF(Summary!$H:$H,Summary_Checking_TRAD!$D24,Summary!E:E)</f>
        <v>141294900000</v>
      </c>
      <c r="K24" s="1">
        <f>SUMIF(IT_AZTRAD_FULL_Stat!$H:$H,Summary_Checking_TRAD!$D24,IT_AZTRAD_FULL_Stat!D:D)
+SUMIF(Summary!$H:$H,Summary_Checking_TRAD!$D24,Summary!D:D)</f>
        <v>16842154769</v>
      </c>
      <c r="L24" s="1">
        <v>0</v>
      </c>
      <c r="M24" s="7">
        <f t="shared" si="2"/>
        <v>0</v>
      </c>
      <c r="N24" s="7">
        <f t="shared" si="2"/>
        <v>0</v>
      </c>
      <c r="O24" s="7">
        <f t="shared" si="2"/>
        <v>0</v>
      </c>
      <c r="P24" s="7">
        <f t="shared" si="2"/>
        <v>0</v>
      </c>
      <c r="Q24" s="48">
        <f t="shared" si="5"/>
        <v>0</v>
      </c>
      <c r="R24" s="48">
        <f t="shared" si="3"/>
        <v>0</v>
      </c>
      <c r="S24" s="48">
        <f t="shared" si="3"/>
        <v>0</v>
      </c>
      <c r="T24" s="48">
        <f t="shared" si="3"/>
        <v>0</v>
      </c>
      <c r="V24" s="48"/>
      <c r="W24" s="7" t="str">
        <f t="shared" si="6"/>
        <v>IDR</v>
      </c>
    </row>
    <row r="25" spans="1:23">
      <c r="A25" s="58" t="str">
        <f ca="1">_xlfn.XLOOKUP(B25,[10]Sheet1!$D:$D,[10]Sheet1!$E:$E)</f>
        <v>Euro Scholarship Plan</v>
      </c>
      <c r="B25" t="str">
        <f t="shared" si="4"/>
        <v>CEESP_</v>
      </c>
      <c r="C25" t="str">
        <f>VLOOKUP(D25,DV_AZTRAD_Stat!H:I,2,FALSE)</f>
        <v>CEESP__USD</v>
      </c>
      <c r="D25" s="59" t="s">
        <v>2107</v>
      </c>
      <c r="E25" s="1">
        <f>SUMIF(DV_AZTRAD_Stat!$H:$H,Summary_Checking_TRAD!$D25,DV_AZTRAD_Stat!$C:$C)</f>
        <v>117</v>
      </c>
      <c r="F25" s="1">
        <f>SUMIF(DV_AZTRAD_Stat!$H:$H,Summary_Checking_TRAD!$D25,DV_AZTRAD_Stat!$E:$E)</f>
        <v>789800</v>
      </c>
      <c r="G25" s="1">
        <f>SUMIF(DV_AZTRAD_Stat!$H:$H,Summary_Checking_TRAD!$D25,DV_AZTRAD_Stat!$D:$D)</f>
        <v>138926.24</v>
      </c>
      <c r="H25" s="1">
        <v>0</v>
      </c>
      <c r="I25" s="1">
        <f>SUMIF(IT_AZTRAD_FULL_Stat!$H:$H,Summary_Checking_TRAD!$D25,IT_AZTRAD_FULL_Stat!C:C)
+SUMIF(Summary!$H:$H,Summary_Checking_TRAD!$D25,Summary!C:C)</f>
        <v>117</v>
      </c>
      <c r="J25" s="1">
        <f>SUMIF(IT_AZTRAD_FULL_Stat!$H:$H,Summary_Checking_TRAD!$D25,IT_AZTRAD_FULL_Stat!E:E)
+SUMIF(Summary!$H:$H,Summary_Checking_TRAD!$D25,Summary!E:E)</f>
        <v>789800</v>
      </c>
      <c r="K25" s="1">
        <f>SUMIF(IT_AZTRAD_FULL_Stat!$H:$H,Summary_Checking_TRAD!$D25,IT_AZTRAD_FULL_Stat!D:D)
+SUMIF(Summary!$H:$H,Summary_Checking_TRAD!$D25,Summary!D:D)</f>
        <v>138926.24</v>
      </c>
      <c r="L25" s="1">
        <v>0</v>
      </c>
      <c r="M25" s="7">
        <f t="shared" si="2"/>
        <v>0</v>
      </c>
      <c r="N25" s="7">
        <f t="shared" si="2"/>
        <v>0</v>
      </c>
      <c r="O25" s="7">
        <f t="shared" si="2"/>
        <v>0</v>
      </c>
      <c r="P25" s="7">
        <f t="shared" si="2"/>
        <v>0</v>
      </c>
      <c r="Q25" s="48">
        <f t="shared" si="5"/>
        <v>0</v>
      </c>
      <c r="R25" s="48">
        <f t="shared" si="3"/>
        <v>0</v>
      </c>
      <c r="S25" s="48">
        <f t="shared" si="3"/>
        <v>0</v>
      </c>
      <c r="T25" s="48">
        <f t="shared" si="3"/>
        <v>0</v>
      </c>
      <c r="V25" s="48"/>
      <c r="W25" s="7" t="str">
        <f t="shared" si="6"/>
        <v>USD</v>
      </c>
    </row>
    <row r="26" spans="1:23">
      <c r="A26" s="58" t="str">
        <f ca="1">_xlfn.XLOOKUP(B26,[10]Sheet1!$D:$D,[10]Sheet1!$E:$E)</f>
        <v>Euro University Plan</v>
      </c>
      <c r="B26" t="str">
        <f t="shared" si="4"/>
        <v>CEEUP_</v>
      </c>
      <c r="C26" t="str">
        <f>VLOOKUP(D26,DV_AZTRAD_Stat!H:I,2,FALSE)</f>
        <v>CEEUP__IDR</v>
      </c>
      <c r="D26" s="59" t="s">
        <v>2108</v>
      </c>
      <c r="E26" s="1">
        <f>SUMIF(DV_AZTRAD_Stat!$H:$H,Summary_Checking_TRAD!$D26,DV_AZTRAD_Stat!$C:$C)</f>
        <v>2736</v>
      </c>
      <c r="F26" s="1">
        <f>SUMIF(DV_AZTRAD_Stat!$H:$H,Summary_Checking_TRAD!$D26,DV_AZTRAD_Stat!$E:$E)</f>
        <v>46944200000</v>
      </c>
      <c r="G26" s="1">
        <f>SUMIF(DV_AZTRAD_Stat!$H:$H,Summary_Checking_TRAD!$D26,DV_AZTRAD_Stat!$D:$D)</f>
        <v>8466689687</v>
      </c>
      <c r="H26" s="1">
        <v>0</v>
      </c>
      <c r="I26" s="1">
        <f>SUMIF(IT_AZTRAD_FULL_Stat!$H:$H,Summary_Checking_TRAD!$D26,IT_AZTRAD_FULL_Stat!C:C)
+SUMIF(Summary!$H:$H,Summary_Checking_TRAD!$D26,Summary!C:C)</f>
        <v>2736</v>
      </c>
      <c r="J26" s="1">
        <f>SUMIF(IT_AZTRAD_FULL_Stat!$H:$H,Summary_Checking_TRAD!$D26,IT_AZTRAD_FULL_Stat!E:E)
+SUMIF(Summary!$H:$H,Summary_Checking_TRAD!$D26,Summary!E:E)</f>
        <v>46944200000</v>
      </c>
      <c r="K26" s="1">
        <f>SUMIF(IT_AZTRAD_FULL_Stat!$H:$H,Summary_Checking_TRAD!$D26,IT_AZTRAD_FULL_Stat!D:D)
+SUMIF(Summary!$H:$H,Summary_Checking_TRAD!$D26,Summary!D:D)</f>
        <v>8466689687</v>
      </c>
      <c r="L26" s="1">
        <v>0</v>
      </c>
      <c r="M26" s="7">
        <f t="shared" si="2"/>
        <v>0</v>
      </c>
      <c r="N26" s="7">
        <f t="shared" si="2"/>
        <v>0</v>
      </c>
      <c r="O26" s="7">
        <f t="shared" si="2"/>
        <v>0</v>
      </c>
      <c r="P26" s="7">
        <f t="shared" si="2"/>
        <v>0</v>
      </c>
      <c r="Q26" s="48">
        <f t="shared" si="5"/>
        <v>0</v>
      </c>
      <c r="R26" s="48">
        <f t="shared" si="3"/>
        <v>0</v>
      </c>
      <c r="S26" s="48">
        <f t="shared" si="3"/>
        <v>0</v>
      </c>
      <c r="T26" s="48">
        <f t="shared" si="3"/>
        <v>0</v>
      </c>
      <c r="V26" s="48"/>
      <c r="W26" s="7" t="str">
        <f t="shared" si="6"/>
        <v>IDR</v>
      </c>
    </row>
    <row r="27" spans="1:23">
      <c r="A27" s="58" t="str">
        <f ca="1">_xlfn.XLOOKUP(B27,[10]Sheet1!$D:$D,[10]Sheet1!$E:$E)</f>
        <v>Euro University Plan</v>
      </c>
      <c r="B27" t="str">
        <f t="shared" si="4"/>
        <v>CEEUP_</v>
      </c>
      <c r="C27" t="str">
        <f>VLOOKUP(D27,DV_AZTRAD_Stat!H:I,2,FALSE)</f>
        <v>CEEUP__USD</v>
      </c>
      <c r="D27" s="59" t="s">
        <v>2109</v>
      </c>
      <c r="E27" s="1">
        <f>SUMIF(DV_AZTRAD_Stat!$H:$H,Summary_Checking_TRAD!$D27,DV_AZTRAD_Stat!$C:$C)</f>
        <v>96</v>
      </c>
      <c r="F27" s="1">
        <f>SUMIF(DV_AZTRAD_Stat!$H:$H,Summary_Checking_TRAD!$D27,DV_AZTRAD_Stat!$E:$E)</f>
        <v>782800</v>
      </c>
      <c r="G27" s="1">
        <f>SUMIF(DV_AZTRAD_Stat!$H:$H,Summary_Checking_TRAD!$D27,DV_AZTRAD_Stat!$D:$D)</f>
        <v>209310.34</v>
      </c>
      <c r="H27" s="1">
        <v>0</v>
      </c>
      <c r="I27" s="1">
        <f>SUMIF(IT_AZTRAD_FULL_Stat!$H:$H,Summary_Checking_TRAD!$D27,IT_AZTRAD_FULL_Stat!C:C)
+SUMIF(Summary!$H:$H,Summary_Checking_TRAD!$D27,Summary!C:C)</f>
        <v>96</v>
      </c>
      <c r="J27" s="1">
        <f>SUMIF(IT_AZTRAD_FULL_Stat!$H:$H,Summary_Checking_TRAD!$D27,IT_AZTRAD_FULL_Stat!E:E)
+SUMIF(Summary!$H:$H,Summary_Checking_TRAD!$D27,Summary!E:E)</f>
        <v>782800</v>
      </c>
      <c r="K27" s="1">
        <f>SUMIF(IT_AZTRAD_FULL_Stat!$H:$H,Summary_Checking_TRAD!$D27,IT_AZTRAD_FULL_Stat!D:D)
+SUMIF(Summary!$H:$H,Summary_Checking_TRAD!$D27,Summary!D:D)</f>
        <v>209310.34</v>
      </c>
      <c r="L27" s="1">
        <v>0</v>
      </c>
      <c r="M27" s="7">
        <f t="shared" si="2"/>
        <v>0</v>
      </c>
      <c r="N27" s="7">
        <f t="shared" si="2"/>
        <v>0</v>
      </c>
      <c r="O27" s="7">
        <f t="shared" si="2"/>
        <v>0</v>
      </c>
      <c r="P27" s="7">
        <f t="shared" si="2"/>
        <v>0</v>
      </c>
      <c r="Q27" s="48">
        <f t="shared" si="5"/>
        <v>0</v>
      </c>
      <c r="R27" s="48">
        <f t="shared" si="5"/>
        <v>0</v>
      </c>
      <c r="S27" s="48">
        <f t="shared" si="5"/>
        <v>0</v>
      </c>
      <c r="T27" s="48">
        <f t="shared" si="5"/>
        <v>0</v>
      </c>
      <c r="V27" s="48"/>
      <c r="W27" s="7" t="str">
        <f t="shared" si="6"/>
        <v>USD</v>
      </c>
    </row>
    <row r="28" spans="1:23">
      <c r="A28" s="58" t="str">
        <f ca="1">_xlfn.XLOOKUP(B28,[10]Sheet1!$D:$D,[10]Sheet1!$E:$E)</f>
        <v>Future Care</v>
      </c>
      <c r="B28" t="str">
        <f t="shared" si="4"/>
        <v>CEFC50</v>
      </c>
      <c r="C28" t="str">
        <f>VLOOKUP(D28,DV_AZTRAD_Stat!H:I,2,FALSE)</f>
        <v>CEFC50_IDR</v>
      </c>
      <c r="D28" s="59" t="s">
        <v>2110</v>
      </c>
      <c r="E28" s="1">
        <f>SUMIF(DV_AZTRAD_Stat!$H:$H,Summary_Checking_TRAD!$D28,DV_AZTRAD_Stat!$C:$C)</f>
        <v>159</v>
      </c>
      <c r="F28" s="1">
        <f>SUMIF(DV_AZTRAD_Stat!$H:$H,Summary_Checking_TRAD!$D28,DV_AZTRAD_Stat!$E:$E)</f>
        <v>120203000000</v>
      </c>
      <c r="G28" s="1">
        <f>SUMIF(DV_AZTRAD_Stat!$H:$H,Summary_Checking_TRAD!$D28,DV_AZTRAD_Stat!$D:$D)</f>
        <v>20741131990</v>
      </c>
      <c r="H28" s="1">
        <v>0</v>
      </c>
      <c r="I28" s="1">
        <f>SUMIF(IT_AZTRAD_FULL_Stat!$H:$H,Summary_Checking_TRAD!$D28,IT_AZTRAD_FULL_Stat!C:C)
+SUMIF(Summary!$H:$H,Summary_Checking_TRAD!$D28,Summary!C:C)</f>
        <v>159</v>
      </c>
      <c r="J28" s="1">
        <f>SUMIF(IT_AZTRAD_FULL_Stat!$H:$H,Summary_Checking_TRAD!$D28,IT_AZTRAD_FULL_Stat!E:E)
+SUMIF(Summary!$H:$H,Summary_Checking_TRAD!$D28,Summary!E:E)</f>
        <v>120203000000</v>
      </c>
      <c r="K28" s="1">
        <f>SUMIF(IT_AZTRAD_FULL_Stat!$H:$H,Summary_Checking_TRAD!$D28,IT_AZTRAD_FULL_Stat!D:D)
+SUMIF(Summary!$H:$H,Summary_Checking_TRAD!$D28,Summary!D:D)</f>
        <v>20741131990</v>
      </c>
      <c r="L28" s="1">
        <v>0</v>
      </c>
      <c r="M28" s="7">
        <f t="shared" si="2"/>
        <v>0</v>
      </c>
      <c r="N28" s="7">
        <f t="shared" si="2"/>
        <v>0</v>
      </c>
      <c r="O28" s="7">
        <f t="shared" si="2"/>
        <v>0</v>
      </c>
      <c r="P28" s="7">
        <f t="shared" si="2"/>
        <v>0</v>
      </c>
      <c r="Q28" s="48">
        <f t="shared" si="5"/>
        <v>0</v>
      </c>
      <c r="R28" s="48">
        <f t="shared" si="5"/>
        <v>0</v>
      </c>
      <c r="S28" s="48">
        <f t="shared" si="5"/>
        <v>0</v>
      </c>
      <c r="T28" s="48">
        <f t="shared" si="5"/>
        <v>0</v>
      </c>
      <c r="V28" s="48"/>
      <c r="W28" s="7" t="str">
        <f t="shared" si="6"/>
        <v>IDR</v>
      </c>
    </row>
    <row r="29" spans="1:23">
      <c r="A29" s="58" t="str">
        <f ca="1">_xlfn.XLOOKUP(B29,[10]Sheet1!$D:$D,[10]Sheet1!$E:$E)</f>
        <v>Future Care</v>
      </c>
      <c r="B29" t="str">
        <f t="shared" si="4"/>
        <v>CEFC55</v>
      </c>
      <c r="C29" t="str">
        <f>VLOOKUP(D29,DV_AZTRAD_Stat!H:I,2,FALSE)</f>
        <v>CEFC55_IDR</v>
      </c>
      <c r="D29" s="59" t="s">
        <v>2111</v>
      </c>
      <c r="E29" s="1">
        <f>SUMIF(DV_AZTRAD_Stat!$H:$H,Summary_Checking_TRAD!$D29,DV_AZTRAD_Stat!$C:$C)</f>
        <v>69</v>
      </c>
      <c r="F29" s="1">
        <f>SUMIF(DV_AZTRAD_Stat!$H:$H,Summary_Checking_TRAD!$D29,DV_AZTRAD_Stat!$E:$E)</f>
        <v>40213500000</v>
      </c>
      <c r="G29" s="1">
        <f>SUMIF(DV_AZTRAD_Stat!$H:$H,Summary_Checking_TRAD!$D29,DV_AZTRAD_Stat!$D:$D)</f>
        <v>8667702535</v>
      </c>
      <c r="H29" s="1">
        <v>0</v>
      </c>
      <c r="I29" s="1">
        <f>SUMIF(IT_AZTRAD_FULL_Stat!$H:$H,Summary_Checking_TRAD!$D29,IT_AZTRAD_FULL_Stat!C:C)
+SUMIF(Summary!$H:$H,Summary_Checking_TRAD!$D29,Summary!C:C)</f>
        <v>69</v>
      </c>
      <c r="J29" s="1">
        <f>SUMIF(IT_AZTRAD_FULL_Stat!$H:$H,Summary_Checking_TRAD!$D29,IT_AZTRAD_FULL_Stat!E:E)
+SUMIF(Summary!$H:$H,Summary_Checking_TRAD!$D29,Summary!E:E)</f>
        <v>40213500000</v>
      </c>
      <c r="K29" s="1">
        <f>SUMIF(IT_AZTRAD_FULL_Stat!$H:$H,Summary_Checking_TRAD!$D29,IT_AZTRAD_FULL_Stat!D:D)
+SUMIF(Summary!$H:$H,Summary_Checking_TRAD!$D29,Summary!D:D)</f>
        <v>8667702535</v>
      </c>
      <c r="L29" s="1">
        <v>0</v>
      </c>
      <c r="M29" s="7">
        <f t="shared" si="2"/>
        <v>0</v>
      </c>
      <c r="N29" s="7">
        <f t="shared" si="2"/>
        <v>0</v>
      </c>
      <c r="O29" s="7">
        <f t="shared" si="2"/>
        <v>0</v>
      </c>
      <c r="P29" s="7">
        <f t="shared" si="2"/>
        <v>0</v>
      </c>
      <c r="Q29" s="48">
        <f t="shared" si="5"/>
        <v>0</v>
      </c>
      <c r="R29" s="48">
        <f t="shared" si="5"/>
        <v>0</v>
      </c>
      <c r="S29" s="48">
        <f t="shared" si="5"/>
        <v>0</v>
      </c>
      <c r="T29" s="48">
        <f t="shared" si="5"/>
        <v>0</v>
      </c>
      <c r="V29" s="48"/>
      <c r="W29" s="7" t="str">
        <f t="shared" si="6"/>
        <v>IDR</v>
      </c>
    </row>
    <row r="30" spans="1:23">
      <c r="A30" s="58" t="str">
        <f ca="1">_xlfn.XLOOKUP(B30,[10]Sheet1!$D:$D,[10]Sheet1!$E:$E)</f>
        <v>Future Care</v>
      </c>
      <c r="B30" t="str">
        <f t="shared" si="4"/>
        <v>CEFC60</v>
      </c>
      <c r="C30" t="str">
        <f>VLOOKUP(D30,DV_AZTRAD_Stat!H:I,2,FALSE)</f>
        <v>CEFC60_IDR</v>
      </c>
      <c r="D30" s="59" t="s">
        <v>2112</v>
      </c>
      <c r="E30" s="1">
        <f>SUMIF(DV_AZTRAD_Stat!$H:$H,Summary_Checking_TRAD!$D30,DV_AZTRAD_Stat!$C:$C)</f>
        <v>58</v>
      </c>
      <c r="F30" s="1">
        <f>SUMIF(DV_AZTRAD_Stat!$H:$H,Summary_Checking_TRAD!$D30,DV_AZTRAD_Stat!$E:$E)</f>
        <v>41259000000</v>
      </c>
      <c r="G30" s="1">
        <f>SUMIF(DV_AZTRAD_Stat!$H:$H,Summary_Checking_TRAD!$D30,DV_AZTRAD_Stat!$D:$D)</f>
        <v>6916514658</v>
      </c>
      <c r="H30" s="1">
        <v>0</v>
      </c>
      <c r="I30" s="1">
        <f>SUMIF(IT_AZTRAD_FULL_Stat!$H:$H,Summary_Checking_TRAD!$D30,IT_AZTRAD_FULL_Stat!C:C)
+SUMIF(Summary!$H:$H,Summary_Checking_TRAD!$D30,Summary!C:C)</f>
        <v>58</v>
      </c>
      <c r="J30" s="1">
        <f>SUMIF(IT_AZTRAD_FULL_Stat!$H:$H,Summary_Checking_TRAD!$D30,IT_AZTRAD_FULL_Stat!E:E)
+SUMIF(Summary!$H:$H,Summary_Checking_TRAD!$D30,Summary!E:E)</f>
        <v>41259000000</v>
      </c>
      <c r="K30" s="1">
        <f>SUMIF(IT_AZTRAD_FULL_Stat!$H:$H,Summary_Checking_TRAD!$D30,IT_AZTRAD_FULL_Stat!D:D)
+SUMIF(Summary!$H:$H,Summary_Checking_TRAD!$D30,Summary!D:D)</f>
        <v>6916514658</v>
      </c>
      <c r="L30" s="1">
        <v>0</v>
      </c>
      <c r="M30" s="7">
        <f t="shared" si="2"/>
        <v>0</v>
      </c>
      <c r="N30" s="7">
        <f t="shared" si="2"/>
        <v>0</v>
      </c>
      <c r="O30" s="7">
        <f t="shared" si="2"/>
        <v>0</v>
      </c>
      <c r="P30" s="7">
        <f t="shared" si="2"/>
        <v>0</v>
      </c>
      <c r="Q30" s="48">
        <f t="shared" si="5"/>
        <v>0</v>
      </c>
      <c r="R30" s="48">
        <f t="shared" si="5"/>
        <v>0</v>
      </c>
      <c r="S30" s="48">
        <f t="shared" si="5"/>
        <v>0</v>
      </c>
      <c r="T30" s="48">
        <f t="shared" si="5"/>
        <v>0</v>
      </c>
      <c r="V30" s="48"/>
      <c r="W30" s="7" t="str">
        <f t="shared" si="6"/>
        <v>IDR</v>
      </c>
    </row>
    <row r="31" spans="1:23">
      <c r="A31" s="58" t="str">
        <f ca="1">_xlfn.XLOOKUP(B31,[10]Sheet1!$D:$D,[10]Sheet1!$E:$E)</f>
        <v>First Life Pasti</v>
      </c>
      <c r="B31" t="str">
        <f t="shared" si="4"/>
        <v>CEFPST</v>
      </c>
      <c r="C31" t="str">
        <f>VLOOKUP(D31,DV_AZTRAD_Stat!H:I,2,FALSE)</f>
        <v>CEFPST_IDR</v>
      </c>
      <c r="D31" s="59" t="s">
        <v>2113</v>
      </c>
      <c r="E31" s="1">
        <f>SUMIF(DV_AZTRAD_Stat!$H:$H,Summary_Checking_TRAD!$D31,DV_AZTRAD_Stat!$C:$C)</f>
        <v>40</v>
      </c>
      <c r="F31" s="1">
        <f>SUMIF(DV_AZTRAD_Stat!$H:$H,Summary_Checking_TRAD!$D31,DV_AZTRAD_Stat!$E:$E)</f>
        <v>16435306375</v>
      </c>
      <c r="G31" s="1">
        <f>SUMIF(DV_AZTRAD_Stat!$H:$H,Summary_Checking_TRAD!$D31,DV_AZTRAD_Stat!$D:$D)</f>
        <v>1635309760</v>
      </c>
      <c r="H31" s="1">
        <v>0</v>
      </c>
      <c r="I31" s="1">
        <f>SUMIF(IT_AZTRAD_FULL_Stat!$H:$H,Summary_Checking_TRAD!$D31,IT_AZTRAD_FULL_Stat!C:C)
+SUMIF(Summary!$H:$H,Summary_Checking_TRAD!$D31,Summary!C:C)</f>
        <v>40</v>
      </c>
      <c r="J31" s="1">
        <f>SUMIF(IT_AZTRAD_FULL_Stat!$H:$H,Summary_Checking_TRAD!$D31,IT_AZTRAD_FULL_Stat!E:E)
+SUMIF(Summary!$H:$H,Summary_Checking_TRAD!$D31,Summary!E:E)</f>
        <v>16435306375</v>
      </c>
      <c r="K31" s="1">
        <f>SUMIF(IT_AZTRAD_FULL_Stat!$H:$H,Summary_Checking_TRAD!$D31,IT_AZTRAD_FULL_Stat!D:D)
+SUMIF(Summary!$H:$H,Summary_Checking_TRAD!$D31,Summary!D:D)</f>
        <v>1635309760</v>
      </c>
      <c r="L31" s="1">
        <v>0</v>
      </c>
      <c r="M31" s="7">
        <f t="shared" si="2"/>
        <v>0</v>
      </c>
      <c r="N31" s="7">
        <f t="shared" si="2"/>
        <v>0</v>
      </c>
      <c r="O31" s="7">
        <f t="shared" si="2"/>
        <v>0</v>
      </c>
      <c r="P31" s="7">
        <f t="shared" si="2"/>
        <v>0</v>
      </c>
      <c r="Q31" s="48">
        <f t="shared" si="5"/>
        <v>0</v>
      </c>
      <c r="R31" s="48">
        <f t="shared" si="5"/>
        <v>0</v>
      </c>
      <c r="S31" s="48">
        <f t="shared" si="5"/>
        <v>0</v>
      </c>
      <c r="T31" s="48">
        <f t="shared" si="5"/>
        <v>0</v>
      </c>
      <c r="V31" s="48"/>
      <c r="W31" s="7" t="str">
        <f t="shared" si="6"/>
        <v>IDR</v>
      </c>
    </row>
    <row r="32" spans="1:23">
      <c r="A32" s="58" t="str">
        <f ca="1">_xlfn.XLOOKUP(B32,[10]Sheet1!$D:$D,[10]Sheet1!$E:$E)</f>
        <v>Smart Future</v>
      </c>
      <c r="B32" t="str">
        <f t="shared" si="4"/>
        <v>CEFR50</v>
      </c>
      <c r="C32" t="str">
        <f>VLOOKUP(D32,DV_AZTRAD_Stat!H:I,2,FALSE)</f>
        <v>CEFR50_IDR</v>
      </c>
      <c r="D32" s="59" t="s">
        <v>2114</v>
      </c>
      <c r="E32" s="1">
        <f>SUMIF(DV_AZTRAD_Stat!$H:$H,Summary_Checking_TRAD!$D32,DV_AZTRAD_Stat!$C:$C)</f>
        <v>1361</v>
      </c>
      <c r="F32" s="1">
        <f>SUMIF(DV_AZTRAD_Stat!$H:$H,Summary_Checking_TRAD!$D32,DV_AZTRAD_Stat!$E:$E)</f>
        <v>55454125000</v>
      </c>
      <c r="G32" s="1">
        <f>SUMIF(DV_AZTRAD_Stat!$H:$H,Summary_Checking_TRAD!$D32,DV_AZTRAD_Stat!$D:$D)</f>
        <v>5832637458</v>
      </c>
      <c r="H32" s="1">
        <v>0</v>
      </c>
      <c r="I32" s="1">
        <f>SUMIF(IT_AZTRAD_FULL_Stat!$H:$H,Summary_Checking_TRAD!$D32,IT_AZTRAD_FULL_Stat!C:C)
+SUMIF(Summary!$H:$H,Summary_Checking_TRAD!$D32,Summary!C:C)</f>
        <v>1361</v>
      </c>
      <c r="J32" s="1">
        <f>SUMIF(IT_AZTRAD_FULL_Stat!$H:$H,Summary_Checking_TRAD!$D32,IT_AZTRAD_FULL_Stat!E:E)
+SUMIF(Summary!$H:$H,Summary_Checking_TRAD!$D32,Summary!E:E)</f>
        <v>55454125000</v>
      </c>
      <c r="K32" s="1">
        <f>SUMIF(IT_AZTRAD_FULL_Stat!$H:$H,Summary_Checking_TRAD!$D32,IT_AZTRAD_FULL_Stat!D:D)
+SUMIF(Summary!$H:$H,Summary_Checking_TRAD!$D32,Summary!D:D)</f>
        <v>5832637458</v>
      </c>
      <c r="L32" s="1">
        <v>0</v>
      </c>
      <c r="M32" s="7">
        <f t="shared" si="2"/>
        <v>0</v>
      </c>
      <c r="N32" s="7">
        <f t="shared" si="2"/>
        <v>0</v>
      </c>
      <c r="O32" s="7">
        <f t="shared" si="2"/>
        <v>0</v>
      </c>
      <c r="P32" s="7">
        <f t="shared" si="2"/>
        <v>0</v>
      </c>
      <c r="Q32" s="48">
        <f t="shared" si="5"/>
        <v>0</v>
      </c>
      <c r="R32" s="48">
        <f t="shared" si="5"/>
        <v>0</v>
      </c>
      <c r="S32" s="48">
        <f t="shared" si="5"/>
        <v>0</v>
      </c>
      <c r="T32" s="48">
        <f t="shared" si="5"/>
        <v>0</v>
      </c>
      <c r="V32" s="48"/>
      <c r="W32" s="7" t="str">
        <f t="shared" si="6"/>
        <v>IDR</v>
      </c>
    </row>
    <row r="33" spans="1:23">
      <c r="A33" s="58" t="str">
        <f ca="1">_xlfn.XLOOKUP(B33,[10]Sheet1!$D:$D,[10]Sheet1!$E:$E)</f>
        <v>Smart Future</v>
      </c>
      <c r="B33" t="str">
        <f t="shared" si="4"/>
        <v>CEFR50</v>
      </c>
      <c r="C33" t="str">
        <f>VLOOKUP(D33,DV_AZTRAD_Stat!H:I,2,FALSE)</f>
        <v>CEFR50_USD</v>
      </c>
      <c r="D33" s="59" t="s">
        <v>2115</v>
      </c>
      <c r="E33" s="1">
        <f>SUMIF(DV_AZTRAD_Stat!$H:$H,Summary_Checking_TRAD!$D33,DV_AZTRAD_Stat!$C:$C)</f>
        <v>77</v>
      </c>
      <c r="F33" s="1">
        <f>SUMIF(DV_AZTRAD_Stat!$H:$H,Summary_Checking_TRAD!$D33,DV_AZTRAD_Stat!$E:$E)</f>
        <v>571600</v>
      </c>
      <c r="G33" s="1">
        <f>SUMIF(DV_AZTRAD_Stat!$H:$H,Summary_Checking_TRAD!$D33,DV_AZTRAD_Stat!$D:$D)</f>
        <v>194187.9</v>
      </c>
      <c r="H33" s="1">
        <v>0</v>
      </c>
      <c r="I33" s="1">
        <f>SUMIF(IT_AZTRAD_FULL_Stat!$H:$H,Summary_Checking_TRAD!$D33,IT_AZTRAD_FULL_Stat!C:C)
+SUMIF(Summary!$H:$H,Summary_Checking_TRAD!$D33,Summary!C:C)</f>
        <v>77</v>
      </c>
      <c r="J33" s="1">
        <f>SUMIF(IT_AZTRAD_FULL_Stat!$H:$H,Summary_Checking_TRAD!$D33,IT_AZTRAD_FULL_Stat!E:E)
+SUMIF(Summary!$H:$H,Summary_Checking_TRAD!$D33,Summary!E:E)</f>
        <v>571600</v>
      </c>
      <c r="K33" s="1">
        <f>SUMIF(IT_AZTRAD_FULL_Stat!$H:$H,Summary_Checking_TRAD!$D33,IT_AZTRAD_FULL_Stat!D:D)
+SUMIF(Summary!$H:$H,Summary_Checking_TRAD!$D33,Summary!D:D)</f>
        <v>194187.9</v>
      </c>
      <c r="L33" s="1">
        <v>0</v>
      </c>
      <c r="M33" s="7">
        <f t="shared" si="2"/>
        <v>0</v>
      </c>
      <c r="N33" s="7">
        <f t="shared" si="2"/>
        <v>0</v>
      </c>
      <c r="O33" s="7">
        <f t="shared" si="2"/>
        <v>0</v>
      </c>
      <c r="P33" s="7">
        <f t="shared" si="2"/>
        <v>0</v>
      </c>
      <c r="Q33" s="48">
        <f t="shared" si="5"/>
        <v>0</v>
      </c>
      <c r="R33" s="48">
        <f t="shared" si="5"/>
        <v>0</v>
      </c>
      <c r="S33" s="48">
        <f t="shared" si="5"/>
        <v>0</v>
      </c>
      <c r="T33" s="48">
        <f t="shared" si="5"/>
        <v>0</v>
      </c>
      <c r="V33" s="48"/>
      <c r="W33" s="7" t="str">
        <f t="shared" si="6"/>
        <v>USD</v>
      </c>
    </row>
    <row r="34" spans="1:23">
      <c r="A34" s="58" t="str">
        <f ca="1">_xlfn.XLOOKUP(B34,[10]Sheet1!$D:$D,[10]Sheet1!$E:$E)</f>
        <v>Smart Future</v>
      </c>
      <c r="B34" t="str">
        <f t="shared" si="4"/>
        <v>CEFR55</v>
      </c>
      <c r="C34" t="str">
        <f>VLOOKUP(D34,DV_AZTRAD_Stat!H:I,2,FALSE)</f>
        <v>CEFR55_IDR</v>
      </c>
      <c r="D34" s="59" t="s">
        <v>2116</v>
      </c>
      <c r="E34" s="1">
        <f>SUMIF(DV_AZTRAD_Stat!$H:$H,Summary_Checking_TRAD!$D34,DV_AZTRAD_Stat!$C:$C)</f>
        <v>530</v>
      </c>
      <c r="F34" s="1">
        <f>SUMIF(DV_AZTRAD_Stat!$H:$H,Summary_Checking_TRAD!$D34,DV_AZTRAD_Stat!$E:$E)</f>
        <v>21524500000</v>
      </c>
      <c r="G34" s="1">
        <f>SUMIF(DV_AZTRAD_Stat!$H:$H,Summary_Checking_TRAD!$D34,DV_AZTRAD_Stat!$D:$D)</f>
        <v>2701797335</v>
      </c>
      <c r="H34" s="1">
        <v>0</v>
      </c>
      <c r="I34" s="1">
        <f>SUMIF(IT_AZTRAD_FULL_Stat!$H:$H,Summary_Checking_TRAD!$D34,IT_AZTRAD_FULL_Stat!C:C)
+SUMIF(Summary!$H:$H,Summary_Checking_TRAD!$D34,Summary!C:C)</f>
        <v>530</v>
      </c>
      <c r="J34" s="1">
        <f>SUMIF(IT_AZTRAD_FULL_Stat!$H:$H,Summary_Checking_TRAD!$D34,IT_AZTRAD_FULL_Stat!E:E)
+SUMIF(Summary!$H:$H,Summary_Checking_TRAD!$D34,Summary!E:E)</f>
        <v>21524500000</v>
      </c>
      <c r="K34" s="1">
        <f>SUMIF(IT_AZTRAD_FULL_Stat!$H:$H,Summary_Checking_TRAD!$D34,IT_AZTRAD_FULL_Stat!D:D)
+SUMIF(Summary!$H:$H,Summary_Checking_TRAD!$D34,Summary!D:D)</f>
        <v>2701797335</v>
      </c>
      <c r="L34" s="1">
        <v>0</v>
      </c>
      <c r="M34" s="7">
        <f t="shared" si="2"/>
        <v>0</v>
      </c>
      <c r="N34" s="7">
        <f t="shared" si="2"/>
        <v>0</v>
      </c>
      <c r="O34" s="7">
        <f t="shared" si="2"/>
        <v>0</v>
      </c>
      <c r="P34" s="7">
        <f t="shared" si="2"/>
        <v>0</v>
      </c>
      <c r="Q34" s="48">
        <f t="shared" si="5"/>
        <v>0</v>
      </c>
      <c r="R34" s="48">
        <f t="shared" si="5"/>
        <v>0</v>
      </c>
      <c r="S34" s="48">
        <f t="shared" si="5"/>
        <v>0</v>
      </c>
      <c r="T34" s="48">
        <f t="shared" si="5"/>
        <v>0</v>
      </c>
      <c r="V34" s="48"/>
      <c r="W34" s="7" t="str">
        <f t="shared" si="6"/>
        <v>IDR</v>
      </c>
    </row>
    <row r="35" spans="1:23">
      <c r="A35" s="58" t="str">
        <f ca="1">_xlfn.XLOOKUP(B35,[10]Sheet1!$D:$D,[10]Sheet1!$E:$E)</f>
        <v>Smart Future</v>
      </c>
      <c r="B35" t="str">
        <f t="shared" si="4"/>
        <v>CEFR55</v>
      </c>
      <c r="C35" t="str">
        <f>VLOOKUP(D35,DV_AZTRAD_Stat!H:I,2,FALSE)</f>
        <v>CEFR55_USD</v>
      </c>
      <c r="D35" s="59" t="s">
        <v>2117</v>
      </c>
      <c r="E35" s="1">
        <f>SUMIF(DV_AZTRAD_Stat!$H:$H,Summary_Checking_TRAD!$D35,DV_AZTRAD_Stat!$C:$C)</f>
        <v>27</v>
      </c>
      <c r="F35" s="1">
        <f>SUMIF(DV_AZTRAD_Stat!$H:$H,Summary_Checking_TRAD!$D35,DV_AZTRAD_Stat!$E:$E)</f>
        <v>298700</v>
      </c>
      <c r="G35" s="1">
        <f>SUMIF(DV_AZTRAD_Stat!$H:$H,Summary_Checking_TRAD!$D35,DV_AZTRAD_Stat!$D:$D)</f>
        <v>84415.16</v>
      </c>
      <c r="H35" s="1">
        <v>0</v>
      </c>
      <c r="I35" s="1">
        <f>SUMIF(IT_AZTRAD_FULL_Stat!$H:$H,Summary_Checking_TRAD!$D35,IT_AZTRAD_FULL_Stat!C:C)
+SUMIF(Summary!$H:$H,Summary_Checking_TRAD!$D35,Summary!C:C)</f>
        <v>27</v>
      </c>
      <c r="J35" s="1">
        <f>SUMIF(IT_AZTRAD_FULL_Stat!$H:$H,Summary_Checking_TRAD!$D35,IT_AZTRAD_FULL_Stat!E:E)
+SUMIF(Summary!$H:$H,Summary_Checking_TRAD!$D35,Summary!E:E)</f>
        <v>298700</v>
      </c>
      <c r="K35" s="1">
        <f>SUMIF(IT_AZTRAD_FULL_Stat!$H:$H,Summary_Checking_TRAD!$D35,IT_AZTRAD_FULL_Stat!D:D)
+SUMIF(Summary!$H:$H,Summary_Checking_TRAD!$D35,Summary!D:D)</f>
        <v>84415.16</v>
      </c>
      <c r="L35" s="1">
        <v>0</v>
      </c>
      <c r="M35" s="7">
        <f t="shared" si="2"/>
        <v>0</v>
      </c>
      <c r="N35" s="7">
        <f t="shared" si="2"/>
        <v>0</v>
      </c>
      <c r="O35" s="7">
        <f t="shared" si="2"/>
        <v>0</v>
      </c>
      <c r="P35" s="7">
        <f t="shared" si="2"/>
        <v>0</v>
      </c>
      <c r="Q35" s="48">
        <f t="shared" si="5"/>
        <v>0</v>
      </c>
      <c r="R35" s="48">
        <f t="shared" si="5"/>
        <v>0</v>
      </c>
      <c r="S35" s="48">
        <f t="shared" si="5"/>
        <v>0</v>
      </c>
      <c r="T35" s="48">
        <f t="shared" si="5"/>
        <v>0</v>
      </c>
      <c r="V35" s="48"/>
      <c r="W35" s="7" t="str">
        <f t="shared" si="6"/>
        <v>USD</v>
      </c>
    </row>
    <row r="36" spans="1:23">
      <c r="A36" s="58" t="str">
        <f ca="1">_xlfn.XLOOKUP(B36,[10]Sheet1!$D:$D,[10]Sheet1!$E:$E)</f>
        <v>Smart Future</v>
      </c>
      <c r="B36" t="str">
        <f t="shared" si="4"/>
        <v>CEFR60</v>
      </c>
      <c r="C36" t="str">
        <f>VLOOKUP(D36,DV_AZTRAD_Stat!H:I,2,FALSE)</f>
        <v>CEFR60_IDR</v>
      </c>
      <c r="D36" s="59" t="s">
        <v>2118</v>
      </c>
      <c r="E36" s="1">
        <f>SUMIF(DV_AZTRAD_Stat!$H:$H,Summary_Checking_TRAD!$D36,DV_AZTRAD_Stat!$C:$C)</f>
        <v>89</v>
      </c>
      <c r="F36" s="1">
        <f>SUMIF(DV_AZTRAD_Stat!$H:$H,Summary_Checking_TRAD!$D36,DV_AZTRAD_Stat!$E:$E)</f>
        <v>3438200000</v>
      </c>
      <c r="G36" s="1">
        <f>SUMIF(DV_AZTRAD_Stat!$H:$H,Summary_Checking_TRAD!$D36,DV_AZTRAD_Stat!$D:$D)</f>
        <v>423754256</v>
      </c>
      <c r="H36" s="1">
        <v>0</v>
      </c>
      <c r="I36" s="1">
        <f>SUMIF(IT_AZTRAD_FULL_Stat!$H:$H,Summary_Checking_TRAD!$D36,IT_AZTRAD_FULL_Stat!C:C)
+SUMIF(Summary!$H:$H,Summary_Checking_TRAD!$D36,Summary!C:C)</f>
        <v>89</v>
      </c>
      <c r="J36" s="1">
        <f>SUMIF(IT_AZTRAD_FULL_Stat!$H:$H,Summary_Checking_TRAD!$D36,IT_AZTRAD_FULL_Stat!E:E)
+SUMIF(Summary!$H:$H,Summary_Checking_TRAD!$D36,Summary!E:E)</f>
        <v>3438200000</v>
      </c>
      <c r="K36" s="1">
        <f>SUMIF(IT_AZTRAD_FULL_Stat!$H:$H,Summary_Checking_TRAD!$D36,IT_AZTRAD_FULL_Stat!D:D)
+SUMIF(Summary!$H:$H,Summary_Checking_TRAD!$D36,Summary!D:D)</f>
        <v>423754256</v>
      </c>
      <c r="L36" s="1">
        <v>0</v>
      </c>
      <c r="M36" s="7">
        <f t="shared" si="2"/>
        <v>0</v>
      </c>
      <c r="N36" s="7">
        <f t="shared" si="2"/>
        <v>0</v>
      </c>
      <c r="O36" s="7">
        <f t="shared" si="2"/>
        <v>0</v>
      </c>
      <c r="P36" s="7">
        <f t="shared" si="2"/>
        <v>0</v>
      </c>
      <c r="Q36" s="48">
        <f t="shared" si="5"/>
        <v>0</v>
      </c>
      <c r="R36" s="48">
        <f t="shared" si="5"/>
        <v>0</v>
      </c>
      <c r="S36" s="48">
        <f t="shared" si="5"/>
        <v>0</v>
      </c>
      <c r="T36" s="48">
        <f t="shared" si="5"/>
        <v>0</v>
      </c>
      <c r="V36" s="48"/>
      <c r="W36" s="7" t="str">
        <f t="shared" si="6"/>
        <v>IDR</v>
      </c>
    </row>
    <row r="37" spans="1:23">
      <c r="A37" s="58" t="str">
        <f ca="1">_xlfn.XLOOKUP(B37,[10]Sheet1!$D:$D,[10]Sheet1!$E:$E)</f>
        <v>Smart Future</v>
      </c>
      <c r="B37" t="str">
        <f t="shared" si="4"/>
        <v>CEFR60</v>
      </c>
      <c r="C37" t="str">
        <f>VLOOKUP(D37,DV_AZTRAD_Stat!H:I,2,FALSE)</f>
        <v>CEFR60_USD</v>
      </c>
      <c r="D37" s="59" t="s">
        <v>2119</v>
      </c>
      <c r="E37" s="1">
        <f>SUMIF(DV_AZTRAD_Stat!$H:$H,Summary_Checking_TRAD!$D37,DV_AZTRAD_Stat!$C:$C)</f>
        <v>4</v>
      </c>
      <c r="F37" s="1">
        <f>SUMIF(DV_AZTRAD_Stat!$H:$H,Summary_Checking_TRAD!$D37,DV_AZTRAD_Stat!$E:$E)</f>
        <v>45000</v>
      </c>
      <c r="G37" s="1">
        <f>SUMIF(DV_AZTRAD_Stat!$H:$H,Summary_Checking_TRAD!$D37,DV_AZTRAD_Stat!$D:$D)</f>
        <v>7029</v>
      </c>
      <c r="H37" s="1">
        <v>0</v>
      </c>
      <c r="I37" s="1">
        <f>SUMIF(IT_AZTRAD_FULL_Stat!$H:$H,Summary_Checking_TRAD!$D37,IT_AZTRAD_FULL_Stat!C:C)
+SUMIF(Summary!$H:$H,Summary_Checking_TRAD!$D37,Summary!C:C)</f>
        <v>4</v>
      </c>
      <c r="J37" s="1">
        <f>SUMIF(IT_AZTRAD_FULL_Stat!$H:$H,Summary_Checking_TRAD!$D37,IT_AZTRAD_FULL_Stat!E:E)
+SUMIF(Summary!$H:$H,Summary_Checking_TRAD!$D37,Summary!E:E)</f>
        <v>45000</v>
      </c>
      <c r="K37" s="1">
        <f>SUMIF(IT_AZTRAD_FULL_Stat!$H:$H,Summary_Checking_TRAD!$D37,IT_AZTRAD_FULL_Stat!D:D)
+SUMIF(Summary!$H:$H,Summary_Checking_TRAD!$D37,Summary!D:D)</f>
        <v>7029</v>
      </c>
      <c r="L37" s="1">
        <v>0</v>
      </c>
      <c r="M37" s="7">
        <f t="shared" si="2"/>
        <v>0</v>
      </c>
      <c r="N37" s="7">
        <f t="shared" si="2"/>
        <v>0</v>
      </c>
      <c r="O37" s="7">
        <f t="shared" si="2"/>
        <v>0</v>
      </c>
      <c r="P37" s="7">
        <f t="shared" si="2"/>
        <v>0</v>
      </c>
      <c r="Q37" s="48">
        <f t="shared" si="5"/>
        <v>0</v>
      </c>
      <c r="R37" s="48">
        <f t="shared" si="5"/>
        <v>0</v>
      </c>
      <c r="S37" s="48">
        <f t="shared" si="5"/>
        <v>0</v>
      </c>
      <c r="T37" s="48">
        <f t="shared" si="5"/>
        <v>0</v>
      </c>
      <c r="V37" s="48"/>
      <c r="W37" s="7" t="str">
        <f t="shared" si="6"/>
        <v>USD</v>
      </c>
    </row>
    <row r="38" spans="1:23">
      <c r="A38" s="58" t="str">
        <f ca="1">_xlfn.XLOOKUP(B38,[10]Sheet1!$D:$D,[10]Sheet1!$E:$E)</f>
        <v>GUARDIA PASTI</v>
      </c>
      <c r="B38" t="str">
        <f t="shared" si="4"/>
        <v>CEGPST</v>
      </c>
      <c r="C38" t="str">
        <f>VLOOKUP(D38,DV_AZTRAD_Stat!H:I,2,FALSE)</f>
        <v>CEGPST_IDR</v>
      </c>
      <c r="D38" s="59" t="s">
        <v>2120</v>
      </c>
      <c r="E38" s="1">
        <f>SUMIF(DV_AZTRAD_Stat!$H:$H,Summary_Checking_TRAD!$D38,DV_AZTRAD_Stat!$C:$C)</f>
        <v>265</v>
      </c>
      <c r="F38" s="1">
        <f>SUMIF(DV_AZTRAD_Stat!$H:$H,Summary_Checking_TRAD!$D38,DV_AZTRAD_Stat!$E:$E)</f>
        <v>90413454121</v>
      </c>
      <c r="G38" s="1">
        <f>SUMIF(DV_AZTRAD_Stat!$H:$H,Summary_Checking_TRAD!$D38,DV_AZTRAD_Stat!$D:$D)</f>
        <v>8419795191</v>
      </c>
      <c r="H38" s="1">
        <v>0</v>
      </c>
      <c r="I38" s="1">
        <f>SUMIF(IT_AZTRAD_FULL_Stat!$H:$H,Summary_Checking_TRAD!$D38,IT_AZTRAD_FULL_Stat!C:C)
+SUMIF(Summary!$H:$H,Summary_Checking_TRAD!$D38,Summary!C:C)</f>
        <v>265</v>
      </c>
      <c r="J38" s="1">
        <f>SUMIF(IT_AZTRAD_FULL_Stat!$H:$H,Summary_Checking_TRAD!$D38,IT_AZTRAD_FULL_Stat!E:E)
+SUMIF(Summary!$H:$H,Summary_Checking_TRAD!$D38,Summary!E:E)</f>
        <v>90413454121</v>
      </c>
      <c r="K38" s="1">
        <f>SUMIF(IT_AZTRAD_FULL_Stat!$H:$H,Summary_Checking_TRAD!$D38,IT_AZTRAD_FULL_Stat!D:D)
+SUMIF(Summary!$H:$H,Summary_Checking_TRAD!$D38,Summary!D:D)</f>
        <v>8419795191</v>
      </c>
      <c r="L38" s="1">
        <v>0</v>
      </c>
      <c r="M38" s="7">
        <f t="shared" si="2"/>
        <v>0</v>
      </c>
      <c r="N38" s="7">
        <f t="shared" si="2"/>
        <v>0</v>
      </c>
      <c r="O38" s="7">
        <f t="shared" si="2"/>
        <v>0</v>
      </c>
      <c r="P38" s="7">
        <f t="shared" si="2"/>
        <v>0</v>
      </c>
      <c r="Q38" s="48">
        <f t="shared" si="5"/>
        <v>0</v>
      </c>
      <c r="R38" s="48">
        <f t="shared" si="5"/>
        <v>0</v>
      </c>
      <c r="S38" s="48">
        <f t="shared" si="5"/>
        <v>0</v>
      </c>
      <c r="T38" s="48">
        <f t="shared" si="5"/>
        <v>0</v>
      </c>
      <c r="V38" s="48"/>
      <c r="W38" s="7" t="str">
        <f t="shared" si="6"/>
        <v>IDR</v>
      </c>
    </row>
    <row r="39" spans="1:23">
      <c r="A39" s="58" t="str">
        <f ca="1">_xlfn.XLOOKUP(B39,[10]Sheet1!$D:$D,[10]Sheet1!$E:$E)</f>
        <v>OPTIMA PROTECTION ASSURANCE PASTI</v>
      </c>
      <c r="B39" t="str">
        <f t="shared" si="4"/>
        <v>CEHPST</v>
      </c>
      <c r="C39" t="str">
        <f>VLOOKUP(D39,DV_AZTRAD_Stat!H:I,2,FALSE)</f>
        <v>CEHPST_IDR</v>
      </c>
      <c r="D39" s="59" t="s">
        <v>2121</v>
      </c>
      <c r="E39" s="1">
        <f>SUMIF(DV_AZTRAD_Stat!$H:$H,Summary_Checking_TRAD!$D39,DV_AZTRAD_Stat!$C:$C)</f>
        <v>1146</v>
      </c>
      <c r="F39" s="1">
        <f>SUMIF(DV_AZTRAD_Stat!$H:$H,Summary_Checking_TRAD!$D39,DV_AZTRAD_Stat!$E:$E)</f>
        <v>805485227644</v>
      </c>
      <c r="G39" s="1">
        <f>SUMIF(DV_AZTRAD_Stat!$H:$H,Summary_Checking_TRAD!$D39,DV_AZTRAD_Stat!$D:$D)</f>
        <v>94135724830</v>
      </c>
      <c r="H39" s="1">
        <v>0</v>
      </c>
      <c r="I39" s="1">
        <f>SUMIF(IT_AZTRAD_FULL_Stat!$H:$H,Summary_Checking_TRAD!$D39,IT_AZTRAD_FULL_Stat!C:C)
+SUMIF(Summary!$H:$H,Summary_Checking_TRAD!$D39,Summary!C:C)</f>
        <v>1146</v>
      </c>
      <c r="J39" s="1">
        <f>SUMIF(IT_AZTRAD_FULL_Stat!$H:$H,Summary_Checking_TRAD!$D39,IT_AZTRAD_FULL_Stat!E:E)
+SUMIF(Summary!$H:$H,Summary_Checking_TRAD!$D39,Summary!E:E)</f>
        <v>805485227644</v>
      </c>
      <c r="K39" s="1">
        <f>SUMIF(IT_AZTRAD_FULL_Stat!$H:$H,Summary_Checking_TRAD!$D39,IT_AZTRAD_FULL_Stat!D:D)
+SUMIF(Summary!$H:$H,Summary_Checking_TRAD!$D39,Summary!D:D)</f>
        <v>94135724830</v>
      </c>
      <c r="L39" s="1">
        <v>0</v>
      </c>
      <c r="M39" s="7">
        <f t="shared" si="2"/>
        <v>0</v>
      </c>
      <c r="N39" s="7">
        <f t="shared" si="2"/>
        <v>0</v>
      </c>
      <c r="O39" s="7">
        <f t="shared" si="2"/>
        <v>0</v>
      </c>
      <c r="P39" s="7">
        <f t="shared" si="2"/>
        <v>0</v>
      </c>
      <c r="Q39" s="48">
        <f t="shared" si="5"/>
        <v>0</v>
      </c>
      <c r="R39" s="48">
        <f t="shared" si="5"/>
        <v>0</v>
      </c>
      <c r="S39" s="48">
        <f t="shared" si="5"/>
        <v>0</v>
      </c>
      <c r="T39" s="48">
        <f t="shared" si="5"/>
        <v>0</v>
      </c>
      <c r="V39" s="48"/>
      <c r="W39" s="7" t="str">
        <f t="shared" si="6"/>
        <v>IDR</v>
      </c>
    </row>
    <row r="40" spans="1:23">
      <c r="A40" s="58" t="str">
        <f ca="1">_xlfn.XLOOKUP(B40,[10]Sheet1!$D:$D,[10]Sheet1!$E:$E)</f>
        <v>Hari Tua</v>
      </c>
      <c r="B40" t="str">
        <f t="shared" si="4"/>
        <v>CEHT__</v>
      </c>
      <c r="C40" t="str">
        <f>VLOOKUP(D40,DV_AZTRAD_Stat!H:I,2,FALSE)</f>
        <v>CEHT___IDR</v>
      </c>
      <c r="D40" s="59" t="s">
        <v>2122</v>
      </c>
      <c r="E40" s="1">
        <f>SUMIF(DV_AZTRAD_Stat!$H:$H,Summary_Checking_TRAD!$D40,DV_AZTRAD_Stat!$C:$C)</f>
        <v>70</v>
      </c>
      <c r="F40" s="1">
        <f>SUMIF(DV_AZTRAD_Stat!$H:$H,Summary_Checking_TRAD!$D40,DV_AZTRAD_Stat!$E:$E)</f>
        <v>125300000</v>
      </c>
      <c r="G40" s="1">
        <f>SUMIF(DV_AZTRAD_Stat!$H:$H,Summary_Checking_TRAD!$D40,DV_AZTRAD_Stat!$D:$D)</f>
        <v>14717366</v>
      </c>
      <c r="H40" s="1">
        <v>0</v>
      </c>
      <c r="I40" s="1">
        <f>SUMIF(IT_AZTRAD_FULL_Stat!$H:$H,Summary_Checking_TRAD!$D40,IT_AZTRAD_FULL_Stat!C:C)
+SUMIF(Summary!$H:$H,Summary_Checking_TRAD!$D40,Summary!C:C)</f>
        <v>70</v>
      </c>
      <c r="J40" s="1">
        <f>SUMIF(IT_AZTRAD_FULL_Stat!$H:$H,Summary_Checking_TRAD!$D40,IT_AZTRAD_FULL_Stat!E:E)
+SUMIF(Summary!$H:$H,Summary_Checking_TRAD!$D40,Summary!E:E)</f>
        <v>125300000</v>
      </c>
      <c r="K40" s="1">
        <f>SUMIF(IT_AZTRAD_FULL_Stat!$H:$H,Summary_Checking_TRAD!$D40,IT_AZTRAD_FULL_Stat!D:D)
+SUMIF(Summary!$H:$H,Summary_Checking_TRAD!$D40,Summary!D:D)</f>
        <v>14717366</v>
      </c>
      <c r="L40" s="1">
        <v>0</v>
      </c>
      <c r="M40" s="7">
        <f t="shared" si="2"/>
        <v>0</v>
      </c>
      <c r="N40" s="7">
        <f t="shared" si="2"/>
        <v>0</v>
      </c>
      <c r="O40" s="7">
        <f t="shared" si="2"/>
        <v>0</v>
      </c>
      <c r="P40" s="7">
        <f t="shared" si="2"/>
        <v>0</v>
      </c>
      <c r="Q40" s="48">
        <f t="shared" si="5"/>
        <v>0</v>
      </c>
      <c r="R40" s="48">
        <f t="shared" si="5"/>
        <v>0</v>
      </c>
      <c r="S40" s="48">
        <f t="shared" si="5"/>
        <v>0</v>
      </c>
      <c r="T40" s="48">
        <f t="shared" si="5"/>
        <v>0</v>
      </c>
      <c r="V40" s="48"/>
      <c r="W40" s="7" t="str">
        <f t="shared" si="6"/>
        <v>IDR</v>
      </c>
    </row>
    <row r="41" spans="1:23">
      <c r="A41" s="58" t="str">
        <f ca="1">_xlfn.XLOOKUP(B41,[10]Sheet1!$D:$D,[10]Sheet1!$E:$E)</f>
        <v>My Education</v>
      </c>
      <c r="B41" t="str">
        <f t="shared" si="4"/>
        <v>CEME__</v>
      </c>
      <c r="C41" t="str">
        <f>VLOOKUP(D41,DV_AZTRAD_Stat!H:I,2,FALSE)</f>
        <v>CEME___IDR</v>
      </c>
      <c r="D41" s="59" t="s">
        <v>2123</v>
      </c>
      <c r="E41" s="1">
        <f>SUMIF(DV_AZTRAD_Stat!$H:$H,Summary_Checking_TRAD!$D41,DV_AZTRAD_Stat!$C:$C)</f>
        <v>1082</v>
      </c>
      <c r="F41" s="1">
        <f>SUMIF(DV_AZTRAD_Stat!$H:$H,Summary_Checking_TRAD!$D41,DV_AZTRAD_Stat!$E:$E)</f>
        <v>28367660886</v>
      </c>
      <c r="G41" s="1">
        <f>SUMIF(DV_AZTRAD_Stat!$H:$H,Summary_Checking_TRAD!$D41,DV_AZTRAD_Stat!$D:$D)</f>
        <v>5196368965.9099998</v>
      </c>
      <c r="H41" s="1">
        <v>0</v>
      </c>
      <c r="I41" s="1">
        <f>SUMIF(IT_AZTRAD_FULL_Stat!$H:$H,Summary_Checking_TRAD!$D41,IT_AZTRAD_FULL_Stat!C:C)
+SUMIF(Summary!$H:$H,Summary_Checking_TRAD!$D41,Summary!C:C)</f>
        <v>1082</v>
      </c>
      <c r="J41" s="1">
        <f>SUMIF(IT_AZTRAD_FULL_Stat!$H:$H,Summary_Checking_TRAD!$D41,IT_AZTRAD_FULL_Stat!E:E)
+SUMIF(Summary!$H:$H,Summary_Checking_TRAD!$D41,Summary!E:E)</f>
        <v>28367660886</v>
      </c>
      <c r="K41" s="1">
        <f>SUMIF(IT_AZTRAD_FULL_Stat!$H:$H,Summary_Checking_TRAD!$D41,IT_AZTRAD_FULL_Stat!D:D)
+SUMIF(Summary!$H:$H,Summary_Checking_TRAD!$D41,Summary!D:D)</f>
        <v>5196368965.9099998</v>
      </c>
      <c r="L41" s="1">
        <v>0</v>
      </c>
      <c r="M41" s="7">
        <f t="shared" si="2"/>
        <v>0</v>
      </c>
      <c r="N41" s="7">
        <f t="shared" si="2"/>
        <v>0</v>
      </c>
      <c r="O41" s="7">
        <f t="shared" si="2"/>
        <v>0</v>
      </c>
      <c r="P41" s="7">
        <f t="shared" si="2"/>
        <v>0</v>
      </c>
      <c r="Q41" s="48">
        <f t="shared" si="5"/>
        <v>0</v>
      </c>
      <c r="R41" s="48">
        <f t="shared" si="5"/>
        <v>0</v>
      </c>
      <c r="S41" s="48">
        <f t="shared" si="5"/>
        <v>0</v>
      </c>
      <c r="T41" s="48">
        <f t="shared" si="5"/>
        <v>0</v>
      </c>
      <c r="V41" s="48"/>
      <c r="W41" s="7" t="str">
        <f t="shared" si="6"/>
        <v>IDR</v>
      </c>
    </row>
    <row r="42" spans="1:23">
      <c r="A42" s="58" t="str">
        <f ca="1">_xlfn.XLOOKUP(B42,[10]Sheet1!$D:$D,[10]Sheet1!$E:$E)</f>
        <v>My Education</v>
      </c>
      <c r="B42" t="str">
        <f t="shared" si="4"/>
        <v>CEME__</v>
      </c>
      <c r="C42" t="str">
        <f>VLOOKUP(D42,DV_AZTRAD_Stat!H:I,2,FALSE)</f>
        <v>CEME___USD</v>
      </c>
      <c r="D42" s="59" t="s">
        <v>2124</v>
      </c>
      <c r="E42" s="1">
        <f>SUMIF(DV_AZTRAD_Stat!$H:$H,Summary_Checking_TRAD!$D42,DV_AZTRAD_Stat!$C:$C)</f>
        <v>10</v>
      </c>
      <c r="F42" s="1">
        <f>SUMIF(DV_AZTRAD_Stat!$H:$H,Summary_Checking_TRAD!$D42,DV_AZTRAD_Stat!$E:$E)</f>
        <v>104500</v>
      </c>
      <c r="G42" s="1">
        <f>SUMIF(DV_AZTRAD_Stat!$H:$H,Summary_Checking_TRAD!$D42,DV_AZTRAD_Stat!$D:$D)</f>
        <v>96206.03</v>
      </c>
      <c r="H42" s="1">
        <v>0</v>
      </c>
      <c r="I42" s="1">
        <f>SUMIF(IT_AZTRAD_FULL_Stat!$H:$H,Summary_Checking_TRAD!$D42,IT_AZTRAD_FULL_Stat!C:C)
+SUMIF(Summary!$H:$H,Summary_Checking_TRAD!$D42,Summary!C:C)</f>
        <v>10</v>
      </c>
      <c r="J42" s="1">
        <f>SUMIF(IT_AZTRAD_FULL_Stat!$H:$H,Summary_Checking_TRAD!$D42,IT_AZTRAD_FULL_Stat!E:E)
+SUMIF(Summary!$H:$H,Summary_Checking_TRAD!$D42,Summary!E:E)</f>
        <v>104500</v>
      </c>
      <c r="K42" s="1">
        <f>SUMIF(IT_AZTRAD_FULL_Stat!$H:$H,Summary_Checking_TRAD!$D42,IT_AZTRAD_FULL_Stat!D:D)
+SUMIF(Summary!$H:$H,Summary_Checking_TRAD!$D42,Summary!D:D)</f>
        <v>96206.03</v>
      </c>
      <c r="L42" s="1">
        <v>0</v>
      </c>
      <c r="M42" s="7">
        <f t="shared" si="2"/>
        <v>0</v>
      </c>
      <c r="N42" s="7">
        <f t="shared" si="2"/>
        <v>0</v>
      </c>
      <c r="O42" s="7">
        <f t="shared" si="2"/>
        <v>0</v>
      </c>
      <c r="P42" s="7">
        <f t="shared" si="2"/>
        <v>0</v>
      </c>
      <c r="Q42" s="48">
        <f t="shared" si="5"/>
        <v>0</v>
      </c>
      <c r="R42" s="48">
        <f t="shared" si="5"/>
        <v>0</v>
      </c>
      <c r="S42" s="48">
        <f t="shared" si="5"/>
        <v>0</v>
      </c>
      <c r="T42" s="48">
        <f t="shared" si="5"/>
        <v>0</v>
      </c>
      <c r="V42" s="48"/>
      <c r="W42" s="7" t="str">
        <f t="shared" si="6"/>
        <v>USD</v>
      </c>
    </row>
    <row r="43" spans="1:23">
      <c r="A43" s="58" t="str">
        <f ca="1">_xlfn.XLOOKUP(B43,[10]Sheet1!$D:$D,[10]Sheet1!$E:$E)</f>
        <v>My Future</v>
      </c>
      <c r="B43" t="str">
        <f t="shared" si="4"/>
        <v>CEMF50</v>
      </c>
      <c r="C43" t="str">
        <f>VLOOKUP(D43,DV_AZTRAD_Stat!H:I,2,FALSE)</f>
        <v>CEMF50_IDR</v>
      </c>
      <c r="D43" s="59" t="s">
        <v>2125</v>
      </c>
      <c r="E43" s="1">
        <f>SUMIF(DV_AZTRAD_Stat!$H:$H,Summary_Checking_TRAD!$D43,DV_AZTRAD_Stat!$C:$C)</f>
        <v>192</v>
      </c>
      <c r="F43" s="1">
        <f>SUMIF(DV_AZTRAD_Stat!$H:$H,Summary_Checking_TRAD!$D43,DV_AZTRAD_Stat!$E:$E)</f>
        <v>10422100000</v>
      </c>
      <c r="G43" s="1">
        <f>SUMIF(DV_AZTRAD_Stat!$H:$H,Summary_Checking_TRAD!$D43,DV_AZTRAD_Stat!$D:$D)</f>
        <v>1403592494</v>
      </c>
      <c r="H43" s="1">
        <v>0</v>
      </c>
      <c r="I43" s="1">
        <f>SUMIF(IT_AZTRAD_FULL_Stat!$H:$H,Summary_Checking_TRAD!$D43,IT_AZTRAD_FULL_Stat!C:C)
+SUMIF(Summary!$H:$H,Summary_Checking_TRAD!$D43,Summary!C:C)</f>
        <v>192</v>
      </c>
      <c r="J43" s="1">
        <f>SUMIF(IT_AZTRAD_FULL_Stat!$H:$H,Summary_Checking_TRAD!$D43,IT_AZTRAD_FULL_Stat!E:E)
+SUMIF(Summary!$H:$H,Summary_Checking_TRAD!$D43,Summary!E:E)</f>
        <v>10422100000</v>
      </c>
      <c r="K43" s="1">
        <f>SUMIF(IT_AZTRAD_FULL_Stat!$H:$H,Summary_Checking_TRAD!$D43,IT_AZTRAD_FULL_Stat!D:D)
+SUMIF(Summary!$H:$H,Summary_Checking_TRAD!$D43,Summary!D:D)</f>
        <v>1403592494</v>
      </c>
      <c r="L43" s="1">
        <v>0</v>
      </c>
      <c r="M43" s="7">
        <f t="shared" si="2"/>
        <v>0</v>
      </c>
      <c r="N43" s="7">
        <f t="shared" si="2"/>
        <v>0</v>
      </c>
      <c r="O43" s="7">
        <f t="shared" si="2"/>
        <v>0</v>
      </c>
      <c r="P43" s="7">
        <f t="shared" si="2"/>
        <v>0</v>
      </c>
      <c r="Q43" s="48">
        <f t="shared" si="5"/>
        <v>0</v>
      </c>
      <c r="R43" s="48">
        <f t="shared" si="5"/>
        <v>0</v>
      </c>
      <c r="S43" s="48">
        <f t="shared" si="5"/>
        <v>0</v>
      </c>
      <c r="T43" s="48">
        <f t="shared" si="5"/>
        <v>0</v>
      </c>
      <c r="V43" s="48"/>
      <c r="W43" s="7" t="str">
        <f t="shared" si="6"/>
        <v>IDR</v>
      </c>
    </row>
    <row r="44" spans="1:23">
      <c r="A44" s="58" t="str">
        <f ca="1">_xlfn.XLOOKUP(B44,[10]Sheet1!$D:$D,[10]Sheet1!$E:$E)</f>
        <v>My Future</v>
      </c>
      <c r="B44" t="str">
        <f t="shared" si="4"/>
        <v>CEMF50</v>
      </c>
      <c r="C44" t="str">
        <f>VLOOKUP(D44,DV_AZTRAD_Stat!H:I,2,FALSE)</f>
        <v>CEMF50_USD</v>
      </c>
      <c r="D44" s="59" t="s">
        <v>2126</v>
      </c>
      <c r="E44" s="1">
        <f>SUMIF(DV_AZTRAD_Stat!$H:$H,Summary_Checking_TRAD!$D44,DV_AZTRAD_Stat!$C:$C)</f>
        <v>5</v>
      </c>
      <c r="F44" s="1">
        <f>SUMIF(DV_AZTRAD_Stat!$H:$H,Summary_Checking_TRAD!$D44,DV_AZTRAD_Stat!$E:$E)</f>
        <v>145000</v>
      </c>
      <c r="G44" s="1">
        <f>SUMIF(DV_AZTRAD_Stat!$H:$H,Summary_Checking_TRAD!$D44,DV_AZTRAD_Stat!$D:$D)</f>
        <v>52112.75</v>
      </c>
      <c r="H44" s="1">
        <v>0</v>
      </c>
      <c r="I44" s="1">
        <f>SUMIF(IT_AZTRAD_FULL_Stat!$H:$H,Summary_Checking_TRAD!$D44,IT_AZTRAD_FULL_Stat!C:C)
+SUMIF(Summary!$H:$H,Summary_Checking_TRAD!$D44,Summary!C:C)</f>
        <v>5</v>
      </c>
      <c r="J44" s="1">
        <f>SUMIF(IT_AZTRAD_FULL_Stat!$H:$H,Summary_Checking_TRAD!$D44,IT_AZTRAD_FULL_Stat!E:E)
+SUMIF(Summary!$H:$H,Summary_Checking_TRAD!$D44,Summary!E:E)</f>
        <v>145000</v>
      </c>
      <c r="K44" s="1">
        <f>SUMIF(IT_AZTRAD_FULL_Stat!$H:$H,Summary_Checking_TRAD!$D44,IT_AZTRAD_FULL_Stat!D:D)
+SUMIF(Summary!$H:$H,Summary_Checking_TRAD!$D44,Summary!D:D)</f>
        <v>52112.75</v>
      </c>
      <c r="L44" s="1">
        <v>0</v>
      </c>
      <c r="M44" s="7">
        <f t="shared" si="2"/>
        <v>0</v>
      </c>
      <c r="N44" s="7">
        <f t="shared" si="2"/>
        <v>0</v>
      </c>
      <c r="O44" s="7">
        <f t="shared" si="2"/>
        <v>0</v>
      </c>
      <c r="P44" s="7">
        <f t="shared" si="2"/>
        <v>0</v>
      </c>
      <c r="Q44" s="48">
        <f t="shared" si="5"/>
        <v>0</v>
      </c>
      <c r="R44" s="48">
        <f t="shared" si="5"/>
        <v>0</v>
      </c>
      <c r="S44" s="48">
        <f t="shared" si="5"/>
        <v>0</v>
      </c>
      <c r="T44" s="48">
        <f t="shared" si="5"/>
        <v>0</v>
      </c>
      <c r="V44" s="48"/>
      <c r="W44" s="7" t="str">
        <f t="shared" si="6"/>
        <v>USD</v>
      </c>
    </row>
    <row r="45" spans="1:23">
      <c r="A45" s="58" t="str">
        <f ca="1">_xlfn.XLOOKUP(B45,[10]Sheet1!$D:$D,[10]Sheet1!$E:$E)</f>
        <v>My Future</v>
      </c>
      <c r="B45" t="str">
        <f t="shared" si="4"/>
        <v>CEMF55</v>
      </c>
      <c r="C45" t="str">
        <f>VLOOKUP(D45,DV_AZTRAD_Stat!H:I,2,FALSE)</f>
        <v>CEMF55_IDR</v>
      </c>
      <c r="D45" s="59" t="s">
        <v>2127</v>
      </c>
      <c r="E45" s="1">
        <f>SUMIF(DV_AZTRAD_Stat!$H:$H,Summary_Checking_TRAD!$D45,DV_AZTRAD_Stat!$C:$C)</f>
        <v>180</v>
      </c>
      <c r="F45" s="1">
        <f>SUMIF(DV_AZTRAD_Stat!$H:$H,Summary_Checking_TRAD!$D45,DV_AZTRAD_Stat!$E:$E)</f>
        <v>7250599051</v>
      </c>
      <c r="G45" s="1">
        <f>SUMIF(DV_AZTRAD_Stat!$H:$H,Summary_Checking_TRAD!$D45,DV_AZTRAD_Stat!$D:$D)</f>
        <v>1252931207</v>
      </c>
      <c r="H45" s="1">
        <v>0</v>
      </c>
      <c r="I45" s="1">
        <f>SUMIF(IT_AZTRAD_FULL_Stat!$H:$H,Summary_Checking_TRAD!$D45,IT_AZTRAD_FULL_Stat!C:C)
+SUMIF(Summary!$H:$H,Summary_Checking_TRAD!$D45,Summary!C:C)</f>
        <v>180</v>
      </c>
      <c r="J45" s="1">
        <f>SUMIF(IT_AZTRAD_FULL_Stat!$H:$H,Summary_Checking_TRAD!$D45,IT_AZTRAD_FULL_Stat!E:E)
+SUMIF(Summary!$H:$H,Summary_Checking_TRAD!$D45,Summary!E:E)</f>
        <v>7250599051</v>
      </c>
      <c r="K45" s="1">
        <f>SUMIF(IT_AZTRAD_FULL_Stat!$H:$H,Summary_Checking_TRAD!$D45,IT_AZTRAD_FULL_Stat!D:D)
+SUMIF(Summary!$H:$H,Summary_Checking_TRAD!$D45,Summary!D:D)</f>
        <v>1252931207</v>
      </c>
      <c r="L45" s="1">
        <v>0</v>
      </c>
      <c r="M45" s="7">
        <f t="shared" si="2"/>
        <v>0</v>
      </c>
      <c r="N45" s="7">
        <f t="shared" si="2"/>
        <v>0</v>
      </c>
      <c r="O45" s="7">
        <f t="shared" si="2"/>
        <v>0</v>
      </c>
      <c r="P45" s="7">
        <f t="shared" si="2"/>
        <v>0</v>
      </c>
      <c r="Q45" s="48">
        <f t="shared" si="5"/>
        <v>0</v>
      </c>
      <c r="R45" s="48">
        <f t="shared" si="5"/>
        <v>0</v>
      </c>
      <c r="S45" s="48">
        <f t="shared" si="5"/>
        <v>0</v>
      </c>
      <c r="T45" s="48">
        <f t="shared" si="5"/>
        <v>0</v>
      </c>
      <c r="V45" s="48"/>
      <c r="W45" s="7" t="str">
        <f t="shared" si="6"/>
        <v>IDR</v>
      </c>
    </row>
    <row r="46" spans="1:23">
      <c r="A46" s="58" t="str">
        <f ca="1">_xlfn.XLOOKUP(B46,[10]Sheet1!$D:$D,[10]Sheet1!$E:$E)</f>
        <v>My Future</v>
      </c>
      <c r="B46" t="str">
        <f t="shared" si="4"/>
        <v>CEMF55</v>
      </c>
      <c r="C46" t="str">
        <f>VLOOKUP(D46,DV_AZTRAD_Stat!H:I,2,FALSE)</f>
        <v>CEMF55_USD</v>
      </c>
      <c r="D46" s="59" t="s">
        <v>2128</v>
      </c>
      <c r="E46" s="1">
        <f>SUMIF(DV_AZTRAD_Stat!$H:$H,Summary_Checking_TRAD!$D46,DV_AZTRAD_Stat!$C:$C)</f>
        <v>2</v>
      </c>
      <c r="F46" s="1">
        <f>SUMIF(DV_AZTRAD_Stat!$H:$H,Summary_Checking_TRAD!$D46,DV_AZTRAD_Stat!$E:$E)</f>
        <v>10000</v>
      </c>
      <c r="G46" s="1">
        <f>SUMIF(DV_AZTRAD_Stat!$H:$H,Summary_Checking_TRAD!$D46,DV_AZTRAD_Stat!$D:$D)</f>
        <v>3097.3</v>
      </c>
      <c r="H46" s="1">
        <v>0</v>
      </c>
      <c r="I46" s="1">
        <f>SUMIF(IT_AZTRAD_FULL_Stat!$H:$H,Summary_Checking_TRAD!$D46,IT_AZTRAD_FULL_Stat!C:C)
+SUMIF(Summary!$H:$H,Summary_Checking_TRAD!$D46,Summary!C:C)</f>
        <v>2</v>
      </c>
      <c r="J46" s="1">
        <f>SUMIF(IT_AZTRAD_FULL_Stat!$H:$H,Summary_Checking_TRAD!$D46,IT_AZTRAD_FULL_Stat!E:E)
+SUMIF(Summary!$H:$H,Summary_Checking_TRAD!$D46,Summary!E:E)</f>
        <v>10000</v>
      </c>
      <c r="K46" s="1">
        <f>SUMIF(IT_AZTRAD_FULL_Stat!$H:$H,Summary_Checking_TRAD!$D46,IT_AZTRAD_FULL_Stat!D:D)
+SUMIF(Summary!$H:$H,Summary_Checking_TRAD!$D46,Summary!D:D)</f>
        <v>3097.3</v>
      </c>
      <c r="L46" s="1">
        <v>0</v>
      </c>
      <c r="M46" s="7">
        <f t="shared" si="2"/>
        <v>0</v>
      </c>
      <c r="N46" s="7">
        <f t="shared" si="2"/>
        <v>0</v>
      </c>
      <c r="O46" s="7">
        <f t="shared" si="2"/>
        <v>0</v>
      </c>
      <c r="P46" s="7">
        <f t="shared" si="2"/>
        <v>0</v>
      </c>
      <c r="Q46" s="48">
        <f t="shared" si="5"/>
        <v>0</v>
      </c>
      <c r="R46" s="48">
        <f t="shared" si="5"/>
        <v>0</v>
      </c>
      <c r="S46" s="48">
        <f t="shared" si="5"/>
        <v>0</v>
      </c>
      <c r="T46" s="48">
        <f t="shared" si="5"/>
        <v>0</v>
      </c>
      <c r="V46" s="48"/>
      <c r="W46" s="7" t="str">
        <f t="shared" si="6"/>
        <v>USD</v>
      </c>
    </row>
    <row r="47" spans="1:23">
      <c r="A47" s="58" t="str">
        <f ca="1">_xlfn.XLOOKUP(B47,[10]Sheet1!$D:$D,[10]Sheet1!$E:$E)</f>
        <v>My Future</v>
      </c>
      <c r="B47" t="str">
        <f t="shared" si="4"/>
        <v>CEMF60</v>
      </c>
      <c r="C47" t="str">
        <f>VLOOKUP(D47,DV_AZTRAD_Stat!H:I,2,FALSE)</f>
        <v>CEMF60_IDR</v>
      </c>
      <c r="D47" s="59" t="s">
        <v>2129</v>
      </c>
      <c r="E47" s="1">
        <f>SUMIF(DV_AZTRAD_Stat!$H:$H,Summary_Checking_TRAD!$D47,DV_AZTRAD_Stat!$C:$C)</f>
        <v>36</v>
      </c>
      <c r="F47" s="1">
        <f>SUMIF(DV_AZTRAD_Stat!$H:$H,Summary_Checking_TRAD!$D47,DV_AZTRAD_Stat!$E:$E)</f>
        <v>1190212855</v>
      </c>
      <c r="G47" s="1">
        <f>SUMIF(DV_AZTRAD_Stat!$H:$H,Summary_Checking_TRAD!$D47,DV_AZTRAD_Stat!$D:$D)</f>
        <v>239277223</v>
      </c>
      <c r="H47" s="1">
        <v>0</v>
      </c>
      <c r="I47" s="1">
        <f>SUMIF(IT_AZTRAD_FULL_Stat!$H:$H,Summary_Checking_TRAD!$D47,IT_AZTRAD_FULL_Stat!C:C)
+SUMIF(Summary!$H:$H,Summary_Checking_TRAD!$D47,Summary!C:C)</f>
        <v>36</v>
      </c>
      <c r="J47" s="1">
        <f>SUMIF(IT_AZTRAD_FULL_Stat!$H:$H,Summary_Checking_TRAD!$D47,IT_AZTRAD_FULL_Stat!E:E)
+SUMIF(Summary!$H:$H,Summary_Checking_TRAD!$D47,Summary!E:E)</f>
        <v>1190212855</v>
      </c>
      <c r="K47" s="1">
        <f>SUMIF(IT_AZTRAD_FULL_Stat!$H:$H,Summary_Checking_TRAD!$D47,IT_AZTRAD_FULL_Stat!D:D)
+SUMIF(Summary!$H:$H,Summary_Checking_TRAD!$D47,Summary!D:D)</f>
        <v>239277223</v>
      </c>
      <c r="L47" s="1">
        <v>0</v>
      </c>
      <c r="M47" s="7">
        <f t="shared" si="2"/>
        <v>0</v>
      </c>
      <c r="N47" s="7">
        <f t="shared" si="2"/>
        <v>0</v>
      </c>
      <c r="O47" s="7">
        <f t="shared" si="2"/>
        <v>0</v>
      </c>
      <c r="P47" s="7">
        <f t="shared" si="2"/>
        <v>0</v>
      </c>
      <c r="Q47" s="48">
        <f t="shared" si="5"/>
        <v>0</v>
      </c>
      <c r="R47" s="48">
        <f t="shared" si="5"/>
        <v>0</v>
      </c>
      <c r="S47" s="48">
        <f t="shared" si="5"/>
        <v>0</v>
      </c>
      <c r="T47" s="48">
        <f t="shared" si="5"/>
        <v>0</v>
      </c>
      <c r="V47" s="48"/>
      <c r="W47" s="7" t="str">
        <f t="shared" si="6"/>
        <v>IDR</v>
      </c>
    </row>
    <row r="48" spans="1:23">
      <c r="A48" s="58" t="str">
        <f ca="1">_xlfn.XLOOKUP(B48,[10]Sheet1!$D:$D,[10]Sheet1!$E:$E)</f>
        <v>My Future</v>
      </c>
      <c r="B48" t="str">
        <f t="shared" si="4"/>
        <v>CEMF60</v>
      </c>
      <c r="C48" t="str">
        <f>VLOOKUP(D48,DV_AZTRAD_Stat!H:I,2,FALSE)</f>
        <v>CEMF60_USD</v>
      </c>
      <c r="D48" s="59" t="s">
        <v>2130</v>
      </c>
      <c r="E48" s="1">
        <f>SUMIF(DV_AZTRAD_Stat!$H:$H,Summary_Checking_TRAD!$D48,DV_AZTRAD_Stat!$C:$C)</f>
        <v>1</v>
      </c>
      <c r="F48" s="1">
        <f>SUMIF(DV_AZTRAD_Stat!$H:$H,Summary_Checking_TRAD!$D48,DV_AZTRAD_Stat!$E:$E)</f>
        <v>5000</v>
      </c>
      <c r="G48" s="1">
        <f>SUMIF(DV_AZTRAD_Stat!$H:$H,Summary_Checking_TRAD!$D48,DV_AZTRAD_Stat!$D:$D)</f>
        <v>1356.35</v>
      </c>
      <c r="H48" s="1">
        <v>0</v>
      </c>
      <c r="I48" s="1">
        <f>SUMIF(IT_AZTRAD_FULL_Stat!$H:$H,Summary_Checking_TRAD!$D48,IT_AZTRAD_FULL_Stat!C:C)
+SUMIF(Summary!$H:$H,Summary_Checking_TRAD!$D48,Summary!C:C)</f>
        <v>1</v>
      </c>
      <c r="J48" s="1">
        <f>SUMIF(IT_AZTRAD_FULL_Stat!$H:$H,Summary_Checking_TRAD!$D48,IT_AZTRAD_FULL_Stat!E:E)
+SUMIF(Summary!$H:$H,Summary_Checking_TRAD!$D48,Summary!E:E)</f>
        <v>5000</v>
      </c>
      <c r="K48" s="1">
        <f>SUMIF(IT_AZTRAD_FULL_Stat!$H:$H,Summary_Checking_TRAD!$D48,IT_AZTRAD_FULL_Stat!D:D)
+SUMIF(Summary!$H:$H,Summary_Checking_TRAD!$D48,Summary!D:D)</f>
        <v>1356.35</v>
      </c>
      <c r="L48" s="1">
        <v>0</v>
      </c>
      <c r="M48" s="7">
        <f t="shared" si="2"/>
        <v>0</v>
      </c>
      <c r="N48" s="7">
        <f t="shared" si="2"/>
        <v>0</v>
      </c>
      <c r="O48" s="7">
        <f t="shared" si="2"/>
        <v>0</v>
      </c>
      <c r="P48" s="7">
        <f t="shared" si="2"/>
        <v>0</v>
      </c>
      <c r="Q48" s="48">
        <f t="shared" si="5"/>
        <v>0</v>
      </c>
      <c r="R48" s="48">
        <f t="shared" si="5"/>
        <v>0</v>
      </c>
      <c r="S48" s="48">
        <f t="shared" si="5"/>
        <v>0</v>
      </c>
      <c r="T48" s="48">
        <f t="shared" si="5"/>
        <v>0</v>
      </c>
      <c r="V48" s="48"/>
      <c r="W48" s="7" t="str">
        <f t="shared" si="6"/>
        <v>USD</v>
      </c>
    </row>
    <row r="49" spans="1:23">
      <c r="A49" s="58" t="str">
        <f ca="1">_xlfn.XLOOKUP(B49,[10]Sheet1!$D:$D,[10]Sheet1!$E:$E)</f>
        <v>MyFuture Permata</v>
      </c>
      <c r="B49" t="str">
        <f t="shared" si="4"/>
        <v>CEMFP1</v>
      </c>
      <c r="C49" t="str">
        <f>VLOOKUP(D49,DV_AZTRAD_Stat!H:I,2,FALSE)</f>
        <v>CEMFP1_IDR</v>
      </c>
      <c r="D49" s="59" t="s">
        <v>2131</v>
      </c>
      <c r="E49" s="1">
        <f>SUMIF(DV_AZTRAD_Stat!$H:$H,Summary_Checking_TRAD!$D49,DV_AZTRAD_Stat!$C:$C)</f>
        <v>8</v>
      </c>
      <c r="F49" s="1">
        <f>SUMIF(DV_AZTRAD_Stat!$H:$H,Summary_Checking_TRAD!$D49,DV_AZTRAD_Stat!$E:$E)</f>
        <v>1882000000</v>
      </c>
      <c r="G49" s="1">
        <f>SUMIF(DV_AZTRAD_Stat!$H:$H,Summary_Checking_TRAD!$D49,DV_AZTRAD_Stat!$D:$D)</f>
        <v>686335930</v>
      </c>
      <c r="H49" s="1">
        <v>0</v>
      </c>
      <c r="I49" s="1">
        <f>SUMIF(IT_AZTRAD_FULL_Stat!$H:$H,Summary_Checking_TRAD!$D49,IT_AZTRAD_FULL_Stat!C:C)
+SUMIF(Summary!$H:$H,Summary_Checking_TRAD!$D49,Summary!C:C)</f>
        <v>8</v>
      </c>
      <c r="J49" s="1">
        <f>SUMIF(IT_AZTRAD_FULL_Stat!$H:$H,Summary_Checking_TRAD!$D49,IT_AZTRAD_FULL_Stat!E:E)
+SUMIF(Summary!$H:$H,Summary_Checking_TRAD!$D49,Summary!E:E)</f>
        <v>1882000000</v>
      </c>
      <c r="K49" s="1">
        <f>SUMIF(IT_AZTRAD_FULL_Stat!$H:$H,Summary_Checking_TRAD!$D49,IT_AZTRAD_FULL_Stat!D:D)
+SUMIF(Summary!$H:$H,Summary_Checking_TRAD!$D49,Summary!D:D)</f>
        <v>686335930</v>
      </c>
      <c r="L49" s="1">
        <v>0</v>
      </c>
      <c r="M49" s="7">
        <f t="shared" si="2"/>
        <v>0</v>
      </c>
      <c r="N49" s="7">
        <f t="shared" si="2"/>
        <v>0</v>
      </c>
      <c r="O49" s="7">
        <f t="shared" si="2"/>
        <v>0</v>
      </c>
      <c r="P49" s="7">
        <f t="shared" si="2"/>
        <v>0</v>
      </c>
      <c r="Q49" s="48">
        <f t="shared" si="5"/>
        <v>0</v>
      </c>
      <c r="R49" s="48">
        <f t="shared" si="5"/>
        <v>0</v>
      </c>
      <c r="S49" s="48">
        <f t="shared" si="5"/>
        <v>0</v>
      </c>
      <c r="T49" s="48">
        <f t="shared" si="5"/>
        <v>0</v>
      </c>
      <c r="V49" s="48"/>
      <c r="W49" s="7" t="str">
        <f t="shared" si="6"/>
        <v>IDR</v>
      </c>
    </row>
    <row r="50" spans="1:23">
      <c r="A50" s="58" t="str">
        <f ca="1">_xlfn.XLOOKUP(B50,[10]Sheet1!$D:$D,[10]Sheet1!$E:$E)</f>
        <v>MyFuture Permata</v>
      </c>
      <c r="B50" t="str">
        <f t="shared" si="4"/>
        <v>CEMFP2</v>
      </c>
      <c r="C50" t="str">
        <f>VLOOKUP(D50,DV_AZTRAD_Stat!H:I,2,FALSE)</f>
        <v>CEMFP2_IDR</v>
      </c>
      <c r="D50" s="59" t="s">
        <v>2132</v>
      </c>
      <c r="E50" s="1">
        <f>SUMIF(DV_AZTRAD_Stat!$H:$H,Summary_Checking_TRAD!$D50,DV_AZTRAD_Stat!$C:$C)</f>
        <v>21</v>
      </c>
      <c r="F50" s="1">
        <f>SUMIF(DV_AZTRAD_Stat!$H:$H,Summary_Checking_TRAD!$D50,DV_AZTRAD_Stat!$E:$E)</f>
        <v>1701000000</v>
      </c>
      <c r="G50" s="1">
        <f>SUMIF(DV_AZTRAD_Stat!$H:$H,Summary_Checking_TRAD!$D50,DV_AZTRAD_Stat!$D:$D)</f>
        <v>540568650</v>
      </c>
      <c r="H50" s="1">
        <v>0</v>
      </c>
      <c r="I50" s="1">
        <f>SUMIF(IT_AZTRAD_FULL_Stat!$H:$H,Summary_Checking_TRAD!$D50,IT_AZTRAD_FULL_Stat!C:C)
+SUMIF(Summary!$H:$H,Summary_Checking_TRAD!$D50,Summary!C:C)</f>
        <v>21</v>
      </c>
      <c r="J50" s="1">
        <f>SUMIF(IT_AZTRAD_FULL_Stat!$H:$H,Summary_Checking_TRAD!$D50,IT_AZTRAD_FULL_Stat!E:E)
+SUMIF(Summary!$H:$H,Summary_Checking_TRAD!$D50,Summary!E:E)</f>
        <v>1701000000</v>
      </c>
      <c r="K50" s="1">
        <f>SUMIF(IT_AZTRAD_FULL_Stat!$H:$H,Summary_Checking_TRAD!$D50,IT_AZTRAD_FULL_Stat!D:D)
+SUMIF(Summary!$H:$H,Summary_Checking_TRAD!$D50,Summary!D:D)</f>
        <v>540568650</v>
      </c>
      <c r="L50" s="1">
        <v>0</v>
      </c>
      <c r="M50" s="7">
        <f t="shared" si="2"/>
        <v>0</v>
      </c>
      <c r="N50" s="7">
        <f t="shared" si="2"/>
        <v>0</v>
      </c>
      <c r="O50" s="7">
        <f t="shared" si="2"/>
        <v>0</v>
      </c>
      <c r="P50" s="7">
        <f t="shared" si="2"/>
        <v>0</v>
      </c>
      <c r="Q50" s="48">
        <f t="shared" si="5"/>
        <v>0</v>
      </c>
      <c r="R50" s="48">
        <f t="shared" si="5"/>
        <v>0</v>
      </c>
      <c r="S50" s="48">
        <f t="shared" si="5"/>
        <v>0</v>
      </c>
      <c r="T50" s="48">
        <f t="shared" si="5"/>
        <v>0</v>
      </c>
      <c r="V50" s="48"/>
      <c r="W50" s="7" t="str">
        <f t="shared" si="6"/>
        <v>IDR</v>
      </c>
    </row>
    <row r="51" spans="1:23">
      <c r="A51" s="58" t="str">
        <f ca="1">_xlfn.XLOOKUP(B51,[10]Sheet1!$D:$D,[10]Sheet1!$E:$E)</f>
        <v>MyFuture Permata</v>
      </c>
      <c r="B51" t="str">
        <f t="shared" si="4"/>
        <v>CEMFP3</v>
      </c>
      <c r="C51" t="str">
        <f>VLOOKUP(D51,DV_AZTRAD_Stat!H:I,2,FALSE)</f>
        <v>CEMFP3_IDR</v>
      </c>
      <c r="D51" s="59" t="s">
        <v>2133</v>
      </c>
      <c r="E51" s="1">
        <f>SUMIF(DV_AZTRAD_Stat!$H:$H,Summary_Checking_TRAD!$D51,DV_AZTRAD_Stat!$C:$C)</f>
        <v>9</v>
      </c>
      <c r="F51" s="1">
        <f>SUMIF(DV_AZTRAD_Stat!$H:$H,Summary_Checking_TRAD!$D51,DV_AZTRAD_Stat!$E:$E)</f>
        <v>250000000</v>
      </c>
      <c r="G51" s="1">
        <f>SUMIF(DV_AZTRAD_Stat!$H:$H,Summary_Checking_TRAD!$D51,DV_AZTRAD_Stat!$D:$D)</f>
        <v>53647250</v>
      </c>
      <c r="H51" s="1">
        <v>0</v>
      </c>
      <c r="I51" s="1">
        <f>SUMIF(IT_AZTRAD_FULL_Stat!$H:$H,Summary_Checking_TRAD!$D51,IT_AZTRAD_FULL_Stat!C:C)
+SUMIF(Summary!$H:$H,Summary_Checking_TRAD!$D51,Summary!C:C)</f>
        <v>9</v>
      </c>
      <c r="J51" s="1">
        <f>SUMIF(IT_AZTRAD_FULL_Stat!$H:$H,Summary_Checking_TRAD!$D51,IT_AZTRAD_FULL_Stat!E:E)
+SUMIF(Summary!$H:$H,Summary_Checking_TRAD!$D51,Summary!E:E)</f>
        <v>250000000</v>
      </c>
      <c r="K51" s="1">
        <f>SUMIF(IT_AZTRAD_FULL_Stat!$H:$H,Summary_Checking_TRAD!$D51,IT_AZTRAD_FULL_Stat!D:D)
+SUMIF(Summary!$H:$H,Summary_Checking_TRAD!$D51,Summary!D:D)</f>
        <v>53647250</v>
      </c>
      <c r="L51" s="1">
        <v>0</v>
      </c>
      <c r="M51" s="7">
        <f t="shared" si="2"/>
        <v>0</v>
      </c>
      <c r="N51" s="7">
        <f t="shared" si="2"/>
        <v>0</v>
      </c>
      <c r="O51" s="7">
        <f t="shared" si="2"/>
        <v>0</v>
      </c>
      <c r="P51" s="7">
        <f t="shared" si="2"/>
        <v>0</v>
      </c>
      <c r="Q51" s="48">
        <f t="shared" si="5"/>
        <v>0</v>
      </c>
      <c r="R51" s="48">
        <f t="shared" si="5"/>
        <v>0</v>
      </c>
      <c r="S51" s="48">
        <f t="shared" si="5"/>
        <v>0</v>
      </c>
      <c r="T51" s="48">
        <f t="shared" si="5"/>
        <v>0</v>
      </c>
      <c r="V51" s="48"/>
      <c r="W51" s="7" t="str">
        <f t="shared" si="6"/>
        <v>IDR</v>
      </c>
    </row>
    <row r="52" spans="1:23">
      <c r="A52" s="58" t="str">
        <f ca="1">_xlfn.XLOOKUP(B52,[10]Sheet1!$D:$D,[10]Sheet1!$E:$E)</f>
        <v>MYPROTECTION PASTI</v>
      </c>
      <c r="B52" t="str">
        <f t="shared" si="4"/>
        <v>CEMPST</v>
      </c>
      <c r="C52" t="str">
        <f>VLOOKUP(D52,DV_AZTRAD_Stat!H:I,2,FALSE)</f>
        <v>CEMPST_IDR</v>
      </c>
      <c r="D52" s="59" t="s">
        <v>2134</v>
      </c>
      <c r="E52" s="1">
        <f>SUMIF(DV_AZTRAD_Stat!$H:$H,Summary_Checking_TRAD!$D52,DV_AZTRAD_Stat!$C:$C)</f>
        <v>372</v>
      </c>
      <c r="F52" s="1">
        <f>SUMIF(DV_AZTRAD_Stat!$H:$H,Summary_Checking_TRAD!$D52,DV_AZTRAD_Stat!$E:$E)</f>
        <v>135971883687</v>
      </c>
      <c r="G52" s="1">
        <f>SUMIF(DV_AZTRAD_Stat!$H:$H,Summary_Checking_TRAD!$D52,DV_AZTRAD_Stat!$D:$D)</f>
        <v>11628546780</v>
      </c>
      <c r="H52" s="1">
        <v>0</v>
      </c>
      <c r="I52" s="1">
        <f>SUMIF(IT_AZTRAD_FULL_Stat!$H:$H,Summary_Checking_TRAD!$D52,IT_AZTRAD_FULL_Stat!C:C)
+SUMIF(Summary!$H:$H,Summary_Checking_TRAD!$D52,Summary!C:C)</f>
        <v>372</v>
      </c>
      <c r="J52" s="1">
        <f>SUMIF(IT_AZTRAD_FULL_Stat!$H:$H,Summary_Checking_TRAD!$D52,IT_AZTRAD_FULL_Stat!E:E)
+SUMIF(Summary!$H:$H,Summary_Checking_TRAD!$D52,Summary!E:E)</f>
        <v>135971883687</v>
      </c>
      <c r="K52" s="1">
        <f>SUMIF(IT_AZTRAD_FULL_Stat!$H:$H,Summary_Checking_TRAD!$D52,IT_AZTRAD_FULL_Stat!D:D)
+SUMIF(Summary!$H:$H,Summary_Checking_TRAD!$D52,Summary!D:D)</f>
        <v>11628546780</v>
      </c>
      <c r="L52" s="1">
        <v>0</v>
      </c>
      <c r="M52" s="7">
        <f t="shared" si="2"/>
        <v>0</v>
      </c>
      <c r="N52" s="7">
        <f t="shared" si="2"/>
        <v>0</v>
      </c>
      <c r="O52" s="7">
        <f t="shared" si="2"/>
        <v>0</v>
      </c>
      <c r="P52" s="7">
        <f t="shared" si="2"/>
        <v>0</v>
      </c>
      <c r="Q52" s="48">
        <f t="shared" si="5"/>
        <v>0</v>
      </c>
      <c r="R52" s="48">
        <f t="shared" si="5"/>
        <v>0</v>
      </c>
      <c r="S52" s="48">
        <f t="shared" si="5"/>
        <v>0</v>
      </c>
      <c r="T52" s="48">
        <f t="shared" si="5"/>
        <v>0</v>
      </c>
      <c r="V52" s="48"/>
      <c r="W52" s="7" t="str">
        <f t="shared" si="6"/>
        <v>IDR</v>
      </c>
    </row>
    <row r="53" spans="1:23">
      <c r="A53" s="58" t="str">
        <f ca="1">_xlfn.XLOOKUP(B53,[10]Sheet1!$D:$D,[10]Sheet1!$E:$E)</f>
        <v>Perlindungan Keluarga</v>
      </c>
      <c r="B53" t="str">
        <f t="shared" si="4"/>
        <v>CEPL__</v>
      </c>
      <c r="C53" t="str">
        <f>VLOOKUP(D53,DV_AZTRAD_Stat!H:I,2,FALSE)</f>
        <v>CEPL___IDR</v>
      </c>
      <c r="D53" s="59" t="s">
        <v>2135</v>
      </c>
      <c r="E53" s="1">
        <f>SUMIF(DV_AZTRAD_Stat!$H:$H,Summary_Checking_TRAD!$D53,DV_AZTRAD_Stat!$C:$C)</f>
        <v>2522</v>
      </c>
      <c r="F53" s="1">
        <f>SUMIF(DV_AZTRAD_Stat!$H:$H,Summary_Checking_TRAD!$D53,DV_AZTRAD_Stat!$E:$E)</f>
        <v>5338900000</v>
      </c>
      <c r="G53" s="1">
        <f>SUMIF(DV_AZTRAD_Stat!$H:$H,Summary_Checking_TRAD!$D53,DV_AZTRAD_Stat!$D:$D)</f>
        <v>473749855</v>
      </c>
      <c r="H53" s="1">
        <v>0</v>
      </c>
      <c r="I53" s="1">
        <f>SUMIF(IT_AZTRAD_FULL_Stat!$H:$H,Summary_Checking_TRAD!$D53,IT_AZTRAD_FULL_Stat!C:C)
+SUMIF(Summary!$H:$H,Summary_Checking_TRAD!$D53,Summary!C:C)</f>
        <v>2522</v>
      </c>
      <c r="J53" s="1">
        <f>SUMIF(IT_AZTRAD_FULL_Stat!$H:$H,Summary_Checking_TRAD!$D53,IT_AZTRAD_FULL_Stat!E:E)
+SUMIF(Summary!$H:$H,Summary_Checking_TRAD!$D53,Summary!E:E)</f>
        <v>5338900000</v>
      </c>
      <c r="K53" s="1">
        <f>SUMIF(IT_AZTRAD_FULL_Stat!$H:$H,Summary_Checking_TRAD!$D53,IT_AZTRAD_FULL_Stat!D:D)
+SUMIF(Summary!$H:$H,Summary_Checking_TRAD!$D53,Summary!D:D)</f>
        <v>473749855</v>
      </c>
      <c r="L53" s="1">
        <v>0</v>
      </c>
      <c r="M53" s="7">
        <f t="shared" si="2"/>
        <v>0</v>
      </c>
      <c r="N53" s="7">
        <f t="shared" si="2"/>
        <v>0</v>
      </c>
      <c r="O53" s="7">
        <f t="shared" si="2"/>
        <v>0</v>
      </c>
      <c r="P53" s="7">
        <f t="shared" si="2"/>
        <v>0</v>
      </c>
      <c r="Q53" s="48">
        <f t="shared" si="5"/>
        <v>0</v>
      </c>
      <c r="R53" s="48">
        <f t="shared" si="5"/>
        <v>0</v>
      </c>
      <c r="S53" s="48">
        <f t="shared" si="5"/>
        <v>0</v>
      </c>
      <c r="T53" s="48">
        <f t="shared" si="5"/>
        <v>0</v>
      </c>
      <c r="V53" s="48"/>
      <c r="W53" s="7" t="str">
        <f t="shared" si="6"/>
        <v>IDR</v>
      </c>
    </row>
    <row r="54" spans="1:23">
      <c r="A54" s="58" t="str">
        <f ca="1">_xlfn.XLOOKUP(B54,[10]Sheet1!$D:$D,[10]Sheet1!$E:$E)</f>
        <v>Perlindungan Keluarga</v>
      </c>
      <c r="B54" t="str">
        <f t="shared" si="4"/>
        <v>CEPL__</v>
      </c>
      <c r="C54" t="str">
        <f>VLOOKUP(D54,DV_AZTRAD_Stat!H:I,2,FALSE)</f>
        <v>CEPL___USD</v>
      </c>
      <c r="D54" s="59" t="s">
        <v>2136</v>
      </c>
      <c r="E54" s="1">
        <f>SUMIF(DV_AZTRAD_Stat!$H:$H,Summary_Checking_TRAD!$D54,DV_AZTRAD_Stat!$C:$C)</f>
        <v>31</v>
      </c>
      <c r="F54" s="1">
        <f>SUMIF(DV_AZTRAD_Stat!$H:$H,Summary_Checking_TRAD!$D54,DV_AZTRAD_Stat!$E:$E)</f>
        <v>134670</v>
      </c>
      <c r="G54" s="1">
        <f>SUMIF(DV_AZTRAD_Stat!$H:$H,Summary_Checking_TRAD!$D54,DV_AZTRAD_Stat!$D:$D)</f>
        <v>49441.2</v>
      </c>
      <c r="H54" s="1">
        <v>0</v>
      </c>
      <c r="I54" s="1">
        <f>SUMIF(IT_AZTRAD_FULL_Stat!$H:$H,Summary_Checking_TRAD!$D54,IT_AZTRAD_FULL_Stat!C:C)
+SUMIF(Summary!$H:$H,Summary_Checking_TRAD!$D54,Summary!C:C)</f>
        <v>31</v>
      </c>
      <c r="J54" s="1">
        <f>SUMIF(IT_AZTRAD_FULL_Stat!$H:$H,Summary_Checking_TRAD!$D54,IT_AZTRAD_FULL_Stat!E:E)
+SUMIF(Summary!$H:$H,Summary_Checking_TRAD!$D54,Summary!E:E)</f>
        <v>134670</v>
      </c>
      <c r="K54" s="1">
        <f>SUMIF(IT_AZTRAD_FULL_Stat!$H:$H,Summary_Checking_TRAD!$D54,IT_AZTRAD_FULL_Stat!D:D)
+SUMIF(Summary!$H:$H,Summary_Checking_TRAD!$D54,Summary!D:D)</f>
        <v>49441.2</v>
      </c>
      <c r="L54" s="1">
        <v>0</v>
      </c>
      <c r="M54" s="7">
        <f t="shared" si="2"/>
        <v>0</v>
      </c>
      <c r="N54" s="7">
        <f t="shared" si="2"/>
        <v>0</v>
      </c>
      <c r="O54" s="7">
        <f t="shared" si="2"/>
        <v>0</v>
      </c>
      <c r="P54" s="7">
        <f t="shared" si="2"/>
        <v>0</v>
      </c>
      <c r="Q54" s="48">
        <f t="shared" si="5"/>
        <v>0</v>
      </c>
      <c r="R54" s="48">
        <f t="shared" si="5"/>
        <v>0</v>
      </c>
      <c r="S54" s="48">
        <f t="shared" si="5"/>
        <v>0</v>
      </c>
      <c r="T54" s="48">
        <f t="shared" si="5"/>
        <v>0</v>
      </c>
      <c r="V54" s="48"/>
      <c r="W54" s="7" t="str">
        <f t="shared" si="6"/>
        <v>USD</v>
      </c>
    </row>
    <row r="55" spans="1:23">
      <c r="A55" s="58" t="str">
        <f ca="1">_xlfn.XLOOKUP(B55,[10]Sheet1!$D:$D,[10]Sheet1!$E:$E)</f>
        <v>Perlindungan Aken</v>
      </c>
      <c r="B55" t="str">
        <f t="shared" si="4"/>
        <v>CEPLA_</v>
      </c>
      <c r="C55" t="str">
        <f>VLOOKUP(D55,DV_AZTRAD_Stat!H:I,2,FALSE)</f>
        <v>CEPLA__IDR</v>
      </c>
      <c r="D55" s="59" t="s">
        <v>2137</v>
      </c>
      <c r="E55" s="1">
        <f>SUMIF(DV_AZTRAD_Stat!$H:$H,Summary_Checking_TRAD!$D55,DV_AZTRAD_Stat!$C:$C)</f>
        <v>171</v>
      </c>
      <c r="F55" s="1">
        <f>SUMIF(DV_AZTRAD_Stat!$H:$H,Summary_Checking_TRAD!$D55,DV_AZTRAD_Stat!$E:$E)</f>
        <v>919500000</v>
      </c>
      <c r="G55" s="1">
        <f>SUMIF(DV_AZTRAD_Stat!$H:$H,Summary_Checking_TRAD!$D55,DV_AZTRAD_Stat!$D:$D)</f>
        <v>57802068</v>
      </c>
      <c r="H55" s="1">
        <v>0</v>
      </c>
      <c r="I55" s="1">
        <f>SUMIF(IT_AZTRAD_FULL_Stat!$H:$H,Summary_Checking_TRAD!$D55,IT_AZTRAD_FULL_Stat!C:C)
+SUMIF(Summary!$H:$H,Summary_Checking_TRAD!$D55,Summary!C:C)</f>
        <v>171</v>
      </c>
      <c r="J55" s="1">
        <f>SUMIF(IT_AZTRAD_FULL_Stat!$H:$H,Summary_Checking_TRAD!$D55,IT_AZTRAD_FULL_Stat!E:E)
+SUMIF(Summary!$H:$H,Summary_Checking_TRAD!$D55,Summary!E:E)</f>
        <v>919500000</v>
      </c>
      <c r="K55" s="1">
        <f>SUMIF(IT_AZTRAD_FULL_Stat!$H:$H,Summary_Checking_TRAD!$D55,IT_AZTRAD_FULL_Stat!D:D)
+SUMIF(Summary!$H:$H,Summary_Checking_TRAD!$D55,Summary!D:D)</f>
        <v>57802068</v>
      </c>
      <c r="L55" s="1">
        <v>0</v>
      </c>
      <c r="M55" s="7">
        <f t="shared" si="2"/>
        <v>0</v>
      </c>
      <c r="N55" s="7">
        <f t="shared" si="2"/>
        <v>0</v>
      </c>
      <c r="O55" s="7">
        <f t="shared" si="2"/>
        <v>0</v>
      </c>
      <c r="P55" s="7">
        <f t="shared" si="2"/>
        <v>0</v>
      </c>
      <c r="Q55" s="48">
        <f t="shared" si="5"/>
        <v>0</v>
      </c>
      <c r="R55" s="48">
        <f t="shared" si="5"/>
        <v>0</v>
      </c>
      <c r="S55" s="48">
        <f t="shared" si="5"/>
        <v>0</v>
      </c>
      <c r="T55" s="48">
        <f t="shared" si="5"/>
        <v>0</v>
      </c>
      <c r="V55" s="48"/>
      <c r="W55" s="7" t="str">
        <f t="shared" si="6"/>
        <v>IDR</v>
      </c>
    </row>
    <row r="56" spans="1:23">
      <c r="A56" s="58" t="e">
        <f ca="1">_xlfn.XLOOKUP(B56,[10]Sheet1!$D:$D,[10]Sheet1!$E:$E)</f>
        <v>#N/A</v>
      </c>
      <c r="B56" t="str">
        <f t="shared" si="4"/>
        <v>CEPNTR</v>
      </c>
      <c r="C56" t="str">
        <f>VLOOKUP(D56,DV_AZTRAD_Stat!H:I,2,FALSE)</f>
        <v>CEPNTR_IDR</v>
      </c>
      <c r="D56" s="2" t="s">
        <v>2138</v>
      </c>
      <c r="E56" s="1">
        <f>SUMIF(DV_AZTRAD_Stat!$H:$H,Summary_Checking_TRAD!$D56,DV_AZTRAD_Stat!$C:$C)</f>
        <v>878</v>
      </c>
      <c r="F56" s="1">
        <f>SUMIF(DV_AZTRAD_Stat!$H:$H,Summary_Checking_TRAD!$D56,DV_AZTRAD_Stat!$E:$E)</f>
        <v>310597200000</v>
      </c>
      <c r="G56" s="1">
        <f>SUMIF(DV_AZTRAD_Stat!$H:$H,Summary_Checking_TRAD!$D56,DV_AZTRAD_Stat!$D:$D)</f>
        <v>205390000000</v>
      </c>
      <c r="H56" s="1">
        <v>0</v>
      </c>
      <c r="I56" s="1">
        <f>SUMIF(IT_AZTRAD_FULL_Stat!$H:$H,Summary_Checking_TRAD!$D56,IT_AZTRAD_FULL_Stat!C:C)
+SUMIF(Summary!$H:$H,Summary_Checking_TRAD!$D56,Summary!C:C)</f>
        <v>331</v>
      </c>
      <c r="J56" s="1">
        <f>SUMIF(IT_AZTRAD_FULL_Stat!$H:$H,Summary_Checking_TRAD!$D56,IT_AZTRAD_FULL_Stat!E:E)
+SUMIF(Summary!$H:$H,Summary_Checking_TRAD!$D56,Summary!E:E)</f>
        <v>96864200000</v>
      </c>
      <c r="K56" s="1">
        <f>SUMIF(IT_AZTRAD_FULL_Stat!$H:$H,Summary_Checking_TRAD!$D56,IT_AZTRAD_FULL_Stat!D:D)
+SUMIF(Summary!$H:$H,Summary_Checking_TRAD!$D56,Summary!D:D)</f>
        <v>64720000000</v>
      </c>
      <c r="L56" s="1">
        <v>0</v>
      </c>
      <c r="M56" s="7">
        <f t="shared" si="2"/>
        <v>547</v>
      </c>
      <c r="N56" s="7">
        <f t="shared" si="2"/>
        <v>213733000000</v>
      </c>
      <c r="O56" s="7">
        <f t="shared" si="2"/>
        <v>140670000000</v>
      </c>
      <c r="P56" s="7">
        <f t="shared" si="2"/>
        <v>0</v>
      </c>
      <c r="Q56" s="48">
        <f t="shared" si="5"/>
        <v>1.6525679758308156</v>
      </c>
      <c r="R56" s="48">
        <f t="shared" si="5"/>
        <v>2.206522120659645</v>
      </c>
      <c r="S56" s="48">
        <f t="shared" si="5"/>
        <v>2.1735166872682323</v>
      </c>
      <c r="T56" s="48">
        <f t="shared" si="5"/>
        <v>0</v>
      </c>
      <c r="V56" s="48"/>
      <c r="W56" s="7" t="str">
        <f t="shared" si="6"/>
        <v>IDR</v>
      </c>
    </row>
    <row r="57" spans="1:23">
      <c r="A57" s="58" t="e">
        <f ca="1">_xlfn.XLOOKUP(B57,[10]Sheet1!$D:$D,[10]Sheet1!$E:$E)</f>
        <v>#N/A</v>
      </c>
      <c r="B57" t="str">
        <f t="shared" si="4"/>
        <v>CEPNTR</v>
      </c>
      <c r="C57" t="str">
        <f>VLOOKUP(D57,DV_AZTRAD_Stat!H:I,2,FALSE)</f>
        <v>CEPNTR_USD</v>
      </c>
      <c r="D57" s="2" t="s">
        <v>2139</v>
      </c>
      <c r="E57" s="1">
        <f>SUMIF(DV_AZTRAD_Stat!$H:$H,Summary_Checking_TRAD!$D57,DV_AZTRAD_Stat!$C:$C)</f>
        <v>651</v>
      </c>
      <c r="F57" s="1">
        <f>SUMIF(DV_AZTRAD_Stat!$H:$H,Summary_Checking_TRAD!$D57,DV_AZTRAD_Stat!$E:$E)</f>
        <v>17632147</v>
      </c>
      <c r="G57" s="1">
        <f>SUMIF(DV_AZTRAD_Stat!$H:$H,Summary_Checking_TRAD!$D57,DV_AZTRAD_Stat!$D:$D)</f>
        <v>13344167</v>
      </c>
      <c r="H57" s="1">
        <v>0</v>
      </c>
      <c r="I57" s="1">
        <f>SUMIF(IT_AZTRAD_FULL_Stat!$H:$H,Summary_Checking_TRAD!$D57,IT_AZTRAD_FULL_Stat!C:C)
+SUMIF(Summary!$H:$H,Summary_Checking_TRAD!$D57,Summary!C:C)</f>
        <v>66</v>
      </c>
      <c r="J57" s="1">
        <f>SUMIF(IT_AZTRAD_FULL_Stat!$H:$H,Summary_Checking_TRAD!$D57,IT_AZTRAD_FULL_Stat!E:E)
+SUMIF(Summary!$H:$H,Summary_Checking_TRAD!$D57,Summary!E:E)</f>
        <v>1840165</v>
      </c>
      <c r="K57" s="1">
        <f>SUMIF(IT_AZTRAD_FULL_Stat!$H:$H,Summary_Checking_TRAD!$D57,IT_AZTRAD_FULL_Stat!D:D)
+SUMIF(Summary!$H:$H,Summary_Checking_TRAD!$D57,Summary!D:D)</f>
        <v>1400500</v>
      </c>
      <c r="L57" s="1">
        <v>0</v>
      </c>
      <c r="M57" s="7">
        <f t="shared" si="2"/>
        <v>585</v>
      </c>
      <c r="N57" s="7">
        <f t="shared" si="2"/>
        <v>15791982</v>
      </c>
      <c r="O57" s="7">
        <f t="shared" si="2"/>
        <v>11943667</v>
      </c>
      <c r="P57" s="7">
        <f t="shared" si="2"/>
        <v>0</v>
      </c>
      <c r="Q57" s="48">
        <f t="shared" si="5"/>
        <v>8.8636363636363633</v>
      </c>
      <c r="R57" s="48">
        <f t="shared" si="5"/>
        <v>8.5818293468248772</v>
      </c>
      <c r="S57" s="48">
        <f t="shared" si="5"/>
        <v>8.5281449482327734</v>
      </c>
      <c r="T57" s="48">
        <f t="shared" si="5"/>
        <v>0</v>
      </c>
      <c r="V57" s="48"/>
      <c r="W57" s="7" t="str">
        <f t="shared" si="6"/>
        <v>USD</v>
      </c>
    </row>
    <row r="58" spans="1:23">
      <c r="A58" s="58" t="e">
        <f ca="1">_xlfn.XLOOKUP(B58,[10]Sheet1!$D:$D,[10]Sheet1!$E:$E)</f>
        <v>#N/A</v>
      </c>
      <c r="B58" t="str">
        <f t="shared" si="4"/>
        <v>CEPNTR</v>
      </c>
      <c r="C58" s="2" t="s">
        <v>1658</v>
      </c>
      <c r="D58" s="2" t="s">
        <v>2140</v>
      </c>
      <c r="E58" s="1">
        <f>SUMIF(DV_AZTRAD_Stat!$H:$H,Summary_Checking_TRAD!$D58,DV_AZTRAD_Stat!$C:$C)</f>
        <v>0</v>
      </c>
      <c r="F58" s="1">
        <f>SUMIF(DV_AZTRAD_Stat!$H:$H,Summary_Checking_TRAD!$D58,DV_AZTRAD_Stat!$E:$E)</f>
        <v>0</v>
      </c>
      <c r="G58" s="1">
        <f>SUMIF(DV_AZTRAD_Stat!$H:$H,Summary_Checking_TRAD!$D58,DV_AZTRAD_Stat!$D:$D)</f>
        <v>0</v>
      </c>
      <c r="H58" s="1">
        <v>0</v>
      </c>
      <c r="I58" s="1">
        <f>SUMIF(IT_AZTRAD_FULL_Stat!$H:$H,Summary_Checking_TRAD!$D58,IT_AZTRAD_FULL_Stat!C:C)
+SUMIF(Summary!$H:$H,Summary_Checking_TRAD!$D58,Summary!C:C)</f>
        <v>410</v>
      </c>
      <c r="J58" s="1">
        <f>SUMIF(IT_AZTRAD_FULL_Stat!$H:$H,Summary_Checking_TRAD!$D58,IT_AZTRAD_FULL_Stat!E:E)
+SUMIF(Summary!$H:$H,Summary_Checking_TRAD!$D58,Summary!E:E)</f>
        <v>10209145</v>
      </c>
      <c r="K58" s="1">
        <f>SUMIF(IT_AZTRAD_FULL_Stat!$H:$H,Summary_Checking_TRAD!$D58,IT_AZTRAD_FULL_Stat!D:D)
+SUMIF(Summary!$H:$H,Summary_Checking_TRAD!$D58,Summary!D:D)</f>
        <v>7739717</v>
      </c>
      <c r="L58" s="1">
        <v>0</v>
      </c>
      <c r="M58" s="7">
        <f t="shared" si="2"/>
        <v>-410</v>
      </c>
      <c r="N58" s="7">
        <f t="shared" si="2"/>
        <v>-10209145</v>
      </c>
      <c r="O58" s="7">
        <f t="shared" si="2"/>
        <v>-7739717</v>
      </c>
      <c r="P58" s="7">
        <f t="shared" si="2"/>
        <v>0</v>
      </c>
      <c r="Q58" s="48">
        <f t="shared" si="5"/>
        <v>-1</v>
      </c>
      <c r="R58" s="48">
        <f t="shared" si="5"/>
        <v>-1</v>
      </c>
      <c r="S58" s="48">
        <f t="shared" si="5"/>
        <v>-1</v>
      </c>
      <c r="T58" s="48">
        <f t="shared" si="5"/>
        <v>0</v>
      </c>
      <c r="V58" s="48"/>
      <c r="W58" s="7" t="str">
        <f t="shared" si="6"/>
        <v>USD</v>
      </c>
    </row>
    <row r="59" spans="1:23">
      <c r="A59" s="58" t="e">
        <f ca="1">_xlfn.XLOOKUP(B59,[10]Sheet1!$D:$D,[10]Sheet1!$E:$E)</f>
        <v>#N/A</v>
      </c>
      <c r="B59" t="str">
        <f t="shared" ref="B59" si="7">LEFT(C59,6)</f>
        <v>CEPNTR</v>
      </c>
      <c r="C59" s="2" t="s">
        <v>1656</v>
      </c>
      <c r="D59" s="2" t="s">
        <v>2297</v>
      </c>
      <c r="E59" s="1">
        <f>SUMIF(DV_AZTRAD_Stat!$H:$H,Summary_Checking_TRAD!$D59,DV_AZTRAD_Stat!$C:$C)</f>
        <v>0</v>
      </c>
      <c r="F59" s="1">
        <f>SUMIF(DV_AZTRAD_Stat!$H:$H,Summary_Checking_TRAD!$D59,DV_AZTRAD_Stat!$E:$E)</f>
        <v>0</v>
      </c>
      <c r="G59" s="1">
        <f>SUMIF(DV_AZTRAD_Stat!$H:$H,Summary_Checking_TRAD!$D59,DV_AZTRAD_Stat!$D:$D)</f>
        <v>0</v>
      </c>
      <c r="H59" s="1">
        <v>0</v>
      </c>
      <c r="I59" s="1">
        <f>SUMIF(IT_AZTRAD_FULL_Stat!$H:$H,Summary_Checking_TRAD!$D59,IT_AZTRAD_FULL_Stat!C:C)
+SUMIF(Summary!$H:$H,Summary_Checking_TRAD!$D59,Summary!C:C)</f>
        <v>383</v>
      </c>
      <c r="J59" s="1">
        <f>SUMIF(IT_AZTRAD_FULL_Stat!$H:$H,Summary_Checking_TRAD!$D59,IT_AZTRAD_FULL_Stat!E:E)
+SUMIF(Summary!$H:$H,Summary_Checking_TRAD!$D59,Summary!E:E)</f>
        <v>144207000000</v>
      </c>
      <c r="K59" s="1">
        <f>SUMIF(IT_AZTRAD_FULL_Stat!$H:$H,Summary_Checking_TRAD!$D59,IT_AZTRAD_FULL_Stat!D:D)
+SUMIF(Summary!$H:$H,Summary_Checking_TRAD!$D59,Summary!D:D)</f>
        <v>93700000000</v>
      </c>
      <c r="L59" s="1">
        <v>0</v>
      </c>
      <c r="M59" s="7">
        <f t="shared" ref="M59" si="8">E59-I59</f>
        <v>-383</v>
      </c>
      <c r="N59" s="7">
        <f t="shared" ref="N59" si="9">F59-J59</f>
        <v>-144207000000</v>
      </c>
      <c r="O59" s="7">
        <f t="shared" ref="O59" si="10">G59-K59</f>
        <v>-93700000000</v>
      </c>
      <c r="P59" s="7">
        <f t="shared" ref="P59" si="11">H59-L59</f>
        <v>0</v>
      </c>
      <c r="Q59" s="48">
        <f t="shared" ref="Q59:T59" si="12">IFERROR(M59/I59,0)</f>
        <v>-1</v>
      </c>
      <c r="R59" s="48">
        <f t="shared" si="12"/>
        <v>-1</v>
      </c>
      <c r="S59" s="48">
        <f t="shared" si="12"/>
        <v>-1</v>
      </c>
      <c r="T59" s="48">
        <f t="shared" si="12"/>
        <v>0</v>
      </c>
      <c r="V59" s="48"/>
      <c r="W59" s="7" t="str">
        <f t="shared" ref="W59" si="13">RIGHT(D59,3)</f>
        <v>IDR</v>
      </c>
    </row>
    <row r="60" spans="1:23">
      <c r="A60" s="58" t="e">
        <f ca="1">_xlfn.XLOOKUP(B60,[10]Sheet1!$D:$D,[10]Sheet1!$E:$E)</f>
        <v>#N/A</v>
      </c>
      <c r="B60" t="str">
        <f t="shared" si="4"/>
        <v>CEPNTR</v>
      </c>
      <c r="C60" s="2" t="s">
        <v>1656</v>
      </c>
      <c r="D60" s="2" t="s">
        <v>2141</v>
      </c>
      <c r="E60" s="1">
        <f>SUMIF(DV_AZTRAD_Stat!$H:$H,Summary_Checking_TRAD!$D60,DV_AZTRAD_Stat!$C:$C)</f>
        <v>0</v>
      </c>
      <c r="F60" s="1">
        <f>SUMIF(DV_AZTRAD_Stat!$H:$H,Summary_Checking_TRAD!$D60,DV_AZTRAD_Stat!$E:$E)</f>
        <v>0</v>
      </c>
      <c r="G60" s="1">
        <f>SUMIF(DV_AZTRAD_Stat!$H:$H,Summary_Checking_TRAD!$D60,DV_AZTRAD_Stat!$D:$D)</f>
        <v>0</v>
      </c>
      <c r="H60" s="1">
        <v>0</v>
      </c>
      <c r="I60" s="1">
        <f>SUMIF(IT_AZTRAD_FULL_Stat!$H:$H,Summary_Checking_TRAD!$D60,IT_AZTRAD_FULL_Stat!C:C)
+SUMIF(Summary!$H:$H,Summary_Checking_TRAD!$D60,Summary!C:C)</f>
        <v>120</v>
      </c>
      <c r="J60" s="1">
        <f>SUMIF(IT_AZTRAD_FULL_Stat!$H:$H,Summary_Checking_TRAD!$D60,IT_AZTRAD_FULL_Stat!E:E)
+SUMIF(Summary!$H:$H,Summary_Checking_TRAD!$D60,Summary!E:E)</f>
        <v>50452900000</v>
      </c>
      <c r="K60" s="1">
        <f>SUMIF(IT_AZTRAD_FULL_Stat!$H:$H,Summary_Checking_TRAD!$D60,IT_AZTRAD_FULL_Stat!D:D)
+SUMIF(Summary!$H:$H,Summary_Checking_TRAD!$D60,Summary!D:D)</f>
        <v>34570000000</v>
      </c>
      <c r="L60" s="1">
        <v>0</v>
      </c>
      <c r="M60" s="7">
        <f t="shared" si="2"/>
        <v>-120</v>
      </c>
      <c r="N60" s="7">
        <f t="shared" si="2"/>
        <v>-50452900000</v>
      </c>
      <c r="O60" s="7">
        <f t="shared" si="2"/>
        <v>-34570000000</v>
      </c>
      <c r="P60" s="7">
        <f t="shared" si="2"/>
        <v>0</v>
      </c>
      <c r="Q60" s="48">
        <f t="shared" si="5"/>
        <v>-1</v>
      </c>
      <c r="R60" s="48">
        <f t="shared" si="5"/>
        <v>-1</v>
      </c>
      <c r="S60" s="48">
        <f t="shared" si="5"/>
        <v>-1</v>
      </c>
      <c r="T60" s="48">
        <f t="shared" si="5"/>
        <v>0</v>
      </c>
      <c r="V60" s="48"/>
      <c r="W60" s="7" t="str">
        <f t="shared" si="6"/>
        <v>IDR</v>
      </c>
    </row>
    <row r="61" spans="1:23">
      <c r="A61" s="58" t="e">
        <f ca="1">_xlfn.XLOOKUP(B61,[10]Sheet1!$D:$D,[10]Sheet1!$E:$E)</f>
        <v>#N/A</v>
      </c>
      <c r="B61" t="str">
        <f t="shared" si="4"/>
        <v>CEPNTR</v>
      </c>
      <c r="C61" s="2" t="s">
        <v>1658</v>
      </c>
      <c r="D61" s="2" t="s">
        <v>2142</v>
      </c>
      <c r="E61" s="1">
        <f>SUMIF(DV_AZTRAD_Stat!$H:$H,Summary_Checking_TRAD!$D61,DV_AZTRAD_Stat!$C:$C)</f>
        <v>0</v>
      </c>
      <c r="F61" s="1">
        <f>SUMIF(DV_AZTRAD_Stat!$H:$H,Summary_Checking_TRAD!$D61,DV_AZTRAD_Stat!$E:$E)</f>
        <v>0</v>
      </c>
      <c r="G61" s="1">
        <f>SUMIF(DV_AZTRAD_Stat!$H:$H,Summary_Checking_TRAD!$D61,DV_AZTRAD_Stat!$D:$D)</f>
        <v>0</v>
      </c>
      <c r="H61" s="1">
        <v>0</v>
      </c>
      <c r="I61" s="1">
        <f>SUMIF(IT_AZTRAD_FULL_Stat!$H:$H,Summary_Checking_TRAD!$D61,IT_AZTRAD_FULL_Stat!C:C)
+SUMIF(Summary!$H:$H,Summary_Checking_TRAD!$D61,Summary!C:C)</f>
        <v>155</v>
      </c>
      <c r="J61" s="1">
        <f>SUMIF(IT_AZTRAD_FULL_Stat!$H:$H,Summary_Checking_TRAD!$D61,IT_AZTRAD_FULL_Stat!E:E)
+SUMIF(Summary!$H:$H,Summary_Checking_TRAD!$D61,Summary!E:E)</f>
        <v>4571777</v>
      </c>
      <c r="K61" s="1">
        <f>SUMIF(IT_AZTRAD_FULL_Stat!$H:$H,Summary_Checking_TRAD!$D61,IT_AZTRAD_FULL_Stat!D:D)
+SUMIF(Summary!$H:$H,Summary_Checking_TRAD!$D61,Summary!D:D)</f>
        <v>3447950</v>
      </c>
      <c r="L61" s="1">
        <v>0</v>
      </c>
      <c r="M61" s="7">
        <f t="shared" si="2"/>
        <v>-155</v>
      </c>
      <c r="N61" s="7">
        <f t="shared" si="2"/>
        <v>-4571777</v>
      </c>
      <c r="O61" s="7">
        <f t="shared" si="2"/>
        <v>-3447950</v>
      </c>
      <c r="P61" s="7">
        <f t="shared" si="2"/>
        <v>0</v>
      </c>
      <c r="Q61" s="48">
        <f t="shared" si="5"/>
        <v>-1</v>
      </c>
      <c r="R61" s="48">
        <f t="shared" si="5"/>
        <v>-1</v>
      </c>
      <c r="S61" s="48">
        <f t="shared" si="5"/>
        <v>-1</v>
      </c>
      <c r="T61" s="48">
        <f t="shared" si="5"/>
        <v>0</v>
      </c>
      <c r="V61" s="48"/>
      <c r="W61" s="7" t="str">
        <f t="shared" si="6"/>
        <v>USD</v>
      </c>
    </row>
    <row r="62" spans="1:23">
      <c r="A62" s="58" t="e">
        <f ca="1">_xlfn.XLOOKUP(B62,[10]Sheet1!$D:$D,[10]Sheet1!$E:$E)</f>
        <v>#N/A</v>
      </c>
      <c r="B62" t="str">
        <f t="shared" si="4"/>
        <v>CEPNTR</v>
      </c>
      <c r="C62" s="2" t="s">
        <v>1656</v>
      </c>
      <c r="D62" s="2" t="s">
        <v>2143</v>
      </c>
      <c r="E62" s="1">
        <f>SUMIF(DV_AZTRAD_Stat!$H:$H,Summary_Checking_TRAD!$D62,DV_AZTRAD_Stat!$C:$C)</f>
        <v>0</v>
      </c>
      <c r="F62" s="1">
        <f>SUMIF(DV_AZTRAD_Stat!$H:$H,Summary_Checking_TRAD!$D62,DV_AZTRAD_Stat!$E:$E)</f>
        <v>0</v>
      </c>
      <c r="G62" s="1">
        <f>SUMIF(DV_AZTRAD_Stat!$H:$H,Summary_Checking_TRAD!$D62,DV_AZTRAD_Stat!$D:$D)</f>
        <v>0</v>
      </c>
      <c r="H62" s="1">
        <v>0</v>
      </c>
      <c r="I62" s="1">
        <f>SUMIF(IT_AZTRAD_FULL_Stat!$H:$H,Summary_Checking_TRAD!$D62,IT_AZTRAD_FULL_Stat!C:C)
+SUMIF(Summary!$H:$H,Summary_Checking_TRAD!$D62,Summary!C:C)</f>
        <v>44</v>
      </c>
      <c r="J62" s="1">
        <f>SUMIF(IT_AZTRAD_FULL_Stat!$H:$H,Summary_Checking_TRAD!$D62,IT_AZTRAD_FULL_Stat!E:E)
+SUMIF(Summary!$H:$H,Summary_Checking_TRAD!$D62,Summary!E:E)</f>
        <v>19073100000</v>
      </c>
      <c r="K62" s="1">
        <f>SUMIF(IT_AZTRAD_FULL_Stat!$H:$H,Summary_Checking_TRAD!$D62,IT_AZTRAD_FULL_Stat!D:D)
+SUMIF(Summary!$H:$H,Summary_Checking_TRAD!$D62,Summary!D:D)</f>
        <v>12400000000</v>
      </c>
      <c r="L62" s="1">
        <v>0</v>
      </c>
      <c r="M62" s="7">
        <f t="shared" si="2"/>
        <v>-44</v>
      </c>
      <c r="N62" s="7">
        <f t="shared" si="2"/>
        <v>-19073100000</v>
      </c>
      <c r="O62" s="7">
        <f t="shared" si="2"/>
        <v>-12400000000</v>
      </c>
      <c r="P62" s="7">
        <f t="shared" si="2"/>
        <v>0</v>
      </c>
      <c r="Q62" s="48">
        <f t="shared" si="5"/>
        <v>-1</v>
      </c>
      <c r="R62" s="48">
        <f t="shared" si="5"/>
        <v>-1</v>
      </c>
      <c r="S62" s="48">
        <f t="shared" si="5"/>
        <v>-1</v>
      </c>
      <c r="T62" s="48">
        <f t="shared" si="5"/>
        <v>0</v>
      </c>
      <c r="V62" s="48"/>
      <c r="W62" s="7" t="str">
        <f t="shared" si="6"/>
        <v>IDR</v>
      </c>
    </row>
    <row r="63" spans="1:23">
      <c r="A63" s="58" t="e">
        <f ca="1">_xlfn.XLOOKUP(B63,[10]Sheet1!$D:$D,[10]Sheet1!$E:$E)</f>
        <v>#N/A</v>
      </c>
      <c r="B63" t="str">
        <f t="shared" si="4"/>
        <v>CEPNTR</v>
      </c>
      <c r="C63" s="2" t="s">
        <v>1658</v>
      </c>
      <c r="D63" s="2" t="s">
        <v>2144</v>
      </c>
      <c r="E63" s="1">
        <f>SUMIF(DV_AZTRAD_Stat!$H:$H,Summary_Checking_TRAD!$D63,DV_AZTRAD_Stat!$C:$C)</f>
        <v>0</v>
      </c>
      <c r="F63" s="1">
        <f>SUMIF(DV_AZTRAD_Stat!$H:$H,Summary_Checking_TRAD!$D63,DV_AZTRAD_Stat!$E:$E)</f>
        <v>0</v>
      </c>
      <c r="G63" s="1">
        <f>SUMIF(DV_AZTRAD_Stat!$H:$H,Summary_Checking_TRAD!$D63,DV_AZTRAD_Stat!$D:$D)</f>
        <v>0</v>
      </c>
      <c r="H63" s="1">
        <v>0</v>
      </c>
      <c r="I63" s="1">
        <f>SUMIF(IT_AZTRAD_FULL_Stat!$H:$H,Summary_Checking_TRAD!$D63,IT_AZTRAD_FULL_Stat!C:C)
+SUMIF(Summary!$H:$H,Summary_Checking_TRAD!$D63,Summary!C:C)</f>
        <v>20</v>
      </c>
      <c r="J63" s="1">
        <f>SUMIF(IT_AZTRAD_FULL_Stat!$H:$H,Summary_Checking_TRAD!$D63,IT_AZTRAD_FULL_Stat!E:E)
+SUMIF(Summary!$H:$H,Summary_Checking_TRAD!$D63,Summary!E:E)</f>
        <v>1011060</v>
      </c>
      <c r="K63" s="1">
        <f>SUMIF(IT_AZTRAD_FULL_Stat!$H:$H,Summary_Checking_TRAD!$D63,IT_AZTRAD_FULL_Stat!D:D)
+SUMIF(Summary!$H:$H,Summary_Checking_TRAD!$D63,Summary!D:D)</f>
        <v>756000</v>
      </c>
      <c r="L63" s="1">
        <v>0</v>
      </c>
      <c r="M63" s="7">
        <f t="shared" si="2"/>
        <v>-20</v>
      </c>
      <c r="N63" s="7">
        <f t="shared" si="2"/>
        <v>-1011060</v>
      </c>
      <c r="O63" s="7">
        <f t="shared" si="2"/>
        <v>-756000</v>
      </c>
      <c r="P63" s="7">
        <f t="shared" si="2"/>
        <v>0</v>
      </c>
      <c r="Q63" s="48">
        <f t="shared" si="5"/>
        <v>-1</v>
      </c>
      <c r="R63" s="48">
        <f t="shared" si="5"/>
        <v>-1</v>
      </c>
      <c r="S63" s="48">
        <f t="shared" si="5"/>
        <v>-1</v>
      </c>
      <c r="T63" s="48">
        <f t="shared" si="5"/>
        <v>0</v>
      </c>
      <c r="V63" s="48"/>
      <c r="W63" s="7" t="str">
        <f t="shared" si="6"/>
        <v>USD</v>
      </c>
    </row>
    <row r="64" spans="1:23">
      <c r="A64" s="58" t="str">
        <f ca="1">_xlfn.XLOOKUP(B64,[10]Sheet1!$D:$D,[10]Sheet1!$E:$E)</f>
        <v>Smart Cash</v>
      </c>
      <c r="B64" t="str">
        <f t="shared" si="4"/>
        <v>CESC__</v>
      </c>
      <c r="C64" t="str">
        <f>VLOOKUP(D64,DV_AZTRAD_Stat!H:I,2,FALSE)</f>
        <v>CESC___IDR</v>
      </c>
      <c r="D64" s="59" t="s">
        <v>2145</v>
      </c>
      <c r="E64" s="1">
        <f>SUMIF(DV_AZTRAD_Stat!$H:$H,Summary_Checking_TRAD!$D64,DV_AZTRAD_Stat!$C:$C)</f>
        <v>83</v>
      </c>
      <c r="F64" s="1">
        <f>SUMIF(DV_AZTRAD_Stat!$H:$H,Summary_Checking_TRAD!$D64,DV_AZTRAD_Stat!$E:$E)</f>
        <v>1702000000</v>
      </c>
      <c r="G64" s="1">
        <f>SUMIF(DV_AZTRAD_Stat!$H:$H,Summary_Checking_TRAD!$D64,DV_AZTRAD_Stat!$D:$D)</f>
        <v>287121200</v>
      </c>
      <c r="H64" s="1">
        <v>0</v>
      </c>
      <c r="I64" s="1">
        <f>SUMIF(IT_AZTRAD_FULL_Stat!$H:$H,Summary_Checking_TRAD!$D64,IT_AZTRAD_FULL_Stat!C:C)
+SUMIF(Summary!$H:$H,Summary_Checking_TRAD!$D64,Summary!C:C)</f>
        <v>83</v>
      </c>
      <c r="J64" s="1">
        <f>SUMIF(IT_AZTRAD_FULL_Stat!$H:$H,Summary_Checking_TRAD!$D64,IT_AZTRAD_FULL_Stat!E:E)
+SUMIF(Summary!$H:$H,Summary_Checking_TRAD!$D64,Summary!E:E)</f>
        <v>1702000000</v>
      </c>
      <c r="K64" s="1">
        <f>SUMIF(IT_AZTRAD_FULL_Stat!$H:$H,Summary_Checking_TRAD!$D64,IT_AZTRAD_FULL_Stat!D:D)
+SUMIF(Summary!$H:$H,Summary_Checking_TRAD!$D64,Summary!D:D)</f>
        <v>287121200</v>
      </c>
      <c r="L64" s="1">
        <v>0</v>
      </c>
      <c r="M64" s="7">
        <f t="shared" si="2"/>
        <v>0</v>
      </c>
      <c r="N64" s="7">
        <f t="shared" si="2"/>
        <v>0</v>
      </c>
      <c r="O64" s="7">
        <f t="shared" si="2"/>
        <v>0</v>
      </c>
      <c r="P64" s="7">
        <f t="shared" si="2"/>
        <v>0</v>
      </c>
      <c r="Q64" s="48">
        <f t="shared" si="5"/>
        <v>0</v>
      </c>
      <c r="R64" s="48">
        <f t="shared" si="5"/>
        <v>0</v>
      </c>
      <c r="S64" s="48">
        <f t="shared" si="5"/>
        <v>0</v>
      </c>
      <c r="T64" s="48">
        <f t="shared" si="5"/>
        <v>0</v>
      </c>
      <c r="V64" s="48"/>
      <c r="W64" s="7" t="str">
        <f t="shared" si="6"/>
        <v>IDR</v>
      </c>
    </row>
    <row r="65" spans="1:23">
      <c r="A65" s="58" t="str">
        <f ca="1">_xlfn.XLOOKUP(B65,[10]Sheet1!$D:$D,[10]Sheet1!$E:$E)</f>
        <v>Smart Cash</v>
      </c>
      <c r="B65" t="str">
        <f t="shared" si="4"/>
        <v>CESC__</v>
      </c>
      <c r="C65" t="str">
        <f>VLOOKUP(D65,DV_AZTRAD_Stat!H:I,2,FALSE)</f>
        <v>CESC___USD</v>
      </c>
      <c r="D65" s="59" t="s">
        <v>2146</v>
      </c>
      <c r="E65" s="1">
        <f>SUMIF(DV_AZTRAD_Stat!$H:$H,Summary_Checking_TRAD!$D65,DV_AZTRAD_Stat!$C:$C)</f>
        <v>3</v>
      </c>
      <c r="F65" s="1">
        <f>SUMIF(DV_AZTRAD_Stat!$H:$H,Summary_Checking_TRAD!$D65,DV_AZTRAD_Stat!$E:$E)</f>
        <v>15500</v>
      </c>
      <c r="G65" s="1">
        <f>SUMIF(DV_AZTRAD_Stat!$H:$H,Summary_Checking_TRAD!$D65,DV_AZTRAD_Stat!$D:$D)</f>
        <v>3000</v>
      </c>
      <c r="H65" s="1">
        <v>0</v>
      </c>
      <c r="I65" s="1">
        <f>SUMIF(IT_AZTRAD_FULL_Stat!$H:$H,Summary_Checking_TRAD!$D65,IT_AZTRAD_FULL_Stat!C:C)
+SUMIF(Summary!$H:$H,Summary_Checking_TRAD!$D65,Summary!C:C)</f>
        <v>3</v>
      </c>
      <c r="J65" s="1">
        <f>SUMIF(IT_AZTRAD_FULL_Stat!$H:$H,Summary_Checking_TRAD!$D65,IT_AZTRAD_FULL_Stat!E:E)
+SUMIF(Summary!$H:$H,Summary_Checking_TRAD!$D65,Summary!E:E)</f>
        <v>15500</v>
      </c>
      <c r="K65" s="1">
        <f>SUMIF(IT_AZTRAD_FULL_Stat!$H:$H,Summary_Checking_TRAD!$D65,IT_AZTRAD_FULL_Stat!D:D)
+SUMIF(Summary!$H:$H,Summary_Checking_TRAD!$D65,Summary!D:D)</f>
        <v>3000</v>
      </c>
      <c r="L65" s="1">
        <v>0</v>
      </c>
      <c r="M65" s="7">
        <f t="shared" si="2"/>
        <v>0</v>
      </c>
      <c r="N65" s="7">
        <f t="shared" si="2"/>
        <v>0</v>
      </c>
      <c r="O65" s="7">
        <f t="shared" si="2"/>
        <v>0</v>
      </c>
      <c r="P65" s="7">
        <f t="shared" si="2"/>
        <v>0</v>
      </c>
      <c r="Q65" s="48">
        <f t="shared" si="5"/>
        <v>0</v>
      </c>
      <c r="R65" s="48">
        <f t="shared" si="5"/>
        <v>0</v>
      </c>
      <c r="S65" s="48">
        <f t="shared" si="5"/>
        <v>0</v>
      </c>
      <c r="T65" s="48">
        <f t="shared" si="5"/>
        <v>0</v>
      </c>
      <c r="V65" s="48"/>
      <c r="W65" s="7" t="str">
        <f t="shared" si="6"/>
        <v>USD</v>
      </c>
    </row>
    <row r="66" spans="1:23">
      <c r="A66" s="58" t="str">
        <f ca="1">_xlfn.XLOOKUP(B66,[10]Sheet1!$D:$D,[10]Sheet1!$E:$E)</f>
        <v>Smart Cash Plus</v>
      </c>
      <c r="B66" t="str">
        <f t="shared" si="4"/>
        <v>CESCP_</v>
      </c>
      <c r="C66" t="str">
        <f>VLOOKUP(D66,DV_AZTRAD_Stat!H:I,2,FALSE)</f>
        <v>CESCP__IDR</v>
      </c>
      <c r="D66" s="59" t="s">
        <v>2147</v>
      </c>
      <c r="E66" s="1">
        <f>SUMIF(DV_AZTRAD_Stat!$H:$H,Summary_Checking_TRAD!$D66,DV_AZTRAD_Stat!$C:$C)</f>
        <v>31</v>
      </c>
      <c r="F66" s="1">
        <f>SUMIF(DV_AZTRAD_Stat!$H:$H,Summary_Checking_TRAD!$D66,DV_AZTRAD_Stat!$E:$E)</f>
        <v>456000000</v>
      </c>
      <c r="G66" s="1">
        <f>SUMIF(DV_AZTRAD_Stat!$H:$H,Summary_Checking_TRAD!$D66,DV_AZTRAD_Stat!$D:$D)</f>
        <v>57426480</v>
      </c>
      <c r="H66" s="1">
        <v>0</v>
      </c>
      <c r="I66" s="1">
        <f>SUMIF(IT_AZTRAD_FULL_Stat!$H:$H,Summary_Checking_TRAD!$D66,IT_AZTRAD_FULL_Stat!C:C)
+SUMIF(Summary!$H:$H,Summary_Checking_TRAD!$D66,Summary!C:C)</f>
        <v>31</v>
      </c>
      <c r="J66" s="1">
        <f>SUMIF(IT_AZTRAD_FULL_Stat!$H:$H,Summary_Checking_TRAD!$D66,IT_AZTRAD_FULL_Stat!E:E)
+SUMIF(Summary!$H:$H,Summary_Checking_TRAD!$D66,Summary!E:E)</f>
        <v>456000000</v>
      </c>
      <c r="K66" s="1">
        <f>SUMIF(IT_AZTRAD_FULL_Stat!$H:$H,Summary_Checking_TRAD!$D66,IT_AZTRAD_FULL_Stat!D:D)
+SUMIF(Summary!$H:$H,Summary_Checking_TRAD!$D66,Summary!D:D)</f>
        <v>57426480</v>
      </c>
      <c r="L66" s="1">
        <v>0</v>
      </c>
      <c r="M66" s="7">
        <f t="shared" si="2"/>
        <v>0</v>
      </c>
      <c r="N66" s="7">
        <f t="shared" si="2"/>
        <v>0</v>
      </c>
      <c r="O66" s="7">
        <f t="shared" si="2"/>
        <v>0</v>
      </c>
      <c r="P66" s="7">
        <f t="shared" si="2"/>
        <v>0</v>
      </c>
      <c r="Q66" s="48">
        <f t="shared" si="5"/>
        <v>0</v>
      </c>
      <c r="R66" s="48">
        <f t="shared" si="5"/>
        <v>0</v>
      </c>
      <c r="S66" s="48">
        <f t="shared" si="5"/>
        <v>0</v>
      </c>
      <c r="T66" s="48">
        <f t="shared" si="5"/>
        <v>0</v>
      </c>
      <c r="V66" s="48"/>
      <c r="W66" s="7" t="str">
        <f t="shared" si="6"/>
        <v>IDR</v>
      </c>
    </row>
    <row r="67" spans="1:23">
      <c r="A67" s="58" t="str">
        <f ca="1">_xlfn.XLOOKUP(B67,[10]Sheet1!$D:$D,[10]Sheet1!$E:$E)</f>
        <v>Smart Savings</v>
      </c>
      <c r="B67" t="str">
        <f t="shared" si="4"/>
        <v>CESD__</v>
      </c>
      <c r="C67" t="str">
        <f>VLOOKUP(D67,DV_AZTRAD_Stat!H:I,2,FALSE)</f>
        <v>CESD___IDR</v>
      </c>
      <c r="D67" s="59" t="s">
        <v>2148</v>
      </c>
      <c r="E67" s="1">
        <f>SUMIF(DV_AZTRAD_Stat!$H:$H,Summary_Checking_TRAD!$D67,DV_AZTRAD_Stat!$C:$C)</f>
        <v>1</v>
      </c>
      <c r="F67" s="1">
        <f>SUMIF(DV_AZTRAD_Stat!$H:$H,Summary_Checking_TRAD!$D67,DV_AZTRAD_Stat!$E:$E)</f>
        <v>25000000</v>
      </c>
      <c r="G67" s="1">
        <f>SUMIF(DV_AZTRAD_Stat!$H:$H,Summary_Checking_TRAD!$D67,DV_AZTRAD_Stat!$D:$D)</f>
        <v>505750</v>
      </c>
      <c r="H67" s="1">
        <v>0</v>
      </c>
      <c r="I67" s="1">
        <f>SUMIF(IT_AZTRAD_FULL_Stat!$H:$H,Summary_Checking_TRAD!$D67,IT_AZTRAD_FULL_Stat!C:C)
+SUMIF(Summary!$H:$H,Summary_Checking_TRAD!$D67,Summary!C:C)</f>
        <v>1</v>
      </c>
      <c r="J67" s="1">
        <f>SUMIF(IT_AZTRAD_FULL_Stat!$H:$H,Summary_Checking_TRAD!$D67,IT_AZTRAD_FULL_Stat!E:E)
+SUMIF(Summary!$H:$H,Summary_Checking_TRAD!$D67,Summary!E:E)</f>
        <v>25000000</v>
      </c>
      <c r="K67" s="1">
        <f>SUMIF(IT_AZTRAD_FULL_Stat!$H:$H,Summary_Checking_TRAD!$D67,IT_AZTRAD_FULL_Stat!D:D)
+SUMIF(Summary!$H:$H,Summary_Checking_TRAD!$D67,Summary!D:D)</f>
        <v>505750</v>
      </c>
      <c r="L67" s="1">
        <v>0</v>
      </c>
      <c r="M67" s="7">
        <f t="shared" si="2"/>
        <v>0</v>
      </c>
      <c r="N67" s="7">
        <f t="shared" si="2"/>
        <v>0</v>
      </c>
      <c r="O67" s="7">
        <f t="shared" si="2"/>
        <v>0</v>
      </c>
      <c r="P67" s="7">
        <f t="shared" si="2"/>
        <v>0</v>
      </c>
      <c r="Q67" s="48">
        <f t="shared" si="5"/>
        <v>0</v>
      </c>
      <c r="R67" s="48">
        <f t="shared" si="5"/>
        <v>0</v>
      </c>
      <c r="S67" s="48">
        <f t="shared" si="5"/>
        <v>0</v>
      </c>
      <c r="T67" s="48">
        <f t="shared" si="5"/>
        <v>0</v>
      </c>
      <c r="V67" s="48"/>
      <c r="W67" s="7" t="str">
        <f t="shared" si="6"/>
        <v>IDR</v>
      </c>
    </row>
    <row r="68" spans="1:23">
      <c r="A68" s="58" t="str">
        <f ca="1">_xlfn.XLOOKUP(B68,[10]Sheet1!$D:$D,[10]Sheet1!$E:$E)</f>
        <v>Smart Savings</v>
      </c>
      <c r="B68" t="str">
        <f t="shared" si="4"/>
        <v>CESD__</v>
      </c>
      <c r="C68" t="str">
        <f>VLOOKUP(D68,DV_AZTRAD_Stat!H:I,2,FALSE)</f>
        <v>CESD___USD</v>
      </c>
      <c r="D68" s="59" t="s">
        <v>2149</v>
      </c>
      <c r="E68" s="1">
        <f>SUMIF(DV_AZTRAD_Stat!$H:$H,Summary_Checking_TRAD!$D68,DV_AZTRAD_Stat!$C:$C)</f>
        <v>1</v>
      </c>
      <c r="F68" s="1">
        <f>SUMIF(DV_AZTRAD_Stat!$H:$H,Summary_Checking_TRAD!$D68,DV_AZTRAD_Stat!$E:$E)</f>
        <v>120000</v>
      </c>
      <c r="G68" s="1">
        <f>SUMIF(DV_AZTRAD_Stat!$H:$H,Summary_Checking_TRAD!$D68,DV_AZTRAD_Stat!$D:$D)</f>
        <v>4938</v>
      </c>
      <c r="H68" s="1">
        <v>0</v>
      </c>
      <c r="I68" s="1">
        <f>SUMIF(IT_AZTRAD_FULL_Stat!$H:$H,Summary_Checking_TRAD!$D68,IT_AZTRAD_FULL_Stat!C:C)
+SUMIF(Summary!$H:$H,Summary_Checking_TRAD!$D68,Summary!C:C)</f>
        <v>1</v>
      </c>
      <c r="J68" s="1">
        <f>SUMIF(IT_AZTRAD_FULL_Stat!$H:$H,Summary_Checking_TRAD!$D68,IT_AZTRAD_FULL_Stat!E:E)
+SUMIF(Summary!$H:$H,Summary_Checking_TRAD!$D68,Summary!E:E)</f>
        <v>120000</v>
      </c>
      <c r="K68" s="1">
        <f>SUMIF(IT_AZTRAD_FULL_Stat!$H:$H,Summary_Checking_TRAD!$D68,IT_AZTRAD_FULL_Stat!D:D)
+SUMIF(Summary!$H:$H,Summary_Checking_TRAD!$D68,Summary!D:D)</f>
        <v>4938</v>
      </c>
      <c r="L68" s="1">
        <v>0</v>
      </c>
      <c r="M68" s="7">
        <f t="shared" si="2"/>
        <v>0</v>
      </c>
      <c r="N68" s="7">
        <f t="shared" si="2"/>
        <v>0</v>
      </c>
      <c r="O68" s="7">
        <f t="shared" si="2"/>
        <v>0</v>
      </c>
      <c r="P68" s="7">
        <f t="shared" si="2"/>
        <v>0</v>
      </c>
      <c r="Q68" s="48">
        <f t="shared" si="5"/>
        <v>0</v>
      </c>
      <c r="R68" s="48">
        <f t="shared" si="5"/>
        <v>0</v>
      </c>
      <c r="S68" s="48">
        <f t="shared" si="5"/>
        <v>0</v>
      </c>
      <c r="T68" s="48">
        <f t="shared" si="5"/>
        <v>0</v>
      </c>
      <c r="V68" s="48"/>
      <c r="W68" s="7" t="str">
        <f t="shared" si="6"/>
        <v>USD</v>
      </c>
    </row>
    <row r="69" spans="1:23">
      <c r="A69" s="58" t="str">
        <f ca="1">_xlfn.XLOOKUP(B69,[10]Sheet1!$D:$D,[10]Sheet1!$E:$E)</f>
        <v>Smart Education</v>
      </c>
      <c r="B69" t="str">
        <f t="shared" si="4"/>
        <v>CESE__</v>
      </c>
      <c r="C69" t="str">
        <f>VLOOKUP(D69,DV_AZTRAD_Stat!H:I,2,FALSE)</f>
        <v>CESE___IDR</v>
      </c>
      <c r="D69" s="59" t="s">
        <v>2150</v>
      </c>
      <c r="E69" s="1">
        <f>SUMIF(DV_AZTRAD_Stat!$H:$H,Summary_Checking_TRAD!$D69,DV_AZTRAD_Stat!$C:$C)</f>
        <v>377</v>
      </c>
      <c r="F69" s="1">
        <f>SUMIF(DV_AZTRAD_Stat!$H:$H,Summary_Checking_TRAD!$D69,DV_AZTRAD_Stat!$E:$E)</f>
        <v>8135500000</v>
      </c>
      <c r="G69" s="1">
        <f>SUMIF(DV_AZTRAD_Stat!$H:$H,Summary_Checking_TRAD!$D69,DV_AZTRAD_Stat!$D:$D)</f>
        <v>900416040</v>
      </c>
      <c r="H69" s="1">
        <v>0</v>
      </c>
      <c r="I69" s="1">
        <f>SUMIF(IT_AZTRAD_FULL_Stat!$H:$H,Summary_Checking_TRAD!$D69,IT_AZTRAD_FULL_Stat!C:C)
+SUMIF(Summary!$H:$H,Summary_Checking_TRAD!$D69,Summary!C:C)</f>
        <v>377</v>
      </c>
      <c r="J69" s="1">
        <f>SUMIF(IT_AZTRAD_FULL_Stat!$H:$H,Summary_Checking_TRAD!$D69,IT_AZTRAD_FULL_Stat!E:E)
+SUMIF(Summary!$H:$H,Summary_Checking_TRAD!$D69,Summary!E:E)</f>
        <v>8135500000</v>
      </c>
      <c r="K69" s="1">
        <f>SUMIF(IT_AZTRAD_FULL_Stat!$H:$H,Summary_Checking_TRAD!$D69,IT_AZTRAD_FULL_Stat!D:D)
+SUMIF(Summary!$H:$H,Summary_Checking_TRAD!$D69,Summary!D:D)</f>
        <v>900416040</v>
      </c>
      <c r="L69" s="1">
        <v>0</v>
      </c>
      <c r="M69" s="7">
        <f t="shared" si="2"/>
        <v>0</v>
      </c>
      <c r="N69" s="7">
        <f t="shared" si="2"/>
        <v>0</v>
      </c>
      <c r="O69" s="7">
        <f t="shared" si="2"/>
        <v>0</v>
      </c>
      <c r="P69" s="7">
        <f t="shared" si="2"/>
        <v>0</v>
      </c>
      <c r="Q69" s="48">
        <f t="shared" si="5"/>
        <v>0</v>
      </c>
      <c r="R69" s="48">
        <f t="shared" si="5"/>
        <v>0</v>
      </c>
      <c r="S69" s="48">
        <f t="shared" si="5"/>
        <v>0</v>
      </c>
      <c r="T69" s="48">
        <f t="shared" si="5"/>
        <v>0</v>
      </c>
      <c r="V69" s="48"/>
      <c r="W69" s="7" t="str">
        <f t="shared" si="6"/>
        <v>IDR</v>
      </c>
    </row>
    <row r="70" spans="1:23">
      <c r="A70" s="58" t="str">
        <f ca="1">_xlfn.XLOOKUP(B70,[10]Sheet1!$D:$D,[10]Sheet1!$E:$E)</f>
        <v>Smart Education</v>
      </c>
      <c r="B70" t="str">
        <f t="shared" si="4"/>
        <v>CESE__</v>
      </c>
      <c r="C70" t="str">
        <f>VLOOKUP(D70,DV_AZTRAD_Stat!H:I,2,FALSE)</f>
        <v>CESE___USD</v>
      </c>
      <c r="D70" s="59" t="s">
        <v>2151</v>
      </c>
      <c r="E70" s="1">
        <f>SUMIF(DV_AZTRAD_Stat!$H:$H,Summary_Checking_TRAD!$D70,DV_AZTRAD_Stat!$C:$C)</f>
        <v>3</v>
      </c>
      <c r="F70" s="1">
        <f>SUMIF(DV_AZTRAD_Stat!$H:$H,Summary_Checking_TRAD!$D70,DV_AZTRAD_Stat!$E:$E)</f>
        <v>20000</v>
      </c>
      <c r="G70" s="1">
        <f>SUMIF(DV_AZTRAD_Stat!$H:$H,Summary_Checking_TRAD!$D70,DV_AZTRAD_Stat!$D:$D)</f>
        <v>2795.5</v>
      </c>
      <c r="H70" s="1">
        <v>0</v>
      </c>
      <c r="I70" s="1">
        <f>SUMIF(IT_AZTRAD_FULL_Stat!$H:$H,Summary_Checking_TRAD!$D70,IT_AZTRAD_FULL_Stat!C:C)
+SUMIF(Summary!$H:$H,Summary_Checking_TRAD!$D70,Summary!C:C)</f>
        <v>3</v>
      </c>
      <c r="J70" s="1">
        <f>SUMIF(IT_AZTRAD_FULL_Stat!$H:$H,Summary_Checking_TRAD!$D70,IT_AZTRAD_FULL_Stat!E:E)
+SUMIF(Summary!$H:$H,Summary_Checking_TRAD!$D70,Summary!E:E)</f>
        <v>20000</v>
      </c>
      <c r="K70" s="1">
        <f>SUMIF(IT_AZTRAD_FULL_Stat!$H:$H,Summary_Checking_TRAD!$D70,IT_AZTRAD_FULL_Stat!D:D)
+SUMIF(Summary!$H:$H,Summary_Checking_TRAD!$D70,Summary!D:D)</f>
        <v>2795.5</v>
      </c>
      <c r="L70" s="1">
        <v>0</v>
      </c>
      <c r="M70" s="7">
        <f t="shared" si="2"/>
        <v>0</v>
      </c>
      <c r="N70" s="7">
        <f t="shared" si="2"/>
        <v>0</v>
      </c>
      <c r="O70" s="7">
        <f t="shared" si="2"/>
        <v>0</v>
      </c>
      <c r="P70" s="7">
        <f t="shared" si="2"/>
        <v>0</v>
      </c>
      <c r="Q70" s="48">
        <f t="shared" si="5"/>
        <v>0</v>
      </c>
      <c r="R70" s="48">
        <f t="shared" si="5"/>
        <v>0</v>
      </c>
      <c r="S70" s="48">
        <f t="shared" si="5"/>
        <v>0</v>
      </c>
      <c r="T70" s="48">
        <f t="shared" si="5"/>
        <v>0</v>
      </c>
      <c r="V70" s="48"/>
      <c r="W70" s="7" t="str">
        <f t="shared" si="6"/>
        <v>USD</v>
      </c>
    </row>
    <row r="71" spans="1:23">
      <c r="A71" s="58" t="str">
        <f ca="1">_xlfn.XLOOKUP(B71,[10]Sheet1!$D:$D,[10]Sheet1!$E:$E)</f>
        <v>Smart Education Plus</v>
      </c>
      <c r="B71" t="str">
        <f t="shared" si="4"/>
        <v>CESEP_</v>
      </c>
      <c r="C71" t="str">
        <f>VLOOKUP(D71,DV_AZTRAD_Stat!H:I,2,FALSE)</f>
        <v>CESEP__IDR</v>
      </c>
      <c r="D71" s="59" t="s">
        <v>2152</v>
      </c>
      <c r="E71" s="1">
        <f>SUMIF(DV_AZTRAD_Stat!$H:$H,Summary_Checking_TRAD!$D71,DV_AZTRAD_Stat!$C:$C)</f>
        <v>27</v>
      </c>
      <c r="F71" s="1">
        <f>SUMIF(DV_AZTRAD_Stat!$H:$H,Summary_Checking_TRAD!$D71,DV_AZTRAD_Stat!$E:$E)</f>
        <v>382000000</v>
      </c>
      <c r="G71" s="1">
        <f>SUMIF(DV_AZTRAD_Stat!$H:$H,Summary_Checking_TRAD!$D71,DV_AZTRAD_Stat!$D:$D)</f>
        <v>42134380</v>
      </c>
      <c r="H71" s="1">
        <v>0</v>
      </c>
      <c r="I71" s="1">
        <f>SUMIF(IT_AZTRAD_FULL_Stat!$H:$H,Summary_Checking_TRAD!$D71,IT_AZTRAD_FULL_Stat!C:C)
+SUMIF(Summary!$H:$H,Summary_Checking_TRAD!$D71,Summary!C:C)</f>
        <v>27</v>
      </c>
      <c r="J71" s="1">
        <f>SUMIF(IT_AZTRAD_FULL_Stat!$H:$H,Summary_Checking_TRAD!$D71,IT_AZTRAD_FULL_Stat!E:E)
+SUMIF(Summary!$H:$H,Summary_Checking_TRAD!$D71,Summary!E:E)</f>
        <v>382000000</v>
      </c>
      <c r="K71" s="1">
        <f>SUMIF(IT_AZTRAD_FULL_Stat!$H:$H,Summary_Checking_TRAD!$D71,IT_AZTRAD_FULL_Stat!D:D)
+SUMIF(Summary!$H:$H,Summary_Checking_TRAD!$D71,Summary!D:D)</f>
        <v>42134380</v>
      </c>
      <c r="L71" s="1">
        <v>0</v>
      </c>
      <c r="M71" s="7">
        <f t="shared" si="2"/>
        <v>0</v>
      </c>
      <c r="N71" s="7">
        <f t="shared" si="2"/>
        <v>0</v>
      </c>
      <c r="O71" s="7">
        <f t="shared" si="2"/>
        <v>0</v>
      </c>
      <c r="P71" s="7">
        <f t="shared" si="2"/>
        <v>0</v>
      </c>
      <c r="Q71" s="48">
        <f t="shared" si="5"/>
        <v>0</v>
      </c>
      <c r="R71" s="48">
        <f t="shared" si="5"/>
        <v>0</v>
      </c>
      <c r="S71" s="48">
        <f t="shared" si="5"/>
        <v>0</v>
      </c>
      <c r="T71" s="48">
        <f t="shared" si="5"/>
        <v>0</v>
      </c>
      <c r="V71" s="48"/>
      <c r="W71" s="7" t="str">
        <f t="shared" si="6"/>
        <v>IDR</v>
      </c>
    </row>
    <row r="72" spans="1:23">
      <c r="A72" s="58" t="str">
        <f ca="1">_xlfn.XLOOKUP(B72,[10]Sheet1!$D:$D,[10]Sheet1!$E:$E)</f>
        <v>Smart Family</v>
      </c>
      <c r="B72" t="str">
        <f t="shared" si="4"/>
        <v>CESF__</v>
      </c>
      <c r="C72" t="str">
        <f>VLOOKUP(D72,DV_AZTRAD_Stat!H:I,2,FALSE)</f>
        <v>CESF___IDR</v>
      </c>
      <c r="D72" s="59" t="s">
        <v>2153</v>
      </c>
      <c r="E72" s="1">
        <f>SUMIF(DV_AZTRAD_Stat!$H:$H,Summary_Checking_TRAD!$D72,DV_AZTRAD_Stat!$C:$C)</f>
        <v>425</v>
      </c>
      <c r="F72" s="1">
        <f>SUMIF(DV_AZTRAD_Stat!$H:$H,Summary_Checking_TRAD!$D72,DV_AZTRAD_Stat!$E:$E)</f>
        <v>12574700000</v>
      </c>
      <c r="G72" s="1">
        <f>SUMIF(DV_AZTRAD_Stat!$H:$H,Summary_Checking_TRAD!$D72,DV_AZTRAD_Stat!$D:$D)</f>
        <v>1697797769</v>
      </c>
      <c r="H72" s="1">
        <v>0</v>
      </c>
      <c r="I72" s="1">
        <f>SUMIF(IT_AZTRAD_FULL_Stat!$H:$H,Summary_Checking_TRAD!$D72,IT_AZTRAD_FULL_Stat!C:C)
+SUMIF(Summary!$H:$H,Summary_Checking_TRAD!$D72,Summary!C:C)</f>
        <v>425</v>
      </c>
      <c r="J72" s="1">
        <f>SUMIF(IT_AZTRAD_FULL_Stat!$H:$H,Summary_Checking_TRAD!$D72,IT_AZTRAD_FULL_Stat!E:E)
+SUMIF(Summary!$H:$H,Summary_Checking_TRAD!$D72,Summary!E:E)</f>
        <v>12574700000</v>
      </c>
      <c r="K72" s="1">
        <f>SUMIF(IT_AZTRAD_FULL_Stat!$H:$H,Summary_Checking_TRAD!$D72,IT_AZTRAD_FULL_Stat!D:D)
+SUMIF(Summary!$H:$H,Summary_Checking_TRAD!$D72,Summary!D:D)</f>
        <v>1697797769</v>
      </c>
      <c r="L72" s="1">
        <v>0</v>
      </c>
      <c r="M72" s="7">
        <f t="shared" si="2"/>
        <v>0</v>
      </c>
      <c r="N72" s="7">
        <f t="shared" si="2"/>
        <v>0</v>
      </c>
      <c r="O72" s="7">
        <f t="shared" si="2"/>
        <v>0</v>
      </c>
      <c r="P72" s="7">
        <f t="shared" si="2"/>
        <v>0</v>
      </c>
      <c r="Q72" s="48">
        <f t="shared" si="5"/>
        <v>0</v>
      </c>
      <c r="R72" s="48">
        <f t="shared" si="5"/>
        <v>0</v>
      </c>
      <c r="S72" s="48">
        <f t="shared" si="5"/>
        <v>0</v>
      </c>
      <c r="T72" s="48">
        <f t="shared" si="5"/>
        <v>0</v>
      </c>
      <c r="V72" s="48"/>
      <c r="W72" s="7" t="str">
        <f t="shared" si="6"/>
        <v>IDR</v>
      </c>
    </row>
    <row r="73" spans="1:23">
      <c r="A73" s="58" t="str">
        <f ca="1">_xlfn.XLOOKUP(B73,[10]Sheet1!$D:$D,[10]Sheet1!$E:$E)</f>
        <v>Smart Family</v>
      </c>
      <c r="B73" t="str">
        <f t="shared" si="4"/>
        <v>CESF__</v>
      </c>
      <c r="C73" t="str">
        <f>VLOOKUP(D73,DV_AZTRAD_Stat!H:I,2,FALSE)</f>
        <v>CESF___USD</v>
      </c>
      <c r="D73" s="59" t="s">
        <v>2154</v>
      </c>
      <c r="E73" s="1">
        <f>SUMIF(DV_AZTRAD_Stat!$H:$H,Summary_Checking_TRAD!$D73,DV_AZTRAD_Stat!$C:$C)</f>
        <v>10</v>
      </c>
      <c r="F73" s="1">
        <f>SUMIF(DV_AZTRAD_Stat!$H:$H,Summary_Checking_TRAD!$D73,DV_AZTRAD_Stat!$E:$E)</f>
        <v>124600</v>
      </c>
      <c r="G73" s="1">
        <f>SUMIF(DV_AZTRAD_Stat!$H:$H,Summary_Checking_TRAD!$D73,DV_AZTRAD_Stat!$D:$D)</f>
        <v>26048.75</v>
      </c>
      <c r="H73" s="1">
        <v>0</v>
      </c>
      <c r="I73" s="1">
        <f>SUMIF(IT_AZTRAD_FULL_Stat!$H:$H,Summary_Checking_TRAD!$D73,IT_AZTRAD_FULL_Stat!C:C)
+SUMIF(Summary!$H:$H,Summary_Checking_TRAD!$D73,Summary!C:C)</f>
        <v>10</v>
      </c>
      <c r="J73" s="1">
        <f>SUMIF(IT_AZTRAD_FULL_Stat!$H:$H,Summary_Checking_TRAD!$D73,IT_AZTRAD_FULL_Stat!E:E)
+SUMIF(Summary!$H:$H,Summary_Checking_TRAD!$D73,Summary!E:E)</f>
        <v>124600</v>
      </c>
      <c r="K73" s="1">
        <f>SUMIF(IT_AZTRAD_FULL_Stat!$H:$H,Summary_Checking_TRAD!$D73,IT_AZTRAD_FULL_Stat!D:D)
+SUMIF(Summary!$H:$H,Summary_Checking_TRAD!$D73,Summary!D:D)</f>
        <v>26048.75</v>
      </c>
      <c r="L73" s="1">
        <v>0</v>
      </c>
      <c r="M73" s="7">
        <f t="shared" si="2"/>
        <v>0</v>
      </c>
      <c r="N73" s="7">
        <f t="shared" si="2"/>
        <v>0</v>
      </c>
      <c r="O73" s="7">
        <f t="shared" si="2"/>
        <v>0</v>
      </c>
      <c r="P73" s="7">
        <f t="shared" si="2"/>
        <v>0</v>
      </c>
      <c r="Q73" s="48">
        <f t="shared" si="5"/>
        <v>0</v>
      </c>
      <c r="R73" s="48">
        <f t="shared" si="5"/>
        <v>0</v>
      </c>
      <c r="S73" s="48">
        <f t="shared" si="5"/>
        <v>0</v>
      </c>
      <c r="T73" s="48">
        <f t="shared" si="5"/>
        <v>0</v>
      </c>
      <c r="V73" s="48"/>
      <c r="W73" s="7" t="str">
        <f t="shared" si="6"/>
        <v>USD</v>
      </c>
    </row>
    <row r="74" spans="1:23">
      <c r="A74" s="58" t="str">
        <f ca="1">_xlfn.XLOOKUP(B74,[10]Sheet1!$D:$D,[10]Sheet1!$E:$E)</f>
        <v>Smart Family Plus</v>
      </c>
      <c r="B74" t="str">
        <f t="shared" si="4"/>
        <v>CESFP_</v>
      </c>
      <c r="C74" t="str">
        <f>VLOOKUP(D74,DV_AZTRAD_Stat!H:I,2,FALSE)</f>
        <v>CESFP__IDR</v>
      </c>
      <c r="D74" s="59" t="s">
        <v>2155</v>
      </c>
      <c r="E74" s="1">
        <f>SUMIF(DV_AZTRAD_Stat!$H:$H,Summary_Checking_TRAD!$D74,DV_AZTRAD_Stat!$C:$C)</f>
        <v>54</v>
      </c>
      <c r="F74" s="1">
        <f>SUMIF(DV_AZTRAD_Stat!$H:$H,Summary_Checking_TRAD!$D74,DV_AZTRAD_Stat!$E:$E)</f>
        <v>663000000</v>
      </c>
      <c r="G74" s="1">
        <f>SUMIF(DV_AZTRAD_Stat!$H:$H,Summary_Checking_TRAD!$D74,DV_AZTRAD_Stat!$D:$D)</f>
        <v>95096264</v>
      </c>
      <c r="H74" s="1">
        <v>0</v>
      </c>
      <c r="I74" s="1">
        <f>SUMIF(IT_AZTRAD_FULL_Stat!$H:$H,Summary_Checking_TRAD!$D74,IT_AZTRAD_FULL_Stat!C:C)
+SUMIF(Summary!$H:$H,Summary_Checking_TRAD!$D74,Summary!C:C)</f>
        <v>54</v>
      </c>
      <c r="J74" s="1">
        <f>SUMIF(IT_AZTRAD_FULL_Stat!$H:$H,Summary_Checking_TRAD!$D74,IT_AZTRAD_FULL_Stat!E:E)
+SUMIF(Summary!$H:$H,Summary_Checking_TRAD!$D74,Summary!E:E)</f>
        <v>663000000</v>
      </c>
      <c r="K74" s="1">
        <f>SUMIF(IT_AZTRAD_FULL_Stat!$H:$H,Summary_Checking_TRAD!$D74,IT_AZTRAD_FULL_Stat!D:D)
+SUMIF(Summary!$H:$H,Summary_Checking_TRAD!$D74,Summary!D:D)</f>
        <v>95096264</v>
      </c>
      <c r="L74" s="1">
        <v>0</v>
      </c>
      <c r="M74" s="7">
        <f t="shared" si="2"/>
        <v>0</v>
      </c>
      <c r="N74" s="7">
        <f t="shared" si="2"/>
        <v>0</v>
      </c>
      <c r="O74" s="7">
        <f t="shared" si="2"/>
        <v>0</v>
      </c>
      <c r="P74" s="7">
        <f t="shared" si="2"/>
        <v>0</v>
      </c>
      <c r="Q74" s="48">
        <f t="shared" si="5"/>
        <v>0</v>
      </c>
      <c r="R74" s="48">
        <f t="shared" si="5"/>
        <v>0</v>
      </c>
      <c r="S74" s="48">
        <f t="shared" si="5"/>
        <v>0</v>
      </c>
      <c r="T74" s="48">
        <f t="shared" si="5"/>
        <v>0</v>
      </c>
      <c r="V74" s="48"/>
      <c r="W74" s="7" t="str">
        <f t="shared" si="6"/>
        <v>IDR</v>
      </c>
    </row>
    <row r="75" spans="1:23">
      <c r="A75" s="58" t="str">
        <f ca="1">_xlfn.XLOOKUP(B75,[10]Sheet1!$D:$D,[10]Sheet1!$E:$E)</f>
        <v>Smart Family Plus</v>
      </c>
      <c r="B75" t="str">
        <f t="shared" si="4"/>
        <v>CESFP_</v>
      </c>
      <c r="C75" t="str">
        <f>VLOOKUP(D75,DV_AZTRAD_Stat!H:I,2,FALSE)</f>
        <v>CESFP__USD</v>
      </c>
      <c r="D75" s="59" t="s">
        <v>2156</v>
      </c>
      <c r="E75" s="1">
        <f>SUMIF(DV_AZTRAD_Stat!$H:$H,Summary_Checking_TRAD!$D75,DV_AZTRAD_Stat!$C:$C)</f>
        <v>4</v>
      </c>
      <c r="F75" s="1">
        <f>SUMIF(DV_AZTRAD_Stat!$H:$H,Summary_Checking_TRAD!$D75,DV_AZTRAD_Stat!$E:$E)</f>
        <v>118000</v>
      </c>
      <c r="G75" s="1">
        <f>SUMIF(DV_AZTRAD_Stat!$H:$H,Summary_Checking_TRAD!$D75,DV_AZTRAD_Stat!$D:$D)</f>
        <v>16534.439999999999</v>
      </c>
      <c r="H75" s="1">
        <v>0</v>
      </c>
      <c r="I75" s="1">
        <f>SUMIF(IT_AZTRAD_FULL_Stat!$H:$H,Summary_Checking_TRAD!$D75,IT_AZTRAD_FULL_Stat!C:C)
+SUMIF(Summary!$H:$H,Summary_Checking_TRAD!$D75,Summary!C:C)</f>
        <v>4</v>
      </c>
      <c r="J75" s="1">
        <f>SUMIF(IT_AZTRAD_FULL_Stat!$H:$H,Summary_Checking_TRAD!$D75,IT_AZTRAD_FULL_Stat!E:E)
+SUMIF(Summary!$H:$H,Summary_Checking_TRAD!$D75,Summary!E:E)</f>
        <v>118000</v>
      </c>
      <c r="K75" s="1">
        <f>SUMIF(IT_AZTRAD_FULL_Stat!$H:$H,Summary_Checking_TRAD!$D75,IT_AZTRAD_FULL_Stat!D:D)
+SUMIF(Summary!$H:$H,Summary_Checking_TRAD!$D75,Summary!D:D)</f>
        <v>16534.439999999999</v>
      </c>
      <c r="L75" s="1">
        <v>0</v>
      </c>
      <c r="M75" s="7">
        <f t="shared" si="2"/>
        <v>0</v>
      </c>
      <c r="N75" s="7">
        <f t="shared" si="2"/>
        <v>0</v>
      </c>
      <c r="O75" s="7">
        <f t="shared" si="2"/>
        <v>0</v>
      </c>
      <c r="P75" s="7">
        <f t="shared" si="2"/>
        <v>0</v>
      </c>
      <c r="Q75" s="48">
        <f t="shared" si="5"/>
        <v>0</v>
      </c>
      <c r="R75" s="48">
        <f t="shared" si="5"/>
        <v>0</v>
      </c>
      <c r="S75" s="48">
        <f t="shared" si="5"/>
        <v>0</v>
      </c>
      <c r="T75" s="48">
        <f t="shared" si="5"/>
        <v>0</v>
      </c>
      <c r="V75" s="48"/>
      <c r="W75" s="7" t="str">
        <f t="shared" si="6"/>
        <v>USD</v>
      </c>
    </row>
    <row r="76" spans="1:23">
      <c r="A76" s="58" t="str">
        <f ca="1">_xlfn.XLOOKUP(B76,[10]Sheet1!$D:$D,[10]Sheet1!$E:$E)</f>
        <v>Smart Scholarship</v>
      </c>
      <c r="B76" t="str">
        <f t="shared" si="4"/>
        <v>CESS__</v>
      </c>
      <c r="C76" t="str">
        <f>VLOOKUP(D76,DV_AZTRAD_Stat!H:I,2,FALSE)</f>
        <v>CESS___IDR</v>
      </c>
      <c r="D76" s="59" t="s">
        <v>2157</v>
      </c>
      <c r="E76" s="1">
        <f>SUMIF(DV_AZTRAD_Stat!$H:$H,Summary_Checking_TRAD!$D76,DV_AZTRAD_Stat!$C:$C)</f>
        <v>553</v>
      </c>
      <c r="F76" s="1">
        <f>SUMIF(DV_AZTRAD_Stat!$H:$H,Summary_Checking_TRAD!$D76,DV_AZTRAD_Stat!$E:$E)</f>
        <v>7283100000</v>
      </c>
      <c r="G76" s="1">
        <f>SUMIF(DV_AZTRAD_Stat!$H:$H,Summary_Checking_TRAD!$D76,DV_AZTRAD_Stat!$D:$D)</f>
        <v>964336373</v>
      </c>
      <c r="H76" s="1">
        <v>0</v>
      </c>
      <c r="I76" s="1">
        <f>SUMIF(IT_AZTRAD_FULL_Stat!$H:$H,Summary_Checking_TRAD!$D76,IT_AZTRAD_FULL_Stat!C:C)
+SUMIF(Summary!$H:$H,Summary_Checking_TRAD!$D76,Summary!C:C)</f>
        <v>553</v>
      </c>
      <c r="J76" s="1">
        <f>SUMIF(IT_AZTRAD_FULL_Stat!$H:$H,Summary_Checking_TRAD!$D76,IT_AZTRAD_FULL_Stat!E:E)
+SUMIF(Summary!$H:$H,Summary_Checking_TRAD!$D76,Summary!E:E)</f>
        <v>7283100000</v>
      </c>
      <c r="K76" s="1">
        <f>SUMIF(IT_AZTRAD_FULL_Stat!$H:$H,Summary_Checking_TRAD!$D76,IT_AZTRAD_FULL_Stat!D:D)
+SUMIF(Summary!$H:$H,Summary_Checking_TRAD!$D76,Summary!D:D)</f>
        <v>964336373</v>
      </c>
      <c r="L76" s="1">
        <v>0</v>
      </c>
      <c r="M76" s="7">
        <f t="shared" ref="M76:P129" si="14">E76-I76</f>
        <v>0</v>
      </c>
      <c r="N76" s="7">
        <f t="shared" si="14"/>
        <v>0</v>
      </c>
      <c r="O76" s="7">
        <f t="shared" si="14"/>
        <v>0</v>
      </c>
      <c r="P76" s="7">
        <f t="shared" si="14"/>
        <v>0</v>
      </c>
      <c r="Q76" s="48">
        <f t="shared" si="5"/>
        <v>0</v>
      </c>
      <c r="R76" s="48">
        <f t="shared" si="5"/>
        <v>0</v>
      </c>
      <c r="S76" s="48">
        <f t="shared" si="5"/>
        <v>0</v>
      </c>
      <c r="T76" s="48">
        <f t="shared" si="5"/>
        <v>0</v>
      </c>
      <c r="V76" s="48"/>
      <c r="W76" s="7" t="str">
        <f t="shared" si="6"/>
        <v>IDR</v>
      </c>
    </row>
    <row r="77" spans="1:23">
      <c r="A77" s="58" t="str">
        <f ca="1">_xlfn.XLOOKUP(B77,[10]Sheet1!$D:$D,[10]Sheet1!$E:$E)</f>
        <v>Smart Scholarship</v>
      </c>
      <c r="B77" t="str">
        <f t="shared" si="4"/>
        <v>CESS__</v>
      </c>
      <c r="C77" t="str">
        <f>VLOOKUP(D77,DV_AZTRAD_Stat!H:I,2,FALSE)</f>
        <v>CESS___USD</v>
      </c>
      <c r="D77" s="59" t="s">
        <v>2158</v>
      </c>
      <c r="E77" s="1">
        <f>SUMIF(DV_AZTRAD_Stat!$H:$H,Summary_Checking_TRAD!$D77,DV_AZTRAD_Stat!$C:$C)</f>
        <v>5</v>
      </c>
      <c r="F77" s="1">
        <f>SUMIF(DV_AZTRAD_Stat!$H:$H,Summary_Checking_TRAD!$D77,DV_AZTRAD_Stat!$E:$E)</f>
        <v>63500</v>
      </c>
      <c r="G77" s="1">
        <f>SUMIF(DV_AZTRAD_Stat!$H:$H,Summary_Checking_TRAD!$D77,DV_AZTRAD_Stat!$D:$D)</f>
        <v>13389.08</v>
      </c>
      <c r="H77" s="1">
        <v>0</v>
      </c>
      <c r="I77" s="1">
        <f>SUMIF(IT_AZTRAD_FULL_Stat!$H:$H,Summary_Checking_TRAD!$D77,IT_AZTRAD_FULL_Stat!C:C)
+SUMIF(Summary!$H:$H,Summary_Checking_TRAD!$D77,Summary!C:C)</f>
        <v>5</v>
      </c>
      <c r="J77" s="1">
        <f>SUMIF(IT_AZTRAD_FULL_Stat!$H:$H,Summary_Checking_TRAD!$D77,IT_AZTRAD_FULL_Stat!E:E)
+SUMIF(Summary!$H:$H,Summary_Checking_TRAD!$D77,Summary!E:E)</f>
        <v>63500</v>
      </c>
      <c r="K77" s="1">
        <f>SUMIF(IT_AZTRAD_FULL_Stat!$H:$H,Summary_Checking_TRAD!$D77,IT_AZTRAD_FULL_Stat!D:D)
+SUMIF(Summary!$H:$H,Summary_Checking_TRAD!$D77,Summary!D:D)</f>
        <v>13389.08</v>
      </c>
      <c r="L77" s="1">
        <v>0</v>
      </c>
      <c r="M77" s="7">
        <f t="shared" si="14"/>
        <v>0</v>
      </c>
      <c r="N77" s="7">
        <f t="shared" si="14"/>
        <v>0</v>
      </c>
      <c r="O77" s="7">
        <f t="shared" si="14"/>
        <v>0</v>
      </c>
      <c r="P77" s="7">
        <f t="shared" si="14"/>
        <v>0</v>
      </c>
      <c r="Q77" s="48">
        <f t="shared" si="5"/>
        <v>0</v>
      </c>
      <c r="R77" s="48">
        <f t="shared" si="5"/>
        <v>0</v>
      </c>
      <c r="S77" s="48">
        <f t="shared" si="5"/>
        <v>0</v>
      </c>
      <c r="T77" s="48">
        <f t="shared" si="5"/>
        <v>0</v>
      </c>
      <c r="V77" s="48"/>
      <c r="W77" s="7" t="str">
        <f t="shared" ref="W77:W129" si="15">RIGHT(D77,3)</f>
        <v>USD</v>
      </c>
    </row>
    <row r="78" spans="1:23">
      <c r="A78" s="58" t="str">
        <f ca="1">_xlfn.XLOOKUP(B78,[10]Sheet1!$D:$D,[10]Sheet1!$E:$E)</f>
        <v>Smart Scholarship Plus</v>
      </c>
      <c r="B78" t="str">
        <f t="shared" si="4"/>
        <v>CESSP_</v>
      </c>
      <c r="C78" t="str">
        <f>VLOOKUP(D78,DV_AZTRAD_Stat!H:I,2,FALSE)</f>
        <v>CESSP__IDR</v>
      </c>
      <c r="D78" s="59" t="s">
        <v>2159</v>
      </c>
      <c r="E78" s="1">
        <f>SUMIF(DV_AZTRAD_Stat!$H:$H,Summary_Checking_TRAD!$D78,DV_AZTRAD_Stat!$C:$C)</f>
        <v>268</v>
      </c>
      <c r="F78" s="1">
        <f>SUMIF(DV_AZTRAD_Stat!$H:$H,Summary_Checking_TRAD!$D78,DV_AZTRAD_Stat!$E:$E)</f>
        <v>3226000000</v>
      </c>
      <c r="G78" s="1">
        <f>SUMIF(DV_AZTRAD_Stat!$H:$H,Summary_Checking_TRAD!$D78,DV_AZTRAD_Stat!$D:$D)</f>
        <v>453617054</v>
      </c>
      <c r="H78" s="1">
        <v>0</v>
      </c>
      <c r="I78" s="1">
        <f>SUMIF(IT_AZTRAD_FULL_Stat!$H:$H,Summary_Checking_TRAD!$D78,IT_AZTRAD_FULL_Stat!C:C)
+SUMIF(Summary!$H:$H,Summary_Checking_TRAD!$D78,Summary!C:C)</f>
        <v>268</v>
      </c>
      <c r="J78" s="1">
        <f>SUMIF(IT_AZTRAD_FULL_Stat!$H:$H,Summary_Checking_TRAD!$D78,IT_AZTRAD_FULL_Stat!E:E)
+SUMIF(Summary!$H:$H,Summary_Checking_TRAD!$D78,Summary!E:E)</f>
        <v>3226000000</v>
      </c>
      <c r="K78" s="1">
        <f>SUMIF(IT_AZTRAD_FULL_Stat!$H:$H,Summary_Checking_TRAD!$D78,IT_AZTRAD_FULL_Stat!D:D)
+SUMIF(Summary!$H:$H,Summary_Checking_TRAD!$D78,Summary!D:D)</f>
        <v>453617054</v>
      </c>
      <c r="L78" s="1">
        <v>0</v>
      </c>
      <c r="M78" s="7">
        <f t="shared" si="14"/>
        <v>0</v>
      </c>
      <c r="N78" s="7">
        <f t="shared" si="14"/>
        <v>0</v>
      </c>
      <c r="O78" s="7">
        <f t="shared" si="14"/>
        <v>0</v>
      </c>
      <c r="P78" s="7">
        <f t="shared" si="14"/>
        <v>0</v>
      </c>
      <c r="Q78" s="48">
        <f t="shared" si="5"/>
        <v>0</v>
      </c>
      <c r="R78" s="48">
        <f t="shared" si="5"/>
        <v>0</v>
      </c>
      <c r="S78" s="48">
        <f t="shared" si="5"/>
        <v>0</v>
      </c>
      <c r="T78" s="48">
        <f t="shared" si="5"/>
        <v>0</v>
      </c>
      <c r="V78" s="48"/>
      <c r="W78" s="7" t="str">
        <f t="shared" si="15"/>
        <v>IDR</v>
      </c>
    </row>
    <row r="79" spans="1:23">
      <c r="A79" s="58" t="str">
        <f ca="1">_xlfn.XLOOKUP(B79,[10]Sheet1!$D:$D,[10]Sheet1!$E:$E)</f>
        <v>Smart Scholarship Plus</v>
      </c>
      <c r="B79" t="str">
        <f t="shared" si="4"/>
        <v>CESSP_</v>
      </c>
      <c r="C79" t="str">
        <f>VLOOKUP(D79,DV_AZTRAD_Stat!H:I,2,FALSE)</f>
        <v>CESSP__USD</v>
      </c>
      <c r="D79" s="59" t="s">
        <v>2160</v>
      </c>
      <c r="E79" s="1">
        <f>SUMIF(DV_AZTRAD_Stat!$H:$H,Summary_Checking_TRAD!$D79,DV_AZTRAD_Stat!$C:$C)</f>
        <v>2</v>
      </c>
      <c r="F79" s="1">
        <f>SUMIF(DV_AZTRAD_Stat!$H:$H,Summary_Checking_TRAD!$D79,DV_AZTRAD_Stat!$E:$E)</f>
        <v>23000</v>
      </c>
      <c r="G79" s="1">
        <f>SUMIF(DV_AZTRAD_Stat!$H:$H,Summary_Checking_TRAD!$D79,DV_AZTRAD_Stat!$D:$D)</f>
        <v>3677.16</v>
      </c>
      <c r="H79" s="1">
        <v>0</v>
      </c>
      <c r="I79" s="1">
        <f>SUMIF(IT_AZTRAD_FULL_Stat!$H:$H,Summary_Checking_TRAD!$D79,IT_AZTRAD_FULL_Stat!C:C)
+SUMIF(Summary!$H:$H,Summary_Checking_TRAD!$D79,Summary!C:C)</f>
        <v>2</v>
      </c>
      <c r="J79" s="1">
        <f>SUMIF(IT_AZTRAD_FULL_Stat!$H:$H,Summary_Checking_TRAD!$D79,IT_AZTRAD_FULL_Stat!E:E)
+SUMIF(Summary!$H:$H,Summary_Checking_TRAD!$D79,Summary!E:E)</f>
        <v>23000</v>
      </c>
      <c r="K79" s="1">
        <f>SUMIF(IT_AZTRAD_FULL_Stat!$H:$H,Summary_Checking_TRAD!$D79,IT_AZTRAD_FULL_Stat!D:D)
+SUMIF(Summary!$H:$H,Summary_Checking_TRAD!$D79,Summary!D:D)</f>
        <v>3677.16</v>
      </c>
      <c r="L79" s="1">
        <v>0</v>
      </c>
      <c r="M79" s="7">
        <f t="shared" si="14"/>
        <v>0</v>
      </c>
      <c r="N79" s="7">
        <f t="shared" si="14"/>
        <v>0</v>
      </c>
      <c r="O79" s="7">
        <f t="shared" si="14"/>
        <v>0</v>
      </c>
      <c r="P79" s="7">
        <f t="shared" si="14"/>
        <v>0</v>
      </c>
      <c r="Q79" s="48">
        <f t="shared" si="5"/>
        <v>0</v>
      </c>
      <c r="R79" s="48">
        <f t="shared" si="5"/>
        <v>0</v>
      </c>
      <c r="S79" s="48">
        <f t="shared" si="5"/>
        <v>0</v>
      </c>
      <c r="T79" s="48">
        <f t="shared" si="5"/>
        <v>0</v>
      </c>
      <c r="V79" s="48"/>
      <c r="W79" s="7" t="str">
        <f t="shared" si="15"/>
        <v>USD</v>
      </c>
    </row>
    <row r="80" spans="1:23">
      <c r="A80" s="58" t="str">
        <f ca="1">_xlfn.XLOOKUP(B80,[10]Sheet1!$D:$D,[10]Sheet1!$E:$E)</f>
        <v>Smart University</v>
      </c>
      <c r="B80" t="str">
        <f t="shared" si="4"/>
        <v>CESU__</v>
      </c>
      <c r="C80" t="str">
        <f>VLOOKUP(D80,DV_AZTRAD_Stat!H:I,2,FALSE)</f>
        <v>CESU___IDR</v>
      </c>
      <c r="D80" s="59" t="s">
        <v>2161</v>
      </c>
      <c r="E80" s="1">
        <f>SUMIF(DV_AZTRAD_Stat!$H:$H,Summary_Checking_TRAD!$D80,DV_AZTRAD_Stat!$C:$C)</f>
        <v>198</v>
      </c>
      <c r="F80" s="1">
        <f>SUMIF(DV_AZTRAD_Stat!$H:$H,Summary_Checking_TRAD!$D80,DV_AZTRAD_Stat!$E:$E)</f>
        <v>4108700000</v>
      </c>
      <c r="G80" s="1">
        <f>SUMIF(DV_AZTRAD_Stat!$H:$H,Summary_Checking_TRAD!$D80,DV_AZTRAD_Stat!$D:$D)</f>
        <v>800711566</v>
      </c>
      <c r="H80" s="1">
        <v>0</v>
      </c>
      <c r="I80" s="1">
        <f>SUMIF(IT_AZTRAD_FULL_Stat!$H:$H,Summary_Checking_TRAD!$D80,IT_AZTRAD_FULL_Stat!C:C)
+SUMIF(Summary!$H:$H,Summary_Checking_TRAD!$D80,Summary!C:C)</f>
        <v>198</v>
      </c>
      <c r="J80" s="1">
        <f>SUMIF(IT_AZTRAD_FULL_Stat!$H:$H,Summary_Checking_TRAD!$D80,IT_AZTRAD_FULL_Stat!E:E)
+SUMIF(Summary!$H:$H,Summary_Checking_TRAD!$D80,Summary!E:E)</f>
        <v>4108700000</v>
      </c>
      <c r="K80" s="1">
        <f>SUMIF(IT_AZTRAD_FULL_Stat!$H:$H,Summary_Checking_TRAD!$D80,IT_AZTRAD_FULL_Stat!D:D)
+SUMIF(Summary!$H:$H,Summary_Checking_TRAD!$D80,Summary!D:D)</f>
        <v>800711566</v>
      </c>
      <c r="L80" s="1">
        <v>0</v>
      </c>
      <c r="M80" s="7">
        <f t="shared" si="14"/>
        <v>0</v>
      </c>
      <c r="N80" s="7">
        <f t="shared" si="14"/>
        <v>0</v>
      </c>
      <c r="O80" s="7">
        <f t="shared" si="14"/>
        <v>0</v>
      </c>
      <c r="P80" s="7">
        <f t="shared" si="14"/>
        <v>0</v>
      </c>
      <c r="Q80" s="48">
        <f t="shared" si="5"/>
        <v>0</v>
      </c>
      <c r="R80" s="48">
        <f t="shared" si="5"/>
        <v>0</v>
      </c>
      <c r="S80" s="48">
        <f t="shared" si="5"/>
        <v>0</v>
      </c>
      <c r="T80" s="48">
        <f t="shared" si="5"/>
        <v>0</v>
      </c>
      <c r="V80" s="48"/>
      <c r="W80" s="7" t="str">
        <f t="shared" si="15"/>
        <v>IDR</v>
      </c>
    </row>
    <row r="81" spans="1:23">
      <c r="A81" s="58" t="str">
        <f ca="1">_xlfn.XLOOKUP(B81,[10]Sheet1!$D:$D,[10]Sheet1!$E:$E)</f>
        <v>Smart University</v>
      </c>
      <c r="B81" t="str">
        <f t="shared" si="4"/>
        <v>CESU__</v>
      </c>
      <c r="C81" t="str">
        <f>VLOOKUP(D81,DV_AZTRAD_Stat!H:I,2,FALSE)</f>
        <v>CESU___USD</v>
      </c>
      <c r="D81" s="59" t="s">
        <v>2162</v>
      </c>
      <c r="E81" s="1">
        <f>SUMIF(DV_AZTRAD_Stat!$H:$H,Summary_Checking_TRAD!$D81,DV_AZTRAD_Stat!$C:$C)</f>
        <v>6</v>
      </c>
      <c r="F81" s="1">
        <f>SUMIF(DV_AZTRAD_Stat!$H:$H,Summary_Checking_TRAD!$D81,DV_AZTRAD_Stat!$E:$E)</f>
        <v>46500</v>
      </c>
      <c r="G81" s="1">
        <f>SUMIF(DV_AZTRAD_Stat!$H:$H,Summary_Checking_TRAD!$D81,DV_AZTRAD_Stat!$D:$D)</f>
        <v>14295.99</v>
      </c>
      <c r="H81" s="1">
        <v>0</v>
      </c>
      <c r="I81" s="1">
        <f>SUMIF(IT_AZTRAD_FULL_Stat!$H:$H,Summary_Checking_TRAD!$D81,IT_AZTRAD_FULL_Stat!C:C)
+SUMIF(Summary!$H:$H,Summary_Checking_TRAD!$D81,Summary!C:C)</f>
        <v>6</v>
      </c>
      <c r="J81" s="1">
        <f>SUMIF(IT_AZTRAD_FULL_Stat!$H:$H,Summary_Checking_TRAD!$D81,IT_AZTRAD_FULL_Stat!E:E)
+SUMIF(Summary!$H:$H,Summary_Checking_TRAD!$D81,Summary!E:E)</f>
        <v>46500</v>
      </c>
      <c r="K81" s="1">
        <f>SUMIF(IT_AZTRAD_FULL_Stat!$H:$H,Summary_Checking_TRAD!$D81,IT_AZTRAD_FULL_Stat!D:D)
+SUMIF(Summary!$H:$H,Summary_Checking_TRAD!$D81,Summary!D:D)</f>
        <v>14295.99</v>
      </c>
      <c r="L81" s="1">
        <v>0</v>
      </c>
      <c r="M81" s="7">
        <f t="shared" si="14"/>
        <v>0</v>
      </c>
      <c r="N81" s="7">
        <f t="shared" si="14"/>
        <v>0</v>
      </c>
      <c r="O81" s="7">
        <f t="shared" si="14"/>
        <v>0</v>
      </c>
      <c r="P81" s="7">
        <f t="shared" si="14"/>
        <v>0</v>
      </c>
      <c r="Q81" s="48">
        <f t="shared" si="5"/>
        <v>0</v>
      </c>
      <c r="R81" s="48">
        <f t="shared" si="5"/>
        <v>0</v>
      </c>
      <c r="S81" s="48">
        <f t="shared" si="5"/>
        <v>0</v>
      </c>
      <c r="T81" s="48">
        <f t="shared" si="5"/>
        <v>0</v>
      </c>
      <c r="V81" s="48"/>
      <c r="W81" s="7" t="str">
        <f t="shared" si="15"/>
        <v>USD</v>
      </c>
    </row>
    <row r="82" spans="1:23">
      <c r="A82" s="58" t="str">
        <f ca="1">_xlfn.XLOOKUP(B82,[10]Sheet1!$D:$D,[10]Sheet1!$E:$E)</f>
        <v>Smart University Plus</v>
      </c>
      <c r="B82" t="str">
        <f t="shared" si="4"/>
        <v>CESUP_</v>
      </c>
      <c r="C82" t="str">
        <f>VLOOKUP(D82,DV_AZTRAD_Stat!H:I,2,FALSE)</f>
        <v>CESUP__IDR</v>
      </c>
      <c r="D82" s="59" t="s">
        <v>2163</v>
      </c>
      <c r="E82" s="1">
        <f>SUMIF(DV_AZTRAD_Stat!$H:$H,Summary_Checking_TRAD!$D82,DV_AZTRAD_Stat!$C:$C)</f>
        <v>49</v>
      </c>
      <c r="F82" s="1">
        <f>SUMIF(DV_AZTRAD_Stat!$H:$H,Summary_Checking_TRAD!$D82,DV_AZTRAD_Stat!$E:$E)</f>
        <v>625000000</v>
      </c>
      <c r="G82" s="1">
        <f>SUMIF(DV_AZTRAD_Stat!$H:$H,Summary_Checking_TRAD!$D82,DV_AZTRAD_Stat!$D:$D)</f>
        <v>95573888</v>
      </c>
      <c r="H82" s="1">
        <v>0</v>
      </c>
      <c r="I82" s="1">
        <f>SUMIF(IT_AZTRAD_FULL_Stat!$H:$H,Summary_Checking_TRAD!$D82,IT_AZTRAD_FULL_Stat!C:C)
+SUMIF(Summary!$H:$H,Summary_Checking_TRAD!$D82,Summary!C:C)</f>
        <v>49</v>
      </c>
      <c r="J82" s="1">
        <f>SUMIF(IT_AZTRAD_FULL_Stat!$H:$H,Summary_Checking_TRAD!$D82,IT_AZTRAD_FULL_Stat!E:E)
+SUMIF(Summary!$H:$H,Summary_Checking_TRAD!$D82,Summary!E:E)</f>
        <v>625000000</v>
      </c>
      <c r="K82" s="1">
        <f>SUMIF(IT_AZTRAD_FULL_Stat!$H:$H,Summary_Checking_TRAD!$D82,IT_AZTRAD_FULL_Stat!D:D)
+SUMIF(Summary!$H:$H,Summary_Checking_TRAD!$D82,Summary!D:D)</f>
        <v>95573888</v>
      </c>
      <c r="L82" s="1">
        <v>0</v>
      </c>
      <c r="M82" s="7">
        <f t="shared" si="14"/>
        <v>0</v>
      </c>
      <c r="N82" s="7">
        <f t="shared" si="14"/>
        <v>0</v>
      </c>
      <c r="O82" s="7">
        <f t="shared" si="14"/>
        <v>0</v>
      </c>
      <c r="P82" s="7">
        <f t="shared" si="14"/>
        <v>0</v>
      </c>
      <c r="Q82" s="48">
        <f t="shared" si="5"/>
        <v>0</v>
      </c>
      <c r="R82" s="48">
        <f t="shared" si="5"/>
        <v>0</v>
      </c>
      <c r="S82" s="48">
        <f t="shared" si="5"/>
        <v>0</v>
      </c>
      <c r="T82" s="48">
        <f t="shared" si="5"/>
        <v>0</v>
      </c>
      <c r="V82" s="48"/>
      <c r="W82" s="7" t="str">
        <f t="shared" si="15"/>
        <v>IDR</v>
      </c>
    </row>
    <row r="83" spans="1:23">
      <c r="A83" s="58" t="str">
        <f ca="1">_xlfn.XLOOKUP(B83,[10]Sheet1!$D:$D,[10]Sheet1!$E:$E)</f>
        <v>Smart University Plus</v>
      </c>
      <c r="B83" t="str">
        <f t="shared" si="4"/>
        <v>CESUP_</v>
      </c>
      <c r="C83" t="str">
        <f>VLOOKUP(D83,DV_AZTRAD_Stat!H:I,2,FALSE)</f>
        <v>CESUP__USD</v>
      </c>
      <c r="D83" s="59" t="s">
        <v>2164</v>
      </c>
      <c r="E83" s="1">
        <f>SUMIF(DV_AZTRAD_Stat!$H:$H,Summary_Checking_TRAD!$D83,DV_AZTRAD_Stat!$C:$C)</f>
        <v>1</v>
      </c>
      <c r="F83" s="1">
        <f>SUMIF(DV_AZTRAD_Stat!$H:$H,Summary_Checking_TRAD!$D83,DV_AZTRAD_Stat!$E:$E)</f>
        <v>10000</v>
      </c>
      <c r="G83" s="1">
        <f>SUMIF(DV_AZTRAD_Stat!$H:$H,Summary_Checking_TRAD!$D83,DV_AZTRAD_Stat!$D:$D)</f>
        <v>1560</v>
      </c>
      <c r="H83" s="1">
        <v>0</v>
      </c>
      <c r="I83" s="1">
        <f>SUMIF(IT_AZTRAD_FULL_Stat!$H:$H,Summary_Checking_TRAD!$D83,IT_AZTRAD_FULL_Stat!C:C)
+SUMIF(Summary!$H:$H,Summary_Checking_TRAD!$D83,Summary!C:C)</f>
        <v>1</v>
      </c>
      <c r="J83" s="1">
        <f>SUMIF(IT_AZTRAD_FULL_Stat!$H:$H,Summary_Checking_TRAD!$D83,IT_AZTRAD_FULL_Stat!E:E)
+SUMIF(Summary!$H:$H,Summary_Checking_TRAD!$D83,Summary!E:E)</f>
        <v>10000</v>
      </c>
      <c r="K83" s="1">
        <f>SUMIF(IT_AZTRAD_FULL_Stat!$H:$H,Summary_Checking_TRAD!$D83,IT_AZTRAD_FULL_Stat!D:D)
+SUMIF(Summary!$H:$H,Summary_Checking_TRAD!$D83,Summary!D:D)</f>
        <v>1560</v>
      </c>
      <c r="L83" s="1">
        <v>0</v>
      </c>
      <c r="M83" s="7">
        <f t="shared" si="14"/>
        <v>0</v>
      </c>
      <c r="N83" s="7">
        <f t="shared" si="14"/>
        <v>0</v>
      </c>
      <c r="O83" s="7">
        <f t="shared" si="14"/>
        <v>0</v>
      </c>
      <c r="P83" s="7">
        <f t="shared" si="14"/>
        <v>0</v>
      </c>
      <c r="Q83" s="48">
        <f t="shared" si="5"/>
        <v>0</v>
      </c>
      <c r="R83" s="48">
        <f t="shared" si="5"/>
        <v>0</v>
      </c>
      <c r="S83" s="48">
        <f t="shared" si="5"/>
        <v>0</v>
      </c>
      <c r="T83" s="48">
        <f t="shared" si="5"/>
        <v>0</v>
      </c>
      <c r="V83" s="48"/>
      <c r="W83" s="7" t="str">
        <f t="shared" si="15"/>
        <v>USD</v>
      </c>
    </row>
    <row r="84" spans="1:23">
      <c r="A84" s="58" t="str">
        <f ca="1">_xlfn.XLOOKUP(B84,[10]Sheet1!$D:$D,[10]Sheet1!$E:$E)</f>
        <v>ALLIANZ PASTI</v>
      </c>
      <c r="B84" t="str">
        <f t="shared" si="4"/>
        <v>CEZPST</v>
      </c>
      <c r="C84" t="str">
        <f>VLOOKUP(D84,DV_AZTRAD_Stat!H:I,2,FALSE)</f>
        <v>CEZPST_IDR</v>
      </c>
      <c r="D84" s="59" t="s">
        <v>2165</v>
      </c>
      <c r="E84" s="1">
        <f>SUMIF(DV_AZTRAD_Stat!$H:$H,Summary_Checking_TRAD!$D84,DV_AZTRAD_Stat!$C:$C)</f>
        <v>3181</v>
      </c>
      <c r="F84" s="1">
        <f>SUMIF(DV_AZTRAD_Stat!$H:$H,Summary_Checking_TRAD!$D84,DV_AZTRAD_Stat!$E:$E)</f>
        <v>1375653741438</v>
      </c>
      <c r="G84" s="1">
        <f>SUMIF(DV_AZTRAD_Stat!$H:$H,Summary_Checking_TRAD!$D84,DV_AZTRAD_Stat!$D:$D)</f>
        <v>80135999166</v>
      </c>
      <c r="H84" s="1">
        <v>0</v>
      </c>
      <c r="I84" s="5">
        <f>SUMIF(IT_AZTRAD_FULL_Stat!$H:$H,Summary_Checking_TRAD!$D84,IT_AZTRAD_FULL_Stat!C:C)
+SUMIF(Summary!$H:$H,Summary_Checking_TRAD!$D84,Summary!C:C)
+SUMIF(IT_AZTRAD_FULL_Stat!$H:$H,"AZPS3_IDR",IT_AZTRAD_FULL_Stat!C:C)
+SUMIF(Summary!$H:$H,"AZPS3_IDR",Summary!C:C)</f>
        <v>3181</v>
      </c>
      <c r="J84" s="5">
        <f>SUMIF(IT_AZTRAD_FULL_Stat!$H:$H,Summary_Checking_TRAD!$D84,IT_AZTRAD_FULL_Stat!E:E)
+SUMIF(Summary!$H:$H,Summary_Checking_TRAD!$D84,Summary!E:E)
+SUMIF(IT_AZTRAD_FULL_Stat!$H:$H,"AZPS3_IDR",IT_AZTRAD_FULL_Stat!E:E)
+SUMIF(Summary!$H:$H,"AZPS3_IDR",Summary!E:E)</f>
        <v>1375653741438</v>
      </c>
      <c r="K84" s="5">
        <f>SUMIF(IT_AZTRAD_FULL_Stat!$H:$H,Summary_Checking_TRAD!$D84,IT_AZTRAD_FULL_Stat!D:D)
+SUMIF(Summary!$H:$H,Summary_Checking_TRAD!$D84,Summary!D:D)
+SUMIF(IT_AZTRAD_FULL_Stat!$H:$H,"AZPS3_IDR",IT_AZTRAD_FULL_Stat!D:D)
+SUMIF(Summary!$H:$H,"AZPS3_IDR",Summary!D:D)</f>
        <v>80135999166</v>
      </c>
      <c r="L84" s="1">
        <v>0</v>
      </c>
      <c r="M84" s="7">
        <f t="shared" si="14"/>
        <v>0</v>
      </c>
      <c r="N84" s="7">
        <f t="shared" si="14"/>
        <v>0</v>
      </c>
      <c r="O84" s="7">
        <f t="shared" si="14"/>
        <v>0</v>
      </c>
      <c r="P84" s="7">
        <f t="shared" si="14"/>
        <v>0</v>
      </c>
      <c r="Q84" s="48">
        <f t="shared" si="5"/>
        <v>0</v>
      </c>
      <c r="R84" s="48">
        <f t="shared" si="5"/>
        <v>0</v>
      </c>
      <c r="S84" s="48">
        <f t="shared" si="5"/>
        <v>0</v>
      </c>
      <c r="T84" s="48">
        <f t="shared" si="5"/>
        <v>0</v>
      </c>
      <c r="V84" s="48"/>
      <c r="W84" s="7" t="str">
        <f t="shared" si="15"/>
        <v>IDR</v>
      </c>
    </row>
    <row r="85" spans="1:23">
      <c r="A85" s="58" t="e">
        <f ca="1">_xlfn.XLOOKUP(B85,[10]Sheet1!$D:$D,[10]Sheet1!$E:$E)</f>
        <v>#N/A</v>
      </c>
      <c r="B85" t="str">
        <f t="shared" si="4"/>
        <v>CHCPT_</v>
      </c>
      <c r="C85" t="str">
        <f>VLOOKUP(D85,DV_AZTRAD_Stat!H:I,2,FALSE)</f>
        <v>CHCPT__IDR</v>
      </c>
      <c r="D85" s="59" t="s">
        <v>1719</v>
      </c>
      <c r="E85" s="1">
        <f>SUMIF(DV_AZTRAD_Stat!$H:$H,Summary_Checking_TRAD!$D85,DV_AZTRAD_Stat!$C:$C)</f>
        <v>3</v>
      </c>
      <c r="F85" s="1">
        <f>SUMIF(DV_AZTRAD_Stat!$H:$H,Summary_Checking_TRAD!$D85,DV_AZTRAD_Stat!$E:$E)</f>
        <v>1600000</v>
      </c>
      <c r="G85" s="1">
        <f>SUMIF(DV_AZTRAD_Stat!$H:$H,Summary_Checking_TRAD!$D85,DV_AZTRAD_Stat!$D:$D)</f>
        <v>16356000</v>
      </c>
      <c r="H85" s="1">
        <v>0</v>
      </c>
      <c r="I85" s="1">
        <f>SUMIF(IT_AZTRAD_FULL_Stat!$H:$H,Summary_Checking_TRAD!$D85,IT_AZTRAD_FULL_Stat!C:C)
+SUMIF(Summary!$H:$H,Summary_Checking_TRAD!$D85,Summary!C:C)</f>
        <v>3</v>
      </c>
      <c r="J85" s="1">
        <f>SUMIF(IT_AZTRAD_FULL_Stat!$H:$H,Summary_Checking_TRAD!$D85,IT_AZTRAD_FULL_Stat!E:E)
+SUMIF(Summary!$H:$H,Summary_Checking_TRAD!$D85,Summary!E:E)</f>
        <v>1600000</v>
      </c>
      <c r="K85" s="1">
        <f>SUMIF(IT_AZTRAD_FULL_Stat!$H:$H,Summary_Checking_TRAD!$D85,IT_AZTRAD_FULL_Stat!D:D)
+SUMIF(Summary!$H:$H,Summary_Checking_TRAD!$D85,Summary!D:D)</f>
        <v>16356000</v>
      </c>
      <c r="L85" s="1">
        <v>0</v>
      </c>
      <c r="M85" s="7">
        <f t="shared" si="14"/>
        <v>0</v>
      </c>
      <c r="N85" s="7">
        <f t="shared" si="14"/>
        <v>0</v>
      </c>
      <c r="O85" s="7">
        <f t="shared" si="14"/>
        <v>0</v>
      </c>
      <c r="P85" s="7">
        <f t="shared" si="14"/>
        <v>0</v>
      </c>
      <c r="Q85" s="48">
        <f t="shared" si="5"/>
        <v>0</v>
      </c>
      <c r="R85" s="48">
        <f t="shared" si="5"/>
        <v>0</v>
      </c>
      <c r="S85" s="48">
        <f t="shared" si="5"/>
        <v>0</v>
      </c>
      <c r="T85" s="48">
        <f t="shared" si="5"/>
        <v>0</v>
      </c>
      <c r="U85" s="68"/>
      <c r="V85" s="48"/>
      <c r="W85" s="7" t="str">
        <f t="shared" si="15"/>
        <v>IDR</v>
      </c>
    </row>
    <row r="86" spans="1:23">
      <c r="A86" s="58" t="str">
        <f ca="1">_xlfn.XLOOKUP(B86,[10]Sheet1!$D:$D,[10]Sheet1!$E:$E)</f>
        <v>Joint Care</v>
      </c>
      <c r="B86" t="str">
        <f t="shared" si="4"/>
        <v>CJLIFE</v>
      </c>
      <c r="C86" t="str">
        <f>VLOOKUP(D86,DV_AZTRAD_Stat!H:I,2,FALSE)</f>
        <v>CJLIFE_IDR</v>
      </c>
      <c r="D86" s="59" t="s">
        <v>2166</v>
      </c>
      <c r="E86" s="1">
        <f>SUMIF(DV_AZTRAD_Stat!$H:$H,Summary_Checking_TRAD!$D86,DV_AZTRAD_Stat!$C:$C)</f>
        <v>4</v>
      </c>
      <c r="F86" s="1">
        <f>SUMIF(DV_AZTRAD_Stat!$H:$H,Summary_Checking_TRAD!$D86,DV_AZTRAD_Stat!$E:$E)</f>
        <v>2068000000</v>
      </c>
      <c r="G86" s="1">
        <f>SUMIF(DV_AZTRAD_Stat!$H:$H,Summary_Checking_TRAD!$D86,DV_AZTRAD_Stat!$D:$D)</f>
        <v>30000000</v>
      </c>
      <c r="H86" s="1">
        <v>0</v>
      </c>
      <c r="I86" s="1">
        <f>SUMIF(IT_AZTRAD_FULL_Stat!$H:$H,Summary_Checking_TRAD!$D86,IT_AZTRAD_FULL_Stat!C:C)
+SUMIF(Summary!$H:$H,Summary_Checking_TRAD!$D86,Summary!C:C)</f>
        <v>4</v>
      </c>
      <c r="J86" s="1">
        <f>SUMIF(IT_AZTRAD_FULL_Stat!$H:$H,Summary_Checking_TRAD!$D86,IT_AZTRAD_FULL_Stat!E:E)
+SUMIF(Summary!$H:$H,Summary_Checking_TRAD!$D86,Summary!E:E)</f>
        <v>2068000000</v>
      </c>
      <c r="K86" s="1">
        <f>SUMIF(IT_AZTRAD_FULL_Stat!$H:$H,Summary_Checking_TRAD!$D86,IT_AZTRAD_FULL_Stat!D:D)
+SUMIF(Summary!$H:$H,Summary_Checking_TRAD!$D86,Summary!D:D)</f>
        <v>30000000</v>
      </c>
      <c r="L86" s="1">
        <v>0</v>
      </c>
      <c r="M86" s="7">
        <f t="shared" si="14"/>
        <v>0</v>
      </c>
      <c r="N86" s="7">
        <f t="shared" si="14"/>
        <v>0</v>
      </c>
      <c r="O86" s="7">
        <f t="shared" si="14"/>
        <v>0</v>
      </c>
      <c r="P86" s="7">
        <f t="shared" si="14"/>
        <v>0</v>
      </c>
      <c r="Q86" s="48">
        <f t="shared" si="5"/>
        <v>0</v>
      </c>
      <c r="R86" s="48">
        <f t="shared" si="5"/>
        <v>0</v>
      </c>
      <c r="S86" s="48">
        <f t="shared" si="5"/>
        <v>0</v>
      </c>
      <c r="T86" s="48">
        <f t="shared" si="5"/>
        <v>0</v>
      </c>
      <c r="V86" s="48"/>
      <c r="W86" s="7" t="str">
        <f t="shared" si="15"/>
        <v>IDR</v>
      </c>
    </row>
    <row r="87" spans="1:23">
      <c r="A87" s="58" t="e">
        <f ca="1">_xlfn.XLOOKUP(B87,[10]Sheet1!$D:$D,[10]Sheet1!$E:$E)</f>
        <v>#N/A</v>
      </c>
      <c r="B87" t="str">
        <f t="shared" si="4"/>
        <v>CSAMAN</v>
      </c>
      <c r="C87" t="str">
        <f>VLOOKUP(D87,DV_AZTRAD_Stat!H:I,2,FALSE)</f>
        <v>CSAMAN_IDR</v>
      </c>
      <c r="D87" s="59" t="s">
        <v>1939</v>
      </c>
      <c r="E87" s="1">
        <f>SUMIF(DV_AZTRAD_Stat!$H:$H,Summary_Checking_TRAD!$D87,DV_AZTRAD_Stat!$C:$C)</f>
        <v>993</v>
      </c>
      <c r="F87" s="1">
        <f>SUMIF(DV_AZTRAD_Stat!$H:$H,Summary_Checking_TRAD!$D87,DV_AZTRAD_Stat!$E:$E)</f>
        <v>331445877610</v>
      </c>
      <c r="G87" s="1">
        <f>SUMIF(DV_AZTRAD_Stat!$H:$H,Summary_Checking_TRAD!$D87,DV_AZTRAD_Stat!$D:$D)</f>
        <v>25031079690</v>
      </c>
      <c r="H87" s="1">
        <v>0</v>
      </c>
      <c r="I87" s="5">
        <f ca="1">SUMIF(IT_AZTRAD_FULL_Stat!$H:$H,Summary_Checking_TRAD!$D87,IT_AZTRAD_FULL_Stat!C:C)
+SUMIF(Summary!$H:$H,Summary_Checking_TRAD!$D87,Summary!C:C)-VLOOKUP($D87,Summary_Checking_UL!$D:$L,6,FALSE)*0</f>
        <v>0</v>
      </c>
      <c r="J87" s="5">
        <f ca="1">SUMIF(IT_AZTRAD_FULL_Stat!$H:$H,Summary_Checking_TRAD!$D87,IT_AZTRAD_FULL_Stat!E:E)
+SUMIF(Summary!$H:$H,Summary_Checking_TRAD!$D87,Summary!E:E)-VLOOKUP($D87,Summary_Checking_UL!$D:$L,7,FALSE)*0</f>
        <v>0</v>
      </c>
      <c r="K87" s="5">
        <f ca="1">SUMIF(IT_AZTRAD_FULL_Stat!$H:$H,Summary_Checking_TRAD!$D87,IT_AZTRAD_FULL_Stat!D:D)
+SUMIF(Summary!$H:$H,Summary_Checking_TRAD!$D87,Summary!D:D)-VLOOKUP($D87,Summary_Checking_UL!$D:$L,8,FALSE)*0</f>
        <v>0</v>
      </c>
      <c r="L87" s="1">
        <v>0</v>
      </c>
      <c r="M87" s="7">
        <f t="shared" ca="1" si="14"/>
        <v>993</v>
      </c>
      <c r="N87" s="7">
        <f t="shared" ca="1" si="14"/>
        <v>331445877610</v>
      </c>
      <c r="O87" s="7">
        <f t="shared" ca="1" si="14"/>
        <v>25031079690</v>
      </c>
      <c r="P87" s="7">
        <f t="shared" si="14"/>
        <v>0</v>
      </c>
      <c r="Q87" s="48">
        <f t="shared" ca="1" si="5"/>
        <v>0</v>
      </c>
      <c r="R87" s="48">
        <f t="shared" ca="1" si="5"/>
        <v>0</v>
      </c>
      <c r="S87" s="48">
        <f t="shared" ca="1" si="5"/>
        <v>0</v>
      </c>
      <c r="T87" s="48">
        <f t="shared" si="5"/>
        <v>0</v>
      </c>
      <c r="V87" s="48"/>
      <c r="W87" s="7" t="str">
        <f t="shared" si="15"/>
        <v>IDR</v>
      </c>
    </row>
    <row r="88" spans="1:23">
      <c r="A88" s="58" t="str">
        <f ca="1">_xlfn.XLOOKUP(B88,[10]Sheet1!$D:$D,[10]Sheet1!$E:$E)</f>
        <v>CI49</v>
      </c>
      <c r="B88" t="str">
        <f t="shared" ref="B88:B129" si="16">LEFT(C88,6)</f>
        <v>CSCI49</v>
      </c>
      <c r="C88" t="str">
        <f>VLOOKUP(D88,DV_AZTRAD_Stat!H:I,2,FALSE)</f>
        <v>CSCI49_IDR</v>
      </c>
      <c r="D88" s="59" t="s">
        <v>1725</v>
      </c>
      <c r="E88" s="1">
        <f>SUMIF(DV_AZTRAD_Stat!$H:$H,Summary_Checking_TRAD!$D88,DV_AZTRAD_Stat!$C:$C)</f>
        <v>2446</v>
      </c>
      <c r="F88" s="1">
        <f>SUMIF(DV_AZTRAD_Stat!$H:$H,Summary_Checking_TRAD!$D88,DV_AZTRAD_Stat!$E:$E)</f>
        <v>1180105777702</v>
      </c>
      <c r="G88" s="1">
        <f>SUMIF(DV_AZTRAD_Stat!$H:$H,Summary_Checking_TRAD!$D88,DV_AZTRAD_Stat!$D:$D)</f>
        <v>6847337164</v>
      </c>
      <c r="H88" s="1">
        <v>0</v>
      </c>
      <c r="I88" s="1">
        <f>SUMIF(IT_AZTRAD_FULL_Stat!$H:$H,Summary_Checking_TRAD!$D88,IT_AZTRAD_FULL_Stat!C:C)
+SUMIF(Summary!$H:$H,Summary_Checking_TRAD!$D88,Summary!C:C)</f>
        <v>2446</v>
      </c>
      <c r="J88" s="1">
        <f>SUMIF(IT_AZTRAD_FULL_Stat!$H:$H,Summary_Checking_TRAD!$D88,IT_AZTRAD_FULL_Stat!E:E)
+SUMIF(Summary!$H:$H,Summary_Checking_TRAD!$D88,Summary!E:E)</f>
        <v>1180105777702</v>
      </c>
      <c r="K88" s="1">
        <f>SUMIF(IT_AZTRAD_FULL_Stat!$H:$H,Summary_Checking_TRAD!$D88,IT_AZTRAD_FULL_Stat!D:D)
+SUMIF(Summary!$H:$H,Summary_Checking_TRAD!$D88,Summary!D:D)</f>
        <v>6847337164</v>
      </c>
      <c r="L88" s="1">
        <v>0</v>
      </c>
      <c r="M88" s="7">
        <f t="shared" si="14"/>
        <v>0</v>
      </c>
      <c r="N88" s="7">
        <f t="shared" si="14"/>
        <v>0</v>
      </c>
      <c r="O88" s="7">
        <f t="shared" si="14"/>
        <v>0</v>
      </c>
      <c r="P88" s="7">
        <f t="shared" si="14"/>
        <v>0</v>
      </c>
      <c r="Q88" s="48">
        <f t="shared" ref="Q88:T103" si="17">IFERROR(M88/I88,0)</f>
        <v>0</v>
      </c>
      <c r="R88" s="48">
        <f t="shared" si="17"/>
        <v>0</v>
      </c>
      <c r="S88" s="48">
        <f t="shared" si="17"/>
        <v>0</v>
      </c>
      <c r="T88" s="48">
        <f t="shared" si="17"/>
        <v>0</v>
      </c>
      <c r="V88" s="48"/>
      <c r="W88" s="7" t="str">
        <f t="shared" si="15"/>
        <v>IDR</v>
      </c>
    </row>
    <row r="89" spans="1:23">
      <c r="A89" s="58" t="str">
        <f ca="1">_xlfn.XLOOKUP(B89,[10]Sheet1!$D:$D,[10]Sheet1!$E:$E)</f>
        <v>Alisya Handal</v>
      </c>
      <c r="B89" t="str">
        <f t="shared" si="16"/>
        <v>CSHNDL</v>
      </c>
      <c r="C89" t="str">
        <f>VLOOKUP(D89,DV_AZTRAD_Stat!H:I,2,FALSE)</f>
        <v>CSHNDL_IDR</v>
      </c>
      <c r="D89" s="59" t="s">
        <v>2167</v>
      </c>
      <c r="E89" s="1">
        <f>SUMIF(DV_AZTRAD_Stat!$H:$H,Summary_Checking_TRAD!$D89,DV_AZTRAD_Stat!$C:$C)</f>
        <v>2450</v>
      </c>
      <c r="F89" s="1">
        <f>SUMIF(DV_AZTRAD_Stat!$H:$H,Summary_Checking_TRAD!$D89,DV_AZTRAD_Stat!$E:$E)</f>
        <v>1183362145702</v>
      </c>
      <c r="G89" s="1">
        <f>SUMIF(DV_AZTRAD_Stat!$H:$H,Summary_Checking_TRAD!$D89,DV_AZTRAD_Stat!$D:$D)</f>
        <v>11191961279</v>
      </c>
      <c r="H89" s="1">
        <v>0</v>
      </c>
      <c r="I89" s="1">
        <f>SUMIF(IT_AZTRAD_FULL_Stat!$H:$H,Summary_Checking_TRAD!$D89,IT_AZTRAD_FULL_Stat!C:C)
+SUMIF(Summary!$H:$H,Summary_Checking_TRAD!$D89,Summary!C:C)</f>
        <v>2450</v>
      </c>
      <c r="J89" s="1">
        <f>SUMIF(IT_AZTRAD_FULL_Stat!$H:$H,Summary_Checking_TRAD!$D89,IT_AZTRAD_FULL_Stat!E:E)
+SUMIF(Summary!$H:$H,Summary_Checking_TRAD!$D89,Summary!E:E)</f>
        <v>1183362145702</v>
      </c>
      <c r="K89" s="1">
        <f>SUMIF(IT_AZTRAD_FULL_Stat!$H:$H,Summary_Checking_TRAD!$D89,IT_AZTRAD_FULL_Stat!D:D)
+SUMIF(Summary!$H:$H,Summary_Checking_TRAD!$D89,Summary!D:D)</f>
        <v>11191961279</v>
      </c>
      <c r="L89" s="1">
        <v>0</v>
      </c>
      <c r="M89" s="7">
        <f t="shared" si="14"/>
        <v>0</v>
      </c>
      <c r="N89" s="7">
        <f t="shared" si="14"/>
        <v>0</v>
      </c>
      <c r="O89" s="7">
        <f t="shared" si="14"/>
        <v>0</v>
      </c>
      <c r="P89" s="7">
        <f t="shared" si="14"/>
        <v>0</v>
      </c>
      <c r="Q89" s="48">
        <f t="shared" si="17"/>
        <v>0</v>
      </c>
      <c r="R89" s="48">
        <f t="shared" si="17"/>
        <v>0</v>
      </c>
      <c r="S89" s="48">
        <f t="shared" si="17"/>
        <v>0</v>
      </c>
      <c r="T89" s="48">
        <f t="shared" si="17"/>
        <v>0</v>
      </c>
      <c r="V89" s="48"/>
      <c r="W89" s="7" t="str">
        <f t="shared" si="15"/>
        <v>IDR</v>
      </c>
    </row>
    <row r="90" spans="1:23">
      <c r="A90" s="58" t="e">
        <f ca="1">_xlfn.XLOOKUP(B90,[10]Sheet1!$D:$D,[10]Sheet1!$E:$E)</f>
        <v>#N/A</v>
      </c>
      <c r="B90" t="str">
        <f t="shared" si="16"/>
        <v>CSLGM_</v>
      </c>
      <c r="C90" t="str">
        <f>VLOOKUP(D90,DV_AZTRAD_Stat!H:I,2,FALSE)</f>
        <v>CSLGM__IDR</v>
      </c>
      <c r="D90" s="59" t="s">
        <v>2168</v>
      </c>
      <c r="E90" s="1">
        <f>SUMIF(DV_AZTRAD_Stat!$H:$H,Summary_Checking_TRAD!$D90,DV_AZTRAD_Stat!$C:$C)</f>
        <v>2872</v>
      </c>
      <c r="F90" s="1">
        <f>SUMIF(DV_AZTRAD_Stat!$H:$H,Summary_Checking_TRAD!$D90,DV_AZTRAD_Stat!$E:$E)</f>
        <v>4628360283331</v>
      </c>
      <c r="G90" s="1">
        <f>SUMIF(DV_AZTRAD_Stat!$H:$H,Summary_Checking_TRAD!$D90,DV_AZTRAD_Stat!$D:$D)</f>
        <v>123985867045.37111</v>
      </c>
      <c r="H90" s="1">
        <v>0</v>
      </c>
      <c r="I90" s="1">
        <f>SUMIF(IT_AZTRAD_FULL_Stat!$H:$H,Summary_Checking_TRAD!$D90,IT_AZTRAD_FULL_Stat!C:C)
+SUMIF(Summary!$H:$H,Summary_Checking_TRAD!$D90,Summary!C:C)</f>
        <v>2872</v>
      </c>
      <c r="J90" s="1">
        <f>SUMIF(IT_AZTRAD_FULL_Stat!$H:$H,Summary_Checking_TRAD!$D90,IT_AZTRAD_FULL_Stat!E:E)
+SUMIF(Summary!$H:$H,Summary_Checking_TRAD!$D90,Summary!E:E)</f>
        <v>4448001112421</v>
      </c>
      <c r="K90" s="1">
        <f>SUMIF(IT_AZTRAD_FULL_Stat!$H:$H,Summary_Checking_TRAD!$D90,IT_AZTRAD_FULL_Stat!D:D)
+SUMIF(Summary!$H:$H,Summary_Checking_TRAD!$D90,Summary!D:D)</f>
        <v>123985867045.371</v>
      </c>
      <c r="L90" s="1">
        <v>0</v>
      </c>
      <c r="M90" s="7">
        <f t="shared" si="14"/>
        <v>0</v>
      </c>
      <c r="N90" s="11">
        <f>F90-J90-VLOOKUP($D90,'[11]Summary by Group Raw Data'!$C$4:$G$12,4,FALSE)</f>
        <v>0</v>
      </c>
      <c r="O90" s="7">
        <f t="shared" si="14"/>
        <v>0</v>
      </c>
      <c r="P90" s="7">
        <f t="shared" si="14"/>
        <v>0</v>
      </c>
      <c r="Q90" s="48">
        <f t="shared" si="17"/>
        <v>0</v>
      </c>
      <c r="R90" s="48">
        <f t="shared" si="17"/>
        <v>0</v>
      </c>
      <c r="S90" s="48">
        <f t="shared" si="17"/>
        <v>0</v>
      </c>
      <c r="T90" s="48">
        <f t="shared" si="17"/>
        <v>0</v>
      </c>
      <c r="V90" s="48"/>
      <c r="W90" s="7" t="str">
        <f t="shared" si="15"/>
        <v>IDR</v>
      </c>
    </row>
    <row r="91" spans="1:23">
      <c r="A91" s="58" t="str">
        <f ca="1">_xlfn.XLOOKUP(B91,[10]Sheet1!$D:$D,[10]Sheet1!$E:$E)</f>
        <v>Critical Illness Care Protection</v>
      </c>
      <c r="B91" t="str">
        <f t="shared" si="16"/>
        <v>CTCICP</v>
      </c>
      <c r="C91" t="str">
        <f>VLOOKUP(D91,DV_AZTRAD_Stat!H:I,2,FALSE)</f>
        <v>CTCICP_IDR</v>
      </c>
      <c r="D91" s="59" t="s">
        <v>2169</v>
      </c>
      <c r="E91" s="1">
        <f>SUMIF(DV_AZTRAD_Stat!$H:$H,Summary_Checking_TRAD!$D91,DV_AZTRAD_Stat!$C:$C)</f>
        <v>86</v>
      </c>
      <c r="F91" s="1">
        <f>SUMIF(DV_AZTRAD_Stat!$H:$H,Summary_Checking_TRAD!$D91,DV_AZTRAD_Stat!$E:$E)</f>
        <v>11200000000</v>
      </c>
      <c r="G91" s="1">
        <f>SUMIF(DV_AZTRAD_Stat!$H:$H,Summary_Checking_TRAD!$D91,DV_AZTRAD_Stat!$D:$D)</f>
        <v>179280000</v>
      </c>
      <c r="H91" s="1">
        <v>0</v>
      </c>
      <c r="I91" s="1">
        <f>SUMIF(IT_AZTRAD_FULL_Stat!$H:$H,Summary_Checking_TRAD!$D91,IT_AZTRAD_FULL_Stat!C:C)
+SUMIF(Summary!$H:$H,Summary_Checking_TRAD!$D91,Summary!C:C)</f>
        <v>86</v>
      </c>
      <c r="J91" s="1">
        <f>SUMIF(IT_AZTRAD_FULL_Stat!$H:$H,Summary_Checking_TRAD!$D91,IT_AZTRAD_FULL_Stat!E:E)
+SUMIF(Summary!$H:$H,Summary_Checking_TRAD!$D91,Summary!E:E)</f>
        <v>11200000000</v>
      </c>
      <c r="K91" s="1">
        <f>SUMIF(IT_AZTRAD_FULL_Stat!$H:$H,Summary_Checking_TRAD!$D91,IT_AZTRAD_FULL_Stat!D:D)
+SUMIF(Summary!$H:$H,Summary_Checking_TRAD!$D91,Summary!D:D)</f>
        <v>179280000</v>
      </c>
      <c r="L91" s="1">
        <v>0</v>
      </c>
      <c r="M91" s="7">
        <f t="shared" si="14"/>
        <v>0</v>
      </c>
      <c r="N91" s="7">
        <f t="shared" si="14"/>
        <v>0</v>
      </c>
      <c r="O91" s="7">
        <f t="shared" si="14"/>
        <v>0</v>
      </c>
      <c r="P91" s="7">
        <f t="shared" si="14"/>
        <v>0</v>
      </c>
      <c r="Q91" s="48">
        <f t="shared" si="17"/>
        <v>0</v>
      </c>
      <c r="R91" s="48">
        <f t="shared" si="17"/>
        <v>0</v>
      </c>
      <c r="S91" s="48">
        <f t="shared" si="17"/>
        <v>0</v>
      </c>
      <c r="T91" s="48">
        <f t="shared" si="17"/>
        <v>0</v>
      </c>
      <c r="V91" s="48"/>
      <c r="W91" s="7" t="str">
        <f t="shared" si="15"/>
        <v>IDR</v>
      </c>
    </row>
    <row r="92" spans="1:23">
      <c r="A92" s="58" t="e">
        <f ca="1">_xlfn.XLOOKUP(B92,[10]Sheet1!$D:$D,[10]Sheet1!$E:$E)</f>
        <v>#N/A</v>
      </c>
      <c r="B92" t="str">
        <f t="shared" si="16"/>
        <v>CTEZPL</v>
      </c>
      <c r="C92" t="str">
        <f>VLOOKUP(D92,DV_AZTRAD_Stat!H:I,2,FALSE)</f>
        <v>CTEZPL_IDR</v>
      </c>
      <c r="D92" s="59" t="s">
        <v>2170</v>
      </c>
      <c r="E92" s="1">
        <f>SUMIF(DV_AZTRAD_Stat!$H:$H,Summary_Checking_TRAD!$D92,DV_AZTRAD_Stat!$C:$C)</f>
        <v>3200</v>
      </c>
      <c r="F92" s="1">
        <f>SUMIF(DV_AZTRAD_Stat!$H:$H,Summary_Checking_TRAD!$D92,DV_AZTRAD_Stat!$E:$E)</f>
        <v>188842500000</v>
      </c>
      <c r="G92" s="1">
        <f>SUMIF(DV_AZTRAD_Stat!$H:$H,Summary_Checking_TRAD!$D92,DV_AZTRAD_Stat!$D:$D)</f>
        <v>5661800000</v>
      </c>
      <c r="H92" s="1">
        <v>0</v>
      </c>
      <c r="I92" s="5">
        <f>SUMIF(IT_AZTRAD_FULL_Stat!$H:$H,Summary_Checking_TRAD!$D92,IT_AZTRAD_FULL_Stat!C:C)
+SUMIF(Summary!$H:$H,Summary_Checking_TRAD!$D92,Summary!C:C)+SUMIF(IT_AZTRAD_FULL_Stat!$H:$H,"EZPLD_IDR",IT_AZTRAD_FULL_Stat!C:C)</f>
        <v>3200</v>
      </c>
      <c r="J92" s="5">
        <f>SUMIF(IT_AZTRAD_FULL_Stat!$H:$H,Summary_Checking_TRAD!$D92,IT_AZTRAD_FULL_Stat!E:E)+SUMIF(IT_AZTRAD_FULL_Stat!$H:$H,"EZPLD_IDR",IT_AZTRAD_FULL_Stat!E:E)
+SUMIF(Summary!$H:$H,Summary_Checking_TRAD!$D92,Summary!E:E)</f>
        <v>188842500000</v>
      </c>
      <c r="K92" s="5">
        <f>SUMIF(IT_AZTRAD_FULL_Stat!$H:$H,Summary_Checking_TRAD!$D92,IT_AZTRAD_FULL_Stat!D:D)+SUMIF(IT_AZTRAD_FULL_Stat!$H:$H,"EZPLD_IDR",IT_AZTRAD_FULL_Stat!D:D)
+SUMIF(Summary!$H:$H,Summary_Checking_TRAD!$D92,Summary!D:D)</f>
        <v>5661800000</v>
      </c>
      <c r="L92" s="1">
        <v>0</v>
      </c>
      <c r="M92" s="7">
        <f t="shared" si="14"/>
        <v>0</v>
      </c>
      <c r="N92" s="7">
        <f t="shared" si="14"/>
        <v>0</v>
      </c>
      <c r="O92" s="7">
        <f>G92-K92</f>
        <v>0</v>
      </c>
      <c r="P92" s="7">
        <f t="shared" si="14"/>
        <v>0</v>
      </c>
      <c r="Q92" s="48">
        <f t="shared" si="17"/>
        <v>0</v>
      </c>
      <c r="R92" s="48">
        <f t="shared" si="17"/>
        <v>0</v>
      </c>
      <c r="S92" s="48">
        <f t="shared" si="17"/>
        <v>0</v>
      </c>
      <c r="T92" s="48">
        <f t="shared" si="17"/>
        <v>0</v>
      </c>
      <c r="V92" s="48"/>
      <c r="W92" s="7" t="str">
        <f t="shared" si="15"/>
        <v>IDR</v>
      </c>
    </row>
    <row r="93" spans="1:23">
      <c r="A93" s="58" t="str">
        <f ca="1">_xlfn.XLOOKUP(B93,[10]Sheet1!$D:$D,[10]Sheet1!$E:$E)</f>
        <v>Jiwa Garda</v>
      </c>
      <c r="B93" t="str">
        <f t="shared" si="16"/>
        <v>CTMPJG</v>
      </c>
      <c r="C93" t="str">
        <f>VLOOKUP(D93,DV_AZTRAD_Stat!H:I,2,FALSE)</f>
        <v>CTMPJG_IDR</v>
      </c>
      <c r="D93" s="59" t="s">
        <v>2171</v>
      </c>
      <c r="E93" s="1">
        <f>SUMIF(DV_AZTRAD_Stat!$H:$H,Summary_Checking_TRAD!$D93,DV_AZTRAD_Stat!$C:$C)</f>
        <v>13573</v>
      </c>
      <c r="F93" s="1">
        <f>SUMIF(DV_AZTRAD_Stat!$H:$H,Summary_Checking_TRAD!$D93,DV_AZTRAD_Stat!$E:$E)</f>
        <v>1455450000000</v>
      </c>
      <c r="G93" s="1">
        <f>SUMIF(DV_AZTRAD_Stat!$H:$H,Summary_Checking_TRAD!$D93,DV_AZTRAD_Stat!$D:$D)</f>
        <v>34930800000</v>
      </c>
      <c r="H93" s="1">
        <v>0</v>
      </c>
      <c r="I93" s="1">
        <f>SUMIF(IT_AZTRAD_FULL_Stat!$H:$H,Summary_Checking_TRAD!$D93,IT_AZTRAD_FULL_Stat!C:C)
+SUMIF(Summary!$H:$H,Summary_Checking_TRAD!$D93,Summary!C:C)</f>
        <v>13573</v>
      </c>
      <c r="J93" s="1">
        <f>SUMIF(IT_AZTRAD_FULL_Stat!$H:$H,Summary_Checking_TRAD!$D93,IT_AZTRAD_FULL_Stat!E:E)
+SUMIF(Summary!$H:$H,Summary_Checking_TRAD!$D93,Summary!E:E)</f>
        <v>1455450000000</v>
      </c>
      <c r="K93" s="1">
        <f>SUMIF(IT_AZTRAD_FULL_Stat!$H:$H,Summary_Checking_TRAD!$D93,IT_AZTRAD_FULL_Stat!D:D)
+SUMIF(Summary!$H:$H,Summary_Checking_TRAD!$D93,Summary!D:D)</f>
        <v>34930800000</v>
      </c>
      <c r="L93" s="1">
        <v>0</v>
      </c>
      <c r="M93" s="7">
        <f t="shared" si="14"/>
        <v>0</v>
      </c>
      <c r="N93" s="7">
        <f t="shared" si="14"/>
        <v>0</v>
      </c>
      <c r="O93" s="7">
        <f t="shared" si="14"/>
        <v>0</v>
      </c>
      <c r="P93" s="7">
        <f t="shared" si="14"/>
        <v>0</v>
      </c>
      <c r="Q93" s="48">
        <f t="shared" si="17"/>
        <v>0</v>
      </c>
      <c r="R93" s="48">
        <f t="shared" si="17"/>
        <v>0</v>
      </c>
      <c r="S93" s="48">
        <f t="shared" si="17"/>
        <v>0</v>
      </c>
      <c r="T93" s="48">
        <f t="shared" si="17"/>
        <v>0</v>
      </c>
      <c r="V93" s="48"/>
      <c r="W93" s="7" t="str">
        <f t="shared" si="15"/>
        <v>IDR</v>
      </c>
    </row>
    <row r="94" spans="1:23">
      <c r="A94" s="58" t="str">
        <f ca="1">_xlfn.XLOOKUP(B94,[10]Sheet1!$D:$D,[10]Sheet1!$E:$E)</f>
        <v>Jiwa Siaga</v>
      </c>
      <c r="B94" t="str">
        <f t="shared" si="16"/>
        <v>CTMPJS</v>
      </c>
      <c r="C94" t="str">
        <f>VLOOKUP(D94,DV_AZTRAD_Stat!H:I,2,FALSE)</f>
        <v>CTMPJS_IDR</v>
      </c>
      <c r="D94" s="59" t="s">
        <v>2172</v>
      </c>
      <c r="E94" s="1">
        <f>SUMIF(DV_AZTRAD_Stat!$H:$H,Summary_Checking_TRAD!$D94,DV_AZTRAD_Stat!$C:$C)</f>
        <v>11</v>
      </c>
      <c r="F94" s="1">
        <f>SUMIF(DV_AZTRAD_Stat!$H:$H,Summary_Checking_TRAD!$D94,DV_AZTRAD_Stat!$E:$E)</f>
        <v>1350000000</v>
      </c>
      <c r="G94" s="1">
        <f>SUMIF(DV_AZTRAD_Stat!$H:$H,Summary_Checking_TRAD!$D94,DV_AZTRAD_Stat!$D:$D)</f>
        <v>16200000</v>
      </c>
      <c r="H94" s="1">
        <v>0</v>
      </c>
      <c r="I94" s="1">
        <f>SUMIF(IT_AZTRAD_FULL_Stat!$H:$H,Summary_Checking_TRAD!$D94,IT_AZTRAD_FULL_Stat!C:C)
+SUMIF(Summary!$H:$H,Summary_Checking_TRAD!$D94,Summary!C:C)</f>
        <v>11</v>
      </c>
      <c r="J94" s="1">
        <f>SUMIF(IT_AZTRAD_FULL_Stat!$H:$H,Summary_Checking_TRAD!$D94,IT_AZTRAD_FULL_Stat!E:E)
+SUMIF(Summary!$H:$H,Summary_Checking_TRAD!$D94,Summary!E:E)</f>
        <v>1350000000</v>
      </c>
      <c r="K94" s="1">
        <f>SUMIF(IT_AZTRAD_FULL_Stat!$H:$H,Summary_Checking_TRAD!$D94,IT_AZTRAD_FULL_Stat!D:D)
+SUMIF(Summary!$H:$H,Summary_Checking_TRAD!$D94,Summary!D:D)</f>
        <v>16200000</v>
      </c>
      <c r="L94" s="1">
        <v>0</v>
      </c>
      <c r="M94" s="7">
        <f t="shared" si="14"/>
        <v>0</v>
      </c>
      <c r="N94" s="7">
        <f t="shared" si="14"/>
        <v>0</v>
      </c>
      <c r="O94" s="7">
        <f t="shared" si="14"/>
        <v>0</v>
      </c>
      <c r="P94" s="7">
        <f t="shared" si="14"/>
        <v>0</v>
      </c>
      <c r="Q94" s="48">
        <f t="shared" si="17"/>
        <v>0</v>
      </c>
      <c r="R94" s="48">
        <f t="shared" si="17"/>
        <v>0</v>
      </c>
      <c r="S94" s="48">
        <f t="shared" si="17"/>
        <v>0</v>
      </c>
      <c r="T94" s="48">
        <f t="shared" si="17"/>
        <v>0</v>
      </c>
      <c r="V94" s="48"/>
      <c r="W94" s="7" t="str">
        <f t="shared" si="15"/>
        <v>IDR</v>
      </c>
    </row>
    <row r="95" spans="1:23">
      <c r="A95" s="58" t="str">
        <f ca="1">_xlfn.XLOOKUP(B95,[10]Sheet1!$D:$D,[10]Sheet1!$E:$E)</f>
        <v>MyProtection Simple</v>
      </c>
      <c r="B95" t="str">
        <f t="shared" si="16"/>
        <v>CTMPSL</v>
      </c>
      <c r="C95" t="str">
        <f>VLOOKUP(D95,DV_AZTRAD_Stat!H:I,2,FALSE)</f>
        <v>CTMPSL_IDR</v>
      </c>
      <c r="D95" s="59" t="s">
        <v>2173</v>
      </c>
      <c r="E95" s="1">
        <f>SUMIF(DV_AZTRAD_Stat!$H:$H,Summary_Checking_TRAD!$D95,DV_AZTRAD_Stat!$C:$C)</f>
        <v>10772</v>
      </c>
      <c r="F95" s="1">
        <f>SUMIF(DV_AZTRAD_Stat!$H:$H,Summary_Checking_TRAD!$D95,DV_AZTRAD_Stat!$E:$E)</f>
        <v>1335870000000</v>
      </c>
      <c r="G95" s="1">
        <f>SUMIF(DV_AZTRAD_Stat!$H:$H,Summary_Checking_TRAD!$D95,DV_AZTRAD_Stat!$D:$D)</f>
        <v>41097600000</v>
      </c>
      <c r="H95" s="1">
        <v>0</v>
      </c>
      <c r="I95" s="1">
        <f>SUMIF(IT_AZTRAD_FULL_Stat!$H:$H,Summary_Checking_TRAD!$D95,IT_AZTRAD_FULL_Stat!C:C)
+SUMIF(Summary!$H:$H,Summary_Checking_TRAD!$D95,Summary!C:C)</f>
        <v>10772</v>
      </c>
      <c r="J95" s="1">
        <f>SUMIF(IT_AZTRAD_FULL_Stat!$H:$H,Summary_Checking_TRAD!$D95,IT_AZTRAD_FULL_Stat!E:E)
+SUMIF(Summary!$H:$H,Summary_Checking_TRAD!$D95,Summary!E:E)</f>
        <v>1335870000000</v>
      </c>
      <c r="K95" s="1">
        <f>SUMIF(IT_AZTRAD_FULL_Stat!$H:$H,Summary_Checking_TRAD!$D95,IT_AZTRAD_FULL_Stat!D:D)
+SUMIF(Summary!$H:$H,Summary_Checking_TRAD!$D95,Summary!D:D)</f>
        <v>41097600000</v>
      </c>
      <c r="L95" s="1">
        <v>0</v>
      </c>
      <c r="M95" s="7">
        <f t="shared" si="14"/>
        <v>0</v>
      </c>
      <c r="N95" s="7">
        <f t="shared" si="14"/>
        <v>0</v>
      </c>
      <c r="O95" s="7">
        <f t="shared" si="14"/>
        <v>0</v>
      </c>
      <c r="P95" s="7">
        <f t="shared" si="14"/>
        <v>0</v>
      </c>
      <c r="Q95" s="48">
        <f t="shared" si="17"/>
        <v>0</v>
      </c>
      <c r="R95" s="48">
        <f t="shared" si="17"/>
        <v>0</v>
      </c>
      <c r="S95" s="48">
        <f t="shared" si="17"/>
        <v>0</v>
      </c>
      <c r="T95" s="48">
        <f t="shared" si="17"/>
        <v>0</v>
      </c>
      <c r="V95" s="48"/>
      <c r="W95" s="7" t="str">
        <f t="shared" si="15"/>
        <v>IDR</v>
      </c>
    </row>
    <row r="96" spans="1:23">
      <c r="A96" s="58" t="e">
        <f ca="1">_xlfn.XLOOKUP(B96,[10]Sheet1!$D:$D,[10]Sheet1!$E:$E)</f>
        <v>#N/A</v>
      </c>
      <c r="B96" t="str">
        <f t="shared" si="16"/>
        <v>CTPLA_</v>
      </c>
      <c r="C96" t="str">
        <f>VLOOKUP(D96,DV_AZTRAD_Stat!H:I,2,FALSE)</f>
        <v>CTPLA__IDR</v>
      </c>
      <c r="D96" s="59" t="s">
        <v>2174</v>
      </c>
      <c r="E96" s="1">
        <f>SUMIF(DV_AZTRAD_Stat!$H:$H,Summary_Checking_TRAD!$D96,DV_AZTRAD_Stat!$C:$C)</f>
        <v>9</v>
      </c>
      <c r="F96" s="1">
        <f>SUMIF(DV_AZTRAD_Stat!$H:$H,Summary_Checking_TRAD!$D96,DV_AZTRAD_Stat!$E:$E)</f>
        <v>56000000000</v>
      </c>
      <c r="G96" s="1">
        <f>SUMIF(DV_AZTRAD_Stat!$H:$H,Summary_Checking_TRAD!$D96,DV_AZTRAD_Stat!$D:$D)</f>
        <v>278930000</v>
      </c>
      <c r="H96" s="1">
        <v>0</v>
      </c>
      <c r="I96" s="1">
        <f>SUMIF(IT_AZTRAD_FULL_Stat!$H:$H,Summary_Checking_TRAD!$D96,IT_AZTRAD_FULL_Stat!C:C)
+SUMIF(Summary!$H:$H,Summary_Checking_TRAD!$D96,Summary!C:C)</f>
        <v>9</v>
      </c>
      <c r="J96" s="1">
        <f>SUMIF(IT_AZTRAD_FULL_Stat!$H:$H,Summary_Checking_TRAD!$D96,IT_AZTRAD_FULL_Stat!E:E)
+SUMIF(Summary!$H:$H,Summary_Checking_TRAD!$D96,Summary!E:E)</f>
        <v>56000000000</v>
      </c>
      <c r="K96" s="1">
        <f>SUMIF(IT_AZTRAD_FULL_Stat!$H:$H,Summary_Checking_TRAD!$D96,IT_AZTRAD_FULL_Stat!D:D)
+SUMIF(Summary!$H:$H,Summary_Checking_TRAD!$D96,Summary!D:D)</f>
        <v>278930000</v>
      </c>
      <c r="L96" s="1">
        <v>0</v>
      </c>
      <c r="M96" s="7">
        <f t="shared" si="14"/>
        <v>0</v>
      </c>
      <c r="N96" s="7">
        <f t="shared" si="14"/>
        <v>0</v>
      </c>
      <c r="O96" s="7">
        <f t="shared" si="14"/>
        <v>0</v>
      </c>
      <c r="P96" s="7">
        <f t="shared" si="14"/>
        <v>0</v>
      </c>
      <c r="Q96" s="48">
        <f t="shared" si="17"/>
        <v>0</v>
      </c>
      <c r="R96" s="48">
        <f t="shared" si="17"/>
        <v>0</v>
      </c>
      <c r="S96" s="48">
        <f t="shared" si="17"/>
        <v>0</v>
      </c>
      <c r="T96" s="48">
        <f t="shared" si="17"/>
        <v>0</v>
      </c>
      <c r="V96" s="48"/>
      <c r="W96" s="7" t="str">
        <f t="shared" si="15"/>
        <v>IDR</v>
      </c>
    </row>
    <row r="97" spans="1:23">
      <c r="A97" s="58" t="e">
        <f ca="1">_xlfn.XLOOKUP(B97,[10]Sheet1!$D:$D,[10]Sheet1!$E:$E)</f>
        <v>#N/A</v>
      </c>
      <c r="B97" t="e">
        <f t="shared" si="16"/>
        <v>#N/A</v>
      </c>
      <c r="C97" t="e">
        <f>VLOOKUP(D97,DV_AZTRAD_Stat!H:I,2,FALSE)</f>
        <v>#N/A</v>
      </c>
      <c r="D97" s="59" t="s">
        <v>2175</v>
      </c>
      <c r="E97" s="1">
        <f>SUMIF(DV_AZTRAD_Stat!$H:$H,Summary_Checking_TRAD!$D97,DV_AZTRAD_Stat!$C:$C)</f>
        <v>0</v>
      </c>
      <c r="F97" s="1">
        <f>SUMIF(DV_AZTRAD_Stat!$H:$H,Summary_Checking_TRAD!$D97,DV_AZTRAD_Stat!$E:$E)</f>
        <v>0</v>
      </c>
      <c r="G97" s="1">
        <f>SUMIF(DV_AZTRAD_Stat!$H:$H,Summary_Checking_TRAD!$D97,DV_AZTRAD_Stat!$D:$D)</f>
        <v>0</v>
      </c>
      <c r="H97" s="1">
        <v>0</v>
      </c>
      <c r="I97" s="1">
        <f>SUMIF(IT_AZTRAD_FULL_Stat!$H:$H,Summary_Checking_TRAD!$D97,IT_AZTRAD_FULL_Stat!C:C)
+SUMIF(Summary!$H:$H,Summary_Checking_TRAD!$D97,Summary!C:C)</f>
        <v>0</v>
      </c>
      <c r="J97" s="1">
        <f>SUMIF(IT_AZTRAD_FULL_Stat!$H:$H,Summary_Checking_TRAD!$D97,IT_AZTRAD_FULL_Stat!E:E)
+SUMIF(Summary!$H:$H,Summary_Checking_TRAD!$D97,Summary!E:E)</f>
        <v>0</v>
      </c>
      <c r="K97" s="1">
        <f>SUMIF(IT_AZTRAD_FULL_Stat!$H:$H,Summary_Checking_TRAD!$D97,IT_AZTRAD_FULL_Stat!D:D)
+SUMIF(Summary!$H:$H,Summary_Checking_TRAD!$D97,Summary!D:D)</f>
        <v>0</v>
      </c>
      <c r="L97" s="1">
        <v>0</v>
      </c>
      <c r="M97" s="7">
        <f t="shared" si="14"/>
        <v>0</v>
      </c>
      <c r="N97" s="7">
        <f t="shared" si="14"/>
        <v>0</v>
      </c>
      <c r="O97" s="7">
        <f t="shared" si="14"/>
        <v>0</v>
      </c>
      <c r="P97" s="7">
        <f t="shared" si="14"/>
        <v>0</v>
      </c>
      <c r="Q97" s="48">
        <f t="shared" si="17"/>
        <v>0</v>
      </c>
      <c r="R97" s="48">
        <f t="shared" si="17"/>
        <v>0</v>
      </c>
      <c r="S97" s="48">
        <f t="shared" si="17"/>
        <v>0</v>
      </c>
      <c r="T97" s="48">
        <f t="shared" si="17"/>
        <v>0</v>
      </c>
      <c r="V97" s="48"/>
      <c r="W97" s="7" t="str">
        <f t="shared" si="15"/>
        <v>USD</v>
      </c>
    </row>
    <row r="98" spans="1:23">
      <c r="A98" s="58" t="str">
        <f ca="1">_xlfn.XLOOKUP(B98,[10]Sheet1!$D:$D,[10]Sheet1!$E:$E)</f>
        <v>Smart Life</v>
      </c>
      <c r="B98" t="str">
        <f t="shared" si="16"/>
        <v>CTSL__</v>
      </c>
      <c r="C98" t="str">
        <f>VLOOKUP(D98,DV_AZTRAD_Stat!H:I,2,FALSE)</f>
        <v>CTSL___IDR</v>
      </c>
      <c r="D98" s="59" t="s">
        <v>2176</v>
      </c>
      <c r="E98" s="1">
        <f>SUMIF(DV_AZTRAD_Stat!$H:$H,Summary_Checking_TRAD!$D98,DV_AZTRAD_Stat!$C:$C)</f>
        <v>35</v>
      </c>
      <c r="F98" s="1">
        <f>SUMIF(DV_AZTRAD_Stat!$H:$H,Summary_Checking_TRAD!$D98,DV_AZTRAD_Stat!$E:$E)</f>
        <v>7582127530</v>
      </c>
      <c r="G98" s="1">
        <f>SUMIF(DV_AZTRAD_Stat!$H:$H,Summary_Checking_TRAD!$D98,DV_AZTRAD_Stat!$D:$D)</f>
        <v>66299960</v>
      </c>
      <c r="H98" s="1">
        <v>0</v>
      </c>
      <c r="I98" s="1">
        <f>SUMIF(IT_AZTRAD_FULL_Stat!$H:$H,Summary_Checking_TRAD!$D98,IT_AZTRAD_FULL_Stat!C:C)
+SUMIF(Summary!$H:$H,Summary_Checking_TRAD!$D98,Summary!C:C)</f>
        <v>35</v>
      </c>
      <c r="J98" s="1">
        <f>SUMIF(IT_AZTRAD_FULL_Stat!$H:$H,Summary_Checking_TRAD!$D98,IT_AZTRAD_FULL_Stat!E:E)
+SUMIF(Summary!$H:$H,Summary_Checking_TRAD!$D98,Summary!E:E)</f>
        <v>7582127530</v>
      </c>
      <c r="K98" s="1">
        <f>SUMIF(IT_AZTRAD_FULL_Stat!$H:$H,Summary_Checking_TRAD!$D98,IT_AZTRAD_FULL_Stat!D:D)
+SUMIF(Summary!$H:$H,Summary_Checking_TRAD!$D98,Summary!D:D)</f>
        <v>66299960</v>
      </c>
      <c r="L98" s="1">
        <v>0</v>
      </c>
      <c r="M98" s="7">
        <f t="shared" si="14"/>
        <v>0</v>
      </c>
      <c r="N98" s="7">
        <f t="shared" si="14"/>
        <v>0</v>
      </c>
      <c r="O98" s="7">
        <f t="shared" si="14"/>
        <v>0</v>
      </c>
      <c r="P98" s="7">
        <f t="shared" si="14"/>
        <v>0</v>
      </c>
      <c r="Q98" s="48">
        <f t="shared" si="17"/>
        <v>0</v>
      </c>
      <c r="R98" s="48">
        <f t="shared" si="17"/>
        <v>0</v>
      </c>
      <c r="S98" s="48">
        <f t="shared" si="17"/>
        <v>0</v>
      </c>
      <c r="T98" s="48">
        <f t="shared" si="17"/>
        <v>0</v>
      </c>
      <c r="V98" s="48"/>
      <c r="W98" s="7" t="str">
        <f t="shared" si="15"/>
        <v>IDR</v>
      </c>
    </row>
    <row r="99" spans="1:23">
      <c r="A99" s="58" t="str">
        <f ca="1">_xlfn.XLOOKUP(B99,[10]Sheet1!$D:$D,[10]Sheet1!$E:$E)</f>
        <v>TaproKu</v>
      </c>
      <c r="B99" t="str">
        <f t="shared" si="16"/>
        <v>CTTP__</v>
      </c>
      <c r="C99" t="str">
        <f>VLOOKUP(D99,DV_AZTRAD_Stat!H:I,2,FALSE)</f>
        <v>CTTP___IDR</v>
      </c>
      <c r="D99" s="59" t="s">
        <v>2177</v>
      </c>
      <c r="E99" s="1">
        <f>SUMIF(DV_AZTRAD_Stat!$H:$H,Summary_Checking_TRAD!$D99,DV_AZTRAD_Stat!$C:$C)</f>
        <v>125</v>
      </c>
      <c r="F99" s="1">
        <f>SUMIF(DV_AZTRAD_Stat!$H:$H,Summary_Checking_TRAD!$D99,DV_AZTRAD_Stat!$E:$E)</f>
        <v>15900000000</v>
      </c>
      <c r="G99" s="1">
        <f>SUMIF(DV_AZTRAD_Stat!$H:$H,Summary_Checking_TRAD!$D99,DV_AZTRAD_Stat!$D:$D)</f>
        <v>202826400</v>
      </c>
      <c r="H99" s="1">
        <v>0</v>
      </c>
      <c r="I99" s="1">
        <f>SUMIF(IT_AZTRAD_FULL_Stat!$H:$H,Summary_Checking_TRAD!$D99,IT_AZTRAD_FULL_Stat!C:C)
+SUMIF(Summary!$H:$H,Summary_Checking_TRAD!$D99,Summary!C:C)</f>
        <v>125</v>
      </c>
      <c r="J99" s="1">
        <f>SUMIF(IT_AZTRAD_FULL_Stat!$H:$H,Summary_Checking_TRAD!$D99,IT_AZTRAD_FULL_Stat!E:E)
+SUMIF(Summary!$H:$H,Summary_Checking_TRAD!$D99,Summary!E:E)</f>
        <v>15900000000</v>
      </c>
      <c r="K99" s="1">
        <f>SUMIF(IT_AZTRAD_FULL_Stat!$H:$H,Summary_Checking_TRAD!$D99,IT_AZTRAD_FULL_Stat!D:D)
+SUMIF(Summary!$H:$H,Summary_Checking_TRAD!$D99,Summary!D:D)</f>
        <v>202826400</v>
      </c>
      <c r="L99" s="1">
        <v>0</v>
      </c>
      <c r="M99" s="7">
        <f t="shared" si="14"/>
        <v>0</v>
      </c>
      <c r="N99" s="7">
        <f t="shared" si="14"/>
        <v>0</v>
      </c>
      <c r="O99" s="7">
        <f t="shared" si="14"/>
        <v>0</v>
      </c>
      <c r="P99" s="7">
        <f t="shared" si="14"/>
        <v>0</v>
      </c>
      <c r="Q99" s="48">
        <f t="shared" si="17"/>
        <v>0</v>
      </c>
      <c r="R99" s="48">
        <f t="shared" si="17"/>
        <v>0</v>
      </c>
      <c r="S99" s="48">
        <f t="shared" si="17"/>
        <v>0</v>
      </c>
      <c r="T99" s="48">
        <f t="shared" si="17"/>
        <v>0</v>
      </c>
      <c r="V99" s="48"/>
      <c r="W99" s="7" t="str">
        <f t="shared" si="15"/>
        <v>IDR</v>
      </c>
    </row>
    <row r="100" spans="1:23">
      <c r="A100" s="58" t="str">
        <f ca="1">_xlfn.XLOOKUP(B100,[10]Sheet1!$D:$D,[10]Sheet1!$E:$E)</f>
        <v>Euro Whole Life Plan</v>
      </c>
      <c r="B100" t="str">
        <f t="shared" si="16"/>
        <v>CWEWP_</v>
      </c>
      <c r="C100" t="str">
        <f>VLOOKUP(D100,DV_AZTRAD_Stat!H:I,2,FALSE)</f>
        <v>CWEWP__IDR</v>
      </c>
      <c r="D100" s="59" t="s">
        <v>2178</v>
      </c>
      <c r="E100" s="1">
        <f>SUMIF(DV_AZTRAD_Stat!$H:$H,Summary_Checking_TRAD!$D100,DV_AZTRAD_Stat!$C:$C)</f>
        <v>272</v>
      </c>
      <c r="F100" s="1">
        <f>SUMIF(DV_AZTRAD_Stat!$H:$H,Summary_Checking_TRAD!$D100,DV_AZTRAD_Stat!$E:$E)</f>
        <v>23574000000</v>
      </c>
      <c r="G100" s="1">
        <f>SUMIF(DV_AZTRAD_Stat!$H:$H,Summary_Checking_TRAD!$D100,DV_AZTRAD_Stat!$D:$D)</f>
        <v>676596489</v>
      </c>
      <c r="H100" s="1">
        <v>0</v>
      </c>
      <c r="I100" s="1">
        <f>SUMIF(IT_AZTRAD_FULL_Stat!$H:$H,Summary_Checking_TRAD!$D100,IT_AZTRAD_FULL_Stat!C:C)
+SUMIF(Summary!$H:$H,Summary_Checking_TRAD!$D100,Summary!C:C)</f>
        <v>272</v>
      </c>
      <c r="J100" s="1">
        <f>SUMIF(IT_AZTRAD_FULL_Stat!$H:$H,Summary_Checking_TRAD!$D100,IT_AZTRAD_FULL_Stat!E:E)
+SUMIF(Summary!$H:$H,Summary_Checking_TRAD!$D100,Summary!E:E)</f>
        <v>23574000000</v>
      </c>
      <c r="K100" s="1">
        <f>SUMIF(IT_AZTRAD_FULL_Stat!$H:$H,Summary_Checking_TRAD!$D100,IT_AZTRAD_FULL_Stat!D:D)
+SUMIF(Summary!$H:$H,Summary_Checking_TRAD!$D100,Summary!D:D)</f>
        <v>676596489</v>
      </c>
      <c r="L100" s="1">
        <v>0</v>
      </c>
      <c r="M100" s="7">
        <f t="shared" si="14"/>
        <v>0</v>
      </c>
      <c r="N100" s="7">
        <f t="shared" si="14"/>
        <v>0</v>
      </c>
      <c r="O100" s="7">
        <f t="shared" si="14"/>
        <v>0</v>
      </c>
      <c r="P100" s="7">
        <f t="shared" si="14"/>
        <v>0</v>
      </c>
      <c r="Q100" s="48">
        <f t="shared" si="17"/>
        <v>0</v>
      </c>
      <c r="R100" s="48">
        <f t="shared" si="17"/>
        <v>0</v>
      </c>
      <c r="S100" s="48">
        <f t="shared" si="17"/>
        <v>0</v>
      </c>
      <c r="T100" s="48">
        <f t="shared" si="17"/>
        <v>0</v>
      </c>
      <c r="V100" s="48"/>
      <c r="W100" s="7" t="str">
        <f t="shared" si="15"/>
        <v>IDR</v>
      </c>
    </row>
    <row r="101" spans="1:23">
      <c r="A101" s="58" t="str">
        <f ca="1">_xlfn.XLOOKUP(B101,[10]Sheet1!$D:$D,[10]Sheet1!$E:$E)</f>
        <v>Euro Whole Life Plan</v>
      </c>
      <c r="B101" t="str">
        <f t="shared" si="16"/>
        <v>CWEWP_</v>
      </c>
      <c r="C101" t="str">
        <f>VLOOKUP(D101,DV_AZTRAD_Stat!H:I,2,FALSE)</f>
        <v>CWEWP__USD</v>
      </c>
      <c r="D101" s="59" t="s">
        <v>2179</v>
      </c>
      <c r="E101" s="1">
        <f>SUMIF(DV_AZTRAD_Stat!$H:$H,Summary_Checking_TRAD!$D101,DV_AZTRAD_Stat!$C:$C)</f>
        <v>1</v>
      </c>
      <c r="F101" s="1">
        <f>SUMIF(DV_AZTRAD_Stat!$H:$H,Summary_Checking_TRAD!$D101,DV_AZTRAD_Stat!$E:$E)</f>
        <v>15000</v>
      </c>
      <c r="G101" s="1">
        <f>SUMIF(DV_AZTRAD_Stat!$H:$H,Summary_Checking_TRAD!$D101,DV_AZTRAD_Stat!$D:$D)</f>
        <v>546</v>
      </c>
      <c r="H101" s="1">
        <v>0</v>
      </c>
      <c r="I101" s="1">
        <f>SUMIF(IT_AZTRAD_FULL_Stat!$H:$H,Summary_Checking_TRAD!$D101,IT_AZTRAD_FULL_Stat!C:C)
+SUMIF(Summary!$H:$H,Summary_Checking_TRAD!$D101,Summary!C:C)</f>
        <v>1</v>
      </c>
      <c r="J101" s="1">
        <f>SUMIF(IT_AZTRAD_FULL_Stat!$H:$H,Summary_Checking_TRAD!$D101,IT_AZTRAD_FULL_Stat!E:E)
+SUMIF(Summary!$H:$H,Summary_Checking_TRAD!$D101,Summary!E:E)</f>
        <v>15000</v>
      </c>
      <c r="K101" s="1">
        <f>SUMIF(IT_AZTRAD_FULL_Stat!$H:$H,Summary_Checking_TRAD!$D101,IT_AZTRAD_FULL_Stat!D:D)
+SUMIF(Summary!$H:$H,Summary_Checking_TRAD!$D101,Summary!D:D)</f>
        <v>546</v>
      </c>
      <c r="L101" s="1">
        <v>0</v>
      </c>
      <c r="M101" s="7">
        <f t="shared" si="14"/>
        <v>0</v>
      </c>
      <c r="N101" s="7">
        <f t="shared" si="14"/>
        <v>0</v>
      </c>
      <c r="O101" s="7">
        <f t="shared" si="14"/>
        <v>0</v>
      </c>
      <c r="P101" s="7">
        <f t="shared" si="14"/>
        <v>0</v>
      </c>
      <c r="Q101" s="48">
        <f t="shared" si="17"/>
        <v>0</v>
      </c>
      <c r="R101" s="48">
        <f t="shared" si="17"/>
        <v>0</v>
      </c>
      <c r="S101" s="48">
        <f t="shared" si="17"/>
        <v>0</v>
      </c>
      <c r="T101" s="48">
        <f t="shared" si="17"/>
        <v>0</v>
      </c>
      <c r="V101" s="48"/>
      <c r="W101" s="7" t="str">
        <f t="shared" si="15"/>
        <v>USD</v>
      </c>
    </row>
    <row r="102" spans="1:23">
      <c r="A102" s="58" t="str">
        <f ca="1">_xlfn.XLOOKUP(B102,[10]Sheet1!$D:$D,[10]Sheet1!$E:$E)</f>
        <v>Euro Executive Protection</v>
      </c>
      <c r="B102" t="str">
        <f t="shared" si="16"/>
        <v>CWEXP_</v>
      </c>
      <c r="C102" t="str">
        <f>VLOOKUP(D102,DV_AZTRAD_Stat!H:I,2,FALSE)</f>
        <v>CWEXP__IDR</v>
      </c>
      <c r="D102" s="59" t="s">
        <v>2180</v>
      </c>
      <c r="E102" s="1">
        <f>SUMIF(DV_AZTRAD_Stat!$H:$H,Summary_Checking_TRAD!$D102,DV_AZTRAD_Stat!$C:$C)</f>
        <v>2408</v>
      </c>
      <c r="F102" s="1">
        <f>SUMIF(DV_AZTRAD_Stat!$H:$H,Summary_Checking_TRAD!$D102,DV_AZTRAD_Stat!$E:$E)</f>
        <v>330553600000</v>
      </c>
      <c r="G102" s="1">
        <f>SUMIF(DV_AZTRAD_Stat!$H:$H,Summary_Checking_TRAD!$D102,DV_AZTRAD_Stat!$D:$D)</f>
        <v>5885537599</v>
      </c>
      <c r="H102" s="1">
        <v>0</v>
      </c>
      <c r="I102" s="1">
        <f>SUMIF(IT_AZTRAD_FULL_Stat!$H:$H,Summary_Checking_TRAD!$D102,IT_AZTRAD_FULL_Stat!C:C)
+SUMIF(Summary!$H:$H,Summary_Checking_TRAD!$D102,Summary!C:C)</f>
        <v>2408</v>
      </c>
      <c r="J102" s="1">
        <f>SUMIF(IT_AZTRAD_FULL_Stat!$H:$H,Summary_Checking_TRAD!$D102,IT_AZTRAD_FULL_Stat!E:E)
+SUMIF(Summary!$H:$H,Summary_Checking_TRAD!$D102,Summary!E:E)</f>
        <v>330553600000</v>
      </c>
      <c r="K102" s="1">
        <f>SUMIF(IT_AZTRAD_FULL_Stat!$H:$H,Summary_Checking_TRAD!$D102,IT_AZTRAD_FULL_Stat!D:D)
+SUMIF(Summary!$H:$H,Summary_Checking_TRAD!$D102,Summary!D:D)</f>
        <v>5885537599</v>
      </c>
      <c r="L102" s="1">
        <v>0</v>
      </c>
      <c r="M102" s="7">
        <f t="shared" si="14"/>
        <v>0</v>
      </c>
      <c r="N102" s="7">
        <f>F102-J102</f>
        <v>0</v>
      </c>
      <c r="O102" s="7">
        <f t="shared" si="14"/>
        <v>0</v>
      </c>
      <c r="P102" s="7">
        <f>H102-L102</f>
        <v>0</v>
      </c>
      <c r="Q102" s="48">
        <f t="shared" si="17"/>
        <v>0</v>
      </c>
      <c r="R102" s="48">
        <f t="shared" si="17"/>
        <v>0</v>
      </c>
      <c r="S102" s="48">
        <f t="shared" si="17"/>
        <v>0</v>
      </c>
      <c r="T102" s="48">
        <f t="shared" si="17"/>
        <v>0</v>
      </c>
      <c r="V102" s="48"/>
      <c r="W102" s="7" t="str">
        <f t="shared" si="15"/>
        <v>IDR</v>
      </c>
    </row>
    <row r="103" spans="1:23">
      <c r="A103" s="58" t="str">
        <f ca="1">_xlfn.XLOOKUP(B103,[10]Sheet1!$D:$D,[10]Sheet1!$E:$E)</f>
        <v>Euro Executive Protection</v>
      </c>
      <c r="B103" t="str">
        <f t="shared" si="16"/>
        <v>CWEXP_</v>
      </c>
      <c r="C103" t="str">
        <f>VLOOKUP(D103,DV_AZTRAD_Stat!H:I,2,FALSE)</f>
        <v>CWEXP__USD</v>
      </c>
      <c r="D103" s="59" t="s">
        <v>2181</v>
      </c>
      <c r="E103" s="1">
        <f>SUMIF(DV_AZTRAD_Stat!$H:$H,Summary_Checking_TRAD!$D103,DV_AZTRAD_Stat!$C:$C)</f>
        <v>151</v>
      </c>
      <c r="F103" s="1">
        <f>SUMIF(DV_AZTRAD_Stat!$H:$H,Summary_Checking_TRAD!$D103,DV_AZTRAD_Stat!$E:$E)</f>
        <v>4519400</v>
      </c>
      <c r="G103" s="1">
        <f>SUMIF(DV_AZTRAD_Stat!$H:$H,Summary_Checking_TRAD!$D103,DV_AZTRAD_Stat!$D:$D)</f>
        <v>208360.24</v>
      </c>
      <c r="H103" s="1">
        <v>0</v>
      </c>
      <c r="I103" s="1">
        <f>SUMIF(IT_AZTRAD_FULL_Stat!$H:$H,Summary_Checking_TRAD!$D103,IT_AZTRAD_FULL_Stat!C:C)
+SUMIF(Summary!$H:$H,Summary_Checking_TRAD!$D103,Summary!C:C)</f>
        <v>151</v>
      </c>
      <c r="J103" s="1">
        <f>SUMIF(IT_AZTRAD_FULL_Stat!$H:$H,Summary_Checking_TRAD!$D103,IT_AZTRAD_FULL_Stat!E:E)
+SUMIF(Summary!$H:$H,Summary_Checking_TRAD!$D103,Summary!E:E)</f>
        <v>4519400</v>
      </c>
      <c r="K103" s="1">
        <f>SUMIF(IT_AZTRAD_FULL_Stat!$H:$H,Summary_Checking_TRAD!$D103,IT_AZTRAD_FULL_Stat!D:D)
+SUMIF(Summary!$H:$H,Summary_Checking_TRAD!$D103,Summary!D:D)</f>
        <v>208360.24</v>
      </c>
      <c r="L103" s="1">
        <v>0</v>
      </c>
      <c r="M103" s="7">
        <f t="shared" si="14"/>
        <v>0</v>
      </c>
      <c r="N103" s="7">
        <f>F103-J103</f>
        <v>0</v>
      </c>
      <c r="O103" s="7">
        <f t="shared" si="14"/>
        <v>0</v>
      </c>
      <c r="P103" s="7">
        <f>H103-L103</f>
        <v>0</v>
      </c>
      <c r="Q103" s="48">
        <f t="shared" si="17"/>
        <v>0</v>
      </c>
      <c r="R103" s="48">
        <f t="shared" si="17"/>
        <v>0</v>
      </c>
      <c r="S103" s="48">
        <f t="shared" si="17"/>
        <v>0</v>
      </c>
      <c r="T103" s="48">
        <f t="shared" si="17"/>
        <v>0</v>
      </c>
      <c r="V103" s="48"/>
      <c r="W103" s="7" t="str">
        <f t="shared" si="15"/>
        <v>USD</v>
      </c>
    </row>
    <row r="104" spans="1:23">
      <c r="A104" s="58" t="e">
        <f ca="1">_xlfn.XLOOKUP(B104,[10]Sheet1!$D:$D,[10]Sheet1!$E:$E)</f>
        <v>#N/A</v>
      </c>
      <c r="B104" t="str">
        <f t="shared" si="16"/>
        <v>CWGLGC</v>
      </c>
      <c r="C104" t="str">
        <f>VLOOKUP(D104,DV_AZTRAD_Stat!H:I,2,FALSE)</f>
        <v>CWGLGC_IDR</v>
      </c>
      <c r="D104" s="59" t="s">
        <v>2182</v>
      </c>
      <c r="E104" s="1">
        <f>SUMIF(DV_AZTRAD_Stat!$H:$H,Summary_Checking_TRAD!$D104,DV_AZTRAD_Stat!$C:$C)</f>
        <v>971</v>
      </c>
      <c r="F104" s="1">
        <f>SUMIF(DV_AZTRAD_Stat!$H:$H,Summary_Checking_TRAD!$D104,DV_AZTRAD_Stat!$E:$E)</f>
        <v>1828583734320.5</v>
      </c>
      <c r="G104" s="1">
        <f>SUMIF(DV_AZTRAD_Stat!$H:$H,Summary_Checking_TRAD!$D104,DV_AZTRAD_Stat!$D:$D)</f>
        <v>43417478982.327637</v>
      </c>
      <c r="H104" s="1">
        <v>0</v>
      </c>
      <c r="I104" s="1">
        <f>SUMIF(IT_AZTRAD_FULL_Stat!$H:$H,Summary_Checking_TRAD!$D104,IT_AZTRAD_FULL_Stat!C:C)
+SUMIF(Summary!$H:$H,Summary_Checking_TRAD!$D104,Summary!C:C)</f>
        <v>971</v>
      </c>
      <c r="J104" s="1">
        <f>SUMIF(IT_AZTRAD_FULL_Stat!$H:$H,Summary_Checking_TRAD!$D104,IT_AZTRAD_FULL_Stat!E:E)
+SUMIF(Summary!$H:$H,Summary_Checking_TRAD!$D104,Summary!E:E)</f>
        <v>1778907180325</v>
      </c>
      <c r="K104" s="1">
        <f>SUMIF(IT_AZTRAD_FULL_Stat!$H:$H,Summary_Checking_TRAD!$D104,IT_AZTRAD_FULL_Stat!D:D)
+SUMIF(Summary!$H:$H,Summary_Checking_TRAD!$D104,Summary!D:D)</f>
        <v>43417478982.327599</v>
      </c>
      <c r="L104" s="1">
        <v>0</v>
      </c>
      <c r="M104" s="7">
        <f t="shared" si="14"/>
        <v>0</v>
      </c>
      <c r="N104" s="11">
        <f>F104-J104-VLOOKUP($D104,'[11]Summary by Group Raw Data'!$C$4:$G$12,4,FALSE)</f>
        <v>0</v>
      </c>
      <c r="O104" s="7">
        <f t="shared" si="14"/>
        <v>0</v>
      </c>
      <c r="P104" s="7">
        <f>H104-L104</f>
        <v>0</v>
      </c>
      <c r="Q104" s="48">
        <f t="shared" ref="Q104:T119" si="18">IFERROR(M104/I104,0)</f>
        <v>0</v>
      </c>
      <c r="R104" s="48">
        <f t="shared" si="18"/>
        <v>0</v>
      </c>
      <c r="S104" s="48">
        <f t="shared" si="18"/>
        <v>0</v>
      </c>
      <c r="T104" s="48">
        <f t="shared" si="18"/>
        <v>0</v>
      </c>
      <c r="V104" s="48"/>
      <c r="W104" s="7" t="str">
        <f t="shared" si="15"/>
        <v>IDR</v>
      </c>
    </row>
    <row r="105" spans="1:23">
      <c r="A105" s="58" t="e">
        <f ca="1">_xlfn.XLOOKUP(B105,[10]Sheet1!$D:$D,[10]Sheet1!$E:$E)</f>
        <v>#N/A</v>
      </c>
      <c r="B105" t="str">
        <f t="shared" si="16"/>
        <v>CWGLGC</v>
      </c>
      <c r="C105" t="str">
        <f>VLOOKUP(D105,DV_AZTRAD_Stat!H:I,2,FALSE)</f>
        <v>CWGLGC_USD</v>
      </c>
      <c r="D105" s="59" t="s">
        <v>2183</v>
      </c>
      <c r="E105" s="1">
        <f>SUMIF(DV_AZTRAD_Stat!$H:$H,Summary_Checking_TRAD!$D105,DV_AZTRAD_Stat!$C:$C)</f>
        <v>25</v>
      </c>
      <c r="F105" s="1">
        <f>SUMIF(DV_AZTRAD_Stat!$H:$H,Summary_Checking_TRAD!$D105,DV_AZTRAD_Stat!$E:$E)</f>
        <v>4028923</v>
      </c>
      <c r="G105" s="1">
        <f>SUMIF(DV_AZTRAD_Stat!$H:$H,Summary_Checking_TRAD!$D105,DV_AZTRAD_Stat!$D:$D)</f>
        <v>144671</v>
      </c>
      <c r="H105" s="1">
        <v>0</v>
      </c>
      <c r="I105" s="1">
        <f>SUMIF(IT_AZTRAD_FULL_Stat!$H:$H,Summary_Checking_TRAD!$D105,IT_AZTRAD_FULL_Stat!C:C)
+SUMIF(Summary!$H:$H,Summary_Checking_TRAD!$D105,Summary!C:C)</f>
        <v>25</v>
      </c>
      <c r="J105" s="1">
        <f>SUMIF(IT_AZTRAD_FULL_Stat!$H:$H,Summary_Checking_TRAD!$D105,IT_AZTRAD_FULL_Stat!E:E)
+SUMIF(Summary!$H:$H,Summary_Checking_TRAD!$D105,Summary!E:E)</f>
        <v>3884020</v>
      </c>
      <c r="K105" s="1">
        <f>SUMIF(IT_AZTRAD_FULL_Stat!$H:$H,Summary_Checking_TRAD!$D105,IT_AZTRAD_FULL_Stat!D:D)
+SUMIF(Summary!$H:$H,Summary_Checking_TRAD!$D105,Summary!D:D)</f>
        <v>144671</v>
      </c>
      <c r="L105" s="1">
        <v>0</v>
      </c>
      <c r="M105" s="7">
        <f t="shared" si="14"/>
        <v>0</v>
      </c>
      <c r="N105" s="11">
        <f>F105-J105-VLOOKUP($D105,'[11]Summary by Group Raw Data'!$C$4:$G$12,4,FALSE)</f>
        <v>0</v>
      </c>
      <c r="O105" s="7">
        <f t="shared" si="14"/>
        <v>0</v>
      </c>
      <c r="P105" s="7">
        <f t="shared" si="14"/>
        <v>0</v>
      </c>
      <c r="Q105" s="48">
        <f t="shared" si="18"/>
        <v>0</v>
      </c>
      <c r="R105" s="48">
        <f t="shared" si="18"/>
        <v>0</v>
      </c>
      <c r="S105" s="48">
        <f t="shared" si="18"/>
        <v>0</v>
      </c>
      <c r="T105" s="48">
        <f t="shared" si="18"/>
        <v>0</v>
      </c>
      <c r="V105" s="48"/>
      <c r="W105" s="7" t="str">
        <f t="shared" si="15"/>
        <v>USD</v>
      </c>
    </row>
    <row r="106" spans="1:23">
      <c r="A106" s="58" t="e">
        <f ca="1">_xlfn.XLOOKUP(B106,[10]Sheet1!$D:$D,[10]Sheet1!$E:$E)</f>
        <v>#N/A</v>
      </c>
      <c r="B106" t="str">
        <f t="shared" si="16"/>
        <v>CWLGC_</v>
      </c>
      <c r="C106" t="str">
        <f>VLOOKUP(D106,DV_AZTRAD_Stat!H:I,2,FALSE)</f>
        <v>CWLGC__IDR</v>
      </c>
      <c r="D106" s="59" t="s">
        <v>2184</v>
      </c>
      <c r="E106" s="1">
        <f>SUMIF(DV_AZTRAD_Stat!$H:$H,Summary_Checking_TRAD!$D106,DV_AZTRAD_Stat!$C:$C)</f>
        <v>21723</v>
      </c>
      <c r="F106" s="1">
        <f>SUMIF(DV_AZTRAD_Stat!$H:$H,Summary_Checking_TRAD!$D106,DV_AZTRAD_Stat!$E:$E)</f>
        <v>45922083040314.297</v>
      </c>
      <c r="G106" s="1">
        <f>SUMIF(DV_AZTRAD_Stat!$H:$H,Summary_Checking_TRAD!$D106,DV_AZTRAD_Stat!$D:$D)</f>
        <v>956427028852.75732</v>
      </c>
      <c r="H106" s="1">
        <v>0</v>
      </c>
      <c r="I106" s="1">
        <f>SUMIF(IT_AZTRAD_FULL_Stat!$H:$H,Summary_Checking_TRAD!$D106,IT_AZTRAD_FULL_Stat!C:C)
+SUMIF(Summary!$H:$H,Summary_Checking_TRAD!$D106,Summary!C:C)</f>
        <v>21723</v>
      </c>
      <c r="J106" s="1">
        <f>SUMIF(IT_AZTRAD_FULL_Stat!$H:$H,Summary_Checking_TRAD!$D106,IT_AZTRAD_FULL_Stat!E:E)
+SUMIF(Summary!$H:$H,Summary_Checking_TRAD!$D106,Summary!E:E)</f>
        <v>43814571248820</v>
      </c>
      <c r="K106" s="1">
        <f>SUMIF(IT_AZTRAD_FULL_Stat!$H:$H,Summary_Checking_TRAD!$D106,IT_AZTRAD_FULL_Stat!D:D)
+SUMIF(Summary!$H:$H,Summary_Checking_TRAD!$D106,Summary!D:D)</f>
        <v>956427028852.75806</v>
      </c>
      <c r="L106" s="1">
        <v>0</v>
      </c>
      <c r="M106" s="7">
        <f t="shared" si="14"/>
        <v>0</v>
      </c>
      <c r="N106" s="11">
        <f>F106-J106-VLOOKUP($D106,'[11]Summary by Group Raw Data'!$C$4:$G$12,4,FALSE)</f>
        <v>-3.662109375E-3</v>
      </c>
      <c r="O106" s="7">
        <f>G106-K106</f>
        <v>0</v>
      </c>
      <c r="P106" s="7">
        <f t="shared" si="14"/>
        <v>0</v>
      </c>
      <c r="Q106" s="48">
        <f t="shared" si="18"/>
        <v>0</v>
      </c>
      <c r="R106" s="48">
        <f t="shared" si="18"/>
        <v>-8.3581997281295468E-17</v>
      </c>
      <c r="S106" s="48">
        <f t="shared" si="18"/>
        <v>0</v>
      </c>
      <c r="T106" s="48">
        <f t="shared" si="18"/>
        <v>0</v>
      </c>
      <c r="V106" s="48"/>
      <c r="W106" s="7" t="str">
        <f t="shared" si="15"/>
        <v>IDR</v>
      </c>
    </row>
    <row r="107" spans="1:23">
      <c r="A107" s="58" t="e">
        <f ca="1">_xlfn.XLOOKUP(B107,[10]Sheet1!$D:$D,[10]Sheet1!$E:$E)</f>
        <v>#N/A</v>
      </c>
      <c r="B107" t="str">
        <f t="shared" si="16"/>
        <v>CWLGC_</v>
      </c>
      <c r="C107" t="str">
        <f>VLOOKUP(D107,DV_AZTRAD_Stat!H:I,2,FALSE)</f>
        <v>CWLGC__USD</v>
      </c>
      <c r="D107" s="59" t="s">
        <v>2185</v>
      </c>
      <c r="E107" s="1">
        <f>SUMIF(DV_AZTRAD_Stat!$H:$H,Summary_Checking_TRAD!$D107,DV_AZTRAD_Stat!$C:$C)</f>
        <v>288</v>
      </c>
      <c r="F107" s="1">
        <f>SUMIF(DV_AZTRAD_Stat!$H:$H,Summary_Checking_TRAD!$D107,DV_AZTRAD_Stat!$E:$E)</f>
        <v>107620629.90000001</v>
      </c>
      <c r="G107" s="1">
        <f>SUMIF(DV_AZTRAD_Stat!$H:$H,Summary_Checking_TRAD!$D107,DV_AZTRAD_Stat!$D:$D)</f>
        <v>3570837.9699999997</v>
      </c>
      <c r="H107" s="1">
        <v>0</v>
      </c>
      <c r="I107" s="1">
        <f>SUMIF(IT_AZTRAD_FULL_Stat!$H:$H,Summary_Checking_TRAD!$D107,IT_AZTRAD_FULL_Stat!C:C)
+SUMIF(Summary!$H:$H,Summary_Checking_TRAD!$D107,Summary!C:C)</f>
        <v>288</v>
      </c>
      <c r="J107" s="1">
        <f>SUMIF(IT_AZTRAD_FULL_Stat!$H:$H,Summary_Checking_TRAD!$D107,IT_AZTRAD_FULL_Stat!E:E)
+SUMIF(Summary!$H:$H,Summary_Checking_TRAD!$D107,Summary!E:E)</f>
        <v>103238830</v>
      </c>
      <c r="K107" s="1">
        <f>SUMIF(IT_AZTRAD_FULL_Stat!$H:$H,Summary_Checking_TRAD!$D107,IT_AZTRAD_FULL_Stat!D:D)
+SUMIF(Summary!$H:$H,Summary_Checking_TRAD!$D107,Summary!D:D)</f>
        <v>3570837.97</v>
      </c>
      <c r="L107" s="1">
        <v>0</v>
      </c>
      <c r="M107" s="7">
        <f t="shared" si="14"/>
        <v>0</v>
      </c>
      <c r="N107" s="11">
        <f>F107-J107-VLOOKUP($D107,'[11]Summary by Group Raw Data'!$C$4:$G$12,4,FALSE)</f>
        <v>0</v>
      </c>
      <c r="O107" s="7">
        <f>G107-K107</f>
        <v>0</v>
      </c>
      <c r="P107" s="7">
        <f t="shared" si="14"/>
        <v>0</v>
      </c>
      <c r="Q107" s="48">
        <f t="shared" si="18"/>
        <v>0</v>
      </c>
      <c r="R107" s="48">
        <f t="shared" si="18"/>
        <v>0</v>
      </c>
      <c r="S107" s="48">
        <f t="shared" si="18"/>
        <v>0</v>
      </c>
      <c r="T107" s="48">
        <f t="shared" si="18"/>
        <v>0</v>
      </c>
      <c r="V107" s="48"/>
      <c r="W107" s="7" t="str">
        <f t="shared" si="15"/>
        <v>USD</v>
      </c>
    </row>
    <row r="108" spans="1:23">
      <c r="A108" s="58" t="e">
        <f ca="1">_xlfn.XLOOKUP(B108,[10]Sheet1!$D:$D,[10]Sheet1!$E:$E)</f>
        <v>#N/A</v>
      </c>
      <c r="B108" t="str">
        <f t="shared" si="16"/>
        <v>CWLGCP</v>
      </c>
      <c r="C108" t="str">
        <f>VLOOKUP(D108,DV_AZTRAD_Stat!H:I,2,FALSE)</f>
        <v>CWLGCP_IDR</v>
      </c>
      <c r="D108" s="59" t="s">
        <v>2186</v>
      </c>
      <c r="E108" s="1">
        <f>SUMIF(DV_AZTRAD_Stat!$H:$H,Summary_Checking_TRAD!$D108,DV_AZTRAD_Stat!$C:$C)</f>
        <v>568</v>
      </c>
      <c r="F108" s="1">
        <f>SUMIF(DV_AZTRAD_Stat!$H:$H,Summary_Checking_TRAD!$D108,DV_AZTRAD_Stat!$E:$E)</f>
        <v>1249373370001.1001</v>
      </c>
      <c r="G108" s="1">
        <f>SUMIF(DV_AZTRAD_Stat!$H:$H,Summary_Checking_TRAD!$D108,DV_AZTRAD_Stat!$D:$D)</f>
        <v>28564464894.7551</v>
      </c>
      <c r="H108" s="1">
        <v>0</v>
      </c>
      <c r="I108" s="1">
        <f>SUMIF(IT_AZTRAD_FULL_Stat!$H:$H,Summary_Checking_TRAD!$D108,IT_AZTRAD_FULL_Stat!C:C)
+SUMIF(Summary!$H:$H,Summary_Checking_TRAD!$D108,Summary!C:C)</f>
        <v>568</v>
      </c>
      <c r="J108" s="1">
        <f>SUMIF(IT_AZTRAD_FULL_Stat!$H:$H,Summary_Checking_TRAD!$D108,IT_AZTRAD_FULL_Stat!E:E)
+SUMIF(Summary!$H:$H,Summary_Checking_TRAD!$D108,Summary!E:E)</f>
        <v>1204077020001</v>
      </c>
      <c r="K108" s="1">
        <f>SUMIF(IT_AZTRAD_FULL_Stat!$H:$H,Summary_Checking_TRAD!$D108,IT_AZTRAD_FULL_Stat!D:D)
+SUMIF(Summary!$H:$H,Summary_Checking_TRAD!$D108,Summary!D:D)</f>
        <v>28564464894.7551</v>
      </c>
      <c r="L108" s="1">
        <v>0</v>
      </c>
      <c r="M108" s="7">
        <f t="shared" si="14"/>
        <v>0</v>
      </c>
      <c r="N108" s="11">
        <f>F108-J108-VLOOKUP($D108,'[11]Summary by Group Raw Data'!$C$4:$G$12,4,FALSE)</f>
        <v>9.918212890625E-5</v>
      </c>
      <c r="O108" s="7">
        <f>G108-K108</f>
        <v>0</v>
      </c>
      <c r="P108" s="7">
        <f t="shared" si="14"/>
        <v>0</v>
      </c>
      <c r="Q108" s="48">
        <f t="shared" si="18"/>
        <v>0</v>
      </c>
      <c r="R108" s="48">
        <f t="shared" si="18"/>
        <v>8.2371914137326226E-17</v>
      </c>
      <c r="S108" s="48">
        <f t="shared" si="18"/>
        <v>0</v>
      </c>
      <c r="T108" s="48">
        <f t="shared" si="18"/>
        <v>0</v>
      </c>
      <c r="V108" s="48"/>
      <c r="W108" s="7" t="str">
        <f t="shared" si="15"/>
        <v>IDR</v>
      </c>
    </row>
    <row r="109" spans="1:23">
      <c r="A109" s="58" t="e">
        <f ca="1">_xlfn.XLOOKUP(B109,[10]Sheet1!$D:$D,[10]Sheet1!$E:$E)</f>
        <v>#N/A</v>
      </c>
      <c r="B109" t="str">
        <f t="shared" si="16"/>
        <v>CWLGCP</v>
      </c>
      <c r="C109" t="str">
        <f>VLOOKUP(D109,DV_AZTRAD_Stat!H:I,2,FALSE)</f>
        <v>CWLGCP_USD</v>
      </c>
      <c r="D109" s="59" t="s">
        <v>2187</v>
      </c>
      <c r="E109" s="1">
        <f>SUMIF(DV_AZTRAD_Stat!$H:$H,Summary_Checking_TRAD!$D109,DV_AZTRAD_Stat!$C:$C)</f>
        <v>73</v>
      </c>
      <c r="F109" s="1">
        <f>SUMIF(DV_AZTRAD_Stat!$H:$H,Summary_Checking_TRAD!$D109,DV_AZTRAD_Stat!$E:$E)</f>
        <v>17145620</v>
      </c>
      <c r="G109" s="1">
        <f>SUMIF(DV_AZTRAD_Stat!$H:$H,Summary_Checking_TRAD!$D109,DV_AZTRAD_Stat!$D:$D)</f>
        <v>624147.96</v>
      </c>
      <c r="H109" s="1">
        <v>0</v>
      </c>
      <c r="I109" s="1">
        <f>SUMIF(IT_AZTRAD_FULL_Stat!$H:$H,Summary_Checking_TRAD!$D109,IT_AZTRAD_FULL_Stat!C:C)
+SUMIF(Summary!$H:$H,Summary_Checking_TRAD!$D109,Summary!C:C)</f>
        <v>73</v>
      </c>
      <c r="J109" s="1">
        <f>SUMIF(IT_AZTRAD_FULL_Stat!$H:$H,Summary_Checking_TRAD!$D109,IT_AZTRAD_FULL_Stat!E:E)
+SUMIF(Summary!$H:$H,Summary_Checking_TRAD!$D109,Summary!E:E)</f>
        <v>16627500</v>
      </c>
      <c r="K109" s="1">
        <f>SUMIF(IT_AZTRAD_FULL_Stat!$H:$H,Summary_Checking_TRAD!$D109,IT_AZTRAD_FULL_Stat!D:D)
+SUMIF(Summary!$H:$H,Summary_Checking_TRAD!$D109,Summary!D:D)</f>
        <v>624147.96</v>
      </c>
      <c r="L109" s="1">
        <v>0</v>
      </c>
      <c r="M109" s="7">
        <f t="shared" si="14"/>
        <v>0</v>
      </c>
      <c r="N109" s="11">
        <f>F109-J109-VLOOKUP($D109,'[11]Summary by Group Raw Data'!$C$4:$G$12,4,FALSE)</f>
        <v>0</v>
      </c>
      <c r="O109" s="7">
        <f>G109-K109</f>
        <v>0</v>
      </c>
      <c r="P109" s="7">
        <f t="shared" si="14"/>
        <v>0</v>
      </c>
      <c r="Q109" s="48">
        <f t="shared" si="18"/>
        <v>0</v>
      </c>
      <c r="R109" s="48">
        <f t="shared" si="18"/>
        <v>0</v>
      </c>
      <c r="S109" s="48">
        <f t="shared" si="18"/>
        <v>0</v>
      </c>
      <c r="T109" s="48">
        <f t="shared" si="18"/>
        <v>0</v>
      </c>
      <c r="V109" s="48"/>
      <c r="W109" s="7" t="str">
        <f t="shared" si="15"/>
        <v>USD</v>
      </c>
    </row>
    <row r="110" spans="1:23">
      <c r="A110" s="58" t="e">
        <f ca="1">_xlfn.XLOOKUP(B110,[10]Sheet1!$D:$D,[10]Sheet1!$E:$E)</f>
        <v>#N/A</v>
      </c>
      <c r="B110" t="str">
        <f t="shared" si="16"/>
        <v>CWMLGC</v>
      </c>
      <c r="C110" t="str">
        <f>VLOOKUP(D110,DV_AZTRAD_Stat!H:I,2,FALSE)</f>
        <v>CWMLGC_IDR</v>
      </c>
      <c r="D110" s="59" t="s">
        <v>2188</v>
      </c>
      <c r="E110" s="1">
        <f>SUMIF(DV_AZTRAD_Stat!$H:$H,Summary_Checking_TRAD!$D110,DV_AZTRAD_Stat!$C:$C)</f>
        <v>2827</v>
      </c>
      <c r="F110" s="1">
        <f>SUMIF(DV_AZTRAD_Stat!$H:$H,Summary_Checking_TRAD!$D110,DV_AZTRAD_Stat!$E:$E)</f>
        <v>5433450717564</v>
      </c>
      <c r="G110" s="1">
        <f>SUMIF(DV_AZTRAD_Stat!$H:$H,Summary_Checking_TRAD!$D110,DV_AZTRAD_Stat!$D:$D)</f>
        <v>126244506400.06889</v>
      </c>
      <c r="H110" s="1">
        <v>0</v>
      </c>
      <c r="I110" s="1">
        <f>SUMIF(IT_AZTRAD_FULL_Stat!$H:$H,Summary_Checking_TRAD!$D110,IT_AZTRAD_FULL_Stat!C:C)
+SUMIF(Summary!$H:$H,Summary_Checking_TRAD!$D110,Summary!C:C)</f>
        <v>2827</v>
      </c>
      <c r="J110" s="1">
        <f>SUMIF(IT_AZTRAD_FULL_Stat!$H:$H,Summary_Checking_TRAD!$D110,IT_AZTRAD_FULL_Stat!E:E)
+SUMIF(Summary!$H:$H,Summary_Checking_TRAD!$D110,Summary!E:E)</f>
        <v>5259612852564</v>
      </c>
      <c r="K110" s="1">
        <f>SUMIF(IT_AZTRAD_FULL_Stat!$H:$H,Summary_Checking_TRAD!$D110,IT_AZTRAD_FULL_Stat!D:D)
+SUMIF(Summary!$H:$H,Summary_Checking_TRAD!$D110,Summary!D:D)</f>
        <v>126244506400.069</v>
      </c>
      <c r="L110" s="1">
        <v>0</v>
      </c>
      <c r="M110" s="7">
        <f t="shared" si="14"/>
        <v>0</v>
      </c>
      <c r="N110" s="11">
        <f>F110-J110-VLOOKUP($D110,'[11]Summary by Group Raw Data'!$C$4:$G$12,4,FALSE)</f>
        <v>0</v>
      </c>
      <c r="O110" s="7">
        <f>G110-K110</f>
        <v>0</v>
      </c>
      <c r="P110" s="7">
        <f t="shared" si="14"/>
        <v>0</v>
      </c>
      <c r="Q110" s="48">
        <f t="shared" si="18"/>
        <v>0</v>
      </c>
      <c r="R110" s="48">
        <f t="shared" si="18"/>
        <v>0</v>
      </c>
      <c r="S110" s="48">
        <f t="shared" si="18"/>
        <v>0</v>
      </c>
      <c r="T110" s="48">
        <f t="shared" si="18"/>
        <v>0</v>
      </c>
      <c r="V110" s="48"/>
      <c r="W110" s="7" t="str">
        <f t="shared" si="15"/>
        <v>IDR</v>
      </c>
    </row>
    <row r="111" spans="1:23">
      <c r="A111" s="58" t="e">
        <f ca="1">_xlfn.XLOOKUP(B111,[10]Sheet1!$D:$D,[10]Sheet1!$E:$E)</f>
        <v>#N/A</v>
      </c>
      <c r="B111" t="str">
        <f t="shared" si="16"/>
        <v>CWMLGC</v>
      </c>
      <c r="C111" t="str">
        <f>VLOOKUP(D111,DV_AZTRAD_Stat!H:I,2,FALSE)</f>
        <v>CWMLGC_USD</v>
      </c>
      <c r="D111" s="59" t="s">
        <v>2189</v>
      </c>
      <c r="E111" s="1">
        <f>SUMIF(DV_AZTRAD_Stat!$H:$H,Summary_Checking_TRAD!$D111,DV_AZTRAD_Stat!$C:$C)</f>
        <v>132</v>
      </c>
      <c r="F111" s="1">
        <f>SUMIF(DV_AZTRAD_Stat!$H:$H,Summary_Checking_TRAD!$D111,DV_AZTRAD_Stat!$E:$E)</f>
        <v>31122920</v>
      </c>
      <c r="G111" s="1">
        <f>SUMIF(DV_AZTRAD_Stat!$H:$H,Summary_Checking_TRAD!$D111,DV_AZTRAD_Stat!$D:$D)</f>
        <v>1365256.23</v>
      </c>
      <c r="H111" s="1">
        <v>0</v>
      </c>
      <c r="I111" s="1">
        <f>SUMIF(IT_AZTRAD_FULL_Stat!$H:$H,Summary_Checking_TRAD!$D111,IT_AZTRAD_FULL_Stat!C:C)
+SUMIF(Summary!$H:$H,Summary_Checking_TRAD!$D111,Summary!C:C)</f>
        <v>132</v>
      </c>
      <c r="J111" s="1">
        <f>SUMIF(IT_AZTRAD_FULL_Stat!$H:$H,Summary_Checking_TRAD!$D111,IT_AZTRAD_FULL_Stat!E:E)
+SUMIF(Summary!$H:$H,Summary_Checking_TRAD!$D111,Summary!E:E)</f>
        <v>30525820</v>
      </c>
      <c r="K111" s="1">
        <f>SUMIF(IT_AZTRAD_FULL_Stat!$H:$H,Summary_Checking_TRAD!$D111,IT_AZTRAD_FULL_Stat!D:D)
+SUMIF(Summary!$H:$H,Summary_Checking_TRAD!$D111,Summary!D:D)</f>
        <v>1365256.23</v>
      </c>
      <c r="L111" s="1">
        <v>0</v>
      </c>
      <c r="M111" s="7">
        <f t="shared" si="14"/>
        <v>0</v>
      </c>
      <c r="N111" s="11">
        <f>F111-J111-VLOOKUP($D111,'[11]Summary by Group Raw Data'!$C$4:$G$12,4,FALSE)</f>
        <v>0</v>
      </c>
      <c r="O111" s="7">
        <f t="shared" si="14"/>
        <v>0</v>
      </c>
      <c r="P111" s="7">
        <f t="shared" si="14"/>
        <v>0</v>
      </c>
      <c r="Q111" s="48">
        <f t="shared" si="18"/>
        <v>0</v>
      </c>
      <c r="R111" s="48">
        <f t="shared" si="18"/>
        <v>0</v>
      </c>
      <c r="S111" s="48">
        <f t="shared" si="18"/>
        <v>0</v>
      </c>
      <c r="T111" s="48">
        <f t="shared" si="18"/>
        <v>0</v>
      </c>
      <c r="V111" s="48"/>
      <c r="W111" s="7" t="str">
        <f t="shared" si="15"/>
        <v>USD</v>
      </c>
    </row>
    <row r="112" spans="1:23">
      <c r="A112" s="58" t="str">
        <f ca="1">_xlfn.XLOOKUP(B112,[10]Sheet1!$D:$D,[10]Sheet1!$E:$E)</f>
        <v>My Protection</v>
      </c>
      <c r="B112" t="str">
        <f t="shared" si="16"/>
        <v>CWMP__</v>
      </c>
      <c r="C112" t="str">
        <f>VLOOKUP(D112,DV_AZTRAD_Stat!H:I,2,FALSE)</f>
        <v>CWMP___IDR</v>
      </c>
      <c r="D112" s="59" t="s">
        <v>2190</v>
      </c>
      <c r="E112" s="1">
        <f>SUMIF(DV_AZTRAD_Stat!$H:$H,Summary_Checking_TRAD!$D112,DV_AZTRAD_Stat!$C:$C)</f>
        <v>1196</v>
      </c>
      <c r="F112" s="1">
        <f>SUMIF(DV_AZTRAD_Stat!$H:$H,Summary_Checking_TRAD!$D112,DV_AZTRAD_Stat!$E:$E)</f>
        <v>105503071873</v>
      </c>
      <c r="G112" s="1">
        <f>SUMIF(DV_AZTRAD_Stat!$H:$H,Summary_Checking_TRAD!$D112,DV_AZTRAD_Stat!$D:$D)</f>
        <v>3742658337</v>
      </c>
      <c r="H112" s="1">
        <v>0</v>
      </c>
      <c r="I112" s="1">
        <f>SUMIF(IT_AZTRAD_FULL_Stat!$H:$H,Summary_Checking_TRAD!$D112,IT_AZTRAD_FULL_Stat!C:C)
+SUMIF(Summary!$H:$H,Summary_Checking_TRAD!$D112,Summary!C:C)</f>
        <v>1196</v>
      </c>
      <c r="J112" s="1">
        <f>SUMIF(IT_AZTRAD_FULL_Stat!$H:$H,Summary_Checking_TRAD!$D112,IT_AZTRAD_FULL_Stat!E:E)
+SUMIF(Summary!$H:$H,Summary_Checking_TRAD!$D112,Summary!E:E)</f>
        <v>105503071873</v>
      </c>
      <c r="K112" s="1">
        <f>SUMIF(IT_AZTRAD_FULL_Stat!$H:$H,Summary_Checking_TRAD!$D112,IT_AZTRAD_FULL_Stat!D:D)
+SUMIF(Summary!$H:$H,Summary_Checking_TRAD!$D112,Summary!D:D)</f>
        <v>3742658337</v>
      </c>
      <c r="L112" s="1">
        <v>0</v>
      </c>
      <c r="M112" s="7">
        <f t="shared" si="14"/>
        <v>0</v>
      </c>
      <c r="N112" s="7">
        <f t="shared" si="14"/>
        <v>0</v>
      </c>
      <c r="O112" s="7">
        <f t="shared" si="14"/>
        <v>0</v>
      </c>
      <c r="P112" s="7">
        <f t="shared" si="14"/>
        <v>0</v>
      </c>
      <c r="Q112" s="48">
        <f t="shared" si="18"/>
        <v>0</v>
      </c>
      <c r="R112" s="48">
        <f t="shared" si="18"/>
        <v>0</v>
      </c>
      <c r="S112" s="48">
        <f t="shared" si="18"/>
        <v>0</v>
      </c>
      <c r="T112" s="48">
        <f t="shared" si="18"/>
        <v>0</v>
      </c>
      <c r="V112" s="48"/>
      <c r="W112" s="7" t="str">
        <f t="shared" si="15"/>
        <v>IDR</v>
      </c>
    </row>
    <row r="113" spans="1:23">
      <c r="A113" s="58" t="str">
        <f ca="1">_xlfn.XLOOKUP(B113,[10]Sheet1!$D:$D,[10]Sheet1!$E:$E)</f>
        <v>My Protection</v>
      </c>
      <c r="B113" t="str">
        <f t="shared" si="16"/>
        <v>CWMP__</v>
      </c>
      <c r="C113" t="str">
        <f>VLOOKUP(D113,DV_AZTRAD_Stat!H:I,2,FALSE)</f>
        <v>CWMP___USD</v>
      </c>
      <c r="D113" s="59" t="s">
        <v>2191</v>
      </c>
      <c r="E113" s="1">
        <f>SUMIF(DV_AZTRAD_Stat!$H:$H,Summary_Checking_TRAD!$D113,DV_AZTRAD_Stat!$C:$C)</f>
        <v>19</v>
      </c>
      <c r="F113" s="1">
        <f>SUMIF(DV_AZTRAD_Stat!$H:$H,Summary_Checking_TRAD!$D113,DV_AZTRAD_Stat!$E:$E)</f>
        <v>717000</v>
      </c>
      <c r="G113" s="1">
        <f>SUMIF(DV_AZTRAD_Stat!$H:$H,Summary_Checking_TRAD!$D113,DV_AZTRAD_Stat!$D:$D)</f>
        <v>46671.799999999996</v>
      </c>
      <c r="H113" s="1">
        <v>0</v>
      </c>
      <c r="I113" s="1">
        <f>SUMIF(IT_AZTRAD_FULL_Stat!$H:$H,Summary_Checking_TRAD!$D113,IT_AZTRAD_FULL_Stat!C:C)
+SUMIF(Summary!$H:$H,Summary_Checking_TRAD!$D113,Summary!C:C)</f>
        <v>19</v>
      </c>
      <c r="J113" s="1">
        <f>SUMIF(IT_AZTRAD_FULL_Stat!$H:$H,Summary_Checking_TRAD!$D113,IT_AZTRAD_FULL_Stat!E:E)
+SUMIF(Summary!$H:$H,Summary_Checking_TRAD!$D113,Summary!E:E)</f>
        <v>717000</v>
      </c>
      <c r="K113" s="1">
        <f>SUMIF(IT_AZTRAD_FULL_Stat!$H:$H,Summary_Checking_TRAD!$D113,IT_AZTRAD_FULL_Stat!D:D)
+SUMIF(Summary!$H:$H,Summary_Checking_TRAD!$D113,Summary!D:D)</f>
        <v>46671.8</v>
      </c>
      <c r="L113" s="1">
        <v>0</v>
      </c>
      <c r="M113" s="7">
        <f t="shared" si="14"/>
        <v>0</v>
      </c>
      <c r="N113" s="7">
        <f t="shared" si="14"/>
        <v>0</v>
      </c>
      <c r="O113" s="7">
        <f t="shared" si="14"/>
        <v>0</v>
      </c>
      <c r="P113" s="7">
        <f t="shared" si="14"/>
        <v>0</v>
      </c>
      <c r="Q113" s="48">
        <f t="shared" si="18"/>
        <v>0</v>
      </c>
      <c r="R113" s="48">
        <f t="shared" si="18"/>
        <v>0</v>
      </c>
      <c r="S113" s="48">
        <f t="shared" si="18"/>
        <v>0</v>
      </c>
      <c r="T113" s="48">
        <f t="shared" si="18"/>
        <v>0</v>
      </c>
      <c r="V113" s="48"/>
      <c r="W113" s="7" t="str">
        <f t="shared" si="15"/>
        <v>USD</v>
      </c>
    </row>
    <row r="114" spans="1:23">
      <c r="A114" s="58" t="str">
        <f ca="1">_xlfn.XLOOKUP(B114,[10]Sheet1!$D:$D,[10]Sheet1!$E:$E)</f>
        <v>Danamon WarisanKu</v>
      </c>
      <c r="B114" t="str">
        <f t="shared" si="16"/>
        <v>CWMWKU</v>
      </c>
      <c r="C114" t="str">
        <f>VLOOKUP(D114,DV_AZTRAD_Stat!H:I,2,FALSE)</f>
        <v>CWMWKU_IDR</v>
      </c>
      <c r="D114" s="59" t="s">
        <v>2192</v>
      </c>
      <c r="E114" s="1">
        <f>SUMIF(DV_AZTRAD_Stat!$H:$H,Summary_Checking_TRAD!$D114,DV_AZTRAD_Stat!$C:$C)</f>
        <v>24</v>
      </c>
      <c r="F114" s="1">
        <f>SUMIF(DV_AZTRAD_Stat!$H:$H,Summary_Checking_TRAD!$D114,DV_AZTRAD_Stat!$E:$E)</f>
        <v>6657880815</v>
      </c>
      <c r="G114" s="1">
        <f>SUMIF(DV_AZTRAD_Stat!$H:$H,Summary_Checking_TRAD!$D114,DV_AZTRAD_Stat!$D:$D)</f>
        <v>989405200</v>
      </c>
      <c r="H114" s="1">
        <v>0</v>
      </c>
      <c r="I114" s="1">
        <f>SUMIF(IT_AZTRAD_FULL_Stat!$H:$H,Summary_Checking_TRAD!$D114,IT_AZTRAD_FULL_Stat!C:C)
+SUMIF(Summary!$H:$H,Summary_Checking_TRAD!$D114,Summary!C:C)</f>
        <v>24</v>
      </c>
      <c r="J114" s="1">
        <f>SUMIF(IT_AZTRAD_FULL_Stat!$H:$H,Summary_Checking_TRAD!$D114,IT_AZTRAD_FULL_Stat!E:E)
+SUMIF(Summary!$H:$H,Summary_Checking_TRAD!$D114,Summary!E:E)</f>
        <v>6657880815</v>
      </c>
      <c r="K114" s="1">
        <f>SUMIF(IT_AZTRAD_FULL_Stat!$H:$H,Summary_Checking_TRAD!$D114,IT_AZTRAD_FULL_Stat!D:D)
+SUMIF(Summary!$H:$H,Summary_Checking_TRAD!$D114,Summary!D:D)</f>
        <v>989405200</v>
      </c>
      <c r="L114" s="1">
        <v>0</v>
      </c>
      <c r="M114" s="7">
        <f t="shared" si="14"/>
        <v>0</v>
      </c>
      <c r="N114" s="7">
        <f t="shared" si="14"/>
        <v>0</v>
      </c>
      <c r="O114" s="7">
        <f t="shared" si="14"/>
        <v>0</v>
      </c>
      <c r="P114" s="7">
        <f t="shared" si="14"/>
        <v>0</v>
      </c>
      <c r="Q114" s="48">
        <f t="shared" si="18"/>
        <v>0</v>
      </c>
      <c r="R114" s="48">
        <f t="shared" si="18"/>
        <v>0</v>
      </c>
      <c r="S114" s="48">
        <f t="shared" si="18"/>
        <v>0</v>
      </c>
      <c r="T114" s="48">
        <f t="shared" si="18"/>
        <v>0</v>
      </c>
      <c r="V114" s="48"/>
      <c r="W114" s="7" t="str">
        <f t="shared" si="15"/>
        <v>IDR</v>
      </c>
    </row>
    <row r="115" spans="1:23">
      <c r="A115" s="58" t="e">
        <f ca="1">_xlfn.XLOOKUP(B115,[10]Sheet1!$D:$D,[10]Sheet1!$E:$E)</f>
        <v>#N/A</v>
      </c>
      <c r="B115" t="str">
        <f t="shared" si="16"/>
        <v>CWPRLA</v>
      </c>
      <c r="C115" t="str">
        <f>VLOOKUP(D115,DV_AZTRAD_Stat!H:I,2,FALSE)</f>
        <v>CWPRLA_IDR</v>
      </c>
      <c r="D115" s="59" t="s">
        <v>2193</v>
      </c>
      <c r="E115" s="1">
        <f>SUMIF(DV_AZTRAD_Stat!$H:$H,Summary_Checking_TRAD!$D115,DV_AZTRAD_Stat!$C:$C)</f>
        <v>611</v>
      </c>
      <c r="F115" s="1">
        <f>SUMIF(DV_AZTRAD_Stat!$H:$H,Summary_Checking_TRAD!$D115,DV_AZTRAD_Stat!$E:$E)</f>
        <v>2631451900000</v>
      </c>
      <c r="G115" s="1">
        <f>SUMIF(DV_AZTRAD_Stat!$H:$H,Summary_Checking_TRAD!$D115,DV_AZTRAD_Stat!$D:$D)</f>
        <v>233126304824</v>
      </c>
      <c r="H115" s="1">
        <v>0</v>
      </c>
      <c r="I115" s="1">
        <f>SUMIF(IT_AZTRAD_FULL_Stat!$H:$H,Summary_Checking_TRAD!$D115,IT_AZTRAD_FULL_Stat!C:C)
+SUMIF(Summary!$H:$H,Summary_Checking_TRAD!$D115,Summary!C:C)</f>
        <v>611</v>
      </c>
      <c r="J115" s="1">
        <f>SUMIF(IT_AZTRAD_FULL_Stat!$H:$H,Summary_Checking_TRAD!$D115,IT_AZTRAD_FULL_Stat!E:E)
+SUMIF(Summary!$H:$H,Summary_Checking_TRAD!$D115,Summary!E:E)</f>
        <v>2631451900000</v>
      </c>
      <c r="K115" s="1">
        <f>SUMIF(IT_AZTRAD_FULL_Stat!$H:$H,Summary_Checking_TRAD!$D115,IT_AZTRAD_FULL_Stat!D:D)
+SUMIF(Summary!$H:$H,Summary_Checking_TRAD!$D115,Summary!D:D)</f>
        <v>233126304824</v>
      </c>
      <c r="L115" s="1">
        <v>0</v>
      </c>
      <c r="M115" s="7">
        <f t="shared" si="14"/>
        <v>0</v>
      </c>
      <c r="N115" s="7">
        <f t="shared" si="14"/>
        <v>0</v>
      </c>
      <c r="O115" s="7">
        <f t="shared" si="14"/>
        <v>0</v>
      </c>
      <c r="P115" s="7">
        <f t="shared" si="14"/>
        <v>0</v>
      </c>
      <c r="Q115" s="48">
        <f t="shared" si="18"/>
        <v>0</v>
      </c>
      <c r="R115" s="48">
        <f t="shared" si="18"/>
        <v>0</v>
      </c>
      <c r="S115" s="48">
        <f t="shared" si="18"/>
        <v>0</v>
      </c>
      <c r="T115" s="48">
        <f t="shared" si="18"/>
        <v>0</v>
      </c>
      <c r="V115" s="48"/>
      <c r="W115" s="7" t="str">
        <f t="shared" si="15"/>
        <v>IDR</v>
      </c>
    </row>
    <row r="116" spans="1:23">
      <c r="A116" s="58" t="str">
        <f ca="1">_xlfn.XLOOKUP(B116,[10]Sheet1!$D:$D,[10]Sheet1!$E:$E)</f>
        <v>Smart Executive</v>
      </c>
      <c r="B116" t="str">
        <f t="shared" si="16"/>
        <v>CWSX__</v>
      </c>
      <c r="C116" t="str">
        <f>VLOOKUP(D116,DV_AZTRAD_Stat!H:I,2,FALSE)</f>
        <v>CWSX___IDR</v>
      </c>
      <c r="D116" s="59" t="s">
        <v>2194</v>
      </c>
      <c r="E116" s="1">
        <f>SUMIF(DV_AZTRAD_Stat!$H:$H,Summary_Checking_TRAD!$D116,DV_AZTRAD_Stat!$C:$C)</f>
        <v>1390</v>
      </c>
      <c r="F116" s="1">
        <f>SUMIF(DV_AZTRAD_Stat!$H:$H,Summary_Checking_TRAD!$D116,DV_AZTRAD_Stat!$E:$E)</f>
        <v>158857200000</v>
      </c>
      <c r="G116" s="1">
        <f>SUMIF(DV_AZTRAD_Stat!$H:$H,Summary_Checking_TRAD!$D116,DV_AZTRAD_Stat!$D:$D)</f>
        <v>3772343654</v>
      </c>
      <c r="H116" s="1">
        <v>0</v>
      </c>
      <c r="I116" s="1">
        <f>SUMIF(IT_AZTRAD_FULL_Stat!$H:$H,Summary_Checking_TRAD!$D116,IT_AZTRAD_FULL_Stat!C:C)
+SUMIF(Summary!$H:$H,Summary_Checking_TRAD!$D116,Summary!C:C)</f>
        <v>1390</v>
      </c>
      <c r="J116" s="1">
        <f>SUMIF(IT_AZTRAD_FULL_Stat!$H:$H,Summary_Checking_TRAD!$D116,IT_AZTRAD_FULL_Stat!E:E)
+SUMIF(Summary!$H:$H,Summary_Checking_TRAD!$D116,Summary!E:E)</f>
        <v>158857200000</v>
      </c>
      <c r="K116" s="1">
        <f>SUMIF(IT_AZTRAD_FULL_Stat!$H:$H,Summary_Checking_TRAD!$D116,IT_AZTRAD_FULL_Stat!D:D)
+SUMIF(Summary!$H:$H,Summary_Checking_TRAD!$D116,Summary!D:D)</f>
        <v>3772343654</v>
      </c>
      <c r="L116" s="1">
        <v>0</v>
      </c>
      <c r="M116" s="7">
        <f t="shared" si="14"/>
        <v>0</v>
      </c>
      <c r="N116" s="7">
        <f t="shared" si="14"/>
        <v>0</v>
      </c>
      <c r="O116" s="7">
        <f t="shared" si="14"/>
        <v>0</v>
      </c>
      <c r="P116" s="7">
        <f t="shared" si="14"/>
        <v>0</v>
      </c>
      <c r="Q116" s="48">
        <f t="shared" si="18"/>
        <v>0</v>
      </c>
      <c r="R116" s="48">
        <f t="shared" si="18"/>
        <v>0</v>
      </c>
      <c r="S116" s="48">
        <f t="shared" si="18"/>
        <v>0</v>
      </c>
      <c r="T116" s="48">
        <f t="shared" si="18"/>
        <v>0</v>
      </c>
      <c r="V116" s="48"/>
      <c r="W116" s="7" t="str">
        <f t="shared" si="15"/>
        <v>IDR</v>
      </c>
    </row>
    <row r="117" spans="1:23">
      <c r="A117" s="58" t="str">
        <f ca="1">_xlfn.XLOOKUP(B117,[10]Sheet1!$D:$D,[10]Sheet1!$E:$E)</f>
        <v>Smart Executive</v>
      </c>
      <c r="B117" t="str">
        <f t="shared" si="16"/>
        <v>CWSX__</v>
      </c>
      <c r="C117" t="str">
        <f>VLOOKUP(D117,DV_AZTRAD_Stat!H:I,2,FALSE)</f>
        <v>CWSX___USD</v>
      </c>
      <c r="D117" s="59" t="s">
        <v>2195</v>
      </c>
      <c r="E117" s="1">
        <f>SUMIF(DV_AZTRAD_Stat!$H:$H,Summary_Checking_TRAD!$D117,DV_AZTRAD_Stat!$C:$C)</f>
        <v>53</v>
      </c>
      <c r="F117" s="1">
        <f>SUMIF(DV_AZTRAD_Stat!$H:$H,Summary_Checking_TRAD!$D117,DV_AZTRAD_Stat!$E:$E)</f>
        <v>1559500</v>
      </c>
      <c r="G117" s="1">
        <f>SUMIF(DV_AZTRAD_Stat!$H:$H,Summary_Checking_TRAD!$D117,DV_AZTRAD_Stat!$D:$D)</f>
        <v>102566.26</v>
      </c>
      <c r="H117" s="1">
        <v>0</v>
      </c>
      <c r="I117" s="1">
        <f>SUMIF(IT_AZTRAD_FULL_Stat!$H:$H,Summary_Checking_TRAD!$D117,IT_AZTRAD_FULL_Stat!C:C)
+SUMIF(Summary!$H:$H,Summary_Checking_TRAD!$D117,Summary!C:C)</f>
        <v>53</v>
      </c>
      <c r="J117" s="1">
        <f>SUMIF(IT_AZTRAD_FULL_Stat!$H:$H,Summary_Checking_TRAD!$D117,IT_AZTRAD_FULL_Stat!E:E)
+SUMIF(Summary!$H:$H,Summary_Checking_TRAD!$D117,Summary!E:E)</f>
        <v>1559500</v>
      </c>
      <c r="K117" s="1">
        <f>SUMIF(IT_AZTRAD_FULL_Stat!$H:$H,Summary_Checking_TRAD!$D117,IT_AZTRAD_FULL_Stat!D:D)
+SUMIF(Summary!$H:$H,Summary_Checking_TRAD!$D117,Summary!D:D)</f>
        <v>102566.26</v>
      </c>
      <c r="L117" s="1">
        <v>0</v>
      </c>
      <c r="M117" s="7">
        <f t="shared" si="14"/>
        <v>0</v>
      </c>
      <c r="N117" s="7">
        <f t="shared" si="14"/>
        <v>0</v>
      </c>
      <c r="O117" s="7">
        <f t="shared" si="14"/>
        <v>0</v>
      </c>
      <c r="P117" s="7">
        <f t="shared" si="14"/>
        <v>0</v>
      </c>
      <c r="Q117" s="48">
        <f t="shared" si="18"/>
        <v>0</v>
      </c>
      <c r="R117" s="48">
        <f t="shared" si="18"/>
        <v>0</v>
      </c>
      <c r="S117" s="48">
        <f t="shared" si="18"/>
        <v>0</v>
      </c>
      <c r="T117" s="48">
        <f t="shared" si="18"/>
        <v>0</v>
      </c>
      <c r="V117" s="48"/>
      <c r="W117" s="7" t="str">
        <f t="shared" si="15"/>
        <v>USD</v>
      </c>
    </row>
    <row r="118" spans="1:23">
      <c r="A118" s="58" t="str">
        <f ca="1">_xlfn.XLOOKUP(B118,[10]Sheet1!$D:$D,[10]Sheet1!$E:$E)</f>
        <v>Smart Executive Plus</v>
      </c>
      <c r="B118" t="str">
        <f t="shared" si="16"/>
        <v>CWSXP_</v>
      </c>
      <c r="C118" t="str">
        <f>VLOOKUP(D118,DV_AZTRAD_Stat!H:I,2,FALSE)</f>
        <v>CWSXP__IDR</v>
      </c>
      <c r="D118" s="59" t="s">
        <v>2196</v>
      </c>
      <c r="E118" s="1">
        <f>SUMIF(DV_AZTRAD_Stat!$H:$H,Summary_Checking_TRAD!$D118,DV_AZTRAD_Stat!$C:$C)</f>
        <v>46</v>
      </c>
      <c r="F118" s="1">
        <f>SUMIF(DV_AZTRAD_Stat!$H:$H,Summary_Checking_TRAD!$D118,DV_AZTRAD_Stat!$E:$E)</f>
        <v>4299000000</v>
      </c>
      <c r="G118" s="1">
        <f>SUMIF(DV_AZTRAD_Stat!$H:$H,Summary_Checking_TRAD!$D118,DV_AZTRAD_Stat!$D:$D)</f>
        <v>100883624</v>
      </c>
      <c r="H118" s="1">
        <v>0</v>
      </c>
      <c r="I118" s="1">
        <f>SUMIF(IT_AZTRAD_FULL_Stat!$H:$H,Summary_Checking_TRAD!$D118,IT_AZTRAD_FULL_Stat!C:C)
+SUMIF(Summary!$H:$H,Summary_Checking_TRAD!$D118,Summary!C:C)</f>
        <v>46</v>
      </c>
      <c r="J118" s="1">
        <f>SUMIF(IT_AZTRAD_FULL_Stat!$H:$H,Summary_Checking_TRAD!$D118,IT_AZTRAD_FULL_Stat!E:E)
+SUMIF(Summary!$H:$H,Summary_Checking_TRAD!$D118,Summary!E:E)</f>
        <v>4299000000</v>
      </c>
      <c r="K118" s="1">
        <f>SUMIF(IT_AZTRAD_FULL_Stat!$H:$H,Summary_Checking_TRAD!$D118,IT_AZTRAD_FULL_Stat!D:D)
+SUMIF(Summary!$H:$H,Summary_Checking_TRAD!$D118,Summary!D:D)</f>
        <v>100883624</v>
      </c>
      <c r="L118" s="1">
        <v>0</v>
      </c>
      <c r="M118" s="7">
        <f t="shared" si="14"/>
        <v>0</v>
      </c>
      <c r="N118" s="7">
        <f t="shared" si="14"/>
        <v>0</v>
      </c>
      <c r="O118" s="7">
        <f t="shared" si="14"/>
        <v>0</v>
      </c>
      <c r="P118" s="7">
        <f t="shared" si="14"/>
        <v>0</v>
      </c>
      <c r="Q118" s="48">
        <f t="shared" si="18"/>
        <v>0</v>
      </c>
      <c r="R118" s="48">
        <f t="shared" si="18"/>
        <v>0</v>
      </c>
      <c r="S118" s="48">
        <f t="shared" si="18"/>
        <v>0</v>
      </c>
      <c r="T118" s="48">
        <f t="shared" si="18"/>
        <v>0</v>
      </c>
      <c r="V118" s="48"/>
      <c r="W118" s="7" t="str">
        <f t="shared" si="15"/>
        <v>IDR</v>
      </c>
    </row>
    <row r="119" spans="1:23">
      <c r="A119" s="58" t="str">
        <f ca="1">_xlfn.XLOOKUP(B119,[10]Sheet1!$D:$D,[10]Sheet1!$E:$E)</f>
        <v>Allianz Payor CI 77</v>
      </c>
      <c r="B119" t="str">
        <f t="shared" si="16"/>
        <v>WPCI77</v>
      </c>
      <c r="C119" t="str">
        <f>VLOOKUP(D119,DV_AZTRAD_Stat!H:I,2,FALSE)</f>
        <v>WPCI77_IDR</v>
      </c>
      <c r="D119" s="59" t="s">
        <v>1827</v>
      </c>
      <c r="E119" s="1">
        <f>SUMIF(DV_AZTRAD_Stat!$H:$H,Summary_Checking_TRAD!$D119,DV_AZTRAD_Stat!$C:$C)</f>
        <v>1804</v>
      </c>
      <c r="F119" s="1">
        <f>SUMIF(DV_AZTRAD_Stat!$H:$H,Summary_Checking_TRAD!$D119,DV_AZTRAD_Stat!$E:$E)</f>
        <v>32627447624</v>
      </c>
      <c r="G119" s="1">
        <f>SUMIF(DV_AZTRAD_Stat!$H:$H,Summary_Checking_TRAD!$D119,DV_AZTRAD_Stat!$D:$D)</f>
        <v>1892916430.04</v>
      </c>
      <c r="H119" s="1">
        <v>0</v>
      </c>
      <c r="I119" s="1">
        <f>SUMIF(IT_AZTRAD_FULL_Stat!$H:$H,Summary_Checking_TRAD!$D119,IT_AZTRAD_FULL_Stat!C:C)
+SUMIF(Summary!$H:$H,Summary_Checking_TRAD!$D119,Summary!C:C)</f>
        <v>1804</v>
      </c>
      <c r="J119" s="1">
        <f>SUMIF(IT_AZTRAD_FULL_Stat!$H:$H,Summary_Checking_TRAD!$D119,IT_AZTRAD_FULL_Stat!E:E)
+SUMIF(Summary!$H:$H,Summary_Checking_TRAD!$D119,Summary!E:E)</f>
        <v>32627447624</v>
      </c>
      <c r="K119" s="1">
        <f>SUMIF(IT_AZTRAD_FULL_Stat!$H:$H,Summary_Checking_TRAD!$D119,IT_AZTRAD_FULL_Stat!D:D)
+SUMIF(Summary!$H:$H,Summary_Checking_TRAD!$D119,Summary!D:D)</f>
        <v>1892916430.04</v>
      </c>
      <c r="L119" s="1">
        <v>0</v>
      </c>
      <c r="M119" s="7">
        <f t="shared" si="14"/>
        <v>0</v>
      </c>
      <c r="N119" s="7">
        <f t="shared" si="14"/>
        <v>0</v>
      </c>
      <c r="O119" s="7">
        <f t="shared" si="14"/>
        <v>0</v>
      </c>
      <c r="P119" s="7">
        <f t="shared" si="14"/>
        <v>0</v>
      </c>
      <c r="Q119" s="48">
        <f t="shared" si="18"/>
        <v>0</v>
      </c>
      <c r="R119" s="48">
        <f t="shared" si="18"/>
        <v>0</v>
      </c>
      <c r="S119" s="48">
        <f t="shared" si="18"/>
        <v>0</v>
      </c>
      <c r="T119" s="48">
        <f t="shared" si="18"/>
        <v>0</v>
      </c>
      <c r="V119" s="48"/>
      <c r="W119" s="7" t="str">
        <f t="shared" si="15"/>
        <v>IDR</v>
      </c>
    </row>
    <row r="120" spans="1:23">
      <c r="A120" s="58" t="str">
        <f ca="1">_xlfn.XLOOKUP(B120,[10]Sheet1!$D:$D,[10]Sheet1!$E:$E)</f>
        <v>SmartProtection BWS (Active Employee)</v>
      </c>
      <c r="B120" t="str">
        <f t="shared" si="16"/>
        <v>CCWSA_</v>
      </c>
      <c r="C120" t="str">
        <f>VLOOKUP(D120,DV_AZTRAD_Stat!H:I,2,FALSE)</f>
        <v>CCWSA__IDR</v>
      </c>
      <c r="D120" s="59" t="s">
        <v>1839</v>
      </c>
      <c r="E120" s="1">
        <f>SUMIF(DV_AZTRAD_Stat!$H:$H,Summary_Checking_TRAD!$D120,DV_AZTRAD_Stat!$C:$C)</f>
        <v>7064</v>
      </c>
      <c r="F120" s="1">
        <f>SUMIF(DV_AZTRAD_Stat!$H:$H,Summary_Checking_TRAD!$D120,DV_AZTRAD_Stat!$E:$E)</f>
        <v>1430385446251</v>
      </c>
      <c r="G120" s="1">
        <f>SUMIF(DV_AZTRAD_Stat!$H:$H,Summary_Checking_TRAD!$D120,DV_AZTRAD_Stat!$D:$D)</f>
        <v>35400817472.600403</v>
      </c>
      <c r="H120" s="1">
        <v>0</v>
      </c>
      <c r="I120" s="1">
        <f>SUMIF(IT_AZTRAD_FULL_Stat!$H:$H,Summary_Checking_TRAD!$D120,IT_AZTRAD_FULL_Stat!C:C)
+SUMIF(Summary!$H:$H,Summary_Checking_TRAD!$D120,Summary!C:C)</f>
        <v>7064</v>
      </c>
      <c r="J120" s="1">
        <f>SUMIF(IT_AZTRAD_FULL_Stat!$H:$H,Summary_Checking_TRAD!$D120,IT_AZTRAD_FULL_Stat!E:E)
+SUMIF(Summary!$H:$H,Summary_Checking_TRAD!$D120,Summary!E:E)</f>
        <v>1430385446251</v>
      </c>
      <c r="K120" s="1">
        <f>SUMIF(IT_AZTRAD_FULL_Stat!$H:$H,Summary_Checking_TRAD!$D120,IT_AZTRAD_FULL_Stat!D:D)
+SUMIF(Summary!$H:$H,Summary_Checking_TRAD!$D120,Summary!D:D)</f>
        <v>35400817472.600403</v>
      </c>
      <c r="L120" s="1">
        <v>0</v>
      </c>
      <c r="M120" s="7">
        <f t="shared" si="14"/>
        <v>0</v>
      </c>
      <c r="N120" s="7">
        <f t="shared" si="14"/>
        <v>0</v>
      </c>
      <c r="O120" s="7">
        <f>G120-K120</f>
        <v>0</v>
      </c>
      <c r="P120" s="7">
        <f t="shared" si="14"/>
        <v>0</v>
      </c>
      <c r="Q120" s="48">
        <f t="shared" ref="Q120:T129" si="19">IFERROR(M120/I120,0)</f>
        <v>0</v>
      </c>
      <c r="R120" s="48">
        <f t="shared" si="19"/>
        <v>0</v>
      </c>
      <c r="S120" s="48">
        <f t="shared" si="19"/>
        <v>0</v>
      </c>
      <c r="T120" s="48">
        <f t="shared" si="19"/>
        <v>0</v>
      </c>
      <c r="V120" s="48"/>
      <c r="W120" s="7" t="str">
        <f t="shared" si="15"/>
        <v>IDR</v>
      </c>
    </row>
    <row r="121" spans="1:23">
      <c r="A121" s="58" t="str">
        <f ca="1">_xlfn.XLOOKUP(B121,[10]Sheet1!$D:$D,[10]Sheet1!$E:$E)</f>
        <v>SmartProtection BWS (Retiree)</v>
      </c>
      <c r="B121" t="str">
        <f t="shared" si="16"/>
        <v>CCWSR_</v>
      </c>
      <c r="C121" t="str">
        <f>VLOOKUP(D121,DV_AZTRAD_Stat!H:I,2,FALSE)</f>
        <v>CCWSR__IDR</v>
      </c>
      <c r="D121" s="59" t="s">
        <v>1841</v>
      </c>
      <c r="E121" s="1">
        <f>SUMIF(DV_AZTRAD_Stat!$H:$H,Summary_Checking_TRAD!$D121,DV_AZTRAD_Stat!$C:$C)</f>
        <v>2313</v>
      </c>
      <c r="F121" s="1">
        <f>SUMIF(DV_AZTRAD_Stat!$H:$H,Summary_Checking_TRAD!$D121,DV_AZTRAD_Stat!$E:$E)</f>
        <v>129649639000</v>
      </c>
      <c r="G121" s="1">
        <f>SUMIF(DV_AZTRAD_Stat!$H:$H,Summary_Checking_TRAD!$D121,DV_AZTRAD_Stat!$D:$D)</f>
        <v>17292368504.599998</v>
      </c>
      <c r="H121" s="1">
        <v>0</v>
      </c>
      <c r="I121" s="1">
        <f>SUMIF(IT_AZTRAD_FULL_Stat!$H:$H,Summary_Checking_TRAD!$D121,IT_AZTRAD_FULL_Stat!C:C)
+SUMIF(Summary!$H:$H,Summary_Checking_TRAD!$D121,Summary!C:C)</f>
        <v>2313</v>
      </c>
      <c r="J121" s="1">
        <f>SUMIF(IT_AZTRAD_FULL_Stat!$H:$H,Summary_Checking_TRAD!$D121,IT_AZTRAD_FULL_Stat!E:E)
+SUMIF(Summary!$H:$H,Summary_Checking_TRAD!$D121,Summary!E:E)</f>
        <v>129649639000</v>
      </c>
      <c r="K121" s="1">
        <f>SUMIF(IT_AZTRAD_FULL_Stat!$H:$H,Summary_Checking_TRAD!$D121,IT_AZTRAD_FULL_Stat!D:D)
+SUMIF(Summary!$H:$H,Summary_Checking_TRAD!$D121,Summary!D:D)</f>
        <v>17292368504.599998</v>
      </c>
      <c r="L121" s="1">
        <v>0</v>
      </c>
      <c r="M121" s="7">
        <f t="shared" si="14"/>
        <v>0</v>
      </c>
      <c r="N121" s="7">
        <f t="shared" si="14"/>
        <v>0</v>
      </c>
      <c r="O121" s="7">
        <f t="shared" si="14"/>
        <v>0</v>
      </c>
      <c r="P121" s="7">
        <f t="shared" si="14"/>
        <v>0</v>
      </c>
      <c r="Q121" s="48">
        <f t="shared" si="19"/>
        <v>0</v>
      </c>
      <c r="R121" s="48">
        <f t="shared" si="19"/>
        <v>0</v>
      </c>
      <c r="S121" s="48">
        <f t="shared" si="19"/>
        <v>0</v>
      </c>
      <c r="T121" s="48">
        <f t="shared" si="19"/>
        <v>0</v>
      </c>
      <c r="V121" s="48"/>
      <c r="W121" s="7" t="str">
        <f t="shared" si="15"/>
        <v>IDR</v>
      </c>
    </row>
    <row r="122" spans="1:23">
      <c r="A122" s="58" t="str">
        <f ca="1">_xlfn.XLOOKUP(B122,[10]Sheet1!$D:$D,[10]Sheet1!$E:$E)</f>
        <v>SmartProtection Bukopin (Pre Retiree)</v>
      </c>
      <c r="B122" t="str">
        <f t="shared" si="16"/>
        <v>CCBKP_</v>
      </c>
      <c r="C122" t="str">
        <f>VLOOKUP(D122,DV_AZTRAD_Stat!H:I,2,FALSE)</f>
        <v>CCBKP__IDR</v>
      </c>
      <c r="D122" s="59" t="s">
        <v>1843</v>
      </c>
      <c r="E122" s="1">
        <f>SUMIF(DV_AZTRAD_Stat!$H:$H,Summary_Checking_TRAD!$D122,DV_AZTRAD_Stat!$C:$C)</f>
        <v>78</v>
      </c>
      <c r="F122" s="1">
        <f>SUMIF(DV_AZTRAD_Stat!$H:$H,Summary_Checking_TRAD!$D122,DV_AZTRAD_Stat!$E:$E)</f>
        <v>17786941146</v>
      </c>
      <c r="G122" s="1">
        <f>SUMIF(DV_AZTRAD_Stat!$H:$H,Summary_Checking_TRAD!$D122,DV_AZTRAD_Stat!$D:$D)</f>
        <v>3108228863.6401997</v>
      </c>
      <c r="H122" s="1">
        <v>0</v>
      </c>
      <c r="I122" s="1">
        <f>SUMIF(IT_AZTRAD_FULL_Stat!$H:$H,Summary_Checking_TRAD!$D122,IT_AZTRAD_FULL_Stat!C:C)
+SUMIF(Summary!$H:$H,Summary_Checking_TRAD!$D122,Summary!C:C)</f>
        <v>78</v>
      </c>
      <c r="J122" s="1">
        <f>SUMIF(IT_AZTRAD_FULL_Stat!$H:$H,Summary_Checking_TRAD!$D122,IT_AZTRAD_FULL_Stat!E:E)
+SUMIF(Summary!$H:$H,Summary_Checking_TRAD!$D122,Summary!E:E)</f>
        <v>17786941146</v>
      </c>
      <c r="K122" s="1">
        <f>SUMIF(IT_AZTRAD_FULL_Stat!$H:$H,Summary_Checking_TRAD!$D122,IT_AZTRAD_FULL_Stat!D:D)
+SUMIF(Summary!$H:$H,Summary_Checking_TRAD!$D122,Summary!D:D)</f>
        <v>3108228863.6402001</v>
      </c>
      <c r="L122" s="1">
        <v>0</v>
      </c>
      <c r="M122" s="7">
        <f t="shared" si="14"/>
        <v>0</v>
      </c>
      <c r="N122" s="7">
        <f t="shared" si="14"/>
        <v>0</v>
      </c>
      <c r="O122" s="7">
        <f t="shared" si="14"/>
        <v>0</v>
      </c>
      <c r="P122" s="7">
        <f t="shared" si="14"/>
        <v>0</v>
      </c>
      <c r="Q122" s="48">
        <f t="shared" si="19"/>
        <v>0</v>
      </c>
      <c r="R122" s="48">
        <f t="shared" si="19"/>
        <v>0</v>
      </c>
      <c r="S122" s="48">
        <f t="shared" si="19"/>
        <v>0</v>
      </c>
      <c r="T122" s="48">
        <f t="shared" si="19"/>
        <v>0</v>
      </c>
      <c r="V122" s="48"/>
      <c r="W122" s="7" t="str">
        <f t="shared" si="15"/>
        <v>IDR</v>
      </c>
    </row>
    <row r="123" spans="1:23">
      <c r="A123" s="58" t="str">
        <f ca="1">_xlfn.XLOOKUP(B123,[10]Sheet1!$D:$D,[10]Sheet1!$E:$E)</f>
        <v>SmartProtection Bukopin (Retiree)</v>
      </c>
      <c r="B123" t="str">
        <f t="shared" si="16"/>
        <v>CCBKR_</v>
      </c>
      <c r="C123" t="str">
        <f>VLOOKUP(D123,DV_AZTRAD_Stat!H:I,2,FALSE)</f>
        <v>CCBKR__IDR</v>
      </c>
      <c r="D123" s="59" t="s">
        <v>1845</v>
      </c>
      <c r="E123" s="1">
        <f>SUMIF(DV_AZTRAD_Stat!$H:$H,Summary_Checking_TRAD!$D123,DV_AZTRAD_Stat!$C:$C)</f>
        <v>125</v>
      </c>
      <c r="F123" s="1">
        <f>SUMIF(DV_AZTRAD_Stat!$H:$H,Summary_Checking_TRAD!$D123,DV_AZTRAD_Stat!$E:$E)</f>
        <v>12735626656</v>
      </c>
      <c r="G123" s="1">
        <f>SUMIF(DV_AZTRAD_Stat!$H:$H,Summary_Checking_TRAD!$D123,DV_AZTRAD_Stat!$D:$D)</f>
        <v>2643688411</v>
      </c>
      <c r="H123" s="1">
        <v>0</v>
      </c>
      <c r="I123" s="1">
        <f>SUMIF(IT_AZTRAD_FULL_Stat!$H:$H,Summary_Checking_TRAD!$D123,IT_AZTRAD_FULL_Stat!C:C)
+SUMIF(Summary!$H:$H,Summary_Checking_TRAD!$D123,Summary!C:C)</f>
        <v>125</v>
      </c>
      <c r="J123" s="1">
        <f>SUMIF(IT_AZTRAD_FULL_Stat!$H:$H,Summary_Checking_TRAD!$D123,IT_AZTRAD_FULL_Stat!E:E)
+SUMIF(Summary!$H:$H,Summary_Checking_TRAD!$D123,Summary!E:E)</f>
        <v>12735626656</v>
      </c>
      <c r="K123" s="1">
        <f>SUMIF(IT_AZTRAD_FULL_Stat!$H:$H,Summary_Checking_TRAD!$D123,IT_AZTRAD_FULL_Stat!D:D)
+SUMIF(Summary!$H:$H,Summary_Checking_TRAD!$D123,Summary!D:D)</f>
        <v>2643688411</v>
      </c>
      <c r="L123" s="1">
        <v>0</v>
      </c>
      <c r="M123" s="7">
        <f t="shared" si="14"/>
        <v>0</v>
      </c>
      <c r="N123" s="7">
        <f t="shared" si="14"/>
        <v>0</v>
      </c>
      <c r="O123" s="7">
        <f t="shared" si="14"/>
        <v>0</v>
      </c>
      <c r="P123" s="7">
        <f t="shared" si="14"/>
        <v>0</v>
      </c>
      <c r="Q123" s="48">
        <f t="shared" si="19"/>
        <v>0</v>
      </c>
      <c r="R123" s="48">
        <f t="shared" si="19"/>
        <v>0</v>
      </c>
      <c r="S123" s="48">
        <f t="shared" si="19"/>
        <v>0</v>
      </c>
      <c r="T123" s="48">
        <f t="shared" si="19"/>
        <v>0</v>
      </c>
      <c r="V123" s="48"/>
      <c r="W123" s="7" t="str">
        <f t="shared" si="15"/>
        <v>IDR</v>
      </c>
    </row>
    <row r="124" spans="1:23">
      <c r="A124" s="58" t="e">
        <f ca="1">_xlfn.XLOOKUP(B124,[10]Sheet1!$D:$D,[10]Sheet1!$E:$E)</f>
        <v>#N/A</v>
      </c>
      <c r="B124" t="e">
        <f t="shared" si="16"/>
        <v>#N/A</v>
      </c>
      <c r="C124" t="e">
        <f>VLOOKUP(D124,DV_AZTRAD_Stat!H:I,2,FALSE)</f>
        <v>#N/A</v>
      </c>
      <c r="D124" s="59" t="s">
        <v>1847</v>
      </c>
      <c r="E124" s="1">
        <f>SUMIF(DV_AZTRAD_Stat!$H:$H,Summary_Checking_TRAD!$D124,DV_AZTRAD_Stat!$C:$C)</f>
        <v>0</v>
      </c>
      <c r="F124" s="1">
        <f>SUMIF(DV_AZTRAD_Stat!$H:$H,Summary_Checking_TRAD!$D124,DV_AZTRAD_Stat!$E:$E)</f>
        <v>0</v>
      </c>
      <c r="G124" s="1">
        <f>SUMIF(DV_AZTRAD_Stat!$H:$H,Summary_Checking_TRAD!$D124,DV_AZTRAD_Stat!$D:$D)</f>
        <v>0</v>
      </c>
      <c r="H124" s="1">
        <v>0</v>
      </c>
      <c r="I124" s="1">
        <f>SUMIF(IT_AZTRAD_FULL_Stat!$H:$H,Summary_Checking_TRAD!$D124,IT_AZTRAD_FULL_Stat!C:C)
+SUMIF(Summary!$H:$H,Summary_Checking_TRAD!$D124,Summary!C:C)</f>
        <v>0</v>
      </c>
      <c r="J124" s="1">
        <f>SUMIF(IT_AZTRAD_FULL_Stat!$H:$H,Summary_Checking_TRAD!$D124,IT_AZTRAD_FULL_Stat!E:E)
+SUMIF(Summary!$H:$H,Summary_Checking_TRAD!$D124,Summary!E:E)</f>
        <v>0</v>
      </c>
      <c r="K124" s="1">
        <f>SUMIF(IT_AZTRAD_FULL_Stat!$H:$H,Summary_Checking_TRAD!$D124,IT_AZTRAD_FULL_Stat!D:D)
+SUMIF(Summary!$H:$H,Summary_Checking_TRAD!$D124,Summary!D:D)</f>
        <v>0</v>
      </c>
      <c r="L124" s="1">
        <v>0</v>
      </c>
      <c r="M124" s="7">
        <f t="shared" si="14"/>
        <v>0</v>
      </c>
      <c r="N124" s="7">
        <f t="shared" si="14"/>
        <v>0</v>
      </c>
      <c r="O124" s="7">
        <f t="shared" si="14"/>
        <v>0</v>
      </c>
      <c r="P124" s="7">
        <f t="shared" si="14"/>
        <v>0</v>
      </c>
      <c r="Q124" s="48">
        <f t="shared" si="19"/>
        <v>0</v>
      </c>
      <c r="R124" s="48">
        <f t="shared" si="19"/>
        <v>0</v>
      </c>
      <c r="S124" s="48">
        <f t="shared" si="19"/>
        <v>0</v>
      </c>
      <c r="T124" s="48">
        <f t="shared" si="19"/>
        <v>0</v>
      </c>
      <c r="V124" s="48"/>
      <c r="W124" s="7" t="str">
        <f t="shared" si="15"/>
        <v>IDR</v>
      </c>
    </row>
    <row r="125" spans="1:23">
      <c r="A125" s="58" t="str">
        <f ca="1">_xlfn.XLOOKUP(B125,[10]Sheet1!$D:$D,[10]Sheet1!$E:$E)</f>
        <v>New BTPN Credit Life</v>
      </c>
      <c r="B125" t="str">
        <f t="shared" si="16"/>
        <v>CCBPCN</v>
      </c>
      <c r="C125" t="str">
        <f>VLOOKUP(D125,DV_AZTRAD_Stat!H:I,2,FALSE)</f>
        <v>CCBPCN_IDR</v>
      </c>
      <c r="D125" s="59" t="s">
        <v>1848</v>
      </c>
      <c r="E125" s="1">
        <f>SUMIF(DV_AZTRAD_Stat!$H:$H,Summary_Checking_TRAD!$D125,DV_AZTRAD_Stat!$C:$C)</f>
        <v>126745</v>
      </c>
      <c r="F125" s="1">
        <f>SUMIF(DV_AZTRAD_Stat!$H:$H,Summary_Checking_TRAD!$D125,DV_AZTRAD_Stat!$E:$E)</f>
        <v>8209689263238</v>
      </c>
      <c r="G125" s="1">
        <f>SUMIF(DV_AZTRAD_Stat!$H:$H,Summary_Checking_TRAD!$D125,DV_AZTRAD_Stat!$D:$D)</f>
        <v>1365749213133.7822</v>
      </c>
      <c r="H125" s="1">
        <v>0</v>
      </c>
      <c r="I125" s="1">
        <f>SUMIF(IT_AZTRAD_FULL_Stat!$H:$H,Summary_Checking_TRAD!$D125,IT_AZTRAD_FULL_Stat!C:C)
+SUMIF(Summary!$H:$H,Summary_Checking_TRAD!$D125,Summary!C:C)</f>
        <v>126745</v>
      </c>
      <c r="J125" s="1">
        <f>SUMIF(IT_AZTRAD_FULL_Stat!$H:$H,Summary_Checking_TRAD!$D125,IT_AZTRAD_FULL_Stat!E:E)
+SUMIF(Summary!$H:$H,Summary_Checking_TRAD!$D125,Summary!E:E)</f>
        <v>8209689263238</v>
      </c>
      <c r="K125" s="1">
        <f>SUMIF(IT_AZTRAD_FULL_Stat!$H:$H,Summary_Checking_TRAD!$D125,IT_AZTRAD_FULL_Stat!D:D)
+SUMIF(Summary!$H:$H,Summary_Checking_TRAD!$D125,Summary!D:D)</f>
        <v>1365749213133.78</v>
      </c>
      <c r="L125" s="1">
        <v>0</v>
      </c>
      <c r="M125" s="7">
        <f t="shared" si="14"/>
        <v>0</v>
      </c>
      <c r="N125" s="7">
        <f t="shared" si="14"/>
        <v>0</v>
      </c>
      <c r="O125" s="7">
        <f>G125-K125</f>
        <v>2.197265625E-3</v>
      </c>
      <c r="P125" s="7">
        <f t="shared" si="14"/>
        <v>0</v>
      </c>
      <c r="Q125" s="48">
        <f t="shared" si="19"/>
        <v>0</v>
      </c>
      <c r="R125" s="48">
        <f t="shared" si="19"/>
        <v>0</v>
      </c>
      <c r="S125" s="48">
        <f t="shared" si="19"/>
        <v>1.608835358548927E-15</v>
      </c>
      <c r="T125" s="48">
        <f t="shared" si="19"/>
        <v>0</v>
      </c>
      <c r="V125" s="48"/>
      <c r="W125" s="7" t="str">
        <f t="shared" si="15"/>
        <v>IDR</v>
      </c>
    </row>
    <row r="126" spans="1:23">
      <c r="A126" s="58" t="e">
        <f ca="1">_xlfn.XLOOKUP(B126,[10]Sheet1!$D:$D,[10]Sheet1!$E:$E)</f>
        <v>#N/A</v>
      </c>
      <c r="B126" t="str">
        <f t="shared" si="16"/>
        <v>CCPBMT</v>
      </c>
      <c r="C126" t="str">
        <f>VLOOKUP(D126,DV_AZTRAD_Stat!H:I,2,FALSE)</f>
        <v>CCPBMT_IDR</v>
      </c>
      <c r="D126" s="59" t="s">
        <v>1851</v>
      </c>
      <c r="E126" s="1">
        <f>SUMIF(DV_AZTRAD_Stat!$H:$H,Summary_Checking_TRAD!$D126,DV_AZTRAD_Stat!$C:$C)</f>
        <v>44261</v>
      </c>
      <c r="F126" s="1">
        <f>SUMIF(DV_AZTRAD_Stat!$H:$H,Summary_Checking_TRAD!$D126,DV_AZTRAD_Stat!$E:$E)</f>
        <v>2477152385050</v>
      </c>
      <c r="G126" s="1">
        <f>SUMIF(DV_AZTRAD_Stat!$H:$H,Summary_Checking_TRAD!$D126,DV_AZTRAD_Stat!$D:$D)</f>
        <v>250743189660.25</v>
      </c>
      <c r="H126" s="1">
        <v>0</v>
      </c>
      <c r="I126" s="1">
        <f>SUMIF(IT_AZTRAD_FULL_Stat!$H:$H,Summary_Checking_TRAD!$D126,IT_AZTRAD_FULL_Stat!C:C)
+SUMIF(Summary!$H:$H,Summary_Checking_TRAD!$D126,Summary!C:C)</f>
        <v>44261</v>
      </c>
      <c r="J126" s="1">
        <f>SUMIF(IT_AZTRAD_FULL_Stat!$H:$H,Summary_Checking_TRAD!$D126,IT_AZTRAD_FULL_Stat!E:E)
+SUMIF(Summary!$H:$H,Summary_Checking_TRAD!$D126,Summary!E:E)</f>
        <v>2477152385050</v>
      </c>
      <c r="K126" s="1">
        <f>SUMIF(IT_AZTRAD_FULL_Stat!$H:$H,Summary_Checking_TRAD!$D126,IT_AZTRAD_FULL_Stat!D:D)
+SUMIF(Summary!$H:$H,Summary_Checking_TRAD!$D126,Summary!D:D)</f>
        <v>250743189660.25</v>
      </c>
      <c r="L126" s="1">
        <v>0</v>
      </c>
      <c r="M126" s="7">
        <f t="shared" si="14"/>
        <v>0</v>
      </c>
      <c r="N126" s="7">
        <f t="shared" si="14"/>
        <v>0</v>
      </c>
      <c r="O126" s="7">
        <f t="shared" si="14"/>
        <v>0</v>
      </c>
      <c r="P126" s="7">
        <f t="shared" si="14"/>
        <v>0</v>
      </c>
      <c r="Q126" s="48">
        <f t="shared" si="19"/>
        <v>0</v>
      </c>
      <c r="R126" s="48">
        <f t="shared" si="19"/>
        <v>0</v>
      </c>
      <c r="S126" s="48">
        <f t="shared" si="19"/>
        <v>0</v>
      </c>
      <c r="T126" s="48">
        <f t="shared" si="19"/>
        <v>0</v>
      </c>
      <c r="V126" s="48"/>
      <c r="W126" s="7" t="str">
        <f t="shared" si="15"/>
        <v>IDR</v>
      </c>
    </row>
    <row r="127" spans="1:23">
      <c r="A127" s="58" t="str">
        <f ca="1">_xlfn.XLOOKUP(B127,[10]Sheet1!$D:$D,[10]Sheet1!$E:$E)</f>
        <v>SmartProtection Bukopin (Active Employee)</v>
      </c>
      <c r="B127" t="str">
        <f t="shared" si="16"/>
        <v>CCBKA_</v>
      </c>
      <c r="C127" t="str">
        <f>VLOOKUP(D127,DV_AZTRAD_Stat!H:I,2,FALSE)</f>
        <v>CCBKA__IDR</v>
      </c>
      <c r="D127" s="59" t="s">
        <v>1858</v>
      </c>
      <c r="E127" s="1">
        <f>SUMIF(DV_AZTRAD_Stat!$H:$H,Summary_Checking_TRAD!$D127,DV_AZTRAD_Stat!$C:$C)</f>
        <v>87</v>
      </c>
      <c r="F127" s="1">
        <f>SUMIF(DV_AZTRAD_Stat!$H:$H,Summary_Checking_TRAD!$D127,DV_AZTRAD_Stat!$E:$E)</f>
        <v>11666000000</v>
      </c>
      <c r="G127" s="1">
        <f>SUMIF(DV_AZTRAD_Stat!$H:$H,Summary_Checking_TRAD!$D127,DV_AZTRAD_Stat!$D:$D)</f>
        <v>116978450</v>
      </c>
      <c r="H127" s="1">
        <v>0</v>
      </c>
      <c r="I127" s="1">
        <f>SUMIF(IT_AZTRAD_FULL_Stat!$H:$H,Summary_Checking_TRAD!$D127,IT_AZTRAD_FULL_Stat!C:C)
+SUMIF(Summary!$H:$H,Summary_Checking_TRAD!$D127,Summary!C:C)</f>
        <v>87</v>
      </c>
      <c r="J127" s="1">
        <f>SUMIF(IT_AZTRAD_FULL_Stat!$H:$H,Summary_Checking_TRAD!$D127,IT_AZTRAD_FULL_Stat!E:E)
+SUMIF(Summary!$H:$H,Summary_Checking_TRAD!$D127,Summary!E:E)</f>
        <v>11666000000</v>
      </c>
      <c r="K127" s="1">
        <f>SUMIF(IT_AZTRAD_FULL_Stat!$H:$H,Summary_Checking_TRAD!$D127,IT_AZTRAD_FULL_Stat!D:D)
+SUMIF(Summary!$H:$H,Summary_Checking_TRAD!$D127,Summary!D:D)</f>
        <v>116978450</v>
      </c>
      <c r="L127" s="1">
        <v>0</v>
      </c>
      <c r="M127" s="7">
        <f t="shared" si="14"/>
        <v>0</v>
      </c>
      <c r="N127" s="7">
        <f t="shared" si="14"/>
        <v>0</v>
      </c>
      <c r="O127" s="7">
        <f t="shared" si="14"/>
        <v>0</v>
      </c>
      <c r="P127" s="7">
        <f t="shared" si="14"/>
        <v>0</v>
      </c>
      <c r="Q127" s="48">
        <f t="shared" si="19"/>
        <v>0</v>
      </c>
      <c r="R127" s="48">
        <f t="shared" si="19"/>
        <v>0</v>
      </c>
      <c r="S127" s="48">
        <f t="shared" si="19"/>
        <v>0</v>
      </c>
      <c r="T127" s="48">
        <f t="shared" si="19"/>
        <v>0</v>
      </c>
      <c r="V127" s="48"/>
      <c r="W127" s="7" t="str">
        <f t="shared" si="15"/>
        <v>IDR</v>
      </c>
    </row>
    <row r="128" spans="1:23">
      <c r="A128" s="58" t="str">
        <f ca="1">_xlfn.XLOOKUP(B128,[10]Sheet1!$D:$D,[10]Sheet1!$E:$E)</f>
        <v>BTPN Credit Life</v>
      </c>
      <c r="B128" t="str">
        <f t="shared" si="16"/>
        <v>CCBPC3</v>
      </c>
      <c r="C128" t="str">
        <f>VLOOKUP(D128,DV_AZTRAD_Stat!H:I,2,FALSE)</f>
        <v>CCBPC3_IDR</v>
      </c>
      <c r="D128" s="59" t="s">
        <v>1860</v>
      </c>
      <c r="E128" s="1">
        <f>SUMIF(DV_AZTRAD_Stat!$H:$H,Summary_Checking_TRAD!$D128,DV_AZTRAD_Stat!$C:$C)</f>
        <v>138349</v>
      </c>
      <c r="F128" s="1">
        <f>SUMIF(DV_AZTRAD_Stat!$H:$H,Summary_Checking_TRAD!$D128,DV_AZTRAD_Stat!$E:$E)</f>
        <v>13530758517321</v>
      </c>
      <c r="G128" s="1">
        <f>SUMIF(DV_AZTRAD_Stat!$H:$H,Summary_Checking_TRAD!$D128,DV_AZTRAD_Stat!$D:$D)</f>
        <v>0</v>
      </c>
      <c r="H128" s="1">
        <v>0</v>
      </c>
      <c r="I128" s="1">
        <f>SUMIF(IT_AZTRAD_FULL_Stat!$H:$H,Summary_Checking_TRAD!$D128,IT_AZTRAD_FULL_Stat!C:C)
+SUMIF(Summary!$H:$H,Summary_Checking_TRAD!$D128,Summary!C:C)</f>
        <v>138349</v>
      </c>
      <c r="J128" s="1">
        <f>SUMIF(IT_AZTRAD_FULL_Stat!$H:$H,Summary_Checking_TRAD!$D128,IT_AZTRAD_FULL_Stat!E:E)
+SUMIF(Summary!$H:$H,Summary_Checking_TRAD!$D128,Summary!E:E)</f>
        <v>13530758517321</v>
      </c>
      <c r="K128" s="1">
        <f>SUMIF(IT_AZTRAD_FULL_Stat!$H:$H,Summary_Checking_TRAD!$D128,IT_AZTRAD_FULL_Stat!D:D)
+SUMIF(Summary!$H:$H,Summary_Checking_TRAD!$D128,Summary!D:D)</f>
        <v>0</v>
      </c>
      <c r="L128" s="1">
        <v>0</v>
      </c>
      <c r="M128" s="7">
        <f t="shared" si="14"/>
        <v>0</v>
      </c>
      <c r="N128" s="7">
        <f t="shared" si="14"/>
        <v>0</v>
      </c>
      <c r="O128" s="7">
        <f t="shared" si="14"/>
        <v>0</v>
      </c>
      <c r="P128" s="7">
        <f t="shared" si="14"/>
        <v>0</v>
      </c>
      <c r="Q128" s="48">
        <f t="shared" si="19"/>
        <v>0</v>
      </c>
      <c r="R128" s="48">
        <f t="shared" si="19"/>
        <v>0</v>
      </c>
      <c r="S128" s="48">
        <f t="shared" si="19"/>
        <v>0</v>
      </c>
      <c r="T128" s="48">
        <f t="shared" si="19"/>
        <v>0</v>
      </c>
      <c r="V128" s="48"/>
      <c r="W128" s="7" t="str">
        <f t="shared" si="15"/>
        <v>IDR</v>
      </c>
    </row>
    <row r="129" spans="1:23">
      <c r="A129" s="58" t="str">
        <f ca="1">_xlfn.XLOOKUP(B129,[10]Sheet1!$D:$D,[10]Sheet1!$E:$E)</f>
        <v>Smarthealth Care Premier Plus</v>
      </c>
      <c r="B129" t="str">
        <f t="shared" si="16"/>
        <v>CSHCPP</v>
      </c>
      <c r="C129" t="str">
        <f>VLOOKUP(D129,DV_AZTRAD_Stat!H:I,2,FALSE)</f>
        <v>CSHCPP_IDR</v>
      </c>
      <c r="D129" s="59" t="s">
        <v>1870</v>
      </c>
      <c r="E129" s="1">
        <f>SUMIF(DV_AZTRAD_Stat!$H:$H,Summary_Checking_TRAD!$D129,DV_AZTRAD_Stat!$C:$C)</f>
        <v>8134</v>
      </c>
      <c r="F129" s="1">
        <f>SUMIF(DV_AZTRAD_Stat!$H:$H,Summary_Checking_TRAD!$D129,DV_AZTRAD_Stat!$E:$E)</f>
        <v>0</v>
      </c>
      <c r="G129" s="1">
        <f>SUMIF(DV_AZTRAD_Stat!$H:$H,Summary_Checking_TRAD!$D129,DV_AZTRAD_Stat!$D:$D)</f>
        <v>92085563950.119995</v>
      </c>
      <c r="H129" s="1">
        <v>0</v>
      </c>
      <c r="I129" s="1">
        <f>SUMIF(IT_AZTRAD_FULL_Stat!$H:$H,Summary_Checking_TRAD!$D129,IT_AZTRAD_FULL_Stat!C:C)
+SUMIF(Summary!$H:$H,Summary_Checking_TRAD!$D129,Summary!C:C)</f>
        <v>8134</v>
      </c>
      <c r="J129" s="1">
        <f>SUMIF(IT_AZTRAD_FULL_Stat!$H:$H,Summary_Checking_TRAD!$D129,IT_AZTRAD_FULL_Stat!E:E)
+SUMIF(Summary!$H:$H,Summary_Checking_TRAD!$D129,Summary!E:E)</f>
        <v>0</v>
      </c>
      <c r="K129" s="1">
        <f>SUMIF(IT_AZTRAD_FULL_Stat!$H:$H,Summary_Checking_TRAD!$D129,IT_AZTRAD_FULL_Stat!D:D)
+SUMIF(Summary!$H:$H,Summary_Checking_TRAD!$D129,Summary!D:D)</f>
        <v>92085563950.119995</v>
      </c>
      <c r="L129" s="1">
        <v>0</v>
      </c>
      <c r="M129" s="7">
        <f t="shared" si="14"/>
        <v>0</v>
      </c>
      <c r="N129" s="7">
        <f t="shared" si="14"/>
        <v>0</v>
      </c>
      <c r="O129" s="7">
        <f t="shared" si="14"/>
        <v>0</v>
      </c>
      <c r="P129" s="7">
        <f t="shared" si="14"/>
        <v>0</v>
      </c>
      <c r="Q129" s="48">
        <f t="shared" si="19"/>
        <v>0</v>
      </c>
      <c r="R129" s="48">
        <f t="shared" si="19"/>
        <v>0</v>
      </c>
      <c r="S129" s="48">
        <f t="shared" si="19"/>
        <v>0</v>
      </c>
      <c r="T129" s="48">
        <f t="shared" si="19"/>
        <v>0</v>
      </c>
      <c r="V129" s="48"/>
      <c r="W129" s="7" t="str">
        <f t="shared" si="15"/>
        <v>IDR</v>
      </c>
    </row>
    <row r="130" spans="1:23">
      <c r="A130" s="58" t="e">
        <f ca="1">_xlfn.XLOOKUP(B130,[10]Sheet1!$D:$D,[10]Sheet1!$E:$E)</f>
        <v>#N/A</v>
      </c>
      <c r="B130" t="str">
        <f t="shared" ref="B130:B131" si="20">LEFT(C130,6)</f>
        <v>CHEAZH</v>
      </c>
      <c r="C130" t="str">
        <f>VLOOKUP(D130,DV_AZTRAD_Stat!H:I,2,FALSE)</f>
        <v>CHEAZH_IDR</v>
      </c>
      <c r="D130" s="59" t="s">
        <v>1871</v>
      </c>
      <c r="E130" s="1">
        <f>SUMIF(DV_AZTRAD_Stat!$H:$H,Summary_Checking_TRAD!$D130,DV_AZTRAD_Stat!$C:$C)</f>
        <v>18</v>
      </c>
      <c r="F130" s="1">
        <f>SUMIF(DV_AZTRAD_Stat!$H:$H,Summary_Checking_TRAD!$D130,DV_AZTRAD_Stat!$E:$E)</f>
        <v>1008324</v>
      </c>
      <c r="G130" s="1">
        <f>SUMIF(DV_AZTRAD_Stat!$H:$H,Summary_Checking_TRAD!$D130,DV_AZTRAD_Stat!$D:$D)</f>
        <v>24489000</v>
      </c>
      <c r="H130" s="1">
        <v>0</v>
      </c>
      <c r="I130" s="1">
        <f>SUMIF(IT_AZTRAD_FULL_Stat!$H:$H,Summary_Checking_TRAD!$D130,IT_AZTRAD_FULL_Stat!C:C)
+SUMIF(Summary!$H:$H,Summary_Checking_TRAD!$D130,Summary!C:C)</f>
        <v>18</v>
      </c>
      <c r="J130" s="1">
        <f>SUMIF(IT_AZTRAD_FULL_Stat!$H:$H,Summary_Checking_TRAD!$D130,IT_AZTRAD_FULL_Stat!E:E)
+SUMIF(Summary!$H:$H,Summary_Checking_TRAD!$D130,Summary!E:E)</f>
        <v>1008324</v>
      </c>
      <c r="K130" s="1">
        <f>SUMIF(IT_AZTRAD_FULL_Stat!$H:$H,Summary_Checking_TRAD!$D130,IT_AZTRAD_FULL_Stat!D:D)
+SUMIF(Summary!$H:$H,Summary_Checking_TRAD!$D130,Summary!D:D)</f>
        <v>24489000</v>
      </c>
      <c r="L130" s="1">
        <v>0</v>
      </c>
      <c r="M130" s="7">
        <f t="shared" ref="M130:M131" si="21">E130-I130</f>
        <v>0</v>
      </c>
      <c r="N130" s="7">
        <f t="shared" ref="N130:N131" si="22">F130-J130</f>
        <v>0</v>
      </c>
      <c r="O130" s="7">
        <f t="shared" ref="O130:O131" si="23">G130-K130</f>
        <v>0</v>
      </c>
      <c r="P130" s="7">
        <f t="shared" ref="P130:P131" si="24">H130-L130</f>
        <v>0</v>
      </c>
      <c r="Q130" s="48">
        <f t="shared" ref="Q130:Q131" si="25">IFERROR(M130/I130,0)</f>
        <v>0</v>
      </c>
      <c r="R130" s="48">
        <f t="shared" ref="R130:R131" si="26">IFERROR(N130/J130,0)</f>
        <v>0</v>
      </c>
      <c r="S130" s="48">
        <f t="shared" ref="S130:S131" si="27">IFERROR(O130/K130,0)</f>
        <v>0</v>
      </c>
      <c r="T130" s="48">
        <f t="shared" ref="T130:T131" si="28">IFERROR(P130/L130,0)</f>
        <v>0</v>
      </c>
      <c r="V130" s="48"/>
      <c r="W130" s="7" t="str">
        <f t="shared" ref="W130:W131" si="29">RIGHT(D130,3)</f>
        <v>IDR</v>
      </c>
    </row>
    <row r="131" spans="1:23">
      <c r="A131" s="58" t="str">
        <f ca="1">_xlfn.XLOOKUP(B131,[10]Sheet1!$D:$D,[10]Sheet1!$E:$E)</f>
        <v>eAZy MediCash</v>
      </c>
      <c r="B131" t="str">
        <f t="shared" si="20"/>
        <v>CHEAZY</v>
      </c>
      <c r="C131" t="str">
        <f>VLOOKUP(D131,DV_AZTRAD_Stat!H:I,2,FALSE)</f>
        <v>CHEAZY_IDR</v>
      </c>
      <c r="D131" s="59" t="s">
        <v>1872</v>
      </c>
      <c r="E131" s="1">
        <f>SUMIF(DV_AZTRAD_Stat!$H:$H,Summary_Checking_TRAD!$D131,DV_AZTRAD_Stat!$C:$C)</f>
        <v>2084</v>
      </c>
      <c r="F131" s="1">
        <f>SUMIF(DV_AZTRAD_Stat!$H:$H,Summary_Checking_TRAD!$D131,DV_AZTRAD_Stat!$E:$E)</f>
        <v>829400000</v>
      </c>
      <c r="G131" s="1">
        <f>SUMIF(DV_AZTRAD_Stat!$H:$H,Summary_Checking_TRAD!$D131,DV_AZTRAD_Stat!$D:$D)</f>
        <v>8019600200</v>
      </c>
      <c r="H131" s="1">
        <v>0</v>
      </c>
      <c r="I131" s="1">
        <f>SUMIF(IT_AZTRAD_FULL_Stat!$H:$H,Summary_Checking_TRAD!$D131,IT_AZTRAD_FULL_Stat!C:C)
+SUMIF(Summary!$H:$H,Summary_Checking_TRAD!$D131,Summary!C:C)</f>
        <v>2084</v>
      </c>
      <c r="J131" s="1">
        <f>SUMIF(IT_AZTRAD_FULL_Stat!$H:$H,Summary_Checking_TRAD!$D131,IT_AZTRAD_FULL_Stat!E:E)
+SUMIF(Summary!$H:$H,Summary_Checking_TRAD!$D131,Summary!E:E)</f>
        <v>829400000</v>
      </c>
      <c r="K131" s="1">
        <f>SUMIF(IT_AZTRAD_FULL_Stat!$H:$H,Summary_Checking_TRAD!$D131,IT_AZTRAD_FULL_Stat!D:D)
+SUMIF(Summary!$H:$H,Summary_Checking_TRAD!$D131,Summary!D:D)</f>
        <v>8019600200</v>
      </c>
      <c r="L131" s="1">
        <v>0</v>
      </c>
      <c r="M131" s="7">
        <f t="shared" si="21"/>
        <v>0</v>
      </c>
      <c r="N131" s="7">
        <f t="shared" si="22"/>
        <v>0</v>
      </c>
      <c r="O131" s="7">
        <f t="shared" si="23"/>
        <v>0</v>
      </c>
      <c r="P131" s="7">
        <f t="shared" si="24"/>
        <v>0</v>
      </c>
      <c r="Q131" s="48">
        <f t="shared" si="25"/>
        <v>0</v>
      </c>
      <c r="R131" s="48">
        <f t="shared" si="26"/>
        <v>0</v>
      </c>
      <c r="S131" s="48">
        <f t="shared" si="27"/>
        <v>0</v>
      </c>
      <c r="T131" s="48">
        <f t="shared" si="28"/>
        <v>0</v>
      </c>
      <c r="V131" s="48"/>
      <c r="W131" s="7" t="str">
        <f t="shared" si="29"/>
        <v>IDR</v>
      </c>
    </row>
    <row r="132" spans="1:23">
      <c r="A132" s="58" t="e">
        <f ca="1">_xlfn.XLOOKUP(B132,[10]Sheet1!$D:$D,[10]Sheet1!$E:$E)</f>
        <v>#N/A</v>
      </c>
      <c r="B132" t="str">
        <f t="shared" ref="B132:B133" si="30">LEFT(C132,6)</f>
        <v>CALFM_</v>
      </c>
      <c r="C132" t="str">
        <f>VLOOKUP(D132,DV_AZTRAD_Stat!H:I,2,FALSE)</f>
        <v>CALFM__IDR</v>
      </c>
      <c r="D132" s="59" t="s">
        <v>2301</v>
      </c>
      <c r="E132" s="1">
        <f>SUMIF(DV_AZTRAD_Stat!$H:$H,Summary_Checking_TRAD!$D132,DV_AZTRAD_Stat!$C:$C)</f>
        <v>11557</v>
      </c>
      <c r="F132" s="1">
        <f>SUMIF(DV_AZTRAD_Stat!$H:$H,Summary_Checking_TRAD!$D132,DV_AZTRAD_Stat!$E:$E)</f>
        <v>288925000000</v>
      </c>
      <c r="G132" s="1">
        <f>SUMIF(DV_AZTRAD_Stat!$H:$H,Summary_Checking_TRAD!$D132,DV_AZTRAD_Stat!$D:$D)</f>
        <v>139686381000</v>
      </c>
      <c r="H132" s="1">
        <v>0</v>
      </c>
      <c r="I132" s="1">
        <f>SUMIF(IT_AZTRAD_FULL_Stat!$H:$H,Summary_Checking_TRAD!$D132,IT_AZTRAD_FULL_Stat!C:C)
+SUMIF(Summary!$H:$H,Summary_Checking_TRAD!$D132,Summary!C:C)</f>
        <v>11557</v>
      </c>
      <c r="J132" s="1">
        <f>SUMIF(IT_AZTRAD_FULL_Stat!$H:$H,Summary_Checking_TRAD!$D132,IT_AZTRAD_FULL_Stat!E:E)
+SUMIF(Summary!$H:$H,Summary_Checking_TRAD!$D132,Summary!E:E)</f>
        <v>288925000000</v>
      </c>
      <c r="K132" s="1">
        <f>SUMIF(IT_AZTRAD_FULL_Stat!$H:$H,Summary_Checking_TRAD!$D132,IT_AZTRAD_FULL_Stat!D:D)
+SUMIF(Summary!$H:$H,Summary_Checking_TRAD!$D132,Summary!D:D)</f>
        <v>139686381000</v>
      </c>
      <c r="L132" s="1">
        <v>0</v>
      </c>
      <c r="M132" s="7">
        <f t="shared" ref="M132:M133" si="31">E132-I132</f>
        <v>0</v>
      </c>
      <c r="N132" s="7">
        <f t="shared" ref="N132:N133" si="32">F132-J132</f>
        <v>0</v>
      </c>
      <c r="O132" s="7">
        <f t="shared" ref="O132:O133" si="33">G132-K132</f>
        <v>0</v>
      </c>
      <c r="P132" s="7">
        <f t="shared" ref="P132:P133" si="34">H132-L132</f>
        <v>0</v>
      </c>
      <c r="Q132" s="48">
        <f t="shared" ref="Q132:Q133" si="35">IFERROR(M132/I132,0)</f>
        <v>0</v>
      </c>
      <c r="R132" s="48">
        <f t="shared" ref="R132:R133" si="36">IFERROR(N132/J132,0)</f>
        <v>0</v>
      </c>
      <c r="S132" s="48">
        <f t="shared" ref="S132:S133" si="37">IFERROR(O132/K132,0)</f>
        <v>0</v>
      </c>
      <c r="T132" s="48">
        <f t="shared" ref="T132:T133" si="38">IFERROR(P132/L132,0)</f>
        <v>0</v>
      </c>
      <c r="V132" s="48"/>
      <c r="W132" s="7" t="str">
        <f t="shared" ref="W132:W133" si="39">RIGHT(D132,3)</f>
        <v>IDR</v>
      </c>
    </row>
    <row r="133" spans="1:23">
      <c r="A133" s="58" t="e">
        <f ca="1">_xlfn.XLOOKUP(B133,[10]Sheet1!$D:$D,[10]Sheet1!$E:$E)</f>
        <v>#N/A</v>
      </c>
      <c r="B133" t="str">
        <f t="shared" si="30"/>
        <v>CASFM_</v>
      </c>
      <c r="C133" t="str">
        <f>VLOOKUP(D133,DV_AZTRAD_Stat!H:I,2,FALSE)</f>
        <v>CASFM__IDR</v>
      </c>
      <c r="D133" s="59" t="s">
        <v>2302</v>
      </c>
      <c r="E133" s="1">
        <f>SUMIF(DV_AZTRAD_Stat!$H:$H,Summary_Checking_TRAD!$D133,DV_AZTRAD_Stat!$C:$C)</f>
        <v>2212</v>
      </c>
      <c r="F133" s="1">
        <f>SUMIF(DV_AZTRAD_Stat!$H:$H,Summary_Checking_TRAD!$D133,DV_AZTRAD_Stat!$E:$E)</f>
        <v>55300000000</v>
      </c>
      <c r="G133" s="1">
        <f>SUMIF(DV_AZTRAD_Stat!$H:$H,Summary_Checking_TRAD!$D133,DV_AZTRAD_Stat!$D:$D)</f>
        <v>24607863000</v>
      </c>
      <c r="H133" s="1">
        <v>0</v>
      </c>
      <c r="I133" s="1">
        <f>SUMIF(IT_AZTRAD_FULL_Stat!$H:$H,Summary_Checking_TRAD!$D133,IT_AZTRAD_FULL_Stat!C:C)
+SUMIF(Summary!$H:$H,Summary_Checking_TRAD!$D133,Summary!C:C)</f>
        <v>2212</v>
      </c>
      <c r="J133" s="1">
        <f>SUMIF(IT_AZTRAD_FULL_Stat!$H:$H,Summary_Checking_TRAD!$D133,IT_AZTRAD_FULL_Stat!E:E)
+SUMIF(Summary!$H:$H,Summary_Checking_TRAD!$D133,Summary!E:E)</f>
        <v>55300000000</v>
      </c>
      <c r="K133" s="1">
        <f>SUMIF(IT_AZTRAD_FULL_Stat!$H:$H,Summary_Checking_TRAD!$D133,IT_AZTRAD_FULL_Stat!D:D)
+SUMIF(Summary!$H:$H,Summary_Checking_TRAD!$D133,Summary!D:D)</f>
        <v>24607863000</v>
      </c>
      <c r="L133" s="1">
        <v>0</v>
      </c>
      <c r="M133" s="7">
        <f t="shared" si="31"/>
        <v>0</v>
      </c>
      <c r="N133" s="7">
        <f t="shared" si="32"/>
        <v>0</v>
      </c>
      <c r="O133" s="7">
        <f t="shared" si="33"/>
        <v>0</v>
      </c>
      <c r="P133" s="7">
        <f t="shared" si="34"/>
        <v>0</v>
      </c>
      <c r="Q133" s="48">
        <f t="shared" si="35"/>
        <v>0</v>
      </c>
      <c r="R133" s="48">
        <f t="shared" si="36"/>
        <v>0</v>
      </c>
      <c r="S133" s="48">
        <f t="shared" si="37"/>
        <v>0</v>
      </c>
      <c r="T133" s="48">
        <f t="shared" si="38"/>
        <v>0</v>
      </c>
      <c r="V133" s="48"/>
      <c r="W133" s="7" t="str">
        <f t="shared" si="39"/>
        <v>IDR</v>
      </c>
    </row>
    <row r="134" spans="1:23">
      <c r="A134" s="58" t="e">
        <f ca="1">_xlfn.XLOOKUP(B134,[10]Sheet1!$D:$D,[10]Sheet1!$E:$E)</f>
        <v>#N/A</v>
      </c>
      <c r="B134" t="str">
        <f t="shared" ref="B134:B140" si="40">LEFT(C134,6)</f>
        <v>CSREN_</v>
      </c>
      <c r="C134" t="str">
        <f>VLOOKUP(D134,DV_AZTRAD_Stat!H:I,2,FALSE)</f>
        <v>CSREN__IDR</v>
      </c>
      <c r="D134" s="59" t="s">
        <v>2314</v>
      </c>
      <c r="E134" s="1">
        <f>SUMIF(DV_AZTRAD_Stat!$H:$H,Summary_Checking_TRAD!$D134,DV_AZTRAD_Stat!$C:$C)</f>
        <v>2246</v>
      </c>
      <c r="F134" s="1">
        <f>SUMIF(DV_AZTRAD_Stat!$H:$H,Summary_Checking_TRAD!$D134,DV_AZTRAD_Stat!$E:$E)</f>
        <v>813790230000</v>
      </c>
      <c r="G134" s="1">
        <f>SUMIF(DV_AZTRAD_Stat!$H:$H,Summary_Checking_TRAD!$D134,DV_AZTRAD_Stat!$D:$D)</f>
        <v>85480971455</v>
      </c>
      <c r="H134" s="1">
        <v>0</v>
      </c>
      <c r="I134" s="1">
        <f>SUMIF(IT_AZTRAD_FULL_Stat!$H:$H,Summary_Checking_TRAD!$D134,IT_AZTRAD_FULL_Stat!C:C)
+SUMIF(Summary!$H:$H,Summary_Checking_TRAD!$D134,Summary!C:C)</f>
        <v>0</v>
      </c>
      <c r="J134" s="1">
        <f>SUMIF(IT_AZTRAD_FULL_Stat!$H:$H,Summary_Checking_TRAD!$D134,IT_AZTRAD_FULL_Stat!E:E)
+SUMIF(Summary!$H:$H,Summary_Checking_TRAD!$D134,Summary!E:E)</f>
        <v>0</v>
      </c>
      <c r="K134" s="1">
        <f>SUMIF(IT_AZTRAD_FULL_Stat!$H:$H,Summary_Checking_TRAD!$D134,IT_AZTRAD_FULL_Stat!D:D)
+SUMIF(Summary!$H:$H,Summary_Checking_TRAD!$D134,Summary!D:D)</f>
        <v>0</v>
      </c>
      <c r="L134" s="1">
        <v>0</v>
      </c>
      <c r="M134" s="7">
        <f t="shared" ref="M134:M138" si="41">E134-I134</f>
        <v>2246</v>
      </c>
      <c r="N134" s="7">
        <f t="shared" ref="N134:N138" si="42">F134-J134</f>
        <v>813790230000</v>
      </c>
      <c r="O134" s="7">
        <f t="shared" ref="O134:O135" si="43">G134-K134</f>
        <v>85480971455</v>
      </c>
      <c r="P134" s="7">
        <f t="shared" ref="P134:P138" si="44">H134-L134</f>
        <v>0</v>
      </c>
      <c r="Q134" s="48">
        <f t="shared" ref="Q134:Q138" si="45">IFERROR(M134/I134,0)</f>
        <v>0</v>
      </c>
      <c r="R134" s="48">
        <f t="shared" ref="R134:R138" si="46">IFERROR(N134/J134,0)</f>
        <v>0</v>
      </c>
      <c r="S134" s="48">
        <f t="shared" ref="S134:S138" si="47">IFERROR(O134/K134,0)</f>
        <v>0</v>
      </c>
      <c r="T134" s="48">
        <f t="shared" ref="T134:T138" si="48">IFERROR(P134/L134,0)</f>
        <v>0</v>
      </c>
      <c r="V134" s="48"/>
      <c r="W134" s="7" t="str">
        <f t="shared" ref="W134:W138" si="49">RIGHT(D134,3)</f>
        <v>IDR</v>
      </c>
    </row>
    <row r="135" spans="1:23">
      <c r="A135" s="58" t="e">
        <f ca="1">_xlfn.XLOOKUP(B135,[10]Sheet1!$D:$D,[10]Sheet1!$E:$E)</f>
        <v>#N/A</v>
      </c>
      <c r="B135" t="str">
        <f t="shared" si="40"/>
        <v>CCMTPC</v>
      </c>
      <c r="C135" t="str">
        <f>VLOOKUP(D135,DV_AZTRAD_Stat!H:I,2,FALSE)</f>
        <v>CCMTPC_IDR</v>
      </c>
      <c r="D135" s="59" t="s">
        <v>2308</v>
      </c>
      <c r="E135" s="1">
        <f>SUMIF(DV_AZTRAD_Stat!$H:$H,Summary_Checking_TRAD!$D135,DV_AZTRAD_Stat!$C:$C)</f>
        <v>4</v>
      </c>
      <c r="F135" s="1">
        <f>SUMIF(DV_AZTRAD_Stat!$H:$H,Summary_Checking_TRAD!$D135,DV_AZTRAD_Stat!$E:$E)</f>
        <v>358000000</v>
      </c>
      <c r="G135" s="1">
        <f>SUMIF(DV_AZTRAD_Stat!$H:$H,Summary_Checking_TRAD!$D135,DV_AZTRAD_Stat!$D:$D)</f>
        <v>35582080</v>
      </c>
      <c r="H135" s="1">
        <v>0</v>
      </c>
      <c r="I135" s="1">
        <f>SUMIF(IT_AZTRAD_FULL_Stat!$H:$H,Summary_Checking_TRAD!$D135,IT_AZTRAD_FULL_Stat!C:C)
+SUMIF(Summary!$H:$H,Summary_Checking_TRAD!$D135,Summary!C:C)</f>
        <v>4</v>
      </c>
      <c r="J135" s="1">
        <f>SUMIF(IT_AZTRAD_FULL_Stat!$H:$H,Summary_Checking_TRAD!$D135,IT_AZTRAD_FULL_Stat!E:E)
+SUMIF(Summary!$H:$H,Summary_Checking_TRAD!$D135,Summary!E:E)</f>
        <v>358000000</v>
      </c>
      <c r="K135" s="1">
        <f>SUMIF(IT_AZTRAD_FULL_Stat!$H:$H,Summary_Checking_TRAD!$D135,IT_AZTRAD_FULL_Stat!D:D)
+SUMIF(Summary!$H:$H,Summary_Checking_TRAD!$D135,Summary!D:D)</f>
        <v>35582080</v>
      </c>
      <c r="L135" s="1">
        <v>0</v>
      </c>
      <c r="M135" s="7">
        <f t="shared" si="41"/>
        <v>0</v>
      </c>
      <c r="N135" s="7">
        <f t="shared" si="42"/>
        <v>0</v>
      </c>
      <c r="O135" s="7">
        <f t="shared" si="43"/>
        <v>0</v>
      </c>
      <c r="P135" s="7">
        <f t="shared" si="44"/>
        <v>0</v>
      </c>
      <c r="Q135" s="48">
        <f t="shared" si="45"/>
        <v>0</v>
      </c>
      <c r="R135" s="48">
        <f t="shared" si="46"/>
        <v>0</v>
      </c>
      <c r="S135" s="48">
        <f t="shared" si="47"/>
        <v>0</v>
      </c>
      <c r="T135" s="48">
        <f t="shared" si="48"/>
        <v>0</v>
      </c>
      <c r="V135" s="48"/>
      <c r="W135" s="7" t="str">
        <f t="shared" si="49"/>
        <v>IDR</v>
      </c>
    </row>
    <row r="136" spans="1:23">
      <c r="A136" s="58" t="e">
        <f ca="1">_xlfn.XLOOKUP(B136,[10]Sheet1!$D:$D,[10]Sheet1!$E:$E)</f>
        <v>#N/A</v>
      </c>
      <c r="B136" t="str">
        <f t="shared" ref="B136" si="50">LEFT(C136,6)</f>
        <v>CCMTA_</v>
      </c>
      <c r="C136" t="str">
        <f>VLOOKUP(D136,DV_AZTRAD_Stat!H:I,2,FALSE)</f>
        <v>CCMTA__IDR</v>
      </c>
      <c r="D136" s="59" t="s">
        <v>2339</v>
      </c>
      <c r="E136" s="1">
        <f>SUMIF(DV_AZTRAD_Stat!$H:$H,Summary_Checking_TRAD!$D136,DV_AZTRAD_Stat!$C:$C)</f>
        <v>8</v>
      </c>
      <c r="F136" s="1">
        <f>SUMIF(DV_AZTRAD_Stat!$H:$H,Summary_Checking_TRAD!$D136,DV_AZTRAD_Stat!$E:$E)</f>
        <v>2666000000</v>
      </c>
      <c r="G136" s="1">
        <f>SUMIF(DV_AZTRAD_Stat!$H:$H,Summary_Checking_TRAD!$D136,DV_AZTRAD_Stat!$D:$D)</f>
        <v>28056000</v>
      </c>
      <c r="H136" s="1">
        <v>0</v>
      </c>
      <c r="I136" s="1">
        <f>SUMIF(IT_AZTRAD_FULL_Stat!$H:$H,Summary_Checking_TRAD!$D136,IT_AZTRAD_FULL_Stat!C:C)
+SUMIF(Summary!$H:$H,Summary_Checking_TRAD!$D136,Summary!C:C)</f>
        <v>8</v>
      </c>
      <c r="J136" s="1">
        <f>SUMIF(IT_AZTRAD_FULL_Stat!$H:$H,Summary_Checking_TRAD!$D136,IT_AZTRAD_FULL_Stat!E:E)
+SUMIF(Summary!$H:$H,Summary_Checking_TRAD!$D136,Summary!E:E)</f>
        <v>2666000000</v>
      </c>
      <c r="K136" s="1">
        <f>SUMIF(IT_AZTRAD_FULL_Stat!$H:$H,Summary_Checking_TRAD!$D136,IT_AZTRAD_FULL_Stat!D:D)
+SUMIF(Summary!$H:$H,Summary_Checking_TRAD!$D136,Summary!D:D)</f>
        <v>28056000</v>
      </c>
      <c r="L136" s="1">
        <v>0</v>
      </c>
      <c r="M136" s="7">
        <f t="shared" ref="M136" si="51">E136-I136</f>
        <v>0</v>
      </c>
      <c r="N136" s="7">
        <f t="shared" ref="N136" si="52">F136-J136</f>
        <v>0</v>
      </c>
      <c r="O136" s="7">
        <f t="shared" ref="O136" si="53">G136-K136</f>
        <v>0</v>
      </c>
      <c r="P136" s="7">
        <f t="shared" ref="P136" si="54">H136-L136</f>
        <v>0</v>
      </c>
      <c r="Q136" s="48">
        <f t="shared" ref="Q136" si="55">IFERROR(M136/I136,0)</f>
        <v>0</v>
      </c>
      <c r="R136" s="48">
        <f t="shared" ref="R136" si="56">IFERROR(N136/J136,0)</f>
        <v>0</v>
      </c>
      <c r="S136" s="48">
        <f t="shared" ref="S136" si="57">IFERROR(O136/K136,0)</f>
        <v>0</v>
      </c>
      <c r="T136" s="48">
        <f t="shared" ref="T136" si="58">IFERROR(P136/L136,0)</f>
        <v>0</v>
      </c>
      <c r="V136" s="48"/>
      <c r="W136" s="7" t="str">
        <f t="shared" ref="W136" si="59">RIGHT(D136,3)</f>
        <v>IDR</v>
      </c>
    </row>
    <row r="137" spans="1:23">
      <c r="A137" s="58" t="e">
        <f ca="1">_xlfn.XLOOKUP(B137,[10]Sheet1!$D:$D,[10]Sheet1!$E:$E)</f>
        <v>#N/A</v>
      </c>
      <c r="B137" t="str">
        <f t="shared" si="40"/>
        <v>CCMBSI</v>
      </c>
      <c r="C137" t="str">
        <f>VLOOKUP(D137,DV_AZTRAD_Stat!H:I,2,FALSE)</f>
        <v>CCMBSI_IDR</v>
      </c>
      <c r="D137" s="59" t="s">
        <v>2311</v>
      </c>
      <c r="E137" s="1">
        <f>SUMIF(DV_AZTRAD_Stat!$H:$H,Summary_Checking_TRAD!$D137,DV_AZTRAD_Stat!$C:$C)</f>
        <v>10</v>
      </c>
      <c r="F137" s="1">
        <f>SUMIF(DV_AZTRAD_Stat!$H:$H,Summary_Checking_TRAD!$D137,DV_AZTRAD_Stat!$E:$E)</f>
        <v>1103000000</v>
      </c>
      <c r="G137" s="1">
        <f>SUMIF(DV_AZTRAD_Stat!$H:$H,Summary_Checking_TRAD!$D137,DV_AZTRAD_Stat!$D:$D)</f>
        <v>20791740.035349999</v>
      </c>
      <c r="H137" s="1">
        <v>0</v>
      </c>
      <c r="I137" s="1">
        <f>SUMIF(IT_AZTRAD_FULL_Stat!$H:$H,Summary_Checking_TRAD!$D137,IT_AZTRAD_FULL_Stat!C:C)
+SUMIF(Summary!$H:$H,Summary_Checking_TRAD!$D137,Summary!C:C)</f>
        <v>10</v>
      </c>
      <c r="J137" s="1">
        <f>SUMIF(IT_AZTRAD_FULL_Stat!$H:$H,Summary_Checking_TRAD!$D137,IT_AZTRAD_FULL_Stat!E:E)
+SUMIF(Summary!$H:$H,Summary_Checking_TRAD!$D137,Summary!E:E)</f>
        <v>1103000000</v>
      </c>
      <c r="K137" s="1">
        <f>SUMIF(IT_AZTRAD_FULL_Stat!$H:$H,Summary_Checking_TRAD!$D137,IT_AZTRAD_FULL_Stat!D:D)
+SUMIF(Summary!$H:$H,Summary_Checking_TRAD!$D137,Summary!D:D)</f>
        <v>20836020</v>
      </c>
      <c r="L137" s="1">
        <v>0</v>
      </c>
      <c r="M137" s="7">
        <f t="shared" si="41"/>
        <v>0</v>
      </c>
      <c r="N137" s="7">
        <f t="shared" si="42"/>
        <v>0</v>
      </c>
      <c r="O137" s="11">
        <f>G137-K137+SUMIFS('[12]Export Worksheet'!$K:$K,'[12]Export Worksheet'!$E:$E,"*"&amp;MID($D137,3,4))</f>
        <v>-1.1253796401433647E-6</v>
      </c>
      <c r="P137" s="7">
        <f t="shared" si="44"/>
        <v>0</v>
      </c>
      <c r="Q137" s="48">
        <f t="shared" si="45"/>
        <v>0</v>
      </c>
      <c r="R137" s="48">
        <f t="shared" si="46"/>
        <v>0</v>
      </c>
      <c r="S137" s="48">
        <f t="shared" si="47"/>
        <v>-5.4011257435122671E-14</v>
      </c>
      <c r="T137" s="48">
        <f t="shared" si="48"/>
        <v>0</v>
      </c>
      <c r="V137" s="48"/>
      <c r="W137" s="7" t="str">
        <f t="shared" si="49"/>
        <v>IDR</v>
      </c>
    </row>
    <row r="138" spans="1:23">
      <c r="A138" s="58" t="e">
        <f ca="1">_xlfn.XLOOKUP(B138,[10]Sheet1!$D:$D,[10]Sheet1!$E:$E)</f>
        <v>#N/A</v>
      </c>
      <c r="B138" t="str">
        <f t="shared" si="40"/>
        <v>CCPBSI</v>
      </c>
      <c r="C138" t="str">
        <f>VLOOKUP(D138,DV_AZTRAD_Stat!H:I,2,FALSE)</f>
        <v>CCPBSI_IDR</v>
      </c>
      <c r="D138" s="59" t="s">
        <v>2312</v>
      </c>
      <c r="E138" s="1">
        <f>SUMIF(DV_AZTRAD_Stat!$H:$H,Summary_Checking_TRAD!$D138,DV_AZTRAD_Stat!$C:$C)</f>
        <v>187</v>
      </c>
      <c r="F138" s="1">
        <f>SUMIF(DV_AZTRAD_Stat!$H:$H,Summary_Checking_TRAD!$D138,DV_AZTRAD_Stat!$E:$E)</f>
        <v>20385500000</v>
      </c>
      <c r="G138" s="1">
        <f>SUMIF(DV_AZTRAD_Stat!$H:$H,Summary_Checking_TRAD!$D138,DV_AZTRAD_Stat!$D:$D)</f>
        <v>4111160195.5226197</v>
      </c>
      <c r="H138" s="1">
        <v>0</v>
      </c>
      <c r="I138" s="1">
        <f>SUMIF(IT_AZTRAD_FULL_Stat!$H:$H,Summary_Checking_TRAD!$D138,IT_AZTRAD_FULL_Stat!C:C)
+SUMIF(Summary!$H:$H,Summary_Checking_TRAD!$D138,Summary!C:C)</f>
        <v>187</v>
      </c>
      <c r="J138" s="1">
        <f>SUMIF(IT_AZTRAD_FULL_Stat!$H:$H,Summary_Checking_TRAD!$D138,IT_AZTRAD_FULL_Stat!E:E)
+SUMIF(Summary!$H:$H,Summary_Checking_TRAD!$D138,Summary!E:E)</f>
        <v>20385500000</v>
      </c>
      <c r="K138" s="1">
        <f>SUMIF(IT_AZTRAD_FULL_Stat!$H:$H,Summary_Checking_TRAD!$D138,IT_AZTRAD_FULL_Stat!D:D)
+SUMIF(Summary!$H:$H,Summary_Checking_TRAD!$D138,Summary!D:D)</f>
        <v>4981517382.5248404</v>
      </c>
      <c r="L138" s="1">
        <v>0</v>
      </c>
      <c r="M138" s="7">
        <f t="shared" si="41"/>
        <v>0</v>
      </c>
      <c r="N138" s="7">
        <f t="shared" si="42"/>
        <v>0</v>
      </c>
      <c r="O138" s="11">
        <f>G138-K138+SUMIFS('[12]Export Worksheet'!$K:$K,'[12]Export Worksheet'!$E:$E,"*"&amp;MID($D138,3,4))</f>
        <v>-8.196711540222168E-3</v>
      </c>
      <c r="P138" s="7">
        <f t="shared" si="44"/>
        <v>0</v>
      </c>
      <c r="Q138" s="48">
        <f t="shared" si="45"/>
        <v>0</v>
      </c>
      <c r="R138" s="48">
        <f t="shared" si="46"/>
        <v>0</v>
      </c>
      <c r="S138" s="48">
        <f t="shared" si="47"/>
        <v>-1.6454246589555678E-12</v>
      </c>
      <c r="T138" s="48">
        <f t="shared" si="48"/>
        <v>0</v>
      </c>
      <c r="V138" s="48"/>
      <c r="W138" s="7" t="str">
        <f t="shared" si="49"/>
        <v>IDR</v>
      </c>
    </row>
    <row r="139" spans="1:23">
      <c r="A139" s="58" t="e">
        <f ca="1">_xlfn.XLOOKUP(B139,[10]Sheet1!$D:$D,[10]Sheet1!$E:$E)</f>
        <v>#N/A</v>
      </c>
      <c r="B139" t="str">
        <f t="shared" si="40"/>
        <v>CSGREN</v>
      </c>
      <c r="C139" t="str">
        <f>VLOOKUP(D139,DV_AZTRAD_Stat!H:I,2,FALSE)</f>
        <v>CSGREN_IDR</v>
      </c>
      <c r="D139" s="59" t="s">
        <v>2322</v>
      </c>
      <c r="E139" s="1">
        <f>SUMIF(DV_AZTRAD_Stat!$H:$H,Summary_Checking_TRAD!$D139,DV_AZTRAD_Stat!$C:$C)</f>
        <v>163</v>
      </c>
      <c r="F139" s="1">
        <f>SUMIF(DV_AZTRAD_Stat!$H:$H,Summary_Checking_TRAD!$D139,DV_AZTRAD_Stat!$E:$E)</f>
        <v>71046500000</v>
      </c>
      <c r="G139" s="1">
        <f>SUMIF(DV_AZTRAD_Stat!$H:$H,Summary_Checking_TRAD!$D139,DV_AZTRAD_Stat!$D:$D)</f>
        <v>7416195489</v>
      </c>
      <c r="H139" s="1">
        <v>0</v>
      </c>
      <c r="I139" s="1">
        <f>SUMIF(IT_AZTRAD_FULL_Stat!$H:$H,Summary_Checking_TRAD!$D139,IT_AZTRAD_FULL_Stat!C:C)
+SUMIF(Summary!$H:$H,Summary_Checking_TRAD!$D139,Summary!C:C)</f>
        <v>0</v>
      </c>
      <c r="J139" s="1">
        <f>SUMIF(IT_AZTRAD_FULL_Stat!$H:$H,Summary_Checking_TRAD!$D139,IT_AZTRAD_FULL_Stat!E:E)
+SUMIF(Summary!$H:$H,Summary_Checking_TRAD!$D139,Summary!E:E)</f>
        <v>0</v>
      </c>
      <c r="K139" s="1">
        <f>SUMIF(IT_AZTRAD_FULL_Stat!$H:$H,Summary_Checking_TRAD!$D139,IT_AZTRAD_FULL_Stat!D:D)
+SUMIF(Summary!$H:$H,Summary_Checking_TRAD!$D139,Summary!D:D)</f>
        <v>0</v>
      </c>
      <c r="L139" s="1">
        <v>0</v>
      </c>
      <c r="M139" s="7">
        <f t="shared" ref="M139" si="60">E139-I139</f>
        <v>163</v>
      </c>
      <c r="N139" s="7">
        <f t="shared" ref="N139" si="61">F139-J139</f>
        <v>71046500000</v>
      </c>
      <c r="O139" s="7">
        <f t="shared" ref="O139" si="62">G139-K139</f>
        <v>7416195489</v>
      </c>
      <c r="P139" s="7">
        <f t="shared" ref="P139" si="63">H139-L139</f>
        <v>0</v>
      </c>
      <c r="Q139" s="48">
        <f t="shared" ref="Q139" si="64">IFERROR(M139/I139,0)</f>
        <v>0</v>
      </c>
      <c r="R139" s="48">
        <f t="shared" ref="R139" si="65">IFERROR(N139/J139,0)</f>
        <v>0</v>
      </c>
      <c r="S139" s="48">
        <f t="shared" ref="S139" si="66">IFERROR(O139/K139,0)</f>
        <v>0</v>
      </c>
      <c r="T139" s="48">
        <f t="shared" ref="T139" si="67">IFERROR(P139/L139,0)</f>
        <v>0</v>
      </c>
      <c r="V139" s="48"/>
      <c r="W139" s="7" t="str">
        <f t="shared" ref="W139" si="68">RIGHT(D139,3)</f>
        <v>IDR</v>
      </c>
    </row>
    <row r="140" spans="1:23">
      <c r="A140" s="58" t="e">
        <f ca="1">_xlfn.XLOOKUP(B140,[10]Sheet1!$D:$D,[10]Sheet1!$E:$E)</f>
        <v>#N/A</v>
      </c>
      <c r="B140" t="str">
        <f t="shared" si="40"/>
        <v>CWHIPP</v>
      </c>
      <c r="C140" t="str">
        <f>VLOOKUP(D140,DV_AZTRAD_Stat!H:I,2,FALSE)</f>
        <v>CWHIPP_IDR</v>
      </c>
      <c r="D140" s="59" t="s">
        <v>2325</v>
      </c>
      <c r="E140" s="1">
        <f>SUMIF(DV_AZTRAD_Stat!$H:$H,Summary_Checking_TRAD!$D140,DV_AZTRAD_Stat!$C:$C)</f>
        <v>988</v>
      </c>
      <c r="F140" s="1">
        <f>SUMIF(DV_AZTRAD_Stat!$H:$H,Summary_Checking_TRAD!$D140,DV_AZTRAD_Stat!$E:$E)</f>
        <v>122187000000</v>
      </c>
      <c r="G140" s="1">
        <f>SUMIF(DV_AZTRAD_Stat!$H:$H,Summary_Checking_TRAD!$D140,DV_AZTRAD_Stat!$D:$D)</f>
        <v>122187000000</v>
      </c>
      <c r="H140" s="1">
        <v>0</v>
      </c>
      <c r="I140" s="1">
        <f>SUMIF(IT_AZTRAD_FULL_Stat!$H:$H,Summary_Checking_TRAD!$D140,IT_AZTRAD_FULL_Stat!C:C)
+SUMIF(Summary!$H:$H,Summary_Checking_TRAD!$D140,Summary!C:C)</f>
        <v>988</v>
      </c>
      <c r="J140" s="1">
        <f>SUMIF(IT_AZTRAD_FULL_Stat!$H:$H,Summary_Checking_TRAD!$D140,IT_AZTRAD_FULL_Stat!E:E)
+SUMIF(Summary!$H:$H,Summary_Checking_TRAD!$D140,Summary!E:E)</f>
        <v>122187000000</v>
      </c>
      <c r="K140" s="1">
        <f>SUMIF(IT_AZTRAD_FULL_Stat!$H:$H,Summary_Checking_TRAD!$D140,IT_AZTRAD_FULL_Stat!D:D)
+SUMIF(Summary!$H:$H,Summary_Checking_TRAD!$D140,Summary!D:D)</f>
        <v>122187000000</v>
      </c>
      <c r="L140" s="1">
        <v>0</v>
      </c>
      <c r="M140" s="7">
        <f t="shared" ref="M140" si="69">E140-I140</f>
        <v>0</v>
      </c>
      <c r="N140" s="7">
        <f t="shared" ref="N140" si="70">F140-J140</f>
        <v>0</v>
      </c>
      <c r="O140" s="7">
        <f t="shared" ref="O140" si="71">G140-K140</f>
        <v>0</v>
      </c>
      <c r="P140" s="7">
        <f t="shared" ref="P140" si="72">H140-L140</f>
        <v>0</v>
      </c>
      <c r="Q140" s="48">
        <f t="shared" ref="Q140" si="73">IFERROR(M140/I140,0)</f>
        <v>0</v>
      </c>
      <c r="R140" s="48">
        <f t="shared" ref="R140" si="74">IFERROR(N140/J140,0)</f>
        <v>0</v>
      </c>
      <c r="S140" s="48">
        <f t="shared" ref="S140" si="75">IFERROR(O140/K140,0)</f>
        <v>0</v>
      </c>
      <c r="T140" s="48">
        <f t="shared" ref="T140" si="76">IFERROR(P140/L140,0)</f>
        <v>0</v>
      </c>
      <c r="V140" s="48"/>
      <c r="W140" s="7" t="str">
        <f t="shared" ref="W140" si="77">RIGHT(D140,3)</f>
        <v>IDR</v>
      </c>
    </row>
    <row r="141" spans="1:23">
      <c r="A141" s="58" t="e">
        <f ca="1">_xlfn.XLOOKUP(B141,[10]Sheet1!$D:$D,[10]Sheet1!$E:$E)</f>
        <v>#N/A</v>
      </c>
      <c r="B141" t="str">
        <f t="shared" ref="B141" si="78">LEFT(C141,6)</f>
        <v>CWFUTR</v>
      </c>
      <c r="C141" t="str">
        <f>VLOOKUP(D141,DV_AZTRAD_Stat!H:I,2,FALSE)</f>
        <v>CWFUTR_IDR</v>
      </c>
      <c r="D141" s="59" t="s">
        <v>2536</v>
      </c>
      <c r="E141" s="1">
        <f>SUMIF(DV_AZTRAD_Stat!$H:$H,Summary_Checking_TRAD!$D141,DV_AZTRAD_Stat!$C:$C)</f>
        <v>36</v>
      </c>
      <c r="F141" s="1">
        <f>SUMIF(DV_AZTRAD_Stat!$H:$H,Summary_Checking_TRAD!$D141,DV_AZTRAD_Stat!$E:$E)</f>
        <v>147760000000</v>
      </c>
      <c r="G141" s="1">
        <f>SUMIF(DV_AZTRAD_Stat!$H:$H,Summary_Checking_TRAD!$D141,DV_AZTRAD_Stat!$D:$D)</f>
        <v>12413472950</v>
      </c>
      <c r="H141" s="1">
        <v>0</v>
      </c>
      <c r="I141" s="1">
        <f>SUMIF(IT_AZTRAD_FULL_Stat!$H:$H,Summary_Checking_TRAD!$D141,IT_AZTRAD_FULL_Stat!C:C)
+SUMIF(Summary!$H:$H,Summary_Checking_TRAD!$D141,Summary!C:C)</f>
        <v>36</v>
      </c>
      <c r="J141" s="1">
        <f>SUMIF(IT_AZTRAD_FULL_Stat!$H:$H,Summary_Checking_TRAD!$D141,IT_AZTRAD_FULL_Stat!E:E)
+SUMIF(Summary!$H:$H,Summary_Checking_TRAD!$D141,Summary!E:E)</f>
        <v>147760000000</v>
      </c>
      <c r="K141" s="1">
        <f>SUMIF(IT_AZTRAD_FULL_Stat!$H:$H,Summary_Checking_TRAD!$D141,IT_AZTRAD_FULL_Stat!D:D)
+SUMIF(Summary!$H:$H,Summary_Checking_TRAD!$D141,Summary!D:D)</f>
        <v>12413472950</v>
      </c>
      <c r="L141" s="1">
        <v>0</v>
      </c>
      <c r="M141" s="7">
        <f t="shared" ref="M141" si="79">E141-I141</f>
        <v>0</v>
      </c>
      <c r="N141" s="7">
        <f t="shared" ref="N141" si="80">F141-J141</f>
        <v>0</v>
      </c>
      <c r="O141" s="7">
        <f t="shared" ref="O141" si="81">G141-K141</f>
        <v>0</v>
      </c>
      <c r="P141" s="7">
        <f t="shared" ref="P141" si="82">H141-L141</f>
        <v>0</v>
      </c>
      <c r="Q141" s="48">
        <f t="shared" ref="Q141" si="83">IFERROR(M141/I141,0)</f>
        <v>0</v>
      </c>
      <c r="R141" s="48">
        <f t="shared" ref="R141" si="84">IFERROR(N141/J141,0)</f>
        <v>0</v>
      </c>
      <c r="S141" s="48">
        <f t="shared" ref="S141" si="85">IFERROR(O141/K141,0)</f>
        <v>0</v>
      </c>
      <c r="T141" s="48">
        <f t="shared" ref="T141" si="86">IFERROR(P141/L141,0)</f>
        <v>0</v>
      </c>
      <c r="V141" s="48"/>
      <c r="W141" s="7" t="str">
        <f t="shared" ref="W141" si="87">RIGHT(D141,3)</f>
        <v>IDR</v>
      </c>
    </row>
  </sheetData>
  <autoFilter ref="A10:W129" xr:uid="{0B4689A3-5902-46CF-A50A-158D4543C547}"/>
  <mergeCells count="14">
    <mergeCell ref="I9:L9"/>
    <mergeCell ref="M9:P9"/>
    <mergeCell ref="Q9:T9"/>
    <mergeCell ref="U9:U10"/>
    <mergeCell ref="E1:H1"/>
    <mergeCell ref="I1:L1"/>
    <mergeCell ref="M1:P1"/>
    <mergeCell ref="Q1:T1"/>
    <mergeCell ref="U1:U2"/>
    <mergeCell ref="A9:A10"/>
    <mergeCell ref="B9:B10"/>
    <mergeCell ref="C9:C10"/>
    <mergeCell ref="D9:D10"/>
    <mergeCell ref="E9:H9"/>
  </mergeCells>
  <conditionalFormatting sqref="D116:D123">
    <cfRule type="duplicateValues" dxfId="4" priority="3"/>
  </conditionalFormatting>
  <conditionalFormatting sqref="Q11:T141 V11:V141">
    <cfRule type="cellIs" dxfId="3" priority="1" operator="lessThan">
      <formula>-0.001</formula>
    </cfRule>
    <cfRule type="cellIs" dxfId="2" priority="2" operator="greaterThan">
      <formula>0.001</formula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12D8B6B7481B43B53F1395DB0B4398" ma:contentTypeVersion="89" ma:contentTypeDescription="Create a new document." ma:contentTypeScope="" ma:versionID="6d0ce2a49f41fab833ace50872ca8535">
  <xsd:schema xmlns:xsd="http://www.w3.org/2001/XMLSchema" xmlns:xs="http://www.w3.org/2001/XMLSchema" xmlns:p="http://schemas.microsoft.com/office/2006/metadata/properties" xmlns:ns2="fc25a3cb-218b-453f-9455-87bfb19dc12c" xmlns:ns3="8661a489-ba16-49fb-b51a-1401f116943e" targetNamespace="http://schemas.microsoft.com/office/2006/metadata/properties" ma:root="true" ma:fieldsID="88bce0ef7b5063b091915781c1c66033" ns2:_="" ns3:_="">
    <xsd:import namespace="fc25a3cb-218b-453f-9455-87bfb19dc12c"/>
    <xsd:import namespace="8661a489-ba16-49fb-b51a-1401f116943e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DossierOwner" minOccurs="0"/>
                <xsd:element ref="ns2:DossierStatus" minOccurs="0"/>
                <xsd:element ref="ns2:g46983e88b4748ce85d84a0abf06caac" minOccurs="0"/>
                <xsd:element ref="ns2:TaxCatchAll" minOccurs="0"/>
                <xsd:element ref="ns2:TaxCatchAllLabel" minOccurs="0"/>
                <xsd:element ref="ns2:MailPreviewData" minOccurs="0"/>
                <xsd:element ref="ns2:nd5bd31d213b4cb1bf846bde47655c34" minOccurs="0"/>
                <xsd:element ref="ns2:ContractDate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LengthInSeconds" minOccurs="0"/>
                <xsd:element ref="ns2:ContractExpirationDate" minOccurs="0"/>
                <xsd:element ref="ns2:SharedWithUsers" minOccurs="0"/>
                <xsd:element ref="ns2:SharedWithDetails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SearchProperties" minOccurs="0"/>
                <xsd:element ref="ns3:MediaServiceBillingMetadata" minOccurs="0"/>
                <xsd:element ref="ns3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25a3cb-218b-453f-9455-87bfb19dc12c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hidden="true" ma:indexed="true" ma:internalName="_dlc_DocId" ma:readOnly="fals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false">
      <xsd:simpleType>
        <xsd:restriction base="dms:Boolean"/>
      </xsd:simpleType>
    </xsd:element>
    <xsd:element name="DossierOwner" ma:index="11" nillable="true" ma:displayName="Dossier owner(s)" ma:description="Person(s) owning the dossier." ma:hidden="true" ma:internalName="DossierOwn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ossierStatus" ma:index="12" nillable="true" ma:displayName="Dossier Status" ma:default="" ma:description="Indicate the status of the dossier." ma:hidden="true" ma:internalName="DossierStatus" ma:readOnly="false">
      <xsd:simpleType>
        <xsd:restriction base="dms:Choice">
          <xsd:enumeration value="Open"/>
          <xsd:enumeration value="Closed"/>
        </xsd:restriction>
      </xsd:simpleType>
    </xsd:element>
    <xsd:element name="g46983e88b4748ce85d84a0abf06caac" ma:index="13" nillable="true" ma:taxonomy="true" ma:internalName="g46983e88b4748ce85d84a0abf06caac" ma:taxonomyFieldName="Document_Class" ma:displayName="Document Class" ma:fieldId="{046983e8-8b47-48ce-85d8-4a0abf06caac}" ma:sspId="10820af1-e82f-496e-bbcb-d9502914b7b2" ma:termSetId="a8fe5516-3f25-4a18-9fe8-9ec61fcfebb7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4" nillable="true" ma:displayName="Taxonomy Catch All Column" ma:hidden="true" ma:list="{9abd9a54-d25f-4fef-a6cf-d913cbf872ae}" ma:internalName="TaxCatchAll" ma:readOnly="false" ma:showField="CatchAllData" ma:web="fc25a3cb-218b-453f-9455-87bfb19dc12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5" nillable="true" ma:displayName="Taxonomy Catch All Column1" ma:hidden="true" ma:list="{9abd9a54-d25f-4fef-a6cf-d913cbf872ae}" ma:internalName="TaxCatchAllLabel" ma:readOnly="false" ma:showField="CatchAllDataLabel" ma:web="fc25a3cb-218b-453f-9455-87bfb19dc12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ailPreviewData" ma:index="17" nillable="true" ma:displayName="Mail Preview" ma:description="File preview for harmonie" ma:hidden="true" ma:internalName="MailPreviewData" ma:readOnly="false">
      <xsd:simpleType>
        <xsd:restriction base="dms:Note"/>
      </xsd:simpleType>
    </xsd:element>
    <xsd:element name="nd5bd31d213b4cb1bf846bde47655c34" ma:index="18" nillable="true" ma:taxonomy="true" ma:internalName="nd5bd31d213b4cb1bf846bde47655c34" ma:taxonomyFieldName="Contract_Type" ma:displayName="Contract Type" ma:readOnly="false" ma:fieldId="{7d5bd31d-213b-4cb1-bf84-6bde47655c34}" ma:sspId="10820af1-e82f-496e-bbcb-d9502914b7b2" ma:termSetId="70805c8f-f58a-429f-b5cb-62c5b6dc552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ontractDate" ma:index="20" nillable="true" ma:displayName="Contract Date" ma:description="Date when the contract has been closed." ma:format="DateOnly" ma:hidden="true" ma:internalName="ContractDate" ma:readOnly="false">
      <xsd:simpleType>
        <xsd:restriction base="dms:DateTime"/>
      </xsd:simpleType>
    </xsd:element>
    <xsd:element name="ContractExpirationDate" ma:index="25" nillable="true" ma:displayName="Expiry Date" ma:description="The formal expiration date of the subject, either according to the contractual agreement or because a termination has become (legally) effective. " ma:format="DateOnly" ma:hidden="true" ma:internalName="ContractExpirationDate" ma:readOnly="false">
      <xsd:simpleType>
        <xsd:restriction base="dms:DateTime"/>
      </xsd:simpleType>
    </xsd:element>
    <xsd:element name="SharedWithUsers" ma:index="2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61a489-ba16-49fb-b51a-1401f116943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8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Location" ma:index="29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GenerationTime" ma:index="3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3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3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34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36" nillable="true" ma:taxonomy="true" ma:internalName="lcf76f155ced4ddcb4097134ff3c332f" ma:taxonomyFieldName="MediaServiceImageTags" ma:displayName="Image Tags" ma:readOnly="false" ma:fieldId="{5cf76f15-5ced-4ddc-b409-7134ff3c332f}" ma:taxonomyMulti="true" ma:sspId="10820af1-e82f-496e-bbcb-d9502914b7b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fc25a3cb-218b-453f-9455-87bfb19dc12c">APRHY6R45T4P-856611686-9261819</_dlc_DocId>
    <_dlc_DocIdUrl xmlns="fc25a3cb-218b-453f-9455-87bfb19dc12c">
      <Url>https://allianzms.sharepoint.com/teams/ID0002-5620391/_layouts/15/DocIdRedir.aspx?ID=APRHY6R45T4P-856611686-9261819</Url>
      <Description>APRHY6R45T4P-856611686-9261819</Description>
    </_dlc_DocIdUrl>
    <DossierStatus xmlns="fc25a3cb-218b-453f-9455-87bfb19dc12c" xsi:nil="true"/>
    <ContractExpirationDate xmlns="fc25a3cb-218b-453f-9455-87bfb19dc12c" xsi:nil="true"/>
    <g46983e88b4748ce85d84a0abf06caac xmlns="fc25a3cb-218b-453f-9455-87bfb19dc12c">
      <Terms xmlns="http://schemas.microsoft.com/office/infopath/2007/PartnerControls"/>
    </g46983e88b4748ce85d84a0abf06caac>
    <DossierOwner xmlns="fc25a3cb-218b-453f-9455-87bfb19dc12c">
      <UserInfo>
        <DisplayName/>
        <AccountId xsi:nil="true"/>
        <AccountType/>
      </UserInfo>
    </DossierOwner>
    <TaxCatchAll xmlns="fc25a3cb-218b-453f-9455-87bfb19dc12c" xsi:nil="true"/>
    <ContractDate xmlns="fc25a3cb-218b-453f-9455-87bfb19dc12c" xsi:nil="true"/>
    <nd5bd31d213b4cb1bf846bde47655c34 xmlns="fc25a3cb-218b-453f-9455-87bfb19dc12c">
      <Terms xmlns="http://schemas.microsoft.com/office/infopath/2007/PartnerControls"/>
    </nd5bd31d213b4cb1bf846bde47655c34>
    <_dlc_DocIdPersistId xmlns="fc25a3cb-218b-453f-9455-87bfb19dc12c" xsi:nil="true"/>
    <TaxCatchAllLabel xmlns="fc25a3cb-218b-453f-9455-87bfb19dc12c" xsi:nil="true"/>
    <MailPreviewData xmlns="fc25a3cb-218b-453f-9455-87bfb19dc12c" xsi:nil="true"/>
    <lcf76f155ced4ddcb4097134ff3c332f xmlns="8661a489-ba16-49fb-b51a-1401f116943e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A619F14C-7537-4C94-B994-06767A5D6A84}"/>
</file>

<file path=customXml/itemProps2.xml><?xml version="1.0" encoding="utf-8"?>
<ds:datastoreItem xmlns:ds="http://schemas.openxmlformats.org/officeDocument/2006/customXml" ds:itemID="{7D691699-4A85-4706-A2CA-1C3258D63019}">
  <ds:schemaRefs>
    <ds:schemaRef ds:uri="http://schemas.microsoft.com/office/infopath/2007/PartnerControls"/>
    <ds:schemaRef ds:uri="http://purl.org/dc/dcmitype/"/>
    <ds:schemaRef ds:uri="fc25a3cb-218b-453f-9455-87bfb19dc12c"/>
    <ds:schemaRef ds:uri="http://purl.org/dc/elements/1.1/"/>
    <ds:schemaRef ds:uri="http://schemas.microsoft.com/office/2006/documentManagement/types"/>
    <ds:schemaRef ds:uri="8661a489-ba16-49fb-b51a-1401f116943e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4BE17383-002C-436D-9CC5-28ADF012916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921BFD5-064A-4AC8-9EB1-84434887B7B0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MAIN</vt:lpstr>
      <vt:lpstr>CONTROL_2_SUMMARY</vt:lpstr>
      <vt:lpstr>&lt;&lt;&lt;&lt;&lt; Input &gt;&gt;&gt;&gt;&gt;</vt:lpstr>
      <vt:lpstr>Code Library</vt:lpstr>
      <vt:lpstr>IT_AZUL_FULL_Stat</vt:lpstr>
      <vt:lpstr>IT_AZTRAD_FULL_Stat</vt:lpstr>
      <vt:lpstr>Summary</vt:lpstr>
      <vt:lpstr>DV_AZUL_Stat</vt:lpstr>
      <vt:lpstr>DV_AZTRAD_Stat</vt:lpstr>
      <vt:lpstr>&lt;&lt;&lt;&lt;&lt; Working &gt;&gt;&gt;&gt;&gt;</vt:lpstr>
      <vt:lpstr>UDR Split</vt:lpstr>
      <vt:lpstr>Summary_Checking_UL</vt:lpstr>
      <vt:lpstr>Summary_Checking_TRAD</vt:lpstr>
      <vt:lpstr>filename</vt:lpstr>
      <vt:lpstr>Health_ratio</vt:lpstr>
      <vt:lpstr>path</vt:lpstr>
      <vt:lpstr>Prot_ratio</vt:lpstr>
      <vt:lpstr>range</vt:lpstr>
      <vt:lpstr>tab</vt:lpstr>
      <vt:lpstr>targetrange</vt:lpstr>
      <vt:lpstr>targettab</vt:lpstr>
      <vt:lpstr>trad_code_</vt:lpstr>
      <vt:lpstr>ul_code_</vt:lpstr>
      <vt:lpstr>ULCODE</vt:lpstr>
      <vt:lpstr>UnitCode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Jessie Carolyn</dc:creator>
  <cp:keywords/>
  <dc:description/>
  <cp:lastModifiedBy>Stefanus, Ivan (PT Asuransi Allianz Life Indonesia)</cp:lastModifiedBy>
  <cp:revision/>
  <dcterms:created xsi:type="dcterms:W3CDTF">2023-08-07T13:19:36Z</dcterms:created>
  <dcterms:modified xsi:type="dcterms:W3CDTF">2025-04-08T10:45:44Z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e5f591a-3248-43e9-9b70-1ad50135772d_Enabled">
    <vt:lpwstr>true</vt:lpwstr>
  </property>
  <property fmtid="{D5CDD505-2E9C-101B-9397-08002B2CF9AE}" pid="3" name="MSIP_Label_ce5f591a-3248-43e9-9b70-1ad50135772d_SetDate">
    <vt:lpwstr>2023-08-07T14:00:24Z</vt:lpwstr>
  </property>
  <property fmtid="{D5CDD505-2E9C-101B-9397-08002B2CF9AE}" pid="4" name="MSIP_Label_ce5f591a-3248-43e9-9b70-1ad50135772d_Method">
    <vt:lpwstr>Privileged</vt:lpwstr>
  </property>
  <property fmtid="{D5CDD505-2E9C-101B-9397-08002B2CF9AE}" pid="5" name="MSIP_Label_ce5f591a-3248-43e9-9b70-1ad50135772d_Name">
    <vt:lpwstr>ce5f591a-3248-43e9-9b70-1ad50135772d</vt:lpwstr>
  </property>
  <property fmtid="{D5CDD505-2E9C-101B-9397-08002B2CF9AE}" pid="6" name="MSIP_Label_ce5f591a-3248-43e9-9b70-1ad50135772d_SiteId">
    <vt:lpwstr>6e06e42d-6925-47c6-b9e7-9581c7ca302a</vt:lpwstr>
  </property>
  <property fmtid="{D5CDD505-2E9C-101B-9397-08002B2CF9AE}" pid="7" name="MSIP_Label_ce5f591a-3248-43e9-9b70-1ad50135772d_ActionId">
    <vt:lpwstr>d31f1340-16d1-4358-a95f-c5e5542ea356</vt:lpwstr>
  </property>
  <property fmtid="{D5CDD505-2E9C-101B-9397-08002B2CF9AE}" pid="8" name="MSIP_Label_ce5f591a-3248-43e9-9b70-1ad50135772d_ContentBits">
    <vt:lpwstr>0</vt:lpwstr>
  </property>
  <property fmtid="{D5CDD505-2E9C-101B-9397-08002B2CF9AE}" pid="9" name="ContentTypeId">
    <vt:lpwstr>0x0101004312D8B6B7481B43B53F1395DB0B4398</vt:lpwstr>
  </property>
  <property fmtid="{D5CDD505-2E9C-101B-9397-08002B2CF9AE}" pid="10" name="_dlc_DocIdItemGuid">
    <vt:lpwstr>9a49d0c3-2e74-4eac-92c8-1601cd7bb9b2</vt:lpwstr>
  </property>
  <property fmtid="{D5CDD505-2E9C-101B-9397-08002B2CF9AE}" pid="11" name="DossierDepartment">
    <vt:lpwstr/>
  </property>
  <property fmtid="{D5CDD505-2E9C-101B-9397-08002B2CF9AE}" pid="12" name="AllianzContractingParties">
    <vt:lpwstr/>
  </property>
  <property fmtid="{D5CDD505-2E9C-101B-9397-08002B2CF9AE}" pid="13" name="Contract_Type">
    <vt:lpwstr/>
  </property>
  <property fmtid="{D5CDD505-2E9C-101B-9397-08002B2CF9AE}" pid="14" name="ff2b8087fcb94436b36c4b990c3dc3d4">
    <vt:lpwstr/>
  </property>
  <property fmtid="{D5CDD505-2E9C-101B-9397-08002B2CF9AE}" pid="15" name="Document_Class">
    <vt:lpwstr/>
  </property>
  <property fmtid="{D5CDD505-2E9C-101B-9397-08002B2CF9AE}" pid="16" name="nd3658ccba0f44b7b4a2001ae4f13eac">
    <vt:lpwstr/>
  </property>
</Properties>
</file>